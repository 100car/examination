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FLASH_OPER\СТОкар\Python and AI\AI-final project\DATA\SALES\RESULT\"/>
    </mc:Choice>
  </mc:AlternateContent>
  <bookViews>
    <workbookView xWindow="0" yWindow="0" windowWidth="28800" windowHeight="11085"/>
  </bookViews>
  <sheets>
    <sheet name="RINGS_SUMMARY" sheetId="1" r:id="rId1"/>
    <sheet name="STOCKS-" sheetId="2" r:id="rId2"/>
    <sheet name="UA+" sheetId="3" r:id="rId3"/>
    <sheet name="KZ+" sheetId="4" r:id="rId4"/>
    <sheet name="UZ+" sheetId="5" r:id="rId5"/>
    <sheet name="UA-normalized" sheetId="6" r:id="rId6"/>
    <sheet name="KZ-normalized" sheetId="7" r:id="rId7"/>
    <sheet name="UZ-normalized" sheetId="8" r:id="rId8"/>
    <sheet name="UA-sales" sheetId="9" r:id="rId9"/>
    <sheet name="KZ-sales" sheetId="10" r:id="rId10"/>
    <sheet name="UZ-sales" sheetId="11" r:id="rId11"/>
  </sheets>
  <calcPr calcId="162913"/>
</workbook>
</file>

<file path=xl/calcChain.xml><?xml version="1.0" encoding="utf-8"?>
<calcChain xmlns="http://schemas.openxmlformats.org/spreadsheetml/2006/main">
  <c r="AQ248" i="1" l="1"/>
  <c r="AO248" i="1"/>
  <c r="AM248" i="1"/>
  <c r="AK248" i="1"/>
  <c r="AJ248" i="1"/>
  <c r="AI248" i="1"/>
  <c r="AH248" i="1"/>
  <c r="AG248" i="1"/>
  <c r="AE248" i="1"/>
  <c r="AC248" i="1"/>
  <c r="AA248" i="1"/>
  <c r="Y248" i="1"/>
  <c r="X248" i="1"/>
  <c r="W248" i="1"/>
  <c r="V248" i="1"/>
  <c r="U248" i="1"/>
  <c r="S248" i="1"/>
  <c r="Q248" i="1"/>
  <c r="O248" i="1"/>
  <c r="N248" i="1"/>
  <c r="AR248" i="1" s="1"/>
  <c r="AR247" i="1"/>
  <c r="AQ247" i="1"/>
  <c r="AP247" i="1"/>
  <c r="AB247" i="1"/>
  <c r="N247" i="1"/>
  <c r="AQ246" i="1"/>
  <c r="AO246" i="1"/>
  <c r="AM246" i="1"/>
  <c r="AL246" i="1"/>
  <c r="AK246" i="1"/>
  <c r="AE246" i="1"/>
  <c r="AC246" i="1"/>
  <c r="AA246" i="1"/>
  <c r="Z246" i="1"/>
  <c r="Y246" i="1"/>
  <c r="X246" i="1"/>
  <c r="W246" i="1"/>
  <c r="U246" i="1"/>
  <c r="S246" i="1"/>
  <c r="N246" i="1"/>
  <c r="AJ246" i="1" s="1"/>
  <c r="AQ245" i="1"/>
  <c r="AJ245" i="1"/>
  <c r="AH245" i="1"/>
  <c r="AG245" i="1"/>
  <c r="AF245" i="1"/>
  <c r="X245" i="1"/>
  <c r="U245" i="1"/>
  <c r="T245" i="1"/>
  <c r="S245" i="1"/>
  <c r="R245" i="1"/>
  <c r="P245" i="1"/>
  <c r="N245" i="1"/>
  <c r="AL245" i="1" s="1"/>
  <c r="AG244" i="1"/>
  <c r="AC244" i="1"/>
  <c r="AB244" i="1"/>
  <c r="AA244" i="1"/>
  <c r="S244" i="1"/>
  <c r="P244" i="1"/>
  <c r="O244" i="1"/>
  <c r="N244" i="1"/>
  <c r="N243" i="1"/>
  <c r="AR242" i="1"/>
  <c r="AQ242" i="1"/>
  <c r="AP242" i="1"/>
  <c r="AO242" i="1"/>
  <c r="AN242" i="1"/>
  <c r="AM242" i="1"/>
  <c r="AK242" i="1"/>
  <c r="AI242" i="1"/>
  <c r="AG242" i="1"/>
  <c r="AF242" i="1"/>
  <c r="AE242" i="1"/>
  <c r="AD242" i="1"/>
  <c r="AC242" i="1"/>
  <c r="AB242" i="1"/>
  <c r="AA242" i="1"/>
  <c r="Y242" i="1"/>
  <c r="W242" i="1"/>
  <c r="U242" i="1"/>
  <c r="T242" i="1"/>
  <c r="S242" i="1"/>
  <c r="R242" i="1"/>
  <c r="Q242" i="1"/>
  <c r="P242" i="1"/>
  <c r="O242" i="1"/>
  <c r="N242" i="1"/>
  <c r="AL242" i="1" s="1"/>
  <c r="AR241" i="1"/>
  <c r="AN241" i="1"/>
  <c r="AM241" i="1"/>
  <c r="AL241" i="1"/>
  <c r="AK241" i="1"/>
  <c r="AD241" i="1"/>
  <c r="AA241" i="1"/>
  <c r="Z241" i="1"/>
  <c r="Y241" i="1"/>
  <c r="X241" i="1"/>
  <c r="W241" i="1"/>
  <c r="V241" i="1"/>
  <c r="N241" i="1"/>
  <c r="AR240" i="1"/>
  <c r="AQ240" i="1"/>
  <c r="AP240" i="1"/>
  <c r="AO240" i="1"/>
  <c r="AM240" i="1"/>
  <c r="AK240" i="1"/>
  <c r="AI240" i="1"/>
  <c r="AH240" i="1"/>
  <c r="AG240" i="1"/>
  <c r="AF240" i="1"/>
  <c r="AE240" i="1"/>
  <c r="AD240" i="1"/>
  <c r="AC240" i="1"/>
  <c r="AB240" i="1"/>
  <c r="AA240" i="1"/>
  <c r="Y240" i="1"/>
  <c r="W240" i="1"/>
  <c r="V240" i="1"/>
  <c r="U240" i="1"/>
  <c r="T240" i="1"/>
  <c r="S240" i="1"/>
  <c r="R240" i="1"/>
  <c r="Q240" i="1"/>
  <c r="P240" i="1"/>
  <c r="O240" i="1"/>
  <c r="N240" i="1"/>
  <c r="AN240" i="1" s="1"/>
  <c r="N239" i="1"/>
  <c r="AR238" i="1"/>
  <c r="AQ238" i="1"/>
  <c r="AP238" i="1"/>
  <c r="AO238" i="1"/>
  <c r="AM238" i="1"/>
  <c r="AK238" i="1"/>
  <c r="AJ238" i="1"/>
  <c r="AI238" i="1"/>
  <c r="AH238" i="1"/>
  <c r="AG238" i="1"/>
  <c r="AF238" i="1"/>
  <c r="AE238" i="1"/>
  <c r="AD238" i="1"/>
  <c r="AC238" i="1"/>
  <c r="AA238" i="1"/>
  <c r="Y238" i="1"/>
  <c r="X238" i="1"/>
  <c r="W238" i="1"/>
  <c r="V238" i="1"/>
  <c r="U238" i="1"/>
  <c r="T238" i="1"/>
  <c r="S238" i="1"/>
  <c r="R238" i="1"/>
  <c r="Q238" i="1"/>
  <c r="O238" i="1"/>
  <c r="N238" i="1"/>
  <c r="AN238" i="1" s="1"/>
  <c r="AR237" i="1"/>
  <c r="AN237" i="1"/>
  <c r="AM237" i="1"/>
  <c r="AL237" i="1"/>
  <c r="AK237" i="1"/>
  <c r="AJ237" i="1"/>
  <c r="AH237" i="1"/>
  <c r="AF237" i="1"/>
  <c r="AE237" i="1"/>
  <c r="AD237" i="1"/>
  <c r="Z237" i="1"/>
  <c r="Y237" i="1"/>
  <c r="X237" i="1"/>
  <c r="V237" i="1"/>
  <c r="T237" i="1"/>
  <c r="S237" i="1"/>
  <c r="R237" i="1"/>
  <c r="Q237" i="1"/>
  <c r="P237" i="1"/>
  <c r="N237" i="1"/>
  <c r="AO237" i="1" s="1"/>
  <c r="AQ236" i="1"/>
  <c r="AO236" i="1"/>
  <c r="AM236" i="1"/>
  <c r="AL236" i="1"/>
  <c r="AK236" i="1"/>
  <c r="AJ236" i="1"/>
  <c r="AI236" i="1"/>
  <c r="AH236" i="1"/>
  <c r="AG236" i="1"/>
  <c r="AE236" i="1"/>
  <c r="AA236" i="1"/>
  <c r="Z236" i="1"/>
  <c r="Y236" i="1"/>
  <c r="X236" i="1"/>
  <c r="W236" i="1"/>
  <c r="V236" i="1"/>
  <c r="U236" i="1"/>
  <c r="T236" i="1"/>
  <c r="S236" i="1"/>
  <c r="O236" i="1"/>
  <c r="N236" i="1"/>
  <c r="AF236" i="1" s="1"/>
  <c r="AR235" i="1"/>
  <c r="AQ235" i="1"/>
  <c r="AP235" i="1"/>
  <c r="AO235" i="1"/>
  <c r="AN235" i="1"/>
  <c r="AM235" i="1"/>
  <c r="AL235" i="1"/>
  <c r="AJ235" i="1"/>
  <c r="AD235" i="1"/>
  <c r="AB235" i="1"/>
  <c r="AA235" i="1"/>
  <c r="Z235" i="1"/>
  <c r="X235" i="1"/>
  <c r="V235" i="1"/>
  <c r="U235" i="1"/>
  <c r="T235" i="1"/>
  <c r="P235" i="1"/>
  <c r="O235" i="1"/>
  <c r="N235" i="1"/>
  <c r="AM234" i="1"/>
  <c r="AK234" i="1"/>
  <c r="AG234" i="1"/>
  <c r="O234" i="1"/>
  <c r="N234" i="1"/>
  <c r="AR233" i="1"/>
  <c r="AQ233" i="1"/>
  <c r="AP233" i="1"/>
  <c r="AO233" i="1"/>
  <c r="AE233" i="1"/>
  <c r="AD233" i="1"/>
  <c r="AC233" i="1"/>
  <c r="AB233" i="1"/>
  <c r="Z233" i="1"/>
  <c r="X233" i="1"/>
  <c r="T233" i="1"/>
  <c r="S233" i="1"/>
  <c r="N233" i="1"/>
  <c r="AN233" i="1" s="1"/>
  <c r="N232" i="1"/>
  <c r="AI231" i="1"/>
  <c r="AG231" i="1"/>
  <c r="R231" i="1"/>
  <c r="N231" i="1"/>
  <c r="AQ230" i="1"/>
  <c r="AO230" i="1"/>
  <c r="AN230" i="1"/>
  <c r="AM230" i="1"/>
  <c r="AL230" i="1"/>
  <c r="AK230" i="1"/>
  <c r="AI230" i="1"/>
  <c r="AG230" i="1"/>
  <c r="AF230" i="1"/>
  <c r="AE230" i="1"/>
  <c r="AC230" i="1"/>
  <c r="AA230" i="1"/>
  <c r="Z230" i="1"/>
  <c r="Y230" i="1"/>
  <c r="W230" i="1"/>
  <c r="U230" i="1"/>
  <c r="T230" i="1"/>
  <c r="S230" i="1"/>
  <c r="R230" i="1"/>
  <c r="Q230" i="1"/>
  <c r="O230" i="1"/>
  <c r="N230" i="1"/>
  <c r="AR230" i="1" s="1"/>
  <c r="AR229" i="1"/>
  <c r="AP229" i="1"/>
  <c r="AN229" i="1"/>
  <c r="AM229" i="1"/>
  <c r="AL229" i="1"/>
  <c r="AK229" i="1"/>
  <c r="AJ229" i="1"/>
  <c r="AB229" i="1"/>
  <c r="AA229" i="1"/>
  <c r="Z229" i="1"/>
  <c r="Y229" i="1"/>
  <c r="X229" i="1"/>
  <c r="W229" i="1"/>
  <c r="V229" i="1"/>
  <c r="U229" i="1"/>
  <c r="T229" i="1"/>
  <c r="N229" i="1"/>
  <c r="AF229" i="1" s="1"/>
  <c r="AR228" i="1"/>
  <c r="AQ228" i="1"/>
  <c r="AP228" i="1"/>
  <c r="AO228" i="1"/>
  <c r="AN228" i="1"/>
  <c r="AM228" i="1"/>
  <c r="AK228" i="1"/>
  <c r="AJ228" i="1"/>
  <c r="AI228" i="1"/>
  <c r="AH228" i="1"/>
  <c r="AG228" i="1"/>
  <c r="AF228" i="1"/>
  <c r="AE228" i="1"/>
  <c r="AD228" i="1"/>
  <c r="AC228" i="1"/>
  <c r="AB228" i="1"/>
  <c r="AA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AL228" i="1" s="1"/>
  <c r="AP227" i="1"/>
  <c r="AN227" i="1"/>
  <c r="AL227" i="1"/>
  <c r="AF227" i="1"/>
  <c r="AE227" i="1"/>
  <c r="AD227" i="1"/>
  <c r="R227" i="1"/>
  <c r="Q227" i="1"/>
  <c r="P227" i="1"/>
  <c r="N227" i="1"/>
  <c r="AQ226" i="1"/>
  <c r="AP226" i="1"/>
  <c r="AO226" i="1"/>
  <c r="AH226" i="1"/>
  <c r="AF226" i="1"/>
  <c r="AD226" i="1"/>
  <c r="AC226" i="1"/>
  <c r="AA226" i="1"/>
  <c r="Z226" i="1"/>
  <c r="Y226" i="1"/>
  <c r="X226" i="1"/>
  <c r="W226" i="1"/>
  <c r="Q226" i="1"/>
  <c r="N226" i="1"/>
  <c r="AO225" i="1"/>
  <c r="AN225" i="1"/>
  <c r="AM225" i="1"/>
  <c r="AE225" i="1"/>
  <c r="AD225" i="1"/>
  <c r="AC225" i="1"/>
  <c r="Q225" i="1"/>
  <c r="P225" i="1"/>
  <c r="O225" i="1"/>
  <c r="N225" i="1"/>
  <c r="AR224" i="1"/>
  <c r="AO224" i="1"/>
  <c r="AM224" i="1"/>
  <c r="AL224" i="1"/>
  <c r="AK224" i="1"/>
  <c r="AJ224" i="1"/>
  <c r="AI224" i="1"/>
  <c r="AH224" i="1"/>
  <c r="AG224" i="1"/>
  <c r="AF224" i="1"/>
  <c r="AE224" i="1"/>
  <c r="AB224" i="1"/>
  <c r="Z224" i="1"/>
  <c r="Y224" i="1"/>
  <c r="X224" i="1"/>
  <c r="W224" i="1"/>
  <c r="V224" i="1"/>
  <c r="U224" i="1"/>
  <c r="T224" i="1"/>
  <c r="S224" i="1"/>
  <c r="Q224" i="1"/>
  <c r="O224" i="1"/>
  <c r="N224" i="1"/>
  <c r="AQ224" i="1" s="1"/>
  <c r="AR223" i="1"/>
  <c r="AQ223" i="1"/>
  <c r="AP223" i="1"/>
  <c r="AO223" i="1"/>
  <c r="AG223" i="1"/>
  <c r="AD223" i="1"/>
  <c r="AC223" i="1"/>
  <c r="AB223" i="1"/>
  <c r="AA223" i="1"/>
  <c r="Z223" i="1"/>
  <c r="X223" i="1"/>
  <c r="W223" i="1"/>
  <c r="P223" i="1"/>
  <c r="O223" i="1"/>
  <c r="N223" i="1"/>
  <c r="AQ222" i="1"/>
  <c r="AP222" i="1"/>
  <c r="AO222" i="1"/>
  <c r="AN222" i="1"/>
  <c r="AL222" i="1"/>
  <c r="AI222" i="1"/>
  <c r="AG222" i="1"/>
  <c r="AD222" i="1"/>
  <c r="AC222" i="1"/>
  <c r="AB222" i="1"/>
  <c r="AA222" i="1"/>
  <c r="Y222" i="1"/>
  <c r="W222" i="1"/>
  <c r="V222" i="1"/>
  <c r="S222" i="1"/>
  <c r="Q222" i="1"/>
  <c r="P222" i="1"/>
  <c r="O222" i="1"/>
  <c r="N222" i="1"/>
  <c r="AK221" i="1"/>
  <c r="AI221" i="1"/>
  <c r="AG221" i="1"/>
  <c r="AF221" i="1"/>
  <c r="AD221" i="1"/>
  <c r="AB221" i="1"/>
  <c r="Q221" i="1"/>
  <c r="N221" i="1"/>
  <c r="AR220" i="1"/>
  <c r="AQ220" i="1"/>
  <c r="AP220" i="1"/>
  <c r="AO220" i="1"/>
  <c r="AN220" i="1"/>
  <c r="AC220" i="1"/>
  <c r="AB220" i="1"/>
  <c r="AA220" i="1"/>
  <c r="Z220" i="1"/>
  <c r="Y220" i="1"/>
  <c r="X220" i="1"/>
  <c r="U220" i="1"/>
  <c r="N220" i="1"/>
  <c r="AD220" i="1" s="1"/>
  <c r="AR219" i="1"/>
  <c r="AQ219" i="1"/>
  <c r="AP219" i="1"/>
  <c r="AM219" i="1"/>
  <c r="AL219" i="1"/>
  <c r="AK219" i="1"/>
  <c r="AJ219" i="1"/>
  <c r="AI219" i="1"/>
  <c r="AH219" i="1"/>
  <c r="AG219" i="1"/>
  <c r="AF219" i="1"/>
  <c r="AE219" i="1"/>
  <c r="AD219" i="1"/>
  <c r="AB219" i="1"/>
  <c r="Z219" i="1"/>
  <c r="Y219" i="1"/>
  <c r="X219" i="1"/>
  <c r="W219" i="1"/>
  <c r="V219" i="1"/>
  <c r="U219" i="1"/>
  <c r="T219" i="1"/>
  <c r="S219" i="1"/>
  <c r="R219" i="1"/>
  <c r="P219" i="1"/>
  <c r="O219" i="1"/>
  <c r="N219" i="1"/>
  <c r="AR218" i="1"/>
  <c r="AQ218" i="1"/>
  <c r="AP218" i="1"/>
  <c r="AO218" i="1"/>
  <c r="AM218" i="1"/>
  <c r="Y218" i="1"/>
  <c r="W218" i="1"/>
  <c r="V218" i="1"/>
  <c r="N218" i="1"/>
  <c r="AR217" i="1"/>
  <c r="AO217" i="1"/>
  <c r="AN217" i="1"/>
  <c r="AM217" i="1"/>
  <c r="AL217" i="1"/>
  <c r="AJ217" i="1"/>
  <c r="AI217" i="1"/>
  <c r="AH217" i="1"/>
  <c r="AG217" i="1"/>
  <c r="AF217" i="1"/>
  <c r="AD217" i="1"/>
  <c r="AC217" i="1"/>
  <c r="AA217" i="1"/>
  <c r="Z217" i="1"/>
  <c r="Y217" i="1"/>
  <c r="W217" i="1"/>
  <c r="V217" i="1"/>
  <c r="U217" i="1"/>
  <c r="T217" i="1"/>
  <c r="R217" i="1"/>
  <c r="Q217" i="1"/>
  <c r="P217" i="1"/>
  <c r="O217" i="1"/>
  <c r="N217" i="1"/>
  <c r="AR216" i="1"/>
  <c r="AQ216" i="1"/>
  <c r="AP216" i="1"/>
  <c r="AO216" i="1"/>
  <c r="AN216" i="1"/>
  <c r="AM216" i="1"/>
  <c r="AK216" i="1"/>
  <c r="AJ216" i="1"/>
  <c r="AI216" i="1"/>
  <c r="AH216" i="1"/>
  <c r="AG216" i="1"/>
  <c r="AF216" i="1"/>
  <c r="AE216" i="1"/>
  <c r="AD216" i="1"/>
  <c r="AC216" i="1"/>
  <c r="AB216" i="1"/>
  <c r="AA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AL216" i="1" s="1"/>
  <c r="AQ215" i="1"/>
  <c r="AP215" i="1"/>
  <c r="AO215" i="1"/>
  <c r="AN215" i="1"/>
  <c r="AM215" i="1"/>
  <c r="AK215" i="1"/>
  <c r="AJ215" i="1"/>
  <c r="AH215" i="1"/>
  <c r="AF215" i="1"/>
  <c r="AE215" i="1"/>
  <c r="AD215" i="1"/>
  <c r="AB215" i="1"/>
  <c r="AA215" i="1"/>
  <c r="Z215" i="1"/>
  <c r="Y215" i="1"/>
  <c r="W215" i="1"/>
  <c r="T215" i="1"/>
  <c r="S215" i="1"/>
  <c r="R215" i="1"/>
  <c r="Q215" i="1"/>
  <c r="P215" i="1"/>
  <c r="O215" i="1"/>
  <c r="N215" i="1"/>
  <c r="AR214" i="1"/>
  <c r="AQ214" i="1"/>
  <c r="AP214" i="1"/>
  <c r="AM214" i="1"/>
  <c r="AL214" i="1"/>
  <c r="AK214" i="1"/>
  <c r="AJ214" i="1"/>
  <c r="AI214" i="1"/>
  <c r="AH214" i="1"/>
  <c r="AG214" i="1"/>
  <c r="AF214" i="1"/>
  <c r="AE214" i="1"/>
  <c r="AD214" i="1"/>
  <c r="AC214" i="1"/>
  <c r="Z214" i="1"/>
  <c r="Y214" i="1"/>
  <c r="X214" i="1"/>
  <c r="W214" i="1"/>
  <c r="V214" i="1"/>
  <c r="U214" i="1"/>
  <c r="T214" i="1"/>
  <c r="S214" i="1"/>
  <c r="R214" i="1"/>
  <c r="Q214" i="1"/>
  <c r="O214" i="1"/>
  <c r="N214" i="1"/>
  <c r="AR213" i="1"/>
  <c r="AQ213" i="1"/>
  <c r="AP213" i="1"/>
  <c r="AO213" i="1"/>
  <c r="AN213" i="1"/>
  <c r="AM213" i="1"/>
  <c r="AL213" i="1"/>
  <c r="AB213" i="1"/>
  <c r="AA213" i="1"/>
  <c r="Z213" i="1"/>
  <c r="Y213" i="1"/>
  <c r="X213" i="1"/>
  <c r="V213" i="1"/>
  <c r="U213" i="1"/>
  <c r="N213" i="1"/>
  <c r="AC213" i="1" s="1"/>
  <c r="AQ212" i="1"/>
  <c r="AO212" i="1"/>
  <c r="AN212" i="1"/>
  <c r="AM212" i="1"/>
  <c r="AL212" i="1"/>
  <c r="AH212" i="1"/>
  <c r="AG212" i="1"/>
  <c r="AB212" i="1"/>
  <c r="Z212" i="1"/>
  <c r="Y212" i="1"/>
  <c r="W212" i="1"/>
  <c r="T212" i="1"/>
  <c r="S212" i="1"/>
  <c r="Q212" i="1"/>
  <c r="P212" i="1"/>
  <c r="N212" i="1"/>
  <c r="AC212" i="1" s="1"/>
  <c r="AN211" i="1"/>
  <c r="AJ211" i="1"/>
  <c r="AI211" i="1"/>
  <c r="AH211" i="1"/>
  <c r="AG211" i="1"/>
  <c r="AF211" i="1"/>
  <c r="U211" i="1"/>
  <c r="T211" i="1"/>
  <c r="S211" i="1"/>
  <c r="R211" i="1"/>
  <c r="Q211" i="1"/>
  <c r="O211" i="1"/>
  <c r="N211" i="1"/>
  <c r="AD211" i="1" s="1"/>
  <c r="AJ210" i="1"/>
  <c r="AI210" i="1"/>
  <c r="AG210" i="1"/>
  <c r="AE210" i="1"/>
  <c r="AD210" i="1"/>
  <c r="AC210" i="1"/>
  <c r="R210" i="1"/>
  <c r="N210" i="1"/>
  <c r="AP209" i="1"/>
  <c r="AO209" i="1"/>
  <c r="AN209" i="1"/>
  <c r="AK209" i="1"/>
  <c r="AJ209" i="1"/>
  <c r="AI209" i="1"/>
  <c r="AH209" i="1"/>
  <c r="AG209" i="1"/>
  <c r="AF209" i="1"/>
  <c r="AE209" i="1"/>
  <c r="AB209" i="1"/>
  <c r="Z209" i="1"/>
  <c r="X209" i="1"/>
  <c r="W209" i="1"/>
  <c r="V209" i="1"/>
  <c r="U209" i="1"/>
  <c r="T209" i="1"/>
  <c r="S209" i="1"/>
  <c r="R209" i="1"/>
  <c r="Q209" i="1"/>
  <c r="N209" i="1"/>
  <c r="AR208" i="1"/>
  <c r="AP208" i="1"/>
  <c r="AO208" i="1"/>
  <c r="AN208" i="1"/>
  <c r="AM208" i="1"/>
  <c r="AL208" i="1"/>
  <c r="AK208" i="1"/>
  <c r="AJ208" i="1"/>
  <c r="AI208" i="1"/>
  <c r="AC208" i="1"/>
  <c r="AB208" i="1"/>
  <c r="AA208" i="1"/>
  <c r="Z208" i="1"/>
  <c r="Y208" i="1"/>
  <c r="X208" i="1"/>
  <c r="W208" i="1"/>
  <c r="U208" i="1"/>
  <c r="T208" i="1"/>
  <c r="S208" i="1"/>
  <c r="O208" i="1"/>
  <c r="N208" i="1"/>
  <c r="AR207" i="1"/>
  <c r="AQ207" i="1"/>
  <c r="AP207" i="1"/>
  <c r="AN207" i="1"/>
  <c r="AM207" i="1"/>
  <c r="AL207" i="1"/>
  <c r="AK207" i="1"/>
  <c r="AJ207" i="1"/>
  <c r="AF207" i="1"/>
  <c r="AD207" i="1"/>
  <c r="AA207" i="1"/>
  <c r="Z207" i="1"/>
  <c r="Y207" i="1"/>
  <c r="X207" i="1"/>
  <c r="W207" i="1"/>
  <c r="U207" i="1"/>
  <c r="R207" i="1"/>
  <c r="P207" i="1"/>
  <c r="O207" i="1"/>
  <c r="N207" i="1"/>
  <c r="AB207" i="1" s="1"/>
  <c r="AR206" i="1"/>
  <c r="AQ206" i="1"/>
  <c r="AP206" i="1"/>
  <c r="AO206" i="1"/>
  <c r="AM206" i="1"/>
  <c r="AL206" i="1"/>
  <c r="AK206" i="1"/>
  <c r="AI206" i="1"/>
  <c r="AH206" i="1"/>
  <c r="AG206" i="1"/>
  <c r="AF206" i="1"/>
  <c r="AE206" i="1"/>
  <c r="AD206" i="1"/>
  <c r="AC206" i="1"/>
  <c r="AB206" i="1"/>
  <c r="Z206" i="1"/>
  <c r="Y206" i="1"/>
  <c r="W206" i="1"/>
  <c r="V206" i="1"/>
  <c r="U206" i="1"/>
  <c r="T206" i="1"/>
  <c r="S206" i="1"/>
  <c r="R206" i="1"/>
  <c r="Q206" i="1"/>
  <c r="P206" i="1"/>
  <c r="O206" i="1"/>
  <c r="N206" i="1"/>
  <c r="AO205" i="1"/>
  <c r="W205" i="1"/>
  <c r="V205" i="1"/>
  <c r="N205" i="1"/>
  <c r="AR204" i="1"/>
  <c r="AQ204" i="1"/>
  <c r="AP204" i="1"/>
  <c r="AO204" i="1"/>
  <c r="AN204" i="1"/>
  <c r="AM204" i="1"/>
  <c r="AK204" i="1"/>
  <c r="AJ204" i="1"/>
  <c r="AI204" i="1"/>
  <c r="AH204" i="1"/>
  <c r="AG204" i="1"/>
  <c r="AF204" i="1"/>
  <c r="AE204" i="1"/>
  <c r="AD204" i="1"/>
  <c r="AC204" i="1"/>
  <c r="AB204" i="1"/>
  <c r="AA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AL204" i="1" s="1"/>
  <c r="AR203" i="1"/>
  <c r="AQ203" i="1"/>
  <c r="AO203" i="1"/>
  <c r="AM203" i="1"/>
  <c r="AL203" i="1"/>
  <c r="AJ203" i="1"/>
  <c r="AI203" i="1"/>
  <c r="AH203" i="1"/>
  <c r="AF203" i="1"/>
  <c r="AE203" i="1"/>
  <c r="AD203" i="1"/>
  <c r="AC203" i="1"/>
  <c r="AA203" i="1"/>
  <c r="Y203" i="1"/>
  <c r="W203" i="1"/>
  <c r="V203" i="1"/>
  <c r="T203" i="1"/>
  <c r="S203" i="1"/>
  <c r="R203" i="1"/>
  <c r="Q203" i="1"/>
  <c r="P203" i="1"/>
  <c r="O203" i="1"/>
  <c r="N203" i="1"/>
  <c r="AN203" i="1" s="1"/>
  <c r="AO202" i="1"/>
  <c r="AM202" i="1"/>
  <c r="AL202" i="1"/>
  <c r="AK202" i="1"/>
  <c r="AJ202" i="1"/>
  <c r="AI202" i="1"/>
  <c r="AH202" i="1"/>
  <c r="Z202" i="1"/>
  <c r="Y202" i="1"/>
  <c r="X202" i="1"/>
  <c r="W202" i="1"/>
  <c r="V202" i="1"/>
  <c r="U202" i="1"/>
  <c r="T202" i="1"/>
  <c r="N202" i="1"/>
  <c r="AQ202" i="1" s="1"/>
  <c r="AQ201" i="1"/>
  <c r="AP201" i="1"/>
  <c r="AO201" i="1"/>
  <c r="AN201" i="1"/>
  <c r="AM201" i="1"/>
  <c r="Y201" i="1"/>
  <c r="X201" i="1"/>
  <c r="N201" i="1"/>
  <c r="AR200" i="1"/>
  <c r="AO200" i="1"/>
  <c r="AM200" i="1"/>
  <c r="AF200" i="1"/>
  <c r="AE200" i="1"/>
  <c r="AC200" i="1"/>
  <c r="AB200" i="1"/>
  <c r="AA200" i="1"/>
  <c r="Z200" i="1"/>
  <c r="X200" i="1"/>
  <c r="Q200" i="1"/>
  <c r="O200" i="1"/>
  <c r="N200" i="1"/>
  <c r="N199" i="1"/>
  <c r="AQ198" i="1"/>
  <c r="AM198" i="1"/>
  <c r="AK198" i="1"/>
  <c r="AJ198" i="1"/>
  <c r="AH198" i="1"/>
  <c r="AG198" i="1"/>
  <c r="AE198" i="1"/>
  <c r="AD198" i="1"/>
  <c r="AC198" i="1"/>
  <c r="Y198" i="1"/>
  <c r="W198" i="1"/>
  <c r="U198" i="1"/>
  <c r="S198" i="1"/>
  <c r="R198" i="1"/>
  <c r="Q198" i="1"/>
  <c r="P198" i="1"/>
  <c r="O198" i="1"/>
  <c r="N198" i="1"/>
  <c r="AO198" i="1" s="1"/>
  <c r="AR197" i="1"/>
  <c r="AP197" i="1"/>
  <c r="AL197" i="1"/>
  <c r="AK197" i="1"/>
  <c r="AJ197" i="1"/>
  <c r="AI197" i="1"/>
  <c r="AH197" i="1"/>
  <c r="AG197" i="1"/>
  <c r="AF197" i="1"/>
  <c r="AE197" i="1"/>
  <c r="AD197" i="1"/>
  <c r="AB197" i="1"/>
  <c r="X197" i="1"/>
  <c r="W197" i="1"/>
  <c r="V197" i="1"/>
  <c r="U197" i="1"/>
  <c r="T197" i="1"/>
  <c r="S197" i="1"/>
  <c r="R197" i="1"/>
  <c r="Q197" i="1"/>
  <c r="P197" i="1"/>
  <c r="N197" i="1"/>
  <c r="AO197" i="1" s="1"/>
  <c r="AQ196" i="1"/>
  <c r="AO196" i="1"/>
  <c r="AN196" i="1"/>
  <c r="AM196" i="1"/>
  <c r="AL196" i="1"/>
  <c r="AK196" i="1"/>
  <c r="AJ196" i="1"/>
  <c r="AI196" i="1"/>
  <c r="AG196" i="1"/>
  <c r="AF196" i="1"/>
  <c r="AD196" i="1"/>
  <c r="AC196" i="1"/>
  <c r="AA196" i="1"/>
  <c r="Z196" i="1"/>
  <c r="Y196" i="1"/>
  <c r="X196" i="1"/>
  <c r="W196" i="1"/>
  <c r="U196" i="1"/>
  <c r="T196" i="1"/>
  <c r="S196" i="1"/>
  <c r="Q196" i="1"/>
  <c r="P196" i="1"/>
  <c r="O196" i="1"/>
  <c r="N196" i="1"/>
  <c r="AR195" i="1"/>
  <c r="AM195" i="1"/>
  <c r="AF195" i="1"/>
  <c r="AD195" i="1"/>
  <c r="AB195" i="1"/>
  <c r="AA195" i="1"/>
  <c r="Z195" i="1"/>
  <c r="Y195" i="1"/>
  <c r="O195" i="1"/>
  <c r="N195" i="1"/>
  <c r="AK195" i="1" s="1"/>
  <c r="AQ194" i="1"/>
  <c r="AP194" i="1"/>
  <c r="AN194" i="1"/>
  <c r="AM194" i="1"/>
  <c r="AH194" i="1"/>
  <c r="AF194" i="1"/>
  <c r="AA194" i="1"/>
  <c r="T194" i="1"/>
  <c r="R194" i="1"/>
  <c r="Q194" i="1"/>
  <c r="P194" i="1"/>
  <c r="N194" i="1"/>
  <c r="AR193" i="1"/>
  <c r="AI193" i="1"/>
  <c r="AD193" i="1"/>
  <c r="AC193" i="1"/>
  <c r="AB193" i="1"/>
  <c r="AA193" i="1"/>
  <c r="W193" i="1"/>
  <c r="U193" i="1"/>
  <c r="O193" i="1"/>
  <c r="N193" i="1"/>
  <c r="AF193" i="1" s="1"/>
  <c r="AR192" i="1"/>
  <c r="AQ192" i="1"/>
  <c r="AP192" i="1"/>
  <c r="AO192" i="1"/>
  <c r="AN192" i="1"/>
  <c r="AM192" i="1"/>
  <c r="AK192" i="1"/>
  <c r="AJ192" i="1"/>
  <c r="AI192" i="1"/>
  <c r="AH192" i="1"/>
  <c r="AG192" i="1"/>
  <c r="AF192" i="1"/>
  <c r="AE192" i="1"/>
  <c r="AD192" i="1"/>
  <c r="AC192" i="1"/>
  <c r="AB192" i="1"/>
  <c r="AA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AL192" i="1" s="1"/>
  <c r="AO191" i="1"/>
  <c r="AK191" i="1"/>
  <c r="AH191" i="1"/>
  <c r="AF191" i="1"/>
  <c r="AE191" i="1"/>
  <c r="AB191" i="1"/>
  <c r="AA191" i="1"/>
  <c r="P191" i="1"/>
  <c r="N191" i="1"/>
  <c r="AD190" i="1"/>
  <c r="N190" i="1"/>
  <c r="AR189" i="1"/>
  <c r="AQ189" i="1"/>
  <c r="AP189" i="1"/>
  <c r="AO189" i="1"/>
  <c r="AM189" i="1"/>
  <c r="AL189" i="1"/>
  <c r="AK189" i="1"/>
  <c r="AJ189" i="1"/>
  <c r="AH189" i="1"/>
  <c r="AG189" i="1"/>
  <c r="AF189" i="1"/>
  <c r="AE189" i="1"/>
  <c r="AD189" i="1"/>
  <c r="AC189" i="1"/>
  <c r="AB189" i="1"/>
  <c r="Z189" i="1"/>
  <c r="Y189" i="1"/>
  <c r="X189" i="1"/>
  <c r="V189" i="1"/>
  <c r="U189" i="1"/>
  <c r="T189" i="1"/>
  <c r="S189" i="1"/>
  <c r="R189" i="1"/>
  <c r="Q189" i="1"/>
  <c r="P189" i="1"/>
  <c r="O189" i="1"/>
  <c r="N189" i="1"/>
  <c r="AN188" i="1"/>
  <c r="AM188" i="1"/>
  <c r="AG188" i="1"/>
  <c r="AE188" i="1"/>
  <c r="AC188" i="1"/>
  <c r="Y188" i="1"/>
  <c r="W188" i="1"/>
  <c r="U188" i="1"/>
  <c r="T188" i="1"/>
  <c r="Q188" i="1"/>
  <c r="P188" i="1"/>
  <c r="N188" i="1"/>
  <c r="AH188" i="1" s="1"/>
  <c r="AQ187" i="1"/>
  <c r="AP187" i="1"/>
  <c r="AN187" i="1"/>
  <c r="AM187" i="1"/>
  <c r="AL187" i="1"/>
  <c r="AI187" i="1"/>
  <c r="AH187" i="1"/>
  <c r="AG187" i="1"/>
  <c r="AF187" i="1"/>
  <c r="AE187" i="1"/>
  <c r="AD187" i="1"/>
  <c r="AB187" i="1"/>
  <c r="Z187" i="1"/>
  <c r="X187" i="1"/>
  <c r="V187" i="1"/>
  <c r="U187" i="1"/>
  <c r="T187" i="1"/>
  <c r="S187" i="1"/>
  <c r="R187" i="1"/>
  <c r="Q187" i="1"/>
  <c r="P187" i="1"/>
  <c r="O187" i="1"/>
  <c r="N187" i="1"/>
  <c r="AP186" i="1"/>
  <c r="AN186" i="1"/>
  <c r="AM186" i="1"/>
  <c r="AL186" i="1"/>
  <c r="AK186" i="1"/>
  <c r="AJ186" i="1"/>
  <c r="AI186" i="1"/>
  <c r="AH186" i="1"/>
  <c r="AG186" i="1"/>
  <c r="AE186" i="1"/>
  <c r="AD186" i="1"/>
  <c r="AA186" i="1"/>
  <c r="Z186" i="1"/>
  <c r="Y186" i="1"/>
  <c r="X186" i="1"/>
  <c r="W186" i="1"/>
  <c r="V186" i="1"/>
  <c r="U186" i="1"/>
  <c r="S186" i="1"/>
  <c r="R186" i="1"/>
  <c r="Q186" i="1"/>
  <c r="P186" i="1"/>
  <c r="N186" i="1"/>
  <c r="N185" i="1"/>
  <c r="AQ184" i="1"/>
  <c r="AP184" i="1"/>
  <c r="AO184" i="1"/>
  <c r="AN184" i="1"/>
  <c r="AM184" i="1"/>
  <c r="AK184" i="1"/>
  <c r="AJ184" i="1"/>
  <c r="AI184" i="1"/>
  <c r="AF184" i="1"/>
  <c r="AE184" i="1"/>
  <c r="AD184" i="1"/>
  <c r="AB184" i="1"/>
  <c r="AA184" i="1"/>
  <c r="Z184" i="1"/>
  <c r="X184" i="1"/>
  <c r="W184" i="1"/>
  <c r="U184" i="1"/>
  <c r="T184" i="1"/>
  <c r="R184" i="1"/>
  <c r="Q184" i="1"/>
  <c r="P184" i="1"/>
  <c r="O184" i="1"/>
  <c r="N184" i="1"/>
  <c r="AR183" i="1"/>
  <c r="AP183" i="1"/>
  <c r="AN183" i="1"/>
  <c r="AL183" i="1"/>
  <c r="AG183" i="1"/>
  <c r="AF183" i="1"/>
  <c r="AA183" i="1"/>
  <c r="Z183" i="1"/>
  <c r="Y183" i="1"/>
  <c r="X183" i="1"/>
  <c r="W183" i="1"/>
  <c r="U183" i="1"/>
  <c r="O183" i="1"/>
  <c r="N183" i="1"/>
  <c r="AE183" i="1" s="1"/>
  <c r="AP182" i="1"/>
  <c r="AO182" i="1"/>
  <c r="AK182" i="1"/>
  <c r="AI182" i="1"/>
  <c r="AD182" i="1"/>
  <c r="AB182" i="1"/>
  <c r="AA182" i="1"/>
  <c r="Z182" i="1"/>
  <c r="U182" i="1"/>
  <c r="T182" i="1"/>
  <c r="N182" i="1"/>
  <c r="AR181" i="1"/>
  <c r="AO181" i="1"/>
  <c r="AN181" i="1"/>
  <c r="AM181" i="1"/>
  <c r="AL181" i="1"/>
  <c r="AK181" i="1"/>
  <c r="AJ181" i="1"/>
  <c r="AI181" i="1"/>
  <c r="AG181" i="1"/>
  <c r="AB181" i="1"/>
  <c r="AA181" i="1"/>
  <c r="Z181" i="1"/>
  <c r="Y181" i="1"/>
  <c r="X181" i="1"/>
  <c r="W181" i="1"/>
  <c r="V181" i="1"/>
  <c r="U181" i="1"/>
  <c r="T181" i="1"/>
  <c r="O181" i="1"/>
  <c r="N181" i="1"/>
  <c r="AR180" i="1"/>
  <c r="AQ180" i="1"/>
  <c r="AP180" i="1"/>
  <c r="AO180" i="1"/>
  <c r="AN180" i="1"/>
  <c r="AM180" i="1"/>
  <c r="AK180" i="1"/>
  <c r="AJ180" i="1"/>
  <c r="AI180" i="1"/>
  <c r="AH180" i="1"/>
  <c r="AG180" i="1"/>
  <c r="AF180" i="1"/>
  <c r="AE180" i="1"/>
  <c r="AD180" i="1"/>
  <c r="AC180" i="1"/>
  <c r="AB180" i="1"/>
  <c r="AA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AL180" i="1" s="1"/>
  <c r="AR179" i="1"/>
  <c r="AQ179" i="1"/>
  <c r="AP179" i="1"/>
  <c r="AO179" i="1"/>
  <c r="AM179" i="1"/>
  <c r="AL179" i="1"/>
  <c r="AK179" i="1"/>
  <c r="AJ179" i="1"/>
  <c r="AI179" i="1"/>
  <c r="AH179" i="1"/>
  <c r="AF179" i="1"/>
  <c r="AE179" i="1"/>
  <c r="AD179" i="1"/>
  <c r="AC179" i="1"/>
  <c r="AB179" i="1"/>
  <c r="Z179" i="1"/>
  <c r="Y179" i="1"/>
  <c r="X179" i="1"/>
  <c r="W179" i="1"/>
  <c r="V179" i="1"/>
  <c r="T179" i="1"/>
  <c r="S179" i="1"/>
  <c r="R179" i="1"/>
  <c r="Q179" i="1"/>
  <c r="P179" i="1"/>
  <c r="O179" i="1"/>
  <c r="N179" i="1"/>
  <c r="AR178" i="1"/>
  <c r="AP178" i="1"/>
  <c r="AO178" i="1"/>
  <c r="AM178" i="1"/>
  <c r="AL178" i="1"/>
  <c r="AK178" i="1"/>
  <c r="AJ178" i="1"/>
  <c r="AI178" i="1"/>
  <c r="AH178" i="1"/>
  <c r="AG178" i="1"/>
  <c r="AE178" i="1"/>
  <c r="AD178" i="1"/>
  <c r="AA178" i="1"/>
  <c r="Z178" i="1"/>
  <c r="Y178" i="1"/>
  <c r="X178" i="1"/>
  <c r="W178" i="1"/>
  <c r="V178" i="1"/>
  <c r="U178" i="1"/>
  <c r="T178" i="1"/>
  <c r="R178" i="1"/>
  <c r="Q178" i="1"/>
  <c r="O178" i="1"/>
  <c r="N178" i="1"/>
  <c r="AR177" i="1"/>
  <c r="AP177" i="1"/>
  <c r="AD177" i="1"/>
  <c r="AC177" i="1"/>
  <c r="AA177" i="1"/>
  <c r="Y177" i="1"/>
  <c r="V177" i="1"/>
  <c r="R177" i="1"/>
  <c r="N177" i="1"/>
  <c r="AJ177" i="1" s="1"/>
  <c r="AQ176" i="1"/>
  <c r="AM176" i="1"/>
  <c r="AL176" i="1"/>
  <c r="AK176" i="1"/>
  <c r="AJ176" i="1"/>
  <c r="AF176" i="1"/>
  <c r="AE176" i="1"/>
  <c r="Z176" i="1"/>
  <c r="X176" i="1"/>
  <c r="W176" i="1"/>
  <c r="V176" i="1"/>
  <c r="U176" i="1"/>
  <c r="S176" i="1"/>
  <c r="Q176" i="1"/>
  <c r="N176" i="1"/>
  <c r="AC176" i="1" s="1"/>
  <c r="AL175" i="1"/>
  <c r="AI175" i="1"/>
  <c r="AH175" i="1"/>
  <c r="AF175" i="1"/>
  <c r="AE175" i="1"/>
  <c r="AD175" i="1"/>
  <c r="W175" i="1"/>
  <c r="R175" i="1"/>
  <c r="Q175" i="1"/>
  <c r="P175" i="1"/>
  <c r="O175" i="1"/>
  <c r="N175" i="1"/>
  <c r="AI174" i="1"/>
  <c r="AE174" i="1"/>
  <c r="AD174" i="1"/>
  <c r="AC174" i="1"/>
  <c r="AA174" i="1"/>
  <c r="W174" i="1"/>
  <c r="N174" i="1"/>
  <c r="AP174" i="1" s="1"/>
  <c r="AP173" i="1"/>
  <c r="AL173" i="1"/>
  <c r="AK173" i="1"/>
  <c r="AJ173" i="1"/>
  <c r="AI173" i="1"/>
  <c r="AF173" i="1"/>
  <c r="AE173" i="1"/>
  <c r="Y173" i="1"/>
  <c r="W173" i="1"/>
  <c r="V173" i="1"/>
  <c r="U173" i="1"/>
  <c r="T173" i="1"/>
  <c r="S173" i="1"/>
  <c r="R173" i="1"/>
  <c r="N173" i="1"/>
  <c r="AC173" i="1" s="1"/>
  <c r="AO172" i="1"/>
  <c r="AK172" i="1"/>
  <c r="AJ172" i="1"/>
  <c r="AG172" i="1"/>
  <c r="AF172" i="1"/>
  <c r="AE172" i="1"/>
  <c r="AD172" i="1"/>
  <c r="W172" i="1"/>
  <c r="R172" i="1"/>
  <c r="Q172" i="1"/>
  <c r="N172" i="1"/>
  <c r="AR171" i="1"/>
  <c r="AP171" i="1"/>
  <c r="AJ171" i="1"/>
  <c r="AI171" i="1"/>
  <c r="AE171" i="1"/>
  <c r="AD171" i="1"/>
  <c r="AB171" i="1"/>
  <c r="Y171" i="1"/>
  <c r="W171" i="1"/>
  <c r="V171" i="1"/>
  <c r="S171" i="1"/>
  <c r="P171" i="1"/>
  <c r="N171" i="1"/>
  <c r="AQ170" i="1"/>
  <c r="AO170" i="1"/>
  <c r="AM170" i="1"/>
  <c r="AL170" i="1"/>
  <c r="AK170" i="1"/>
  <c r="AI170" i="1"/>
  <c r="AD170" i="1"/>
  <c r="AC170" i="1"/>
  <c r="Z170" i="1"/>
  <c r="W170" i="1"/>
  <c r="V170" i="1"/>
  <c r="U170" i="1"/>
  <c r="S170" i="1"/>
  <c r="Q170" i="1"/>
  <c r="P170" i="1"/>
  <c r="N170" i="1"/>
  <c r="AB170" i="1" s="1"/>
  <c r="AR169" i="1"/>
  <c r="AH169" i="1"/>
  <c r="AG169" i="1"/>
  <c r="AC169" i="1"/>
  <c r="X169" i="1"/>
  <c r="U169" i="1"/>
  <c r="Q169" i="1"/>
  <c r="P169" i="1"/>
  <c r="O169" i="1"/>
  <c r="N169" i="1"/>
  <c r="AI169" i="1" s="1"/>
  <c r="AR168" i="1"/>
  <c r="AQ168" i="1"/>
  <c r="AP168" i="1"/>
  <c r="AO168" i="1"/>
  <c r="AN168" i="1"/>
  <c r="AM168" i="1"/>
  <c r="AK168" i="1"/>
  <c r="AJ168" i="1"/>
  <c r="AI168" i="1"/>
  <c r="AH168" i="1"/>
  <c r="AG168" i="1"/>
  <c r="AF168" i="1"/>
  <c r="AE168" i="1"/>
  <c r="AD168" i="1"/>
  <c r="AC168" i="1"/>
  <c r="AB168" i="1"/>
  <c r="AA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AL168" i="1" s="1"/>
  <c r="AR167" i="1"/>
  <c r="AQ167" i="1"/>
  <c r="AP167" i="1"/>
  <c r="AO167" i="1"/>
  <c r="AN167" i="1"/>
  <c r="AM167" i="1"/>
  <c r="AL167" i="1"/>
  <c r="AK167" i="1"/>
  <c r="AI167" i="1"/>
  <c r="AC167" i="1"/>
  <c r="AB167" i="1"/>
  <c r="AA167" i="1"/>
  <c r="Z167" i="1"/>
  <c r="Y167" i="1"/>
  <c r="X167" i="1"/>
  <c r="W167" i="1"/>
  <c r="V167" i="1"/>
  <c r="S167" i="1"/>
  <c r="P167" i="1"/>
  <c r="O167" i="1"/>
  <c r="N167" i="1"/>
  <c r="AQ166" i="1"/>
  <c r="AI166" i="1"/>
  <c r="AG166" i="1"/>
  <c r="AF166" i="1"/>
  <c r="AE166" i="1"/>
  <c r="AD166" i="1"/>
  <c r="Z166" i="1"/>
  <c r="Y166" i="1"/>
  <c r="S166" i="1"/>
  <c r="R166" i="1"/>
  <c r="Q166" i="1"/>
  <c r="N166" i="1"/>
  <c r="U165" i="1"/>
  <c r="P165" i="1"/>
  <c r="N165" i="1"/>
  <c r="AR164" i="1"/>
  <c r="AQ164" i="1"/>
  <c r="AN164" i="1"/>
  <c r="S164" i="1"/>
  <c r="N164" i="1"/>
  <c r="AQ163" i="1"/>
  <c r="AO163" i="1"/>
  <c r="AN163" i="1"/>
  <c r="AM163" i="1"/>
  <c r="AJ163" i="1"/>
  <c r="AI163" i="1"/>
  <c r="AH163" i="1"/>
  <c r="AG163" i="1"/>
  <c r="AF163" i="1"/>
  <c r="AE163" i="1"/>
  <c r="AC163" i="1"/>
  <c r="AA163" i="1"/>
  <c r="Z163" i="1"/>
  <c r="W163" i="1"/>
  <c r="V163" i="1"/>
  <c r="U163" i="1"/>
  <c r="T163" i="1"/>
  <c r="S163" i="1"/>
  <c r="R163" i="1"/>
  <c r="Q163" i="1"/>
  <c r="O163" i="1"/>
  <c r="N163" i="1"/>
  <c r="AQ162" i="1"/>
  <c r="AO162" i="1"/>
  <c r="AN162" i="1"/>
  <c r="AM162" i="1"/>
  <c r="AL162" i="1"/>
  <c r="AK162" i="1"/>
  <c r="AJ162" i="1"/>
  <c r="AE162" i="1"/>
  <c r="AB162" i="1"/>
  <c r="AA162" i="1"/>
  <c r="Z162" i="1"/>
  <c r="Y162" i="1"/>
  <c r="X162" i="1"/>
  <c r="W162" i="1"/>
  <c r="V162" i="1"/>
  <c r="U162" i="1"/>
  <c r="S162" i="1"/>
  <c r="N162" i="1"/>
  <c r="AR161" i="1"/>
  <c r="AQ161" i="1"/>
  <c r="AG161" i="1"/>
  <c r="Z161" i="1"/>
  <c r="V161" i="1"/>
  <c r="P161" i="1"/>
  <c r="N161" i="1"/>
  <c r="AJ160" i="1"/>
  <c r="AF160" i="1"/>
  <c r="AE160" i="1"/>
  <c r="AD160" i="1"/>
  <c r="X160" i="1"/>
  <c r="S160" i="1"/>
  <c r="R160" i="1"/>
  <c r="Q160" i="1"/>
  <c r="N160" i="1"/>
  <c r="AG160" i="1" s="1"/>
  <c r="AF159" i="1"/>
  <c r="AA159" i="1"/>
  <c r="N159" i="1"/>
  <c r="AM158" i="1"/>
  <c r="AH158" i="1"/>
  <c r="AG158" i="1"/>
  <c r="AE158" i="1"/>
  <c r="AD158" i="1"/>
  <c r="AC158" i="1"/>
  <c r="AA158" i="1"/>
  <c r="R158" i="1"/>
  <c r="P158" i="1"/>
  <c r="N158" i="1"/>
  <c r="AO157" i="1"/>
  <c r="AN157" i="1"/>
  <c r="AM157" i="1"/>
  <c r="AL157" i="1"/>
  <c r="X157" i="1"/>
  <c r="P157" i="1"/>
  <c r="N157" i="1"/>
  <c r="AR156" i="1"/>
  <c r="AQ156" i="1"/>
  <c r="AN156" i="1"/>
  <c r="AM156" i="1"/>
  <c r="AC156" i="1"/>
  <c r="Z156" i="1"/>
  <c r="W156" i="1"/>
  <c r="N156" i="1"/>
  <c r="AQ155" i="1"/>
  <c r="AO155" i="1"/>
  <c r="AM155" i="1"/>
  <c r="AL155" i="1"/>
  <c r="AK155" i="1"/>
  <c r="AJ155" i="1"/>
  <c r="AI155" i="1"/>
  <c r="AH155" i="1"/>
  <c r="AG155" i="1"/>
  <c r="AE155" i="1"/>
  <c r="AD155" i="1"/>
  <c r="AB155" i="1"/>
  <c r="Z155" i="1"/>
  <c r="Y155" i="1"/>
  <c r="X155" i="1"/>
  <c r="W155" i="1"/>
  <c r="V155" i="1"/>
  <c r="U155" i="1"/>
  <c r="S155" i="1"/>
  <c r="R155" i="1"/>
  <c r="Q155" i="1"/>
  <c r="O155" i="1"/>
  <c r="N155" i="1"/>
  <c r="AR154" i="1"/>
  <c r="AQ154" i="1"/>
  <c r="AP154" i="1"/>
  <c r="AN154" i="1"/>
  <c r="AL154" i="1"/>
  <c r="AI154" i="1"/>
  <c r="AG154" i="1"/>
  <c r="AB154" i="1"/>
  <c r="Z154" i="1"/>
  <c r="Y154" i="1"/>
  <c r="X154" i="1"/>
  <c r="W154" i="1"/>
  <c r="R154" i="1"/>
  <c r="Q154" i="1"/>
  <c r="N154" i="1"/>
  <c r="AR153" i="1"/>
  <c r="AQ153" i="1"/>
  <c r="AL153" i="1"/>
  <c r="AG153" i="1"/>
  <c r="AF153" i="1"/>
  <c r="AD153" i="1"/>
  <c r="AC153" i="1"/>
  <c r="AB153" i="1"/>
  <c r="AA153" i="1"/>
  <c r="Q153" i="1"/>
  <c r="O153" i="1"/>
  <c r="N153" i="1"/>
  <c r="AQ152" i="1"/>
  <c r="AN152" i="1"/>
  <c r="AM152" i="1"/>
  <c r="AL152" i="1"/>
  <c r="AK152" i="1"/>
  <c r="AH152" i="1"/>
  <c r="AG152" i="1"/>
  <c r="AD152" i="1"/>
  <c r="AA152" i="1"/>
  <c r="Z152" i="1"/>
  <c r="Y152" i="1"/>
  <c r="X152" i="1"/>
  <c r="W152" i="1"/>
  <c r="V152" i="1"/>
  <c r="S152" i="1"/>
  <c r="P152" i="1"/>
  <c r="N152" i="1"/>
  <c r="AR151" i="1"/>
  <c r="AQ151" i="1"/>
  <c r="AL151" i="1"/>
  <c r="AF151" i="1"/>
  <c r="AE151" i="1"/>
  <c r="AC151" i="1"/>
  <c r="AB151" i="1"/>
  <c r="AA151" i="1"/>
  <c r="Z151" i="1"/>
  <c r="Y151" i="1"/>
  <c r="Q151" i="1"/>
  <c r="P151" i="1"/>
  <c r="N151" i="1"/>
  <c r="AM151" i="1" s="1"/>
  <c r="AR150" i="1"/>
  <c r="AP150" i="1"/>
  <c r="AO150" i="1"/>
  <c r="AM150" i="1"/>
  <c r="AL150" i="1"/>
  <c r="AK150" i="1"/>
  <c r="AJ150" i="1"/>
  <c r="AI150" i="1"/>
  <c r="AH150" i="1"/>
  <c r="AG150" i="1"/>
  <c r="AF150" i="1"/>
  <c r="AD150" i="1"/>
  <c r="AC150" i="1"/>
  <c r="AB150" i="1"/>
  <c r="Z150" i="1"/>
  <c r="Y150" i="1"/>
  <c r="X150" i="1"/>
  <c r="W150" i="1"/>
  <c r="V150" i="1"/>
  <c r="U150" i="1"/>
  <c r="T150" i="1"/>
  <c r="R150" i="1"/>
  <c r="Q150" i="1"/>
  <c r="P150" i="1"/>
  <c r="O150" i="1"/>
  <c r="N150" i="1"/>
  <c r="AR149" i="1"/>
  <c r="AQ149" i="1"/>
  <c r="AP149" i="1"/>
  <c r="AO149" i="1"/>
  <c r="AN149" i="1"/>
  <c r="AM149" i="1"/>
  <c r="AK149" i="1"/>
  <c r="AJ149" i="1"/>
  <c r="AI149" i="1"/>
  <c r="AH149" i="1"/>
  <c r="AG149" i="1"/>
  <c r="AF149" i="1"/>
  <c r="AE149" i="1"/>
  <c r="AD149" i="1"/>
  <c r="AC149" i="1"/>
  <c r="AB149" i="1"/>
  <c r="AA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AL149" i="1" s="1"/>
  <c r="AN148" i="1"/>
  <c r="AM148" i="1"/>
  <c r="AK148" i="1"/>
  <c r="AJ148" i="1"/>
  <c r="AC148" i="1"/>
  <c r="V148" i="1"/>
  <c r="R148" i="1"/>
  <c r="O148" i="1"/>
  <c r="N148" i="1"/>
  <c r="AP147" i="1"/>
  <c r="AO147" i="1"/>
  <c r="AM147" i="1"/>
  <c r="AL147" i="1"/>
  <c r="AK147" i="1"/>
  <c r="AJ147" i="1"/>
  <c r="AI147" i="1"/>
  <c r="AF147" i="1"/>
  <c r="AE147" i="1"/>
  <c r="AA147" i="1"/>
  <c r="Z147" i="1"/>
  <c r="Y147" i="1"/>
  <c r="X147" i="1"/>
  <c r="W147" i="1"/>
  <c r="V147" i="1"/>
  <c r="U147" i="1"/>
  <c r="R147" i="1"/>
  <c r="O147" i="1"/>
  <c r="N147" i="1"/>
  <c r="AR146" i="1"/>
  <c r="AQ146" i="1"/>
  <c r="AP146" i="1"/>
  <c r="AO146" i="1"/>
  <c r="AN146" i="1"/>
  <c r="AM146" i="1"/>
  <c r="AG146" i="1"/>
  <c r="AF146" i="1"/>
  <c r="AB146" i="1"/>
  <c r="AA146" i="1"/>
  <c r="Z146" i="1"/>
  <c r="Y146" i="1"/>
  <c r="X146" i="1"/>
  <c r="S146" i="1"/>
  <c r="R146" i="1"/>
  <c r="P146" i="1"/>
  <c r="O146" i="1"/>
  <c r="N146" i="1"/>
  <c r="AN145" i="1"/>
  <c r="AG145" i="1"/>
  <c r="AF145" i="1"/>
  <c r="AE145" i="1"/>
  <c r="AC145" i="1"/>
  <c r="AB145" i="1"/>
  <c r="AA145" i="1"/>
  <c r="P145" i="1"/>
  <c r="N145" i="1"/>
  <c r="AQ144" i="1"/>
  <c r="AM144" i="1"/>
  <c r="AL144" i="1"/>
  <c r="AG144" i="1"/>
  <c r="AF144" i="1"/>
  <c r="X144" i="1"/>
  <c r="T144" i="1"/>
  <c r="S144" i="1"/>
  <c r="N144" i="1"/>
  <c r="AP144" i="1" s="1"/>
  <c r="AO143" i="1"/>
  <c r="AN143" i="1"/>
  <c r="AM143" i="1"/>
  <c r="AL143" i="1"/>
  <c r="AK143" i="1"/>
  <c r="AI143" i="1"/>
  <c r="AH143" i="1"/>
  <c r="AG143" i="1"/>
  <c r="AE143" i="1"/>
  <c r="AD143" i="1"/>
  <c r="AA143" i="1"/>
  <c r="Z143" i="1"/>
  <c r="Y143" i="1"/>
  <c r="X143" i="1"/>
  <c r="V143" i="1"/>
  <c r="U143" i="1"/>
  <c r="S143" i="1"/>
  <c r="R143" i="1"/>
  <c r="Q143" i="1"/>
  <c r="P143" i="1"/>
  <c r="N143" i="1"/>
  <c r="AR142" i="1"/>
  <c r="AQ142" i="1"/>
  <c r="AP142" i="1"/>
  <c r="AN142" i="1"/>
  <c r="AL142" i="1"/>
  <c r="AK142" i="1"/>
  <c r="AJ142" i="1"/>
  <c r="AI142" i="1"/>
  <c r="AH142" i="1"/>
  <c r="AG142" i="1"/>
  <c r="AF142" i="1"/>
  <c r="AE142" i="1"/>
  <c r="AD142" i="1"/>
  <c r="AC142" i="1"/>
  <c r="Z142" i="1"/>
  <c r="Y142" i="1"/>
  <c r="X142" i="1"/>
  <c r="W142" i="1"/>
  <c r="V142" i="1"/>
  <c r="U142" i="1"/>
  <c r="T142" i="1"/>
  <c r="S142" i="1"/>
  <c r="R142" i="1"/>
  <c r="Q142" i="1"/>
  <c r="P142" i="1"/>
  <c r="N142" i="1"/>
  <c r="AQ141" i="1"/>
  <c r="AP141" i="1"/>
  <c r="AO141" i="1"/>
  <c r="AK141" i="1"/>
  <c r="AE141" i="1"/>
  <c r="AA141" i="1"/>
  <c r="Z141" i="1"/>
  <c r="Y141" i="1"/>
  <c r="X141" i="1"/>
  <c r="W141" i="1"/>
  <c r="R141" i="1"/>
  <c r="N141" i="1"/>
  <c r="AG141" i="1" s="1"/>
  <c r="AH140" i="1"/>
  <c r="AB140" i="1"/>
  <c r="N140" i="1"/>
  <c r="AQ139" i="1"/>
  <c r="AB139" i="1"/>
  <c r="S139" i="1"/>
  <c r="R139" i="1"/>
  <c r="N139" i="1"/>
  <c r="AR138" i="1"/>
  <c r="AO138" i="1"/>
  <c r="AN138" i="1"/>
  <c r="AM138" i="1"/>
  <c r="AL138" i="1"/>
  <c r="AK138" i="1"/>
  <c r="AJ138" i="1"/>
  <c r="AI138" i="1"/>
  <c r="AG138" i="1"/>
  <c r="AF138" i="1"/>
  <c r="AD138" i="1"/>
  <c r="AC138" i="1"/>
  <c r="AA138" i="1"/>
  <c r="Z138" i="1"/>
  <c r="Y138" i="1"/>
  <c r="X138" i="1"/>
  <c r="W138" i="1"/>
  <c r="V138" i="1"/>
  <c r="T138" i="1"/>
  <c r="R138" i="1"/>
  <c r="Q138" i="1"/>
  <c r="P138" i="1"/>
  <c r="O138" i="1"/>
  <c r="N138" i="1"/>
  <c r="AR137" i="1"/>
  <c r="AQ137" i="1"/>
  <c r="AP137" i="1"/>
  <c r="AO137" i="1"/>
  <c r="AN137" i="1"/>
  <c r="AM137" i="1"/>
  <c r="AK137" i="1"/>
  <c r="AJ137" i="1"/>
  <c r="AI137" i="1"/>
  <c r="AH137" i="1"/>
  <c r="AG137" i="1"/>
  <c r="AF137" i="1"/>
  <c r="AE137" i="1"/>
  <c r="AD137" i="1"/>
  <c r="AC137" i="1"/>
  <c r="AB137" i="1"/>
  <c r="AA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AL137" i="1" s="1"/>
  <c r="AO136" i="1"/>
  <c r="AN136" i="1"/>
  <c r="AL136" i="1"/>
  <c r="AI136" i="1"/>
  <c r="AH136" i="1"/>
  <c r="AD136" i="1"/>
  <c r="Z136" i="1"/>
  <c r="T136" i="1"/>
  <c r="P136" i="1"/>
  <c r="O136" i="1"/>
  <c r="N136" i="1"/>
  <c r="AR135" i="1"/>
  <c r="AQ135" i="1"/>
  <c r="AP135" i="1"/>
  <c r="AO135" i="1"/>
  <c r="AK135" i="1"/>
  <c r="AI135" i="1"/>
  <c r="AF135" i="1"/>
  <c r="AD135" i="1"/>
  <c r="AC135" i="1"/>
  <c r="AA135" i="1"/>
  <c r="Z135" i="1"/>
  <c r="V135" i="1"/>
  <c r="U135" i="1"/>
  <c r="S135" i="1"/>
  <c r="R135" i="1"/>
  <c r="Q135" i="1"/>
  <c r="O135" i="1"/>
  <c r="N135" i="1"/>
  <c r="AQ134" i="1"/>
  <c r="AM134" i="1"/>
  <c r="AL134" i="1"/>
  <c r="AJ134" i="1"/>
  <c r="AH134" i="1"/>
  <c r="T134" i="1"/>
  <c r="P134" i="1"/>
  <c r="N134" i="1"/>
  <c r="AO133" i="1"/>
  <c r="AN133" i="1"/>
  <c r="AM133" i="1"/>
  <c r="AL133" i="1"/>
  <c r="AK133" i="1"/>
  <c r="AJ133" i="1"/>
  <c r="AI133" i="1"/>
  <c r="AH133" i="1"/>
  <c r="AF133" i="1"/>
  <c r="AE133" i="1"/>
  <c r="AA133" i="1"/>
  <c r="Z133" i="1"/>
  <c r="Y133" i="1"/>
  <c r="X133" i="1"/>
  <c r="W133" i="1"/>
  <c r="V133" i="1"/>
  <c r="U133" i="1"/>
  <c r="S133" i="1"/>
  <c r="Q133" i="1"/>
  <c r="P133" i="1"/>
  <c r="N133" i="1"/>
  <c r="AR132" i="1"/>
  <c r="AQ132" i="1"/>
  <c r="AP132" i="1"/>
  <c r="AO132" i="1"/>
  <c r="AN132" i="1"/>
  <c r="AM132" i="1"/>
  <c r="AJ132" i="1"/>
  <c r="AH132" i="1"/>
  <c r="AD132" i="1"/>
  <c r="AC132" i="1"/>
  <c r="AB132" i="1"/>
  <c r="AA132" i="1"/>
  <c r="Z132" i="1"/>
  <c r="W132" i="1"/>
  <c r="V132" i="1"/>
  <c r="U132" i="1"/>
  <c r="T132" i="1"/>
  <c r="P132" i="1"/>
  <c r="O132" i="1"/>
  <c r="N132" i="1"/>
  <c r="AQ131" i="1"/>
  <c r="AO131" i="1"/>
  <c r="AN131" i="1"/>
  <c r="AM131" i="1"/>
  <c r="AL131" i="1"/>
  <c r="AK131" i="1"/>
  <c r="AJ131" i="1"/>
  <c r="AG131" i="1"/>
  <c r="AD131" i="1"/>
  <c r="AB131" i="1"/>
  <c r="AA131" i="1"/>
  <c r="Z131" i="1"/>
  <c r="Y131" i="1"/>
  <c r="X131" i="1"/>
  <c r="W131" i="1"/>
  <c r="V131" i="1"/>
  <c r="R131" i="1"/>
  <c r="Q131" i="1"/>
  <c r="O131" i="1"/>
  <c r="N131" i="1"/>
  <c r="AP130" i="1"/>
  <c r="AN130" i="1"/>
  <c r="AF130" i="1"/>
  <c r="X130" i="1"/>
  <c r="S130" i="1"/>
  <c r="R130" i="1"/>
  <c r="Q130" i="1"/>
  <c r="P130" i="1"/>
  <c r="N130" i="1"/>
  <c r="AP129" i="1"/>
  <c r="AI129" i="1"/>
  <c r="AF129" i="1"/>
  <c r="AE129" i="1"/>
  <c r="AD129" i="1"/>
  <c r="AC129" i="1"/>
  <c r="AB129" i="1"/>
  <c r="W129" i="1"/>
  <c r="U129" i="1"/>
  <c r="Q129" i="1"/>
  <c r="O129" i="1"/>
  <c r="N129" i="1"/>
  <c r="AQ128" i="1"/>
  <c r="AM128" i="1"/>
  <c r="AK128" i="1"/>
  <c r="AJ128" i="1"/>
  <c r="AI128" i="1"/>
  <c r="AH128" i="1"/>
  <c r="AF128" i="1"/>
  <c r="AD128" i="1"/>
  <c r="Y128" i="1"/>
  <c r="X128" i="1"/>
  <c r="W128" i="1"/>
  <c r="U128" i="1"/>
  <c r="T128" i="1"/>
  <c r="S128" i="1"/>
  <c r="P128" i="1"/>
  <c r="O128" i="1"/>
  <c r="N128" i="1"/>
  <c r="AB128" i="1" s="1"/>
  <c r="AO127" i="1"/>
  <c r="AL127" i="1"/>
  <c r="AH127" i="1"/>
  <c r="N127" i="1"/>
  <c r="AM127" i="1" s="1"/>
  <c r="AR126" i="1"/>
  <c r="AP126" i="1"/>
  <c r="AO126" i="1"/>
  <c r="AM126" i="1"/>
  <c r="AL126" i="1"/>
  <c r="AK126" i="1"/>
  <c r="AJ126" i="1"/>
  <c r="AI126" i="1"/>
  <c r="AH126" i="1"/>
  <c r="AG126" i="1"/>
  <c r="AF126" i="1"/>
  <c r="AD126" i="1"/>
  <c r="AC126" i="1"/>
  <c r="AB126" i="1"/>
  <c r="Z126" i="1"/>
  <c r="Y126" i="1"/>
  <c r="X126" i="1"/>
  <c r="W126" i="1"/>
  <c r="V126" i="1"/>
  <c r="U126" i="1"/>
  <c r="T126" i="1"/>
  <c r="R126" i="1"/>
  <c r="Q126" i="1"/>
  <c r="P126" i="1"/>
  <c r="O126" i="1"/>
  <c r="N126" i="1"/>
  <c r="AR125" i="1"/>
  <c r="AQ125" i="1"/>
  <c r="AP125" i="1"/>
  <c r="AO125" i="1"/>
  <c r="AN125" i="1"/>
  <c r="AM125" i="1"/>
  <c r="AK125" i="1"/>
  <c r="AJ125" i="1"/>
  <c r="AI125" i="1"/>
  <c r="AH125" i="1"/>
  <c r="AG125" i="1"/>
  <c r="AF125" i="1"/>
  <c r="AE125" i="1"/>
  <c r="AD125" i="1"/>
  <c r="AC125" i="1"/>
  <c r="AB125" i="1"/>
  <c r="AA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AL125" i="1" s="1"/>
  <c r="AR124" i="1"/>
  <c r="AQ124" i="1"/>
  <c r="AO124" i="1"/>
  <c r="AN124" i="1"/>
  <c r="AM124" i="1"/>
  <c r="AK124" i="1"/>
  <c r="AJ124" i="1"/>
  <c r="AI124" i="1"/>
  <c r="AH124" i="1"/>
  <c r="AF124" i="1"/>
  <c r="AE124" i="1"/>
  <c r="AD124" i="1"/>
  <c r="AC124" i="1"/>
  <c r="AA124" i="1"/>
  <c r="Z124" i="1"/>
  <c r="X124" i="1"/>
  <c r="W124" i="1"/>
  <c r="V124" i="1"/>
  <c r="T124" i="1"/>
  <c r="S124" i="1"/>
  <c r="R124" i="1"/>
  <c r="Q124" i="1"/>
  <c r="P124" i="1"/>
  <c r="O124" i="1"/>
  <c r="N124" i="1"/>
  <c r="AK123" i="1"/>
  <c r="AI123" i="1"/>
  <c r="AH123" i="1"/>
  <c r="AG123" i="1"/>
  <c r="AA123" i="1"/>
  <c r="W123" i="1"/>
  <c r="T123" i="1"/>
  <c r="S123" i="1"/>
  <c r="N123" i="1"/>
  <c r="AL123" i="1" s="1"/>
  <c r="AQ122" i="1"/>
  <c r="AO122" i="1"/>
  <c r="AL122" i="1"/>
  <c r="AK122" i="1"/>
  <c r="AJ122" i="1"/>
  <c r="AE122" i="1"/>
  <c r="AD122" i="1"/>
  <c r="AC122" i="1"/>
  <c r="Z122" i="1"/>
  <c r="Y122" i="1"/>
  <c r="V122" i="1"/>
  <c r="T122" i="1"/>
  <c r="Q122" i="1"/>
  <c r="P122" i="1"/>
  <c r="O122" i="1"/>
  <c r="N122" i="1"/>
  <c r="AN121" i="1"/>
  <c r="AJ121" i="1"/>
  <c r="AG121" i="1"/>
  <c r="AF121" i="1"/>
  <c r="N121" i="1"/>
  <c r="AQ120" i="1"/>
  <c r="AN120" i="1"/>
  <c r="AJ120" i="1"/>
  <c r="AI120" i="1"/>
  <c r="AF120" i="1"/>
  <c r="AD120" i="1"/>
  <c r="AC120" i="1"/>
  <c r="AB120" i="1"/>
  <c r="Z120" i="1"/>
  <c r="X120" i="1"/>
  <c r="V120" i="1"/>
  <c r="S120" i="1"/>
  <c r="P120" i="1"/>
  <c r="O120" i="1"/>
  <c r="N120" i="1"/>
  <c r="AR119" i="1"/>
  <c r="AP119" i="1"/>
  <c r="AN119" i="1"/>
  <c r="AM119" i="1"/>
  <c r="AL119" i="1"/>
  <c r="AJ119" i="1"/>
  <c r="AI119" i="1"/>
  <c r="AH119" i="1"/>
  <c r="AG119" i="1"/>
  <c r="AF119" i="1"/>
  <c r="AE119" i="1"/>
  <c r="AD119" i="1"/>
  <c r="AA119" i="1"/>
  <c r="Z119" i="1"/>
  <c r="X119" i="1"/>
  <c r="W119" i="1"/>
  <c r="V119" i="1"/>
  <c r="U119" i="1"/>
  <c r="T119" i="1"/>
  <c r="S119" i="1"/>
  <c r="R119" i="1"/>
  <c r="Q119" i="1"/>
  <c r="P119" i="1"/>
  <c r="N119" i="1"/>
  <c r="AP118" i="1"/>
  <c r="AO118" i="1"/>
  <c r="AN118" i="1"/>
  <c r="AM118" i="1"/>
  <c r="AL118" i="1"/>
  <c r="AK118" i="1"/>
  <c r="AH118" i="1"/>
  <c r="AC118" i="1"/>
  <c r="Z118" i="1"/>
  <c r="Y118" i="1"/>
  <c r="X118" i="1"/>
  <c r="W118" i="1"/>
  <c r="V118" i="1"/>
  <c r="U118" i="1"/>
  <c r="O118" i="1"/>
  <c r="N118" i="1"/>
  <c r="AB118" i="1" s="1"/>
  <c r="AR117" i="1"/>
  <c r="AQ117" i="1"/>
  <c r="AP117" i="1"/>
  <c r="AO117" i="1"/>
  <c r="AN117" i="1"/>
  <c r="AL117" i="1"/>
  <c r="AJ117" i="1"/>
  <c r="AI117" i="1"/>
  <c r="AF117" i="1"/>
  <c r="AD117" i="1"/>
  <c r="AC117" i="1"/>
  <c r="AB117" i="1"/>
  <c r="Z117" i="1"/>
  <c r="Y117" i="1"/>
  <c r="W117" i="1"/>
  <c r="V117" i="1"/>
  <c r="U117" i="1"/>
  <c r="T117" i="1"/>
  <c r="Q117" i="1"/>
  <c r="P117" i="1"/>
  <c r="N117" i="1"/>
  <c r="AR116" i="1"/>
  <c r="AE116" i="1"/>
  <c r="AD116" i="1"/>
  <c r="AA116" i="1"/>
  <c r="Y116" i="1"/>
  <c r="T116" i="1"/>
  <c r="S116" i="1"/>
  <c r="Q116" i="1"/>
  <c r="N116" i="1"/>
  <c r="AK116" i="1" s="1"/>
  <c r="AI115" i="1"/>
  <c r="AF115" i="1"/>
  <c r="AE115" i="1"/>
  <c r="AD115" i="1"/>
  <c r="AB115" i="1"/>
  <c r="AA115" i="1"/>
  <c r="Y115" i="1"/>
  <c r="V115" i="1"/>
  <c r="P115" i="1"/>
  <c r="N115" i="1"/>
  <c r="AM115" i="1" s="1"/>
  <c r="AP114" i="1"/>
  <c r="AL114" i="1"/>
  <c r="AI114" i="1"/>
  <c r="AE114" i="1"/>
  <c r="AD114" i="1"/>
  <c r="AC114" i="1"/>
  <c r="N114" i="1"/>
  <c r="AO113" i="1"/>
  <c r="AN113" i="1"/>
  <c r="AM113" i="1"/>
  <c r="AL113" i="1"/>
  <c r="AK113" i="1"/>
  <c r="AJ113" i="1"/>
  <c r="AI113" i="1"/>
  <c r="AH113" i="1"/>
  <c r="AG113" i="1"/>
  <c r="AF113" i="1"/>
  <c r="AC113" i="1"/>
  <c r="AA113" i="1"/>
  <c r="Z113" i="1"/>
  <c r="Y113" i="1"/>
  <c r="X113" i="1"/>
  <c r="W113" i="1"/>
  <c r="V113" i="1"/>
  <c r="U113" i="1"/>
  <c r="T113" i="1"/>
  <c r="R113" i="1"/>
  <c r="P113" i="1"/>
  <c r="O113" i="1"/>
  <c r="N113" i="1"/>
  <c r="AR112" i="1"/>
  <c r="AQ112" i="1"/>
  <c r="AP112" i="1"/>
  <c r="AO112" i="1"/>
  <c r="AN112" i="1"/>
  <c r="AM112" i="1"/>
  <c r="AK112" i="1"/>
  <c r="AJ112" i="1"/>
  <c r="AI112" i="1"/>
  <c r="AH112" i="1"/>
  <c r="AG112" i="1"/>
  <c r="AF112" i="1"/>
  <c r="AE112" i="1"/>
  <c r="AD112" i="1"/>
  <c r="AC112" i="1"/>
  <c r="AB112" i="1"/>
  <c r="AA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AL112" i="1" s="1"/>
  <c r="AQ111" i="1"/>
  <c r="AI111" i="1"/>
  <c r="AD111" i="1"/>
  <c r="AC111" i="1"/>
  <c r="Z111" i="1"/>
  <c r="V111" i="1"/>
  <c r="R111" i="1"/>
  <c r="Q111" i="1"/>
  <c r="P111" i="1"/>
  <c r="N111" i="1"/>
  <c r="AH111" i="1" s="1"/>
  <c r="AR110" i="1"/>
  <c r="AL110" i="1"/>
  <c r="AJ110" i="1"/>
  <c r="AF110" i="1"/>
  <c r="AE110" i="1"/>
  <c r="AD110" i="1"/>
  <c r="AC110" i="1"/>
  <c r="AA110" i="1"/>
  <c r="Z110" i="1"/>
  <c r="V110" i="1"/>
  <c r="S110" i="1"/>
  <c r="O110" i="1"/>
  <c r="N110" i="1"/>
  <c r="AR109" i="1"/>
  <c r="AQ109" i="1"/>
  <c r="AO109" i="1"/>
  <c r="AN109" i="1"/>
  <c r="AM109" i="1"/>
  <c r="AK109" i="1"/>
  <c r="AJ109" i="1"/>
  <c r="AH109" i="1"/>
  <c r="AG109" i="1"/>
  <c r="AF109" i="1"/>
  <c r="AE109" i="1"/>
  <c r="AD109" i="1"/>
  <c r="AC109" i="1"/>
  <c r="AA109" i="1"/>
  <c r="Z109" i="1"/>
  <c r="X109" i="1"/>
  <c r="V109" i="1"/>
  <c r="U109" i="1"/>
  <c r="T109" i="1"/>
  <c r="S109" i="1"/>
  <c r="R109" i="1"/>
  <c r="Q109" i="1"/>
  <c r="P109" i="1"/>
  <c r="O109" i="1"/>
  <c r="N109" i="1"/>
  <c r="AR108" i="1"/>
  <c r="AO108" i="1"/>
  <c r="AM108" i="1"/>
  <c r="AK108" i="1"/>
  <c r="AJ108" i="1"/>
  <c r="AI108" i="1"/>
  <c r="AF108" i="1"/>
  <c r="AB108" i="1"/>
  <c r="AA108" i="1"/>
  <c r="Z108" i="1"/>
  <c r="X108" i="1"/>
  <c r="W108" i="1"/>
  <c r="U108" i="1"/>
  <c r="T108" i="1"/>
  <c r="S108" i="1"/>
  <c r="N108" i="1"/>
  <c r="AR107" i="1"/>
  <c r="AQ107" i="1"/>
  <c r="AP107" i="1"/>
  <c r="AN107" i="1"/>
  <c r="AM107" i="1"/>
  <c r="AL107" i="1"/>
  <c r="AJ107" i="1"/>
  <c r="AI107" i="1"/>
  <c r="AG107" i="1"/>
  <c r="AE107" i="1"/>
  <c r="AC107" i="1"/>
  <c r="AB107" i="1"/>
  <c r="AA107" i="1"/>
  <c r="X107" i="1"/>
  <c r="W107" i="1"/>
  <c r="V107" i="1"/>
  <c r="T107" i="1"/>
  <c r="S107" i="1"/>
  <c r="Q107" i="1"/>
  <c r="P107" i="1"/>
  <c r="O107" i="1"/>
  <c r="N107" i="1"/>
  <c r="AP106" i="1"/>
  <c r="AN106" i="1"/>
  <c r="AK106" i="1"/>
  <c r="AJ106" i="1"/>
  <c r="N106" i="1"/>
  <c r="AL106" i="1" s="1"/>
  <c r="AN105" i="1"/>
  <c r="AL105" i="1"/>
  <c r="AK105" i="1"/>
  <c r="AJ105" i="1"/>
  <c r="AI105" i="1"/>
  <c r="AH105" i="1"/>
  <c r="AF105" i="1"/>
  <c r="AC105" i="1"/>
  <c r="X105" i="1"/>
  <c r="W105" i="1"/>
  <c r="V105" i="1"/>
  <c r="U105" i="1"/>
  <c r="T105" i="1"/>
  <c r="S105" i="1"/>
  <c r="P105" i="1"/>
  <c r="N105" i="1"/>
  <c r="AQ105" i="1" s="1"/>
  <c r="AQ104" i="1"/>
  <c r="AN104" i="1"/>
  <c r="AM104" i="1"/>
  <c r="AL104" i="1"/>
  <c r="AK104" i="1"/>
  <c r="AI104" i="1"/>
  <c r="AG104" i="1"/>
  <c r="AE104" i="1"/>
  <c r="AB104" i="1"/>
  <c r="Y104" i="1"/>
  <c r="X104" i="1"/>
  <c r="U104" i="1"/>
  <c r="T104" i="1"/>
  <c r="S104" i="1"/>
  <c r="R104" i="1"/>
  <c r="O104" i="1"/>
  <c r="N104" i="1"/>
  <c r="AP104" i="1" s="1"/>
  <c r="AR103" i="1"/>
  <c r="AQ103" i="1"/>
  <c r="AP103" i="1"/>
  <c r="AM103" i="1"/>
  <c r="AL103" i="1"/>
  <c r="AK103" i="1"/>
  <c r="AJ103" i="1"/>
  <c r="AI103" i="1"/>
  <c r="AH103" i="1"/>
  <c r="AG103" i="1"/>
  <c r="AF103" i="1"/>
  <c r="AE103" i="1"/>
  <c r="AD103" i="1"/>
  <c r="AB103" i="1"/>
  <c r="Z103" i="1"/>
  <c r="Y103" i="1"/>
  <c r="X103" i="1"/>
  <c r="W103" i="1"/>
  <c r="V103" i="1"/>
  <c r="U103" i="1"/>
  <c r="T103" i="1"/>
  <c r="S103" i="1"/>
  <c r="R103" i="1"/>
  <c r="P103" i="1"/>
  <c r="O103" i="1"/>
  <c r="N103" i="1"/>
  <c r="AQ102" i="1"/>
  <c r="AP102" i="1"/>
  <c r="AO102" i="1"/>
  <c r="AN102" i="1"/>
  <c r="AM102" i="1"/>
  <c r="AL102" i="1"/>
  <c r="AH102" i="1"/>
  <c r="AG102" i="1"/>
  <c r="AE102" i="1"/>
  <c r="AB102" i="1"/>
  <c r="AA102" i="1"/>
  <c r="Z102" i="1"/>
  <c r="Y102" i="1"/>
  <c r="W102" i="1"/>
  <c r="U102" i="1"/>
  <c r="R102" i="1"/>
  <c r="Q102" i="1"/>
  <c r="P102" i="1"/>
  <c r="N102" i="1"/>
  <c r="AR101" i="1"/>
  <c r="AP101" i="1"/>
  <c r="AO101" i="1"/>
  <c r="AN101" i="1"/>
  <c r="AL101" i="1"/>
  <c r="AJ101" i="1"/>
  <c r="AH101" i="1"/>
  <c r="AG101" i="1"/>
  <c r="AF101" i="1"/>
  <c r="AB101" i="1"/>
  <c r="AA101" i="1"/>
  <c r="Z101" i="1"/>
  <c r="W101" i="1"/>
  <c r="V101" i="1"/>
  <c r="U101" i="1"/>
  <c r="R101" i="1"/>
  <c r="Q101" i="1"/>
  <c r="P101" i="1"/>
  <c r="N101" i="1"/>
  <c r="AR100" i="1"/>
  <c r="AQ100" i="1"/>
  <c r="AP100" i="1"/>
  <c r="AO100" i="1"/>
  <c r="AN100" i="1"/>
  <c r="AM100" i="1"/>
  <c r="AK100" i="1"/>
  <c r="AJ100" i="1"/>
  <c r="AI100" i="1"/>
  <c r="AH100" i="1"/>
  <c r="AG100" i="1"/>
  <c r="AF100" i="1"/>
  <c r="AE100" i="1"/>
  <c r="AD100" i="1"/>
  <c r="AC100" i="1"/>
  <c r="AB100" i="1"/>
  <c r="AA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AL100" i="1" s="1"/>
  <c r="AO99" i="1"/>
  <c r="AK99" i="1"/>
  <c r="AJ99" i="1"/>
  <c r="AF99" i="1"/>
  <c r="AE99" i="1"/>
  <c r="AD99" i="1"/>
  <c r="AC99" i="1"/>
  <c r="T99" i="1"/>
  <c r="R99" i="1"/>
  <c r="Q99" i="1"/>
  <c r="O99" i="1"/>
  <c r="N99" i="1"/>
  <c r="AQ98" i="1"/>
  <c r="AP98" i="1"/>
  <c r="AO98" i="1"/>
  <c r="AH98" i="1"/>
  <c r="AF98" i="1"/>
  <c r="AE98" i="1"/>
  <c r="AD98" i="1"/>
  <c r="AA98" i="1"/>
  <c r="Y98" i="1"/>
  <c r="X98" i="1"/>
  <c r="T98" i="1"/>
  <c r="S98" i="1"/>
  <c r="R98" i="1"/>
  <c r="O98" i="1"/>
  <c r="N98" i="1"/>
  <c r="AH97" i="1"/>
  <c r="AG97" i="1"/>
  <c r="N97" i="1"/>
  <c r="AP97" i="1" s="1"/>
  <c r="AQ96" i="1"/>
  <c r="AN96" i="1"/>
  <c r="AM96" i="1"/>
  <c r="AH96" i="1"/>
  <c r="AF96" i="1"/>
  <c r="AE96" i="1"/>
  <c r="AC96" i="1"/>
  <c r="Z96" i="1"/>
  <c r="Y96" i="1"/>
  <c r="X96" i="1"/>
  <c r="T96" i="1"/>
  <c r="S96" i="1"/>
  <c r="Q96" i="1"/>
  <c r="O96" i="1"/>
  <c r="N96" i="1"/>
  <c r="AI95" i="1"/>
  <c r="AG95" i="1"/>
  <c r="AE95" i="1"/>
  <c r="AC95" i="1"/>
  <c r="T95" i="1"/>
  <c r="S95" i="1"/>
  <c r="R95" i="1"/>
  <c r="N95" i="1"/>
  <c r="AM95" i="1" s="1"/>
  <c r="AQ94" i="1"/>
  <c r="AO94" i="1"/>
  <c r="AN94" i="1"/>
  <c r="AM94" i="1"/>
  <c r="AD94" i="1"/>
  <c r="AC94" i="1"/>
  <c r="AB94" i="1"/>
  <c r="Z94" i="1"/>
  <c r="Y94" i="1"/>
  <c r="X94" i="1"/>
  <c r="U94" i="1"/>
  <c r="R94" i="1"/>
  <c r="P94" i="1"/>
  <c r="N94" i="1"/>
  <c r="AH94" i="1" s="1"/>
  <c r="AI93" i="1"/>
  <c r="AG93" i="1"/>
  <c r="AF93" i="1"/>
  <c r="AE93" i="1"/>
  <c r="AD93" i="1"/>
  <c r="Q93" i="1"/>
  <c r="N93" i="1"/>
  <c r="AN93" i="1" s="1"/>
  <c r="AR92" i="1"/>
  <c r="AO92" i="1"/>
  <c r="AN92" i="1"/>
  <c r="AM92" i="1"/>
  <c r="AE92" i="1"/>
  <c r="AD92" i="1"/>
  <c r="AB92" i="1"/>
  <c r="Z92" i="1"/>
  <c r="Y92" i="1"/>
  <c r="X92" i="1"/>
  <c r="S92" i="1"/>
  <c r="R92" i="1"/>
  <c r="Q92" i="1"/>
  <c r="N92" i="1"/>
  <c r="AF92" i="1" s="1"/>
  <c r="AP91" i="1"/>
  <c r="AL91" i="1"/>
  <c r="AI91" i="1"/>
  <c r="AD91" i="1"/>
  <c r="P91" i="1"/>
  <c r="O91" i="1"/>
  <c r="N91" i="1"/>
  <c r="AR90" i="1"/>
  <c r="AQ90" i="1"/>
  <c r="AO90" i="1"/>
  <c r="AN90" i="1"/>
  <c r="AL90" i="1"/>
  <c r="AK90" i="1"/>
  <c r="AI90" i="1"/>
  <c r="AH90" i="1"/>
  <c r="AG90" i="1"/>
  <c r="AF90" i="1"/>
  <c r="AE90" i="1"/>
  <c r="AD90" i="1"/>
  <c r="AC90" i="1"/>
  <c r="AA90" i="1"/>
  <c r="Y90" i="1"/>
  <c r="W90" i="1"/>
  <c r="V90" i="1"/>
  <c r="U90" i="1"/>
  <c r="T90" i="1"/>
  <c r="S90" i="1"/>
  <c r="R90" i="1"/>
  <c r="Q90" i="1"/>
  <c r="P90" i="1"/>
  <c r="O90" i="1"/>
  <c r="N90" i="1"/>
  <c r="AO89" i="1"/>
  <c r="AN89" i="1"/>
  <c r="AM89" i="1"/>
  <c r="AG89" i="1"/>
  <c r="AF89" i="1"/>
  <c r="AB89" i="1"/>
  <c r="Z89" i="1"/>
  <c r="Y89" i="1"/>
  <c r="X89" i="1"/>
  <c r="U89" i="1"/>
  <c r="T89" i="1"/>
  <c r="R89" i="1"/>
  <c r="N89" i="1"/>
  <c r="AH89" i="1" s="1"/>
  <c r="AR88" i="1"/>
  <c r="AQ88" i="1"/>
  <c r="AP88" i="1"/>
  <c r="AO88" i="1"/>
  <c r="AN88" i="1"/>
  <c r="AM88" i="1"/>
  <c r="AK88" i="1"/>
  <c r="AJ88" i="1"/>
  <c r="AI88" i="1"/>
  <c r="AH88" i="1"/>
  <c r="AG88" i="1"/>
  <c r="AF88" i="1"/>
  <c r="AE88" i="1"/>
  <c r="AD88" i="1"/>
  <c r="AC88" i="1"/>
  <c r="AB88" i="1"/>
  <c r="AA88" i="1"/>
  <c r="Y88" i="1"/>
  <c r="X88" i="1"/>
  <c r="W88" i="1"/>
  <c r="V88" i="1"/>
  <c r="U88" i="1"/>
  <c r="T88" i="1"/>
  <c r="S88" i="1"/>
  <c r="R88" i="1"/>
  <c r="Q88" i="1"/>
  <c r="P88" i="1"/>
  <c r="O88" i="1"/>
  <c r="N88" i="1"/>
  <c r="AL88" i="1" s="1"/>
  <c r="AP87" i="1"/>
  <c r="AN87" i="1"/>
  <c r="AM87" i="1"/>
  <c r="AK87" i="1"/>
  <c r="AJ87" i="1"/>
  <c r="AF87" i="1"/>
  <c r="AE87" i="1"/>
  <c r="AD87" i="1"/>
  <c r="Z87" i="1"/>
  <c r="Y87" i="1"/>
  <c r="W87" i="1"/>
  <c r="V87" i="1"/>
  <c r="T87" i="1"/>
  <c r="S87" i="1"/>
  <c r="Q87" i="1"/>
  <c r="P87" i="1"/>
  <c r="N87" i="1"/>
  <c r="AK86" i="1"/>
  <c r="N86" i="1"/>
  <c r="Y86" i="1" s="1"/>
  <c r="AO85" i="1"/>
  <c r="AN85" i="1"/>
  <c r="AM85" i="1"/>
  <c r="AK85" i="1"/>
  <c r="AJ85" i="1"/>
  <c r="AF85" i="1"/>
  <c r="AE85" i="1"/>
  <c r="AD85" i="1"/>
  <c r="Z85" i="1"/>
  <c r="X85" i="1"/>
  <c r="V85" i="1"/>
  <c r="U85" i="1"/>
  <c r="T85" i="1"/>
  <c r="S85" i="1"/>
  <c r="Q85" i="1"/>
  <c r="P85" i="1"/>
  <c r="N85" i="1"/>
  <c r="AI84" i="1"/>
  <c r="AG84" i="1"/>
  <c r="AB84" i="1"/>
  <c r="Y84" i="1"/>
  <c r="N84" i="1"/>
  <c r="AL84" i="1" s="1"/>
  <c r="AR83" i="1"/>
  <c r="AO83" i="1"/>
  <c r="AN83" i="1"/>
  <c r="AM83" i="1"/>
  <c r="AL83" i="1"/>
  <c r="AJ83" i="1"/>
  <c r="AE83" i="1"/>
  <c r="AD83" i="1"/>
  <c r="AC83" i="1"/>
  <c r="Z83" i="1"/>
  <c r="X83" i="1"/>
  <c r="W83" i="1"/>
  <c r="V83" i="1"/>
  <c r="T83" i="1"/>
  <c r="R83" i="1"/>
  <c r="P83" i="1"/>
  <c r="O83" i="1"/>
  <c r="N83" i="1"/>
  <c r="AK82" i="1"/>
  <c r="N82" i="1"/>
  <c r="AE82" i="1" s="1"/>
  <c r="AO81" i="1"/>
  <c r="AK81" i="1"/>
  <c r="AI81" i="1"/>
  <c r="AC81" i="1"/>
  <c r="Y81" i="1"/>
  <c r="W81" i="1"/>
  <c r="V81" i="1"/>
  <c r="U81" i="1"/>
  <c r="T81" i="1"/>
  <c r="S81" i="1"/>
  <c r="P81" i="1"/>
  <c r="N81" i="1"/>
  <c r="AJ81" i="1" s="1"/>
  <c r="AI80" i="1"/>
  <c r="AC80" i="1"/>
  <c r="Y80" i="1"/>
  <c r="X80" i="1"/>
  <c r="R80" i="1"/>
  <c r="P80" i="1"/>
  <c r="N80" i="1"/>
  <c r="AK80" i="1" s="1"/>
  <c r="AR79" i="1"/>
  <c r="AQ79" i="1"/>
  <c r="AP79" i="1"/>
  <c r="AM79" i="1"/>
  <c r="AL79" i="1"/>
  <c r="AK79" i="1"/>
  <c r="AJ79" i="1"/>
  <c r="AI79" i="1"/>
  <c r="AH79" i="1"/>
  <c r="AG79" i="1"/>
  <c r="AF79" i="1"/>
  <c r="AE79" i="1"/>
  <c r="AD79" i="1"/>
  <c r="AB79" i="1"/>
  <c r="Z79" i="1"/>
  <c r="Y79" i="1"/>
  <c r="X79" i="1"/>
  <c r="W79" i="1"/>
  <c r="V79" i="1"/>
  <c r="U79" i="1"/>
  <c r="T79" i="1"/>
  <c r="S79" i="1"/>
  <c r="R79" i="1"/>
  <c r="P79" i="1"/>
  <c r="O79" i="1"/>
  <c r="N79" i="1"/>
  <c r="AQ78" i="1"/>
  <c r="AP78" i="1"/>
  <c r="AK78" i="1"/>
  <c r="AI78" i="1"/>
  <c r="AH78" i="1"/>
  <c r="AC78" i="1"/>
  <c r="AB78" i="1"/>
  <c r="Z78" i="1"/>
  <c r="W78" i="1"/>
  <c r="N78" i="1"/>
  <c r="AN77" i="1"/>
  <c r="AJ77" i="1"/>
  <c r="AH77" i="1"/>
  <c r="N77" i="1"/>
  <c r="AR77" i="1" s="1"/>
  <c r="AR76" i="1"/>
  <c r="AQ76" i="1"/>
  <c r="AP76" i="1"/>
  <c r="AO76" i="1"/>
  <c r="AN76" i="1"/>
  <c r="AM76" i="1"/>
  <c r="AK76" i="1"/>
  <c r="AJ76" i="1"/>
  <c r="AI76" i="1"/>
  <c r="AH76" i="1"/>
  <c r="AG76" i="1"/>
  <c r="AF76" i="1"/>
  <c r="AE76" i="1"/>
  <c r="AD76" i="1"/>
  <c r="AC76" i="1"/>
  <c r="AB76" i="1"/>
  <c r="AA76" i="1"/>
  <c r="Y76" i="1"/>
  <c r="X76" i="1"/>
  <c r="W76" i="1"/>
  <c r="V76" i="1"/>
  <c r="U76" i="1"/>
  <c r="T76" i="1"/>
  <c r="S76" i="1"/>
  <c r="R76" i="1"/>
  <c r="Q76" i="1"/>
  <c r="P76" i="1"/>
  <c r="O76" i="1"/>
  <c r="N76" i="1"/>
  <c r="AL76" i="1" s="1"/>
  <c r="AF75" i="1"/>
  <c r="AE75" i="1"/>
  <c r="T75" i="1"/>
  <c r="S75" i="1"/>
  <c r="N75" i="1"/>
  <c r="AK75" i="1" s="1"/>
  <c r="AQ74" i="1"/>
  <c r="AP74" i="1"/>
  <c r="AO74" i="1"/>
  <c r="AI74" i="1"/>
  <c r="AF74" i="1"/>
  <c r="AE74" i="1"/>
  <c r="AD74" i="1"/>
  <c r="AA74" i="1"/>
  <c r="Y74" i="1"/>
  <c r="X74" i="1"/>
  <c r="U74" i="1"/>
  <c r="T74" i="1"/>
  <c r="R74" i="1"/>
  <c r="O74" i="1"/>
  <c r="N74" i="1"/>
  <c r="AH73" i="1"/>
  <c r="N73" i="1"/>
  <c r="AF73" i="1" s="1"/>
  <c r="AQ72" i="1"/>
  <c r="AO72" i="1"/>
  <c r="AN72" i="1"/>
  <c r="AH72" i="1"/>
  <c r="AF72" i="1"/>
  <c r="AE72" i="1"/>
  <c r="AC72" i="1"/>
  <c r="AA72" i="1"/>
  <c r="Z72" i="1"/>
  <c r="Y72" i="1"/>
  <c r="T72" i="1"/>
  <c r="S72" i="1"/>
  <c r="Q72" i="1"/>
  <c r="O72" i="1"/>
  <c r="N72" i="1"/>
  <c r="AP71" i="1"/>
  <c r="AH71" i="1"/>
  <c r="AG71" i="1"/>
  <c r="AF71" i="1"/>
  <c r="AE71" i="1"/>
  <c r="AD71" i="1"/>
  <c r="X71" i="1"/>
  <c r="S71" i="1"/>
  <c r="Q71" i="1"/>
  <c r="N71" i="1"/>
  <c r="AQ70" i="1"/>
  <c r="AO70" i="1"/>
  <c r="AN70" i="1"/>
  <c r="AM70" i="1"/>
  <c r="AL70" i="1"/>
  <c r="AK70" i="1"/>
  <c r="AJ70" i="1"/>
  <c r="AI70" i="1"/>
  <c r="AH70" i="1"/>
  <c r="AE70" i="1"/>
  <c r="AD70" i="1"/>
  <c r="AC70" i="1"/>
  <c r="AA70" i="1"/>
  <c r="Z70" i="1"/>
  <c r="Y70" i="1"/>
  <c r="X70" i="1"/>
  <c r="W70" i="1"/>
  <c r="V70" i="1"/>
  <c r="U70" i="1"/>
  <c r="R70" i="1"/>
  <c r="Q70" i="1"/>
  <c r="P70" i="1"/>
  <c r="O70" i="1"/>
  <c r="N70" i="1"/>
  <c r="AQ69" i="1"/>
  <c r="AP69" i="1"/>
  <c r="AO69" i="1"/>
  <c r="AI69" i="1"/>
  <c r="AG69" i="1"/>
  <c r="AF69" i="1"/>
  <c r="AD69" i="1"/>
  <c r="AB69" i="1"/>
  <c r="Z69" i="1"/>
  <c r="Y69" i="1"/>
  <c r="U69" i="1"/>
  <c r="T69" i="1"/>
  <c r="S69" i="1"/>
  <c r="P69" i="1"/>
  <c r="N69" i="1"/>
  <c r="AQ68" i="1"/>
  <c r="AO68" i="1"/>
  <c r="AN68" i="1"/>
  <c r="AJ68" i="1"/>
  <c r="AF68" i="1"/>
  <c r="AE68" i="1"/>
  <c r="AD68" i="1"/>
  <c r="Z68" i="1"/>
  <c r="U68" i="1"/>
  <c r="T68" i="1"/>
  <c r="R68" i="1"/>
  <c r="Q68" i="1"/>
  <c r="O68" i="1"/>
  <c r="N68" i="1"/>
  <c r="AI68" i="1" s="1"/>
  <c r="AQ67" i="1"/>
  <c r="AP67" i="1"/>
  <c r="AN67" i="1"/>
  <c r="AI67" i="1"/>
  <c r="AF67" i="1"/>
  <c r="AE67" i="1"/>
  <c r="AD67" i="1"/>
  <c r="AA67" i="1"/>
  <c r="Z67" i="1"/>
  <c r="Y67" i="1"/>
  <c r="T67" i="1"/>
  <c r="S67" i="1"/>
  <c r="R67" i="1"/>
  <c r="O67" i="1"/>
  <c r="N67" i="1"/>
  <c r="AQ66" i="1"/>
  <c r="AP66" i="1"/>
  <c r="AO66" i="1"/>
  <c r="AK66" i="1"/>
  <c r="AI66" i="1"/>
  <c r="AH66" i="1"/>
  <c r="AG66" i="1"/>
  <c r="AF66" i="1"/>
  <c r="AE66" i="1"/>
  <c r="AD66" i="1"/>
  <c r="AB66" i="1"/>
  <c r="AA66" i="1"/>
  <c r="Y66" i="1"/>
  <c r="U66" i="1"/>
  <c r="T66" i="1"/>
  <c r="S66" i="1"/>
  <c r="R66" i="1"/>
  <c r="Q66" i="1"/>
  <c r="P66" i="1"/>
  <c r="O66" i="1"/>
  <c r="N66" i="1"/>
  <c r="AN66" i="1" s="1"/>
  <c r="AO65" i="1"/>
  <c r="AI65" i="1"/>
  <c r="AH65" i="1"/>
  <c r="AG65" i="1"/>
  <c r="AF65" i="1"/>
  <c r="AC65" i="1"/>
  <c r="AA65" i="1"/>
  <c r="Y65" i="1"/>
  <c r="X65" i="1"/>
  <c r="T65" i="1"/>
  <c r="P65" i="1"/>
  <c r="O65" i="1"/>
  <c r="N65" i="1"/>
  <c r="AR64" i="1"/>
  <c r="AQ64" i="1"/>
  <c r="AP64" i="1"/>
  <c r="AO64" i="1"/>
  <c r="AN64" i="1"/>
  <c r="AM64" i="1"/>
  <c r="AK64" i="1"/>
  <c r="AJ64" i="1"/>
  <c r="AI64" i="1"/>
  <c r="AH64" i="1"/>
  <c r="AG64" i="1"/>
  <c r="AF64" i="1"/>
  <c r="AE64" i="1"/>
  <c r="AD64" i="1"/>
  <c r="AC64" i="1"/>
  <c r="AB64" i="1"/>
  <c r="AA64" i="1"/>
  <c r="Y64" i="1"/>
  <c r="X64" i="1"/>
  <c r="W64" i="1"/>
  <c r="V64" i="1"/>
  <c r="U64" i="1"/>
  <c r="T64" i="1"/>
  <c r="S64" i="1"/>
  <c r="R64" i="1"/>
  <c r="Q64" i="1"/>
  <c r="P64" i="1"/>
  <c r="O64" i="1"/>
  <c r="N64" i="1"/>
  <c r="AL64" i="1" s="1"/>
  <c r="N63" i="1"/>
  <c r="AB63" i="1" s="1"/>
  <c r="AR62" i="1"/>
  <c r="AQ62" i="1"/>
  <c r="AP62" i="1"/>
  <c r="AM62" i="1"/>
  <c r="AL62" i="1"/>
  <c r="AK62" i="1"/>
  <c r="AJ62" i="1"/>
  <c r="AI62" i="1"/>
  <c r="AH62" i="1"/>
  <c r="AG62" i="1"/>
  <c r="AF62" i="1"/>
  <c r="AE62" i="1"/>
  <c r="AD62" i="1"/>
  <c r="AC62" i="1"/>
  <c r="Z62" i="1"/>
  <c r="Y62" i="1"/>
  <c r="X62" i="1"/>
  <c r="W62" i="1"/>
  <c r="V62" i="1"/>
  <c r="U62" i="1"/>
  <c r="T62" i="1"/>
  <c r="S62" i="1"/>
  <c r="R62" i="1"/>
  <c r="Q62" i="1"/>
  <c r="O62" i="1"/>
  <c r="N62" i="1"/>
  <c r="AR61" i="1"/>
  <c r="AQ61" i="1"/>
  <c r="AO61" i="1"/>
  <c r="AN61" i="1"/>
  <c r="AM61" i="1"/>
  <c r="AJ61" i="1"/>
  <c r="AH61" i="1"/>
  <c r="AG61" i="1"/>
  <c r="AE61" i="1"/>
  <c r="AD61" i="1"/>
  <c r="AC61" i="1"/>
  <c r="AA61" i="1"/>
  <c r="Z61" i="1"/>
  <c r="Y61" i="1"/>
  <c r="U61" i="1"/>
  <c r="T61" i="1"/>
  <c r="R61" i="1"/>
  <c r="Q61" i="1"/>
  <c r="P61" i="1"/>
  <c r="O61" i="1"/>
  <c r="N61" i="1"/>
  <c r="AL61" i="1" s="1"/>
  <c r="AR60" i="1"/>
  <c r="AO60" i="1"/>
  <c r="AC60" i="1"/>
  <c r="AB60" i="1"/>
  <c r="AA60" i="1"/>
  <c r="W60" i="1"/>
  <c r="V60" i="1"/>
  <c r="U60" i="1"/>
  <c r="S60" i="1"/>
  <c r="N60" i="1"/>
  <c r="AI60" i="1" s="1"/>
  <c r="AR59" i="1"/>
  <c r="AO59" i="1"/>
  <c r="AN59" i="1"/>
  <c r="AM59" i="1"/>
  <c r="AL59" i="1"/>
  <c r="AJ59" i="1"/>
  <c r="AI59" i="1"/>
  <c r="AH59" i="1"/>
  <c r="AG59" i="1"/>
  <c r="AF59" i="1"/>
  <c r="AE59" i="1"/>
  <c r="AD59" i="1"/>
  <c r="AA59" i="1"/>
  <c r="Z59" i="1"/>
  <c r="X59" i="1"/>
  <c r="W59" i="1"/>
  <c r="V59" i="1"/>
  <c r="U59" i="1"/>
  <c r="T59" i="1"/>
  <c r="S59" i="1"/>
  <c r="R59" i="1"/>
  <c r="Q59" i="1"/>
  <c r="O59" i="1"/>
  <c r="N59" i="1"/>
  <c r="AK58" i="1"/>
  <c r="AG58" i="1"/>
  <c r="AE58" i="1"/>
  <c r="N58" i="1"/>
  <c r="AI58" i="1" s="1"/>
  <c r="N57" i="1"/>
  <c r="AQ57" i="1" s="1"/>
  <c r="AR56" i="1"/>
  <c r="AP56" i="1"/>
  <c r="AO56" i="1"/>
  <c r="AM56" i="1"/>
  <c r="AL56" i="1"/>
  <c r="AK56" i="1"/>
  <c r="AG56" i="1"/>
  <c r="AE56" i="1"/>
  <c r="AC56" i="1"/>
  <c r="AB56" i="1"/>
  <c r="AA56" i="1"/>
  <c r="Y56" i="1"/>
  <c r="X56" i="1"/>
  <c r="W56" i="1"/>
  <c r="S56" i="1"/>
  <c r="R56" i="1"/>
  <c r="P56" i="1"/>
  <c r="O56" i="1"/>
  <c r="N56" i="1"/>
  <c r="AR55" i="1"/>
  <c r="AP55" i="1"/>
  <c r="AN55" i="1"/>
  <c r="AM55" i="1"/>
  <c r="AJ55" i="1"/>
  <c r="AH55" i="1"/>
  <c r="AG55" i="1"/>
  <c r="AF55" i="1"/>
  <c r="AE55" i="1"/>
  <c r="AD55" i="1"/>
  <c r="AA55" i="1"/>
  <c r="Z55" i="1"/>
  <c r="Y55" i="1"/>
  <c r="U55" i="1"/>
  <c r="T55" i="1"/>
  <c r="S55" i="1"/>
  <c r="R55" i="1"/>
  <c r="P55" i="1"/>
  <c r="O55" i="1"/>
  <c r="N55" i="1"/>
  <c r="AL55" i="1" s="1"/>
  <c r="AR54" i="1"/>
  <c r="AQ54" i="1"/>
  <c r="AP54" i="1"/>
  <c r="AO54" i="1"/>
  <c r="AM54" i="1"/>
  <c r="AL54" i="1"/>
  <c r="AK54" i="1"/>
  <c r="AI54" i="1"/>
  <c r="AH54" i="1"/>
  <c r="AG54" i="1"/>
  <c r="AF54" i="1"/>
  <c r="AE54" i="1"/>
  <c r="AD54" i="1"/>
  <c r="AC54" i="1"/>
  <c r="AB54" i="1"/>
  <c r="Z54" i="1"/>
  <c r="Y54" i="1"/>
  <c r="W54" i="1"/>
  <c r="V54" i="1"/>
  <c r="U54" i="1"/>
  <c r="T54" i="1"/>
  <c r="S54" i="1"/>
  <c r="R54" i="1"/>
  <c r="Q54" i="1"/>
  <c r="P54" i="1"/>
  <c r="O54" i="1"/>
  <c r="N54" i="1"/>
  <c r="AO53" i="1"/>
  <c r="AN53" i="1"/>
  <c r="AM53" i="1"/>
  <c r="AL53" i="1"/>
  <c r="AK53" i="1"/>
  <c r="AJ53" i="1"/>
  <c r="AI53" i="1"/>
  <c r="AH53" i="1"/>
  <c r="AG53" i="1"/>
  <c r="AD53" i="1"/>
  <c r="AA53" i="1"/>
  <c r="Z53" i="1"/>
  <c r="Y53" i="1"/>
  <c r="X53" i="1"/>
  <c r="W53" i="1"/>
  <c r="V53" i="1"/>
  <c r="U53" i="1"/>
  <c r="T53" i="1"/>
  <c r="Q53" i="1"/>
  <c r="P53" i="1"/>
  <c r="N53" i="1"/>
  <c r="AR52" i="1"/>
  <c r="AQ52" i="1"/>
  <c r="AP52" i="1"/>
  <c r="AO52" i="1"/>
  <c r="AN52" i="1"/>
  <c r="AM52" i="1"/>
  <c r="AK52" i="1"/>
  <c r="AJ52" i="1"/>
  <c r="AI52" i="1"/>
  <c r="AH52" i="1"/>
  <c r="AG52" i="1"/>
  <c r="AF52" i="1"/>
  <c r="AE52" i="1"/>
  <c r="AD52" i="1"/>
  <c r="AC52" i="1"/>
  <c r="AB52" i="1"/>
  <c r="AA52" i="1"/>
  <c r="Y52" i="1"/>
  <c r="X52" i="1"/>
  <c r="W52" i="1"/>
  <c r="V52" i="1"/>
  <c r="U52" i="1"/>
  <c r="T52" i="1"/>
  <c r="S52" i="1"/>
  <c r="R52" i="1"/>
  <c r="Q52" i="1"/>
  <c r="P52" i="1"/>
  <c r="O52" i="1"/>
  <c r="N52" i="1"/>
  <c r="AL52" i="1" s="1"/>
  <c r="AQ51" i="1"/>
  <c r="AO51" i="1"/>
  <c r="AN51" i="1"/>
  <c r="AM51" i="1"/>
  <c r="AJ51" i="1"/>
  <c r="AI51" i="1"/>
  <c r="AF51" i="1"/>
  <c r="AE51" i="1"/>
  <c r="AB51" i="1"/>
  <c r="Z51" i="1"/>
  <c r="Y51" i="1"/>
  <c r="V51" i="1"/>
  <c r="T51" i="1"/>
  <c r="S51" i="1"/>
  <c r="R51" i="1"/>
  <c r="Q51" i="1"/>
  <c r="O51" i="1"/>
  <c r="N51" i="1"/>
  <c r="AE50" i="1"/>
  <c r="AD50" i="1"/>
  <c r="N50" i="1"/>
  <c r="AQ50" i="1" s="1"/>
  <c r="AR49" i="1"/>
  <c r="AO49" i="1"/>
  <c r="AN49" i="1"/>
  <c r="AL49" i="1"/>
  <c r="AK49" i="1"/>
  <c r="AJ49" i="1"/>
  <c r="AH49" i="1"/>
  <c r="AG49" i="1"/>
  <c r="AF49" i="1"/>
  <c r="AE49" i="1"/>
  <c r="AD49" i="1"/>
  <c r="AA49" i="1"/>
  <c r="Y49" i="1"/>
  <c r="X49" i="1"/>
  <c r="V49" i="1"/>
  <c r="U49" i="1"/>
  <c r="T49" i="1"/>
  <c r="S49" i="1"/>
  <c r="R49" i="1"/>
  <c r="Q49" i="1"/>
  <c r="P49" i="1"/>
  <c r="N49" i="1"/>
  <c r="AB49" i="1" s="1"/>
  <c r="N48" i="1"/>
  <c r="AN48" i="1" s="1"/>
  <c r="AQ47" i="1"/>
  <c r="AD47" i="1"/>
  <c r="AC47" i="1"/>
  <c r="AB47" i="1"/>
  <c r="AA47" i="1"/>
  <c r="X47" i="1"/>
  <c r="N47" i="1"/>
  <c r="AN47" i="1" s="1"/>
  <c r="AQ46" i="1"/>
  <c r="AP46" i="1"/>
  <c r="AO46" i="1"/>
  <c r="AN46" i="1"/>
  <c r="AJ46" i="1"/>
  <c r="AB46" i="1"/>
  <c r="AA46" i="1"/>
  <c r="Z46" i="1"/>
  <c r="W46" i="1"/>
  <c r="V46" i="1"/>
  <c r="U46" i="1"/>
  <c r="Q46" i="1"/>
  <c r="N46" i="1"/>
  <c r="AD46" i="1" s="1"/>
  <c r="AR45" i="1"/>
  <c r="AO45" i="1"/>
  <c r="AN45" i="1"/>
  <c r="AL45" i="1"/>
  <c r="AK45" i="1"/>
  <c r="AJ45" i="1"/>
  <c r="AI45" i="1"/>
  <c r="AG45" i="1"/>
  <c r="AE45" i="1"/>
  <c r="AB45" i="1"/>
  <c r="Z45" i="1"/>
  <c r="Y45" i="1"/>
  <c r="X45" i="1"/>
  <c r="W45" i="1"/>
  <c r="V45" i="1"/>
  <c r="U45" i="1"/>
  <c r="T45" i="1"/>
  <c r="R45" i="1"/>
  <c r="N45" i="1"/>
  <c r="AR44" i="1"/>
  <c r="AP44" i="1"/>
  <c r="AE44" i="1"/>
  <c r="AC44" i="1"/>
  <c r="AB44" i="1"/>
  <c r="AA44" i="1"/>
  <c r="Y44" i="1"/>
  <c r="N44" i="1"/>
  <c r="AR43" i="1"/>
  <c r="AQ43" i="1"/>
  <c r="AP43" i="1"/>
  <c r="AN43" i="1"/>
  <c r="AJ43" i="1"/>
  <c r="AB43" i="1"/>
  <c r="AA43" i="1"/>
  <c r="X43" i="1"/>
  <c r="W43" i="1"/>
  <c r="V43" i="1"/>
  <c r="U43" i="1"/>
  <c r="S43" i="1"/>
  <c r="N43" i="1"/>
  <c r="AF43" i="1" s="1"/>
  <c r="AP42" i="1"/>
  <c r="AO42" i="1"/>
  <c r="AN42" i="1"/>
  <c r="AM42" i="1"/>
  <c r="AL42" i="1"/>
  <c r="AK42" i="1"/>
  <c r="AI42" i="1"/>
  <c r="AH42" i="1"/>
  <c r="AF42" i="1"/>
  <c r="AB42" i="1"/>
  <c r="AA42" i="1"/>
  <c r="Z42" i="1"/>
  <c r="Y42" i="1"/>
  <c r="W42" i="1"/>
  <c r="V42" i="1"/>
  <c r="U42" i="1"/>
  <c r="T42" i="1"/>
  <c r="S42" i="1"/>
  <c r="O42" i="1"/>
  <c r="N42" i="1"/>
  <c r="AR41" i="1"/>
  <c r="AP41" i="1"/>
  <c r="AO41" i="1"/>
  <c r="AN41" i="1"/>
  <c r="AM41" i="1"/>
  <c r="AL41" i="1"/>
  <c r="AK41" i="1"/>
  <c r="AH41" i="1"/>
  <c r="AG41" i="1"/>
  <c r="AD41" i="1"/>
  <c r="AB41" i="1"/>
  <c r="AA41" i="1"/>
  <c r="Z41" i="1"/>
  <c r="Y41" i="1"/>
  <c r="X41" i="1"/>
  <c r="U41" i="1"/>
  <c r="T41" i="1"/>
  <c r="R41" i="1"/>
  <c r="Q41" i="1"/>
  <c r="O41" i="1"/>
  <c r="N41" i="1"/>
  <c r="AR40" i="1"/>
  <c r="AQ40" i="1"/>
  <c r="AP40" i="1"/>
  <c r="AO40" i="1"/>
  <c r="AN40" i="1"/>
  <c r="AM40" i="1"/>
  <c r="AK40" i="1"/>
  <c r="AJ40" i="1"/>
  <c r="AI40" i="1"/>
  <c r="AH40" i="1"/>
  <c r="AG40" i="1"/>
  <c r="AF40" i="1"/>
  <c r="AE40" i="1"/>
  <c r="AD40" i="1"/>
  <c r="AC40" i="1"/>
  <c r="AB40" i="1"/>
  <c r="AA40" i="1"/>
  <c r="Y40" i="1"/>
  <c r="X40" i="1"/>
  <c r="W40" i="1"/>
  <c r="V40" i="1"/>
  <c r="U40" i="1"/>
  <c r="T40" i="1"/>
  <c r="S40" i="1"/>
  <c r="R40" i="1"/>
  <c r="Q40" i="1"/>
  <c r="P40" i="1"/>
  <c r="O40" i="1"/>
  <c r="N40" i="1"/>
  <c r="AL40" i="1" s="1"/>
  <c r="AD39" i="1"/>
  <c r="N39" i="1"/>
  <c r="AI39" i="1" s="1"/>
  <c r="AR38" i="1"/>
  <c r="AP38" i="1"/>
  <c r="AE38" i="1"/>
  <c r="AD38" i="1"/>
  <c r="AC38" i="1"/>
  <c r="AA38" i="1"/>
  <c r="Z38" i="1"/>
  <c r="T38" i="1"/>
  <c r="N38" i="1"/>
  <c r="AR37" i="1"/>
  <c r="AO37" i="1"/>
  <c r="AN37" i="1"/>
  <c r="AL37" i="1"/>
  <c r="AJ37" i="1"/>
  <c r="AH37" i="1"/>
  <c r="AG37" i="1"/>
  <c r="AE37" i="1"/>
  <c r="AB37" i="1"/>
  <c r="AA37" i="1"/>
  <c r="Z37" i="1"/>
  <c r="Y37" i="1"/>
  <c r="W37" i="1"/>
  <c r="U37" i="1"/>
  <c r="T37" i="1"/>
  <c r="S37" i="1"/>
  <c r="P37" i="1"/>
  <c r="O37" i="1"/>
  <c r="N37" i="1"/>
  <c r="AI36" i="1"/>
  <c r="AH36" i="1"/>
  <c r="AG36" i="1"/>
  <c r="AF36" i="1"/>
  <c r="S36" i="1"/>
  <c r="R36" i="1"/>
  <c r="Q36" i="1"/>
  <c r="P36" i="1"/>
  <c r="N36" i="1"/>
  <c r="AC36" i="1" s="1"/>
  <c r="AO35" i="1"/>
  <c r="AN35" i="1"/>
  <c r="AM35" i="1"/>
  <c r="AL35" i="1"/>
  <c r="AK35" i="1"/>
  <c r="AJ35" i="1"/>
  <c r="AI35" i="1"/>
  <c r="AH35" i="1"/>
  <c r="AG35" i="1"/>
  <c r="AD35" i="1"/>
  <c r="AC35" i="1"/>
  <c r="AA35" i="1"/>
  <c r="Z35" i="1"/>
  <c r="Y35" i="1"/>
  <c r="X35" i="1"/>
  <c r="W35" i="1"/>
  <c r="V35" i="1"/>
  <c r="U35" i="1"/>
  <c r="R35" i="1"/>
  <c r="Q35" i="1"/>
  <c r="P35" i="1"/>
  <c r="O35" i="1"/>
  <c r="N35" i="1"/>
  <c r="AR34" i="1"/>
  <c r="AQ34" i="1"/>
  <c r="AP34" i="1"/>
  <c r="AO34" i="1"/>
  <c r="AN34" i="1"/>
  <c r="AK34" i="1"/>
  <c r="AJ34" i="1"/>
  <c r="AI34" i="1"/>
  <c r="AH34" i="1"/>
  <c r="AG34" i="1"/>
  <c r="AF34" i="1"/>
  <c r="AE34" i="1"/>
  <c r="AD34" i="1"/>
  <c r="AC34" i="1"/>
  <c r="AB34" i="1"/>
  <c r="Y34" i="1"/>
  <c r="X34" i="1"/>
  <c r="W34" i="1"/>
  <c r="V34" i="1"/>
  <c r="U34" i="1"/>
  <c r="T34" i="1"/>
  <c r="S34" i="1"/>
  <c r="R34" i="1"/>
  <c r="Q34" i="1"/>
  <c r="P34" i="1"/>
  <c r="N34" i="1"/>
  <c r="AM34" i="1" s="1"/>
  <c r="AM33" i="1"/>
  <c r="AL33" i="1"/>
  <c r="AK33" i="1"/>
  <c r="AJ33" i="1"/>
  <c r="W33" i="1"/>
  <c r="T33" i="1"/>
  <c r="R33" i="1"/>
  <c r="P33" i="1"/>
  <c r="N33" i="1"/>
  <c r="AC33" i="1" s="1"/>
  <c r="AE32" i="1"/>
  <c r="N32" i="1"/>
  <c r="AR31" i="1"/>
  <c r="AC31" i="1"/>
  <c r="AB31" i="1"/>
  <c r="N31" i="1"/>
  <c r="AH31" i="1" s="1"/>
  <c r="AR30" i="1"/>
  <c r="AO30" i="1"/>
  <c r="AK30" i="1"/>
  <c r="AC30" i="1"/>
  <c r="AB30" i="1"/>
  <c r="AA30" i="1"/>
  <c r="Y30" i="1"/>
  <c r="W30" i="1"/>
  <c r="U30" i="1"/>
  <c r="N30" i="1"/>
  <c r="AR29" i="1"/>
  <c r="AQ29" i="1"/>
  <c r="AP29" i="1"/>
  <c r="AO29" i="1"/>
  <c r="AN29" i="1"/>
  <c r="AM29" i="1"/>
  <c r="AK29" i="1"/>
  <c r="AJ29" i="1"/>
  <c r="AI29" i="1"/>
  <c r="AH29" i="1"/>
  <c r="AG29" i="1"/>
  <c r="AF29" i="1"/>
  <c r="AE29" i="1"/>
  <c r="AD29" i="1"/>
  <c r="AC29" i="1"/>
  <c r="AB29" i="1"/>
  <c r="AA29" i="1"/>
  <c r="Y29" i="1"/>
  <c r="X29" i="1"/>
  <c r="W29" i="1"/>
  <c r="V29" i="1"/>
  <c r="U29" i="1"/>
  <c r="T29" i="1"/>
  <c r="S29" i="1"/>
  <c r="R29" i="1"/>
  <c r="Q29" i="1"/>
  <c r="P29" i="1"/>
  <c r="O29" i="1"/>
  <c r="N29" i="1"/>
  <c r="AL29" i="1" s="1"/>
  <c r="AC28" i="1"/>
  <c r="AB28" i="1"/>
  <c r="N28" i="1"/>
  <c r="AM28" i="1" s="1"/>
  <c r="AR27" i="1"/>
  <c r="AQ27" i="1"/>
  <c r="AO27" i="1"/>
  <c r="AE27" i="1"/>
  <c r="AD27" i="1"/>
  <c r="AC27" i="1"/>
  <c r="Z27" i="1"/>
  <c r="Y27" i="1"/>
  <c r="W27" i="1"/>
  <c r="N27" i="1"/>
  <c r="AR26" i="1"/>
  <c r="AQ26" i="1"/>
  <c r="AP26" i="1"/>
  <c r="AO26" i="1"/>
  <c r="AN26" i="1"/>
  <c r="AL26" i="1"/>
  <c r="AJ26" i="1"/>
  <c r="AF26" i="1"/>
  <c r="AE26" i="1"/>
  <c r="AC26" i="1"/>
  <c r="AB26" i="1"/>
  <c r="AA26" i="1"/>
  <c r="Z26" i="1"/>
  <c r="X26" i="1"/>
  <c r="T26" i="1"/>
  <c r="S26" i="1"/>
  <c r="R26" i="1"/>
  <c r="P26" i="1"/>
  <c r="O26" i="1"/>
  <c r="N26" i="1"/>
  <c r="AR25" i="1"/>
  <c r="AQ25" i="1"/>
  <c r="AM25" i="1"/>
  <c r="AK25" i="1"/>
  <c r="AJ25" i="1"/>
  <c r="AI25" i="1"/>
  <c r="AH25" i="1"/>
  <c r="AG25" i="1"/>
  <c r="AE25" i="1"/>
  <c r="AB25" i="1"/>
  <c r="AA25" i="1"/>
  <c r="Y25" i="1"/>
  <c r="W25" i="1"/>
  <c r="V25" i="1"/>
  <c r="U25" i="1"/>
  <c r="T25" i="1"/>
  <c r="S25" i="1"/>
  <c r="P25" i="1"/>
  <c r="O25" i="1"/>
  <c r="N25" i="1"/>
  <c r="AL24" i="1"/>
  <c r="AI24" i="1"/>
  <c r="AH24" i="1"/>
  <c r="AG24" i="1"/>
  <c r="AF24" i="1"/>
  <c r="AD24" i="1"/>
  <c r="T24" i="1"/>
  <c r="S24" i="1"/>
  <c r="R24" i="1"/>
  <c r="Q24" i="1"/>
  <c r="P24" i="1"/>
  <c r="N24" i="1"/>
  <c r="AB24" i="1" s="1"/>
  <c r="AO23" i="1"/>
  <c r="AN23" i="1"/>
  <c r="AM23" i="1"/>
  <c r="AL23" i="1"/>
  <c r="AK23" i="1"/>
  <c r="AJ23" i="1"/>
  <c r="AI23" i="1"/>
  <c r="AH23" i="1"/>
  <c r="AG23" i="1"/>
  <c r="AC23" i="1"/>
  <c r="AA23" i="1"/>
  <c r="Z23" i="1"/>
  <c r="Y23" i="1"/>
  <c r="X23" i="1"/>
  <c r="W23" i="1"/>
  <c r="V23" i="1"/>
  <c r="U23" i="1"/>
  <c r="R23" i="1"/>
  <c r="Q23" i="1"/>
  <c r="O23" i="1"/>
  <c r="N23" i="1"/>
  <c r="AR22" i="1"/>
  <c r="AQ22" i="1"/>
  <c r="AP22" i="1"/>
  <c r="AO22" i="1"/>
  <c r="AN22" i="1"/>
  <c r="AK22" i="1"/>
  <c r="AJ22" i="1"/>
  <c r="AI22" i="1"/>
  <c r="AH22" i="1"/>
  <c r="AG22" i="1"/>
  <c r="AF22" i="1"/>
  <c r="AE22" i="1"/>
  <c r="AD22" i="1"/>
  <c r="AC22" i="1"/>
  <c r="AB22" i="1"/>
  <c r="Y22" i="1"/>
  <c r="X22" i="1"/>
  <c r="W22" i="1"/>
  <c r="V22" i="1"/>
  <c r="U22" i="1"/>
  <c r="T22" i="1"/>
  <c r="S22" i="1"/>
  <c r="R22" i="1"/>
  <c r="Q22" i="1"/>
  <c r="P22" i="1"/>
  <c r="N22" i="1"/>
  <c r="AM22" i="1" s="1"/>
  <c r="AQ21" i="1"/>
  <c r="AJ21" i="1"/>
  <c r="AI21" i="1"/>
  <c r="AF21" i="1"/>
  <c r="AE21" i="1"/>
  <c r="AD21" i="1"/>
  <c r="AB21" i="1"/>
  <c r="S21" i="1"/>
  <c r="R21" i="1"/>
  <c r="Q21" i="1"/>
  <c r="P21" i="1"/>
  <c r="O21" i="1"/>
  <c r="N21" i="1"/>
  <c r="AP21" i="1" s="1"/>
  <c r="N20" i="1"/>
  <c r="AJ20" i="1" s="1"/>
  <c r="AQ19" i="1"/>
  <c r="AH19" i="1"/>
  <c r="AG19" i="1"/>
  <c r="AF19" i="1"/>
  <c r="AE19" i="1"/>
  <c r="AD19" i="1"/>
  <c r="AB19" i="1"/>
  <c r="S19" i="1"/>
  <c r="R19" i="1"/>
  <c r="Q19" i="1"/>
  <c r="P19" i="1"/>
  <c r="O19" i="1"/>
  <c r="N19" i="1"/>
  <c r="AP19" i="1" s="1"/>
  <c r="AO18" i="1"/>
  <c r="AN18" i="1"/>
  <c r="AM18" i="1"/>
  <c r="AL18" i="1"/>
  <c r="AK18" i="1"/>
  <c r="AJ18" i="1"/>
  <c r="AI18" i="1"/>
  <c r="AH18" i="1"/>
  <c r="AG18" i="1"/>
  <c r="AF18" i="1"/>
  <c r="AC18" i="1"/>
  <c r="AA18" i="1"/>
  <c r="Z18" i="1"/>
  <c r="Y18" i="1"/>
  <c r="X18" i="1"/>
  <c r="W18" i="1"/>
  <c r="V18" i="1"/>
  <c r="U18" i="1"/>
  <c r="T18" i="1"/>
  <c r="Q18" i="1"/>
  <c r="P18" i="1"/>
  <c r="O18" i="1"/>
  <c r="N18" i="1"/>
  <c r="AR17" i="1"/>
  <c r="AQ17" i="1"/>
  <c r="AP17" i="1"/>
  <c r="AO17" i="1"/>
  <c r="AN17" i="1"/>
  <c r="AM17" i="1"/>
  <c r="AK17" i="1"/>
  <c r="AJ17" i="1"/>
  <c r="AI17" i="1"/>
  <c r="AH17" i="1"/>
  <c r="AG17" i="1"/>
  <c r="AF17" i="1"/>
  <c r="AE17" i="1"/>
  <c r="AD17" i="1"/>
  <c r="AC17" i="1"/>
  <c r="AB17" i="1"/>
  <c r="AA17" i="1"/>
  <c r="Y17" i="1"/>
  <c r="X17" i="1"/>
  <c r="W17" i="1"/>
  <c r="V17" i="1"/>
  <c r="U17" i="1"/>
  <c r="T17" i="1"/>
  <c r="S17" i="1"/>
  <c r="R17" i="1"/>
  <c r="Q17" i="1"/>
  <c r="P17" i="1"/>
  <c r="O17" i="1"/>
  <c r="N17" i="1"/>
  <c r="AL17" i="1" s="1"/>
  <c r="AP16" i="1"/>
  <c r="AO16" i="1"/>
  <c r="AN16" i="1"/>
  <c r="AM16" i="1"/>
  <c r="AL16" i="1"/>
  <c r="AJ16" i="1"/>
  <c r="AI16" i="1"/>
  <c r="AH16" i="1"/>
  <c r="AD16" i="1"/>
  <c r="AA16" i="1"/>
  <c r="Z16" i="1"/>
  <c r="Y16" i="1"/>
  <c r="X16" i="1"/>
  <c r="V16" i="1"/>
  <c r="S16" i="1"/>
  <c r="R16" i="1"/>
  <c r="Q16" i="1"/>
  <c r="O16" i="1"/>
  <c r="N16" i="1"/>
  <c r="AQ16" i="1" s="1"/>
  <c r="AP15" i="1"/>
  <c r="AO15" i="1"/>
  <c r="AK15" i="1"/>
  <c r="AJ15" i="1"/>
  <c r="AI15" i="1"/>
  <c r="AH15" i="1"/>
  <c r="AG15" i="1"/>
  <c r="Y15" i="1"/>
  <c r="W15" i="1"/>
  <c r="V15" i="1"/>
  <c r="U15" i="1"/>
  <c r="T15" i="1"/>
  <c r="S15" i="1"/>
  <c r="R15" i="1"/>
  <c r="N15" i="1"/>
  <c r="AD15" i="1" s="1"/>
  <c r="AP14" i="1"/>
  <c r="AN14" i="1"/>
  <c r="AM14" i="1"/>
  <c r="AL14" i="1"/>
  <c r="AK14" i="1"/>
  <c r="AJ14" i="1"/>
  <c r="AG14" i="1"/>
  <c r="AF14" i="1"/>
  <c r="AD14" i="1"/>
  <c r="Z14" i="1"/>
  <c r="Y14" i="1"/>
  <c r="X14" i="1"/>
  <c r="U14" i="1"/>
  <c r="T14" i="1"/>
  <c r="S14" i="1"/>
  <c r="R14" i="1"/>
  <c r="Q14" i="1"/>
  <c r="O14" i="1"/>
  <c r="N14" i="1"/>
  <c r="AQ14" i="1" s="1"/>
  <c r="AQ13" i="1"/>
  <c r="AN13" i="1"/>
  <c r="AM13" i="1"/>
  <c r="AL13" i="1"/>
  <c r="AK13" i="1"/>
  <c r="AJ13" i="1"/>
  <c r="AI13" i="1"/>
  <c r="AH13" i="1"/>
  <c r="AG13" i="1"/>
  <c r="AF13" i="1"/>
  <c r="AE13" i="1"/>
  <c r="AA13" i="1"/>
  <c r="Z13" i="1"/>
  <c r="Y13" i="1"/>
  <c r="X13" i="1"/>
  <c r="W13" i="1"/>
  <c r="V13" i="1"/>
  <c r="U13" i="1"/>
  <c r="T13" i="1"/>
  <c r="S13" i="1"/>
  <c r="P13" i="1"/>
  <c r="O13" i="1"/>
  <c r="N13" i="1"/>
  <c r="AP12" i="1"/>
  <c r="AO12" i="1"/>
  <c r="AN12" i="1"/>
  <c r="AM12" i="1"/>
  <c r="AL12" i="1"/>
  <c r="AI12" i="1"/>
  <c r="AH12" i="1"/>
  <c r="AG12" i="1"/>
  <c r="AD12" i="1"/>
  <c r="AA12" i="1"/>
  <c r="Z12" i="1"/>
  <c r="W12" i="1"/>
  <c r="V12" i="1"/>
  <c r="U12" i="1"/>
  <c r="T12" i="1"/>
  <c r="S12" i="1"/>
  <c r="R12" i="1"/>
  <c r="O12" i="1"/>
  <c r="N12" i="1"/>
  <c r="AQ12" i="1" s="1"/>
  <c r="AN11" i="1"/>
  <c r="AM11" i="1"/>
  <c r="AL11" i="1"/>
  <c r="AK11" i="1"/>
  <c r="AJ11" i="1"/>
  <c r="AI11" i="1"/>
  <c r="AG11" i="1"/>
  <c r="Y11" i="1"/>
  <c r="X11" i="1"/>
  <c r="W11" i="1"/>
  <c r="V11" i="1"/>
  <c r="U11" i="1"/>
  <c r="Q11" i="1"/>
  <c r="P11" i="1"/>
  <c r="N11" i="1"/>
  <c r="AB11" i="1" s="1"/>
  <c r="AR10" i="1"/>
  <c r="AQ10" i="1"/>
  <c r="AP10" i="1"/>
  <c r="AO10" i="1"/>
  <c r="AN10" i="1"/>
  <c r="AK10" i="1"/>
  <c r="AJ10" i="1"/>
  <c r="AI10" i="1"/>
  <c r="AH10" i="1"/>
  <c r="AG10" i="1"/>
  <c r="AF10" i="1"/>
  <c r="AE10" i="1"/>
  <c r="AD10" i="1"/>
  <c r="AC10" i="1"/>
  <c r="AB10" i="1"/>
  <c r="Z10" i="1"/>
  <c r="Y10" i="1"/>
  <c r="X10" i="1"/>
  <c r="W10" i="1"/>
  <c r="V10" i="1"/>
  <c r="U10" i="1"/>
  <c r="T10" i="1"/>
  <c r="S10" i="1"/>
  <c r="R10" i="1"/>
  <c r="Q10" i="1"/>
  <c r="P10" i="1"/>
  <c r="N10" i="1"/>
  <c r="AM10" i="1" s="1"/>
  <c r="AQ9" i="1"/>
  <c r="AP9" i="1"/>
  <c r="AO9" i="1"/>
  <c r="AM9" i="1"/>
  <c r="AK9" i="1"/>
  <c r="AB9" i="1"/>
  <c r="AA9" i="1"/>
  <c r="Y9" i="1"/>
  <c r="X9" i="1"/>
  <c r="T9" i="1"/>
  <c r="N9" i="1"/>
  <c r="AI9" i="1" s="1"/>
  <c r="AR8" i="1"/>
  <c r="AP8" i="1"/>
  <c r="AM8" i="1"/>
  <c r="AL8" i="1"/>
  <c r="AJ8" i="1"/>
  <c r="AA8" i="1"/>
  <c r="Z8" i="1"/>
  <c r="Y8" i="1"/>
  <c r="X8" i="1"/>
  <c r="V8" i="1"/>
  <c r="N8" i="1"/>
  <c r="AH8" i="1" s="1"/>
  <c r="AO7" i="1"/>
  <c r="AA7" i="1"/>
  <c r="N7" i="1"/>
  <c r="AR6" i="1"/>
  <c r="AO6" i="1"/>
  <c r="AH6" i="1"/>
  <c r="AG6" i="1"/>
  <c r="AF6" i="1"/>
  <c r="AD6" i="1"/>
  <c r="AC6" i="1"/>
  <c r="AA6" i="1"/>
  <c r="T6" i="1"/>
  <c r="R6" i="1"/>
  <c r="Q6" i="1"/>
  <c r="P6" i="1"/>
  <c r="O6" i="1"/>
  <c r="N6" i="1"/>
  <c r="AN6" i="1" s="1"/>
  <c r="AR5" i="1"/>
  <c r="AQ5" i="1"/>
  <c r="AP5" i="1"/>
  <c r="AO5" i="1"/>
  <c r="AN5" i="1"/>
  <c r="AM5" i="1"/>
  <c r="AK5" i="1"/>
  <c r="AJ5" i="1"/>
  <c r="AI5" i="1"/>
  <c r="AH5" i="1"/>
  <c r="AG5" i="1"/>
  <c r="AF5" i="1"/>
  <c r="AE5" i="1"/>
  <c r="AD5" i="1"/>
  <c r="AC5" i="1"/>
  <c r="AB5" i="1"/>
  <c r="AA5" i="1"/>
  <c r="Y5" i="1"/>
  <c r="X5" i="1"/>
  <c r="W5" i="1"/>
  <c r="V5" i="1"/>
  <c r="U5" i="1"/>
  <c r="T5" i="1"/>
  <c r="S5" i="1"/>
  <c r="R5" i="1"/>
  <c r="Q5" i="1"/>
  <c r="P5" i="1"/>
  <c r="O5" i="1"/>
  <c r="N5" i="1"/>
  <c r="AL5" i="1" s="1"/>
  <c r="AO4" i="1"/>
  <c r="AN4" i="1"/>
  <c r="AM4" i="1"/>
  <c r="AK4" i="1"/>
  <c r="AA4" i="1"/>
  <c r="Z4" i="1"/>
  <c r="Y4" i="1"/>
  <c r="V4" i="1"/>
  <c r="N4" i="1"/>
  <c r="AR3" i="1"/>
  <c r="AQ3" i="1"/>
  <c r="AP3" i="1"/>
  <c r="AM3" i="1"/>
  <c r="AL3" i="1"/>
  <c r="AK3" i="1"/>
  <c r="AJ3" i="1"/>
  <c r="AI3" i="1"/>
  <c r="AH3" i="1"/>
  <c r="AG3" i="1"/>
  <c r="AF3" i="1"/>
  <c r="AE3" i="1"/>
  <c r="AD3" i="1"/>
  <c r="AC3" i="1"/>
  <c r="Z3" i="1"/>
  <c r="Y3" i="1"/>
  <c r="X3" i="1"/>
  <c r="W3" i="1"/>
  <c r="V3" i="1"/>
  <c r="U3" i="1"/>
  <c r="T3" i="1"/>
  <c r="S3" i="1"/>
  <c r="R3" i="1"/>
  <c r="Q3" i="1"/>
  <c r="O3" i="1"/>
  <c r="N3" i="1"/>
  <c r="AR2" i="1"/>
  <c r="AE2" i="1"/>
  <c r="AD2" i="1"/>
  <c r="Q2" i="1"/>
  <c r="P2" i="1"/>
  <c r="N2" i="1"/>
  <c r="AO2" i="1" s="1"/>
  <c r="AO32" i="1" l="1"/>
  <c r="AC32" i="1"/>
  <c r="Q32" i="1"/>
  <c r="AN32" i="1"/>
  <c r="AB32" i="1"/>
  <c r="P32" i="1"/>
  <c r="AJ32" i="1"/>
  <c r="V32" i="1"/>
  <c r="AH32" i="1"/>
  <c r="T32" i="1"/>
  <c r="O39" i="1"/>
  <c r="U48" i="1"/>
  <c r="AF50" i="1"/>
  <c r="T57" i="1"/>
  <c r="R63" i="1"/>
  <c r="AO63" i="1"/>
  <c r="O73" i="1"/>
  <c r="AN73" i="1"/>
  <c r="AC75" i="1"/>
  <c r="AM77" i="1"/>
  <c r="O82" i="1"/>
  <c r="AE84" i="1"/>
  <c r="O86" i="1"/>
  <c r="AO91" i="1"/>
  <c r="AC91" i="1"/>
  <c r="Q91" i="1"/>
  <c r="AH91" i="1"/>
  <c r="U91" i="1"/>
  <c r="AM91" i="1"/>
  <c r="Y91" i="1"/>
  <c r="AQ91" i="1"/>
  <c r="AA91" i="1"/>
  <c r="AK91" i="1"/>
  <c r="V91" i="1"/>
  <c r="AJ91" i="1"/>
  <c r="T91" i="1"/>
  <c r="Z91" i="1"/>
  <c r="X91" i="1"/>
  <c r="AR91" i="1"/>
  <c r="W91" i="1"/>
  <c r="AN91" i="1"/>
  <c r="AJ97" i="1"/>
  <c r="AP48" i="1"/>
  <c r="AD48" i="1"/>
  <c r="R48" i="1"/>
  <c r="AR48" i="1"/>
  <c r="AE48" i="1"/>
  <c r="Q48" i="1"/>
  <c r="AF48" i="1"/>
  <c r="P48" i="1"/>
  <c r="O48" i="1"/>
  <c r="AC48" i="1"/>
  <c r="AL48" i="1"/>
  <c r="V48" i="1"/>
  <c r="AJ48" i="1"/>
  <c r="T48" i="1"/>
  <c r="AK48" i="1"/>
  <c r="AM57" i="1"/>
  <c r="AA57" i="1"/>
  <c r="O57" i="1"/>
  <c r="AL57" i="1"/>
  <c r="Y57" i="1"/>
  <c r="AK57" i="1"/>
  <c r="W57" i="1"/>
  <c r="AG57" i="1"/>
  <c r="S57" i="1"/>
  <c r="AF57" i="1"/>
  <c r="R57" i="1"/>
  <c r="AO57" i="1"/>
  <c r="U57" i="1"/>
  <c r="AJ57" i="1"/>
  <c r="Q57" i="1"/>
  <c r="AN57" i="1"/>
  <c r="R2" i="1"/>
  <c r="AG2" i="1"/>
  <c r="T2" i="1"/>
  <c r="AH2" i="1"/>
  <c r="O97" i="1"/>
  <c r="AO97" i="1"/>
  <c r="AJ7" i="1"/>
  <c r="X7" i="1"/>
  <c r="AG7" i="1"/>
  <c r="T7" i="1"/>
  <c r="AB7" i="1"/>
  <c r="AP7" i="1"/>
  <c r="AG39" i="1"/>
  <c r="U39" i="1"/>
  <c r="AH39" i="1"/>
  <c r="T39" i="1"/>
  <c r="AF39" i="1"/>
  <c r="S39" i="1"/>
  <c r="AN39" i="1"/>
  <c r="Y39" i="1"/>
  <c r="AL39" i="1"/>
  <c r="W39" i="1"/>
  <c r="AE39" i="1"/>
  <c r="AG4" i="1"/>
  <c r="U4" i="1"/>
  <c r="AJ4" i="1"/>
  <c r="W4" i="1"/>
  <c r="AP4" i="1"/>
  <c r="AO48" i="1"/>
  <c r="AQ63" i="1"/>
  <c r="AH44" i="1"/>
  <c r="V44" i="1"/>
  <c r="AI44" i="1"/>
  <c r="U44" i="1"/>
  <c r="AG44" i="1"/>
  <c r="T44" i="1"/>
  <c r="AF44" i="1"/>
  <c r="Q44" i="1"/>
  <c r="AD44" i="1"/>
  <c r="O44" i="1"/>
  <c r="AJ44" i="1"/>
  <c r="T19" i="1"/>
  <c r="AK19" i="1"/>
  <c r="U20" i="1"/>
  <c r="T21" i="1"/>
  <c r="AL21" i="1"/>
  <c r="AN27" i="1"/>
  <c r="AB27" i="1"/>
  <c r="P27" i="1"/>
  <c r="AM27" i="1"/>
  <c r="AA27" i="1"/>
  <c r="O27" i="1"/>
  <c r="AJ27" i="1"/>
  <c r="V27" i="1"/>
  <c r="AH27" i="1"/>
  <c r="T27" i="1"/>
  <c r="AF27" i="1"/>
  <c r="R28" i="1"/>
  <c r="AQ30" i="1"/>
  <c r="AE30" i="1"/>
  <c r="S30" i="1"/>
  <c r="AP30" i="1"/>
  <c r="AD30" i="1"/>
  <c r="R30" i="1"/>
  <c r="AN30" i="1"/>
  <c r="Z30" i="1"/>
  <c r="AL30" i="1"/>
  <c r="X30" i="1"/>
  <c r="AF30" i="1"/>
  <c r="Q31" i="1"/>
  <c r="AG31" i="1"/>
  <c r="U32" i="1"/>
  <c r="AL32" i="1"/>
  <c r="Y33" i="1"/>
  <c r="AO33" i="1"/>
  <c r="AN38" i="1"/>
  <c r="AB38" i="1"/>
  <c r="P38" i="1"/>
  <c r="AL38" i="1"/>
  <c r="Y38" i="1"/>
  <c r="AK38" i="1"/>
  <c r="X38" i="1"/>
  <c r="AO38" i="1"/>
  <c r="W38" i="1"/>
  <c r="AJ38" i="1"/>
  <c r="U38" i="1"/>
  <c r="AF38" i="1"/>
  <c r="R39" i="1"/>
  <c r="AM39" i="1"/>
  <c r="Z63" i="1"/>
  <c r="S73" i="1"/>
  <c r="AH75" i="1"/>
  <c r="Q77" i="1"/>
  <c r="AP77" i="1"/>
  <c r="AD80" i="1"/>
  <c r="X82" i="1"/>
  <c r="AJ84" i="1"/>
  <c r="X86" i="1"/>
  <c r="R91" i="1"/>
  <c r="AF95" i="1"/>
  <c r="P97" i="1"/>
  <c r="AP121" i="1"/>
  <c r="AD121" i="1"/>
  <c r="R121" i="1"/>
  <c r="AM121" i="1"/>
  <c r="Z121" i="1"/>
  <c r="AI121" i="1"/>
  <c r="U121" i="1"/>
  <c r="AQ121" i="1"/>
  <c r="AA121" i="1"/>
  <c r="AO121" i="1"/>
  <c r="X121" i="1"/>
  <c r="AK121" i="1"/>
  <c r="T121" i="1"/>
  <c r="AE121" i="1"/>
  <c r="AB121" i="1"/>
  <c r="W121" i="1"/>
  <c r="AR121" i="1"/>
  <c r="V121" i="1"/>
  <c r="AC121" i="1"/>
  <c r="Y121" i="1"/>
  <c r="S121" i="1"/>
  <c r="Q121" i="1"/>
  <c r="P121" i="1"/>
  <c r="O121" i="1"/>
  <c r="AL121" i="1"/>
  <c r="AH121" i="1"/>
  <c r="AO20" i="1"/>
  <c r="AC20" i="1"/>
  <c r="Q20" i="1"/>
  <c r="AN20" i="1"/>
  <c r="P20" i="1"/>
  <c r="AB20" i="1"/>
  <c r="AL20" i="1"/>
  <c r="X20" i="1"/>
  <c r="AE20" i="1"/>
  <c r="AC7" i="1"/>
  <c r="AG50" i="1"/>
  <c r="S63" i="1"/>
  <c r="AI97" i="1"/>
  <c r="W97" i="1"/>
  <c r="AR97" i="1"/>
  <c r="AE97" i="1"/>
  <c r="R97" i="1"/>
  <c r="AM97" i="1"/>
  <c r="Y97" i="1"/>
  <c r="AQ97" i="1"/>
  <c r="AB97" i="1"/>
  <c r="AL97" i="1"/>
  <c r="V97" i="1"/>
  <c r="AK97" i="1"/>
  <c r="U97" i="1"/>
  <c r="AA97" i="1"/>
  <c r="Z97" i="1"/>
  <c r="X97" i="1"/>
  <c r="P31" i="1"/>
  <c r="AF31" i="1"/>
  <c r="S32" i="1"/>
  <c r="AK32" i="1"/>
  <c r="X33" i="1"/>
  <c r="AN33" i="1"/>
  <c r="X57" i="1"/>
  <c r="AR58" i="1"/>
  <c r="AF58" i="1"/>
  <c r="T58" i="1"/>
  <c r="AH58" i="1"/>
  <c r="U58" i="1"/>
  <c r="AJ58" i="1"/>
  <c r="V58" i="1"/>
  <c r="AD58" i="1"/>
  <c r="P58" i="1"/>
  <c r="AQ58" i="1"/>
  <c r="AC58" i="1"/>
  <c r="O58" i="1"/>
  <c r="AA58" i="1"/>
  <c r="AP58" i="1"/>
  <c r="Y58" i="1"/>
  <c r="AL58" i="1"/>
  <c r="Q73" i="1"/>
  <c r="AP73" i="1"/>
  <c r="S86" i="1"/>
  <c r="P4" i="1"/>
  <c r="AD4" i="1"/>
  <c r="AR4" i="1"/>
  <c r="U6" i="1"/>
  <c r="AI6" i="1"/>
  <c r="R7" i="1"/>
  <c r="AF7" i="1"/>
  <c r="P8" i="1"/>
  <c r="AE8" i="1"/>
  <c r="O9" i="1"/>
  <c r="AD9" i="1"/>
  <c r="Z11" i="1"/>
  <c r="AO11" i="1"/>
  <c r="AK28" i="1"/>
  <c r="U36" i="1"/>
  <c r="AN36" i="1"/>
  <c r="Z57" i="1"/>
  <c r="Q58" i="1"/>
  <c r="AM58" i="1"/>
  <c r="X2" i="1"/>
  <c r="AL2" i="1"/>
  <c r="Q4" i="1"/>
  <c r="AE4" i="1"/>
  <c r="V6" i="1"/>
  <c r="AJ6" i="1"/>
  <c r="S7" i="1"/>
  <c r="AH7" i="1"/>
  <c r="R8" i="1"/>
  <c r="AF8" i="1"/>
  <c r="P9" i="1"/>
  <c r="AE9" i="1"/>
  <c r="AA11" i="1"/>
  <c r="AP11" i="1"/>
  <c r="AB12" i="1"/>
  <c r="AB14" i="1"/>
  <c r="AC15" i="1"/>
  <c r="AR15" i="1"/>
  <c r="AB16" i="1"/>
  <c r="U19" i="1"/>
  <c r="AL19" i="1"/>
  <c r="V20" i="1"/>
  <c r="AK20" i="1"/>
  <c r="X21" i="1"/>
  <c r="AM21" i="1"/>
  <c r="V24" i="1"/>
  <c r="AN24" i="1"/>
  <c r="AI26" i="1"/>
  <c r="W26" i="1"/>
  <c r="AH26" i="1"/>
  <c r="V26" i="1"/>
  <c r="AM26" i="1"/>
  <c r="Y26" i="1"/>
  <c r="AK26" i="1"/>
  <c r="U26" i="1"/>
  <c r="AD26" i="1"/>
  <c r="Q27" i="1"/>
  <c r="AG27" i="1"/>
  <c r="V28" i="1"/>
  <c r="AL28" i="1"/>
  <c r="O30" i="1"/>
  <c r="AG30" i="1"/>
  <c r="R31" i="1"/>
  <c r="W32" i="1"/>
  <c r="AM32" i="1"/>
  <c r="Z33" i="1"/>
  <c r="AP33" i="1"/>
  <c r="V36" i="1"/>
  <c r="AP36" i="1"/>
  <c r="O38" i="1"/>
  <c r="AG38" i="1"/>
  <c r="V39" i="1"/>
  <c r="AO39" i="1"/>
  <c r="AD43" i="1"/>
  <c r="R44" i="1"/>
  <c r="AL44" i="1"/>
  <c r="AC46" i="1"/>
  <c r="Q47" i="1"/>
  <c r="AM47" i="1"/>
  <c r="Z48" i="1"/>
  <c r="R50" i="1"/>
  <c r="AK50" i="1"/>
  <c r="AB57" i="1"/>
  <c r="R58" i="1"/>
  <c r="AN58" i="1"/>
  <c r="AG60" i="1"/>
  <c r="AA63" i="1"/>
  <c r="AK71" i="1"/>
  <c r="Y71" i="1"/>
  <c r="AO71" i="1"/>
  <c r="AB71" i="1"/>
  <c r="O71" i="1"/>
  <c r="AN71" i="1"/>
  <c r="Z71" i="1"/>
  <c r="AR71" i="1"/>
  <c r="AC71" i="1"/>
  <c r="AL71" i="1"/>
  <c r="V71" i="1"/>
  <c r="AJ71" i="1"/>
  <c r="U71" i="1"/>
  <c r="AA71" i="1"/>
  <c r="W71" i="1"/>
  <c r="AI71" i="1"/>
  <c r="T73" i="1"/>
  <c r="AJ75" i="1"/>
  <c r="R77" i="1"/>
  <c r="AE80" i="1"/>
  <c r="Y82" i="1"/>
  <c r="AK84" i="1"/>
  <c r="S91" i="1"/>
  <c r="AM93" i="1"/>
  <c r="AA93" i="1"/>
  <c r="O93" i="1"/>
  <c r="AK93" i="1"/>
  <c r="X93" i="1"/>
  <c r="AH93" i="1"/>
  <c r="T93" i="1"/>
  <c r="AQ93" i="1"/>
  <c r="AB93" i="1"/>
  <c r="AL93" i="1"/>
  <c r="V93" i="1"/>
  <c r="AJ93" i="1"/>
  <c r="U93" i="1"/>
  <c r="Z93" i="1"/>
  <c r="Y93" i="1"/>
  <c r="AR93" i="1"/>
  <c r="W93" i="1"/>
  <c r="AO93" i="1"/>
  <c r="Q97" i="1"/>
  <c r="AR106" i="1"/>
  <c r="AF106" i="1"/>
  <c r="T106" i="1"/>
  <c r="AM106" i="1"/>
  <c r="Z106" i="1"/>
  <c r="AI106" i="1"/>
  <c r="AO106" i="1"/>
  <c r="Y106" i="1"/>
  <c r="AG106" i="1"/>
  <c r="Q106" i="1"/>
  <c r="AD106" i="1"/>
  <c r="O106" i="1"/>
  <c r="AB106" i="1"/>
  <c r="AQ106" i="1"/>
  <c r="AA106" i="1"/>
  <c r="AE106" i="1"/>
  <c r="X106" i="1"/>
  <c r="W106" i="1"/>
  <c r="V106" i="1"/>
  <c r="U106" i="1"/>
  <c r="O20" i="1"/>
  <c r="AF20" i="1"/>
  <c r="S48" i="1"/>
  <c r="AM48" i="1"/>
  <c r="AN86" i="1"/>
  <c r="AB86" i="1"/>
  <c r="P86" i="1"/>
  <c r="AG86" i="1"/>
  <c r="T86" i="1"/>
  <c r="AO86" i="1"/>
  <c r="Z86" i="1"/>
  <c r="AH86" i="1"/>
  <c r="R86" i="1"/>
  <c r="AR86" i="1"/>
  <c r="AC86" i="1"/>
  <c r="AQ86" i="1"/>
  <c r="AA86" i="1"/>
  <c r="W86" i="1"/>
  <c r="AP86" i="1"/>
  <c r="V86" i="1"/>
  <c r="AM86" i="1"/>
  <c r="U86" i="1"/>
  <c r="AL86" i="1"/>
  <c r="R20" i="1"/>
  <c r="AG20" i="1"/>
  <c r="AJ31" i="1"/>
  <c r="X31" i="1"/>
  <c r="AI31" i="1"/>
  <c r="W31" i="1"/>
  <c r="AM31" i="1"/>
  <c r="Y31" i="1"/>
  <c r="AK31" i="1"/>
  <c r="U31" i="1"/>
  <c r="AD31" i="1"/>
  <c r="O32" i="1"/>
  <c r="AG32" i="1"/>
  <c r="S20" i="1"/>
  <c r="U2" i="1"/>
  <c r="AJ2" i="1"/>
  <c r="T20" i="1"/>
  <c r="AI20" i="1"/>
  <c r="P28" i="1"/>
  <c r="AQ77" i="1"/>
  <c r="AE77" i="1"/>
  <c r="S77" i="1"/>
  <c r="AK77" i="1"/>
  <c r="X77" i="1"/>
  <c r="AI77" i="1"/>
  <c r="U77" i="1"/>
  <c r="AL77" i="1"/>
  <c r="V77" i="1"/>
  <c r="AF77" i="1"/>
  <c r="P77" i="1"/>
  <c r="O77" i="1"/>
  <c r="AD77" i="1"/>
  <c r="AC77" i="1"/>
  <c r="AB77" i="1"/>
  <c r="AA77" i="1"/>
  <c r="AO77" i="1"/>
  <c r="V2" i="1"/>
  <c r="AK2" i="1"/>
  <c r="Z15" i="1"/>
  <c r="AQ15" i="1"/>
  <c r="U24" i="1"/>
  <c r="AM24" i="1"/>
  <c r="P44" i="1"/>
  <c r="AK44" i="1"/>
  <c r="O47" i="1"/>
  <c r="AL47" i="1"/>
  <c r="Y48" i="1"/>
  <c r="Q50" i="1"/>
  <c r="AJ50" i="1"/>
  <c r="Y2" i="1"/>
  <c r="AM2" i="1"/>
  <c r="R4" i="1"/>
  <c r="AF4" i="1"/>
  <c r="W6" i="1"/>
  <c r="AK6" i="1"/>
  <c r="U7" i="1"/>
  <c r="AI7" i="1"/>
  <c r="S8" i="1"/>
  <c r="AG8" i="1"/>
  <c r="Q9" i="1"/>
  <c r="AF9" i="1"/>
  <c r="AK12" i="1"/>
  <c r="Y12" i="1"/>
  <c r="AJ12" i="1"/>
  <c r="X12" i="1"/>
  <c r="AE12" i="1"/>
  <c r="Q12" i="1"/>
  <c r="AC12" i="1"/>
  <c r="AR12" i="1"/>
  <c r="AI14" i="1"/>
  <c r="W14" i="1"/>
  <c r="AH14" i="1"/>
  <c r="V14" i="1"/>
  <c r="AO14" i="1"/>
  <c r="AA14" i="1"/>
  <c r="AC14" i="1"/>
  <c r="AR14" i="1"/>
  <c r="AG16" i="1"/>
  <c r="U16" i="1"/>
  <c r="T16" i="1"/>
  <c r="AR16" i="1"/>
  <c r="AF16" i="1"/>
  <c r="AK16" i="1"/>
  <c r="W16" i="1"/>
  <c r="AC16" i="1"/>
  <c r="V19" i="1"/>
  <c r="AM19" i="1"/>
  <c r="W20" i="1"/>
  <c r="AM20" i="1"/>
  <c r="Y21" i="1"/>
  <c r="AN21" i="1"/>
  <c r="W24" i="1"/>
  <c r="AP24" i="1"/>
  <c r="R27" i="1"/>
  <c r="AI27" i="1"/>
  <c r="W28" i="1"/>
  <c r="P30" i="1"/>
  <c r="AH30" i="1"/>
  <c r="S31" i="1"/>
  <c r="AL31" i="1"/>
  <c r="X32" i="1"/>
  <c r="AP32" i="1"/>
  <c r="AA33" i="1"/>
  <c r="AQ33" i="1"/>
  <c r="Z36" i="1"/>
  <c r="AQ36" i="1"/>
  <c r="Q38" i="1"/>
  <c r="AH38" i="1"/>
  <c r="X39" i="1"/>
  <c r="AP39" i="1"/>
  <c r="S44" i="1"/>
  <c r="AM44" i="1"/>
  <c r="U47" i="1"/>
  <c r="AA48" i="1"/>
  <c r="S50" i="1"/>
  <c r="AL50" i="1"/>
  <c r="AC57" i="1"/>
  <c r="S58" i="1"/>
  <c r="AO58" i="1"/>
  <c r="P71" i="1"/>
  <c r="AM71" i="1"/>
  <c r="Z73" i="1"/>
  <c r="T77" i="1"/>
  <c r="AJ78" i="1"/>
  <c r="X78" i="1"/>
  <c r="AF78" i="1"/>
  <c r="S78" i="1"/>
  <c r="AG78" i="1"/>
  <c r="R78" i="1"/>
  <c r="AL78" i="1"/>
  <c r="V78" i="1"/>
  <c r="AE78" i="1"/>
  <c r="P78" i="1"/>
  <c r="AD78" i="1"/>
  <c r="O78" i="1"/>
  <c r="AO78" i="1"/>
  <c r="U78" i="1"/>
  <c r="AN78" i="1"/>
  <c r="T78" i="1"/>
  <c r="AM78" i="1"/>
  <c r="Q78" i="1"/>
  <c r="AR78" i="1"/>
  <c r="AG80" i="1"/>
  <c r="AC82" i="1"/>
  <c r="AD86" i="1"/>
  <c r="AB91" i="1"/>
  <c r="P93" i="1"/>
  <c r="AP93" i="1"/>
  <c r="AH95" i="1"/>
  <c r="S97" i="1"/>
  <c r="P106" i="1"/>
  <c r="AF32" i="1"/>
  <c r="P57" i="1"/>
  <c r="AP57" i="1"/>
  <c r="P39" i="1"/>
  <c r="AJ39" i="1"/>
  <c r="V57" i="1"/>
  <c r="AR57" i="1"/>
  <c r="Q86" i="1"/>
  <c r="T36" i="1"/>
  <c r="AL36" i="1"/>
  <c r="AI50" i="1"/>
  <c r="S4" i="1"/>
  <c r="AH4" i="1"/>
  <c r="X6" i="1"/>
  <c r="AM6" i="1"/>
  <c r="V7" i="1"/>
  <c r="AK7" i="1"/>
  <c r="T8" i="1"/>
  <c r="R9" i="1"/>
  <c r="AN15" i="1"/>
  <c r="AB15" i="1"/>
  <c r="P15" i="1"/>
  <c r="AA15" i="1"/>
  <c r="AM15" i="1"/>
  <c r="O15" i="1"/>
  <c r="AL15" i="1"/>
  <c r="X15" i="1"/>
  <c r="AE15" i="1"/>
  <c r="Z24" i="1"/>
  <c r="AR24" i="1"/>
  <c r="AO43" i="1"/>
  <c r="AC43" i="1"/>
  <c r="Q43" i="1"/>
  <c r="AM43" i="1"/>
  <c r="Z43" i="1"/>
  <c r="AL43" i="1"/>
  <c r="Y43" i="1"/>
  <c r="AG43" i="1"/>
  <c r="R43" i="1"/>
  <c r="AE43" i="1"/>
  <c r="O43" i="1"/>
  <c r="AH43" i="1"/>
  <c r="W44" i="1"/>
  <c r="AN44" i="1"/>
  <c r="T50" i="1"/>
  <c r="AG75" i="1"/>
  <c r="U75" i="1"/>
  <c r="AI75" i="1"/>
  <c r="V75" i="1"/>
  <c r="AR75" i="1"/>
  <c r="AD75" i="1"/>
  <c r="P75" i="1"/>
  <c r="AQ75" i="1"/>
  <c r="AB75" i="1"/>
  <c r="AM75" i="1"/>
  <c r="X75" i="1"/>
  <c r="AL75" i="1"/>
  <c r="W75" i="1"/>
  <c r="AA75" i="1"/>
  <c r="Z75" i="1"/>
  <c r="Y75" i="1"/>
  <c r="AN75" i="1"/>
  <c r="AE86" i="1"/>
  <c r="T97" i="1"/>
  <c r="R106" i="1"/>
  <c r="AG63" i="1"/>
  <c r="U63" i="1"/>
  <c r="AJ63" i="1"/>
  <c r="W63" i="1"/>
  <c r="AK63" i="1"/>
  <c r="V63" i="1"/>
  <c r="AE63" i="1"/>
  <c r="Q63" i="1"/>
  <c r="AR63" i="1"/>
  <c r="AD63" i="1"/>
  <c r="P63" i="1"/>
  <c r="AP63" i="1"/>
  <c r="Y63" i="1"/>
  <c r="AN63" i="1"/>
  <c r="T63" i="1"/>
  <c r="AL63" i="1"/>
  <c r="O63" i="1"/>
  <c r="AM63" i="1"/>
  <c r="O7" i="1"/>
  <c r="AQ7" i="1"/>
  <c r="AG28" i="1"/>
  <c r="U28" i="1"/>
  <c r="AR28" i="1"/>
  <c r="AF28" i="1"/>
  <c r="T28" i="1"/>
  <c r="AI28" i="1"/>
  <c r="S28" i="1"/>
  <c r="AE28" i="1"/>
  <c r="Q28" i="1"/>
  <c r="AD28" i="1"/>
  <c r="AB4" i="1"/>
  <c r="P7" i="1"/>
  <c r="AD7" i="1"/>
  <c r="AR7" i="1"/>
  <c r="AH20" i="1"/>
  <c r="O28" i="1"/>
  <c r="AH28" i="1"/>
  <c r="O31" i="1"/>
  <c r="AE31" i="1"/>
  <c r="R32" i="1"/>
  <c r="AI32" i="1"/>
  <c r="W48" i="1"/>
  <c r="AN50" i="1"/>
  <c r="AB50" i="1"/>
  <c r="P50" i="1"/>
  <c r="AH50" i="1"/>
  <c r="U50" i="1"/>
  <c r="AO50" i="1"/>
  <c r="Z50" i="1"/>
  <c r="AM50" i="1"/>
  <c r="Y50" i="1"/>
  <c r="AR50" i="1"/>
  <c r="AA50" i="1"/>
  <c r="AP50" i="1"/>
  <c r="W50" i="1"/>
  <c r="P73" i="1"/>
  <c r="AO73" i="1"/>
  <c r="P82" i="1"/>
  <c r="AN97" i="1"/>
  <c r="O4" i="1"/>
  <c r="AC4" i="1"/>
  <c r="AQ4" i="1"/>
  <c r="Q7" i="1"/>
  <c r="AE7" i="1"/>
  <c r="AO8" i="1"/>
  <c r="AC8" i="1"/>
  <c r="Q8" i="1"/>
  <c r="AN8" i="1"/>
  <c r="AQ8" i="1"/>
  <c r="AB8" i="1"/>
  <c r="O8" i="1"/>
  <c r="AD8" i="1"/>
  <c r="AH9" i="1"/>
  <c r="V9" i="1"/>
  <c r="AG9" i="1"/>
  <c r="U9" i="1"/>
  <c r="AN9" i="1"/>
  <c r="Z9" i="1"/>
  <c r="AC9" i="1"/>
  <c r="AR9" i="1"/>
  <c r="AJ28" i="1"/>
  <c r="Q39" i="1"/>
  <c r="AK39" i="1"/>
  <c r="AK47" i="1"/>
  <c r="Y47" i="1"/>
  <c r="AI47" i="1"/>
  <c r="AG47" i="1"/>
  <c r="T47" i="1"/>
  <c r="AF47" i="1"/>
  <c r="S47" i="1"/>
  <c r="AJ47" i="1"/>
  <c r="R47" i="1"/>
  <c r="AE47" i="1"/>
  <c r="P47" i="1"/>
  <c r="AH47" i="1"/>
  <c r="X48" i="1"/>
  <c r="AQ48" i="1"/>
  <c r="O50" i="1"/>
  <c r="X63" i="1"/>
  <c r="R82" i="1"/>
  <c r="Z2" i="1"/>
  <c r="AN2" i="1"/>
  <c r="AR11" i="1"/>
  <c r="AF11" i="1"/>
  <c r="T11" i="1"/>
  <c r="AQ11" i="1"/>
  <c r="S11" i="1"/>
  <c r="AE11" i="1"/>
  <c r="AH11" i="1"/>
  <c r="R11" i="1"/>
  <c r="AC11" i="1"/>
  <c r="Y19" i="1"/>
  <c r="AN19" i="1"/>
  <c r="Y20" i="1"/>
  <c r="AP20" i="1"/>
  <c r="Z21" i="1"/>
  <c r="AO21" i="1"/>
  <c r="S27" i="1"/>
  <c r="AK27" i="1"/>
  <c r="X28" i="1"/>
  <c r="AN28" i="1"/>
  <c r="Q30" i="1"/>
  <c r="AI30" i="1"/>
  <c r="T31" i="1"/>
  <c r="AN31" i="1"/>
  <c r="Y32" i="1"/>
  <c r="AQ32" i="1"/>
  <c r="AB33" i="1"/>
  <c r="AR33" i="1"/>
  <c r="AB36" i="1"/>
  <c r="AR36" i="1"/>
  <c r="R38" i="1"/>
  <c r="AI38" i="1"/>
  <c r="Z39" i="1"/>
  <c r="AQ39" i="1"/>
  <c r="AR46" i="1"/>
  <c r="AF46" i="1"/>
  <c r="T46" i="1"/>
  <c r="AL46" i="1"/>
  <c r="Y46" i="1"/>
  <c r="AK46" i="1"/>
  <c r="X46" i="1"/>
  <c r="AH46" i="1"/>
  <c r="R46" i="1"/>
  <c r="AE46" i="1"/>
  <c r="P46" i="1"/>
  <c r="AG46" i="1"/>
  <c r="V47" i="1"/>
  <c r="AO47" i="1"/>
  <c r="AB48" i="1"/>
  <c r="AD57" i="1"/>
  <c r="W58" i="1"/>
  <c r="AP60" i="1"/>
  <c r="AD60" i="1"/>
  <c r="R60" i="1"/>
  <c r="AK60" i="1"/>
  <c r="X60" i="1"/>
  <c r="AE60" i="1"/>
  <c r="P60" i="1"/>
  <c r="AN60" i="1"/>
  <c r="Z60" i="1"/>
  <c r="AM60" i="1"/>
  <c r="Y60" i="1"/>
  <c r="AH60" i="1"/>
  <c r="O60" i="1"/>
  <c r="AF60" i="1"/>
  <c r="AJ60" i="1"/>
  <c r="AC63" i="1"/>
  <c r="AC73" i="1"/>
  <c r="W77" i="1"/>
  <c r="AD82" i="1"/>
  <c r="AP84" i="1"/>
  <c r="AD84" i="1"/>
  <c r="R84" i="1"/>
  <c r="AQ84" i="1"/>
  <c r="AC84" i="1"/>
  <c r="P84" i="1"/>
  <c r="AF84" i="1"/>
  <c r="Q84" i="1"/>
  <c r="AH84" i="1"/>
  <c r="S84" i="1"/>
  <c r="AR84" i="1"/>
  <c r="AA84" i="1"/>
  <c r="Z84" i="1"/>
  <c r="AO84" i="1"/>
  <c r="W84" i="1"/>
  <c r="AN84" i="1"/>
  <c r="V84" i="1"/>
  <c r="AM84" i="1"/>
  <c r="U84" i="1"/>
  <c r="AA2" i="1"/>
  <c r="T4" i="1"/>
  <c r="AI4" i="1"/>
  <c r="Z6" i="1"/>
  <c r="W7" i="1"/>
  <c r="AL7" i="1"/>
  <c r="U8" i="1"/>
  <c r="AI8" i="1"/>
  <c r="S9" i="1"/>
  <c r="AJ9" i="1"/>
  <c r="O11" i="1"/>
  <c r="AD11" i="1"/>
  <c r="P12" i="1"/>
  <c r="AF12" i="1"/>
  <c r="P14" i="1"/>
  <c r="AE14" i="1"/>
  <c r="Q15" i="1"/>
  <c r="AF15" i="1"/>
  <c r="P16" i="1"/>
  <c r="AE16" i="1"/>
  <c r="Z19" i="1"/>
  <c r="Z20" i="1"/>
  <c r="AQ20" i="1"/>
  <c r="AA21" i="1"/>
  <c r="AP25" i="1"/>
  <c r="AD25" i="1"/>
  <c r="R25" i="1"/>
  <c r="AO25" i="1"/>
  <c r="AC25" i="1"/>
  <c r="Q25" i="1"/>
  <c r="AN25" i="1"/>
  <c r="Z25" i="1"/>
  <c r="AL25" i="1"/>
  <c r="X25" i="1"/>
  <c r="AF25" i="1"/>
  <c r="Q26" i="1"/>
  <c r="AG26" i="1"/>
  <c r="U27" i="1"/>
  <c r="AL27" i="1"/>
  <c r="Y28" i="1"/>
  <c r="AO28" i="1"/>
  <c r="T30" i="1"/>
  <c r="AJ30" i="1"/>
  <c r="V31" i="1"/>
  <c r="AO31" i="1"/>
  <c r="Z32" i="1"/>
  <c r="AR32" i="1"/>
  <c r="AI37" i="1"/>
  <c r="AQ37" i="1"/>
  <c r="AD37" i="1"/>
  <c r="R37" i="1"/>
  <c r="AP37" i="1"/>
  <c r="AC37" i="1"/>
  <c r="Q37" i="1"/>
  <c r="AM37" i="1"/>
  <c r="X37" i="1"/>
  <c r="AK37" i="1"/>
  <c r="V37" i="1"/>
  <c r="AF37" i="1"/>
  <c r="S38" i="1"/>
  <c r="AM38" i="1"/>
  <c r="AA39" i="1"/>
  <c r="AR39" i="1"/>
  <c r="P43" i="1"/>
  <c r="AI43" i="1"/>
  <c r="X44" i="1"/>
  <c r="AO44" i="1"/>
  <c r="O46" i="1"/>
  <c r="AI46" i="1"/>
  <c r="W47" i="1"/>
  <c r="AP47" i="1"/>
  <c r="AG48" i="1"/>
  <c r="V50" i="1"/>
  <c r="AG51" i="1"/>
  <c r="U51" i="1"/>
  <c r="AP51" i="1"/>
  <c r="AC51" i="1"/>
  <c r="P51" i="1"/>
  <c r="AL51" i="1"/>
  <c r="X51" i="1"/>
  <c r="AK51" i="1"/>
  <c r="W51" i="1"/>
  <c r="AD51" i="1"/>
  <c r="AR51" i="1"/>
  <c r="AA51" i="1"/>
  <c r="AH51" i="1"/>
  <c r="AE57" i="1"/>
  <c r="X58" i="1"/>
  <c r="Q60" i="1"/>
  <c r="AL60" i="1"/>
  <c r="AF63" i="1"/>
  <c r="AQ65" i="1"/>
  <c r="AE65" i="1"/>
  <c r="S65" i="1"/>
  <c r="AR65" i="1"/>
  <c r="AD65" i="1"/>
  <c r="Q65" i="1"/>
  <c r="AN65" i="1"/>
  <c r="Z65" i="1"/>
  <c r="AB65" i="1"/>
  <c r="AL65" i="1"/>
  <c r="W65" i="1"/>
  <c r="AK65" i="1"/>
  <c r="V65" i="1"/>
  <c r="AP65" i="1"/>
  <c r="U65" i="1"/>
  <c r="AM65" i="1"/>
  <c r="R65" i="1"/>
  <c r="AJ65" i="1"/>
  <c r="R71" i="1"/>
  <c r="AQ71" i="1"/>
  <c r="AD73" i="1"/>
  <c r="O75" i="1"/>
  <c r="AO75" i="1"/>
  <c r="Y77" i="1"/>
  <c r="Y78" i="1"/>
  <c r="O84" i="1"/>
  <c r="AF86" i="1"/>
  <c r="AE91" i="1"/>
  <c r="R93" i="1"/>
  <c r="AC97" i="1"/>
  <c r="AG99" i="1"/>
  <c r="U99" i="1"/>
  <c r="AI99" i="1"/>
  <c r="V99" i="1"/>
  <c r="AH99" i="1"/>
  <c r="S99" i="1"/>
  <c r="AQ99" i="1"/>
  <c r="AB99" i="1"/>
  <c r="AM99" i="1"/>
  <c r="X99" i="1"/>
  <c r="AL99" i="1"/>
  <c r="W99" i="1"/>
  <c r="AA99" i="1"/>
  <c r="Z99" i="1"/>
  <c r="AR99" i="1"/>
  <c r="Y99" i="1"/>
  <c r="AN99" i="1"/>
  <c r="S106" i="1"/>
  <c r="AR82" i="1"/>
  <c r="AF82" i="1"/>
  <c r="T82" i="1"/>
  <c r="AM82" i="1"/>
  <c r="Z82" i="1"/>
  <c r="AJ82" i="1"/>
  <c r="V82" i="1"/>
  <c r="AG82" i="1"/>
  <c r="Q82" i="1"/>
  <c r="AQ82" i="1"/>
  <c r="AB82" i="1"/>
  <c r="AP82" i="1"/>
  <c r="AA82" i="1"/>
  <c r="W82" i="1"/>
  <c r="AO82" i="1"/>
  <c r="U82" i="1"/>
  <c r="AN82" i="1"/>
  <c r="S82" i="1"/>
  <c r="AL82" i="1"/>
  <c r="Y7" i="1"/>
  <c r="AM7" i="1"/>
  <c r="AA20" i="1"/>
  <c r="AR20" i="1"/>
  <c r="Z28" i="1"/>
  <c r="AP28" i="1"/>
  <c r="AH48" i="1"/>
  <c r="X50" i="1"/>
  <c r="AH57" i="1"/>
  <c r="Z58" i="1"/>
  <c r="AH63" i="1"/>
  <c r="Q75" i="1"/>
  <c r="AP75" i="1"/>
  <c r="Z77" i="1"/>
  <c r="AH80" i="1"/>
  <c r="V80" i="1"/>
  <c r="AJ80" i="1"/>
  <c r="W80" i="1"/>
  <c r="AO80" i="1"/>
  <c r="AA80" i="1"/>
  <c r="AF80" i="1"/>
  <c r="Q80" i="1"/>
  <c r="AQ80" i="1"/>
  <c r="AB80" i="1"/>
  <c r="AP80" i="1"/>
  <c r="Z80" i="1"/>
  <c r="AR80" i="1"/>
  <c r="U80" i="1"/>
  <c r="AN80" i="1"/>
  <c r="T80" i="1"/>
  <c r="AM80" i="1"/>
  <c r="S80" i="1"/>
  <c r="AL80" i="1"/>
  <c r="AH82" i="1"/>
  <c r="T84" i="1"/>
  <c r="AI86" i="1"/>
  <c r="AF91" i="1"/>
  <c r="S93" i="1"/>
  <c r="AK95" i="1"/>
  <c r="Y95" i="1"/>
  <c r="AO95" i="1"/>
  <c r="AB95" i="1"/>
  <c r="O95" i="1"/>
  <c r="AR95" i="1"/>
  <c r="AD95" i="1"/>
  <c r="P95" i="1"/>
  <c r="AQ95" i="1"/>
  <c r="AA95" i="1"/>
  <c r="AL95" i="1"/>
  <c r="V95" i="1"/>
  <c r="AJ95" i="1"/>
  <c r="U95" i="1"/>
  <c r="Z95" i="1"/>
  <c r="X95" i="1"/>
  <c r="W95" i="1"/>
  <c r="AN95" i="1"/>
  <c r="AD97" i="1"/>
  <c r="AC106" i="1"/>
  <c r="AI73" i="1"/>
  <c r="W73" i="1"/>
  <c r="AR73" i="1"/>
  <c r="AE73" i="1"/>
  <c r="R73" i="1"/>
  <c r="AJ73" i="1"/>
  <c r="U73" i="1"/>
  <c r="AQ73" i="1"/>
  <c r="AB73" i="1"/>
  <c r="AM73" i="1"/>
  <c r="X73" i="1"/>
  <c r="AL73" i="1"/>
  <c r="V73" i="1"/>
  <c r="AA73" i="1"/>
  <c r="Y73" i="1"/>
  <c r="AK73" i="1"/>
  <c r="AI2" i="1"/>
  <c r="W2" i="1"/>
  <c r="AF2" i="1"/>
  <c r="S2" i="1"/>
  <c r="AB2" i="1"/>
  <c r="AP2" i="1"/>
  <c r="Z31" i="1"/>
  <c r="AP31" i="1"/>
  <c r="AA32" i="1"/>
  <c r="AH33" i="1"/>
  <c r="V33" i="1"/>
  <c r="AG33" i="1"/>
  <c r="U33" i="1"/>
  <c r="AI33" i="1"/>
  <c r="S33" i="1"/>
  <c r="AE33" i="1"/>
  <c r="Q33" i="1"/>
  <c r="AD33" i="1"/>
  <c r="AK36" i="1"/>
  <c r="Y36" i="1"/>
  <c r="AJ36" i="1"/>
  <c r="X36" i="1"/>
  <c r="AO36" i="1"/>
  <c r="AA36" i="1"/>
  <c r="AM36" i="1"/>
  <c r="W36" i="1"/>
  <c r="AD36" i="1"/>
  <c r="AB39" i="1"/>
  <c r="O2" i="1"/>
  <c r="AC2" i="1"/>
  <c r="AQ2" i="1"/>
  <c r="X4" i="1"/>
  <c r="AL4" i="1"/>
  <c r="AQ6" i="1"/>
  <c r="AE6" i="1"/>
  <c r="S6" i="1"/>
  <c r="AL6" i="1"/>
  <c r="Y6" i="1"/>
  <c r="AB6" i="1"/>
  <c r="AP6" i="1"/>
  <c r="Z7" i="1"/>
  <c r="AN7" i="1"/>
  <c r="W8" i="1"/>
  <c r="AK8" i="1"/>
  <c r="W9" i="1"/>
  <c r="AL9" i="1"/>
  <c r="AJ19" i="1"/>
  <c r="X19" i="1"/>
  <c r="AI19" i="1"/>
  <c r="W19" i="1"/>
  <c r="AO19" i="1"/>
  <c r="AA19" i="1"/>
  <c r="AC19" i="1"/>
  <c r="AR19" i="1"/>
  <c r="AD20" i="1"/>
  <c r="AH21" i="1"/>
  <c r="V21" i="1"/>
  <c r="AG21" i="1"/>
  <c r="U21" i="1"/>
  <c r="AK21" i="1"/>
  <c r="W21" i="1"/>
  <c r="AC21" i="1"/>
  <c r="AR21" i="1"/>
  <c r="AK24" i="1"/>
  <c r="Y24" i="1"/>
  <c r="AJ24" i="1"/>
  <c r="X24" i="1"/>
  <c r="AQ24" i="1"/>
  <c r="AC24" i="1"/>
  <c r="O24" i="1"/>
  <c r="AO24" i="1"/>
  <c r="AA24" i="1"/>
  <c r="AE24" i="1"/>
  <c r="X27" i="1"/>
  <c r="AP27" i="1"/>
  <c r="AA28" i="1"/>
  <c r="AQ28" i="1"/>
  <c r="V30" i="1"/>
  <c r="AM30" i="1"/>
  <c r="AA31" i="1"/>
  <c r="AQ31" i="1"/>
  <c r="AD32" i="1"/>
  <c r="O33" i="1"/>
  <c r="AF33" i="1"/>
  <c r="O36" i="1"/>
  <c r="AE36" i="1"/>
  <c r="V38" i="1"/>
  <c r="AQ38" i="1"/>
  <c r="AC39" i="1"/>
  <c r="T43" i="1"/>
  <c r="AK43" i="1"/>
  <c r="Z44" i="1"/>
  <c r="AQ44" i="1"/>
  <c r="S46" i="1"/>
  <c r="AM46" i="1"/>
  <c r="Z47" i="1"/>
  <c r="AR47" i="1"/>
  <c r="AI48" i="1"/>
  <c r="AC50" i="1"/>
  <c r="AI57" i="1"/>
  <c r="AB58" i="1"/>
  <c r="T60" i="1"/>
  <c r="AQ60" i="1"/>
  <c r="AI63" i="1"/>
  <c r="AH68" i="1"/>
  <c r="V68" i="1"/>
  <c r="AP68" i="1"/>
  <c r="AC68" i="1"/>
  <c r="P68" i="1"/>
  <c r="AG68" i="1"/>
  <c r="S68" i="1"/>
  <c r="AR68" i="1"/>
  <c r="AB68" i="1"/>
  <c r="AM68" i="1"/>
  <c r="X68" i="1"/>
  <c r="AL68" i="1"/>
  <c r="W68" i="1"/>
  <c r="AA68" i="1"/>
  <c r="Y68" i="1"/>
  <c r="AK68" i="1"/>
  <c r="T71" i="1"/>
  <c r="AG73" i="1"/>
  <c r="R75" i="1"/>
  <c r="AG77" i="1"/>
  <c r="AA78" i="1"/>
  <c r="O80" i="1"/>
  <c r="AM81" i="1"/>
  <c r="AA81" i="1"/>
  <c r="O81" i="1"/>
  <c r="AR81" i="1"/>
  <c r="AE81" i="1"/>
  <c r="R81" i="1"/>
  <c r="AL81" i="1"/>
  <c r="X81" i="1"/>
  <c r="AG81" i="1"/>
  <c r="Q81" i="1"/>
  <c r="AQ81" i="1"/>
  <c r="AB81" i="1"/>
  <c r="Z81" i="1"/>
  <c r="AP81" i="1"/>
  <c r="AH81" i="1"/>
  <c r="AF81" i="1"/>
  <c r="AD81" i="1"/>
  <c r="AN81" i="1"/>
  <c r="AI82" i="1"/>
  <c r="X84" i="1"/>
  <c r="AJ86" i="1"/>
  <c r="AG91" i="1"/>
  <c r="AC93" i="1"/>
  <c r="Q95" i="1"/>
  <c r="AP95" i="1"/>
  <c r="AF97" i="1"/>
  <c r="P99" i="1"/>
  <c r="AP99" i="1"/>
  <c r="AH106" i="1"/>
  <c r="AJ114" i="1"/>
  <c r="X114" i="1"/>
  <c r="AM114" i="1"/>
  <c r="Z114" i="1"/>
  <c r="AO114" i="1"/>
  <c r="AA114" i="1"/>
  <c r="AG114" i="1"/>
  <c r="R114" i="1"/>
  <c r="AN114" i="1"/>
  <c r="V114" i="1"/>
  <c r="AK114" i="1"/>
  <c r="T114" i="1"/>
  <c r="AH114" i="1"/>
  <c r="Q114" i="1"/>
  <c r="AF114" i="1"/>
  <c r="P114" i="1"/>
  <c r="AB114" i="1"/>
  <c r="Y114" i="1"/>
  <c r="W114" i="1"/>
  <c r="U114" i="1"/>
  <c r="AR114" i="1"/>
  <c r="S114" i="1"/>
  <c r="AQ114" i="1"/>
  <c r="O114" i="1"/>
  <c r="AJ139" i="1"/>
  <c r="X139" i="1"/>
  <c r="AP139" i="1"/>
  <c r="AC139" i="1"/>
  <c r="P139" i="1"/>
  <c r="AN139" i="1"/>
  <c r="Z139" i="1"/>
  <c r="AM139" i="1"/>
  <c r="Y139" i="1"/>
  <c r="AI139" i="1"/>
  <c r="U139" i="1"/>
  <c r="AH139" i="1"/>
  <c r="Q139" i="1"/>
  <c r="AG139" i="1"/>
  <c r="O139" i="1"/>
  <c r="AF139" i="1"/>
  <c r="AE139" i="1"/>
  <c r="AD139" i="1"/>
  <c r="AA139" i="1"/>
  <c r="W139" i="1"/>
  <c r="AO139" i="1"/>
  <c r="AL139" i="1"/>
  <c r="AK139" i="1"/>
  <c r="V139" i="1"/>
  <c r="T139" i="1"/>
  <c r="AK199" i="1"/>
  <c r="Y199" i="1"/>
  <c r="AQ199" i="1"/>
  <c r="AD199" i="1"/>
  <c r="Q199" i="1"/>
  <c r="AN199" i="1"/>
  <c r="Z199" i="1"/>
  <c r="AM199" i="1"/>
  <c r="X199" i="1"/>
  <c r="AL199" i="1"/>
  <c r="W199" i="1"/>
  <c r="AJ199" i="1"/>
  <c r="V199" i="1"/>
  <c r="AI199" i="1"/>
  <c r="U199" i="1"/>
  <c r="AA199" i="1"/>
  <c r="T199" i="1"/>
  <c r="S199" i="1"/>
  <c r="AR199" i="1"/>
  <c r="R199" i="1"/>
  <c r="AP199" i="1"/>
  <c r="P199" i="1"/>
  <c r="AO199" i="1"/>
  <c r="O199" i="1"/>
  <c r="AH199" i="1"/>
  <c r="AG199" i="1"/>
  <c r="AF199" i="1"/>
  <c r="AE199" i="1"/>
  <c r="AC199" i="1"/>
  <c r="AJ127" i="1"/>
  <c r="X127" i="1"/>
  <c r="AI127" i="1"/>
  <c r="V127" i="1"/>
  <c r="AR127" i="1"/>
  <c r="AD127" i="1"/>
  <c r="P127" i="1"/>
  <c r="AQ127" i="1"/>
  <c r="AC127" i="1"/>
  <c r="O127" i="1"/>
  <c r="AK127" i="1"/>
  <c r="S127" i="1"/>
  <c r="Z127" i="1"/>
  <c r="AP127" i="1"/>
  <c r="Y127" i="1"/>
  <c r="AN127" i="1"/>
  <c r="U127" i="1"/>
  <c r="AE127" i="1"/>
  <c r="AA127" i="1"/>
  <c r="T127" i="1"/>
  <c r="R127" i="1"/>
  <c r="AB199" i="1"/>
  <c r="AR23" i="1"/>
  <c r="AF23" i="1"/>
  <c r="T23" i="1"/>
  <c r="AQ23" i="1"/>
  <c r="AE23" i="1"/>
  <c r="S23" i="1"/>
  <c r="AB23" i="1"/>
  <c r="AP23" i="1"/>
  <c r="AQ41" i="1"/>
  <c r="AE41" i="1"/>
  <c r="S41" i="1"/>
  <c r="AJ41" i="1"/>
  <c r="W41" i="1"/>
  <c r="AI41" i="1"/>
  <c r="V41" i="1"/>
  <c r="AC41" i="1"/>
  <c r="AJ42" i="1"/>
  <c r="X42" i="1"/>
  <c r="AR42" i="1"/>
  <c r="AE42" i="1"/>
  <c r="R42" i="1"/>
  <c r="AQ42" i="1"/>
  <c r="Q42" i="1"/>
  <c r="AD42" i="1"/>
  <c r="AC42" i="1"/>
  <c r="AM45" i="1"/>
  <c r="AA45" i="1"/>
  <c r="O45" i="1"/>
  <c r="AQ45" i="1"/>
  <c r="AD45" i="1"/>
  <c r="Q45" i="1"/>
  <c r="AC45" i="1"/>
  <c r="P45" i="1"/>
  <c r="AP45" i="1"/>
  <c r="AF45" i="1"/>
  <c r="AO67" i="1"/>
  <c r="AC67" i="1"/>
  <c r="Q67" i="1"/>
  <c r="AH67" i="1"/>
  <c r="U67" i="1"/>
  <c r="AJ67" i="1"/>
  <c r="V67" i="1"/>
  <c r="AR67" i="1"/>
  <c r="AB67" i="1"/>
  <c r="AM67" i="1"/>
  <c r="X67" i="1"/>
  <c r="AL67" i="1"/>
  <c r="W67" i="1"/>
  <c r="AG67" i="1"/>
  <c r="AM69" i="1"/>
  <c r="AA69" i="1"/>
  <c r="O69" i="1"/>
  <c r="AK69" i="1"/>
  <c r="X69" i="1"/>
  <c r="AE69" i="1"/>
  <c r="Q69" i="1"/>
  <c r="AR69" i="1"/>
  <c r="AC69" i="1"/>
  <c r="AN69" i="1"/>
  <c r="W69" i="1"/>
  <c r="AL69" i="1"/>
  <c r="V69" i="1"/>
  <c r="AH69" i="1"/>
  <c r="AP72" i="1"/>
  <c r="AD72" i="1"/>
  <c r="R72" i="1"/>
  <c r="AJ72" i="1"/>
  <c r="W72" i="1"/>
  <c r="AL72" i="1"/>
  <c r="X72" i="1"/>
  <c r="AR72" i="1"/>
  <c r="AB72" i="1"/>
  <c r="AM72" i="1"/>
  <c r="V72" i="1"/>
  <c r="AK72" i="1"/>
  <c r="U72" i="1"/>
  <c r="AG72" i="1"/>
  <c r="AN74" i="1"/>
  <c r="AB74" i="1"/>
  <c r="P74" i="1"/>
  <c r="AM74" i="1"/>
  <c r="Z74" i="1"/>
  <c r="AG74" i="1"/>
  <c r="S74" i="1"/>
  <c r="AR74" i="1"/>
  <c r="AC74" i="1"/>
  <c r="AL74" i="1"/>
  <c r="W74" i="1"/>
  <c r="AK74" i="1"/>
  <c r="V74" i="1"/>
  <c r="AH74" i="1"/>
  <c r="AP96" i="1"/>
  <c r="AD96" i="1"/>
  <c r="R96" i="1"/>
  <c r="AJ96" i="1"/>
  <c r="W96" i="1"/>
  <c r="AO96" i="1"/>
  <c r="AA96" i="1"/>
  <c r="AR96" i="1"/>
  <c r="AB96" i="1"/>
  <c r="AL96" i="1"/>
  <c r="V96" i="1"/>
  <c r="AK96" i="1"/>
  <c r="U96" i="1"/>
  <c r="AG96" i="1"/>
  <c r="AN98" i="1"/>
  <c r="AB98" i="1"/>
  <c r="P98" i="1"/>
  <c r="AM98" i="1"/>
  <c r="Z98" i="1"/>
  <c r="AJ98" i="1"/>
  <c r="V98" i="1"/>
  <c r="AR98" i="1"/>
  <c r="AC98" i="1"/>
  <c r="AL98" i="1"/>
  <c r="W98" i="1"/>
  <c r="AK98" i="1"/>
  <c r="U98" i="1"/>
  <c r="AG98" i="1"/>
  <c r="AE111" i="1"/>
  <c r="AF116" i="1"/>
  <c r="AJ123" i="1"/>
  <c r="Q127" i="1"/>
  <c r="AI134" i="1"/>
  <c r="W134" i="1"/>
  <c r="AO134" i="1"/>
  <c r="AB134" i="1"/>
  <c r="O134" i="1"/>
  <c r="AP134" i="1"/>
  <c r="AA134" i="1"/>
  <c r="AN134" i="1"/>
  <c r="Z134" i="1"/>
  <c r="AK134" i="1"/>
  <c r="V134" i="1"/>
  <c r="AR134" i="1"/>
  <c r="X134" i="1"/>
  <c r="AE134" i="1"/>
  <c r="AD134" i="1"/>
  <c r="AC134" i="1"/>
  <c r="U134" i="1"/>
  <c r="AG134" i="1"/>
  <c r="AF134" i="1"/>
  <c r="Y134" i="1"/>
  <c r="S134" i="1"/>
  <c r="R134" i="1"/>
  <c r="AR139" i="1"/>
  <c r="AF111" i="1"/>
  <c r="AO115" i="1"/>
  <c r="AC115" i="1"/>
  <c r="Q115" i="1"/>
  <c r="AH115" i="1"/>
  <c r="U115" i="1"/>
  <c r="AL115" i="1"/>
  <c r="X115" i="1"/>
  <c r="AG115" i="1"/>
  <c r="R115" i="1"/>
  <c r="AQ115" i="1"/>
  <c r="Z115" i="1"/>
  <c r="AN115" i="1"/>
  <c r="W115" i="1"/>
  <c r="AK115" i="1"/>
  <c r="T115" i="1"/>
  <c r="AJ115" i="1"/>
  <c r="S115" i="1"/>
  <c r="AP115" i="1"/>
  <c r="AI116" i="1"/>
  <c r="W127" i="1"/>
  <c r="AO140" i="1"/>
  <c r="AC140" i="1"/>
  <c r="Q140" i="1"/>
  <c r="AK140" i="1"/>
  <c r="X140" i="1"/>
  <c r="AL140" i="1"/>
  <c r="W140" i="1"/>
  <c r="AJ140" i="1"/>
  <c r="V140" i="1"/>
  <c r="AG140" i="1"/>
  <c r="S140" i="1"/>
  <c r="AQ140" i="1"/>
  <c r="Y140" i="1"/>
  <c r="AP140" i="1"/>
  <c r="U140" i="1"/>
  <c r="AA140" i="1"/>
  <c r="Z140" i="1"/>
  <c r="T140" i="1"/>
  <c r="AN140" i="1"/>
  <c r="P140" i="1"/>
  <c r="AM140" i="1"/>
  <c r="O140" i="1"/>
  <c r="AR140" i="1"/>
  <c r="AI140" i="1"/>
  <c r="AF140" i="1"/>
  <c r="AE140" i="1"/>
  <c r="AO159" i="1"/>
  <c r="AC159" i="1"/>
  <c r="Q159" i="1"/>
  <c r="AR159" i="1"/>
  <c r="AE159" i="1"/>
  <c r="R159" i="1"/>
  <c r="AM159" i="1"/>
  <c r="Y159" i="1"/>
  <c r="AK159" i="1"/>
  <c r="W159" i="1"/>
  <c r="AP159" i="1"/>
  <c r="X159" i="1"/>
  <c r="AN159" i="1"/>
  <c r="V159" i="1"/>
  <c r="AI159" i="1"/>
  <c r="S159" i="1"/>
  <c r="AH159" i="1"/>
  <c r="AG159" i="1"/>
  <c r="T159" i="1"/>
  <c r="P159" i="1"/>
  <c r="O159" i="1"/>
  <c r="AL159" i="1"/>
  <c r="AJ159" i="1"/>
  <c r="AQ159" i="1"/>
  <c r="AD159" i="1"/>
  <c r="AB159" i="1"/>
  <c r="AQ89" i="1"/>
  <c r="AE89" i="1"/>
  <c r="S89" i="1"/>
  <c r="AR89" i="1"/>
  <c r="AD89" i="1"/>
  <c r="Q89" i="1"/>
  <c r="AC89" i="1"/>
  <c r="O89" i="1"/>
  <c r="AP89" i="1"/>
  <c r="AA89" i="1"/>
  <c r="AL89" i="1"/>
  <c r="W89" i="1"/>
  <c r="AK89" i="1"/>
  <c r="V89" i="1"/>
  <c r="AI89" i="1"/>
  <c r="AH92" i="1"/>
  <c r="V92" i="1"/>
  <c r="AP92" i="1"/>
  <c r="AC92" i="1"/>
  <c r="P92" i="1"/>
  <c r="AK92" i="1"/>
  <c r="W92" i="1"/>
  <c r="AQ92" i="1"/>
  <c r="AA92" i="1"/>
  <c r="AL92" i="1"/>
  <c r="U92" i="1"/>
  <c r="AJ92" i="1"/>
  <c r="T92" i="1"/>
  <c r="AG92" i="1"/>
  <c r="AR94" i="1"/>
  <c r="AF94" i="1"/>
  <c r="T94" i="1"/>
  <c r="AG94" i="1"/>
  <c r="S94" i="1"/>
  <c r="AE94" i="1"/>
  <c r="Q94" i="1"/>
  <c r="AP94" i="1"/>
  <c r="AA94" i="1"/>
  <c r="AL94" i="1"/>
  <c r="W94" i="1"/>
  <c r="AK94" i="1"/>
  <c r="V94" i="1"/>
  <c r="AI94" i="1"/>
  <c r="AN3" i="1"/>
  <c r="AB3" i="1"/>
  <c r="P3" i="1"/>
  <c r="AA3" i="1"/>
  <c r="AO3" i="1"/>
  <c r="AP13" i="1"/>
  <c r="AD13" i="1"/>
  <c r="R13" i="1"/>
  <c r="AO13" i="1"/>
  <c r="AC13" i="1"/>
  <c r="Q13" i="1"/>
  <c r="AB13" i="1"/>
  <c r="AR13" i="1"/>
  <c r="AQ18" i="1"/>
  <c r="AE18" i="1"/>
  <c r="S18" i="1"/>
  <c r="AP18" i="1"/>
  <c r="AD18" i="1"/>
  <c r="R18" i="1"/>
  <c r="AB18" i="1"/>
  <c r="AR18" i="1"/>
  <c r="P23" i="1"/>
  <c r="AD23" i="1"/>
  <c r="AR35" i="1"/>
  <c r="AF35" i="1"/>
  <c r="T35" i="1"/>
  <c r="AQ35" i="1"/>
  <c r="AE35" i="1"/>
  <c r="S35" i="1"/>
  <c r="AB35" i="1"/>
  <c r="AP35" i="1"/>
  <c r="P41" i="1"/>
  <c r="AF41" i="1"/>
  <c r="P42" i="1"/>
  <c r="AG42" i="1"/>
  <c r="S45" i="1"/>
  <c r="AH45" i="1"/>
  <c r="AH56" i="1"/>
  <c r="V56" i="1"/>
  <c r="AQ56" i="1"/>
  <c r="AD56" i="1"/>
  <c r="Q56" i="1"/>
  <c r="AN56" i="1"/>
  <c r="Z56" i="1"/>
  <c r="AJ56" i="1"/>
  <c r="U56" i="1"/>
  <c r="AI56" i="1"/>
  <c r="T56" i="1"/>
  <c r="AF56" i="1"/>
  <c r="P67" i="1"/>
  <c r="AK67" i="1"/>
  <c r="R69" i="1"/>
  <c r="AJ69" i="1"/>
  <c r="P72" i="1"/>
  <c r="AI72" i="1"/>
  <c r="Q74" i="1"/>
  <c r="AJ74" i="1"/>
  <c r="AK83" i="1"/>
  <c r="Y83" i="1"/>
  <c r="AH83" i="1"/>
  <c r="U83" i="1"/>
  <c r="AG83" i="1"/>
  <c r="S83" i="1"/>
  <c r="AF83" i="1"/>
  <c r="Q83" i="1"/>
  <c r="AQ83" i="1"/>
  <c r="AB83" i="1"/>
  <c r="AP83" i="1"/>
  <c r="AA83" i="1"/>
  <c r="AI83" i="1"/>
  <c r="AI85" i="1"/>
  <c r="W85" i="1"/>
  <c r="AL85" i="1"/>
  <c r="Y85" i="1"/>
  <c r="AQ85" i="1"/>
  <c r="AC85" i="1"/>
  <c r="O85" i="1"/>
  <c r="AG85" i="1"/>
  <c r="R85" i="1"/>
  <c r="AR85" i="1"/>
  <c r="AB85" i="1"/>
  <c r="AP85" i="1"/>
  <c r="AA85" i="1"/>
  <c r="AH85" i="1"/>
  <c r="AG87" i="1"/>
  <c r="U87" i="1"/>
  <c r="AO87" i="1"/>
  <c r="AB87" i="1"/>
  <c r="O87" i="1"/>
  <c r="AL87" i="1"/>
  <c r="X87" i="1"/>
  <c r="AH87" i="1"/>
  <c r="R87" i="1"/>
  <c r="AR87" i="1"/>
  <c r="AC87" i="1"/>
  <c r="AQ87" i="1"/>
  <c r="AA87" i="1"/>
  <c r="AI87" i="1"/>
  <c r="P89" i="1"/>
  <c r="AJ89" i="1"/>
  <c r="O92" i="1"/>
  <c r="AI92" i="1"/>
  <c r="O94" i="1"/>
  <c r="AJ94" i="1"/>
  <c r="P96" i="1"/>
  <c r="AI96" i="1"/>
  <c r="Q98" i="1"/>
  <c r="AI98" i="1"/>
  <c r="AN110" i="1"/>
  <c r="AB110" i="1"/>
  <c r="P110" i="1"/>
  <c r="AG110" i="1"/>
  <c r="T110" i="1"/>
  <c r="AM110" i="1"/>
  <c r="Y110" i="1"/>
  <c r="AO110" i="1"/>
  <c r="X110" i="1"/>
  <c r="AP110" i="1"/>
  <c r="W110" i="1"/>
  <c r="AK110" i="1"/>
  <c r="U110" i="1"/>
  <c r="AI110" i="1"/>
  <c r="R110" i="1"/>
  <c r="AH110" i="1"/>
  <c r="Q110" i="1"/>
  <c r="AQ110" i="1"/>
  <c r="O115" i="1"/>
  <c r="AR115" i="1"/>
  <c r="AB127" i="1"/>
  <c r="AM130" i="1"/>
  <c r="AA130" i="1"/>
  <c r="O130" i="1"/>
  <c r="AH130" i="1"/>
  <c r="U130" i="1"/>
  <c r="AK130" i="1"/>
  <c r="W130" i="1"/>
  <c r="AJ130" i="1"/>
  <c r="V130" i="1"/>
  <c r="AC130" i="1"/>
  <c r="AB130" i="1"/>
  <c r="AR130" i="1"/>
  <c r="Z130" i="1"/>
  <c r="AQ130" i="1"/>
  <c r="Y130" i="1"/>
  <c r="AO130" i="1"/>
  <c r="T130" i="1"/>
  <c r="AL130" i="1"/>
  <c r="AI130" i="1"/>
  <c r="AG130" i="1"/>
  <c r="AE130" i="1"/>
  <c r="AD130" i="1"/>
  <c r="Q134" i="1"/>
  <c r="R140" i="1"/>
  <c r="U159" i="1"/>
  <c r="AH116" i="1"/>
  <c r="V116" i="1"/>
  <c r="AP116" i="1"/>
  <c r="AC116" i="1"/>
  <c r="P116" i="1"/>
  <c r="AJ116" i="1"/>
  <c r="U116" i="1"/>
  <c r="AG116" i="1"/>
  <c r="R116" i="1"/>
  <c r="AB116" i="1"/>
  <c r="AQ116" i="1"/>
  <c r="Z116" i="1"/>
  <c r="AN116" i="1"/>
  <c r="X116" i="1"/>
  <c r="AM116" i="1"/>
  <c r="W116" i="1"/>
  <c r="AL116" i="1"/>
  <c r="AN123" i="1"/>
  <c r="AB123" i="1"/>
  <c r="P123" i="1"/>
  <c r="AQ123" i="1"/>
  <c r="AD123" i="1"/>
  <c r="Q123" i="1"/>
  <c r="AE123" i="1"/>
  <c r="O123" i="1"/>
  <c r="AR123" i="1"/>
  <c r="AP123" i="1"/>
  <c r="Z123" i="1"/>
  <c r="AF123" i="1"/>
  <c r="Y123" i="1"/>
  <c r="AC123" i="1"/>
  <c r="X123" i="1"/>
  <c r="AO123" i="1"/>
  <c r="V123" i="1"/>
  <c r="AM123" i="1"/>
  <c r="U123" i="1"/>
  <c r="AF127" i="1"/>
  <c r="Z159" i="1"/>
  <c r="AG111" i="1"/>
  <c r="U111" i="1"/>
  <c r="AO111" i="1"/>
  <c r="AB111" i="1"/>
  <c r="O111" i="1"/>
  <c r="AK111" i="1"/>
  <c r="W111" i="1"/>
  <c r="AN111" i="1"/>
  <c r="Y111" i="1"/>
  <c r="AR111" i="1"/>
  <c r="AA111" i="1"/>
  <c r="AP111" i="1"/>
  <c r="X111" i="1"/>
  <c r="AL111" i="1"/>
  <c r="T111" i="1"/>
  <c r="AJ111" i="1"/>
  <c r="S111" i="1"/>
  <c r="AM111" i="1"/>
  <c r="O116" i="1"/>
  <c r="AO116" i="1"/>
  <c r="R123" i="1"/>
  <c r="AG127" i="1"/>
  <c r="AD140" i="1"/>
  <c r="AI165" i="1"/>
  <c r="W165" i="1"/>
  <c r="AO165" i="1"/>
  <c r="AB165" i="1"/>
  <c r="O165" i="1"/>
  <c r="AM165" i="1"/>
  <c r="Y165" i="1"/>
  <c r="AK165" i="1"/>
  <c r="V165" i="1"/>
  <c r="AQ165" i="1"/>
  <c r="Z165" i="1"/>
  <c r="AP165" i="1"/>
  <c r="X165" i="1"/>
  <c r="AJ165" i="1"/>
  <c r="S165" i="1"/>
  <c r="AH165" i="1"/>
  <c r="R165" i="1"/>
  <c r="AD165" i="1"/>
  <c r="AC165" i="1"/>
  <c r="AA165" i="1"/>
  <c r="T165" i="1"/>
  <c r="Q165" i="1"/>
  <c r="AR165" i="1"/>
  <c r="AN165" i="1"/>
  <c r="AL165" i="1"/>
  <c r="AG165" i="1"/>
  <c r="AF165" i="1"/>
  <c r="AE165" i="1"/>
  <c r="Z34" i="1"/>
  <c r="AL34" i="1"/>
  <c r="AQ53" i="1"/>
  <c r="AE53" i="1"/>
  <c r="S53" i="1"/>
  <c r="AF53" i="1"/>
  <c r="R53" i="1"/>
  <c r="AB53" i="1"/>
  <c r="AP53" i="1"/>
  <c r="AQ101" i="1"/>
  <c r="AE101" i="1"/>
  <c r="S101" i="1"/>
  <c r="AK101" i="1"/>
  <c r="X101" i="1"/>
  <c r="AM101" i="1"/>
  <c r="Y101" i="1"/>
  <c r="AC101" i="1"/>
  <c r="AJ102" i="1"/>
  <c r="X102" i="1"/>
  <c r="AF102" i="1"/>
  <c r="S102" i="1"/>
  <c r="AK102" i="1"/>
  <c r="V102" i="1"/>
  <c r="AC102" i="1"/>
  <c r="AR102" i="1"/>
  <c r="Z104" i="1"/>
  <c r="AO104" i="1"/>
  <c r="Y105" i="1"/>
  <c r="AO105" i="1"/>
  <c r="AP108" i="1"/>
  <c r="AD108" i="1"/>
  <c r="R108" i="1"/>
  <c r="AQ108" i="1"/>
  <c r="AC108" i="1"/>
  <c r="P108" i="1"/>
  <c r="AE108" i="1"/>
  <c r="O108" i="1"/>
  <c r="AN108" i="1"/>
  <c r="Y108" i="1"/>
  <c r="AG108" i="1"/>
  <c r="AA118" i="1"/>
  <c r="AQ118" i="1"/>
  <c r="AL10" i="1"/>
  <c r="Z22" i="1"/>
  <c r="AL22" i="1"/>
  <c r="AI49" i="1"/>
  <c r="W49" i="1"/>
  <c r="AM49" i="1"/>
  <c r="Z49" i="1"/>
  <c r="AP49" i="1"/>
  <c r="W55" i="1"/>
  <c r="AK55" i="1"/>
  <c r="V61" i="1"/>
  <c r="AK61" i="1"/>
  <c r="Z5" i="1"/>
  <c r="O10" i="1"/>
  <c r="AA10" i="1"/>
  <c r="Z17" i="1"/>
  <c r="O22" i="1"/>
  <c r="AA22" i="1"/>
  <c r="Z29" i="1"/>
  <c r="O34" i="1"/>
  <c r="AA34" i="1"/>
  <c r="O49" i="1"/>
  <c r="AC49" i="1"/>
  <c r="AQ49" i="1"/>
  <c r="O53" i="1"/>
  <c r="AC53" i="1"/>
  <c r="AR53" i="1"/>
  <c r="X55" i="1"/>
  <c r="AK59" i="1"/>
  <c r="Y59" i="1"/>
  <c r="AP59" i="1"/>
  <c r="AC59" i="1"/>
  <c r="P59" i="1"/>
  <c r="AB59" i="1"/>
  <c r="AQ59" i="1"/>
  <c r="X61" i="1"/>
  <c r="V66" i="1"/>
  <c r="O101" i="1"/>
  <c r="AD101" i="1"/>
  <c r="O102" i="1"/>
  <c r="AD102" i="1"/>
  <c r="AA104" i="1"/>
  <c r="Z105" i="1"/>
  <c r="AK107" i="1"/>
  <c r="Y107" i="1"/>
  <c r="AH107" i="1"/>
  <c r="U107" i="1"/>
  <c r="AF107" i="1"/>
  <c r="R107" i="1"/>
  <c r="AO107" i="1"/>
  <c r="Z107" i="1"/>
  <c r="AD107" i="1"/>
  <c r="Q108" i="1"/>
  <c r="AH108" i="1"/>
  <c r="AK120" i="1"/>
  <c r="Y120" i="1"/>
  <c r="AR120" i="1"/>
  <c r="AE120" i="1"/>
  <c r="R120" i="1"/>
  <c r="AL120" i="1"/>
  <c r="W120" i="1"/>
  <c r="AP120" i="1"/>
  <c r="AA120" i="1"/>
  <c r="AM120" i="1"/>
  <c r="U120" i="1"/>
  <c r="AH120" i="1"/>
  <c r="Q120" i="1"/>
  <c r="AG120" i="1"/>
  <c r="AI122" i="1"/>
  <c r="W122" i="1"/>
  <c r="AH122" i="1"/>
  <c r="U122" i="1"/>
  <c r="AF122" i="1"/>
  <c r="R122" i="1"/>
  <c r="AP122" i="1"/>
  <c r="AA122" i="1"/>
  <c r="AR122" i="1"/>
  <c r="AB122" i="1"/>
  <c r="AN122" i="1"/>
  <c r="X122" i="1"/>
  <c r="AG122" i="1"/>
  <c r="AG148" i="1"/>
  <c r="U148" i="1"/>
  <c r="AL148" i="1"/>
  <c r="Y148" i="1"/>
  <c r="AE148" i="1"/>
  <c r="Q148" i="1"/>
  <c r="AR148" i="1"/>
  <c r="AD148" i="1"/>
  <c r="P148" i="1"/>
  <c r="AO148" i="1"/>
  <c r="AA148" i="1"/>
  <c r="AQ148" i="1"/>
  <c r="X148" i="1"/>
  <c r="AP148" i="1"/>
  <c r="W148" i="1"/>
  <c r="AI148" i="1"/>
  <c r="AH148" i="1"/>
  <c r="AF148" i="1"/>
  <c r="AB148" i="1"/>
  <c r="Z148" i="1"/>
  <c r="AP157" i="1"/>
  <c r="AD157" i="1"/>
  <c r="R157" i="1"/>
  <c r="AG157" i="1"/>
  <c r="T157" i="1"/>
  <c r="AR157" i="1"/>
  <c r="AE157" i="1"/>
  <c r="Q157" i="1"/>
  <c r="AK157" i="1"/>
  <c r="V157" i="1"/>
  <c r="AJ157" i="1"/>
  <c r="U157" i="1"/>
  <c r="AF157" i="1"/>
  <c r="O157" i="1"/>
  <c r="AC157" i="1"/>
  <c r="AB157" i="1"/>
  <c r="AA157" i="1"/>
  <c r="Z157" i="1"/>
  <c r="Y157" i="1"/>
  <c r="W157" i="1"/>
  <c r="AQ157" i="1"/>
  <c r="S157" i="1"/>
  <c r="AM161" i="1"/>
  <c r="AA161" i="1"/>
  <c r="O161" i="1"/>
  <c r="AH161" i="1"/>
  <c r="U161" i="1"/>
  <c r="AI161" i="1"/>
  <c r="T161" i="1"/>
  <c r="AF161" i="1"/>
  <c r="R161" i="1"/>
  <c r="AD161" i="1"/>
  <c r="AC161" i="1"/>
  <c r="AP161" i="1"/>
  <c r="Y161" i="1"/>
  <c r="AO161" i="1"/>
  <c r="S161" i="1"/>
  <c r="AN161" i="1"/>
  <c r="Q161" i="1"/>
  <c r="AL161" i="1"/>
  <c r="AK161" i="1"/>
  <c r="AJ161" i="1"/>
  <c r="AE161" i="1"/>
  <c r="AB161" i="1"/>
  <c r="AH104" i="1"/>
  <c r="V104" i="1"/>
  <c r="AJ104" i="1"/>
  <c r="W104" i="1"/>
  <c r="AR104" i="1"/>
  <c r="AD104" i="1"/>
  <c r="P104" i="1"/>
  <c r="AC104" i="1"/>
  <c r="AM105" i="1"/>
  <c r="AA105" i="1"/>
  <c r="O105" i="1"/>
  <c r="AR105" i="1"/>
  <c r="AE105" i="1"/>
  <c r="R105" i="1"/>
  <c r="AP105" i="1"/>
  <c r="AB105" i="1"/>
  <c r="AD105" i="1"/>
  <c r="AR118" i="1"/>
  <c r="AF118" i="1"/>
  <c r="T118" i="1"/>
  <c r="AG118" i="1"/>
  <c r="S118" i="1"/>
  <c r="AD118" i="1"/>
  <c r="P118" i="1"/>
  <c r="AI118" i="1"/>
  <c r="R118" i="1"/>
  <c r="AE118" i="1"/>
  <c r="AK156" i="1"/>
  <c r="Y156" i="1"/>
  <c r="AL156" i="1"/>
  <c r="X156" i="1"/>
  <c r="AI156" i="1"/>
  <c r="V156" i="1"/>
  <c r="AJ156" i="1"/>
  <c r="T156" i="1"/>
  <c r="AH156" i="1"/>
  <c r="S156" i="1"/>
  <c r="AE156" i="1"/>
  <c r="P156" i="1"/>
  <c r="AP156" i="1"/>
  <c r="U156" i="1"/>
  <c r="AO156" i="1"/>
  <c r="R156" i="1"/>
  <c r="AG156" i="1"/>
  <c r="AF156" i="1"/>
  <c r="AD156" i="1"/>
  <c r="AB156" i="1"/>
  <c r="AA156" i="1"/>
  <c r="AK144" i="1"/>
  <c r="Y144" i="1"/>
  <c r="AR144" i="1"/>
  <c r="AE144" i="1"/>
  <c r="R144" i="1"/>
  <c r="AO144" i="1"/>
  <c r="AA144" i="1"/>
  <c r="AN144" i="1"/>
  <c r="Z144" i="1"/>
  <c r="AJ144" i="1"/>
  <c r="V144" i="1"/>
  <c r="AI144" i="1"/>
  <c r="Q144" i="1"/>
  <c r="AH144" i="1"/>
  <c r="P144" i="1"/>
  <c r="AD144" i="1"/>
  <c r="AC144" i="1"/>
  <c r="AB144" i="1"/>
  <c r="W144" i="1"/>
  <c r="U144" i="1"/>
  <c r="S148" i="1"/>
  <c r="O156" i="1"/>
  <c r="AH157" i="1"/>
  <c r="W161" i="1"/>
  <c r="AO55" i="1"/>
  <c r="AC55" i="1"/>
  <c r="Q55" i="1"/>
  <c r="AI55" i="1"/>
  <c r="V55" i="1"/>
  <c r="AB55" i="1"/>
  <c r="AQ55" i="1"/>
  <c r="AI61" i="1"/>
  <c r="W61" i="1"/>
  <c r="AF61" i="1"/>
  <c r="S61" i="1"/>
  <c r="AB61" i="1"/>
  <c r="AP61" i="1"/>
  <c r="AJ66" i="1"/>
  <c r="X66" i="1"/>
  <c r="AM66" i="1"/>
  <c r="Z66" i="1"/>
  <c r="AL66" i="1"/>
  <c r="W66" i="1"/>
  <c r="AC66" i="1"/>
  <c r="AR66" i="1"/>
  <c r="T101" i="1"/>
  <c r="AI101" i="1"/>
  <c r="T102" i="1"/>
  <c r="AI102" i="1"/>
  <c r="Q104" i="1"/>
  <c r="AF104" i="1"/>
  <c r="Q105" i="1"/>
  <c r="AG105" i="1"/>
  <c r="V108" i="1"/>
  <c r="AL108" i="1"/>
  <c r="AM117" i="1"/>
  <c r="AA117" i="1"/>
  <c r="O117" i="1"/>
  <c r="AK117" i="1"/>
  <c r="X117" i="1"/>
  <c r="AG117" i="1"/>
  <c r="S117" i="1"/>
  <c r="AH117" i="1"/>
  <c r="R117" i="1"/>
  <c r="AE117" i="1"/>
  <c r="Q118" i="1"/>
  <c r="AJ118" i="1"/>
  <c r="T120" i="1"/>
  <c r="AO120" i="1"/>
  <c r="S122" i="1"/>
  <c r="AM122" i="1"/>
  <c r="AH129" i="1"/>
  <c r="V129" i="1"/>
  <c r="AM129" i="1"/>
  <c r="Z129" i="1"/>
  <c r="AN129" i="1"/>
  <c r="Y129" i="1"/>
  <c r="AL129" i="1"/>
  <c r="X129" i="1"/>
  <c r="AQ129" i="1"/>
  <c r="AA129" i="1"/>
  <c r="AO129" i="1"/>
  <c r="T129" i="1"/>
  <c r="AK129" i="1"/>
  <c r="S129" i="1"/>
  <c r="AJ129" i="1"/>
  <c r="R129" i="1"/>
  <c r="AG129" i="1"/>
  <c r="P129" i="1"/>
  <c r="AR129" i="1"/>
  <c r="AG136" i="1"/>
  <c r="U136" i="1"/>
  <c r="AR136" i="1"/>
  <c r="AE136" i="1"/>
  <c r="R136" i="1"/>
  <c r="AK136" i="1"/>
  <c r="W136" i="1"/>
  <c r="AJ136" i="1"/>
  <c r="V136" i="1"/>
  <c r="AF136" i="1"/>
  <c r="Q136" i="1"/>
  <c r="AM136" i="1"/>
  <c r="S136" i="1"/>
  <c r="AC136" i="1"/>
  <c r="AB136" i="1"/>
  <c r="AA136" i="1"/>
  <c r="AQ136" i="1"/>
  <c r="Y136" i="1"/>
  <c r="AP136" i="1"/>
  <c r="X136" i="1"/>
  <c r="O144" i="1"/>
  <c r="T148" i="1"/>
  <c r="Q156" i="1"/>
  <c r="AI157" i="1"/>
  <c r="X161" i="1"/>
  <c r="AP145" i="1"/>
  <c r="AD145" i="1"/>
  <c r="R145" i="1"/>
  <c r="AM145" i="1"/>
  <c r="Z145" i="1"/>
  <c r="AL145" i="1"/>
  <c r="X145" i="1"/>
  <c r="AK145" i="1"/>
  <c r="W145" i="1"/>
  <c r="AH145" i="1"/>
  <c r="T145" i="1"/>
  <c r="AR145" i="1"/>
  <c r="Y145" i="1"/>
  <c r="AQ145" i="1"/>
  <c r="V145" i="1"/>
  <c r="AI145" i="1"/>
  <c r="AP164" i="1"/>
  <c r="AD164" i="1"/>
  <c r="R164" i="1"/>
  <c r="AG164" i="1"/>
  <c r="T164" i="1"/>
  <c r="AO164" i="1"/>
  <c r="AA164" i="1"/>
  <c r="AM164" i="1"/>
  <c r="Y164" i="1"/>
  <c r="AL164" i="1"/>
  <c r="V164" i="1"/>
  <c r="AK164" i="1"/>
  <c r="U164" i="1"/>
  <c r="AH164" i="1"/>
  <c r="P164" i="1"/>
  <c r="AF164" i="1"/>
  <c r="O164" i="1"/>
  <c r="AI164" i="1"/>
  <c r="AE164" i="1"/>
  <c r="AC164" i="1"/>
  <c r="Z164" i="1"/>
  <c r="X164" i="1"/>
  <c r="AM185" i="1"/>
  <c r="AA185" i="1"/>
  <c r="O185" i="1"/>
  <c r="AG185" i="1"/>
  <c r="T185" i="1"/>
  <c r="AE185" i="1"/>
  <c r="Q185" i="1"/>
  <c r="AR185" i="1"/>
  <c r="AC185" i="1"/>
  <c r="AL185" i="1"/>
  <c r="W185" i="1"/>
  <c r="AQ185" i="1"/>
  <c r="Y185" i="1"/>
  <c r="AP185" i="1"/>
  <c r="X185" i="1"/>
  <c r="AO185" i="1"/>
  <c r="V185" i="1"/>
  <c r="AK185" i="1"/>
  <c r="S185" i="1"/>
  <c r="AI185" i="1"/>
  <c r="AH185" i="1"/>
  <c r="AF185" i="1"/>
  <c r="AD185" i="1"/>
  <c r="AB185" i="1"/>
  <c r="Z185" i="1"/>
  <c r="AN185" i="1"/>
  <c r="AJ185" i="1"/>
  <c r="AJ54" i="1"/>
  <c r="X54" i="1"/>
  <c r="AA54" i="1"/>
  <c r="AN54" i="1"/>
  <c r="AN62" i="1"/>
  <c r="AB62" i="1"/>
  <c r="P62" i="1"/>
  <c r="AA62" i="1"/>
  <c r="AO62" i="1"/>
  <c r="AR70" i="1"/>
  <c r="AF70" i="1"/>
  <c r="T70" i="1"/>
  <c r="AG70" i="1"/>
  <c r="S70" i="1"/>
  <c r="AB70" i="1"/>
  <c r="AP70" i="1"/>
  <c r="AJ90" i="1"/>
  <c r="X90" i="1"/>
  <c r="AM90" i="1"/>
  <c r="Z90" i="1"/>
  <c r="AB90" i="1"/>
  <c r="AP90" i="1"/>
  <c r="AK132" i="1"/>
  <c r="Y132" i="1"/>
  <c r="AL132" i="1"/>
  <c r="X132" i="1"/>
  <c r="AF132" i="1"/>
  <c r="R132" i="1"/>
  <c r="AE132" i="1"/>
  <c r="Q132" i="1"/>
  <c r="AI132" i="1"/>
  <c r="S132" i="1"/>
  <c r="AG132" i="1"/>
  <c r="AN135" i="1"/>
  <c r="AB135" i="1"/>
  <c r="P135" i="1"/>
  <c r="AJ135" i="1"/>
  <c r="W135" i="1"/>
  <c r="AM135" i="1"/>
  <c r="Y135" i="1"/>
  <c r="AL135" i="1"/>
  <c r="X135" i="1"/>
  <c r="AH135" i="1"/>
  <c r="T135" i="1"/>
  <c r="AE135" i="1"/>
  <c r="AG135" i="1"/>
  <c r="O145" i="1"/>
  <c r="AJ145" i="1"/>
  <c r="AH153" i="1"/>
  <c r="V153" i="1"/>
  <c r="AM153" i="1"/>
  <c r="Z153" i="1"/>
  <c r="AK153" i="1"/>
  <c r="X153" i="1"/>
  <c r="AJ153" i="1"/>
  <c r="T153" i="1"/>
  <c r="AI153" i="1"/>
  <c r="S153" i="1"/>
  <c r="AE153" i="1"/>
  <c r="P153" i="1"/>
  <c r="AP153" i="1"/>
  <c r="U153" i="1"/>
  <c r="AO153" i="1"/>
  <c r="R153" i="1"/>
  <c r="AN153" i="1"/>
  <c r="AJ158" i="1"/>
  <c r="AI158" i="1"/>
  <c r="W158" i="1"/>
  <c r="AP158" i="1"/>
  <c r="AB158" i="1"/>
  <c r="O158" i="1"/>
  <c r="AN158" i="1"/>
  <c r="Z158" i="1"/>
  <c r="AL158" i="1"/>
  <c r="U158" i="1"/>
  <c r="AK158" i="1"/>
  <c r="T158" i="1"/>
  <c r="AF158" i="1"/>
  <c r="Q158" i="1"/>
  <c r="AR158" i="1"/>
  <c r="V158" i="1"/>
  <c r="AQ158" i="1"/>
  <c r="S158" i="1"/>
  <c r="AO158" i="1"/>
  <c r="Q164" i="1"/>
  <c r="P185" i="1"/>
  <c r="R185" i="1"/>
  <c r="AH141" i="1"/>
  <c r="V141" i="1"/>
  <c r="AF141" i="1"/>
  <c r="S141" i="1"/>
  <c r="AJ141" i="1"/>
  <c r="U141" i="1"/>
  <c r="AI141" i="1"/>
  <c r="T141" i="1"/>
  <c r="AR141" i="1"/>
  <c r="AD141" i="1"/>
  <c r="P141" i="1"/>
  <c r="AC141" i="1"/>
  <c r="AB141" i="1"/>
  <c r="AL141" i="1"/>
  <c r="Q145" i="1"/>
  <c r="AO145" i="1"/>
  <c r="AH160" i="1"/>
  <c r="V160" i="1"/>
  <c r="AM160" i="1"/>
  <c r="Z160" i="1"/>
  <c r="AK160" i="1"/>
  <c r="W160" i="1"/>
  <c r="AI160" i="1"/>
  <c r="T160" i="1"/>
  <c r="AR160" i="1"/>
  <c r="AB160" i="1"/>
  <c r="AQ160" i="1"/>
  <c r="AA160" i="1"/>
  <c r="AN160" i="1"/>
  <c r="U160" i="1"/>
  <c r="AC160" i="1"/>
  <c r="Y160" i="1"/>
  <c r="AL160" i="1"/>
  <c r="W164" i="1"/>
  <c r="U185" i="1"/>
  <c r="AO128" i="1"/>
  <c r="AC128" i="1"/>
  <c r="Q128" i="1"/>
  <c r="AR128" i="1"/>
  <c r="AE128" i="1"/>
  <c r="R128" i="1"/>
  <c r="AP128" i="1"/>
  <c r="AA128" i="1"/>
  <c r="AN128" i="1"/>
  <c r="Z128" i="1"/>
  <c r="AL128" i="1"/>
  <c r="V128" i="1"/>
  <c r="AG128" i="1"/>
  <c r="O141" i="1"/>
  <c r="AM141" i="1"/>
  <c r="S145" i="1"/>
  <c r="AI146" i="1"/>
  <c r="W146" i="1"/>
  <c r="AH146" i="1"/>
  <c r="U146" i="1"/>
  <c r="AK146" i="1"/>
  <c r="V146" i="1"/>
  <c r="AJ146" i="1"/>
  <c r="T146" i="1"/>
  <c r="AE146" i="1"/>
  <c r="Q146" i="1"/>
  <c r="AD146" i="1"/>
  <c r="AC146" i="1"/>
  <c r="AL146" i="1"/>
  <c r="W153" i="1"/>
  <c r="AM154" i="1"/>
  <c r="AA154" i="1"/>
  <c r="O154" i="1"/>
  <c r="AH154" i="1"/>
  <c r="U154" i="1"/>
  <c r="AF154" i="1"/>
  <c r="S154" i="1"/>
  <c r="AK154" i="1"/>
  <c r="V154" i="1"/>
  <c r="AJ154" i="1"/>
  <c r="T154" i="1"/>
  <c r="AE154" i="1"/>
  <c r="P154" i="1"/>
  <c r="AD154" i="1"/>
  <c r="AC154" i="1"/>
  <c r="AO154" i="1"/>
  <c r="X158" i="1"/>
  <c r="O160" i="1"/>
  <c r="AO160" i="1"/>
  <c r="AB164" i="1"/>
  <c r="Q141" i="1"/>
  <c r="AN141" i="1"/>
  <c r="U145" i="1"/>
  <c r="AJ151" i="1"/>
  <c r="X151" i="1"/>
  <c r="AI151" i="1"/>
  <c r="V151" i="1"/>
  <c r="AG151" i="1"/>
  <c r="T151" i="1"/>
  <c r="AK151" i="1"/>
  <c r="S151" i="1"/>
  <c r="AH151" i="1"/>
  <c r="R151" i="1"/>
  <c r="AD151" i="1"/>
  <c r="O151" i="1"/>
  <c r="AP151" i="1"/>
  <c r="W151" i="1"/>
  <c r="AO151" i="1"/>
  <c r="U151" i="1"/>
  <c r="AN151" i="1"/>
  <c r="Y153" i="1"/>
  <c r="Y158" i="1"/>
  <c r="P160" i="1"/>
  <c r="AP160" i="1"/>
  <c r="AJ164" i="1"/>
  <c r="AN166" i="1"/>
  <c r="AB166" i="1"/>
  <c r="P166" i="1"/>
  <c r="AJ166" i="1"/>
  <c r="W166" i="1"/>
  <c r="AK166" i="1"/>
  <c r="V166" i="1"/>
  <c r="AH166" i="1"/>
  <c r="T166" i="1"/>
  <c r="AC166" i="1"/>
  <c r="AR166" i="1"/>
  <c r="AA166" i="1"/>
  <c r="AO166" i="1"/>
  <c r="X166" i="1"/>
  <c r="AM166" i="1"/>
  <c r="U166" i="1"/>
  <c r="AL166" i="1"/>
  <c r="AD169" i="1"/>
  <c r="AH172" i="1"/>
  <c r="V172" i="1"/>
  <c r="AI172" i="1"/>
  <c r="U172" i="1"/>
  <c r="AQ172" i="1"/>
  <c r="AC172" i="1"/>
  <c r="O172" i="1"/>
  <c r="AP172" i="1"/>
  <c r="AA172" i="1"/>
  <c r="AN172" i="1"/>
  <c r="Y172" i="1"/>
  <c r="AB172" i="1"/>
  <c r="Z172" i="1"/>
  <c r="AR172" i="1"/>
  <c r="X172" i="1"/>
  <c r="AM172" i="1"/>
  <c r="T172" i="1"/>
  <c r="AL172" i="1"/>
  <c r="S172" i="1"/>
  <c r="AF177" i="1"/>
  <c r="AI109" i="1"/>
  <c r="W109" i="1"/>
  <c r="AL109" i="1"/>
  <c r="Y109" i="1"/>
  <c r="AB109" i="1"/>
  <c r="AP109" i="1"/>
  <c r="AQ113" i="1"/>
  <c r="AE113" i="1"/>
  <c r="S113" i="1"/>
  <c r="AR113" i="1"/>
  <c r="AD113" i="1"/>
  <c r="Q113" i="1"/>
  <c r="AB113" i="1"/>
  <c r="AP113" i="1"/>
  <c r="AK119" i="1"/>
  <c r="Y119" i="1"/>
  <c r="AO119" i="1"/>
  <c r="AB119" i="1"/>
  <c r="O119" i="1"/>
  <c r="AC119" i="1"/>
  <c r="AQ119" i="1"/>
  <c r="AR131" i="1"/>
  <c r="AF131" i="1"/>
  <c r="T131" i="1"/>
  <c r="AP131" i="1"/>
  <c r="AC131" i="1"/>
  <c r="P131" i="1"/>
  <c r="AI131" i="1"/>
  <c r="U131" i="1"/>
  <c r="AH131" i="1"/>
  <c r="S131" i="1"/>
  <c r="AE131" i="1"/>
  <c r="O166" i="1"/>
  <c r="AP166" i="1"/>
  <c r="AF169" i="1"/>
  <c r="P172" i="1"/>
  <c r="AK175" i="1"/>
  <c r="Y175" i="1"/>
  <c r="AG175" i="1"/>
  <c r="T175" i="1"/>
  <c r="AJ175" i="1"/>
  <c r="V175" i="1"/>
  <c r="AQ175" i="1"/>
  <c r="AB175" i="1"/>
  <c r="AO175" i="1"/>
  <c r="Z175" i="1"/>
  <c r="AC175" i="1"/>
  <c r="AA175" i="1"/>
  <c r="AR175" i="1"/>
  <c r="X175" i="1"/>
  <c r="AN175" i="1"/>
  <c r="U175" i="1"/>
  <c r="AM175" i="1"/>
  <c r="S175" i="1"/>
  <c r="AP175" i="1"/>
  <c r="AR174" i="1"/>
  <c r="AF174" i="1"/>
  <c r="T174" i="1"/>
  <c r="AL174" i="1"/>
  <c r="Y174" i="1"/>
  <c r="AM174" i="1"/>
  <c r="X174" i="1"/>
  <c r="AQ174" i="1"/>
  <c r="AB174" i="1"/>
  <c r="AO174" i="1"/>
  <c r="Z174" i="1"/>
  <c r="AN174" i="1"/>
  <c r="U174" i="1"/>
  <c r="AK174" i="1"/>
  <c r="S174" i="1"/>
  <c r="AJ174" i="1"/>
  <c r="R174" i="1"/>
  <c r="AH174" i="1"/>
  <c r="P174" i="1"/>
  <c r="AG174" i="1"/>
  <c r="O174" i="1"/>
  <c r="AN190" i="1"/>
  <c r="AB190" i="1"/>
  <c r="P190" i="1"/>
  <c r="AI190" i="1"/>
  <c r="V190" i="1"/>
  <c r="AF190" i="1"/>
  <c r="R190" i="1"/>
  <c r="AO190" i="1"/>
  <c r="Y190" i="1"/>
  <c r="AM190" i="1"/>
  <c r="X190" i="1"/>
  <c r="AL190" i="1"/>
  <c r="W190" i="1"/>
  <c r="AJ190" i="1"/>
  <c r="T190" i="1"/>
  <c r="AH190" i="1"/>
  <c r="S190" i="1"/>
  <c r="AC190" i="1"/>
  <c r="AA190" i="1"/>
  <c r="Z190" i="1"/>
  <c r="Q190" i="1"/>
  <c r="AR190" i="1"/>
  <c r="O190" i="1"/>
  <c r="AQ190" i="1"/>
  <c r="AP190" i="1"/>
  <c r="AK190" i="1"/>
  <c r="AG190" i="1"/>
  <c r="AE190" i="1"/>
  <c r="Q174" i="1"/>
  <c r="U190" i="1"/>
  <c r="AQ169" i="1"/>
  <c r="AE169" i="1"/>
  <c r="S169" i="1"/>
  <c r="AJ169" i="1"/>
  <c r="W169" i="1"/>
  <c r="AK169" i="1"/>
  <c r="V169" i="1"/>
  <c r="AP169" i="1"/>
  <c r="AA169" i="1"/>
  <c r="AN169" i="1"/>
  <c r="Y169" i="1"/>
  <c r="AB169" i="1"/>
  <c r="Z169" i="1"/>
  <c r="AM169" i="1"/>
  <c r="T169" i="1"/>
  <c r="AL169" i="1"/>
  <c r="R169" i="1"/>
  <c r="AO169" i="1"/>
  <c r="V174" i="1"/>
  <c r="AI177" i="1"/>
  <c r="W177" i="1"/>
  <c r="AK177" i="1"/>
  <c r="X177" i="1"/>
  <c r="AE177" i="1"/>
  <c r="Q177" i="1"/>
  <c r="AQ177" i="1"/>
  <c r="AB177" i="1"/>
  <c r="AO177" i="1"/>
  <c r="Z177" i="1"/>
  <c r="AN177" i="1"/>
  <c r="U177" i="1"/>
  <c r="AM177" i="1"/>
  <c r="T177" i="1"/>
  <c r="AL177" i="1"/>
  <c r="S177" i="1"/>
  <c r="AH177" i="1"/>
  <c r="P177" i="1"/>
  <c r="AG177" i="1"/>
  <c r="O177" i="1"/>
  <c r="AO171" i="1"/>
  <c r="AC171" i="1"/>
  <c r="Q171" i="1"/>
  <c r="AM171" i="1"/>
  <c r="Z171" i="1"/>
  <c r="AF171" i="1"/>
  <c r="R171" i="1"/>
  <c r="AQ171" i="1"/>
  <c r="AA171" i="1"/>
  <c r="AN171" i="1"/>
  <c r="X171" i="1"/>
  <c r="AG171" i="1"/>
  <c r="AJ182" i="1"/>
  <c r="X182" i="1"/>
  <c r="AH182" i="1"/>
  <c r="AM182" i="1"/>
  <c r="Y182" i="1"/>
  <c r="AR182" i="1"/>
  <c r="AC182" i="1"/>
  <c r="O182" i="1"/>
  <c r="AG182" i="1"/>
  <c r="R182" i="1"/>
  <c r="AF182" i="1"/>
  <c r="Q182" i="1"/>
  <c r="AE182" i="1"/>
  <c r="P182" i="1"/>
  <c r="AL182" i="1"/>
  <c r="AG239" i="1"/>
  <c r="U239" i="1"/>
  <c r="AQ239" i="1"/>
  <c r="AE239" i="1"/>
  <c r="S239" i="1"/>
  <c r="AK239" i="1"/>
  <c r="W239" i="1"/>
  <c r="AJ239" i="1"/>
  <c r="V239" i="1"/>
  <c r="AI239" i="1"/>
  <c r="T239" i="1"/>
  <c r="AF239" i="1"/>
  <c r="Q239" i="1"/>
  <c r="AL239" i="1"/>
  <c r="X239" i="1"/>
  <c r="AB239" i="1"/>
  <c r="AA239" i="1"/>
  <c r="Z239" i="1"/>
  <c r="AR239" i="1"/>
  <c r="R239" i="1"/>
  <c r="AP239" i="1"/>
  <c r="P239" i="1"/>
  <c r="AC239" i="1"/>
  <c r="AN239" i="1"/>
  <c r="AM239" i="1"/>
  <c r="AH239" i="1"/>
  <c r="AD239" i="1"/>
  <c r="Y239" i="1"/>
  <c r="AO239" i="1"/>
  <c r="O239" i="1"/>
  <c r="AN147" i="1"/>
  <c r="AB147" i="1"/>
  <c r="P147" i="1"/>
  <c r="AQ147" i="1"/>
  <c r="AD147" i="1"/>
  <c r="Q147" i="1"/>
  <c r="AC147" i="1"/>
  <c r="AR147" i="1"/>
  <c r="AO152" i="1"/>
  <c r="AC152" i="1"/>
  <c r="Q152" i="1"/>
  <c r="AR152" i="1"/>
  <c r="AE152" i="1"/>
  <c r="R152" i="1"/>
  <c r="AP152" i="1"/>
  <c r="AB152" i="1"/>
  <c r="O152" i="1"/>
  <c r="AF152" i="1"/>
  <c r="O171" i="1"/>
  <c r="AH171" i="1"/>
  <c r="S182" i="1"/>
  <c r="AN182" i="1"/>
  <c r="AH232" i="1"/>
  <c r="V232" i="1"/>
  <c r="AR232" i="1"/>
  <c r="AF232" i="1"/>
  <c r="T232" i="1"/>
  <c r="AM232" i="1"/>
  <c r="Y232" i="1"/>
  <c r="AL232" i="1"/>
  <c r="X232" i="1"/>
  <c r="AN232" i="1"/>
  <c r="Z232" i="1"/>
  <c r="AC232" i="1"/>
  <c r="AB232" i="1"/>
  <c r="AA232" i="1"/>
  <c r="AP232" i="1"/>
  <c r="U232" i="1"/>
  <c r="AD232" i="1"/>
  <c r="AI232" i="1"/>
  <c r="AG232" i="1"/>
  <c r="AE232" i="1"/>
  <c r="W232" i="1"/>
  <c r="S232" i="1"/>
  <c r="AQ232" i="1"/>
  <c r="O232" i="1"/>
  <c r="AO232" i="1"/>
  <c r="AK232" i="1"/>
  <c r="AJ232" i="1"/>
  <c r="R232" i="1"/>
  <c r="Q232" i="1"/>
  <c r="P232" i="1"/>
  <c r="AP133" i="1"/>
  <c r="AD133" i="1"/>
  <c r="R133" i="1"/>
  <c r="AG133" i="1"/>
  <c r="T133" i="1"/>
  <c r="AB133" i="1"/>
  <c r="AQ133" i="1"/>
  <c r="AR143" i="1"/>
  <c r="AF143" i="1"/>
  <c r="T143" i="1"/>
  <c r="AJ143" i="1"/>
  <c r="W143" i="1"/>
  <c r="AB143" i="1"/>
  <c r="AP143" i="1"/>
  <c r="S147" i="1"/>
  <c r="AG147" i="1"/>
  <c r="T152" i="1"/>
  <c r="AI152" i="1"/>
  <c r="AR162" i="1"/>
  <c r="AF162" i="1"/>
  <c r="T162" i="1"/>
  <c r="AP162" i="1"/>
  <c r="AC162" i="1"/>
  <c r="P162" i="1"/>
  <c r="AG162" i="1"/>
  <c r="R162" i="1"/>
  <c r="AD162" i="1"/>
  <c r="O162" i="1"/>
  <c r="AH162" i="1"/>
  <c r="AJ170" i="1"/>
  <c r="X170" i="1"/>
  <c r="AR170" i="1"/>
  <c r="AE170" i="1"/>
  <c r="R170" i="1"/>
  <c r="AH170" i="1"/>
  <c r="T170" i="1"/>
  <c r="AP170" i="1"/>
  <c r="AA170" i="1"/>
  <c r="AN170" i="1"/>
  <c r="Y170" i="1"/>
  <c r="AF170" i="1"/>
  <c r="T171" i="1"/>
  <c r="AK171" i="1"/>
  <c r="AM173" i="1"/>
  <c r="AA173" i="1"/>
  <c r="O173" i="1"/>
  <c r="AQ173" i="1"/>
  <c r="AD173" i="1"/>
  <c r="Q173" i="1"/>
  <c r="AO173" i="1"/>
  <c r="Z173" i="1"/>
  <c r="AR173" i="1"/>
  <c r="AB173" i="1"/>
  <c r="AN173" i="1"/>
  <c r="X173" i="1"/>
  <c r="AG173" i="1"/>
  <c r="AP176" i="1"/>
  <c r="AD176" i="1"/>
  <c r="R176" i="1"/>
  <c r="AO176" i="1"/>
  <c r="AB176" i="1"/>
  <c r="O176" i="1"/>
  <c r="AH176" i="1"/>
  <c r="T176" i="1"/>
  <c r="AR176" i="1"/>
  <c r="AA176" i="1"/>
  <c r="AN176" i="1"/>
  <c r="Y176" i="1"/>
  <c r="AG176" i="1"/>
  <c r="V182" i="1"/>
  <c r="AQ182" i="1"/>
  <c r="AQ205" i="1"/>
  <c r="AE205" i="1"/>
  <c r="AF205" i="1"/>
  <c r="S205" i="1"/>
  <c r="AN205" i="1"/>
  <c r="Z205" i="1"/>
  <c r="AJ205" i="1"/>
  <c r="U205" i="1"/>
  <c r="AI205" i="1"/>
  <c r="T205" i="1"/>
  <c r="AH205" i="1"/>
  <c r="R205" i="1"/>
  <c r="AG205" i="1"/>
  <c r="Q205" i="1"/>
  <c r="AD205" i="1"/>
  <c r="P205" i="1"/>
  <c r="AM205" i="1"/>
  <c r="AL205" i="1"/>
  <c r="AK205" i="1"/>
  <c r="AC205" i="1"/>
  <c r="AB205" i="1"/>
  <c r="AA205" i="1"/>
  <c r="AR205" i="1"/>
  <c r="AP205" i="1"/>
  <c r="Y205" i="1"/>
  <c r="X205" i="1"/>
  <c r="AO79" i="1"/>
  <c r="AC79" i="1"/>
  <c r="Q79" i="1"/>
  <c r="AA79" i="1"/>
  <c r="AN79" i="1"/>
  <c r="AO103" i="1"/>
  <c r="AC103" i="1"/>
  <c r="Q103" i="1"/>
  <c r="AA103" i="1"/>
  <c r="AN103" i="1"/>
  <c r="AG124" i="1"/>
  <c r="U124" i="1"/>
  <c r="AL124" i="1"/>
  <c r="Y124" i="1"/>
  <c r="AB124" i="1"/>
  <c r="AP124" i="1"/>
  <c r="O133" i="1"/>
  <c r="AC133" i="1"/>
  <c r="AR133" i="1"/>
  <c r="AQ138" i="1"/>
  <c r="AE138" i="1"/>
  <c r="S138" i="1"/>
  <c r="AH138" i="1"/>
  <c r="U138" i="1"/>
  <c r="AB138" i="1"/>
  <c r="AP138" i="1"/>
  <c r="O143" i="1"/>
  <c r="AC143" i="1"/>
  <c r="AQ143" i="1"/>
  <c r="T147" i="1"/>
  <c r="AH147" i="1"/>
  <c r="U152" i="1"/>
  <c r="AJ152" i="1"/>
  <c r="Q162" i="1"/>
  <c r="AI162" i="1"/>
  <c r="AG167" i="1"/>
  <c r="U167" i="1"/>
  <c r="AH167" i="1"/>
  <c r="AE167" i="1"/>
  <c r="R167" i="1"/>
  <c r="AJ167" i="1"/>
  <c r="T167" i="1"/>
  <c r="AF167" i="1"/>
  <c r="Q167" i="1"/>
  <c r="AD167" i="1"/>
  <c r="O170" i="1"/>
  <c r="AG170" i="1"/>
  <c r="U171" i="1"/>
  <c r="AL171" i="1"/>
  <c r="P173" i="1"/>
  <c r="AH173" i="1"/>
  <c r="P176" i="1"/>
  <c r="AI176" i="1"/>
  <c r="W182" i="1"/>
  <c r="AO183" i="1"/>
  <c r="AC183" i="1"/>
  <c r="Q183" i="1"/>
  <c r="AQ183" i="1"/>
  <c r="AD183" i="1"/>
  <c r="P183" i="1"/>
  <c r="AJ183" i="1"/>
  <c r="V183" i="1"/>
  <c r="AB183" i="1"/>
  <c r="AK183" i="1"/>
  <c r="T183" i="1"/>
  <c r="AI183" i="1"/>
  <c r="S183" i="1"/>
  <c r="AH183" i="1"/>
  <c r="R183" i="1"/>
  <c r="AM183" i="1"/>
  <c r="O205" i="1"/>
  <c r="AG191" i="1"/>
  <c r="U191" i="1"/>
  <c r="AQ191" i="1"/>
  <c r="AD191" i="1"/>
  <c r="Q191" i="1"/>
  <c r="AR191" i="1"/>
  <c r="AC191" i="1"/>
  <c r="O191" i="1"/>
  <c r="AN191" i="1"/>
  <c r="Y191" i="1"/>
  <c r="AM191" i="1"/>
  <c r="X191" i="1"/>
  <c r="AL191" i="1"/>
  <c r="W191" i="1"/>
  <c r="AJ191" i="1"/>
  <c r="T191" i="1"/>
  <c r="AI191" i="1"/>
  <c r="S191" i="1"/>
  <c r="AP191" i="1"/>
  <c r="AR155" i="1"/>
  <c r="AF155" i="1"/>
  <c r="T155" i="1"/>
  <c r="AA155" i="1"/>
  <c r="AN155" i="1"/>
  <c r="AK163" i="1"/>
  <c r="Y163" i="1"/>
  <c r="AL163" i="1"/>
  <c r="X163" i="1"/>
  <c r="AB163" i="1"/>
  <c r="AP163" i="1"/>
  <c r="AQ181" i="1"/>
  <c r="AE181" i="1"/>
  <c r="S181" i="1"/>
  <c r="AP181" i="1"/>
  <c r="AC181" i="1"/>
  <c r="P181" i="1"/>
  <c r="AF181" i="1"/>
  <c r="Q181" i="1"/>
  <c r="AD181" i="1"/>
  <c r="R191" i="1"/>
  <c r="AI201" i="1"/>
  <c r="W201" i="1"/>
  <c r="AG201" i="1"/>
  <c r="T201" i="1"/>
  <c r="AJ201" i="1"/>
  <c r="U201" i="1"/>
  <c r="AH201" i="1"/>
  <c r="S201" i="1"/>
  <c r="AF201" i="1"/>
  <c r="R201" i="1"/>
  <c r="AE201" i="1"/>
  <c r="Q201" i="1"/>
  <c r="AR201" i="1"/>
  <c r="AD201" i="1"/>
  <c r="P201" i="1"/>
  <c r="AL201" i="1"/>
  <c r="AK201" i="1"/>
  <c r="AC201" i="1"/>
  <c r="AB201" i="1"/>
  <c r="AA201" i="1"/>
  <c r="Z201" i="1"/>
  <c r="AP188" i="1"/>
  <c r="AD188" i="1"/>
  <c r="R188" i="1"/>
  <c r="AF188" i="1"/>
  <c r="S188" i="1"/>
  <c r="AL188" i="1"/>
  <c r="X188" i="1"/>
  <c r="AR188" i="1"/>
  <c r="AB188" i="1"/>
  <c r="AQ188" i="1"/>
  <c r="AA188" i="1"/>
  <c r="AO188" i="1"/>
  <c r="Z188" i="1"/>
  <c r="AK188" i="1"/>
  <c r="V188" i="1"/>
  <c r="AI188" i="1"/>
  <c r="V191" i="1"/>
  <c r="O201" i="1"/>
  <c r="Z40" i="1"/>
  <c r="Z52" i="1"/>
  <c r="Z64" i="1"/>
  <c r="Z76" i="1"/>
  <c r="Z88" i="1"/>
  <c r="Z100" i="1"/>
  <c r="Z112" i="1"/>
  <c r="AQ126" i="1"/>
  <c r="AE126" i="1"/>
  <c r="S126" i="1"/>
  <c r="AA126" i="1"/>
  <c r="AN126" i="1"/>
  <c r="AM142" i="1"/>
  <c r="AA142" i="1"/>
  <c r="O142" i="1"/>
  <c r="AB142" i="1"/>
  <c r="AO142" i="1"/>
  <c r="AQ150" i="1"/>
  <c r="AE150" i="1"/>
  <c r="S150" i="1"/>
  <c r="AA150" i="1"/>
  <c r="AN150" i="1"/>
  <c r="P155" i="1"/>
  <c r="AC155" i="1"/>
  <c r="AP155" i="1"/>
  <c r="P163" i="1"/>
  <c r="AD163" i="1"/>
  <c r="AR163" i="1"/>
  <c r="R181" i="1"/>
  <c r="AH181" i="1"/>
  <c r="O188" i="1"/>
  <c r="AJ188" i="1"/>
  <c r="Z191" i="1"/>
  <c r="AJ194" i="1"/>
  <c r="X194" i="1"/>
  <c r="AO194" i="1"/>
  <c r="AB194" i="1"/>
  <c r="O194" i="1"/>
  <c r="AL194" i="1"/>
  <c r="W194" i="1"/>
  <c r="AK194" i="1"/>
  <c r="V194" i="1"/>
  <c r="AI194" i="1"/>
  <c r="U194" i="1"/>
  <c r="AG194" i="1"/>
  <c r="S194" i="1"/>
  <c r="AE194" i="1"/>
  <c r="AD194" i="1"/>
  <c r="AC194" i="1"/>
  <c r="Z194" i="1"/>
  <c r="AR194" i="1"/>
  <c r="Y194" i="1"/>
  <c r="V201" i="1"/>
  <c r="AQ193" i="1"/>
  <c r="AE193" i="1"/>
  <c r="S193" i="1"/>
  <c r="AG193" i="1"/>
  <c r="T193" i="1"/>
  <c r="AN193" i="1"/>
  <c r="Z193" i="1"/>
  <c r="AM193" i="1"/>
  <c r="Y193" i="1"/>
  <c r="AL193" i="1"/>
  <c r="X193" i="1"/>
  <c r="AJ193" i="1"/>
  <c r="V193" i="1"/>
  <c r="AH193" i="1"/>
  <c r="AO195" i="1"/>
  <c r="AC195" i="1"/>
  <c r="Q195" i="1"/>
  <c r="AJ195" i="1"/>
  <c r="W195" i="1"/>
  <c r="AI195" i="1"/>
  <c r="U195" i="1"/>
  <c r="AH195" i="1"/>
  <c r="T195" i="1"/>
  <c r="AG195" i="1"/>
  <c r="S195" i="1"/>
  <c r="AE195" i="1"/>
  <c r="P195" i="1"/>
  <c r="AL195" i="1"/>
  <c r="AR210" i="1"/>
  <c r="AF210" i="1"/>
  <c r="T210" i="1"/>
  <c r="AH210" i="1"/>
  <c r="U210" i="1"/>
  <c r="AO210" i="1"/>
  <c r="AA210" i="1"/>
  <c r="AN210" i="1"/>
  <c r="Z210" i="1"/>
  <c r="AB210" i="1"/>
  <c r="AQ210" i="1"/>
  <c r="Y210" i="1"/>
  <c r="AP210" i="1"/>
  <c r="X210" i="1"/>
  <c r="AM210" i="1"/>
  <c r="W210" i="1"/>
  <c r="AL210" i="1"/>
  <c r="V210" i="1"/>
  <c r="AK210" i="1"/>
  <c r="S210" i="1"/>
  <c r="P193" i="1"/>
  <c r="AK193" i="1"/>
  <c r="R195" i="1"/>
  <c r="AN195" i="1"/>
  <c r="AP200" i="1"/>
  <c r="AD200" i="1"/>
  <c r="R200" i="1"/>
  <c r="AL200" i="1"/>
  <c r="Y200" i="1"/>
  <c r="AK200" i="1"/>
  <c r="W200" i="1"/>
  <c r="AJ200" i="1"/>
  <c r="V200" i="1"/>
  <c r="AI200" i="1"/>
  <c r="U200" i="1"/>
  <c r="AH200" i="1"/>
  <c r="T200" i="1"/>
  <c r="AG200" i="1"/>
  <c r="S200" i="1"/>
  <c r="AN200" i="1"/>
  <c r="O210" i="1"/>
  <c r="AJ218" i="1"/>
  <c r="X218" i="1"/>
  <c r="AF218" i="1"/>
  <c r="S218" i="1"/>
  <c r="AN218" i="1"/>
  <c r="Z218" i="1"/>
  <c r="AK218" i="1"/>
  <c r="U218" i="1"/>
  <c r="AI218" i="1"/>
  <c r="T218" i="1"/>
  <c r="AH218" i="1"/>
  <c r="R218" i="1"/>
  <c r="AE218" i="1"/>
  <c r="P218" i="1"/>
  <c r="AL218" i="1"/>
  <c r="AG218" i="1"/>
  <c r="AD218" i="1"/>
  <c r="AC218" i="1"/>
  <c r="AB218" i="1"/>
  <c r="AA218" i="1"/>
  <c r="Q193" i="1"/>
  <c r="AO193" i="1"/>
  <c r="V195" i="1"/>
  <c r="AP195" i="1"/>
  <c r="P210" i="1"/>
  <c r="O218" i="1"/>
  <c r="Z125" i="1"/>
  <c r="Z137" i="1"/>
  <c r="Z149" i="1"/>
  <c r="AN178" i="1"/>
  <c r="AB178" i="1"/>
  <c r="P178" i="1"/>
  <c r="AF178" i="1"/>
  <c r="S178" i="1"/>
  <c r="AC178" i="1"/>
  <c r="AQ178" i="1"/>
  <c r="AH184" i="1"/>
  <c r="V184" i="1"/>
  <c r="AL184" i="1"/>
  <c r="Y184" i="1"/>
  <c r="AG184" i="1"/>
  <c r="S184" i="1"/>
  <c r="AC184" i="1"/>
  <c r="AR184" i="1"/>
  <c r="AK187" i="1"/>
  <c r="Y187" i="1"/>
  <c r="AJ187" i="1"/>
  <c r="W187" i="1"/>
  <c r="AO187" i="1"/>
  <c r="AA187" i="1"/>
  <c r="AC187" i="1"/>
  <c r="AR187" i="1"/>
  <c r="R193" i="1"/>
  <c r="AP193" i="1"/>
  <c r="X195" i="1"/>
  <c r="AQ195" i="1"/>
  <c r="P200" i="1"/>
  <c r="AQ200" i="1"/>
  <c r="Q210" i="1"/>
  <c r="Q218" i="1"/>
  <c r="AG179" i="1"/>
  <c r="U179" i="1"/>
  <c r="AA179" i="1"/>
  <c r="AN179" i="1"/>
  <c r="AR186" i="1"/>
  <c r="AF186" i="1"/>
  <c r="T186" i="1"/>
  <c r="AO186" i="1"/>
  <c r="AB186" i="1"/>
  <c r="O186" i="1"/>
  <c r="AC186" i="1"/>
  <c r="AQ186" i="1"/>
  <c r="AH196" i="1"/>
  <c r="V196" i="1"/>
  <c r="AR196" i="1"/>
  <c r="AE196" i="1"/>
  <c r="R196" i="1"/>
  <c r="AB196" i="1"/>
  <c r="AP196" i="1"/>
  <c r="Y197" i="1"/>
  <c r="X198" i="1"/>
  <c r="AL198" i="1"/>
  <c r="AA202" i="1"/>
  <c r="Z203" i="1"/>
  <c r="AH208" i="1"/>
  <c r="V208" i="1"/>
  <c r="AQ208" i="1"/>
  <c r="AD208" i="1"/>
  <c r="Q208" i="1"/>
  <c r="AF208" i="1"/>
  <c r="R208" i="1"/>
  <c r="AE208" i="1"/>
  <c r="P208" i="1"/>
  <c r="AG208" i="1"/>
  <c r="V211" i="1"/>
  <c r="AO211" i="1"/>
  <c r="AA212" i="1"/>
  <c r="AR212" i="1"/>
  <c r="AN202" i="1"/>
  <c r="AB202" i="1"/>
  <c r="P202" i="1"/>
  <c r="AP202" i="1"/>
  <c r="AC202" i="1"/>
  <c r="O202" i="1"/>
  <c r="AD202" i="1"/>
  <c r="AR202" i="1"/>
  <c r="Z211" i="1"/>
  <c r="AQ211" i="1"/>
  <c r="AI213" i="1"/>
  <c r="W213" i="1"/>
  <c r="AF213" i="1"/>
  <c r="S213" i="1"/>
  <c r="AH213" i="1"/>
  <c r="T213" i="1"/>
  <c r="AG213" i="1"/>
  <c r="R213" i="1"/>
  <c r="AD213" i="1"/>
  <c r="AM197" i="1"/>
  <c r="AA197" i="1"/>
  <c r="O197" i="1"/>
  <c r="AN197" i="1"/>
  <c r="Z197" i="1"/>
  <c r="AC197" i="1"/>
  <c r="AQ197" i="1"/>
  <c r="Z198" i="1"/>
  <c r="AN198" i="1"/>
  <c r="Q202" i="1"/>
  <c r="AE202" i="1"/>
  <c r="AG203" i="1"/>
  <c r="U203" i="1"/>
  <c r="AK203" i="1"/>
  <c r="X203" i="1"/>
  <c r="AB203" i="1"/>
  <c r="AP203" i="1"/>
  <c r="AO207" i="1"/>
  <c r="AC207" i="1"/>
  <c r="Q207" i="1"/>
  <c r="AI207" i="1"/>
  <c r="V207" i="1"/>
  <c r="AH207" i="1"/>
  <c r="T207" i="1"/>
  <c r="AG207" i="1"/>
  <c r="S207" i="1"/>
  <c r="AE207" i="1"/>
  <c r="AA211" i="1"/>
  <c r="AR211" i="1"/>
  <c r="O213" i="1"/>
  <c r="AE213" i="1"/>
  <c r="AM221" i="1"/>
  <c r="AA221" i="1"/>
  <c r="O221" i="1"/>
  <c r="AP221" i="1"/>
  <c r="AC221" i="1"/>
  <c r="P221" i="1"/>
  <c r="AR221" i="1"/>
  <c r="AE221" i="1"/>
  <c r="R221" i="1"/>
  <c r="AH221" i="1"/>
  <c r="S221" i="1"/>
  <c r="AJ221" i="1"/>
  <c r="U221" i="1"/>
  <c r="Y221" i="1"/>
  <c r="AQ221" i="1"/>
  <c r="X221" i="1"/>
  <c r="AO221" i="1"/>
  <c r="W221" i="1"/>
  <c r="AN221" i="1"/>
  <c r="V221" i="1"/>
  <c r="AL221" i="1"/>
  <c r="T221" i="1"/>
  <c r="AO231" i="1"/>
  <c r="AC231" i="1"/>
  <c r="Q231" i="1"/>
  <c r="AM231" i="1"/>
  <c r="AA231" i="1"/>
  <c r="O231" i="1"/>
  <c r="AP231" i="1"/>
  <c r="Z231" i="1"/>
  <c r="AN231" i="1"/>
  <c r="Y231" i="1"/>
  <c r="AQ231" i="1"/>
  <c r="AB231" i="1"/>
  <c r="AL231" i="1"/>
  <c r="U231" i="1"/>
  <c r="AK231" i="1"/>
  <c r="T231" i="1"/>
  <c r="AJ231" i="1"/>
  <c r="S231" i="1"/>
  <c r="AH231" i="1"/>
  <c r="P231" i="1"/>
  <c r="AR231" i="1"/>
  <c r="V231" i="1"/>
  <c r="AF231" i="1"/>
  <c r="AE231" i="1"/>
  <c r="AD231" i="1"/>
  <c r="X231" i="1"/>
  <c r="W231" i="1"/>
  <c r="AR234" i="1"/>
  <c r="AF234" i="1"/>
  <c r="T234" i="1"/>
  <c r="AP234" i="1"/>
  <c r="AD234" i="1"/>
  <c r="R234" i="1"/>
  <c r="AI234" i="1"/>
  <c r="U234" i="1"/>
  <c r="AH234" i="1"/>
  <c r="S234" i="1"/>
  <c r="AJ234" i="1"/>
  <c r="V234" i="1"/>
  <c r="AQ234" i="1"/>
  <c r="Y234" i="1"/>
  <c r="AO234" i="1"/>
  <c r="X234" i="1"/>
  <c r="AN234" i="1"/>
  <c r="W234" i="1"/>
  <c r="AL234" i="1"/>
  <c r="P234" i="1"/>
  <c r="Z234" i="1"/>
  <c r="AE234" i="1"/>
  <c r="AC234" i="1"/>
  <c r="AB234" i="1"/>
  <c r="AA234" i="1"/>
  <c r="Q234" i="1"/>
  <c r="AA198" i="1"/>
  <c r="R202" i="1"/>
  <c r="AF202" i="1"/>
  <c r="AB211" i="1"/>
  <c r="AP212" i="1"/>
  <c r="AD212" i="1"/>
  <c r="R212" i="1"/>
  <c r="AK212" i="1"/>
  <c r="X212" i="1"/>
  <c r="AJ212" i="1"/>
  <c r="V212" i="1"/>
  <c r="AI212" i="1"/>
  <c r="U212" i="1"/>
  <c r="AE212" i="1"/>
  <c r="P213" i="1"/>
  <c r="AJ213" i="1"/>
  <c r="AR198" i="1"/>
  <c r="AF198" i="1"/>
  <c r="T198" i="1"/>
  <c r="AI198" i="1"/>
  <c r="V198" i="1"/>
  <c r="AB198" i="1"/>
  <c r="AP198" i="1"/>
  <c r="S202" i="1"/>
  <c r="AG202" i="1"/>
  <c r="O212" i="1"/>
  <c r="AF212" i="1"/>
  <c r="Q213" i="1"/>
  <c r="AK213" i="1"/>
  <c r="Z221" i="1"/>
  <c r="AQ243" i="1"/>
  <c r="AE243" i="1"/>
  <c r="S243" i="1"/>
  <c r="AO243" i="1"/>
  <c r="AC243" i="1"/>
  <c r="Q243" i="1"/>
  <c r="AM243" i="1"/>
  <c r="AA243" i="1"/>
  <c r="O243" i="1"/>
  <c r="AK243" i="1"/>
  <c r="Y243" i="1"/>
  <c r="AJ243" i="1"/>
  <c r="T243" i="1"/>
  <c r="AI243" i="1"/>
  <c r="R243" i="1"/>
  <c r="AH243" i="1"/>
  <c r="P243" i="1"/>
  <c r="AF243" i="1"/>
  <c r="AL243" i="1"/>
  <c r="U243" i="1"/>
  <c r="AR243" i="1"/>
  <c r="AP243" i="1"/>
  <c r="AN243" i="1"/>
  <c r="AD243" i="1"/>
  <c r="AB243" i="1"/>
  <c r="AG243" i="1"/>
  <c r="Z243" i="1"/>
  <c r="X243" i="1"/>
  <c r="W243" i="1"/>
  <c r="AK211" i="1"/>
  <c r="Y211" i="1"/>
  <c r="AP211" i="1"/>
  <c r="AC211" i="1"/>
  <c r="P211" i="1"/>
  <c r="AM211" i="1"/>
  <c r="X211" i="1"/>
  <c r="AL211" i="1"/>
  <c r="W211" i="1"/>
  <c r="AE211" i="1"/>
  <c r="V243" i="1"/>
  <c r="AI225" i="1"/>
  <c r="W225" i="1"/>
  <c r="AJ225" i="1"/>
  <c r="V225" i="1"/>
  <c r="AL225" i="1"/>
  <c r="Y225" i="1"/>
  <c r="AH225" i="1"/>
  <c r="S225" i="1"/>
  <c r="AG225" i="1"/>
  <c r="R225" i="1"/>
  <c r="AK225" i="1"/>
  <c r="T225" i="1"/>
  <c r="AF225" i="1"/>
  <c r="AG227" i="1"/>
  <c r="U227" i="1"/>
  <c r="AM227" i="1"/>
  <c r="Z227" i="1"/>
  <c r="AO227" i="1"/>
  <c r="AB227" i="1"/>
  <c r="O227" i="1"/>
  <c r="AJ227" i="1"/>
  <c r="T227" i="1"/>
  <c r="AI227" i="1"/>
  <c r="S227" i="1"/>
  <c r="AK227" i="1"/>
  <c r="V227" i="1"/>
  <c r="AH227" i="1"/>
  <c r="AK223" i="1"/>
  <c r="Y223" i="1"/>
  <c r="AF223" i="1"/>
  <c r="S223" i="1"/>
  <c r="AH223" i="1"/>
  <c r="U223" i="1"/>
  <c r="AI223" i="1"/>
  <c r="R223" i="1"/>
  <c r="AL223" i="1"/>
  <c r="V223" i="1"/>
  <c r="AE223" i="1"/>
  <c r="U225" i="1"/>
  <c r="AP225" i="1"/>
  <c r="W227" i="1"/>
  <c r="AQ227" i="1"/>
  <c r="AH220" i="1"/>
  <c r="V220" i="1"/>
  <c r="AG220" i="1"/>
  <c r="T220" i="1"/>
  <c r="AJ220" i="1"/>
  <c r="W220" i="1"/>
  <c r="AF220" i="1"/>
  <c r="Q220" i="1"/>
  <c r="AK220" i="1"/>
  <c r="S220" i="1"/>
  <c r="AE220" i="1"/>
  <c r="X225" i="1"/>
  <c r="AQ225" i="1"/>
  <c r="X227" i="1"/>
  <c r="AR227" i="1"/>
  <c r="O220" i="1"/>
  <c r="AI220" i="1"/>
  <c r="AJ223" i="1"/>
  <c r="Z225" i="1"/>
  <c r="AR225" i="1"/>
  <c r="Y227" i="1"/>
  <c r="AM209" i="1"/>
  <c r="AA209" i="1"/>
  <c r="O209" i="1"/>
  <c r="AL209" i="1"/>
  <c r="Y209" i="1"/>
  <c r="AC209" i="1"/>
  <c r="AQ209" i="1"/>
  <c r="P220" i="1"/>
  <c r="AL220" i="1"/>
  <c r="Q223" i="1"/>
  <c r="AM223" i="1"/>
  <c r="AA225" i="1"/>
  <c r="AN226" i="1"/>
  <c r="AB226" i="1"/>
  <c r="P226" i="1"/>
  <c r="AR226" i="1"/>
  <c r="AE226" i="1"/>
  <c r="R226" i="1"/>
  <c r="AG226" i="1"/>
  <c r="T226" i="1"/>
  <c r="AJ226" i="1"/>
  <c r="U226" i="1"/>
  <c r="AI226" i="1"/>
  <c r="S226" i="1"/>
  <c r="AK226" i="1"/>
  <c r="V226" i="1"/>
  <c r="AL226" i="1"/>
  <c r="AA227" i="1"/>
  <c r="AM247" i="1"/>
  <c r="AA247" i="1"/>
  <c r="O247" i="1"/>
  <c r="AK247" i="1"/>
  <c r="Y247" i="1"/>
  <c r="AI247" i="1"/>
  <c r="W247" i="1"/>
  <c r="AG247" i="1"/>
  <c r="U247" i="1"/>
  <c r="AN247" i="1"/>
  <c r="T247" i="1"/>
  <c r="AL247" i="1"/>
  <c r="S247" i="1"/>
  <c r="AJ247" i="1"/>
  <c r="R247" i="1"/>
  <c r="AF247" i="1"/>
  <c r="P247" i="1"/>
  <c r="AO247" i="1"/>
  <c r="V247" i="1"/>
  <c r="AE247" i="1"/>
  <c r="AD247" i="1"/>
  <c r="AC247" i="1"/>
  <c r="Z247" i="1"/>
  <c r="X247" i="1"/>
  <c r="AH247" i="1"/>
  <c r="AI189" i="1"/>
  <c r="W189" i="1"/>
  <c r="AA189" i="1"/>
  <c r="AN189" i="1"/>
  <c r="P209" i="1"/>
  <c r="AD209" i="1"/>
  <c r="AR209" i="1"/>
  <c r="AG215" i="1"/>
  <c r="U215" i="1"/>
  <c r="AI215" i="1"/>
  <c r="V215" i="1"/>
  <c r="AL215" i="1"/>
  <c r="X215" i="1"/>
  <c r="AC215" i="1"/>
  <c r="AR215" i="1"/>
  <c r="R220" i="1"/>
  <c r="AM220" i="1"/>
  <c r="AR222" i="1"/>
  <c r="AF222" i="1"/>
  <c r="T222" i="1"/>
  <c r="AK222" i="1"/>
  <c r="X222" i="1"/>
  <c r="AM222" i="1"/>
  <c r="Z222" i="1"/>
  <c r="AH222" i="1"/>
  <c r="R222" i="1"/>
  <c r="AJ222" i="1"/>
  <c r="U222" i="1"/>
  <c r="AE222" i="1"/>
  <c r="T223" i="1"/>
  <c r="AN223" i="1"/>
  <c r="AB225" i="1"/>
  <c r="O226" i="1"/>
  <c r="AM226" i="1"/>
  <c r="AC227" i="1"/>
  <c r="Q247" i="1"/>
  <c r="Z168" i="1"/>
  <c r="Z180" i="1"/>
  <c r="Z192" i="1"/>
  <c r="Z204" i="1"/>
  <c r="AJ206" i="1"/>
  <c r="X206" i="1"/>
  <c r="AA206" i="1"/>
  <c r="AN206" i="1"/>
  <c r="AN214" i="1"/>
  <c r="AB214" i="1"/>
  <c r="P214" i="1"/>
  <c r="AA214" i="1"/>
  <c r="AO214" i="1"/>
  <c r="AQ217" i="1"/>
  <c r="AE217" i="1"/>
  <c r="S217" i="1"/>
  <c r="AK217" i="1"/>
  <c r="X217" i="1"/>
  <c r="AB217" i="1"/>
  <c r="AP217" i="1"/>
  <c r="P229" i="1"/>
  <c r="AI229" i="1"/>
  <c r="R233" i="1"/>
  <c r="AK235" i="1"/>
  <c r="Y235" i="1"/>
  <c r="AI235" i="1"/>
  <c r="W235" i="1"/>
  <c r="AF235" i="1"/>
  <c r="R235" i="1"/>
  <c r="AE235" i="1"/>
  <c r="Q235" i="1"/>
  <c r="AG235" i="1"/>
  <c r="S235" i="1"/>
  <c r="AH235" i="1"/>
  <c r="AJ244" i="1"/>
  <c r="X244" i="1"/>
  <c r="AH244" i="1"/>
  <c r="V244" i="1"/>
  <c r="AR244" i="1"/>
  <c r="AF244" i="1"/>
  <c r="T244" i="1"/>
  <c r="AP244" i="1"/>
  <c r="AD244" i="1"/>
  <c r="R244" i="1"/>
  <c r="AO244" i="1"/>
  <c r="Y244" i="1"/>
  <c r="AN244" i="1"/>
  <c r="W244" i="1"/>
  <c r="AM244" i="1"/>
  <c r="U244" i="1"/>
  <c r="AK244" i="1"/>
  <c r="Q244" i="1"/>
  <c r="AQ244" i="1"/>
  <c r="Z244" i="1"/>
  <c r="AE244" i="1"/>
  <c r="AM233" i="1"/>
  <c r="AA233" i="1"/>
  <c r="O233" i="1"/>
  <c r="AK233" i="1"/>
  <c r="Y233" i="1"/>
  <c r="AJ233" i="1"/>
  <c r="V233" i="1"/>
  <c r="AI233" i="1"/>
  <c r="U233" i="1"/>
  <c r="AL233" i="1"/>
  <c r="W233" i="1"/>
  <c r="AF233" i="1"/>
  <c r="AI244" i="1"/>
  <c r="P233" i="1"/>
  <c r="AG233" i="1"/>
  <c r="AC235" i="1"/>
  <c r="AG241" i="1"/>
  <c r="U241" i="1"/>
  <c r="AQ241" i="1"/>
  <c r="AE241" i="1"/>
  <c r="S241" i="1"/>
  <c r="AO241" i="1"/>
  <c r="AC241" i="1"/>
  <c r="Q241" i="1"/>
  <c r="AI241" i="1"/>
  <c r="R241" i="1"/>
  <c r="AH241" i="1"/>
  <c r="P241" i="1"/>
  <c r="AF241" i="1"/>
  <c r="O241" i="1"/>
  <c r="AB241" i="1"/>
  <c r="AJ241" i="1"/>
  <c r="T241" i="1"/>
  <c r="AP241" i="1"/>
  <c r="AL244" i="1"/>
  <c r="AQ229" i="1"/>
  <c r="AE229" i="1"/>
  <c r="S229" i="1"/>
  <c r="AO229" i="1"/>
  <c r="AC229" i="1"/>
  <c r="Q229" i="1"/>
  <c r="AD229" i="1"/>
  <c r="O229" i="1"/>
  <c r="AG229" i="1"/>
  <c r="R229" i="1"/>
  <c r="AH229" i="1"/>
  <c r="Q233" i="1"/>
  <c r="AH233" i="1"/>
  <c r="AO245" i="1"/>
  <c r="AC245" i="1"/>
  <c r="Q245" i="1"/>
  <c r="AM245" i="1"/>
  <c r="AA245" i="1"/>
  <c r="O245" i="1"/>
  <c r="AK245" i="1"/>
  <c r="Y245" i="1"/>
  <c r="AI245" i="1"/>
  <c r="W245" i="1"/>
  <c r="AD245" i="1"/>
  <c r="AB245" i="1"/>
  <c r="AR245" i="1"/>
  <c r="Z245" i="1"/>
  <c r="AP245" i="1"/>
  <c r="V245" i="1"/>
  <c r="AE245" i="1"/>
  <c r="AN245" i="1"/>
  <c r="AO219" i="1"/>
  <c r="AC219" i="1"/>
  <c r="Q219" i="1"/>
  <c r="AA219" i="1"/>
  <c r="AN219" i="1"/>
  <c r="P224" i="1"/>
  <c r="AC224" i="1"/>
  <c r="P230" i="1"/>
  <c r="AD230" i="1"/>
  <c r="Q236" i="1"/>
  <c r="O237" i="1"/>
  <c r="AC237" i="1"/>
  <c r="AQ237" i="1"/>
  <c r="Q246" i="1"/>
  <c r="AP224" i="1"/>
  <c r="AD224" i="1"/>
  <c r="R224" i="1"/>
  <c r="AA224" i="1"/>
  <c r="AN224" i="1"/>
  <c r="AJ230" i="1"/>
  <c r="X230" i="1"/>
  <c r="AH230" i="1"/>
  <c r="V230" i="1"/>
  <c r="AB230" i="1"/>
  <c r="AP230" i="1"/>
  <c r="AP236" i="1"/>
  <c r="AD236" i="1"/>
  <c r="R236" i="1"/>
  <c r="AN236" i="1"/>
  <c r="AB236" i="1"/>
  <c r="P236" i="1"/>
  <c r="AC236" i="1"/>
  <c r="AR236" i="1"/>
  <c r="AA237" i="1"/>
  <c r="AH246" i="1"/>
  <c r="V246" i="1"/>
  <c r="AR246" i="1"/>
  <c r="AF246" i="1"/>
  <c r="T246" i="1"/>
  <c r="AP246" i="1"/>
  <c r="AD246" i="1"/>
  <c r="R246" i="1"/>
  <c r="AN246" i="1"/>
  <c r="AB246" i="1"/>
  <c r="P246" i="1"/>
  <c r="AG246" i="1"/>
  <c r="AI237" i="1"/>
  <c r="W237" i="1"/>
  <c r="AG237" i="1"/>
  <c r="U237" i="1"/>
  <c r="AB237" i="1"/>
  <c r="AP237" i="1"/>
  <c r="O246" i="1"/>
  <c r="AI246" i="1"/>
  <c r="Z248" i="1"/>
  <c r="AL248" i="1"/>
  <c r="Z238" i="1"/>
  <c r="AL238" i="1"/>
  <c r="X240" i="1"/>
  <c r="AJ240" i="1"/>
  <c r="V242" i="1"/>
  <c r="AH242" i="1"/>
  <c r="P248" i="1"/>
  <c r="AB248" i="1"/>
  <c r="AN248" i="1"/>
  <c r="Z216" i="1"/>
  <c r="Z228" i="1"/>
  <c r="P238" i="1"/>
  <c r="AB238" i="1"/>
  <c r="Z240" i="1"/>
  <c r="AL240" i="1"/>
  <c r="X242" i="1"/>
  <c r="AJ242" i="1"/>
  <c r="R248" i="1"/>
  <c r="AD248" i="1"/>
  <c r="AP248" i="1"/>
  <c r="Z242" i="1"/>
  <c r="T248" i="1"/>
  <c r="AF248" i="1"/>
</calcChain>
</file>

<file path=xl/sharedStrings.xml><?xml version="1.0" encoding="utf-8"?>
<sst xmlns="http://schemas.openxmlformats.org/spreadsheetml/2006/main" count="15772" uniqueCount="1892">
  <si>
    <t>Symbol</t>
  </si>
  <si>
    <t>Brand</t>
  </si>
  <si>
    <t>Group1</t>
  </si>
  <si>
    <t>Group2</t>
  </si>
  <si>
    <t>LWC+PE</t>
  </si>
  <si>
    <t>Monika</t>
  </si>
  <si>
    <t>STOCKS-</t>
  </si>
  <si>
    <t>SL1642509</t>
  </si>
  <si>
    <t>SL1692601</t>
  </si>
  <si>
    <t>SUP25459</t>
  </si>
  <si>
    <t>Order_1</t>
  </si>
  <si>
    <t>Order_2</t>
  </si>
  <si>
    <t>Order_3</t>
  </si>
  <si>
    <t>Total Available</t>
  </si>
  <si>
    <t>NEED_M1</t>
  </si>
  <si>
    <t>NEED_M2</t>
  </si>
  <si>
    <t>NEED_M3</t>
  </si>
  <si>
    <t>NEED_M4</t>
  </si>
  <si>
    <t>NEED_M5</t>
  </si>
  <si>
    <t>NEED_M6</t>
  </si>
  <si>
    <t>NEED_M7</t>
  </si>
  <si>
    <t>NEED_M8</t>
  </si>
  <si>
    <t>NEED_M9</t>
  </si>
  <si>
    <t>NEED_M10</t>
  </si>
  <si>
    <t>NEED_M11</t>
  </si>
  <si>
    <t>NEED_M12</t>
  </si>
  <si>
    <t>NEED_M13</t>
  </si>
  <si>
    <t>NEED_M14</t>
  </si>
  <si>
    <t>NEED_M15</t>
  </si>
  <si>
    <t>NEED_M16</t>
  </si>
  <si>
    <t>NEED_M17</t>
  </si>
  <si>
    <t>NEED_M18</t>
  </si>
  <si>
    <t>NEED_M19</t>
  </si>
  <si>
    <t>NEED_M20</t>
  </si>
  <si>
    <t>NEED_M21</t>
  </si>
  <si>
    <t>NEED_M22</t>
  </si>
  <si>
    <t>NEED_M23</t>
  </si>
  <si>
    <t>NEED_M24</t>
  </si>
  <si>
    <t>NEED_M25</t>
  </si>
  <si>
    <t>NEED_M26</t>
  </si>
  <si>
    <t>NEED_M27</t>
  </si>
  <si>
    <t>NEED_M28</t>
  </si>
  <si>
    <t>NEED_M29</t>
  </si>
  <si>
    <t>NEED_M30</t>
  </si>
  <si>
    <t>PR-CHE-49-1405-000-SET</t>
  </si>
  <si>
    <t>CHE</t>
  </si>
  <si>
    <t>1405</t>
  </si>
  <si>
    <t>19-1405-000</t>
  </si>
  <si>
    <t>PR-CHE-49-1405-025-SET</t>
  </si>
  <si>
    <t>19-1405-025</t>
  </si>
  <si>
    <t>PR-CHE-49-1405-050-SET</t>
  </si>
  <si>
    <t>19-1405-050</t>
  </si>
  <si>
    <t>PR-CHE-49-1590-000-SET</t>
  </si>
  <si>
    <t>1590</t>
  </si>
  <si>
    <t>19-1590-000</t>
  </si>
  <si>
    <t>PR-CHE-49-1590-025-SET</t>
  </si>
  <si>
    <t>19-1590-025</t>
  </si>
  <si>
    <t>PR-CHE-49-1590-050-SET</t>
  </si>
  <si>
    <t>19-1590-050</t>
  </si>
  <si>
    <t>PR-CHE-47-3549-000-SET</t>
  </si>
  <si>
    <t>3549</t>
  </si>
  <si>
    <t>17-3549-000</t>
  </si>
  <si>
    <t>PR-CHE-47-3549-025-SET</t>
  </si>
  <si>
    <t>17-3549-025</t>
  </si>
  <si>
    <t>PR-CHE-47-3549-050-SET</t>
  </si>
  <si>
    <t>17-3549-050</t>
  </si>
  <si>
    <t>PR-CHE-49-3549-000-SET</t>
  </si>
  <si>
    <t>19-3549-000</t>
  </si>
  <si>
    <t>PR-CHE-49-3549-025-SET</t>
  </si>
  <si>
    <t>19-3549-025</t>
  </si>
  <si>
    <t>PR-CHE-49-3549-050-SET</t>
  </si>
  <si>
    <t>19-3549-050</t>
  </si>
  <si>
    <t>PR-CHE-49-3549-075-SET</t>
  </si>
  <si>
    <t>19-3549-075</t>
  </si>
  <si>
    <t>PR-CHE-49-3549-100-SET</t>
  </si>
  <si>
    <t>19-3549-100</t>
  </si>
  <si>
    <t>PR-CUM-44-0812-000-SET</t>
  </si>
  <si>
    <t>CUM</t>
  </si>
  <si>
    <t>0812</t>
  </si>
  <si>
    <t>14-0812-000</t>
  </si>
  <si>
    <t>PR-CUM-44-0812-050-SET</t>
  </si>
  <si>
    <t>14-0812-050</t>
  </si>
  <si>
    <t>PR-DAE-37-1401-000-SET</t>
  </si>
  <si>
    <t>DAE</t>
  </si>
  <si>
    <t>1401</t>
  </si>
  <si>
    <t>17-1401-000</t>
  </si>
  <si>
    <t>PR-DAE-37-1401-025-SET</t>
  </si>
  <si>
    <t>17-1401-025</t>
  </si>
  <si>
    <t>PR-DAE-37-1401-050-SET</t>
  </si>
  <si>
    <t>17-1401-050</t>
  </si>
  <si>
    <t>PR-DAE-37-1401-075-SET</t>
  </si>
  <si>
    <t>17-1401-075</t>
  </si>
  <si>
    <t>PR-DAE-37-1401-100-SET</t>
  </si>
  <si>
    <t>17-1401-100</t>
  </si>
  <si>
    <t>PR-DAE-39-1401-000-SET</t>
  </si>
  <si>
    <t>19-1401-000</t>
  </si>
  <si>
    <t>PR-DAE-39-1401-025-SET</t>
  </si>
  <si>
    <t>19-1401-025</t>
  </si>
  <si>
    <t>PR-DAE-39-1401-050-SET</t>
  </si>
  <si>
    <t>19-1401-050</t>
  </si>
  <si>
    <t>PR-DAE-39-1401-075-SET</t>
  </si>
  <si>
    <t>19-1401-075</t>
  </si>
  <si>
    <t>PR-DAE-39-1401-100-SET</t>
  </si>
  <si>
    <t>19-1401-100</t>
  </si>
  <si>
    <t>PR-DAE-37-1402-000-SET</t>
  </si>
  <si>
    <t>1402</t>
  </si>
  <si>
    <t>17-1402-000</t>
  </si>
  <si>
    <t>PR-DAE-47-1402-000-SET</t>
  </si>
  <si>
    <t>PR-DAE-47-1402-025-SET</t>
  </si>
  <si>
    <t>17-1402-025</t>
  </si>
  <si>
    <t>PR-DAE-47-1402-050-SET</t>
  </si>
  <si>
    <t>17-1402-050</t>
  </si>
  <si>
    <t>PR-DAE-39-1402-000-SET</t>
  </si>
  <si>
    <t>19-1402-000</t>
  </si>
  <si>
    <t>PR-DAE-49-1402-000-SET</t>
  </si>
  <si>
    <t>PR-DAE-39-1402-025-SET</t>
  </si>
  <si>
    <t>19-1402-025</t>
  </si>
  <si>
    <t>PR-DAE-49-1402-025-SET</t>
  </si>
  <si>
    <t>PR-DAE-39-1402-050-SET</t>
  </si>
  <si>
    <t>19-1402-050</t>
  </si>
  <si>
    <t>PR-DAE-49-1402-050-SET</t>
  </si>
  <si>
    <t>PR-DAE-39-1402-075-SET</t>
  </si>
  <si>
    <t>19-1402-075</t>
  </si>
  <si>
    <t>PR-DAE-49-1402-075-SET</t>
  </si>
  <si>
    <t>PR-DAE-39-1402-100-SET</t>
  </si>
  <si>
    <t>19-1402-100</t>
  </si>
  <si>
    <t>PR-DAE-49-1402-100-SET</t>
  </si>
  <si>
    <t>PR-DAE-47-3538-000-SET</t>
  </si>
  <si>
    <t>3538</t>
  </si>
  <si>
    <t>17-3538-000</t>
  </si>
  <si>
    <t>PR-DAE-47-3538-025-SET</t>
  </si>
  <si>
    <t>17-3538-025</t>
  </si>
  <si>
    <t>PR-DAE-47-3538-050-SET</t>
  </si>
  <si>
    <t>17-3538-050</t>
  </si>
  <si>
    <t>PR-DAE-49-3538-000-SET</t>
  </si>
  <si>
    <t>19-3538-000</t>
  </si>
  <si>
    <t>PR-DAE-49-3538-025-SET</t>
  </si>
  <si>
    <t>19-3538-025</t>
  </si>
  <si>
    <t>PR-DAE-49-3538-050-SET</t>
  </si>
  <si>
    <t>19-3538-050</t>
  </si>
  <si>
    <t>PR-DAE-49-3538-075-SET</t>
  </si>
  <si>
    <t>19-3538-075</t>
  </si>
  <si>
    <t>PR-DAE-49-3538-100-SET</t>
  </si>
  <si>
    <t>19-3538-100</t>
  </si>
  <si>
    <t>PR-DAE-47-3548-000-SET</t>
  </si>
  <si>
    <t>3548</t>
  </si>
  <si>
    <t>17-3548-000</t>
  </si>
  <si>
    <t>PR-DAE-47-3548-025-SET</t>
  </si>
  <si>
    <t>17-3548-025</t>
  </si>
  <si>
    <t>PR-DAE-47-3548-050-SET</t>
  </si>
  <si>
    <t>17-3548-050</t>
  </si>
  <si>
    <t>PR-DAE-47-3548-075-SET</t>
  </si>
  <si>
    <t>17-3548-075</t>
  </si>
  <si>
    <t>PR-DAE-47-3548-100-SET</t>
  </si>
  <si>
    <t>17-3548-100</t>
  </si>
  <si>
    <t>PR-DAE-49-3548-000-SET</t>
  </si>
  <si>
    <t>19-3548-000</t>
  </si>
  <si>
    <t>PR-DAE-49-3548-025-SET</t>
  </si>
  <si>
    <t>19-3548-025</t>
  </si>
  <si>
    <t>PR-DAE-49-3548-050-SET</t>
  </si>
  <si>
    <t>19-3548-050</t>
  </si>
  <si>
    <t>PR-DAE-49-3548-075-SET</t>
  </si>
  <si>
    <t>19-3548-075</t>
  </si>
  <si>
    <t>PR-DAE-49-3548-100-SET</t>
  </si>
  <si>
    <t>19-3548-100</t>
  </si>
  <si>
    <t>PR-KAM-14-4802-000-1</t>
  </si>
  <si>
    <t>KAM</t>
  </si>
  <si>
    <t>4802</t>
  </si>
  <si>
    <t>14-4802-000</t>
  </si>
  <si>
    <t>PR-KAM-84-4802-000-SET</t>
  </si>
  <si>
    <t>PR-KAM-84-4805-000-SET</t>
  </si>
  <si>
    <t>4805</t>
  </si>
  <si>
    <t>14-4805-000</t>
  </si>
  <si>
    <t>PR-KAM-14-4806-000-2</t>
  </si>
  <si>
    <t>4806</t>
  </si>
  <si>
    <t>14-4806-000</t>
  </si>
  <si>
    <t>PR-KAM-84-4806-000-SET</t>
  </si>
  <si>
    <t>PR-KAM-87-4806-000-SET</t>
  </si>
  <si>
    <t>17-4806-000</t>
  </si>
  <si>
    <t>PR-LAD-44-2802-000-SET</t>
  </si>
  <si>
    <t>LAD</t>
  </si>
  <si>
    <t>2802</t>
  </si>
  <si>
    <t>14-2802-000</t>
  </si>
  <si>
    <t>PR-LAD-44-2802-020-SET</t>
  </si>
  <si>
    <t>14-2802-020</t>
  </si>
  <si>
    <t>PR-LAD-44-2802-040-SET</t>
  </si>
  <si>
    <t>14-2802-040</t>
  </si>
  <si>
    <t>PR-LAD-44-2802-060-SET</t>
  </si>
  <si>
    <t>14-2802-060</t>
  </si>
  <si>
    <t>PR-LAD-44-2802-080-SET</t>
  </si>
  <si>
    <t>14-2802-080</t>
  </si>
  <si>
    <t>PR-LAD-44-2802-100-SET</t>
  </si>
  <si>
    <t>14-2802-100</t>
  </si>
  <si>
    <t>PR-LAD-47-2802-000-SET</t>
  </si>
  <si>
    <t>17-2802-000</t>
  </si>
  <si>
    <t>PR-LAD-47-2802-040-SET</t>
  </si>
  <si>
    <t>17-2802-040</t>
  </si>
  <si>
    <t>PR-LAD-47-2802-080-SET</t>
  </si>
  <si>
    <t>17-2802-080</t>
  </si>
  <si>
    <t>PR-LAD-49-2802-000-SET</t>
  </si>
  <si>
    <t>19-2802-000</t>
  </si>
  <si>
    <t>PR-LAD-49-2802-040-SET</t>
  </si>
  <si>
    <t>19-2802-040</t>
  </si>
  <si>
    <t>PR-LAD-49-2802-080-SET</t>
  </si>
  <si>
    <t>19-2802-080</t>
  </si>
  <si>
    <t>PR-LAD-44-2803-000-SET</t>
  </si>
  <si>
    <t>2803</t>
  </si>
  <si>
    <t>14-2803-000</t>
  </si>
  <si>
    <t>PR-LAD-44-2803-040-SET</t>
  </si>
  <si>
    <t>14-2803-040</t>
  </si>
  <si>
    <t>PR-LAD-44-2803-070-SET</t>
  </si>
  <si>
    <t>14-2803-070</t>
  </si>
  <si>
    <t>PR-LAD-44-2803-080-SET</t>
  </si>
  <si>
    <t>14-2803-080</t>
  </si>
  <si>
    <t>PR-LAD-44-2803-100-SET</t>
  </si>
  <si>
    <t>14-2803-100</t>
  </si>
  <si>
    <t>PR-LAD-47-2803-000-SET</t>
  </si>
  <si>
    <t>17-2803-000</t>
  </si>
  <si>
    <t>PR-LAD-47-2803-040-SET</t>
  </si>
  <si>
    <t>17-2803-040</t>
  </si>
  <si>
    <t>PR-LAD-47-2803-080-SET</t>
  </si>
  <si>
    <t>17-2803-080</t>
  </si>
  <si>
    <t>PR-LAD-47-2803-100-SET</t>
  </si>
  <si>
    <t>17-2803-100</t>
  </si>
  <si>
    <t>PR-LAD-49-2803-000-SET</t>
  </si>
  <si>
    <t>19-2803-000</t>
  </si>
  <si>
    <t>PR-LAD-49-2803-040-SET</t>
  </si>
  <si>
    <t>19-2803-040</t>
  </si>
  <si>
    <t>PR-LAD-49-2803-070-SET</t>
  </si>
  <si>
    <t>19-2803-070</t>
  </si>
  <si>
    <t>PR-LAD-49-2803-080-SET</t>
  </si>
  <si>
    <t>19-2803-080</t>
  </si>
  <si>
    <t>PR-LAD-49-2803-100-SET</t>
  </si>
  <si>
    <t>19-2803-100</t>
  </si>
  <si>
    <t>PR-LAD-44-2804-000-SET</t>
  </si>
  <si>
    <t>2804</t>
  </si>
  <si>
    <t>14-2804-000</t>
  </si>
  <si>
    <t>PR-LAD-44-2804-040-SET</t>
  </si>
  <si>
    <t>14-2804-040</t>
  </si>
  <si>
    <t>PR-LAD-44-2804-080-SET</t>
  </si>
  <si>
    <t>14-2804-080</t>
  </si>
  <si>
    <t>PR-LAD-44-2804-100-SET</t>
  </si>
  <si>
    <t>14-2804-100</t>
  </si>
  <si>
    <t>PR-LAD-47-2804-000-SET</t>
  </si>
  <si>
    <t>17-2804-000</t>
  </si>
  <si>
    <t>PR-LAD-47-2804-040-SET</t>
  </si>
  <si>
    <t>17-2804-040</t>
  </si>
  <si>
    <t>PR-LAD-47-2804-080-SET</t>
  </si>
  <si>
    <t>17-2804-080</t>
  </si>
  <si>
    <t>PR-LAD-49-2804-000-SET</t>
  </si>
  <si>
    <t>19-2804-000</t>
  </si>
  <si>
    <t>PR-LAD-49-2804-040-SET</t>
  </si>
  <si>
    <t>19-2804-040</t>
  </si>
  <si>
    <t>PR-LAD-49-2804-080-SET</t>
  </si>
  <si>
    <t>19-2804-080</t>
  </si>
  <si>
    <t>PR-LAD-47-2805-000-SET</t>
  </si>
  <si>
    <t>2805</t>
  </si>
  <si>
    <t>17-2805-000</t>
  </si>
  <si>
    <t>PR-LAD-47-2805-025-SET</t>
  </si>
  <si>
    <t>17-2805-025</t>
  </si>
  <si>
    <t>PR-LAD-47-2805-050-SET</t>
  </si>
  <si>
    <t>17-2805-050</t>
  </si>
  <si>
    <t>PR-LAD-47-2805-100-SET</t>
  </si>
  <si>
    <t>17-2805-100</t>
  </si>
  <si>
    <t>PR-LAD-48-2805-000-SET</t>
  </si>
  <si>
    <t>18-2805-000</t>
  </si>
  <si>
    <t>PR-LAD-48-2805-050-SET</t>
  </si>
  <si>
    <t>18-2805-050</t>
  </si>
  <si>
    <t>PR-LAD-48-2805-100-SET</t>
  </si>
  <si>
    <t>18-2805-100</t>
  </si>
  <si>
    <t>PR-LAD-49-2805-000-SET</t>
  </si>
  <si>
    <t>19-2805-000</t>
  </si>
  <si>
    <t>PR-LAD-49-2805-025-SET</t>
  </si>
  <si>
    <t>19-2805-025</t>
  </si>
  <si>
    <t>PR-LAD-49-2805-050-SET</t>
  </si>
  <si>
    <t>19-2805-050</t>
  </si>
  <si>
    <t>PR-LAD-49-2805-075-SET</t>
  </si>
  <si>
    <t>19-2805-075</t>
  </si>
  <si>
    <t>PR-LAD-49-2805-100-SET</t>
  </si>
  <si>
    <t>19-2805-100</t>
  </si>
  <si>
    <t>PR-LAD-48-2806-000-SET</t>
  </si>
  <si>
    <t>2806</t>
  </si>
  <si>
    <t>18-2806-000</t>
  </si>
  <si>
    <t>PR-LAD-48-2806-050-SET</t>
  </si>
  <si>
    <t>18-2806-050</t>
  </si>
  <si>
    <t>PR-LAD-48-2806-100-SET</t>
  </si>
  <si>
    <t>18-2806-100</t>
  </si>
  <si>
    <t>PR-LAD-49-2806-000-SET</t>
  </si>
  <si>
    <t>19-2806-000</t>
  </si>
  <si>
    <t>PR-LAD-49-2806-050-SET</t>
  </si>
  <si>
    <t>19-2806-050</t>
  </si>
  <si>
    <t>PR-LAD-49-2806-100-SET</t>
  </si>
  <si>
    <t>19-2806-100</t>
  </si>
  <si>
    <t>PR-MOS-44-4852-000-SET</t>
  </si>
  <si>
    <t>MOS</t>
  </si>
  <si>
    <t>4852</t>
  </si>
  <si>
    <t>14-4852-000</t>
  </si>
  <si>
    <t>PR-MOS-44-4852-050-SET</t>
  </si>
  <si>
    <t>14-4852-050</t>
  </si>
  <si>
    <t>PR-MOS-44-4852-100-SET</t>
  </si>
  <si>
    <t>14-4852-100</t>
  </si>
  <si>
    <t>PR-MOS-49-4852-000-SET</t>
  </si>
  <si>
    <t>19-4852-000</t>
  </si>
  <si>
    <t>PR-MOS-49-4852-050-SET</t>
  </si>
  <si>
    <t>19-4852-050</t>
  </si>
  <si>
    <t>PR-MOS-49-4852-100-SET</t>
  </si>
  <si>
    <t>19-4852-100</t>
  </si>
  <si>
    <t>PR-MOS-44-4855-000-SET</t>
  </si>
  <si>
    <t>4855</t>
  </si>
  <si>
    <t>14-4855-000</t>
  </si>
  <si>
    <t>PR-MOS-44-4855-050-SET</t>
  </si>
  <si>
    <t>14-4855-050</t>
  </si>
  <si>
    <t>PR-MOS-49-4855-000-SET</t>
  </si>
  <si>
    <t>19-4855-000</t>
  </si>
  <si>
    <t>PR-MOS-49-4855-050-SET</t>
  </si>
  <si>
    <t>19-4855-050</t>
  </si>
  <si>
    <t>PR-MTZ-14-5950-000-4</t>
  </si>
  <si>
    <t>MTZ</t>
  </si>
  <si>
    <t>5950</t>
  </si>
  <si>
    <t>14-5950-000</t>
  </si>
  <si>
    <t>PR-MTZ-44-5950-000-SET</t>
  </si>
  <si>
    <t>PR-MTZ-14-5950-070-4</t>
  </si>
  <si>
    <t>14-5950-070</t>
  </si>
  <si>
    <t>PR-MTZ-44-5950-070-SET</t>
  </si>
  <si>
    <t>PR-MTZ-44-5951-000-SET</t>
  </si>
  <si>
    <t>5951</t>
  </si>
  <si>
    <t>14-5951-000</t>
  </si>
  <si>
    <t>PR-MTZ-44-5951-070-SET</t>
  </si>
  <si>
    <t>14-5951-070</t>
  </si>
  <si>
    <t>PR-MTZ-44-5952-000-SET</t>
  </si>
  <si>
    <t>5952</t>
  </si>
  <si>
    <t>14-5952-000</t>
  </si>
  <si>
    <t>PR-MTZ-44-5953-000-SET</t>
  </si>
  <si>
    <t>5953</t>
  </si>
  <si>
    <t>14-5953-000</t>
  </si>
  <si>
    <t>PR-RAV-47-5901-000-SET</t>
  </si>
  <si>
    <t>RAV</t>
  </si>
  <si>
    <t>5901</t>
  </si>
  <si>
    <t>17-5901-000</t>
  </si>
  <si>
    <t>PR-RAV-47-5901-025-SET</t>
  </si>
  <si>
    <t>17-5901-025</t>
  </si>
  <si>
    <t>PR-RAV-47-5901-050-SET</t>
  </si>
  <si>
    <t>17-5901-050</t>
  </si>
  <si>
    <t>PR-RAV-49-5901-000-SET</t>
  </si>
  <si>
    <t>19-5901-000</t>
  </si>
  <si>
    <t>PR-RAV-49-5901-025-SET</t>
  </si>
  <si>
    <t>19-5901-025</t>
  </si>
  <si>
    <t>PR-RAV-49-5901-050-SET</t>
  </si>
  <si>
    <t>19-5901-050</t>
  </si>
  <si>
    <t>PR-RAV-47-5902-000-SET</t>
  </si>
  <si>
    <t>5902</t>
  </si>
  <si>
    <t>17-5902-000</t>
  </si>
  <si>
    <t>PR-RAV-47-5902-025-SET</t>
  </si>
  <si>
    <t>17-5902-025</t>
  </si>
  <si>
    <t>PR-RAV-47-5902-050-SET</t>
  </si>
  <si>
    <t>17-5902-050</t>
  </si>
  <si>
    <t>PR-RAV-49-5902-000-SET</t>
  </si>
  <si>
    <t>19-5902-000</t>
  </si>
  <si>
    <t>PR-RAV-49-5902-025-SET</t>
  </si>
  <si>
    <t>19-5902-025</t>
  </si>
  <si>
    <t>PR-RAV-49-5902-050-SET</t>
  </si>
  <si>
    <t>19-5902-050</t>
  </si>
  <si>
    <t>PR-REN-44-3841-000-SET</t>
  </si>
  <si>
    <t>REN</t>
  </si>
  <si>
    <t>3841</t>
  </si>
  <si>
    <t>14-3841-000</t>
  </si>
  <si>
    <t>PR-REN-44-3841-025-SET</t>
  </si>
  <si>
    <t>14-3841-025</t>
  </si>
  <si>
    <t>PR-REN-44-3841-050-SET</t>
  </si>
  <si>
    <t>14-3841-050</t>
  </si>
  <si>
    <t>PR-REN-44-3841-075-SET</t>
  </si>
  <si>
    <t>14-3841-075</t>
  </si>
  <si>
    <t>PR-REN-44-3841-100-SET</t>
  </si>
  <si>
    <t>14-3841-100</t>
  </si>
  <si>
    <t>PR-REN-47-3841-000-SET</t>
  </si>
  <si>
    <t>17-3841-000</t>
  </si>
  <si>
    <t>PR-REN-47-3841-025-SET</t>
  </si>
  <si>
    <t>17-3841-025</t>
  </si>
  <si>
    <t>PR-REN-47-3841-050-SET</t>
  </si>
  <si>
    <t>17-3841-050</t>
  </si>
  <si>
    <t>PR-REN-47-3841-100-SET</t>
  </si>
  <si>
    <t>17-3841-100</t>
  </si>
  <si>
    <t>PR-REN-49-3841-000-SET</t>
  </si>
  <si>
    <t>19-3841-000</t>
  </si>
  <si>
    <t>PR-REN-49-3841-025-SET</t>
  </si>
  <si>
    <t>19-3841-025</t>
  </si>
  <si>
    <t>PR-REN-49-3841-050-SET</t>
  </si>
  <si>
    <t>19-3841-050</t>
  </si>
  <si>
    <t>PR-REN-49-3841-075-SET</t>
  </si>
  <si>
    <t>19-3841-075</t>
  </si>
  <si>
    <t>PR-REN-49-3841-100-SET</t>
  </si>
  <si>
    <t>19-3841-100</t>
  </si>
  <si>
    <t>PR-SEN-44-4125-000-SET</t>
  </si>
  <si>
    <t>SEN</t>
  </si>
  <si>
    <t>4125</t>
  </si>
  <si>
    <t>14-4125-000</t>
  </si>
  <si>
    <t>PR-SEN-44-4125-025-SET</t>
  </si>
  <si>
    <t>14-4125-025</t>
  </si>
  <si>
    <t>PR-SEN-44-4125-050-SET</t>
  </si>
  <si>
    <t>14-4125-050</t>
  </si>
  <si>
    <t>PR-SEN-49-4125-000-SET</t>
  </si>
  <si>
    <t>19-4125-000</t>
  </si>
  <si>
    <t>PR-SEN-49-4125-025-SET</t>
  </si>
  <si>
    <t>19-4125-025</t>
  </si>
  <si>
    <t>PR-SEN-49-4125-050-SET</t>
  </si>
  <si>
    <t>19-4125-050</t>
  </si>
  <si>
    <t>PR-SEN-44-4126-000-SET</t>
  </si>
  <si>
    <t>4126</t>
  </si>
  <si>
    <t>14-4126-000</t>
  </si>
  <si>
    <t>PR-SEN-44-4126-025-SET</t>
  </si>
  <si>
    <t>14-4126-025</t>
  </si>
  <si>
    <t>PR-SEN-44-4126-050-SET</t>
  </si>
  <si>
    <t>14-4126-050</t>
  </si>
  <si>
    <t>PR-SEN-49-4126-000-SET</t>
  </si>
  <si>
    <t>19-4126-000</t>
  </si>
  <si>
    <t>PR-SEN-49-4126-025-SET</t>
  </si>
  <si>
    <t>19-4126-025</t>
  </si>
  <si>
    <t>PR-SEN-49-4126-050-SET</t>
  </si>
  <si>
    <t>19-4126-050</t>
  </si>
  <si>
    <t>PR-SMD-44-0143-000-SET</t>
  </si>
  <si>
    <t>SMD</t>
  </si>
  <si>
    <t>0143</t>
  </si>
  <si>
    <t>14-0143-000</t>
  </si>
  <si>
    <t>PR-SMD-44-0143-070-SET</t>
  </si>
  <si>
    <t>14-0143-070</t>
  </si>
  <si>
    <t>PR-SMD-44-0144-000-SET</t>
  </si>
  <si>
    <t>0144</t>
  </si>
  <si>
    <t>14-0144-000</t>
  </si>
  <si>
    <t>PR-SMD-44-0144-070-SET</t>
  </si>
  <si>
    <t>14-0144-070</t>
  </si>
  <si>
    <t>PR-SPR-24-0060-000-SET</t>
  </si>
  <si>
    <t>SPR</t>
  </si>
  <si>
    <t>0060</t>
  </si>
  <si>
    <t>14-0060-000</t>
  </si>
  <si>
    <t>PR-SPR-24-0060-040-SET</t>
  </si>
  <si>
    <t>14-0060-040</t>
  </si>
  <si>
    <t>PR-SPR-24-0060-080-SET</t>
  </si>
  <si>
    <t>14-0060-080</t>
  </si>
  <si>
    <t>PR-SPR-24-0092-000-SET</t>
  </si>
  <si>
    <t>0092</t>
  </si>
  <si>
    <t>14-0092-000</t>
  </si>
  <si>
    <t>PR-TAV-44-4120-000-SET</t>
  </si>
  <si>
    <t>TAV</t>
  </si>
  <si>
    <t>4120</t>
  </si>
  <si>
    <t>14-4120-000</t>
  </si>
  <si>
    <t>PR-TAV-44-4120-025-SET</t>
  </si>
  <si>
    <t>14-4120-025</t>
  </si>
  <si>
    <t>PR-TAV-44-4120-050-SET</t>
  </si>
  <si>
    <t>14-4120-050</t>
  </si>
  <si>
    <t>PR-TAV-44-4120-100-SET</t>
  </si>
  <si>
    <t>14-4120-100</t>
  </si>
  <si>
    <t>PR-TAV-49-4120-000-SET</t>
  </si>
  <si>
    <t>19-4120-000</t>
  </si>
  <si>
    <t>PR-TAV-49-4120-025-SET</t>
  </si>
  <si>
    <t>19-4120-025</t>
  </si>
  <si>
    <t>PR-TAV-49-4120-050-SET</t>
  </si>
  <si>
    <t>19-4120-050</t>
  </si>
  <si>
    <t>PR-TAV-49-4120-100-SET</t>
  </si>
  <si>
    <t>19-4120-100</t>
  </si>
  <si>
    <t>PR-UAZ-44-5658-000-SET</t>
  </si>
  <si>
    <t>UAZ</t>
  </si>
  <si>
    <t>5658</t>
  </si>
  <si>
    <t>14-5658-000</t>
  </si>
  <si>
    <t>PR-UAZ-44-5658-050-SET</t>
  </si>
  <si>
    <t>14-5658-050</t>
  </si>
  <si>
    <t>PR-UAZ-44-5660-000-SET</t>
  </si>
  <si>
    <t>5660</t>
  </si>
  <si>
    <t>14-5660-000</t>
  </si>
  <si>
    <t>PR-UAZ-44-5660-050-SET</t>
  </si>
  <si>
    <t>14-5660-050</t>
  </si>
  <si>
    <t>PR-UAZ-44-5660-100-SET</t>
  </si>
  <si>
    <t>14-5660-100</t>
  </si>
  <si>
    <t>PR-UAZ-49-5660-000-SET</t>
  </si>
  <si>
    <t>19-5660-000</t>
  </si>
  <si>
    <t>PR-UAZ-49-5660-050-SET</t>
  </si>
  <si>
    <t>19-5660-050</t>
  </si>
  <si>
    <t>PR-UAZ-49-5660-100-SET</t>
  </si>
  <si>
    <t>19-5660-100</t>
  </si>
  <si>
    <t>PR-UAZ-44-5661-000-SET</t>
  </si>
  <si>
    <t>5661</t>
  </si>
  <si>
    <t>14-5661-000</t>
  </si>
  <si>
    <t>PR-UAZ-44-5661-050-SET</t>
  </si>
  <si>
    <t>14-5661-050</t>
  </si>
  <si>
    <t>PR-UAZ-44-5661-100-SET</t>
  </si>
  <si>
    <t>14-5661-100</t>
  </si>
  <si>
    <t>PR-UAZ-49-5661-000-SET</t>
  </si>
  <si>
    <t>19-5661-000</t>
  </si>
  <si>
    <t>PR-UAZ-49-5661-050-SET</t>
  </si>
  <si>
    <t>19-5661-050</t>
  </si>
  <si>
    <t>PR-UAZ-49-5661-100-SET</t>
  </si>
  <si>
    <t>19-5661-100</t>
  </si>
  <si>
    <t>PR-WOL-44-5650-000-SET</t>
  </si>
  <si>
    <t>WOL</t>
  </si>
  <si>
    <t>5650</t>
  </si>
  <si>
    <t>14-5650-000</t>
  </si>
  <si>
    <t>PR-WOL-44-5650-050-SET</t>
  </si>
  <si>
    <t>14-5650-050</t>
  </si>
  <si>
    <t>PR-WOL-44-5650-100-SET</t>
  </si>
  <si>
    <t>14-5650-100</t>
  </si>
  <si>
    <t>PR-WOL-44-5650-150-SET</t>
  </si>
  <si>
    <t>14-5650-150</t>
  </si>
  <si>
    <t>PR-WOL-47-5650-000-SET</t>
  </si>
  <si>
    <t>17-5650-000</t>
  </si>
  <si>
    <t>PR-WOL-47-5650-050-SET</t>
  </si>
  <si>
    <t>17-5650-050</t>
  </si>
  <si>
    <t>PR-WOL-47-5650-100-SET</t>
  </si>
  <si>
    <t>17-5650-100</t>
  </si>
  <si>
    <t>PR-WOL-47-5650-150-SET</t>
  </si>
  <si>
    <t>17-5650-150</t>
  </si>
  <si>
    <t>PR-WOL-49-5650-000-SET</t>
  </si>
  <si>
    <t>19-5650-000</t>
  </si>
  <si>
    <t>PR-WOL-49-5650-025-SET</t>
  </si>
  <si>
    <t>19-5650-025</t>
  </si>
  <si>
    <t>PR-WOL-49-5650-050-SET</t>
  </si>
  <si>
    <t>19-5650-050</t>
  </si>
  <si>
    <t>PR-WOL-49-5650-100-SET</t>
  </si>
  <si>
    <t>19-5650-100</t>
  </si>
  <si>
    <t>PR-WOL-49-5650-150-SET</t>
  </si>
  <si>
    <t>19-5650-150</t>
  </si>
  <si>
    <t>PR-WOL-44-5651-000-SET</t>
  </si>
  <si>
    <t>5651</t>
  </si>
  <si>
    <t>14-5651-000</t>
  </si>
  <si>
    <t>PR-WOL-44-5651-050-SET</t>
  </si>
  <si>
    <t>14-5651-050</t>
  </si>
  <si>
    <t>PR-WOL-44-5651-100-SET</t>
  </si>
  <si>
    <t>14-5651-100</t>
  </si>
  <si>
    <t>PR-WOL-44-5651-150-SET</t>
  </si>
  <si>
    <t>14-5651-150</t>
  </si>
  <si>
    <t>PR-WOL-44-5652-000-SET</t>
  </si>
  <si>
    <t>5652</t>
  </si>
  <si>
    <t>14-5652-000</t>
  </si>
  <si>
    <t>PR-WOL-44-5652-050-SET</t>
  </si>
  <si>
    <t>14-5652-050</t>
  </si>
  <si>
    <t>PR-WOL-44-5652-100-SET</t>
  </si>
  <si>
    <t>14-5652-100</t>
  </si>
  <si>
    <t>PR-WOL-49-5652-000-SET</t>
  </si>
  <si>
    <t>19-5652-000</t>
  </si>
  <si>
    <t>PR-WOL-49-5652-050-SET</t>
  </si>
  <si>
    <t>19-5652-050</t>
  </si>
  <si>
    <t>PR-WOL-49-5652-100-SET</t>
  </si>
  <si>
    <t>19-5652-100</t>
  </si>
  <si>
    <t>PR-WOL-44-5656-000-SET</t>
  </si>
  <si>
    <t>5656</t>
  </si>
  <si>
    <t>14-5656-000</t>
  </si>
  <si>
    <t>PR-WOL-44-5656-050-SET</t>
  </si>
  <si>
    <t>14-5656-050</t>
  </si>
  <si>
    <t>PR-WOL-44-5656-100-SET</t>
  </si>
  <si>
    <t>14-5656-100</t>
  </si>
  <si>
    <t>PR-WOL-49-5656-000-SET</t>
  </si>
  <si>
    <t>19-5656-000</t>
  </si>
  <si>
    <t>PR-WOL-49-5656-050-SET</t>
  </si>
  <si>
    <t>19-5656-050</t>
  </si>
  <si>
    <t>PR-WOL-49-5656-100-SET</t>
  </si>
  <si>
    <t>19-5656-100</t>
  </si>
  <si>
    <t>PR-WOL-44-5657-000-SET</t>
  </si>
  <si>
    <t>5657</t>
  </si>
  <si>
    <t>14-5657-000</t>
  </si>
  <si>
    <t>PR-WOL-44-5657-050-SET</t>
  </si>
  <si>
    <t>14-5657-050</t>
  </si>
  <si>
    <t>PR-WOL-44-5657-100-SET</t>
  </si>
  <si>
    <t>14-5657-100</t>
  </si>
  <si>
    <t>PR-WOL-49-5657-000-SET</t>
  </si>
  <si>
    <t>19-5657-000</t>
  </si>
  <si>
    <t>PR-WOL-49-5657-050-SET</t>
  </si>
  <si>
    <t>19-5657-050</t>
  </si>
  <si>
    <t>PR-WOL-49-5657-100-SET</t>
  </si>
  <si>
    <t>19-5657-100</t>
  </si>
  <si>
    <t>PR-YAM-14-5750-000-SET</t>
  </si>
  <si>
    <t>YAM</t>
  </si>
  <si>
    <t>5750</t>
  </si>
  <si>
    <t>14-5750-000</t>
  </si>
  <si>
    <t>PR-YAM-64-5750-000-SET</t>
  </si>
  <si>
    <t>PR-YAM-64-5751-000-SET</t>
  </si>
  <si>
    <t>5751</t>
  </si>
  <si>
    <t>14-5751-000</t>
  </si>
  <si>
    <t>PR-ZIL-84-5990-000-SET</t>
  </si>
  <si>
    <t>ZIL</t>
  </si>
  <si>
    <t>5990</t>
  </si>
  <si>
    <t>14-5990-000</t>
  </si>
  <si>
    <t>PR-ZIL-84-5990-050-SET</t>
  </si>
  <si>
    <t>14-5990-050</t>
  </si>
  <si>
    <t>PR-ZIL-84-5990-100-SET</t>
  </si>
  <si>
    <t>14-5990-100</t>
  </si>
  <si>
    <t>PR-ZIL-84-5990-150-SET</t>
  </si>
  <si>
    <t>14-5990-150</t>
  </si>
  <si>
    <t>PR-ZIL-84-5991-000-SET</t>
  </si>
  <si>
    <t>5991</t>
  </si>
  <si>
    <t>14-5991-000</t>
  </si>
  <si>
    <t>Symbol_raw</t>
  </si>
  <si>
    <t>Quantity</t>
  </si>
  <si>
    <t>JCHE003-G-S-0</t>
  </si>
  <si>
    <t>JDAE001-G-S-0</t>
  </si>
  <si>
    <t>JDAE003-G-S-0</t>
  </si>
  <si>
    <t>JDAE004-G-P-0</t>
  </si>
  <si>
    <t>JLAD001-G-S-0</t>
  </si>
  <si>
    <t>JLAD002-G-S-0</t>
  </si>
  <si>
    <t>JLAD003-G-S-0</t>
  </si>
  <si>
    <t>JLAD004-G-S-0</t>
  </si>
  <si>
    <t>JLAD006-B-S-0</t>
  </si>
  <si>
    <t>JLAD011-G-S-0</t>
  </si>
  <si>
    <t>JLAD012-G-S-0</t>
  </si>
  <si>
    <t>JLAD013-G-S-0</t>
  </si>
  <si>
    <t>JLAD014-G-S-0</t>
  </si>
  <si>
    <t>JMTZ003-G-S-0</t>
  </si>
  <si>
    <t>JREN005-B-S-0</t>
  </si>
  <si>
    <t>JREN007-B-S-0</t>
  </si>
  <si>
    <t>JREN016-B-S-0</t>
  </si>
  <si>
    <t>JWOL003-G-P-0</t>
  </si>
  <si>
    <t>JWOL003-G-S-0</t>
  </si>
  <si>
    <t>JWOL003-G-S-1</t>
  </si>
  <si>
    <t>JWOL004-G-P-0</t>
  </si>
  <si>
    <t>JWOL004-G-P-1</t>
  </si>
  <si>
    <t>JWOL004-G-S-0</t>
  </si>
  <si>
    <t>JWOL004-G-S-1</t>
  </si>
  <si>
    <t>JYAM001-G-P-0</t>
  </si>
  <si>
    <t>JYAM001-G-S-0</t>
  </si>
  <si>
    <t>PCHE005-S-0-N</t>
  </si>
  <si>
    <t>PCHE033-S-0-H</t>
  </si>
  <si>
    <t>PCHE033-S-0-N</t>
  </si>
  <si>
    <t>PCHE034-A-0-H</t>
  </si>
  <si>
    <t>PCHE046-A-0-N</t>
  </si>
  <si>
    <t>PDAE003-S-0-N</t>
  </si>
  <si>
    <t>PDAE004-A-0-N</t>
  </si>
  <si>
    <t>PDAE011-S-0-D</t>
  </si>
  <si>
    <t>PDAE011-S-0-N</t>
  </si>
  <si>
    <t>PDAE012-A-0-D</t>
  </si>
  <si>
    <t>PDAE012-A-0-N</t>
  </si>
  <si>
    <t>PDAE013-S-0-0</t>
  </si>
  <si>
    <t>PLAD001-S-0-D</t>
  </si>
  <si>
    <t>PLAD001-S-0-N</t>
  </si>
  <si>
    <t>PLAD002-A-0-D</t>
  </si>
  <si>
    <t>PLAD002-A-0-N</t>
  </si>
  <si>
    <t>PLAD004-A-0-D</t>
  </si>
  <si>
    <t>PLAD004-A-0-N</t>
  </si>
  <si>
    <t>PLAD005-S-0-D</t>
  </si>
  <si>
    <t>PLAD005-S-0-N</t>
  </si>
  <si>
    <t>PGGG007</t>
  </si>
  <si>
    <t>PLAD006-S-0-H</t>
  </si>
  <si>
    <t>PLAD006-S-0-N</t>
  </si>
  <si>
    <t>PLAD007-A-0-N</t>
  </si>
  <si>
    <t>PGGG006</t>
  </si>
  <si>
    <t>PLAD007-B-0-H</t>
  </si>
  <si>
    <t>PLAD025-S-0-N</t>
  </si>
  <si>
    <t>PLAD026-B-0-N</t>
  </si>
  <si>
    <t>PGGG031</t>
  </si>
  <si>
    <t>PLAD030-S-0-H</t>
  </si>
  <si>
    <t>PGGG030</t>
  </si>
  <si>
    <t>PLAD031-B-0-H</t>
  </si>
  <si>
    <t>PMOS002-A-0-D</t>
  </si>
  <si>
    <t>PREN001-S-0-D</t>
  </si>
  <si>
    <t>PREN002-A-0-D</t>
  </si>
  <si>
    <t>PREN018-S-0-0</t>
  </si>
  <si>
    <t>PREN019-A-0-0</t>
  </si>
  <si>
    <t>PSMD001-S-0-D</t>
  </si>
  <si>
    <t>PUAZ002-A-0-D</t>
  </si>
  <si>
    <t>PWOL003-S-0-D</t>
  </si>
  <si>
    <t>PWOL007-S-0-N</t>
  </si>
  <si>
    <t>PX-DAE-3A-1401-000</t>
  </si>
  <si>
    <t>PX-DAE-3A-1401-025</t>
  </si>
  <si>
    <t>PX-DAE-4A-3538-000</t>
  </si>
  <si>
    <t>PX-DAE-4A-3538-025</t>
  </si>
  <si>
    <t>PX-DAE-4A-3538-050</t>
  </si>
  <si>
    <t>PX-DAE-4A-3548-000-2</t>
  </si>
  <si>
    <t>PX-DAE-4A-3548-025-2</t>
  </si>
  <si>
    <t>PX-DAE-4A-3548-075-2</t>
  </si>
  <si>
    <t>PX-LAD-4A-2804-040-B</t>
  </si>
  <si>
    <t>PX-LAD-4A-2805-000-C</t>
  </si>
  <si>
    <t>PX-LAD-4A-2805-000-D</t>
  </si>
  <si>
    <t>PX-LAD-4A-2805-000-E</t>
  </si>
  <si>
    <t>PX-LAD-4A-2805-100-A</t>
  </si>
  <si>
    <t>PX-LAD-4A-2808-000-B</t>
  </si>
  <si>
    <t>PX-LAD-4A-2808-080-A</t>
  </si>
  <si>
    <t>PX-LAD-4A-2808-080-B</t>
  </si>
  <si>
    <t>PX-LAD-4A-2808-100-B</t>
  </si>
  <si>
    <t>PX-LAD-4A-2809-000-C</t>
  </si>
  <si>
    <t>PX-LAD-4A-2809-100-A</t>
  </si>
  <si>
    <t>PX-LAD-4A-2809-100-B</t>
  </si>
  <si>
    <t>PX-LAD-4A-2810-000-C</t>
  </si>
  <si>
    <t>PX-LAD-4A-2810-040-A</t>
  </si>
  <si>
    <t>PX-LAD-4A-2810-040-B</t>
  </si>
  <si>
    <t>PX-LAD-4A-2810-080-B</t>
  </si>
  <si>
    <t>PX-LAD-4A-2818-000-C</t>
  </si>
  <si>
    <t>PX-LAD-4A-2818-050-A</t>
  </si>
  <si>
    <t>PX-REN-4A-3841-000-B</t>
  </si>
  <si>
    <t>PX-REN-4A-3841-000-C</t>
  </si>
  <si>
    <t>PX-REN-4A-3841-000-D</t>
  </si>
  <si>
    <t>PX-REN-4A-3841-000-E</t>
  </si>
  <si>
    <t>PX-REN-4A-3841-050-A</t>
  </si>
  <si>
    <t>PX-REN-4A-3841-050-B</t>
  </si>
  <si>
    <t>PX-REN-4A-3841-050-C</t>
  </si>
  <si>
    <t>PX-REN-4A-3842-000-B</t>
  </si>
  <si>
    <t>PX-REN-4A-3842-000-C</t>
  </si>
  <si>
    <t>PX-REN-4A-3842-050-A</t>
  </si>
  <si>
    <t>PX-REN-4A-3842-050-B</t>
  </si>
  <si>
    <t>PX-REN-4A-3842-050-C</t>
  </si>
  <si>
    <t>PX-REN-4A-3842-100-A</t>
  </si>
  <si>
    <t>PX-REN-4A-3842-100-B</t>
  </si>
  <si>
    <t>PX-WOL-4A-5656-100-A</t>
  </si>
  <si>
    <t>PZAZ003-S-0-D</t>
  </si>
  <si>
    <t>PZAZ004-A-0-D</t>
  </si>
  <si>
    <t>XLAD-67-BLUE</t>
  </si>
  <si>
    <t>XUAZ-66-WHITE</t>
  </si>
  <si>
    <t>XWOL-64-GREEN</t>
  </si>
  <si>
    <t>XWOL-64-WHITE</t>
  </si>
  <si>
    <t>XWOL-67-WHITE</t>
  </si>
  <si>
    <t>JCHE005-G-S-0</t>
  </si>
  <si>
    <t>PDAE006-A-0-N</t>
  </si>
  <si>
    <t>PLAD003-S-0-D</t>
  </si>
  <si>
    <t>PWOL004-A-0-D</t>
  </si>
  <si>
    <t>PX-CHE-4F-1405-025</t>
  </si>
  <si>
    <t>PX-DAE-3A-1401-050</t>
  </si>
  <si>
    <t>PX-DAE-4A-3548-050-2</t>
  </si>
  <si>
    <t>PX-DAE-4A-3548-100-2</t>
  </si>
  <si>
    <t>PX-LAD-4A-2804-000-E</t>
  </si>
  <si>
    <t>PX-LAD-4A-2804-040-A</t>
  </si>
  <si>
    <t>PX-LAD-4A-2804-080-A</t>
  </si>
  <si>
    <t>PX-LAD-4A-2804-080-B</t>
  </si>
  <si>
    <t>PX-LAD-4A-2804-100-B</t>
  </si>
  <si>
    <t>PX-LAD-4A-2809-050-A</t>
  </si>
  <si>
    <t>PX-LAD-4A-2810-000-E</t>
  </si>
  <si>
    <t>PX-LAD-4A-2810-080-A</t>
  </si>
  <si>
    <t>PX-LAD-4A-2811-000-C</t>
  </si>
  <si>
    <t>PX-LAD-4A-2811-000-D</t>
  </si>
  <si>
    <t>PX-LAD-4A-2811-000-E</t>
  </si>
  <si>
    <t>PX-LAD-4A-2811-050-A</t>
  </si>
  <si>
    <t>PX-LAD-4A-2811-050-B</t>
  </si>
  <si>
    <t>PX-REN-4A-3841-100-A</t>
  </si>
  <si>
    <t>PX-REN-4A-3842-000-D</t>
  </si>
  <si>
    <t>PX-REN-4A-3842-000-E</t>
  </si>
  <si>
    <t>PX-SEN-4F-4125-000</t>
  </si>
  <si>
    <t>PX-SEN-4F-4125-050</t>
  </si>
  <si>
    <t>XLAD-53</t>
  </si>
  <si>
    <t>XLAD-61-BLUE</t>
  </si>
  <si>
    <t>XLAD-61-GREEN</t>
  </si>
  <si>
    <t>XLAD-67-GREEN</t>
  </si>
  <si>
    <t>XLAD-67-RED</t>
  </si>
  <si>
    <t>XWOL-67-YELLOW</t>
  </si>
  <si>
    <t>D21</t>
  </si>
  <si>
    <t>D21S</t>
  </si>
  <si>
    <t>JDAE003-G-S-1</t>
  </si>
  <si>
    <t>JDAE004-G-S-1</t>
  </si>
  <si>
    <t>JLAD006-B-S-1</t>
  </si>
  <si>
    <t>JLAD006-B-S-2</t>
  </si>
  <si>
    <t>JLAD010-B-S-0</t>
  </si>
  <si>
    <t>PCHE045-S-0-N</t>
  </si>
  <si>
    <t>PDAE013-S-0-H</t>
  </si>
  <si>
    <t>PMOS001-S-0-D</t>
  </si>
  <si>
    <t>PMTZ001-S-0-D</t>
  </si>
  <si>
    <t>PMTZ002-B-0-N</t>
  </si>
  <si>
    <t>PMTZ003-S-0-N</t>
  </si>
  <si>
    <t>PREN018-S-0-N</t>
  </si>
  <si>
    <t>PREN019-A-0-N</t>
  </si>
  <si>
    <t>PWOL003-S-0-N</t>
  </si>
  <si>
    <t>PWOL004-A-0-N</t>
  </si>
  <si>
    <t>PX-CHE-4A-3549-075</t>
  </si>
  <si>
    <t>PX-DAE-4A-3548-075</t>
  </si>
  <si>
    <t>PX-LAD-4A-2801-040-B</t>
  </si>
  <si>
    <t>PX-LAD-4A-2801-080-B</t>
  </si>
  <si>
    <t>PX-LAD-4A-2803-000-E</t>
  </si>
  <si>
    <t>PX-LAD-4A-2803-040-2-B</t>
  </si>
  <si>
    <t>PX-LAD-4A-2803-040-B</t>
  </si>
  <si>
    <t>PX-LAD-4A-2803-080-2-B</t>
  </si>
  <si>
    <t>PX-LAD-4A-2803-080-B</t>
  </si>
  <si>
    <t>PX-LAD-4A-2803-100-B</t>
  </si>
  <si>
    <t>PX-LAD-4A-2818-000-B</t>
  </si>
  <si>
    <t>PX-MOS-4A-4855-000-B</t>
  </si>
  <si>
    <t>PX-UAZ-4A-5660-000-C</t>
  </si>
  <si>
    <t>PX-WOL-4A-5650-000-A</t>
  </si>
  <si>
    <t>PYAM001-S-0-N</t>
  </si>
  <si>
    <t>PYAM003-B-0-N</t>
  </si>
  <si>
    <t>XDAE-53</t>
  </si>
  <si>
    <t>Symbol_normalized</t>
  </si>
  <si>
    <t>Mediana</t>
  </si>
  <si>
    <t>Month_sales</t>
  </si>
  <si>
    <t>Stock</t>
  </si>
  <si>
    <t>Arrivals_added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</si>
  <si>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</si>
  <si>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</si>
  <si>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</si>
  <si>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</si>
  <si>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</si>
  <si>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</si>
  <si>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</si>
  <si>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</si>
  <si>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</si>
  <si>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</si>
  <si>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</si>
  <si>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</si>
  <si>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TOTAL</t>
  </si>
  <si>
    <t>Name</t>
  </si>
  <si>
    <t>JDAE003</t>
  </si>
  <si>
    <t>JLAD006-STD</t>
  </si>
  <si>
    <t>PKAM001-S-0-C</t>
  </si>
  <si>
    <t>PR-DAE-37-1402-025-SET</t>
  </si>
  <si>
    <t>PR-DAE-37-1402-050-SET</t>
  </si>
  <si>
    <t>PR-DAE-47-1401-000-SET</t>
  </si>
  <si>
    <t>PR-DAE-47-1401-025-SET</t>
  </si>
  <si>
    <t>PR-DAE-47-1401-050-SET</t>
  </si>
  <si>
    <t>PR-DAE-47-1401-075-SET</t>
  </si>
  <si>
    <t>PR-DAE-47-1401-100-SET</t>
  </si>
  <si>
    <t>PR-DAE-47-1402-075-SET</t>
  </si>
  <si>
    <t>PR-DAE-47-1402-100-SET</t>
  </si>
  <si>
    <t>PR-DAE-47-3538-075-SET</t>
  </si>
  <si>
    <t>PR-DAE-47-3538-100-SET</t>
  </si>
  <si>
    <t>PR-LAD-14-2803-000-1-B</t>
  </si>
  <si>
    <t>PR-LAD-14-2804-000-1-B</t>
  </si>
  <si>
    <t>PR-LAD-14-2804-000-2-B</t>
  </si>
  <si>
    <t>PR-LAD-14-2804-000-3-B</t>
  </si>
  <si>
    <t>PR-LAD-47-2802-060-SET</t>
  </si>
  <si>
    <t>PR-LAD-47-2803-070-SET</t>
  </si>
  <si>
    <t>PR-WOL-47-5650-025-SET</t>
  </si>
  <si>
    <t>PR-WOL-47-5650-075-SET</t>
  </si>
  <si>
    <t>PZIL002-A-0-N</t>
  </si>
  <si>
    <t>1</t>
  </si>
  <si>
    <t>PCHE005-S-0-D</t>
  </si>
  <si>
    <t>2</t>
  </si>
  <si>
    <t>PCHE005</t>
  </si>
  <si>
    <t>S-0-D</t>
  </si>
  <si>
    <t>S-0-N</t>
  </si>
  <si>
    <t>PCHE006-A-0-D</t>
  </si>
  <si>
    <t>PCHE006</t>
  </si>
  <si>
    <t>A-0-D</t>
  </si>
  <si>
    <t>PCHE006-A-0-N</t>
  </si>
  <si>
    <t>A-0-N</t>
  </si>
  <si>
    <t>PCHE007-S-0-D</t>
  </si>
  <si>
    <t>PCHE007</t>
  </si>
  <si>
    <t>PCHE007-S-0-N</t>
  </si>
  <si>
    <t>PCHE008-A-0-D</t>
  </si>
  <si>
    <t>PCHE008</t>
  </si>
  <si>
    <t>PCHE008-A-0-N</t>
  </si>
  <si>
    <t>PCHE033</t>
  </si>
  <si>
    <t>PCHE034-A-0-N</t>
  </si>
  <si>
    <t>PCHE034</t>
  </si>
  <si>
    <t>PCHE043-S-0-N</t>
  </si>
  <si>
    <t>PCHE043</t>
  </si>
  <si>
    <t>PCHE044-A-0-N</t>
  </si>
  <si>
    <t>PCHE044</t>
  </si>
  <si>
    <t>PCHE045</t>
  </si>
  <si>
    <t>PCHE046</t>
  </si>
  <si>
    <t>PCHE047-S-0-N</t>
  </si>
  <si>
    <t>PCHE047</t>
  </si>
  <si>
    <t>PCHE048-A-0-N</t>
  </si>
  <si>
    <t>PCHE048</t>
  </si>
  <si>
    <t>PCUM023-S-0-N</t>
  </si>
  <si>
    <t>PCUM023</t>
  </si>
  <si>
    <t>PCUM024-B-0-N</t>
  </si>
  <si>
    <t>PCUM024</t>
  </si>
  <si>
    <t>B-0-N</t>
  </si>
  <si>
    <t>PDAE003-S-0-D</t>
  </si>
  <si>
    <t>PDAE003</t>
  </si>
  <si>
    <t>PDAE003-S-0-H</t>
  </si>
  <si>
    <t>S-0-H</t>
  </si>
  <si>
    <t>PDAE004-A-0-D</t>
  </si>
  <si>
    <t>PDAE004</t>
  </si>
  <si>
    <t>PDAE004-A-0-H</t>
  </si>
  <si>
    <t>A-0-H</t>
  </si>
  <si>
    <t>PDAE005-S-0-D</t>
  </si>
  <si>
    <t>PDAE005</t>
  </si>
  <si>
    <t>PDAE005-S-0-N</t>
  </si>
  <si>
    <t>PDAE006-A-0-D</t>
  </si>
  <si>
    <t>PDAE006</t>
  </si>
  <si>
    <t>PDAE009-S-0-N</t>
  </si>
  <si>
    <t>PDAE009</t>
  </si>
  <si>
    <t>PDAE010-A-0-N</t>
  </si>
  <si>
    <t>PDAE010</t>
  </si>
  <si>
    <t>PDAE011</t>
  </si>
  <si>
    <t>PDAE012</t>
  </si>
  <si>
    <t>PDAE013</t>
  </si>
  <si>
    <t>S-0-0</t>
  </si>
  <si>
    <t>PDAE013-S-0-N</t>
  </si>
  <si>
    <t>PDAE014-B-0-0</t>
  </si>
  <si>
    <t>PDAE014</t>
  </si>
  <si>
    <t>B-0-0</t>
  </si>
  <si>
    <t>PDAE014-B-0-H</t>
  </si>
  <si>
    <t>B-0-H</t>
  </si>
  <si>
    <t>PDAE014-B-0-N</t>
  </si>
  <si>
    <t>PIKA003-A-0-D</t>
  </si>
  <si>
    <t>IKA</t>
  </si>
  <si>
    <t>PIKA003</t>
  </si>
  <si>
    <t>PIKA003-S-0-N</t>
  </si>
  <si>
    <t>PIKA004-A-0-D</t>
  </si>
  <si>
    <t>PIKA004</t>
  </si>
  <si>
    <t>PIKA004-S-0-C</t>
  </si>
  <si>
    <t>S-0-C</t>
  </si>
  <si>
    <t>PIKA004-S-0-N</t>
  </si>
  <si>
    <t>PISU027-S-0-N</t>
  </si>
  <si>
    <t>ISU</t>
  </si>
  <si>
    <t>PISU027</t>
  </si>
  <si>
    <t>PISU028-A-0-N</t>
  </si>
  <si>
    <t>PISU028</t>
  </si>
  <si>
    <t>PISU028-B-0-N</t>
  </si>
  <si>
    <t>PISU031-S-0-N</t>
  </si>
  <si>
    <t>PISU031</t>
  </si>
  <si>
    <t>PISU032-S-0-N</t>
  </si>
  <si>
    <t>PISU032</t>
  </si>
  <si>
    <t>PISU033-S-0-N</t>
  </si>
  <si>
    <t>PISU033</t>
  </si>
  <si>
    <t>PISU034-B-0-N</t>
  </si>
  <si>
    <t>PISU034</t>
  </si>
  <si>
    <t>PKAM001-S-0-H</t>
  </si>
  <si>
    <t>PKAM001</t>
  </si>
  <si>
    <t>PKAM001-S-0-N</t>
  </si>
  <si>
    <t>PKAM002-B-0-H</t>
  </si>
  <si>
    <t>PKAM002</t>
  </si>
  <si>
    <t>PKAM002-B-0-N</t>
  </si>
  <si>
    <t>PLAD001</t>
  </si>
  <si>
    <t>PLAD002</t>
  </si>
  <si>
    <t>PLAD003</t>
  </si>
  <si>
    <t>PLAD003-S-0-N</t>
  </si>
  <si>
    <t>PLAD004</t>
  </si>
  <si>
    <t>PLAD005</t>
  </si>
  <si>
    <t>PLAD006-S-0-D</t>
  </si>
  <si>
    <t>PLAD006</t>
  </si>
  <si>
    <t>PLAD007-A-0-D</t>
  </si>
  <si>
    <t>PLAD007</t>
  </si>
  <si>
    <t>PLAD025</t>
  </si>
  <si>
    <t>PLAD026</t>
  </si>
  <si>
    <t>PLAD030</t>
  </si>
  <si>
    <t>PLAD031</t>
  </si>
  <si>
    <t>PMOS001</t>
  </si>
  <si>
    <t>PMOS001-S-0-N</t>
  </si>
  <si>
    <t>PMOS002</t>
  </si>
  <si>
    <t>PMOS002-A-0-N</t>
  </si>
  <si>
    <t>PMTZ001</t>
  </si>
  <si>
    <t>PMTZ002</t>
  </si>
  <si>
    <t>PMTZ002-S-0-D</t>
  </si>
  <si>
    <t>PMTZ003</t>
  </si>
  <si>
    <t>PREN001</t>
  </si>
  <si>
    <t>PREN001-S-0-N</t>
  </si>
  <si>
    <t>PREN002</t>
  </si>
  <si>
    <t>PREN002-A-0-N</t>
  </si>
  <si>
    <t>PREN018</t>
  </si>
  <si>
    <t>PREN019</t>
  </si>
  <si>
    <t>A-0-0</t>
  </si>
  <si>
    <t>PSMD001</t>
  </si>
  <si>
    <t>PSMD002-S-0-D</t>
  </si>
  <si>
    <t>PSMD002</t>
  </si>
  <si>
    <t>PUAZ001-S-0-D</t>
  </si>
  <si>
    <t>PUAZ001</t>
  </si>
  <si>
    <t>PUAZ001-S-0-N</t>
  </si>
  <si>
    <t>PUAZ002</t>
  </si>
  <si>
    <t>PUAZ002-A-0-N</t>
  </si>
  <si>
    <t>PWLA001-S-0-0</t>
  </si>
  <si>
    <t>WLA</t>
  </si>
  <si>
    <t>PWLA001</t>
  </si>
  <si>
    <t>PWLA002-S-0-0</t>
  </si>
  <si>
    <t>PWLA002</t>
  </si>
  <si>
    <t>PWOL002-A-0-D</t>
  </si>
  <si>
    <t>PWOL002</t>
  </si>
  <si>
    <t>PWOL003</t>
  </si>
  <si>
    <t>PWOL004</t>
  </si>
  <si>
    <t>PWOL007</t>
  </si>
  <si>
    <t>PYAM001</t>
  </si>
  <si>
    <t>PYAM002-S-0-C</t>
  </si>
  <si>
    <t>PYAM002</t>
  </si>
  <si>
    <t>PYAM002-S-0-N</t>
  </si>
  <si>
    <t>PYAM003</t>
  </si>
  <si>
    <t>PYAM003-B-P-N</t>
  </si>
  <si>
    <t>B-P-N</t>
  </si>
  <si>
    <t>ZAZ</t>
  </si>
  <si>
    <t>PZAZ003</t>
  </si>
  <si>
    <t>PZAZ003-S-0-N</t>
  </si>
  <si>
    <t>PZAZ004</t>
  </si>
  <si>
    <t>PZAZ004-A-0-N</t>
  </si>
  <si>
    <t>PZIL001-S-0-N</t>
  </si>
  <si>
    <t>PZIL001</t>
  </si>
  <si>
    <t>PZIL002-B-0-N</t>
  </si>
  <si>
    <t>PZIL002</t>
  </si>
  <si>
    <t>3</t>
  </si>
  <si>
    <t>JCHE003</t>
  </si>
  <si>
    <t>0</t>
  </si>
  <si>
    <t>JCHE003-G-S-1</t>
  </si>
  <si>
    <t>JCHE004-G-S-0</t>
  </si>
  <si>
    <t>JCHE004</t>
  </si>
  <si>
    <t>JCHE005</t>
  </si>
  <si>
    <t>JDAE001-G-P-0</t>
  </si>
  <si>
    <t>JDAE001</t>
  </si>
  <si>
    <t>JDAE003-G-P-0</t>
  </si>
  <si>
    <t>JDAE004</t>
  </si>
  <si>
    <t>JDAE004-G-S-0</t>
  </si>
  <si>
    <t>JIKA001-G-S-0</t>
  </si>
  <si>
    <t>JIKA001</t>
  </si>
  <si>
    <t>JIKA002-G-S-0</t>
  </si>
  <si>
    <t>JIKA002</t>
  </si>
  <si>
    <t>JISU003-G-S-0</t>
  </si>
  <si>
    <t>JISU003</t>
  </si>
  <si>
    <t>JKAM001-G-P-0</t>
  </si>
  <si>
    <t>JKAM001</t>
  </si>
  <si>
    <t>JKAM001-G-S-0</t>
  </si>
  <si>
    <t>JKAM001-G-P-2</t>
  </si>
  <si>
    <t>JKAM001-G-S-2</t>
  </si>
  <si>
    <t>JLAD001</t>
  </si>
  <si>
    <t>JLAD002</t>
  </si>
  <si>
    <t>JLAD003</t>
  </si>
  <si>
    <t>JLAD004</t>
  </si>
  <si>
    <t>JLAD006</t>
  </si>
  <si>
    <t>JLAD010</t>
  </si>
  <si>
    <t>JLAD011</t>
  </si>
  <si>
    <t>JLAD011-G-S-1</t>
  </si>
  <si>
    <t>JLAD011-G-S-2</t>
  </si>
  <si>
    <t>JLAD011-G-S-3</t>
  </si>
  <si>
    <t>JLAD012</t>
  </si>
  <si>
    <t>JLAD012-G-S-1</t>
  </si>
  <si>
    <t>JLAD012-G-S-2</t>
  </si>
  <si>
    <t>JLAD012-G-S-3</t>
  </si>
  <si>
    <t>JLAD013</t>
  </si>
  <si>
    <t>JLAD013-G-S-1</t>
  </si>
  <si>
    <t>JLAD013-G-S-2</t>
  </si>
  <si>
    <t>JLAD013-G-S-3</t>
  </si>
  <si>
    <t>JLAD014</t>
  </si>
  <si>
    <t>JLAD014-G-S-1</t>
  </si>
  <si>
    <t>JLAD014-G-S-2</t>
  </si>
  <si>
    <t>JLAD014-G-S-3</t>
  </si>
  <si>
    <t>JMOS001-G-S-0</t>
  </si>
  <si>
    <t>JMOS001</t>
  </si>
  <si>
    <t>JMOS002-G-S-0</t>
  </si>
  <si>
    <t>JMOS002</t>
  </si>
  <si>
    <t>JMTZ003-G-P-0</t>
  </si>
  <si>
    <t>JMTZ003</t>
  </si>
  <si>
    <t>JMTZ003-G-P-1</t>
  </si>
  <si>
    <t>JMTZ003-G-S-1</t>
  </si>
  <si>
    <t>JMTZ003-G-P-2</t>
  </si>
  <si>
    <t>JMTZ003-G-S-2</t>
  </si>
  <si>
    <t>JOPE007-G-P-0</t>
  </si>
  <si>
    <t>OPE</t>
  </si>
  <si>
    <t>JOPE007</t>
  </si>
  <si>
    <t>JOPE007-G-S-0</t>
  </si>
  <si>
    <t>JOPE009-G-P-0</t>
  </si>
  <si>
    <t>JOPE009</t>
  </si>
  <si>
    <t>JOPE009-G-S-0</t>
  </si>
  <si>
    <t>JREN005</t>
  </si>
  <si>
    <t>JREN007</t>
  </si>
  <si>
    <t>JREN016</t>
  </si>
  <si>
    <t>JSMD001-G-P-0</t>
  </si>
  <si>
    <t>JSMD001</t>
  </si>
  <si>
    <t>JSMD001-G-S-0</t>
  </si>
  <si>
    <t>JWLA001-G-S-0</t>
  </si>
  <si>
    <t>JWLA001</t>
  </si>
  <si>
    <t>JWLA002-G-S-1</t>
  </si>
  <si>
    <t>JWLA002</t>
  </si>
  <si>
    <t>JWLA003-G-P-0</t>
  </si>
  <si>
    <t>JWLA003</t>
  </si>
  <si>
    <t>JWLA003-G-S-0</t>
  </si>
  <si>
    <t>JWOL003</t>
  </si>
  <si>
    <t>JWOL003-G-P-1</t>
  </si>
  <si>
    <t>JWOL003-G-P-2</t>
  </si>
  <si>
    <t>JWOL003-G-S-2</t>
  </si>
  <si>
    <t>JWOL004</t>
  </si>
  <si>
    <t>JWOL004-G-P-2</t>
  </si>
  <si>
    <t>JWOL004-G-S-2</t>
  </si>
  <si>
    <t>JYAM001</t>
  </si>
  <si>
    <t>JZAZ003-G-S-0</t>
  </si>
  <si>
    <t>JZAZ003</t>
  </si>
  <si>
    <t>JZAZ004-G-S-0</t>
  </si>
  <si>
    <t>JZAZ004</t>
  </si>
  <si>
    <t>JZIL001-G-P-0</t>
  </si>
  <si>
    <t>JZIL001</t>
  </si>
  <si>
    <t>JZIL001-G-S-0</t>
  </si>
  <si>
    <t>JZIL001-G-P-1</t>
  </si>
  <si>
    <t>JZIL001-G-S-1</t>
  </si>
  <si>
    <t>JZIL001-G-P-2</t>
  </si>
  <si>
    <t>JZIL001-G-S-2</t>
  </si>
  <si>
    <t>JZIL002-G-P-0</t>
  </si>
  <si>
    <t>JZIL002</t>
  </si>
  <si>
    <t>JZIL002-G-S-0</t>
  </si>
  <si>
    <t>JZIL002-G-P-1</t>
  </si>
  <si>
    <t>JZIL002-G-S-1</t>
  </si>
  <si>
    <t>JZIL002-G-P-2</t>
  </si>
  <si>
    <t>JZIL002-G-S-2</t>
  </si>
  <si>
    <t>4</t>
  </si>
  <si>
    <t>XDAE-55</t>
  </si>
  <si>
    <t>XKAM-95</t>
  </si>
  <si>
    <t>XLAD-61</t>
  </si>
  <si>
    <t>BLUE</t>
  </si>
  <si>
    <t>GREEN</t>
  </si>
  <si>
    <t>XLAD-61-RED</t>
  </si>
  <si>
    <t>RED</t>
  </si>
  <si>
    <t>XLAD-67</t>
  </si>
  <si>
    <t>XMTZ-92</t>
  </si>
  <si>
    <t>XUAZ-66-GREEN</t>
  </si>
  <si>
    <t>XUAZ-66</t>
  </si>
  <si>
    <t>XUAZ-66-RED</t>
  </si>
  <si>
    <t>WHITE</t>
  </si>
  <si>
    <t>XUAZ-66-YELLOW</t>
  </si>
  <si>
    <t>YELLOW</t>
  </si>
  <si>
    <t>XWOL-64</t>
  </si>
  <si>
    <t>XWOL-64-RED</t>
  </si>
  <si>
    <t>XWOL-64-YELLOW</t>
  </si>
  <si>
    <t>XWOL-66-GREEN</t>
  </si>
  <si>
    <t>XWOL-66</t>
  </si>
  <si>
    <t>XWOL-66-RED</t>
  </si>
  <si>
    <t>XWOL-66-WHITE</t>
  </si>
  <si>
    <t>XWOL-66-YELLOW</t>
  </si>
  <si>
    <t>XWOL-67-GREEN</t>
  </si>
  <si>
    <t>XWOL-67</t>
  </si>
  <si>
    <t>XWOL-67-RED</t>
  </si>
  <si>
    <t>XYAM-110</t>
  </si>
  <si>
    <t>XZAZ-60-GREEN</t>
  </si>
  <si>
    <t>XZAZ-60</t>
  </si>
  <si>
    <t>XZAZ-60-RED</t>
  </si>
  <si>
    <t>XZAZ-60-YELLOW</t>
  </si>
  <si>
    <t>PX-CHE-4A-1590-000</t>
  </si>
  <si>
    <t>5</t>
  </si>
  <si>
    <t>PX-CHE-4A-1590</t>
  </si>
  <si>
    <t>000</t>
  </si>
  <si>
    <t>PX-CHE-4A-1590-025</t>
  </si>
  <si>
    <t>025</t>
  </si>
  <si>
    <t>PX-CHE-4A-1590-050</t>
  </si>
  <si>
    <t>050</t>
  </si>
  <si>
    <t>PX-CHE-4A-3549-000</t>
  </si>
  <si>
    <t>PX-CHE-4A-3549</t>
  </si>
  <si>
    <t>PX-CHE-4A-3549-025</t>
  </si>
  <si>
    <t>PX-CHE-4A-3549-050</t>
  </si>
  <si>
    <t>PX-CHE-4F-1405-000</t>
  </si>
  <si>
    <t>PX-CHE-4F-1405</t>
  </si>
  <si>
    <t>PX-CHE-4F-1405-050</t>
  </si>
  <si>
    <t>PX-CHE-4F-1590-000</t>
  </si>
  <si>
    <t>PX-CHE-4F-1590</t>
  </si>
  <si>
    <t>PX-CHE-4F-1590-025</t>
  </si>
  <si>
    <t>PX-CHE-4F-1590-050</t>
  </si>
  <si>
    <t>PX-CHE-4F-3549-000</t>
  </si>
  <si>
    <t>PX-CHE-4F-3549</t>
  </si>
  <si>
    <t>PX-CHE-4F-3549-025</t>
  </si>
  <si>
    <t>PX-CHE-4F-3549-050</t>
  </si>
  <si>
    <t>PX-CUM-1R-0812-000</t>
  </si>
  <si>
    <t>PX-CUM-1R-0812</t>
  </si>
  <si>
    <t>PX-CUM-1R-0812-050</t>
  </si>
  <si>
    <t>PX-DAE-3A-1401</t>
  </si>
  <si>
    <t>PX-DAE-3A-1401-075</t>
  </si>
  <si>
    <t>075</t>
  </si>
  <si>
    <t>PX-DAE-3A-1401-100</t>
  </si>
  <si>
    <t>100</t>
  </si>
  <si>
    <t>PX-DAE-3F-1401-000</t>
  </si>
  <si>
    <t>PX-DAE-3F-1401</t>
  </si>
  <si>
    <t>PX-DAE-3F-1401-025</t>
  </si>
  <si>
    <t>PX-DAE-3F-1401-050</t>
  </si>
  <si>
    <t>PX-DAE-3F-1401-075</t>
  </si>
  <si>
    <t>PX-DAE-3F-1401-100</t>
  </si>
  <si>
    <t>PX-DAE-4A-3538</t>
  </si>
  <si>
    <t>PX-DAE-4A-3538-075</t>
  </si>
  <si>
    <t>PX-DAE-4A-3538-100</t>
  </si>
  <si>
    <t>PX-DAE-4A-3538-000-2</t>
  </si>
  <si>
    <t>PX-DAE-4A-3538-2</t>
  </si>
  <si>
    <t>PX-DAE-4A-3538-025-2</t>
  </si>
  <si>
    <t>PX-DAE-4A-3538-050-2</t>
  </si>
  <si>
    <t>PX-DAE-4A-3538-075-2</t>
  </si>
  <si>
    <t>PX-DAE-4A-3538-100-2</t>
  </si>
  <si>
    <t>PX-DAE-4A-3548-000</t>
  </si>
  <si>
    <t>PX-DAE-4A-3548</t>
  </si>
  <si>
    <t>PX-DAE-4A-3548-025</t>
  </si>
  <si>
    <t>PX-DAE-4A-3548-050</t>
  </si>
  <si>
    <t>PX-DAE-4A-3548-100</t>
  </si>
  <si>
    <t>PX-DAE-4A-3548-2</t>
  </si>
  <si>
    <t>PX-DAE-4F-1402-000</t>
  </si>
  <si>
    <t>PX-DAE-4F-1402</t>
  </si>
  <si>
    <t>PX-DAE-4F-1402-025</t>
  </si>
  <si>
    <t>PX-DAE-4F-1402-050</t>
  </si>
  <si>
    <t>PX-DAE-4F-3538-000</t>
  </si>
  <si>
    <t>PX-DAE-4F-3538</t>
  </si>
  <si>
    <t>PX-DAE-4F-3538-025</t>
  </si>
  <si>
    <t>PX-DAE-4F-3538-050</t>
  </si>
  <si>
    <t>PX-DAE-4F-3538-075</t>
  </si>
  <si>
    <t>PX-DAE-4F-3538-100</t>
  </si>
  <si>
    <t>PX-DAE-4F-3538-000-2</t>
  </si>
  <si>
    <t>PX-DAE-4F-3538-2</t>
  </si>
  <si>
    <t>PX-DAE-4F-3538-025-2</t>
  </si>
  <si>
    <t>PX-DAE-4F-3538-050-2</t>
  </si>
  <si>
    <t>PX-DAE-4F-3538-075-2</t>
  </si>
  <si>
    <t>PX-DAE-4F-3538-100-2</t>
  </si>
  <si>
    <t>PX-DAE-4F-3548-000</t>
  </si>
  <si>
    <t>PX-DAE-4F-3548</t>
  </si>
  <si>
    <t>PX-DAE-4F-3548-025</t>
  </si>
  <si>
    <t>PX-DAE-4F-3548-050</t>
  </si>
  <si>
    <t>PX-DAE-4F-3548-075</t>
  </si>
  <si>
    <t>PX-DAE-4F-3548-100</t>
  </si>
  <si>
    <t>PX-DAE-4F-3548-000-2</t>
  </si>
  <si>
    <t>PX-DAE-4F-3548-2</t>
  </si>
  <si>
    <t>PX-DAE-4F-3548-025-2</t>
  </si>
  <si>
    <t>PX-DAE-4F-3548-050-2</t>
  </si>
  <si>
    <t>PX-DAE-4F-3548-075-2</t>
  </si>
  <si>
    <t>PX-DAE-4F-3548-100-2</t>
  </si>
  <si>
    <t>PX-LAD-4A-2801-000</t>
  </si>
  <si>
    <t>PX-LAD-4A-2801-000-A</t>
  </si>
  <si>
    <t>A</t>
  </si>
  <si>
    <t>PX-LAD-4A-2801-000-B</t>
  </si>
  <si>
    <t>B</t>
  </si>
  <si>
    <t>PX-LAD-4A-2801-000-C</t>
  </si>
  <si>
    <t>C</t>
  </si>
  <si>
    <t>PX-LAD-4A-2801-000-D</t>
  </si>
  <si>
    <t>D</t>
  </si>
  <si>
    <t>PX-LAD-4A-2801-000-E</t>
  </si>
  <si>
    <t>E</t>
  </si>
  <si>
    <t>PX-LAD-4A-2801-020-B</t>
  </si>
  <si>
    <t>PX-LAD-4A-2801-020</t>
  </si>
  <si>
    <t>PX-LAD-4A-2801-040</t>
  </si>
  <si>
    <t>040</t>
  </si>
  <si>
    <t>PX-LAD-4A-2801-040-A</t>
  </si>
  <si>
    <t>PX-LAD-4A-2801-040-C</t>
  </si>
  <si>
    <t>PX-LAD-4A-2801-040-D</t>
  </si>
  <si>
    <t>PX-LAD-4A-2801-040-E</t>
  </si>
  <si>
    <t>PX-LAD-4A-2801-060</t>
  </si>
  <si>
    <t>060</t>
  </si>
  <si>
    <t>PX-LAD-4A-2801-060-A</t>
  </si>
  <si>
    <t>PX-LAD-4A-2801-060-B</t>
  </si>
  <si>
    <t>PX-LAD-4A-2801-060-C</t>
  </si>
  <si>
    <t>PX-LAD-4A-2801-060-D</t>
  </si>
  <si>
    <t>PX-LAD-4A-2801-060-E</t>
  </si>
  <si>
    <t>PX-LAD-4A-2801-080</t>
  </si>
  <si>
    <t>080</t>
  </si>
  <si>
    <t>PX-LAD-4A-2801-080-A</t>
  </si>
  <si>
    <t>PX-LAD-4A-2801-080-C</t>
  </si>
  <si>
    <t>PX-LAD-4A-2801-080-D</t>
  </si>
  <si>
    <t>PX-LAD-4A-2801-080-E</t>
  </si>
  <si>
    <t>PX-LAD-4A-2801-100</t>
  </si>
  <si>
    <t>PX-LAD-4A-2801-100-A</t>
  </si>
  <si>
    <t>PX-LAD-4A-2801-100-B</t>
  </si>
  <si>
    <t>PX-LAD-4A-2801-100-C</t>
  </si>
  <si>
    <t>PX-LAD-4A-2801-100-D</t>
  </si>
  <si>
    <t>PX-LAD-4A-2801-100-E</t>
  </si>
  <si>
    <t>PX-LAD-4A-2802-000</t>
  </si>
  <si>
    <t>PX-LAD-4A-2802-000-A</t>
  </si>
  <si>
    <t>PX-LAD-4A-2802-000-B</t>
  </si>
  <si>
    <t>PX-LAD-4A-2802-000-C</t>
  </si>
  <si>
    <t>PX-LAD-4A-2802-000-D</t>
  </si>
  <si>
    <t>PX-LAD-4A-2802-000-E</t>
  </si>
  <si>
    <t>PX-LAD-4A-2802-020</t>
  </si>
  <si>
    <t>020</t>
  </si>
  <si>
    <t>PX-LAD-4A-2802-020-B</t>
  </si>
  <si>
    <t>PX-LAD-4A-2802-040</t>
  </si>
  <si>
    <t>PX-LAD-4A-2802-040-A</t>
  </si>
  <si>
    <t>PX-LAD-4A-2802-040-B</t>
  </si>
  <si>
    <t>PX-LAD-4A-2802-040-C</t>
  </si>
  <si>
    <t>PX-LAD-4A-2802-040-D</t>
  </si>
  <si>
    <t>PX-LAD-4A-2802-040-E</t>
  </si>
  <si>
    <t>PX-LAD-4A-2802-060</t>
  </si>
  <si>
    <t>PX-LAD-4A-2802-060-B</t>
  </si>
  <si>
    <t>PX-LAD-4A-2802-080</t>
  </si>
  <si>
    <t>PX-LAD-4A-2802-080-A</t>
  </si>
  <si>
    <t>PX-LAD-4A-2802-080-B</t>
  </si>
  <si>
    <t>PX-LAD-4A-2802-080-C</t>
  </si>
  <si>
    <t>PX-LAD-4A-2802-080-D</t>
  </si>
  <si>
    <t>PX-LAD-4A-2802-080-E</t>
  </si>
  <si>
    <t>PX-LAD-4A-2802-100</t>
  </si>
  <si>
    <t>PX-LAD-4A-2802-100-A</t>
  </si>
  <si>
    <t>PX-LAD-4A-2802-100-B</t>
  </si>
  <si>
    <t>PX-LAD-4A-2803-000</t>
  </si>
  <si>
    <t>PX-LAD-4A-2803-000-A</t>
  </si>
  <si>
    <t>PX-LAD-4A-2803-000-B</t>
  </si>
  <si>
    <t>PX-LAD-4A-2803-000-C</t>
  </si>
  <si>
    <t>PX-LAD-4A-2803-000-D</t>
  </si>
  <si>
    <t>PX-LAD-4A-2803-000-2-A</t>
  </si>
  <si>
    <t>PX-LAD-4A-2803-000-2</t>
  </si>
  <si>
    <t>PX-LAD-4A-2803-000-2-B</t>
  </si>
  <si>
    <t>PX-LAD-4A-2803-000-2-C</t>
  </si>
  <si>
    <t>PX-LAD-4A-2803-000-2-D</t>
  </si>
  <si>
    <t>PX-LAD-4A-2803-000-2-E</t>
  </si>
  <si>
    <t>PX-LAD-4A-2803-040</t>
  </si>
  <si>
    <t>PX-LAD-4A-2803-040-A</t>
  </si>
  <si>
    <t>PX-LAD-4A-2803-040-C</t>
  </si>
  <si>
    <t>PX-LAD-4A-2803-040-D</t>
  </si>
  <si>
    <t>PX-LAD-4A-2803-040-E</t>
  </si>
  <si>
    <t>PX-LAD-4A-2803-040-2-A</t>
  </si>
  <si>
    <t>PX-LAD-4A-2803-040-2</t>
  </si>
  <si>
    <t>PX-LAD-4A-2803-040-2-C</t>
  </si>
  <si>
    <t>PX-LAD-4A-2803-040-2-D</t>
  </si>
  <si>
    <t>PX-LAD-4A-2803-040-2-E</t>
  </si>
  <si>
    <t>PX-LAD-4A-2803-070</t>
  </si>
  <si>
    <t>070</t>
  </si>
  <si>
    <t>PX-LAD-4A-2803-070-A</t>
  </si>
  <si>
    <t>PX-LAD-4A-2803-070-B</t>
  </si>
  <si>
    <t>PX-LAD-4A-2803-070-C</t>
  </si>
  <si>
    <t>PX-LAD-4A-2803-070-D</t>
  </si>
  <si>
    <t>PX-LAD-4A-2803-070-E</t>
  </si>
  <si>
    <t>PX-LAD-4A-2803-070-2-A</t>
  </si>
  <si>
    <t>PX-LAD-4A-2803-070-2</t>
  </si>
  <si>
    <t>PX-LAD-4A-2803-070-2-B</t>
  </si>
  <si>
    <t>PX-LAD-4A-2803-070-2-C</t>
  </si>
  <si>
    <t>PX-LAD-4A-2803-070-2-D</t>
  </si>
  <si>
    <t>PX-LAD-4A-2803-070-2-E</t>
  </si>
  <si>
    <t>PX-LAD-4A-2803-080</t>
  </si>
  <si>
    <t>PX-LAD-4A-2803-080-A</t>
  </si>
  <si>
    <t>PX-LAD-4A-2803-080-C</t>
  </si>
  <si>
    <t>PX-LAD-4A-2803-080-D</t>
  </si>
  <si>
    <t>PX-LAD-4A-2803-080-E</t>
  </si>
  <si>
    <t>PX-LAD-4A-2803-080-2-A</t>
  </si>
  <si>
    <t>PX-LAD-4A-2803-080-2</t>
  </si>
  <si>
    <t>PX-LAD-4A-2803-080-2-C</t>
  </si>
  <si>
    <t>PX-LAD-4A-2803-080-2-D</t>
  </si>
  <si>
    <t>PX-LAD-4A-2803-080-2-E</t>
  </si>
  <si>
    <t>PX-LAD-4A-2803-100</t>
  </si>
  <si>
    <t>PX-LAD-4A-2803-100-A</t>
  </si>
  <si>
    <t>PX-LAD-4A-2803-100-C</t>
  </si>
  <si>
    <t>PX-LAD-4A-2803-100-D</t>
  </si>
  <si>
    <t>PX-LAD-4A-2803-100-E</t>
  </si>
  <si>
    <t>PX-LAD-4A-2803-100-2-A</t>
  </si>
  <si>
    <t>PX-LAD-4A-2803-100-2</t>
  </si>
  <si>
    <t>PX-LAD-4A-2803-100-2-B</t>
  </si>
  <si>
    <t>PX-LAD-4A-2803-100-2-C</t>
  </si>
  <si>
    <t>PX-LAD-4A-2803-100-2-D</t>
  </si>
  <si>
    <t>PX-LAD-4A-2803-100-2-E</t>
  </si>
  <si>
    <t>PX-LAD-4A-2803-2</t>
  </si>
  <si>
    <t>PX-LAD-4A-2804-000</t>
  </si>
  <si>
    <t>PX-LAD-4A-2804-000-A</t>
  </si>
  <si>
    <t>PX-LAD-4A-2804-000-B</t>
  </si>
  <si>
    <t>PX-LAD-4A-2804-000-C</t>
  </si>
  <si>
    <t>PX-LAD-4A-2804-000-D</t>
  </si>
  <si>
    <t>PX-LAD-4A-2804-040</t>
  </si>
  <si>
    <t>PX-LAD-4A-2804-040-C</t>
  </si>
  <si>
    <t>PX-LAD-4A-2804-040-D</t>
  </si>
  <si>
    <t>PX-LAD-4A-2804-040-E</t>
  </si>
  <si>
    <t>PX-LAD-4A-2804-060</t>
  </si>
  <si>
    <t>PX-LAD-4A-2804-080</t>
  </si>
  <si>
    <t>PX-LAD-4A-2804-080-C</t>
  </si>
  <si>
    <t>PX-LAD-4A-2804-080-D</t>
  </si>
  <si>
    <t>PX-LAD-4A-2804-080-E</t>
  </si>
  <si>
    <t>PX-LAD-4A-2804-100</t>
  </si>
  <si>
    <t>PX-LAD-4A-2804-100-A</t>
  </si>
  <si>
    <t>PX-LAD-4A-2804-100-C</t>
  </si>
  <si>
    <t>PX-LAD-4A-2804-100-D</t>
  </si>
  <si>
    <t>PX-LAD-4A-2804-100-E</t>
  </si>
  <si>
    <t>PX-LAD-4A-2805-000</t>
  </si>
  <si>
    <t>PX-LAD-4A-2805-000-A</t>
  </si>
  <si>
    <t>PX-LAD-4A-2805-000-B</t>
  </si>
  <si>
    <t>PX-LAD-4A-2805-025</t>
  </si>
  <si>
    <t>PX-LAD-4A-2805-025-A</t>
  </si>
  <si>
    <t>PX-LAD-4A-2805-025-B</t>
  </si>
  <si>
    <t>PX-LAD-4A-2805-025-C</t>
  </si>
  <si>
    <t>PX-LAD-4A-2805-025-D</t>
  </si>
  <si>
    <t>PX-LAD-4A-2805-025-E</t>
  </si>
  <si>
    <t>PX-LAD-4A-2805-050</t>
  </si>
  <si>
    <t>PX-LAD-4A-2805-050-A</t>
  </si>
  <si>
    <t>PX-LAD-4A-2805-050-B</t>
  </si>
  <si>
    <t>PX-LAD-4A-2805-050-C</t>
  </si>
  <si>
    <t>PX-LAD-4A-2805-050-D</t>
  </si>
  <si>
    <t>PX-LAD-4A-2805-050-E</t>
  </si>
  <si>
    <t>PX-LAD-4A-2805-075</t>
  </si>
  <si>
    <t>PX-LAD-4A-2805-075-A</t>
  </si>
  <si>
    <t>PX-LAD-4A-2805-075-B</t>
  </si>
  <si>
    <t>PX-LAD-4A-2805-075-C</t>
  </si>
  <si>
    <t>PX-LAD-4A-2805-075-D</t>
  </si>
  <si>
    <t>PX-LAD-4A-2805-075-E</t>
  </si>
  <si>
    <t>PX-LAD-4A-2805-100</t>
  </si>
  <si>
    <t>PX-LAD-4A-2805-100-B</t>
  </si>
  <si>
    <t>PX-LAD-4A-2805-100-C</t>
  </si>
  <si>
    <t>PX-LAD-4A-2805-100-D</t>
  </si>
  <si>
    <t>PX-LAD-4A-2805-100-E</t>
  </si>
  <si>
    <t>PX-LAD-4A-2806-000-A</t>
  </si>
  <si>
    <t>PX-LAD-4A-2806-000</t>
  </si>
  <si>
    <t>PX-LAD-4A-2806-000-B</t>
  </si>
  <si>
    <t>PX-LAD-4A-2806-000-C</t>
  </si>
  <si>
    <t>PX-LAD-4A-2806-050-A</t>
  </si>
  <si>
    <t>PX-LAD-4A-2806-050</t>
  </si>
  <si>
    <t>PX-LAD-4A-2806-050-B</t>
  </si>
  <si>
    <t>PX-LAD-4A-2806-050-C</t>
  </si>
  <si>
    <t>PX-LAD-4A-2806-100-A</t>
  </si>
  <si>
    <t>PX-LAD-4A-2806-100</t>
  </si>
  <si>
    <t>PX-LAD-4A-2806-100-B</t>
  </si>
  <si>
    <t>PX-LAD-4A-2806-100-C</t>
  </si>
  <si>
    <t>PX-LAD-4A-2807-000-A</t>
  </si>
  <si>
    <t>PX-LAD-4A-2807-000</t>
  </si>
  <si>
    <t>PX-LAD-4A-2807-000-B</t>
  </si>
  <si>
    <t>PX-LAD-4A-2807-000-C</t>
  </si>
  <si>
    <t>PX-LAD-4A-2807-000-D</t>
  </si>
  <si>
    <t>PX-LAD-4A-2807-000-E</t>
  </si>
  <si>
    <t>PX-LAD-4A-2807-040-A</t>
  </si>
  <si>
    <t>PX-LAD-4A-2807-040</t>
  </si>
  <si>
    <t>PX-LAD-4A-2807-040-B</t>
  </si>
  <si>
    <t>PX-LAD-4A-2807-040-C</t>
  </si>
  <si>
    <t>PX-LAD-4A-2807-040-D</t>
  </si>
  <si>
    <t>PX-LAD-4A-2807-040-E</t>
  </si>
  <si>
    <t>PX-LAD-4A-2807-080-A</t>
  </si>
  <si>
    <t>PX-LAD-4A-2807-080</t>
  </si>
  <si>
    <t>PX-LAD-4A-2807-080-B</t>
  </si>
  <si>
    <t>PX-LAD-4A-2807-080-C</t>
  </si>
  <si>
    <t>PX-LAD-4A-2807-080-D</t>
  </si>
  <si>
    <t>PX-LAD-4A-2807-080-E</t>
  </si>
  <si>
    <t>PX-LAD-4A-2807-100-A</t>
  </si>
  <si>
    <t>PX-LAD-4A-2807-100</t>
  </si>
  <si>
    <t>PX-LAD-4A-2807-100-B</t>
  </si>
  <si>
    <t>PX-LAD-4A-2807-100-C</t>
  </si>
  <si>
    <t>PX-LAD-4A-2807-100-D</t>
  </si>
  <si>
    <t>PX-LAD-4A-2807-100-E</t>
  </si>
  <si>
    <t>PX-LAD-4A-2808-000-A</t>
  </si>
  <si>
    <t>PX-LAD-4A-2808-000</t>
  </si>
  <si>
    <t>PX-LAD-4A-2808-000-C</t>
  </si>
  <si>
    <t>PX-LAD-4A-2808-000-D</t>
  </si>
  <si>
    <t>PX-LAD-4A-2808-000-E</t>
  </si>
  <si>
    <t>PX-LAD-4A-2808-040-A</t>
  </si>
  <si>
    <t>PX-LAD-4A-2808-040</t>
  </si>
  <si>
    <t>PX-LAD-4A-2808-040-B</t>
  </si>
  <si>
    <t>PX-LAD-4A-2808-040-C</t>
  </si>
  <si>
    <t>PX-LAD-4A-2808-040-D</t>
  </si>
  <si>
    <t>PX-LAD-4A-2808-040-E</t>
  </si>
  <si>
    <t>PX-LAD-4A-2808-080</t>
  </si>
  <si>
    <t>PX-LAD-4A-2808-080-C</t>
  </si>
  <si>
    <t>PX-LAD-4A-2808-080-D</t>
  </si>
  <si>
    <t>PX-LAD-4A-2808-080-E</t>
  </si>
  <si>
    <t>PX-LAD-4A-2808-100-A</t>
  </si>
  <si>
    <t>PX-LAD-4A-2808-100</t>
  </si>
  <si>
    <t>PX-LAD-4A-2808-100-C</t>
  </si>
  <si>
    <t>PX-LAD-4A-2808-100-D</t>
  </si>
  <si>
    <t>PX-LAD-4A-2808-100-E</t>
  </si>
  <si>
    <t>PX-LAD-4A-2809-000-A</t>
  </si>
  <si>
    <t>PX-LAD-4A-2809-000</t>
  </si>
  <si>
    <t>PX-LAD-4A-2809-000-B</t>
  </si>
  <si>
    <t>PX-LAD-4A-2809-050</t>
  </si>
  <si>
    <t>PX-LAD-4A-2809-050-B</t>
  </si>
  <si>
    <t>PX-LAD-4A-2809-050-C</t>
  </si>
  <si>
    <t>PX-LAD-4A-2809-100</t>
  </si>
  <si>
    <t>PX-LAD-4A-2809-100-C</t>
  </si>
  <si>
    <t>PX-LAD-4A-2810-000</t>
  </si>
  <si>
    <t>PX-LAD-4A-2810-000-A</t>
  </si>
  <si>
    <t>PX-LAD-4A-2810-000-B</t>
  </si>
  <si>
    <t>PX-LAD-4A-2810-000-D</t>
  </si>
  <si>
    <t>PX-LAD-4A-2810-040</t>
  </si>
  <si>
    <t>PX-LAD-4A-2810-040-C</t>
  </si>
  <si>
    <t>PX-LAD-4A-2810-040-D</t>
  </si>
  <si>
    <t>PX-LAD-4A-2810-040-E</t>
  </si>
  <si>
    <t>PX-LAD-4A-2810-080</t>
  </si>
  <si>
    <t>PX-LAD-4A-2810-080-C</t>
  </si>
  <si>
    <t>PX-LAD-4A-2810-080-D</t>
  </si>
  <si>
    <t>PX-LAD-4A-2810-080-E</t>
  </si>
  <si>
    <t>PX-LAD-4A-2810-100</t>
  </si>
  <si>
    <t>PX-LAD-4A-2810-100-A</t>
  </si>
  <si>
    <t>PX-LAD-4A-2810-100-B</t>
  </si>
  <si>
    <t>PX-LAD-4A-2810-100-C</t>
  </si>
  <si>
    <t>PX-LAD-4A-2810-100-D</t>
  </si>
  <si>
    <t>PX-LAD-4A-2810-100-E</t>
  </si>
  <si>
    <t>PX-LAD-4A-2811-000-A</t>
  </si>
  <si>
    <t>PX-LAD-4A-2811-000</t>
  </si>
  <si>
    <t>PX-LAD-4A-2811-000-B</t>
  </si>
  <si>
    <t>PX-LAD-4A-2811-050</t>
  </si>
  <si>
    <t>PX-LAD-4A-2811-050-C</t>
  </si>
  <si>
    <t>PX-LAD-4A-2811-100-A</t>
  </si>
  <si>
    <t>PX-LAD-4A-2811-100</t>
  </si>
  <si>
    <t>PX-LAD-4A-2818-000-A</t>
  </si>
  <si>
    <t>PX-LAD-4A-2818-000</t>
  </si>
  <si>
    <t>PX-LAD-4A-2818-050</t>
  </si>
  <si>
    <t>PX-LAD-4A-2818-050-B</t>
  </si>
  <si>
    <t>PX-LAD-4A-2818-050-C</t>
  </si>
  <si>
    <t>PX-LAD-4A-2818-100-A</t>
  </si>
  <si>
    <t>PX-LAD-4A-2818-100</t>
  </si>
  <si>
    <t>PX-LAD-4A-2818-100-B</t>
  </si>
  <si>
    <t>PX-LAD-4A-2818-100-C</t>
  </si>
  <si>
    <t>PX-MOS-4A-4852-000-B</t>
  </si>
  <si>
    <t>PX-MOS-4A-4852-000</t>
  </si>
  <si>
    <t>PX-MOS-4A-4852-050-A</t>
  </si>
  <si>
    <t>PX-MOS-4A-4852-050</t>
  </si>
  <si>
    <t>PX-MOS-4A-4852-050-B</t>
  </si>
  <si>
    <t>PX-MOS-4A-4852-050-C</t>
  </si>
  <si>
    <t>PX-MOS-4A-4852-100-A</t>
  </si>
  <si>
    <t>PX-MOS-4A-4852-100</t>
  </si>
  <si>
    <t>PX-MOS-4A-4852-100-B</t>
  </si>
  <si>
    <t>PX-MOS-4A-4852-100-C</t>
  </si>
  <si>
    <t>PX-MOS-4A-4855-000-A</t>
  </si>
  <si>
    <t>PX-MOS-4A-4855-000</t>
  </si>
  <si>
    <t>PX-MOS-4A-4855-000-C</t>
  </si>
  <si>
    <t>PX-MOS-4A-4855-050-B</t>
  </si>
  <si>
    <t>PX-MOS-4A-4855-050</t>
  </si>
  <si>
    <t>PX-MOS-4A-4855-050-C</t>
  </si>
  <si>
    <t>PX-MTZ-1F-5950-000</t>
  </si>
  <si>
    <t>PX-MTZ-1F-5950</t>
  </si>
  <si>
    <t>PX-RAV-4F-5901-000</t>
  </si>
  <si>
    <t>PX-RAV-4F-5901</t>
  </si>
  <si>
    <t>PX-RAV-4F-5901-025</t>
  </si>
  <si>
    <t>PX-RAV-4F-5901-050</t>
  </si>
  <si>
    <t>PX-RAV-4F-5902-000</t>
  </si>
  <si>
    <t>PX-RAV-4F-5902</t>
  </si>
  <si>
    <t>PX-RAV-4F-5902-025</t>
  </si>
  <si>
    <t>PX-RAV-4F-5902-050</t>
  </si>
  <si>
    <t>PX-REN-4A-3841-000</t>
  </si>
  <si>
    <t>PX-REN-4A-3841-025-C</t>
  </si>
  <si>
    <t>PX-REN-4A-3841-025</t>
  </si>
  <si>
    <t>PX-REN-4A-3841-050</t>
  </si>
  <si>
    <t>PX-REN-4A-3841-075-C</t>
  </si>
  <si>
    <t>PX-REN-4A-3841-075</t>
  </si>
  <si>
    <t>PX-REN-4A-3841-100-C</t>
  </si>
  <si>
    <t>PX-REN-4A-3841-100</t>
  </si>
  <si>
    <t>PX-REN-4A-3842-000</t>
  </si>
  <si>
    <t>PX-REN-4A-3842-025-C</t>
  </si>
  <si>
    <t>PX-REN-4A-3842-025</t>
  </si>
  <si>
    <t>PX-REN-4A-3842-050</t>
  </si>
  <si>
    <t>PX-REN-4A-3842-075-C</t>
  </si>
  <si>
    <t>PX-REN-4A-3842-075</t>
  </si>
  <si>
    <t>PX-REN-4A-3842-100-C</t>
  </si>
  <si>
    <t>PX-REN-4A-3842-100</t>
  </si>
  <si>
    <t>PX-SEN-4A-4125-000</t>
  </si>
  <si>
    <t>PX-SEN-4A-4125</t>
  </si>
  <si>
    <t>PX-SEN-4A-4125-025</t>
  </si>
  <si>
    <t>PX-SEN-4A-4125-050</t>
  </si>
  <si>
    <t>PX-SEN-4A-4126-000</t>
  </si>
  <si>
    <t>PX-SEN-4A-4126</t>
  </si>
  <si>
    <t>PX-SEN-4A-4126-025</t>
  </si>
  <si>
    <t>PX-SEN-4A-4126-050</t>
  </si>
  <si>
    <t>PX-SEN-4F-4125</t>
  </si>
  <si>
    <t>PX-SEN-4F-4125-025</t>
  </si>
  <si>
    <t>PX-SEN-4F-4126-000</t>
  </si>
  <si>
    <t>PX-SEN-4F-4126</t>
  </si>
  <si>
    <t>PX-SEN-4F-4126-025</t>
  </si>
  <si>
    <t>PX-SEN-4F-4126-050</t>
  </si>
  <si>
    <t>PX-SEN-4G-4125-000</t>
  </si>
  <si>
    <t>PX-SEN-4G-4125</t>
  </si>
  <si>
    <t>PX-SEN-4G-4125-025</t>
  </si>
  <si>
    <t>PX-SEN-4G-4125-050</t>
  </si>
  <si>
    <t>PX-TAV-4A-4120-000-2</t>
  </si>
  <si>
    <t>PX-TAV-4A-4120-2</t>
  </si>
  <si>
    <t>PX-TAV-4A-4120-025-2</t>
  </si>
  <si>
    <t>PX-TAV-4A-4120-050-2</t>
  </si>
  <si>
    <t>PX-TAV-4A-4120-100-2</t>
  </si>
  <si>
    <t>PX-TAV-4F-4120-000</t>
  </si>
  <si>
    <t>PX-TAV-4F-4120</t>
  </si>
  <si>
    <t>PX-TAV-4F-4120-025</t>
  </si>
  <si>
    <t>PX-TAV-4F-4120-050</t>
  </si>
  <si>
    <t>PX-TAV-4F-4120-100</t>
  </si>
  <si>
    <t>PX-TAV-4F-4120-000-2</t>
  </si>
  <si>
    <t>PX-TAV-4F-4120-2</t>
  </si>
  <si>
    <t>PX-TAV-4F-4120-025-2</t>
  </si>
  <si>
    <t>PX-TAV-4F-4120-050-2</t>
  </si>
  <si>
    <t>PX-TAV-4F-4120-100-2</t>
  </si>
  <si>
    <t>PX-TAV-4G-4120-000-2</t>
  </si>
  <si>
    <t>PX-TAV-4G-4120-2</t>
  </si>
  <si>
    <t>PX-TAV-4G-4120-025-2</t>
  </si>
  <si>
    <t>PX-TAV-4G-4120-050-2</t>
  </si>
  <si>
    <t>PX-TAV-4G-4120-100-2</t>
  </si>
  <si>
    <t>PX-UAZ-4A-5658-000-A</t>
  </si>
  <si>
    <t>PX-UAZ-4A-5658-000</t>
  </si>
  <si>
    <t>PX-UAZ-4A-5658-000-B</t>
  </si>
  <si>
    <t>PX-UAZ-4A-5658-000-C</t>
  </si>
  <si>
    <t>PX-UAZ-4A-5658-000-D</t>
  </si>
  <si>
    <t>PX-UAZ-4A-5658-000-E</t>
  </si>
  <si>
    <t>PX-UAZ-4A-5658-050-A</t>
  </si>
  <si>
    <t>PX-UAZ-4A-5658-050</t>
  </si>
  <si>
    <t>PX-UAZ-4A-5658-050-B</t>
  </si>
  <si>
    <t>PX-UAZ-4A-5658-050-C</t>
  </si>
  <si>
    <t>PX-UAZ-4A-5658-100-A</t>
  </si>
  <si>
    <t>PX-UAZ-4A-5658-100</t>
  </si>
  <si>
    <t>PX-UAZ-4A-5658-100-B</t>
  </si>
  <si>
    <t>PX-UAZ-4A-5658-100-C</t>
  </si>
  <si>
    <t>PX-UAZ-4A-5660-000-A</t>
  </si>
  <si>
    <t>PX-UAZ-4A-5660-000</t>
  </si>
  <si>
    <t>PX-UAZ-4A-5660-000-B</t>
  </si>
  <si>
    <t>PX-UAZ-4A-5660-000-D</t>
  </si>
  <si>
    <t>PX-UAZ-4A-5660-000-E</t>
  </si>
  <si>
    <t>PX-UAZ-4A-5660-050-A</t>
  </si>
  <si>
    <t>PX-UAZ-4A-5660-050</t>
  </si>
  <si>
    <t>PX-UAZ-4A-5660-050-B</t>
  </si>
  <si>
    <t>PX-UAZ-4A-5660-050-C</t>
  </si>
  <si>
    <t>PX-UAZ-4A-5660-100-A</t>
  </si>
  <si>
    <t>PX-UAZ-4A-5660-100</t>
  </si>
  <si>
    <t>PX-UAZ-4A-5660-100-B</t>
  </si>
  <si>
    <t>PX-UAZ-4A-5660-100-C</t>
  </si>
  <si>
    <t>PX-WOL-4A-5650-000</t>
  </si>
  <si>
    <t>PX-WOL-4A-5650-000-B</t>
  </si>
  <si>
    <t>PX-WOL-4A-5650-000-C</t>
  </si>
  <si>
    <t>PX-WOL-4A-5650-025-A</t>
  </si>
  <si>
    <t>PX-WOL-4A-5650-025</t>
  </si>
  <si>
    <t>PX-WOL-4A-5650-025-B</t>
  </si>
  <si>
    <t>PX-WOL-4A-5650-025-C</t>
  </si>
  <si>
    <t>PX-WOL-4A-5650-050-A</t>
  </si>
  <si>
    <t>PX-WOL-4A-5650-050</t>
  </si>
  <si>
    <t>PX-WOL-4A-5650-050-B</t>
  </si>
  <si>
    <t>PX-WOL-4A-5650-050-C</t>
  </si>
  <si>
    <t>PX-WOL-4A-5650-100-A</t>
  </si>
  <si>
    <t>PX-WOL-4A-5650-100</t>
  </si>
  <si>
    <t>PX-WOL-4A-5650-100-B</t>
  </si>
  <si>
    <t>PX-WOL-4A-5650-100-C</t>
  </si>
  <si>
    <t>PX-WOL-4A-5650-150-A</t>
  </si>
  <si>
    <t>PX-WOL-4A-5650-150</t>
  </si>
  <si>
    <t>PX-WOL-4A-5650-150-B</t>
  </si>
  <si>
    <t>PX-WOL-4A-5650-150-C</t>
  </si>
  <si>
    <t>PX-WOL-4A-5652-000-A</t>
  </si>
  <si>
    <t>PX-WOL-4A-5652-000</t>
  </si>
  <si>
    <t>PX-WOL-4A-5652-000-B</t>
  </si>
  <si>
    <t>PX-WOL-4A-5652-000-C</t>
  </si>
  <si>
    <t>PX-WOL-4A-5652-050-A</t>
  </si>
  <si>
    <t>PX-WOL-4A-5652-050</t>
  </si>
  <si>
    <t>PX-WOL-4A-5652-050-B</t>
  </si>
  <si>
    <t>PX-WOL-4A-5652-050-C</t>
  </si>
  <si>
    <t>PX-WOL-4A-5652-100-A</t>
  </si>
  <si>
    <t>PX-WOL-4A-5652-100</t>
  </si>
  <si>
    <t>PX-WOL-4A-5652-100-B</t>
  </si>
  <si>
    <t>PX-WOL-4A-5652-100-C</t>
  </si>
  <si>
    <t>PX-WOL-4A-5653-000-A</t>
  </si>
  <si>
    <t>PX-WOL-4A-5653-000</t>
  </si>
  <si>
    <t>PX-WOL-4A-5653-000-B</t>
  </si>
  <si>
    <t>PX-WOL-4A-5653-000-C</t>
  </si>
  <si>
    <t>PX-WOL-4A-5653-000-D</t>
  </si>
  <si>
    <t>PX-WOL-4A-5653-000-E</t>
  </si>
  <si>
    <t>PX-WOL-4A-5653-025-A</t>
  </si>
  <si>
    <t>PX-WOL-4A-5653-025</t>
  </si>
  <si>
    <t>PX-WOL-4A-5653-025-B</t>
  </si>
  <si>
    <t>PX-WOL-4A-5653-025-C</t>
  </si>
  <si>
    <t>PX-WOL-4A-5653-050-A</t>
  </si>
  <si>
    <t>PX-WOL-4A-5653-050</t>
  </si>
  <si>
    <t>PX-WOL-4A-5653-050-B</t>
  </si>
  <si>
    <t>PX-WOL-4A-5653-050-C</t>
  </si>
  <si>
    <t>PX-WOL-4A-5653-100-A</t>
  </si>
  <si>
    <t>PX-WOL-4A-5653-100</t>
  </si>
  <si>
    <t>PX-WOL-4A-5653-100-B</t>
  </si>
  <si>
    <t>PX-WOL-4A-5653-100-C</t>
  </si>
  <si>
    <t>PX-WOL-4A-5653-150-A</t>
  </si>
  <si>
    <t>PX-WOL-4A-5653-150</t>
  </si>
  <si>
    <t>PX-WOL-4A-5653-150-B</t>
  </si>
  <si>
    <t>PX-WOL-4A-5653-150-C</t>
  </si>
  <si>
    <t>PX-WOL-4A-5654-000-A</t>
  </si>
  <si>
    <t>PX-WOL-4A-5654-000</t>
  </si>
  <si>
    <t>PX-WOL-4A-5654-000-B</t>
  </si>
  <si>
    <t>PX-WOL-4A-5654-000-C</t>
  </si>
  <si>
    <t>PX-WOL-4A-5654-000-D</t>
  </si>
  <si>
    <t>PX-WOL-4A-5654-000-E</t>
  </si>
  <si>
    <t>PX-WOL-4A-5654-050-A</t>
  </si>
  <si>
    <t>PX-WOL-4A-5654-050</t>
  </si>
  <si>
    <t>PX-WOL-4A-5654-050-B</t>
  </si>
  <si>
    <t>PX-WOL-4A-5654-050-C</t>
  </si>
  <si>
    <t>PX-WOL-4A-5654-050-D</t>
  </si>
  <si>
    <t>PX-WOL-4A-5654-050-E</t>
  </si>
  <si>
    <t>PX-WOL-4A-5654-100-A</t>
  </si>
  <si>
    <t>PX-WOL-4A-5654-100</t>
  </si>
  <si>
    <t>PX-WOL-4A-5654-100-B</t>
  </si>
  <si>
    <t>PX-WOL-4A-5654-100-C</t>
  </si>
  <si>
    <t>PX-WOL-4A-5654-100-D</t>
  </si>
  <si>
    <t>PX-WOL-4A-5654-100-E</t>
  </si>
  <si>
    <t>PX-WOL-4A-5655-000-A</t>
  </si>
  <si>
    <t>PX-WOL-4A-5655-000</t>
  </si>
  <si>
    <t>PX-WOL-4A-5655-000-B</t>
  </si>
  <si>
    <t>PX-WOL-4A-5655-000-C</t>
  </si>
  <si>
    <t>PX-WOL-4A-5655-000-D</t>
  </si>
  <si>
    <t>PX-WOL-4A-5655-000-E</t>
  </si>
  <si>
    <t>PX-WOL-4A-5655-050-A</t>
  </si>
  <si>
    <t>PX-WOL-4A-5655-050</t>
  </si>
  <si>
    <t>PX-WOL-4A-5655-050-B</t>
  </si>
  <si>
    <t>PX-WOL-4A-5655-050-C</t>
  </si>
  <si>
    <t>PX-WOL-4A-5655-050-D</t>
  </si>
  <si>
    <t>PX-WOL-4A-5655-050-E</t>
  </si>
  <si>
    <t>PX-WOL-4A-5655-100-A</t>
  </si>
  <si>
    <t>PX-WOL-4A-5655-100</t>
  </si>
  <si>
    <t>PX-WOL-4A-5655-100-B</t>
  </si>
  <si>
    <t>PX-WOL-4A-5655-100-C</t>
  </si>
  <si>
    <t>PX-WOL-4A-5655-100-D</t>
  </si>
  <si>
    <t>PX-WOL-4A-5655-100-E</t>
  </si>
  <si>
    <t>PX-WOL-4A-5656-000-A</t>
  </si>
  <si>
    <t>PX-WOL-4A-5656-000</t>
  </si>
  <si>
    <t>PX-WOL-4A-5656-000-B</t>
  </si>
  <si>
    <t>PX-WOL-4A-5656-000-C</t>
  </si>
  <si>
    <t>PX-WOL-4A-5656-000-D</t>
  </si>
  <si>
    <t>PX-WOL-4A-5656-000-E</t>
  </si>
  <si>
    <t>PX-WOL-4A-5656-050-A</t>
  </si>
  <si>
    <t>PX-WOL-4A-5656-050</t>
  </si>
  <si>
    <t>PX-WOL-4A-5656-050-B</t>
  </si>
  <si>
    <t>PX-WOL-4A-5656-050-C</t>
  </si>
  <si>
    <t>PX-WOL-4A-5656-100</t>
  </si>
  <si>
    <t>PX-WOL-4A-5656-100-B</t>
  </si>
  <si>
    <t>PX-WOL-4A-5656-100-C</t>
  </si>
  <si>
    <t>PX-WOL-4A-5657-000-A</t>
  </si>
  <si>
    <t>PX-WOL-4A-5657-000</t>
  </si>
  <si>
    <t>PX-WOL-4A-5657-000-B</t>
  </si>
  <si>
    <t>PX-WOL-4A-5657-000-C</t>
  </si>
  <si>
    <t>PX-WOL-4A-5657-000-E</t>
  </si>
  <si>
    <t>PX-WOL-4A-5657-050-A</t>
  </si>
  <si>
    <t>PX-WOL-4A-5657-050</t>
  </si>
  <si>
    <t>PX-WOL-4A-5657-050-B</t>
  </si>
  <si>
    <t>PX-WOL-4A-5657-100-A</t>
  </si>
  <si>
    <t>PX-WOL-4A-5657-100</t>
  </si>
  <si>
    <t>PX-WOL-4A-5657-100-B</t>
  </si>
  <si>
    <t>PX-WOL-4A-5659-000-A</t>
  </si>
  <si>
    <t>PX-WOL-4A-5659-000</t>
  </si>
  <si>
    <t>PX-WOL-4A-5659-000-B</t>
  </si>
  <si>
    <t>PX-WOL-4A-5659-000-C</t>
  </si>
  <si>
    <t>PX-WOL-4A-5659-000-E</t>
  </si>
  <si>
    <t>PX-WOL-4A-5659-050-A</t>
  </si>
  <si>
    <t>PX-WOL-4A-5659-050</t>
  </si>
  <si>
    <t>PX-WOL-4A-5659-050-B</t>
  </si>
  <si>
    <t>PX-WOL-4A-5659-050-C</t>
  </si>
  <si>
    <t>PX-WOL-4A-5659-100-A</t>
  </si>
  <si>
    <t>PX-WOL-4A-5659-100</t>
  </si>
  <si>
    <t>PX-WOL-4A-5659-100-B</t>
  </si>
  <si>
    <t>PX-WOL-4A-5659-100-C</t>
  </si>
  <si>
    <t>D16</t>
  </si>
  <si>
    <t>7</t>
  </si>
  <si>
    <t>UNI</t>
  </si>
  <si>
    <t>GAS-SUPER</t>
  </si>
  <si>
    <t>D161</t>
  </si>
  <si>
    <t>D162</t>
  </si>
  <si>
    <t>D163</t>
  </si>
  <si>
    <t>PCHE003-S-0-D</t>
  </si>
  <si>
    <t>PCHE003</t>
  </si>
  <si>
    <t>PDAE001-S-0-0</t>
  </si>
  <si>
    <t>PDAE001</t>
  </si>
  <si>
    <t>PDAE002-A-0-0</t>
  </si>
  <si>
    <t>PDAE002</t>
  </si>
  <si>
    <t>PDAE008-A-0-D</t>
  </si>
  <si>
    <t>PDAE008</t>
  </si>
  <si>
    <t>PDAE013-S-0-D</t>
  </si>
  <si>
    <t>PDAE014-A-0-D</t>
  </si>
  <si>
    <t>PSCA016-B-0-N</t>
  </si>
  <si>
    <t>SCA</t>
  </si>
  <si>
    <t>PSCA016</t>
  </si>
  <si>
    <t>PSPE001-S-0-D</t>
  </si>
  <si>
    <t>SPE</t>
  </si>
  <si>
    <t>PSPE001</t>
  </si>
  <si>
    <t>PSPE002-A-0-D</t>
  </si>
  <si>
    <t>PSPE002</t>
  </si>
  <si>
    <t>PTMZ002-B-0-N</t>
  </si>
  <si>
    <t>TMZ</t>
  </si>
  <si>
    <t>PTMZ002</t>
  </si>
  <si>
    <t>PTMZ003-B-P-N</t>
  </si>
  <si>
    <t>PTMZ003</t>
  </si>
  <si>
    <t>PYAM004-B-0-N</t>
  </si>
  <si>
    <t>PYAM004</t>
  </si>
  <si>
    <t>JDAE004-STD-PROF (G-P-0)</t>
  </si>
  <si>
    <t>JHYU001-G-S-0</t>
  </si>
  <si>
    <t>HYU</t>
  </si>
  <si>
    <t>JHYU001</t>
  </si>
  <si>
    <t>JHYU002-G-S-0</t>
  </si>
  <si>
    <t>JHYU002</t>
  </si>
  <si>
    <t>JHYU003-G-S-0</t>
  </si>
  <si>
    <t>JHYU003</t>
  </si>
  <si>
    <t>JHYU004-G-S-0</t>
  </si>
  <si>
    <t>JHYU004</t>
  </si>
  <si>
    <t>JKAM001-R2-PROF (G-P-2)</t>
  </si>
  <si>
    <t>JKAM001-R2</t>
  </si>
  <si>
    <t>JMTZ003-R1-PROF</t>
  </si>
  <si>
    <t>JTOY003-G-S-0</t>
  </si>
  <si>
    <t>TOY</t>
  </si>
  <si>
    <t>JTOY003</t>
  </si>
  <si>
    <t>JZIL001-STD-PROF (G-P-0)</t>
  </si>
  <si>
    <t>JZIL001-R1-PROF (G-P-1)</t>
  </si>
  <si>
    <t>JZIL001-R1 (G-S-1)</t>
  </si>
  <si>
    <t>JZIL001-R2-PROF (G-P-2)</t>
  </si>
  <si>
    <t>JZIL001-R2 (G-S-2)</t>
  </si>
  <si>
    <t>JZIL002-STD-PROF (G-P-0)</t>
  </si>
  <si>
    <t>JZIL002-R1-PROF (G-P-1)</t>
  </si>
  <si>
    <t>JZIL002-R1 (G-S-1)</t>
  </si>
  <si>
    <t>JZIL002-R2-PROF (G-P-2)</t>
  </si>
  <si>
    <t>JZIL002-R2 (G-S-2)</t>
  </si>
  <si>
    <t>XLAD-53-RED (XLAD-53)</t>
  </si>
  <si>
    <t>XYAM-XX</t>
  </si>
  <si>
    <t>PX-CUM-1R-0812-000(B)</t>
  </si>
  <si>
    <t>PX-LAD-4А-2805-100-B</t>
  </si>
  <si>
    <t>PX-REN-4A-3841-025-A</t>
  </si>
  <si>
    <t>PX-REN-4A-3841-025-B</t>
  </si>
  <si>
    <t>PX-REN-4A-3841-100-B</t>
  </si>
  <si>
    <t>PX-REN-4A-3842-025-A</t>
  </si>
  <si>
    <t>PX-REN-4A-3842-025-B</t>
  </si>
  <si>
    <t>PCHE013-S-0-N</t>
  </si>
  <si>
    <t>PCHE013</t>
  </si>
  <si>
    <t>PCHE014-A-0-N</t>
  </si>
  <si>
    <t>PCHE014</t>
  </si>
  <si>
    <t>PDAF031-S-0-N</t>
  </si>
  <si>
    <t>DAF</t>
  </si>
  <si>
    <t>PDAF031</t>
  </si>
  <si>
    <t>PDAF032-B-0-N</t>
  </si>
  <si>
    <t>PDAF032</t>
  </si>
  <si>
    <t>PMAN032-B-0-N</t>
  </si>
  <si>
    <t>MAN</t>
  </si>
  <si>
    <t>PMAN032</t>
  </si>
  <si>
    <t>PMAN033-B-0-N</t>
  </si>
  <si>
    <t>PMAN033</t>
  </si>
  <si>
    <t>PMER023-B-0-N</t>
  </si>
  <si>
    <t>MER</t>
  </si>
  <si>
    <t>PMER023</t>
  </si>
  <si>
    <t>PMER099-B-0-N</t>
  </si>
  <si>
    <t>PMER099</t>
  </si>
  <si>
    <t>POPE115-S-0-N</t>
  </si>
  <si>
    <t>POPE115</t>
  </si>
  <si>
    <t>POPE116-A-0-N</t>
  </si>
  <si>
    <t>POPE116</t>
  </si>
  <si>
    <t>PWOL001-S-0-D</t>
  </si>
  <si>
    <t>PWOL001</t>
  </si>
  <si>
    <t>PWOL001-S-0-N</t>
  </si>
  <si>
    <t>PWOL002-A-0-N</t>
  </si>
  <si>
    <t>JCHE004-G-S-1</t>
  </si>
  <si>
    <t>JCHE005-G-S-1</t>
  </si>
  <si>
    <t>JDAE001-G-S-1</t>
  </si>
  <si>
    <t>JDAE003-G-S-2</t>
  </si>
  <si>
    <t>JMER043-G-S-0</t>
  </si>
  <si>
    <t>JMER043</t>
  </si>
  <si>
    <t>XWOL-406-RED</t>
  </si>
  <si>
    <t>XWOL-406-YELLOW</t>
  </si>
  <si>
    <t>XWOL-405-RED</t>
  </si>
  <si>
    <t>XWOL-405-WHITE</t>
  </si>
  <si>
    <t>XWOL-405-YELLOW</t>
  </si>
  <si>
    <t>PX-CHE-4A-3549-100</t>
  </si>
  <si>
    <t>PX-DAE-4A-1402-000</t>
  </si>
  <si>
    <t>PX-DAE-4A-1402</t>
  </si>
  <si>
    <t>PX-DAE-4A-1402-025</t>
  </si>
  <si>
    <t>PX-DAE-4A-1402-050</t>
  </si>
  <si>
    <t>PX-DAE-4A-1402-075</t>
  </si>
  <si>
    <t>PX-DAE-4A-1402-100</t>
  </si>
  <si>
    <t>PX-LAD-4A-2802-000-С</t>
  </si>
  <si>
    <t>PX-LAD-4A-2802-000-Е</t>
  </si>
  <si>
    <t>PX-LAD-4A-2802-040-С</t>
  </si>
  <si>
    <t>PX-LAD-4A-2802-040-Е</t>
  </si>
  <si>
    <t>PX-LAD-4A-2802-060-В</t>
  </si>
  <si>
    <t>PX-LAD-4A-2802-080-С</t>
  </si>
  <si>
    <t>PX-LAD-4A-2802-080-Е</t>
  </si>
  <si>
    <t>PX-LAD-4А-2805-075</t>
  </si>
  <si>
    <t>PX-RAV-4A-5901-000</t>
  </si>
  <si>
    <t>PX-RAV-4A-5901</t>
  </si>
  <si>
    <t>PX-RAV-4A-5901-025</t>
  </si>
  <si>
    <t>PX-RAV-4A-5901-050</t>
  </si>
  <si>
    <t>PX-RAV-4A-5902-000</t>
  </si>
  <si>
    <t>PX-RAV-4A-5902</t>
  </si>
  <si>
    <t>PX-RAV-4A-5902-025</t>
  </si>
  <si>
    <t>PX-RAV-4A-5902-050</t>
  </si>
  <si>
    <t>TC-1401-000</t>
  </si>
  <si>
    <t>6</t>
  </si>
  <si>
    <t>TC-1401-025</t>
  </si>
  <si>
    <t>TC-1401-050</t>
  </si>
  <si>
    <t>TC-1401-075</t>
  </si>
  <si>
    <t>TC-1401-100</t>
  </si>
  <si>
    <t>TC-1401-125</t>
  </si>
  <si>
    <t>125</t>
  </si>
  <si>
    <t>TC-1401-150</t>
  </si>
  <si>
    <t>150</t>
  </si>
  <si>
    <t>TC-1401-175</t>
  </si>
  <si>
    <t>175</t>
  </si>
  <si>
    <t>TC-1401-200</t>
  </si>
  <si>
    <t>200</t>
  </si>
  <si>
    <t>TC-1551-000</t>
  </si>
  <si>
    <t>1551</t>
  </si>
  <si>
    <t>TC-3538-000</t>
  </si>
  <si>
    <t>TC-3538-025</t>
  </si>
  <si>
    <t>TC-3538-050</t>
  </si>
  <si>
    <t>TC-3538-075</t>
  </si>
  <si>
    <t>TC-3548-000</t>
  </si>
  <si>
    <t>TC-3548-025</t>
  </si>
  <si>
    <t>TC-3548-050</t>
  </si>
  <si>
    <t>TC-3548-075</t>
  </si>
  <si>
    <t>TC-3549-000</t>
  </si>
  <si>
    <t>TC-3549-025</t>
  </si>
  <si>
    <t>TC-3549-050</t>
  </si>
  <si>
    <t>TC-5221-000</t>
  </si>
  <si>
    <t>5221</t>
  </si>
  <si>
    <t>TC-55011-000</t>
  </si>
  <si>
    <t>5501</t>
  </si>
  <si>
    <t>TC-5501-050</t>
  </si>
  <si>
    <t>TC-5503-000</t>
  </si>
  <si>
    <t>5503</t>
  </si>
  <si>
    <t>TC-5506-000</t>
  </si>
  <si>
    <t>5506</t>
  </si>
  <si>
    <t>TC-5521-055</t>
  </si>
  <si>
    <t>5521</t>
  </si>
  <si>
    <t>055</t>
  </si>
  <si>
    <t>TC-5901-025</t>
  </si>
  <si>
    <t>TC-5901-000</t>
  </si>
  <si>
    <t>TC-5902-000</t>
  </si>
  <si>
    <t>TC-5902-025</t>
  </si>
  <si>
    <t>TC-5902-050</t>
  </si>
  <si>
    <t>TC-5902-075</t>
  </si>
  <si>
    <t>TC-5950-SET</t>
  </si>
  <si>
    <t>TC-5952-000</t>
  </si>
  <si>
    <t>TC-5952-030</t>
  </si>
  <si>
    <t>030</t>
  </si>
  <si>
    <t>TC-5952-070</t>
  </si>
  <si>
    <t>TC-5953-000</t>
  </si>
  <si>
    <t>TC-5954-000</t>
  </si>
  <si>
    <t>5954</t>
  </si>
  <si>
    <t>TC-5954-050</t>
  </si>
  <si>
    <t>TC-5955-000</t>
  </si>
  <si>
    <t>5955</t>
  </si>
  <si>
    <t>TC-5955-050</t>
  </si>
  <si>
    <t>TC-5956-000</t>
  </si>
  <si>
    <t>5956</t>
  </si>
  <si>
    <t>количество товаров январь 2025 г</t>
  </si>
  <si>
    <t>количество товаров февраль 2025 г</t>
  </si>
  <si>
    <t>количество товаров март 2025 г</t>
  </si>
  <si>
    <t>количество товаров апрель 2025 г</t>
  </si>
  <si>
    <t>количество товаров май 2025 г</t>
  </si>
  <si>
    <t>количество товаров июнь 2025 г</t>
  </si>
  <si>
    <t>количество товаров июль 2025 г</t>
  </si>
  <si>
    <t>количество товаров август 2025 г</t>
  </si>
  <si>
    <t>количество товаров сентябрь 2025 г</t>
  </si>
  <si>
    <t>количество товаров октябрь 2025 г</t>
  </si>
  <si>
    <t>количество товаров ноябрь 2025 г</t>
  </si>
  <si>
    <t>количество товаров декабрь 2025 г</t>
  </si>
  <si>
    <t>январь 2025 г</t>
  </si>
  <si>
    <t>февраль 2025 г</t>
  </si>
  <si>
    <t>март 2025 г</t>
  </si>
  <si>
    <t>апрель 2025 г</t>
  </si>
  <si>
    <t>май 2025 г</t>
  </si>
  <si>
    <t>июнь 2025 г</t>
  </si>
  <si>
    <t>июль 2025 г</t>
  </si>
  <si>
    <t>август 2025 г</t>
  </si>
  <si>
    <t>сентябрь 2025 г</t>
  </si>
  <si>
    <t>октябрь 2025 г</t>
  </si>
  <si>
    <t>ноябрь 2025 г</t>
  </si>
  <si>
    <t>декабрь 2025 г</t>
  </si>
  <si>
    <t>PKAM001-S-0-N/6</t>
  </si>
  <si>
    <t>PKAM002-B-0-N/6</t>
  </si>
  <si>
    <t>PGGG002</t>
  </si>
  <si>
    <t>PX-CUM-1R-0812-000(А)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</si>
</sst>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\ ##0\ _₽_-;\-* #\ ##0\ _₽_-;_-* &quot;-&quot;??\ _₽_-;_-@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horizontal="center" vertical="center" textRotation="90" wrapText="1"/>
    </xf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8"/>
  <sheetViews>
    <sheetView tabSelected="1" workbookViewId="0">
      <pane ySplit="1" topLeftCell="A2" activePane="bottomLeft" state="frozen"/>
      <selection pane="bottomLeft" activeCell="O1" sqref="O1"/>
    </sheetView>
  </sheetViews>
  <sheetFormatPr defaultRowHeight="15" x14ac:dyDescent="0.25"/>
  <cols>
    <col min="1" max="1" width="24" customWidth="1"/>
    <col min="2" max="3" width="10" customWidth="1"/>
    <col min="4" max="4" width="13" customWidth="1"/>
  </cols>
  <sheetData>
    <row r="1" spans="1:44" ht="80.099999999999994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</row>
    <row r="2" spans="1:44" x14ac:dyDescent="0.25">
      <c r="A2" s="8" t="s">
        <v>44</v>
      </c>
      <c r="B2" s="8" t="s">
        <v>45</v>
      </c>
      <c r="C2" s="8" t="s">
        <v>46</v>
      </c>
      <c r="D2" s="8" t="s">
        <v>47</v>
      </c>
      <c r="N2">
        <f t="shared" ref="N2:N65" si="0">SUM(E2:M2)</f>
        <v>0</v>
      </c>
      <c r="O2" s="6">
        <f>MIN(0, N2+(IFERROR(IF(1*INDEX('UA-normalized'!$D:$D, MATCH($A2, 'UA-normalized'!$A:$A, 0))-INDEX('UA-normalized'!$E:$E, MATCH($A2, 'UA-normalized'!$A:$A, 0))&gt;0, -(1*INDEX('UA-normalized'!$D:$D, MATCH($A2, 'UA-normalized'!$A:$A, 0))-INDEX('UA-normalized'!$E:$E, MATCH($A2, 'UA-normalized'!$A:$A, 0))), 0), 0))+(IFERROR(IF(1*INDEX('KZ-normalized'!$D:$D, MATCH($A2, 'KZ-normalized'!$A:$A, 0))-INDEX('KZ-normalized'!$E:$E, MATCH($A2, 'KZ-normalized'!$A:$A, 0))&gt;0, -(1*INDEX('KZ-normalized'!$D:$D, MATCH($A2, 'KZ-normalized'!$A:$A, 0))-INDEX('KZ-normalized'!$E:$E, MATCH($A2, 'KZ-normalized'!$A:$A, 0))), 0), 0))+(IFERROR(IF(1*INDEX('UZ-normalized'!$D:$D, MATCH($A2, 'UZ-normalized'!$A:$A, 0))-INDEX('UZ-normalized'!$E:$E, MATCH($A2, 'UZ-normalized'!$A:$A, 0))&gt;0, -(1*INDEX('UZ-normalized'!$D:$D, MATCH($A2, 'UZ-normalized'!$A:$A, 0))-INDEX('UZ-normalized'!$E:$E, MATCH($A2, 'UZ-normalized'!$A:$A, 0))), 0), 0)))</f>
        <v>0</v>
      </c>
      <c r="P2" s="6">
        <f>MIN(0, N2+(IFERROR(IF(2*INDEX('UA-normalized'!$D:$D, MATCH($A2, 'UA-normalized'!$A:$A, 0))-INDEX('UA-normalized'!$E:$E, MATCH($A2, 'UA-normalized'!$A:$A, 0))&gt;0, -(2*INDEX('UA-normalized'!$D:$D, MATCH($A2, 'UA-normalized'!$A:$A, 0))-INDEX('UA-normalized'!$E:$E, MATCH($A2, 'UA-normalized'!$A:$A, 0))), 0), 0))+(IFERROR(IF(2*INDEX('KZ-normalized'!$D:$D, MATCH($A2, 'KZ-normalized'!$A:$A, 0))-INDEX('KZ-normalized'!$E:$E, MATCH($A2, 'KZ-normalized'!$A:$A, 0))&gt;0, -(2*INDEX('KZ-normalized'!$D:$D, MATCH($A2, 'KZ-normalized'!$A:$A, 0))-INDEX('KZ-normalized'!$E:$E, MATCH($A2, 'KZ-normalized'!$A:$A, 0))), 0), 0))+(IFERROR(IF(2*INDEX('UZ-normalized'!$D:$D, MATCH($A2, 'UZ-normalized'!$A:$A, 0))-INDEX('UZ-normalized'!$E:$E, MATCH($A2, 'UZ-normalized'!$A:$A, 0))&gt;0, -(2*INDEX('UZ-normalized'!$D:$D, MATCH($A2, 'UZ-normalized'!$A:$A, 0))-INDEX('UZ-normalized'!$E:$E, MATCH($A2, 'UZ-normalized'!$A:$A, 0))), 0), 0)))</f>
        <v>0</v>
      </c>
      <c r="Q2" s="6">
        <f>MIN(0, N2+(IFERROR(IF(3*INDEX('UA-normalized'!$D:$D, MATCH($A2, 'UA-normalized'!$A:$A, 0))-INDEX('UA-normalized'!$E:$E, MATCH($A2, 'UA-normalized'!$A:$A, 0))&gt;0, -(3*INDEX('UA-normalized'!$D:$D, MATCH($A2, 'UA-normalized'!$A:$A, 0))-INDEX('UA-normalized'!$E:$E, MATCH($A2, 'UA-normalized'!$A:$A, 0))), 0), 0))+(IFERROR(IF(3*INDEX('KZ-normalized'!$D:$D, MATCH($A2, 'KZ-normalized'!$A:$A, 0))-INDEX('KZ-normalized'!$E:$E, MATCH($A2, 'KZ-normalized'!$A:$A, 0))&gt;0, -(3*INDEX('KZ-normalized'!$D:$D, MATCH($A2, 'KZ-normalized'!$A:$A, 0))-INDEX('KZ-normalized'!$E:$E, MATCH($A2, 'KZ-normalized'!$A:$A, 0))), 0), 0))+(IFERROR(IF(3*INDEX('UZ-normalized'!$D:$D, MATCH($A2, 'UZ-normalized'!$A:$A, 0))-INDEX('UZ-normalized'!$E:$E, MATCH($A2, 'UZ-normalized'!$A:$A, 0))&gt;0, -(3*INDEX('UZ-normalized'!$D:$D, MATCH($A2, 'UZ-normalized'!$A:$A, 0))-INDEX('UZ-normalized'!$E:$E, MATCH($A2, 'UZ-normalized'!$A:$A, 0))), 0), 0)))</f>
        <v>0</v>
      </c>
      <c r="R2" s="6">
        <f>MIN(0, N2+(IFERROR(IF(4*INDEX('UA-normalized'!$D:$D, MATCH($A2, 'UA-normalized'!$A:$A, 0))-INDEX('UA-normalized'!$E:$E, MATCH($A2, 'UA-normalized'!$A:$A, 0))&gt;0, -(4*INDEX('UA-normalized'!$D:$D, MATCH($A2, 'UA-normalized'!$A:$A, 0))-INDEX('UA-normalized'!$E:$E, MATCH($A2, 'UA-normalized'!$A:$A, 0))), 0), 0))+(IFERROR(IF(4*INDEX('KZ-normalized'!$D:$D, MATCH($A2, 'KZ-normalized'!$A:$A, 0))-INDEX('KZ-normalized'!$E:$E, MATCH($A2, 'KZ-normalized'!$A:$A, 0))&gt;0, -(4*INDEX('KZ-normalized'!$D:$D, MATCH($A2, 'KZ-normalized'!$A:$A, 0))-INDEX('KZ-normalized'!$E:$E, MATCH($A2, 'KZ-normalized'!$A:$A, 0))), 0), 0))+(IFERROR(IF(4*INDEX('UZ-normalized'!$D:$D, MATCH($A2, 'UZ-normalized'!$A:$A, 0))-INDEX('UZ-normalized'!$E:$E, MATCH($A2, 'UZ-normalized'!$A:$A, 0))&gt;0, -(4*INDEX('UZ-normalized'!$D:$D, MATCH($A2, 'UZ-normalized'!$A:$A, 0))-INDEX('UZ-normalized'!$E:$E, MATCH($A2, 'UZ-normalized'!$A:$A, 0))), 0), 0)))</f>
        <v>-18</v>
      </c>
      <c r="S2" s="6">
        <f>MIN(0, N2+(IFERROR(IF(5*INDEX('UA-normalized'!$D:$D, MATCH($A2, 'UA-normalized'!$A:$A, 0))-INDEX('UA-normalized'!$E:$E, MATCH($A2, 'UA-normalized'!$A:$A, 0))&gt;0, -(5*INDEX('UA-normalized'!$D:$D, MATCH($A2, 'UA-normalized'!$A:$A, 0))-INDEX('UA-normalized'!$E:$E, MATCH($A2, 'UA-normalized'!$A:$A, 0))), 0), 0))+(IFERROR(IF(5*INDEX('KZ-normalized'!$D:$D, MATCH($A2, 'KZ-normalized'!$A:$A, 0))-INDEX('KZ-normalized'!$E:$E, MATCH($A2, 'KZ-normalized'!$A:$A, 0))&gt;0, -(5*INDEX('KZ-normalized'!$D:$D, MATCH($A2, 'KZ-normalized'!$A:$A, 0))-INDEX('KZ-normalized'!$E:$E, MATCH($A2, 'KZ-normalized'!$A:$A, 0))), 0), 0))+(IFERROR(IF(5*INDEX('UZ-normalized'!$D:$D, MATCH($A2, 'UZ-normalized'!$A:$A, 0))-INDEX('UZ-normalized'!$E:$E, MATCH($A2, 'UZ-normalized'!$A:$A, 0))&gt;0, -(5*INDEX('UZ-normalized'!$D:$D, MATCH($A2, 'UZ-normalized'!$A:$A, 0))-INDEX('UZ-normalized'!$E:$E, MATCH($A2, 'UZ-normalized'!$A:$A, 0))), 0), 0)))</f>
        <v>-78</v>
      </c>
      <c r="T2" s="6">
        <f>MIN(0, N2+(IFERROR(IF(6*INDEX('UA-normalized'!$D:$D, MATCH($A2, 'UA-normalized'!$A:$A, 0))-INDEX('UA-normalized'!$E:$E, MATCH($A2, 'UA-normalized'!$A:$A, 0))&gt;0, -(6*INDEX('UA-normalized'!$D:$D, MATCH($A2, 'UA-normalized'!$A:$A, 0))-INDEX('UA-normalized'!$E:$E, MATCH($A2, 'UA-normalized'!$A:$A, 0))), 0), 0))+(IFERROR(IF(6*INDEX('KZ-normalized'!$D:$D, MATCH($A2, 'KZ-normalized'!$A:$A, 0))-INDEX('KZ-normalized'!$E:$E, MATCH($A2, 'KZ-normalized'!$A:$A, 0))&gt;0, -(6*INDEX('KZ-normalized'!$D:$D, MATCH($A2, 'KZ-normalized'!$A:$A, 0))-INDEX('KZ-normalized'!$E:$E, MATCH($A2, 'KZ-normalized'!$A:$A, 0))), 0), 0))+(IFERROR(IF(6*INDEX('UZ-normalized'!$D:$D, MATCH($A2, 'UZ-normalized'!$A:$A, 0))-INDEX('UZ-normalized'!$E:$E, MATCH($A2, 'UZ-normalized'!$A:$A, 0))&gt;0, -(6*INDEX('UZ-normalized'!$D:$D, MATCH($A2, 'UZ-normalized'!$A:$A, 0))-INDEX('UZ-normalized'!$E:$E, MATCH($A2, 'UZ-normalized'!$A:$A, 0))), 0), 0)))</f>
        <v>-138</v>
      </c>
      <c r="U2" s="6">
        <f>MIN(0, N2+(IFERROR(IF(7*INDEX('UA-normalized'!$D:$D, MATCH($A2, 'UA-normalized'!$A:$A, 0))-INDEX('UA-normalized'!$E:$E, MATCH($A2, 'UA-normalized'!$A:$A, 0))&gt;0, -(7*INDEX('UA-normalized'!$D:$D, MATCH($A2, 'UA-normalized'!$A:$A, 0))-INDEX('UA-normalized'!$E:$E, MATCH($A2, 'UA-normalized'!$A:$A, 0))), 0), 0))+(IFERROR(IF(7*INDEX('KZ-normalized'!$D:$D, MATCH($A2, 'KZ-normalized'!$A:$A, 0))-INDEX('KZ-normalized'!$E:$E, MATCH($A2, 'KZ-normalized'!$A:$A, 0))&gt;0, -(7*INDEX('KZ-normalized'!$D:$D, MATCH($A2, 'KZ-normalized'!$A:$A, 0))-INDEX('KZ-normalized'!$E:$E, MATCH($A2, 'KZ-normalized'!$A:$A, 0))), 0), 0))+(IFERROR(IF(7*INDEX('UZ-normalized'!$D:$D, MATCH($A2, 'UZ-normalized'!$A:$A, 0))-INDEX('UZ-normalized'!$E:$E, MATCH($A2, 'UZ-normalized'!$A:$A, 0))&gt;0, -(7*INDEX('UZ-normalized'!$D:$D, MATCH($A2, 'UZ-normalized'!$A:$A, 0))-INDEX('UZ-normalized'!$E:$E, MATCH($A2, 'UZ-normalized'!$A:$A, 0))), 0), 0)))</f>
        <v>-198</v>
      </c>
      <c r="V2" s="6">
        <f>MIN(0, N2+(IFERROR(IF(8*INDEX('UA-normalized'!$D:$D, MATCH($A2, 'UA-normalized'!$A:$A, 0))-INDEX('UA-normalized'!$E:$E, MATCH($A2, 'UA-normalized'!$A:$A, 0))&gt;0, -(8*INDEX('UA-normalized'!$D:$D, MATCH($A2, 'UA-normalized'!$A:$A, 0))-INDEX('UA-normalized'!$E:$E, MATCH($A2, 'UA-normalized'!$A:$A, 0))), 0), 0))+(IFERROR(IF(8*INDEX('KZ-normalized'!$D:$D, MATCH($A2, 'KZ-normalized'!$A:$A, 0))-INDEX('KZ-normalized'!$E:$E, MATCH($A2, 'KZ-normalized'!$A:$A, 0))&gt;0, -(8*INDEX('KZ-normalized'!$D:$D, MATCH($A2, 'KZ-normalized'!$A:$A, 0))-INDEX('KZ-normalized'!$E:$E, MATCH($A2, 'KZ-normalized'!$A:$A, 0))), 0), 0))+(IFERROR(IF(8*INDEX('UZ-normalized'!$D:$D, MATCH($A2, 'UZ-normalized'!$A:$A, 0))-INDEX('UZ-normalized'!$E:$E, MATCH($A2, 'UZ-normalized'!$A:$A, 0))&gt;0, -(8*INDEX('UZ-normalized'!$D:$D, MATCH($A2, 'UZ-normalized'!$A:$A, 0))-INDEX('UZ-normalized'!$E:$E, MATCH($A2, 'UZ-normalized'!$A:$A, 0))), 0), 0)))</f>
        <v>-258</v>
      </c>
      <c r="W2" s="6">
        <f>MIN(0, N2+(IFERROR(IF(9*INDEX('UA-normalized'!$D:$D, MATCH($A2, 'UA-normalized'!$A:$A, 0))-INDEX('UA-normalized'!$E:$E, MATCH($A2, 'UA-normalized'!$A:$A, 0))&gt;0, -(9*INDEX('UA-normalized'!$D:$D, MATCH($A2, 'UA-normalized'!$A:$A, 0))-INDEX('UA-normalized'!$E:$E, MATCH($A2, 'UA-normalized'!$A:$A, 0))), 0), 0))+(IFERROR(IF(9*INDEX('KZ-normalized'!$D:$D, MATCH($A2, 'KZ-normalized'!$A:$A, 0))-INDEX('KZ-normalized'!$E:$E, MATCH($A2, 'KZ-normalized'!$A:$A, 0))&gt;0, -(9*INDEX('KZ-normalized'!$D:$D, MATCH($A2, 'KZ-normalized'!$A:$A, 0))-INDEX('KZ-normalized'!$E:$E, MATCH($A2, 'KZ-normalized'!$A:$A, 0))), 0), 0))+(IFERROR(IF(9*INDEX('UZ-normalized'!$D:$D, MATCH($A2, 'UZ-normalized'!$A:$A, 0))-INDEX('UZ-normalized'!$E:$E, MATCH($A2, 'UZ-normalized'!$A:$A, 0))&gt;0, -(9*INDEX('UZ-normalized'!$D:$D, MATCH($A2, 'UZ-normalized'!$A:$A, 0))-INDEX('UZ-normalized'!$E:$E, MATCH($A2, 'UZ-normalized'!$A:$A, 0))), 0), 0)))</f>
        <v>-318</v>
      </c>
      <c r="X2" s="6">
        <f>MIN(0, N2+(IFERROR(IF(10*INDEX('UA-normalized'!$D:$D, MATCH($A2, 'UA-normalized'!$A:$A, 0))-INDEX('UA-normalized'!$E:$E, MATCH($A2, 'UA-normalized'!$A:$A, 0))&gt;0, -(10*INDEX('UA-normalized'!$D:$D, MATCH($A2, 'UA-normalized'!$A:$A, 0))-INDEX('UA-normalized'!$E:$E, MATCH($A2, 'UA-normalized'!$A:$A, 0))), 0), 0))+(IFERROR(IF(10*INDEX('KZ-normalized'!$D:$D, MATCH($A2, 'KZ-normalized'!$A:$A, 0))-INDEX('KZ-normalized'!$E:$E, MATCH($A2, 'KZ-normalized'!$A:$A, 0))&gt;0, -(10*INDEX('KZ-normalized'!$D:$D, MATCH($A2, 'KZ-normalized'!$A:$A, 0))-INDEX('KZ-normalized'!$E:$E, MATCH($A2, 'KZ-normalized'!$A:$A, 0))), 0), 0))+(IFERROR(IF(10*INDEX('UZ-normalized'!$D:$D, MATCH($A2, 'UZ-normalized'!$A:$A, 0))-INDEX('UZ-normalized'!$E:$E, MATCH($A2, 'UZ-normalized'!$A:$A, 0))&gt;0, -(10*INDEX('UZ-normalized'!$D:$D, MATCH($A2, 'UZ-normalized'!$A:$A, 0))-INDEX('UZ-normalized'!$E:$E, MATCH($A2, 'UZ-normalized'!$A:$A, 0))), 0), 0)))</f>
        <v>-378</v>
      </c>
      <c r="Y2" s="6">
        <f>MIN(0, N2+(IFERROR(IF(11*INDEX('UA-normalized'!$D:$D, MATCH($A2, 'UA-normalized'!$A:$A, 0))-INDEX('UA-normalized'!$E:$E, MATCH($A2, 'UA-normalized'!$A:$A, 0))&gt;0, -(11*INDEX('UA-normalized'!$D:$D, MATCH($A2, 'UA-normalized'!$A:$A, 0))-INDEX('UA-normalized'!$E:$E, MATCH($A2, 'UA-normalized'!$A:$A, 0))), 0), 0))+(IFERROR(IF(11*INDEX('KZ-normalized'!$D:$D, MATCH($A2, 'KZ-normalized'!$A:$A, 0))-INDEX('KZ-normalized'!$E:$E, MATCH($A2, 'KZ-normalized'!$A:$A, 0))&gt;0, -(11*INDEX('KZ-normalized'!$D:$D, MATCH($A2, 'KZ-normalized'!$A:$A, 0))-INDEX('KZ-normalized'!$E:$E, MATCH($A2, 'KZ-normalized'!$A:$A, 0))), 0), 0))+(IFERROR(IF(11*INDEX('UZ-normalized'!$D:$D, MATCH($A2, 'UZ-normalized'!$A:$A, 0))-INDEX('UZ-normalized'!$E:$E, MATCH($A2, 'UZ-normalized'!$A:$A, 0))&gt;0, -(11*INDEX('UZ-normalized'!$D:$D, MATCH($A2, 'UZ-normalized'!$A:$A, 0))-INDEX('UZ-normalized'!$E:$E, MATCH($A2, 'UZ-normalized'!$A:$A, 0))), 0), 0)))</f>
        <v>-438</v>
      </c>
      <c r="Z2" s="6">
        <f>MIN(0, N2+(IFERROR(IF(12*INDEX('UA-normalized'!$D:$D, MATCH($A2, 'UA-normalized'!$A:$A, 0))-INDEX('UA-normalized'!$E:$E, MATCH($A2, 'UA-normalized'!$A:$A, 0))&gt;0, -(12*INDEX('UA-normalized'!$D:$D, MATCH($A2, 'UA-normalized'!$A:$A, 0))-INDEX('UA-normalized'!$E:$E, MATCH($A2, 'UA-normalized'!$A:$A, 0))), 0), 0))+(IFERROR(IF(12*INDEX('KZ-normalized'!$D:$D, MATCH($A2, 'KZ-normalized'!$A:$A, 0))-INDEX('KZ-normalized'!$E:$E, MATCH($A2, 'KZ-normalized'!$A:$A, 0))&gt;0, -(12*INDEX('KZ-normalized'!$D:$D, MATCH($A2, 'KZ-normalized'!$A:$A, 0))-INDEX('KZ-normalized'!$E:$E, MATCH($A2, 'KZ-normalized'!$A:$A, 0))), 0), 0))+(IFERROR(IF(12*INDEX('UZ-normalized'!$D:$D, MATCH($A2, 'UZ-normalized'!$A:$A, 0))-INDEX('UZ-normalized'!$E:$E, MATCH($A2, 'UZ-normalized'!$A:$A, 0))&gt;0, -(12*INDEX('UZ-normalized'!$D:$D, MATCH($A2, 'UZ-normalized'!$A:$A, 0))-INDEX('UZ-normalized'!$E:$E, MATCH($A2, 'UZ-normalized'!$A:$A, 0))), 0), 0)))</f>
        <v>-498</v>
      </c>
      <c r="AA2" s="6">
        <f>MIN(0, N2+(IFERROR(IF(13*INDEX('UA-normalized'!$D:$D, MATCH($A2, 'UA-normalized'!$A:$A, 0))-INDEX('UA-normalized'!$E:$E, MATCH($A2, 'UA-normalized'!$A:$A, 0))&gt;0, -(13*INDEX('UA-normalized'!$D:$D, MATCH($A2, 'UA-normalized'!$A:$A, 0))-INDEX('UA-normalized'!$E:$E, MATCH($A2, 'UA-normalized'!$A:$A, 0))), 0), 0))+(IFERROR(IF(13*INDEX('KZ-normalized'!$D:$D, MATCH($A2, 'KZ-normalized'!$A:$A, 0))-INDEX('KZ-normalized'!$E:$E, MATCH($A2, 'KZ-normalized'!$A:$A, 0))&gt;0, -(13*INDEX('KZ-normalized'!$D:$D, MATCH($A2, 'KZ-normalized'!$A:$A, 0))-INDEX('KZ-normalized'!$E:$E, MATCH($A2, 'KZ-normalized'!$A:$A, 0))), 0), 0))+(IFERROR(IF(13*INDEX('UZ-normalized'!$D:$D, MATCH($A2, 'UZ-normalized'!$A:$A, 0))-INDEX('UZ-normalized'!$E:$E, MATCH($A2, 'UZ-normalized'!$A:$A, 0))&gt;0, -(13*INDEX('UZ-normalized'!$D:$D, MATCH($A2, 'UZ-normalized'!$A:$A, 0))-INDEX('UZ-normalized'!$E:$E, MATCH($A2, 'UZ-normalized'!$A:$A, 0))), 0), 0)))</f>
        <v>-558</v>
      </c>
      <c r="AB2" s="6">
        <f>MIN(0, N2+(IFERROR(IF(14*INDEX('UA-normalized'!$D:$D, MATCH($A2, 'UA-normalized'!$A:$A, 0))-INDEX('UA-normalized'!$E:$E, MATCH($A2, 'UA-normalized'!$A:$A, 0))&gt;0, -(14*INDEX('UA-normalized'!$D:$D, MATCH($A2, 'UA-normalized'!$A:$A, 0))-INDEX('UA-normalized'!$E:$E, MATCH($A2, 'UA-normalized'!$A:$A, 0))), 0), 0))+(IFERROR(IF(14*INDEX('KZ-normalized'!$D:$D, MATCH($A2, 'KZ-normalized'!$A:$A, 0))-INDEX('KZ-normalized'!$E:$E, MATCH($A2, 'KZ-normalized'!$A:$A, 0))&gt;0, -(14*INDEX('KZ-normalized'!$D:$D, MATCH($A2, 'KZ-normalized'!$A:$A, 0))-INDEX('KZ-normalized'!$E:$E, MATCH($A2, 'KZ-normalized'!$A:$A, 0))), 0), 0))+(IFERROR(IF(14*INDEX('UZ-normalized'!$D:$D, MATCH($A2, 'UZ-normalized'!$A:$A, 0))-INDEX('UZ-normalized'!$E:$E, MATCH($A2, 'UZ-normalized'!$A:$A, 0))&gt;0, -(14*INDEX('UZ-normalized'!$D:$D, MATCH($A2, 'UZ-normalized'!$A:$A, 0))-INDEX('UZ-normalized'!$E:$E, MATCH($A2, 'UZ-normalized'!$A:$A, 0))), 0), 0)))</f>
        <v>-618</v>
      </c>
      <c r="AC2" s="6">
        <f>MIN(0, N2+(IFERROR(IF(15*INDEX('UA-normalized'!$D:$D, MATCH($A2, 'UA-normalized'!$A:$A, 0))-INDEX('UA-normalized'!$E:$E, MATCH($A2, 'UA-normalized'!$A:$A, 0))&gt;0, -(15*INDEX('UA-normalized'!$D:$D, MATCH($A2, 'UA-normalized'!$A:$A, 0))-INDEX('UA-normalized'!$E:$E, MATCH($A2, 'UA-normalized'!$A:$A, 0))), 0), 0))+(IFERROR(IF(15*INDEX('KZ-normalized'!$D:$D, MATCH($A2, 'KZ-normalized'!$A:$A, 0))-INDEX('KZ-normalized'!$E:$E, MATCH($A2, 'KZ-normalized'!$A:$A, 0))&gt;0, -(15*INDEX('KZ-normalized'!$D:$D, MATCH($A2, 'KZ-normalized'!$A:$A, 0))-INDEX('KZ-normalized'!$E:$E, MATCH($A2, 'KZ-normalized'!$A:$A, 0))), 0), 0))+(IFERROR(IF(15*INDEX('UZ-normalized'!$D:$D, MATCH($A2, 'UZ-normalized'!$A:$A, 0))-INDEX('UZ-normalized'!$E:$E, MATCH($A2, 'UZ-normalized'!$A:$A, 0))&gt;0, -(15*INDEX('UZ-normalized'!$D:$D, MATCH($A2, 'UZ-normalized'!$A:$A, 0))-INDEX('UZ-normalized'!$E:$E, MATCH($A2, 'UZ-normalized'!$A:$A, 0))), 0), 0)))</f>
        <v>-678</v>
      </c>
      <c r="AD2" s="6">
        <f>MIN(0, N2+(IFERROR(IF(16*INDEX('UA-normalized'!$D:$D, MATCH($A2, 'UA-normalized'!$A:$A, 0))-INDEX('UA-normalized'!$E:$E, MATCH($A2, 'UA-normalized'!$A:$A, 0))&gt;0, -(16*INDEX('UA-normalized'!$D:$D, MATCH($A2, 'UA-normalized'!$A:$A, 0))-INDEX('UA-normalized'!$E:$E, MATCH($A2, 'UA-normalized'!$A:$A, 0))), 0), 0))+(IFERROR(IF(16*INDEX('KZ-normalized'!$D:$D, MATCH($A2, 'KZ-normalized'!$A:$A, 0))-INDEX('KZ-normalized'!$E:$E, MATCH($A2, 'KZ-normalized'!$A:$A, 0))&gt;0, -(16*INDEX('KZ-normalized'!$D:$D, MATCH($A2, 'KZ-normalized'!$A:$A, 0))-INDEX('KZ-normalized'!$E:$E, MATCH($A2, 'KZ-normalized'!$A:$A, 0))), 0), 0))+(IFERROR(IF(16*INDEX('UZ-normalized'!$D:$D, MATCH($A2, 'UZ-normalized'!$A:$A, 0))-INDEX('UZ-normalized'!$E:$E, MATCH($A2, 'UZ-normalized'!$A:$A, 0))&gt;0, -(16*INDEX('UZ-normalized'!$D:$D, MATCH($A2, 'UZ-normalized'!$A:$A, 0))-INDEX('UZ-normalized'!$E:$E, MATCH($A2, 'UZ-normalized'!$A:$A, 0))), 0), 0)))</f>
        <v>-738</v>
      </c>
      <c r="AE2" s="6">
        <f>MIN(0, N2+(IFERROR(IF(17*INDEX('UA-normalized'!$D:$D, MATCH($A2, 'UA-normalized'!$A:$A, 0))-INDEX('UA-normalized'!$E:$E, MATCH($A2, 'UA-normalized'!$A:$A, 0))&gt;0, -(17*INDEX('UA-normalized'!$D:$D, MATCH($A2, 'UA-normalized'!$A:$A, 0))-INDEX('UA-normalized'!$E:$E, MATCH($A2, 'UA-normalized'!$A:$A, 0))), 0), 0))+(IFERROR(IF(17*INDEX('KZ-normalized'!$D:$D, MATCH($A2, 'KZ-normalized'!$A:$A, 0))-INDEX('KZ-normalized'!$E:$E, MATCH($A2, 'KZ-normalized'!$A:$A, 0))&gt;0, -(17*INDEX('KZ-normalized'!$D:$D, MATCH($A2, 'KZ-normalized'!$A:$A, 0))-INDEX('KZ-normalized'!$E:$E, MATCH($A2, 'KZ-normalized'!$A:$A, 0))), 0), 0))+(IFERROR(IF(17*INDEX('UZ-normalized'!$D:$D, MATCH($A2, 'UZ-normalized'!$A:$A, 0))-INDEX('UZ-normalized'!$E:$E, MATCH($A2, 'UZ-normalized'!$A:$A, 0))&gt;0, -(17*INDEX('UZ-normalized'!$D:$D, MATCH($A2, 'UZ-normalized'!$A:$A, 0))-INDEX('UZ-normalized'!$E:$E, MATCH($A2, 'UZ-normalized'!$A:$A, 0))), 0), 0)))</f>
        <v>-798</v>
      </c>
      <c r="AF2" s="6">
        <f>MIN(0, N2+(IFERROR(IF(18*INDEX('UA-normalized'!$D:$D, MATCH($A2, 'UA-normalized'!$A:$A, 0))-INDEX('UA-normalized'!$E:$E, MATCH($A2, 'UA-normalized'!$A:$A, 0))&gt;0, -(18*INDEX('UA-normalized'!$D:$D, MATCH($A2, 'UA-normalized'!$A:$A, 0))-INDEX('UA-normalized'!$E:$E, MATCH($A2, 'UA-normalized'!$A:$A, 0))), 0), 0))+(IFERROR(IF(18*INDEX('KZ-normalized'!$D:$D, MATCH($A2, 'KZ-normalized'!$A:$A, 0))-INDEX('KZ-normalized'!$E:$E, MATCH($A2, 'KZ-normalized'!$A:$A, 0))&gt;0, -(18*INDEX('KZ-normalized'!$D:$D, MATCH($A2, 'KZ-normalized'!$A:$A, 0))-INDEX('KZ-normalized'!$E:$E, MATCH($A2, 'KZ-normalized'!$A:$A, 0))), 0), 0))+(IFERROR(IF(18*INDEX('UZ-normalized'!$D:$D, MATCH($A2, 'UZ-normalized'!$A:$A, 0))-INDEX('UZ-normalized'!$E:$E, MATCH($A2, 'UZ-normalized'!$A:$A, 0))&gt;0, -(18*INDEX('UZ-normalized'!$D:$D, MATCH($A2, 'UZ-normalized'!$A:$A, 0))-INDEX('UZ-normalized'!$E:$E, MATCH($A2, 'UZ-normalized'!$A:$A, 0))), 0), 0)))</f>
        <v>-858</v>
      </c>
      <c r="AG2" s="6">
        <f>MIN(0, N2+(IFERROR(IF(19*INDEX('UA-normalized'!$D:$D, MATCH($A2, 'UA-normalized'!$A:$A, 0))-INDEX('UA-normalized'!$E:$E, MATCH($A2, 'UA-normalized'!$A:$A, 0))&gt;0, -(19*INDEX('UA-normalized'!$D:$D, MATCH($A2, 'UA-normalized'!$A:$A, 0))-INDEX('UA-normalized'!$E:$E, MATCH($A2, 'UA-normalized'!$A:$A, 0))), 0), 0))+(IFERROR(IF(19*INDEX('KZ-normalized'!$D:$D, MATCH($A2, 'KZ-normalized'!$A:$A, 0))-INDEX('KZ-normalized'!$E:$E, MATCH($A2, 'KZ-normalized'!$A:$A, 0))&gt;0, -(19*INDEX('KZ-normalized'!$D:$D, MATCH($A2, 'KZ-normalized'!$A:$A, 0))-INDEX('KZ-normalized'!$E:$E, MATCH($A2, 'KZ-normalized'!$A:$A, 0))), 0), 0))+(IFERROR(IF(19*INDEX('UZ-normalized'!$D:$D, MATCH($A2, 'UZ-normalized'!$A:$A, 0))-INDEX('UZ-normalized'!$E:$E, MATCH($A2, 'UZ-normalized'!$A:$A, 0))&gt;0, -(19*INDEX('UZ-normalized'!$D:$D, MATCH($A2, 'UZ-normalized'!$A:$A, 0))-INDEX('UZ-normalized'!$E:$E, MATCH($A2, 'UZ-normalized'!$A:$A, 0))), 0), 0)))</f>
        <v>-918</v>
      </c>
      <c r="AH2" s="6">
        <f>MIN(0, N2+(IFERROR(IF(20*INDEX('UA-normalized'!$D:$D, MATCH($A2, 'UA-normalized'!$A:$A, 0))-INDEX('UA-normalized'!$E:$E, MATCH($A2, 'UA-normalized'!$A:$A, 0))&gt;0, -(20*INDEX('UA-normalized'!$D:$D, MATCH($A2, 'UA-normalized'!$A:$A, 0))-INDEX('UA-normalized'!$E:$E, MATCH($A2, 'UA-normalized'!$A:$A, 0))), 0), 0))+(IFERROR(IF(20*INDEX('KZ-normalized'!$D:$D, MATCH($A2, 'KZ-normalized'!$A:$A, 0))-INDEX('KZ-normalized'!$E:$E, MATCH($A2, 'KZ-normalized'!$A:$A, 0))&gt;0, -(20*INDEX('KZ-normalized'!$D:$D, MATCH($A2, 'KZ-normalized'!$A:$A, 0))-INDEX('KZ-normalized'!$E:$E, MATCH($A2, 'KZ-normalized'!$A:$A, 0))), 0), 0))+(IFERROR(IF(20*INDEX('UZ-normalized'!$D:$D, MATCH($A2, 'UZ-normalized'!$A:$A, 0))-INDEX('UZ-normalized'!$E:$E, MATCH($A2, 'UZ-normalized'!$A:$A, 0))&gt;0, -(20*INDEX('UZ-normalized'!$D:$D, MATCH($A2, 'UZ-normalized'!$A:$A, 0))-INDEX('UZ-normalized'!$E:$E, MATCH($A2, 'UZ-normalized'!$A:$A, 0))), 0), 0)))</f>
        <v>-978</v>
      </c>
      <c r="AI2" s="6">
        <f>MIN(0, N2+(IFERROR(IF(21*INDEX('UA-normalized'!$D:$D, MATCH($A2, 'UA-normalized'!$A:$A, 0))-INDEX('UA-normalized'!$E:$E, MATCH($A2, 'UA-normalized'!$A:$A, 0))&gt;0, -(21*INDEX('UA-normalized'!$D:$D, MATCH($A2, 'UA-normalized'!$A:$A, 0))-INDEX('UA-normalized'!$E:$E, MATCH($A2, 'UA-normalized'!$A:$A, 0))), 0), 0))+(IFERROR(IF(21*INDEX('KZ-normalized'!$D:$D, MATCH($A2, 'KZ-normalized'!$A:$A, 0))-INDEX('KZ-normalized'!$E:$E, MATCH($A2, 'KZ-normalized'!$A:$A, 0))&gt;0, -(21*INDEX('KZ-normalized'!$D:$D, MATCH($A2, 'KZ-normalized'!$A:$A, 0))-INDEX('KZ-normalized'!$E:$E, MATCH($A2, 'KZ-normalized'!$A:$A, 0))), 0), 0))+(IFERROR(IF(21*INDEX('UZ-normalized'!$D:$D, MATCH($A2, 'UZ-normalized'!$A:$A, 0))-INDEX('UZ-normalized'!$E:$E, MATCH($A2, 'UZ-normalized'!$A:$A, 0))&gt;0, -(21*INDEX('UZ-normalized'!$D:$D, MATCH($A2, 'UZ-normalized'!$A:$A, 0))-INDEX('UZ-normalized'!$E:$E, MATCH($A2, 'UZ-normalized'!$A:$A, 0))), 0), 0)))</f>
        <v>-1038</v>
      </c>
      <c r="AJ2" s="6">
        <f>MIN(0, N2+(IFERROR(IF(22*INDEX('UA-normalized'!$D:$D, MATCH($A2, 'UA-normalized'!$A:$A, 0))-INDEX('UA-normalized'!$E:$E, MATCH($A2, 'UA-normalized'!$A:$A, 0))&gt;0, -(22*INDEX('UA-normalized'!$D:$D, MATCH($A2, 'UA-normalized'!$A:$A, 0))-INDEX('UA-normalized'!$E:$E, MATCH($A2, 'UA-normalized'!$A:$A, 0))), 0), 0))+(IFERROR(IF(22*INDEX('KZ-normalized'!$D:$D, MATCH($A2, 'KZ-normalized'!$A:$A, 0))-INDEX('KZ-normalized'!$E:$E, MATCH($A2, 'KZ-normalized'!$A:$A, 0))&gt;0, -(22*INDEX('KZ-normalized'!$D:$D, MATCH($A2, 'KZ-normalized'!$A:$A, 0))-INDEX('KZ-normalized'!$E:$E, MATCH($A2, 'KZ-normalized'!$A:$A, 0))), 0), 0))+(IFERROR(IF(22*INDEX('UZ-normalized'!$D:$D, MATCH($A2, 'UZ-normalized'!$A:$A, 0))-INDEX('UZ-normalized'!$E:$E, MATCH($A2, 'UZ-normalized'!$A:$A, 0))&gt;0, -(22*INDEX('UZ-normalized'!$D:$D, MATCH($A2, 'UZ-normalized'!$A:$A, 0))-INDEX('UZ-normalized'!$E:$E, MATCH($A2, 'UZ-normalized'!$A:$A, 0))), 0), 0)))</f>
        <v>-1098</v>
      </c>
      <c r="AK2" s="6">
        <f>MIN(0, N2+(IFERROR(IF(23*INDEX('UA-normalized'!$D:$D, MATCH($A2, 'UA-normalized'!$A:$A, 0))-INDEX('UA-normalized'!$E:$E, MATCH($A2, 'UA-normalized'!$A:$A, 0))&gt;0, -(23*INDEX('UA-normalized'!$D:$D, MATCH($A2, 'UA-normalized'!$A:$A, 0))-INDEX('UA-normalized'!$E:$E, MATCH($A2, 'UA-normalized'!$A:$A, 0))), 0), 0))+(IFERROR(IF(23*INDEX('KZ-normalized'!$D:$D, MATCH($A2, 'KZ-normalized'!$A:$A, 0))-INDEX('KZ-normalized'!$E:$E, MATCH($A2, 'KZ-normalized'!$A:$A, 0))&gt;0, -(23*INDEX('KZ-normalized'!$D:$D, MATCH($A2, 'KZ-normalized'!$A:$A, 0))-INDEX('KZ-normalized'!$E:$E, MATCH($A2, 'KZ-normalized'!$A:$A, 0))), 0), 0))+(IFERROR(IF(23*INDEX('UZ-normalized'!$D:$D, MATCH($A2, 'UZ-normalized'!$A:$A, 0))-INDEX('UZ-normalized'!$E:$E, MATCH($A2, 'UZ-normalized'!$A:$A, 0))&gt;0, -(23*INDEX('UZ-normalized'!$D:$D, MATCH($A2, 'UZ-normalized'!$A:$A, 0))-INDEX('UZ-normalized'!$E:$E, MATCH($A2, 'UZ-normalized'!$A:$A, 0))), 0), 0)))</f>
        <v>-1158</v>
      </c>
      <c r="AL2" s="6">
        <f>MIN(0, N2+(IFERROR(IF(24*INDEX('UA-normalized'!$D:$D, MATCH($A2, 'UA-normalized'!$A:$A, 0))-INDEX('UA-normalized'!$E:$E, MATCH($A2, 'UA-normalized'!$A:$A, 0))&gt;0, -(24*INDEX('UA-normalized'!$D:$D, MATCH($A2, 'UA-normalized'!$A:$A, 0))-INDEX('UA-normalized'!$E:$E, MATCH($A2, 'UA-normalized'!$A:$A, 0))), 0), 0))+(IFERROR(IF(24*INDEX('KZ-normalized'!$D:$D, MATCH($A2, 'KZ-normalized'!$A:$A, 0))-INDEX('KZ-normalized'!$E:$E, MATCH($A2, 'KZ-normalized'!$A:$A, 0))&gt;0, -(24*INDEX('KZ-normalized'!$D:$D, MATCH($A2, 'KZ-normalized'!$A:$A, 0))-INDEX('KZ-normalized'!$E:$E, MATCH($A2, 'KZ-normalized'!$A:$A, 0))), 0), 0))+(IFERROR(IF(24*INDEX('UZ-normalized'!$D:$D, MATCH($A2, 'UZ-normalized'!$A:$A, 0))-INDEX('UZ-normalized'!$E:$E, MATCH($A2, 'UZ-normalized'!$A:$A, 0))&gt;0, -(24*INDEX('UZ-normalized'!$D:$D, MATCH($A2, 'UZ-normalized'!$A:$A, 0))-INDEX('UZ-normalized'!$E:$E, MATCH($A2, 'UZ-normalized'!$A:$A, 0))), 0), 0)))</f>
        <v>-1218</v>
      </c>
      <c r="AM2" s="6">
        <f>MIN(0, N2+(IFERROR(IF(25*INDEX('UA-normalized'!$D:$D, MATCH($A2, 'UA-normalized'!$A:$A, 0))-INDEX('UA-normalized'!$E:$E, MATCH($A2, 'UA-normalized'!$A:$A, 0))&gt;0, -(25*INDEX('UA-normalized'!$D:$D, MATCH($A2, 'UA-normalized'!$A:$A, 0))-INDEX('UA-normalized'!$E:$E, MATCH($A2, 'UA-normalized'!$A:$A, 0))), 0), 0))+(IFERROR(IF(25*INDEX('KZ-normalized'!$D:$D, MATCH($A2, 'KZ-normalized'!$A:$A, 0))-INDEX('KZ-normalized'!$E:$E, MATCH($A2, 'KZ-normalized'!$A:$A, 0))&gt;0, -(25*INDEX('KZ-normalized'!$D:$D, MATCH($A2, 'KZ-normalized'!$A:$A, 0))-INDEX('KZ-normalized'!$E:$E, MATCH($A2, 'KZ-normalized'!$A:$A, 0))), 0), 0))+(IFERROR(IF(25*INDEX('UZ-normalized'!$D:$D, MATCH($A2, 'UZ-normalized'!$A:$A, 0))-INDEX('UZ-normalized'!$E:$E, MATCH($A2, 'UZ-normalized'!$A:$A, 0))&gt;0, -(25*INDEX('UZ-normalized'!$D:$D, MATCH($A2, 'UZ-normalized'!$A:$A, 0))-INDEX('UZ-normalized'!$E:$E, MATCH($A2, 'UZ-normalized'!$A:$A, 0))), 0), 0)))</f>
        <v>-1278</v>
      </c>
      <c r="AN2" s="6">
        <f>MIN(0, N2+(IFERROR(IF(26*INDEX('UA-normalized'!$D:$D, MATCH($A2, 'UA-normalized'!$A:$A, 0))-INDEX('UA-normalized'!$E:$E, MATCH($A2, 'UA-normalized'!$A:$A, 0))&gt;0, -(26*INDEX('UA-normalized'!$D:$D, MATCH($A2, 'UA-normalized'!$A:$A, 0))-INDEX('UA-normalized'!$E:$E, MATCH($A2, 'UA-normalized'!$A:$A, 0))), 0), 0))+(IFERROR(IF(26*INDEX('KZ-normalized'!$D:$D, MATCH($A2, 'KZ-normalized'!$A:$A, 0))-INDEX('KZ-normalized'!$E:$E, MATCH($A2, 'KZ-normalized'!$A:$A, 0))&gt;0, -(26*INDEX('KZ-normalized'!$D:$D, MATCH($A2, 'KZ-normalized'!$A:$A, 0))-INDEX('KZ-normalized'!$E:$E, MATCH($A2, 'KZ-normalized'!$A:$A, 0))), 0), 0))+(IFERROR(IF(26*INDEX('UZ-normalized'!$D:$D, MATCH($A2, 'UZ-normalized'!$A:$A, 0))-INDEX('UZ-normalized'!$E:$E, MATCH($A2, 'UZ-normalized'!$A:$A, 0))&gt;0, -(26*INDEX('UZ-normalized'!$D:$D, MATCH($A2, 'UZ-normalized'!$A:$A, 0))-INDEX('UZ-normalized'!$E:$E, MATCH($A2, 'UZ-normalized'!$A:$A, 0))), 0), 0)))</f>
        <v>-1338</v>
      </c>
      <c r="AO2" s="6">
        <f>MIN(0, N2+(IFERROR(IF(27*INDEX('UA-normalized'!$D:$D, MATCH($A2, 'UA-normalized'!$A:$A, 0))-INDEX('UA-normalized'!$E:$E, MATCH($A2, 'UA-normalized'!$A:$A, 0))&gt;0, -(27*INDEX('UA-normalized'!$D:$D, MATCH($A2, 'UA-normalized'!$A:$A, 0))-INDEX('UA-normalized'!$E:$E, MATCH($A2, 'UA-normalized'!$A:$A, 0))), 0), 0))+(IFERROR(IF(27*INDEX('KZ-normalized'!$D:$D, MATCH($A2, 'KZ-normalized'!$A:$A, 0))-INDEX('KZ-normalized'!$E:$E, MATCH($A2, 'KZ-normalized'!$A:$A, 0))&gt;0, -(27*INDEX('KZ-normalized'!$D:$D, MATCH($A2, 'KZ-normalized'!$A:$A, 0))-INDEX('KZ-normalized'!$E:$E, MATCH($A2, 'KZ-normalized'!$A:$A, 0))), 0), 0))+(IFERROR(IF(27*INDEX('UZ-normalized'!$D:$D, MATCH($A2, 'UZ-normalized'!$A:$A, 0))-INDEX('UZ-normalized'!$E:$E, MATCH($A2, 'UZ-normalized'!$A:$A, 0))&gt;0, -(27*INDEX('UZ-normalized'!$D:$D, MATCH($A2, 'UZ-normalized'!$A:$A, 0))-INDEX('UZ-normalized'!$E:$E, MATCH($A2, 'UZ-normalized'!$A:$A, 0))), 0), 0)))</f>
        <v>-1398</v>
      </c>
      <c r="AP2" s="6">
        <f>MIN(0, N2+(IFERROR(IF(28*INDEX('UA-normalized'!$D:$D, MATCH($A2, 'UA-normalized'!$A:$A, 0))-INDEX('UA-normalized'!$E:$E, MATCH($A2, 'UA-normalized'!$A:$A, 0))&gt;0, -(28*INDEX('UA-normalized'!$D:$D, MATCH($A2, 'UA-normalized'!$A:$A, 0))-INDEX('UA-normalized'!$E:$E, MATCH($A2, 'UA-normalized'!$A:$A, 0))), 0), 0))+(IFERROR(IF(28*INDEX('KZ-normalized'!$D:$D, MATCH($A2, 'KZ-normalized'!$A:$A, 0))-INDEX('KZ-normalized'!$E:$E, MATCH($A2, 'KZ-normalized'!$A:$A, 0))&gt;0, -(28*INDEX('KZ-normalized'!$D:$D, MATCH($A2, 'KZ-normalized'!$A:$A, 0))-INDEX('KZ-normalized'!$E:$E, MATCH($A2, 'KZ-normalized'!$A:$A, 0))), 0), 0))+(IFERROR(IF(28*INDEX('UZ-normalized'!$D:$D, MATCH($A2, 'UZ-normalized'!$A:$A, 0))-INDEX('UZ-normalized'!$E:$E, MATCH($A2, 'UZ-normalized'!$A:$A, 0))&gt;0, -(28*INDEX('UZ-normalized'!$D:$D, MATCH($A2, 'UZ-normalized'!$A:$A, 0))-INDEX('UZ-normalized'!$E:$E, MATCH($A2, 'UZ-normalized'!$A:$A, 0))), 0), 0)))</f>
        <v>-1458</v>
      </c>
      <c r="AQ2" s="6">
        <f>MIN(0, N2+(IFERROR(IF(29*INDEX('UA-normalized'!$D:$D, MATCH($A2, 'UA-normalized'!$A:$A, 0))-INDEX('UA-normalized'!$E:$E, MATCH($A2, 'UA-normalized'!$A:$A, 0))&gt;0, -(29*INDEX('UA-normalized'!$D:$D, MATCH($A2, 'UA-normalized'!$A:$A, 0))-INDEX('UA-normalized'!$E:$E, MATCH($A2, 'UA-normalized'!$A:$A, 0))), 0), 0))+(IFERROR(IF(29*INDEX('KZ-normalized'!$D:$D, MATCH($A2, 'KZ-normalized'!$A:$A, 0))-INDEX('KZ-normalized'!$E:$E, MATCH($A2, 'KZ-normalized'!$A:$A, 0))&gt;0, -(29*INDEX('KZ-normalized'!$D:$D, MATCH($A2, 'KZ-normalized'!$A:$A, 0))-INDEX('KZ-normalized'!$E:$E, MATCH($A2, 'KZ-normalized'!$A:$A, 0))), 0), 0))+(IFERROR(IF(29*INDEX('UZ-normalized'!$D:$D, MATCH($A2, 'UZ-normalized'!$A:$A, 0))-INDEX('UZ-normalized'!$E:$E, MATCH($A2, 'UZ-normalized'!$A:$A, 0))&gt;0, -(29*INDEX('UZ-normalized'!$D:$D, MATCH($A2, 'UZ-normalized'!$A:$A, 0))-INDEX('UZ-normalized'!$E:$E, MATCH($A2, 'UZ-normalized'!$A:$A, 0))), 0), 0)))</f>
        <v>-1518</v>
      </c>
      <c r="AR2" s="6">
        <f>MIN(0, N2+(IFERROR(IF(30*INDEX('UA-normalized'!$D:$D, MATCH($A2, 'UA-normalized'!$A:$A, 0))-INDEX('UA-normalized'!$E:$E, MATCH($A2, 'UA-normalized'!$A:$A, 0))&gt;0, -(30*INDEX('UA-normalized'!$D:$D, MATCH($A2, 'UA-normalized'!$A:$A, 0))-INDEX('UA-normalized'!$E:$E, MATCH($A2, 'UA-normalized'!$A:$A, 0))), 0), 0))+(IFERROR(IF(30*INDEX('KZ-normalized'!$D:$D, MATCH($A2, 'KZ-normalized'!$A:$A, 0))-INDEX('KZ-normalized'!$E:$E, MATCH($A2, 'KZ-normalized'!$A:$A, 0))&gt;0, -(30*INDEX('KZ-normalized'!$D:$D, MATCH($A2, 'KZ-normalized'!$A:$A, 0))-INDEX('KZ-normalized'!$E:$E, MATCH($A2, 'KZ-normalized'!$A:$A, 0))), 0), 0))+(IFERROR(IF(30*INDEX('UZ-normalized'!$D:$D, MATCH($A2, 'UZ-normalized'!$A:$A, 0))-INDEX('UZ-normalized'!$E:$E, MATCH($A2, 'UZ-normalized'!$A:$A, 0))&gt;0, -(30*INDEX('UZ-normalized'!$D:$D, MATCH($A2, 'UZ-normalized'!$A:$A, 0))-INDEX('UZ-normalized'!$E:$E, MATCH($A2, 'UZ-normalized'!$A:$A, 0))), 0), 0)))</f>
        <v>-1578</v>
      </c>
    </row>
    <row r="3" spans="1:44" x14ac:dyDescent="0.25">
      <c r="A3" s="8" t="s">
        <v>48</v>
      </c>
      <c r="B3" s="8" t="s">
        <v>45</v>
      </c>
      <c r="C3" s="8" t="s">
        <v>46</v>
      </c>
      <c r="D3" s="8" t="s">
        <v>49</v>
      </c>
      <c r="N3">
        <f t="shared" si="0"/>
        <v>0</v>
      </c>
      <c r="O3" s="6">
        <f>MIN(0, N3+(IFERROR(IF(1*INDEX('UA-normalized'!$D:$D, MATCH($A3, 'UA-normalized'!$A:$A, 0))-INDEX('UA-normalized'!$E:$E, MATCH($A3, 'UA-normalized'!$A:$A, 0))&gt;0, -(1*INDEX('UA-normalized'!$D:$D, MATCH($A3, 'UA-normalized'!$A:$A, 0))-INDEX('UA-normalized'!$E:$E, MATCH($A3, 'UA-normalized'!$A:$A, 0))), 0), 0))+(IFERROR(IF(1*INDEX('KZ-normalized'!$D:$D, MATCH($A3, 'KZ-normalized'!$A:$A, 0))-INDEX('KZ-normalized'!$E:$E, MATCH($A3, 'KZ-normalized'!$A:$A, 0))&gt;0, -(1*INDEX('KZ-normalized'!$D:$D, MATCH($A3, 'KZ-normalized'!$A:$A, 0))-INDEX('KZ-normalized'!$E:$E, MATCH($A3, 'KZ-normalized'!$A:$A, 0))), 0), 0))+(IFERROR(IF(1*INDEX('UZ-normalized'!$D:$D, MATCH($A3, 'UZ-normalized'!$A:$A, 0))-INDEX('UZ-normalized'!$E:$E, MATCH($A3, 'UZ-normalized'!$A:$A, 0))&gt;0, -(1*INDEX('UZ-normalized'!$D:$D, MATCH($A3, 'UZ-normalized'!$A:$A, 0))-INDEX('UZ-normalized'!$E:$E, MATCH($A3, 'UZ-normalized'!$A:$A, 0))), 0), 0)))</f>
        <v>0</v>
      </c>
      <c r="P3" s="6">
        <f>MIN(0, N3+(IFERROR(IF(2*INDEX('UA-normalized'!$D:$D, MATCH($A3, 'UA-normalized'!$A:$A, 0))-INDEX('UA-normalized'!$E:$E, MATCH($A3, 'UA-normalized'!$A:$A, 0))&gt;0, -(2*INDEX('UA-normalized'!$D:$D, MATCH($A3, 'UA-normalized'!$A:$A, 0))-INDEX('UA-normalized'!$E:$E, MATCH($A3, 'UA-normalized'!$A:$A, 0))), 0), 0))+(IFERROR(IF(2*INDEX('KZ-normalized'!$D:$D, MATCH($A3, 'KZ-normalized'!$A:$A, 0))-INDEX('KZ-normalized'!$E:$E, MATCH($A3, 'KZ-normalized'!$A:$A, 0))&gt;0, -(2*INDEX('KZ-normalized'!$D:$D, MATCH($A3, 'KZ-normalized'!$A:$A, 0))-INDEX('KZ-normalized'!$E:$E, MATCH($A3, 'KZ-normalized'!$A:$A, 0))), 0), 0))+(IFERROR(IF(2*INDEX('UZ-normalized'!$D:$D, MATCH($A3, 'UZ-normalized'!$A:$A, 0))-INDEX('UZ-normalized'!$E:$E, MATCH($A3, 'UZ-normalized'!$A:$A, 0))&gt;0, -(2*INDEX('UZ-normalized'!$D:$D, MATCH($A3, 'UZ-normalized'!$A:$A, 0))-INDEX('UZ-normalized'!$E:$E, MATCH($A3, 'UZ-normalized'!$A:$A, 0))), 0), 0)))</f>
        <v>0</v>
      </c>
      <c r="Q3" s="6">
        <f>MIN(0, N3+(IFERROR(IF(3*INDEX('UA-normalized'!$D:$D, MATCH($A3, 'UA-normalized'!$A:$A, 0))-INDEX('UA-normalized'!$E:$E, MATCH($A3, 'UA-normalized'!$A:$A, 0))&gt;0, -(3*INDEX('UA-normalized'!$D:$D, MATCH($A3, 'UA-normalized'!$A:$A, 0))-INDEX('UA-normalized'!$E:$E, MATCH($A3, 'UA-normalized'!$A:$A, 0))), 0), 0))+(IFERROR(IF(3*INDEX('KZ-normalized'!$D:$D, MATCH($A3, 'KZ-normalized'!$A:$A, 0))-INDEX('KZ-normalized'!$E:$E, MATCH($A3, 'KZ-normalized'!$A:$A, 0))&gt;0, -(3*INDEX('KZ-normalized'!$D:$D, MATCH($A3, 'KZ-normalized'!$A:$A, 0))-INDEX('KZ-normalized'!$E:$E, MATCH($A3, 'KZ-normalized'!$A:$A, 0))), 0), 0))+(IFERROR(IF(3*INDEX('UZ-normalized'!$D:$D, MATCH($A3, 'UZ-normalized'!$A:$A, 0))-INDEX('UZ-normalized'!$E:$E, MATCH($A3, 'UZ-normalized'!$A:$A, 0))&gt;0, -(3*INDEX('UZ-normalized'!$D:$D, MATCH($A3, 'UZ-normalized'!$A:$A, 0))-INDEX('UZ-normalized'!$E:$E, MATCH($A3, 'UZ-normalized'!$A:$A, 0))), 0), 0)))</f>
        <v>0</v>
      </c>
      <c r="R3" s="6">
        <f>MIN(0, N3+(IFERROR(IF(4*INDEX('UA-normalized'!$D:$D, MATCH($A3, 'UA-normalized'!$A:$A, 0))-INDEX('UA-normalized'!$E:$E, MATCH($A3, 'UA-normalized'!$A:$A, 0))&gt;0, -(4*INDEX('UA-normalized'!$D:$D, MATCH($A3, 'UA-normalized'!$A:$A, 0))-INDEX('UA-normalized'!$E:$E, MATCH($A3, 'UA-normalized'!$A:$A, 0))), 0), 0))+(IFERROR(IF(4*INDEX('KZ-normalized'!$D:$D, MATCH($A3, 'KZ-normalized'!$A:$A, 0))-INDEX('KZ-normalized'!$E:$E, MATCH($A3, 'KZ-normalized'!$A:$A, 0))&gt;0, -(4*INDEX('KZ-normalized'!$D:$D, MATCH($A3, 'KZ-normalized'!$A:$A, 0))-INDEX('KZ-normalized'!$E:$E, MATCH($A3, 'KZ-normalized'!$A:$A, 0))), 0), 0))+(IFERROR(IF(4*INDEX('UZ-normalized'!$D:$D, MATCH($A3, 'UZ-normalized'!$A:$A, 0))-INDEX('UZ-normalized'!$E:$E, MATCH($A3, 'UZ-normalized'!$A:$A, 0))&gt;0, -(4*INDEX('UZ-normalized'!$D:$D, MATCH($A3, 'UZ-normalized'!$A:$A, 0))-INDEX('UZ-normalized'!$E:$E, MATCH($A3, 'UZ-normalized'!$A:$A, 0))), 0), 0)))</f>
        <v>0</v>
      </c>
      <c r="S3" s="6">
        <f>MIN(0, N3+(IFERROR(IF(5*INDEX('UA-normalized'!$D:$D, MATCH($A3, 'UA-normalized'!$A:$A, 0))-INDEX('UA-normalized'!$E:$E, MATCH($A3, 'UA-normalized'!$A:$A, 0))&gt;0, -(5*INDEX('UA-normalized'!$D:$D, MATCH($A3, 'UA-normalized'!$A:$A, 0))-INDEX('UA-normalized'!$E:$E, MATCH($A3, 'UA-normalized'!$A:$A, 0))), 0), 0))+(IFERROR(IF(5*INDEX('KZ-normalized'!$D:$D, MATCH($A3, 'KZ-normalized'!$A:$A, 0))-INDEX('KZ-normalized'!$E:$E, MATCH($A3, 'KZ-normalized'!$A:$A, 0))&gt;0, -(5*INDEX('KZ-normalized'!$D:$D, MATCH($A3, 'KZ-normalized'!$A:$A, 0))-INDEX('KZ-normalized'!$E:$E, MATCH($A3, 'KZ-normalized'!$A:$A, 0))), 0), 0))+(IFERROR(IF(5*INDEX('UZ-normalized'!$D:$D, MATCH($A3, 'UZ-normalized'!$A:$A, 0))-INDEX('UZ-normalized'!$E:$E, MATCH($A3, 'UZ-normalized'!$A:$A, 0))&gt;0, -(5*INDEX('UZ-normalized'!$D:$D, MATCH($A3, 'UZ-normalized'!$A:$A, 0))-INDEX('UZ-normalized'!$E:$E, MATCH($A3, 'UZ-normalized'!$A:$A, 0))), 0), 0)))</f>
        <v>0</v>
      </c>
      <c r="T3" s="6">
        <f>MIN(0, N3+(IFERROR(IF(6*INDEX('UA-normalized'!$D:$D, MATCH($A3, 'UA-normalized'!$A:$A, 0))-INDEX('UA-normalized'!$E:$E, MATCH($A3, 'UA-normalized'!$A:$A, 0))&gt;0, -(6*INDEX('UA-normalized'!$D:$D, MATCH($A3, 'UA-normalized'!$A:$A, 0))-INDEX('UA-normalized'!$E:$E, MATCH($A3, 'UA-normalized'!$A:$A, 0))), 0), 0))+(IFERROR(IF(6*INDEX('KZ-normalized'!$D:$D, MATCH($A3, 'KZ-normalized'!$A:$A, 0))-INDEX('KZ-normalized'!$E:$E, MATCH($A3, 'KZ-normalized'!$A:$A, 0))&gt;0, -(6*INDEX('KZ-normalized'!$D:$D, MATCH($A3, 'KZ-normalized'!$A:$A, 0))-INDEX('KZ-normalized'!$E:$E, MATCH($A3, 'KZ-normalized'!$A:$A, 0))), 0), 0))+(IFERROR(IF(6*INDEX('UZ-normalized'!$D:$D, MATCH($A3, 'UZ-normalized'!$A:$A, 0))-INDEX('UZ-normalized'!$E:$E, MATCH($A3, 'UZ-normalized'!$A:$A, 0))&gt;0, -(6*INDEX('UZ-normalized'!$D:$D, MATCH($A3, 'UZ-normalized'!$A:$A, 0))-INDEX('UZ-normalized'!$E:$E, MATCH($A3, 'UZ-normalized'!$A:$A, 0))), 0), 0)))</f>
        <v>-4</v>
      </c>
      <c r="U3" s="6">
        <f>MIN(0, N3+(IFERROR(IF(7*INDEX('UA-normalized'!$D:$D, MATCH($A3, 'UA-normalized'!$A:$A, 0))-INDEX('UA-normalized'!$E:$E, MATCH($A3, 'UA-normalized'!$A:$A, 0))&gt;0, -(7*INDEX('UA-normalized'!$D:$D, MATCH($A3, 'UA-normalized'!$A:$A, 0))-INDEX('UA-normalized'!$E:$E, MATCH($A3, 'UA-normalized'!$A:$A, 0))), 0), 0))+(IFERROR(IF(7*INDEX('KZ-normalized'!$D:$D, MATCH($A3, 'KZ-normalized'!$A:$A, 0))-INDEX('KZ-normalized'!$E:$E, MATCH($A3, 'KZ-normalized'!$A:$A, 0))&gt;0, -(7*INDEX('KZ-normalized'!$D:$D, MATCH($A3, 'KZ-normalized'!$A:$A, 0))-INDEX('KZ-normalized'!$E:$E, MATCH($A3, 'KZ-normalized'!$A:$A, 0))), 0), 0))+(IFERROR(IF(7*INDEX('UZ-normalized'!$D:$D, MATCH($A3, 'UZ-normalized'!$A:$A, 0))-INDEX('UZ-normalized'!$E:$E, MATCH($A3, 'UZ-normalized'!$A:$A, 0))&gt;0, -(7*INDEX('UZ-normalized'!$D:$D, MATCH($A3, 'UZ-normalized'!$A:$A, 0))-INDEX('UZ-normalized'!$E:$E, MATCH($A3, 'UZ-normalized'!$A:$A, 0))), 0), 0)))</f>
        <v>-18</v>
      </c>
      <c r="V3" s="6">
        <f>MIN(0, N3+(IFERROR(IF(8*INDEX('UA-normalized'!$D:$D, MATCH($A3, 'UA-normalized'!$A:$A, 0))-INDEX('UA-normalized'!$E:$E, MATCH($A3, 'UA-normalized'!$A:$A, 0))&gt;0, -(8*INDEX('UA-normalized'!$D:$D, MATCH($A3, 'UA-normalized'!$A:$A, 0))-INDEX('UA-normalized'!$E:$E, MATCH($A3, 'UA-normalized'!$A:$A, 0))), 0), 0))+(IFERROR(IF(8*INDEX('KZ-normalized'!$D:$D, MATCH($A3, 'KZ-normalized'!$A:$A, 0))-INDEX('KZ-normalized'!$E:$E, MATCH($A3, 'KZ-normalized'!$A:$A, 0))&gt;0, -(8*INDEX('KZ-normalized'!$D:$D, MATCH($A3, 'KZ-normalized'!$A:$A, 0))-INDEX('KZ-normalized'!$E:$E, MATCH($A3, 'KZ-normalized'!$A:$A, 0))), 0), 0))+(IFERROR(IF(8*INDEX('UZ-normalized'!$D:$D, MATCH($A3, 'UZ-normalized'!$A:$A, 0))-INDEX('UZ-normalized'!$E:$E, MATCH($A3, 'UZ-normalized'!$A:$A, 0))&gt;0, -(8*INDEX('UZ-normalized'!$D:$D, MATCH($A3, 'UZ-normalized'!$A:$A, 0))-INDEX('UZ-normalized'!$E:$E, MATCH($A3, 'UZ-normalized'!$A:$A, 0))), 0), 0)))</f>
        <v>-32</v>
      </c>
      <c r="W3" s="6">
        <f>MIN(0, N3+(IFERROR(IF(9*INDEX('UA-normalized'!$D:$D, MATCH($A3, 'UA-normalized'!$A:$A, 0))-INDEX('UA-normalized'!$E:$E, MATCH($A3, 'UA-normalized'!$A:$A, 0))&gt;0, -(9*INDEX('UA-normalized'!$D:$D, MATCH($A3, 'UA-normalized'!$A:$A, 0))-INDEX('UA-normalized'!$E:$E, MATCH($A3, 'UA-normalized'!$A:$A, 0))), 0), 0))+(IFERROR(IF(9*INDEX('KZ-normalized'!$D:$D, MATCH($A3, 'KZ-normalized'!$A:$A, 0))-INDEX('KZ-normalized'!$E:$E, MATCH($A3, 'KZ-normalized'!$A:$A, 0))&gt;0, -(9*INDEX('KZ-normalized'!$D:$D, MATCH($A3, 'KZ-normalized'!$A:$A, 0))-INDEX('KZ-normalized'!$E:$E, MATCH($A3, 'KZ-normalized'!$A:$A, 0))), 0), 0))+(IFERROR(IF(9*INDEX('UZ-normalized'!$D:$D, MATCH($A3, 'UZ-normalized'!$A:$A, 0))-INDEX('UZ-normalized'!$E:$E, MATCH($A3, 'UZ-normalized'!$A:$A, 0))&gt;0, -(9*INDEX('UZ-normalized'!$D:$D, MATCH($A3, 'UZ-normalized'!$A:$A, 0))-INDEX('UZ-normalized'!$E:$E, MATCH($A3, 'UZ-normalized'!$A:$A, 0))), 0), 0)))</f>
        <v>-46</v>
      </c>
      <c r="X3" s="6">
        <f>MIN(0, N3+(IFERROR(IF(10*INDEX('UA-normalized'!$D:$D, MATCH($A3, 'UA-normalized'!$A:$A, 0))-INDEX('UA-normalized'!$E:$E, MATCH($A3, 'UA-normalized'!$A:$A, 0))&gt;0, -(10*INDEX('UA-normalized'!$D:$D, MATCH($A3, 'UA-normalized'!$A:$A, 0))-INDEX('UA-normalized'!$E:$E, MATCH($A3, 'UA-normalized'!$A:$A, 0))), 0), 0))+(IFERROR(IF(10*INDEX('KZ-normalized'!$D:$D, MATCH($A3, 'KZ-normalized'!$A:$A, 0))-INDEX('KZ-normalized'!$E:$E, MATCH($A3, 'KZ-normalized'!$A:$A, 0))&gt;0, -(10*INDEX('KZ-normalized'!$D:$D, MATCH($A3, 'KZ-normalized'!$A:$A, 0))-INDEX('KZ-normalized'!$E:$E, MATCH($A3, 'KZ-normalized'!$A:$A, 0))), 0), 0))+(IFERROR(IF(10*INDEX('UZ-normalized'!$D:$D, MATCH($A3, 'UZ-normalized'!$A:$A, 0))-INDEX('UZ-normalized'!$E:$E, MATCH($A3, 'UZ-normalized'!$A:$A, 0))&gt;0, -(10*INDEX('UZ-normalized'!$D:$D, MATCH($A3, 'UZ-normalized'!$A:$A, 0))-INDEX('UZ-normalized'!$E:$E, MATCH($A3, 'UZ-normalized'!$A:$A, 0))), 0), 0)))</f>
        <v>-60</v>
      </c>
      <c r="Y3" s="6">
        <f>MIN(0, N3+(IFERROR(IF(11*INDEX('UA-normalized'!$D:$D, MATCH($A3, 'UA-normalized'!$A:$A, 0))-INDEX('UA-normalized'!$E:$E, MATCH($A3, 'UA-normalized'!$A:$A, 0))&gt;0, -(11*INDEX('UA-normalized'!$D:$D, MATCH($A3, 'UA-normalized'!$A:$A, 0))-INDEX('UA-normalized'!$E:$E, MATCH($A3, 'UA-normalized'!$A:$A, 0))), 0), 0))+(IFERROR(IF(11*INDEX('KZ-normalized'!$D:$D, MATCH($A3, 'KZ-normalized'!$A:$A, 0))-INDEX('KZ-normalized'!$E:$E, MATCH($A3, 'KZ-normalized'!$A:$A, 0))&gt;0, -(11*INDEX('KZ-normalized'!$D:$D, MATCH($A3, 'KZ-normalized'!$A:$A, 0))-INDEX('KZ-normalized'!$E:$E, MATCH($A3, 'KZ-normalized'!$A:$A, 0))), 0), 0))+(IFERROR(IF(11*INDEX('UZ-normalized'!$D:$D, MATCH($A3, 'UZ-normalized'!$A:$A, 0))-INDEX('UZ-normalized'!$E:$E, MATCH($A3, 'UZ-normalized'!$A:$A, 0))&gt;0, -(11*INDEX('UZ-normalized'!$D:$D, MATCH($A3, 'UZ-normalized'!$A:$A, 0))-INDEX('UZ-normalized'!$E:$E, MATCH($A3, 'UZ-normalized'!$A:$A, 0))), 0), 0)))</f>
        <v>-74</v>
      </c>
      <c r="Z3" s="6">
        <f>MIN(0, N3+(IFERROR(IF(12*INDEX('UA-normalized'!$D:$D, MATCH($A3, 'UA-normalized'!$A:$A, 0))-INDEX('UA-normalized'!$E:$E, MATCH($A3, 'UA-normalized'!$A:$A, 0))&gt;0, -(12*INDEX('UA-normalized'!$D:$D, MATCH($A3, 'UA-normalized'!$A:$A, 0))-INDEX('UA-normalized'!$E:$E, MATCH($A3, 'UA-normalized'!$A:$A, 0))), 0), 0))+(IFERROR(IF(12*INDEX('KZ-normalized'!$D:$D, MATCH($A3, 'KZ-normalized'!$A:$A, 0))-INDEX('KZ-normalized'!$E:$E, MATCH($A3, 'KZ-normalized'!$A:$A, 0))&gt;0, -(12*INDEX('KZ-normalized'!$D:$D, MATCH($A3, 'KZ-normalized'!$A:$A, 0))-INDEX('KZ-normalized'!$E:$E, MATCH($A3, 'KZ-normalized'!$A:$A, 0))), 0), 0))+(IFERROR(IF(12*INDEX('UZ-normalized'!$D:$D, MATCH($A3, 'UZ-normalized'!$A:$A, 0))-INDEX('UZ-normalized'!$E:$E, MATCH($A3, 'UZ-normalized'!$A:$A, 0))&gt;0, -(12*INDEX('UZ-normalized'!$D:$D, MATCH($A3, 'UZ-normalized'!$A:$A, 0))-INDEX('UZ-normalized'!$E:$E, MATCH($A3, 'UZ-normalized'!$A:$A, 0))), 0), 0)))</f>
        <v>-88</v>
      </c>
      <c r="AA3" s="6">
        <f>MIN(0, N3+(IFERROR(IF(13*INDEX('UA-normalized'!$D:$D, MATCH($A3, 'UA-normalized'!$A:$A, 0))-INDEX('UA-normalized'!$E:$E, MATCH($A3, 'UA-normalized'!$A:$A, 0))&gt;0, -(13*INDEX('UA-normalized'!$D:$D, MATCH($A3, 'UA-normalized'!$A:$A, 0))-INDEX('UA-normalized'!$E:$E, MATCH($A3, 'UA-normalized'!$A:$A, 0))), 0), 0))+(IFERROR(IF(13*INDEX('KZ-normalized'!$D:$D, MATCH($A3, 'KZ-normalized'!$A:$A, 0))-INDEX('KZ-normalized'!$E:$E, MATCH($A3, 'KZ-normalized'!$A:$A, 0))&gt;0, -(13*INDEX('KZ-normalized'!$D:$D, MATCH($A3, 'KZ-normalized'!$A:$A, 0))-INDEX('KZ-normalized'!$E:$E, MATCH($A3, 'KZ-normalized'!$A:$A, 0))), 0), 0))+(IFERROR(IF(13*INDEX('UZ-normalized'!$D:$D, MATCH($A3, 'UZ-normalized'!$A:$A, 0))-INDEX('UZ-normalized'!$E:$E, MATCH($A3, 'UZ-normalized'!$A:$A, 0))&gt;0, -(13*INDEX('UZ-normalized'!$D:$D, MATCH($A3, 'UZ-normalized'!$A:$A, 0))-INDEX('UZ-normalized'!$E:$E, MATCH($A3, 'UZ-normalized'!$A:$A, 0))), 0), 0)))</f>
        <v>-102</v>
      </c>
      <c r="AB3" s="6">
        <f>MIN(0, N3+(IFERROR(IF(14*INDEX('UA-normalized'!$D:$D, MATCH($A3, 'UA-normalized'!$A:$A, 0))-INDEX('UA-normalized'!$E:$E, MATCH($A3, 'UA-normalized'!$A:$A, 0))&gt;0, -(14*INDEX('UA-normalized'!$D:$D, MATCH($A3, 'UA-normalized'!$A:$A, 0))-INDEX('UA-normalized'!$E:$E, MATCH($A3, 'UA-normalized'!$A:$A, 0))), 0), 0))+(IFERROR(IF(14*INDEX('KZ-normalized'!$D:$D, MATCH($A3, 'KZ-normalized'!$A:$A, 0))-INDEX('KZ-normalized'!$E:$E, MATCH($A3, 'KZ-normalized'!$A:$A, 0))&gt;0, -(14*INDEX('KZ-normalized'!$D:$D, MATCH($A3, 'KZ-normalized'!$A:$A, 0))-INDEX('KZ-normalized'!$E:$E, MATCH($A3, 'KZ-normalized'!$A:$A, 0))), 0), 0))+(IFERROR(IF(14*INDEX('UZ-normalized'!$D:$D, MATCH($A3, 'UZ-normalized'!$A:$A, 0))-INDEX('UZ-normalized'!$E:$E, MATCH($A3, 'UZ-normalized'!$A:$A, 0))&gt;0, -(14*INDEX('UZ-normalized'!$D:$D, MATCH($A3, 'UZ-normalized'!$A:$A, 0))-INDEX('UZ-normalized'!$E:$E, MATCH($A3, 'UZ-normalized'!$A:$A, 0))), 0), 0)))</f>
        <v>-116</v>
      </c>
      <c r="AC3" s="6">
        <f>MIN(0, N3+(IFERROR(IF(15*INDEX('UA-normalized'!$D:$D, MATCH($A3, 'UA-normalized'!$A:$A, 0))-INDEX('UA-normalized'!$E:$E, MATCH($A3, 'UA-normalized'!$A:$A, 0))&gt;0, -(15*INDEX('UA-normalized'!$D:$D, MATCH($A3, 'UA-normalized'!$A:$A, 0))-INDEX('UA-normalized'!$E:$E, MATCH($A3, 'UA-normalized'!$A:$A, 0))), 0), 0))+(IFERROR(IF(15*INDEX('KZ-normalized'!$D:$D, MATCH($A3, 'KZ-normalized'!$A:$A, 0))-INDEX('KZ-normalized'!$E:$E, MATCH($A3, 'KZ-normalized'!$A:$A, 0))&gt;0, -(15*INDEX('KZ-normalized'!$D:$D, MATCH($A3, 'KZ-normalized'!$A:$A, 0))-INDEX('KZ-normalized'!$E:$E, MATCH($A3, 'KZ-normalized'!$A:$A, 0))), 0), 0))+(IFERROR(IF(15*INDEX('UZ-normalized'!$D:$D, MATCH($A3, 'UZ-normalized'!$A:$A, 0))-INDEX('UZ-normalized'!$E:$E, MATCH($A3, 'UZ-normalized'!$A:$A, 0))&gt;0, -(15*INDEX('UZ-normalized'!$D:$D, MATCH($A3, 'UZ-normalized'!$A:$A, 0))-INDEX('UZ-normalized'!$E:$E, MATCH($A3, 'UZ-normalized'!$A:$A, 0))), 0), 0)))</f>
        <v>-130</v>
      </c>
      <c r="AD3" s="6">
        <f>MIN(0, N3+(IFERROR(IF(16*INDEX('UA-normalized'!$D:$D, MATCH($A3, 'UA-normalized'!$A:$A, 0))-INDEX('UA-normalized'!$E:$E, MATCH($A3, 'UA-normalized'!$A:$A, 0))&gt;0, -(16*INDEX('UA-normalized'!$D:$D, MATCH($A3, 'UA-normalized'!$A:$A, 0))-INDEX('UA-normalized'!$E:$E, MATCH($A3, 'UA-normalized'!$A:$A, 0))), 0), 0))+(IFERROR(IF(16*INDEX('KZ-normalized'!$D:$D, MATCH($A3, 'KZ-normalized'!$A:$A, 0))-INDEX('KZ-normalized'!$E:$E, MATCH($A3, 'KZ-normalized'!$A:$A, 0))&gt;0, -(16*INDEX('KZ-normalized'!$D:$D, MATCH($A3, 'KZ-normalized'!$A:$A, 0))-INDEX('KZ-normalized'!$E:$E, MATCH($A3, 'KZ-normalized'!$A:$A, 0))), 0), 0))+(IFERROR(IF(16*INDEX('UZ-normalized'!$D:$D, MATCH($A3, 'UZ-normalized'!$A:$A, 0))-INDEX('UZ-normalized'!$E:$E, MATCH($A3, 'UZ-normalized'!$A:$A, 0))&gt;0, -(16*INDEX('UZ-normalized'!$D:$D, MATCH($A3, 'UZ-normalized'!$A:$A, 0))-INDEX('UZ-normalized'!$E:$E, MATCH($A3, 'UZ-normalized'!$A:$A, 0))), 0), 0)))</f>
        <v>-144</v>
      </c>
      <c r="AE3" s="6">
        <f>MIN(0, N3+(IFERROR(IF(17*INDEX('UA-normalized'!$D:$D, MATCH($A3, 'UA-normalized'!$A:$A, 0))-INDEX('UA-normalized'!$E:$E, MATCH($A3, 'UA-normalized'!$A:$A, 0))&gt;0, -(17*INDEX('UA-normalized'!$D:$D, MATCH($A3, 'UA-normalized'!$A:$A, 0))-INDEX('UA-normalized'!$E:$E, MATCH($A3, 'UA-normalized'!$A:$A, 0))), 0), 0))+(IFERROR(IF(17*INDEX('KZ-normalized'!$D:$D, MATCH($A3, 'KZ-normalized'!$A:$A, 0))-INDEX('KZ-normalized'!$E:$E, MATCH($A3, 'KZ-normalized'!$A:$A, 0))&gt;0, -(17*INDEX('KZ-normalized'!$D:$D, MATCH($A3, 'KZ-normalized'!$A:$A, 0))-INDEX('KZ-normalized'!$E:$E, MATCH($A3, 'KZ-normalized'!$A:$A, 0))), 0), 0))+(IFERROR(IF(17*INDEX('UZ-normalized'!$D:$D, MATCH($A3, 'UZ-normalized'!$A:$A, 0))-INDEX('UZ-normalized'!$E:$E, MATCH($A3, 'UZ-normalized'!$A:$A, 0))&gt;0, -(17*INDEX('UZ-normalized'!$D:$D, MATCH($A3, 'UZ-normalized'!$A:$A, 0))-INDEX('UZ-normalized'!$E:$E, MATCH($A3, 'UZ-normalized'!$A:$A, 0))), 0), 0)))</f>
        <v>-158</v>
      </c>
      <c r="AF3" s="6">
        <f>MIN(0, N3+(IFERROR(IF(18*INDEX('UA-normalized'!$D:$D, MATCH($A3, 'UA-normalized'!$A:$A, 0))-INDEX('UA-normalized'!$E:$E, MATCH($A3, 'UA-normalized'!$A:$A, 0))&gt;0, -(18*INDEX('UA-normalized'!$D:$D, MATCH($A3, 'UA-normalized'!$A:$A, 0))-INDEX('UA-normalized'!$E:$E, MATCH($A3, 'UA-normalized'!$A:$A, 0))), 0), 0))+(IFERROR(IF(18*INDEX('KZ-normalized'!$D:$D, MATCH($A3, 'KZ-normalized'!$A:$A, 0))-INDEX('KZ-normalized'!$E:$E, MATCH($A3, 'KZ-normalized'!$A:$A, 0))&gt;0, -(18*INDEX('KZ-normalized'!$D:$D, MATCH($A3, 'KZ-normalized'!$A:$A, 0))-INDEX('KZ-normalized'!$E:$E, MATCH($A3, 'KZ-normalized'!$A:$A, 0))), 0), 0))+(IFERROR(IF(18*INDEX('UZ-normalized'!$D:$D, MATCH($A3, 'UZ-normalized'!$A:$A, 0))-INDEX('UZ-normalized'!$E:$E, MATCH($A3, 'UZ-normalized'!$A:$A, 0))&gt;0, -(18*INDEX('UZ-normalized'!$D:$D, MATCH($A3, 'UZ-normalized'!$A:$A, 0))-INDEX('UZ-normalized'!$E:$E, MATCH($A3, 'UZ-normalized'!$A:$A, 0))), 0), 0)))</f>
        <v>-172</v>
      </c>
      <c r="AG3" s="6">
        <f>MIN(0, N3+(IFERROR(IF(19*INDEX('UA-normalized'!$D:$D, MATCH($A3, 'UA-normalized'!$A:$A, 0))-INDEX('UA-normalized'!$E:$E, MATCH($A3, 'UA-normalized'!$A:$A, 0))&gt;0, -(19*INDEX('UA-normalized'!$D:$D, MATCH($A3, 'UA-normalized'!$A:$A, 0))-INDEX('UA-normalized'!$E:$E, MATCH($A3, 'UA-normalized'!$A:$A, 0))), 0), 0))+(IFERROR(IF(19*INDEX('KZ-normalized'!$D:$D, MATCH($A3, 'KZ-normalized'!$A:$A, 0))-INDEX('KZ-normalized'!$E:$E, MATCH($A3, 'KZ-normalized'!$A:$A, 0))&gt;0, -(19*INDEX('KZ-normalized'!$D:$D, MATCH($A3, 'KZ-normalized'!$A:$A, 0))-INDEX('KZ-normalized'!$E:$E, MATCH($A3, 'KZ-normalized'!$A:$A, 0))), 0), 0))+(IFERROR(IF(19*INDEX('UZ-normalized'!$D:$D, MATCH($A3, 'UZ-normalized'!$A:$A, 0))-INDEX('UZ-normalized'!$E:$E, MATCH($A3, 'UZ-normalized'!$A:$A, 0))&gt;0, -(19*INDEX('UZ-normalized'!$D:$D, MATCH($A3, 'UZ-normalized'!$A:$A, 0))-INDEX('UZ-normalized'!$E:$E, MATCH($A3, 'UZ-normalized'!$A:$A, 0))), 0), 0)))</f>
        <v>-186</v>
      </c>
      <c r="AH3" s="6">
        <f>MIN(0, N3+(IFERROR(IF(20*INDEX('UA-normalized'!$D:$D, MATCH($A3, 'UA-normalized'!$A:$A, 0))-INDEX('UA-normalized'!$E:$E, MATCH($A3, 'UA-normalized'!$A:$A, 0))&gt;0, -(20*INDEX('UA-normalized'!$D:$D, MATCH($A3, 'UA-normalized'!$A:$A, 0))-INDEX('UA-normalized'!$E:$E, MATCH($A3, 'UA-normalized'!$A:$A, 0))), 0), 0))+(IFERROR(IF(20*INDEX('KZ-normalized'!$D:$D, MATCH($A3, 'KZ-normalized'!$A:$A, 0))-INDEX('KZ-normalized'!$E:$E, MATCH($A3, 'KZ-normalized'!$A:$A, 0))&gt;0, -(20*INDEX('KZ-normalized'!$D:$D, MATCH($A3, 'KZ-normalized'!$A:$A, 0))-INDEX('KZ-normalized'!$E:$E, MATCH($A3, 'KZ-normalized'!$A:$A, 0))), 0), 0))+(IFERROR(IF(20*INDEX('UZ-normalized'!$D:$D, MATCH($A3, 'UZ-normalized'!$A:$A, 0))-INDEX('UZ-normalized'!$E:$E, MATCH($A3, 'UZ-normalized'!$A:$A, 0))&gt;0, -(20*INDEX('UZ-normalized'!$D:$D, MATCH($A3, 'UZ-normalized'!$A:$A, 0))-INDEX('UZ-normalized'!$E:$E, MATCH($A3, 'UZ-normalized'!$A:$A, 0))), 0), 0)))</f>
        <v>-200</v>
      </c>
      <c r="AI3" s="6">
        <f>MIN(0, N3+(IFERROR(IF(21*INDEX('UA-normalized'!$D:$D, MATCH($A3, 'UA-normalized'!$A:$A, 0))-INDEX('UA-normalized'!$E:$E, MATCH($A3, 'UA-normalized'!$A:$A, 0))&gt;0, -(21*INDEX('UA-normalized'!$D:$D, MATCH($A3, 'UA-normalized'!$A:$A, 0))-INDEX('UA-normalized'!$E:$E, MATCH($A3, 'UA-normalized'!$A:$A, 0))), 0), 0))+(IFERROR(IF(21*INDEX('KZ-normalized'!$D:$D, MATCH($A3, 'KZ-normalized'!$A:$A, 0))-INDEX('KZ-normalized'!$E:$E, MATCH($A3, 'KZ-normalized'!$A:$A, 0))&gt;0, -(21*INDEX('KZ-normalized'!$D:$D, MATCH($A3, 'KZ-normalized'!$A:$A, 0))-INDEX('KZ-normalized'!$E:$E, MATCH($A3, 'KZ-normalized'!$A:$A, 0))), 0), 0))+(IFERROR(IF(21*INDEX('UZ-normalized'!$D:$D, MATCH($A3, 'UZ-normalized'!$A:$A, 0))-INDEX('UZ-normalized'!$E:$E, MATCH($A3, 'UZ-normalized'!$A:$A, 0))&gt;0, -(21*INDEX('UZ-normalized'!$D:$D, MATCH($A3, 'UZ-normalized'!$A:$A, 0))-INDEX('UZ-normalized'!$E:$E, MATCH($A3, 'UZ-normalized'!$A:$A, 0))), 0), 0)))</f>
        <v>-214</v>
      </c>
      <c r="AJ3" s="6">
        <f>MIN(0, N3+(IFERROR(IF(22*INDEX('UA-normalized'!$D:$D, MATCH($A3, 'UA-normalized'!$A:$A, 0))-INDEX('UA-normalized'!$E:$E, MATCH($A3, 'UA-normalized'!$A:$A, 0))&gt;0, -(22*INDEX('UA-normalized'!$D:$D, MATCH($A3, 'UA-normalized'!$A:$A, 0))-INDEX('UA-normalized'!$E:$E, MATCH($A3, 'UA-normalized'!$A:$A, 0))), 0), 0))+(IFERROR(IF(22*INDEX('KZ-normalized'!$D:$D, MATCH($A3, 'KZ-normalized'!$A:$A, 0))-INDEX('KZ-normalized'!$E:$E, MATCH($A3, 'KZ-normalized'!$A:$A, 0))&gt;0, -(22*INDEX('KZ-normalized'!$D:$D, MATCH($A3, 'KZ-normalized'!$A:$A, 0))-INDEX('KZ-normalized'!$E:$E, MATCH($A3, 'KZ-normalized'!$A:$A, 0))), 0), 0))+(IFERROR(IF(22*INDEX('UZ-normalized'!$D:$D, MATCH($A3, 'UZ-normalized'!$A:$A, 0))-INDEX('UZ-normalized'!$E:$E, MATCH($A3, 'UZ-normalized'!$A:$A, 0))&gt;0, -(22*INDEX('UZ-normalized'!$D:$D, MATCH($A3, 'UZ-normalized'!$A:$A, 0))-INDEX('UZ-normalized'!$E:$E, MATCH($A3, 'UZ-normalized'!$A:$A, 0))), 0), 0)))</f>
        <v>-228</v>
      </c>
      <c r="AK3" s="6">
        <f>MIN(0, N3+(IFERROR(IF(23*INDEX('UA-normalized'!$D:$D, MATCH($A3, 'UA-normalized'!$A:$A, 0))-INDEX('UA-normalized'!$E:$E, MATCH($A3, 'UA-normalized'!$A:$A, 0))&gt;0, -(23*INDEX('UA-normalized'!$D:$D, MATCH($A3, 'UA-normalized'!$A:$A, 0))-INDEX('UA-normalized'!$E:$E, MATCH($A3, 'UA-normalized'!$A:$A, 0))), 0), 0))+(IFERROR(IF(23*INDEX('KZ-normalized'!$D:$D, MATCH($A3, 'KZ-normalized'!$A:$A, 0))-INDEX('KZ-normalized'!$E:$E, MATCH($A3, 'KZ-normalized'!$A:$A, 0))&gt;0, -(23*INDEX('KZ-normalized'!$D:$D, MATCH($A3, 'KZ-normalized'!$A:$A, 0))-INDEX('KZ-normalized'!$E:$E, MATCH($A3, 'KZ-normalized'!$A:$A, 0))), 0), 0))+(IFERROR(IF(23*INDEX('UZ-normalized'!$D:$D, MATCH($A3, 'UZ-normalized'!$A:$A, 0))-INDEX('UZ-normalized'!$E:$E, MATCH($A3, 'UZ-normalized'!$A:$A, 0))&gt;0, -(23*INDEX('UZ-normalized'!$D:$D, MATCH($A3, 'UZ-normalized'!$A:$A, 0))-INDEX('UZ-normalized'!$E:$E, MATCH($A3, 'UZ-normalized'!$A:$A, 0))), 0), 0)))</f>
        <v>-242</v>
      </c>
      <c r="AL3" s="6">
        <f>MIN(0, N3+(IFERROR(IF(24*INDEX('UA-normalized'!$D:$D, MATCH($A3, 'UA-normalized'!$A:$A, 0))-INDEX('UA-normalized'!$E:$E, MATCH($A3, 'UA-normalized'!$A:$A, 0))&gt;0, -(24*INDEX('UA-normalized'!$D:$D, MATCH($A3, 'UA-normalized'!$A:$A, 0))-INDEX('UA-normalized'!$E:$E, MATCH($A3, 'UA-normalized'!$A:$A, 0))), 0), 0))+(IFERROR(IF(24*INDEX('KZ-normalized'!$D:$D, MATCH($A3, 'KZ-normalized'!$A:$A, 0))-INDEX('KZ-normalized'!$E:$E, MATCH($A3, 'KZ-normalized'!$A:$A, 0))&gt;0, -(24*INDEX('KZ-normalized'!$D:$D, MATCH($A3, 'KZ-normalized'!$A:$A, 0))-INDEX('KZ-normalized'!$E:$E, MATCH($A3, 'KZ-normalized'!$A:$A, 0))), 0), 0))+(IFERROR(IF(24*INDEX('UZ-normalized'!$D:$D, MATCH($A3, 'UZ-normalized'!$A:$A, 0))-INDEX('UZ-normalized'!$E:$E, MATCH($A3, 'UZ-normalized'!$A:$A, 0))&gt;0, -(24*INDEX('UZ-normalized'!$D:$D, MATCH($A3, 'UZ-normalized'!$A:$A, 0))-INDEX('UZ-normalized'!$E:$E, MATCH($A3, 'UZ-normalized'!$A:$A, 0))), 0), 0)))</f>
        <v>-256</v>
      </c>
      <c r="AM3" s="6">
        <f>MIN(0, N3+(IFERROR(IF(25*INDEX('UA-normalized'!$D:$D, MATCH($A3, 'UA-normalized'!$A:$A, 0))-INDEX('UA-normalized'!$E:$E, MATCH($A3, 'UA-normalized'!$A:$A, 0))&gt;0, -(25*INDEX('UA-normalized'!$D:$D, MATCH($A3, 'UA-normalized'!$A:$A, 0))-INDEX('UA-normalized'!$E:$E, MATCH($A3, 'UA-normalized'!$A:$A, 0))), 0), 0))+(IFERROR(IF(25*INDEX('KZ-normalized'!$D:$D, MATCH($A3, 'KZ-normalized'!$A:$A, 0))-INDEX('KZ-normalized'!$E:$E, MATCH($A3, 'KZ-normalized'!$A:$A, 0))&gt;0, -(25*INDEX('KZ-normalized'!$D:$D, MATCH($A3, 'KZ-normalized'!$A:$A, 0))-INDEX('KZ-normalized'!$E:$E, MATCH($A3, 'KZ-normalized'!$A:$A, 0))), 0), 0))+(IFERROR(IF(25*INDEX('UZ-normalized'!$D:$D, MATCH($A3, 'UZ-normalized'!$A:$A, 0))-INDEX('UZ-normalized'!$E:$E, MATCH($A3, 'UZ-normalized'!$A:$A, 0))&gt;0, -(25*INDEX('UZ-normalized'!$D:$D, MATCH($A3, 'UZ-normalized'!$A:$A, 0))-INDEX('UZ-normalized'!$E:$E, MATCH($A3, 'UZ-normalized'!$A:$A, 0))), 0), 0)))</f>
        <v>-270</v>
      </c>
      <c r="AN3" s="6">
        <f>MIN(0, N3+(IFERROR(IF(26*INDEX('UA-normalized'!$D:$D, MATCH($A3, 'UA-normalized'!$A:$A, 0))-INDEX('UA-normalized'!$E:$E, MATCH($A3, 'UA-normalized'!$A:$A, 0))&gt;0, -(26*INDEX('UA-normalized'!$D:$D, MATCH($A3, 'UA-normalized'!$A:$A, 0))-INDEX('UA-normalized'!$E:$E, MATCH($A3, 'UA-normalized'!$A:$A, 0))), 0), 0))+(IFERROR(IF(26*INDEX('KZ-normalized'!$D:$D, MATCH($A3, 'KZ-normalized'!$A:$A, 0))-INDEX('KZ-normalized'!$E:$E, MATCH($A3, 'KZ-normalized'!$A:$A, 0))&gt;0, -(26*INDEX('KZ-normalized'!$D:$D, MATCH($A3, 'KZ-normalized'!$A:$A, 0))-INDEX('KZ-normalized'!$E:$E, MATCH($A3, 'KZ-normalized'!$A:$A, 0))), 0), 0))+(IFERROR(IF(26*INDEX('UZ-normalized'!$D:$D, MATCH($A3, 'UZ-normalized'!$A:$A, 0))-INDEX('UZ-normalized'!$E:$E, MATCH($A3, 'UZ-normalized'!$A:$A, 0))&gt;0, -(26*INDEX('UZ-normalized'!$D:$D, MATCH($A3, 'UZ-normalized'!$A:$A, 0))-INDEX('UZ-normalized'!$E:$E, MATCH($A3, 'UZ-normalized'!$A:$A, 0))), 0), 0)))</f>
        <v>-284</v>
      </c>
      <c r="AO3" s="6">
        <f>MIN(0, N3+(IFERROR(IF(27*INDEX('UA-normalized'!$D:$D, MATCH($A3, 'UA-normalized'!$A:$A, 0))-INDEX('UA-normalized'!$E:$E, MATCH($A3, 'UA-normalized'!$A:$A, 0))&gt;0, -(27*INDEX('UA-normalized'!$D:$D, MATCH($A3, 'UA-normalized'!$A:$A, 0))-INDEX('UA-normalized'!$E:$E, MATCH($A3, 'UA-normalized'!$A:$A, 0))), 0), 0))+(IFERROR(IF(27*INDEX('KZ-normalized'!$D:$D, MATCH($A3, 'KZ-normalized'!$A:$A, 0))-INDEX('KZ-normalized'!$E:$E, MATCH($A3, 'KZ-normalized'!$A:$A, 0))&gt;0, -(27*INDEX('KZ-normalized'!$D:$D, MATCH($A3, 'KZ-normalized'!$A:$A, 0))-INDEX('KZ-normalized'!$E:$E, MATCH($A3, 'KZ-normalized'!$A:$A, 0))), 0), 0))+(IFERROR(IF(27*INDEX('UZ-normalized'!$D:$D, MATCH($A3, 'UZ-normalized'!$A:$A, 0))-INDEX('UZ-normalized'!$E:$E, MATCH($A3, 'UZ-normalized'!$A:$A, 0))&gt;0, -(27*INDEX('UZ-normalized'!$D:$D, MATCH($A3, 'UZ-normalized'!$A:$A, 0))-INDEX('UZ-normalized'!$E:$E, MATCH($A3, 'UZ-normalized'!$A:$A, 0))), 0), 0)))</f>
        <v>-298</v>
      </c>
      <c r="AP3" s="6">
        <f>MIN(0, N3+(IFERROR(IF(28*INDEX('UA-normalized'!$D:$D, MATCH($A3, 'UA-normalized'!$A:$A, 0))-INDEX('UA-normalized'!$E:$E, MATCH($A3, 'UA-normalized'!$A:$A, 0))&gt;0, -(28*INDEX('UA-normalized'!$D:$D, MATCH($A3, 'UA-normalized'!$A:$A, 0))-INDEX('UA-normalized'!$E:$E, MATCH($A3, 'UA-normalized'!$A:$A, 0))), 0), 0))+(IFERROR(IF(28*INDEX('KZ-normalized'!$D:$D, MATCH($A3, 'KZ-normalized'!$A:$A, 0))-INDEX('KZ-normalized'!$E:$E, MATCH($A3, 'KZ-normalized'!$A:$A, 0))&gt;0, -(28*INDEX('KZ-normalized'!$D:$D, MATCH($A3, 'KZ-normalized'!$A:$A, 0))-INDEX('KZ-normalized'!$E:$E, MATCH($A3, 'KZ-normalized'!$A:$A, 0))), 0), 0))+(IFERROR(IF(28*INDEX('UZ-normalized'!$D:$D, MATCH($A3, 'UZ-normalized'!$A:$A, 0))-INDEX('UZ-normalized'!$E:$E, MATCH($A3, 'UZ-normalized'!$A:$A, 0))&gt;0, -(28*INDEX('UZ-normalized'!$D:$D, MATCH($A3, 'UZ-normalized'!$A:$A, 0))-INDEX('UZ-normalized'!$E:$E, MATCH($A3, 'UZ-normalized'!$A:$A, 0))), 0), 0)))</f>
        <v>-312</v>
      </c>
      <c r="AQ3" s="6">
        <f>MIN(0, N3+(IFERROR(IF(29*INDEX('UA-normalized'!$D:$D, MATCH($A3, 'UA-normalized'!$A:$A, 0))-INDEX('UA-normalized'!$E:$E, MATCH($A3, 'UA-normalized'!$A:$A, 0))&gt;0, -(29*INDEX('UA-normalized'!$D:$D, MATCH($A3, 'UA-normalized'!$A:$A, 0))-INDEX('UA-normalized'!$E:$E, MATCH($A3, 'UA-normalized'!$A:$A, 0))), 0), 0))+(IFERROR(IF(29*INDEX('KZ-normalized'!$D:$D, MATCH($A3, 'KZ-normalized'!$A:$A, 0))-INDEX('KZ-normalized'!$E:$E, MATCH($A3, 'KZ-normalized'!$A:$A, 0))&gt;0, -(29*INDEX('KZ-normalized'!$D:$D, MATCH($A3, 'KZ-normalized'!$A:$A, 0))-INDEX('KZ-normalized'!$E:$E, MATCH($A3, 'KZ-normalized'!$A:$A, 0))), 0), 0))+(IFERROR(IF(29*INDEX('UZ-normalized'!$D:$D, MATCH($A3, 'UZ-normalized'!$A:$A, 0))-INDEX('UZ-normalized'!$E:$E, MATCH($A3, 'UZ-normalized'!$A:$A, 0))&gt;0, -(29*INDEX('UZ-normalized'!$D:$D, MATCH($A3, 'UZ-normalized'!$A:$A, 0))-INDEX('UZ-normalized'!$E:$E, MATCH($A3, 'UZ-normalized'!$A:$A, 0))), 0), 0)))</f>
        <v>-326</v>
      </c>
      <c r="AR3" s="6">
        <f>MIN(0, N3+(IFERROR(IF(30*INDEX('UA-normalized'!$D:$D, MATCH($A3, 'UA-normalized'!$A:$A, 0))-INDEX('UA-normalized'!$E:$E, MATCH($A3, 'UA-normalized'!$A:$A, 0))&gt;0, -(30*INDEX('UA-normalized'!$D:$D, MATCH($A3, 'UA-normalized'!$A:$A, 0))-INDEX('UA-normalized'!$E:$E, MATCH($A3, 'UA-normalized'!$A:$A, 0))), 0), 0))+(IFERROR(IF(30*INDEX('KZ-normalized'!$D:$D, MATCH($A3, 'KZ-normalized'!$A:$A, 0))-INDEX('KZ-normalized'!$E:$E, MATCH($A3, 'KZ-normalized'!$A:$A, 0))&gt;0, -(30*INDEX('KZ-normalized'!$D:$D, MATCH($A3, 'KZ-normalized'!$A:$A, 0))-INDEX('KZ-normalized'!$E:$E, MATCH($A3, 'KZ-normalized'!$A:$A, 0))), 0), 0))+(IFERROR(IF(30*INDEX('UZ-normalized'!$D:$D, MATCH($A3, 'UZ-normalized'!$A:$A, 0))-INDEX('UZ-normalized'!$E:$E, MATCH($A3, 'UZ-normalized'!$A:$A, 0))&gt;0, -(30*INDEX('UZ-normalized'!$D:$D, MATCH($A3, 'UZ-normalized'!$A:$A, 0))-INDEX('UZ-normalized'!$E:$E, MATCH($A3, 'UZ-normalized'!$A:$A, 0))), 0), 0)))</f>
        <v>-340</v>
      </c>
    </row>
    <row r="4" spans="1:44" x14ac:dyDescent="0.25">
      <c r="A4" s="8" t="s">
        <v>50</v>
      </c>
      <c r="B4" s="8" t="s">
        <v>45</v>
      </c>
      <c r="C4" s="8" t="s">
        <v>46</v>
      </c>
      <c r="D4" s="8" t="s">
        <v>51</v>
      </c>
      <c r="N4">
        <f t="shared" si="0"/>
        <v>0</v>
      </c>
      <c r="O4" s="6">
        <f>MIN(0, N4+(IFERROR(IF(1*INDEX('UA-normalized'!$D:$D, MATCH($A4, 'UA-normalized'!$A:$A, 0))-INDEX('UA-normalized'!$E:$E, MATCH($A4, 'UA-normalized'!$A:$A, 0))&gt;0, -(1*INDEX('UA-normalized'!$D:$D, MATCH($A4, 'UA-normalized'!$A:$A, 0))-INDEX('UA-normalized'!$E:$E, MATCH($A4, 'UA-normalized'!$A:$A, 0))), 0), 0))+(IFERROR(IF(1*INDEX('KZ-normalized'!$D:$D, MATCH($A4, 'KZ-normalized'!$A:$A, 0))-INDEX('KZ-normalized'!$E:$E, MATCH($A4, 'KZ-normalized'!$A:$A, 0))&gt;0, -(1*INDEX('KZ-normalized'!$D:$D, MATCH($A4, 'KZ-normalized'!$A:$A, 0))-INDEX('KZ-normalized'!$E:$E, MATCH($A4, 'KZ-normalized'!$A:$A, 0))), 0), 0))+(IFERROR(IF(1*INDEX('UZ-normalized'!$D:$D, MATCH($A4, 'UZ-normalized'!$A:$A, 0))-INDEX('UZ-normalized'!$E:$E, MATCH($A4, 'UZ-normalized'!$A:$A, 0))&gt;0, -(1*INDEX('UZ-normalized'!$D:$D, MATCH($A4, 'UZ-normalized'!$A:$A, 0))-INDEX('UZ-normalized'!$E:$E, MATCH($A4, 'UZ-normalized'!$A:$A, 0))), 0), 0)))</f>
        <v>0</v>
      </c>
      <c r="P4" s="6">
        <f>MIN(0, N4+(IFERROR(IF(2*INDEX('UA-normalized'!$D:$D, MATCH($A4, 'UA-normalized'!$A:$A, 0))-INDEX('UA-normalized'!$E:$E, MATCH($A4, 'UA-normalized'!$A:$A, 0))&gt;0, -(2*INDEX('UA-normalized'!$D:$D, MATCH($A4, 'UA-normalized'!$A:$A, 0))-INDEX('UA-normalized'!$E:$E, MATCH($A4, 'UA-normalized'!$A:$A, 0))), 0), 0))+(IFERROR(IF(2*INDEX('KZ-normalized'!$D:$D, MATCH($A4, 'KZ-normalized'!$A:$A, 0))-INDEX('KZ-normalized'!$E:$E, MATCH($A4, 'KZ-normalized'!$A:$A, 0))&gt;0, -(2*INDEX('KZ-normalized'!$D:$D, MATCH($A4, 'KZ-normalized'!$A:$A, 0))-INDEX('KZ-normalized'!$E:$E, MATCH($A4, 'KZ-normalized'!$A:$A, 0))), 0), 0))+(IFERROR(IF(2*INDEX('UZ-normalized'!$D:$D, MATCH($A4, 'UZ-normalized'!$A:$A, 0))-INDEX('UZ-normalized'!$E:$E, MATCH($A4, 'UZ-normalized'!$A:$A, 0))&gt;0, -(2*INDEX('UZ-normalized'!$D:$D, MATCH($A4, 'UZ-normalized'!$A:$A, 0))-INDEX('UZ-normalized'!$E:$E, MATCH($A4, 'UZ-normalized'!$A:$A, 0))), 0), 0)))</f>
        <v>0</v>
      </c>
      <c r="Q4" s="6">
        <f>MIN(0, N4+(IFERROR(IF(3*INDEX('UA-normalized'!$D:$D, MATCH($A4, 'UA-normalized'!$A:$A, 0))-INDEX('UA-normalized'!$E:$E, MATCH($A4, 'UA-normalized'!$A:$A, 0))&gt;0, -(3*INDEX('UA-normalized'!$D:$D, MATCH($A4, 'UA-normalized'!$A:$A, 0))-INDEX('UA-normalized'!$E:$E, MATCH($A4, 'UA-normalized'!$A:$A, 0))), 0), 0))+(IFERROR(IF(3*INDEX('KZ-normalized'!$D:$D, MATCH($A4, 'KZ-normalized'!$A:$A, 0))-INDEX('KZ-normalized'!$E:$E, MATCH($A4, 'KZ-normalized'!$A:$A, 0))&gt;0, -(3*INDEX('KZ-normalized'!$D:$D, MATCH($A4, 'KZ-normalized'!$A:$A, 0))-INDEX('KZ-normalized'!$E:$E, MATCH($A4, 'KZ-normalized'!$A:$A, 0))), 0), 0))+(IFERROR(IF(3*INDEX('UZ-normalized'!$D:$D, MATCH($A4, 'UZ-normalized'!$A:$A, 0))-INDEX('UZ-normalized'!$E:$E, MATCH($A4, 'UZ-normalized'!$A:$A, 0))&gt;0, -(3*INDEX('UZ-normalized'!$D:$D, MATCH($A4, 'UZ-normalized'!$A:$A, 0))-INDEX('UZ-normalized'!$E:$E, MATCH($A4, 'UZ-normalized'!$A:$A, 0))), 0), 0)))</f>
        <v>0</v>
      </c>
      <c r="R4" s="6">
        <f>MIN(0, N4+(IFERROR(IF(4*INDEX('UA-normalized'!$D:$D, MATCH($A4, 'UA-normalized'!$A:$A, 0))-INDEX('UA-normalized'!$E:$E, MATCH($A4, 'UA-normalized'!$A:$A, 0))&gt;0, -(4*INDEX('UA-normalized'!$D:$D, MATCH($A4, 'UA-normalized'!$A:$A, 0))-INDEX('UA-normalized'!$E:$E, MATCH($A4, 'UA-normalized'!$A:$A, 0))), 0), 0))+(IFERROR(IF(4*INDEX('KZ-normalized'!$D:$D, MATCH($A4, 'KZ-normalized'!$A:$A, 0))-INDEX('KZ-normalized'!$E:$E, MATCH($A4, 'KZ-normalized'!$A:$A, 0))&gt;0, -(4*INDEX('KZ-normalized'!$D:$D, MATCH($A4, 'KZ-normalized'!$A:$A, 0))-INDEX('KZ-normalized'!$E:$E, MATCH($A4, 'KZ-normalized'!$A:$A, 0))), 0), 0))+(IFERROR(IF(4*INDEX('UZ-normalized'!$D:$D, MATCH($A4, 'UZ-normalized'!$A:$A, 0))-INDEX('UZ-normalized'!$E:$E, MATCH($A4, 'UZ-normalized'!$A:$A, 0))&gt;0, -(4*INDEX('UZ-normalized'!$D:$D, MATCH($A4, 'UZ-normalized'!$A:$A, 0))-INDEX('UZ-normalized'!$E:$E, MATCH($A4, 'UZ-normalized'!$A:$A, 0))), 0), 0)))</f>
        <v>-2</v>
      </c>
      <c r="S4" s="6">
        <f>MIN(0, N4+(IFERROR(IF(5*INDEX('UA-normalized'!$D:$D, MATCH($A4, 'UA-normalized'!$A:$A, 0))-INDEX('UA-normalized'!$E:$E, MATCH($A4, 'UA-normalized'!$A:$A, 0))&gt;0, -(5*INDEX('UA-normalized'!$D:$D, MATCH($A4, 'UA-normalized'!$A:$A, 0))-INDEX('UA-normalized'!$E:$E, MATCH($A4, 'UA-normalized'!$A:$A, 0))), 0), 0))+(IFERROR(IF(5*INDEX('KZ-normalized'!$D:$D, MATCH($A4, 'KZ-normalized'!$A:$A, 0))-INDEX('KZ-normalized'!$E:$E, MATCH($A4, 'KZ-normalized'!$A:$A, 0))&gt;0, -(5*INDEX('KZ-normalized'!$D:$D, MATCH($A4, 'KZ-normalized'!$A:$A, 0))-INDEX('KZ-normalized'!$E:$E, MATCH($A4, 'KZ-normalized'!$A:$A, 0))), 0), 0))+(IFERROR(IF(5*INDEX('UZ-normalized'!$D:$D, MATCH($A4, 'UZ-normalized'!$A:$A, 0))-INDEX('UZ-normalized'!$E:$E, MATCH($A4, 'UZ-normalized'!$A:$A, 0))&gt;0, -(5*INDEX('UZ-normalized'!$D:$D, MATCH($A4, 'UZ-normalized'!$A:$A, 0))-INDEX('UZ-normalized'!$E:$E, MATCH($A4, 'UZ-normalized'!$A:$A, 0))), 0), 0)))</f>
        <v>-16</v>
      </c>
      <c r="T4" s="6">
        <f>MIN(0, N4+(IFERROR(IF(6*INDEX('UA-normalized'!$D:$D, MATCH($A4, 'UA-normalized'!$A:$A, 0))-INDEX('UA-normalized'!$E:$E, MATCH($A4, 'UA-normalized'!$A:$A, 0))&gt;0, -(6*INDEX('UA-normalized'!$D:$D, MATCH($A4, 'UA-normalized'!$A:$A, 0))-INDEX('UA-normalized'!$E:$E, MATCH($A4, 'UA-normalized'!$A:$A, 0))), 0), 0))+(IFERROR(IF(6*INDEX('KZ-normalized'!$D:$D, MATCH($A4, 'KZ-normalized'!$A:$A, 0))-INDEX('KZ-normalized'!$E:$E, MATCH($A4, 'KZ-normalized'!$A:$A, 0))&gt;0, -(6*INDEX('KZ-normalized'!$D:$D, MATCH($A4, 'KZ-normalized'!$A:$A, 0))-INDEX('KZ-normalized'!$E:$E, MATCH($A4, 'KZ-normalized'!$A:$A, 0))), 0), 0))+(IFERROR(IF(6*INDEX('UZ-normalized'!$D:$D, MATCH($A4, 'UZ-normalized'!$A:$A, 0))-INDEX('UZ-normalized'!$E:$E, MATCH($A4, 'UZ-normalized'!$A:$A, 0))&gt;0, -(6*INDEX('UZ-normalized'!$D:$D, MATCH($A4, 'UZ-normalized'!$A:$A, 0))-INDEX('UZ-normalized'!$E:$E, MATCH($A4, 'UZ-normalized'!$A:$A, 0))), 0), 0)))</f>
        <v>-30</v>
      </c>
      <c r="U4" s="6">
        <f>MIN(0, N4+(IFERROR(IF(7*INDEX('UA-normalized'!$D:$D, MATCH($A4, 'UA-normalized'!$A:$A, 0))-INDEX('UA-normalized'!$E:$E, MATCH($A4, 'UA-normalized'!$A:$A, 0))&gt;0, -(7*INDEX('UA-normalized'!$D:$D, MATCH($A4, 'UA-normalized'!$A:$A, 0))-INDEX('UA-normalized'!$E:$E, MATCH($A4, 'UA-normalized'!$A:$A, 0))), 0), 0))+(IFERROR(IF(7*INDEX('KZ-normalized'!$D:$D, MATCH($A4, 'KZ-normalized'!$A:$A, 0))-INDEX('KZ-normalized'!$E:$E, MATCH($A4, 'KZ-normalized'!$A:$A, 0))&gt;0, -(7*INDEX('KZ-normalized'!$D:$D, MATCH($A4, 'KZ-normalized'!$A:$A, 0))-INDEX('KZ-normalized'!$E:$E, MATCH($A4, 'KZ-normalized'!$A:$A, 0))), 0), 0))+(IFERROR(IF(7*INDEX('UZ-normalized'!$D:$D, MATCH($A4, 'UZ-normalized'!$A:$A, 0))-INDEX('UZ-normalized'!$E:$E, MATCH($A4, 'UZ-normalized'!$A:$A, 0))&gt;0, -(7*INDEX('UZ-normalized'!$D:$D, MATCH($A4, 'UZ-normalized'!$A:$A, 0))-INDEX('UZ-normalized'!$E:$E, MATCH($A4, 'UZ-normalized'!$A:$A, 0))), 0), 0)))</f>
        <v>-44</v>
      </c>
      <c r="V4" s="6">
        <f>MIN(0, N4+(IFERROR(IF(8*INDEX('UA-normalized'!$D:$D, MATCH($A4, 'UA-normalized'!$A:$A, 0))-INDEX('UA-normalized'!$E:$E, MATCH($A4, 'UA-normalized'!$A:$A, 0))&gt;0, -(8*INDEX('UA-normalized'!$D:$D, MATCH($A4, 'UA-normalized'!$A:$A, 0))-INDEX('UA-normalized'!$E:$E, MATCH($A4, 'UA-normalized'!$A:$A, 0))), 0), 0))+(IFERROR(IF(8*INDEX('KZ-normalized'!$D:$D, MATCH($A4, 'KZ-normalized'!$A:$A, 0))-INDEX('KZ-normalized'!$E:$E, MATCH($A4, 'KZ-normalized'!$A:$A, 0))&gt;0, -(8*INDEX('KZ-normalized'!$D:$D, MATCH($A4, 'KZ-normalized'!$A:$A, 0))-INDEX('KZ-normalized'!$E:$E, MATCH($A4, 'KZ-normalized'!$A:$A, 0))), 0), 0))+(IFERROR(IF(8*INDEX('UZ-normalized'!$D:$D, MATCH($A4, 'UZ-normalized'!$A:$A, 0))-INDEX('UZ-normalized'!$E:$E, MATCH($A4, 'UZ-normalized'!$A:$A, 0))&gt;0, -(8*INDEX('UZ-normalized'!$D:$D, MATCH($A4, 'UZ-normalized'!$A:$A, 0))-INDEX('UZ-normalized'!$E:$E, MATCH($A4, 'UZ-normalized'!$A:$A, 0))), 0), 0)))</f>
        <v>-58</v>
      </c>
      <c r="W4" s="6">
        <f>MIN(0, N4+(IFERROR(IF(9*INDEX('UA-normalized'!$D:$D, MATCH($A4, 'UA-normalized'!$A:$A, 0))-INDEX('UA-normalized'!$E:$E, MATCH($A4, 'UA-normalized'!$A:$A, 0))&gt;0, -(9*INDEX('UA-normalized'!$D:$D, MATCH($A4, 'UA-normalized'!$A:$A, 0))-INDEX('UA-normalized'!$E:$E, MATCH($A4, 'UA-normalized'!$A:$A, 0))), 0), 0))+(IFERROR(IF(9*INDEX('KZ-normalized'!$D:$D, MATCH($A4, 'KZ-normalized'!$A:$A, 0))-INDEX('KZ-normalized'!$E:$E, MATCH($A4, 'KZ-normalized'!$A:$A, 0))&gt;0, -(9*INDEX('KZ-normalized'!$D:$D, MATCH($A4, 'KZ-normalized'!$A:$A, 0))-INDEX('KZ-normalized'!$E:$E, MATCH($A4, 'KZ-normalized'!$A:$A, 0))), 0), 0))+(IFERROR(IF(9*INDEX('UZ-normalized'!$D:$D, MATCH($A4, 'UZ-normalized'!$A:$A, 0))-INDEX('UZ-normalized'!$E:$E, MATCH($A4, 'UZ-normalized'!$A:$A, 0))&gt;0, -(9*INDEX('UZ-normalized'!$D:$D, MATCH($A4, 'UZ-normalized'!$A:$A, 0))-INDEX('UZ-normalized'!$E:$E, MATCH($A4, 'UZ-normalized'!$A:$A, 0))), 0), 0)))</f>
        <v>-72</v>
      </c>
      <c r="X4" s="6">
        <f>MIN(0, N4+(IFERROR(IF(10*INDEX('UA-normalized'!$D:$D, MATCH($A4, 'UA-normalized'!$A:$A, 0))-INDEX('UA-normalized'!$E:$E, MATCH($A4, 'UA-normalized'!$A:$A, 0))&gt;0, -(10*INDEX('UA-normalized'!$D:$D, MATCH($A4, 'UA-normalized'!$A:$A, 0))-INDEX('UA-normalized'!$E:$E, MATCH($A4, 'UA-normalized'!$A:$A, 0))), 0), 0))+(IFERROR(IF(10*INDEX('KZ-normalized'!$D:$D, MATCH($A4, 'KZ-normalized'!$A:$A, 0))-INDEX('KZ-normalized'!$E:$E, MATCH($A4, 'KZ-normalized'!$A:$A, 0))&gt;0, -(10*INDEX('KZ-normalized'!$D:$D, MATCH($A4, 'KZ-normalized'!$A:$A, 0))-INDEX('KZ-normalized'!$E:$E, MATCH($A4, 'KZ-normalized'!$A:$A, 0))), 0), 0))+(IFERROR(IF(10*INDEX('UZ-normalized'!$D:$D, MATCH($A4, 'UZ-normalized'!$A:$A, 0))-INDEX('UZ-normalized'!$E:$E, MATCH($A4, 'UZ-normalized'!$A:$A, 0))&gt;0, -(10*INDEX('UZ-normalized'!$D:$D, MATCH($A4, 'UZ-normalized'!$A:$A, 0))-INDEX('UZ-normalized'!$E:$E, MATCH($A4, 'UZ-normalized'!$A:$A, 0))), 0), 0)))</f>
        <v>-86</v>
      </c>
      <c r="Y4" s="6">
        <f>MIN(0, N4+(IFERROR(IF(11*INDEX('UA-normalized'!$D:$D, MATCH($A4, 'UA-normalized'!$A:$A, 0))-INDEX('UA-normalized'!$E:$E, MATCH($A4, 'UA-normalized'!$A:$A, 0))&gt;0, -(11*INDEX('UA-normalized'!$D:$D, MATCH($A4, 'UA-normalized'!$A:$A, 0))-INDEX('UA-normalized'!$E:$E, MATCH($A4, 'UA-normalized'!$A:$A, 0))), 0), 0))+(IFERROR(IF(11*INDEX('KZ-normalized'!$D:$D, MATCH($A4, 'KZ-normalized'!$A:$A, 0))-INDEX('KZ-normalized'!$E:$E, MATCH($A4, 'KZ-normalized'!$A:$A, 0))&gt;0, -(11*INDEX('KZ-normalized'!$D:$D, MATCH($A4, 'KZ-normalized'!$A:$A, 0))-INDEX('KZ-normalized'!$E:$E, MATCH($A4, 'KZ-normalized'!$A:$A, 0))), 0), 0))+(IFERROR(IF(11*INDEX('UZ-normalized'!$D:$D, MATCH($A4, 'UZ-normalized'!$A:$A, 0))-INDEX('UZ-normalized'!$E:$E, MATCH($A4, 'UZ-normalized'!$A:$A, 0))&gt;0, -(11*INDEX('UZ-normalized'!$D:$D, MATCH($A4, 'UZ-normalized'!$A:$A, 0))-INDEX('UZ-normalized'!$E:$E, MATCH($A4, 'UZ-normalized'!$A:$A, 0))), 0), 0)))</f>
        <v>-100</v>
      </c>
      <c r="Z4" s="6">
        <f>MIN(0, N4+(IFERROR(IF(12*INDEX('UA-normalized'!$D:$D, MATCH($A4, 'UA-normalized'!$A:$A, 0))-INDEX('UA-normalized'!$E:$E, MATCH($A4, 'UA-normalized'!$A:$A, 0))&gt;0, -(12*INDEX('UA-normalized'!$D:$D, MATCH($A4, 'UA-normalized'!$A:$A, 0))-INDEX('UA-normalized'!$E:$E, MATCH($A4, 'UA-normalized'!$A:$A, 0))), 0), 0))+(IFERROR(IF(12*INDEX('KZ-normalized'!$D:$D, MATCH($A4, 'KZ-normalized'!$A:$A, 0))-INDEX('KZ-normalized'!$E:$E, MATCH($A4, 'KZ-normalized'!$A:$A, 0))&gt;0, -(12*INDEX('KZ-normalized'!$D:$D, MATCH($A4, 'KZ-normalized'!$A:$A, 0))-INDEX('KZ-normalized'!$E:$E, MATCH($A4, 'KZ-normalized'!$A:$A, 0))), 0), 0))+(IFERROR(IF(12*INDEX('UZ-normalized'!$D:$D, MATCH($A4, 'UZ-normalized'!$A:$A, 0))-INDEX('UZ-normalized'!$E:$E, MATCH($A4, 'UZ-normalized'!$A:$A, 0))&gt;0, -(12*INDEX('UZ-normalized'!$D:$D, MATCH($A4, 'UZ-normalized'!$A:$A, 0))-INDEX('UZ-normalized'!$E:$E, MATCH($A4, 'UZ-normalized'!$A:$A, 0))), 0), 0)))</f>
        <v>-114</v>
      </c>
      <c r="AA4" s="6">
        <f>MIN(0, N4+(IFERROR(IF(13*INDEX('UA-normalized'!$D:$D, MATCH($A4, 'UA-normalized'!$A:$A, 0))-INDEX('UA-normalized'!$E:$E, MATCH($A4, 'UA-normalized'!$A:$A, 0))&gt;0, -(13*INDEX('UA-normalized'!$D:$D, MATCH($A4, 'UA-normalized'!$A:$A, 0))-INDEX('UA-normalized'!$E:$E, MATCH($A4, 'UA-normalized'!$A:$A, 0))), 0), 0))+(IFERROR(IF(13*INDEX('KZ-normalized'!$D:$D, MATCH($A4, 'KZ-normalized'!$A:$A, 0))-INDEX('KZ-normalized'!$E:$E, MATCH($A4, 'KZ-normalized'!$A:$A, 0))&gt;0, -(13*INDEX('KZ-normalized'!$D:$D, MATCH($A4, 'KZ-normalized'!$A:$A, 0))-INDEX('KZ-normalized'!$E:$E, MATCH($A4, 'KZ-normalized'!$A:$A, 0))), 0), 0))+(IFERROR(IF(13*INDEX('UZ-normalized'!$D:$D, MATCH($A4, 'UZ-normalized'!$A:$A, 0))-INDEX('UZ-normalized'!$E:$E, MATCH($A4, 'UZ-normalized'!$A:$A, 0))&gt;0, -(13*INDEX('UZ-normalized'!$D:$D, MATCH($A4, 'UZ-normalized'!$A:$A, 0))-INDEX('UZ-normalized'!$E:$E, MATCH($A4, 'UZ-normalized'!$A:$A, 0))), 0), 0)))</f>
        <v>-128</v>
      </c>
      <c r="AB4" s="6">
        <f>MIN(0, N4+(IFERROR(IF(14*INDEX('UA-normalized'!$D:$D, MATCH($A4, 'UA-normalized'!$A:$A, 0))-INDEX('UA-normalized'!$E:$E, MATCH($A4, 'UA-normalized'!$A:$A, 0))&gt;0, -(14*INDEX('UA-normalized'!$D:$D, MATCH($A4, 'UA-normalized'!$A:$A, 0))-INDEX('UA-normalized'!$E:$E, MATCH($A4, 'UA-normalized'!$A:$A, 0))), 0), 0))+(IFERROR(IF(14*INDEX('KZ-normalized'!$D:$D, MATCH($A4, 'KZ-normalized'!$A:$A, 0))-INDEX('KZ-normalized'!$E:$E, MATCH($A4, 'KZ-normalized'!$A:$A, 0))&gt;0, -(14*INDEX('KZ-normalized'!$D:$D, MATCH($A4, 'KZ-normalized'!$A:$A, 0))-INDEX('KZ-normalized'!$E:$E, MATCH($A4, 'KZ-normalized'!$A:$A, 0))), 0), 0))+(IFERROR(IF(14*INDEX('UZ-normalized'!$D:$D, MATCH($A4, 'UZ-normalized'!$A:$A, 0))-INDEX('UZ-normalized'!$E:$E, MATCH($A4, 'UZ-normalized'!$A:$A, 0))&gt;0, -(14*INDEX('UZ-normalized'!$D:$D, MATCH($A4, 'UZ-normalized'!$A:$A, 0))-INDEX('UZ-normalized'!$E:$E, MATCH($A4, 'UZ-normalized'!$A:$A, 0))), 0), 0)))</f>
        <v>-142</v>
      </c>
      <c r="AC4" s="6">
        <f>MIN(0, N4+(IFERROR(IF(15*INDEX('UA-normalized'!$D:$D, MATCH($A4, 'UA-normalized'!$A:$A, 0))-INDEX('UA-normalized'!$E:$E, MATCH($A4, 'UA-normalized'!$A:$A, 0))&gt;0, -(15*INDEX('UA-normalized'!$D:$D, MATCH($A4, 'UA-normalized'!$A:$A, 0))-INDEX('UA-normalized'!$E:$E, MATCH($A4, 'UA-normalized'!$A:$A, 0))), 0), 0))+(IFERROR(IF(15*INDEX('KZ-normalized'!$D:$D, MATCH($A4, 'KZ-normalized'!$A:$A, 0))-INDEX('KZ-normalized'!$E:$E, MATCH($A4, 'KZ-normalized'!$A:$A, 0))&gt;0, -(15*INDEX('KZ-normalized'!$D:$D, MATCH($A4, 'KZ-normalized'!$A:$A, 0))-INDEX('KZ-normalized'!$E:$E, MATCH($A4, 'KZ-normalized'!$A:$A, 0))), 0), 0))+(IFERROR(IF(15*INDEX('UZ-normalized'!$D:$D, MATCH($A4, 'UZ-normalized'!$A:$A, 0))-INDEX('UZ-normalized'!$E:$E, MATCH($A4, 'UZ-normalized'!$A:$A, 0))&gt;0, -(15*INDEX('UZ-normalized'!$D:$D, MATCH($A4, 'UZ-normalized'!$A:$A, 0))-INDEX('UZ-normalized'!$E:$E, MATCH($A4, 'UZ-normalized'!$A:$A, 0))), 0), 0)))</f>
        <v>-156</v>
      </c>
      <c r="AD4" s="6">
        <f>MIN(0, N4+(IFERROR(IF(16*INDEX('UA-normalized'!$D:$D, MATCH($A4, 'UA-normalized'!$A:$A, 0))-INDEX('UA-normalized'!$E:$E, MATCH($A4, 'UA-normalized'!$A:$A, 0))&gt;0, -(16*INDEX('UA-normalized'!$D:$D, MATCH($A4, 'UA-normalized'!$A:$A, 0))-INDEX('UA-normalized'!$E:$E, MATCH($A4, 'UA-normalized'!$A:$A, 0))), 0), 0))+(IFERROR(IF(16*INDEX('KZ-normalized'!$D:$D, MATCH($A4, 'KZ-normalized'!$A:$A, 0))-INDEX('KZ-normalized'!$E:$E, MATCH($A4, 'KZ-normalized'!$A:$A, 0))&gt;0, -(16*INDEX('KZ-normalized'!$D:$D, MATCH($A4, 'KZ-normalized'!$A:$A, 0))-INDEX('KZ-normalized'!$E:$E, MATCH($A4, 'KZ-normalized'!$A:$A, 0))), 0), 0))+(IFERROR(IF(16*INDEX('UZ-normalized'!$D:$D, MATCH($A4, 'UZ-normalized'!$A:$A, 0))-INDEX('UZ-normalized'!$E:$E, MATCH($A4, 'UZ-normalized'!$A:$A, 0))&gt;0, -(16*INDEX('UZ-normalized'!$D:$D, MATCH($A4, 'UZ-normalized'!$A:$A, 0))-INDEX('UZ-normalized'!$E:$E, MATCH($A4, 'UZ-normalized'!$A:$A, 0))), 0), 0)))</f>
        <v>-170</v>
      </c>
      <c r="AE4" s="6">
        <f>MIN(0, N4+(IFERROR(IF(17*INDEX('UA-normalized'!$D:$D, MATCH($A4, 'UA-normalized'!$A:$A, 0))-INDEX('UA-normalized'!$E:$E, MATCH($A4, 'UA-normalized'!$A:$A, 0))&gt;0, -(17*INDEX('UA-normalized'!$D:$D, MATCH($A4, 'UA-normalized'!$A:$A, 0))-INDEX('UA-normalized'!$E:$E, MATCH($A4, 'UA-normalized'!$A:$A, 0))), 0), 0))+(IFERROR(IF(17*INDEX('KZ-normalized'!$D:$D, MATCH($A4, 'KZ-normalized'!$A:$A, 0))-INDEX('KZ-normalized'!$E:$E, MATCH($A4, 'KZ-normalized'!$A:$A, 0))&gt;0, -(17*INDEX('KZ-normalized'!$D:$D, MATCH($A4, 'KZ-normalized'!$A:$A, 0))-INDEX('KZ-normalized'!$E:$E, MATCH($A4, 'KZ-normalized'!$A:$A, 0))), 0), 0))+(IFERROR(IF(17*INDEX('UZ-normalized'!$D:$D, MATCH($A4, 'UZ-normalized'!$A:$A, 0))-INDEX('UZ-normalized'!$E:$E, MATCH($A4, 'UZ-normalized'!$A:$A, 0))&gt;0, -(17*INDEX('UZ-normalized'!$D:$D, MATCH($A4, 'UZ-normalized'!$A:$A, 0))-INDEX('UZ-normalized'!$E:$E, MATCH($A4, 'UZ-normalized'!$A:$A, 0))), 0), 0)))</f>
        <v>-184</v>
      </c>
      <c r="AF4" s="6">
        <f>MIN(0, N4+(IFERROR(IF(18*INDEX('UA-normalized'!$D:$D, MATCH($A4, 'UA-normalized'!$A:$A, 0))-INDEX('UA-normalized'!$E:$E, MATCH($A4, 'UA-normalized'!$A:$A, 0))&gt;0, -(18*INDEX('UA-normalized'!$D:$D, MATCH($A4, 'UA-normalized'!$A:$A, 0))-INDEX('UA-normalized'!$E:$E, MATCH($A4, 'UA-normalized'!$A:$A, 0))), 0), 0))+(IFERROR(IF(18*INDEX('KZ-normalized'!$D:$D, MATCH($A4, 'KZ-normalized'!$A:$A, 0))-INDEX('KZ-normalized'!$E:$E, MATCH($A4, 'KZ-normalized'!$A:$A, 0))&gt;0, -(18*INDEX('KZ-normalized'!$D:$D, MATCH($A4, 'KZ-normalized'!$A:$A, 0))-INDEX('KZ-normalized'!$E:$E, MATCH($A4, 'KZ-normalized'!$A:$A, 0))), 0), 0))+(IFERROR(IF(18*INDEX('UZ-normalized'!$D:$D, MATCH($A4, 'UZ-normalized'!$A:$A, 0))-INDEX('UZ-normalized'!$E:$E, MATCH($A4, 'UZ-normalized'!$A:$A, 0))&gt;0, -(18*INDEX('UZ-normalized'!$D:$D, MATCH($A4, 'UZ-normalized'!$A:$A, 0))-INDEX('UZ-normalized'!$E:$E, MATCH($A4, 'UZ-normalized'!$A:$A, 0))), 0), 0)))</f>
        <v>-198</v>
      </c>
      <c r="AG4" s="6">
        <f>MIN(0, N4+(IFERROR(IF(19*INDEX('UA-normalized'!$D:$D, MATCH($A4, 'UA-normalized'!$A:$A, 0))-INDEX('UA-normalized'!$E:$E, MATCH($A4, 'UA-normalized'!$A:$A, 0))&gt;0, -(19*INDEX('UA-normalized'!$D:$D, MATCH($A4, 'UA-normalized'!$A:$A, 0))-INDEX('UA-normalized'!$E:$E, MATCH($A4, 'UA-normalized'!$A:$A, 0))), 0), 0))+(IFERROR(IF(19*INDEX('KZ-normalized'!$D:$D, MATCH($A4, 'KZ-normalized'!$A:$A, 0))-INDEX('KZ-normalized'!$E:$E, MATCH($A4, 'KZ-normalized'!$A:$A, 0))&gt;0, -(19*INDEX('KZ-normalized'!$D:$D, MATCH($A4, 'KZ-normalized'!$A:$A, 0))-INDEX('KZ-normalized'!$E:$E, MATCH($A4, 'KZ-normalized'!$A:$A, 0))), 0), 0))+(IFERROR(IF(19*INDEX('UZ-normalized'!$D:$D, MATCH($A4, 'UZ-normalized'!$A:$A, 0))-INDEX('UZ-normalized'!$E:$E, MATCH($A4, 'UZ-normalized'!$A:$A, 0))&gt;0, -(19*INDEX('UZ-normalized'!$D:$D, MATCH($A4, 'UZ-normalized'!$A:$A, 0))-INDEX('UZ-normalized'!$E:$E, MATCH($A4, 'UZ-normalized'!$A:$A, 0))), 0), 0)))</f>
        <v>-212</v>
      </c>
      <c r="AH4" s="6">
        <f>MIN(0, N4+(IFERROR(IF(20*INDEX('UA-normalized'!$D:$D, MATCH($A4, 'UA-normalized'!$A:$A, 0))-INDEX('UA-normalized'!$E:$E, MATCH($A4, 'UA-normalized'!$A:$A, 0))&gt;0, -(20*INDEX('UA-normalized'!$D:$D, MATCH($A4, 'UA-normalized'!$A:$A, 0))-INDEX('UA-normalized'!$E:$E, MATCH($A4, 'UA-normalized'!$A:$A, 0))), 0), 0))+(IFERROR(IF(20*INDEX('KZ-normalized'!$D:$D, MATCH($A4, 'KZ-normalized'!$A:$A, 0))-INDEX('KZ-normalized'!$E:$E, MATCH($A4, 'KZ-normalized'!$A:$A, 0))&gt;0, -(20*INDEX('KZ-normalized'!$D:$D, MATCH($A4, 'KZ-normalized'!$A:$A, 0))-INDEX('KZ-normalized'!$E:$E, MATCH($A4, 'KZ-normalized'!$A:$A, 0))), 0), 0))+(IFERROR(IF(20*INDEX('UZ-normalized'!$D:$D, MATCH($A4, 'UZ-normalized'!$A:$A, 0))-INDEX('UZ-normalized'!$E:$E, MATCH($A4, 'UZ-normalized'!$A:$A, 0))&gt;0, -(20*INDEX('UZ-normalized'!$D:$D, MATCH($A4, 'UZ-normalized'!$A:$A, 0))-INDEX('UZ-normalized'!$E:$E, MATCH($A4, 'UZ-normalized'!$A:$A, 0))), 0), 0)))</f>
        <v>-226</v>
      </c>
      <c r="AI4" s="6">
        <f>MIN(0, N4+(IFERROR(IF(21*INDEX('UA-normalized'!$D:$D, MATCH($A4, 'UA-normalized'!$A:$A, 0))-INDEX('UA-normalized'!$E:$E, MATCH($A4, 'UA-normalized'!$A:$A, 0))&gt;0, -(21*INDEX('UA-normalized'!$D:$D, MATCH($A4, 'UA-normalized'!$A:$A, 0))-INDEX('UA-normalized'!$E:$E, MATCH($A4, 'UA-normalized'!$A:$A, 0))), 0), 0))+(IFERROR(IF(21*INDEX('KZ-normalized'!$D:$D, MATCH($A4, 'KZ-normalized'!$A:$A, 0))-INDEX('KZ-normalized'!$E:$E, MATCH($A4, 'KZ-normalized'!$A:$A, 0))&gt;0, -(21*INDEX('KZ-normalized'!$D:$D, MATCH($A4, 'KZ-normalized'!$A:$A, 0))-INDEX('KZ-normalized'!$E:$E, MATCH($A4, 'KZ-normalized'!$A:$A, 0))), 0), 0))+(IFERROR(IF(21*INDEX('UZ-normalized'!$D:$D, MATCH($A4, 'UZ-normalized'!$A:$A, 0))-INDEX('UZ-normalized'!$E:$E, MATCH($A4, 'UZ-normalized'!$A:$A, 0))&gt;0, -(21*INDEX('UZ-normalized'!$D:$D, MATCH($A4, 'UZ-normalized'!$A:$A, 0))-INDEX('UZ-normalized'!$E:$E, MATCH($A4, 'UZ-normalized'!$A:$A, 0))), 0), 0)))</f>
        <v>-240</v>
      </c>
      <c r="AJ4" s="6">
        <f>MIN(0, N4+(IFERROR(IF(22*INDEX('UA-normalized'!$D:$D, MATCH($A4, 'UA-normalized'!$A:$A, 0))-INDEX('UA-normalized'!$E:$E, MATCH($A4, 'UA-normalized'!$A:$A, 0))&gt;0, -(22*INDEX('UA-normalized'!$D:$D, MATCH($A4, 'UA-normalized'!$A:$A, 0))-INDEX('UA-normalized'!$E:$E, MATCH($A4, 'UA-normalized'!$A:$A, 0))), 0), 0))+(IFERROR(IF(22*INDEX('KZ-normalized'!$D:$D, MATCH($A4, 'KZ-normalized'!$A:$A, 0))-INDEX('KZ-normalized'!$E:$E, MATCH($A4, 'KZ-normalized'!$A:$A, 0))&gt;0, -(22*INDEX('KZ-normalized'!$D:$D, MATCH($A4, 'KZ-normalized'!$A:$A, 0))-INDEX('KZ-normalized'!$E:$E, MATCH($A4, 'KZ-normalized'!$A:$A, 0))), 0), 0))+(IFERROR(IF(22*INDEX('UZ-normalized'!$D:$D, MATCH($A4, 'UZ-normalized'!$A:$A, 0))-INDEX('UZ-normalized'!$E:$E, MATCH($A4, 'UZ-normalized'!$A:$A, 0))&gt;0, -(22*INDEX('UZ-normalized'!$D:$D, MATCH($A4, 'UZ-normalized'!$A:$A, 0))-INDEX('UZ-normalized'!$E:$E, MATCH($A4, 'UZ-normalized'!$A:$A, 0))), 0), 0)))</f>
        <v>-254</v>
      </c>
      <c r="AK4" s="6">
        <f>MIN(0, N4+(IFERROR(IF(23*INDEX('UA-normalized'!$D:$D, MATCH($A4, 'UA-normalized'!$A:$A, 0))-INDEX('UA-normalized'!$E:$E, MATCH($A4, 'UA-normalized'!$A:$A, 0))&gt;0, -(23*INDEX('UA-normalized'!$D:$D, MATCH($A4, 'UA-normalized'!$A:$A, 0))-INDEX('UA-normalized'!$E:$E, MATCH($A4, 'UA-normalized'!$A:$A, 0))), 0), 0))+(IFERROR(IF(23*INDEX('KZ-normalized'!$D:$D, MATCH($A4, 'KZ-normalized'!$A:$A, 0))-INDEX('KZ-normalized'!$E:$E, MATCH($A4, 'KZ-normalized'!$A:$A, 0))&gt;0, -(23*INDEX('KZ-normalized'!$D:$D, MATCH($A4, 'KZ-normalized'!$A:$A, 0))-INDEX('KZ-normalized'!$E:$E, MATCH($A4, 'KZ-normalized'!$A:$A, 0))), 0), 0))+(IFERROR(IF(23*INDEX('UZ-normalized'!$D:$D, MATCH($A4, 'UZ-normalized'!$A:$A, 0))-INDEX('UZ-normalized'!$E:$E, MATCH($A4, 'UZ-normalized'!$A:$A, 0))&gt;0, -(23*INDEX('UZ-normalized'!$D:$D, MATCH($A4, 'UZ-normalized'!$A:$A, 0))-INDEX('UZ-normalized'!$E:$E, MATCH($A4, 'UZ-normalized'!$A:$A, 0))), 0), 0)))</f>
        <v>-268</v>
      </c>
      <c r="AL4" s="6">
        <f>MIN(0, N4+(IFERROR(IF(24*INDEX('UA-normalized'!$D:$D, MATCH($A4, 'UA-normalized'!$A:$A, 0))-INDEX('UA-normalized'!$E:$E, MATCH($A4, 'UA-normalized'!$A:$A, 0))&gt;0, -(24*INDEX('UA-normalized'!$D:$D, MATCH($A4, 'UA-normalized'!$A:$A, 0))-INDEX('UA-normalized'!$E:$E, MATCH($A4, 'UA-normalized'!$A:$A, 0))), 0), 0))+(IFERROR(IF(24*INDEX('KZ-normalized'!$D:$D, MATCH($A4, 'KZ-normalized'!$A:$A, 0))-INDEX('KZ-normalized'!$E:$E, MATCH($A4, 'KZ-normalized'!$A:$A, 0))&gt;0, -(24*INDEX('KZ-normalized'!$D:$D, MATCH($A4, 'KZ-normalized'!$A:$A, 0))-INDEX('KZ-normalized'!$E:$E, MATCH($A4, 'KZ-normalized'!$A:$A, 0))), 0), 0))+(IFERROR(IF(24*INDEX('UZ-normalized'!$D:$D, MATCH($A4, 'UZ-normalized'!$A:$A, 0))-INDEX('UZ-normalized'!$E:$E, MATCH($A4, 'UZ-normalized'!$A:$A, 0))&gt;0, -(24*INDEX('UZ-normalized'!$D:$D, MATCH($A4, 'UZ-normalized'!$A:$A, 0))-INDEX('UZ-normalized'!$E:$E, MATCH($A4, 'UZ-normalized'!$A:$A, 0))), 0), 0)))</f>
        <v>-282</v>
      </c>
      <c r="AM4" s="6">
        <f>MIN(0, N4+(IFERROR(IF(25*INDEX('UA-normalized'!$D:$D, MATCH($A4, 'UA-normalized'!$A:$A, 0))-INDEX('UA-normalized'!$E:$E, MATCH($A4, 'UA-normalized'!$A:$A, 0))&gt;0, -(25*INDEX('UA-normalized'!$D:$D, MATCH($A4, 'UA-normalized'!$A:$A, 0))-INDEX('UA-normalized'!$E:$E, MATCH($A4, 'UA-normalized'!$A:$A, 0))), 0), 0))+(IFERROR(IF(25*INDEX('KZ-normalized'!$D:$D, MATCH($A4, 'KZ-normalized'!$A:$A, 0))-INDEX('KZ-normalized'!$E:$E, MATCH($A4, 'KZ-normalized'!$A:$A, 0))&gt;0, -(25*INDEX('KZ-normalized'!$D:$D, MATCH($A4, 'KZ-normalized'!$A:$A, 0))-INDEX('KZ-normalized'!$E:$E, MATCH($A4, 'KZ-normalized'!$A:$A, 0))), 0), 0))+(IFERROR(IF(25*INDEX('UZ-normalized'!$D:$D, MATCH($A4, 'UZ-normalized'!$A:$A, 0))-INDEX('UZ-normalized'!$E:$E, MATCH($A4, 'UZ-normalized'!$A:$A, 0))&gt;0, -(25*INDEX('UZ-normalized'!$D:$D, MATCH($A4, 'UZ-normalized'!$A:$A, 0))-INDEX('UZ-normalized'!$E:$E, MATCH($A4, 'UZ-normalized'!$A:$A, 0))), 0), 0)))</f>
        <v>-296</v>
      </c>
      <c r="AN4" s="6">
        <f>MIN(0, N4+(IFERROR(IF(26*INDEX('UA-normalized'!$D:$D, MATCH($A4, 'UA-normalized'!$A:$A, 0))-INDEX('UA-normalized'!$E:$E, MATCH($A4, 'UA-normalized'!$A:$A, 0))&gt;0, -(26*INDEX('UA-normalized'!$D:$D, MATCH($A4, 'UA-normalized'!$A:$A, 0))-INDEX('UA-normalized'!$E:$E, MATCH($A4, 'UA-normalized'!$A:$A, 0))), 0), 0))+(IFERROR(IF(26*INDEX('KZ-normalized'!$D:$D, MATCH($A4, 'KZ-normalized'!$A:$A, 0))-INDEX('KZ-normalized'!$E:$E, MATCH($A4, 'KZ-normalized'!$A:$A, 0))&gt;0, -(26*INDEX('KZ-normalized'!$D:$D, MATCH($A4, 'KZ-normalized'!$A:$A, 0))-INDEX('KZ-normalized'!$E:$E, MATCH($A4, 'KZ-normalized'!$A:$A, 0))), 0), 0))+(IFERROR(IF(26*INDEX('UZ-normalized'!$D:$D, MATCH($A4, 'UZ-normalized'!$A:$A, 0))-INDEX('UZ-normalized'!$E:$E, MATCH($A4, 'UZ-normalized'!$A:$A, 0))&gt;0, -(26*INDEX('UZ-normalized'!$D:$D, MATCH($A4, 'UZ-normalized'!$A:$A, 0))-INDEX('UZ-normalized'!$E:$E, MATCH($A4, 'UZ-normalized'!$A:$A, 0))), 0), 0)))</f>
        <v>-310</v>
      </c>
      <c r="AO4" s="6">
        <f>MIN(0, N4+(IFERROR(IF(27*INDEX('UA-normalized'!$D:$D, MATCH($A4, 'UA-normalized'!$A:$A, 0))-INDEX('UA-normalized'!$E:$E, MATCH($A4, 'UA-normalized'!$A:$A, 0))&gt;0, -(27*INDEX('UA-normalized'!$D:$D, MATCH($A4, 'UA-normalized'!$A:$A, 0))-INDEX('UA-normalized'!$E:$E, MATCH($A4, 'UA-normalized'!$A:$A, 0))), 0), 0))+(IFERROR(IF(27*INDEX('KZ-normalized'!$D:$D, MATCH($A4, 'KZ-normalized'!$A:$A, 0))-INDEX('KZ-normalized'!$E:$E, MATCH($A4, 'KZ-normalized'!$A:$A, 0))&gt;0, -(27*INDEX('KZ-normalized'!$D:$D, MATCH($A4, 'KZ-normalized'!$A:$A, 0))-INDEX('KZ-normalized'!$E:$E, MATCH($A4, 'KZ-normalized'!$A:$A, 0))), 0), 0))+(IFERROR(IF(27*INDEX('UZ-normalized'!$D:$D, MATCH($A4, 'UZ-normalized'!$A:$A, 0))-INDEX('UZ-normalized'!$E:$E, MATCH($A4, 'UZ-normalized'!$A:$A, 0))&gt;0, -(27*INDEX('UZ-normalized'!$D:$D, MATCH($A4, 'UZ-normalized'!$A:$A, 0))-INDEX('UZ-normalized'!$E:$E, MATCH($A4, 'UZ-normalized'!$A:$A, 0))), 0), 0)))</f>
        <v>-324</v>
      </c>
      <c r="AP4" s="6">
        <f>MIN(0, N4+(IFERROR(IF(28*INDEX('UA-normalized'!$D:$D, MATCH($A4, 'UA-normalized'!$A:$A, 0))-INDEX('UA-normalized'!$E:$E, MATCH($A4, 'UA-normalized'!$A:$A, 0))&gt;0, -(28*INDEX('UA-normalized'!$D:$D, MATCH($A4, 'UA-normalized'!$A:$A, 0))-INDEX('UA-normalized'!$E:$E, MATCH($A4, 'UA-normalized'!$A:$A, 0))), 0), 0))+(IFERROR(IF(28*INDEX('KZ-normalized'!$D:$D, MATCH($A4, 'KZ-normalized'!$A:$A, 0))-INDEX('KZ-normalized'!$E:$E, MATCH($A4, 'KZ-normalized'!$A:$A, 0))&gt;0, -(28*INDEX('KZ-normalized'!$D:$D, MATCH($A4, 'KZ-normalized'!$A:$A, 0))-INDEX('KZ-normalized'!$E:$E, MATCH($A4, 'KZ-normalized'!$A:$A, 0))), 0), 0))+(IFERROR(IF(28*INDEX('UZ-normalized'!$D:$D, MATCH($A4, 'UZ-normalized'!$A:$A, 0))-INDEX('UZ-normalized'!$E:$E, MATCH($A4, 'UZ-normalized'!$A:$A, 0))&gt;0, -(28*INDEX('UZ-normalized'!$D:$D, MATCH($A4, 'UZ-normalized'!$A:$A, 0))-INDEX('UZ-normalized'!$E:$E, MATCH($A4, 'UZ-normalized'!$A:$A, 0))), 0), 0)))</f>
        <v>-338</v>
      </c>
      <c r="AQ4" s="6">
        <f>MIN(0, N4+(IFERROR(IF(29*INDEX('UA-normalized'!$D:$D, MATCH($A4, 'UA-normalized'!$A:$A, 0))-INDEX('UA-normalized'!$E:$E, MATCH($A4, 'UA-normalized'!$A:$A, 0))&gt;0, -(29*INDEX('UA-normalized'!$D:$D, MATCH($A4, 'UA-normalized'!$A:$A, 0))-INDEX('UA-normalized'!$E:$E, MATCH($A4, 'UA-normalized'!$A:$A, 0))), 0), 0))+(IFERROR(IF(29*INDEX('KZ-normalized'!$D:$D, MATCH($A4, 'KZ-normalized'!$A:$A, 0))-INDEX('KZ-normalized'!$E:$E, MATCH($A4, 'KZ-normalized'!$A:$A, 0))&gt;0, -(29*INDEX('KZ-normalized'!$D:$D, MATCH($A4, 'KZ-normalized'!$A:$A, 0))-INDEX('KZ-normalized'!$E:$E, MATCH($A4, 'KZ-normalized'!$A:$A, 0))), 0), 0))+(IFERROR(IF(29*INDEX('UZ-normalized'!$D:$D, MATCH($A4, 'UZ-normalized'!$A:$A, 0))-INDEX('UZ-normalized'!$E:$E, MATCH($A4, 'UZ-normalized'!$A:$A, 0))&gt;0, -(29*INDEX('UZ-normalized'!$D:$D, MATCH($A4, 'UZ-normalized'!$A:$A, 0))-INDEX('UZ-normalized'!$E:$E, MATCH($A4, 'UZ-normalized'!$A:$A, 0))), 0), 0)))</f>
        <v>-352</v>
      </c>
      <c r="AR4" s="6">
        <f>MIN(0, N4+(IFERROR(IF(30*INDEX('UA-normalized'!$D:$D, MATCH($A4, 'UA-normalized'!$A:$A, 0))-INDEX('UA-normalized'!$E:$E, MATCH($A4, 'UA-normalized'!$A:$A, 0))&gt;0, -(30*INDEX('UA-normalized'!$D:$D, MATCH($A4, 'UA-normalized'!$A:$A, 0))-INDEX('UA-normalized'!$E:$E, MATCH($A4, 'UA-normalized'!$A:$A, 0))), 0), 0))+(IFERROR(IF(30*INDEX('KZ-normalized'!$D:$D, MATCH($A4, 'KZ-normalized'!$A:$A, 0))-INDEX('KZ-normalized'!$E:$E, MATCH($A4, 'KZ-normalized'!$A:$A, 0))&gt;0, -(30*INDEX('KZ-normalized'!$D:$D, MATCH($A4, 'KZ-normalized'!$A:$A, 0))-INDEX('KZ-normalized'!$E:$E, MATCH($A4, 'KZ-normalized'!$A:$A, 0))), 0), 0))+(IFERROR(IF(30*INDEX('UZ-normalized'!$D:$D, MATCH($A4, 'UZ-normalized'!$A:$A, 0))-INDEX('UZ-normalized'!$E:$E, MATCH($A4, 'UZ-normalized'!$A:$A, 0))&gt;0, -(30*INDEX('UZ-normalized'!$D:$D, MATCH($A4, 'UZ-normalized'!$A:$A, 0))-INDEX('UZ-normalized'!$E:$E, MATCH($A4, 'UZ-normalized'!$A:$A, 0))), 0), 0)))</f>
        <v>-366</v>
      </c>
    </row>
    <row r="5" spans="1:44" x14ac:dyDescent="0.25">
      <c r="A5" s="8" t="s">
        <v>52</v>
      </c>
      <c r="B5" s="8" t="s">
        <v>45</v>
      </c>
      <c r="C5" s="8" t="s">
        <v>53</v>
      </c>
      <c r="D5" s="8" t="s">
        <v>54</v>
      </c>
      <c r="N5">
        <f t="shared" si="0"/>
        <v>0</v>
      </c>
      <c r="O5" s="6">
        <f>MIN(0, N5+(IFERROR(IF(1*INDEX('UA-normalized'!$D:$D, MATCH($A5, 'UA-normalized'!$A:$A, 0))-INDEX('UA-normalized'!$E:$E, MATCH($A5, 'UA-normalized'!$A:$A, 0))&gt;0, -(1*INDEX('UA-normalized'!$D:$D, MATCH($A5, 'UA-normalized'!$A:$A, 0))-INDEX('UA-normalized'!$E:$E, MATCH($A5, 'UA-normalized'!$A:$A, 0))), 0), 0))+(IFERROR(IF(1*INDEX('KZ-normalized'!$D:$D, MATCH($A5, 'KZ-normalized'!$A:$A, 0))-INDEX('KZ-normalized'!$E:$E, MATCH($A5, 'KZ-normalized'!$A:$A, 0))&gt;0, -(1*INDEX('KZ-normalized'!$D:$D, MATCH($A5, 'KZ-normalized'!$A:$A, 0))-INDEX('KZ-normalized'!$E:$E, MATCH($A5, 'KZ-normalized'!$A:$A, 0))), 0), 0))+(IFERROR(IF(1*INDEX('UZ-normalized'!$D:$D, MATCH($A5, 'UZ-normalized'!$A:$A, 0))-INDEX('UZ-normalized'!$E:$E, MATCH($A5, 'UZ-normalized'!$A:$A, 0))&gt;0, -(1*INDEX('UZ-normalized'!$D:$D, MATCH($A5, 'UZ-normalized'!$A:$A, 0))-INDEX('UZ-normalized'!$E:$E, MATCH($A5, 'UZ-normalized'!$A:$A, 0))), 0), 0)))</f>
        <v>0</v>
      </c>
      <c r="P5" s="6">
        <f>MIN(0, N5+(IFERROR(IF(2*INDEX('UA-normalized'!$D:$D, MATCH($A5, 'UA-normalized'!$A:$A, 0))-INDEX('UA-normalized'!$E:$E, MATCH($A5, 'UA-normalized'!$A:$A, 0))&gt;0, -(2*INDEX('UA-normalized'!$D:$D, MATCH($A5, 'UA-normalized'!$A:$A, 0))-INDEX('UA-normalized'!$E:$E, MATCH($A5, 'UA-normalized'!$A:$A, 0))), 0), 0))+(IFERROR(IF(2*INDEX('KZ-normalized'!$D:$D, MATCH($A5, 'KZ-normalized'!$A:$A, 0))-INDEX('KZ-normalized'!$E:$E, MATCH($A5, 'KZ-normalized'!$A:$A, 0))&gt;0, -(2*INDEX('KZ-normalized'!$D:$D, MATCH($A5, 'KZ-normalized'!$A:$A, 0))-INDEX('KZ-normalized'!$E:$E, MATCH($A5, 'KZ-normalized'!$A:$A, 0))), 0), 0))+(IFERROR(IF(2*INDEX('UZ-normalized'!$D:$D, MATCH($A5, 'UZ-normalized'!$A:$A, 0))-INDEX('UZ-normalized'!$E:$E, MATCH($A5, 'UZ-normalized'!$A:$A, 0))&gt;0, -(2*INDEX('UZ-normalized'!$D:$D, MATCH($A5, 'UZ-normalized'!$A:$A, 0))-INDEX('UZ-normalized'!$E:$E, MATCH($A5, 'UZ-normalized'!$A:$A, 0))), 0), 0)))</f>
        <v>0</v>
      </c>
      <c r="Q5" s="6">
        <f>MIN(0, N5+(IFERROR(IF(3*INDEX('UA-normalized'!$D:$D, MATCH($A5, 'UA-normalized'!$A:$A, 0))-INDEX('UA-normalized'!$E:$E, MATCH($A5, 'UA-normalized'!$A:$A, 0))&gt;0, -(3*INDEX('UA-normalized'!$D:$D, MATCH($A5, 'UA-normalized'!$A:$A, 0))-INDEX('UA-normalized'!$E:$E, MATCH($A5, 'UA-normalized'!$A:$A, 0))), 0), 0))+(IFERROR(IF(3*INDEX('KZ-normalized'!$D:$D, MATCH($A5, 'KZ-normalized'!$A:$A, 0))-INDEX('KZ-normalized'!$E:$E, MATCH($A5, 'KZ-normalized'!$A:$A, 0))&gt;0, -(3*INDEX('KZ-normalized'!$D:$D, MATCH($A5, 'KZ-normalized'!$A:$A, 0))-INDEX('KZ-normalized'!$E:$E, MATCH($A5, 'KZ-normalized'!$A:$A, 0))), 0), 0))+(IFERROR(IF(3*INDEX('UZ-normalized'!$D:$D, MATCH($A5, 'UZ-normalized'!$A:$A, 0))-INDEX('UZ-normalized'!$E:$E, MATCH($A5, 'UZ-normalized'!$A:$A, 0))&gt;0, -(3*INDEX('UZ-normalized'!$D:$D, MATCH($A5, 'UZ-normalized'!$A:$A, 0))-INDEX('UZ-normalized'!$E:$E, MATCH($A5, 'UZ-normalized'!$A:$A, 0))), 0), 0)))</f>
        <v>0</v>
      </c>
      <c r="R5" s="6">
        <f>MIN(0, N5+(IFERROR(IF(4*INDEX('UA-normalized'!$D:$D, MATCH($A5, 'UA-normalized'!$A:$A, 0))-INDEX('UA-normalized'!$E:$E, MATCH($A5, 'UA-normalized'!$A:$A, 0))&gt;0, -(4*INDEX('UA-normalized'!$D:$D, MATCH($A5, 'UA-normalized'!$A:$A, 0))-INDEX('UA-normalized'!$E:$E, MATCH($A5, 'UA-normalized'!$A:$A, 0))), 0), 0))+(IFERROR(IF(4*INDEX('KZ-normalized'!$D:$D, MATCH($A5, 'KZ-normalized'!$A:$A, 0))-INDEX('KZ-normalized'!$E:$E, MATCH($A5, 'KZ-normalized'!$A:$A, 0))&gt;0, -(4*INDEX('KZ-normalized'!$D:$D, MATCH($A5, 'KZ-normalized'!$A:$A, 0))-INDEX('KZ-normalized'!$E:$E, MATCH($A5, 'KZ-normalized'!$A:$A, 0))), 0), 0))+(IFERROR(IF(4*INDEX('UZ-normalized'!$D:$D, MATCH($A5, 'UZ-normalized'!$A:$A, 0))-INDEX('UZ-normalized'!$E:$E, MATCH($A5, 'UZ-normalized'!$A:$A, 0))&gt;0, -(4*INDEX('UZ-normalized'!$D:$D, MATCH($A5, 'UZ-normalized'!$A:$A, 0))-INDEX('UZ-normalized'!$E:$E, MATCH($A5, 'UZ-normalized'!$A:$A, 0))), 0), 0)))</f>
        <v>0</v>
      </c>
      <c r="S5" s="6">
        <f>MIN(0, N5+(IFERROR(IF(5*INDEX('UA-normalized'!$D:$D, MATCH($A5, 'UA-normalized'!$A:$A, 0))-INDEX('UA-normalized'!$E:$E, MATCH($A5, 'UA-normalized'!$A:$A, 0))&gt;0, -(5*INDEX('UA-normalized'!$D:$D, MATCH($A5, 'UA-normalized'!$A:$A, 0))-INDEX('UA-normalized'!$E:$E, MATCH($A5, 'UA-normalized'!$A:$A, 0))), 0), 0))+(IFERROR(IF(5*INDEX('KZ-normalized'!$D:$D, MATCH($A5, 'KZ-normalized'!$A:$A, 0))-INDEX('KZ-normalized'!$E:$E, MATCH($A5, 'KZ-normalized'!$A:$A, 0))&gt;0, -(5*INDEX('KZ-normalized'!$D:$D, MATCH($A5, 'KZ-normalized'!$A:$A, 0))-INDEX('KZ-normalized'!$E:$E, MATCH($A5, 'KZ-normalized'!$A:$A, 0))), 0), 0))+(IFERROR(IF(5*INDEX('UZ-normalized'!$D:$D, MATCH($A5, 'UZ-normalized'!$A:$A, 0))-INDEX('UZ-normalized'!$E:$E, MATCH($A5, 'UZ-normalized'!$A:$A, 0))&gt;0, -(5*INDEX('UZ-normalized'!$D:$D, MATCH($A5, 'UZ-normalized'!$A:$A, 0))-INDEX('UZ-normalized'!$E:$E, MATCH($A5, 'UZ-normalized'!$A:$A, 0))), 0), 0)))</f>
        <v>-12.5</v>
      </c>
      <c r="T5" s="6">
        <f>MIN(0, N5+(IFERROR(IF(6*INDEX('UA-normalized'!$D:$D, MATCH($A5, 'UA-normalized'!$A:$A, 0))-INDEX('UA-normalized'!$E:$E, MATCH($A5, 'UA-normalized'!$A:$A, 0))&gt;0, -(6*INDEX('UA-normalized'!$D:$D, MATCH($A5, 'UA-normalized'!$A:$A, 0))-INDEX('UA-normalized'!$E:$E, MATCH($A5, 'UA-normalized'!$A:$A, 0))), 0), 0))+(IFERROR(IF(6*INDEX('KZ-normalized'!$D:$D, MATCH($A5, 'KZ-normalized'!$A:$A, 0))-INDEX('KZ-normalized'!$E:$E, MATCH($A5, 'KZ-normalized'!$A:$A, 0))&gt;0, -(6*INDEX('KZ-normalized'!$D:$D, MATCH($A5, 'KZ-normalized'!$A:$A, 0))-INDEX('KZ-normalized'!$E:$E, MATCH($A5, 'KZ-normalized'!$A:$A, 0))), 0), 0))+(IFERROR(IF(6*INDEX('UZ-normalized'!$D:$D, MATCH($A5, 'UZ-normalized'!$A:$A, 0))-INDEX('UZ-normalized'!$E:$E, MATCH($A5, 'UZ-normalized'!$A:$A, 0))&gt;0, -(6*INDEX('UZ-normalized'!$D:$D, MATCH($A5, 'UZ-normalized'!$A:$A, 0))-INDEX('UZ-normalized'!$E:$E, MATCH($A5, 'UZ-normalized'!$A:$A, 0))), 0), 0)))</f>
        <v>-25</v>
      </c>
      <c r="U5" s="6">
        <f>MIN(0, N5+(IFERROR(IF(7*INDEX('UA-normalized'!$D:$D, MATCH($A5, 'UA-normalized'!$A:$A, 0))-INDEX('UA-normalized'!$E:$E, MATCH($A5, 'UA-normalized'!$A:$A, 0))&gt;0, -(7*INDEX('UA-normalized'!$D:$D, MATCH($A5, 'UA-normalized'!$A:$A, 0))-INDEX('UA-normalized'!$E:$E, MATCH($A5, 'UA-normalized'!$A:$A, 0))), 0), 0))+(IFERROR(IF(7*INDEX('KZ-normalized'!$D:$D, MATCH($A5, 'KZ-normalized'!$A:$A, 0))-INDEX('KZ-normalized'!$E:$E, MATCH($A5, 'KZ-normalized'!$A:$A, 0))&gt;0, -(7*INDEX('KZ-normalized'!$D:$D, MATCH($A5, 'KZ-normalized'!$A:$A, 0))-INDEX('KZ-normalized'!$E:$E, MATCH($A5, 'KZ-normalized'!$A:$A, 0))), 0), 0))+(IFERROR(IF(7*INDEX('UZ-normalized'!$D:$D, MATCH($A5, 'UZ-normalized'!$A:$A, 0))-INDEX('UZ-normalized'!$E:$E, MATCH($A5, 'UZ-normalized'!$A:$A, 0))&gt;0, -(7*INDEX('UZ-normalized'!$D:$D, MATCH($A5, 'UZ-normalized'!$A:$A, 0))-INDEX('UZ-normalized'!$E:$E, MATCH($A5, 'UZ-normalized'!$A:$A, 0))), 0), 0)))</f>
        <v>-37.5</v>
      </c>
      <c r="V5" s="6">
        <f>MIN(0, N5+(IFERROR(IF(8*INDEX('UA-normalized'!$D:$D, MATCH($A5, 'UA-normalized'!$A:$A, 0))-INDEX('UA-normalized'!$E:$E, MATCH($A5, 'UA-normalized'!$A:$A, 0))&gt;0, -(8*INDEX('UA-normalized'!$D:$D, MATCH($A5, 'UA-normalized'!$A:$A, 0))-INDEX('UA-normalized'!$E:$E, MATCH($A5, 'UA-normalized'!$A:$A, 0))), 0), 0))+(IFERROR(IF(8*INDEX('KZ-normalized'!$D:$D, MATCH($A5, 'KZ-normalized'!$A:$A, 0))-INDEX('KZ-normalized'!$E:$E, MATCH($A5, 'KZ-normalized'!$A:$A, 0))&gt;0, -(8*INDEX('KZ-normalized'!$D:$D, MATCH($A5, 'KZ-normalized'!$A:$A, 0))-INDEX('KZ-normalized'!$E:$E, MATCH($A5, 'KZ-normalized'!$A:$A, 0))), 0), 0))+(IFERROR(IF(8*INDEX('UZ-normalized'!$D:$D, MATCH($A5, 'UZ-normalized'!$A:$A, 0))-INDEX('UZ-normalized'!$E:$E, MATCH($A5, 'UZ-normalized'!$A:$A, 0))&gt;0, -(8*INDEX('UZ-normalized'!$D:$D, MATCH($A5, 'UZ-normalized'!$A:$A, 0))-INDEX('UZ-normalized'!$E:$E, MATCH($A5, 'UZ-normalized'!$A:$A, 0))), 0), 0)))</f>
        <v>-54.8</v>
      </c>
      <c r="W5" s="6">
        <f>MIN(0, N5+(IFERROR(IF(9*INDEX('UA-normalized'!$D:$D, MATCH($A5, 'UA-normalized'!$A:$A, 0))-INDEX('UA-normalized'!$E:$E, MATCH($A5, 'UA-normalized'!$A:$A, 0))&gt;0, -(9*INDEX('UA-normalized'!$D:$D, MATCH($A5, 'UA-normalized'!$A:$A, 0))-INDEX('UA-normalized'!$E:$E, MATCH($A5, 'UA-normalized'!$A:$A, 0))), 0), 0))+(IFERROR(IF(9*INDEX('KZ-normalized'!$D:$D, MATCH($A5, 'KZ-normalized'!$A:$A, 0))-INDEX('KZ-normalized'!$E:$E, MATCH($A5, 'KZ-normalized'!$A:$A, 0))&gt;0, -(9*INDEX('KZ-normalized'!$D:$D, MATCH($A5, 'KZ-normalized'!$A:$A, 0))-INDEX('KZ-normalized'!$E:$E, MATCH($A5, 'KZ-normalized'!$A:$A, 0))), 0), 0))+(IFERROR(IF(9*INDEX('UZ-normalized'!$D:$D, MATCH($A5, 'UZ-normalized'!$A:$A, 0))-INDEX('UZ-normalized'!$E:$E, MATCH($A5, 'UZ-normalized'!$A:$A, 0))&gt;0, -(9*INDEX('UZ-normalized'!$D:$D, MATCH($A5, 'UZ-normalized'!$A:$A, 0))-INDEX('UZ-normalized'!$E:$E, MATCH($A5, 'UZ-normalized'!$A:$A, 0))), 0), 0)))</f>
        <v>-73.900000000000006</v>
      </c>
      <c r="X5" s="6">
        <f>MIN(0, N5+(IFERROR(IF(10*INDEX('UA-normalized'!$D:$D, MATCH($A5, 'UA-normalized'!$A:$A, 0))-INDEX('UA-normalized'!$E:$E, MATCH($A5, 'UA-normalized'!$A:$A, 0))&gt;0, -(10*INDEX('UA-normalized'!$D:$D, MATCH($A5, 'UA-normalized'!$A:$A, 0))-INDEX('UA-normalized'!$E:$E, MATCH($A5, 'UA-normalized'!$A:$A, 0))), 0), 0))+(IFERROR(IF(10*INDEX('KZ-normalized'!$D:$D, MATCH($A5, 'KZ-normalized'!$A:$A, 0))-INDEX('KZ-normalized'!$E:$E, MATCH($A5, 'KZ-normalized'!$A:$A, 0))&gt;0, -(10*INDEX('KZ-normalized'!$D:$D, MATCH($A5, 'KZ-normalized'!$A:$A, 0))-INDEX('KZ-normalized'!$E:$E, MATCH($A5, 'KZ-normalized'!$A:$A, 0))), 0), 0))+(IFERROR(IF(10*INDEX('UZ-normalized'!$D:$D, MATCH($A5, 'UZ-normalized'!$A:$A, 0))-INDEX('UZ-normalized'!$E:$E, MATCH($A5, 'UZ-normalized'!$A:$A, 0))&gt;0, -(10*INDEX('UZ-normalized'!$D:$D, MATCH($A5, 'UZ-normalized'!$A:$A, 0))-INDEX('UZ-normalized'!$E:$E, MATCH($A5, 'UZ-normalized'!$A:$A, 0))), 0), 0)))</f>
        <v>-93</v>
      </c>
      <c r="Y5" s="6">
        <f>MIN(0, N5+(IFERROR(IF(11*INDEX('UA-normalized'!$D:$D, MATCH($A5, 'UA-normalized'!$A:$A, 0))-INDEX('UA-normalized'!$E:$E, MATCH($A5, 'UA-normalized'!$A:$A, 0))&gt;0, -(11*INDEX('UA-normalized'!$D:$D, MATCH($A5, 'UA-normalized'!$A:$A, 0))-INDEX('UA-normalized'!$E:$E, MATCH($A5, 'UA-normalized'!$A:$A, 0))), 0), 0))+(IFERROR(IF(11*INDEX('KZ-normalized'!$D:$D, MATCH($A5, 'KZ-normalized'!$A:$A, 0))-INDEX('KZ-normalized'!$E:$E, MATCH($A5, 'KZ-normalized'!$A:$A, 0))&gt;0, -(11*INDEX('KZ-normalized'!$D:$D, MATCH($A5, 'KZ-normalized'!$A:$A, 0))-INDEX('KZ-normalized'!$E:$E, MATCH($A5, 'KZ-normalized'!$A:$A, 0))), 0), 0))+(IFERROR(IF(11*INDEX('UZ-normalized'!$D:$D, MATCH($A5, 'UZ-normalized'!$A:$A, 0))-INDEX('UZ-normalized'!$E:$E, MATCH($A5, 'UZ-normalized'!$A:$A, 0))&gt;0, -(11*INDEX('UZ-normalized'!$D:$D, MATCH($A5, 'UZ-normalized'!$A:$A, 0))-INDEX('UZ-normalized'!$E:$E, MATCH($A5, 'UZ-normalized'!$A:$A, 0))), 0), 0)))</f>
        <v>-112.1</v>
      </c>
      <c r="Z5" s="6">
        <f>MIN(0, N5+(IFERROR(IF(12*INDEX('UA-normalized'!$D:$D, MATCH($A5, 'UA-normalized'!$A:$A, 0))-INDEX('UA-normalized'!$E:$E, MATCH($A5, 'UA-normalized'!$A:$A, 0))&gt;0, -(12*INDEX('UA-normalized'!$D:$D, MATCH($A5, 'UA-normalized'!$A:$A, 0))-INDEX('UA-normalized'!$E:$E, MATCH($A5, 'UA-normalized'!$A:$A, 0))), 0), 0))+(IFERROR(IF(12*INDEX('KZ-normalized'!$D:$D, MATCH($A5, 'KZ-normalized'!$A:$A, 0))-INDEX('KZ-normalized'!$E:$E, MATCH($A5, 'KZ-normalized'!$A:$A, 0))&gt;0, -(12*INDEX('KZ-normalized'!$D:$D, MATCH($A5, 'KZ-normalized'!$A:$A, 0))-INDEX('KZ-normalized'!$E:$E, MATCH($A5, 'KZ-normalized'!$A:$A, 0))), 0), 0))+(IFERROR(IF(12*INDEX('UZ-normalized'!$D:$D, MATCH($A5, 'UZ-normalized'!$A:$A, 0))-INDEX('UZ-normalized'!$E:$E, MATCH($A5, 'UZ-normalized'!$A:$A, 0))&gt;0, -(12*INDEX('UZ-normalized'!$D:$D, MATCH($A5, 'UZ-normalized'!$A:$A, 0))-INDEX('UZ-normalized'!$E:$E, MATCH($A5, 'UZ-normalized'!$A:$A, 0))), 0), 0)))</f>
        <v>-131.19999999999999</v>
      </c>
      <c r="AA5" s="6">
        <f>MIN(0, N5+(IFERROR(IF(13*INDEX('UA-normalized'!$D:$D, MATCH($A5, 'UA-normalized'!$A:$A, 0))-INDEX('UA-normalized'!$E:$E, MATCH($A5, 'UA-normalized'!$A:$A, 0))&gt;0, -(13*INDEX('UA-normalized'!$D:$D, MATCH($A5, 'UA-normalized'!$A:$A, 0))-INDEX('UA-normalized'!$E:$E, MATCH($A5, 'UA-normalized'!$A:$A, 0))), 0), 0))+(IFERROR(IF(13*INDEX('KZ-normalized'!$D:$D, MATCH($A5, 'KZ-normalized'!$A:$A, 0))-INDEX('KZ-normalized'!$E:$E, MATCH($A5, 'KZ-normalized'!$A:$A, 0))&gt;0, -(13*INDEX('KZ-normalized'!$D:$D, MATCH($A5, 'KZ-normalized'!$A:$A, 0))-INDEX('KZ-normalized'!$E:$E, MATCH($A5, 'KZ-normalized'!$A:$A, 0))), 0), 0))+(IFERROR(IF(13*INDEX('UZ-normalized'!$D:$D, MATCH($A5, 'UZ-normalized'!$A:$A, 0))-INDEX('UZ-normalized'!$E:$E, MATCH($A5, 'UZ-normalized'!$A:$A, 0))&gt;0, -(13*INDEX('UZ-normalized'!$D:$D, MATCH($A5, 'UZ-normalized'!$A:$A, 0))-INDEX('UZ-normalized'!$E:$E, MATCH($A5, 'UZ-normalized'!$A:$A, 0))), 0), 0)))</f>
        <v>-150.30000000000001</v>
      </c>
      <c r="AB5" s="6">
        <f>MIN(0, N5+(IFERROR(IF(14*INDEX('UA-normalized'!$D:$D, MATCH($A5, 'UA-normalized'!$A:$A, 0))-INDEX('UA-normalized'!$E:$E, MATCH($A5, 'UA-normalized'!$A:$A, 0))&gt;0, -(14*INDEX('UA-normalized'!$D:$D, MATCH($A5, 'UA-normalized'!$A:$A, 0))-INDEX('UA-normalized'!$E:$E, MATCH($A5, 'UA-normalized'!$A:$A, 0))), 0), 0))+(IFERROR(IF(14*INDEX('KZ-normalized'!$D:$D, MATCH($A5, 'KZ-normalized'!$A:$A, 0))-INDEX('KZ-normalized'!$E:$E, MATCH($A5, 'KZ-normalized'!$A:$A, 0))&gt;0, -(14*INDEX('KZ-normalized'!$D:$D, MATCH($A5, 'KZ-normalized'!$A:$A, 0))-INDEX('KZ-normalized'!$E:$E, MATCH($A5, 'KZ-normalized'!$A:$A, 0))), 0), 0))+(IFERROR(IF(14*INDEX('UZ-normalized'!$D:$D, MATCH($A5, 'UZ-normalized'!$A:$A, 0))-INDEX('UZ-normalized'!$E:$E, MATCH($A5, 'UZ-normalized'!$A:$A, 0))&gt;0, -(14*INDEX('UZ-normalized'!$D:$D, MATCH($A5, 'UZ-normalized'!$A:$A, 0))-INDEX('UZ-normalized'!$E:$E, MATCH($A5, 'UZ-normalized'!$A:$A, 0))), 0), 0)))</f>
        <v>-169.39999999999998</v>
      </c>
      <c r="AC5" s="6">
        <f>MIN(0, N5+(IFERROR(IF(15*INDEX('UA-normalized'!$D:$D, MATCH($A5, 'UA-normalized'!$A:$A, 0))-INDEX('UA-normalized'!$E:$E, MATCH($A5, 'UA-normalized'!$A:$A, 0))&gt;0, -(15*INDEX('UA-normalized'!$D:$D, MATCH($A5, 'UA-normalized'!$A:$A, 0))-INDEX('UA-normalized'!$E:$E, MATCH($A5, 'UA-normalized'!$A:$A, 0))), 0), 0))+(IFERROR(IF(15*INDEX('KZ-normalized'!$D:$D, MATCH($A5, 'KZ-normalized'!$A:$A, 0))-INDEX('KZ-normalized'!$E:$E, MATCH($A5, 'KZ-normalized'!$A:$A, 0))&gt;0, -(15*INDEX('KZ-normalized'!$D:$D, MATCH($A5, 'KZ-normalized'!$A:$A, 0))-INDEX('KZ-normalized'!$E:$E, MATCH($A5, 'KZ-normalized'!$A:$A, 0))), 0), 0))+(IFERROR(IF(15*INDEX('UZ-normalized'!$D:$D, MATCH($A5, 'UZ-normalized'!$A:$A, 0))-INDEX('UZ-normalized'!$E:$E, MATCH($A5, 'UZ-normalized'!$A:$A, 0))&gt;0, -(15*INDEX('UZ-normalized'!$D:$D, MATCH($A5, 'UZ-normalized'!$A:$A, 0))-INDEX('UZ-normalized'!$E:$E, MATCH($A5, 'UZ-normalized'!$A:$A, 0))), 0), 0)))</f>
        <v>-188.5</v>
      </c>
      <c r="AD5" s="6">
        <f>MIN(0, N5+(IFERROR(IF(16*INDEX('UA-normalized'!$D:$D, MATCH($A5, 'UA-normalized'!$A:$A, 0))-INDEX('UA-normalized'!$E:$E, MATCH($A5, 'UA-normalized'!$A:$A, 0))&gt;0, -(16*INDEX('UA-normalized'!$D:$D, MATCH($A5, 'UA-normalized'!$A:$A, 0))-INDEX('UA-normalized'!$E:$E, MATCH($A5, 'UA-normalized'!$A:$A, 0))), 0), 0))+(IFERROR(IF(16*INDEX('KZ-normalized'!$D:$D, MATCH($A5, 'KZ-normalized'!$A:$A, 0))-INDEX('KZ-normalized'!$E:$E, MATCH($A5, 'KZ-normalized'!$A:$A, 0))&gt;0, -(16*INDEX('KZ-normalized'!$D:$D, MATCH($A5, 'KZ-normalized'!$A:$A, 0))-INDEX('KZ-normalized'!$E:$E, MATCH($A5, 'KZ-normalized'!$A:$A, 0))), 0), 0))+(IFERROR(IF(16*INDEX('UZ-normalized'!$D:$D, MATCH($A5, 'UZ-normalized'!$A:$A, 0))-INDEX('UZ-normalized'!$E:$E, MATCH($A5, 'UZ-normalized'!$A:$A, 0))&gt;0, -(16*INDEX('UZ-normalized'!$D:$D, MATCH($A5, 'UZ-normalized'!$A:$A, 0))-INDEX('UZ-normalized'!$E:$E, MATCH($A5, 'UZ-normalized'!$A:$A, 0))), 0), 0)))</f>
        <v>-207.6</v>
      </c>
      <c r="AE5" s="6">
        <f>MIN(0, N5+(IFERROR(IF(17*INDEX('UA-normalized'!$D:$D, MATCH($A5, 'UA-normalized'!$A:$A, 0))-INDEX('UA-normalized'!$E:$E, MATCH($A5, 'UA-normalized'!$A:$A, 0))&gt;0, -(17*INDEX('UA-normalized'!$D:$D, MATCH($A5, 'UA-normalized'!$A:$A, 0))-INDEX('UA-normalized'!$E:$E, MATCH($A5, 'UA-normalized'!$A:$A, 0))), 0), 0))+(IFERROR(IF(17*INDEX('KZ-normalized'!$D:$D, MATCH($A5, 'KZ-normalized'!$A:$A, 0))-INDEX('KZ-normalized'!$E:$E, MATCH($A5, 'KZ-normalized'!$A:$A, 0))&gt;0, -(17*INDEX('KZ-normalized'!$D:$D, MATCH($A5, 'KZ-normalized'!$A:$A, 0))-INDEX('KZ-normalized'!$E:$E, MATCH($A5, 'KZ-normalized'!$A:$A, 0))), 0), 0))+(IFERROR(IF(17*INDEX('UZ-normalized'!$D:$D, MATCH($A5, 'UZ-normalized'!$A:$A, 0))-INDEX('UZ-normalized'!$E:$E, MATCH($A5, 'UZ-normalized'!$A:$A, 0))&gt;0, -(17*INDEX('UZ-normalized'!$D:$D, MATCH($A5, 'UZ-normalized'!$A:$A, 0))-INDEX('UZ-normalized'!$E:$E, MATCH($A5, 'UZ-normalized'!$A:$A, 0))), 0), 0)))</f>
        <v>-226.7</v>
      </c>
      <c r="AF5" s="6">
        <f>MIN(0, N5+(IFERROR(IF(18*INDEX('UA-normalized'!$D:$D, MATCH($A5, 'UA-normalized'!$A:$A, 0))-INDEX('UA-normalized'!$E:$E, MATCH($A5, 'UA-normalized'!$A:$A, 0))&gt;0, -(18*INDEX('UA-normalized'!$D:$D, MATCH($A5, 'UA-normalized'!$A:$A, 0))-INDEX('UA-normalized'!$E:$E, MATCH($A5, 'UA-normalized'!$A:$A, 0))), 0), 0))+(IFERROR(IF(18*INDEX('KZ-normalized'!$D:$D, MATCH($A5, 'KZ-normalized'!$A:$A, 0))-INDEX('KZ-normalized'!$E:$E, MATCH($A5, 'KZ-normalized'!$A:$A, 0))&gt;0, -(18*INDEX('KZ-normalized'!$D:$D, MATCH($A5, 'KZ-normalized'!$A:$A, 0))-INDEX('KZ-normalized'!$E:$E, MATCH($A5, 'KZ-normalized'!$A:$A, 0))), 0), 0))+(IFERROR(IF(18*INDEX('UZ-normalized'!$D:$D, MATCH($A5, 'UZ-normalized'!$A:$A, 0))-INDEX('UZ-normalized'!$E:$E, MATCH($A5, 'UZ-normalized'!$A:$A, 0))&gt;0, -(18*INDEX('UZ-normalized'!$D:$D, MATCH($A5, 'UZ-normalized'!$A:$A, 0))-INDEX('UZ-normalized'!$E:$E, MATCH($A5, 'UZ-normalized'!$A:$A, 0))), 0), 0)))</f>
        <v>-245.8</v>
      </c>
      <c r="AG5" s="6">
        <f>MIN(0, N5+(IFERROR(IF(19*INDEX('UA-normalized'!$D:$D, MATCH($A5, 'UA-normalized'!$A:$A, 0))-INDEX('UA-normalized'!$E:$E, MATCH($A5, 'UA-normalized'!$A:$A, 0))&gt;0, -(19*INDEX('UA-normalized'!$D:$D, MATCH($A5, 'UA-normalized'!$A:$A, 0))-INDEX('UA-normalized'!$E:$E, MATCH($A5, 'UA-normalized'!$A:$A, 0))), 0), 0))+(IFERROR(IF(19*INDEX('KZ-normalized'!$D:$D, MATCH($A5, 'KZ-normalized'!$A:$A, 0))-INDEX('KZ-normalized'!$E:$E, MATCH($A5, 'KZ-normalized'!$A:$A, 0))&gt;0, -(19*INDEX('KZ-normalized'!$D:$D, MATCH($A5, 'KZ-normalized'!$A:$A, 0))-INDEX('KZ-normalized'!$E:$E, MATCH($A5, 'KZ-normalized'!$A:$A, 0))), 0), 0))+(IFERROR(IF(19*INDEX('UZ-normalized'!$D:$D, MATCH($A5, 'UZ-normalized'!$A:$A, 0))-INDEX('UZ-normalized'!$E:$E, MATCH($A5, 'UZ-normalized'!$A:$A, 0))&gt;0, -(19*INDEX('UZ-normalized'!$D:$D, MATCH($A5, 'UZ-normalized'!$A:$A, 0))-INDEX('UZ-normalized'!$E:$E, MATCH($A5, 'UZ-normalized'!$A:$A, 0))), 0), 0)))</f>
        <v>-264.89999999999998</v>
      </c>
      <c r="AH5" s="6">
        <f>MIN(0, N5+(IFERROR(IF(20*INDEX('UA-normalized'!$D:$D, MATCH($A5, 'UA-normalized'!$A:$A, 0))-INDEX('UA-normalized'!$E:$E, MATCH($A5, 'UA-normalized'!$A:$A, 0))&gt;0, -(20*INDEX('UA-normalized'!$D:$D, MATCH($A5, 'UA-normalized'!$A:$A, 0))-INDEX('UA-normalized'!$E:$E, MATCH($A5, 'UA-normalized'!$A:$A, 0))), 0), 0))+(IFERROR(IF(20*INDEX('KZ-normalized'!$D:$D, MATCH($A5, 'KZ-normalized'!$A:$A, 0))-INDEX('KZ-normalized'!$E:$E, MATCH($A5, 'KZ-normalized'!$A:$A, 0))&gt;0, -(20*INDEX('KZ-normalized'!$D:$D, MATCH($A5, 'KZ-normalized'!$A:$A, 0))-INDEX('KZ-normalized'!$E:$E, MATCH($A5, 'KZ-normalized'!$A:$A, 0))), 0), 0))+(IFERROR(IF(20*INDEX('UZ-normalized'!$D:$D, MATCH($A5, 'UZ-normalized'!$A:$A, 0))-INDEX('UZ-normalized'!$E:$E, MATCH($A5, 'UZ-normalized'!$A:$A, 0))&gt;0, -(20*INDEX('UZ-normalized'!$D:$D, MATCH($A5, 'UZ-normalized'!$A:$A, 0))-INDEX('UZ-normalized'!$E:$E, MATCH($A5, 'UZ-normalized'!$A:$A, 0))), 0), 0)))</f>
        <v>-284</v>
      </c>
      <c r="AI5" s="6">
        <f>MIN(0, N5+(IFERROR(IF(21*INDEX('UA-normalized'!$D:$D, MATCH($A5, 'UA-normalized'!$A:$A, 0))-INDEX('UA-normalized'!$E:$E, MATCH($A5, 'UA-normalized'!$A:$A, 0))&gt;0, -(21*INDEX('UA-normalized'!$D:$D, MATCH($A5, 'UA-normalized'!$A:$A, 0))-INDEX('UA-normalized'!$E:$E, MATCH($A5, 'UA-normalized'!$A:$A, 0))), 0), 0))+(IFERROR(IF(21*INDEX('KZ-normalized'!$D:$D, MATCH($A5, 'KZ-normalized'!$A:$A, 0))-INDEX('KZ-normalized'!$E:$E, MATCH($A5, 'KZ-normalized'!$A:$A, 0))&gt;0, -(21*INDEX('KZ-normalized'!$D:$D, MATCH($A5, 'KZ-normalized'!$A:$A, 0))-INDEX('KZ-normalized'!$E:$E, MATCH($A5, 'KZ-normalized'!$A:$A, 0))), 0), 0))+(IFERROR(IF(21*INDEX('UZ-normalized'!$D:$D, MATCH($A5, 'UZ-normalized'!$A:$A, 0))-INDEX('UZ-normalized'!$E:$E, MATCH($A5, 'UZ-normalized'!$A:$A, 0))&gt;0, -(21*INDEX('UZ-normalized'!$D:$D, MATCH($A5, 'UZ-normalized'!$A:$A, 0))-INDEX('UZ-normalized'!$E:$E, MATCH($A5, 'UZ-normalized'!$A:$A, 0))), 0), 0)))</f>
        <v>-303.10000000000002</v>
      </c>
      <c r="AJ5" s="6">
        <f>MIN(0, N5+(IFERROR(IF(22*INDEX('UA-normalized'!$D:$D, MATCH($A5, 'UA-normalized'!$A:$A, 0))-INDEX('UA-normalized'!$E:$E, MATCH($A5, 'UA-normalized'!$A:$A, 0))&gt;0, -(22*INDEX('UA-normalized'!$D:$D, MATCH($A5, 'UA-normalized'!$A:$A, 0))-INDEX('UA-normalized'!$E:$E, MATCH($A5, 'UA-normalized'!$A:$A, 0))), 0), 0))+(IFERROR(IF(22*INDEX('KZ-normalized'!$D:$D, MATCH($A5, 'KZ-normalized'!$A:$A, 0))-INDEX('KZ-normalized'!$E:$E, MATCH($A5, 'KZ-normalized'!$A:$A, 0))&gt;0, -(22*INDEX('KZ-normalized'!$D:$D, MATCH($A5, 'KZ-normalized'!$A:$A, 0))-INDEX('KZ-normalized'!$E:$E, MATCH($A5, 'KZ-normalized'!$A:$A, 0))), 0), 0))+(IFERROR(IF(22*INDEX('UZ-normalized'!$D:$D, MATCH($A5, 'UZ-normalized'!$A:$A, 0))-INDEX('UZ-normalized'!$E:$E, MATCH($A5, 'UZ-normalized'!$A:$A, 0))&gt;0, -(22*INDEX('UZ-normalized'!$D:$D, MATCH($A5, 'UZ-normalized'!$A:$A, 0))-INDEX('UZ-normalized'!$E:$E, MATCH($A5, 'UZ-normalized'!$A:$A, 0))), 0), 0)))</f>
        <v>-322.2</v>
      </c>
      <c r="AK5" s="6">
        <f>MIN(0, N5+(IFERROR(IF(23*INDEX('UA-normalized'!$D:$D, MATCH($A5, 'UA-normalized'!$A:$A, 0))-INDEX('UA-normalized'!$E:$E, MATCH($A5, 'UA-normalized'!$A:$A, 0))&gt;0, -(23*INDEX('UA-normalized'!$D:$D, MATCH($A5, 'UA-normalized'!$A:$A, 0))-INDEX('UA-normalized'!$E:$E, MATCH($A5, 'UA-normalized'!$A:$A, 0))), 0), 0))+(IFERROR(IF(23*INDEX('KZ-normalized'!$D:$D, MATCH($A5, 'KZ-normalized'!$A:$A, 0))-INDEX('KZ-normalized'!$E:$E, MATCH($A5, 'KZ-normalized'!$A:$A, 0))&gt;0, -(23*INDEX('KZ-normalized'!$D:$D, MATCH($A5, 'KZ-normalized'!$A:$A, 0))-INDEX('KZ-normalized'!$E:$E, MATCH($A5, 'KZ-normalized'!$A:$A, 0))), 0), 0))+(IFERROR(IF(23*INDEX('UZ-normalized'!$D:$D, MATCH($A5, 'UZ-normalized'!$A:$A, 0))-INDEX('UZ-normalized'!$E:$E, MATCH($A5, 'UZ-normalized'!$A:$A, 0))&gt;0, -(23*INDEX('UZ-normalized'!$D:$D, MATCH($A5, 'UZ-normalized'!$A:$A, 0))-INDEX('UZ-normalized'!$E:$E, MATCH($A5, 'UZ-normalized'!$A:$A, 0))), 0), 0)))</f>
        <v>-341.29999999999995</v>
      </c>
      <c r="AL5" s="6">
        <f>MIN(0, N5+(IFERROR(IF(24*INDEX('UA-normalized'!$D:$D, MATCH($A5, 'UA-normalized'!$A:$A, 0))-INDEX('UA-normalized'!$E:$E, MATCH($A5, 'UA-normalized'!$A:$A, 0))&gt;0, -(24*INDEX('UA-normalized'!$D:$D, MATCH($A5, 'UA-normalized'!$A:$A, 0))-INDEX('UA-normalized'!$E:$E, MATCH($A5, 'UA-normalized'!$A:$A, 0))), 0), 0))+(IFERROR(IF(24*INDEX('KZ-normalized'!$D:$D, MATCH($A5, 'KZ-normalized'!$A:$A, 0))-INDEX('KZ-normalized'!$E:$E, MATCH($A5, 'KZ-normalized'!$A:$A, 0))&gt;0, -(24*INDEX('KZ-normalized'!$D:$D, MATCH($A5, 'KZ-normalized'!$A:$A, 0))-INDEX('KZ-normalized'!$E:$E, MATCH($A5, 'KZ-normalized'!$A:$A, 0))), 0), 0))+(IFERROR(IF(24*INDEX('UZ-normalized'!$D:$D, MATCH($A5, 'UZ-normalized'!$A:$A, 0))-INDEX('UZ-normalized'!$E:$E, MATCH($A5, 'UZ-normalized'!$A:$A, 0))&gt;0, -(24*INDEX('UZ-normalized'!$D:$D, MATCH($A5, 'UZ-normalized'!$A:$A, 0))-INDEX('UZ-normalized'!$E:$E, MATCH($A5, 'UZ-normalized'!$A:$A, 0))), 0), 0)))</f>
        <v>-360.4</v>
      </c>
      <c r="AM5" s="6">
        <f>MIN(0, N5+(IFERROR(IF(25*INDEX('UA-normalized'!$D:$D, MATCH($A5, 'UA-normalized'!$A:$A, 0))-INDEX('UA-normalized'!$E:$E, MATCH($A5, 'UA-normalized'!$A:$A, 0))&gt;0, -(25*INDEX('UA-normalized'!$D:$D, MATCH($A5, 'UA-normalized'!$A:$A, 0))-INDEX('UA-normalized'!$E:$E, MATCH($A5, 'UA-normalized'!$A:$A, 0))), 0), 0))+(IFERROR(IF(25*INDEX('KZ-normalized'!$D:$D, MATCH($A5, 'KZ-normalized'!$A:$A, 0))-INDEX('KZ-normalized'!$E:$E, MATCH($A5, 'KZ-normalized'!$A:$A, 0))&gt;0, -(25*INDEX('KZ-normalized'!$D:$D, MATCH($A5, 'KZ-normalized'!$A:$A, 0))-INDEX('KZ-normalized'!$E:$E, MATCH($A5, 'KZ-normalized'!$A:$A, 0))), 0), 0))+(IFERROR(IF(25*INDEX('UZ-normalized'!$D:$D, MATCH($A5, 'UZ-normalized'!$A:$A, 0))-INDEX('UZ-normalized'!$E:$E, MATCH($A5, 'UZ-normalized'!$A:$A, 0))&gt;0, -(25*INDEX('UZ-normalized'!$D:$D, MATCH($A5, 'UZ-normalized'!$A:$A, 0))-INDEX('UZ-normalized'!$E:$E, MATCH($A5, 'UZ-normalized'!$A:$A, 0))), 0), 0)))</f>
        <v>-379.5</v>
      </c>
      <c r="AN5" s="6">
        <f>MIN(0, N5+(IFERROR(IF(26*INDEX('UA-normalized'!$D:$D, MATCH($A5, 'UA-normalized'!$A:$A, 0))-INDEX('UA-normalized'!$E:$E, MATCH($A5, 'UA-normalized'!$A:$A, 0))&gt;0, -(26*INDEX('UA-normalized'!$D:$D, MATCH($A5, 'UA-normalized'!$A:$A, 0))-INDEX('UA-normalized'!$E:$E, MATCH($A5, 'UA-normalized'!$A:$A, 0))), 0), 0))+(IFERROR(IF(26*INDEX('KZ-normalized'!$D:$D, MATCH($A5, 'KZ-normalized'!$A:$A, 0))-INDEX('KZ-normalized'!$E:$E, MATCH($A5, 'KZ-normalized'!$A:$A, 0))&gt;0, -(26*INDEX('KZ-normalized'!$D:$D, MATCH($A5, 'KZ-normalized'!$A:$A, 0))-INDEX('KZ-normalized'!$E:$E, MATCH($A5, 'KZ-normalized'!$A:$A, 0))), 0), 0))+(IFERROR(IF(26*INDEX('UZ-normalized'!$D:$D, MATCH($A5, 'UZ-normalized'!$A:$A, 0))-INDEX('UZ-normalized'!$E:$E, MATCH($A5, 'UZ-normalized'!$A:$A, 0))&gt;0, -(26*INDEX('UZ-normalized'!$D:$D, MATCH($A5, 'UZ-normalized'!$A:$A, 0))-INDEX('UZ-normalized'!$E:$E, MATCH($A5, 'UZ-normalized'!$A:$A, 0))), 0), 0)))</f>
        <v>-398.6</v>
      </c>
      <c r="AO5" s="6">
        <f>MIN(0, N5+(IFERROR(IF(27*INDEX('UA-normalized'!$D:$D, MATCH($A5, 'UA-normalized'!$A:$A, 0))-INDEX('UA-normalized'!$E:$E, MATCH($A5, 'UA-normalized'!$A:$A, 0))&gt;0, -(27*INDEX('UA-normalized'!$D:$D, MATCH($A5, 'UA-normalized'!$A:$A, 0))-INDEX('UA-normalized'!$E:$E, MATCH($A5, 'UA-normalized'!$A:$A, 0))), 0), 0))+(IFERROR(IF(27*INDEX('KZ-normalized'!$D:$D, MATCH($A5, 'KZ-normalized'!$A:$A, 0))-INDEX('KZ-normalized'!$E:$E, MATCH($A5, 'KZ-normalized'!$A:$A, 0))&gt;0, -(27*INDEX('KZ-normalized'!$D:$D, MATCH($A5, 'KZ-normalized'!$A:$A, 0))-INDEX('KZ-normalized'!$E:$E, MATCH($A5, 'KZ-normalized'!$A:$A, 0))), 0), 0))+(IFERROR(IF(27*INDEX('UZ-normalized'!$D:$D, MATCH($A5, 'UZ-normalized'!$A:$A, 0))-INDEX('UZ-normalized'!$E:$E, MATCH($A5, 'UZ-normalized'!$A:$A, 0))&gt;0, -(27*INDEX('UZ-normalized'!$D:$D, MATCH($A5, 'UZ-normalized'!$A:$A, 0))-INDEX('UZ-normalized'!$E:$E, MATCH($A5, 'UZ-normalized'!$A:$A, 0))), 0), 0)))</f>
        <v>-417.7</v>
      </c>
      <c r="AP5" s="6">
        <f>MIN(0, N5+(IFERROR(IF(28*INDEX('UA-normalized'!$D:$D, MATCH($A5, 'UA-normalized'!$A:$A, 0))-INDEX('UA-normalized'!$E:$E, MATCH($A5, 'UA-normalized'!$A:$A, 0))&gt;0, -(28*INDEX('UA-normalized'!$D:$D, MATCH($A5, 'UA-normalized'!$A:$A, 0))-INDEX('UA-normalized'!$E:$E, MATCH($A5, 'UA-normalized'!$A:$A, 0))), 0), 0))+(IFERROR(IF(28*INDEX('KZ-normalized'!$D:$D, MATCH($A5, 'KZ-normalized'!$A:$A, 0))-INDEX('KZ-normalized'!$E:$E, MATCH($A5, 'KZ-normalized'!$A:$A, 0))&gt;0, -(28*INDEX('KZ-normalized'!$D:$D, MATCH($A5, 'KZ-normalized'!$A:$A, 0))-INDEX('KZ-normalized'!$E:$E, MATCH($A5, 'KZ-normalized'!$A:$A, 0))), 0), 0))+(IFERROR(IF(28*INDEX('UZ-normalized'!$D:$D, MATCH($A5, 'UZ-normalized'!$A:$A, 0))-INDEX('UZ-normalized'!$E:$E, MATCH($A5, 'UZ-normalized'!$A:$A, 0))&gt;0, -(28*INDEX('UZ-normalized'!$D:$D, MATCH($A5, 'UZ-normalized'!$A:$A, 0))-INDEX('UZ-normalized'!$E:$E, MATCH($A5, 'UZ-normalized'!$A:$A, 0))), 0), 0)))</f>
        <v>-436.79999999999995</v>
      </c>
      <c r="AQ5" s="6">
        <f>MIN(0, N5+(IFERROR(IF(29*INDEX('UA-normalized'!$D:$D, MATCH($A5, 'UA-normalized'!$A:$A, 0))-INDEX('UA-normalized'!$E:$E, MATCH($A5, 'UA-normalized'!$A:$A, 0))&gt;0, -(29*INDEX('UA-normalized'!$D:$D, MATCH($A5, 'UA-normalized'!$A:$A, 0))-INDEX('UA-normalized'!$E:$E, MATCH($A5, 'UA-normalized'!$A:$A, 0))), 0), 0))+(IFERROR(IF(29*INDEX('KZ-normalized'!$D:$D, MATCH($A5, 'KZ-normalized'!$A:$A, 0))-INDEX('KZ-normalized'!$E:$E, MATCH($A5, 'KZ-normalized'!$A:$A, 0))&gt;0, -(29*INDEX('KZ-normalized'!$D:$D, MATCH($A5, 'KZ-normalized'!$A:$A, 0))-INDEX('KZ-normalized'!$E:$E, MATCH($A5, 'KZ-normalized'!$A:$A, 0))), 0), 0))+(IFERROR(IF(29*INDEX('UZ-normalized'!$D:$D, MATCH($A5, 'UZ-normalized'!$A:$A, 0))-INDEX('UZ-normalized'!$E:$E, MATCH($A5, 'UZ-normalized'!$A:$A, 0))&gt;0, -(29*INDEX('UZ-normalized'!$D:$D, MATCH($A5, 'UZ-normalized'!$A:$A, 0))-INDEX('UZ-normalized'!$E:$E, MATCH($A5, 'UZ-normalized'!$A:$A, 0))), 0), 0)))</f>
        <v>-455.9</v>
      </c>
      <c r="AR5" s="6">
        <f>MIN(0, N5+(IFERROR(IF(30*INDEX('UA-normalized'!$D:$D, MATCH($A5, 'UA-normalized'!$A:$A, 0))-INDEX('UA-normalized'!$E:$E, MATCH($A5, 'UA-normalized'!$A:$A, 0))&gt;0, -(30*INDEX('UA-normalized'!$D:$D, MATCH($A5, 'UA-normalized'!$A:$A, 0))-INDEX('UA-normalized'!$E:$E, MATCH($A5, 'UA-normalized'!$A:$A, 0))), 0), 0))+(IFERROR(IF(30*INDEX('KZ-normalized'!$D:$D, MATCH($A5, 'KZ-normalized'!$A:$A, 0))-INDEX('KZ-normalized'!$E:$E, MATCH($A5, 'KZ-normalized'!$A:$A, 0))&gt;0, -(30*INDEX('KZ-normalized'!$D:$D, MATCH($A5, 'KZ-normalized'!$A:$A, 0))-INDEX('KZ-normalized'!$E:$E, MATCH($A5, 'KZ-normalized'!$A:$A, 0))), 0), 0))+(IFERROR(IF(30*INDEX('UZ-normalized'!$D:$D, MATCH($A5, 'UZ-normalized'!$A:$A, 0))-INDEX('UZ-normalized'!$E:$E, MATCH($A5, 'UZ-normalized'!$A:$A, 0))&gt;0, -(30*INDEX('UZ-normalized'!$D:$D, MATCH($A5, 'UZ-normalized'!$A:$A, 0))-INDEX('UZ-normalized'!$E:$E, MATCH($A5, 'UZ-normalized'!$A:$A, 0))), 0), 0)))</f>
        <v>-475</v>
      </c>
    </row>
    <row r="6" spans="1:44" x14ac:dyDescent="0.25">
      <c r="A6" s="8" t="s">
        <v>55</v>
      </c>
      <c r="B6" s="8" t="s">
        <v>45</v>
      </c>
      <c r="C6" s="8" t="s">
        <v>53</v>
      </c>
      <c r="D6" s="8" t="s">
        <v>56</v>
      </c>
      <c r="N6">
        <f t="shared" si="0"/>
        <v>0</v>
      </c>
      <c r="O6" s="6">
        <f>MIN(0, N6+(IFERROR(IF(1*INDEX('UA-normalized'!$D:$D, MATCH($A6, 'UA-normalized'!$A:$A, 0))-INDEX('UA-normalized'!$E:$E, MATCH($A6, 'UA-normalized'!$A:$A, 0))&gt;0, -(1*INDEX('UA-normalized'!$D:$D, MATCH($A6, 'UA-normalized'!$A:$A, 0))-INDEX('UA-normalized'!$E:$E, MATCH($A6, 'UA-normalized'!$A:$A, 0))), 0), 0))+(IFERROR(IF(1*INDEX('KZ-normalized'!$D:$D, MATCH($A6, 'KZ-normalized'!$A:$A, 0))-INDEX('KZ-normalized'!$E:$E, MATCH($A6, 'KZ-normalized'!$A:$A, 0))&gt;0, -(1*INDEX('KZ-normalized'!$D:$D, MATCH($A6, 'KZ-normalized'!$A:$A, 0))-INDEX('KZ-normalized'!$E:$E, MATCH($A6, 'KZ-normalized'!$A:$A, 0))), 0), 0))+(IFERROR(IF(1*INDEX('UZ-normalized'!$D:$D, MATCH($A6, 'UZ-normalized'!$A:$A, 0))-INDEX('UZ-normalized'!$E:$E, MATCH($A6, 'UZ-normalized'!$A:$A, 0))&gt;0, -(1*INDEX('UZ-normalized'!$D:$D, MATCH($A6, 'UZ-normalized'!$A:$A, 0))-INDEX('UZ-normalized'!$E:$E, MATCH($A6, 'UZ-normalized'!$A:$A, 0))), 0), 0)))</f>
        <v>0</v>
      </c>
      <c r="P6" s="6">
        <f>MIN(0, N6+(IFERROR(IF(2*INDEX('UA-normalized'!$D:$D, MATCH($A6, 'UA-normalized'!$A:$A, 0))-INDEX('UA-normalized'!$E:$E, MATCH($A6, 'UA-normalized'!$A:$A, 0))&gt;0, -(2*INDEX('UA-normalized'!$D:$D, MATCH($A6, 'UA-normalized'!$A:$A, 0))-INDEX('UA-normalized'!$E:$E, MATCH($A6, 'UA-normalized'!$A:$A, 0))), 0), 0))+(IFERROR(IF(2*INDEX('KZ-normalized'!$D:$D, MATCH($A6, 'KZ-normalized'!$A:$A, 0))-INDEX('KZ-normalized'!$E:$E, MATCH($A6, 'KZ-normalized'!$A:$A, 0))&gt;0, -(2*INDEX('KZ-normalized'!$D:$D, MATCH($A6, 'KZ-normalized'!$A:$A, 0))-INDEX('KZ-normalized'!$E:$E, MATCH($A6, 'KZ-normalized'!$A:$A, 0))), 0), 0))+(IFERROR(IF(2*INDEX('UZ-normalized'!$D:$D, MATCH($A6, 'UZ-normalized'!$A:$A, 0))-INDEX('UZ-normalized'!$E:$E, MATCH($A6, 'UZ-normalized'!$A:$A, 0))&gt;0, -(2*INDEX('UZ-normalized'!$D:$D, MATCH($A6, 'UZ-normalized'!$A:$A, 0))-INDEX('UZ-normalized'!$E:$E, MATCH($A6, 'UZ-normalized'!$A:$A, 0))), 0), 0)))</f>
        <v>0</v>
      </c>
      <c r="Q6" s="6">
        <f>MIN(0, N6+(IFERROR(IF(3*INDEX('UA-normalized'!$D:$D, MATCH($A6, 'UA-normalized'!$A:$A, 0))-INDEX('UA-normalized'!$E:$E, MATCH($A6, 'UA-normalized'!$A:$A, 0))&gt;0, -(3*INDEX('UA-normalized'!$D:$D, MATCH($A6, 'UA-normalized'!$A:$A, 0))-INDEX('UA-normalized'!$E:$E, MATCH($A6, 'UA-normalized'!$A:$A, 0))), 0), 0))+(IFERROR(IF(3*INDEX('KZ-normalized'!$D:$D, MATCH($A6, 'KZ-normalized'!$A:$A, 0))-INDEX('KZ-normalized'!$E:$E, MATCH($A6, 'KZ-normalized'!$A:$A, 0))&gt;0, -(3*INDEX('KZ-normalized'!$D:$D, MATCH($A6, 'KZ-normalized'!$A:$A, 0))-INDEX('KZ-normalized'!$E:$E, MATCH($A6, 'KZ-normalized'!$A:$A, 0))), 0), 0))+(IFERROR(IF(3*INDEX('UZ-normalized'!$D:$D, MATCH($A6, 'UZ-normalized'!$A:$A, 0))-INDEX('UZ-normalized'!$E:$E, MATCH($A6, 'UZ-normalized'!$A:$A, 0))&gt;0, -(3*INDEX('UZ-normalized'!$D:$D, MATCH($A6, 'UZ-normalized'!$A:$A, 0))-INDEX('UZ-normalized'!$E:$E, MATCH($A6, 'UZ-normalized'!$A:$A, 0))), 0), 0)))</f>
        <v>-8</v>
      </c>
      <c r="R6" s="6">
        <f>MIN(0, N6+(IFERROR(IF(4*INDEX('UA-normalized'!$D:$D, MATCH($A6, 'UA-normalized'!$A:$A, 0))-INDEX('UA-normalized'!$E:$E, MATCH($A6, 'UA-normalized'!$A:$A, 0))&gt;0, -(4*INDEX('UA-normalized'!$D:$D, MATCH($A6, 'UA-normalized'!$A:$A, 0))-INDEX('UA-normalized'!$E:$E, MATCH($A6, 'UA-normalized'!$A:$A, 0))), 0), 0))+(IFERROR(IF(4*INDEX('KZ-normalized'!$D:$D, MATCH($A6, 'KZ-normalized'!$A:$A, 0))-INDEX('KZ-normalized'!$E:$E, MATCH($A6, 'KZ-normalized'!$A:$A, 0))&gt;0, -(4*INDEX('KZ-normalized'!$D:$D, MATCH($A6, 'KZ-normalized'!$A:$A, 0))-INDEX('KZ-normalized'!$E:$E, MATCH($A6, 'KZ-normalized'!$A:$A, 0))), 0), 0))+(IFERROR(IF(4*INDEX('UZ-normalized'!$D:$D, MATCH($A6, 'UZ-normalized'!$A:$A, 0))-INDEX('UZ-normalized'!$E:$E, MATCH($A6, 'UZ-normalized'!$A:$A, 0))&gt;0, -(4*INDEX('UZ-normalized'!$D:$D, MATCH($A6, 'UZ-normalized'!$A:$A, 0))-INDEX('UZ-normalized'!$E:$E, MATCH($A6, 'UZ-normalized'!$A:$A, 0))), 0), 0)))</f>
        <v>-20</v>
      </c>
      <c r="S6" s="6">
        <f>MIN(0, N6+(IFERROR(IF(5*INDEX('UA-normalized'!$D:$D, MATCH($A6, 'UA-normalized'!$A:$A, 0))-INDEX('UA-normalized'!$E:$E, MATCH($A6, 'UA-normalized'!$A:$A, 0))&gt;0, -(5*INDEX('UA-normalized'!$D:$D, MATCH($A6, 'UA-normalized'!$A:$A, 0))-INDEX('UA-normalized'!$E:$E, MATCH($A6, 'UA-normalized'!$A:$A, 0))), 0), 0))+(IFERROR(IF(5*INDEX('KZ-normalized'!$D:$D, MATCH($A6, 'KZ-normalized'!$A:$A, 0))-INDEX('KZ-normalized'!$E:$E, MATCH($A6, 'KZ-normalized'!$A:$A, 0))&gt;0, -(5*INDEX('KZ-normalized'!$D:$D, MATCH($A6, 'KZ-normalized'!$A:$A, 0))-INDEX('KZ-normalized'!$E:$E, MATCH($A6, 'KZ-normalized'!$A:$A, 0))), 0), 0))+(IFERROR(IF(5*INDEX('UZ-normalized'!$D:$D, MATCH($A6, 'UZ-normalized'!$A:$A, 0))-INDEX('UZ-normalized'!$E:$E, MATCH($A6, 'UZ-normalized'!$A:$A, 0))&gt;0, -(5*INDEX('UZ-normalized'!$D:$D, MATCH($A6, 'UZ-normalized'!$A:$A, 0))-INDEX('UZ-normalized'!$E:$E, MATCH($A6, 'UZ-normalized'!$A:$A, 0))), 0), 0)))</f>
        <v>-33.5</v>
      </c>
      <c r="T6" s="6">
        <f>MIN(0, N6+(IFERROR(IF(6*INDEX('UA-normalized'!$D:$D, MATCH($A6, 'UA-normalized'!$A:$A, 0))-INDEX('UA-normalized'!$E:$E, MATCH($A6, 'UA-normalized'!$A:$A, 0))&gt;0, -(6*INDEX('UA-normalized'!$D:$D, MATCH($A6, 'UA-normalized'!$A:$A, 0))-INDEX('UA-normalized'!$E:$E, MATCH($A6, 'UA-normalized'!$A:$A, 0))), 0), 0))+(IFERROR(IF(6*INDEX('KZ-normalized'!$D:$D, MATCH($A6, 'KZ-normalized'!$A:$A, 0))-INDEX('KZ-normalized'!$E:$E, MATCH($A6, 'KZ-normalized'!$A:$A, 0))&gt;0, -(6*INDEX('KZ-normalized'!$D:$D, MATCH($A6, 'KZ-normalized'!$A:$A, 0))-INDEX('KZ-normalized'!$E:$E, MATCH($A6, 'KZ-normalized'!$A:$A, 0))), 0), 0))+(IFERROR(IF(6*INDEX('UZ-normalized'!$D:$D, MATCH($A6, 'UZ-normalized'!$A:$A, 0))-INDEX('UZ-normalized'!$E:$E, MATCH($A6, 'UZ-normalized'!$A:$A, 0))&gt;0, -(6*INDEX('UZ-normalized'!$D:$D, MATCH($A6, 'UZ-normalized'!$A:$A, 0))-INDEX('UZ-normalized'!$E:$E, MATCH($A6, 'UZ-normalized'!$A:$A, 0))), 0), 0)))</f>
        <v>-49.4</v>
      </c>
      <c r="U6" s="6">
        <f>MIN(0, N6+(IFERROR(IF(7*INDEX('UA-normalized'!$D:$D, MATCH($A6, 'UA-normalized'!$A:$A, 0))-INDEX('UA-normalized'!$E:$E, MATCH($A6, 'UA-normalized'!$A:$A, 0))&gt;0, -(7*INDEX('UA-normalized'!$D:$D, MATCH($A6, 'UA-normalized'!$A:$A, 0))-INDEX('UA-normalized'!$E:$E, MATCH($A6, 'UA-normalized'!$A:$A, 0))), 0), 0))+(IFERROR(IF(7*INDEX('KZ-normalized'!$D:$D, MATCH($A6, 'KZ-normalized'!$A:$A, 0))-INDEX('KZ-normalized'!$E:$E, MATCH($A6, 'KZ-normalized'!$A:$A, 0))&gt;0, -(7*INDEX('KZ-normalized'!$D:$D, MATCH($A6, 'KZ-normalized'!$A:$A, 0))-INDEX('KZ-normalized'!$E:$E, MATCH($A6, 'KZ-normalized'!$A:$A, 0))), 0), 0))+(IFERROR(IF(7*INDEX('UZ-normalized'!$D:$D, MATCH($A6, 'UZ-normalized'!$A:$A, 0))-INDEX('UZ-normalized'!$E:$E, MATCH($A6, 'UZ-normalized'!$A:$A, 0))&gt;0, -(7*INDEX('UZ-normalized'!$D:$D, MATCH($A6, 'UZ-normalized'!$A:$A, 0))-INDEX('UZ-normalized'!$E:$E, MATCH($A6, 'UZ-normalized'!$A:$A, 0))), 0), 0)))</f>
        <v>-65.3</v>
      </c>
      <c r="V6" s="6">
        <f>MIN(0, N6+(IFERROR(IF(8*INDEX('UA-normalized'!$D:$D, MATCH($A6, 'UA-normalized'!$A:$A, 0))-INDEX('UA-normalized'!$E:$E, MATCH($A6, 'UA-normalized'!$A:$A, 0))&gt;0, -(8*INDEX('UA-normalized'!$D:$D, MATCH($A6, 'UA-normalized'!$A:$A, 0))-INDEX('UA-normalized'!$E:$E, MATCH($A6, 'UA-normalized'!$A:$A, 0))), 0), 0))+(IFERROR(IF(8*INDEX('KZ-normalized'!$D:$D, MATCH($A6, 'KZ-normalized'!$A:$A, 0))-INDEX('KZ-normalized'!$E:$E, MATCH($A6, 'KZ-normalized'!$A:$A, 0))&gt;0, -(8*INDEX('KZ-normalized'!$D:$D, MATCH($A6, 'KZ-normalized'!$A:$A, 0))-INDEX('KZ-normalized'!$E:$E, MATCH($A6, 'KZ-normalized'!$A:$A, 0))), 0), 0))+(IFERROR(IF(8*INDEX('UZ-normalized'!$D:$D, MATCH($A6, 'UZ-normalized'!$A:$A, 0))-INDEX('UZ-normalized'!$E:$E, MATCH($A6, 'UZ-normalized'!$A:$A, 0))&gt;0, -(8*INDEX('UZ-normalized'!$D:$D, MATCH($A6, 'UZ-normalized'!$A:$A, 0))-INDEX('UZ-normalized'!$E:$E, MATCH($A6, 'UZ-normalized'!$A:$A, 0))), 0), 0)))</f>
        <v>-81.2</v>
      </c>
      <c r="W6" s="6">
        <f>MIN(0, N6+(IFERROR(IF(9*INDEX('UA-normalized'!$D:$D, MATCH($A6, 'UA-normalized'!$A:$A, 0))-INDEX('UA-normalized'!$E:$E, MATCH($A6, 'UA-normalized'!$A:$A, 0))&gt;0, -(9*INDEX('UA-normalized'!$D:$D, MATCH($A6, 'UA-normalized'!$A:$A, 0))-INDEX('UA-normalized'!$E:$E, MATCH($A6, 'UA-normalized'!$A:$A, 0))), 0), 0))+(IFERROR(IF(9*INDEX('KZ-normalized'!$D:$D, MATCH($A6, 'KZ-normalized'!$A:$A, 0))-INDEX('KZ-normalized'!$E:$E, MATCH($A6, 'KZ-normalized'!$A:$A, 0))&gt;0, -(9*INDEX('KZ-normalized'!$D:$D, MATCH($A6, 'KZ-normalized'!$A:$A, 0))-INDEX('KZ-normalized'!$E:$E, MATCH($A6, 'KZ-normalized'!$A:$A, 0))), 0), 0))+(IFERROR(IF(9*INDEX('UZ-normalized'!$D:$D, MATCH($A6, 'UZ-normalized'!$A:$A, 0))-INDEX('UZ-normalized'!$E:$E, MATCH($A6, 'UZ-normalized'!$A:$A, 0))&gt;0, -(9*INDEX('UZ-normalized'!$D:$D, MATCH($A6, 'UZ-normalized'!$A:$A, 0))-INDEX('UZ-normalized'!$E:$E, MATCH($A6, 'UZ-normalized'!$A:$A, 0))), 0), 0)))</f>
        <v>-97.1</v>
      </c>
      <c r="X6" s="6">
        <f>MIN(0, N6+(IFERROR(IF(10*INDEX('UA-normalized'!$D:$D, MATCH($A6, 'UA-normalized'!$A:$A, 0))-INDEX('UA-normalized'!$E:$E, MATCH($A6, 'UA-normalized'!$A:$A, 0))&gt;0, -(10*INDEX('UA-normalized'!$D:$D, MATCH($A6, 'UA-normalized'!$A:$A, 0))-INDEX('UA-normalized'!$E:$E, MATCH($A6, 'UA-normalized'!$A:$A, 0))), 0), 0))+(IFERROR(IF(10*INDEX('KZ-normalized'!$D:$D, MATCH($A6, 'KZ-normalized'!$A:$A, 0))-INDEX('KZ-normalized'!$E:$E, MATCH($A6, 'KZ-normalized'!$A:$A, 0))&gt;0, -(10*INDEX('KZ-normalized'!$D:$D, MATCH($A6, 'KZ-normalized'!$A:$A, 0))-INDEX('KZ-normalized'!$E:$E, MATCH($A6, 'KZ-normalized'!$A:$A, 0))), 0), 0))+(IFERROR(IF(10*INDEX('UZ-normalized'!$D:$D, MATCH($A6, 'UZ-normalized'!$A:$A, 0))-INDEX('UZ-normalized'!$E:$E, MATCH($A6, 'UZ-normalized'!$A:$A, 0))&gt;0, -(10*INDEX('UZ-normalized'!$D:$D, MATCH($A6, 'UZ-normalized'!$A:$A, 0))-INDEX('UZ-normalized'!$E:$E, MATCH($A6, 'UZ-normalized'!$A:$A, 0))), 0), 0)))</f>
        <v>-113</v>
      </c>
      <c r="Y6" s="6">
        <f>MIN(0, N6+(IFERROR(IF(11*INDEX('UA-normalized'!$D:$D, MATCH($A6, 'UA-normalized'!$A:$A, 0))-INDEX('UA-normalized'!$E:$E, MATCH($A6, 'UA-normalized'!$A:$A, 0))&gt;0, -(11*INDEX('UA-normalized'!$D:$D, MATCH($A6, 'UA-normalized'!$A:$A, 0))-INDEX('UA-normalized'!$E:$E, MATCH($A6, 'UA-normalized'!$A:$A, 0))), 0), 0))+(IFERROR(IF(11*INDEX('KZ-normalized'!$D:$D, MATCH($A6, 'KZ-normalized'!$A:$A, 0))-INDEX('KZ-normalized'!$E:$E, MATCH($A6, 'KZ-normalized'!$A:$A, 0))&gt;0, -(11*INDEX('KZ-normalized'!$D:$D, MATCH($A6, 'KZ-normalized'!$A:$A, 0))-INDEX('KZ-normalized'!$E:$E, MATCH($A6, 'KZ-normalized'!$A:$A, 0))), 0), 0))+(IFERROR(IF(11*INDEX('UZ-normalized'!$D:$D, MATCH($A6, 'UZ-normalized'!$A:$A, 0))-INDEX('UZ-normalized'!$E:$E, MATCH($A6, 'UZ-normalized'!$A:$A, 0))&gt;0, -(11*INDEX('UZ-normalized'!$D:$D, MATCH($A6, 'UZ-normalized'!$A:$A, 0))-INDEX('UZ-normalized'!$E:$E, MATCH($A6, 'UZ-normalized'!$A:$A, 0))), 0), 0)))</f>
        <v>-128.9</v>
      </c>
      <c r="Z6" s="6">
        <f>MIN(0, N6+(IFERROR(IF(12*INDEX('UA-normalized'!$D:$D, MATCH($A6, 'UA-normalized'!$A:$A, 0))-INDEX('UA-normalized'!$E:$E, MATCH($A6, 'UA-normalized'!$A:$A, 0))&gt;0, -(12*INDEX('UA-normalized'!$D:$D, MATCH($A6, 'UA-normalized'!$A:$A, 0))-INDEX('UA-normalized'!$E:$E, MATCH($A6, 'UA-normalized'!$A:$A, 0))), 0), 0))+(IFERROR(IF(12*INDEX('KZ-normalized'!$D:$D, MATCH($A6, 'KZ-normalized'!$A:$A, 0))-INDEX('KZ-normalized'!$E:$E, MATCH($A6, 'KZ-normalized'!$A:$A, 0))&gt;0, -(12*INDEX('KZ-normalized'!$D:$D, MATCH($A6, 'KZ-normalized'!$A:$A, 0))-INDEX('KZ-normalized'!$E:$E, MATCH($A6, 'KZ-normalized'!$A:$A, 0))), 0), 0))+(IFERROR(IF(12*INDEX('UZ-normalized'!$D:$D, MATCH($A6, 'UZ-normalized'!$A:$A, 0))-INDEX('UZ-normalized'!$E:$E, MATCH($A6, 'UZ-normalized'!$A:$A, 0))&gt;0, -(12*INDEX('UZ-normalized'!$D:$D, MATCH($A6, 'UZ-normalized'!$A:$A, 0))-INDEX('UZ-normalized'!$E:$E, MATCH($A6, 'UZ-normalized'!$A:$A, 0))), 0), 0)))</f>
        <v>-144.80000000000001</v>
      </c>
      <c r="AA6" s="6">
        <f>MIN(0, N6+(IFERROR(IF(13*INDEX('UA-normalized'!$D:$D, MATCH($A6, 'UA-normalized'!$A:$A, 0))-INDEX('UA-normalized'!$E:$E, MATCH($A6, 'UA-normalized'!$A:$A, 0))&gt;0, -(13*INDEX('UA-normalized'!$D:$D, MATCH($A6, 'UA-normalized'!$A:$A, 0))-INDEX('UA-normalized'!$E:$E, MATCH($A6, 'UA-normalized'!$A:$A, 0))), 0), 0))+(IFERROR(IF(13*INDEX('KZ-normalized'!$D:$D, MATCH($A6, 'KZ-normalized'!$A:$A, 0))-INDEX('KZ-normalized'!$E:$E, MATCH($A6, 'KZ-normalized'!$A:$A, 0))&gt;0, -(13*INDEX('KZ-normalized'!$D:$D, MATCH($A6, 'KZ-normalized'!$A:$A, 0))-INDEX('KZ-normalized'!$E:$E, MATCH($A6, 'KZ-normalized'!$A:$A, 0))), 0), 0))+(IFERROR(IF(13*INDEX('UZ-normalized'!$D:$D, MATCH($A6, 'UZ-normalized'!$A:$A, 0))-INDEX('UZ-normalized'!$E:$E, MATCH($A6, 'UZ-normalized'!$A:$A, 0))&gt;0, -(13*INDEX('UZ-normalized'!$D:$D, MATCH($A6, 'UZ-normalized'!$A:$A, 0))-INDEX('UZ-normalized'!$E:$E, MATCH($A6, 'UZ-normalized'!$A:$A, 0))), 0), 0)))</f>
        <v>-160.69999999999999</v>
      </c>
      <c r="AB6" s="6">
        <f>MIN(0, N6+(IFERROR(IF(14*INDEX('UA-normalized'!$D:$D, MATCH($A6, 'UA-normalized'!$A:$A, 0))-INDEX('UA-normalized'!$E:$E, MATCH($A6, 'UA-normalized'!$A:$A, 0))&gt;0, -(14*INDEX('UA-normalized'!$D:$D, MATCH($A6, 'UA-normalized'!$A:$A, 0))-INDEX('UA-normalized'!$E:$E, MATCH($A6, 'UA-normalized'!$A:$A, 0))), 0), 0))+(IFERROR(IF(14*INDEX('KZ-normalized'!$D:$D, MATCH($A6, 'KZ-normalized'!$A:$A, 0))-INDEX('KZ-normalized'!$E:$E, MATCH($A6, 'KZ-normalized'!$A:$A, 0))&gt;0, -(14*INDEX('KZ-normalized'!$D:$D, MATCH($A6, 'KZ-normalized'!$A:$A, 0))-INDEX('KZ-normalized'!$E:$E, MATCH($A6, 'KZ-normalized'!$A:$A, 0))), 0), 0))+(IFERROR(IF(14*INDEX('UZ-normalized'!$D:$D, MATCH($A6, 'UZ-normalized'!$A:$A, 0))-INDEX('UZ-normalized'!$E:$E, MATCH($A6, 'UZ-normalized'!$A:$A, 0))&gt;0, -(14*INDEX('UZ-normalized'!$D:$D, MATCH($A6, 'UZ-normalized'!$A:$A, 0))-INDEX('UZ-normalized'!$E:$E, MATCH($A6, 'UZ-normalized'!$A:$A, 0))), 0), 0)))</f>
        <v>-176.6</v>
      </c>
      <c r="AC6" s="6">
        <f>MIN(0, N6+(IFERROR(IF(15*INDEX('UA-normalized'!$D:$D, MATCH($A6, 'UA-normalized'!$A:$A, 0))-INDEX('UA-normalized'!$E:$E, MATCH($A6, 'UA-normalized'!$A:$A, 0))&gt;0, -(15*INDEX('UA-normalized'!$D:$D, MATCH($A6, 'UA-normalized'!$A:$A, 0))-INDEX('UA-normalized'!$E:$E, MATCH($A6, 'UA-normalized'!$A:$A, 0))), 0), 0))+(IFERROR(IF(15*INDEX('KZ-normalized'!$D:$D, MATCH($A6, 'KZ-normalized'!$A:$A, 0))-INDEX('KZ-normalized'!$E:$E, MATCH($A6, 'KZ-normalized'!$A:$A, 0))&gt;0, -(15*INDEX('KZ-normalized'!$D:$D, MATCH($A6, 'KZ-normalized'!$A:$A, 0))-INDEX('KZ-normalized'!$E:$E, MATCH($A6, 'KZ-normalized'!$A:$A, 0))), 0), 0))+(IFERROR(IF(15*INDEX('UZ-normalized'!$D:$D, MATCH($A6, 'UZ-normalized'!$A:$A, 0))-INDEX('UZ-normalized'!$E:$E, MATCH($A6, 'UZ-normalized'!$A:$A, 0))&gt;0, -(15*INDEX('UZ-normalized'!$D:$D, MATCH($A6, 'UZ-normalized'!$A:$A, 0))-INDEX('UZ-normalized'!$E:$E, MATCH($A6, 'UZ-normalized'!$A:$A, 0))), 0), 0)))</f>
        <v>-192.5</v>
      </c>
      <c r="AD6" s="6">
        <f>MIN(0, N6+(IFERROR(IF(16*INDEX('UA-normalized'!$D:$D, MATCH($A6, 'UA-normalized'!$A:$A, 0))-INDEX('UA-normalized'!$E:$E, MATCH($A6, 'UA-normalized'!$A:$A, 0))&gt;0, -(16*INDEX('UA-normalized'!$D:$D, MATCH($A6, 'UA-normalized'!$A:$A, 0))-INDEX('UA-normalized'!$E:$E, MATCH($A6, 'UA-normalized'!$A:$A, 0))), 0), 0))+(IFERROR(IF(16*INDEX('KZ-normalized'!$D:$D, MATCH($A6, 'KZ-normalized'!$A:$A, 0))-INDEX('KZ-normalized'!$E:$E, MATCH($A6, 'KZ-normalized'!$A:$A, 0))&gt;0, -(16*INDEX('KZ-normalized'!$D:$D, MATCH($A6, 'KZ-normalized'!$A:$A, 0))-INDEX('KZ-normalized'!$E:$E, MATCH($A6, 'KZ-normalized'!$A:$A, 0))), 0), 0))+(IFERROR(IF(16*INDEX('UZ-normalized'!$D:$D, MATCH($A6, 'UZ-normalized'!$A:$A, 0))-INDEX('UZ-normalized'!$E:$E, MATCH($A6, 'UZ-normalized'!$A:$A, 0))&gt;0, -(16*INDEX('UZ-normalized'!$D:$D, MATCH($A6, 'UZ-normalized'!$A:$A, 0))-INDEX('UZ-normalized'!$E:$E, MATCH($A6, 'UZ-normalized'!$A:$A, 0))), 0), 0)))</f>
        <v>-208.4</v>
      </c>
      <c r="AE6" s="6">
        <f>MIN(0, N6+(IFERROR(IF(17*INDEX('UA-normalized'!$D:$D, MATCH($A6, 'UA-normalized'!$A:$A, 0))-INDEX('UA-normalized'!$E:$E, MATCH($A6, 'UA-normalized'!$A:$A, 0))&gt;0, -(17*INDEX('UA-normalized'!$D:$D, MATCH($A6, 'UA-normalized'!$A:$A, 0))-INDEX('UA-normalized'!$E:$E, MATCH($A6, 'UA-normalized'!$A:$A, 0))), 0), 0))+(IFERROR(IF(17*INDEX('KZ-normalized'!$D:$D, MATCH($A6, 'KZ-normalized'!$A:$A, 0))-INDEX('KZ-normalized'!$E:$E, MATCH($A6, 'KZ-normalized'!$A:$A, 0))&gt;0, -(17*INDEX('KZ-normalized'!$D:$D, MATCH($A6, 'KZ-normalized'!$A:$A, 0))-INDEX('KZ-normalized'!$E:$E, MATCH($A6, 'KZ-normalized'!$A:$A, 0))), 0), 0))+(IFERROR(IF(17*INDEX('UZ-normalized'!$D:$D, MATCH($A6, 'UZ-normalized'!$A:$A, 0))-INDEX('UZ-normalized'!$E:$E, MATCH($A6, 'UZ-normalized'!$A:$A, 0))&gt;0, -(17*INDEX('UZ-normalized'!$D:$D, MATCH($A6, 'UZ-normalized'!$A:$A, 0))-INDEX('UZ-normalized'!$E:$E, MATCH($A6, 'UZ-normalized'!$A:$A, 0))), 0), 0)))</f>
        <v>-224.3</v>
      </c>
      <c r="AF6" s="6">
        <f>MIN(0, N6+(IFERROR(IF(18*INDEX('UA-normalized'!$D:$D, MATCH($A6, 'UA-normalized'!$A:$A, 0))-INDEX('UA-normalized'!$E:$E, MATCH($A6, 'UA-normalized'!$A:$A, 0))&gt;0, -(18*INDEX('UA-normalized'!$D:$D, MATCH($A6, 'UA-normalized'!$A:$A, 0))-INDEX('UA-normalized'!$E:$E, MATCH($A6, 'UA-normalized'!$A:$A, 0))), 0), 0))+(IFERROR(IF(18*INDEX('KZ-normalized'!$D:$D, MATCH($A6, 'KZ-normalized'!$A:$A, 0))-INDEX('KZ-normalized'!$E:$E, MATCH($A6, 'KZ-normalized'!$A:$A, 0))&gt;0, -(18*INDEX('KZ-normalized'!$D:$D, MATCH($A6, 'KZ-normalized'!$A:$A, 0))-INDEX('KZ-normalized'!$E:$E, MATCH($A6, 'KZ-normalized'!$A:$A, 0))), 0), 0))+(IFERROR(IF(18*INDEX('UZ-normalized'!$D:$D, MATCH($A6, 'UZ-normalized'!$A:$A, 0))-INDEX('UZ-normalized'!$E:$E, MATCH($A6, 'UZ-normalized'!$A:$A, 0))&gt;0, -(18*INDEX('UZ-normalized'!$D:$D, MATCH($A6, 'UZ-normalized'!$A:$A, 0))-INDEX('UZ-normalized'!$E:$E, MATCH($A6, 'UZ-normalized'!$A:$A, 0))), 0), 0)))</f>
        <v>-240.2</v>
      </c>
      <c r="AG6" s="6">
        <f>MIN(0, N6+(IFERROR(IF(19*INDEX('UA-normalized'!$D:$D, MATCH($A6, 'UA-normalized'!$A:$A, 0))-INDEX('UA-normalized'!$E:$E, MATCH($A6, 'UA-normalized'!$A:$A, 0))&gt;0, -(19*INDEX('UA-normalized'!$D:$D, MATCH($A6, 'UA-normalized'!$A:$A, 0))-INDEX('UA-normalized'!$E:$E, MATCH($A6, 'UA-normalized'!$A:$A, 0))), 0), 0))+(IFERROR(IF(19*INDEX('KZ-normalized'!$D:$D, MATCH($A6, 'KZ-normalized'!$A:$A, 0))-INDEX('KZ-normalized'!$E:$E, MATCH($A6, 'KZ-normalized'!$A:$A, 0))&gt;0, -(19*INDEX('KZ-normalized'!$D:$D, MATCH($A6, 'KZ-normalized'!$A:$A, 0))-INDEX('KZ-normalized'!$E:$E, MATCH($A6, 'KZ-normalized'!$A:$A, 0))), 0), 0))+(IFERROR(IF(19*INDEX('UZ-normalized'!$D:$D, MATCH($A6, 'UZ-normalized'!$A:$A, 0))-INDEX('UZ-normalized'!$E:$E, MATCH($A6, 'UZ-normalized'!$A:$A, 0))&gt;0, -(19*INDEX('UZ-normalized'!$D:$D, MATCH($A6, 'UZ-normalized'!$A:$A, 0))-INDEX('UZ-normalized'!$E:$E, MATCH($A6, 'UZ-normalized'!$A:$A, 0))), 0), 0)))</f>
        <v>-256.10000000000002</v>
      </c>
      <c r="AH6" s="6">
        <f>MIN(0, N6+(IFERROR(IF(20*INDEX('UA-normalized'!$D:$D, MATCH($A6, 'UA-normalized'!$A:$A, 0))-INDEX('UA-normalized'!$E:$E, MATCH($A6, 'UA-normalized'!$A:$A, 0))&gt;0, -(20*INDEX('UA-normalized'!$D:$D, MATCH($A6, 'UA-normalized'!$A:$A, 0))-INDEX('UA-normalized'!$E:$E, MATCH($A6, 'UA-normalized'!$A:$A, 0))), 0), 0))+(IFERROR(IF(20*INDEX('KZ-normalized'!$D:$D, MATCH($A6, 'KZ-normalized'!$A:$A, 0))-INDEX('KZ-normalized'!$E:$E, MATCH($A6, 'KZ-normalized'!$A:$A, 0))&gt;0, -(20*INDEX('KZ-normalized'!$D:$D, MATCH($A6, 'KZ-normalized'!$A:$A, 0))-INDEX('KZ-normalized'!$E:$E, MATCH($A6, 'KZ-normalized'!$A:$A, 0))), 0), 0))+(IFERROR(IF(20*INDEX('UZ-normalized'!$D:$D, MATCH($A6, 'UZ-normalized'!$A:$A, 0))-INDEX('UZ-normalized'!$E:$E, MATCH($A6, 'UZ-normalized'!$A:$A, 0))&gt;0, -(20*INDEX('UZ-normalized'!$D:$D, MATCH($A6, 'UZ-normalized'!$A:$A, 0))-INDEX('UZ-normalized'!$E:$E, MATCH($A6, 'UZ-normalized'!$A:$A, 0))), 0), 0)))</f>
        <v>-272</v>
      </c>
      <c r="AI6" s="6">
        <f>MIN(0, N6+(IFERROR(IF(21*INDEX('UA-normalized'!$D:$D, MATCH($A6, 'UA-normalized'!$A:$A, 0))-INDEX('UA-normalized'!$E:$E, MATCH($A6, 'UA-normalized'!$A:$A, 0))&gt;0, -(21*INDEX('UA-normalized'!$D:$D, MATCH($A6, 'UA-normalized'!$A:$A, 0))-INDEX('UA-normalized'!$E:$E, MATCH($A6, 'UA-normalized'!$A:$A, 0))), 0), 0))+(IFERROR(IF(21*INDEX('KZ-normalized'!$D:$D, MATCH($A6, 'KZ-normalized'!$A:$A, 0))-INDEX('KZ-normalized'!$E:$E, MATCH($A6, 'KZ-normalized'!$A:$A, 0))&gt;0, -(21*INDEX('KZ-normalized'!$D:$D, MATCH($A6, 'KZ-normalized'!$A:$A, 0))-INDEX('KZ-normalized'!$E:$E, MATCH($A6, 'KZ-normalized'!$A:$A, 0))), 0), 0))+(IFERROR(IF(21*INDEX('UZ-normalized'!$D:$D, MATCH($A6, 'UZ-normalized'!$A:$A, 0))-INDEX('UZ-normalized'!$E:$E, MATCH($A6, 'UZ-normalized'!$A:$A, 0))&gt;0, -(21*INDEX('UZ-normalized'!$D:$D, MATCH($A6, 'UZ-normalized'!$A:$A, 0))-INDEX('UZ-normalized'!$E:$E, MATCH($A6, 'UZ-normalized'!$A:$A, 0))), 0), 0)))</f>
        <v>-287.89999999999998</v>
      </c>
      <c r="AJ6" s="6">
        <f>MIN(0, N6+(IFERROR(IF(22*INDEX('UA-normalized'!$D:$D, MATCH($A6, 'UA-normalized'!$A:$A, 0))-INDEX('UA-normalized'!$E:$E, MATCH($A6, 'UA-normalized'!$A:$A, 0))&gt;0, -(22*INDEX('UA-normalized'!$D:$D, MATCH($A6, 'UA-normalized'!$A:$A, 0))-INDEX('UA-normalized'!$E:$E, MATCH($A6, 'UA-normalized'!$A:$A, 0))), 0), 0))+(IFERROR(IF(22*INDEX('KZ-normalized'!$D:$D, MATCH($A6, 'KZ-normalized'!$A:$A, 0))-INDEX('KZ-normalized'!$E:$E, MATCH($A6, 'KZ-normalized'!$A:$A, 0))&gt;0, -(22*INDEX('KZ-normalized'!$D:$D, MATCH($A6, 'KZ-normalized'!$A:$A, 0))-INDEX('KZ-normalized'!$E:$E, MATCH($A6, 'KZ-normalized'!$A:$A, 0))), 0), 0))+(IFERROR(IF(22*INDEX('UZ-normalized'!$D:$D, MATCH($A6, 'UZ-normalized'!$A:$A, 0))-INDEX('UZ-normalized'!$E:$E, MATCH($A6, 'UZ-normalized'!$A:$A, 0))&gt;0, -(22*INDEX('UZ-normalized'!$D:$D, MATCH($A6, 'UZ-normalized'!$A:$A, 0))-INDEX('UZ-normalized'!$E:$E, MATCH($A6, 'UZ-normalized'!$A:$A, 0))), 0), 0)))</f>
        <v>-303.8</v>
      </c>
      <c r="AK6" s="6">
        <f>MIN(0, N6+(IFERROR(IF(23*INDEX('UA-normalized'!$D:$D, MATCH($A6, 'UA-normalized'!$A:$A, 0))-INDEX('UA-normalized'!$E:$E, MATCH($A6, 'UA-normalized'!$A:$A, 0))&gt;0, -(23*INDEX('UA-normalized'!$D:$D, MATCH($A6, 'UA-normalized'!$A:$A, 0))-INDEX('UA-normalized'!$E:$E, MATCH($A6, 'UA-normalized'!$A:$A, 0))), 0), 0))+(IFERROR(IF(23*INDEX('KZ-normalized'!$D:$D, MATCH($A6, 'KZ-normalized'!$A:$A, 0))-INDEX('KZ-normalized'!$E:$E, MATCH($A6, 'KZ-normalized'!$A:$A, 0))&gt;0, -(23*INDEX('KZ-normalized'!$D:$D, MATCH($A6, 'KZ-normalized'!$A:$A, 0))-INDEX('KZ-normalized'!$E:$E, MATCH($A6, 'KZ-normalized'!$A:$A, 0))), 0), 0))+(IFERROR(IF(23*INDEX('UZ-normalized'!$D:$D, MATCH($A6, 'UZ-normalized'!$A:$A, 0))-INDEX('UZ-normalized'!$E:$E, MATCH($A6, 'UZ-normalized'!$A:$A, 0))&gt;0, -(23*INDEX('UZ-normalized'!$D:$D, MATCH($A6, 'UZ-normalized'!$A:$A, 0))-INDEX('UZ-normalized'!$E:$E, MATCH($A6, 'UZ-normalized'!$A:$A, 0))), 0), 0)))</f>
        <v>-319.7</v>
      </c>
      <c r="AL6" s="6">
        <f>MIN(0, N6+(IFERROR(IF(24*INDEX('UA-normalized'!$D:$D, MATCH($A6, 'UA-normalized'!$A:$A, 0))-INDEX('UA-normalized'!$E:$E, MATCH($A6, 'UA-normalized'!$A:$A, 0))&gt;0, -(24*INDEX('UA-normalized'!$D:$D, MATCH($A6, 'UA-normalized'!$A:$A, 0))-INDEX('UA-normalized'!$E:$E, MATCH($A6, 'UA-normalized'!$A:$A, 0))), 0), 0))+(IFERROR(IF(24*INDEX('KZ-normalized'!$D:$D, MATCH($A6, 'KZ-normalized'!$A:$A, 0))-INDEX('KZ-normalized'!$E:$E, MATCH($A6, 'KZ-normalized'!$A:$A, 0))&gt;0, -(24*INDEX('KZ-normalized'!$D:$D, MATCH($A6, 'KZ-normalized'!$A:$A, 0))-INDEX('KZ-normalized'!$E:$E, MATCH($A6, 'KZ-normalized'!$A:$A, 0))), 0), 0))+(IFERROR(IF(24*INDEX('UZ-normalized'!$D:$D, MATCH($A6, 'UZ-normalized'!$A:$A, 0))-INDEX('UZ-normalized'!$E:$E, MATCH($A6, 'UZ-normalized'!$A:$A, 0))&gt;0, -(24*INDEX('UZ-normalized'!$D:$D, MATCH($A6, 'UZ-normalized'!$A:$A, 0))-INDEX('UZ-normalized'!$E:$E, MATCH($A6, 'UZ-normalized'!$A:$A, 0))), 0), 0)))</f>
        <v>-335.6</v>
      </c>
      <c r="AM6" s="6">
        <f>MIN(0, N6+(IFERROR(IF(25*INDEX('UA-normalized'!$D:$D, MATCH($A6, 'UA-normalized'!$A:$A, 0))-INDEX('UA-normalized'!$E:$E, MATCH($A6, 'UA-normalized'!$A:$A, 0))&gt;0, -(25*INDEX('UA-normalized'!$D:$D, MATCH($A6, 'UA-normalized'!$A:$A, 0))-INDEX('UA-normalized'!$E:$E, MATCH($A6, 'UA-normalized'!$A:$A, 0))), 0), 0))+(IFERROR(IF(25*INDEX('KZ-normalized'!$D:$D, MATCH($A6, 'KZ-normalized'!$A:$A, 0))-INDEX('KZ-normalized'!$E:$E, MATCH($A6, 'KZ-normalized'!$A:$A, 0))&gt;0, -(25*INDEX('KZ-normalized'!$D:$D, MATCH($A6, 'KZ-normalized'!$A:$A, 0))-INDEX('KZ-normalized'!$E:$E, MATCH($A6, 'KZ-normalized'!$A:$A, 0))), 0), 0))+(IFERROR(IF(25*INDEX('UZ-normalized'!$D:$D, MATCH($A6, 'UZ-normalized'!$A:$A, 0))-INDEX('UZ-normalized'!$E:$E, MATCH($A6, 'UZ-normalized'!$A:$A, 0))&gt;0, -(25*INDEX('UZ-normalized'!$D:$D, MATCH($A6, 'UZ-normalized'!$A:$A, 0))-INDEX('UZ-normalized'!$E:$E, MATCH($A6, 'UZ-normalized'!$A:$A, 0))), 0), 0)))</f>
        <v>-351.5</v>
      </c>
      <c r="AN6" s="6">
        <f>MIN(0, N6+(IFERROR(IF(26*INDEX('UA-normalized'!$D:$D, MATCH($A6, 'UA-normalized'!$A:$A, 0))-INDEX('UA-normalized'!$E:$E, MATCH($A6, 'UA-normalized'!$A:$A, 0))&gt;0, -(26*INDEX('UA-normalized'!$D:$D, MATCH($A6, 'UA-normalized'!$A:$A, 0))-INDEX('UA-normalized'!$E:$E, MATCH($A6, 'UA-normalized'!$A:$A, 0))), 0), 0))+(IFERROR(IF(26*INDEX('KZ-normalized'!$D:$D, MATCH($A6, 'KZ-normalized'!$A:$A, 0))-INDEX('KZ-normalized'!$E:$E, MATCH($A6, 'KZ-normalized'!$A:$A, 0))&gt;0, -(26*INDEX('KZ-normalized'!$D:$D, MATCH($A6, 'KZ-normalized'!$A:$A, 0))-INDEX('KZ-normalized'!$E:$E, MATCH($A6, 'KZ-normalized'!$A:$A, 0))), 0), 0))+(IFERROR(IF(26*INDEX('UZ-normalized'!$D:$D, MATCH($A6, 'UZ-normalized'!$A:$A, 0))-INDEX('UZ-normalized'!$E:$E, MATCH($A6, 'UZ-normalized'!$A:$A, 0))&gt;0, -(26*INDEX('UZ-normalized'!$D:$D, MATCH($A6, 'UZ-normalized'!$A:$A, 0))-INDEX('UZ-normalized'!$E:$E, MATCH($A6, 'UZ-normalized'!$A:$A, 0))), 0), 0)))</f>
        <v>-367.4</v>
      </c>
      <c r="AO6" s="6">
        <f>MIN(0, N6+(IFERROR(IF(27*INDEX('UA-normalized'!$D:$D, MATCH($A6, 'UA-normalized'!$A:$A, 0))-INDEX('UA-normalized'!$E:$E, MATCH($A6, 'UA-normalized'!$A:$A, 0))&gt;0, -(27*INDEX('UA-normalized'!$D:$D, MATCH($A6, 'UA-normalized'!$A:$A, 0))-INDEX('UA-normalized'!$E:$E, MATCH($A6, 'UA-normalized'!$A:$A, 0))), 0), 0))+(IFERROR(IF(27*INDEX('KZ-normalized'!$D:$D, MATCH($A6, 'KZ-normalized'!$A:$A, 0))-INDEX('KZ-normalized'!$E:$E, MATCH($A6, 'KZ-normalized'!$A:$A, 0))&gt;0, -(27*INDEX('KZ-normalized'!$D:$D, MATCH($A6, 'KZ-normalized'!$A:$A, 0))-INDEX('KZ-normalized'!$E:$E, MATCH($A6, 'KZ-normalized'!$A:$A, 0))), 0), 0))+(IFERROR(IF(27*INDEX('UZ-normalized'!$D:$D, MATCH($A6, 'UZ-normalized'!$A:$A, 0))-INDEX('UZ-normalized'!$E:$E, MATCH($A6, 'UZ-normalized'!$A:$A, 0))&gt;0, -(27*INDEX('UZ-normalized'!$D:$D, MATCH($A6, 'UZ-normalized'!$A:$A, 0))-INDEX('UZ-normalized'!$E:$E, MATCH($A6, 'UZ-normalized'!$A:$A, 0))), 0), 0)))</f>
        <v>-383.3</v>
      </c>
      <c r="AP6" s="6">
        <f>MIN(0, N6+(IFERROR(IF(28*INDEX('UA-normalized'!$D:$D, MATCH($A6, 'UA-normalized'!$A:$A, 0))-INDEX('UA-normalized'!$E:$E, MATCH($A6, 'UA-normalized'!$A:$A, 0))&gt;0, -(28*INDEX('UA-normalized'!$D:$D, MATCH($A6, 'UA-normalized'!$A:$A, 0))-INDEX('UA-normalized'!$E:$E, MATCH($A6, 'UA-normalized'!$A:$A, 0))), 0), 0))+(IFERROR(IF(28*INDEX('KZ-normalized'!$D:$D, MATCH($A6, 'KZ-normalized'!$A:$A, 0))-INDEX('KZ-normalized'!$E:$E, MATCH($A6, 'KZ-normalized'!$A:$A, 0))&gt;0, -(28*INDEX('KZ-normalized'!$D:$D, MATCH($A6, 'KZ-normalized'!$A:$A, 0))-INDEX('KZ-normalized'!$E:$E, MATCH($A6, 'KZ-normalized'!$A:$A, 0))), 0), 0))+(IFERROR(IF(28*INDEX('UZ-normalized'!$D:$D, MATCH($A6, 'UZ-normalized'!$A:$A, 0))-INDEX('UZ-normalized'!$E:$E, MATCH($A6, 'UZ-normalized'!$A:$A, 0))&gt;0, -(28*INDEX('UZ-normalized'!$D:$D, MATCH($A6, 'UZ-normalized'!$A:$A, 0))-INDEX('UZ-normalized'!$E:$E, MATCH($A6, 'UZ-normalized'!$A:$A, 0))), 0), 0)))</f>
        <v>-399.2</v>
      </c>
      <c r="AQ6" s="6">
        <f>MIN(0, N6+(IFERROR(IF(29*INDEX('UA-normalized'!$D:$D, MATCH($A6, 'UA-normalized'!$A:$A, 0))-INDEX('UA-normalized'!$E:$E, MATCH($A6, 'UA-normalized'!$A:$A, 0))&gt;0, -(29*INDEX('UA-normalized'!$D:$D, MATCH($A6, 'UA-normalized'!$A:$A, 0))-INDEX('UA-normalized'!$E:$E, MATCH($A6, 'UA-normalized'!$A:$A, 0))), 0), 0))+(IFERROR(IF(29*INDEX('KZ-normalized'!$D:$D, MATCH($A6, 'KZ-normalized'!$A:$A, 0))-INDEX('KZ-normalized'!$E:$E, MATCH($A6, 'KZ-normalized'!$A:$A, 0))&gt;0, -(29*INDEX('KZ-normalized'!$D:$D, MATCH($A6, 'KZ-normalized'!$A:$A, 0))-INDEX('KZ-normalized'!$E:$E, MATCH($A6, 'KZ-normalized'!$A:$A, 0))), 0), 0))+(IFERROR(IF(29*INDEX('UZ-normalized'!$D:$D, MATCH($A6, 'UZ-normalized'!$A:$A, 0))-INDEX('UZ-normalized'!$E:$E, MATCH($A6, 'UZ-normalized'!$A:$A, 0))&gt;0, -(29*INDEX('UZ-normalized'!$D:$D, MATCH($A6, 'UZ-normalized'!$A:$A, 0))-INDEX('UZ-normalized'!$E:$E, MATCH($A6, 'UZ-normalized'!$A:$A, 0))), 0), 0)))</f>
        <v>-415.1</v>
      </c>
      <c r="AR6" s="6">
        <f>MIN(0, N6+(IFERROR(IF(30*INDEX('UA-normalized'!$D:$D, MATCH($A6, 'UA-normalized'!$A:$A, 0))-INDEX('UA-normalized'!$E:$E, MATCH($A6, 'UA-normalized'!$A:$A, 0))&gt;0, -(30*INDEX('UA-normalized'!$D:$D, MATCH($A6, 'UA-normalized'!$A:$A, 0))-INDEX('UA-normalized'!$E:$E, MATCH($A6, 'UA-normalized'!$A:$A, 0))), 0), 0))+(IFERROR(IF(30*INDEX('KZ-normalized'!$D:$D, MATCH($A6, 'KZ-normalized'!$A:$A, 0))-INDEX('KZ-normalized'!$E:$E, MATCH($A6, 'KZ-normalized'!$A:$A, 0))&gt;0, -(30*INDEX('KZ-normalized'!$D:$D, MATCH($A6, 'KZ-normalized'!$A:$A, 0))-INDEX('KZ-normalized'!$E:$E, MATCH($A6, 'KZ-normalized'!$A:$A, 0))), 0), 0))+(IFERROR(IF(30*INDEX('UZ-normalized'!$D:$D, MATCH($A6, 'UZ-normalized'!$A:$A, 0))-INDEX('UZ-normalized'!$E:$E, MATCH($A6, 'UZ-normalized'!$A:$A, 0))&gt;0, -(30*INDEX('UZ-normalized'!$D:$D, MATCH($A6, 'UZ-normalized'!$A:$A, 0))-INDEX('UZ-normalized'!$E:$E, MATCH($A6, 'UZ-normalized'!$A:$A, 0))), 0), 0)))</f>
        <v>-431</v>
      </c>
    </row>
    <row r="7" spans="1:44" x14ac:dyDescent="0.25">
      <c r="A7" s="8" t="s">
        <v>57</v>
      </c>
      <c r="B7" s="8" t="s">
        <v>45</v>
      </c>
      <c r="C7" s="8" t="s">
        <v>53</v>
      </c>
      <c r="D7" s="8" t="s">
        <v>58</v>
      </c>
      <c r="G7">
        <v>-10</v>
      </c>
      <c r="N7">
        <f t="shared" si="0"/>
        <v>-10</v>
      </c>
      <c r="O7" s="6">
        <f>MIN(0, N7+(IFERROR(IF(1*INDEX('UA-normalized'!$D:$D, MATCH($A7, 'UA-normalized'!$A:$A, 0))-INDEX('UA-normalized'!$E:$E, MATCH($A7, 'UA-normalized'!$A:$A, 0))&gt;0, -(1*INDEX('UA-normalized'!$D:$D, MATCH($A7, 'UA-normalized'!$A:$A, 0))-INDEX('UA-normalized'!$E:$E, MATCH($A7, 'UA-normalized'!$A:$A, 0))), 0), 0))+(IFERROR(IF(1*INDEX('KZ-normalized'!$D:$D, MATCH($A7, 'KZ-normalized'!$A:$A, 0))-INDEX('KZ-normalized'!$E:$E, MATCH($A7, 'KZ-normalized'!$A:$A, 0))&gt;0, -(1*INDEX('KZ-normalized'!$D:$D, MATCH($A7, 'KZ-normalized'!$A:$A, 0))-INDEX('KZ-normalized'!$E:$E, MATCH($A7, 'KZ-normalized'!$A:$A, 0))), 0), 0))+(IFERROR(IF(1*INDEX('UZ-normalized'!$D:$D, MATCH($A7, 'UZ-normalized'!$A:$A, 0))-INDEX('UZ-normalized'!$E:$E, MATCH($A7, 'UZ-normalized'!$A:$A, 0))&gt;0, -(1*INDEX('UZ-normalized'!$D:$D, MATCH($A7, 'UZ-normalized'!$A:$A, 0))-INDEX('UZ-normalized'!$E:$E, MATCH($A7, 'UZ-normalized'!$A:$A, 0))), 0), 0)))</f>
        <v>-10</v>
      </c>
      <c r="P7" s="6">
        <f>MIN(0, N7+(IFERROR(IF(2*INDEX('UA-normalized'!$D:$D, MATCH($A7, 'UA-normalized'!$A:$A, 0))-INDEX('UA-normalized'!$E:$E, MATCH($A7, 'UA-normalized'!$A:$A, 0))&gt;0, -(2*INDEX('UA-normalized'!$D:$D, MATCH($A7, 'UA-normalized'!$A:$A, 0))-INDEX('UA-normalized'!$E:$E, MATCH($A7, 'UA-normalized'!$A:$A, 0))), 0), 0))+(IFERROR(IF(2*INDEX('KZ-normalized'!$D:$D, MATCH($A7, 'KZ-normalized'!$A:$A, 0))-INDEX('KZ-normalized'!$E:$E, MATCH($A7, 'KZ-normalized'!$A:$A, 0))&gt;0, -(2*INDEX('KZ-normalized'!$D:$D, MATCH($A7, 'KZ-normalized'!$A:$A, 0))-INDEX('KZ-normalized'!$E:$E, MATCH($A7, 'KZ-normalized'!$A:$A, 0))), 0), 0))+(IFERROR(IF(2*INDEX('UZ-normalized'!$D:$D, MATCH($A7, 'UZ-normalized'!$A:$A, 0))-INDEX('UZ-normalized'!$E:$E, MATCH($A7, 'UZ-normalized'!$A:$A, 0))&gt;0, -(2*INDEX('UZ-normalized'!$D:$D, MATCH($A7, 'UZ-normalized'!$A:$A, 0))-INDEX('UZ-normalized'!$E:$E, MATCH($A7, 'UZ-normalized'!$A:$A, 0))), 0), 0)))</f>
        <v>-10</v>
      </c>
      <c r="Q7" s="6">
        <f>MIN(0, N7+(IFERROR(IF(3*INDEX('UA-normalized'!$D:$D, MATCH($A7, 'UA-normalized'!$A:$A, 0))-INDEX('UA-normalized'!$E:$E, MATCH($A7, 'UA-normalized'!$A:$A, 0))&gt;0, -(3*INDEX('UA-normalized'!$D:$D, MATCH($A7, 'UA-normalized'!$A:$A, 0))-INDEX('UA-normalized'!$E:$E, MATCH($A7, 'UA-normalized'!$A:$A, 0))), 0), 0))+(IFERROR(IF(3*INDEX('KZ-normalized'!$D:$D, MATCH($A7, 'KZ-normalized'!$A:$A, 0))-INDEX('KZ-normalized'!$E:$E, MATCH($A7, 'KZ-normalized'!$A:$A, 0))&gt;0, -(3*INDEX('KZ-normalized'!$D:$D, MATCH($A7, 'KZ-normalized'!$A:$A, 0))-INDEX('KZ-normalized'!$E:$E, MATCH($A7, 'KZ-normalized'!$A:$A, 0))), 0), 0))+(IFERROR(IF(3*INDEX('UZ-normalized'!$D:$D, MATCH($A7, 'UZ-normalized'!$A:$A, 0))-INDEX('UZ-normalized'!$E:$E, MATCH($A7, 'UZ-normalized'!$A:$A, 0))&gt;0, -(3*INDEX('UZ-normalized'!$D:$D, MATCH($A7, 'UZ-normalized'!$A:$A, 0))-INDEX('UZ-normalized'!$E:$E, MATCH($A7, 'UZ-normalized'!$A:$A, 0))), 0), 0)))</f>
        <v>-10</v>
      </c>
      <c r="R7" s="6">
        <f>MIN(0, N7+(IFERROR(IF(4*INDEX('UA-normalized'!$D:$D, MATCH($A7, 'UA-normalized'!$A:$A, 0))-INDEX('UA-normalized'!$E:$E, MATCH($A7, 'UA-normalized'!$A:$A, 0))&gt;0, -(4*INDEX('UA-normalized'!$D:$D, MATCH($A7, 'UA-normalized'!$A:$A, 0))-INDEX('UA-normalized'!$E:$E, MATCH($A7, 'UA-normalized'!$A:$A, 0))), 0), 0))+(IFERROR(IF(4*INDEX('KZ-normalized'!$D:$D, MATCH($A7, 'KZ-normalized'!$A:$A, 0))-INDEX('KZ-normalized'!$E:$E, MATCH($A7, 'KZ-normalized'!$A:$A, 0))&gt;0, -(4*INDEX('KZ-normalized'!$D:$D, MATCH($A7, 'KZ-normalized'!$A:$A, 0))-INDEX('KZ-normalized'!$E:$E, MATCH($A7, 'KZ-normalized'!$A:$A, 0))), 0), 0))+(IFERROR(IF(4*INDEX('UZ-normalized'!$D:$D, MATCH($A7, 'UZ-normalized'!$A:$A, 0))-INDEX('UZ-normalized'!$E:$E, MATCH($A7, 'UZ-normalized'!$A:$A, 0))&gt;0, -(4*INDEX('UZ-normalized'!$D:$D, MATCH($A7, 'UZ-normalized'!$A:$A, 0))-INDEX('UZ-normalized'!$E:$E, MATCH($A7, 'UZ-normalized'!$A:$A, 0))), 0), 0)))</f>
        <v>-10</v>
      </c>
      <c r="S7" s="6">
        <f>MIN(0, N7+(IFERROR(IF(5*INDEX('UA-normalized'!$D:$D, MATCH($A7, 'UA-normalized'!$A:$A, 0))-INDEX('UA-normalized'!$E:$E, MATCH($A7, 'UA-normalized'!$A:$A, 0))&gt;0, -(5*INDEX('UA-normalized'!$D:$D, MATCH($A7, 'UA-normalized'!$A:$A, 0))-INDEX('UA-normalized'!$E:$E, MATCH($A7, 'UA-normalized'!$A:$A, 0))), 0), 0))+(IFERROR(IF(5*INDEX('KZ-normalized'!$D:$D, MATCH($A7, 'KZ-normalized'!$A:$A, 0))-INDEX('KZ-normalized'!$E:$E, MATCH($A7, 'KZ-normalized'!$A:$A, 0))&gt;0, -(5*INDEX('KZ-normalized'!$D:$D, MATCH($A7, 'KZ-normalized'!$A:$A, 0))-INDEX('KZ-normalized'!$E:$E, MATCH($A7, 'KZ-normalized'!$A:$A, 0))), 0), 0))+(IFERROR(IF(5*INDEX('UZ-normalized'!$D:$D, MATCH($A7, 'UZ-normalized'!$A:$A, 0))-INDEX('UZ-normalized'!$E:$E, MATCH($A7, 'UZ-normalized'!$A:$A, 0))&gt;0, -(5*INDEX('UZ-normalized'!$D:$D, MATCH($A7, 'UZ-normalized'!$A:$A, 0))-INDEX('UZ-normalized'!$E:$E, MATCH($A7, 'UZ-normalized'!$A:$A, 0))), 0), 0)))</f>
        <v>-24.5</v>
      </c>
      <c r="T7" s="6">
        <f>MIN(0, N7+(IFERROR(IF(6*INDEX('UA-normalized'!$D:$D, MATCH($A7, 'UA-normalized'!$A:$A, 0))-INDEX('UA-normalized'!$E:$E, MATCH($A7, 'UA-normalized'!$A:$A, 0))&gt;0, -(6*INDEX('UA-normalized'!$D:$D, MATCH($A7, 'UA-normalized'!$A:$A, 0))-INDEX('UA-normalized'!$E:$E, MATCH($A7, 'UA-normalized'!$A:$A, 0))), 0), 0))+(IFERROR(IF(6*INDEX('KZ-normalized'!$D:$D, MATCH($A7, 'KZ-normalized'!$A:$A, 0))-INDEX('KZ-normalized'!$E:$E, MATCH($A7, 'KZ-normalized'!$A:$A, 0))&gt;0, -(6*INDEX('KZ-normalized'!$D:$D, MATCH($A7, 'KZ-normalized'!$A:$A, 0))-INDEX('KZ-normalized'!$E:$E, MATCH($A7, 'KZ-normalized'!$A:$A, 0))), 0), 0))+(IFERROR(IF(6*INDEX('UZ-normalized'!$D:$D, MATCH($A7, 'UZ-normalized'!$A:$A, 0))-INDEX('UZ-normalized'!$E:$E, MATCH($A7, 'UZ-normalized'!$A:$A, 0))&gt;0, -(6*INDEX('UZ-normalized'!$D:$D, MATCH($A7, 'UZ-normalized'!$A:$A, 0))-INDEX('UZ-normalized'!$E:$E, MATCH($A7, 'UZ-normalized'!$A:$A, 0))), 0), 0)))</f>
        <v>-43.600000000000009</v>
      </c>
      <c r="U7" s="6">
        <f>MIN(0, N7+(IFERROR(IF(7*INDEX('UA-normalized'!$D:$D, MATCH($A7, 'UA-normalized'!$A:$A, 0))-INDEX('UA-normalized'!$E:$E, MATCH($A7, 'UA-normalized'!$A:$A, 0))&gt;0, -(7*INDEX('UA-normalized'!$D:$D, MATCH($A7, 'UA-normalized'!$A:$A, 0))-INDEX('UA-normalized'!$E:$E, MATCH($A7, 'UA-normalized'!$A:$A, 0))), 0), 0))+(IFERROR(IF(7*INDEX('KZ-normalized'!$D:$D, MATCH($A7, 'KZ-normalized'!$A:$A, 0))-INDEX('KZ-normalized'!$E:$E, MATCH($A7, 'KZ-normalized'!$A:$A, 0))&gt;0, -(7*INDEX('KZ-normalized'!$D:$D, MATCH($A7, 'KZ-normalized'!$A:$A, 0))-INDEX('KZ-normalized'!$E:$E, MATCH($A7, 'KZ-normalized'!$A:$A, 0))), 0), 0))+(IFERROR(IF(7*INDEX('UZ-normalized'!$D:$D, MATCH($A7, 'UZ-normalized'!$A:$A, 0))-INDEX('UZ-normalized'!$E:$E, MATCH($A7, 'UZ-normalized'!$A:$A, 0))&gt;0, -(7*INDEX('UZ-normalized'!$D:$D, MATCH($A7, 'UZ-normalized'!$A:$A, 0))-INDEX('UZ-normalized'!$E:$E, MATCH($A7, 'UZ-normalized'!$A:$A, 0))), 0), 0)))</f>
        <v>-62.70000000000001</v>
      </c>
      <c r="V7" s="6">
        <f>MIN(0, N7+(IFERROR(IF(8*INDEX('UA-normalized'!$D:$D, MATCH($A7, 'UA-normalized'!$A:$A, 0))-INDEX('UA-normalized'!$E:$E, MATCH($A7, 'UA-normalized'!$A:$A, 0))&gt;0, -(8*INDEX('UA-normalized'!$D:$D, MATCH($A7, 'UA-normalized'!$A:$A, 0))-INDEX('UA-normalized'!$E:$E, MATCH($A7, 'UA-normalized'!$A:$A, 0))), 0), 0))+(IFERROR(IF(8*INDEX('KZ-normalized'!$D:$D, MATCH($A7, 'KZ-normalized'!$A:$A, 0))-INDEX('KZ-normalized'!$E:$E, MATCH($A7, 'KZ-normalized'!$A:$A, 0))&gt;0, -(8*INDEX('KZ-normalized'!$D:$D, MATCH($A7, 'KZ-normalized'!$A:$A, 0))-INDEX('KZ-normalized'!$E:$E, MATCH($A7, 'KZ-normalized'!$A:$A, 0))), 0), 0))+(IFERROR(IF(8*INDEX('UZ-normalized'!$D:$D, MATCH($A7, 'UZ-normalized'!$A:$A, 0))-INDEX('UZ-normalized'!$E:$E, MATCH($A7, 'UZ-normalized'!$A:$A, 0))&gt;0, -(8*INDEX('UZ-normalized'!$D:$D, MATCH($A7, 'UZ-normalized'!$A:$A, 0))-INDEX('UZ-normalized'!$E:$E, MATCH($A7, 'UZ-normalized'!$A:$A, 0))), 0), 0)))</f>
        <v>-81.800000000000011</v>
      </c>
      <c r="W7" s="6">
        <f>MIN(0, N7+(IFERROR(IF(9*INDEX('UA-normalized'!$D:$D, MATCH($A7, 'UA-normalized'!$A:$A, 0))-INDEX('UA-normalized'!$E:$E, MATCH($A7, 'UA-normalized'!$A:$A, 0))&gt;0, -(9*INDEX('UA-normalized'!$D:$D, MATCH($A7, 'UA-normalized'!$A:$A, 0))-INDEX('UA-normalized'!$E:$E, MATCH($A7, 'UA-normalized'!$A:$A, 0))), 0), 0))+(IFERROR(IF(9*INDEX('KZ-normalized'!$D:$D, MATCH($A7, 'KZ-normalized'!$A:$A, 0))-INDEX('KZ-normalized'!$E:$E, MATCH($A7, 'KZ-normalized'!$A:$A, 0))&gt;0, -(9*INDEX('KZ-normalized'!$D:$D, MATCH($A7, 'KZ-normalized'!$A:$A, 0))-INDEX('KZ-normalized'!$E:$E, MATCH($A7, 'KZ-normalized'!$A:$A, 0))), 0), 0))+(IFERROR(IF(9*INDEX('UZ-normalized'!$D:$D, MATCH($A7, 'UZ-normalized'!$A:$A, 0))-INDEX('UZ-normalized'!$E:$E, MATCH($A7, 'UZ-normalized'!$A:$A, 0))&gt;0, -(9*INDEX('UZ-normalized'!$D:$D, MATCH($A7, 'UZ-normalized'!$A:$A, 0))-INDEX('UZ-normalized'!$E:$E, MATCH($A7, 'UZ-normalized'!$A:$A, 0))), 0), 0)))</f>
        <v>-100.9</v>
      </c>
      <c r="X7" s="6">
        <f>MIN(0, N7+(IFERROR(IF(10*INDEX('UA-normalized'!$D:$D, MATCH($A7, 'UA-normalized'!$A:$A, 0))-INDEX('UA-normalized'!$E:$E, MATCH($A7, 'UA-normalized'!$A:$A, 0))&gt;0, -(10*INDEX('UA-normalized'!$D:$D, MATCH($A7, 'UA-normalized'!$A:$A, 0))-INDEX('UA-normalized'!$E:$E, MATCH($A7, 'UA-normalized'!$A:$A, 0))), 0), 0))+(IFERROR(IF(10*INDEX('KZ-normalized'!$D:$D, MATCH($A7, 'KZ-normalized'!$A:$A, 0))-INDEX('KZ-normalized'!$E:$E, MATCH($A7, 'KZ-normalized'!$A:$A, 0))&gt;0, -(10*INDEX('KZ-normalized'!$D:$D, MATCH($A7, 'KZ-normalized'!$A:$A, 0))-INDEX('KZ-normalized'!$E:$E, MATCH($A7, 'KZ-normalized'!$A:$A, 0))), 0), 0))+(IFERROR(IF(10*INDEX('UZ-normalized'!$D:$D, MATCH($A7, 'UZ-normalized'!$A:$A, 0))-INDEX('UZ-normalized'!$E:$E, MATCH($A7, 'UZ-normalized'!$A:$A, 0))&gt;0, -(10*INDEX('UZ-normalized'!$D:$D, MATCH($A7, 'UZ-normalized'!$A:$A, 0))-INDEX('UZ-normalized'!$E:$E, MATCH($A7, 'UZ-normalized'!$A:$A, 0))), 0), 0)))</f>
        <v>-120</v>
      </c>
      <c r="Y7" s="6">
        <f>MIN(0, N7+(IFERROR(IF(11*INDEX('UA-normalized'!$D:$D, MATCH($A7, 'UA-normalized'!$A:$A, 0))-INDEX('UA-normalized'!$E:$E, MATCH($A7, 'UA-normalized'!$A:$A, 0))&gt;0, -(11*INDEX('UA-normalized'!$D:$D, MATCH($A7, 'UA-normalized'!$A:$A, 0))-INDEX('UA-normalized'!$E:$E, MATCH($A7, 'UA-normalized'!$A:$A, 0))), 0), 0))+(IFERROR(IF(11*INDEX('KZ-normalized'!$D:$D, MATCH($A7, 'KZ-normalized'!$A:$A, 0))-INDEX('KZ-normalized'!$E:$E, MATCH($A7, 'KZ-normalized'!$A:$A, 0))&gt;0, -(11*INDEX('KZ-normalized'!$D:$D, MATCH($A7, 'KZ-normalized'!$A:$A, 0))-INDEX('KZ-normalized'!$E:$E, MATCH($A7, 'KZ-normalized'!$A:$A, 0))), 0), 0))+(IFERROR(IF(11*INDEX('UZ-normalized'!$D:$D, MATCH($A7, 'UZ-normalized'!$A:$A, 0))-INDEX('UZ-normalized'!$E:$E, MATCH($A7, 'UZ-normalized'!$A:$A, 0))&gt;0, -(11*INDEX('UZ-normalized'!$D:$D, MATCH($A7, 'UZ-normalized'!$A:$A, 0))-INDEX('UZ-normalized'!$E:$E, MATCH($A7, 'UZ-normalized'!$A:$A, 0))), 0), 0)))</f>
        <v>-139.10000000000002</v>
      </c>
      <c r="Z7" s="6">
        <f>MIN(0, N7+(IFERROR(IF(12*INDEX('UA-normalized'!$D:$D, MATCH($A7, 'UA-normalized'!$A:$A, 0))-INDEX('UA-normalized'!$E:$E, MATCH($A7, 'UA-normalized'!$A:$A, 0))&gt;0, -(12*INDEX('UA-normalized'!$D:$D, MATCH($A7, 'UA-normalized'!$A:$A, 0))-INDEX('UA-normalized'!$E:$E, MATCH($A7, 'UA-normalized'!$A:$A, 0))), 0), 0))+(IFERROR(IF(12*INDEX('KZ-normalized'!$D:$D, MATCH($A7, 'KZ-normalized'!$A:$A, 0))-INDEX('KZ-normalized'!$E:$E, MATCH($A7, 'KZ-normalized'!$A:$A, 0))&gt;0, -(12*INDEX('KZ-normalized'!$D:$D, MATCH($A7, 'KZ-normalized'!$A:$A, 0))-INDEX('KZ-normalized'!$E:$E, MATCH($A7, 'KZ-normalized'!$A:$A, 0))), 0), 0))+(IFERROR(IF(12*INDEX('UZ-normalized'!$D:$D, MATCH($A7, 'UZ-normalized'!$A:$A, 0))-INDEX('UZ-normalized'!$E:$E, MATCH($A7, 'UZ-normalized'!$A:$A, 0))&gt;0, -(12*INDEX('UZ-normalized'!$D:$D, MATCH($A7, 'UZ-normalized'!$A:$A, 0))-INDEX('UZ-normalized'!$E:$E, MATCH($A7, 'UZ-normalized'!$A:$A, 0))), 0), 0)))</f>
        <v>-158.20000000000002</v>
      </c>
      <c r="AA7" s="6">
        <f>MIN(0, N7+(IFERROR(IF(13*INDEX('UA-normalized'!$D:$D, MATCH($A7, 'UA-normalized'!$A:$A, 0))-INDEX('UA-normalized'!$E:$E, MATCH($A7, 'UA-normalized'!$A:$A, 0))&gt;0, -(13*INDEX('UA-normalized'!$D:$D, MATCH($A7, 'UA-normalized'!$A:$A, 0))-INDEX('UA-normalized'!$E:$E, MATCH($A7, 'UA-normalized'!$A:$A, 0))), 0), 0))+(IFERROR(IF(13*INDEX('KZ-normalized'!$D:$D, MATCH($A7, 'KZ-normalized'!$A:$A, 0))-INDEX('KZ-normalized'!$E:$E, MATCH($A7, 'KZ-normalized'!$A:$A, 0))&gt;0, -(13*INDEX('KZ-normalized'!$D:$D, MATCH($A7, 'KZ-normalized'!$A:$A, 0))-INDEX('KZ-normalized'!$E:$E, MATCH($A7, 'KZ-normalized'!$A:$A, 0))), 0), 0))+(IFERROR(IF(13*INDEX('UZ-normalized'!$D:$D, MATCH($A7, 'UZ-normalized'!$A:$A, 0))-INDEX('UZ-normalized'!$E:$E, MATCH($A7, 'UZ-normalized'!$A:$A, 0))&gt;0, -(13*INDEX('UZ-normalized'!$D:$D, MATCH($A7, 'UZ-normalized'!$A:$A, 0))-INDEX('UZ-normalized'!$E:$E, MATCH($A7, 'UZ-normalized'!$A:$A, 0))), 0), 0)))</f>
        <v>-177.3</v>
      </c>
      <c r="AB7" s="6">
        <f>MIN(0, N7+(IFERROR(IF(14*INDEX('UA-normalized'!$D:$D, MATCH($A7, 'UA-normalized'!$A:$A, 0))-INDEX('UA-normalized'!$E:$E, MATCH($A7, 'UA-normalized'!$A:$A, 0))&gt;0, -(14*INDEX('UA-normalized'!$D:$D, MATCH($A7, 'UA-normalized'!$A:$A, 0))-INDEX('UA-normalized'!$E:$E, MATCH($A7, 'UA-normalized'!$A:$A, 0))), 0), 0))+(IFERROR(IF(14*INDEX('KZ-normalized'!$D:$D, MATCH($A7, 'KZ-normalized'!$A:$A, 0))-INDEX('KZ-normalized'!$E:$E, MATCH($A7, 'KZ-normalized'!$A:$A, 0))&gt;0, -(14*INDEX('KZ-normalized'!$D:$D, MATCH($A7, 'KZ-normalized'!$A:$A, 0))-INDEX('KZ-normalized'!$E:$E, MATCH($A7, 'KZ-normalized'!$A:$A, 0))), 0), 0))+(IFERROR(IF(14*INDEX('UZ-normalized'!$D:$D, MATCH($A7, 'UZ-normalized'!$A:$A, 0))-INDEX('UZ-normalized'!$E:$E, MATCH($A7, 'UZ-normalized'!$A:$A, 0))&gt;0, -(14*INDEX('UZ-normalized'!$D:$D, MATCH($A7, 'UZ-normalized'!$A:$A, 0))-INDEX('UZ-normalized'!$E:$E, MATCH($A7, 'UZ-normalized'!$A:$A, 0))), 0), 0)))</f>
        <v>-196.40000000000003</v>
      </c>
      <c r="AC7" s="6">
        <f>MIN(0, N7+(IFERROR(IF(15*INDEX('UA-normalized'!$D:$D, MATCH($A7, 'UA-normalized'!$A:$A, 0))-INDEX('UA-normalized'!$E:$E, MATCH($A7, 'UA-normalized'!$A:$A, 0))&gt;0, -(15*INDEX('UA-normalized'!$D:$D, MATCH($A7, 'UA-normalized'!$A:$A, 0))-INDEX('UA-normalized'!$E:$E, MATCH($A7, 'UA-normalized'!$A:$A, 0))), 0), 0))+(IFERROR(IF(15*INDEX('KZ-normalized'!$D:$D, MATCH($A7, 'KZ-normalized'!$A:$A, 0))-INDEX('KZ-normalized'!$E:$E, MATCH($A7, 'KZ-normalized'!$A:$A, 0))&gt;0, -(15*INDEX('KZ-normalized'!$D:$D, MATCH($A7, 'KZ-normalized'!$A:$A, 0))-INDEX('KZ-normalized'!$E:$E, MATCH($A7, 'KZ-normalized'!$A:$A, 0))), 0), 0))+(IFERROR(IF(15*INDEX('UZ-normalized'!$D:$D, MATCH($A7, 'UZ-normalized'!$A:$A, 0))-INDEX('UZ-normalized'!$E:$E, MATCH($A7, 'UZ-normalized'!$A:$A, 0))&gt;0, -(15*INDEX('UZ-normalized'!$D:$D, MATCH($A7, 'UZ-normalized'!$A:$A, 0))-INDEX('UZ-normalized'!$E:$E, MATCH($A7, 'UZ-normalized'!$A:$A, 0))), 0), 0)))</f>
        <v>-215.5</v>
      </c>
      <c r="AD7" s="6">
        <f>MIN(0, N7+(IFERROR(IF(16*INDEX('UA-normalized'!$D:$D, MATCH($A7, 'UA-normalized'!$A:$A, 0))-INDEX('UA-normalized'!$E:$E, MATCH($A7, 'UA-normalized'!$A:$A, 0))&gt;0, -(16*INDEX('UA-normalized'!$D:$D, MATCH($A7, 'UA-normalized'!$A:$A, 0))-INDEX('UA-normalized'!$E:$E, MATCH($A7, 'UA-normalized'!$A:$A, 0))), 0), 0))+(IFERROR(IF(16*INDEX('KZ-normalized'!$D:$D, MATCH($A7, 'KZ-normalized'!$A:$A, 0))-INDEX('KZ-normalized'!$E:$E, MATCH($A7, 'KZ-normalized'!$A:$A, 0))&gt;0, -(16*INDEX('KZ-normalized'!$D:$D, MATCH($A7, 'KZ-normalized'!$A:$A, 0))-INDEX('KZ-normalized'!$E:$E, MATCH($A7, 'KZ-normalized'!$A:$A, 0))), 0), 0))+(IFERROR(IF(16*INDEX('UZ-normalized'!$D:$D, MATCH($A7, 'UZ-normalized'!$A:$A, 0))-INDEX('UZ-normalized'!$E:$E, MATCH($A7, 'UZ-normalized'!$A:$A, 0))&gt;0, -(16*INDEX('UZ-normalized'!$D:$D, MATCH($A7, 'UZ-normalized'!$A:$A, 0))-INDEX('UZ-normalized'!$E:$E, MATCH($A7, 'UZ-normalized'!$A:$A, 0))), 0), 0)))</f>
        <v>-234.60000000000002</v>
      </c>
      <c r="AE7" s="6">
        <f>MIN(0, N7+(IFERROR(IF(17*INDEX('UA-normalized'!$D:$D, MATCH($A7, 'UA-normalized'!$A:$A, 0))-INDEX('UA-normalized'!$E:$E, MATCH($A7, 'UA-normalized'!$A:$A, 0))&gt;0, -(17*INDEX('UA-normalized'!$D:$D, MATCH($A7, 'UA-normalized'!$A:$A, 0))-INDEX('UA-normalized'!$E:$E, MATCH($A7, 'UA-normalized'!$A:$A, 0))), 0), 0))+(IFERROR(IF(17*INDEX('KZ-normalized'!$D:$D, MATCH($A7, 'KZ-normalized'!$A:$A, 0))-INDEX('KZ-normalized'!$E:$E, MATCH($A7, 'KZ-normalized'!$A:$A, 0))&gt;0, -(17*INDEX('KZ-normalized'!$D:$D, MATCH($A7, 'KZ-normalized'!$A:$A, 0))-INDEX('KZ-normalized'!$E:$E, MATCH($A7, 'KZ-normalized'!$A:$A, 0))), 0), 0))+(IFERROR(IF(17*INDEX('UZ-normalized'!$D:$D, MATCH($A7, 'UZ-normalized'!$A:$A, 0))-INDEX('UZ-normalized'!$E:$E, MATCH($A7, 'UZ-normalized'!$A:$A, 0))&gt;0, -(17*INDEX('UZ-normalized'!$D:$D, MATCH($A7, 'UZ-normalized'!$A:$A, 0))-INDEX('UZ-normalized'!$E:$E, MATCH($A7, 'UZ-normalized'!$A:$A, 0))), 0), 0)))</f>
        <v>-253.70000000000002</v>
      </c>
      <c r="AF7" s="6">
        <f>MIN(0, N7+(IFERROR(IF(18*INDEX('UA-normalized'!$D:$D, MATCH($A7, 'UA-normalized'!$A:$A, 0))-INDEX('UA-normalized'!$E:$E, MATCH($A7, 'UA-normalized'!$A:$A, 0))&gt;0, -(18*INDEX('UA-normalized'!$D:$D, MATCH($A7, 'UA-normalized'!$A:$A, 0))-INDEX('UA-normalized'!$E:$E, MATCH($A7, 'UA-normalized'!$A:$A, 0))), 0), 0))+(IFERROR(IF(18*INDEX('KZ-normalized'!$D:$D, MATCH($A7, 'KZ-normalized'!$A:$A, 0))-INDEX('KZ-normalized'!$E:$E, MATCH($A7, 'KZ-normalized'!$A:$A, 0))&gt;0, -(18*INDEX('KZ-normalized'!$D:$D, MATCH($A7, 'KZ-normalized'!$A:$A, 0))-INDEX('KZ-normalized'!$E:$E, MATCH($A7, 'KZ-normalized'!$A:$A, 0))), 0), 0))+(IFERROR(IF(18*INDEX('UZ-normalized'!$D:$D, MATCH($A7, 'UZ-normalized'!$A:$A, 0))-INDEX('UZ-normalized'!$E:$E, MATCH($A7, 'UZ-normalized'!$A:$A, 0))&gt;0, -(18*INDEX('UZ-normalized'!$D:$D, MATCH($A7, 'UZ-normalized'!$A:$A, 0))-INDEX('UZ-normalized'!$E:$E, MATCH($A7, 'UZ-normalized'!$A:$A, 0))), 0), 0)))</f>
        <v>-272.8</v>
      </c>
      <c r="AG7" s="6">
        <f>MIN(0, N7+(IFERROR(IF(19*INDEX('UA-normalized'!$D:$D, MATCH($A7, 'UA-normalized'!$A:$A, 0))-INDEX('UA-normalized'!$E:$E, MATCH($A7, 'UA-normalized'!$A:$A, 0))&gt;0, -(19*INDEX('UA-normalized'!$D:$D, MATCH($A7, 'UA-normalized'!$A:$A, 0))-INDEX('UA-normalized'!$E:$E, MATCH($A7, 'UA-normalized'!$A:$A, 0))), 0), 0))+(IFERROR(IF(19*INDEX('KZ-normalized'!$D:$D, MATCH($A7, 'KZ-normalized'!$A:$A, 0))-INDEX('KZ-normalized'!$E:$E, MATCH($A7, 'KZ-normalized'!$A:$A, 0))&gt;0, -(19*INDEX('KZ-normalized'!$D:$D, MATCH($A7, 'KZ-normalized'!$A:$A, 0))-INDEX('KZ-normalized'!$E:$E, MATCH($A7, 'KZ-normalized'!$A:$A, 0))), 0), 0))+(IFERROR(IF(19*INDEX('UZ-normalized'!$D:$D, MATCH($A7, 'UZ-normalized'!$A:$A, 0))-INDEX('UZ-normalized'!$E:$E, MATCH($A7, 'UZ-normalized'!$A:$A, 0))&gt;0, -(19*INDEX('UZ-normalized'!$D:$D, MATCH($A7, 'UZ-normalized'!$A:$A, 0))-INDEX('UZ-normalized'!$E:$E, MATCH($A7, 'UZ-normalized'!$A:$A, 0))), 0), 0)))</f>
        <v>-291.90000000000003</v>
      </c>
      <c r="AH7" s="6">
        <f>MIN(0, N7+(IFERROR(IF(20*INDEX('UA-normalized'!$D:$D, MATCH($A7, 'UA-normalized'!$A:$A, 0))-INDEX('UA-normalized'!$E:$E, MATCH($A7, 'UA-normalized'!$A:$A, 0))&gt;0, -(20*INDEX('UA-normalized'!$D:$D, MATCH($A7, 'UA-normalized'!$A:$A, 0))-INDEX('UA-normalized'!$E:$E, MATCH($A7, 'UA-normalized'!$A:$A, 0))), 0), 0))+(IFERROR(IF(20*INDEX('KZ-normalized'!$D:$D, MATCH($A7, 'KZ-normalized'!$A:$A, 0))-INDEX('KZ-normalized'!$E:$E, MATCH($A7, 'KZ-normalized'!$A:$A, 0))&gt;0, -(20*INDEX('KZ-normalized'!$D:$D, MATCH($A7, 'KZ-normalized'!$A:$A, 0))-INDEX('KZ-normalized'!$E:$E, MATCH($A7, 'KZ-normalized'!$A:$A, 0))), 0), 0))+(IFERROR(IF(20*INDEX('UZ-normalized'!$D:$D, MATCH($A7, 'UZ-normalized'!$A:$A, 0))-INDEX('UZ-normalized'!$E:$E, MATCH($A7, 'UZ-normalized'!$A:$A, 0))&gt;0, -(20*INDEX('UZ-normalized'!$D:$D, MATCH($A7, 'UZ-normalized'!$A:$A, 0))-INDEX('UZ-normalized'!$E:$E, MATCH($A7, 'UZ-normalized'!$A:$A, 0))), 0), 0)))</f>
        <v>-311</v>
      </c>
      <c r="AI7" s="6">
        <f>MIN(0, N7+(IFERROR(IF(21*INDEX('UA-normalized'!$D:$D, MATCH($A7, 'UA-normalized'!$A:$A, 0))-INDEX('UA-normalized'!$E:$E, MATCH($A7, 'UA-normalized'!$A:$A, 0))&gt;0, -(21*INDEX('UA-normalized'!$D:$D, MATCH($A7, 'UA-normalized'!$A:$A, 0))-INDEX('UA-normalized'!$E:$E, MATCH($A7, 'UA-normalized'!$A:$A, 0))), 0), 0))+(IFERROR(IF(21*INDEX('KZ-normalized'!$D:$D, MATCH($A7, 'KZ-normalized'!$A:$A, 0))-INDEX('KZ-normalized'!$E:$E, MATCH($A7, 'KZ-normalized'!$A:$A, 0))&gt;0, -(21*INDEX('KZ-normalized'!$D:$D, MATCH($A7, 'KZ-normalized'!$A:$A, 0))-INDEX('KZ-normalized'!$E:$E, MATCH($A7, 'KZ-normalized'!$A:$A, 0))), 0), 0))+(IFERROR(IF(21*INDEX('UZ-normalized'!$D:$D, MATCH($A7, 'UZ-normalized'!$A:$A, 0))-INDEX('UZ-normalized'!$E:$E, MATCH($A7, 'UZ-normalized'!$A:$A, 0))&gt;0, -(21*INDEX('UZ-normalized'!$D:$D, MATCH($A7, 'UZ-normalized'!$A:$A, 0))-INDEX('UZ-normalized'!$E:$E, MATCH($A7, 'UZ-normalized'!$A:$A, 0))), 0), 0)))</f>
        <v>-330.1</v>
      </c>
      <c r="AJ7" s="6">
        <f>MIN(0, N7+(IFERROR(IF(22*INDEX('UA-normalized'!$D:$D, MATCH($A7, 'UA-normalized'!$A:$A, 0))-INDEX('UA-normalized'!$E:$E, MATCH($A7, 'UA-normalized'!$A:$A, 0))&gt;0, -(22*INDEX('UA-normalized'!$D:$D, MATCH($A7, 'UA-normalized'!$A:$A, 0))-INDEX('UA-normalized'!$E:$E, MATCH($A7, 'UA-normalized'!$A:$A, 0))), 0), 0))+(IFERROR(IF(22*INDEX('KZ-normalized'!$D:$D, MATCH($A7, 'KZ-normalized'!$A:$A, 0))-INDEX('KZ-normalized'!$E:$E, MATCH($A7, 'KZ-normalized'!$A:$A, 0))&gt;0, -(22*INDEX('KZ-normalized'!$D:$D, MATCH($A7, 'KZ-normalized'!$A:$A, 0))-INDEX('KZ-normalized'!$E:$E, MATCH($A7, 'KZ-normalized'!$A:$A, 0))), 0), 0))+(IFERROR(IF(22*INDEX('UZ-normalized'!$D:$D, MATCH($A7, 'UZ-normalized'!$A:$A, 0))-INDEX('UZ-normalized'!$E:$E, MATCH($A7, 'UZ-normalized'!$A:$A, 0))&gt;0, -(22*INDEX('UZ-normalized'!$D:$D, MATCH($A7, 'UZ-normalized'!$A:$A, 0))-INDEX('UZ-normalized'!$E:$E, MATCH($A7, 'UZ-normalized'!$A:$A, 0))), 0), 0)))</f>
        <v>-349.20000000000005</v>
      </c>
      <c r="AK7" s="6">
        <f>MIN(0, N7+(IFERROR(IF(23*INDEX('UA-normalized'!$D:$D, MATCH($A7, 'UA-normalized'!$A:$A, 0))-INDEX('UA-normalized'!$E:$E, MATCH($A7, 'UA-normalized'!$A:$A, 0))&gt;0, -(23*INDEX('UA-normalized'!$D:$D, MATCH($A7, 'UA-normalized'!$A:$A, 0))-INDEX('UA-normalized'!$E:$E, MATCH($A7, 'UA-normalized'!$A:$A, 0))), 0), 0))+(IFERROR(IF(23*INDEX('KZ-normalized'!$D:$D, MATCH($A7, 'KZ-normalized'!$A:$A, 0))-INDEX('KZ-normalized'!$E:$E, MATCH($A7, 'KZ-normalized'!$A:$A, 0))&gt;0, -(23*INDEX('KZ-normalized'!$D:$D, MATCH($A7, 'KZ-normalized'!$A:$A, 0))-INDEX('KZ-normalized'!$E:$E, MATCH($A7, 'KZ-normalized'!$A:$A, 0))), 0), 0))+(IFERROR(IF(23*INDEX('UZ-normalized'!$D:$D, MATCH($A7, 'UZ-normalized'!$A:$A, 0))-INDEX('UZ-normalized'!$E:$E, MATCH($A7, 'UZ-normalized'!$A:$A, 0))&gt;0, -(23*INDEX('UZ-normalized'!$D:$D, MATCH($A7, 'UZ-normalized'!$A:$A, 0))-INDEX('UZ-normalized'!$E:$E, MATCH($A7, 'UZ-normalized'!$A:$A, 0))), 0), 0)))</f>
        <v>-368.30000000000007</v>
      </c>
      <c r="AL7" s="6">
        <f>MIN(0, N7+(IFERROR(IF(24*INDEX('UA-normalized'!$D:$D, MATCH($A7, 'UA-normalized'!$A:$A, 0))-INDEX('UA-normalized'!$E:$E, MATCH($A7, 'UA-normalized'!$A:$A, 0))&gt;0, -(24*INDEX('UA-normalized'!$D:$D, MATCH($A7, 'UA-normalized'!$A:$A, 0))-INDEX('UA-normalized'!$E:$E, MATCH($A7, 'UA-normalized'!$A:$A, 0))), 0), 0))+(IFERROR(IF(24*INDEX('KZ-normalized'!$D:$D, MATCH($A7, 'KZ-normalized'!$A:$A, 0))-INDEX('KZ-normalized'!$E:$E, MATCH($A7, 'KZ-normalized'!$A:$A, 0))&gt;0, -(24*INDEX('KZ-normalized'!$D:$D, MATCH($A7, 'KZ-normalized'!$A:$A, 0))-INDEX('KZ-normalized'!$E:$E, MATCH($A7, 'KZ-normalized'!$A:$A, 0))), 0), 0))+(IFERROR(IF(24*INDEX('UZ-normalized'!$D:$D, MATCH($A7, 'UZ-normalized'!$A:$A, 0))-INDEX('UZ-normalized'!$E:$E, MATCH($A7, 'UZ-normalized'!$A:$A, 0))&gt;0, -(24*INDEX('UZ-normalized'!$D:$D, MATCH($A7, 'UZ-normalized'!$A:$A, 0))-INDEX('UZ-normalized'!$E:$E, MATCH($A7, 'UZ-normalized'!$A:$A, 0))), 0), 0)))</f>
        <v>-387.40000000000003</v>
      </c>
      <c r="AM7" s="6">
        <f>MIN(0, N7+(IFERROR(IF(25*INDEX('UA-normalized'!$D:$D, MATCH($A7, 'UA-normalized'!$A:$A, 0))-INDEX('UA-normalized'!$E:$E, MATCH($A7, 'UA-normalized'!$A:$A, 0))&gt;0, -(25*INDEX('UA-normalized'!$D:$D, MATCH($A7, 'UA-normalized'!$A:$A, 0))-INDEX('UA-normalized'!$E:$E, MATCH($A7, 'UA-normalized'!$A:$A, 0))), 0), 0))+(IFERROR(IF(25*INDEX('KZ-normalized'!$D:$D, MATCH($A7, 'KZ-normalized'!$A:$A, 0))-INDEX('KZ-normalized'!$E:$E, MATCH($A7, 'KZ-normalized'!$A:$A, 0))&gt;0, -(25*INDEX('KZ-normalized'!$D:$D, MATCH($A7, 'KZ-normalized'!$A:$A, 0))-INDEX('KZ-normalized'!$E:$E, MATCH($A7, 'KZ-normalized'!$A:$A, 0))), 0), 0))+(IFERROR(IF(25*INDEX('UZ-normalized'!$D:$D, MATCH($A7, 'UZ-normalized'!$A:$A, 0))-INDEX('UZ-normalized'!$E:$E, MATCH($A7, 'UZ-normalized'!$A:$A, 0))&gt;0, -(25*INDEX('UZ-normalized'!$D:$D, MATCH($A7, 'UZ-normalized'!$A:$A, 0))-INDEX('UZ-normalized'!$E:$E, MATCH($A7, 'UZ-normalized'!$A:$A, 0))), 0), 0)))</f>
        <v>-406.5</v>
      </c>
      <c r="AN7" s="6">
        <f>MIN(0, N7+(IFERROR(IF(26*INDEX('UA-normalized'!$D:$D, MATCH($A7, 'UA-normalized'!$A:$A, 0))-INDEX('UA-normalized'!$E:$E, MATCH($A7, 'UA-normalized'!$A:$A, 0))&gt;0, -(26*INDEX('UA-normalized'!$D:$D, MATCH($A7, 'UA-normalized'!$A:$A, 0))-INDEX('UA-normalized'!$E:$E, MATCH($A7, 'UA-normalized'!$A:$A, 0))), 0), 0))+(IFERROR(IF(26*INDEX('KZ-normalized'!$D:$D, MATCH($A7, 'KZ-normalized'!$A:$A, 0))-INDEX('KZ-normalized'!$E:$E, MATCH($A7, 'KZ-normalized'!$A:$A, 0))&gt;0, -(26*INDEX('KZ-normalized'!$D:$D, MATCH($A7, 'KZ-normalized'!$A:$A, 0))-INDEX('KZ-normalized'!$E:$E, MATCH($A7, 'KZ-normalized'!$A:$A, 0))), 0), 0))+(IFERROR(IF(26*INDEX('UZ-normalized'!$D:$D, MATCH($A7, 'UZ-normalized'!$A:$A, 0))-INDEX('UZ-normalized'!$E:$E, MATCH($A7, 'UZ-normalized'!$A:$A, 0))&gt;0, -(26*INDEX('UZ-normalized'!$D:$D, MATCH($A7, 'UZ-normalized'!$A:$A, 0))-INDEX('UZ-normalized'!$E:$E, MATCH($A7, 'UZ-normalized'!$A:$A, 0))), 0), 0)))</f>
        <v>-425.6</v>
      </c>
      <c r="AO7" s="6">
        <f>MIN(0, N7+(IFERROR(IF(27*INDEX('UA-normalized'!$D:$D, MATCH($A7, 'UA-normalized'!$A:$A, 0))-INDEX('UA-normalized'!$E:$E, MATCH($A7, 'UA-normalized'!$A:$A, 0))&gt;0, -(27*INDEX('UA-normalized'!$D:$D, MATCH($A7, 'UA-normalized'!$A:$A, 0))-INDEX('UA-normalized'!$E:$E, MATCH($A7, 'UA-normalized'!$A:$A, 0))), 0), 0))+(IFERROR(IF(27*INDEX('KZ-normalized'!$D:$D, MATCH($A7, 'KZ-normalized'!$A:$A, 0))-INDEX('KZ-normalized'!$E:$E, MATCH($A7, 'KZ-normalized'!$A:$A, 0))&gt;0, -(27*INDEX('KZ-normalized'!$D:$D, MATCH($A7, 'KZ-normalized'!$A:$A, 0))-INDEX('KZ-normalized'!$E:$E, MATCH($A7, 'KZ-normalized'!$A:$A, 0))), 0), 0))+(IFERROR(IF(27*INDEX('UZ-normalized'!$D:$D, MATCH($A7, 'UZ-normalized'!$A:$A, 0))-INDEX('UZ-normalized'!$E:$E, MATCH($A7, 'UZ-normalized'!$A:$A, 0))&gt;0, -(27*INDEX('UZ-normalized'!$D:$D, MATCH($A7, 'UZ-normalized'!$A:$A, 0))-INDEX('UZ-normalized'!$E:$E, MATCH($A7, 'UZ-normalized'!$A:$A, 0))), 0), 0)))</f>
        <v>-444.70000000000005</v>
      </c>
      <c r="AP7" s="6">
        <f>MIN(0, N7+(IFERROR(IF(28*INDEX('UA-normalized'!$D:$D, MATCH($A7, 'UA-normalized'!$A:$A, 0))-INDEX('UA-normalized'!$E:$E, MATCH($A7, 'UA-normalized'!$A:$A, 0))&gt;0, -(28*INDEX('UA-normalized'!$D:$D, MATCH($A7, 'UA-normalized'!$A:$A, 0))-INDEX('UA-normalized'!$E:$E, MATCH($A7, 'UA-normalized'!$A:$A, 0))), 0), 0))+(IFERROR(IF(28*INDEX('KZ-normalized'!$D:$D, MATCH($A7, 'KZ-normalized'!$A:$A, 0))-INDEX('KZ-normalized'!$E:$E, MATCH($A7, 'KZ-normalized'!$A:$A, 0))&gt;0, -(28*INDEX('KZ-normalized'!$D:$D, MATCH($A7, 'KZ-normalized'!$A:$A, 0))-INDEX('KZ-normalized'!$E:$E, MATCH($A7, 'KZ-normalized'!$A:$A, 0))), 0), 0))+(IFERROR(IF(28*INDEX('UZ-normalized'!$D:$D, MATCH($A7, 'UZ-normalized'!$A:$A, 0))-INDEX('UZ-normalized'!$E:$E, MATCH($A7, 'UZ-normalized'!$A:$A, 0))&gt;0, -(28*INDEX('UZ-normalized'!$D:$D, MATCH($A7, 'UZ-normalized'!$A:$A, 0))-INDEX('UZ-normalized'!$E:$E, MATCH($A7, 'UZ-normalized'!$A:$A, 0))), 0), 0)))</f>
        <v>-463.80000000000007</v>
      </c>
      <c r="AQ7" s="6">
        <f>MIN(0, N7+(IFERROR(IF(29*INDEX('UA-normalized'!$D:$D, MATCH($A7, 'UA-normalized'!$A:$A, 0))-INDEX('UA-normalized'!$E:$E, MATCH($A7, 'UA-normalized'!$A:$A, 0))&gt;0, -(29*INDEX('UA-normalized'!$D:$D, MATCH($A7, 'UA-normalized'!$A:$A, 0))-INDEX('UA-normalized'!$E:$E, MATCH($A7, 'UA-normalized'!$A:$A, 0))), 0), 0))+(IFERROR(IF(29*INDEX('KZ-normalized'!$D:$D, MATCH($A7, 'KZ-normalized'!$A:$A, 0))-INDEX('KZ-normalized'!$E:$E, MATCH($A7, 'KZ-normalized'!$A:$A, 0))&gt;0, -(29*INDEX('KZ-normalized'!$D:$D, MATCH($A7, 'KZ-normalized'!$A:$A, 0))-INDEX('KZ-normalized'!$E:$E, MATCH($A7, 'KZ-normalized'!$A:$A, 0))), 0), 0))+(IFERROR(IF(29*INDEX('UZ-normalized'!$D:$D, MATCH($A7, 'UZ-normalized'!$A:$A, 0))-INDEX('UZ-normalized'!$E:$E, MATCH($A7, 'UZ-normalized'!$A:$A, 0))&gt;0, -(29*INDEX('UZ-normalized'!$D:$D, MATCH($A7, 'UZ-normalized'!$A:$A, 0))-INDEX('UZ-normalized'!$E:$E, MATCH($A7, 'UZ-normalized'!$A:$A, 0))), 0), 0)))</f>
        <v>-482.90000000000003</v>
      </c>
      <c r="AR7" s="6">
        <f>MIN(0, N7+(IFERROR(IF(30*INDEX('UA-normalized'!$D:$D, MATCH($A7, 'UA-normalized'!$A:$A, 0))-INDEX('UA-normalized'!$E:$E, MATCH($A7, 'UA-normalized'!$A:$A, 0))&gt;0, -(30*INDEX('UA-normalized'!$D:$D, MATCH($A7, 'UA-normalized'!$A:$A, 0))-INDEX('UA-normalized'!$E:$E, MATCH($A7, 'UA-normalized'!$A:$A, 0))), 0), 0))+(IFERROR(IF(30*INDEX('KZ-normalized'!$D:$D, MATCH($A7, 'KZ-normalized'!$A:$A, 0))-INDEX('KZ-normalized'!$E:$E, MATCH($A7, 'KZ-normalized'!$A:$A, 0))&gt;0, -(30*INDEX('KZ-normalized'!$D:$D, MATCH($A7, 'KZ-normalized'!$A:$A, 0))-INDEX('KZ-normalized'!$E:$E, MATCH($A7, 'KZ-normalized'!$A:$A, 0))), 0), 0))+(IFERROR(IF(30*INDEX('UZ-normalized'!$D:$D, MATCH($A7, 'UZ-normalized'!$A:$A, 0))-INDEX('UZ-normalized'!$E:$E, MATCH($A7, 'UZ-normalized'!$A:$A, 0))&gt;0, -(30*INDEX('UZ-normalized'!$D:$D, MATCH($A7, 'UZ-normalized'!$A:$A, 0))-INDEX('UZ-normalized'!$E:$E, MATCH($A7, 'UZ-normalized'!$A:$A, 0))), 0), 0)))</f>
        <v>-502</v>
      </c>
    </row>
    <row r="8" spans="1:44" x14ac:dyDescent="0.25">
      <c r="A8" s="8" t="s">
        <v>59</v>
      </c>
      <c r="B8" s="8" t="s">
        <v>45</v>
      </c>
      <c r="C8" s="8" t="s">
        <v>60</v>
      </c>
      <c r="D8" s="8" t="s">
        <v>61</v>
      </c>
      <c r="N8">
        <f t="shared" si="0"/>
        <v>0</v>
      </c>
      <c r="O8" s="6">
        <f>MIN(0, N8+(IFERROR(IF(1*INDEX('UA-normalized'!$D:$D, MATCH($A8, 'UA-normalized'!$A:$A, 0))-INDEX('UA-normalized'!$E:$E, MATCH($A8, 'UA-normalized'!$A:$A, 0))&gt;0, -(1*INDEX('UA-normalized'!$D:$D, MATCH($A8, 'UA-normalized'!$A:$A, 0))-INDEX('UA-normalized'!$E:$E, MATCH($A8, 'UA-normalized'!$A:$A, 0))), 0), 0))+(IFERROR(IF(1*INDEX('KZ-normalized'!$D:$D, MATCH($A8, 'KZ-normalized'!$A:$A, 0))-INDEX('KZ-normalized'!$E:$E, MATCH($A8, 'KZ-normalized'!$A:$A, 0))&gt;0, -(1*INDEX('KZ-normalized'!$D:$D, MATCH($A8, 'KZ-normalized'!$A:$A, 0))-INDEX('KZ-normalized'!$E:$E, MATCH($A8, 'KZ-normalized'!$A:$A, 0))), 0), 0))+(IFERROR(IF(1*INDEX('UZ-normalized'!$D:$D, MATCH($A8, 'UZ-normalized'!$A:$A, 0))-INDEX('UZ-normalized'!$E:$E, MATCH($A8, 'UZ-normalized'!$A:$A, 0))&gt;0, -(1*INDEX('UZ-normalized'!$D:$D, MATCH($A8, 'UZ-normalized'!$A:$A, 0))-INDEX('UZ-normalized'!$E:$E, MATCH($A8, 'UZ-normalized'!$A:$A, 0))), 0), 0)))</f>
        <v>0</v>
      </c>
      <c r="P8" s="6">
        <f>MIN(0, N8+(IFERROR(IF(2*INDEX('UA-normalized'!$D:$D, MATCH($A8, 'UA-normalized'!$A:$A, 0))-INDEX('UA-normalized'!$E:$E, MATCH($A8, 'UA-normalized'!$A:$A, 0))&gt;0, -(2*INDEX('UA-normalized'!$D:$D, MATCH($A8, 'UA-normalized'!$A:$A, 0))-INDEX('UA-normalized'!$E:$E, MATCH($A8, 'UA-normalized'!$A:$A, 0))), 0), 0))+(IFERROR(IF(2*INDEX('KZ-normalized'!$D:$D, MATCH($A8, 'KZ-normalized'!$A:$A, 0))-INDEX('KZ-normalized'!$E:$E, MATCH($A8, 'KZ-normalized'!$A:$A, 0))&gt;0, -(2*INDEX('KZ-normalized'!$D:$D, MATCH($A8, 'KZ-normalized'!$A:$A, 0))-INDEX('KZ-normalized'!$E:$E, MATCH($A8, 'KZ-normalized'!$A:$A, 0))), 0), 0))+(IFERROR(IF(2*INDEX('UZ-normalized'!$D:$D, MATCH($A8, 'UZ-normalized'!$A:$A, 0))-INDEX('UZ-normalized'!$E:$E, MATCH($A8, 'UZ-normalized'!$A:$A, 0))&gt;0, -(2*INDEX('UZ-normalized'!$D:$D, MATCH($A8, 'UZ-normalized'!$A:$A, 0))-INDEX('UZ-normalized'!$E:$E, MATCH($A8, 'UZ-normalized'!$A:$A, 0))), 0), 0)))</f>
        <v>0</v>
      </c>
      <c r="Q8" s="6">
        <f>MIN(0, N8+(IFERROR(IF(3*INDEX('UA-normalized'!$D:$D, MATCH($A8, 'UA-normalized'!$A:$A, 0))-INDEX('UA-normalized'!$E:$E, MATCH($A8, 'UA-normalized'!$A:$A, 0))&gt;0, -(3*INDEX('UA-normalized'!$D:$D, MATCH($A8, 'UA-normalized'!$A:$A, 0))-INDEX('UA-normalized'!$E:$E, MATCH($A8, 'UA-normalized'!$A:$A, 0))), 0), 0))+(IFERROR(IF(3*INDEX('KZ-normalized'!$D:$D, MATCH($A8, 'KZ-normalized'!$A:$A, 0))-INDEX('KZ-normalized'!$E:$E, MATCH($A8, 'KZ-normalized'!$A:$A, 0))&gt;0, -(3*INDEX('KZ-normalized'!$D:$D, MATCH($A8, 'KZ-normalized'!$A:$A, 0))-INDEX('KZ-normalized'!$E:$E, MATCH($A8, 'KZ-normalized'!$A:$A, 0))), 0), 0))+(IFERROR(IF(3*INDEX('UZ-normalized'!$D:$D, MATCH($A8, 'UZ-normalized'!$A:$A, 0))-INDEX('UZ-normalized'!$E:$E, MATCH($A8, 'UZ-normalized'!$A:$A, 0))&gt;0, -(3*INDEX('UZ-normalized'!$D:$D, MATCH($A8, 'UZ-normalized'!$A:$A, 0))-INDEX('UZ-normalized'!$E:$E, MATCH($A8, 'UZ-normalized'!$A:$A, 0))), 0), 0)))</f>
        <v>0</v>
      </c>
      <c r="R8" s="6">
        <f>MIN(0, N8+(IFERROR(IF(4*INDEX('UA-normalized'!$D:$D, MATCH($A8, 'UA-normalized'!$A:$A, 0))-INDEX('UA-normalized'!$E:$E, MATCH($A8, 'UA-normalized'!$A:$A, 0))&gt;0, -(4*INDEX('UA-normalized'!$D:$D, MATCH($A8, 'UA-normalized'!$A:$A, 0))-INDEX('UA-normalized'!$E:$E, MATCH($A8, 'UA-normalized'!$A:$A, 0))), 0), 0))+(IFERROR(IF(4*INDEX('KZ-normalized'!$D:$D, MATCH($A8, 'KZ-normalized'!$A:$A, 0))-INDEX('KZ-normalized'!$E:$E, MATCH($A8, 'KZ-normalized'!$A:$A, 0))&gt;0, -(4*INDEX('KZ-normalized'!$D:$D, MATCH($A8, 'KZ-normalized'!$A:$A, 0))-INDEX('KZ-normalized'!$E:$E, MATCH($A8, 'KZ-normalized'!$A:$A, 0))), 0), 0))+(IFERROR(IF(4*INDEX('UZ-normalized'!$D:$D, MATCH($A8, 'UZ-normalized'!$A:$A, 0))-INDEX('UZ-normalized'!$E:$E, MATCH($A8, 'UZ-normalized'!$A:$A, 0))&gt;0, -(4*INDEX('UZ-normalized'!$D:$D, MATCH($A8, 'UZ-normalized'!$A:$A, 0))-INDEX('UZ-normalized'!$E:$E, MATCH($A8, 'UZ-normalized'!$A:$A, 0))), 0), 0)))</f>
        <v>0</v>
      </c>
      <c r="S8" s="6">
        <f>MIN(0, N8+(IFERROR(IF(5*INDEX('UA-normalized'!$D:$D, MATCH($A8, 'UA-normalized'!$A:$A, 0))-INDEX('UA-normalized'!$E:$E, MATCH($A8, 'UA-normalized'!$A:$A, 0))&gt;0, -(5*INDEX('UA-normalized'!$D:$D, MATCH($A8, 'UA-normalized'!$A:$A, 0))-INDEX('UA-normalized'!$E:$E, MATCH($A8, 'UA-normalized'!$A:$A, 0))), 0), 0))+(IFERROR(IF(5*INDEX('KZ-normalized'!$D:$D, MATCH($A8, 'KZ-normalized'!$A:$A, 0))-INDEX('KZ-normalized'!$E:$E, MATCH($A8, 'KZ-normalized'!$A:$A, 0))&gt;0, -(5*INDEX('KZ-normalized'!$D:$D, MATCH($A8, 'KZ-normalized'!$A:$A, 0))-INDEX('KZ-normalized'!$E:$E, MATCH($A8, 'KZ-normalized'!$A:$A, 0))), 0), 0))+(IFERROR(IF(5*INDEX('UZ-normalized'!$D:$D, MATCH($A8, 'UZ-normalized'!$A:$A, 0))-INDEX('UZ-normalized'!$E:$E, MATCH($A8, 'UZ-normalized'!$A:$A, 0))&gt;0, -(5*INDEX('UZ-normalized'!$D:$D, MATCH($A8, 'UZ-normalized'!$A:$A, 0))-INDEX('UZ-normalized'!$E:$E, MATCH($A8, 'UZ-normalized'!$A:$A, 0))), 0), 0)))</f>
        <v>0</v>
      </c>
      <c r="T8" s="6">
        <f>MIN(0, N8+(IFERROR(IF(6*INDEX('UA-normalized'!$D:$D, MATCH($A8, 'UA-normalized'!$A:$A, 0))-INDEX('UA-normalized'!$E:$E, MATCH($A8, 'UA-normalized'!$A:$A, 0))&gt;0, -(6*INDEX('UA-normalized'!$D:$D, MATCH($A8, 'UA-normalized'!$A:$A, 0))-INDEX('UA-normalized'!$E:$E, MATCH($A8, 'UA-normalized'!$A:$A, 0))), 0), 0))+(IFERROR(IF(6*INDEX('KZ-normalized'!$D:$D, MATCH($A8, 'KZ-normalized'!$A:$A, 0))-INDEX('KZ-normalized'!$E:$E, MATCH($A8, 'KZ-normalized'!$A:$A, 0))&gt;0, -(6*INDEX('KZ-normalized'!$D:$D, MATCH($A8, 'KZ-normalized'!$A:$A, 0))-INDEX('KZ-normalized'!$E:$E, MATCH($A8, 'KZ-normalized'!$A:$A, 0))), 0), 0))+(IFERROR(IF(6*INDEX('UZ-normalized'!$D:$D, MATCH($A8, 'UZ-normalized'!$A:$A, 0))-INDEX('UZ-normalized'!$E:$E, MATCH($A8, 'UZ-normalized'!$A:$A, 0))&gt;0, -(6*INDEX('UZ-normalized'!$D:$D, MATCH($A8, 'UZ-normalized'!$A:$A, 0))-INDEX('UZ-normalized'!$E:$E, MATCH($A8, 'UZ-normalized'!$A:$A, 0))), 0), 0)))</f>
        <v>0</v>
      </c>
      <c r="U8" s="6">
        <f>MIN(0, N8+(IFERROR(IF(7*INDEX('UA-normalized'!$D:$D, MATCH($A8, 'UA-normalized'!$A:$A, 0))-INDEX('UA-normalized'!$E:$E, MATCH($A8, 'UA-normalized'!$A:$A, 0))&gt;0, -(7*INDEX('UA-normalized'!$D:$D, MATCH($A8, 'UA-normalized'!$A:$A, 0))-INDEX('UA-normalized'!$E:$E, MATCH($A8, 'UA-normalized'!$A:$A, 0))), 0), 0))+(IFERROR(IF(7*INDEX('KZ-normalized'!$D:$D, MATCH($A8, 'KZ-normalized'!$A:$A, 0))-INDEX('KZ-normalized'!$E:$E, MATCH($A8, 'KZ-normalized'!$A:$A, 0))&gt;0, -(7*INDEX('KZ-normalized'!$D:$D, MATCH($A8, 'KZ-normalized'!$A:$A, 0))-INDEX('KZ-normalized'!$E:$E, MATCH($A8, 'KZ-normalized'!$A:$A, 0))), 0), 0))+(IFERROR(IF(7*INDEX('UZ-normalized'!$D:$D, MATCH($A8, 'UZ-normalized'!$A:$A, 0))-INDEX('UZ-normalized'!$E:$E, MATCH($A8, 'UZ-normalized'!$A:$A, 0))&gt;0, -(7*INDEX('UZ-normalized'!$D:$D, MATCH($A8, 'UZ-normalized'!$A:$A, 0))-INDEX('UZ-normalized'!$E:$E, MATCH($A8, 'UZ-normalized'!$A:$A, 0))), 0), 0)))</f>
        <v>0</v>
      </c>
      <c r="V8" s="6">
        <f>MIN(0, N8+(IFERROR(IF(8*INDEX('UA-normalized'!$D:$D, MATCH($A8, 'UA-normalized'!$A:$A, 0))-INDEX('UA-normalized'!$E:$E, MATCH($A8, 'UA-normalized'!$A:$A, 0))&gt;0, -(8*INDEX('UA-normalized'!$D:$D, MATCH($A8, 'UA-normalized'!$A:$A, 0))-INDEX('UA-normalized'!$E:$E, MATCH($A8, 'UA-normalized'!$A:$A, 0))), 0), 0))+(IFERROR(IF(8*INDEX('KZ-normalized'!$D:$D, MATCH($A8, 'KZ-normalized'!$A:$A, 0))-INDEX('KZ-normalized'!$E:$E, MATCH($A8, 'KZ-normalized'!$A:$A, 0))&gt;0, -(8*INDEX('KZ-normalized'!$D:$D, MATCH($A8, 'KZ-normalized'!$A:$A, 0))-INDEX('KZ-normalized'!$E:$E, MATCH($A8, 'KZ-normalized'!$A:$A, 0))), 0), 0))+(IFERROR(IF(8*INDEX('UZ-normalized'!$D:$D, MATCH($A8, 'UZ-normalized'!$A:$A, 0))-INDEX('UZ-normalized'!$E:$E, MATCH($A8, 'UZ-normalized'!$A:$A, 0))&gt;0, -(8*INDEX('UZ-normalized'!$D:$D, MATCH($A8, 'UZ-normalized'!$A:$A, 0))-INDEX('UZ-normalized'!$E:$E, MATCH($A8, 'UZ-normalized'!$A:$A, 0))), 0), 0)))</f>
        <v>0</v>
      </c>
      <c r="W8" s="6">
        <f>MIN(0, N8+(IFERROR(IF(9*INDEX('UA-normalized'!$D:$D, MATCH($A8, 'UA-normalized'!$A:$A, 0))-INDEX('UA-normalized'!$E:$E, MATCH($A8, 'UA-normalized'!$A:$A, 0))&gt;0, -(9*INDEX('UA-normalized'!$D:$D, MATCH($A8, 'UA-normalized'!$A:$A, 0))-INDEX('UA-normalized'!$E:$E, MATCH($A8, 'UA-normalized'!$A:$A, 0))), 0), 0))+(IFERROR(IF(9*INDEX('KZ-normalized'!$D:$D, MATCH($A8, 'KZ-normalized'!$A:$A, 0))-INDEX('KZ-normalized'!$E:$E, MATCH($A8, 'KZ-normalized'!$A:$A, 0))&gt;0, -(9*INDEX('KZ-normalized'!$D:$D, MATCH($A8, 'KZ-normalized'!$A:$A, 0))-INDEX('KZ-normalized'!$E:$E, MATCH($A8, 'KZ-normalized'!$A:$A, 0))), 0), 0))+(IFERROR(IF(9*INDEX('UZ-normalized'!$D:$D, MATCH($A8, 'UZ-normalized'!$A:$A, 0))-INDEX('UZ-normalized'!$E:$E, MATCH($A8, 'UZ-normalized'!$A:$A, 0))&gt;0, -(9*INDEX('UZ-normalized'!$D:$D, MATCH($A8, 'UZ-normalized'!$A:$A, 0))-INDEX('UZ-normalized'!$E:$E, MATCH($A8, 'UZ-normalized'!$A:$A, 0))), 0), 0)))</f>
        <v>0</v>
      </c>
      <c r="X8" s="6">
        <f>MIN(0, N8+(IFERROR(IF(10*INDEX('UA-normalized'!$D:$D, MATCH($A8, 'UA-normalized'!$A:$A, 0))-INDEX('UA-normalized'!$E:$E, MATCH($A8, 'UA-normalized'!$A:$A, 0))&gt;0, -(10*INDEX('UA-normalized'!$D:$D, MATCH($A8, 'UA-normalized'!$A:$A, 0))-INDEX('UA-normalized'!$E:$E, MATCH($A8, 'UA-normalized'!$A:$A, 0))), 0), 0))+(IFERROR(IF(10*INDEX('KZ-normalized'!$D:$D, MATCH($A8, 'KZ-normalized'!$A:$A, 0))-INDEX('KZ-normalized'!$E:$E, MATCH($A8, 'KZ-normalized'!$A:$A, 0))&gt;0, -(10*INDEX('KZ-normalized'!$D:$D, MATCH($A8, 'KZ-normalized'!$A:$A, 0))-INDEX('KZ-normalized'!$E:$E, MATCH($A8, 'KZ-normalized'!$A:$A, 0))), 0), 0))+(IFERROR(IF(10*INDEX('UZ-normalized'!$D:$D, MATCH($A8, 'UZ-normalized'!$A:$A, 0))-INDEX('UZ-normalized'!$E:$E, MATCH($A8, 'UZ-normalized'!$A:$A, 0))&gt;0, -(10*INDEX('UZ-normalized'!$D:$D, MATCH($A8, 'UZ-normalized'!$A:$A, 0))-INDEX('UZ-normalized'!$E:$E, MATCH($A8, 'UZ-normalized'!$A:$A, 0))), 0), 0)))</f>
        <v>0</v>
      </c>
      <c r="Y8" s="6">
        <f>MIN(0, N8+(IFERROR(IF(11*INDEX('UA-normalized'!$D:$D, MATCH($A8, 'UA-normalized'!$A:$A, 0))-INDEX('UA-normalized'!$E:$E, MATCH($A8, 'UA-normalized'!$A:$A, 0))&gt;0, -(11*INDEX('UA-normalized'!$D:$D, MATCH($A8, 'UA-normalized'!$A:$A, 0))-INDEX('UA-normalized'!$E:$E, MATCH($A8, 'UA-normalized'!$A:$A, 0))), 0), 0))+(IFERROR(IF(11*INDEX('KZ-normalized'!$D:$D, MATCH($A8, 'KZ-normalized'!$A:$A, 0))-INDEX('KZ-normalized'!$E:$E, MATCH($A8, 'KZ-normalized'!$A:$A, 0))&gt;0, -(11*INDEX('KZ-normalized'!$D:$D, MATCH($A8, 'KZ-normalized'!$A:$A, 0))-INDEX('KZ-normalized'!$E:$E, MATCH($A8, 'KZ-normalized'!$A:$A, 0))), 0), 0))+(IFERROR(IF(11*INDEX('UZ-normalized'!$D:$D, MATCH($A8, 'UZ-normalized'!$A:$A, 0))-INDEX('UZ-normalized'!$E:$E, MATCH($A8, 'UZ-normalized'!$A:$A, 0))&gt;0, -(11*INDEX('UZ-normalized'!$D:$D, MATCH($A8, 'UZ-normalized'!$A:$A, 0))-INDEX('UZ-normalized'!$E:$E, MATCH($A8, 'UZ-normalized'!$A:$A, 0))), 0), 0)))</f>
        <v>0</v>
      </c>
      <c r="Z8" s="6">
        <f>MIN(0, N8+(IFERROR(IF(12*INDEX('UA-normalized'!$D:$D, MATCH($A8, 'UA-normalized'!$A:$A, 0))-INDEX('UA-normalized'!$E:$E, MATCH($A8, 'UA-normalized'!$A:$A, 0))&gt;0, -(12*INDEX('UA-normalized'!$D:$D, MATCH($A8, 'UA-normalized'!$A:$A, 0))-INDEX('UA-normalized'!$E:$E, MATCH($A8, 'UA-normalized'!$A:$A, 0))), 0), 0))+(IFERROR(IF(12*INDEX('KZ-normalized'!$D:$D, MATCH($A8, 'KZ-normalized'!$A:$A, 0))-INDEX('KZ-normalized'!$E:$E, MATCH($A8, 'KZ-normalized'!$A:$A, 0))&gt;0, -(12*INDEX('KZ-normalized'!$D:$D, MATCH($A8, 'KZ-normalized'!$A:$A, 0))-INDEX('KZ-normalized'!$E:$E, MATCH($A8, 'KZ-normalized'!$A:$A, 0))), 0), 0))+(IFERROR(IF(12*INDEX('UZ-normalized'!$D:$D, MATCH($A8, 'UZ-normalized'!$A:$A, 0))-INDEX('UZ-normalized'!$E:$E, MATCH($A8, 'UZ-normalized'!$A:$A, 0))&gt;0, -(12*INDEX('UZ-normalized'!$D:$D, MATCH($A8, 'UZ-normalized'!$A:$A, 0))-INDEX('UZ-normalized'!$E:$E, MATCH($A8, 'UZ-normalized'!$A:$A, 0))), 0), 0)))</f>
        <v>0</v>
      </c>
      <c r="AA8" s="6">
        <f>MIN(0, N8+(IFERROR(IF(13*INDEX('UA-normalized'!$D:$D, MATCH($A8, 'UA-normalized'!$A:$A, 0))-INDEX('UA-normalized'!$E:$E, MATCH($A8, 'UA-normalized'!$A:$A, 0))&gt;0, -(13*INDEX('UA-normalized'!$D:$D, MATCH($A8, 'UA-normalized'!$A:$A, 0))-INDEX('UA-normalized'!$E:$E, MATCH($A8, 'UA-normalized'!$A:$A, 0))), 0), 0))+(IFERROR(IF(13*INDEX('KZ-normalized'!$D:$D, MATCH($A8, 'KZ-normalized'!$A:$A, 0))-INDEX('KZ-normalized'!$E:$E, MATCH($A8, 'KZ-normalized'!$A:$A, 0))&gt;0, -(13*INDEX('KZ-normalized'!$D:$D, MATCH($A8, 'KZ-normalized'!$A:$A, 0))-INDEX('KZ-normalized'!$E:$E, MATCH($A8, 'KZ-normalized'!$A:$A, 0))), 0), 0))+(IFERROR(IF(13*INDEX('UZ-normalized'!$D:$D, MATCH($A8, 'UZ-normalized'!$A:$A, 0))-INDEX('UZ-normalized'!$E:$E, MATCH($A8, 'UZ-normalized'!$A:$A, 0))&gt;0, -(13*INDEX('UZ-normalized'!$D:$D, MATCH($A8, 'UZ-normalized'!$A:$A, 0))-INDEX('UZ-normalized'!$E:$E, MATCH($A8, 'UZ-normalized'!$A:$A, 0))), 0), 0)))</f>
        <v>0</v>
      </c>
      <c r="AB8" s="6">
        <f>MIN(0, N8+(IFERROR(IF(14*INDEX('UA-normalized'!$D:$D, MATCH($A8, 'UA-normalized'!$A:$A, 0))-INDEX('UA-normalized'!$E:$E, MATCH($A8, 'UA-normalized'!$A:$A, 0))&gt;0, -(14*INDEX('UA-normalized'!$D:$D, MATCH($A8, 'UA-normalized'!$A:$A, 0))-INDEX('UA-normalized'!$E:$E, MATCH($A8, 'UA-normalized'!$A:$A, 0))), 0), 0))+(IFERROR(IF(14*INDEX('KZ-normalized'!$D:$D, MATCH($A8, 'KZ-normalized'!$A:$A, 0))-INDEX('KZ-normalized'!$E:$E, MATCH($A8, 'KZ-normalized'!$A:$A, 0))&gt;0, -(14*INDEX('KZ-normalized'!$D:$D, MATCH($A8, 'KZ-normalized'!$A:$A, 0))-INDEX('KZ-normalized'!$E:$E, MATCH($A8, 'KZ-normalized'!$A:$A, 0))), 0), 0))+(IFERROR(IF(14*INDEX('UZ-normalized'!$D:$D, MATCH($A8, 'UZ-normalized'!$A:$A, 0))-INDEX('UZ-normalized'!$E:$E, MATCH($A8, 'UZ-normalized'!$A:$A, 0))&gt;0, -(14*INDEX('UZ-normalized'!$D:$D, MATCH($A8, 'UZ-normalized'!$A:$A, 0))-INDEX('UZ-normalized'!$E:$E, MATCH($A8, 'UZ-normalized'!$A:$A, 0))), 0), 0)))</f>
        <v>0</v>
      </c>
      <c r="AC8" s="6">
        <f>MIN(0, N8+(IFERROR(IF(15*INDEX('UA-normalized'!$D:$D, MATCH($A8, 'UA-normalized'!$A:$A, 0))-INDEX('UA-normalized'!$E:$E, MATCH($A8, 'UA-normalized'!$A:$A, 0))&gt;0, -(15*INDEX('UA-normalized'!$D:$D, MATCH($A8, 'UA-normalized'!$A:$A, 0))-INDEX('UA-normalized'!$E:$E, MATCH($A8, 'UA-normalized'!$A:$A, 0))), 0), 0))+(IFERROR(IF(15*INDEX('KZ-normalized'!$D:$D, MATCH($A8, 'KZ-normalized'!$A:$A, 0))-INDEX('KZ-normalized'!$E:$E, MATCH($A8, 'KZ-normalized'!$A:$A, 0))&gt;0, -(15*INDEX('KZ-normalized'!$D:$D, MATCH($A8, 'KZ-normalized'!$A:$A, 0))-INDEX('KZ-normalized'!$E:$E, MATCH($A8, 'KZ-normalized'!$A:$A, 0))), 0), 0))+(IFERROR(IF(15*INDEX('UZ-normalized'!$D:$D, MATCH($A8, 'UZ-normalized'!$A:$A, 0))-INDEX('UZ-normalized'!$E:$E, MATCH($A8, 'UZ-normalized'!$A:$A, 0))&gt;0, -(15*INDEX('UZ-normalized'!$D:$D, MATCH($A8, 'UZ-normalized'!$A:$A, 0))-INDEX('UZ-normalized'!$E:$E, MATCH($A8, 'UZ-normalized'!$A:$A, 0))), 0), 0)))</f>
        <v>0</v>
      </c>
      <c r="AD8" s="6">
        <f>MIN(0, N8+(IFERROR(IF(16*INDEX('UA-normalized'!$D:$D, MATCH($A8, 'UA-normalized'!$A:$A, 0))-INDEX('UA-normalized'!$E:$E, MATCH($A8, 'UA-normalized'!$A:$A, 0))&gt;0, -(16*INDEX('UA-normalized'!$D:$D, MATCH($A8, 'UA-normalized'!$A:$A, 0))-INDEX('UA-normalized'!$E:$E, MATCH($A8, 'UA-normalized'!$A:$A, 0))), 0), 0))+(IFERROR(IF(16*INDEX('KZ-normalized'!$D:$D, MATCH($A8, 'KZ-normalized'!$A:$A, 0))-INDEX('KZ-normalized'!$E:$E, MATCH($A8, 'KZ-normalized'!$A:$A, 0))&gt;0, -(16*INDEX('KZ-normalized'!$D:$D, MATCH($A8, 'KZ-normalized'!$A:$A, 0))-INDEX('KZ-normalized'!$E:$E, MATCH($A8, 'KZ-normalized'!$A:$A, 0))), 0), 0))+(IFERROR(IF(16*INDEX('UZ-normalized'!$D:$D, MATCH($A8, 'UZ-normalized'!$A:$A, 0))-INDEX('UZ-normalized'!$E:$E, MATCH($A8, 'UZ-normalized'!$A:$A, 0))&gt;0, -(16*INDEX('UZ-normalized'!$D:$D, MATCH($A8, 'UZ-normalized'!$A:$A, 0))-INDEX('UZ-normalized'!$E:$E, MATCH($A8, 'UZ-normalized'!$A:$A, 0))), 0), 0)))</f>
        <v>0</v>
      </c>
      <c r="AE8" s="6">
        <f>MIN(0, N8+(IFERROR(IF(17*INDEX('UA-normalized'!$D:$D, MATCH($A8, 'UA-normalized'!$A:$A, 0))-INDEX('UA-normalized'!$E:$E, MATCH($A8, 'UA-normalized'!$A:$A, 0))&gt;0, -(17*INDEX('UA-normalized'!$D:$D, MATCH($A8, 'UA-normalized'!$A:$A, 0))-INDEX('UA-normalized'!$E:$E, MATCH($A8, 'UA-normalized'!$A:$A, 0))), 0), 0))+(IFERROR(IF(17*INDEX('KZ-normalized'!$D:$D, MATCH($A8, 'KZ-normalized'!$A:$A, 0))-INDEX('KZ-normalized'!$E:$E, MATCH($A8, 'KZ-normalized'!$A:$A, 0))&gt;0, -(17*INDEX('KZ-normalized'!$D:$D, MATCH($A8, 'KZ-normalized'!$A:$A, 0))-INDEX('KZ-normalized'!$E:$E, MATCH($A8, 'KZ-normalized'!$A:$A, 0))), 0), 0))+(IFERROR(IF(17*INDEX('UZ-normalized'!$D:$D, MATCH($A8, 'UZ-normalized'!$A:$A, 0))-INDEX('UZ-normalized'!$E:$E, MATCH($A8, 'UZ-normalized'!$A:$A, 0))&gt;0, -(17*INDEX('UZ-normalized'!$D:$D, MATCH($A8, 'UZ-normalized'!$A:$A, 0))-INDEX('UZ-normalized'!$E:$E, MATCH($A8, 'UZ-normalized'!$A:$A, 0))), 0), 0)))</f>
        <v>0</v>
      </c>
      <c r="AF8" s="6">
        <f>MIN(0, N8+(IFERROR(IF(18*INDEX('UA-normalized'!$D:$D, MATCH($A8, 'UA-normalized'!$A:$A, 0))-INDEX('UA-normalized'!$E:$E, MATCH($A8, 'UA-normalized'!$A:$A, 0))&gt;0, -(18*INDEX('UA-normalized'!$D:$D, MATCH($A8, 'UA-normalized'!$A:$A, 0))-INDEX('UA-normalized'!$E:$E, MATCH($A8, 'UA-normalized'!$A:$A, 0))), 0), 0))+(IFERROR(IF(18*INDEX('KZ-normalized'!$D:$D, MATCH($A8, 'KZ-normalized'!$A:$A, 0))-INDEX('KZ-normalized'!$E:$E, MATCH($A8, 'KZ-normalized'!$A:$A, 0))&gt;0, -(18*INDEX('KZ-normalized'!$D:$D, MATCH($A8, 'KZ-normalized'!$A:$A, 0))-INDEX('KZ-normalized'!$E:$E, MATCH($A8, 'KZ-normalized'!$A:$A, 0))), 0), 0))+(IFERROR(IF(18*INDEX('UZ-normalized'!$D:$D, MATCH($A8, 'UZ-normalized'!$A:$A, 0))-INDEX('UZ-normalized'!$E:$E, MATCH($A8, 'UZ-normalized'!$A:$A, 0))&gt;0, -(18*INDEX('UZ-normalized'!$D:$D, MATCH($A8, 'UZ-normalized'!$A:$A, 0))-INDEX('UZ-normalized'!$E:$E, MATCH($A8, 'UZ-normalized'!$A:$A, 0))), 0), 0)))</f>
        <v>0</v>
      </c>
      <c r="AG8" s="6">
        <f>MIN(0, N8+(IFERROR(IF(19*INDEX('UA-normalized'!$D:$D, MATCH($A8, 'UA-normalized'!$A:$A, 0))-INDEX('UA-normalized'!$E:$E, MATCH($A8, 'UA-normalized'!$A:$A, 0))&gt;0, -(19*INDEX('UA-normalized'!$D:$D, MATCH($A8, 'UA-normalized'!$A:$A, 0))-INDEX('UA-normalized'!$E:$E, MATCH($A8, 'UA-normalized'!$A:$A, 0))), 0), 0))+(IFERROR(IF(19*INDEX('KZ-normalized'!$D:$D, MATCH($A8, 'KZ-normalized'!$A:$A, 0))-INDEX('KZ-normalized'!$E:$E, MATCH($A8, 'KZ-normalized'!$A:$A, 0))&gt;0, -(19*INDEX('KZ-normalized'!$D:$D, MATCH($A8, 'KZ-normalized'!$A:$A, 0))-INDEX('KZ-normalized'!$E:$E, MATCH($A8, 'KZ-normalized'!$A:$A, 0))), 0), 0))+(IFERROR(IF(19*INDEX('UZ-normalized'!$D:$D, MATCH($A8, 'UZ-normalized'!$A:$A, 0))-INDEX('UZ-normalized'!$E:$E, MATCH($A8, 'UZ-normalized'!$A:$A, 0))&gt;0, -(19*INDEX('UZ-normalized'!$D:$D, MATCH($A8, 'UZ-normalized'!$A:$A, 0))-INDEX('UZ-normalized'!$E:$E, MATCH($A8, 'UZ-normalized'!$A:$A, 0))), 0), 0)))</f>
        <v>0</v>
      </c>
      <c r="AH8" s="6">
        <f>MIN(0, N8+(IFERROR(IF(20*INDEX('UA-normalized'!$D:$D, MATCH($A8, 'UA-normalized'!$A:$A, 0))-INDEX('UA-normalized'!$E:$E, MATCH($A8, 'UA-normalized'!$A:$A, 0))&gt;0, -(20*INDEX('UA-normalized'!$D:$D, MATCH($A8, 'UA-normalized'!$A:$A, 0))-INDEX('UA-normalized'!$E:$E, MATCH($A8, 'UA-normalized'!$A:$A, 0))), 0), 0))+(IFERROR(IF(20*INDEX('KZ-normalized'!$D:$D, MATCH($A8, 'KZ-normalized'!$A:$A, 0))-INDEX('KZ-normalized'!$E:$E, MATCH($A8, 'KZ-normalized'!$A:$A, 0))&gt;0, -(20*INDEX('KZ-normalized'!$D:$D, MATCH($A8, 'KZ-normalized'!$A:$A, 0))-INDEX('KZ-normalized'!$E:$E, MATCH($A8, 'KZ-normalized'!$A:$A, 0))), 0), 0))+(IFERROR(IF(20*INDEX('UZ-normalized'!$D:$D, MATCH($A8, 'UZ-normalized'!$A:$A, 0))-INDEX('UZ-normalized'!$E:$E, MATCH($A8, 'UZ-normalized'!$A:$A, 0))&gt;0, -(20*INDEX('UZ-normalized'!$D:$D, MATCH($A8, 'UZ-normalized'!$A:$A, 0))-INDEX('UZ-normalized'!$E:$E, MATCH($A8, 'UZ-normalized'!$A:$A, 0))), 0), 0)))</f>
        <v>0</v>
      </c>
      <c r="AI8" s="6">
        <f>MIN(0, N8+(IFERROR(IF(21*INDEX('UA-normalized'!$D:$D, MATCH($A8, 'UA-normalized'!$A:$A, 0))-INDEX('UA-normalized'!$E:$E, MATCH($A8, 'UA-normalized'!$A:$A, 0))&gt;0, -(21*INDEX('UA-normalized'!$D:$D, MATCH($A8, 'UA-normalized'!$A:$A, 0))-INDEX('UA-normalized'!$E:$E, MATCH($A8, 'UA-normalized'!$A:$A, 0))), 0), 0))+(IFERROR(IF(21*INDEX('KZ-normalized'!$D:$D, MATCH($A8, 'KZ-normalized'!$A:$A, 0))-INDEX('KZ-normalized'!$E:$E, MATCH($A8, 'KZ-normalized'!$A:$A, 0))&gt;0, -(21*INDEX('KZ-normalized'!$D:$D, MATCH($A8, 'KZ-normalized'!$A:$A, 0))-INDEX('KZ-normalized'!$E:$E, MATCH($A8, 'KZ-normalized'!$A:$A, 0))), 0), 0))+(IFERROR(IF(21*INDEX('UZ-normalized'!$D:$D, MATCH($A8, 'UZ-normalized'!$A:$A, 0))-INDEX('UZ-normalized'!$E:$E, MATCH($A8, 'UZ-normalized'!$A:$A, 0))&gt;0, -(21*INDEX('UZ-normalized'!$D:$D, MATCH($A8, 'UZ-normalized'!$A:$A, 0))-INDEX('UZ-normalized'!$E:$E, MATCH($A8, 'UZ-normalized'!$A:$A, 0))), 0), 0)))</f>
        <v>0</v>
      </c>
      <c r="AJ8" s="6">
        <f>MIN(0, N8+(IFERROR(IF(22*INDEX('UA-normalized'!$D:$D, MATCH($A8, 'UA-normalized'!$A:$A, 0))-INDEX('UA-normalized'!$E:$E, MATCH($A8, 'UA-normalized'!$A:$A, 0))&gt;0, -(22*INDEX('UA-normalized'!$D:$D, MATCH($A8, 'UA-normalized'!$A:$A, 0))-INDEX('UA-normalized'!$E:$E, MATCH($A8, 'UA-normalized'!$A:$A, 0))), 0), 0))+(IFERROR(IF(22*INDEX('KZ-normalized'!$D:$D, MATCH($A8, 'KZ-normalized'!$A:$A, 0))-INDEX('KZ-normalized'!$E:$E, MATCH($A8, 'KZ-normalized'!$A:$A, 0))&gt;0, -(22*INDEX('KZ-normalized'!$D:$D, MATCH($A8, 'KZ-normalized'!$A:$A, 0))-INDEX('KZ-normalized'!$E:$E, MATCH($A8, 'KZ-normalized'!$A:$A, 0))), 0), 0))+(IFERROR(IF(22*INDEX('UZ-normalized'!$D:$D, MATCH($A8, 'UZ-normalized'!$A:$A, 0))-INDEX('UZ-normalized'!$E:$E, MATCH($A8, 'UZ-normalized'!$A:$A, 0))&gt;0, -(22*INDEX('UZ-normalized'!$D:$D, MATCH($A8, 'UZ-normalized'!$A:$A, 0))-INDEX('UZ-normalized'!$E:$E, MATCH($A8, 'UZ-normalized'!$A:$A, 0))), 0), 0)))</f>
        <v>0</v>
      </c>
      <c r="AK8" s="6">
        <f>MIN(0, N8+(IFERROR(IF(23*INDEX('UA-normalized'!$D:$D, MATCH($A8, 'UA-normalized'!$A:$A, 0))-INDEX('UA-normalized'!$E:$E, MATCH($A8, 'UA-normalized'!$A:$A, 0))&gt;0, -(23*INDEX('UA-normalized'!$D:$D, MATCH($A8, 'UA-normalized'!$A:$A, 0))-INDEX('UA-normalized'!$E:$E, MATCH($A8, 'UA-normalized'!$A:$A, 0))), 0), 0))+(IFERROR(IF(23*INDEX('KZ-normalized'!$D:$D, MATCH($A8, 'KZ-normalized'!$A:$A, 0))-INDEX('KZ-normalized'!$E:$E, MATCH($A8, 'KZ-normalized'!$A:$A, 0))&gt;0, -(23*INDEX('KZ-normalized'!$D:$D, MATCH($A8, 'KZ-normalized'!$A:$A, 0))-INDEX('KZ-normalized'!$E:$E, MATCH($A8, 'KZ-normalized'!$A:$A, 0))), 0), 0))+(IFERROR(IF(23*INDEX('UZ-normalized'!$D:$D, MATCH($A8, 'UZ-normalized'!$A:$A, 0))-INDEX('UZ-normalized'!$E:$E, MATCH($A8, 'UZ-normalized'!$A:$A, 0))&gt;0, -(23*INDEX('UZ-normalized'!$D:$D, MATCH($A8, 'UZ-normalized'!$A:$A, 0))-INDEX('UZ-normalized'!$E:$E, MATCH($A8, 'UZ-normalized'!$A:$A, 0))), 0), 0)))</f>
        <v>0</v>
      </c>
      <c r="AL8" s="6">
        <f>MIN(0, N8+(IFERROR(IF(24*INDEX('UA-normalized'!$D:$D, MATCH($A8, 'UA-normalized'!$A:$A, 0))-INDEX('UA-normalized'!$E:$E, MATCH($A8, 'UA-normalized'!$A:$A, 0))&gt;0, -(24*INDEX('UA-normalized'!$D:$D, MATCH($A8, 'UA-normalized'!$A:$A, 0))-INDEX('UA-normalized'!$E:$E, MATCH($A8, 'UA-normalized'!$A:$A, 0))), 0), 0))+(IFERROR(IF(24*INDEX('KZ-normalized'!$D:$D, MATCH($A8, 'KZ-normalized'!$A:$A, 0))-INDEX('KZ-normalized'!$E:$E, MATCH($A8, 'KZ-normalized'!$A:$A, 0))&gt;0, -(24*INDEX('KZ-normalized'!$D:$D, MATCH($A8, 'KZ-normalized'!$A:$A, 0))-INDEX('KZ-normalized'!$E:$E, MATCH($A8, 'KZ-normalized'!$A:$A, 0))), 0), 0))+(IFERROR(IF(24*INDEX('UZ-normalized'!$D:$D, MATCH($A8, 'UZ-normalized'!$A:$A, 0))-INDEX('UZ-normalized'!$E:$E, MATCH($A8, 'UZ-normalized'!$A:$A, 0))&gt;0, -(24*INDEX('UZ-normalized'!$D:$D, MATCH($A8, 'UZ-normalized'!$A:$A, 0))-INDEX('UZ-normalized'!$E:$E, MATCH($A8, 'UZ-normalized'!$A:$A, 0))), 0), 0)))</f>
        <v>0</v>
      </c>
      <c r="AM8" s="6">
        <f>MIN(0, N8+(IFERROR(IF(25*INDEX('UA-normalized'!$D:$D, MATCH($A8, 'UA-normalized'!$A:$A, 0))-INDEX('UA-normalized'!$E:$E, MATCH($A8, 'UA-normalized'!$A:$A, 0))&gt;0, -(25*INDEX('UA-normalized'!$D:$D, MATCH($A8, 'UA-normalized'!$A:$A, 0))-INDEX('UA-normalized'!$E:$E, MATCH($A8, 'UA-normalized'!$A:$A, 0))), 0), 0))+(IFERROR(IF(25*INDEX('KZ-normalized'!$D:$D, MATCH($A8, 'KZ-normalized'!$A:$A, 0))-INDEX('KZ-normalized'!$E:$E, MATCH($A8, 'KZ-normalized'!$A:$A, 0))&gt;0, -(25*INDEX('KZ-normalized'!$D:$D, MATCH($A8, 'KZ-normalized'!$A:$A, 0))-INDEX('KZ-normalized'!$E:$E, MATCH($A8, 'KZ-normalized'!$A:$A, 0))), 0), 0))+(IFERROR(IF(25*INDEX('UZ-normalized'!$D:$D, MATCH($A8, 'UZ-normalized'!$A:$A, 0))-INDEX('UZ-normalized'!$E:$E, MATCH($A8, 'UZ-normalized'!$A:$A, 0))&gt;0, -(25*INDEX('UZ-normalized'!$D:$D, MATCH($A8, 'UZ-normalized'!$A:$A, 0))-INDEX('UZ-normalized'!$E:$E, MATCH($A8, 'UZ-normalized'!$A:$A, 0))), 0), 0)))</f>
        <v>0</v>
      </c>
      <c r="AN8" s="6">
        <f>MIN(0, N8+(IFERROR(IF(26*INDEX('UA-normalized'!$D:$D, MATCH($A8, 'UA-normalized'!$A:$A, 0))-INDEX('UA-normalized'!$E:$E, MATCH($A8, 'UA-normalized'!$A:$A, 0))&gt;0, -(26*INDEX('UA-normalized'!$D:$D, MATCH($A8, 'UA-normalized'!$A:$A, 0))-INDEX('UA-normalized'!$E:$E, MATCH($A8, 'UA-normalized'!$A:$A, 0))), 0), 0))+(IFERROR(IF(26*INDEX('KZ-normalized'!$D:$D, MATCH($A8, 'KZ-normalized'!$A:$A, 0))-INDEX('KZ-normalized'!$E:$E, MATCH($A8, 'KZ-normalized'!$A:$A, 0))&gt;0, -(26*INDEX('KZ-normalized'!$D:$D, MATCH($A8, 'KZ-normalized'!$A:$A, 0))-INDEX('KZ-normalized'!$E:$E, MATCH($A8, 'KZ-normalized'!$A:$A, 0))), 0), 0))+(IFERROR(IF(26*INDEX('UZ-normalized'!$D:$D, MATCH($A8, 'UZ-normalized'!$A:$A, 0))-INDEX('UZ-normalized'!$E:$E, MATCH($A8, 'UZ-normalized'!$A:$A, 0))&gt;0, -(26*INDEX('UZ-normalized'!$D:$D, MATCH($A8, 'UZ-normalized'!$A:$A, 0))-INDEX('UZ-normalized'!$E:$E, MATCH($A8, 'UZ-normalized'!$A:$A, 0))), 0), 0)))</f>
        <v>0</v>
      </c>
      <c r="AO8" s="6">
        <f>MIN(0, N8+(IFERROR(IF(27*INDEX('UA-normalized'!$D:$D, MATCH($A8, 'UA-normalized'!$A:$A, 0))-INDEX('UA-normalized'!$E:$E, MATCH($A8, 'UA-normalized'!$A:$A, 0))&gt;0, -(27*INDEX('UA-normalized'!$D:$D, MATCH($A8, 'UA-normalized'!$A:$A, 0))-INDEX('UA-normalized'!$E:$E, MATCH($A8, 'UA-normalized'!$A:$A, 0))), 0), 0))+(IFERROR(IF(27*INDEX('KZ-normalized'!$D:$D, MATCH($A8, 'KZ-normalized'!$A:$A, 0))-INDEX('KZ-normalized'!$E:$E, MATCH($A8, 'KZ-normalized'!$A:$A, 0))&gt;0, -(27*INDEX('KZ-normalized'!$D:$D, MATCH($A8, 'KZ-normalized'!$A:$A, 0))-INDEX('KZ-normalized'!$E:$E, MATCH($A8, 'KZ-normalized'!$A:$A, 0))), 0), 0))+(IFERROR(IF(27*INDEX('UZ-normalized'!$D:$D, MATCH($A8, 'UZ-normalized'!$A:$A, 0))-INDEX('UZ-normalized'!$E:$E, MATCH($A8, 'UZ-normalized'!$A:$A, 0))&gt;0, -(27*INDEX('UZ-normalized'!$D:$D, MATCH($A8, 'UZ-normalized'!$A:$A, 0))-INDEX('UZ-normalized'!$E:$E, MATCH($A8, 'UZ-normalized'!$A:$A, 0))), 0), 0)))</f>
        <v>0</v>
      </c>
      <c r="AP8" s="6">
        <f>MIN(0, N8+(IFERROR(IF(28*INDEX('UA-normalized'!$D:$D, MATCH($A8, 'UA-normalized'!$A:$A, 0))-INDEX('UA-normalized'!$E:$E, MATCH($A8, 'UA-normalized'!$A:$A, 0))&gt;0, -(28*INDEX('UA-normalized'!$D:$D, MATCH($A8, 'UA-normalized'!$A:$A, 0))-INDEX('UA-normalized'!$E:$E, MATCH($A8, 'UA-normalized'!$A:$A, 0))), 0), 0))+(IFERROR(IF(28*INDEX('KZ-normalized'!$D:$D, MATCH($A8, 'KZ-normalized'!$A:$A, 0))-INDEX('KZ-normalized'!$E:$E, MATCH($A8, 'KZ-normalized'!$A:$A, 0))&gt;0, -(28*INDEX('KZ-normalized'!$D:$D, MATCH($A8, 'KZ-normalized'!$A:$A, 0))-INDEX('KZ-normalized'!$E:$E, MATCH($A8, 'KZ-normalized'!$A:$A, 0))), 0), 0))+(IFERROR(IF(28*INDEX('UZ-normalized'!$D:$D, MATCH($A8, 'UZ-normalized'!$A:$A, 0))-INDEX('UZ-normalized'!$E:$E, MATCH($A8, 'UZ-normalized'!$A:$A, 0))&gt;0, -(28*INDEX('UZ-normalized'!$D:$D, MATCH($A8, 'UZ-normalized'!$A:$A, 0))-INDEX('UZ-normalized'!$E:$E, MATCH($A8, 'UZ-normalized'!$A:$A, 0))), 0), 0)))</f>
        <v>0</v>
      </c>
      <c r="AQ8" s="6">
        <f>MIN(0, N8+(IFERROR(IF(29*INDEX('UA-normalized'!$D:$D, MATCH($A8, 'UA-normalized'!$A:$A, 0))-INDEX('UA-normalized'!$E:$E, MATCH($A8, 'UA-normalized'!$A:$A, 0))&gt;0, -(29*INDEX('UA-normalized'!$D:$D, MATCH($A8, 'UA-normalized'!$A:$A, 0))-INDEX('UA-normalized'!$E:$E, MATCH($A8, 'UA-normalized'!$A:$A, 0))), 0), 0))+(IFERROR(IF(29*INDEX('KZ-normalized'!$D:$D, MATCH($A8, 'KZ-normalized'!$A:$A, 0))-INDEX('KZ-normalized'!$E:$E, MATCH($A8, 'KZ-normalized'!$A:$A, 0))&gt;0, -(29*INDEX('KZ-normalized'!$D:$D, MATCH($A8, 'KZ-normalized'!$A:$A, 0))-INDEX('KZ-normalized'!$E:$E, MATCH($A8, 'KZ-normalized'!$A:$A, 0))), 0), 0))+(IFERROR(IF(29*INDEX('UZ-normalized'!$D:$D, MATCH($A8, 'UZ-normalized'!$A:$A, 0))-INDEX('UZ-normalized'!$E:$E, MATCH($A8, 'UZ-normalized'!$A:$A, 0))&gt;0, -(29*INDEX('UZ-normalized'!$D:$D, MATCH($A8, 'UZ-normalized'!$A:$A, 0))-INDEX('UZ-normalized'!$E:$E, MATCH($A8, 'UZ-normalized'!$A:$A, 0))), 0), 0)))</f>
        <v>0</v>
      </c>
      <c r="AR8" s="6">
        <f>MIN(0, N8+(IFERROR(IF(30*INDEX('UA-normalized'!$D:$D, MATCH($A8, 'UA-normalized'!$A:$A, 0))-INDEX('UA-normalized'!$E:$E, MATCH($A8, 'UA-normalized'!$A:$A, 0))&gt;0, -(30*INDEX('UA-normalized'!$D:$D, MATCH($A8, 'UA-normalized'!$A:$A, 0))-INDEX('UA-normalized'!$E:$E, MATCH($A8, 'UA-normalized'!$A:$A, 0))), 0), 0))+(IFERROR(IF(30*INDEX('KZ-normalized'!$D:$D, MATCH($A8, 'KZ-normalized'!$A:$A, 0))-INDEX('KZ-normalized'!$E:$E, MATCH($A8, 'KZ-normalized'!$A:$A, 0))&gt;0, -(30*INDEX('KZ-normalized'!$D:$D, MATCH($A8, 'KZ-normalized'!$A:$A, 0))-INDEX('KZ-normalized'!$E:$E, MATCH($A8, 'KZ-normalized'!$A:$A, 0))), 0), 0))+(IFERROR(IF(30*INDEX('UZ-normalized'!$D:$D, MATCH($A8, 'UZ-normalized'!$A:$A, 0))-INDEX('UZ-normalized'!$E:$E, MATCH($A8, 'UZ-normalized'!$A:$A, 0))&gt;0, -(30*INDEX('UZ-normalized'!$D:$D, MATCH($A8, 'UZ-normalized'!$A:$A, 0))-INDEX('UZ-normalized'!$E:$E, MATCH($A8, 'UZ-normalized'!$A:$A, 0))), 0), 0)))</f>
        <v>0</v>
      </c>
    </row>
    <row r="9" spans="1:44" x14ac:dyDescent="0.25">
      <c r="A9" s="8" t="s">
        <v>62</v>
      </c>
      <c r="B9" s="8" t="s">
        <v>45</v>
      </c>
      <c r="C9" s="8" t="s">
        <v>60</v>
      </c>
      <c r="D9" s="8" t="s">
        <v>63</v>
      </c>
      <c r="N9">
        <f t="shared" si="0"/>
        <v>0</v>
      </c>
      <c r="O9" s="6">
        <f>MIN(0, N9+(IFERROR(IF(1*INDEX('UA-normalized'!$D:$D, MATCH($A9, 'UA-normalized'!$A:$A, 0))-INDEX('UA-normalized'!$E:$E, MATCH($A9, 'UA-normalized'!$A:$A, 0))&gt;0, -(1*INDEX('UA-normalized'!$D:$D, MATCH($A9, 'UA-normalized'!$A:$A, 0))-INDEX('UA-normalized'!$E:$E, MATCH($A9, 'UA-normalized'!$A:$A, 0))), 0), 0))+(IFERROR(IF(1*INDEX('KZ-normalized'!$D:$D, MATCH($A9, 'KZ-normalized'!$A:$A, 0))-INDEX('KZ-normalized'!$E:$E, MATCH($A9, 'KZ-normalized'!$A:$A, 0))&gt;0, -(1*INDEX('KZ-normalized'!$D:$D, MATCH($A9, 'KZ-normalized'!$A:$A, 0))-INDEX('KZ-normalized'!$E:$E, MATCH($A9, 'KZ-normalized'!$A:$A, 0))), 0), 0))+(IFERROR(IF(1*INDEX('UZ-normalized'!$D:$D, MATCH($A9, 'UZ-normalized'!$A:$A, 0))-INDEX('UZ-normalized'!$E:$E, MATCH($A9, 'UZ-normalized'!$A:$A, 0))&gt;0, -(1*INDEX('UZ-normalized'!$D:$D, MATCH($A9, 'UZ-normalized'!$A:$A, 0))-INDEX('UZ-normalized'!$E:$E, MATCH($A9, 'UZ-normalized'!$A:$A, 0))), 0), 0)))</f>
        <v>0</v>
      </c>
      <c r="P9" s="6">
        <f>MIN(0, N9+(IFERROR(IF(2*INDEX('UA-normalized'!$D:$D, MATCH($A9, 'UA-normalized'!$A:$A, 0))-INDEX('UA-normalized'!$E:$E, MATCH($A9, 'UA-normalized'!$A:$A, 0))&gt;0, -(2*INDEX('UA-normalized'!$D:$D, MATCH($A9, 'UA-normalized'!$A:$A, 0))-INDEX('UA-normalized'!$E:$E, MATCH($A9, 'UA-normalized'!$A:$A, 0))), 0), 0))+(IFERROR(IF(2*INDEX('KZ-normalized'!$D:$D, MATCH($A9, 'KZ-normalized'!$A:$A, 0))-INDEX('KZ-normalized'!$E:$E, MATCH($A9, 'KZ-normalized'!$A:$A, 0))&gt;0, -(2*INDEX('KZ-normalized'!$D:$D, MATCH($A9, 'KZ-normalized'!$A:$A, 0))-INDEX('KZ-normalized'!$E:$E, MATCH($A9, 'KZ-normalized'!$A:$A, 0))), 0), 0))+(IFERROR(IF(2*INDEX('UZ-normalized'!$D:$D, MATCH($A9, 'UZ-normalized'!$A:$A, 0))-INDEX('UZ-normalized'!$E:$E, MATCH($A9, 'UZ-normalized'!$A:$A, 0))&gt;0, -(2*INDEX('UZ-normalized'!$D:$D, MATCH($A9, 'UZ-normalized'!$A:$A, 0))-INDEX('UZ-normalized'!$E:$E, MATCH($A9, 'UZ-normalized'!$A:$A, 0))), 0), 0)))</f>
        <v>0</v>
      </c>
      <c r="Q9" s="6">
        <f>MIN(0, N9+(IFERROR(IF(3*INDEX('UA-normalized'!$D:$D, MATCH($A9, 'UA-normalized'!$A:$A, 0))-INDEX('UA-normalized'!$E:$E, MATCH($A9, 'UA-normalized'!$A:$A, 0))&gt;0, -(3*INDEX('UA-normalized'!$D:$D, MATCH($A9, 'UA-normalized'!$A:$A, 0))-INDEX('UA-normalized'!$E:$E, MATCH($A9, 'UA-normalized'!$A:$A, 0))), 0), 0))+(IFERROR(IF(3*INDEX('KZ-normalized'!$D:$D, MATCH($A9, 'KZ-normalized'!$A:$A, 0))-INDEX('KZ-normalized'!$E:$E, MATCH($A9, 'KZ-normalized'!$A:$A, 0))&gt;0, -(3*INDEX('KZ-normalized'!$D:$D, MATCH($A9, 'KZ-normalized'!$A:$A, 0))-INDEX('KZ-normalized'!$E:$E, MATCH($A9, 'KZ-normalized'!$A:$A, 0))), 0), 0))+(IFERROR(IF(3*INDEX('UZ-normalized'!$D:$D, MATCH($A9, 'UZ-normalized'!$A:$A, 0))-INDEX('UZ-normalized'!$E:$E, MATCH($A9, 'UZ-normalized'!$A:$A, 0))&gt;0, -(3*INDEX('UZ-normalized'!$D:$D, MATCH($A9, 'UZ-normalized'!$A:$A, 0))-INDEX('UZ-normalized'!$E:$E, MATCH($A9, 'UZ-normalized'!$A:$A, 0))), 0), 0)))</f>
        <v>0</v>
      </c>
      <c r="R9" s="6">
        <f>MIN(0, N9+(IFERROR(IF(4*INDEX('UA-normalized'!$D:$D, MATCH($A9, 'UA-normalized'!$A:$A, 0))-INDEX('UA-normalized'!$E:$E, MATCH($A9, 'UA-normalized'!$A:$A, 0))&gt;0, -(4*INDEX('UA-normalized'!$D:$D, MATCH($A9, 'UA-normalized'!$A:$A, 0))-INDEX('UA-normalized'!$E:$E, MATCH($A9, 'UA-normalized'!$A:$A, 0))), 0), 0))+(IFERROR(IF(4*INDEX('KZ-normalized'!$D:$D, MATCH($A9, 'KZ-normalized'!$A:$A, 0))-INDEX('KZ-normalized'!$E:$E, MATCH($A9, 'KZ-normalized'!$A:$A, 0))&gt;0, -(4*INDEX('KZ-normalized'!$D:$D, MATCH($A9, 'KZ-normalized'!$A:$A, 0))-INDEX('KZ-normalized'!$E:$E, MATCH($A9, 'KZ-normalized'!$A:$A, 0))), 0), 0))+(IFERROR(IF(4*INDEX('UZ-normalized'!$D:$D, MATCH($A9, 'UZ-normalized'!$A:$A, 0))-INDEX('UZ-normalized'!$E:$E, MATCH($A9, 'UZ-normalized'!$A:$A, 0))&gt;0, -(4*INDEX('UZ-normalized'!$D:$D, MATCH($A9, 'UZ-normalized'!$A:$A, 0))-INDEX('UZ-normalized'!$E:$E, MATCH($A9, 'UZ-normalized'!$A:$A, 0))), 0), 0)))</f>
        <v>0</v>
      </c>
      <c r="S9" s="6">
        <f>MIN(0, N9+(IFERROR(IF(5*INDEX('UA-normalized'!$D:$D, MATCH($A9, 'UA-normalized'!$A:$A, 0))-INDEX('UA-normalized'!$E:$E, MATCH($A9, 'UA-normalized'!$A:$A, 0))&gt;0, -(5*INDEX('UA-normalized'!$D:$D, MATCH($A9, 'UA-normalized'!$A:$A, 0))-INDEX('UA-normalized'!$E:$E, MATCH($A9, 'UA-normalized'!$A:$A, 0))), 0), 0))+(IFERROR(IF(5*INDEX('KZ-normalized'!$D:$D, MATCH($A9, 'KZ-normalized'!$A:$A, 0))-INDEX('KZ-normalized'!$E:$E, MATCH($A9, 'KZ-normalized'!$A:$A, 0))&gt;0, -(5*INDEX('KZ-normalized'!$D:$D, MATCH($A9, 'KZ-normalized'!$A:$A, 0))-INDEX('KZ-normalized'!$E:$E, MATCH($A9, 'KZ-normalized'!$A:$A, 0))), 0), 0))+(IFERROR(IF(5*INDEX('UZ-normalized'!$D:$D, MATCH($A9, 'UZ-normalized'!$A:$A, 0))-INDEX('UZ-normalized'!$E:$E, MATCH($A9, 'UZ-normalized'!$A:$A, 0))&gt;0, -(5*INDEX('UZ-normalized'!$D:$D, MATCH($A9, 'UZ-normalized'!$A:$A, 0))-INDEX('UZ-normalized'!$E:$E, MATCH($A9, 'UZ-normalized'!$A:$A, 0))), 0), 0)))</f>
        <v>0</v>
      </c>
      <c r="T9" s="6">
        <f>MIN(0, N9+(IFERROR(IF(6*INDEX('UA-normalized'!$D:$D, MATCH($A9, 'UA-normalized'!$A:$A, 0))-INDEX('UA-normalized'!$E:$E, MATCH($A9, 'UA-normalized'!$A:$A, 0))&gt;0, -(6*INDEX('UA-normalized'!$D:$D, MATCH($A9, 'UA-normalized'!$A:$A, 0))-INDEX('UA-normalized'!$E:$E, MATCH($A9, 'UA-normalized'!$A:$A, 0))), 0), 0))+(IFERROR(IF(6*INDEX('KZ-normalized'!$D:$D, MATCH($A9, 'KZ-normalized'!$A:$A, 0))-INDEX('KZ-normalized'!$E:$E, MATCH($A9, 'KZ-normalized'!$A:$A, 0))&gt;0, -(6*INDEX('KZ-normalized'!$D:$D, MATCH($A9, 'KZ-normalized'!$A:$A, 0))-INDEX('KZ-normalized'!$E:$E, MATCH($A9, 'KZ-normalized'!$A:$A, 0))), 0), 0))+(IFERROR(IF(6*INDEX('UZ-normalized'!$D:$D, MATCH($A9, 'UZ-normalized'!$A:$A, 0))-INDEX('UZ-normalized'!$E:$E, MATCH($A9, 'UZ-normalized'!$A:$A, 0))&gt;0, -(6*INDEX('UZ-normalized'!$D:$D, MATCH($A9, 'UZ-normalized'!$A:$A, 0))-INDEX('UZ-normalized'!$E:$E, MATCH($A9, 'UZ-normalized'!$A:$A, 0))), 0), 0)))</f>
        <v>0</v>
      </c>
      <c r="U9" s="6">
        <f>MIN(0, N9+(IFERROR(IF(7*INDEX('UA-normalized'!$D:$D, MATCH($A9, 'UA-normalized'!$A:$A, 0))-INDEX('UA-normalized'!$E:$E, MATCH($A9, 'UA-normalized'!$A:$A, 0))&gt;0, -(7*INDEX('UA-normalized'!$D:$D, MATCH($A9, 'UA-normalized'!$A:$A, 0))-INDEX('UA-normalized'!$E:$E, MATCH($A9, 'UA-normalized'!$A:$A, 0))), 0), 0))+(IFERROR(IF(7*INDEX('KZ-normalized'!$D:$D, MATCH($A9, 'KZ-normalized'!$A:$A, 0))-INDEX('KZ-normalized'!$E:$E, MATCH($A9, 'KZ-normalized'!$A:$A, 0))&gt;0, -(7*INDEX('KZ-normalized'!$D:$D, MATCH($A9, 'KZ-normalized'!$A:$A, 0))-INDEX('KZ-normalized'!$E:$E, MATCH($A9, 'KZ-normalized'!$A:$A, 0))), 0), 0))+(IFERROR(IF(7*INDEX('UZ-normalized'!$D:$D, MATCH($A9, 'UZ-normalized'!$A:$A, 0))-INDEX('UZ-normalized'!$E:$E, MATCH($A9, 'UZ-normalized'!$A:$A, 0))&gt;0, -(7*INDEX('UZ-normalized'!$D:$D, MATCH($A9, 'UZ-normalized'!$A:$A, 0))-INDEX('UZ-normalized'!$E:$E, MATCH($A9, 'UZ-normalized'!$A:$A, 0))), 0), 0)))</f>
        <v>0</v>
      </c>
      <c r="V9" s="6">
        <f>MIN(0, N9+(IFERROR(IF(8*INDEX('UA-normalized'!$D:$D, MATCH($A9, 'UA-normalized'!$A:$A, 0))-INDEX('UA-normalized'!$E:$E, MATCH($A9, 'UA-normalized'!$A:$A, 0))&gt;0, -(8*INDEX('UA-normalized'!$D:$D, MATCH($A9, 'UA-normalized'!$A:$A, 0))-INDEX('UA-normalized'!$E:$E, MATCH($A9, 'UA-normalized'!$A:$A, 0))), 0), 0))+(IFERROR(IF(8*INDEX('KZ-normalized'!$D:$D, MATCH($A9, 'KZ-normalized'!$A:$A, 0))-INDEX('KZ-normalized'!$E:$E, MATCH($A9, 'KZ-normalized'!$A:$A, 0))&gt;0, -(8*INDEX('KZ-normalized'!$D:$D, MATCH($A9, 'KZ-normalized'!$A:$A, 0))-INDEX('KZ-normalized'!$E:$E, MATCH($A9, 'KZ-normalized'!$A:$A, 0))), 0), 0))+(IFERROR(IF(8*INDEX('UZ-normalized'!$D:$D, MATCH($A9, 'UZ-normalized'!$A:$A, 0))-INDEX('UZ-normalized'!$E:$E, MATCH($A9, 'UZ-normalized'!$A:$A, 0))&gt;0, -(8*INDEX('UZ-normalized'!$D:$D, MATCH($A9, 'UZ-normalized'!$A:$A, 0))-INDEX('UZ-normalized'!$E:$E, MATCH($A9, 'UZ-normalized'!$A:$A, 0))), 0), 0)))</f>
        <v>0</v>
      </c>
      <c r="W9" s="6">
        <f>MIN(0, N9+(IFERROR(IF(9*INDEX('UA-normalized'!$D:$D, MATCH($A9, 'UA-normalized'!$A:$A, 0))-INDEX('UA-normalized'!$E:$E, MATCH($A9, 'UA-normalized'!$A:$A, 0))&gt;0, -(9*INDEX('UA-normalized'!$D:$D, MATCH($A9, 'UA-normalized'!$A:$A, 0))-INDEX('UA-normalized'!$E:$E, MATCH($A9, 'UA-normalized'!$A:$A, 0))), 0), 0))+(IFERROR(IF(9*INDEX('KZ-normalized'!$D:$D, MATCH($A9, 'KZ-normalized'!$A:$A, 0))-INDEX('KZ-normalized'!$E:$E, MATCH($A9, 'KZ-normalized'!$A:$A, 0))&gt;0, -(9*INDEX('KZ-normalized'!$D:$D, MATCH($A9, 'KZ-normalized'!$A:$A, 0))-INDEX('KZ-normalized'!$E:$E, MATCH($A9, 'KZ-normalized'!$A:$A, 0))), 0), 0))+(IFERROR(IF(9*INDEX('UZ-normalized'!$D:$D, MATCH($A9, 'UZ-normalized'!$A:$A, 0))-INDEX('UZ-normalized'!$E:$E, MATCH($A9, 'UZ-normalized'!$A:$A, 0))&gt;0, -(9*INDEX('UZ-normalized'!$D:$D, MATCH($A9, 'UZ-normalized'!$A:$A, 0))-INDEX('UZ-normalized'!$E:$E, MATCH($A9, 'UZ-normalized'!$A:$A, 0))), 0), 0)))</f>
        <v>0</v>
      </c>
      <c r="X9" s="6">
        <f>MIN(0, N9+(IFERROR(IF(10*INDEX('UA-normalized'!$D:$D, MATCH($A9, 'UA-normalized'!$A:$A, 0))-INDEX('UA-normalized'!$E:$E, MATCH($A9, 'UA-normalized'!$A:$A, 0))&gt;0, -(10*INDEX('UA-normalized'!$D:$D, MATCH($A9, 'UA-normalized'!$A:$A, 0))-INDEX('UA-normalized'!$E:$E, MATCH($A9, 'UA-normalized'!$A:$A, 0))), 0), 0))+(IFERROR(IF(10*INDEX('KZ-normalized'!$D:$D, MATCH($A9, 'KZ-normalized'!$A:$A, 0))-INDEX('KZ-normalized'!$E:$E, MATCH($A9, 'KZ-normalized'!$A:$A, 0))&gt;0, -(10*INDEX('KZ-normalized'!$D:$D, MATCH($A9, 'KZ-normalized'!$A:$A, 0))-INDEX('KZ-normalized'!$E:$E, MATCH($A9, 'KZ-normalized'!$A:$A, 0))), 0), 0))+(IFERROR(IF(10*INDEX('UZ-normalized'!$D:$D, MATCH($A9, 'UZ-normalized'!$A:$A, 0))-INDEX('UZ-normalized'!$E:$E, MATCH($A9, 'UZ-normalized'!$A:$A, 0))&gt;0, -(10*INDEX('UZ-normalized'!$D:$D, MATCH($A9, 'UZ-normalized'!$A:$A, 0))-INDEX('UZ-normalized'!$E:$E, MATCH($A9, 'UZ-normalized'!$A:$A, 0))), 0), 0)))</f>
        <v>0</v>
      </c>
      <c r="Y9" s="6">
        <f>MIN(0, N9+(IFERROR(IF(11*INDEX('UA-normalized'!$D:$D, MATCH($A9, 'UA-normalized'!$A:$A, 0))-INDEX('UA-normalized'!$E:$E, MATCH($A9, 'UA-normalized'!$A:$A, 0))&gt;0, -(11*INDEX('UA-normalized'!$D:$D, MATCH($A9, 'UA-normalized'!$A:$A, 0))-INDEX('UA-normalized'!$E:$E, MATCH($A9, 'UA-normalized'!$A:$A, 0))), 0), 0))+(IFERROR(IF(11*INDEX('KZ-normalized'!$D:$D, MATCH($A9, 'KZ-normalized'!$A:$A, 0))-INDEX('KZ-normalized'!$E:$E, MATCH($A9, 'KZ-normalized'!$A:$A, 0))&gt;0, -(11*INDEX('KZ-normalized'!$D:$D, MATCH($A9, 'KZ-normalized'!$A:$A, 0))-INDEX('KZ-normalized'!$E:$E, MATCH($A9, 'KZ-normalized'!$A:$A, 0))), 0), 0))+(IFERROR(IF(11*INDEX('UZ-normalized'!$D:$D, MATCH($A9, 'UZ-normalized'!$A:$A, 0))-INDEX('UZ-normalized'!$E:$E, MATCH($A9, 'UZ-normalized'!$A:$A, 0))&gt;0, -(11*INDEX('UZ-normalized'!$D:$D, MATCH($A9, 'UZ-normalized'!$A:$A, 0))-INDEX('UZ-normalized'!$E:$E, MATCH($A9, 'UZ-normalized'!$A:$A, 0))), 0), 0)))</f>
        <v>0</v>
      </c>
      <c r="Z9" s="6">
        <f>MIN(0, N9+(IFERROR(IF(12*INDEX('UA-normalized'!$D:$D, MATCH($A9, 'UA-normalized'!$A:$A, 0))-INDEX('UA-normalized'!$E:$E, MATCH($A9, 'UA-normalized'!$A:$A, 0))&gt;0, -(12*INDEX('UA-normalized'!$D:$D, MATCH($A9, 'UA-normalized'!$A:$A, 0))-INDEX('UA-normalized'!$E:$E, MATCH($A9, 'UA-normalized'!$A:$A, 0))), 0), 0))+(IFERROR(IF(12*INDEX('KZ-normalized'!$D:$D, MATCH($A9, 'KZ-normalized'!$A:$A, 0))-INDEX('KZ-normalized'!$E:$E, MATCH($A9, 'KZ-normalized'!$A:$A, 0))&gt;0, -(12*INDEX('KZ-normalized'!$D:$D, MATCH($A9, 'KZ-normalized'!$A:$A, 0))-INDEX('KZ-normalized'!$E:$E, MATCH($A9, 'KZ-normalized'!$A:$A, 0))), 0), 0))+(IFERROR(IF(12*INDEX('UZ-normalized'!$D:$D, MATCH($A9, 'UZ-normalized'!$A:$A, 0))-INDEX('UZ-normalized'!$E:$E, MATCH($A9, 'UZ-normalized'!$A:$A, 0))&gt;0, -(12*INDEX('UZ-normalized'!$D:$D, MATCH($A9, 'UZ-normalized'!$A:$A, 0))-INDEX('UZ-normalized'!$E:$E, MATCH($A9, 'UZ-normalized'!$A:$A, 0))), 0), 0)))</f>
        <v>0</v>
      </c>
      <c r="AA9" s="6">
        <f>MIN(0, N9+(IFERROR(IF(13*INDEX('UA-normalized'!$D:$D, MATCH($A9, 'UA-normalized'!$A:$A, 0))-INDEX('UA-normalized'!$E:$E, MATCH($A9, 'UA-normalized'!$A:$A, 0))&gt;0, -(13*INDEX('UA-normalized'!$D:$D, MATCH($A9, 'UA-normalized'!$A:$A, 0))-INDEX('UA-normalized'!$E:$E, MATCH($A9, 'UA-normalized'!$A:$A, 0))), 0), 0))+(IFERROR(IF(13*INDEX('KZ-normalized'!$D:$D, MATCH($A9, 'KZ-normalized'!$A:$A, 0))-INDEX('KZ-normalized'!$E:$E, MATCH($A9, 'KZ-normalized'!$A:$A, 0))&gt;0, -(13*INDEX('KZ-normalized'!$D:$D, MATCH($A9, 'KZ-normalized'!$A:$A, 0))-INDEX('KZ-normalized'!$E:$E, MATCH($A9, 'KZ-normalized'!$A:$A, 0))), 0), 0))+(IFERROR(IF(13*INDEX('UZ-normalized'!$D:$D, MATCH($A9, 'UZ-normalized'!$A:$A, 0))-INDEX('UZ-normalized'!$E:$E, MATCH($A9, 'UZ-normalized'!$A:$A, 0))&gt;0, -(13*INDEX('UZ-normalized'!$D:$D, MATCH($A9, 'UZ-normalized'!$A:$A, 0))-INDEX('UZ-normalized'!$E:$E, MATCH($A9, 'UZ-normalized'!$A:$A, 0))), 0), 0)))</f>
        <v>0</v>
      </c>
      <c r="AB9" s="6">
        <f>MIN(0, N9+(IFERROR(IF(14*INDEX('UA-normalized'!$D:$D, MATCH($A9, 'UA-normalized'!$A:$A, 0))-INDEX('UA-normalized'!$E:$E, MATCH($A9, 'UA-normalized'!$A:$A, 0))&gt;0, -(14*INDEX('UA-normalized'!$D:$D, MATCH($A9, 'UA-normalized'!$A:$A, 0))-INDEX('UA-normalized'!$E:$E, MATCH($A9, 'UA-normalized'!$A:$A, 0))), 0), 0))+(IFERROR(IF(14*INDEX('KZ-normalized'!$D:$D, MATCH($A9, 'KZ-normalized'!$A:$A, 0))-INDEX('KZ-normalized'!$E:$E, MATCH($A9, 'KZ-normalized'!$A:$A, 0))&gt;0, -(14*INDEX('KZ-normalized'!$D:$D, MATCH($A9, 'KZ-normalized'!$A:$A, 0))-INDEX('KZ-normalized'!$E:$E, MATCH($A9, 'KZ-normalized'!$A:$A, 0))), 0), 0))+(IFERROR(IF(14*INDEX('UZ-normalized'!$D:$D, MATCH($A9, 'UZ-normalized'!$A:$A, 0))-INDEX('UZ-normalized'!$E:$E, MATCH($A9, 'UZ-normalized'!$A:$A, 0))&gt;0, -(14*INDEX('UZ-normalized'!$D:$D, MATCH($A9, 'UZ-normalized'!$A:$A, 0))-INDEX('UZ-normalized'!$E:$E, MATCH($A9, 'UZ-normalized'!$A:$A, 0))), 0), 0)))</f>
        <v>0</v>
      </c>
      <c r="AC9" s="6">
        <f>MIN(0, N9+(IFERROR(IF(15*INDEX('UA-normalized'!$D:$D, MATCH($A9, 'UA-normalized'!$A:$A, 0))-INDEX('UA-normalized'!$E:$E, MATCH($A9, 'UA-normalized'!$A:$A, 0))&gt;0, -(15*INDEX('UA-normalized'!$D:$D, MATCH($A9, 'UA-normalized'!$A:$A, 0))-INDEX('UA-normalized'!$E:$E, MATCH($A9, 'UA-normalized'!$A:$A, 0))), 0), 0))+(IFERROR(IF(15*INDEX('KZ-normalized'!$D:$D, MATCH($A9, 'KZ-normalized'!$A:$A, 0))-INDEX('KZ-normalized'!$E:$E, MATCH($A9, 'KZ-normalized'!$A:$A, 0))&gt;0, -(15*INDEX('KZ-normalized'!$D:$D, MATCH($A9, 'KZ-normalized'!$A:$A, 0))-INDEX('KZ-normalized'!$E:$E, MATCH($A9, 'KZ-normalized'!$A:$A, 0))), 0), 0))+(IFERROR(IF(15*INDEX('UZ-normalized'!$D:$D, MATCH($A9, 'UZ-normalized'!$A:$A, 0))-INDEX('UZ-normalized'!$E:$E, MATCH($A9, 'UZ-normalized'!$A:$A, 0))&gt;0, -(15*INDEX('UZ-normalized'!$D:$D, MATCH($A9, 'UZ-normalized'!$A:$A, 0))-INDEX('UZ-normalized'!$E:$E, MATCH($A9, 'UZ-normalized'!$A:$A, 0))), 0), 0)))</f>
        <v>0</v>
      </c>
      <c r="AD9" s="6">
        <f>MIN(0, N9+(IFERROR(IF(16*INDEX('UA-normalized'!$D:$D, MATCH($A9, 'UA-normalized'!$A:$A, 0))-INDEX('UA-normalized'!$E:$E, MATCH($A9, 'UA-normalized'!$A:$A, 0))&gt;0, -(16*INDEX('UA-normalized'!$D:$D, MATCH($A9, 'UA-normalized'!$A:$A, 0))-INDEX('UA-normalized'!$E:$E, MATCH($A9, 'UA-normalized'!$A:$A, 0))), 0), 0))+(IFERROR(IF(16*INDEX('KZ-normalized'!$D:$D, MATCH($A9, 'KZ-normalized'!$A:$A, 0))-INDEX('KZ-normalized'!$E:$E, MATCH($A9, 'KZ-normalized'!$A:$A, 0))&gt;0, -(16*INDEX('KZ-normalized'!$D:$D, MATCH($A9, 'KZ-normalized'!$A:$A, 0))-INDEX('KZ-normalized'!$E:$E, MATCH($A9, 'KZ-normalized'!$A:$A, 0))), 0), 0))+(IFERROR(IF(16*INDEX('UZ-normalized'!$D:$D, MATCH($A9, 'UZ-normalized'!$A:$A, 0))-INDEX('UZ-normalized'!$E:$E, MATCH($A9, 'UZ-normalized'!$A:$A, 0))&gt;0, -(16*INDEX('UZ-normalized'!$D:$D, MATCH($A9, 'UZ-normalized'!$A:$A, 0))-INDEX('UZ-normalized'!$E:$E, MATCH($A9, 'UZ-normalized'!$A:$A, 0))), 0), 0)))</f>
        <v>0</v>
      </c>
      <c r="AE9" s="6">
        <f>MIN(0, N9+(IFERROR(IF(17*INDEX('UA-normalized'!$D:$D, MATCH($A9, 'UA-normalized'!$A:$A, 0))-INDEX('UA-normalized'!$E:$E, MATCH($A9, 'UA-normalized'!$A:$A, 0))&gt;0, -(17*INDEX('UA-normalized'!$D:$D, MATCH($A9, 'UA-normalized'!$A:$A, 0))-INDEX('UA-normalized'!$E:$E, MATCH($A9, 'UA-normalized'!$A:$A, 0))), 0), 0))+(IFERROR(IF(17*INDEX('KZ-normalized'!$D:$D, MATCH($A9, 'KZ-normalized'!$A:$A, 0))-INDEX('KZ-normalized'!$E:$E, MATCH($A9, 'KZ-normalized'!$A:$A, 0))&gt;0, -(17*INDEX('KZ-normalized'!$D:$D, MATCH($A9, 'KZ-normalized'!$A:$A, 0))-INDEX('KZ-normalized'!$E:$E, MATCH($A9, 'KZ-normalized'!$A:$A, 0))), 0), 0))+(IFERROR(IF(17*INDEX('UZ-normalized'!$D:$D, MATCH($A9, 'UZ-normalized'!$A:$A, 0))-INDEX('UZ-normalized'!$E:$E, MATCH($A9, 'UZ-normalized'!$A:$A, 0))&gt;0, -(17*INDEX('UZ-normalized'!$D:$D, MATCH($A9, 'UZ-normalized'!$A:$A, 0))-INDEX('UZ-normalized'!$E:$E, MATCH($A9, 'UZ-normalized'!$A:$A, 0))), 0), 0)))</f>
        <v>0</v>
      </c>
      <c r="AF9" s="6">
        <f>MIN(0, N9+(IFERROR(IF(18*INDEX('UA-normalized'!$D:$D, MATCH($A9, 'UA-normalized'!$A:$A, 0))-INDEX('UA-normalized'!$E:$E, MATCH($A9, 'UA-normalized'!$A:$A, 0))&gt;0, -(18*INDEX('UA-normalized'!$D:$D, MATCH($A9, 'UA-normalized'!$A:$A, 0))-INDEX('UA-normalized'!$E:$E, MATCH($A9, 'UA-normalized'!$A:$A, 0))), 0), 0))+(IFERROR(IF(18*INDEX('KZ-normalized'!$D:$D, MATCH($A9, 'KZ-normalized'!$A:$A, 0))-INDEX('KZ-normalized'!$E:$E, MATCH($A9, 'KZ-normalized'!$A:$A, 0))&gt;0, -(18*INDEX('KZ-normalized'!$D:$D, MATCH($A9, 'KZ-normalized'!$A:$A, 0))-INDEX('KZ-normalized'!$E:$E, MATCH($A9, 'KZ-normalized'!$A:$A, 0))), 0), 0))+(IFERROR(IF(18*INDEX('UZ-normalized'!$D:$D, MATCH($A9, 'UZ-normalized'!$A:$A, 0))-INDEX('UZ-normalized'!$E:$E, MATCH($A9, 'UZ-normalized'!$A:$A, 0))&gt;0, -(18*INDEX('UZ-normalized'!$D:$D, MATCH($A9, 'UZ-normalized'!$A:$A, 0))-INDEX('UZ-normalized'!$E:$E, MATCH($A9, 'UZ-normalized'!$A:$A, 0))), 0), 0)))</f>
        <v>0</v>
      </c>
      <c r="AG9" s="6">
        <f>MIN(0, N9+(IFERROR(IF(19*INDEX('UA-normalized'!$D:$D, MATCH($A9, 'UA-normalized'!$A:$A, 0))-INDEX('UA-normalized'!$E:$E, MATCH($A9, 'UA-normalized'!$A:$A, 0))&gt;0, -(19*INDEX('UA-normalized'!$D:$D, MATCH($A9, 'UA-normalized'!$A:$A, 0))-INDEX('UA-normalized'!$E:$E, MATCH($A9, 'UA-normalized'!$A:$A, 0))), 0), 0))+(IFERROR(IF(19*INDEX('KZ-normalized'!$D:$D, MATCH($A9, 'KZ-normalized'!$A:$A, 0))-INDEX('KZ-normalized'!$E:$E, MATCH($A9, 'KZ-normalized'!$A:$A, 0))&gt;0, -(19*INDEX('KZ-normalized'!$D:$D, MATCH($A9, 'KZ-normalized'!$A:$A, 0))-INDEX('KZ-normalized'!$E:$E, MATCH($A9, 'KZ-normalized'!$A:$A, 0))), 0), 0))+(IFERROR(IF(19*INDEX('UZ-normalized'!$D:$D, MATCH($A9, 'UZ-normalized'!$A:$A, 0))-INDEX('UZ-normalized'!$E:$E, MATCH($A9, 'UZ-normalized'!$A:$A, 0))&gt;0, -(19*INDEX('UZ-normalized'!$D:$D, MATCH($A9, 'UZ-normalized'!$A:$A, 0))-INDEX('UZ-normalized'!$E:$E, MATCH($A9, 'UZ-normalized'!$A:$A, 0))), 0), 0)))</f>
        <v>0</v>
      </c>
      <c r="AH9" s="6">
        <f>MIN(0, N9+(IFERROR(IF(20*INDEX('UA-normalized'!$D:$D, MATCH($A9, 'UA-normalized'!$A:$A, 0))-INDEX('UA-normalized'!$E:$E, MATCH($A9, 'UA-normalized'!$A:$A, 0))&gt;0, -(20*INDEX('UA-normalized'!$D:$D, MATCH($A9, 'UA-normalized'!$A:$A, 0))-INDEX('UA-normalized'!$E:$E, MATCH($A9, 'UA-normalized'!$A:$A, 0))), 0), 0))+(IFERROR(IF(20*INDEX('KZ-normalized'!$D:$D, MATCH($A9, 'KZ-normalized'!$A:$A, 0))-INDEX('KZ-normalized'!$E:$E, MATCH($A9, 'KZ-normalized'!$A:$A, 0))&gt;0, -(20*INDEX('KZ-normalized'!$D:$D, MATCH($A9, 'KZ-normalized'!$A:$A, 0))-INDEX('KZ-normalized'!$E:$E, MATCH($A9, 'KZ-normalized'!$A:$A, 0))), 0), 0))+(IFERROR(IF(20*INDEX('UZ-normalized'!$D:$D, MATCH($A9, 'UZ-normalized'!$A:$A, 0))-INDEX('UZ-normalized'!$E:$E, MATCH($A9, 'UZ-normalized'!$A:$A, 0))&gt;0, -(20*INDEX('UZ-normalized'!$D:$D, MATCH($A9, 'UZ-normalized'!$A:$A, 0))-INDEX('UZ-normalized'!$E:$E, MATCH($A9, 'UZ-normalized'!$A:$A, 0))), 0), 0)))</f>
        <v>0</v>
      </c>
      <c r="AI9" s="6">
        <f>MIN(0, N9+(IFERROR(IF(21*INDEX('UA-normalized'!$D:$D, MATCH($A9, 'UA-normalized'!$A:$A, 0))-INDEX('UA-normalized'!$E:$E, MATCH($A9, 'UA-normalized'!$A:$A, 0))&gt;0, -(21*INDEX('UA-normalized'!$D:$D, MATCH($A9, 'UA-normalized'!$A:$A, 0))-INDEX('UA-normalized'!$E:$E, MATCH($A9, 'UA-normalized'!$A:$A, 0))), 0), 0))+(IFERROR(IF(21*INDEX('KZ-normalized'!$D:$D, MATCH($A9, 'KZ-normalized'!$A:$A, 0))-INDEX('KZ-normalized'!$E:$E, MATCH($A9, 'KZ-normalized'!$A:$A, 0))&gt;0, -(21*INDEX('KZ-normalized'!$D:$D, MATCH($A9, 'KZ-normalized'!$A:$A, 0))-INDEX('KZ-normalized'!$E:$E, MATCH($A9, 'KZ-normalized'!$A:$A, 0))), 0), 0))+(IFERROR(IF(21*INDEX('UZ-normalized'!$D:$D, MATCH($A9, 'UZ-normalized'!$A:$A, 0))-INDEX('UZ-normalized'!$E:$E, MATCH($A9, 'UZ-normalized'!$A:$A, 0))&gt;0, -(21*INDEX('UZ-normalized'!$D:$D, MATCH($A9, 'UZ-normalized'!$A:$A, 0))-INDEX('UZ-normalized'!$E:$E, MATCH($A9, 'UZ-normalized'!$A:$A, 0))), 0), 0)))</f>
        <v>0</v>
      </c>
      <c r="AJ9" s="6">
        <f>MIN(0, N9+(IFERROR(IF(22*INDEX('UA-normalized'!$D:$D, MATCH($A9, 'UA-normalized'!$A:$A, 0))-INDEX('UA-normalized'!$E:$E, MATCH($A9, 'UA-normalized'!$A:$A, 0))&gt;0, -(22*INDEX('UA-normalized'!$D:$D, MATCH($A9, 'UA-normalized'!$A:$A, 0))-INDEX('UA-normalized'!$E:$E, MATCH($A9, 'UA-normalized'!$A:$A, 0))), 0), 0))+(IFERROR(IF(22*INDEX('KZ-normalized'!$D:$D, MATCH($A9, 'KZ-normalized'!$A:$A, 0))-INDEX('KZ-normalized'!$E:$E, MATCH($A9, 'KZ-normalized'!$A:$A, 0))&gt;0, -(22*INDEX('KZ-normalized'!$D:$D, MATCH($A9, 'KZ-normalized'!$A:$A, 0))-INDEX('KZ-normalized'!$E:$E, MATCH($A9, 'KZ-normalized'!$A:$A, 0))), 0), 0))+(IFERROR(IF(22*INDEX('UZ-normalized'!$D:$D, MATCH($A9, 'UZ-normalized'!$A:$A, 0))-INDEX('UZ-normalized'!$E:$E, MATCH($A9, 'UZ-normalized'!$A:$A, 0))&gt;0, -(22*INDEX('UZ-normalized'!$D:$D, MATCH($A9, 'UZ-normalized'!$A:$A, 0))-INDEX('UZ-normalized'!$E:$E, MATCH($A9, 'UZ-normalized'!$A:$A, 0))), 0), 0)))</f>
        <v>0</v>
      </c>
      <c r="AK9" s="6">
        <f>MIN(0, N9+(IFERROR(IF(23*INDEX('UA-normalized'!$D:$D, MATCH($A9, 'UA-normalized'!$A:$A, 0))-INDEX('UA-normalized'!$E:$E, MATCH($A9, 'UA-normalized'!$A:$A, 0))&gt;0, -(23*INDEX('UA-normalized'!$D:$D, MATCH($A9, 'UA-normalized'!$A:$A, 0))-INDEX('UA-normalized'!$E:$E, MATCH($A9, 'UA-normalized'!$A:$A, 0))), 0), 0))+(IFERROR(IF(23*INDEX('KZ-normalized'!$D:$D, MATCH($A9, 'KZ-normalized'!$A:$A, 0))-INDEX('KZ-normalized'!$E:$E, MATCH($A9, 'KZ-normalized'!$A:$A, 0))&gt;0, -(23*INDEX('KZ-normalized'!$D:$D, MATCH($A9, 'KZ-normalized'!$A:$A, 0))-INDEX('KZ-normalized'!$E:$E, MATCH($A9, 'KZ-normalized'!$A:$A, 0))), 0), 0))+(IFERROR(IF(23*INDEX('UZ-normalized'!$D:$D, MATCH($A9, 'UZ-normalized'!$A:$A, 0))-INDEX('UZ-normalized'!$E:$E, MATCH($A9, 'UZ-normalized'!$A:$A, 0))&gt;0, -(23*INDEX('UZ-normalized'!$D:$D, MATCH($A9, 'UZ-normalized'!$A:$A, 0))-INDEX('UZ-normalized'!$E:$E, MATCH($A9, 'UZ-normalized'!$A:$A, 0))), 0), 0)))</f>
        <v>0</v>
      </c>
      <c r="AL9" s="6">
        <f>MIN(0, N9+(IFERROR(IF(24*INDEX('UA-normalized'!$D:$D, MATCH($A9, 'UA-normalized'!$A:$A, 0))-INDEX('UA-normalized'!$E:$E, MATCH($A9, 'UA-normalized'!$A:$A, 0))&gt;0, -(24*INDEX('UA-normalized'!$D:$D, MATCH($A9, 'UA-normalized'!$A:$A, 0))-INDEX('UA-normalized'!$E:$E, MATCH($A9, 'UA-normalized'!$A:$A, 0))), 0), 0))+(IFERROR(IF(24*INDEX('KZ-normalized'!$D:$D, MATCH($A9, 'KZ-normalized'!$A:$A, 0))-INDEX('KZ-normalized'!$E:$E, MATCH($A9, 'KZ-normalized'!$A:$A, 0))&gt;0, -(24*INDEX('KZ-normalized'!$D:$D, MATCH($A9, 'KZ-normalized'!$A:$A, 0))-INDEX('KZ-normalized'!$E:$E, MATCH($A9, 'KZ-normalized'!$A:$A, 0))), 0), 0))+(IFERROR(IF(24*INDEX('UZ-normalized'!$D:$D, MATCH($A9, 'UZ-normalized'!$A:$A, 0))-INDEX('UZ-normalized'!$E:$E, MATCH($A9, 'UZ-normalized'!$A:$A, 0))&gt;0, -(24*INDEX('UZ-normalized'!$D:$D, MATCH($A9, 'UZ-normalized'!$A:$A, 0))-INDEX('UZ-normalized'!$E:$E, MATCH($A9, 'UZ-normalized'!$A:$A, 0))), 0), 0)))</f>
        <v>0</v>
      </c>
      <c r="AM9" s="6">
        <f>MIN(0, N9+(IFERROR(IF(25*INDEX('UA-normalized'!$D:$D, MATCH($A9, 'UA-normalized'!$A:$A, 0))-INDEX('UA-normalized'!$E:$E, MATCH($A9, 'UA-normalized'!$A:$A, 0))&gt;0, -(25*INDEX('UA-normalized'!$D:$D, MATCH($A9, 'UA-normalized'!$A:$A, 0))-INDEX('UA-normalized'!$E:$E, MATCH($A9, 'UA-normalized'!$A:$A, 0))), 0), 0))+(IFERROR(IF(25*INDEX('KZ-normalized'!$D:$D, MATCH($A9, 'KZ-normalized'!$A:$A, 0))-INDEX('KZ-normalized'!$E:$E, MATCH($A9, 'KZ-normalized'!$A:$A, 0))&gt;0, -(25*INDEX('KZ-normalized'!$D:$D, MATCH($A9, 'KZ-normalized'!$A:$A, 0))-INDEX('KZ-normalized'!$E:$E, MATCH($A9, 'KZ-normalized'!$A:$A, 0))), 0), 0))+(IFERROR(IF(25*INDEX('UZ-normalized'!$D:$D, MATCH($A9, 'UZ-normalized'!$A:$A, 0))-INDEX('UZ-normalized'!$E:$E, MATCH($A9, 'UZ-normalized'!$A:$A, 0))&gt;0, -(25*INDEX('UZ-normalized'!$D:$D, MATCH($A9, 'UZ-normalized'!$A:$A, 0))-INDEX('UZ-normalized'!$E:$E, MATCH($A9, 'UZ-normalized'!$A:$A, 0))), 0), 0)))</f>
        <v>0</v>
      </c>
      <c r="AN9" s="6">
        <f>MIN(0, N9+(IFERROR(IF(26*INDEX('UA-normalized'!$D:$D, MATCH($A9, 'UA-normalized'!$A:$A, 0))-INDEX('UA-normalized'!$E:$E, MATCH($A9, 'UA-normalized'!$A:$A, 0))&gt;0, -(26*INDEX('UA-normalized'!$D:$D, MATCH($A9, 'UA-normalized'!$A:$A, 0))-INDEX('UA-normalized'!$E:$E, MATCH($A9, 'UA-normalized'!$A:$A, 0))), 0), 0))+(IFERROR(IF(26*INDEX('KZ-normalized'!$D:$D, MATCH($A9, 'KZ-normalized'!$A:$A, 0))-INDEX('KZ-normalized'!$E:$E, MATCH($A9, 'KZ-normalized'!$A:$A, 0))&gt;0, -(26*INDEX('KZ-normalized'!$D:$D, MATCH($A9, 'KZ-normalized'!$A:$A, 0))-INDEX('KZ-normalized'!$E:$E, MATCH($A9, 'KZ-normalized'!$A:$A, 0))), 0), 0))+(IFERROR(IF(26*INDEX('UZ-normalized'!$D:$D, MATCH($A9, 'UZ-normalized'!$A:$A, 0))-INDEX('UZ-normalized'!$E:$E, MATCH($A9, 'UZ-normalized'!$A:$A, 0))&gt;0, -(26*INDEX('UZ-normalized'!$D:$D, MATCH($A9, 'UZ-normalized'!$A:$A, 0))-INDEX('UZ-normalized'!$E:$E, MATCH($A9, 'UZ-normalized'!$A:$A, 0))), 0), 0)))</f>
        <v>0</v>
      </c>
      <c r="AO9" s="6">
        <f>MIN(0, N9+(IFERROR(IF(27*INDEX('UA-normalized'!$D:$D, MATCH($A9, 'UA-normalized'!$A:$A, 0))-INDEX('UA-normalized'!$E:$E, MATCH($A9, 'UA-normalized'!$A:$A, 0))&gt;0, -(27*INDEX('UA-normalized'!$D:$D, MATCH($A9, 'UA-normalized'!$A:$A, 0))-INDEX('UA-normalized'!$E:$E, MATCH($A9, 'UA-normalized'!$A:$A, 0))), 0), 0))+(IFERROR(IF(27*INDEX('KZ-normalized'!$D:$D, MATCH($A9, 'KZ-normalized'!$A:$A, 0))-INDEX('KZ-normalized'!$E:$E, MATCH($A9, 'KZ-normalized'!$A:$A, 0))&gt;0, -(27*INDEX('KZ-normalized'!$D:$D, MATCH($A9, 'KZ-normalized'!$A:$A, 0))-INDEX('KZ-normalized'!$E:$E, MATCH($A9, 'KZ-normalized'!$A:$A, 0))), 0), 0))+(IFERROR(IF(27*INDEX('UZ-normalized'!$D:$D, MATCH($A9, 'UZ-normalized'!$A:$A, 0))-INDEX('UZ-normalized'!$E:$E, MATCH($A9, 'UZ-normalized'!$A:$A, 0))&gt;0, -(27*INDEX('UZ-normalized'!$D:$D, MATCH($A9, 'UZ-normalized'!$A:$A, 0))-INDEX('UZ-normalized'!$E:$E, MATCH($A9, 'UZ-normalized'!$A:$A, 0))), 0), 0)))</f>
        <v>0</v>
      </c>
      <c r="AP9" s="6">
        <f>MIN(0, N9+(IFERROR(IF(28*INDEX('UA-normalized'!$D:$D, MATCH($A9, 'UA-normalized'!$A:$A, 0))-INDEX('UA-normalized'!$E:$E, MATCH($A9, 'UA-normalized'!$A:$A, 0))&gt;0, -(28*INDEX('UA-normalized'!$D:$D, MATCH($A9, 'UA-normalized'!$A:$A, 0))-INDEX('UA-normalized'!$E:$E, MATCH($A9, 'UA-normalized'!$A:$A, 0))), 0), 0))+(IFERROR(IF(28*INDEX('KZ-normalized'!$D:$D, MATCH($A9, 'KZ-normalized'!$A:$A, 0))-INDEX('KZ-normalized'!$E:$E, MATCH($A9, 'KZ-normalized'!$A:$A, 0))&gt;0, -(28*INDEX('KZ-normalized'!$D:$D, MATCH($A9, 'KZ-normalized'!$A:$A, 0))-INDEX('KZ-normalized'!$E:$E, MATCH($A9, 'KZ-normalized'!$A:$A, 0))), 0), 0))+(IFERROR(IF(28*INDEX('UZ-normalized'!$D:$D, MATCH($A9, 'UZ-normalized'!$A:$A, 0))-INDEX('UZ-normalized'!$E:$E, MATCH($A9, 'UZ-normalized'!$A:$A, 0))&gt;0, -(28*INDEX('UZ-normalized'!$D:$D, MATCH($A9, 'UZ-normalized'!$A:$A, 0))-INDEX('UZ-normalized'!$E:$E, MATCH($A9, 'UZ-normalized'!$A:$A, 0))), 0), 0)))</f>
        <v>0</v>
      </c>
      <c r="AQ9" s="6">
        <f>MIN(0, N9+(IFERROR(IF(29*INDEX('UA-normalized'!$D:$D, MATCH($A9, 'UA-normalized'!$A:$A, 0))-INDEX('UA-normalized'!$E:$E, MATCH($A9, 'UA-normalized'!$A:$A, 0))&gt;0, -(29*INDEX('UA-normalized'!$D:$D, MATCH($A9, 'UA-normalized'!$A:$A, 0))-INDEX('UA-normalized'!$E:$E, MATCH($A9, 'UA-normalized'!$A:$A, 0))), 0), 0))+(IFERROR(IF(29*INDEX('KZ-normalized'!$D:$D, MATCH($A9, 'KZ-normalized'!$A:$A, 0))-INDEX('KZ-normalized'!$E:$E, MATCH($A9, 'KZ-normalized'!$A:$A, 0))&gt;0, -(29*INDEX('KZ-normalized'!$D:$D, MATCH($A9, 'KZ-normalized'!$A:$A, 0))-INDEX('KZ-normalized'!$E:$E, MATCH($A9, 'KZ-normalized'!$A:$A, 0))), 0), 0))+(IFERROR(IF(29*INDEX('UZ-normalized'!$D:$D, MATCH($A9, 'UZ-normalized'!$A:$A, 0))-INDEX('UZ-normalized'!$E:$E, MATCH($A9, 'UZ-normalized'!$A:$A, 0))&gt;0, -(29*INDEX('UZ-normalized'!$D:$D, MATCH($A9, 'UZ-normalized'!$A:$A, 0))-INDEX('UZ-normalized'!$E:$E, MATCH($A9, 'UZ-normalized'!$A:$A, 0))), 0), 0)))</f>
        <v>0</v>
      </c>
      <c r="AR9" s="6">
        <f>MIN(0, N9+(IFERROR(IF(30*INDEX('UA-normalized'!$D:$D, MATCH($A9, 'UA-normalized'!$A:$A, 0))-INDEX('UA-normalized'!$E:$E, MATCH($A9, 'UA-normalized'!$A:$A, 0))&gt;0, -(30*INDEX('UA-normalized'!$D:$D, MATCH($A9, 'UA-normalized'!$A:$A, 0))-INDEX('UA-normalized'!$E:$E, MATCH($A9, 'UA-normalized'!$A:$A, 0))), 0), 0))+(IFERROR(IF(30*INDEX('KZ-normalized'!$D:$D, MATCH($A9, 'KZ-normalized'!$A:$A, 0))-INDEX('KZ-normalized'!$E:$E, MATCH($A9, 'KZ-normalized'!$A:$A, 0))&gt;0, -(30*INDEX('KZ-normalized'!$D:$D, MATCH($A9, 'KZ-normalized'!$A:$A, 0))-INDEX('KZ-normalized'!$E:$E, MATCH($A9, 'KZ-normalized'!$A:$A, 0))), 0), 0))+(IFERROR(IF(30*INDEX('UZ-normalized'!$D:$D, MATCH($A9, 'UZ-normalized'!$A:$A, 0))-INDEX('UZ-normalized'!$E:$E, MATCH($A9, 'UZ-normalized'!$A:$A, 0))&gt;0, -(30*INDEX('UZ-normalized'!$D:$D, MATCH($A9, 'UZ-normalized'!$A:$A, 0))-INDEX('UZ-normalized'!$E:$E, MATCH($A9, 'UZ-normalized'!$A:$A, 0))), 0), 0)))</f>
        <v>0</v>
      </c>
    </row>
    <row r="10" spans="1:44" x14ac:dyDescent="0.25">
      <c r="A10" s="8" t="s">
        <v>64</v>
      </c>
      <c r="B10" s="8" t="s">
        <v>45</v>
      </c>
      <c r="C10" s="8" t="s">
        <v>60</v>
      </c>
      <c r="D10" s="8" t="s">
        <v>65</v>
      </c>
      <c r="N10">
        <f t="shared" si="0"/>
        <v>0</v>
      </c>
      <c r="O10" s="6">
        <f>MIN(0, N10+(IFERROR(IF(1*INDEX('UA-normalized'!$D:$D, MATCH($A10, 'UA-normalized'!$A:$A, 0))-INDEX('UA-normalized'!$E:$E, MATCH($A10, 'UA-normalized'!$A:$A, 0))&gt;0, -(1*INDEX('UA-normalized'!$D:$D, MATCH($A10, 'UA-normalized'!$A:$A, 0))-INDEX('UA-normalized'!$E:$E, MATCH($A10, 'UA-normalized'!$A:$A, 0))), 0), 0))+(IFERROR(IF(1*INDEX('KZ-normalized'!$D:$D, MATCH($A10, 'KZ-normalized'!$A:$A, 0))-INDEX('KZ-normalized'!$E:$E, MATCH($A10, 'KZ-normalized'!$A:$A, 0))&gt;0, -(1*INDEX('KZ-normalized'!$D:$D, MATCH($A10, 'KZ-normalized'!$A:$A, 0))-INDEX('KZ-normalized'!$E:$E, MATCH($A10, 'KZ-normalized'!$A:$A, 0))), 0), 0))+(IFERROR(IF(1*INDEX('UZ-normalized'!$D:$D, MATCH($A10, 'UZ-normalized'!$A:$A, 0))-INDEX('UZ-normalized'!$E:$E, MATCH($A10, 'UZ-normalized'!$A:$A, 0))&gt;0, -(1*INDEX('UZ-normalized'!$D:$D, MATCH($A10, 'UZ-normalized'!$A:$A, 0))-INDEX('UZ-normalized'!$E:$E, MATCH($A10, 'UZ-normalized'!$A:$A, 0))), 0), 0)))</f>
        <v>0</v>
      </c>
      <c r="P10" s="6">
        <f>MIN(0, N10+(IFERROR(IF(2*INDEX('UA-normalized'!$D:$D, MATCH($A10, 'UA-normalized'!$A:$A, 0))-INDEX('UA-normalized'!$E:$E, MATCH($A10, 'UA-normalized'!$A:$A, 0))&gt;0, -(2*INDEX('UA-normalized'!$D:$D, MATCH($A10, 'UA-normalized'!$A:$A, 0))-INDEX('UA-normalized'!$E:$E, MATCH($A10, 'UA-normalized'!$A:$A, 0))), 0), 0))+(IFERROR(IF(2*INDEX('KZ-normalized'!$D:$D, MATCH($A10, 'KZ-normalized'!$A:$A, 0))-INDEX('KZ-normalized'!$E:$E, MATCH($A10, 'KZ-normalized'!$A:$A, 0))&gt;0, -(2*INDEX('KZ-normalized'!$D:$D, MATCH($A10, 'KZ-normalized'!$A:$A, 0))-INDEX('KZ-normalized'!$E:$E, MATCH($A10, 'KZ-normalized'!$A:$A, 0))), 0), 0))+(IFERROR(IF(2*INDEX('UZ-normalized'!$D:$D, MATCH($A10, 'UZ-normalized'!$A:$A, 0))-INDEX('UZ-normalized'!$E:$E, MATCH($A10, 'UZ-normalized'!$A:$A, 0))&gt;0, -(2*INDEX('UZ-normalized'!$D:$D, MATCH($A10, 'UZ-normalized'!$A:$A, 0))-INDEX('UZ-normalized'!$E:$E, MATCH($A10, 'UZ-normalized'!$A:$A, 0))), 0), 0)))</f>
        <v>0</v>
      </c>
      <c r="Q10" s="6">
        <f>MIN(0, N10+(IFERROR(IF(3*INDEX('UA-normalized'!$D:$D, MATCH($A10, 'UA-normalized'!$A:$A, 0))-INDEX('UA-normalized'!$E:$E, MATCH($A10, 'UA-normalized'!$A:$A, 0))&gt;0, -(3*INDEX('UA-normalized'!$D:$D, MATCH($A10, 'UA-normalized'!$A:$A, 0))-INDEX('UA-normalized'!$E:$E, MATCH($A10, 'UA-normalized'!$A:$A, 0))), 0), 0))+(IFERROR(IF(3*INDEX('KZ-normalized'!$D:$D, MATCH($A10, 'KZ-normalized'!$A:$A, 0))-INDEX('KZ-normalized'!$E:$E, MATCH($A10, 'KZ-normalized'!$A:$A, 0))&gt;0, -(3*INDEX('KZ-normalized'!$D:$D, MATCH($A10, 'KZ-normalized'!$A:$A, 0))-INDEX('KZ-normalized'!$E:$E, MATCH($A10, 'KZ-normalized'!$A:$A, 0))), 0), 0))+(IFERROR(IF(3*INDEX('UZ-normalized'!$D:$D, MATCH($A10, 'UZ-normalized'!$A:$A, 0))-INDEX('UZ-normalized'!$E:$E, MATCH($A10, 'UZ-normalized'!$A:$A, 0))&gt;0, -(3*INDEX('UZ-normalized'!$D:$D, MATCH($A10, 'UZ-normalized'!$A:$A, 0))-INDEX('UZ-normalized'!$E:$E, MATCH($A10, 'UZ-normalized'!$A:$A, 0))), 0), 0)))</f>
        <v>0</v>
      </c>
      <c r="R10" s="6">
        <f>MIN(0, N10+(IFERROR(IF(4*INDEX('UA-normalized'!$D:$D, MATCH($A10, 'UA-normalized'!$A:$A, 0))-INDEX('UA-normalized'!$E:$E, MATCH($A10, 'UA-normalized'!$A:$A, 0))&gt;0, -(4*INDEX('UA-normalized'!$D:$D, MATCH($A10, 'UA-normalized'!$A:$A, 0))-INDEX('UA-normalized'!$E:$E, MATCH($A10, 'UA-normalized'!$A:$A, 0))), 0), 0))+(IFERROR(IF(4*INDEX('KZ-normalized'!$D:$D, MATCH($A10, 'KZ-normalized'!$A:$A, 0))-INDEX('KZ-normalized'!$E:$E, MATCH($A10, 'KZ-normalized'!$A:$A, 0))&gt;0, -(4*INDEX('KZ-normalized'!$D:$D, MATCH($A10, 'KZ-normalized'!$A:$A, 0))-INDEX('KZ-normalized'!$E:$E, MATCH($A10, 'KZ-normalized'!$A:$A, 0))), 0), 0))+(IFERROR(IF(4*INDEX('UZ-normalized'!$D:$D, MATCH($A10, 'UZ-normalized'!$A:$A, 0))-INDEX('UZ-normalized'!$E:$E, MATCH($A10, 'UZ-normalized'!$A:$A, 0))&gt;0, -(4*INDEX('UZ-normalized'!$D:$D, MATCH($A10, 'UZ-normalized'!$A:$A, 0))-INDEX('UZ-normalized'!$E:$E, MATCH($A10, 'UZ-normalized'!$A:$A, 0))), 0), 0)))</f>
        <v>0</v>
      </c>
      <c r="S10" s="6">
        <f>MIN(0, N10+(IFERROR(IF(5*INDEX('UA-normalized'!$D:$D, MATCH($A10, 'UA-normalized'!$A:$A, 0))-INDEX('UA-normalized'!$E:$E, MATCH($A10, 'UA-normalized'!$A:$A, 0))&gt;0, -(5*INDEX('UA-normalized'!$D:$D, MATCH($A10, 'UA-normalized'!$A:$A, 0))-INDEX('UA-normalized'!$E:$E, MATCH($A10, 'UA-normalized'!$A:$A, 0))), 0), 0))+(IFERROR(IF(5*INDEX('KZ-normalized'!$D:$D, MATCH($A10, 'KZ-normalized'!$A:$A, 0))-INDEX('KZ-normalized'!$E:$E, MATCH($A10, 'KZ-normalized'!$A:$A, 0))&gt;0, -(5*INDEX('KZ-normalized'!$D:$D, MATCH($A10, 'KZ-normalized'!$A:$A, 0))-INDEX('KZ-normalized'!$E:$E, MATCH($A10, 'KZ-normalized'!$A:$A, 0))), 0), 0))+(IFERROR(IF(5*INDEX('UZ-normalized'!$D:$D, MATCH($A10, 'UZ-normalized'!$A:$A, 0))-INDEX('UZ-normalized'!$E:$E, MATCH($A10, 'UZ-normalized'!$A:$A, 0))&gt;0, -(5*INDEX('UZ-normalized'!$D:$D, MATCH($A10, 'UZ-normalized'!$A:$A, 0))-INDEX('UZ-normalized'!$E:$E, MATCH($A10, 'UZ-normalized'!$A:$A, 0))), 0), 0)))</f>
        <v>0</v>
      </c>
      <c r="T10" s="6">
        <f>MIN(0, N10+(IFERROR(IF(6*INDEX('UA-normalized'!$D:$D, MATCH($A10, 'UA-normalized'!$A:$A, 0))-INDEX('UA-normalized'!$E:$E, MATCH($A10, 'UA-normalized'!$A:$A, 0))&gt;0, -(6*INDEX('UA-normalized'!$D:$D, MATCH($A10, 'UA-normalized'!$A:$A, 0))-INDEX('UA-normalized'!$E:$E, MATCH($A10, 'UA-normalized'!$A:$A, 0))), 0), 0))+(IFERROR(IF(6*INDEX('KZ-normalized'!$D:$D, MATCH($A10, 'KZ-normalized'!$A:$A, 0))-INDEX('KZ-normalized'!$E:$E, MATCH($A10, 'KZ-normalized'!$A:$A, 0))&gt;0, -(6*INDEX('KZ-normalized'!$D:$D, MATCH($A10, 'KZ-normalized'!$A:$A, 0))-INDEX('KZ-normalized'!$E:$E, MATCH($A10, 'KZ-normalized'!$A:$A, 0))), 0), 0))+(IFERROR(IF(6*INDEX('UZ-normalized'!$D:$D, MATCH($A10, 'UZ-normalized'!$A:$A, 0))-INDEX('UZ-normalized'!$E:$E, MATCH($A10, 'UZ-normalized'!$A:$A, 0))&gt;0, -(6*INDEX('UZ-normalized'!$D:$D, MATCH($A10, 'UZ-normalized'!$A:$A, 0))-INDEX('UZ-normalized'!$E:$E, MATCH($A10, 'UZ-normalized'!$A:$A, 0))), 0), 0)))</f>
        <v>0</v>
      </c>
      <c r="U10" s="6">
        <f>MIN(0, N10+(IFERROR(IF(7*INDEX('UA-normalized'!$D:$D, MATCH($A10, 'UA-normalized'!$A:$A, 0))-INDEX('UA-normalized'!$E:$E, MATCH($A10, 'UA-normalized'!$A:$A, 0))&gt;0, -(7*INDEX('UA-normalized'!$D:$D, MATCH($A10, 'UA-normalized'!$A:$A, 0))-INDEX('UA-normalized'!$E:$E, MATCH($A10, 'UA-normalized'!$A:$A, 0))), 0), 0))+(IFERROR(IF(7*INDEX('KZ-normalized'!$D:$D, MATCH($A10, 'KZ-normalized'!$A:$A, 0))-INDEX('KZ-normalized'!$E:$E, MATCH($A10, 'KZ-normalized'!$A:$A, 0))&gt;0, -(7*INDEX('KZ-normalized'!$D:$D, MATCH($A10, 'KZ-normalized'!$A:$A, 0))-INDEX('KZ-normalized'!$E:$E, MATCH($A10, 'KZ-normalized'!$A:$A, 0))), 0), 0))+(IFERROR(IF(7*INDEX('UZ-normalized'!$D:$D, MATCH($A10, 'UZ-normalized'!$A:$A, 0))-INDEX('UZ-normalized'!$E:$E, MATCH($A10, 'UZ-normalized'!$A:$A, 0))&gt;0, -(7*INDEX('UZ-normalized'!$D:$D, MATCH($A10, 'UZ-normalized'!$A:$A, 0))-INDEX('UZ-normalized'!$E:$E, MATCH($A10, 'UZ-normalized'!$A:$A, 0))), 0), 0)))</f>
        <v>0</v>
      </c>
      <c r="V10" s="6">
        <f>MIN(0, N10+(IFERROR(IF(8*INDEX('UA-normalized'!$D:$D, MATCH($A10, 'UA-normalized'!$A:$A, 0))-INDEX('UA-normalized'!$E:$E, MATCH($A10, 'UA-normalized'!$A:$A, 0))&gt;0, -(8*INDEX('UA-normalized'!$D:$D, MATCH($A10, 'UA-normalized'!$A:$A, 0))-INDEX('UA-normalized'!$E:$E, MATCH($A10, 'UA-normalized'!$A:$A, 0))), 0), 0))+(IFERROR(IF(8*INDEX('KZ-normalized'!$D:$D, MATCH($A10, 'KZ-normalized'!$A:$A, 0))-INDEX('KZ-normalized'!$E:$E, MATCH($A10, 'KZ-normalized'!$A:$A, 0))&gt;0, -(8*INDEX('KZ-normalized'!$D:$D, MATCH($A10, 'KZ-normalized'!$A:$A, 0))-INDEX('KZ-normalized'!$E:$E, MATCH($A10, 'KZ-normalized'!$A:$A, 0))), 0), 0))+(IFERROR(IF(8*INDEX('UZ-normalized'!$D:$D, MATCH($A10, 'UZ-normalized'!$A:$A, 0))-INDEX('UZ-normalized'!$E:$E, MATCH($A10, 'UZ-normalized'!$A:$A, 0))&gt;0, -(8*INDEX('UZ-normalized'!$D:$D, MATCH($A10, 'UZ-normalized'!$A:$A, 0))-INDEX('UZ-normalized'!$E:$E, MATCH($A10, 'UZ-normalized'!$A:$A, 0))), 0), 0)))</f>
        <v>0</v>
      </c>
      <c r="W10" s="6">
        <f>MIN(0, N10+(IFERROR(IF(9*INDEX('UA-normalized'!$D:$D, MATCH($A10, 'UA-normalized'!$A:$A, 0))-INDEX('UA-normalized'!$E:$E, MATCH($A10, 'UA-normalized'!$A:$A, 0))&gt;0, -(9*INDEX('UA-normalized'!$D:$D, MATCH($A10, 'UA-normalized'!$A:$A, 0))-INDEX('UA-normalized'!$E:$E, MATCH($A10, 'UA-normalized'!$A:$A, 0))), 0), 0))+(IFERROR(IF(9*INDEX('KZ-normalized'!$D:$D, MATCH($A10, 'KZ-normalized'!$A:$A, 0))-INDEX('KZ-normalized'!$E:$E, MATCH($A10, 'KZ-normalized'!$A:$A, 0))&gt;0, -(9*INDEX('KZ-normalized'!$D:$D, MATCH($A10, 'KZ-normalized'!$A:$A, 0))-INDEX('KZ-normalized'!$E:$E, MATCH($A10, 'KZ-normalized'!$A:$A, 0))), 0), 0))+(IFERROR(IF(9*INDEX('UZ-normalized'!$D:$D, MATCH($A10, 'UZ-normalized'!$A:$A, 0))-INDEX('UZ-normalized'!$E:$E, MATCH($A10, 'UZ-normalized'!$A:$A, 0))&gt;0, -(9*INDEX('UZ-normalized'!$D:$D, MATCH($A10, 'UZ-normalized'!$A:$A, 0))-INDEX('UZ-normalized'!$E:$E, MATCH($A10, 'UZ-normalized'!$A:$A, 0))), 0), 0)))</f>
        <v>0</v>
      </c>
      <c r="X10" s="6">
        <f>MIN(0, N10+(IFERROR(IF(10*INDEX('UA-normalized'!$D:$D, MATCH($A10, 'UA-normalized'!$A:$A, 0))-INDEX('UA-normalized'!$E:$E, MATCH($A10, 'UA-normalized'!$A:$A, 0))&gt;0, -(10*INDEX('UA-normalized'!$D:$D, MATCH($A10, 'UA-normalized'!$A:$A, 0))-INDEX('UA-normalized'!$E:$E, MATCH($A10, 'UA-normalized'!$A:$A, 0))), 0), 0))+(IFERROR(IF(10*INDEX('KZ-normalized'!$D:$D, MATCH($A10, 'KZ-normalized'!$A:$A, 0))-INDEX('KZ-normalized'!$E:$E, MATCH($A10, 'KZ-normalized'!$A:$A, 0))&gt;0, -(10*INDEX('KZ-normalized'!$D:$D, MATCH($A10, 'KZ-normalized'!$A:$A, 0))-INDEX('KZ-normalized'!$E:$E, MATCH($A10, 'KZ-normalized'!$A:$A, 0))), 0), 0))+(IFERROR(IF(10*INDEX('UZ-normalized'!$D:$D, MATCH($A10, 'UZ-normalized'!$A:$A, 0))-INDEX('UZ-normalized'!$E:$E, MATCH($A10, 'UZ-normalized'!$A:$A, 0))&gt;0, -(10*INDEX('UZ-normalized'!$D:$D, MATCH($A10, 'UZ-normalized'!$A:$A, 0))-INDEX('UZ-normalized'!$E:$E, MATCH($A10, 'UZ-normalized'!$A:$A, 0))), 0), 0)))</f>
        <v>0</v>
      </c>
      <c r="Y10" s="6">
        <f>MIN(0, N10+(IFERROR(IF(11*INDEX('UA-normalized'!$D:$D, MATCH($A10, 'UA-normalized'!$A:$A, 0))-INDEX('UA-normalized'!$E:$E, MATCH($A10, 'UA-normalized'!$A:$A, 0))&gt;0, -(11*INDEX('UA-normalized'!$D:$D, MATCH($A10, 'UA-normalized'!$A:$A, 0))-INDEX('UA-normalized'!$E:$E, MATCH($A10, 'UA-normalized'!$A:$A, 0))), 0), 0))+(IFERROR(IF(11*INDEX('KZ-normalized'!$D:$D, MATCH($A10, 'KZ-normalized'!$A:$A, 0))-INDEX('KZ-normalized'!$E:$E, MATCH($A10, 'KZ-normalized'!$A:$A, 0))&gt;0, -(11*INDEX('KZ-normalized'!$D:$D, MATCH($A10, 'KZ-normalized'!$A:$A, 0))-INDEX('KZ-normalized'!$E:$E, MATCH($A10, 'KZ-normalized'!$A:$A, 0))), 0), 0))+(IFERROR(IF(11*INDEX('UZ-normalized'!$D:$D, MATCH($A10, 'UZ-normalized'!$A:$A, 0))-INDEX('UZ-normalized'!$E:$E, MATCH($A10, 'UZ-normalized'!$A:$A, 0))&gt;0, -(11*INDEX('UZ-normalized'!$D:$D, MATCH($A10, 'UZ-normalized'!$A:$A, 0))-INDEX('UZ-normalized'!$E:$E, MATCH($A10, 'UZ-normalized'!$A:$A, 0))), 0), 0)))</f>
        <v>0</v>
      </c>
      <c r="Z10" s="6">
        <f>MIN(0, N10+(IFERROR(IF(12*INDEX('UA-normalized'!$D:$D, MATCH($A10, 'UA-normalized'!$A:$A, 0))-INDEX('UA-normalized'!$E:$E, MATCH($A10, 'UA-normalized'!$A:$A, 0))&gt;0, -(12*INDEX('UA-normalized'!$D:$D, MATCH($A10, 'UA-normalized'!$A:$A, 0))-INDEX('UA-normalized'!$E:$E, MATCH($A10, 'UA-normalized'!$A:$A, 0))), 0), 0))+(IFERROR(IF(12*INDEX('KZ-normalized'!$D:$D, MATCH($A10, 'KZ-normalized'!$A:$A, 0))-INDEX('KZ-normalized'!$E:$E, MATCH($A10, 'KZ-normalized'!$A:$A, 0))&gt;0, -(12*INDEX('KZ-normalized'!$D:$D, MATCH($A10, 'KZ-normalized'!$A:$A, 0))-INDEX('KZ-normalized'!$E:$E, MATCH($A10, 'KZ-normalized'!$A:$A, 0))), 0), 0))+(IFERROR(IF(12*INDEX('UZ-normalized'!$D:$D, MATCH($A10, 'UZ-normalized'!$A:$A, 0))-INDEX('UZ-normalized'!$E:$E, MATCH($A10, 'UZ-normalized'!$A:$A, 0))&gt;0, -(12*INDEX('UZ-normalized'!$D:$D, MATCH($A10, 'UZ-normalized'!$A:$A, 0))-INDEX('UZ-normalized'!$E:$E, MATCH($A10, 'UZ-normalized'!$A:$A, 0))), 0), 0)))</f>
        <v>0</v>
      </c>
      <c r="AA10" s="6">
        <f>MIN(0, N10+(IFERROR(IF(13*INDEX('UA-normalized'!$D:$D, MATCH($A10, 'UA-normalized'!$A:$A, 0))-INDEX('UA-normalized'!$E:$E, MATCH($A10, 'UA-normalized'!$A:$A, 0))&gt;0, -(13*INDEX('UA-normalized'!$D:$D, MATCH($A10, 'UA-normalized'!$A:$A, 0))-INDEX('UA-normalized'!$E:$E, MATCH($A10, 'UA-normalized'!$A:$A, 0))), 0), 0))+(IFERROR(IF(13*INDEX('KZ-normalized'!$D:$D, MATCH($A10, 'KZ-normalized'!$A:$A, 0))-INDEX('KZ-normalized'!$E:$E, MATCH($A10, 'KZ-normalized'!$A:$A, 0))&gt;0, -(13*INDEX('KZ-normalized'!$D:$D, MATCH($A10, 'KZ-normalized'!$A:$A, 0))-INDEX('KZ-normalized'!$E:$E, MATCH($A10, 'KZ-normalized'!$A:$A, 0))), 0), 0))+(IFERROR(IF(13*INDEX('UZ-normalized'!$D:$D, MATCH($A10, 'UZ-normalized'!$A:$A, 0))-INDEX('UZ-normalized'!$E:$E, MATCH($A10, 'UZ-normalized'!$A:$A, 0))&gt;0, -(13*INDEX('UZ-normalized'!$D:$D, MATCH($A10, 'UZ-normalized'!$A:$A, 0))-INDEX('UZ-normalized'!$E:$E, MATCH($A10, 'UZ-normalized'!$A:$A, 0))), 0), 0)))</f>
        <v>0</v>
      </c>
      <c r="AB10" s="6">
        <f>MIN(0, N10+(IFERROR(IF(14*INDEX('UA-normalized'!$D:$D, MATCH($A10, 'UA-normalized'!$A:$A, 0))-INDEX('UA-normalized'!$E:$E, MATCH($A10, 'UA-normalized'!$A:$A, 0))&gt;0, -(14*INDEX('UA-normalized'!$D:$D, MATCH($A10, 'UA-normalized'!$A:$A, 0))-INDEX('UA-normalized'!$E:$E, MATCH($A10, 'UA-normalized'!$A:$A, 0))), 0), 0))+(IFERROR(IF(14*INDEX('KZ-normalized'!$D:$D, MATCH($A10, 'KZ-normalized'!$A:$A, 0))-INDEX('KZ-normalized'!$E:$E, MATCH($A10, 'KZ-normalized'!$A:$A, 0))&gt;0, -(14*INDEX('KZ-normalized'!$D:$D, MATCH($A10, 'KZ-normalized'!$A:$A, 0))-INDEX('KZ-normalized'!$E:$E, MATCH($A10, 'KZ-normalized'!$A:$A, 0))), 0), 0))+(IFERROR(IF(14*INDEX('UZ-normalized'!$D:$D, MATCH($A10, 'UZ-normalized'!$A:$A, 0))-INDEX('UZ-normalized'!$E:$E, MATCH($A10, 'UZ-normalized'!$A:$A, 0))&gt;0, -(14*INDEX('UZ-normalized'!$D:$D, MATCH($A10, 'UZ-normalized'!$A:$A, 0))-INDEX('UZ-normalized'!$E:$E, MATCH($A10, 'UZ-normalized'!$A:$A, 0))), 0), 0)))</f>
        <v>0</v>
      </c>
      <c r="AC10" s="6">
        <f>MIN(0, N10+(IFERROR(IF(15*INDEX('UA-normalized'!$D:$D, MATCH($A10, 'UA-normalized'!$A:$A, 0))-INDEX('UA-normalized'!$E:$E, MATCH($A10, 'UA-normalized'!$A:$A, 0))&gt;0, -(15*INDEX('UA-normalized'!$D:$D, MATCH($A10, 'UA-normalized'!$A:$A, 0))-INDEX('UA-normalized'!$E:$E, MATCH($A10, 'UA-normalized'!$A:$A, 0))), 0), 0))+(IFERROR(IF(15*INDEX('KZ-normalized'!$D:$D, MATCH($A10, 'KZ-normalized'!$A:$A, 0))-INDEX('KZ-normalized'!$E:$E, MATCH($A10, 'KZ-normalized'!$A:$A, 0))&gt;0, -(15*INDEX('KZ-normalized'!$D:$D, MATCH($A10, 'KZ-normalized'!$A:$A, 0))-INDEX('KZ-normalized'!$E:$E, MATCH($A10, 'KZ-normalized'!$A:$A, 0))), 0), 0))+(IFERROR(IF(15*INDEX('UZ-normalized'!$D:$D, MATCH($A10, 'UZ-normalized'!$A:$A, 0))-INDEX('UZ-normalized'!$E:$E, MATCH($A10, 'UZ-normalized'!$A:$A, 0))&gt;0, -(15*INDEX('UZ-normalized'!$D:$D, MATCH($A10, 'UZ-normalized'!$A:$A, 0))-INDEX('UZ-normalized'!$E:$E, MATCH($A10, 'UZ-normalized'!$A:$A, 0))), 0), 0)))</f>
        <v>0</v>
      </c>
      <c r="AD10" s="6">
        <f>MIN(0, N10+(IFERROR(IF(16*INDEX('UA-normalized'!$D:$D, MATCH($A10, 'UA-normalized'!$A:$A, 0))-INDEX('UA-normalized'!$E:$E, MATCH($A10, 'UA-normalized'!$A:$A, 0))&gt;0, -(16*INDEX('UA-normalized'!$D:$D, MATCH($A10, 'UA-normalized'!$A:$A, 0))-INDEX('UA-normalized'!$E:$E, MATCH($A10, 'UA-normalized'!$A:$A, 0))), 0), 0))+(IFERROR(IF(16*INDEX('KZ-normalized'!$D:$D, MATCH($A10, 'KZ-normalized'!$A:$A, 0))-INDEX('KZ-normalized'!$E:$E, MATCH($A10, 'KZ-normalized'!$A:$A, 0))&gt;0, -(16*INDEX('KZ-normalized'!$D:$D, MATCH($A10, 'KZ-normalized'!$A:$A, 0))-INDEX('KZ-normalized'!$E:$E, MATCH($A10, 'KZ-normalized'!$A:$A, 0))), 0), 0))+(IFERROR(IF(16*INDEX('UZ-normalized'!$D:$D, MATCH($A10, 'UZ-normalized'!$A:$A, 0))-INDEX('UZ-normalized'!$E:$E, MATCH($A10, 'UZ-normalized'!$A:$A, 0))&gt;0, -(16*INDEX('UZ-normalized'!$D:$D, MATCH($A10, 'UZ-normalized'!$A:$A, 0))-INDEX('UZ-normalized'!$E:$E, MATCH($A10, 'UZ-normalized'!$A:$A, 0))), 0), 0)))</f>
        <v>0</v>
      </c>
      <c r="AE10" s="6">
        <f>MIN(0, N10+(IFERROR(IF(17*INDEX('UA-normalized'!$D:$D, MATCH($A10, 'UA-normalized'!$A:$A, 0))-INDEX('UA-normalized'!$E:$E, MATCH($A10, 'UA-normalized'!$A:$A, 0))&gt;0, -(17*INDEX('UA-normalized'!$D:$D, MATCH($A10, 'UA-normalized'!$A:$A, 0))-INDEX('UA-normalized'!$E:$E, MATCH($A10, 'UA-normalized'!$A:$A, 0))), 0), 0))+(IFERROR(IF(17*INDEX('KZ-normalized'!$D:$D, MATCH($A10, 'KZ-normalized'!$A:$A, 0))-INDEX('KZ-normalized'!$E:$E, MATCH($A10, 'KZ-normalized'!$A:$A, 0))&gt;0, -(17*INDEX('KZ-normalized'!$D:$D, MATCH($A10, 'KZ-normalized'!$A:$A, 0))-INDEX('KZ-normalized'!$E:$E, MATCH($A10, 'KZ-normalized'!$A:$A, 0))), 0), 0))+(IFERROR(IF(17*INDEX('UZ-normalized'!$D:$D, MATCH($A10, 'UZ-normalized'!$A:$A, 0))-INDEX('UZ-normalized'!$E:$E, MATCH($A10, 'UZ-normalized'!$A:$A, 0))&gt;0, -(17*INDEX('UZ-normalized'!$D:$D, MATCH($A10, 'UZ-normalized'!$A:$A, 0))-INDEX('UZ-normalized'!$E:$E, MATCH($A10, 'UZ-normalized'!$A:$A, 0))), 0), 0)))</f>
        <v>0</v>
      </c>
      <c r="AF10" s="6">
        <f>MIN(0, N10+(IFERROR(IF(18*INDEX('UA-normalized'!$D:$D, MATCH($A10, 'UA-normalized'!$A:$A, 0))-INDEX('UA-normalized'!$E:$E, MATCH($A10, 'UA-normalized'!$A:$A, 0))&gt;0, -(18*INDEX('UA-normalized'!$D:$D, MATCH($A10, 'UA-normalized'!$A:$A, 0))-INDEX('UA-normalized'!$E:$E, MATCH($A10, 'UA-normalized'!$A:$A, 0))), 0), 0))+(IFERROR(IF(18*INDEX('KZ-normalized'!$D:$D, MATCH($A10, 'KZ-normalized'!$A:$A, 0))-INDEX('KZ-normalized'!$E:$E, MATCH($A10, 'KZ-normalized'!$A:$A, 0))&gt;0, -(18*INDEX('KZ-normalized'!$D:$D, MATCH($A10, 'KZ-normalized'!$A:$A, 0))-INDEX('KZ-normalized'!$E:$E, MATCH($A10, 'KZ-normalized'!$A:$A, 0))), 0), 0))+(IFERROR(IF(18*INDEX('UZ-normalized'!$D:$D, MATCH($A10, 'UZ-normalized'!$A:$A, 0))-INDEX('UZ-normalized'!$E:$E, MATCH($A10, 'UZ-normalized'!$A:$A, 0))&gt;0, -(18*INDEX('UZ-normalized'!$D:$D, MATCH($A10, 'UZ-normalized'!$A:$A, 0))-INDEX('UZ-normalized'!$E:$E, MATCH($A10, 'UZ-normalized'!$A:$A, 0))), 0), 0)))</f>
        <v>0</v>
      </c>
      <c r="AG10" s="6">
        <f>MIN(0, N10+(IFERROR(IF(19*INDEX('UA-normalized'!$D:$D, MATCH($A10, 'UA-normalized'!$A:$A, 0))-INDEX('UA-normalized'!$E:$E, MATCH($A10, 'UA-normalized'!$A:$A, 0))&gt;0, -(19*INDEX('UA-normalized'!$D:$D, MATCH($A10, 'UA-normalized'!$A:$A, 0))-INDEX('UA-normalized'!$E:$E, MATCH($A10, 'UA-normalized'!$A:$A, 0))), 0), 0))+(IFERROR(IF(19*INDEX('KZ-normalized'!$D:$D, MATCH($A10, 'KZ-normalized'!$A:$A, 0))-INDEX('KZ-normalized'!$E:$E, MATCH($A10, 'KZ-normalized'!$A:$A, 0))&gt;0, -(19*INDEX('KZ-normalized'!$D:$D, MATCH($A10, 'KZ-normalized'!$A:$A, 0))-INDEX('KZ-normalized'!$E:$E, MATCH($A10, 'KZ-normalized'!$A:$A, 0))), 0), 0))+(IFERROR(IF(19*INDEX('UZ-normalized'!$D:$D, MATCH($A10, 'UZ-normalized'!$A:$A, 0))-INDEX('UZ-normalized'!$E:$E, MATCH($A10, 'UZ-normalized'!$A:$A, 0))&gt;0, -(19*INDEX('UZ-normalized'!$D:$D, MATCH($A10, 'UZ-normalized'!$A:$A, 0))-INDEX('UZ-normalized'!$E:$E, MATCH($A10, 'UZ-normalized'!$A:$A, 0))), 0), 0)))</f>
        <v>0</v>
      </c>
      <c r="AH10" s="6">
        <f>MIN(0, N10+(IFERROR(IF(20*INDEX('UA-normalized'!$D:$D, MATCH($A10, 'UA-normalized'!$A:$A, 0))-INDEX('UA-normalized'!$E:$E, MATCH($A10, 'UA-normalized'!$A:$A, 0))&gt;0, -(20*INDEX('UA-normalized'!$D:$D, MATCH($A10, 'UA-normalized'!$A:$A, 0))-INDEX('UA-normalized'!$E:$E, MATCH($A10, 'UA-normalized'!$A:$A, 0))), 0), 0))+(IFERROR(IF(20*INDEX('KZ-normalized'!$D:$D, MATCH($A10, 'KZ-normalized'!$A:$A, 0))-INDEX('KZ-normalized'!$E:$E, MATCH($A10, 'KZ-normalized'!$A:$A, 0))&gt;0, -(20*INDEX('KZ-normalized'!$D:$D, MATCH($A10, 'KZ-normalized'!$A:$A, 0))-INDEX('KZ-normalized'!$E:$E, MATCH($A10, 'KZ-normalized'!$A:$A, 0))), 0), 0))+(IFERROR(IF(20*INDEX('UZ-normalized'!$D:$D, MATCH($A10, 'UZ-normalized'!$A:$A, 0))-INDEX('UZ-normalized'!$E:$E, MATCH($A10, 'UZ-normalized'!$A:$A, 0))&gt;0, -(20*INDEX('UZ-normalized'!$D:$D, MATCH($A10, 'UZ-normalized'!$A:$A, 0))-INDEX('UZ-normalized'!$E:$E, MATCH($A10, 'UZ-normalized'!$A:$A, 0))), 0), 0)))</f>
        <v>0</v>
      </c>
      <c r="AI10" s="6">
        <f>MIN(0, N10+(IFERROR(IF(21*INDEX('UA-normalized'!$D:$D, MATCH($A10, 'UA-normalized'!$A:$A, 0))-INDEX('UA-normalized'!$E:$E, MATCH($A10, 'UA-normalized'!$A:$A, 0))&gt;0, -(21*INDEX('UA-normalized'!$D:$D, MATCH($A10, 'UA-normalized'!$A:$A, 0))-INDEX('UA-normalized'!$E:$E, MATCH($A10, 'UA-normalized'!$A:$A, 0))), 0), 0))+(IFERROR(IF(21*INDEX('KZ-normalized'!$D:$D, MATCH($A10, 'KZ-normalized'!$A:$A, 0))-INDEX('KZ-normalized'!$E:$E, MATCH($A10, 'KZ-normalized'!$A:$A, 0))&gt;0, -(21*INDEX('KZ-normalized'!$D:$D, MATCH($A10, 'KZ-normalized'!$A:$A, 0))-INDEX('KZ-normalized'!$E:$E, MATCH($A10, 'KZ-normalized'!$A:$A, 0))), 0), 0))+(IFERROR(IF(21*INDEX('UZ-normalized'!$D:$D, MATCH($A10, 'UZ-normalized'!$A:$A, 0))-INDEX('UZ-normalized'!$E:$E, MATCH($A10, 'UZ-normalized'!$A:$A, 0))&gt;0, -(21*INDEX('UZ-normalized'!$D:$D, MATCH($A10, 'UZ-normalized'!$A:$A, 0))-INDEX('UZ-normalized'!$E:$E, MATCH($A10, 'UZ-normalized'!$A:$A, 0))), 0), 0)))</f>
        <v>0</v>
      </c>
      <c r="AJ10" s="6">
        <f>MIN(0, N10+(IFERROR(IF(22*INDEX('UA-normalized'!$D:$D, MATCH($A10, 'UA-normalized'!$A:$A, 0))-INDEX('UA-normalized'!$E:$E, MATCH($A10, 'UA-normalized'!$A:$A, 0))&gt;0, -(22*INDEX('UA-normalized'!$D:$D, MATCH($A10, 'UA-normalized'!$A:$A, 0))-INDEX('UA-normalized'!$E:$E, MATCH($A10, 'UA-normalized'!$A:$A, 0))), 0), 0))+(IFERROR(IF(22*INDEX('KZ-normalized'!$D:$D, MATCH($A10, 'KZ-normalized'!$A:$A, 0))-INDEX('KZ-normalized'!$E:$E, MATCH($A10, 'KZ-normalized'!$A:$A, 0))&gt;0, -(22*INDEX('KZ-normalized'!$D:$D, MATCH($A10, 'KZ-normalized'!$A:$A, 0))-INDEX('KZ-normalized'!$E:$E, MATCH($A10, 'KZ-normalized'!$A:$A, 0))), 0), 0))+(IFERROR(IF(22*INDEX('UZ-normalized'!$D:$D, MATCH($A10, 'UZ-normalized'!$A:$A, 0))-INDEX('UZ-normalized'!$E:$E, MATCH($A10, 'UZ-normalized'!$A:$A, 0))&gt;0, -(22*INDEX('UZ-normalized'!$D:$D, MATCH($A10, 'UZ-normalized'!$A:$A, 0))-INDEX('UZ-normalized'!$E:$E, MATCH($A10, 'UZ-normalized'!$A:$A, 0))), 0), 0)))</f>
        <v>0</v>
      </c>
      <c r="AK10" s="6">
        <f>MIN(0, N10+(IFERROR(IF(23*INDEX('UA-normalized'!$D:$D, MATCH($A10, 'UA-normalized'!$A:$A, 0))-INDEX('UA-normalized'!$E:$E, MATCH($A10, 'UA-normalized'!$A:$A, 0))&gt;0, -(23*INDEX('UA-normalized'!$D:$D, MATCH($A10, 'UA-normalized'!$A:$A, 0))-INDEX('UA-normalized'!$E:$E, MATCH($A10, 'UA-normalized'!$A:$A, 0))), 0), 0))+(IFERROR(IF(23*INDEX('KZ-normalized'!$D:$D, MATCH($A10, 'KZ-normalized'!$A:$A, 0))-INDEX('KZ-normalized'!$E:$E, MATCH($A10, 'KZ-normalized'!$A:$A, 0))&gt;0, -(23*INDEX('KZ-normalized'!$D:$D, MATCH($A10, 'KZ-normalized'!$A:$A, 0))-INDEX('KZ-normalized'!$E:$E, MATCH($A10, 'KZ-normalized'!$A:$A, 0))), 0), 0))+(IFERROR(IF(23*INDEX('UZ-normalized'!$D:$D, MATCH($A10, 'UZ-normalized'!$A:$A, 0))-INDEX('UZ-normalized'!$E:$E, MATCH($A10, 'UZ-normalized'!$A:$A, 0))&gt;0, -(23*INDEX('UZ-normalized'!$D:$D, MATCH($A10, 'UZ-normalized'!$A:$A, 0))-INDEX('UZ-normalized'!$E:$E, MATCH($A10, 'UZ-normalized'!$A:$A, 0))), 0), 0)))</f>
        <v>0</v>
      </c>
      <c r="AL10" s="6">
        <f>MIN(0, N10+(IFERROR(IF(24*INDEX('UA-normalized'!$D:$D, MATCH($A10, 'UA-normalized'!$A:$A, 0))-INDEX('UA-normalized'!$E:$E, MATCH($A10, 'UA-normalized'!$A:$A, 0))&gt;0, -(24*INDEX('UA-normalized'!$D:$D, MATCH($A10, 'UA-normalized'!$A:$A, 0))-INDEX('UA-normalized'!$E:$E, MATCH($A10, 'UA-normalized'!$A:$A, 0))), 0), 0))+(IFERROR(IF(24*INDEX('KZ-normalized'!$D:$D, MATCH($A10, 'KZ-normalized'!$A:$A, 0))-INDEX('KZ-normalized'!$E:$E, MATCH($A10, 'KZ-normalized'!$A:$A, 0))&gt;0, -(24*INDEX('KZ-normalized'!$D:$D, MATCH($A10, 'KZ-normalized'!$A:$A, 0))-INDEX('KZ-normalized'!$E:$E, MATCH($A10, 'KZ-normalized'!$A:$A, 0))), 0), 0))+(IFERROR(IF(24*INDEX('UZ-normalized'!$D:$D, MATCH($A10, 'UZ-normalized'!$A:$A, 0))-INDEX('UZ-normalized'!$E:$E, MATCH($A10, 'UZ-normalized'!$A:$A, 0))&gt;0, -(24*INDEX('UZ-normalized'!$D:$D, MATCH($A10, 'UZ-normalized'!$A:$A, 0))-INDEX('UZ-normalized'!$E:$E, MATCH($A10, 'UZ-normalized'!$A:$A, 0))), 0), 0)))</f>
        <v>0</v>
      </c>
      <c r="AM10" s="6">
        <f>MIN(0, N10+(IFERROR(IF(25*INDEX('UA-normalized'!$D:$D, MATCH($A10, 'UA-normalized'!$A:$A, 0))-INDEX('UA-normalized'!$E:$E, MATCH($A10, 'UA-normalized'!$A:$A, 0))&gt;0, -(25*INDEX('UA-normalized'!$D:$D, MATCH($A10, 'UA-normalized'!$A:$A, 0))-INDEX('UA-normalized'!$E:$E, MATCH($A10, 'UA-normalized'!$A:$A, 0))), 0), 0))+(IFERROR(IF(25*INDEX('KZ-normalized'!$D:$D, MATCH($A10, 'KZ-normalized'!$A:$A, 0))-INDEX('KZ-normalized'!$E:$E, MATCH($A10, 'KZ-normalized'!$A:$A, 0))&gt;0, -(25*INDEX('KZ-normalized'!$D:$D, MATCH($A10, 'KZ-normalized'!$A:$A, 0))-INDEX('KZ-normalized'!$E:$E, MATCH($A10, 'KZ-normalized'!$A:$A, 0))), 0), 0))+(IFERROR(IF(25*INDEX('UZ-normalized'!$D:$D, MATCH($A10, 'UZ-normalized'!$A:$A, 0))-INDEX('UZ-normalized'!$E:$E, MATCH($A10, 'UZ-normalized'!$A:$A, 0))&gt;0, -(25*INDEX('UZ-normalized'!$D:$D, MATCH($A10, 'UZ-normalized'!$A:$A, 0))-INDEX('UZ-normalized'!$E:$E, MATCH($A10, 'UZ-normalized'!$A:$A, 0))), 0), 0)))</f>
        <v>0</v>
      </c>
      <c r="AN10" s="6">
        <f>MIN(0, N10+(IFERROR(IF(26*INDEX('UA-normalized'!$D:$D, MATCH($A10, 'UA-normalized'!$A:$A, 0))-INDEX('UA-normalized'!$E:$E, MATCH($A10, 'UA-normalized'!$A:$A, 0))&gt;0, -(26*INDEX('UA-normalized'!$D:$D, MATCH($A10, 'UA-normalized'!$A:$A, 0))-INDEX('UA-normalized'!$E:$E, MATCH($A10, 'UA-normalized'!$A:$A, 0))), 0), 0))+(IFERROR(IF(26*INDEX('KZ-normalized'!$D:$D, MATCH($A10, 'KZ-normalized'!$A:$A, 0))-INDEX('KZ-normalized'!$E:$E, MATCH($A10, 'KZ-normalized'!$A:$A, 0))&gt;0, -(26*INDEX('KZ-normalized'!$D:$D, MATCH($A10, 'KZ-normalized'!$A:$A, 0))-INDEX('KZ-normalized'!$E:$E, MATCH($A10, 'KZ-normalized'!$A:$A, 0))), 0), 0))+(IFERROR(IF(26*INDEX('UZ-normalized'!$D:$D, MATCH($A10, 'UZ-normalized'!$A:$A, 0))-INDEX('UZ-normalized'!$E:$E, MATCH($A10, 'UZ-normalized'!$A:$A, 0))&gt;0, -(26*INDEX('UZ-normalized'!$D:$D, MATCH($A10, 'UZ-normalized'!$A:$A, 0))-INDEX('UZ-normalized'!$E:$E, MATCH($A10, 'UZ-normalized'!$A:$A, 0))), 0), 0)))</f>
        <v>0</v>
      </c>
      <c r="AO10" s="6">
        <f>MIN(0, N10+(IFERROR(IF(27*INDEX('UA-normalized'!$D:$D, MATCH($A10, 'UA-normalized'!$A:$A, 0))-INDEX('UA-normalized'!$E:$E, MATCH($A10, 'UA-normalized'!$A:$A, 0))&gt;0, -(27*INDEX('UA-normalized'!$D:$D, MATCH($A10, 'UA-normalized'!$A:$A, 0))-INDEX('UA-normalized'!$E:$E, MATCH($A10, 'UA-normalized'!$A:$A, 0))), 0), 0))+(IFERROR(IF(27*INDEX('KZ-normalized'!$D:$D, MATCH($A10, 'KZ-normalized'!$A:$A, 0))-INDEX('KZ-normalized'!$E:$E, MATCH($A10, 'KZ-normalized'!$A:$A, 0))&gt;0, -(27*INDEX('KZ-normalized'!$D:$D, MATCH($A10, 'KZ-normalized'!$A:$A, 0))-INDEX('KZ-normalized'!$E:$E, MATCH($A10, 'KZ-normalized'!$A:$A, 0))), 0), 0))+(IFERROR(IF(27*INDEX('UZ-normalized'!$D:$D, MATCH($A10, 'UZ-normalized'!$A:$A, 0))-INDEX('UZ-normalized'!$E:$E, MATCH($A10, 'UZ-normalized'!$A:$A, 0))&gt;0, -(27*INDEX('UZ-normalized'!$D:$D, MATCH($A10, 'UZ-normalized'!$A:$A, 0))-INDEX('UZ-normalized'!$E:$E, MATCH($A10, 'UZ-normalized'!$A:$A, 0))), 0), 0)))</f>
        <v>0</v>
      </c>
      <c r="AP10" s="6">
        <f>MIN(0, N10+(IFERROR(IF(28*INDEX('UA-normalized'!$D:$D, MATCH($A10, 'UA-normalized'!$A:$A, 0))-INDEX('UA-normalized'!$E:$E, MATCH($A10, 'UA-normalized'!$A:$A, 0))&gt;0, -(28*INDEX('UA-normalized'!$D:$D, MATCH($A10, 'UA-normalized'!$A:$A, 0))-INDEX('UA-normalized'!$E:$E, MATCH($A10, 'UA-normalized'!$A:$A, 0))), 0), 0))+(IFERROR(IF(28*INDEX('KZ-normalized'!$D:$D, MATCH($A10, 'KZ-normalized'!$A:$A, 0))-INDEX('KZ-normalized'!$E:$E, MATCH($A10, 'KZ-normalized'!$A:$A, 0))&gt;0, -(28*INDEX('KZ-normalized'!$D:$D, MATCH($A10, 'KZ-normalized'!$A:$A, 0))-INDEX('KZ-normalized'!$E:$E, MATCH($A10, 'KZ-normalized'!$A:$A, 0))), 0), 0))+(IFERROR(IF(28*INDEX('UZ-normalized'!$D:$D, MATCH($A10, 'UZ-normalized'!$A:$A, 0))-INDEX('UZ-normalized'!$E:$E, MATCH($A10, 'UZ-normalized'!$A:$A, 0))&gt;0, -(28*INDEX('UZ-normalized'!$D:$D, MATCH($A10, 'UZ-normalized'!$A:$A, 0))-INDEX('UZ-normalized'!$E:$E, MATCH($A10, 'UZ-normalized'!$A:$A, 0))), 0), 0)))</f>
        <v>0</v>
      </c>
      <c r="AQ10" s="6">
        <f>MIN(0, N10+(IFERROR(IF(29*INDEX('UA-normalized'!$D:$D, MATCH($A10, 'UA-normalized'!$A:$A, 0))-INDEX('UA-normalized'!$E:$E, MATCH($A10, 'UA-normalized'!$A:$A, 0))&gt;0, -(29*INDEX('UA-normalized'!$D:$D, MATCH($A10, 'UA-normalized'!$A:$A, 0))-INDEX('UA-normalized'!$E:$E, MATCH($A10, 'UA-normalized'!$A:$A, 0))), 0), 0))+(IFERROR(IF(29*INDEX('KZ-normalized'!$D:$D, MATCH($A10, 'KZ-normalized'!$A:$A, 0))-INDEX('KZ-normalized'!$E:$E, MATCH($A10, 'KZ-normalized'!$A:$A, 0))&gt;0, -(29*INDEX('KZ-normalized'!$D:$D, MATCH($A10, 'KZ-normalized'!$A:$A, 0))-INDEX('KZ-normalized'!$E:$E, MATCH($A10, 'KZ-normalized'!$A:$A, 0))), 0), 0))+(IFERROR(IF(29*INDEX('UZ-normalized'!$D:$D, MATCH($A10, 'UZ-normalized'!$A:$A, 0))-INDEX('UZ-normalized'!$E:$E, MATCH($A10, 'UZ-normalized'!$A:$A, 0))&gt;0, -(29*INDEX('UZ-normalized'!$D:$D, MATCH($A10, 'UZ-normalized'!$A:$A, 0))-INDEX('UZ-normalized'!$E:$E, MATCH($A10, 'UZ-normalized'!$A:$A, 0))), 0), 0)))</f>
        <v>0</v>
      </c>
      <c r="AR10" s="6">
        <f>MIN(0, N10+(IFERROR(IF(30*INDEX('UA-normalized'!$D:$D, MATCH($A10, 'UA-normalized'!$A:$A, 0))-INDEX('UA-normalized'!$E:$E, MATCH($A10, 'UA-normalized'!$A:$A, 0))&gt;0, -(30*INDEX('UA-normalized'!$D:$D, MATCH($A10, 'UA-normalized'!$A:$A, 0))-INDEX('UA-normalized'!$E:$E, MATCH($A10, 'UA-normalized'!$A:$A, 0))), 0), 0))+(IFERROR(IF(30*INDEX('KZ-normalized'!$D:$D, MATCH($A10, 'KZ-normalized'!$A:$A, 0))-INDEX('KZ-normalized'!$E:$E, MATCH($A10, 'KZ-normalized'!$A:$A, 0))&gt;0, -(30*INDEX('KZ-normalized'!$D:$D, MATCH($A10, 'KZ-normalized'!$A:$A, 0))-INDEX('KZ-normalized'!$E:$E, MATCH($A10, 'KZ-normalized'!$A:$A, 0))), 0), 0))+(IFERROR(IF(30*INDEX('UZ-normalized'!$D:$D, MATCH($A10, 'UZ-normalized'!$A:$A, 0))-INDEX('UZ-normalized'!$E:$E, MATCH($A10, 'UZ-normalized'!$A:$A, 0))&gt;0, -(30*INDEX('UZ-normalized'!$D:$D, MATCH($A10, 'UZ-normalized'!$A:$A, 0))-INDEX('UZ-normalized'!$E:$E, MATCH($A10, 'UZ-normalized'!$A:$A, 0))), 0), 0)))</f>
        <v>0</v>
      </c>
    </row>
    <row r="11" spans="1:44" x14ac:dyDescent="0.25">
      <c r="A11" s="8" t="s">
        <v>66</v>
      </c>
      <c r="B11" s="8" t="s">
        <v>45</v>
      </c>
      <c r="C11" s="8" t="s">
        <v>60</v>
      </c>
      <c r="D11" s="8" t="s">
        <v>67</v>
      </c>
      <c r="E11">
        <v>3275.5</v>
      </c>
      <c r="J11">
        <v>1175</v>
      </c>
      <c r="N11">
        <f t="shared" si="0"/>
        <v>4450.5</v>
      </c>
      <c r="O11" s="6">
        <f>MIN(0, N11+(IFERROR(IF(1*INDEX('UA-normalized'!$D:$D, MATCH($A11, 'UA-normalized'!$A:$A, 0))-INDEX('UA-normalized'!$E:$E, MATCH($A11, 'UA-normalized'!$A:$A, 0))&gt;0, -(1*INDEX('UA-normalized'!$D:$D, MATCH($A11, 'UA-normalized'!$A:$A, 0))-INDEX('UA-normalized'!$E:$E, MATCH($A11, 'UA-normalized'!$A:$A, 0))), 0), 0))+(IFERROR(IF(1*INDEX('KZ-normalized'!$D:$D, MATCH($A11, 'KZ-normalized'!$A:$A, 0))-INDEX('KZ-normalized'!$E:$E, MATCH($A11, 'KZ-normalized'!$A:$A, 0))&gt;0, -(1*INDEX('KZ-normalized'!$D:$D, MATCH($A11, 'KZ-normalized'!$A:$A, 0))-INDEX('KZ-normalized'!$E:$E, MATCH($A11, 'KZ-normalized'!$A:$A, 0))), 0), 0))+(IFERROR(IF(1*INDEX('UZ-normalized'!$D:$D, MATCH($A11, 'UZ-normalized'!$A:$A, 0))-INDEX('UZ-normalized'!$E:$E, MATCH($A11, 'UZ-normalized'!$A:$A, 0))&gt;0, -(1*INDEX('UZ-normalized'!$D:$D, MATCH($A11, 'UZ-normalized'!$A:$A, 0))-INDEX('UZ-normalized'!$E:$E, MATCH($A11, 'UZ-normalized'!$A:$A, 0))), 0), 0)))</f>
        <v>0</v>
      </c>
      <c r="P11" s="6">
        <f>MIN(0, N11+(IFERROR(IF(2*INDEX('UA-normalized'!$D:$D, MATCH($A11, 'UA-normalized'!$A:$A, 0))-INDEX('UA-normalized'!$E:$E, MATCH($A11, 'UA-normalized'!$A:$A, 0))&gt;0, -(2*INDEX('UA-normalized'!$D:$D, MATCH($A11, 'UA-normalized'!$A:$A, 0))-INDEX('UA-normalized'!$E:$E, MATCH($A11, 'UA-normalized'!$A:$A, 0))), 0), 0))+(IFERROR(IF(2*INDEX('KZ-normalized'!$D:$D, MATCH($A11, 'KZ-normalized'!$A:$A, 0))-INDEX('KZ-normalized'!$E:$E, MATCH($A11, 'KZ-normalized'!$A:$A, 0))&gt;0, -(2*INDEX('KZ-normalized'!$D:$D, MATCH($A11, 'KZ-normalized'!$A:$A, 0))-INDEX('KZ-normalized'!$E:$E, MATCH($A11, 'KZ-normalized'!$A:$A, 0))), 0), 0))+(IFERROR(IF(2*INDEX('UZ-normalized'!$D:$D, MATCH($A11, 'UZ-normalized'!$A:$A, 0))-INDEX('UZ-normalized'!$E:$E, MATCH($A11, 'UZ-normalized'!$A:$A, 0))&gt;0, -(2*INDEX('UZ-normalized'!$D:$D, MATCH($A11, 'UZ-normalized'!$A:$A, 0))-INDEX('UZ-normalized'!$E:$E, MATCH($A11, 'UZ-normalized'!$A:$A, 0))), 0), 0)))</f>
        <v>0</v>
      </c>
      <c r="Q11" s="6">
        <f>MIN(0, N11+(IFERROR(IF(3*INDEX('UA-normalized'!$D:$D, MATCH($A11, 'UA-normalized'!$A:$A, 0))-INDEX('UA-normalized'!$E:$E, MATCH($A11, 'UA-normalized'!$A:$A, 0))&gt;0, -(3*INDEX('UA-normalized'!$D:$D, MATCH($A11, 'UA-normalized'!$A:$A, 0))-INDEX('UA-normalized'!$E:$E, MATCH($A11, 'UA-normalized'!$A:$A, 0))), 0), 0))+(IFERROR(IF(3*INDEX('KZ-normalized'!$D:$D, MATCH($A11, 'KZ-normalized'!$A:$A, 0))-INDEX('KZ-normalized'!$E:$E, MATCH($A11, 'KZ-normalized'!$A:$A, 0))&gt;0, -(3*INDEX('KZ-normalized'!$D:$D, MATCH($A11, 'KZ-normalized'!$A:$A, 0))-INDEX('KZ-normalized'!$E:$E, MATCH($A11, 'KZ-normalized'!$A:$A, 0))), 0), 0))+(IFERROR(IF(3*INDEX('UZ-normalized'!$D:$D, MATCH($A11, 'UZ-normalized'!$A:$A, 0))-INDEX('UZ-normalized'!$E:$E, MATCH($A11, 'UZ-normalized'!$A:$A, 0))&gt;0, -(3*INDEX('UZ-normalized'!$D:$D, MATCH($A11, 'UZ-normalized'!$A:$A, 0))-INDEX('UZ-normalized'!$E:$E, MATCH($A11, 'UZ-normalized'!$A:$A, 0))), 0), 0)))</f>
        <v>0</v>
      </c>
      <c r="R11" s="6">
        <f>MIN(0, N11+(IFERROR(IF(4*INDEX('UA-normalized'!$D:$D, MATCH($A11, 'UA-normalized'!$A:$A, 0))-INDEX('UA-normalized'!$E:$E, MATCH($A11, 'UA-normalized'!$A:$A, 0))&gt;0, -(4*INDEX('UA-normalized'!$D:$D, MATCH($A11, 'UA-normalized'!$A:$A, 0))-INDEX('UA-normalized'!$E:$E, MATCH($A11, 'UA-normalized'!$A:$A, 0))), 0), 0))+(IFERROR(IF(4*INDEX('KZ-normalized'!$D:$D, MATCH($A11, 'KZ-normalized'!$A:$A, 0))-INDEX('KZ-normalized'!$E:$E, MATCH($A11, 'KZ-normalized'!$A:$A, 0))&gt;0, -(4*INDEX('KZ-normalized'!$D:$D, MATCH($A11, 'KZ-normalized'!$A:$A, 0))-INDEX('KZ-normalized'!$E:$E, MATCH($A11, 'KZ-normalized'!$A:$A, 0))), 0), 0))+(IFERROR(IF(4*INDEX('UZ-normalized'!$D:$D, MATCH($A11, 'UZ-normalized'!$A:$A, 0))-INDEX('UZ-normalized'!$E:$E, MATCH($A11, 'UZ-normalized'!$A:$A, 0))&gt;0, -(4*INDEX('UZ-normalized'!$D:$D, MATCH($A11, 'UZ-normalized'!$A:$A, 0))-INDEX('UZ-normalized'!$E:$E, MATCH($A11, 'UZ-normalized'!$A:$A, 0))), 0), 0)))</f>
        <v>0</v>
      </c>
      <c r="S11" s="6">
        <f>MIN(0, N11+(IFERROR(IF(5*INDEX('UA-normalized'!$D:$D, MATCH($A11, 'UA-normalized'!$A:$A, 0))-INDEX('UA-normalized'!$E:$E, MATCH($A11, 'UA-normalized'!$A:$A, 0))&gt;0, -(5*INDEX('UA-normalized'!$D:$D, MATCH($A11, 'UA-normalized'!$A:$A, 0))-INDEX('UA-normalized'!$E:$E, MATCH($A11, 'UA-normalized'!$A:$A, 0))), 0), 0))+(IFERROR(IF(5*INDEX('KZ-normalized'!$D:$D, MATCH($A11, 'KZ-normalized'!$A:$A, 0))-INDEX('KZ-normalized'!$E:$E, MATCH($A11, 'KZ-normalized'!$A:$A, 0))&gt;0, -(5*INDEX('KZ-normalized'!$D:$D, MATCH($A11, 'KZ-normalized'!$A:$A, 0))-INDEX('KZ-normalized'!$E:$E, MATCH($A11, 'KZ-normalized'!$A:$A, 0))), 0), 0))+(IFERROR(IF(5*INDEX('UZ-normalized'!$D:$D, MATCH($A11, 'UZ-normalized'!$A:$A, 0))-INDEX('UZ-normalized'!$E:$E, MATCH($A11, 'UZ-normalized'!$A:$A, 0))&gt;0, -(5*INDEX('UZ-normalized'!$D:$D, MATCH($A11, 'UZ-normalized'!$A:$A, 0))-INDEX('UZ-normalized'!$E:$E, MATCH($A11, 'UZ-normalized'!$A:$A, 0))), 0), 0)))</f>
        <v>0</v>
      </c>
      <c r="T11" s="6">
        <f>MIN(0, N11+(IFERROR(IF(6*INDEX('UA-normalized'!$D:$D, MATCH($A11, 'UA-normalized'!$A:$A, 0))-INDEX('UA-normalized'!$E:$E, MATCH($A11, 'UA-normalized'!$A:$A, 0))&gt;0, -(6*INDEX('UA-normalized'!$D:$D, MATCH($A11, 'UA-normalized'!$A:$A, 0))-INDEX('UA-normalized'!$E:$E, MATCH($A11, 'UA-normalized'!$A:$A, 0))), 0), 0))+(IFERROR(IF(6*INDEX('KZ-normalized'!$D:$D, MATCH($A11, 'KZ-normalized'!$A:$A, 0))-INDEX('KZ-normalized'!$E:$E, MATCH($A11, 'KZ-normalized'!$A:$A, 0))&gt;0, -(6*INDEX('KZ-normalized'!$D:$D, MATCH($A11, 'KZ-normalized'!$A:$A, 0))-INDEX('KZ-normalized'!$E:$E, MATCH($A11, 'KZ-normalized'!$A:$A, 0))), 0), 0))+(IFERROR(IF(6*INDEX('UZ-normalized'!$D:$D, MATCH($A11, 'UZ-normalized'!$A:$A, 0))-INDEX('UZ-normalized'!$E:$E, MATCH($A11, 'UZ-normalized'!$A:$A, 0))&gt;0, -(6*INDEX('UZ-normalized'!$D:$D, MATCH($A11, 'UZ-normalized'!$A:$A, 0))-INDEX('UZ-normalized'!$E:$E, MATCH($A11, 'UZ-normalized'!$A:$A, 0))), 0), 0)))</f>
        <v>0</v>
      </c>
      <c r="U11" s="6">
        <f>MIN(0, N11+(IFERROR(IF(7*INDEX('UA-normalized'!$D:$D, MATCH($A11, 'UA-normalized'!$A:$A, 0))-INDEX('UA-normalized'!$E:$E, MATCH($A11, 'UA-normalized'!$A:$A, 0))&gt;0, -(7*INDEX('UA-normalized'!$D:$D, MATCH($A11, 'UA-normalized'!$A:$A, 0))-INDEX('UA-normalized'!$E:$E, MATCH($A11, 'UA-normalized'!$A:$A, 0))), 0), 0))+(IFERROR(IF(7*INDEX('KZ-normalized'!$D:$D, MATCH($A11, 'KZ-normalized'!$A:$A, 0))-INDEX('KZ-normalized'!$E:$E, MATCH($A11, 'KZ-normalized'!$A:$A, 0))&gt;0, -(7*INDEX('KZ-normalized'!$D:$D, MATCH($A11, 'KZ-normalized'!$A:$A, 0))-INDEX('KZ-normalized'!$E:$E, MATCH($A11, 'KZ-normalized'!$A:$A, 0))), 0), 0))+(IFERROR(IF(7*INDEX('UZ-normalized'!$D:$D, MATCH($A11, 'UZ-normalized'!$A:$A, 0))-INDEX('UZ-normalized'!$E:$E, MATCH($A11, 'UZ-normalized'!$A:$A, 0))&gt;0, -(7*INDEX('UZ-normalized'!$D:$D, MATCH($A11, 'UZ-normalized'!$A:$A, 0))-INDEX('UZ-normalized'!$E:$E, MATCH($A11, 'UZ-normalized'!$A:$A, 0))), 0), 0)))</f>
        <v>0</v>
      </c>
      <c r="V11" s="6">
        <f>MIN(0, N11+(IFERROR(IF(8*INDEX('UA-normalized'!$D:$D, MATCH($A11, 'UA-normalized'!$A:$A, 0))-INDEX('UA-normalized'!$E:$E, MATCH($A11, 'UA-normalized'!$A:$A, 0))&gt;0, -(8*INDEX('UA-normalized'!$D:$D, MATCH($A11, 'UA-normalized'!$A:$A, 0))-INDEX('UA-normalized'!$E:$E, MATCH($A11, 'UA-normalized'!$A:$A, 0))), 0), 0))+(IFERROR(IF(8*INDEX('KZ-normalized'!$D:$D, MATCH($A11, 'KZ-normalized'!$A:$A, 0))-INDEX('KZ-normalized'!$E:$E, MATCH($A11, 'KZ-normalized'!$A:$A, 0))&gt;0, -(8*INDEX('KZ-normalized'!$D:$D, MATCH($A11, 'KZ-normalized'!$A:$A, 0))-INDEX('KZ-normalized'!$E:$E, MATCH($A11, 'KZ-normalized'!$A:$A, 0))), 0), 0))+(IFERROR(IF(8*INDEX('UZ-normalized'!$D:$D, MATCH($A11, 'UZ-normalized'!$A:$A, 0))-INDEX('UZ-normalized'!$E:$E, MATCH($A11, 'UZ-normalized'!$A:$A, 0))&gt;0, -(8*INDEX('UZ-normalized'!$D:$D, MATCH($A11, 'UZ-normalized'!$A:$A, 0))-INDEX('UZ-normalized'!$E:$E, MATCH($A11, 'UZ-normalized'!$A:$A, 0))), 0), 0)))</f>
        <v>0</v>
      </c>
      <c r="W11" s="6">
        <f>MIN(0, N11+(IFERROR(IF(9*INDEX('UA-normalized'!$D:$D, MATCH($A11, 'UA-normalized'!$A:$A, 0))-INDEX('UA-normalized'!$E:$E, MATCH($A11, 'UA-normalized'!$A:$A, 0))&gt;0, -(9*INDEX('UA-normalized'!$D:$D, MATCH($A11, 'UA-normalized'!$A:$A, 0))-INDEX('UA-normalized'!$E:$E, MATCH($A11, 'UA-normalized'!$A:$A, 0))), 0), 0))+(IFERROR(IF(9*INDEX('KZ-normalized'!$D:$D, MATCH($A11, 'KZ-normalized'!$A:$A, 0))-INDEX('KZ-normalized'!$E:$E, MATCH($A11, 'KZ-normalized'!$A:$A, 0))&gt;0, -(9*INDEX('KZ-normalized'!$D:$D, MATCH($A11, 'KZ-normalized'!$A:$A, 0))-INDEX('KZ-normalized'!$E:$E, MATCH($A11, 'KZ-normalized'!$A:$A, 0))), 0), 0))+(IFERROR(IF(9*INDEX('UZ-normalized'!$D:$D, MATCH($A11, 'UZ-normalized'!$A:$A, 0))-INDEX('UZ-normalized'!$E:$E, MATCH($A11, 'UZ-normalized'!$A:$A, 0))&gt;0, -(9*INDEX('UZ-normalized'!$D:$D, MATCH($A11, 'UZ-normalized'!$A:$A, 0))-INDEX('UZ-normalized'!$E:$E, MATCH($A11, 'UZ-normalized'!$A:$A, 0))), 0), 0)))</f>
        <v>0</v>
      </c>
      <c r="X11" s="6">
        <f>MIN(0, N11+(IFERROR(IF(10*INDEX('UA-normalized'!$D:$D, MATCH($A11, 'UA-normalized'!$A:$A, 0))-INDEX('UA-normalized'!$E:$E, MATCH($A11, 'UA-normalized'!$A:$A, 0))&gt;0, -(10*INDEX('UA-normalized'!$D:$D, MATCH($A11, 'UA-normalized'!$A:$A, 0))-INDEX('UA-normalized'!$E:$E, MATCH($A11, 'UA-normalized'!$A:$A, 0))), 0), 0))+(IFERROR(IF(10*INDEX('KZ-normalized'!$D:$D, MATCH($A11, 'KZ-normalized'!$A:$A, 0))-INDEX('KZ-normalized'!$E:$E, MATCH($A11, 'KZ-normalized'!$A:$A, 0))&gt;0, -(10*INDEX('KZ-normalized'!$D:$D, MATCH($A11, 'KZ-normalized'!$A:$A, 0))-INDEX('KZ-normalized'!$E:$E, MATCH($A11, 'KZ-normalized'!$A:$A, 0))), 0), 0))+(IFERROR(IF(10*INDEX('UZ-normalized'!$D:$D, MATCH($A11, 'UZ-normalized'!$A:$A, 0))-INDEX('UZ-normalized'!$E:$E, MATCH($A11, 'UZ-normalized'!$A:$A, 0))&gt;0, -(10*INDEX('UZ-normalized'!$D:$D, MATCH($A11, 'UZ-normalized'!$A:$A, 0))-INDEX('UZ-normalized'!$E:$E, MATCH($A11, 'UZ-normalized'!$A:$A, 0))), 0), 0)))</f>
        <v>0</v>
      </c>
      <c r="Y11" s="6">
        <f>MIN(0, N11+(IFERROR(IF(11*INDEX('UA-normalized'!$D:$D, MATCH($A11, 'UA-normalized'!$A:$A, 0))-INDEX('UA-normalized'!$E:$E, MATCH($A11, 'UA-normalized'!$A:$A, 0))&gt;0, -(11*INDEX('UA-normalized'!$D:$D, MATCH($A11, 'UA-normalized'!$A:$A, 0))-INDEX('UA-normalized'!$E:$E, MATCH($A11, 'UA-normalized'!$A:$A, 0))), 0), 0))+(IFERROR(IF(11*INDEX('KZ-normalized'!$D:$D, MATCH($A11, 'KZ-normalized'!$A:$A, 0))-INDEX('KZ-normalized'!$E:$E, MATCH($A11, 'KZ-normalized'!$A:$A, 0))&gt;0, -(11*INDEX('KZ-normalized'!$D:$D, MATCH($A11, 'KZ-normalized'!$A:$A, 0))-INDEX('KZ-normalized'!$E:$E, MATCH($A11, 'KZ-normalized'!$A:$A, 0))), 0), 0))+(IFERROR(IF(11*INDEX('UZ-normalized'!$D:$D, MATCH($A11, 'UZ-normalized'!$A:$A, 0))-INDEX('UZ-normalized'!$E:$E, MATCH($A11, 'UZ-normalized'!$A:$A, 0))&gt;0, -(11*INDEX('UZ-normalized'!$D:$D, MATCH($A11, 'UZ-normalized'!$A:$A, 0))-INDEX('UZ-normalized'!$E:$E, MATCH($A11, 'UZ-normalized'!$A:$A, 0))), 0), 0)))</f>
        <v>0</v>
      </c>
      <c r="Z11" s="6">
        <f>MIN(0, N11+(IFERROR(IF(12*INDEX('UA-normalized'!$D:$D, MATCH($A11, 'UA-normalized'!$A:$A, 0))-INDEX('UA-normalized'!$E:$E, MATCH($A11, 'UA-normalized'!$A:$A, 0))&gt;0, -(12*INDEX('UA-normalized'!$D:$D, MATCH($A11, 'UA-normalized'!$A:$A, 0))-INDEX('UA-normalized'!$E:$E, MATCH($A11, 'UA-normalized'!$A:$A, 0))), 0), 0))+(IFERROR(IF(12*INDEX('KZ-normalized'!$D:$D, MATCH($A11, 'KZ-normalized'!$A:$A, 0))-INDEX('KZ-normalized'!$E:$E, MATCH($A11, 'KZ-normalized'!$A:$A, 0))&gt;0, -(12*INDEX('KZ-normalized'!$D:$D, MATCH($A11, 'KZ-normalized'!$A:$A, 0))-INDEX('KZ-normalized'!$E:$E, MATCH($A11, 'KZ-normalized'!$A:$A, 0))), 0), 0))+(IFERROR(IF(12*INDEX('UZ-normalized'!$D:$D, MATCH($A11, 'UZ-normalized'!$A:$A, 0))-INDEX('UZ-normalized'!$E:$E, MATCH($A11, 'UZ-normalized'!$A:$A, 0))&gt;0, -(12*INDEX('UZ-normalized'!$D:$D, MATCH($A11, 'UZ-normalized'!$A:$A, 0))-INDEX('UZ-normalized'!$E:$E, MATCH($A11, 'UZ-normalized'!$A:$A, 0))), 0), 0)))</f>
        <v>-121.89999999999964</v>
      </c>
      <c r="AA11" s="6">
        <f>MIN(0, N11+(IFERROR(IF(13*INDEX('UA-normalized'!$D:$D, MATCH($A11, 'UA-normalized'!$A:$A, 0))-INDEX('UA-normalized'!$E:$E, MATCH($A11, 'UA-normalized'!$A:$A, 0))&gt;0, -(13*INDEX('UA-normalized'!$D:$D, MATCH($A11, 'UA-normalized'!$A:$A, 0))-INDEX('UA-normalized'!$E:$E, MATCH($A11, 'UA-normalized'!$A:$A, 0))), 0), 0))+(IFERROR(IF(13*INDEX('KZ-normalized'!$D:$D, MATCH($A11, 'KZ-normalized'!$A:$A, 0))-INDEX('KZ-normalized'!$E:$E, MATCH($A11, 'KZ-normalized'!$A:$A, 0))&gt;0, -(13*INDEX('KZ-normalized'!$D:$D, MATCH($A11, 'KZ-normalized'!$A:$A, 0))-INDEX('KZ-normalized'!$E:$E, MATCH($A11, 'KZ-normalized'!$A:$A, 0))), 0), 0))+(IFERROR(IF(13*INDEX('UZ-normalized'!$D:$D, MATCH($A11, 'UZ-normalized'!$A:$A, 0))-INDEX('UZ-normalized'!$E:$E, MATCH($A11, 'UZ-normalized'!$A:$A, 0))&gt;0, -(13*INDEX('UZ-normalized'!$D:$D, MATCH($A11, 'UZ-normalized'!$A:$A, 0))-INDEX('UZ-normalized'!$E:$E, MATCH($A11, 'UZ-normalized'!$A:$A, 0))), 0), 0)))</f>
        <v>-644.10000000000036</v>
      </c>
      <c r="AB11" s="6">
        <f>MIN(0, N11+(IFERROR(IF(14*INDEX('UA-normalized'!$D:$D, MATCH($A11, 'UA-normalized'!$A:$A, 0))-INDEX('UA-normalized'!$E:$E, MATCH($A11, 'UA-normalized'!$A:$A, 0))&gt;0, -(14*INDEX('UA-normalized'!$D:$D, MATCH($A11, 'UA-normalized'!$A:$A, 0))-INDEX('UA-normalized'!$E:$E, MATCH($A11, 'UA-normalized'!$A:$A, 0))), 0), 0))+(IFERROR(IF(14*INDEX('KZ-normalized'!$D:$D, MATCH($A11, 'KZ-normalized'!$A:$A, 0))-INDEX('KZ-normalized'!$E:$E, MATCH($A11, 'KZ-normalized'!$A:$A, 0))&gt;0, -(14*INDEX('KZ-normalized'!$D:$D, MATCH($A11, 'KZ-normalized'!$A:$A, 0))-INDEX('KZ-normalized'!$E:$E, MATCH($A11, 'KZ-normalized'!$A:$A, 0))), 0), 0))+(IFERROR(IF(14*INDEX('UZ-normalized'!$D:$D, MATCH($A11, 'UZ-normalized'!$A:$A, 0))-INDEX('UZ-normalized'!$E:$E, MATCH($A11, 'UZ-normalized'!$A:$A, 0))&gt;0, -(14*INDEX('UZ-normalized'!$D:$D, MATCH($A11, 'UZ-normalized'!$A:$A, 0))-INDEX('UZ-normalized'!$E:$E, MATCH($A11, 'UZ-normalized'!$A:$A, 0))), 0), 0)))</f>
        <v>-1166.3000000000002</v>
      </c>
      <c r="AC11" s="6">
        <f>MIN(0, N11+(IFERROR(IF(15*INDEX('UA-normalized'!$D:$D, MATCH($A11, 'UA-normalized'!$A:$A, 0))-INDEX('UA-normalized'!$E:$E, MATCH($A11, 'UA-normalized'!$A:$A, 0))&gt;0, -(15*INDEX('UA-normalized'!$D:$D, MATCH($A11, 'UA-normalized'!$A:$A, 0))-INDEX('UA-normalized'!$E:$E, MATCH($A11, 'UA-normalized'!$A:$A, 0))), 0), 0))+(IFERROR(IF(15*INDEX('KZ-normalized'!$D:$D, MATCH($A11, 'KZ-normalized'!$A:$A, 0))-INDEX('KZ-normalized'!$E:$E, MATCH($A11, 'KZ-normalized'!$A:$A, 0))&gt;0, -(15*INDEX('KZ-normalized'!$D:$D, MATCH($A11, 'KZ-normalized'!$A:$A, 0))-INDEX('KZ-normalized'!$E:$E, MATCH($A11, 'KZ-normalized'!$A:$A, 0))), 0), 0))+(IFERROR(IF(15*INDEX('UZ-normalized'!$D:$D, MATCH($A11, 'UZ-normalized'!$A:$A, 0))-INDEX('UZ-normalized'!$E:$E, MATCH($A11, 'UZ-normalized'!$A:$A, 0))&gt;0, -(15*INDEX('UZ-normalized'!$D:$D, MATCH($A11, 'UZ-normalized'!$A:$A, 0))-INDEX('UZ-normalized'!$E:$E, MATCH($A11, 'UZ-normalized'!$A:$A, 0))), 0), 0)))</f>
        <v>-1688.5</v>
      </c>
      <c r="AD11" s="6">
        <f>MIN(0, N11+(IFERROR(IF(16*INDEX('UA-normalized'!$D:$D, MATCH($A11, 'UA-normalized'!$A:$A, 0))-INDEX('UA-normalized'!$E:$E, MATCH($A11, 'UA-normalized'!$A:$A, 0))&gt;0, -(16*INDEX('UA-normalized'!$D:$D, MATCH($A11, 'UA-normalized'!$A:$A, 0))-INDEX('UA-normalized'!$E:$E, MATCH($A11, 'UA-normalized'!$A:$A, 0))), 0), 0))+(IFERROR(IF(16*INDEX('KZ-normalized'!$D:$D, MATCH($A11, 'KZ-normalized'!$A:$A, 0))-INDEX('KZ-normalized'!$E:$E, MATCH($A11, 'KZ-normalized'!$A:$A, 0))&gt;0, -(16*INDEX('KZ-normalized'!$D:$D, MATCH($A11, 'KZ-normalized'!$A:$A, 0))-INDEX('KZ-normalized'!$E:$E, MATCH($A11, 'KZ-normalized'!$A:$A, 0))), 0), 0))+(IFERROR(IF(16*INDEX('UZ-normalized'!$D:$D, MATCH($A11, 'UZ-normalized'!$A:$A, 0))-INDEX('UZ-normalized'!$E:$E, MATCH($A11, 'UZ-normalized'!$A:$A, 0))&gt;0, -(16*INDEX('UZ-normalized'!$D:$D, MATCH($A11, 'UZ-normalized'!$A:$A, 0))-INDEX('UZ-normalized'!$E:$E, MATCH($A11, 'UZ-normalized'!$A:$A, 0))), 0), 0)))</f>
        <v>-2210.6999999999998</v>
      </c>
      <c r="AE11" s="6">
        <f>MIN(0, N11+(IFERROR(IF(17*INDEX('UA-normalized'!$D:$D, MATCH($A11, 'UA-normalized'!$A:$A, 0))-INDEX('UA-normalized'!$E:$E, MATCH($A11, 'UA-normalized'!$A:$A, 0))&gt;0, -(17*INDEX('UA-normalized'!$D:$D, MATCH($A11, 'UA-normalized'!$A:$A, 0))-INDEX('UA-normalized'!$E:$E, MATCH($A11, 'UA-normalized'!$A:$A, 0))), 0), 0))+(IFERROR(IF(17*INDEX('KZ-normalized'!$D:$D, MATCH($A11, 'KZ-normalized'!$A:$A, 0))-INDEX('KZ-normalized'!$E:$E, MATCH($A11, 'KZ-normalized'!$A:$A, 0))&gt;0, -(17*INDEX('KZ-normalized'!$D:$D, MATCH($A11, 'KZ-normalized'!$A:$A, 0))-INDEX('KZ-normalized'!$E:$E, MATCH($A11, 'KZ-normalized'!$A:$A, 0))), 0), 0))+(IFERROR(IF(17*INDEX('UZ-normalized'!$D:$D, MATCH($A11, 'UZ-normalized'!$A:$A, 0))-INDEX('UZ-normalized'!$E:$E, MATCH($A11, 'UZ-normalized'!$A:$A, 0))&gt;0, -(17*INDEX('UZ-normalized'!$D:$D, MATCH($A11, 'UZ-normalized'!$A:$A, 0))-INDEX('UZ-normalized'!$E:$E, MATCH($A11, 'UZ-normalized'!$A:$A, 0))), 0), 0)))</f>
        <v>-2732.8999999999996</v>
      </c>
      <c r="AF11" s="6">
        <f>MIN(0, N11+(IFERROR(IF(18*INDEX('UA-normalized'!$D:$D, MATCH($A11, 'UA-normalized'!$A:$A, 0))-INDEX('UA-normalized'!$E:$E, MATCH($A11, 'UA-normalized'!$A:$A, 0))&gt;0, -(18*INDEX('UA-normalized'!$D:$D, MATCH($A11, 'UA-normalized'!$A:$A, 0))-INDEX('UA-normalized'!$E:$E, MATCH($A11, 'UA-normalized'!$A:$A, 0))), 0), 0))+(IFERROR(IF(18*INDEX('KZ-normalized'!$D:$D, MATCH($A11, 'KZ-normalized'!$A:$A, 0))-INDEX('KZ-normalized'!$E:$E, MATCH($A11, 'KZ-normalized'!$A:$A, 0))&gt;0, -(18*INDEX('KZ-normalized'!$D:$D, MATCH($A11, 'KZ-normalized'!$A:$A, 0))-INDEX('KZ-normalized'!$E:$E, MATCH($A11, 'KZ-normalized'!$A:$A, 0))), 0), 0))+(IFERROR(IF(18*INDEX('UZ-normalized'!$D:$D, MATCH($A11, 'UZ-normalized'!$A:$A, 0))-INDEX('UZ-normalized'!$E:$E, MATCH($A11, 'UZ-normalized'!$A:$A, 0))&gt;0, -(18*INDEX('UZ-normalized'!$D:$D, MATCH($A11, 'UZ-normalized'!$A:$A, 0))-INDEX('UZ-normalized'!$E:$E, MATCH($A11, 'UZ-normalized'!$A:$A, 0))), 0), 0)))</f>
        <v>-3255.1000000000004</v>
      </c>
      <c r="AG11" s="6">
        <f>MIN(0, N11+(IFERROR(IF(19*INDEX('UA-normalized'!$D:$D, MATCH($A11, 'UA-normalized'!$A:$A, 0))-INDEX('UA-normalized'!$E:$E, MATCH($A11, 'UA-normalized'!$A:$A, 0))&gt;0, -(19*INDEX('UA-normalized'!$D:$D, MATCH($A11, 'UA-normalized'!$A:$A, 0))-INDEX('UA-normalized'!$E:$E, MATCH($A11, 'UA-normalized'!$A:$A, 0))), 0), 0))+(IFERROR(IF(19*INDEX('KZ-normalized'!$D:$D, MATCH($A11, 'KZ-normalized'!$A:$A, 0))-INDEX('KZ-normalized'!$E:$E, MATCH($A11, 'KZ-normalized'!$A:$A, 0))&gt;0, -(19*INDEX('KZ-normalized'!$D:$D, MATCH($A11, 'KZ-normalized'!$A:$A, 0))-INDEX('KZ-normalized'!$E:$E, MATCH($A11, 'KZ-normalized'!$A:$A, 0))), 0), 0))+(IFERROR(IF(19*INDEX('UZ-normalized'!$D:$D, MATCH($A11, 'UZ-normalized'!$A:$A, 0))-INDEX('UZ-normalized'!$E:$E, MATCH($A11, 'UZ-normalized'!$A:$A, 0))&gt;0, -(19*INDEX('UZ-normalized'!$D:$D, MATCH($A11, 'UZ-normalized'!$A:$A, 0))-INDEX('UZ-normalized'!$E:$E, MATCH($A11, 'UZ-normalized'!$A:$A, 0))), 0), 0)))</f>
        <v>-3777.3</v>
      </c>
      <c r="AH11" s="6">
        <f>MIN(0, N11+(IFERROR(IF(20*INDEX('UA-normalized'!$D:$D, MATCH($A11, 'UA-normalized'!$A:$A, 0))-INDEX('UA-normalized'!$E:$E, MATCH($A11, 'UA-normalized'!$A:$A, 0))&gt;0, -(20*INDEX('UA-normalized'!$D:$D, MATCH($A11, 'UA-normalized'!$A:$A, 0))-INDEX('UA-normalized'!$E:$E, MATCH($A11, 'UA-normalized'!$A:$A, 0))), 0), 0))+(IFERROR(IF(20*INDEX('KZ-normalized'!$D:$D, MATCH($A11, 'KZ-normalized'!$A:$A, 0))-INDEX('KZ-normalized'!$E:$E, MATCH($A11, 'KZ-normalized'!$A:$A, 0))&gt;0, -(20*INDEX('KZ-normalized'!$D:$D, MATCH($A11, 'KZ-normalized'!$A:$A, 0))-INDEX('KZ-normalized'!$E:$E, MATCH($A11, 'KZ-normalized'!$A:$A, 0))), 0), 0))+(IFERROR(IF(20*INDEX('UZ-normalized'!$D:$D, MATCH($A11, 'UZ-normalized'!$A:$A, 0))-INDEX('UZ-normalized'!$E:$E, MATCH($A11, 'UZ-normalized'!$A:$A, 0))&gt;0, -(20*INDEX('UZ-normalized'!$D:$D, MATCH($A11, 'UZ-normalized'!$A:$A, 0))-INDEX('UZ-normalized'!$E:$E, MATCH($A11, 'UZ-normalized'!$A:$A, 0))), 0), 0)))</f>
        <v>-4299.5</v>
      </c>
      <c r="AI11" s="6">
        <f>MIN(0, N11+(IFERROR(IF(21*INDEX('UA-normalized'!$D:$D, MATCH($A11, 'UA-normalized'!$A:$A, 0))-INDEX('UA-normalized'!$E:$E, MATCH($A11, 'UA-normalized'!$A:$A, 0))&gt;0, -(21*INDEX('UA-normalized'!$D:$D, MATCH($A11, 'UA-normalized'!$A:$A, 0))-INDEX('UA-normalized'!$E:$E, MATCH($A11, 'UA-normalized'!$A:$A, 0))), 0), 0))+(IFERROR(IF(21*INDEX('KZ-normalized'!$D:$D, MATCH($A11, 'KZ-normalized'!$A:$A, 0))-INDEX('KZ-normalized'!$E:$E, MATCH($A11, 'KZ-normalized'!$A:$A, 0))&gt;0, -(21*INDEX('KZ-normalized'!$D:$D, MATCH($A11, 'KZ-normalized'!$A:$A, 0))-INDEX('KZ-normalized'!$E:$E, MATCH($A11, 'KZ-normalized'!$A:$A, 0))), 0), 0))+(IFERROR(IF(21*INDEX('UZ-normalized'!$D:$D, MATCH($A11, 'UZ-normalized'!$A:$A, 0))-INDEX('UZ-normalized'!$E:$E, MATCH($A11, 'UZ-normalized'!$A:$A, 0))&gt;0, -(21*INDEX('UZ-normalized'!$D:$D, MATCH($A11, 'UZ-normalized'!$A:$A, 0))-INDEX('UZ-normalized'!$E:$E, MATCH($A11, 'UZ-normalized'!$A:$A, 0))), 0), 0)))</f>
        <v>-4821.7</v>
      </c>
      <c r="AJ11" s="6">
        <f>MIN(0, N11+(IFERROR(IF(22*INDEX('UA-normalized'!$D:$D, MATCH($A11, 'UA-normalized'!$A:$A, 0))-INDEX('UA-normalized'!$E:$E, MATCH($A11, 'UA-normalized'!$A:$A, 0))&gt;0, -(22*INDEX('UA-normalized'!$D:$D, MATCH($A11, 'UA-normalized'!$A:$A, 0))-INDEX('UA-normalized'!$E:$E, MATCH($A11, 'UA-normalized'!$A:$A, 0))), 0), 0))+(IFERROR(IF(22*INDEX('KZ-normalized'!$D:$D, MATCH($A11, 'KZ-normalized'!$A:$A, 0))-INDEX('KZ-normalized'!$E:$E, MATCH($A11, 'KZ-normalized'!$A:$A, 0))&gt;0, -(22*INDEX('KZ-normalized'!$D:$D, MATCH($A11, 'KZ-normalized'!$A:$A, 0))-INDEX('KZ-normalized'!$E:$E, MATCH($A11, 'KZ-normalized'!$A:$A, 0))), 0), 0))+(IFERROR(IF(22*INDEX('UZ-normalized'!$D:$D, MATCH($A11, 'UZ-normalized'!$A:$A, 0))-INDEX('UZ-normalized'!$E:$E, MATCH($A11, 'UZ-normalized'!$A:$A, 0))&gt;0, -(22*INDEX('UZ-normalized'!$D:$D, MATCH($A11, 'UZ-normalized'!$A:$A, 0))-INDEX('UZ-normalized'!$E:$E, MATCH($A11, 'UZ-normalized'!$A:$A, 0))), 0), 0)))</f>
        <v>-5343.9</v>
      </c>
      <c r="AK11" s="6">
        <f>MIN(0, N11+(IFERROR(IF(23*INDEX('UA-normalized'!$D:$D, MATCH($A11, 'UA-normalized'!$A:$A, 0))-INDEX('UA-normalized'!$E:$E, MATCH($A11, 'UA-normalized'!$A:$A, 0))&gt;0, -(23*INDEX('UA-normalized'!$D:$D, MATCH($A11, 'UA-normalized'!$A:$A, 0))-INDEX('UA-normalized'!$E:$E, MATCH($A11, 'UA-normalized'!$A:$A, 0))), 0), 0))+(IFERROR(IF(23*INDEX('KZ-normalized'!$D:$D, MATCH($A11, 'KZ-normalized'!$A:$A, 0))-INDEX('KZ-normalized'!$E:$E, MATCH($A11, 'KZ-normalized'!$A:$A, 0))&gt;0, -(23*INDEX('KZ-normalized'!$D:$D, MATCH($A11, 'KZ-normalized'!$A:$A, 0))-INDEX('KZ-normalized'!$E:$E, MATCH($A11, 'KZ-normalized'!$A:$A, 0))), 0), 0))+(IFERROR(IF(23*INDEX('UZ-normalized'!$D:$D, MATCH($A11, 'UZ-normalized'!$A:$A, 0))-INDEX('UZ-normalized'!$E:$E, MATCH($A11, 'UZ-normalized'!$A:$A, 0))&gt;0, -(23*INDEX('UZ-normalized'!$D:$D, MATCH($A11, 'UZ-normalized'!$A:$A, 0))-INDEX('UZ-normalized'!$E:$E, MATCH($A11, 'UZ-normalized'!$A:$A, 0))), 0), 0)))</f>
        <v>-5866.1</v>
      </c>
      <c r="AL11" s="6">
        <f>MIN(0, N11+(IFERROR(IF(24*INDEX('UA-normalized'!$D:$D, MATCH($A11, 'UA-normalized'!$A:$A, 0))-INDEX('UA-normalized'!$E:$E, MATCH($A11, 'UA-normalized'!$A:$A, 0))&gt;0, -(24*INDEX('UA-normalized'!$D:$D, MATCH($A11, 'UA-normalized'!$A:$A, 0))-INDEX('UA-normalized'!$E:$E, MATCH($A11, 'UA-normalized'!$A:$A, 0))), 0), 0))+(IFERROR(IF(24*INDEX('KZ-normalized'!$D:$D, MATCH($A11, 'KZ-normalized'!$A:$A, 0))-INDEX('KZ-normalized'!$E:$E, MATCH($A11, 'KZ-normalized'!$A:$A, 0))&gt;0, -(24*INDEX('KZ-normalized'!$D:$D, MATCH($A11, 'KZ-normalized'!$A:$A, 0))-INDEX('KZ-normalized'!$E:$E, MATCH($A11, 'KZ-normalized'!$A:$A, 0))), 0), 0))+(IFERROR(IF(24*INDEX('UZ-normalized'!$D:$D, MATCH($A11, 'UZ-normalized'!$A:$A, 0))-INDEX('UZ-normalized'!$E:$E, MATCH($A11, 'UZ-normalized'!$A:$A, 0))&gt;0, -(24*INDEX('UZ-normalized'!$D:$D, MATCH($A11, 'UZ-normalized'!$A:$A, 0))-INDEX('UZ-normalized'!$E:$E, MATCH($A11, 'UZ-normalized'!$A:$A, 0))), 0), 0)))</f>
        <v>-6388.3</v>
      </c>
      <c r="AM11" s="6">
        <f>MIN(0, N11+(IFERROR(IF(25*INDEX('UA-normalized'!$D:$D, MATCH($A11, 'UA-normalized'!$A:$A, 0))-INDEX('UA-normalized'!$E:$E, MATCH($A11, 'UA-normalized'!$A:$A, 0))&gt;0, -(25*INDEX('UA-normalized'!$D:$D, MATCH($A11, 'UA-normalized'!$A:$A, 0))-INDEX('UA-normalized'!$E:$E, MATCH($A11, 'UA-normalized'!$A:$A, 0))), 0), 0))+(IFERROR(IF(25*INDEX('KZ-normalized'!$D:$D, MATCH($A11, 'KZ-normalized'!$A:$A, 0))-INDEX('KZ-normalized'!$E:$E, MATCH($A11, 'KZ-normalized'!$A:$A, 0))&gt;0, -(25*INDEX('KZ-normalized'!$D:$D, MATCH($A11, 'KZ-normalized'!$A:$A, 0))-INDEX('KZ-normalized'!$E:$E, MATCH($A11, 'KZ-normalized'!$A:$A, 0))), 0), 0))+(IFERROR(IF(25*INDEX('UZ-normalized'!$D:$D, MATCH($A11, 'UZ-normalized'!$A:$A, 0))-INDEX('UZ-normalized'!$E:$E, MATCH($A11, 'UZ-normalized'!$A:$A, 0))&gt;0, -(25*INDEX('UZ-normalized'!$D:$D, MATCH($A11, 'UZ-normalized'!$A:$A, 0))-INDEX('UZ-normalized'!$E:$E, MATCH($A11, 'UZ-normalized'!$A:$A, 0))), 0), 0)))</f>
        <v>-6910.5</v>
      </c>
      <c r="AN11" s="6">
        <f>MIN(0, N11+(IFERROR(IF(26*INDEX('UA-normalized'!$D:$D, MATCH($A11, 'UA-normalized'!$A:$A, 0))-INDEX('UA-normalized'!$E:$E, MATCH($A11, 'UA-normalized'!$A:$A, 0))&gt;0, -(26*INDEX('UA-normalized'!$D:$D, MATCH($A11, 'UA-normalized'!$A:$A, 0))-INDEX('UA-normalized'!$E:$E, MATCH($A11, 'UA-normalized'!$A:$A, 0))), 0), 0))+(IFERROR(IF(26*INDEX('KZ-normalized'!$D:$D, MATCH($A11, 'KZ-normalized'!$A:$A, 0))-INDEX('KZ-normalized'!$E:$E, MATCH($A11, 'KZ-normalized'!$A:$A, 0))&gt;0, -(26*INDEX('KZ-normalized'!$D:$D, MATCH($A11, 'KZ-normalized'!$A:$A, 0))-INDEX('KZ-normalized'!$E:$E, MATCH($A11, 'KZ-normalized'!$A:$A, 0))), 0), 0))+(IFERROR(IF(26*INDEX('UZ-normalized'!$D:$D, MATCH($A11, 'UZ-normalized'!$A:$A, 0))-INDEX('UZ-normalized'!$E:$E, MATCH($A11, 'UZ-normalized'!$A:$A, 0))&gt;0, -(26*INDEX('UZ-normalized'!$D:$D, MATCH($A11, 'UZ-normalized'!$A:$A, 0))-INDEX('UZ-normalized'!$E:$E, MATCH($A11, 'UZ-normalized'!$A:$A, 0))), 0), 0)))</f>
        <v>-7432.7</v>
      </c>
      <c r="AO11" s="6">
        <f>MIN(0, N11+(IFERROR(IF(27*INDEX('UA-normalized'!$D:$D, MATCH($A11, 'UA-normalized'!$A:$A, 0))-INDEX('UA-normalized'!$E:$E, MATCH($A11, 'UA-normalized'!$A:$A, 0))&gt;0, -(27*INDEX('UA-normalized'!$D:$D, MATCH($A11, 'UA-normalized'!$A:$A, 0))-INDEX('UA-normalized'!$E:$E, MATCH($A11, 'UA-normalized'!$A:$A, 0))), 0), 0))+(IFERROR(IF(27*INDEX('KZ-normalized'!$D:$D, MATCH($A11, 'KZ-normalized'!$A:$A, 0))-INDEX('KZ-normalized'!$E:$E, MATCH($A11, 'KZ-normalized'!$A:$A, 0))&gt;0, -(27*INDEX('KZ-normalized'!$D:$D, MATCH($A11, 'KZ-normalized'!$A:$A, 0))-INDEX('KZ-normalized'!$E:$E, MATCH($A11, 'KZ-normalized'!$A:$A, 0))), 0), 0))+(IFERROR(IF(27*INDEX('UZ-normalized'!$D:$D, MATCH($A11, 'UZ-normalized'!$A:$A, 0))-INDEX('UZ-normalized'!$E:$E, MATCH($A11, 'UZ-normalized'!$A:$A, 0))&gt;0, -(27*INDEX('UZ-normalized'!$D:$D, MATCH($A11, 'UZ-normalized'!$A:$A, 0))-INDEX('UZ-normalized'!$E:$E, MATCH($A11, 'UZ-normalized'!$A:$A, 0))), 0), 0)))</f>
        <v>-7954.9</v>
      </c>
      <c r="AP11" s="6">
        <f>MIN(0, N11+(IFERROR(IF(28*INDEX('UA-normalized'!$D:$D, MATCH($A11, 'UA-normalized'!$A:$A, 0))-INDEX('UA-normalized'!$E:$E, MATCH($A11, 'UA-normalized'!$A:$A, 0))&gt;0, -(28*INDEX('UA-normalized'!$D:$D, MATCH($A11, 'UA-normalized'!$A:$A, 0))-INDEX('UA-normalized'!$E:$E, MATCH($A11, 'UA-normalized'!$A:$A, 0))), 0), 0))+(IFERROR(IF(28*INDEX('KZ-normalized'!$D:$D, MATCH($A11, 'KZ-normalized'!$A:$A, 0))-INDEX('KZ-normalized'!$E:$E, MATCH($A11, 'KZ-normalized'!$A:$A, 0))&gt;0, -(28*INDEX('KZ-normalized'!$D:$D, MATCH($A11, 'KZ-normalized'!$A:$A, 0))-INDEX('KZ-normalized'!$E:$E, MATCH($A11, 'KZ-normalized'!$A:$A, 0))), 0), 0))+(IFERROR(IF(28*INDEX('UZ-normalized'!$D:$D, MATCH($A11, 'UZ-normalized'!$A:$A, 0))-INDEX('UZ-normalized'!$E:$E, MATCH($A11, 'UZ-normalized'!$A:$A, 0))&gt;0, -(28*INDEX('UZ-normalized'!$D:$D, MATCH($A11, 'UZ-normalized'!$A:$A, 0))-INDEX('UZ-normalized'!$E:$E, MATCH($A11, 'UZ-normalized'!$A:$A, 0))), 0), 0)))</f>
        <v>-8477.1</v>
      </c>
      <c r="AQ11" s="6">
        <f>MIN(0, N11+(IFERROR(IF(29*INDEX('UA-normalized'!$D:$D, MATCH($A11, 'UA-normalized'!$A:$A, 0))-INDEX('UA-normalized'!$E:$E, MATCH($A11, 'UA-normalized'!$A:$A, 0))&gt;0, -(29*INDEX('UA-normalized'!$D:$D, MATCH($A11, 'UA-normalized'!$A:$A, 0))-INDEX('UA-normalized'!$E:$E, MATCH($A11, 'UA-normalized'!$A:$A, 0))), 0), 0))+(IFERROR(IF(29*INDEX('KZ-normalized'!$D:$D, MATCH($A11, 'KZ-normalized'!$A:$A, 0))-INDEX('KZ-normalized'!$E:$E, MATCH($A11, 'KZ-normalized'!$A:$A, 0))&gt;0, -(29*INDEX('KZ-normalized'!$D:$D, MATCH($A11, 'KZ-normalized'!$A:$A, 0))-INDEX('KZ-normalized'!$E:$E, MATCH($A11, 'KZ-normalized'!$A:$A, 0))), 0), 0))+(IFERROR(IF(29*INDEX('UZ-normalized'!$D:$D, MATCH($A11, 'UZ-normalized'!$A:$A, 0))-INDEX('UZ-normalized'!$E:$E, MATCH($A11, 'UZ-normalized'!$A:$A, 0))&gt;0, -(29*INDEX('UZ-normalized'!$D:$D, MATCH($A11, 'UZ-normalized'!$A:$A, 0))-INDEX('UZ-normalized'!$E:$E, MATCH($A11, 'UZ-normalized'!$A:$A, 0))), 0), 0)))</f>
        <v>-8999.2999999999993</v>
      </c>
      <c r="AR11" s="6">
        <f>MIN(0, N11+(IFERROR(IF(30*INDEX('UA-normalized'!$D:$D, MATCH($A11, 'UA-normalized'!$A:$A, 0))-INDEX('UA-normalized'!$E:$E, MATCH($A11, 'UA-normalized'!$A:$A, 0))&gt;0, -(30*INDEX('UA-normalized'!$D:$D, MATCH($A11, 'UA-normalized'!$A:$A, 0))-INDEX('UA-normalized'!$E:$E, MATCH($A11, 'UA-normalized'!$A:$A, 0))), 0), 0))+(IFERROR(IF(30*INDEX('KZ-normalized'!$D:$D, MATCH($A11, 'KZ-normalized'!$A:$A, 0))-INDEX('KZ-normalized'!$E:$E, MATCH($A11, 'KZ-normalized'!$A:$A, 0))&gt;0, -(30*INDEX('KZ-normalized'!$D:$D, MATCH($A11, 'KZ-normalized'!$A:$A, 0))-INDEX('KZ-normalized'!$E:$E, MATCH($A11, 'KZ-normalized'!$A:$A, 0))), 0), 0))+(IFERROR(IF(30*INDEX('UZ-normalized'!$D:$D, MATCH($A11, 'UZ-normalized'!$A:$A, 0))-INDEX('UZ-normalized'!$E:$E, MATCH($A11, 'UZ-normalized'!$A:$A, 0))&gt;0, -(30*INDEX('UZ-normalized'!$D:$D, MATCH($A11, 'UZ-normalized'!$A:$A, 0))-INDEX('UZ-normalized'!$E:$E, MATCH($A11, 'UZ-normalized'!$A:$A, 0))), 0), 0)))</f>
        <v>-9521.5</v>
      </c>
    </row>
    <row r="12" spans="1:44" x14ac:dyDescent="0.25">
      <c r="A12" s="8" t="s">
        <v>68</v>
      </c>
      <c r="B12" s="8" t="s">
        <v>45</v>
      </c>
      <c r="C12" s="8" t="s">
        <v>60</v>
      </c>
      <c r="D12" s="8" t="s">
        <v>69</v>
      </c>
      <c r="E12">
        <v>1213.25</v>
      </c>
      <c r="J12">
        <v>1213.25</v>
      </c>
      <c r="N12">
        <f t="shared" si="0"/>
        <v>2426.5</v>
      </c>
      <c r="O12" s="6">
        <f>MIN(0, N12+(IFERROR(IF(1*INDEX('UA-normalized'!$D:$D, MATCH($A12, 'UA-normalized'!$A:$A, 0))-INDEX('UA-normalized'!$E:$E, MATCH($A12, 'UA-normalized'!$A:$A, 0))&gt;0, -(1*INDEX('UA-normalized'!$D:$D, MATCH($A12, 'UA-normalized'!$A:$A, 0))-INDEX('UA-normalized'!$E:$E, MATCH($A12, 'UA-normalized'!$A:$A, 0))), 0), 0))+(IFERROR(IF(1*INDEX('KZ-normalized'!$D:$D, MATCH($A12, 'KZ-normalized'!$A:$A, 0))-INDEX('KZ-normalized'!$E:$E, MATCH($A12, 'KZ-normalized'!$A:$A, 0))&gt;0, -(1*INDEX('KZ-normalized'!$D:$D, MATCH($A12, 'KZ-normalized'!$A:$A, 0))-INDEX('KZ-normalized'!$E:$E, MATCH($A12, 'KZ-normalized'!$A:$A, 0))), 0), 0))+(IFERROR(IF(1*INDEX('UZ-normalized'!$D:$D, MATCH($A12, 'UZ-normalized'!$A:$A, 0))-INDEX('UZ-normalized'!$E:$E, MATCH($A12, 'UZ-normalized'!$A:$A, 0))&gt;0, -(1*INDEX('UZ-normalized'!$D:$D, MATCH($A12, 'UZ-normalized'!$A:$A, 0))-INDEX('UZ-normalized'!$E:$E, MATCH($A12, 'UZ-normalized'!$A:$A, 0))), 0), 0)))</f>
        <v>0</v>
      </c>
      <c r="P12" s="6">
        <f>MIN(0, N12+(IFERROR(IF(2*INDEX('UA-normalized'!$D:$D, MATCH($A12, 'UA-normalized'!$A:$A, 0))-INDEX('UA-normalized'!$E:$E, MATCH($A12, 'UA-normalized'!$A:$A, 0))&gt;0, -(2*INDEX('UA-normalized'!$D:$D, MATCH($A12, 'UA-normalized'!$A:$A, 0))-INDEX('UA-normalized'!$E:$E, MATCH($A12, 'UA-normalized'!$A:$A, 0))), 0), 0))+(IFERROR(IF(2*INDEX('KZ-normalized'!$D:$D, MATCH($A12, 'KZ-normalized'!$A:$A, 0))-INDEX('KZ-normalized'!$E:$E, MATCH($A12, 'KZ-normalized'!$A:$A, 0))&gt;0, -(2*INDEX('KZ-normalized'!$D:$D, MATCH($A12, 'KZ-normalized'!$A:$A, 0))-INDEX('KZ-normalized'!$E:$E, MATCH($A12, 'KZ-normalized'!$A:$A, 0))), 0), 0))+(IFERROR(IF(2*INDEX('UZ-normalized'!$D:$D, MATCH($A12, 'UZ-normalized'!$A:$A, 0))-INDEX('UZ-normalized'!$E:$E, MATCH($A12, 'UZ-normalized'!$A:$A, 0))&gt;0, -(2*INDEX('UZ-normalized'!$D:$D, MATCH($A12, 'UZ-normalized'!$A:$A, 0))-INDEX('UZ-normalized'!$E:$E, MATCH($A12, 'UZ-normalized'!$A:$A, 0))), 0), 0)))</f>
        <v>0</v>
      </c>
      <c r="Q12" s="6">
        <f>MIN(0, N12+(IFERROR(IF(3*INDEX('UA-normalized'!$D:$D, MATCH($A12, 'UA-normalized'!$A:$A, 0))-INDEX('UA-normalized'!$E:$E, MATCH($A12, 'UA-normalized'!$A:$A, 0))&gt;0, -(3*INDEX('UA-normalized'!$D:$D, MATCH($A12, 'UA-normalized'!$A:$A, 0))-INDEX('UA-normalized'!$E:$E, MATCH($A12, 'UA-normalized'!$A:$A, 0))), 0), 0))+(IFERROR(IF(3*INDEX('KZ-normalized'!$D:$D, MATCH($A12, 'KZ-normalized'!$A:$A, 0))-INDEX('KZ-normalized'!$E:$E, MATCH($A12, 'KZ-normalized'!$A:$A, 0))&gt;0, -(3*INDEX('KZ-normalized'!$D:$D, MATCH($A12, 'KZ-normalized'!$A:$A, 0))-INDEX('KZ-normalized'!$E:$E, MATCH($A12, 'KZ-normalized'!$A:$A, 0))), 0), 0))+(IFERROR(IF(3*INDEX('UZ-normalized'!$D:$D, MATCH($A12, 'UZ-normalized'!$A:$A, 0))-INDEX('UZ-normalized'!$E:$E, MATCH($A12, 'UZ-normalized'!$A:$A, 0))&gt;0, -(3*INDEX('UZ-normalized'!$D:$D, MATCH($A12, 'UZ-normalized'!$A:$A, 0))-INDEX('UZ-normalized'!$E:$E, MATCH($A12, 'UZ-normalized'!$A:$A, 0))), 0), 0)))</f>
        <v>0</v>
      </c>
      <c r="R12" s="6">
        <f>MIN(0, N12+(IFERROR(IF(4*INDEX('UA-normalized'!$D:$D, MATCH($A12, 'UA-normalized'!$A:$A, 0))-INDEX('UA-normalized'!$E:$E, MATCH($A12, 'UA-normalized'!$A:$A, 0))&gt;0, -(4*INDEX('UA-normalized'!$D:$D, MATCH($A12, 'UA-normalized'!$A:$A, 0))-INDEX('UA-normalized'!$E:$E, MATCH($A12, 'UA-normalized'!$A:$A, 0))), 0), 0))+(IFERROR(IF(4*INDEX('KZ-normalized'!$D:$D, MATCH($A12, 'KZ-normalized'!$A:$A, 0))-INDEX('KZ-normalized'!$E:$E, MATCH($A12, 'KZ-normalized'!$A:$A, 0))&gt;0, -(4*INDEX('KZ-normalized'!$D:$D, MATCH($A12, 'KZ-normalized'!$A:$A, 0))-INDEX('KZ-normalized'!$E:$E, MATCH($A12, 'KZ-normalized'!$A:$A, 0))), 0), 0))+(IFERROR(IF(4*INDEX('UZ-normalized'!$D:$D, MATCH($A12, 'UZ-normalized'!$A:$A, 0))-INDEX('UZ-normalized'!$E:$E, MATCH($A12, 'UZ-normalized'!$A:$A, 0))&gt;0, -(4*INDEX('UZ-normalized'!$D:$D, MATCH($A12, 'UZ-normalized'!$A:$A, 0))-INDEX('UZ-normalized'!$E:$E, MATCH($A12, 'UZ-normalized'!$A:$A, 0))), 0), 0)))</f>
        <v>0</v>
      </c>
      <c r="S12" s="6">
        <f>MIN(0, N12+(IFERROR(IF(5*INDEX('UA-normalized'!$D:$D, MATCH($A12, 'UA-normalized'!$A:$A, 0))-INDEX('UA-normalized'!$E:$E, MATCH($A12, 'UA-normalized'!$A:$A, 0))&gt;0, -(5*INDEX('UA-normalized'!$D:$D, MATCH($A12, 'UA-normalized'!$A:$A, 0))-INDEX('UA-normalized'!$E:$E, MATCH($A12, 'UA-normalized'!$A:$A, 0))), 0), 0))+(IFERROR(IF(5*INDEX('KZ-normalized'!$D:$D, MATCH($A12, 'KZ-normalized'!$A:$A, 0))-INDEX('KZ-normalized'!$E:$E, MATCH($A12, 'KZ-normalized'!$A:$A, 0))&gt;0, -(5*INDEX('KZ-normalized'!$D:$D, MATCH($A12, 'KZ-normalized'!$A:$A, 0))-INDEX('KZ-normalized'!$E:$E, MATCH($A12, 'KZ-normalized'!$A:$A, 0))), 0), 0))+(IFERROR(IF(5*INDEX('UZ-normalized'!$D:$D, MATCH($A12, 'UZ-normalized'!$A:$A, 0))-INDEX('UZ-normalized'!$E:$E, MATCH($A12, 'UZ-normalized'!$A:$A, 0))&gt;0, -(5*INDEX('UZ-normalized'!$D:$D, MATCH($A12, 'UZ-normalized'!$A:$A, 0))-INDEX('UZ-normalized'!$E:$E, MATCH($A12, 'UZ-normalized'!$A:$A, 0))), 0), 0)))</f>
        <v>0</v>
      </c>
      <c r="T12" s="6">
        <f>MIN(0, N12+(IFERROR(IF(6*INDEX('UA-normalized'!$D:$D, MATCH($A12, 'UA-normalized'!$A:$A, 0))-INDEX('UA-normalized'!$E:$E, MATCH($A12, 'UA-normalized'!$A:$A, 0))&gt;0, -(6*INDEX('UA-normalized'!$D:$D, MATCH($A12, 'UA-normalized'!$A:$A, 0))-INDEX('UA-normalized'!$E:$E, MATCH($A12, 'UA-normalized'!$A:$A, 0))), 0), 0))+(IFERROR(IF(6*INDEX('KZ-normalized'!$D:$D, MATCH($A12, 'KZ-normalized'!$A:$A, 0))-INDEX('KZ-normalized'!$E:$E, MATCH($A12, 'KZ-normalized'!$A:$A, 0))&gt;0, -(6*INDEX('KZ-normalized'!$D:$D, MATCH($A12, 'KZ-normalized'!$A:$A, 0))-INDEX('KZ-normalized'!$E:$E, MATCH($A12, 'KZ-normalized'!$A:$A, 0))), 0), 0))+(IFERROR(IF(6*INDEX('UZ-normalized'!$D:$D, MATCH($A12, 'UZ-normalized'!$A:$A, 0))-INDEX('UZ-normalized'!$E:$E, MATCH($A12, 'UZ-normalized'!$A:$A, 0))&gt;0, -(6*INDEX('UZ-normalized'!$D:$D, MATCH($A12, 'UZ-normalized'!$A:$A, 0))-INDEX('UZ-normalized'!$E:$E, MATCH($A12, 'UZ-normalized'!$A:$A, 0))), 0), 0)))</f>
        <v>0</v>
      </c>
      <c r="U12" s="6">
        <f>MIN(0, N12+(IFERROR(IF(7*INDEX('UA-normalized'!$D:$D, MATCH($A12, 'UA-normalized'!$A:$A, 0))-INDEX('UA-normalized'!$E:$E, MATCH($A12, 'UA-normalized'!$A:$A, 0))&gt;0, -(7*INDEX('UA-normalized'!$D:$D, MATCH($A12, 'UA-normalized'!$A:$A, 0))-INDEX('UA-normalized'!$E:$E, MATCH($A12, 'UA-normalized'!$A:$A, 0))), 0), 0))+(IFERROR(IF(7*INDEX('KZ-normalized'!$D:$D, MATCH($A12, 'KZ-normalized'!$A:$A, 0))-INDEX('KZ-normalized'!$E:$E, MATCH($A12, 'KZ-normalized'!$A:$A, 0))&gt;0, -(7*INDEX('KZ-normalized'!$D:$D, MATCH($A12, 'KZ-normalized'!$A:$A, 0))-INDEX('KZ-normalized'!$E:$E, MATCH($A12, 'KZ-normalized'!$A:$A, 0))), 0), 0))+(IFERROR(IF(7*INDEX('UZ-normalized'!$D:$D, MATCH($A12, 'UZ-normalized'!$A:$A, 0))-INDEX('UZ-normalized'!$E:$E, MATCH($A12, 'UZ-normalized'!$A:$A, 0))&gt;0, -(7*INDEX('UZ-normalized'!$D:$D, MATCH($A12, 'UZ-normalized'!$A:$A, 0))-INDEX('UZ-normalized'!$E:$E, MATCH($A12, 'UZ-normalized'!$A:$A, 0))), 0), 0)))</f>
        <v>0</v>
      </c>
      <c r="V12" s="6">
        <f>MIN(0, N12+(IFERROR(IF(8*INDEX('UA-normalized'!$D:$D, MATCH($A12, 'UA-normalized'!$A:$A, 0))-INDEX('UA-normalized'!$E:$E, MATCH($A12, 'UA-normalized'!$A:$A, 0))&gt;0, -(8*INDEX('UA-normalized'!$D:$D, MATCH($A12, 'UA-normalized'!$A:$A, 0))-INDEX('UA-normalized'!$E:$E, MATCH($A12, 'UA-normalized'!$A:$A, 0))), 0), 0))+(IFERROR(IF(8*INDEX('KZ-normalized'!$D:$D, MATCH($A12, 'KZ-normalized'!$A:$A, 0))-INDEX('KZ-normalized'!$E:$E, MATCH($A12, 'KZ-normalized'!$A:$A, 0))&gt;0, -(8*INDEX('KZ-normalized'!$D:$D, MATCH($A12, 'KZ-normalized'!$A:$A, 0))-INDEX('KZ-normalized'!$E:$E, MATCH($A12, 'KZ-normalized'!$A:$A, 0))), 0), 0))+(IFERROR(IF(8*INDEX('UZ-normalized'!$D:$D, MATCH($A12, 'UZ-normalized'!$A:$A, 0))-INDEX('UZ-normalized'!$E:$E, MATCH($A12, 'UZ-normalized'!$A:$A, 0))&gt;0, -(8*INDEX('UZ-normalized'!$D:$D, MATCH($A12, 'UZ-normalized'!$A:$A, 0))-INDEX('UZ-normalized'!$E:$E, MATCH($A12, 'UZ-normalized'!$A:$A, 0))), 0), 0)))</f>
        <v>0</v>
      </c>
      <c r="W12" s="6">
        <f>MIN(0, N12+(IFERROR(IF(9*INDEX('UA-normalized'!$D:$D, MATCH($A12, 'UA-normalized'!$A:$A, 0))-INDEX('UA-normalized'!$E:$E, MATCH($A12, 'UA-normalized'!$A:$A, 0))&gt;0, -(9*INDEX('UA-normalized'!$D:$D, MATCH($A12, 'UA-normalized'!$A:$A, 0))-INDEX('UA-normalized'!$E:$E, MATCH($A12, 'UA-normalized'!$A:$A, 0))), 0), 0))+(IFERROR(IF(9*INDEX('KZ-normalized'!$D:$D, MATCH($A12, 'KZ-normalized'!$A:$A, 0))-INDEX('KZ-normalized'!$E:$E, MATCH($A12, 'KZ-normalized'!$A:$A, 0))&gt;0, -(9*INDEX('KZ-normalized'!$D:$D, MATCH($A12, 'KZ-normalized'!$A:$A, 0))-INDEX('KZ-normalized'!$E:$E, MATCH($A12, 'KZ-normalized'!$A:$A, 0))), 0), 0))+(IFERROR(IF(9*INDEX('UZ-normalized'!$D:$D, MATCH($A12, 'UZ-normalized'!$A:$A, 0))-INDEX('UZ-normalized'!$E:$E, MATCH($A12, 'UZ-normalized'!$A:$A, 0))&gt;0, -(9*INDEX('UZ-normalized'!$D:$D, MATCH($A12, 'UZ-normalized'!$A:$A, 0))-INDEX('UZ-normalized'!$E:$E, MATCH($A12, 'UZ-normalized'!$A:$A, 0))), 0), 0)))</f>
        <v>0</v>
      </c>
      <c r="X12" s="6">
        <f>MIN(0, N12+(IFERROR(IF(10*INDEX('UA-normalized'!$D:$D, MATCH($A12, 'UA-normalized'!$A:$A, 0))-INDEX('UA-normalized'!$E:$E, MATCH($A12, 'UA-normalized'!$A:$A, 0))&gt;0, -(10*INDEX('UA-normalized'!$D:$D, MATCH($A12, 'UA-normalized'!$A:$A, 0))-INDEX('UA-normalized'!$E:$E, MATCH($A12, 'UA-normalized'!$A:$A, 0))), 0), 0))+(IFERROR(IF(10*INDEX('KZ-normalized'!$D:$D, MATCH($A12, 'KZ-normalized'!$A:$A, 0))-INDEX('KZ-normalized'!$E:$E, MATCH($A12, 'KZ-normalized'!$A:$A, 0))&gt;0, -(10*INDEX('KZ-normalized'!$D:$D, MATCH($A12, 'KZ-normalized'!$A:$A, 0))-INDEX('KZ-normalized'!$E:$E, MATCH($A12, 'KZ-normalized'!$A:$A, 0))), 0), 0))+(IFERROR(IF(10*INDEX('UZ-normalized'!$D:$D, MATCH($A12, 'UZ-normalized'!$A:$A, 0))-INDEX('UZ-normalized'!$E:$E, MATCH($A12, 'UZ-normalized'!$A:$A, 0))&gt;0, -(10*INDEX('UZ-normalized'!$D:$D, MATCH($A12, 'UZ-normalized'!$A:$A, 0))-INDEX('UZ-normalized'!$E:$E, MATCH($A12, 'UZ-normalized'!$A:$A, 0))), 0), 0)))</f>
        <v>0</v>
      </c>
      <c r="Y12" s="6">
        <f>MIN(0, N12+(IFERROR(IF(11*INDEX('UA-normalized'!$D:$D, MATCH($A12, 'UA-normalized'!$A:$A, 0))-INDEX('UA-normalized'!$E:$E, MATCH($A12, 'UA-normalized'!$A:$A, 0))&gt;0, -(11*INDEX('UA-normalized'!$D:$D, MATCH($A12, 'UA-normalized'!$A:$A, 0))-INDEX('UA-normalized'!$E:$E, MATCH($A12, 'UA-normalized'!$A:$A, 0))), 0), 0))+(IFERROR(IF(11*INDEX('KZ-normalized'!$D:$D, MATCH($A12, 'KZ-normalized'!$A:$A, 0))-INDEX('KZ-normalized'!$E:$E, MATCH($A12, 'KZ-normalized'!$A:$A, 0))&gt;0, -(11*INDEX('KZ-normalized'!$D:$D, MATCH($A12, 'KZ-normalized'!$A:$A, 0))-INDEX('KZ-normalized'!$E:$E, MATCH($A12, 'KZ-normalized'!$A:$A, 0))), 0), 0))+(IFERROR(IF(11*INDEX('UZ-normalized'!$D:$D, MATCH($A12, 'UZ-normalized'!$A:$A, 0))-INDEX('UZ-normalized'!$E:$E, MATCH($A12, 'UZ-normalized'!$A:$A, 0))&gt;0, -(11*INDEX('UZ-normalized'!$D:$D, MATCH($A12, 'UZ-normalized'!$A:$A, 0))-INDEX('UZ-normalized'!$E:$E, MATCH($A12, 'UZ-normalized'!$A:$A, 0))), 0), 0)))</f>
        <v>-117.30000000000018</v>
      </c>
      <c r="Z12" s="6">
        <f>MIN(0, N12+(IFERROR(IF(12*INDEX('UA-normalized'!$D:$D, MATCH($A12, 'UA-normalized'!$A:$A, 0))-INDEX('UA-normalized'!$E:$E, MATCH($A12, 'UA-normalized'!$A:$A, 0))&gt;0, -(12*INDEX('UA-normalized'!$D:$D, MATCH($A12, 'UA-normalized'!$A:$A, 0))-INDEX('UA-normalized'!$E:$E, MATCH($A12, 'UA-normalized'!$A:$A, 0))), 0), 0))+(IFERROR(IF(12*INDEX('KZ-normalized'!$D:$D, MATCH($A12, 'KZ-normalized'!$A:$A, 0))-INDEX('KZ-normalized'!$E:$E, MATCH($A12, 'KZ-normalized'!$A:$A, 0))&gt;0, -(12*INDEX('KZ-normalized'!$D:$D, MATCH($A12, 'KZ-normalized'!$A:$A, 0))-INDEX('KZ-normalized'!$E:$E, MATCH($A12, 'KZ-normalized'!$A:$A, 0))), 0), 0))+(IFERROR(IF(12*INDEX('UZ-normalized'!$D:$D, MATCH($A12, 'UZ-normalized'!$A:$A, 0))-INDEX('UZ-normalized'!$E:$E, MATCH($A12, 'UZ-normalized'!$A:$A, 0))&gt;0, -(12*INDEX('UZ-normalized'!$D:$D, MATCH($A12, 'UZ-normalized'!$A:$A, 0))-INDEX('UZ-normalized'!$E:$E, MATCH($A12, 'UZ-normalized'!$A:$A, 0))), 0), 0)))</f>
        <v>-469.09999999999991</v>
      </c>
      <c r="AA12" s="6">
        <f>MIN(0, N12+(IFERROR(IF(13*INDEX('UA-normalized'!$D:$D, MATCH($A12, 'UA-normalized'!$A:$A, 0))-INDEX('UA-normalized'!$E:$E, MATCH($A12, 'UA-normalized'!$A:$A, 0))&gt;0, -(13*INDEX('UA-normalized'!$D:$D, MATCH($A12, 'UA-normalized'!$A:$A, 0))-INDEX('UA-normalized'!$E:$E, MATCH($A12, 'UA-normalized'!$A:$A, 0))), 0), 0))+(IFERROR(IF(13*INDEX('KZ-normalized'!$D:$D, MATCH($A12, 'KZ-normalized'!$A:$A, 0))-INDEX('KZ-normalized'!$E:$E, MATCH($A12, 'KZ-normalized'!$A:$A, 0))&gt;0, -(13*INDEX('KZ-normalized'!$D:$D, MATCH($A12, 'KZ-normalized'!$A:$A, 0))-INDEX('KZ-normalized'!$E:$E, MATCH($A12, 'KZ-normalized'!$A:$A, 0))), 0), 0))+(IFERROR(IF(13*INDEX('UZ-normalized'!$D:$D, MATCH($A12, 'UZ-normalized'!$A:$A, 0))-INDEX('UZ-normalized'!$E:$E, MATCH($A12, 'UZ-normalized'!$A:$A, 0))&gt;0, -(13*INDEX('UZ-normalized'!$D:$D, MATCH($A12, 'UZ-normalized'!$A:$A, 0))-INDEX('UZ-normalized'!$E:$E, MATCH($A12, 'UZ-normalized'!$A:$A, 0))), 0), 0)))</f>
        <v>-820.90000000000009</v>
      </c>
      <c r="AB12" s="6">
        <f>MIN(0, N12+(IFERROR(IF(14*INDEX('UA-normalized'!$D:$D, MATCH($A12, 'UA-normalized'!$A:$A, 0))-INDEX('UA-normalized'!$E:$E, MATCH($A12, 'UA-normalized'!$A:$A, 0))&gt;0, -(14*INDEX('UA-normalized'!$D:$D, MATCH($A12, 'UA-normalized'!$A:$A, 0))-INDEX('UA-normalized'!$E:$E, MATCH($A12, 'UA-normalized'!$A:$A, 0))), 0), 0))+(IFERROR(IF(14*INDEX('KZ-normalized'!$D:$D, MATCH($A12, 'KZ-normalized'!$A:$A, 0))-INDEX('KZ-normalized'!$E:$E, MATCH($A12, 'KZ-normalized'!$A:$A, 0))&gt;0, -(14*INDEX('KZ-normalized'!$D:$D, MATCH($A12, 'KZ-normalized'!$A:$A, 0))-INDEX('KZ-normalized'!$E:$E, MATCH($A12, 'KZ-normalized'!$A:$A, 0))), 0), 0))+(IFERROR(IF(14*INDEX('UZ-normalized'!$D:$D, MATCH($A12, 'UZ-normalized'!$A:$A, 0))-INDEX('UZ-normalized'!$E:$E, MATCH($A12, 'UZ-normalized'!$A:$A, 0))&gt;0, -(14*INDEX('UZ-normalized'!$D:$D, MATCH($A12, 'UZ-normalized'!$A:$A, 0))-INDEX('UZ-normalized'!$E:$E, MATCH($A12, 'UZ-normalized'!$A:$A, 0))), 0), 0)))</f>
        <v>-1172.6999999999998</v>
      </c>
      <c r="AC12" s="6">
        <f>MIN(0, N12+(IFERROR(IF(15*INDEX('UA-normalized'!$D:$D, MATCH($A12, 'UA-normalized'!$A:$A, 0))-INDEX('UA-normalized'!$E:$E, MATCH($A12, 'UA-normalized'!$A:$A, 0))&gt;0, -(15*INDEX('UA-normalized'!$D:$D, MATCH($A12, 'UA-normalized'!$A:$A, 0))-INDEX('UA-normalized'!$E:$E, MATCH($A12, 'UA-normalized'!$A:$A, 0))), 0), 0))+(IFERROR(IF(15*INDEX('KZ-normalized'!$D:$D, MATCH($A12, 'KZ-normalized'!$A:$A, 0))-INDEX('KZ-normalized'!$E:$E, MATCH($A12, 'KZ-normalized'!$A:$A, 0))&gt;0, -(15*INDEX('KZ-normalized'!$D:$D, MATCH($A12, 'KZ-normalized'!$A:$A, 0))-INDEX('KZ-normalized'!$E:$E, MATCH($A12, 'KZ-normalized'!$A:$A, 0))), 0), 0))+(IFERROR(IF(15*INDEX('UZ-normalized'!$D:$D, MATCH($A12, 'UZ-normalized'!$A:$A, 0))-INDEX('UZ-normalized'!$E:$E, MATCH($A12, 'UZ-normalized'!$A:$A, 0))&gt;0, -(15*INDEX('UZ-normalized'!$D:$D, MATCH($A12, 'UZ-normalized'!$A:$A, 0))-INDEX('UZ-normalized'!$E:$E, MATCH($A12, 'UZ-normalized'!$A:$A, 0))), 0), 0)))</f>
        <v>-1524.5</v>
      </c>
      <c r="AD12" s="6">
        <f>MIN(0, N12+(IFERROR(IF(16*INDEX('UA-normalized'!$D:$D, MATCH($A12, 'UA-normalized'!$A:$A, 0))-INDEX('UA-normalized'!$E:$E, MATCH($A12, 'UA-normalized'!$A:$A, 0))&gt;0, -(16*INDEX('UA-normalized'!$D:$D, MATCH($A12, 'UA-normalized'!$A:$A, 0))-INDEX('UA-normalized'!$E:$E, MATCH($A12, 'UA-normalized'!$A:$A, 0))), 0), 0))+(IFERROR(IF(16*INDEX('KZ-normalized'!$D:$D, MATCH($A12, 'KZ-normalized'!$A:$A, 0))-INDEX('KZ-normalized'!$E:$E, MATCH($A12, 'KZ-normalized'!$A:$A, 0))&gt;0, -(16*INDEX('KZ-normalized'!$D:$D, MATCH($A12, 'KZ-normalized'!$A:$A, 0))-INDEX('KZ-normalized'!$E:$E, MATCH($A12, 'KZ-normalized'!$A:$A, 0))), 0), 0))+(IFERROR(IF(16*INDEX('UZ-normalized'!$D:$D, MATCH($A12, 'UZ-normalized'!$A:$A, 0))-INDEX('UZ-normalized'!$E:$E, MATCH($A12, 'UZ-normalized'!$A:$A, 0))&gt;0, -(16*INDEX('UZ-normalized'!$D:$D, MATCH($A12, 'UZ-normalized'!$A:$A, 0))-INDEX('UZ-normalized'!$E:$E, MATCH($A12, 'UZ-normalized'!$A:$A, 0))), 0), 0)))</f>
        <v>-1876.3000000000002</v>
      </c>
      <c r="AE12" s="6">
        <f>MIN(0, N12+(IFERROR(IF(17*INDEX('UA-normalized'!$D:$D, MATCH($A12, 'UA-normalized'!$A:$A, 0))-INDEX('UA-normalized'!$E:$E, MATCH($A12, 'UA-normalized'!$A:$A, 0))&gt;0, -(17*INDEX('UA-normalized'!$D:$D, MATCH($A12, 'UA-normalized'!$A:$A, 0))-INDEX('UA-normalized'!$E:$E, MATCH($A12, 'UA-normalized'!$A:$A, 0))), 0), 0))+(IFERROR(IF(17*INDEX('KZ-normalized'!$D:$D, MATCH($A12, 'KZ-normalized'!$A:$A, 0))-INDEX('KZ-normalized'!$E:$E, MATCH($A12, 'KZ-normalized'!$A:$A, 0))&gt;0, -(17*INDEX('KZ-normalized'!$D:$D, MATCH($A12, 'KZ-normalized'!$A:$A, 0))-INDEX('KZ-normalized'!$E:$E, MATCH($A12, 'KZ-normalized'!$A:$A, 0))), 0), 0))+(IFERROR(IF(17*INDEX('UZ-normalized'!$D:$D, MATCH($A12, 'UZ-normalized'!$A:$A, 0))-INDEX('UZ-normalized'!$E:$E, MATCH($A12, 'UZ-normalized'!$A:$A, 0))&gt;0, -(17*INDEX('UZ-normalized'!$D:$D, MATCH($A12, 'UZ-normalized'!$A:$A, 0))-INDEX('UZ-normalized'!$E:$E, MATCH($A12, 'UZ-normalized'!$A:$A, 0))), 0), 0)))</f>
        <v>-2228.1</v>
      </c>
      <c r="AF12" s="6">
        <f>MIN(0, N12+(IFERROR(IF(18*INDEX('UA-normalized'!$D:$D, MATCH($A12, 'UA-normalized'!$A:$A, 0))-INDEX('UA-normalized'!$E:$E, MATCH($A12, 'UA-normalized'!$A:$A, 0))&gt;0, -(18*INDEX('UA-normalized'!$D:$D, MATCH($A12, 'UA-normalized'!$A:$A, 0))-INDEX('UA-normalized'!$E:$E, MATCH($A12, 'UA-normalized'!$A:$A, 0))), 0), 0))+(IFERROR(IF(18*INDEX('KZ-normalized'!$D:$D, MATCH($A12, 'KZ-normalized'!$A:$A, 0))-INDEX('KZ-normalized'!$E:$E, MATCH($A12, 'KZ-normalized'!$A:$A, 0))&gt;0, -(18*INDEX('KZ-normalized'!$D:$D, MATCH($A12, 'KZ-normalized'!$A:$A, 0))-INDEX('KZ-normalized'!$E:$E, MATCH($A12, 'KZ-normalized'!$A:$A, 0))), 0), 0))+(IFERROR(IF(18*INDEX('UZ-normalized'!$D:$D, MATCH($A12, 'UZ-normalized'!$A:$A, 0))-INDEX('UZ-normalized'!$E:$E, MATCH($A12, 'UZ-normalized'!$A:$A, 0))&gt;0, -(18*INDEX('UZ-normalized'!$D:$D, MATCH($A12, 'UZ-normalized'!$A:$A, 0))-INDEX('UZ-normalized'!$E:$E, MATCH($A12, 'UZ-normalized'!$A:$A, 0))), 0), 0)))</f>
        <v>-2579.9</v>
      </c>
      <c r="AG12" s="6">
        <f>MIN(0, N12+(IFERROR(IF(19*INDEX('UA-normalized'!$D:$D, MATCH($A12, 'UA-normalized'!$A:$A, 0))-INDEX('UA-normalized'!$E:$E, MATCH($A12, 'UA-normalized'!$A:$A, 0))&gt;0, -(19*INDEX('UA-normalized'!$D:$D, MATCH($A12, 'UA-normalized'!$A:$A, 0))-INDEX('UA-normalized'!$E:$E, MATCH($A12, 'UA-normalized'!$A:$A, 0))), 0), 0))+(IFERROR(IF(19*INDEX('KZ-normalized'!$D:$D, MATCH($A12, 'KZ-normalized'!$A:$A, 0))-INDEX('KZ-normalized'!$E:$E, MATCH($A12, 'KZ-normalized'!$A:$A, 0))&gt;0, -(19*INDEX('KZ-normalized'!$D:$D, MATCH($A12, 'KZ-normalized'!$A:$A, 0))-INDEX('KZ-normalized'!$E:$E, MATCH($A12, 'KZ-normalized'!$A:$A, 0))), 0), 0))+(IFERROR(IF(19*INDEX('UZ-normalized'!$D:$D, MATCH($A12, 'UZ-normalized'!$A:$A, 0))-INDEX('UZ-normalized'!$E:$E, MATCH($A12, 'UZ-normalized'!$A:$A, 0))&gt;0, -(19*INDEX('UZ-normalized'!$D:$D, MATCH($A12, 'UZ-normalized'!$A:$A, 0))-INDEX('UZ-normalized'!$E:$E, MATCH($A12, 'UZ-normalized'!$A:$A, 0))), 0), 0)))</f>
        <v>-2931.7</v>
      </c>
      <c r="AH12" s="6">
        <f>MIN(0, N12+(IFERROR(IF(20*INDEX('UA-normalized'!$D:$D, MATCH($A12, 'UA-normalized'!$A:$A, 0))-INDEX('UA-normalized'!$E:$E, MATCH($A12, 'UA-normalized'!$A:$A, 0))&gt;0, -(20*INDEX('UA-normalized'!$D:$D, MATCH($A12, 'UA-normalized'!$A:$A, 0))-INDEX('UA-normalized'!$E:$E, MATCH($A12, 'UA-normalized'!$A:$A, 0))), 0), 0))+(IFERROR(IF(20*INDEX('KZ-normalized'!$D:$D, MATCH($A12, 'KZ-normalized'!$A:$A, 0))-INDEX('KZ-normalized'!$E:$E, MATCH($A12, 'KZ-normalized'!$A:$A, 0))&gt;0, -(20*INDEX('KZ-normalized'!$D:$D, MATCH($A12, 'KZ-normalized'!$A:$A, 0))-INDEX('KZ-normalized'!$E:$E, MATCH($A12, 'KZ-normalized'!$A:$A, 0))), 0), 0))+(IFERROR(IF(20*INDEX('UZ-normalized'!$D:$D, MATCH($A12, 'UZ-normalized'!$A:$A, 0))-INDEX('UZ-normalized'!$E:$E, MATCH($A12, 'UZ-normalized'!$A:$A, 0))&gt;0, -(20*INDEX('UZ-normalized'!$D:$D, MATCH($A12, 'UZ-normalized'!$A:$A, 0))-INDEX('UZ-normalized'!$E:$E, MATCH($A12, 'UZ-normalized'!$A:$A, 0))), 0), 0)))</f>
        <v>-3283.5</v>
      </c>
      <c r="AI12" s="6">
        <f>MIN(0, N12+(IFERROR(IF(21*INDEX('UA-normalized'!$D:$D, MATCH($A12, 'UA-normalized'!$A:$A, 0))-INDEX('UA-normalized'!$E:$E, MATCH($A12, 'UA-normalized'!$A:$A, 0))&gt;0, -(21*INDEX('UA-normalized'!$D:$D, MATCH($A12, 'UA-normalized'!$A:$A, 0))-INDEX('UA-normalized'!$E:$E, MATCH($A12, 'UA-normalized'!$A:$A, 0))), 0), 0))+(IFERROR(IF(21*INDEX('KZ-normalized'!$D:$D, MATCH($A12, 'KZ-normalized'!$A:$A, 0))-INDEX('KZ-normalized'!$E:$E, MATCH($A12, 'KZ-normalized'!$A:$A, 0))&gt;0, -(21*INDEX('KZ-normalized'!$D:$D, MATCH($A12, 'KZ-normalized'!$A:$A, 0))-INDEX('KZ-normalized'!$E:$E, MATCH($A12, 'KZ-normalized'!$A:$A, 0))), 0), 0))+(IFERROR(IF(21*INDEX('UZ-normalized'!$D:$D, MATCH($A12, 'UZ-normalized'!$A:$A, 0))-INDEX('UZ-normalized'!$E:$E, MATCH($A12, 'UZ-normalized'!$A:$A, 0))&gt;0, -(21*INDEX('UZ-normalized'!$D:$D, MATCH($A12, 'UZ-normalized'!$A:$A, 0))-INDEX('UZ-normalized'!$E:$E, MATCH($A12, 'UZ-normalized'!$A:$A, 0))), 0), 0)))</f>
        <v>-3635.3</v>
      </c>
      <c r="AJ12" s="6">
        <f>MIN(0, N12+(IFERROR(IF(22*INDEX('UA-normalized'!$D:$D, MATCH($A12, 'UA-normalized'!$A:$A, 0))-INDEX('UA-normalized'!$E:$E, MATCH($A12, 'UA-normalized'!$A:$A, 0))&gt;0, -(22*INDEX('UA-normalized'!$D:$D, MATCH($A12, 'UA-normalized'!$A:$A, 0))-INDEX('UA-normalized'!$E:$E, MATCH($A12, 'UA-normalized'!$A:$A, 0))), 0), 0))+(IFERROR(IF(22*INDEX('KZ-normalized'!$D:$D, MATCH($A12, 'KZ-normalized'!$A:$A, 0))-INDEX('KZ-normalized'!$E:$E, MATCH($A12, 'KZ-normalized'!$A:$A, 0))&gt;0, -(22*INDEX('KZ-normalized'!$D:$D, MATCH($A12, 'KZ-normalized'!$A:$A, 0))-INDEX('KZ-normalized'!$E:$E, MATCH($A12, 'KZ-normalized'!$A:$A, 0))), 0), 0))+(IFERROR(IF(22*INDEX('UZ-normalized'!$D:$D, MATCH($A12, 'UZ-normalized'!$A:$A, 0))-INDEX('UZ-normalized'!$E:$E, MATCH($A12, 'UZ-normalized'!$A:$A, 0))&gt;0, -(22*INDEX('UZ-normalized'!$D:$D, MATCH($A12, 'UZ-normalized'!$A:$A, 0))-INDEX('UZ-normalized'!$E:$E, MATCH($A12, 'UZ-normalized'!$A:$A, 0))), 0), 0)))</f>
        <v>-3987.1</v>
      </c>
      <c r="AK12" s="6">
        <f>MIN(0, N12+(IFERROR(IF(23*INDEX('UA-normalized'!$D:$D, MATCH($A12, 'UA-normalized'!$A:$A, 0))-INDEX('UA-normalized'!$E:$E, MATCH($A12, 'UA-normalized'!$A:$A, 0))&gt;0, -(23*INDEX('UA-normalized'!$D:$D, MATCH($A12, 'UA-normalized'!$A:$A, 0))-INDEX('UA-normalized'!$E:$E, MATCH($A12, 'UA-normalized'!$A:$A, 0))), 0), 0))+(IFERROR(IF(23*INDEX('KZ-normalized'!$D:$D, MATCH($A12, 'KZ-normalized'!$A:$A, 0))-INDEX('KZ-normalized'!$E:$E, MATCH($A12, 'KZ-normalized'!$A:$A, 0))&gt;0, -(23*INDEX('KZ-normalized'!$D:$D, MATCH($A12, 'KZ-normalized'!$A:$A, 0))-INDEX('KZ-normalized'!$E:$E, MATCH($A12, 'KZ-normalized'!$A:$A, 0))), 0), 0))+(IFERROR(IF(23*INDEX('UZ-normalized'!$D:$D, MATCH($A12, 'UZ-normalized'!$A:$A, 0))-INDEX('UZ-normalized'!$E:$E, MATCH($A12, 'UZ-normalized'!$A:$A, 0))&gt;0, -(23*INDEX('UZ-normalized'!$D:$D, MATCH($A12, 'UZ-normalized'!$A:$A, 0))-INDEX('UZ-normalized'!$E:$E, MATCH($A12, 'UZ-normalized'!$A:$A, 0))), 0), 0)))</f>
        <v>-4338.8999999999996</v>
      </c>
      <c r="AL12" s="6">
        <f>MIN(0, N12+(IFERROR(IF(24*INDEX('UA-normalized'!$D:$D, MATCH($A12, 'UA-normalized'!$A:$A, 0))-INDEX('UA-normalized'!$E:$E, MATCH($A12, 'UA-normalized'!$A:$A, 0))&gt;0, -(24*INDEX('UA-normalized'!$D:$D, MATCH($A12, 'UA-normalized'!$A:$A, 0))-INDEX('UA-normalized'!$E:$E, MATCH($A12, 'UA-normalized'!$A:$A, 0))), 0), 0))+(IFERROR(IF(24*INDEX('KZ-normalized'!$D:$D, MATCH($A12, 'KZ-normalized'!$A:$A, 0))-INDEX('KZ-normalized'!$E:$E, MATCH($A12, 'KZ-normalized'!$A:$A, 0))&gt;0, -(24*INDEX('KZ-normalized'!$D:$D, MATCH($A12, 'KZ-normalized'!$A:$A, 0))-INDEX('KZ-normalized'!$E:$E, MATCH($A12, 'KZ-normalized'!$A:$A, 0))), 0), 0))+(IFERROR(IF(24*INDEX('UZ-normalized'!$D:$D, MATCH($A12, 'UZ-normalized'!$A:$A, 0))-INDEX('UZ-normalized'!$E:$E, MATCH($A12, 'UZ-normalized'!$A:$A, 0))&gt;0, -(24*INDEX('UZ-normalized'!$D:$D, MATCH($A12, 'UZ-normalized'!$A:$A, 0))-INDEX('UZ-normalized'!$E:$E, MATCH($A12, 'UZ-normalized'!$A:$A, 0))), 0), 0)))</f>
        <v>-4690.7</v>
      </c>
      <c r="AM12" s="6">
        <f>MIN(0, N12+(IFERROR(IF(25*INDEX('UA-normalized'!$D:$D, MATCH($A12, 'UA-normalized'!$A:$A, 0))-INDEX('UA-normalized'!$E:$E, MATCH($A12, 'UA-normalized'!$A:$A, 0))&gt;0, -(25*INDEX('UA-normalized'!$D:$D, MATCH($A12, 'UA-normalized'!$A:$A, 0))-INDEX('UA-normalized'!$E:$E, MATCH($A12, 'UA-normalized'!$A:$A, 0))), 0), 0))+(IFERROR(IF(25*INDEX('KZ-normalized'!$D:$D, MATCH($A12, 'KZ-normalized'!$A:$A, 0))-INDEX('KZ-normalized'!$E:$E, MATCH($A12, 'KZ-normalized'!$A:$A, 0))&gt;0, -(25*INDEX('KZ-normalized'!$D:$D, MATCH($A12, 'KZ-normalized'!$A:$A, 0))-INDEX('KZ-normalized'!$E:$E, MATCH($A12, 'KZ-normalized'!$A:$A, 0))), 0), 0))+(IFERROR(IF(25*INDEX('UZ-normalized'!$D:$D, MATCH($A12, 'UZ-normalized'!$A:$A, 0))-INDEX('UZ-normalized'!$E:$E, MATCH($A12, 'UZ-normalized'!$A:$A, 0))&gt;0, -(25*INDEX('UZ-normalized'!$D:$D, MATCH($A12, 'UZ-normalized'!$A:$A, 0))-INDEX('UZ-normalized'!$E:$E, MATCH($A12, 'UZ-normalized'!$A:$A, 0))), 0), 0)))</f>
        <v>-5042.5</v>
      </c>
      <c r="AN12" s="6">
        <f>MIN(0, N12+(IFERROR(IF(26*INDEX('UA-normalized'!$D:$D, MATCH($A12, 'UA-normalized'!$A:$A, 0))-INDEX('UA-normalized'!$E:$E, MATCH($A12, 'UA-normalized'!$A:$A, 0))&gt;0, -(26*INDEX('UA-normalized'!$D:$D, MATCH($A12, 'UA-normalized'!$A:$A, 0))-INDEX('UA-normalized'!$E:$E, MATCH($A12, 'UA-normalized'!$A:$A, 0))), 0), 0))+(IFERROR(IF(26*INDEX('KZ-normalized'!$D:$D, MATCH($A12, 'KZ-normalized'!$A:$A, 0))-INDEX('KZ-normalized'!$E:$E, MATCH($A12, 'KZ-normalized'!$A:$A, 0))&gt;0, -(26*INDEX('KZ-normalized'!$D:$D, MATCH($A12, 'KZ-normalized'!$A:$A, 0))-INDEX('KZ-normalized'!$E:$E, MATCH($A12, 'KZ-normalized'!$A:$A, 0))), 0), 0))+(IFERROR(IF(26*INDEX('UZ-normalized'!$D:$D, MATCH($A12, 'UZ-normalized'!$A:$A, 0))-INDEX('UZ-normalized'!$E:$E, MATCH($A12, 'UZ-normalized'!$A:$A, 0))&gt;0, -(26*INDEX('UZ-normalized'!$D:$D, MATCH($A12, 'UZ-normalized'!$A:$A, 0))-INDEX('UZ-normalized'!$E:$E, MATCH($A12, 'UZ-normalized'!$A:$A, 0))), 0), 0)))</f>
        <v>-5394.3</v>
      </c>
      <c r="AO12" s="6">
        <f>MIN(0, N12+(IFERROR(IF(27*INDEX('UA-normalized'!$D:$D, MATCH($A12, 'UA-normalized'!$A:$A, 0))-INDEX('UA-normalized'!$E:$E, MATCH($A12, 'UA-normalized'!$A:$A, 0))&gt;0, -(27*INDEX('UA-normalized'!$D:$D, MATCH($A12, 'UA-normalized'!$A:$A, 0))-INDEX('UA-normalized'!$E:$E, MATCH($A12, 'UA-normalized'!$A:$A, 0))), 0), 0))+(IFERROR(IF(27*INDEX('KZ-normalized'!$D:$D, MATCH($A12, 'KZ-normalized'!$A:$A, 0))-INDEX('KZ-normalized'!$E:$E, MATCH($A12, 'KZ-normalized'!$A:$A, 0))&gt;0, -(27*INDEX('KZ-normalized'!$D:$D, MATCH($A12, 'KZ-normalized'!$A:$A, 0))-INDEX('KZ-normalized'!$E:$E, MATCH($A12, 'KZ-normalized'!$A:$A, 0))), 0), 0))+(IFERROR(IF(27*INDEX('UZ-normalized'!$D:$D, MATCH($A12, 'UZ-normalized'!$A:$A, 0))-INDEX('UZ-normalized'!$E:$E, MATCH($A12, 'UZ-normalized'!$A:$A, 0))&gt;0, -(27*INDEX('UZ-normalized'!$D:$D, MATCH($A12, 'UZ-normalized'!$A:$A, 0))-INDEX('UZ-normalized'!$E:$E, MATCH($A12, 'UZ-normalized'!$A:$A, 0))), 0), 0)))</f>
        <v>-5746.1</v>
      </c>
      <c r="AP12" s="6">
        <f>MIN(0, N12+(IFERROR(IF(28*INDEX('UA-normalized'!$D:$D, MATCH($A12, 'UA-normalized'!$A:$A, 0))-INDEX('UA-normalized'!$E:$E, MATCH($A12, 'UA-normalized'!$A:$A, 0))&gt;0, -(28*INDEX('UA-normalized'!$D:$D, MATCH($A12, 'UA-normalized'!$A:$A, 0))-INDEX('UA-normalized'!$E:$E, MATCH($A12, 'UA-normalized'!$A:$A, 0))), 0), 0))+(IFERROR(IF(28*INDEX('KZ-normalized'!$D:$D, MATCH($A12, 'KZ-normalized'!$A:$A, 0))-INDEX('KZ-normalized'!$E:$E, MATCH($A12, 'KZ-normalized'!$A:$A, 0))&gt;0, -(28*INDEX('KZ-normalized'!$D:$D, MATCH($A12, 'KZ-normalized'!$A:$A, 0))-INDEX('KZ-normalized'!$E:$E, MATCH($A12, 'KZ-normalized'!$A:$A, 0))), 0), 0))+(IFERROR(IF(28*INDEX('UZ-normalized'!$D:$D, MATCH($A12, 'UZ-normalized'!$A:$A, 0))-INDEX('UZ-normalized'!$E:$E, MATCH($A12, 'UZ-normalized'!$A:$A, 0))&gt;0, -(28*INDEX('UZ-normalized'!$D:$D, MATCH($A12, 'UZ-normalized'!$A:$A, 0))-INDEX('UZ-normalized'!$E:$E, MATCH($A12, 'UZ-normalized'!$A:$A, 0))), 0), 0)))</f>
        <v>-6097.9</v>
      </c>
      <c r="AQ12" s="6">
        <f>MIN(0, N12+(IFERROR(IF(29*INDEX('UA-normalized'!$D:$D, MATCH($A12, 'UA-normalized'!$A:$A, 0))-INDEX('UA-normalized'!$E:$E, MATCH($A12, 'UA-normalized'!$A:$A, 0))&gt;0, -(29*INDEX('UA-normalized'!$D:$D, MATCH($A12, 'UA-normalized'!$A:$A, 0))-INDEX('UA-normalized'!$E:$E, MATCH($A12, 'UA-normalized'!$A:$A, 0))), 0), 0))+(IFERROR(IF(29*INDEX('KZ-normalized'!$D:$D, MATCH($A12, 'KZ-normalized'!$A:$A, 0))-INDEX('KZ-normalized'!$E:$E, MATCH($A12, 'KZ-normalized'!$A:$A, 0))&gt;0, -(29*INDEX('KZ-normalized'!$D:$D, MATCH($A12, 'KZ-normalized'!$A:$A, 0))-INDEX('KZ-normalized'!$E:$E, MATCH($A12, 'KZ-normalized'!$A:$A, 0))), 0), 0))+(IFERROR(IF(29*INDEX('UZ-normalized'!$D:$D, MATCH($A12, 'UZ-normalized'!$A:$A, 0))-INDEX('UZ-normalized'!$E:$E, MATCH($A12, 'UZ-normalized'!$A:$A, 0))&gt;0, -(29*INDEX('UZ-normalized'!$D:$D, MATCH($A12, 'UZ-normalized'!$A:$A, 0))-INDEX('UZ-normalized'!$E:$E, MATCH($A12, 'UZ-normalized'!$A:$A, 0))), 0), 0)))</f>
        <v>-6449.7</v>
      </c>
      <c r="AR12" s="6">
        <f>MIN(0, N12+(IFERROR(IF(30*INDEX('UA-normalized'!$D:$D, MATCH($A12, 'UA-normalized'!$A:$A, 0))-INDEX('UA-normalized'!$E:$E, MATCH($A12, 'UA-normalized'!$A:$A, 0))&gt;0, -(30*INDEX('UA-normalized'!$D:$D, MATCH($A12, 'UA-normalized'!$A:$A, 0))-INDEX('UA-normalized'!$E:$E, MATCH($A12, 'UA-normalized'!$A:$A, 0))), 0), 0))+(IFERROR(IF(30*INDEX('KZ-normalized'!$D:$D, MATCH($A12, 'KZ-normalized'!$A:$A, 0))-INDEX('KZ-normalized'!$E:$E, MATCH($A12, 'KZ-normalized'!$A:$A, 0))&gt;0, -(30*INDEX('KZ-normalized'!$D:$D, MATCH($A12, 'KZ-normalized'!$A:$A, 0))-INDEX('KZ-normalized'!$E:$E, MATCH($A12, 'KZ-normalized'!$A:$A, 0))), 0), 0))+(IFERROR(IF(30*INDEX('UZ-normalized'!$D:$D, MATCH($A12, 'UZ-normalized'!$A:$A, 0))-INDEX('UZ-normalized'!$E:$E, MATCH($A12, 'UZ-normalized'!$A:$A, 0))&gt;0, -(30*INDEX('UZ-normalized'!$D:$D, MATCH($A12, 'UZ-normalized'!$A:$A, 0))-INDEX('UZ-normalized'!$E:$E, MATCH($A12, 'UZ-normalized'!$A:$A, 0))), 0), 0)))</f>
        <v>-6801.5</v>
      </c>
    </row>
    <row r="13" spans="1:44" x14ac:dyDescent="0.25">
      <c r="A13" s="8" t="s">
        <v>70</v>
      </c>
      <c r="B13" s="8" t="s">
        <v>45</v>
      </c>
      <c r="C13" s="8" t="s">
        <v>60</v>
      </c>
      <c r="D13" s="8" t="s">
        <v>71</v>
      </c>
      <c r="E13">
        <v>1325</v>
      </c>
      <c r="J13">
        <v>1325</v>
      </c>
      <c r="N13">
        <f t="shared" si="0"/>
        <v>2650</v>
      </c>
      <c r="O13" s="6">
        <f>MIN(0, N13+(IFERROR(IF(1*INDEX('UA-normalized'!$D:$D, MATCH($A13, 'UA-normalized'!$A:$A, 0))-INDEX('UA-normalized'!$E:$E, MATCH($A13, 'UA-normalized'!$A:$A, 0))&gt;0, -(1*INDEX('UA-normalized'!$D:$D, MATCH($A13, 'UA-normalized'!$A:$A, 0))-INDEX('UA-normalized'!$E:$E, MATCH($A13, 'UA-normalized'!$A:$A, 0))), 0), 0))+(IFERROR(IF(1*INDEX('KZ-normalized'!$D:$D, MATCH($A13, 'KZ-normalized'!$A:$A, 0))-INDEX('KZ-normalized'!$E:$E, MATCH($A13, 'KZ-normalized'!$A:$A, 0))&gt;0, -(1*INDEX('KZ-normalized'!$D:$D, MATCH($A13, 'KZ-normalized'!$A:$A, 0))-INDEX('KZ-normalized'!$E:$E, MATCH($A13, 'KZ-normalized'!$A:$A, 0))), 0), 0))+(IFERROR(IF(1*INDEX('UZ-normalized'!$D:$D, MATCH($A13, 'UZ-normalized'!$A:$A, 0))-INDEX('UZ-normalized'!$E:$E, MATCH($A13, 'UZ-normalized'!$A:$A, 0))&gt;0, -(1*INDEX('UZ-normalized'!$D:$D, MATCH($A13, 'UZ-normalized'!$A:$A, 0))-INDEX('UZ-normalized'!$E:$E, MATCH($A13, 'UZ-normalized'!$A:$A, 0))), 0), 0)))</f>
        <v>0</v>
      </c>
      <c r="P13" s="6">
        <f>MIN(0, N13+(IFERROR(IF(2*INDEX('UA-normalized'!$D:$D, MATCH($A13, 'UA-normalized'!$A:$A, 0))-INDEX('UA-normalized'!$E:$E, MATCH($A13, 'UA-normalized'!$A:$A, 0))&gt;0, -(2*INDEX('UA-normalized'!$D:$D, MATCH($A13, 'UA-normalized'!$A:$A, 0))-INDEX('UA-normalized'!$E:$E, MATCH($A13, 'UA-normalized'!$A:$A, 0))), 0), 0))+(IFERROR(IF(2*INDEX('KZ-normalized'!$D:$D, MATCH($A13, 'KZ-normalized'!$A:$A, 0))-INDEX('KZ-normalized'!$E:$E, MATCH($A13, 'KZ-normalized'!$A:$A, 0))&gt;0, -(2*INDEX('KZ-normalized'!$D:$D, MATCH($A13, 'KZ-normalized'!$A:$A, 0))-INDEX('KZ-normalized'!$E:$E, MATCH($A13, 'KZ-normalized'!$A:$A, 0))), 0), 0))+(IFERROR(IF(2*INDEX('UZ-normalized'!$D:$D, MATCH($A13, 'UZ-normalized'!$A:$A, 0))-INDEX('UZ-normalized'!$E:$E, MATCH($A13, 'UZ-normalized'!$A:$A, 0))&gt;0, -(2*INDEX('UZ-normalized'!$D:$D, MATCH($A13, 'UZ-normalized'!$A:$A, 0))-INDEX('UZ-normalized'!$E:$E, MATCH($A13, 'UZ-normalized'!$A:$A, 0))), 0), 0)))</f>
        <v>0</v>
      </c>
      <c r="Q13" s="6">
        <f>MIN(0, N13+(IFERROR(IF(3*INDEX('UA-normalized'!$D:$D, MATCH($A13, 'UA-normalized'!$A:$A, 0))-INDEX('UA-normalized'!$E:$E, MATCH($A13, 'UA-normalized'!$A:$A, 0))&gt;0, -(3*INDEX('UA-normalized'!$D:$D, MATCH($A13, 'UA-normalized'!$A:$A, 0))-INDEX('UA-normalized'!$E:$E, MATCH($A13, 'UA-normalized'!$A:$A, 0))), 0), 0))+(IFERROR(IF(3*INDEX('KZ-normalized'!$D:$D, MATCH($A13, 'KZ-normalized'!$A:$A, 0))-INDEX('KZ-normalized'!$E:$E, MATCH($A13, 'KZ-normalized'!$A:$A, 0))&gt;0, -(3*INDEX('KZ-normalized'!$D:$D, MATCH($A13, 'KZ-normalized'!$A:$A, 0))-INDEX('KZ-normalized'!$E:$E, MATCH($A13, 'KZ-normalized'!$A:$A, 0))), 0), 0))+(IFERROR(IF(3*INDEX('UZ-normalized'!$D:$D, MATCH($A13, 'UZ-normalized'!$A:$A, 0))-INDEX('UZ-normalized'!$E:$E, MATCH($A13, 'UZ-normalized'!$A:$A, 0))&gt;0, -(3*INDEX('UZ-normalized'!$D:$D, MATCH($A13, 'UZ-normalized'!$A:$A, 0))-INDEX('UZ-normalized'!$E:$E, MATCH($A13, 'UZ-normalized'!$A:$A, 0))), 0), 0)))</f>
        <v>0</v>
      </c>
      <c r="R13" s="6">
        <f>MIN(0, N13+(IFERROR(IF(4*INDEX('UA-normalized'!$D:$D, MATCH($A13, 'UA-normalized'!$A:$A, 0))-INDEX('UA-normalized'!$E:$E, MATCH($A13, 'UA-normalized'!$A:$A, 0))&gt;0, -(4*INDEX('UA-normalized'!$D:$D, MATCH($A13, 'UA-normalized'!$A:$A, 0))-INDEX('UA-normalized'!$E:$E, MATCH($A13, 'UA-normalized'!$A:$A, 0))), 0), 0))+(IFERROR(IF(4*INDEX('KZ-normalized'!$D:$D, MATCH($A13, 'KZ-normalized'!$A:$A, 0))-INDEX('KZ-normalized'!$E:$E, MATCH($A13, 'KZ-normalized'!$A:$A, 0))&gt;0, -(4*INDEX('KZ-normalized'!$D:$D, MATCH($A13, 'KZ-normalized'!$A:$A, 0))-INDEX('KZ-normalized'!$E:$E, MATCH($A13, 'KZ-normalized'!$A:$A, 0))), 0), 0))+(IFERROR(IF(4*INDEX('UZ-normalized'!$D:$D, MATCH($A13, 'UZ-normalized'!$A:$A, 0))-INDEX('UZ-normalized'!$E:$E, MATCH($A13, 'UZ-normalized'!$A:$A, 0))&gt;0, -(4*INDEX('UZ-normalized'!$D:$D, MATCH($A13, 'UZ-normalized'!$A:$A, 0))-INDEX('UZ-normalized'!$E:$E, MATCH($A13, 'UZ-normalized'!$A:$A, 0))), 0), 0)))</f>
        <v>0</v>
      </c>
      <c r="S13" s="6">
        <f>MIN(0, N13+(IFERROR(IF(5*INDEX('UA-normalized'!$D:$D, MATCH($A13, 'UA-normalized'!$A:$A, 0))-INDEX('UA-normalized'!$E:$E, MATCH($A13, 'UA-normalized'!$A:$A, 0))&gt;0, -(5*INDEX('UA-normalized'!$D:$D, MATCH($A13, 'UA-normalized'!$A:$A, 0))-INDEX('UA-normalized'!$E:$E, MATCH($A13, 'UA-normalized'!$A:$A, 0))), 0), 0))+(IFERROR(IF(5*INDEX('KZ-normalized'!$D:$D, MATCH($A13, 'KZ-normalized'!$A:$A, 0))-INDEX('KZ-normalized'!$E:$E, MATCH($A13, 'KZ-normalized'!$A:$A, 0))&gt;0, -(5*INDEX('KZ-normalized'!$D:$D, MATCH($A13, 'KZ-normalized'!$A:$A, 0))-INDEX('KZ-normalized'!$E:$E, MATCH($A13, 'KZ-normalized'!$A:$A, 0))), 0), 0))+(IFERROR(IF(5*INDEX('UZ-normalized'!$D:$D, MATCH($A13, 'UZ-normalized'!$A:$A, 0))-INDEX('UZ-normalized'!$E:$E, MATCH($A13, 'UZ-normalized'!$A:$A, 0))&gt;0, -(5*INDEX('UZ-normalized'!$D:$D, MATCH($A13, 'UZ-normalized'!$A:$A, 0))-INDEX('UZ-normalized'!$E:$E, MATCH($A13, 'UZ-normalized'!$A:$A, 0))), 0), 0)))</f>
        <v>0</v>
      </c>
      <c r="T13" s="6">
        <f>MIN(0, N13+(IFERROR(IF(6*INDEX('UA-normalized'!$D:$D, MATCH($A13, 'UA-normalized'!$A:$A, 0))-INDEX('UA-normalized'!$E:$E, MATCH($A13, 'UA-normalized'!$A:$A, 0))&gt;0, -(6*INDEX('UA-normalized'!$D:$D, MATCH($A13, 'UA-normalized'!$A:$A, 0))-INDEX('UA-normalized'!$E:$E, MATCH($A13, 'UA-normalized'!$A:$A, 0))), 0), 0))+(IFERROR(IF(6*INDEX('KZ-normalized'!$D:$D, MATCH($A13, 'KZ-normalized'!$A:$A, 0))-INDEX('KZ-normalized'!$E:$E, MATCH($A13, 'KZ-normalized'!$A:$A, 0))&gt;0, -(6*INDEX('KZ-normalized'!$D:$D, MATCH($A13, 'KZ-normalized'!$A:$A, 0))-INDEX('KZ-normalized'!$E:$E, MATCH($A13, 'KZ-normalized'!$A:$A, 0))), 0), 0))+(IFERROR(IF(6*INDEX('UZ-normalized'!$D:$D, MATCH($A13, 'UZ-normalized'!$A:$A, 0))-INDEX('UZ-normalized'!$E:$E, MATCH($A13, 'UZ-normalized'!$A:$A, 0))&gt;0, -(6*INDEX('UZ-normalized'!$D:$D, MATCH($A13, 'UZ-normalized'!$A:$A, 0))-INDEX('UZ-normalized'!$E:$E, MATCH($A13, 'UZ-normalized'!$A:$A, 0))), 0), 0)))</f>
        <v>0</v>
      </c>
      <c r="U13" s="6">
        <f>MIN(0, N13+(IFERROR(IF(7*INDEX('UA-normalized'!$D:$D, MATCH($A13, 'UA-normalized'!$A:$A, 0))-INDEX('UA-normalized'!$E:$E, MATCH($A13, 'UA-normalized'!$A:$A, 0))&gt;0, -(7*INDEX('UA-normalized'!$D:$D, MATCH($A13, 'UA-normalized'!$A:$A, 0))-INDEX('UA-normalized'!$E:$E, MATCH($A13, 'UA-normalized'!$A:$A, 0))), 0), 0))+(IFERROR(IF(7*INDEX('KZ-normalized'!$D:$D, MATCH($A13, 'KZ-normalized'!$A:$A, 0))-INDEX('KZ-normalized'!$E:$E, MATCH($A13, 'KZ-normalized'!$A:$A, 0))&gt;0, -(7*INDEX('KZ-normalized'!$D:$D, MATCH($A13, 'KZ-normalized'!$A:$A, 0))-INDEX('KZ-normalized'!$E:$E, MATCH($A13, 'KZ-normalized'!$A:$A, 0))), 0), 0))+(IFERROR(IF(7*INDEX('UZ-normalized'!$D:$D, MATCH($A13, 'UZ-normalized'!$A:$A, 0))-INDEX('UZ-normalized'!$E:$E, MATCH($A13, 'UZ-normalized'!$A:$A, 0))&gt;0, -(7*INDEX('UZ-normalized'!$D:$D, MATCH($A13, 'UZ-normalized'!$A:$A, 0))-INDEX('UZ-normalized'!$E:$E, MATCH($A13, 'UZ-normalized'!$A:$A, 0))), 0), 0)))</f>
        <v>0</v>
      </c>
      <c r="V13" s="6">
        <f>MIN(0, N13+(IFERROR(IF(8*INDEX('UA-normalized'!$D:$D, MATCH($A13, 'UA-normalized'!$A:$A, 0))-INDEX('UA-normalized'!$E:$E, MATCH($A13, 'UA-normalized'!$A:$A, 0))&gt;0, -(8*INDEX('UA-normalized'!$D:$D, MATCH($A13, 'UA-normalized'!$A:$A, 0))-INDEX('UA-normalized'!$E:$E, MATCH($A13, 'UA-normalized'!$A:$A, 0))), 0), 0))+(IFERROR(IF(8*INDEX('KZ-normalized'!$D:$D, MATCH($A13, 'KZ-normalized'!$A:$A, 0))-INDEX('KZ-normalized'!$E:$E, MATCH($A13, 'KZ-normalized'!$A:$A, 0))&gt;0, -(8*INDEX('KZ-normalized'!$D:$D, MATCH($A13, 'KZ-normalized'!$A:$A, 0))-INDEX('KZ-normalized'!$E:$E, MATCH($A13, 'KZ-normalized'!$A:$A, 0))), 0), 0))+(IFERROR(IF(8*INDEX('UZ-normalized'!$D:$D, MATCH($A13, 'UZ-normalized'!$A:$A, 0))-INDEX('UZ-normalized'!$E:$E, MATCH($A13, 'UZ-normalized'!$A:$A, 0))&gt;0, -(8*INDEX('UZ-normalized'!$D:$D, MATCH($A13, 'UZ-normalized'!$A:$A, 0))-INDEX('UZ-normalized'!$E:$E, MATCH($A13, 'UZ-normalized'!$A:$A, 0))), 0), 0)))</f>
        <v>0</v>
      </c>
      <c r="W13" s="6">
        <f>MIN(0, N13+(IFERROR(IF(9*INDEX('UA-normalized'!$D:$D, MATCH($A13, 'UA-normalized'!$A:$A, 0))-INDEX('UA-normalized'!$E:$E, MATCH($A13, 'UA-normalized'!$A:$A, 0))&gt;0, -(9*INDEX('UA-normalized'!$D:$D, MATCH($A13, 'UA-normalized'!$A:$A, 0))-INDEX('UA-normalized'!$E:$E, MATCH($A13, 'UA-normalized'!$A:$A, 0))), 0), 0))+(IFERROR(IF(9*INDEX('KZ-normalized'!$D:$D, MATCH($A13, 'KZ-normalized'!$A:$A, 0))-INDEX('KZ-normalized'!$E:$E, MATCH($A13, 'KZ-normalized'!$A:$A, 0))&gt;0, -(9*INDEX('KZ-normalized'!$D:$D, MATCH($A13, 'KZ-normalized'!$A:$A, 0))-INDEX('KZ-normalized'!$E:$E, MATCH($A13, 'KZ-normalized'!$A:$A, 0))), 0), 0))+(IFERROR(IF(9*INDEX('UZ-normalized'!$D:$D, MATCH($A13, 'UZ-normalized'!$A:$A, 0))-INDEX('UZ-normalized'!$E:$E, MATCH($A13, 'UZ-normalized'!$A:$A, 0))&gt;0, -(9*INDEX('UZ-normalized'!$D:$D, MATCH($A13, 'UZ-normalized'!$A:$A, 0))-INDEX('UZ-normalized'!$E:$E, MATCH($A13, 'UZ-normalized'!$A:$A, 0))), 0), 0)))</f>
        <v>0</v>
      </c>
      <c r="X13" s="6">
        <f>MIN(0, N13+(IFERROR(IF(10*INDEX('UA-normalized'!$D:$D, MATCH($A13, 'UA-normalized'!$A:$A, 0))-INDEX('UA-normalized'!$E:$E, MATCH($A13, 'UA-normalized'!$A:$A, 0))&gt;0, -(10*INDEX('UA-normalized'!$D:$D, MATCH($A13, 'UA-normalized'!$A:$A, 0))-INDEX('UA-normalized'!$E:$E, MATCH($A13, 'UA-normalized'!$A:$A, 0))), 0), 0))+(IFERROR(IF(10*INDEX('KZ-normalized'!$D:$D, MATCH($A13, 'KZ-normalized'!$A:$A, 0))-INDEX('KZ-normalized'!$E:$E, MATCH($A13, 'KZ-normalized'!$A:$A, 0))&gt;0, -(10*INDEX('KZ-normalized'!$D:$D, MATCH($A13, 'KZ-normalized'!$A:$A, 0))-INDEX('KZ-normalized'!$E:$E, MATCH($A13, 'KZ-normalized'!$A:$A, 0))), 0), 0))+(IFERROR(IF(10*INDEX('UZ-normalized'!$D:$D, MATCH($A13, 'UZ-normalized'!$A:$A, 0))-INDEX('UZ-normalized'!$E:$E, MATCH($A13, 'UZ-normalized'!$A:$A, 0))&gt;0, -(10*INDEX('UZ-normalized'!$D:$D, MATCH($A13, 'UZ-normalized'!$A:$A, 0))-INDEX('UZ-normalized'!$E:$E, MATCH($A13, 'UZ-normalized'!$A:$A, 0))), 0), 0)))</f>
        <v>0</v>
      </c>
      <c r="Y13" s="6">
        <f>MIN(0, N13+(IFERROR(IF(11*INDEX('UA-normalized'!$D:$D, MATCH($A13, 'UA-normalized'!$A:$A, 0))-INDEX('UA-normalized'!$E:$E, MATCH($A13, 'UA-normalized'!$A:$A, 0))&gt;0, -(11*INDEX('UA-normalized'!$D:$D, MATCH($A13, 'UA-normalized'!$A:$A, 0))-INDEX('UA-normalized'!$E:$E, MATCH($A13, 'UA-normalized'!$A:$A, 0))), 0), 0))+(IFERROR(IF(11*INDEX('KZ-normalized'!$D:$D, MATCH($A13, 'KZ-normalized'!$A:$A, 0))-INDEX('KZ-normalized'!$E:$E, MATCH($A13, 'KZ-normalized'!$A:$A, 0))&gt;0, -(11*INDEX('KZ-normalized'!$D:$D, MATCH($A13, 'KZ-normalized'!$A:$A, 0))-INDEX('KZ-normalized'!$E:$E, MATCH($A13, 'KZ-normalized'!$A:$A, 0))), 0), 0))+(IFERROR(IF(11*INDEX('UZ-normalized'!$D:$D, MATCH($A13, 'UZ-normalized'!$A:$A, 0))-INDEX('UZ-normalized'!$E:$E, MATCH($A13, 'UZ-normalized'!$A:$A, 0))&gt;0, -(11*INDEX('UZ-normalized'!$D:$D, MATCH($A13, 'UZ-normalized'!$A:$A, 0))-INDEX('UZ-normalized'!$E:$E, MATCH($A13, 'UZ-normalized'!$A:$A, 0))), 0), 0)))</f>
        <v>0</v>
      </c>
      <c r="Z13" s="6">
        <f>MIN(0, N13+(IFERROR(IF(12*INDEX('UA-normalized'!$D:$D, MATCH($A13, 'UA-normalized'!$A:$A, 0))-INDEX('UA-normalized'!$E:$E, MATCH($A13, 'UA-normalized'!$A:$A, 0))&gt;0, -(12*INDEX('UA-normalized'!$D:$D, MATCH($A13, 'UA-normalized'!$A:$A, 0))-INDEX('UA-normalized'!$E:$E, MATCH($A13, 'UA-normalized'!$A:$A, 0))), 0), 0))+(IFERROR(IF(12*INDEX('KZ-normalized'!$D:$D, MATCH($A13, 'KZ-normalized'!$A:$A, 0))-INDEX('KZ-normalized'!$E:$E, MATCH($A13, 'KZ-normalized'!$A:$A, 0))&gt;0, -(12*INDEX('KZ-normalized'!$D:$D, MATCH($A13, 'KZ-normalized'!$A:$A, 0))-INDEX('KZ-normalized'!$E:$E, MATCH($A13, 'KZ-normalized'!$A:$A, 0))), 0), 0))+(IFERROR(IF(12*INDEX('UZ-normalized'!$D:$D, MATCH($A13, 'UZ-normalized'!$A:$A, 0))-INDEX('UZ-normalized'!$E:$E, MATCH($A13, 'UZ-normalized'!$A:$A, 0))&gt;0, -(12*INDEX('UZ-normalized'!$D:$D, MATCH($A13, 'UZ-normalized'!$A:$A, 0))-INDEX('UZ-normalized'!$E:$E, MATCH($A13, 'UZ-normalized'!$A:$A, 0))), 0), 0)))</f>
        <v>0</v>
      </c>
      <c r="AA13" s="6">
        <f>MIN(0, N13+(IFERROR(IF(13*INDEX('UA-normalized'!$D:$D, MATCH($A13, 'UA-normalized'!$A:$A, 0))-INDEX('UA-normalized'!$E:$E, MATCH($A13, 'UA-normalized'!$A:$A, 0))&gt;0, -(13*INDEX('UA-normalized'!$D:$D, MATCH($A13, 'UA-normalized'!$A:$A, 0))-INDEX('UA-normalized'!$E:$E, MATCH($A13, 'UA-normalized'!$A:$A, 0))), 0), 0))+(IFERROR(IF(13*INDEX('KZ-normalized'!$D:$D, MATCH($A13, 'KZ-normalized'!$A:$A, 0))-INDEX('KZ-normalized'!$E:$E, MATCH($A13, 'KZ-normalized'!$A:$A, 0))&gt;0, -(13*INDEX('KZ-normalized'!$D:$D, MATCH($A13, 'KZ-normalized'!$A:$A, 0))-INDEX('KZ-normalized'!$E:$E, MATCH($A13, 'KZ-normalized'!$A:$A, 0))), 0), 0))+(IFERROR(IF(13*INDEX('UZ-normalized'!$D:$D, MATCH($A13, 'UZ-normalized'!$A:$A, 0))-INDEX('UZ-normalized'!$E:$E, MATCH($A13, 'UZ-normalized'!$A:$A, 0))&gt;0, -(13*INDEX('UZ-normalized'!$D:$D, MATCH($A13, 'UZ-normalized'!$A:$A, 0))-INDEX('UZ-normalized'!$E:$E, MATCH($A13, 'UZ-normalized'!$A:$A, 0))), 0), 0)))</f>
        <v>-0.5</v>
      </c>
      <c r="AB13" s="6">
        <f>MIN(0, N13+(IFERROR(IF(14*INDEX('UA-normalized'!$D:$D, MATCH($A13, 'UA-normalized'!$A:$A, 0))-INDEX('UA-normalized'!$E:$E, MATCH($A13, 'UA-normalized'!$A:$A, 0))&gt;0, -(14*INDEX('UA-normalized'!$D:$D, MATCH($A13, 'UA-normalized'!$A:$A, 0))-INDEX('UA-normalized'!$E:$E, MATCH($A13, 'UA-normalized'!$A:$A, 0))), 0), 0))+(IFERROR(IF(14*INDEX('KZ-normalized'!$D:$D, MATCH($A13, 'KZ-normalized'!$A:$A, 0))-INDEX('KZ-normalized'!$E:$E, MATCH($A13, 'KZ-normalized'!$A:$A, 0))&gt;0, -(14*INDEX('KZ-normalized'!$D:$D, MATCH($A13, 'KZ-normalized'!$A:$A, 0))-INDEX('KZ-normalized'!$E:$E, MATCH($A13, 'KZ-normalized'!$A:$A, 0))), 0), 0))+(IFERROR(IF(14*INDEX('UZ-normalized'!$D:$D, MATCH($A13, 'UZ-normalized'!$A:$A, 0))-INDEX('UZ-normalized'!$E:$E, MATCH($A13, 'UZ-normalized'!$A:$A, 0))&gt;0, -(14*INDEX('UZ-normalized'!$D:$D, MATCH($A13, 'UZ-normalized'!$A:$A, 0))-INDEX('UZ-normalized'!$E:$E, MATCH($A13, 'UZ-normalized'!$A:$A, 0))), 0), 0)))</f>
        <v>-275</v>
      </c>
      <c r="AC13" s="6">
        <f>MIN(0, N13+(IFERROR(IF(15*INDEX('UA-normalized'!$D:$D, MATCH($A13, 'UA-normalized'!$A:$A, 0))-INDEX('UA-normalized'!$E:$E, MATCH($A13, 'UA-normalized'!$A:$A, 0))&gt;0, -(15*INDEX('UA-normalized'!$D:$D, MATCH($A13, 'UA-normalized'!$A:$A, 0))-INDEX('UA-normalized'!$E:$E, MATCH($A13, 'UA-normalized'!$A:$A, 0))), 0), 0))+(IFERROR(IF(15*INDEX('KZ-normalized'!$D:$D, MATCH($A13, 'KZ-normalized'!$A:$A, 0))-INDEX('KZ-normalized'!$E:$E, MATCH($A13, 'KZ-normalized'!$A:$A, 0))&gt;0, -(15*INDEX('KZ-normalized'!$D:$D, MATCH($A13, 'KZ-normalized'!$A:$A, 0))-INDEX('KZ-normalized'!$E:$E, MATCH($A13, 'KZ-normalized'!$A:$A, 0))), 0), 0))+(IFERROR(IF(15*INDEX('UZ-normalized'!$D:$D, MATCH($A13, 'UZ-normalized'!$A:$A, 0))-INDEX('UZ-normalized'!$E:$E, MATCH($A13, 'UZ-normalized'!$A:$A, 0))&gt;0, -(15*INDEX('UZ-normalized'!$D:$D, MATCH($A13, 'UZ-normalized'!$A:$A, 0))-INDEX('UZ-normalized'!$E:$E, MATCH($A13, 'UZ-normalized'!$A:$A, 0))), 0), 0)))</f>
        <v>-549.5</v>
      </c>
      <c r="AD13" s="6">
        <f>MIN(0, N13+(IFERROR(IF(16*INDEX('UA-normalized'!$D:$D, MATCH($A13, 'UA-normalized'!$A:$A, 0))-INDEX('UA-normalized'!$E:$E, MATCH($A13, 'UA-normalized'!$A:$A, 0))&gt;0, -(16*INDEX('UA-normalized'!$D:$D, MATCH($A13, 'UA-normalized'!$A:$A, 0))-INDEX('UA-normalized'!$E:$E, MATCH($A13, 'UA-normalized'!$A:$A, 0))), 0), 0))+(IFERROR(IF(16*INDEX('KZ-normalized'!$D:$D, MATCH($A13, 'KZ-normalized'!$A:$A, 0))-INDEX('KZ-normalized'!$E:$E, MATCH($A13, 'KZ-normalized'!$A:$A, 0))&gt;0, -(16*INDEX('KZ-normalized'!$D:$D, MATCH($A13, 'KZ-normalized'!$A:$A, 0))-INDEX('KZ-normalized'!$E:$E, MATCH($A13, 'KZ-normalized'!$A:$A, 0))), 0), 0))+(IFERROR(IF(16*INDEX('UZ-normalized'!$D:$D, MATCH($A13, 'UZ-normalized'!$A:$A, 0))-INDEX('UZ-normalized'!$E:$E, MATCH($A13, 'UZ-normalized'!$A:$A, 0))&gt;0, -(16*INDEX('UZ-normalized'!$D:$D, MATCH($A13, 'UZ-normalized'!$A:$A, 0))-INDEX('UZ-normalized'!$E:$E, MATCH($A13, 'UZ-normalized'!$A:$A, 0))), 0), 0)))</f>
        <v>-824</v>
      </c>
      <c r="AE13" s="6">
        <f>MIN(0, N13+(IFERROR(IF(17*INDEX('UA-normalized'!$D:$D, MATCH($A13, 'UA-normalized'!$A:$A, 0))-INDEX('UA-normalized'!$E:$E, MATCH($A13, 'UA-normalized'!$A:$A, 0))&gt;0, -(17*INDEX('UA-normalized'!$D:$D, MATCH($A13, 'UA-normalized'!$A:$A, 0))-INDEX('UA-normalized'!$E:$E, MATCH($A13, 'UA-normalized'!$A:$A, 0))), 0), 0))+(IFERROR(IF(17*INDEX('KZ-normalized'!$D:$D, MATCH($A13, 'KZ-normalized'!$A:$A, 0))-INDEX('KZ-normalized'!$E:$E, MATCH($A13, 'KZ-normalized'!$A:$A, 0))&gt;0, -(17*INDEX('KZ-normalized'!$D:$D, MATCH($A13, 'KZ-normalized'!$A:$A, 0))-INDEX('KZ-normalized'!$E:$E, MATCH($A13, 'KZ-normalized'!$A:$A, 0))), 0), 0))+(IFERROR(IF(17*INDEX('UZ-normalized'!$D:$D, MATCH($A13, 'UZ-normalized'!$A:$A, 0))-INDEX('UZ-normalized'!$E:$E, MATCH($A13, 'UZ-normalized'!$A:$A, 0))&gt;0, -(17*INDEX('UZ-normalized'!$D:$D, MATCH($A13, 'UZ-normalized'!$A:$A, 0))-INDEX('UZ-normalized'!$E:$E, MATCH($A13, 'UZ-normalized'!$A:$A, 0))), 0), 0)))</f>
        <v>-1098.5</v>
      </c>
      <c r="AF13" s="6">
        <f>MIN(0, N13+(IFERROR(IF(18*INDEX('UA-normalized'!$D:$D, MATCH($A13, 'UA-normalized'!$A:$A, 0))-INDEX('UA-normalized'!$E:$E, MATCH($A13, 'UA-normalized'!$A:$A, 0))&gt;0, -(18*INDEX('UA-normalized'!$D:$D, MATCH($A13, 'UA-normalized'!$A:$A, 0))-INDEX('UA-normalized'!$E:$E, MATCH($A13, 'UA-normalized'!$A:$A, 0))), 0), 0))+(IFERROR(IF(18*INDEX('KZ-normalized'!$D:$D, MATCH($A13, 'KZ-normalized'!$A:$A, 0))-INDEX('KZ-normalized'!$E:$E, MATCH($A13, 'KZ-normalized'!$A:$A, 0))&gt;0, -(18*INDEX('KZ-normalized'!$D:$D, MATCH($A13, 'KZ-normalized'!$A:$A, 0))-INDEX('KZ-normalized'!$E:$E, MATCH($A13, 'KZ-normalized'!$A:$A, 0))), 0), 0))+(IFERROR(IF(18*INDEX('UZ-normalized'!$D:$D, MATCH($A13, 'UZ-normalized'!$A:$A, 0))-INDEX('UZ-normalized'!$E:$E, MATCH($A13, 'UZ-normalized'!$A:$A, 0))&gt;0, -(18*INDEX('UZ-normalized'!$D:$D, MATCH($A13, 'UZ-normalized'!$A:$A, 0))-INDEX('UZ-normalized'!$E:$E, MATCH($A13, 'UZ-normalized'!$A:$A, 0))), 0), 0)))</f>
        <v>-1373</v>
      </c>
      <c r="AG13" s="6">
        <f>MIN(0, N13+(IFERROR(IF(19*INDEX('UA-normalized'!$D:$D, MATCH($A13, 'UA-normalized'!$A:$A, 0))-INDEX('UA-normalized'!$E:$E, MATCH($A13, 'UA-normalized'!$A:$A, 0))&gt;0, -(19*INDEX('UA-normalized'!$D:$D, MATCH($A13, 'UA-normalized'!$A:$A, 0))-INDEX('UA-normalized'!$E:$E, MATCH($A13, 'UA-normalized'!$A:$A, 0))), 0), 0))+(IFERROR(IF(19*INDEX('KZ-normalized'!$D:$D, MATCH($A13, 'KZ-normalized'!$A:$A, 0))-INDEX('KZ-normalized'!$E:$E, MATCH($A13, 'KZ-normalized'!$A:$A, 0))&gt;0, -(19*INDEX('KZ-normalized'!$D:$D, MATCH($A13, 'KZ-normalized'!$A:$A, 0))-INDEX('KZ-normalized'!$E:$E, MATCH($A13, 'KZ-normalized'!$A:$A, 0))), 0), 0))+(IFERROR(IF(19*INDEX('UZ-normalized'!$D:$D, MATCH($A13, 'UZ-normalized'!$A:$A, 0))-INDEX('UZ-normalized'!$E:$E, MATCH($A13, 'UZ-normalized'!$A:$A, 0))&gt;0, -(19*INDEX('UZ-normalized'!$D:$D, MATCH($A13, 'UZ-normalized'!$A:$A, 0))-INDEX('UZ-normalized'!$E:$E, MATCH($A13, 'UZ-normalized'!$A:$A, 0))), 0), 0)))</f>
        <v>-1647.5</v>
      </c>
      <c r="AH13" s="6">
        <f>MIN(0, N13+(IFERROR(IF(20*INDEX('UA-normalized'!$D:$D, MATCH($A13, 'UA-normalized'!$A:$A, 0))-INDEX('UA-normalized'!$E:$E, MATCH($A13, 'UA-normalized'!$A:$A, 0))&gt;0, -(20*INDEX('UA-normalized'!$D:$D, MATCH($A13, 'UA-normalized'!$A:$A, 0))-INDEX('UA-normalized'!$E:$E, MATCH($A13, 'UA-normalized'!$A:$A, 0))), 0), 0))+(IFERROR(IF(20*INDEX('KZ-normalized'!$D:$D, MATCH($A13, 'KZ-normalized'!$A:$A, 0))-INDEX('KZ-normalized'!$E:$E, MATCH($A13, 'KZ-normalized'!$A:$A, 0))&gt;0, -(20*INDEX('KZ-normalized'!$D:$D, MATCH($A13, 'KZ-normalized'!$A:$A, 0))-INDEX('KZ-normalized'!$E:$E, MATCH($A13, 'KZ-normalized'!$A:$A, 0))), 0), 0))+(IFERROR(IF(20*INDEX('UZ-normalized'!$D:$D, MATCH($A13, 'UZ-normalized'!$A:$A, 0))-INDEX('UZ-normalized'!$E:$E, MATCH($A13, 'UZ-normalized'!$A:$A, 0))&gt;0, -(20*INDEX('UZ-normalized'!$D:$D, MATCH($A13, 'UZ-normalized'!$A:$A, 0))-INDEX('UZ-normalized'!$E:$E, MATCH($A13, 'UZ-normalized'!$A:$A, 0))), 0), 0)))</f>
        <v>-1922</v>
      </c>
      <c r="AI13" s="6">
        <f>MIN(0, N13+(IFERROR(IF(21*INDEX('UA-normalized'!$D:$D, MATCH($A13, 'UA-normalized'!$A:$A, 0))-INDEX('UA-normalized'!$E:$E, MATCH($A13, 'UA-normalized'!$A:$A, 0))&gt;0, -(21*INDEX('UA-normalized'!$D:$D, MATCH($A13, 'UA-normalized'!$A:$A, 0))-INDEX('UA-normalized'!$E:$E, MATCH($A13, 'UA-normalized'!$A:$A, 0))), 0), 0))+(IFERROR(IF(21*INDEX('KZ-normalized'!$D:$D, MATCH($A13, 'KZ-normalized'!$A:$A, 0))-INDEX('KZ-normalized'!$E:$E, MATCH($A13, 'KZ-normalized'!$A:$A, 0))&gt;0, -(21*INDEX('KZ-normalized'!$D:$D, MATCH($A13, 'KZ-normalized'!$A:$A, 0))-INDEX('KZ-normalized'!$E:$E, MATCH($A13, 'KZ-normalized'!$A:$A, 0))), 0), 0))+(IFERROR(IF(21*INDEX('UZ-normalized'!$D:$D, MATCH($A13, 'UZ-normalized'!$A:$A, 0))-INDEX('UZ-normalized'!$E:$E, MATCH($A13, 'UZ-normalized'!$A:$A, 0))&gt;0, -(21*INDEX('UZ-normalized'!$D:$D, MATCH($A13, 'UZ-normalized'!$A:$A, 0))-INDEX('UZ-normalized'!$E:$E, MATCH($A13, 'UZ-normalized'!$A:$A, 0))), 0), 0)))</f>
        <v>-2196.5</v>
      </c>
      <c r="AJ13" s="6">
        <f>MIN(0, N13+(IFERROR(IF(22*INDEX('UA-normalized'!$D:$D, MATCH($A13, 'UA-normalized'!$A:$A, 0))-INDEX('UA-normalized'!$E:$E, MATCH($A13, 'UA-normalized'!$A:$A, 0))&gt;0, -(22*INDEX('UA-normalized'!$D:$D, MATCH($A13, 'UA-normalized'!$A:$A, 0))-INDEX('UA-normalized'!$E:$E, MATCH($A13, 'UA-normalized'!$A:$A, 0))), 0), 0))+(IFERROR(IF(22*INDEX('KZ-normalized'!$D:$D, MATCH($A13, 'KZ-normalized'!$A:$A, 0))-INDEX('KZ-normalized'!$E:$E, MATCH($A13, 'KZ-normalized'!$A:$A, 0))&gt;0, -(22*INDEX('KZ-normalized'!$D:$D, MATCH($A13, 'KZ-normalized'!$A:$A, 0))-INDEX('KZ-normalized'!$E:$E, MATCH($A13, 'KZ-normalized'!$A:$A, 0))), 0), 0))+(IFERROR(IF(22*INDEX('UZ-normalized'!$D:$D, MATCH($A13, 'UZ-normalized'!$A:$A, 0))-INDEX('UZ-normalized'!$E:$E, MATCH($A13, 'UZ-normalized'!$A:$A, 0))&gt;0, -(22*INDEX('UZ-normalized'!$D:$D, MATCH($A13, 'UZ-normalized'!$A:$A, 0))-INDEX('UZ-normalized'!$E:$E, MATCH($A13, 'UZ-normalized'!$A:$A, 0))), 0), 0)))</f>
        <v>-2471</v>
      </c>
      <c r="AK13" s="6">
        <f>MIN(0, N13+(IFERROR(IF(23*INDEX('UA-normalized'!$D:$D, MATCH($A13, 'UA-normalized'!$A:$A, 0))-INDEX('UA-normalized'!$E:$E, MATCH($A13, 'UA-normalized'!$A:$A, 0))&gt;0, -(23*INDEX('UA-normalized'!$D:$D, MATCH($A13, 'UA-normalized'!$A:$A, 0))-INDEX('UA-normalized'!$E:$E, MATCH($A13, 'UA-normalized'!$A:$A, 0))), 0), 0))+(IFERROR(IF(23*INDEX('KZ-normalized'!$D:$D, MATCH($A13, 'KZ-normalized'!$A:$A, 0))-INDEX('KZ-normalized'!$E:$E, MATCH($A13, 'KZ-normalized'!$A:$A, 0))&gt;0, -(23*INDEX('KZ-normalized'!$D:$D, MATCH($A13, 'KZ-normalized'!$A:$A, 0))-INDEX('KZ-normalized'!$E:$E, MATCH($A13, 'KZ-normalized'!$A:$A, 0))), 0), 0))+(IFERROR(IF(23*INDEX('UZ-normalized'!$D:$D, MATCH($A13, 'UZ-normalized'!$A:$A, 0))-INDEX('UZ-normalized'!$E:$E, MATCH($A13, 'UZ-normalized'!$A:$A, 0))&gt;0, -(23*INDEX('UZ-normalized'!$D:$D, MATCH($A13, 'UZ-normalized'!$A:$A, 0))-INDEX('UZ-normalized'!$E:$E, MATCH($A13, 'UZ-normalized'!$A:$A, 0))), 0), 0)))</f>
        <v>-2745.5</v>
      </c>
      <c r="AL13" s="6">
        <f>MIN(0, N13+(IFERROR(IF(24*INDEX('UA-normalized'!$D:$D, MATCH($A13, 'UA-normalized'!$A:$A, 0))-INDEX('UA-normalized'!$E:$E, MATCH($A13, 'UA-normalized'!$A:$A, 0))&gt;0, -(24*INDEX('UA-normalized'!$D:$D, MATCH($A13, 'UA-normalized'!$A:$A, 0))-INDEX('UA-normalized'!$E:$E, MATCH($A13, 'UA-normalized'!$A:$A, 0))), 0), 0))+(IFERROR(IF(24*INDEX('KZ-normalized'!$D:$D, MATCH($A13, 'KZ-normalized'!$A:$A, 0))-INDEX('KZ-normalized'!$E:$E, MATCH($A13, 'KZ-normalized'!$A:$A, 0))&gt;0, -(24*INDEX('KZ-normalized'!$D:$D, MATCH($A13, 'KZ-normalized'!$A:$A, 0))-INDEX('KZ-normalized'!$E:$E, MATCH($A13, 'KZ-normalized'!$A:$A, 0))), 0), 0))+(IFERROR(IF(24*INDEX('UZ-normalized'!$D:$D, MATCH($A13, 'UZ-normalized'!$A:$A, 0))-INDEX('UZ-normalized'!$E:$E, MATCH($A13, 'UZ-normalized'!$A:$A, 0))&gt;0, -(24*INDEX('UZ-normalized'!$D:$D, MATCH($A13, 'UZ-normalized'!$A:$A, 0))-INDEX('UZ-normalized'!$E:$E, MATCH($A13, 'UZ-normalized'!$A:$A, 0))), 0), 0)))</f>
        <v>-3020</v>
      </c>
      <c r="AM13" s="6">
        <f>MIN(0, N13+(IFERROR(IF(25*INDEX('UA-normalized'!$D:$D, MATCH($A13, 'UA-normalized'!$A:$A, 0))-INDEX('UA-normalized'!$E:$E, MATCH($A13, 'UA-normalized'!$A:$A, 0))&gt;0, -(25*INDEX('UA-normalized'!$D:$D, MATCH($A13, 'UA-normalized'!$A:$A, 0))-INDEX('UA-normalized'!$E:$E, MATCH($A13, 'UA-normalized'!$A:$A, 0))), 0), 0))+(IFERROR(IF(25*INDEX('KZ-normalized'!$D:$D, MATCH($A13, 'KZ-normalized'!$A:$A, 0))-INDEX('KZ-normalized'!$E:$E, MATCH($A13, 'KZ-normalized'!$A:$A, 0))&gt;0, -(25*INDEX('KZ-normalized'!$D:$D, MATCH($A13, 'KZ-normalized'!$A:$A, 0))-INDEX('KZ-normalized'!$E:$E, MATCH($A13, 'KZ-normalized'!$A:$A, 0))), 0), 0))+(IFERROR(IF(25*INDEX('UZ-normalized'!$D:$D, MATCH($A13, 'UZ-normalized'!$A:$A, 0))-INDEX('UZ-normalized'!$E:$E, MATCH($A13, 'UZ-normalized'!$A:$A, 0))&gt;0, -(25*INDEX('UZ-normalized'!$D:$D, MATCH($A13, 'UZ-normalized'!$A:$A, 0))-INDEX('UZ-normalized'!$E:$E, MATCH($A13, 'UZ-normalized'!$A:$A, 0))), 0), 0)))</f>
        <v>-3294.5</v>
      </c>
      <c r="AN13" s="6">
        <f>MIN(0, N13+(IFERROR(IF(26*INDEX('UA-normalized'!$D:$D, MATCH($A13, 'UA-normalized'!$A:$A, 0))-INDEX('UA-normalized'!$E:$E, MATCH($A13, 'UA-normalized'!$A:$A, 0))&gt;0, -(26*INDEX('UA-normalized'!$D:$D, MATCH($A13, 'UA-normalized'!$A:$A, 0))-INDEX('UA-normalized'!$E:$E, MATCH($A13, 'UA-normalized'!$A:$A, 0))), 0), 0))+(IFERROR(IF(26*INDEX('KZ-normalized'!$D:$D, MATCH($A13, 'KZ-normalized'!$A:$A, 0))-INDEX('KZ-normalized'!$E:$E, MATCH($A13, 'KZ-normalized'!$A:$A, 0))&gt;0, -(26*INDEX('KZ-normalized'!$D:$D, MATCH($A13, 'KZ-normalized'!$A:$A, 0))-INDEX('KZ-normalized'!$E:$E, MATCH($A13, 'KZ-normalized'!$A:$A, 0))), 0), 0))+(IFERROR(IF(26*INDEX('UZ-normalized'!$D:$D, MATCH($A13, 'UZ-normalized'!$A:$A, 0))-INDEX('UZ-normalized'!$E:$E, MATCH($A13, 'UZ-normalized'!$A:$A, 0))&gt;0, -(26*INDEX('UZ-normalized'!$D:$D, MATCH($A13, 'UZ-normalized'!$A:$A, 0))-INDEX('UZ-normalized'!$E:$E, MATCH($A13, 'UZ-normalized'!$A:$A, 0))), 0), 0)))</f>
        <v>-3569</v>
      </c>
      <c r="AO13" s="6">
        <f>MIN(0, N13+(IFERROR(IF(27*INDEX('UA-normalized'!$D:$D, MATCH($A13, 'UA-normalized'!$A:$A, 0))-INDEX('UA-normalized'!$E:$E, MATCH($A13, 'UA-normalized'!$A:$A, 0))&gt;0, -(27*INDEX('UA-normalized'!$D:$D, MATCH($A13, 'UA-normalized'!$A:$A, 0))-INDEX('UA-normalized'!$E:$E, MATCH($A13, 'UA-normalized'!$A:$A, 0))), 0), 0))+(IFERROR(IF(27*INDEX('KZ-normalized'!$D:$D, MATCH($A13, 'KZ-normalized'!$A:$A, 0))-INDEX('KZ-normalized'!$E:$E, MATCH($A13, 'KZ-normalized'!$A:$A, 0))&gt;0, -(27*INDEX('KZ-normalized'!$D:$D, MATCH($A13, 'KZ-normalized'!$A:$A, 0))-INDEX('KZ-normalized'!$E:$E, MATCH($A13, 'KZ-normalized'!$A:$A, 0))), 0), 0))+(IFERROR(IF(27*INDEX('UZ-normalized'!$D:$D, MATCH($A13, 'UZ-normalized'!$A:$A, 0))-INDEX('UZ-normalized'!$E:$E, MATCH($A13, 'UZ-normalized'!$A:$A, 0))&gt;0, -(27*INDEX('UZ-normalized'!$D:$D, MATCH($A13, 'UZ-normalized'!$A:$A, 0))-INDEX('UZ-normalized'!$E:$E, MATCH($A13, 'UZ-normalized'!$A:$A, 0))), 0), 0)))</f>
        <v>-3843.5</v>
      </c>
      <c r="AP13" s="6">
        <f>MIN(0, N13+(IFERROR(IF(28*INDEX('UA-normalized'!$D:$D, MATCH($A13, 'UA-normalized'!$A:$A, 0))-INDEX('UA-normalized'!$E:$E, MATCH($A13, 'UA-normalized'!$A:$A, 0))&gt;0, -(28*INDEX('UA-normalized'!$D:$D, MATCH($A13, 'UA-normalized'!$A:$A, 0))-INDEX('UA-normalized'!$E:$E, MATCH($A13, 'UA-normalized'!$A:$A, 0))), 0), 0))+(IFERROR(IF(28*INDEX('KZ-normalized'!$D:$D, MATCH($A13, 'KZ-normalized'!$A:$A, 0))-INDEX('KZ-normalized'!$E:$E, MATCH($A13, 'KZ-normalized'!$A:$A, 0))&gt;0, -(28*INDEX('KZ-normalized'!$D:$D, MATCH($A13, 'KZ-normalized'!$A:$A, 0))-INDEX('KZ-normalized'!$E:$E, MATCH($A13, 'KZ-normalized'!$A:$A, 0))), 0), 0))+(IFERROR(IF(28*INDEX('UZ-normalized'!$D:$D, MATCH($A13, 'UZ-normalized'!$A:$A, 0))-INDEX('UZ-normalized'!$E:$E, MATCH($A13, 'UZ-normalized'!$A:$A, 0))&gt;0, -(28*INDEX('UZ-normalized'!$D:$D, MATCH($A13, 'UZ-normalized'!$A:$A, 0))-INDEX('UZ-normalized'!$E:$E, MATCH($A13, 'UZ-normalized'!$A:$A, 0))), 0), 0)))</f>
        <v>-4118</v>
      </c>
      <c r="AQ13" s="6">
        <f>MIN(0, N13+(IFERROR(IF(29*INDEX('UA-normalized'!$D:$D, MATCH($A13, 'UA-normalized'!$A:$A, 0))-INDEX('UA-normalized'!$E:$E, MATCH($A13, 'UA-normalized'!$A:$A, 0))&gt;0, -(29*INDEX('UA-normalized'!$D:$D, MATCH($A13, 'UA-normalized'!$A:$A, 0))-INDEX('UA-normalized'!$E:$E, MATCH($A13, 'UA-normalized'!$A:$A, 0))), 0), 0))+(IFERROR(IF(29*INDEX('KZ-normalized'!$D:$D, MATCH($A13, 'KZ-normalized'!$A:$A, 0))-INDEX('KZ-normalized'!$E:$E, MATCH($A13, 'KZ-normalized'!$A:$A, 0))&gt;0, -(29*INDEX('KZ-normalized'!$D:$D, MATCH($A13, 'KZ-normalized'!$A:$A, 0))-INDEX('KZ-normalized'!$E:$E, MATCH($A13, 'KZ-normalized'!$A:$A, 0))), 0), 0))+(IFERROR(IF(29*INDEX('UZ-normalized'!$D:$D, MATCH($A13, 'UZ-normalized'!$A:$A, 0))-INDEX('UZ-normalized'!$E:$E, MATCH($A13, 'UZ-normalized'!$A:$A, 0))&gt;0, -(29*INDEX('UZ-normalized'!$D:$D, MATCH($A13, 'UZ-normalized'!$A:$A, 0))-INDEX('UZ-normalized'!$E:$E, MATCH($A13, 'UZ-normalized'!$A:$A, 0))), 0), 0)))</f>
        <v>-4392.5</v>
      </c>
      <c r="AR13" s="6">
        <f>MIN(0, N13+(IFERROR(IF(30*INDEX('UA-normalized'!$D:$D, MATCH($A13, 'UA-normalized'!$A:$A, 0))-INDEX('UA-normalized'!$E:$E, MATCH($A13, 'UA-normalized'!$A:$A, 0))&gt;0, -(30*INDEX('UA-normalized'!$D:$D, MATCH($A13, 'UA-normalized'!$A:$A, 0))-INDEX('UA-normalized'!$E:$E, MATCH($A13, 'UA-normalized'!$A:$A, 0))), 0), 0))+(IFERROR(IF(30*INDEX('KZ-normalized'!$D:$D, MATCH($A13, 'KZ-normalized'!$A:$A, 0))-INDEX('KZ-normalized'!$E:$E, MATCH($A13, 'KZ-normalized'!$A:$A, 0))&gt;0, -(30*INDEX('KZ-normalized'!$D:$D, MATCH($A13, 'KZ-normalized'!$A:$A, 0))-INDEX('KZ-normalized'!$E:$E, MATCH($A13, 'KZ-normalized'!$A:$A, 0))), 0), 0))+(IFERROR(IF(30*INDEX('UZ-normalized'!$D:$D, MATCH($A13, 'UZ-normalized'!$A:$A, 0))-INDEX('UZ-normalized'!$E:$E, MATCH($A13, 'UZ-normalized'!$A:$A, 0))&gt;0, -(30*INDEX('UZ-normalized'!$D:$D, MATCH($A13, 'UZ-normalized'!$A:$A, 0))-INDEX('UZ-normalized'!$E:$E, MATCH($A13, 'UZ-normalized'!$A:$A, 0))), 0), 0)))</f>
        <v>-4667</v>
      </c>
    </row>
    <row r="14" spans="1:44" x14ac:dyDescent="0.25">
      <c r="A14" s="8" t="s">
        <v>72</v>
      </c>
      <c r="B14" s="8" t="s">
        <v>45</v>
      </c>
      <c r="C14" s="8" t="s">
        <v>60</v>
      </c>
      <c r="D14" s="8" t="s">
        <v>73</v>
      </c>
      <c r="F14">
        <v>227</v>
      </c>
      <c r="N14">
        <f t="shared" si="0"/>
        <v>227</v>
      </c>
      <c r="O14" s="6">
        <f>MIN(0, N14+(IFERROR(IF(1*INDEX('UA-normalized'!$D:$D, MATCH($A14, 'UA-normalized'!$A:$A, 0))-INDEX('UA-normalized'!$E:$E, MATCH($A14, 'UA-normalized'!$A:$A, 0))&gt;0, -(1*INDEX('UA-normalized'!$D:$D, MATCH($A14, 'UA-normalized'!$A:$A, 0))-INDEX('UA-normalized'!$E:$E, MATCH($A14, 'UA-normalized'!$A:$A, 0))), 0), 0))+(IFERROR(IF(1*INDEX('KZ-normalized'!$D:$D, MATCH($A14, 'KZ-normalized'!$A:$A, 0))-INDEX('KZ-normalized'!$E:$E, MATCH($A14, 'KZ-normalized'!$A:$A, 0))&gt;0, -(1*INDEX('KZ-normalized'!$D:$D, MATCH($A14, 'KZ-normalized'!$A:$A, 0))-INDEX('KZ-normalized'!$E:$E, MATCH($A14, 'KZ-normalized'!$A:$A, 0))), 0), 0))+(IFERROR(IF(1*INDEX('UZ-normalized'!$D:$D, MATCH($A14, 'UZ-normalized'!$A:$A, 0))-INDEX('UZ-normalized'!$E:$E, MATCH($A14, 'UZ-normalized'!$A:$A, 0))&gt;0, -(1*INDEX('UZ-normalized'!$D:$D, MATCH($A14, 'UZ-normalized'!$A:$A, 0))-INDEX('UZ-normalized'!$E:$E, MATCH($A14, 'UZ-normalized'!$A:$A, 0))), 0), 0)))</f>
        <v>0</v>
      </c>
      <c r="P14" s="6">
        <f>MIN(0, N14+(IFERROR(IF(2*INDEX('UA-normalized'!$D:$D, MATCH($A14, 'UA-normalized'!$A:$A, 0))-INDEX('UA-normalized'!$E:$E, MATCH($A14, 'UA-normalized'!$A:$A, 0))&gt;0, -(2*INDEX('UA-normalized'!$D:$D, MATCH($A14, 'UA-normalized'!$A:$A, 0))-INDEX('UA-normalized'!$E:$E, MATCH($A14, 'UA-normalized'!$A:$A, 0))), 0), 0))+(IFERROR(IF(2*INDEX('KZ-normalized'!$D:$D, MATCH($A14, 'KZ-normalized'!$A:$A, 0))-INDEX('KZ-normalized'!$E:$E, MATCH($A14, 'KZ-normalized'!$A:$A, 0))&gt;0, -(2*INDEX('KZ-normalized'!$D:$D, MATCH($A14, 'KZ-normalized'!$A:$A, 0))-INDEX('KZ-normalized'!$E:$E, MATCH($A14, 'KZ-normalized'!$A:$A, 0))), 0), 0))+(IFERROR(IF(2*INDEX('UZ-normalized'!$D:$D, MATCH($A14, 'UZ-normalized'!$A:$A, 0))-INDEX('UZ-normalized'!$E:$E, MATCH($A14, 'UZ-normalized'!$A:$A, 0))&gt;0, -(2*INDEX('UZ-normalized'!$D:$D, MATCH($A14, 'UZ-normalized'!$A:$A, 0))-INDEX('UZ-normalized'!$E:$E, MATCH($A14, 'UZ-normalized'!$A:$A, 0))), 0), 0)))</f>
        <v>0</v>
      </c>
      <c r="Q14" s="6">
        <f>MIN(0, N14+(IFERROR(IF(3*INDEX('UA-normalized'!$D:$D, MATCH($A14, 'UA-normalized'!$A:$A, 0))-INDEX('UA-normalized'!$E:$E, MATCH($A14, 'UA-normalized'!$A:$A, 0))&gt;0, -(3*INDEX('UA-normalized'!$D:$D, MATCH($A14, 'UA-normalized'!$A:$A, 0))-INDEX('UA-normalized'!$E:$E, MATCH($A14, 'UA-normalized'!$A:$A, 0))), 0), 0))+(IFERROR(IF(3*INDEX('KZ-normalized'!$D:$D, MATCH($A14, 'KZ-normalized'!$A:$A, 0))-INDEX('KZ-normalized'!$E:$E, MATCH($A14, 'KZ-normalized'!$A:$A, 0))&gt;0, -(3*INDEX('KZ-normalized'!$D:$D, MATCH($A14, 'KZ-normalized'!$A:$A, 0))-INDEX('KZ-normalized'!$E:$E, MATCH($A14, 'KZ-normalized'!$A:$A, 0))), 0), 0))+(IFERROR(IF(3*INDEX('UZ-normalized'!$D:$D, MATCH($A14, 'UZ-normalized'!$A:$A, 0))-INDEX('UZ-normalized'!$E:$E, MATCH($A14, 'UZ-normalized'!$A:$A, 0))&gt;0, -(3*INDEX('UZ-normalized'!$D:$D, MATCH($A14, 'UZ-normalized'!$A:$A, 0))-INDEX('UZ-normalized'!$E:$E, MATCH($A14, 'UZ-normalized'!$A:$A, 0))), 0), 0)))</f>
        <v>0</v>
      </c>
      <c r="R14" s="6">
        <f>MIN(0, N14+(IFERROR(IF(4*INDEX('UA-normalized'!$D:$D, MATCH($A14, 'UA-normalized'!$A:$A, 0))-INDEX('UA-normalized'!$E:$E, MATCH($A14, 'UA-normalized'!$A:$A, 0))&gt;0, -(4*INDEX('UA-normalized'!$D:$D, MATCH($A14, 'UA-normalized'!$A:$A, 0))-INDEX('UA-normalized'!$E:$E, MATCH($A14, 'UA-normalized'!$A:$A, 0))), 0), 0))+(IFERROR(IF(4*INDEX('KZ-normalized'!$D:$D, MATCH($A14, 'KZ-normalized'!$A:$A, 0))-INDEX('KZ-normalized'!$E:$E, MATCH($A14, 'KZ-normalized'!$A:$A, 0))&gt;0, -(4*INDEX('KZ-normalized'!$D:$D, MATCH($A14, 'KZ-normalized'!$A:$A, 0))-INDEX('KZ-normalized'!$E:$E, MATCH($A14, 'KZ-normalized'!$A:$A, 0))), 0), 0))+(IFERROR(IF(4*INDEX('UZ-normalized'!$D:$D, MATCH($A14, 'UZ-normalized'!$A:$A, 0))-INDEX('UZ-normalized'!$E:$E, MATCH($A14, 'UZ-normalized'!$A:$A, 0))&gt;0, -(4*INDEX('UZ-normalized'!$D:$D, MATCH($A14, 'UZ-normalized'!$A:$A, 0))-INDEX('UZ-normalized'!$E:$E, MATCH($A14, 'UZ-normalized'!$A:$A, 0))), 0), 0)))</f>
        <v>0</v>
      </c>
      <c r="S14" s="6">
        <f>MIN(0, N14+(IFERROR(IF(5*INDEX('UA-normalized'!$D:$D, MATCH($A14, 'UA-normalized'!$A:$A, 0))-INDEX('UA-normalized'!$E:$E, MATCH($A14, 'UA-normalized'!$A:$A, 0))&gt;0, -(5*INDEX('UA-normalized'!$D:$D, MATCH($A14, 'UA-normalized'!$A:$A, 0))-INDEX('UA-normalized'!$E:$E, MATCH($A14, 'UA-normalized'!$A:$A, 0))), 0), 0))+(IFERROR(IF(5*INDEX('KZ-normalized'!$D:$D, MATCH($A14, 'KZ-normalized'!$A:$A, 0))-INDEX('KZ-normalized'!$E:$E, MATCH($A14, 'KZ-normalized'!$A:$A, 0))&gt;0, -(5*INDEX('KZ-normalized'!$D:$D, MATCH($A14, 'KZ-normalized'!$A:$A, 0))-INDEX('KZ-normalized'!$E:$E, MATCH($A14, 'KZ-normalized'!$A:$A, 0))), 0), 0))+(IFERROR(IF(5*INDEX('UZ-normalized'!$D:$D, MATCH($A14, 'UZ-normalized'!$A:$A, 0))-INDEX('UZ-normalized'!$E:$E, MATCH($A14, 'UZ-normalized'!$A:$A, 0))&gt;0, -(5*INDEX('UZ-normalized'!$D:$D, MATCH($A14, 'UZ-normalized'!$A:$A, 0))-INDEX('UZ-normalized'!$E:$E, MATCH($A14, 'UZ-normalized'!$A:$A, 0))), 0), 0)))</f>
        <v>0</v>
      </c>
      <c r="T14" s="6">
        <f>MIN(0, N14+(IFERROR(IF(6*INDEX('UA-normalized'!$D:$D, MATCH($A14, 'UA-normalized'!$A:$A, 0))-INDEX('UA-normalized'!$E:$E, MATCH($A14, 'UA-normalized'!$A:$A, 0))&gt;0, -(6*INDEX('UA-normalized'!$D:$D, MATCH($A14, 'UA-normalized'!$A:$A, 0))-INDEX('UA-normalized'!$E:$E, MATCH($A14, 'UA-normalized'!$A:$A, 0))), 0), 0))+(IFERROR(IF(6*INDEX('KZ-normalized'!$D:$D, MATCH($A14, 'KZ-normalized'!$A:$A, 0))-INDEX('KZ-normalized'!$E:$E, MATCH($A14, 'KZ-normalized'!$A:$A, 0))&gt;0, -(6*INDEX('KZ-normalized'!$D:$D, MATCH($A14, 'KZ-normalized'!$A:$A, 0))-INDEX('KZ-normalized'!$E:$E, MATCH($A14, 'KZ-normalized'!$A:$A, 0))), 0), 0))+(IFERROR(IF(6*INDEX('UZ-normalized'!$D:$D, MATCH($A14, 'UZ-normalized'!$A:$A, 0))-INDEX('UZ-normalized'!$E:$E, MATCH($A14, 'UZ-normalized'!$A:$A, 0))&gt;0, -(6*INDEX('UZ-normalized'!$D:$D, MATCH($A14, 'UZ-normalized'!$A:$A, 0))-INDEX('UZ-normalized'!$E:$E, MATCH($A14, 'UZ-normalized'!$A:$A, 0))), 0), 0)))</f>
        <v>0</v>
      </c>
      <c r="U14" s="6">
        <f>MIN(0, N14+(IFERROR(IF(7*INDEX('UA-normalized'!$D:$D, MATCH($A14, 'UA-normalized'!$A:$A, 0))-INDEX('UA-normalized'!$E:$E, MATCH($A14, 'UA-normalized'!$A:$A, 0))&gt;0, -(7*INDEX('UA-normalized'!$D:$D, MATCH($A14, 'UA-normalized'!$A:$A, 0))-INDEX('UA-normalized'!$E:$E, MATCH($A14, 'UA-normalized'!$A:$A, 0))), 0), 0))+(IFERROR(IF(7*INDEX('KZ-normalized'!$D:$D, MATCH($A14, 'KZ-normalized'!$A:$A, 0))-INDEX('KZ-normalized'!$E:$E, MATCH($A14, 'KZ-normalized'!$A:$A, 0))&gt;0, -(7*INDEX('KZ-normalized'!$D:$D, MATCH($A14, 'KZ-normalized'!$A:$A, 0))-INDEX('KZ-normalized'!$E:$E, MATCH($A14, 'KZ-normalized'!$A:$A, 0))), 0), 0))+(IFERROR(IF(7*INDEX('UZ-normalized'!$D:$D, MATCH($A14, 'UZ-normalized'!$A:$A, 0))-INDEX('UZ-normalized'!$E:$E, MATCH($A14, 'UZ-normalized'!$A:$A, 0))&gt;0, -(7*INDEX('UZ-normalized'!$D:$D, MATCH($A14, 'UZ-normalized'!$A:$A, 0))-INDEX('UZ-normalized'!$E:$E, MATCH($A14, 'UZ-normalized'!$A:$A, 0))), 0), 0)))</f>
        <v>0</v>
      </c>
      <c r="V14" s="6">
        <f>MIN(0, N14+(IFERROR(IF(8*INDEX('UA-normalized'!$D:$D, MATCH($A14, 'UA-normalized'!$A:$A, 0))-INDEX('UA-normalized'!$E:$E, MATCH($A14, 'UA-normalized'!$A:$A, 0))&gt;0, -(8*INDEX('UA-normalized'!$D:$D, MATCH($A14, 'UA-normalized'!$A:$A, 0))-INDEX('UA-normalized'!$E:$E, MATCH($A14, 'UA-normalized'!$A:$A, 0))), 0), 0))+(IFERROR(IF(8*INDEX('KZ-normalized'!$D:$D, MATCH($A14, 'KZ-normalized'!$A:$A, 0))-INDEX('KZ-normalized'!$E:$E, MATCH($A14, 'KZ-normalized'!$A:$A, 0))&gt;0, -(8*INDEX('KZ-normalized'!$D:$D, MATCH($A14, 'KZ-normalized'!$A:$A, 0))-INDEX('KZ-normalized'!$E:$E, MATCH($A14, 'KZ-normalized'!$A:$A, 0))), 0), 0))+(IFERROR(IF(8*INDEX('UZ-normalized'!$D:$D, MATCH($A14, 'UZ-normalized'!$A:$A, 0))-INDEX('UZ-normalized'!$E:$E, MATCH($A14, 'UZ-normalized'!$A:$A, 0))&gt;0, -(8*INDEX('UZ-normalized'!$D:$D, MATCH($A14, 'UZ-normalized'!$A:$A, 0))-INDEX('UZ-normalized'!$E:$E, MATCH($A14, 'UZ-normalized'!$A:$A, 0))), 0), 0)))</f>
        <v>0</v>
      </c>
      <c r="W14" s="6">
        <f>MIN(0, N14+(IFERROR(IF(9*INDEX('UA-normalized'!$D:$D, MATCH($A14, 'UA-normalized'!$A:$A, 0))-INDEX('UA-normalized'!$E:$E, MATCH($A14, 'UA-normalized'!$A:$A, 0))&gt;0, -(9*INDEX('UA-normalized'!$D:$D, MATCH($A14, 'UA-normalized'!$A:$A, 0))-INDEX('UA-normalized'!$E:$E, MATCH($A14, 'UA-normalized'!$A:$A, 0))), 0), 0))+(IFERROR(IF(9*INDEX('KZ-normalized'!$D:$D, MATCH($A14, 'KZ-normalized'!$A:$A, 0))-INDEX('KZ-normalized'!$E:$E, MATCH($A14, 'KZ-normalized'!$A:$A, 0))&gt;0, -(9*INDEX('KZ-normalized'!$D:$D, MATCH($A14, 'KZ-normalized'!$A:$A, 0))-INDEX('KZ-normalized'!$E:$E, MATCH($A14, 'KZ-normalized'!$A:$A, 0))), 0), 0))+(IFERROR(IF(9*INDEX('UZ-normalized'!$D:$D, MATCH($A14, 'UZ-normalized'!$A:$A, 0))-INDEX('UZ-normalized'!$E:$E, MATCH($A14, 'UZ-normalized'!$A:$A, 0))&gt;0, -(9*INDEX('UZ-normalized'!$D:$D, MATCH($A14, 'UZ-normalized'!$A:$A, 0))-INDEX('UZ-normalized'!$E:$E, MATCH($A14, 'UZ-normalized'!$A:$A, 0))), 0), 0)))</f>
        <v>0</v>
      </c>
      <c r="X14" s="6">
        <f>MIN(0, N14+(IFERROR(IF(10*INDEX('UA-normalized'!$D:$D, MATCH($A14, 'UA-normalized'!$A:$A, 0))-INDEX('UA-normalized'!$E:$E, MATCH($A14, 'UA-normalized'!$A:$A, 0))&gt;0, -(10*INDEX('UA-normalized'!$D:$D, MATCH($A14, 'UA-normalized'!$A:$A, 0))-INDEX('UA-normalized'!$E:$E, MATCH($A14, 'UA-normalized'!$A:$A, 0))), 0), 0))+(IFERROR(IF(10*INDEX('KZ-normalized'!$D:$D, MATCH($A14, 'KZ-normalized'!$A:$A, 0))-INDEX('KZ-normalized'!$E:$E, MATCH($A14, 'KZ-normalized'!$A:$A, 0))&gt;0, -(10*INDEX('KZ-normalized'!$D:$D, MATCH($A14, 'KZ-normalized'!$A:$A, 0))-INDEX('KZ-normalized'!$E:$E, MATCH($A14, 'KZ-normalized'!$A:$A, 0))), 0), 0))+(IFERROR(IF(10*INDEX('UZ-normalized'!$D:$D, MATCH($A14, 'UZ-normalized'!$A:$A, 0))-INDEX('UZ-normalized'!$E:$E, MATCH($A14, 'UZ-normalized'!$A:$A, 0))&gt;0, -(10*INDEX('UZ-normalized'!$D:$D, MATCH($A14, 'UZ-normalized'!$A:$A, 0))-INDEX('UZ-normalized'!$E:$E, MATCH($A14, 'UZ-normalized'!$A:$A, 0))), 0), 0)))</f>
        <v>0</v>
      </c>
      <c r="Y14" s="6">
        <f>MIN(0, N14+(IFERROR(IF(11*INDEX('UA-normalized'!$D:$D, MATCH($A14, 'UA-normalized'!$A:$A, 0))-INDEX('UA-normalized'!$E:$E, MATCH($A14, 'UA-normalized'!$A:$A, 0))&gt;0, -(11*INDEX('UA-normalized'!$D:$D, MATCH($A14, 'UA-normalized'!$A:$A, 0))-INDEX('UA-normalized'!$E:$E, MATCH($A14, 'UA-normalized'!$A:$A, 0))), 0), 0))+(IFERROR(IF(11*INDEX('KZ-normalized'!$D:$D, MATCH($A14, 'KZ-normalized'!$A:$A, 0))-INDEX('KZ-normalized'!$E:$E, MATCH($A14, 'KZ-normalized'!$A:$A, 0))&gt;0, -(11*INDEX('KZ-normalized'!$D:$D, MATCH($A14, 'KZ-normalized'!$A:$A, 0))-INDEX('KZ-normalized'!$E:$E, MATCH($A14, 'KZ-normalized'!$A:$A, 0))), 0), 0))+(IFERROR(IF(11*INDEX('UZ-normalized'!$D:$D, MATCH($A14, 'UZ-normalized'!$A:$A, 0))-INDEX('UZ-normalized'!$E:$E, MATCH($A14, 'UZ-normalized'!$A:$A, 0))&gt;0, -(11*INDEX('UZ-normalized'!$D:$D, MATCH($A14, 'UZ-normalized'!$A:$A, 0))-INDEX('UZ-normalized'!$E:$E, MATCH($A14, 'UZ-normalized'!$A:$A, 0))), 0), 0)))</f>
        <v>0</v>
      </c>
      <c r="Z14" s="6">
        <f>MIN(0, N14+(IFERROR(IF(12*INDEX('UA-normalized'!$D:$D, MATCH($A14, 'UA-normalized'!$A:$A, 0))-INDEX('UA-normalized'!$E:$E, MATCH($A14, 'UA-normalized'!$A:$A, 0))&gt;0, -(12*INDEX('UA-normalized'!$D:$D, MATCH($A14, 'UA-normalized'!$A:$A, 0))-INDEX('UA-normalized'!$E:$E, MATCH($A14, 'UA-normalized'!$A:$A, 0))), 0), 0))+(IFERROR(IF(12*INDEX('KZ-normalized'!$D:$D, MATCH($A14, 'KZ-normalized'!$A:$A, 0))-INDEX('KZ-normalized'!$E:$E, MATCH($A14, 'KZ-normalized'!$A:$A, 0))&gt;0, -(12*INDEX('KZ-normalized'!$D:$D, MATCH($A14, 'KZ-normalized'!$A:$A, 0))-INDEX('KZ-normalized'!$E:$E, MATCH($A14, 'KZ-normalized'!$A:$A, 0))), 0), 0))+(IFERROR(IF(12*INDEX('UZ-normalized'!$D:$D, MATCH($A14, 'UZ-normalized'!$A:$A, 0))-INDEX('UZ-normalized'!$E:$E, MATCH($A14, 'UZ-normalized'!$A:$A, 0))&gt;0, -(12*INDEX('UZ-normalized'!$D:$D, MATCH($A14, 'UZ-normalized'!$A:$A, 0))-INDEX('UZ-normalized'!$E:$E, MATCH($A14, 'UZ-normalized'!$A:$A, 0))), 0), 0)))</f>
        <v>0</v>
      </c>
      <c r="AA14" s="6">
        <f>MIN(0, N14+(IFERROR(IF(13*INDEX('UA-normalized'!$D:$D, MATCH($A14, 'UA-normalized'!$A:$A, 0))-INDEX('UA-normalized'!$E:$E, MATCH($A14, 'UA-normalized'!$A:$A, 0))&gt;0, -(13*INDEX('UA-normalized'!$D:$D, MATCH($A14, 'UA-normalized'!$A:$A, 0))-INDEX('UA-normalized'!$E:$E, MATCH($A14, 'UA-normalized'!$A:$A, 0))), 0), 0))+(IFERROR(IF(13*INDEX('KZ-normalized'!$D:$D, MATCH($A14, 'KZ-normalized'!$A:$A, 0))-INDEX('KZ-normalized'!$E:$E, MATCH($A14, 'KZ-normalized'!$A:$A, 0))&gt;0, -(13*INDEX('KZ-normalized'!$D:$D, MATCH($A14, 'KZ-normalized'!$A:$A, 0))-INDEX('KZ-normalized'!$E:$E, MATCH($A14, 'KZ-normalized'!$A:$A, 0))), 0), 0))+(IFERROR(IF(13*INDEX('UZ-normalized'!$D:$D, MATCH($A14, 'UZ-normalized'!$A:$A, 0))-INDEX('UZ-normalized'!$E:$E, MATCH($A14, 'UZ-normalized'!$A:$A, 0))&gt;0, -(13*INDEX('UZ-normalized'!$D:$D, MATCH($A14, 'UZ-normalized'!$A:$A, 0))-INDEX('UZ-normalized'!$E:$E, MATCH($A14, 'UZ-normalized'!$A:$A, 0))), 0), 0)))</f>
        <v>0</v>
      </c>
      <c r="AB14" s="6">
        <f>MIN(0, N14+(IFERROR(IF(14*INDEX('UA-normalized'!$D:$D, MATCH($A14, 'UA-normalized'!$A:$A, 0))-INDEX('UA-normalized'!$E:$E, MATCH($A14, 'UA-normalized'!$A:$A, 0))&gt;0, -(14*INDEX('UA-normalized'!$D:$D, MATCH($A14, 'UA-normalized'!$A:$A, 0))-INDEX('UA-normalized'!$E:$E, MATCH($A14, 'UA-normalized'!$A:$A, 0))), 0), 0))+(IFERROR(IF(14*INDEX('KZ-normalized'!$D:$D, MATCH($A14, 'KZ-normalized'!$A:$A, 0))-INDEX('KZ-normalized'!$E:$E, MATCH($A14, 'KZ-normalized'!$A:$A, 0))&gt;0, -(14*INDEX('KZ-normalized'!$D:$D, MATCH($A14, 'KZ-normalized'!$A:$A, 0))-INDEX('KZ-normalized'!$E:$E, MATCH($A14, 'KZ-normalized'!$A:$A, 0))), 0), 0))+(IFERROR(IF(14*INDEX('UZ-normalized'!$D:$D, MATCH($A14, 'UZ-normalized'!$A:$A, 0))-INDEX('UZ-normalized'!$E:$E, MATCH($A14, 'UZ-normalized'!$A:$A, 0))&gt;0, -(14*INDEX('UZ-normalized'!$D:$D, MATCH($A14, 'UZ-normalized'!$A:$A, 0))-INDEX('UZ-normalized'!$E:$E, MATCH($A14, 'UZ-normalized'!$A:$A, 0))), 0), 0)))</f>
        <v>0</v>
      </c>
      <c r="AC14" s="6">
        <f>MIN(0, N14+(IFERROR(IF(15*INDEX('UA-normalized'!$D:$D, MATCH($A14, 'UA-normalized'!$A:$A, 0))-INDEX('UA-normalized'!$E:$E, MATCH($A14, 'UA-normalized'!$A:$A, 0))&gt;0, -(15*INDEX('UA-normalized'!$D:$D, MATCH($A14, 'UA-normalized'!$A:$A, 0))-INDEX('UA-normalized'!$E:$E, MATCH($A14, 'UA-normalized'!$A:$A, 0))), 0), 0))+(IFERROR(IF(15*INDEX('KZ-normalized'!$D:$D, MATCH($A14, 'KZ-normalized'!$A:$A, 0))-INDEX('KZ-normalized'!$E:$E, MATCH($A14, 'KZ-normalized'!$A:$A, 0))&gt;0, -(15*INDEX('KZ-normalized'!$D:$D, MATCH($A14, 'KZ-normalized'!$A:$A, 0))-INDEX('KZ-normalized'!$E:$E, MATCH($A14, 'KZ-normalized'!$A:$A, 0))), 0), 0))+(IFERROR(IF(15*INDEX('UZ-normalized'!$D:$D, MATCH($A14, 'UZ-normalized'!$A:$A, 0))-INDEX('UZ-normalized'!$E:$E, MATCH($A14, 'UZ-normalized'!$A:$A, 0))&gt;0, -(15*INDEX('UZ-normalized'!$D:$D, MATCH($A14, 'UZ-normalized'!$A:$A, 0))-INDEX('UZ-normalized'!$E:$E, MATCH($A14, 'UZ-normalized'!$A:$A, 0))), 0), 0)))</f>
        <v>0</v>
      </c>
      <c r="AD14" s="6">
        <f>MIN(0, N14+(IFERROR(IF(16*INDEX('UA-normalized'!$D:$D, MATCH($A14, 'UA-normalized'!$A:$A, 0))-INDEX('UA-normalized'!$E:$E, MATCH($A14, 'UA-normalized'!$A:$A, 0))&gt;0, -(16*INDEX('UA-normalized'!$D:$D, MATCH($A14, 'UA-normalized'!$A:$A, 0))-INDEX('UA-normalized'!$E:$E, MATCH($A14, 'UA-normalized'!$A:$A, 0))), 0), 0))+(IFERROR(IF(16*INDEX('KZ-normalized'!$D:$D, MATCH($A14, 'KZ-normalized'!$A:$A, 0))-INDEX('KZ-normalized'!$E:$E, MATCH($A14, 'KZ-normalized'!$A:$A, 0))&gt;0, -(16*INDEX('KZ-normalized'!$D:$D, MATCH($A14, 'KZ-normalized'!$A:$A, 0))-INDEX('KZ-normalized'!$E:$E, MATCH($A14, 'KZ-normalized'!$A:$A, 0))), 0), 0))+(IFERROR(IF(16*INDEX('UZ-normalized'!$D:$D, MATCH($A14, 'UZ-normalized'!$A:$A, 0))-INDEX('UZ-normalized'!$E:$E, MATCH($A14, 'UZ-normalized'!$A:$A, 0))&gt;0, -(16*INDEX('UZ-normalized'!$D:$D, MATCH($A14, 'UZ-normalized'!$A:$A, 0))-INDEX('UZ-normalized'!$E:$E, MATCH($A14, 'UZ-normalized'!$A:$A, 0))), 0), 0)))</f>
        <v>0</v>
      </c>
      <c r="AE14" s="6">
        <f>MIN(0, N14+(IFERROR(IF(17*INDEX('UA-normalized'!$D:$D, MATCH($A14, 'UA-normalized'!$A:$A, 0))-INDEX('UA-normalized'!$E:$E, MATCH($A14, 'UA-normalized'!$A:$A, 0))&gt;0, -(17*INDEX('UA-normalized'!$D:$D, MATCH($A14, 'UA-normalized'!$A:$A, 0))-INDEX('UA-normalized'!$E:$E, MATCH($A14, 'UA-normalized'!$A:$A, 0))), 0), 0))+(IFERROR(IF(17*INDEX('KZ-normalized'!$D:$D, MATCH($A14, 'KZ-normalized'!$A:$A, 0))-INDEX('KZ-normalized'!$E:$E, MATCH($A14, 'KZ-normalized'!$A:$A, 0))&gt;0, -(17*INDEX('KZ-normalized'!$D:$D, MATCH($A14, 'KZ-normalized'!$A:$A, 0))-INDEX('KZ-normalized'!$E:$E, MATCH($A14, 'KZ-normalized'!$A:$A, 0))), 0), 0))+(IFERROR(IF(17*INDEX('UZ-normalized'!$D:$D, MATCH($A14, 'UZ-normalized'!$A:$A, 0))-INDEX('UZ-normalized'!$E:$E, MATCH($A14, 'UZ-normalized'!$A:$A, 0))&gt;0, -(17*INDEX('UZ-normalized'!$D:$D, MATCH($A14, 'UZ-normalized'!$A:$A, 0))-INDEX('UZ-normalized'!$E:$E, MATCH($A14, 'UZ-normalized'!$A:$A, 0))), 0), 0)))</f>
        <v>0</v>
      </c>
      <c r="AF14" s="6">
        <f>MIN(0, N14+(IFERROR(IF(18*INDEX('UA-normalized'!$D:$D, MATCH($A14, 'UA-normalized'!$A:$A, 0))-INDEX('UA-normalized'!$E:$E, MATCH($A14, 'UA-normalized'!$A:$A, 0))&gt;0, -(18*INDEX('UA-normalized'!$D:$D, MATCH($A14, 'UA-normalized'!$A:$A, 0))-INDEX('UA-normalized'!$E:$E, MATCH($A14, 'UA-normalized'!$A:$A, 0))), 0), 0))+(IFERROR(IF(18*INDEX('KZ-normalized'!$D:$D, MATCH($A14, 'KZ-normalized'!$A:$A, 0))-INDEX('KZ-normalized'!$E:$E, MATCH($A14, 'KZ-normalized'!$A:$A, 0))&gt;0, -(18*INDEX('KZ-normalized'!$D:$D, MATCH($A14, 'KZ-normalized'!$A:$A, 0))-INDEX('KZ-normalized'!$E:$E, MATCH($A14, 'KZ-normalized'!$A:$A, 0))), 0), 0))+(IFERROR(IF(18*INDEX('UZ-normalized'!$D:$D, MATCH($A14, 'UZ-normalized'!$A:$A, 0))-INDEX('UZ-normalized'!$E:$E, MATCH($A14, 'UZ-normalized'!$A:$A, 0))&gt;0, -(18*INDEX('UZ-normalized'!$D:$D, MATCH($A14, 'UZ-normalized'!$A:$A, 0))-INDEX('UZ-normalized'!$E:$E, MATCH($A14, 'UZ-normalized'!$A:$A, 0))), 0), 0)))</f>
        <v>0</v>
      </c>
      <c r="AG14" s="6">
        <f>MIN(0, N14+(IFERROR(IF(19*INDEX('UA-normalized'!$D:$D, MATCH($A14, 'UA-normalized'!$A:$A, 0))-INDEX('UA-normalized'!$E:$E, MATCH($A14, 'UA-normalized'!$A:$A, 0))&gt;0, -(19*INDEX('UA-normalized'!$D:$D, MATCH($A14, 'UA-normalized'!$A:$A, 0))-INDEX('UA-normalized'!$E:$E, MATCH($A14, 'UA-normalized'!$A:$A, 0))), 0), 0))+(IFERROR(IF(19*INDEX('KZ-normalized'!$D:$D, MATCH($A14, 'KZ-normalized'!$A:$A, 0))-INDEX('KZ-normalized'!$E:$E, MATCH($A14, 'KZ-normalized'!$A:$A, 0))&gt;0, -(19*INDEX('KZ-normalized'!$D:$D, MATCH($A14, 'KZ-normalized'!$A:$A, 0))-INDEX('KZ-normalized'!$E:$E, MATCH($A14, 'KZ-normalized'!$A:$A, 0))), 0), 0))+(IFERROR(IF(19*INDEX('UZ-normalized'!$D:$D, MATCH($A14, 'UZ-normalized'!$A:$A, 0))-INDEX('UZ-normalized'!$E:$E, MATCH($A14, 'UZ-normalized'!$A:$A, 0))&gt;0, -(19*INDEX('UZ-normalized'!$D:$D, MATCH($A14, 'UZ-normalized'!$A:$A, 0))-INDEX('UZ-normalized'!$E:$E, MATCH($A14, 'UZ-normalized'!$A:$A, 0))), 0), 0)))</f>
        <v>0</v>
      </c>
      <c r="AH14" s="6">
        <f>MIN(0, N14+(IFERROR(IF(20*INDEX('UA-normalized'!$D:$D, MATCH($A14, 'UA-normalized'!$A:$A, 0))-INDEX('UA-normalized'!$E:$E, MATCH($A14, 'UA-normalized'!$A:$A, 0))&gt;0, -(20*INDEX('UA-normalized'!$D:$D, MATCH($A14, 'UA-normalized'!$A:$A, 0))-INDEX('UA-normalized'!$E:$E, MATCH($A14, 'UA-normalized'!$A:$A, 0))), 0), 0))+(IFERROR(IF(20*INDEX('KZ-normalized'!$D:$D, MATCH($A14, 'KZ-normalized'!$A:$A, 0))-INDEX('KZ-normalized'!$E:$E, MATCH($A14, 'KZ-normalized'!$A:$A, 0))&gt;0, -(20*INDEX('KZ-normalized'!$D:$D, MATCH($A14, 'KZ-normalized'!$A:$A, 0))-INDEX('KZ-normalized'!$E:$E, MATCH($A14, 'KZ-normalized'!$A:$A, 0))), 0), 0))+(IFERROR(IF(20*INDEX('UZ-normalized'!$D:$D, MATCH($A14, 'UZ-normalized'!$A:$A, 0))-INDEX('UZ-normalized'!$E:$E, MATCH($A14, 'UZ-normalized'!$A:$A, 0))&gt;0, -(20*INDEX('UZ-normalized'!$D:$D, MATCH($A14, 'UZ-normalized'!$A:$A, 0))-INDEX('UZ-normalized'!$E:$E, MATCH($A14, 'UZ-normalized'!$A:$A, 0))), 0), 0)))</f>
        <v>0</v>
      </c>
      <c r="AI14" s="6">
        <f>MIN(0, N14+(IFERROR(IF(21*INDEX('UA-normalized'!$D:$D, MATCH($A14, 'UA-normalized'!$A:$A, 0))-INDEX('UA-normalized'!$E:$E, MATCH($A14, 'UA-normalized'!$A:$A, 0))&gt;0, -(21*INDEX('UA-normalized'!$D:$D, MATCH($A14, 'UA-normalized'!$A:$A, 0))-INDEX('UA-normalized'!$E:$E, MATCH($A14, 'UA-normalized'!$A:$A, 0))), 0), 0))+(IFERROR(IF(21*INDEX('KZ-normalized'!$D:$D, MATCH($A14, 'KZ-normalized'!$A:$A, 0))-INDEX('KZ-normalized'!$E:$E, MATCH($A14, 'KZ-normalized'!$A:$A, 0))&gt;0, -(21*INDEX('KZ-normalized'!$D:$D, MATCH($A14, 'KZ-normalized'!$A:$A, 0))-INDEX('KZ-normalized'!$E:$E, MATCH($A14, 'KZ-normalized'!$A:$A, 0))), 0), 0))+(IFERROR(IF(21*INDEX('UZ-normalized'!$D:$D, MATCH($A14, 'UZ-normalized'!$A:$A, 0))-INDEX('UZ-normalized'!$E:$E, MATCH($A14, 'UZ-normalized'!$A:$A, 0))&gt;0, -(21*INDEX('UZ-normalized'!$D:$D, MATCH($A14, 'UZ-normalized'!$A:$A, 0))-INDEX('UZ-normalized'!$E:$E, MATCH($A14, 'UZ-normalized'!$A:$A, 0))), 0), 0)))</f>
        <v>0</v>
      </c>
      <c r="AJ14" s="6">
        <f>MIN(0, N14+(IFERROR(IF(22*INDEX('UA-normalized'!$D:$D, MATCH($A14, 'UA-normalized'!$A:$A, 0))-INDEX('UA-normalized'!$E:$E, MATCH($A14, 'UA-normalized'!$A:$A, 0))&gt;0, -(22*INDEX('UA-normalized'!$D:$D, MATCH($A14, 'UA-normalized'!$A:$A, 0))-INDEX('UA-normalized'!$E:$E, MATCH($A14, 'UA-normalized'!$A:$A, 0))), 0), 0))+(IFERROR(IF(22*INDEX('KZ-normalized'!$D:$D, MATCH($A14, 'KZ-normalized'!$A:$A, 0))-INDEX('KZ-normalized'!$E:$E, MATCH($A14, 'KZ-normalized'!$A:$A, 0))&gt;0, -(22*INDEX('KZ-normalized'!$D:$D, MATCH($A14, 'KZ-normalized'!$A:$A, 0))-INDEX('KZ-normalized'!$E:$E, MATCH($A14, 'KZ-normalized'!$A:$A, 0))), 0), 0))+(IFERROR(IF(22*INDEX('UZ-normalized'!$D:$D, MATCH($A14, 'UZ-normalized'!$A:$A, 0))-INDEX('UZ-normalized'!$E:$E, MATCH($A14, 'UZ-normalized'!$A:$A, 0))&gt;0, -(22*INDEX('UZ-normalized'!$D:$D, MATCH($A14, 'UZ-normalized'!$A:$A, 0))-INDEX('UZ-normalized'!$E:$E, MATCH($A14, 'UZ-normalized'!$A:$A, 0))), 0), 0)))</f>
        <v>0</v>
      </c>
      <c r="AK14" s="6">
        <f>MIN(0, N14+(IFERROR(IF(23*INDEX('UA-normalized'!$D:$D, MATCH($A14, 'UA-normalized'!$A:$A, 0))-INDEX('UA-normalized'!$E:$E, MATCH($A14, 'UA-normalized'!$A:$A, 0))&gt;0, -(23*INDEX('UA-normalized'!$D:$D, MATCH($A14, 'UA-normalized'!$A:$A, 0))-INDEX('UA-normalized'!$E:$E, MATCH($A14, 'UA-normalized'!$A:$A, 0))), 0), 0))+(IFERROR(IF(23*INDEX('KZ-normalized'!$D:$D, MATCH($A14, 'KZ-normalized'!$A:$A, 0))-INDEX('KZ-normalized'!$E:$E, MATCH($A14, 'KZ-normalized'!$A:$A, 0))&gt;0, -(23*INDEX('KZ-normalized'!$D:$D, MATCH($A14, 'KZ-normalized'!$A:$A, 0))-INDEX('KZ-normalized'!$E:$E, MATCH($A14, 'KZ-normalized'!$A:$A, 0))), 0), 0))+(IFERROR(IF(23*INDEX('UZ-normalized'!$D:$D, MATCH($A14, 'UZ-normalized'!$A:$A, 0))-INDEX('UZ-normalized'!$E:$E, MATCH($A14, 'UZ-normalized'!$A:$A, 0))&gt;0, -(23*INDEX('UZ-normalized'!$D:$D, MATCH($A14, 'UZ-normalized'!$A:$A, 0))-INDEX('UZ-normalized'!$E:$E, MATCH($A14, 'UZ-normalized'!$A:$A, 0))), 0), 0)))</f>
        <v>0</v>
      </c>
      <c r="AL14" s="6">
        <f>MIN(0, N14+(IFERROR(IF(24*INDEX('UA-normalized'!$D:$D, MATCH($A14, 'UA-normalized'!$A:$A, 0))-INDEX('UA-normalized'!$E:$E, MATCH($A14, 'UA-normalized'!$A:$A, 0))&gt;0, -(24*INDEX('UA-normalized'!$D:$D, MATCH($A14, 'UA-normalized'!$A:$A, 0))-INDEX('UA-normalized'!$E:$E, MATCH($A14, 'UA-normalized'!$A:$A, 0))), 0), 0))+(IFERROR(IF(24*INDEX('KZ-normalized'!$D:$D, MATCH($A14, 'KZ-normalized'!$A:$A, 0))-INDEX('KZ-normalized'!$E:$E, MATCH($A14, 'KZ-normalized'!$A:$A, 0))&gt;0, -(24*INDEX('KZ-normalized'!$D:$D, MATCH($A14, 'KZ-normalized'!$A:$A, 0))-INDEX('KZ-normalized'!$E:$E, MATCH($A14, 'KZ-normalized'!$A:$A, 0))), 0), 0))+(IFERROR(IF(24*INDEX('UZ-normalized'!$D:$D, MATCH($A14, 'UZ-normalized'!$A:$A, 0))-INDEX('UZ-normalized'!$E:$E, MATCH($A14, 'UZ-normalized'!$A:$A, 0))&gt;0, -(24*INDEX('UZ-normalized'!$D:$D, MATCH($A14, 'UZ-normalized'!$A:$A, 0))-INDEX('UZ-normalized'!$E:$E, MATCH($A14, 'UZ-normalized'!$A:$A, 0))), 0), 0)))</f>
        <v>0</v>
      </c>
      <c r="AM14" s="6">
        <f>MIN(0, N14+(IFERROR(IF(25*INDEX('UA-normalized'!$D:$D, MATCH($A14, 'UA-normalized'!$A:$A, 0))-INDEX('UA-normalized'!$E:$E, MATCH($A14, 'UA-normalized'!$A:$A, 0))&gt;0, -(25*INDEX('UA-normalized'!$D:$D, MATCH($A14, 'UA-normalized'!$A:$A, 0))-INDEX('UA-normalized'!$E:$E, MATCH($A14, 'UA-normalized'!$A:$A, 0))), 0), 0))+(IFERROR(IF(25*INDEX('KZ-normalized'!$D:$D, MATCH($A14, 'KZ-normalized'!$A:$A, 0))-INDEX('KZ-normalized'!$E:$E, MATCH($A14, 'KZ-normalized'!$A:$A, 0))&gt;0, -(25*INDEX('KZ-normalized'!$D:$D, MATCH($A14, 'KZ-normalized'!$A:$A, 0))-INDEX('KZ-normalized'!$E:$E, MATCH($A14, 'KZ-normalized'!$A:$A, 0))), 0), 0))+(IFERROR(IF(25*INDEX('UZ-normalized'!$D:$D, MATCH($A14, 'UZ-normalized'!$A:$A, 0))-INDEX('UZ-normalized'!$E:$E, MATCH($A14, 'UZ-normalized'!$A:$A, 0))&gt;0, -(25*INDEX('UZ-normalized'!$D:$D, MATCH($A14, 'UZ-normalized'!$A:$A, 0))-INDEX('UZ-normalized'!$E:$E, MATCH($A14, 'UZ-normalized'!$A:$A, 0))), 0), 0)))</f>
        <v>0</v>
      </c>
      <c r="AN14" s="6">
        <f>MIN(0, N14+(IFERROR(IF(26*INDEX('UA-normalized'!$D:$D, MATCH($A14, 'UA-normalized'!$A:$A, 0))-INDEX('UA-normalized'!$E:$E, MATCH($A14, 'UA-normalized'!$A:$A, 0))&gt;0, -(26*INDEX('UA-normalized'!$D:$D, MATCH($A14, 'UA-normalized'!$A:$A, 0))-INDEX('UA-normalized'!$E:$E, MATCH($A14, 'UA-normalized'!$A:$A, 0))), 0), 0))+(IFERROR(IF(26*INDEX('KZ-normalized'!$D:$D, MATCH($A14, 'KZ-normalized'!$A:$A, 0))-INDEX('KZ-normalized'!$E:$E, MATCH($A14, 'KZ-normalized'!$A:$A, 0))&gt;0, -(26*INDEX('KZ-normalized'!$D:$D, MATCH($A14, 'KZ-normalized'!$A:$A, 0))-INDEX('KZ-normalized'!$E:$E, MATCH($A14, 'KZ-normalized'!$A:$A, 0))), 0), 0))+(IFERROR(IF(26*INDEX('UZ-normalized'!$D:$D, MATCH($A14, 'UZ-normalized'!$A:$A, 0))-INDEX('UZ-normalized'!$E:$E, MATCH($A14, 'UZ-normalized'!$A:$A, 0))&gt;0, -(26*INDEX('UZ-normalized'!$D:$D, MATCH($A14, 'UZ-normalized'!$A:$A, 0))-INDEX('UZ-normalized'!$E:$E, MATCH($A14, 'UZ-normalized'!$A:$A, 0))), 0), 0)))</f>
        <v>0</v>
      </c>
      <c r="AO14" s="6">
        <f>MIN(0, N14+(IFERROR(IF(27*INDEX('UA-normalized'!$D:$D, MATCH($A14, 'UA-normalized'!$A:$A, 0))-INDEX('UA-normalized'!$E:$E, MATCH($A14, 'UA-normalized'!$A:$A, 0))&gt;0, -(27*INDEX('UA-normalized'!$D:$D, MATCH($A14, 'UA-normalized'!$A:$A, 0))-INDEX('UA-normalized'!$E:$E, MATCH($A14, 'UA-normalized'!$A:$A, 0))), 0), 0))+(IFERROR(IF(27*INDEX('KZ-normalized'!$D:$D, MATCH($A14, 'KZ-normalized'!$A:$A, 0))-INDEX('KZ-normalized'!$E:$E, MATCH($A14, 'KZ-normalized'!$A:$A, 0))&gt;0, -(27*INDEX('KZ-normalized'!$D:$D, MATCH($A14, 'KZ-normalized'!$A:$A, 0))-INDEX('KZ-normalized'!$E:$E, MATCH($A14, 'KZ-normalized'!$A:$A, 0))), 0), 0))+(IFERROR(IF(27*INDEX('UZ-normalized'!$D:$D, MATCH($A14, 'UZ-normalized'!$A:$A, 0))-INDEX('UZ-normalized'!$E:$E, MATCH($A14, 'UZ-normalized'!$A:$A, 0))&gt;0, -(27*INDEX('UZ-normalized'!$D:$D, MATCH($A14, 'UZ-normalized'!$A:$A, 0))-INDEX('UZ-normalized'!$E:$E, MATCH($A14, 'UZ-normalized'!$A:$A, 0))), 0), 0)))</f>
        <v>0</v>
      </c>
      <c r="AP14" s="6">
        <f>MIN(0, N14+(IFERROR(IF(28*INDEX('UA-normalized'!$D:$D, MATCH($A14, 'UA-normalized'!$A:$A, 0))-INDEX('UA-normalized'!$E:$E, MATCH($A14, 'UA-normalized'!$A:$A, 0))&gt;0, -(28*INDEX('UA-normalized'!$D:$D, MATCH($A14, 'UA-normalized'!$A:$A, 0))-INDEX('UA-normalized'!$E:$E, MATCH($A14, 'UA-normalized'!$A:$A, 0))), 0), 0))+(IFERROR(IF(28*INDEX('KZ-normalized'!$D:$D, MATCH($A14, 'KZ-normalized'!$A:$A, 0))-INDEX('KZ-normalized'!$E:$E, MATCH($A14, 'KZ-normalized'!$A:$A, 0))&gt;0, -(28*INDEX('KZ-normalized'!$D:$D, MATCH($A14, 'KZ-normalized'!$A:$A, 0))-INDEX('KZ-normalized'!$E:$E, MATCH($A14, 'KZ-normalized'!$A:$A, 0))), 0), 0))+(IFERROR(IF(28*INDEX('UZ-normalized'!$D:$D, MATCH($A14, 'UZ-normalized'!$A:$A, 0))-INDEX('UZ-normalized'!$E:$E, MATCH($A14, 'UZ-normalized'!$A:$A, 0))&gt;0, -(28*INDEX('UZ-normalized'!$D:$D, MATCH($A14, 'UZ-normalized'!$A:$A, 0))-INDEX('UZ-normalized'!$E:$E, MATCH($A14, 'UZ-normalized'!$A:$A, 0))), 0), 0)))</f>
        <v>0</v>
      </c>
      <c r="AQ14" s="6">
        <f>MIN(0, N14+(IFERROR(IF(29*INDEX('UA-normalized'!$D:$D, MATCH($A14, 'UA-normalized'!$A:$A, 0))-INDEX('UA-normalized'!$E:$E, MATCH($A14, 'UA-normalized'!$A:$A, 0))&gt;0, -(29*INDEX('UA-normalized'!$D:$D, MATCH($A14, 'UA-normalized'!$A:$A, 0))-INDEX('UA-normalized'!$E:$E, MATCH($A14, 'UA-normalized'!$A:$A, 0))), 0), 0))+(IFERROR(IF(29*INDEX('KZ-normalized'!$D:$D, MATCH($A14, 'KZ-normalized'!$A:$A, 0))-INDEX('KZ-normalized'!$E:$E, MATCH($A14, 'KZ-normalized'!$A:$A, 0))&gt;0, -(29*INDEX('KZ-normalized'!$D:$D, MATCH($A14, 'KZ-normalized'!$A:$A, 0))-INDEX('KZ-normalized'!$E:$E, MATCH($A14, 'KZ-normalized'!$A:$A, 0))), 0), 0))+(IFERROR(IF(29*INDEX('UZ-normalized'!$D:$D, MATCH($A14, 'UZ-normalized'!$A:$A, 0))-INDEX('UZ-normalized'!$E:$E, MATCH($A14, 'UZ-normalized'!$A:$A, 0))&gt;0, -(29*INDEX('UZ-normalized'!$D:$D, MATCH($A14, 'UZ-normalized'!$A:$A, 0))-INDEX('UZ-normalized'!$E:$E, MATCH($A14, 'UZ-normalized'!$A:$A, 0))), 0), 0)))</f>
        <v>0</v>
      </c>
      <c r="AR14" s="6">
        <f>MIN(0, N14+(IFERROR(IF(30*INDEX('UA-normalized'!$D:$D, MATCH($A14, 'UA-normalized'!$A:$A, 0))-INDEX('UA-normalized'!$E:$E, MATCH($A14, 'UA-normalized'!$A:$A, 0))&gt;0, -(30*INDEX('UA-normalized'!$D:$D, MATCH($A14, 'UA-normalized'!$A:$A, 0))-INDEX('UA-normalized'!$E:$E, MATCH($A14, 'UA-normalized'!$A:$A, 0))), 0), 0))+(IFERROR(IF(30*INDEX('KZ-normalized'!$D:$D, MATCH($A14, 'KZ-normalized'!$A:$A, 0))-INDEX('KZ-normalized'!$E:$E, MATCH($A14, 'KZ-normalized'!$A:$A, 0))&gt;0, -(30*INDEX('KZ-normalized'!$D:$D, MATCH($A14, 'KZ-normalized'!$A:$A, 0))-INDEX('KZ-normalized'!$E:$E, MATCH($A14, 'KZ-normalized'!$A:$A, 0))), 0), 0))+(IFERROR(IF(30*INDEX('UZ-normalized'!$D:$D, MATCH($A14, 'UZ-normalized'!$A:$A, 0))-INDEX('UZ-normalized'!$E:$E, MATCH($A14, 'UZ-normalized'!$A:$A, 0))&gt;0, -(30*INDEX('UZ-normalized'!$D:$D, MATCH($A14, 'UZ-normalized'!$A:$A, 0))-INDEX('UZ-normalized'!$E:$E, MATCH($A14, 'UZ-normalized'!$A:$A, 0))), 0), 0)))</f>
        <v>0</v>
      </c>
    </row>
    <row r="15" spans="1:44" x14ac:dyDescent="0.25">
      <c r="A15" s="8" t="s">
        <v>74</v>
      </c>
      <c r="B15" s="8" t="s">
        <v>45</v>
      </c>
      <c r="C15" s="8" t="s">
        <v>60</v>
      </c>
      <c r="D15" s="8" t="s">
        <v>75</v>
      </c>
      <c r="F15">
        <v>145</v>
      </c>
      <c r="N15">
        <f t="shared" si="0"/>
        <v>145</v>
      </c>
      <c r="O15" s="6">
        <f>MIN(0, N15+(IFERROR(IF(1*INDEX('UA-normalized'!$D:$D, MATCH($A15, 'UA-normalized'!$A:$A, 0))-INDEX('UA-normalized'!$E:$E, MATCH($A15, 'UA-normalized'!$A:$A, 0))&gt;0, -(1*INDEX('UA-normalized'!$D:$D, MATCH($A15, 'UA-normalized'!$A:$A, 0))-INDEX('UA-normalized'!$E:$E, MATCH($A15, 'UA-normalized'!$A:$A, 0))), 0), 0))+(IFERROR(IF(1*INDEX('KZ-normalized'!$D:$D, MATCH($A15, 'KZ-normalized'!$A:$A, 0))-INDEX('KZ-normalized'!$E:$E, MATCH($A15, 'KZ-normalized'!$A:$A, 0))&gt;0, -(1*INDEX('KZ-normalized'!$D:$D, MATCH($A15, 'KZ-normalized'!$A:$A, 0))-INDEX('KZ-normalized'!$E:$E, MATCH($A15, 'KZ-normalized'!$A:$A, 0))), 0), 0))+(IFERROR(IF(1*INDEX('UZ-normalized'!$D:$D, MATCH($A15, 'UZ-normalized'!$A:$A, 0))-INDEX('UZ-normalized'!$E:$E, MATCH($A15, 'UZ-normalized'!$A:$A, 0))&gt;0, -(1*INDEX('UZ-normalized'!$D:$D, MATCH($A15, 'UZ-normalized'!$A:$A, 0))-INDEX('UZ-normalized'!$E:$E, MATCH($A15, 'UZ-normalized'!$A:$A, 0))), 0), 0)))</f>
        <v>0</v>
      </c>
      <c r="P15" s="6">
        <f>MIN(0, N15+(IFERROR(IF(2*INDEX('UA-normalized'!$D:$D, MATCH($A15, 'UA-normalized'!$A:$A, 0))-INDEX('UA-normalized'!$E:$E, MATCH($A15, 'UA-normalized'!$A:$A, 0))&gt;0, -(2*INDEX('UA-normalized'!$D:$D, MATCH($A15, 'UA-normalized'!$A:$A, 0))-INDEX('UA-normalized'!$E:$E, MATCH($A15, 'UA-normalized'!$A:$A, 0))), 0), 0))+(IFERROR(IF(2*INDEX('KZ-normalized'!$D:$D, MATCH($A15, 'KZ-normalized'!$A:$A, 0))-INDEX('KZ-normalized'!$E:$E, MATCH($A15, 'KZ-normalized'!$A:$A, 0))&gt;0, -(2*INDEX('KZ-normalized'!$D:$D, MATCH($A15, 'KZ-normalized'!$A:$A, 0))-INDEX('KZ-normalized'!$E:$E, MATCH($A15, 'KZ-normalized'!$A:$A, 0))), 0), 0))+(IFERROR(IF(2*INDEX('UZ-normalized'!$D:$D, MATCH($A15, 'UZ-normalized'!$A:$A, 0))-INDEX('UZ-normalized'!$E:$E, MATCH($A15, 'UZ-normalized'!$A:$A, 0))&gt;0, -(2*INDEX('UZ-normalized'!$D:$D, MATCH($A15, 'UZ-normalized'!$A:$A, 0))-INDEX('UZ-normalized'!$E:$E, MATCH($A15, 'UZ-normalized'!$A:$A, 0))), 0), 0)))</f>
        <v>0</v>
      </c>
      <c r="Q15" s="6">
        <f>MIN(0, N15+(IFERROR(IF(3*INDEX('UA-normalized'!$D:$D, MATCH($A15, 'UA-normalized'!$A:$A, 0))-INDEX('UA-normalized'!$E:$E, MATCH($A15, 'UA-normalized'!$A:$A, 0))&gt;0, -(3*INDEX('UA-normalized'!$D:$D, MATCH($A15, 'UA-normalized'!$A:$A, 0))-INDEX('UA-normalized'!$E:$E, MATCH($A15, 'UA-normalized'!$A:$A, 0))), 0), 0))+(IFERROR(IF(3*INDEX('KZ-normalized'!$D:$D, MATCH($A15, 'KZ-normalized'!$A:$A, 0))-INDEX('KZ-normalized'!$E:$E, MATCH($A15, 'KZ-normalized'!$A:$A, 0))&gt;0, -(3*INDEX('KZ-normalized'!$D:$D, MATCH($A15, 'KZ-normalized'!$A:$A, 0))-INDEX('KZ-normalized'!$E:$E, MATCH($A15, 'KZ-normalized'!$A:$A, 0))), 0), 0))+(IFERROR(IF(3*INDEX('UZ-normalized'!$D:$D, MATCH($A15, 'UZ-normalized'!$A:$A, 0))-INDEX('UZ-normalized'!$E:$E, MATCH($A15, 'UZ-normalized'!$A:$A, 0))&gt;0, -(3*INDEX('UZ-normalized'!$D:$D, MATCH($A15, 'UZ-normalized'!$A:$A, 0))-INDEX('UZ-normalized'!$E:$E, MATCH($A15, 'UZ-normalized'!$A:$A, 0))), 0), 0)))</f>
        <v>0</v>
      </c>
      <c r="R15" s="6">
        <f>MIN(0, N15+(IFERROR(IF(4*INDEX('UA-normalized'!$D:$D, MATCH($A15, 'UA-normalized'!$A:$A, 0))-INDEX('UA-normalized'!$E:$E, MATCH($A15, 'UA-normalized'!$A:$A, 0))&gt;0, -(4*INDEX('UA-normalized'!$D:$D, MATCH($A15, 'UA-normalized'!$A:$A, 0))-INDEX('UA-normalized'!$E:$E, MATCH($A15, 'UA-normalized'!$A:$A, 0))), 0), 0))+(IFERROR(IF(4*INDEX('KZ-normalized'!$D:$D, MATCH($A15, 'KZ-normalized'!$A:$A, 0))-INDEX('KZ-normalized'!$E:$E, MATCH($A15, 'KZ-normalized'!$A:$A, 0))&gt;0, -(4*INDEX('KZ-normalized'!$D:$D, MATCH($A15, 'KZ-normalized'!$A:$A, 0))-INDEX('KZ-normalized'!$E:$E, MATCH($A15, 'KZ-normalized'!$A:$A, 0))), 0), 0))+(IFERROR(IF(4*INDEX('UZ-normalized'!$D:$D, MATCH($A15, 'UZ-normalized'!$A:$A, 0))-INDEX('UZ-normalized'!$E:$E, MATCH($A15, 'UZ-normalized'!$A:$A, 0))&gt;0, -(4*INDEX('UZ-normalized'!$D:$D, MATCH($A15, 'UZ-normalized'!$A:$A, 0))-INDEX('UZ-normalized'!$E:$E, MATCH($A15, 'UZ-normalized'!$A:$A, 0))), 0), 0)))</f>
        <v>0</v>
      </c>
      <c r="S15" s="6">
        <f>MIN(0, N15+(IFERROR(IF(5*INDEX('UA-normalized'!$D:$D, MATCH($A15, 'UA-normalized'!$A:$A, 0))-INDEX('UA-normalized'!$E:$E, MATCH($A15, 'UA-normalized'!$A:$A, 0))&gt;0, -(5*INDEX('UA-normalized'!$D:$D, MATCH($A15, 'UA-normalized'!$A:$A, 0))-INDEX('UA-normalized'!$E:$E, MATCH($A15, 'UA-normalized'!$A:$A, 0))), 0), 0))+(IFERROR(IF(5*INDEX('KZ-normalized'!$D:$D, MATCH($A15, 'KZ-normalized'!$A:$A, 0))-INDEX('KZ-normalized'!$E:$E, MATCH($A15, 'KZ-normalized'!$A:$A, 0))&gt;0, -(5*INDEX('KZ-normalized'!$D:$D, MATCH($A15, 'KZ-normalized'!$A:$A, 0))-INDEX('KZ-normalized'!$E:$E, MATCH($A15, 'KZ-normalized'!$A:$A, 0))), 0), 0))+(IFERROR(IF(5*INDEX('UZ-normalized'!$D:$D, MATCH($A15, 'UZ-normalized'!$A:$A, 0))-INDEX('UZ-normalized'!$E:$E, MATCH($A15, 'UZ-normalized'!$A:$A, 0))&gt;0, -(5*INDEX('UZ-normalized'!$D:$D, MATCH($A15, 'UZ-normalized'!$A:$A, 0))-INDEX('UZ-normalized'!$E:$E, MATCH($A15, 'UZ-normalized'!$A:$A, 0))), 0), 0)))</f>
        <v>0</v>
      </c>
      <c r="T15" s="6">
        <f>MIN(0, N15+(IFERROR(IF(6*INDEX('UA-normalized'!$D:$D, MATCH($A15, 'UA-normalized'!$A:$A, 0))-INDEX('UA-normalized'!$E:$E, MATCH($A15, 'UA-normalized'!$A:$A, 0))&gt;0, -(6*INDEX('UA-normalized'!$D:$D, MATCH($A15, 'UA-normalized'!$A:$A, 0))-INDEX('UA-normalized'!$E:$E, MATCH($A15, 'UA-normalized'!$A:$A, 0))), 0), 0))+(IFERROR(IF(6*INDEX('KZ-normalized'!$D:$D, MATCH($A15, 'KZ-normalized'!$A:$A, 0))-INDEX('KZ-normalized'!$E:$E, MATCH($A15, 'KZ-normalized'!$A:$A, 0))&gt;0, -(6*INDEX('KZ-normalized'!$D:$D, MATCH($A15, 'KZ-normalized'!$A:$A, 0))-INDEX('KZ-normalized'!$E:$E, MATCH($A15, 'KZ-normalized'!$A:$A, 0))), 0), 0))+(IFERROR(IF(6*INDEX('UZ-normalized'!$D:$D, MATCH($A15, 'UZ-normalized'!$A:$A, 0))-INDEX('UZ-normalized'!$E:$E, MATCH($A15, 'UZ-normalized'!$A:$A, 0))&gt;0, -(6*INDEX('UZ-normalized'!$D:$D, MATCH($A15, 'UZ-normalized'!$A:$A, 0))-INDEX('UZ-normalized'!$E:$E, MATCH($A15, 'UZ-normalized'!$A:$A, 0))), 0), 0)))</f>
        <v>0</v>
      </c>
      <c r="U15" s="6">
        <f>MIN(0, N15+(IFERROR(IF(7*INDEX('UA-normalized'!$D:$D, MATCH($A15, 'UA-normalized'!$A:$A, 0))-INDEX('UA-normalized'!$E:$E, MATCH($A15, 'UA-normalized'!$A:$A, 0))&gt;0, -(7*INDEX('UA-normalized'!$D:$D, MATCH($A15, 'UA-normalized'!$A:$A, 0))-INDEX('UA-normalized'!$E:$E, MATCH($A15, 'UA-normalized'!$A:$A, 0))), 0), 0))+(IFERROR(IF(7*INDEX('KZ-normalized'!$D:$D, MATCH($A15, 'KZ-normalized'!$A:$A, 0))-INDEX('KZ-normalized'!$E:$E, MATCH($A15, 'KZ-normalized'!$A:$A, 0))&gt;0, -(7*INDEX('KZ-normalized'!$D:$D, MATCH($A15, 'KZ-normalized'!$A:$A, 0))-INDEX('KZ-normalized'!$E:$E, MATCH($A15, 'KZ-normalized'!$A:$A, 0))), 0), 0))+(IFERROR(IF(7*INDEX('UZ-normalized'!$D:$D, MATCH($A15, 'UZ-normalized'!$A:$A, 0))-INDEX('UZ-normalized'!$E:$E, MATCH($A15, 'UZ-normalized'!$A:$A, 0))&gt;0, -(7*INDEX('UZ-normalized'!$D:$D, MATCH($A15, 'UZ-normalized'!$A:$A, 0))-INDEX('UZ-normalized'!$E:$E, MATCH($A15, 'UZ-normalized'!$A:$A, 0))), 0), 0)))</f>
        <v>0</v>
      </c>
      <c r="V15" s="6">
        <f>MIN(0, N15+(IFERROR(IF(8*INDEX('UA-normalized'!$D:$D, MATCH($A15, 'UA-normalized'!$A:$A, 0))-INDEX('UA-normalized'!$E:$E, MATCH($A15, 'UA-normalized'!$A:$A, 0))&gt;0, -(8*INDEX('UA-normalized'!$D:$D, MATCH($A15, 'UA-normalized'!$A:$A, 0))-INDEX('UA-normalized'!$E:$E, MATCH($A15, 'UA-normalized'!$A:$A, 0))), 0), 0))+(IFERROR(IF(8*INDEX('KZ-normalized'!$D:$D, MATCH($A15, 'KZ-normalized'!$A:$A, 0))-INDEX('KZ-normalized'!$E:$E, MATCH($A15, 'KZ-normalized'!$A:$A, 0))&gt;0, -(8*INDEX('KZ-normalized'!$D:$D, MATCH($A15, 'KZ-normalized'!$A:$A, 0))-INDEX('KZ-normalized'!$E:$E, MATCH($A15, 'KZ-normalized'!$A:$A, 0))), 0), 0))+(IFERROR(IF(8*INDEX('UZ-normalized'!$D:$D, MATCH($A15, 'UZ-normalized'!$A:$A, 0))-INDEX('UZ-normalized'!$E:$E, MATCH($A15, 'UZ-normalized'!$A:$A, 0))&gt;0, -(8*INDEX('UZ-normalized'!$D:$D, MATCH($A15, 'UZ-normalized'!$A:$A, 0))-INDEX('UZ-normalized'!$E:$E, MATCH($A15, 'UZ-normalized'!$A:$A, 0))), 0), 0)))</f>
        <v>0</v>
      </c>
      <c r="W15" s="6">
        <f>MIN(0, N15+(IFERROR(IF(9*INDEX('UA-normalized'!$D:$D, MATCH($A15, 'UA-normalized'!$A:$A, 0))-INDEX('UA-normalized'!$E:$E, MATCH($A15, 'UA-normalized'!$A:$A, 0))&gt;0, -(9*INDEX('UA-normalized'!$D:$D, MATCH($A15, 'UA-normalized'!$A:$A, 0))-INDEX('UA-normalized'!$E:$E, MATCH($A15, 'UA-normalized'!$A:$A, 0))), 0), 0))+(IFERROR(IF(9*INDEX('KZ-normalized'!$D:$D, MATCH($A15, 'KZ-normalized'!$A:$A, 0))-INDEX('KZ-normalized'!$E:$E, MATCH($A15, 'KZ-normalized'!$A:$A, 0))&gt;0, -(9*INDEX('KZ-normalized'!$D:$D, MATCH($A15, 'KZ-normalized'!$A:$A, 0))-INDEX('KZ-normalized'!$E:$E, MATCH($A15, 'KZ-normalized'!$A:$A, 0))), 0), 0))+(IFERROR(IF(9*INDEX('UZ-normalized'!$D:$D, MATCH($A15, 'UZ-normalized'!$A:$A, 0))-INDEX('UZ-normalized'!$E:$E, MATCH($A15, 'UZ-normalized'!$A:$A, 0))&gt;0, -(9*INDEX('UZ-normalized'!$D:$D, MATCH($A15, 'UZ-normalized'!$A:$A, 0))-INDEX('UZ-normalized'!$E:$E, MATCH($A15, 'UZ-normalized'!$A:$A, 0))), 0), 0)))</f>
        <v>0</v>
      </c>
      <c r="X15" s="6">
        <f>MIN(0, N15+(IFERROR(IF(10*INDEX('UA-normalized'!$D:$D, MATCH($A15, 'UA-normalized'!$A:$A, 0))-INDEX('UA-normalized'!$E:$E, MATCH($A15, 'UA-normalized'!$A:$A, 0))&gt;0, -(10*INDEX('UA-normalized'!$D:$D, MATCH($A15, 'UA-normalized'!$A:$A, 0))-INDEX('UA-normalized'!$E:$E, MATCH($A15, 'UA-normalized'!$A:$A, 0))), 0), 0))+(IFERROR(IF(10*INDEX('KZ-normalized'!$D:$D, MATCH($A15, 'KZ-normalized'!$A:$A, 0))-INDEX('KZ-normalized'!$E:$E, MATCH($A15, 'KZ-normalized'!$A:$A, 0))&gt;0, -(10*INDEX('KZ-normalized'!$D:$D, MATCH($A15, 'KZ-normalized'!$A:$A, 0))-INDEX('KZ-normalized'!$E:$E, MATCH($A15, 'KZ-normalized'!$A:$A, 0))), 0), 0))+(IFERROR(IF(10*INDEX('UZ-normalized'!$D:$D, MATCH($A15, 'UZ-normalized'!$A:$A, 0))-INDEX('UZ-normalized'!$E:$E, MATCH($A15, 'UZ-normalized'!$A:$A, 0))&gt;0, -(10*INDEX('UZ-normalized'!$D:$D, MATCH($A15, 'UZ-normalized'!$A:$A, 0))-INDEX('UZ-normalized'!$E:$E, MATCH($A15, 'UZ-normalized'!$A:$A, 0))), 0), 0)))</f>
        <v>0</v>
      </c>
      <c r="Y15" s="6">
        <f>MIN(0, N15+(IFERROR(IF(11*INDEX('UA-normalized'!$D:$D, MATCH($A15, 'UA-normalized'!$A:$A, 0))-INDEX('UA-normalized'!$E:$E, MATCH($A15, 'UA-normalized'!$A:$A, 0))&gt;0, -(11*INDEX('UA-normalized'!$D:$D, MATCH($A15, 'UA-normalized'!$A:$A, 0))-INDEX('UA-normalized'!$E:$E, MATCH($A15, 'UA-normalized'!$A:$A, 0))), 0), 0))+(IFERROR(IF(11*INDEX('KZ-normalized'!$D:$D, MATCH($A15, 'KZ-normalized'!$A:$A, 0))-INDEX('KZ-normalized'!$E:$E, MATCH($A15, 'KZ-normalized'!$A:$A, 0))&gt;0, -(11*INDEX('KZ-normalized'!$D:$D, MATCH($A15, 'KZ-normalized'!$A:$A, 0))-INDEX('KZ-normalized'!$E:$E, MATCH($A15, 'KZ-normalized'!$A:$A, 0))), 0), 0))+(IFERROR(IF(11*INDEX('UZ-normalized'!$D:$D, MATCH($A15, 'UZ-normalized'!$A:$A, 0))-INDEX('UZ-normalized'!$E:$E, MATCH($A15, 'UZ-normalized'!$A:$A, 0))&gt;0, -(11*INDEX('UZ-normalized'!$D:$D, MATCH($A15, 'UZ-normalized'!$A:$A, 0))-INDEX('UZ-normalized'!$E:$E, MATCH($A15, 'UZ-normalized'!$A:$A, 0))), 0), 0)))</f>
        <v>0</v>
      </c>
      <c r="Z15" s="6">
        <f>MIN(0, N15+(IFERROR(IF(12*INDEX('UA-normalized'!$D:$D, MATCH($A15, 'UA-normalized'!$A:$A, 0))-INDEX('UA-normalized'!$E:$E, MATCH($A15, 'UA-normalized'!$A:$A, 0))&gt;0, -(12*INDEX('UA-normalized'!$D:$D, MATCH($A15, 'UA-normalized'!$A:$A, 0))-INDEX('UA-normalized'!$E:$E, MATCH($A15, 'UA-normalized'!$A:$A, 0))), 0), 0))+(IFERROR(IF(12*INDEX('KZ-normalized'!$D:$D, MATCH($A15, 'KZ-normalized'!$A:$A, 0))-INDEX('KZ-normalized'!$E:$E, MATCH($A15, 'KZ-normalized'!$A:$A, 0))&gt;0, -(12*INDEX('KZ-normalized'!$D:$D, MATCH($A15, 'KZ-normalized'!$A:$A, 0))-INDEX('KZ-normalized'!$E:$E, MATCH($A15, 'KZ-normalized'!$A:$A, 0))), 0), 0))+(IFERROR(IF(12*INDEX('UZ-normalized'!$D:$D, MATCH($A15, 'UZ-normalized'!$A:$A, 0))-INDEX('UZ-normalized'!$E:$E, MATCH($A15, 'UZ-normalized'!$A:$A, 0))&gt;0, -(12*INDEX('UZ-normalized'!$D:$D, MATCH($A15, 'UZ-normalized'!$A:$A, 0))-INDEX('UZ-normalized'!$E:$E, MATCH($A15, 'UZ-normalized'!$A:$A, 0))), 0), 0)))</f>
        <v>0</v>
      </c>
      <c r="AA15" s="6">
        <f>MIN(0, N15+(IFERROR(IF(13*INDEX('UA-normalized'!$D:$D, MATCH($A15, 'UA-normalized'!$A:$A, 0))-INDEX('UA-normalized'!$E:$E, MATCH($A15, 'UA-normalized'!$A:$A, 0))&gt;0, -(13*INDEX('UA-normalized'!$D:$D, MATCH($A15, 'UA-normalized'!$A:$A, 0))-INDEX('UA-normalized'!$E:$E, MATCH($A15, 'UA-normalized'!$A:$A, 0))), 0), 0))+(IFERROR(IF(13*INDEX('KZ-normalized'!$D:$D, MATCH($A15, 'KZ-normalized'!$A:$A, 0))-INDEX('KZ-normalized'!$E:$E, MATCH($A15, 'KZ-normalized'!$A:$A, 0))&gt;0, -(13*INDEX('KZ-normalized'!$D:$D, MATCH($A15, 'KZ-normalized'!$A:$A, 0))-INDEX('KZ-normalized'!$E:$E, MATCH($A15, 'KZ-normalized'!$A:$A, 0))), 0), 0))+(IFERROR(IF(13*INDEX('UZ-normalized'!$D:$D, MATCH($A15, 'UZ-normalized'!$A:$A, 0))-INDEX('UZ-normalized'!$E:$E, MATCH($A15, 'UZ-normalized'!$A:$A, 0))&gt;0, -(13*INDEX('UZ-normalized'!$D:$D, MATCH($A15, 'UZ-normalized'!$A:$A, 0))-INDEX('UZ-normalized'!$E:$E, MATCH($A15, 'UZ-normalized'!$A:$A, 0))), 0), 0)))</f>
        <v>0</v>
      </c>
      <c r="AB15" s="6">
        <f>MIN(0, N15+(IFERROR(IF(14*INDEX('UA-normalized'!$D:$D, MATCH($A15, 'UA-normalized'!$A:$A, 0))-INDEX('UA-normalized'!$E:$E, MATCH($A15, 'UA-normalized'!$A:$A, 0))&gt;0, -(14*INDEX('UA-normalized'!$D:$D, MATCH($A15, 'UA-normalized'!$A:$A, 0))-INDEX('UA-normalized'!$E:$E, MATCH($A15, 'UA-normalized'!$A:$A, 0))), 0), 0))+(IFERROR(IF(14*INDEX('KZ-normalized'!$D:$D, MATCH($A15, 'KZ-normalized'!$A:$A, 0))-INDEX('KZ-normalized'!$E:$E, MATCH($A15, 'KZ-normalized'!$A:$A, 0))&gt;0, -(14*INDEX('KZ-normalized'!$D:$D, MATCH($A15, 'KZ-normalized'!$A:$A, 0))-INDEX('KZ-normalized'!$E:$E, MATCH($A15, 'KZ-normalized'!$A:$A, 0))), 0), 0))+(IFERROR(IF(14*INDEX('UZ-normalized'!$D:$D, MATCH($A15, 'UZ-normalized'!$A:$A, 0))-INDEX('UZ-normalized'!$E:$E, MATCH($A15, 'UZ-normalized'!$A:$A, 0))&gt;0, -(14*INDEX('UZ-normalized'!$D:$D, MATCH($A15, 'UZ-normalized'!$A:$A, 0))-INDEX('UZ-normalized'!$E:$E, MATCH($A15, 'UZ-normalized'!$A:$A, 0))), 0), 0)))</f>
        <v>0</v>
      </c>
      <c r="AC15" s="6">
        <f>MIN(0, N15+(IFERROR(IF(15*INDEX('UA-normalized'!$D:$D, MATCH($A15, 'UA-normalized'!$A:$A, 0))-INDEX('UA-normalized'!$E:$E, MATCH($A15, 'UA-normalized'!$A:$A, 0))&gt;0, -(15*INDEX('UA-normalized'!$D:$D, MATCH($A15, 'UA-normalized'!$A:$A, 0))-INDEX('UA-normalized'!$E:$E, MATCH($A15, 'UA-normalized'!$A:$A, 0))), 0), 0))+(IFERROR(IF(15*INDEX('KZ-normalized'!$D:$D, MATCH($A15, 'KZ-normalized'!$A:$A, 0))-INDEX('KZ-normalized'!$E:$E, MATCH($A15, 'KZ-normalized'!$A:$A, 0))&gt;0, -(15*INDEX('KZ-normalized'!$D:$D, MATCH($A15, 'KZ-normalized'!$A:$A, 0))-INDEX('KZ-normalized'!$E:$E, MATCH($A15, 'KZ-normalized'!$A:$A, 0))), 0), 0))+(IFERROR(IF(15*INDEX('UZ-normalized'!$D:$D, MATCH($A15, 'UZ-normalized'!$A:$A, 0))-INDEX('UZ-normalized'!$E:$E, MATCH($A15, 'UZ-normalized'!$A:$A, 0))&gt;0, -(15*INDEX('UZ-normalized'!$D:$D, MATCH($A15, 'UZ-normalized'!$A:$A, 0))-INDEX('UZ-normalized'!$E:$E, MATCH($A15, 'UZ-normalized'!$A:$A, 0))), 0), 0)))</f>
        <v>0</v>
      </c>
      <c r="AD15" s="6">
        <f>MIN(0, N15+(IFERROR(IF(16*INDEX('UA-normalized'!$D:$D, MATCH($A15, 'UA-normalized'!$A:$A, 0))-INDEX('UA-normalized'!$E:$E, MATCH($A15, 'UA-normalized'!$A:$A, 0))&gt;0, -(16*INDEX('UA-normalized'!$D:$D, MATCH($A15, 'UA-normalized'!$A:$A, 0))-INDEX('UA-normalized'!$E:$E, MATCH($A15, 'UA-normalized'!$A:$A, 0))), 0), 0))+(IFERROR(IF(16*INDEX('KZ-normalized'!$D:$D, MATCH($A15, 'KZ-normalized'!$A:$A, 0))-INDEX('KZ-normalized'!$E:$E, MATCH($A15, 'KZ-normalized'!$A:$A, 0))&gt;0, -(16*INDEX('KZ-normalized'!$D:$D, MATCH($A15, 'KZ-normalized'!$A:$A, 0))-INDEX('KZ-normalized'!$E:$E, MATCH($A15, 'KZ-normalized'!$A:$A, 0))), 0), 0))+(IFERROR(IF(16*INDEX('UZ-normalized'!$D:$D, MATCH($A15, 'UZ-normalized'!$A:$A, 0))-INDEX('UZ-normalized'!$E:$E, MATCH($A15, 'UZ-normalized'!$A:$A, 0))&gt;0, -(16*INDEX('UZ-normalized'!$D:$D, MATCH($A15, 'UZ-normalized'!$A:$A, 0))-INDEX('UZ-normalized'!$E:$E, MATCH($A15, 'UZ-normalized'!$A:$A, 0))), 0), 0)))</f>
        <v>0</v>
      </c>
      <c r="AE15" s="6">
        <f>MIN(0, N15+(IFERROR(IF(17*INDEX('UA-normalized'!$D:$D, MATCH($A15, 'UA-normalized'!$A:$A, 0))-INDEX('UA-normalized'!$E:$E, MATCH($A15, 'UA-normalized'!$A:$A, 0))&gt;0, -(17*INDEX('UA-normalized'!$D:$D, MATCH($A15, 'UA-normalized'!$A:$A, 0))-INDEX('UA-normalized'!$E:$E, MATCH($A15, 'UA-normalized'!$A:$A, 0))), 0), 0))+(IFERROR(IF(17*INDEX('KZ-normalized'!$D:$D, MATCH($A15, 'KZ-normalized'!$A:$A, 0))-INDEX('KZ-normalized'!$E:$E, MATCH($A15, 'KZ-normalized'!$A:$A, 0))&gt;0, -(17*INDEX('KZ-normalized'!$D:$D, MATCH($A15, 'KZ-normalized'!$A:$A, 0))-INDEX('KZ-normalized'!$E:$E, MATCH($A15, 'KZ-normalized'!$A:$A, 0))), 0), 0))+(IFERROR(IF(17*INDEX('UZ-normalized'!$D:$D, MATCH($A15, 'UZ-normalized'!$A:$A, 0))-INDEX('UZ-normalized'!$E:$E, MATCH($A15, 'UZ-normalized'!$A:$A, 0))&gt;0, -(17*INDEX('UZ-normalized'!$D:$D, MATCH($A15, 'UZ-normalized'!$A:$A, 0))-INDEX('UZ-normalized'!$E:$E, MATCH($A15, 'UZ-normalized'!$A:$A, 0))), 0), 0)))</f>
        <v>0</v>
      </c>
      <c r="AF15" s="6">
        <f>MIN(0, N15+(IFERROR(IF(18*INDEX('UA-normalized'!$D:$D, MATCH($A15, 'UA-normalized'!$A:$A, 0))-INDEX('UA-normalized'!$E:$E, MATCH($A15, 'UA-normalized'!$A:$A, 0))&gt;0, -(18*INDEX('UA-normalized'!$D:$D, MATCH($A15, 'UA-normalized'!$A:$A, 0))-INDEX('UA-normalized'!$E:$E, MATCH($A15, 'UA-normalized'!$A:$A, 0))), 0), 0))+(IFERROR(IF(18*INDEX('KZ-normalized'!$D:$D, MATCH($A15, 'KZ-normalized'!$A:$A, 0))-INDEX('KZ-normalized'!$E:$E, MATCH($A15, 'KZ-normalized'!$A:$A, 0))&gt;0, -(18*INDEX('KZ-normalized'!$D:$D, MATCH($A15, 'KZ-normalized'!$A:$A, 0))-INDEX('KZ-normalized'!$E:$E, MATCH($A15, 'KZ-normalized'!$A:$A, 0))), 0), 0))+(IFERROR(IF(18*INDEX('UZ-normalized'!$D:$D, MATCH($A15, 'UZ-normalized'!$A:$A, 0))-INDEX('UZ-normalized'!$E:$E, MATCH($A15, 'UZ-normalized'!$A:$A, 0))&gt;0, -(18*INDEX('UZ-normalized'!$D:$D, MATCH($A15, 'UZ-normalized'!$A:$A, 0))-INDEX('UZ-normalized'!$E:$E, MATCH($A15, 'UZ-normalized'!$A:$A, 0))), 0), 0)))</f>
        <v>0</v>
      </c>
      <c r="AG15" s="6">
        <f>MIN(0, N15+(IFERROR(IF(19*INDEX('UA-normalized'!$D:$D, MATCH($A15, 'UA-normalized'!$A:$A, 0))-INDEX('UA-normalized'!$E:$E, MATCH($A15, 'UA-normalized'!$A:$A, 0))&gt;0, -(19*INDEX('UA-normalized'!$D:$D, MATCH($A15, 'UA-normalized'!$A:$A, 0))-INDEX('UA-normalized'!$E:$E, MATCH($A15, 'UA-normalized'!$A:$A, 0))), 0), 0))+(IFERROR(IF(19*INDEX('KZ-normalized'!$D:$D, MATCH($A15, 'KZ-normalized'!$A:$A, 0))-INDEX('KZ-normalized'!$E:$E, MATCH($A15, 'KZ-normalized'!$A:$A, 0))&gt;0, -(19*INDEX('KZ-normalized'!$D:$D, MATCH($A15, 'KZ-normalized'!$A:$A, 0))-INDEX('KZ-normalized'!$E:$E, MATCH($A15, 'KZ-normalized'!$A:$A, 0))), 0), 0))+(IFERROR(IF(19*INDEX('UZ-normalized'!$D:$D, MATCH($A15, 'UZ-normalized'!$A:$A, 0))-INDEX('UZ-normalized'!$E:$E, MATCH($A15, 'UZ-normalized'!$A:$A, 0))&gt;0, -(19*INDEX('UZ-normalized'!$D:$D, MATCH($A15, 'UZ-normalized'!$A:$A, 0))-INDEX('UZ-normalized'!$E:$E, MATCH($A15, 'UZ-normalized'!$A:$A, 0))), 0), 0)))</f>
        <v>0</v>
      </c>
      <c r="AH15" s="6">
        <f>MIN(0, N15+(IFERROR(IF(20*INDEX('UA-normalized'!$D:$D, MATCH($A15, 'UA-normalized'!$A:$A, 0))-INDEX('UA-normalized'!$E:$E, MATCH($A15, 'UA-normalized'!$A:$A, 0))&gt;0, -(20*INDEX('UA-normalized'!$D:$D, MATCH($A15, 'UA-normalized'!$A:$A, 0))-INDEX('UA-normalized'!$E:$E, MATCH($A15, 'UA-normalized'!$A:$A, 0))), 0), 0))+(IFERROR(IF(20*INDEX('KZ-normalized'!$D:$D, MATCH($A15, 'KZ-normalized'!$A:$A, 0))-INDEX('KZ-normalized'!$E:$E, MATCH($A15, 'KZ-normalized'!$A:$A, 0))&gt;0, -(20*INDEX('KZ-normalized'!$D:$D, MATCH($A15, 'KZ-normalized'!$A:$A, 0))-INDEX('KZ-normalized'!$E:$E, MATCH($A15, 'KZ-normalized'!$A:$A, 0))), 0), 0))+(IFERROR(IF(20*INDEX('UZ-normalized'!$D:$D, MATCH($A15, 'UZ-normalized'!$A:$A, 0))-INDEX('UZ-normalized'!$E:$E, MATCH($A15, 'UZ-normalized'!$A:$A, 0))&gt;0, -(20*INDEX('UZ-normalized'!$D:$D, MATCH($A15, 'UZ-normalized'!$A:$A, 0))-INDEX('UZ-normalized'!$E:$E, MATCH($A15, 'UZ-normalized'!$A:$A, 0))), 0), 0)))</f>
        <v>0</v>
      </c>
      <c r="AI15" s="6">
        <f>MIN(0, N15+(IFERROR(IF(21*INDEX('UA-normalized'!$D:$D, MATCH($A15, 'UA-normalized'!$A:$A, 0))-INDEX('UA-normalized'!$E:$E, MATCH($A15, 'UA-normalized'!$A:$A, 0))&gt;0, -(21*INDEX('UA-normalized'!$D:$D, MATCH($A15, 'UA-normalized'!$A:$A, 0))-INDEX('UA-normalized'!$E:$E, MATCH($A15, 'UA-normalized'!$A:$A, 0))), 0), 0))+(IFERROR(IF(21*INDEX('KZ-normalized'!$D:$D, MATCH($A15, 'KZ-normalized'!$A:$A, 0))-INDEX('KZ-normalized'!$E:$E, MATCH($A15, 'KZ-normalized'!$A:$A, 0))&gt;0, -(21*INDEX('KZ-normalized'!$D:$D, MATCH($A15, 'KZ-normalized'!$A:$A, 0))-INDEX('KZ-normalized'!$E:$E, MATCH($A15, 'KZ-normalized'!$A:$A, 0))), 0), 0))+(IFERROR(IF(21*INDEX('UZ-normalized'!$D:$D, MATCH($A15, 'UZ-normalized'!$A:$A, 0))-INDEX('UZ-normalized'!$E:$E, MATCH($A15, 'UZ-normalized'!$A:$A, 0))&gt;0, -(21*INDEX('UZ-normalized'!$D:$D, MATCH($A15, 'UZ-normalized'!$A:$A, 0))-INDEX('UZ-normalized'!$E:$E, MATCH($A15, 'UZ-normalized'!$A:$A, 0))), 0), 0)))</f>
        <v>0</v>
      </c>
      <c r="AJ15" s="6">
        <f>MIN(0, N15+(IFERROR(IF(22*INDEX('UA-normalized'!$D:$D, MATCH($A15, 'UA-normalized'!$A:$A, 0))-INDEX('UA-normalized'!$E:$E, MATCH($A15, 'UA-normalized'!$A:$A, 0))&gt;0, -(22*INDEX('UA-normalized'!$D:$D, MATCH($A15, 'UA-normalized'!$A:$A, 0))-INDEX('UA-normalized'!$E:$E, MATCH($A15, 'UA-normalized'!$A:$A, 0))), 0), 0))+(IFERROR(IF(22*INDEX('KZ-normalized'!$D:$D, MATCH($A15, 'KZ-normalized'!$A:$A, 0))-INDEX('KZ-normalized'!$E:$E, MATCH($A15, 'KZ-normalized'!$A:$A, 0))&gt;0, -(22*INDEX('KZ-normalized'!$D:$D, MATCH($A15, 'KZ-normalized'!$A:$A, 0))-INDEX('KZ-normalized'!$E:$E, MATCH($A15, 'KZ-normalized'!$A:$A, 0))), 0), 0))+(IFERROR(IF(22*INDEX('UZ-normalized'!$D:$D, MATCH($A15, 'UZ-normalized'!$A:$A, 0))-INDEX('UZ-normalized'!$E:$E, MATCH($A15, 'UZ-normalized'!$A:$A, 0))&gt;0, -(22*INDEX('UZ-normalized'!$D:$D, MATCH($A15, 'UZ-normalized'!$A:$A, 0))-INDEX('UZ-normalized'!$E:$E, MATCH($A15, 'UZ-normalized'!$A:$A, 0))), 0), 0)))</f>
        <v>0</v>
      </c>
      <c r="AK15" s="6">
        <f>MIN(0, N15+(IFERROR(IF(23*INDEX('UA-normalized'!$D:$D, MATCH($A15, 'UA-normalized'!$A:$A, 0))-INDEX('UA-normalized'!$E:$E, MATCH($A15, 'UA-normalized'!$A:$A, 0))&gt;0, -(23*INDEX('UA-normalized'!$D:$D, MATCH($A15, 'UA-normalized'!$A:$A, 0))-INDEX('UA-normalized'!$E:$E, MATCH($A15, 'UA-normalized'!$A:$A, 0))), 0), 0))+(IFERROR(IF(23*INDEX('KZ-normalized'!$D:$D, MATCH($A15, 'KZ-normalized'!$A:$A, 0))-INDEX('KZ-normalized'!$E:$E, MATCH($A15, 'KZ-normalized'!$A:$A, 0))&gt;0, -(23*INDEX('KZ-normalized'!$D:$D, MATCH($A15, 'KZ-normalized'!$A:$A, 0))-INDEX('KZ-normalized'!$E:$E, MATCH($A15, 'KZ-normalized'!$A:$A, 0))), 0), 0))+(IFERROR(IF(23*INDEX('UZ-normalized'!$D:$D, MATCH($A15, 'UZ-normalized'!$A:$A, 0))-INDEX('UZ-normalized'!$E:$E, MATCH($A15, 'UZ-normalized'!$A:$A, 0))&gt;0, -(23*INDEX('UZ-normalized'!$D:$D, MATCH($A15, 'UZ-normalized'!$A:$A, 0))-INDEX('UZ-normalized'!$E:$E, MATCH($A15, 'UZ-normalized'!$A:$A, 0))), 0), 0)))</f>
        <v>0</v>
      </c>
      <c r="AL15" s="6">
        <f>MIN(0, N15+(IFERROR(IF(24*INDEX('UA-normalized'!$D:$D, MATCH($A15, 'UA-normalized'!$A:$A, 0))-INDEX('UA-normalized'!$E:$E, MATCH($A15, 'UA-normalized'!$A:$A, 0))&gt;0, -(24*INDEX('UA-normalized'!$D:$D, MATCH($A15, 'UA-normalized'!$A:$A, 0))-INDEX('UA-normalized'!$E:$E, MATCH($A15, 'UA-normalized'!$A:$A, 0))), 0), 0))+(IFERROR(IF(24*INDEX('KZ-normalized'!$D:$D, MATCH($A15, 'KZ-normalized'!$A:$A, 0))-INDEX('KZ-normalized'!$E:$E, MATCH($A15, 'KZ-normalized'!$A:$A, 0))&gt;0, -(24*INDEX('KZ-normalized'!$D:$D, MATCH($A15, 'KZ-normalized'!$A:$A, 0))-INDEX('KZ-normalized'!$E:$E, MATCH($A15, 'KZ-normalized'!$A:$A, 0))), 0), 0))+(IFERROR(IF(24*INDEX('UZ-normalized'!$D:$D, MATCH($A15, 'UZ-normalized'!$A:$A, 0))-INDEX('UZ-normalized'!$E:$E, MATCH($A15, 'UZ-normalized'!$A:$A, 0))&gt;0, -(24*INDEX('UZ-normalized'!$D:$D, MATCH($A15, 'UZ-normalized'!$A:$A, 0))-INDEX('UZ-normalized'!$E:$E, MATCH($A15, 'UZ-normalized'!$A:$A, 0))), 0), 0)))</f>
        <v>0</v>
      </c>
      <c r="AM15" s="6">
        <f>MIN(0, N15+(IFERROR(IF(25*INDEX('UA-normalized'!$D:$D, MATCH($A15, 'UA-normalized'!$A:$A, 0))-INDEX('UA-normalized'!$E:$E, MATCH($A15, 'UA-normalized'!$A:$A, 0))&gt;0, -(25*INDEX('UA-normalized'!$D:$D, MATCH($A15, 'UA-normalized'!$A:$A, 0))-INDEX('UA-normalized'!$E:$E, MATCH($A15, 'UA-normalized'!$A:$A, 0))), 0), 0))+(IFERROR(IF(25*INDEX('KZ-normalized'!$D:$D, MATCH($A15, 'KZ-normalized'!$A:$A, 0))-INDEX('KZ-normalized'!$E:$E, MATCH($A15, 'KZ-normalized'!$A:$A, 0))&gt;0, -(25*INDEX('KZ-normalized'!$D:$D, MATCH($A15, 'KZ-normalized'!$A:$A, 0))-INDEX('KZ-normalized'!$E:$E, MATCH($A15, 'KZ-normalized'!$A:$A, 0))), 0), 0))+(IFERROR(IF(25*INDEX('UZ-normalized'!$D:$D, MATCH($A15, 'UZ-normalized'!$A:$A, 0))-INDEX('UZ-normalized'!$E:$E, MATCH($A15, 'UZ-normalized'!$A:$A, 0))&gt;0, -(25*INDEX('UZ-normalized'!$D:$D, MATCH($A15, 'UZ-normalized'!$A:$A, 0))-INDEX('UZ-normalized'!$E:$E, MATCH($A15, 'UZ-normalized'!$A:$A, 0))), 0), 0)))</f>
        <v>0</v>
      </c>
      <c r="AN15" s="6">
        <f>MIN(0, N15+(IFERROR(IF(26*INDEX('UA-normalized'!$D:$D, MATCH($A15, 'UA-normalized'!$A:$A, 0))-INDEX('UA-normalized'!$E:$E, MATCH($A15, 'UA-normalized'!$A:$A, 0))&gt;0, -(26*INDEX('UA-normalized'!$D:$D, MATCH($A15, 'UA-normalized'!$A:$A, 0))-INDEX('UA-normalized'!$E:$E, MATCH($A15, 'UA-normalized'!$A:$A, 0))), 0), 0))+(IFERROR(IF(26*INDEX('KZ-normalized'!$D:$D, MATCH($A15, 'KZ-normalized'!$A:$A, 0))-INDEX('KZ-normalized'!$E:$E, MATCH($A15, 'KZ-normalized'!$A:$A, 0))&gt;0, -(26*INDEX('KZ-normalized'!$D:$D, MATCH($A15, 'KZ-normalized'!$A:$A, 0))-INDEX('KZ-normalized'!$E:$E, MATCH($A15, 'KZ-normalized'!$A:$A, 0))), 0), 0))+(IFERROR(IF(26*INDEX('UZ-normalized'!$D:$D, MATCH($A15, 'UZ-normalized'!$A:$A, 0))-INDEX('UZ-normalized'!$E:$E, MATCH($A15, 'UZ-normalized'!$A:$A, 0))&gt;0, -(26*INDEX('UZ-normalized'!$D:$D, MATCH($A15, 'UZ-normalized'!$A:$A, 0))-INDEX('UZ-normalized'!$E:$E, MATCH($A15, 'UZ-normalized'!$A:$A, 0))), 0), 0)))</f>
        <v>0</v>
      </c>
      <c r="AO15" s="6">
        <f>MIN(0, N15+(IFERROR(IF(27*INDEX('UA-normalized'!$D:$D, MATCH($A15, 'UA-normalized'!$A:$A, 0))-INDEX('UA-normalized'!$E:$E, MATCH($A15, 'UA-normalized'!$A:$A, 0))&gt;0, -(27*INDEX('UA-normalized'!$D:$D, MATCH($A15, 'UA-normalized'!$A:$A, 0))-INDEX('UA-normalized'!$E:$E, MATCH($A15, 'UA-normalized'!$A:$A, 0))), 0), 0))+(IFERROR(IF(27*INDEX('KZ-normalized'!$D:$D, MATCH($A15, 'KZ-normalized'!$A:$A, 0))-INDEX('KZ-normalized'!$E:$E, MATCH($A15, 'KZ-normalized'!$A:$A, 0))&gt;0, -(27*INDEX('KZ-normalized'!$D:$D, MATCH($A15, 'KZ-normalized'!$A:$A, 0))-INDEX('KZ-normalized'!$E:$E, MATCH($A15, 'KZ-normalized'!$A:$A, 0))), 0), 0))+(IFERROR(IF(27*INDEX('UZ-normalized'!$D:$D, MATCH($A15, 'UZ-normalized'!$A:$A, 0))-INDEX('UZ-normalized'!$E:$E, MATCH($A15, 'UZ-normalized'!$A:$A, 0))&gt;0, -(27*INDEX('UZ-normalized'!$D:$D, MATCH($A15, 'UZ-normalized'!$A:$A, 0))-INDEX('UZ-normalized'!$E:$E, MATCH($A15, 'UZ-normalized'!$A:$A, 0))), 0), 0)))</f>
        <v>0</v>
      </c>
      <c r="AP15" s="6">
        <f>MIN(0, N15+(IFERROR(IF(28*INDEX('UA-normalized'!$D:$D, MATCH($A15, 'UA-normalized'!$A:$A, 0))-INDEX('UA-normalized'!$E:$E, MATCH($A15, 'UA-normalized'!$A:$A, 0))&gt;0, -(28*INDEX('UA-normalized'!$D:$D, MATCH($A15, 'UA-normalized'!$A:$A, 0))-INDEX('UA-normalized'!$E:$E, MATCH($A15, 'UA-normalized'!$A:$A, 0))), 0), 0))+(IFERROR(IF(28*INDEX('KZ-normalized'!$D:$D, MATCH($A15, 'KZ-normalized'!$A:$A, 0))-INDEX('KZ-normalized'!$E:$E, MATCH($A15, 'KZ-normalized'!$A:$A, 0))&gt;0, -(28*INDEX('KZ-normalized'!$D:$D, MATCH($A15, 'KZ-normalized'!$A:$A, 0))-INDEX('KZ-normalized'!$E:$E, MATCH($A15, 'KZ-normalized'!$A:$A, 0))), 0), 0))+(IFERROR(IF(28*INDEX('UZ-normalized'!$D:$D, MATCH($A15, 'UZ-normalized'!$A:$A, 0))-INDEX('UZ-normalized'!$E:$E, MATCH($A15, 'UZ-normalized'!$A:$A, 0))&gt;0, -(28*INDEX('UZ-normalized'!$D:$D, MATCH($A15, 'UZ-normalized'!$A:$A, 0))-INDEX('UZ-normalized'!$E:$E, MATCH($A15, 'UZ-normalized'!$A:$A, 0))), 0), 0)))</f>
        <v>0</v>
      </c>
      <c r="AQ15" s="6">
        <f>MIN(0, N15+(IFERROR(IF(29*INDEX('UA-normalized'!$D:$D, MATCH($A15, 'UA-normalized'!$A:$A, 0))-INDEX('UA-normalized'!$E:$E, MATCH($A15, 'UA-normalized'!$A:$A, 0))&gt;0, -(29*INDEX('UA-normalized'!$D:$D, MATCH($A15, 'UA-normalized'!$A:$A, 0))-INDEX('UA-normalized'!$E:$E, MATCH($A15, 'UA-normalized'!$A:$A, 0))), 0), 0))+(IFERROR(IF(29*INDEX('KZ-normalized'!$D:$D, MATCH($A15, 'KZ-normalized'!$A:$A, 0))-INDEX('KZ-normalized'!$E:$E, MATCH($A15, 'KZ-normalized'!$A:$A, 0))&gt;0, -(29*INDEX('KZ-normalized'!$D:$D, MATCH($A15, 'KZ-normalized'!$A:$A, 0))-INDEX('KZ-normalized'!$E:$E, MATCH($A15, 'KZ-normalized'!$A:$A, 0))), 0), 0))+(IFERROR(IF(29*INDEX('UZ-normalized'!$D:$D, MATCH($A15, 'UZ-normalized'!$A:$A, 0))-INDEX('UZ-normalized'!$E:$E, MATCH($A15, 'UZ-normalized'!$A:$A, 0))&gt;0, -(29*INDEX('UZ-normalized'!$D:$D, MATCH($A15, 'UZ-normalized'!$A:$A, 0))-INDEX('UZ-normalized'!$E:$E, MATCH($A15, 'UZ-normalized'!$A:$A, 0))), 0), 0)))</f>
        <v>0</v>
      </c>
      <c r="AR15" s="6">
        <f>MIN(0, N15+(IFERROR(IF(30*INDEX('UA-normalized'!$D:$D, MATCH($A15, 'UA-normalized'!$A:$A, 0))-INDEX('UA-normalized'!$E:$E, MATCH($A15, 'UA-normalized'!$A:$A, 0))&gt;0, -(30*INDEX('UA-normalized'!$D:$D, MATCH($A15, 'UA-normalized'!$A:$A, 0))-INDEX('UA-normalized'!$E:$E, MATCH($A15, 'UA-normalized'!$A:$A, 0))), 0), 0))+(IFERROR(IF(30*INDEX('KZ-normalized'!$D:$D, MATCH($A15, 'KZ-normalized'!$A:$A, 0))-INDEX('KZ-normalized'!$E:$E, MATCH($A15, 'KZ-normalized'!$A:$A, 0))&gt;0, -(30*INDEX('KZ-normalized'!$D:$D, MATCH($A15, 'KZ-normalized'!$A:$A, 0))-INDEX('KZ-normalized'!$E:$E, MATCH($A15, 'KZ-normalized'!$A:$A, 0))), 0), 0))+(IFERROR(IF(30*INDEX('UZ-normalized'!$D:$D, MATCH($A15, 'UZ-normalized'!$A:$A, 0))-INDEX('UZ-normalized'!$E:$E, MATCH($A15, 'UZ-normalized'!$A:$A, 0))&gt;0, -(30*INDEX('UZ-normalized'!$D:$D, MATCH($A15, 'UZ-normalized'!$A:$A, 0))-INDEX('UZ-normalized'!$E:$E, MATCH($A15, 'UZ-normalized'!$A:$A, 0))), 0), 0)))</f>
        <v>0</v>
      </c>
    </row>
    <row r="16" spans="1:44" x14ac:dyDescent="0.25">
      <c r="A16" s="8" t="s">
        <v>76</v>
      </c>
      <c r="B16" s="8" t="s">
        <v>77</v>
      </c>
      <c r="C16" s="8" t="s">
        <v>78</v>
      </c>
      <c r="D16" s="8" t="s">
        <v>79</v>
      </c>
      <c r="F16">
        <v>264</v>
      </c>
      <c r="N16">
        <f t="shared" si="0"/>
        <v>264</v>
      </c>
      <c r="O16" s="6">
        <f>MIN(0, N16+(IFERROR(IF(1*INDEX('UA-normalized'!$D:$D, MATCH($A16, 'UA-normalized'!$A:$A, 0))-INDEX('UA-normalized'!$E:$E, MATCH($A16, 'UA-normalized'!$A:$A, 0))&gt;0, -(1*INDEX('UA-normalized'!$D:$D, MATCH($A16, 'UA-normalized'!$A:$A, 0))-INDEX('UA-normalized'!$E:$E, MATCH($A16, 'UA-normalized'!$A:$A, 0))), 0), 0))+(IFERROR(IF(1*INDEX('KZ-normalized'!$D:$D, MATCH($A16, 'KZ-normalized'!$A:$A, 0))-INDEX('KZ-normalized'!$E:$E, MATCH($A16, 'KZ-normalized'!$A:$A, 0))&gt;0, -(1*INDEX('KZ-normalized'!$D:$D, MATCH($A16, 'KZ-normalized'!$A:$A, 0))-INDEX('KZ-normalized'!$E:$E, MATCH($A16, 'KZ-normalized'!$A:$A, 0))), 0), 0))+(IFERROR(IF(1*INDEX('UZ-normalized'!$D:$D, MATCH($A16, 'UZ-normalized'!$A:$A, 0))-INDEX('UZ-normalized'!$E:$E, MATCH($A16, 'UZ-normalized'!$A:$A, 0))&gt;0, -(1*INDEX('UZ-normalized'!$D:$D, MATCH($A16, 'UZ-normalized'!$A:$A, 0))-INDEX('UZ-normalized'!$E:$E, MATCH($A16, 'UZ-normalized'!$A:$A, 0))), 0), 0)))</f>
        <v>0</v>
      </c>
      <c r="P16" s="6">
        <f>MIN(0, N16+(IFERROR(IF(2*INDEX('UA-normalized'!$D:$D, MATCH($A16, 'UA-normalized'!$A:$A, 0))-INDEX('UA-normalized'!$E:$E, MATCH($A16, 'UA-normalized'!$A:$A, 0))&gt;0, -(2*INDEX('UA-normalized'!$D:$D, MATCH($A16, 'UA-normalized'!$A:$A, 0))-INDEX('UA-normalized'!$E:$E, MATCH($A16, 'UA-normalized'!$A:$A, 0))), 0), 0))+(IFERROR(IF(2*INDEX('KZ-normalized'!$D:$D, MATCH($A16, 'KZ-normalized'!$A:$A, 0))-INDEX('KZ-normalized'!$E:$E, MATCH($A16, 'KZ-normalized'!$A:$A, 0))&gt;0, -(2*INDEX('KZ-normalized'!$D:$D, MATCH($A16, 'KZ-normalized'!$A:$A, 0))-INDEX('KZ-normalized'!$E:$E, MATCH($A16, 'KZ-normalized'!$A:$A, 0))), 0), 0))+(IFERROR(IF(2*INDEX('UZ-normalized'!$D:$D, MATCH($A16, 'UZ-normalized'!$A:$A, 0))-INDEX('UZ-normalized'!$E:$E, MATCH($A16, 'UZ-normalized'!$A:$A, 0))&gt;0, -(2*INDEX('UZ-normalized'!$D:$D, MATCH($A16, 'UZ-normalized'!$A:$A, 0))-INDEX('UZ-normalized'!$E:$E, MATCH($A16, 'UZ-normalized'!$A:$A, 0))), 0), 0)))</f>
        <v>0</v>
      </c>
      <c r="Q16" s="6">
        <f>MIN(0, N16+(IFERROR(IF(3*INDEX('UA-normalized'!$D:$D, MATCH($A16, 'UA-normalized'!$A:$A, 0))-INDEX('UA-normalized'!$E:$E, MATCH($A16, 'UA-normalized'!$A:$A, 0))&gt;0, -(3*INDEX('UA-normalized'!$D:$D, MATCH($A16, 'UA-normalized'!$A:$A, 0))-INDEX('UA-normalized'!$E:$E, MATCH($A16, 'UA-normalized'!$A:$A, 0))), 0), 0))+(IFERROR(IF(3*INDEX('KZ-normalized'!$D:$D, MATCH($A16, 'KZ-normalized'!$A:$A, 0))-INDEX('KZ-normalized'!$E:$E, MATCH($A16, 'KZ-normalized'!$A:$A, 0))&gt;0, -(3*INDEX('KZ-normalized'!$D:$D, MATCH($A16, 'KZ-normalized'!$A:$A, 0))-INDEX('KZ-normalized'!$E:$E, MATCH($A16, 'KZ-normalized'!$A:$A, 0))), 0), 0))+(IFERROR(IF(3*INDEX('UZ-normalized'!$D:$D, MATCH($A16, 'UZ-normalized'!$A:$A, 0))-INDEX('UZ-normalized'!$E:$E, MATCH($A16, 'UZ-normalized'!$A:$A, 0))&gt;0, -(3*INDEX('UZ-normalized'!$D:$D, MATCH($A16, 'UZ-normalized'!$A:$A, 0))-INDEX('UZ-normalized'!$E:$E, MATCH($A16, 'UZ-normalized'!$A:$A, 0))), 0), 0)))</f>
        <v>0</v>
      </c>
      <c r="R16" s="6">
        <f>MIN(0, N16+(IFERROR(IF(4*INDEX('UA-normalized'!$D:$D, MATCH($A16, 'UA-normalized'!$A:$A, 0))-INDEX('UA-normalized'!$E:$E, MATCH($A16, 'UA-normalized'!$A:$A, 0))&gt;0, -(4*INDEX('UA-normalized'!$D:$D, MATCH($A16, 'UA-normalized'!$A:$A, 0))-INDEX('UA-normalized'!$E:$E, MATCH($A16, 'UA-normalized'!$A:$A, 0))), 0), 0))+(IFERROR(IF(4*INDEX('KZ-normalized'!$D:$D, MATCH($A16, 'KZ-normalized'!$A:$A, 0))-INDEX('KZ-normalized'!$E:$E, MATCH($A16, 'KZ-normalized'!$A:$A, 0))&gt;0, -(4*INDEX('KZ-normalized'!$D:$D, MATCH($A16, 'KZ-normalized'!$A:$A, 0))-INDEX('KZ-normalized'!$E:$E, MATCH($A16, 'KZ-normalized'!$A:$A, 0))), 0), 0))+(IFERROR(IF(4*INDEX('UZ-normalized'!$D:$D, MATCH($A16, 'UZ-normalized'!$A:$A, 0))-INDEX('UZ-normalized'!$E:$E, MATCH($A16, 'UZ-normalized'!$A:$A, 0))&gt;0, -(4*INDEX('UZ-normalized'!$D:$D, MATCH($A16, 'UZ-normalized'!$A:$A, 0))-INDEX('UZ-normalized'!$E:$E, MATCH($A16, 'UZ-normalized'!$A:$A, 0))), 0), 0)))</f>
        <v>0</v>
      </c>
      <c r="S16" s="6">
        <f>MIN(0, N16+(IFERROR(IF(5*INDEX('UA-normalized'!$D:$D, MATCH($A16, 'UA-normalized'!$A:$A, 0))-INDEX('UA-normalized'!$E:$E, MATCH($A16, 'UA-normalized'!$A:$A, 0))&gt;0, -(5*INDEX('UA-normalized'!$D:$D, MATCH($A16, 'UA-normalized'!$A:$A, 0))-INDEX('UA-normalized'!$E:$E, MATCH($A16, 'UA-normalized'!$A:$A, 0))), 0), 0))+(IFERROR(IF(5*INDEX('KZ-normalized'!$D:$D, MATCH($A16, 'KZ-normalized'!$A:$A, 0))-INDEX('KZ-normalized'!$E:$E, MATCH($A16, 'KZ-normalized'!$A:$A, 0))&gt;0, -(5*INDEX('KZ-normalized'!$D:$D, MATCH($A16, 'KZ-normalized'!$A:$A, 0))-INDEX('KZ-normalized'!$E:$E, MATCH($A16, 'KZ-normalized'!$A:$A, 0))), 0), 0))+(IFERROR(IF(5*INDEX('UZ-normalized'!$D:$D, MATCH($A16, 'UZ-normalized'!$A:$A, 0))-INDEX('UZ-normalized'!$E:$E, MATCH($A16, 'UZ-normalized'!$A:$A, 0))&gt;0, -(5*INDEX('UZ-normalized'!$D:$D, MATCH($A16, 'UZ-normalized'!$A:$A, 0))-INDEX('UZ-normalized'!$E:$E, MATCH($A16, 'UZ-normalized'!$A:$A, 0))), 0), 0)))</f>
        <v>0</v>
      </c>
      <c r="T16" s="6">
        <f>MIN(0, N16+(IFERROR(IF(6*INDEX('UA-normalized'!$D:$D, MATCH($A16, 'UA-normalized'!$A:$A, 0))-INDEX('UA-normalized'!$E:$E, MATCH($A16, 'UA-normalized'!$A:$A, 0))&gt;0, -(6*INDEX('UA-normalized'!$D:$D, MATCH($A16, 'UA-normalized'!$A:$A, 0))-INDEX('UA-normalized'!$E:$E, MATCH($A16, 'UA-normalized'!$A:$A, 0))), 0), 0))+(IFERROR(IF(6*INDEX('KZ-normalized'!$D:$D, MATCH($A16, 'KZ-normalized'!$A:$A, 0))-INDEX('KZ-normalized'!$E:$E, MATCH($A16, 'KZ-normalized'!$A:$A, 0))&gt;0, -(6*INDEX('KZ-normalized'!$D:$D, MATCH($A16, 'KZ-normalized'!$A:$A, 0))-INDEX('KZ-normalized'!$E:$E, MATCH($A16, 'KZ-normalized'!$A:$A, 0))), 0), 0))+(IFERROR(IF(6*INDEX('UZ-normalized'!$D:$D, MATCH($A16, 'UZ-normalized'!$A:$A, 0))-INDEX('UZ-normalized'!$E:$E, MATCH($A16, 'UZ-normalized'!$A:$A, 0))&gt;0, -(6*INDEX('UZ-normalized'!$D:$D, MATCH($A16, 'UZ-normalized'!$A:$A, 0))-INDEX('UZ-normalized'!$E:$E, MATCH($A16, 'UZ-normalized'!$A:$A, 0))), 0), 0)))</f>
        <v>0</v>
      </c>
      <c r="U16" s="6">
        <f>MIN(0, N16+(IFERROR(IF(7*INDEX('UA-normalized'!$D:$D, MATCH($A16, 'UA-normalized'!$A:$A, 0))-INDEX('UA-normalized'!$E:$E, MATCH($A16, 'UA-normalized'!$A:$A, 0))&gt;0, -(7*INDEX('UA-normalized'!$D:$D, MATCH($A16, 'UA-normalized'!$A:$A, 0))-INDEX('UA-normalized'!$E:$E, MATCH($A16, 'UA-normalized'!$A:$A, 0))), 0), 0))+(IFERROR(IF(7*INDEX('KZ-normalized'!$D:$D, MATCH($A16, 'KZ-normalized'!$A:$A, 0))-INDEX('KZ-normalized'!$E:$E, MATCH($A16, 'KZ-normalized'!$A:$A, 0))&gt;0, -(7*INDEX('KZ-normalized'!$D:$D, MATCH($A16, 'KZ-normalized'!$A:$A, 0))-INDEX('KZ-normalized'!$E:$E, MATCH($A16, 'KZ-normalized'!$A:$A, 0))), 0), 0))+(IFERROR(IF(7*INDEX('UZ-normalized'!$D:$D, MATCH($A16, 'UZ-normalized'!$A:$A, 0))-INDEX('UZ-normalized'!$E:$E, MATCH($A16, 'UZ-normalized'!$A:$A, 0))&gt;0, -(7*INDEX('UZ-normalized'!$D:$D, MATCH($A16, 'UZ-normalized'!$A:$A, 0))-INDEX('UZ-normalized'!$E:$E, MATCH($A16, 'UZ-normalized'!$A:$A, 0))), 0), 0)))</f>
        <v>0</v>
      </c>
      <c r="V16" s="6">
        <f>MIN(0, N16+(IFERROR(IF(8*INDEX('UA-normalized'!$D:$D, MATCH($A16, 'UA-normalized'!$A:$A, 0))-INDEX('UA-normalized'!$E:$E, MATCH($A16, 'UA-normalized'!$A:$A, 0))&gt;0, -(8*INDEX('UA-normalized'!$D:$D, MATCH($A16, 'UA-normalized'!$A:$A, 0))-INDEX('UA-normalized'!$E:$E, MATCH($A16, 'UA-normalized'!$A:$A, 0))), 0), 0))+(IFERROR(IF(8*INDEX('KZ-normalized'!$D:$D, MATCH($A16, 'KZ-normalized'!$A:$A, 0))-INDEX('KZ-normalized'!$E:$E, MATCH($A16, 'KZ-normalized'!$A:$A, 0))&gt;0, -(8*INDEX('KZ-normalized'!$D:$D, MATCH($A16, 'KZ-normalized'!$A:$A, 0))-INDEX('KZ-normalized'!$E:$E, MATCH($A16, 'KZ-normalized'!$A:$A, 0))), 0), 0))+(IFERROR(IF(8*INDEX('UZ-normalized'!$D:$D, MATCH($A16, 'UZ-normalized'!$A:$A, 0))-INDEX('UZ-normalized'!$E:$E, MATCH($A16, 'UZ-normalized'!$A:$A, 0))&gt;0, -(8*INDEX('UZ-normalized'!$D:$D, MATCH($A16, 'UZ-normalized'!$A:$A, 0))-INDEX('UZ-normalized'!$E:$E, MATCH($A16, 'UZ-normalized'!$A:$A, 0))), 0), 0)))</f>
        <v>0</v>
      </c>
      <c r="W16" s="6">
        <f>MIN(0, N16+(IFERROR(IF(9*INDEX('UA-normalized'!$D:$D, MATCH($A16, 'UA-normalized'!$A:$A, 0))-INDEX('UA-normalized'!$E:$E, MATCH($A16, 'UA-normalized'!$A:$A, 0))&gt;0, -(9*INDEX('UA-normalized'!$D:$D, MATCH($A16, 'UA-normalized'!$A:$A, 0))-INDEX('UA-normalized'!$E:$E, MATCH($A16, 'UA-normalized'!$A:$A, 0))), 0), 0))+(IFERROR(IF(9*INDEX('KZ-normalized'!$D:$D, MATCH($A16, 'KZ-normalized'!$A:$A, 0))-INDEX('KZ-normalized'!$E:$E, MATCH($A16, 'KZ-normalized'!$A:$A, 0))&gt;0, -(9*INDEX('KZ-normalized'!$D:$D, MATCH($A16, 'KZ-normalized'!$A:$A, 0))-INDEX('KZ-normalized'!$E:$E, MATCH($A16, 'KZ-normalized'!$A:$A, 0))), 0), 0))+(IFERROR(IF(9*INDEX('UZ-normalized'!$D:$D, MATCH($A16, 'UZ-normalized'!$A:$A, 0))-INDEX('UZ-normalized'!$E:$E, MATCH($A16, 'UZ-normalized'!$A:$A, 0))&gt;0, -(9*INDEX('UZ-normalized'!$D:$D, MATCH($A16, 'UZ-normalized'!$A:$A, 0))-INDEX('UZ-normalized'!$E:$E, MATCH($A16, 'UZ-normalized'!$A:$A, 0))), 0), 0)))</f>
        <v>0</v>
      </c>
      <c r="X16" s="6">
        <f>MIN(0, N16+(IFERROR(IF(10*INDEX('UA-normalized'!$D:$D, MATCH($A16, 'UA-normalized'!$A:$A, 0))-INDEX('UA-normalized'!$E:$E, MATCH($A16, 'UA-normalized'!$A:$A, 0))&gt;0, -(10*INDEX('UA-normalized'!$D:$D, MATCH($A16, 'UA-normalized'!$A:$A, 0))-INDEX('UA-normalized'!$E:$E, MATCH($A16, 'UA-normalized'!$A:$A, 0))), 0), 0))+(IFERROR(IF(10*INDEX('KZ-normalized'!$D:$D, MATCH($A16, 'KZ-normalized'!$A:$A, 0))-INDEX('KZ-normalized'!$E:$E, MATCH($A16, 'KZ-normalized'!$A:$A, 0))&gt;0, -(10*INDEX('KZ-normalized'!$D:$D, MATCH($A16, 'KZ-normalized'!$A:$A, 0))-INDEX('KZ-normalized'!$E:$E, MATCH($A16, 'KZ-normalized'!$A:$A, 0))), 0), 0))+(IFERROR(IF(10*INDEX('UZ-normalized'!$D:$D, MATCH($A16, 'UZ-normalized'!$A:$A, 0))-INDEX('UZ-normalized'!$E:$E, MATCH($A16, 'UZ-normalized'!$A:$A, 0))&gt;0, -(10*INDEX('UZ-normalized'!$D:$D, MATCH($A16, 'UZ-normalized'!$A:$A, 0))-INDEX('UZ-normalized'!$E:$E, MATCH($A16, 'UZ-normalized'!$A:$A, 0))), 0), 0)))</f>
        <v>0</v>
      </c>
      <c r="Y16" s="6">
        <f>MIN(0, N16+(IFERROR(IF(11*INDEX('UA-normalized'!$D:$D, MATCH($A16, 'UA-normalized'!$A:$A, 0))-INDEX('UA-normalized'!$E:$E, MATCH($A16, 'UA-normalized'!$A:$A, 0))&gt;0, -(11*INDEX('UA-normalized'!$D:$D, MATCH($A16, 'UA-normalized'!$A:$A, 0))-INDEX('UA-normalized'!$E:$E, MATCH($A16, 'UA-normalized'!$A:$A, 0))), 0), 0))+(IFERROR(IF(11*INDEX('KZ-normalized'!$D:$D, MATCH($A16, 'KZ-normalized'!$A:$A, 0))-INDEX('KZ-normalized'!$E:$E, MATCH($A16, 'KZ-normalized'!$A:$A, 0))&gt;0, -(11*INDEX('KZ-normalized'!$D:$D, MATCH($A16, 'KZ-normalized'!$A:$A, 0))-INDEX('KZ-normalized'!$E:$E, MATCH($A16, 'KZ-normalized'!$A:$A, 0))), 0), 0))+(IFERROR(IF(11*INDEX('UZ-normalized'!$D:$D, MATCH($A16, 'UZ-normalized'!$A:$A, 0))-INDEX('UZ-normalized'!$E:$E, MATCH($A16, 'UZ-normalized'!$A:$A, 0))&gt;0, -(11*INDEX('UZ-normalized'!$D:$D, MATCH($A16, 'UZ-normalized'!$A:$A, 0))-INDEX('UZ-normalized'!$E:$E, MATCH($A16, 'UZ-normalized'!$A:$A, 0))), 0), 0)))</f>
        <v>0</v>
      </c>
      <c r="Z16" s="6">
        <f>MIN(0, N16+(IFERROR(IF(12*INDEX('UA-normalized'!$D:$D, MATCH($A16, 'UA-normalized'!$A:$A, 0))-INDEX('UA-normalized'!$E:$E, MATCH($A16, 'UA-normalized'!$A:$A, 0))&gt;0, -(12*INDEX('UA-normalized'!$D:$D, MATCH($A16, 'UA-normalized'!$A:$A, 0))-INDEX('UA-normalized'!$E:$E, MATCH($A16, 'UA-normalized'!$A:$A, 0))), 0), 0))+(IFERROR(IF(12*INDEX('KZ-normalized'!$D:$D, MATCH($A16, 'KZ-normalized'!$A:$A, 0))-INDEX('KZ-normalized'!$E:$E, MATCH($A16, 'KZ-normalized'!$A:$A, 0))&gt;0, -(12*INDEX('KZ-normalized'!$D:$D, MATCH($A16, 'KZ-normalized'!$A:$A, 0))-INDEX('KZ-normalized'!$E:$E, MATCH($A16, 'KZ-normalized'!$A:$A, 0))), 0), 0))+(IFERROR(IF(12*INDEX('UZ-normalized'!$D:$D, MATCH($A16, 'UZ-normalized'!$A:$A, 0))-INDEX('UZ-normalized'!$E:$E, MATCH($A16, 'UZ-normalized'!$A:$A, 0))&gt;0, -(12*INDEX('UZ-normalized'!$D:$D, MATCH($A16, 'UZ-normalized'!$A:$A, 0))-INDEX('UZ-normalized'!$E:$E, MATCH($A16, 'UZ-normalized'!$A:$A, 0))), 0), 0)))</f>
        <v>0</v>
      </c>
      <c r="AA16" s="6">
        <f>MIN(0, N16+(IFERROR(IF(13*INDEX('UA-normalized'!$D:$D, MATCH($A16, 'UA-normalized'!$A:$A, 0))-INDEX('UA-normalized'!$E:$E, MATCH($A16, 'UA-normalized'!$A:$A, 0))&gt;0, -(13*INDEX('UA-normalized'!$D:$D, MATCH($A16, 'UA-normalized'!$A:$A, 0))-INDEX('UA-normalized'!$E:$E, MATCH($A16, 'UA-normalized'!$A:$A, 0))), 0), 0))+(IFERROR(IF(13*INDEX('KZ-normalized'!$D:$D, MATCH($A16, 'KZ-normalized'!$A:$A, 0))-INDEX('KZ-normalized'!$E:$E, MATCH($A16, 'KZ-normalized'!$A:$A, 0))&gt;0, -(13*INDEX('KZ-normalized'!$D:$D, MATCH($A16, 'KZ-normalized'!$A:$A, 0))-INDEX('KZ-normalized'!$E:$E, MATCH($A16, 'KZ-normalized'!$A:$A, 0))), 0), 0))+(IFERROR(IF(13*INDEX('UZ-normalized'!$D:$D, MATCH($A16, 'UZ-normalized'!$A:$A, 0))-INDEX('UZ-normalized'!$E:$E, MATCH($A16, 'UZ-normalized'!$A:$A, 0))&gt;0, -(13*INDEX('UZ-normalized'!$D:$D, MATCH($A16, 'UZ-normalized'!$A:$A, 0))-INDEX('UZ-normalized'!$E:$E, MATCH($A16, 'UZ-normalized'!$A:$A, 0))), 0), 0)))</f>
        <v>0</v>
      </c>
      <c r="AB16" s="6">
        <f>MIN(0, N16+(IFERROR(IF(14*INDEX('UA-normalized'!$D:$D, MATCH($A16, 'UA-normalized'!$A:$A, 0))-INDEX('UA-normalized'!$E:$E, MATCH($A16, 'UA-normalized'!$A:$A, 0))&gt;0, -(14*INDEX('UA-normalized'!$D:$D, MATCH($A16, 'UA-normalized'!$A:$A, 0))-INDEX('UA-normalized'!$E:$E, MATCH($A16, 'UA-normalized'!$A:$A, 0))), 0), 0))+(IFERROR(IF(14*INDEX('KZ-normalized'!$D:$D, MATCH($A16, 'KZ-normalized'!$A:$A, 0))-INDEX('KZ-normalized'!$E:$E, MATCH($A16, 'KZ-normalized'!$A:$A, 0))&gt;0, -(14*INDEX('KZ-normalized'!$D:$D, MATCH($A16, 'KZ-normalized'!$A:$A, 0))-INDEX('KZ-normalized'!$E:$E, MATCH($A16, 'KZ-normalized'!$A:$A, 0))), 0), 0))+(IFERROR(IF(14*INDEX('UZ-normalized'!$D:$D, MATCH($A16, 'UZ-normalized'!$A:$A, 0))-INDEX('UZ-normalized'!$E:$E, MATCH($A16, 'UZ-normalized'!$A:$A, 0))&gt;0, -(14*INDEX('UZ-normalized'!$D:$D, MATCH($A16, 'UZ-normalized'!$A:$A, 0))-INDEX('UZ-normalized'!$E:$E, MATCH($A16, 'UZ-normalized'!$A:$A, 0))), 0), 0)))</f>
        <v>0</v>
      </c>
      <c r="AC16" s="6">
        <f>MIN(0, N16+(IFERROR(IF(15*INDEX('UA-normalized'!$D:$D, MATCH($A16, 'UA-normalized'!$A:$A, 0))-INDEX('UA-normalized'!$E:$E, MATCH($A16, 'UA-normalized'!$A:$A, 0))&gt;0, -(15*INDEX('UA-normalized'!$D:$D, MATCH($A16, 'UA-normalized'!$A:$A, 0))-INDEX('UA-normalized'!$E:$E, MATCH($A16, 'UA-normalized'!$A:$A, 0))), 0), 0))+(IFERROR(IF(15*INDEX('KZ-normalized'!$D:$D, MATCH($A16, 'KZ-normalized'!$A:$A, 0))-INDEX('KZ-normalized'!$E:$E, MATCH($A16, 'KZ-normalized'!$A:$A, 0))&gt;0, -(15*INDEX('KZ-normalized'!$D:$D, MATCH($A16, 'KZ-normalized'!$A:$A, 0))-INDEX('KZ-normalized'!$E:$E, MATCH($A16, 'KZ-normalized'!$A:$A, 0))), 0), 0))+(IFERROR(IF(15*INDEX('UZ-normalized'!$D:$D, MATCH($A16, 'UZ-normalized'!$A:$A, 0))-INDEX('UZ-normalized'!$E:$E, MATCH($A16, 'UZ-normalized'!$A:$A, 0))&gt;0, -(15*INDEX('UZ-normalized'!$D:$D, MATCH($A16, 'UZ-normalized'!$A:$A, 0))-INDEX('UZ-normalized'!$E:$E, MATCH($A16, 'UZ-normalized'!$A:$A, 0))), 0), 0)))</f>
        <v>0</v>
      </c>
      <c r="AD16" s="6">
        <f>MIN(0, N16+(IFERROR(IF(16*INDEX('UA-normalized'!$D:$D, MATCH($A16, 'UA-normalized'!$A:$A, 0))-INDEX('UA-normalized'!$E:$E, MATCH($A16, 'UA-normalized'!$A:$A, 0))&gt;0, -(16*INDEX('UA-normalized'!$D:$D, MATCH($A16, 'UA-normalized'!$A:$A, 0))-INDEX('UA-normalized'!$E:$E, MATCH($A16, 'UA-normalized'!$A:$A, 0))), 0), 0))+(IFERROR(IF(16*INDEX('KZ-normalized'!$D:$D, MATCH($A16, 'KZ-normalized'!$A:$A, 0))-INDEX('KZ-normalized'!$E:$E, MATCH($A16, 'KZ-normalized'!$A:$A, 0))&gt;0, -(16*INDEX('KZ-normalized'!$D:$D, MATCH($A16, 'KZ-normalized'!$A:$A, 0))-INDEX('KZ-normalized'!$E:$E, MATCH($A16, 'KZ-normalized'!$A:$A, 0))), 0), 0))+(IFERROR(IF(16*INDEX('UZ-normalized'!$D:$D, MATCH($A16, 'UZ-normalized'!$A:$A, 0))-INDEX('UZ-normalized'!$E:$E, MATCH($A16, 'UZ-normalized'!$A:$A, 0))&gt;0, -(16*INDEX('UZ-normalized'!$D:$D, MATCH($A16, 'UZ-normalized'!$A:$A, 0))-INDEX('UZ-normalized'!$E:$E, MATCH($A16, 'UZ-normalized'!$A:$A, 0))), 0), 0)))</f>
        <v>0</v>
      </c>
      <c r="AE16" s="6">
        <f>MIN(0, N16+(IFERROR(IF(17*INDEX('UA-normalized'!$D:$D, MATCH($A16, 'UA-normalized'!$A:$A, 0))-INDEX('UA-normalized'!$E:$E, MATCH($A16, 'UA-normalized'!$A:$A, 0))&gt;0, -(17*INDEX('UA-normalized'!$D:$D, MATCH($A16, 'UA-normalized'!$A:$A, 0))-INDEX('UA-normalized'!$E:$E, MATCH($A16, 'UA-normalized'!$A:$A, 0))), 0), 0))+(IFERROR(IF(17*INDEX('KZ-normalized'!$D:$D, MATCH($A16, 'KZ-normalized'!$A:$A, 0))-INDEX('KZ-normalized'!$E:$E, MATCH($A16, 'KZ-normalized'!$A:$A, 0))&gt;0, -(17*INDEX('KZ-normalized'!$D:$D, MATCH($A16, 'KZ-normalized'!$A:$A, 0))-INDEX('KZ-normalized'!$E:$E, MATCH($A16, 'KZ-normalized'!$A:$A, 0))), 0), 0))+(IFERROR(IF(17*INDEX('UZ-normalized'!$D:$D, MATCH($A16, 'UZ-normalized'!$A:$A, 0))-INDEX('UZ-normalized'!$E:$E, MATCH($A16, 'UZ-normalized'!$A:$A, 0))&gt;0, -(17*INDEX('UZ-normalized'!$D:$D, MATCH($A16, 'UZ-normalized'!$A:$A, 0))-INDEX('UZ-normalized'!$E:$E, MATCH($A16, 'UZ-normalized'!$A:$A, 0))), 0), 0)))</f>
        <v>0</v>
      </c>
      <c r="AF16" s="6">
        <f>MIN(0, N16+(IFERROR(IF(18*INDEX('UA-normalized'!$D:$D, MATCH($A16, 'UA-normalized'!$A:$A, 0))-INDEX('UA-normalized'!$E:$E, MATCH($A16, 'UA-normalized'!$A:$A, 0))&gt;0, -(18*INDEX('UA-normalized'!$D:$D, MATCH($A16, 'UA-normalized'!$A:$A, 0))-INDEX('UA-normalized'!$E:$E, MATCH($A16, 'UA-normalized'!$A:$A, 0))), 0), 0))+(IFERROR(IF(18*INDEX('KZ-normalized'!$D:$D, MATCH($A16, 'KZ-normalized'!$A:$A, 0))-INDEX('KZ-normalized'!$E:$E, MATCH($A16, 'KZ-normalized'!$A:$A, 0))&gt;0, -(18*INDEX('KZ-normalized'!$D:$D, MATCH($A16, 'KZ-normalized'!$A:$A, 0))-INDEX('KZ-normalized'!$E:$E, MATCH($A16, 'KZ-normalized'!$A:$A, 0))), 0), 0))+(IFERROR(IF(18*INDEX('UZ-normalized'!$D:$D, MATCH($A16, 'UZ-normalized'!$A:$A, 0))-INDEX('UZ-normalized'!$E:$E, MATCH($A16, 'UZ-normalized'!$A:$A, 0))&gt;0, -(18*INDEX('UZ-normalized'!$D:$D, MATCH($A16, 'UZ-normalized'!$A:$A, 0))-INDEX('UZ-normalized'!$E:$E, MATCH($A16, 'UZ-normalized'!$A:$A, 0))), 0), 0)))</f>
        <v>0</v>
      </c>
      <c r="AG16" s="6">
        <f>MIN(0, N16+(IFERROR(IF(19*INDEX('UA-normalized'!$D:$D, MATCH($A16, 'UA-normalized'!$A:$A, 0))-INDEX('UA-normalized'!$E:$E, MATCH($A16, 'UA-normalized'!$A:$A, 0))&gt;0, -(19*INDEX('UA-normalized'!$D:$D, MATCH($A16, 'UA-normalized'!$A:$A, 0))-INDEX('UA-normalized'!$E:$E, MATCH($A16, 'UA-normalized'!$A:$A, 0))), 0), 0))+(IFERROR(IF(19*INDEX('KZ-normalized'!$D:$D, MATCH($A16, 'KZ-normalized'!$A:$A, 0))-INDEX('KZ-normalized'!$E:$E, MATCH($A16, 'KZ-normalized'!$A:$A, 0))&gt;0, -(19*INDEX('KZ-normalized'!$D:$D, MATCH($A16, 'KZ-normalized'!$A:$A, 0))-INDEX('KZ-normalized'!$E:$E, MATCH($A16, 'KZ-normalized'!$A:$A, 0))), 0), 0))+(IFERROR(IF(19*INDEX('UZ-normalized'!$D:$D, MATCH($A16, 'UZ-normalized'!$A:$A, 0))-INDEX('UZ-normalized'!$E:$E, MATCH($A16, 'UZ-normalized'!$A:$A, 0))&gt;0, -(19*INDEX('UZ-normalized'!$D:$D, MATCH($A16, 'UZ-normalized'!$A:$A, 0))-INDEX('UZ-normalized'!$E:$E, MATCH($A16, 'UZ-normalized'!$A:$A, 0))), 0), 0)))</f>
        <v>0</v>
      </c>
      <c r="AH16" s="6">
        <f>MIN(0, N16+(IFERROR(IF(20*INDEX('UA-normalized'!$D:$D, MATCH($A16, 'UA-normalized'!$A:$A, 0))-INDEX('UA-normalized'!$E:$E, MATCH($A16, 'UA-normalized'!$A:$A, 0))&gt;0, -(20*INDEX('UA-normalized'!$D:$D, MATCH($A16, 'UA-normalized'!$A:$A, 0))-INDEX('UA-normalized'!$E:$E, MATCH($A16, 'UA-normalized'!$A:$A, 0))), 0), 0))+(IFERROR(IF(20*INDEX('KZ-normalized'!$D:$D, MATCH($A16, 'KZ-normalized'!$A:$A, 0))-INDEX('KZ-normalized'!$E:$E, MATCH($A16, 'KZ-normalized'!$A:$A, 0))&gt;0, -(20*INDEX('KZ-normalized'!$D:$D, MATCH($A16, 'KZ-normalized'!$A:$A, 0))-INDEX('KZ-normalized'!$E:$E, MATCH($A16, 'KZ-normalized'!$A:$A, 0))), 0), 0))+(IFERROR(IF(20*INDEX('UZ-normalized'!$D:$D, MATCH($A16, 'UZ-normalized'!$A:$A, 0))-INDEX('UZ-normalized'!$E:$E, MATCH($A16, 'UZ-normalized'!$A:$A, 0))&gt;0, -(20*INDEX('UZ-normalized'!$D:$D, MATCH($A16, 'UZ-normalized'!$A:$A, 0))-INDEX('UZ-normalized'!$E:$E, MATCH($A16, 'UZ-normalized'!$A:$A, 0))), 0), 0)))</f>
        <v>0</v>
      </c>
      <c r="AI16" s="6">
        <f>MIN(0, N16+(IFERROR(IF(21*INDEX('UA-normalized'!$D:$D, MATCH($A16, 'UA-normalized'!$A:$A, 0))-INDEX('UA-normalized'!$E:$E, MATCH($A16, 'UA-normalized'!$A:$A, 0))&gt;0, -(21*INDEX('UA-normalized'!$D:$D, MATCH($A16, 'UA-normalized'!$A:$A, 0))-INDEX('UA-normalized'!$E:$E, MATCH($A16, 'UA-normalized'!$A:$A, 0))), 0), 0))+(IFERROR(IF(21*INDEX('KZ-normalized'!$D:$D, MATCH($A16, 'KZ-normalized'!$A:$A, 0))-INDEX('KZ-normalized'!$E:$E, MATCH($A16, 'KZ-normalized'!$A:$A, 0))&gt;0, -(21*INDEX('KZ-normalized'!$D:$D, MATCH($A16, 'KZ-normalized'!$A:$A, 0))-INDEX('KZ-normalized'!$E:$E, MATCH($A16, 'KZ-normalized'!$A:$A, 0))), 0), 0))+(IFERROR(IF(21*INDEX('UZ-normalized'!$D:$D, MATCH($A16, 'UZ-normalized'!$A:$A, 0))-INDEX('UZ-normalized'!$E:$E, MATCH($A16, 'UZ-normalized'!$A:$A, 0))&gt;0, -(21*INDEX('UZ-normalized'!$D:$D, MATCH($A16, 'UZ-normalized'!$A:$A, 0))-INDEX('UZ-normalized'!$E:$E, MATCH($A16, 'UZ-normalized'!$A:$A, 0))), 0), 0)))</f>
        <v>0</v>
      </c>
      <c r="AJ16" s="6">
        <f>MIN(0, N16+(IFERROR(IF(22*INDEX('UA-normalized'!$D:$D, MATCH($A16, 'UA-normalized'!$A:$A, 0))-INDEX('UA-normalized'!$E:$E, MATCH($A16, 'UA-normalized'!$A:$A, 0))&gt;0, -(22*INDEX('UA-normalized'!$D:$D, MATCH($A16, 'UA-normalized'!$A:$A, 0))-INDEX('UA-normalized'!$E:$E, MATCH($A16, 'UA-normalized'!$A:$A, 0))), 0), 0))+(IFERROR(IF(22*INDEX('KZ-normalized'!$D:$D, MATCH($A16, 'KZ-normalized'!$A:$A, 0))-INDEX('KZ-normalized'!$E:$E, MATCH($A16, 'KZ-normalized'!$A:$A, 0))&gt;0, -(22*INDEX('KZ-normalized'!$D:$D, MATCH($A16, 'KZ-normalized'!$A:$A, 0))-INDEX('KZ-normalized'!$E:$E, MATCH($A16, 'KZ-normalized'!$A:$A, 0))), 0), 0))+(IFERROR(IF(22*INDEX('UZ-normalized'!$D:$D, MATCH($A16, 'UZ-normalized'!$A:$A, 0))-INDEX('UZ-normalized'!$E:$E, MATCH($A16, 'UZ-normalized'!$A:$A, 0))&gt;0, -(22*INDEX('UZ-normalized'!$D:$D, MATCH($A16, 'UZ-normalized'!$A:$A, 0))-INDEX('UZ-normalized'!$E:$E, MATCH($A16, 'UZ-normalized'!$A:$A, 0))), 0), 0)))</f>
        <v>0</v>
      </c>
      <c r="AK16" s="6">
        <f>MIN(0, N16+(IFERROR(IF(23*INDEX('UA-normalized'!$D:$D, MATCH($A16, 'UA-normalized'!$A:$A, 0))-INDEX('UA-normalized'!$E:$E, MATCH($A16, 'UA-normalized'!$A:$A, 0))&gt;0, -(23*INDEX('UA-normalized'!$D:$D, MATCH($A16, 'UA-normalized'!$A:$A, 0))-INDEX('UA-normalized'!$E:$E, MATCH($A16, 'UA-normalized'!$A:$A, 0))), 0), 0))+(IFERROR(IF(23*INDEX('KZ-normalized'!$D:$D, MATCH($A16, 'KZ-normalized'!$A:$A, 0))-INDEX('KZ-normalized'!$E:$E, MATCH($A16, 'KZ-normalized'!$A:$A, 0))&gt;0, -(23*INDEX('KZ-normalized'!$D:$D, MATCH($A16, 'KZ-normalized'!$A:$A, 0))-INDEX('KZ-normalized'!$E:$E, MATCH($A16, 'KZ-normalized'!$A:$A, 0))), 0), 0))+(IFERROR(IF(23*INDEX('UZ-normalized'!$D:$D, MATCH($A16, 'UZ-normalized'!$A:$A, 0))-INDEX('UZ-normalized'!$E:$E, MATCH($A16, 'UZ-normalized'!$A:$A, 0))&gt;0, -(23*INDEX('UZ-normalized'!$D:$D, MATCH($A16, 'UZ-normalized'!$A:$A, 0))-INDEX('UZ-normalized'!$E:$E, MATCH($A16, 'UZ-normalized'!$A:$A, 0))), 0), 0)))</f>
        <v>0</v>
      </c>
      <c r="AL16" s="6">
        <f>MIN(0, N16+(IFERROR(IF(24*INDEX('UA-normalized'!$D:$D, MATCH($A16, 'UA-normalized'!$A:$A, 0))-INDEX('UA-normalized'!$E:$E, MATCH($A16, 'UA-normalized'!$A:$A, 0))&gt;0, -(24*INDEX('UA-normalized'!$D:$D, MATCH($A16, 'UA-normalized'!$A:$A, 0))-INDEX('UA-normalized'!$E:$E, MATCH($A16, 'UA-normalized'!$A:$A, 0))), 0), 0))+(IFERROR(IF(24*INDEX('KZ-normalized'!$D:$D, MATCH($A16, 'KZ-normalized'!$A:$A, 0))-INDEX('KZ-normalized'!$E:$E, MATCH($A16, 'KZ-normalized'!$A:$A, 0))&gt;0, -(24*INDEX('KZ-normalized'!$D:$D, MATCH($A16, 'KZ-normalized'!$A:$A, 0))-INDEX('KZ-normalized'!$E:$E, MATCH($A16, 'KZ-normalized'!$A:$A, 0))), 0), 0))+(IFERROR(IF(24*INDEX('UZ-normalized'!$D:$D, MATCH($A16, 'UZ-normalized'!$A:$A, 0))-INDEX('UZ-normalized'!$E:$E, MATCH($A16, 'UZ-normalized'!$A:$A, 0))&gt;0, -(24*INDEX('UZ-normalized'!$D:$D, MATCH($A16, 'UZ-normalized'!$A:$A, 0))-INDEX('UZ-normalized'!$E:$E, MATCH($A16, 'UZ-normalized'!$A:$A, 0))), 0), 0)))</f>
        <v>0</v>
      </c>
      <c r="AM16" s="6">
        <f>MIN(0, N16+(IFERROR(IF(25*INDEX('UA-normalized'!$D:$D, MATCH($A16, 'UA-normalized'!$A:$A, 0))-INDEX('UA-normalized'!$E:$E, MATCH($A16, 'UA-normalized'!$A:$A, 0))&gt;0, -(25*INDEX('UA-normalized'!$D:$D, MATCH($A16, 'UA-normalized'!$A:$A, 0))-INDEX('UA-normalized'!$E:$E, MATCH($A16, 'UA-normalized'!$A:$A, 0))), 0), 0))+(IFERROR(IF(25*INDEX('KZ-normalized'!$D:$D, MATCH($A16, 'KZ-normalized'!$A:$A, 0))-INDEX('KZ-normalized'!$E:$E, MATCH($A16, 'KZ-normalized'!$A:$A, 0))&gt;0, -(25*INDEX('KZ-normalized'!$D:$D, MATCH($A16, 'KZ-normalized'!$A:$A, 0))-INDEX('KZ-normalized'!$E:$E, MATCH($A16, 'KZ-normalized'!$A:$A, 0))), 0), 0))+(IFERROR(IF(25*INDEX('UZ-normalized'!$D:$D, MATCH($A16, 'UZ-normalized'!$A:$A, 0))-INDEX('UZ-normalized'!$E:$E, MATCH($A16, 'UZ-normalized'!$A:$A, 0))&gt;0, -(25*INDEX('UZ-normalized'!$D:$D, MATCH($A16, 'UZ-normalized'!$A:$A, 0))-INDEX('UZ-normalized'!$E:$E, MATCH($A16, 'UZ-normalized'!$A:$A, 0))), 0), 0)))</f>
        <v>0</v>
      </c>
      <c r="AN16" s="6">
        <f>MIN(0, N16+(IFERROR(IF(26*INDEX('UA-normalized'!$D:$D, MATCH($A16, 'UA-normalized'!$A:$A, 0))-INDEX('UA-normalized'!$E:$E, MATCH($A16, 'UA-normalized'!$A:$A, 0))&gt;0, -(26*INDEX('UA-normalized'!$D:$D, MATCH($A16, 'UA-normalized'!$A:$A, 0))-INDEX('UA-normalized'!$E:$E, MATCH($A16, 'UA-normalized'!$A:$A, 0))), 0), 0))+(IFERROR(IF(26*INDEX('KZ-normalized'!$D:$D, MATCH($A16, 'KZ-normalized'!$A:$A, 0))-INDEX('KZ-normalized'!$E:$E, MATCH($A16, 'KZ-normalized'!$A:$A, 0))&gt;0, -(26*INDEX('KZ-normalized'!$D:$D, MATCH($A16, 'KZ-normalized'!$A:$A, 0))-INDEX('KZ-normalized'!$E:$E, MATCH($A16, 'KZ-normalized'!$A:$A, 0))), 0), 0))+(IFERROR(IF(26*INDEX('UZ-normalized'!$D:$D, MATCH($A16, 'UZ-normalized'!$A:$A, 0))-INDEX('UZ-normalized'!$E:$E, MATCH($A16, 'UZ-normalized'!$A:$A, 0))&gt;0, -(26*INDEX('UZ-normalized'!$D:$D, MATCH($A16, 'UZ-normalized'!$A:$A, 0))-INDEX('UZ-normalized'!$E:$E, MATCH($A16, 'UZ-normalized'!$A:$A, 0))), 0), 0)))</f>
        <v>0</v>
      </c>
      <c r="AO16" s="6">
        <f>MIN(0, N16+(IFERROR(IF(27*INDEX('UA-normalized'!$D:$D, MATCH($A16, 'UA-normalized'!$A:$A, 0))-INDEX('UA-normalized'!$E:$E, MATCH($A16, 'UA-normalized'!$A:$A, 0))&gt;0, -(27*INDEX('UA-normalized'!$D:$D, MATCH($A16, 'UA-normalized'!$A:$A, 0))-INDEX('UA-normalized'!$E:$E, MATCH($A16, 'UA-normalized'!$A:$A, 0))), 0), 0))+(IFERROR(IF(27*INDEX('KZ-normalized'!$D:$D, MATCH($A16, 'KZ-normalized'!$A:$A, 0))-INDEX('KZ-normalized'!$E:$E, MATCH($A16, 'KZ-normalized'!$A:$A, 0))&gt;0, -(27*INDEX('KZ-normalized'!$D:$D, MATCH($A16, 'KZ-normalized'!$A:$A, 0))-INDEX('KZ-normalized'!$E:$E, MATCH($A16, 'KZ-normalized'!$A:$A, 0))), 0), 0))+(IFERROR(IF(27*INDEX('UZ-normalized'!$D:$D, MATCH($A16, 'UZ-normalized'!$A:$A, 0))-INDEX('UZ-normalized'!$E:$E, MATCH($A16, 'UZ-normalized'!$A:$A, 0))&gt;0, -(27*INDEX('UZ-normalized'!$D:$D, MATCH($A16, 'UZ-normalized'!$A:$A, 0))-INDEX('UZ-normalized'!$E:$E, MATCH($A16, 'UZ-normalized'!$A:$A, 0))), 0), 0)))</f>
        <v>0</v>
      </c>
      <c r="AP16" s="6">
        <f>MIN(0, N16+(IFERROR(IF(28*INDEX('UA-normalized'!$D:$D, MATCH($A16, 'UA-normalized'!$A:$A, 0))-INDEX('UA-normalized'!$E:$E, MATCH($A16, 'UA-normalized'!$A:$A, 0))&gt;0, -(28*INDEX('UA-normalized'!$D:$D, MATCH($A16, 'UA-normalized'!$A:$A, 0))-INDEX('UA-normalized'!$E:$E, MATCH($A16, 'UA-normalized'!$A:$A, 0))), 0), 0))+(IFERROR(IF(28*INDEX('KZ-normalized'!$D:$D, MATCH($A16, 'KZ-normalized'!$A:$A, 0))-INDEX('KZ-normalized'!$E:$E, MATCH($A16, 'KZ-normalized'!$A:$A, 0))&gt;0, -(28*INDEX('KZ-normalized'!$D:$D, MATCH($A16, 'KZ-normalized'!$A:$A, 0))-INDEX('KZ-normalized'!$E:$E, MATCH($A16, 'KZ-normalized'!$A:$A, 0))), 0), 0))+(IFERROR(IF(28*INDEX('UZ-normalized'!$D:$D, MATCH($A16, 'UZ-normalized'!$A:$A, 0))-INDEX('UZ-normalized'!$E:$E, MATCH($A16, 'UZ-normalized'!$A:$A, 0))&gt;0, -(28*INDEX('UZ-normalized'!$D:$D, MATCH($A16, 'UZ-normalized'!$A:$A, 0))-INDEX('UZ-normalized'!$E:$E, MATCH($A16, 'UZ-normalized'!$A:$A, 0))), 0), 0)))</f>
        <v>0</v>
      </c>
      <c r="AQ16" s="6">
        <f>MIN(0, N16+(IFERROR(IF(29*INDEX('UA-normalized'!$D:$D, MATCH($A16, 'UA-normalized'!$A:$A, 0))-INDEX('UA-normalized'!$E:$E, MATCH($A16, 'UA-normalized'!$A:$A, 0))&gt;0, -(29*INDEX('UA-normalized'!$D:$D, MATCH($A16, 'UA-normalized'!$A:$A, 0))-INDEX('UA-normalized'!$E:$E, MATCH($A16, 'UA-normalized'!$A:$A, 0))), 0), 0))+(IFERROR(IF(29*INDEX('KZ-normalized'!$D:$D, MATCH($A16, 'KZ-normalized'!$A:$A, 0))-INDEX('KZ-normalized'!$E:$E, MATCH($A16, 'KZ-normalized'!$A:$A, 0))&gt;0, -(29*INDEX('KZ-normalized'!$D:$D, MATCH($A16, 'KZ-normalized'!$A:$A, 0))-INDEX('KZ-normalized'!$E:$E, MATCH($A16, 'KZ-normalized'!$A:$A, 0))), 0), 0))+(IFERROR(IF(29*INDEX('UZ-normalized'!$D:$D, MATCH($A16, 'UZ-normalized'!$A:$A, 0))-INDEX('UZ-normalized'!$E:$E, MATCH($A16, 'UZ-normalized'!$A:$A, 0))&gt;0, -(29*INDEX('UZ-normalized'!$D:$D, MATCH($A16, 'UZ-normalized'!$A:$A, 0))-INDEX('UZ-normalized'!$E:$E, MATCH($A16, 'UZ-normalized'!$A:$A, 0))), 0), 0)))</f>
        <v>0</v>
      </c>
      <c r="AR16" s="6">
        <f>MIN(0, N16+(IFERROR(IF(30*INDEX('UA-normalized'!$D:$D, MATCH($A16, 'UA-normalized'!$A:$A, 0))-INDEX('UA-normalized'!$E:$E, MATCH($A16, 'UA-normalized'!$A:$A, 0))&gt;0, -(30*INDEX('UA-normalized'!$D:$D, MATCH($A16, 'UA-normalized'!$A:$A, 0))-INDEX('UA-normalized'!$E:$E, MATCH($A16, 'UA-normalized'!$A:$A, 0))), 0), 0))+(IFERROR(IF(30*INDEX('KZ-normalized'!$D:$D, MATCH($A16, 'KZ-normalized'!$A:$A, 0))-INDEX('KZ-normalized'!$E:$E, MATCH($A16, 'KZ-normalized'!$A:$A, 0))&gt;0, -(30*INDEX('KZ-normalized'!$D:$D, MATCH($A16, 'KZ-normalized'!$A:$A, 0))-INDEX('KZ-normalized'!$E:$E, MATCH($A16, 'KZ-normalized'!$A:$A, 0))), 0), 0))+(IFERROR(IF(30*INDEX('UZ-normalized'!$D:$D, MATCH($A16, 'UZ-normalized'!$A:$A, 0))-INDEX('UZ-normalized'!$E:$E, MATCH($A16, 'UZ-normalized'!$A:$A, 0))&gt;0, -(30*INDEX('UZ-normalized'!$D:$D, MATCH($A16, 'UZ-normalized'!$A:$A, 0))-INDEX('UZ-normalized'!$E:$E, MATCH($A16, 'UZ-normalized'!$A:$A, 0))), 0), 0)))</f>
        <v>0</v>
      </c>
    </row>
    <row r="17" spans="1:44" x14ac:dyDescent="0.25">
      <c r="A17" s="8" t="s">
        <v>80</v>
      </c>
      <c r="B17" s="8" t="s">
        <v>77</v>
      </c>
      <c r="C17" s="8" t="s">
        <v>78</v>
      </c>
      <c r="D17" s="8" t="s">
        <v>81</v>
      </c>
      <c r="N17">
        <f t="shared" si="0"/>
        <v>0</v>
      </c>
      <c r="O17" s="6">
        <f>MIN(0, N17+(IFERROR(IF(1*INDEX('UA-normalized'!$D:$D, MATCH($A17, 'UA-normalized'!$A:$A, 0))-INDEX('UA-normalized'!$E:$E, MATCH($A17, 'UA-normalized'!$A:$A, 0))&gt;0, -(1*INDEX('UA-normalized'!$D:$D, MATCH($A17, 'UA-normalized'!$A:$A, 0))-INDEX('UA-normalized'!$E:$E, MATCH($A17, 'UA-normalized'!$A:$A, 0))), 0), 0))+(IFERROR(IF(1*INDEX('KZ-normalized'!$D:$D, MATCH($A17, 'KZ-normalized'!$A:$A, 0))-INDEX('KZ-normalized'!$E:$E, MATCH($A17, 'KZ-normalized'!$A:$A, 0))&gt;0, -(1*INDEX('KZ-normalized'!$D:$D, MATCH($A17, 'KZ-normalized'!$A:$A, 0))-INDEX('KZ-normalized'!$E:$E, MATCH($A17, 'KZ-normalized'!$A:$A, 0))), 0), 0))+(IFERROR(IF(1*INDEX('UZ-normalized'!$D:$D, MATCH($A17, 'UZ-normalized'!$A:$A, 0))-INDEX('UZ-normalized'!$E:$E, MATCH($A17, 'UZ-normalized'!$A:$A, 0))&gt;0, -(1*INDEX('UZ-normalized'!$D:$D, MATCH($A17, 'UZ-normalized'!$A:$A, 0))-INDEX('UZ-normalized'!$E:$E, MATCH($A17, 'UZ-normalized'!$A:$A, 0))), 0), 0)))</f>
        <v>0</v>
      </c>
      <c r="P17" s="6">
        <f>MIN(0, N17+(IFERROR(IF(2*INDEX('UA-normalized'!$D:$D, MATCH($A17, 'UA-normalized'!$A:$A, 0))-INDEX('UA-normalized'!$E:$E, MATCH($A17, 'UA-normalized'!$A:$A, 0))&gt;0, -(2*INDEX('UA-normalized'!$D:$D, MATCH($A17, 'UA-normalized'!$A:$A, 0))-INDEX('UA-normalized'!$E:$E, MATCH($A17, 'UA-normalized'!$A:$A, 0))), 0), 0))+(IFERROR(IF(2*INDEX('KZ-normalized'!$D:$D, MATCH($A17, 'KZ-normalized'!$A:$A, 0))-INDEX('KZ-normalized'!$E:$E, MATCH($A17, 'KZ-normalized'!$A:$A, 0))&gt;0, -(2*INDEX('KZ-normalized'!$D:$D, MATCH($A17, 'KZ-normalized'!$A:$A, 0))-INDEX('KZ-normalized'!$E:$E, MATCH($A17, 'KZ-normalized'!$A:$A, 0))), 0), 0))+(IFERROR(IF(2*INDEX('UZ-normalized'!$D:$D, MATCH($A17, 'UZ-normalized'!$A:$A, 0))-INDEX('UZ-normalized'!$E:$E, MATCH($A17, 'UZ-normalized'!$A:$A, 0))&gt;0, -(2*INDEX('UZ-normalized'!$D:$D, MATCH($A17, 'UZ-normalized'!$A:$A, 0))-INDEX('UZ-normalized'!$E:$E, MATCH($A17, 'UZ-normalized'!$A:$A, 0))), 0), 0)))</f>
        <v>0</v>
      </c>
      <c r="Q17" s="6">
        <f>MIN(0, N17+(IFERROR(IF(3*INDEX('UA-normalized'!$D:$D, MATCH($A17, 'UA-normalized'!$A:$A, 0))-INDEX('UA-normalized'!$E:$E, MATCH($A17, 'UA-normalized'!$A:$A, 0))&gt;0, -(3*INDEX('UA-normalized'!$D:$D, MATCH($A17, 'UA-normalized'!$A:$A, 0))-INDEX('UA-normalized'!$E:$E, MATCH($A17, 'UA-normalized'!$A:$A, 0))), 0), 0))+(IFERROR(IF(3*INDEX('KZ-normalized'!$D:$D, MATCH($A17, 'KZ-normalized'!$A:$A, 0))-INDEX('KZ-normalized'!$E:$E, MATCH($A17, 'KZ-normalized'!$A:$A, 0))&gt;0, -(3*INDEX('KZ-normalized'!$D:$D, MATCH($A17, 'KZ-normalized'!$A:$A, 0))-INDEX('KZ-normalized'!$E:$E, MATCH($A17, 'KZ-normalized'!$A:$A, 0))), 0), 0))+(IFERROR(IF(3*INDEX('UZ-normalized'!$D:$D, MATCH($A17, 'UZ-normalized'!$A:$A, 0))-INDEX('UZ-normalized'!$E:$E, MATCH($A17, 'UZ-normalized'!$A:$A, 0))&gt;0, -(3*INDEX('UZ-normalized'!$D:$D, MATCH($A17, 'UZ-normalized'!$A:$A, 0))-INDEX('UZ-normalized'!$E:$E, MATCH($A17, 'UZ-normalized'!$A:$A, 0))), 0), 0)))</f>
        <v>0</v>
      </c>
      <c r="R17" s="6">
        <f>MIN(0, N17+(IFERROR(IF(4*INDEX('UA-normalized'!$D:$D, MATCH($A17, 'UA-normalized'!$A:$A, 0))-INDEX('UA-normalized'!$E:$E, MATCH($A17, 'UA-normalized'!$A:$A, 0))&gt;0, -(4*INDEX('UA-normalized'!$D:$D, MATCH($A17, 'UA-normalized'!$A:$A, 0))-INDEX('UA-normalized'!$E:$E, MATCH($A17, 'UA-normalized'!$A:$A, 0))), 0), 0))+(IFERROR(IF(4*INDEX('KZ-normalized'!$D:$D, MATCH($A17, 'KZ-normalized'!$A:$A, 0))-INDEX('KZ-normalized'!$E:$E, MATCH($A17, 'KZ-normalized'!$A:$A, 0))&gt;0, -(4*INDEX('KZ-normalized'!$D:$D, MATCH($A17, 'KZ-normalized'!$A:$A, 0))-INDEX('KZ-normalized'!$E:$E, MATCH($A17, 'KZ-normalized'!$A:$A, 0))), 0), 0))+(IFERROR(IF(4*INDEX('UZ-normalized'!$D:$D, MATCH($A17, 'UZ-normalized'!$A:$A, 0))-INDEX('UZ-normalized'!$E:$E, MATCH($A17, 'UZ-normalized'!$A:$A, 0))&gt;0, -(4*INDEX('UZ-normalized'!$D:$D, MATCH($A17, 'UZ-normalized'!$A:$A, 0))-INDEX('UZ-normalized'!$E:$E, MATCH($A17, 'UZ-normalized'!$A:$A, 0))), 0), 0)))</f>
        <v>0</v>
      </c>
      <c r="S17" s="6">
        <f>MIN(0, N17+(IFERROR(IF(5*INDEX('UA-normalized'!$D:$D, MATCH($A17, 'UA-normalized'!$A:$A, 0))-INDEX('UA-normalized'!$E:$E, MATCH($A17, 'UA-normalized'!$A:$A, 0))&gt;0, -(5*INDEX('UA-normalized'!$D:$D, MATCH($A17, 'UA-normalized'!$A:$A, 0))-INDEX('UA-normalized'!$E:$E, MATCH($A17, 'UA-normalized'!$A:$A, 0))), 0), 0))+(IFERROR(IF(5*INDEX('KZ-normalized'!$D:$D, MATCH($A17, 'KZ-normalized'!$A:$A, 0))-INDEX('KZ-normalized'!$E:$E, MATCH($A17, 'KZ-normalized'!$A:$A, 0))&gt;0, -(5*INDEX('KZ-normalized'!$D:$D, MATCH($A17, 'KZ-normalized'!$A:$A, 0))-INDEX('KZ-normalized'!$E:$E, MATCH($A17, 'KZ-normalized'!$A:$A, 0))), 0), 0))+(IFERROR(IF(5*INDEX('UZ-normalized'!$D:$D, MATCH($A17, 'UZ-normalized'!$A:$A, 0))-INDEX('UZ-normalized'!$E:$E, MATCH($A17, 'UZ-normalized'!$A:$A, 0))&gt;0, -(5*INDEX('UZ-normalized'!$D:$D, MATCH($A17, 'UZ-normalized'!$A:$A, 0))-INDEX('UZ-normalized'!$E:$E, MATCH($A17, 'UZ-normalized'!$A:$A, 0))), 0), 0)))</f>
        <v>0</v>
      </c>
      <c r="T17" s="6">
        <f>MIN(0, N17+(IFERROR(IF(6*INDEX('UA-normalized'!$D:$D, MATCH($A17, 'UA-normalized'!$A:$A, 0))-INDEX('UA-normalized'!$E:$E, MATCH($A17, 'UA-normalized'!$A:$A, 0))&gt;0, -(6*INDEX('UA-normalized'!$D:$D, MATCH($A17, 'UA-normalized'!$A:$A, 0))-INDEX('UA-normalized'!$E:$E, MATCH($A17, 'UA-normalized'!$A:$A, 0))), 0), 0))+(IFERROR(IF(6*INDEX('KZ-normalized'!$D:$D, MATCH($A17, 'KZ-normalized'!$A:$A, 0))-INDEX('KZ-normalized'!$E:$E, MATCH($A17, 'KZ-normalized'!$A:$A, 0))&gt;0, -(6*INDEX('KZ-normalized'!$D:$D, MATCH($A17, 'KZ-normalized'!$A:$A, 0))-INDEX('KZ-normalized'!$E:$E, MATCH($A17, 'KZ-normalized'!$A:$A, 0))), 0), 0))+(IFERROR(IF(6*INDEX('UZ-normalized'!$D:$D, MATCH($A17, 'UZ-normalized'!$A:$A, 0))-INDEX('UZ-normalized'!$E:$E, MATCH($A17, 'UZ-normalized'!$A:$A, 0))&gt;0, -(6*INDEX('UZ-normalized'!$D:$D, MATCH($A17, 'UZ-normalized'!$A:$A, 0))-INDEX('UZ-normalized'!$E:$E, MATCH($A17, 'UZ-normalized'!$A:$A, 0))), 0), 0)))</f>
        <v>0</v>
      </c>
      <c r="U17" s="6">
        <f>MIN(0, N17+(IFERROR(IF(7*INDEX('UA-normalized'!$D:$D, MATCH($A17, 'UA-normalized'!$A:$A, 0))-INDEX('UA-normalized'!$E:$E, MATCH($A17, 'UA-normalized'!$A:$A, 0))&gt;0, -(7*INDEX('UA-normalized'!$D:$D, MATCH($A17, 'UA-normalized'!$A:$A, 0))-INDEX('UA-normalized'!$E:$E, MATCH($A17, 'UA-normalized'!$A:$A, 0))), 0), 0))+(IFERROR(IF(7*INDEX('KZ-normalized'!$D:$D, MATCH($A17, 'KZ-normalized'!$A:$A, 0))-INDEX('KZ-normalized'!$E:$E, MATCH($A17, 'KZ-normalized'!$A:$A, 0))&gt;0, -(7*INDEX('KZ-normalized'!$D:$D, MATCH($A17, 'KZ-normalized'!$A:$A, 0))-INDEX('KZ-normalized'!$E:$E, MATCH($A17, 'KZ-normalized'!$A:$A, 0))), 0), 0))+(IFERROR(IF(7*INDEX('UZ-normalized'!$D:$D, MATCH($A17, 'UZ-normalized'!$A:$A, 0))-INDEX('UZ-normalized'!$E:$E, MATCH($A17, 'UZ-normalized'!$A:$A, 0))&gt;0, -(7*INDEX('UZ-normalized'!$D:$D, MATCH($A17, 'UZ-normalized'!$A:$A, 0))-INDEX('UZ-normalized'!$E:$E, MATCH($A17, 'UZ-normalized'!$A:$A, 0))), 0), 0)))</f>
        <v>0</v>
      </c>
      <c r="V17" s="6">
        <f>MIN(0, N17+(IFERROR(IF(8*INDEX('UA-normalized'!$D:$D, MATCH($A17, 'UA-normalized'!$A:$A, 0))-INDEX('UA-normalized'!$E:$E, MATCH($A17, 'UA-normalized'!$A:$A, 0))&gt;0, -(8*INDEX('UA-normalized'!$D:$D, MATCH($A17, 'UA-normalized'!$A:$A, 0))-INDEX('UA-normalized'!$E:$E, MATCH($A17, 'UA-normalized'!$A:$A, 0))), 0), 0))+(IFERROR(IF(8*INDEX('KZ-normalized'!$D:$D, MATCH($A17, 'KZ-normalized'!$A:$A, 0))-INDEX('KZ-normalized'!$E:$E, MATCH($A17, 'KZ-normalized'!$A:$A, 0))&gt;0, -(8*INDEX('KZ-normalized'!$D:$D, MATCH($A17, 'KZ-normalized'!$A:$A, 0))-INDEX('KZ-normalized'!$E:$E, MATCH($A17, 'KZ-normalized'!$A:$A, 0))), 0), 0))+(IFERROR(IF(8*INDEX('UZ-normalized'!$D:$D, MATCH($A17, 'UZ-normalized'!$A:$A, 0))-INDEX('UZ-normalized'!$E:$E, MATCH($A17, 'UZ-normalized'!$A:$A, 0))&gt;0, -(8*INDEX('UZ-normalized'!$D:$D, MATCH($A17, 'UZ-normalized'!$A:$A, 0))-INDEX('UZ-normalized'!$E:$E, MATCH($A17, 'UZ-normalized'!$A:$A, 0))), 0), 0)))</f>
        <v>0</v>
      </c>
      <c r="W17" s="6">
        <f>MIN(0, N17+(IFERROR(IF(9*INDEX('UA-normalized'!$D:$D, MATCH($A17, 'UA-normalized'!$A:$A, 0))-INDEX('UA-normalized'!$E:$E, MATCH($A17, 'UA-normalized'!$A:$A, 0))&gt;0, -(9*INDEX('UA-normalized'!$D:$D, MATCH($A17, 'UA-normalized'!$A:$A, 0))-INDEX('UA-normalized'!$E:$E, MATCH($A17, 'UA-normalized'!$A:$A, 0))), 0), 0))+(IFERROR(IF(9*INDEX('KZ-normalized'!$D:$D, MATCH($A17, 'KZ-normalized'!$A:$A, 0))-INDEX('KZ-normalized'!$E:$E, MATCH($A17, 'KZ-normalized'!$A:$A, 0))&gt;0, -(9*INDEX('KZ-normalized'!$D:$D, MATCH($A17, 'KZ-normalized'!$A:$A, 0))-INDEX('KZ-normalized'!$E:$E, MATCH($A17, 'KZ-normalized'!$A:$A, 0))), 0), 0))+(IFERROR(IF(9*INDEX('UZ-normalized'!$D:$D, MATCH($A17, 'UZ-normalized'!$A:$A, 0))-INDEX('UZ-normalized'!$E:$E, MATCH($A17, 'UZ-normalized'!$A:$A, 0))&gt;0, -(9*INDEX('UZ-normalized'!$D:$D, MATCH($A17, 'UZ-normalized'!$A:$A, 0))-INDEX('UZ-normalized'!$E:$E, MATCH($A17, 'UZ-normalized'!$A:$A, 0))), 0), 0)))</f>
        <v>0</v>
      </c>
      <c r="X17" s="6">
        <f>MIN(0, N17+(IFERROR(IF(10*INDEX('UA-normalized'!$D:$D, MATCH($A17, 'UA-normalized'!$A:$A, 0))-INDEX('UA-normalized'!$E:$E, MATCH($A17, 'UA-normalized'!$A:$A, 0))&gt;0, -(10*INDEX('UA-normalized'!$D:$D, MATCH($A17, 'UA-normalized'!$A:$A, 0))-INDEX('UA-normalized'!$E:$E, MATCH($A17, 'UA-normalized'!$A:$A, 0))), 0), 0))+(IFERROR(IF(10*INDEX('KZ-normalized'!$D:$D, MATCH($A17, 'KZ-normalized'!$A:$A, 0))-INDEX('KZ-normalized'!$E:$E, MATCH($A17, 'KZ-normalized'!$A:$A, 0))&gt;0, -(10*INDEX('KZ-normalized'!$D:$D, MATCH($A17, 'KZ-normalized'!$A:$A, 0))-INDEX('KZ-normalized'!$E:$E, MATCH($A17, 'KZ-normalized'!$A:$A, 0))), 0), 0))+(IFERROR(IF(10*INDEX('UZ-normalized'!$D:$D, MATCH($A17, 'UZ-normalized'!$A:$A, 0))-INDEX('UZ-normalized'!$E:$E, MATCH($A17, 'UZ-normalized'!$A:$A, 0))&gt;0, -(10*INDEX('UZ-normalized'!$D:$D, MATCH($A17, 'UZ-normalized'!$A:$A, 0))-INDEX('UZ-normalized'!$E:$E, MATCH($A17, 'UZ-normalized'!$A:$A, 0))), 0), 0)))</f>
        <v>0</v>
      </c>
      <c r="Y17" s="6">
        <f>MIN(0, N17+(IFERROR(IF(11*INDEX('UA-normalized'!$D:$D, MATCH($A17, 'UA-normalized'!$A:$A, 0))-INDEX('UA-normalized'!$E:$E, MATCH($A17, 'UA-normalized'!$A:$A, 0))&gt;0, -(11*INDEX('UA-normalized'!$D:$D, MATCH($A17, 'UA-normalized'!$A:$A, 0))-INDEX('UA-normalized'!$E:$E, MATCH($A17, 'UA-normalized'!$A:$A, 0))), 0), 0))+(IFERROR(IF(11*INDEX('KZ-normalized'!$D:$D, MATCH($A17, 'KZ-normalized'!$A:$A, 0))-INDEX('KZ-normalized'!$E:$E, MATCH($A17, 'KZ-normalized'!$A:$A, 0))&gt;0, -(11*INDEX('KZ-normalized'!$D:$D, MATCH($A17, 'KZ-normalized'!$A:$A, 0))-INDEX('KZ-normalized'!$E:$E, MATCH($A17, 'KZ-normalized'!$A:$A, 0))), 0), 0))+(IFERROR(IF(11*INDEX('UZ-normalized'!$D:$D, MATCH($A17, 'UZ-normalized'!$A:$A, 0))-INDEX('UZ-normalized'!$E:$E, MATCH($A17, 'UZ-normalized'!$A:$A, 0))&gt;0, -(11*INDEX('UZ-normalized'!$D:$D, MATCH($A17, 'UZ-normalized'!$A:$A, 0))-INDEX('UZ-normalized'!$E:$E, MATCH($A17, 'UZ-normalized'!$A:$A, 0))), 0), 0)))</f>
        <v>0</v>
      </c>
      <c r="Z17" s="6">
        <f>MIN(0, N17+(IFERROR(IF(12*INDEX('UA-normalized'!$D:$D, MATCH($A17, 'UA-normalized'!$A:$A, 0))-INDEX('UA-normalized'!$E:$E, MATCH($A17, 'UA-normalized'!$A:$A, 0))&gt;0, -(12*INDEX('UA-normalized'!$D:$D, MATCH($A17, 'UA-normalized'!$A:$A, 0))-INDEX('UA-normalized'!$E:$E, MATCH($A17, 'UA-normalized'!$A:$A, 0))), 0), 0))+(IFERROR(IF(12*INDEX('KZ-normalized'!$D:$D, MATCH($A17, 'KZ-normalized'!$A:$A, 0))-INDEX('KZ-normalized'!$E:$E, MATCH($A17, 'KZ-normalized'!$A:$A, 0))&gt;0, -(12*INDEX('KZ-normalized'!$D:$D, MATCH($A17, 'KZ-normalized'!$A:$A, 0))-INDEX('KZ-normalized'!$E:$E, MATCH($A17, 'KZ-normalized'!$A:$A, 0))), 0), 0))+(IFERROR(IF(12*INDEX('UZ-normalized'!$D:$D, MATCH($A17, 'UZ-normalized'!$A:$A, 0))-INDEX('UZ-normalized'!$E:$E, MATCH($A17, 'UZ-normalized'!$A:$A, 0))&gt;0, -(12*INDEX('UZ-normalized'!$D:$D, MATCH($A17, 'UZ-normalized'!$A:$A, 0))-INDEX('UZ-normalized'!$E:$E, MATCH($A17, 'UZ-normalized'!$A:$A, 0))), 0), 0)))</f>
        <v>0</v>
      </c>
      <c r="AA17" s="6">
        <f>MIN(0, N17+(IFERROR(IF(13*INDEX('UA-normalized'!$D:$D, MATCH($A17, 'UA-normalized'!$A:$A, 0))-INDEX('UA-normalized'!$E:$E, MATCH($A17, 'UA-normalized'!$A:$A, 0))&gt;0, -(13*INDEX('UA-normalized'!$D:$D, MATCH($A17, 'UA-normalized'!$A:$A, 0))-INDEX('UA-normalized'!$E:$E, MATCH($A17, 'UA-normalized'!$A:$A, 0))), 0), 0))+(IFERROR(IF(13*INDEX('KZ-normalized'!$D:$D, MATCH($A17, 'KZ-normalized'!$A:$A, 0))-INDEX('KZ-normalized'!$E:$E, MATCH($A17, 'KZ-normalized'!$A:$A, 0))&gt;0, -(13*INDEX('KZ-normalized'!$D:$D, MATCH($A17, 'KZ-normalized'!$A:$A, 0))-INDEX('KZ-normalized'!$E:$E, MATCH($A17, 'KZ-normalized'!$A:$A, 0))), 0), 0))+(IFERROR(IF(13*INDEX('UZ-normalized'!$D:$D, MATCH($A17, 'UZ-normalized'!$A:$A, 0))-INDEX('UZ-normalized'!$E:$E, MATCH($A17, 'UZ-normalized'!$A:$A, 0))&gt;0, -(13*INDEX('UZ-normalized'!$D:$D, MATCH($A17, 'UZ-normalized'!$A:$A, 0))-INDEX('UZ-normalized'!$E:$E, MATCH($A17, 'UZ-normalized'!$A:$A, 0))), 0), 0)))</f>
        <v>0</v>
      </c>
      <c r="AB17" s="6">
        <f>MIN(0, N17+(IFERROR(IF(14*INDEX('UA-normalized'!$D:$D, MATCH($A17, 'UA-normalized'!$A:$A, 0))-INDEX('UA-normalized'!$E:$E, MATCH($A17, 'UA-normalized'!$A:$A, 0))&gt;0, -(14*INDEX('UA-normalized'!$D:$D, MATCH($A17, 'UA-normalized'!$A:$A, 0))-INDEX('UA-normalized'!$E:$E, MATCH($A17, 'UA-normalized'!$A:$A, 0))), 0), 0))+(IFERROR(IF(14*INDEX('KZ-normalized'!$D:$D, MATCH($A17, 'KZ-normalized'!$A:$A, 0))-INDEX('KZ-normalized'!$E:$E, MATCH($A17, 'KZ-normalized'!$A:$A, 0))&gt;0, -(14*INDEX('KZ-normalized'!$D:$D, MATCH($A17, 'KZ-normalized'!$A:$A, 0))-INDEX('KZ-normalized'!$E:$E, MATCH($A17, 'KZ-normalized'!$A:$A, 0))), 0), 0))+(IFERROR(IF(14*INDEX('UZ-normalized'!$D:$D, MATCH($A17, 'UZ-normalized'!$A:$A, 0))-INDEX('UZ-normalized'!$E:$E, MATCH($A17, 'UZ-normalized'!$A:$A, 0))&gt;0, -(14*INDEX('UZ-normalized'!$D:$D, MATCH($A17, 'UZ-normalized'!$A:$A, 0))-INDEX('UZ-normalized'!$E:$E, MATCH($A17, 'UZ-normalized'!$A:$A, 0))), 0), 0)))</f>
        <v>-0.40000000000000213</v>
      </c>
      <c r="AC17" s="6">
        <f>MIN(0, N17+(IFERROR(IF(15*INDEX('UA-normalized'!$D:$D, MATCH($A17, 'UA-normalized'!$A:$A, 0))-INDEX('UA-normalized'!$E:$E, MATCH($A17, 'UA-normalized'!$A:$A, 0))&gt;0, -(15*INDEX('UA-normalized'!$D:$D, MATCH($A17, 'UA-normalized'!$A:$A, 0))-INDEX('UA-normalized'!$E:$E, MATCH($A17, 'UA-normalized'!$A:$A, 0))), 0), 0))+(IFERROR(IF(15*INDEX('KZ-normalized'!$D:$D, MATCH($A17, 'KZ-normalized'!$A:$A, 0))-INDEX('KZ-normalized'!$E:$E, MATCH($A17, 'KZ-normalized'!$A:$A, 0))&gt;0, -(15*INDEX('KZ-normalized'!$D:$D, MATCH($A17, 'KZ-normalized'!$A:$A, 0))-INDEX('KZ-normalized'!$E:$E, MATCH($A17, 'KZ-normalized'!$A:$A, 0))), 0), 0))+(IFERROR(IF(15*INDEX('UZ-normalized'!$D:$D, MATCH($A17, 'UZ-normalized'!$A:$A, 0))-INDEX('UZ-normalized'!$E:$E, MATCH($A17, 'UZ-normalized'!$A:$A, 0))&gt;0, -(15*INDEX('UZ-normalized'!$D:$D, MATCH($A17, 'UZ-normalized'!$A:$A, 0))-INDEX('UZ-normalized'!$E:$E, MATCH($A17, 'UZ-normalized'!$A:$A, 0))), 0), 0)))</f>
        <v>-2</v>
      </c>
      <c r="AD17" s="6">
        <f>MIN(0, N17+(IFERROR(IF(16*INDEX('UA-normalized'!$D:$D, MATCH($A17, 'UA-normalized'!$A:$A, 0))-INDEX('UA-normalized'!$E:$E, MATCH($A17, 'UA-normalized'!$A:$A, 0))&gt;0, -(16*INDEX('UA-normalized'!$D:$D, MATCH($A17, 'UA-normalized'!$A:$A, 0))-INDEX('UA-normalized'!$E:$E, MATCH($A17, 'UA-normalized'!$A:$A, 0))), 0), 0))+(IFERROR(IF(16*INDEX('KZ-normalized'!$D:$D, MATCH($A17, 'KZ-normalized'!$A:$A, 0))-INDEX('KZ-normalized'!$E:$E, MATCH($A17, 'KZ-normalized'!$A:$A, 0))&gt;0, -(16*INDEX('KZ-normalized'!$D:$D, MATCH($A17, 'KZ-normalized'!$A:$A, 0))-INDEX('KZ-normalized'!$E:$E, MATCH($A17, 'KZ-normalized'!$A:$A, 0))), 0), 0))+(IFERROR(IF(16*INDEX('UZ-normalized'!$D:$D, MATCH($A17, 'UZ-normalized'!$A:$A, 0))-INDEX('UZ-normalized'!$E:$E, MATCH($A17, 'UZ-normalized'!$A:$A, 0))&gt;0, -(16*INDEX('UZ-normalized'!$D:$D, MATCH($A17, 'UZ-normalized'!$A:$A, 0))-INDEX('UZ-normalized'!$E:$E, MATCH($A17, 'UZ-normalized'!$A:$A, 0))), 0), 0)))</f>
        <v>-3.6000000000000014</v>
      </c>
      <c r="AE17" s="6">
        <f>MIN(0, N17+(IFERROR(IF(17*INDEX('UA-normalized'!$D:$D, MATCH($A17, 'UA-normalized'!$A:$A, 0))-INDEX('UA-normalized'!$E:$E, MATCH($A17, 'UA-normalized'!$A:$A, 0))&gt;0, -(17*INDEX('UA-normalized'!$D:$D, MATCH($A17, 'UA-normalized'!$A:$A, 0))-INDEX('UA-normalized'!$E:$E, MATCH($A17, 'UA-normalized'!$A:$A, 0))), 0), 0))+(IFERROR(IF(17*INDEX('KZ-normalized'!$D:$D, MATCH($A17, 'KZ-normalized'!$A:$A, 0))-INDEX('KZ-normalized'!$E:$E, MATCH($A17, 'KZ-normalized'!$A:$A, 0))&gt;0, -(17*INDEX('KZ-normalized'!$D:$D, MATCH($A17, 'KZ-normalized'!$A:$A, 0))-INDEX('KZ-normalized'!$E:$E, MATCH($A17, 'KZ-normalized'!$A:$A, 0))), 0), 0))+(IFERROR(IF(17*INDEX('UZ-normalized'!$D:$D, MATCH($A17, 'UZ-normalized'!$A:$A, 0))-INDEX('UZ-normalized'!$E:$E, MATCH($A17, 'UZ-normalized'!$A:$A, 0))&gt;0, -(17*INDEX('UZ-normalized'!$D:$D, MATCH($A17, 'UZ-normalized'!$A:$A, 0))-INDEX('UZ-normalized'!$E:$E, MATCH($A17, 'UZ-normalized'!$A:$A, 0))), 0), 0)))</f>
        <v>-5.2000000000000028</v>
      </c>
      <c r="AF17" s="6">
        <f>MIN(0, N17+(IFERROR(IF(18*INDEX('UA-normalized'!$D:$D, MATCH($A17, 'UA-normalized'!$A:$A, 0))-INDEX('UA-normalized'!$E:$E, MATCH($A17, 'UA-normalized'!$A:$A, 0))&gt;0, -(18*INDEX('UA-normalized'!$D:$D, MATCH($A17, 'UA-normalized'!$A:$A, 0))-INDEX('UA-normalized'!$E:$E, MATCH($A17, 'UA-normalized'!$A:$A, 0))), 0), 0))+(IFERROR(IF(18*INDEX('KZ-normalized'!$D:$D, MATCH($A17, 'KZ-normalized'!$A:$A, 0))-INDEX('KZ-normalized'!$E:$E, MATCH($A17, 'KZ-normalized'!$A:$A, 0))&gt;0, -(18*INDEX('KZ-normalized'!$D:$D, MATCH($A17, 'KZ-normalized'!$A:$A, 0))-INDEX('KZ-normalized'!$E:$E, MATCH($A17, 'KZ-normalized'!$A:$A, 0))), 0), 0))+(IFERROR(IF(18*INDEX('UZ-normalized'!$D:$D, MATCH($A17, 'UZ-normalized'!$A:$A, 0))-INDEX('UZ-normalized'!$E:$E, MATCH($A17, 'UZ-normalized'!$A:$A, 0))&gt;0, -(18*INDEX('UZ-normalized'!$D:$D, MATCH($A17, 'UZ-normalized'!$A:$A, 0))-INDEX('UZ-normalized'!$E:$E, MATCH($A17, 'UZ-normalized'!$A:$A, 0))), 0), 0)))</f>
        <v>-6.8000000000000007</v>
      </c>
      <c r="AG17" s="6">
        <f>MIN(0, N17+(IFERROR(IF(19*INDEX('UA-normalized'!$D:$D, MATCH($A17, 'UA-normalized'!$A:$A, 0))-INDEX('UA-normalized'!$E:$E, MATCH($A17, 'UA-normalized'!$A:$A, 0))&gt;0, -(19*INDEX('UA-normalized'!$D:$D, MATCH($A17, 'UA-normalized'!$A:$A, 0))-INDEX('UA-normalized'!$E:$E, MATCH($A17, 'UA-normalized'!$A:$A, 0))), 0), 0))+(IFERROR(IF(19*INDEX('KZ-normalized'!$D:$D, MATCH($A17, 'KZ-normalized'!$A:$A, 0))-INDEX('KZ-normalized'!$E:$E, MATCH($A17, 'KZ-normalized'!$A:$A, 0))&gt;0, -(19*INDEX('KZ-normalized'!$D:$D, MATCH($A17, 'KZ-normalized'!$A:$A, 0))-INDEX('KZ-normalized'!$E:$E, MATCH($A17, 'KZ-normalized'!$A:$A, 0))), 0), 0))+(IFERROR(IF(19*INDEX('UZ-normalized'!$D:$D, MATCH($A17, 'UZ-normalized'!$A:$A, 0))-INDEX('UZ-normalized'!$E:$E, MATCH($A17, 'UZ-normalized'!$A:$A, 0))&gt;0, -(19*INDEX('UZ-normalized'!$D:$D, MATCH($A17, 'UZ-normalized'!$A:$A, 0))-INDEX('UZ-normalized'!$E:$E, MATCH($A17, 'UZ-normalized'!$A:$A, 0))), 0), 0)))</f>
        <v>-8.4000000000000021</v>
      </c>
      <c r="AH17" s="6">
        <f>MIN(0, N17+(IFERROR(IF(20*INDEX('UA-normalized'!$D:$D, MATCH($A17, 'UA-normalized'!$A:$A, 0))-INDEX('UA-normalized'!$E:$E, MATCH($A17, 'UA-normalized'!$A:$A, 0))&gt;0, -(20*INDEX('UA-normalized'!$D:$D, MATCH($A17, 'UA-normalized'!$A:$A, 0))-INDEX('UA-normalized'!$E:$E, MATCH($A17, 'UA-normalized'!$A:$A, 0))), 0), 0))+(IFERROR(IF(20*INDEX('KZ-normalized'!$D:$D, MATCH($A17, 'KZ-normalized'!$A:$A, 0))-INDEX('KZ-normalized'!$E:$E, MATCH($A17, 'KZ-normalized'!$A:$A, 0))&gt;0, -(20*INDEX('KZ-normalized'!$D:$D, MATCH($A17, 'KZ-normalized'!$A:$A, 0))-INDEX('KZ-normalized'!$E:$E, MATCH($A17, 'KZ-normalized'!$A:$A, 0))), 0), 0))+(IFERROR(IF(20*INDEX('UZ-normalized'!$D:$D, MATCH($A17, 'UZ-normalized'!$A:$A, 0))-INDEX('UZ-normalized'!$E:$E, MATCH($A17, 'UZ-normalized'!$A:$A, 0))&gt;0, -(20*INDEX('UZ-normalized'!$D:$D, MATCH($A17, 'UZ-normalized'!$A:$A, 0))-INDEX('UZ-normalized'!$E:$E, MATCH($A17, 'UZ-normalized'!$A:$A, 0))), 0), 0)))</f>
        <v>-10</v>
      </c>
      <c r="AI17" s="6">
        <f>MIN(0, N17+(IFERROR(IF(21*INDEX('UA-normalized'!$D:$D, MATCH($A17, 'UA-normalized'!$A:$A, 0))-INDEX('UA-normalized'!$E:$E, MATCH($A17, 'UA-normalized'!$A:$A, 0))&gt;0, -(21*INDEX('UA-normalized'!$D:$D, MATCH($A17, 'UA-normalized'!$A:$A, 0))-INDEX('UA-normalized'!$E:$E, MATCH($A17, 'UA-normalized'!$A:$A, 0))), 0), 0))+(IFERROR(IF(21*INDEX('KZ-normalized'!$D:$D, MATCH($A17, 'KZ-normalized'!$A:$A, 0))-INDEX('KZ-normalized'!$E:$E, MATCH($A17, 'KZ-normalized'!$A:$A, 0))&gt;0, -(21*INDEX('KZ-normalized'!$D:$D, MATCH($A17, 'KZ-normalized'!$A:$A, 0))-INDEX('KZ-normalized'!$E:$E, MATCH($A17, 'KZ-normalized'!$A:$A, 0))), 0), 0))+(IFERROR(IF(21*INDEX('UZ-normalized'!$D:$D, MATCH($A17, 'UZ-normalized'!$A:$A, 0))-INDEX('UZ-normalized'!$E:$E, MATCH($A17, 'UZ-normalized'!$A:$A, 0))&gt;0, -(21*INDEX('UZ-normalized'!$D:$D, MATCH($A17, 'UZ-normalized'!$A:$A, 0))-INDEX('UZ-normalized'!$E:$E, MATCH($A17, 'UZ-normalized'!$A:$A, 0))), 0), 0)))</f>
        <v>-11.600000000000001</v>
      </c>
      <c r="AJ17" s="6">
        <f>MIN(0, N17+(IFERROR(IF(22*INDEX('UA-normalized'!$D:$D, MATCH($A17, 'UA-normalized'!$A:$A, 0))-INDEX('UA-normalized'!$E:$E, MATCH($A17, 'UA-normalized'!$A:$A, 0))&gt;0, -(22*INDEX('UA-normalized'!$D:$D, MATCH($A17, 'UA-normalized'!$A:$A, 0))-INDEX('UA-normalized'!$E:$E, MATCH($A17, 'UA-normalized'!$A:$A, 0))), 0), 0))+(IFERROR(IF(22*INDEX('KZ-normalized'!$D:$D, MATCH($A17, 'KZ-normalized'!$A:$A, 0))-INDEX('KZ-normalized'!$E:$E, MATCH($A17, 'KZ-normalized'!$A:$A, 0))&gt;0, -(22*INDEX('KZ-normalized'!$D:$D, MATCH($A17, 'KZ-normalized'!$A:$A, 0))-INDEX('KZ-normalized'!$E:$E, MATCH($A17, 'KZ-normalized'!$A:$A, 0))), 0), 0))+(IFERROR(IF(22*INDEX('UZ-normalized'!$D:$D, MATCH($A17, 'UZ-normalized'!$A:$A, 0))-INDEX('UZ-normalized'!$E:$E, MATCH($A17, 'UZ-normalized'!$A:$A, 0))&gt;0, -(22*INDEX('UZ-normalized'!$D:$D, MATCH($A17, 'UZ-normalized'!$A:$A, 0))-INDEX('UZ-normalized'!$E:$E, MATCH($A17, 'UZ-normalized'!$A:$A, 0))), 0), 0)))</f>
        <v>-13.200000000000003</v>
      </c>
      <c r="AK17" s="6">
        <f>MIN(0, N17+(IFERROR(IF(23*INDEX('UA-normalized'!$D:$D, MATCH($A17, 'UA-normalized'!$A:$A, 0))-INDEX('UA-normalized'!$E:$E, MATCH($A17, 'UA-normalized'!$A:$A, 0))&gt;0, -(23*INDEX('UA-normalized'!$D:$D, MATCH($A17, 'UA-normalized'!$A:$A, 0))-INDEX('UA-normalized'!$E:$E, MATCH($A17, 'UA-normalized'!$A:$A, 0))), 0), 0))+(IFERROR(IF(23*INDEX('KZ-normalized'!$D:$D, MATCH($A17, 'KZ-normalized'!$A:$A, 0))-INDEX('KZ-normalized'!$E:$E, MATCH($A17, 'KZ-normalized'!$A:$A, 0))&gt;0, -(23*INDEX('KZ-normalized'!$D:$D, MATCH($A17, 'KZ-normalized'!$A:$A, 0))-INDEX('KZ-normalized'!$E:$E, MATCH($A17, 'KZ-normalized'!$A:$A, 0))), 0), 0))+(IFERROR(IF(23*INDEX('UZ-normalized'!$D:$D, MATCH($A17, 'UZ-normalized'!$A:$A, 0))-INDEX('UZ-normalized'!$E:$E, MATCH($A17, 'UZ-normalized'!$A:$A, 0))&gt;0, -(23*INDEX('UZ-normalized'!$D:$D, MATCH($A17, 'UZ-normalized'!$A:$A, 0))-INDEX('UZ-normalized'!$E:$E, MATCH($A17, 'UZ-normalized'!$A:$A, 0))), 0), 0)))</f>
        <v>-14.800000000000004</v>
      </c>
      <c r="AL17" s="6">
        <f>MIN(0, N17+(IFERROR(IF(24*INDEX('UA-normalized'!$D:$D, MATCH($A17, 'UA-normalized'!$A:$A, 0))-INDEX('UA-normalized'!$E:$E, MATCH($A17, 'UA-normalized'!$A:$A, 0))&gt;0, -(24*INDEX('UA-normalized'!$D:$D, MATCH($A17, 'UA-normalized'!$A:$A, 0))-INDEX('UA-normalized'!$E:$E, MATCH($A17, 'UA-normalized'!$A:$A, 0))), 0), 0))+(IFERROR(IF(24*INDEX('KZ-normalized'!$D:$D, MATCH($A17, 'KZ-normalized'!$A:$A, 0))-INDEX('KZ-normalized'!$E:$E, MATCH($A17, 'KZ-normalized'!$A:$A, 0))&gt;0, -(24*INDEX('KZ-normalized'!$D:$D, MATCH($A17, 'KZ-normalized'!$A:$A, 0))-INDEX('KZ-normalized'!$E:$E, MATCH($A17, 'KZ-normalized'!$A:$A, 0))), 0), 0))+(IFERROR(IF(24*INDEX('UZ-normalized'!$D:$D, MATCH($A17, 'UZ-normalized'!$A:$A, 0))-INDEX('UZ-normalized'!$E:$E, MATCH($A17, 'UZ-normalized'!$A:$A, 0))&gt;0, -(24*INDEX('UZ-normalized'!$D:$D, MATCH($A17, 'UZ-normalized'!$A:$A, 0))-INDEX('UZ-normalized'!$E:$E, MATCH($A17, 'UZ-normalized'!$A:$A, 0))), 0), 0)))</f>
        <v>-16.400000000000006</v>
      </c>
      <c r="AM17" s="6">
        <f>MIN(0, N17+(IFERROR(IF(25*INDEX('UA-normalized'!$D:$D, MATCH($A17, 'UA-normalized'!$A:$A, 0))-INDEX('UA-normalized'!$E:$E, MATCH($A17, 'UA-normalized'!$A:$A, 0))&gt;0, -(25*INDEX('UA-normalized'!$D:$D, MATCH($A17, 'UA-normalized'!$A:$A, 0))-INDEX('UA-normalized'!$E:$E, MATCH($A17, 'UA-normalized'!$A:$A, 0))), 0), 0))+(IFERROR(IF(25*INDEX('KZ-normalized'!$D:$D, MATCH($A17, 'KZ-normalized'!$A:$A, 0))-INDEX('KZ-normalized'!$E:$E, MATCH($A17, 'KZ-normalized'!$A:$A, 0))&gt;0, -(25*INDEX('KZ-normalized'!$D:$D, MATCH($A17, 'KZ-normalized'!$A:$A, 0))-INDEX('KZ-normalized'!$E:$E, MATCH($A17, 'KZ-normalized'!$A:$A, 0))), 0), 0))+(IFERROR(IF(25*INDEX('UZ-normalized'!$D:$D, MATCH($A17, 'UZ-normalized'!$A:$A, 0))-INDEX('UZ-normalized'!$E:$E, MATCH($A17, 'UZ-normalized'!$A:$A, 0))&gt;0, -(25*INDEX('UZ-normalized'!$D:$D, MATCH($A17, 'UZ-normalized'!$A:$A, 0))-INDEX('UZ-normalized'!$E:$E, MATCH($A17, 'UZ-normalized'!$A:$A, 0))), 0), 0)))</f>
        <v>-18</v>
      </c>
      <c r="AN17" s="6">
        <f>MIN(0, N17+(IFERROR(IF(26*INDEX('UA-normalized'!$D:$D, MATCH($A17, 'UA-normalized'!$A:$A, 0))-INDEX('UA-normalized'!$E:$E, MATCH($A17, 'UA-normalized'!$A:$A, 0))&gt;0, -(26*INDEX('UA-normalized'!$D:$D, MATCH($A17, 'UA-normalized'!$A:$A, 0))-INDEX('UA-normalized'!$E:$E, MATCH($A17, 'UA-normalized'!$A:$A, 0))), 0), 0))+(IFERROR(IF(26*INDEX('KZ-normalized'!$D:$D, MATCH($A17, 'KZ-normalized'!$A:$A, 0))-INDEX('KZ-normalized'!$E:$E, MATCH($A17, 'KZ-normalized'!$A:$A, 0))&gt;0, -(26*INDEX('KZ-normalized'!$D:$D, MATCH($A17, 'KZ-normalized'!$A:$A, 0))-INDEX('KZ-normalized'!$E:$E, MATCH($A17, 'KZ-normalized'!$A:$A, 0))), 0), 0))+(IFERROR(IF(26*INDEX('UZ-normalized'!$D:$D, MATCH($A17, 'UZ-normalized'!$A:$A, 0))-INDEX('UZ-normalized'!$E:$E, MATCH($A17, 'UZ-normalized'!$A:$A, 0))&gt;0, -(26*INDEX('UZ-normalized'!$D:$D, MATCH($A17, 'UZ-normalized'!$A:$A, 0))-INDEX('UZ-normalized'!$E:$E, MATCH($A17, 'UZ-normalized'!$A:$A, 0))), 0), 0)))</f>
        <v>-19.600000000000001</v>
      </c>
      <c r="AO17" s="6">
        <f>MIN(0, N17+(IFERROR(IF(27*INDEX('UA-normalized'!$D:$D, MATCH($A17, 'UA-normalized'!$A:$A, 0))-INDEX('UA-normalized'!$E:$E, MATCH($A17, 'UA-normalized'!$A:$A, 0))&gt;0, -(27*INDEX('UA-normalized'!$D:$D, MATCH($A17, 'UA-normalized'!$A:$A, 0))-INDEX('UA-normalized'!$E:$E, MATCH($A17, 'UA-normalized'!$A:$A, 0))), 0), 0))+(IFERROR(IF(27*INDEX('KZ-normalized'!$D:$D, MATCH($A17, 'KZ-normalized'!$A:$A, 0))-INDEX('KZ-normalized'!$E:$E, MATCH($A17, 'KZ-normalized'!$A:$A, 0))&gt;0, -(27*INDEX('KZ-normalized'!$D:$D, MATCH($A17, 'KZ-normalized'!$A:$A, 0))-INDEX('KZ-normalized'!$E:$E, MATCH($A17, 'KZ-normalized'!$A:$A, 0))), 0), 0))+(IFERROR(IF(27*INDEX('UZ-normalized'!$D:$D, MATCH($A17, 'UZ-normalized'!$A:$A, 0))-INDEX('UZ-normalized'!$E:$E, MATCH($A17, 'UZ-normalized'!$A:$A, 0))&gt;0, -(27*INDEX('UZ-normalized'!$D:$D, MATCH($A17, 'UZ-normalized'!$A:$A, 0))-INDEX('UZ-normalized'!$E:$E, MATCH($A17, 'UZ-normalized'!$A:$A, 0))), 0), 0)))</f>
        <v>-21.200000000000003</v>
      </c>
      <c r="AP17" s="6">
        <f>MIN(0, N17+(IFERROR(IF(28*INDEX('UA-normalized'!$D:$D, MATCH($A17, 'UA-normalized'!$A:$A, 0))-INDEX('UA-normalized'!$E:$E, MATCH($A17, 'UA-normalized'!$A:$A, 0))&gt;0, -(28*INDEX('UA-normalized'!$D:$D, MATCH($A17, 'UA-normalized'!$A:$A, 0))-INDEX('UA-normalized'!$E:$E, MATCH($A17, 'UA-normalized'!$A:$A, 0))), 0), 0))+(IFERROR(IF(28*INDEX('KZ-normalized'!$D:$D, MATCH($A17, 'KZ-normalized'!$A:$A, 0))-INDEX('KZ-normalized'!$E:$E, MATCH($A17, 'KZ-normalized'!$A:$A, 0))&gt;0, -(28*INDEX('KZ-normalized'!$D:$D, MATCH($A17, 'KZ-normalized'!$A:$A, 0))-INDEX('KZ-normalized'!$E:$E, MATCH($A17, 'KZ-normalized'!$A:$A, 0))), 0), 0))+(IFERROR(IF(28*INDEX('UZ-normalized'!$D:$D, MATCH($A17, 'UZ-normalized'!$A:$A, 0))-INDEX('UZ-normalized'!$E:$E, MATCH($A17, 'UZ-normalized'!$A:$A, 0))&gt;0, -(28*INDEX('UZ-normalized'!$D:$D, MATCH($A17, 'UZ-normalized'!$A:$A, 0))-INDEX('UZ-normalized'!$E:$E, MATCH($A17, 'UZ-normalized'!$A:$A, 0))), 0), 0)))</f>
        <v>-22.800000000000004</v>
      </c>
      <c r="AQ17" s="6">
        <f>MIN(0, N17+(IFERROR(IF(29*INDEX('UA-normalized'!$D:$D, MATCH($A17, 'UA-normalized'!$A:$A, 0))-INDEX('UA-normalized'!$E:$E, MATCH($A17, 'UA-normalized'!$A:$A, 0))&gt;0, -(29*INDEX('UA-normalized'!$D:$D, MATCH($A17, 'UA-normalized'!$A:$A, 0))-INDEX('UA-normalized'!$E:$E, MATCH($A17, 'UA-normalized'!$A:$A, 0))), 0), 0))+(IFERROR(IF(29*INDEX('KZ-normalized'!$D:$D, MATCH($A17, 'KZ-normalized'!$A:$A, 0))-INDEX('KZ-normalized'!$E:$E, MATCH($A17, 'KZ-normalized'!$A:$A, 0))&gt;0, -(29*INDEX('KZ-normalized'!$D:$D, MATCH($A17, 'KZ-normalized'!$A:$A, 0))-INDEX('KZ-normalized'!$E:$E, MATCH($A17, 'KZ-normalized'!$A:$A, 0))), 0), 0))+(IFERROR(IF(29*INDEX('UZ-normalized'!$D:$D, MATCH($A17, 'UZ-normalized'!$A:$A, 0))-INDEX('UZ-normalized'!$E:$E, MATCH($A17, 'UZ-normalized'!$A:$A, 0))&gt;0, -(29*INDEX('UZ-normalized'!$D:$D, MATCH($A17, 'UZ-normalized'!$A:$A, 0))-INDEX('UZ-normalized'!$E:$E, MATCH($A17, 'UZ-normalized'!$A:$A, 0))), 0), 0)))</f>
        <v>-24.400000000000006</v>
      </c>
      <c r="AR17" s="6">
        <f>MIN(0, N17+(IFERROR(IF(30*INDEX('UA-normalized'!$D:$D, MATCH($A17, 'UA-normalized'!$A:$A, 0))-INDEX('UA-normalized'!$E:$E, MATCH($A17, 'UA-normalized'!$A:$A, 0))&gt;0, -(30*INDEX('UA-normalized'!$D:$D, MATCH($A17, 'UA-normalized'!$A:$A, 0))-INDEX('UA-normalized'!$E:$E, MATCH($A17, 'UA-normalized'!$A:$A, 0))), 0), 0))+(IFERROR(IF(30*INDEX('KZ-normalized'!$D:$D, MATCH($A17, 'KZ-normalized'!$A:$A, 0))-INDEX('KZ-normalized'!$E:$E, MATCH($A17, 'KZ-normalized'!$A:$A, 0))&gt;0, -(30*INDEX('KZ-normalized'!$D:$D, MATCH($A17, 'KZ-normalized'!$A:$A, 0))-INDEX('KZ-normalized'!$E:$E, MATCH($A17, 'KZ-normalized'!$A:$A, 0))), 0), 0))+(IFERROR(IF(30*INDEX('UZ-normalized'!$D:$D, MATCH($A17, 'UZ-normalized'!$A:$A, 0))-INDEX('UZ-normalized'!$E:$E, MATCH($A17, 'UZ-normalized'!$A:$A, 0))&gt;0, -(30*INDEX('UZ-normalized'!$D:$D, MATCH($A17, 'UZ-normalized'!$A:$A, 0))-INDEX('UZ-normalized'!$E:$E, MATCH($A17, 'UZ-normalized'!$A:$A, 0))), 0), 0)))</f>
        <v>-26</v>
      </c>
    </row>
    <row r="18" spans="1:44" x14ac:dyDescent="0.25">
      <c r="A18" s="8" t="s">
        <v>82</v>
      </c>
      <c r="B18" s="8" t="s">
        <v>83</v>
      </c>
      <c r="C18" s="8" t="s">
        <v>84</v>
      </c>
      <c r="D18" s="8" t="s">
        <v>85</v>
      </c>
      <c r="E18">
        <v>11666.66666666667</v>
      </c>
      <c r="N18">
        <f t="shared" si="0"/>
        <v>11666.66666666667</v>
      </c>
      <c r="O18" s="6">
        <f>MIN(0, N18+(IFERROR(IF(1*INDEX('UA-normalized'!$D:$D, MATCH($A18, 'UA-normalized'!$A:$A, 0))-INDEX('UA-normalized'!$E:$E, MATCH($A18, 'UA-normalized'!$A:$A, 0))&gt;0, -(1*INDEX('UA-normalized'!$D:$D, MATCH($A18, 'UA-normalized'!$A:$A, 0))-INDEX('UA-normalized'!$E:$E, MATCH($A18, 'UA-normalized'!$A:$A, 0))), 0), 0))+(IFERROR(IF(1*INDEX('KZ-normalized'!$D:$D, MATCH($A18, 'KZ-normalized'!$A:$A, 0))-INDEX('KZ-normalized'!$E:$E, MATCH($A18, 'KZ-normalized'!$A:$A, 0))&gt;0, -(1*INDEX('KZ-normalized'!$D:$D, MATCH($A18, 'KZ-normalized'!$A:$A, 0))-INDEX('KZ-normalized'!$E:$E, MATCH($A18, 'KZ-normalized'!$A:$A, 0))), 0), 0))+(IFERROR(IF(1*INDEX('UZ-normalized'!$D:$D, MATCH($A18, 'UZ-normalized'!$A:$A, 0))-INDEX('UZ-normalized'!$E:$E, MATCH($A18, 'UZ-normalized'!$A:$A, 0))&gt;0, -(1*INDEX('UZ-normalized'!$D:$D, MATCH($A18, 'UZ-normalized'!$A:$A, 0))-INDEX('UZ-normalized'!$E:$E, MATCH($A18, 'UZ-normalized'!$A:$A, 0))), 0), 0)))</f>
        <v>0</v>
      </c>
      <c r="P18" s="6">
        <f>MIN(0, N18+(IFERROR(IF(2*INDEX('UA-normalized'!$D:$D, MATCH($A18, 'UA-normalized'!$A:$A, 0))-INDEX('UA-normalized'!$E:$E, MATCH($A18, 'UA-normalized'!$A:$A, 0))&gt;0, -(2*INDEX('UA-normalized'!$D:$D, MATCH($A18, 'UA-normalized'!$A:$A, 0))-INDEX('UA-normalized'!$E:$E, MATCH($A18, 'UA-normalized'!$A:$A, 0))), 0), 0))+(IFERROR(IF(2*INDEX('KZ-normalized'!$D:$D, MATCH($A18, 'KZ-normalized'!$A:$A, 0))-INDEX('KZ-normalized'!$E:$E, MATCH($A18, 'KZ-normalized'!$A:$A, 0))&gt;0, -(2*INDEX('KZ-normalized'!$D:$D, MATCH($A18, 'KZ-normalized'!$A:$A, 0))-INDEX('KZ-normalized'!$E:$E, MATCH($A18, 'KZ-normalized'!$A:$A, 0))), 0), 0))+(IFERROR(IF(2*INDEX('UZ-normalized'!$D:$D, MATCH($A18, 'UZ-normalized'!$A:$A, 0))-INDEX('UZ-normalized'!$E:$E, MATCH($A18, 'UZ-normalized'!$A:$A, 0))&gt;0, -(2*INDEX('UZ-normalized'!$D:$D, MATCH($A18, 'UZ-normalized'!$A:$A, 0))-INDEX('UZ-normalized'!$E:$E, MATCH($A18, 'UZ-normalized'!$A:$A, 0))), 0), 0)))</f>
        <v>0</v>
      </c>
      <c r="Q18" s="6">
        <f>MIN(0, N18+(IFERROR(IF(3*INDEX('UA-normalized'!$D:$D, MATCH($A18, 'UA-normalized'!$A:$A, 0))-INDEX('UA-normalized'!$E:$E, MATCH($A18, 'UA-normalized'!$A:$A, 0))&gt;0, -(3*INDEX('UA-normalized'!$D:$D, MATCH($A18, 'UA-normalized'!$A:$A, 0))-INDEX('UA-normalized'!$E:$E, MATCH($A18, 'UA-normalized'!$A:$A, 0))), 0), 0))+(IFERROR(IF(3*INDEX('KZ-normalized'!$D:$D, MATCH($A18, 'KZ-normalized'!$A:$A, 0))-INDEX('KZ-normalized'!$E:$E, MATCH($A18, 'KZ-normalized'!$A:$A, 0))&gt;0, -(3*INDEX('KZ-normalized'!$D:$D, MATCH($A18, 'KZ-normalized'!$A:$A, 0))-INDEX('KZ-normalized'!$E:$E, MATCH($A18, 'KZ-normalized'!$A:$A, 0))), 0), 0))+(IFERROR(IF(3*INDEX('UZ-normalized'!$D:$D, MATCH($A18, 'UZ-normalized'!$A:$A, 0))-INDEX('UZ-normalized'!$E:$E, MATCH($A18, 'UZ-normalized'!$A:$A, 0))&gt;0, -(3*INDEX('UZ-normalized'!$D:$D, MATCH($A18, 'UZ-normalized'!$A:$A, 0))-INDEX('UZ-normalized'!$E:$E, MATCH($A18, 'UZ-normalized'!$A:$A, 0))), 0), 0)))</f>
        <v>0</v>
      </c>
      <c r="R18" s="6">
        <f>MIN(0, N18+(IFERROR(IF(4*INDEX('UA-normalized'!$D:$D, MATCH($A18, 'UA-normalized'!$A:$A, 0))-INDEX('UA-normalized'!$E:$E, MATCH($A18, 'UA-normalized'!$A:$A, 0))&gt;0, -(4*INDEX('UA-normalized'!$D:$D, MATCH($A18, 'UA-normalized'!$A:$A, 0))-INDEX('UA-normalized'!$E:$E, MATCH($A18, 'UA-normalized'!$A:$A, 0))), 0), 0))+(IFERROR(IF(4*INDEX('KZ-normalized'!$D:$D, MATCH($A18, 'KZ-normalized'!$A:$A, 0))-INDEX('KZ-normalized'!$E:$E, MATCH($A18, 'KZ-normalized'!$A:$A, 0))&gt;0, -(4*INDEX('KZ-normalized'!$D:$D, MATCH($A18, 'KZ-normalized'!$A:$A, 0))-INDEX('KZ-normalized'!$E:$E, MATCH($A18, 'KZ-normalized'!$A:$A, 0))), 0), 0))+(IFERROR(IF(4*INDEX('UZ-normalized'!$D:$D, MATCH($A18, 'UZ-normalized'!$A:$A, 0))-INDEX('UZ-normalized'!$E:$E, MATCH($A18, 'UZ-normalized'!$A:$A, 0))&gt;0, -(4*INDEX('UZ-normalized'!$D:$D, MATCH($A18, 'UZ-normalized'!$A:$A, 0))-INDEX('UZ-normalized'!$E:$E, MATCH($A18, 'UZ-normalized'!$A:$A, 0))), 0), 0)))</f>
        <v>0</v>
      </c>
      <c r="S18" s="6">
        <f>MIN(0, N18+(IFERROR(IF(5*INDEX('UA-normalized'!$D:$D, MATCH($A18, 'UA-normalized'!$A:$A, 0))-INDEX('UA-normalized'!$E:$E, MATCH($A18, 'UA-normalized'!$A:$A, 0))&gt;0, -(5*INDEX('UA-normalized'!$D:$D, MATCH($A18, 'UA-normalized'!$A:$A, 0))-INDEX('UA-normalized'!$E:$E, MATCH($A18, 'UA-normalized'!$A:$A, 0))), 0), 0))+(IFERROR(IF(5*INDEX('KZ-normalized'!$D:$D, MATCH($A18, 'KZ-normalized'!$A:$A, 0))-INDEX('KZ-normalized'!$E:$E, MATCH($A18, 'KZ-normalized'!$A:$A, 0))&gt;0, -(5*INDEX('KZ-normalized'!$D:$D, MATCH($A18, 'KZ-normalized'!$A:$A, 0))-INDEX('KZ-normalized'!$E:$E, MATCH($A18, 'KZ-normalized'!$A:$A, 0))), 0), 0))+(IFERROR(IF(5*INDEX('UZ-normalized'!$D:$D, MATCH($A18, 'UZ-normalized'!$A:$A, 0))-INDEX('UZ-normalized'!$E:$E, MATCH($A18, 'UZ-normalized'!$A:$A, 0))&gt;0, -(5*INDEX('UZ-normalized'!$D:$D, MATCH($A18, 'UZ-normalized'!$A:$A, 0))-INDEX('UZ-normalized'!$E:$E, MATCH($A18, 'UZ-normalized'!$A:$A, 0))), 0), 0)))</f>
        <v>0</v>
      </c>
      <c r="T18" s="6">
        <f>MIN(0, N18+(IFERROR(IF(6*INDEX('UA-normalized'!$D:$D, MATCH($A18, 'UA-normalized'!$A:$A, 0))-INDEX('UA-normalized'!$E:$E, MATCH($A18, 'UA-normalized'!$A:$A, 0))&gt;0, -(6*INDEX('UA-normalized'!$D:$D, MATCH($A18, 'UA-normalized'!$A:$A, 0))-INDEX('UA-normalized'!$E:$E, MATCH($A18, 'UA-normalized'!$A:$A, 0))), 0), 0))+(IFERROR(IF(6*INDEX('KZ-normalized'!$D:$D, MATCH($A18, 'KZ-normalized'!$A:$A, 0))-INDEX('KZ-normalized'!$E:$E, MATCH($A18, 'KZ-normalized'!$A:$A, 0))&gt;0, -(6*INDEX('KZ-normalized'!$D:$D, MATCH($A18, 'KZ-normalized'!$A:$A, 0))-INDEX('KZ-normalized'!$E:$E, MATCH($A18, 'KZ-normalized'!$A:$A, 0))), 0), 0))+(IFERROR(IF(6*INDEX('UZ-normalized'!$D:$D, MATCH($A18, 'UZ-normalized'!$A:$A, 0))-INDEX('UZ-normalized'!$E:$E, MATCH($A18, 'UZ-normalized'!$A:$A, 0))&gt;0, -(6*INDEX('UZ-normalized'!$D:$D, MATCH($A18, 'UZ-normalized'!$A:$A, 0))-INDEX('UZ-normalized'!$E:$E, MATCH($A18, 'UZ-normalized'!$A:$A, 0))), 0), 0)))</f>
        <v>0</v>
      </c>
      <c r="U18" s="6">
        <f>MIN(0, N18+(IFERROR(IF(7*INDEX('UA-normalized'!$D:$D, MATCH($A18, 'UA-normalized'!$A:$A, 0))-INDEX('UA-normalized'!$E:$E, MATCH($A18, 'UA-normalized'!$A:$A, 0))&gt;0, -(7*INDEX('UA-normalized'!$D:$D, MATCH($A18, 'UA-normalized'!$A:$A, 0))-INDEX('UA-normalized'!$E:$E, MATCH($A18, 'UA-normalized'!$A:$A, 0))), 0), 0))+(IFERROR(IF(7*INDEX('KZ-normalized'!$D:$D, MATCH($A18, 'KZ-normalized'!$A:$A, 0))-INDEX('KZ-normalized'!$E:$E, MATCH($A18, 'KZ-normalized'!$A:$A, 0))&gt;0, -(7*INDEX('KZ-normalized'!$D:$D, MATCH($A18, 'KZ-normalized'!$A:$A, 0))-INDEX('KZ-normalized'!$E:$E, MATCH($A18, 'KZ-normalized'!$A:$A, 0))), 0), 0))+(IFERROR(IF(7*INDEX('UZ-normalized'!$D:$D, MATCH($A18, 'UZ-normalized'!$A:$A, 0))-INDEX('UZ-normalized'!$E:$E, MATCH($A18, 'UZ-normalized'!$A:$A, 0))&gt;0, -(7*INDEX('UZ-normalized'!$D:$D, MATCH($A18, 'UZ-normalized'!$A:$A, 0))-INDEX('UZ-normalized'!$E:$E, MATCH($A18, 'UZ-normalized'!$A:$A, 0))), 0), 0)))</f>
        <v>0</v>
      </c>
      <c r="V18" s="6">
        <f>MIN(0, N18+(IFERROR(IF(8*INDEX('UA-normalized'!$D:$D, MATCH($A18, 'UA-normalized'!$A:$A, 0))-INDEX('UA-normalized'!$E:$E, MATCH($A18, 'UA-normalized'!$A:$A, 0))&gt;0, -(8*INDEX('UA-normalized'!$D:$D, MATCH($A18, 'UA-normalized'!$A:$A, 0))-INDEX('UA-normalized'!$E:$E, MATCH($A18, 'UA-normalized'!$A:$A, 0))), 0), 0))+(IFERROR(IF(8*INDEX('KZ-normalized'!$D:$D, MATCH($A18, 'KZ-normalized'!$A:$A, 0))-INDEX('KZ-normalized'!$E:$E, MATCH($A18, 'KZ-normalized'!$A:$A, 0))&gt;0, -(8*INDEX('KZ-normalized'!$D:$D, MATCH($A18, 'KZ-normalized'!$A:$A, 0))-INDEX('KZ-normalized'!$E:$E, MATCH($A18, 'KZ-normalized'!$A:$A, 0))), 0), 0))+(IFERROR(IF(8*INDEX('UZ-normalized'!$D:$D, MATCH($A18, 'UZ-normalized'!$A:$A, 0))-INDEX('UZ-normalized'!$E:$E, MATCH($A18, 'UZ-normalized'!$A:$A, 0))&gt;0, -(8*INDEX('UZ-normalized'!$D:$D, MATCH($A18, 'UZ-normalized'!$A:$A, 0))-INDEX('UZ-normalized'!$E:$E, MATCH($A18, 'UZ-normalized'!$A:$A, 0))), 0), 0)))</f>
        <v>0</v>
      </c>
      <c r="W18" s="6">
        <f>MIN(0, N18+(IFERROR(IF(9*INDEX('UA-normalized'!$D:$D, MATCH($A18, 'UA-normalized'!$A:$A, 0))-INDEX('UA-normalized'!$E:$E, MATCH($A18, 'UA-normalized'!$A:$A, 0))&gt;0, -(9*INDEX('UA-normalized'!$D:$D, MATCH($A18, 'UA-normalized'!$A:$A, 0))-INDEX('UA-normalized'!$E:$E, MATCH($A18, 'UA-normalized'!$A:$A, 0))), 0), 0))+(IFERROR(IF(9*INDEX('KZ-normalized'!$D:$D, MATCH($A18, 'KZ-normalized'!$A:$A, 0))-INDEX('KZ-normalized'!$E:$E, MATCH($A18, 'KZ-normalized'!$A:$A, 0))&gt;0, -(9*INDEX('KZ-normalized'!$D:$D, MATCH($A18, 'KZ-normalized'!$A:$A, 0))-INDEX('KZ-normalized'!$E:$E, MATCH($A18, 'KZ-normalized'!$A:$A, 0))), 0), 0))+(IFERROR(IF(9*INDEX('UZ-normalized'!$D:$D, MATCH($A18, 'UZ-normalized'!$A:$A, 0))-INDEX('UZ-normalized'!$E:$E, MATCH($A18, 'UZ-normalized'!$A:$A, 0))&gt;0, -(9*INDEX('UZ-normalized'!$D:$D, MATCH($A18, 'UZ-normalized'!$A:$A, 0))-INDEX('UZ-normalized'!$E:$E, MATCH($A18, 'UZ-normalized'!$A:$A, 0))), 0), 0)))</f>
        <v>0</v>
      </c>
      <c r="X18" s="6">
        <f>MIN(0, N18+(IFERROR(IF(10*INDEX('UA-normalized'!$D:$D, MATCH($A18, 'UA-normalized'!$A:$A, 0))-INDEX('UA-normalized'!$E:$E, MATCH($A18, 'UA-normalized'!$A:$A, 0))&gt;0, -(10*INDEX('UA-normalized'!$D:$D, MATCH($A18, 'UA-normalized'!$A:$A, 0))-INDEX('UA-normalized'!$E:$E, MATCH($A18, 'UA-normalized'!$A:$A, 0))), 0), 0))+(IFERROR(IF(10*INDEX('KZ-normalized'!$D:$D, MATCH($A18, 'KZ-normalized'!$A:$A, 0))-INDEX('KZ-normalized'!$E:$E, MATCH($A18, 'KZ-normalized'!$A:$A, 0))&gt;0, -(10*INDEX('KZ-normalized'!$D:$D, MATCH($A18, 'KZ-normalized'!$A:$A, 0))-INDEX('KZ-normalized'!$E:$E, MATCH($A18, 'KZ-normalized'!$A:$A, 0))), 0), 0))+(IFERROR(IF(10*INDEX('UZ-normalized'!$D:$D, MATCH($A18, 'UZ-normalized'!$A:$A, 0))-INDEX('UZ-normalized'!$E:$E, MATCH($A18, 'UZ-normalized'!$A:$A, 0))&gt;0, -(10*INDEX('UZ-normalized'!$D:$D, MATCH($A18, 'UZ-normalized'!$A:$A, 0))-INDEX('UZ-normalized'!$E:$E, MATCH($A18, 'UZ-normalized'!$A:$A, 0))), 0), 0)))</f>
        <v>0</v>
      </c>
      <c r="Y18" s="6">
        <f>MIN(0, N18+(IFERROR(IF(11*INDEX('UA-normalized'!$D:$D, MATCH($A18, 'UA-normalized'!$A:$A, 0))-INDEX('UA-normalized'!$E:$E, MATCH($A18, 'UA-normalized'!$A:$A, 0))&gt;0, -(11*INDEX('UA-normalized'!$D:$D, MATCH($A18, 'UA-normalized'!$A:$A, 0))-INDEX('UA-normalized'!$E:$E, MATCH($A18, 'UA-normalized'!$A:$A, 0))), 0), 0))+(IFERROR(IF(11*INDEX('KZ-normalized'!$D:$D, MATCH($A18, 'KZ-normalized'!$A:$A, 0))-INDEX('KZ-normalized'!$E:$E, MATCH($A18, 'KZ-normalized'!$A:$A, 0))&gt;0, -(11*INDEX('KZ-normalized'!$D:$D, MATCH($A18, 'KZ-normalized'!$A:$A, 0))-INDEX('KZ-normalized'!$E:$E, MATCH($A18, 'KZ-normalized'!$A:$A, 0))), 0), 0))+(IFERROR(IF(11*INDEX('UZ-normalized'!$D:$D, MATCH($A18, 'UZ-normalized'!$A:$A, 0))-INDEX('UZ-normalized'!$E:$E, MATCH($A18, 'UZ-normalized'!$A:$A, 0))&gt;0, -(11*INDEX('UZ-normalized'!$D:$D, MATCH($A18, 'UZ-normalized'!$A:$A, 0))-INDEX('UZ-normalized'!$E:$E, MATCH($A18, 'UZ-normalized'!$A:$A, 0))), 0), 0)))</f>
        <v>0</v>
      </c>
      <c r="Z18" s="6">
        <f>MIN(0, N18+(IFERROR(IF(12*INDEX('UA-normalized'!$D:$D, MATCH($A18, 'UA-normalized'!$A:$A, 0))-INDEX('UA-normalized'!$E:$E, MATCH($A18, 'UA-normalized'!$A:$A, 0))&gt;0, -(12*INDEX('UA-normalized'!$D:$D, MATCH($A18, 'UA-normalized'!$A:$A, 0))-INDEX('UA-normalized'!$E:$E, MATCH($A18, 'UA-normalized'!$A:$A, 0))), 0), 0))+(IFERROR(IF(12*INDEX('KZ-normalized'!$D:$D, MATCH($A18, 'KZ-normalized'!$A:$A, 0))-INDEX('KZ-normalized'!$E:$E, MATCH($A18, 'KZ-normalized'!$A:$A, 0))&gt;0, -(12*INDEX('KZ-normalized'!$D:$D, MATCH($A18, 'KZ-normalized'!$A:$A, 0))-INDEX('KZ-normalized'!$E:$E, MATCH($A18, 'KZ-normalized'!$A:$A, 0))), 0), 0))+(IFERROR(IF(12*INDEX('UZ-normalized'!$D:$D, MATCH($A18, 'UZ-normalized'!$A:$A, 0))-INDEX('UZ-normalized'!$E:$E, MATCH($A18, 'UZ-normalized'!$A:$A, 0))&gt;0, -(12*INDEX('UZ-normalized'!$D:$D, MATCH($A18, 'UZ-normalized'!$A:$A, 0))-INDEX('UZ-normalized'!$E:$E, MATCH($A18, 'UZ-normalized'!$A:$A, 0))), 0), 0)))</f>
        <v>0</v>
      </c>
      <c r="AA18" s="6">
        <f>MIN(0, N18+(IFERROR(IF(13*INDEX('UA-normalized'!$D:$D, MATCH($A18, 'UA-normalized'!$A:$A, 0))-INDEX('UA-normalized'!$E:$E, MATCH($A18, 'UA-normalized'!$A:$A, 0))&gt;0, -(13*INDEX('UA-normalized'!$D:$D, MATCH($A18, 'UA-normalized'!$A:$A, 0))-INDEX('UA-normalized'!$E:$E, MATCH($A18, 'UA-normalized'!$A:$A, 0))), 0), 0))+(IFERROR(IF(13*INDEX('KZ-normalized'!$D:$D, MATCH($A18, 'KZ-normalized'!$A:$A, 0))-INDEX('KZ-normalized'!$E:$E, MATCH($A18, 'KZ-normalized'!$A:$A, 0))&gt;0, -(13*INDEX('KZ-normalized'!$D:$D, MATCH($A18, 'KZ-normalized'!$A:$A, 0))-INDEX('KZ-normalized'!$E:$E, MATCH($A18, 'KZ-normalized'!$A:$A, 0))), 0), 0))+(IFERROR(IF(13*INDEX('UZ-normalized'!$D:$D, MATCH($A18, 'UZ-normalized'!$A:$A, 0))-INDEX('UZ-normalized'!$E:$E, MATCH($A18, 'UZ-normalized'!$A:$A, 0))&gt;0, -(13*INDEX('UZ-normalized'!$D:$D, MATCH($A18, 'UZ-normalized'!$A:$A, 0))-INDEX('UZ-normalized'!$E:$E, MATCH($A18, 'UZ-normalized'!$A:$A, 0))), 0), 0)))</f>
        <v>0</v>
      </c>
      <c r="AB18" s="6">
        <f>MIN(0, N18+(IFERROR(IF(14*INDEX('UA-normalized'!$D:$D, MATCH($A18, 'UA-normalized'!$A:$A, 0))-INDEX('UA-normalized'!$E:$E, MATCH($A18, 'UA-normalized'!$A:$A, 0))&gt;0, -(14*INDEX('UA-normalized'!$D:$D, MATCH($A18, 'UA-normalized'!$A:$A, 0))-INDEX('UA-normalized'!$E:$E, MATCH($A18, 'UA-normalized'!$A:$A, 0))), 0), 0))+(IFERROR(IF(14*INDEX('KZ-normalized'!$D:$D, MATCH($A18, 'KZ-normalized'!$A:$A, 0))-INDEX('KZ-normalized'!$E:$E, MATCH($A18, 'KZ-normalized'!$A:$A, 0))&gt;0, -(14*INDEX('KZ-normalized'!$D:$D, MATCH($A18, 'KZ-normalized'!$A:$A, 0))-INDEX('KZ-normalized'!$E:$E, MATCH($A18, 'KZ-normalized'!$A:$A, 0))), 0), 0))+(IFERROR(IF(14*INDEX('UZ-normalized'!$D:$D, MATCH($A18, 'UZ-normalized'!$A:$A, 0))-INDEX('UZ-normalized'!$E:$E, MATCH($A18, 'UZ-normalized'!$A:$A, 0))&gt;0, -(14*INDEX('UZ-normalized'!$D:$D, MATCH($A18, 'UZ-normalized'!$A:$A, 0))-INDEX('UZ-normalized'!$E:$E, MATCH($A18, 'UZ-normalized'!$A:$A, 0))), 0), 0)))</f>
        <v>0</v>
      </c>
      <c r="AC18" s="6">
        <f>MIN(0, N18+(IFERROR(IF(15*INDEX('UA-normalized'!$D:$D, MATCH($A18, 'UA-normalized'!$A:$A, 0))-INDEX('UA-normalized'!$E:$E, MATCH($A18, 'UA-normalized'!$A:$A, 0))&gt;0, -(15*INDEX('UA-normalized'!$D:$D, MATCH($A18, 'UA-normalized'!$A:$A, 0))-INDEX('UA-normalized'!$E:$E, MATCH($A18, 'UA-normalized'!$A:$A, 0))), 0), 0))+(IFERROR(IF(15*INDEX('KZ-normalized'!$D:$D, MATCH($A18, 'KZ-normalized'!$A:$A, 0))-INDEX('KZ-normalized'!$E:$E, MATCH($A18, 'KZ-normalized'!$A:$A, 0))&gt;0, -(15*INDEX('KZ-normalized'!$D:$D, MATCH($A18, 'KZ-normalized'!$A:$A, 0))-INDEX('KZ-normalized'!$E:$E, MATCH($A18, 'KZ-normalized'!$A:$A, 0))), 0), 0))+(IFERROR(IF(15*INDEX('UZ-normalized'!$D:$D, MATCH($A18, 'UZ-normalized'!$A:$A, 0))-INDEX('UZ-normalized'!$E:$E, MATCH($A18, 'UZ-normalized'!$A:$A, 0))&gt;0, -(15*INDEX('UZ-normalized'!$D:$D, MATCH($A18, 'UZ-normalized'!$A:$A, 0))-INDEX('UZ-normalized'!$E:$E, MATCH($A18, 'UZ-normalized'!$A:$A, 0))), 0), 0)))</f>
        <v>0</v>
      </c>
      <c r="AD18" s="6">
        <f>MIN(0, N18+(IFERROR(IF(16*INDEX('UA-normalized'!$D:$D, MATCH($A18, 'UA-normalized'!$A:$A, 0))-INDEX('UA-normalized'!$E:$E, MATCH($A18, 'UA-normalized'!$A:$A, 0))&gt;0, -(16*INDEX('UA-normalized'!$D:$D, MATCH($A18, 'UA-normalized'!$A:$A, 0))-INDEX('UA-normalized'!$E:$E, MATCH($A18, 'UA-normalized'!$A:$A, 0))), 0), 0))+(IFERROR(IF(16*INDEX('KZ-normalized'!$D:$D, MATCH($A18, 'KZ-normalized'!$A:$A, 0))-INDEX('KZ-normalized'!$E:$E, MATCH($A18, 'KZ-normalized'!$A:$A, 0))&gt;0, -(16*INDEX('KZ-normalized'!$D:$D, MATCH($A18, 'KZ-normalized'!$A:$A, 0))-INDEX('KZ-normalized'!$E:$E, MATCH($A18, 'KZ-normalized'!$A:$A, 0))), 0), 0))+(IFERROR(IF(16*INDEX('UZ-normalized'!$D:$D, MATCH($A18, 'UZ-normalized'!$A:$A, 0))-INDEX('UZ-normalized'!$E:$E, MATCH($A18, 'UZ-normalized'!$A:$A, 0))&gt;0, -(16*INDEX('UZ-normalized'!$D:$D, MATCH($A18, 'UZ-normalized'!$A:$A, 0))-INDEX('UZ-normalized'!$E:$E, MATCH($A18, 'UZ-normalized'!$A:$A, 0))), 0), 0)))</f>
        <v>0</v>
      </c>
      <c r="AE18" s="6">
        <f>MIN(0, N18+(IFERROR(IF(17*INDEX('UA-normalized'!$D:$D, MATCH($A18, 'UA-normalized'!$A:$A, 0))-INDEX('UA-normalized'!$E:$E, MATCH($A18, 'UA-normalized'!$A:$A, 0))&gt;0, -(17*INDEX('UA-normalized'!$D:$D, MATCH($A18, 'UA-normalized'!$A:$A, 0))-INDEX('UA-normalized'!$E:$E, MATCH($A18, 'UA-normalized'!$A:$A, 0))), 0), 0))+(IFERROR(IF(17*INDEX('KZ-normalized'!$D:$D, MATCH($A18, 'KZ-normalized'!$A:$A, 0))-INDEX('KZ-normalized'!$E:$E, MATCH($A18, 'KZ-normalized'!$A:$A, 0))&gt;0, -(17*INDEX('KZ-normalized'!$D:$D, MATCH($A18, 'KZ-normalized'!$A:$A, 0))-INDEX('KZ-normalized'!$E:$E, MATCH($A18, 'KZ-normalized'!$A:$A, 0))), 0), 0))+(IFERROR(IF(17*INDEX('UZ-normalized'!$D:$D, MATCH($A18, 'UZ-normalized'!$A:$A, 0))-INDEX('UZ-normalized'!$E:$E, MATCH($A18, 'UZ-normalized'!$A:$A, 0))&gt;0, -(17*INDEX('UZ-normalized'!$D:$D, MATCH($A18, 'UZ-normalized'!$A:$A, 0))-INDEX('UZ-normalized'!$E:$E, MATCH($A18, 'UZ-normalized'!$A:$A, 0))), 0), 0)))</f>
        <v>0</v>
      </c>
      <c r="AF18" s="6">
        <f>MIN(0, N18+(IFERROR(IF(18*INDEX('UA-normalized'!$D:$D, MATCH($A18, 'UA-normalized'!$A:$A, 0))-INDEX('UA-normalized'!$E:$E, MATCH($A18, 'UA-normalized'!$A:$A, 0))&gt;0, -(18*INDEX('UA-normalized'!$D:$D, MATCH($A18, 'UA-normalized'!$A:$A, 0))-INDEX('UA-normalized'!$E:$E, MATCH($A18, 'UA-normalized'!$A:$A, 0))), 0), 0))+(IFERROR(IF(18*INDEX('KZ-normalized'!$D:$D, MATCH($A18, 'KZ-normalized'!$A:$A, 0))-INDEX('KZ-normalized'!$E:$E, MATCH($A18, 'KZ-normalized'!$A:$A, 0))&gt;0, -(18*INDEX('KZ-normalized'!$D:$D, MATCH($A18, 'KZ-normalized'!$A:$A, 0))-INDEX('KZ-normalized'!$E:$E, MATCH($A18, 'KZ-normalized'!$A:$A, 0))), 0), 0))+(IFERROR(IF(18*INDEX('UZ-normalized'!$D:$D, MATCH($A18, 'UZ-normalized'!$A:$A, 0))-INDEX('UZ-normalized'!$E:$E, MATCH($A18, 'UZ-normalized'!$A:$A, 0))&gt;0, -(18*INDEX('UZ-normalized'!$D:$D, MATCH($A18, 'UZ-normalized'!$A:$A, 0))-INDEX('UZ-normalized'!$E:$E, MATCH($A18, 'UZ-normalized'!$A:$A, 0))), 0), 0)))</f>
        <v>0</v>
      </c>
      <c r="AG18" s="6">
        <f>MIN(0, N18+(IFERROR(IF(19*INDEX('UA-normalized'!$D:$D, MATCH($A18, 'UA-normalized'!$A:$A, 0))-INDEX('UA-normalized'!$E:$E, MATCH($A18, 'UA-normalized'!$A:$A, 0))&gt;0, -(19*INDEX('UA-normalized'!$D:$D, MATCH($A18, 'UA-normalized'!$A:$A, 0))-INDEX('UA-normalized'!$E:$E, MATCH($A18, 'UA-normalized'!$A:$A, 0))), 0), 0))+(IFERROR(IF(19*INDEX('KZ-normalized'!$D:$D, MATCH($A18, 'KZ-normalized'!$A:$A, 0))-INDEX('KZ-normalized'!$E:$E, MATCH($A18, 'KZ-normalized'!$A:$A, 0))&gt;0, -(19*INDEX('KZ-normalized'!$D:$D, MATCH($A18, 'KZ-normalized'!$A:$A, 0))-INDEX('KZ-normalized'!$E:$E, MATCH($A18, 'KZ-normalized'!$A:$A, 0))), 0), 0))+(IFERROR(IF(19*INDEX('UZ-normalized'!$D:$D, MATCH($A18, 'UZ-normalized'!$A:$A, 0))-INDEX('UZ-normalized'!$E:$E, MATCH($A18, 'UZ-normalized'!$A:$A, 0))&gt;0, -(19*INDEX('UZ-normalized'!$D:$D, MATCH($A18, 'UZ-normalized'!$A:$A, 0))-INDEX('UZ-normalized'!$E:$E, MATCH($A18, 'UZ-normalized'!$A:$A, 0))), 0), 0)))</f>
        <v>0</v>
      </c>
      <c r="AH18" s="6">
        <f>MIN(0, N18+(IFERROR(IF(20*INDEX('UA-normalized'!$D:$D, MATCH($A18, 'UA-normalized'!$A:$A, 0))-INDEX('UA-normalized'!$E:$E, MATCH($A18, 'UA-normalized'!$A:$A, 0))&gt;0, -(20*INDEX('UA-normalized'!$D:$D, MATCH($A18, 'UA-normalized'!$A:$A, 0))-INDEX('UA-normalized'!$E:$E, MATCH($A18, 'UA-normalized'!$A:$A, 0))), 0), 0))+(IFERROR(IF(20*INDEX('KZ-normalized'!$D:$D, MATCH($A18, 'KZ-normalized'!$A:$A, 0))-INDEX('KZ-normalized'!$E:$E, MATCH($A18, 'KZ-normalized'!$A:$A, 0))&gt;0, -(20*INDEX('KZ-normalized'!$D:$D, MATCH($A18, 'KZ-normalized'!$A:$A, 0))-INDEX('KZ-normalized'!$E:$E, MATCH($A18, 'KZ-normalized'!$A:$A, 0))), 0), 0))+(IFERROR(IF(20*INDEX('UZ-normalized'!$D:$D, MATCH($A18, 'UZ-normalized'!$A:$A, 0))-INDEX('UZ-normalized'!$E:$E, MATCH($A18, 'UZ-normalized'!$A:$A, 0))&gt;0, -(20*INDEX('UZ-normalized'!$D:$D, MATCH($A18, 'UZ-normalized'!$A:$A, 0))-INDEX('UZ-normalized'!$E:$E, MATCH($A18, 'UZ-normalized'!$A:$A, 0))), 0), 0)))</f>
        <v>0</v>
      </c>
      <c r="AI18" s="6">
        <f>MIN(0, N18+(IFERROR(IF(21*INDEX('UA-normalized'!$D:$D, MATCH($A18, 'UA-normalized'!$A:$A, 0))-INDEX('UA-normalized'!$E:$E, MATCH($A18, 'UA-normalized'!$A:$A, 0))&gt;0, -(21*INDEX('UA-normalized'!$D:$D, MATCH($A18, 'UA-normalized'!$A:$A, 0))-INDEX('UA-normalized'!$E:$E, MATCH($A18, 'UA-normalized'!$A:$A, 0))), 0), 0))+(IFERROR(IF(21*INDEX('KZ-normalized'!$D:$D, MATCH($A18, 'KZ-normalized'!$A:$A, 0))-INDEX('KZ-normalized'!$E:$E, MATCH($A18, 'KZ-normalized'!$A:$A, 0))&gt;0, -(21*INDEX('KZ-normalized'!$D:$D, MATCH($A18, 'KZ-normalized'!$A:$A, 0))-INDEX('KZ-normalized'!$E:$E, MATCH($A18, 'KZ-normalized'!$A:$A, 0))), 0), 0))+(IFERROR(IF(21*INDEX('UZ-normalized'!$D:$D, MATCH($A18, 'UZ-normalized'!$A:$A, 0))-INDEX('UZ-normalized'!$E:$E, MATCH($A18, 'UZ-normalized'!$A:$A, 0))&gt;0, -(21*INDEX('UZ-normalized'!$D:$D, MATCH($A18, 'UZ-normalized'!$A:$A, 0))-INDEX('UZ-normalized'!$E:$E, MATCH($A18, 'UZ-normalized'!$A:$A, 0))), 0), 0)))</f>
        <v>0</v>
      </c>
      <c r="AJ18" s="6">
        <f>MIN(0, N18+(IFERROR(IF(22*INDEX('UA-normalized'!$D:$D, MATCH($A18, 'UA-normalized'!$A:$A, 0))-INDEX('UA-normalized'!$E:$E, MATCH($A18, 'UA-normalized'!$A:$A, 0))&gt;0, -(22*INDEX('UA-normalized'!$D:$D, MATCH($A18, 'UA-normalized'!$A:$A, 0))-INDEX('UA-normalized'!$E:$E, MATCH($A18, 'UA-normalized'!$A:$A, 0))), 0), 0))+(IFERROR(IF(22*INDEX('KZ-normalized'!$D:$D, MATCH($A18, 'KZ-normalized'!$A:$A, 0))-INDEX('KZ-normalized'!$E:$E, MATCH($A18, 'KZ-normalized'!$A:$A, 0))&gt;0, -(22*INDEX('KZ-normalized'!$D:$D, MATCH($A18, 'KZ-normalized'!$A:$A, 0))-INDEX('KZ-normalized'!$E:$E, MATCH($A18, 'KZ-normalized'!$A:$A, 0))), 0), 0))+(IFERROR(IF(22*INDEX('UZ-normalized'!$D:$D, MATCH($A18, 'UZ-normalized'!$A:$A, 0))-INDEX('UZ-normalized'!$E:$E, MATCH($A18, 'UZ-normalized'!$A:$A, 0))&gt;0, -(22*INDEX('UZ-normalized'!$D:$D, MATCH($A18, 'UZ-normalized'!$A:$A, 0))-INDEX('UZ-normalized'!$E:$E, MATCH($A18, 'UZ-normalized'!$A:$A, 0))), 0), 0)))</f>
        <v>0</v>
      </c>
      <c r="AK18" s="6">
        <f>MIN(0, N18+(IFERROR(IF(23*INDEX('UA-normalized'!$D:$D, MATCH($A18, 'UA-normalized'!$A:$A, 0))-INDEX('UA-normalized'!$E:$E, MATCH($A18, 'UA-normalized'!$A:$A, 0))&gt;0, -(23*INDEX('UA-normalized'!$D:$D, MATCH($A18, 'UA-normalized'!$A:$A, 0))-INDEX('UA-normalized'!$E:$E, MATCH($A18, 'UA-normalized'!$A:$A, 0))), 0), 0))+(IFERROR(IF(23*INDEX('KZ-normalized'!$D:$D, MATCH($A18, 'KZ-normalized'!$A:$A, 0))-INDEX('KZ-normalized'!$E:$E, MATCH($A18, 'KZ-normalized'!$A:$A, 0))&gt;0, -(23*INDEX('KZ-normalized'!$D:$D, MATCH($A18, 'KZ-normalized'!$A:$A, 0))-INDEX('KZ-normalized'!$E:$E, MATCH($A18, 'KZ-normalized'!$A:$A, 0))), 0), 0))+(IFERROR(IF(23*INDEX('UZ-normalized'!$D:$D, MATCH($A18, 'UZ-normalized'!$A:$A, 0))-INDEX('UZ-normalized'!$E:$E, MATCH($A18, 'UZ-normalized'!$A:$A, 0))&gt;0, -(23*INDEX('UZ-normalized'!$D:$D, MATCH($A18, 'UZ-normalized'!$A:$A, 0))-INDEX('UZ-normalized'!$E:$E, MATCH($A18, 'UZ-normalized'!$A:$A, 0))), 0), 0)))</f>
        <v>0</v>
      </c>
      <c r="AL18" s="6">
        <f>MIN(0, N18+(IFERROR(IF(24*INDEX('UA-normalized'!$D:$D, MATCH($A18, 'UA-normalized'!$A:$A, 0))-INDEX('UA-normalized'!$E:$E, MATCH($A18, 'UA-normalized'!$A:$A, 0))&gt;0, -(24*INDEX('UA-normalized'!$D:$D, MATCH($A18, 'UA-normalized'!$A:$A, 0))-INDEX('UA-normalized'!$E:$E, MATCH($A18, 'UA-normalized'!$A:$A, 0))), 0), 0))+(IFERROR(IF(24*INDEX('KZ-normalized'!$D:$D, MATCH($A18, 'KZ-normalized'!$A:$A, 0))-INDEX('KZ-normalized'!$E:$E, MATCH($A18, 'KZ-normalized'!$A:$A, 0))&gt;0, -(24*INDEX('KZ-normalized'!$D:$D, MATCH($A18, 'KZ-normalized'!$A:$A, 0))-INDEX('KZ-normalized'!$E:$E, MATCH($A18, 'KZ-normalized'!$A:$A, 0))), 0), 0))+(IFERROR(IF(24*INDEX('UZ-normalized'!$D:$D, MATCH($A18, 'UZ-normalized'!$A:$A, 0))-INDEX('UZ-normalized'!$E:$E, MATCH($A18, 'UZ-normalized'!$A:$A, 0))&gt;0, -(24*INDEX('UZ-normalized'!$D:$D, MATCH($A18, 'UZ-normalized'!$A:$A, 0))-INDEX('UZ-normalized'!$E:$E, MATCH($A18, 'UZ-normalized'!$A:$A, 0))), 0), 0)))</f>
        <v>0</v>
      </c>
      <c r="AM18" s="6">
        <f>MIN(0, N18+(IFERROR(IF(25*INDEX('UA-normalized'!$D:$D, MATCH($A18, 'UA-normalized'!$A:$A, 0))-INDEX('UA-normalized'!$E:$E, MATCH($A18, 'UA-normalized'!$A:$A, 0))&gt;0, -(25*INDEX('UA-normalized'!$D:$D, MATCH($A18, 'UA-normalized'!$A:$A, 0))-INDEX('UA-normalized'!$E:$E, MATCH($A18, 'UA-normalized'!$A:$A, 0))), 0), 0))+(IFERROR(IF(25*INDEX('KZ-normalized'!$D:$D, MATCH($A18, 'KZ-normalized'!$A:$A, 0))-INDEX('KZ-normalized'!$E:$E, MATCH($A18, 'KZ-normalized'!$A:$A, 0))&gt;0, -(25*INDEX('KZ-normalized'!$D:$D, MATCH($A18, 'KZ-normalized'!$A:$A, 0))-INDEX('KZ-normalized'!$E:$E, MATCH($A18, 'KZ-normalized'!$A:$A, 0))), 0), 0))+(IFERROR(IF(25*INDEX('UZ-normalized'!$D:$D, MATCH($A18, 'UZ-normalized'!$A:$A, 0))-INDEX('UZ-normalized'!$E:$E, MATCH($A18, 'UZ-normalized'!$A:$A, 0))&gt;0, -(25*INDEX('UZ-normalized'!$D:$D, MATCH($A18, 'UZ-normalized'!$A:$A, 0))-INDEX('UZ-normalized'!$E:$E, MATCH($A18, 'UZ-normalized'!$A:$A, 0))), 0), 0)))</f>
        <v>0</v>
      </c>
      <c r="AN18" s="6">
        <f>MIN(0, N18+(IFERROR(IF(26*INDEX('UA-normalized'!$D:$D, MATCH($A18, 'UA-normalized'!$A:$A, 0))-INDEX('UA-normalized'!$E:$E, MATCH($A18, 'UA-normalized'!$A:$A, 0))&gt;0, -(26*INDEX('UA-normalized'!$D:$D, MATCH($A18, 'UA-normalized'!$A:$A, 0))-INDEX('UA-normalized'!$E:$E, MATCH($A18, 'UA-normalized'!$A:$A, 0))), 0), 0))+(IFERROR(IF(26*INDEX('KZ-normalized'!$D:$D, MATCH($A18, 'KZ-normalized'!$A:$A, 0))-INDEX('KZ-normalized'!$E:$E, MATCH($A18, 'KZ-normalized'!$A:$A, 0))&gt;0, -(26*INDEX('KZ-normalized'!$D:$D, MATCH($A18, 'KZ-normalized'!$A:$A, 0))-INDEX('KZ-normalized'!$E:$E, MATCH($A18, 'KZ-normalized'!$A:$A, 0))), 0), 0))+(IFERROR(IF(26*INDEX('UZ-normalized'!$D:$D, MATCH($A18, 'UZ-normalized'!$A:$A, 0))-INDEX('UZ-normalized'!$E:$E, MATCH($A18, 'UZ-normalized'!$A:$A, 0))&gt;0, -(26*INDEX('UZ-normalized'!$D:$D, MATCH($A18, 'UZ-normalized'!$A:$A, 0))-INDEX('UZ-normalized'!$E:$E, MATCH($A18, 'UZ-normalized'!$A:$A, 0))), 0), 0)))</f>
        <v>0</v>
      </c>
      <c r="AO18" s="6">
        <f>MIN(0, N18+(IFERROR(IF(27*INDEX('UA-normalized'!$D:$D, MATCH($A18, 'UA-normalized'!$A:$A, 0))-INDEX('UA-normalized'!$E:$E, MATCH($A18, 'UA-normalized'!$A:$A, 0))&gt;0, -(27*INDEX('UA-normalized'!$D:$D, MATCH($A18, 'UA-normalized'!$A:$A, 0))-INDEX('UA-normalized'!$E:$E, MATCH($A18, 'UA-normalized'!$A:$A, 0))), 0), 0))+(IFERROR(IF(27*INDEX('KZ-normalized'!$D:$D, MATCH($A18, 'KZ-normalized'!$A:$A, 0))-INDEX('KZ-normalized'!$E:$E, MATCH($A18, 'KZ-normalized'!$A:$A, 0))&gt;0, -(27*INDEX('KZ-normalized'!$D:$D, MATCH($A18, 'KZ-normalized'!$A:$A, 0))-INDEX('KZ-normalized'!$E:$E, MATCH($A18, 'KZ-normalized'!$A:$A, 0))), 0), 0))+(IFERROR(IF(27*INDEX('UZ-normalized'!$D:$D, MATCH($A18, 'UZ-normalized'!$A:$A, 0))-INDEX('UZ-normalized'!$E:$E, MATCH($A18, 'UZ-normalized'!$A:$A, 0))&gt;0, -(27*INDEX('UZ-normalized'!$D:$D, MATCH($A18, 'UZ-normalized'!$A:$A, 0))-INDEX('UZ-normalized'!$E:$E, MATCH($A18, 'UZ-normalized'!$A:$A, 0))), 0), 0)))</f>
        <v>0</v>
      </c>
      <c r="AP18" s="6">
        <f>MIN(0, N18+(IFERROR(IF(28*INDEX('UA-normalized'!$D:$D, MATCH($A18, 'UA-normalized'!$A:$A, 0))-INDEX('UA-normalized'!$E:$E, MATCH($A18, 'UA-normalized'!$A:$A, 0))&gt;0, -(28*INDEX('UA-normalized'!$D:$D, MATCH($A18, 'UA-normalized'!$A:$A, 0))-INDEX('UA-normalized'!$E:$E, MATCH($A18, 'UA-normalized'!$A:$A, 0))), 0), 0))+(IFERROR(IF(28*INDEX('KZ-normalized'!$D:$D, MATCH($A18, 'KZ-normalized'!$A:$A, 0))-INDEX('KZ-normalized'!$E:$E, MATCH($A18, 'KZ-normalized'!$A:$A, 0))&gt;0, -(28*INDEX('KZ-normalized'!$D:$D, MATCH($A18, 'KZ-normalized'!$A:$A, 0))-INDEX('KZ-normalized'!$E:$E, MATCH($A18, 'KZ-normalized'!$A:$A, 0))), 0), 0))+(IFERROR(IF(28*INDEX('UZ-normalized'!$D:$D, MATCH($A18, 'UZ-normalized'!$A:$A, 0))-INDEX('UZ-normalized'!$E:$E, MATCH($A18, 'UZ-normalized'!$A:$A, 0))&gt;0, -(28*INDEX('UZ-normalized'!$D:$D, MATCH($A18, 'UZ-normalized'!$A:$A, 0))-INDEX('UZ-normalized'!$E:$E, MATCH($A18, 'UZ-normalized'!$A:$A, 0))), 0), 0)))</f>
        <v>0</v>
      </c>
      <c r="AQ18" s="6">
        <f>MIN(0, N18+(IFERROR(IF(29*INDEX('UA-normalized'!$D:$D, MATCH($A18, 'UA-normalized'!$A:$A, 0))-INDEX('UA-normalized'!$E:$E, MATCH($A18, 'UA-normalized'!$A:$A, 0))&gt;0, -(29*INDEX('UA-normalized'!$D:$D, MATCH($A18, 'UA-normalized'!$A:$A, 0))-INDEX('UA-normalized'!$E:$E, MATCH($A18, 'UA-normalized'!$A:$A, 0))), 0), 0))+(IFERROR(IF(29*INDEX('KZ-normalized'!$D:$D, MATCH($A18, 'KZ-normalized'!$A:$A, 0))-INDEX('KZ-normalized'!$E:$E, MATCH($A18, 'KZ-normalized'!$A:$A, 0))&gt;0, -(29*INDEX('KZ-normalized'!$D:$D, MATCH($A18, 'KZ-normalized'!$A:$A, 0))-INDEX('KZ-normalized'!$E:$E, MATCH($A18, 'KZ-normalized'!$A:$A, 0))), 0), 0))+(IFERROR(IF(29*INDEX('UZ-normalized'!$D:$D, MATCH($A18, 'UZ-normalized'!$A:$A, 0))-INDEX('UZ-normalized'!$E:$E, MATCH($A18, 'UZ-normalized'!$A:$A, 0))&gt;0, -(29*INDEX('UZ-normalized'!$D:$D, MATCH($A18, 'UZ-normalized'!$A:$A, 0))-INDEX('UZ-normalized'!$E:$E, MATCH($A18, 'UZ-normalized'!$A:$A, 0))), 0), 0)))</f>
        <v>0</v>
      </c>
      <c r="AR18" s="6">
        <f>MIN(0, N18+(IFERROR(IF(30*INDEX('UA-normalized'!$D:$D, MATCH($A18, 'UA-normalized'!$A:$A, 0))-INDEX('UA-normalized'!$E:$E, MATCH($A18, 'UA-normalized'!$A:$A, 0))&gt;0, -(30*INDEX('UA-normalized'!$D:$D, MATCH($A18, 'UA-normalized'!$A:$A, 0))-INDEX('UA-normalized'!$E:$E, MATCH($A18, 'UA-normalized'!$A:$A, 0))), 0), 0))+(IFERROR(IF(30*INDEX('KZ-normalized'!$D:$D, MATCH($A18, 'KZ-normalized'!$A:$A, 0))-INDEX('KZ-normalized'!$E:$E, MATCH($A18, 'KZ-normalized'!$A:$A, 0))&gt;0, -(30*INDEX('KZ-normalized'!$D:$D, MATCH($A18, 'KZ-normalized'!$A:$A, 0))-INDEX('KZ-normalized'!$E:$E, MATCH($A18, 'KZ-normalized'!$A:$A, 0))), 0), 0))+(IFERROR(IF(30*INDEX('UZ-normalized'!$D:$D, MATCH($A18, 'UZ-normalized'!$A:$A, 0))-INDEX('UZ-normalized'!$E:$E, MATCH($A18, 'UZ-normalized'!$A:$A, 0))&gt;0, -(30*INDEX('UZ-normalized'!$D:$D, MATCH($A18, 'UZ-normalized'!$A:$A, 0))-INDEX('UZ-normalized'!$E:$E, MATCH($A18, 'UZ-normalized'!$A:$A, 0))), 0), 0)))</f>
        <v>0</v>
      </c>
    </row>
    <row r="19" spans="1:44" x14ac:dyDescent="0.25">
      <c r="A19" s="8" t="s">
        <v>86</v>
      </c>
      <c r="B19" s="8" t="s">
        <v>83</v>
      </c>
      <c r="C19" s="8" t="s">
        <v>84</v>
      </c>
      <c r="D19" s="8" t="s">
        <v>87</v>
      </c>
      <c r="E19">
        <v>3333.333333333333</v>
      </c>
      <c r="N19">
        <f t="shared" si="0"/>
        <v>3333.333333333333</v>
      </c>
      <c r="O19" s="6">
        <f>MIN(0, N19+(IFERROR(IF(1*INDEX('UA-normalized'!$D:$D, MATCH($A19, 'UA-normalized'!$A:$A, 0))-INDEX('UA-normalized'!$E:$E, MATCH($A19, 'UA-normalized'!$A:$A, 0))&gt;0, -(1*INDEX('UA-normalized'!$D:$D, MATCH($A19, 'UA-normalized'!$A:$A, 0))-INDEX('UA-normalized'!$E:$E, MATCH($A19, 'UA-normalized'!$A:$A, 0))), 0), 0))+(IFERROR(IF(1*INDEX('KZ-normalized'!$D:$D, MATCH($A19, 'KZ-normalized'!$A:$A, 0))-INDEX('KZ-normalized'!$E:$E, MATCH($A19, 'KZ-normalized'!$A:$A, 0))&gt;0, -(1*INDEX('KZ-normalized'!$D:$D, MATCH($A19, 'KZ-normalized'!$A:$A, 0))-INDEX('KZ-normalized'!$E:$E, MATCH($A19, 'KZ-normalized'!$A:$A, 0))), 0), 0))+(IFERROR(IF(1*INDEX('UZ-normalized'!$D:$D, MATCH($A19, 'UZ-normalized'!$A:$A, 0))-INDEX('UZ-normalized'!$E:$E, MATCH($A19, 'UZ-normalized'!$A:$A, 0))&gt;0, -(1*INDEX('UZ-normalized'!$D:$D, MATCH($A19, 'UZ-normalized'!$A:$A, 0))-INDEX('UZ-normalized'!$E:$E, MATCH($A19, 'UZ-normalized'!$A:$A, 0))), 0), 0)))</f>
        <v>0</v>
      </c>
      <c r="P19" s="6">
        <f>MIN(0, N19+(IFERROR(IF(2*INDEX('UA-normalized'!$D:$D, MATCH($A19, 'UA-normalized'!$A:$A, 0))-INDEX('UA-normalized'!$E:$E, MATCH($A19, 'UA-normalized'!$A:$A, 0))&gt;0, -(2*INDEX('UA-normalized'!$D:$D, MATCH($A19, 'UA-normalized'!$A:$A, 0))-INDEX('UA-normalized'!$E:$E, MATCH($A19, 'UA-normalized'!$A:$A, 0))), 0), 0))+(IFERROR(IF(2*INDEX('KZ-normalized'!$D:$D, MATCH($A19, 'KZ-normalized'!$A:$A, 0))-INDEX('KZ-normalized'!$E:$E, MATCH($A19, 'KZ-normalized'!$A:$A, 0))&gt;0, -(2*INDEX('KZ-normalized'!$D:$D, MATCH($A19, 'KZ-normalized'!$A:$A, 0))-INDEX('KZ-normalized'!$E:$E, MATCH($A19, 'KZ-normalized'!$A:$A, 0))), 0), 0))+(IFERROR(IF(2*INDEX('UZ-normalized'!$D:$D, MATCH($A19, 'UZ-normalized'!$A:$A, 0))-INDEX('UZ-normalized'!$E:$E, MATCH($A19, 'UZ-normalized'!$A:$A, 0))&gt;0, -(2*INDEX('UZ-normalized'!$D:$D, MATCH($A19, 'UZ-normalized'!$A:$A, 0))-INDEX('UZ-normalized'!$E:$E, MATCH($A19, 'UZ-normalized'!$A:$A, 0))), 0), 0)))</f>
        <v>0</v>
      </c>
      <c r="Q19" s="6">
        <f>MIN(0, N19+(IFERROR(IF(3*INDEX('UA-normalized'!$D:$D, MATCH($A19, 'UA-normalized'!$A:$A, 0))-INDEX('UA-normalized'!$E:$E, MATCH($A19, 'UA-normalized'!$A:$A, 0))&gt;0, -(3*INDEX('UA-normalized'!$D:$D, MATCH($A19, 'UA-normalized'!$A:$A, 0))-INDEX('UA-normalized'!$E:$E, MATCH($A19, 'UA-normalized'!$A:$A, 0))), 0), 0))+(IFERROR(IF(3*INDEX('KZ-normalized'!$D:$D, MATCH($A19, 'KZ-normalized'!$A:$A, 0))-INDEX('KZ-normalized'!$E:$E, MATCH($A19, 'KZ-normalized'!$A:$A, 0))&gt;0, -(3*INDEX('KZ-normalized'!$D:$D, MATCH($A19, 'KZ-normalized'!$A:$A, 0))-INDEX('KZ-normalized'!$E:$E, MATCH($A19, 'KZ-normalized'!$A:$A, 0))), 0), 0))+(IFERROR(IF(3*INDEX('UZ-normalized'!$D:$D, MATCH($A19, 'UZ-normalized'!$A:$A, 0))-INDEX('UZ-normalized'!$E:$E, MATCH($A19, 'UZ-normalized'!$A:$A, 0))&gt;0, -(3*INDEX('UZ-normalized'!$D:$D, MATCH($A19, 'UZ-normalized'!$A:$A, 0))-INDEX('UZ-normalized'!$E:$E, MATCH($A19, 'UZ-normalized'!$A:$A, 0))), 0), 0)))</f>
        <v>0</v>
      </c>
      <c r="R19" s="6">
        <f>MIN(0, N19+(IFERROR(IF(4*INDEX('UA-normalized'!$D:$D, MATCH($A19, 'UA-normalized'!$A:$A, 0))-INDEX('UA-normalized'!$E:$E, MATCH($A19, 'UA-normalized'!$A:$A, 0))&gt;0, -(4*INDEX('UA-normalized'!$D:$D, MATCH($A19, 'UA-normalized'!$A:$A, 0))-INDEX('UA-normalized'!$E:$E, MATCH($A19, 'UA-normalized'!$A:$A, 0))), 0), 0))+(IFERROR(IF(4*INDEX('KZ-normalized'!$D:$D, MATCH($A19, 'KZ-normalized'!$A:$A, 0))-INDEX('KZ-normalized'!$E:$E, MATCH($A19, 'KZ-normalized'!$A:$A, 0))&gt;0, -(4*INDEX('KZ-normalized'!$D:$D, MATCH($A19, 'KZ-normalized'!$A:$A, 0))-INDEX('KZ-normalized'!$E:$E, MATCH($A19, 'KZ-normalized'!$A:$A, 0))), 0), 0))+(IFERROR(IF(4*INDEX('UZ-normalized'!$D:$D, MATCH($A19, 'UZ-normalized'!$A:$A, 0))-INDEX('UZ-normalized'!$E:$E, MATCH($A19, 'UZ-normalized'!$A:$A, 0))&gt;0, -(4*INDEX('UZ-normalized'!$D:$D, MATCH($A19, 'UZ-normalized'!$A:$A, 0))-INDEX('UZ-normalized'!$E:$E, MATCH($A19, 'UZ-normalized'!$A:$A, 0))), 0), 0)))</f>
        <v>0</v>
      </c>
      <c r="S19" s="6">
        <f>MIN(0, N19+(IFERROR(IF(5*INDEX('UA-normalized'!$D:$D, MATCH($A19, 'UA-normalized'!$A:$A, 0))-INDEX('UA-normalized'!$E:$E, MATCH($A19, 'UA-normalized'!$A:$A, 0))&gt;0, -(5*INDEX('UA-normalized'!$D:$D, MATCH($A19, 'UA-normalized'!$A:$A, 0))-INDEX('UA-normalized'!$E:$E, MATCH($A19, 'UA-normalized'!$A:$A, 0))), 0), 0))+(IFERROR(IF(5*INDEX('KZ-normalized'!$D:$D, MATCH($A19, 'KZ-normalized'!$A:$A, 0))-INDEX('KZ-normalized'!$E:$E, MATCH($A19, 'KZ-normalized'!$A:$A, 0))&gt;0, -(5*INDEX('KZ-normalized'!$D:$D, MATCH($A19, 'KZ-normalized'!$A:$A, 0))-INDEX('KZ-normalized'!$E:$E, MATCH($A19, 'KZ-normalized'!$A:$A, 0))), 0), 0))+(IFERROR(IF(5*INDEX('UZ-normalized'!$D:$D, MATCH($A19, 'UZ-normalized'!$A:$A, 0))-INDEX('UZ-normalized'!$E:$E, MATCH($A19, 'UZ-normalized'!$A:$A, 0))&gt;0, -(5*INDEX('UZ-normalized'!$D:$D, MATCH($A19, 'UZ-normalized'!$A:$A, 0))-INDEX('UZ-normalized'!$E:$E, MATCH($A19, 'UZ-normalized'!$A:$A, 0))), 0), 0)))</f>
        <v>0</v>
      </c>
      <c r="T19" s="6">
        <f>MIN(0, N19+(IFERROR(IF(6*INDEX('UA-normalized'!$D:$D, MATCH($A19, 'UA-normalized'!$A:$A, 0))-INDEX('UA-normalized'!$E:$E, MATCH($A19, 'UA-normalized'!$A:$A, 0))&gt;0, -(6*INDEX('UA-normalized'!$D:$D, MATCH($A19, 'UA-normalized'!$A:$A, 0))-INDEX('UA-normalized'!$E:$E, MATCH($A19, 'UA-normalized'!$A:$A, 0))), 0), 0))+(IFERROR(IF(6*INDEX('KZ-normalized'!$D:$D, MATCH($A19, 'KZ-normalized'!$A:$A, 0))-INDEX('KZ-normalized'!$E:$E, MATCH($A19, 'KZ-normalized'!$A:$A, 0))&gt;0, -(6*INDEX('KZ-normalized'!$D:$D, MATCH($A19, 'KZ-normalized'!$A:$A, 0))-INDEX('KZ-normalized'!$E:$E, MATCH($A19, 'KZ-normalized'!$A:$A, 0))), 0), 0))+(IFERROR(IF(6*INDEX('UZ-normalized'!$D:$D, MATCH($A19, 'UZ-normalized'!$A:$A, 0))-INDEX('UZ-normalized'!$E:$E, MATCH($A19, 'UZ-normalized'!$A:$A, 0))&gt;0, -(6*INDEX('UZ-normalized'!$D:$D, MATCH($A19, 'UZ-normalized'!$A:$A, 0))-INDEX('UZ-normalized'!$E:$E, MATCH($A19, 'UZ-normalized'!$A:$A, 0))), 0), 0)))</f>
        <v>0</v>
      </c>
      <c r="U19" s="6">
        <f>MIN(0, N19+(IFERROR(IF(7*INDEX('UA-normalized'!$D:$D, MATCH($A19, 'UA-normalized'!$A:$A, 0))-INDEX('UA-normalized'!$E:$E, MATCH($A19, 'UA-normalized'!$A:$A, 0))&gt;0, -(7*INDEX('UA-normalized'!$D:$D, MATCH($A19, 'UA-normalized'!$A:$A, 0))-INDEX('UA-normalized'!$E:$E, MATCH($A19, 'UA-normalized'!$A:$A, 0))), 0), 0))+(IFERROR(IF(7*INDEX('KZ-normalized'!$D:$D, MATCH($A19, 'KZ-normalized'!$A:$A, 0))-INDEX('KZ-normalized'!$E:$E, MATCH($A19, 'KZ-normalized'!$A:$A, 0))&gt;0, -(7*INDEX('KZ-normalized'!$D:$D, MATCH($A19, 'KZ-normalized'!$A:$A, 0))-INDEX('KZ-normalized'!$E:$E, MATCH($A19, 'KZ-normalized'!$A:$A, 0))), 0), 0))+(IFERROR(IF(7*INDEX('UZ-normalized'!$D:$D, MATCH($A19, 'UZ-normalized'!$A:$A, 0))-INDEX('UZ-normalized'!$E:$E, MATCH($A19, 'UZ-normalized'!$A:$A, 0))&gt;0, -(7*INDEX('UZ-normalized'!$D:$D, MATCH($A19, 'UZ-normalized'!$A:$A, 0))-INDEX('UZ-normalized'!$E:$E, MATCH($A19, 'UZ-normalized'!$A:$A, 0))), 0), 0)))</f>
        <v>0</v>
      </c>
      <c r="V19" s="6">
        <f>MIN(0, N19+(IFERROR(IF(8*INDEX('UA-normalized'!$D:$D, MATCH($A19, 'UA-normalized'!$A:$A, 0))-INDEX('UA-normalized'!$E:$E, MATCH($A19, 'UA-normalized'!$A:$A, 0))&gt;0, -(8*INDEX('UA-normalized'!$D:$D, MATCH($A19, 'UA-normalized'!$A:$A, 0))-INDEX('UA-normalized'!$E:$E, MATCH($A19, 'UA-normalized'!$A:$A, 0))), 0), 0))+(IFERROR(IF(8*INDEX('KZ-normalized'!$D:$D, MATCH($A19, 'KZ-normalized'!$A:$A, 0))-INDEX('KZ-normalized'!$E:$E, MATCH($A19, 'KZ-normalized'!$A:$A, 0))&gt;0, -(8*INDEX('KZ-normalized'!$D:$D, MATCH($A19, 'KZ-normalized'!$A:$A, 0))-INDEX('KZ-normalized'!$E:$E, MATCH($A19, 'KZ-normalized'!$A:$A, 0))), 0), 0))+(IFERROR(IF(8*INDEX('UZ-normalized'!$D:$D, MATCH($A19, 'UZ-normalized'!$A:$A, 0))-INDEX('UZ-normalized'!$E:$E, MATCH($A19, 'UZ-normalized'!$A:$A, 0))&gt;0, -(8*INDEX('UZ-normalized'!$D:$D, MATCH($A19, 'UZ-normalized'!$A:$A, 0))-INDEX('UZ-normalized'!$E:$E, MATCH($A19, 'UZ-normalized'!$A:$A, 0))), 0), 0)))</f>
        <v>0</v>
      </c>
      <c r="W19" s="6">
        <f>MIN(0, N19+(IFERROR(IF(9*INDEX('UA-normalized'!$D:$D, MATCH($A19, 'UA-normalized'!$A:$A, 0))-INDEX('UA-normalized'!$E:$E, MATCH($A19, 'UA-normalized'!$A:$A, 0))&gt;0, -(9*INDEX('UA-normalized'!$D:$D, MATCH($A19, 'UA-normalized'!$A:$A, 0))-INDEX('UA-normalized'!$E:$E, MATCH($A19, 'UA-normalized'!$A:$A, 0))), 0), 0))+(IFERROR(IF(9*INDEX('KZ-normalized'!$D:$D, MATCH($A19, 'KZ-normalized'!$A:$A, 0))-INDEX('KZ-normalized'!$E:$E, MATCH($A19, 'KZ-normalized'!$A:$A, 0))&gt;0, -(9*INDEX('KZ-normalized'!$D:$D, MATCH($A19, 'KZ-normalized'!$A:$A, 0))-INDEX('KZ-normalized'!$E:$E, MATCH($A19, 'KZ-normalized'!$A:$A, 0))), 0), 0))+(IFERROR(IF(9*INDEX('UZ-normalized'!$D:$D, MATCH($A19, 'UZ-normalized'!$A:$A, 0))-INDEX('UZ-normalized'!$E:$E, MATCH($A19, 'UZ-normalized'!$A:$A, 0))&gt;0, -(9*INDEX('UZ-normalized'!$D:$D, MATCH($A19, 'UZ-normalized'!$A:$A, 0))-INDEX('UZ-normalized'!$E:$E, MATCH($A19, 'UZ-normalized'!$A:$A, 0))), 0), 0)))</f>
        <v>0</v>
      </c>
      <c r="X19" s="6">
        <f>MIN(0, N19+(IFERROR(IF(10*INDEX('UA-normalized'!$D:$D, MATCH($A19, 'UA-normalized'!$A:$A, 0))-INDEX('UA-normalized'!$E:$E, MATCH($A19, 'UA-normalized'!$A:$A, 0))&gt;0, -(10*INDEX('UA-normalized'!$D:$D, MATCH($A19, 'UA-normalized'!$A:$A, 0))-INDEX('UA-normalized'!$E:$E, MATCH($A19, 'UA-normalized'!$A:$A, 0))), 0), 0))+(IFERROR(IF(10*INDEX('KZ-normalized'!$D:$D, MATCH($A19, 'KZ-normalized'!$A:$A, 0))-INDEX('KZ-normalized'!$E:$E, MATCH($A19, 'KZ-normalized'!$A:$A, 0))&gt;0, -(10*INDEX('KZ-normalized'!$D:$D, MATCH($A19, 'KZ-normalized'!$A:$A, 0))-INDEX('KZ-normalized'!$E:$E, MATCH($A19, 'KZ-normalized'!$A:$A, 0))), 0), 0))+(IFERROR(IF(10*INDEX('UZ-normalized'!$D:$D, MATCH($A19, 'UZ-normalized'!$A:$A, 0))-INDEX('UZ-normalized'!$E:$E, MATCH($A19, 'UZ-normalized'!$A:$A, 0))&gt;0, -(10*INDEX('UZ-normalized'!$D:$D, MATCH($A19, 'UZ-normalized'!$A:$A, 0))-INDEX('UZ-normalized'!$E:$E, MATCH($A19, 'UZ-normalized'!$A:$A, 0))), 0), 0)))</f>
        <v>0</v>
      </c>
      <c r="Y19" s="6">
        <f>MIN(0, N19+(IFERROR(IF(11*INDEX('UA-normalized'!$D:$D, MATCH($A19, 'UA-normalized'!$A:$A, 0))-INDEX('UA-normalized'!$E:$E, MATCH($A19, 'UA-normalized'!$A:$A, 0))&gt;0, -(11*INDEX('UA-normalized'!$D:$D, MATCH($A19, 'UA-normalized'!$A:$A, 0))-INDEX('UA-normalized'!$E:$E, MATCH($A19, 'UA-normalized'!$A:$A, 0))), 0), 0))+(IFERROR(IF(11*INDEX('KZ-normalized'!$D:$D, MATCH($A19, 'KZ-normalized'!$A:$A, 0))-INDEX('KZ-normalized'!$E:$E, MATCH($A19, 'KZ-normalized'!$A:$A, 0))&gt;0, -(11*INDEX('KZ-normalized'!$D:$D, MATCH($A19, 'KZ-normalized'!$A:$A, 0))-INDEX('KZ-normalized'!$E:$E, MATCH($A19, 'KZ-normalized'!$A:$A, 0))), 0), 0))+(IFERROR(IF(11*INDEX('UZ-normalized'!$D:$D, MATCH($A19, 'UZ-normalized'!$A:$A, 0))-INDEX('UZ-normalized'!$E:$E, MATCH($A19, 'UZ-normalized'!$A:$A, 0))&gt;0, -(11*INDEX('UZ-normalized'!$D:$D, MATCH($A19, 'UZ-normalized'!$A:$A, 0))-INDEX('UZ-normalized'!$E:$E, MATCH($A19, 'UZ-normalized'!$A:$A, 0))), 0), 0)))</f>
        <v>0</v>
      </c>
      <c r="Z19" s="6">
        <f>MIN(0, N19+(IFERROR(IF(12*INDEX('UA-normalized'!$D:$D, MATCH($A19, 'UA-normalized'!$A:$A, 0))-INDEX('UA-normalized'!$E:$E, MATCH($A19, 'UA-normalized'!$A:$A, 0))&gt;0, -(12*INDEX('UA-normalized'!$D:$D, MATCH($A19, 'UA-normalized'!$A:$A, 0))-INDEX('UA-normalized'!$E:$E, MATCH($A19, 'UA-normalized'!$A:$A, 0))), 0), 0))+(IFERROR(IF(12*INDEX('KZ-normalized'!$D:$D, MATCH($A19, 'KZ-normalized'!$A:$A, 0))-INDEX('KZ-normalized'!$E:$E, MATCH($A19, 'KZ-normalized'!$A:$A, 0))&gt;0, -(12*INDEX('KZ-normalized'!$D:$D, MATCH($A19, 'KZ-normalized'!$A:$A, 0))-INDEX('KZ-normalized'!$E:$E, MATCH($A19, 'KZ-normalized'!$A:$A, 0))), 0), 0))+(IFERROR(IF(12*INDEX('UZ-normalized'!$D:$D, MATCH($A19, 'UZ-normalized'!$A:$A, 0))-INDEX('UZ-normalized'!$E:$E, MATCH($A19, 'UZ-normalized'!$A:$A, 0))&gt;0, -(12*INDEX('UZ-normalized'!$D:$D, MATCH($A19, 'UZ-normalized'!$A:$A, 0))-INDEX('UZ-normalized'!$E:$E, MATCH($A19, 'UZ-normalized'!$A:$A, 0))), 0), 0)))</f>
        <v>0</v>
      </c>
      <c r="AA19" s="6">
        <f>MIN(0, N19+(IFERROR(IF(13*INDEX('UA-normalized'!$D:$D, MATCH($A19, 'UA-normalized'!$A:$A, 0))-INDEX('UA-normalized'!$E:$E, MATCH($A19, 'UA-normalized'!$A:$A, 0))&gt;0, -(13*INDEX('UA-normalized'!$D:$D, MATCH($A19, 'UA-normalized'!$A:$A, 0))-INDEX('UA-normalized'!$E:$E, MATCH($A19, 'UA-normalized'!$A:$A, 0))), 0), 0))+(IFERROR(IF(13*INDEX('KZ-normalized'!$D:$D, MATCH($A19, 'KZ-normalized'!$A:$A, 0))-INDEX('KZ-normalized'!$E:$E, MATCH($A19, 'KZ-normalized'!$A:$A, 0))&gt;0, -(13*INDEX('KZ-normalized'!$D:$D, MATCH($A19, 'KZ-normalized'!$A:$A, 0))-INDEX('KZ-normalized'!$E:$E, MATCH($A19, 'KZ-normalized'!$A:$A, 0))), 0), 0))+(IFERROR(IF(13*INDEX('UZ-normalized'!$D:$D, MATCH($A19, 'UZ-normalized'!$A:$A, 0))-INDEX('UZ-normalized'!$E:$E, MATCH($A19, 'UZ-normalized'!$A:$A, 0))&gt;0, -(13*INDEX('UZ-normalized'!$D:$D, MATCH($A19, 'UZ-normalized'!$A:$A, 0))-INDEX('UZ-normalized'!$E:$E, MATCH($A19, 'UZ-normalized'!$A:$A, 0))), 0), 0)))</f>
        <v>0</v>
      </c>
      <c r="AB19" s="6">
        <f>MIN(0, N19+(IFERROR(IF(14*INDEX('UA-normalized'!$D:$D, MATCH($A19, 'UA-normalized'!$A:$A, 0))-INDEX('UA-normalized'!$E:$E, MATCH($A19, 'UA-normalized'!$A:$A, 0))&gt;0, -(14*INDEX('UA-normalized'!$D:$D, MATCH($A19, 'UA-normalized'!$A:$A, 0))-INDEX('UA-normalized'!$E:$E, MATCH($A19, 'UA-normalized'!$A:$A, 0))), 0), 0))+(IFERROR(IF(14*INDEX('KZ-normalized'!$D:$D, MATCH($A19, 'KZ-normalized'!$A:$A, 0))-INDEX('KZ-normalized'!$E:$E, MATCH($A19, 'KZ-normalized'!$A:$A, 0))&gt;0, -(14*INDEX('KZ-normalized'!$D:$D, MATCH($A19, 'KZ-normalized'!$A:$A, 0))-INDEX('KZ-normalized'!$E:$E, MATCH($A19, 'KZ-normalized'!$A:$A, 0))), 0), 0))+(IFERROR(IF(14*INDEX('UZ-normalized'!$D:$D, MATCH($A19, 'UZ-normalized'!$A:$A, 0))-INDEX('UZ-normalized'!$E:$E, MATCH($A19, 'UZ-normalized'!$A:$A, 0))&gt;0, -(14*INDEX('UZ-normalized'!$D:$D, MATCH($A19, 'UZ-normalized'!$A:$A, 0))-INDEX('UZ-normalized'!$E:$E, MATCH($A19, 'UZ-normalized'!$A:$A, 0))), 0), 0)))</f>
        <v>0</v>
      </c>
      <c r="AC19" s="6">
        <f>MIN(0, N19+(IFERROR(IF(15*INDEX('UA-normalized'!$D:$D, MATCH($A19, 'UA-normalized'!$A:$A, 0))-INDEX('UA-normalized'!$E:$E, MATCH($A19, 'UA-normalized'!$A:$A, 0))&gt;0, -(15*INDEX('UA-normalized'!$D:$D, MATCH($A19, 'UA-normalized'!$A:$A, 0))-INDEX('UA-normalized'!$E:$E, MATCH($A19, 'UA-normalized'!$A:$A, 0))), 0), 0))+(IFERROR(IF(15*INDEX('KZ-normalized'!$D:$D, MATCH($A19, 'KZ-normalized'!$A:$A, 0))-INDEX('KZ-normalized'!$E:$E, MATCH($A19, 'KZ-normalized'!$A:$A, 0))&gt;0, -(15*INDEX('KZ-normalized'!$D:$D, MATCH($A19, 'KZ-normalized'!$A:$A, 0))-INDEX('KZ-normalized'!$E:$E, MATCH($A19, 'KZ-normalized'!$A:$A, 0))), 0), 0))+(IFERROR(IF(15*INDEX('UZ-normalized'!$D:$D, MATCH($A19, 'UZ-normalized'!$A:$A, 0))-INDEX('UZ-normalized'!$E:$E, MATCH($A19, 'UZ-normalized'!$A:$A, 0))&gt;0, -(15*INDEX('UZ-normalized'!$D:$D, MATCH($A19, 'UZ-normalized'!$A:$A, 0))-INDEX('UZ-normalized'!$E:$E, MATCH($A19, 'UZ-normalized'!$A:$A, 0))), 0), 0)))</f>
        <v>0</v>
      </c>
      <c r="AD19" s="6">
        <f>MIN(0, N19+(IFERROR(IF(16*INDEX('UA-normalized'!$D:$D, MATCH($A19, 'UA-normalized'!$A:$A, 0))-INDEX('UA-normalized'!$E:$E, MATCH($A19, 'UA-normalized'!$A:$A, 0))&gt;0, -(16*INDEX('UA-normalized'!$D:$D, MATCH($A19, 'UA-normalized'!$A:$A, 0))-INDEX('UA-normalized'!$E:$E, MATCH($A19, 'UA-normalized'!$A:$A, 0))), 0), 0))+(IFERROR(IF(16*INDEX('KZ-normalized'!$D:$D, MATCH($A19, 'KZ-normalized'!$A:$A, 0))-INDEX('KZ-normalized'!$E:$E, MATCH($A19, 'KZ-normalized'!$A:$A, 0))&gt;0, -(16*INDEX('KZ-normalized'!$D:$D, MATCH($A19, 'KZ-normalized'!$A:$A, 0))-INDEX('KZ-normalized'!$E:$E, MATCH($A19, 'KZ-normalized'!$A:$A, 0))), 0), 0))+(IFERROR(IF(16*INDEX('UZ-normalized'!$D:$D, MATCH($A19, 'UZ-normalized'!$A:$A, 0))-INDEX('UZ-normalized'!$E:$E, MATCH($A19, 'UZ-normalized'!$A:$A, 0))&gt;0, -(16*INDEX('UZ-normalized'!$D:$D, MATCH($A19, 'UZ-normalized'!$A:$A, 0))-INDEX('UZ-normalized'!$E:$E, MATCH($A19, 'UZ-normalized'!$A:$A, 0))), 0), 0)))</f>
        <v>0</v>
      </c>
      <c r="AE19" s="6">
        <f>MIN(0, N19+(IFERROR(IF(17*INDEX('UA-normalized'!$D:$D, MATCH($A19, 'UA-normalized'!$A:$A, 0))-INDEX('UA-normalized'!$E:$E, MATCH($A19, 'UA-normalized'!$A:$A, 0))&gt;0, -(17*INDEX('UA-normalized'!$D:$D, MATCH($A19, 'UA-normalized'!$A:$A, 0))-INDEX('UA-normalized'!$E:$E, MATCH($A19, 'UA-normalized'!$A:$A, 0))), 0), 0))+(IFERROR(IF(17*INDEX('KZ-normalized'!$D:$D, MATCH($A19, 'KZ-normalized'!$A:$A, 0))-INDEX('KZ-normalized'!$E:$E, MATCH($A19, 'KZ-normalized'!$A:$A, 0))&gt;0, -(17*INDEX('KZ-normalized'!$D:$D, MATCH($A19, 'KZ-normalized'!$A:$A, 0))-INDEX('KZ-normalized'!$E:$E, MATCH($A19, 'KZ-normalized'!$A:$A, 0))), 0), 0))+(IFERROR(IF(17*INDEX('UZ-normalized'!$D:$D, MATCH($A19, 'UZ-normalized'!$A:$A, 0))-INDEX('UZ-normalized'!$E:$E, MATCH($A19, 'UZ-normalized'!$A:$A, 0))&gt;0, -(17*INDEX('UZ-normalized'!$D:$D, MATCH($A19, 'UZ-normalized'!$A:$A, 0))-INDEX('UZ-normalized'!$E:$E, MATCH($A19, 'UZ-normalized'!$A:$A, 0))), 0), 0)))</f>
        <v>0</v>
      </c>
      <c r="AF19" s="6">
        <f>MIN(0, N19+(IFERROR(IF(18*INDEX('UA-normalized'!$D:$D, MATCH($A19, 'UA-normalized'!$A:$A, 0))-INDEX('UA-normalized'!$E:$E, MATCH($A19, 'UA-normalized'!$A:$A, 0))&gt;0, -(18*INDEX('UA-normalized'!$D:$D, MATCH($A19, 'UA-normalized'!$A:$A, 0))-INDEX('UA-normalized'!$E:$E, MATCH($A19, 'UA-normalized'!$A:$A, 0))), 0), 0))+(IFERROR(IF(18*INDEX('KZ-normalized'!$D:$D, MATCH($A19, 'KZ-normalized'!$A:$A, 0))-INDEX('KZ-normalized'!$E:$E, MATCH($A19, 'KZ-normalized'!$A:$A, 0))&gt;0, -(18*INDEX('KZ-normalized'!$D:$D, MATCH($A19, 'KZ-normalized'!$A:$A, 0))-INDEX('KZ-normalized'!$E:$E, MATCH($A19, 'KZ-normalized'!$A:$A, 0))), 0), 0))+(IFERROR(IF(18*INDEX('UZ-normalized'!$D:$D, MATCH($A19, 'UZ-normalized'!$A:$A, 0))-INDEX('UZ-normalized'!$E:$E, MATCH($A19, 'UZ-normalized'!$A:$A, 0))&gt;0, -(18*INDEX('UZ-normalized'!$D:$D, MATCH($A19, 'UZ-normalized'!$A:$A, 0))-INDEX('UZ-normalized'!$E:$E, MATCH($A19, 'UZ-normalized'!$A:$A, 0))), 0), 0)))</f>
        <v>0</v>
      </c>
      <c r="AG19" s="6">
        <f>MIN(0, N19+(IFERROR(IF(19*INDEX('UA-normalized'!$D:$D, MATCH($A19, 'UA-normalized'!$A:$A, 0))-INDEX('UA-normalized'!$E:$E, MATCH($A19, 'UA-normalized'!$A:$A, 0))&gt;0, -(19*INDEX('UA-normalized'!$D:$D, MATCH($A19, 'UA-normalized'!$A:$A, 0))-INDEX('UA-normalized'!$E:$E, MATCH($A19, 'UA-normalized'!$A:$A, 0))), 0), 0))+(IFERROR(IF(19*INDEX('KZ-normalized'!$D:$D, MATCH($A19, 'KZ-normalized'!$A:$A, 0))-INDEX('KZ-normalized'!$E:$E, MATCH($A19, 'KZ-normalized'!$A:$A, 0))&gt;0, -(19*INDEX('KZ-normalized'!$D:$D, MATCH($A19, 'KZ-normalized'!$A:$A, 0))-INDEX('KZ-normalized'!$E:$E, MATCH($A19, 'KZ-normalized'!$A:$A, 0))), 0), 0))+(IFERROR(IF(19*INDEX('UZ-normalized'!$D:$D, MATCH($A19, 'UZ-normalized'!$A:$A, 0))-INDEX('UZ-normalized'!$E:$E, MATCH($A19, 'UZ-normalized'!$A:$A, 0))&gt;0, -(19*INDEX('UZ-normalized'!$D:$D, MATCH($A19, 'UZ-normalized'!$A:$A, 0))-INDEX('UZ-normalized'!$E:$E, MATCH($A19, 'UZ-normalized'!$A:$A, 0))), 0), 0)))</f>
        <v>0</v>
      </c>
      <c r="AH19" s="6">
        <f>MIN(0, N19+(IFERROR(IF(20*INDEX('UA-normalized'!$D:$D, MATCH($A19, 'UA-normalized'!$A:$A, 0))-INDEX('UA-normalized'!$E:$E, MATCH($A19, 'UA-normalized'!$A:$A, 0))&gt;0, -(20*INDEX('UA-normalized'!$D:$D, MATCH($A19, 'UA-normalized'!$A:$A, 0))-INDEX('UA-normalized'!$E:$E, MATCH($A19, 'UA-normalized'!$A:$A, 0))), 0), 0))+(IFERROR(IF(20*INDEX('KZ-normalized'!$D:$D, MATCH($A19, 'KZ-normalized'!$A:$A, 0))-INDEX('KZ-normalized'!$E:$E, MATCH($A19, 'KZ-normalized'!$A:$A, 0))&gt;0, -(20*INDEX('KZ-normalized'!$D:$D, MATCH($A19, 'KZ-normalized'!$A:$A, 0))-INDEX('KZ-normalized'!$E:$E, MATCH($A19, 'KZ-normalized'!$A:$A, 0))), 0), 0))+(IFERROR(IF(20*INDEX('UZ-normalized'!$D:$D, MATCH($A19, 'UZ-normalized'!$A:$A, 0))-INDEX('UZ-normalized'!$E:$E, MATCH($A19, 'UZ-normalized'!$A:$A, 0))&gt;0, -(20*INDEX('UZ-normalized'!$D:$D, MATCH($A19, 'UZ-normalized'!$A:$A, 0))-INDEX('UZ-normalized'!$E:$E, MATCH($A19, 'UZ-normalized'!$A:$A, 0))), 0), 0)))</f>
        <v>0</v>
      </c>
      <c r="AI19" s="6">
        <f>MIN(0, N19+(IFERROR(IF(21*INDEX('UA-normalized'!$D:$D, MATCH($A19, 'UA-normalized'!$A:$A, 0))-INDEX('UA-normalized'!$E:$E, MATCH($A19, 'UA-normalized'!$A:$A, 0))&gt;0, -(21*INDEX('UA-normalized'!$D:$D, MATCH($A19, 'UA-normalized'!$A:$A, 0))-INDEX('UA-normalized'!$E:$E, MATCH($A19, 'UA-normalized'!$A:$A, 0))), 0), 0))+(IFERROR(IF(21*INDEX('KZ-normalized'!$D:$D, MATCH($A19, 'KZ-normalized'!$A:$A, 0))-INDEX('KZ-normalized'!$E:$E, MATCH($A19, 'KZ-normalized'!$A:$A, 0))&gt;0, -(21*INDEX('KZ-normalized'!$D:$D, MATCH($A19, 'KZ-normalized'!$A:$A, 0))-INDEX('KZ-normalized'!$E:$E, MATCH($A19, 'KZ-normalized'!$A:$A, 0))), 0), 0))+(IFERROR(IF(21*INDEX('UZ-normalized'!$D:$D, MATCH($A19, 'UZ-normalized'!$A:$A, 0))-INDEX('UZ-normalized'!$E:$E, MATCH($A19, 'UZ-normalized'!$A:$A, 0))&gt;0, -(21*INDEX('UZ-normalized'!$D:$D, MATCH($A19, 'UZ-normalized'!$A:$A, 0))-INDEX('UZ-normalized'!$E:$E, MATCH($A19, 'UZ-normalized'!$A:$A, 0))), 0), 0)))</f>
        <v>0</v>
      </c>
      <c r="AJ19" s="6">
        <f>MIN(0, N19+(IFERROR(IF(22*INDEX('UA-normalized'!$D:$D, MATCH($A19, 'UA-normalized'!$A:$A, 0))-INDEX('UA-normalized'!$E:$E, MATCH($A19, 'UA-normalized'!$A:$A, 0))&gt;0, -(22*INDEX('UA-normalized'!$D:$D, MATCH($A19, 'UA-normalized'!$A:$A, 0))-INDEX('UA-normalized'!$E:$E, MATCH($A19, 'UA-normalized'!$A:$A, 0))), 0), 0))+(IFERROR(IF(22*INDEX('KZ-normalized'!$D:$D, MATCH($A19, 'KZ-normalized'!$A:$A, 0))-INDEX('KZ-normalized'!$E:$E, MATCH($A19, 'KZ-normalized'!$A:$A, 0))&gt;0, -(22*INDEX('KZ-normalized'!$D:$D, MATCH($A19, 'KZ-normalized'!$A:$A, 0))-INDEX('KZ-normalized'!$E:$E, MATCH($A19, 'KZ-normalized'!$A:$A, 0))), 0), 0))+(IFERROR(IF(22*INDEX('UZ-normalized'!$D:$D, MATCH($A19, 'UZ-normalized'!$A:$A, 0))-INDEX('UZ-normalized'!$E:$E, MATCH($A19, 'UZ-normalized'!$A:$A, 0))&gt;0, -(22*INDEX('UZ-normalized'!$D:$D, MATCH($A19, 'UZ-normalized'!$A:$A, 0))-INDEX('UZ-normalized'!$E:$E, MATCH($A19, 'UZ-normalized'!$A:$A, 0))), 0), 0)))</f>
        <v>0</v>
      </c>
      <c r="AK19" s="6">
        <f>MIN(0, N19+(IFERROR(IF(23*INDEX('UA-normalized'!$D:$D, MATCH($A19, 'UA-normalized'!$A:$A, 0))-INDEX('UA-normalized'!$E:$E, MATCH($A19, 'UA-normalized'!$A:$A, 0))&gt;0, -(23*INDEX('UA-normalized'!$D:$D, MATCH($A19, 'UA-normalized'!$A:$A, 0))-INDEX('UA-normalized'!$E:$E, MATCH($A19, 'UA-normalized'!$A:$A, 0))), 0), 0))+(IFERROR(IF(23*INDEX('KZ-normalized'!$D:$D, MATCH($A19, 'KZ-normalized'!$A:$A, 0))-INDEX('KZ-normalized'!$E:$E, MATCH($A19, 'KZ-normalized'!$A:$A, 0))&gt;0, -(23*INDEX('KZ-normalized'!$D:$D, MATCH($A19, 'KZ-normalized'!$A:$A, 0))-INDEX('KZ-normalized'!$E:$E, MATCH($A19, 'KZ-normalized'!$A:$A, 0))), 0), 0))+(IFERROR(IF(23*INDEX('UZ-normalized'!$D:$D, MATCH($A19, 'UZ-normalized'!$A:$A, 0))-INDEX('UZ-normalized'!$E:$E, MATCH($A19, 'UZ-normalized'!$A:$A, 0))&gt;0, -(23*INDEX('UZ-normalized'!$D:$D, MATCH($A19, 'UZ-normalized'!$A:$A, 0))-INDEX('UZ-normalized'!$E:$E, MATCH($A19, 'UZ-normalized'!$A:$A, 0))), 0), 0)))</f>
        <v>0</v>
      </c>
      <c r="AL19" s="6">
        <f>MIN(0, N19+(IFERROR(IF(24*INDEX('UA-normalized'!$D:$D, MATCH($A19, 'UA-normalized'!$A:$A, 0))-INDEX('UA-normalized'!$E:$E, MATCH($A19, 'UA-normalized'!$A:$A, 0))&gt;0, -(24*INDEX('UA-normalized'!$D:$D, MATCH($A19, 'UA-normalized'!$A:$A, 0))-INDEX('UA-normalized'!$E:$E, MATCH($A19, 'UA-normalized'!$A:$A, 0))), 0), 0))+(IFERROR(IF(24*INDEX('KZ-normalized'!$D:$D, MATCH($A19, 'KZ-normalized'!$A:$A, 0))-INDEX('KZ-normalized'!$E:$E, MATCH($A19, 'KZ-normalized'!$A:$A, 0))&gt;0, -(24*INDEX('KZ-normalized'!$D:$D, MATCH($A19, 'KZ-normalized'!$A:$A, 0))-INDEX('KZ-normalized'!$E:$E, MATCH($A19, 'KZ-normalized'!$A:$A, 0))), 0), 0))+(IFERROR(IF(24*INDEX('UZ-normalized'!$D:$D, MATCH($A19, 'UZ-normalized'!$A:$A, 0))-INDEX('UZ-normalized'!$E:$E, MATCH($A19, 'UZ-normalized'!$A:$A, 0))&gt;0, -(24*INDEX('UZ-normalized'!$D:$D, MATCH($A19, 'UZ-normalized'!$A:$A, 0))-INDEX('UZ-normalized'!$E:$E, MATCH($A19, 'UZ-normalized'!$A:$A, 0))), 0), 0)))</f>
        <v>0</v>
      </c>
      <c r="AM19" s="6">
        <f>MIN(0, N19+(IFERROR(IF(25*INDEX('UA-normalized'!$D:$D, MATCH($A19, 'UA-normalized'!$A:$A, 0))-INDEX('UA-normalized'!$E:$E, MATCH($A19, 'UA-normalized'!$A:$A, 0))&gt;0, -(25*INDEX('UA-normalized'!$D:$D, MATCH($A19, 'UA-normalized'!$A:$A, 0))-INDEX('UA-normalized'!$E:$E, MATCH($A19, 'UA-normalized'!$A:$A, 0))), 0), 0))+(IFERROR(IF(25*INDEX('KZ-normalized'!$D:$D, MATCH($A19, 'KZ-normalized'!$A:$A, 0))-INDEX('KZ-normalized'!$E:$E, MATCH($A19, 'KZ-normalized'!$A:$A, 0))&gt;0, -(25*INDEX('KZ-normalized'!$D:$D, MATCH($A19, 'KZ-normalized'!$A:$A, 0))-INDEX('KZ-normalized'!$E:$E, MATCH($A19, 'KZ-normalized'!$A:$A, 0))), 0), 0))+(IFERROR(IF(25*INDEX('UZ-normalized'!$D:$D, MATCH($A19, 'UZ-normalized'!$A:$A, 0))-INDEX('UZ-normalized'!$E:$E, MATCH($A19, 'UZ-normalized'!$A:$A, 0))&gt;0, -(25*INDEX('UZ-normalized'!$D:$D, MATCH($A19, 'UZ-normalized'!$A:$A, 0))-INDEX('UZ-normalized'!$E:$E, MATCH($A19, 'UZ-normalized'!$A:$A, 0))), 0), 0)))</f>
        <v>0</v>
      </c>
      <c r="AN19" s="6">
        <f>MIN(0, N19+(IFERROR(IF(26*INDEX('UA-normalized'!$D:$D, MATCH($A19, 'UA-normalized'!$A:$A, 0))-INDEX('UA-normalized'!$E:$E, MATCH($A19, 'UA-normalized'!$A:$A, 0))&gt;0, -(26*INDEX('UA-normalized'!$D:$D, MATCH($A19, 'UA-normalized'!$A:$A, 0))-INDEX('UA-normalized'!$E:$E, MATCH($A19, 'UA-normalized'!$A:$A, 0))), 0), 0))+(IFERROR(IF(26*INDEX('KZ-normalized'!$D:$D, MATCH($A19, 'KZ-normalized'!$A:$A, 0))-INDEX('KZ-normalized'!$E:$E, MATCH($A19, 'KZ-normalized'!$A:$A, 0))&gt;0, -(26*INDEX('KZ-normalized'!$D:$D, MATCH($A19, 'KZ-normalized'!$A:$A, 0))-INDEX('KZ-normalized'!$E:$E, MATCH($A19, 'KZ-normalized'!$A:$A, 0))), 0), 0))+(IFERROR(IF(26*INDEX('UZ-normalized'!$D:$D, MATCH($A19, 'UZ-normalized'!$A:$A, 0))-INDEX('UZ-normalized'!$E:$E, MATCH($A19, 'UZ-normalized'!$A:$A, 0))&gt;0, -(26*INDEX('UZ-normalized'!$D:$D, MATCH($A19, 'UZ-normalized'!$A:$A, 0))-INDEX('UZ-normalized'!$E:$E, MATCH($A19, 'UZ-normalized'!$A:$A, 0))), 0), 0)))</f>
        <v>0</v>
      </c>
      <c r="AO19" s="6">
        <f>MIN(0, N19+(IFERROR(IF(27*INDEX('UA-normalized'!$D:$D, MATCH($A19, 'UA-normalized'!$A:$A, 0))-INDEX('UA-normalized'!$E:$E, MATCH($A19, 'UA-normalized'!$A:$A, 0))&gt;0, -(27*INDEX('UA-normalized'!$D:$D, MATCH($A19, 'UA-normalized'!$A:$A, 0))-INDEX('UA-normalized'!$E:$E, MATCH($A19, 'UA-normalized'!$A:$A, 0))), 0), 0))+(IFERROR(IF(27*INDEX('KZ-normalized'!$D:$D, MATCH($A19, 'KZ-normalized'!$A:$A, 0))-INDEX('KZ-normalized'!$E:$E, MATCH($A19, 'KZ-normalized'!$A:$A, 0))&gt;0, -(27*INDEX('KZ-normalized'!$D:$D, MATCH($A19, 'KZ-normalized'!$A:$A, 0))-INDEX('KZ-normalized'!$E:$E, MATCH($A19, 'KZ-normalized'!$A:$A, 0))), 0), 0))+(IFERROR(IF(27*INDEX('UZ-normalized'!$D:$D, MATCH($A19, 'UZ-normalized'!$A:$A, 0))-INDEX('UZ-normalized'!$E:$E, MATCH($A19, 'UZ-normalized'!$A:$A, 0))&gt;0, -(27*INDEX('UZ-normalized'!$D:$D, MATCH($A19, 'UZ-normalized'!$A:$A, 0))-INDEX('UZ-normalized'!$E:$E, MATCH($A19, 'UZ-normalized'!$A:$A, 0))), 0), 0)))</f>
        <v>0</v>
      </c>
      <c r="AP19" s="6">
        <f>MIN(0, N19+(IFERROR(IF(28*INDEX('UA-normalized'!$D:$D, MATCH($A19, 'UA-normalized'!$A:$A, 0))-INDEX('UA-normalized'!$E:$E, MATCH($A19, 'UA-normalized'!$A:$A, 0))&gt;0, -(28*INDEX('UA-normalized'!$D:$D, MATCH($A19, 'UA-normalized'!$A:$A, 0))-INDEX('UA-normalized'!$E:$E, MATCH($A19, 'UA-normalized'!$A:$A, 0))), 0), 0))+(IFERROR(IF(28*INDEX('KZ-normalized'!$D:$D, MATCH($A19, 'KZ-normalized'!$A:$A, 0))-INDEX('KZ-normalized'!$E:$E, MATCH($A19, 'KZ-normalized'!$A:$A, 0))&gt;0, -(28*INDEX('KZ-normalized'!$D:$D, MATCH($A19, 'KZ-normalized'!$A:$A, 0))-INDEX('KZ-normalized'!$E:$E, MATCH($A19, 'KZ-normalized'!$A:$A, 0))), 0), 0))+(IFERROR(IF(28*INDEX('UZ-normalized'!$D:$D, MATCH($A19, 'UZ-normalized'!$A:$A, 0))-INDEX('UZ-normalized'!$E:$E, MATCH($A19, 'UZ-normalized'!$A:$A, 0))&gt;0, -(28*INDEX('UZ-normalized'!$D:$D, MATCH($A19, 'UZ-normalized'!$A:$A, 0))-INDEX('UZ-normalized'!$E:$E, MATCH($A19, 'UZ-normalized'!$A:$A, 0))), 0), 0)))</f>
        <v>0</v>
      </c>
      <c r="AQ19" s="6">
        <f>MIN(0, N19+(IFERROR(IF(29*INDEX('UA-normalized'!$D:$D, MATCH($A19, 'UA-normalized'!$A:$A, 0))-INDEX('UA-normalized'!$E:$E, MATCH($A19, 'UA-normalized'!$A:$A, 0))&gt;0, -(29*INDEX('UA-normalized'!$D:$D, MATCH($A19, 'UA-normalized'!$A:$A, 0))-INDEX('UA-normalized'!$E:$E, MATCH($A19, 'UA-normalized'!$A:$A, 0))), 0), 0))+(IFERROR(IF(29*INDEX('KZ-normalized'!$D:$D, MATCH($A19, 'KZ-normalized'!$A:$A, 0))-INDEX('KZ-normalized'!$E:$E, MATCH($A19, 'KZ-normalized'!$A:$A, 0))&gt;0, -(29*INDEX('KZ-normalized'!$D:$D, MATCH($A19, 'KZ-normalized'!$A:$A, 0))-INDEX('KZ-normalized'!$E:$E, MATCH($A19, 'KZ-normalized'!$A:$A, 0))), 0), 0))+(IFERROR(IF(29*INDEX('UZ-normalized'!$D:$D, MATCH($A19, 'UZ-normalized'!$A:$A, 0))-INDEX('UZ-normalized'!$E:$E, MATCH($A19, 'UZ-normalized'!$A:$A, 0))&gt;0, -(29*INDEX('UZ-normalized'!$D:$D, MATCH($A19, 'UZ-normalized'!$A:$A, 0))-INDEX('UZ-normalized'!$E:$E, MATCH($A19, 'UZ-normalized'!$A:$A, 0))), 0), 0)))</f>
        <v>0</v>
      </c>
      <c r="AR19" s="6">
        <f>MIN(0, N19+(IFERROR(IF(30*INDEX('UA-normalized'!$D:$D, MATCH($A19, 'UA-normalized'!$A:$A, 0))-INDEX('UA-normalized'!$E:$E, MATCH($A19, 'UA-normalized'!$A:$A, 0))&gt;0, -(30*INDEX('UA-normalized'!$D:$D, MATCH($A19, 'UA-normalized'!$A:$A, 0))-INDEX('UA-normalized'!$E:$E, MATCH($A19, 'UA-normalized'!$A:$A, 0))), 0), 0))+(IFERROR(IF(30*INDEX('KZ-normalized'!$D:$D, MATCH($A19, 'KZ-normalized'!$A:$A, 0))-INDEX('KZ-normalized'!$E:$E, MATCH($A19, 'KZ-normalized'!$A:$A, 0))&gt;0, -(30*INDEX('KZ-normalized'!$D:$D, MATCH($A19, 'KZ-normalized'!$A:$A, 0))-INDEX('KZ-normalized'!$E:$E, MATCH($A19, 'KZ-normalized'!$A:$A, 0))), 0), 0))+(IFERROR(IF(30*INDEX('UZ-normalized'!$D:$D, MATCH($A19, 'UZ-normalized'!$A:$A, 0))-INDEX('UZ-normalized'!$E:$E, MATCH($A19, 'UZ-normalized'!$A:$A, 0))&gt;0, -(30*INDEX('UZ-normalized'!$D:$D, MATCH($A19, 'UZ-normalized'!$A:$A, 0))-INDEX('UZ-normalized'!$E:$E, MATCH($A19, 'UZ-normalized'!$A:$A, 0))), 0), 0)))</f>
        <v>0</v>
      </c>
    </row>
    <row r="20" spans="1:44" x14ac:dyDescent="0.25">
      <c r="A20" s="8" t="s">
        <v>88</v>
      </c>
      <c r="B20" s="8" t="s">
        <v>83</v>
      </c>
      <c r="C20" s="8" t="s">
        <v>84</v>
      </c>
      <c r="D20" s="8" t="s">
        <v>89</v>
      </c>
      <c r="E20">
        <v>9000</v>
      </c>
      <c r="N20">
        <f t="shared" si="0"/>
        <v>9000</v>
      </c>
      <c r="O20" s="6">
        <f>MIN(0, N20+(IFERROR(IF(1*INDEX('UA-normalized'!$D:$D, MATCH($A20, 'UA-normalized'!$A:$A, 0))-INDEX('UA-normalized'!$E:$E, MATCH($A20, 'UA-normalized'!$A:$A, 0))&gt;0, -(1*INDEX('UA-normalized'!$D:$D, MATCH($A20, 'UA-normalized'!$A:$A, 0))-INDEX('UA-normalized'!$E:$E, MATCH($A20, 'UA-normalized'!$A:$A, 0))), 0), 0))+(IFERROR(IF(1*INDEX('KZ-normalized'!$D:$D, MATCH($A20, 'KZ-normalized'!$A:$A, 0))-INDEX('KZ-normalized'!$E:$E, MATCH($A20, 'KZ-normalized'!$A:$A, 0))&gt;0, -(1*INDEX('KZ-normalized'!$D:$D, MATCH($A20, 'KZ-normalized'!$A:$A, 0))-INDEX('KZ-normalized'!$E:$E, MATCH($A20, 'KZ-normalized'!$A:$A, 0))), 0), 0))+(IFERROR(IF(1*INDEX('UZ-normalized'!$D:$D, MATCH($A20, 'UZ-normalized'!$A:$A, 0))-INDEX('UZ-normalized'!$E:$E, MATCH($A20, 'UZ-normalized'!$A:$A, 0))&gt;0, -(1*INDEX('UZ-normalized'!$D:$D, MATCH($A20, 'UZ-normalized'!$A:$A, 0))-INDEX('UZ-normalized'!$E:$E, MATCH($A20, 'UZ-normalized'!$A:$A, 0))), 0), 0)))</f>
        <v>0</v>
      </c>
      <c r="P20" s="6">
        <f>MIN(0, N20+(IFERROR(IF(2*INDEX('UA-normalized'!$D:$D, MATCH($A20, 'UA-normalized'!$A:$A, 0))-INDEX('UA-normalized'!$E:$E, MATCH($A20, 'UA-normalized'!$A:$A, 0))&gt;0, -(2*INDEX('UA-normalized'!$D:$D, MATCH($A20, 'UA-normalized'!$A:$A, 0))-INDEX('UA-normalized'!$E:$E, MATCH($A20, 'UA-normalized'!$A:$A, 0))), 0), 0))+(IFERROR(IF(2*INDEX('KZ-normalized'!$D:$D, MATCH($A20, 'KZ-normalized'!$A:$A, 0))-INDEX('KZ-normalized'!$E:$E, MATCH($A20, 'KZ-normalized'!$A:$A, 0))&gt;0, -(2*INDEX('KZ-normalized'!$D:$D, MATCH($A20, 'KZ-normalized'!$A:$A, 0))-INDEX('KZ-normalized'!$E:$E, MATCH($A20, 'KZ-normalized'!$A:$A, 0))), 0), 0))+(IFERROR(IF(2*INDEX('UZ-normalized'!$D:$D, MATCH($A20, 'UZ-normalized'!$A:$A, 0))-INDEX('UZ-normalized'!$E:$E, MATCH($A20, 'UZ-normalized'!$A:$A, 0))&gt;0, -(2*INDEX('UZ-normalized'!$D:$D, MATCH($A20, 'UZ-normalized'!$A:$A, 0))-INDEX('UZ-normalized'!$E:$E, MATCH($A20, 'UZ-normalized'!$A:$A, 0))), 0), 0)))</f>
        <v>0</v>
      </c>
      <c r="Q20" s="6">
        <f>MIN(0, N20+(IFERROR(IF(3*INDEX('UA-normalized'!$D:$D, MATCH($A20, 'UA-normalized'!$A:$A, 0))-INDEX('UA-normalized'!$E:$E, MATCH($A20, 'UA-normalized'!$A:$A, 0))&gt;0, -(3*INDEX('UA-normalized'!$D:$D, MATCH($A20, 'UA-normalized'!$A:$A, 0))-INDEX('UA-normalized'!$E:$E, MATCH($A20, 'UA-normalized'!$A:$A, 0))), 0), 0))+(IFERROR(IF(3*INDEX('KZ-normalized'!$D:$D, MATCH($A20, 'KZ-normalized'!$A:$A, 0))-INDEX('KZ-normalized'!$E:$E, MATCH($A20, 'KZ-normalized'!$A:$A, 0))&gt;0, -(3*INDEX('KZ-normalized'!$D:$D, MATCH($A20, 'KZ-normalized'!$A:$A, 0))-INDEX('KZ-normalized'!$E:$E, MATCH($A20, 'KZ-normalized'!$A:$A, 0))), 0), 0))+(IFERROR(IF(3*INDEX('UZ-normalized'!$D:$D, MATCH($A20, 'UZ-normalized'!$A:$A, 0))-INDEX('UZ-normalized'!$E:$E, MATCH($A20, 'UZ-normalized'!$A:$A, 0))&gt;0, -(3*INDEX('UZ-normalized'!$D:$D, MATCH($A20, 'UZ-normalized'!$A:$A, 0))-INDEX('UZ-normalized'!$E:$E, MATCH($A20, 'UZ-normalized'!$A:$A, 0))), 0), 0)))</f>
        <v>0</v>
      </c>
      <c r="R20" s="6">
        <f>MIN(0, N20+(IFERROR(IF(4*INDEX('UA-normalized'!$D:$D, MATCH($A20, 'UA-normalized'!$A:$A, 0))-INDEX('UA-normalized'!$E:$E, MATCH($A20, 'UA-normalized'!$A:$A, 0))&gt;0, -(4*INDEX('UA-normalized'!$D:$D, MATCH($A20, 'UA-normalized'!$A:$A, 0))-INDEX('UA-normalized'!$E:$E, MATCH($A20, 'UA-normalized'!$A:$A, 0))), 0), 0))+(IFERROR(IF(4*INDEX('KZ-normalized'!$D:$D, MATCH($A20, 'KZ-normalized'!$A:$A, 0))-INDEX('KZ-normalized'!$E:$E, MATCH($A20, 'KZ-normalized'!$A:$A, 0))&gt;0, -(4*INDEX('KZ-normalized'!$D:$D, MATCH($A20, 'KZ-normalized'!$A:$A, 0))-INDEX('KZ-normalized'!$E:$E, MATCH($A20, 'KZ-normalized'!$A:$A, 0))), 0), 0))+(IFERROR(IF(4*INDEX('UZ-normalized'!$D:$D, MATCH($A20, 'UZ-normalized'!$A:$A, 0))-INDEX('UZ-normalized'!$E:$E, MATCH($A20, 'UZ-normalized'!$A:$A, 0))&gt;0, -(4*INDEX('UZ-normalized'!$D:$D, MATCH($A20, 'UZ-normalized'!$A:$A, 0))-INDEX('UZ-normalized'!$E:$E, MATCH($A20, 'UZ-normalized'!$A:$A, 0))), 0), 0)))</f>
        <v>0</v>
      </c>
      <c r="S20" s="6">
        <f>MIN(0, N20+(IFERROR(IF(5*INDEX('UA-normalized'!$D:$D, MATCH($A20, 'UA-normalized'!$A:$A, 0))-INDEX('UA-normalized'!$E:$E, MATCH($A20, 'UA-normalized'!$A:$A, 0))&gt;0, -(5*INDEX('UA-normalized'!$D:$D, MATCH($A20, 'UA-normalized'!$A:$A, 0))-INDEX('UA-normalized'!$E:$E, MATCH($A20, 'UA-normalized'!$A:$A, 0))), 0), 0))+(IFERROR(IF(5*INDEX('KZ-normalized'!$D:$D, MATCH($A20, 'KZ-normalized'!$A:$A, 0))-INDEX('KZ-normalized'!$E:$E, MATCH($A20, 'KZ-normalized'!$A:$A, 0))&gt;0, -(5*INDEX('KZ-normalized'!$D:$D, MATCH($A20, 'KZ-normalized'!$A:$A, 0))-INDEX('KZ-normalized'!$E:$E, MATCH($A20, 'KZ-normalized'!$A:$A, 0))), 0), 0))+(IFERROR(IF(5*INDEX('UZ-normalized'!$D:$D, MATCH($A20, 'UZ-normalized'!$A:$A, 0))-INDEX('UZ-normalized'!$E:$E, MATCH($A20, 'UZ-normalized'!$A:$A, 0))&gt;0, -(5*INDEX('UZ-normalized'!$D:$D, MATCH($A20, 'UZ-normalized'!$A:$A, 0))-INDEX('UZ-normalized'!$E:$E, MATCH($A20, 'UZ-normalized'!$A:$A, 0))), 0), 0)))</f>
        <v>0</v>
      </c>
      <c r="T20" s="6">
        <f>MIN(0, N20+(IFERROR(IF(6*INDEX('UA-normalized'!$D:$D, MATCH($A20, 'UA-normalized'!$A:$A, 0))-INDEX('UA-normalized'!$E:$E, MATCH($A20, 'UA-normalized'!$A:$A, 0))&gt;0, -(6*INDEX('UA-normalized'!$D:$D, MATCH($A20, 'UA-normalized'!$A:$A, 0))-INDEX('UA-normalized'!$E:$E, MATCH($A20, 'UA-normalized'!$A:$A, 0))), 0), 0))+(IFERROR(IF(6*INDEX('KZ-normalized'!$D:$D, MATCH($A20, 'KZ-normalized'!$A:$A, 0))-INDEX('KZ-normalized'!$E:$E, MATCH($A20, 'KZ-normalized'!$A:$A, 0))&gt;0, -(6*INDEX('KZ-normalized'!$D:$D, MATCH($A20, 'KZ-normalized'!$A:$A, 0))-INDEX('KZ-normalized'!$E:$E, MATCH($A20, 'KZ-normalized'!$A:$A, 0))), 0), 0))+(IFERROR(IF(6*INDEX('UZ-normalized'!$D:$D, MATCH($A20, 'UZ-normalized'!$A:$A, 0))-INDEX('UZ-normalized'!$E:$E, MATCH($A20, 'UZ-normalized'!$A:$A, 0))&gt;0, -(6*INDEX('UZ-normalized'!$D:$D, MATCH($A20, 'UZ-normalized'!$A:$A, 0))-INDEX('UZ-normalized'!$E:$E, MATCH($A20, 'UZ-normalized'!$A:$A, 0))), 0), 0)))</f>
        <v>0</v>
      </c>
      <c r="U20" s="6">
        <f>MIN(0, N20+(IFERROR(IF(7*INDEX('UA-normalized'!$D:$D, MATCH($A20, 'UA-normalized'!$A:$A, 0))-INDEX('UA-normalized'!$E:$E, MATCH($A20, 'UA-normalized'!$A:$A, 0))&gt;0, -(7*INDEX('UA-normalized'!$D:$D, MATCH($A20, 'UA-normalized'!$A:$A, 0))-INDEX('UA-normalized'!$E:$E, MATCH($A20, 'UA-normalized'!$A:$A, 0))), 0), 0))+(IFERROR(IF(7*INDEX('KZ-normalized'!$D:$D, MATCH($A20, 'KZ-normalized'!$A:$A, 0))-INDEX('KZ-normalized'!$E:$E, MATCH($A20, 'KZ-normalized'!$A:$A, 0))&gt;0, -(7*INDEX('KZ-normalized'!$D:$D, MATCH($A20, 'KZ-normalized'!$A:$A, 0))-INDEX('KZ-normalized'!$E:$E, MATCH($A20, 'KZ-normalized'!$A:$A, 0))), 0), 0))+(IFERROR(IF(7*INDEX('UZ-normalized'!$D:$D, MATCH($A20, 'UZ-normalized'!$A:$A, 0))-INDEX('UZ-normalized'!$E:$E, MATCH($A20, 'UZ-normalized'!$A:$A, 0))&gt;0, -(7*INDEX('UZ-normalized'!$D:$D, MATCH($A20, 'UZ-normalized'!$A:$A, 0))-INDEX('UZ-normalized'!$E:$E, MATCH($A20, 'UZ-normalized'!$A:$A, 0))), 0), 0)))</f>
        <v>0</v>
      </c>
      <c r="V20" s="6">
        <f>MIN(0, N20+(IFERROR(IF(8*INDEX('UA-normalized'!$D:$D, MATCH($A20, 'UA-normalized'!$A:$A, 0))-INDEX('UA-normalized'!$E:$E, MATCH($A20, 'UA-normalized'!$A:$A, 0))&gt;0, -(8*INDEX('UA-normalized'!$D:$D, MATCH($A20, 'UA-normalized'!$A:$A, 0))-INDEX('UA-normalized'!$E:$E, MATCH($A20, 'UA-normalized'!$A:$A, 0))), 0), 0))+(IFERROR(IF(8*INDEX('KZ-normalized'!$D:$D, MATCH($A20, 'KZ-normalized'!$A:$A, 0))-INDEX('KZ-normalized'!$E:$E, MATCH($A20, 'KZ-normalized'!$A:$A, 0))&gt;0, -(8*INDEX('KZ-normalized'!$D:$D, MATCH($A20, 'KZ-normalized'!$A:$A, 0))-INDEX('KZ-normalized'!$E:$E, MATCH($A20, 'KZ-normalized'!$A:$A, 0))), 0), 0))+(IFERROR(IF(8*INDEX('UZ-normalized'!$D:$D, MATCH($A20, 'UZ-normalized'!$A:$A, 0))-INDEX('UZ-normalized'!$E:$E, MATCH($A20, 'UZ-normalized'!$A:$A, 0))&gt;0, -(8*INDEX('UZ-normalized'!$D:$D, MATCH($A20, 'UZ-normalized'!$A:$A, 0))-INDEX('UZ-normalized'!$E:$E, MATCH($A20, 'UZ-normalized'!$A:$A, 0))), 0), 0)))</f>
        <v>0</v>
      </c>
      <c r="W20" s="6">
        <f>MIN(0, N20+(IFERROR(IF(9*INDEX('UA-normalized'!$D:$D, MATCH($A20, 'UA-normalized'!$A:$A, 0))-INDEX('UA-normalized'!$E:$E, MATCH($A20, 'UA-normalized'!$A:$A, 0))&gt;0, -(9*INDEX('UA-normalized'!$D:$D, MATCH($A20, 'UA-normalized'!$A:$A, 0))-INDEX('UA-normalized'!$E:$E, MATCH($A20, 'UA-normalized'!$A:$A, 0))), 0), 0))+(IFERROR(IF(9*INDEX('KZ-normalized'!$D:$D, MATCH($A20, 'KZ-normalized'!$A:$A, 0))-INDEX('KZ-normalized'!$E:$E, MATCH($A20, 'KZ-normalized'!$A:$A, 0))&gt;0, -(9*INDEX('KZ-normalized'!$D:$D, MATCH($A20, 'KZ-normalized'!$A:$A, 0))-INDEX('KZ-normalized'!$E:$E, MATCH($A20, 'KZ-normalized'!$A:$A, 0))), 0), 0))+(IFERROR(IF(9*INDEX('UZ-normalized'!$D:$D, MATCH($A20, 'UZ-normalized'!$A:$A, 0))-INDEX('UZ-normalized'!$E:$E, MATCH($A20, 'UZ-normalized'!$A:$A, 0))&gt;0, -(9*INDEX('UZ-normalized'!$D:$D, MATCH($A20, 'UZ-normalized'!$A:$A, 0))-INDEX('UZ-normalized'!$E:$E, MATCH($A20, 'UZ-normalized'!$A:$A, 0))), 0), 0)))</f>
        <v>0</v>
      </c>
      <c r="X20" s="6">
        <f>MIN(0, N20+(IFERROR(IF(10*INDEX('UA-normalized'!$D:$D, MATCH($A20, 'UA-normalized'!$A:$A, 0))-INDEX('UA-normalized'!$E:$E, MATCH($A20, 'UA-normalized'!$A:$A, 0))&gt;0, -(10*INDEX('UA-normalized'!$D:$D, MATCH($A20, 'UA-normalized'!$A:$A, 0))-INDEX('UA-normalized'!$E:$E, MATCH($A20, 'UA-normalized'!$A:$A, 0))), 0), 0))+(IFERROR(IF(10*INDEX('KZ-normalized'!$D:$D, MATCH($A20, 'KZ-normalized'!$A:$A, 0))-INDEX('KZ-normalized'!$E:$E, MATCH($A20, 'KZ-normalized'!$A:$A, 0))&gt;0, -(10*INDEX('KZ-normalized'!$D:$D, MATCH($A20, 'KZ-normalized'!$A:$A, 0))-INDEX('KZ-normalized'!$E:$E, MATCH($A20, 'KZ-normalized'!$A:$A, 0))), 0), 0))+(IFERROR(IF(10*INDEX('UZ-normalized'!$D:$D, MATCH($A20, 'UZ-normalized'!$A:$A, 0))-INDEX('UZ-normalized'!$E:$E, MATCH($A20, 'UZ-normalized'!$A:$A, 0))&gt;0, -(10*INDEX('UZ-normalized'!$D:$D, MATCH($A20, 'UZ-normalized'!$A:$A, 0))-INDEX('UZ-normalized'!$E:$E, MATCH($A20, 'UZ-normalized'!$A:$A, 0))), 0), 0)))</f>
        <v>0</v>
      </c>
      <c r="Y20" s="6">
        <f>MIN(0, N20+(IFERROR(IF(11*INDEX('UA-normalized'!$D:$D, MATCH($A20, 'UA-normalized'!$A:$A, 0))-INDEX('UA-normalized'!$E:$E, MATCH($A20, 'UA-normalized'!$A:$A, 0))&gt;0, -(11*INDEX('UA-normalized'!$D:$D, MATCH($A20, 'UA-normalized'!$A:$A, 0))-INDEX('UA-normalized'!$E:$E, MATCH($A20, 'UA-normalized'!$A:$A, 0))), 0), 0))+(IFERROR(IF(11*INDEX('KZ-normalized'!$D:$D, MATCH($A20, 'KZ-normalized'!$A:$A, 0))-INDEX('KZ-normalized'!$E:$E, MATCH($A20, 'KZ-normalized'!$A:$A, 0))&gt;0, -(11*INDEX('KZ-normalized'!$D:$D, MATCH($A20, 'KZ-normalized'!$A:$A, 0))-INDEX('KZ-normalized'!$E:$E, MATCH($A20, 'KZ-normalized'!$A:$A, 0))), 0), 0))+(IFERROR(IF(11*INDEX('UZ-normalized'!$D:$D, MATCH($A20, 'UZ-normalized'!$A:$A, 0))-INDEX('UZ-normalized'!$E:$E, MATCH($A20, 'UZ-normalized'!$A:$A, 0))&gt;0, -(11*INDEX('UZ-normalized'!$D:$D, MATCH($A20, 'UZ-normalized'!$A:$A, 0))-INDEX('UZ-normalized'!$E:$E, MATCH($A20, 'UZ-normalized'!$A:$A, 0))), 0), 0)))</f>
        <v>0</v>
      </c>
      <c r="Z20" s="6">
        <f>MIN(0, N20+(IFERROR(IF(12*INDEX('UA-normalized'!$D:$D, MATCH($A20, 'UA-normalized'!$A:$A, 0))-INDEX('UA-normalized'!$E:$E, MATCH($A20, 'UA-normalized'!$A:$A, 0))&gt;0, -(12*INDEX('UA-normalized'!$D:$D, MATCH($A20, 'UA-normalized'!$A:$A, 0))-INDEX('UA-normalized'!$E:$E, MATCH($A20, 'UA-normalized'!$A:$A, 0))), 0), 0))+(IFERROR(IF(12*INDEX('KZ-normalized'!$D:$D, MATCH($A20, 'KZ-normalized'!$A:$A, 0))-INDEX('KZ-normalized'!$E:$E, MATCH($A20, 'KZ-normalized'!$A:$A, 0))&gt;0, -(12*INDEX('KZ-normalized'!$D:$D, MATCH($A20, 'KZ-normalized'!$A:$A, 0))-INDEX('KZ-normalized'!$E:$E, MATCH($A20, 'KZ-normalized'!$A:$A, 0))), 0), 0))+(IFERROR(IF(12*INDEX('UZ-normalized'!$D:$D, MATCH($A20, 'UZ-normalized'!$A:$A, 0))-INDEX('UZ-normalized'!$E:$E, MATCH($A20, 'UZ-normalized'!$A:$A, 0))&gt;0, -(12*INDEX('UZ-normalized'!$D:$D, MATCH($A20, 'UZ-normalized'!$A:$A, 0))-INDEX('UZ-normalized'!$E:$E, MATCH($A20, 'UZ-normalized'!$A:$A, 0))), 0), 0)))</f>
        <v>0</v>
      </c>
      <c r="AA20" s="6">
        <f>MIN(0, N20+(IFERROR(IF(13*INDEX('UA-normalized'!$D:$D, MATCH($A20, 'UA-normalized'!$A:$A, 0))-INDEX('UA-normalized'!$E:$E, MATCH($A20, 'UA-normalized'!$A:$A, 0))&gt;0, -(13*INDEX('UA-normalized'!$D:$D, MATCH($A20, 'UA-normalized'!$A:$A, 0))-INDEX('UA-normalized'!$E:$E, MATCH($A20, 'UA-normalized'!$A:$A, 0))), 0), 0))+(IFERROR(IF(13*INDEX('KZ-normalized'!$D:$D, MATCH($A20, 'KZ-normalized'!$A:$A, 0))-INDEX('KZ-normalized'!$E:$E, MATCH($A20, 'KZ-normalized'!$A:$A, 0))&gt;0, -(13*INDEX('KZ-normalized'!$D:$D, MATCH($A20, 'KZ-normalized'!$A:$A, 0))-INDEX('KZ-normalized'!$E:$E, MATCH($A20, 'KZ-normalized'!$A:$A, 0))), 0), 0))+(IFERROR(IF(13*INDEX('UZ-normalized'!$D:$D, MATCH($A20, 'UZ-normalized'!$A:$A, 0))-INDEX('UZ-normalized'!$E:$E, MATCH($A20, 'UZ-normalized'!$A:$A, 0))&gt;0, -(13*INDEX('UZ-normalized'!$D:$D, MATCH($A20, 'UZ-normalized'!$A:$A, 0))-INDEX('UZ-normalized'!$E:$E, MATCH($A20, 'UZ-normalized'!$A:$A, 0))), 0), 0)))</f>
        <v>0</v>
      </c>
      <c r="AB20" s="6">
        <f>MIN(0, N20+(IFERROR(IF(14*INDEX('UA-normalized'!$D:$D, MATCH($A20, 'UA-normalized'!$A:$A, 0))-INDEX('UA-normalized'!$E:$E, MATCH($A20, 'UA-normalized'!$A:$A, 0))&gt;0, -(14*INDEX('UA-normalized'!$D:$D, MATCH($A20, 'UA-normalized'!$A:$A, 0))-INDEX('UA-normalized'!$E:$E, MATCH($A20, 'UA-normalized'!$A:$A, 0))), 0), 0))+(IFERROR(IF(14*INDEX('KZ-normalized'!$D:$D, MATCH($A20, 'KZ-normalized'!$A:$A, 0))-INDEX('KZ-normalized'!$E:$E, MATCH($A20, 'KZ-normalized'!$A:$A, 0))&gt;0, -(14*INDEX('KZ-normalized'!$D:$D, MATCH($A20, 'KZ-normalized'!$A:$A, 0))-INDEX('KZ-normalized'!$E:$E, MATCH($A20, 'KZ-normalized'!$A:$A, 0))), 0), 0))+(IFERROR(IF(14*INDEX('UZ-normalized'!$D:$D, MATCH($A20, 'UZ-normalized'!$A:$A, 0))-INDEX('UZ-normalized'!$E:$E, MATCH($A20, 'UZ-normalized'!$A:$A, 0))&gt;0, -(14*INDEX('UZ-normalized'!$D:$D, MATCH($A20, 'UZ-normalized'!$A:$A, 0))-INDEX('UZ-normalized'!$E:$E, MATCH($A20, 'UZ-normalized'!$A:$A, 0))), 0), 0)))</f>
        <v>0</v>
      </c>
      <c r="AC20" s="6">
        <f>MIN(0, N20+(IFERROR(IF(15*INDEX('UA-normalized'!$D:$D, MATCH($A20, 'UA-normalized'!$A:$A, 0))-INDEX('UA-normalized'!$E:$E, MATCH($A20, 'UA-normalized'!$A:$A, 0))&gt;0, -(15*INDEX('UA-normalized'!$D:$D, MATCH($A20, 'UA-normalized'!$A:$A, 0))-INDEX('UA-normalized'!$E:$E, MATCH($A20, 'UA-normalized'!$A:$A, 0))), 0), 0))+(IFERROR(IF(15*INDEX('KZ-normalized'!$D:$D, MATCH($A20, 'KZ-normalized'!$A:$A, 0))-INDEX('KZ-normalized'!$E:$E, MATCH($A20, 'KZ-normalized'!$A:$A, 0))&gt;0, -(15*INDEX('KZ-normalized'!$D:$D, MATCH($A20, 'KZ-normalized'!$A:$A, 0))-INDEX('KZ-normalized'!$E:$E, MATCH($A20, 'KZ-normalized'!$A:$A, 0))), 0), 0))+(IFERROR(IF(15*INDEX('UZ-normalized'!$D:$D, MATCH($A20, 'UZ-normalized'!$A:$A, 0))-INDEX('UZ-normalized'!$E:$E, MATCH($A20, 'UZ-normalized'!$A:$A, 0))&gt;0, -(15*INDEX('UZ-normalized'!$D:$D, MATCH($A20, 'UZ-normalized'!$A:$A, 0))-INDEX('UZ-normalized'!$E:$E, MATCH($A20, 'UZ-normalized'!$A:$A, 0))), 0), 0)))</f>
        <v>0</v>
      </c>
      <c r="AD20" s="6">
        <f>MIN(0, N20+(IFERROR(IF(16*INDEX('UA-normalized'!$D:$D, MATCH($A20, 'UA-normalized'!$A:$A, 0))-INDEX('UA-normalized'!$E:$E, MATCH($A20, 'UA-normalized'!$A:$A, 0))&gt;0, -(16*INDEX('UA-normalized'!$D:$D, MATCH($A20, 'UA-normalized'!$A:$A, 0))-INDEX('UA-normalized'!$E:$E, MATCH($A20, 'UA-normalized'!$A:$A, 0))), 0), 0))+(IFERROR(IF(16*INDEX('KZ-normalized'!$D:$D, MATCH($A20, 'KZ-normalized'!$A:$A, 0))-INDEX('KZ-normalized'!$E:$E, MATCH($A20, 'KZ-normalized'!$A:$A, 0))&gt;0, -(16*INDEX('KZ-normalized'!$D:$D, MATCH($A20, 'KZ-normalized'!$A:$A, 0))-INDEX('KZ-normalized'!$E:$E, MATCH($A20, 'KZ-normalized'!$A:$A, 0))), 0), 0))+(IFERROR(IF(16*INDEX('UZ-normalized'!$D:$D, MATCH($A20, 'UZ-normalized'!$A:$A, 0))-INDEX('UZ-normalized'!$E:$E, MATCH($A20, 'UZ-normalized'!$A:$A, 0))&gt;0, -(16*INDEX('UZ-normalized'!$D:$D, MATCH($A20, 'UZ-normalized'!$A:$A, 0))-INDEX('UZ-normalized'!$E:$E, MATCH($A20, 'UZ-normalized'!$A:$A, 0))), 0), 0)))</f>
        <v>0</v>
      </c>
      <c r="AE20" s="6">
        <f>MIN(0, N20+(IFERROR(IF(17*INDEX('UA-normalized'!$D:$D, MATCH($A20, 'UA-normalized'!$A:$A, 0))-INDEX('UA-normalized'!$E:$E, MATCH($A20, 'UA-normalized'!$A:$A, 0))&gt;0, -(17*INDEX('UA-normalized'!$D:$D, MATCH($A20, 'UA-normalized'!$A:$A, 0))-INDEX('UA-normalized'!$E:$E, MATCH($A20, 'UA-normalized'!$A:$A, 0))), 0), 0))+(IFERROR(IF(17*INDEX('KZ-normalized'!$D:$D, MATCH($A20, 'KZ-normalized'!$A:$A, 0))-INDEX('KZ-normalized'!$E:$E, MATCH($A20, 'KZ-normalized'!$A:$A, 0))&gt;0, -(17*INDEX('KZ-normalized'!$D:$D, MATCH($A20, 'KZ-normalized'!$A:$A, 0))-INDEX('KZ-normalized'!$E:$E, MATCH($A20, 'KZ-normalized'!$A:$A, 0))), 0), 0))+(IFERROR(IF(17*INDEX('UZ-normalized'!$D:$D, MATCH($A20, 'UZ-normalized'!$A:$A, 0))-INDEX('UZ-normalized'!$E:$E, MATCH($A20, 'UZ-normalized'!$A:$A, 0))&gt;0, -(17*INDEX('UZ-normalized'!$D:$D, MATCH($A20, 'UZ-normalized'!$A:$A, 0))-INDEX('UZ-normalized'!$E:$E, MATCH($A20, 'UZ-normalized'!$A:$A, 0))), 0), 0)))</f>
        <v>0</v>
      </c>
      <c r="AF20" s="6">
        <f>MIN(0, N20+(IFERROR(IF(18*INDEX('UA-normalized'!$D:$D, MATCH($A20, 'UA-normalized'!$A:$A, 0))-INDEX('UA-normalized'!$E:$E, MATCH($A20, 'UA-normalized'!$A:$A, 0))&gt;0, -(18*INDEX('UA-normalized'!$D:$D, MATCH($A20, 'UA-normalized'!$A:$A, 0))-INDEX('UA-normalized'!$E:$E, MATCH($A20, 'UA-normalized'!$A:$A, 0))), 0), 0))+(IFERROR(IF(18*INDEX('KZ-normalized'!$D:$D, MATCH($A20, 'KZ-normalized'!$A:$A, 0))-INDEX('KZ-normalized'!$E:$E, MATCH($A20, 'KZ-normalized'!$A:$A, 0))&gt;0, -(18*INDEX('KZ-normalized'!$D:$D, MATCH($A20, 'KZ-normalized'!$A:$A, 0))-INDEX('KZ-normalized'!$E:$E, MATCH($A20, 'KZ-normalized'!$A:$A, 0))), 0), 0))+(IFERROR(IF(18*INDEX('UZ-normalized'!$D:$D, MATCH($A20, 'UZ-normalized'!$A:$A, 0))-INDEX('UZ-normalized'!$E:$E, MATCH($A20, 'UZ-normalized'!$A:$A, 0))&gt;0, -(18*INDEX('UZ-normalized'!$D:$D, MATCH($A20, 'UZ-normalized'!$A:$A, 0))-INDEX('UZ-normalized'!$E:$E, MATCH($A20, 'UZ-normalized'!$A:$A, 0))), 0), 0)))</f>
        <v>0</v>
      </c>
      <c r="AG20" s="6">
        <f>MIN(0, N20+(IFERROR(IF(19*INDEX('UA-normalized'!$D:$D, MATCH($A20, 'UA-normalized'!$A:$A, 0))-INDEX('UA-normalized'!$E:$E, MATCH($A20, 'UA-normalized'!$A:$A, 0))&gt;0, -(19*INDEX('UA-normalized'!$D:$D, MATCH($A20, 'UA-normalized'!$A:$A, 0))-INDEX('UA-normalized'!$E:$E, MATCH($A20, 'UA-normalized'!$A:$A, 0))), 0), 0))+(IFERROR(IF(19*INDEX('KZ-normalized'!$D:$D, MATCH($A20, 'KZ-normalized'!$A:$A, 0))-INDEX('KZ-normalized'!$E:$E, MATCH($A20, 'KZ-normalized'!$A:$A, 0))&gt;0, -(19*INDEX('KZ-normalized'!$D:$D, MATCH($A20, 'KZ-normalized'!$A:$A, 0))-INDEX('KZ-normalized'!$E:$E, MATCH($A20, 'KZ-normalized'!$A:$A, 0))), 0), 0))+(IFERROR(IF(19*INDEX('UZ-normalized'!$D:$D, MATCH($A20, 'UZ-normalized'!$A:$A, 0))-INDEX('UZ-normalized'!$E:$E, MATCH($A20, 'UZ-normalized'!$A:$A, 0))&gt;0, -(19*INDEX('UZ-normalized'!$D:$D, MATCH($A20, 'UZ-normalized'!$A:$A, 0))-INDEX('UZ-normalized'!$E:$E, MATCH($A20, 'UZ-normalized'!$A:$A, 0))), 0), 0)))</f>
        <v>0</v>
      </c>
      <c r="AH20" s="6">
        <f>MIN(0, N20+(IFERROR(IF(20*INDEX('UA-normalized'!$D:$D, MATCH($A20, 'UA-normalized'!$A:$A, 0))-INDEX('UA-normalized'!$E:$E, MATCH($A20, 'UA-normalized'!$A:$A, 0))&gt;0, -(20*INDEX('UA-normalized'!$D:$D, MATCH($A20, 'UA-normalized'!$A:$A, 0))-INDEX('UA-normalized'!$E:$E, MATCH($A20, 'UA-normalized'!$A:$A, 0))), 0), 0))+(IFERROR(IF(20*INDEX('KZ-normalized'!$D:$D, MATCH($A20, 'KZ-normalized'!$A:$A, 0))-INDEX('KZ-normalized'!$E:$E, MATCH($A20, 'KZ-normalized'!$A:$A, 0))&gt;0, -(20*INDEX('KZ-normalized'!$D:$D, MATCH($A20, 'KZ-normalized'!$A:$A, 0))-INDEX('KZ-normalized'!$E:$E, MATCH($A20, 'KZ-normalized'!$A:$A, 0))), 0), 0))+(IFERROR(IF(20*INDEX('UZ-normalized'!$D:$D, MATCH($A20, 'UZ-normalized'!$A:$A, 0))-INDEX('UZ-normalized'!$E:$E, MATCH($A20, 'UZ-normalized'!$A:$A, 0))&gt;0, -(20*INDEX('UZ-normalized'!$D:$D, MATCH($A20, 'UZ-normalized'!$A:$A, 0))-INDEX('UZ-normalized'!$E:$E, MATCH($A20, 'UZ-normalized'!$A:$A, 0))), 0), 0)))</f>
        <v>0</v>
      </c>
      <c r="AI20" s="6">
        <f>MIN(0, N20+(IFERROR(IF(21*INDEX('UA-normalized'!$D:$D, MATCH($A20, 'UA-normalized'!$A:$A, 0))-INDEX('UA-normalized'!$E:$E, MATCH($A20, 'UA-normalized'!$A:$A, 0))&gt;0, -(21*INDEX('UA-normalized'!$D:$D, MATCH($A20, 'UA-normalized'!$A:$A, 0))-INDEX('UA-normalized'!$E:$E, MATCH($A20, 'UA-normalized'!$A:$A, 0))), 0), 0))+(IFERROR(IF(21*INDEX('KZ-normalized'!$D:$D, MATCH($A20, 'KZ-normalized'!$A:$A, 0))-INDEX('KZ-normalized'!$E:$E, MATCH($A20, 'KZ-normalized'!$A:$A, 0))&gt;0, -(21*INDEX('KZ-normalized'!$D:$D, MATCH($A20, 'KZ-normalized'!$A:$A, 0))-INDEX('KZ-normalized'!$E:$E, MATCH($A20, 'KZ-normalized'!$A:$A, 0))), 0), 0))+(IFERROR(IF(21*INDEX('UZ-normalized'!$D:$D, MATCH($A20, 'UZ-normalized'!$A:$A, 0))-INDEX('UZ-normalized'!$E:$E, MATCH($A20, 'UZ-normalized'!$A:$A, 0))&gt;0, -(21*INDEX('UZ-normalized'!$D:$D, MATCH($A20, 'UZ-normalized'!$A:$A, 0))-INDEX('UZ-normalized'!$E:$E, MATCH($A20, 'UZ-normalized'!$A:$A, 0))), 0), 0)))</f>
        <v>0</v>
      </c>
      <c r="AJ20" s="6">
        <f>MIN(0, N20+(IFERROR(IF(22*INDEX('UA-normalized'!$D:$D, MATCH($A20, 'UA-normalized'!$A:$A, 0))-INDEX('UA-normalized'!$E:$E, MATCH($A20, 'UA-normalized'!$A:$A, 0))&gt;0, -(22*INDEX('UA-normalized'!$D:$D, MATCH($A20, 'UA-normalized'!$A:$A, 0))-INDEX('UA-normalized'!$E:$E, MATCH($A20, 'UA-normalized'!$A:$A, 0))), 0), 0))+(IFERROR(IF(22*INDEX('KZ-normalized'!$D:$D, MATCH($A20, 'KZ-normalized'!$A:$A, 0))-INDEX('KZ-normalized'!$E:$E, MATCH($A20, 'KZ-normalized'!$A:$A, 0))&gt;0, -(22*INDEX('KZ-normalized'!$D:$D, MATCH($A20, 'KZ-normalized'!$A:$A, 0))-INDEX('KZ-normalized'!$E:$E, MATCH($A20, 'KZ-normalized'!$A:$A, 0))), 0), 0))+(IFERROR(IF(22*INDEX('UZ-normalized'!$D:$D, MATCH($A20, 'UZ-normalized'!$A:$A, 0))-INDEX('UZ-normalized'!$E:$E, MATCH($A20, 'UZ-normalized'!$A:$A, 0))&gt;0, -(22*INDEX('UZ-normalized'!$D:$D, MATCH($A20, 'UZ-normalized'!$A:$A, 0))-INDEX('UZ-normalized'!$E:$E, MATCH($A20, 'UZ-normalized'!$A:$A, 0))), 0), 0)))</f>
        <v>0</v>
      </c>
      <c r="AK20" s="6">
        <f>MIN(0, N20+(IFERROR(IF(23*INDEX('UA-normalized'!$D:$D, MATCH($A20, 'UA-normalized'!$A:$A, 0))-INDEX('UA-normalized'!$E:$E, MATCH($A20, 'UA-normalized'!$A:$A, 0))&gt;0, -(23*INDEX('UA-normalized'!$D:$D, MATCH($A20, 'UA-normalized'!$A:$A, 0))-INDEX('UA-normalized'!$E:$E, MATCH($A20, 'UA-normalized'!$A:$A, 0))), 0), 0))+(IFERROR(IF(23*INDEX('KZ-normalized'!$D:$D, MATCH($A20, 'KZ-normalized'!$A:$A, 0))-INDEX('KZ-normalized'!$E:$E, MATCH($A20, 'KZ-normalized'!$A:$A, 0))&gt;0, -(23*INDEX('KZ-normalized'!$D:$D, MATCH($A20, 'KZ-normalized'!$A:$A, 0))-INDEX('KZ-normalized'!$E:$E, MATCH($A20, 'KZ-normalized'!$A:$A, 0))), 0), 0))+(IFERROR(IF(23*INDEX('UZ-normalized'!$D:$D, MATCH($A20, 'UZ-normalized'!$A:$A, 0))-INDEX('UZ-normalized'!$E:$E, MATCH($A20, 'UZ-normalized'!$A:$A, 0))&gt;0, -(23*INDEX('UZ-normalized'!$D:$D, MATCH($A20, 'UZ-normalized'!$A:$A, 0))-INDEX('UZ-normalized'!$E:$E, MATCH($A20, 'UZ-normalized'!$A:$A, 0))), 0), 0)))</f>
        <v>0</v>
      </c>
      <c r="AL20" s="6">
        <f>MIN(0, N20+(IFERROR(IF(24*INDEX('UA-normalized'!$D:$D, MATCH($A20, 'UA-normalized'!$A:$A, 0))-INDEX('UA-normalized'!$E:$E, MATCH($A20, 'UA-normalized'!$A:$A, 0))&gt;0, -(24*INDEX('UA-normalized'!$D:$D, MATCH($A20, 'UA-normalized'!$A:$A, 0))-INDEX('UA-normalized'!$E:$E, MATCH($A20, 'UA-normalized'!$A:$A, 0))), 0), 0))+(IFERROR(IF(24*INDEX('KZ-normalized'!$D:$D, MATCH($A20, 'KZ-normalized'!$A:$A, 0))-INDEX('KZ-normalized'!$E:$E, MATCH($A20, 'KZ-normalized'!$A:$A, 0))&gt;0, -(24*INDEX('KZ-normalized'!$D:$D, MATCH($A20, 'KZ-normalized'!$A:$A, 0))-INDEX('KZ-normalized'!$E:$E, MATCH($A20, 'KZ-normalized'!$A:$A, 0))), 0), 0))+(IFERROR(IF(24*INDEX('UZ-normalized'!$D:$D, MATCH($A20, 'UZ-normalized'!$A:$A, 0))-INDEX('UZ-normalized'!$E:$E, MATCH($A20, 'UZ-normalized'!$A:$A, 0))&gt;0, -(24*INDEX('UZ-normalized'!$D:$D, MATCH($A20, 'UZ-normalized'!$A:$A, 0))-INDEX('UZ-normalized'!$E:$E, MATCH($A20, 'UZ-normalized'!$A:$A, 0))), 0), 0)))</f>
        <v>0</v>
      </c>
      <c r="AM20" s="6">
        <f>MIN(0, N20+(IFERROR(IF(25*INDEX('UA-normalized'!$D:$D, MATCH($A20, 'UA-normalized'!$A:$A, 0))-INDEX('UA-normalized'!$E:$E, MATCH($A20, 'UA-normalized'!$A:$A, 0))&gt;0, -(25*INDEX('UA-normalized'!$D:$D, MATCH($A20, 'UA-normalized'!$A:$A, 0))-INDEX('UA-normalized'!$E:$E, MATCH($A20, 'UA-normalized'!$A:$A, 0))), 0), 0))+(IFERROR(IF(25*INDEX('KZ-normalized'!$D:$D, MATCH($A20, 'KZ-normalized'!$A:$A, 0))-INDEX('KZ-normalized'!$E:$E, MATCH($A20, 'KZ-normalized'!$A:$A, 0))&gt;0, -(25*INDEX('KZ-normalized'!$D:$D, MATCH($A20, 'KZ-normalized'!$A:$A, 0))-INDEX('KZ-normalized'!$E:$E, MATCH($A20, 'KZ-normalized'!$A:$A, 0))), 0), 0))+(IFERROR(IF(25*INDEX('UZ-normalized'!$D:$D, MATCH($A20, 'UZ-normalized'!$A:$A, 0))-INDEX('UZ-normalized'!$E:$E, MATCH($A20, 'UZ-normalized'!$A:$A, 0))&gt;0, -(25*INDEX('UZ-normalized'!$D:$D, MATCH($A20, 'UZ-normalized'!$A:$A, 0))-INDEX('UZ-normalized'!$E:$E, MATCH($A20, 'UZ-normalized'!$A:$A, 0))), 0), 0)))</f>
        <v>0</v>
      </c>
      <c r="AN20" s="6">
        <f>MIN(0, N20+(IFERROR(IF(26*INDEX('UA-normalized'!$D:$D, MATCH($A20, 'UA-normalized'!$A:$A, 0))-INDEX('UA-normalized'!$E:$E, MATCH($A20, 'UA-normalized'!$A:$A, 0))&gt;0, -(26*INDEX('UA-normalized'!$D:$D, MATCH($A20, 'UA-normalized'!$A:$A, 0))-INDEX('UA-normalized'!$E:$E, MATCH($A20, 'UA-normalized'!$A:$A, 0))), 0), 0))+(IFERROR(IF(26*INDEX('KZ-normalized'!$D:$D, MATCH($A20, 'KZ-normalized'!$A:$A, 0))-INDEX('KZ-normalized'!$E:$E, MATCH($A20, 'KZ-normalized'!$A:$A, 0))&gt;0, -(26*INDEX('KZ-normalized'!$D:$D, MATCH($A20, 'KZ-normalized'!$A:$A, 0))-INDEX('KZ-normalized'!$E:$E, MATCH($A20, 'KZ-normalized'!$A:$A, 0))), 0), 0))+(IFERROR(IF(26*INDEX('UZ-normalized'!$D:$D, MATCH($A20, 'UZ-normalized'!$A:$A, 0))-INDEX('UZ-normalized'!$E:$E, MATCH($A20, 'UZ-normalized'!$A:$A, 0))&gt;0, -(26*INDEX('UZ-normalized'!$D:$D, MATCH($A20, 'UZ-normalized'!$A:$A, 0))-INDEX('UZ-normalized'!$E:$E, MATCH($A20, 'UZ-normalized'!$A:$A, 0))), 0), 0)))</f>
        <v>0</v>
      </c>
      <c r="AO20" s="6">
        <f>MIN(0, N20+(IFERROR(IF(27*INDEX('UA-normalized'!$D:$D, MATCH($A20, 'UA-normalized'!$A:$A, 0))-INDEX('UA-normalized'!$E:$E, MATCH($A20, 'UA-normalized'!$A:$A, 0))&gt;0, -(27*INDEX('UA-normalized'!$D:$D, MATCH($A20, 'UA-normalized'!$A:$A, 0))-INDEX('UA-normalized'!$E:$E, MATCH($A20, 'UA-normalized'!$A:$A, 0))), 0), 0))+(IFERROR(IF(27*INDEX('KZ-normalized'!$D:$D, MATCH($A20, 'KZ-normalized'!$A:$A, 0))-INDEX('KZ-normalized'!$E:$E, MATCH($A20, 'KZ-normalized'!$A:$A, 0))&gt;0, -(27*INDEX('KZ-normalized'!$D:$D, MATCH($A20, 'KZ-normalized'!$A:$A, 0))-INDEX('KZ-normalized'!$E:$E, MATCH($A20, 'KZ-normalized'!$A:$A, 0))), 0), 0))+(IFERROR(IF(27*INDEX('UZ-normalized'!$D:$D, MATCH($A20, 'UZ-normalized'!$A:$A, 0))-INDEX('UZ-normalized'!$E:$E, MATCH($A20, 'UZ-normalized'!$A:$A, 0))&gt;0, -(27*INDEX('UZ-normalized'!$D:$D, MATCH($A20, 'UZ-normalized'!$A:$A, 0))-INDEX('UZ-normalized'!$E:$E, MATCH($A20, 'UZ-normalized'!$A:$A, 0))), 0), 0)))</f>
        <v>0</v>
      </c>
      <c r="AP20" s="6">
        <f>MIN(0, N20+(IFERROR(IF(28*INDEX('UA-normalized'!$D:$D, MATCH($A20, 'UA-normalized'!$A:$A, 0))-INDEX('UA-normalized'!$E:$E, MATCH($A20, 'UA-normalized'!$A:$A, 0))&gt;0, -(28*INDEX('UA-normalized'!$D:$D, MATCH($A20, 'UA-normalized'!$A:$A, 0))-INDEX('UA-normalized'!$E:$E, MATCH($A20, 'UA-normalized'!$A:$A, 0))), 0), 0))+(IFERROR(IF(28*INDEX('KZ-normalized'!$D:$D, MATCH($A20, 'KZ-normalized'!$A:$A, 0))-INDEX('KZ-normalized'!$E:$E, MATCH($A20, 'KZ-normalized'!$A:$A, 0))&gt;0, -(28*INDEX('KZ-normalized'!$D:$D, MATCH($A20, 'KZ-normalized'!$A:$A, 0))-INDEX('KZ-normalized'!$E:$E, MATCH($A20, 'KZ-normalized'!$A:$A, 0))), 0), 0))+(IFERROR(IF(28*INDEX('UZ-normalized'!$D:$D, MATCH($A20, 'UZ-normalized'!$A:$A, 0))-INDEX('UZ-normalized'!$E:$E, MATCH($A20, 'UZ-normalized'!$A:$A, 0))&gt;0, -(28*INDEX('UZ-normalized'!$D:$D, MATCH($A20, 'UZ-normalized'!$A:$A, 0))-INDEX('UZ-normalized'!$E:$E, MATCH($A20, 'UZ-normalized'!$A:$A, 0))), 0), 0)))</f>
        <v>0</v>
      </c>
      <c r="AQ20" s="6">
        <f>MIN(0, N20+(IFERROR(IF(29*INDEX('UA-normalized'!$D:$D, MATCH($A20, 'UA-normalized'!$A:$A, 0))-INDEX('UA-normalized'!$E:$E, MATCH($A20, 'UA-normalized'!$A:$A, 0))&gt;0, -(29*INDEX('UA-normalized'!$D:$D, MATCH($A20, 'UA-normalized'!$A:$A, 0))-INDEX('UA-normalized'!$E:$E, MATCH($A20, 'UA-normalized'!$A:$A, 0))), 0), 0))+(IFERROR(IF(29*INDEX('KZ-normalized'!$D:$D, MATCH($A20, 'KZ-normalized'!$A:$A, 0))-INDEX('KZ-normalized'!$E:$E, MATCH($A20, 'KZ-normalized'!$A:$A, 0))&gt;0, -(29*INDEX('KZ-normalized'!$D:$D, MATCH($A20, 'KZ-normalized'!$A:$A, 0))-INDEX('KZ-normalized'!$E:$E, MATCH($A20, 'KZ-normalized'!$A:$A, 0))), 0), 0))+(IFERROR(IF(29*INDEX('UZ-normalized'!$D:$D, MATCH($A20, 'UZ-normalized'!$A:$A, 0))-INDEX('UZ-normalized'!$E:$E, MATCH($A20, 'UZ-normalized'!$A:$A, 0))&gt;0, -(29*INDEX('UZ-normalized'!$D:$D, MATCH($A20, 'UZ-normalized'!$A:$A, 0))-INDEX('UZ-normalized'!$E:$E, MATCH($A20, 'UZ-normalized'!$A:$A, 0))), 0), 0)))</f>
        <v>0</v>
      </c>
      <c r="AR20" s="6">
        <f>MIN(0, N20+(IFERROR(IF(30*INDEX('UA-normalized'!$D:$D, MATCH($A20, 'UA-normalized'!$A:$A, 0))-INDEX('UA-normalized'!$E:$E, MATCH($A20, 'UA-normalized'!$A:$A, 0))&gt;0, -(30*INDEX('UA-normalized'!$D:$D, MATCH($A20, 'UA-normalized'!$A:$A, 0))-INDEX('UA-normalized'!$E:$E, MATCH($A20, 'UA-normalized'!$A:$A, 0))), 0), 0))+(IFERROR(IF(30*INDEX('KZ-normalized'!$D:$D, MATCH($A20, 'KZ-normalized'!$A:$A, 0))-INDEX('KZ-normalized'!$E:$E, MATCH($A20, 'KZ-normalized'!$A:$A, 0))&gt;0, -(30*INDEX('KZ-normalized'!$D:$D, MATCH($A20, 'KZ-normalized'!$A:$A, 0))-INDEX('KZ-normalized'!$E:$E, MATCH($A20, 'KZ-normalized'!$A:$A, 0))), 0), 0))+(IFERROR(IF(30*INDEX('UZ-normalized'!$D:$D, MATCH($A20, 'UZ-normalized'!$A:$A, 0))-INDEX('UZ-normalized'!$E:$E, MATCH($A20, 'UZ-normalized'!$A:$A, 0))&gt;0, -(30*INDEX('UZ-normalized'!$D:$D, MATCH($A20, 'UZ-normalized'!$A:$A, 0))-INDEX('UZ-normalized'!$E:$E, MATCH($A20, 'UZ-normalized'!$A:$A, 0))), 0), 0)))</f>
        <v>0</v>
      </c>
    </row>
    <row r="21" spans="1:44" x14ac:dyDescent="0.25">
      <c r="A21" s="8" t="s">
        <v>90</v>
      </c>
      <c r="B21" s="8" t="s">
        <v>83</v>
      </c>
      <c r="C21" s="8" t="s">
        <v>84</v>
      </c>
      <c r="D21" s="8" t="s">
        <v>91</v>
      </c>
      <c r="N21">
        <f t="shared" si="0"/>
        <v>0</v>
      </c>
      <c r="O21" s="6">
        <f>MIN(0, N21+(IFERROR(IF(1*INDEX('UA-normalized'!$D:$D, MATCH($A21, 'UA-normalized'!$A:$A, 0))-INDEX('UA-normalized'!$E:$E, MATCH($A21, 'UA-normalized'!$A:$A, 0))&gt;0, -(1*INDEX('UA-normalized'!$D:$D, MATCH($A21, 'UA-normalized'!$A:$A, 0))-INDEX('UA-normalized'!$E:$E, MATCH($A21, 'UA-normalized'!$A:$A, 0))), 0), 0))+(IFERROR(IF(1*INDEX('KZ-normalized'!$D:$D, MATCH($A21, 'KZ-normalized'!$A:$A, 0))-INDEX('KZ-normalized'!$E:$E, MATCH($A21, 'KZ-normalized'!$A:$A, 0))&gt;0, -(1*INDEX('KZ-normalized'!$D:$D, MATCH($A21, 'KZ-normalized'!$A:$A, 0))-INDEX('KZ-normalized'!$E:$E, MATCH($A21, 'KZ-normalized'!$A:$A, 0))), 0), 0))+(IFERROR(IF(1*INDEX('UZ-normalized'!$D:$D, MATCH($A21, 'UZ-normalized'!$A:$A, 0))-INDEX('UZ-normalized'!$E:$E, MATCH($A21, 'UZ-normalized'!$A:$A, 0))&gt;0, -(1*INDEX('UZ-normalized'!$D:$D, MATCH($A21, 'UZ-normalized'!$A:$A, 0))-INDEX('UZ-normalized'!$E:$E, MATCH($A21, 'UZ-normalized'!$A:$A, 0))), 0), 0)))</f>
        <v>0</v>
      </c>
      <c r="P21" s="6">
        <f>MIN(0, N21+(IFERROR(IF(2*INDEX('UA-normalized'!$D:$D, MATCH($A21, 'UA-normalized'!$A:$A, 0))-INDEX('UA-normalized'!$E:$E, MATCH($A21, 'UA-normalized'!$A:$A, 0))&gt;0, -(2*INDEX('UA-normalized'!$D:$D, MATCH($A21, 'UA-normalized'!$A:$A, 0))-INDEX('UA-normalized'!$E:$E, MATCH($A21, 'UA-normalized'!$A:$A, 0))), 0), 0))+(IFERROR(IF(2*INDEX('KZ-normalized'!$D:$D, MATCH($A21, 'KZ-normalized'!$A:$A, 0))-INDEX('KZ-normalized'!$E:$E, MATCH($A21, 'KZ-normalized'!$A:$A, 0))&gt;0, -(2*INDEX('KZ-normalized'!$D:$D, MATCH($A21, 'KZ-normalized'!$A:$A, 0))-INDEX('KZ-normalized'!$E:$E, MATCH($A21, 'KZ-normalized'!$A:$A, 0))), 0), 0))+(IFERROR(IF(2*INDEX('UZ-normalized'!$D:$D, MATCH($A21, 'UZ-normalized'!$A:$A, 0))-INDEX('UZ-normalized'!$E:$E, MATCH($A21, 'UZ-normalized'!$A:$A, 0))&gt;0, -(2*INDEX('UZ-normalized'!$D:$D, MATCH($A21, 'UZ-normalized'!$A:$A, 0))-INDEX('UZ-normalized'!$E:$E, MATCH($A21, 'UZ-normalized'!$A:$A, 0))), 0), 0)))</f>
        <v>0</v>
      </c>
      <c r="Q21" s="6">
        <f>MIN(0, N21+(IFERROR(IF(3*INDEX('UA-normalized'!$D:$D, MATCH($A21, 'UA-normalized'!$A:$A, 0))-INDEX('UA-normalized'!$E:$E, MATCH($A21, 'UA-normalized'!$A:$A, 0))&gt;0, -(3*INDEX('UA-normalized'!$D:$D, MATCH($A21, 'UA-normalized'!$A:$A, 0))-INDEX('UA-normalized'!$E:$E, MATCH($A21, 'UA-normalized'!$A:$A, 0))), 0), 0))+(IFERROR(IF(3*INDEX('KZ-normalized'!$D:$D, MATCH($A21, 'KZ-normalized'!$A:$A, 0))-INDEX('KZ-normalized'!$E:$E, MATCH($A21, 'KZ-normalized'!$A:$A, 0))&gt;0, -(3*INDEX('KZ-normalized'!$D:$D, MATCH($A21, 'KZ-normalized'!$A:$A, 0))-INDEX('KZ-normalized'!$E:$E, MATCH($A21, 'KZ-normalized'!$A:$A, 0))), 0), 0))+(IFERROR(IF(3*INDEX('UZ-normalized'!$D:$D, MATCH($A21, 'UZ-normalized'!$A:$A, 0))-INDEX('UZ-normalized'!$E:$E, MATCH($A21, 'UZ-normalized'!$A:$A, 0))&gt;0, -(3*INDEX('UZ-normalized'!$D:$D, MATCH($A21, 'UZ-normalized'!$A:$A, 0))-INDEX('UZ-normalized'!$E:$E, MATCH($A21, 'UZ-normalized'!$A:$A, 0))), 0), 0)))</f>
        <v>0</v>
      </c>
      <c r="R21" s="6">
        <f>MIN(0, N21+(IFERROR(IF(4*INDEX('UA-normalized'!$D:$D, MATCH($A21, 'UA-normalized'!$A:$A, 0))-INDEX('UA-normalized'!$E:$E, MATCH($A21, 'UA-normalized'!$A:$A, 0))&gt;0, -(4*INDEX('UA-normalized'!$D:$D, MATCH($A21, 'UA-normalized'!$A:$A, 0))-INDEX('UA-normalized'!$E:$E, MATCH($A21, 'UA-normalized'!$A:$A, 0))), 0), 0))+(IFERROR(IF(4*INDEX('KZ-normalized'!$D:$D, MATCH($A21, 'KZ-normalized'!$A:$A, 0))-INDEX('KZ-normalized'!$E:$E, MATCH($A21, 'KZ-normalized'!$A:$A, 0))&gt;0, -(4*INDEX('KZ-normalized'!$D:$D, MATCH($A21, 'KZ-normalized'!$A:$A, 0))-INDEX('KZ-normalized'!$E:$E, MATCH($A21, 'KZ-normalized'!$A:$A, 0))), 0), 0))+(IFERROR(IF(4*INDEX('UZ-normalized'!$D:$D, MATCH($A21, 'UZ-normalized'!$A:$A, 0))-INDEX('UZ-normalized'!$E:$E, MATCH($A21, 'UZ-normalized'!$A:$A, 0))&gt;0, -(4*INDEX('UZ-normalized'!$D:$D, MATCH($A21, 'UZ-normalized'!$A:$A, 0))-INDEX('UZ-normalized'!$E:$E, MATCH($A21, 'UZ-normalized'!$A:$A, 0))), 0), 0)))</f>
        <v>0</v>
      </c>
      <c r="S21" s="6">
        <f>MIN(0, N21+(IFERROR(IF(5*INDEX('UA-normalized'!$D:$D, MATCH($A21, 'UA-normalized'!$A:$A, 0))-INDEX('UA-normalized'!$E:$E, MATCH($A21, 'UA-normalized'!$A:$A, 0))&gt;0, -(5*INDEX('UA-normalized'!$D:$D, MATCH($A21, 'UA-normalized'!$A:$A, 0))-INDEX('UA-normalized'!$E:$E, MATCH($A21, 'UA-normalized'!$A:$A, 0))), 0), 0))+(IFERROR(IF(5*INDEX('KZ-normalized'!$D:$D, MATCH($A21, 'KZ-normalized'!$A:$A, 0))-INDEX('KZ-normalized'!$E:$E, MATCH($A21, 'KZ-normalized'!$A:$A, 0))&gt;0, -(5*INDEX('KZ-normalized'!$D:$D, MATCH($A21, 'KZ-normalized'!$A:$A, 0))-INDEX('KZ-normalized'!$E:$E, MATCH($A21, 'KZ-normalized'!$A:$A, 0))), 0), 0))+(IFERROR(IF(5*INDEX('UZ-normalized'!$D:$D, MATCH($A21, 'UZ-normalized'!$A:$A, 0))-INDEX('UZ-normalized'!$E:$E, MATCH($A21, 'UZ-normalized'!$A:$A, 0))&gt;0, -(5*INDEX('UZ-normalized'!$D:$D, MATCH($A21, 'UZ-normalized'!$A:$A, 0))-INDEX('UZ-normalized'!$E:$E, MATCH($A21, 'UZ-normalized'!$A:$A, 0))), 0), 0)))</f>
        <v>0</v>
      </c>
      <c r="T21" s="6">
        <f>MIN(0, N21+(IFERROR(IF(6*INDEX('UA-normalized'!$D:$D, MATCH($A21, 'UA-normalized'!$A:$A, 0))-INDEX('UA-normalized'!$E:$E, MATCH($A21, 'UA-normalized'!$A:$A, 0))&gt;0, -(6*INDEX('UA-normalized'!$D:$D, MATCH($A21, 'UA-normalized'!$A:$A, 0))-INDEX('UA-normalized'!$E:$E, MATCH($A21, 'UA-normalized'!$A:$A, 0))), 0), 0))+(IFERROR(IF(6*INDEX('KZ-normalized'!$D:$D, MATCH($A21, 'KZ-normalized'!$A:$A, 0))-INDEX('KZ-normalized'!$E:$E, MATCH($A21, 'KZ-normalized'!$A:$A, 0))&gt;0, -(6*INDEX('KZ-normalized'!$D:$D, MATCH($A21, 'KZ-normalized'!$A:$A, 0))-INDEX('KZ-normalized'!$E:$E, MATCH($A21, 'KZ-normalized'!$A:$A, 0))), 0), 0))+(IFERROR(IF(6*INDEX('UZ-normalized'!$D:$D, MATCH($A21, 'UZ-normalized'!$A:$A, 0))-INDEX('UZ-normalized'!$E:$E, MATCH($A21, 'UZ-normalized'!$A:$A, 0))&gt;0, -(6*INDEX('UZ-normalized'!$D:$D, MATCH($A21, 'UZ-normalized'!$A:$A, 0))-INDEX('UZ-normalized'!$E:$E, MATCH($A21, 'UZ-normalized'!$A:$A, 0))), 0), 0)))</f>
        <v>0</v>
      </c>
      <c r="U21" s="6">
        <f>MIN(0, N21+(IFERROR(IF(7*INDEX('UA-normalized'!$D:$D, MATCH($A21, 'UA-normalized'!$A:$A, 0))-INDEX('UA-normalized'!$E:$E, MATCH($A21, 'UA-normalized'!$A:$A, 0))&gt;0, -(7*INDEX('UA-normalized'!$D:$D, MATCH($A21, 'UA-normalized'!$A:$A, 0))-INDEX('UA-normalized'!$E:$E, MATCH($A21, 'UA-normalized'!$A:$A, 0))), 0), 0))+(IFERROR(IF(7*INDEX('KZ-normalized'!$D:$D, MATCH($A21, 'KZ-normalized'!$A:$A, 0))-INDEX('KZ-normalized'!$E:$E, MATCH($A21, 'KZ-normalized'!$A:$A, 0))&gt;0, -(7*INDEX('KZ-normalized'!$D:$D, MATCH($A21, 'KZ-normalized'!$A:$A, 0))-INDEX('KZ-normalized'!$E:$E, MATCH($A21, 'KZ-normalized'!$A:$A, 0))), 0), 0))+(IFERROR(IF(7*INDEX('UZ-normalized'!$D:$D, MATCH($A21, 'UZ-normalized'!$A:$A, 0))-INDEX('UZ-normalized'!$E:$E, MATCH($A21, 'UZ-normalized'!$A:$A, 0))&gt;0, -(7*INDEX('UZ-normalized'!$D:$D, MATCH($A21, 'UZ-normalized'!$A:$A, 0))-INDEX('UZ-normalized'!$E:$E, MATCH($A21, 'UZ-normalized'!$A:$A, 0))), 0), 0)))</f>
        <v>0</v>
      </c>
      <c r="V21" s="6">
        <f>MIN(0, N21+(IFERROR(IF(8*INDEX('UA-normalized'!$D:$D, MATCH($A21, 'UA-normalized'!$A:$A, 0))-INDEX('UA-normalized'!$E:$E, MATCH($A21, 'UA-normalized'!$A:$A, 0))&gt;0, -(8*INDEX('UA-normalized'!$D:$D, MATCH($A21, 'UA-normalized'!$A:$A, 0))-INDEX('UA-normalized'!$E:$E, MATCH($A21, 'UA-normalized'!$A:$A, 0))), 0), 0))+(IFERROR(IF(8*INDEX('KZ-normalized'!$D:$D, MATCH($A21, 'KZ-normalized'!$A:$A, 0))-INDEX('KZ-normalized'!$E:$E, MATCH($A21, 'KZ-normalized'!$A:$A, 0))&gt;0, -(8*INDEX('KZ-normalized'!$D:$D, MATCH($A21, 'KZ-normalized'!$A:$A, 0))-INDEX('KZ-normalized'!$E:$E, MATCH($A21, 'KZ-normalized'!$A:$A, 0))), 0), 0))+(IFERROR(IF(8*INDEX('UZ-normalized'!$D:$D, MATCH($A21, 'UZ-normalized'!$A:$A, 0))-INDEX('UZ-normalized'!$E:$E, MATCH($A21, 'UZ-normalized'!$A:$A, 0))&gt;0, -(8*INDEX('UZ-normalized'!$D:$D, MATCH($A21, 'UZ-normalized'!$A:$A, 0))-INDEX('UZ-normalized'!$E:$E, MATCH($A21, 'UZ-normalized'!$A:$A, 0))), 0), 0)))</f>
        <v>0</v>
      </c>
      <c r="W21" s="6">
        <f>MIN(0, N21+(IFERROR(IF(9*INDEX('UA-normalized'!$D:$D, MATCH($A21, 'UA-normalized'!$A:$A, 0))-INDEX('UA-normalized'!$E:$E, MATCH($A21, 'UA-normalized'!$A:$A, 0))&gt;0, -(9*INDEX('UA-normalized'!$D:$D, MATCH($A21, 'UA-normalized'!$A:$A, 0))-INDEX('UA-normalized'!$E:$E, MATCH($A21, 'UA-normalized'!$A:$A, 0))), 0), 0))+(IFERROR(IF(9*INDEX('KZ-normalized'!$D:$D, MATCH($A21, 'KZ-normalized'!$A:$A, 0))-INDEX('KZ-normalized'!$E:$E, MATCH($A21, 'KZ-normalized'!$A:$A, 0))&gt;0, -(9*INDEX('KZ-normalized'!$D:$D, MATCH($A21, 'KZ-normalized'!$A:$A, 0))-INDEX('KZ-normalized'!$E:$E, MATCH($A21, 'KZ-normalized'!$A:$A, 0))), 0), 0))+(IFERROR(IF(9*INDEX('UZ-normalized'!$D:$D, MATCH($A21, 'UZ-normalized'!$A:$A, 0))-INDEX('UZ-normalized'!$E:$E, MATCH($A21, 'UZ-normalized'!$A:$A, 0))&gt;0, -(9*INDEX('UZ-normalized'!$D:$D, MATCH($A21, 'UZ-normalized'!$A:$A, 0))-INDEX('UZ-normalized'!$E:$E, MATCH($A21, 'UZ-normalized'!$A:$A, 0))), 0), 0)))</f>
        <v>0</v>
      </c>
      <c r="X21" s="6">
        <f>MIN(0, N21+(IFERROR(IF(10*INDEX('UA-normalized'!$D:$D, MATCH($A21, 'UA-normalized'!$A:$A, 0))-INDEX('UA-normalized'!$E:$E, MATCH($A21, 'UA-normalized'!$A:$A, 0))&gt;0, -(10*INDEX('UA-normalized'!$D:$D, MATCH($A21, 'UA-normalized'!$A:$A, 0))-INDEX('UA-normalized'!$E:$E, MATCH($A21, 'UA-normalized'!$A:$A, 0))), 0), 0))+(IFERROR(IF(10*INDEX('KZ-normalized'!$D:$D, MATCH($A21, 'KZ-normalized'!$A:$A, 0))-INDEX('KZ-normalized'!$E:$E, MATCH($A21, 'KZ-normalized'!$A:$A, 0))&gt;0, -(10*INDEX('KZ-normalized'!$D:$D, MATCH($A21, 'KZ-normalized'!$A:$A, 0))-INDEX('KZ-normalized'!$E:$E, MATCH($A21, 'KZ-normalized'!$A:$A, 0))), 0), 0))+(IFERROR(IF(10*INDEX('UZ-normalized'!$D:$D, MATCH($A21, 'UZ-normalized'!$A:$A, 0))-INDEX('UZ-normalized'!$E:$E, MATCH($A21, 'UZ-normalized'!$A:$A, 0))&gt;0, -(10*INDEX('UZ-normalized'!$D:$D, MATCH($A21, 'UZ-normalized'!$A:$A, 0))-INDEX('UZ-normalized'!$E:$E, MATCH($A21, 'UZ-normalized'!$A:$A, 0))), 0), 0)))</f>
        <v>0</v>
      </c>
      <c r="Y21" s="6">
        <f>MIN(0, N21+(IFERROR(IF(11*INDEX('UA-normalized'!$D:$D, MATCH($A21, 'UA-normalized'!$A:$A, 0))-INDEX('UA-normalized'!$E:$E, MATCH($A21, 'UA-normalized'!$A:$A, 0))&gt;0, -(11*INDEX('UA-normalized'!$D:$D, MATCH($A21, 'UA-normalized'!$A:$A, 0))-INDEX('UA-normalized'!$E:$E, MATCH($A21, 'UA-normalized'!$A:$A, 0))), 0), 0))+(IFERROR(IF(11*INDEX('KZ-normalized'!$D:$D, MATCH($A21, 'KZ-normalized'!$A:$A, 0))-INDEX('KZ-normalized'!$E:$E, MATCH($A21, 'KZ-normalized'!$A:$A, 0))&gt;0, -(11*INDEX('KZ-normalized'!$D:$D, MATCH($A21, 'KZ-normalized'!$A:$A, 0))-INDEX('KZ-normalized'!$E:$E, MATCH($A21, 'KZ-normalized'!$A:$A, 0))), 0), 0))+(IFERROR(IF(11*INDEX('UZ-normalized'!$D:$D, MATCH($A21, 'UZ-normalized'!$A:$A, 0))-INDEX('UZ-normalized'!$E:$E, MATCH($A21, 'UZ-normalized'!$A:$A, 0))&gt;0, -(11*INDEX('UZ-normalized'!$D:$D, MATCH($A21, 'UZ-normalized'!$A:$A, 0))-INDEX('UZ-normalized'!$E:$E, MATCH($A21, 'UZ-normalized'!$A:$A, 0))), 0), 0)))</f>
        <v>0</v>
      </c>
      <c r="Z21" s="6">
        <f>MIN(0, N21+(IFERROR(IF(12*INDEX('UA-normalized'!$D:$D, MATCH($A21, 'UA-normalized'!$A:$A, 0))-INDEX('UA-normalized'!$E:$E, MATCH($A21, 'UA-normalized'!$A:$A, 0))&gt;0, -(12*INDEX('UA-normalized'!$D:$D, MATCH($A21, 'UA-normalized'!$A:$A, 0))-INDEX('UA-normalized'!$E:$E, MATCH($A21, 'UA-normalized'!$A:$A, 0))), 0), 0))+(IFERROR(IF(12*INDEX('KZ-normalized'!$D:$D, MATCH($A21, 'KZ-normalized'!$A:$A, 0))-INDEX('KZ-normalized'!$E:$E, MATCH($A21, 'KZ-normalized'!$A:$A, 0))&gt;0, -(12*INDEX('KZ-normalized'!$D:$D, MATCH($A21, 'KZ-normalized'!$A:$A, 0))-INDEX('KZ-normalized'!$E:$E, MATCH($A21, 'KZ-normalized'!$A:$A, 0))), 0), 0))+(IFERROR(IF(12*INDEX('UZ-normalized'!$D:$D, MATCH($A21, 'UZ-normalized'!$A:$A, 0))-INDEX('UZ-normalized'!$E:$E, MATCH($A21, 'UZ-normalized'!$A:$A, 0))&gt;0, -(12*INDEX('UZ-normalized'!$D:$D, MATCH($A21, 'UZ-normalized'!$A:$A, 0))-INDEX('UZ-normalized'!$E:$E, MATCH($A21, 'UZ-normalized'!$A:$A, 0))), 0), 0)))</f>
        <v>0</v>
      </c>
      <c r="AA21" s="6">
        <f>MIN(0, N21+(IFERROR(IF(13*INDEX('UA-normalized'!$D:$D, MATCH($A21, 'UA-normalized'!$A:$A, 0))-INDEX('UA-normalized'!$E:$E, MATCH($A21, 'UA-normalized'!$A:$A, 0))&gt;0, -(13*INDEX('UA-normalized'!$D:$D, MATCH($A21, 'UA-normalized'!$A:$A, 0))-INDEX('UA-normalized'!$E:$E, MATCH($A21, 'UA-normalized'!$A:$A, 0))), 0), 0))+(IFERROR(IF(13*INDEX('KZ-normalized'!$D:$D, MATCH($A21, 'KZ-normalized'!$A:$A, 0))-INDEX('KZ-normalized'!$E:$E, MATCH($A21, 'KZ-normalized'!$A:$A, 0))&gt;0, -(13*INDEX('KZ-normalized'!$D:$D, MATCH($A21, 'KZ-normalized'!$A:$A, 0))-INDEX('KZ-normalized'!$E:$E, MATCH($A21, 'KZ-normalized'!$A:$A, 0))), 0), 0))+(IFERROR(IF(13*INDEX('UZ-normalized'!$D:$D, MATCH($A21, 'UZ-normalized'!$A:$A, 0))-INDEX('UZ-normalized'!$E:$E, MATCH($A21, 'UZ-normalized'!$A:$A, 0))&gt;0, -(13*INDEX('UZ-normalized'!$D:$D, MATCH($A21, 'UZ-normalized'!$A:$A, 0))-INDEX('UZ-normalized'!$E:$E, MATCH($A21, 'UZ-normalized'!$A:$A, 0))), 0), 0)))</f>
        <v>0</v>
      </c>
      <c r="AB21" s="6">
        <f>MIN(0, N21+(IFERROR(IF(14*INDEX('UA-normalized'!$D:$D, MATCH($A21, 'UA-normalized'!$A:$A, 0))-INDEX('UA-normalized'!$E:$E, MATCH($A21, 'UA-normalized'!$A:$A, 0))&gt;0, -(14*INDEX('UA-normalized'!$D:$D, MATCH($A21, 'UA-normalized'!$A:$A, 0))-INDEX('UA-normalized'!$E:$E, MATCH($A21, 'UA-normalized'!$A:$A, 0))), 0), 0))+(IFERROR(IF(14*INDEX('KZ-normalized'!$D:$D, MATCH($A21, 'KZ-normalized'!$A:$A, 0))-INDEX('KZ-normalized'!$E:$E, MATCH($A21, 'KZ-normalized'!$A:$A, 0))&gt;0, -(14*INDEX('KZ-normalized'!$D:$D, MATCH($A21, 'KZ-normalized'!$A:$A, 0))-INDEX('KZ-normalized'!$E:$E, MATCH($A21, 'KZ-normalized'!$A:$A, 0))), 0), 0))+(IFERROR(IF(14*INDEX('UZ-normalized'!$D:$D, MATCH($A21, 'UZ-normalized'!$A:$A, 0))-INDEX('UZ-normalized'!$E:$E, MATCH($A21, 'UZ-normalized'!$A:$A, 0))&gt;0, -(14*INDEX('UZ-normalized'!$D:$D, MATCH($A21, 'UZ-normalized'!$A:$A, 0))-INDEX('UZ-normalized'!$E:$E, MATCH($A21, 'UZ-normalized'!$A:$A, 0))), 0), 0)))</f>
        <v>0</v>
      </c>
      <c r="AC21" s="6">
        <f>MIN(0, N21+(IFERROR(IF(15*INDEX('UA-normalized'!$D:$D, MATCH($A21, 'UA-normalized'!$A:$A, 0))-INDEX('UA-normalized'!$E:$E, MATCH($A21, 'UA-normalized'!$A:$A, 0))&gt;0, -(15*INDEX('UA-normalized'!$D:$D, MATCH($A21, 'UA-normalized'!$A:$A, 0))-INDEX('UA-normalized'!$E:$E, MATCH($A21, 'UA-normalized'!$A:$A, 0))), 0), 0))+(IFERROR(IF(15*INDEX('KZ-normalized'!$D:$D, MATCH($A21, 'KZ-normalized'!$A:$A, 0))-INDEX('KZ-normalized'!$E:$E, MATCH($A21, 'KZ-normalized'!$A:$A, 0))&gt;0, -(15*INDEX('KZ-normalized'!$D:$D, MATCH($A21, 'KZ-normalized'!$A:$A, 0))-INDEX('KZ-normalized'!$E:$E, MATCH($A21, 'KZ-normalized'!$A:$A, 0))), 0), 0))+(IFERROR(IF(15*INDEX('UZ-normalized'!$D:$D, MATCH($A21, 'UZ-normalized'!$A:$A, 0))-INDEX('UZ-normalized'!$E:$E, MATCH($A21, 'UZ-normalized'!$A:$A, 0))&gt;0, -(15*INDEX('UZ-normalized'!$D:$D, MATCH($A21, 'UZ-normalized'!$A:$A, 0))-INDEX('UZ-normalized'!$E:$E, MATCH($A21, 'UZ-normalized'!$A:$A, 0))), 0), 0)))</f>
        <v>0</v>
      </c>
      <c r="AD21" s="6">
        <f>MIN(0, N21+(IFERROR(IF(16*INDEX('UA-normalized'!$D:$D, MATCH($A21, 'UA-normalized'!$A:$A, 0))-INDEX('UA-normalized'!$E:$E, MATCH($A21, 'UA-normalized'!$A:$A, 0))&gt;0, -(16*INDEX('UA-normalized'!$D:$D, MATCH($A21, 'UA-normalized'!$A:$A, 0))-INDEX('UA-normalized'!$E:$E, MATCH($A21, 'UA-normalized'!$A:$A, 0))), 0), 0))+(IFERROR(IF(16*INDEX('KZ-normalized'!$D:$D, MATCH($A21, 'KZ-normalized'!$A:$A, 0))-INDEX('KZ-normalized'!$E:$E, MATCH($A21, 'KZ-normalized'!$A:$A, 0))&gt;0, -(16*INDEX('KZ-normalized'!$D:$D, MATCH($A21, 'KZ-normalized'!$A:$A, 0))-INDEX('KZ-normalized'!$E:$E, MATCH($A21, 'KZ-normalized'!$A:$A, 0))), 0), 0))+(IFERROR(IF(16*INDEX('UZ-normalized'!$D:$D, MATCH($A21, 'UZ-normalized'!$A:$A, 0))-INDEX('UZ-normalized'!$E:$E, MATCH($A21, 'UZ-normalized'!$A:$A, 0))&gt;0, -(16*INDEX('UZ-normalized'!$D:$D, MATCH($A21, 'UZ-normalized'!$A:$A, 0))-INDEX('UZ-normalized'!$E:$E, MATCH($A21, 'UZ-normalized'!$A:$A, 0))), 0), 0)))</f>
        <v>0</v>
      </c>
      <c r="AE21" s="6">
        <f>MIN(0, N21+(IFERROR(IF(17*INDEX('UA-normalized'!$D:$D, MATCH($A21, 'UA-normalized'!$A:$A, 0))-INDEX('UA-normalized'!$E:$E, MATCH($A21, 'UA-normalized'!$A:$A, 0))&gt;0, -(17*INDEX('UA-normalized'!$D:$D, MATCH($A21, 'UA-normalized'!$A:$A, 0))-INDEX('UA-normalized'!$E:$E, MATCH($A21, 'UA-normalized'!$A:$A, 0))), 0), 0))+(IFERROR(IF(17*INDEX('KZ-normalized'!$D:$D, MATCH($A21, 'KZ-normalized'!$A:$A, 0))-INDEX('KZ-normalized'!$E:$E, MATCH($A21, 'KZ-normalized'!$A:$A, 0))&gt;0, -(17*INDEX('KZ-normalized'!$D:$D, MATCH($A21, 'KZ-normalized'!$A:$A, 0))-INDEX('KZ-normalized'!$E:$E, MATCH($A21, 'KZ-normalized'!$A:$A, 0))), 0), 0))+(IFERROR(IF(17*INDEX('UZ-normalized'!$D:$D, MATCH($A21, 'UZ-normalized'!$A:$A, 0))-INDEX('UZ-normalized'!$E:$E, MATCH($A21, 'UZ-normalized'!$A:$A, 0))&gt;0, -(17*INDEX('UZ-normalized'!$D:$D, MATCH($A21, 'UZ-normalized'!$A:$A, 0))-INDEX('UZ-normalized'!$E:$E, MATCH($A21, 'UZ-normalized'!$A:$A, 0))), 0), 0)))</f>
        <v>0</v>
      </c>
      <c r="AF21" s="6">
        <f>MIN(0, N21+(IFERROR(IF(18*INDEX('UA-normalized'!$D:$D, MATCH($A21, 'UA-normalized'!$A:$A, 0))-INDEX('UA-normalized'!$E:$E, MATCH($A21, 'UA-normalized'!$A:$A, 0))&gt;0, -(18*INDEX('UA-normalized'!$D:$D, MATCH($A21, 'UA-normalized'!$A:$A, 0))-INDEX('UA-normalized'!$E:$E, MATCH($A21, 'UA-normalized'!$A:$A, 0))), 0), 0))+(IFERROR(IF(18*INDEX('KZ-normalized'!$D:$D, MATCH($A21, 'KZ-normalized'!$A:$A, 0))-INDEX('KZ-normalized'!$E:$E, MATCH($A21, 'KZ-normalized'!$A:$A, 0))&gt;0, -(18*INDEX('KZ-normalized'!$D:$D, MATCH($A21, 'KZ-normalized'!$A:$A, 0))-INDEX('KZ-normalized'!$E:$E, MATCH($A21, 'KZ-normalized'!$A:$A, 0))), 0), 0))+(IFERROR(IF(18*INDEX('UZ-normalized'!$D:$D, MATCH($A21, 'UZ-normalized'!$A:$A, 0))-INDEX('UZ-normalized'!$E:$E, MATCH($A21, 'UZ-normalized'!$A:$A, 0))&gt;0, -(18*INDEX('UZ-normalized'!$D:$D, MATCH($A21, 'UZ-normalized'!$A:$A, 0))-INDEX('UZ-normalized'!$E:$E, MATCH($A21, 'UZ-normalized'!$A:$A, 0))), 0), 0)))</f>
        <v>0</v>
      </c>
      <c r="AG21" s="6">
        <f>MIN(0, N21+(IFERROR(IF(19*INDEX('UA-normalized'!$D:$D, MATCH($A21, 'UA-normalized'!$A:$A, 0))-INDEX('UA-normalized'!$E:$E, MATCH($A21, 'UA-normalized'!$A:$A, 0))&gt;0, -(19*INDEX('UA-normalized'!$D:$D, MATCH($A21, 'UA-normalized'!$A:$A, 0))-INDEX('UA-normalized'!$E:$E, MATCH($A21, 'UA-normalized'!$A:$A, 0))), 0), 0))+(IFERROR(IF(19*INDEX('KZ-normalized'!$D:$D, MATCH($A21, 'KZ-normalized'!$A:$A, 0))-INDEX('KZ-normalized'!$E:$E, MATCH($A21, 'KZ-normalized'!$A:$A, 0))&gt;0, -(19*INDEX('KZ-normalized'!$D:$D, MATCH($A21, 'KZ-normalized'!$A:$A, 0))-INDEX('KZ-normalized'!$E:$E, MATCH($A21, 'KZ-normalized'!$A:$A, 0))), 0), 0))+(IFERROR(IF(19*INDEX('UZ-normalized'!$D:$D, MATCH($A21, 'UZ-normalized'!$A:$A, 0))-INDEX('UZ-normalized'!$E:$E, MATCH($A21, 'UZ-normalized'!$A:$A, 0))&gt;0, -(19*INDEX('UZ-normalized'!$D:$D, MATCH($A21, 'UZ-normalized'!$A:$A, 0))-INDEX('UZ-normalized'!$E:$E, MATCH($A21, 'UZ-normalized'!$A:$A, 0))), 0), 0)))</f>
        <v>0</v>
      </c>
      <c r="AH21" s="6">
        <f>MIN(0, N21+(IFERROR(IF(20*INDEX('UA-normalized'!$D:$D, MATCH($A21, 'UA-normalized'!$A:$A, 0))-INDEX('UA-normalized'!$E:$E, MATCH($A21, 'UA-normalized'!$A:$A, 0))&gt;0, -(20*INDEX('UA-normalized'!$D:$D, MATCH($A21, 'UA-normalized'!$A:$A, 0))-INDEX('UA-normalized'!$E:$E, MATCH($A21, 'UA-normalized'!$A:$A, 0))), 0), 0))+(IFERROR(IF(20*INDEX('KZ-normalized'!$D:$D, MATCH($A21, 'KZ-normalized'!$A:$A, 0))-INDEX('KZ-normalized'!$E:$E, MATCH($A21, 'KZ-normalized'!$A:$A, 0))&gt;0, -(20*INDEX('KZ-normalized'!$D:$D, MATCH($A21, 'KZ-normalized'!$A:$A, 0))-INDEX('KZ-normalized'!$E:$E, MATCH($A21, 'KZ-normalized'!$A:$A, 0))), 0), 0))+(IFERROR(IF(20*INDEX('UZ-normalized'!$D:$D, MATCH($A21, 'UZ-normalized'!$A:$A, 0))-INDEX('UZ-normalized'!$E:$E, MATCH($A21, 'UZ-normalized'!$A:$A, 0))&gt;0, -(20*INDEX('UZ-normalized'!$D:$D, MATCH($A21, 'UZ-normalized'!$A:$A, 0))-INDEX('UZ-normalized'!$E:$E, MATCH($A21, 'UZ-normalized'!$A:$A, 0))), 0), 0)))</f>
        <v>0</v>
      </c>
      <c r="AI21" s="6">
        <f>MIN(0, N21+(IFERROR(IF(21*INDEX('UA-normalized'!$D:$D, MATCH($A21, 'UA-normalized'!$A:$A, 0))-INDEX('UA-normalized'!$E:$E, MATCH($A21, 'UA-normalized'!$A:$A, 0))&gt;0, -(21*INDEX('UA-normalized'!$D:$D, MATCH($A21, 'UA-normalized'!$A:$A, 0))-INDEX('UA-normalized'!$E:$E, MATCH($A21, 'UA-normalized'!$A:$A, 0))), 0), 0))+(IFERROR(IF(21*INDEX('KZ-normalized'!$D:$D, MATCH($A21, 'KZ-normalized'!$A:$A, 0))-INDEX('KZ-normalized'!$E:$E, MATCH($A21, 'KZ-normalized'!$A:$A, 0))&gt;0, -(21*INDEX('KZ-normalized'!$D:$D, MATCH($A21, 'KZ-normalized'!$A:$A, 0))-INDEX('KZ-normalized'!$E:$E, MATCH($A21, 'KZ-normalized'!$A:$A, 0))), 0), 0))+(IFERROR(IF(21*INDEX('UZ-normalized'!$D:$D, MATCH($A21, 'UZ-normalized'!$A:$A, 0))-INDEX('UZ-normalized'!$E:$E, MATCH($A21, 'UZ-normalized'!$A:$A, 0))&gt;0, -(21*INDEX('UZ-normalized'!$D:$D, MATCH($A21, 'UZ-normalized'!$A:$A, 0))-INDEX('UZ-normalized'!$E:$E, MATCH($A21, 'UZ-normalized'!$A:$A, 0))), 0), 0)))</f>
        <v>0</v>
      </c>
      <c r="AJ21" s="6">
        <f>MIN(0, N21+(IFERROR(IF(22*INDEX('UA-normalized'!$D:$D, MATCH($A21, 'UA-normalized'!$A:$A, 0))-INDEX('UA-normalized'!$E:$E, MATCH($A21, 'UA-normalized'!$A:$A, 0))&gt;0, -(22*INDEX('UA-normalized'!$D:$D, MATCH($A21, 'UA-normalized'!$A:$A, 0))-INDEX('UA-normalized'!$E:$E, MATCH($A21, 'UA-normalized'!$A:$A, 0))), 0), 0))+(IFERROR(IF(22*INDEX('KZ-normalized'!$D:$D, MATCH($A21, 'KZ-normalized'!$A:$A, 0))-INDEX('KZ-normalized'!$E:$E, MATCH($A21, 'KZ-normalized'!$A:$A, 0))&gt;0, -(22*INDEX('KZ-normalized'!$D:$D, MATCH($A21, 'KZ-normalized'!$A:$A, 0))-INDEX('KZ-normalized'!$E:$E, MATCH($A21, 'KZ-normalized'!$A:$A, 0))), 0), 0))+(IFERROR(IF(22*INDEX('UZ-normalized'!$D:$D, MATCH($A21, 'UZ-normalized'!$A:$A, 0))-INDEX('UZ-normalized'!$E:$E, MATCH($A21, 'UZ-normalized'!$A:$A, 0))&gt;0, -(22*INDEX('UZ-normalized'!$D:$D, MATCH($A21, 'UZ-normalized'!$A:$A, 0))-INDEX('UZ-normalized'!$E:$E, MATCH($A21, 'UZ-normalized'!$A:$A, 0))), 0), 0)))</f>
        <v>0</v>
      </c>
      <c r="AK21" s="6">
        <f>MIN(0, N21+(IFERROR(IF(23*INDEX('UA-normalized'!$D:$D, MATCH($A21, 'UA-normalized'!$A:$A, 0))-INDEX('UA-normalized'!$E:$E, MATCH($A21, 'UA-normalized'!$A:$A, 0))&gt;0, -(23*INDEX('UA-normalized'!$D:$D, MATCH($A21, 'UA-normalized'!$A:$A, 0))-INDEX('UA-normalized'!$E:$E, MATCH($A21, 'UA-normalized'!$A:$A, 0))), 0), 0))+(IFERROR(IF(23*INDEX('KZ-normalized'!$D:$D, MATCH($A21, 'KZ-normalized'!$A:$A, 0))-INDEX('KZ-normalized'!$E:$E, MATCH($A21, 'KZ-normalized'!$A:$A, 0))&gt;0, -(23*INDEX('KZ-normalized'!$D:$D, MATCH($A21, 'KZ-normalized'!$A:$A, 0))-INDEX('KZ-normalized'!$E:$E, MATCH($A21, 'KZ-normalized'!$A:$A, 0))), 0), 0))+(IFERROR(IF(23*INDEX('UZ-normalized'!$D:$D, MATCH($A21, 'UZ-normalized'!$A:$A, 0))-INDEX('UZ-normalized'!$E:$E, MATCH($A21, 'UZ-normalized'!$A:$A, 0))&gt;0, -(23*INDEX('UZ-normalized'!$D:$D, MATCH($A21, 'UZ-normalized'!$A:$A, 0))-INDEX('UZ-normalized'!$E:$E, MATCH($A21, 'UZ-normalized'!$A:$A, 0))), 0), 0)))</f>
        <v>0</v>
      </c>
      <c r="AL21" s="6">
        <f>MIN(0, N21+(IFERROR(IF(24*INDEX('UA-normalized'!$D:$D, MATCH($A21, 'UA-normalized'!$A:$A, 0))-INDEX('UA-normalized'!$E:$E, MATCH($A21, 'UA-normalized'!$A:$A, 0))&gt;0, -(24*INDEX('UA-normalized'!$D:$D, MATCH($A21, 'UA-normalized'!$A:$A, 0))-INDEX('UA-normalized'!$E:$E, MATCH($A21, 'UA-normalized'!$A:$A, 0))), 0), 0))+(IFERROR(IF(24*INDEX('KZ-normalized'!$D:$D, MATCH($A21, 'KZ-normalized'!$A:$A, 0))-INDEX('KZ-normalized'!$E:$E, MATCH($A21, 'KZ-normalized'!$A:$A, 0))&gt;0, -(24*INDEX('KZ-normalized'!$D:$D, MATCH($A21, 'KZ-normalized'!$A:$A, 0))-INDEX('KZ-normalized'!$E:$E, MATCH($A21, 'KZ-normalized'!$A:$A, 0))), 0), 0))+(IFERROR(IF(24*INDEX('UZ-normalized'!$D:$D, MATCH($A21, 'UZ-normalized'!$A:$A, 0))-INDEX('UZ-normalized'!$E:$E, MATCH($A21, 'UZ-normalized'!$A:$A, 0))&gt;0, -(24*INDEX('UZ-normalized'!$D:$D, MATCH($A21, 'UZ-normalized'!$A:$A, 0))-INDEX('UZ-normalized'!$E:$E, MATCH($A21, 'UZ-normalized'!$A:$A, 0))), 0), 0)))</f>
        <v>0</v>
      </c>
      <c r="AM21" s="6">
        <f>MIN(0, N21+(IFERROR(IF(25*INDEX('UA-normalized'!$D:$D, MATCH($A21, 'UA-normalized'!$A:$A, 0))-INDEX('UA-normalized'!$E:$E, MATCH($A21, 'UA-normalized'!$A:$A, 0))&gt;0, -(25*INDEX('UA-normalized'!$D:$D, MATCH($A21, 'UA-normalized'!$A:$A, 0))-INDEX('UA-normalized'!$E:$E, MATCH($A21, 'UA-normalized'!$A:$A, 0))), 0), 0))+(IFERROR(IF(25*INDEX('KZ-normalized'!$D:$D, MATCH($A21, 'KZ-normalized'!$A:$A, 0))-INDEX('KZ-normalized'!$E:$E, MATCH($A21, 'KZ-normalized'!$A:$A, 0))&gt;0, -(25*INDEX('KZ-normalized'!$D:$D, MATCH($A21, 'KZ-normalized'!$A:$A, 0))-INDEX('KZ-normalized'!$E:$E, MATCH($A21, 'KZ-normalized'!$A:$A, 0))), 0), 0))+(IFERROR(IF(25*INDEX('UZ-normalized'!$D:$D, MATCH($A21, 'UZ-normalized'!$A:$A, 0))-INDEX('UZ-normalized'!$E:$E, MATCH($A21, 'UZ-normalized'!$A:$A, 0))&gt;0, -(25*INDEX('UZ-normalized'!$D:$D, MATCH($A21, 'UZ-normalized'!$A:$A, 0))-INDEX('UZ-normalized'!$E:$E, MATCH($A21, 'UZ-normalized'!$A:$A, 0))), 0), 0)))</f>
        <v>0</v>
      </c>
      <c r="AN21" s="6">
        <f>MIN(0, N21+(IFERROR(IF(26*INDEX('UA-normalized'!$D:$D, MATCH($A21, 'UA-normalized'!$A:$A, 0))-INDEX('UA-normalized'!$E:$E, MATCH($A21, 'UA-normalized'!$A:$A, 0))&gt;0, -(26*INDEX('UA-normalized'!$D:$D, MATCH($A21, 'UA-normalized'!$A:$A, 0))-INDEX('UA-normalized'!$E:$E, MATCH($A21, 'UA-normalized'!$A:$A, 0))), 0), 0))+(IFERROR(IF(26*INDEX('KZ-normalized'!$D:$D, MATCH($A21, 'KZ-normalized'!$A:$A, 0))-INDEX('KZ-normalized'!$E:$E, MATCH($A21, 'KZ-normalized'!$A:$A, 0))&gt;0, -(26*INDEX('KZ-normalized'!$D:$D, MATCH($A21, 'KZ-normalized'!$A:$A, 0))-INDEX('KZ-normalized'!$E:$E, MATCH($A21, 'KZ-normalized'!$A:$A, 0))), 0), 0))+(IFERROR(IF(26*INDEX('UZ-normalized'!$D:$D, MATCH($A21, 'UZ-normalized'!$A:$A, 0))-INDEX('UZ-normalized'!$E:$E, MATCH($A21, 'UZ-normalized'!$A:$A, 0))&gt;0, -(26*INDEX('UZ-normalized'!$D:$D, MATCH($A21, 'UZ-normalized'!$A:$A, 0))-INDEX('UZ-normalized'!$E:$E, MATCH($A21, 'UZ-normalized'!$A:$A, 0))), 0), 0)))</f>
        <v>0</v>
      </c>
      <c r="AO21" s="6">
        <f>MIN(0, N21+(IFERROR(IF(27*INDEX('UA-normalized'!$D:$D, MATCH($A21, 'UA-normalized'!$A:$A, 0))-INDEX('UA-normalized'!$E:$E, MATCH($A21, 'UA-normalized'!$A:$A, 0))&gt;0, -(27*INDEX('UA-normalized'!$D:$D, MATCH($A21, 'UA-normalized'!$A:$A, 0))-INDEX('UA-normalized'!$E:$E, MATCH($A21, 'UA-normalized'!$A:$A, 0))), 0), 0))+(IFERROR(IF(27*INDEX('KZ-normalized'!$D:$D, MATCH($A21, 'KZ-normalized'!$A:$A, 0))-INDEX('KZ-normalized'!$E:$E, MATCH($A21, 'KZ-normalized'!$A:$A, 0))&gt;0, -(27*INDEX('KZ-normalized'!$D:$D, MATCH($A21, 'KZ-normalized'!$A:$A, 0))-INDEX('KZ-normalized'!$E:$E, MATCH($A21, 'KZ-normalized'!$A:$A, 0))), 0), 0))+(IFERROR(IF(27*INDEX('UZ-normalized'!$D:$D, MATCH($A21, 'UZ-normalized'!$A:$A, 0))-INDEX('UZ-normalized'!$E:$E, MATCH($A21, 'UZ-normalized'!$A:$A, 0))&gt;0, -(27*INDEX('UZ-normalized'!$D:$D, MATCH($A21, 'UZ-normalized'!$A:$A, 0))-INDEX('UZ-normalized'!$E:$E, MATCH($A21, 'UZ-normalized'!$A:$A, 0))), 0), 0)))</f>
        <v>0</v>
      </c>
      <c r="AP21" s="6">
        <f>MIN(0, N21+(IFERROR(IF(28*INDEX('UA-normalized'!$D:$D, MATCH($A21, 'UA-normalized'!$A:$A, 0))-INDEX('UA-normalized'!$E:$E, MATCH($A21, 'UA-normalized'!$A:$A, 0))&gt;0, -(28*INDEX('UA-normalized'!$D:$D, MATCH($A21, 'UA-normalized'!$A:$A, 0))-INDEX('UA-normalized'!$E:$E, MATCH($A21, 'UA-normalized'!$A:$A, 0))), 0), 0))+(IFERROR(IF(28*INDEX('KZ-normalized'!$D:$D, MATCH($A21, 'KZ-normalized'!$A:$A, 0))-INDEX('KZ-normalized'!$E:$E, MATCH($A21, 'KZ-normalized'!$A:$A, 0))&gt;0, -(28*INDEX('KZ-normalized'!$D:$D, MATCH($A21, 'KZ-normalized'!$A:$A, 0))-INDEX('KZ-normalized'!$E:$E, MATCH($A21, 'KZ-normalized'!$A:$A, 0))), 0), 0))+(IFERROR(IF(28*INDEX('UZ-normalized'!$D:$D, MATCH($A21, 'UZ-normalized'!$A:$A, 0))-INDEX('UZ-normalized'!$E:$E, MATCH($A21, 'UZ-normalized'!$A:$A, 0))&gt;0, -(28*INDEX('UZ-normalized'!$D:$D, MATCH($A21, 'UZ-normalized'!$A:$A, 0))-INDEX('UZ-normalized'!$E:$E, MATCH($A21, 'UZ-normalized'!$A:$A, 0))), 0), 0)))</f>
        <v>0</v>
      </c>
      <c r="AQ21" s="6">
        <f>MIN(0, N21+(IFERROR(IF(29*INDEX('UA-normalized'!$D:$D, MATCH($A21, 'UA-normalized'!$A:$A, 0))-INDEX('UA-normalized'!$E:$E, MATCH($A21, 'UA-normalized'!$A:$A, 0))&gt;0, -(29*INDEX('UA-normalized'!$D:$D, MATCH($A21, 'UA-normalized'!$A:$A, 0))-INDEX('UA-normalized'!$E:$E, MATCH($A21, 'UA-normalized'!$A:$A, 0))), 0), 0))+(IFERROR(IF(29*INDEX('KZ-normalized'!$D:$D, MATCH($A21, 'KZ-normalized'!$A:$A, 0))-INDEX('KZ-normalized'!$E:$E, MATCH($A21, 'KZ-normalized'!$A:$A, 0))&gt;0, -(29*INDEX('KZ-normalized'!$D:$D, MATCH($A21, 'KZ-normalized'!$A:$A, 0))-INDEX('KZ-normalized'!$E:$E, MATCH($A21, 'KZ-normalized'!$A:$A, 0))), 0), 0))+(IFERROR(IF(29*INDEX('UZ-normalized'!$D:$D, MATCH($A21, 'UZ-normalized'!$A:$A, 0))-INDEX('UZ-normalized'!$E:$E, MATCH($A21, 'UZ-normalized'!$A:$A, 0))&gt;0, -(29*INDEX('UZ-normalized'!$D:$D, MATCH($A21, 'UZ-normalized'!$A:$A, 0))-INDEX('UZ-normalized'!$E:$E, MATCH($A21, 'UZ-normalized'!$A:$A, 0))), 0), 0)))</f>
        <v>0</v>
      </c>
      <c r="AR21" s="6">
        <f>MIN(0, N21+(IFERROR(IF(30*INDEX('UA-normalized'!$D:$D, MATCH($A21, 'UA-normalized'!$A:$A, 0))-INDEX('UA-normalized'!$E:$E, MATCH($A21, 'UA-normalized'!$A:$A, 0))&gt;0, -(30*INDEX('UA-normalized'!$D:$D, MATCH($A21, 'UA-normalized'!$A:$A, 0))-INDEX('UA-normalized'!$E:$E, MATCH($A21, 'UA-normalized'!$A:$A, 0))), 0), 0))+(IFERROR(IF(30*INDEX('KZ-normalized'!$D:$D, MATCH($A21, 'KZ-normalized'!$A:$A, 0))-INDEX('KZ-normalized'!$E:$E, MATCH($A21, 'KZ-normalized'!$A:$A, 0))&gt;0, -(30*INDEX('KZ-normalized'!$D:$D, MATCH($A21, 'KZ-normalized'!$A:$A, 0))-INDEX('KZ-normalized'!$E:$E, MATCH($A21, 'KZ-normalized'!$A:$A, 0))), 0), 0))+(IFERROR(IF(30*INDEX('UZ-normalized'!$D:$D, MATCH($A21, 'UZ-normalized'!$A:$A, 0))-INDEX('UZ-normalized'!$E:$E, MATCH($A21, 'UZ-normalized'!$A:$A, 0))&gt;0, -(30*INDEX('UZ-normalized'!$D:$D, MATCH($A21, 'UZ-normalized'!$A:$A, 0))-INDEX('UZ-normalized'!$E:$E, MATCH($A21, 'UZ-normalized'!$A:$A, 0))), 0), 0)))</f>
        <v>0</v>
      </c>
    </row>
    <row r="22" spans="1:44" x14ac:dyDescent="0.25">
      <c r="A22" s="8" t="s">
        <v>92</v>
      </c>
      <c r="B22" s="8" t="s">
        <v>83</v>
      </c>
      <c r="C22" s="8" t="s">
        <v>84</v>
      </c>
      <c r="D22" s="8" t="s">
        <v>93</v>
      </c>
      <c r="N22">
        <f t="shared" si="0"/>
        <v>0</v>
      </c>
      <c r="O22" s="6">
        <f>MIN(0, N22+(IFERROR(IF(1*INDEX('UA-normalized'!$D:$D, MATCH($A22, 'UA-normalized'!$A:$A, 0))-INDEX('UA-normalized'!$E:$E, MATCH($A22, 'UA-normalized'!$A:$A, 0))&gt;0, -(1*INDEX('UA-normalized'!$D:$D, MATCH($A22, 'UA-normalized'!$A:$A, 0))-INDEX('UA-normalized'!$E:$E, MATCH($A22, 'UA-normalized'!$A:$A, 0))), 0), 0))+(IFERROR(IF(1*INDEX('KZ-normalized'!$D:$D, MATCH($A22, 'KZ-normalized'!$A:$A, 0))-INDEX('KZ-normalized'!$E:$E, MATCH($A22, 'KZ-normalized'!$A:$A, 0))&gt;0, -(1*INDEX('KZ-normalized'!$D:$D, MATCH($A22, 'KZ-normalized'!$A:$A, 0))-INDEX('KZ-normalized'!$E:$E, MATCH($A22, 'KZ-normalized'!$A:$A, 0))), 0), 0))+(IFERROR(IF(1*INDEX('UZ-normalized'!$D:$D, MATCH($A22, 'UZ-normalized'!$A:$A, 0))-INDEX('UZ-normalized'!$E:$E, MATCH($A22, 'UZ-normalized'!$A:$A, 0))&gt;0, -(1*INDEX('UZ-normalized'!$D:$D, MATCH($A22, 'UZ-normalized'!$A:$A, 0))-INDEX('UZ-normalized'!$E:$E, MATCH($A22, 'UZ-normalized'!$A:$A, 0))), 0), 0)))</f>
        <v>0</v>
      </c>
      <c r="P22" s="6">
        <f>MIN(0, N22+(IFERROR(IF(2*INDEX('UA-normalized'!$D:$D, MATCH($A22, 'UA-normalized'!$A:$A, 0))-INDEX('UA-normalized'!$E:$E, MATCH($A22, 'UA-normalized'!$A:$A, 0))&gt;0, -(2*INDEX('UA-normalized'!$D:$D, MATCH($A22, 'UA-normalized'!$A:$A, 0))-INDEX('UA-normalized'!$E:$E, MATCH($A22, 'UA-normalized'!$A:$A, 0))), 0), 0))+(IFERROR(IF(2*INDEX('KZ-normalized'!$D:$D, MATCH($A22, 'KZ-normalized'!$A:$A, 0))-INDEX('KZ-normalized'!$E:$E, MATCH($A22, 'KZ-normalized'!$A:$A, 0))&gt;0, -(2*INDEX('KZ-normalized'!$D:$D, MATCH($A22, 'KZ-normalized'!$A:$A, 0))-INDEX('KZ-normalized'!$E:$E, MATCH($A22, 'KZ-normalized'!$A:$A, 0))), 0), 0))+(IFERROR(IF(2*INDEX('UZ-normalized'!$D:$D, MATCH($A22, 'UZ-normalized'!$A:$A, 0))-INDEX('UZ-normalized'!$E:$E, MATCH($A22, 'UZ-normalized'!$A:$A, 0))&gt;0, -(2*INDEX('UZ-normalized'!$D:$D, MATCH($A22, 'UZ-normalized'!$A:$A, 0))-INDEX('UZ-normalized'!$E:$E, MATCH($A22, 'UZ-normalized'!$A:$A, 0))), 0), 0)))</f>
        <v>0</v>
      </c>
      <c r="Q22" s="6">
        <f>MIN(0, N22+(IFERROR(IF(3*INDEX('UA-normalized'!$D:$D, MATCH($A22, 'UA-normalized'!$A:$A, 0))-INDEX('UA-normalized'!$E:$E, MATCH($A22, 'UA-normalized'!$A:$A, 0))&gt;0, -(3*INDEX('UA-normalized'!$D:$D, MATCH($A22, 'UA-normalized'!$A:$A, 0))-INDEX('UA-normalized'!$E:$E, MATCH($A22, 'UA-normalized'!$A:$A, 0))), 0), 0))+(IFERROR(IF(3*INDEX('KZ-normalized'!$D:$D, MATCH($A22, 'KZ-normalized'!$A:$A, 0))-INDEX('KZ-normalized'!$E:$E, MATCH($A22, 'KZ-normalized'!$A:$A, 0))&gt;0, -(3*INDEX('KZ-normalized'!$D:$D, MATCH($A22, 'KZ-normalized'!$A:$A, 0))-INDEX('KZ-normalized'!$E:$E, MATCH($A22, 'KZ-normalized'!$A:$A, 0))), 0), 0))+(IFERROR(IF(3*INDEX('UZ-normalized'!$D:$D, MATCH($A22, 'UZ-normalized'!$A:$A, 0))-INDEX('UZ-normalized'!$E:$E, MATCH($A22, 'UZ-normalized'!$A:$A, 0))&gt;0, -(3*INDEX('UZ-normalized'!$D:$D, MATCH($A22, 'UZ-normalized'!$A:$A, 0))-INDEX('UZ-normalized'!$E:$E, MATCH($A22, 'UZ-normalized'!$A:$A, 0))), 0), 0)))</f>
        <v>0</v>
      </c>
      <c r="R22" s="6">
        <f>MIN(0, N22+(IFERROR(IF(4*INDEX('UA-normalized'!$D:$D, MATCH($A22, 'UA-normalized'!$A:$A, 0))-INDEX('UA-normalized'!$E:$E, MATCH($A22, 'UA-normalized'!$A:$A, 0))&gt;0, -(4*INDEX('UA-normalized'!$D:$D, MATCH($A22, 'UA-normalized'!$A:$A, 0))-INDEX('UA-normalized'!$E:$E, MATCH($A22, 'UA-normalized'!$A:$A, 0))), 0), 0))+(IFERROR(IF(4*INDEX('KZ-normalized'!$D:$D, MATCH($A22, 'KZ-normalized'!$A:$A, 0))-INDEX('KZ-normalized'!$E:$E, MATCH($A22, 'KZ-normalized'!$A:$A, 0))&gt;0, -(4*INDEX('KZ-normalized'!$D:$D, MATCH($A22, 'KZ-normalized'!$A:$A, 0))-INDEX('KZ-normalized'!$E:$E, MATCH($A22, 'KZ-normalized'!$A:$A, 0))), 0), 0))+(IFERROR(IF(4*INDEX('UZ-normalized'!$D:$D, MATCH($A22, 'UZ-normalized'!$A:$A, 0))-INDEX('UZ-normalized'!$E:$E, MATCH($A22, 'UZ-normalized'!$A:$A, 0))&gt;0, -(4*INDEX('UZ-normalized'!$D:$D, MATCH($A22, 'UZ-normalized'!$A:$A, 0))-INDEX('UZ-normalized'!$E:$E, MATCH($A22, 'UZ-normalized'!$A:$A, 0))), 0), 0)))</f>
        <v>0</v>
      </c>
      <c r="S22" s="6">
        <f>MIN(0, N22+(IFERROR(IF(5*INDEX('UA-normalized'!$D:$D, MATCH($A22, 'UA-normalized'!$A:$A, 0))-INDEX('UA-normalized'!$E:$E, MATCH($A22, 'UA-normalized'!$A:$A, 0))&gt;0, -(5*INDEX('UA-normalized'!$D:$D, MATCH($A22, 'UA-normalized'!$A:$A, 0))-INDEX('UA-normalized'!$E:$E, MATCH($A22, 'UA-normalized'!$A:$A, 0))), 0), 0))+(IFERROR(IF(5*INDEX('KZ-normalized'!$D:$D, MATCH($A22, 'KZ-normalized'!$A:$A, 0))-INDEX('KZ-normalized'!$E:$E, MATCH($A22, 'KZ-normalized'!$A:$A, 0))&gt;0, -(5*INDEX('KZ-normalized'!$D:$D, MATCH($A22, 'KZ-normalized'!$A:$A, 0))-INDEX('KZ-normalized'!$E:$E, MATCH($A22, 'KZ-normalized'!$A:$A, 0))), 0), 0))+(IFERROR(IF(5*INDEX('UZ-normalized'!$D:$D, MATCH($A22, 'UZ-normalized'!$A:$A, 0))-INDEX('UZ-normalized'!$E:$E, MATCH($A22, 'UZ-normalized'!$A:$A, 0))&gt;0, -(5*INDEX('UZ-normalized'!$D:$D, MATCH($A22, 'UZ-normalized'!$A:$A, 0))-INDEX('UZ-normalized'!$E:$E, MATCH($A22, 'UZ-normalized'!$A:$A, 0))), 0), 0)))</f>
        <v>0</v>
      </c>
      <c r="T22" s="6">
        <f>MIN(0, N22+(IFERROR(IF(6*INDEX('UA-normalized'!$D:$D, MATCH($A22, 'UA-normalized'!$A:$A, 0))-INDEX('UA-normalized'!$E:$E, MATCH($A22, 'UA-normalized'!$A:$A, 0))&gt;0, -(6*INDEX('UA-normalized'!$D:$D, MATCH($A22, 'UA-normalized'!$A:$A, 0))-INDEX('UA-normalized'!$E:$E, MATCH($A22, 'UA-normalized'!$A:$A, 0))), 0), 0))+(IFERROR(IF(6*INDEX('KZ-normalized'!$D:$D, MATCH($A22, 'KZ-normalized'!$A:$A, 0))-INDEX('KZ-normalized'!$E:$E, MATCH($A22, 'KZ-normalized'!$A:$A, 0))&gt;0, -(6*INDEX('KZ-normalized'!$D:$D, MATCH($A22, 'KZ-normalized'!$A:$A, 0))-INDEX('KZ-normalized'!$E:$E, MATCH($A22, 'KZ-normalized'!$A:$A, 0))), 0), 0))+(IFERROR(IF(6*INDEX('UZ-normalized'!$D:$D, MATCH($A22, 'UZ-normalized'!$A:$A, 0))-INDEX('UZ-normalized'!$E:$E, MATCH($A22, 'UZ-normalized'!$A:$A, 0))&gt;0, -(6*INDEX('UZ-normalized'!$D:$D, MATCH($A22, 'UZ-normalized'!$A:$A, 0))-INDEX('UZ-normalized'!$E:$E, MATCH($A22, 'UZ-normalized'!$A:$A, 0))), 0), 0)))</f>
        <v>0</v>
      </c>
      <c r="U22" s="6">
        <f>MIN(0, N22+(IFERROR(IF(7*INDEX('UA-normalized'!$D:$D, MATCH($A22, 'UA-normalized'!$A:$A, 0))-INDEX('UA-normalized'!$E:$E, MATCH($A22, 'UA-normalized'!$A:$A, 0))&gt;0, -(7*INDEX('UA-normalized'!$D:$D, MATCH($A22, 'UA-normalized'!$A:$A, 0))-INDEX('UA-normalized'!$E:$E, MATCH($A22, 'UA-normalized'!$A:$A, 0))), 0), 0))+(IFERROR(IF(7*INDEX('KZ-normalized'!$D:$D, MATCH($A22, 'KZ-normalized'!$A:$A, 0))-INDEX('KZ-normalized'!$E:$E, MATCH($A22, 'KZ-normalized'!$A:$A, 0))&gt;0, -(7*INDEX('KZ-normalized'!$D:$D, MATCH($A22, 'KZ-normalized'!$A:$A, 0))-INDEX('KZ-normalized'!$E:$E, MATCH($A22, 'KZ-normalized'!$A:$A, 0))), 0), 0))+(IFERROR(IF(7*INDEX('UZ-normalized'!$D:$D, MATCH($A22, 'UZ-normalized'!$A:$A, 0))-INDEX('UZ-normalized'!$E:$E, MATCH($A22, 'UZ-normalized'!$A:$A, 0))&gt;0, -(7*INDEX('UZ-normalized'!$D:$D, MATCH($A22, 'UZ-normalized'!$A:$A, 0))-INDEX('UZ-normalized'!$E:$E, MATCH($A22, 'UZ-normalized'!$A:$A, 0))), 0), 0)))</f>
        <v>0</v>
      </c>
      <c r="V22" s="6">
        <f>MIN(0, N22+(IFERROR(IF(8*INDEX('UA-normalized'!$D:$D, MATCH($A22, 'UA-normalized'!$A:$A, 0))-INDEX('UA-normalized'!$E:$E, MATCH($A22, 'UA-normalized'!$A:$A, 0))&gt;0, -(8*INDEX('UA-normalized'!$D:$D, MATCH($A22, 'UA-normalized'!$A:$A, 0))-INDEX('UA-normalized'!$E:$E, MATCH($A22, 'UA-normalized'!$A:$A, 0))), 0), 0))+(IFERROR(IF(8*INDEX('KZ-normalized'!$D:$D, MATCH($A22, 'KZ-normalized'!$A:$A, 0))-INDEX('KZ-normalized'!$E:$E, MATCH($A22, 'KZ-normalized'!$A:$A, 0))&gt;0, -(8*INDEX('KZ-normalized'!$D:$D, MATCH($A22, 'KZ-normalized'!$A:$A, 0))-INDEX('KZ-normalized'!$E:$E, MATCH($A22, 'KZ-normalized'!$A:$A, 0))), 0), 0))+(IFERROR(IF(8*INDEX('UZ-normalized'!$D:$D, MATCH($A22, 'UZ-normalized'!$A:$A, 0))-INDEX('UZ-normalized'!$E:$E, MATCH($A22, 'UZ-normalized'!$A:$A, 0))&gt;0, -(8*INDEX('UZ-normalized'!$D:$D, MATCH($A22, 'UZ-normalized'!$A:$A, 0))-INDEX('UZ-normalized'!$E:$E, MATCH($A22, 'UZ-normalized'!$A:$A, 0))), 0), 0)))</f>
        <v>0</v>
      </c>
      <c r="W22" s="6">
        <f>MIN(0, N22+(IFERROR(IF(9*INDEX('UA-normalized'!$D:$D, MATCH($A22, 'UA-normalized'!$A:$A, 0))-INDEX('UA-normalized'!$E:$E, MATCH($A22, 'UA-normalized'!$A:$A, 0))&gt;0, -(9*INDEX('UA-normalized'!$D:$D, MATCH($A22, 'UA-normalized'!$A:$A, 0))-INDEX('UA-normalized'!$E:$E, MATCH($A22, 'UA-normalized'!$A:$A, 0))), 0), 0))+(IFERROR(IF(9*INDEX('KZ-normalized'!$D:$D, MATCH($A22, 'KZ-normalized'!$A:$A, 0))-INDEX('KZ-normalized'!$E:$E, MATCH($A22, 'KZ-normalized'!$A:$A, 0))&gt;0, -(9*INDEX('KZ-normalized'!$D:$D, MATCH($A22, 'KZ-normalized'!$A:$A, 0))-INDEX('KZ-normalized'!$E:$E, MATCH($A22, 'KZ-normalized'!$A:$A, 0))), 0), 0))+(IFERROR(IF(9*INDEX('UZ-normalized'!$D:$D, MATCH($A22, 'UZ-normalized'!$A:$A, 0))-INDEX('UZ-normalized'!$E:$E, MATCH($A22, 'UZ-normalized'!$A:$A, 0))&gt;0, -(9*INDEX('UZ-normalized'!$D:$D, MATCH($A22, 'UZ-normalized'!$A:$A, 0))-INDEX('UZ-normalized'!$E:$E, MATCH($A22, 'UZ-normalized'!$A:$A, 0))), 0), 0)))</f>
        <v>0</v>
      </c>
      <c r="X22" s="6">
        <f>MIN(0, N22+(IFERROR(IF(10*INDEX('UA-normalized'!$D:$D, MATCH($A22, 'UA-normalized'!$A:$A, 0))-INDEX('UA-normalized'!$E:$E, MATCH($A22, 'UA-normalized'!$A:$A, 0))&gt;0, -(10*INDEX('UA-normalized'!$D:$D, MATCH($A22, 'UA-normalized'!$A:$A, 0))-INDEX('UA-normalized'!$E:$E, MATCH($A22, 'UA-normalized'!$A:$A, 0))), 0), 0))+(IFERROR(IF(10*INDEX('KZ-normalized'!$D:$D, MATCH($A22, 'KZ-normalized'!$A:$A, 0))-INDEX('KZ-normalized'!$E:$E, MATCH($A22, 'KZ-normalized'!$A:$A, 0))&gt;0, -(10*INDEX('KZ-normalized'!$D:$D, MATCH($A22, 'KZ-normalized'!$A:$A, 0))-INDEX('KZ-normalized'!$E:$E, MATCH($A22, 'KZ-normalized'!$A:$A, 0))), 0), 0))+(IFERROR(IF(10*INDEX('UZ-normalized'!$D:$D, MATCH($A22, 'UZ-normalized'!$A:$A, 0))-INDEX('UZ-normalized'!$E:$E, MATCH($A22, 'UZ-normalized'!$A:$A, 0))&gt;0, -(10*INDEX('UZ-normalized'!$D:$D, MATCH($A22, 'UZ-normalized'!$A:$A, 0))-INDEX('UZ-normalized'!$E:$E, MATCH($A22, 'UZ-normalized'!$A:$A, 0))), 0), 0)))</f>
        <v>0</v>
      </c>
      <c r="Y22" s="6">
        <f>MIN(0, N22+(IFERROR(IF(11*INDEX('UA-normalized'!$D:$D, MATCH($A22, 'UA-normalized'!$A:$A, 0))-INDEX('UA-normalized'!$E:$E, MATCH($A22, 'UA-normalized'!$A:$A, 0))&gt;0, -(11*INDEX('UA-normalized'!$D:$D, MATCH($A22, 'UA-normalized'!$A:$A, 0))-INDEX('UA-normalized'!$E:$E, MATCH($A22, 'UA-normalized'!$A:$A, 0))), 0), 0))+(IFERROR(IF(11*INDEX('KZ-normalized'!$D:$D, MATCH($A22, 'KZ-normalized'!$A:$A, 0))-INDEX('KZ-normalized'!$E:$E, MATCH($A22, 'KZ-normalized'!$A:$A, 0))&gt;0, -(11*INDEX('KZ-normalized'!$D:$D, MATCH($A22, 'KZ-normalized'!$A:$A, 0))-INDEX('KZ-normalized'!$E:$E, MATCH($A22, 'KZ-normalized'!$A:$A, 0))), 0), 0))+(IFERROR(IF(11*INDEX('UZ-normalized'!$D:$D, MATCH($A22, 'UZ-normalized'!$A:$A, 0))-INDEX('UZ-normalized'!$E:$E, MATCH($A22, 'UZ-normalized'!$A:$A, 0))&gt;0, -(11*INDEX('UZ-normalized'!$D:$D, MATCH($A22, 'UZ-normalized'!$A:$A, 0))-INDEX('UZ-normalized'!$E:$E, MATCH($A22, 'UZ-normalized'!$A:$A, 0))), 0), 0)))</f>
        <v>0</v>
      </c>
      <c r="Z22" s="6">
        <f>MIN(0, N22+(IFERROR(IF(12*INDEX('UA-normalized'!$D:$D, MATCH($A22, 'UA-normalized'!$A:$A, 0))-INDEX('UA-normalized'!$E:$E, MATCH($A22, 'UA-normalized'!$A:$A, 0))&gt;0, -(12*INDEX('UA-normalized'!$D:$D, MATCH($A22, 'UA-normalized'!$A:$A, 0))-INDEX('UA-normalized'!$E:$E, MATCH($A22, 'UA-normalized'!$A:$A, 0))), 0), 0))+(IFERROR(IF(12*INDEX('KZ-normalized'!$D:$D, MATCH($A22, 'KZ-normalized'!$A:$A, 0))-INDEX('KZ-normalized'!$E:$E, MATCH($A22, 'KZ-normalized'!$A:$A, 0))&gt;0, -(12*INDEX('KZ-normalized'!$D:$D, MATCH($A22, 'KZ-normalized'!$A:$A, 0))-INDEX('KZ-normalized'!$E:$E, MATCH($A22, 'KZ-normalized'!$A:$A, 0))), 0), 0))+(IFERROR(IF(12*INDEX('UZ-normalized'!$D:$D, MATCH($A22, 'UZ-normalized'!$A:$A, 0))-INDEX('UZ-normalized'!$E:$E, MATCH($A22, 'UZ-normalized'!$A:$A, 0))&gt;0, -(12*INDEX('UZ-normalized'!$D:$D, MATCH($A22, 'UZ-normalized'!$A:$A, 0))-INDEX('UZ-normalized'!$E:$E, MATCH($A22, 'UZ-normalized'!$A:$A, 0))), 0), 0)))</f>
        <v>0</v>
      </c>
      <c r="AA22" s="6">
        <f>MIN(0, N22+(IFERROR(IF(13*INDEX('UA-normalized'!$D:$D, MATCH($A22, 'UA-normalized'!$A:$A, 0))-INDEX('UA-normalized'!$E:$E, MATCH($A22, 'UA-normalized'!$A:$A, 0))&gt;0, -(13*INDEX('UA-normalized'!$D:$D, MATCH($A22, 'UA-normalized'!$A:$A, 0))-INDEX('UA-normalized'!$E:$E, MATCH($A22, 'UA-normalized'!$A:$A, 0))), 0), 0))+(IFERROR(IF(13*INDEX('KZ-normalized'!$D:$D, MATCH($A22, 'KZ-normalized'!$A:$A, 0))-INDEX('KZ-normalized'!$E:$E, MATCH($A22, 'KZ-normalized'!$A:$A, 0))&gt;0, -(13*INDEX('KZ-normalized'!$D:$D, MATCH($A22, 'KZ-normalized'!$A:$A, 0))-INDEX('KZ-normalized'!$E:$E, MATCH($A22, 'KZ-normalized'!$A:$A, 0))), 0), 0))+(IFERROR(IF(13*INDEX('UZ-normalized'!$D:$D, MATCH($A22, 'UZ-normalized'!$A:$A, 0))-INDEX('UZ-normalized'!$E:$E, MATCH($A22, 'UZ-normalized'!$A:$A, 0))&gt;0, -(13*INDEX('UZ-normalized'!$D:$D, MATCH($A22, 'UZ-normalized'!$A:$A, 0))-INDEX('UZ-normalized'!$E:$E, MATCH($A22, 'UZ-normalized'!$A:$A, 0))), 0), 0)))</f>
        <v>0</v>
      </c>
      <c r="AB22" s="6">
        <f>MIN(0, N22+(IFERROR(IF(14*INDEX('UA-normalized'!$D:$D, MATCH($A22, 'UA-normalized'!$A:$A, 0))-INDEX('UA-normalized'!$E:$E, MATCH($A22, 'UA-normalized'!$A:$A, 0))&gt;0, -(14*INDEX('UA-normalized'!$D:$D, MATCH($A22, 'UA-normalized'!$A:$A, 0))-INDEX('UA-normalized'!$E:$E, MATCH($A22, 'UA-normalized'!$A:$A, 0))), 0), 0))+(IFERROR(IF(14*INDEX('KZ-normalized'!$D:$D, MATCH($A22, 'KZ-normalized'!$A:$A, 0))-INDEX('KZ-normalized'!$E:$E, MATCH($A22, 'KZ-normalized'!$A:$A, 0))&gt;0, -(14*INDEX('KZ-normalized'!$D:$D, MATCH($A22, 'KZ-normalized'!$A:$A, 0))-INDEX('KZ-normalized'!$E:$E, MATCH($A22, 'KZ-normalized'!$A:$A, 0))), 0), 0))+(IFERROR(IF(14*INDEX('UZ-normalized'!$D:$D, MATCH($A22, 'UZ-normalized'!$A:$A, 0))-INDEX('UZ-normalized'!$E:$E, MATCH($A22, 'UZ-normalized'!$A:$A, 0))&gt;0, -(14*INDEX('UZ-normalized'!$D:$D, MATCH($A22, 'UZ-normalized'!$A:$A, 0))-INDEX('UZ-normalized'!$E:$E, MATCH($A22, 'UZ-normalized'!$A:$A, 0))), 0), 0)))</f>
        <v>0</v>
      </c>
      <c r="AC22" s="6">
        <f>MIN(0, N22+(IFERROR(IF(15*INDEX('UA-normalized'!$D:$D, MATCH($A22, 'UA-normalized'!$A:$A, 0))-INDEX('UA-normalized'!$E:$E, MATCH($A22, 'UA-normalized'!$A:$A, 0))&gt;0, -(15*INDEX('UA-normalized'!$D:$D, MATCH($A22, 'UA-normalized'!$A:$A, 0))-INDEX('UA-normalized'!$E:$E, MATCH($A22, 'UA-normalized'!$A:$A, 0))), 0), 0))+(IFERROR(IF(15*INDEX('KZ-normalized'!$D:$D, MATCH($A22, 'KZ-normalized'!$A:$A, 0))-INDEX('KZ-normalized'!$E:$E, MATCH($A22, 'KZ-normalized'!$A:$A, 0))&gt;0, -(15*INDEX('KZ-normalized'!$D:$D, MATCH($A22, 'KZ-normalized'!$A:$A, 0))-INDEX('KZ-normalized'!$E:$E, MATCH($A22, 'KZ-normalized'!$A:$A, 0))), 0), 0))+(IFERROR(IF(15*INDEX('UZ-normalized'!$D:$D, MATCH($A22, 'UZ-normalized'!$A:$A, 0))-INDEX('UZ-normalized'!$E:$E, MATCH($A22, 'UZ-normalized'!$A:$A, 0))&gt;0, -(15*INDEX('UZ-normalized'!$D:$D, MATCH($A22, 'UZ-normalized'!$A:$A, 0))-INDEX('UZ-normalized'!$E:$E, MATCH($A22, 'UZ-normalized'!$A:$A, 0))), 0), 0)))</f>
        <v>0</v>
      </c>
      <c r="AD22" s="6">
        <f>MIN(0, N22+(IFERROR(IF(16*INDEX('UA-normalized'!$D:$D, MATCH($A22, 'UA-normalized'!$A:$A, 0))-INDEX('UA-normalized'!$E:$E, MATCH($A22, 'UA-normalized'!$A:$A, 0))&gt;0, -(16*INDEX('UA-normalized'!$D:$D, MATCH($A22, 'UA-normalized'!$A:$A, 0))-INDEX('UA-normalized'!$E:$E, MATCH($A22, 'UA-normalized'!$A:$A, 0))), 0), 0))+(IFERROR(IF(16*INDEX('KZ-normalized'!$D:$D, MATCH($A22, 'KZ-normalized'!$A:$A, 0))-INDEX('KZ-normalized'!$E:$E, MATCH($A22, 'KZ-normalized'!$A:$A, 0))&gt;0, -(16*INDEX('KZ-normalized'!$D:$D, MATCH($A22, 'KZ-normalized'!$A:$A, 0))-INDEX('KZ-normalized'!$E:$E, MATCH($A22, 'KZ-normalized'!$A:$A, 0))), 0), 0))+(IFERROR(IF(16*INDEX('UZ-normalized'!$D:$D, MATCH($A22, 'UZ-normalized'!$A:$A, 0))-INDEX('UZ-normalized'!$E:$E, MATCH($A22, 'UZ-normalized'!$A:$A, 0))&gt;0, -(16*INDEX('UZ-normalized'!$D:$D, MATCH($A22, 'UZ-normalized'!$A:$A, 0))-INDEX('UZ-normalized'!$E:$E, MATCH($A22, 'UZ-normalized'!$A:$A, 0))), 0), 0)))</f>
        <v>0</v>
      </c>
      <c r="AE22" s="6">
        <f>MIN(0, N22+(IFERROR(IF(17*INDEX('UA-normalized'!$D:$D, MATCH($A22, 'UA-normalized'!$A:$A, 0))-INDEX('UA-normalized'!$E:$E, MATCH($A22, 'UA-normalized'!$A:$A, 0))&gt;0, -(17*INDEX('UA-normalized'!$D:$D, MATCH($A22, 'UA-normalized'!$A:$A, 0))-INDEX('UA-normalized'!$E:$E, MATCH($A22, 'UA-normalized'!$A:$A, 0))), 0), 0))+(IFERROR(IF(17*INDEX('KZ-normalized'!$D:$D, MATCH($A22, 'KZ-normalized'!$A:$A, 0))-INDEX('KZ-normalized'!$E:$E, MATCH($A22, 'KZ-normalized'!$A:$A, 0))&gt;0, -(17*INDEX('KZ-normalized'!$D:$D, MATCH($A22, 'KZ-normalized'!$A:$A, 0))-INDEX('KZ-normalized'!$E:$E, MATCH($A22, 'KZ-normalized'!$A:$A, 0))), 0), 0))+(IFERROR(IF(17*INDEX('UZ-normalized'!$D:$D, MATCH($A22, 'UZ-normalized'!$A:$A, 0))-INDEX('UZ-normalized'!$E:$E, MATCH($A22, 'UZ-normalized'!$A:$A, 0))&gt;0, -(17*INDEX('UZ-normalized'!$D:$D, MATCH($A22, 'UZ-normalized'!$A:$A, 0))-INDEX('UZ-normalized'!$E:$E, MATCH($A22, 'UZ-normalized'!$A:$A, 0))), 0), 0)))</f>
        <v>0</v>
      </c>
      <c r="AF22" s="6">
        <f>MIN(0, N22+(IFERROR(IF(18*INDEX('UA-normalized'!$D:$D, MATCH($A22, 'UA-normalized'!$A:$A, 0))-INDEX('UA-normalized'!$E:$E, MATCH($A22, 'UA-normalized'!$A:$A, 0))&gt;0, -(18*INDEX('UA-normalized'!$D:$D, MATCH($A22, 'UA-normalized'!$A:$A, 0))-INDEX('UA-normalized'!$E:$E, MATCH($A22, 'UA-normalized'!$A:$A, 0))), 0), 0))+(IFERROR(IF(18*INDEX('KZ-normalized'!$D:$D, MATCH($A22, 'KZ-normalized'!$A:$A, 0))-INDEX('KZ-normalized'!$E:$E, MATCH($A22, 'KZ-normalized'!$A:$A, 0))&gt;0, -(18*INDEX('KZ-normalized'!$D:$D, MATCH($A22, 'KZ-normalized'!$A:$A, 0))-INDEX('KZ-normalized'!$E:$E, MATCH($A22, 'KZ-normalized'!$A:$A, 0))), 0), 0))+(IFERROR(IF(18*INDEX('UZ-normalized'!$D:$D, MATCH($A22, 'UZ-normalized'!$A:$A, 0))-INDEX('UZ-normalized'!$E:$E, MATCH($A22, 'UZ-normalized'!$A:$A, 0))&gt;0, -(18*INDEX('UZ-normalized'!$D:$D, MATCH($A22, 'UZ-normalized'!$A:$A, 0))-INDEX('UZ-normalized'!$E:$E, MATCH($A22, 'UZ-normalized'!$A:$A, 0))), 0), 0)))</f>
        <v>0</v>
      </c>
      <c r="AG22" s="6">
        <f>MIN(0, N22+(IFERROR(IF(19*INDEX('UA-normalized'!$D:$D, MATCH($A22, 'UA-normalized'!$A:$A, 0))-INDEX('UA-normalized'!$E:$E, MATCH($A22, 'UA-normalized'!$A:$A, 0))&gt;0, -(19*INDEX('UA-normalized'!$D:$D, MATCH($A22, 'UA-normalized'!$A:$A, 0))-INDEX('UA-normalized'!$E:$E, MATCH($A22, 'UA-normalized'!$A:$A, 0))), 0), 0))+(IFERROR(IF(19*INDEX('KZ-normalized'!$D:$D, MATCH($A22, 'KZ-normalized'!$A:$A, 0))-INDEX('KZ-normalized'!$E:$E, MATCH($A22, 'KZ-normalized'!$A:$A, 0))&gt;0, -(19*INDEX('KZ-normalized'!$D:$D, MATCH($A22, 'KZ-normalized'!$A:$A, 0))-INDEX('KZ-normalized'!$E:$E, MATCH($A22, 'KZ-normalized'!$A:$A, 0))), 0), 0))+(IFERROR(IF(19*INDEX('UZ-normalized'!$D:$D, MATCH($A22, 'UZ-normalized'!$A:$A, 0))-INDEX('UZ-normalized'!$E:$E, MATCH($A22, 'UZ-normalized'!$A:$A, 0))&gt;0, -(19*INDEX('UZ-normalized'!$D:$D, MATCH($A22, 'UZ-normalized'!$A:$A, 0))-INDEX('UZ-normalized'!$E:$E, MATCH($A22, 'UZ-normalized'!$A:$A, 0))), 0), 0)))</f>
        <v>0</v>
      </c>
      <c r="AH22" s="6">
        <f>MIN(0, N22+(IFERROR(IF(20*INDEX('UA-normalized'!$D:$D, MATCH($A22, 'UA-normalized'!$A:$A, 0))-INDEX('UA-normalized'!$E:$E, MATCH($A22, 'UA-normalized'!$A:$A, 0))&gt;0, -(20*INDEX('UA-normalized'!$D:$D, MATCH($A22, 'UA-normalized'!$A:$A, 0))-INDEX('UA-normalized'!$E:$E, MATCH($A22, 'UA-normalized'!$A:$A, 0))), 0), 0))+(IFERROR(IF(20*INDEX('KZ-normalized'!$D:$D, MATCH($A22, 'KZ-normalized'!$A:$A, 0))-INDEX('KZ-normalized'!$E:$E, MATCH($A22, 'KZ-normalized'!$A:$A, 0))&gt;0, -(20*INDEX('KZ-normalized'!$D:$D, MATCH($A22, 'KZ-normalized'!$A:$A, 0))-INDEX('KZ-normalized'!$E:$E, MATCH($A22, 'KZ-normalized'!$A:$A, 0))), 0), 0))+(IFERROR(IF(20*INDEX('UZ-normalized'!$D:$D, MATCH($A22, 'UZ-normalized'!$A:$A, 0))-INDEX('UZ-normalized'!$E:$E, MATCH($A22, 'UZ-normalized'!$A:$A, 0))&gt;0, -(20*INDEX('UZ-normalized'!$D:$D, MATCH($A22, 'UZ-normalized'!$A:$A, 0))-INDEX('UZ-normalized'!$E:$E, MATCH($A22, 'UZ-normalized'!$A:$A, 0))), 0), 0)))</f>
        <v>0</v>
      </c>
      <c r="AI22" s="6">
        <f>MIN(0, N22+(IFERROR(IF(21*INDEX('UA-normalized'!$D:$D, MATCH($A22, 'UA-normalized'!$A:$A, 0))-INDEX('UA-normalized'!$E:$E, MATCH($A22, 'UA-normalized'!$A:$A, 0))&gt;0, -(21*INDEX('UA-normalized'!$D:$D, MATCH($A22, 'UA-normalized'!$A:$A, 0))-INDEX('UA-normalized'!$E:$E, MATCH($A22, 'UA-normalized'!$A:$A, 0))), 0), 0))+(IFERROR(IF(21*INDEX('KZ-normalized'!$D:$D, MATCH($A22, 'KZ-normalized'!$A:$A, 0))-INDEX('KZ-normalized'!$E:$E, MATCH($A22, 'KZ-normalized'!$A:$A, 0))&gt;0, -(21*INDEX('KZ-normalized'!$D:$D, MATCH($A22, 'KZ-normalized'!$A:$A, 0))-INDEX('KZ-normalized'!$E:$E, MATCH($A22, 'KZ-normalized'!$A:$A, 0))), 0), 0))+(IFERROR(IF(21*INDEX('UZ-normalized'!$D:$D, MATCH($A22, 'UZ-normalized'!$A:$A, 0))-INDEX('UZ-normalized'!$E:$E, MATCH($A22, 'UZ-normalized'!$A:$A, 0))&gt;0, -(21*INDEX('UZ-normalized'!$D:$D, MATCH($A22, 'UZ-normalized'!$A:$A, 0))-INDEX('UZ-normalized'!$E:$E, MATCH($A22, 'UZ-normalized'!$A:$A, 0))), 0), 0)))</f>
        <v>0</v>
      </c>
      <c r="AJ22" s="6">
        <f>MIN(0, N22+(IFERROR(IF(22*INDEX('UA-normalized'!$D:$D, MATCH($A22, 'UA-normalized'!$A:$A, 0))-INDEX('UA-normalized'!$E:$E, MATCH($A22, 'UA-normalized'!$A:$A, 0))&gt;0, -(22*INDEX('UA-normalized'!$D:$D, MATCH($A22, 'UA-normalized'!$A:$A, 0))-INDEX('UA-normalized'!$E:$E, MATCH($A22, 'UA-normalized'!$A:$A, 0))), 0), 0))+(IFERROR(IF(22*INDEX('KZ-normalized'!$D:$D, MATCH($A22, 'KZ-normalized'!$A:$A, 0))-INDEX('KZ-normalized'!$E:$E, MATCH($A22, 'KZ-normalized'!$A:$A, 0))&gt;0, -(22*INDEX('KZ-normalized'!$D:$D, MATCH($A22, 'KZ-normalized'!$A:$A, 0))-INDEX('KZ-normalized'!$E:$E, MATCH($A22, 'KZ-normalized'!$A:$A, 0))), 0), 0))+(IFERROR(IF(22*INDEX('UZ-normalized'!$D:$D, MATCH($A22, 'UZ-normalized'!$A:$A, 0))-INDEX('UZ-normalized'!$E:$E, MATCH($A22, 'UZ-normalized'!$A:$A, 0))&gt;0, -(22*INDEX('UZ-normalized'!$D:$D, MATCH($A22, 'UZ-normalized'!$A:$A, 0))-INDEX('UZ-normalized'!$E:$E, MATCH($A22, 'UZ-normalized'!$A:$A, 0))), 0), 0)))</f>
        <v>0</v>
      </c>
      <c r="AK22" s="6">
        <f>MIN(0, N22+(IFERROR(IF(23*INDEX('UA-normalized'!$D:$D, MATCH($A22, 'UA-normalized'!$A:$A, 0))-INDEX('UA-normalized'!$E:$E, MATCH($A22, 'UA-normalized'!$A:$A, 0))&gt;0, -(23*INDEX('UA-normalized'!$D:$D, MATCH($A22, 'UA-normalized'!$A:$A, 0))-INDEX('UA-normalized'!$E:$E, MATCH($A22, 'UA-normalized'!$A:$A, 0))), 0), 0))+(IFERROR(IF(23*INDEX('KZ-normalized'!$D:$D, MATCH($A22, 'KZ-normalized'!$A:$A, 0))-INDEX('KZ-normalized'!$E:$E, MATCH($A22, 'KZ-normalized'!$A:$A, 0))&gt;0, -(23*INDEX('KZ-normalized'!$D:$D, MATCH($A22, 'KZ-normalized'!$A:$A, 0))-INDEX('KZ-normalized'!$E:$E, MATCH($A22, 'KZ-normalized'!$A:$A, 0))), 0), 0))+(IFERROR(IF(23*INDEX('UZ-normalized'!$D:$D, MATCH($A22, 'UZ-normalized'!$A:$A, 0))-INDEX('UZ-normalized'!$E:$E, MATCH($A22, 'UZ-normalized'!$A:$A, 0))&gt;0, -(23*INDEX('UZ-normalized'!$D:$D, MATCH($A22, 'UZ-normalized'!$A:$A, 0))-INDEX('UZ-normalized'!$E:$E, MATCH($A22, 'UZ-normalized'!$A:$A, 0))), 0), 0)))</f>
        <v>0</v>
      </c>
      <c r="AL22" s="6">
        <f>MIN(0, N22+(IFERROR(IF(24*INDEX('UA-normalized'!$D:$D, MATCH($A22, 'UA-normalized'!$A:$A, 0))-INDEX('UA-normalized'!$E:$E, MATCH($A22, 'UA-normalized'!$A:$A, 0))&gt;0, -(24*INDEX('UA-normalized'!$D:$D, MATCH($A22, 'UA-normalized'!$A:$A, 0))-INDEX('UA-normalized'!$E:$E, MATCH($A22, 'UA-normalized'!$A:$A, 0))), 0), 0))+(IFERROR(IF(24*INDEX('KZ-normalized'!$D:$D, MATCH($A22, 'KZ-normalized'!$A:$A, 0))-INDEX('KZ-normalized'!$E:$E, MATCH($A22, 'KZ-normalized'!$A:$A, 0))&gt;0, -(24*INDEX('KZ-normalized'!$D:$D, MATCH($A22, 'KZ-normalized'!$A:$A, 0))-INDEX('KZ-normalized'!$E:$E, MATCH($A22, 'KZ-normalized'!$A:$A, 0))), 0), 0))+(IFERROR(IF(24*INDEX('UZ-normalized'!$D:$D, MATCH($A22, 'UZ-normalized'!$A:$A, 0))-INDEX('UZ-normalized'!$E:$E, MATCH($A22, 'UZ-normalized'!$A:$A, 0))&gt;0, -(24*INDEX('UZ-normalized'!$D:$D, MATCH($A22, 'UZ-normalized'!$A:$A, 0))-INDEX('UZ-normalized'!$E:$E, MATCH($A22, 'UZ-normalized'!$A:$A, 0))), 0), 0)))</f>
        <v>0</v>
      </c>
      <c r="AM22" s="6">
        <f>MIN(0, N22+(IFERROR(IF(25*INDEX('UA-normalized'!$D:$D, MATCH($A22, 'UA-normalized'!$A:$A, 0))-INDEX('UA-normalized'!$E:$E, MATCH($A22, 'UA-normalized'!$A:$A, 0))&gt;0, -(25*INDEX('UA-normalized'!$D:$D, MATCH($A22, 'UA-normalized'!$A:$A, 0))-INDEX('UA-normalized'!$E:$E, MATCH($A22, 'UA-normalized'!$A:$A, 0))), 0), 0))+(IFERROR(IF(25*INDEX('KZ-normalized'!$D:$D, MATCH($A22, 'KZ-normalized'!$A:$A, 0))-INDEX('KZ-normalized'!$E:$E, MATCH($A22, 'KZ-normalized'!$A:$A, 0))&gt;0, -(25*INDEX('KZ-normalized'!$D:$D, MATCH($A22, 'KZ-normalized'!$A:$A, 0))-INDEX('KZ-normalized'!$E:$E, MATCH($A22, 'KZ-normalized'!$A:$A, 0))), 0), 0))+(IFERROR(IF(25*INDEX('UZ-normalized'!$D:$D, MATCH($A22, 'UZ-normalized'!$A:$A, 0))-INDEX('UZ-normalized'!$E:$E, MATCH($A22, 'UZ-normalized'!$A:$A, 0))&gt;0, -(25*INDEX('UZ-normalized'!$D:$D, MATCH($A22, 'UZ-normalized'!$A:$A, 0))-INDEX('UZ-normalized'!$E:$E, MATCH($A22, 'UZ-normalized'!$A:$A, 0))), 0), 0)))</f>
        <v>0</v>
      </c>
      <c r="AN22" s="6">
        <f>MIN(0, N22+(IFERROR(IF(26*INDEX('UA-normalized'!$D:$D, MATCH($A22, 'UA-normalized'!$A:$A, 0))-INDEX('UA-normalized'!$E:$E, MATCH($A22, 'UA-normalized'!$A:$A, 0))&gt;0, -(26*INDEX('UA-normalized'!$D:$D, MATCH($A22, 'UA-normalized'!$A:$A, 0))-INDEX('UA-normalized'!$E:$E, MATCH($A22, 'UA-normalized'!$A:$A, 0))), 0), 0))+(IFERROR(IF(26*INDEX('KZ-normalized'!$D:$D, MATCH($A22, 'KZ-normalized'!$A:$A, 0))-INDEX('KZ-normalized'!$E:$E, MATCH($A22, 'KZ-normalized'!$A:$A, 0))&gt;0, -(26*INDEX('KZ-normalized'!$D:$D, MATCH($A22, 'KZ-normalized'!$A:$A, 0))-INDEX('KZ-normalized'!$E:$E, MATCH($A22, 'KZ-normalized'!$A:$A, 0))), 0), 0))+(IFERROR(IF(26*INDEX('UZ-normalized'!$D:$D, MATCH($A22, 'UZ-normalized'!$A:$A, 0))-INDEX('UZ-normalized'!$E:$E, MATCH($A22, 'UZ-normalized'!$A:$A, 0))&gt;0, -(26*INDEX('UZ-normalized'!$D:$D, MATCH($A22, 'UZ-normalized'!$A:$A, 0))-INDEX('UZ-normalized'!$E:$E, MATCH($A22, 'UZ-normalized'!$A:$A, 0))), 0), 0)))</f>
        <v>0</v>
      </c>
      <c r="AO22" s="6">
        <f>MIN(0, N22+(IFERROR(IF(27*INDEX('UA-normalized'!$D:$D, MATCH($A22, 'UA-normalized'!$A:$A, 0))-INDEX('UA-normalized'!$E:$E, MATCH($A22, 'UA-normalized'!$A:$A, 0))&gt;0, -(27*INDEX('UA-normalized'!$D:$D, MATCH($A22, 'UA-normalized'!$A:$A, 0))-INDEX('UA-normalized'!$E:$E, MATCH($A22, 'UA-normalized'!$A:$A, 0))), 0), 0))+(IFERROR(IF(27*INDEX('KZ-normalized'!$D:$D, MATCH($A22, 'KZ-normalized'!$A:$A, 0))-INDEX('KZ-normalized'!$E:$E, MATCH($A22, 'KZ-normalized'!$A:$A, 0))&gt;0, -(27*INDEX('KZ-normalized'!$D:$D, MATCH($A22, 'KZ-normalized'!$A:$A, 0))-INDEX('KZ-normalized'!$E:$E, MATCH($A22, 'KZ-normalized'!$A:$A, 0))), 0), 0))+(IFERROR(IF(27*INDEX('UZ-normalized'!$D:$D, MATCH($A22, 'UZ-normalized'!$A:$A, 0))-INDEX('UZ-normalized'!$E:$E, MATCH($A22, 'UZ-normalized'!$A:$A, 0))&gt;0, -(27*INDEX('UZ-normalized'!$D:$D, MATCH($A22, 'UZ-normalized'!$A:$A, 0))-INDEX('UZ-normalized'!$E:$E, MATCH($A22, 'UZ-normalized'!$A:$A, 0))), 0), 0)))</f>
        <v>0</v>
      </c>
      <c r="AP22" s="6">
        <f>MIN(0, N22+(IFERROR(IF(28*INDEX('UA-normalized'!$D:$D, MATCH($A22, 'UA-normalized'!$A:$A, 0))-INDEX('UA-normalized'!$E:$E, MATCH($A22, 'UA-normalized'!$A:$A, 0))&gt;0, -(28*INDEX('UA-normalized'!$D:$D, MATCH($A22, 'UA-normalized'!$A:$A, 0))-INDEX('UA-normalized'!$E:$E, MATCH($A22, 'UA-normalized'!$A:$A, 0))), 0), 0))+(IFERROR(IF(28*INDEX('KZ-normalized'!$D:$D, MATCH($A22, 'KZ-normalized'!$A:$A, 0))-INDEX('KZ-normalized'!$E:$E, MATCH($A22, 'KZ-normalized'!$A:$A, 0))&gt;0, -(28*INDEX('KZ-normalized'!$D:$D, MATCH($A22, 'KZ-normalized'!$A:$A, 0))-INDEX('KZ-normalized'!$E:$E, MATCH($A22, 'KZ-normalized'!$A:$A, 0))), 0), 0))+(IFERROR(IF(28*INDEX('UZ-normalized'!$D:$D, MATCH($A22, 'UZ-normalized'!$A:$A, 0))-INDEX('UZ-normalized'!$E:$E, MATCH($A22, 'UZ-normalized'!$A:$A, 0))&gt;0, -(28*INDEX('UZ-normalized'!$D:$D, MATCH($A22, 'UZ-normalized'!$A:$A, 0))-INDEX('UZ-normalized'!$E:$E, MATCH($A22, 'UZ-normalized'!$A:$A, 0))), 0), 0)))</f>
        <v>0</v>
      </c>
      <c r="AQ22" s="6">
        <f>MIN(0, N22+(IFERROR(IF(29*INDEX('UA-normalized'!$D:$D, MATCH($A22, 'UA-normalized'!$A:$A, 0))-INDEX('UA-normalized'!$E:$E, MATCH($A22, 'UA-normalized'!$A:$A, 0))&gt;0, -(29*INDEX('UA-normalized'!$D:$D, MATCH($A22, 'UA-normalized'!$A:$A, 0))-INDEX('UA-normalized'!$E:$E, MATCH($A22, 'UA-normalized'!$A:$A, 0))), 0), 0))+(IFERROR(IF(29*INDEX('KZ-normalized'!$D:$D, MATCH($A22, 'KZ-normalized'!$A:$A, 0))-INDEX('KZ-normalized'!$E:$E, MATCH($A22, 'KZ-normalized'!$A:$A, 0))&gt;0, -(29*INDEX('KZ-normalized'!$D:$D, MATCH($A22, 'KZ-normalized'!$A:$A, 0))-INDEX('KZ-normalized'!$E:$E, MATCH($A22, 'KZ-normalized'!$A:$A, 0))), 0), 0))+(IFERROR(IF(29*INDEX('UZ-normalized'!$D:$D, MATCH($A22, 'UZ-normalized'!$A:$A, 0))-INDEX('UZ-normalized'!$E:$E, MATCH($A22, 'UZ-normalized'!$A:$A, 0))&gt;0, -(29*INDEX('UZ-normalized'!$D:$D, MATCH($A22, 'UZ-normalized'!$A:$A, 0))-INDEX('UZ-normalized'!$E:$E, MATCH($A22, 'UZ-normalized'!$A:$A, 0))), 0), 0)))</f>
        <v>0</v>
      </c>
      <c r="AR22" s="6">
        <f>MIN(0, N22+(IFERROR(IF(30*INDEX('UA-normalized'!$D:$D, MATCH($A22, 'UA-normalized'!$A:$A, 0))-INDEX('UA-normalized'!$E:$E, MATCH($A22, 'UA-normalized'!$A:$A, 0))&gt;0, -(30*INDEX('UA-normalized'!$D:$D, MATCH($A22, 'UA-normalized'!$A:$A, 0))-INDEX('UA-normalized'!$E:$E, MATCH($A22, 'UA-normalized'!$A:$A, 0))), 0), 0))+(IFERROR(IF(30*INDEX('KZ-normalized'!$D:$D, MATCH($A22, 'KZ-normalized'!$A:$A, 0))-INDEX('KZ-normalized'!$E:$E, MATCH($A22, 'KZ-normalized'!$A:$A, 0))&gt;0, -(30*INDEX('KZ-normalized'!$D:$D, MATCH($A22, 'KZ-normalized'!$A:$A, 0))-INDEX('KZ-normalized'!$E:$E, MATCH($A22, 'KZ-normalized'!$A:$A, 0))), 0), 0))+(IFERROR(IF(30*INDEX('UZ-normalized'!$D:$D, MATCH($A22, 'UZ-normalized'!$A:$A, 0))-INDEX('UZ-normalized'!$E:$E, MATCH($A22, 'UZ-normalized'!$A:$A, 0))&gt;0, -(30*INDEX('UZ-normalized'!$D:$D, MATCH($A22, 'UZ-normalized'!$A:$A, 0))-INDEX('UZ-normalized'!$E:$E, MATCH($A22, 'UZ-normalized'!$A:$A, 0))), 0), 0)))</f>
        <v>0</v>
      </c>
    </row>
    <row r="23" spans="1:44" x14ac:dyDescent="0.25">
      <c r="A23" s="8" t="s">
        <v>94</v>
      </c>
      <c r="B23" s="8" t="s">
        <v>83</v>
      </c>
      <c r="C23" s="8" t="s">
        <v>84</v>
      </c>
      <c r="D23" s="8" t="s">
        <v>95</v>
      </c>
      <c r="E23">
        <v>20325.333333333328</v>
      </c>
      <c r="G23">
        <v>-35</v>
      </c>
      <c r="H23">
        <v>16666.666666666672</v>
      </c>
      <c r="I23">
        <v>2000</v>
      </c>
      <c r="N23">
        <f t="shared" si="0"/>
        <v>38957</v>
      </c>
      <c r="O23" s="6">
        <f>MIN(0, N23+(IFERROR(IF(1*INDEX('UA-normalized'!$D:$D, MATCH($A23, 'UA-normalized'!$A:$A, 0))-INDEX('UA-normalized'!$E:$E, MATCH($A23, 'UA-normalized'!$A:$A, 0))&gt;0, -(1*INDEX('UA-normalized'!$D:$D, MATCH($A23, 'UA-normalized'!$A:$A, 0))-INDEX('UA-normalized'!$E:$E, MATCH($A23, 'UA-normalized'!$A:$A, 0))), 0), 0))+(IFERROR(IF(1*INDEX('KZ-normalized'!$D:$D, MATCH($A23, 'KZ-normalized'!$A:$A, 0))-INDEX('KZ-normalized'!$E:$E, MATCH($A23, 'KZ-normalized'!$A:$A, 0))&gt;0, -(1*INDEX('KZ-normalized'!$D:$D, MATCH($A23, 'KZ-normalized'!$A:$A, 0))-INDEX('KZ-normalized'!$E:$E, MATCH($A23, 'KZ-normalized'!$A:$A, 0))), 0), 0))+(IFERROR(IF(1*INDEX('UZ-normalized'!$D:$D, MATCH($A23, 'UZ-normalized'!$A:$A, 0))-INDEX('UZ-normalized'!$E:$E, MATCH($A23, 'UZ-normalized'!$A:$A, 0))&gt;0, -(1*INDEX('UZ-normalized'!$D:$D, MATCH($A23, 'UZ-normalized'!$A:$A, 0))-INDEX('UZ-normalized'!$E:$E, MATCH($A23, 'UZ-normalized'!$A:$A, 0))), 0), 0)))</f>
        <v>0</v>
      </c>
      <c r="P23" s="6">
        <f>MIN(0, N23+(IFERROR(IF(2*INDEX('UA-normalized'!$D:$D, MATCH($A23, 'UA-normalized'!$A:$A, 0))-INDEX('UA-normalized'!$E:$E, MATCH($A23, 'UA-normalized'!$A:$A, 0))&gt;0, -(2*INDEX('UA-normalized'!$D:$D, MATCH($A23, 'UA-normalized'!$A:$A, 0))-INDEX('UA-normalized'!$E:$E, MATCH($A23, 'UA-normalized'!$A:$A, 0))), 0), 0))+(IFERROR(IF(2*INDEX('KZ-normalized'!$D:$D, MATCH($A23, 'KZ-normalized'!$A:$A, 0))-INDEX('KZ-normalized'!$E:$E, MATCH($A23, 'KZ-normalized'!$A:$A, 0))&gt;0, -(2*INDEX('KZ-normalized'!$D:$D, MATCH($A23, 'KZ-normalized'!$A:$A, 0))-INDEX('KZ-normalized'!$E:$E, MATCH($A23, 'KZ-normalized'!$A:$A, 0))), 0), 0))+(IFERROR(IF(2*INDEX('UZ-normalized'!$D:$D, MATCH($A23, 'UZ-normalized'!$A:$A, 0))-INDEX('UZ-normalized'!$E:$E, MATCH($A23, 'UZ-normalized'!$A:$A, 0))&gt;0, -(2*INDEX('UZ-normalized'!$D:$D, MATCH($A23, 'UZ-normalized'!$A:$A, 0))-INDEX('UZ-normalized'!$E:$E, MATCH($A23, 'UZ-normalized'!$A:$A, 0))), 0), 0)))</f>
        <v>0</v>
      </c>
      <c r="Q23" s="6">
        <f>MIN(0, N23+(IFERROR(IF(3*INDEX('UA-normalized'!$D:$D, MATCH($A23, 'UA-normalized'!$A:$A, 0))-INDEX('UA-normalized'!$E:$E, MATCH($A23, 'UA-normalized'!$A:$A, 0))&gt;0, -(3*INDEX('UA-normalized'!$D:$D, MATCH($A23, 'UA-normalized'!$A:$A, 0))-INDEX('UA-normalized'!$E:$E, MATCH($A23, 'UA-normalized'!$A:$A, 0))), 0), 0))+(IFERROR(IF(3*INDEX('KZ-normalized'!$D:$D, MATCH($A23, 'KZ-normalized'!$A:$A, 0))-INDEX('KZ-normalized'!$E:$E, MATCH($A23, 'KZ-normalized'!$A:$A, 0))&gt;0, -(3*INDEX('KZ-normalized'!$D:$D, MATCH($A23, 'KZ-normalized'!$A:$A, 0))-INDEX('KZ-normalized'!$E:$E, MATCH($A23, 'KZ-normalized'!$A:$A, 0))), 0), 0))+(IFERROR(IF(3*INDEX('UZ-normalized'!$D:$D, MATCH($A23, 'UZ-normalized'!$A:$A, 0))-INDEX('UZ-normalized'!$E:$E, MATCH($A23, 'UZ-normalized'!$A:$A, 0))&gt;0, -(3*INDEX('UZ-normalized'!$D:$D, MATCH($A23, 'UZ-normalized'!$A:$A, 0))-INDEX('UZ-normalized'!$E:$E, MATCH($A23, 'UZ-normalized'!$A:$A, 0))), 0), 0)))</f>
        <v>0</v>
      </c>
      <c r="R23" s="6">
        <f>MIN(0, N23+(IFERROR(IF(4*INDEX('UA-normalized'!$D:$D, MATCH($A23, 'UA-normalized'!$A:$A, 0))-INDEX('UA-normalized'!$E:$E, MATCH($A23, 'UA-normalized'!$A:$A, 0))&gt;0, -(4*INDEX('UA-normalized'!$D:$D, MATCH($A23, 'UA-normalized'!$A:$A, 0))-INDEX('UA-normalized'!$E:$E, MATCH($A23, 'UA-normalized'!$A:$A, 0))), 0), 0))+(IFERROR(IF(4*INDEX('KZ-normalized'!$D:$D, MATCH($A23, 'KZ-normalized'!$A:$A, 0))-INDEX('KZ-normalized'!$E:$E, MATCH($A23, 'KZ-normalized'!$A:$A, 0))&gt;0, -(4*INDEX('KZ-normalized'!$D:$D, MATCH($A23, 'KZ-normalized'!$A:$A, 0))-INDEX('KZ-normalized'!$E:$E, MATCH($A23, 'KZ-normalized'!$A:$A, 0))), 0), 0))+(IFERROR(IF(4*INDEX('UZ-normalized'!$D:$D, MATCH($A23, 'UZ-normalized'!$A:$A, 0))-INDEX('UZ-normalized'!$E:$E, MATCH($A23, 'UZ-normalized'!$A:$A, 0))&gt;0, -(4*INDEX('UZ-normalized'!$D:$D, MATCH($A23, 'UZ-normalized'!$A:$A, 0))-INDEX('UZ-normalized'!$E:$E, MATCH($A23, 'UZ-normalized'!$A:$A, 0))), 0), 0)))</f>
        <v>0</v>
      </c>
      <c r="S23" s="6">
        <f>MIN(0, N23+(IFERROR(IF(5*INDEX('UA-normalized'!$D:$D, MATCH($A23, 'UA-normalized'!$A:$A, 0))-INDEX('UA-normalized'!$E:$E, MATCH($A23, 'UA-normalized'!$A:$A, 0))&gt;0, -(5*INDEX('UA-normalized'!$D:$D, MATCH($A23, 'UA-normalized'!$A:$A, 0))-INDEX('UA-normalized'!$E:$E, MATCH($A23, 'UA-normalized'!$A:$A, 0))), 0), 0))+(IFERROR(IF(5*INDEX('KZ-normalized'!$D:$D, MATCH($A23, 'KZ-normalized'!$A:$A, 0))-INDEX('KZ-normalized'!$E:$E, MATCH($A23, 'KZ-normalized'!$A:$A, 0))&gt;0, -(5*INDEX('KZ-normalized'!$D:$D, MATCH($A23, 'KZ-normalized'!$A:$A, 0))-INDEX('KZ-normalized'!$E:$E, MATCH($A23, 'KZ-normalized'!$A:$A, 0))), 0), 0))+(IFERROR(IF(5*INDEX('UZ-normalized'!$D:$D, MATCH($A23, 'UZ-normalized'!$A:$A, 0))-INDEX('UZ-normalized'!$E:$E, MATCH($A23, 'UZ-normalized'!$A:$A, 0))&gt;0, -(5*INDEX('UZ-normalized'!$D:$D, MATCH($A23, 'UZ-normalized'!$A:$A, 0))-INDEX('UZ-normalized'!$E:$E, MATCH($A23, 'UZ-normalized'!$A:$A, 0))), 0), 0)))</f>
        <v>0</v>
      </c>
      <c r="T23" s="6">
        <f>MIN(0, N23+(IFERROR(IF(6*INDEX('UA-normalized'!$D:$D, MATCH($A23, 'UA-normalized'!$A:$A, 0))-INDEX('UA-normalized'!$E:$E, MATCH($A23, 'UA-normalized'!$A:$A, 0))&gt;0, -(6*INDEX('UA-normalized'!$D:$D, MATCH($A23, 'UA-normalized'!$A:$A, 0))-INDEX('UA-normalized'!$E:$E, MATCH($A23, 'UA-normalized'!$A:$A, 0))), 0), 0))+(IFERROR(IF(6*INDEX('KZ-normalized'!$D:$D, MATCH($A23, 'KZ-normalized'!$A:$A, 0))-INDEX('KZ-normalized'!$E:$E, MATCH($A23, 'KZ-normalized'!$A:$A, 0))&gt;0, -(6*INDEX('KZ-normalized'!$D:$D, MATCH($A23, 'KZ-normalized'!$A:$A, 0))-INDEX('KZ-normalized'!$E:$E, MATCH($A23, 'KZ-normalized'!$A:$A, 0))), 0), 0))+(IFERROR(IF(6*INDEX('UZ-normalized'!$D:$D, MATCH($A23, 'UZ-normalized'!$A:$A, 0))-INDEX('UZ-normalized'!$E:$E, MATCH($A23, 'UZ-normalized'!$A:$A, 0))&gt;0, -(6*INDEX('UZ-normalized'!$D:$D, MATCH($A23, 'UZ-normalized'!$A:$A, 0))-INDEX('UZ-normalized'!$E:$E, MATCH($A23, 'UZ-normalized'!$A:$A, 0))), 0), 0)))</f>
        <v>0</v>
      </c>
      <c r="U23" s="6">
        <f>MIN(0, N23+(IFERROR(IF(7*INDEX('UA-normalized'!$D:$D, MATCH($A23, 'UA-normalized'!$A:$A, 0))-INDEX('UA-normalized'!$E:$E, MATCH($A23, 'UA-normalized'!$A:$A, 0))&gt;0, -(7*INDEX('UA-normalized'!$D:$D, MATCH($A23, 'UA-normalized'!$A:$A, 0))-INDEX('UA-normalized'!$E:$E, MATCH($A23, 'UA-normalized'!$A:$A, 0))), 0), 0))+(IFERROR(IF(7*INDEX('KZ-normalized'!$D:$D, MATCH($A23, 'KZ-normalized'!$A:$A, 0))-INDEX('KZ-normalized'!$E:$E, MATCH($A23, 'KZ-normalized'!$A:$A, 0))&gt;0, -(7*INDEX('KZ-normalized'!$D:$D, MATCH($A23, 'KZ-normalized'!$A:$A, 0))-INDEX('KZ-normalized'!$E:$E, MATCH($A23, 'KZ-normalized'!$A:$A, 0))), 0), 0))+(IFERROR(IF(7*INDEX('UZ-normalized'!$D:$D, MATCH($A23, 'UZ-normalized'!$A:$A, 0))-INDEX('UZ-normalized'!$E:$E, MATCH($A23, 'UZ-normalized'!$A:$A, 0))&gt;0, -(7*INDEX('UZ-normalized'!$D:$D, MATCH($A23, 'UZ-normalized'!$A:$A, 0))-INDEX('UZ-normalized'!$E:$E, MATCH($A23, 'UZ-normalized'!$A:$A, 0))), 0), 0)))</f>
        <v>0</v>
      </c>
      <c r="V23" s="6">
        <f>MIN(0, N23+(IFERROR(IF(8*INDEX('UA-normalized'!$D:$D, MATCH($A23, 'UA-normalized'!$A:$A, 0))-INDEX('UA-normalized'!$E:$E, MATCH($A23, 'UA-normalized'!$A:$A, 0))&gt;0, -(8*INDEX('UA-normalized'!$D:$D, MATCH($A23, 'UA-normalized'!$A:$A, 0))-INDEX('UA-normalized'!$E:$E, MATCH($A23, 'UA-normalized'!$A:$A, 0))), 0), 0))+(IFERROR(IF(8*INDEX('KZ-normalized'!$D:$D, MATCH($A23, 'KZ-normalized'!$A:$A, 0))-INDEX('KZ-normalized'!$E:$E, MATCH($A23, 'KZ-normalized'!$A:$A, 0))&gt;0, -(8*INDEX('KZ-normalized'!$D:$D, MATCH($A23, 'KZ-normalized'!$A:$A, 0))-INDEX('KZ-normalized'!$E:$E, MATCH($A23, 'KZ-normalized'!$A:$A, 0))), 0), 0))+(IFERROR(IF(8*INDEX('UZ-normalized'!$D:$D, MATCH($A23, 'UZ-normalized'!$A:$A, 0))-INDEX('UZ-normalized'!$E:$E, MATCH($A23, 'UZ-normalized'!$A:$A, 0))&gt;0, -(8*INDEX('UZ-normalized'!$D:$D, MATCH($A23, 'UZ-normalized'!$A:$A, 0))-INDEX('UZ-normalized'!$E:$E, MATCH($A23, 'UZ-normalized'!$A:$A, 0))), 0), 0)))</f>
        <v>0</v>
      </c>
      <c r="W23" s="6">
        <f>MIN(0, N23+(IFERROR(IF(9*INDEX('UA-normalized'!$D:$D, MATCH($A23, 'UA-normalized'!$A:$A, 0))-INDEX('UA-normalized'!$E:$E, MATCH($A23, 'UA-normalized'!$A:$A, 0))&gt;0, -(9*INDEX('UA-normalized'!$D:$D, MATCH($A23, 'UA-normalized'!$A:$A, 0))-INDEX('UA-normalized'!$E:$E, MATCH($A23, 'UA-normalized'!$A:$A, 0))), 0), 0))+(IFERROR(IF(9*INDEX('KZ-normalized'!$D:$D, MATCH($A23, 'KZ-normalized'!$A:$A, 0))-INDEX('KZ-normalized'!$E:$E, MATCH($A23, 'KZ-normalized'!$A:$A, 0))&gt;0, -(9*INDEX('KZ-normalized'!$D:$D, MATCH($A23, 'KZ-normalized'!$A:$A, 0))-INDEX('KZ-normalized'!$E:$E, MATCH($A23, 'KZ-normalized'!$A:$A, 0))), 0), 0))+(IFERROR(IF(9*INDEX('UZ-normalized'!$D:$D, MATCH($A23, 'UZ-normalized'!$A:$A, 0))-INDEX('UZ-normalized'!$E:$E, MATCH($A23, 'UZ-normalized'!$A:$A, 0))&gt;0, -(9*INDEX('UZ-normalized'!$D:$D, MATCH($A23, 'UZ-normalized'!$A:$A, 0))-INDEX('UZ-normalized'!$E:$E, MATCH($A23, 'UZ-normalized'!$A:$A, 0))), 0), 0)))</f>
        <v>0</v>
      </c>
      <c r="X23" s="6">
        <f>MIN(0, N23+(IFERROR(IF(10*INDEX('UA-normalized'!$D:$D, MATCH($A23, 'UA-normalized'!$A:$A, 0))-INDEX('UA-normalized'!$E:$E, MATCH($A23, 'UA-normalized'!$A:$A, 0))&gt;0, -(10*INDEX('UA-normalized'!$D:$D, MATCH($A23, 'UA-normalized'!$A:$A, 0))-INDEX('UA-normalized'!$E:$E, MATCH($A23, 'UA-normalized'!$A:$A, 0))), 0), 0))+(IFERROR(IF(10*INDEX('KZ-normalized'!$D:$D, MATCH($A23, 'KZ-normalized'!$A:$A, 0))-INDEX('KZ-normalized'!$E:$E, MATCH($A23, 'KZ-normalized'!$A:$A, 0))&gt;0, -(10*INDEX('KZ-normalized'!$D:$D, MATCH($A23, 'KZ-normalized'!$A:$A, 0))-INDEX('KZ-normalized'!$E:$E, MATCH($A23, 'KZ-normalized'!$A:$A, 0))), 0), 0))+(IFERROR(IF(10*INDEX('UZ-normalized'!$D:$D, MATCH($A23, 'UZ-normalized'!$A:$A, 0))-INDEX('UZ-normalized'!$E:$E, MATCH($A23, 'UZ-normalized'!$A:$A, 0))&gt;0, -(10*INDEX('UZ-normalized'!$D:$D, MATCH($A23, 'UZ-normalized'!$A:$A, 0))-INDEX('UZ-normalized'!$E:$E, MATCH($A23, 'UZ-normalized'!$A:$A, 0))), 0), 0)))</f>
        <v>0</v>
      </c>
      <c r="Y23" s="6">
        <f>MIN(0, N23+(IFERROR(IF(11*INDEX('UA-normalized'!$D:$D, MATCH($A23, 'UA-normalized'!$A:$A, 0))-INDEX('UA-normalized'!$E:$E, MATCH($A23, 'UA-normalized'!$A:$A, 0))&gt;0, -(11*INDEX('UA-normalized'!$D:$D, MATCH($A23, 'UA-normalized'!$A:$A, 0))-INDEX('UA-normalized'!$E:$E, MATCH($A23, 'UA-normalized'!$A:$A, 0))), 0), 0))+(IFERROR(IF(11*INDEX('KZ-normalized'!$D:$D, MATCH($A23, 'KZ-normalized'!$A:$A, 0))-INDEX('KZ-normalized'!$E:$E, MATCH($A23, 'KZ-normalized'!$A:$A, 0))&gt;0, -(11*INDEX('KZ-normalized'!$D:$D, MATCH($A23, 'KZ-normalized'!$A:$A, 0))-INDEX('KZ-normalized'!$E:$E, MATCH($A23, 'KZ-normalized'!$A:$A, 0))), 0), 0))+(IFERROR(IF(11*INDEX('UZ-normalized'!$D:$D, MATCH($A23, 'UZ-normalized'!$A:$A, 0))-INDEX('UZ-normalized'!$E:$E, MATCH($A23, 'UZ-normalized'!$A:$A, 0))&gt;0, -(11*INDEX('UZ-normalized'!$D:$D, MATCH($A23, 'UZ-normalized'!$A:$A, 0))-INDEX('UZ-normalized'!$E:$E, MATCH($A23, 'UZ-normalized'!$A:$A, 0))), 0), 0)))</f>
        <v>-4550.0999999999985</v>
      </c>
      <c r="Z23" s="6">
        <f>MIN(0, N23+(IFERROR(IF(12*INDEX('UA-normalized'!$D:$D, MATCH($A23, 'UA-normalized'!$A:$A, 0))-INDEX('UA-normalized'!$E:$E, MATCH($A23, 'UA-normalized'!$A:$A, 0))&gt;0, -(12*INDEX('UA-normalized'!$D:$D, MATCH($A23, 'UA-normalized'!$A:$A, 0))-INDEX('UA-normalized'!$E:$E, MATCH($A23, 'UA-normalized'!$A:$A, 0))), 0), 0))+(IFERROR(IF(12*INDEX('KZ-normalized'!$D:$D, MATCH($A23, 'KZ-normalized'!$A:$A, 0))-INDEX('KZ-normalized'!$E:$E, MATCH($A23, 'KZ-normalized'!$A:$A, 0))&gt;0, -(12*INDEX('KZ-normalized'!$D:$D, MATCH($A23, 'KZ-normalized'!$A:$A, 0))-INDEX('KZ-normalized'!$E:$E, MATCH($A23, 'KZ-normalized'!$A:$A, 0))), 0), 0))+(IFERROR(IF(12*INDEX('UZ-normalized'!$D:$D, MATCH($A23, 'UZ-normalized'!$A:$A, 0))-INDEX('UZ-normalized'!$E:$E, MATCH($A23, 'UZ-normalized'!$A:$A, 0))&gt;0, -(12*INDEX('UZ-normalized'!$D:$D, MATCH($A23, 'UZ-normalized'!$A:$A, 0))-INDEX('UZ-normalized'!$E:$E, MATCH($A23, 'UZ-normalized'!$A:$A, 0))), 0), 0)))</f>
        <v>-10008.199999999997</v>
      </c>
      <c r="AA23" s="6">
        <f>MIN(0, N23+(IFERROR(IF(13*INDEX('UA-normalized'!$D:$D, MATCH($A23, 'UA-normalized'!$A:$A, 0))-INDEX('UA-normalized'!$E:$E, MATCH($A23, 'UA-normalized'!$A:$A, 0))&gt;0, -(13*INDEX('UA-normalized'!$D:$D, MATCH($A23, 'UA-normalized'!$A:$A, 0))-INDEX('UA-normalized'!$E:$E, MATCH($A23, 'UA-normalized'!$A:$A, 0))), 0), 0))+(IFERROR(IF(13*INDEX('KZ-normalized'!$D:$D, MATCH($A23, 'KZ-normalized'!$A:$A, 0))-INDEX('KZ-normalized'!$E:$E, MATCH($A23, 'KZ-normalized'!$A:$A, 0))&gt;0, -(13*INDEX('KZ-normalized'!$D:$D, MATCH($A23, 'KZ-normalized'!$A:$A, 0))-INDEX('KZ-normalized'!$E:$E, MATCH($A23, 'KZ-normalized'!$A:$A, 0))), 0), 0))+(IFERROR(IF(13*INDEX('UZ-normalized'!$D:$D, MATCH($A23, 'UZ-normalized'!$A:$A, 0))-INDEX('UZ-normalized'!$E:$E, MATCH($A23, 'UZ-normalized'!$A:$A, 0))&gt;0, -(13*INDEX('UZ-normalized'!$D:$D, MATCH($A23, 'UZ-normalized'!$A:$A, 0))-INDEX('UZ-normalized'!$E:$E, MATCH($A23, 'UZ-normalized'!$A:$A, 0))), 0), 0)))</f>
        <v>-15466.300000000003</v>
      </c>
      <c r="AB23" s="6">
        <f>MIN(0, N23+(IFERROR(IF(14*INDEX('UA-normalized'!$D:$D, MATCH($A23, 'UA-normalized'!$A:$A, 0))-INDEX('UA-normalized'!$E:$E, MATCH($A23, 'UA-normalized'!$A:$A, 0))&gt;0, -(14*INDEX('UA-normalized'!$D:$D, MATCH($A23, 'UA-normalized'!$A:$A, 0))-INDEX('UA-normalized'!$E:$E, MATCH($A23, 'UA-normalized'!$A:$A, 0))), 0), 0))+(IFERROR(IF(14*INDEX('KZ-normalized'!$D:$D, MATCH($A23, 'KZ-normalized'!$A:$A, 0))-INDEX('KZ-normalized'!$E:$E, MATCH($A23, 'KZ-normalized'!$A:$A, 0))&gt;0, -(14*INDEX('KZ-normalized'!$D:$D, MATCH($A23, 'KZ-normalized'!$A:$A, 0))-INDEX('KZ-normalized'!$E:$E, MATCH($A23, 'KZ-normalized'!$A:$A, 0))), 0), 0))+(IFERROR(IF(14*INDEX('UZ-normalized'!$D:$D, MATCH($A23, 'UZ-normalized'!$A:$A, 0))-INDEX('UZ-normalized'!$E:$E, MATCH($A23, 'UZ-normalized'!$A:$A, 0))&gt;0, -(14*INDEX('UZ-normalized'!$D:$D, MATCH($A23, 'UZ-normalized'!$A:$A, 0))-INDEX('UZ-normalized'!$E:$E, MATCH($A23, 'UZ-normalized'!$A:$A, 0))), 0), 0)))</f>
        <v>-20924.400000000001</v>
      </c>
      <c r="AC23" s="6">
        <f>MIN(0, N23+(IFERROR(IF(15*INDEX('UA-normalized'!$D:$D, MATCH($A23, 'UA-normalized'!$A:$A, 0))-INDEX('UA-normalized'!$E:$E, MATCH($A23, 'UA-normalized'!$A:$A, 0))&gt;0, -(15*INDEX('UA-normalized'!$D:$D, MATCH($A23, 'UA-normalized'!$A:$A, 0))-INDEX('UA-normalized'!$E:$E, MATCH($A23, 'UA-normalized'!$A:$A, 0))), 0), 0))+(IFERROR(IF(15*INDEX('KZ-normalized'!$D:$D, MATCH($A23, 'KZ-normalized'!$A:$A, 0))-INDEX('KZ-normalized'!$E:$E, MATCH($A23, 'KZ-normalized'!$A:$A, 0))&gt;0, -(15*INDEX('KZ-normalized'!$D:$D, MATCH($A23, 'KZ-normalized'!$A:$A, 0))-INDEX('KZ-normalized'!$E:$E, MATCH($A23, 'KZ-normalized'!$A:$A, 0))), 0), 0))+(IFERROR(IF(15*INDEX('UZ-normalized'!$D:$D, MATCH($A23, 'UZ-normalized'!$A:$A, 0))-INDEX('UZ-normalized'!$E:$E, MATCH($A23, 'UZ-normalized'!$A:$A, 0))&gt;0, -(15*INDEX('UZ-normalized'!$D:$D, MATCH($A23, 'UZ-normalized'!$A:$A, 0))-INDEX('UZ-normalized'!$E:$E, MATCH($A23, 'UZ-normalized'!$A:$A, 0))), 0), 0)))</f>
        <v>-26382.5</v>
      </c>
      <c r="AD23" s="6">
        <f>MIN(0, N23+(IFERROR(IF(16*INDEX('UA-normalized'!$D:$D, MATCH($A23, 'UA-normalized'!$A:$A, 0))-INDEX('UA-normalized'!$E:$E, MATCH($A23, 'UA-normalized'!$A:$A, 0))&gt;0, -(16*INDEX('UA-normalized'!$D:$D, MATCH($A23, 'UA-normalized'!$A:$A, 0))-INDEX('UA-normalized'!$E:$E, MATCH($A23, 'UA-normalized'!$A:$A, 0))), 0), 0))+(IFERROR(IF(16*INDEX('KZ-normalized'!$D:$D, MATCH($A23, 'KZ-normalized'!$A:$A, 0))-INDEX('KZ-normalized'!$E:$E, MATCH($A23, 'KZ-normalized'!$A:$A, 0))&gt;0, -(16*INDEX('KZ-normalized'!$D:$D, MATCH($A23, 'KZ-normalized'!$A:$A, 0))-INDEX('KZ-normalized'!$E:$E, MATCH($A23, 'KZ-normalized'!$A:$A, 0))), 0), 0))+(IFERROR(IF(16*INDEX('UZ-normalized'!$D:$D, MATCH($A23, 'UZ-normalized'!$A:$A, 0))-INDEX('UZ-normalized'!$E:$E, MATCH($A23, 'UZ-normalized'!$A:$A, 0))&gt;0, -(16*INDEX('UZ-normalized'!$D:$D, MATCH($A23, 'UZ-normalized'!$A:$A, 0))-INDEX('UZ-normalized'!$E:$E, MATCH($A23, 'UZ-normalized'!$A:$A, 0))), 0), 0)))</f>
        <v>-31840.6</v>
      </c>
      <c r="AE23" s="6">
        <f>MIN(0, N23+(IFERROR(IF(17*INDEX('UA-normalized'!$D:$D, MATCH($A23, 'UA-normalized'!$A:$A, 0))-INDEX('UA-normalized'!$E:$E, MATCH($A23, 'UA-normalized'!$A:$A, 0))&gt;0, -(17*INDEX('UA-normalized'!$D:$D, MATCH($A23, 'UA-normalized'!$A:$A, 0))-INDEX('UA-normalized'!$E:$E, MATCH($A23, 'UA-normalized'!$A:$A, 0))), 0), 0))+(IFERROR(IF(17*INDEX('KZ-normalized'!$D:$D, MATCH($A23, 'KZ-normalized'!$A:$A, 0))-INDEX('KZ-normalized'!$E:$E, MATCH($A23, 'KZ-normalized'!$A:$A, 0))&gt;0, -(17*INDEX('KZ-normalized'!$D:$D, MATCH($A23, 'KZ-normalized'!$A:$A, 0))-INDEX('KZ-normalized'!$E:$E, MATCH($A23, 'KZ-normalized'!$A:$A, 0))), 0), 0))+(IFERROR(IF(17*INDEX('UZ-normalized'!$D:$D, MATCH($A23, 'UZ-normalized'!$A:$A, 0))-INDEX('UZ-normalized'!$E:$E, MATCH($A23, 'UZ-normalized'!$A:$A, 0))&gt;0, -(17*INDEX('UZ-normalized'!$D:$D, MATCH($A23, 'UZ-normalized'!$A:$A, 0))-INDEX('UZ-normalized'!$E:$E, MATCH($A23, 'UZ-normalized'!$A:$A, 0))), 0), 0)))</f>
        <v>-37298.699999999997</v>
      </c>
      <c r="AF23" s="6">
        <f>MIN(0, N23+(IFERROR(IF(18*INDEX('UA-normalized'!$D:$D, MATCH($A23, 'UA-normalized'!$A:$A, 0))-INDEX('UA-normalized'!$E:$E, MATCH($A23, 'UA-normalized'!$A:$A, 0))&gt;0, -(18*INDEX('UA-normalized'!$D:$D, MATCH($A23, 'UA-normalized'!$A:$A, 0))-INDEX('UA-normalized'!$E:$E, MATCH($A23, 'UA-normalized'!$A:$A, 0))), 0), 0))+(IFERROR(IF(18*INDEX('KZ-normalized'!$D:$D, MATCH($A23, 'KZ-normalized'!$A:$A, 0))-INDEX('KZ-normalized'!$E:$E, MATCH($A23, 'KZ-normalized'!$A:$A, 0))&gt;0, -(18*INDEX('KZ-normalized'!$D:$D, MATCH($A23, 'KZ-normalized'!$A:$A, 0))-INDEX('KZ-normalized'!$E:$E, MATCH($A23, 'KZ-normalized'!$A:$A, 0))), 0), 0))+(IFERROR(IF(18*INDEX('UZ-normalized'!$D:$D, MATCH($A23, 'UZ-normalized'!$A:$A, 0))-INDEX('UZ-normalized'!$E:$E, MATCH($A23, 'UZ-normalized'!$A:$A, 0))&gt;0, -(18*INDEX('UZ-normalized'!$D:$D, MATCH($A23, 'UZ-normalized'!$A:$A, 0))-INDEX('UZ-normalized'!$E:$E, MATCH($A23, 'UZ-normalized'!$A:$A, 0))), 0), 0)))</f>
        <v>-42756.800000000003</v>
      </c>
      <c r="AG23" s="6">
        <f>MIN(0, N23+(IFERROR(IF(19*INDEX('UA-normalized'!$D:$D, MATCH($A23, 'UA-normalized'!$A:$A, 0))-INDEX('UA-normalized'!$E:$E, MATCH($A23, 'UA-normalized'!$A:$A, 0))&gt;0, -(19*INDEX('UA-normalized'!$D:$D, MATCH($A23, 'UA-normalized'!$A:$A, 0))-INDEX('UA-normalized'!$E:$E, MATCH($A23, 'UA-normalized'!$A:$A, 0))), 0), 0))+(IFERROR(IF(19*INDEX('KZ-normalized'!$D:$D, MATCH($A23, 'KZ-normalized'!$A:$A, 0))-INDEX('KZ-normalized'!$E:$E, MATCH($A23, 'KZ-normalized'!$A:$A, 0))&gt;0, -(19*INDEX('KZ-normalized'!$D:$D, MATCH($A23, 'KZ-normalized'!$A:$A, 0))-INDEX('KZ-normalized'!$E:$E, MATCH($A23, 'KZ-normalized'!$A:$A, 0))), 0), 0))+(IFERROR(IF(19*INDEX('UZ-normalized'!$D:$D, MATCH($A23, 'UZ-normalized'!$A:$A, 0))-INDEX('UZ-normalized'!$E:$E, MATCH($A23, 'UZ-normalized'!$A:$A, 0))&gt;0, -(19*INDEX('UZ-normalized'!$D:$D, MATCH($A23, 'UZ-normalized'!$A:$A, 0))-INDEX('UZ-normalized'!$E:$E, MATCH($A23, 'UZ-normalized'!$A:$A, 0))), 0), 0)))</f>
        <v>-48214.9</v>
      </c>
      <c r="AH23" s="6">
        <f>MIN(0, N23+(IFERROR(IF(20*INDEX('UA-normalized'!$D:$D, MATCH($A23, 'UA-normalized'!$A:$A, 0))-INDEX('UA-normalized'!$E:$E, MATCH($A23, 'UA-normalized'!$A:$A, 0))&gt;0, -(20*INDEX('UA-normalized'!$D:$D, MATCH($A23, 'UA-normalized'!$A:$A, 0))-INDEX('UA-normalized'!$E:$E, MATCH($A23, 'UA-normalized'!$A:$A, 0))), 0), 0))+(IFERROR(IF(20*INDEX('KZ-normalized'!$D:$D, MATCH($A23, 'KZ-normalized'!$A:$A, 0))-INDEX('KZ-normalized'!$E:$E, MATCH($A23, 'KZ-normalized'!$A:$A, 0))&gt;0, -(20*INDEX('KZ-normalized'!$D:$D, MATCH($A23, 'KZ-normalized'!$A:$A, 0))-INDEX('KZ-normalized'!$E:$E, MATCH($A23, 'KZ-normalized'!$A:$A, 0))), 0), 0))+(IFERROR(IF(20*INDEX('UZ-normalized'!$D:$D, MATCH($A23, 'UZ-normalized'!$A:$A, 0))-INDEX('UZ-normalized'!$E:$E, MATCH($A23, 'UZ-normalized'!$A:$A, 0))&gt;0, -(20*INDEX('UZ-normalized'!$D:$D, MATCH($A23, 'UZ-normalized'!$A:$A, 0))-INDEX('UZ-normalized'!$E:$E, MATCH($A23, 'UZ-normalized'!$A:$A, 0))), 0), 0)))</f>
        <v>-53673</v>
      </c>
      <c r="AI23" s="6">
        <f>MIN(0, N23+(IFERROR(IF(21*INDEX('UA-normalized'!$D:$D, MATCH($A23, 'UA-normalized'!$A:$A, 0))-INDEX('UA-normalized'!$E:$E, MATCH($A23, 'UA-normalized'!$A:$A, 0))&gt;0, -(21*INDEX('UA-normalized'!$D:$D, MATCH($A23, 'UA-normalized'!$A:$A, 0))-INDEX('UA-normalized'!$E:$E, MATCH($A23, 'UA-normalized'!$A:$A, 0))), 0), 0))+(IFERROR(IF(21*INDEX('KZ-normalized'!$D:$D, MATCH($A23, 'KZ-normalized'!$A:$A, 0))-INDEX('KZ-normalized'!$E:$E, MATCH($A23, 'KZ-normalized'!$A:$A, 0))&gt;0, -(21*INDEX('KZ-normalized'!$D:$D, MATCH($A23, 'KZ-normalized'!$A:$A, 0))-INDEX('KZ-normalized'!$E:$E, MATCH($A23, 'KZ-normalized'!$A:$A, 0))), 0), 0))+(IFERROR(IF(21*INDEX('UZ-normalized'!$D:$D, MATCH($A23, 'UZ-normalized'!$A:$A, 0))-INDEX('UZ-normalized'!$E:$E, MATCH($A23, 'UZ-normalized'!$A:$A, 0))&gt;0, -(21*INDEX('UZ-normalized'!$D:$D, MATCH($A23, 'UZ-normalized'!$A:$A, 0))-INDEX('UZ-normalized'!$E:$E, MATCH($A23, 'UZ-normalized'!$A:$A, 0))), 0), 0)))</f>
        <v>-59131.1</v>
      </c>
      <c r="AJ23" s="6">
        <f>MIN(0, N23+(IFERROR(IF(22*INDEX('UA-normalized'!$D:$D, MATCH($A23, 'UA-normalized'!$A:$A, 0))-INDEX('UA-normalized'!$E:$E, MATCH($A23, 'UA-normalized'!$A:$A, 0))&gt;0, -(22*INDEX('UA-normalized'!$D:$D, MATCH($A23, 'UA-normalized'!$A:$A, 0))-INDEX('UA-normalized'!$E:$E, MATCH($A23, 'UA-normalized'!$A:$A, 0))), 0), 0))+(IFERROR(IF(22*INDEX('KZ-normalized'!$D:$D, MATCH($A23, 'KZ-normalized'!$A:$A, 0))-INDEX('KZ-normalized'!$E:$E, MATCH($A23, 'KZ-normalized'!$A:$A, 0))&gt;0, -(22*INDEX('KZ-normalized'!$D:$D, MATCH($A23, 'KZ-normalized'!$A:$A, 0))-INDEX('KZ-normalized'!$E:$E, MATCH($A23, 'KZ-normalized'!$A:$A, 0))), 0), 0))+(IFERROR(IF(22*INDEX('UZ-normalized'!$D:$D, MATCH($A23, 'UZ-normalized'!$A:$A, 0))-INDEX('UZ-normalized'!$E:$E, MATCH($A23, 'UZ-normalized'!$A:$A, 0))&gt;0, -(22*INDEX('UZ-normalized'!$D:$D, MATCH($A23, 'UZ-normalized'!$A:$A, 0))-INDEX('UZ-normalized'!$E:$E, MATCH($A23, 'UZ-normalized'!$A:$A, 0))), 0), 0)))</f>
        <v>-64589.2</v>
      </c>
      <c r="AK23" s="6">
        <f>MIN(0, N23+(IFERROR(IF(23*INDEX('UA-normalized'!$D:$D, MATCH($A23, 'UA-normalized'!$A:$A, 0))-INDEX('UA-normalized'!$E:$E, MATCH($A23, 'UA-normalized'!$A:$A, 0))&gt;0, -(23*INDEX('UA-normalized'!$D:$D, MATCH($A23, 'UA-normalized'!$A:$A, 0))-INDEX('UA-normalized'!$E:$E, MATCH($A23, 'UA-normalized'!$A:$A, 0))), 0), 0))+(IFERROR(IF(23*INDEX('KZ-normalized'!$D:$D, MATCH($A23, 'KZ-normalized'!$A:$A, 0))-INDEX('KZ-normalized'!$E:$E, MATCH($A23, 'KZ-normalized'!$A:$A, 0))&gt;0, -(23*INDEX('KZ-normalized'!$D:$D, MATCH($A23, 'KZ-normalized'!$A:$A, 0))-INDEX('KZ-normalized'!$E:$E, MATCH($A23, 'KZ-normalized'!$A:$A, 0))), 0), 0))+(IFERROR(IF(23*INDEX('UZ-normalized'!$D:$D, MATCH($A23, 'UZ-normalized'!$A:$A, 0))-INDEX('UZ-normalized'!$E:$E, MATCH($A23, 'UZ-normalized'!$A:$A, 0))&gt;0, -(23*INDEX('UZ-normalized'!$D:$D, MATCH($A23, 'UZ-normalized'!$A:$A, 0))-INDEX('UZ-normalized'!$E:$E, MATCH($A23, 'UZ-normalized'!$A:$A, 0))), 0), 0)))</f>
        <v>-70047.3</v>
      </c>
      <c r="AL23" s="6">
        <f>MIN(0, N23+(IFERROR(IF(24*INDEX('UA-normalized'!$D:$D, MATCH($A23, 'UA-normalized'!$A:$A, 0))-INDEX('UA-normalized'!$E:$E, MATCH($A23, 'UA-normalized'!$A:$A, 0))&gt;0, -(24*INDEX('UA-normalized'!$D:$D, MATCH($A23, 'UA-normalized'!$A:$A, 0))-INDEX('UA-normalized'!$E:$E, MATCH($A23, 'UA-normalized'!$A:$A, 0))), 0), 0))+(IFERROR(IF(24*INDEX('KZ-normalized'!$D:$D, MATCH($A23, 'KZ-normalized'!$A:$A, 0))-INDEX('KZ-normalized'!$E:$E, MATCH($A23, 'KZ-normalized'!$A:$A, 0))&gt;0, -(24*INDEX('KZ-normalized'!$D:$D, MATCH($A23, 'KZ-normalized'!$A:$A, 0))-INDEX('KZ-normalized'!$E:$E, MATCH($A23, 'KZ-normalized'!$A:$A, 0))), 0), 0))+(IFERROR(IF(24*INDEX('UZ-normalized'!$D:$D, MATCH($A23, 'UZ-normalized'!$A:$A, 0))-INDEX('UZ-normalized'!$E:$E, MATCH($A23, 'UZ-normalized'!$A:$A, 0))&gt;0, -(24*INDEX('UZ-normalized'!$D:$D, MATCH($A23, 'UZ-normalized'!$A:$A, 0))-INDEX('UZ-normalized'!$E:$E, MATCH($A23, 'UZ-normalized'!$A:$A, 0))), 0), 0)))</f>
        <v>-75505.399999999994</v>
      </c>
      <c r="AM23" s="6">
        <f>MIN(0, N23+(IFERROR(IF(25*INDEX('UA-normalized'!$D:$D, MATCH($A23, 'UA-normalized'!$A:$A, 0))-INDEX('UA-normalized'!$E:$E, MATCH($A23, 'UA-normalized'!$A:$A, 0))&gt;0, -(25*INDEX('UA-normalized'!$D:$D, MATCH($A23, 'UA-normalized'!$A:$A, 0))-INDEX('UA-normalized'!$E:$E, MATCH($A23, 'UA-normalized'!$A:$A, 0))), 0), 0))+(IFERROR(IF(25*INDEX('KZ-normalized'!$D:$D, MATCH($A23, 'KZ-normalized'!$A:$A, 0))-INDEX('KZ-normalized'!$E:$E, MATCH($A23, 'KZ-normalized'!$A:$A, 0))&gt;0, -(25*INDEX('KZ-normalized'!$D:$D, MATCH($A23, 'KZ-normalized'!$A:$A, 0))-INDEX('KZ-normalized'!$E:$E, MATCH($A23, 'KZ-normalized'!$A:$A, 0))), 0), 0))+(IFERROR(IF(25*INDEX('UZ-normalized'!$D:$D, MATCH($A23, 'UZ-normalized'!$A:$A, 0))-INDEX('UZ-normalized'!$E:$E, MATCH($A23, 'UZ-normalized'!$A:$A, 0))&gt;0, -(25*INDEX('UZ-normalized'!$D:$D, MATCH($A23, 'UZ-normalized'!$A:$A, 0))-INDEX('UZ-normalized'!$E:$E, MATCH($A23, 'UZ-normalized'!$A:$A, 0))), 0), 0)))</f>
        <v>-80963.5</v>
      </c>
      <c r="AN23" s="6">
        <f>MIN(0, N23+(IFERROR(IF(26*INDEX('UA-normalized'!$D:$D, MATCH($A23, 'UA-normalized'!$A:$A, 0))-INDEX('UA-normalized'!$E:$E, MATCH($A23, 'UA-normalized'!$A:$A, 0))&gt;0, -(26*INDEX('UA-normalized'!$D:$D, MATCH($A23, 'UA-normalized'!$A:$A, 0))-INDEX('UA-normalized'!$E:$E, MATCH($A23, 'UA-normalized'!$A:$A, 0))), 0), 0))+(IFERROR(IF(26*INDEX('KZ-normalized'!$D:$D, MATCH($A23, 'KZ-normalized'!$A:$A, 0))-INDEX('KZ-normalized'!$E:$E, MATCH($A23, 'KZ-normalized'!$A:$A, 0))&gt;0, -(26*INDEX('KZ-normalized'!$D:$D, MATCH($A23, 'KZ-normalized'!$A:$A, 0))-INDEX('KZ-normalized'!$E:$E, MATCH($A23, 'KZ-normalized'!$A:$A, 0))), 0), 0))+(IFERROR(IF(26*INDEX('UZ-normalized'!$D:$D, MATCH($A23, 'UZ-normalized'!$A:$A, 0))-INDEX('UZ-normalized'!$E:$E, MATCH($A23, 'UZ-normalized'!$A:$A, 0))&gt;0, -(26*INDEX('UZ-normalized'!$D:$D, MATCH($A23, 'UZ-normalized'!$A:$A, 0))-INDEX('UZ-normalized'!$E:$E, MATCH($A23, 'UZ-normalized'!$A:$A, 0))), 0), 0)))</f>
        <v>-86421.6</v>
      </c>
      <c r="AO23" s="6">
        <f>MIN(0, N23+(IFERROR(IF(27*INDEX('UA-normalized'!$D:$D, MATCH($A23, 'UA-normalized'!$A:$A, 0))-INDEX('UA-normalized'!$E:$E, MATCH($A23, 'UA-normalized'!$A:$A, 0))&gt;0, -(27*INDEX('UA-normalized'!$D:$D, MATCH($A23, 'UA-normalized'!$A:$A, 0))-INDEX('UA-normalized'!$E:$E, MATCH($A23, 'UA-normalized'!$A:$A, 0))), 0), 0))+(IFERROR(IF(27*INDEX('KZ-normalized'!$D:$D, MATCH($A23, 'KZ-normalized'!$A:$A, 0))-INDEX('KZ-normalized'!$E:$E, MATCH($A23, 'KZ-normalized'!$A:$A, 0))&gt;0, -(27*INDEX('KZ-normalized'!$D:$D, MATCH($A23, 'KZ-normalized'!$A:$A, 0))-INDEX('KZ-normalized'!$E:$E, MATCH($A23, 'KZ-normalized'!$A:$A, 0))), 0), 0))+(IFERROR(IF(27*INDEX('UZ-normalized'!$D:$D, MATCH($A23, 'UZ-normalized'!$A:$A, 0))-INDEX('UZ-normalized'!$E:$E, MATCH($A23, 'UZ-normalized'!$A:$A, 0))&gt;0, -(27*INDEX('UZ-normalized'!$D:$D, MATCH($A23, 'UZ-normalized'!$A:$A, 0))-INDEX('UZ-normalized'!$E:$E, MATCH($A23, 'UZ-normalized'!$A:$A, 0))), 0), 0)))</f>
        <v>-91879.7</v>
      </c>
      <c r="AP23" s="6">
        <f>MIN(0, N23+(IFERROR(IF(28*INDEX('UA-normalized'!$D:$D, MATCH($A23, 'UA-normalized'!$A:$A, 0))-INDEX('UA-normalized'!$E:$E, MATCH($A23, 'UA-normalized'!$A:$A, 0))&gt;0, -(28*INDEX('UA-normalized'!$D:$D, MATCH($A23, 'UA-normalized'!$A:$A, 0))-INDEX('UA-normalized'!$E:$E, MATCH($A23, 'UA-normalized'!$A:$A, 0))), 0), 0))+(IFERROR(IF(28*INDEX('KZ-normalized'!$D:$D, MATCH($A23, 'KZ-normalized'!$A:$A, 0))-INDEX('KZ-normalized'!$E:$E, MATCH($A23, 'KZ-normalized'!$A:$A, 0))&gt;0, -(28*INDEX('KZ-normalized'!$D:$D, MATCH($A23, 'KZ-normalized'!$A:$A, 0))-INDEX('KZ-normalized'!$E:$E, MATCH($A23, 'KZ-normalized'!$A:$A, 0))), 0), 0))+(IFERROR(IF(28*INDEX('UZ-normalized'!$D:$D, MATCH($A23, 'UZ-normalized'!$A:$A, 0))-INDEX('UZ-normalized'!$E:$E, MATCH($A23, 'UZ-normalized'!$A:$A, 0))&gt;0, -(28*INDEX('UZ-normalized'!$D:$D, MATCH($A23, 'UZ-normalized'!$A:$A, 0))-INDEX('UZ-normalized'!$E:$E, MATCH($A23, 'UZ-normalized'!$A:$A, 0))), 0), 0)))</f>
        <v>-97337.8</v>
      </c>
      <c r="AQ23" s="6">
        <f>MIN(0, N23+(IFERROR(IF(29*INDEX('UA-normalized'!$D:$D, MATCH($A23, 'UA-normalized'!$A:$A, 0))-INDEX('UA-normalized'!$E:$E, MATCH($A23, 'UA-normalized'!$A:$A, 0))&gt;0, -(29*INDEX('UA-normalized'!$D:$D, MATCH($A23, 'UA-normalized'!$A:$A, 0))-INDEX('UA-normalized'!$E:$E, MATCH($A23, 'UA-normalized'!$A:$A, 0))), 0), 0))+(IFERROR(IF(29*INDEX('KZ-normalized'!$D:$D, MATCH($A23, 'KZ-normalized'!$A:$A, 0))-INDEX('KZ-normalized'!$E:$E, MATCH($A23, 'KZ-normalized'!$A:$A, 0))&gt;0, -(29*INDEX('KZ-normalized'!$D:$D, MATCH($A23, 'KZ-normalized'!$A:$A, 0))-INDEX('KZ-normalized'!$E:$E, MATCH($A23, 'KZ-normalized'!$A:$A, 0))), 0), 0))+(IFERROR(IF(29*INDEX('UZ-normalized'!$D:$D, MATCH($A23, 'UZ-normalized'!$A:$A, 0))-INDEX('UZ-normalized'!$E:$E, MATCH($A23, 'UZ-normalized'!$A:$A, 0))&gt;0, -(29*INDEX('UZ-normalized'!$D:$D, MATCH($A23, 'UZ-normalized'!$A:$A, 0))-INDEX('UZ-normalized'!$E:$E, MATCH($A23, 'UZ-normalized'!$A:$A, 0))), 0), 0)))</f>
        <v>-102795.9</v>
      </c>
      <c r="AR23" s="6">
        <f>MIN(0, N23+(IFERROR(IF(30*INDEX('UA-normalized'!$D:$D, MATCH($A23, 'UA-normalized'!$A:$A, 0))-INDEX('UA-normalized'!$E:$E, MATCH($A23, 'UA-normalized'!$A:$A, 0))&gt;0, -(30*INDEX('UA-normalized'!$D:$D, MATCH($A23, 'UA-normalized'!$A:$A, 0))-INDEX('UA-normalized'!$E:$E, MATCH($A23, 'UA-normalized'!$A:$A, 0))), 0), 0))+(IFERROR(IF(30*INDEX('KZ-normalized'!$D:$D, MATCH($A23, 'KZ-normalized'!$A:$A, 0))-INDEX('KZ-normalized'!$E:$E, MATCH($A23, 'KZ-normalized'!$A:$A, 0))&gt;0, -(30*INDEX('KZ-normalized'!$D:$D, MATCH($A23, 'KZ-normalized'!$A:$A, 0))-INDEX('KZ-normalized'!$E:$E, MATCH($A23, 'KZ-normalized'!$A:$A, 0))), 0), 0))+(IFERROR(IF(30*INDEX('UZ-normalized'!$D:$D, MATCH($A23, 'UZ-normalized'!$A:$A, 0))-INDEX('UZ-normalized'!$E:$E, MATCH($A23, 'UZ-normalized'!$A:$A, 0))&gt;0, -(30*INDEX('UZ-normalized'!$D:$D, MATCH($A23, 'UZ-normalized'!$A:$A, 0))-INDEX('UZ-normalized'!$E:$E, MATCH($A23, 'UZ-normalized'!$A:$A, 0))), 0), 0)))</f>
        <v>-108254</v>
      </c>
    </row>
    <row r="24" spans="1:44" x14ac:dyDescent="0.25">
      <c r="A24" s="8" t="s">
        <v>96</v>
      </c>
      <c r="B24" s="8" t="s">
        <v>83</v>
      </c>
      <c r="C24" s="8" t="s">
        <v>84</v>
      </c>
      <c r="D24" s="8" t="s">
        <v>97</v>
      </c>
      <c r="E24">
        <v>7950</v>
      </c>
      <c r="G24">
        <v>-5</v>
      </c>
      <c r="J24">
        <v>1350</v>
      </c>
      <c r="N24">
        <f t="shared" si="0"/>
        <v>9295</v>
      </c>
      <c r="O24" s="6">
        <f>MIN(0, N24+(IFERROR(IF(1*INDEX('UA-normalized'!$D:$D, MATCH($A24, 'UA-normalized'!$A:$A, 0))-INDEX('UA-normalized'!$E:$E, MATCH($A24, 'UA-normalized'!$A:$A, 0))&gt;0, -(1*INDEX('UA-normalized'!$D:$D, MATCH($A24, 'UA-normalized'!$A:$A, 0))-INDEX('UA-normalized'!$E:$E, MATCH($A24, 'UA-normalized'!$A:$A, 0))), 0), 0))+(IFERROR(IF(1*INDEX('KZ-normalized'!$D:$D, MATCH($A24, 'KZ-normalized'!$A:$A, 0))-INDEX('KZ-normalized'!$E:$E, MATCH($A24, 'KZ-normalized'!$A:$A, 0))&gt;0, -(1*INDEX('KZ-normalized'!$D:$D, MATCH($A24, 'KZ-normalized'!$A:$A, 0))-INDEX('KZ-normalized'!$E:$E, MATCH($A24, 'KZ-normalized'!$A:$A, 0))), 0), 0))+(IFERROR(IF(1*INDEX('UZ-normalized'!$D:$D, MATCH($A24, 'UZ-normalized'!$A:$A, 0))-INDEX('UZ-normalized'!$E:$E, MATCH($A24, 'UZ-normalized'!$A:$A, 0))&gt;0, -(1*INDEX('UZ-normalized'!$D:$D, MATCH($A24, 'UZ-normalized'!$A:$A, 0))-INDEX('UZ-normalized'!$E:$E, MATCH($A24, 'UZ-normalized'!$A:$A, 0))), 0), 0)))</f>
        <v>0</v>
      </c>
      <c r="P24" s="6">
        <f>MIN(0, N24+(IFERROR(IF(2*INDEX('UA-normalized'!$D:$D, MATCH($A24, 'UA-normalized'!$A:$A, 0))-INDEX('UA-normalized'!$E:$E, MATCH($A24, 'UA-normalized'!$A:$A, 0))&gt;0, -(2*INDEX('UA-normalized'!$D:$D, MATCH($A24, 'UA-normalized'!$A:$A, 0))-INDEX('UA-normalized'!$E:$E, MATCH($A24, 'UA-normalized'!$A:$A, 0))), 0), 0))+(IFERROR(IF(2*INDEX('KZ-normalized'!$D:$D, MATCH($A24, 'KZ-normalized'!$A:$A, 0))-INDEX('KZ-normalized'!$E:$E, MATCH($A24, 'KZ-normalized'!$A:$A, 0))&gt;0, -(2*INDEX('KZ-normalized'!$D:$D, MATCH($A24, 'KZ-normalized'!$A:$A, 0))-INDEX('KZ-normalized'!$E:$E, MATCH($A24, 'KZ-normalized'!$A:$A, 0))), 0), 0))+(IFERROR(IF(2*INDEX('UZ-normalized'!$D:$D, MATCH($A24, 'UZ-normalized'!$A:$A, 0))-INDEX('UZ-normalized'!$E:$E, MATCH($A24, 'UZ-normalized'!$A:$A, 0))&gt;0, -(2*INDEX('UZ-normalized'!$D:$D, MATCH($A24, 'UZ-normalized'!$A:$A, 0))-INDEX('UZ-normalized'!$E:$E, MATCH($A24, 'UZ-normalized'!$A:$A, 0))), 0), 0)))</f>
        <v>0</v>
      </c>
      <c r="Q24" s="6">
        <f>MIN(0, N24+(IFERROR(IF(3*INDEX('UA-normalized'!$D:$D, MATCH($A24, 'UA-normalized'!$A:$A, 0))-INDEX('UA-normalized'!$E:$E, MATCH($A24, 'UA-normalized'!$A:$A, 0))&gt;0, -(3*INDEX('UA-normalized'!$D:$D, MATCH($A24, 'UA-normalized'!$A:$A, 0))-INDEX('UA-normalized'!$E:$E, MATCH($A24, 'UA-normalized'!$A:$A, 0))), 0), 0))+(IFERROR(IF(3*INDEX('KZ-normalized'!$D:$D, MATCH($A24, 'KZ-normalized'!$A:$A, 0))-INDEX('KZ-normalized'!$E:$E, MATCH($A24, 'KZ-normalized'!$A:$A, 0))&gt;0, -(3*INDEX('KZ-normalized'!$D:$D, MATCH($A24, 'KZ-normalized'!$A:$A, 0))-INDEX('KZ-normalized'!$E:$E, MATCH($A24, 'KZ-normalized'!$A:$A, 0))), 0), 0))+(IFERROR(IF(3*INDEX('UZ-normalized'!$D:$D, MATCH($A24, 'UZ-normalized'!$A:$A, 0))-INDEX('UZ-normalized'!$E:$E, MATCH($A24, 'UZ-normalized'!$A:$A, 0))&gt;0, -(3*INDEX('UZ-normalized'!$D:$D, MATCH($A24, 'UZ-normalized'!$A:$A, 0))-INDEX('UZ-normalized'!$E:$E, MATCH($A24, 'UZ-normalized'!$A:$A, 0))), 0), 0)))</f>
        <v>0</v>
      </c>
      <c r="R24" s="6">
        <f>MIN(0, N24+(IFERROR(IF(4*INDEX('UA-normalized'!$D:$D, MATCH($A24, 'UA-normalized'!$A:$A, 0))-INDEX('UA-normalized'!$E:$E, MATCH($A24, 'UA-normalized'!$A:$A, 0))&gt;0, -(4*INDEX('UA-normalized'!$D:$D, MATCH($A24, 'UA-normalized'!$A:$A, 0))-INDEX('UA-normalized'!$E:$E, MATCH($A24, 'UA-normalized'!$A:$A, 0))), 0), 0))+(IFERROR(IF(4*INDEX('KZ-normalized'!$D:$D, MATCH($A24, 'KZ-normalized'!$A:$A, 0))-INDEX('KZ-normalized'!$E:$E, MATCH($A24, 'KZ-normalized'!$A:$A, 0))&gt;0, -(4*INDEX('KZ-normalized'!$D:$D, MATCH($A24, 'KZ-normalized'!$A:$A, 0))-INDEX('KZ-normalized'!$E:$E, MATCH($A24, 'KZ-normalized'!$A:$A, 0))), 0), 0))+(IFERROR(IF(4*INDEX('UZ-normalized'!$D:$D, MATCH($A24, 'UZ-normalized'!$A:$A, 0))-INDEX('UZ-normalized'!$E:$E, MATCH($A24, 'UZ-normalized'!$A:$A, 0))&gt;0, -(4*INDEX('UZ-normalized'!$D:$D, MATCH($A24, 'UZ-normalized'!$A:$A, 0))-INDEX('UZ-normalized'!$E:$E, MATCH($A24, 'UZ-normalized'!$A:$A, 0))), 0), 0)))</f>
        <v>0</v>
      </c>
      <c r="S24" s="6">
        <f>MIN(0, N24+(IFERROR(IF(5*INDEX('UA-normalized'!$D:$D, MATCH($A24, 'UA-normalized'!$A:$A, 0))-INDEX('UA-normalized'!$E:$E, MATCH($A24, 'UA-normalized'!$A:$A, 0))&gt;0, -(5*INDEX('UA-normalized'!$D:$D, MATCH($A24, 'UA-normalized'!$A:$A, 0))-INDEX('UA-normalized'!$E:$E, MATCH($A24, 'UA-normalized'!$A:$A, 0))), 0), 0))+(IFERROR(IF(5*INDEX('KZ-normalized'!$D:$D, MATCH($A24, 'KZ-normalized'!$A:$A, 0))-INDEX('KZ-normalized'!$E:$E, MATCH($A24, 'KZ-normalized'!$A:$A, 0))&gt;0, -(5*INDEX('KZ-normalized'!$D:$D, MATCH($A24, 'KZ-normalized'!$A:$A, 0))-INDEX('KZ-normalized'!$E:$E, MATCH($A24, 'KZ-normalized'!$A:$A, 0))), 0), 0))+(IFERROR(IF(5*INDEX('UZ-normalized'!$D:$D, MATCH($A24, 'UZ-normalized'!$A:$A, 0))-INDEX('UZ-normalized'!$E:$E, MATCH($A24, 'UZ-normalized'!$A:$A, 0))&gt;0, -(5*INDEX('UZ-normalized'!$D:$D, MATCH($A24, 'UZ-normalized'!$A:$A, 0))-INDEX('UZ-normalized'!$E:$E, MATCH($A24, 'UZ-normalized'!$A:$A, 0))), 0), 0)))</f>
        <v>0</v>
      </c>
      <c r="T24" s="6">
        <f>MIN(0, N24+(IFERROR(IF(6*INDEX('UA-normalized'!$D:$D, MATCH($A24, 'UA-normalized'!$A:$A, 0))-INDEX('UA-normalized'!$E:$E, MATCH($A24, 'UA-normalized'!$A:$A, 0))&gt;0, -(6*INDEX('UA-normalized'!$D:$D, MATCH($A24, 'UA-normalized'!$A:$A, 0))-INDEX('UA-normalized'!$E:$E, MATCH($A24, 'UA-normalized'!$A:$A, 0))), 0), 0))+(IFERROR(IF(6*INDEX('KZ-normalized'!$D:$D, MATCH($A24, 'KZ-normalized'!$A:$A, 0))-INDEX('KZ-normalized'!$E:$E, MATCH($A24, 'KZ-normalized'!$A:$A, 0))&gt;0, -(6*INDEX('KZ-normalized'!$D:$D, MATCH($A24, 'KZ-normalized'!$A:$A, 0))-INDEX('KZ-normalized'!$E:$E, MATCH($A24, 'KZ-normalized'!$A:$A, 0))), 0), 0))+(IFERROR(IF(6*INDEX('UZ-normalized'!$D:$D, MATCH($A24, 'UZ-normalized'!$A:$A, 0))-INDEX('UZ-normalized'!$E:$E, MATCH($A24, 'UZ-normalized'!$A:$A, 0))&gt;0, -(6*INDEX('UZ-normalized'!$D:$D, MATCH($A24, 'UZ-normalized'!$A:$A, 0))-INDEX('UZ-normalized'!$E:$E, MATCH($A24, 'UZ-normalized'!$A:$A, 0))), 0), 0)))</f>
        <v>-716</v>
      </c>
      <c r="U24" s="6">
        <f>MIN(0, N24+(IFERROR(IF(7*INDEX('UA-normalized'!$D:$D, MATCH($A24, 'UA-normalized'!$A:$A, 0))-INDEX('UA-normalized'!$E:$E, MATCH($A24, 'UA-normalized'!$A:$A, 0))&gt;0, -(7*INDEX('UA-normalized'!$D:$D, MATCH($A24, 'UA-normalized'!$A:$A, 0))-INDEX('UA-normalized'!$E:$E, MATCH($A24, 'UA-normalized'!$A:$A, 0))), 0), 0))+(IFERROR(IF(7*INDEX('KZ-normalized'!$D:$D, MATCH($A24, 'KZ-normalized'!$A:$A, 0))-INDEX('KZ-normalized'!$E:$E, MATCH($A24, 'KZ-normalized'!$A:$A, 0))&gt;0, -(7*INDEX('KZ-normalized'!$D:$D, MATCH($A24, 'KZ-normalized'!$A:$A, 0))-INDEX('KZ-normalized'!$E:$E, MATCH($A24, 'KZ-normalized'!$A:$A, 0))), 0), 0))+(IFERROR(IF(7*INDEX('UZ-normalized'!$D:$D, MATCH($A24, 'UZ-normalized'!$A:$A, 0))-INDEX('UZ-normalized'!$E:$E, MATCH($A24, 'UZ-normalized'!$A:$A, 0))&gt;0, -(7*INDEX('UZ-normalized'!$D:$D, MATCH($A24, 'UZ-normalized'!$A:$A, 0))-INDEX('UZ-normalized'!$E:$E, MATCH($A24, 'UZ-normalized'!$A:$A, 0))), 0), 0)))</f>
        <v>-3769.5</v>
      </c>
      <c r="V24" s="6">
        <f>MIN(0, N24+(IFERROR(IF(8*INDEX('UA-normalized'!$D:$D, MATCH($A24, 'UA-normalized'!$A:$A, 0))-INDEX('UA-normalized'!$E:$E, MATCH($A24, 'UA-normalized'!$A:$A, 0))&gt;0, -(8*INDEX('UA-normalized'!$D:$D, MATCH($A24, 'UA-normalized'!$A:$A, 0))-INDEX('UA-normalized'!$E:$E, MATCH($A24, 'UA-normalized'!$A:$A, 0))), 0), 0))+(IFERROR(IF(8*INDEX('KZ-normalized'!$D:$D, MATCH($A24, 'KZ-normalized'!$A:$A, 0))-INDEX('KZ-normalized'!$E:$E, MATCH($A24, 'KZ-normalized'!$A:$A, 0))&gt;0, -(8*INDEX('KZ-normalized'!$D:$D, MATCH($A24, 'KZ-normalized'!$A:$A, 0))-INDEX('KZ-normalized'!$E:$E, MATCH($A24, 'KZ-normalized'!$A:$A, 0))), 0), 0))+(IFERROR(IF(8*INDEX('UZ-normalized'!$D:$D, MATCH($A24, 'UZ-normalized'!$A:$A, 0))-INDEX('UZ-normalized'!$E:$E, MATCH($A24, 'UZ-normalized'!$A:$A, 0))&gt;0, -(8*INDEX('UZ-normalized'!$D:$D, MATCH($A24, 'UZ-normalized'!$A:$A, 0))-INDEX('UZ-normalized'!$E:$E, MATCH($A24, 'UZ-normalized'!$A:$A, 0))), 0), 0)))</f>
        <v>-6824</v>
      </c>
      <c r="W24" s="6">
        <f>MIN(0, N24+(IFERROR(IF(9*INDEX('UA-normalized'!$D:$D, MATCH($A24, 'UA-normalized'!$A:$A, 0))-INDEX('UA-normalized'!$E:$E, MATCH($A24, 'UA-normalized'!$A:$A, 0))&gt;0, -(9*INDEX('UA-normalized'!$D:$D, MATCH($A24, 'UA-normalized'!$A:$A, 0))-INDEX('UA-normalized'!$E:$E, MATCH($A24, 'UA-normalized'!$A:$A, 0))), 0), 0))+(IFERROR(IF(9*INDEX('KZ-normalized'!$D:$D, MATCH($A24, 'KZ-normalized'!$A:$A, 0))-INDEX('KZ-normalized'!$E:$E, MATCH($A24, 'KZ-normalized'!$A:$A, 0))&gt;0, -(9*INDEX('KZ-normalized'!$D:$D, MATCH($A24, 'KZ-normalized'!$A:$A, 0))-INDEX('KZ-normalized'!$E:$E, MATCH($A24, 'KZ-normalized'!$A:$A, 0))), 0), 0))+(IFERROR(IF(9*INDEX('UZ-normalized'!$D:$D, MATCH($A24, 'UZ-normalized'!$A:$A, 0))-INDEX('UZ-normalized'!$E:$E, MATCH($A24, 'UZ-normalized'!$A:$A, 0))&gt;0, -(9*INDEX('UZ-normalized'!$D:$D, MATCH($A24, 'UZ-normalized'!$A:$A, 0))-INDEX('UZ-normalized'!$E:$E, MATCH($A24, 'UZ-normalized'!$A:$A, 0))), 0), 0)))</f>
        <v>-9879.5</v>
      </c>
      <c r="X24" s="6">
        <f>MIN(0, N24+(IFERROR(IF(10*INDEX('UA-normalized'!$D:$D, MATCH($A24, 'UA-normalized'!$A:$A, 0))-INDEX('UA-normalized'!$E:$E, MATCH($A24, 'UA-normalized'!$A:$A, 0))&gt;0, -(10*INDEX('UA-normalized'!$D:$D, MATCH($A24, 'UA-normalized'!$A:$A, 0))-INDEX('UA-normalized'!$E:$E, MATCH($A24, 'UA-normalized'!$A:$A, 0))), 0), 0))+(IFERROR(IF(10*INDEX('KZ-normalized'!$D:$D, MATCH($A24, 'KZ-normalized'!$A:$A, 0))-INDEX('KZ-normalized'!$E:$E, MATCH($A24, 'KZ-normalized'!$A:$A, 0))&gt;0, -(10*INDEX('KZ-normalized'!$D:$D, MATCH($A24, 'KZ-normalized'!$A:$A, 0))-INDEX('KZ-normalized'!$E:$E, MATCH($A24, 'KZ-normalized'!$A:$A, 0))), 0), 0))+(IFERROR(IF(10*INDEX('UZ-normalized'!$D:$D, MATCH($A24, 'UZ-normalized'!$A:$A, 0))-INDEX('UZ-normalized'!$E:$E, MATCH($A24, 'UZ-normalized'!$A:$A, 0))&gt;0, -(10*INDEX('UZ-normalized'!$D:$D, MATCH($A24, 'UZ-normalized'!$A:$A, 0))-INDEX('UZ-normalized'!$E:$E, MATCH($A24, 'UZ-normalized'!$A:$A, 0))), 0), 0)))</f>
        <v>-12935</v>
      </c>
      <c r="Y24" s="6">
        <f>MIN(0, N24+(IFERROR(IF(11*INDEX('UA-normalized'!$D:$D, MATCH($A24, 'UA-normalized'!$A:$A, 0))-INDEX('UA-normalized'!$E:$E, MATCH($A24, 'UA-normalized'!$A:$A, 0))&gt;0, -(11*INDEX('UA-normalized'!$D:$D, MATCH($A24, 'UA-normalized'!$A:$A, 0))-INDEX('UA-normalized'!$E:$E, MATCH($A24, 'UA-normalized'!$A:$A, 0))), 0), 0))+(IFERROR(IF(11*INDEX('KZ-normalized'!$D:$D, MATCH($A24, 'KZ-normalized'!$A:$A, 0))-INDEX('KZ-normalized'!$E:$E, MATCH($A24, 'KZ-normalized'!$A:$A, 0))&gt;0, -(11*INDEX('KZ-normalized'!$D:$D, MATCH($A24, 'KZ-normalized'!$A:$A, 0))-INDEX('KZ-normalized'!$E:$E, MATCH($A24, 'KZ-normalized'!$A:$A, 0))), 0), 0))+(IFERROR(IF(11*INDEX('UZ-normalized'!$D:$D, MATCH($A24, 'UZ-normalized'!$A:$A, 0))-INDEX('UZ-normalized'!$E:$E, MATCH($A24, 'UZ-normalized'!$A:$A, 0))&gt;0, -(11*INDEX('UZ-normalized'!$D:$D, MATCH($A24, 'UZ-normalized'!$A:$A, 0))-INDEX('UZ-normalized'!$E:$E, MATCH($A24, 'UZ-normalized'!$A:$A, 0))), 0), 0)))</f>
        <v>-15990.5</v>
      </c>
      <c r="Z24" s="6">
        <f>MIN(0, N24+(IFERROR(IF(12*INDEX('UA-normalized'!$D:$D, MATCH($A24, 'UA-normalized'!$A:$A, 0))-INDEX('UA-normalized'!$E:$E, MATCH($A24, 'UA-normalized'!$A:$A, 0))&gt;0, -(12*INDEX('UA-normalized'!$D:$D, MATCH($A24, 'UA-normalized'!$A:$A, 0))-INDEX('UA-normalized'!$E:$E, MATCH($A24, 'UA-normalized'!$A:$A, 0))), 0), 0))+(IFERROR(IF(12*INDEX('KZ-normalized'!$D:$D, MATCH($A24, 'KZ-normalized'!$A:$A, 0))-INDEX('KZ-normalized'!$E:$E, MATCH($A24, 'KZ-normalized'!$A:$A, 0))&gt;0, -(12*INDEX('KZ-normalized'!$D:$D, MATCH($A24, 'KZ-normalized'!$A:$A, 0))-INDEX('KZ-normalized'!$E:$E, MATCH($A24, 'KZ-normalized'!$A:$A, 0))), 0), 0))+(IFERROR(IF(12*INDEX('UZ-normalized'!$D:$D, MATCH($A24, 'UZ-normalized'!$A:$A, 0))-INDEX('UZ-normalized'!$E:$E, MATCH($A24, 'UZ-normalized'!$A:$A, 0))&gt;0, -(12*INDEX('UZ-normalized'!$D:$D, MATCH($A24, 'UZ-normalized'!$A:$A, 0))-INDEX('UZ-normalized'!$E:$E, MATCH($A24, 'UZ-normalized'!$A:$A, 0))), 0), 0)))</f>
        <v>-19046</v>
      </c>
      <c r="AA24" s="6">
        <f>MIN(0, N24+(IFERROR(IF(13*INDEX('UA-normalized'!$D:$D, MATCH($A24, 'UA-normalized'!$A:$A, 0))-INDEX('UA-normalized'!$E:$E, MATCH($A24, 'UA-normalized'!$A:$A, 0))&gt;0, -(13*INDEX('UA-normalized'!$D:$D, MATCH($A24, 'UA-normalized'!$A:$A, 0))-INDEX('UA-normalized'!$E:$E, MATCH($A24, 'UA-normalized'!$A:$A, 0))), 0), 0))+(IFERROR(IF(13*INDEX('KZ-normalized'!$D:$D, MATCH($A24, 'KZ-normalized'!$A:$A, 0))-INDEX('KZ-normalized'!$E:$E, MATCH($A24, 'KZ-normalized'!$A:$A, 0))&gt;0, -(13*INDEX('KZ-normalized'!$D:$D, MATCH($A24, 'KZ-normalized'!$A:$A, 0))-INDEX('KZ-normalized'!$E:$E, MATCH($A24, 'KZ-normalized'!$A:$A, 0))), 0), 0))+(IFERROR(IF(13*INDEX('UZ-normalized'!$D:$D, MATCH($A24, 'UZ-normalized'!$A:$A, 0))-INDEX('UZ-normalized'!$E:$E, MATCH($A24, 'UZ-normalized'!$A:$A, 0))&gt;0, -(13*INDEX('UZ-normalized'!$D:$D, MATCH($A24, 'UZ-normalized'!$A:$A, 0))-INDEX('UZ-normalized'!$E:$E, MATCH($A24, 'UZ-normalized'!$A:$A, 0))), 0), 0)))</f>
        <v>-22101.5</v>
      </c>
      <c r="AB24" s="6">
        <f>MIN(0, N24+(IFERROR(IF(14*INDEX('UA-normalized'!$D:$D, MATCH($A24, 'UA-normalized'!$A:$A, 0))-INDEX('UA-normalized'!$E:$E, MATCH($A24, 'UA-normalized'!$A:$A, 0))&gt;0, -(14*INDEX('UA-normalized'!$D:$D, MATCH($A24, 'UA-normalized'!$A:$A, 0))-INDEX('UA-normalized'!$E:$E, MATCH($A24, 'UA-normalized'!$A:$A, 0))), 0), 0))+(IFERROR(IF(14*INDEX('KZ-normalized'!$D:$D, MATCH($A24, 'KZ-normalized'!$A:$A, 0))-INDEX('KZ-normalized'!$E:$E, MATCH($A24, 'KZ-normalized'!$A:$A, 0))&gt;0, -(14*INDEX('KZ-normalized'!$D:$D, MATCH($A24, 'KZ-normalized'!$A:$A, 0))-INDEX('KZ-normalized'!$E:$E, MATCH($A24, 'KZ-normalized'!$A:$A, 0))), 0), 0))+(IFERROR(IF(14*INDEX('UZ-normalized'!$D:$D, MATCH($A24, 'UZ-normalized'!$A:$A, 0))-INDEX('UZ-normalized'!$E:$E, MATCH($A24, 'UZ-normalized'!$A:$A, 0))&gt;0, -(14*INDEX('UZ-normalized'!$D:$D, MATCH($A24, 'UZ-normalized'!$A:$A, 0))-INDEX('UZ-normalized'!$E:$E, MATCH($A24, 'UZ-normalized'!$A:$A, 0))), 0), 0)))</f>
        <v>-25157</v>
      </c>
      <c r="AC24" s="6">
        <f>MIN(0, N24+(IFERROR(IF(15*INDEX('UA-normalized'!$D:$D, MATCH($A24, 'UA-normalized'!$A:$A, 0))-INDEX('UA-normalized'!$E:$E, MATCH($A24, 'UA-normalized'!$A:$A, 0))&gt;0, -(15*INDEX('UA-normalized'!$D:$D, MATCH($A24, 'UA-normalized'!$A:$A, 0))-INDEX('UA-normalized'!$E:$E, MATCH($A24, 'UA-normalized'!$A:$A, 0))), 0), 0))+(IFERROR(IF(15*INDEX('KZ-normalized'!$D:$D, MATCH($A24, 'KZ-normalized'!$A:$A, 0))-INDEX('KZ-normalized'!$E:$E, MATCH($A24, 'KZ-normalized'!$A:$A, 0))&gt;0, -(15*INDEX('KZ-normalized'!$D:$D, MATCH($A24, 'KZ-normalized'!$A:$A, 0))-INDEX('KZ-normalized'!$E:$E, MATCH($A24, 'KZ-normalized'!$A:$A, 0))), 0), 0))+(IFERROR(IF(15*INDEX('UZ-normalized'!$D:$D, MATCH($A24, 'UZ-normalized'!$A:$A, 0))-INDEX('UZ-normalized'!$E:$E, MATCH($A24, 'UZ-normalized'!$A:$A, 0))&gt;0, -(15*INDEX('UZ-normalized'!$D:$D, MATCH($A24, 'UZ-normalized'!$A:$A, 0))-INDEX('UZ-normalized'!$E:$E, MATCH($A24, 'UZ-normalized'!$A:$A, 0))), 0), 0)))</f>
        <v>-28212.5</v>
      </c>
      <c r="AD24" s="6">
        <f>MIN(0, N24+(IFERROR(IF(16*INDEX('UA-normalized'!$D:$D, MATCH($A24, 'UA-normalized'!$A:$A, 0))-INDEX('UA-normalized'!$E:$E, MATCH($A24, 'UA-normalized'!$A:$A, 0))&gt;0, -(16*INDEX('UA-normalized'!$D:$D, MATCH($A24, 'UA-normalized'!$A:$A, 0))-INDEX('UA-normalized'!$E:$E, MATCH($A24, 'UA-normalized'!$A:$A, 0))), 0), 0))+(IFERROR(IF(16*INDEX('KZ-normalized'!$D:$D, MATCH($A24, 'KZ-normalized'!$A:$A, 0))-INDEX('KZ-normalized'!$E:$E, MATCH($A24, 'KZ-normalized'!$A:$A, 0))&gt;0, -(16*INDEX('KZ-normalized'!$D:$D, MATCH($A24, 'KZ-normalized'!$A:$A, 0))-INDEX('KZ-normalized'!$E:$E, MATCH($A24, 'KZ-normalized'!$A:$A, 0))), 0), 0))+(IFERROR(IF(16*INDEX('UZ-normalized'!$D:$D, MATCH($A24, 'UZ-normalized'!$A:$A, 0))-INDEX('UZ-normalized'!$E:$E, MATCH($A24, 'UZ-normalized'!$A:$A, 0))&gt;0, -(16*INDEX('UZ-normalized'!$D:$D, MATCH($A24, 'UZ-normalized'!$A:$A, 0))-INDEX('UZ-normalized'!$E:$E, MATCH($A24, 'UZ-normalized'!$A:$A, 0))), 0), 0)))</f>
        <v>-31268</v>
      </c>
      <c r="AE24" s="6">
        <f>MIN(0, N24+(IFERROR(IF(17*INDEX('UA-normalized'!$D:$D, MATCH($A24, 'UA-normalized'!$A:$A, 0))-INDEX('UA-normalized'!$E:$E, MATCH($A24, 'UA-normalized'!$A:$A, 0))&gt;0, -(17*INDEX('UA-normalized'!$D:$D, MATCH($A24, 'UA-normalized'!$A:$A, 0))-INDEX('UA-normalized'!$E:$E, MATCH($A24, 'UA-normalized'!$A:$A, 0))), 0), 0))+(IFERROR(IF(17*INDEX('KZ-normalized'!$D:$D, MATCH($A24, 'KZ-normalized'!$A:$A, 0))-INDEX('KZ-normalized'!$E:$E, MATCH($A24, 'KZ-normalized'!$A:$A, 0))&gt;0, -(17*INDEX('KZ-normalized'!$D:$D, MATCH($A24, 'KZ-normalized'!$A:$A, 0))-INDEX('KZ-normalized'!$E:$E, MATCH($A24, 'KZ-normalized'!$A:$A, 0))), 0), 0))+(IFERROR(IF(17*INDEX('UZ-normalized'!$D:$D, MATCH($A24, 'UZ-normalized'!$A:$A, 0))-INDEX('UZ-normalized'!$E:$E, MATCH($A24, 'UZ-normalized'!$A:$A, 0))&gt;0, -(17*INDEX('UZ-normalized'!$D:$D, MATCH($A24, 'UZ-normalized'!$A:$A, 0))-INDEX('UZ-normalized'!$E:$E, MATCH($A24, 'UZ-normalized'!$A:$A, 0))), 0), 0)))</f>
        <v>-34323.5</v>
      </c>
      <c r="AF24" s="6">
        <f>MIN(0, N24+(IFERROR(IF(18*INDEX('UA-normalized'!$D:$D, MATCH($A24, 'UA-normalized'!$A:$A, 0))-INDEX('UA-normalized'!$E:$E, MATCH($A24, 'UA-normalized'!$A:$A, 0))&gt;0, -(18*INDEX('UA-normalized'!$D:$D, MATCH($A24, 'UA-normalized'!$A:$A, 0))-INDEX('UA-normalized'!$E:$E, MATCH($A24, 'UA-normalized'!$A:$A, 0))), 0), 0))+(IFERROR(IF(18*INDEX('KZ-normalized'!$D:$D, MATCH($A24, 'KZ-normalized'!$A:$A, 0))-INDEX('KZ-normalized'!$E:$E, MATCH($A24, 'KZ-normalized'!$A:$A, 0))&gt;0, -(18*INDEX('KZ-normalized'!$D:$D, MATCH($A24, 'KZ-normalized'!$A:$A, 0))-INDEX('KZ-normalized'!$E:$E, MATCH($A24, 'KZ-normalized'!$A:$A, 0))), 0), 0))+(IFERROR(IF(18*INDEX('UZ-normalized'!$D:$D, MATCH($A24, 'UZ-normalized'!$A:$A, 0))-INDEX('UZ-normalized'!$E:$E, MATCH($A24, 'UZ-normalized'!$A:$A, 0))&gt;0, -(18*INDEX('UZ-normalized'!$D:$D, MATCH($A24, 'UZ-normalized'!$A:$A, 0))-INDEX('UZ-normalized'!$E:$E, MATCH($A24, 'UZ-normalized'!$A:$A, 0))), 0), 0)))</f>
        <v>-37379</v>
      </c>
      <c r="AG24" s="6">
        <f>MIN(0, N24+(IFERROR(IF(19*INDEX('UA-normalized'!$D:$D, MATCH($A24, 'UA-normalized'!$A:$A, 0))-INDEX('UA-normalized'!$E:$E, MATCH($A24, 'UA-normalized'!$A:$A, 0))&gt;0, -(19*INDEX('UA-normalized'!$D:$D, MATCH($A24, 'UA-normalized'!$A:$A, 0))-INDEX('UA-normalized'!$E:$E, MATCH($A24, 'UA-normalized'!$A:$A, 0))), 0), 0))+(IFERROR(IF(19*INDEX('KZ-normalized'!$D:$D, MATCH($A24, 'KZ-normalized'!$A:$A, 0))-INDEX('KZ-normalized'!$E:$E, MATCH($A24, 'KZ-normalized'!$A:$A, 0))&gt;0, -(19*INDEX('KZ-normalized'!$D:$D, MATCH($A24, 'KZ-normalized'!$A:$A, 0))-INDEX('KZ-normalized'!$E:$E, MATCH($A24, 'KZ-normalized'!$A:$A, 0))), 0), 0))+(IFERROR(IF(19*INDEX('UZ-normalized'!$D:$D, MATCH($A24, 'UZ-normalized'!$A:$A, 0))-INDEX('UZ-normalized'!$E:$E, MATCH($A24, 'UZ-normalized'!$A:$A, 0))&gt;0, -(19*INDEX('UZ-normalized'!$D:$D, MATCH($A24, 'UZ-normalized'!$A:$A, 0))-INDEX('UZ-normalized'!$E:$E, MATCH($A24, 'UZ-normalized'!$A:$A, 0))), 0), 0)))</f>
        <v>-40434.5</v>
      </c>
      <c r="AH24" s="6">
        <f>MIN(0, N24+(IFERROR(IF(20*INDEX('UA-normalized'!$D:$D, MATCH($A24, 'UA-normalized'!$A:$A, 0))-INDEX('UA-normalized'!$E:$E, MATCH($A24, 'UA-normalized'!$A:$A, 0))&gt;0, -(20*INDEX('UA-normalized'!$D:$D, MATCH($A24, 'UA-normalized'!$A:$A, 0))-INDEX('UA-normalized'!$E:$E, MATCH($A24, 'UA-normalized'!$A:$A, 0))), 0), 0))+(IFERROR(IF(20*INDEX('KZ-normalized'!$D:$D, MATCH($A24, 'KZ-normalized'!$A:$A, 0))-INDEX('KZ-normalized'!$E:$E, MATCH($A24, 'KZ-normalized'!$A:$A, 0))&gt;0, -(20*INDEX('KZ-normalized'!$D:$D, MATCH($A24, 'KZ-normalized'!$A:$A, 0))-INDEX('KZ-normalized'!$E:$E, MATCH($A24, 'KZ-normalized'!$A:$A, 0))), 0), 0))+(IFERROR(IF(20*INDEX('UZ-normalized'!$D:$D, MATCH($A24, 'UZ-normalized'!$A:$A, 0))-INDEX('UZ-normalized'!$E:$E, MATCH($A24, 'UZ-normalized'!$A:$A, 0))&gt;0, -(20*INDEX('UZ-normalized'!$D:$D, MATCH($A24, 'UZ-normalized'!$A:$A, 0))-INDEX('UZ-normalized'!$E:$E, MATCH($A24, 'UZ-normalized'!$A:$A, 0))), 0), 0)))</f>
        <v>-43490</v>
      </c>
      <c r="AI24" s="6">
        <f>MIN(0, N24+(IFERROR(IF(21*INDEX('UA-normalized'!$D:$D, MATCH($A24, 'UA-normalized'!$A:$A, 0))-INDEX('UA-normalized'!$E:$E, MATCH($A24, 'UA-normalized'!$A:$A, 0))&gt;0, -(21*INDEX('UA-normalized'!$D:$D, MATCH($A24, 'UA-normalized'!$A:$A, 0))-INDEX('UA-normalized'!$E:$E, MATCH($A24, 'UA-normalized'!$A:$A, 0))), 0), 0))+(IFERROR(IF(21*INDEX('KZ-normalized'!$D:$D, MATCH($A24, 'KZ-normalized'!$A:$A, 0))-INDEX('KZ-normalized'!$E:$E, MATCH($A24, 'KZ-normalized'!$A:$A, 0))&gt;0, -(21*INDEX('KZ-normalized'!$D:$D, MATCH($A24, 'KZ-normalized'!$A:$A, 0))-INDEX('KZ-normalized'!$E:$E, MATCH($A24, 'KZ-normalized'!$A:$A, 0))), 0), 0))+(IFERROR(IF(21*INDEX('UZ-normalized'!$D:$D, MATCH($A24, 'UZ-normalized'!$A:$A, 0))-INDEX('UZ-normalized'!$E:$E, MATCH($A24, 'UZ-normalized'!$A:$A, 0))&gt;0, -(21*INDEX('UZ-normalized'!$D:$D, MATCH($A24, 'UZ-normalized'!$A:$A, 0))-INDEX('UZ-normalized'!$E:$E, MATCH($A24, 'UZ-normalized'!$A:$A, 0))), 0), 0)))</f>
        <v>-46545.5</v>
      </c>
      <c r="AJ24" s="6">
        <f>MIN(0, N24+(IFERROR(IF(22*INDEX('UA-normalized'!$D:$D, MATCH($A24, 'UA-normalized'!$A:$A, 0))-INDEX('UA-normalized'!$E:$E, MATCH($A24, 'UA-normalized'!$A:$A, 0))&gt;0, -(22*INDEX('UA-normalized'!$D:$D, MATCH($A24, 'UA-normalized'!$A:$A, 0))-INDEX('UA-normalized'!$E:$E, MATCH($A24, 'UA-normalized'!$A:$A, 0))), 0), 0))+(IFERROR(IF(22*INDEX('KZ-normalized'!$D:$D, MATCH($A24, 'KZ-normalized'!$A:$A, 0))-INDEX('KZ-normalized'!$E:$E, MATCH($A24, 'KZ-normalized'!$A:$A, 0))&gt;0, -(22*INDEX('KZ-normalized'!$D:$D, MATCH($A24, 'KZ-normalized'!$A:$A, 0))-INDEX('KZ-normalized'!$E:$E, MATCH($A24, 'KZ-normalized'!$A:$A, 0))), 0), 0))+(IFERROR(IF(22*INDEX('UZ-normalized'!$D:$D, MATCH($A24, 'UZ-normalized'!$A:$A, 0))-INDEX('UZ-normalized'!$E:$E, MATCH($A24, 'UZ-normalized'!$A:$A, 0))&gt;0, -(22*INDEX('UZ-normalized'!$D:$D, MATCH($A24, 'UZ-normalized'!$A:$A, 0))-INDEX('UZ-normalized'!$E:$E, MATCH($A24, 'UZ-normalized'!$A:$A, 0))), 0), 0)))</f>
        <v>-49601</v>
      </c>
      <c r="AK24" s="6">
        <f>MIN(0, N24+(IFERROR(IF(23*INDEX('UA-normalized'!$D:$D, MATCH($A24, 'UA-normalized'!$A:$A, 0))-INDEX('UA-normalized'!$E:$E, MATCH($A24, 'UA-normalized'!$A:$A, 0))&gt;0, -(23*INDEX('UA-normalized'!$D:$D, MATCH($A24, 'UA-normalized'!$A:$A, 0))-INDEX('UA-normalized'!$E:$E, MATCH($A24, 'UA-normalized'!$A:$A, 0))), 0), 0))+(IFERROR(IF(23*INDEX('KZ-normalized'!$D:$D, MATCH($A24, 'KZ-normalized'!$A:$A, 0))-INDEX('KZ-normalized'!$E:$E, MATCH($A24, 'KZ-normalized'!$A:$A, 0))&gt;0, -(23*INDEX('KZ-normalized'!$D:$D, MATCH($A24, 'KZ-normalized'!$A:$A, 0))-INDEX('KZ-normalized'!$E:$E, MATCH($A24, 'KZ-normalized'!$A:$A, 0))), 0), 0))+(IFERROR(IF(23*INDEX('UZ-normalized'!$D:$D, MATCH($A24, 'UZ-normalized'!$A:$A, 0))-INDEX('UZ-normalized'!$E:$E, MATCH($A24, 'UZ-normalized'!$A:$A, 0))&gt;0, -(23*INDEX('UZ-normalized'!$D:$D, MATCH($A24, 'UZ-normalized'!$A:$A, 0))-INDEX('UZ-normalized'!$E:$E, MATCH($A24, 'UZ-normalized'!$A:$A, 0))), 0), 0)))</f>
        <v>-52656.5</v>
      </c>
      <c r="AL24" s="6">
        <f>MIN(0, N24+(IFERROR(IF(24*INDEX('UA-normalized'!$D:$D, MATCH($A24, 'UA-normalized'!$A:$A, 0))-INDEX('UA-normalized'!$E:$E, MATCH($A24, 'UA-normalized'!$A:$A, 0))&gt;0, -(24*INDEX('UA-normalized'!$D:$D, MATCH($A24, 'UA-normalized'!$A:$A, 0))-INDEX('UA-normalized'!$E:$E, MATCH($A24, 'UA-normalized'!$A:$A, 0))), 0), 0))+(IFERROR(IF(24*INDEX('KZ-normalized'!$D:$D, MATCH($A24, 'KZ-normalized'!$A:$A, 0))-INDEX('KZ-normalized'!$E:$E, MATCH($A24, 'KZ-normalized'!$A:$A, 0))&gt;0, -(24*INDEX('KZ-normalized'!$D:$D, MATCH($A24, 'KZ-normalized'!$A:$A, 0))-INDEX('KZ-normalized'!$E:$E, MATCH($A24, 'KZ-normalized'!$A:$A, 0))), 0), 0))+(IFERROR(IF(24*INDEX('UZ-normalized'!$D:$D, MATCH($A24, 'UZ-normalized'!$A:$A, 0))-INDEX('UZ-normalized'!$E:$E, MATCH($A24, 'UZ-normalized'!$A:$A, 0))&gt;0, -(24*INDEX('UZ-normalized'!$D:$D, MATCH($A24, 'UZ-normalized'!$A:$A, 0))-INDEX('UZ-normalized'!$E:$E, MATCH($A24, 'UZ-normalized'!$A:$A, 0))), 0), 0)))</f>
        <v>-55712</v>
      </c>
      <c r="AM24" s="6">
        <f>MIN(0, N24+(IFERROR(IF(25*INDEX('UA-normalized'!$D:$D, MATCH($A24, 'UA-normalized'!$A:$A, 0))-INDEX('UA-normalized'!$E:$E, MATCH($A24, 'UA-normalized'!$A:$A, 0))&gt;0, -(25*INDEX('UA-normalized'!$D:$D, MATCH($A24, 'UA-normalized'!$A:$A, 0))-INDEX('UA-normalized'!$E:$E, MATCH($A24, 'UA-normalized'!$A:$A, 0))), 0), 0))+(IFERROR(IF(25*INDEX('KZ-normalized'!$D:$D, MATCH($A24, 'KZ-normalized'!$A:$A, 0))-INDEX('KZ-normalized'!$E:$E, MATCH($A24, 'KZ-normalized'!$A:$A, 0))&gt;0, -(25*INDEX('KZ-normalized'!$D:$D, MATCH($A24, 'KZ-normalized'!$A:$A, 0))-INDEX('KZ-normalized'!$E:$E, MATCH($A24, 'KZ-normalized'!$A:$A, 0))), 0), 0))+(IFERROR(IF(25*INDEX('UZ-normalized'!$D:$D, MATCH($A24, 'UZ-normalized'!$A:$A, 0))-INDEX('UZ-normalized'!$E:$E, MATCH($A24, 'UZ-normalized'!$A:$A, 0))&gt;0, -(25*INDEX('UZ-normalized'!$D:$D, MATCH($A24, 'UZ-normalized'!$A:$A, 0))-INDEX('UZ-normalized'!$E:$E, MATCH($A24, 'UZ-normalized'!$A:$A, 0))), 0), 0)))</f>
        <v>-58767.5</v>
      </c>
      <c r="AN24" s="6">
        <f>MIN(0, N24+(IFERROR(IF(26*INDEX('UA-normalized'!$D:$D, MATCH($A24, 'UA-normalized'!$A:$A, 0))-INDEX('UA-normalized'!$E:$E, MATCH($A24, 'UA-normalized'!$A:$A, 0))&gt;0, -(26*INDEX('UA-normalized'!$D:$D, MATCH($A24, 'UA-normalized'!$A:$A, 0))-INDEX('UA-normalized'!$E:$E, MATCH($A24, 'UA-normalized'!$A:$A, 0))), 0), 0))+(IFERROR(IF(26*INDEX('KZ-normalized'!$D:$D, MATCH($A24, 'KZ-normalized'!$A:$A, 0))-INDEX('KZ-normalized'!$E:$E, MATCH($A24, 'KZ-normalized'!$A:$A, 0))&gt;0, -(26*INDEX('KZ-normalized'!$D:$D, MATCH($A24, 'KZ-normalized'!$A:$A, 0))-INDEX('KZ-normalized'!$E:$E, MATCH($A24, 'KZ-normalized'!$A:$A, 0))), 0), 0))+(IFERROR(IF(26*INDEX('UZ-normalized'!$D:$D, MATCH($A24, 'UZ-normalized'!$A:$A, 0))-INDEX('UZ-normalized'!$E:$E, MATCH($A24, 'UZ-normalized'!$A:$A, 0))&gt;0, -(26*INDEX('UZ-normalized'!$D:$D, MATCH($A24, 'UZ-normalized'!$A:$A, 0))-INDEX('UZ-normalized'!$E:$E, MATCH($A24, 'UZ-normalized'!$A:$A, 0))), 0), 0)))</f>
        <v>-61823</v>
      </c>
      <c r="AO24" s="6">
        <f>MIN(0, N24+(IFERROR(IF(27*INDEX('UA-normalized'!$D:$D, MATCH($A24, 'UA-normalized'!$A:$A, 0))-INDEX('UA-normalized'!$E:$E, MATCH($A24, 'UA-normalized'!$A:$A, 0))&gt;0, -(27*INDEX('UA-normalized'!$D:$D, MATCH($A24, 'UA-normalized'!$A:$A, 0))-INDEX('UA-normalized'!$E:$E, MATCH($A24, 'UA-normalized'!$A:$A, 0))), 0), 0))+(IFERROR(IF(27*INDEX('KZ-normalized'!$D:$D, MATCH($A24, 'KZ-normalized'!$A:$A, 0))-INDEX('KZ-normalized'!$E:$E, MATCH($A24, 'KZ-normalized'!$A:$A, 0))&gt;0, -(27*INDEX('KZ-normalized'!$D:$D, MATCH($A24, 'KZ-normalized'!$A:$A, 0))-INDEX('KZ-normalized'!$E:$E, MATCH($A24, 'KZ-normalized'!$A:$A, 0))), 0), 0))+(IFERROR(IF(27*INDEX('UZ-normalized'!$D:$D, MATCH($A24, 'UZ-normalized'!$A:$A, 0))-INDEX('UZ-normalized'!$E:$E, MATCH($A24, 'UZ-normalized'!$A:$A, 0))&gt;0, -(27*INDEX('UZ-normalized'!$D:$D, MATCH($A24, 'UZ-normalized'!$A:$A, 0))-INDEX('UZ-normalized'!$E:$E, MATCH($A24, 'UZ-normalized'!$A:$A, 0))), 0), 0)))</f>
        <v>-64878.5</v>
      </c>
      <c r="AP24" s="6">
        <f>MIN(0, N24+(IFERROR(IF(28*INDEX('UA-normalized'!$D:$D, MATCH($A24, 'UA-normalized'!$A:$A, 0))-INDEX('UA-normalized'!$E:$E, MATCH($A24, 'UA-normalized'!$A:$A, 0))&gt;0, -(28*INDEX('UA-normalized'!$D:$D, MATCH($A24, 'UA-normalized'!$A:$A, 0))-INDEX('UA-normalized'!$E:$E, MATCH($A24, 'UA-normalized'!$A:$A, 0))), 0), 0))+(IFERROR(IF(28*INDEX('KZ-normalized'!$D:$D, MATCH($A24, 'KZ-normalized'!$A:$A, 0))-INDEX('KZ-normalized'!$E:$E, MATCH($A24, 'KZ-normalized'!$A:$A, 0))&gt;0, -(28*INDEX('KZ-normalized'!$D:$D, MATCH($A24, 'KZ-normalized'!$A:$A, 0))-INDEX('KZ-normalized'!$E:$E, MATCH($A24, 'KZ-normalized'!$A:$A, 0))), 0), 0))+(IFERROR(IF(28*INDEX('UZ-normalized'!$D:$D, MATCH($A24, 'UZ-normalized'!$A:$A, 0))-INDEX('UZ-normalized'!$E:$E, MATCH($A24, 'UZ-normalized'!$A:$A, 0))&gt;0, -(28*INDEX('UZ-normalized'!$D:$D, MATCH($A24, 'UZ-normalized'!$A:$A, 0))-INDEX('UZ-normalized'!$E:$E, MATCH($A24, 'UZ-normalized'!$A:$A, 0))), 0), 0)))</f>
        <v>-67934</v>
      </c>
      <c r="AQ24" s="6">
        <f>MIN(0, N24+(IFERROR(IF(29*INDEX('UA-normalized'!$D:$D, MATCH($A24, 'UA-normalized'!$A:$A, 0))-INDEX('UA-normalized'!$E:$E, MATCH($A24, 'UA-normalized'!$A:$A, 0))&gt;0, -(29*INDEX('UA-normalized'!$D:$D, MATCH($A24, 'UA-normalized'!$A:$A, 0))-INDEX('UA-normalized'!$E:$E, MATCH($A24, 'UA-normalized'!$A:$A, 0))), 0), 0))+(IFERROR(IF(29*INDEX('KZ-normalized'!$D:$D, MATCH($A24, 'KZ-normalized'!$A:$A, 0))-INDEX('KZ-normalized'!$E:$E, MATCH($A24, 'KZ-normalized'!$A:$A, 0))&gt;0, -(29*INDEX('KZ-normalized'!$D:$D, MATCH($A24, 'KZ-normalized'!$A:$A, 0))-INDEX('KZ-normalized'!$E:$E, MATCH($A24, 'KZ-normalized'!$A:$A, 0))), 0), 0))+(IFERROR(IF(29*INDEX('UZ-normalized'!$D:$D, MATCH($A24, 'UZ-normalized'!$A:$A, 0))-INDEX('UZ-normalized'!$E:$E, MATCH($A24, 'UZ-normalized'!$A:$A, 0))&gt;0, -(29*INDEX('UZ-normalized'!$D:$D, MATCH($A24, 'UZ-normalized'!$A:$A, 0))-INDEX('UZ-normalized'!$E:$E, MATCH($A24, 'UZ-normalized'!$A:$A, 0))), 0), 0)))</f>
        <v>-70989.5</v>
      </c>
      <c r="AR24" s="6">
        <f>MIN(0, N24+(IFERROR(IF(30*INDEX('UA-normalized'!$D:$D, MATCH($A24, 'UA-normalized'!$A:$A, 0))-INDEX('UA-normalized'!$E:$E, MATCH($A24, 'UA-normalized'!$A:$A, 0))&gt;0, -(30*INDEX('UA-normalized'!$D:$D, MATCH($A24, 'UA-normalized'!$A:$A, 0))-INDEX('UA-normalized'!$E:$E, MATCH($A24, 'UA-normalized'!$A:$A, 0))), 0), 0))+(IFERROR(IF(30*INDEX('KZ-normalized'!$D:$D, MATCH($A24, 'KZ-normalized'!$A:$A, 0))-INDEX('KZ-normalized'!$E:$E, MATCH($A24, 'KZ-normalized'!$A:$A, 0))&gt;0, -(30*INDEX('KZ-normalized'!$D:$D, MATCH($A24, 'KZ-normalized'!$A:$A, 0))-INDEX('KZ-normalized'!$E:$E, MATCH($A24, 'KZ-normalized'!$A:$A, 0))), 0), 0))+(IFERROR(IF(30*INDEX('UZ-normalized'!$D:$D, MATCH($A24, 'UZ-normalized'!$A:$A, 0))-INDEX('UZ-normalized'!$E:$E, MATCH($A24, 'UZ-normalized'!$A:$A, 0))&gt;0, -(30*INDEX('UZ-normalized'!$D:$D, MATCH($A24, 'UZ-normalized'!$A:$A, 0))-INDEX('UZ-normalized'!$E:$E, MATCH($A24, 'UZ-normalized'!$A:$A, 0))), 0), 0)))</f>
        <v>-74045</v>
      </c>
    </row>
    <row r="25" spans="1:44" x14ac:dyDescent="0.25">
      <c r="A25" s="8" t="s">
        <v>98</v>
      </c>
      <c r="B25" s="8" t="s">
        <v>83</v>
      </c>
      <c r="C25" s="8" t="s">
        <v>84</v>
      </c>
      <c r="D25" s="8" t="s">
        <v>99</v>
      </c>
      <c r="E25">
        <v>27755.333333333328</v>
      </c>
      <c r="H25">
        <v>6666.666666666667</v>
      </c>
      <c r="I25">
        <v>3333.333333333333</v>
      </c>
      <c r="J25">
        <v>1888.333333333333</v>
      </c>
      <c r="N25">
        <f t="shared" si="0"/>
        <v>39643.666666666664</v>
      </c>
      <c r="O25" s="6">
        <f>MIN(0, N25+(IFERROR(IF(1*INDEX('UA-normalized'!$D:$D, MATCH($A25, 'UA-normalized'!$A:$A, 0))-INDEX('UA-normalized'!$E:$E, MATCH($A25, 'UA-normalized'!$A:$A, 0))&gt;0, -(1*INDEX('UA-normalized'!$D:$D, MATCH($A25, 'UA-normalized'!$A:$A, 0))-INDEX('UA-normalized'!$E:$E, MATCH($A25, 'UA-normalized'!$A:$A, 0))), 0), 0))+(IFERROR(IF(1*INDEX('KZ-normalized'!$D:$D, MATCH($A25, 'KZ-normalized'!$A:$A, 0))-INDEX('KZ-normalized'!$E:$E, MATCH($A25, 'KZ-normalized'!$A:$A, 0))&gt;0, -(1*INDEX('KZ-normalized'!$D:$D, MATCH($A25, 'KZ-normalized'!$A:$A, 0))-INDEX('KZ-normalized'!$E:$E, MATCH($A25, 'KZ-normalized'!$A:$A, 0))), 0), 0))+(IFERROR(IF(1*INDEX('UZ-normalized'!$D:$D, MATCH($A25, 'UZ-normalized'!$A:$A, 0))-INDEX('UZ-normalized'!$E:$E, MATCH($A25, 'UZ-normalized'!$A:$A, 0))&gt;0, -(1*INDEX('UZ-normalized'!$D:$D, MATCH($A25, 'UZ-normalized'!$A:$A, 0))-INDEX('UZ-normalized'!$E:$E, MATCH($A25, 'UZ-normalized'!$A:$A, 0))), 0), 0)))</f>
        <v>0</v>
      </c>
      <c r="P25" s="6">
        <f>MIN(0, N25+(IFERROR(IF(2*INDEX('UA-normalized'!$D:$D, MATCH($A25, 'UA-normalized'!$A:$A, 0))-INDEX('UA-normalized'!$E:$E, MATCH($A25, 'UA-normalized'!$A:$A, 0))&gt;0, -(2*INDEX('UA-normalized'!$D:$D, MATCH($A25, 'UA-normalized'!$A:$A, 0))-INDEX('UA-normalized'!$E:$E, MATCH($A25, 'UA-normalized'!$A:$A, 0))), 0), 0))+(IFERROR(IF(2*INDEX('KZ-normalized'!$D:$D, MATCH($A25, 'KZ-normalized'!$A:$A, 0))-INDEX('KZ-normalized'!$E:$E, MATCH($A25, 'KZ-normalized'!$A:$A, 0))&gt;0, -(2*INDEX('KZ-normalized'!$D:$D, MATCH($A25, 'KZ-normalized'!$A:$A, 0))-INDEX('KZ-normalized'!$E:$E, MATCH($A25, 'KZ-normalized'!$A:$A, 0))), 0), 0))+(IFERROR(IF(2*INDEX('UZ-normalized'!$D:$D, MATCH($A25, 'UZ-normalized'!$A:$A, 0))-INDEX('UZ-normalized'!$E:$E, MATCH($A25, 'UZ-normalized'!$A:$A, 0))&gt;0, -(2*INDEX('UZ-normalized'!$D:$D, MATCH($A25, 'UZ-normalized'!$A:$A, 0))-INDEX('UZ-normalized'!$E:$E, MATCH($A25, 'UZ-normalized'!$A:$A, 0))), 0), 0)))</f>
        <v>0</v>
      </c>
      <c r="Q25" s="6">
        <f>MIN(0, N25+(IFERROR(IF(3*INDEX('UA-normalized'!$D:$D, MATCH($A25, 'UA-normalized'!$A:$A, 0))-INDEX('UA-normalized'!$E:$E, MATCH($A25, 'UA-normalized'!$A:$A, 0))&gt;0, -(3*INDEX('UA-normalized'!$D:$D, MATCH($A25, 'UA-normalized'!$A:$A, 0))-INDEX('UA-normalized'!$E:$E, MATCH($A25, 'UA-normalized'!$A:$A, 0))), 0), 0))+(IFERROR(IF(3*INDEX('KZ-normalized'!$D:$D, MATCH($A25, 'KZ-normalized'!$A:$A, 0))-INDEX('KZ-normalized'!$E:$E, MATCH($A25, 'KZ-normalized'!$A:$A, 0))&gt;0, -(3*INDEX('KZ-normalized'!$D:$D, MATCH($A25, 'KZ-normalized'!$A:$A, 0))-INDEX('KZ-normalized'!$E:$E, MATCH($A25, 'KZ-normalized'!$A:$A, 0))), 0), 0))+(IFERROR(IF(3*INDEX('UZ-normalized'!$D:$D, MATCH($A25, 'UZ-normalized'!$A:$A, 0))-INDEX('UZ-normalized'!$E:$E, MATCH($A25, 'UZ-normalized'!$A:$A, 0))&gt;0, -(3*INDEX('UZ-normalized'!$D:$D, MATCH($A25, 'UZ-normalized'!$A:$A, 0))-INDEX('UZ-normalized'!$E:$E, MATCH($A25, 'UZ-normalized'!$A:$A, 0))), 0), 0)))</f>
        <v>0</v>
      </c>
      <c r="R25" s="6">
        <f>MIN(0, N25+(IFERROR(IF(4*INDEX('UA-normalized'!$D:$D, MATCH($A25, 'UA-normalized'!$A:$A, 0))-INDEX('UA-normalized'!$E:$E, MATCH($A25, 'UA-normalized'!$A:$A, 0))&gt;0, -(4*INDEX('UA-normalized'!$D:$D, MATCH($A25, 'UA-normalized'!$A:$A, 0))-INDEX('UA-normalized'!$E:$E, MATCH($A25, 'UA-normalized'!$A:$A, 0))), 0), 0))+(IFERROR(IF(4*INDEX('KZ-normalized'!$D:$D, MATCH($A25, 'KZ-normalized'!$A:$A, 0))-INDEX('KZ-normalized'!$E:$E, MATCH($A25, 'KZ-normalized'!$A:$A, 0))&gt;0, -(4*INDEX('KZ-normalized'!$D:$D, MATCH($A25, 'KZ-normalized'!$A:$A, 0))-INDEX('KZ-normalized'!$E:$E, MATCH($A25, 'KZ-normalized'!$A:$A, 0))), 0), 0))+(IFERROR(IF(4*INDEX('UZ-normalized'!$D:$D, MATCH($A25, 'UZ-normalized'!$A:$A, 0))-INDEX('UZ-normalized'!$E:$E, MATCH($A25, 'UZ-normalized'!$A:$A, 0))&gt;0, -(4*INDEX('UZ-normalized'!$D:$D, MATCH($A25, 'UZ-normalized'!$A:$A, 0))-INDEX('UZ-normalized'!$E:$E, MATCH($A25, 'UZ-normalized'!$A:$A, 0))), 0), 0)))</f>
        <v>0</v>
      </c>
      <c r="S25" s="6">
        <f>MIN(0, N25+(IFERROR(IF(5*INDEX('UA-normalized'!$D:$D, MATCH($A25, 'UA-normalized'!$A:$A, 0))-INDEX('UA-normalized'!$E:$E, MATCH($A25, 'UA-normalized'!$A:$A, 0))&gt;0, -(5*INDEX('UA-normalized'!$D:$D, MATCH($A25, 'UA-normalized'!$A:$A, 0))-INDEX('UA-normalized'!$E:$E, MATCH($A25, 'UA-normalized'!$A:$A, 0))), 0), 0))+(IFERROR(IF(5*INDEX('KZ-normalized'!$D:$D, MATCH($A25, 'KZ-normalized'!$A:$A, 0))-INDEX('KZ-normalized'!$E:$E, MATCH($A25, 'KZ-normalized'!$A:$A, 0))&gt;0, -(5*INDEX('KZ-normalized'!$D:$D, MATCH($A25, 'KZ-normalized'!$A:$A, 0))-INDEX('KZ-normalized'!$E:$E, MATCH($A25, 'KZ-normalized'!$A:$A, 0))), 0), 0))+(IFERROR(IF(5*INDEX('UZ-normalized'!$D:$D, MATCH($A25, 'UZ-normalized'!$A:$A, 0))-INDEX('UZ-normalized'!$E:$E, MATCH($A25, 'UZ-normalized'!$A:$A, 0))&gt;0, -(5*INDEX('UZ-normalized'!$D:$D, MATCH($A25, 'UZ-normalized'!$A:$A, 0))-INDEX('UZ-normalized'!$E:$E, MATCH($A25, 'UZ-normalized'!$A:$A, 0))), 0), 0)))</f>
        <v>0</v>
      </c>
      <c r="T25" s="6">
        <f>MIN(0, N25+(IFERROR(IF(6*INDEX('UA-normalized'!$D:$D, MATCH($A25, 'UA-normalized'!$A:$A, 0))-INDEX('UA-normalized'!$E:$E, MATCH($A25, 'UA-normalized'!$A:$A, 0))&gt;0, -(6*INDEX('UA-normalized'!$D:$D, MATCH($A25, 'UA-normalized'!$A:$A, 0))-INDEX('UA-normalized'!$E:$E, MATCH($A25, 'UA-normalized'!$A:$A, 0))), 0), 0))+(IFERROR(IF(6*INDEX('KZ-normalized'!$D:$D, MATCH($A25, 'KZ-normalized'!$A:$A, 0))-INDEX('KZ-normalized'!$E:$E, MATCH($A25, 'KZ-normalized'!$A:$A, 0))&gt;0, -(6*INDEX('KZ-normalized'!$D:$D, MATCH($A25, 'KZ-normalized'!$A:$A, 0))-INDEX('KZ-normalized'!$E:$E, MATCH($A25, 'KZ-normalized'!$A:$A, 0))), 0), 0))+(IFERROR(IF(6*INDEX('UZ-normalized'!$D:$D, MATCH($A25, 'UZ-normalized'!$A:$A, 0))-INDEX('UZ-normalized'!$E:$E, MATCH($A25, 'UZ-normalized'!$A:$A, 0))&gt;0, -(6*INDEX('UZ-normalized'!$D:$D, MATCH($A25, 'UZ-normalized'!$A:$A, 0))-INDEX('UZ-normalized'!$E:$E, MATCH($A25, 'UZ-normalized'!$A:$A, 0))), 0), 0)))</f>
        <v>0</v>
      </c>
      <c r="U25" s="6">
        <f>MIN(0, N25+(IFERROR(IF(7*INDEX('UA-normalized'!$D:$D, MATCH($A25, 'UA-normalized'!$A:$A, 0))-INDEX('UA-normalized'!$E:$E, MATCH($A25, 'UA-normalized'!$A:$A, 0))&gt;0, -(7*INDEX('UA-normalized'!$D:$D, MATCH($A25, 'UA-normalized'!$A:$A, 0))-INDEX('UA-normalized'!$E:$E, MATCH($A25, 'UA-normalized'!$A:$A, 0))), 0), 0))+(IFERROR(IF(7*INDEX('KZ-normalized'!$D:$D, MATCH($A25, 'KZ-normalized'!$A:$A, 0))-INDEX('KZ-normalized'!$E:$E, MATCH($A25, 'KZ-normalized'!$A:$A, 0))&gt;0, -(7*INDEX('KZ-normalized'!$D:$D, MATCH($A25, 'KZ-normalized'!$A:$A, 0))-INDEX('KZ-normalized'!$E:$E, MATCH($A25, 'KZ-normalized'!$A:$A, 0))), 0), 0))+(IFERROR(IF(7*INDEX('UZ-normalized'!$D:$D, MATCH($A25, 'UZ-normalized'!$A:$A, 0))-INDEX('UZ-normalized'!$E:$E, MATCH($A25, 'UZ-normalized'!$A:$A, 0))&gt;0, -(7*INDEX('UZ-normalized'!$D:$D, MATCH($A25, 'UZ-normalized'!$A:$A, 0))-INDEX('UZ-normalized'!$E:$E, MATCH($A25, 'UZ-normalized'!$A:$A, 0))), 0), 0)))</f>
        <v>0</v>
      </c>
      <c r="V25" s="6">
        <f>MIN(0, N25+(IFERROR(IF(8*INDEX('UA-normalized'!$D:$D, MATCH($A25, 'UA-normalized'!$A:$A, 0))-INDEX('UA-normalized'!$E:$E, MATCH($A25, 'UA-normalized'!$A:$A, 0))&gt;0, -(8*INDEX('UA-normalized'!$D:$D, MATCH($A25, 'UA-normalized'!$A:$A, 0))-INDEX('UA-normalized'!$E:$E, MATCH($A25, 'UA-normalized'!$A:$A, 0))), 0), 0))+(IFERROR(IF(8*INDEX('KZ-normalized'!$D:$D, MATCH($A25, 'KZ-normalized'!$A:$A, 0))-INDEX('KZ-normalized'!$E:$E, MATCH($A25, 'KZ-normalized'!$A:$A, 0))&gt;0, -(8*INDEX('KZ-normalized'!$D:$D, MATCH($A25, 'KZ-normalized'!$A:$A, 0))-INDEX('KZ-normalized'!$E:$E, MATCH($A25, 'KZ-normalized'!$A:$A, 0))), 0), 0))+(IFERROR(IF(8*INDEX('UZ-normalized'!$D:$D, MATCH($A25, 'UZ-normalized'!$A:$A, 0))-INDEX('UZ-normalized'!$E:$E, MATCH($A25, 'UZ-normalized'!$A:$A, 0))&gt;0, -(8*INDEX('UZ-normalized'!$D:$D, MATCH($A25, 'UZ-normalized'!$A:$A, 0))-INDEX('UZ-normalized'!$E:$E, MATCH($A25, 'UZ-normalized'!$A:$A, 0))), 0), 0)))</f>
        <v>0</v>
      </c>
      <c r="W25" s="6">
        <f>MIN(0, N25+(IFERROR(IF(9*INDEX('UA-normalized'!$D:$D, MATCH($A25, 'UA-normalized'!$A:$A, 0))-INDEX('UA-normalized'!$E:$E, MATCH($A25, 'UA-normalized'!$A:$A, 0))&gt;0, -(9*INDEX('UA-normalized'!$D:$D, MATCH($A25, 'UA-normalized'!$A:$A, 0))-INDEX('UA-normalized'!$E:$E, MATCH($A25, 'UA-normalized'!$A:$A, 0))), 0), 0))+(IFERROR(IF(9*INDEX('KZ-normalized'!$D:$D, MATCH($A25, 'KZ-normalized'!$A:$A, 0))-INDEX('KZ-normalized'!$E:$E, MATCH($A25, 'KZ-normalized'!$A:$A, 0))&gt;0, -(9*INDEX('KZ-normalized'!$D:$D, MATCH($A25, 'KZ-normalized'!$A:$A, 0))-INDEX('KZ-normalized'!$E:$E, MATCH($A25, 'KZ-normalized'!$A:$A, 0))), 0), 0))+(IFERROR(IF(9*INDEX('UZ-normalized'!$D:$D, MATCH($A25, 'UZ-normalized'!$A:$A, 0))-INDEX('UZ-normalized'!$E:$E, MATCH($A25, 'UZ-normalized'!$A:$A, 0))&gt;0, -(9*INDEX('UZ-normalized'!$D:$D, MATCH($A25, 'UZ-normalized'!$A:$A, 0))-INDEX('UZ-normalized'!$E:$E, MATCH($A25, 'UZ-normalized'!$A:$A, 0))), 0), 0)))</f>
        <v>0</v>
      </c>
      <c r="X25" s="6">
        <f>MIN(0, N25+(IFERROR(IF(10*INDEX('UA-normalized'!$D:$D, MATCH($A25, 'UA-normalized'!$A:$A, 0))-INDEX('UA-normalized'!$E:$E, MATCH($A25, 'UA-normalized'!$A:$A, 0))&gt;0, -(10*INDEX('UA-normalized'!$D:$D, MATCH($A25, 'UA-normalized'!$A:$A, 0))-INDEX('UA-normalized'!$E:$E, MATCH($A25, 'UA-normalized'!$A:$A, 0))), 0), 0))+(IFERROR(IF(10*INDEX('KZ-normalized'!$D:$D, MATCH($A25, 'KZ-normalized'!$A:$A, 0))-INDEX('KZ-normalized'!$E:$E, MATCH($A25, 'KZ-normalized'!$A:$A, 0))&gt;0, -(10*INDEX('KZ-normalized'!$D:$D, MATCH($A25, 'KZ-normalized'!$A:$A, 0))-INDEX('KZ-normalized'!$E:$E, MATCH($A25, 'KZ-normalized'!$A:$A, 0))), 0), 0))+(IFERROR(IF(10*INDEX('UZ-normalized'!$D:$D, MATCH($A25, 'UZ-normalized'!$A:$A, 0))-INDEX('UZ-normalized'!$E:$E, MATCH($A25, 'UZ-normalized'!$A:$A, 0))&gt;0, -(10*INDEX('UZ-normalized'!$D:$D, MATCH($A25, 'UZ-normalized'!$A:$A, 0))-INDEX('UZ-normalized'!$E:$E, MATCH($A25, 'UZ-normalized'!$A:$A, 0))), 0), 0)))</f>
        <v>0</v>
      </c>
      <c r="Y25" s="6">
        <f>MIN(0, N25+(IFERROR(IF(11*INDEX('UA-normalized'!$D:$D, MATCH($A25, 'UA-normalized'!$A:$A, 0))-INDEX('UA-normalized'!$E:$E, MATCH($A25, 'UA-normalized'!$A:$A, 0))&gt;0, -(11*INDEX('UA-normalized'!$D:$D, MATCH($A25, 'UA-normalized'!$A:$A, 0))-INDEX('UA-normalized'!$E:$E, MATCH($A25, 'UA-normalized'!$A:$A, 0))), 0), 0))+(IFERROR(IF(11*INDEX('KZ-normalized'!$D:$D, MATCH($A25, 'KZ-normalized'!$A:$A, 0))-INDEX('KZ-normalized'!$E:$E, MATCH($A25, 'KZ-normalized'!$A:$A, 0))&gt;0, -(11*INDEX('KZ-normalized'!$D:$D, MATCH($A25, 'KZ-normalized'!$A:$A, 0))-INDEX('KZ-normalized'!$E:$E, MATCH($A25, 'KZ-normalized'!$A:$A, 0))), 0), 0))+(IFERROR(IF(11*INDEX('UZ-normalized'!$D:$D, MATCH($A25, 'UZ-normalized'!$A:$A, 0))-INDEX('UZ-normalized'!$E:$E, MATCH($A25, 'UZ-normalized'!$A:$A, 0))&gt;0, -(11*INDEX('UZ-normalized'!$D:$D, MATCH($A25, 'UZ-normalized'!$A:$A, 0))-INDEX('UZ-normalized'!$E:$E, MATCH($A25, 'UZ-normalized'!$A:$A, 0))), 0), 0)))</f>
        <v>0</v>
      </c>
      <c r="Z25" s="6">
        <f>MIN(0, N25+(IFERROR(IF(12*INDEX('UA-normalized'!$D:$D, MATCH($A25, 'UA-normalized'!$A:$A, 0))-INDEX('UA-normalized'!$E:$E, MATCH($A25, 'UA-normalized'!$A:$A, 0))&gt;0, -(12*INDEX('UA-normalized'!$D:$D, MATCH($A25, 'UA-normalized'!$A:$A, 0))-INDEX('UA-normalized'!$E:$E, MATCH($A25, 'UA-normalized'!$A:$A, 0))), 0), 0))+(IFERROR(IF(12*INDEX('KZ-normalized'!$D:$D, MATCH($A25, 'KZ-normalized'!$A:$A, 0))-INDEX('KZ-normalized'!$E:$E, MATCH($A25, 'KZ-normalized'!$A:$A, 0))&gt;0, -(12*INDEX('KZ-normalized'!$D:$D, MATCH($A25, 'KZ-normalized'!$A:$A, 0))-INDEX('KZ-normalized'!$E:$E, MATCH($A25, 'KZ-normalized'!$A:$A, 0))), 0), 0))+(IFERROR(IF(12*INDEX('UZ-normalized'!$D:$D, MATCH($A25, 'UZ-normalized'!$A:$A, 0))-INDEX('UZ-normalized'!$E:$E, MATCH($A25, 'UZ-normalized'!$A:$A, 0))&gt;0, -(12*INDEX('UZ-normalized'!$D:$D, MATCH($A25, 'UZ-normalized'!$A:$A, 0))-INDEX('UZ-normalized'!$E:$E, MATCH($A25, 'UZ-normalized'!$A:$A, 0))), 0), 0)))</f>
        <v>0</v>
      </c>
      <c r="AA25" s="6">
        <f>MIN(0, N25+(IFERROR(IF(13*INDEX('UA-normalized'!$D:$D, MATCH($A25, 'UA-normalized'!$A:$A, 0))-INDEX('UA-normalized'!$E:$E, MATCH($A25, 'UA-normalized'!$A:$A, 0))&gt;0, -(13*INDEX('UA-normalized'!$D:$D, MATCH($A25, 'UA-normalized'!$A:$A, 0))-INDEX('UA-normalized'!$E:$E, MATCH($A25, 'UA-normalized'!$A:$A, 0))), 0), 0))+(IFERROR(IF(13*INDEX('KZ-normalized'!$D:$D, MATCH($A25, 'KZ-normalized'!$A:$A, 0))-INDEX('KZ-normalized'!$E:$E, MATCH($A25, 'KZ-normalized'!$A:$A, 0))&gt;0, -(13*INDEX('KZ-normalized'!$D:$D, MATCH($A25, 'KZ-normalized'!$A:$A, 0))-INDEX('KZ-normalized'!$E:$E, MATCH($A25, 'KZ-normalized'!$A:$A, 0))), 0), 0))+(IFERROR(IF(13*INDEX('UZ-normalized'!$D:$D, MATCH($A25, 'UZ-normalized'!$A:$A, 0))-INDEX('UZ-normalized'!$E:$E, MATCH($A25, 'UZ-normalized'!$A:$A, 0))&gt;0, -(13*INDEX('UZ-normalized'!$D:$D, MATCH($A25, 'UZ-normalized'!$A:$A, 0))-INDEX('UZ-normalized'!$E:$E, MATCH($A25, 'UZ-normalized'!$A:$A, 0))), 0), 0)))</f>
        <v>-2615.7333333333372</v>
      </c>
      <c r="AB25" s="6">
        <f>MIN(0, N25+(IFERROR(IF(14*INDEX('UA-normalized'!$D:$D, MATCH($A25, 'UA-normalized'!$A:$A, 0))-INDEX('UA-normalized'!$E:$E, MATCH($A25, 'UA-normalized'!$A:$A, 0))&gt;0, -(14*INDEX('UA-normalized'!$D:$D, MATCH($A25, 'UA-normalized'!$A:$A, 0))-INDEX('UA-normalized'!$E:$E, MATCH($A25, 'UA-normalized'!$A:$A, 0))), 0), 0))+(IFERROR(IF(14*INDEX('KZ-normalized'!$D:$D, MATCH($A25, 'KZ-normalized'!$A:$A, 0))-INDEX('KZ-normalized'!$E:$E, MATCH($A25, 'KZ-normalized'!$A:$A, 0))&gt;0, -(14*INDEX('KZ-normalized'!$D:$D, MATCH($A25, 'KZ-normalized'!$A:$A, 0))-INDEX('KZ-normalized'!$E:$E, MATCH($A25, 'KZ-normalized'!$A:$A, 0))), 0), 0))+(IFERROR(IF(14*INDEX('UZ-normalized'!$D:$D, MATCH($A25, 'UZ-normalized'!$A:$A, 0))-INDEX('UZ-normalized'!$E:$E, MATCH($A25, 'UZ-normalized'!$A:$A, 0))&gt;0, -(14*INDEX('UZ-normalized'!$D:$D, MATCH($A25, 'UZ-normalized'!$A:$A, 0))-INDEX('UZ-normalized'!$E:$E, MATCH($A25, 'UZ-normalized'!$A:$A, 0))), 0), 0)))</f>
        <v>-6822.5333333333328</v>
      </c>
      <c r="AC25" s="6">
        <f>MIN(0, N25+(IFERROR(IF(15*INDEX('UA-normalized'!$D:$D, MATCH($A25, 'UA-normalized'!$A:$A, 0))-INDEX('UA-normalized'!$E:$E, MATCH($A25, 'UA-normalized'!$A:$A, 0))&gt;0, -(15*INDEX('UA-normalized'!$D:$D, MATCH($A25, 'UA-normalized'!$A:$A, 0))-INDEX('UA-normalized'!$E:$E, MATCH($A25, 'UA-normalized'!$A:$A, 0))), 0), 0))+(IFERROR(IF(15*INDEX('KZ-normalized'!$D:$D, MATCH($A25, 'KZ-normalized'!$A:$A, 0))-INDEX('KZ-normalized'!$E:$E, MATCH($A25, 'KZ-normalized'!$A:$A, 0))&gt;0, -(15*INDEX('KZ-normalized'!$D:$D, MATCH($A25, 'KZ-normalized'!$A:$A, 0))-INDEX('KZ-normalized'!$E:$E, MATCH($A25, 'KZ-normalized'!$A:$A, 0))), 0), 0))+(IFERROR(IF(15*INDEX('UZ-normalized'!$D:$D, MATCH($A25, 'UZ-normalized'!$A:$A, 0))-INDEX('UZ-normalized'!$E:$E, MATCH($A25, 'UZ-normalized'!$A:$A, 0))&gt;0, -(15*INDEX('UZ-normalized'!$D:$D, MATCH($A25, 'UZ-normalized'!$A:$A, 0))-INDEX('UZ-normalized'!$E:$E, MATCH($A25, 'UZ-normalized'!$A:$A, 0))), 0), 0)))</f>
        <v>-11029.333333333336</v>
      </c>
      <c r="AD25" s="6">
        <f>MIN(0, N25+(IFERROR(IF(16*INDEX('UA-normalized'!$D:$D, MATCH($A25, 'UA-normalized'!$A:$A, 0))-INDEX('UA-normalized'!$E:$E, MATCH($A25, 'UA-normalized'!$A:$A, 0))&gt;0, -(16*INDEX('UA-normalized'!$D:$D, MATCH($A25, 'UA-normalized'!$A:$A, 0))-INDEX('UA-normalized'!$E:$E, MATCH($A25, 'UA-normalized'!$A:$A, 0))), 0), 0))+(IFERROR(IF(16*INDEX('KZ-normalized'!$D:$D, MATCH($A25, 'KZ-normalized'!$A:$A, 0))-INDEX('KZ-normalized'!$E:$E, MATCH($A25, 'KZ-normalized'!$A:$A, 0))&gt;0, -(16*INDEX('KZ-normalized'!$D:$D, MATCH($A25, 'KZ-normalized'!$A:$A, 0))-INDEX('KZ-normalized'!$E:$E, MATCH($A25, 'KZ-normalized'!$A:$A, 0))), 0), 0))+(IFERROR(IF(16*INDEX('UZ-normalized'!$D:$D, MATCH($A25, 'UZ-normalized'!$A:$A, 0))-INDEX('UZ-normalized'!$E:$E, MATCH($A25, 'UZ-normalized'!$A:$A, 0))&gt;0, -(16*INDEX('UZ-normalized'!$D:$D, MATCH($A25, 'UZ-normalized'!$A:$A, 0))-INDEX('UZ-normalized'!$E:$E, MATCH($A25, 'UZ-normalized'!$A:$A, 0))), 0), 0)))</f>
        <v>-15236.133333333339</v>
      </c>
      <c r="AE25" s="6">
        <f>MIN(0, N25+(IFERROR(IF(17*INDEX('UA-normalized'!$D:$D, MATCH($A25, 'UA-normalized'!$A:$A, 0))-INDEX('UA-normalized'!$E:$E, MATCH($A25, 'UA-normalized'!$A:$A, 0))&gt;0, -(17*INDEX('UA-normalized'!$D:$D, MATCH($A25, 'UA-normalized'!$A:$A, 0))-INDEX('UA-normalized'!$E:$E, MATCH($A25, 'UA-normalized'!$A:$A, 0))), 0), 0))+(IFERROR(IF(17*INDEX('KZ-normalized'!$D:$D, MATCH($A25, 'KZ-normalized'!$A:$A, 0))-INDEX('KZ-normalized'!$E:$E, MATCH($A25, 'KZ-normalized'!$A:$A, 0))&gt;0, -(17*INDEX('KZ-normalized'!$D:$D, MATCH($A25, 'KZ-normalized'!$A:$A, 0))-INDEX('KZ-normalized'!$E:$E, MATCH($A25, 'KZ-normalized'!$A:$A, 0))), 0), 0))+(IFERROR(IF(17*INDEX('UZ-normalized'!$D:$D, MATCH($A25, 'UZ-normalized'!$A:$A, 0))-INDEX('UZ-normalized'!$E:$E, MATCH($A25, 'UZ-normalized'!$A:$A, 0))&gt;0, -(17*INDEX('UZ-normalized'!$D:$D, MATCH($A25, 'UZ-normalized'!$A:$A, 0))-INDEX('UZ-normalized'!$E:$E, MATCH($A25, 'UZ-normalized'!$A:$A, 0))), 0), 0)))</f>
        <v>-19442.933333333334</v>
      </c>
      <c r="AF25" s="6">
        <f>MIN(0, N25+(IFERROR(IF(18*INDEX('UA-normalized'!$D:$D, MATCH($A25, 'UA-normalized'!$A:$A, 0))-INDEX('UA-normalized'!$E:$E, MATCH($A25, 'UA-normalized'!$A:$A, 0))&gt;0, -(18*INDEX('UA-normalized'!$D:$D, MATCH($A25, 'UA-normalized'!$A:$A, 0))-INDEX('UA-normalized'!$E:$E, MATCH($A25, 'UA-normalized'!$A:$A, 0))), 0), 0))+(IFERROR(IF(18*INDEX('KZ-normalized'!$D:$D, MATCH($A25, 'KZ-normalized'!$A:$A, 0))-INDEX('KZ-normalized'!$E:$E, MATCH($A25, 'KZ-normalized'!$A:$A, 0))&gt;0, -(18*INDEX('KZ-normalized'!$D:$D, MATCH($A25, 'KZ-normalized'!$A:$A, 0))-INDEX('KZ-normalized'!$E:$E, MATCH($A25, 'KZ-normalized'!$A:$A, 0))), 0), 0))+(IFERROR(IF(18*INDEX('UZ-normalized'!$D:$D, MATCH($A25, 'UZ-normalized'!$A:$A, 0))-INDEX('UZ-normalized'!$E:$E, MATCH($A25, 'UZ-normalized'!$A:$A, 0))&gt;0, -(18*INDEX('UZ-normalized'!$D:$D, MATCH($A25, 'UZ-normalized'!$A:$A, 0))-INDEX('UZ-normalized'!$E:$E, MATCH($A25, 'UZ-normalized'!$A:$A, 0))), 0), 0)))</f>
        <v>-23649.733333333337</v>
      </c>
      <c r="AG25" s="6">
        <f>MIN(0, N25+(IFERROR(IF(19*INDEX('UA-normalized'!$D:$D, MATCH($A25, 'UA-normalized'!$A:$A, 0))-INDEX('UA-normalized'!$E:$E, MATCH($A25, 'UA-normalized'!$A:$A, 0))&gt;0, -(19*INDEX('UA-normalized'!$D:$D, MATCH($A25, 'UA-normalized'!$A:$A, 0))-INDEX('UA-normalized'!$E:$E, MATCH($A25, 'UA-normalized'!$A:$A, 0))), 0), 0))+(IFERROR(IF(19*INDEX('KZ-normalized'!$D:$D, MATCH($A25, 'KZ-normalized'!$A:$A, 0))-INDEX('KZ-normalized'!$E:$E, MATCH($A25, 'KZ-normalized'!$A:$A, 0))&gt;0, -(19*INDEX('KZ-normalized'!$D:$D, MATCH($A25, 'KZ-normalized'!$A:$A, 0))-INDEX('KZ-normalized'!$E:$E, MATCH($A25, 'KZ-normalized'!$A:$A, 0))), 0), 0))+(IFERROR(IF(19*INDEX('UZ-normalized'!$D:$D, MATCH($A25, 'UZ-normalized'!$A:$A, 0))-INDEX('UZ-normalized'!$E:$E, MATCH($A25, 'UZ-normalized'!$A:$A, 0))&gt;0, -(19*INDEX('UZ-normalized'!$D:$D, MATCH($A25, 'UZ-normalized'!$A:$A, 0))-INDEX('UZ-normalized'!$E:$E, MATCH($A25, 'UZ-normalized'!$A:$A, 0))), 0), 0)))</f>
        <v>-27856.533333333333</v>
      </c>
      <c r="AH25" s="6">
        <f>MIN(0, N25+(IFERROR(IF(20*INDEX('UA-normalized'!$D:$D, MATCH($A25, 'UA-normalized'!$A:$A, 0))-INDEX('UA-normalized'!$E:$E, MATCH($A25, 'UA-normalized'!$A:$A, 0))&gt;0, -(20*INDEX('UA-normalized'!$D:$D, MATCH($A25, 'UA-normalized'!$A:$A, 0))-INDEX('UA-normalized'!$E:$E, MATCH($A25, 'UA-normalized'!$A:$A, 0))), 0), 0))+(IFERROR(IF(20*INDEX('KZ-normalized'!$D:$D, MATCH($A25, 'KZ-normalized'!$A:$A, 0))-INDEX('KZ-normalized'!$E:$E, MATCH($A25, 'KZ-normalized'!$A:$A, 0))&gt;0, -(20*INDEX('KZ-normalized'!$D:$D, MATCH($A25, 'KZ-normalized'!$A:$A, 0))-INDEX('KZ-normalized'!$E:$E, MATCH($A25, 'KZ-normalized'!$A:$A, 0))), 0), 0))+(IFERROR(IF(20*INDEX('UZ-normalized'!$D:$D, MATCH($A25, 'UZ-normalized'!$A:$A, 0))-INDEX('UZ-normalized'!$E:$E, MATCH($A25, 'UZ-normalized'!$A:$A, 0))&gt;0, -(20*INDEX('UZ-normalized'!$D:$D, MATCH($A25, 'UZ-normalized'!$A:$A, 0))-INDEX('UZ-normalized'!$E:$E, MATCH($A25, 'UZ-normalized'!$A:$A, 0))), 0), 0)))</f>
        <v>-32063.333333333336</v>
      </c>
      <c r="AI25" s="6">
        <f>MIN(0, N25+(IFERROR(IF(21*INDEX('UA-normalized'!$D:$D, MATCH($A25, 'UA-normalized'!$A:$A, 0))-INDEX('UA-normalized'!$E:$E, MATCH($A25, 'UA-normalized'!$A:$A, 0))&gt;0, -(21*INDEX('UA-normalized'!$D:$D, MATCH($A25, 'UA-normalized'!$A:$A, 0))-INDEX('UA-normalized'!$E:$E, MATCH($A25, 'UA-normalized'!$A:$A, 0))), 0), 0))+(IFERROR(IF(21*INDEX('KZ-normalized'!$D:$D, MATCH($A25, 'KZ-normalized'!$A:$A, 0))-INDEX('KZ-normalized'!$E:$E, MATCH($A25, 'KZ-normalized'!$A:$A, 0))&gt;0, -(21*INDEX('KZ-normalized'!$D:$D, MATCH($A25, 'KZ-normalized'!$A:$A, 0))-INDEX('KZ-normalized'!$E:$E, MATCH($A25, 'KZ-normalized'!$A:$A, 0))), 0), 0))+(IFERROR(IF(21*INDEX('UZ-normalized'!$D:$D, MATCH($A25, 'UZ-normalized'!$A:$A, 0))-INDEX('UZ-normalized'!$E:$E, MATCH($A25, 'UZ-normalized'!$A:$A, 0))&gt;0, -(21*INDEX('UZ-normalized'!$D:$D, MATCH($A25, 'UZ-normalized'!$A:$A, 0))-INDEX('UZ-normalized'!$E:$E, MATCH($A25, 'UZ-normalized'!$A:$A, 0))), 0), 0)))</f>
        <v>-36270.133333333339</v>
      </c>
      <c r="AJ25" s="6">
        <f>MIN(0, N25+(IFERROR(IF(22*INDEX('UA-normalized'!$D:$D, MATCH($A25, 'UA-normalized'!$A:$A, 0))-INDEX('UA-normalized'!$E:$E, MATCH($A25, 'UA-normalized'!$A:$A, 0))&gt;0, -(22*INDEX('UA-normalized'!$D:$D, MATCH($A25, 'UA-normalized'!$A:$A, 0))-INDEX('UA-normalized'!$E:$E, MATCH($A25, 'UA-normalized'!$A:$A, 0))), 0), 0))+(IFERROR(IF(22*INDEX('KZ-normalized'!$D:$D, MATCH($A25, 'KZ-normalized'!$A:$A, 0))-INDEX('KZ-normalized'!$E:$E, MATCH($A25, 'KZ-normalized'!$A:$A, 0))&gt;0, -(22*INDEX('KZ-normalized'!$D:$D, MATCH($A25, 'KZ-normalized'!$A:$A, 0))-INDEX('KZ-normalized'!$E:$E, MATCH($A25, 'KZ-normalized'!$A:$A, 0))), 0), 0))+(IFERROR(IF(22*INDEX('UZ-normalized'!$D:$D, MATCH($A25, 'UZ-normalized'!$A:$A, 0))-INDEX('UZ-normalized'!$E:$E, MATCH($A25, 'UZ-normalized'!$A:$A, 0))&gt;0, -(22*INDEX('UZ-normalized'!$D:$D, MATCH($A25, 'UZ-normalized'!$A:$A, 0))-INDEX('UZ-normalized'!$E:$E, MATCH($A25, 'UZ-normalized'!$A:$A, 0))), 0), 0)))</f>
        <v>-40476.933333333334</v>
      </c>
      <c r="AK25" s="6">
        <f>MIN(0, N25+(IFERROR(IF(23*INDEX('UA-normalized'!$D:$D, MATCH($A25, 'UA-normalized'!$A:$A, 0))-INDEX('UA-normalized'!$E:$E, MATCH($A25, 'UA-normalized'!$A:$A, 0))&gt;0, -(23*INDEX('UA-normalized'!$D:$D, MATCH($A25, 'UA-normalized'!$A:$A, 0))-INDEX('UA-normalized'!$E:$E, MATCH($A25, 'UA-normalized'!$A:$A, 0))), 0), 0))+(IFERROR(IF(23*INDEX('KZ-normalized'!$D:$D, MATCH($A25, 'KZ-normalized'!$A:$A, 0))-INDEX('KZ-normalized'!$E:$E, MATCH($A25, 'KZ-normalized'!$A:$A, 0))&gt;0, -(23*INDEX('KZ-normalized'!$D:$D, MATCH($A25, 'KZ-normalized'!$A:$A, 0))-INDEX('KZ-normalized'!$E:$E, MATCH($A25, 'KZ-normalized'!$A:$A, 0))), 0), 0))+(IFERROR(IF(23*INDEX('UZ-normalized'!$D:$D, MATCH($A25, 'UZ-normalized'!$A:$A, 0))-INDEX('UZ-normalized'!$E:$E, MATCH($A25, 'UZ-normalized'!$A:$A, 0))&gt;0, -(23*INDEX('UZ-normalized'!$D:$D, MATCH($A25, 'UZ-normalized'!$A:$A, 0))-INDEX('UZ-normalized'!$E:$E, MATCH($A25, 'UZ-normalized'!$A:$A, 0))), 0), 0)))</f>
        <v>-44683.733333333337</v>
      </c>
      <c r="AL25" s="6">
        <f>MIN(0, N25+(IFERROR(IF(24*INDEX('UA-normalized'!$D:$D, MATCH($A25, 'UA-normalized'!$A:$A, 0))-INDEX('UA-normalized'!$E:$E, MATCH($A25, 'UA-normalized'!$A:$A, 0))&gt;0, -(24*INDEX('UA-normalized'!$D:$D, MATCH($A25, 'UA-normalized'!$A:$A, 0))-INDEX('UA-normalized'!$E:$E, MATCH($A25, 'UA-normalized'!$A:$A, 0))), 0), 0))+(IFERROR(IF(24*INDEX('KZ-normalized'!$D:$D, MATCH($A25, 'KZ-normalized'!$A:$A, 0))-INDEX('KZ-normalized'!$E:$E, MATCH($A25, 'KZ-normalized'!$A:$A, 0))&gt;0, -(24*INDEX('KZ-normalized'!$D:$D, MATCH($A25, 'KZ-normalized'!$A:$A, 0))-INDEX('KZ-normalized'!$E:$E, MATCH($A25, 'KZ-normalized'!$A:$A, 0))), 0), 0))+(IFERROR(IF(24*INDEX('UZ-normalized'!$D:$D, MATCH($A25, 'UZ-normalized'!$A:$A, 0))-INDEX('UZ-normalized'!$E:$E, MATCH($A25, 'UZ-normalized'!$A:$A, 0))&gt;0, -(24*INDEX('UZ-normalized'!$D:$D, MATCH($A25, 'UZ-normalized'!$A:$A, 0))-INDEX('UZ-normalized'!$E:$E, MATCH($A25, 'UZ-normalized'!$A:$A, 0))), 0), 0)))</f>
        <v>-48890.533333333333</v>
      </c>
      <c r="AM25" s="6">
        <f>MIN(0, N25+(IFERROR(IF(25*INDEX('UA-normalized'!$D:$D, MATCH($A25, 'UA-normalized'!$A:$A, 0))-INDEX('UA-normalized'!$E:$E, MATCH($A25, 'UA-normalized'!$A:$A, 0))&gt;0, -(25*INDEX('UA-normalized'!$D:$D, MATCH($A25, 'UA-normalized'!$A:$A, 0))-INDEX('UA-normalized'!$E:$E, MATCH($A25, 'UA-normalized'!$A:$A, 0))), 0), 0))+(IFERROR(IF(25*INDEX('KZ-normalized'!$D:$D, MATCH($A25, 'KZ-normalized'!$A:$A, 0))-INDEX('KZ-normalized'!$E:$E, MATCH($A25, 'KZ-normalized'!$A:$A, 0))&gt;0, -(25*INDEX('KZ-normalized'!$D:$D, MATCH($A25, 'KZ-normalized'!$A:$A, 0))-INDEX('KZ-normalized'!$E:$E, MATCH($A25, 'KZ-normalized'!$A:$A, 0))), 0), 0))+(IFERROR(IF(25*INDEX('UZ-normalized'!$D:$D, MATCH($A25, 'UZ-normalized'!$A:$A, 0))-INDEX('UZ-normalized'!$E:$E, MATCH($A25, 'UZ-normalized'!$A:$A, 0))&gt;0, -(25*INDEX('UZ-normalized'!$D:$D, MATCH($A25, 'UZ-normalized'!$A:$A, 0))-INDEX('UZ-normalized'!$E:$E, MATCH($A25, 'UZ-normalized'!$A:$A, 0))), 0), 0)))</f>
        <v>-53097.333333333336</v>
      </c>
      <c r="AN25" s="6">
        <f>MIN(0, N25+(IFERROR(IF(26*INDEX('UA-normalized'!$D:$D, MATCH($A25, 'UA-normalized'!$A:$A, 0))-INDEX('UA-normalized'!$E:$E, MATCH($A25, 'UA-normalized'!$A:$A, 0))&gt;0, -(26*INDEX('UA-normalized'!$D:$D, MATCH($A25, 'UA-normalized'!$A:$A, 0))-INDEX('UA-normalized'!$E:$E, MATCH($A25, 'UA-normalized'!$A:$A, 0))), 0), 0))+(IFERROR(IF(26*INDEX('KZ-normalized'!$D:$D, MATCH($A25, 'KZ-normalized'!$A:$A, 0))-INDEX('KZ-normalized'!$E:$E, MATCH($A25, 'KZ-normalized'!$A:$A, 0))&gt;0, -(26*INDEX('KZ-normalized'!$D:$D, MATCH($A25, 'KZ-normalized'!$A:$A, 0))-INDEX('KZ-normalized'!$E:$E, MATCH($A25, 'KZ-normalized'!$A:$A, 0))), 0), 0))+(IFERROR(IF(26*INDEX('UZ-normalized'!$D:$D, MATCH($A25, 'UZ-normalized'!$A:$A, 0))-INDEX('UZ-normalized'!$E:$E, MATCH($A25, 'UZ-normalized'!$A:$A, 0))&gt;0, -(26*INDEX('UZ-normalized'!$D:$D, MATCH($A25, 'UZ-normalized'!$A:$A, 0))-INDEX('UZ-normalized'!$E:$E, MATCH($A25, 'UZ-normalized'!$A:$A, 0))), 0), 0)))</f>
        <v>-57304.133333333339</v>
      </c>
      <c r="AO25" s="6">
        <f>MIN(0, N25+(IFERROR(IF(27*INDEX('UA-normalized'!$D:$D, MATCH($A25, 'UA-normalized'!$A:$A, 0))-INDEX('UA-normalized'!$E:$E, MATCH($A25, 'UA-normalized'!$A:$A, 0))&gt;0, -(27*INDEX('UA-normalized'!$D:$D, MATCH($A25, 'UA-normalized'!$A:$A, 0))-INDEX('UA-normalized'!$E:$E, MATCH($A25, 'UA-normalized'!$A:$A, 0))), 0), 0))+(IFERROR(IF(27*INDEX('KZ-normalized'!$D:$D, MATCH($A25, 'KZ-normalized'!$A:$A, 0))-INDEX('KZ-normalized'!$E:$E, MATCH($A25, 'KZ-normalized'!$A:$A, 0))&gt;0, -(27*INDEX('KZ-normalized'!$D:$D, MATCH($A25, 'KZ-normalized'!$A:$A, 0))-INDEX('KZ-normalized'!$E:$E, MATCH($A25, 'KZ-normalized'!$A:$A, 0))), 0), 0))+(IFERROR(IF(27*INDEX('UZ-normalized'!$D:$D, MATCH($A25, 'UZ-normalized'!$A:$A, 0))-INDEX('UZ-normalized'!$E:$E, MATCH($A25, 'UZ-normalized'!$A:$A, 0))&gt;0, -(27*INDEX('UZ-normalized'!$D:$D, MATCH($A25, 'UZ-normalized'!$A:$A, 0))-INDEX('UZ-normalized'!$E:$E, MATCH($A25, 'UZ-normalized'!$A:$A, 0))), 0), 0)))</f>
        <v>-61510.933333333334</v>
      </c>
      <c r="AP25" s="6">
        <f>MIN(0, N25+(IFERROR(IF(28*INDEX('UA-normalized'!$D:$D, MATCH($A25, 'UA-normalized'!$A:$A, 0))-INDEX('UA-normalized'!$E:$E, MATCH($A25, 'UA-normalized'!$A:$A, 0))&gt;0, -(28*INDEX('UA-normalized'!$D:$D, MATCH($A25, 'UA-normalized'!$A:$A, 0))-INDEX('UA-normalized'!$E:$E, MATCH($A25, 'UA-normalized'!$A:$A, 0))), 0), 0))+(IFERROR(IF(28*INDEX('KZ-normalized'!$D:$D, MATCH($A25, 'KZ-normalized'!$A:$A, 0))-INDEX('KZ-normalized'!$E:$E, MATCH($A25, 'KZ-normalized'!$A:$A, 0))&gt;0, -(28*INDEX('KZ-normalized'!$D:$D, MATCH($A25, 'KZ-normalized'!$A:$A, 0))-INDEX('KZ-normalized'!$E:$E, MATCH($A25, 'KZ-normalized'!$A:$A, 0))), 0), 0))+(IFERROR(IF(28*INDEX('UZ-normalized'!$D:$D, MATCH($A25, 'UZ-normalized'!$A:$A, 0))-INDEX('UZ-normalized'!$E:$E, MATCH($A25, 'UZ-normalized'!$A:$A, 0))&gt;0, -(28*INDEX('UZ-normalized'!$D:$D, MATCH($A25, 'UZ-normalized'!$A:$A, 0))-INDEX('UZ-normalized'!$E:$E, MATCH($A25, 'UZ-normalized'!$A:$A, 0))), 0), 0)))</f>
        <v>-65717.733333333337</v>
      </c>
      <c r="AQ25" s="6">
        <f>MIN(0, N25+(IFERROR(IF(29*INDEX('UA-normalized'!$D:$D, MATCH($A25, 'UA-normalized'!$A:$A, 0))-INDEX('UA-normalized'!$E:$E, MATCH($A25, 'UA-normalized'!$A:$A, 0))&gt;0, -(29*INDEX('UA-normalized'!$D:$D, MATCH($A25, 'UA-normalized'!$A:$A, 0))-INDEX('UA-normalized'!$E:$E, MATCH($A25, 'UA-normalized'!$A:$A, 0))), 0), 0))+(IFERROR(IF(29*INDEX('KZ-normalized'!$D:$D, MATCH($A25, 'KZ-normalized'!$A:$A, 0))-INDEX('KZ-normalized'!$E:$E, MATCH($A25, 'KZ-normalized'!$A:$A, 0))&gt;0, -(29*INDEX('KZ-normalized'!$D:$D, MATCH($A25, 'KZ-normalized'!$A:$A, 0))-INDEX('KZ-normalized'!$E:$E, MATCH($A25, 'KZ-normalized'!$A:$A, 0))), 0), 0))+(IFERROR(IF(29*INDEX('UZ-normalized'!$D:$D, MATCH($A25, 'UZ-normalized'!$A:$A, 0))-INDEX('UZ-normalized'!$E:$E, MATCH($A25, 'UZ-normalized'!$A:$A, 0))&gt;0, -(29*INDEX('UZ-normalized'!$D:$D, MATCH($A25, 'UZ-normalized'!$A:$A, 0))-INDEX('UZ-normalized'!$E:$E, MATCH($A25, 'UZ-normalized'!$A:$A, 0))), 0), 0)))</f>
        <v>-69924.533333333326</v>
      </c>
      <c r="AR25" s="6">
        <f>MIN(0, N25+(IFERROR(IF(30*INDEX('UA-normalized'!$D:$D, MATCH($A25, 'UA-normalized'!$A:$A, 0))-INDEX('UA-normalized'!$E:$E, MATCH($A25, 'UA-normalized'!$A:$A, 0))&gt;0, -(30*INDEX('UA-normalized'!$D:$D, MATCH($A25, 'UA-normalized'!$A:$A, 0))-INDEX('UA-normalized'!$E:$E, MATCH($A25, 'UA-normalized'!$A:$A, 0))), 0), 0))+(IFERROR(IF(30*INDEX('KZ-normalized'!$D:$D, MATCH($A25, 'KZ-normalized'!$A:$A, 0))-INDEX('KZ-normalized'!$E:$E, MATCH($A25, 'KZ-normalized'!$A:$A, 0))&gt;0, -(30*INDEX('KZ-normalized'!$D:$D, MATCH($A25, 'KZ-normalized'!$A:$A, 0))-INDEX('KZ-normalized'!$E:$E, MATCH($A25, 'KZ-normalized'!$A:$A, 0))), 0), 0))+(IFERROR(IF(30*INDEX('UZ-normalized'!$D:$D, MATCH($A25, 'UZ-normalized'!$A:$A, 0))-INDEX('UZ-normalized'!$E:$E, MATCH($A25, 'UZ-normalized'!$A:$A, 0))&gt;0, -(30*INDEX('UZ-normalized'!$D:$D, MATCH($A25, 'UZ-normalized'!$A:$A, 0))-INDEX('UZ-normalized'!$E:$E, MATCH($A25, 'UZ-normalized'!$A:$A, 0))), 0), 0)))</f>
        <v>-74131.333333333343</v>
      </c>
    </row>
    <row r="26" spans="1:44" x14ac:dyDescent="0.25">
      <c r="A26" s="8" t="s">
        <v>100</v>
      </c>
      <c r="B26" s="8" t="s">
        <v>83</v>
      </c>
      <c r="C26" s="8" t="s">
        <v>84</v>
      </c>
      <c r="D26" s="8" t="s">
        <v>101</v>
      </c>
      <c r="E26">
        <v>666.66666666666663</v>
      </c>
      <c r="H26">
        <v>666.66666666666663</v>
      </c>
      <c r="N26">
        <f t="shared" si="0"/>
        <v>1333.3333333333333</v>
      </c>
      <c r="O26" s="6">
        <f>MIN(0, N26+(IFERROR(IF(1*INDEX('UA-normalized'!$D:$D, MATCH($A26, 'UA-normalized'!$A:$A, 0))-INDEX('UA-normalized'!$E:$E, MATCH($A26, 'UA-normalized'!$A:$A, 0))&gt;0, -(1*INDEX('UA-normalized'!$D:$D, MATCH($A26, 'UA-normalized'!$A:$A, 0))-INDEX('UA-normalized'!$E:$E, MATCH($A26, 'UA-normalized'!$A:$A, 0))), 0), 0))+(IFERROR(IF(1*INDEX('KZ-normalized'!$D:$D, MATCH($A26, 'KZ-normalized'!$A:$A, 0))-INDEX('KZ-normalized'!$E:$E, MATCH($A26, 'KZ-normalized'!$A:$A, 0))&gt;0, -(1*INDEX('KZ-normalized'!$D:$D, MATCH($A26, 'KZ-normalized'!$A:$A, 0))-INDEX('KZ-normalized'!$E:$E, MATCH($A26, 'KZ-normalized'!$A:$A, 0))), 0), 0))+(IFERROR(IF(1*INDEX('UZ-normalized'!$D:$D, MATCH($A26, 'UZ-normalized'!$A:$A, 0))-INDEX('UZ-normalized'!$E:$E, MATCH($A26, 'UZ-normalized'!$A:$A, 0))&gt;0, -(1*INDEX('UZ-normalized'!$D:$D, MATCH($A26, 'UZ-normalized'!$A:$A, 0))-INDEX('UZ-normalized'!$E:$E, MATCH($A26, 'UZ-normalized'!$A:$A, 0))), 0), 0)))</f>
        <v>0</v>
      </c>
      <c r="P26" s="6">
        <f>MIN(0, N26+(IFERROR(IF(2*INDEX('UA-normalized'!$D:$D, MATCH($A26, 'UA-normalized'!$A:$A, 0))-INDEX('UA-normalized'!$E:$E, MATCH($A26, 'UA-normalized'!$A:$A, 0))&gt;0, -(2*INDEX('UA-normalized'!$D:$D, MATCH($A26, 'UA-normalized'!$A:$A, 0))-INDEX('UA-normalized'!$E:$E, MATCH($A26, 'UA-normalized'!$A:$A, 0))), 0), 0))+(IFERROR(IF(2*INDEX('KZ-normalized'!$D:$D, MATCH($A26, 'KZ-normalized'!$A:$A, 0))-INDEX('KZ-normalized'!$E:$E, MATCH($A26, 'KZ-normalized'!$A:$A, 0))&gt;0, -(2*INDEX('KZ-normalized'!$D:$D, MATCH($A26, 'KZ-normalized'!$A:$A, 0))-INDEX('KZ-normalized'!$E:$E, MATCH($A26, 'KZ-normalized'!$A:$A, 0))), 0), 0))+(IFERROR(IF(2*INDEX('UZ-normalized'!$D:$D, MATCH($A26, 'UZ-normalized'!$A:$A, 0))-INDEX('UZ-normalized'!$E:$E, MATCH($A26, 'UZ-normalized'!$A:$A, 0))&gt;0, -(2*INDEX('UZ-normalized'!$D:$D, MATCH($A26, 'UZ-normalized'!$A:$A, 0))-INDEX('UZ-normalized'!$E:$E, MATCH($A26, 'UZ-normalized'!$A:$A, 0))), 0), 0)))</f>
        <v>0</v>
      </c>
      <c r="Q26" s="6">
        <f>MIN(0, N26+(IFERROR(IF(3*INDEX('UA-normalized'!$D:$D, MATCH($A26, 'UA-normalized'!$A:$A, 0))-INDEX('UA-normalized'!$E:$E, MATCH($A26, 'UA-normalized'!$A:$A, 0))&gt;0, -(3*INDEX('UA-normalized'!$D:$D, MATCH($A26, 'UA-normalized'!$A:$A, 0))-INDEX('UA-normalized'!$E:$E, MATCH($A26, 'UA-normalized'!$A:$A, 0))), 0), 0))+(IFERROR(IF(3*INDEX('KZ-normalized'!$D:$D, MATCH($A26, 'KZ-normalized'!$A:$A, 0))-INDEX('KZ-normalized'!$E:$E, MATCH($A26, 'KZ-normalized'!$A:$A, 0))&gt;0, -(3*INDEX('KZ-normalized'!$D:$D, MATCH($A26, 'KZ-normalized'!$A:$A, 0))-INDEX('KZ-normalized'!$E:$E, MATCH($A26, 'KZ-normalized'!$A:$A, 0))), 0), 0))+(IFERROR(IF(3*INDEX('UZ-normalized'!$D:$D, MATCH($A26, 'UZ-normalized'!$A:$A, 0))-INDEX('UZ-normalized'!$E:$E, MATCH($A26, 'UZ-normalized'!$A:$A, 0))&gt;0, -(3*INDEX('UZ-normalized'!$D:$D, MATCH($A26, 'UZ-normalized'!$A:$A, 0))-INDEX('UZ-normalized'!$E:$E, MATCH($A26, 'UZ-normalized'!$A:$A, 0))), 0), 0)))</f>
        <v>0</v>
      </c>
      <c r="R26" s="6">
        <f>MIN(0, N26+(IFERROR(IF(4*INDEX('UA-normalized'!$D:$D, MATCH($A26, 'UA-normalized'!$A:$A, 0))-INDEX('UA-normalized'!$E:$E, MATCH($A26, 'UA-normalized'!$A:$A, 0))&gt;0, -(4*INDEX('UA-normalized'!$D:$D, MATCH($A26, 'UA-normalized'!$A:$A, 0))-INDEX('UA-normalized'!$E:$E, MATCH($A26, 'UA-normalized'!$A:$A, 0))), 0), 0))+(IFERROR(IF(4*INDEX('KZ-normalized'!$D:$D, MATCH($A26, 'KZ-normalized'!$A:$A, 0))-INDEX('KZ-normalized'!$E:$E, MATCH($A26, 'KZ-normalized'!$A:$A, 0))&gt;0, -(4*INDEX('KZ-normalized'!$D:$D, MATCH($A26, 'KZ-normalized'!$A:$A, 0))-INDEX('KZ-normalized'!$E:$E, MATCH($A26, 'KZ-normalized'!$A:$A, 0))), 0), 0))+(IFERROR(IF(4*INDEX('UZ-normalized'!$D:$D, MATCH($A26, 'UZ-normalized'!$A:$A, 0))-INDEX('UZ-normalized'!$E:$E, MATCH($A26, 'UZ-normalized'!$A:$A, 0))&gt;0, -(4*INDEX('UZ-normalized'!$D:$D, MATCH($A26, 'UZ-normalized'!$A:$A, 0))-INDEX('UZ-normalized'!$E:$E, MATCH($A26, 'UZ-normalized'!$A:$A, 0))), 0), 0)))</f>
        <v>0</v>
      </c>
      <c r="S26" s="6">
        <f>MIN(0, N26+(IFERROR(IF(5*INDEX('UA-normalized'!$D:$D, MATCH($A26, 'UA-normalized'!$A:$A, 0))-INDEX('UA-normalized'!$E:$E, MATCH($A26, 'UA-normalized'!$A:$A, 0))&gt;0, -(5*INDEX('UA-normalized'!$D:$D, MATCH($A26, 'UA-normalized'!$A:$A, 0))-INDEX('UA-normalized'!$E:$E, MATCH($A26, 'UA-normalized'!$A:$A, 0))), 0), 0))+(IFERROR(IF(5*INDEX('KZ-normalized'!$D:$D, MATCH($A26, 'KZ-normalized'!$A:$A, 0))-INDEX('KZ-normalized'!$E:$E, MATCH($A26, 'KZ-normalized'!$A:$A, 0))&gt;0, -(5*INDEX('KZ-normalized'!$D:$D, MATCH($A26, 'KZ-normalized'!$A:$A, 0))-INDEX('KZ-normalized'!$E:$E, MATCH($A26, 'KZ-normalized'!$A:$A, 0))), 0), 0))+(IFERROR(IF(5*INDEX('UZ-normalized'!$D:$D, MATCH($A26, 'UZ-normalized'!$A:$A, 0))-INDEX('UZ-normalized'!$E:$E, MATCH($A26, 'UZ-normalized'!$A:$A, 0))&gt;0, -(5*INDEX('UZ-normalized'!$D:$D, MATCH($A26, 'UZ-normalized'!$A:$A, 0))-INDEX('UZ-normalized'!$E:$E, MATCH($A26, 'UZ-normalized'!$A:$A, 0))), 0), 0)))</f>
        <v>0</v>
      </c>
      <c r="T26" s="6">
        <f>MIN(0, N26+(IFERROR(IF(6*INDEX('UA-normalized'!$D:$D, MATCH($A26, 'UA-normalized'!$A:$A, 0))-INDEX('UA-normalized'!$E:$E, MATCH($A26, 'UA-normalized'!$A:$A, 0))&gt;0, -(6*INDEX('UA-normalized'!$D:$D, MATCH($A26, 'UA-normalized'!$A:$A, 0))-INDEX('UA-normalized'!$E:$E, MATCH($A26, 'UA-normalized'!$A:$A, 0))), 0), 0))+(IFERROR(IF(6*INDEX('KZ-normalized'!$D:$D, MATCH($A26, 'KZ-normalized'!$A:$A, 0))-INDEX('KZ-normalized'!$E:$E, MATCH($A26, 'KZ-normalized'!$A:$A, 0))&gt;0, -(6*INDEX('KZ-normalized'!$D:$D, MATCH($A26, 'KZ-normalized'!$A:$A, 0))-INDEX('KZ-normalized'!$E:$E, MATCH($A26, 'KZ-normalized'!$A:$A, 0))), 0), 0))+(IFERROR(IF(6*INDEX('UZ-normalized'!$D:$D, MATCH($A26, 'UZ-normalized'!$A:$A, 0))-INDEX('UZ-normalized'!$E:$E, MATCH($A26, 'UZ-normalized'!$A:$A, 0))&gt;0, -(6*INDEX('UZ-normalized'!$D:$D, MATCH($A26, 'UZ-normalized'!$A:$A, 0))-INDEX('UZ-normalized'!$E:$E, MATCH($A26, 'UZ-normalized'!$A:$A, 0))), 0), 0)))</f>
        <v>0</v>
      </c>
      <c r="U26" s="6">
        <f>MIN(0, N26+(IFERROR(IF(7*INDEX('UA-normalized'!$D:$D, MATCH($A26, 'UA-normalized'!$A:$A, 0))-INDEX('UA-normalized'!$E:$E, MATCH($A26, 'UA-normalized'!$A:$A, 0))&gt;0, -(7*INDEX('UA-normalized'!$D:$D, MATCH($A26, 'UA-normalized'!$A:$A, 0))-INDEX('UA-normalized'!$E:$E, MATCH($A26, 'UA-normalized'!$A:$A, 0))), 0), 0))+(IFERROR(IF(7*INDEX('KZ-normalized'!$D:$D, MATCH($A26, 'KZ-normalized'!$A:$A, 0))-INDEX('KZ-normalized'!$E:$E, MATCH($A26, 'KZ-normalized'!$A:$A, 0))&gt;0, -(7*INDEX('KZ-normalized'!$D:$D, MATCH($A26, 'KZ-normalized'!$A:$A, 0))-INDEX('KZ-normalized'!$E:$E, MATCH($A26, 'KZ-normalized'!$A:$A, 0))), 0), 0))+(IFERROR(IF(7*INDEX('UZ-normalized'!$D:$D, MATCH($A26, 'UZ-normalized'!$A:$A, 0))-INDEX('UZ-normalized'!$E:$E, MATCH($A26, 'UZ-normalized'!$A:$A, 0))&gt;0, -(7*INDEX('UZ-normalized'!$D:$D, MATCH($A26, 'UZ-normalized'!$A:$A, 0))-INDEX('UZ-normalized'!$E:$E, MATCH($A26, 'UZ-normalized'!$A:$A, 0))), 0), 0)))</f>
        <v>-198.66666666666674</v>
      </c>
      <c r="V26" s="6">
        <f>MIN(0, N26+(IFERROR(IF(8*INDEX('UA-normalized'!$D:$D, MATCH($A26, 'UA-normalized'!$A:$A, 0))-INDEX('UA-normalized'!$E:$E, MATCH($A26, 'UA-normalized'!$A:$A, 0))&gt;0, -(8*INDEX('UA-normalized'!$D:$D, MATCH($A26, 'UA-normalized'!$A:$A, 0))-INDEX('UA-normalized'!$E:$E, MATCH($A26, 'UA-normalized'!$A:$A, 0))), 0), 0))+(IFERROR(IF(8*INDEX('KZ-normalized'!$D:$D, MATCH($A26, 'KZ-normalized'!$A:$A, 0))-INDEX('KZ-normalized'!$E:$E, MATCH($A26, 'KZ-normalized'!$A:$A, 0))&gt;0, -(8*INDEX('KZ-normalized'!$D:$D, MATCH($A26, 'KZ-normalized'!$A:$A, 0))-INDEX('KZ-normalized'!$E:$E, MATCH($A26, 'KZ-normalized'!$A:$A, 0))), 0), 0))+(IFERROR(IF(8*INDEX('UZ-normalized'!$D:$D, MATCH($A26, 'UZ-normalized'!$A:$A, 0))-INDEX('UZ-normalized'!$E:$E, MATCH($A26, 'UZ-normalized'!$A:$A, 0))&gt;0, -(8*INDEX('UZ-normalized'!$D:$D, MATCH($A26, 'UZ-normalized'!$A:$A, 0))-INDEX('UZ-normalized'!$E:$E, MATCH($A26, 'UZ-normalized'!$A:$A, 0))), 0), 0)))</f>
        <v>-548.66666666666674</v>
      </c>
      <c r="W26" s="6">
        <f>MIN(0, N26+(IFERROR(IF(9*INDEX('UA-normalized'!$D:$D, MATCH($A26, 'UA-normalized'!$A:$A, 0))-INDEX('UA-normalized'!$E:$E, MATCH($A26, 'UA-normalized'!$A:$A, 0))&gt;0, -(9*INDEX('UA-normalized'!$D:$D, MATCH($A26, 'UA-normalized'!$A:$A, 0))-INDEX('UA-normalized'!$E:$E, MATCH($A26, 'UA-normalized'!$A:$A, 0))), 0), 0))+(IFERROR(IF(9*INDEX('KZ-normalized'!$D:$D, MATCH($A26, 'KZ-normalized'!$A:$A, 0))-INDEX('KZ-normalized'!$E:$E, MATCH($A26, 'KZ-normalized'!$A:$A, 0))&gt;0, -(9*INDEX('KZ-normalized'!$D:$D, MATCH($A26, 'KZ-normalized'!$A:$A, 0))-INDEX('KZ-normalized'!$E:$E, MATCH($A26, 'KZ-normalized'!$A:$A, 0))), 0), 0))+(IFERROR(IF(9*INDEX('UZ-normalized'!$D:$D, MATCH($A26, 'UZ-normalized'!$A:$A, 0))-INDEX('UZ-normalized'!$E:$E, MATCH($A26, 'UZ-normalized'!$A:$A, 0))&gt;0, -(9*INDEX('UZ-normalized'!$D:$D, MATCH($A26, 'UZ-normalized'!$A:$A, 0))-INDEX('UZ-normalized'!$E:$E, MATCH($A26, 'UZ-normalized'!$A:$A, 0))), 0), 0)))</f>
        <v>-898.66666666666674</v>
      </c>
      <c r="X26" s="6">
        <f>MIN(0, N26+(IFERROR(IF(10*INDEX('UA-normalized'!$D:$D, MATCH($A26, 'UA-normalized'!$A:$A, 0))-INDEX('UA-normalized'!$E:$E, MATCH($A26, 'UA-normalized'!$A:$A, 0))&gt;0, -(10*INDEX('UA-normalized'!$D:$D, MATCH($A26, 'UA-normalized'!$A:$A, 0))-INDEX('UA-normalized'!$E:$E, MATCH($A26, 'UA-normalized'!$A:$A, 0))), 0), 0))+(IFERROR(IF(10*INDEX('KZ-normalized'!$D:$D, MATCH($A26, 'KZ-normalized'!$A:$A, 0))-INDEX('KZ-normalized'!$E:$E, MATCH($A26, 'KZ-normalized'!$A:$A, 0))&gt;0, -(10*INDEX('KZ-normalized'!$D:$D, MATCH($A26, 'KZ-normalized'!$A:$A, 0))-INDEX('KZ-normalized'!$E:$E, MATCH($A26, 'KZ-normalized'!$A:$A, 0))), 0), 0))+(IFERROR(IF(10*INDEX('UZ-normalized'!$D:$D, MATCH($A26, 'UZ-normalized'!$A:$A, 0))-INDEX('UZ-normalized'!$E:$E, MATCH($A26, 'UZ-normalized'!$A:$A, 0))&gt;0, -(10*INDEX('UZ-normalized'!$D:$D, MATCH($A26, 'UZ-normalized'!$A:$A, 0))-INDEX('UZ-normalized'!$E:$E, MATCH($A26, 'UZ-normalized'!$A:$A, 0))), 0), 0)))</f>
        <v>-1249.6666666666667</v>
      </c>
      <c r="Y26" s="6">
        <f>MIN(0, N26+(IFERROR(IF(11*INDEX('UA-normalized'!$D:$D, MATCH($A26, 'UA-normalized'!$A:$A, 0))-INDEX('UA-normalized'!$E:$E, MATCH($A26, 'UA-normalized'!$A:$A, 0))&gt;0, -(11*INDEX('UA-normalized'!$D:$D, MATCH($A26, 'UA-normalized'!$A:$A, 0))-INDEX('UA-normalized'!$E:$E, MATCH($A26, 'UA-normalized'!$A:$A, 0))), 0), 0))+(IFERROR(IF(11*INDEX('KZ-normalized'!$D:$D, MATCH($A26, 'KZ-normalized'!$A:$A, 0))-INDEX('KZ-normalized'!$E:$E, MATCH($A26, 'KZ-normalized'!$A:$A, 0))&gt;0, -(11*INDEX('KZ-normalized'!$D:$D, MATCH($A26, 'KZ-normalized'!$A:$A, 0))-INDEX('KZ-normalized'!$E:$E, MATCH($A26, 'KZ-normalized'!$A:$A, 0))), 0), 0))+(IFERROR(IF(11*INDEX('UZ-normalized'!$D:$D, MATCH($A26, 'UZ-normalized'!$A:$A, 0))-INDEX('UZ-normalized'!$E:$E, MATCH($A26, 'UZ-normalized'!$A:$A, 0))&gt;0, -(11*INDEX('UZ-normalized'!$D:$D, MATCH($A26, 'UZ-normalized'!$A:$A, 0))-INDEX('UZ-normalized'!$E:$E, MATCH($A26, 'UZ-normalized'!$A:$A, 0))), 0), 0)))</f>
        <v>-1600.9666666666667</v>
      </c>
      <c r="Z26" s="6">
        <f>MIN(0, N26+(IFERROR(IF(12*INDEX('UA-normalized'!$D:$D, MATCH($A26, 'UA-normalized'!$A:$A, 0))-INDEX('UA-normalized'!$E:$E, MATCH($A26, 'UA-normalized'!$A:$A, 0))&gt;0, -(12*INDEX('UA-normalized'!$D:$D, MATCH($A26, 'UA-normalized'!$A:$A, 0))-INDEX('UA-normalized'!$E:$E, MATCH($A26, 'UA-normalized'!$A:$A, 0))), 0), 0))+(IFERROR(IF(12*INDEX('KZ-normalized'!$D:$D, MATCH($A26, 'KZ-normalized'!$A:$A, 0))-INDEX('KZ-normalized'!$E:$E, MATCH($A26, 'KZ-normalized'!$A:$A, 0))&gt;0, -(12*INDEX('KZ-normalized'!$D:$D, MATCH($A26, 'KZ-normalized'!$A:$A, 0))-INDEX('KZ-normalized'!$E:$E, MATCH($A26, 'KZ-normalized'!$A:$A, 0))), 0), 0))+(IFERROR(IF(12*INDEX('UZ-normalized'!$D:$D, MATCH($A26, 'UZ-normalized'!$A:$A, 0))-INDEX('UZ-normalized'!$E:$E, MATCH($A26, 'UZ-normalized'!$A:$A, 0))&gt;0, -(12*INDEX('UZ-normalized'!$D:$D, MATCH($A26, 'UZ-normalized'!$A:$A, 0))-INDEX('UZ-normalized'!$E:$E, MATCH($A26, 'UZ-normalized'!$A:$A, 0))), 0), 0)))</f>
        <v>-1952.2666666666667</v>
      </c>
      <c r="AA26" s="6">
        <f>MIN(0, N26+(IFERROR(IF(13*INDEX('UA-normalized'!$D:$D, MATCH($A26, 'UA-normalized'!$A:$A, 0))-INDEX('UA-normalized'!$E:$E, MATCH($A26, 'UA-normalized'!$A:$A, 0))&gt;0, -(13*INDEX('UA-normalized'!$D:$D, MATCH($A26, 'UA-normalized'!$A:$A, 0))-INDEX('UA-normalized'!$E:$E, MATCH($A26, 'UA-normalized'!$A:$A, 0))), 0), 0))+(IFERROR(IF(13*INDEX('KZ-normalized'!$D:$D, MATCH($A26, 'KZ-normalized'!$A:$A, 0))-INDEX('KZ-normalized'!$E:$E, MATCH($A26, 'KZ-normalized'!$A:$A, 0))&gt;0, -(13*INDEX('KZ-normalized'!$D:$D, MATCH($A26, 'KZ-normalized'!$A:$A, 0))-INDEX('KZ-normalized'!$E:$E, MATCH($A26, 'KZ-normalized'!$A:$A, 0))), 0), 0))+(IFERROR(IF(13*INDEX('UZ-normalized'!$D:$D, MATCH($A26, 'UZ-normalized'!$A:$A, 0))-INDEX('UZ-normalized'!$E:$E, MATCH($A26, 'UZ-normalized'!$A:$A, 0))&gt;0, -(13*INDEX('UZ-normalized'!$D:$D, MATCH($A26, 'UZ-normalized'!$A:$A, 0))-INDEX('UZ-normalized'!$E:$E, MATCH($A26, 'UZ-normalized'!$A:$A, 0))), 0), 0)))</f>
        <v>-2303.5666666666666</v>
      </c>
      <c r="AB26" s="6">
        <f>MIN(0, N26+(IFERROR(IF(14*INDEX('UA-normalized'!$D:$D, MATCH($A26, 'UA-normalized'!$A:$A, 0))-INDEX('UA-normalized'!$E:$E, MATCH($A26, 'UA-normalized'!$A:$A, 0))&gt;0, -(14*INDEX('UA-normalized'!$D:$D, MATCH($A26, 'UA-normalized'!$A:$A, 0))-INDEX('UA-normalized'!$E:$E, MATCH($A26, 'UA-normalized'!$A:$A, 0))), 0), 0))+(IFERROR(IF(14*INDEX('KZ-normalized'!$D:$D, MATCH($A26, 'KZ-normalized'!$A:$A, 0))-INDEX('KZ-normalized'!$E:$E, MATCH($A26, 'KZ-normalized'!$A:$A, 0))&gt;0, -(14*INDEX('KZ-normalized'!$D:$D, MATCH($A26, 'KZ-normalized'!$A:$A, 0))-INDEX('KZ-normalized'!$E:$E, MATCH($A26, 'KZ-normalized'!$A:$A, 0))), 0), 0))+(IFERROR(IF(14*INDEX('UZ-normalized'!$D:$D, MATCH($A26, 'UZ-normalized'!$A:$A, 0))-INDEX('UZ-normalized'!$E:$E, MATCH($A26, 'UZ-normalized'!$A:$A, 0))&gt;0, -(14*INDEX('UZ-normalized'!$D:$D, MATCH($A26, 'UZ-normalized'!$A:$A, 0))-INDEX('UZ-normalized'!$E:$E, MATCH($A26, 'UZ-normalized'!$A:$A, 0))), 0), 0)))</f>
        <v>-2654.8666666666668</v>
      </c>
      <c r="AC26" s="6">
        <f>MIN(0, N26+(IFERROR(IF(15*INDEX('UA-normalized'!$D:$D, MATCH($A26, 'UA-normalized'!$A:$A, 0))-INDEX('UA-normalized'!$E:$E, MATCH($A26, 'UA-normalized'!$A:$A, 0))&gt;0, -(15*INDEX('UA-normalized'!$D:$D, MATCH($A26, 'UA-normalized'!$A:$A, 0))-INDEX('UA-normalized'!$E:$E, MATCH($A26, 'UA-normalized'!$A:$A, 0))), 0), 0))+(IFERROR(IF(15*INDEX('KZ-normalized'!$D:$D, MATCH($A26, 'KZ-normalized'!$A:$A, 0))-INDEX('KZ-normalized'!$E:$E, MATCH($A26, 'KZ-normalized'!$A:$A, 0))&gt;0, -(15*INDEX('KZ-normalized'!$D:$D, MATCH($A26, 'KZ-normalized'!$A:$A, 0))-INDEX('KZ-normalized'!$E:$E, MATCH($A26, 'KZ-normalized'!$A:$A, 0))), 0), 0))+(IFERROR(IF(15*INDEX('UZ-normalized'!$D:$D, MATCH($A26, 'UZ-normalized'!$A:$A, 0))-INDEX('UZ-normalized'!$E:$E, MATCH($A26, 'UZ-normalized'!$A:$A, 0))&gt;0, -(15*INDEX('UZ-normalized'!$D:$D, MATCH($A26, 'UZ-normalized'!$A:$A, 0))-INDEX('UZ-normalized'!$E:$E, MATCH($A26, 'UZ-normalized'!$A:$A, 0))), 0), 0)))</f>
        <v>-3006.166666666667</v>
      </c>
      <c r="AD26" s="6">
        <f>MIN(0, N26+(IFERROR(IF(16*INDEX('UA-normalized'!$D:$D, MATCH($A26, 'UA-normalized'!$A:$A, 0))-INDEX('UA-normalized'!$E:$E, MATCH($A26, 'UA-normalized'!$A:$A, 0))&gt;0, -(16*INDEX('UA-normalized'!$D:$D, MATCH($A26, 'UA-normalized'!$A:$A, 0))-INDEX('UA-normalized'!$E:$E, MATCH($A26, 'UA-normalized'!$A:$A, 0))), 0), 0))+(IFERROR(IF(16*INDEX('KZ-normalized'!$D:$D, MATCH($A26, 'KZ-normalized'!$A:$A, 0))-INDEX('KZ-normalized'!$E:$E, MATCH($A26, 'KZ-normalized'!$A:$A, 0))&gt;0, -(16*INDEX('KZ-normalized'!$D:$D, MATCH($A26, 'KZ-normalized'!$A:$A, 0))-INDEX('KZ-normalized'!$E:$E, MATCH($A26, 'KZ-normalized'!$A:$A, 0))), 0), 0))+(IFERROR(IF(16*INDEX('UZ-normalized'!$D:$D, MATCH($A26, 'UZ-normalized'!$A:$A, 0))-INDEX('UZ-normalized'!$E:$E, MATCH($A26, 'UZ-normalized'!$A:$A, 0))&gt;0, -(16*INDEX('UZ-normalized'!$D:$D, MATCH($A26, 'UZ-normalized'!$A:$A, 0))-INDEX('UZ-normalized'!$E:$E, MATCH($A26, 'UZ-normalized'!$A:$A, 0))), 0), 0)))</f>
        <v>-3357.4666666666667</v>
      </c>
      <c r="AE26" s="6">
        <f>MIN(0, N26+(IFERROR(IF(17*INDEX('UA-normalized'!$D:$D, MATCH($A26, 'UA-normalized'!$A:$A, 0))-INDEX('UA-normalized'!$E:$E, MATCH($A26, 'UA-normalized'!$A:$A, 0))&gt;0, -(17*INDEX('UA-normalized'!$D:$D, MATCH($A26, 'UA-normalized'!$A:$A, 0))-INDEX('UA-normalized'!$E:$E, MATCH($A26, 'UA-normalized'!$A:$A, 0))), 0), 0))+(IFERROR(IF(17*INDEX('KZ-normalized'!$D:$D, MATCH($A26, 'KZ-normalized'!$A:$A, 0))-INDEX('KZ-normalized'!$E:$E, MATCH($A26, 'KZ-normalized'!$A:$A, 0))&gt;0, -(17*INDEX('KZ-normalized'!$D:$D, MATCH($A26, 'KZ-normalized'!$A:$A, 0))-INDEX('KZ-normalized'!$E:$E, MATCH($A26, 'KZ-normalized'!$A:$A, 0))), 0), 0))+(IFERROR(IF(17*INDEX('UZ-normalized'!$D:$D, MATCH($A26, 'UZ-normalized'!$A:$A, 0))-INDEX('UZ-normalized'!$E:$E, MATCH($A26, 'UZ-normalized'!$A:$A, 0))&gt;0, -(17*INDEX('UZ-normalized'!$D:$D, MATCH($A26, 'UZ-normalized'!$A:$A, 0))-INDEX('UZ-normalized'!$E:$E, MATCH($A26, 'UZ-normalized'!$A:$A, 0))), 0), 0)))</f>
        <v>-3708.7666666666664</v>
      </c>
      <c r="AF26" s="6">
        <f>MIN(0, N26+(IFERROR(IF(18*INDEX('UA-normalized'!$D:$D, MATCH($A26, 'UA-normalized'!$A:$A, 0))-INDEX('UA-normalized'!$E:$E, MATCH($A26, 'UA-normalized'!$A:$A, 0))&gt;0, -(18*INDEX('UA-normalized'!$D:$D, MATCH($A26, 'UA-normalized'!$A:$A, 0))-INDEX('UA-normalized'!$E:$E, MATCH($A26, 'UA-normalized'!$A:$A, 0))), 0), 0))+(IFERROR(IF(18*INDEX('KZ-normalized'!$D:$D, MATCH($A26, 'KZ-normalized'!$A:$A, 0))-INDEX('KZ-normalized'!$E:$E, MATCH($A26, 'KZ-normalized'!$A:$A, 0))&gt;0, -(18*INDEX('KZ-normalized'!$D:$D, MATCH($A26, 'KZ-normalized'!$A:$A, 0))-INDEX('KZ-normalized'!$E:$E, MATCH($A26, 'KZ-normalized'!$A:$A, 0))), 0), 0))+(IFERROR(IF(18*INDEX('UZ-normalized'!$D:$D, MATCH($A26, 'UZ-normalized'!$A:$A, 0))-INDEX('UZ-normalized'!$E:$E, MATCH($A26, 'UZ-normalized'!$A:$A, 0))&gt;0, -(18*INDEX('UZ-normalized'!$D:$D, MATCH($A26, 'UZ-normalized'!$A:$A, 0))-INDEX('UZ-normalized'!$E:$E, MATCH($A26, 'UZ-normalized'!$A:$A, 0))), 0), 0)))</f>
        <v>-4060.0666666666666</v>
      </c>
      <c r="AG26" s="6">
        <f>MIN(0, N26+(IFERROR(IF(19*INDEX('UA-normalized'!$D:$D, MATCH($A26, 'UA-normalized'!$A:$A, 0))-INDEX('UA-normalized'!$E:$E, MATCH($A26, 'UA-normalized'!$A:$A, 0))&gt;0, -(19*INDEX('UA-normalized'!$D:$D, MATCH($A26, 'UA-normalized'!$A:$A, 0))-INDEX('UA-normalized'!$E:$E, MATCH($A26, 'UA-normalized'!$A:$A, 0))), 0), 0))+(IFERROR(IF(19*INDEX('KZ-normalized'!$D:$D, MATCH($A26, 'KZ-normalized'!$A:$A, 0))-INDEX('KZ-normalized'!$E:$E, MATCH($A26, 'KZ-normalized'!$A:$A, 0))&gt;0, -(19*INDEX('KZ-normalized'!$D:$D, MATCH($A26, 'KZ-normalized'!$A:$A, 0))-INDEX('KZ-normalized'!$E:$E, MATCH($A26, 'KZ-normalized'!$A:$A, 0))), 0), 0))+(IFERROR(IF(19*INDEX('UZ-normalized'!$D:$D, MATCH($A26, 'UZ-normalized'!$A:$A, 0))-INDEX('UZ-normalized'!$E:$E, MATCH($A26, 'UZ-normalized'!$A:$A, 0))&gt;0, -(19*INDEX('UZ-normalized'!$D:$D, MATCH($A26, 'UZ-normalized'!$A:$A, 0))-INDEX('UZ-normalized'!$E:$E, MATCH($A26, 'UZ-normalized'!$A:$A, 0))), 0), 0)))</f>
        <v>-4411.3666666666668</v>
      </c>
      <c r="AH26" s="6">
        <f>MIN(0, N26+(IFERROR(IF(20*INDEX('UA-normalized'!$D:$D, MATCH($A26, 'UA-normalized'!$A:$A, 0))-INDEX('UA-normalized'!$E:$E, MATCH($A26, 'UA-normalized'!$A:$A, 0))&gt;0, -(20*INDEX('UA-normalized'!$D:$D, MATCH($A26, 'UA-normalized'!$A:$A, 0))-INDEX('UA-normalized'!$E:$E, MATCH($A26, 'UA-normalized'!$A:$A, 0))), 0), 0))+(IFERROR(IF(20*INDEX('KZ-normalized'!$D:$D, MATCH($A26, 'KZ-normalized'!$A:$A, 0))-INDEX('KZ-normalized'!$E:$E, MATCH($A26, 'KZ-normalized'!$A:$A, 0))&gt;0, -(20*INDEX('KZ-normalized'!$D:$D, MATCH($A26, 'KZ-normalized'!$A:$A, 0))-INDEX('KZ-normalized'!$E:$E, MATCH($A26, 'KZ-normalized'!$A:$A, 0))), 0), 0))+(IFERROR(IF(20*INDEX('UZ-normalized'!$D:$D, MATCH($A26, 'UZ-normalized'!$A:$A, 0))-INDEX('UZ-normalized'!$E:$E, MATCH($A26, 'UZ-normalized'!$A:$A, 0))&gt;0, -(20*INDEX('UZ-normalized'!$D:$D, MATCH($A26, 'UZ-normalized'!$A:$A, 0))-INDEX('UZ-normalized'!$E:$E, MATCH($A26, 'UZ-normalized'!$A:$A, 0))), 0), 0)))</f>
        <v>-4762.666666666667</v>
      </c>
      <c r="AI26" s="6">
        <f>MIN(0, N26+(IFERROR(IF(21*INDEX('UA-normalized'!$D:$D, MATCH($A26, 'UA-normalized'!$A:$A, 0))-INDEX('UA-normalized'!$E:$E, MATCH($A26, 'UA-normalized'!$A:$A, 0))&gt;0, -(21*INDEX('UA-normalized'!$D:$D, MATCH($A26, 'UA-normalized'!$A:$A, 0))-INDEX('UA-normalized'!$E:$E, MATCH($A26, 'UA-normalized'!$A:$A, 0))), 0), 0))+(IFERROR(IF(21*INDEX('KZ-normalized'!$D:$D, MATCH($A26, 'KZ-normalized'!$A:$A, 0))-INDEX('KZ-normalized'!$E:$E, MATCH($A26, 'KZ-normalized'!$A:$A, 0))&gt;0, -(21*INDEX('KZ-normalized'!$D:$D, MATCH($A26, 'KZ-normalized'!$A:$A, 0))-INDEX('KZ-normalized'!$E:$E, MATCH($A26, 'KZ-normalized'!$A:$A, 0))), 0), 0))+(IFERROR(IF(21*INDEX('UZ-normalized'!$D:$D, MATCH($A26, 'UZ-normalized'!$A:$A, 0))-INDEX('UZ-normalized'!$E:$E, MATCH($A26, 'UZ-normalized'!$A:$A, 0))&gt;0, -(21*INDEX('UZ-normalized'!$D:$D, MATCH($A26, 'UZ-normalized'!$A:$A, 0))-INDEX('UZ-normalized'!$E:$E, MATCH($A26, 'UZ-normalized'!$A:$A, 0))), 0), 0)))</f>
        <v>-5113.9666666666672</v>
      </c>
      <c r="AJ26" s="6">
        <f>MIN(0, N26+(IFERROR(IF(22*INDEX('UA-normalized'!$D:$D, MATCH($A26, 'UA-normalized'!$A:$A, 0))-INDEX('UA-normalized'!$E:$E, MATCH($A26, 'UA-normalized'!$A:$A, 0))&gt;0, -(22*INDEX('UA-normalized'!$D:$D, MATCH($A26, 'UA-normalized'!$A:$A, 0))-INDEX('UA-normalized'!$E:$E, MATCH($A26, 'UA-normalized'!$A:$A, 0))), 0), 0))+(IFERROR(IF(22*INDEX('KZ-normalized'!$D:$D, MATCH($A26, 'KZ-normalized'!$A:$A, 0))-INDEX('KZ-normalized'!$E:$E, MATCH($A26, 'KZ-normalized'!$A:$A, 0))&gt;0, -(22*INDEX('KZ-normalized'!$D:$D, MATCH($A26, 'KZ-normalized'!$A:$A, 0))-INDEX('KZ-normalized'!$E:$E, MATCH($A26, 'KZ-normalized'!$A:$A, 0))), 0), 0))+(IFERROR(IF(22*INDEX('UZ-normalized'!$D:$D, MATCH($A26, 'UZ-normalized'!$A:$A, 0))-INDEX('UZ-normalized'!$E:$E, MATCH($A26, 'UZ-normalized'!$A:$A, 0))&gt;0, -(22*INDEX('UZ-normalized'!$D:$D, MATCH($A26, 'UZ-normalized'!$A:$A, 0))-INDEX('UZ-normalized'!$E:$E, MATCH($A26, 'UZ-normalized'!$A:$A, 0))), 0), 0)))</f>
        <v>-5465.2666666666664</v>
      </c>
      <c r="AK26" s="6">
        <f>MIN(0, N26+(IFERROR(IF(23*INDEX('UA-normalized'!$D:$D, MATCH($A26, 'UA-normalized'!$A:$A, 0))-INDEX('UA-normalized'!$E:$E, MATCH($A26, 'UA-normalized'!$A:$A, 0))&gt;0, -(23*INDEX('UA-normalized'!$D:$D, MATCH($A26, 'UA-normalized'!$A:$A, 0))-INDEX('UA-normalized'!$E:$E, MATCH($A26, 'UA-normalized'!$A:$A, 0))), 0), 0))+(IFERROR(IF(23*INDEX('KZ-normalized'!$D:$D, MATCH($A26, 'KZ-normalized'!$A:$A, 0))-INDEX('KZ-normalized'!$E:$E, MATCH($A26, 'KZ-normalized'!$A:$A, 0))&gt;0, -(23*INDEX('KZ-normalized'!$D:$D, MATCH($A26, 'KZ-normalized'!$A:$A, 0))-INDEX('KZ-normalized'!$E:$E, MATCH($A26, 'KZ-normalized'!$A:$A, 0))), 0), 0))+(IFERROR(IF(23*INDEX('UZ-normalized'!$D:$D, MATCH($A26, 'UZ-normalized'!$A:$A, 0))-INDEX('UZ-normalized'!$E:$E, MATCH($A26, 'UZ-normalized'!$A:$A, 0))&gt;0, -(23*INDEX('UZ-normalized'!$D:$D, MATCH($A26, 'UZ-normalized'!$A:$A, 0))-INDEX('UZ-normalized'!$E:$E, MATCH($A26, 'UZ-normalized'!$A:$A, 0))), 0), 0)))</f>
        <v>-5816.5666666666666</v>
      </c>
      <c r="AL26" s="6">
        <f>MIN(0, N26+(IFERROR(IF(24*INDEX('UA-normalized'!$D:$D, MATCH($A26, 'UA-normalized'!$A:$A, 0))-INDEX('UA-normalized'!$E:$E, MATCH($A26, 'UA-normalized'!$A:$A, 0))&gt;0, -(24*INDEX('UA-normalized'!$D:$D, MATCH($A26, 'UA-normalized'!$A:$A, 0))-INDEX('UA-normalized'!$E:$E, MATCH($A26, 'UA-normalized'!$A:$A, 0))), 0), 0))+(IFERROR(IF(24*INDEX('KZ-normalized'!$D:$D, MATCH($A26, 'KZ-normalized'!$A:$A, 0))-INDEX('KZ-normalized'!$E:$E, MATCH($A26, 'KZ-normalized'!$A:$A, 0))&gt;0, -(24*INDEX('KZ-normalized'!$D:$D, MATCH($A26, 'KZ-normalized'!$A:$A, 0))-INDEX('KZ-normalized'!$E:$E, MATCH($A26, 'KZ-normalized'!$A:$A, 0))), 0), 0))+(IFERROR(IF(24*INDEX('UZ-normalized'!$D:$D, MATCH($A26, 'UZ-normalized'!$A:$A, 0))-INDEX('UZ-normalized'!$E:$E, MATCH($A26, 'UZ-normalized'!$A:$A, 0))&gt;0, -(24*INDEX('UZ-normalized'!$D:$D, MATCH($A26, 'UZ-normalized'!$A:$A, 0))-INDEX('UZ-normalized'!$E:$E, MATCH($A26, 'UZ-normalized'!$A:$A, 0))), 0), 0)))</f>
        <v>-6167.8666666666668</v>
      </c>
      <c r="AM26" s="6">
        <f>MIN(0, N26+(IFERROR(IF(25*INDEX('UA-normalized'!$D:$D, MATCH($A26, 'UA-normalized'!$A:$A, 0))-INDEX('UA-normalized'!$E:$E, MATCH($A26, 'UA-normalized'!$A:$A, 0))&gt;0, -(25*INDEX('UA-normalized'!$D:$D, MATCH($A26, 'UA-normalized'!$A:$A, 0))-INDEX('UA-normalized'!$E:$E, MATCH($A26, 'UA-normalized'!$A:$A, 0))), 0), 0))+(IFERROR(IF(25*INDEX('KZ-normalized'!$D:$D, MATCH($A26, 'KZ-normalized'!$A:$A, 0))-INDEX('KZ-normalized'!$E:$E, MATCH($A26, 'KZ-normalized'!$A:$A, 0))&gt;0, -(25*INDEX('KZ-normalized'!$D:$D, MATCH($A26, 'KZ-normalized'!$A:$A, 0))-INDEX('KZ-normalized'!$E:$E, MATCH($A26, 'KZ-normalized'!$A:$A, 0))), 0), 0))+(IFERROR(IF(25*INDEX('UZ-normalized'!$D:$D, MATCH($A26, 'UZ-normalized'!$A:$A, 0))-INDEX('UZ-normalized'!$E:$E, MATCH($A26, 'UZ-normalized'!$A:$A, 0))&gt;0, -(25*INDEX('UZ-normalized'!$D:$D, MATCH($A26, 'UZ-normalized'!$A:$A, 0))-INDEX('UZ-normalized'!$E:$E, MATCH($A26, 'UZ-normalized'!$A:$A, 0))), 0), 0)))</f>
        <v>-6519.166666666667</v>
      </c>
      <c r="AN26" s="6">
        <f>MIN(0, N26+(IFERROR(IF(26*INDEX('UA-normalized'!$D:$D, MATCH($A26, 'UA-normalized'!$A:$A, 0))-INDEX('UA-normalized'!$E:$E, MATCH($A26, 'UA-normalized'!$A:$A, 0))&gt;0, -(26*INDEX('UA-normalized'!$D:$D, MATCH($A26, 'UA-normalized'!$A:$A, 0))-INDEX('UA-normalized'!$E:$E, MATCH($A26, 'UA-normalized'!$A:$A, 0))), 0), 0))+(IFERROR(IF(26*INDEX('KZ-normalized'!$D:$D, MATCH($A26, 'KZ-normalized'!$A:$A, 0))-INDEX('KZ-normalized'!$E:$E, MATCH($A26, 'KZ-normalized'!$A:$A, 0))&gt;0, -(26*INDEX('KZ-normalized'!$D:$D, MATCH($A26, 'KZ-normalized'!$A:$A, 0))-INDEX('KZ-normalized'!$E:$E, MATCH($A26, 'KZ-normalized'!$A:$A, 0))), 0), 0))+(IFERROR(IF(26*INDEX('UZ-normalized'!$D:$D, MATCH($A26, 'UZ-normalized'!$A:$A, 0))-INDEX('UZ-normalized'!$E:$E, MATCH($A26, 'UZ-normalized'!$A:$A, 0))&gt;0, -(26*INDEX('UZ-normalized'!$D:$D, MATCH($A26, 'UZ-normalized'!$A:$A, 0))-INDEX('UZ-normalized'!$E:$E, MATCH($A26, 'UZ-normalized'!$A:$A, 0))), 0), 0)))</f>
        <v>-6870.4666666666672</v>
      </c>
      <c r="AO26" s="6">
        <f>MIN(0, N26+(IFERROR(IF(27*INDEX('UA-normalized'!$D:$D, MATCH($A26, 'UA-normalized'!$A:$A, 0))-INDEX('UA-normalized'!$E:$E, MATCH($A26, 'UA-normalized'!$A:$A, 0))&gt;0, -(27*INDEX('UA-normalized'!$D:$D, MATCH($A26, 'UA-normalized'!$A:$A, 0))-INDEX('UA-normalized'!$E:$E, MATCH($A26, 'UA-normalized'!$A:$A, 0))), 0), 0))+(IFERROR(IF(27*INDEX('KZ-normalized'!$D:$D, MATCH($A26, 'KZ-normalized'!$A:$A, 0))-INDEX('KZ-normalized'!$E:$E, MATCH($A26, 'KZ-normalized'!$A:$A, 0))&gt;0, -(27*INDEX('KZ-normalized'!$D:$D, MATCH($A26, 'KZ-normalized'!$A:$A, 0))-INDEX('KZ-normalized'!$E:$E, MATCH($A26, 'KZ-normalized'!$A:$A, 0))), 0), 0))+(IFERROR(IF(27*INDEX('UZ-normalized'!$D:$D, MATCH($A26, 'UZ-normalized'!$A:$A, 0))-INDEX('UZ-normalized'!$E:$E, MATCH($A26, 'UZ-normalized'!$A:$A, 0))&gt;0, -(27*INDEX('UZ-normalized'!$D:$D, MATCH($A26, 'UZ-normalized'!$A:$A, 0))-INDEX('UZ-normalized'!$E:$E, MATCH($A26, 'UZ-normalized'!$A:$A, 0))), 0), 0)))</f>
        <v>-7221.7666666666664</v>
      </c>
      <c r="AP26" s="6">
        <f>MIN(0, N26+(IFERROR(IF(28*INDEX('UA-normalized'!$D:$D, MATCH($A26, 'UA-normalized'!$A:$A, 0))-INDEX('UA-normalized'!$E:$E, MATCH($A26, 'UA-normalized'!$A:$A, 0))&gt;0, -(28*INDEX('UA-normalized'!$D:$D, MATCH($A26, 'UA-normalized'!$A:$A, 0))-INDEX('UA-normalized'!$E:$E, MATCH($A26, 'UA-normalized'!$A:$A, 0))), 0), 0))+(IFERROR(IF(28*INDEX('KZ-normalized'!$D:$D, MATCH($A26, 'KZ-normalized'!$A:$A, 0))-INDEX('KZ-normalized'!$E:$E, MATCH($A26, 'KZ-normalized'!$A:$A, 0))&gt;0, -(28*INDEX('KZ-normalized'!$D:$D, MATCH($A26, 'KZ-normalized'!$A:$A, 0))-INDEX('KZ-normalized'!$E:$E, MATCH($A26, 'KZ-normalized'!$A:$A, 0))), 0), 0))+(IFERROR(IF(28*INDEX('UZ-normalized'!$D:$D, MATCH($A26, 'UZ-normalized'!$A:$A, 0))-INDEX('UZ-normalized'!$E:$E, MATCH($A26, 'UZ-normalized'!$A:$A, 0))&gt;0, -(28*INDEX('UZ-normalized'!$D:$D, MATCH($A26, 'UZ-normalized'!$A:$A, 0))-INDEX('UZ-normalized'!$E:$E, MATCH($A26, 'UZ-normalized'!$A:$A, 0))), 0), 0)))</f>
        <v>-7573.0666666666666</v>
      </c>
      <c r="AQ26" s="6">
        <f>MIN(0, N26+(IFERROR(IF(29*INDEX('UA-normalized'!$D:$D, MATCH($A26, 'UA-normalized'!$A:$A, 0))-INDEX('UA-normalized'!$E:$E, MATCH($A26, 'UA-normalized'!$A:$A, 0))&gt;0, -(29*INDEX('UA-normalized'!$D:$D, MATCH($A26, 'UA-normalized'!$A:$A, 0))-INDEX('UA-normalized'!$E:$E, MATCH($A26, 'UA-normalized'!$A:$A, 0))), 0), 0))+(IFERROR(IF(29*INDEX('KZ-normalized'!$D:$D, MATCH($A26, 'KZ-normalized'!$A:$A, 0))-INDEX('KZ-normalized'!$E:$E, MATCH($A26, 'KZ-normalized'!$A:$A, 0))&gt;0, -(29*INDEX('KZ-normalized'!$D:$D, MATCH($A26, 'KZ-normalized'!$A:$A, 0))-INDEX('KZ-normalized'!$E:$E, MATCH($A26, 'KZ-normalized'!$A:$A, 0))), 0), 0))+(IFERROR(IF(29*INDEX('UZ-normalized'!$D:$D, MATCH($A26, 'UZ-normalized'!$A:$A, 0))-INDEX('UZ-normalized'!$E:$E, MATCH($A26, 'UZ-normalized'!$A:$A, 0))&gt;0, -(29*INDEX('UZ-normalized'!$D:$D, MATCH($A26, 'UZ-normalized'!$A:$A, 0))-INDEX('UZ-normalized'!$E:$E, MATCH($A26, 'UZ-normalized'!$A:$A, 0))), 0), 0)))</f>
        <v>-7924.3666666666668</v>
      </c>
      <c r="AR26" s="6">
        <f>MIN(0, N26+(IFERROR(IF(30*INDEX('UA-normalized'!$D:$D, MATCH($A26, 'UA-normalized'!$A:$A, 0))-INDEX('UA-normalized'!$E:$E, MATCH($A26, 'UA-normalized'!$A:$A, 0))&gt;0, -(30*INDEX('UA-normalized'!$D:$D, MATCH($A26, 'UA-normalized'!$A:$A, 0))-INDEX('UA-normalized'!$E:$E, MATCH($A26, 'UA-normalized'!$A:$A, 0))), 0), 0))+(IFERROR(IF(30*INDEX('KZ-normalized'!$D:$D, MATCH($A26, 'KZ-normalized'!$A:$A, 0))-INDEX('KZ-normalized'!$E:$E, MATCH($A26, 'KZ-normalized'!$A:$A, 0))&gt;0, -(30*INDEX('KZ-normalized'!$D:$D, MATCH($A26, 'KZ-normalized'!$A:$A, 0))-INDEX('KZ-normalized'!$E:$E, MATCH($A26, 'KZ-normalized'!$A:$A, 0))), 0), 0))+(IFERROR(IF(30*INDEX('UZ-normalized'!$D:$D, MATCH($A26, 'UZ-normalized'!$A:$A, 0))-INDEX('UZ-normalized'!$E:$E, MATCH($A26, 'UZ-normalized'!$A:$A, 0))&gt;0, -(30*INDEX('UZ-normalized'!$D:$D, MATCH($A26, 'UZ-normalized'!$A:$A, 0))-INDEX('UZ-normalized'!$E:$E, MATCH($A26, 'UZ-normalized'!$A:$A, 0))), 0), 0)))</f>
        <v>-8275.6666666666661</v>
      </c>
    </row>
    <row r="27" spans="1:44" x14ac:dyDescent="0.25">
      <c r="A27" s="8" t="s">
        <v>102</v>
      </c>
      <c r="B27" s="8" t="s">
        <v>83</v>
      </c>
      <c r="C27" s="8" t="s">
        <v>84</v>
      </c>
      <c r="D27" s="8" t="s">
        <v>103</v>
      </c>
      <c r="F27">
        <v>497</v>
      </c>
      <c r="N27">
        <f t="shared" si="0"/>
        <v>497</v>
      </c>
      <c r="O27" s="6">
        <f>MIN(0, N27+(IFERROR(IF(1*INDEX('UA-normalized'!$D:$D, MATCH($A27, 'UA-normalized'!$A:$A, 0))-INDEX('UA-normalized'!$E:$E, MATCH($A27, 'UA-normalized'!$A:$A, 0))&gt;0, -(1*INDEX('UA-normalized'!$D:$D, MATCH($A27, 'UA-normalized'!$A:$A, 0))-INDEX('UA-normalized'!$E:$E, MATCH($A27, 'UA-normalized'!$A:$A, 0))), 0), 0))+(IFERROR(IF(1*INDEX('KZ-normalized'!$D:$D, MATCH($A27, 'KZ-normalized'!$A:$A, 0))-INDEX('KZ-normalized'!$E:$E, MATCH($A27, 'KZ-normalized'!$A:$A, 0))&gt;0, -(1*INDEX('KZ-normalized'!$D:$D, MATCH($A27, 'KZ-normalized'!$A:$A, 0))-INDEX('KZ-normalized'!$E:$E, MATCH($A27, 'KZ-normalized'!$A:$A, 0))), 0), 0))+(IFERROR(IF(1*INDEX('UZ-normalized'!$D:$D, MATCH($A27, 'UZ-normalized'!$A:$A, 0))-INDEX('UZ-normalized'!$E:$E, MATCH($A27, 'UZ-normalized'!$A:$A, 0))&gt;0, -(1*INDEX('UZ-normalized'!$D:$D, MATCH($A27, 'UZ-normalized'!$A:$A, 0))-INDEX('UZ-normalized'!$E:$E, MATCH($A27, 'UZ-normalized'!$A:$A, 0))), 0), 0)))</f>
        <v>0</v>
      </c>
      <c r="P27" s="6">
        <f>MIN(0, N27+(IFERROR(IF(2*INDEX('UA-normalized'!$D:$D, MATCH($A27, 'UA-normalized'!$A:$A, 0))-INDEX('UA-normalized'!$E:$E, MATCH($A27, 'UA-normalized'!$A:$A, 0))&gt;0, -(2*INDEX('UA-normalized'!$D:$D, MATCH($A27, 'UA-normalized'!$A:$A, 0))-INDEX('UA-normalized'!$E:$E, MATCH($A27, 'UA-normalized'!$A:$A, 0))), 0), 0))+(IFERROR(IF(2*INDEX('KZ-normalized'!$D:$D, MATCH($A27, 'KZ-normalized'!$A:$A, 0))-INDEX('KZ-normalized'!$E:$E, MATCH($A27, 'KZ-normalized'!$A:$A, 0))&gt;0, -(2*INDEX('KZ-normalized'!$D:$D, MATCH($A27, 'KZ-normalized'!$A:$A, 0))-INDEX('KZ-normalized'!$E:$E, MATCH($A27, 'KZ-normalized'!$A:$A, 0))), 0), 0))+(IFERROR(IF(2*INDEX('UZ-normalized'!$D:$D, MATCH($A27, 'UZ-normalized'!$A:$A, 0))-INDEX('UZ-normalized'!$E:$E, MATCH($A27, 'UZ-normalized'!$A:$A, 0))&gt;0, -(2*INDEX('UZ-normalized'!$D:$D, MATCH($A27, 'UZ-normalized'!$A:$A, 0))-INDEX('UZ-normalized'!$E:$E, MATCH($A27, 'UZ-normalized'!$A:$A, 0))), 0), 0)))</f>
        <v>0</v>
      </c>
      <c r="Q27" s="6">
        <f>MIN(0, N27+(IFERROR(IF(3*INDEX('UA-normalized'!$D:$D, MATCH($A27, 'UA-normalized'!$A:$A, 0))-INDEX('UA-normalized'!$E:$E, MATCH($A27, 'UA-normalized'!$A:$A, 0))&gt;0, -(3*INDEX('UA-normalized'!$D:$D, MATCH($A27, 'UA-normalized'!$A:$A, 0))-INDEX('UA-normalized'!$E:$E, MATCH($A27, 'UA-normalized'!$A:$A, 0))), 0), 0))+(IFERROR(IF(3*INDEX('KZ-normalized'!$D:$D, MATCH($A27, 'KZ-normalized'!$A:$A, 0))-INDEX('KZ-normalized'!$E:$E, MATCH($A27, 'KZ-normalized'!$A:$A, 0))&gt;0, -(3*INDEX('KZ-normalized'!$D:$D, MATCH($A27, 'KZ-normalized'!$A:$A, 0))-INDEX('KZ-normalized'!$E:$E, MATCH($A27, 'KZ-normalized'!$A:$A, 0))), 0), 0))+(IFERROR(IF(3*INDEX('UZ-normalized'!$D:$D, MATCH($A27, 'UZ-normalized'!$A:$A, 0))-INDEX('UZ-normalized'!$E:$E, MATCH($A27, 'UZ-normalized'!$A:$A, 0))&gt;0, -(3*INDEX('UZ-normalized'!$D:$D, MATCH($A27, 'UZ-normalized'!$A:$A, 0))-INDEX('UZ-normalized'!$E:$E, MATCH($A27, 'UZ-normalized'!$A:$A, 0))), 0), 0)))</f>
        <v>0</v>
      </c>
      <c r="R27" s="6">
        <f>MIN(0, N27+(IFERROR(IF(4*INDEX('UA-normalized'!$D:$D, MATCH($A27, 'UA-normalized'!$A:$A, 0))-INDEX('UA-normalized'!$E:$E, MATCH($A27, 'UA-normalized'!$A:$A, 0))&gt;0, -(4*INDEX('UA-normalized'!$D:$D, MATCH($A27, 'UA-normalized'!$A:$A, 0))-INDEX('UA-normalized'!$E:$E, MATCH($A27, 'UA-normalized'!$A:$A, 0))), 0), 0))+(IFERROR(IF(4*INDEX('KZ-normalized'!$D:$D, MATCH($A27, 'KZ-normalized'!$A:$A, 0))-INDEX('KZ-normalized'!$E:$E, MATCH($A27, 'KZ-normalized'!$A:$A, 0))&gt;0, -(4*INDEX('KZ-normalized'!$D:$D, MATCH($A27, 'KZ-normalized'!$A:$A, 0))-INDEX('KZ-normalized'!$E:$E, MATCH($A27, 'KZ-normalized'!$A:$A, 0))), 0), 0))+(IFERROR(IF(4*INDEX('UZ-normalized'!$D:$D, MATCH($A27, 'UZ-normalized'!$A:$A, 0))-INDEX('UZ-normalized'!$E:$E, MATCH($A27, 'UZ-normalized'!$A:$A, 0))&gt;0, -(4*INDEX('UZ-normalized'!$D:$D, MATCH($A27, 'UZ-normalized'!$A:$A, 0))-INDEX('UZ-normalized'!$E:$E, MATCH($A27, 'UZ-normalized'!$A:$A, 0))), 0), 0)))</f>
        <v>0</v>
      </c>
      <c r="S27" s="6">
        <f>MIN(0, N27+(IFERROR(IF(5*INDEX('UA-normalized'!$D:$D, MATCH($A27, 'UA-normalized'!$A:$A, 0))-INDEX('UA-normalized'!$E:$E, MATCH($A27, 'UA-normalized'!$A:$A, 0))&gt;0, -(5*INDEX('UA-normalized'!$D:$D, MATCH($A27, 'UA-normalized'!$A:$A, 0))-INDEX('UA-normalized'!$E:$E, MATCH($A27, 'UA-normalized'!$A:$A, 0))), 0), 0))+(IFERROR(IF(5*INDEX('KZ-normalized'!$D:$D, MATCH($A27, 'KZ-normalized'!$A:$A, 0))-INDEX('KZ-normalized'!$E:$E, MATCH($A27, 'KZ-normalized'!$A:$A, 0))&gt;0, -(5*INDEX('KZ-normalized'!$D:$D, MATCH($A27, 'KZ-normalized'!$A:$A, 0))-INDEX('KZ-normalized'!$E:$E, MATCH($A27, 'KZ-normalized'!$A:$A, 0))), 0), 0))+(IFERROR(IF(5*INDEX('UZ-normalized'!$D:$D, MATCH($A27, 'UZ-normalized'!$A:$A, 0))-INDEX('UZ-normalized'!$E:$E, MATCH($A27, 'UZ-normalized'!$A:$A, 0))&gt;0, -(5*INDEX('UZ-normalized'!$D:$D, MATCH($A27, 'UZ-normalized'!$A:$A, 0))-INDEX('UZ-normalized'!$E:$E, MATCH($A27, 'UZ-normalized'!$A:$A, 0))), 0), 0)))</f>
        <v>0</v>
      </c>
      <c r="T27" s="6">
        <f>MIN(0, N27+(IFERROR(IF(6*INDEX('UA-normalized'!$D:$D, MATCH($A27, 'UA-normalized'!$A:$A, 0))-INDEX('UA-normalized'!$E:$E, MATCH($A27, 'UA-normalized'!$A:$A, 0))&gt;0, -(6*INDEX('UA-normalized'!$D:$D, MATCH($A27, 'UA-normalized'!$A:$A, 0))-INDEX('UA-normalized'!$E:$E, MATCH($A27, 'UA-normalized'!$A:$A, 0))), 0), 0))+(IFERROR(IF(6*INDEX('KZ-normalized'!$D:$D, MATCH($A27, 'KZ-normalized'!$A:$A, 0))-INDEX('KZ-normalized'!$E:$E, MATCH($A27, 'KZ-normalized'!$A:$A, 0))&gt;0, -(6*INDEX('KZ-normalized'!$D:$D, MATCH($A27, 'KZ-normalized'!$A:$A, 0))-INDEX('KZ-normalized'!$E:$E, MATCH($A27, 'KZ-normalized'!$A:$A, 0))), 0), 0))+(IFERROR(IF(6*INDEX('UZ-normalized'!$D:$D, MATCH($A27, 'UZ-normalized'!$A:$A, 0))-INDEX('UZ-normalized'!$E:$E, MATCH($A27, 'UZ-normalized'!$A:$A, 0))&gt;0, -(6*INDEX('UZ-normalized'!$D:$D, MATCH($A27, 'UZ-normalized'!$A:$A, 0))-INDEX('UZ-normalized'!$E:$E, MATCH($A27, 'UZ-normalized'!$A:$A, 0))), 0), 0)))</f>
        <v>0</v>
      </c>
      <c r="U27" s="6">
        <f>MIN(0, N27+(IFERROR(IF(7*INDEX('UA-normalized'!$D:$D, MATCH($A27, 'UA-normalized'!$A:$A, 0))-INDEX('UA-normalized'!$E:$E, MATCH($A27, 'UA-normalized'!$A:$A, 0))&gt;0, -(7*INDEX('UA-normalized'!$D:$D, MATCH($A27, 'UA-normalized'!$A:$A, 0))-INDEX('UA-normalized'!$E:$E, MATCH($A27, 'UA-normalized'!$A:$A, 0))), 0), 0))+(IFERROR(IF(7*INDEX('KZ-normalized'!$D:$D, MATCH($A27, 'KZ-normalized'!$A:$A, 0))-INDEX('KZ-normalized'!$E:$E, MATCH($A27, 'KZ-normalized'!$A:$A, 0))&gt;0, -(7*INDEX('KZ-normalized'!$D:$D, MATCH($A27, 'KZ-normalized'!$A:$A, 0))-INDEX('KZ-normalized'!$E:$E, MATCH($A27, 'KZ-normalized'!$A:$A, 0))), 0), 0))+(IFERROR(IF(7*INDEX('UZ-normalized'!$D:$D, MATCH($A27, 'UZ-normalized'!$A:$A, 0))-INDEX('UZ-normalized'!$E:$E, MATCH($A27, 'UZ-normalized'!$A:$A, 0))&gt;0, -(7*INDEX('UZ-normalized'!$D:$D, MATCH($A27, 'UZ-normalized'!$A:$A, 0))-INDEX('UZ-normalized'!$E:$E, MATCH($A27, 'UZ-normalized'!$A:$A, 0))), 0), 0)))</f>
        <v>0</v>
      </c>
      <c r="V27" s="6">
        <f>MIN(0, N27+(IFERROR(IF(8*INDEX('UA-normalized'!$D:$D, MATCH($A27, 'UA-normalized'!$A:$A, 0))-INDEX('UA-normalized'!$E:$E, MATCH($A27, 'UA-normalized'!$A:$A, 0))&gt;0, -(8*INDEX('UA-normalized'!$D:$D, MATCH($A27, 'UA-normalized'!$A:$A, 0))-INDEX('UA-normalized'!$E:$E, MATCH($A27, 'UA-normalized'!$A:$A, 0))), 0), 0))+(IFERROR(IF(8*INDEX('KZ-normalized'!$D:$D, MATCH($A27, 'KZ-normalized'!$A:$A, 0))-INDEX('KZ-normalized'!$E:$E, MATCH($A27, 'KZ-normalized'!$A:$A, 0))&gt;0, -(8*INDEX('KZ-normalized'!$D:$D, MATCH($A27, 'KZ-normalized'!$A:$A, 0))-INDEX('KZ-normalized'!$E:$E, MATCH($A27, 'KZ-normalized'!$A:$A, 0))), 0), 0))+(IFERROR(IF(8*INDEX('UZ-normalized'!$D:$D, MATCH($A27, 'UZ-normalized'!$A:$A, 0))-INDEX('UZ-normalized'!$E:$E, MATCH($A27, 'UZ-normalized'!$A:$A, 0))&gt;0, -(8*INDEX('UZ-normalized'!$D:$D, MATCH($A27, 'UZ-normalized'!$A:$A, 0))-INDEX('UZ-normalized'!$E:$E, MATCH($A27, 'UZ-normalized'!$A:$A, 0))), 0), 0)))</f>
        <v>0</v>
      </c>
      <c r="W27" s="6">
        <f>MIN(0, N27+(IFERROR(IF(9*INDEX('UA-normalized'!$D:$D, MATCH($A27, 'UA-normalized'!$A:$A, 0))-INDEX('UA-normalized'!$E:$E, MATCH($A27, 'UA-normalized'!$A:$A, 0))&gt;0, -(9*INDEX('UA-normalized'!$D:$D, MATCH($A27, 'UA-normalized'!$A:$A, 0))-INDEX('UA-normalized'!$E:$E, MATCH($A27, 'UA-normalized'!$A:$A, 0))), 0), 0))+(IFERROR(IF(9*INDEX('KZ-normalized'!$D:$D, MATCH($A27, 'KZ-normalized'!$A:$A, 0))-INDEX('KZ-normalized'!$E:$E, MATCH($A27, 'KZ-normalized'!$A:$A, 0))&gt;0, -(9*INDEX('KZ-normalized'!$D:$D, MATCH($A27, 'KZ-normalized'!$A:$A, 0))-INDEX('KZ-normalized'!$E:$E, MATCH($A27, 'KZ-normalized'!$A:$A, 0))), 0), 0))+(IFERROR(IF(9*INDEX('UZ-normalized'!$D:$D, MATCH($A27, 'UZ-normalized'!$A:$A, 0))-INDEX('UZ-normalized'!$E:$E, MATCH($A27, 'UZ-normalized'!$A:$A, 0))&gt;0, -(9*INDEX('UZ-normalized'!$D:$D, MATCH($A27, 'UZ-normalized'!$A:$A, 0))-INDEX('UZ-normalized'!$E:$E, MATCH($A27, 'UZ-normalized'!$A:$A, 0))), 0), 0)))</f>
        <v>0</v>
      </c>
      <c r="X27" s="6">
        <f>MIN(0, N27+(IFERROR(IF(10*INDEX('UA-normalized'!$D:$D, MATCH($A27, 'UA-normalized'!$A:$A, 0))-INDEX('UA-normalized'!$E:$E, MATCH($A27, 'UA-normalized'!$A:$A, 0))&gt;0, -(10*INDEX('UA-normalized'!$D:$D, MATCH($A27, 'UA-normalized'!$A:$A, 0))-INDEX('UA-normalized'!$E:$E, MATCH($A27, 'UA-normalized'!$A:$A, 0))), 0), 0))+(IFERROR(IF(10*INDEX('KZ-normalized'!$D:$D, MATCH($A27, 'KZ-normalized'!$A:$A, 0))-INDEX('KZ-normalized'!$E:$E, MATCH($A27, 'KZ-normalized'!$A:$A, 0))&gt;0, -(10*INDEX('KZ-normalized'!$D:$D, MATCH($A27, 'KZ-normalized'!$A:$A, 0))-INDEX('KZ-normalized'!$E:$E, MATCH($A27, 'KZ-normalized'!$A:$A, 0))), 0), 0))+(IFERROR(IF(10*INDEX('UZ-normalized'!$D:$D, MATCH($A27, 'UZ-normalized'!$A:$A, 0))-INDEX('UZ-normalized'!$E:$E, MATCH($A27, 'UZ-normalized'!$A:$A, 0))&gt;0, -(10*INDEX('UZ-normalized'!$D:$D, MATCH($A27, 'UZ-normalized'!$A:$A, 0))-INDEX('UZ-normalized'!$E:$E, MATCH($A27, 'UZ-normalized'!$A:$A, 0))), 0), 0)))</f>
        <v>0</v>
      </c>
      <c r="Y27" s="6">
        <f>MIN(0, N27+(IFERROR(IF(11*INDEX('UA-normalized'!$D:$D, MATCH($A27, 'UA-normalized'!$A:$A, 0))-INDEX('UA-normalized'!$E:$E, MATCH($A27, 'UA-normalized'!$A:$A, 0))&gt;0, -(11*INDEX('UA-normalized'!$D:$D, MATCH($A27, 'UA-normalized'!$A:$A, 0))-INDEX('UA-normalized'!$E:$E, MATCH($A27, 'UA-normalized'!$A:$A, 0))), 0), 0))+(IFERROR(IF(11*INDEX('KZ-normalized'!$D:$D, MATCH($A27, 'KZ-normalized'!$A:$A, 0))-INDEX('KZ-normalized'!$E:$E, MATCH($A27, 'KZ-normalized'!$A:$A, 0))&gt;0, -(11*INDEX('KZ-normalized'!$D:$D, MATCH($A27, 'KZ-normalized'!$A:$A, 0))-INDEX('KZ-normalized'!$E:$E, MATCH($A27, 'KZ-normalized'!$A:$A, 0))), 0), 0))+(IFERROR(IF(11*INDEX('UZ-normalized'!$D:$D, MATCH($A27, 'UZ-normalized'!$A:$A, 0))-INDEX('UZ-normalized'!$E:$E, MATCH($A27, 'UZ-normalized'!$A:$A, 0))&gt;0, -(11*INDEX('UZ-normalized'!$D:$D, MATCH($A27, 'UZ-normalized'!$A:$A, 0))-INDEX('UZ-normalized'!$E:$E, MATCH($A27, 'UZ-normalized'!$A:$A, 0))), 0), 0)))</f>
        <v>0</v>
      </c>
      <c r="Z27" s="6">
        <f>MIN(0, N27+(IFERROR(IF(12*INDEX('UA-normalized'!$D:$D, MATCH($A27, 'UA-normalized'!$A:$A, 0))-INDEX('UA-normalized'!$E:$E, MATCH($A27, 'UA-normalized'!$A:$A, 0))&gt;0, -(12*INDEX('UA-normalized'!$D:$D, MATCH($A27, 'UA-normalized'!$A:$A, 0))-INDEX('UA-normalized'!$E:$E, MATCH($A27, 'UA-normalized'!$A:$A, 0))), 0), 0))+(IFERROR(IF(12*INDEX('KZ-normalized'!$D:$D, MATCH($A27, 'KZ-normalized'!$A:$A, 0))-INDEX('KZ-normalized'!$E:$E, MATCH($A27, 'KZ-normalized'!$A:$A, 0))&gt;0, -(12*INDEX('KZ-normalized'!$D:$D, MATCH($A27, 'KZ-normalized'!$A:$A, 0))-INDEX('KZ-normalized'!$E:$E, MATCH($A27, 'KZ-normalized'!$A:$A, 0))), 0), 0))+(IFERROR(IF(12*INDEX('UZ-normalized'!$D:$D, MATCH($A27, 'UZ-normalized'!$A:$A, 0))-INDEX('UZ-normalized'!$E:$E, MATCH($A27, 'UZ-normalized'!$A:$A, 0))&gt;0, -(12*INDEX('UZ-normalized'!$D:$D, MATCH($A27, 'UZ-normalized'!$A:$A, 0))-INDEX('UZ-normalized'!$E:$E, MATCH($A27, 'UZ-normalized'!$A:$A, 0))), 0), 0)))</f>
        <v>0</v>
      </c>
      <c r="AA27" s="6">
        <f>MIN(0, N27+(IFERROR(IF(13*INDEX('UA-normalized'!$D:$D, MATCH($A27, 'UA-normalized'!$A:$A, 0))-INDEX('UA-normalized'!$E:$E, MATCH($A27, 'UA-normalized'!$A:$A, 0))&gt;0, -(13*INDEX('UA-normalized'!$D:$D, MATCH($A27, 'UA-normalized'!$A:$A, 0))-INDEX('UA-normalized'!$E:$E, MATCH($A27, 'UA-normalized'!$A:$A, 0))), 0), 0))+(IFERROR(IF(13*INDEX('KZ-normalized'!$D:$D, MATCH($A27, 'KZ-normalized'!$A:$A, 0))-INDEX('KZ-normalized'!$E:$E, MATCH($A27, 'KZ-normalized'!$A:$A, 0))&gt;0, -(13*INDEX('KZ-normalized'!$D:$D, MATCH($A27, 'KZ-normalized'!$A:$A, 0))-INDEX('KZ-normalized'!$E:$E, MATCH($A27, 'KZ-normalized'!$A:$A, 0))), 0), 0))+(IFERROR(IF(13*INDEX('UZ-normalized'!$D:$D, MATCH($A27, 'UZ-normalized'!$A:$A, 0))-INDEX('UZ-normalized'!$E:$E, MATCH($A27, 'UZ-normalized'!$A:$A, 0))&gt;0, -(13*INDEX('UZ-normalized'!$D:$D, MATCH($A27, 'UZ-normalized'!$A:$A, 0))-INDEX('UZ-normalized'!$E:$E, MATCH($A27, 'UZ-normalized'!$A:$A, 0))), 0), 0)))</f>
        <v>0</v>
      </c>
      <c r="AB27" s="6">
        <f>MIN(0, N27+(IFERROR(IF(14*INDEX('UA-normalized'!$D:$D, MATCH($A27, 'UA-normalized'!$A:$A, 0))-INDEX('UA-normalized'!$E:$E, MATCH($A27, 'UA-normalized'!$A:$A, 0))&gt;0, -(14*INDEX('UA-normalized'!$D:$D, MATCH($A27, 'UA-normalized'!$A:$A, 0))-INDEX('UA-normalized'!$E:$E, MATCH($A27, 'UA-normalized'!$A:$A, 0))), 0), 0))+(IFERROR(IF(14*INDEX('KZ-normalized'!$D:$D, MATCH($A27, 'KZ-normalized'!$A:$A, 0))-INDEX('KZ-normalized'!$E:$E, MATCH($A27, 'KZ-normalized'!$A:$A, 0))&gt;0, -(14*INDEX('KZ-normalized'!$D:$D, MATCH($A27, 'KZ-normalized'!$A:$A, 0))-INDEX('KZ-normalized'!$E:$E, MATCH($A27, 'KZ-normalized'!$A:$A, 0))), 0), 0))+(IFERROR(IF(14*INDEX('UZ-normalized'!$D:$D, MATCH($A27, 'UZ-normalized'!$A:$A, 0))-INDEX('UZ-normalized'!$E:$E, MATCH($A27, 'UZ-normalized'!$A:$A, 0))&gt;0, -(14*INDEX('UZ-normalized'!$D:$D, MATCH($A27, 'UZ-normalized'!$A:$A, 0))-INDEX('UZ-normalized'!$E:$E, MATCH($A27, 'UZ-normalized'!$A:$A, 0))), 0), 0)))</f>
        <v>0</v>
      </c>
      <c r="AC27" s="6">
        <f>MIN(0, N27+(IFERROR(IF(15*INDEX('UA-normalized'!$D:$D, MATCH($A27, 'UA-normalized'!$A:$A, 0))-INDEX('UA-normalized'!$E:$E, MATCH($A27, 'UA-normalized'!$A:$A, 0))&gt;0, -(15*INDEX('UA-normalized'!$D:$D, MATCH($A27, 'UA-normalized'!$A:$A, 0))-INDEX('UA-normalized'!$E:$E, MATCH($A27, 'UA-normalized'!$A:$A, 0))), 0), 0))+(IFERROR(IF(15*INDEX('KZ-normalized'!$D:$D, MATCH($A27, 'KZ-normalized'!$A:$A, 0))-INDEX('KZ-normalized'!$E:$E, MATCH($A27, 'KZ-normalized'!$A:$A, 0))&gt;0, -(15*INDEX('KZ-normalized'!$D:$D, MATCH($A27, 'KZ-normalized'!$A:$A, 0))-INDEX('KZ-normalized'!$E:$E, MATCH($A27, 'KZ-normalized'!$A:$A, 0))), 0), 0))+(IFERROR(IF(15*INDEX('UZ-normalized'!$D:$D, MATCH($A27, 'UZ-normalized'!$A:$A, 0))-INDEX('UZ-normalized'!$E:$E, MATCH($A27, 'UZ-normalized'!$A:$A, 0))&gt;0, -(15*INDEX('UZ-normalized'!$D:$D, MATCH($A27, 'UZ-normalized'!$A:$A, 0))-INDEX('UZ-normalized'!$E:$E, MATCH($A27, 'UZ-normalized'!$A:$A, 0))), 0), 0)))</f>
        <v>0</v>
      </c>
      <c r="AD27" s="6">
        <f>MIN(0, N27+(IFERROR(IF(16*INDEX('UA-normalized'!$D:$D, MATCH($A27, 'UA-normalized'!$A:$A, 0))-INDEX('UA-normalized'!$E:$E, MATCH($A27, 'UA-normalized'!$A:$A, 0))&gt;0, -(16*INDEX('UA-normalized'!$D:$D, MATCH($A27, 'UA-normalized'!$A:$A, 0))-INDEX('UA-normalized'!$E:$E, MATCH($A27, 'UA-normalized'!$A:$A, 0))), 0), 0))+(IFERROR(IF(16*INDEX('KZ-normalized'!$D:$D, MATCH($A27, 'KZ-normalized'!$A:$A, 0))-INDEX('KZ-normalized'!$E:$E, MATCH($A27, 'KZ-normalized'!$A:$A, 0))&gt;0, -(16*INDEX('KZ-normalized'!$D:$D, MATCH($A27, 'KZ-normalized'!$A:$A, 0))-INDEX('KZ-normalized'!$E:$E, MATCH($A27, 'KZ-normalized'!$A:$A, 0))), 0), 0))+(IFERROR(IF(16*INDEX('UZ-normalized'!$D:$D, MATCH($A27, 'UZ-normalized'!$A:$A, 0))-INDEX('UZ-normalized'!$E:$E, MATCH($A27, 'UZ-normalized'!$A:$A, 0))&gt;0, -(16*INDEX('UZ-normalized'!$D:$D, MATCH($A27, 'UZ-normalized'!$A:$A, 0))-INDEX('UZ-normalized'!$E:$E, MATCH($A27, 'UZ-normalized'!$A:$A, 0))), 0), 0)))</f>
        <v>0</v>
      </c>
      <c r="AE27" s="6">
        <f>MIN(0, N27+(IFERROR(IF(17*INDEX('UA-normalized'!$D:$D, MATCH($A27, 'UA-normalized'!$A:$A, 0))-INDEX('UA-normalized'!$E:$E, MATCH($A27, 'UA-normalized'!$A:$A, 0))&gt;0, -(17*INDEX('UA-normalized'!$D:$D, MATCH($A27, 'UA-normalized'!$A:$A, 0))-INDEX('UA-normalized'!$E:$E, MATCH($A27, 'UA-normalized'!$A:$A, 0))), 0), 0))+(IFERROR(IF(17*INDEX('KZ-normalized'!$D:$D, MATCH($A27, 'KZ-normalized'!$A:$A, 0))-INDEX('KZ-normalized'!$E:$E, MATCH($A27, 'KZ-normalized'!$A:$A, 0))&gt;0, -(17*INDEX('KZ-normalized'!$D:$D, MATCH($A27, 'KZ-normalized'!$A:$A, 0))-INDEX('KZ-normalized'!$E:$E, MATCH($A27, 'KZ-normalized'!$A:$A, 0))), 0), 0))+(IFERROR(IF(17*INDEX('UZ-normalized'!$D:$D, MATCH($A27, 'UZ-normalized'!$A:$A, 0))-INDEX('UZ-normalized'!$E:$E, MATCH($A27, 'UZ-normalized'!$A:$A, 0))&gt;0, -(17*INDEX('UZ-normalized'!$D:$D, MATCH($A27, 'UZ-normalized'!$A:$A, 0))-INDEX('UZ-normalized'!$E:$E, MATCH($A27, 'UZ-normalized'!$A:$A, 0))), 0), 0)))</f>
        <v>0</v>
      </c>
      <c r="AF27" s="6">
        <f>MIN(0, N27+(IFERROR(IF(18*INDEX('UA-normalized'!$D:$D, MATCH($A27, 'UA-normalized'!$A:$A, 0))-INDEX('UA-normalized'!$E:$E, MATCH($A27, 'UA-normalized'!$A:$A, 0))&gt;0, -(18*INDEX('UA-normalized'!$D:$D, MATCH($A27, 'UA-normalized'!$A:$A, 0))-INDEX('UA-normalized'!$E:$E, MATCH($A27, 'UA-normalized'!$A:$A, 0))), 0), 0))+(IFERROR(IF(18*INDEX('KZ-normalized'!$D:$D, MATCH($A27, 'KZ-normalized'!$A:$A, 0))-INDEX('KZ-normalized'!$E:$E, MATCH($A27, 'KZ-normalized'!$A:$A, 0))&gt;0, -(18*INDEX('KZ-normalized'!$D:$D, MATCH($A27, 'KZ-normalized'!$A:$A, 0))-INDEX('KZ-normalized'!$E:$E, MATCH($A27, 'KZ-normalized'!$A:$A, 0))), 0), 0))+(IFERROR(IF(18*INDEX('UZ-normalized'!$D:$D, MATCH($A27, 'UZ-normalized'!$A:$A, 0))-INDEX('UZ-normalized'!$E:$E, MATCH($A27, 'UZ-normalized'!$A:$A, 0))&gt;0, -(18*INDEX('UZ-normalized'!$D:$D, MATCH($A27, 'UZ-normalized'!$A:$A, 0))-INDEX('UZ-normalized'!$E:$E, MATCH($A27, 'UZ-normalized'!$A:$A, 0))), 0), 0)))</f>
        <v>0</v>
      </c>
      <c r="AG27" s="6">
        <f>MIN(0, N27+(IFERROR(IF(19*INDEX('UA-normalized'!$D:$D, MATCH($A27, 'UA-normalized'!$A:$A, 0))-INDEX('UA-normalized'!$E:$E, MATCH($A27, 'UA-normalized'!$A:$A, 0))&gt;0, -(19*INDEX('UA-normalized'!$D:$D, MATCH($A27, 'UA-normalized'!$A:$A, 0))-INDEX('UA-normalized'!$E:$E, MATCH($A27, 'UA-normalized'!$A:$A, 0))), 0), 0))+(IFERROR(IF(19*INDEX('KZ-normalized'!$D:$D, MATCH($A27, 'KZ-normalized'!$A:$A, 0))-INDEX('KZ-normalized'!$E:$E, MATCH($A27, 'KZ-normalized'!$A:$A, 0))&gt;0, -(19*INDEX('KZ-normalized'!$D:$D, MATCH($A27, 'KZ-normalized'!$A:$A, 0))-INDEX('KZ-normalized'!$E:$E, MATCH($A27, 'KZ-normalized'!$A:$A, 0))), 0), 0))+(IFERROR(IF(19*INDEX('UZ-normalized'!$D:$D, MATCH($A27, 'UZ-normalized'!$A:$A, 0))-INDEX('UZ-normalized'!$E:$E, MATCH($A27, 'UZ-normalized'!$A:$A, 0))&gt;0, -(19*INDEX('UZ-normalized'!$D:$D, MATCH($A27, 'UZ-normalized'!$A:$A, 0))-INDEX('UZ-normalized'!$E:$E, MATCH($A27, 'UZ-normalized'!$A:$A, 0))), 0), 0)))</f>
        <v>0</v>
      </c>
      <c r="AH27" s="6">
        <f>MIN(0, N27+(IFERROR(IF(20*INDEX('UA-normalized'!$D:$D, MATCH($A27, 'UA-normalized'!$A:$A, 0))-INDEX('UA-normalized'!$E:$E, MATCH($A27, 'UA-normalized'!$A:$A, 0))&gt;0, -(20*INDEX('UA-normalized'!$D:$D, MATCH($A27, 'UA-normalized'!$A:$A, 0))-INDEX('UA-normalized'!$E:$E, MATCH($A27, 'UA-normalized'!$A:$A, 0))), 0), 0))+(IFERROR(IF(20*INDEX('KZ-normalized'!$D:$D, MATCH($A27, 'KZ-normalized'!$A:$A, 0))-INDEX('KZ-normalized'!$E:$E, MATCH($A27, 'KZ-normalized'!$A:$A, 0))&gt;0, -(20*INDEX('KZ-normalized'!$D:$D, MATCH($A27, 'KZ-normalized'!$A:$A, 0))-INDEX('KZ-normalized'!$E:$E, MATCH($A27, 'KZ-normalized'!$A:$A, 0))), 0), 0))+(IFERROR(IF(20*INDEX('UZ-normalized'!$D:$D, MATCH($A27, 'UZ-normalized'!$A:$A, 0))-INDEX('UZ-normalized'!$E:$E, MATCH($A27, 'UZ-normalized'!$A:$A, 0))&gt;0, -(20*INDEX('UZ-normalized'!$D:$D, MATCH($A27, 'UZ-normalized'!$A:$A, 0))-INDEX('UZ-normalized'!$E:$E, MATCH($A27, 'UZ-normalized'!$A:$A, 0))), 0), 0)))</f>
        <v>0</v>
      </c>
      <c r="AI27" s="6">
        <f>MIN(0, N27+(IFERROR(IF(21*INDEX('UA-normalized'!$D:$D, MATCH($A27, 'UA-normalized'!$A:$A, 0))-INDEX('UA-normalized'!$E:$E, MATCH($A27, 'UA-normalized'!$A:$A, 0))&gt;0, -(21*INDEX('UA-normalized'!$D:$D, MATCH($A27, 'UA-normalized'!$A:$A, 0))-INDEX('UA-normalized'!$E:$E, MATCH($A27, 'UA-normalized'!$A:$A, 0))), 0), 0))+(IFERROR(IF(21*INDEX('KZ-normalized'!$D:$D, MATCH($A27, 'KZ-normalized'!$A:$A, 0))-INDEX('KZ-normalized'!$E:$E, MATCH($A27, 'KZ-normalized'!$A:$A, 0))&gt;0, -(21*INDEX('KZ-normalized'!$D:$D, MATCH($A27, 'KZ-normalized'!$A:$A, 0))-INDEX('KZ-normalized'!$E:$E, MATCH($A27, 'KZ-normalized'!$A:$A, 0))), 0), 0))+(IFERROR(IF(21*INDEX('UZ-normalized'!$D:$D, MATCH($A27, 'UZ-normalized'!$A:$A, 0))-INDEX('UZ-normalized'!$E:$E, MATCH($A27, 'UZ-normalized'!$A:$A, 0))&gt;0, -(21*INDEX('UZ-normalized'!$D:$D, MATCH($A27, 'UZ-normalized'!$A:$A, 0))-INDEX('UZ-normalized'!$E:$E, MATCH($A27, 'UZ-normalized'!$A:$A, 0))), 0), 0)))</f>
        <v>0</v>
      </c>
      <c r="AJ27" s="6">
        <f>MIN(0, N27+(IFERROR(IF(22*INDEX('UA-normalized'!$D:$D, MATCH($A27, 'UA-normalized'!$A:$A, 0))-INDEX('UA-normalized'!$E:$E, MATCH($A27, 'UA-normalized'!$A:$A, 0))&gt;0, -(22*INDEX('UA-normalized'!$D:$D, MATCH($A27, 'UA-normalized'!$A:$A, 0))-INDEX('UA-normalized'!$E:$E, MATCH($A27, 'UA-normalized'!$A:$A, 0))), 0), 0))+(IFERROR(IF(22*INDEX('KZ-normalized'!$D:$D, MATCH($A27, 'KZ-normalized'!$A:$A, 0))-INDEX('KZ-normalized'!$E:$E, MATCH($A27, 'KZ-normalized'!$A:$A, 0))&gt;0, -(22*INDEX('KZ-normalized'!$D:$D, MATCH($A27, 'KZ-normalized'!$A:$A, 0))-INDEX('KZ-normalized'!$E:$E, MATCH($A27, 'KZ-normalized'!$A:$A, 0))), 0), 0))+(IFERROR(IF(22*INDEX('UZ-normalized'!$D:$D, MATCH($A27, 'UZ-normalized'!$A:$A, 0))-INDEX('UZ-normalized'!$E:$E, MATCH($A27, 'UZ-normalized'!$A:$A, 0))&gt;0, -(22*INDEX('UZ-normalized'!$D:$D, MATCH($A27, 'UZ-normalized'!$A:$A, 0))-INDEX('UZ-normalized'!$E:$E, MATCH($A27, 'UZ-normalized'!$A:$A, 0))), 0), 0)))</f>
        <v>0</v>
      </c>
      <c r="AK27" s="6">
        <f>MIN(0, N27+(IFERROR(IF(23*INDEX('UA-normalized'!$D:$D, MATCH($A27, 'UA-normalized'!$A:$A, 0))-INDEX('UA-normalized'!$E:$E, MATCH($A27, 'UA-normalized'!$A:$A, 0))&gt;0, -(23*INDEX('UA-normalized'!$D:$D, MATCH($A27, 'UA-normalized'!$A:$A, 0))-INDEX('UA-normalized'!$E:$E, MATCH($A27, 'UA-normalized'!$A:$A, 0))), 0), 0))+(IFERROR(IF(23*INDEX('KZ-normalized'!$D:$D, MATCH($A27, 'KZ-normalized'!$A:$A, 0))-INDEX('KZ-normalized'!$E:$E, MATCH($A27, 'KZ-normalized'!$A:$A, 0))&gt;0, -(23*INDEX('KZ-normalized'!$D:$D, MATCH($A27, 'KZ-normalized'!$A:$A, 0))-INDEX('KZ-normalized'!$E:$E, MATCH($A27, 'KZ-normalized'!$A:$A, 0))), 0), 0))+(IFERROR(IF(23*INDEX('UZ-normalized'!$D:$D, MATCH($A27, 'UZ-normalized'!$A:$A, 0))-INDEX('UZ-normalized'!$E:$E, MATCH($A27, 'UZ-normalized'!$A:$A, 0))&gt;0, -(23*INDEX('UZ-normalized'!$D:$D, MATCH($A27, 'UZ-normalized'!$A:$A, 0))-INDEX('UZ-normalized'!$E:$E, MATCH($A27, 'UZ-normalized'!$A:$A, 0))), 0), 0)))</f>
        <v>0</v>
      </c>
      <c r="AL27" s="6">
        <f>MIN(0, N27+(IFERROR(IF(24*INDEX('UA-normalized'!$D:$D, MATCH($A27, 'UA-normalized'!$A:$A, 0))-INDEX('UA-normalized'!$E:$E, MATCH($A27, 'UA-normalized'!$A:$A, 0))&gt;0, -(24*INDEX('UA-normalized'!$D:$D, MATCH($A27, 'UA-normalized'!$A:$A, 0))-INDEX('UA-normalized'!$E:$E, MATCH($A27, 'UA-normalized'!$A:$A, 0))), 0), 0))+(IFERROR(IF(24*INDEX('KZ-normalized'!$D:$D, MATCH($A27, 'KZ-normalized'!$A:$A, 0))-INDEX('KZ-normalized'!$E:$E, MATCH($A27, 'KZ-normalized'!$A:$A, 0))&gt;0, -(24*INDEX('KZ-normalized'!$D:$D, MATCH($A27, 'KZ-normalized'!$A:$A, 0))-INDEX('KZ-normalized'!$E:$E, MATCH($A27, 'KZ-normalized'!$A:$A, 0))), 0), 0))+(IFERROR(IF(24*INDEX('UZ-normalized'!$D:$D, MATCH($A27, 'UZ-normalized'!$A:$A, 0))-INDEX('UZ-normalized'!$E:$E, MATCH($A27, 'UZ-normalized'!$A:$A, 0))&gt;0, -(24*INDEX('UZ-normalized'!$D:$D, MATCH($A27, 'UZ-normalized'!$A:$A, 0))-INDEX('UZ-normalized'!$E:$E, MATCH($A27, 'UZ-normalized'!$A:$A, 0))), 0), 0)))</f>
        <v>0</v>
      </c>
      <c r="AM27" s="6">
        <f>MIN(0, N27+(IFERROR(IF(25*INDEX('UA-normalized'!$D:$D, MATCH($A27, 'UA-normalized'!$A:$A, 0))-INDEX('UA-normalized'!$E:$E, MATCH($A27, 'UA-normalized'!$A:$A, 0))&gt;0, -(25*INDEX('UA-normalized'!$D:$D, MATCH($A27, 'UA-normalized'!$A:$A, 0))-INDEX('UA-normalized'!$E:$E, MATCH($A27, 'UA-normalized'!$A:$A, 0))), 0), 0))+(IFERROR(IF(25*INDEX('KZ-normalized'!$D:$D, MATCH($A27, 'KZ-normalized'!$A:$A, 0))-INDEX('KZ-normalized'!$E:$E, MATCH($A27, 'KZ-normalized'!$A:$A, 0))&gt;0, -(25*INDEX('KZ-normalized'!$D:$D, MATCH($A27, 'KZ-normalized'!$A:$A, 0))-INDEX('KZ-normalized'!$E:$E, MATCH($A27, 'KZ-normalized'!$A:$A, 0))), 0), 0))+(IFERROR(IF(25*INDEX('UZ-normalized'!$D:$D, MATCH($A27, 'UZ-normalized'!$A:$A, 0))-INDEX('UZ-normalized'!$E:$E, MATCH($A27, 'UZ-normalized'!$A:$A, 0))&gt;0, -(25*INDEX('UZ-normalized'!$D:$D, MATCH($A27, 'UZ-normalized'!$A:$A, 0))-INDEX('UZ-normalized'!$E:$E, MATCH($A27, 'UZ-normalized'!$A:$A, 0))), 0), 0)))</f>
        <v>0</v>
      </c>
      <c r="AN27" s="6">
        <f>MIN(0, N27+(IFERROR(IF(26*INDEX('UA-normalized'!$D:$D, MATCH($A27, 'UA-normalized'!$A:$A, 0))-INDEX('UA-normalized'!$E:$E, MATCH($A27, 'UA-normalized'!$A:$A, 0))&gt;0, -(26*INDEX('UA-normalized'!$D:$D, MATCH($A27, 'UA-normalized'!$A:$A, 0))-INDEX('UA-normalized'!$E:$E, MATCH($A27, 'UA-normalized'!$A:$A, 0))), 0), 0))+(IFERROR(IF(26*INDEX('KZ-normalized'!$D:$D, MATCH($A27, 'KZ-normalized'!$A:$A, 0))-INDEX('KZ-normalized'!$E:$E, MATCH($A27, 'KZ-normalized'!$A:$A, 0))&gt;0, -(26*INDEX('KZ-normalized'!$D:$D, MATCH($A27, 'KZ-normalized'!$A:$A, 0))-INDEX('KZ-normalized'!$E:$E, MATCH($A27, 'KZ-normalized'!$A:$A, 0))), 0), 0))+(IFERROR(IF(26*INDEX('UZ-normalized'!$D:$D, MATCH($A27, 'UZ-normalized'!$A:$A, 0))-INDEX('UZ-normalized'!$E:$E, MATCH($A27, 'UZ-normalized'!$A:$A, 0))&gt;0, -(26*INDEX('UZ-normalized'!$D:$D, MATCH($A27, 'UZ-normalized'!$A:$A, 0))-INDEX('UZ-normalized'!$E:$E, MATCH($A27, 'UZ-normalized'!$A:$A, 0))), 0), 0)))</f>
        <v>0</v>
      </c>
      <c r="AO27" s="6">
        <f>MIN(0, N27+(IFERROR(IF(27*INDEX('UA-normalized'!$D:$D, MATCH($A27, 'UA-normalized'!$A:$A, 0))-INDEX('UA-normalized'!$E:$E, MATCH($A27, 'UA-normalized'!$A:$A, 0))&gt;0, -(27*INDEX('UA-normalized'!$D:$D, MATCH($A27, 'UA-normalized'!$A:$A, 0))-INDEX('UA-normalized'!$E:$E, MATCH($A27, 'UA-normalized'!$A:$A, 0))), 0), 0))+(IFERROR(IF(27*INDEX('KZ-normalized'!$D:$D, MATCH($A27, 'KZ-normalized'!$A:$A, 0))-INDEX('KZ-normalized'!$E:$E, MATCH($A27, 'KZ-normalized'!$A:$A, 0))&gt;0, -(27*INDEX('KZ-normalized'!$D:$D, MATCH($A27, 'KZ-normalized'!$A:$A, 0))-INDEX('KZ-normalized'!$E:$E, MATCH($A27, 'KZ-normalized'!$A:$A, 0))), 0), 0))+(IFERROR(IF(27*INDEX('UZ-normalized'!$D:$D, MATCH($A27, 'UZ-normalized'!$A:$A, 0))-INDEX('UZ-normalized'!$E:$E, MATCH($A27, 'UZ-normalized'!$A:$A, 0))&gt;0, -(27*INDEX('UZ-normalized'!$D:$D, MATCH($A27, 'UZ-normalized'!$A:$A, 0))-INDEX('UZ-normalized'!$E:$E, MATCH($A27, 'UZ-normalized'!$A:$A, 0))), 0), 0)))</f>
        <v>0</v>
      </c>
      <c r="AP27" s="6">
        <f>MIN(0, N27+(IFERROR(IF(28*INDEX('UA-normalized'!$D:$D, MATCH($A27, 'UA-normalized'!$A:$A, 0))-INDEX('UA-normalized'!$E:$E, MATCH($A27, 'UA-normalized'!$A:$A, 0))&gt;0, -(28*INDEX('UA-normalized'!$D:$D, MATCH($A27, 'UA-normalized'!$A:$A, 0))-INDEX('UA-normalized'!$E:$E, MATCH($A27, 'UA-normalized'!$A:$A, 0))), 0), 0))+(IFERROR(IF(28*INDEX('KZ-normalized'!$D:$D, MATCH($A27, 'KZ-normalized'!$A:$A, 0))-INDEX('KZ-normalized'!$E:$E, MATCH($A27, 'KZ-normalized'!$A:$A, 0))&gt;0, -(28*INDEX('KZ-normalized'!$D:$D, MATCH($A27, 'KZ-normalized'!$A:$A, 0))-INDEX('KZ-normalized'!$E:$E, MATCH($A27, 'KZ-normalized'!$A:$A, 0))), 0), 0))+(IFERROR(IF(28*INDEX('UZ-normalized'!$D:$D, MATCH($A27, 'UZ-normalized'!$A:$A, 0))-INDEX('UZ-normalized'!$E:$E, MATCH($A27, 'UZ-normalized'!$A:$A, 0))&gt;0, -(28*INDEX('UZ-normalized'!$D:$D, MATCH($A27, 'UZ-normalized'!$A:$A, 0))-INDEX('UZ-normalized'!$E:$E, MATCH($A27, 'UZ-normalized'!$A:$A, 0))), 0), 0)))</f>
        <v>0</v>
      </c>
      <c r="AQ27" s="6">
        <f>MIN(0, N27+(IFERROR(IF(29*INDEX('UA-normalized'!$D:$D, MATCH($A27, 'UA-normalized'!$A:$A, 0))-INDEX('UA-normalized'!$E:$E, MATCH($A27, 'UA-normalized'!$A:$A, 0))&gt;0, -(29*INDEX('UA-normalized'!$D:$D, MATCH($A27, 'UA-normalized'!$A:$A, 0))-INDEX('UA-normalized'!$E:$E, MATCH($A27, 'UA-normalized'!$A:$A, 0))), 0), 0))+(IFERROR(IF(29*INDEX('KZ-normalized'!$D:$D, MATCH($A27, 'KZ-normalized'!$A:$A, 0))-INDEX('KZ-normalized'!$E:$E, MATCH($A27, 'KZ-normalized'!$A:$A, 0))&gt;0, -(29*INDEX('KZ-normalized'!$D:$D, MATCH($A27, 'KZ-normalized'!$A:$A, 0))-INDEX('KZ-normalized'!$E:$E, MATCH($A27, 'KZ-normalized'!$A:$A, 0))), 0), 0))+(IFERROR(IF(29*INDEX('UZ-normalized'!$D:$D, MATCH($A27, 'UZ-normalized'!$A:$A, 0))-INDEX('UZ-normalized'!$E:$E, MATCH($A27, 'UZ-normalized'!$A:$A, 0))&gt;0, -(29*INDEX('UZ-normalized'!$D:$D, MATCH($A27, 'UZ-normalized'!$A:$A, 0))-INDEX('UZ-normalized'!$E:$E, MATCH($A27, 'UZ-normalized'!$A:$A, 0))), 0), 0)))</f>
        <v>0</v>
      </c>
      <c r="AR27" s="6">
        <f>MIN(0, N27+(IFERROR(IF(30*INDEX('UA-normalized'!$D:$D, MATCH($A27, 'UA-normalized'!$A:$A, 0))-INDEX('UA-normalized'!$E:$E, MATCH($A27, 'UA-normalized'!$A:$A, 0))&gt;0, -(30*INDEX('UA-normalized'!$D:$D, MATCH($A27, 'UA-normalized'!$A:$A, 0))-INDEX('UA-normalized'!$E:$E, MATCH($A27, 'UA-normalized'!$A:$A, 0))), 0), 0))+(IFERROR(IF(30*INDEX('KZ-normalized'!$D:$D, MATCH($A27, 'KZ-normalized'!$A:$A, 0))-INDEX('KZ-normalized'!$E:$E, MATCH($A27, 'KZ-normalized'!$A:$A, 0))&gt;0, -(30*INDEX('KZ-normalized'!$D:$D, MATCH($A27, 'KZ-normalized'!$A:$A, 0))-INDEX('KZ-normalized'!$E:$E, MATCH($A27, 'KZ-normalized'!$A:$A, 0))), 0), 0))+(IFERROR(IF(30*INDEX('UZ-normalized'!$D:$D, MATCH($A27, 'UZ-normalized'!$A:$A, 0))-INDEX('UZ-normalized'!$E:$E, MATCH($A27, 'UZ-normalized'!$A:$A, 0))&gt;0, -(30*INDEX('UZ-normalized'!$D:$D, MATCH($A27, 'UZ-normalized'!$A:$A, 0))-INDEX('UZ-normalized'!$E:$E, MATCH($A27, 'UZ-normalized'!$A:$A, 0))), 0), 0)))</f>
        <v>0</v>
      </c>
    </row>
    <row r="28" spans="1:44" x14ac:dyDescent="0.25">
      <c r="A28" s="8" t="s">
        <v>104</v>
      </c>
      <c r="B28" s="8" t="s">
        <v>83</v>
      </c>
      <c r="C28" s="8" t="s">
        <v>105</v>
      </c>
      <c r="D28" s="8" t="s">
        <v>106</v>
      </c>
      <c r="E28">
        <v>1085</v>
      </c>
      <c r="N28">
        <f t="shared" si="0"/>
        <v>1085</v>
      </c>
      <c r="O28" s="6">
        <f>MIN(0, N28+(IFERROR(IF(1*INDEX('UA-normalized'!$D:$D, MATCH($A28, 'UA-normalized'!$A:$A, 0))-INDEX('UA-normalized'!$E:$E, MATCH($A28, 'UA-normalized'!$A:$A, 0))&gt;0, -(1*INDEX('UA-normalized'!$D:$D, MATCH($A28, 'UA-normalized'!$A:$A, 0))-INDEX('UA-normalized'!$E:$E, MATCH($A28, 'UA-normalized'!$A:$A, 0))), 0), 0))+(IFERROR(IF(1*INDEX('KZ-normalized'!$D:$D, MATCH($A28, 'KZ-normalized'!$A:$A, 0))-INDEX('KZ-normalized'!$E:$E, MATCH($A28, 'KZ-normalized'!$A:$A, 0))&gt;0, -(1*INDEX('KZ-normalized'!$D:$D, MATCH($A28, 'KZ-normalized'!$A:$A, 0))-INDEX('KZ-normalized'!$E:$E, MATCH($A28, 'KZ-normalized'!$A:$A, 0))), 0), 0))+(IFERROR(IF(1*INDEX('UZ-normalized'!$D:$D, MATCH($A28, 'UZ-normalized'!$A:$A, 0))-INDEX('UZ-normalized'!$E:$E, MATCH($A28, 'UZ-normalized'!$A:$A, 0))&gt;0, -(1*INDEX('UZ-normalized'!$D:$D, MATCH($A28, 'UZ-normalized'!$A:$A, 0))-INDEX('UZ-normalized'!$E:$E, MATCH($A28, 'UZ-normalized'!$A:$A, 0))), 0), 0)))</f>
        <v>0</v>
      </c>
      <c r="P28" s="6">
        <f>MIN(0, N28+(IFERROR(IF(2*INDEX('UA-normalized'!$D:$D, MATCH($A28, 'UA-normalized'!$A:$A, 0))-INDEX('UA-normalized'!$E:$E, MATCH($A28, 'UA-normalized'!$A:$A, 0))&gt;0, -(2*INDEX('UA-normalized'!$D:$D, MATCH($A28, 'UA-normalized'!$A:$A, 0))-INDEX('UA-normalized'!$E:$E, MATCH($A28, 'UA-normalized'!$A:$A, 0))), 0), 0))+(IFERROR(IF(2*INDEX('KZ-normalized'!$D:$D, MATCH($A28, 'KZ-normalized'!$A:$A, 0))-INDEX('KZ-normalized'!$E:$E, MATCH($A28, 'KZ-normalized'!$A:$A, 0))&gt;0, -(2*INDEX('KZ-normalized'!$D:$D, MATCH($A28, 'KZ-normalized'!$A:$A, 0))-INDEX('KZ-normalized'!$E:$E, MATCH($A28, 'KZ-normalized'!$A:$A, 0))), 0), 0))+(IFERROR(IF(2*INDEX('UZ-normalized'!$D:$D, MATCH($A28, 'UZ-normalized'!$A:$A, 0))-INDEX('UZ-normalized'!$E:$E, MATCH($A28, 'UZ-normalized'!$A:$A, 0))&gt;0, -(2*INDEX('UZ-normalized'!$D:$D, MATCH($A28, 'UZ-normalized'!$A:$A, 0))-INDEX('UZ-normalized'!$E:$E, MATCH($A28, 'UZ-normalized'!$A:$A, 0))), 0), 0)))</f>
        <v>0</v>
      </c>
      <c r="Q28" s="6">
        <f>MIN(0, N28+(IFERROR(IF(3*INDEX('UA-normalized'!$D:$D, MATCH($A28, 'UA-normalized'!$A:$A, 0))-INDEX('UA-normalized'!$E:$E, MATCH($A28, 'UA-normalized'!$A:$A, 0))&gt;0, -(3*INDEX('UA-normalized'!$D:$D, MATCH($A28, 'UA-normalized'!$A:$A, 0))-INDEX('UA-normalized'!$E:$E, MATCH($A28, 'UA-normalized'!$A:$A, 0))), 0), 0))+(IFERROR(IF(3*INDEX('KZ-normalized'!$D:$D, MATCH($A28, 'KZ-normalized'!$A:$A, 0))-INDEX('KZ-normalized'!$E:$E, MATCH($A28, 'KZ-normalized'!$A:$A, 0))&gt;0, -(3*INDEX('KZ-normalized'!$D:$D, MATCH($A28, 'KZ-normalized'!$A:$A, 0))-INDEX('KZ-normalized'!$E:$E, MATCH($A28, 'KZ-normalized'!$A:$A, 0))), 0), 0))+(IFERROR(IF(3*INDEX('UZ-normalized'!$D:$D, MATCH($A28, 'UZ-normalized'!$A:$A, 0))-INDEX('UZ-normalized'!$E:$E, MATCH($A28, 'UZ-normalized'!$A:$A, 0))&gt;0, -(3*INDEX('UZ-normalized'!$D:$D, MATCH($A28, 'UZ-normalized'!$A:$A, 0))-INDEX('UZ-normalized'!$E:$E, MATCH($A28, 'UZ-normalized'!$A:$A, 0))), 0), 0)))</f>
        <v>0</v>
      </c>
      <c r="R28" s="6">
        <f>MIN(0, N28+(IFERROR(IF(4*INDEX('UA-normalized'!$D:$D, MATCH($A28, 'UA-normalized'!$A:$A, 0))-INDEX('UA-normalized'!$E:$E, MATCH($A28, 'UA-normalized'!$A:$A, 0))&gt;0, -(4*INDEX('UA-normalized'!$D:$D, MATCH($A28, 'UA-normalized'!$A:$A, 0))-INDEX('UA-normalized'!$E:$E, MATCH($A28, 'UA-normalized'!$A:$A, 0))), 0), 0))+(IFERROR(IF(4*INDEX('KZ-normalized'!$D:$D, MATCH($A28, 'KZ-normalized'!$A:$A, 0))-INDEX('KZ-normalized'!$E:$E, MATCH($A28, 'KZ-normalized'!$A:$A, 0))&gt;0, -(4*INDEX('KZ-normalized'!$D:$D, MATCH($A28, 'KZ-normalized'!$A:$A, 0))-INDEX('KZ-normalized'!$E:$E, MATCH($A28, 'KZ-normalized'!$A:$A, 0))), 0), 0))+(IFERROR(IF(4*INDEX('UZ-normalized'!$D:$D, MATCH($A28, 'UZ-normalized'!$A:$A, 0))-INDEX('UZ-normalized'!$E:$E, MATCH($A28, 'UZ-normalized'!$A:$A, 0))&gt;0, -(4*INDEX('UZ-normalized'!$D:$D, MATCH($A28, 'UZ-normalized'!$A:$A, 0))-INDEX('UZ-normalized'!$E:$E, MATCH($A28, 'UZ-normalized'!$A:$A, 0))), 0), 0)))</f>
        <v>0</v>
      </c>
      <c r="S28" s="6">
        <f>MIN(0, N28+(IFERROR(IF(5*INDEX('UA-normalized'!$D:$D, MATCH($A28, 'UA-normalized'!$A:$A, 0))-INDEX('UA-normalized'!$E:$E, MATCH($A28, 'UA-normalized'!$A:$A, 0))&gt;0, -(5*INDEX('UA-normalized'!$D:$D, MATCH($A28, 'UA-normalized'!$A:$A, 0))-INDEX('UA-normalized'!$E:$E, MATCH($A28, 'UA-normalized'!$A:$A, 0))), 0), 0))+(IFERROR(IF(5*INDEX('KZ-normalized'!$D:$D, MATCH($A28, 'KZ-normalized'!$A:$A, 0))-INDEX('KZ-normalized'!$E:$E, MATCH($A28, 'KZ-normalized'!$A:$A, 0))&gt;0, -(5*INDEX('KZ-normalized'!$D:$D, MATCH($A28, 'KZ-normalized'!$A:$A, 0))-INDEX('KZ-normalized'!$E:$E, MATCH($A28, 'KZ-normalized'!$A:$A, 0))), 0), 0))+(IFERROR(IF(5*INDEX('UZ-normalized'!$D:$D, MATCH($A28, 'UZ-normalized'!$A:$A, 0))-INDEX('UZ-normalized'!$E:$E, MATCH($A28, 'UZ-normalized'!$A:$A, 0))&gt;0, -(5*INDEX('UZ-normalized'!$D:$D, MATCH($A28, 'UZ-normalized'!$A:$A, 0))-INDEX('UZ-normalized'!$E:$E, MATCH($A28, 'UZ-normalized'!$A:$A, 0))), 0), 0)))</f>
        <v>0</v>
      </c>
      <c r="T28" s="6">
        <f>MIN(0, N28+(IFERROR(IF(6*INDEX('UA-normalized'!$D:$D, MATCH($A28, 'UA-normalized'!$A:$A, 0))-INDEX('UA-normalized'!$E:$E, MATCH($A28, 'UA-normalized'!$A:$A, 0))&gt;0, -(6*INDEX('UA-normalized'!$D:$D, MATCH($A28, 'UA-normalized'!$A:$A, 0))-INDEX('UA-normalized'!$E:$E, MATCH($A28, 'UA-normalized'!$A:$A, 0))), 0), 0))+(IFERROR(IF(6*INDEX('KZ-normalized'!$D:$D, MATCH($A28, 'KZ-normalized'!$A:$A, 0))-INDEX('KZ-normalized'!$E:$E, MATCH($A28, 'KZ-normalized'!$A:$A, 0))&gt;0, -(6*INDEX('KZ-normalized'!$D:$D, MATCH($A28, 'KZ-normalized'!$A:$A, 0))-INDEX('KZ-normalized'!$E:$E, MATCH($A28, 'KZ-normalized'!$A:$A, 0))), 0), 0))+(IFERROR(IF(6*INDEX('UZ-normalized'!$D:$D, MATCH($A28, 'UZ-normalized'!$A:$A, 0))-INDEX('UZ-normalized'!$E:$E, MATCH($A28, 'UZ-normalized'!$A:$A, 0))&gt;0, -(6*INDEX('UZ-normalized'!$D:$D, MATCH($A28, 'UZ-normalized'!$A:$A, 0))-INDEX('UZ-normalized'!$E:$E, MATCH($A28, 'UZ-normalized'!$A:$A, 0))), 0), 0)))</f>
        <v>0</v>
      </c>
      <c r="U28" s="6">
        <f>MIN(0, N28+(IFERROR(IF(7*INDEX('UA-normalized'!$D:$D, MATCH($A28, 'UA-normalized'!$A:$A, 0))-INDEX('UA-normalized'!$E:$E, MATCH($A28, 'UA-normalized'!$A:$A, 0))&gt;0, -(7*INDEX('UA-normalized'!$D:$D, MATCH($A28, 'UA-normalized'!$A:$A, 0))-INDEX('UA-normalized'!$E:$E, MATCH($A28, 'UA-normalized'!$A:$A, 0))), 0), 0))+(IFERROR(IF(7*INDEX('KZ-normalized'!$D:$D, MATCH($A28, 'KZ-normalized'!$A:$A, 0))-INDEX('KZ-normalized'!$E:$E, MATCH($A28, 'KZ-normalized'!$A:$A, 0))&gt;0, -(7*INDEX('KZ-normalized'!$D:$D, MATCH($A28, 'KZ-normalized'!$A:$A, 0))-INDEX('KZ-normalized'!$E:$E, MATCH($A28, 'KZ-normalized'!$A:$A, 0))), 0), 0))+(IFERROR(IF(7*INDEX('UZ-normalized'!$D:$D, MATCH($A28, 'UZ-normalized'!$A:$A, 0))-INDEX('UZ-normalized'!$E:$E, MATCH($A28, 'UZ-normalized'!$A:$A, 0))&gt;0, -(7*INDEX('UZ-normalized'!$D:$D, MATCH($A28, 'UZ-normalized'!$A:$A, 0))-INDEX('UZ-normalized'!$E:$E, MATCH($A28, 'UZ-normalized'!$A:$A, 0))), 0), 0)))</f>
        <v>0</v>
      </c>
      <c r="V28" s="6">
        <f>MIN(0, N28+(IFERROR(IF(8*INDEX('UA-normalized'!$D:$D, MATCH($A28, 'UA-normalized'!$A:$A, 0))-INDEX('UA-normalized'!$E:$E, MATCH($A28, 'UA-normalized'!$A:$A, 0))&gt;0, -(8*INDEX('UA-normalized'!$D:$D, MATCH($A28, 'UA-normalized'!$A:$A, 0))-INDEX('UA-normalized'!$E:$E, MATCH($A28, 'UA-normalized'!$A:$A, 0))), 0), 0))+(IFERROR(IF(8*INDEX('KZ-normalized'!$D:$D, MATCH($A28, 'KZ-normalized'!$A:$A, 0))-INDEX('KZ-normalized'!$E:$E, MATCH($A28, 'KZ-normalized'!$A:$A, 0))&gt;0, -(8*INDEX('KZ-normalized'!$D:$D, MATCH($A28, 'KZ-normalized'!$A:$A, 0))-INDEX('KZ-normalized'!$E:$E, MATCH($A28, 'KZ-normalized'!$A:$A, 0))), 0), 0))+(IFERROR(IF(8*INDEX('UZ-normalized'!$D:$D, MATCH($A28, 'UZ-normalized'!$A:$A, 0))-INDEX('UZ-normalized'!$E:$E, MATCH($A28, 'UZ-normalized'!$A:$A, 0))&gt;0, -(8*INDEX('UZ-normalized'!$D:$D, MATCH($A28, 'UZ-normalized'!$A:$A, 0))-INDEX('UZ-normalized'!$E:$E, MATCH($A28, 'UZ-normalized'!$A:$A, 0))), 0), 0)))</f>
        <v>0</v>
      </c>
      <c r="W28" s="6">
        <f>MIN(0, N28+(IFERROR(IF(9*INDEX('UA-normalized'!$D:$D, MATCH($A28, 'UA-normalized'!$A:$A, 0))-INDEX('UA-normalized'!$E:$E, MATCH($A28, 'UA-normalized'!$A:$A, 0))&gt;0, -(9*INDEX('UA-normalized'!$D:$D, MATCH($A28, 'UA-normalized'!$A:$A, 0))-INDEX('UA-normalized'!$E:$E, MATCH($A28, 'UA-normalized'!$A:$A, 0))), 0), 0))+(IFERROR(IF(9*INDEX('KZ-normalized'!$D:$D, MATCH($A28, 'KZ-normalized'!$A:$A, 0))-INDEX('KZ-normalized'!$E:$E, MATCH($A28, 'KZ-normalized'!$A:$A, 0))&gt;0, -(9*INDEX('KZ-normalized'!$D:$D, MATCH($A28, 'KZ-normalized'!$A:$A, 0))-INDEX('KZ-normalized'!$E:$E, MATCH($A28, 'KZ-normalized'!$A:$A, 0))), 0), 0))+(IFERROR(IF(9*INDEX('UZ-normalized'!$D:$D, MATCH($A28, 'UZ-normalized'!$A:$A, 0))-INDEX('UZ-normalized'!$E:$E, MATCH($A28, 'UZ-normalized'!$A:$A, 0))&gt;0, -(9*INDEX('UZ-normalized'!$D:$D, MATCH($A28, 'UZ-normalized'!$A:$A, 0))-INDEX('UZ-normalized'!$E:$E, MATCH($A28, 'UZ-normalized'!$A:$A, 0))), 0), 0)))</f>
        <v>0</v>
      </c>
      <c r="X28" s="6">
        <f>MIN(0, N28+(IFERROR(IF(10*INDEX('UA-normalized'!$D:$D, MATCH($A28, 'UA-normalized'!$A:$A, 0))-INDEX('UA-normalized'!$E:$E, MATCH($A28, 'UA-normalized'!$A:$A, 0))&gt;0, -(10*INDEX('UA-normalized'!$D:$D, MATCH($A28, 'UA-normalized'!$A:$A, 0))-INDEX('UA-normalized'!$E:$E, MATCH($A28, 'UA-normalized'!$A:$A, 0))), 0), 0))+(IFERROR(IF(10*INDEX('KZ-normalized'!$D:$D, MATCH($A28, 'KZ-normalized'!$A:$A, 0))-INDEX('KZ-normalized'!$E:$E, MATCH($A28, 'KZ-normalized'!$A:$A, 0))&gt;0, -(10*INDEX('KZ-normalized'!$D:$D, MATCH($A28, 'KZ-normalized'!$A:$A, 0))-INDEX('KZ-normalized'!$E:$E, MATCH($A28, 'KZ-normalized'!$A:$A, 0))), 0), 0))+(IFERROR(IF(10*INDEX('UZ-normalized'!$D:$D, MATCH($A28, 'UZ-normalized'!$A:$A, 0))-INDEX('UZ-normalized'!$E:$E, MATCH($A28, 'UZ-normalized'!$A:$A, 0))&gt;0, -(10*INDEX('UZ-normalized'!$D:$D, MATCH($A28, 'UZ-normalized'!$A:$A, 0))-INDEX('UZ-normalized'!$E:$E, MATCH($A28, 'UZ-normalized'!$A:$A, 0))), 0), 0)))</f>
        <v>0</v>
      </c>
      <c r="Y28" s="6">
        <f>MIN(0, N28+(IFERROR(IF(11*INDEX('UA-normalized'!$D:$D, MATCH($A28, 'UA-normalized'!$A:$A, 0))-INDEX('UA-normalized'!$E:$E, MATCH($A28, 'UA-normalized'!$A:$A, 0))&gt;0, -(11*INDEX('UA-normalized'!$D:$D, MATCH($A28, 'UA-normalized'!$A:$A, 0))-INDEX('UA-normalized'!$E:$E, MATCH($A28, 'UA-normalized'!$A:$A, 0))), 0), 0))+(IFERROR(IF(11*INDEX('KZ-normalized'!$D:$D, MATCH($A28, 'KZ-normalized'!$A:$A, 0))-INDEX('KZ-normalized'!$E:$E, MATCH($A28, 'KZ-normalized'!$A:$A, 0))&gt;0, -(11*INDEX('KZ-normalized'!$D:$D, MATCH($A28, 'KZ-normalized'!$A:$A, 0))-INDEX('KZ-normalized'!$E:$E, MATCH($A28, 'KZ-normalized'!$A:$A, 0))), 0), 0))+(IFERROR(IF(11*INDEX('UZ-normalized'!$D:$D, MATCH($A28, 'UZ-normalized'!$A:$A, 0))-INDEX('UZ-normalized'!$E:$E, MATCH($A28, 'UZ-normalized'!$A:$A, 0))&gt;0, -(11*INDEX('UZ-normalized'!$D:$D, MATCH($A28, 'UZ-normalized'!$A:$A, 0))-INDEX('UZ-normalized'!$E:$E, MATCH($A28, 'UZ-normalized'!$A:$A, 0))), 0), 0)))</f>
        <v>0</v>
      </c>
      <c r="Z28" s="6">
        <f>MIN(0, N28+(IFERROR(IF(12*INDEX('UA-normalized'!$D:$D, MATCH($A28, 'UA-normalized'!$A:$A, 0))-INDEX('UA-normalized'!$E:$E, MATCH($A28, 'UA-normalized'!$A:$A, 0))&gt;0, -(12*INDEX('UA-normalized'!$D:$D, MATCH($A28, 'UA-normalized'!$A:$A, 0))-INDEX('UA-normalized'!$E:$E, MATCH($A28, 'UA-normalized'!$A:$A, 0))), 0), 0))+(IFERROR(IF(12*INDEX('KZ-normalized'!$D:$D, MATCH($A28, 'KZ-normalized'!$A:$A, 0))-INDEX('KZ-normalized'!$E:$E, MATCH($A28, 'KZ-normalized'!$A:$A, 0))&gt;0, -(12*INDEX('KZ-normalized'!$D:$D, MATCH($A28, 'KZ-normalized'!$A:$A, 0))-INDEX('KZ-normalized'!$E:$E, MATCH($A28, 'KZ-normalized'!$A:$A, 0))), 0), 0))+(IFERROR(IF(12*INDEX('UZ-normalized'!$D:$D, MATCH($A28, 'UZ-normalized'!$A:$A, 0))-INDEX('UZ-normalized'!$E:$E, MATCH($A28, 'UZ-normalized'!$A:$A, 0))&gt;0, -(12*INDEX('UZ-normalized'!$D:$D, MATCH($A28, 'UZ-normalized'!$A:$A, 0))-INDEX('UZ-normalized'!$E:$E, MATCH($A28, 'UZ-normalized'!$A:$A, 0))), 0), 0)))</f>
        <v>0</v>
      </c>
      <c r="AA28" s="6">
        <f>MIN(0, N28+(IFERROR(IF(13*INDEX('UA-normalized'!$D:$D, MATCH($A28, 'UA-normalized'!$A:$A, 0))-INDEX('UA-normalized'!$E:$E, MATCH($A28, 'UA-normalized'!$A:$A, 0))&gt;0, -(13*INDEX('UA-normalized'!$D:$D, MATCH($A28, 'UA-normalized'!$A:$A, 0))-INDEX('UA-normalized'!$E:$E, MATCH($A28, 'UA-normalized'!$A:$A, 0))), 0), 0))+(IFERROR(IF(13*INDEX('KZ-normalized'!$D:$D, MATCH($A28, 'KZ-normalized'!$A:$A, 0))-INDEX('KZ-normalized'!$E:$E, MATCH($A28, 'KZ-normalized'!$A:$A, 0))&gt;0, -(13*INDEX('KZ-normalized'!$D:$D, MATCH($A28, 'KZ-normalized'!$A:$A, 0))-INDEX('KZ-normalized'!$E:$E, MATCH($A28, 'KZ-normalized'!$A:$A, 0))), 0), 0))+(IFERROR(IF(13*INDEX('UZ-normalized'!$D:$D, MATCH($A28, 'UZ-normalized'!$A:$A, 0))-INDEX('UZ-normalized'!$E:$E, MATCH($A28, 'UZ-normalized'!$A:$A, 0))&gt;0, -(13*INDEX('UZ-normalized'!$D:$D, MATCH($A28, 'UZ-normalized'!$A:$A, 0))-INDEX('UZ-normalized'!$E:$E, MATCH($A28, 'UZ-normalized'!$A:$A, 0))), 0), 0)))</f>
        <v>0</v>
      </c>
      <c r="AB28" s="6">
        <f>MIN(0, N28+(IFERROR(IF(14*INDEX('UA-normalized'!$D:$D, MATCH($A28, 'UA-normalized'!$A:$A, 0))-INDEX('UA-normalized'!$E:$E, MATCH($A28, 'UA-normalized'!$A:$A, 0))&gt;0, -(14*INDEX('UA-normalized'!$D:$D, MATCH($A28, 'UA-normalized'!$A:$A, 0))-INDEX('UA-normalized'!$E:$E, MATCH($A28, 'UA-normalized'!$A:$A, 0))), 0), 0))+(IFERROR(IF(14*INDEX('KZ-normalized'!$D:$D, MATCH($A28, 'KZ-normalized'!$A:$A, 0))-INDEX('KZ-normalized'!$E:$E, MATCH($A28, 'KZ-normalized'!$A:$A, 0))&gt;0, -(14*INDEX('KZ-normalized'!$D:$D, MATCH($A28, 'KZ-normalized'!$A:$A, 0))-INDEX('KZ-normalized'!$E:$E, MATCH($A28, 'KZ-normalized'!$A:$A, 0))), 0), 0))+(IFERROR(IF(14*INDEX('UZ-normalized'!$D:$D, MATCH($A28, 'UZ-normalized'!$A:$A, 0))-INDEX('UZ-normalized'!$E:$E, MATCH($A28, 'UZ-normalized'!$A:$A, 0))&gt;0, -(14*INDEX('UZ-normalized'!$D:$D, MATCH($A28, 'UZ-normalized'!$A:$A, 0))-INDEX('UZ-normalized'!$E:$E, MATCH($A28, 'UZ-normalized'!$A:$A, 0))), 0), 0)))</f>
        <v>0</v>
      </c>
      <c r="AC28" s="6">
        <f>MIN(0, N28+(IFERROR(IF(15*INDEX('UA-normalized'!$D:$D, MATCH($A28, 'UA-normalized'!$A:$A, 0))-INDEX('UA-normalized'!$E:$E, MATCH($A28, 'UA-normalized'!$A:$A, 0))&gt;0, -(15*INDEX('UA-normalized'!$D:$D, MATCH($A28, 'UA-normalized'!$A:$A, 0))-INDEX('UA-normalized'!$E:$E, MATCH($A28, 'UA-normalized'!$A:$A, 0))), 0), 0))+(IFERROR(IF(15*INDEX('KZ-normalized'!$D:$D, MATCH($A28, 'KZ-normalized'!$A:$A, 0))-INDEX('KZ-normalized'!$E:$E, MATCH($A28, 'KZ-normalized'!$A:$A, 0))&gt;0, -(15*INDEX('KZ-normalized'!$D:$D, MATCH($A28, 'KZ-normalized'!$A:$A, 0))-INDEX('KZ-normalized'!$E:$E, MATCH($A28, 'KZ-normalized'!$A:$A, 0))), 0), 0))+(IFERROR(IF(15*INDEX('UZ-normalized'!$D:$D, MATCH($A28, 'UZ-normalized'!$A:$A, 0))-INDEX('UZ-normalized'!$E:$E, MATCH($A28, 'UZ-normalized'!$A:$A, 0))&gt;0, -(15*INDEX('UZ-normalized'!$D:$D, MATCH($A28, 'UZ-normalized'!$A:$A, 0))-INDEX('UZ-normalized'!$E:$E, MATCH($A28, 'UZ-normalized'!$A:$A, 0))), 0), 0)))</f>
        <v>0</v>
      </c>
      <c r="AD28" s="6">
        <f>MIN(0, N28+(IFERROR(IF(16*INDEX('UA-normalized'!$D:$D, MATCH($A28, 'UA-normalized'!$A:$A, 0))-INDEX('UA-normalized'!$E:$E, MATCH($A28, 'UA-normalized'!$A:$A, 0))&gt;0, -(16*INDEX('UA-normalized'!$D:$D, MATCH($A28, 'UA-normalized'!$A:$A, 0))-INDEX('UA-normalized'!$E:$E, MATCH($A28, 'UA-normalized'!$A:$A, 0))), 0), 0))+(IFERROR(IF(16*INDEX('KZ-normalized'!$D:$D, MATCH($A28, 'KZ-normalized'!$A:$A, 0))-INDEX('KZ-normalized'!$E:$E, MATCH($A28, 'KZ-normalized'!$A:$A, 0))&gt;0, -(16*INDEX('KZ-normalized'!$D:$D, MATCH($A28, 'KZ-normalized'!$A:$A, 0))-INDEX('KZ-normalized'!$E:$E, MATCH($A28, 'KZ-normalized'!$A:$A, 0))), 0), 0))+(IFERROR(IF(16*INDEX('UZ-normalized'!$D:$D, MATCH($A28, 'UZ-normalized'!$A:$A, 0))-INDEX('UZ-normalized'!$E:$E, MATCH($A28, 'UZ-normalized'!$A:$A, 0))&gt;0, -(16*INDEX('UZ-normalized'!$D:$D, MATCH($A28, 'UZ-normalized'!$A:$A, 0))-INDEX('UZ-normalized'!$E:$E, MATCH($A28, 'UZ-normalized'!$A:$A, 0))), 0), 0)))</f>
        <v>0</v>
      </c>
      <c r="AE28" s="6">
        <f>MIN(0, N28+(IFERROR(IF(17*INDEX('UA-normalized'!$D:$D, MATCH($A28, 'UA-normalized'!$A:$A, 0))-INDEX('UA-normalized'!$E:$E, MATCH($A28, 'UA-normalized'!$A:$A, 0))&gt;0, -(17*INDEX('UA-normalized'!$D:$D, MATCH($A28, 'UA-normalized'!$A:$A, 0))-INDEX('UA-normalized'!$E:$E, MATCH($A28, 'UA-normalized'!$A:$A, 0))), 0), 0))+(IFERROR(IF(17*INDEX('KZ-normalized'!$D:$D, MATCH($A28, 'KZ-normalized'!$A:$A, 0))-INDEX('KZ-normalized'!$E:$E, MATCH($A28, 'KZ-normalized'!$A:$A, 0))&gt;0, -(17*INDEX('KZ-normalized'!$D:$D, MATCH($A28, 'KZ-normalized'!$A:$A, 0))-INDEX('KZ-normalized'!$E:$E, MATCH($A28, 'KZ-normalized'!$A:$A, 0))), 0), 0))+(IFERROR(IF(17*INDEX('UZ-normalized'!$D:$D, MATCH($A28, 'UZ-normalized'!$A:$A, 0))-INDEX('UZ-normalized'!$E:$E, MATCH($A28, 'UZ-normalized'!$A:$A, 0))&gt;0, -(17*INDEX('UZ-normalized'!$D:$D, MATCH($A28, 'UZ-normalized'!$A:$A, 0))-INDEX('UZ-normalized'!$E:$E, MATCH($A28, 'UZ-normalized'!$A:$A, 0))), 0), 0)))</f>
        <v>0</v>
      </c>
      <c r="AF28" s="6">
        <f>MIN(0, N28+(IFERROR(IF(18*INDEX('UA-normalized'!$D:$D, MATCH($A28, 'UA-normalized'!$A:$A, 0))-INDEX('UA-normalized'!$E:$E, MATCH($A28, 'UA-normalized'!$A:$A, 0))&gt;0, -(18*INDEX('UA-normalized'!$D:$D, MATCH($A28, 'UA-normalized'!$A:$A, 0))-INDEX('UA-normalized'!$E:$E, MATCH($A28, 'UA-normalized'!$A:$A, 0))), 0), 0))+(IFERROR(IF(18*INDEX('KZ-normalized'!$D:$D, MATCH($A28, 'KZ-normalized'!$A:$A, 0))-INDEX('KZ-normalized'!$E:$E, MATCH($A28, 'KZ-normalized'!$A:$A, 0))&gt;0, -(18*INDEX('KZ-normalized'!$D:$D, MATCH($A28, 'KZ-normalized'!$A:$A, 0))-INDEX('KZ-normalized'!$E:$E, MATCH($A28, 'KZ-normalized'!$A:$A, 0))), 0), 0))+(IFERROR(IF(18*INDEX('UZ-normalized'!$D:$D, MATCH($A28, 'UZ-normalized'!$A:$A, 0))-INDEX('UZ-normalized'!$E:$E, MATCH($A28, 'UZ-normalized'!$A:$A, 0))&gt;0, -(18*INDEX('UZ-normalized'!$D:$D, MATCH($A28, 'UZ-normalized'!$A:$A, 0))-INDEX('UZ-normalized'!$E:$E, MATCH($A28, 'UZ-normalized'!$A:$A, 0))), 0), 0)))</f>
        <v>0</v>
      </c>
      <c r="AG28" s="6">
        <f>MIN(0, N28+(IFERROR(IF(19*INDEX('UA-normalized'!$D:$D, MATCH($A28, 'UA-normalized'!$A:$A, 0))-INDEX('UA-normalized'!$E:$E, MATCH($A28, 'UA-normalized'!$A:$A, 0))&gt;0, -(19*INDEX('UA-normalized'!$D:$D, MATCH($A28, 'UA-normalized'!$A:$A, 0))-INDEX('UA-normalized'!$E:$E, MATCH($A28, 'UA-normalized'!$A:$A, 0))), 0), 0))+(IFERROR(IF(19*INDEX('KZ-normalized'!$D:$D, MATCH($A28, 'KZ-normalized'!$A:$A, 0))-INDEX('KZ-normalized'!$E:$E, MATCH($A28, 'KZ-normalized'!$A:$A, 0))&gt;0, -(19*INDEX('KZ-normalized'!$D:$D, MATCH($A28, 'KZ-normalized'!$A:$A, 0))-INDEX('KZ-normalized'!$E:$E, MATCH($A28, 'KZ-normalized'!$A:$A, 0))), 0), 0))+(IFERROR(IF(19*INDEX('UZ-normalized'!$D:$D, MATCH($A28, 'UZ-normalized'!$A:$A, 0))-INDEX('UZ-normalized'!$E:$E, MATCH($A28, 'UZ-normalized'!$A:$A, 0))&gt;0, -(19*INDEX('UZ-normalized'!$D:$D, MATCH($A28, 'UZ-normalized'!$A:$A, 0))-INDEX('UZ-normalized'!$E:$E, MATCH($A28, 'UZ-normalized'!$A:$A, 0))), 0), 0)))</f>
        <v>0</v>
      </c>
      <c r="AH28" s="6">
        <f>MIN(0, N28+(IFERROR(IF(20*INDEX('UA-normalized'!$D:$D, MATCH($A28, 'UA-normalized'!$A:$A, 0))-INDEX('UA-normalized'!$E:$E, MATCH($A28, 'UA-normalized'!$A:$A, 0))&gt;0, -(20*INDEX('UA-normalized'!$D:$D, MATCH($A28, 'UA-normalized'!$A:$A, 0))-INDEX('UA-normalized'!$E:$E, MATCH($A28, 'UA-normalized'!$A:$A, 0))), 0), 0))+(IFERROR(IF(20*INDEX('KZ-normalized'!$D:$D, MATCH($A28, 'KZ-normalized'!$A:$A, 0))-INDEX('KZ-normalized'!$E:$E, MATCH($A28, 'KZ-normalized'!$A:$A, 0))&gt;0, -(20*INDEX('KZ-normalized'!$D:$D, MATCH($A28, 'KZ-normalized'!$A:$A, 0))-INDEX('KZ-normalized'!$E:$E, MATCH($A28, 'KZ-normalized'!$A:$A, 0))), 0), 0))+(IFERROR(IF(20*INDEX('UZ-normalized'!$D:$D, MATCH($A28, 'UZ-normalized'!$A:$A, 0))-INDEX('UZ-normalized'!$E:$E, MATCH($A28, 'UZ-normalized'!$A:$A, 0))&gt;0, -(20*INDEX('UZ-normalized'!$D:$D, MATCH($A28, 'UZ-normalized'!$A:$A, 0))-INDEX('UZ-normalized'!$E:$E, MATCH($A28, 'UZ-normalized'!$A:$A, 0))), 0), 0)))</f>
        <v>0</v>
      </c>
      <c r="AI28" s="6">
        <f>MIN(0, N28+(IFERROR(IF(21*INDEX('UA-normalized'!$D:$D, MATCH($A28, 'UA-normalized'!$A:$A, 0))-INDEX('UA-normalized'!$E:$E, MATCH($A28, 'UA-normalized'!$A:$A, 0))&gt;0, -(21*INDEX('UA-normalized'!$D:$D, MATCH($A28, 'UA-normalized'!$A:$A, 0))-INDEX('UA-normalized'!$E:$E, MATCH($A28, 'UA-normalized'!$A:$A, 0))), 0), 0))+(IFERROR(IF(21*INDEX('KZ-normalized'!$D:$D, MATCH($A28, 'KZ-normalized'!$A:$A, 0))-INDEX('KZ-normalized'!$E:$E, MATCH($A28, 'KZ-normalized'!$A:$A, 0))&gt;0, -(21*INDEX('KZ-normalized'!$D:$D, MATCH($A28, 'KZ-normalized'!$A:$A, 0))-INDEX('KZ-normalized'!$E:$E, MATCH($A28, 'KZ-normalized'!$A:$A, 0))), 0), 0))+(IFERROR(IF(21*INDEX('UZ-normalized'!$D:$D, MATCH($A28, 'UZ-normalized'!$A:$A, 0))-INDEX('UZ-normalized'!$E:$E, MATCH($A28, 'UZ-normalized'!$A:$A, 0))&gt;0, -(21*INDEX('UZ-normalized'!$D:$D, MATCH($A28, 'UZ-normalized'!$A:$A, 0))-INDEX('UZ-normalized'!$E:$E, MATCH($A28, 'UZ-normalized'!$A:$A, 0))), 0), 0)))</f>
        <v>0</v>
      </c>
      <c r="AJ28" s="6">
        <f>MIN(0, N28+(IFERROR(IF(22*INDEX('UA-normalized'!$D:$D, MATCH($A28, 'UA-normalized'!$A:$A, 0))-INDEX('UA-normalized'!$E:$E, MATCH($A28, 'UA-normalized'!$A:$A, 0))&gt;0, -(22*INDEX('UA-normalized'!$D:$D, MATCH($A28, 'UA-normalized'!$A:$A, 0))-INDEX('UA-normalized'!$E:$E, MATCH($A28, 'UA-normalized'!$A:$A, 0))), 0), 0))+(IFERROR(IF(22*INDEX('KZ-normalized'!$D:$D, MATCH($A28, 'KZ-normalized'!$A:$A, 0))-INDEX('KZ-normalized'!$E:$E, MATCH($A28, 'KZ-normalized'!$A:$A, 0))&gt;0, -(22*INDEX('KZ-normalized'!$D:$D, MATCH($A28, 'KZ-normalized'!$A:$A, 0))-INDEX('KZ-normalized'!$E:$E, MATCH($A28, 'KZ-normalized'!$A:$A, 0))), 0), 0))+(IFERROR(IF(22*INDEX('UZ-normalized'!$D:$D, MATCH($A28, 'UZ-normalized'!$A:$A, 0))-INDEX('UZ-normalized'!$E:$E, MATCH($A28, 'UZ-normalized'!$A:$A, 0))&gt;0, -(22*INDEX('UZ-normalized'!$D:$D, MATCH($A28, 'UZ-normalized'!$A:$A, 0))-INDEX('UZ-normalized'!$E:$E, MATCH($A28, 'UZ-normalized'!$A:$A, 0))), 0), 0)))</f>
        <v>0</v>
      </c>
      <c r="AK28" s="6">
        <f>MIN(0, N28+(IFERROR(IF(23*INDEX('UA-normalized'!$D:$D, MATCH($A28, 'UA-normalized'!$A:$A, 0))-INDEX('UA-normalized'!$E:$E, MATCH($A28, 'UA-normalized'!$A:$A, 0))&gt;0, -(23*INDEX('UA-normalized'!$D:$D, MATCH($A28, 'UA-normalized'!$A:$A, 0))-INDEX('UA-normalized'!$E:$E, MATCH($A28, 'UA-normalized'!$A:$A, 0))), 0), 0))+(IFERROR(IF(23*INDEX('KZ-normalized'!$D:$D, MATCH($A28, 'KZ-normalized'!$A:$A, 0))-INDEX('KZ-normalized'!$E:$E, MATCH($A28, 'KZ-normalized'!$A:$A, 0))&gt;0, -(23*INDEX('KZ-normalized'!$D:$D, MATCH($A28, 'KZ-normalized'!$A:$A, 0))-INDEX('KZ-normalized'!$E:$E, MATCH($A28, 'KZ-normalized'!$A:$A, 0))), 0), 0))+(IFERROR(IF(23*INDEX('UZ-normalized'!$D:$D, MATCH($A28, 'UZ-normalized'!$A:$A, 0))-INDEX('UZ-normalized'!$E:$E, MATCH($A28, 'UZ-normalized'!$A:$A, 0))&gt;0, -(23*INDEX('UZ-normalized'!$D:$D, MATCH($A28, 'UZ-normalized'!$A:$A, 0))-INDEX('UZ-normalized'!$E:$E, MATCH($A28, 'UZ-normalized'!$A:$A, 0))), 0), 0)))</f>
        <v>0</v>
      </c>
      <c r="AL28" s="6">
        <f>MIN(0, N28+(IFERROR(IF(24*INDEX('UA-normalized'!$D:$D, MATCH($A28, 'UA-normalized'!$A:$A, 0))-INDEX('UA-normalized'!$E:$E, MATCH($A28, 'UA-normalized'!$A:$A, 0))&gt;0, -(24*INDEX('UA-normalized'!$D:$D, MATCH($A28, 'UA-normalized'!$A:$A, 0))-INDEX('UA-normalized'!$E:$E, MATCH($A28, 'UA-normalized'!$A:$A, 0))), 0), 0))+(IFERROR(IF(24*INDEX('KZ-normalized'!$D:$D, MATCH($A28, 'KZ-normalized'!$A:$A, 0))-INDEX('KZ-normalized'!$E:$E, MATCH($A28, 'KZ-normalized'!$A:$A, 0))&gt;0, -(24*INDEX('KZ-normalized'!$D:$D, MATCH($A28, 'KZ-normalized'!$A:$A, 0))-INDEX('KZ-normalized'!$E:$E, MATCH($A28, 'KZ-normalized'!$A:$A, 0))), 0), 0))+(IFERROR(IF(24*INDEX('UZ-normalized'!$D:$D, MATCH($A28, 'UZ-normalized'!$A:$A, 0))-INDEX('UZ-normalized'!$E:$E, MATCH($A28, 'UZ-normalized'!$A:$A, 0))&gt;0, -(24*INDEX('UZ-normalized'!$D:$D, MATCH($A28, 'UZ-normalized'!$A:$A, 0))-INDEX('UZ-normalized'!$E:$E, MATCH($A28, 'UZ-normalized'!$A:$A, 0))), 0), 0)))</f>
        <v>0</v>
      </c>
      <c r="AM28" s="6">
        <f>MIN(0, N28+(IFERROR(IF(25*INDEX('UA-normalized'!$D:$D, MATCH($A28, 'UA-normalized'!$A:$A, 0))-INDEX('UA-normalized'!$E:$E, MATCH($A28, 'UA-normalized'!$A:$A, 0))&gt;0, -(25*INDEX('UA-normalized'!$D:$D, MATCH($A28, 'UA-normalized'!$A:$A, 0))-INDEX('UA-normalized'!$E:$E, MATCH($A28, 'UA-normalized'!$A:$A, 0))), 0), 0))+(IFERROR(IF(25*INDEX('KZ-normalized'!$D:$D, MATCH($A28, 'KZ-normalized'!$A:$A, 0))-INDEX('KZ-normalized'!$E:$E, MATCH($A28, 'KZ-normalized'!$A:$A, 0))&gt;0, -(25*INDEX('KZ-normalized'!$D:$D, MATCH($A28, 'KZ-normalized'!$A:$A, 0))-INDEX('KZ-normalized'!$E:$E, MATCH($A28, 'KZ-normalized'!$A:$A, 0))), 0), 0))+(IFERROR(IF(25*INDEX('UZ-normalized'!$D:$D, MATCH($A28, 'UZ-normalized'!$A:$A, 0))-INDEX('UZ-normalized'!$E:$E, MATCH($A28, 'UZ-normalized'!$A:$A, 0))&gt;0, -(25*INDEX('UZ-normalized'!$D:$D, MATCH($A28, 'UZ-normalized'!$A:$A, 0))-INDEX('UZ-normalized'!$E:$E, MATCH($A28, 'UZ-normalized'!$A:$A, 0))), 0), 0)))</f>
        <v>0</v>
      </c>
      <c r="AN28" s="6">
        <f>MIN(0, N28+(IFERROR(IF(26*INDEX('UA-normalized'!$D:$D, MATCH($A28, 'UA-normalized'!$A:$A, 0))-INDEX('UA-normalized'!$E:$E, MATCH($A28, 'UA-normalized'!$A:$A, 0))&gt;0, -(26*INDEX('UA-normalized'!$D:$D, MATCH($A28, 'UA-normalized'!$A:$A, 0))-INDEX('UA-normalized'!$E:$E, MATCH($A28, 'UA-normalized'!$A:$A, 0))), 0), 0))+(IFERROR(IF(26*INDEX('KZ-normalized'!$D:$D, MATCH($A28, 'KZ-normalized'!$A:$A, 0))-INDEX('KZ-normalized'!$E:$E, MATCH($A28, 'KZ-normalized'!$A:$A, 0))&gt;0, -(26*INDEX('KZ-normalized'!$D:$D, MATCH($A28, 'KZ-normalized'!$A:$A, 0))-INDEX('KZ-normalized'!$E:$E, MATCH($A28, 'KZ-normalized'!$A:$A, 0))), 0), 0))+(IFERROR(IF(26*INDEX('UZ-normalized'!$D:$D, MATCH($A28, 'UZ-normalized'!$A:$A, 0))-INDEX('UZ-normalized'!$E:$E, MATCH($A28, 'UZ-normalized'!$A:$A, 0))&gt;0, -(26*INDEX('UZ-normalized'!$D:$D, MATCH($A28, 'UZ-normalized'!$A:$A, 0))-INDEX('UZ-normalized'!$E:$E, MATCH($A28, 'UZ-normalized'!$A:$A, 0))), 0), 0)))</f>
        <v>0</v>
      </c>
      <c r="AO28" s="6">
        <f>MIN(0, N28+(IFERROR(IF(27*INDEX('UA-normalized'!$D:$D, MATCH($A28, 'UA-normalized'!$A:$A, 0))-INDEX('UA-normalized'!$E:$E, MATCH($A28, 'UA-normalized'!$A:$A, 0))&gt;0, -(27*INDEX('UA-normalized'!$D:$D, MATCH($A28, 'UA-normalized'!$A:$A, 0))-INDEX('UA-normalized'!$E:$E, MATCH($A28, 'UA-normalized'!$A:$A, 0))), 0), 0))+(IFERROR(IF(27*INDEX('KZ-normalized'!$D:$D, MATCH($A28, 'KZ-normalized'!$A:$A, 0))-INDEX('KZ-normalized'!$E:$E, MATCH($A28, 'KZ-normalized'!$A:$A, 0))&gt;0, -(27*INDEX('KZ-normalized'!$D:$D, MATCH($A28, 'KZ-normalized'!$A:$A, 0))-INDEX('KZ-normalized'!$E:$E, MATCH($A28, 'KZ-normalized'!$A:$A, 0))), 0), 0))+(IFERROR(IF(27*INDEX('UZ-normalized'!$D:$D, MATCH($A28, 'UZ-normalized'!$A:$A, 0))-INDEX('UZ-normalized'!$E:$E, MATCH($A28, 'UZ-normalized'!$A:$A, 0))&gt;0, -(27*INDEX('UZ-normalized'!$D:$D, MATCH($A28, 'UZ-normalized'!$A:$A, 0))-INDEX('UZ-normalized'!$E:$E, MATCH($A28, 'UZ-normalized'!$A:$A, 0))), 0), 0)))</f>
        <v>0</v>
      </c>
      <c r="AP28" s="6">
        <f>MIN(0, N28+(IFERROR(IF(28*INDEX('UA-normalized'!$D:$D, MATCH($A28, 'UA-normalized'!$A:$A, 0))-INDEX('UA-normalized'!$E:$E, MATCH($A28, 'UA-normalized'!$A:$A, 0))&gt;0, -(28*INDEX('UA-normalized'!$D:$D, MATCH($A28, 'UA-normalized'!$A:$A, 0))-INDEX('UA-normalized'!$E:$E, MATCH($A28, 'UA-normalized'!$A:$A, 0))), 0), 0))+(IFERROR(IF(28*INDEX('KZ-normalized'!$D:$D, MATCH($A28, 'KZ-normalized'!$A:$A, 0))-INDEX('KZ-normalized'!$E:$E, MATCH($A28, 'KZ-normalized'!$A:$A, 0))&gt;0, -(28*INDEX('KZ-normalized'!$D:$D, MATCH($A28, 'KZ-normalized'!$A:$A, 0))-INDEX('KZ-normalized'!$E:$E, MATCH($A28, 'KZ-normalized'!$A:$A, 0))), 0), 0))+(IFERROR(IF(28*INDEX('UZ-normalized'!$D:$D, MATCH($A28, 'UZ-normalized'!$A:$A, 0))-INDEX('UZ-normalized'!$E:$E, MATCH($A28, 'UZ-normalized'!$A:$A, 0))&gt;0, -(28*INDEX('UZ-normalized'!$D:$D, MATCH($A28, 'UZ-normalized'!$A:$A, 0))-INDEX('UZ-normalized'!$E:$E, MATCH($A28, 'UZ-normalized'!$A:$A, 0))), 0), 0)))</f>
        <v>0</v>
      </c>
      <c r="AQ28" s="6">
        <f>MIN(0, N28+(IFERROR(IF(29*INDEX('UA-normalized'!$D:$D, MATCH($A28, 'UA-normalized'!$A:$A, 0))-INDEX('UA-normalized'!$E:$E, MATCH($A28, 'UA-normalized'!$A:$A, 0))&gt;0, -(29*INDEX('UA-normalized'!$D:$D, MATCH($A28, 'UA-normalized'!$A:$A, 0))-INDEX('UA-normalized'!$E:$E, MATCH($A28, 'UA-normalized'!$A:$A, 0))), 0), 0))+(IFERROR(IF(29*INDEX('KZ-normalized'!$D:$D, MATCH($A28, 'KZ-normalized'!$A:$A, 0))-INDEX('KZ-normalized'!$E:$E, MATCH($A28, 'KZ-normalized'!$A:$A, 0))&gt;0, -(29*INDEX('KZ-normalized'!$D:$D, MATCH($A28, 'KZ-normalized'!$A:$A, 0))-INDEX('KZ-normalized'!$E:$E, MATCH($A28, 'KZ-normalized'!$A:$A, 0))), 0), 0))+(IFERROR(IF(29*INDEX('UZ-normalized'!$D:$D, MATCH($A28, 'UZ-normalized'!$A:$A, 0))-INDEX('UZ-normalized'!$E:$E, MATCH($A28, 'UZ-normalized'!$A:$A, 0))&gt;0, -(29*INDEX('UZ-normalized'!$D:$D, MATCH($A28, 'UZ-normalized'!$A:$A, 0))-INDEX('UZ-normalized'!$E:$E, MATCH($A28, 'UZ-normalized'!$A:$A, 0))), 0), 0)))</f>
        <v>0</v>
      </c>
      <c r="AR28" s="6">
        <f>MIN(0, N28+(IFERROR(IF(30*INDEX('UA-normalized'!$D:$D, MATCH($A28, 'UA-normalized'!$A:$A, 0))-INDEX('UA-normalized'!$E:$E, MATCH($A28, 'UA-normalized'!$A:$A, 0))&gt;0, -(30*INDEX('UA-normalized'!$D:$D, MATCH($A28, 'UA-normalized'!$A:$A, 0))-INDEX('UA-normalized'!$E:$E, MATCH($A28, 'UA-normalized'!$A:$A, 0))), 0), 0))+(IFERROR(IF(30*INDEX('KZ-normalized'!$D:$D, MATCH($A28, 'KZ-normalized'!$A:$A, 0))-INDEX('KZ-normalized'!$E:$E, MATCH($A28, 'KZ-normalized'!$A:$A, 0))&gt;0, -(30*INDEX('KZ-normalized'!$D:$D, MATCH($A28, 'KZ-normalized'!$A:$A, 0))-INDEX('KZ-normalized'!$E:$E, MATCH($A28, 'KZ-normalized'!$A:$A, 0))), 0), 0))+(IFERROR(IF(30*INDEX('UZ-normalized'!$D:$D, MATCH($A28, 'UZ-normalized'!$A:$A, 0))-INDEX('UZ-normalized'!$E:$E, MATCH($A28, 'UZ-normalized'!$A:$A, 0))&gt;0, -(30*INDEX('UZ-normalized'!$D:$D, MATCH($A28, 'UZ-normalized'!$A:$A, 0))-INDEX('UZ-normalized'!$E:$E, MATCH($A28, 'UZ-normalized'!$A:$A, 0))), 0), 0)))</f>
        <v>0</v>
      </c>
    </row>
    <row r="29" spans="1:44" x14ac:dyDescent="0.25">
      <c r="A29" s="8" t="s">
        <v>107</v>
      </c>
      <c r="B29" s="8" t="s">
        <v>83</v>
      </c>
      <c r="C29" s="8" t="s">
        <v>105</v>
      </c>
      <c r="D29" s="8" t="s">
        <v>106</v>
      </c>
      <c r="N29">
        <f t="shared" si="0"/>
        <v>0</v>
      </c>
      <c r="O29" s="6">
        <f>MIN(0, N29+(IFERROR(IF(1*INDEX('UA-normalized'!$D:$D, MATCH($A29, 'UA-normalized'!$A:$A, 0))-INDEX('UA-normalized'!$E:$E, MATCH($A29, 'UA-normalized'!$A:$A, 0))&gt;0, -(1*INDEX('UA-normalized'!$D:$D, MATCH($A29, 'UA-normalized'!$A:$A, 0))-INDEX('UA-normalized'!$E:$E, MATCH($A29, 'UA-normalized'!$A:$A, 0))), 0), 0))+(IFERROR(IF(1*INDEX('KZ-normalized'!$D:$D, MATCH($A29, 'KZ-normalized'!$A:$A, 0))-INDEX('KZ-normalized'!$E:$E, MATCH($A29, 'KZ-normalized'!$A:$A, 0))&gt;0, -(1*INDEX('KZ-normalized'!$D:$D, MATCH($A29, 'KZ-normalized'!$A:$A, 0))-INDEX('KZ-normalized'!$E:$E, MATCH($A29, 'KZ-normalized'!$A:$A, 0))), 0), 0))+(IFERROR(IF(1*INDEX('UZ-normalized'!$D:$D, MATCH($A29, 'UZ-normalized'!$A:$A, 0))-INDEX('UZ-normalized'!$E:$E, MATCH($A29, 'UZ-normalized'!$A:$A, 0))&gt;0, -(1*INDEX('UZ-normalized'!$D:$D, MATCH($A29, 'UZ-normalized'!$A:$A, 0))-INDEX('UZ-normalized'!$E:$E, MATCH($A29, 'UZ-normalized'!$A:$A, 0))), 0), 0)))</f>
        <v>0</v>
      </c>
      <c r="P29" s="6">
        <f>MIN(0, N29+(IFERROR(IF(2*INDEX('UA-normalized'!$D:$D, MATCH($A29, 'UA-normalized'!$A:$A, 0))-INDEX('UA-normalized'!$E:$E, MATCH($A29, 'UA-normalized'!$A:$A, 0))&gt;0, -(2*INDEX('UA-normalized'!$D:$D, MATCH($A29, 'UA-normalized'!$A:$A, 0))-INDEX('UA-normalized'!$E:$E, MATCH($A29, 'UA-normalized'!$A:$A, 0))), 0), 0))+(IFERROR(IF(2*INDEX('KZ-normalized'!$D:$D, MATCH($A29, 'KZ-normalized'!$A:$A, 0))-INDEX('KZ-normalized'!$E:$E, MATCH($A29, 'KZ-normalized'!$A:$A, 0))&gt;0, -(2*INDEX('KZ-normalized'!$D:$D, MATCH($A29, 'KZ-normalized'!$A:$A, 0))-INDEX('KZ-normalized'!$E:$E, MATCH($A29, 'KZ-normalized'!$A:$A, 0))), 0), 0))+(IFERROR(IF(2*INDEX('UZ-normalized'!$D:$D, MATCH($A29, 'UZ-normalized'!$A:$A, 0))-INDEX('UZ-normalized'!$E:$E, MATCH($A29, 'UZ-normalized'!$A:$A, 0))&gt;0, -(2*INDEX('UZ-normalized'!$D:$D, MATCH($A29, 'UZ-normalized'!$A:$A, 0))-INDEX('UZ-normalized'!$E:$E, MATCH($A29, 'UZ-normalized'!$A:$A, 0))), 0), 0)))</f>
        <v>0</v>
      </c>
      <c r="Q29" s="6">
        <f>MIN(0, N29+(IFERROR(IF(3*INDEX('UA-normalized'!$D:$D, MATCH($A29, 'UA-normalized'!$A:$A, 0))-INDEX('UA-normalized'!$E:$E, MATCH($A29, 'UA-normalized'!$A:$A, 0))&gt;0, -(3*INDEX('UA-normalized'!$D:$D, MATCH($A29, 'UA-normalized'!$A:$A, 0))-INDEX('UA-normalized'!$E:$E, MATCH($A29, 'UA-normalized'!$A:$A, 0))), 0), 0))+(IFERROR(IF(3*INDEX('KZ-normalized'!$D:$D, MATCH($A29, 'KZ-normalized'!$A:$A, 0))-INDEX('KZ-normalized'!$E:$E, MATCH($A29, 'KZ-normalized'!$A:$A, 0))&gt;0, -(3*INDEX('KZ-normalized'!$D:$D, MATCH($A29, 'KZ-normalized'!$A:$A, 0))-INDEX('KZ-normalized'!$E:$E, MATCH($A29, 'KZ-normalized'!$A:$A, 0))), 0), 0))+(IFERROR(IF(3*INDEX('UZ-normalized'!$D:$D, MATCH($A29, 'UZ-normalized'!$A:$A, 0))-INDEX('UZ-normalized'!$E:$E, MATCH($A29, 'UZ-normalized'!$A:$A, 0))&gt;0, -(3*INDEX('UZ-normalized'!$D:$D, MATCH($A29, 'UZ-normalized'!$A:$A, 0))-INDEX('UZ-normalized'!$E:$E, MATCH($A29, 'UZ-normalized'!$A:$A, 0))), 0), 0)))</f>
        <v>0</v>
      </c>
      <c r="R29" s="6">
        <f>MIN(0, N29+(IFERROR(IF(4*INDEX('UA-normalized'!$D:$D, MATCH($A29, 'UA-normalized'!$A:$A, 0))-INDEX('UA-normalized'!$E:$E, MATCH($A29, 'UA-normalized'!$A:$A, 0))&gt;0, -(4*INDEX('UA-normalized'!$D:$D, MATCH($A29, 'UA-normalized'!$A:$A, 0))-INDEX('UA-normalized'!$E:$E, MATCH($A29, 'UA-normalized'!$A:$A, 0))), 0), 0))+(IFERROR(IF(4*INDEX('KZ-normalized'!$D:$D, MATCH($A29, 'KZ-normalized'!$A:$A, 0))-INDEX('KZ-normalized'!$E:$E, MATCH($A29, 'KZ-normalized'!$A:$A, 0))&gt;0, -(4*INDEX('KZ-normalized'!$D:$D, MATCH($A29, 'KZ-normalized'!$A:$A, 0))-INDEX('KZ-normalized'!$E:$E, MATCH($A29, 'KZ-normalized'!$A:$A, 0))), 0), 0))+(IFERROR(IF(4*INDEX('UZ-normalized'!$D:$D, MATCH($A29, 'UZ-normalized'!$A:$A, 0))-INDEX('UZ-normalized'!$E:$E, MATCH($A29, 'UZ-normalized'!$A:$A, 0))&gt;0, -(4*INDEX('UZ-normalized'!$D:$D, MATCH($A29, 'UZ-normalized'!$A:$A, 0))-INDEX('UZ-normalized'!$E:$E, MATCH($A29, 'UZ-normalized'!$A:$A, 0))), 0), 0)))</f>
        <v>0</v>
      </c>
      <c r="S29" s="6">
        <f>MIN(0, N29+(IFERROR(IF(5*INDEX('UA-normalized'!$D:$D, MATCH($A29, 'UA-normalized'!$A:$A, 0))-INDEX('UA-normalized'!$E:$E, MATCH($A29, 'UA-normalized'!$A:$A, 0))&gt;0, -(5*INDEX('UA-normalized'!$D:$D, MATCH($A29, 'UA-normalized'!$A:$A, 0))-INDEX('UA-normalized'!$E:$E, MATCH($A29, 'UA-normalized'!$A:$A, 0))), 0), 0))+(IFERROR(IF(5*INDEX('KZ-normalized'!$D:$D, MATCH($A29, 'KZ-normalized'!$A:$A, 0))-INDEX('KZ-normalized'!$E:$E, MATCH($A29, 'KZ-normalized'!$A:$A, 0))&gt;0, -(5*INDEX('KZ-normalized'!$D:$D, MATCH($A29, 'KZ-normalized'!$A:$A, 0))-INDEX('KZ-normalized'!$E:$E, MATCH($A29, 'KZ-normalized'!$A:$A, 0))), 0), 0))+(IFERROR(IF(5*INDEX('UZ-normalized'!$D:$D, MATCH($A29, 'UZ-normalized'!$A:$A, 0))-INDEX('UZ-normalized'!$E:$E, MATCH($A29, 'UZ-normalized'!$A:$A, 0))&gt;0, -(5*INDEX('UZ-normalized'!$D:$D, MATCH($A29, 'UZ-normalized'!$A:$A, 0))-INDEX('UZ-normalized'!$E:$E, MATCH($A29, 'UZ-normalized'!$A:$A, 0))), 0), 0)))</f>
        <v>0</v>
      </c>
      <c r="T29" s="6">
        <f>MIN(0, N29+(IFERROR(IF(6*INDEX('UA-normalized'!$D:$D, MATCH($A29, 'UA-normalized'!$A:$A, 0))-INDEX('UA-normalized'!$E:$E, MATCH($A29, 'UA-normalized'!$A:$A, 0))&gt;0, -(6*INDEX('UA-normalized'!$D:$D, MATCH($A29, 'UA-normalized'!$A:$A, 0))-INDEX('UA-normalized'!$E:$E, MATCH($A29, 'UA-normalized'!$A:$A, 0))), 0), 0))+(IFERROR(IF(6*INDEX('KZ-normalized'!$D:$D, MATCH($A29, 'KZ-normalized'!$A:$A, 0))-INDEX('KZ-normalized'!$E:$E, MATCH($A29, 'KZ-normalized'!$A:$A, 0))&gt;0, -(6*INDEX('KZ-normalized'!$D:$D, MATCH($A29, 'KZ-normalized'!$A:$A, 0))-INDEX('KZ-normalized'!$E:$E, MATCH($A29, 'KZ-normalized'!$A:$A, 0))), 0), 0))+(IFERROR(IF(6*INDEX('UZ-normalized'!$D:$D, MATCH($A29, 'UZ-normalized'!$A:$A, 0))-INDEX('UZ-normalized'!$E:$E, MATCH($A29, 'UZ-normalized'!$A:$A, 0))&gt;0, -(6*INDEX('UZ-normalized'!$D:$D, MATCH($A29, 'UZ-normalized'!$A:$A, 0))-INDEX('UZ-normalized'!$E:$E, MATCH($A29, 'UZ-normalized'!$A:$A, 0))), 0), 0)))</f>
        <v>0</v>
      </c>
      <c r="U29" s="6">
        <f>MIN(0, N29+(IFERROR(IF(7*INDEX('UA-normalized'!$D:$D, MATCH($A29, 'UA-normalized'!$A:$A, 0))-INDEX('UA-normalized'!$E:$E, MATCH($A29, 'UA-normalized'!$A:$A, 0))&gt;0, -(7*INDEX('UA-normalized'!$D:$D, MATCH($A29, 'UA-normalized'!$A:$A, 0))-INDEX('UA-normalized'!$E:$E, MATCH($A29, 'UA-normalized'!$A:$A, 0))), 0), 0))+(IFERROR(IF(7*INDEX('KZ-normalized'!$D:$D, MATCH($A29, 'KZ-normalized'!$A:$A, 0))-INDEX('KZ-normalized'!$E:$E, MATCH($A29, 'KZ-normalized'!$A:$A, 0))&gt;0, -(7*INDEX('KZ-normalized'!$D:$D, MATCH($A29, 'KZ-normalized'!$A:$A, 0))-INDEX('KZ-normalized'!$E:$E, MATCH($A29, 'KZ-normalized'!$A:$A, 0))), 0), 0))+(IFERROR(IF(7*INDEX('UZ-normalized'!$D:$D, MATCH($A29, 'UZ-normalized'!$A:$A, 0))-INDEX('UZ-normalized'!$E:$E, MATCH($A29, 'UZ-normalized'!$A:$A, 0))&gt;0, -(7*INDEX('UZ-normalized'!$D:$D, MATCH($A29, 'UZ-normalized'!$A:$A, 0))-INDEX('UZ-normalized'!$E:$E, MATCH($A29, 'UZ-normalized'!$A:$A, 0))), 0), 0)))</f>
        <v>0</v>
      </c>
      <c r="V29" s="6">
        <f>MIN(0, N29+(IFERROR(IF(8*INDEX('UA-normalized'!$D:$D, MATCH($A29, 'UA-normalized'!$A:$A, 0))-INDEX('UA-normalized'!$E:$E, MATCH($A29, 'UA-normalized'!$A:$A, 0))&gt;0, -(8*INDEX('UA-normalized'!$D:$D, MATCH($A29, 'UA-normalized'!$A:$A, 0))-INDEX('UA-normalized'!$E:$E, MATCH($A29, 'UA-normalized'!$A:$A, 0))), 0), 0))+(IFERROR(IF(8*INDEX('KZ-normalized'!$D:$D, MATCH($A29, 'KZ-normalized'!$A:$A, 0))-INDEX('KZ-normalized'!$E:$E, MATCH($A29, 'KZ-normalized'!$A:$A, 0))&gt;0, -(8*INDEX('KZ-normalized'!$D:$D, MATCH($A29, 'KZ-normalized'!$A:$A, 0))-INDEX('KZ-normalized'!$E:$E, MATCH($A29, 'KZ-normalized'!$A:$A, 0))), 0), 0))+(IFERROR(IF(8*INDEX('UZ-normalized'!$D:$D, MATCH($A29, 'UZ-normalized'!$A:$A, 0))-INDEX('UZ-normalized'!$E:$E, MATCH($A29, 'UZ-normalized'!$A:$A, 0))&gt;0, -(8*INDEX('UZ-normalized'!$D:$D, MATCH($A29, 'UZ-normalized'!$A:$A, 0))-INDEX('UZ-normalized'!$E:$E, MATCH($A29, 'UZ-normalized'!$A:$A, 0))), 0), 0)))</f>
        <v>0</v>
      </c>
      <c r="W29" s="6">
        <f>MIN(0, N29+(IFERROR(IF(9*INDEX('UA-normalized'!$D:$D, MATCH($A29, 'UA-normalized'!$A:$A, 0))-INDEX('UA-normalized'!$E:$E, MATCH($A29, 'UA-normalized'!$A:$A, 0))&gt;0, -(9*INDEX('UA-normalized'!$D:$D, MATCH($A29, 'UA-normalized'!$A:$A, 0))-INDEX('UA-normalized'!$E:$E, MATCH($A29, 'UA-normalized'!$A:$A, 0))), 0), 0))+(IFERROR(IF(9*INDEX('KZ-normalized'!$D:$D, MATCH($A29, 'KZ-normalized'!$A:$A, 0))-INDEX('KZ-normalized'!$E:$E, MATCH($A29, 'KZ-normalized'!$A:$A, 0))&gt;0, -(9*INDEX('KZ-normalized'!$D:$D, MATCH($A29, 'KZ-normalized'!$A:$A, 0))-INDEX('KZ-normalized'!$E:$E, MATCH($A29, 'KZ-normalized'!$A:$A, 0))), 0), 0))+(IFERROR(IF(9*INDEX('UZ-normalized'!$D:$D, MATCH($A29, 'UZ-normalized'!$A:$A, 0))-INDEX('UZ-normalized'!$E:$E, MATCH($A29, 'UZ-normalized'!$A:$A, 0))&gt;0, -(9*INDEX('UZ-normalized'!$D:$D, MATCH($A29, 'UZ-normalized'!$A:$A, 0))-INDEX('UZ-normalized'!$E:$E, MATCH($A29, 'UZ-normalized'!$A:$A, 0))), 0), 0)))</f>
        <v>0</v>
      </c>
      <c r="X29" s="6">
        <f>MIN(0, N29+(IFERROR(IF(10*INDEX('UA-normalized'!$D:$D, MATCH($A29, 'UA-normalized'!$A:$A, 0))-INDEX('UA-normalized'!$E:$E, MATCH($A29, 'UA-normalized'!$A:$A, 0))&gt;0, -(10*INDEX('UA-normalized'!$D:$D, MATCH($A29, 'UA-normalized'!$A:$A, 0))-INDEX('UA-normalized'!$E:$E, MATCH($A29, 'UA-normalized'!$A:$A, 0))), 0), 0))+(IFERROR(IF(10*INDEX('KZ-normalized'!$D:$D, MATCH($A29, 'KZ-normalized'!$A:$A, 0))-INDEX('KZ-normalized'!$E:$E, MATCH($A29, 'KZ-normalized'!$A:$A, 0))&gt;0, -(10*INDEX('KZ-normalized'!$D:$D, MATCH($A29, 'KZ-normalized'!$A:$A, 0))-INDEX('KZ-normalized'!$E:$E, MATCH($A29, 'KZ-normalized'!$A:$A, 0))), 0), 0))+(IFERROR(IF(10*INDEX('UZ-normalized'!$D:$D, MATCH($A29, 'UZ-normalized'!$A:$A, 0))-INDEX('UZ-normalized'!$E:$E, MATCH($A29, 'UZ-normalized'!$A:$A, 0))&gt;0, -(10*INDEX('UZ-normalized'!$D:$D, MATCH($A29, 'UZ-normalized'!$A:$A, 0))-INDEX('UZ-normalized'!$E:$E, MATCH($A29, 'UZ-normalized'!$A:$A, 0))), 0), 0)))</f>
        <v>0</v>
      </c>
      <c r="Y29" s="6">
        <f>MIN(0, N29+(IFERROR(IF(11*INDEX('UA-normalized'!$D:$D, MATCH($A29, 'UA-normalized'!$A:$A, 0))-INDEX('UA-normalized'!$E:$E, MATCH($A29, 'UA-normalized'!$A:$A, 0))&gt;0, -(11*INDEX('UA-normalized'!$D:$D, MATCH($A29, 'UA-normalized'!$A:$A, 0))-INDEX('UA-normalized'!$E:$E, MATCH($A29, 'UA-normalized'!$A:$A, 0))), 0), 0))+(IFERROR(IF(11*INDEX('KZ-normalized'!$D:$D, MATCH($A29, 'KZ-normalized'!$A:$A, 0))-INDEX('KZ-normalized'!$E:$E, MATCH($A29, 'KZ-normalized'!$A:$A, 0))&gt;0, -(11*INDEX('KZ-normalized'!$D:$D, MATCH($A29, 'KZ-normalized'!$A:$A, 0))-INDEX('KZ-normalized'!$E:$E, MATCH($A29, 'KZ-normalized'!$A:$A, 0))), 0), 0))+(IFERROR(IF(11*INDEX('UZ-normalized'!$D:$D, MATCH($A29, 'UZ-normalized'!$A:$A, 0))-INDEX('UZ-normalized'!$E:$E, MATCH($A29, 'UZ-normalized'!$A:$A, 0))&gt;0, -(11*INDEX('UZ-normalized'!$D:$D, MATCH($A29, 'UZ-normalized'!$A:$A, 0))-INDEX('UZ-normalized'!$E:$E, MATCH($A29, 'UZ-normalized'!$A:$A, 0))), 0), 0)))</f>
        <v>0</v>
      </c>
      <c r="Z29" s="6">
        <f>MIN(0, N29+(IFERROR(IF(12*INDEX('UA-normalized'!$D:$D, MATCH($A29, 'UA-normalized'!$A:$A, 0))-INDEX('UA-normalized'!$E:$E, MATCH($A29, 'UA-normalized'!$A:$A, 0))&gt;0, -(12*INDEX('UA-normalized'!$D:$D, MATCH($A29, 'UA-normalized'!$A:$A, 0))-INDEX('UA-normalized'!$E:$E, MATCH($A29, 'UA-normalized'!$A:$A, 0))), 0), 0))+(IFERROR(IF(12*INDEX('KZ-normalized'!$D:$D, MATCH($A29, 'KZ-normalized'!$A:$A, 0))-INDEX('KZ-normalized'!$E:$E, MATCH($A29, 'KZ-normalized'!$A:$A, 0))&gt;0, -(12*INDEX('KZ-normalized'!$D:$D, MATCH($A29, 'KZ-normalized'!$A:$A, 0))-INDEX('KZ-normalized'!$E:$E, MATCH($A29, 'KZ-normalized'!$A:$A, 0))), 0), 0))+(IFERROR(IF(12*INDEX('UZ-normalized'!$D:$D, MATCH($A29, 'UZ-normalized'!$A:$A, 0))-INDEX('UZ-normalized'!$E:$E, MATCH($A29, 'UZ-normalized'!$A:$A, 0))&gt;0, -(12*INDEX('UZ-normalized'!$D:$D, MATCH($A29, 'UZ-normalized'!$A:$A, 0))-INDEX('UZ-normalized'!$E:$E, MATCH($A29, 'UZ-normalized'!$A:$A, 0))), 0), 0)))</f>
        <v>0</v>
      </c>
      <c r="AA29" s="6">
        <f>MIN(0, N29+(IFERROR(IF(13*INDEX('UA-normalized'!$D:$D, MATCH($A29, 'UA-normalized'!$A:$A, 0))-INDEX('UA-normalized'!$E:$E, MATCH($A29, 'UA-normalized'!$A:$A, 0))&gt;0, -(13*INDEX('UA-normalized'!$D:$D, MATCH($A29, 'UA-normalized'!$A:$A, 0))-INDEX('UA-normalized'!$E:$E, MATCH($A29, 'UA-normalized'!$A:$A, 0))), 0), 0))+(IFERROR(IF(13*INDEX('KZ-normalized'!$D:$D, MATCH($A29, 'KZ-normalized'!$A:$A, 0))-INDEX('KZ-normalized'!$E:$E, MATCH($A29, 'KZ-normalized'!$A:$A, 0))&gt;0, -(13*INDEX('KZ-normalized'!$D:$D, MATCH($A29, 'KZ-normalized'!$A:$A, 0))-INDEX('KZ-normalized'!$E:$E, MATCH($A29, 'KZ-normalized'!$A:$A, 0))), 0), 0))+(IFERROR(IF(13*INDEX('UZ-normalized'!$D:$D, MATCH($A29, 'UZ-normalized'!$A:$A, 0))-INDEX('UZ-normalized'!$E:$E, MATCH($A29, 'UZ-normalized'!$A:$A, 0))&gt;0, -(13*INDEX('UZ-normalized'!$D:$D, MATCH($A29, 'UZ-normalized'!$A:$A, 0))-INDEX('UZ-normalized'!$E:$E, MATCH($A29, 'UZ-normalized'!$A:$A, 0))), 0), 0)))</f>
        <v>0</v>
      </c>
      <c r="AB29" s="6">
        <f>MIN(0, N29+(IFERROR(IF(14*INDEX('UA-normalized'!$D:$D, MATCH($A29, 'UA-normalized'!$A:$A, 0))-INDEX('UA-normalized'!$E:$E, MATCH($A29, 'UA-normalized'!$A:$A, 0))&gt;0, -(14*INDEX('UA-normalized'!$D:$D, MATCH($A29, 'UA-normalized'!$A:$A, 0))-INDEX('UA-normalized'!$E:$E, MATCH($A29, 'UA-normalized'!$A:$A, 0))), 0), 0))+(IFERROR(IF(14*INDEX('KZ-normalized'!$D:$D, MATCH($A29, 'KZ-normalized'!$A:$A, 0))-INDEX('KZ-normalized'!$E:$E, MATCH($A29, 'KZ-normalized'!$A:$A, 0))&gt;0, -(14*INDEX('KZ-normalized'!$D:$D, MATCH($A29, 'KZ-normalized'!$A:$A, 0))-INDEX('KZ-normalized'!$E:$E, MATCH($A29, 'KZ-normalized'!$A:$A, 0))), 0), 0))+(IFERROR(IF(14*INDEX('UZ-normalized'!$D:$D, MATCH($A29, 'UZ-normalized'!$A:$A, 0))-INDEX('UZ-normalized'!$E:$E, MATCH($A29, 'UZ-normalized'!$A:$A, 0))&gt;0, -(14*INDEX('UZ-normalized'!$D:$D, MATCH($A29, 'UZ-normalized'!$A:$A, 0))-INDEX('UZ-normalized'!$E:$E, MATCH($A29, 'UZ-normalized'!$A:$A, 0))), 0), 0)))</f>
        <v>0</v>
      </c>
      <c r="AC29" s="6">
        <f>MIN(0, N29+(IFERROR(IF(15*INDEX('UA-normalized'!$D:$D, MATCH($A29, 'UA-normalized'!$A:$A, 0))-INDEX('UA-normalized'!$E:$E, MATCH($A29, 'UA-normalized'!$A:$A, 0))&gt;0, -(15*INDEX('UA-normalized'!$D:$D, MATCH($A29, 'UA-normalized'!$A:$A, 0))-INDEX('UA-normalized'!$E:$E, MATCH($A29, 'UA-normalized'!$A:$A, 0))), 0), 0))+(IFERROR(IF(15*INDEX('KZ-normalized'!$D:$D, MATCH($A29, 'KZ-normalized'!$A:$A, 0))-INDEX('KZ-normalized'!$E:$E, MATCH($A29, 'KZ-normalized'!$A:$A, 0))&gt;0, -(15*INDEX('KZ-normalized'!$D:$D, MATCH($A29, 'KZ-normalized'!$A:$A, 0))-INDEX('KZ-normalized'!$E:$E, MATCH($A29, 'KZ-normalized'!$A:$A, 0))), 0), 0))+(IFERROR(IF(15*INDEX('UZ-normalized'!$D:$D, MATCH($A29, 'UZ-normalized'!$A:$A, 0))-INDEX('UZ-normalized'!$E:$E, MATCH($A29, 'UZ-normalized'!$A:$A, 0))&gt;0, -(15*INDEX('UZ-normalized'!$D:$D, MATCH($A29, 'UZ-normalized'!$A:$A, 0))-INDEX('UZ-normalized'!$E:$E, MATCH($A29, 'UZ-normalized'!$A:$A, 0))), 0), 0)))</f>
        <v>0</v>
      </c>
      <c r="AD29" s="6">
        <f>MIN(0, N29+(IFERROR(IF(16*INDEX('UA-normalized'!$D:$D, MATCH($A29, 'UA-normalized'!$A:$A, 0))-INDEX('UA-normalized'!$E:$E, MATCH($A29, 'UA-normalized'!$A:$A, 0))&gt;0, -(16*INDEX('UA-normalized'!$D:$D, MATCH($A29, 'UA-normalized'!$A:$A, 0))-INDEX('UA-normalized'!$E:$E, MATCH($A29, 'UA-normalized'!$A:$A, 0))), 0), 0))+(IFERROR(IF(16*INDEX('KZ-normalized'!$D:$D, MATCH($A29, 'KZ-normalized'!$A:$A, 0))-INDEX('KZ-normalized'!$E:$E, MATCH($A29, 'KZ-normalized'!$A:$A, 0))&gt;0, -(16*INDEX('KZ-normalized'!$D:$D, MATCH($A29, 'KZ-normalized'!$A:$A, 0))-INDEX('KZ-normalized'!$E:$E, MATCH($A29, 'KZ-normalized'!$A:$A, 0))), 0), 0))+(IFERROR(IF(16*INDEX('UZ-normalized'!$D:$D, MATCH($A29, 'UZ-normalized'!$A:$A, 0))-INDEX('UZ-normalized'!$E:$E, MATCH($A29, 'UZ-normalized'!$A:$A, 0))&gt;0, -(16*INDEX('UZ-normalized'!$D:$D, MATCH($A29, 'UZ-normalized'!$A:$A, 0))-INDEX('UZ-normalized'!$E:$E, MATCH($A29, 'UZ-normalized'!$A:$A, 0))), 0), 0)))</f>
        <v>0</v>
      </c>
      <c r="AE29" s="6">
        <f>MIN(0, N29+(IFERROR(IF(17*INDEX('UA-normalized'!$D:$D, MATCH($A29, 'UA-normalized'!$A:$A, 0))-INDEX('UA-normalized'!$E:$E, MATCH($A29, 'UA-normalized'!$A:$A, 0))&gt;0, -(17*INDEX('UA-normalized'!$D:$D, MATCH($A29, 'UA-normalized'!$A:$A, 0))-INDEX('UA-normalized'!$E:$E, MATCH($A29, 'UA-normalized'!$A:$A, 0))), 0), 0))+(IFERROR(IF(17*INDEX('KZ-normalized'!$D:$D, MATCH($A29, 'KZ-normalized'!$A:$A, 0))-INDEX('KZ-normalized'!$E:$E, MATCH($A29, 'KZ-normalized'!$A:$A, 0))&gt;0, -(17*INDEX('KZ-normalized'!$D:$D, MATCH($A29, 'KZ-normalized'!$A:$A, 0))-INDEX('KZ-normalized'!$E:$E, MATCH($A29, 'KZ-normalized'!$A:$A, 0))), 0), 0))+(IFERROR(IF(17*INDEX('UZ-normalized'!$D:$D, MATCH($A29, 'UZ-normalized'!$A:$A, 0))-INDEX('UZ-normalized'!$E:$E, MATCH($A29, 'UZ-normalized'!$A:$A, 0))&gt;0, -(17*INDEX('UZ-normalized'!$D:$D, MATCH($A29, 'UZ-normalized'!$A:$A, 0))-INDEX('UZ-normalized'!$E:$E, MATCH($A29, 'UZ-normalized'!$A:$A, 0))), 0), 0)))</f>
        <v>0</v>
      </c>
      <c r="AF29" s="6">
        <f>MIN(0, N29+(IFERROR(IF(18*INDEX('UA-normalized'!$D:$D, MATCH($A29, 'UA-normalized'!$A:$A, 0))-INDEX('UA-normalized'!$E:$E, MATCH($A29, 'UA-normalized'!$A:$A, 0))&gt;0, -(18*INDEX('UA-normalized'!$D:$D, MATCH($A29, 'UA-normalized'!$A:$A, 0))-INDEX('UA-normalized'!$E:$E, MATCH($A29, 'UA-normalized'!$A:$A, 0))), 0), 0))+(IFERROR(IF(18*INDEX('KZ-normalized'!$D:$D, MATCH($A29, 'KZ-normalized'!$A:$A, 0))-INDEX('KZ-normalized'!$E:$E, MATCH($A29, 'KZ-normalized'!$A:$A, 0))&gt;0, -(18*INDEX('KZ-normalized'!$D:$D, MATCH($A29, 'KZ-normalized'!$A:$A, 0))-INDEX('KZ-normalized'!$E:$E, MATCH($A29, 'KZ-normalized'!$A:$A, 0))), 0), 0))+(IFERROR(IF(18*INDEX('UZ-normalized'!$D:$D, MATCH($A29, 'UZ-normalized'!$A:$A, 0))-INDEX('UZ-normalized'!$E:$E, MATCH($A29, 'UZ-normalized'!$A:$A, 0))&gt;0, -(18*INDEX('UZ-normalized'!$D:$D, MATCH($A29, 'UZ-normalized'!$A:$A, 0))-INDEX('UZ-normalized'!$E:$E, MATCH($A29, 'UZ-normalized'!$A:$A, 0))), 0), 0)))</f>
        <v>0</v>
      </c>
      <c r="AG29" s="6">
        <f>MIN(0, N29+(IFERROR(IF(19*INDEX('UA-normalized'!$D:$D, MATCH($A29, 'UA-normalized'!$A:$A, 0))-INDEX('UA-normalized'!$E:$E, MATCH($A29, 'UA-normalized'!$A:$A, 0))&gt;0, -(19*INDEX('UA-normalized'!$D:$D, MATCH($A29, 'UA-normalized'!$A:$A, 0))-INDEX('UA-normalized'!$E:$E, MATCH($A29, 'UA-normalized'!$A:$A, 0))), 0), 0))+(IFERROR(IF(19*INDEX('KZ-normalized'!$D:$D, MATCH($A29, 'KZ-normalized'!$A:$A, 0))-INDEX('KZ-normalized'!$E:$E, MATCH($A29, 'KZ-normalized'!$A:$A, 0))&gt;0, -(19*INDEX('KZ-normalized'!$D:$D, MATCH($A29, 'KZ-normalized'!$A:$A, 0))-INDEX('KZ-normalized'!$E:$E, MATCH($A29, 'KZ-normalized'!$A:$A, 0))), 0), 0))+(IFERROR(IF(19*INDEX('UZ-normalized'!$D:$D, MATCH($A29, 'UZ-normalized'!$A:$A, 0))-INDEX('UZ-normalized'!$E:$E, MATCH($A29, 'UZ-normalized'!$A:$A, 0))&gt;0, -(19*INDEX('UZ-normalized'!$D:$D, MATCH($A29, 'UZ-normalized'!$A:$A, 0))-INDEX('UZ-normalized'!$E:$E, MATCH($A29, 'UZ-normalized'!$A:$A, 0))), 0), 0)))</f>
        <v>0</v>
      </c>
      <c r="AH29" s="6">
        <f>MIN(0, N29+(IFERROR(IF(20*INDEX('UA-normalized'!$D:$D, MATCH($A29, 'UA-normalized'!$A:$A, 0))-INDEX('UA-normalized'!$E:$E, MATCH($A29, 'UA-normalized'!$A:$A, 0))&gt;0, -(20*INDEX('UA-normalized'!$D:$D, MATCH($A29, 'UA-normalized'!$A:$A, 0))-INDEX('UA-normalized'!$E:$E, MATCH($A29, 'UA-normalized'!$A:$A, 0))), 0), 0))+(IFERROR(IF(20*INDEX('KZ-normalized'!$D:$D, MATCH($A29, 'KZ-normalized'!$A:$A, 0))-INDEX('KZ-normalized'!$E:$E, MATCH($A29, 'KZ-normalized'!$A:$A, 0))&gt;0, -(20*INDEX('KZ-normalized'!$D:$D, MATCH($A29, 'KZ-normalized'!$A:$A, 0))-INDEX('KZ-normalized'!$E:$E, MATCH($A29, 'KZ-normalized'!$A:$A, 0))), 0), 0))+(IFERROR(IF(20*INDEX('UZ-normalized'!$D:$D, MATCH($A29, 'UZ-normalized'!$A:$A, 0))-INDEX('UZ-normalized'!$E:$E, MATCH($A29, 'UZ-normalized'!$A:$A, 0))&gt;0, -(20*INDEX('UZ-normalized'!$D:$D, MATCH($A29, 'UZ-normalized'!$A:$A, 0))-INDEX('UZ-normalized'!$E:$E, MATCH($A29, 'UZ-normalized'!$A:$A, 0))), 0), 0)))</f>
        <v>0</v>
      </c>
      <c r="AI29" s="6">
        <f>MIN(0, N29+(IFERROR(IF(21*INDEX('UA-normalized'!$D:$D, MATCH($A29, 'UA-normalized'!$A:$A, 0))-INDEX('UA-normalized'!$E:$E, MATCH($A29, 'UA-normalized'!$A:$A, 0))&gt;0, -(21*INDEX('UA-normalized'!$D:$D, MATCH($A29, 'UA-normalized'!$A:$A, 0))-INDEX('UA-normalized'!$E:$E, MATCH($A29, 'UA-normalized'!$A:$A, 0))), 0), 0))+(IFERROR(IF(21*INDEX('KZ-normalized'!$D:$D, MATCH($A29, 'KZ-normalized'!$A:$A, 0))-INDEX('KZ-normalized'!$E:$E, MATCH($A29, 'KZ-normalized'!$A:$A, 0))&gt;0, -(21*INDEX('KZ-normalized'!$D:$D, MATCH($A29, 'KZ-normalized'!$A:$A, 0))-INDEX('KZ-normalized'!$E:$E, MATCH($A29, 'KZ-normalized'!$A:$A, 0))), 0), 0))+(IFERROR(IF(21*INDEX('UZ-normalized'!$D:$D, MATCH($A29, 'UZ-normalized'!$A:$A, 0))-INDEX('UZ-normalized'!$E:$E, MATCH($A29, 'UZ-normalized'!$A:$A, 0))&gt;0, -(21*INDEX('UZ-normalized'!$D:$D, MATCH($A29, 'UZ-normalized'!$A:$A, 0))-INDEX('UZ-normalized'!$E:$E, MATCH($A29, 'UZ-normalized'!$A:$A, 0))), 0), 0)))</f>
        <v>0</v>
      </c>
      <c r="AJ29" s="6">
        <f>MIN(0, N29+(IFERROR(IF(22*INDEX('UA-normalized'!$D:$D, MATCH($A29, 'UA-normalized'!$A:$A, 0))-INDEX('UA-normalized'!$E:$E, MATCH($A29, 'UA-normalized'!$A:$A, 0))&gt;0, -(22*INDEX('UA-normalized'!$D:$D, MATCH($A29, 'UA-normalized'!$A:$A, 0))-INDEX('UA-normalized'!$E:$E, MATCH($A29, 'UA-normalized'!$A:$A, 0))), 0), 0))+(IFERROR(IF(22*INDEX('KZ-normalized'!$D:$D, MATCH($A29, 'KZ-normalized'!$A:$A, 0))-INDEX('KZ-normalized'!$E:$E, MATCH($A29, 'KZ-normalized'!$A:$A, 0))&gt;0, -(22*INDEX('KZ-normalized'!$D:$D, MATCH($A29, 'KZ-normalized'!$A:$A, 0))-INDEX('KZ-normalized'!$E:$E, MATCH($A29, 'KZ-normalized'!$A:$A, 0))), 0), 0))+(IFERROR(IF(22*INDEX('UZ-normalized'!$D:$D, MATCH($A29, 'UZ-normalized'!$A:$A, 0))-INDEX('UZ-normalized'!$E:$E, MATCH($A29, 'UZ-normalized'!$A:$A, 0))&gt;0, -(22*INDEX('UZ-normalized'!$D:$D, MATCH($A29, 'UZ-normalized'!$A:$A, 0))-INDEX('UZ-normalized'!$E:$E, MATCH($A29, 'UZ-normalized'!$A:$A, 0))), 0), 0)))</f>
        <v>0</v>
      </c>
      <c r="AK29" s="6">
        <f>MIN(0, N29+(IFERROR(IF(23*INDEX('UA-normalized'!$D:$D, MATCH($A29, 'UA-normalized'!$A:$A, 0))-INDEX('UA-normalized'!$E:$E, MATCH($A29, 'UA-normalized'!$A:$A, 0))&gt;0, -(23*INDEX('UA-normalized'!$D:$D, MATCH($A29, 'UA-normalized'!$A:$A, 0))-INDEX('UA-normalized'!$E:$E, MATCH($A29, 'UA-normalized'!$A:$A, 0))), 0), 0))+(IFERROR(IF(23*INDEX('KZ-normalized'!$D:$D, MATCH($A29, 'KZ-normalized'!$A:$A, 0))-INDEX('KZ-normalized'!$E:$E, MATCH($A29, 'KZ-normalized'!$A:$A, 0))&gt;0, -(23*INDEX('KZ-normalized'!$D:$D, MATCH($A29, 'KZ-normalized'!$A:$A, 0))-INDEX('KZ-normalized'!$E:$E, MATCH($A29, 'KZ-normalized'!$A:$A, 0))), 0), 0))+(IFERROR(IF(23*INDEX('UZ-normalized'!$D:$D, MATCH($A29, 'UZ-normalized'!$A:$A, 0))-INDEX('UZ-normalized'!$E:$E, MATCH($A29, 'UZ-normalized'!$A:$A, 0))&gt;0, -(23*INDEX('UZ-normalized'!$D:$D, MATCH($A29, 'UZ-normalized'!$A:$A, 0))-INDEX('UZ-normalized'!$E:$E, MATCH($A29, 'UZ-normalized'!$A:$A, 0))), 0), 0)))</f>
        <v>0</v>
      </c>
      <c r="AL29" s="6">
        <f>MIN(0, N29+(IFERROR(IF(24*INDEX('UA-normalized'!$D:$D, MATCH($A29, 'UA-normalized'!$A:$A, 0))-INDEX('UA-normalized'!$E:$E, MATCH($A29, 'UA-normalized'!$A:$A, 0))&gt;0, -(24*INDEX('UA-normalized'!$D:$D, MATCH($A29, 'UA-normalized'!$A:$A, 0))-INDEX('UA-normalized'!$E:$E, MATCH($A29, 'UA-normalized'!$A:$A, 0))), 0), 0))+(IFERROR(IF(24*INDEX('KZ-normalized'!$D:$D, MATCH($A29, 'KZ-normalized'!$A:$A, 0))-INDEX('KZ-normalized'!$E:$E, MATCH($A29, 'KZ-normalized'!$A:$A, 0))&gt;0, -(24*INDEX('KZ-normalized'!$D:$D, MATCH($A29, 'KZ-normalized'!$A:$A, 0))-INDEX('KZ-normalized'!$E:$E, MATCH($A29, 'KZ-normalized'!$A:$A, 0))), 0), 0))+(IFERROR(IF(24*INDEX('UZ-normalized'!$D:$D, MATCH($A29, 'UZ-normalized'!$A:$A, 0))-INDEX('UZ-normalized'!$E:$E, MATCH($A29, 'UZ-normalized'!$A:$A, 0))&gt;0, -(24*INDEX('UZ-normalized'!$D:$D, MATCH($A29, 'UZ-normalized'!$A:$A, 0))-INDEX('UZ-normalized'!$E:$E, MATCH($A29, 'UZ-normalized'!$A:$A, 0))), 0), 0)))</f>
        <v>0</v>
      </c>
      <c r="AM29" s="6">
        <f>MIN(0, N29+(IFERROR(IF(25*INDEX('UA-normalized'!$D:$D, MATCH($A29, 'UA-normalized'!$A:$A, 0))-INDEX('UA-normalized'!$E:$E, MATCH($A29, 'UA-normalized'!$A:$A, 0))&gt;0, -(25*INDEX('UA-normalized'!$D:$D, MATCH($A29, 'UA-normalized'!$A:$A, 0))-INDEX('UA-normalized'!$E:$E, MATCH($A29, 'UA-normalized'!$A:$A, 0))), 0), 0))+(IFERROR(IF(25*INDEX('KZ-normalized'!$D:$D, MATCH($A29, 'KZ-normalized'!$A:$A, 0))-INDEX('KZ-normalized'!$E:$E, MATCH($A29, 'KZ-normalized'!$A:$A, 0))&gt;0, -(25*INDEX('KZ-normalized'!$D:$D, MATCH($A29, 'KZ-normalized'!$A:$A, 0))-INDEX('KZ-normalized'!$E:$E, MATCH($A29, 'KZ-normalized'!$A:$A, 0))), 0), 0))+(IFERROR(IF(25*INDEX('UZ-normalized'!$D:$D, MATCH($A29, 'UZ-normalized'!$A:$A, 0))-INDEX('UZ-normalized'!$E:$E, MATCH($A29, 'UZ-normalized'!$A:$A, 0))&gt;0, -(25*INDEX('UZ-normalized'!$D:$D, MATCH($A29, 'UZ-normalized'!$A:$A, 0))-INDEX('UZ-normalized'!$E:$E, MATCH($A29, 'UZ-normalized'!$A:$A, 0))), 0), 0)))</f>
        <v>0</v>
      </c>
      <c r="AN29" s="6">
        <f>MIN(0, N29+(IFERROR(IF(26*INDEX('UA-normalized'!$D:$D, MATCH($A29, 'UA-normalized'!$A:$A, 0))-INDEX('UA-normalized'!$E:$E, MATCH($A29, 'UA-normalized'!$A:$A, 0))&gt;0, -(26*INDEX('UA-normalized'!$D:$D, MATCH($A29, 'UA-normalized'!$A:$A, 0))-INDEX('UA-normalized'!$E:$E, MATCH($A29, 'UA-normalized'!$A:$A, 0))), 0), 0))+(IFERROR(IF(26*INDEX('KZ-normalized'!$D:$D, MATCH($A29, 'KZ-normalized'!$A:$A, 0))-INDEX('KZ-normalized'!$E:$E, MATCH($A29, 'KZ-normalized'!$A:$A, 0))&gt;0, -(26*INDEX('KZ-normalized'!$D:$D, MATCH($A29, 'KZ-normalized'!$A:$A, 0))-INDEX('KZ-normalized'!$E:$E, MATCH($A29, 'KZ-normalized'!$A:$A, 0))), 0), 0))+(IFERROR(IF(26*INDEX('UZ-normalized'!$D:$D, MATCH($A29, 'UZ-normalized'!$A:$A, 0))-INDEX('UZ-normalized'!$E:$E, MATCH($A29, 'UZ-normalized'!$A:$A, 0))&gt;0, -(26*INDEX('UZ-normalized'!$D:$D, MATCH($A29, 'UZ-normalized'!$A:$A, 0))-INDEX('UZ-normalized'!$E:$E, MATCH($A29, 'UZ-normalized'!$A:$A, 0))), 0), 0)))</f>
        <v>0</v>
      </c>
      <c r="AO29" s="6">
        <f>MIN(0, N29+(IFERROR(IF(27*INDEX('UA-normalized'!$D:$D, MATCH($A29, 'UA-normalized'!$A:$A, 0))-INDEX('UA-normalized'!$E:$E, MATCH($A29, 'UA-normalized'!$A:$A, 0))&gt;0, -(27*INDEX('UA-normalized'!$D:$D, MATCH($A29, 'UA-normalized'!$A:$A, 0))-INDEX('UA-normalized'!$E:$E, MATCH($A29, 'UA-normalized'!$A:$A, 0))), 0), 0))+(IFERROR(IF(27*INDEX('KZ-normalized'!$D:$D, MATCH($A29, 'KZ-normalized'!$A:$A, 0))-INDEX('KZ-normalized'!$E:$E, MATCH($A29, 'KZ-normalized'!$A:$A, 0))&gt;0, -(27*INDEX('KZ-normalized'!$D:$D, MATCH($A29, 'KZ-normalized'!$A:$A, 0))-INDEX('KZ-normalized'!$E:$E, MATCH($A29, 'KZ-normalized'!$A:$A, 0))), 0), 0))+(IFERROR(IF(27*INDEX('UZ-normalized'!$D:$D, MATCH($A29, 'UZ-normalized'!$A:$A, 0))-INDEX('UZ-normalized'!$E:$E, MATCH($A29, 'UZ-normalized'!$A:$A, 0))&gt;0, -(27*INDEX('UZ-normalized'!$D:$D, MATCH($A29, 'UZ-normalized'!$A:$A, 0))-INDEX('UZ-normalized'!$E:$E, MATCH($A29, 'UZ-normalized'!$A:$A, 0))), 0), 0)))</f>
        <v>0</v>
      </c>
      <c r="AP29" s="6">
        <f>MIN(0, N29+(IFERROR(IF(28*INDEX('UA-normalized'!$D:$D, MATCH($A29, 'UA-normalized'!$A:$A, 0))-INDEX('UA-normalized'!$E:$E, MATCH($A29, 'UA-normalized'!$A:$A, 0))&gt;0, -(28*INDEX('UA-normalized'!$D:$D, MATCH($A29, 'UA-normalized'!$A:$A, 0))-INDEX('UA-normalized'!$E:$E, MATCH($A29, 'UA-normalized'!$A:$A, 0))), 0), 0))+(IFERROR(IF(28*INDEX('KZ-normalized'!$D:$D, MATCH($A29, 'KZ-normalized'!$A:$A, 0))-INDEX('KZ-normalized'!$E:$E, MATCH($A29, 'KZ-normalized'!$A:$A, 0))&gt;0, -(28*INDEX('KZ-normalized'!$D:$D, MATCH($A29, 'KZ-normalized'!$A:$A, 0))-INDEX('KZ-normalized'!$E:$E, MATCH($A29, 'KZ-normalized'!$A:$A, 0))), 0), 0))+(IFERROR(IF(28*INDEX('UZ-normalized'!$D:$D, MATCH($A29, 'UZ-normalized'!$A:$A, 0))-INDEX('UZ-normalized'!$E:$E, MATCH($A29, 'UZ-normalized'!$A:$A, 0))&gt;0, -(28*INDEX('UZ-normalized'!$D:$D, MATCH($A29, 'UZ-normalized'!$A:$A, 0))-INDEX('UZ-normalized'!$E:$E, MATCH($A29, 'UZ-normalized'!$A:$A, 0))), 0), 0)))</f>
        <v>0</v>
      </c>
      <c r="AQ29" s="6">
        <f>MIN(0, N29+(IFERROR(IF(29*INDEX('UA-normalized'!$D:$D, MATCH($A29, 'UA-normalized'!$A:$A, 0))-INDEX('UA-normalized'!$E:$E, MATCH($A29, 'UA-normalized'!$A:$A, 0))&gt;0, -(29*INDEX('UA-normalized'!$D:$D, MATCH($A29, 'UA-normalized'!$A:$A, 0))-INDEX('UA-normalized'!$E:$E, MATCH($A29, 'UA-normalized'!$A:$A, 0))), 0), 0))+(IFERROR(IF(29*INDEX('KZ-normalized'!$D:$D, MATCH($A29, 'KZ-normalized'!$A:$A, 0))-INDEX('KZ-normalized'!$E:$E, MATCH($A29, 'KZ-normalized'!$A:$A, 0))&gt;0, -(29*INDEX('KZ-normalized'!$D:$D, MATCH($A29, 'KZ-normalized'!$A:$A, 0))-INDEX('KZ-normalized'!$E:$E, MATCH($A29, 'KZ-normalized'!$A:$A, 0))), 0), 0))+(IFERROR(IF(29*INDEX('UZ-normalized'!$D:$D, MATCH($A29, 'UZ-normalized'!$A:$A, 0))-INDEX('UZ-normalized'!$E:$E, MATCH($A29, 'UZ-normalized'!$A:$A, 0))&gt;0, -(29*INDEX('UZ-normalized'!$D:$D, MATCH($A29, 'UZ-normalized'!$A:$A, 0))-INDEX('UZ-normalized'!$E:$E, MATCH($A29, 'UZ-normalized'!$A:$A, 0))), 0), 0)))</f>
        <v>0</v>
      </c>
      <c r="AR29" s="6">
        <f>MIN(0, N29+(IFERROR(IF(30*INDEX('UA-normalized'!$D:$D, MATCH($A29, 'UA-normalized'!$A:$A, 0))-INDEX('UA-normalized'!$E:$E, MATCH($A29, 'UA-normalized'!$A:$A, 0))&gt;0, -(30*INDEX('UA-normalized'!$D:$D, MATCH($A29, 'UA-normalized'!$A:$A, 0))-INDEX('UA-normalized'!$E:$E, MATCH($A29, 'UA-normalized'!$A:$A, 0))), 0), 0))+(IFERROR(IF(30*INDEX('KZ-normalized'!$D:$D, MATCH($A29, 'KZ-normalized'!$A:$A, 0))-INDEX('KZ-normalized'!$E:$E, MATCH($A29, 'KZ-normalized'!$A:$A, 0))&gt;0, -(30*INDEX('KZ-normalized'!$D:$D, MATCH($A29, 'KZ-normalized'!$A:$A, 0))-INDEX('KZ-normalized'!$E:$E, MATCH($A29, 'KZ-normalized'!$A:$A, 0))), 0), 0))+(IFERROR(IF(30*INDEX('UZ-normalized'!$D:$D, MATCH($A29, 'UZ-normalized'!$A:$A, 0))-INDEX('UZ-normalized'!$E:$E, MATCH($A29, 'UZ-normalized'!$A:$A, 0))&gt;0, -(30*INDEX('UZ-normalized'!$D:$D, MATCH($A29, 'UZ-normalized'!$A:$A, 0))-INDEX('UZ-normalized'!$E:$E, MATCH($A29, 'UZ-normalized'!$A:$A, 0))), 0), 0)))</f>
        <v>0</v>
      </c>
    </row>
    <row r="30" spans="1:44" x14ac:dyDescent="0.25">
      <c r="A30" s="8" t="s">
        <v>108</v>
      </c>
      <c r="B30" s="8" t="s">
        <v>83</v>
      </c>
      <c r="C30" s="8" t="s">
        <v>105</v>
      </c>
      <c r="D30" s="8" t="s">
        <v>109</v>
      </c>
      <c r="N30">
        <f t="shared" si="0"/>
        <v>0</v>
      </c>
      <c r="O30" s="6">
        <f>MIN(0, N30+(IFERROR(IF(1*INDEX('UA-normalized'!$D:$D, MATCH($A30, 'UA-normalized'!$A:$A, 0))-INDEX('UA-normalized'!$E:$E, MATCH($A30, 'UA-normalized'!$A:$A, 0))&gt;0, -(1*INDEX('UA-normalized'!$D:$D, MATCH($A30, 'UA-normalized'!$A:$A, 0))-INDEX('UA-normalized'!$E:$E, MATCH($A30, 'UA-normalized'!$A:$A, 0))), 0), 0))+(IFERROR(IF(1*INDEX('KZ-normalized'!$D:$D, MATCH($A30, 'KZ-normalized'!$A:$A, 0))-INDEX('KZ-normalized'!$E:$E, MATCH($A30, 'KZ-normalized'!$A:$A, 0))&gt;0, -(1*INDEX('KZ-normalized'!$D:$D, MATCH($A30, 'KZ-normalized'!$A:$A, 0))-INDEX('KZ-normalized'!$E:$E, MATCH($A30, 'KZ-normalized'!$A:$A, 0))), 0), 0))+(IFERROR(IF(1*INDEX('UZ-normalized'!$D:$D, MATCH($A30, 'UZ-normalized'!$A:$A, 0))-INDEX('UZ-normalized'!$E:$E, MATCH($A30, 'UZ-normalized'!$A:$A, 0))&gt;0, -(1*INDEX('UZ-normalized'!$D:$D, MATCH($A30, 'UZ-normalized'!$A:$A, 0))-INDEX('UZ-normalized'!$E:$E, MATCH($A30, 'UZ-normalized'!$A:$A, 0))), 0), 0)))</f>
        <v>0</v>
      </c>
      <c r="P30" s="6">
        <f>MIN(0, N30+(IFERROR(IF(2*INDEX('UA-normalized'!$D:$D, MATCH($A30, 'UA-normalized'!$A:$A, 0))-INDEX('UA-normalized'!$E:$E, MATCH($A30, 'UA-normalized'!$A:$A, 0))&gt;0, -(2*INDEX('UA-normalized'!$D:$D, MATCH($A30, 'UA-normalized'!$A:$A, 0))-INDEX('UA-normalized'!$E:$E, MATCH($A30, 'UA-normalized'!$A:$A, 0))), 0), 0))+(IFERROR(IF(2*INDEX('KZ-normalized'!$D:$D, MATCH($A30, 'KZ-normalized'!$A:$A, 0))-INDEX('KZ-normalized'!$E:$E, MATCH($A30, 'KZ-normalized'!$A:$A, 0))&gt;0, -(2*INDEX('KZ-normalized'!$D:$D, MATCH($A30, 'KZ-normalized'!$A:$A, 0))-INDEX('KZ-normalized'!$E:$E, MATCH($A30, 'KZ-normalized'!$A:$A, 0))), 0), 0))+(IFERROR(IF(2*INDEX('UZ-normalized'!$D:$D, MATCH($A30, 'UZ-normalized'!$A:$A, 0))-INDEX('UZ-normalized'!$E:$E, MATCH($A30, 'UZ-normalized'!$A:$A, 0))&gt;0, -(2*INDEX('UZ-normalized'!$D:$D, MATCH($A30, 'UZ-normalized'!$A:$A, 0))-INDEX('UZ-normalized'!$E:$E, MATCH($A30, 'UZ-normalized'!$A:$A, 0))), 0), 0)))</f>
        <v>0</v>
      </c>
      <c r="Q30" s="6">
        <f>MIN(0, N30+(IFERROR(IF(3*INDEX('UA-normalized'!$D:$D, MATCH($A30, 'UA-normalized'!$A:$A, 0))-INDEX('UA-normalized'!$E:$E, MATCH($A30, 'UA-normalized'!$A:$A, 0))&gt;0, -(3*INDEX('UA-normalized'!$D:$D, MATCH($A30, 'UA-normalized'!$A:$A, 0))-INDEX('UA-normalized'!$E:$E, MATCH($A30, 'UA-normalized'!$A:$A, 0))), 0), 0))+(IFERROR(IF(3*INDEX('KZ-normalized'!$D:$D, MATCH($A30, 'KZ-normalized'!$A:$A, 0))-INDEX('KZ-normalized'!$E:$E, MATCH($A30, 'KZ-normalized'!$A:$A, 0))&gt;0, -(3*INDEX('KZ-normalized'!$D:$D, MATCH($A30, 'KZ-normalized'!$A:$A, 0))-INDEX('KZ-normalized'!$E:$E, MATCH($A30, 'KZ-normalized'!$A:$A, 0))), 0), 0))+(IFERROR(IF(3*INDEX('UZ-normalized'!$D:$D, MATCH($A30, 'UZ-normalized'!$A:$A, 0))-INDEX('UZ-normalized'!$E:$E, MATCH($A30, 'UZ-normalized'!$A:$A, 0))&gt;0, -(3*INDEX('UZ-normalized'!$D:$D, MATCH($A30, 'UZ-normalized'!$A:$A, 0))-INDEX('UZ-normalized'!$E:$E, MATCH($A30, 'UZ-normalized'!$A:$A, 0))), 0), 0)))</f>
        <v>0</v>
      </c>
      <c r="R30" s="6">
        <f>MIN(0, N30+(IFERROR(IF(4*INDEX('UA-normalized'!$D:$D, MATCH($A30, 'UA-normalized'!$A:$A, 0))-INDEX('UA-normalized'!$E:$E, MATCH($A30, 'UA-normalized'!$A:$A, 0))&gt;0, -(4*INDEX('UA-normalized'!$D:$D, MATCH($A30, 'UA-normalized'!$A:$A, 0))-INDEX('UA-normalized'!$E:$E, MATCH($A30, 'UA-normalized'!$A:$A, 0))), 0), 0))+(IFERROR(IF(4*INDEX('KZ-normalized'!$D:$D, MATCH($A30, 'KZ-normalized'!$A:$A, 0))-INDEX('KZ-normalized'!$E:$E, MATCH($A30, 'KZ-normalized'!$A:$A, 0))&gt;0, -(4*INDEX('KZ-normalized'!$D:$D, MATCH($A30, 'KZ-normalized'!$A:$A, 0))-INDEX('KZ-normalized'!$E:$E, MATCH($A30, 'KZ-normalized'!$A:$A, 0))), 0), 0))+(IFERROR(IF(4*INDEX('UZ-normalized'!$D:$D, MATCH($A30, 'UZ-normalized'!$A:$A, 0))-INDEX('UZ-normalized'!$E:$E, MATCH($A30, 'UZ-normalized'!$A:$A, 0))&gt;0, -(4*INDEX('UZ-normalized'!$D:$D, MATCH($A30, 'UZ-normalized'!$A:$A, 0))-INDEX('UZ-normalized'!$E:$E, MATCH($A30, 'UZ-normalized'!$A:$A, 0))), 0), 0)))</f>
        <v>0</v>
      </c>
      <c r="S30" s="6">
        <f>MIN(0, N30+(IFERROR(IF(5*INDEX('UA-normalized'!$D:$D, MATCH($A30, 'UA-normalized'!$A:$A, 0))-INDEX('UA-normalized'!$E:$E, MATCH($A30, 'UA-normalized'!$A:$A, 0))&gt;0, -(5*INDEX('UA-normalized'!$D:$D, MATCH($A30, 'UA-normalized'!$A:$A, 0))-INDEX('UA-normalized'!$E:$E, MATCH($A30, 'UA-normalized'!$A:$A, 0))), 0), 0))+(IFERROR(IF(5*INDEX('KZ-normalized'!$D:$D, MATCH($A30, 'KZ-normalized'!$A:$A, 0))-INDEX('KZ-normalized'!$E:$E, MATCH($A30, 'KZ-normalized'!$A:$A, 0))&gt;0, -(5*INDEX('KZ-normalized'!$D:$D, MATCH($A30, 'KZ-normalized'!$A:$A, 0))-INDEX('KZ-normalized'!$E:$E, MATCH($A30, 'KZ-normalized'!$A:$A, 0))), 0), 0))+(IFERROR(IF(5*INDEX('UZ-normalized'!$D:$D, MATCH($A30, 'UZ-normalized'!$A:$A, 0))-INDEX('UZ-normalized'!$E:$E, MATCH($A30, 'UZ-normalized'!$A:$A, 0))&gt;0, -(5*INDEX('UZ-normalized'!$D:$D, MATCH($A30, 'UZ-normalized'!$A:$A, 0))-INDEX('UZ-normalized'!$E:$E, MATCH($A30, 'UZ-normalized'!$A:$A, 0))), 0), 0)))</f>
        <v>0</v>
      </c>
      <c r="T30" s="6">
        <f>MIN(0, N30+(IFERROR(IF(6*INDEX('UA-normalized'!$D:$D, MATCH($A30, 'UA-normalized'!$A:$A, 0))-INDEX('UA-normalized'!$E:$E, MATCH($A30, 'UA-normalized'!$A:$A, 0))&gt;0, -(6*INDEX('UA-normalized'!$D:$D, MATCH($A30, 'UA-normalized'!$A:$A, 0))-INDEX('UA-normalized'!$E:$E, MATCH($A30, 'UA-normalized'!$A:$A, 0))), 0), 0))+(IFERROR(IF(6*INDEX('KZ-normalized'!$D:$D, MATCH($A30, 'KZ-normalized'!$A:$A, 0))-INDEX('KZ-normalized'!$E:$E, MATCH($A30, 'KZ-normalized'!$A:$A, 0))&gt;0, -(6*INDEX('KZ-normalized'!$D:$D, MATCH($A30, 'KZ-normalized'!$A:$A, 0))-INDEX('KZ-normalized'!$E:$E, MATCH($A30, 'KZ-normalized'!$A:$A, 0))), 0), 0))+(IFERROR(IF(6*INDEX('UZ-normalized'!$D:$D, MATCH($A30, 'UZ-normalized'!$A:$A, 0))-INDEX('UZ-normalized'!$E:$E, MATCH($A30, 'UZ-normalized'!$A:$A, 0))&gt;0, -(6*INDEX('UZ-normalized'!$D:$D, MATCH($A30, 'UZ-normalized'!$A:$A, 0))-INDEX('UZ-normalized'!$E:$E, MATCH($A30, 'UZ-normalized'!$A:$A, 0))), 0), 0)))</f>
        <v>0</v>
      </c>
      <c r="U30" s="6">
        <f>MIN(0, N30+(IFERROR(IF(7*INDEX('UA-normalized'!$D:$D, MATCH($A30, 'UA-normalized'!$A:$A, 0))-INDEX('UA-normalized'!$E:$E, MATCH($A30, 'UA-normalized'!$A:$A, 0))&gt;0, -(7*INDEX('UA-normalized'!$D:$D, MATCH($A30, 'UA-normalized'!$A:$A, 0))-INDEX('UA-normalized'!$E:$E, MATCH($A30, 'UA-normalized'!$A:$A, 0))), 0), 0))+(IFERROR(IF(7*INDEX('KZ-normalized'!$D:$D, MATCH($A30, 'KZ-normalized'!$A:$A, 0))-INDEX('KZ-normalized'!$E:$E, MATCH($A30, 'KZ-normalized'!$A:$A, 0))&gt;0, -(7*INDEX('KZ-normalized'!$D:$D, MATCH($A30, 'KZ-normalized'!$A:$A, 0))-INDEX('KZ-normalized'!$E:$E, MATCH($A30, 'KZ-normalized'!$A:$A, 0))), 0), 0))+(IFERROR(IF(7*INDEX('UZ-normalized'!$D:$D, MATCH($A30, 'UZ-normalized'!$A:$A, 0))-INDEX('UZ-normalized'!$E:$E, MATCH($A30, 'UZ-normalized'!$A:$A, 0))&gt;0, -(7*INDEX('UZ-normalized'!$D:$D, MATCH($A30, 'UZ-normalized'!$A:$A, 0))-INDEX('UZ-normalized'!$E:$E, MATCH($A30, 'UZ-normalized'!$A:$A, 0))), 0), 0)))</f>
        <v>0</v>
      </c>
      <c r="V30" s="6">
        <f>MIN(0, N30+(IFERROR(IF(8*INDEX('UA-normalized'!$D:$D, MATCH($A30, 'UA-normalized'!$A:$A, 0))-INDEX('UA-normalized'!$E:$E, MATCH($A30, 'UA-normalized'!$A:$A, 0))&gt;0, -(8*INDEX('UA-normalized'!$D:$D, MATCH($A30, 'UA-normalized'!$A:$A, 0))-INDEX('UA-normalized'!$E:$E, MATCH($A30, 'UA-normalized'!$A:$A, 0))), 0), 0))+(IFERROR(IF(8*INDEX('KZ-normalized'!$D:$D, MATCH($A30, 'KZ-normalized'!$A:$A, 0))-INDEX('KZ-normalized'!$E:$E, MATCH($A30, 'KZ-normalized'!$A:$A, 0))&gt;0, -(8*INDEX('KZ-normalized'!$D:$D, MATCH($A30, 'KZ-normalized'!$A:$A, 0))-INDEX('KZ-normalized'!$E:$E, MATCH($A30, 'KZ-normalized'!$A:$A, 0))), 0), 0))+(IFERROR(IF(8*INDEX('UZ-normalized'!$D:$D, MATCH($A30, 'UZ-normalized'!$A:$A, 0))-INDEX('UZ-normalized'!$E:$E, MATCH($A30, 'UZ-normalized'!$A:$A, 0))&gt;0, -(8*INDEX('UZ-normalized'!$D:$D, MATCH($A30, 'UZ-normalized'!$A:$A, 0))-INDEX('UZ-normalized'!$E:$E, MATCH($A30, 'UZ-normalized'!$A:$A, 0))), 0), 0)))</f>
        <v>0</v>
      </c>
      <c r="W30" s="6">
        <f>MIN(0, N30+(IFERROR(IF(9*INDEX('UA-normalized'!$D:$D, MATCH($A30, 'UA-normalized'!$A:$A, 0))-INDEX('UA-normalized'!$E:$E, MATCH($A30, 'UA-normalized'!$A:$A, 0))&gt;0, -(9*INDEX('UA-normalized'!$D:$D, MATCH($A30, 'UA-normalized'!$A:$A, 0))-INDEX('UA-normalized'!$E:$E, MATCH($A30, 'UA-normalized'!$A:$A, 0))), 0), 0))+(IFERROR(IF(9*INDEX('KZ-normalized'!$D:$D, MATCH($A30, 'KZ-normalized'!$A:$A, 0))-INDEX('KZ-normalized'!$E:$E, MATCH($A30, 'KZ-normalized'!$A:$A, 0))&gt;0, -(9*INDEX('KZ-normalized'!$D:$D, MATCH($A30, 'KZ-normalized'!$A:$A, 0))-INDEX('KZ-normalized'!$E:$E, MATCH($A30, 'KZ-normalized'!$A:$A, 0))), 0), 0))+(IFERROR(IF(9*INDEX('UZ-normalized'!$D:$D, MATCH($A30, 'UZ-normalized'!$A:$A, 0))-INDEX('UZ-normalized'!$E:$E, MATCH($A30, 'UZ-normalized'!$A:$A, 0))&gt;0, -(9*INDEX('UZ-normalized'!$D:$D, MATCH($A30, 'UZ-normalized'!$A:$A, 0))-INDEX('UZ-normalized'!$E:$E, MATCH($A30, 'UZ-normalized'!$A:$A, 0))), 0), 0)))</f>
        <v>0</v>
      </c>
      <c r="X30" s="6">
        <f>MIN(0, N30+(IFERROR(IF(10*INDEX('UA-normalized'!$D:$D, MATCH($A30, 'UA-normalized'!$A:$A, 0))-INDEX('UA-normalized'!$E:$E, MATCH($A30, 'UA-normalized'!$A:$A, 0))&gt;0, -(10*INDEX('UA-normalized'!$D:$D, MATCH($A30, 'UA-normalized'!$A:$A, 0))-INDEX('UA-normalized'!$E:$E, MATCH($A30, 'UA-normalized'!$A:$A, 0))), 0), 0))+(IFERROR(IF(10*INDEX('KZ-normalized'!$D:$D, MATCH($A30, 'KZ-normalized'!$A:$A, 0))-INDEX('KZ-normalized'!$E:$E, MATCH($A30, 'KZ-normalized'!$A:$A, 0))&gt;0, -(10*INDEX('KZ-normalized'!$D:$D, MATCH($A30, 'KZ-normalized'!$A:$A, 0))-INDEX('KZ-normalized'!$E:$E, MATCH($A30, 'KZ-normalized'!$A:$A, 0))), 0), 0))+(IFERROR(IF(10*INDEX('UZ-normalized'!$D:$D, MATCH($A30, 'UZ-normalized'!$A:$A, 0))-INDEX('UZ-normalized'!$E:$E, MATCH($A30, 'UZ-normalized'!$A:$A, 0))&gt;0, -(10*INDEX('UZ-normalized'!$D:$D, MATCH($A30, 'UZ-normalized'!$A:$A, 0))-INDEX('UZ-normalized'!$E:$E, MATCH($A30, 'UZ-normalized'!$A:$A, 0))), 0), 0)))</f>
        <v>0</v>
      </c>
      <c r="Y30" s="6">
        <f>MIN(0, N30+(IFERROR(IF(11*INDEX('UA-normalized'!$D:$D, MATCH($A30, 'UA-normalized'!$A:$A, 0))-INDEX('UA-normalized'!$E:$E, MATCH($A30, 'UA-normalized'!$A:$A, 0))&gt;0, -(11*INDEX('UA-normalized'!$D:$D, MATCH($A30, 'UA-normalized'!$A:$A, 0))-INDEX('UA-normalized'!$E:$E, MATCH($A30, 'UA-normalized'!$A:$A, 0))), 0), 0))+(IFERROR(IF(11*INDEX('KZ-normalized'!$D:$D, MATCH($A30, 'KZ-normalized'!$A:$A, 0))-INDEX('KZ-normalized'!$E:$E, MATCH($A30, 'KZ-normalized'!$A:$A, 0))&gt;0, -(11*INDEX('KZ-normalized'!$D:$D, MATCH($A30, 'KZ-normalized'!$A:$A, 0))-INDEX('KZ-normalized'!$E:$E, MATCH($A30, 'KZ-normalized'!$A:$A, 0))), 0), 0))+(IFERROR(IF(11*INDEX('UZ-normalized'!$D:$D, MATCH($A30, 'UZ-normalized'!$A:$A, 0))-INDEX('UZ-normalized'!$E:$E, MATCH($A30, 'UZ-normalized'!$A:$A, 0))&gt;0, -(11*INDEX('UZ-normalized'!$D:$D, MATCH($A30, 'UZ-normalized'!$A:$A, 0))-INDEX('UZ-normalized'!$E:$E, MATCH($A30, 'UZ-normalized'!$A:$A, 0))), 0), 0)))</f>
        <v>0</v>
      </c>
      <c r="Z30" s="6">
        <f>MIN(0, N30+(IFERROR(IF(12*INDEX('UA-normalized'!$D:$D, MATCH($A30, 'UA-normalized'!$A:$A, 0))-INDEX('UA-normalized'!$E:$E, MATCH($A30, 'UA-normalized'!$A:$A, 0))&gt;0, -(12*INDEX('UA-normalized'!$D:$D, MATCH($A30, 'UA-normalized'!$A:$A, 0))-INDEX('UA-normalized'!$E:$E, MATCH($A30, 'UA-normalized'!$A:$A, 0))), 0), 0))+(IFERROR(IF(12*INDEX('KZ-normalized'!$D:$D, MATCH($A30, 'KZ-normalized'!$A:$A, 0))-INDEX('KZ-normalized'!$E:$E, MATCH($A30, 'KZ-normalized'!$A:$A, 0))&gt;0, -(12*INDEX('KZ-normalized'!$D:$D, MATCH($A30, 'KZ-normalized'!$A:$A, 0))-INDEX('KZ-normalized'!$E:$E, MATCH($A30, 'KZ-normalized'!$A:$A, 0))), 0), 0))+(IFERROR(IF(12*INDEX('UZ-normalized'!$D:$D, MATCH($A30, 'UZ-normalized'!$A:$A, 0))-INDEX('UZ-normalized'!$E:$E, MATCH($A30, 'UZ-normalized'!$A:$A, 0))&gt;0, -(12*INDEX('UZ-normalized'!$D:$D, MATCH($A30, 'UZ-normalized'!$A:$A, 0))-INDEX('UZ-normalized'!$E:$E, MATCH($A30, 'UZ-normalized'!$A:$A, 0))), 0), 0)))</f>
        <v>0</v>
      </c>
      <c r="AA30" s="6">
        <f>MIN(0, N30+(IFERROR(IF(13*INDEX('UA-normalized'!$D:$D, MATCH($A30, 'UA-normalized'!$A:$A, 0))-INDEX('UA-normalized'!$E:$E, MATCH($A30, 'UA-normalized'!$A:$A, 0))&gt;0, -(13*INDEX('UA-normalized'!$D:$D, MATCH($A30, 'UA-normalized'!$A:$A, 0))-INDEX('UA-normalized'!$E:$E, MATCH($A30, 'UA-normalized'!$A:$A, 0))), 0), 0))+(IFERROR(IF(13*INDEX('KZ-normalized'!$D:$D, MATCH($A30, 'KZ-normalized'!$A:$A, 0))-INDEX('KZ-normalized'!$E:$E, MATCH($A30, 'KZ-normalized'!$A:$A, 0))&gt;0, -(13*INDEX('KZ-normalized'!$D:$D, MATCH($A30, 'KZ-normalized'!$A:$A, 0))-INDEX('KZ-normalized'!$E:$E, MATCH($A30, 'KZ-normalized'!$A:$A, 0))), 0), 0))+(IFERROR(IF(13*INDEX('UZ-normalized'!$D:$D, MATCH($A30, 'UZ-normalized'!$A:$A, 0))-INDEX('UZ-normalized'!$E:$E, MATCH($A30, 'UZ-normalized'!$A:$A, 0))&gt;0, -(13*INDEX('UZ-normalized'!$D:$D, MATCH($A30, 'UZ-normalized'!$A:$A, 0))-INDEX('UZ-normalized'!$E:$E, MATCH($A30, 'UZ-normalized'!$A:$A, 0))), 0), 0)))</f>
        <v>0</v>
      </c>
      <c r="AB30" s="6">
        <f>MIN(0, N30+(IFERROR(IF(14*INDEX('UA-normalized'!$D:$D, MATCH($A30, 'UA-normalized'!$A:$A, 0))-INDEX('UA-normalized'!$E:$E, MATCH($A30, 'UA-normalized'!$A:$A, 0))&gt;0, -(14*INDEX('UA-normalized'!$D:$D, MATCH($A30, 'UA-normalized'!$A:$A, 0))-INDEX('UA-normalized'!$E:$E, MATCH($A30, 'UA-normalized'!$A:$A, 0))), 0), 0))+(IFERROR(IF(14*INDEX('KZ-normalized'!$D:$D, MATCH($A30, 'KZ-normalized'!$A:$A, 0))-INDEX('KZ-normalized'!$E:$E, MATCH($A30, 'KZ-normalized'!$A:$A, 0))&gt;0, -(14*INDEX('KZ-normalized'!$D:$D, MATCH($A30, 'KZ-normalized'!$A:$A, 0))-INDEX('KZ-normalized'!$E:$E, MATCH($A30, 'KZ-normalized'!$A:$A, 0))), 0), 0))+(IFERROR(IF(14*INDEX('UZ-normalized'!$D:$D, MATCH($A30, 'UZ-normalized'!$A:$A, 0))-INDEX('UZ-normalized'!$E:$E, MATCH($A30, 'UZ-normalized'!$A:$A, 0))&gt;0, -(14*INDEX('UZ-normalized'!$D:$D, MATCH($A30, 'UZ-normalized'!$A:$A, 0))-INDEX('UZ-normalized'!$E:$E, MATCH($A30, 'UZ-normalized'!$A:$A, 0))), 0), 0)))</f>
        <v>0</v>
      </c>
      <c r="AC30" s="6">
        <f>MIN(0, N30+(IFERROR(IF(15*INDEX('UA-normalized'!$D:$D, MATCH($A30, 'UA-normalized'!$A:$A, 0))-INDEX('UA-normalized'!$E:$E, MATCH($A30, 'UA-normalized'!$A:$A, 0))&gt;0, -(15*INDEX('UA-normalized'!$D:$D, MATCH($A30, 'UA-normalized'!$A:$A, 0))-INDEX('UA-normalized'!$E:$E, MATCH($A30, 'UA-normalized'!$A:$A, 0))), 0), 0))+(IFERROR(IF(15*INDEX('KZ-normalized'!$D:$D, MATCH($A30, 'KZ-normalized'!$A:$A, 0))-INDEX('KZ-normalized'!$E:$E, MATCH($A30, 'KZ-normalized'!$A:$A, 0))&gt;0, -(15*INDEX('KZ-normalized'!$D:$D, MATCH($A30, 'KZ-normalized'!$A:$A, 0))-INDEX('KZ-normalized'!$E:$E, MATCH($A30, 'KZ-normalized'!$A:$A, 0))), 0), 0))+(IFERROR(IF(15*INDEX('UZ-normalized'!$D:$D, MATCH($A30, 'UZ-normalized'!$A:$A, 0))-INDEX('UZ-normalized'!$E:$E, MATCH($A30, 'UZ-normalized'!$A:$A, 0))&gt;0, -(15*INDEX('UZ-normalized'!$D:$D, MATCH($A30, 'UZ-normalized'!$A:$A, 0))-INDEX('UZ-normalized'!$E:$E, MATCH($A30, 'UZ-normalized'!$A:$A, 0))), 0), 0)))</f>
        <v>0</v>
      </c>
      <c r="AD30" s="6">
        <f>MIN(0, N30+(IFERROR(IF(16*INDEX('UA-normalized'!$D:$D, MATCH($A30, 'UA-normalized'!$A:$A, 0))-INDEX('UA-normalized'!$E:$E, MATCH($A30, 'UA-normalized'!$A:$A, 0))&gt;0, -(16*INDEX('UA-normalized'!$D:$D, MATCH($A30, 'UA-normalized'!$A:$A, 0))-INDEX('UA-normalized'!$E:$E, MATCH($A30, 'UA-normalized'!$A:$A, 0))), 0), 0))+(IFERROR(IF(16*INDEX('KZ-normalized'!$D:$D, MATCH($A30, 'KZ-normalized'!$A:$A, 0))-INDEX('KZ-normalized'!$E:$E, MATCH($A30, 'KZ-normalized'!$A:$A, 0))&gt;0, -(16*INDEX('KZ-normalized'!$D:$D, MATCH($A30, 'KZ-normalized'!$A:$A, 0))-INDEX('KZ-normalized'!$E:$E, MATCH($A30, 'KZ-normalized'!$A:$A, 0))), 0), 0))+(IFERROR(IF(16*INDEX('UZ-normalized'!$D:$D, MATCH($A30, 'UZ-normalized'!$A:$A, 0))-INDEX('UZ-normalized'!$E:$E, MATCH($A30, 'UZ-normalized'!$A:$A, 0))&gt;0, -(16*INDEX('UZ-normalized'!$D:$D, MATCH($A30, 'UZ-normalized'!$A:$A, 0))-INDEX('UZ-normalized'!$E:$E, MATCH($A30, 'UZ-normalized'!$A:$A, 0))), 0), 0)))</f>
        <v>0</v>
      </c>
      <c r="AE30" s="6">
        <f>MIN(0, N30+(IFERROR(IF(17*INDEX('UA-normalized'!$D:$D, MATCH($A30, 'UA-normalized'!$A:$A, 0))-INDEX('UA-normalized'!$E:$E, MATCH($A30, 'UA-normalized'!$A:$A, 0))&gt;0, -(17*INDEX('UA-normalized'!$D:$D, MATCH($A30, 'UA-normalized'!$A:$A, 0))-INDEX('UA-normalized'!$E:$E, MATCH($A30, 'UA-normalized'!$A:$A, 0))), 0), 0))+(IFERROR(IF(17*INDEX('KZ-normalized'!$D:$D, MATCH($A30, 'KZ-normalized'!$A:$A, 0))-INDEX('KZ-normalized'!$E:$E, MATCH($A30, 'KZ-normalized'!$A:$A, 0))&gt;0, -(17*INDEX('KZ-normalized'!$D:$D, MATCH($A30, 'KZ-normalized'!$A:$A, 0))-INDEX('KZ-normalized'!$E:$E, MATCH($A30, 'KZ-normalized'!$A:$A, 0))), 0), 0))+(IFERROR(IF(17*INDEX('UZ-normalized'!$D:$D, MATCH($A30, 'UZ-normalized'!$A:$A, 0))-INDEX('UZ-normalized'!$E:$E, MATCH($A30, 'UZ-normalized'!$A:$A, 0))&gt;0, -(17*INDEX('UZ-normalized'!$D:$D, MATCH($A30, 'UZ-normalized'!$A:$A, 0))-INDEX('UZ-normalized'!$E:$E, MATCH($A30, 'UZ-normalized'!$A:$A, 0))), 0), 0)))</f>
        <v>0</v>
      </c>
      <c r="AF30" s="6">
        <f>MIN(0, N30+(IFERROR(IF(18*INDEX('UA-normalized'!$D:$D, MATCH($A30, 'UA-normalized'!$A:$A, 0))-INDEX('UA-normalized'!$E:$E, MATCH($A30, 'UA-normalized'!$A:$A, 0))&gt;0, -(18*INDEX('UA-normalized'!$D:$D, MATCH($A30, 'UA-normalized'!$A:$A, 0))-INDEX('UA-normalized'!$E:$E, MATCH($A30, 'UA-normalized'!$A:$A, 0))), 0), 0))+(IFERROR(IF(18*INDEX('KZ-normalized'!$D:$D, MATCH($A30, 'KZ-normalized'!$A:$A, 0))-INDEX('KZ-normalized'!$E:$E, MATCH($A30, 'KZ-normalized'!$A:$A, 0))&gt;0, -(18*INDEX('KZ-normalized'!$D:$D, MATCH($A30, 'KZ-normalized'!$A:$A, 0))-INDEX('KZ-normalized'!$E:$E, MATCH($A30, 'KZ-normalized'!$A:$A, 0))), 0), 0))+(IFERROR(IF(18*INDEX('UZ-normalized'!$D:$D, MATCH($A30, 'UZ-normalized'!$A:$A, 0))-INDEX('UZ-normalized'!$E:$E, MATCH($A30, 'UZ-normalized'!$A:$A, 0))&gt;0, -(18*INDEX('UZ-normalized'!$D:$D, MATCH($A30, 'UZ-normalized'!$A:$A, 0))-INDEX('UZ-normalized'!$E:$E, MATCH($A30, 'UZ-normalized'!$A:$A, 0))), 0), 0)))</f>
        <v>0</v>
      </c>
      <c r="AG30" s="6">
        <f>MIN(0, N30+(IFERROR(IF(19*INDEX('UA-normalized'!$D:$D, MATCH($A30, 'UA-normalized'!$A:$A, 0))-INDEX('UA-normalized'!$E:$E, MATCH($A30, 'UA-normalized'!$A:$A, 0))&gt;0, -(19*INDEX('UA-normalized'!$D:$D, MATCH($A30, 'UA-normalized'!$A:$A, 0))-INDEX('UA-normalized'!$E:$E, MATCH($A30, 'UA-normalized'!$A:$A, 0))), 0), 0))+(IFERROR(IF(19*INDEX('KZ-normalized'!$D:$D, MATCH($A30, 'KZ-normalized'!$A:$A, 0))-INDEX('KZ-normalized'!$E:$E, MATCH($A30, 'KZ-normalized'!$A:$A, 0))&gt;0, -(19*INDEX('KZ-normalized'!$D:$D, MATCH($A30, 'KZ-normalized'!$A:$A, 0))-INDEX('KZ-normalized'!$E:$E, MATCH($A30, 'KZ-normalized'!$A:$A, 0))), 0), 0))+(IFERROR(IF(19*INDEX('UZ-normalized'!$D:$D, MATCH($A30, 'UZ-normalized'!$A:$A, 0))-INDEX('UZ-normalized'!$E:$E, MATCH($A30, 'UZ-normalized'!$A:$A, 0))&gt;0, -(19*INDEX('UZ-normalized'!$D:$D, MATCH($A30, 'UZ-normalized'!$A:$A, 0))-INDEX('UZ-normalized'!$E:$E, MATCH($A30, 'UZ-normalized'!$A:$A, 0))), 0), 0)))</f>
        <v>0</v>
      </c>
      <c r="AH30" s="6">
        <f>MIN(0, N30+(IFERROR(IF(20*INDEX('UA-normalized'!$D:$D, MATCH($A30, 'UA-normalized'!$A:$A, 0))-INDEX('UA-normalized'!$E:$E, MATCH($A30, 'UA-normalized'!$A:$A, 0))&gt;0, -(20*INDEX('UA-normalized'!$D:$D, MATCH($A30, 'UA-normalized'!$A:$A, 0))-INDEX('UA-normalized'!$E:$E, MATCH($A30, 'UA-normalized'!$A:$A, 0))), 0), 0))+(IFERROR(IF(20*INDEX('KZ-normalized'!$D:$D, MATCH($A30, 'KZ-normalized'!$A:$A, 0))-INDEX('KZ-normalized'!$E:$E, MATCH($A30, 'KZ-normalized'!$A:$A, 0))&gt;0, -(20*INDEX('KZ-normalized'!$D:$D, MATCH($A30, 'KZ-normalized'!$A:$A, 0))-INDEX('KZ-normalized'!$E:$E, MATCH($A30, 'KZ-normalized'!$A:$A, 0))), 0), 0))+(IFERROR(IF(20*INDEX('UZ-normalized'!$D:$D, MATCH($A30, 'UZ-normalized'!$A:$A, 0))-INDEX('UZ-normalized'!$E:$E, MATCH($A30, 'UZ-normalized'!$A:$A, 0))&gt;0, -(20*INDEX('UZ-normalized'!$D:$D, MATCH($A30, 'UZ-normalized'!$A:$A, 0))-INDEX('UZ-normalized'!$E:$E, MATCH($A30, 'UZ-normalized'!$A:$A, 0))), 0), 0)))</f>
        <v>0</v>
      </c>
      <c r="AI30" s="6">
        <f>MIN(0, N30+(IFERROR(IF(21*INDEX('UA-normalized'!$D:$D, MATCH($A30, 'UA-normalized'!$A:$A, 0))-INDEX('UA-normalized'!$E:$E, MATCH($A30, 'UA-normalized'!$A:$A, 0))&gt;0, -(21*INDEX('UA-normalized'!$D:$D, MATCH($A30, 'UA-normalized'!$A:$A, 0))-INDEX('UA-normalized'!$E:$E, MATCH($A30, 'UA-normalized'!$A:$A, 0))), 0), 0))+(IFERROR(IF(21*INDEX('KZ-normalized'!$D:$D, MATCH($A30, 'KZ-normalized'!$A:$A, 0))-INDEX('KZ-normalized'!$E:$E, MATCH($A30, 'KZ-normalized'!$A:$A, 0))&gt;0, -(21*INDEX('KZ-normalized'!$D:$D, MATCH($A30, 'KZ-normalized'!$A:$A, 0))-INDEX('KZ-normalized'!$E:$E, MATCH($A30, 'KZ-normalized'!$A:$A, 0))), 0), 0))+(IFERROR(IF(21*INDEX('UZ-normalized'!$D:$D, MATCH($A30, 'UZ-normalized'!$A:$A, 0))-INDEX('UZ-normalized'!$E:$E, MATCH($A30, 'UZ-normalized'!$A:$A, 0))&gt;0, -(21*INDEX('UZ-normalized'!$D:$D, MATCH($A30, 'UZ-normalized'!$A:$A, 0))-INDEX('UZ-normalized'!$E:$E, MATCH($A30, 'UZ-normalized'!$A:$A, 0))), 0), 0)))</f>
        <v>0</v>
      </c>
      <c r="AJ30" s="6">
        <f>MIN(0, N30+(IFERROR(IF(22*INDEX('UA-normalized'!$D:$D, MATCH($A30, 'UA-normalized'!$A:$A, 0))-INDEX('UA-normalized'!$E:$E, MATCH($A30, 'UA-normalized'!$A:$A, 0))&gt;0, -(22*INDEX('UA-normalized'!$D:$D, MATCH($A30, 'UA-normalized'!$A:$A, 0))-INDEX('UA-normalized'!$E:$E, MATCH($A30, 'UA-normalized'!$A:$A, 0))), 0), 0))+(IFERROR(IF(22*INDEX('KZ-normalized'!$D:$D, MATCH($A30, 'KZ-normalized'!$A:$A, 0))-INDEX('KZ-normalized'!$E:$E, MATCH($A30, 'KZ-normalized'!$A:$A, 0))&gt;0, -(22*INDEX('KZ-normalized'!$D:$D, MATCH($A30, 'KZ-normalized'!$A:$A, 0))-INDEX('KZ-normalized'!$E:$E, MATCH($A30, 'KZ-normalized'!$A:$A, 0))), 0), 0))+(IFERROR(IF(22*INDEX('UZ-normalized'!$D:$D, MATCH($A30, 'UZ-normalized'!$A:$A, 0))-INDEX('UZ-normalized'!$E:$E, MATCH($A30, 'UZ-normalized'!$A:$A, 0))&gt;0, -(22*INDEX('UZ-normalized'!$D:$D, MATCH($A30, 'UZ-normalized'!$A:$A, 0))-INDEX('UZ-normalized'!$E:$E, MATCH($A30, 'UZ-normalized'!$A:$A, 0))), 0), 0)))</f>
        <v>0</v>
      </c>
      <c r="AK30" s="6">
        <f>MIN(0, N30+(IFERROR(IF(23*INDEX('UA-normalized'!$D:$D, MATCH($A30, 'UA-normalized'!$A:$A, 0))-INDEX('UA-normalized'!$E:$E, MATCH($A30, 'UA-normalized'!$A:$A, 0))&gt;0, -(23*INDEX('UA-normalized'!$D:$D, MATCH($A30, 'UA-normalized'!$A:$A, 0))-INDEX('UA-normalized'!$E:$E, MATCH($A30, 'UA-normalized'!$A:$A, 0))), 0), 0))+(IFERROR(IF(23*INDEX('KZ-normalized'!$D:$D, MATCH($A30, 'KZ-normalized'!$A:$A, 0))-INDEX('KZ-normalized'!$E:$E, MATCH($A30, 'KZ-normalized'!$A:$A, 0))&gt;0, -(23*INDEX('KZ-normalized'!$D:$D, MATCH($A30, 'KZ-normalized'!$A:$A, 0))-INDEX('KZ-normalized'!$E:$E, MATCH($A30, 'KZ-normalized'!$A:$A, 0))), 0), 0))+(IFERROR(IF(23*INDEX('UZ-normalized'!$D:$D, MATCH($A30, 'UZ-normalized'!$A:$A, 0))-INDEX('UZ-normalized'!$E:$E, MATCH($A30, 'UZ-normalized'!$A:$A, 0))&gt;0, -(23*INDEX('UZ-normalized'!$D:$D, MATCH($A30, 'UZ-normalized'!$A:$A, 0))-INDEX('UZ-normalized'!$E:$E, MATCH($A30, 'UZ-normalized'!$A:$A, 0))), 0), 0)))</f>
        <v>0</v>
      </c>
      <c r="AL30" s="6">
        <f>MIN(0, N30+(IFERROR(IF(24*INDEX('UA-normalized'!$D:$D, MATCH($A30, 'UA-normalized'!$A:$A, 0))-INDEX('UA-normalized'!$E:$E, MATCH($A30, 'UA-normalized'!$A:$A, 0))&gt;0, -(24*INDEX('UA-normalized'!$D:$D, MATCH($A30, 'UA-normalized'!$A:$A, 0))-INDEX('UA-normalized'!$E:$E, MATCH($A30, 'UA-normalized'!$A:$A, 0))), 0), 0))+(IFERROR(IF(24*INDEX('KZ-normalized'!$D:$D, MATCH($A30, 'KZ-normalized'!$A:$A, 0))-INDEX('KZ-normalized'!$E:$E, MATCH($A30, 'KZ-normalized'!$A:$A, 0))&gt;0, -(24*INDEX('KZ-normalized'!$D:$D, MATCH($A30, 'KZ-normalized'!$A:$A, 0))-INDEX('KZ-normalized'!$E:$E, MATCH($A30, 'KZ-normalized'!$A:$A, 0))), 0), 0))+(IFERROR(IF(24*INDEX('UZ-normalized'!$D:$D, MATCH($A30, 'UZ-normalized'!$A:$A, 0))-INDEX('UZ-normalized'!$E:$E, MATCH($A30, 'UZ-normalized'!$A:$A, 0))&gt;0, -(24*INDEX('UZ-normalized'!$D:$D, MATCH($A30, 'UZ-normalized'!$A:$A, 0))-INDEX('UZ-normalized'!$E:$E, MATCH($A30, 'UZ-normalized'!$A:$A, 0))), 0), 0)))</f>
        <v>0</v>
      </c>
      <c r="AM30" s="6">
        <f>MIN(0, N30+(IFERROR(IF(25*INDEX('UA-normalized'!$D:$D, MATCH($A30, 'UA-normalized'!$A:$A, 0))-INDEX('UA-normalized'!$E:$E, MATCH($A30, 'UA-normalized'!$A:$A, 0))&gt;0, -(25*INDEX('UA-normalized'!$D:$D, MATCH($A30, 'UA-normalized'!$A:$A, 0))-INDEX('UA-normalized'!$E:$E, MATCH($A30, 'UA-normalized'!$A:$A, 0))), 0), 0))+(IFERROR(IF(25*INDEX('KZ-normalized'!$D:$D, MATCH($A30, 'KZ-normalized'!$A:$A, 0))-INDEX('KZ-normalized'!$E:$E, MATCH($A30, 'KZ-normalized'!$A:$A, 0))&gt;0, -(25*INDEX('KZ-normalized'!$D:$D, MATCH($A30, 'KZ-normalized'!$A:$A, 0))-INDEX('KZ-normalized'!$E:$E, MATCH($A30, 'KZ-normalized'!$A:$A, 0))), 0), 0))+(IFERROR(IF(25*INDEX('UZ-normalized'!$D:$D, MATCH($A30, 'UZ-normalized'!$A:$A, 0))-INDEX('UZ-normalized'!$E:$E, MATCH($A30, 'UZ-normalized'!$A:$A, 0))&gt;0, -(25*INDEX('UZ-normalized'!$D:$D, MATCH($A30, 'UZ-normalized'!$A:$A, 0))-INDEX('UZ-normalized'!$E:$E, MATCH($A30, 'UZ-normalized'!$A:$A, 0))), 0), 0)))</f>
        <v>0</v>
      </c>
      <c r="AN30" s="6">
        <f>MIN(0, N30+(IFERROR(IF(26*INDEX('UA-normalized'!$D:$D, MATCH($A30, 'UA-normalized'!$A:$A, 0))-INDEX('UA-normalized'!$E:$E, MATCH($A30, 'UA-normalized'!$A:$A, 0))&gt;0, -(26*INDEX('UA-normalized'!$D:$D, MATCH($A30, 'UA-normalized'!$A:$A, 0))-INDEX('UA-normalized'!$E:$E, MATCH($A30, 'UA-normalized'!$A:$A, 0))), 0), 0))+(IFERROR(IF(26*INDEX('KZ-normalized'!$D:$D, MATCH($A30, 'KZ-normalized'!$A:$A, 0))-INDEX('KZ-normalized'!$E:$E, MATCH($A30, 'KZ-normalized'!$A:$A, 0))&gt;0, -(26*INDEX('KZ-normalized'!$D:$D, MATCH($A30, 'KZ-normalized'!$A:$A, 0))-INDEX('KZ-normalized'!$E:$E, MATCH($A30, 'KZ-normalized'!$A:$A, 0))), 0), 0))+(IFERROR(IF(26*INDEX('UZ-normalized'!$D:$D, MATCH($A30, 'UZ-normalized'!$A:$A, 0))-INDEX('UZ-normalized'!$E:$E, MATCH($A30, 'UZ-normalized'!$A:$A, 0))&gt;0, -(26*INDEX('UZ-normalized'!$D:$D, MATCH($A30, 'UZ-normalized'!$A:$A, 0))-INDEX('UZ-normalized'!$E:$E, MATCH($A30, 'UZ-normalized'!$A:$A, 0))), 0), 0)))</f>
        <v>0</v>
      </c>
      <c r="AO30" s="6">
        <f>MIN(0, N30+(IFERROR(IF(27*INDEX('UA-normalized'!$D:$D, MATCH($A30, 'UA-normalized'!$A:$A, 0))-INDEX('UA-normalized'!$E:$E, MATCH($A30, 'UA-normalized'!$A:$A, 0))&gt;0, -(27*INDEX('UA-normalized'!$D:$D, MATCH($A30, 'UA-normalized'!$A:$A, 0))-INDEX('UA-normalized'!$E:$E, MATCH($A30, 'UA-normalized'!$A:$A, 0))), 0), 0))+(IFERROR(IF(27*INDEX('KZ-normalized'!$D:$D, MATCH($A30, 'KZ-normalized'!$A:$A, 0))-INDEX('KZ-normalized'!$E:$E, MATCH($A30, 'KZ-normalized'!$A:$A, 0))&gt;0, -(27*INDEX('KZ-normalized'!$D:$D, MATCH($A30, 'KZ-normalized'!$A:$A, 0))-INDEX('KZ-normalized'!$E:$E, MATCH($A30, 'KZ-normalized'!$A:$A, 0))), 0), 0))+(IFERROR(IF(27*INDEX('UZ-normalized'!$D:$D, MATCH($A30, 'UZ-normalized'!$A:$A, 0))-INDEX('UZ-normalized'!$E:$E, MATCH($A30, 'UZ-normalized'!$A:$A, 0))&gt;0, -(27*INDEX('UZ-normalized'!$D:$D, MATCH($A30, 'UZ-normalized'!$A:$A, 0))-INDEX('UZ-normalized'!$E:$E, MATCH($A30, 'UZ-normalized'!$A:$A, 0))), 0), 0)))</f>
        <v>0</v>
      </c>
      <c r="AP30" s="6">
        <f>MIN(0, N30+(IFERROR(IF(28*INDEX('UA-normalized'!$D:$D, MATCH($A30, 'UA-normalized'!$A:$A, 0))-INDEX('UA-normalized'!$E:$E, MATCH($A30, 'UA-normalized'!$A:$A, 0))&gt;0, -(28*INDEX('UA-normalized'!$D:$D, MATCH($A30, 'UA-normalized'!$A:$A, 0))-INDEX('UA-normalized'!$E:$E, MATCH($A30, 'UA-normalized'!$A:$A, 0))), 0), 0))+(IFERROR(IF(28*INDEX('KZ-normalized'!$D:$D, MATCH($A30, 'KZ-normalized'!$A:$A, 0))-INDEX('KZ-normalized'!$E:$E, MATCH($A30, 'KZ-normalized'!$A:$A, 0))&gt;0, -(28*INDEX('KZ-normalized'!$D:$D, MATCH($A30, 'KZ-normalized'!$A:$A, 0))-INDEX('KZ-normalized'!$E:$E, MATCH($A30, 'KZ-normalized'!$A:$A, 0))), 0), 0))+(IFERROR(IF(28*INDEX('UZ-normalized'!$D:$D, MATCH($A30, 'UZ-normalized'!$A:$A, 0))-INDEX('UZ-normalized'!$E:$E, MATCH($A30, 'UZ-normalized'!$A:$A, 0))&gt;0, -(28*INDEX('UZ-normalized'!$D:$D, MATCH($A30, 'UZ-normalized'!$A:$A, 0))-INDEX('UZ-normalized'!$E:$E, MATCH($A30, 'UZ-normalized'!$A:$A, 0))), 0), 0)))</f>
        <v>0</v>
      </c>
      <c r="AQ30" s="6">
        <f>MIN(0, N30+(IFERROR(IF(29*INDEX('UA-normalized'!$D:$D, MATCH($A30, 'UA-normalized'!$A:$A, 0))-INDEX('UA-normalized'!$E:$E, MATCH($A30, 'UA-normalized'!$A:$A, 0))&gt;0, -(29*INDEX('UA-normalized'!$D:$D, MATCH($A30, 'UA-normalized'!$A:$A, 0))-INDEX('UA-normalized'!$E:$E, MATCH($A30, 'UA-normalized'!$A:$A, 0))), 0), 0))+(IFERROR(IF(29*INDEX('KZ-normalized'!$D:$D, MATCH($A30, 'KZ-normalized'!$A:$A, 0))-INDEX('KZ-normalized'!$E:$E, MATCH($A30, 'KZ-normalized'!$A:$A, 0))&gt;0, -(29*INDEX('KZ-normalized'!$D:$D, MATCH($A30, 'KZ-normalized'!$A:$A, 0))-INDEX('KZ-normalized'!$E:$E, MATCH($A30, 'KZ-normalized'!$A:$A, 0))), 0), 0))+(IFERROR(IF(29*INDEX('UZ-normalized'!$D:$D, MATCH($A30, 'UZ-normalized'!$A:$A, 0))-INDEX('UZ-normalized'!$E:$E, MATCH($A30, 'UZ-normalized'!$A:$A, 0))&gt;0, -(29*INDEX('UZ-normalized'!$D:$D, MATCH($A30, 'UZ-normalized'!$A:$A, 0))-INDEX('UZ-normalized'!$E:$E, MATCH($A30, 'UZ-normalized'!$A:$A, 0))), 0), 0)))</f>
        <v>0</v>
      </c>
      <c r="AR30" s="6">
        <f>MIN(0, N30+(IFERROR(IF(30*INDEX('UA-normalized'!$D:$D, MATCH($A30, 'UA-normalized'!$A:$A, 0))-INDEX('UA-normalized'!$E:$E, MATCH($A30, 'UA-normalized'!$A:$A, 0))&gt;0, -(30*INDEX('UA-normalized'!$D:$D, MATCH($A30, 'UA-normalized'!$A:$A, 0))-INDEX('UA-normalized'!$E:$E, MATCH($A30, 'UA-normalized'!$A:$A, 0))), 0), 0))+(IFERROR(IF(30*INDEX('KZ-normalized'!$D:$D, MATCH($A30, 'KZ-normalized'!$A:$A, 0))-INDEX('KZ-normalized'!$E:$E, MATCH($A30, 'KZ-normalized'!$A:$A, 0))&gt;0, -(30*INDEX('KZ-normalized'!$D:$D, MATCH($A30, 'KZ-normalized'!$A:$A, 0))-INDEX('KZ-normalized'!$E:$E, MATCH($A30, 'KZ-normalized'!$A:$A, 0))), 0), 0))+(IFERROR(IF(30*INDEX('UZ-normalized'!$D:$D, MATCH($A30, 'UZ-normalized'!$A:$A, 0))-INDEX('UZ-normalized'!$E:$E, MATCH($A30, 'UZ-normalized'!$A:$A, 0))&gt;0, -(30*INDEX('UZ-normalized'!$D:$D, MATCH($A30, 'UZ-normalized'!$A:$A, 0))-INDEX('UZ-normalized'!$E:$E, MATCH($A30, 'UZ-normalized'!$A:$A, 0))), 0), 0)))</f>
        <v>0</v>
      </c>
    </row>
    <row r="31" spans="1:44" x14ac:dyDescent="0.25">
      <c r="A31" s="8" t="s">
        <v>110</v>
      </c>
      <c r="B31" s="8" t="s">
        <v>83</v>
      </c>
      <c r="C31" s="8" t="s">
        <v>105</v>
      </c>
      <c r="D31" s="8" t="s">
        <v>111</v>
      </c>
      <c r="N31">
        <f t="shared" si="0"/>
        <v>0</v>
      </c>
      <c r="O31" s="6">
        <f>MIN(0, N31+(IFERROR(IF(1*INDEX('UA-normalized'!$D:$D, MATCH($A31, 'UA-normalized'!$A:$A, 0))-INDEX('UA-normalized'!$E:$E, MATCH($A31, 'UA-normalized'!$A:$A, 0))&gt;0, -(1*INDEX('UA-normalized'!$D:$D, MATCH($A31, 'UA-normalized'!$A:$A, 0))-INDEX('UA-normalized'!$E:$E, MATCH($A31, 'UA-normalized'!$A:$A, 0))), 0), 0))+(IFERROR(IF(1*INDEX('KZ-normalized'!$D:$D, MATCH($A31, 'KZ-normalized'!$A:$A, 0))-INDEX('KZ-normalized'!$E:$E, MATCH($A31, 'KZ-normalized'!$A:$A, 0))&gt;0, -(1*INDEX('KZ-normalized'!$D:$D, MATCH($A31, 'KZ-normalized'!$A:$A, 0))-INDEX('KZ-normalized'!$E:$E, MATCH($A31, 'KZ-normalized'!$A:$A, 0))), 0), 0))+(IFERROR(IF(1*INDEX('UZ-normalized'!$D:$D, MATCH($A31, 'UZ-normalized'!$A:$A, 0))-INDEX('UZ-normalized'!$E:$E, MATCH($A31, 'UZ-normalized'!$A:$A, 0))&gt;0, -(1*INDEX('UZ-normalized'!$D:$D, MATCH($A31, 'UZ-normalized'!$A:$A, 0))-INDEX('UZ-normalized'!$E:$E, MATCH($A31, 'UZ-normalized'!$A:$A, 0))), 0), 0)))</f>
        <v>0</v>
      </c>
      <c r="P31" s="6">
        <f>MIN(0, N31+(IFERROR(IF(2*INDEX('UA-normalized'!$D:$D, MATCH($A31, 'UA-normalized'!$A:$A, 0))-INDEX('UA-normalized'!$E:$E, MATCH($A31, 'UA-normalized'!$A:$A, 0))&gt;0, -(2*INDEX('UA-normalized'!$D:$D, MATCH($A31, 'UA-normalized'!$A:$A, 0))-INDEX('UA-normalized'!$E:$E, MATCH($A31, 'UA-normalized'!$A:$A, 0))), 0), 0))+(IFERROR(IF(2*INDEX('KZ-normalized'!$D:$D, MATCH($A31, 'KZ-normalized'!$A:$A, 0))-INDEX('KZ-normalized'!$E:$E, MATCH($A31, 'KZ-normalized'!$A:$A, 0))&gt;0, -(2*INDEX('KZ-normalized'!$D:$D, MATCH($A31, 'KZ-normalized'!$A:$A, 0))-INDEX('KZ-normalized'!$E:$E, MATCH($A31, 'KZ-normalized'!$A:$A, 0))), 0), 0))+(IFERROR(IF(2*INDEX('UZ-normalized'!$D:$D, MATCH($A31, 'UZ-normalized'!$A:$A, 0))-INDEX('UZ-normalized'!$E:$E, MATCH($A31, 'UZ-normalized'!$A:$A, 0))&gt;0, -(2*INDEX('UZ-normalized'!$D:$D, MATCH($A31, 'UZ-normalized'!$A:$A, 0))-INDEX('UZ-normalized'!$E:$E, MATCH($A31, 'UZ-normalized'!$A:$A, 0))), 0), 0)))</f>
        <v>0</v>
      </c>
      <c r="Q31" s="6">
        <f>MIN(0, N31+(IFERROR(IF(3*INDEX('UA-normalized'!$D:$D, MATCH($A31, 'UA-normalized'!$A:$A, 0))-INDEX('UA-normalized'!$E:$E, MATCH($A31, 'UA-normalized'!$A:$A, 0))&gt;0, -(3*INDEX('UA-normalized'!$D:$D, MATCH($A31, 'UA-normalized'!$A:$A, 0))-INDEX('UA-normalized'!$E:$E, MATCH($A31, 'UA-normalized'!$A:$A, 0))), 0), 0))+(IFERROR(IF(3*INDEX('KZ-normalized'!$D:$D, MATCH($A31, 'KZ-normalized'!$A:$A, 0))-INDEX('KZ-normalized'!$E:$E, MATCH($A31, 'KZ-normalized'!$A:$A, 0))&gt;0, -(3*INDEX('KZ-normalized'!$D:$D, MATCH($A31, 'KZ-normalized'!$A:$A, 0))-INDEX('KZ-normalized'!$E:$E, MATCH($A31, 'KZ-normalized'!$A:$A, 0))), 0), 0))+(IFERROR(IF(3*INDEX('UZ-normalized'!$D:$D, MATCH($A31, 'UZ-normalized'!$A:$A, 0))-INDEX('UZ-normalized'!$E:$E, MATCH($A31, 'UZ-normalized'!$A:$A, 0))&gt;0, -(3*INDEX('UZ-normalized'!$D:$D, MATCH($A31, 'UZ-normalized'!$A:$A, 0))-INDEX('UZ-normalized'!$E:$E, MATCH($A31, 'UZ-normalized'!$A:$A, 0))), 0), 0)))</f>
        <v>0</v>
      </c>
      <c r="R31" s="6">
        <f>MIN(0, N31+(IFERROR(IF(4*INDEX('UA-normalized'!$D:$D, MATCH($A31, 'UA-normalized'!$A:$A, 0))-INDEX('UA-normalized'!$E:$E, MATCH($A31, 'UA-normalized'!$A:$A, 0))&gt;0, -(4*INDEX('UA-normalized'!$D:$D, MATCH($A31, 'UA-normalized'!$A:$A, 0))-INDEX('UA-normalized'!$E:$E, MATCH($A31, 'UA-normalized'!$A:$A, 0))), 0), 0))+(IFERROR(IF(4*INDEX('KZ-normalized'!$D:$D, MATCH($A31, 'KZ-normalized'!$A:$A, 0))-INDEX('KZ-normalized'!$E:$E, MATCH($A31, 'KZ-normalized'!$A:$A, 0))&gt;0, -(4*INDEX('KZ-normalized'!$D:$D, MATCH($A31, 'KZ-normalized'!$A:$A, 0))-INDEX('KZ-normalized'!$E:$E, MATCH($A31, 'KZ-normalized'!$A:$A, 0))), 0), 0))+(IFERROR(IF(4*INDEX('UZ-normalized'!$D:$D, MATCH($A31, 'UZ-normalized'!$A:$A, 0))-INDEX('UZ-normalized'!$E:$E, MATCH($A31, 'UZ-normalized'!$A:$A, 0))&gt;0, -(4*INDEX('UZ-normalized'!$D:$D, MATCH($A31, 'UZ-normalized'!$A:$A, 0))-INDEX('UZ-normalized'!$E:$E, MATCH($A31, 'UZ-normalized'!$A:$A, 0))), 0), 0)))</f>
        <v>0</v>
      </c>
      <c r="S31" s="6">
        <f>MIN(0, N31+(IFERROR(IF(5*INDEX('UA-normalized'!$D:$D, MATCH($A31, 'UA-normalized'!$A:$A, 0))-INDEX('UA-normalized'!$E:$E, MATCH($A31, 'UA-normalized'!$A:$A, 0))&gt;0, -(5*INDEX('UA-normalized'!$D:$D, MATCH($A31, 'UA-normalized'!$A:$A, 0))-INDEX('UA-normalized'!$E:$E, MATCH($A31, 'UA-normalized'!$A:$A, 0))), 0), 0))+(IFERROR(IF(5*INDEX('KZ-normalized'!$D:$D, MATCH($A31, 'KZ-normalized'!$A:$A, 0))-INDEX('KZ-normalized'!$E:$E, MATCH($A31, 'KZ-normalized'!$A:$A, 0))&gt;0, -(5*INDEX('KZ-normalized'!$D:$D, MATCH($A31, 'KZ-normalized'!$A:$A, 0))-INDEX('KZ-normalized'!$E:$E, MATCH($A31, 'KZ-normalized'!$A:$A, 0))), 0), 0))+(IFERROR(IF(5*INDEX('UZ-normalized'!$D:$D, MATCH($A31, 'UZ-normalized'!$A:$A, 0))-INDEX('UZ-normalized'!$E:$E, MATCH($A31, 'UZ-normalized'!$A:$A, 0))&gt;0, -(5*INDEX('UZ-normalized'!$D:$D, MATCH($A31, 'UZ-normalized'!$A:$A, 0))-INDEX('UZ-normalized'!$E:$E, MATCH($A31, 'UZ-normalized'!$A:$A, 0))), 0), 0)))</f>
        <v>0</v>
      </c>
      <c r="T31" s="6">
        <f>MIN(0, N31+(IFERROR(IF(6*INDEX('UA-normalized'!$D:$D, MATCH($A31, 'UA-normalized'!$A:$A, 0))-INDEX('UA-normalized'!$E:$E, MATCH($A31, 'UA-normalized'!$A:$A, 0))&gt;0, -(6*INDEX('UA-normalized'!$D:$D, MATCH($A31, 'UA-normalized'!$A:$A, 0))-INDEX('UA-normalized'!$E:$E, MATCH($A31, 'UA-normalized'!$A:$A, 0))), 0), 0))+(IFERROR(IF(6*INDEX('KZ-normalized'!$D:$D, MATCH($A31, 'KZ-normalized'!$A:$A, 0))-INDEX('KZ-normalized'!$E:$E, MATCH($A31, 'KZ-normalized'!$A:$A, 0))&gt;0, -(6*INDEX('KZ-normalized'!$D:$D, MATCH($A31, 'KZ-normalized'!$A:$A, 0))-INDEX('KZ-normalized'!$E:$E, MATCH($A31, 'KZ-normalized'!$A:$A, 0))), 0), 0))+(IFERROR(IF(6*INDEX('UZ-normalized'!$D:$D, MATCH($A31, 'UZ-normalized'!$A:$A, 0))-INDEX('UZ-normalized'!$E:$E, MATCH($A31, 'UZ-normalized'!$A:$A, 0))&gt;0, -(6*INDEX('UZ-normalized'!$D:$D, MATCH($A31, 'UZ-normalized'!$A:$A, 0))-INDEX('UZ-normalized'!$E:$E, MATCH($A31, 'UZ-normalized'!$A:$A, 0))), 0), 0)))</f>
        <v>0</v>
      </c>
      <c r="U31" s="6">
        <f>MIN(0, N31+(IFERROR(IF(7*INDEX('UA-normalized'!$D:$D, MATCH($A31, 'UA-normalized'!$A:$A, 0))-INDEX('UA-normalized'!$E:$E, MATCH($A31, 'UA-normalized'!$A:$A, 0))&gt;0, -(7*INDEX('UA-normalized'!$D:$D, MATCH($A31, 'UA-normalized'!$A:$A, 0))-INDEX('UA-normalized'!$E:$E, MATCH($A31, 'UA-normalized'!$A:$A, 0))), 0), 0))+(IFERROR(IF(7*INDEX('KZ-normalized'!$D:$D, MATCH($A31, 'KZ-normalized'!$A:$A, 0))-INDEX('KZ-normalized'!$E:$E, MATCH($A31, 'KZ-normalized'!$A:$A, 0))&gt;0, -(7*INDEX('KZ-normalized'!$D:$D, MATCH($A31, 'KZ-normalized'!$A:$A, 0))-INDEX('KZ-normalized'!$E:$E, MATCH($A31, 'KZ-normalized'!$A:$A, 0))), 0), 0))+(IFERROR(IF(7*INDEX('UZ-normalized'!$D:$D, MATCH($A31, 'UZ-normalized'!$A:$A, 0))-INDEX('UZ-normalized'!$E:$E, MATCH($A31, 'UZ-normalized'!$A:$A, 0))&gt;0, -(7*INDEX('UZ-normalized'!$D:$D, MATCH($A31, 'UZ-normalized'!$A:$A, 0))-INDEX('UZ-normalized'!$E:$E, MATCH($A31, 'UZ-normalized'!$A:$A, 0))), 0), 0)))</f>
        <v>0</v>
      </c>
      <c r="V31" s="6">
        <f>MIN(0, N31+(IFERROR(IF(8*INDEX('UA-normalized'!$D:$D, MATCH($A31, 'UA-normalized'!$A:$A, 0))-INDEX('UA-normalized'!$E:$E, MATCH($A31, 'UA-normalized'!$A:$A, 0))&gt;0, -(8*INDEX('UA-normalized'!$D:$D, MATCH($A31, 'UA-normalized'!$A:$A, 0))-INDEX('UA-normalized'!$E:$E, MATCH($A31, 'UA-normalized'!$A:$A, 0))), 0), 0))+(IFERROR(IF(8*INDEX('KZ-normalized'!$D:$D, MATCH($A31, 'KZ-normalized'!$A:$A, 0))-INDEX('KZ-normalized'!$E:$E, MATCH($A31, 'KZ-normalized'!$A:$A, 0))&gt;0, -(8*INDEX('KZ-normalized'!$D:$D, MATCH($A31, 'KZ-normalized'!$A:$A, 0))-INDEX('KZ-normalized'!$E:$E, MATCH($A31, 'KZ-normalized'!$A:$A, 0))), 0), 0))+(IFERROR(IF(8*INDEX('UZ-normalized'!$D:$D, MATCH($A31, 'UZ-normalized'!$A:$A, 0))-INDEX('UZ-normalized'!$E:$E, MATCH($A31, 'UZ-normalized'!$A:$A, 0))&gt;0, -(8*INDEX('UZ-normalized'!$D:$D, MATCH($A31, 'UZ-normalized'!$A:$A, 0))-INDEX('UZ-normalized'!$E:$E, MATCH($A31, 'UZ-normalized'!$A:$A, 0))), 0), 0)))</f>
        <v>0</v>
      </c>
      <c r="W31" s="6">
        <f>MIN(0, N31+(IFERROR(IF(9*INDEX('UA-normalized'!$D:$D, MATCH($A31, 'UA-normalized'!$A:$A, 0))-INDEX('UA-normalized'!$E:$E, MATCH($A31, 'UA-normalized'!$A:$A, 0))&gt;0, -(9*INDEX('UA-normalized'!$D:$D, MATCH($A31, 'UA-normalized'!$A:$A, 0))-INDEX('UA-normalized'!$E:$E, MATCH($A31, 'UA-normalized'!$A:$A, 0))), 0), 0))+(IFERROR(IF(9*INDEX('KZ-normalized'!$D:$D, MATCH($A31, 'KZ-normalized'!$A:$A, 0))-INDEX('KZ-normalized'!$E:$E, MATCH($A31, 'KZ-normalized'!$A:$A, 0))&gt;0, -(9*INDEX('KZ-normalized'!$D:$D, MATCH($A31, 'KZ-normalized'!$A:$A, 0))-INDEX('KZ-normalized'!$E:$E, MATCH($A31, 'KZ-normalized'!$A:$A, 0))), 0), 0))+(IFERROR(IF(9*INDEX('UZ-normalized'!$D:$D, MATCH($A31, 'UZ-normalized'!$A:$A, 0))-INDEX('UZ-normalized'!$E:$E, MATCH($A31, 'UZ-normalized'!$A:$A, 0))&gt;0, -(9*INDEX('UZ-normalized'!$D:$D, MATCH($A31, 'UZ-normalized'!$A:$A, 0))-INDEX('UZ-normalized'!$E:$E, MATCH($A31, 'UZ-normalized'!$A:$A, 0))), 0), 0)))</f>
        <v>0</v>
      </c>
      <c r="X31" s="6">
        <f>MIN(0, N31+(IFERROR(IF(10*INDEX('UA-normalized'!$D:$D, MATCH($A31, 'UA-normalized'!$A:$A, 0))-INDEX('UA-normalized'!$E:$E, MATCH($A31, 'UA-normalized'!$A:$A, 0))&gt;0, -(10*INDEX('UA-normalized'!$D:$D, MATCH($A31, 'UA-normalized'!$A:$A, 0))-INDEX('UA-normalized'!$E:$E, MATCH($A31, 'UA-normalized'!$A:$A, 0))), 0), 0))+(IFERROR(IF(10*INDEX('KZ-normalized'!$D:$D, MATCH($A31, 'KZ-normalized'!$A:$A, 0))-INDEX('KZ-normalized'!$E:$E, MATCH($A31, 'KZ-normalized'!$A:$A, 0))&gt;0, -(10*INDEX('KZ-normalized'!$D:$D, MATCH($A31, 'KZ-normalized'!$A:$A, 0))-INDEX('KZ-normalized'!$E:$E, MATCH($A31, 'KZ-normalized'!$A:$A, 0))), 0), 0))+(IFERROR(IF(10*INDEX('UZ-normalized'!$D:$D, MATCH($A31, 'UZ-normalized'!$A:$A, 0))-INDEX('UZ-normalized'!$E:$E, MATCH($A31, 'UZ-normalized'!$A:$A, 0))&gt;0, -(10*INDEX('UZ-normalized'!$D:$D, MATCH($A31, 'UZ-normalized'!$A:$A, 0))-INDEX('UZ-normalized'!$E:$E, MATCH($A31, 'UZ-normalized'!$A:$A, 0))), 0), 0)))</f>
        <v>0</v>
      </c>
      <c r="Y31" s="6">
        <f>MIN(0, N31+(IFERROR(IF(11*INDEX('UA-normalized'!$D:$D, MATCH($A31, 'UA-normalized'!$A:$A, 0))-INDEX('UA-normalized'!$E:$E, MATCH($A31, 'UA-normalized'!$A:$A, 0))&gt;0, -(11*INDEX('UA-normalized'!$D:$D, MATCH($A31, 'UA-normalized'!$A:$A, 0))-INDEX('UA-normalized'!$E:$E, MATCH($A31, 'UA-normalized'!$A:$A, 0))), 0), 0))+(IFERROR(IF(11*INDEX('KZ-normalized'!$D:$D, MATCH($A31, 'KZ-normalized'!$A:$A, 0))-INDEX('KZ-normalized'!$E:$E, MATCH($A31, 'KZ-normalized'!$A:$A, 0))&gt;0, -(11*INDEX('KZ-normalized'!$D:$D, MATCH($A31, 'KZ-normalized'!$A:$A, 0))-INDEX('KZ-normalized'!$E:$E, MATCH($A31, 'KZ-normalized'!$A:$A, 0))), 0), 0))+(IFERROR(IF(11*INDEX('UZ-normalized'!$D:$D, MATCH($A31, 'UZ-normalized'!$A:$A, 0))-INDEX('UZ-normalized'!$E:$E, MATCH($A31, 'UZ-normalized'!$A:$A, 0))&gt;0, -(11*INDEX('UZ-normalized'!$D:$D, MATCH($A31, 'UZ-normalized'!$A:$A, 0))-INDEX('UZ-normalized'!$E:$E, MATCH($A31, 'UZ-normalized'!$A:$A, 0))), 0), 0)))</f>
        <v>0</v>
      </c>
      <c r="Z31" s="6">
        <f>MIN(0, N31+(IFERROR(IF(12*INDEX('UA-normalized'!$D:$D, MATCH($A31, 'UA-normalized'!$A:$A, 0))-INDEX('UA-normalized'!$E:$E, MATCH($A31, 'UA-normalized'!$A:$A, 0))&gt;0, -(12*INDEX('UA-normalized'!$D:$D, MATCH($A31, 'UA-normalized'!$A:$A, 0))-INDEX('UA-normalized'!$E:$E, MATCH($A31, 'UA-normalized'!$A:$A, 0))), 0), 0))+(IFERROR(IF(12*INDEX('KZ-normalized'!$D:$D, MATCH($A31, 'KZ-normalized'!$A:$A, 0))-INDEX('KZ-normalized'!$E:$E, MATCH($A31, 'KZ-normalized'!$A:$A, 0))&gt;0, -(12*INDEX('KZ-normalized'!$D:$D, MATCH($A31, 'KZ-normalized'!$A:$A, 0))-INDEX('KZ-normalized'!$E:$E, MATCH($A31, 'KZ-normalized'!$A:$A, 0))), 0), 0))+(IFERROR(IF(12*INDEX('UZ-normalized'!$D:$D, MATCH($A31, 'UZ-normalized'!$A:$A, 0))-INDEX('UZ-normalized'!$E:$E, MATCH($A31, 'UZ-normalized'!$A:$A, 0))&gt;0, -(12*INDEX('UZ-normalized'!$D:$D, MATCH($A31, 'UZ-normalized'!$A:$A, 0))-INDEX('UZ-normalized'!$E:$E, MATCH($A31, 'UZ-normalized'!$A:$A, 0))), 0), 0)))</f>
        <v>0</v>
      </c>
      <c r="AA31" s="6">
        <f>MIN(0, N31+(IFERROR(IF(13*INDEX('UA-normalized'!$D:$D, MATCH($A31, 'UA-normalized'!$A:$A, 0))-INDEX('UA-normalized'!$E:$E, MATCH($A31, 'UA-normalized'!$A:$A, 0))&gt;0, -(13*INDEX('UA-normalized'!$D:$D, MATCH($A31, 'UA-normalized'!$A:$A, 0))-INDEX('UA-normalized'!$E:$E, MATCH($A31, 'UA-normalized'!$A:$A, 0))), 0), 0))+(IFERROR(IF(13*INDEX('KZ-normalized'!$D:$D, MATCH($A31, 'KZ-normalized'!$A:$A, 0))-INDEX('KZ-normalized'!$E:$E, MATCH($A31, 'KZ-normalized'!$A:$A, 0))&gt;0, -(13*INDEX('KZ-normalized'!$D:$D, MATCH($A31, 'KZ-normalized'!$A:$A, 0))-INDEX('KZ-normalized'!$E:$E, MATCH($A31, 'KZ-normalized'!$A:$A, 0))), 0), 0))+(IFERROR(IF(13*INDEX('UZ-normalized'!$D:$D, MATCH($A31, 'UZ-normalized'!$A:$A, 0))-INDEX('UZ-normalized'!$E:$E, MATCH($A31, 'UZ-normalized'!$A:$A, 0))&gt;0, -(13*INDEX('UZ-normalized'!$D:$D, MATCH($A31, 'UZ-normalized'!$A:$A, 0))-INDEX('UZ-normalized'!$E:$E, MATCH($A31, 'UZ-normalized'!$A:$A, 0))), 0), 0)))</f>
        <v>0</v>
      </c>
      <c r="AB31" s="6">
        <f>MIN(0, N31+(IFERROR(IF(14*INDEX('UA-normalized'!$D:$D, MATCH($A31, 'UA-normalized'!$A:$A, 0))-INDEX('UA-normalized'!$E:$E, MATCH($A31, 'UA-normalized'!$A:$A, 0))&gt;0, -(14*INDEX('UA-normalized'!$D:$D, MATCH($A31, 'UA-normalized'!$A:$A, 0))-INDEX('UA-normalized'!$E:$E, MATCH($A31, 'UA-normalized'!$A:$A, 0))), 0), 0))+(IFERROR(IF(14*INDEX('KZ-normalized'!$D:$D, MATCH($A31, 'KZ-normalized'!$A:$A, 0))-INDEX('KZ-normalized'!$E:$E, MATCH($A31, 'KZ-normalized'!$A:$A, 0))&gt;0, -(14*INDEX('KZ-normalized'!$D:$D, MATCH($A31, 'KZ-normalized'!$A:$A, 0))-INDEX('KZ-normalized'!$E:$E, MATCH($A31, 'KZ-normalized'!$A:$A, 0))), 0), 0))+(IFERROR(IF(14*INDEX('UZ-normalized'!$D:$D, MATCH($A31, 'UZ-normalized'!$A:$A, 0))-INDEX('UZ-normalized'!$E:$E, MATCH($A31, 'UZ-normalized'!$A:$A, 0))&gt;0, -(14*INDEX('UZ-normalized'!$D:$D, MATCH($A31, 'UZ-normalized'!$A:$A, 0))-INDEX('UZ-normalized'!$E:$E, MATCH($A31, 'UZ-normalized'!$A:$A, 0))), 0), 0)))</f>
        <v>0</v>
      </c>
      <c r="AC31" s="6">
        <f>MIN(0, N31+(IFERROR(IF(15*INDEX('UA-normalized'!$D:$D, MATCH($A31, 'UA-normalized'!$A:$A, 0))-INDEX('UA-normalized'!$E:$E, MATCH($A31, 'UA-normalized'!$A:$A, 0))&gt;0, -(15*INDEX('UA-normalized'!$D:$D, MATCH($A31, 'UA-normalized'!$A:$A, 0))-INDEX('UA-normalized'!$E:$E, MATCH($A31, 'UA-normalized'!$A:$A, 0))), 0), 0))+(IFERROR(IF(15*INDEX('KZ-normalized'!$D:$D, MATCH($A31, 'KZ-normalized'!$A:$A, 0))-INDEX('KZ-normalized'!$E:$E, MATCH($A31, 'KZ-normalized'!$A:$A, 0))&gt;0, -(15*INDEX('KZ-normalized'!$D:$D, MATCH($A31, 'KZ-normalized'!$A:$A, 0))-INDEX('KZ-normalized'!$E:$E, MATCH($A31, 'KZ-normalized'!$A:$A, 0))), 0), 0))+(IFERROR(IF(15*INDEX('UZ-normalized'!$D:$D, MATCH($A31, 'UZ-normalized'!$A:$A, 0))-INDEX('UZ-normalized'!$E:$E, MATCH($A31, 'UZ-normalized'!$A:$A, 0))&gt;0, -(15*INDEX('UZ-normalized'!$D:$D, MATCH($A31, 'UZ-normalized'!$A:$A, 0))-INDEX('UZ-normalized'!$E:$E, MATCH($A31, 'UZ-normalized'!$A:$A, 0))), 0), 0)))</f>
        <v>0</v>
      </c>
      <c r="AD31" s="6">
        <f>MIN(0, N31+(IFERROR(IF(16*INDEX('UA-normalized'!$D:$D, MATCH($A31, 'UA-normalized'!$A:$A, 0))-INDEX('UA-normalized'!$E:$E, MATCH($A31, 'UA-normalized'!$A:$A, 0))&gt;0, -(16*INDEX('UA-normalized'!$D:$D, MATCH($A31, 'UA-normalized'!$A:$A, 0))-INDEX('UA-normalized'!$E:$E, MATCH($A31, 'UA-normalized'!$A:$A, 0))), 0), 0))+(IFERROR(IF(16*INDEX('KZ-normalized'!$D:$D, MATCH($A31, 'KZ-normalized'!$A:$A, 0))-INDEX('KZ-normalized'!$E:$E, MATCH($A31, 'KZ-normalized'!$A:$A, 0))&gt;0, -(16*INDEX('KZ-normalized'!$D:$D, MATCH($A31, 'KZ-normalized'!$A:$A, 0))-INDEX('KZ-normalized'!$E:$E, MATCH($A31, 'KZ-normalized'!$A:$A, 0))), 0), 0))+(IFERROR(IF(16*INDEX('UZ-normalized'!$D:$D, MATCH($A31, 'UZ-normalized'!$A:$A, 0))-INDEX('UZ-normalized'!$E:$E, MATCH($A31, 'UZ-normalized'!$A:$A, 0))&gt;0, -(16*INDEX('UZ-normalized'!$D:$D, MATCH($A31, 'UZ-normalized'!$A:$A, 0))-INDEX('UZ-normalized'!$E:$E, MATCH($A31, 'UZ-normalized'!$A:$A, 0))), 0), 0)))</f>
        <v>0</v>
      </c>
      <c r="AE31" s="6">
        <f>MIN(0, N31+(IFERROR(IF(17*INDEX('UA-normalized'!$D:$D, MATCH($A31, 'UA-normalized'!$A:$A, 0))-INDEX('UA-normalized'!$E:$E, MATCH($A31, 'UA-normalized'!$A:$A, 0))&gt;0, -(17*INDEX('UA-normalized'!$D:$D, MATCH($A31, 'UA-normalized'!$A:$A, 0))-INDEX('UA-normalized'!$E:$E, MATCH($A31, 'UA-normalized'!$A:$A, 0))), 0), 0))+(IFERROR(IF(17*INDEX('KZ-normalized'!$D:$D, MATCH($A31, 'KZ-normalized'!$A:$A, 0))-INDEX('KZ-normalized'!$E:$E, MATCH($A31, 'KZ-normalized'!$A:$A, 0))&gt;0, -(17*INDEX('KZ-normalized'!$D:$D, MATCH($A31, 'KZ-normalized'!$A:$A, 0))-INDEX('KZ-normalized'!$E:$E, MATCH($A31, 'KZ-normalized'!$A:$A, 0))), 0), 0))+(IFERROR(IF(17*INDEX('UZ-normalized'!$D:$D, MATCH($A31, 'UZ-normalized'!$A:$A, 0))-INDEX('UZ-normalized'!$E:$E, MATCH($A31, 'UZ-normalized'!$A:$A, 0))&gt;0, -(17*INDEX('UZ-normalized'!$D:$D, MATCH($A31, 'UZ-normalized'!$A:$A, 0))-INDEX('UZ-normalized'!$E:$E, MATCH($A31, 'UZ-normalized'!$A:$A, 0))), 0), 0)))</f>
        <v>0</v>
      </c>
      <c r="AF31" s="6">
        <f>MIN(0, N31+(IFERROR(IF(18*INDEX('UA-normalized'!$D:$D, MATCH($A31, 'UA-normalized'!$A:$A, 0))-INDEX('UA-normalized'!$E:$E, MATCH($A31, 'UA-normalized'!$A:$A, 0))&gt;0, -(18*INDEX('UA-normalized'!$D:$D, MATCH($A31, 'UA-normalized'!$A:$A, 0))-INDEX('UA-normalized'!$E:$E, MATCH($A31, 'UA-normalized'!$A:$A, 0))), 0), 0))+(IFERROR(IF(18*INDEX('KZ-normalized'!$D:$D, MATCH($A31, 'KZ-normalized'!$A:$A, 0))-INDEX('KZ-normalized'!$E:$E, MATCH($A31, 'KZ-normalized'!$A:$A, 0))&gt;0, -(18*INDEX('KZ-normalized'!$D:$D, MATCH($A31, 'KZ-normalized'!$A:$A, 0))-INDEX('KZ-normalized'!$E:$E, MATCH($A31, 'KZ-normalized'!$A:$A, 0))), 0), 0))+(IFERROR(IF(18*INDEX('UZ-normalized'!$D:$D, MATCH($A31, 'UZ-normalized'!$A:$A, 0))-INDEX('UZ-normalized'!$E:$E, MATCH($A31, 'UZ-normalized'!$A:$A, 0))&gt;0, -(18*INDEX('UZ-normalized'!$D:$D, MATCH($A31, 'UZ-normalized'!$A:$A, 0))-INDEX('UZ-normalized'!$E:$E, MATCH($A31, 'UZ-normalized'!$A:$A, 0))), 0), 0)))</f>
        <v>0</v>
      </c>
      <c r="AG31" s="6">
        <f>MIN(0, N31+(IFERROR(IF(19*INDEX('UA-normalized'!$D:$D, MATCH($A31, 'UA-normalized'!$A:$A, 0))-INDEX('UA-normalized'!$E:$E, MATCH($A31, 'UA-normalized'!$A:$A, 0))&gt;0, -(19*INDEX('UA-normalized'!$D:$D, MATCH($A31, 'UA-normalized'!$A:$A, 0))-INDEX('UA-normalized'!$E:$E, MATCH($A31, 'UA-normalized'!$A:$A, 0))), 0), 0))+(IFERROR(IF(19*INDEX('KZ-normalized'!$D:$D, MATCH($A31, 'KZ-normalized'!$A:$A, 0))-INDEX('KZ-normalized'!$E:$E, MATCH($A31, 'KZ-normalized'!$A:$A, 0))&gt;0, -(19*INDEX('KZ-normalized'!$D:$D, MATCH($A31, 'KZ-normalized'!$A:$A, 0))-INDEX('KZ-normalized'!$E:$E, MATCH($A31, 'KZ-normalized'!$A:$A, 0))), 0), 0))+(IFERROR(IF(19*INDEX('UZ-normalized'!$D:$D, MATCH($A31, 'UZ-normalized'!$A:$A, 0))-INDEX('UZ-normalized'!$E:$E, MATCH($A31, 'UZ-normalized'!$A:$A, 0))&gt;0, -(19*INDEX('UZ-normalized'!$D:$D, MATCH($A31, 'UZ-normalized'!$A:$A, 0))-INDEX('UZ-normalized'!$E:$E, MATCH($A31, 'UZ-normalized'!$A:$A, 0))), 0), 0)))</f>
        <v>0</v>
      </c>
      <c r="AH31" s="6">
        <f>MIN(0, N31+(IFERROR(IF(20*INDEX('UA-normalized'!$D:$D, MATCH($A31, 'UA-normalized'!$A:$A, 0))-INDEX('UA-normalized'!$E:$E, MATCH($A31, 'UA-normalized'!$A:$A, 0))&gt;0, -(20*INDEX('UA-normalized'!$D:$D, MATCH($A31, 'UA-normalized'!$A:$A, 0))-INDEX('UA-normalized'!$E:$E, MATCH($A31, 'UA-normalized'!$A:$A, 0))), 0), 0))+(IFERROR(IF(20*INDEX('KZ-normalized'!$D:$D, MATCH($A31, 'KZ-normalized'!$A:$A, 0))-INDEX('KZ-normalized'!$E:$E, MATCH($A31, 'KZ-normalized'!$A:$A, 0))&gt;0, -(20*INDEX('KZ-normalized'!$D:$D, MATCH($A31, 'KZ-normalized'!$A:$A, 0))-INDEX('KZ-normalized'!$E:$E, MATCH($A31, 'KZ-normalized'!$A:$A, 0))), 0), 0))+(IFERROR(IF(20*INDEX('UZ-normalized'!$D:$D, MATCH($A31, 'UZ-normalized'!$A:$A, 0))-INDEX('UZ-normalized'!$E:$E, MATCH($A31, 'UZ-normalized'!$A:$A, 0))&gt;0, -(20*INDEX('UZ-normalized'!$D:$D, MATCH($A31, 'UZ-normalized'!$A:$A, 0))-INDEX('UZ-normalized'!$E:$E, MATCH($A31, 'UZ-normalized'!$A:$A, 0))), 0), 0)))</f>
        <v>0</v>
      </c>
      <c r="AI31" s="6">
        <f>MIN(0, N31+(IFERROR(IF(21*INDEX('UA-normalized'!$D:$D, MATCH($A31, 'UA-normalized'!$A:$A, 0))-INDEX('UA-normalized'!$E:$E, MATCH($A31, 'UA-normalized'!$A:$A, 0))&gt;0, -(21*INDEX('UA-normalized'!$D:$D, MATCH($A31, 'UA-normalized'!$A:$A, 0))-INDEX('UA-normalized'!$E:$E, MATCH($A31, 'UA-normalized'!$A:$A, 0))), 0), 0))+(IFERROR(IF(21*INDEX('KZ-normalized'!$D:$D, MATCH($A31, 'KZ-normalized'!$A:$A, 0))-INDEX('KZ-normalized'!$E:$E, MATCH($A31, 'KZ-normalized'!$A:$A, 0))&gt;0, -(21*INDEX('KZ-normalized'!$D:$D, MATCH($A31, 'KZ-normalized'!$A:$A, 0))-INDEX('KZ-normalized'!$E:$E, MATCH($A31, 'KZ-normalized'!$A:$A, 0))), 0), 0))+(IFERROR(IF(21*INDEX('UZ-normalized'!$D:$D, MATCH($A31, 'UZ-normalized'!$A:$A, 0))-INDEX('UZ-normalized'!$E:$E, MATCH($A31, 'UZ-normalized'!$A:$A, 0))&gt;0, -(21*INDEX('UZ-normalized'!$D:$D, MATCH($A31, 'UZ-normalized'!$A:$A, 0))-INDEX('UZ-normalized'!$E:$E, MATCH($A31, 'UZ-normalized'!$A:$A, 0))), 0), 0)))</f>
        <v>0</v>
      </c>
      <c r="AJ31" s="6">
        <f>MIN(0, N31+(IFERROR(IF(22*INDEX('UA-normalized'!$D:$D, MATCH($A31, 'UA-normalized'!$A:$A, 0))-INDEX('UA-normalized'!$E:$E, MATCH($A31, 'UA-normalized'!$A:$A, 0))&gt;0, -(22*INDEX('UA-normalized'!$D:$D, MATCH($A31, 'UA-normalized'!$A:$A, 0))-INDEX('UA-normalized'!$E:$E, MATCH($A31, 'UA-normalized'!$A:$A, 0))), 0), 0))+(IFERROR(IF(22*INDEX('KZ-normalized'!$D:$D, MATCH($A31, 'KZ-normalized'!$A:$A, 0))-INDEX('KZ-normalized'!$E:$E, MATCH($A31, 'KZ-normalized'!$A:$A, 0))&gt;0, -(22*INDEX('KZ-normalized'!$D:$D, MATCH($A31, 'KZ-normalized'!$A:$A, 0))-INDEX('KZ-normalized'!$E:$E, MATCH($A31, 'KZ-normalized'!$A:$A, 0))), 0), 0))+(IFERROR(IF(22*INDEX('UZ-normalized'!$D:$D, MATCH($A31, 'UZ-normalized'!$A:$A, 0))-INDEX('UZ-normalized'!$E:$E, MATCH($A31, 'UZ-normalized'!$A:$A, 0))&gt;0, -(22*INDEX('UZ-normalized'!$D:$D, MATCH($A31, 'UZ-normalized'!$A:$A, 0))-INDEX('UZ-normalized'!$E:$E, MATCH($A31, 'UZ-normalized'!$A:$A, 0))), 0), 0)))</f>
        <v>0</v>
      </c>
      <c r="AK31" s="6">
        <f>MIN(0, N31+(IFERROR(IF(23*INDEX('UA-normalized'!$D:$D, MATCH($A31, 'UA-normalized'!$A:$A, 0))-INDEX('UA-normalized'!$E:$E, MATCH($A31, 'UA-normalized'!$A:$A, 0))&gt;0, -(23*INDEX('UA-normalized'!$D:$D, MATCH($A31, 'UA-normalized'!$A:$A, 0))-INDEX('UA-normalized'!$E:$E, MATCH($A31, 'UA-normalized'!$A:$A, 0))), 0), 0))+(IFERROR(IF(23*INDEX('KZ-normalized'!$D:$D, MATCH($A31, 'KZ-normalized'!$A:$A, 0))-INDEX('KZ-normalized'!$E:$E, MATCH($A31, 'KZ-normalized'!$A:$A, 0))&gt;0, -(23*INDEX('KZ-normalized'!$D:$D, MATCH($A31, 'KZ-normalized'!$A:$A, 0))-INDEX('KZ-normalized'!$E:$E, MATCH($A31, 'KZ-normalized'!$A:$A, 0))), 0), 0))+(IFERROR(IF(23*INDEX('UZ-normalized'!$D:$D, MATCH($A31, 'UZ-normalized'!$A:$A, 0))-INDEX('UZ-normalized'!$E:$E, MATCH($A31, 'UZ-normalized'!$A:$A, 0))&gt;0, -(23*INDEX('UZ-normalized'!$D:$D, MATCH($A31, 'UZ-normalized'!$A:$A, 0))-INDEX('UZ-normalized'!$E:$E, MATCH($A31, 'UZ-normalized'!$A:$A, 0))), 0), 0)))</f>
        <v>0</v>
      </c>
      <c r="AL31" s="6">
        <f>MIN(0, N31+(IFERROR(IF(24*INDEX('UA-normalized'!$D:$D, MATCH($A31, 'UA-normalized'!$A:$A, 0))-INDEX('UA-normalized'!$E:$E, MATCH($A31, 'UA-normalized'!$A:$A, 0))&gt;0, -(24*INDEX('UA-normalized'!$D:$D, MATCH($A31, 'UA-normalized'!$A:$A, 0))-INDEX('UA-normalized'!$E:$E, MATCH($A31, 'UA-normalized'!$A:$A, 0))), 0), 0))+(IFERROR(IF(24*INDEX('KZ-normalized'!$D:$D, MATCH($A31, 'KZ-normalized'!$A:$A, 0))-INDEX('KZ-normalized'!$E:$E, MATCH($A31, 'KZ-normalized'!$A:$A, 0))&gt;0, -(24*INDEX('KZ-normalized'!$D:$D, MATCH($A31, 'KZ-normalized'!$A:$A, 0))-INDEX('KZ-normalized'!$E:$E, MATCH($A31, 'KZ-normalized'!$A:$A, 0))), 0), 0))+(IFERROR(IF(24*INDEX('UZ-normalized'!$D:$D, MATCH($A31, 'UZ-normalized'!$A:$A, 0))-INDEX('UZ-normalized'!$E:$E, MATCH($A31, 'UZ-normalized'!$A:$A, 0))&gt;0, -(24*INDEX('UZ-normalized'!$D:$D, MATCH($A31, 'UZ-normalized'!$A:$A, 0))-INDEX('UZ-normalized'!$E:$E, MATCH($A31, 'UZ-normalized'!$A:$A, 0))), 0), 0)))</f>
        <v>0</v>
      </c>
      <c r="AM31" s="6">
        <f>MIN(0, N31+(IFERROR(IF(25*INDEX('UA-normalized'!$D:$D, MATCH($A31, 'UA-normalized'!$A:$A, 0))-INDEX('UA-normalized'!$E:$E, MATCH($A31, 'UA-normalized'!$A:$A, 0))&gt;0, -(25*INDEX('UA-normalized'!$D:$D, MATCH($A31, 'UA-normalized'!$A:$A, 0))-INDEX('UA-normalized'!$E:$E, MATCH($A31, 'UA-normalized'!$A:$A, 0))), 0), 0))+(IFERROR(IF(25*INDEX('KZ-normalized'!$D:$D, MATCH($A31, 'KZ-normalized'!$A:$A, 0))-INDEX('KZ-normalized'!$E:$E, MATCH($A31, 'KZ-normalized'!$A:$A, 0))&gt;0, -(25*INDEX('KZ-normalized'!$D:$D, MATCH($A31, 'KZ-normalized'!$A:$A, 0))-INDEX('KZ-normalized'!$E:$E, MATCH($A31, 'KZ-normalized'!$A:$A, 0))), 0), 0))+(IFERROR(IF(25*INDEX('UZ-normalized'!$D:$D, MATCH($A31, 'UZ-normalized'!$A:$A, 0))-INDEX('UZ-normalized'!$E:$E, MATCH($A31, 'UZ-normalized'!$A:$A, 0))&gt;0, -(25*INDEX('UZ-normalized'!$D:$D, MATCH($A31, 'UZ-normalized'!$A:$A, 0))-INDEX('UZ-normalized'!$E:$E, MATCH($A31, 'UZ-normalized'!$A:$A, 0))), 0), 0)))</f>
        <v>0</v>
      </c>
      <c r="AN31" s="6">
        <f>MIN(0, N31+(IFERROR(IF(26*INDEX('UA-normalized'!$D:$D, MATCH($A31, 'UA-normalized'!$A:$A, 0))-INDEX('UA-normalized'!$E:$E, MATCH($A31, 'UA-normalized'!$A:$A, 0))&gt;0, -(26*INDEX('UA-normalized'!$D:$D, MATCH($A31, 'UA-normalized'!$A:$A, 0))-INDEX('UA-normalized'!$E:$E, MATCH($A31, 'UA-normalized'!$A:$A, 0))), 0), 0))+(IFERROR(IF(26*INDEX('KZ-normalized'!$D:$D, MATCH($A31, 'KZ-normalized'!$A:$A, 0))-INDEX('KZ-normalized'!$E:$E, MATCH($A31, 'KZ-normalized'!$A:$A, 0))&gt;0, -(26*INDEX('KZ-normalized'!$D:$D, MATCH($A31, 'KZ-normalized'!$A:$A, 0))-INDEX('KZ-normalized'!$E:$E, MATCH($A31, 'KZ-normalized'!$A:$A, 0))), 0), 0))+(IFERROR(IF(26*INDEX('UZ-normalized'!$D:$D, MATCH($A31, 'UZ-normalized'!$A:$A, 0))-INDEX('UZ-normalized'!$E:$E, MATCH($A31, 'UZ-normalized'!$A:$A, 0))&gt;0, -(26*INDEX('UZ-normalized'!$D:$D, MATCH($A31, 'UZ-normalized'!$A:$A, 0))-INDEX('UZ-normalized'!$E:$E, MATCH($A31, 'UZ-normalized'!$A:$A, 0))), 0), 0)))</f>
        <v>0</v>
      </c>
      <c r="AO31" s="6">
        <f>MIN(0, N31+(IFERROR(IF(27*INDEX('UA-normalized'!$D:$D, MATCH($A31, 'UA-normalized'!$A:$A, 0))-INDEX('UA-normalized'!$E:$E, MATCH($A31, 'UA-normalized'!$A:$A, 0))&gt;0, -(27*INDEX('UA-normalized'!$D:$D, MATCH($A31, 'UA-normalized'!$A:$A, 0))-INDEX('UA-normalized'!$E:$E, MATCH($A31, 'UA-normalized'!$A:$A, 0))), 0), 0))+(IFERROR(IF(27*INDEX('KZ-normalized'!$D:$D, MATCH($A31, 'KZ-normalized'!$A:$A, 0))-INDEX('KZ-normalized'!$E:$E, MATCH($A31, 'KZ-normalized'!$A:$A, 0))&gt;0, -(27*INDEX('KZ-normalized'!$D:$D, MATCH($A31, 'KZ-normalized'!$A:$A, 0))-INDEX('KZ-normalized'!$E:$E, MATCH($A31, 'KZ-normalized'!$A:$A, 0))), 0), 0))+(IFERROR(IF(27*INDEX('UZ-normalized'!$D:$D, MATCH($A31, 'UZ-normalized'!$A:$A, 0))-INDEX('UZ-normalized'!$E:$E, MATCH($A31, 'UZ-normalized'!$A:$A, 0))&gt;0, -(27*INDEX('UZ-normalized'!$D:$D, MATCH($A31, 'UZ-normalized'!$A:$A, 0))-INDEX('UZ-normalized'!$E:$E, MATCH($A31, 'UZ-normalized'!$A:$A, 0))), 0), 0)))</f>
        <v>0</v>
      </c>
      <c r="AP31" s="6">
        <f>MIN(0, N31+(IFERROR(IF(28*INDEX('UA-normalized'!$D:$D, MATCH($A31, 'UA-normalized'!$A:$A, 0))-INDEX('UA-normalized'!$E:$E, MATCH($A31, 'UA-normalized'!$A:$A, 0))&gt;0, -(28*INDEX('UA-normalized'!$D:$D, MATCH($A31, 'UA-normalized'!$A:$A, 0))-INDEX('UA-normalized'!$E:$E, MATCH($A31, 'UA-normalized'!$A:$A, 0))), 0), 0))+(IFERROR(IF(28*INDEX('KZ-normalized'!$D:$D, MATCH($A31, 'KZ-normalized'!$A:$A, 0))-INDEX('KZ-normalized'!$E:$E, MATCH($A31, 'KZ-normalized'!$A:$A, 0))&gt;0, -(28*INDEX('KZ-normalized'!$D:$D, MATCH($A31, 'KZ-normalized'!$A:$A, 0))-INDEX('KZ-normalized'!$E:$E, MATCH($A31, 'KZ-normalized'!$A:$A, 0))), 0), 0))+(IFERROR(IF(28*INDEX('UZ-normalized'!$D:$D, MATCH($A31, 'UZ-normalized'!$A:$A, 0))-INDEX('UZ-normalized'!$E:$E, MATCH($A31, 'UZ-normalized'!$A:$A, 0))&gt;0, -(28*INDEX('UZ-normalized'!$D:$D, MATCH($A31, 'UZ-normalized'!$A:$A, 0))-INDEX('UZ-normalized'!$E:$E, MATCH($A31, 'UZ-normalized'!$A:$A, 0))), 0), 0)))</f>
        <v>0</v>
      </c>
      <c r="AQ31" s="6">
        <f>MIN(0, N31+(IFERROR(IF(29*INDEX('UA-normalized'!$D:$D, MATCH($A31, 'UA-normalized'!$A:$A, 0))-INDEX('UA-normalized'!$E:$E, MATCH($A31, 'UA-normalized'!$A:$A, 0))&gt;0, -(29*INDEX('UA-normalized'!$D:$D, MATCH($A31, 'UA-normalized'!$A:$A, 0))-INDEX('UA-normalized'!$E:$E, MATCH($A31, 'UA-normalized'!$A:$A, 0))), 0), 0))+(IFERROR(IF(29*INDEX('KZ-normalized'!$D:$D, MATCH($A31, 'KZ-normalized'!$A:$A, 0))-INDEX('KZ-normalized'!$E:$E, MATCH($A31, 'KZ-normalized'!$A:$A, 0))&gt;0, -(29*INDEX('KZ-normalized'!$D:$D, MATCH($A31, 'KZ-normalized'!$A:$A, 0))-INDEX('KZ-normalized'!$E:$E, MATCH($A31, 'KZ-normalized'!$A:$A, 0))), 0), 0))+(IFERROR(IF(29*INDEX('UZ-normalized'!$D:$D, MATCH($A31, 'UZ-normalized'!$A:$A, 0))-INDEX('UZ-normalized'!$E:$E, MATCH($A31, 'UZ-normalized'!$A:$A, 0))&gt;0, -(29*INDEX('UZ-normalized'!$D:$D, MATCH($A31, 'UZ-normalized'!$A:$A, 0))-INDEX('UZ-normalized'!$E:$E, MATCH($A31, 'UZ-normalized'!$A:$A, 0))), 0), 0)))</f>
        <v>0</v>
      </c>
      <c r="AR31" s="6">
        <f>MIN(0, N31+(IFERROR(IF(30*INDEX('UA-normalized'!$D:$D, MATCH($A31, 'UA-normalized'!$A:$A, 0))-INDEX('UA-normalized'!$E:$E, MATCH($A31, 'UA-normalized'!$A:$A, 0))&gt;0, -(30*INDEX('UA-normalized'!$D:$D, MATCH($A31, 'UA-normalized'!$A:$A, 0))-INDEX('UA-normalized'!$E:$E, MATCH($A31, 'UA-normalized'!$A:$A, 0))), 0), 0))+(IFERROR(IF(30*INDEX('KZ-normalized'!$D:$D, MATCH($A31, 'KZ-normalized'!$A:$A, 0))-INDEX('KZ-normalized'!$E:$E, MATCH($A31, 'KZ-normalized'!$A:$A, 0))&gt;0, -(30*INDEX('KZ-normalized'!$D:$D, MATCH($A31, 'KZ-normalized'!$A:$A, 0))-INDEX('KZ-normalized'!$E:$E, MATCH($A31, 'KZ-normalized'!$A:$A, 0))), 0), 0))+(IFERROR(IF(30*INDEX('UZ-normalized'!$D:$D, MATCH($A31, 'UZ-normalized'!$A:$A, 0))-INDEX('UZ-normalized'!$E:$E, MATCH($A31, 'UZ-normalized'!$A:$A, 0))&gt;0, -(30*INDEX('UZ-normalized'!$D:$D, MATCH($A31, 'UZ-normalized'!$A:$A, 0))-INDEX('UZ-normalized'!$E:$E, MATCH($A31, 'UZ-normalized'!$A:$A, 0))), 0), 0)))</f>
        <v>0</v>
      </c>
    </row>
    <row r="32" spans="1:44" x14ac:dyDescent="0.25">
      <c r="A32" s="8" t="s">
        <v>112</v>
      </c>
      <c r="B32" s="8" t="s">
        <v>83</v>
      </c>
      <c r="C32" s="8" t="s">
        <v>105</v>
      </c>
      <c r="D32" s="8" t="s">
        <v>113</v>
      </c>
      <c r="E32">
        <v>3230.5033112582778</v>
      </c>
      <c r="J32">
        <v>1076.834437086093</v>
      </c>
      <c r="N32">
        <f t="shared" si="0"/>
        <v>4307.337748344371</v>
      </c>
      <c r="O32" s="6">
        <f>MIN(0, N32+(IFERROR(IF(1*INDEX('UA-normalized'!$D:$D, MATCH($A32, 'UA-normalized'!$A:$A, 0))-INDEX('UA-normalized'!$E:$E, MATCH($A32, 'UA-normalized'!$A:$A, 0))&gt;0, -(1*INDEX('UA-normalized'!$D:$D, MATCH($A32, 'UA-normalized'!$A:$A, 0))-INDEX('UA-normalized'!$E:$E, MATCH($A32, 'UA-normalized'!$A:$A, 0))), 0), 0))+(IFERROR(IF(1*INDEX('KZ-normalized'!$D:$D, MATCH($A32, 'KZ-normalized'!$A:$A, 0))-INDEX('KZ-normalized'!$E:$E, MATCH($A32, 'KZ-normalized'!$A:$A, 0))&gt;0, -(1*INDEX('KZ-normalized'!$D:$D, MATCH($A32, 'KZ-normalized'!$A:$A, 0))-INDEX('KZ-normalized'!$E:$E, MATCH($A32, 'KZ-normalized'!$A:$A, 0))), 0), 0))+(IFERROR(IF(1*INDEX('UZ-normalized'!$D:$D, MATCH($A32, 'UZ-normalized'!$A:$A, 0))-INDEX('UZ-normalized'!$E:$E, MATCH($A32, 'UZ-normalized'!$A:$A, 0))&gt;0, -(1*INDEX('UZ-normalized'!$D:$D, MATCH($A32, 'UZ-normalized'!$A:$A, 0))-INDEX('UZ-normalized'!$E:$E, MATCH($A32, 'UZ-normalized'!$A:$A, 0))), 0), 0)))</f>
        <v>0</v>
      </c>
      <c r="P32" s="6">
        <f>MIN(0, N32+(IFERROR(IF(2*INDEX('UA-normalized'!$D:$D, MATCH($A32, 'UA-normalized'!$A:$A, 0))-INDEX('UA-normalized'!$E:$E, MATCH($A32, 'UA-normalized'!$A:$A, 0))&gt;0, -(2*INDEX('UA-normalized'!$D:$D, MATCH($A32, 'UA-normalized'!$A:$A, 0))-INDEX('UA-normalized'!$E:$E, MATCH($A32, 'UA-normalized'!$A:$A, 0))), 0), 0))+(IFERROR(IF(2*INDEX('KZ-normalized'!$D:$D, MATCH($A32, 'KZ-normalized'!$A:$A, 0))-INDEX('KZ-normalized'!$E:$E, MATCH($A32, 'KZ-normalized'!$A:$A, 0))&gt;0, -(2*INDEX('KZ-normalized'!$D:$D, MATCH($A32, 'KZ-normalized'!$A:$A, 0))-INDEX('KZ-normalized'!$E:$E, MATCH($A32, 'KZ-normalized'!$A:$A, 0))), 0), 0))+(IFERROR(IF(2*INDEX('UZ-normalized'!$D:$D, MATCH($A32, 'UZ-normalized'!$A:$A, 0))-INDEX('UZ-normalized'!$E:$E, MATCH($A32, 'UZ-normalized'!$A:$A, 0))&gt;0, -(2*INDEX('UZ-normalized'!$D:$D, MATCH($A32, 'UZ-normalized'!$A:$A, 0))-INDEX('UZ-normalized'!$E:$E, MATCH($A32, 'UZ-normalized'!$A:$A, 0))), 0), 0)))</f>
        <v>0</v>
      </c>
      <c r="Q32" s="6">
        <f>MIN(0, N32+(IFERROR(IF(3*INDEX('UA-normalized'!$D:$D, MATCH($A32, 'UA-normalized'!$A:$A, 0))-INDEX('UA-normalized'!$E:$E, MATCH($A32, 'UA-normalized'!$A:$A, 0))&gt;0, -(3*INDEX('UA-normalized'!$D:$D, MATCH($A32, 'UA-normalized'!$A:$A, 0))-INDEX('UA-normalized'!$E:$E, MATCH($A32, 'UA-normalized'!$A:$A, 0))), 0), 0))+(IFERROR(IF(3*INDEX('KZ-normalized'!$D:$D, MATCH($A32, 'KZ-normalized'!$A:$A, 0))-INDEX('KZ-normalized'!$E:$E, MATCH($A32, 'KZ-normalized'!$A:$A, 0))&gt;0, -(3*INDEX('KZ-normalized'!$D:$D, MATCH($A32, 'KZ-normalized'!$A:$A, 0))-INDEX('KZ-normalized'!$E:$E, MATCH($A32, 'KZ-normalized'!$A:$A, 0))), 0), 0))+(IFERROR(IF(3*INDEX('UZ-normalized'!$D:$D, MATCH($A32, 'UZ-normalized'!$A:$A, 0))-INDEX('UZ-normalized'!$E:$E, MATCH($A32, 'UZ-normalized'!$A:$A, 0))&gt;0, -(3*INDEX('UZ-normalized'!$D:$D, MATCH($A32, 'UZ-normalized'!$A:$A, 0))-INDEX('UZ-normalized'!$E:$E, MATCH($A32, 'UZ-normalized'!$A:$A, 0))), 0), 0)))</f>
        <v>0</v>
      </c>
      <c r="R32" s="6">
        <f>MIN(0, N32+(IFERROR(IF(4*INDEX('UA-normalized'!$D:$D, MATCH($A32, 'UA-normalized'!$A:$A, 0))-INDEX('UA-normalized'!$E:$E, MATCH($A32, 'UA-normalized'!$A:$A, 0))&gt;0, -(4*INDEX('UA-normalized'!$D:$D, MATCH($A32, 'UA-normalized'!$A:$A, 0))-INDEX('UA-normalized'!$E:$E, MATCH($A32, 'UA-normalized'!$A:$A, 0))), 0), 0))+(IFERROR(IF(4*INDEX('KZ-normalized'!$D:$D, MATCH($A32, 'KZ-normalized'!$A:$A, 0))-INDEX('KZ-normalized'!$E:$E, MATCH($A32, 'KZ-normalized'!$A:$A, 0))&gt;0, -(4*INDEX('KZ-normalized'!$D:$D, MATCH($A32, 'KZ-normalized'!$A:$A, 0))-INDEX('KZ-normalized'!$E:$E, MATCH($A32, 'KZ-normalized'!$A:$A, 0))), 0), 0))+(IFERROR(IF(4*INDEX('UZ-normalized'!$D:$D, MATCH($A32, 'UZ-normalized'!$A:$A, 0))-INDEX('UZ-normalized'!$E:$E, MATCH($A32, 'UZ-normalized'!$A:$A, 0))&gt;0, -(4*INDEX('UZ-normalized'!$D:$D, MATCH($A32, 'UZ-normalized'!$A:$A, 0))-INDEX('UZ-normalized'!$E:$E, MATCH($A32, 'UZ-normalized'!$A:$A, 0))), 0), 0)))</f>
        <v>0</v>
      </c>
      <c r="S32" s="6">
        <f>MIN(0, N32+(IFERROR(IF(5*INDEX('UA-normalized'!$D:$D, MATCH($A32, 'UA-normalized'!$A:$A, 0))-INDEX('UA-normalized'!$E:$E, MATCH($A32, 'UA-normalized'!$A:$A, 0))&gt;0, -(5*INDEX('UA-normalized'!$D:$D, MATCH($A32, 'UA-normalized'!$A:$A, 0))-INDEX('UA-normalized'!$E:$E, MATCH($A32, 'UA-normalized'!$A:$A, 0))), 0), 0))+(IFERROR(IF(5*INDEX('KZ-normalized'!$D:$D, MATCH($A32, 'KZ-normalized'!$A:$A, 0))-INDEX('KZ-normalized'!$E:$E, MATCH($A32, 'KZ-normalized'!$A:$A, 0))&gt;0, -(5*INDEX('KZ-normalized'!$D:$D, MATCH($A32, 'KZ-normalized'!$A:$A, 0))-INDEX('KZ-normalized'!$E:$E, MATCH($A32, 'KZ-normalized'!$A:$A, 0))), 0), 0))+(IFERROR(IF(5*INDEX('UZ-normalized'!$D:$D, MATCH($A32, 'UZ-normalized'!$A:$A, 0))-INDEX('UZ-normalized'!$E:$E, MATCH($A32, 'UZ-normalized'!$A:$A, 0))&gt;0, -(5*INDEX('UZ-normalized'!$D:$D, MATCH($A32, 'UZ-normalized'!$A:$A, 0))-INDEX('UZ-normalized'!$E:$E, MATCH($A32, 'UZ-normalized'!$A:$A, 0))), 0), 0)))</f>
        <v>0</v>
      </c>
      <c r="T32" s="6">
        <f>MIN(0, N32+(IFERROR(IF(6*INDEX('UA-normalized'!$D:$D, MATCH($A32, 'UA-normalized'!$A:$A, 0))-INDEX('UA-normalized'!$E:$E, MATCH($A32, 'UA-normalized'!$A:$A, 0))&gt;0, -(6*INDEX('UA-normalized'!$D:$D, MATCH($A32, 'UA-normalized'!$A:$A, 0))-INDEX('UA-normalized'!$E:$E, MATCH($A32, 'UA-normalized'!$A:$A, 0))), 0), 0))+(IFERROR(IF(6*INDEX('KZ-normalized'!$D:$D, MATCH($A32, 'KZ-normalized'!$A:$A, 0))-INDEX('KZ-normalized'!$E:$E, MATCH($A32, 'KZ-normalized'!$A:$A, 0))&gt;0, -(6*INDEX('KZ-normalized'!$D:$D, MATCH($A32, 'KZ-normalized'!$A:$A, 0))-INDEX('KZ-normalized'!$E:$E, MATCH($A32, 'KZ-normalized'!$A:$A, 0))), 0), 0))+(IFERROR(IF(6*INDEX('UZ-normalized'!$D:$D, MATCH($A32, 'UZ-normalized'!$A:$A, 0))-INDEX('UZ-normalized'!$E:$E, MATCH($A32, 'UZ-normalized'!$A:$A, 0))&gt;0, -(6*INDEX('UZ-normalized'!$D:$D, MATCH($A32, 'UZ-normalized'!$A:$A, 0))-INDEX('UZ-normalized'!$E:$E, MATCH($A32, 'UZ-normalized'!$A:$A, 0))), 0), 0)))</f>
        <v>0</v>
      </c>
      <c r="U32" s="6">
        <f>MIN(0, N32+(IFERROR(IF(7*INDEX('UA-normalized'!$D:$D, MATCH($A32, 'UA-normalized'!$A:$A, 0))-INDEX('UA-normalized'!$E:$E, MATCH($A32, 'UA-normalized'!$A:$A, 0))&gt;0, -(7*INDEX('UA-normalized'!$D:$D, MATCH($A32, 'UA-normalized'!$A:$A, 0))-INDEX('UA-normalized'!$E:$E, MATCH($A32, 'UA-normalized'!$A:$A, 0))), 0), 0))+(IFERROR(IF(7*INDEX('KZ-normalized'!$D:$D, MATCH($A32, 'KZ-normalized'!$A:$A, 0))-INDEX('KZ-normalized'!$E:$E, MATCH($A32, 'KZ-normalized'!$A:$A, 0))&gt;0, -(7*INDEX('KZ-normalized'!$D:$D, MATCH($A32, 'KZ-normalized'!$A:$A, 0))-INDEX('KZ-normalized'!$E:$E, MATCH($A32, 'KZ-normalized'!$A:$A, 0))), 0), 0))+(IFERROR(IF(7*INDEX('UZ-normalized'!$D:$D, MATCH($A32, 'UZ-normalized'!$A:$A, 0))-INDEX('UZ-normalized'!$E:$E, MATCH($A32, 'UZ-normalized'!$A:$A, 0))&gt;0, -(7*INDEX('UZ-normalized'!$D:$D, MATCH($A32, 'UZ-normalized'!$A:$A, 0))-INDEX('UZ-normalized'!$E:$E, MATCH($A32, 'UZ-normalized'!$A:$A, 0))), 0), 0)))</f>
        <v>0</v>
      </c>
      <c r="V32" s="6">
        <f>MIN(0, N32+(IFERROR(IF(8*INDEX('UA-normalized'!$D:$D, MATCH($A32, 'UA-normalized'!$A:$A, 0))-INDEX('UA-normalized'!$E:$E, MATCH($A32, 'UA-normalized'!$A:$A, 0))&gt;0, -(8*INDEX('UA-normalized'!$D:$D, MATCH($A32, 'UA-normalized'!$A:$A, 0))-INDEX('UA-normalized'!$E:$E, MATCH($A32, 'UA-normalized'!$A:$A, 0))), 0), 0))+(IFERROR(IF(8*INDEX('KZ-normalized'!$D:$D, MATCH($A32, 'KZ-normalized'!$A:$A, 0))-INDEX('KZ-normalized'!$E:$E, MATCH($A32, 'KZ-normalized'!$A:$A, 0))&gt;0, -(8*INDEX('KZ-normalized'!$D:$D, MATCH($A32, 'KZ-normalized'!$A:$A, 0))-INDEX('KZ-normalized'!$E:$E, MATCH($A32, 'KZ-normalized'!$A:$A, 0))), 0), 0))+(IFERROR(IF(8*INDEX('UZ-normalized'!$D:$D, MATCH($A32, 'UZ-normalized'!$A:$A, 0))-INDEX('UZ-normalized'!$E:$E, MATCH($A32, 'UZ-normalized'!$A:$A, 0))&gt;0, -(8*INDEX('UZ-normalized'!$D:$D, MATCH($A32, 'UZ-normalized'!$A:$A, 0))-INDEX('UZ-normalized'!$E:$E, MATCH($A32, 'UZ-normalized'!$A:$A, 0))), 0), 0)))</f>
        <v>0</v>
      </c>
      <c r="W32" s="6">
        <f>MIN(0, N32+(IFERROR(IF(9*INDEX('UA-normalized'!$D:$D, MATCH($A32, 'UA-normalized'!$A:$A, 0))-INDEX('UA-normalized'!$E:$E, MATCH($A32, 'UA-normalized'!$A:$A, 0))&gt;0, -(9*INDEX('UA-normalized'!$D:$D, MATCH($A32, 'UA-normalized'!$A:$A, 0))-INDEX('UA-normalized'!$E:$E, MATCH($A32, 'UA-normalized'!$A:$A, 0))), 0), 0))+(IFERROR(IF(9*INDEX('KZ-normalized'!$D:$D, MATCH($A32, 'KZ-normalized'!$A:$A, 0))-INDEX('KZ-normalized'!$E:$E, MATCH($A32, 'KZ-normalized'!$A:$A, 0))&gt;0, -(9*INDEX('KZ-normalized'!$D:$D, MATCH($A32, 'KZ-normalized'!$A:$A, 0))-INDEX('KZ-normalized'!$E:$E, MATCH($A32, 'KZ-normalized'!$A:$A, 0))), 0), 0))+(IFERROR(IF(9*INDEX('UZ-normalized'!$D:$D, MATCH($A32, 'UZ-normalized'!$A:$A, 0))-INDEX('UZ-normalized'!$E:$E, MATCH($A32, 'UZ-normalized'!$A:$A, 0))&gt;0, -(9*INDEX('UZ-normalized'!$D:$D, MATCH($A32, 'UZ-normalized'!$A:$A, 0))-INDEX('UZ-normalized'!$E:$E, MATCH($A32, 'UZ-normalized'!$A:$A, 0))), 0), 0)))</f>
        <v>0</v>
      </c>
      <c r="X32" s="6">
        <f>MIN(0, N32+(IFERROR(IF(10*INDEX('UA-normalized'!$D:$D, MATCH($A32, 'UA-normalized'!$A:$A, 0))-INDEX('UA-normalized'!$E:$E, MATCH($A32, 'UA-normalized'!$A:$A, 0))&gt;0, -(10*INDEX('UA-normalized'!$D:$D, MATCH($A32, 'UA-normalized'!$A:$A, 0))-INDEX('UA-normalized'!$E:$E, MATCH($A32, 'UA-normalized'!$A:$A, 0))), 0), 0))+(IFERROR(IF(10*INDEX('KZ-normalized'!$D:$D, MATCH($A32, 'KZ-normalized'!$A:$A, 0))-INDEX('KZ-normalized'!$E:$E, MATCH($A32, 'KZ-normalized'!$A:$A, 0))&gt;0, -(10*INDEX('KZ-normalized'!$D:$D, MATCH($A32, 'KZ-normalized'!$A:$A, 0))-INDEX('KZ-normalized'!$E:$E, MATCH($A32, 'KZ-normalized'!$A:$A, 0))), 0), 0))+(IFERROR(IF(10*INDEX('UZ-normalized'!$D:$D, MATCH($A32, 'UZ-normalized'!$A:$A, 0))-INDEX('UZ-normalized'!$E:$E, MATCH($A32, 'UZ-normalized'!$A:$A, 0))&gt;0, -(10*INDEX('UZ-normalized'!$D:$D, MATCH($A32, 'UZ-normalized'!$A:$A, 0))-INDEX('UZ-normalized'!$E:$E, MATCH($A32, 'UZ-normalized'!$A:$A, 0))), 0), 0)))</f>
        <v>0</v>
      </c>
      <c r="Y32" s="6">
        <f>MIN(0, N32+(IFERROR(IF(11*INDEX('UA-normalized'!$D:$D, MATCH($A32, 'UA-normalized'!$A:$A, 0))-INDEX('UA-normalized'!$E:$E, MATCH($A32, 'UA-normalized'!$A:$A, 0))&gt;0, -(11*INDEX('UA-normalized'!$D:$D, MATCH($A32, 'UA-normalized'!$A:$A, 0))-INDEX('UA-normalized'!$E:$E, MATCH($A32, 'UA-normalized'!$A:$A, 0))), 0), 0))+(IFERROR(IF(11*INDEX('KZ-normalized'!$D:$D, MATCH($A32, 'KZ-normalized'!$A:$A, 0))-INDEX('KZ-normalized'!$E:$E, MATCH($A32, 'KZ-normalized'!$A:$A, 0))&gt;0, -(11*INDEX('KZ-normalized'!$D:$D, MATCH($A32, 'KZ-normalized'!$A:$A, 0))-INDEX('KZ-normalized'!$E:$E, MATCH($A32, 'KZ-normalized'!$A:$A, 0))), 0), 0))+(IFERROR(IF(11*INDEX('UZ-normalized'!$D:$D, MATCH($A32, 'UZ-normalized'!$A:$A, 0))-INDEX('UZ-normalized'!$E:$E, MATCH($A32, 'UZ-normalized'!$A:$A, 0))&gt;0, -(11*INDEX('UZ-normalized'!$D:$D, MATCH($A32, 'UZ-normalized'!$A:$A, 0))-INDEX('UZ-normalized'!$E:$E, MATCH($A32, 'UZ-normalized'!$A:$A, 0))), 0), 0)))</f>
        <v>0</v>
      </c>
      <c r="Z32" s="6">
        <f>MIN(0, N32+(IFERROR(IF(12*INDEX('UA-normalized'!$D:$D, MATCH($A32, 'UA-normalized'!$A:$A, 0))-INDEX('UA-normalized'!$E:$E, MATCH($A32, 'UA-normalized'!$A:$A, 0))&gt;0, -(12*INDEX('UA-normalized'!$D:$D, MATCH($A32, 'UA-normalized'!$A:$A, 0))-INDEX('UA-normalized'!$E:$E, MATCH($A32, 'UA-normalized'!$A:$A, 0))), 0), 0))+(IFERROR(IF(12*INDEX('KZ-normalized'!$D:$D, MATCH($A32, 'KZ-normalized'!$A:$A, 0))-INDEX('KZ-normalized'!$E:$E, MATCH($A32, 'KZ-normalized'!$A:$A, 0))&gt;0, -(12*INDEX('KZ-normalized'!$D:$D, MATCH($A32, 'KZ-normalized'!$A:$A, 0))-INDEX('KZ-normalized'!$E:$E, MATCH($A32, 'KZ-normalized'!$A:$A, 0))), 0), 0))+(IFERROR(IF(12*INDEX('UZ-normalized'!$D:$D, MATCH($A32, 'UZ-normalized'!$A:$A, 0))-INDEX('UZ-normalized'!$E:$E, MATCH($A32, 'UZ-normalized'!$A:$A, 0))&gt;0, -(12*INDEX('UZ-normalized'!$D:$D, MATCH($A32, 'UZ-normalized'!$A:$A, 0))-INDEX('UZ-normalized'!$E:$E, MATCH($A32, 'UZ-normalized'!$A:$A, 0))), 0), 0)))</f>
        <v>0</v>
      </c>
      <c r="AA32" s="6">
        <f>MIN(0, N32+(IFERROR(IF(13*INDEX('UA-normalized'!$D:$D, MATCH($A32, 'UA-normalized'!$A:$A, 0))-INDEX('UA-normalized'!$E:$E, MATCH($A32, 'UA-normalized'!$A:$A, 0))&gt;0, -(13*INDEX('UA-normalized'!$D:$D, MATCH($A32, 'UA-normalized'!$A:$A, 0))-INDEX('UA-normalized'!$E:$E, MATCH($A32, 'UA-normalized'!$A:$A, 0))), 0), 0))+(IFERROR(IF(13*INDEX('KZ-normalized'!$D:$D, MATCH($A32, 'KZ-normalized'!$A:$A, 0))-INDEX('KZ-normalized'!$E:$E, MATCH($A32, 'KZ-normalized'!$A:$A, 0))&gt;0, -(13*INDEX('KZ-normalized'!$D:$D, MATCH($A32, 'KZ-normalized'!$A:$A, 0))-INDEX('KZ-normalized'!$E:$E, MATCH($A32, 'KZ-normalized'!$A:$A, 0))), 0), 0))+(IFERROR(IF(13*INDEX('UZ-normalized'!$D:$D, MATCH($A32, 'UZ-normalized'!$A:$A, 0))-INDEX('UZ-normalized'!$E:$E, MATCH($A32, 'UZ-normalized'!$A:$A, 0))&gt;0, -(13*INDEX('UZ-normalized'!$D:$D, MATCH($A32, 'UZ-normalized'!$A:$A, 0))-INDEX('UZ-normalized'!$E:$E, MATCH($A32, 'UZ-normalized'!$A:$A, 0))), 0), 0)))</f>
        <v>0</v>
      </c>
      <c r="AB32" s="6">
        <f>MIN(0, N32+(IFERROR(IF(14*INDEX('UA-normalized'!$D:$D, MATCH($A32, 'UA-normalized'!$A:$A, 0))-INDEX('UA-normalized'!$E:$E, MATCH($A32, 'UA-normalized'!$A:$A, 0))&gt;0, -(14*INDEX('UA-normalized'!$D:$D, MATCH($A32, 'UA-normalized'!$A:$A, 0))-INDEX('UA-normalized'!$E:$E, MATCH($A32, 'UA-normalized'!$A:$A, 0))), 0), 0))+(IFERROR(IF(14*INDEX('KZ-normalized'!$D:$D, MATCH($A32, 'KZ-normalized'!$A:$A, 0))-INDEX('KZ-normalized'!$E:$E, MATCH($A32, 'KZ-normalized'!$A:$A, 0))&gt;0, -(14*INDEX('KZ-normalized'!$D:$D, MATCH($A32, 'KZ-normalized'!$A:$A, 0))-INDEX('KZ-normalized'!$E:$E, MATCH($A32, 'KZ-normalized'!$A:$A, 0))), 0), 0))+(IFERROR(IF(14*INDEX('UZ-normalized'!$D:$D, MATCH($A32, 'UZ-normalized'!$A:$A, 0))-INDEX('UZ-normalized'!$E:$E, MATCH($A32, 'UZ-normalized'!$A:$A, 0))&gt;0, -(14*INDEX('UZ-normalized'!$D:$D, MATCH($A32, 'UZ-normalized'!$A:$A, 0))-INDEX('UZ-normalized'!$E:$E, MATCH($A32, 'UZ-normalized'!$A:$A, 0))), 0), 0)))</f>
        <v>0</v>
      </c>
      <c r="AC32" s="6">
        <f>MIN(0, N32+(IFERROR(IF(15*INDEX('UA-normalized'!$D:$D, MATCH($A32, 'UA-normalized'!$A:$A, 0))-INDEX('UA-normalized'!$E:$E, MATCH($A32, 'UA-normalized'!$A:$A, 0))&gt;0, -(15*INDEX('UA-normalized'!$D:$D, MATCH($A32, 'UA-normalized'!$A:$A, 0))-INDEX('UA-normalized'!$E:$E, MATCH($A32, 'UA-normalized'!$A:$A, 0))), 0), 0))+(IFERROR(IF(15*INDEX('KZ-normalized'!$D:$D, MATCH($A32, 'KZ-normalized'!$A:$A, 0))-INDEX('KZ-normalized'!$E:$E, MATCH($A32, 'KZ-normalized'!$A:$A, 0))&gt;0, -(15*INDEX('KZ-normalized'!$D:$D, MATCH($A32, 'KZ-normalized'!$A:$A, 0))-INDEX('KZ-normalized'!$E:$E, MATCH($A32, 'KZ-normalized'!$A:$A, 0))), 0), 0))+(IFERROR(IF(15*INDEX('UZ-normalized'!$D:$D, MATCH($A32, 'UZ-normalized'!$A:$A, 0))-INDEX('UZ-normalized'!$E:$E, MATCH($A32, 'UZ-normalized'!$A:$A, 0))&gt;0, -(15*INDEX('UZ-normalized'!$D:$D, MATCH($A32, 'UZ-normalized'!$A:$A, 0))-INDEX('UZ-normalized'!$E:$E, MATCH($A32, 'UZ-normalized'!$A:$A, 0))), 0), 0)))</f>
        <v>0</v>
      </c>
      <c r="AD32" s="6">
        <f>MIN(0, N32+(IFERROR(IF(16*INDEX('UA-normalized'!$D:$D, MATCH($A32, 'UA-normalized'!$A:$A, 0))-INDEX('UA-normalized'!$E:$E, MATCH($A32, 'UA-normalized'!$A:$A, 0))&gt;0, -(16*INDEX('UA-normalized'!$D:$D, MATCH($A32, 'UA-normalized'!$A:$A, 0))-INDEX('UA-normalized'!$E:$E, MATCH($A32, 'UA-normalized'!$A:$A, 0))), 0), 0))+(IFERROR(IF(16*INDEX('KZ-normalized'!$D:$D, MATCH($A32, 'KZ-normalized'!$A:$A, 0))-INDEX('KZ-normalized'!$E:$E, MATCH($A32, 'KZ-normalized'!$A:$A, 0))&gt;0, -(16*INDEX('KZ-normalized'!$D:$D, MATCH($A32, 'KZ-normalized'!$A:$A, 0))-INDEX('KZ-normalized'!$E:$E, MATCH($A32, 'KZ-normalized'!$A:$A, 0))), 0), 0))+(IFERROR(IF(16*INDEX('UZ-normalized'!$D:$D, MATCH($A32, 'UZ-normalized'!$A:$A, 0))-INDEX('UZ-normalized'!$E:$E, MATCH($A32, 'UZ-normalized'!$A:$A, 0))&gt;0, -(16*INDEX('UZ-normalized'!$D:$D, MATCH($A32, 'UZ-normalized'!$A:$A, 0))-INDEX('UZ-normalized'!$E:$E, MATCH($A32, 'UZ-normalized'!$A:$A, 0))), 0), 0)))</f>
        <v>-333.66225165562901</v>
      </c>
      <c r="AE32" s="6">
        <f>MIN(0, N32+(IFERROR(IF(17*INDEX('UA-normalized'!$D:$D, MATCH($A32, 'UA-normalized'!$A:$A, 0))-INDEX('UA-normalized'!$E:$E, MATCH($A32, 'UA-normalized'!$A:$A, 0))&gt;0, -(17*INDEX('UA-normalized'!$D:$D, MATCH($A32, 'UA-normalized'!$A:$A, 0))-INDEX('UA-normalized'!$E:$E, MATCH($A32, 'UA-normalized'!$A:$A, 0))), 0), 0))+(IFERROR(IF(17*INDEX('KZ-normalized'!$D:$D, MATCH($A32, 'KZ-normalized'!$A:$A, 0))-INDEX('KZ-normalized'!$E:$E, MATCH($A32, 'KZ-normalized'!$A:$A, 0))&gt;0, -(17*INDEX('KZ-normalized'!$D:$D, MATCH($A32, 'KZ-normalized'!$A:$A, 0))-INDEX('KZ-normalized'!$E:$E, MATCH($A32, 'KZ-normalized'!$A:$A, 0))), 0), 0))+(IFERROR(IF(17*INDEX('UZ-normalized'!$D:$D, MATCH($A32, 'UZ-normalized'!$A:$A, 0))-INDEX('UZ-normalized'!$E:$E, MATCH($A32, 'UZ-normalized'!$A:$A, 0))&gt;0, -(17*INDEX('UZ-normalized'!$D:$D, MATCH($A32, 'UZ-normalized'!$A:$A, 0))-INDEX('UZ-normalized'!$E:$E, MATCH($A32, 'UZ-normalized'!$A:$A, 0))), 0), 0)))</f>
        <v>-689.16225165562901</v>
      </c>
      <c r="AF32" s="6">
        <f>MIN(0, N32+(IFERROR(IF(18*INDEX('UA-normalized'!$D:$D, MATCH($A32, 'UA-normalized'!$A:$A, 0))-INDEX('UA-normalized'!$E:$E, MATCH($A32, 'UA-normalized'!$A:$A, 0))&gt;0, -(18*INDEX('UA-normalized'!$D:$D, MATCH($A32, 'UA-normalized'!$A:$A, 0))-INDEX('UA-normalized'!$E:$E, MATCH($A32, 'UA-normalized'!$A:$A, 0))), 0), 0))+(IFERROR(IF(18*INDEX('KZ-normalized'!$D:$D, MATCH($A32, 'KZ-normalized'!$A:$A, 0))-INDEX('KZ-normalized'!$E:$E, MATCH($A32, 'KZ-normalized'!$A:$A, 0))&gt;0, -(18*INDEX('KZ-normalized'!$D:$D, MATCH($A32, 'KZ-normalized'!$A:$A, 0))-INDEX('KZ-normalized'!$E:$E, MATCH($A32, 'KZ-normalized'!$A:$A, 0))), 0), 0))+(IFERROR(IF(18*INDEX('UZ-normalized'!$D:$D, MATCH($A32, 'UZ-normalized'!$A:$A, 0))-INDEX('UZ-normalized'!$E:$E, MATCH($A32, 'UZ-normalized'!$A:$A, 0))&gt;0, -(18*INDEX('UZ-normalized'!$D:$D, MATCH($A32, 'UZ-normalized'!$A:$A, 0))-INDEX('UZ-normalized'!$E:$E, MATCH($A32, 'UZ-normalized'!$A:$A, 0))), 0), 0)))</f>
        <v>-1044.662251655629</v>
      </c>
      <c r="AG32" s="6">
        <f>MIN(0, N32+(IFERROR(IF(19*INDEX('UA-normalized'!$D:$D, MATCH($A32, 'UA-normalized'!$A:$A, 0))-INDEX('UA-normalized'!$E:$E, MATCH($A32, 'UA-normalized'!$A:$A, 0))&gt;0, -(19*INDEX('UA-normalized'!$D:$D, MATCH($A32, 'UA-normalized'!$A:$A, 0))-INDEX('UA-normalized'!$E:$E, MATCH($A32, 'UA-normalized'!$A:$A, 0))), 0), 0))+(IFERROR(IF(19*INDEX('KZ-normalized'!$D:$D, MATCH($A32, 'KZ-normalized'!$A:$A, 0))-INDEX('KZ-normalized'!$E:$E, MATCH($A32, 'KZ-normalized'!$A:$A, 0))&gt;0, -(19*INDEX('KZ-normalized'!$D:$D, MATCH($A32, 'KZ-normalized'!$A:$A, 0))-INDEX('KZ-normalized'!$E:$E, MATCH($A32, 'KZ-normalized'!$A:$A, 0))), 0), 0))+(IFERROR(IF(19*INDEX('UZ-normalized'!$D:$D, MATCH($A32, 'UZ-normalized'!$A:$A, 0))-INDEX('UZ-normalized'!$E:$E, MATCH($A32, 'UZ-normalized'!$A:$A, 0))&gt;0, -(19*INDEX('UZ-normalized'!$D:$D, MATCH($A32, 'UZ-normalized'!$A:$A, 0))-INDEX('UZ-normalized'!$E:$E, MATCH($A32, 'UZ-normalized'!$A:$A, 0))), 0), 0)))</f>
        <v>-1400.162251655629</v>
      </c>
      <c r="AH32" s="6">
        <f>MIN(0, N32+(IFERROR(IF(20*INDEX('UA-normalized'!$D:$D, MATCH($A32, 'UA-normalized'!$A:$A, 0))-INDEX('UA-normalized'!$E:$E, MATCH($A32, 'UA-normalized'!$A:$A, 0))&gt;0, -(20*INDEX('UA-normalized'!$D:$D, MATCH($A32, 'UA-normalized'!$A:$A, 0))-INDEX('UA-normalized'!$E:$E, MATCH($A32, 'UA-normalized'!$A:$A, 0))), 0), 0))+(IFERROR(IF(20*INDEX('KZ-normalized'!$D:$D, MATCH($A32, 'KZ-normalized'!$A:$A, 0))-INDEX('KZ-normalized'!$E:$E, MATCH($A32, 'KZ-normalized'!$A:$A, 0))&gt;0, -(20*INDEX('KZ-normalized'!$D:$D, MATCH($A32, 'KZ-normalized'!$A:$A, 0))-INDEX('KZ-normalized'!$E:$E, MATCH($A32, 'KZ-normalized'!$A:$A, 0))), 0), 0))+(IFERROR(IF(20*INDEX('UZ-normalized'!$D:$D, MATCH($A32, 'UZ-normalized'!$A:$A, 0))-INDEX('UZ-normalized'!$E:$E, MATCH($A32, 'UZ-normalized'!$A:$A, 0))&gt;0, -(20*INDEX('UZ-normalized'!$D:$D, MATCH($A32, 'UZ-normalized'!$A:$A, 0))-INDEX('UZ-normalized'!$E:$E, MATCH($A32, 'UZ-normalized'!$A:$A, 0))), 0), 0)))</f>
        <v>-1755.662251655629</v>
      </c>
      <c r="AI32" s="6">
        <f>MIN(0, N32+(IFERROR(IF(21*INDEX('UA-normalized'!$D:$D, MATCH($A32, 'UA-normalized'!$A:$A, 0))-INDEX('UA-normalized'!$E:$E, MATCH($A32, 'UA-normalized'!$A:$A, 0))&gt;0, -(21*INDEX('UA-normalized'!$D:$D, MATCH($A32, 'UA-normalized'!$A:$A, 0))-INDEX('UA-normalized'!$E:$E, MATCH($A32, 'UA-normalized'!$A:$A, 0))), 0), 0))+(IFERROR(IF(21*INDEX('KZ-normalized'!$D:$D, MATCH($A32, 'KZ-normalized'!$A:$A, 0))-INDEX('KZ-normalized'!$E:$E, MATCH($A32, 'KZ-normalized'!$A:$A, 0))&gt;0, -(21*INDEX('KZ-normalized'!$D:$D, MATCH($A32, 'KZ-normalized'!$A:$A, 0))-INDEX('KZ-normalized'!$E:$E, MATCH($A32, 'KZ-normalized'!$A:$A, 0))), 0), 0))+(IFERROR(IF(21*INDEX('UZ-normalized'!$D:$D, MATCH($A32, 'UZ-normalized'!$A:$A, 0))-INDEX('UZ-normalized'!$E:$E, MATCH($A32, 'UZ-normalized'!$A:$A, 0))&gt;0, -(21*INDEX('UZ-normalized'!$D:$D, MATCH($A32, 'UZ-normalized'!$A:$A, 0))-INDEX('UZ-normalized'!$E:$E, MATCH($A32, 'UZ-normalized'!$A:$A, 0))), 0), 0)))</f>
        <v>-2111.162251655629</v>
      </c>
      <c r="AJ32" s="6">
        <f>MIN(0, N32+(IFERROR(IF(22*INDEX('UA-normalized'!$D:$D, MATCH($A32, 'UA-normalized'!$A:$A, 0))-INDEX('UA-normalized'!$E:$E, MATCH($A32, 'UA-normalized'!$A:$A, 0))&gt;0, -(22*INDEX('UA-normalized'!$D:$D, MATCH($A32, 'UA-normalized'!$A:$A, 0))-INDEX('UA-normalized'!$E:$E, MATCH($A32, 'UA-normalized'!$A:$A, 0))), 0), 0))+(IFERROR(IF(22*INDEX('KZ-normalized'!$D:$D, MATCH($A32, 'KZ-normalized'!$A:$A, 0))-INDEX('KZ-normalized'!$E:$E, MATCH($A32, 'KZ-normalized'!$A:$A, 0))&gt;0, -(22*INDEX('KZ-normalized'!$D:$D, MATCH($A32, 'KZ-normalized'!$A:$A, 0))-INDEX('KZ-normalized'!$E:$E, MATCH($A32, 'KZ-normalized'!$A:$A, 0))), 0), 0))+(IFERROR(IF(22*INDEX('UZ-normalized'!$D:$D, MATCH($A32, 'UZ-normalized'!$A:$A, 0))-INDEX('UZ-normalized'!$E:$E, MATCH($A32, 'UZ-normalized'!$A:$A, 0))&gt;0, -(22*INDEX('UZ-normalized'!$D:$D, MATCH($A32, 'UZ-normalized'!$A:$A, 0))-INDEX('UZ-normalized'!$E:$E, MATCH($A32, 'UZ-normalized'!$A:$A, 0))), 0), 0)))</f>
        <v>-2466.662251655629</v>
      </c>
      <c r="AK32" s="6">
        <f>MIN(0, N32+(IFERROR(IF(23*INDEX('UA-normalized'!$D:$D, MATCH($A32, 'UA-normalized'!$A:$A, 0))-INDEX('UA-normalized'!$E:$E, MATCH($A32, 'UA-normalized'!$A:$A, 0))&gt;0, -(23*INDEX('UA-normalized'!$D:$D, MATCH($A32, 'UA-normalized'!$A:$A, 0))-INDEX('UA-normalized'!$E:$E, MATCH($A32, 'UA-normalized'!$A:$A, 0))), 0), 0))+(IFERROR(IF(23*INDEX('KZ-normalized'!$D:$D, MATCH($A32, 'KZ-normalized'!$A:$A, 0))-INDEX('KZ-normalized'!$E:$E, MATCH($A32, 'KZ-normalized'!$A:$A, 0))&gt;0, -(23*INDEX('KZ-normalized'!$D:$D, MATCH($A32, 'KZ-normalized'!$A:$A, 0))-INDEX('KZ-normalized'!$E:$E, MATCH($A32, 'KZ-normalized'!$A:$A, 0))), 0), 0))+(IFERROR(IF(23*INDEX('UZ-normalized'!$D:$D, MATCH($A32, 'UZ-normalized'!$A:$A, 0))-INDEX('UZ-normalized'!$E:$E, MATCH($A32, 'UZ-normalized'!$A:$A, 0))&gt;0, -(23*INDEX('UZ-normalized'!$D:$D, MATCH($A32, 'UZ-normalized'!$A:$A, 0))-INDEX('UZ-normalized'!$E:$E, MATCH($A32, 'UZ-normalized'!$A:$A, 0))), 0), 0)))</f>
        <v>-2822.162251655629</v>
      </c>
      <c r="AL32" s="6">
        <f>MIN(0, N32+(IFERROR(IF(24*INDEX('UA-normalized'!$D:$D, MATCH($A32, 'UA-normalized'!$A:$A, 0))-INDEX('UA-normalized'!$E:$E, MATCH($A32, 'UA-normalized'!$A:$A, 0))&gt;0, -(24*INDEX('UA-normalized'!$D:$D, MATCH($A32, 'UA-normalized'!$A:$A, 0))-INDEX('UA-normalized'!$E:$E, MATCH($A32, 'UA-normalized'!$A:$A, 0))), 0), 0))+(IFERROR(IF(24*INDEX('KZ-normalized'!$D:$D, MATCH($A32, 'KZ-normalized'!$A:$A, 0))-INDEX('KZ-normalized'!$E:$E, MATCH($A32, 'KZ-normalized'!$A:$A, 0))&gt;0, -(24*INDEX('KZ-normalized'!$D:$D, MATCH($A32, 'KZ-normalized'!$A:$A, 0))-INDEX('KZ-normalized'!$E:$E, MATCH($A32, 'KZ-normalized'!$A:$A, 0))), 0), 0))+(IFERROR(IF(24*INDEX('UZ-normalized'!$D:$D, MATCH($A32, 'UZ-normalized'!$A:$A, 0))-INDEX('UZ-normalized'!$E:$E, MATCH($A32, 'UZ-normalized'!$A:$A, 0))&gt;0, -(24*INDEX('UZ-normalized'!$D:$D, MATCH($A32, 'UZ-normalized'!$A:$A, 0))-INDEX('UZ-normalized'!$E:$E, MATCH($A32, 'UZ-normalized'!$A:$A, 0))), 0), 0)))</f>
        <v>-3177.662251655629</v>
      </c>
      <c r="AM32" s="6">
        <f>MIN(0, N32+(IFERROR(IF(25*INDEX('UA-normalized'!$D:$D, MATCH($A32, 'UA-normalized'!$A:$A, 0))-INDEX('UA-normalized'!$E:$E, MATCH($A32, 'UA-normalized'!$A:$A, 0))&gt;0, -(25*INDEX('UA-normalized'!$D:$D, MATCH($A32, 'UA-normalized'!$A:$A, 0))-INDEX('UA-normalized'!$E:$E, MATCH($A32, 'UA-normalized'!$A:$A, 0))), 0), 0))+(IFERROR(IF(25*INDEX('KZ-normalized'!$D:$D, MATCH($A32, 'KZ-normalized'!$A:$A, 0))-INDEX('KZ-normalized'!$E:$E, MATCH($A32, 'KZ-normalized'!$A:$A, 0))&gt;0, -(25*INDEX('KZ-normalized'!$D:$D, MATCH($A32, 'KZ-normalized'!$A:$A, 0))-INDEX('KZ-normalized'!$E:$E, MATCH($A32, 'KZ-normalized'!$A:$A, 0))), 0), 0))+(IFERROR(IF(25*INDEX('UZ-normalized'!$D:$D, MATCH($A32, 'UZ-normalized'!$A:$A, 0))-INDEX('UZ-normalized'!$E:$E, MATCH($A32, 'UZ-normalized'!$A:$A, 0))&gt;0, -(25*INDEX('UZ-normalized'!$D:$D, MATCH($A32, 'UZ-normalized'!$A:$A, 0))-INDEX('UZ-normalized'!$E:$E, MATCH($A32, 'UZ-normalized'!$A:$A, 0))), 0), 0)))</f>
        <v>-3533.162251655629</v>
      </c>
      <c r="AN32" s="6">
        <f>MIN(0, N32+(IFERROR(IF(26*INDEX('UA-normalized'!$D:$D, MATCH($A32, 'UA-normalized'!$A:$A, 0))-INDEX('UA-normalized'!$E:$E, MATCH($A32, 'UA-normalized'!$A:$A, 0))&gt;0, -(26*INDEX('UA-normalized'!$D:$D, MATCH($A32, 'UA-normalized'!$A:$A, 0))-INDEX('UA-normalized'!$E:$E, MATCH($A32, 'UA-normalized'!$A:$A, 0))), 0), 0))+(IFERROR(IF(26*INDEX('KZ-normalized'!$D:$D, MATCH($A32, 'KZ-normalized'!$A:$A, 0))-INDEX('KZ-normalized'!$E:$E, MATCH($A32, 'KZ-normalized'!$A:$A, 0))&gt;0, -(26*INDEX('KZ-normalized'!$D:$D, MATCH($A32, 'KZ-normalized'!$A:$A, 0))-INDEX('KZ-normalized'!$E:$E, MATCH($A32, 'KZ-normalized'!$A:$A, 0))), 0), 0))+(IFERROR(IF(26*INDEX('UZ-normalized'!$D:$D, MATCH($A32, 'UZ-normalized'!$A:$A, 0))-INDEX('UZ-normalized'!$E:$E, MATCH($A32, 'UZ-normalized'!$A:$A, 0))&gt;0, -(26*INDEX('UZ-normalized'!$D:$D, MATCH($A32, 'UZ-normalized'!$A:$A, 0))-INDEX('UZ-normalized'!$E:$E, MATCH($A32, 'UZ-normalized'!$A:$A, 0))), 0), 0)))</f>
        <v>-3888.662251655629</v>
      </c>
      <c r="AO32" s="6">
        <f>MIN(0, N32+(IFERROR(IF(27*INDEX('UA-normalized'!$D:$D, MATCH($A32, 'UA-normalized'!$A:$A, 0))-INDEX('UA-normalized'!$E:$E, MATCH($A32, 'UA-normalized'!$A:$A, 0))&gt;0, -(27*INDEX('UA-normalized'!$D:$D, MATCH($A32, 'UA-normalized'!$A:$A, 0))-INDEX('UA-normalized'!$E:$E, MATCH($A32, 'UA-normalized'!$A:$A, 0))), 0), 0))+(IFERROR(IF(27*INDEX('KZ-normalized'!$D:$D, MATCH($A32, 'KZ-normalized'!$A:$A, 0))-INDEX('KZ-normalized'!$E:$E, MATCH($A32, 'KZ-normalized'!$A:$A, 0))&gt;0, -(27*INDEX('KZ-normalized'!$D:$D, MATCH($A32, 'KZ-normalized'!$A:$A, 0))-INDEX('KZ-normalized'!$E:$E, MATCH($A32, 'KZ-normalized'!$A:$A, 0))), 0), 0))+(IFERROR(IF(27*INDEX('UZ-normalized'!$D:$D, MATCH($A32, 'UZ-normalized'!$A:$A, 0))-INDEX('UZ-normalized'!$E:$E, MATCH($A32, 'UZ-normalized'!$A:$A, 0))&gt;0, -(27*INDEX('UZ-normalized'!$D:$D, MATCH($A32, 'UZ-normalized'!$A:$A, 0))-INDEX('UZ-normalized'!$E:$E, MATCH($A32, 'UZ-normalized'!$A:$A, 0))), 0), 0)))</f>
        <v>-4244.162251655629</v>
      </c>
      <c r="AP32" s="6">
        <f>MIN(0, N32+(IFERROR(IF(28*INDEX('UA-normalized'!$D:$D, MATCH($A32, 'UA-normalized'!$A:$A, 0))-INDEX('UA-normalized'!$E:$E, MATCH($A32, 'UA-normalized'!$A:$A, 0))&gt;0, -(28*INDEX('UA-normalized'!$D:$D, MATCH($A32, 'UA-normalized'!$A:$A, 0))-INDEX('UA-normalized'!$E:$E, MATCH($A32, 'UA-normalized'!$A:$A, 0))), 0), 0))+(IFERROR(IF(28*INDEX('KZ-normalized'!$D:$D, MATCH($A32, 'KZ-normalized'!$A:$A, 0))-INDEX('KZ-normalized'!$E:$E, MATCH($A32, 'KZ-normalized'!$A:$A, 0))&gt;0, -(28*INDEX('KZ-normalized'!$D:$D, MATCH($A32, 'KZ-normalized'!$A:$A, 0))-INDEX('KZ-normalized'!$E:$E, MATCH($A32, 'KZ-normalized'!$A:$A, 0))), 0), 0))+(IFERROR(IF(28*INDEX('UZ-normalized'!$D:$D, MATCH($A32, 'UZ-normalized'!$A:$A, 0))-INDEX('UZ-normalized'!$E:$E, MATCH($A32, 'UZ-normalized'!$A:$A, 0))&gt;0, -(28*INDEX('UZ-normalized'!$D:$D, MATCH($A32, 'UZ-normalized'!$A:$A, 0))-INDEX('UZ-normalized'!$E:$E, MATCH($A32, 'UZ-normalized'!$A:$A, 0))), 0), 0)))</f>
        <v>-4599.662251655629</v>
      </c>
      <c r="AQ32" s="6">
        <f>MIN(0, N32+(IFERROR(IF(29*INDEX('UA-normalized'!$D:$D, MATCH($A32, 'UA-normalized'!$A:$A, 0))-INDEX('UA-normalized'!$E:$E, MATCH($A32, 'UA-normalized'!$A:$A, 0))&gt;0, -(29*INDEX('UA-normalized'!$D:$D, MATCH($A32, 'UA-normalized'!$A:$A, 0))-INDEX('UA-normalized'!$E:$E, MATCH($A32, 'UA-normalized'!$A:$A, 0))), 0), 0))+(IFERROR(IF(29*INDEX('KZ-normalized'!$D:$D, MATCH($A32, 'KZ-normalized'!$A:$A, 0))-INDEX('KZ-normalized'!$E:$E, MATCH($A32, 'KZ-normalized'!$A:$A, 0))&gt;0, -(29*INDEX('KZ-normalized'!$D:$D, MATCH($A32, 'KZ-normalized'!$A:$A, 0))-INDEX('KZ-normalized'!$E:$E, MATCH($A32, 'KZ-normalized'!$A:$A, 0))), 0), 0))+(IFERROR(IF(29*INDEX('UZ-normalized'!$D:$D, MATCH($A32, 'UZ-normalized'!$A:$A, 0))-INDEX('UZ-normalized'!$E:$E, MATCH($A32, 'UZ-normalized'!$A:$A, 0))&gt;0, -(29*INDEX('UZ-normalized'!$D:$D, MATCH($A32, 'UZ-normalized'!$A:$A, 0))-INDEX('UZ-normalized'!$E:$E, MATCH($A32, 'UZ-normalized'!$A:$A, 0))), 0), 0)))</f>
        <v>-4955.162251655629</v>
      </c>
      <c r="AR32" s="6">
        <f>MIN(0, N32+(IFERROR(IF(30*INDEX('UA-normalized'!$D:$D, MATCH($A32, 'UA-normalized'!$A:$A, 0))-INDEX('UA-normalized'!$E:$E, MATCH($A32, 'UA-normalized'!$A:$A, 0))&gt;0, -(30*INDEX('UA-normalized'!$D:$D, MATCH($A32, 'UA-normalized'!$A:$A, 0))-INDEX('UA-normalized'!$E:$E, MATCH($A32, 'UA-normalized'!$A:$A, 0))), 0), 0))+(IFERROR(IF(30*INDEX('KZ-normalized'!$D:$D, MATCH($A32, 'KZ-normalized'!$A:$A, 0))-INDEX('KZ-normalized'!$E:$E, MATCH($A32, 'KZ-normalized'!$A:$A, 0))&gt;0, -(30*INDEX('KZ-normalized'!$D:$D, MATCH($A32, 'KZ-normalized'!$A:$A, 0))-INDEX('KZ-normalized'!$E:$E, MATCH($A32, 'KZ-normalized'!$A:$A, 0))), 0), 0))+(IFERROR(IF(30*INDEX('UZ-normalized'!$D:$D, MATCH($A32, 'UZ-normalized'!$A:$A, 0))-INDEX('UZ-normalized'!$E:$E, MATCH($A32, 'UZ-normalized'!$A:$A, 0))&gt;0, -(30*INDEX('UZ-normalized'!$D:$D, MATCH($A32, 'UZ-normalized'!$A:$A, 0))-INDEX('UZ-normalized'!$E:$E, MATCH($A32, 'UZ-normalized'!$A:$A, 0))), 0), 0)))</f>
        <v>-5310.662251655629</v>
      </c>
    </row>
    <row r="33" spans="1:44" x14ac:dyDescent="0.25">
      <c r="A33" s="8" t="s">
        <v>114</v>
      </c>
      <c r="B33" s="8" t="s">
        <v>83</v>
      </c>
      <c r="C33" s="8" t="s">
        <v>105</v>
      </c>
      <c r="D33" s="8" t="s">
        <v>113</v>
      </c>
      <c r="E33">
        <v>4549.4966887417222</v>
      </c>
      <c r="G33">
        <v>-10</v>
      </c>
      <c r="J33">
        <v>1137.374172185431</v>
      </c>
      <c r="N33">
        <f t="shared" si="0"/>
        <v>5676.8708609271534</v>
      </c>
      <c r="O33" s="6">
        <f>MIN(0, N33+(IFERROR(IF(1*INDEX('UA-normalized'!$D:$D, MATCH($A33, 'UA-normalized'!$A:$A, 0))-INDEX('UA-normalized'!$E:$E, MATCH($A33, 'UA-normalized'!$A:$A, 0))&gt;0, -(1*INDEX('UA-normalized'!$D:$D, MATCH($A33, 'UA-normalized'!$A:$A, 0))-INDEX('UA-normalized'!$E:$E, MATCH($A33, 'UA-normalized'!$A:$A, 0))), 0), 0))+(IFERROR(IF(1*INDEX('KZ-normalized'!$D:$D, MATCH($A33, 'KZ-normalized'!$A:$A, 0))-INDEX('KZ-normalized'!$E:$E, MATCH($A33, 'KZ-normalized'!$A:$A, 0))&gt;0, -(1*INDEX('KZ-normalized'!$D:$D, MATCH($A33, 'KZ-normalized'!$A:$A, 0))-INDEX('KZ-normalized'!$E:$E, MATCH($A33, 'KZ-normalized'!$A:$A, 0))), 0), 0))+(IFERROR(IF(1*INDEX('UZ-normalized'!$D:$D, MATCH($A33, 'UZ-normalized'!$A:$A, 0))-INDEX('UZ-normalized'!$E:$E, MATCH($A33, 'UZ-normalized'!$A:$A, 0))&gt;0, -(1*INDEX('UZ-normalized'!$D:$D, MATCH($A33, 'UZ-normalized'!$A:$A, 0))-INDEX('UZ-normalized'!$E:$E, MATCH($A33, 'UZ-normalized'!$A:$A, 0))), 0), 0)))</f>
        <v>0</v>
      </c>
      <c r="P33" s="6">
        <f>MIN(0, N33+(IFERROR(IF(2*INDEX('UA-normalized'!$D:$D, MATCH($A33, 'UA-normalized'!$A:$A, 0))-INDEX('UA-normalized'!$E:$E, MATCH($A33, 'UA-normalized'!$A:$A, 0))&gt;0, -(2*INDEX('UA-normalized'!$D:$D, MATCH($A33, 'UA-normalized'!$A:$A, 0))-INDEX('UA-normalized'!$E:$E, MATCH($A33, 'UA-normalized'!$A:$A, 0))), 0), 0))+(IFERROR(IF(2*INDEX('KZ-normalized'!$D:$D, MATCH($A33, 'KZ-normalized'!$A:$A, 0))-INDEX('KZ-normalized'!$E:$E, MATCH($A33, 'KZ-normalized'!$A:$A, 0))&gt;0, -(2*INDEX('KZ-normalized'!$D:$D, MATCH($A33, 'KZ-normalized'!$A:$A, 0))-INDEX('KZ-normalized'!$E:$E, MATCH($A33, 'KZ-normalized'!$A:$A, 0))), 0), 0))+(IFERROR(IF(2*INDEX('UZ-normalized'!$D:$D, MATCH($A33, 'UZ-normalized'!$A:$A, 0))-INDEX('UZ-normalized'!$E:$E, MATCH($A33, 'UZ-normalized'!$A:$A, 0))&gt;0, -(2*INDEX('UZ-normalized'!$D:$D, MATCH($A33, 'UZ-normalized'!$A:$A, 0))-INDEX('UZ-normalized'!$E:$E, MATCH($A33, 'UZ-normalized'!$A:$A, 0))), 0), 0)))</f>
        <v>0</v>
      </c>
      <c r="Q33" s="6">
        <f>MIN(0, N33+(IFERROR(IF(3*INDEX('UA-normalized'!$D:$D, MATCH($A33, 'UA-normalized'!$A:$A, 0))-INDEX('UA-normalized'!$E:$E, MATCH($A33, 'UA-normalized'!$A:$A, 0))&gt;0, -(3*INDEX('UA-normalized'!$D:$D, MATCH($A33, 'UA-normalized'!$A:$A, 0))-INDEX('UA-normalized'!$E:$E, MATCH($A33, 'UA-normalized'!$A:$A, 0))), 0), 0))+(IFERROR(IF(3*INDEX('KZ-normalized'!$D:$D, MATCH($A33, 'KZ-normalized'!$A:$A, 0))-INDEX('KZ-normalized'!$E:$E, MATCH($A33, 'KZ-normalized'!$A:$A, 0))&gt;0, -(3*INDEX('KZ-normalized'!$D:$D, MATCH($A33, 'KZ-normalized'!$A:$A, 0))-INDEX('KZ-normalized'!$E:$E, MATCH($A33, 'KZ-normalized'!$A:$A, 0))), 0), 0))+(IFERROR(IF(3*INDEX('UZ-normalized'!$D:$D, MATCH($A33, 'UZ-normalized'!$A:$A, 0))-INDEX('UZ-normalized'!$E:$E, MATCH($A33, 'UZ-normalized'!$A:$A, 0))&gt;0, -(3*INDEX('UZ-normalized'!$D:$D, MATCH($A33, 'UZ-normalized'!$A:$A, 0))-INDEX('UZ-normalized'!$E:$E, MATCH($A33, 'UZ-normalized'!$A:$A, 0))), 0), 0)))</f>
        <v>0</v>
      </c>
      <c r="R33" s="6">
        <f>MIN(0, N33+(IFERROR(IF(4*INDEX('UA-normalized'!$D:$D, MATCH($A33, 'UA-normalized'!$A:$A, 0))-INDEX('UA-normalized'!$E:$E, MATCH($A33, 'UA-normalized'!$A:$A, 0))&gt;0, -(4*INDEX('UA-normalized'!$D:$D, MATCH($A33, 'UA-normalized'!$A:$A, 0))-INDEX('UA-normalized'!$E:$E, MATCH($A33, 'UA-normalized'!$A:$A, 0))), 0), 0))+(IFERROR(IF(4*INDEX('KZ-normalized'!$D:$D, MATCH($A33, 'KZ-normalized'!$A:$A, 0))-INDEX('KZ-normalized'!$E:$E, MATCH($A33, 'KZ-normalized'!$A:$A, 0))&gt;0, -(4*INDEX('KZ-normalized'!$D:$D, MATCH($A33, 'KZ-normalized'!$A:$A, 0))-INDEX('KZ-normalized'!$E:$E, MATCH($A33, 'KZ-normalized'!$A:$A, 0))), 0), 0))+(IFERROR(IF(4*INDEX('UZ-normalized'!$D:$D, MATCH($A33, 'UZ-normalized'!$A:$A, 0))-INDEX('UZ-normalized'!$E:$E, MATCH($A33, 'UZ-normalized'!$A:$A, 0))&gt;0, -(4*INDEX('UZ-normalized'!$D:$D, MATCH($A33, 'UZ-normalized'!$A:$A, 0))-INDEX('UZ-normalized'!$E:$E, MATCH($A33, 'UZ-normalized'!$A:$A, 0))), 0), 0)))</f>
        <v>0</v>
      </c>
      <c r="S33" s="6">
        <f>MIN(0, N33+(IFERROR(IF(5*INDEX('UA-normalized'!$D:$D, MATCH($A33, 'UA-normalized'!$A:$A, 0))-INDEX('UA-normalized'!$E:$E, MATCH($A33, 'UA-normalized'!$A:$A, 0))&gt;0, -(5*INDEX('UA-normalized'!$D:$D, MATCH($A33, 'UA-normalized'!$A:$A, 0))-INDEX('UA-normalized'!$E:$E, MATCH($A33, 'UA-normalized'!$A:$A, 0))), 0), 0))+(IFERROR(IF(5*INDEX('KZ-normalized'!$D:$D, MATCH($A33, 'KZ-normalized'!$A:$A, 0))-INDEX('KZ-normalized'!$E:$E, MATCH($A33, 'KZ-normalized'!$A:$A, 0))&gt;0, -(5*INDEX('KZ-normalized'!$D:$D, MATCH($A33, 'KZ-normalized'!$A:$A, 0))-INDEX('KZ-normalized'!$E:$E, MATCH($A33, 'KZ-normalized'!$A:$A, 0))), 0), 0))+(IFERROR(IF(5*INDEX('UZ-normalized'!$D:$D, MATCH($A33, 'UZ-normalized'!$A:$A, 0))-INDEX('UZ-normalized'!$E:$E, MATCH($A33, 'UZ-normalized'!$A:$A, 0))&gt;0, -(5*INDEX('UZ-normalized'!$D:$D, MATCH($A33, 'UZ-normalized'!$A:$A, 0))-INDEX('UZ-normalized'!$E:$E, MATCH($A33, 'UZ-normalized'!$A:$A, 0))), 0), 0)))</f>
        <v>0</v>
      </c>
      <c r="T33" s="6">
        <f>MIN(0, N33+(IFERROR(IF(6*INDEX('UA-normalized'!$D:$D, MATCH($A33, 'UA-normalized'!$A:$A, 0))-INDEX('UA-normalized'!$E:$E, MATCH($A33, 'UA-normalized'!$A:$A, 0))&gt;0, -(6*INDEX('UA-normalized'!$D:$D, MATCH($A33, 'UA-normalized'!$A:$A, 0))-INDEX('UA-normalized'!$E:$E, MATCH($A33, 'UA-normalized'!$A:$A, 0))), 0), 0))+(IFERROR(IF(6*INDEX('KZ-normalized'!$D:$D, MATCH($A33, 'KZ-normalized'!$A:$A, 0))-INDEX('KZ-normalized'!$E:$E, MATCH($A33, 'KZ-normalized'!$A:$A, 0))&gt;0, -(6*INDEX('KZ-normalized'!$D:$D, MATCH($A33, 'KZ-normalized'!$A:$A, 0))-INDEX('KZ-normalized'!$E:$E, MATCH($A33, 'KZ-normalized'!$A:$A, 0))), 0), 0))+(IFERROR(IF(6*INDEX('UZ-normalized'!$D:$D, MATCH($A33, 'UZ-normalized'!$A:$A, 0))-INDEX('UZ-normalized'!$E:$E, MATCH($A33, 'UZ-normalized'!$A:$A, 0))&gt;0, -(6*INDEX('UZ-normalized'!$D:$D, MATCH($A33, 'UZ-normalized'!$A:$A, 0))-INDEX('UZ-normalized'!$E:$E, MATCH($A33, 'UZ-normalized'!$A:$A, 0))), 0), 0)))</f>
        <v>0</v>
      </c>
      <c r="U33" s="6">
        <f>MIN(0, N33+(IFERROR(IF(7*INDEX('UA-normalized'!$D:$D, MATCH($A33, 'UA-normalized'!$A:$A, 0))-INDEX('UA-normalized'!$E:$E, MATCH($A33, 'UA-normalized'!$A:$A, 0))&gt;0, -(7*INDEX('UA-normalized'!$D:$D, MATCH($A33, 'UA-normalized'!$A:$A, 0))-INDEX('UA-normalized'!$E:$E, MATCH($A33, 'UA-normalized'!$A:$A, 0))), 0), 0))+(IFERROR(IF(7*INDEX('KZ-normalized'!$D:$D, MATCH($A33, 'KZ-normalized'!$A:$A, 0))-INDEX('KZ-normalized'!$E:$E, MATCH($A33, 'KZ-normalized'!$A:$A, 0))&gt;0, -(7*INDEX('KZ-normalized'!$D:$D, MATCH($A33, 'KZ-normalized'!$A:$A, 0))-INDEX('KZ-normalized'!$E:$E, MATCH($A33, 'KZ-normalized'!$A:$A, 0))), 0), 0))+(IFERROR(IF(7*INDEX('UZ-normalized'!$D:$D, MATCH($A33, 'UZ-normalized'!$A:$A, 0))-INDEX('UZ-normalized'!$E:$E, MATCH($A33, 'UZ-normalized'!$A:$A, 0))&gt;0, -(7*INDEX('UZ-normalized'!$D:$D, MATCH($A33, 'UZ-normalized'!$A:$A, 0))-INDEX('UZ-normalized'!$E:$E, MATCH($A33, 'UZ-normalized'!$A:$A, 0))), 0), 0)))</f>
        <v>0</v>
      </c>
      <c r="V33" s="6">
        <f>MIN(0, N33+(IFERROR(IF(8*INDEX('UA-normalized'!$D:$D, MATCH($A33, 'UA-normalized'!$A:$A, 0))-INDEX('UA-normalized'!$E:$E, MATCH($A33, 'UA-normalized'!$A:$A, 0))&gt;0, -(8*INDEX('UA-normalized'!$D:$D, MATCH($A33, 'UA-normalized'!$A:$A, 0))-INDEX('UA-normalized'!$E:$E, MATCH($A33, 'UA-normalized'!$A:$A, 0))), 0), 0))+(IFERROR(IF(8*INDEX('KZ-normalized'!$D:$D, MATCH($A33, 'KZ-normalized'!$A:$A, 0))-INDEX('KZ-normalized'!$E:$E, MATCH($A33, 'KZ-normalized'!$A:$A, 0))&gt;0, -(8*INDEX('KZ-normalized'!$D:$D, MATCH($A33, 'KZ-normalized'!$A:$A, 0))-INDEX('KZ-normalized'!$E:$E, MATCH($A33, 'KZ-normalized'!$A:$A, 0))), 0), 0))+(IFERROR(IF(8*INDEX('UZ-normalized'!$D:$D, MATCH($A33, 'UZ-normalized'!$A:$A, 0))-INDEX('UZ-normalized'!$E:$E, MATCH($A33, 'UZ-normalized'!$A:$A, 0))&gt;0, -(8*INDEX('UZ-normalized'!$D:$D, MATCH($A33, 'UZ-normalized'!$A:$A, 0))-INDEX('UZ-normalized'!$E:$E, MATCH($A33, 'UZ-normalized'!$A:$A, 0))), 0), 0)))</f>
        <v>0</v>
      </c>
      <c r="W33" s="6">
        <f>MIN(0, N33+(IFERROR(IF(9*INDEX('UA-normalized'!$D:$D, MATCH($A33, 'UA-normalized'!$A:$A, 0))-INDEX('UA-normalized'!$E:$E, MATCH($A33, 'UA-normalized'!$A:$A, 0))&gt;0, -(9*INDEX('UA-normalized'!$D:$D, MATCH($A33, 'UA-normalized'!$A:$A, 0))-INDEX('UA-normalized'!$E:$E, MATCH($A33, 'UA-normalized'!$A:$A, 0))), 0), 0))+(IFERROR(IF(9*INDEX('KZ-normalized'!$D:$D, MATCH($A33, 'KZ-normalized'!$A:$A, 0))-INDEX('KZ-normalized'!$E:$E, MATCH($A33, 'KZ-normalized'!$A:$A, 0))&gt;0, -(9*INDEX('KZ-normalized'!$D:$D, MATCH($A33, 'KZ-normalized'!$A:$A, 0))-INDEX('KZ-normalized'!$E:$E, MATCH($A33, 'KZ-normalized'!$A:$A, 0))), 0), 0))+(IFERROR(IF(9*INDEX('UZ-normalized'!$D:$D, MATCH($A33, 'UZ-normalized'!$A:$A, 0))-INDEX('UZ-normalized'!$E:$E, MATCH($A33, 'UZ-normalized'!$A:$A, 0))&gt;0, -(9*INDEX('UZ-normalized'!$D:$D, MATCH($A33, 'UZ-normalized'!$A:$A, 0))-INDEX('UZ-normalized'!$E:$E, MATCH($A33, 'UZ-normalized'!$A:$A, 0))), 0), 0)))</f>
        <v>0</v>
      </c>
      <c r="X33" s="6">
        <f>MIN(0, N33+(IFERROR(IF(10*INDEX('UA-normalized'!$D:$D, MATCH($A33, 'UA-normalized'!$A:$A, 0))-INDEX('UA-normalized'!$E:$E, MATCH($A33, 'UA-normalized'!$A:$A, 0))&gt;0, -(10*INDEX('UA-normalized'!$D:$D, MATCH($A33, 'UA-normalized'!$A:$A, 0))-INDEX('UA-normalized'!$E:$E, MATCH($A33, 'UA-normalized'!$A:$A, 0))), 0), 0))+(IFERROR(IF(10*INDEX('KZ-normalized'!$D:$D, MATCH($A33, 'KZ-normalized'!$A:$A, 0))-INDEX('KZ-normalized'!$E:$E, MATCH($A33, 'KZ-normalized'!$A:$A, 0))&gt;0, -(10*INDEX('KZ-normalized'!$D:$D, MATCH($A33, 'KZ-normalized'!$A:$A, 0))-INDEX('KZ-normalized'!$E:$E, MATCH($A33, 'KZ-normalized'!$A:$A, 0))), 0), 0))+(IFERROR(IF(10*INDEX('UZ-normalized'!$D:$D, MATCH($A33, 'UZ-normalized'!$A:$A, 0))-INDEX('UZ-normalized'!$E:$E, MATCH($A33, 'UZ-normalized'!$A:$A, 0))&gt;0, -(10*INDEX('UZ-normalized'!$D:$D, MATCH($A33, 'UZ-normalized'!$A:$A, 0))-INDEX('UZ-normalized'!$E:$E, MATCH($A33, 'UZ-normalized'!$A:$A, 0))), 0), 0)))</f>
        <v>0</v>
      </c>
      <c r="Y33" s="6">
        <f>MIN(0, N33+(IFERROR(IF(11*INDEX('UA-normalized'!$D:$D, MATCH($A33, 'UA-normalized'!$A:$A, 0))-INDEX('UA-normalized'!$E:$E, MATCH($A33, 'UA-normalized'!$A:$A, 0))&gt;0, -(11*INDEX('UA-normalized'!$D:$D, MATCH($A33, 'UA-normalized'!$A:$A, 0))-INDEX('UA-normalized'!$E:$E, MATCH($A33, 'UA-normalized'!$A:$A, 0))), 0), 0))+(IFERROR(IF(11*INDEX('KZ-normalized'!$D:$D, MATCH($A33, 'KZ-normalized'!$A:$A, 0))-INDEX('KZ-normalized'!$E:$E, MATCH($A33, 'KZ-normalized'!$A:$A, 0))&gt;0, -(11*INDEX('KZ-normalized'!$D:$D, MATCH($A33, 'KZ-normalized'!$A:$A, 0))-INDEX('KZ-normalized'!$E:$E, MATCH($A33, 'KZ-normalized'!$A:$A, 0))), 0), 0))+(IFERROR(IF(11*INDEX('UZ-normalized'!$D:$D, MATCH($A33, 'UZ-normalized'!$A:$A, 0))-INDEX('UZ-normalized'!$E:$E, MATCH($A33, 'UZ-normalized'!$A:$A, 0))&gt;0, -(11*INDEX('UZ-normalized'!$D:$D, MATCH($A33, 'UZ-normalized'!$A:$A, 0))-INDEX('UZ-normalized'!$E:$E, MATCH($A33, 'UZ-normalized'!$A:$A, 0))), 0), 0)))</f>
        <v>0</v>
      </c>
      <c r="Z33" s="6">
        <f>MIN(0, N33+(IFERROR(IF(12*INDEX('UA-normalized'!$D:$D, MATCH($A33, 'UA-normalized'!$A:$A, 0))-INDEX('UA-normalized'!$E:$E, MATCH($A33, 'UA-normalized'!$A:$A, 0))&gt;0, -(12*INDEX('UA-normalized'!$D:$D, MATCH($A33, 'UA-normalized'!$A:$A, 0))-INDEX('UA-normalized'!$E:$E, MATCH($A33, 'UA-normalized'!$A:$A, 0))), 0), 0))+(IFERROR(IF(12*INDEX('KZ-normalized'!$D:$D, MATCH($A33, 'KZ-normalized'!$A:$A, 0))-INDEX('KZ-normalized'!$E:$E, MATCH($A33, 'KZ-normalized'!$A:$A, 0))&gt;0, -(12*INDEX('KZ-normalized'!$D:$D, MATCH($A33, 'KZ-normalized'!$A:$A, 0))-INDEX('KZ-normalized'!$E:$E, MATCH($A33, 'KZ-normalized'!$A:$A, 0))), 0), 0))+(IFERROR(IF(12*INDEX('UZ-normalized'!$D:$D, MATCH($A33, 'UZ-normalized'!$A:$A, 0))-INDEX('UZ-normalized'!$E:$E, MATCH($A33, 'UZ-normalized'!$A:$A, 0))&gt;0, -(12*INDEX('UZ-normalized'!$D:$D, MATCH($A33, 'UZ-normalized'!$A:$A, 0))-INDEX('UZ-normalized'!$E:$E, MATCH($A33, 'UZ-normalized'!$A:$A, 0))), 0), 0)))</f>
        <v>0</v>
      </c>
      <c r="AA33" s="6">
        <f>MIN(0, N33+(IFERROR(IF(13*INDEX('UA-normalized'!$D:$D, MATCH($A33, 'UA-normalized'!$A:$A, 0))-INDEX('UA-normalized'!$E:$E, MATCH($A33, 'UA-normalized'!$A:$A, 0))&gt;0, -(13*INDEX('UA-normalized'!$D:$D, MATCH($A33, 'UA-normalized'!$A:$A, 0))-INDEX('UA-normalized'!$E:$E, MATCH($A33, 'UA-normalized'!$A:$A, 0))), 0), 0))+(IFERROR(IF(13*INDEX('KZ-normalized'!$D:$D, MATCH($A33, 'KZ-normalized'!$A:$A, 0))-INDEX('KZ-normalized'!$E:$E, MATCH($A33, 'KZ-normalized'!$A:$A, 0))&gt;0, -(13*INDEX('KZ-normalized'!$D:$D, MATCH($A33, 'KZ-normalized'!$A:$A, 0))-INDEX('KZ-normalized'!$E:$E, MATCH($A33, 'KZ-normalized'!$A:$A, 0))), 0), 0))+(IFERROR(IF(13*INDEX('UZ-normalized'!$D:$D, MATCH($A33, 'UZ-normalized'!$A:$A, 0))-INDEX('UZ-normalized'!$E:$E, MATCH($A33, 'UZ-normalized'!$A:$A, 0))&gt;0, -(13*INDEX('UZ-normalized'!$D:$D, MATCH($A33, 'UZ-normalized'!$A:$A, 0))-INDEX('UZ-normalized'!$E:$E, MATCH($A33, 'UZ-normalized'!$A:$A, 0))), 0), 0)))</f>
        <v>0</v>
      </c>
      <c r="AB33" s="6">
        <f>MIN(0, N33+(IFERROR(IF(14*INDEX('UA-normalized'!$D:$D, MATCH($A33, 'UA-normalized'!$A:$A, 0))-INDEX('UA-normalized'!$E:$E, MATCH($A33, 'UA-normalized'!$A:$A, 0))&gt;0, -(14*INDEX('UA-normalized'!$D:$D, MATCH($A33, 'UA-normalized'!$A:$A, 0))-INDEX('UA-normalized'!$E:$E, MATCH($A33, 'UA-normalized'!$A:$A, 0))), 0), 0))+(IFERROR(IF(14*INDEX('KZ-normalized'!$D:$D, MATCH($A33, 'KZ-normalized'!$A:$A, 0))-INDEX('KZ-normalized'!$E:$E, MATCH($A33, 'KZ-normalized'!$A:$A, 0))&gt;0, -(14*INDEX('KZ-normalized'!$D:$D, MATCH($A33, 'KZ-normalized'!$A:$A, 0))-INDEX('KZ-normalized'!$E:$E, MATCH($A33, 'KZ-normalized'!$A:$A, 0))), 0), 0))+(IFERROR(IF(14*INDEX('UZ-normalized'!$D:$D, MATCH($A33, 'UZ-normalized'!$A:$A, 0))-INDEX('UZ-normalized'!$E:$E, MATCH($A33, 'UZ-normalized'!$A:$A, 0))&gt;0, -(14*INDEX('UZ-normalized'!$D:$D, MATCH($A33, 'UZ-normalized'!$A:$A, 0))-INDEX('UZ-normalized'!$E:$E, MATCH($A33, 'UZ-normalized'!$A:$A, 0))), 0), 0)))</f>
        <v>0</v>
      </c>
      <c r="AC33" s="6">
        <f>MIN(0, N33+(IFERROR(IF(15*INDEX('UA-normalized'!$D:$D, MATCH($A33, 'UA-normalized'!$A:$A, 0))-INDEX('UA-normalized'!$E:$E, MATCH($A33, 'UA-normalized'!$A:$A, 0))&gt;0, -(15*INDEX('UA-normalized'!$D:$D, MATCH($A33, 'UA-normalized'!$A:$A, 0))-INDEX('UA-normalized'!$E:$E, MATCH($A33, 'UA-normalized'!$A:$A, 0))), 0), 0))+(IFERROR(IF(15*INDEX('KZ-normalized'!$D:$D, MATCH($A33, 'KZ-normalized'!$A:$A, 0))-INDEX('KZ-normalized'!$E:$E, MATCH($A33, 'KZ-normalized'!$A:$A, 0))&gt;0, -(15*INDEX('KZ-normalized'!$D:$D, MATCH($A33, 'KZ-normalized'!$A:$A, 0))-INDEX('KZ-normalized'!$E:$E, MATCH($A33, 'KZ-normalized'!$A:$A, 0))), 0), 0))+(IFERROR(IF(15*INDEX('UZ-normalized'!$D:$D, MATCH($A33, 'UZ-normalized'!$A:$A, 0))-INDEX('UZ-normalized'!$E:$E, MATCH($A33, 'UZ-normalized'!$A:$A, 0))&gt;0, -(15*INDEX('UZ-normalized'!$D:$D, MATCH($A33, 'UZ-normalized'!$A:$A, 0))-INDEX('UZ-normalized'!$E:$E, MATCH($A33, 'UZ-normalized'!$A:$A, 0))), 0), 0)))</f>
        <v>0</v>
      </c>
      <c r="AD33" s="6">
        <f>MIN(0, N33+(IFERROR(IF(16*INDEX('UA-normalized'!$D:$D, MATCH($A33, 'UA-normalized'!$A:$A, 0))-INDEX('UA-normalized'!$E:$E, MATCH($A33, 'UA-normalized'!$A:$A, 0))&gt;0, -(16*INDEX('UA-normalized'!$D:$D, MATCH($A33, 'UA-normalized'!$A:$A, 0))-INDEX('UA-normalized'!$E:$E, MATCH($A33, 'UA-normalized'!$A:$A, 0))), 0), 0))+(IFERROR(IF(16*INDEX('KZ-normalized'!$D:$D, MATCH($A33, 'KZ-normalized'!$A:$A, 0))-INDEX('KZ-normalized'!$E:$E, MATCH($A33, 'KZ-normalized'!$A:$A, 0))&gt;0, -(16*INDEX('KZ-normalized'!$D:$D, MATCH($A33, 'KZ-normalized'!$A:$A, 0))-INDEX('KZ-normalized'!$E:$E, MATCH($A33, 'KZ-normalized'!$A:$A, 0))), 0), 0))+(IFERROR(IF(16*INDEX('UZ-normalized'!$D:$D, MATCH($A33, 'UZ-normalized'!$A:$A, 0))-INDEX('UZ-normalized'!$E:$E, MATCH($A33, 'UZ-normalized'!$A:$A, 0))&gt;0, -(16*INDEX('UZ-normalized'!$D:$D, MATCH($A33, 'UZ-normalized'!$A:$A, 0))-INDEX('UZ-normalized'!$E:$E, MATCH($A33, 'UZ-normalized'!$A:$A, 0))), 0), 0)))</f>
        <v>0</v>
      </c>
      <c r="AE33" s="6">
        <f>MIN(0, N33+(IFERROR(IF(17*INDEX('UA-normalized'!$D:$D, MATCH($A33, 'UA-normalized'!$A:$A, 0))-INDEX('UA-normalized'!$E:$E, MATCH($A33, 'UA-normalized'!$A:$A, 0))&gt;0, -(17*INDEX('UA-normalized'!$D:$D, MATCH($A33, 'UA-normalized'!$A:$A, 0))-INDEX('UA-normalized'!$E:$E, MATCH($A33, 'UA-normalized'!$A:$A, 0))), 0), 0))+(IFERROR(IF(17*INDEX('KZ-normalized'!$D:$D, MATCH($A33, 'KZ-normalized'!$A:$A, 0))-INDEX('KZ-normalized'!$E:$E, MATCH($A33, 'KZ-normalized'!$A:$A, 0))&gt;0, -(17*INDEX('KZ-normalized'!$D:$D, MATCH($A33, 'KZ-normalized'!$A:$A, 0))-INDEX('KZ-normalized'!$E:$E, MATCH($A33, 'KZ-normalized'!$A:$A, 0))), 0), 0))+(IFERROR(IF(17*INDEX('UZ-normalized'!$D:$D, MATCH($A33, 'UZ-normalized'!$A:$A, 0))-INDEX('UZ-normalized'!$E:$E, MATCH($A33, 'UZ-normalized'!$A:$A, 0))&gt;0, -(17*INDEX('UZ-normalized'!$D:$D, MATCH($A33, 'UZ-normalized'!$A:$A, 0))-INDEX('UZ-normalized'!$E:$E, MATCH($A33, 'UZ-normalized'!$A:$A, 0))), 0), 0)))</f>
        <v>0</v>
      </c>
      <c r="AF33" s="6">
        <f>MIN(0, N33+(IFERROR(IF(18*INDEX('UA-normalized'!$D:$D, MATCH($A33, 'UA-normalized'!$A:$A, 0))-INDEX('UA-normalized'!$E:$E, MATCH($A33, 'UA-normalized'!$A:$A, 0))&gt;0, -(18*INDEX('UA-normalized'!$D:$D, MATCH($A33, 'UA-normalized'!$A:$A, 0))-INDEX('UA-normalized'!$E:$E, MATCH($A33, 'UA-normalized'!$A:$A, 0))), 0), 0))+(IFERROR(IF(18*INDEX('KZ-normalized'!$D:$D, MATCH($A33, 'KZ-normalized'!$A:$A, 0))-INDEX('KZ-normalized'!$E:$E, MATCH($A33, 'KZ-normalized'!$A:$A, 0))&gt;0, -(18*INDEX('KZ-normalized'!$D:$D, MATCH($A33, 'KZ-normalized'!$A:$A, 0))-INDEX('KZ-normalized'!$E:$E, MATCH($A33, 'KZ-normalized'!$A:$A, 0))), 0), 0))+(IFERROR(IF(18*INDEX('UZ-normalized'!$D:$D, MATCH($A33, 'UZ-normalized'!$A:$A, 0))-INDEX('UZ-normalized'!$E:$E, MATCH($A33, 'UZ-normalized'!$A:$A, 0))&gt;0, -(18*INDEX('UZ-normalized'!$D:$D, MATCH($A33, 'UZ-normalized'!$A:$A, 0))-INDEX('UZ-normalized'!$E:$E, MATCH($A33, 'UZ-normalized'!$A:$A, 0))), 0), 0)))</f>
        <v>0</v>
      </c>
      <c r="AG33" s="6">
        <f>MIN(0, N33+(IFERROR(IF(19*INDEX('UA-normalized'!$D:$D, MATCH($A33, 'UA-normalized'!$A:$A, 0))-INDEX('UA-normalized'!$E:$E, MATCH($A33, 'UA-normalized'!$A:$A, 0))&gt;0, -(19*INDEX('UA-normalized'!$D:$D, MATCH($A33, 'UA-normalized'!$A:$A, 0))-INDEX('UA-normalized'!$E:$E, MATCH($A33, 'UA-normalized'!$A:$A, 0))), 0), 0))+(IFERROR(IF(19*INDEX('KZ-normalized'!$D:$D, MATCH($A33, 'KZ-normalized'!$A:$A, 0))-INDEX('KZ-normalized'!$E:$E, MATCH($A33, 'KZ-normalized'!$A:$A, 0))&gt;0, -(19*INDEX('KZ-normalized'!$D:$D, MATCH($A33, 'KZ-normalized'!$A:$A, 0))-INDEX('KZ-normalized'!$E:$E, MATCH($A33, 'KZ-normalized'!$A:$A, 0))), 0), 0))+(IFERROR(IF(19*INDEX('UZ-normalized'!$D:$D, MATCH($A33, 'UZ-normalized'!$A:$A, 0))-INDEX('UZ-normalized'!$E:$E, MATCH($A33, 'UZ-normalized'!$A:$A, 0))&gt;0, -(19*INDEX('UZ-normalized'!$D:$D, MATCH($A33, 'UZ-normalized'!$A:$A, 0))-INDEX('UZ-normalized'!$E:$E, MATCH($A33, 'UZ-normalized'!$A:$A, 0))), 0), 0)))</f>
        <v>-21.22913907284692</v>
      </c>
      <c r="AH33" s="6">
        <f>MIN(0, N33+(IFERROR(IF(20*INDEX('UA-normalized'!$D:$D, MATCH($A33, 'UA-normalized'!$A:$A, 0))-INDEX('UA-normalized'!$E:$E, MATCH($A33, 'UA-normalized'!$A:$A, 0))&gt;0, -(20*INDEX('UA-normalized'!$D:$D, MATCH($A33, 'UA-normalized'!$A:$A, 0))-INDEX('UA-normalized'!$E:$E, MATCH($A33, 'UA-normalized'!$A:$A, 0))), 0), 0))+(IFERROR(IF(20*INDEX('KZ-normalized'!$D:$D, MATCH($A33, 'KZ-normalized'!$A:$A, 0))-INDEX('KZ-normalized'!$E:$E, MATCH($A33, 'KZ-normalized'!$A:$A, 0))&gt;0, -(20*INDEX('KZ-normalized'!$D:$D, MATCH($A33, 'KZ-normalized'!$A:$A, 0))-INDEX('KZ-normalized'!$E:$E, MATCH($A33, 'KZ-normalized'!$A:$A, 0))), 0), 0))+(IFERROR(IF(20*INDEX('UZ-normalized'!$D:$D, MATCH($A33, 'UZ-normalized'!$A:$A, 0))-INDEX('UZ-normalized'!$E:$E, MATCH($A33, 'UZ-normalized'!$A:$A, 0))&gt;0, -(20*INDEX('UZ-normalized'!$D:$D, MATCH($A33, 'UZ-normalized'!$A:$A, 0))-INDEX('UZ-normalized'!$E:$E, MATCH($A33, 'UZ-normalized'!$A:$A, 0))), 0), 0)))</f>
        <v>-393.12913907284656</v>
      </c>
      <c r="AI33" s="6">
        <f>MIN(0, N33+(IFERROR(IF(21*INDEX('UA-normalized'!$D:$D, MATCH($A33, 'UA-normalized'!$A:$A, 0))-INDEX('UA-normalized'!$E:$E, MATCH($A33, 'UA-normalized'!$A:$A, 0))&gt;0, -(21*INDEX('UA-normalized'!$D:$D, MATCH($A33, 'UA-normalized'!$A:$A, 0))-INDEX('UA-normalized'!$E:$E, MATCH($A33, 'UA-normalized'!$A:$A, 0))), 0), 0))+(IFERROR(IF(21*INDEX('KZ-normalized'!$D:$D, MATCH($A33, 'KZ-normalized'!$A:$A, 0))-INDEX('KZ-normalized'!$E:$E, MATCH($A33, 'KZ-normalized'!$A:$A, 0))&gt;0, -(21*INDEX('KZ-normalized'!$D:$D, MATCH($A33, 'KZ-normalized'!$A:$A, 0))-INDEX('KZ-normalized'!$E:$E, MATCH($A33, 'KZ-normalized'!$A:$A, 0))), 0), 0))+(IFERROR(IF(21*INDEX('UZ-normalized'!$D:$D, MATCH($A33, 'UZ-normalized'!$A:$A, 0))-INDEX('UZ-normalized'!$E:$E, MATCH($A33, 'UZ-normalized'!$A:$A, 0))&gt;0, -(21*INDEX('UZ-normalized'!$D:$D, MATCH($A33, 'UZ-normalized'!$A:$A, 0))-INDEX('UZ-normalized'!$E:$E, MATCH($A33, 'UZ-normalized'!$A:$A, 0))), 0), 0)))</f>
        <v>-765.02913907284619</v>
      </c>
      <c r="AJ33" s="6">
        <f>MIN(0, N33+(IFERROR(IF(22*INDEX('UA-normalized'!$D:$D, MATCH($A33, 'UA-normalized'!$A:$A, 0))-INDEX('UA-normalized'!$E:$E, MATCH($A33, 'UA-normalized'!$A:$A, 0))&gt;0, -(22*INDEX('UA-normalized'!$D:$D, MATCH($A33, 'UA-normalized'!$A:$A, 0))-INDEX('UA-normalized'!$E:$E, MATCH($A33, 'UA-normalized'!$A:$A, 0))), 0), 0))+(IFERROR(IF(22*INDEX('KZ-normalized'!$D:$D, MATCH($A33, 'KZ-normalized'!$A:$A, 0))-INDEX('KZ-normalized'!$E:$E, MATCH($A33, 'KZ-normalized'!$A:$A, 0))&gt;0, -(22*INDEX('KZ-normalized'!$D:$D, MATCH($A33, 'KZ-normalized'!$A:$A, 0))-INDEX('KZ-normalized'!$E:$E, MATCH($A33, 'KZ-normalized'!$A:$A, 0))), 0), 0))+(IFERROR(IF(22*INDEX('UZ-normalized'!$D:$D, MATCH($A33, 'UZ-normalized'!$A:$A, 0))-INDEX('UZ-normalized'!$E:$E, MATCH($A33, 'UZ-normalized'!$A:$A, 0))&gt;0, -(22*INDEX('UZ-normalized'!$D:$D, MATCH($A33, 'UZ-normalized'!$A:$A, 0))-INDEX('UZ-normalized'!$E:$E, MATCH($A33, 'UZ-normalized'!$A:$A, 0))), 0), 0)))</f>
        <v>-1136.9291390728467</v>
      </c>
      <c r="AK33" s="6">
        <f>MIN(0, N33+(IFERROR(IF(23*INDEX('UA-normalized'!$D:$D, MATCH($A33, 'UA-normalized'!$A:$A, 0))-INDEX('UA-normalized'!$E:$E, MATCH($A33, 'UA-normalized'!$A:$A, 0))&gt;0, -(23*INDEX('UA-normalized'!$D:$D, MATCH($A33, 'UA-normalized'!$A:$A, 0))-INDEX('UA-normalized'!$E:$E, MATCH($A33, 'UA-normalized'!$A:$A, 0))), 0), 0))+(IFERROR(IF(23*INDEX('KZ-normalized'!$D:$D, MATCH($A33, 'KZ-normalized'!$A:$A, 0))-INDEX('KZ-normalized'!$E:$E, MATCH($A33, 'KZ-normalized'!$A:$A, 0))&gt;0, -(23*INDEX('KZ-normalized'!$D:$D, MATCH($A33, 'KZ-normalized'!$A:$A, 0))-INDEX('KZ-normalized'!$E:$E, MATCH($A33, 'KZ-normalized'!$A:$A, 0))), 0), 0))+(IFERROR(IF(23*INDEX('UZ-normalized'!$D:$D, MATCH($A33, 'UZ-normalized'!$A:$A, 0))-INDEX('UZ-normalized'!$E:$E, MATCH($A33, 'UZ-normalized'!$A:$A, 0))&gt;0, -(23*INDEX('UZ-normalized'!$D:$D, MATCH($A33, 'UZ-normalized'!$A:$A, 0))-INDEX('UZ-normalized'!$E:$E, MATCH($A33, 'UZ-normalized'!$A:$A, 0))), 0), 0)))</f>
        <v>-1508.8291390728464</v>
      </c>
      <c r="AL33" s="6">
        <f>MIN(0, N33+(IFERROR(IF(24*INDEX('UA-normalized'!$D:$D, MATCH($A33, 'UA-normalized'!$A:$A, 0))-INDEX('UA-normalized'!$E:$E, MATCH($A33, 'UA-normalized'!$A:$A, 0))&gt;0, -(24*INDEX('UA-normalized'!$D:$D, MATCH($A33, 'UA-normalized'!$A:$A, 0))-INDEX('UA-normalized'!$E:$E, MATCH($A33, 'UA-normalized'!$A:$A, 0))), 0), 0))+(IFERROR(IF(24*INDEX('KZ-normalized'!$D:$D, MATCH($A33, 'KZ-normalized'!$A:$A, 0))-INDEX('KZ-normalized'!$E:$E, MATCH($A33, 'KZ-normalized'!$A:$A, 0))&gt;0, -(24*INDEX('KZ-normalized'!$D:$D, MATCH($A33, 'KZ-normalized'!$A:$A, 0))-INDEX('KZ-normalized'!$E:$E, MATCH($A33, 'KZ-normalized'!$A:$A, 0))), 0), 0))+(IFERROR(IF(24*INDEX('UZ-normalized'!$D:$D, MATCH($A33, 'UZ-normalized'!$A:$A, 0))-INDEX('UZ-normalized'!$E:$E, MATCH($A33, 'UZ-normalized'!$A:$A, 0))&gt;0, -(24*INDEX('UZ-normalized'!$D:$D, MATCH($A33, 'UZ-normalized'!$A:$A, 0))-INDEX('UZ-normalized'!$E:$E, MATCH($A33, 'UZ-normalized'!$A:$A, 0))), 0), 0)))</f>
        <v>-1880.7291390728469</v>
      </c>
      <c r="AM33" s="6">
        <f>MIN(0, N33+(IFERROR(IF(25*INDEX('UA-normalized'!$D:$D, MATCH($A33, 'UA-normalized'!$A:$A, 0))-INDEX('UA-normalized'!$E:$E, MATCH($A33, 'UA-normalized'!$A:$A, 0))&gt;0, -(25*INDEX('UA-normalized'!$D:$D, MATCH($A33, 'UA-normalized'!$A:$A, 0))-INDEX('UA-normalized'!$E:$E, MATCH($A33, 'UA-normalized'!$A:$A, 0))), 0), 0))+(IFERROR(IF(25*INDEX('KZ-normalized'!$D:$D, MATCH($A33, 'KZ-normalized'!$A:$A, 0))-INDEX('KZ-normalized'!$E:$E, MATCH($A33, 'KZ-normalized'!$A:$A, 0))&gt;0, -(25*INDEX('KZ-normalized'!$D:$D, MATCH($A33, 'KZ-normalized'!$A:$A, 0))-INDEX('KZ-normalized'!$E:$E, MATCH($A33, 'KZ-normalized'!$A:$A, 0))), 0), 0))+(IFERROR(IF(25*INDEX('UZ-normalized'!$D:$D, MATCH($A33, 'UZ-normalized'!$A:$A, 0))-INDEX('UZ-normalized'!$E:$E, MATCH($A33, 'UZ-normalized'!$A:$A, 0))&gt;0, -(25*INDEX('UZ-normalized'!$D:$D, MATCH($A33, 'UZ-normalized'!$A:$A, 0))-INDEX('UZ-normalized'!$E:$E, MATCH($A33, 'UZ-normalized'!$A:$A, 0))), 0), 0)))</f>
        <v>-2252.6291390728466</v>
      </c>
      <c r="AN33" s="6">
        <f>MIN(0, N33+(IFERROR(IF(26*INDEX('UA-normalized'!$D:$D, MATCH($A33, 'UA-normalized'!$A:$A, 0))-INDEX('UA-normalized'!$E:$E, MATCH($A33, 'UA-normalized'!$A:$A, 0))&gt;0, -(26*INDEX('UA-normalized'!$D:$D, MATCH($A33, 'UA-normalized'!$A:$A, 0))-INDEX('UA-normalized'!$E:$E, MATCH($A33, 'UA-normalized'!$A:$A, 0))), 0), 0))+(IFERROR(IF(26*INDEX('KZ-normalized'!$D:$D, MATCH($A33, 'KZ-normalized'!$A:$A, 0))-INDEX('KZ-normalized'!$E:$E, MATCH($A33, 'KZ-normalized'!$A:$A, 0))&gt;0, -(26*INDEX('KZ-normalized'!$D:$D, MATCH($A33, 'KZ-normalized'!$A:$A, 0))-INDEX('KZ-normalized'!$E:$E, MATCH($A33, 'KZ-normalized'!$A:$A, 0))), 0), 0))+(IFERROR(IF(26*INDEX('UZ-normalized'!$D:$D, MATCH($A33, 'UZ-normalized'!$A:$A, 0))-INDEX('UZ-normalized'!$E:$E, MATCH($A33, 'UZ-normalized'!$A:$A, 0))&gt;0, -(26*INDEX('UZ-normalized'!$D:$D, MATCH($A33, 'UZ-normalized'!$A:$A, 0))-INDEX('UZ-normalized'!$E:$E, MATCH($A33, 'UZ-normalized'!$A:$A, 0))), 0), 0)))</f>
        <v>-2624.5291390728462</v>
      </c>
      <c r="AO33" s="6">
        <f>MIN(0, N33+(IFERROR(IF(27*INDEX('UA-normalized'!$D:$D, MATCH($A33, 'UA-normalized'!$A:$A, 0))-INDEX('UA-normalized'!$E:$E, MATCH($A33, 'UA-normalized'!$A:$A, 0))&gt;0, -(27*INDEX('UA-normalized'!$D:$D, MATCH($A33, 'UA-normalized'!$A:$A, 0))-INDEX('UA-normalized'!$E:$E, MATCH($A33, 'UA-normalized'!$A:$A, 0))), 0), 0))+(IFERROR(IF(27*INDEX('KZ-normalized'!$D:$D, MATCH($A33, 'KZ-normalized'!$A:$A, 0))-INDEX('KZ-normalized'!$E:$E, MATCH($A33, 'KZ-normalized'!$A:$A, 0))&gt;0, -(27*INDEX('KZ-normalized'!$D:$D, MATCH($A33, 'KZ-normalized'!$A:$A, 0))-INDEX('KZ-normalized'!$E:$E, MATCH($A33, 'KZ-normalized'!$A:$A, 0))), 0), 0))+(IFERROR(IF(27*INDEX('UZ-normalized'!$D:$D, MATCH($A33, 'UZ-normalized'!$A:$A, 0))-INDEX('UZ-normalized'!$E:$E, MATCH($A33, 'UZ-normalized'!$A:$A, 0))&gt;0, -(27*INDEX('UZ-normalized'!$D:$D, MATCH($A33, 'UZ-normalized'!$A:$A, 0))-INDEX('UZ-normalized'!$E:$E, MATCH($A33, 'UZ-normalized'!$A:$A, 0))), 0), 0)))</f>
        <v>-2996.4291390728467</v>
      </c>
      <c r="AP33" s="6">
        <f>MIN(0, N33+(IFERROR(IF(28*INDEX('UA-normalized'!$D:$D, MATCH($A33, 'UA-normalized'!$A:$A, 0))-INDEX('UA-normalized'!$E:$E, MATCH($A33, 'UA-normalized'!$A:$A, 0))&gt;0, -(28*INDEX('UA-normalized'!$D:$D, MATCH($A33, 'UA-normalized'!$A:$A, 0))-INDEX('UA-normalized'!$E:$E, MATCH($A33, 'UA-normalized'!$A:$A, 0))), 0), 0))+(IFERROR(IF(28*INDEX('KZ-normalized'!$D:$D, MATCH($A33, 'KZ-normalized'!$A:$A, 0))-INDEX('KZ-normalized'!$E:$E, MATCH($A33, 'KZ-normalized'!$A:$A, 0))&gt;0, -(28*INDEX('KZ-normalized'!$D:$D, MATCH($A33, 'KZ-normalized'!$A:$A, 0))-INDEX('KZ-normalized'!$E:$E, MATCH($A33, 'KZ-normalized'!$A:$A, 0))), 0), 0))+(IFERROR(IF(28*INDEX('UZ-normalized'!$D:$D, MATCH($A33, 'UZ-normalized'!$A:$A, 0))-INDEX('UZ-normalized'!$E:$E, MATCH($A33, 'UZ-normalized'!$A:$A, 0))&gt;0, -(28*INDEX('UZ-normalized'!$D:$D, MATCH($A33, 'UZ-normalized'!$A:$A, 0))-INDEX('UZ-normalized'!$E:$E, MATCH($A33, 'UZ-normalized'!$A:$A, 0))), 0), 0)))</f>
        <v>-3368.3291390728464</v>
      </c>
      <c r="AQ33" s="6">
        <f>MIN(0, N33+(IFERROR(IF(29*INDEX('UA-normalized'!$D:$D, MATCH($A33, 'UA-normalized'!$A:$A, 0))-INDEX('UA-normalized'!$E:$E, MATCH($A33, 'UA-normalized'!$A:$A, 0))&gt;0, -(29*INDEX('UA-normalized'!$D:$D, MATCH($A33, 'UA-normalized'!$A:$A, 0))-INDEX('UA-normalized'!$E:$E, MATCH($A33, 'UA-normalized'!$A:$A, 0))), 0), 0))+(IFERROR(IF(29*INDEX('KZ-normalized'!$D:$D, MATCH($A33, 'KZ-normalized'!$A:$A, 0))-INDEX('KZ-normalized'!$E:$E, MATCH($A33, 'KZ-normalized'!$A:$A, 0))&gt;0, -(29*INDEX('KZ-normalized'!$D:$D, MATCH($A33, 'KZ-normalized'!$A:$A, 0))-INDEX('KZ-normalized'!$E:$E, MATCH($A33, 'KZ-normalized'!$A:$A, 0))), 0), 0))+(IFERROR(IF(29*INDEX('UZ-normalized'!$D:$D, MATCH($A33, 'UZ-normalized'!$A:$A, 0))-INDEX('UZ-normalized'!$E:$E, MATCH($A33, 'UZ-normalized'!$A:$A, 0))&gt;0, -(29*INDEX('UZ-normalized'!$D:$D, MATCH($A33, 'UZ-normalized'!$A:$A, 0))-INDEX('UZ-normalized'!$E:$E, MATCH($A33, 'UZ-normalized'!$A:$A, 0))), 0), 0)))</f>
        <v>-3740.2291390728469</v>
      </c>
      <c r="AR33" s="6">
        <f>MIN(0, N33+(IFERROR(IF(30*INDEX('UA-normalized'!$D:$D, MATCH($A33, 'UA-normalized'!$A:$A, 0))-INDEX('UA-normalized'!$E:$E, MATCH($A33, 'UA-normalized'!$A:$A, 0))&gt;0, -(30*INDEX('UA-normalized'!$D:$D, MATCH($A33, 'UA-normalized'!$A:$A, 0))-INDEX('UA-normalized'!$E:$E, MATCH($A33, 'UA-normalized'!$A:$A, 0))), 0), 0))+(IFERROR(IF(30*INDEX('KZ-normalized'!$D:$D, MATCH($A33, 'KZ-normalized'!$A:$A, 0))-INDEX('KZ-normalized'!$E:$E, MATCH($A33, 'KZ-normalized'!$A:$A, 0))&gt;0, -(30*INDEX('KZ-normalized'!$D:$D, MATCH($A33, 'KZ-normalized'!$A:$A, 0))-INDEX('KZ-normalized'!$E:$E, MATCH($A33, 'KZ-normalized'!$A:$A, 0))), 0), 0))+(IFERROR(IF(30*INDEX('UZ-normalized'!$D:$D, MATCH($A33, 'UZ-normalized'!$A:$A, 0))-INDEX('UZ-normalized'!$E:$E, MATCH($A33, 'UZ-normalized'!$A:$A, 0))&gt;0, -(30*INDEX('UZ-normalized'!$D:$D, MATCH($A33, 'UZ-normalized'!$A:$A, 0))-INDEX('UZ-normalized'!$E:$E, MATCH($A33, 'UZ-normalized'!$A:$A, 0))), 0), 0)))</f>
        <v>-4112.1291390728466</v>
      </c>
    </row>
    <row r="34" spans="1:44" x14ac:dyDescent="0.25">
      <c r="A34" s="8" t="s">
        <v>115</v>
      </c>
      <c r="B34" s="8" t="s">
        <v>83</v>
      </c>
      <c r="C34" s="8" t="s">
        <v>105</v>
      </c>
      <c r="D34" s="8" t="s">
        <v>116</v>
      </c>
      <c r="E34">
        <v>1666.666666666667</v>
      </c>
      <c r="N34">
        <f t="shared" si="0"/>
        <v>1666.666666666667</v>
      </c>
      <c r="O34" s="6">
        <f>MIN(0, N34+(IFERROR(IF(1*INDEX('UA-normalized'!$D:$D, MATCH($A34, 'UA-normalized'!$A:$A, 0))-INDEX('UA-normalized'!$E:$E, MATCH($A34, 'UA-normalized'!$A:$A, 0))&gt;0, -(1*INDEX('UA-normalized'!$D:$D, MATCH($A34, 'UA-normalized'!$A:$A, 0))-INDEX('UA-normalized'!$E:$E, MATCH($A34, 'UA-normalized'!$A:$A, 0))), 0), 0))+(IFERROR(IF(1*INDEX('KZ-normalized'!$D:$D, MATCH($A34, 'KZ-normalized'!$A:$A, 0))-INDEX('KZ-normalized'!$E:$E, MATCH($A34, 'KZ-normalized'!$A:$A, 0))&gt;0, -(1*INDEX('KZ-normalized'!$D:$D, MATCH($A34, 'KZ-normalized'!$A:$A, 0))-INDEX('KZ-normalized'!$E:$E, MATCH($A34, 'KZ-normalized'!$A:$A, 0))), 0), 0))+(IFERROR(IF(1*INDEX('UZ-normalized'!$D:$D, MATCH($A34, 'UZ-normalized'!$A:$A, 0))-INDEX('UZ-normalized'!$E:$E, MATCH($A34, 'UZ-normalized'!$A:$A, 0))&gt;0, -(1*INDEX('UZ-normalized'!$D:$D, MATCH($A34, 'UZ-normalized'!$A:$A, 0))-INDEX('UZ-normalized'!$E:$E, MATCH($A34, 'UZ-normalized'!$A:$A, 0))), 0), 0)))</f>
        <v>0</v>
      </c>
      <c r="P34" s="6">
        <f>MIN(0, N34+(IFERROR(IF(2*INDEX('UA-normalized'!$D:$D, MATCH($A34, 'UA-normalized'!$A:$A, 0))-INDEX('UA-normalized'!$E:$E, MATCH($A34, 'UA-normalized'!$A:$A, 0))&gt;0, -(2*INDEX('UA-normalized'!$D:$D, MATCH($A34, 'UA-normalized'!$A:$A, 0))-INDEX('UA-normalized'!$E:$E, MATCH($A34, 'UA-normalized'!$A:$A, 0))), 0), 0))+(IFERROR(IF(2*INDEX('KZ-normalized'!$D:$D, MATCH($A34, 'KZ-normalized'!$A:$A, 0))-INDEX('KZ-normalized'!$E:$E, MATCH($A34, 'KZ-normalized'!$A:$A, 0))&gt;0, -(2*INDEX('KZ-normalized'!$D:$D, MATCH($A34, 'KZ-normalized'!$A:$A, 0))-INDEX('KZ-normalized'!$E:$E, MATCH($A34, 'KZ-normalized'!$A:$A, 0))), 0), 0))+(IFERROR(IF(2*INDEX('UZ-normalized'!$D:$D, MATCH($A34, 'UZ-normalized'!$A:$A, 0))-INDEX('UZ-normalized'!$E:$E, MATCH($A34, 'UZ-normalized'!$A:$A, 0))&gt;0, -(2*INDEX('UZ-normalized'!$D:$D, MATCH($A34, 'UZ-normalized'!$A:$A, 0))-INDEX('UZ-normalized'!$E:$E, MATCH($A34, 'UZ-normalized'!$A:$A, 0))), 0), 0)))</f>
        <v>0</v>
      </c>
      <c r="Q34" s="6">
        <f>MIN(0, N34+(IFERROR(IF(3*INDEX('UA-normalized'!$D:$D, MATCH($A34, 'UA-normalized'!$A:$A, 0))-INDEX('UA-normalized'!$E:$E, MATCH($A34, 'UA-normalized'!$A:$A, 0))&gt;0, -(3*INDEX('UA-normalized'!$D:$D, MATCH($A34, 'UA-normalized'!$A:$A, 0))-INDEX('UA-normalized'!$E:$E, MATCH($A34, 'UA-normalized'!$A:$A, 0))), 0), 0))+(IFERROR(IF(3*INDEX('KZ-normalized'!$D:$D, MATCH($A34, 'KZ-normalized'!$A:$A, 0))-INDEX('KZ-normalized'!$E:$E, MATCH($A34, 'KZ-normalized'!$A:$A, 0))&gt;0, -(3*INDEX('KZ-normalized'!$D:$D, MATCH($A34, 'KZ-normalized'!$A:$A, 0))-INDEX('KZ-normalized'!$E:$E, MATCH($A34, 'KZ-normalized'!$A:$A, 0))), 0), 0))+(IFERROR(IF(3*INDEX('UZ-normalized'!$D:$D, MATCH($A34, 'UZ-normalized'!$A:$A, 0))-INDEX('UZ-normalized'!$E:$E, MATCH($A34, 'UZ-normalized'!$A:$A, 0))&gt;0, -(3*INDEX('UZ-normalized'!$D:$D, MATCH($A34, 'UZ-normalized'!$A:$A, 0))-INDEX('UZ-normalized'!$E:$E, MATCH($A34, 'UZ-normalized'!$A:$A, 0))), 0), 0)))</f>
        <v>0</v>
      </c>
      <c r="R34" s="6">
        <f>MIN(0, N34+(IFERROR(IF(4*INDEX('UA-normalized'!$D:$D, MATCH($A34, 'UA-normalized'!$A:$A, 0))-INDEX('UA-normalized'!$E:$E, MATCH($A34, 'UA-normalized'!$A:$A, 0))&gt;0, -(4*INDEX('UA-normalized'!$D:$D, MATCH($A34, 'UA-normalized'!$A:$A, 0))-INDEX('UA-normalized'!$E:$E, MATCH($A34, 'UA-normalized'!$A:$A, 0))), 0), 0))+(IFERROR(IF(4*INDEX('KZ-normalized'!$D:$D, MATCH($A34, 'KZ-normalized'!$A:$A, 0))-INDEX('KZ-normalized'!$E:$E, MATCH($A34, 'KZ-normalized'!$A:$A, 0))&gt;0, -(4*INDEX('KZ-normalized'!$D:$D, MATCH($A34, 'KZ-normalized'!$A:$A, 0))-INDEX('KZ-normalized'!$E:$E, MATCH($A34, 'KZ-normalized'!$A:$A, 0))), 0), 0))+(IFERROR(IF(4*INDEX('UZ-normalized'!$D:$D, MATCH($A34, 'UZ-normalized'!$A:$A, 0))-INDEX('UZ-normalized'!$E:$E, MATCH($A34, 'UZ-normalized'!$A:$A, 0))&gt;0, -(4*INDEX('UZ-normalized'!$D:$D, MATCH($A34, 'UZ-normalized'!$A:$A, 0))-INDEX('UZ-normalized'!$E:$E, MATCH($A34, 'UZ-normalized'!$A:$A, 0))), 0), 0)))</f>
        <v>0</v>
      </c>
      <c r="S34" s="6">
        <f>MIN(0, N34+(IFERROR(IF(5*INDEX('UA-normalized'!$D:$D, MATCH($A34, 'UA-normalized'!$A:$A, 0))-INDEX('UA-normalized'!$E:$E, MATCH($A34, 'UA-normalized'!$A:$A, 0))&gt;0, -(5*INDEX('UA-normalized'!$D:$D, MATCH($A34, 'UA-normalized'!$A:$A, 0))-INDEX('UA-normalized'!$E:$E, MATCH($A34, 'UA-normalized'!$A:$A, 0))), 0), 0))+(IFERROR(IF(5*INDEX('KZ-normalized'!$D:$D, MATCH($A34, 'KZ-normalized'!$A:$A, 0))-INDEX('KZ-normalized'!$E:$E, MATCH($A34, 'KZ-normalized'!$A:$A, 0))&gt;0, -(5*INDEX('KZ-normalized'!$D:$D, MATCH($A34, 'KZ-normalized'!$A:$A, 0))-INDEX('KZ-normalized'!$E:$E, MATCH($A34, 'KZ-normalized'!$A:$A, 0))), 0), 0))+(IFERROR(IF(5*INDEX('UZ-normalized'!$D:$D, MATCH($A34, 'UZ-normalized'!$A:$A, 0))-INDEX('UZ-normalized'!$E:$E, MATCH($A34, 'UZ-normalized'!$A:$A, 0))&gt;0, -(5*INDEX('UZ-normalized'!$D:$D, MATCH($A34, 'UZ-normalized'!$A:$A, 0))-INDEX('UZ-normalized'!$E:$E, MATCH($A34, 'UZ-normalized'!$A:$A, 0))), 0), 0)))</f>
        <v>0</v>
      </c>
      <c r="T34" s="6">
        <f>MIN(0, N34+(IFERROR(IF(6*INDEX('UA-normalized'!$D:$D, MATCH($A34, 'UA-normalized'!$A:$A, 0))-INDEX('UA-normalized'!$E:$E, MATCH($A34, 'UA-normalized'!$A:$A, 0))&gt;0, -(6*INDEX('UA-normalized'!$D:$D, MATCH($A34, 'UA-normalized'!$A:$A, 0))-INDEX('UA-normalized'!$E:$E, MATCH($A34, 'UA-normalized'!$A:$A, 0))), 0), 0))+(IFERROR(IF(6*INDEX('KZ-normalized'!$D:$D, MATCH($A34, 'KZ-normalized'!$A:$A, 0))-INDEX('KZ-normalized'!$E:$E, MATCH($A34, 'KZ-normalized'!$A:$A, 0))&gt;0, -(6*INDEX('KZ-normalized'!$D:$D, MATCH($A34, 'KZ-normalized'!$A:$A, 0))-INDEX('KZ-normalized'!$E:$E, MATCH($A34, 'KZ-normalized'!$A:$A, 0))), 0), 0))+(IFERROR(IF(6*INDEX('UZ-normalized'!$D:$D, MATCH($A34, 'UZ-normalized'!$A:$A, 0))-INDEX('UZ-normalized'!$E:$E, MATCH($A34, 'UZ-normalized'!$A:$A, 0))&gt;0, -(6*INDEX('UZ-normalized'!$D:$D, MATCH($A34, 'UZ-normalized'!$A:$A, 0))-INDEX('UZ-normalized'!$E:$E, MATCH($A34, 'UZ-normalized'!$A:$A, 0))), 0), 0)))</f>
        <v>0</v>
      </c>
      <c r="U34" s="6">
        <f>MIN(0, N34+(IFERROR(IF(7*INDEX('UA-normalized'!$D:$D, MATCH($A34, 'UA-normalized'!$A:$A, 0))-INDEX('UA-normalized'!$E:$E, MATCH($A34, 'UA-normalized'!$A:$A, 0))&gt;0, -(7*INDEX('UA-normalized'!$D:$D, MATCH($A34, 'UA-normalized'!$A:$A, 0))-INDEX('UA-normalized'!$E:$E, MATCH($A34, 'UA-normalized'!$A:$A, 0))), 0), 0))+(IFERROR(IF(7*INDEX('KZ-normalized'!$D:$D, MATCH($A34, 'KZ-normalized'!$A:$A, 0))-INDEX('KZ-normalized'!$E:$E, MATCH($A34, 'KZ-normalized'!$A:$A, 0))&gt;0, -(7*INDEX('KZ-normalized'!$D:$D, MATCH($A34, 'KZ-normalized'!$A:$A, 0))-INDEX('KZ-normalized'!$E:$E, MATCH($A34, 'KZ-normalized'!$A:$A, 0))), 0), 0))+(IFERROR(IF(7*INDEX('UZ-normalized'!$D:$D, MATCH($A34, 'UZ-normalized'!$A:$A, 0))-INDEX('UZ-normalized'!$E:$E, MATCH($A34, 'UZ-normalized'!$A:$A, 0))&gt;0, -(7*INDEX('UZ-normalized'!$D:$D, MATCH($A34, 'UZ-normalized'!$A:$A, 0))-INDEX('UZ-normalized'!$E:$E, MATCH($A34, 'UZ-normalized'!$A:$A, 0))), 0), 0)))</f>
        <v>0</v>
      </c>
      <c r="V34" s="6">
        <f>MIN(0, N34+(IFERROR(IF(8*INDEX('UA-normalized'!$D:$D, MATCH($A34, 'UA-normalized'!$A:$A, 0))-INDEX('UA-normalized'!$E:$E, MATCH($A34, 'UA-normalized'!$A:$A, 0))&gt;0, -(8*INDEX('UA-normalized'!$D:$D, MATCH($A34, 'UA-normalized'!$A:$A, 0))-INDEX('UA-normalized'!$E:$E, MATCH($A34, 'UA-normalized'!$A:$A, 0))), 0), 0))+(IFERROR(IF(8*INDEX('KZ-normalized'!$D:$D, MATCH($A34, 'KZ-normalized'!$A:$A, 0))-INDEX('KZ-normalized'!$E:$E, MATCH($A34, 'KZ-normalized'!$A:$A, 0))&gt;0, -(8*INDEX('KZ-normalized'!$D:$D, MATCH($A34, 'KZ-normalized'!$A:$A, 0))-INDEX('KZ-normalized'!$E:$E, MATCH($A34, 'KZ-normalized'!$A:$A, 0))), 0), 0))+(IFERROR(IF(8*INDEX('UZ-normalized'!$D:$D, MATCH($A34, 'UZ-normalized'!$A:$A, 0))-INDEX('UZ-normalized'!$E:$E, MATCH($A34, 'UZ-normalized'!$A:$A, 0))&gt;0, -(8*INDEX('UZ-normalized'!$D:$D, MATCH($A34, 'UZ-normalized'!$A:$A, 0))-INDEX('UZ-normalized'!$E:$E, MATCH($A34, 'UZ-normalized'!$A:$A, 0))), 0), 0)))</f>
        <v>0</v>
      </c>
      <c r="W34" s="6">
        <f>MIN(0, N34+(IFERROR(IF(9*INDEX('UA-normalized'!$D:$D, MATCH($A34, 'UA-normalized'!$A:$A, 0))-INDEX('UA-normalized'!$E:$E, MATCH($A34, 'UA-normalized'!$A:$A, 0))&gt;0, -(9*INDEX('UA-normalized'!$D:$D, MATCH($A34, 'UA-normalized'!$A:$A, 0))-INDEX('UA-normalized'!$E:$E, MATCH($A34, 'UA-normalized'!$A:$A, 0))), 0), 0))+(IFERROR(IF(9*INDEX('KZ-normalized'!$D:$D, MATCH($A34, 'KZ-normalized'!$A:$A, 0))-INDEX('KZ-normalized'!$E:$E, MATCH($A34, 'KZ-normalized'!$A:$A, 0))&gt;0, -(9*INDEX('KZ-normalized'!$D:$D, MATCH($A34, 'KZ-normalized'!$A:$A, 0))-INDEX('KZ-normalized'!$E:$E, MATCH($A34, 'KZ-normalized'!$A:$A, 0))), 0), 0))+(IFERROR(IF(9*INDEX('UZ-normalized'!$D:$D, MATCH($A34, 'UZ-normalized'!$A:$A, 0))-INDEX('UZ-normalized'!$E:$E, MATCH($A34, 'UZ-normalized'!$A:$A, 0))&gt;0, -(9*INDEX('UZ-normalized'!$D:$D, MATCH($A34, 'UZ-normalized'!$A:$A, 0))-INDEX('UZ-normalized'!$E:$E, MATCH($A34, 'UZ-normalized'!$A:$A, 0))), 0), 0)))</f>
        <v>0</v>
      </c>
      <c r="X34" s="6">
        <f>MIN(0, N34+(IFERROR(IF(10*INDEX('UA-normalized'!$D:$D, MATCH($A34, 'UA-normalized'!$A:$A, 0))-INDEX('UA-normalized'!$E:$E, MATCH($A34, 'UA-normalized'!$A:$A, 0))&gt;0, -(10*INDEX('UA-normalized'!$D:$D, MATCH($A34, 'UA-normalized'!$A:$A, 0))-INDEX('UA-normalized'!$E:$E, MATCH($A34, 'UA-normalized'!$A:$A, 0))), 0), 0))+(IFERROR(IF(10*INDEX('KZ-normalized'!$D:$D, MATCH($A34, 'KZ-normalized'!$A:$A, 0))-INDEX('KZ-normalized'!$E:$E, MATCH($A34, 'KZ-normalized'!$A:$A, 0))&gt;0, -(10*INDEX('KZ-normalized'!$D:$D, MATCH($A34, 'KZ-normalized'!$A:$A, 0))-INDEX('KZ-normalized'!$E:$E, MATCH($A34, 'KZ-normalized'!$A:$A, 0))), 0), 0))+(IFERROR(IF(10*INDEX('UZ-normalized'!$D:$D, MATCH($A34, 'UZ-normalized'!$A:$A, 0))-INDEX('UZ-normalized'!$E:$E, MATCH($A34, 'UZ-normalized'!$A:$A, 0))&gt;0, -(10*INDEX('UZ-normalized'!$D:$D, MATCH($A34, 'UZ-normalized'!$A:$A, 0))-INDEX('UZ-normalized'!$E:$E, MATCH($A34, 'UZ-normalized'!$A:$A, 0))), 0), 0)))</f>
        <v>0</v>
      </c>
      <c r="Y34" s="6">
        <f>MIN(0, N34+(IFERROR(IF(11*INDEX('UA-normalized'!$D:$D, MATCH($A34, 'UA-normalized'!$A:$A, 0))-INDEX('UA-normalized'!$E:$E, MATCH($A34, 'UA-normalized'!$A:$A, 0))&gt;0, -(11*INDEX('UA-normalized'!$D:$D, MATCH($A34, 'UA-normalized'!$A:$A, 0))-INDEX('UA-normalized'!$E:$E, MATCH($A34, 'UA-normalized'!$A:$A, 0))), 0), 0))+(IFERROR(IF(11*INDEX('KZ-normalized'!$D:$D, MATCH($A34, 'KZ-normalized'!$A:$A, 0))-INDEX('KZ-normalized'!$E:$E, MATCH($A34, 'KZ-normalized'!$A:$A, 0))&gt;0, -(11*INDEX('KZ-normalized'!$D:$D, MATCH($A34, 'KZ-normalized'!$A:$A, 0))-INDEX('KZ-normalized'!$E:$E, MATCH($A34, 'KZ-normalized'!$A:$A, 0))), 0), 0))+(IFERROR(IF(11*INDEX('UZ-normalized'!$D:$D, MATCH($A34, 'UZ-normalized'!$A:$A, 0))-INDEX('UZ-normalized'!$E:$E, MATCH($A34, 'UZ-normalized'!$A:$A, 0))&gt;0, -(11*INDEX('UZ-normalized'!$D:$D, MATCH($A34, 'UZ-normalized'!$A:$A, 0))-INDEX('UZ-normalized'!$E:$E, MATCH($A34, 'UZ-normalized'!$A:$A, 0))), 0), 0)))</f>
        <v>0</v>
      </c>
      <c r="Z34" s="6">
        <f>MIN(0, N34+(IFERROR(IF(12*INDEX('UA-normalized'!$D:$D, MATCH($A34, 'UA-normalized'!$A:$A, 0))-INDEX('UA-normalized'!$E:$E, MATCH($A34, 'UA-normalized'!$A:$A, 0))&gt;0, -(12*INDEX('UA-normalized'!$D:$D, MATCH($A34, 'UA-normalized'!$A:$A, 0))-INDEX('UA-normalized'!$E:$E, MATCH($A34, 'UA-normalized'!$A:$A, 0))), 0), 0))+(IFERROR(IF(12*INDEX('KZ-normalized'!$D:$D, MATCH($A34, 'KZ-normalized'!$A:$A, 0))-INDEX('KZ-normalized'!$E:$E, MATCH($A34, 'KZ-normalized'!$A:$A, 0))&gt;0, -(12*INDEX('KZ-normalized'!$D:$D, MATCH($A34, 'KZ-normalized'!$A:$A, 0))-INDEX('KZ-normalized'!$E:$E, MATCH($A34, 'KZ-normalized'!$A:$A, 0))), 0), 0))+(IFERROR(IF(12*INDEX('UZ-normalized'!$D:$D, MATCH($A34, 'UZ-normalized'!$A:$A, 0))-INDEX('UZ-normalized'!$E:$E, MATCH($A34, 'UZ-normalized'!$A:$A, 0))&gt;0, -(12*INDEX('UZ-normalized'!$D:$D, MATCH($A34, 'UZ-normalized'!$A:$A, 0))-INDEX('UZ-normalized'!$E:$E, MATCH($A34, 'UZ-normalized'!$A:$A, 0))), 0), 0)))</f>
        <v>0</v>
      </c>
      <c r="AA34" s="6">
        <f>MIN(0, N34+(IFERROR(IF(13*INDEX('UA-normalized'!$D:$D, MATCH($A34, 'UA-normalized'!$A:$A, 0))-INDEX('UA-normalized'!$E:$E, MATCH($A34, 'UA-normalized'!$A:$A, 0))&gt;0, -(13*INDEX('UA-normalized'!$D:$D, MATCH($A34, 'UA-normalized'!$A:$A, 0))-INDEX('UA-normalized'!$E:$E, MATCH($A34, 'UA-normalized'!$A:$A, 0))), 0), 0))+(IFERROR(IF(13*INDEX('KZ-normalized'!$D:$D, MATCH($A34, 'KZ-normalized'!$A:$A, 0))-INDEX('KZ-normalized'!$E:$E, MATCH($A34, 'KZ-normalized'!$A:$A, 0))&gt;0, -(13*INDEX('KZ-normalized'!$D:$D, MATCH($A34, 'KZ-normalized'!$A:$A, 0))-INDEX('KZ-normalized'!$E:$E, MATCH($A34, 'KZ-normalized'!$A:$A, 0))), 0), 0))+(IFERROR(IF(13*INDEX('UZ-normalized'!$D:$D, MATCH($A34, 'UZ-normalized'!$A:$A, 0))-INDEX('UZ-normalized'!$E:$E, MATCH($A34, 'UZ-normalized'!$A:$A, 0))&gt;0, -(13*INDEX('UZ-normalized'!$D:$D, MATCH($A34, 'UZ-normalized'!$A:$A, 0))-INDEX('UZ-normalized'!$E:$E, MATCH($A34, 'UZ-normalized'!$A:$A, 0))), 0), 0)))</f>
        <v>0</v>
      </c>
      <c r="AB34" s="6">
        <f>MIN(0, N34+(IFERROR(IF(14*INDEX('UA-normalized'!$D:$D, MATCH($A34, 'UA-normalized'!$A:$A, 0))-INDEX('UA-normalized'!$E:$E, MATCH($A34, 'UA-normalized'!$A:$A, 0))&gt;0, -(14*INDEX('UA-normalized'!$D:$D, MATCH($A34, 'UA-normalized'!$A:$A, 0))-INDEX('UA-normalized'!$E:$E, MATCH($A34, 'UA-normalized'!$A:$A, 0))), 0), 0))+(IFERROR(IF(14*INDEX('KZ-normalized'!$D:$D, MATCH($A34, 'KZ-normalized'!$A:$A, 0))-INDEX('KZ-normalized'!$E:$E, MATCH($A34, 'KZ-normalized'!$A:$A, 0))&gt;0, -(14*INDEX('KZ-normalized'!$D:$D, MATCH($A34, 'KZ-normalized'!$A:$A, 0))-INDEX('KZ-normalized'!$E:$E, MATCH($A34, 'KZ-normalized'!$A:$A, 0))), 0), 0))+(IFERROR(IF(14*INDEX('UZ-normalized'!$D:$D, MATCH($A34, 'UZ-normalized'!$A:$A, 0))-INDEX('UZ-normalized'!$E:$E, MATCH($A34, 'UZ-normalized'!$A:$A, 0))&gt;0, -(14*INDEX('UZ-normalized'!$D:$D, MATCH($A34, 'UZ-normalized'!$A:$A, 0))-INDEX('UZ-normalized'!$E:$E, MATCH($A34, 'UZ-normalized'!$A:$A, 0))), 0), 0)))</f>
        <v>0</v>
      </c>
      <c r="AC34" s="6">
        <f>MIN(0, N34+(IFERROR(IF(15*INDEX('UA-normalized'!$D:$D, MATCH($A34, 'UA-normalized'!$A:$A, 0))-INDEX('UA-normalized'!$E:$E, MATCH($A34, 'UA-normalized'!$A:$A, 0))&gt;0, -(15*INDEX('UA-normalized'!$D:$D, MATCH($A34, 'UA-normalized'!$A:$A, 0))-INDEX('UA-normalized'!$E:$E, MATCH($A34, 'UA-normalized'!$A:$A, 0))), 0), 0))+(IFERROR(IF(15*INDEX('KZ-normalized'!$D:$D, MATCH($A34, 'KZ-normalized'!$A:$A, 0))-INDEX('KZ-normalized'!$E:$E, MATCH($A34, 'KZ-normalized'!$A:$A, 0))&gt;0, -(15*INDEX('KZ-normalized'!$D:$D, MATCH($A34, 'KZ-normalized'!$A:$A, 0))-INDEX('KZ-normalized'!$E:$E, MATCH($A34, 'KZ-normalized'!$A:$A, 0))), 0), 0))+(IFERROR(IF(15*INDEX('UZ-normalized'!$D:$D, MATCH($A34, 'UZ-normalized'!$A:$A, 0))-INDEX('UZ-normalized'!$E:$E, MATCH($A34, 'UZ-normalized'!$A:$A, 0))&gt;0, -(15*INDEX('UZ-normalized'!$D:$D, MATCH($A34, 'UZ-normalized'!$A:$A, 0))-INDEX('UZ-normalized'!$E:$E, MATCH($A34, 'UZ-normalized'!$A:$A, 0))), 0), 0)))</f>
        <v>0</v>
      </c>
      <c r="AD34" s="6">
        <f>MIN(0, N34+(IFERROR(IF(16*INDEX('UA-normalized'!$D:$D, MATCH($A34, 'UA-normalized'!$A:$A, 0))-INDEX('UA-normalized'!$E:$E, MATCH($A34, 'UA-normalized'!$A:$A, 0))&gt;0, -(16*INDEX('UA-normalized'!$D:$D, MATCH($A34, 'UA-normalized'!$A:$A, 0))-INDEX('UA-normalized'!$E:$E, MATCH($A34, 'UA-normalized'!$A:$A, 0))), 0), 0))+(IFERROR(IF(16*INDEX('KZ-normalized'!$D:$D, MATCH($A34, 'KZ-normalized'!$A:$A, 0))-INDEX('KZ-normalized'!$E:$E, MATCH($A34, 'KZ-normalized'!$A:$A, 0))&gt;0, -(16*INDEX('KZ-normalized'!$D:$D, MATCH($A34, 'KZ-normalized'!$A:$A, 0))-INDEX('KZ-normalized'!$E:$E, MATCH($A34, 'KZ-normalized'!$A:$A, 0))), 0), 0))+(IFERROR(IF(16*INDEX('UZ-normalized'!$D:$D, MATCH($A34, 'UZ-normalized'!$A:$A, 0))-INDEX('UZ-normalized'!$E:$E, MATCH($A34, 'UZ-normalized'!$A:$A, 0))&gt;0, -(16*INDEX('UZ-normalized'!$D:$D, MATCH($A34, 'UZ-normalized'!$A:$A, 0))-INDEX('UZ-normalized'!$E:$E, MATCH($A34, 'UZ-normalized'!$A:$A, 0))), 0), 0)))</f>
        <v>0</v>
      </c>
      <c r="AE34" s="6">
        <f>MIN(0, N34+(IFERROR(IF(17*INDEX('UA-normalized'!$D:$D, MATCH($A34, 'UA-normalized'!$A:$A, 0))-INDEX('UA-normalized'!$E:$E, MATCH($A34, 'UA-normalized'!$A:$A, 0))&gt;0, -(17*INDEX('UA-normalized'!$D:$D, MATCH($A34, 'UA-normalized'!$A:$A, 0))-INDEX('UA-normalized'!$E:$E, MATCH($A34, 'UA-normalized'!$A:$A, 0))), 0), 0))+(IFERROR(IF(17*INDEX('KZ-normalized'!$D:$D, MATCH($A34, 'KZ-normalized'!$A:$A, 0))-INDEX('KZ-normalized'!$E:$E, MATCH($A34, 'KZ-normalized'!$A:$A, 0))&gt;0, -(17*INDEX('KZ-normalized'!$D:$D, MATCH($A34, 'KZ-normalized'!$A:$A, 0))-INDEX('KZ-normalized'!$E:$E, MATCH($A34, 'KZ-normalized'!$A:$A, 0))), 0), 0))+(IFERROR(IF(17*INDEX('UZ-normalized'!$D:$D, MATCH($A34, 'UZ-normalized'!$A:$A, 0))-INDEX('UZ-normalized'!$E:$E, MATCH($A34, 'UZ-normalized'!$A:$A, 0))&gt;0, -(17*INDEX('UZ-normalized'!$D:$D, MATCH($A34, 'UZ-normalized'!$A:$A, 0))-INDEX('UZ-normalized'!$E:$E, MATCH($A34, 'UZ-normalized'!$A:$A, 0))), 0), 0)))</f>
        <v>0</v>
      </c>
      <c r="AF34" s="6">
        <f>MIN(0, N34+(IFERROR(IF(18*INDEX('UA-normalized'!$D:$D, MATCH($A34, 'UA-normalized'!$A:$A, 0))-INDEX('UA-normalized'!$E:$E, MATCH($A34, 'UA-normalized'!$A:$A, 0))&gt;0, -(18*INDEX('UA-normalized'!$D:$D, MATCH($A34, 'UA-normalized'!$A:$A, 0))-INDEX('UA-normalized'!$E:$E, MATCH($A34, 'UA-normalized'!$A:$A, 0))), 0), 0))+(IFERROR(IF(18*INDEX('KZ-normalized'!$D:$D, MATCH($A34, 'KZ-normalized'!$A:$A, 0))-INDEX('KZ-normalized'!$E:$E, MATCH($A34, 'KZ-normalized'!$A:$A, 0))&gt;0, -(18*INDEX('KZ-normalized'!$D:$D, MATCH($A34, 'KZ-normalized'!$A:$A, 0))-INDEX('KZ-normalized'!$E:$E, MATCH($A34, 'KZ-normalized'!$A:$A, 0))), 0), 0))+(IFERROR(IF(18*INDEX('UZ-normalized'!$D:$D, MATCH($A34, 'UZ-normalized'!$A:$A, 0))-INDEX('UZ-normalized'!$E:$E, MATCH($A34, 'UZ-normalized'!$A:$A, 0))&gt;0, -(18*INDEX('UZ-normalized'!$D:$D, MATCH($A34, 'UZ-normalized'!$A:$A, 0))-INDEX('UZ-normalized'!$E:$E, MATCH($A34, 'UZ-normalized'!$A:$A, 0))), 0), 0)))</f>
        <v>0</v>
      </c>
      <c r="AG34" s="6">
        <f>MIN(0, N34+(IFERROR(IF(19*INDEX('UA-normalized'!$D:$D, MATCH($A34, 'UA-normalized'!$A:$A, 0))-INDEX('UA-normalized'!$E:$E, MATCH($A34, 'UA-normalized'!$A:$A, 0))&gt;0, -(19*INDEX('UA-normalized'!$D:$D, MATCH($A34, 'UA-normalized'!$A:$A, 0))-INDEX('UA-normalized'!$E:$E, MATCH($A34, 'UA-normalized'!$A:$A, 0))), 0), 0))+(IFERROR(IF(19*INDEX('KZ-normalized'!$D:$D, MATCH($A34, 'KZ-normalized'!$A:$A, 0))-INDEX('KZ-normalized'!$E:$E, MATCH($A34, 'KZ-normalized'!$A:$A, 0))&gt;0, -(19*INDEX('KZ-normalized'!$D:$D, MATCH($A34, 'KZ-normalized'!$A:$A, 0))-INDEX('KZ-normalized'!$E:$E, MATCH($A34, 'KZ-normalized'!$A:$A, 0))), 0), 0))+(IFERROR(IF(19*INDEX('UZ-normalized'!$D:$D, MATCH($A34, 'UZ-normalized'!$A:$A, 0))-INDEX('UZ-normalized'!$E:$E, MATCH($A34, 'UZ-normalized'!$A:$A, 0))&gt;0, -(19*INDEX('UZ-normalized'!$D:$D, MATCH($A34, 'UZ-normalized'!$A:$A, 0))-INDEX('UZ-normalized'!$E:$E, MATCH($A34, 'UZ-normalized'!$A:$A, 0))), 0), 0)))</f>
        <v>0</v>
      </c>
      <c r="AH34" s="6">
        <f>MIN(0, N34+(IFERROR(IF(20*INDEX('UA-normalized'!$D:$D, MATCH($A34, 'UA-normalized'!$A:$A, 0))-INDEX('UA-normalized'!$E:$E, MATCH($A34, 'UA-normalized'!$A:$A, 0))&gt;0, -(20*INDEX('UA-normalized'!$D:$D, MATCH($A34, 'UA-normalized'!$A:$A, 0))-INDEX('UA-normalized'!$E:$E, MATCH($A34, 'UA-normalized'!$A:$A, 0))), 0), 0))+(IFERROR(IF(20*INDEX('KZ-normalized'!$D:$D, MATCH($A34, 'KZ-normalized'!$A:$A, 0))-INDEX('KZ-normalized'!$E:$E, MATCH($A34, 'KZ-normalized'!$A:$A, 0))&gt;0, -(20*INDEX('KZ-normalized'!$D:$D, MATCH($A34, 'KZ-normalized'!$A:$A, 0))-INDEX('KZ-normalized'!$E:$E, MATCH($A34, 'KZ-normalized'!$A:$A, 0))), 0), 0))+(IFERROR(IF(20*INDEX('UZ-normalized'!$D:$D, MATCH($A34, 'UZ-normalized'!$A:$A, 0))-INDEX('UZ-normalized'!$E:$E, MATCH($A34, 'UZ-normalized'!$A:$A, 0))&gt;0, -(20*INDEX('UZ-normalized'!$D:$D, MATCH($A34, 'UZ-normalized'!$A:$A, 0))-INDEX('UZ-normalized'!$E:$E, MATCH($A34, 'UZ-normalized'!$A:$A, 0))), 0), 0)))</f>
        <v>0</v>
      </c>
      <c r="AI34" s="6">
        <f>MIN(0, N34+(IFERROR(IF(21*INDEX('UA-normalized'!$D:$D, MATCH($A34, 'UA-normalized'!$A:$A, 0))-INDEX('UA-normalized'!$E:$E, MATCH($A34, 'UA-normalized'!$A:$A, 0))&gt;0, -(21*INDEX('UA-normalized'!$D:$D, MATCH($A34, 'UA-normalized'!$A:$A, 0))-INDEX('UA-normalized'!$E:$E, MATCH($A34, 'UA-normalized'!$A:$A, 0))), 0), 0))+(IFERROR(IF(21*INDEX('KZ-normalized'!$D:$D, MATCH($A34, 'KZ-normalized'!$A:$A, 0))-INDEX('KZ-normalized'!$E:$E, MATCH($A34, 'KZ-normalized'!$A:$A, 0))&gt;0, -(21*INDEX('KZ-normalized'!$D:$D, MATCH($A34, 'KZ-normalized'!$A:$A, 0))-INDEX('KZ-normalized'!$E:$E, MATCH($A34, 'KZ-normalized'!$A:$A, 0))), 0), 0))+(IFERROR(IF(21*INDEX('UZ-normalized'!$D:$D, MATCH($A34, 'UZ-normalized'!$A:$A, 0))-INDEX('UZ-normalized'!$E:$E, MATCH($A34, 'UZ-normalized'!$A:$A, 0))&gt;0, -(21*INDEX('UZ-normalized'!$D:$D, MATCH($A34, 'UZ-normalized'!$A:$A, 0))-INDEX('UZ-normalized'!$E:$E, MATCH($A34, 'UZ-normalized'!$A:$A, 0))), 0), 0)))</f>
        <v>0</v>
      </c>
      <c r="AJ34" s="6">
        <f>MIN(0, N34+(IFERROR(IF(22*INDEX('UA-normalized'!$D:$D, MATCH($A34, 'UA-normalized'!$A:$A, 0))-INDEX('UA-normalized'!$E:$E, MATCH($A34, 'UA-normalized'!$A:$A, 0))&gt;0, -(22*INDEX('UA-normalized'!$D:$D, MATCH($A34, 'UA-normalized'!$A:$A, 0))-INDEX('UA-normalized'!$E:$E, MATCH($A34, 'UA-normalized'!$A:$A, 0))), 0), 0))+(IFERROR(IF(22*INDEX('KZ-normalized'!$D:$D, MATCH($A34, 'KZ-normalized'!$A:$A, 0))-INDEX('KZ-normalized'!$E:$E, MATCH($A34, 'KZ-normalized'!$A:$A, 0))&gt;0, -(22*INDEX('KZ-normalized'!$D:$D, MATCH($A34, 'KZ-normalized'!$A:$A, 0))-INDEX('KZ-normalized'!$E:$E, MATCH($A34, 'KZ-normalized'!$A:$A, 0))), 0), 0))+(IFERROR(IF(22*INDEX('UZ-normalized'!$D:$D, MATCH($A34, 'UZ-normalized'!$A:$A, 0))-INDEX('UZ-normalized'!$E:$E, MATCH($A34, 'UZ-normalized'!$A:$A, 0))&gt;0, -(22*INDEX('UZ-normalized'!$D:$D, MATCH($A34, 'UZ-normalized'!$A:$A, 0))-INDEX('UZ-normalized'!$E:$E, MATCH($A34, 'UZ-normalized'!$A:$A, 0))), 0), 0)))</f>
        <v>0</v>
      </c>
      <c r="AK34" s="6">
        <f>MIN(0, N34+(IFERROR(IF(23*INDEX('UA-normalized'!$D:$D, MATCH($A34, 'UA-normalized'!$A:$A, 0))-INDEX('UA-normalized'!$E:$E, MATCH($A34, 'UA-normalized'!$A:$A, 0))&gt;0, -(23*INDEX('UA-normalized'!$D:$D, MATCH($A34, 'UA-normalized'!$A:$A, 0))-INDEX('UA-normalized'!$E:$E, MATCH($A34, 'UA-normalized'!$A:$A, 0))), 0), 0))+(IFERROR(IF(23*INDEX('KZ-normalized'!$D:$D, MATCH($A34, 'KZ-normalized'!$A:$A, 0))-INDEX('KZ-normalized'!$E:$E, MATCH($A34, 'KZ-normalized'!$A:$A, 0))&gt;0, -(23*INDEX('KZ-normalized'!$D:$D, MATCH($A34, 'KZ-normalized'!$A:$A, 0))-INDEX('KZ-normalized'!$E:$E, MATCH($A34, 'KZ-normalized'!$A:$A, 0))), 0), 0))+(IFERROR(IF(23*INDEX('UZ-normalized'!$D:$D, MATCH($A34, 'UZ-normalized'!$A:$A, 0))-INDEX('UZ-normalized'!$E:$E, MATCH($A34, 'UZ-normalized'!$A:$A, 0))&gt;0, -(23*INDEX('UZ-normalized'!$D:$D, MATCH($A34, 'UZ-normalized'!$A:$A, 0))-INDEX('UZ-normalized'!$E:$E, MATCH($A34, 'UZ-normalized'!$A:$A, 0))), 0), 0)))</f>
        <v>0</v>
      </c>
      <c r="AL34" s="6">
        <f>MIN(0, N34+(IFERROR(IF(24*INDEX('UA-normalized'!$D:$D, MATCH($A34, 'UA-normalized'!$A:$A, 0))-INDEX('UA-normalized'!$E:$E, MATCH($A34, 'UA-normalized'!$A:$A, 0))&gt;0, -(24*INDEX('UA-normalized'!$D:$D, MATCH($A34, 'UA-normalized'!$A:$A, 0))-INDEX('UA-normalized'!$E:$E, MATCH($A34, 'UA-normalized'!$A:$A, 0))), 0), 0))+(IFERROR(IF(24*INDEX('KZ-normalized'!$D:$D, MATCH($A34, 'KZ-normalized'!$A:$A, 0))-INDEX('KZ-normalized'!$E:$E, MATCH($A34, 'KZ-normalized'!$A:$A, 0))&gt;0, -(24*INDEX('KZ-normalized'!$D:$D, MATCH($A34, 'KZ-normalized'!$A:$A, 0))-INDEX('KZ-normalized'!$E:$E, MATCH($A34, 'KZ-normalized'!$A:$A, 0))), 0), 0))+(IFERROR(IF(24*INDEX('UZ-normalized'!$D:$D, MATCH($A34, 'UZ-normalized'!$A:$A, 0))-INDEX('UZ-normalized'!$E:$E, MATCH($A34, 'UZ-normalized'!$A:$A, 0))&gt;0, -(24*INDEX('UZ-normalized'!$D:$D, MATCH($A34, 'UZ-normalized'!$A:$A, 0))-INDEX('UZ-normalized'!$E:$E, MATCH($A34, 'UZ-normalized'!$A:$A, 0))), 0), 0)))</f>
        <v>0</v>
      </c>
      <c r="AM34" s="6">
        <f>MIN(0, N34+(IFERROR(IF(25*INDEX('UA-normalized'!$D:$D, MATCH($A34, 'UA-normalized'!$A:$A, 0))-INDEX('UA-normalized'!$E:$E, MATCH($A34, 'UA-normalized'!$A:$A, 0))&gt;0, -(25*INDEX('UA-normalized'!$D:$D, MATCH($A34, 'UA-normalized'!$A:$A, 0))-INDEX('UA-normalized'!$E:$E, MATCH($A34, 'UA-normalized'!$A:$A, 0))), 0), 0))+(IFERROR(IF(25*INDEX('KZ-normalized'!$D:$D, MATCH($A34, 'KZ-normalized'!$A:$A, 0))-INDEX('KZ-normalized'!$E:$E, MATCH($A34, 'KZ-normalized'!$A:$A, 0))&gt;0, -(25*INDEX('KZ-normalized'!$D:$D, MATCH($A34, 'KZ-normalized'!$A:$A, 0))-INDEX('KZ-normalized'!$E:$E, MATCH($A34, 'KZ-normalized'!$A:$A, 0))), 0), 0))+(IFERROR(IF(25*INDEX('UZ-normalized'!$D:$D, MATCH($A34, 'UZ-normalized'!$A:$A, 0))-INDEX('UZ-normalized'!$E:$E, MATCH($A34, 'UZ-normalized'!$A:$A, 0))&gt;0, -(25*INDEX('UZ-normalized'!$D:$D, MATCH($A34, 'UZ-normalized'!$A:$A, 0))-INDEX('UZ-normalized'!$E:$E, MATCH($A34, 'UZ-normalized'!$A:$A, 0))), 0), 0)))</f>
        <v>0</v>
      </c>
      <c r="AN34" s="6">
        <f>MIN(0, N34+(IFERROR(IF(26*INDEX('UA-normalized'!$D:$D, MATCH($A34, 'UA-normalized'!$A:$A, 0))-INDEX('UA-normalized'!$E:$E, MATCH($A34, 'UA-normalized'!$A:$A, 0))&gt;0, -(26*INDEX('UA-normalized'!$D:$D, MATCH($A34, 'UA-normalized'!$A:$A, 0))-INDEX('UA-normalized'!$E:$E, MATCH($A34, 'UA-normalized'!$A:$A, 0))), 0), 0))+(IFERROR(IF(26*INDEX('KZ-normalized'!$D:$D, MATCH($A34, 'KZ-normalized'!$A:$A, 0))-INDEX('KZ-normalized'!$E:$E, MATCH($A34, 'KZ-normalized'!$A:$A, 0))&gt;0, -(26*INDEX('KZ-normalized'!$D:$D, MATCH($A34, 'KZ-normalized'!$A:$A, 0))-INDEX('KZ-normalized'!$E:$E, MATCH($A34, 'KZ-normalized'!$A:$A, 0))), 0), 0))+(IFERROR(IF(26*INDEX('UZ-normalized'!$D:$D, MATCH($A34, 'UZ-normalized'!$A:$A, 0))-INDEX('UZ-normalized'!$E:$E, MATCH($A34, 'UZ-normalized'!$A:$A, 0))&gt;0, -(26*INDEX('UZ-normalized'!$D:$D, MATCH($A34, 'UZ-normalized'!$A:$A, 0))-INDEX('UZ-normalized'!$E:$E, MATCH($A34, 'UZ-normalized'!$A:$A, 0))), 0), 0)))</f>
        <v>0</v>
      </c>
      <c r="AO34" s="6">
        <f>MIN(0, N34+(IFERROR(IF(27*INDEX('UA-normalized'!$D:$D, MATCH($A34, 'UA-normalized'!$A:$A, 0))-INDEX('UA-normalized'!$E:$E, MATCH($A34, 'UA-normalized'!$A:$A, 0))&gt;0, -(27*INDEX('UA-normalized'!$D:$D, MATCH($A34, 'UA-normalized'!$A:$A, 0))-INDEX('UA-normalized'!$E:$E, MATCH($A34, 'UA-normalized'!$A:$A, 0))), 0), 0))+(IFERROR(IF(27*INDEX('KZ-normalized'!$D:$D, MATCH($A34, 'KZ-normalized'!$A:$A, 0))-INDEX('KZ-normalized'!$E:$E, MATCH($A34, 'KZ-normalized'!$A:$A, 0))&gt;0, -(27*INDEX('KZ-normalized'!$D:$D, MATCH($A34, 'KZ-normalized'!$A:$A, 0))-INDEX('KZ-normalized'!$E:$E, MATCH($A34, 'KZ-normalized'!$A:$A, 0))), 0), 0))+(IFERROR(IF(27*INDEX('UZ-normalized'!$D:$D, MATCH($A34, 'UZ-normalized'!$A:$A, 0))-INDEX('UZ-normalized'!$E:$E, MATCH($A34, 'UZ-normalized'!$A:$A, 0))&gt;0, -(27*INDEX('UZ-normalized'!$D:$D, MATCH($A34, 'UZ-normalized'!$A:$A, 0))-INDEX('UZ-normalized'!$E:$E, MATCH($A34, 'UZ-normalized'!$A:$A, 0))), 0), 0)))</f>
        <v>0</v>
      </c>
      <c r="AP34" s="6">
        <f>MIN(0, N34+(IFERROR(IF(28*INDEX('UA-normalized'!$D:$D, MATCH($A34, 'UA-normalized'!$A:$A, 0))-INDEX('UA-normalized'!$E:$E, MATCH($A34, 'UA-normalized'!$A:$A, 0))&gt;0, -(28*INDEX('UA-normalized'!$D:$D, MATCH($A34, 'UA-normalized'!$A:$A, 0))-INDEX('UA-normalized'!$E:$E, MATCH($A34, 'UA-normalized'!$A:$A, 0))), 0), 0))+(IFERROR(IF(28*INDEX('KZ-normalized'!$D:$D, MATCH($A34, 'KZ-normalized'!$A:$A, 0))-INDEX('KZ-normalized'!$E:$E, MATCH($A34, 'KZ-normalized'!$A:$A, 0))&gt;0, -(28*INDEX('KZ-normalized'!$D:$D, MATCH($A34, 'KZ-normalized'!$A:$A, 0))-INDEX('KZ-normalized'!$E:$E, MATCH($A34, 'KZ-normalized'!$A:$A, 0))), 0), 0))+(IFERROR(IF(28*INDEX('UZ-normalized'!$D:$D, MATCH($A34, 'UZ-normalized'!$A:$A, 0))-INDEX('UZ-normalized'!$E:$E, MATCH($A34, 'UZ-normalized'!$A:$A, 0))&gt;0, -(28*INDEX('UZ-normalized'!$D:$D, MATCH($A34, 'UZ-normalized'!$A:$A, 0))-INDEX('UZ-normalized'!$E:$E, MATCH($A34, 'UZ-normalized'!$A:$A, 0))), 0), 0)))</f>
        <v>0</v>
      </c>
      <c r="AQ34" s="6">
        <f>MIN(0, N34+(IFERROR(IF(29*INDEX('UA-normalized'!$D:$D, MATCH($A34, 'UA-normalized'!$A:$A, 0))-INDEX('UA-normalized'!$E:$E, MATCH($A34, 'UA-normalized'!$A:$A, 0))&gt;0, -(29*INDEX('UA-normalized'!$D:$D, MATCH($A34, 'UA-normalized'!$A:$A, 0))-INDEX('UA-normalized'!$E:$E, MATCH($A34, 'UA-normalized'!$A:$A, 0))), 0), 0))+(IFERROR(IF(29*INDEX('KZ-normalized'!$D:$D, MATCH($A34, 'KZ-normalized'!$A:$A, 0))-INDEX('KZ-normalized'!$E:$E, MATCH($A34, 'KZ-normalized'!$A:$A, 0))&gt;0, -(29*INDEX('KZ-normalized'!$D:$D, MATCH($A34, 'KZ-normalized'!$A:$A, 0))-INDEX('KZ-normalized'!$E:$E, MATCH($A34, 'KZ-normalized'!$A:$A, 0))), 0), 0))+(IFERROR(IF(29*INDEX('UZ-normalized'!$D:$D, MATCH($A34, 'UZ-normalized'!$A:$A, 0))-INDEX('UZ-normalized'!$E:$E, MATCH($A34, 'UZ-normalized'!$A:$A, 0))&gt;0, -(29*INDEX('UZ-normalized'!$D:$D, MATCH($A34, 'UZ-normalized'!$A:$A, 0))-INDEX('UZ-normalized'!$E:$E, MATCH($A34, 'UZ-normalized'!$A:$A, 0))), 0), 0)))</f>
        <v>0</v>
      </c>
      <c r="AR34" s="6">
        <f>MIN(0, N34+(IFERROR(IF(30*INDEX('UA-normalized'!$D:$D, MATCH($A34, 'UA-normalized'!$A:$A, 0))-INDEX('UA-normalized'!$E:$E, MATCH($A34, 'UA-normalized'!$A:$A, 0))&gt;0, -(30*INDEX('UA-normalized'!$D:$D, MATCH($A34, 'UA-normalized'!$A:$A, 0))-INDEX('UA-normalized'!$E:$E, MATCH($A34, 'UA-normalized'!$A:$A, 0))), 0), 0))+(IFERROR(IF(30*INDEX('KZ-normalized'!$D:$D, MATCH($A34, 'KZ-normalized'!$A:$A, 0))-INDEX('KZ-normalized'!$E:$E, MATCH($A34, 'KZ-normalized'!$A:$A, 0))&gt;0, -(30*INDEX('KZ-normalized'!$D:$D, MATCH($A34, 'KZ-normalized'!$A:$A, 0))-INDEX('KZ-normalized'!$E:$E, MATCH($A34, 'KZ-normalized'!$A:$A, 0))), 0), 0))+(IFERROR(IF(30*INDEX('UZ-normalized'!$D:$D, MATCH($A34, 'UZ-normalized'!$A:$A, 0))-INDEX('UZ-normalized'!$E:$E, MATCH($A34, 'UZ-normalized'!$A:$A, 0))&gt;0, -(30*INDEX('UZ-normalized'!$D:$D, MATCH($A34, 'UZ-normalized'!$A:$A, 0))-INDEX('UZ-normalized'!$E:$E, MATCH($A34, 'UZ-normalized'!$A:$A, 0))), 0), 0)))</f>
        <v>0</v>
      </c>
    </row>
    <row r="35" spans="1:44" x14ac:dyDescent="0.25">
      <c r="A35" s="8" t="s">
        <v>117</v>
      </c>
      <c r="B35" s="8" t="s">
        <v>83</v>
      </c>
      <c r="C35" s="8" t="s">
        <v>105</v>
      </c>
      <c r="D35" s="8" t="s">
        <v>116</v>
      </c>
      <c r="N35">
        <f t="shared" si="0"/>
        <v>0</v>
      </c>
      <c r="O35" s="6">
        <f>MIN(0, N35+(IFERROR(IF(1*INDEX('UA-normalized'!$D:$D, MATCH($A35, 'UA-normalized'!$A:$A, 0))-INDEX('UA-normalized'!$E:$E, MATCH($A35, 'UA-normalized'!$A:$A, 0))&gt;0, -(1*INDEX('UA-normalized'!$D:$D, MATCH($A35, 'UA-normalized'!$A:$A, 0))-INDEX('UA-normalized'!$E:$E, MATCH($A35, 'UA-normalized'!$A:$A, 0))), 0), 0))+(IFERROR(IF(1*INDEX('KZ-normalized'!$D:$D, MATCH($A35, 'KZ-normalized'!$A:$A, 0))-INDEX('KZ-normalized'!$E:$E, MATCH($A35, 'KZ-normalized'!$A:$A, 0))&gt;0, -(1*INDEX('KZ-normalized'!$D:$D, MATCH($A35, 'KZ-normalized'!$A:$A, 0))-INDEX('KZ-normalized'!$E:$E, MATCH($A35, 'KZ-normalized'!$A:$A, 0))), 0), 0))+(IFERROR(IF(1*INDEX('UZ-normalized'!$D:$D, MATCH($A35, 'UZ-normalized'!$A:$A, 0))-INDEX('UZ-normalized'!$E:$E, MATCH($A35, 'UZ-normalized'!$A:$A, 0))&gt;0, -(1*INDEX('UZ-normalized'!$D:$D, MATCH($A35, 'UZ-normalized'!$A:$A, 0))-INDEX('UZ-normalized'!$E:$E, MATCH($A35, 'UZ-normalized'!$A:$A, 0))), 0), 0)))</f>
        <v>0</v>
      </c>
      <c r="P35" s="6">
        <f>MIN(0, N35+(IFERROR(IF(2*INDEX('UA-normalized'!$D:$D, MATCH($A35, 'UA-normalized'!$A:$A, 0))-INDEX('UA-normalized'!$E:$E, MATCH($A35, 'UA-normalized'!$A:$A, 0))&gt;0, -(2*INDEX('UA-normalized'!$D:$D, MATCH($A35, 'UA-normalized'!$A:$A, 0))-INDEX('UA-normalized'!$E:$E, MATCH($A35, 'UA-normalized'!$A:$A, 0))), 0), 0))+(IFERROR(IF(2*INDEX('KZ-normalized'!$D:$D, MATCH($A35, 'KZ-normalized'!$A:$A, 0))-INDEX('KZ-normalized'!$E:$E, MATCH($A35, 'KZ-normalized'!$A:$A, 0))&gt;0, -(2*INDEX('KZ-normalized'!$D:$D, MATCH($A35, 'KZ-normalized'!$A:$A, 0))-INDEX('KZ-normalized'!$E:$E, MATCH($A35, 'KZ-normalized'!$A:$A, 0))), 0), 0))+(IFERROR(IF(2*INDEX('UZ-normalized'!$D:$D, MATCH($A35, 'UZ-normalized'!$A:$A, 0))-INDEX('UZ-normalized'!$E:$E, MATCH($A35, 'UZ-normalized'!$A:$A, 0))&gt;0, -(2*INDEX('UZ-normalized'!$D:$D, MATCH($A35, 'UZ-normalized'!$A:$A, 0))-INDEX('UZ-normalized'!$E:$E, MATCH($A35, 'UZ-normalized'!$A:$A, 0))), 0), 0)))</f>
        <v>0</v>
      </c>
      <c r="Q35" s="6">
        <f>MIN(0, N35+(IFERROR(IF(3*INDEX('UA-normalized'!$D:$D, MATCH($A35, 'UA-normalized'!$A:$A, 0))-INDEX('UA-normalized'!$E:$E, MATCH($A35, 'UA-normalized'!$A:$A, 0))&gt;0, -(3*INDEX('UA-normalized'!$D:$D, MATCH($A35, 'UA-normalized'!$A:$A, 0))-INDEX('UA-normalized'!$E:$E, MATCH($A35, 'UA-normalized'!$A:$A, 0))), 0), 0))+(IFERROR(IF(3*INDEX('KZ-normalized'!$D:$D, MATCH($A35, 'KZ-normalized'!$A:$A, 0))-INDEX('KZ-normalized'!$E:$E, MATCH($A35, 'KZ-normalized'!$A:$A, 0))&gt;0, -(3*INDEX('KZ-normalized'!$D:$D, MATCH($A35, 'KZ-normalized'!$A:$A, 0))-INDEX('KZ-normalized'!$E:$E, MATCH($A35, 'KZ-normalized'!$A:$A, 0))), 0), 0))+(IFERROR(IF(3*INDEX('UZ-normalized'!$D:$D, MATCH($A35, 'UZ-normalized'!$A:$A, 0))-INDEX('UZ-normalized'!$E:$E, MATCH($A35, 'UZ-normalized'!$A:$A, 0))&gt;0, -(3*INDEX('UZ-normalized'!$D:$D, MATCH($A35, 'UZ-normalized'!$A:$A, 0))-INDEX('UZ-normalized'!$E:$E, MATCH($A35, 'UZ-normalized'!$A:$A, 0))), 0), 0)))</f>
        <v>0</v>
      </c>
      <c r="R35" s="6">
        <f>MIN(0, N35+(IFERROR(IF(4*INDEX('UA-normalized'!$D:$D, MATCH($A35, 'UA-normalized'!$A:$A, 0))-INDEX('UA-normalized'!$E:$E, MATCH($A35, 'UA-normalized'!$A:$A, 0))&gt;0, -(4*INDEX('UA-normalized'!$D:$D, MATCH($A35, 'UA-normalized'!$A:$A, 0))-INDEX('UA-normalized'!$E:$E, MATCH($A35, 'UA-normalized'!$A:$A, 0))), 0), 0))+(IFERROR(IF(4*INDEX('KZ-normalized'!$D:$D, MATCH($A35, 'KZ-normalized'!$A:$A, 0))-INDEX('KZ-normalized'!$E:$E, MATCH($A35, 'KZ-normalized'!$A:$A, 0))&gt;0, -(4*INDEX('KZ-normalized'!$D:$D, MATCH($A35, 'KZ-normalized'!$A:$A, 0))-INDEX('KZ-normalized'!$E:$E, MATCH($A35, 'KZ-normalized'!$A:$A, 0))), 0), 0))+(IFERROR(IF(4*INDEX('UZ-normalized'!$D:$D, MATCH($A35, 'UZ-normalized'!$A:$A, 0))-INDEX('UZ-normalized'!$E:$E, MATCH($A35, 'UZ-normalized'!$A:$A, 0))&gt;0, -(4*INDEX('UZ-normalized'!$D:$D, MATCH($A35, 'UZ-normalized'!$A:$A, 0))-INDEX('UZ-normalized'!$E:$E, MATCH($A35, 'UZ-normalized'!$A:$A, 0))), 0), 0)))</f>
        <v>-91</v>
      </c>
      <c r="S35" s="6">
        <f>MIN(0, N35+(IFERROR(IF(5*INDEX('UA-normalized'!$D:$D, MATCH($A35, 'UA-normalized'!$A:$A, 0))-INDEX('UA-normalized'!$E:$E, MATCH($A35, 'UA-normalized'!$A:$A, 0))&gt;0, -(5*INDEX('UA-normalized'!$D:$D, MATCH($A35, 'UA-normalized'!$A:$A, 0))-INDEX('UA-normalized'!$E:$E, MATCH($A35, 'UA-normalized'!$A:$A, 0))), 0), 0))+(IFERROR(IF(5*INDEX('KZ-normalized'!$D:$D, MATCH($A35, 'KZ-normalized'!$A:$A, 0))-INDEX('KZ-normalized'!$E:$E, MATCH($A35, 'KZ-normalized'!$A:$A, 0))&gt;0, -(5*INDEX('KZ-normalized'!$D:$D, MATCH($A35, 'KZ-normalized'!$A:$A, 0))-INDEX('KZ-normalized'!$E:$E, MATCH($A35, 'KZ-normalized'!$A:$A, 0))), 0), 0))+(IFERROR(IF(5*INDEX('UZ-normalized'!$D:$D, MATCH($A35, 'UZ-normalized'!$A:$A, 0))-INDEX('UZ-normalized'!$E:$E, MATCH($A35, 'UZ-normalized'!$A:$A, 0))&gt;0, -(5*INDEX('UZ-normalized'!$D:$D, MATCH($A35, 'UZ-normalized'!$A:$A, 0))-INDEX('UZ-normalized'!$E:$E, MATCH($A35, 'UZ-normalized'!$A:$A, 0))), 0), 0)))</f>
        <v>-253</v>
      </c>
      <c r="T35" s="6">
        <f>MIN(0, N35+(IFERROR(IF(6*INDEX('UA-normalized'!$D:$D, MATCH($A35, 'UA-normalized'!$A:$A, 0))-INDEX('UA-normalized'!$E:$E, MATCH($A35, 'UA-normalized'!$A:$A, 0))&gt;0, -(6*INDEX('UA-normalized'!$D:$D, MATCH($A35, 'UA-normalized'!$A:$A, 0))-INDEX('UA-normalized'!$E:$E, MATCH($A35, 'UA-normalized'!$A:$A, 0))), 0), 0))+(IFERROR(IF(6*INDEX('KZ-normalized'!$D:$D, MATCH($A35, 'KZ-normalized'!$A:$A, 0))-INDEX('KZ-normalized'!$E:$E, MATCH($A35, 'KZ-normalized'!$A:$A, 0))&gt;0, -(6*INDEX('KZ-normalized'!$D:$D, MATCH($A35, 'KZ-normalized'!$A:$A, 0))-INDEX('KZ-normalized'!$E:$E, MATCH($A35, 'KZ-normalized'!$A:$A, 0))), 0), 0))+(IFERROR(IF(6*INDEX('UZ-normalized'!$D:$D, MATCH($A35, 'UZ-normalized'!$A:$A, 0))-INDEX('UZ-normalized'!$E:$E, MATCH($A35, 'UZ-normalized'!$A:$A, 0))&gt;0, -(6*INDEX('UZ-normalized'!$D:$D, MATCH($A35, 'UZ-normalized'!$A:$A, 0))-INDEX('UZ-normalized'!$E:$E, MATCH($A35, 'UZ-normalized'!$A:$A, 0))), 0), 0)))</f>
        <v>-415</v>
      </c>
      <c r="U35" s="6">
        <f>MIN(0, N35+(IFERROR(IF(7*INDEX('UA-normalized'!$D:$D, MATCH($A35, 'UA-normalized'!$A:$A, 0))-INDEX('UA-normalized'!$E:$E, MATCH($A35, 'UA-normalized'!$A:$A, 0))&gt;0, -(7*INDEX('UA-normalized'!$D:$D, MATCH($A35, 'UA-normalized'!$A:$A, 0))-INDEX('UA-normalized'!$E:$E, MATCH($A35, 'UA-normalized'!$A:$A, 0))), 0), 0))+(IFERROR(IF(7*INDEX('KZ-normalized'!$D:$D, MATCH($A35, 'KZ-normalized'!$A:$A, 0))-INDEX('KZ-normalized'!$E:$E, MATCH($A35, 'KZ-normalized'!$A:$A, 0))&gt;0, -(7*INDEX('KZ-normalized'!$D:$D, MATCH($A35, 'KZ-normalized'!$A:$A, 0))-INDEX('KZ-normalized'!$E:$E, MATCH($A35, 'KZ-normalized'!$A:$A, 0))), 0), 0))+(IFERROR(IF(7*INDEX('UZ-normalized'!$D:$D, MATCH($A35, 'UZ-normalized'!$A:$A, 0))-INDEX('UZ-normalized'!$E:$E, MATCH($A35, 'UZ-normalized'!$A:$A, 0))&gt;0, -(7*INDEX('UZ-normalized'!$D:$D, MATCH($A35, 'UZ-normalized'!$A:$A, 0))-INDEX('UZ-normalized'!$E:$E, MATCH($A35, 'UZ-normalized'!$A:$A, 0))), 0), 0)))</f>
        <v>-577</v>
      </c>
      <c r="V35" s="6">
        <f>MIN(0, N35+(IFERROR(IF(8*INDEX('UA-normalized'!$D:$D, MATCH($A35, 'UA-normalized'!$A:$A, 0))-INDEX('UA-normalized'!$E:$E, MATCH($A35, 'UA-normalized'!$A:$A, 0))&gt;0, -(8*INDEX('UA-normalized'!$D:$D, MATCH($A35, 'UA-normalized'!$A:$A, 0))-INDEX('UA-normalized'!$E:$E, MATCH($A35, 'UA-normalized'!$A:$A, 0))), 0), 0))+(IFERROR(IF(8*INDEX('KZ-normalized'!$D:$D, MATCH($A35, 'KZ-normalized'!$A:$A, 0))-INDEX('KZ-normalized'!$E:$E, MATCH($A35, 'KZ-normalized'!$A:$A, 0))&gt;0, -(8*INDEX('KZ-normalized'!$D:$D, MATCH($A35, 'KZ-normalized'!$A:$A, 0))-INDEX('KZ-normalized'!$E:$E, MATCH($A35, 'KZ-normalized'!$A:$A, 0))), 0), 0))+(IFERROR(IF(8*INDEX('UZ-normalized'!$D:$D, MATCH($A35, 'UZ-normalized'!$A:$A, 0))-INDEX('UZ-normalized'!$E:$E, MATCH($A35, 'UZ-normalized'!$A:$A, 0))&gt;0, -(8*INDEX('UZ-normalized'!$D:$D, MATCH($A35, 'UZ-normalized'!$A:$A, 0))-INDEX('UZ-normalized'!$E:$E, MATCH($A35, 'UZ-normalized'!$A:$A, 0))), 0), 0)))</f>
        <v>-739</v>
      </c>
      <c r="W35" s="6">
        <f>MIN(0, N35+(IFERROR(IF(9*INDEX('UA-normalized'!$D:$D, MATCH($A35, 'UA-normalized'!$A:$A, 0))-INDEX('UA-normalized'!$E:$E, MATCH($A35, 'UA-normalized'!$A:$A, 0))&gt;0, -(9*INDEX('UA-normalized'!$D:$D, MATCH($A35, 'UA-normalized'!$A:$A, 0))-INDEX('UA-normalized'!$E:$E, MATCH($A35, 'UA-normalized'!$A:$A, 0))), 0), 0))+(IFERROR(IF(9*INDEX('KZ-normalized'!$D:$D, MATCH($A35, 'KZ-normalized'!$A:$A, 0))-INDEX('KZ-normalized'!$E:$E, MATCH($A35, 'KZ-normalized'!$A:$A, 0))&gt;0, -(9*INDEX('KZ-normalized'!$D:$D, MATCH($A35, 'KZ-normalized'!$A:$A, 0))-INDEX('KZ-normalized'!$E:$E, MATCH($A35, 'KZ-normalized'!$A:$A, 0))), 0), 0))+(IFERROR(IF(9*INDEX('UZ-normalized'!$D:$D, MATCH($A35, 'UZ-normalized'!$A:$A, 0))-INDEX('UZ-normalized'!$E:$E, MATCH($A35, 'UZ-normalized'!$A:$A, 0))&gt;0, -(9*INDEX('UZ-normalized'!$D:$D, MATCH($A35, 'UZ-normalized'!$A:$A, 0))-INDEX('UZ-normalized'!$E:$E, MATCH($A35, 'UZ-normalized'!$A:$A, 0))), 0), 0)))</f>
        <v>-901</v>
      </c>
      <c r="X35" s="6">
        <f>MIN(0, N35+(IFERROR(IF(10*INDEX('UA-normalized'!$D:$D, MATCH($A35, 'UA-normalized'!$A:$A, 0))-INDEX('UA-normalized'!$E:$E, MATCH($A35, 'UA-normalized'!$A:$A, 0))&gt;0, -(10*INDEX('UA-normalized'!$D:$D, MATCH($A35, 'UA-normalized'!$A:$A, 0))-INDEX('UA-normalized'!$E:$E, MATCH($A35, 'UA-normalized'!$A:$A, 0))), 0), 0))+(IFERROR(IF(10*INDEX('KZ-normalized'!$D:$D, MATCH($A35, 'KZ-normalized'!$A:$A, 0))-INDEX('KZ-normalized'!$E:$E, MATCH($A35, 'KZ-normalized'!$A:$A, 0))&gt;0, -(10*INDEX('KZ-normalized'!$D:$D, MATCH($A35, 'KZ-normalized'!$A:$A, 0))-INDEX('KZ-normalized'!$E:$E, MATCH($A35, 'KZ-normalized'!$A:$A, 0))), 0), 0))+(IFERROR(IF(10*INDEX('UZ-normalized'!$D:$D, MATCH($A35, 'UZ-normalized'!$A:$A, 0))-INDEX('UZ-normalized'!$E:$E, MATCH($A35, 'UZ-normalized'!$A:$A, 0))&gt;0, -(10*INDEX('UZ-normalized'!$D:$D, MATCH($A35, 'UZ-normalized'!$A:$A, 0))-INDEX('UZ-normalized'!$E:$E, MATCH($A35, 'UZ-normalized'!$A:$A, 0))), 0), 0)))</f>
        <v>-1063</v>
      </c>
      <c r="Y35" s="6">
        <f>MIN(0, N35+(IFERROR(IF(11*INDEX('UA-normalized'!$D:$D, MATCH($A35, 'UA-normalized'!$A:$A, 0))-INDEX('UA-normalized'!$E:$E, MATCH($A35, 'UA-normalized'!$A:$A, 0))&gt;0, -(11*INDEX('UA-normalized'!$D:$D, MATCH($A35, 'UA-normalized'!$A:$A, 0))-INDEX('UA-normalized'!$E:$E, MATCH($A35, 'UA-normalized'!$A:$A, 0))), 0), 0))+(IFERROR(IF(11*INDEX('KZ-normalized'!$D:$D, MATCH($A35, 'KZ-normalized'!$A:$A, 0))-INDEX('KZ-normalized'!$E:$E, MATCH($A35, 'KZ-normalized'!$A:$A, 0))&gt;0, -(11*INDEX('KZ-normalized'!$D:$D, MATCH($A35, 'KZ-normalized'!$A:$A, 0))-INDEX('KZ-normalized'!$E:$E, MATCH($A35, 'KZ-normalized'!$A:$A, 0))), 0), 0))+(IFERROR(IF(11*INDEX('UZ-normalized'!$D:$D, MATCH($A35, 'UZ-normalized'!$A:$A, 0))-INDEX('UZ-normalized'!$E:$E, MATCH($A35, 'UZ-normalized'!$A:$A, 0))&gt;0, -(11*INDEX('UZ-normalized'!$D:$D, MATCH($A35, 'UZ-normalized'!$A:$A, 0))-INDEX('UZ-normalized'!$E:$E, MATCH($A35, 'UZ-normalized'!$A:$A, 0))), 0), 0)))</f>
        <v>-1225</v>
      </c>
      <c r="Z35" s="6">
        <f>MIN(0, N35+(IFERROR(IF(12*INDEX('UA-normalized'!$D:$D, MATCH($A35, 'UA-normalized'!$A:$A, 0))-INDEX('UA-normalized'!$E:$E, MATCH($A35, 'UA-normalized'!$A:$A, 0))&gt;0, -(12*INDEX('UA-normalized'!$D:$D, MATCH($A35, 'UA-normalized'!$A:$A, 0))-INDEX('UA-normalized'!$E:$E, MATCH($A35, 'UA-normalized'!$A:$A, 0))), 0), 0))+(IFERROR(IF(12*INDEX('KZ-normalized'!$D:$D, MATCH($A35, 'KZ-normalized'!$A:$A, 0))-INDEX('KZ-normalized'!$E:$E, MATCH($A35, 'KZ-normalized'!$A:$A, 0))&gt;0, -(12*INDEX('KZ-normalized'!$D:$D, MATCH($A35, 'KZ-normalized'!$A:$A, 0))-INDEX('KZ-normalized'!$E:$E, MATCH($A35, 'KZ-normalized'!$A:$A, 0))), 0), 0))+(IFERROR(IF(12*INDEX('UZ-normalized'!$D:$D, MATCH($A35, 'UZ-normalized'!$A:$A, 0))-INDEX('UZ-normalized'!$E:$E, MATCH($A35, 'UZ-normalized'!$A:$A, 0))&gt;0, -(12*INDEX('UZ-normalized'!$D:$D, MATCH($A35, 'UZ-normalized'!$A:$A, 0))-INDEX('UZ-normalized'!$E:$E, MATCH($A35, 'UZ-normalized'!$A:$A, 0))), 0), 0)))</f>
        <v>-1387</v>
      </c>
      <c r="AA35" s="6">
        <f>MIN(0, N35+(IFERROR(IF(13*INDEX('UA-normalized'!$D:$D, MATCH($A35, 'UA-normalized'!$A:$A, 0))-INDEX('UA-normalized'!$E:$E, MATCH($A35, 'UA-normalized'!$A:$A, 0))&gt;0, -(13*INDEX('UA-normalized'!$D:$D, MATCH($A35, 'UA-normalized'!$A:$A, 0))-INDEX('UA-normalized'!$E:$E, MATCH($A35, 'UA-normalized'!$A:$A, 0))), 0), 0))+(IFERROR(IF(13*INDEX('KZ-normalized'!$D:$D, MATCH($A35, 'KZ-normalized'!$A:$A, 0))-INDEX('KZ-normalized'!$E:$E, MATCH($A35, 'KZ-normalized'!$A:$A, 0))&gt;0, -(13*INDEX('KZ-normalized'!$D:$D, MATCH($A35, 'KZ-normalized'!$A:$A, 0))-INDEX('KZ-normalized'!$E:$E, MATCH($A35, 'KZ-normalized'!$A:$A, 0))), 0), 0))+(IFERROR(IF(13*INDEX('UZ-normalized'!$D:$D, MATCH($A35, 'UZ-normalized'!$A:$A, 0))-INDEX('UZ-normalized'!$E:$E, MATCH($A35, 'UZ-normalized'!$A:$A, 0))&gt;0, -(13*INDEX('UZ-normalized'!$D:$D, MATCH($A35, 'UZ-normalized'!$A:$A, 0))-INDEX('UZ-normalized'!$E:$E, MATCH($A35, 'UZ-normalized'!$A:$A, 0))), 0), 0)))</f>
        <v>-1549</v>
      </c>
      <c r="AB35" s="6">
        <f>MIN(0, N35+(IFERROR(IF(14*INDEX('UA-normalized'!$D:$D, MATCH($A35, 'UA-normalized'!$A:$A, 0))-INDEX('UA-normalized'!$E:$E, MATCH($A35, 'UA-normalized'!$A:$A, 0))&gt;0, -(14*INDEX('UA-normalized'!$D:$D, MATCH($A35, 'UA-normalized'!$A:$A, 0))-INDEX('UA-normalized'!$E:$E, MATCH($A35, 'UA-normalized'!$A:$A, 0))), 0), 0))+(IFERROR(IF(14*INDEX('KZ-normalized'!$D:$D, MATCH($A35, 'KZ-normalized'!$A:$A, 0))-INDEX('KZ-normalized'!$E:$E, MATCH($A35, 'KZ-normalized'!$A:$A, 0))&gt;0, -(14*INDEX('KZ-normalized'!$D:$D, MATCH($A35, 'KZ-normalized'!$A:$A, 0))-INDEX('KZ-normalized'!$E:$E, MATCH($A35, 'KZ-normalized'!$A:$A, 0))), 0), 0))+(IFERROR(IF(14*INDEX('UZ-normalized'!$D:$D, MATCH($A35, 'UZ-normalized'!$A:$A, 0))-INDEX('UZ-normalized'!$E:$E, MATCH($A35, 'UZ-normalized'!$A:$A, 0))&gt;0, -(14*INDEX('UZ-normalized'!$D:$D, MATCH($A35, 'UZ-normalized'!$A:$A, 0))-INDEX('UZ-normalized'!$E:$E, MATCH($A35, 'UZ-normalized'!$A:$A, 0))), 0), 0)))</f>
        <v>-1711</v>
      </c>
      <c r="AC35" s="6">
        <f>MIN(0, N35+(IFERROR(IF(15*INDEX('UA-normalized'!$D:$D, MATCH($A35, 'UA-normalized'!$A:$A, 0))-INDEX('UA-normalized'!$E:$E, MATCH($A35, 'UA-normalized'!$A:$A, 0))&gt;0, -(15*INDEX('UA-normalized'!$D:$D, MATCH($A35, 'UA-normalized'!$A:$A, 0))-INDEX('UA-normalized'!$E:$E, MATCH($A35, 'UA-normalized'!$A:$A, 0))), 0), 0))+(IFERROR(IF(15*INDEX('KZ-normalized'!$D:$D, MATCH($A35, 'KZ-normalized'!$A:$A, 0))-INDEX('KZ-normalized'!$E:$E, MATCH($A35, 'KZ-normalized'!$A:$A, 0))&gt;0, -(15*INDEX('KZ-normalized'!$D:$D, MATCH($A35, 'KZ-normalized'!$A:$A, 0))-INDEX('KZ-normalized'!$E:$E, MATCH($A35, 'KZ-normalized'!$A:$A, 0))), 0), 0))+(IFERROR(IF(15*INDEX('UZ-normalized'!$D:$D, MATCH($A35, 'UZ-normalized'!$A:$A, 0))-INDEX('UZ-normalized'!$E:$E, MATCH($A35, 'UZ-normalized'!$A:$A, 0))&gt;0, -(15*INDEX('UZ-normalized'!$D:$D, MATCH($A35, 'UZ-normalized'!$A:$A, 0))-INDEX('UZ-normalized'!$E:$E, MATCH($A35, 'UZ-normalized'!$A:$A, 0))), 0), 0)))</f>
        <v>-1873</v>
      </c>
      <c r="AD35" s="6">
        <f>MIN(0, N35+(IFERROR(IF(16*INDEX('UA-normalized'!$D:$D, MATCH($A35, 'UA-normalized'!$A:$A, 0))-INDEX('UA-normalized'!$E:$E, MATCH($A35, 'UA-normalized'!$A:$A, 0))&gt;0, -(16*INDEX('UA-normalized'!$D:$D, MATCH($A35, 'UA-normalized'!$A:$A, 0))-INDEX('UA-normalized'!$E:$E, MATCH($A35, 'UA-normalized'!$A:$A, 0))), 0), 0))+(IFERROR(IF(16*INDEX('KZ-normalized'!$D:$D, MATCH($A35, 'KZ-normalized'!$A:$A, 0))-INDEX('KZ-normalized'!$E:$E, MATCH($A35, 'KZ-normalized'!$A:$A, 0))&gt;0, -(16*INDEX('KZ-normalized'!$D:$D, MATCH($A35, 'KZ-normalized'!$A:$A, 0))-INDEX('KZ-normalized'!$E:$E, MATCH($A35, 'KZ-normalized'!$A:$A, 0))), 0), 0))+(IFERROR(IF(16*INDEX('UZ-normalized'!$D:$D, MATCH($A35, 'UZ-normalized'!$A:$A, 0))-INDEX('UZ-normalized'!$E:$E, MATCH($A35, 'UZ-normalized'!$A:$A, 0))&gt;0, -(16*INDEX('UZ-normalized'!$D:$D, MATCH($A35, 'UZ-normalized'!$A:$A, 0))-INDEX('UZ-normalized'!$E:$E, MATCH($A35, 'UZ-normalized'!$A:$A, 0))), 0), 0)))</f>
        <v>-2035</v>
      </c>
      <c r="AE35" s="6">
        <f>MIN(0, N35+(IFERROR(IF(17*INDEX('UA-normalized'!$D:$D, MATCH($A35, 'UA-normalized'!$A:$A, 0))-INDEX('UA-normalized'!$E:$E, MATCH($A35, 'UA-normalized'!$A:$A, 0))&gt;0, -(17*INDEX('UA-normalized'!$D:$D, MATCH($A35, 'UA-normalized'!$A:$A, 0))-INDEX('UA-normalized'!$E:$E, MATCH($A35, 'UA-normalized'!$A:$A, 0))), 0), 0))+(IFERROR(IF(17*INDEX('KZ-normalized'!$D:$D, MATCH($A35, 'KZ-normalized'!$A:$A, 0))-INDEX('KZ-normalized'!$E:$E, MATCH($A35, 'KZ-normalized'!$A:$A, 0))&gt;0, -(17*INDEX('KZ-normalized'!$D:$D, MATCH($A35, 'KZ-normalized'!$A:$A, 0))-INDEX('KZ-normalized'!$E:$E, MATCH($A35, 'KZ-normalized'!$A:$A, 0))), 0), 0))+(IFERROR(IF(17*INDEX('UZ-normalized'!$D:$D, MATCH($A35, 'UZ-normalized'!$A:$A, 0))-INDEX('UZ-normalized'!$E:$E, MATCH($A35, 'UZ-normalized'!$A:$A, 0))&gt;0, -(17*INDEX('UZ-normalized'!$D:$D, MATCH($A35, 'UZ-normalized'!$A:$A, 0))-INDEX('UZ-normalized'!$E:$E, MATCH($A35, 'UZ-normalized'!$A:$A, 0))), 0), 0)))</f>
        <v>-2197</v>
      </c>
      <c r="AF35" s="6">
        <f>MIN(0, N35+(IFERROR(IF(18*INDEX('UA-normalized'!$D:$D, MATCH($A35, 'UA-normalized'!$A:$A, 0))-INDEX('UA-normalized'!$E:$E, MATCH($A35, 'UA-normalized'!$A:$A, 0))&gt;0, -(18*INDEX('UA-normalized'!$D:$D, MATCH($A35, 'UA-normalized'!$A:$A, 0))-INDEX('UA-normalized'!$E:$E, MATCH($A35, 'UA-normalized'!$A:$A, 0))), 0), 0))+(IFERROR(IF(18*INDEX('KZ-normalized'!$D:$D, MATCH($A35, 'KZ-normalized'!$A:$A, 0))-INDEX('KZ-normalized'!$E:$E, MATCH($A35, 'KZ-normalized'!$A:$A, 0))&gt;0, -(18*INDEX('KZ-normalized'!$D:$D, MATCH($A35, 'KZ-normalized'!$A:$A, 0))-INDEX('KZ-normalized'!$E:$E, MATCH($A35, 'KZ-normalized'!$A:$A, 0))), 0), 0))+(IFERROR(IF(18*INDEX('UZ-normalized'!$D:$D, MATCH($A35, 'UZ-normalized'!$A:$A, 0))-INDEX('UZ-normalized'!$E:$E, MATCH($A35, 'UZ-normalized'!$A:$A, 0))&gt;0, -(18*INDEX('UZ-normalized'!$D:$D, MATCH($A35, 'UZ-normalized'!$A:$A, 0))-INDEX('UZ-normalized'!$E:$E, MATCH($A35, 'UZ-normalized'!$A:$A, 0))), 0), 0)))</f>
        <v>-2359</v>
      </c>
      <c r="AG35" s="6">
        <f>MIN(0, N35+(IFERROR(IF(19*INDEX('UA-normalized'!$D:$D, MATCH($A35, 'UA-normalized'!$A:$A, 0))-INDEX('UA-normalized'!$E:$E, MATCH($A35, 'UA-normalized'!$A:$A, 0))&gt;0, -(19*INDEX('UA-normalized'!$D:$D, MATCH($A35, 'UA-normalized'!$A:$A, 0))-INDEX('UA-normalized'!$E:$E, MATCH($A35, 'UA-normalized'!$A:$A, 0))), 0), 0))+(IFERROR(IF(19*INDEX('KZ-normalized'!$D:$D, MATCH($A35, 'KZ-normalized'!$A:$A, 0))-INDEX('KZ-normalized'!$E:$E, MATCH($A35, 'KZ-normalized'!$A:$A, 0))&gt;0, -(19*INDEX('KZ-normalized'!$D:$D, MATCH($A35, 'KZ-normalized'!$A:$A, 0))-INDEX('KZ-normalized'!$E:$E, MATCH($A35, 'KZ-normalized'!$A:$A, 0))), 0), 0))+(IFERROR(IF(19*INDEX('UZ-normalized'!$D:$D, MATCH($A35, 'UZ-normalized'!$A:$A, 0))-INDEX('UZ-normalized'!$E:$E, MATCH($A35, 'UZ-normalized'!$A:$A, 0))&gt;0, -(19*INDEX('UZ-normalized'!$D:$D, MATCH($A35, 'UZ-normalized'!$A:$A, 0))-INDEX('UZ-normalized'!$E:$E, MATCH($A35, 'UZ-normalized'!$A:$A, 0))), 0), 0)))</f>
        <v>-2521</v>
      </c>
      <c r="AH35" s="6">
        <f>MIN(0, N35+(IFERROR(IF(20*INDEX('UA-normalized'!$D:$D, MATCH($A35, 'UA-normalized'!$A:$A, 0))-INDEX('UA-normalized'!$E:$E, MATCH($A35, 'UA-normalized'!$A:$A, 0))&gt;0, -(20*INDEX('UA-normalized'!$D:$D, MATCH($A35, 'UA-normalized'!$A:$A, 0))-INDEX('UA-normalized'!$E:$E, MATCH($A35, 'UA-normalized'!$A:$A, 0))), 0), 0))+(IFERROR(IF(20*INDEX('KZ-normalized'!$D:$D, MATCH($A35, 'KZ-normalized'!$A:$A, 0))-INDEX('KZ-normalized'!$E:$E, MATCH($A35, 'KZ-normalized'!$A:$A, 0))&gt;0, -(20*INDEX('KZ-normalized'!$D:$D, MATCH($A35, 'KZ-normalized'!$A:$A, 0))-INDEX('KZ-normalized'!$E:$E, MATCH($A35, 'KZ-normalized'!$A:$A, 0))), 0), 0))+(IFERROR(IF(20*INDEX('UZ-normalized'!$D:$D, MATCH($A35, 'UZ-normalized'!$A:$A, 0))-INDEX('UZ-normalized'!$E:$E, MATCH($A35, 'UZ-normalized'!$A:$A, 0))&gt;0, -(20*INDEX('UZ-normalized'!$D:$D, MATCH($A35, 'UZ-normalized'!$A:$A, 0))-INDEX('UZ-normalized'!$E:$E, MATCH($A35, 'UZ-normalized'!$A:$A, 0))), 0), 0)))</f>
        <v>-2683</v>
      </c>
      <c r="AI35" s="6">
        <f>MIN(0, N35+(IFERROR(IF(21*INDEX('UA-normalized'!$D:$D, MATCH($A35, 'UA-normalized'!$A:$A, 0))-INDEX('UA-normalized'!$E:$E, MATCH($A35, 'UA-normalized'!$A:$A, 0))&gt;0, -(21*INDEX('UA-normalized'!$D:$D, MATCH($A35, 'UA-normalized'!$A:$A, 0))-INDEX('UA-normalized'!$E:$E, MATCH($A35, 'UA-normalized'!$A:$A, 0))), 0), 0))+(IFERROR(IF(21*INDEX('KZ-normalized'!$D:$D, MATCH($A35, 'KZ-normalized'!$A:$A, 0))-INDEX('KZ-normalized'!$E:$E, MATCH($A35, 'KZ-normalized'!$A:$A, 0))&gt;0, -(21*INDEX('KZ-normalized'!$D:$D, MATCH($A35, 'KZ-normalized'!$A:$A, 0))-INDEX('KZ-normalized'!$E:$E, MATCH($A35, 'KZ-normalized'!$A:$A, 0))), 0), 0))+(IFERROR(IF(21*INDEX('UZ-normalized'!$D:$D, MATCH($A35, 'UZ-normalized'!$A:$A, 0))-INDEX('UZ-normalized'!$E:$E, MATCH($A35, 'UZ-normalized'!$A:$A, 0))&gt;0, -(21*INDEX('UZ-normalized'!$D:$D, MATCH($A35, 'UZ-normalized'!$A:$A, 0))-INDEX('UZ-normalized'!$E:$E, MATCH($A35, 'UZ-normalized'!$A:$A, 0))), 0), 0)))</f>
        <v>-2845</v>
      </c>
      <c r="AJ35" s="6">
        <f>MIN(0, N35+(IFERROR(IF(22*INDEX('UA-normalized'!$D:$D, MATCH($A35, 'UA-normalized'!$A:$A, 0))-INDEX('UA-normalized'!$E:$E, MATCH($A35, 'UA-normalized'!$A:$A, 0))&gt;0, -(22*INDEX('UA-normalized'!$D:$D, MATCH($A35, 'UA-normalized'!$A:$A, 0))-INDEX('UA-normalized'!$E:$E, MATCH($A35, 'UA-normalized'!$A:$A, 0))), 0), 0))+(IFERROR(IF(22*INDEX('KZ-normalized'!$D:$D, MATCH($A35, 'KZ-normalized'!$A:$A, 0))-INDEX('KZ-normalized'!$E:$E, MATCH($A35, 'KZ-normalized'!$A:$A, 0))&gt;0, -(22*INDEX('KZ-normalized'!$D:$D, MATCH($A35, 'KZ-normalized'!$A:$A, 0))-INDEX('KZ-normalized'!$E:$E, MATCH($A35, 'KZ-normalized'!$A:$A, 0))), 0), 0))+(IFERROR(IF(22*INDEX('UZ-normalized'!$D:$D, MATCH($A35, 'UZ-normalized'!$A:$A, 0))-INDEX('UZ-normalized'!$E:$E, MATCH($A35, 'UZ-normalized'!$A:$A, 0))&gt;0, -(22*INDEX('UZ-normalized'!$D:$D, MATCH($A35, 'UZ-normalized'!$A:$A, 0))-INDEX('UZ-normalized'!$E:$E, MATCH($A35, 'UZ-normalized'!$A:$A, 0))), 0), 0)))</f>
        <v>-3007</v>
      </c>
      <c r="AK35" s="6">
        <f>MIN(0, N35+(IFERROR(IF(23*INDEX('UA-normalized'!$D:$D, MATCH($A35, 'UA-normalized'!$A:$A, 0))-INDEX('UA-normalized'!$E:$E, MATCH($A35, 'UA-normalized'!$A:$A, 0))&gt;0, -(23*INDEX('UA-normalized'!$D:$D, MATCH($A35, 'UA-normalized'!$A:$A, 0))-INDEX('UA-normalized'!$E:$E, MATCH($A35, 'UA-normalized'!$A:$A, 0))), 0), 0))+(IFERROR(IF(23*INDEX('KZ-normalized'!$D:$D, MATCH($A35, 'KZ-normalized'!$A:$A, 0))-INDEX('KZ-normalized'!$E:$E, MATCH($A35, 'KZ-normalized'!$A:$A, 0))&gt;0, -(23*INDEX('KZ-normalized'!$D:$D, MATCH($A35, 'KZ-normalized'!$A:$A, 0))-INDEX('KZ-normalized'!$E:$E, MATCH($A35, 'KZ-normalized'!$A:$A, 0))), 0), 0))+(IFERROR(IF(23*INDEX('UZ-normalized'!$D:$D, MATCH($A35, 'UZ-normalized'!$A:$A, 0))-INDEX('UZ-normalized'!$E:$E, MATCH($A35, 'UZ-normalized'!$A:$A, 0))&gt;0, -(23*INDEX('UZ-normalized'!$D:$D, MATCH($A35, 'UZ-normalized'!$A:$A, 0))-INDEX('UZ-normalized'!$E:$E, MATCH($A35, 'UZ-normalized'!$A:$A, 0))), 0), 0)))</f>
        <v>-3169</v>
      </c>
      <c r="AL35" s="6">
        <f>MIN(0, N35+(IFERROR(IF(24*INDEX('UA-normalized'!$D:$D, MATCH($A35, 'UA-normalized'!$A:$A, 0))-INDEX('UA-normalized'!$E:$E, MATCH($A35, 'UA-normalized'!$A:$A, 0))&gt;0, -(24*INDEX('UA-normalized'!$D:$D, MATCH($A35, 'UA-normalized'!$A:$A, 0))-INDEX('UA-normalized'!$E:$E, MATCH($A35, 'UA-normalized'!$A:$A, 0))), 0), 0))+(IFERROR(IF(24*INDEX('KZ-normalized'!$D:$D, MATCH($A35, 'KZ-normalized'!$A:$A, 0))-INDEX('KZ-normalized'!$E:$E, MATCH($A35, 'KZ-normalized'!$A:$A, 0))&gt;0, -(24*INDEX('KZ-normalized'!$D:$D, MATCH($A35, 'KZ-normalized'!$A:$A, 0))-INDEX('KZ-normalized'!$E:$E, MATCH($A35, 'KZ-normalized'!$A:$A, 0))), 0), 0))+(IFERROR(IF(24*INDEX('UZ-normalized'!$D:$D, MATCH($A35, 'UZ-normalized'!$A:$A, 0))-INDEX('UZ-normalized'!$E:$E, MATCH($A35, 'UZ-normalized'!$A:$A, 0))&gt;0, -(24*INDEX('UZ-normalized'!$D:$D, MATCH($A35, 'UZ-normalized'!$A:$A, 0))-INDEX('UZ-normalized'!$E:$E, MATCH($A35, 'UZ-normalized'!$A:$A, 0))), 0), 0)))</f>
        <v>-3331</v>
      </c>
      <c r="AM35" s="6">
        <f>MIN(0, N35+(IFERROR(IF(25*INDEX('UA-normalized'!$D:$D, MATCH($A35, 'UA-normalized'!$A:$A, 0))-INDEX('UA-normalized'!$E:$E, MATCH($A35, 'UA-normalized'!$A:$A, 0))&gt;0, -(25*INDEX('UA-normalized'!$D:$D, MATCH($A35, 'UA-normalized'!$A:$A, 0))-INDEX('UA-normalized'!$E:$E, MATCH($A35, 'UA-normalized'!$A:$A, 0))), 0), 0))+(IFERROR(IF(25*INDEX('KZ-normalized'!$D:$D, MATCH($A35, 'KZ-normalized'!$A:$A, 0))-INDEX('KZ-normalized'!$E:$E, MATCH($A35, 'KZ-normalized'!$A:$A, 0))&gt;0, -(25*INDEX('KZ-normalized'!$D:$D, MATCH($A35, 'KZ-normalized'!$A:$A, 0))-INDEX('KZ-normalized'!$E:$E, MATCH($A35, 'KZ-normalized'!$A:$A, 0))), 0), 0))+(IFERROR(IF(25*INDEX('UZ-normalized'!$D:$D, MATCH($A35, 'UZ-normalized'!$A:$A, 0))-INDEX('UZ-normalized'!$E:$E, MATCH($A35, 'UZ-normalized'!$A:$A, 0))&gt;0, -(25*INDEX('UZ-normalized'!$D:$D, MATCH($A35, 'UZ-normalized'!$A:$A, 0))-INDEX('UZ-normalized'!$E:$E, MATCH($A35, 'UZ-normalized'!$A:$A, 0))), 0), 0)))</f>
        <v>-3493.25</v>
      </c>
      <c r="AN35" s="6">
        <f>MIN(0, N35+(IFERROR(IF(26*INDEX('UA-normalized'!$D:$D, MATCH($A35, 'UA-normalized'!$A:$A, 0))-INDEX('UA-normalized'!$E:$E, MATCH($A35, 'UA-normalized'!$A:$A, 0))&gt;0, -(26*INDEX('UA-normalized'!$D:$D, MATCH($A35, 'UA-normalized'!$A:$A, 0))-INDEX('UA-normalized'!$E:$E, MATCH($A35, 'UA-normalized'!$A:$A, 0))), 0), 0))+(IFERROR(IF(26*INDEX('KZ-normalized'!$D:$D, MATCH($A35, 'KZ-normalized'!$A:$A, 0))-INDEX('KZ-normalized'!$E:$E, MATCH($A35, 'KZ-normalized'!$A:$A, 0))&gt;0, -(26*INDEX('KZ-normalized'!$D:$D, MATCH($A35, 'KZ-normalized'!$A:$A, 0))-INDEX('KZ-normalized'!$E:$E, MATCH($A35, 'KZ-normalized'!$A:$A, 0))), 0), 0))+(IFERROR(IF(26*INDEX('UZ-normalized'!$D:$D, MATCH($A35, 'UZ-normalized'!$A:$A, 0))-INDEX('UZ-normalized'!$E:$E, MATCH($A35, 'UZ-normalized'!$A:$A, 0))&gt;0, -(26*INDEX('UZ-normalized'!$D:$D, MATCH($A35, 'UZ-normalized'!$A:$A, 0))-INDEX('UZ-normalized'!$E:$E, MATCH($A35, 'UZ-normalized'!$A:$A, 0))), 0), 0)))</f>
        <v>-3655.5</v>
      </c>
      <c r="AO35" s="6">
        <f>MIN(0, N35+(IFERROR(IF(27*INDEX('UA-normalized'!$D:$D, MATCH($A35, 'UA-normalized'!$A:$A, 0))-INDEX('UA-normalized'!$E:$E, MATCH($A35, 'UA-normalized'!$A:$A, 0))&gt;0, -(27*INDEX('UA-normalized'!$D:$D, MATCH($A35, 'UA-normalized'!$A:$A, 0))-INDEX('UA-normalized'!$E:$E, MATCH($A35, 'UA-normalized'!$A:$A, 0))), 0), 0))+(IFERROR(IF(27*INDEX('KZ-normalized'!$D:$D, MATCH($A35, 'KZ-normalized'!$A:$A, 0))-INDEX('KZ-normalized'!$E:$E, MATCH($A35, 'KZ-normalized'!$A:$A, 0))&gt;0, -(27*INDEX('KZ-normalized'!$D:$D, MATCH($A35, 'KZ-normalized'!$A:$A, 0))-INDEX('KZ-normalized'!$E:$E, MATCH($A35, 'KZ-normalized'!$A:$A, 0))), 0), 0))+(IFERROR(IF(27*INDEX('UZ-normalized'!$D:$D, MATCH($A35, 'UZ-normalized'!$A:$A, 0))-INDEX('UZ-normalized'!$E:$E, MATCH($A35, 'UZ-normalized'!$A:$A, 0))&gt;0, -(27*INDEX('UZ-normalized'!$D:$D, MATCH($A35, 'UZ-normalized'!$A:$A, 0))-INDEX('UZ-normalized'!$E:$E, MATCH($A35, 'UZ-normalized'!$A:$A, 0))), 0), 0)))</f>
        <v>-3817.75</v>
      </c>
      <c r="AP35" s="6">
        <f>MIN(0, N35+(IFERROR(IF(28*INDEX('UA-normalized'!$D:$D, MATCH($A35, 'UA-normalized'!$A:$A, 0))-INDEX('UA-normalized'!$E:$E, MATCH($A35, 'UA-normalized'!$A:$A, 0))&gt;0, -(28*INDEX('UA-normalized'!$D:$D, MATCH($A35, 'UA-normalized'!$A:$A, 0))-INDEX('UA-normalized'!$E:$E, MATCH($A35, 'UA-normalized'!$A:$A, 0))), 0), 0))+(IFERROR(IF(28*INDEX('KZ-normalized'!$D:$D, MATCH($A35, 'KZ-normalized'!$A:$A, 0))-INDEX('KZ-normalized'!$E:$E, MATCH($A35, 'KZ-normalized'!$A:$A, 0))&gt;0, -(28*INDEX('KZ-normalized'!$D:$D, MATCH($A35, 'KZ-normalized'!$A:$A, 0))-INDEX('KZ-normalized'!$E:$E, MATCH($A35, 'KZ-normalized'!$A:$A, 0))), 0), 0))+(IFERROR(IF(28*INDEX('UZ-normalized'!$D:$D, MATCH($A35, 'UZ-normalized'!$A:$A, 0))-INDEX('UZ-normalized'!$E:$E, MATCH($A35, 'UZ-normalized'!$A:$A, 0))&gt;0, -(28*INDEX('UZ-normalized'!$D:$D, MATCH($A35, 'UZ-normalized'!$A:$A, 0))-INDEX('UZ-normalized'!$E:$E, MATCH($A35, 'UZ-normalized'!$A:$A, 0))), 0), 0)))</f>
        <v>-3980</v>
      </c>
      <c r="AQ35" s="6">
        <f>MIN(0, N35+(IFERROR(IF(29*INDEX('UA-normalized'!$D:$D, MATCH($A35, 'UA-normalized'!$A:$A, 0))-INDEX('UA-normalized'!$E:$E, MATCH($A35, 'UA-normalized'!$A:$A, 0))&gt;0, -(29*INDEX('UA-normalized'!$D:$D, MATCH($A35, 'UA-normalized'!$A:$A, 0))-INDEX('UA-normalized'!$E:$E, MATCH($A35, 'UA-normalized'!$A:$A, 0))), 0), 0))+(IFERROR(IF(29*INDEX('KZ-normalized'!$D:$D, MATCH($A35, 'KZ-normalized'!$A:$A, 0))-INDEX('KZ-normalized'!$E:$E, MATCH($A35, 'KZ-normalized'!$A:$A, 0))&gt;0, -(29*INDEX('KZ-normalized'!$D:$D, MATCH($A35, 'KZ-normalized'!$A:$A, 0))-INDEX('KZ-normalized'!$E:$E, MATCH($A35, 'KZ-normalized'!$A:$A, 0))), 0), 0))+(IFERROR(IF(29*INDEX('UZ-normalized'!$D:$D, MATCH($A35, 'UZ-normalized'!$A:$A, 0))-INDEX('UZ-normalized'!$E:$E, MATCH($A35, 'UZ-normalized'!$A:$A, 0))&gt;0, -(29*INDEX('UZ-normalized'!$D:$D, MATCH($A35, 'UZ-normalized'!$A:$A, 0))-INDEX('UZ-normalized'!$E:$E, MATCH($A35, 'UZ-normalized'!$A:$A, 0))), 0), 0)))</f>
        <v>-4142.25</v>
      </c>
      <c r="AR35" s="6">
        <f>MIN(0, N35+(IFERROR(IF(30*INDEX('UA-normalized'!$D:$D, MATCH($A35, 'UA-normalized'!$A:$A, 0))-INDEX('UA-normalized'!$E:$E, MATCH($A35, 'UA-normalized'!$A:$A, 0))&gt;0, -(30*INDEX('UA-normalized'!$D:$D, MATCH($A35, 'UA-normalized'!$A:$A, 0))-INDEX('UA-normalized'!$E:$E, MATCH($A35, 'UA-normalized'!$A:$A, 0))), 0), 0))+(IFERROR(IF(30*INDEX('KZ-normalized'!$D:$D, MATCH($A35, 'KZ-normalized'!$A:$A, 0))-INDEX('KZ-normalized'!$E:$E, MATCH($A35, 'KZ-normalized'!$A:$A, 0))&gt;0, -(30*INDEX('KZ-normalized'!$D:$D, MATCH($A35, 'KZ-normalized'!$A:$A, 0))-INDEX('KZ-normalized'!$E:$E, MATCH($A35, 'KZ-normalized'!$A:$A, 0))), 0), 0))+(IFERROR(IF(30*INDEX('UZ-normalized'!$D:$D, MATCH($A35, 'UZ-normalized'!$A:$A, 0))-INDEX('UZ-normalized'!$E:$E, MATCH($A35, 'UZ-normalized'!$A:$A, 0))&gt;0, -(30*INDEX('UZ-normalized'!$D:$D, MATCH($A35, 'UZ-normalized'!$A:$A, 0))-INDEX('UZ-normalized'!$E:$E, MATCH($A35, 'UZ-normalized'!$A:$A, 0))), 0), 0)))</f>
        <v>-4304.5</v>
      </c>
    </row>
    <row r="36" spans="1:44" x14ac:dyDescent="0.25">
      <c r="A36" s="8" t="s">
        <v>118</v>
      </c>
      <c r="B36" s="8" t="s">
        <v>83</v>
      </c>
      <c r="C36" s="8" t="s">
        <v>105</v>
      </c>
      <c r="D36" s="8" t="s">
        <v>119</v>
      </c>
      <c r="N36">
        <f t="shared" si="0"/>
        <v>0</v>
      </c>
      <c r="O36" s="6">
        <f>MIN(0, N36+(IFERROR(IF(1*INDEX('UA-normalized'!$D:$D, MATCH($A36, 'UA-normalized'!$A:$A, 0))-INDEX('UA-normalized'!$E:$E, MATCH($A36, 'UA-normalized'!$A:$A, 0))&gt;0, -(1*INDEX('UA-normalized'!$D:$D, MATCH($A36, 'UA-normalized'!$A:$A, 0))-INDEX('UA-normalized'!$E:$E, MATCH($A36, 'UA-normalized'!$A:$A, 0))), 0), 0))+(IFERROR(IF(1*INDEX('KZ-normalized'!$D:$D, MATCH($A36, 'KZ-normalized'!$A:$A, 0))-INDEX('KZ-normalized'!$E:$E, MATCH($A36, 'KZ-normalized'!$A:$A, 0))&gt;0, -(1*INDEX('KZ-normalized'!$D:$D, MATCH($A36, 'KZ-normalized'!$A:$A, 0))-INDEX('KZ-normalized'!$E:$E, MATCH($A36, 'KZ-normalized'!$A:$A, 0))), 0), 0))+(IFERROR(IF(1*INDEX('UZ-normalized'!$D:$D, MATCH($A36, 'UZ-normalized'!$A:$A, 0))-INDEX('UZ-normalized'!$E:$E, MATCH($A36, 'UZ-normalized'!$A:$A, 0))&gt;0, -(1*INDEX('UZ-normalized'!$D:$D, MATCH($A36, 'UZ-normalized'!$A:$A, 0))-INDEX('UZ-normalized'!$E:$E, MATCH($A36, 'UZ-normalized'!$A:$A, 0))), 0), 0)))</f>
        <v>0</v>
      </c>
      <c r="P36" s="6">
        <f>MIN(0, N36+(IFERROR(IF(2*INDEX('UA-normalized'!$D:$D, MATCH($A36, 'UA-normalized'!$A:$A, 0))-INDEX('UA-normalized'!$E:$E, MATCH($A36, 'UA-normalized'!$A:$A, 0))&gt;0, -(2*INDEX('UA-normalized'!$D:$D, MATCH($A36, 'UA-normalized'!$A:$A, 0))-INDEX('UA-normalized'!$E:$E, MATCH($A36, 'UA-normalized'!$A:$A, 0))), 0), 0))+(IFERROR(IF(2*INDEX('KZ-normalized'!$D:$D, MATCH($A36, 'KZ-normalized'!$A:$A, 0))-INDEX('KZ-normalized'!$E:$E, MATCH($A36, 'KZ-normalized'!$A:$A, 0))&gt;0, -(2*INDEX('KZ-normalized'!$D:$D, MATCH($A36, 'KZ-normalized'!$A:$A, 0))-INDEX('KZ-normalized'!$E:$E, MATCH($A36, 'KZ-normalized'!$A:$A, 0))), 0), 0))+(IFERROR(IF(2*INDEX('UZ-normalized'!$D:$D, MATCH($A36, 'UZ-normalized'!$A:$A, 0))-INDEX('UZ-normalized'!$E:$E, MATCH($A36, 'UZ-normalized'!$A:$A, 0))&gt;0, -(2*INDEX('UZ-normalized'!$D:$D, MATCH($A36, 'UZ-normalized'!$A:$A, 0))-INDEX('UZ-normalized'!$E:$E, MATCH($A36, 'UZ-normalized'!$A:$A, 0))), 0), 0)))</f>
        <v>0</v>
      </c>
      <c r="Q36" s="6">
        <f>MIN(0, N36+(IFERROR(IF(3*INDEX('UA-normalized'!$D:$D, MATCH($A36, 'UA-normalized'!$A:$A, 0))-INDEX('UA-normalized'!$E:$E, MATCH($A36, 'UA-normalized'!$A:$A, 0))&gt;0, -(3*INDEX('UA-normalized'!$D:$D, MATCH($A36, 'UA-normalized'!$A:$A, 0))-INDEX('UA-normalized'!$E:$E, MATCH($A36, 'UA-normalized'!$A:$A, 0))), 0), 0))+(IFERROR(IF(3*INDEX('KZ-normalized'!$D:$D, MATCH($A36, 'KZ-normalized'!$A:$A, 0))-INDEX('KZ-normalized'!$E:$E, MATCH($A36, 'KZ-normalized'!$A:$A, 0))&gt;0, -(3*INDEX('KZ-normalized'!$D:$D, MATCH($A36, 'KZ-normalized'!$A:$A, 0))-INDEX('KZ-normalized'!$E:$E, MATCH($A36, 'KZ-normalized'!$A:$A, 0))), 0), 0))+(IFERROR(IF(3*INDEX('UZ-normalized'!$D:$D, MATCH($A36, 'UZ-normalized'!$A:$A, 0))-INDEX('UZ-normalized'!$E:$E, MATCH($A36, 'UZ-normalized'!$A:$A, 0))&gt;0, -(3*INDEX('UZ-normalized'!$D:$D, MATCH($A36, 'UZ-normalized'!$A:$A, 0))-INDEX('UZ-normalized'!$E:$E, MATCH($A36, 'UZ-normalized'!$A:$A, 0))), 0), 0)))</f>
        <v>0</v>
      </c>
      <c r="R36" s="6">
        <f>MIN(0, N36+(IFERROR(IF(4*INDEX('UA-normalized'!$D:$D, MATCH($A36, 'UA-normalized'!$A:$A, 0))-INDEX('UA-normalized'!$E:$E, MATCH($A36, 'UA-normalized'!$A:$A, 0))&gt;0, -(4*INDEX('UA-normalized'!$D:$D, MATCH($A36, 'UA-normalized'!$A:$A, 0))-INDEX('UA-normalized'!$E:$E, MATCH($A36, 'UA-normalized'!$A:$A, 0))), 0), 0))+(IFERROR(IF(4*INDEX('KZ-normalized'!$D:$D, MATCH($A36, 'KZ-normalized'!$A:$A, 0))-INDEX('KZ-normalized'!$E:$E, MATCH($A36, 'KZ-normalized'!$A:$A, 0))&gt;0, -(4*INDEX('KZ-normalized'!$D:$D, MATCH($A36, 'KZ-normalized'!$A:$A, 0))-INDEX('KZ-normalized'!$E:$E, MATCH($A36, 'KZ-normalized'!$A:$A, 0))), 0), 0))+(IFERROR(IF(4*INDEX('UZ-normalized'!$D:$D, MATCH($A36, 'UZ-normalized'!$A:$A, 0))-INDEX('UZ-normalized'!$E:$E, MATCH($A36, 'UZ-normalized'!$A:$A, 0))&gt;0, -(4*INDEX('UZ-normalized'!$D:$D, MATCH($A36, 'UZ-normalized'!$A:$A, 0))-INDEX('UZ-normalized'!$E:$E, MATCH($A36, 'UZ-normalized'!$A:$A, 0))), 0), 0)))</f>
        <v>0</v>
      </c>
      <c r="S36" s="6">
        <f>MIN(0, N36+(IFERROR(IF(5*INDEX('UA-normalized'!$D:$D, MATCH($A36, 'UA-normalized'!$A:$A, 0))-INDEX('UA-normalized'!$E:$E, MATCH($A36, 'UA-normalized'!$A:$A, 0))&gt;0, -(5*INDEX('UA-normalized'!$D:$D, MATCH($A36, 'UA-normalized'!$A:$A, 0))-INDEX('UA-normalized'!$E:$E, MATCH($A36, 'UA-normalized'!$A:$A, 0))), 0), 0))+(IFERROR(IF(5*INDEX('KZ-normalized'!$D:$D, MATCH($A36, 'KZ-normalized'!$A:$A, 0))-INDEX('KZ-normalized'!$E:$E, MATCH($A36, 'KZ-normalized'!$A:$A, 0))&gt;0, -(5*INDEX('KZ-normalized'!$D:$D, MATCH($A36, 'KZ-normalized'!$A:$A, 0))-INDEX('KZ-normalized'!$E:$E, MATCH($A36, 'KZ-normalized'!$A:$A, 0))), 0), 0))+(IFERROR(IF(5*INDEX('UZ-normalized'!$D:$D, MATCH($A36, 'UZ-normalized'!$A:$A, 0))-INDEX('UZ-normalized'!$E:$E, MATCH($A36, 'UZ-normalized'!$A:$A, 0))&gt;0, -(5*INDEX('UZ-normalized'!$D:$D, MATCH($A36, 'UZ-normalized'!$A:$A, 0))-INDEX('UZ-normalized'!$E:$E, MATCH($A36, 'UZ-normalized'!$A:$A, 0))), 0), 0)))</f>
        <v>0</v>
      </c>
      <c r="T36" s="6">
        <f>MIN(0, N36+(IFERROR(IF(6*INDEX('UA-normalized'!$D:$D, MATCH($A36, 'UA-normalized'!$A:$A, 0))-INDEX('UA-normalized'!$E:$E, MATCH($A36, 'UA-normalized'!$A:$A, 0))&gt;0, -(6*INDEX('UA-normalized'!$D:$D, MATCH($A36, 'UA-normalized'!$A:$A, 0))-INDEX('UA-normalized'!$E:$E, MATCH($A36, 'UA-normalized'!$A:$A, 0))), 0), 0))+(IFERROR(IF(6*INDEX('KZ-normalized'!$D:$D, MATCH($A36, 'KZ-normalized'!$A:$A, 0))-INDEX('KZ-normalized'!$E:$E, MATCH($A36, 'KZ-normalized'!$A:$A, 0))&gt;0, -(6*INDEX('KZ-normalized'!$D:$D, MATCH($A36, 'KZ-normalized'!$A:$A, 0))-INDEX('KZ-normalized'!$E:$E, MATCH($A36, 'KZ-normalized'!$A:$A, 0))), 0), 0))+(IFERROR(IF(6*INDEX('UZ-normalized'!$D:$D, MATCH($A36, 'UZ-normalized'!$A:$A, 0))-INDEX('UZ-normalized'!$E:$E, MATCH($A36, 'UZ-normalized'!$A:$A, 0))&gt;0, -(6*INDEX('UZ-normalized'!$D:$D, MATCH($A36, 'UZ-normalized'!$A:$A, 0))-INDEX('UZ-normalized'!$E:$E, MATCH($A36, 'UZ-normalized'!$A:$A, 0))), 0), 0)))</f>
        <v>0</v>
      </c>
      <c r="U36" s="6">
        <f>MIN(0, N36+(IFERROR(IF(7*INDEX('UA-normalized'!$D:$D, MATCH($A36, 'UA-normalized'!$A:$A, 0))-INDEX('UA-normalized'!$E:$E, MATCH($A36, 'UA-normalized'!$A:$A, 0))&gt;0, -(7*INDEX('UA-normalized'!$D:$D, MATCH($A36, 'UA-normalized'!$A:$A, 0))-INDEX('UA-normalized'!$E:$E, MATCH($A36, 'UA-normalized'!$A:$A, 0))), 0), 0))+(IFERROR(IF(7*INDEX('KZ-normalized'!$D:$D, MATCH($A36, 'KZ-normalized'!$A:$A, 0))-INDEX('KZ-normalized'!$E:$E, MATCH($A36, 'KZ-normalized'!$A:$A, 0))&gt;0, -(7*INDEX('KZ-normalized'!$D:$D, MATCH($A36, 'KZ-normalized'!$A:$A, 0))-INDEX('KZ-normalized'!$E:$E, MATCH($A36, 'KZ-normalized'!$A:$A, 0))), 0), 0))+(IFERROR(IF(7*INDEX('UZ-normalized'!$D:$D, MATCH($A36, 'UZ-normalized'!$A:$A, 0))-INDEX('UZ-normalized'!$E:$E, MATCH($A36, 'UZ-normalized'!$A:$A, 0))&gt;0, -(7*INDEX('UZ-normalized'!$D:$D, MATCH($A36, 'UZ-normalized'!$A:$A, 0))-INDEX('UZ-normalized'!$E:$E, MATCH($A36, 'UZ-normalized'!$A:$A, 0))), 0), 0)))</f>
        <v>0</v>
      </c>
      <c r="V36" s="6">
        <f>MIN(0, N36+(IFERROR(IF(8*INDEX('UA-normalized'!$D:$D, MATCH($A36, 'UA-normalized'!$A:$A, 0))-INDEX('UA-normalized'!$E:$E, MATCH($A36, 'UA-normalized'!$A:$A, 0))&gt;0, -(8*INDEX('UA-normalized'!$D:$D, MATCH($A36, 'UA-normalized'!$A:$A, 0))-INDEX('UA-normalized'!$E:$E, MATCH($A36, 'UA-normalized'!$A:$A, 0))), 0), 0))+(IFERROR(IF(8*INDEX('KZ-normalized'!$D:$D, MATCH($A36, 'KZ-normalized'!$A:$A, 0))-INDEX('KZ-normalized'!$E:$E, MATCH($A36, 'KZ-normalized'!$A:$A, 0))&gt;0, -(8*INDEX('KZ-normalized'!$D:$D, MATCH($A36, 'KZ-normalized'!$A:$A, 0))-INDEX('KZ-normalized'!$E:$E, MATCH($A36, 'KZ-normalized'!$A:$A, 0))), 0), 0))+(IFERROR(IF(8*INDEX('UZ-normalized'!$D:$D, MATCH($A36, 'UZ-normalized'!$A:$A, 0))-INDEX('UZ-normalized'!$E:$E, MATCH($A36, 'UZ-normalized'!$A:$A, 0))&gt;0, -(8*INDEX('UZ-normalized'!$D:$D, MATCH($A36, 'UZ-normalized'!$A:$A, 0))-INDEX('UZ-normalized'!$E:$E, MATCH($A36, 'UZ-normalized'!$A:$A, 0))), 0), 0)))</f>
        <v>0</v>
      </c>
      <c r="W36" s="6">
        <f>MIN(0, N36+(IFERROR(IF(9*INDEX('UA-normalized'!$D:$D, MATCH($A36, 'UA-normalized'!$A:$A, 0))-INDEX('UA-normalized'!$E:$E, MATCH($A36, 'UA-normalized'!$A:$A, 0))&gt;0, -(9*INDEX('UA-normalized'!$D:$D, MATCH($A36, 'UA-normalized'!$A:$A, 0))-INDEX('UA-normalized'!$E:$E, MATCH($A36, 'UA-normalized'!$A:$A, 0))), 0), 0))+(IFERROR(IF(9*INDEX('KZ-normalized'!$D:$D, MATCH($A36, 'KZ-normalized'!$A:$A, 0))-INDEX('KZ-normalized'!$E:$E, MATCH($A36, 'KZ-normalized'!$A:$A, 0))&gt;0, -(9*INDEX('KZ-normalized'!$D:$D, MATCH($A36, 'KZ-normalized'!$A:$A, 0))-INDEX('KZ-normalized'!$E:$E, MATCH($A36, 'KZ-normalized'!$A:$A, 0))), 0), 0))+(IFERROR(IF(9*INDEX('UZ-normalized'!$D:$D, MATCH($A36, 'UZ-normalized'!$A:$A, 0))-INDEX('UZ-normalized'!$E:$E, MATCH($A36, 'UZ-normalized'!$A:$A, 0))&gt;0, -(9*INDEX('UZ-normalized'!$D:$D, MATCH($A36, 'UZ-normalized'!$A:$A, 0))-INDEX('UZ-normalized'!$E:$E, MATCH($A36, 'UZ-normalized'!$A:$A, 0))), 0), 0)))</f>
        <v>-0.5</v>
      </c>
      <c r="X36" s="6">
        <f>MIN(0, N36+(IFERROR(IF(10*INDEX('UA-normalized'!$D:$D, MATCH($A36, 'UA-normalized'!$A:$A, 0))-INDEX('UA-normalized'!$E:$E, MATCH($A36, 'UA-normalized'!$A:$A, 0))&gt;0, -(10*INDEX('UA-normalized'!$D:$D, MATCH($A36, 'UA-normalized'!$A:$A, 0))-INDEX('UA-normalized'!$E:$E, MATCH($A36, 'UA-normalized'!$A:$A, 0))), 0), 0))+(IFERROR(IF(10*INDEX('KZ-normalized'!$D:$D, MATCH($A36, 'KZ-normalized'!$A:$A, 0))-INDEX('KZ-normalized'!$E:$E, MATCH($A36, 'KZ-normalized'!$A:$A, 0))&gt;0, -(10*INDEX('KZ-normalized'!$D:$D, MATCH($A36, 'KZ-normalized'!$A:$A, 0))-INDEX('KZ-normalized'!$E:$E, MATCH($A36, 'KZ-normalized'!$A:$A, 0))), 0), 0))+(IFERROR(IF(10*INDEX('UZ-normalized'!$D:$D, MATCH($A36, 'UZ-normalized'!$A:$A, 0))-INDEX('UZ-normalized'!$E:$E, MATCH($A36, 'UZ-normalized'!$A:$A, 0))&gt;0, -(10*INDEX('UZ-normalized'!$D:$D, MATCH($A36, 'UZ-normalized'!$A:$A, 0))-INDEX('UZ-normalized'!$E:$E, MATCH($A36, 'UZ-normalized'!$A:$A, 0))), 0), 0)))</f>
        <v>-2</v>
      </c>
      <c r="Y36" s="6">
        <f>MIN(0, N36+(IFERROR(IF(11*INDEX('UA-normalized'!$D:$D, MATCH($A36, 'UA-normalized'!$A:$A, 0))-INDEX('UA-normalized'!$E:$E, MATCH($A36, 'UA-normalized'!$A:$A, 0))&gt;0, -(11*INDEX('UA-normalized'!$D:$D, MATCH($A36, 'UA-normalized'!$A:$A, 0))-INDEX('UA-normalized'!$E:$E, MATCH($A36, 'UA-normalized'!$A:$A, 0))), 0), 0))+(IFERROR(IF(11*INDEX('KZ-normalized'!$D:$D, MATCH($A36, 'KZ-normalized'!$A:$A, 0))-INDEX('KZ-normalized'!$E:$E, MATCH($A36, 'KZ-normalized'!$A:$A, 0))&gt;0, -(11*INDEX('KZ-normalized'!$D:$D, MATCH($A36, 'KZ-normalized'!$A:$A, 0))-INDEX('KZ-normalized'!$E:$E, MATCH($A36, 'KZ-normalized'!$A:$A, 0))), 0), 0))+(IFERROR(IF(11*INDEX('UZ-normalized'!$D:$D, MATCH($A36, 'UZ-normalized'!$A:$A, 0))-INDEX('UZ-normalized'!$E:$E, MATCH($A36, 'UZ-normalized'!$A:$A, 0))&gt;0, -(11*INDEX('UZ-normalized'!$D:$D, MATCH($A36, 'UZ-normalized'!$A:$A, 0))-INDEX('UZ-normalized'!$E:$E, MATCH($A36, 'UZ-normalized'!$A:$A, 0))), 0), 0)))</f>
        <v>-3.5</v>
      </c>
      <c r="Z36" s="6">
        <f>MIN(0, N36+(IFERROR(IF(12*INDEX('UA-normalized'!$D:$D, MATCH($A36, 'UA-normalized'!$A:$A, 0))-INDEX('UA-normalized'!$E:$E, MATCH($A36, 'UA-normalized'!$A:$A, 0))&gt;0, -(12*INDEX('UA-normalized'!$D:$D, MATCH($A36, 'UA-normalized'!$A:$A, 0))-INDEX('UA-normalized'!$E:$E, MATCH($A36, 'UA-normalized'!$A:$A, 0))), 0), 0))+(IFERROR(IF(12*INDEX('KZ-normalized'!$D:$D, MATCH($A36, 'KZ-normalized'!$A:$A, 0))-INDEX('KZ-normalized'!$E:$E, MATCH($A36, 'KZ-normalized'!$A:$A, 0))&gt;0, -(12*INDEX('KZ-normalized'!$D:$D, MATCH($A36, 'KZ-normalized'!$A:$A, 0))-INDEX('KZ-normalized'!$E:$E, MATCH($A36, 'KZ-normalized'!$A:$A, 0))), 0), 0))+(IFERROR(IF(12*INDEX('UZ-normalized'!$D:$D, MATCH($A36, 'UZ-normalized'!$A:$A, 0))-INDEX('UZ-normalized'!$E:$E, MATCH($A36, 'UZ-normalized'!$A:$A, 0))&gt;0, -(12*INDEX('UZ-normalized'!$D:$D, MATCH($A36, 'UZ-normalized'!$A:$A, 0))-INDEX('UZ-normalized'!$E:$E, MATCH($A36, 'UZ-normalized'!$A:$A, 0))), 0), 0)))</f>
        <v>-5</v>
      </c>
      <c r="AA36" s="6">
        <f>MIN(0, N36+(IFERROR(IF(13*INDEX('UA-normalized'!$D:$D, MATCH($A36, 'UA-normalized'!$A:$A, 0))-INDEX('UA-normalized'!$E:$E, MATCH($A36, 'UA-normalized'!$A:$A, 0))&gt;0, -(13*INDEX('UA-normalized'!$D:$D, MATCH($A36, 'UA-normalized'!$A:$A, 0))-INDEX('UA-normalized'!$E:$E, MATCH($A36, 'UA-normalized'!$A:$A, 0))), 0), 0))+(IFERROR(IF(13*INDEX('KZ-normalized'!$D:$D, MATCH($A36, 'KZ-normalized'!$A:$A, 0))-INDEX('KZ-normalized'!$E:$E, MATCH($A36, 'KZ-normalized'!$A:$A, 0))&gt;0, -(13*INDEX('KZ-normalized'!$D:$D, MATCH($A36, 'KZ-normalized'!$A:$A, 0))-INDEX('KZ-normalized'!$E:$E, MATCH($A36, 'KZ-normalized'!$A:$A, 0))), 0), 0))+(IFERROR(IF(13*INDEX('UZ-normalized'!$D:$D, MATCH($A36, 'UZ-normalized'!$A:$A, 0))-INDEX('UZ-normalized'!$E:$E, MATCH($A36, 'UZ-normalized'!$A:$A, 0))&gt;0, -(13*INDEX('UZ-normalized'!$D:$D, MATCH($A36, 'UZ-normalized'!$A:$A, 0))-INDEX('UZ-normalized'!$E:$E, MATCH($A36, 'UZ-normalized'!$A:$A, 0))), 0), 0)))</f>
        <v>-6.5</v>
      </c>
      <c r="AB36" s="6">
        <f>MIN(0, N36+(IFERROR(IF(14*INDEX('UA-normalized'!$D:$D, MATCH($A36, 'UA-normalized'!$A:$A, 0))-INDEX('UA-normalized'!$E:$E, MATCH($A36, 'UA-normalized'!$A:$A, 0))&gt;0, -(14*INDEX('UA-normalized'!$D:$D, MATCH($A36, 'UA-normalized'!$A:$A, 0))-INDEX('UA-normalized'!$E:$E, MATCH($A36, 'UA-normalized'!$A:$A, 0))), 0), 0))+(IFERROR(IF(14*INDEX('KZ-normalized'!$D:$D, MATCH($A36, 'KZ-normalized'!$A:$A, 0))-INDEX('KZ-normalized'!$E:$E, MATCH($A36, 'KZ-normalized'!$A:$A, 0))&gt;0, -(14*INDEX('KZ-normalized'!$D:$D, MATCH($A36, 'KZ-normalized'!$A:$A, 0))-INDEX('KZ-normalized'!$E:$E, MATCH($A36, 'KZ-normalized'!$A:$A, 0))), 0), 0))+(IFERROR(IF(14*INDEX('UZ-normalized'!$D:$D, MATCH($A36, 'UZ-normalized'!$A:$A, 0))-INDEX('UZ-normalized'!$E:$E, MATCH($A36, 'UZ-normalized'!$A:$A, 0))&gt;0, -(14*INDEX('UZ-normalized'!$D:$D, MATCH($A36, 'UZ-normalized'!$A:$A, 0))-INDEX('UZ-normalized'!$E:$E, MATCH($A36, 'UZ-normalized'!$A:$A, 0))), 0), 0)))</f>
        <v>-8</v>
      </c>
      <c r="AC36" s="6">
        <f>MIN(0, N36+(IFERROR(IF(15*INDEX('UA-normalized'!$D:$D, MATCH($A36, 'UA-normalized'!$A:$A, 0))-INDEX('UA-normalized'!$E:$E, MATCH($A36, 'UA-normalized'!$A:$A, 0))&gt;0, -(15*INDEX('UA-normalized'!$D:$D, MATCH($A36, 'UA-normalized'!$A:$A, 0))-INDEX('UA-normalized'!$E:$E, MATCH($A36, 'UA-normalized'!$A:$A, 0))), 0), 0))+(IFERROR(IF(15*INDEX('KZ-normalized'!$D:$D, MATCH($A36, 'KZ-normalized'!$A:$A, 0))-INDEX('KZ-normalized'!$E:$E, MATCH($A36, 'KZ-normalized'!$A:$A, 0))&gt;0, -(15*INDEX('KZ-normalized'!$D:$D, MATCH($A36, 'KZ-normalized'!$A:$A, 0))-INDEX('KZ-normalized'!$E:$E, MATCH($A36, 'KZ-normalized'!$A:$A, 0))), 0), 0))+(IFERROR(IF(15*INDEX('UZ-normalized'!$D:$D, MATCH($A36, 'UZ-normalized'!$A:$A, 0))-INDEX('UZ-normalized'!$E:$E, MATCH($A36, 'UZ-normalized'!$A:$A, 0))&gt;0, -(15*INDEX('UZ-normalized'!$D:$D, MATCH($A36, 'UZ-normalized'!$A:$A, 0))-INDEX('UZ-normalized'!$E:$E, MATCH($A36, 'UZ-normalized'!$A:$A, 0))), 0), 0)))</f>
        <v>-9.5</v>
      </c>
      <c r="AD36" s="6">
        <f>MIN(0, N36+(IFERROR(IF(16*INDEX('UA-normalized'!$D:$D, MATCH($A36, 'UA-normalized'!$A:$A, 0))-INDEX('UA-normalized'!$E:$E, MATCH($A36, 'UA-normalized'!$A:$A, 0))&gt;0, -(16*INDEX('UA-normalized'!$D:$D, MATCH($A36, 'UA-normalized'!$A:$A, 0))-INDEX('UA-normalized'!$E:$E, MATCH($A36, 'UA-normalized'!$A:$A, 0))), 0), 0))+(IFERROR(IF(16*INDEX('KZ-normalized'!$D:$D, MATCH($A36, 'KZ-normalized'!$A:$A, 0))-INDEX('KZ-normalized'!$E:$E, MATCH($A36, 'KZ-normalized'!$A:$A, 0))&gt;0, -(16*INDEX('KZ-normalized'!$D:$D, MATCH($A36, 'KZ-normalized'!$A:$A, 0))-INDEX('KZ-normalized'!$E:$E, MATCH($A36, 'KZ-normalized'!$A:$A, 0))), 0), 0))+(IFERROR(IF(16*INDEX('UZ-normalized'!$D:$D, MATCH($A36, 'UZ-normalized'!$A:$A, 0))-INDEX('UZ-normalized'!$E:$E, MATCH($A36, 'UZ-normalized'!$A:$A, 0))&gt;0, -(16*INDEX('UZ-normalized'!$D:$D, MATCH($A36, 'UZ-normalized'!$A:$A, 0))-INDEX('UZ-normalized'!$E:$E, MATCH($A36, 'UZ-normalized'!$A:$A, 0))), 0), 0)))</f>
        <v>-11</v>
      </c>
      <c r="AE36" s="6">
        <f>MIN(0, N36+(IFERROR(IF(17*INDEX('UA-normalized'!$D:$D, MATCH($A36, 'UA-normalized'!$A:$A, 0))-INDEX('UA-normalized'!$E:$E, MATCH($A36, 'UA-normalized'!$A:$A, 0))&gt;0, -(17*INDEX('UA-normalized'!$D:$D, MATCH($A36, 'UA-normalized'!$A:$A, 0))-INDEX('UA-normalized'!$E:$E, MATCH($A36, 'UA-normalized'!$A:$A, 0))), 0), 0))+(IFERROR(IF(17*INDEX('KZ-normalized'!$D:$D, MATCH($A36, 'KZ-normalized'!$A:$A, 0))-INDEX('KZ-normalized'!$E:$E, MATCH($A36, 'KZ-normalized'!$A:$A, 0))&gt;0, -(17*INDEX('KZ-normalized'!$D:$D, MATCH($A36, 'KZ-normalized'!$A:$A, 0))-INDEX('KZ-normalized'!$E:$E, MATCH($A36, 'KZ-normalized'!$A:$A, 0))), 0), 0))+(IFERROR(IF(17*INDEX('UZ-normalized'!$D:$D, MATCH($A36, 'UZ-normalized'!$A:$A, 0))-INDEX('UZ-normalized'!$E:$E, MATCH($A36, 'UZ-normalized'!$A:$A, 0))&gt;0, -(17*INDEX('UZ-normalized'!$D:$D, MATCH($A36, 'UZ-normalized'!$A:$A, 0))-INDEX('UZ-normalized'!$E:$E, MATCH($A36, 'UZ-normalized'!$A:$A, 0))), 0), 0)))</f>
        <v>-12.5</v>
      </c>
      <c r="AF36" s="6">
        <f>MIN(0, N36+(IFERROR(IF(18*INDEX('UA-normalized'!$D:$D, MATCH($A36, 'UA-normalized'!$A:$A, 0))-INDEX('UA-normalized'!$E:$E, MATCH($A36, 'UA-normalized'!$A:$A, 0))&gt;0, -(18*INDEX('UA-normalized'!$D:$D, MATCH($A36, 'UA-normalized'!$A:$A, 0))-INDEX('UA-normalized'!$E:$E, MATCH($A36, 'UA-normalized'!$A:$A, 0))), 0), 0))+(IFERROR(IF(18*INDEX('KZ-normalized'!$D:$D, MATCH($A36, 'KZ-normalized'!$A:$A, 0))-INDEX('KZ-normalized'!$E:$E, MATCH($A36, 'KZ-normalized'!$A:$A, 0))&gt;0, -(18*INDEX('KZ-normalized'!$D:$D, MATCH($A36, 'KZ-normalized'!$A:$A, 0))-INDEX('KZ-normalized'!$E:$E, MATCH($A36, 'KZ-normalized'!$A:$A, 0))), 0), 0))+(IFERROR(IF(18*INDEX('UZ-normalized'!$D:$D, MATCH($A36, 'UZ-normalized'!$A:$A, 0))-INDEX('UZ-normalized'!$E:$E, MATCH($A36, 'UZ-normalized'!$A:$A, 0))&gt;0, -(18*INDEX('UZ-normalized'!$D:$D, MATCH($A36, 'UZ-normalized'!$A:$A, 0))-INDEX('UZ-normalized'!$E:$E, MATCH($A36, 'UZ-normalized'!$A:$A, 0))), 0), 0)))</f>
        <v>-14</v>
      </c>
      <c r="AG36" s="6">
        <f>MIN(0, N36+(IFERROR(IF(19*INDEX('UA-normalized'!$D:$D, MATCH($A36, 'UA-normalized'!$A:$A, 0))-INDEX('UA-normalized'!$E:$E, MATCH($A36, 'UA-normalized'!$A:$A, 0))&gt;0, -(19*INDEX('UA-normalized'!$D:$D, MATCH($A36, 'UA-normalized'!$A:$A, 0))-INDEX('UA-normalized'!$E:$E, MATCH($A36, 'UA-normalized'!$A:$A, 0))), 0), 0))+(IFERROR(IF(19*INDEX('KZ-normalized'!$D:$D, MATCH($A36, 'KZ-normalized'!$A:$A, 0))-INDEX('KZ-normalized'!$E:$E, MATCH($A36, 'KZ-normalized'!$A:$A, 0))&gt;0, -(19*INDEX('KZ-normalized'!$D:$D, MATCH($A36, 'KZ-normalized'!$A:$A, 0))-INDEX('KZ-normalized'!$E:$E, MATCH($A36, 'KZ-normalized'!$A:$A, 0))), 0), 0))+(IFERROR(IF(19*INDEX('UZ-normalized'!$D:$D, MATCH($A36, 'UZ-normalized'!$A:$A, 0))-INDEX('UZ-normalized'!$E:$E, MATCH($A36, 'UZ-normalized'!$A:$A, 0))&gt;0, -(19*INDEX('UZ-normalized'!$D:$D, MATCH($A36, 'UZ-normalized'!$A:$A, 0))-INDEX('UZ-normalized'!$E:$E, MATCH($A36, 'UZ-normalized'!$A:$A, 0))), 0), 0)))</f>
        <v>-15.5</v>
      </c>
      <c r="AH36" s="6">
        <f>MIN(0, N36+(IFERROR(IF(20*INDEX('UA-normalized'!$D:$D, MATCH($A36, 'UA-normalized'!$A:$A, 0))-INDEX('UA-normalized'!$E:$E, MATCH($A36, 'UA-normalized'!$A:$A, 0))&gt;0, -(20*INDEX('UA-normalized'!$D:$D, MATCH($A36, 'UA-normalized'!$A:$A, 0))-INDEX('UA-normalized'!$E:$E, MATCH($A36, 'UA-normalized'!$A:$A, 0))), 0), 0))+(IFERROR(IF(20*INDEX('KZ-normalized'!$D:$D, MATCH($A36, 'KZ-normalized'!$A:$A, 0))-INDEX('KZ-normalized'!$E:$E, MATCH($A36, 'KZ-normalized'!$A:$A, 0))&gt;0, -(20*INDEX('KZ-normalized'!$D:$D, MATCH($A36, 'KZ-normalized'!$A:$A, 0))-INDEX('KZ-normalized'!$E:$E, MATCH($A36, 'KZ-normalized'!$A:$A, 0))), 0), 0))+(IFERROR(IF(20*INDEX('UZ-normalized'!$D:$D, MATCH($A36, 'UZ-normalized'!$A:$A, 0))-INDEX('UZ-normalized'!$E:$E, MATCH($A36, 'UZ-normalized'!$A:$A, 0))&gt;0, -(20*INDEX('UZ-normalized'!$D:$D, MATCH($A36, 'UZ-normalized'!$A:$A, 0))-INDEX('UZ-normalized'!$E:$E, MATCH($A36, 'UZ-normalized'!$A:$A, 0))), 0), 0)))</f>
        <v>-17</v>
      </c>
      <c r="AI36" s="6">
        <f>MIN(0, N36+(IFERROR(IF(21*INDEX('UA-normalized'!$D:$D, MATCH($A36, 'UA-normalized'!$A:$A, 0))-INDEX('UA-normalized'!$E:$E, MATCH($A36, 'UA-normalized'!$A:$A, 0))&gt;0, -(21*INDEX('UA-normalized'!$D:$D, MATCH($A36, 'UA-normalized'!$A:$A, 0))-INDEX('UA-normalized'!$E:$E, MATCH($A36, 'UA-normalized'!$A:$A, 0))), 0), 0))+(IFERROR(IF(21*INDEX('KZ-normalized'!$D:$D, MATCH($A36, 'KZ-normalized'!$A:$A, 0))-INDEX('KZ-normalized'!$E:$E, MATCH($A36, 'KZ-normalized'!$A:$A, 0))&gt;0, -(21*INDEX('KZ-normalized'!$D:$D, MATCH($A36, 'KZ-normalized'!$A:$A, 0))-INDEX('KZ-normalized'!$E:$E, MATCH($A36, 'KZ-normalized'!$A:$A, 0))), 0), 0))+(IFERROR(IF(21*INDEX('UZ-normalized'!$D:$D, MATCH($A36, 'UZ-normalized'!$A:$A, 0))-INDEX('UZ-normalized'!$E:$E, MATCH($A36, 'UZ-normalized'!$A:$A, 0))&gt;0, -(21*INDEX('UZ-normalized'!$D:$D, MATCH($A36, 'UZ-normalized'!$A:$A, 0))-INDEX('UZ-normalized'!$E:$E, MATCH($A36, 'UZ-normalized'!$A:$A, 0))), 0), 0)))</f>
        <v>-18.5</v>
      </c>
      <c r="AJ36" s="6">
        <f>MIN(0, N36+(IFERROR(IF(22*INDEX('UA-normalized'!$D:$D, MATCH($A36, 'UA-normalized'!$A:$A, 0))-INDEX('UA-normalized'!$E:$E, MATCH($A36, 'UA-normalized'!$A:$A, 0))&gt;0, -(22*INDEX('UA-normalized'!$D:$D, MATCH($A36, 'UA-normalized'!$A:$A, 0))-INDEX('UA-normalized'!$E:$E, MATCH($A36, 'UA-normalized'!$A:$A, 0))), 0), 0))+(IFERROR(IF(22*INDEX('KZ-normalized'!$D:$D, MATCH($A36, 'KZ-normalized'!$A:$A, 0))-INDEX('KZ-normalized'!$E:$E, MATCH($A36, 'KZ-normalized'!$A:$A, 0))&gt;0, -(22*INDEX('KZ-normalized'!$D:$D, MATCH($A36, 'KZ-normalized'!$A:$A, 0))-INDEX('KZ-normalized'!$E:$E, MATCH($A36, 'KZ-normalized'!$A:$A, 0))), 0), 0))+(IFERROR(IF(22*INDEX('UZ-normalized'!$D:$D, MATCH($A36, 'UZ-normalized'!$A:$A, 0))-INDEX('UZ-normalized'!$E:$E, MATCH($A36, 'UZ-normalized'!$A:$A, 0))&gt;0, -(22*INDEX('UZ-normalized'!$D:$D, MATCH($A36, 'UZ-normalized'!$A:$A, 0))-INDEX('UZ-normalized'!$E:$E, MATCH($A36, 'UZ-normalized'!$A:$A, 0))), 0), 0)))</f>
        <v>-20</v>
      </c>
      <c r="AK36" s="6">
        <f>MIN(0, N36+(IFERROR(IF(23*INDEX('UA-normalized'!$D:$D, MATCH($A36, 'UA-normalized'!$A:$A, 0))-INDEX('UA-normalized'!$E:$E, MATCH($A36, 'UA-normalized'!$A:$A, 0))&gt;0, -(23*INDEX('UA-normalized'!$D:$D, MATCH($A36, 'UA-normalized'!$A:$A, 0))-INDEX('UA-normalized'!$E:$E, MATCH($A36, 'UA-normalized'!$A:$A, 0))), 0), 0))+(IFERROR(IF(23*INDEX('KZ-normalized'!$D:$D, MATCH($A36, 'KZ-normalized'!$A:$A, 0))-INDEX('KZ-normalized'!$E:$E, MATCH($A36, 'KZ-normalized'!$A:$A, 0))&gt;0, -(23*INDEX('KZ-normalized'!$D:$D, MATCH($A36, 'KZ-normalized'!$A:$A, 0))-INDEX('KZ-normalized'!$E:$E, MATCH($A36, 'KZ-normalized'!$A:$A, 0))), 0), 0))+(IFERROR(IF(23*INDEX('UZ-normalized'!$D:$D, MATCH($A36, 'UZ-normalized'!$A:$A, 0))-INDEX('UZ-normalized'!$E:$E, MATCH($A36, 'UZ-normalized'!$A:$A, 0))&gt;0, -(23*INDEX('UZ-normalized'!$D:$D, MATCH($A36, 'UZ-normalized'!$A:$A, 0))-INDEX('UZ-normalized'!$E:$E, MATCH($A36, 'UZ-normalized'!$A:$A, 0))), 0), 0)))</f>
        <v>-21.5</v>
      </c>
      <c r="AL36" s="6">
        <f>MIN(0, N36+(IFERROR(IF(24*INDEX('UA-normalized'!$D:$D, MATCH($A36, 'UA-normalized'!$A:$A, 0))-INDEX('UA-normalized'!$E:$E, MATCH($A36, 'UA-normalized'!$A:$A, 0))&gt;0, -(24*INDEX('UA-normalized'!$D:$D, MATCH($A36, 'UA-normalized'!$A:$A, 0))-INDEX('UA-normalized'!$E:$E, MATCH($A36, 'UA-normalized'!$A:$A, 0))), 0), 0))+(IFERROR(IF(24*INDEX('KZ-normalized'!$D:$D, MATCH($A36, 'KZ-normalized'!$A:$A, 0))-INDEX('KZ-normalized'!$E:$E, MATCH($A36, 'KZ-normalized'!$A:$A, 0))&gt;0, -(24*INDEX('KZ-normalized'!$D:$D, MATCH($A36, 'KZ-normalized'!$A:$A, 0))-INDEX('KZ-normalized'!$E:$E, MATCH($A36, 'KZ-normalized'!$A:$A, 0))), 0), 0))+(IFERROR(IF(24*INDEX('UZ-normalized'!$D:$D, MATCH($A36, 'UZ-normalized'!$A:$A, 0))-INDEX('UZ-normalized'!$E:$E, MATCH($A36, 'UZ-normalized'!$A:$A, 0))&gt;0, -(24*INDEX('UZ-normalized'!$D:$D, MATCH($A36, 'UZ-normalized'!$A:$A, 0))-INDEX('UZ-normalized'!$E:$E, MATCH($A36, 'UZ-normalized'!$A:$A, 0))), 0), 0)))</f>
        <v>-23</v>
      </c>
      <c r="AM36" s="6">
        <f>MIN(0, N36+(IFERROR(IF(25*INDEX('UA-normalized'!$D:$D, MATCH($A36, 'UA-normalized'!$A:$A, 0))-INDEX('UA-normalized'!$E:$E, MATCH($A36, 'UA-normalized'!$A:$A, 0))&gt;0, -(25*INDEX('UA-normalized'!$D:$D, MATCH($A36, 'UA-normalized'!$A:$A, 0))-INDEX('UA-normalized'!$E:$E, MATCH($A36, 'UA-normalized'!$A:$A, 0))), 0), 0))+(IFERROR(IF(25*INDEX('KZ-normalized'!$D:$D, MATCH($A36, 'KZ-normalized'!$A:$A, 0))-INDEX('KZ-normalized'!$E:$E, MATCH($A36, 'KZ-normalized'!$A:$A, 0))&gt;0, -(25*INDEX('KZ-normalized'!$D:$D, MATCH($A36, 'KZ-normalized'!$A:$A, 0))-INDEX('KZ-normalized'!$E:$E, MATCH($A36, 'KZ-normalized'!$A:$A, 0))), 0), 0))+(IFERROR(IF(25*INDEX('UZ-normalized'!$D:$D, MATCH($A36, 'UZ-normalized'!$A:$A, 0))-INDEX('UZ-normalized'!$E:$E, MATCH($A36, 'UZ-normalized'!$A:$A, 0))&gt;0, -(25*INDEX('UZ-normalized'!$D:$D, MATCH($A36, 'UZ-normalized'!$A:$A, 0))-INDEX('UZ-normalized'!$E:$E, MATCH($A36, 'UZ-normalized'!$A:$A, 0))), 0), 0)))</f>
        <v>-24.5</v>
      </c>
      <c r="AN36" s="6">
        <f>MIN(0, N36+(IFERROR(IF(26*INDEX('UA-normalized'!$D:$D, MATCH($A36, 'UA-normalized'!$A:$A, 0))-INDEX('UA-normalized'!$E:$E, MATCH($A36, 'UA-normalized'!$A:$A, 0))&gt;0, -(26*INDEX('UA-normalized'!$D:$D, MATCH($A36, 'UA-normalized'!$A:$A, 0))-INDEX('UA-normalized'!$E:$E, MATCH($A36, 'UA-normalized'!$A:$A, 0))), 0), 0))+(IFERROR(IF(26*INDEX('KZ-normalized'!$D:$D, MATCH($A36, 'KZ-normalized'!$A:$A, 0))-INDEX('KZ-normalized'!$E:$E, MATCH($A36, 'KZ-normalized'!$A:$A, 0))&gt;0, -(26*INDEX('KZ-normalized'!$D:$D, MATCH($A36, 'KZ-normalized'!$A:$A, 0))-INDEX('KZ-normalized'!$E:$E, MATCH($A36, 'KZ-normalized'!$A:$A, 0))), 0), 0))+(IFERROR(IF(26*INDEX('UZ-normalized'!$D:$D, MATCH($A36, 'UZ-normalized'!$A:$A, 0))-INDEX('UZ-normalized'!$E:$E, MATCH($A36, 'UZ-normalized'!$A:$A, 0))&gt;0, -(26*INDEX('UZ-normalized'!$D:$D, MATCH($A36, 'UZ-normalized'!$A:$A, 0))-INDEX('UZ-normalized'!$E:$E, MATCH($A36, 'UZ-normalized'!$A:$A, 0))), 0), 0)))</f>
        <v>-26</v>
      </c>
      <c r="AO36" s="6">
        <f>MIN(0, N36+(IFERROR(IF(27*INDEX('UA-normalized'!$D:$D, MATCH($A36, 'UA-normalized'!$A:$A, 0))-INDEX('UA-normalized'!$E:$E, MATCH($A36, 'UA-normalized'!$A:$A, 0))&gt;0, -(27*INDEX('UA-normalized'!$D:$D, MATCH($A36, 'UA-normalized'!$A:$A, 0))-INDEX('UA-normalized'!$E:$E, MATCH($A36, 'UA-normalized'!$A:$A, 0))), 0), 0))+(IFERROR(IF(27*INDEX('KZ-normalized'!$D:$D, MATCH($A36, 'KZ-normalized'!$A:$A, 0))-INDEX('KZ-normalized'!$E:$E, MATCH($A36, 'KZ-normalized'!$A:$A, 0))&gt;0, -(27*INDEX('KZ-normalized'!$D:$D, MATCH($A36, 'KZ-normalized'!$A:$A, 0))-INDEX('KZ-normalized'!$E:$E, MATCH($A36, 'KZ-normalized'!$A:$A, 0))), 0), 0))+(IFERROR(IF(27*INDEX('UZ-normalized'!$D:$D, MATCH($A36, 'UZ-normalized'!$A:$A, 0))-INDEX('UZ-normalized'!$E:$E, MATCH($A36, 'UZ-normalized'!$A:$A, 0))&gt;0, -(27*INDEX('UZ-normalized'!$D:$D, MATCH($A36, 'UZ-normalized'!$A:$A, 0))-INDEX('UZ-normalized'!$E:$E, MATCH($A36, 'UZ-normalized'!$A:$A, 0))), 0), 0)))</f>
        <v>-27.5</v>
      </c>
      <c r="AP36" s="6">
        <f>MIN(0, N36+(IFERROR(IF(28*INDEX('UA-normalized'!$D:$D, MATCH($A36, 'UA-normalized'!$A:$A, 0))-INDEX('UA-normalized'!$E:$E, MATCH($A36, 'UA-normalized'!$A:$A, 0))&gt;0, -(28*INDEX('UA-normalized'!$D:$D, MATCH($A36, 'UA-normalized'!$A:$A, 0))-INDEX('UA-normalized'!$E:$E, MATCH($A36, 'UA-normalized'!$A:$A, 0))), 0), 0))+(IFERROR(IF(28*INDEX('KZ-normalized'!$D:$D, MATCH($A36, 'KZ-normalized'!$A:$A, 0))-INDEX('KZ-normalized'!$E:$E, MATCH($A36, 'KZ-normalized'!$A:$A, 0))&gt;0, -(28*INDEX('KZ-normalized'!$D:$D, MATCH($A36, 'KZ-normalized'!$A:$A, 0))-INDEX('KZ-normalized'!$E:$E, MATCH($A36, 'KZ-normalized'!$A:$A, 0))), 0), 0))+(IFERROR(IF(28*INDEX('UZ-normalized'!$D:$D, MATCH($A36, 'UZ-normalized'!$A:$A, 0))-INDEX('UZ-normalized'!$E:$E, MATCH($A36, 'UZ-normalized'!$A:$A, 0))&gt;0, -(28*INDEX('UZ-normalized'!$D:$D, MATCH($A36, 'UZ-normalized'!$A:$A, 0))-INDEX('UZ-normalized'!$E:$E, MATCH($A36, 'UZ-normalized'!$A:$A, 0))), 0), 0)))</f>
        <v>-29</v>
      </c>
      <c r="AQ36" s="6">
        <f>MIN(0, N36+(IFERROR(IF(29*INDEX('UA-normalized'!$D:$D, MATCH($A36, 'UA-normalized'!$A:$A, 0))-INDEX('UA-normalized'!$E:$E, MATCH($A36, 'UA-normalized'!$A:$A, 0))&gt;0, -(29*INDEX('UA-normalized'!$D:$D, MATCH($A36, 'UA-normalized'!$A:$A, 0))-INDEX('UA-normalized'!$E:$E, MATCH($A36, 'UA-normalized'!$A:$A, 0))), 0), 0))+(IFERROR(IF(29*INDEX('KZ-normalized'!$D:$D, MATCH($A36, 'KZ-normalized'!$A:$A, 0))-INDEX('KZ-normalized'!$E:$E, MATCH($A36, 'KZ-normalized'!$A:$A, 0))&gt;0, -(29*INDEX('KZ-normalized'!$D:$D, MATCH($A36, 'KZ-normalized'!$A:$A, 0))-INDEX('KZ-normalized'!$E:$E, MATCH($A36, 'KZ-normalized'!$A:$A, 0))), 0), 0))+(IFERROR(IF(29*INDEX('UZ-normalized'!$D:$D, MATCH($A36, 'UZ-normalized'!$A:$A, 0))-INDEX('UZ-normalized'!$E:$E, MATCH($A36, 'UZ-normalized'!$A:$A, 0))&gt;0, -(29*INDEX('UZ-normalized'!$D:$D, MATCH($A36, 'UZ-normalized'!$A:$A, 0))-INDEX('UZ-normalized'!$E:$E, MATCH($A36, 'UZ-normalized'!$A:$A, 0))), 0), 0)))</f>
        <v>-30.5</v>
      </c>
      <c r="AR36" s="6">
        <f>MIN(0, N36+(IFERROR(IF(30*INDEX('UA-normalized'!$D:$D, MATCH($A36, 'UA-normalized'!$A:$A, 0))-INDEX('UA-normalized'!$E:$E, MATCH($A36, 'UA-normalized'!$A:$A, 0))&gt;0, -(30*INDEX('UA-normalized'!$D:$D, MATCH($A36, 'UA-normalized'!$A:$A, 0))-INDEX('UA-normalized'!$E:$E, MATCH($A36, 'UA-normalized'!$A:$A, 0))), 0), 0))+(IFERROR(IF(30*INDEX('KZ-normalized'!$D:$D, MATCH($A36, 'KZ-normalized'!$A:$A, 0))-INDEX('KZ-normalized'!$E:$E, MATCH($A36, 'KZ-normalized'!$A:$A, 0))&gt;0, -(30*INDEX('KZ-normalized'!$D:$D, MATCH($A36, 'KZ-normalized'!$A:$A, 0))-INDEX('KZ-normalized'!$E:$E, MATCH($A36, 'KZ-normalized'!$A:$A, 0))), 0), 0))+(IFERROR(IF(30*INDEX('UZ-normalized'!$D:$D, MATCH($A36, 'UZ-normalized'!$A:$A, 0))-INDEX('UZ-normalized'!$E:$E, MATCH($A36, 'UZ-normalized'!$A:$A, 0))&gt;0, -(30*INDEX('UZ-normalized'!$D:$D, MATCH($A36, 'UZ-normalized'!$A:$A, 0))-INDEX('UZ-normalized'!$E:$E, MATCH($A36, 'UZ-normalized'!$A:$A, 0))), 0), 0)))</f>
        <v>-32</v>
      </c>
    </row>
    <row r="37" spans="1:44" x14ac:dyDescent="0.25">
      <c r="A37" s="8" t="s">
        <v>120</v>
      </c>
      <c r="B37" s="8" t="s">
        <v>83</v>
      </c>
      <c r="C37" s="8" t="s">
        <v>105</v>
      </c>
      <c r="D37" s="8" t="s">
        <v>119</v>
      </c>
      <c r="N37">
        <f t="shared" si="0"/>
        <v>0</v>
      </c>
      <c r="O37" s="6">
        <f>MIN(0, N37+(IFERROR(IF(1*INDEX('UA-normalized'!$D:$D, MATCH($A37, 'UA-normalized'!$A:$A, 0))-INDEX('UA-normalized'!$E:$E, MATCH($A37, 'UA-normalized'!$A:$A, 0))&gt;0, -(1*INDEX('UA-normalized'!$D:$D, MATCH($A37, 'UA-normalized'!$A:$A, 0))-INDEX('UA-normalized'!$E:$E, MATCH($A37, 'UA-normalized'!$A:$A, 0))), 0), 0))+(IFERROR(IF(1*INDEX('KZ-normalized'!$D:$D, MATCH($A37, 'KZ-normalized'!$A:$A, 0))-INDEX('KZ-normalized'!$E:$E, MATCH($A37, 'KZ-normalized'!$A:$A, 0))&gt;0, -(1*INDEX('KZ-normalized'!$D:$D, MATCH($A37, 'KZ-normalized'!$A:$A, 0))-INDEX('KZ-normalized'!$E:$E, MATCH($A37, 'KZ-normalized'!$A:$A, 0))), 0), 0))+(IFERROR(IF(1*INDEX('UZ-normalized'!$D:$D, MATCH($A37, 'UZ-normalized'!$A:$A, 0))-INDEX('UZ-normalized'!$E:$E, MATCH($A37, 'UZ-normalized'!$A:$A, 0))&gt;0, -(1*INDEX('UZ-normalized'!$D:$D, MATCH($A37, 'UZ-normalized'!$A:$A, 0))-INDEX('UZ-normalized'!$E:$E, MATCH($A37, 'UZ-normalized'!$A:$A, 0))), 0), 0)))</f>
        <v>0</v>
      </c>
      <c r="P37" s="6">
        <f>MIN(0, N37+(IFERROR(IF(2*INDEX('UA-normalized'!$D:$D, MATCH($A37, 'UA-normalized'!$A:$A, 0))-INDEX('UA-normalized'!$E:$E, MATCH($A37, 'UA-normalized'!$A:$A, 0))&gt;0, -(2*INDEX('UA-normalized'!$D:$D, MATCH($A37, 'UA-normalized'!$A:$A, 0))-INDEX('UA-normalized'!$E:$E, MATCH($A37, 'UA-normalized'!$A:$A, 0))), 0), 0))+(IFERROR(IF(2*INDEX('KZ-normalized'!$D:$D, MATCH($A37, 'KZ-normalized'!$A:$A, 0))-INDEX('KZ-normalized'!$E:$E, MATCH($A37, 'KZ-normalized'!$A:$A, 0))&gt;0, -(2*INDEX('KZ-normalized'!$D:$D, MATCH($A37, 'KZ-normalized'!$A:$A, 0))-INDEX('KZ-normalized'!$E:$E, MATCH($A37, 'KZ-normalized'!$A:$A, 0))), 0), 0))+(IFERROR(IF(2*INDEX('UZ-normalized'!$D:$D, MATCH($A37, 'UZ-normalized'!$A:$A, 0))-INDEX('UZ-normalized'!$E:$E, MATCH($A37, 'UZ-normalized'!$A:$A, 0))&gt;0, -(2*INDEX('UZ-normalized'!$D:$D, MATCH($A37, 'UZ-normalized'!$A:$A, 0))-INDEX('UZ-normalized'!$E:$E, MATCH($A37, 'UZ-normalized'!$A:$A, 0))), 0), 0)))</f>
        <v>0</v>
      </c>
      <c r="Q37" s="6">
        <f>MIN(0, N37+(IFERROR(IF(3*INDEX('UA-normalized'!$D:$D, MATCH($A37, 'UA-normalized'!$A:$A, 0))-INDEX('UA-normalized'!$E:$E, MATCH($A37, 'UA-normalized'!$A:$A, 0))&gt;0, -(3*INDEX('UA-normalized'!$D:$D, MATCH($A37, 'UA-normalized'!$A:$A, 0))-INDEX('UA-normalized'!$E:$E, MATCH($A37, 'UA-normalized'!$A:$A, 0))), 0), 0))+(IFERROR(IF(3*INDEX('KZ-normalized'!$D:$D, MATCH($A37, 'KZ-normalized'!$A:$A, 0))-INDEX('KZ-normalized'!$E:$E, MATCH($A37, 'KZ-normalized'!$A:$A, 0))&gt;0, -(3*INDEX('KZ-normalized'!$D:$D, MATCH($A37, 'KZ-normalized'!$A:$A, 0))-INDEX('KZ-normalized'!$E:$E, MATCH($A37, 'KZ-normalized'!$A:$A, 0))), 0), 0))+(IFERROR(IF(3*INDEX('UZ-normalized'!$D:$D, MATCH($A37, 'UZ-normalized'!$A:$A, 0))-INDEX('UZ-normalized'!$E:$E, MATCH($A37, 'UZ-normalized'!$A:$A, 0))&gt;0, -(3*INDEX('UZ-normalized'!$D:$D, MATCH($A37, 'UZ-normalized'!$A:$A, 0))-INDEX('UZ-normalized'!$E:$E, MATCH($A37, 'UZ-normalized'!$A:$A, 0))), 0), 0)))</f>
        <v>-12</v>
      </c>
      <c r="R37" s="6">
        <f>MIN(0, N37+(IFERROR(IF(4*INDEX('UA-normalized'!$D:$D, MATCH($A37, 'UA-normalized'!$A:$A, 0))-INDEX('UA-normalized'!$E:$E, MATCH($A37, 'UA-normalized'!$A:$A, 0))&gt;0, -(4*INDEX('UA-normalized'!$D:$D, MATCH($A37, 'UA-normalized'!$A:$A, 0))-INDEX('UA-normalized'!$E:$E, MATCH($A37, 'UA-normalized'!$A:$A, 0))), 0), 0))+(IFERROR(IF(4*INDEX('KZ-normalized'!$D:$D, MATCH($A37, 'KZ-normalized'!$A:$A, 0))-INDEX('KZ-normalized'!$E:$E, MATCH($A37, 'KZ-normalized'!$A:$A, 0))&gt;0, -(4*INDEX('KZ-normalized'!$D:$D, MATCH($A37, 'KZ-normalized'!$A:$A, 0))-INDEX('KZ-normalized'!$E:$E, MATCH($A37, 'KZ-normalized'!$A:$A, 0))), 0), 0))+(IFERROR(IF(4*INDEX('UZ-normalized'!$D:$D, MATCH($A37, 'UZ-normalized'!$A:$A, 0))-INDEX('UZ-normalized'!$E:$E, MATCH($A37, 'UZ-normalized'!$A:$A, 0))&gt;0, -(4*INDEX('UZ-normalized'!$D:$D, MATCH($A37, 'UZ-normalized'!$A:$A, 0))-INDEX('UZ-normalized'!$E:$E, MATCH($A37, 'UZ-normalized'!$A:$A, 0))), 0), 0)))</f>
        <v>-252</v>
      </c>
      <c r="S37" s="6">
        <f>MIN(0, N37+(IFERROR(IF(5*INDEX('UA-normalized'!$D:$D, MATCH($A37, 'UA-normalized'!$A:$A, 0))-INDEX('UA-normalized'!$E:$E, MATCH($A37, 'UA-normalized'!$A:$A, 0))&gt;0, -(5*INDEX('UA-normalized'!$D:$D, MATCH($A37, 'UA-normalized'!$A:$A, 0))-INDEX('UA-normalized'!$E:$E, MATCH($A37, 'UA-normalized'!$A:$A, 0))), 0), 0))+(IFERROR(IF(5*INDEX('KZ-normalized'!$D:$D, MATCH($A37, 'KZ-normalized'!$A:$A, 0))-INDEX('KZ-normalized'!$E:$E, MATCH($A37, 'KZ-normalized'!$A:$A, 0))&gt;0, -(5*INDEX('KZ-normalized'!$D:$D, MATCH($A37, 'KZ-normalized'!$A:$A, 0))-INDEX('KZ-normalized'!$E:$E, MATCH($A37, 'KZ-normalized'!$A:$A, 0))), 0), 0))+(IFERROR(IF(5*INDEX('UZ-normalized'!$D:$D, MATCH($A37, 'UZ-normalized'!$A:$A, 0))-INDEX('UZ-normalized'!$E:$E, MATCH($A37, 'UZ-normalized'!$A:$A, 0))&gt;0, -(5*INDEX('UZ-normalized'!$D:$D, MATCH($A37, 'UZ-normalized'!$A:$A, 0))-INDEX('UZ-normalized'!$E:$E, MATCH($A37, 'UZ-normalized'!$A:$A, 0))), 0), 0)))</f>
        <v>-492</v>
      </c>
      <c r="T37" s="6">
        <f>MIN(0, N37+(IFERROR(IF(6*INDEX('UA-normalized'!$D:$D, MATCH($A37, 'UA-normalized'!$A:$A, 0))-INDEX('UA-normalized'!$E:$E, MATCH($A37, 'UA-normalized'!$A:$A, 0))&gt;0, -(6*INDEX('UA-normalized'!$D:$D, MATCH($A37, 'UA-normalized'!$A:$A, 0))-INDEX('UA-normalized'!$E:$E, MATCH($A37, 'UA-normalized'!$A:$A, 0))), 0), 0))+(IFERROR(IF(6*INDEX('KZ-normalized'!$D:$D, MATCH($A37, 'KZ-normalized'!$A:$A, 0))-INDEX('KZ-normalized'!$E:$E, MATCH($A37, 'KZ-normalized'!$A:$A, 0))&gt;0, -(6*INDEX('KZ-normalized'!$D:$D, MATCH($A37, 'KZ-normalized'!$A:$A, 0))-INDEX('KZ-normalized'!$E:$E, MATCH($A37, 'KZ-normalized'!$A:$A, 0))), 0), 0))+(IFERROR(IF(6*INDEX('UZ-normalized'!$D:$D, MATCH($A37, 'UZ-normalized'!$A:$A, 0))-INDEX('UZ-normalized'!$E:$E, MATCH($A37, 'UZ-normalized'!$A:$A, 0))&gt;0, -(6*INDEX('UZ-normalized'!$D:$D, MATCH($A37, 'UZ-normalized'!$A:$A, 0))-INDEX('UZ-normalized'!$E:$E, MATCH($A37, 'UZ-normalized'!$A:$A, 0))), 0), 0)))</f>
        <v>-732</v>
      </c>
      <c r="U37" s="6">
        <f>MIN(0, N37+(IFERROR(IF(7*INDEX('UA-normalized'!$D:$D, MATCH($A37, 'UA-normalized'!$A:$A, 0))-INDEX('UA-normalized'!$E:$E, MATCH($A37, 'UA-normalized'!$A:$A, 0))&gt;0, -(7*INDEX('UA-normalized'!$D:$D, MATCH($A37, 'UA-normalized'!$A:$A, 0))-INDEX('UA-normalized'!$E:$E, MATCH($A37, 'UA-normalized'!$A:$A, 0))), 0), 0))+(IFERROR(IF(7*INDEX('KZ-normalized'!$D:$D, MATCH($A37, 'KZ-normalized'!$A:$A, 0))-INDEX('KZ-normalized'!$E:$E, MATCH($A37, 'KZ-normalized'!$A:$A, 0))&gt;0, -(7*INDEX('KZ-normalized'!$D:$D, MATCH($A37, 'KZ-normalized'!$A:$A, 0))-INDEX('KZ-normalized'!$E:$E, MATCH($A37, 'KZ-normalized'!$A:$A, 0))), 0), 0))+(IFERROR(IF(7*INDEX('UZ-normalized'!$D:$D, MATCH($A37, 'UZ-normalized'!$A:$A, 0))-INDEX('UZ-normalized'!$E:$E, MATCH($A37, 'UZ-normalized'!$A:$A, 0))&gt;0, -(7*INDEX('UZ-normalized'!$D:$D, MATCH($A37, 'UZ-normalized'!$A:$A, 0))-INDEX('UZ-normalized'!$E:$E, MATCH($A37, 'UZ-normalized'!$A:$A, 0))), 0), 0)))</f>
        <v>-972</v>
      </c>
      <c r="V37" s="6">
        <f>MIN(0, N37+(IFERROR(IF(8*INDEX('UA-normalized'!$D:$D, MATCH($A37, 'UA-normalized'!$A:$A, 0))-INDEX('UA-normalized'!$E:$E, MATCH($A37, 'UA-normalized'!$A:$A, 0))&gt;0, -(8*INDEX('UA-normalized'!$D:$D, MATCH($A37, 'UA-normalized'!$A:$A, 0))-INDEX('UA-normalized'!$E:$E, MATCH($A37, 'UA-normalized'!$A:$A, 0))), 0), 0))+(IFERROR(IF(8*INDEX('KZ-normalized'!$D:$D, MATCH($A37, 'KZ-normalized'!$A:$A, 0))-INDEX('KZ-normalized'!$E:$E, MATCH($A37, 'KZ-normalized'!$A:$A, 0))&gt;0, -(8*INDEX('KZ-normalized'!$D:$D, MATCH($A37, 'KZ-normalized'!$A:$A, 0))-INDEX('KZ-normalized'!$E:$E, MATCH($A37, 'KZ-normalized'!$A:$A, 0))), 0), 0))+(IFERROR(IF(8*INDEX('UZ-normalized'!$D:$D, MATCH($A37, 'UZ-normalized'!$A:$A, 0))-INDEX('UZ-normalized'!$E:$E, MATCH($A37, 'UZ-normalized'!$A:$A, 0))&gt;0, -(8*INDEX('UZ-normalized'!$D:$D, MATCH($A37, 'UZ-normalized'!$A:$A, 0))-INDEX('UZ-normalized'!$E:$E, MATCH($A37, 'UZ-normalized'!$A:$A, 0))), 0), 0)))</f>
        <v>-1212</v>
      </c>
      <c r="W37" s="6">
        <f>MIN(0, N37+(IFERROR(IF(9*INDEX('UA-normalized'!$D:$D, MATCH($A37, 'UA-normalized'!$A:$A, 0))-INDEX('UA-normalized'!$E:$E, MATCH($A37, 'UA-normalized'!$A:$A, 0))&gt;0, -(9*INDEX('UA-normalized'!$D:$D, MATCH($A37, 'UA-normalized'!$A:$A, 0))-INDEX('UA-normalized'!$E:$E, MATCH($A37, 'UA-normalized'!$A:$A, 0))), 0), 0))+(IFERROR(IF(9*INDEX('KZ-normalized'!$D:$D, MATCH($A37, 'KZ-normalized'!$A:$A, 0))-INDEX('KZ-normalized'!$E:$E, MATCH($A37, 'KZ-normalized'!$A:$A, 0))&gt;0, -(9*INDEX('KZ-normalized'!$D:$D, MATCH($A37, 'KZ-normalized'!$A:$A, 0))-INDEX('KZ-normalized'!$E:$E, MATCH($A37, 'KZ-normalized'!$A:$A, 0))), 0), 0))+(IFERROR(IF(9*INDEX('UZ-normalized'!$D:$D, MATCH($A37, 'UZ-normalized'!$A:$A, 0))-INDEX('UZ-normalized'!$E:$E, MATCH($A37, 'UZ-normalized'!$A:$A, 0))&gt;0, -(9*INDEX('UZ-normalized'!$D:$D, MATCH($A37, 'UZ-normalized'!$A:$A, 0))-INDEX('UZ-normalized'!$E:$E, MATCH($A37, 'UZ-normalized'!$A:$A, 0))), 0), 0)))</f>
        <v>-1452</v>
      </c>
      <c r="X37" s="6">
        <f>MIN(0, N37+(IFERROR(IF(10*INDEX('UA-normalized'!$D:$D, MATCH($A37, 'UA-normalized'!$A:$A, 0))-INDEX('UA-normalized'!$E:$E, MATCH($A37, 'UA-normalized'!$A:$A, 0))&gt;0, -(10*INDEX('UA-normalized'!$D:$D, MATCH($A37, 'UA-normalized'!$A:$A, 0))-INDEX('UA-normalized'!$E:$E, MATCH($A37, 'UA-normalized'!$A:$A, 0))), 0), 0))+(IFERROR(IF(10*INDEX('KZ-normalized'!$D:$D, MATCH($A37, 'KZ-normalized'!$A:$A, 0))-INDEX('KZ-normalized'!$E:$E, MATCH($A37, 'KZ-normalized'!$A:$A, 0))&gt;0, -(10*INDEX('KZ-normalized'!$D:$D, MATCH($A37, 'KZ-normalized'!$A:$A, 0))-INDEX('KZ-normalized'!$E:$E, MATCH($A37, 'KZ-normalized'!$A:$A, 0))), 0), 0))+(IFERROR(IF(10*INDEX('UZ-normalized'!$D:$D, MATCH($A37, 'UZ-normalized'!$A:$A, 0))-INDEX('UZ-normalized'!$E:$E, MATCH($A37, 'UZ-normalized'!$A:$A, 0))&gt;0, -(10*INDEX('UZ-normalized'!$D:$D, MATCH($A37, 'UZ-normalized'!$A:$A, 0))-INDEX('UZ-normalized'!$E:$E, MATCH($A37, 'UZ-normalized'!$A:$A, 0))), 0), 0)))</f>
        <v>-1692</v>
      </c>
      <c r="Y37" s="6">
        <f>MIN(0, N37+(IFERROR(IF(11*INDEX('UA-normalized'!$D:$D, MATCH($A37, 'UA-normalized'!$A:$A, 0))-INDEX('UA-normalized'!$E:$E, MATCH($A37, 'UA-normalized'!$A:$A, 0))&gt;0, -(11*INDEX('UA-normalized'!$D:$D, MATCH($A37, 'UA-normalized'!$A:$A, 0))-INDEX('UA-normalized'!$E:$E, MATCH($A37, 'UA-normalized'!$A:$A, 0))), 0), 0))+(IFERROR(IF(11*INDEX('KZ-normalized'!$D:$D, MATCH($A37, 'KZ-normalized'!$A:$A, 0))-INDEX('KZ-normalized'!$E:$E, MATCH($A37, 'KZ-normalized'!$A:$A, 0))&gt;0, -(11*INDEX('KZ-normalized'!$D:$D, MATCH($A37, 'KZ-normalized'!$A:$A, 0))-INDEX('KZ-normalized'!$E:$E, MATCH($A37, 'KZ-normalized'!$A:$A, 0))), 0), 0))+(IFERROR(IF(11*INDEX('UZ-normalized'!$D:$D, MATCH($A37, 'UZ-normalized'!$A:$A, 0))-INDEX('UZ-normalized'!$E:$E, MATCH($A37, 'UZ-normalized'!$A:$A, 0))&gt;0, -(11*INDEX('UZ-normalized'!$D:$D, MATCH($A37, 'UZ-normalized'!$A:$A, 0))-INDEX('UZ-normalized'!$E:$E, MATCH($A37, 'UZ-normalized'!$A:$A, 0))), 0), 0)))</f>
        <v>-1932</v>
      </c>
      <c r="Z37" s="6">
        <f>MIN(0, N37+(IFERROR(IF(12*INDEX('UA-normalized'!$D:$D, MATCH($A37, 'UA-normalized'!$A:$A, 0))-INDEX('UA-normalized'!$E:$E, MATCH($A37, 'UA-normalized'!$A:$A, 0))&gt;0, -(12*INDEX('UA-normalized'!$D:$D, MATCH($A37, 'UA-normalized'!$A:$A, 0))-INDEX('UA-normalized'!$E:$E, MATCH($A37, 'UA-normalized'!$A:$A, 0))), 0), 0))+(IFERROR(IF(12*INDEX('KZ-normalized'!$D:$D, MATCH($A37, 'KZ-normalized'!$A:$A, 0))-INDEX('KZ-normalized'!$E:$E, MATCH($A37, 'KZ-normalized'!$A:$A, 0))&gt;0, -(12*INDEX('KZ-normalized'!$D:$D, MATCH($A37, 'KZ-normalized'!$A:$A, 0))-INDEX('KZ-normalized'!$E:$E, MATCH($A37, 'KZ-normalized'!$A:$A, 0))), 0), 0))+(IFERROR(IF(12*INDEX('UZ-normalized'!$D:$D, MATCH($A37, 'UZ-normalized'!$A:$A, 0))-INDEX('UZ-normalized'!$E:$E, MATCH($A37, 'UZ-normalized'!$A:$A, 0))&gt;0, -(12*INDEX('UZ-normalized'!$D:$D, MATCH($A37, 'UZ-normalized'!$A:$A, 0))-INDEX('UZ-normalized'!$E:$E, MATCH($A37, 'UZ-normalized'!$A:$A, 0))), 0), 0)))</f>
        <v>-2172</v>
      </c>
      <c r="AA37" s="6">
        <f>MIN(0, N37+(IFERROR(IF(13*INDEX('UA-normalized'!$D:$D, MATCH($A37, 'UA-normalized'!$A:$A, 0))-INDEX('UA-normalized'!$E:$E, MATCH($A37, 'UA-normalized'!$A:$A, 0))&gt;0, -(13*INDEX('UA-normalized'!$D:$D, MATCH($A37, 'UA-normalized'!$A:$A, 0))-INDEX('UA-normalized'!$E:$E, MATCH($A37, 'UA-normalized'!$A:$A, 0))), 0), 0))+(IFERROR(IF(13*INDEX('KZ-normalized'!$D:$D, MATCH($A37, 'KZ-normalized'!$A:$A, 0))-INDEX('KZ-normalized'!$E:$E, MATCH($A37, 'KZ-normalized'!$A:$A, 0))&gt;0, -(13*INDEX('KZ-normalized'!$D:$D, MATCH($A37, 'KZ-normalized'!$A:$A, 0))-INDEX('KZ-normalized'!$E:$E, MATCH($A37, 'KZ-normalized'!$A:$A, 0))), 0), 0))+(IFERROR(IF(13*INDEX('UZ-normalized'!$D:$D, MATCH($A37, 'UZ-normalized'!$A:$A, 0))-INDEX('UZ-normalized'!$E:$E, MATCH($A37, 'UZ-normalized'!$A:$A, 0))&gt;0, -(13*INDEX('UZ-normalized'!$D:$D, MATCH($A37, 'UZ-normalized'!$A:$A, 0))-INDEX('UZ-normalized'!$E:$E, MATCH($A37, 'UZ-normalized'!$A:$A, 0))), 0), 0)))</f>
        <v>-2412</v>
      </c>
      <c r="AB37" s="6">
        <f>MIN(0, N37+(IFERROR(IF(14*INDEX('UA-normalized'!$D:$D, MATCH($A37, 'UA-normalized'!$A:$A, 0))-INDEX('UA-normalized'!$E:$E, MATCH($A37, 'UA-normalized'!$A:$A, 0))&gt;0, -(14*INDEX('UA-normalized'!$D:$D, MATCH($A37, 'UA-normalized'!$A:$A, 0))-INDEX('UA-normalized'!$E:$E, MATCH($A37, 'UA-normalized'!$A:$A, 0))), 0), 0))+(IFERROR(IF(14*INDEX('KZ-normalized'!$D:$D, MATCH($A37, 'KZ-normalized'!$A:$A, 0))-INDEX('KZ-normalized'!$E:$E, MATCH($A37, 'KZ-normalized'!$A:$A, 0))&gt;0, -(14*INDEX('KZ-normalized'!$D:$D, MATCH($A37, 'KZ-normalized'!$A:$A, 0))-INDEX('KZ-normalized'!$E:$E, MATCH($A37, 'KZ-normalized'!$A:$A, 0))), 0), 0))+(IFERROR(IF(14*INDEX('UZ-normalized'!$D:$D, MATCH($A37, 'UZ-normalized'!$A:$A, 0))-INDEX('UZ-normalized'!$E:$E, MATCH($A37, 'UZ-normalized'!$A:$A, 0))&gt;0, -(14*INDEX('UZ-normalized'!$D:$D, MATCH($A37, 'UZ-normalized'!$A:$A, 0))-INDEX('UZ-normalized'!$E:$E, MATCH($A37, 'UZ-normalized'!$A:$A, 0))), 0), 0)))</f>
        <v>-2652</v>
      </c>
      <c r="AC37" s="6">
        <f>MIN(0, N37+(IFERROR(IF(15*INDEX('UA-normalized'!$D:$D, MATCH($A37, 'UA-normalized'!$A:$A, 0))-INDEX('UA-normalized'!$E:$E, MATCH($A37, 'UA-normalized'!$A:$A, 0))&gt;0, -(15*INDEX('UA-normalized'!$D:$D, MATCH($A37, 'UA-normalized'!$A:$A, 0))-INDEX('UA-normalized'!$E:$E, MATCH($A37, 'UA-normalized'!$A:$A, 0))), 0), 0))+(IFERROR(IF(15*INDEX('KZ-normalized'!$D:$D, MATCH($A37, 'KZ-normalized'!$A:$A, 0))-INDEX('KZ-normalized'!$E:$E, MATCH($A37, 'KZ-normalized'!$A:$A, 0))&gt;0, -(15*INDEX('KZ-normalized'!$D:$D, MATCH($A37, 'KZ-normalized'!$A:$A, 0))-INDEX('KZ-normalized'!$E:$E, MATCH($A37, 'KZ-normalized'!$A:$A, 0))), 0), 0))+(IFERROR(IF(15*INDEX('UZ-normalized'!$D:$D, MATCH($A37, 'UZ-normalized'!$A:$A, 0))-INDEX('UZ-normalized'!$E:$E, MATCH($A37, 'UZ-normalized'!$A:$A, 0))&gt;0, -(15*INDEX('UZ-normalized'!$D:$D, MATCH($A37, 'UZ-normalized'!$A:$A, 0))-INDEX('UZ-normalized'!$E:$E, MATCH($A37, 'UZ-normalized'!$A:$A, 0))), 0), 0)))</f>
        <v>-2892</v>
      </c>
      <c r="AD37" s="6">
        <f>MIN(0, N37+(IFERROR(IF(16*INDEX('UA-normalized'!$D:$D, MATCH($A37, 'UA-normalized'!$A:$A, 0))-INDEX('UA-normalized'!$E:$E, MATCH($A37, 'UA-normalized'!$A:$A, 0))&gt;0, -(16*INDEX('UA-normalized'!$D:$D, MATCH($A37, 'UA-normalized'!$A:$A, 0))-INDEX('UA-normalized'!$E:$E, MATCH($A37, 'UA-normalized'!$A:$A, 0))), 0), 0))+(IFERROR(IF(16*INDEX('KZ-normalized'!$D:$D, MATCH($A37, 'KZ-normalized'!$A:$A, 0))-INDEX('KZ-normalized'!$E:$E, MATCH($A37, 'KZ-normalized'!$A:$A, 0))&gt;0, -(16*INDEX('KZ-normalized'!$D:$D, MATCH($A37, 'KZ-normalized'!$A:$A, 0))-INDEX('KZ-normalized'!$E:$E, MATCH($A37, 'KZ-normalized'!$A:$A, 0))), 0), 0))+(IFERROR(IF(16*INDEX('UZ-normalized'!$D:$D, MATCH($A37, 'UZ-normalized'!$A:$A, 0))-INDEX('UZ-normalized'!$E:$E, MATCH($A37, 'UZ-normalized'!$A:$A, 0))&gt;0, -(16*INDEX('UZ-normalized'!$D:$D, MATCH($A37, 'UZ-normalized'!$A:$A, 0))-INDEX('UZ-normalized'!$E:$E, MATCH($A37, 'UZ-normalized'!$A:$A, 0))), 0), 0)))</f>
        <v>-3132</v>
      </c>
      <c r="AE37" s="6">
        <f>MIN(0, N37+(IFERROR(IF(17*INDEX('UA-normalized'!$D:$D, MATCH($A37, 'UA-normalized'!$A:$A, 0))-INDEX('UA-normalized'!$E:$E, MATCH($A37, 'UA-normalized'!$A:$A, 0))&gt;0, -(17*INDEX('UA-normalized'!$D:$D, MATCH($A37, 'UA-normalized'!$A:$A, 0))-INDEX('UA-normalized'!$E:$E, MATCH($A37, 'UA-normalized'!$A:$A, 0))), 0), 0))+(IFERROR(IF(17*INDEX('KZ-normalized'!$D:$D, MATCH($A37, 'KZ-normalized'!$A:$A, 0))-INDEX('KZ-normalized'!$E:$E, MATCH($A37, 'KZ-normalized'!$A:$A, 0))&gt;0, -(17*INDEX('KZ-normalized'!$D:$D, MATCH($A37, 'KZ-normalized'!$A:$A, 0))-INDEX('KZ-normalized'!$E:$E, MATCH($A37, 'KZ-normalized'!$A:$A, 0))), 0), 0))+(IFERROR(IF(17*INDEX('UZ-normalized'!$D:$D, MATCH($A37, 'UZ-normalized'!$A:$A, 0))-INDEX('UZ-normalized'!$E:$E, MATCH($A37, 'UZ-normalized'!$A:$A, 0))&gt;0, -(17*INDEX('UZ-normalized'!$D:$D, MATCH($A37, 'UZ-normalized'!$A:$A, 0))-INDEX('UZ-normalized'!$E:$E, MATCH($A37, 'UZ-normalized'!$A:$A, 0))), 0), 0)))</f>
        <v>-3372</v>
      </c>
      <c r="AF37" s="6">
        <f>MIN(0, N37+(IFERROR(IF(18*INDEX('UA-normalized'!$D:$D, MATCH($A37, 'UA-normalized'!$A:$A, 0))-INDEX('UA-normalized'!$E:$E, MATCH($A37, 'UA-normalized'!$A:$A, 0))&gt;0, -(18*INDEX('UA-normalized'!$D:$D, MATCH($A37, 'UA-normalized'!$A:$A, 0))-INDEX('UA-normalized'!$E:$E, MATCH($A37, 'UA-normalized'!$A:$A, 0))), 0), 0))+(IFERROR(IF(18*INDEX('KZ-normalized'!$D:$D, MATCH($A37, 'KZ-normalized'!$A:$A, 0))-INDEX('KZ-normalized'!$E:$E, MATCH($A37, 'KZ-normalized'!$A:$A, 0))&gt;0, -(18*INDEX('KZ-normalized'!$D:$D, MATCH($A37, 'KZ-normalized'!$A:$A, 0))-INDEX('KZ-normalized'!$E:$E, MATCH($A37, 'KZ-normalized'!$A:$A, 0))), 0), 0))+(IFERROR(IF(18*INDEX('UZ-normalized'!$D:$D, MATCH($A37, 'UZ-normalized'!$A:$A, 0))-INDEX('UZ-normalized'!$E:$E, MATCH($A37, 'UZ-normalized'!$A:$A, 0))&gt;0, -(18*INDEX('UZ-normalized'!$D:$D, MATCH($A37, 'UZ-normalized'!$A:$A, 0))-INDEX('UZ-normalized'!$E:$E, MATCH($A37, 'UZ-normalized'!$A:$A, 0))), 0), 0)))</f>
        <v>-3612</v>
      </c>
      <c r="AG37" s="6">
        <f>MIN(0, N37+(IFERROR(IF(19*INDEX('UA-normalized'!$D:$D, MATCH($A37, 'UA-normalized'!$A:$A, 0))-INDEX('UA-normalized'!$E:$E, MATCH($A37, 'UA-normalized'!$A:$A, 0))&gt;0, -(19*INDEX('UA-normalized'!$D:$D, MATCH($A37, 'UA-normalized'!$A:$A, 0))-INDEX('UA-normalized'!$E:$E, MATCH($A37, 'UA-normalized'!$A:$A, 0))), 0), 0))+(IFERROR(IF(19*INDEX('KZ-normalized'!$D:$D, MATCH($A37, 'KZ-normalized'!$A:$A, 0))-INDEX('KZ-normalized'!$E:$E, MATCH($A37, 'KZ-normalized'!$A:$A, 0))&gt;0, -(19*INDEX('KZ-normalized'!$D:$D, MATCH($A37, 'KZ-normalized'!$A:$A, 0))-INDEX('KZ-normalized'!$E:$E, MATCH($A37, 'KZ-normalized'!$A:$A, 0))), 0), 0))+(IFERROR(IF(19*INDEX('UZ-normalized'!$D:$D, MATCH($A37, 'UZ-normalized'!$A:$A, 0))-INDEX('UZ-normalized'!$E:$E, MATCH($A37, 'UZ-normalized'!$A:$A, 0))&gt;0, -(19*INDEX('UZ-normalized'!$D:$D, MATCH($A37, 'UZ-normalized'!$A:$A, 0))-INDEX('UZ-normalized'!$E:$E, MATCH($A37, 'UZ-normalized'!$A:$A, 0))), 0), 0)))</f>
        <v>-3852</v>
      </c>
      <c r="AH37" s="6">
        <f>MIN(0, N37+(IFERROR(IF(20*INDEX('UA-normalized'!$D:$D, MATCH($A37, 'UA-normalized'!$A:$A, 0))-INDEX('UA-normalized'!$E:$E, MATCH($A37, 'UA-normalized'!$A:$A, 0))&gt;0, -(20*INDEX('UA-normalized'!$D:$D, MATCH($A37, 'UA-normalized'!$A:$A, 0))-INDEX('UA-normalized'!$E:$E, MATCH($A37, 'UA-normalized'!$A:$A, 0))), 0), 0))+(IFERROR(IF(20*INDEX('KZ-normalized'!$D:$D, MATCH($A37, 'KZ-normalized'!$A:$A, 0))-INDEX('KZ-normalized'!$E:$E, MATCH($A37, 'KZ-normalized'!$A:$A, 0))&gt;0, -(20*INDEX('KZ-normalized'!$D:$D, MATCH($A37, 'KZ-normalized'!$A:$A, 0))-INDEX('KZ-normalized'!$E:$E, MATCH($A37, 'KZ-normalized'!$A:$A, 0))), 0), 0))+(IFERROR(IF(20*INDEX('UZ-normalized'!$D:$D, MATCH($A37, 'UZ-normalized'!$A:$A, 0))-INDEX('UZ-normalized'!$E:$E, MATCH($A37, 'UZ-normalized'!$A:$A, 0))&gt;0, -(20*INDEX('UZ-normalized'!$D:$D, MATCH($A37, 'UZ-normalized'!$A:$A, 0))-INDEX('UZ-normalized'!$E:$E, MATCH($A37, 'UZ-normalized'!$A:$A, 0))), 0), 0)))</f>
        <v>-4092</v>
      </c>
      <c r="AI37" s="6">
        <f>MIN(0, N37+(IFERROR(IF(21*INDEX('UA-normalized'!$D:$D, MATCH($A37, 'UA-normalized'!$A:$A, 0))-INDEX('UA-normalized'!$E:$E, MATCH($A37, 'UA-normalized'!$A:$A, 0))&gt;0, -(21*INDEX('UA-normalized'!$D:$D, MATCH($A37, 'UA-normalized'!$A:$A, 0))-INDEX('UA-normalized'!$E:$E, MATCH($A37, 'UA-normalized'!$A:$A, 0))), 0), 0))+(IFERROR(IF(21*INDEX('KZ-normalized'!$D:$D, MATCH($A37, 'KZ-normalized'!$A:$A, 0))-INDEX('KZ-normalized'!$E:$E, MATCH($A37, 'KZ-normalized'!$A:$A, 0))&gt;0, -(21*INDEX('KZ-normalized'!$D:$D, MATCH($A37, 'KZ-normalized'!$A:$A, 0))-INDEX('KZ-normalized'!$E:$E, MATCH($A37, 'KZ-normalized'!$A:$A, 0))), 0), 0))+(IFERROR(IF(21*INDEX('UZ-normalized'!$D:$D, MATCH($A37, 'UZ-normalized'!$A:$A, 0))-INDEX('UZ-normalized'!$E:$E, MATCH($A37, 'UZ-normalized'!$A:$A, 0))&gt;0, -(21*INDEX('UZ-normalized'!$D:$D, MATCH($A37, 'UZ-normalized'!$A:$A, 0))-INDEX('UZ-normalized'!$E:$E, MATCH($A37, 'UZ-normalized'!$A:$A, 0))), 0), 0)))</f>
        <v>-4332</v>
      </c>
      <c r="AJ37" s="6">
        <f>MIN(0, N37+(IFERROR(IF(22*INDEX('UA-normalized'!$D:$D, MATCH($A37, 'UA-normalized'!$A:$A, 0))-INDEX('UA-normalized'!$E:$E, MATCH($A37, 'UA-normalized'!$A:$A, 0))&gt;0, -(22*INDEX('UA-normalized'!$D:$D, MATCH($A37, 'UA-normalized'!$A:$A, 0))-INDEX('UA-normalized'!$E:$E, MATCH($A37, 'UA-normalized'!$A:$A, 0))), 0), 0))+(IFERROR(IF(22*INDEX('KZ-normalized'!$D:$D, MATCH($A37, 'KZ-normalized'!$A:$A, 0))-INDEX('KZ-normalized'!$E:$E, MATCH($A37, 'KZ-normalized'!$A:$A, 0))&gt;0, -(22*INDEX('KZ-normalized'!$D:$D, MATCH($A37, 'KZ-normalized'!$A:$A, 0))-INDEX('KZ-normalized'!$E:$E, MATCH($A37, 'KZ-normalized'!$A:$A, 0))), 0), 0))+(IFERROR(IF(22*INDEX('UZ-normalized'!$D:$D, MATCH($A37, 'UZ-normalized'!$A:$A, 0))-INDEX('UZ-normalized'!$E:$E, MATCH($A37, 'UZ-normalized'!$A:$A, 0))&gt;0, -(22*INDEX('UZ-normalized'!$D:$D, MATCH($A37, 'UZ-normalized'!$A:$A, 0))-INDEX('UZ-normalized'!$E:$E, MATCH($A37, 'UZ-normalized'!$A:$A, 0))), 0), 0)))</f>
        <v>-4572</v>
      </c>
      <c r="AK37" s="6">
        <f>MIN(0, N37+(IFERROR(IF(23*INDEX('UA-normalized'!$D:$D, MATCH($A37, 'UA-normalized'!$A:$A, 0))-INDEX('UA-normalized'!$E:$E, MATCH($A37, 'UA-normalized'!$A:$A, 0))&gt;0, -(23*INDEX('UA-normalized'!$D:$D, MATCH($A37, 'UA-normalized'!$A:$A, 0))-INDEX('UA-normalized'!$E:$E, MATCH($A37, 'UA-normalized'!$A:$A, 0))), 0), 0))+(IFERROR(IF(23*INDEX('KZ-normalized'!$D:$D, MATCH($A37, 'KZ-normalized'!$A:$A, 0))-INDEX('KZ-normalized'!$E:$E, MATCH($A37, 'KZ-normalized'!$A:$A, 0))&gt;0, -(23*INDEX('KZ-normalized'!$D:$D, MATCH($A37, 'KZ-normalized'!$A:$A, 0))-INDEX('KZ-normalized'!$E:$E, MATCH($A37, 'KZ-normalized'!$A:$A, 0))), 0), 0))+(IFERROR(IF(23*INDEX('UZ-normalized'!$D:$D, MATCH($A37, 'UZ-normalized'!$A:$A, 0))-INDEX('UZ-normalized'!$E:$E, MATCH($A37, 'UZ-normalized'!$A:$A, 0))&gt;0, -(23*INDEX('UZ-normalized'!$D:$D, MATCH($A37, 'UZ-normalized'!$A:$A, 0))-INDEX('UZ-normalized'!$E:$E, MATCH($A37, 'UZ-normalized'!$A:$A, 0))), 0), 0)))</f>
        <v>-4812</v>
      </c>
      <c r="AL37" s="6">
        <f>MIN(0, N37+(IFERROR(IF(24*INDEX('UA-normalized'!$D:$D, MATCH($A37, 'UA-normalized'!$A:$A, 0))-INDEX('UA-normalized'!$E:$E, MATCH($A37, 'UA-normalized'!$A:$A, 0))&gt;0, -(24*INDEX('UA-normalized'!$D:$D, MATCH($A37, 'UA-normalized'!$A:$A, 0))-INDEX('UA-normalized'!$E:$E, MATCH($A37, 'UA-normalized'!$A:$A, 0))), 0), 0))+(IFERROR(IF(24*INDEX('KZ-normalized'!$D:$D, MATCH($A37, 'KZ-normalized'!$A:$A, 0))-INDEX('KZ-normalized'!$E:$E, MATCH($A37, 'KZ-normalized'!$A:$A, 0))&gt;0, -(24*INDEX('KZ-normalized'!$D:$D, MATCH($A37, 'KZ-normalized'!$A:$A, 0))-INDEX('KZ-normalized'!$E:$E, MATCH($A37, 'KZ-normalized'!$A:$A, 0))), 0), 0))+(IFERROR(IF(24*INDEX('UZ-normalized'!$D:$D, MATCH($A37, 'UZ-normalized'!$A:$A, 0))-INDEX('UZ-normalized'!$E:$E, MATCH($A37, 'UZ-normalized'!$A:$A, 0))&gt;0, -(24*INDEX('UZ-normalized'!$D:$D, MATCH($A37, 'UZ-normalized'!$A:$A, 0))-INDEX('UZ-normalized'!$E:$E, MATCH($A37, 'UZ-normalized'!$A:$A, 0))), 0), 0)))</f>
        <v>-5052</v>
      </c>
      <c r="AM37" s="6">
        <f>MIN(0, N37+(IFERROR(IF(25*INDEX('UA-normalized'!$D:$D, MATCH($A37, 'UA-normalized'!$A:$A, 0))-INDEX('UA-normalized'!$E:$E, MATCH($A37, 'UA-normalized'!$A:$A, 0))&gt;0, -(25*INDEX('UA-normalized'!$D:$D, MATCH($A37, 'UA-normalized'!$A:$A, 0))-INDEX('UA-normalized'!$E:$E, MATCH($A37, 'UA-normalized'!$A:$A, 0))), 0), 0))+(IFERROR(IF(25*INDEX('KZ-normalized'!$D:$D, MATCH($A37, 'KZ-normalized'!$A:$A, 0))-INDEX('KZ-normalized'!$E:$E, MATCH($A37, 'KZ-normalized'!$A:$A, 0))&gt;0, -(25*INDEX('KZ-normalized'!$D:$D, MATCH($A37, 'KZ-normalized'!$A:$A, 0))-INDEX('KZ-normalized'!$E:$E, MATCH($A37, 'KZ-normalized'!$A:$A, 0))), 0), 0))+(IFERROR(IF(25*INDEX('UZ-normalized'!$D:$D, MATCH($A37, 'UZ-normalized'!$A:$A, 0))-INDEX('UZ-normalized'!$E:$E, MATCH($A37, 'UZ-normalized'!$A:$A, 0))&gt;0, -(25*INDEX('UZ-normalized'!$D:$D, MATCH($A37, 'UZ-normalized'!$A:$A, 0))-INDEX('UZ-normalized'!$E:$E, MATCH($A37, 'UZ-normalized'!$A:$A, 0))), 0), 0)))</f>
        <v>-5292</v>
      </c>
      <c r="AN37" s="6">
        <f>MIN(0, N37+(IFERROR(IF(26*INDEX('UA-normalized'!$D:$D, MATCH($A37, 'UA-normalized'!$A:$A, 0))-INDEX('UA-normalized'!$E:$E, MATCH($A37, 'UA-normalized'!$A:$A, 0))&gt;0, -(26*INDEX('UA-normalized'!$D:$D, MATCH($A37, 'UA-normalized'!$A:$A, 0))-INDEX('UA-normalized'!$E:$E, MATCH($A37, 'UA-normalized'!$A:$A, 0))), 0), 0))+(IFERROR(IF(26*INDEX('KZ-normalized'!$D:$D, MATCH($A37, 'KZ-normalized'!$A:$A, 0))-INDEX('KZ-normalized'!$E:$E, MATCH($A37, 'KZ-normalized'!$A:$A, 0))&gt;0, -(26*INDEX('KZ-normalized'!$D:$D, MATCH($A37, 'KZ-normalized'!$A:$A, 0))-INDEX('KZ-normalized'!$E:$E, MATCH($A37, 'KZ-normalized'!$A:$A, 0))), 0), 0))+(IFERROR(IF(26*INDEX('UZ-normalized'!$D:$D, MATCH($A37, 'UZ-normalized'!$A:$A, 0))-INDEX('UZ-normalized'!$E:$E, MATCH($A37, 'UZ-normalized'!$A:$A, 0))&gt;0, -(26*INDEX('UZ-normalized'!$D:$D, MATCH($A37, 'UZ-normalized'!$A:$A, 0))-INDEX('UZ-normalized'!$E:$E, MATCH($A37, 'UZ-normalized'!$A:$A, 0))), 0), 0)))</f>
        <v>-5532</v>
      </c>
      <c r="AO37" s="6">
        <f>MIN(0, N37+(IFERROR(IF(27*INDEX('UA-normalized'!$D:$D, MATCH($A37, 'UA-normalized'!$A:$A, 0))-INDEX('UA-normalized'!$E:$E, MATCH($A37, 'UA-normalized'!$A:$A, 0))&gt;0, -(27*INDEX('UA-normalized'!$D:$D, MATCH($A37, 'UA-normalized'!$A:$A, 0))-INDEX('UA-normalized'!$E:$E, MATCH($A37, 'UA-normalized'!$A:$A, 0))), 0), 0))+(IFERROR(IF(27*INDEX('KZ-normalized'!$D:$D, MATCH($A37, 'KZ-normalized'!$A:$A, 0))-INDEX('KZ-normalized'!$E:$E, MATCH($A37, 'KZ-normalized'!$A:$A, 0))&gt;0, -(27*INDEX('KZ-normalized'!$D:$D, MATCH($A37, 'KZ-normalized'!$A:$A, 0))-INDEX('KZ-normalized'!$E:$E, MATCH($A37, 'KZ-normalized'!$A:$A, 0))), 0), 0))+(IFERROR(IF(27*INDEX('UZ-normalized'!$D:$D, MATCH($A37, 'UZ-normalized'!$A:$A, 0))-INDEX('UZ-normalized'!$E:$E, MATCH($A37, 'UZ-normalized'!$A:$A, 0))&gt;0, -(27*INDEX('UZ-normalized'!$D:$D, MATCH($A37, 'UZ-normalized'!$A:$A, 0))-INDEX('UZ-normalized'!$E:$E, MATCH($A37, 'UZ-normalized'!$A:$A, 0))), 0), 0)))</f>
        <v>-5772</v>
      </c>
      <c r="AP37" s="6">
        <f>MIN(0, N37+(IFERROR(IF(28*INDEX('UA-normalized'!$D:$D, MATCH($A37, 'UA-normalized'!$A:$A, 0))-INDEX('UA-normalized'!$E:$E, MATCH($A37, 'UA-normalized'!$A:$A, 0))&gt;0, -(28*INDEX('UA-normalized'!$D:$D, MATCH($A37, 'UA-normalized'!$A:$A, 0))-INDEX('UA-normalized'!$E:$E, MATCH($A37, 'UA-normalized'!$A:$A, 0))), 0), 0))+(IFERROR(IF(28*INDEX('KZ-normalized'!$D:$D, MATCH($A37, 'KZ-normalized'!$A:$A, 0))-INDEX('KZ-normalized'!$E:$E, MATCH($A37, 'KZ-normalized'!$A:$A, 0))&gt;0, -(28*INDEX('KZ-normalized'!$D:$D, MATCH($A37, 'KZ-normalized'!$A:$A, 0))-INDEX('KZ-normalized'!$E:$E, MATCH($A37, 'KZ-normalized'!$A:$A, 0))), 0), 0))+(IFERROR(IF(28*INDEX('UZ-normalized'!$D:$D, MATCH($A37, 'UZ-normalized'!$A:$A, 0))-INDEX('UZ-normalized'!$E:$E, MATCH($A37, 'UZ-normalized'!$A:$A, 0))&gt;0, -(28*INDEX('UZ-normalized'!$D:$D, MATCH($A37, 'UZ-normalized'!$A:$A, 0))-INDEX('UZ-normalized'!$E:$E, MATCH($A37, 'UZ-normalized'!$A:$A, 0))), 0), 0)))</f>
        <v>-6012</v>
      </c>
      <c r="AQ37" s="6">
        <f>MIN(0, N37+(IFERROR(IF(29*INDEX('UA-normalized'!$D:$D, MATCH($A37, 'UA-normalized'!$A:$A, 0))-INDEX('UA-normalized'!$E:$E, MATCH($A37, 'UA-normalized'!$A:$A, 0))&gt;0, -(29*INDEX('UA-normalized'!$D:$D, MATCH($A37, 'UA-normalized'!$A:$A, 0))-INDEX('UA-normalized'!$E:$E, MATCH($A37, 'UA-normalized'!$A:$A, 0))), 0), 0))+(IFERROR(IF(29*INDEX('KZ-normalized'!$D:$D, MATCH($A37, 'KZ-normalized'!$A:$A, 0))-INDEX('KZ-normalized'!$E:$E, MATCH($A37, 'KZ-normalized'!$A:$A, 0))&gt;0, -(29*INDEX('KZ-normalized'!$D:$D, MATCH($A37, 'KZ-normalized'!$A:$A, 0))-INDEX('KZ-normalized'!$E:$E, MATCH($A37, 'KZ-normalized'!$A:$A, 0))), 0), 0))+(IFERROR(IF(29*INDEX('UZ-normalized'!$D:$D, MATCH($A37, 'UZ-normalized'!$A:$A, 0))-INDEX('UZ-normalized'!$E:$E, MATCH($A37, 'UZ-normalized'!$A:$A, 0))&gt;0, -(29*INDEX('UZ-normalized'!$D:$D, MATCH($A37, 'UZ-normalized'!$A:$A, 0))-INDEX('UZ-normalized'!$E:$E, MATCH($A37, 'UZ-normalized'!$A:$A, 0))), 0), 0)))</f>
        <v>-6252</v>
      </c>
      <c r="AR37" s="6">
        <f>MIN(0, N37+(IFERROR(IF(30*INDEX('UA-normalized'!$D:$D, MATCH($A37, 'UA-normalized'!$A:$A, 0))-INDEX('UA-normalized'!$E:$E, MATCH($A37, 'UA-normalized'!$A:$A, 0))&gt;0, -(30*INDEX('UA-normalized'!$D:$D, MATCH($A37, 'UA-normalized'!$A:$A, 0))-INDEX('UA-normalized'!$E:$E, MATCH($A37, 'UA-normalized'!$A:$A, 0))), 0), 0))+(IFERROR(IF(30*INDEX('KZ-normalized'!$D:$D, MATCH($A37, 'KZ-normalized'!$A:$A, 0))-INDEX('KZ-normalized'!$E:$E, MATCH($A37, 'KZ-normalized'!$A:$A, 0))&gt;0, -(30*INDEX('KZ-normalized'!$D:$D, MATCH($A37, 'KZ-normalized'!$A:$A, 0))-INDEX('KZ-normalized'!$E:$E, MATCH($A37, 'KZ-normalized'!$A:$A, 0))), 0), 0))+(IFERROR(IF(30*INDEX('UZ-normalized'!$D:$D, MATCH($A37, 'UZ-normalized'!$A:$A, 0))-INDEX('UZ-normalized'!$E:$E, MATCH($A37, 'UZ-normalized'!$A:$A, 0))&gt;0, -(30*INDEX('UZ-normalized'!$D:$D, MATCH($A37, 'UZ-normalized'!$A:$A, 0))-INDEX('UZ-normalized'!$E:$E, MATCH($A37, 'UZ-normalized'!$A:$A, 0))), 0), 0)))</f>
        <v>-6492</v>
      </c>
    </row>
    <row r="38" spans="1:44" x14ac:dyDescent="0.25">
      <c r="A38" s="8" t="s">
        <v>121</v>
      </c>
      <c r="B38" s="8" t="s">
        <v>83</v>
      </c>
      <c r="C38" s="8" t="s">
        <v>105</v>
      </c>
      <c r="D38" s="8" t="s">
        <v>122</v>
      </c>
      <c r="F38">
        <v>40</v>
      </c>
      <c r="N38">
        <f t="shared" si="0"/>
        <v>40</v>
      </c>
      <c r="O38" s="6">
        <f>MIN(0, N38+(IFERROR(IF(1*INDEX('UA-normalized'!$D:$D, MATCH($A38, 'UA-normalized'!$A:$A, 0))-INDEX('UA-normalized'!$E:$E, MATCH($A38, 'UA-normalized'!$A:$A, 0))&gt;0, -(1*INDEX('UA-normalized'!$D:$D, MATCH($A38, 'UA-normalized'!$A:$A, 0))-INDEX('UA-normalized'!$E:$E, MATCH($A38, 'UA-normalized'!$A:$A, 0))), 0), 0))+(IFERROR(IF(1*INDEX('KZ-normalized'!$D:$D, MATCH($A38, 'KZ-normalized'!$A:$A, 0))-INDEX('KZ-normalized'!$E:$E, MATCH($A38, 'KZ-normalized'!$A:$A, 0))&gt;0, -(1*INDEX('KZ-normalized'!$D:$D, MATCH($A38, 'KZ-normalized'!$A:$A, 0))-INDEX('KZ-normalized'!$E:$E, MATCH($A38, 'KZ-normalized'!$A:$A, 0))), 0), 0))+(IFERROR(IF(1*INDEX('UZ-normalized'!$D:$D, MATCH($A38, 'UZ-normalized'!$A:$A, 0))-INDEX('UZ-normalized'!$E:$E, MATCH($A38, 'UZ-normalized'!$A:$A, 0))&gt;0, -(1*INDEX('UZ-normalized'!$D:$D, MATCH($A38, 'UZ-normalized'!$A:$A, 0))-INDEX('UZ-normalized'!$E:$E, MATCH($A38, 'UZ-normalized'!$A:$A, 0))), 0), 0)))</f>
        <v>0</v>
      </c>
      <c r="P38" s="6">
        <f>MIN(0, N38+(IFERROR(IF(2*INDEX('UA-normalized'!$D:$D, MATCH($A38, 'UA-normalized'!$A:$A, 0))-INDEX('UA-normalized'!$E:$E, MATCH($A38, 'UA-normalized'!$A:$A, 0))&gt;0, -(2*INDEX('UA-normalized'!$D:$D, MATCH($A38, 'UA-normalized'!$A:$A, 0))-INDEX('UA-normalized'!$E:$E, MATCH($A38, 'UA-normalized'!$A:$A, 0))), 0), 0))+(IFERROR(IF(2*INDEX('KZ-normalized'!$D:$D, MATCH($A38, 'KZ-normalized'!$A:$A, 0))-INDEX('KZ-normalized'!$E:$E, MATCH($A38, 'KZ-normalized'!$A:$A, 0))&gt;0, -(2*INDEX('KZ-normalized'!$D:$D, MATCH($A38, 'KZ-normalized'!$A:$A, 0))-INDEX('KZ-normalized'!$E:$E, MATCH($A38, 'KZ-normalized'!$A:$A, 0))), 0), 0))+(IFERROR(IF(2*INDEX('UZ-normalized'!$D:$D, MATCH($A38, 'UZ-normalized'!$A:$A, 0))-INDEX('UZ-normalized'!$E:$E, MATCH($A38, 'UZ-normalized'!$A:$A, 0))&gt;0, -(2*INDEX('UZ-normalized'!$D:$D, MATCH($A38, 'UZ-normalized'!$A:$A, 0))-INDEX('UZ-normalized'!$E:$E, MATCH($A38, 'UZ-normalized'!$A:$A, 0))), 0), 0)))</f>
        <v>0</v>
      </c>
      <c r="Q38" s="6">
        <f>MIN(0, N38+(IFERROR(IF(3*INDEX('UA-normalized'!$D:$D, MATCH($A38, 'UA-normalized'!$A:$A, 0))-INDEX('UA-normalized'!$E:$E, MATCH($A38, 'UA-normalized'!$A:$A, 0))&gt;0, -(3*INDEX('UA-normalized'!$D:$D, MATCH($A38, 'UA-normalized'!$A:$A, 0))-INDEX('UA-normalized'!$E:$E, MATCH($A38, 'UA-normalized'!$A:$A, 0))), 0), 0))+(IFERROR(IF(3*INDEX('KZ-normalized'!$D:$D, MATCH($A38, 'KZ-normalized'!$A:$A, 0))-INDEX('KZ-normalized'!$E:$E, MATCH($A38, 'KZ-normalized'!$A:$A, 0))&gt;0, -(3*INDEX('KZ-normalized'!$D:$D, MATCH($A38, 'KZ-normalized'!$A:$A, 0))-INDEX('KZ-normalized'!$E:$E, MATCH($A38, 'KZ-normalized'!$A:$A, 0))), 0), 0))+(IFERROR(IF(3*INDEX('UZ-normalized'!$D:$D, MATCH($A38, 'UZ-normalized'!$A:$A, 0))-INDEX('UZ-normalized'!$E:$E, MATCH($A38, 'UZ-normalized'!$A:$A, 0))&gt;0, -(3*INDEX('UZ-normalized'!$D:$D, MATCH($A38, 'UZ-normalized'!$A:$A, 0))-INDEX('UZ-normalized'!$E:$E, MATCH($A38, 'UZ-normalized'!$A:$A, 0))), 0), 0)))</f>
        <v>0</v>
      </c>
      <c r="R38" s="6">
        <f>MIN(0, N38+(IFERROR(IF(4*INDEX('UA-normalized'!$D:$D, MATCH($A38, 'UA-normalized'!$A:$A, 0))-INDEX('UA-normalized'!$E:$E, MATCH($A38, 'UA-normalized'!$A:$A, 0))&gt;0, -(4*INDEX('UA-normalized'!$D:$D, MATCH($A38, 'UA-normalized'!$A:$A, 0))-INDEX('UA-normalized'!$E:$E, MATCH($A38, 'UA-normalized'!$A:$A, 0))), 0), 0))+(IFERROR(IF(4*INDEX('KZ-normalized'!$D:$D, MATCH($A38, 'KZ-normalized'!$A:$A, 0))-INDEX('KZ-normalized'!$E:$E, MATCH($A38, 'KZ-normalized'!$A:$A, 0))&gt;0, -(4*INDEX('KZ-normalized'!$D:$D, MATCH($A38, 'KZ-normalized'!$A:$A, 0))-INDEX('KZ-normalized'!$E:$E, MATCH($A38, 'KZ-normalized'!$A:$A, 0))), 0), 0))+(IFERROR(IF(4*INDEX('UZ-normalized'!$D:$D, MATCH($A38, 'UZ-normalized'!$A:$A, 0))-INDEX('UZ-normalized'!$E:$E, MATCH($A38, 'UZ-normalized'!$A:$A, 0))&gt;0, -(4*INDEX('UZ-normalized'!$D:$D, MATCH($A38, 'UZ-normalized'!$A:$A, 0))-INDEX('UZ-normalized'!$E:$E, MATCH($A38, 'UZ-normalized'!$A:$A, 0))), 0), 0)))</f>
        <v>0</v>
      </c>
      <c r="S38" s="6">
        <f>MIN(0, N38+(IFERROR(IF(5*INDEX('UA-normalized'!$D:$D, MATCH($A38, 'UA-normalized'!$A:$A, 0))-INDEX('UA-normalized'!$E:$E, MATCH($A38, 'UA-normalized'!$A:$A, 0))&gt;0, -(5*INDEX('UA-normalized'!$D:$D, MATCH($A38, 'UA-normalized'!$A:$A, 0))-INDEX('UA-normalized'!$E:$E, MATCH($A38, 'UA-normalized'!$A:$A, 0))), 0), 0))+(IFERROR(IF(5*INDEX('KZ-normalized'!$D:$D, MATCH($A38, 'KZ-normalized'!$A:$A, 0))-INDEX('KZ-normalized'!$E:$E, MATCH($A38, 'KZ-normalized'!$A:$A, 0))&gt;0, -(5*INDEX('KZ-normalized'!$D:$D, MATCH($A38, 'KZ-normalized'!$A:$A, 0))-INDEX('KZ-normalized'!$E:$E, MATCH($A38, 'KZ-normalized'!$A:$A, 0))), 0), 0))+(IFERROR(IF(5*INDEX('UZ-normalized'!$D:$D, MATCH($A38, 'UZ-normalized'!$A:$A, 0))-INDEX('UZ-normalized'!$E:$E, MATCH($A38, 'UZ-normalized'!$A:$A, 0))&gt;0, -(5*INDEX('UZ-normalized'!$D:$D, MATCH($A38, 'UZ-normalized'!$A:$A, 0))-INDEX('UZ-normalized'!$E:$E, MATCH($A38, 'UZ-normalized'!$A:$A, 0))), 0), 0)))</f>
        <v>0</v>
      </c>
      <c r="T38" s="6">
        <f>MIN(0, N38+(IFERROR(IF(6*INDEX('UA-normalized'!$D:$D, MATCH($A38, 'UA-normalized'!$A:$A, 0))-INDEX('UA-normalized'!$E:$E, MATCH($A38, 'UA-normalized'!$A:$A, 0))&gt;0, -(6*INDEX('UA-normalized'!$D:$D, MATCH($A38, 'UA-normalized'!$A:$A, 0))-INDEX('UA-normalized'!$E:$E, MATCH($A38, 'UA-normalized'!$A:$A, 0))), 0), 0))+(IFERROR(IF(6*INDEX('KZ-normalized'!$D:$D, MATCH($A38, 'KZ-normalized'!$A:$A, 0))-INDEX('KZ-normalized'!$E:$E, MATCH($A38, 'KZ-normalized'!$A:$A, 0))&gt;0, -(6*INDEX('KZ-normalized'!$D:$D, MATCH($A38, 'KZ-normalized'!$A:$A, 0))-INDEX('KZ-normalized'!$E:$E, MATCH($A38, 'KZ-normalized'!$A:$A, 0))), 0), 0))+(IFERROR(IF(6*INDEX('UZ-normalized'!$D:$D, MATCH($A38, 'UZ-normalized'!$A:$A, 0))-INDEX('UZ-normalized'!$E:$E, MATCH($A38, 'UZ-normalized'!$A:$A, 0))&gt;0, -(6*INDEX('UZ-normalized'!$D:$D, MATCH($A38, 'UZ-normalized'!$A:$A, 0))-INDEX('UZ-normalized'!$E:$E, MATCH($A38, 'UZ-normalized'!$A:$A, 0))), 0), 0)))</f>
        <v>0</v>
      </c>
      <c r="U38" s="6">
        <f>MIN(0, N38+(IFERROR(IF(7*INDEX('UA-normalized'!$D:$D, MATCH($A38, 'UA-normalized'!$A:$A, 0))-INDEX('UA-normalized'!$E:$E, MATCH($A38, 'UA-normalized'!$A:$A, 0))&gt;0, -(7*INDEX('UA-normalized'!$D:$D, MATCH($A38, 'UA-normalized'!$A:$A, 0))-INDEX('UA-normalized'!$E:$E, MATCH($A38, 'UA-normalized'!$A:$A, 0))), 0), 0))+(IFERROR(IF(7*INDEX('KZ-normalized'!$D:$D, MATCH($A38, 'KZ-normalized'!$A:$A, 0))-INDEX('KZ-normalized'!$E:$E, MATCH($A38, 'KZ-normalized'!$A:$A, 0))&gt;0, -(7*INDEX('KZ-normalized'!$D:$D, MATCH($A38, 'KZ-normalized'!$A:$A, 0))-INDEX('KZ-normalized'!$E:$E, MATCH($A38, 'KZ-normalized'!$A:$A, 0))), 0), 0))+(IFERROR(IF(7*INDEX('UZ-normalized'!$D:$D, MATCH($A38, 'UZ-normalized'!$A:$A, 0))-INDEX('UZ-normalized'!$E:$E, MATCH($A38, 'UZ-normalized'!$A:$A, 0))&gt;0, -(7*INDEX('UZ-normalized'!$D:$D, MATCH($A38, 'UZ-normalized'!$A:$A, 0))-INDEX('UZ-normalized'!$E:$E, MATCH($A38, 'UZ-normalized'!$A:$A, 0))), 0), 0)))</f>
        <v>0</v>
      </c>
      <c r="V38" s="6">
        <f>MIN(0, N38+(IFERROR(IF(8*INDEX('UA-normalized'!$D:$D, MATCH($A38, 'UA-normalized'!$A:$A, 0))-INDEX('UA-normalized'!$E:$E, MATCH($A38, 'UA-normalized'!$A:$A, 0))&gt;0, -(8*INDEX('UA-normalized'!$D:$D, MATCH($A38, 'UA-normalized'!$A:$A, 0))-INDEX('UA-normalized'!$E:$E, MATCH($A38, 'UA-normalized'!$A:$A, 0))), 0), 0))+(IFERROR(IF(8*INDEX('KZ-normalized'!$D:$D, MATCH($A38, 'KZ-normalized'!$A:$A, 0))-INDEX('KZ-normalized'!$E:$E, MATCH($A38, 'KZ-normalized'!$A:$A, 0))&gt;0, -(8*INDEX('KZ-normalized'!$D:$D, MATCH($A38, 'KZ-normalized'!$A:$A, 0))-INDEX('KZ-normalized'!$E:$E, MATCH($A38, 'KZ-normalized'!$A:$A, 0))), 0), 0))+(IFERROR(IF(8*INDEX('UZ-normalized'!$D:$D, MATCH($A38, 'UZ-normalized'!$A:$A, 0))-INDEX('UZ-normalized'!$E:$E, MATCH($A38, 'UZ-normalized'!$A:$A, 0))&gt;0, -(8*INDEX('UZ-normalized'!$D:$D, MATCH($A38, 'UZ-normalized'!$A:$A, 0))-INDEX('UZ-normalized'!$E:$E, MATCH($A38, 'UZ-normalized'!$A:$A, 0))), 0), 0)))</f>
        <v>0</v>
      </c>
      <c r="W38" s="6">
        <f>MIN(0, N38+(IFERROR(IF(9*INDEX('UA-normalized'!$D:$D, MATCH($A38, 'UA-normalized'!$A:$A, 0))-INDEX('UA-normalized'!$E:$E, MATCH($A38, 'UA-normalized'!$A:$A, 0))&gt;0, -(9*INDEX('UA-normalized'!$D:$D, MATCH($A38, 'UA-normalized'!$A:$A, 0))-INDEX('UA-normalized'!$E:$E, MATCH($A38, 'UA-normalized'!$A:$A, 0))), 0), 0))+(IFERROR(IF(9*INDEX('KZ-normalized'!$D:$D, MATCH($A38, 'KZ-normalized'!$A:$A, 0))-INDEX('KZ-normalized'!$E:$E, MATCH($A38, 'KZ-normalized'!$A:$A, 0))&gt;0, -(9*INDEX('KZ-normalized'!$D:$D, MATCH($A38, 'KZ-normalized'!$A:$A, 0))-INDEX('KZ-normalized'!$E:$E, MATCH($A38, 'KZ-normalized'!$A:$A, 0))), 0), 0))+(IFERROR(IF(9*INDEX('UZ-normalized'!$D:$D, MATCH($A38, 'UZ-normalized'!$A:$A, 0))-INDEX('UZ-normalized'!$E:$E, MATCH($A38, 'UZ-normalized'!$A:$A, 0))&gt;0, -(9*INDEX('UZ-normalized'!$D:$D, MATCH($A38, 'UZ-normalized'!$A:$A, 0))-INDEX('UZ-normalized'!$E:$E, MATCH($A38, 'UZ-normalized'!$A:$A, 0))), 0), 0)))</f>
        <v>0</v>
      </c>
      <c r="X38" s="6">
        <f>MIN(0, N38+(IFERROR(IF(10*INDEX('UA-normalized'!$D:$D, MATCH($A38, 'UA-normalized'!$A:$A, 0))-INDEX('UA-normalized'!$E:$E, MATCH($A38, 'UA-normalized'!$A:$A, 0))&gt;0, -(10*INDEX('UA-normalized'!$D:$D, MATCH($A38, 'UA-normalized'!$A:$A, 0))-INDEX('UA-normalized'!$E:$E, MATCH($A38, 'UA-normalized'!$A:$A, 0))), 0), 0))+(IFERROR(IF(10*INDEX('KZ-normalized'!$D:$D, MATCH($A38, 'KZ-normalized'!$A:$A, 0))-INDEX('KZ-normalized'!$E:$E, MATCH($A38, 'KZ-normalized'!$A:$A, 0))&gt;0, -(10*INDEX('KZ-normalized'!$D:$D, MATCH($A38, 'KZ-normalized'!$A:$A, 0))-INDEX('KZ-normalized'!$E:$E, MATCH($A38, 'KZ-normalized'!$A:$A, 0))), 0), 0))+(IFERROR(IF(10*INDEX('UZ-normalized'!$D:$D, MATCH($A38, 'UZ-normalized'!$A:$A, 0))-INDEX('UZ-normalized'!$E:$E, MATCH($A38, 'UZ-normalized'!$A:$A, 0))&gt;0, -(10*INDEX('UZ-normalized'!$D:$D, MATCH($A38, 'UZ-normalized'!$A:$A, 0))-INDEX('UZ-normalized'!$E:$E, MATCH($A38, 'UZ-normalized'!$A:$A, 0))), 0), 0)))</f>
        <v>0</v>
      </c>
      <c r="Y38" s="6">
        <f>MIN(0, N38+(IFERROR(IF(11*INDEX('UA-normalized'!$D:$D, MATCH($A38, 'UA-normalized'!$A:$A, 0))-INDEX('UA-normalized'!$E:$E, MATCH($A38, 'UA-normalized'!$A:$A, 0))&gt;0, -(11*INDEX('UA-normalized'!$D:$D, MATCH($A38, 'UA-normalized'!$A:$A, 0))-INDEX('UA-normalized'!$E:$E, MATCH($A38, 'UA-normalized'!$A:$A, 0))), 0), 0))+(IFERROR(IF(11*INDEX('KZ-normalized'!$D:$D, MATCH($A38, 'KZ-normalized'!$A:$A, 0))-INDEX('KZ-normalized'!$E:$E, MATCH($A38, 'KZ-normalized'!$A:$A, 0))&gt;0, -(11*INDEX('KZ-normalized'!$D:$D, MATCH($A38, 'KZ-normalized'!$A:$A, 0))-INDEX('KZ-normalized'!$E:$E, MATCH($A38, 'KZ-normalized'!$A:$A, 0))), 0), 0))+(IFERROR(IF(11*INDEX('UZ-normalized'!$D:$D, MATCH($A38, 'UZ-normalized'!$A:$A, 0))-INDEX('UZ-normalized'!$E:$E, MATCH($A38, 'UZ-normalized'!$A:$A, 0))&gt;0, -(11*INDEX('UZ-normalized'!$D:$D, MATCH($A38, 'UZ-normalized'!$A:$A, 0))-INDEX('UZ-normalized'!$E:$E, MATCH($A38, 'UZ-normalized'!$A:$A, 0))), 0), 0)))</f>
        <v>0</v>
      </c>
      <c r="Z38" s="6">
        <f>MIN(0, N38+(IFERROR(IF(12*INDEX('UA-normalized'!$D:$D, MATCH($A38, 'UA-normalized'!$A:$A, 0))-INDEX('UA-normalized'!$E:$E, MATCH($A38, 'UA-normalized'!$A:$A, 0))&gt;0, -(12*INDEX('UA-normalized'!$D:$D, MATCH($A38, 'UA-normalized'!$A:$A, 0))-INDEX('UA-normalized'!$E:$E, MATCH($A38, 'UA-normalized'!$A:$A, 0))), 0), 0))+(IFERROR(IF(12*INDEX('KZ-normalized'!$D:$D, MATCH($A38, 'KZ-normalized'!$A:$A, 0))-INDEX('KZ-normalized'!$E:$E, MATCH($A38, 'KZ-normalized'!$A:$A, 0))&gt;0, -(12*INDEX('KZ-normalized'!$D:$D, MATCH($A38, 'KZ-normalized'!$A:$A, 0))-INDEX('KZ-normalized'!$E:$E, MATCH($A38, 'KZ-normalized'!$A:$A, 0))), 0), 0))+(IFERROR(IF(12*INDEX('UZ-normalized'!$D:$D, MATCH($A38, 'UZ-normalized'!$A:$A, 0))-INDEX('UZ-normalized'!$E:$E, MATCH($A38, 'UZ-normalized'!$A:$A, 0))&gt;0, -(12*INDEX('UZ-normalized'!$D:$D, MATCH($A38, 'UZ-normalized'!$A:$A, 0))-INDEX('UZ-normalized'!$E:$E, MATCH($A38, 'UZ-normalized'!$A:$A, 0))), 0), 0)))</f>
        <v>0</v>
      </c>
      <c r="AA38" s="6">
        <f>MIN(0, N38+(IFERROR(IF(13*INDEX('UA-normalized'!$D:$D, MATCH($A38, 'UA-normalized'!$A:$A, 0))-INDEX('UA-normalized'!$E:$E, MATCH($A38, 'UA-normalized'!$A:$A, 0))&gt;0, -(13*INDEX('UA-normalized'!$D:$D, MATCH($A38, 'UA-normalized'!$A:$A, 0))-INDEX('UA-normalized'!$E:$E, MATCH($A38, 'UA-normalized'!$A:$A, 0))), 0), 0))+(IFERROR(IF(13*INDEX('KZ-normalized'!$D:$D, MATCH($A38, 'KZ-normalized'!$A:$A, 0))-INDEX('KZ-normalized'!$E:$E, MATCH($A38, 'KZ-normalized'!$A:$A, 0))&gt;0, -(13*INDEX('KZ-normalized'!$D:$D, MATCH($A38, 'KZ-normalized'!$A:$A, 0))-INDEX('KZ-normalized'!$E:$E, MATCH($A38, 'KZ-normalized'!$A:$A, 0))), 0), 0))+(IFERROR(IF(13*INDEX('UZ-normalized'!$D:$D, MATCH($A38, 'UZ-normalized'!$A:$A, 0))-INDEX('UZ-normalized'!$E:$E, MATCH($A38, 'UZ-normalized'!$A:$A, 0))&gt;0, -(13*INDEX('UZ-normalized'!$D:$D, MATCH($A38, 'UZ-normalized'!$A:$A, 0))-INDEX('UZ-normalized'!$E:$E, MATCH($A38, 'UZ-normalized'!$A:$A, 0))), 0), 0)))</f>
        <v>0</v>
      </c>
      <c r="AB38" s="6">
        <f>MIN(0, N38+(IFERROR(IF(14*INDEX('UA-normalized'!$D:$D, MATCH($A38, 'UA-normalized'!$A:$A, 0))-INDEX('UA-normalized'!$E:$E, MATCH($A38, 'UA-normalized'!$A:$A, 0))&gt;0, -(14*INDEX('UA-normalized'!$D:$D, MATCH($A38, 'UA-normalized'!$A:$A, 0))-INDEX('UA-normalized'!$E:$E, MATCH($A38, 'UA-normalized'!$A:$A, 0))), 0), 0))+(IFERROR(IF(14*INDEX('KZ-normalized'!$D:$D, MATCH($A38, 'KZ-normalized'!$A:$A, 0))-INDEX('KZ-normalized'!$E:$E, MATCH($A38, 'KZ-normalized'!$A:$A, 0))&gt;0, -(14*INDEX('KZ-normalized'!$D:$D, MATCH($A38, 'KZ-normalized'!$A:$A, 0))-INDEX('KZ-normalized'!$E:$E, MATCH($A38, 'KZ-normalized'!$A:$A, 0))), 0), 0))+(IFERROR(IF(14*INDEX('UZ-normalized'!$D:$D, MATCH($A38, 'UZ-normalized'!$A:$A, 0))-INDEX('UZ-normalized'!$E:$E, MATCH($A38, 'UZ-normalized'!$A:$A, 0))&gt;0, -(14*INDEX('UZ-normalized'!$D:$D, MATCH($A38, 'UZ-normalized'!$A:$A, 0))-INDEX('UZ-normalized'!$E:$E, MATCH($A38, 'UZ-normalized'!$A:$A, 0))), 0), 0)))</f>
        <v>0</v>
      </c>
      <c r="AC38" s="6">
        <f>MIN(0, N38+(IFERROR(IF(15*INDEX('UA-normalized'!$D:$D, MATCH($A38, 'UA-normalized'!$A:$A, 0))-INDEX('UA-normalized'!$E:$E, MATCH($A38, 'UA-normalized'!$A:$A, 0))&gt;0, -(15*INDEX('UA-normalized'!$D:$D, MATCH($A38, 'UA-normalized'!$A:$A, 0))-INDEX('UA-normalized'!$E:$E, MATCH($A38, 'UA-normalized'!$A:$A, 0))), 0), 0))+(IFERROR(IF(15*INDEX('KZ-normalized'!$D:$D, MATCH($A38, 'KZ-normalized'!$A:$A, 0))-INDEX('KZ-normalized'!$E:$E, MATCH($A38, 'KZ-normalized'!$A:$A, 0))&gt;0, -(15*INDEX('KZ-normalized'!$D:$D, MATCH($A38, 'KZ-normalized'!$A:$A, 0))-INDEX('KZ-normalized'!$E:$E, MATCH($A38, 'KZ-normalized'!$A:$A, 0))), 0), 0))+(IFERROR(IF(15*INDEX('UZ-normalized'!$D:$D, MATCH($A38, 'UZ-normalized'!$A:$A, 0))-INDEX('UZ-normalized'!$E:$E, MATCH($A38, 'UZ-normalized'!$A:$A, 0))&gt;0, -(15*INDEX('UZ-normalized'!$D:$D, MATCH($A38, 'UZ-normalized'!$A:$A, 0))-INDEX('UZ-normalized'!$E:$E, MATCH($A38, 'UZ-normalized'!$A:$A, 0))), 0), 0)))</f>
        <v>0</v>
      </c>
      <c r="AD38" s="6">
        <f>MIN(0, N38+(IFERROR(IF(16*INDEX('UA-normalized'!$D:$D, MATCH($A38, 'UA-normalized'!$A:$A, 0))-INDEX('UA-normalized'!$E:$E, MATCH($A38, 'UA-normalized'!$A:$A, 0))&gt;0, -(16*INDEX('UA-normalized'!$D:$D, MATCH($A38, 'UA-normalized'!$A:$A, 0))-INDEX('UA-normalized'!$E:$E, MATCH($A38, 'UA-normalized'!$A:$A, 0))), 0), 0))+(IFERROR(IF(16*INDEX('KZ-normalized'!$D:$D, MATCH($A38, 'KZ-normalized'!$A:$A, 0))-INDEX('KZ-normalized'!$E:$E, MATCH($A38, 'KZ-normalized'!$A:$A, 0))&gt;0, -(16*INDEX('KZ-normalized'!$D:$D, MATCH($A38, 'KZ-normalized'!$A:$A, 0))-INDEX('KZ-normalized'!$E:$E, MATCH($A38, 'KZ-normalized'!$A:$A, 0))), 0), 0))+(IFERROR(IF(16*INDEX('UZ-normalized'!$D:$D, MATCH($A38, 'UZ-normalized'!$A:$A, 0))-INDEX('UZ-normalized'!$E:$E, MATCH($A38, 'UZ-normalized'!$A:$A, 0))&gt;0, -(16*INDEX('UZ-normalized'!$D:$D, MATCH($A38, 'UZ-normalized'!$A:$A, 0))-INDEX('UZ-normalized'!$E:$E, MATCH($A38, 'UZ-normalized'!$A:$A, 0))), 0), 0)))</f>
        <v>0</v>
      </c>
      <c r="AE38" s="6">
        <f>MIN(0, N38+(IFERROR(IF(17*INDEX('UA-normalized'!$D:$D, MATCH($A38, 'UA-normalized'!$A:$A, 0))-INDEX('UA-normalized'!$E:$E, MATCH($A38, 'UA-normalized'!$A:$A, 0))&gt;0, -(17*INDEX('UA-normalized'!$D:$D, MATCH($A38, 'UA-normalized'!$A:$A, 0))-INDEX('UA-normalized'!$E:$E, MATCH($A38, 'UA-normalized'!$A:$A, 0))), 0), 0))+(IFERROR(IF(17*INDEX('KZ-normalized'!$D:$D, MATCH($A38, 'KZ-normalized'!$A:$A, 0))-INDEX('KZ-normalized'!$E:$E, MATCH($A38, 'KZ-normalized'!$A:$A, 0))&gt;0, -(17*INDEX('KZ-normalized'!$D:$D, MATCH($A38, 'KZ-normalized'!$A:$A, 0))-INDEX('KZ-normalized'!$E:$E, MATCH($A38, 'KZ-normalized'!$A:$A, 0))), 0), 0))+(IFERROR(IF(17*INDEX('UZ-normalized'!$D:$D, MATCH($A38, 'UZ-normalized'!$A:$A, 0))-INDEX('UZ-normalized'!$E:$E, MATCH($A38, 'UZ-normalized'!$A:$A, 0))&gt;0, -(17*INDEX('UZ-normalized'!$D:$D, MATCH($A38, 'UZ-normalized'!$A:$A, 0))-INDEX('UZ-normalized'!$E:$E, MATCH($A38, 'UZ-normalized'!$A:$A, 0))), 0), 0)))</f>
        <v>0</v>
      </c>
      <c r="AF38" s="6">
        <f>MIN(0, N38+(IFERROR(IF(18*INDEX('UA-normalized'!$D:$D, MATCH($A38, 'UA-normalized'!$A:$A, 0))-INDEX('UA-normalized'!$E:$E, MATCH($A38, 'UA-normalized'!$A:$A, 0))&gt;0, -(18*INDEX('UA-normalized'!$D:$D, MATCH($A38, 'UA-normalized'!$A:$A, 0))-INDEX('UA-normalized'!$E:$E, MATCH($A38, 'UA-normalized'!$A:$A, 0))), 0), 0))+(IFERROR(IF(18*INDEX('KZ-normalized'!$D:$D, MATCH($A38, 'KZ-normalized'!$A:$A, 0))-INDEX('KZ-normalized'!$E:$E, MATCH($A38, 'KZ-normalized'!$A:$A, 0))&gt;0, -(18*INDEX('KZ-normalized'!$D:$D, MATCH($A38, 'KZ-normalized'!$A:$A, 0))-INDEX('KZ-normalized'!$E:$E, MATCH($A38, 'KZ-normalized'!$A:$A, 0))), 0), 0))+(IFERROR(IF(18*INDEX('UZ-normalized'!$D:$D, MATCH($A38, 'UZ-normalized'!$A:$A, 0))-INDEX('UZ-normalized'!$E:$E, MATCH($A38, 'UZ-normalized'!$A:$A, 0))&gt;0, -(18*INDEX('UZ-normalized'!$D:$D, MATCH($A38, 'UZ-normalized'!$A:$A, 0))-INDEX('UZ-normalized'!$E:$E, MATCH($A38, 'UZ-normalized'!$A:$A, 0))), 0), 0)))</f>
        <v>0</v>
      </c>
      <c r="AG38" s="6">
        <f>MIN(0, N38+(IFERROR(IF(19*INDEX('UA-normalized'!$D:$D, MATCH($A38, 'UA-normalized'!$A:$A, 0))-INDEX('UA-normalized'!$E:$E, MATCH($A38, 'UA-normalized'!$A:$A, 0))&gt;0, -(19*INDEX('UA-normalized'!$D:$D, MATCH($A38, 'UA-normalized'!$A:$A, 0))-INDEX('UA-normalized'!$E:$E, MATCH($A38, 'UA-normalized'!$A:$A, 0))), 0), 0))+(IFERROR(IF(19*INDEX('KZ-normalized'!$D:$D, MATCH($A38, 'KZ-normalized'!$A:$A, 0))-INDEX('KZ-normalized'!$E:$E, MATCH($A38, 'KZ-normalized'!$A:$A, 0))&gt;0, -(19*INDEX('KZ-normalized'!$D:$D, MATCH($A38, 'KZ-normalized'!$A:$A, 0))-INDEX('KZ-normalized'!$E:$E, MATCH($A38, 'KZ-normalized'!$A:$A, 0))), 0), 0))+(IFERROR(IF(19*INDEX('UZ-normalized'!$D:$D, MATCH($A38, 'UZ-normalized'!$A:$A, 0))-INDEX('UZ-normalized'!$E:$E, MATCH($A38, 'UZ-normalized'!$A:$A, 0))&gt;0, -(19*INDEX('UZ-normalized'!$D:$D, MATCH($A38, 'UZ-normalized'!$A:$A, 0))-INDEX('UZ-normalized'!$E:$E, MATCH($A38, 'UZ-normalized'!$A:$A, 0))), 0), 0)))</f>
        <v>0</v>
      </c>
      <c r="AH38" s="6">
        <f>MIN(0, N38+(IFERROR(IF(20*INDEX('UA-normalized'!$D:$D, MATCH($A38, 'UA-normalized'!$A:$A, 0))-INDEX('UA-normalized'!$E:$E, MATCH($A38, 'UA-normalized'!$A:$A, 0))&gt;0, -(20*INDEX('UA-normalized'!$D:$D, MATCH($A38, 'UA-normalized'!$A:$A, 0))-INDEX('UA-normalized'!$E:$E, MATCH($A38, 'UA-normalized'!$A:$A, 0))), 0), 0))+(IFERROR(IF(20*INDEX('KZ-normalized'!$D:$D, MATCH($A38, 'KZ-normalized'!$A:$A, 0))-INDEX('KZ-normalized'!$E:$E, MATCH($A38, 'KZ-normalized'!$A:$A, 0))&gt;0, -(20*INDEX('KZ-normalized'!$D:$D, MATCH($A38, 'KZ-normalized'!$A:$A, 0))-INDEX('KZ-normalized'!$E:$E, MATCH($A38, 'KZ-normalized'!$A:$A, 0))), 0), 0))+(IFERROR(IF(20*INDEX('UZ-normalized'!$D:$D, MATCH($A38, 'UZ-normalized'!$A:$A, 0))-INDEX('UZ-normalized'!$E:$E, MATCH($A38, 'UZ-normalized'!$A:$A, 0))&gt;0, -(20*INDEX('UZ-normalized'!$D:$D, MATCH($A38, 'UZ-normalized'!$A:$A, 0))-INDEX('UZ-normalized'!$E:$E, MATCH($A38, 'UZ-normalized'!$A:$A, 0))), 0), 0)))</f>
        <v>0</v>
      </c>
      <c r="AI38" s="6">
        <f>MIN(0, N38+(IFERROR(IF(21*INDEX('UA-normalized'!$D:$D, MATCH($A38, 'UA-normalized'!$A:$A, 0))-INDEX('UA-normalized'!$E:$E, MATCH($A38, 'UA-normalized'!$A:$A, 0))&gt;0, -(21*INDEX('UA-normalized'!$D:$D, MATCH($A38, 'UA-normalized'!$A:$A, 0))-INDEX('UA-normalized'!$E:$E, MATCH($A38, 'UA-normalized'!$A:$A, 0))), 0), 0))+(IFERROR(IF(21*INDEX('KZ-normalized'!$D:$D, MATCH($A38, 'KZ-normalized'!$A:$A, 0))-INDEX('KZ-normalized'!$E:$E, MATCH($A38, 'KZ-normalized'!$A:$A, 0))&gt;0, -(21*INDEX('KZ-normalized'!$D:$D, MATCH($A38, 'KZ-normalized'!$A:$A, 0))-INDEX('KZ-normalized'!$E:$E, MATCH($A38, 'KZ-normalized'!$A:$A, 0))), 0), 0))+(IFERROR(IF(21*INDEX('UZ-normalized'!$D:$D, MATCH($A38, 'UZ-normalized'!$A:$A, 0))-INDEX('UZ-normalized'!$E:$E, MATCH($A38, 'UZ-normalized'!$A:$A, 0))&gt;0, -(21*INDEX('UZ-normalized'!$D:$D, MATCH($A38, 'UZ-normalized'!$A:$A, 0))-INDEX('UZ-normalized'!$E:$E, MATCH($A38, 'UZ-normalized'!$A:$A, 0))), 0), 0)))</f>
        <v>0</v>
      </c>
      <c r="AJ38" s="6">
        <f>MIN(0, N38+(IFERROR(IF(22*INDEX('UA-normalized'!$D:$D, MATCH($A38, 'UA-normalized'!$A:$A, 0))-INDEX('UA-normalized'!$E:$E, MATCH($A38, 'UA-normalized'!$A:$A, 0))&gt;0, -(22*INDEX('UA-normalized'!$D:$D, MATCH($A38, 'UA-normalized'!$A:$A, 0))-INDEX('UA-normalized'!$E:$E, MATCH($A38, 'UA-normalized'!$A:$A, 0))), 0), 0))+(IFERROR(IF(22*INDEX('KZ-normalized'!$D:$D, MATCH($A38, 'KZ-normalized'!$A:$A, 0))-INDEX('KZ-normalized'!$E:$E, MATCH($A38, 'KZ-normalized'!$A:$A, 0))&gt;0, -(22*INDEX('KZ-normalized'!$D:$D, MATCH($A38, 'KZ-normalized'!$A:$A, 0))-INDEX('KZ-normalized'!$E:$E, MATCH($A38, 'KZ-normalized'!$A:$A, 0))), 0), 0))+(IFERROR(IF(22*INDEX('UZ-normalized'!$D:$D, MATCH($A38, 'UZ-normalized'!$A:$A, 0))-INDEX('UZ-normalized'!$E:$E, MATCH($A38, 'UZ-normalized'!$A:$A, 0))&gt;0, -(22*INDEX('UZ-normalized'!$D:$D, MATCH($A38, 'UZ-normalized'!$A:$A, 0))-INDEX('UZ-normalized'!$E:$E, MATCH($A38, 'UZ-normalized'!$A:$A, 0))), 0), 0)))</f>
        <v>0</v>
      </c>
      <c r="AK38" s="6">
        <f>MIN(0, N38+(IFERROR(IF(23*INDEX('UA-normalized'!$D:$D, MATCH($A38, 'UA-normalized'!$A:$A, 0))-INDEX('UA-normalized'!$E:$E, MATCH($A38, 'UA-normalized'!$A:$A, 0))&gt;0, -(23*INDEX('UA-normalized'!$D:$D, MATCH($A38, 'UA-normalized'!$A:$A, 0))-INDEX('UA-normalized'!$E:$E, MATCH($A38, 'UA-normalized'!$A:$A, 0))), 0), 0))+(IFERROR(IF(23*INDEX('KZ-normalized'!$D:$D, MATCH($A38, 'KZ-normalized'!$A:$A, 0))-INDEX('KZ-normalized'!$E:$E, MATCH($A38, 'KZ-normalized'!$A:$A, 0))&gt;0, -(23*INDEX('KZ-normalized'!$D:$D, MATCH($A38, 'KZ-normalized'!$A:$A, 0))-INDEX('KZ-normalized'!$E:$E, MATCH($A38, 'KZ-normalized'!$A:$A, 0))), 0), 0))+(IFERROR(IF(23*INDEX('UZ-normalized'!$D:$D, MATCH($A38, 'UZ-normalized'!$A:$A, 0))-INDEX('UZ-normalized'!$E:$E, MATCH($A38, 'UZ-normalized'!$A:$A, 0))&gt;0, -(23*INDEX('UZ-normalized'!$D:$D, MATCH($A38, 'UZ-normalized'!$A:$A, 0))-INDEX('UZ-normalized'!$E:$E, MATCH($A38, 'UZ-normalized'!$A:$A, 0))), 0), 0)))</f>
        <v>0</v>
      </c>
      <c r="AL38" s="6">
        <f>MIN(0, N38+(IFERROR(IF(24*INDEX('UA-normalized'!$D:$D, MATCH($A38, 'UA-normalized'!$A:$A, 0))-INDEX('UA-normalized'!$E:$E, MATCH($A38, 'UA-normalized'!$A:$A, 0))&gt;0, -(24*INDEX('UA-normalized'!$D:$D, MATCH($A38, 'UA-normalized'!$A:$A, 0))-INDEX('UA-normalized'!$E:$E, MATCH($A38, 'UA-normalized'!$A:$A, 0))), 0), 0))+(IFERROR(IF(24*INDEX('KZ-normalized'!$D:$D, MATCH($A38, 'KZ-normalized'!$A:$A, 0))-INDEX('KZ-normalized'!$E:$E, MATCH($A38, 'KZ-normalized'!$A:$A, 0))&gt;0, -(24*INDEX('KZ-normalized'!$D:$D, MATCH($A38, 'KZ-normalized'!$A:$A, 0))-INDEX('KZ-normalized'!$E:$E, MATCH($A38, 'KZ-normalized'!$A:$A, 0))), 0), 0))+(IFERROR(IF(24*INDEX('UZ-normalized'!$D:$D, MATCH($A38, 'UZ-normalized'!$A:$A, 0))-INDEX('UZ-normalized'!$E:$E, MATCH($A38, 'UZ-normalized'!$A:$A, 0))&gt;0, -(24*INDEX('UZ-normalized'!$D:$D, MATCH($A38, 'UZ-normalized'!$A:$A, 0))-INDEX('UZ-normalized'!$E:$E, MATCH($A38, 'UZ-normalized'!$A:$A, 0))), 0), 0)))</f>
        <v>0</v>
      </c>
      <c r="AM38" s="6">
        <f>MIN(0, N38+(IFERROR(IF(25*INDEX('UA-normalized'!$D:$D, MATCH($A38, 'UA-normalized'!$A:$A, 0))-INDEX('UA-normalized'!$E:$E, MATCH($A38, 'UA-normalized'!$A:$A, 0))&gt;0, -(25*INDEX('UA-normalized'!$D:$D, MATCH($A38, 'UA-normalized'!$A:$A, 0))-INDEX('UA-normalized'!$E:$E, MATCH($A38, 'UA-normalized'!$A:$A, 0))), 0), 0))+(IFERROR(IF(25*INDEX('KZ-normalized'!$D:$D, MATCH($A38, 'KZ-normalized'!$A:$A, 0))-INDEX('KZ-normalized'!$E:$E, MATCH($A38, 'KZ-normalized'!$A:$A, 0))&gt;0, -(25*INDEX('KZ-normalized'!$D:$D, MATCH($A38, 'KZ-normalized'!$A:$A, 0))-INDEX('KZ-normalized'!$E:$E, MATCH($A38, 'KZ-normalized'!$A:$A, 0))), 0), 0))+(IFERROR(IF(25*INDEX('UZ-normalized'!$D:$D, MATCH($A38, 'UZ-normalized'!$A:$A, 0))-INDEX('UZ-normalized'!$E:$E, MATCH($A38, 'UZ-normalized'!$A:$A, 0))&gt;0, -(25*INDEX('UZ-normalized'!$D:$D, MATCH($A38, 'UZ-normalized'!$A:$A, 0))-INDEX('UZ-normalized'!$E:$E, MATCH($A38, 'UZ-normalized'!$A:$A, 0))), 0), 0)))</f>
        <v>0</v>
      </c>
      <c r="AN38" s="6">
        <f>MIN(0, N38+(IFERROR(IF(26*INDEX('UA-normalized'!$D:$D, MATCH($A38, 'UA-normalized'!$A:$A, 0))-INDEX('UA-normalized'!$E:$E, MATCH($A38, 'UA-normalized'!$A:$A, 0))&gt;0, -(26*INDEX('UA-normalized'!$D:$D, MATCH($A38, 'UA-normalized'!$A:$A, 0))-INDEX('UA-normalized'!$E:$E, MATCH($A38, 'UA-normalized'!$A:$A, 0))), 0), 0))+(IFERROR(IF(26*INDEX('KZ-normalized'!$D:$D, MATCH($A38, 'KZ-normalized'!$A:$A, 0))-INDEX('KZ-normalized'!$E:$E, MATCH($A38, 'KZ-normalized'!$A:$A, 0))&gt;0, -(26*INDEX('KZ-normalized'!$D:$D, MATCH($A38, 'KZ-normalized'!$A:$A, 0))-INDEX('KZ-normalized'!$E:$E, MATCH($A38, 'KZ-normalized'!$A:$A, 0))), 0), 0))+(IFERROR(IF(26*INDEX('UZ-normalized'!$D:$D, MATCH($A38, 'UZ-normalized'!$A:$A, 0))-INDEX('UZ-normalized'!$E:$E, MATCH($A38, 'UZ-normalized'!$A:$A, 0))&gt;0, -(26*INDEX('UZ-normalized'!$D:$D, MATCH($A38, 'UZ-normalized'!$A:$A, 0))-INDEX('UZ-normalized'!$E:$E, MATCH($A38, 'UZ-normalized'!$A:$A, 0))), 0), 0)))</f>
        <v>0</v>
      </c>
      <c r="AO38" s="6">
        <f>MIN(0, N38+(IFERROR(IF(27*INDEX('UA-normalized'!$D:$D, MATCH($A38, 'UA-normalized'!$A:$A, 0))-INDEX('UA-normalized'!$E:$E, MATCH($A38, 'UA-normalized'!$A:$A, 0))&gt;0, -(27*INDEX('UA-normalized'!$D:$D, MATCH($A38, 'UA-normalized'!$A:$A, 0))-INDEX('UA-normalized'!$E:$E, MATCH($A38, 'UA-normalized'!$A:$A, 0))), 0), 0))+(IFERROR(IF(27*INDEX('KZ-normalized'!$D:$D, MATCH($A38, 'KZ-normalized'!$A:$A, 0))-INDEX('KZ-normalized'!$E:$E, MATCH($A38, 'KZ-normalized'!$A:$A, 0))&gt;0, -(27*INDEX('KZ-normalized'!$D:$D, MATCH($A38, 'KZ-normalized'!$A:$A, 0))-INDEX('KZ-normalized'!$E:$E, MATCH($A38, 'KZ-normalized'!$A:$A, 0))), 0), 0))+(IFERROR(IF(27*INDEX('UZ-normalized'!$D:$D, MATCH($A38, 'UZ-normalized'!$A:$A, 0))-INDEX('UZ-normalized'!$E:$E, MATCH($A38, 'UZ-normalized'!$A:$A, 0))&gt;0, -(27*INDEX('UZ-normalized'!$D:$D, MATCH($A38, 'UZ-normalized'!$A:$A, 0))-INDEX('UZ-normalized'!$E:$E, MATCH($A38, 'UZ-normalized'!$A:$A, 0))), 0), 0)))</f>
        <v>0</v>
      </c>
      <c r="AP38" s="6">
        <f>MIN(0, N38+(IFERROR(IF(28*INDEX('UA-normalized'!$D:$D, MATCH($A38, 'UA-normalized'!$A:$A, 0))-INDEX('UA-normalized'!$E:$E, MATCH($A38, 'UA-normalized'!$A:$A, 0))&gt;0, -(28*INDEX('UA-normalized'!$D:$D, MATCH($A38, 'UA-normalized'!$A:$A, 0))-INDEX('UA-normalized'!$E:$E, MATCH($A38, 'UA-normalized'!$A:$A, 0))), 0), 0))+(IFERROR(IF(28*INDEX('KZ-normalized'!$D:$D, MATCH($A38, 'KZ-normalized'!$A:$A, 0))-INDEX('KZ-normalized'!$E:$E, MATCH($A38, 'KZ-normalized'!$A:$A, 0))&gt;0, -(28*INDEX('KZ-normalized'!$D:$D, MATCH($A38, 'KZ-normalized'!$A:$A, 0))-INDEX('KZ-normalized'!$E:$E, MATCH($A38, 'KZ-normalized'!$A:$A, 0))), 0), 0))+(IFERROR(IF(28*INDEX('UZ-normalized'!$D:$D, MATCH($A38, 'UZ-normalized'!$A:$A, 0))-INDEX('UZ-normalized'!$E:$E, MATCH($A38, 'UZ-normalized'!$A:$A, 0))&gt;0, -(28*INDEX('UZ-normalized'!$D:$D, MATCH($A38, 'UZ-normalized'!$A:$A, 0))-INDEX('UZ-normalized'!$E:$E, MATCH($A38, 'UZ-normalized'!$A:$A, 0))), 0), 0)))</f>
        <v>0</v>
      </c>
      <c r="AQ38" s="6">
        <f>MIN(0, N38+(IFERROR(IF(29*INDEX('UA-normalized'!$D:$D, MATCH($A38, 'UA-normalized'!$A:$A, 0))-INDEX('UA-normalized'!$E:$E, MATCH($A38, 'UA-normalized'!$A:$A, 0))&gt;0, -(29*INDEX('UA-normalized'!$D:$D, MATCH($A38, 'UA-normalized'!$A:$A, 0))-INDEX('UA-normalized'!$E:$E, MATCH($A38, 'UA-normalized'!$A:$A, 0))), 0), 0))+(IFERROR(IF(29*INDEX('KZ-normalized'!$D:$D, MATCH($A38, 'KZ-normalized'!$A:$A, 0))-INDEX('KZ-normalized'!$E:$E, MATCH($A38, 'KZ-normalized'!$A:$A, 0))&gt;0, -(29*INDEX('KZ-normalized'!$D:$D, MATCH($A38, 'KZ-normalized'!$A:$A, 0))-INDEX('KZ-normalized'!$E:$E, MATCH($A38, 'KZ-normalized'!$A:$A, 0))), 0), 0))+(IFERROR(IF(29*INDEX('UZ-normalized'!$D:$D, MATCH($A38, 'UZ-normalized'!$A:$A, 0))-INDEX('UZ-normalized'!$E:$E, MATCH($A38, 'UZ-normalized'!$A:$A, 0))&gt;0, -(29*INDEX('UZ-normalized'!$D:$D, MATCH($A38, 'UZ-normalized'!$A:$A, 0))-INDEX('UZ-normalized'!$E:$E, MATCH($A38, 'UZ-normalized'!$A:$A, 0))), 0), 0)))</f>
        <v>0</v>
      </c>
      <c r="AR38" s="6">
        <f>MIN(0, N38+(IFERROR(IF(30*INDEX('UA-normalized'!$D:$D, MATCH($A38, 'UA-normalized'!$A:$A, 0))-INDEX('UA-normalized'!$E:$E, MATCH($A38, 'UA-normalized'!$A:$A, 0))&gt;0, -(30*INDEX('UA-normalized'!$D:$D, MATCH($A38, 'UA-normalized'!$A:$A, 0))-INDEX('UA-normalized'!$E:$E, MATCH($A38, 'UA-normalized'!$A:$A, 0))), 0), 0))+(IFERROR(IF(30*INDEX('KZ-normalized'!$D:$D, MATCH($A38, 'KZ-normalized'!$A:$A, 0))-INDEX('KZ-normalized'!$E:$E, MATCH($A38, 'KZ-normalized'!$A:$A, 0))&gt;0, -(30*INDEX('KZ-normalized'!$D:$D, MATCH($A38, 'KZ-normalized'!$A:$A, 0))-INDEX('KZ-normalized'!$E:$E, MATCH($A38, 'KZ-normalized'!$A:$A, 0))), 0), 0))+(IFERROR(IF(30*INDEX('UZ-normalized'!$D:$D, MATCH($A38, 'UZ-normalized'!$A:$A, 0))-INDEX('UZ-normalized'!$E:$E, MATCH($A38, 'UZ-normalized'!$A:$A, 0))&gt;0, -(30*INDEX('UZ-normalized'!$D:$D, MATCH($A38, 'UZ-normalized'!$A:$A, 0))-INDEX('UZ-normalized'!$E:$E, MATCH($A38, 'UZ-normalized'!$A:$A, 0))), 0), 0)))</f>
        <v>0</v>
      </c>
    </row>
    <row r="39" spans="1:44" x14ac:dyDescent="0.25">
      <c r="A39" s="8" t="s">
        <v>123</v>
      </c>
      <c r="B39" s="8" t="s">
        <v>83</v>
      </c>
      <c r="C39" s="8" t="s">
        <v>105</v>
      </c>
      <c r="D39" s="8" t="s">
        <v>122</v>
      </c>
      <c r="N39">
        <f t="shared" si="0"/>
        <v>0</v>
      </c>
      <c r="O39" s="6">
        <f>MIN(0, N39+(IFERROR(IF(1*INDEX('UA-normalized'!$D:$D, MATCH($A39, 'UA-normalized'!$A:$A, 0))-INDEX('UA-normalized'!$E:$E, MATCH($A39, 'UA-normalized'!$A:$A, 0))&gt;0, -(1*INDEX('UA-normalized'!$D:$D, MATCH($A39, 'UA-normalized'!$A:$A, 0))-INDEX('UA-normalized'!$E:$E, MATCH($A39, 'UA-normalized'!$A:$A, 0))), 0), 0))+(IFERROR(IF(1*INDEX('KZ-normalized'!$D:$D, MATCH($A39, 'KZ-normalized'!$A:$A, 0))-INDEX('KZ-normalized'!$E:$E, MATCH($A39, 'KZ-normalized'!$A:$A, 0))&gt;0, -(1*INDEX('KZ-normalized'!$D:$D, MATCH($A39, 'KZ-normalized'!$A:$A, 0))-INDEX('KZ-normalized'!$E:$E, MATCH($A39, 'KZ-normalized'!$A:$A, 0))), 0), 0))+(IFERROR(IF(1*INDEX('UZ-normalized'!$D:$D, MATCH($A39, 'UZ-normalized'!$A:$A, 0))-INDEX('UZ-normalized'!$E:$E, MATCH($A39, 'UZ-normalized'!$A:$A, 0))&gt;0, -(1*INDEX('UZ-normalized'!$D:$D, MATCH($A39, 'UZ-normalized'!$A:$A, 0))-INDEX('UZ-normalized'!$E:$E, MATCH($A39, 'UZ-normalized'!$A:$A, 0))), 0), 0)))</f>
        <v>0</v>
      </c>
      <c r="P39" s="6">
        <f>MIN(0, N39+(IFERROR(IF(2*INDEX('UA-normalized'!$D:$D, MATCH($A39, 'UA-normalized'!$A:$A, 0))-INDEX('UA-normalized'!$E:$E, MATCH($A39, 'UA-normalized'!$A:$A, 0))&gt;0, -(2*INDEX('UA-normalized'!$D:$D, MATCH($A39, 'UA-normalized'!$A:$A, 0))-INDEX('UA-normalized'!$E:$E, MATCH($A39, 'UA-normalized'!$A:$A, 0))), 0), 0))+(IFERROR(IF(2*INDEX('KZ-normalized'!$D:$D, MATCH($A39, 'KZ-normalized'!$A:$A, 0))-INDEX('KZ-normalized'!$E:$E, MATCH($A39, 'KZ-normalized'!$A:$A, 0))&gt;0, -(2*INDEX('KZ-normalized'!$D:$D, MATCH($A39, 'KZ-normalized'!$A:$A, 0))-INDEX('KZ-normalized'!$E:$E, MATCH($A39, 'KZ-normalized'!$A:$A, 0))), 0), 0))+(IFERROR(IF(2*INDEX('UZ-normalized'!$D:$D, MATCH($A39, 'UZ-normalized'!$A:$A, 0))-INDEX('UZ-normalized'!$E:$E, MATCH($A39, 'UZ-normalized'!$A:$A, 0))&gt;0, -(2*INDEX('UZ-normalized'!$D:$D, MATCH($A39, 'UZ-normalized'!$A:$A, 0))-INDEX('UZ-normalized'!$E:$E, MATCH($A39, 'UZ-normalized'!$A:$A, 0))), 0), 0)))</f>
        <v>0</v>
      </c>
      <c r="Q39" s="6">
        <f>MIN(0, N39+(IFERROR(IF(3*INDEX('UA-normalized'!$D:$D, MATCH($A39, 'UA-normalized'!$A:$A, 0))-INDEX('UA-normalized'!$E:$E, MATCH($A39, 'UA-normalized'!$A:$A, 0))&gt;0, -(3*INDEX('UA-normalized'!$D:$D, MATCH($A39, 'UA-normalized'!$A:$A, 0))-INDEX('UA-normalized'!$E:$E, MATCH($A39, 'UA-normalized'!$A:$A, 0))), 0), 0))+(IFERROR(IF(3*INDEX('KZ-normalized'!$D:$D, MATCH($A39, 'KZ-normalized'!$A:$A, 0))-INDEX('KZ-normalized'!$E:$E, MATCH($A39, 'KZ-normalized'!$A:$A, 0))&gt;0, -(3*INDEX('KZ-normalized'!$D:$D, MATCH($A39, 'KZ-normalized'!$A:$A, 0))-INDEX('KZ-normalized'!$E:$E, MATCH($A39, 'KZ-normalized'!$A:$A, 0))), 0), 0))+(IFERROR(IF(3*INDEX('UZ-normalized'!$D:$D, MATCH($A39, 'UZ-normalized'!$A:$A, 0))-INDEX('UZ-normalized'!$E:$E, MATCH($A39, 'UZ-normalized'!$A:$A, 0))&gt;0, -(3*INDEX('UZ-normalized'!$D:$D, MATCH($A39, 'UZ-normalized'!$A:$A, 0))-INDEX('UZ-normalized'!$E:$E, MATCH($A39, 'UZ-normalized'!$A:$A, 0))), 0), 0)))</f>
        <v>0</v>
      </c>
      <c r="R39" s="6">
        <f>MIN(0, N39+(IFERROR(IF(4*INDEX('UA-normalized'!$D:$D, MATCH($A39, 'UA-normalized'!$A:$A, 0))-INDEX('UA-normalized'!$E:$E, MATCH($A39, 'UA-normalized'!$A:$A, 0))&gt;0, -(4*INDEX('UA-normalized'!$D:$D, MATCH($A39, 'UA-normalized'!$A:$A, 0))-INDEX('UA-normalized'!$E:$E, MATCH($A39, 'UA-normalized'!$A:$A, 0))), 0), 0))+(IFERROR(IF(4*INDEX('KZ-normalized'!$D:$D, MATCH($A39, 'KZ-normalized'!$A:$A, 0))-INDEX('KZ-normalized'!$E:$E, MATCH($A39, 'KZ-normalized'!$A:$A, 0))&gt;0, -(4*INDEX('KZ-normalized'!$D:$D, MATCH($A39, 'KZ-normalized'!$A:$A, 0))-INDEX('KZ-normalized'!$E:$E, MATCH($A39, 'KZ-normalized'!$A:$A, 0))), 0), 0))+(IFERROR(IF(4*INDEX('UZ-normalized'!$D:$D, MATCH($A39, 'UZ-normalized'!$A:$A, 0))-INDEX('UZ-normalized'!$E:$E, MATCH($A39, 'UZ-normalized'!$A:$A, 0))&gt;0, -(4*INDEX('UZ-normalized'!$D:$D, MATCH($A39, 'UZ-normalized'!$A:$A, 0))-INDEX('UZ-normalized'!$E:$E, MATCH($A39, 'UZ-normalized'!$A:$A, 0))), 0), 0)))</f>
        <v>0</v>
      </c>
      <c r="S39" s="6">
        <f>MIN(0, N39+(IFERROR(IF(5*INDEX('UA-normalized'!$D:$D, MATCH($A39, 'UA-normalized'!$A:$A, 0))-INDEX('UA-normalized'!$E:$E, MATCH($A39, 'UA-normalized'!$A:$A, 0))&gt;0, -(5*INDEX('UA-normalized'!$D:$D, MATCH($A39, 'UA-normalized'!$A:$A, 0))-INDEX('UA-normalized'!$E:$E, MATCH($A39, 'UA-normalized'!$A:$A, 0))), 0), 0))+(IFERROR(IF(5*INDEX('KZ-normalized'!$D:$D, MATCH($A39, 'KZ-normalized'!$A:$A, 0))-INDEX('KZ-normalized'!$E:$E, MATCH($A39, 'KZ-normalized'!$A:$A, 0))&gt;0, -(5*INDEX('KZ-normalized'!$D:$D, MATCH($A39, 'KZ-normalized'!$A:$A, 0))-INDEX('KZ-normalized'!$E:$E, MATCH($A39, 'KZ-normalized'!$A:$A, 0))), 0), 0))+(IFERROR(IF(5*INDEX('UZ-normalized'!$D:$D, MATCH($A39, 'UZ-normalized'!$A:$A, 0))-INDEX('UZ-normalized'!$E:$E, MATCH($A39, 'UZ-normalized'!$A:$A, 0))&gt;0, -(5*INDEX('UZ-normalized'!$D:$D, MATCH($A39, 'UZ-normalized'!$A:$A, 0))-INDEX('UZ-normalized'!$E:$E, MATCH($A39, 'UZ-normalized'!$A:$A, 0))), 0), 0)))</f>
        <v>0</v>
      </c>
      <c r="T39" s="6">
        <f>MIN(0, N39+(IFERROR(IF(6*INDEX('UA-normalized'!$D:$D, MATCH($A39, 'UA-normalized'!$A:$A, 0))-INDEX('UA-normalized'!$E:$E, MATCH($A39, 'UA-normalized'!$A:$A, 0))&gt;0, -(6*INDEX('UA-normalized'!$D:$D, MATCH($A39, 'UA-normalized'!$A:$A, 0))-INDEX('UA-normalized'!$E:$E, MATCH($A39, 'UA-normalized'!$A:$A, 0))), 0), 0))+(IFERROR(IF(6*INDEX('KZ-normalized'!$D:$D, MATCH($A39, 'KZ-normalized'!$A:$A, 0))-INDEX('KZ-normalized'!$E:$E, MATCH($A39, 'KZ-normalized'!$A:$A, 0))&gt;0, -(6*INDEX('KZ-normalized'!$D:$D, MATCH($A39, 'KZ-normalized'!$A:$A, 0))-INDEX('KZ-normalized'!$E:$E, MATCH($A39, 'KZ-normalized'!$A:$A, 0))), 0), 0))+(IFERROR(IF(6*INDEX('UZ-normalized'!$D:$D, MATCH($A39, 'UZ-normalized'!$A:$A, 0))-INDEX('UZ-normalized'!$E:$E, MATCH($A39, 'UZ-normalized'!$A:$A, 0))&gt;0, -(6*INDEX('UZ-normalized'!$D:$D, MATCH($A39, 'UZ-normalized'!$A:$A, 0))-INDEX('UZ-normalized'!$E:$E, MATCH($A39, 'UZ-normalized'!$A:$A, 0))), 0), 0)))</f>
        <v>0</v>
      </c>
      <c r="U39" s="6">
        <f>MIN(0, N39+(IFERROR(IF(7*INDEX('UA-normalized'!$D:$D, MATCH($A39, 'UA-normalized'!$A:$A, 0))-INDEX('UA-normalized'!$E:$E, MATCH($A39, 'UA-normalized'!$A:$A, 0))&gt;0, -(7*INDEX('UA-normalized'!$D:$D, MATCH($A39, 'UA-normalized'!$A:$A, 0))-INDEX('UA-normalized'!$E:$E, MATCH($A39, 'UA-normalized'!$A:$A, 0))), 0), 0))+(IFERROR(IF(7*INDEX('KZ-normalized'!$D:$D, MATCH($A39, 'KZ-normalized'!$A:$A, 0))-INDEX('KZ-normalized'!$E:$E, MATCH($A39, 'KZ-normalized'!$A:$A, 0))&gt;0, -(7*INDEX('KZ-normalized'!$D:$D, MATCH($A39, 'KZ-normalized'!$A:$A, 0))-INDEX('KZ-normalized'!$E:$E, MATCH($A39, 'KZ-normalized'!$A:$A, 0))), 0), 0))+(IFERROR(IF(7*INDEX('UZ-normalized'!$D:$D, MATCH($A39, 'UZ-normalized'!$A:$A, 0))-INDEX('UZ-normalized'!$E:$E, MATCH($A39, 'UZ-normalized'!$A:$A, 0))&gt;0, -(7*INDEX('UZ-normalized'!$D:$D, MATCH($A39, 'UZ-normalized'!$A:$A, 0))-INDEX('UZ-normalized'!$E:$E, MATCH($A39, 'UZ-normalized'!$A:$A, 0))), 0), 0)))</f>
        <v>0</v>
      </c>
      <c r="V39" s="6">
        <f>MIN(0, N39+(IFERROR(IF(8*INDEX('UA-normalized'!$D:$D, MATCH($A39, 'UA-normalized'!$A:$A, 0))-INDEX('UA-normalized'!$E:$E, MATCH($A39, 'UA-normalized'!$A:$A, 0))&gt;0, -(8*INDEX('UA-normalized'!$D:$D, MATCH($A39, 'UA-normalized'!$A:$A, 0))-INDEX('UA-normalized'!$E:$E, MATCH($A39, 'UA-normalized'!$A:$A, 0))), 0), 0))+(IFERROR(IF(8*INDEX('KZ-normalized'!$D:$D, MATCH($A39, 'KZ-normalized'!$A:$A, 0))-INDEX('KZ-normalized'!$E:$E, MATCH($A39, 'KZ-normalized'!$A:$A, 0))&gt;0, -(8*INDEX('KZ-normalized'!$D:$D, MATCH($A39, 'KZ-normalized'!$A:$A, 0))-INDEX('KZ-normalized'!$E:$E, MATCH($A39, 'KZ-normalized'!$A:$A, 0))), 0), 0))+(IFERROR(IF(8*INDEX('UZ-normalized'!$D:$D, MATCH($A39, 'UZ-normalized'!$A:$A, 0))-INDEX('UZ-normalized'!$E:$E, MATCH($A39, 'UZ-normalized'!$A:$A, 0))&gt;0, -(8*INDEX('UZ-normalized'!$D:$D, MATCH($A39, 'UZ-normalized'!$A:$A, 0))-INDEX('UZ-normalized'!$E:$E, MATCH($A39, 'UZ-normalized'!$A:$A, 0))), 0), 0)))</f>
        <v>0</v>
      </c>
      <c r="W39" s="6">
        <f>MIN(0, N39+(IFERROR(IF(9*INDEX('UA-normalized'!$D:$D, MATCH($A39, 'UA-normalized'!$A:$A, 0))-INDEX('UA-normalized'!$E:$E, MATCH($A39, 'UA-normalized'!$A:$A, 0))&gt;0, -(9*INDEX('UA-normalized'!$D:$D, MATCH($A39, 'UA-normalized'!$A:$A, 0))-INDEX('UA-normalized'!$E:$E, MATCH($A39, 'UA-normalized'!$A:$A, 0))), 0), 0))+(IFERROR(IF(9*INDEX('KZ-normalized'!$D:$D, MATCH($A39, 'KZ-normalized'!$A:$A, 0))-INDEX('KZ-normalized'!$E:$E, MATCH($A39, 'KZ-normalized'!$A:$A, 0))&gt;0, -(9*INDEX('KZ-normalized'!$D:$D, MATCH($A39, 'KZ-normalized'!$A:$A, 0))-INDEX('KZ-normalized'!$E:$E, MATCH($A39, 'KZ-normalized'!$A:$A, 0))), 0), 0))+(IFERROR(IF(9*INDEX('UZ-normalized'!$D:$D, MATCH($A39, 'UZ-normalized'!$A:$A, 0))-INDEX('UZ-normalized'!$E:$E, MATCH($A39, 'UZ-normalized'!$A:$A, 0))&gt;0, -(9*INDEX('UZ-normalized'!$D:$D, MATCH($A39, 'UZ-normalized'!$A:$A, 0))-INDEX('UZ-normalized'!$E:$E, MATCH($A39, 'UZ-normalized'!$A:$A, 0))), 0), 0)))</f>
        <v>-10</v>
      </c>
      <c r="X39" s="6">
        <f>MIN(0, N39+(IFERROR(IF(10*INDEX('UA-normalized'!$D:$D, MATCH($A39, 'UA-normalized'!$A:$A, 0))-INDEX('UA-normalized'!$E:$E, MATCH($A39, 'UA-normalized'!$A:$A, 0))&gt;0, -(10*INDEX('UA-normalized'!$D:$D, MATCH($A39, 'UA-normalized'!$A:$A, 0))-INDEX('UA-normalized'!$E:$E, MATCH($A39, 'UA-normalized'!$A:$A, 0))), 0), 0))+(IFERROR(IF(10*INDEX('KZ-normalized'!$D:$D, MATCH($A39, 'KZ-normalized'!$A:$A, 0))-INDEX('KZ-normalized'!$E:$E, MATCH($A39, 'KZ-normalized'!$A:$A, 0))&gt;0, -(10*INDEX('KZ-normalized'!$D:$D, MATCH($A39, 'KZ-normalized'!$A:$A, 0))-INDEX('KZ-normalized'!$E:$E, MATCH($A39, 'KZ-normalized'!$A:$A, 0))), 0), 0))+(IFERROR(IF(10*INDEX('UZ-normalized'!$D:$D, MATCH($A39, 'UZ-normalized'!$A:$A, 0))-INDEX('UZ-normalized'!$E:$E, MATCH($A39, 'UZ-normalized'!$A:$A, 0))&gt;0, -(10*INDEX('UZ-normalized'!$D:$D, MATCH($A39, 'UZ-normalized'!$A:$A, 0))-INDEX('UZ-normalized'!$E:$E, MATCH($A39, 'UZ-normalized'!$A:$A, 0))), 0), 0)))</f>
        <v>-22</v>
      </c>
      <c r="Y39" s="6">
        <f>MIN(0, N39+(IFERROR(IF(11*INDEX('UA-normalized'!$D:$D, MATCH($A39, 'UA-normalized'!$A:$A, 0))-INDEX('UA-normalized'!$E:$E, MATCH($A39, 'UA-normalized'!$A:$A, 0))&gt;0, -(11*INDEX('UA-normalized'!$D:$D, MATCH($A39, 'UA-normalized'!$A:$A, 0))-INDEX('UA-normalized'!$E:$E, MATCH($A39, 'UA-normalized'!$A:$A, 0))), 0), 0))+(IFERROR(IF(11*INDEX('KZ-normalized'!$D:$D, MATCH($A39, 'KZ-normalized'!$A:$A, 0))-INDEX('KZ-normalized'!$E:$E, MATCH($A39, 'KZ-normalized'!$A:$A, 0))&gt;0, -(11*INDEX('KZ-normalized'!$D:$D, MATCH($A39, 'KZ-normalized'!$A:$A, 0))-INDEX('KZ-normalized'!$E:$E, MATCH($A39, 'KZ-normalized'!$A:$A, 0))), 0), 0))+(IFERROR(IF(11*INDEX('UZ-normalized'!$D:$D, MATCH($A39, 'UZ-normalized'!$A:$A, 0))-INDEX('UZ-normalized'!$E:$E, MATCH($A39, 'UZ-normalized'!$A:$A, 0))&gt;0, -(11*INDEX('UZ-normalized'!$D:$D, MATCH($A39, 'UZ-normalized'!$A:$A, 0))-INDEX('UZ-normalized'!$E:$E, MATCH($A39, 'UZ-normalized'!$A:$A, 0))), 0), 0)))</f>
        <v>-34</v>
      </c>
      <c r="Z39" s="6">
        <f>MIN(0, N39+(IFERROR(IF(12*INDEX('UA-normalized'!$D:$D, MATCH($A39, 'UA-normalized'!$A:$A, 0))-INDEX('UA-normalized'!$E:$E, MATCH($A39, 'UA-normalized'!$A:$A, 0))&gt;0, -(12*INDEX('UA-normalized'!$D:$D, MATCH($A39, 'UA-normalized'!$A:$A, 0))-INDEX('UA-normalized'!$E:$E, MATCH($A39, 'UA-normalized'!$A:$A, 0))), 0), 0))+(IFERROR(IF(12*INDEX('KZ-normalized'!$D:$D, MATCH($A39, 'KZ-normalized'!$A:$A, 0))-INDEX('KZ-normalized'!$E:$E, MATCH($A39, 'KZ-normalized'!$A:$A, 0))&gt;0, -(12*INDEX('KZ-normalized'!$D:$D, MATCH($A39, 'KZ-normalized'!$A:$A, 0))-INDEX('KZ-normalized'!$E:$E, MATCH($A39, 'KZ-normalized'!$A:$A, 0))), 0), 0))+(IFERROR(IF(12*INDEX('UZ-normalized'!$D:$D, MATCH($A39, 'UZ-normalized'!$A:$A, 0))-INDEX('UZ-normalized'!$E:$E, MATCH($A39, 'UZ-normalized'!$A:$A, 0))&gt;0, -(12*INDEX('UZ-normalized'!$D:$D, MATCH($A39, 'UZ-normalized'!$A:$A, 0))-INDEX('UZ-normalized'!$E:$E, MATCH($A39, 'UZ-normalized'!$A:$A, 0))), 0), 0)))</f>
        <v>-46</v>
      </c>
      <c r="AA39" s="6">
        <f>MIN(0, N39+(IFERROR(IF(13*INDEX('UA-normalized'!$D:$D, MATCH($A39, 'UA-normalized'!$A:$A, 0))-INDEX('UA-normalized'!$E:$E, MATCH($A39, 'UA-normalized'!$A:$A, 0))&gt;0, -(13*INDEX('UA-normalized'!$D:$D, MATCH($A39, 'UA-normalized'!$A:$A, 0))-INDEX('UA-normalized'!$E:$E, MATCH($A39, 'UA-normalized'!$A:$A, 0))), 0), 0))+(IFERROR(IF(13*INDEX('KZ-normalized'!$D:$D, MATCH($A39, 'KZ-normalized'!$A:$A, 0))-INDEX('KZ-normalized'!$E:$E, MATCH($A39, 'KZ-normalized'!$A:$A, 0))&gt;0, -(13*INDEX('KZ-normalized'!$D:$D, MATCH($A39, 'KZ-normalized'!$A:$A, 0))-INDEX('KZ-normalized'!$E:$E, MATCH($A39, 'KZ-normalized'!$A:$A, 0))), 0), 0))+(IFERROR(IF(13*INDEX('UZ-normalized'!$D:$D, MATCH($A39, 'UZ-normalized'!$A:$A, 0))-INDEX('UZ-normalized'!$E:$E, MATCH($A39, 'UZ-normalized'!$A:$A, 0))&gt;0, -(13*INDEX('UZ-normalized'!$D:$D, MATCH($A39, 'UZ-normalized'!$A:$A, 0))-INDEX('UZ-normalized'!$E:$E, MATCH($A39, 'UZ-normalized'!$A:$A, 0))), 0), 0)))</f>
        <v>-58</v>
      </c>
      <c r="AB39" s="6">
        <f>MIN(0, N39+(IFERROR(IF(14*INDEX('UA-normalized'!$D:$D, MATCH($A39, 'UA-normalized'!$A:$A, 0))-INDEX('UA-normalized'!$E:$E, MATCH($A39, 'UA-normalized'!$A:$A, 0))&gt;0, -(14*INDEX('UA-normalized'!$D:$D, MATCH($A39, 'UA-normalized'!$A:$A, 0))-INDEX('UA-normalized'!$E:$E, MATCH($A39, 'UA-normalized'!$A:$A, 0))), 0), 0))+(IFERROR(IF(14*INDEX('KZ-normalized'!$D:$D, MATCH($A39, 'KZ-normalized'!$A:$A, 0))-INDEX('KZ-normalized'!$E:$E, MATCH($A39, 'KZ-normalized'!$A:$A, 0))&gt;0, -(14*INDEX('KZ-normalized'!$D:$D, MATCH($A39, 'KZ-normalized'!$A:$A, 0))-INDEX('KZ-normalized'!$E:$E, MATCH($A39, 'KZ-normalized'!$A:$A, 0))), 0), 0))+(IFERROR(IF(14*INDEX('UZ-normalized'!$D:$D, MATCH($A39, 'UZ-normalized'!$A:$A, 0))-INDEX('UZ-normalized'!$E:$E, MATCH($A39, 'UZ-normalized'!$A:$A, 0))&gt;0, -(14*INDEX('UZ-normalized'!$D:$D, MATCH($A39, 'UZ-normalized'!$A:$A, 0))-INDEX('UZ-normalized'!$E:$E, MATCH($A39, 'UZ-normalized'!$A:$A, 0))), 0), 0)))</f>
        <v>-70</v>
      </c>
      <c r="AC39" s="6">
        <f>MIN(0, N39+(IFERROR(IF(15*INDEX('UA-normalized'!$D:$D, MATCH($A39, 'UA-normalized'!$A:$A, 0))-INDEX('UA-normalized'!$E:$E, MATCH($A39, 'UA-normalized'!$A:$A, 0))&gt;0, -(15*INDEX('UA-normalized'!$D:$D, MATCH($A39, 'UA-normalized'!$A:$A, 0))-INDEX('UA-normalized'!$E:$E, MATCH($A39, 'UA-normalized'!$A:$A, 0))), 0), 0))+(IFERROR(IF(15*INDEX('KZ-normalized'!$D:$D, MATCH($A39, 'KZ-normalized'!$A:$A, 0))-INDEX('KZ-normalized'!$E:$E, MATCH($A39, 'KZ-normalized'!$A:$A, 0))&gt;0, -(15*INDEX('KZ-normalized'!$D:$D, MATCH($A39, 'KZ-normalized'!$A:$A, 0))-INDEX('KZ-normalized'!$E:$E, MATCH($A39, 'KZ-normalized'!$A:$A, 0))), 0), 0))+(IFERROR(IF(15*INDEX('UZ-normalized'!$D:$D, MATCH($A39, 'UZ-normalized'!$A:$A, 0))-INDEX('UZ-normalized'!$E:$E, MATCH($A39, 'UZ-normalized'!$A:$A, 0))&gt;0, -(15*INDEX('UZ-normalized'!$D:$D, MATCH($A39, 'UZ-normalized'!$A:$A, 0))-INDEX('UZ-normalized'!$E:$E, MATCH($A39, 'UZ-normalized'!$A:$A, 0))), 0), 0)))</f>
        <v>-82</v>
      </c>
      <c r="AD39" s="6">
        <f>MIN(0, N39+(IFERROR(IF(16*INDEX('UA-normalized'!$D:$D, MATCH($A39, 'UA-normalized'!$A:$A, 0))-INDEX('UA-normalized'!$E:$E, MATCH($A39, 'UA-normalized'!$A:$A, 0))&gt;0, -(16*INDEX('UA-normalized'!$D:$D, MATCH($A39, 'UA-normalized'!$A:$A, 0))-INDEX('UA-normalized'!$E:$E, MATCH($A39, 'UA-normalized'!$A:$A, 0))), 0), 0))+(IFERROR(IF(16*INDEX('KZ-normalized'!$D:$D, MATCH($A39, 'KZ-normalized'!$A:$A, 0))-INDEX('KZ-normalized'!$E:$E, MATCH($A39, 'KZ-normalized'!$A:$A, 0))&gt;0, -(16*INDEX('KZ-normalized'!$D:$D, MATCH($A39, 'KZ-normalized'!$A:$A, 0))-INDEX('KZ-normalized'!$E:$E, MATCH($A39, 'KZ-normalized'!$A:$A, 0))), 0), 0))+(IFERROR(IF(16*INDEX('UZ-normalized'!$D:$D, MATCH($A39, 'UZ-normalized'!$A:$A, 0))-INDEX('UZ-normalized'!$E:$E, MATCH($A39, 'UZ-normalized'!$A:$A, 0))&gt;0, -(16*INDEX('UZ-normalized'!$D:$D, MATCH($A39, 'UZ-normalized'!$A:$A, 0))-INDEX('UZ-normalized'!$E:$E, MATCH($A39, 'UZ-normalized'!$A:$A, 0))), 0), 0)))</f>
        <v>-94</v>
      </c>
      <c r="AE39" s="6">
        <f>MIN(0, N39+(IFERROR(IF(17*INDEX('UA-normalized'!$D:$D, MATCH($A39, 'UA-normalized'!$A:$A, 0))-INDEX('UA-normalized'!$E:$E, MATCH($A39, 'UA-normalized'!$A:$A, 0))&gt;0, -(17*INDEX('UA-normalized'!$D:$D, MATCH($A39, 'UA-normalized'!$A:$A, 0))-INDEX('UA-normalized'!$E:$E, MATCH($A39, 'UA-normalized'!$A:$A, 0))), 0), 0))+(IFERROR(IF(17*INDEX('KZ-normalized'!$D:$D, MATCH($A39, 'KZ-normalized'!$A:$A, 0))-INDEX('KZ-normalized'!$E:$E, MATCH($A39, 'KZ-normalized'!$A:$A, 0))&gt;0, -(17*INDEX('KZ-normalized'!$D:$D, MATCH($A39, 'KZ-normalized'!$A:$A, 0))-INDEX('KZ-normalized'!$E:$E, MATCH($A39, 'KZ-normalized'!$A:$A, 0))), 0), 0))+(IFERROR(IF(17*INDEX('UZ-normalized'!$D:$D, MATCH($A39, 'UZ-normalized'!$A:$A, 0))-INDEX('UZ-normalized'!$E:$E, MATCH($A39, 'UZ-normalized'!$A:$A, 0))&gt;0, -(17*INDEX('UZ-normalized'!$D:$D, MATCH($A39, 'UZ-normalized'!$A:$A, 0))-INDEX('UZ-normalized'!$E:$E, MATCH($A39, 'UZ-normalized'!$A:$A, 0))), 0), 0)))</f>
        <v>-106</v>
      </c>
      <c r="AF39" s="6">
        <f>MIN(0, N39+(IFERROR(IF(18*INDEX('UA-normalized'!$D:$D, MATCH($A39, 'UA-normalized'!$A:$A, 0))-INDEX('UA-normalized'!$E:$E, MATCH($A39, 'UA-normalized'!$A:$A, 0))&gt;0, -(18*INDEX('UA-normalized'!$D:$D, MATCH($A39, 'UA-normalized'!$A:$A, 0))-INDEX('UA-normalized'!$E:$E, MATCH($A39, 'UA-normalized'!$A:$A, 0))), 0), 0))+(IFERROR(IF(18*INDEX('KZ-normalized'!$D:$D, MATCH($A39, 'KZ-normalized'!$A:$A, 0))-INDEX('KZ-normalized'!$E:$E, MATCH($A39, 'KZ-normalized'!$A:$A, 0))&gt;0, -(18*INDEX('KZ-normalized'!$D:$D, MATCH($A39, 'KZ-normalized'!$A:$A, 0))-INDEX('KZ-normalized'!$E:$E, MATCH($A39, 'KZ-normalized'!$A:$A, 0))), 0), 0))+(IFERROR(IF(18*INDEX('UZ-normalized'!$D:$D, MATCH($A39, 'UZ-normalized'!$A:$A, 0))-INDEX('UZ-normalized'!$E:$E, MATCH($A39, 'UZ-normalized'!$A:$A, 0))&gt;0, -(18*INDEX('UZ-normalized'!$D:$D, MATCH($A39, 'UZ-normalized'!$A:$A, 0))-INDEX('UZ-normalized'!$E:$E, MATCH($A39, 'UZ-normalized'!$A:$A, 0))), 0), 0)))</f>
        <v>-118</v>
      </c>
      <c r="AG39" s="6">
        <f>MIN(0, N39+(IFERROR(IF(19*INDEX('UA-normalized'!$D:$D, MATCH($A39, 'UA-normalized'!$A:$A, 0))-INDEX('UA-normalized'!$E:$E, MATCH($A39, 'UA-normalized'!$A:$A, 0))&gt;0, -(19*INDEX('UA-normalized'!$D:$D, MATCH($A39, 'UA-normalized'!$A:$A, 0))-INDEX('UA-normalized'!$E:$E, MATCH($A39, 'UA-normalized'!$A:$A, 0))), 0), 0))+(IFERROR(IF(19*INDEX('KZ-normalized'!$D:$D, MATCH($A39, 'KZ-normalized'!$A:$A, 0))-INDEX('KZ-normalized'!$E:$E, MATCH($A39, 'KZ-normalized'!$A:$A, 0))&gt;0, -(19*INDEX('KZ-normalized'!$D:$D, MATCH($A39, 'KZ-normalized'!$A:$A, 0))-INDEX('KZ-normalized'!$E:$E, MATCH($A39, 'KZ-normalized'!$A:$A, 0))), 0), 0))+(IFERROR(IF(19*INDEX('UZ-normalized'!$D:$D, MATCH($A39, 'UZ-normalized'!$A:$A, 0))-INDEX('UZ-normalized'!$E:$E, MATCH($A39, 'UZ-normalized'!$A:$A, 0))&gt;0, -(19*INDEX('UZ-normalized'!$D:$D, MATCH($A39, 'UZ-normalized'!$A:$A, 0))-INDEX('UZ-normalized'!$E:$E, MATCH($A39, 'UZ-normalized'!$A:$A, 0))), 0), 0)))</f>
        <v>-130</v>
      </c>
      <c r="AH39" s="6">
        <f>MIN(0, N39+(IFERROR(IF(20*INDEX('UA-normalized'!$D:$D, MATCH($A39, 'UA-normalized'!$A:$A, 0))-INDEX('UA-normalized'!$E:$E, MATCH($A39, 'UA-normalized'!$A:$A, 0))&gt;0, -(20*INDEX('UA-normalized'!$D:$D, MATCH($A39, 'UA-normalized'!$A:$A, 0))-INDEX('UA-normalized'!$E:$E, MATCH($A39, 'UA-normalized'!$A:$A, 0))), 0), 0))+(IFERROR(IF(20*INDEX('KZ-normalized'!$D:$D, MATCH($A39, 'KZ-normalized'!$A:$A, 0))-INDEX('KZ-normalized'!$E:$E, MATCH($A39, 'KZ-normalized'!$A:$A, 0))&gt;0, -(20*INDEX('KZ-normalized'!$D:$D, MATCH($A39, 'KZ-normalized'!$A:$A, 0))-INDEX('KZ-normalized'!$E:$E, MATCH($A39, 'KZ-normalized'!$A:$A, 0))), 0), 0))+(IFERROR(IF(20*INDEX('UZ-normalized'!$D:$D, MATCH($A39, 'UZ-normalized'!$A:$A, 0))-INDEX('UZ-normalized'!$E:$E, MATCH($A39, 'UZ-normalized'!$A:$A, 0))&gt;0, -(20*INDEX('UZ-normalized'!$D:$D, MATCH($A39, 'UZ-normalized'!$A:$A, 0))-INDEX('UZ-normalized'!$E:$E, MATCH($A39, 'UZ-normalized'!$A:$A, 0))), 0), 0)))</f>
        <v>-142</v>
      </c>
      <c r="AI39" s="6">
        <f>MIN(0, N39+(IFERROR(IF(21*INDEX('UA-normalized'!$D:$D, MATCH($A39, 'UA-normalized'!$A:$A, 0))-INDEX('UA-normalized'!$E:$E, MATCH($A39, 'UA-normalized'!$A:$A, 0))&gt;0, -(21*INDEX('UA-normalized'!$D:$D, MATCH($A39, 'UA-normalized'!$A:$A, 0))-INDEX('UA-normalized'!$E:$E, MATCH($A39, 'UA-normalized'!$A:$A, 0))), 0), 0))+(IFERROR(IF(21*INDEX('KZ-normalized'!$D:$D, MATCH($A39, 'KZ-normalized'!$A:$A, 0))-INDEX('KZ-normalized'!$E:$E, MATCH($A39, 'KZ-normalized'!$A:$A, 0))&gt;0, -(21*INDEX('KZ-normalized'!$D:$D, MATCH($A39, 'KZ-normalized'!$A:$A, 0))-INDEX('KZ-normalized'!$E:$E, MATCH($A39, 'KZ-normalized'!$A:$A, 0))), 0), 0))+(IFERROR(IF(21*INDEX('UZ-normalized'!$D:$D, MATCH($A39, 'UZ-normalized'!$A:$A, 0))-INDEX('UZ-normalized'!$E:$E, MATCH($A39, 'UZ-normalized'!$A:$A, 0))&gt;0, -(21*INDEX('UZ-normalized'!$D:$D, MATCH($A39, 'UZ-normalized'!$A:$A, 0))-INDEX('UZ-normalized'!$E:$E, MATCH($A39, 'UZ-normalized'!$A:$A, 0))), 0), 0)))</f>
        <v>-154</v>
      </c>
      <c r="AJ39" s="6">
        <f>MIN(0, N39+(IFERROR(IF(22*INDEX('UA-normalized'!$D:$D, MATCH($A39, 'UA-normalized'!$A:$A, 0))-INDEX('UA-normalized'!$E:$E, MATCH($A39, 'UA-normalized'!$A:$A, 0))&gt;0, -(22*INDEX('UA-normalized'!$D:$D, MATCH($A39, 'UA-normalized'!$A:$A, 0))-INDEX('UA-normalized'!$E:$E, MATCH($A39, 'UA-normalized'!$A:$A, 0))), 0), 0))+(IFERROR(IF(22*INDEX('KZ-normalized'!$D:$D, MATCH($A39, 'KZ-normalized'!$A:$A, 0))-INDEX('KZ-normalized'!$E:$E, MATCH($A39, 'KZ-normalized'!$A:$A, 0))&gt;0, -(22*INDEX('KZ-normalized'!$D:$D, MATCH($A39, 'KZ-normalized'!$A:$A, 0))-INDEX('KZ-normalized'!$E:$E, MATCH($A39, 'KZ-normalized'!$A:$A, 0))), 0), 0))+(IFERROR(IF(22*INDEX('UZ-normalized'!$D:$D, MATCH($A39, 'UZ-normalized'!$A:$A, 0))-INDEX('UZ-normalized'!$E:$E, MATCH($A39, 'UZ-normalized'!$A:$A, 0))&gt;0, -(22*INDEX('UZ-normalized'!$D:$D, MATCH($A39, 'UZ-normalized'!$A:$A, 0))-INDEX('UZ-normalized'!$E:$E, MATCH($A39, 'UZ-normalized'!$A:$A, 0))), 0), 0)))</f>
        <v>-166</v>
      </c>
      <c r="AK39" s="6">
        <f>MIN(0, N39+(IFERROR(IF(23*INDEX('UA-normalized'!$D:$D, MATCH($A39, 'UA-normalized'!$A:$A, 0))-INDEX('UA-normalized'!$E:$E, MATCH($A39, 'UA-normalized'!$A:$A, 0))&gt;0, -(23*INDEX('UA-normalized'!$D:$D, MATCH($A39, 'UA-normalized'!$A:$A, 0))-INDEX('UA-normalized'!$E:$E, MATCH($A39, 'UA-normalized'!$A:$A, 0))), 0), 0))+(IFERROR(IF(23*INDEX('KZ-normalized'!$D:$D, MATCH($A39, 'KZ-normalized'!$A:$A, 0))-INDEX('KZ-normalized'!$E:$E, MATCH($A39, 'KZ-normalized'!$A:$A, 0))&gt;0, -(23*INDEX('KZ-normalized'!$D:$D, MATCH($A39, 'KZ-normalized'!$A:$A, 0))-INDEX('KZ-normalized'!$E:$E, MATCH($A39, 'KZ-normalized'!$A:$A, 0))), 0), 0))+(IFERROR(IF(23*INDEX('UZ-normalized'!$D:$D, MATCH($A39, 'UZ-normalized'!$A:$A, 0))-INDEX('UZ-normalized'!$E:$E, MATCH($A39, 'UZ-normalized'!$A:$A, 0))&gt;0, -(23*INDEX('UZ-normalized'!$D:$D, MATCH($A39, 'UZ-normalized'!$A:$A, 0))-INDEX('UZ-normalized'!$E:$E, MATCH($A39, 'UZ-normalized'!$A:$A, 0))), 0), 0)))</f>
        <v>-178</v>
      </c>
      <c r="AL39" s="6">
        <f>MIN(0, N39+(IFERROR(IF(24*INDEX('UA-normalized'!$D:$D, MATCH($A39, 'UA-normalized'!$A:$A, 0))-INDEX('UA-normalized'!$E:$E, MATCH($A39, 'UA-normalized'!$A:$A, 0))&gt;0, -(24*INDEX('UA-normalized'!$D:$D, MATCH($A39, 'UA-normalized'!$A:$A, 0))-INDEX('UA-normalized'!$E:$E, MATCH($A39, 'UA-normalized'!$A:$A, 0))), 0), 0))+(IFERROR(IF(24*INDEX('KZ-normalized'!$D:$D, MATCH($A39, 'KZ-normalized'!$A:$A, 0))-INDEX('KZ-normalized'!$E:$E, MATCH($A39, 'KZ-normalized'!$A:$A, 0))&gt;0, -(24*INDEX('KZ-normalized'!$D:$D, MATCH($A39, 'KZ-normalized'!$A:$A, 0))-INDEX('KZ-normalized'!$E:$E, MATCH($A39, 'KZ-normalized'!$A:$A, 0))), 0), 0))+(IFERROR(IF(24*INDEX('UZ-normalized'!$D:$D, MATCH($A39, 'UZ-normalized'!$A:$A, 0))-INDEX('UZ-normalized'!$E:$E, MATCH($A39, 'UZ-normalized'!$A:$A, 0))&gt;0, -(24*INDEX('UZ-normalized'!$D:$D, MATCH($A39, 'UZ-normalized'!$A:$A, 0))-INDEX('UZ-normalized'!$E:$E, MATCH($A39, 'UZ-normalized'!$A:$A, 0))), 0), 0)))</f>
        <v>-190</v>
      </c>
      <c r="AM39" s="6">
        <f>MIN(0, N39+(IFERROR(IF(25*INDEX('UA-normalized'!$D:$D, MATCH($A39, 'UA-normalized'!$A:$A, 0))-INDEX('UA-normalized'!$E:$E, MATCH($A39, 'UA-normalized'!$A:$A, 0))&gt;0, -(25*INDEX('UA-normalized'!$D:$D, MATCH($A39, 'UA-normalized'!$A:$A, 0))-INDEX('UA-normalized'!$E:$E, MATCH($A39, 'UA-normalized'!$A:$A, 0))), 0), 0))+(IFERROR(IF(25*INDEX('KZ-normalized'!$D:$D, MATCH($A39, 'KZ-normalized'!$A:$A, 0))-INDEX('KZ-normalized'!$E:$E, MATCH($A39, 'KZ-normalized'!$A:$A, 0))&gt;0, -(25*INDEX('KZ-normalized'!$D:$D, MATCH($A39, 'KZ-normalized'!$A:$A, 0))-INDEX('KZ-normalized'!$E:$E, MATCH($A39, 'KZ-normalized'!$A:$A, 0))), 0), 0))+(IFERROR(IF(25*INDEX('UZ-normalized'!$D:$D, MATCH($A39, 'UZ-normalized'!$A:$A, 0))-INDEX('UZ-normalized'!$E:$E, MATCH($A39, 'UZ-normalized'!$A:$A, 0))&gt;0, -(25*INDEX('UZ-normalized'!$D:$D, MATCH($A39, 'UZ-normalized'!$A:$A, 0))-INDEX('UZ-normalized'!$E:$E, MATCH($A39, 'UZ-normalized'!$A:$A, 0))), 0), 0)))</f>
        <v>-202</v>
      </c>
      <c r="AN39" s="6">
        <f>MIN(0, N39+(IFERROR(IF(26*INDEX('UA-normalized'!$D:$D, MATCH($A39, 'UA-normalized'!$A:$A, 0))-INDEX('UA-normalized'!$E:$E, MATCH($A39, 'UA-normalized'!$A:$A, 0))&gt;0, -(26*INDEX('UA-normalized'!$D:$D, MATCH($A39, 'UA-normalized'!$A:$A, 0))-INDEX('UA-normalized'!$E:$E, MATCH($A39, 'UA-normalized'!$A:$A, 0))), 0), 0))+(IFERROR(IF(26*INDEX('KZ-normalized'!$D:$D, MATCH($A39, 'KZ-normalized'!$A:$A, 0))-INDEX('KZ-normalized'!$E:$E, MATCH($A39, 'KZ-normalized'!$A:$A, 0))&gt;0, -(26*INDEX('KZ-normalized'!$D:$D, MATCH($A39, 'KZ-normalized'!$A:$A, 0))-INDEX('KZ-normalized'!$E:$E, MATCH($A39, 'KZ-normalized'!$A:$A, 0))), 0), 0))+(IFERROR(IF(26*INDEX('UZ-normalized'!$D:$D, MATCH($A39, 'UZ-normalized'!$A:$A, 0))-INDEX('UZ-normalized'!$E:$E, MATCH($A39, 'UZ-normalized'!$A:$A, 0))&gt;0, -(26*INDEX('UZ-normalized'!$D:$D, MATCH($A39, 'UZ-normalized'!$A:$A, 0))-INDEX('UZ-normalized'!$E:$E, MATCH($A39, 'UZ-normalized'!$A:$A, 0))), 0), 0)))</f>
        <v>-214</v>
      </c>
      <c r="AO39" s="6">
        <f>MIN(0, N39+(IFERROR(IF(27*INDEX('UA-normalized'!$D:$D, MATCH($A39, 'UA-normalized'!$A:$A, 0))-INDEX('UA-normalized'!$E:$E, MATCH($A39, 'UA-normalized'!$A:$A, 0))&gt;0, -(27*INDEX('UA-normalized'!$D:$D, MATCH($A39, 'UA-normalized'!$A:$A, 0))-INDEX('UA-normalized'!$E:$E, MATCH($A39, 'UA-normalized'!$A:$A, 0))), 0), 0))+(IFERROR(IF(27*INDEX('KZ-normalized'!$D:$D, MATCH($A39, 'KZ-normalized'!$A:$A, 0))-INDEX('KZ-normalized'!$E:$E, MATCH($A39, 'KZ-normalized'!$A:$A, 0))&gt;0, -(27*INDEX('KZ-normalized'!$D:$D, MATCH($A39, 'KZ-normalized'!$A:$A, 0))-INDEX('KZ-normalized'!$E:$E, MATCH($A39, 'KZ-normalized'!$A:$A, 0))), 0), 0))+(IFERROR(IF(27*INDEX('UZ-normalized'!$D:$D, MATCH($A39, 'UZ-normalized'!$A:$A, 0))-INDEX('UZ-normalized'!$E:$E, MATCH($A39, 'UZ-normalized'!$A:$A, 0))&gt;0, -(27*INDEX('UZ-normalized'!$D:$D, MATCH($A39, 'UZ-normalized'!$A:$A, 0))-INDEX('UZ-normalized'!$E:$E, MATCH($A39, 'UZ-normalized'!$A:$A, 0))), 0), 0)))</f>
        <v>-226</v>
      </c>
      <c r="AP39" s="6">
        <f>MIN(0, N39+(IFERROR(IF(28*INDEX('UA-normalized'!$D:$D, MATCH($A39, 'UA-normalized'!$A:$A, 0))-INDEX('UA-normalized'!$E:$E, MATCH($A39, 'UA-normalized'!$A:$A, 0))&gt;0, -(28*INDEX('UA-normalized'!$D:$D, MATCH($A39, 'UA-normalized'!$A:$A, 0))-INDEX('UA-normalized'!$E:$E, MATCH($A39, 'UA-normalized'!$A:$A, 0))), 0), 0))+(IFERROR(IF(28*INDEX('KZ-normalized'!$D:$D, MATCH($A39, 'KZ-normalized'!$A:$A, 0))-INDEX('KZ-normalized'!$E:$E, MATCH($A39, 'KZ-normalized'!$A:$A, 0))&gt;0, -(28*INDEX('KZ-normalized'!$D:$D, MATCH($A39, 'KZ-normalized'!$A:$A, 0))-INDEX('KZ-normalized'!$E:$E, MATCH($A39, 'KZ-normalized'!$A:$A, 0))), 0), 0))+(IFERROR(IF(28*INDEX('UZ-normalized'!$D:$D, MATCH($A39, 'UZ-normalized'!$A:$A, 0))-INDEX('UZ-normalized'!$E:$E, MATCH($A39, 'UZ-normalized'!$A:$A, 0))&gt;0, -(28*INDEX('UZ-normalized'!$D:$D, MATCH($A39, 'UZ-normalized'!$A:$A, 0))-INDEX('UZ-normalized'!$E:$E, MATCH($A39, 'UZ-normalized'!$A:$A, 0))), 0), 0)))</f>
        <v>-238</v>
      </c>
      <c r="AQ39" s="6">
        <f>MIN(0, N39+(IFERROR(IF(29*INDEX('UA-normalized'!$D:$D, MATCH($A39, 'UA-normalized'!$A:$A, 0))-INDEX('UA-normalized'!$E:$E, MATCH($A39, 'UA-normalized'!$A:$A, 0))&gt;0, -(29*INDEX('UA-normalized'!$D:$D, MATCH($A39, 'UA-normalized'!$A:$A, 0))-INDEX('UA-normalized'!$E:$E, MATCH($A39, 'UA-normalized'!$A:$A, 0))), 0), 0))+(IFERROR(IF(29*INDEX('KZ-normalized'!$D:$D, MATCH($A39, 'KZ-normalized'!$A:$A, 0))-INDEX('KZ-normalized'!$E:$E, MATCH($A39, 'KZ-normalized'!$A:$A, 0))&gt;0, -(29*INDEX('KZ-normalized'!$D:$D, MATCH($A39, 'KZ-normalized'!$A:$A, 0))-INDEX('KZ-normalized'!$E:$E, MATCH($A39, 'KZ-normalized'!$A:$A, 0))), 0), 0))+(IFERROR(IF(29*INDEX('UZ-normalized'!$D:$D, MATCH($A39, 'UZ-normalized'!$A:$A, 0))-INDEX('UZ-normalized'!$E:$E, MATCH($A39, 'UZ-normalized'!$A:$A, 0))&gt;0, -(29*INDEX('UZ-normalized'!$D:$D, MATCH($A39, 'UZ-normalized'!$A:$A, 0))-INDEX('UZ-normalized'!$E:$E, MATCH($A39, 'UZ-normalized'!$A:$A, 0))), 0), 0)))</f>
        <v>-250</v>
      </c>
      <c r="AR39" s="6">
        <f>MIN(0, N39+(IFERROR(IF(30*INDEX('UA-normalized'!$D:$D, MATCH($A39, 'UA-normalized'!$A:$A, 0))-INDEX('UA-normalized'!$E:$E, MATCH($A39, 'UA-normalized'!$A:$A, 0))&gt;0, -(30*INDEX('UA-normalized'!$D:$D, MATCH($A39, 'UA-normalized'!$A:$A, 0))-INDEX('UA-normalized'!$E:$E, MATCH($A39, 'UA-normalized'!$A:$A, 0))), 0), 0))+(IFERROR(IF(30*INDEX('KZ-normalized'!$D:$D, MATCH($A39, 'KZ-normalized'!$A:$A, 0))-INDEX('KZ-normalized'!$E:$E, MATCH($A39, 'KZ-normalized'!$A:$A, 0))&gt;0, -(30*INDEX('KZ-normalized'!$D:$D, MATCH($A39, 'KZ-normalized'!$A:$A, 0))-INDEX('KZ-normalized'!$E:$E, MATCH($A39, 'KZ-normalized'!$A:$A, 0))), 0), 0))+(IFERROR(IF(30*INDEX('UZ-normalized'!$D:$D, MATCH($A39, 'UZ-normalized'!$A:$A, 0))-INDEX('UZ-normalized'!$E:$E, MATCH($A39, 'UZ-normalized'!$A:$A, 0))&gt;0, -(30*INDEX('UZ-normalized'!$D:$D, MATCH($A39, 'UZ-normalized'!$A:$A, 0))-INDEX('UZ-normalized'!$E:$E, MATCH($A39, 'UZ-normalized'!$A:$A, 0))), 0), 0)))</f>
        <v>-262</v>
      </c>
    </row>
    <row r="40" spans="1:44" x14ac:dyDescent="0.25">
      <c r="A40" s="8" t="s">
        <v>124</v>
      </c>
      <c r="B40" s="8" t="s">
        <v>83</v>
      </c>
      <c r="C40" s="8" t="s">
        <v>105</v>
      </c>
      <c r="D40" s="8" t="s">
        <v>125</v>
      </c>
      <c r="F40">
        <v>286.33333333333331</v>
      </c>
      <c r="N40">
        <f t="shared" si="0"/>
        <v>286.33333333333331</v>
      </c>
      <c r="O40" s="6">
        <f>MIN(0, N40+(IFERROR(IF(1*INDEX('UA-normalized'!$D:$D, MATCH($A40, 'UA-normalized'!$A:$A, 0))-INDEX('UA-normalized'!$E:$E, MATCH($A40, 'UA-normalized'!$A:$A, 0))&gt;0, -(1*INDEX('UA-normalized'!$D:$D, MATCH($A40, 'UA-normalized'!$A:$A, 0))-INDEX('UA-normalized'!$E:$E, MATCH($A40, 'UA-normalized'!$A:$A, 0))), 0), 0))+(IFERROR(IF(1*INDEX('KZ-normalized'!$D:$D, MATCH($A40, 'KZ-normalized'!$A:$A, 0))-INDEX('KZ-normalized'!$E:$E, MATCH($A40, 'KZ-normalized'!$A:$A, 0))&gt;0, -(1*INDEX('KZ-normalized'!$D:$D, MATCH($A40, 'KZ-normalized'!$A:$A, 0))-INDEX('KZ-normalized'!$E:$E, MATCH($A40, 'KZ-normalized'!$A:$A, 0))), 0), 0))+(IFERROR(IF(1*INDEX('UZ-normalized'!$D:$D, MATCH($A40, 'UZ-normalized'!$A:$A, 0))-INDEX('UZ-normalized'!$E:$E, MATCH($A40, 'UZ-normalized'!$A:$A, 0))&gt;0, -(1*INDEX('UZ-normalized'!$D:$D, MATCH($A40, 'UZ-normalized'!$A:$A, 0))-INDEX('UZ-normalized'!$E:$E, MATCH($A40, 'UZ-normalized'!$A:$A, 0))), 0), 0)))</f>
        <v>0</v>
      </c>
      <c r="P40" s="6">
        <f>MIN(0, N40+(IFERROR(IF(2*INDEX('UA-normalized'!$D:$D, MATCH($A40, 'UA-normalized'!$A:$A, 0))-INDEX('UA-normalized'!$E:$E, MATCH($A40, 'UA-normalized'!$A:$A, 0))&gt;0, -(2*INDEX('UA-normalized'!$D:$D, MATCH($A40, 'UA-normalized'!$A:$A, 0))-INDEX('UA-normalized'!$E:$E, MATCH($A40, 'UA-normalized'!$A:$A, 0))), 0), 0))+(IFERROR(IF(2*INDEX('KZ-normalized'!$D:$D, MATCH($A40, 'KZ-normalized'!$A:$A, 0))-INDEX('KZ-normalized'!$E:$E, MATCH($A40, 'KZ-normalized'!$A:$A, 0))&gt;0, -(2*INDEX('KZ-normalized'!$D:$D, MATCH($A40, 'KZ-normalized'!$A:$A, 0))-INDEX('KZ-normalized'!$E:$E, MATCH($A40, 'KZ-normalized'!$A:$A, 0))), 0), 0))+(IFERROR(IF(2*INDEX('UZ-normalized'!$D:$D, MATCH($A40, 'UZ-normalized'!$A:$A, 0))-INDEX('UZ-normalized'!$E:$E, MATCH($A40, 'UZ-normalized'!$A:$A, 0))&gt;0, -(2*INDEX('UZ-normalized'!$D:$D, MATCH($A40, 'UZ-normalized'!$A:$A, 0))-INDEX('UZ-normalized'!$E:$E, MATCH($A40, 'UZ-normalized'!$A:$A, 0))), 0), 0)))</f>
        <v>0</v>
      </c>
      <c r="Q40" s="6">
        <f>MIN(0, N40+(IFERROR(IF(3*INDEX('UA-normalized'!$D:$D, MATCH($A40, 'UA-normalized'!$A:$A, 0))-INDEX('UA-normalized'!$E:$E, MATCH($A40, 'UA-normalized'!$A:$A, 0))&gt;0, -(3*INDEX('UA-normalized'!$D:$D, MATCH($A40, 'UA-normalized'!$A:$A, 0))-INDEX('UA-normalized'!$E:$E, MATCH($A40, 'UA-normalized'!$A:$A, 0))), 0), 0))+(IFERROR(IF(3*INDEX('KZ-normalized'!$D:$D, MATCH($A40, 'KZ-normalized'!$A:$A, 0))-INDEX('KZ-normalized'!$E:$E, MATCH($A40, 'KZ-normalized'!$A:$A, 0))&gt;0, -(3*INDEX('KZ-normalized'!$D:$D, MATCH($A40, 'KZ-normalized'!$A:$A, 0))-INDEX('KZ-normalized'!$E:$E, MATCH($A40, 'KZ-normalized'!$A:$A, 0))), 0), 0))+(IFERROR(IF(3*INDEX('UZ-normalized'!$D:$D, MATCH($A40, 'UZ-normalized'!$A:$A, 0))-INDEX('UZ-normalized'!$E:$E, MATCH($A40, 'UZ-normalized'!$A:$A, 0))&gt;0, -(3*INDEX('UZ-normalized'!$D:$D, MATCH($A40, 'UZ-normalized'!$A:$A, 0))-INDEX('UZ-normalized'!$E:$E, MATCH($A40, 'UZ-normalized'!$A:$A, 0))), 0), 0)))</f>
        <v>0</v>
      </c>
      <c r="R40" s="6">
        <f>MIN(0, N40+(IFERROR(IF(4*INDEX('UA-normalized'!$D:$D, MATCH($A40, 'UA-normalized'!$A:$A, 0))-INDEX('UA-normalized'!$E:$E, MATCH($A40, 'UA-normalized'!$A:$A, 0))&gt;0, -(4*INDEX('UA-normalized'!$D:$D, MATCH($A40, 'UA-normalized'!$A:$A, 0))-INDEX('UA-normalized'!$E:$E, MATCH($A40, 'UA-normalized'!$A:$A, 0))), 0), 0))+(IFERROR(IF(4*INDEX('KZ-normalized'!$D:$D, MATCH($A40, 'KZ-normalized'!$A:$A, 0))-INDEX('KZ-normalized'!$E:$E, MATCH($A40, 'KZ-normalized'!$A:$A, 0))&gt;0, -(4*INDEX('KZ-normalized'!$D:$D, MATCH($A40, 'KZ-normalized'!$A:$A, 0))-INDEX('KZ-normalized'!$E:$E, MATCH($A40, 'KZ-normalized'!$A:$A, 0))), 0), 0))+(IFERROR(IF(4*INDEX('UZ-normalized'!$D:$D, MATCH($A40, 'UZ-normalized'!$A:$A, 0))-INDEX('UZ-normalized'!$E:$E, MATCH($A40, 'UZ-normalized'!$A:$A, 0))&gt;0, -(4*INDEX('UZ-normalized'!$D:$D, MATCH($A40, 'UZ-normalized'!$A:$A, 0))-INDEX('UZ-normalized'!$E:$E, MATCH($A40, 'UZ-normalized'!$A:$A, 0))), 0), 0)))</f>
        <v>0</v>
      </c>
      <c r="S40" s="6">
        <f>MIN(0, N40+(IFERROR(IF(5*INDEX('UA-normalized'!$D:$D, MATCH($A40, 'UA-normalized'!$A:$A, 0))-INDEX('UA-normalized'!$E:$E, MATCH($A40, 'UA-normalized'!$A:$A, 0))&gt;0, -(5*INDEX('UA-normalized'!$D:$D, MATCH($A40, 'UA-normalized'!$A:$A, 0))-INDEX('UA-normalized'!$E:$E, MATCH($A40, 'UA-normalized'!$A:$A, 0))), 0), 0))+(IFERROR(IF(5*INDEX('KZ-normalized'!$D:$D, MATCH($A40, 'KZ-normalized'!$A:$A, 0))-INDEX('KZ-normalized'!$E:$E, MATCH($A40, 'KZ-normalized'!$A:$A, 0))&gt;0, -(5*INDEX('KZ-normalized'!$D:$D, MATCH($A40, 'KZ-normalized'!$A:$A, 0))-INDEX('KZ-normalized'!$E:$E, MATCH($A40, 'KZ-normalized'!$A:$A, 0))), 0), 0))+(IFERROR(IF(5*INDEX('UZ-normalized'!$D:$D, MATCH($A40, 'UZ-normalized'!$A:$A, 0))-INDEX('UZ-normalized'!$E:$E, MATCH($A40, 'UZ-normalized'!$A:$A, 0))&gt;0, -(5*INDEX('UZ-normalized'!$D:$D, MATCH($A40, 'UZ-normalized'!$A:$A, 0))-INDEX('UZ-normalized'!$E:$E, MATCH($A40, 'UZ-normalized'!$A:$A, 0))), 0), 0)))</f>
        <v>0</v>
      </c>
      <c r="T40" s="6">
        <f>MIN(0, N40+(IFERROR(IF(6*INDEX('UA-normalized'!$D:$D, MATCH($A40, 'UA-normalized'!$A:$A, 0))-INDEX('UA-normalized'!$E:$E, MATCH($A40, 'UA-normalized'!$A:$A, 0))&gt;0, -(6*INDEX('UA-normalized'!$D:$D, MATCH($A40, 'UA-normalized'!$A:$A, 0))-INDEX('UA-normalized'!$E:$E, MATCH($A40, 'UA-normalized'!$A:$A, 0))), 0), 0))+(IFERROR(IF(6*INDEX('KZ-normalized'!$D:$D, MATCH($A40, 'KZ-normalized'!$A:$A, 0))-INDEX('KZ-normalized'!$E:$E, MATCH($A40, 'KZ-normalized'!$A:$A, 0))&gt;0, -(6*INDEX('KZ-normalized'!$D:$D, MATCH($A40, 'KZ-normalized'!$A:$A, 0))-INDEX('KZ-normalized'!$E:$E, MATCH($A40, 'KZ-normalized'!$A:$A, 0))), 0), 0))+(IFERROR(IF(6*INDEX('UZ-normalized'!$D:$D, MATCH($A40, 'UZ-normalized'!$A:$A, 0))-INDEX('UZ-normalized'!$E:$E, MATCH($A40, 'UZ-normalized'!$A:$A, 0))&gt;0, -(6*INDEX('UZ-normalized'!$D:$D, MATCH($A40, 'UZ-normalized'!$A:$A, 0))-INDEX('UZ-normalized'!$E:$E, MATCH($A40, 'UZ-normalized'!$A:$A, 0))), 0), 0)))</f>
        <v>0</v>
      </c>
      <c r="U40" s="6">
        <f>MIN(0, N40+(IFERROR(IF(7*INDEX('UA-normalized'!$D:$D, MATCH($A40, 'UA-normalized'!$A:$A, 0))-INDEX('UA-normalized'!$E:$E, MATCH($A40, 'UA-normalized'!$A:$A, 0))&gt;0, -(7*INDEX('UA-normalized'!$D:$D, MATCH($A40, 'UA-normalized'!$A:$A, 0))-INDEX('UA-normalized'!$E:$E, MATCH($A40, 'UA-normalized'!$A:$A, 0))), 0), 0))+(IFERROR(IF(7*INDEX('KZ-normalized'!$D:$D, MATCH($A40, 'KZ-normalized'!$A:$A, 0))-INDEX('KZ-normalized'!$E:$E, MATCH($A40, 'KZ-normalized'!$A:$A, 0))&gt;0, -(7*INDEX('KZ-normalized'!$D:$D, MATCH($A40, 'KZ-normalized'!$A:$A, 0))-INDEX('KZ-normalized'!$E:$E, MATCH($A40, 'KZ-normalized'!$A:$A, 0))), 0), 0))+(IFERROR(IF(7*INDEX('UZ-normalized'!$D:$D, MATCH($A40, 'UZ-normalized'!$A:$A, 0))-INDEX('UZ-normalized'!$E:$E, MATCH($A40, 'UZ-normalized'!$A:$A, 0))&gt;0, -(7*INDEX('UZ-normalized'!$D:$D, MATCH($A40, 'UZ-normalized'!$A:$A, 0))-INDEX('UZ-normalized'!$E:$E, MATCH($A40, 'UZ-normalized'!$A:$A, 0))), 0), 0)))</f>
        <v>0</v>
      </c>
      <c r="V40" s="6">
        <f>MIN(0, N40+(IFERROR(IF(8*INDEX('UA-normalized'!$D:$D, MATCH($A40, 'UA-normalized'!$A:$A, 0))-INDEX('UA-normalized'!$E:$E, MATCH($A40, 'UA-normalized'!$A:$A, 0))&gt;0, -(8*INDEX('UA-normalized'!$D:$D, MATCH($A40, 'UA-normalized'!$A:$A, 0))-INDEX('UA-normalized'!$E:$E, MATCH($A40, 'UA-normalized'!$A:$A, 0))), 0), 0))+(IFERROR(IF(8*INDEX('KZ-normalized'!$D:$D, MATCH($A40, 'KZ-normalized'!$A:$A, 0))-INDEX('KZ-normalized'!$E:$E, MATCH($A40, 'KZ-normalized'!$A:$A, 0))&gt;0, -(8*INDEX('KZ-normalized'!$D:$D, MATCH($A40, 'KZ-normalized'!$A:$A, 0))-INDEX('KZ-normalized'!$E:$E, MATCH($A40, 'KZ-normalized'!$A:$A, 0))), 0), 0))+(IFERROR(IF(8*INDEX('UZ-normalized'!$D:$D, MATCH($A40, 'UZ-normalized'!$A:$A, 0))-INDEX('UZ-normalized'!$E:$E, MATCH($A40, 'UZ-normalized'!$A:$A, 0))&gt;0, -(8*INDEX('UZ-normalized'!$D:$D, MATCH($A40, 'UZ-normalized'!$A:$A, 0))-INDEX('UZ-normalized'!$E:$E, MATCH($A40, 'UZ-normalized'!$A:$A, 0))), 0), 0)))</f>
        <v>0</v>
      </c>
      <c r="W40" s="6">
        <f>MIN(0, N40+(IFERROR(IF(9*INDEX('UA-normalized'!$D:$D, MATCH($A40, 'UA-normalized'!$A:$A, 0))-INDEX('UA-normalized'!$E:$E, MATCH($A40, 'UA-normalized'!$A:$A, 0))&gt;0, -(9*INDEX('UA-normalized'!$D:$D, MATCH($A40, 'UA-normalized'!$A:$A, 0))-INDEX('UA-normalized'!$E:$E, MATCH($A40, 'UA-normalized'!$A:$A, 0))), 0), 0))+(IFERROR(IF(9*INDEX('KZ-normalized'!$D:$D, MATCH($A40, 'KZ-normalized'!$A:$A, 0))-INDEX('KZ-normalized'!$E:$E, MATCH($A40, 'KZ-normalized'!$A:$A, 0))&gt;0, -(9*INDEX('KZ-normalized'!$D:$D, MATCH($A40, 'KZ-normalized'!$A:$A, 0))-INDEX('KZ-normalized'!$E:$E, MATCH($A40, 'KZ-normalized'!$A:$A, 0))), 0), 0))+(IFERROR(IF(9*INDEX('UZ-normalized'!$D:$D, MATCH($A40, 'UZ-normalized'!$A:$A, 0))-INDEX('UZ-normalized'!$E:$E, MATCH($A40, 'UZ-normalized'!$A:$A, 0))&gt;0, -(9*INDEX('UZ-normalized'!$D:$D, MATCH($A40, 'UZ-normalized'!$A:$A, 0))-INDEX('UZ-normalized'!$E:$E, MATCH($A40, 'UZ-normalized'!$A:$A, 0))), 0), 0)))</f>
        <v>0</v>
      </c>
      <c r="X40" s="6">
        <f>MIN(0, N40+(IFERROR(IF(10*INDEX('UA-normalized'!$D:$D, MATCH($A40, 'UA-normalized'!$A:$A, 0))-INDEX('UA-normalized'!$E:$E, MATCH($A40, 'UA-normalized'!$A:$A, 0))&gt;0, -(10*INDEX('UA-normalized'!$D:$D, MATCH($A40, 'UA-normalized'!$A:$A, 0))-INDEX('UA-normalized'!$E:$E, MATCH($A40, 'UA-normalized'!$A:$A, 0))), 0), 0))+(IFERROR(IF(10*INDEX('KZ-normalized'!$D:$D, MATCH($A40, 'KZ-normalized'!$A:$A, 0))-INDEX('KZ-normalized'!$E:$E, MATCH($A40, 'KZ-normalized'!$A:$A, 0))&gt;0, -(10*INDEX('KZ-normalized'!$D:$D, MATCH($A40, 'KZ-normalized'!$A:$A, 0))-INDEX('KZ-normalized'!$E:$E, MATCH($A40, 'KZ-normalized'!$A:$A, 0))), 0), 0))+(IFERROR(IF(10*INDEX('UZ-normalized'!$D:$D, MATCH($A40, 'UZ-normalized'!$A:$A, 0))-INDEX('UZ-normalized'!$E:$E, MATCH($A40, 'UZ-normalized'!$A:$A, 0))&gt;0, -(10*INDEX('UZ-normalized'!$D:$D, MATCH($A40, 'UZ-normalized'!$A:$A, 0))-INDEX('UZ-normalized'!$E:$E, MATCH($A40, 'UZ-normalized'!$A:$A, 0))), 0), 0)))</f>
        <v>0</v>
      </c>
      <c r="Y40" s="6">
        <f>MIN(0, N40+(IFERROR(IF(11*INDEX('UA-normalized'!$D:$D, MATCH($A40, 'UA-normalized'!$A:$A, 0))-INDEX('UA-normalized'!$E:$E, MATCH($A40, 'UA-normalized'!$A:$A, 0))&gt;0, -(11*INDEX('UA-normalized'!$D:$D, MATCH($A40, 'UA-normalized'!$A:$A, 0))-INDEX('UA-normalized'!$E:$E, MATCH($A40, 'UA-normalized'!$A:$A, 0))), 0), 0))+(IFERROR(IF(11*INDEX('KZ-normalized'!$D:$D, MATCH($A40, 'KZ-normalized'!$A:$A, 0))-INDEX('KZ-normalized'!$E:$E, MATCH($A40, 'KZ-normalized'!$A:$A, 0))&gt;0, -(11*INDEX('KZ-normalized'!$D:$D, MATCH($A40, 'KZ-normalized'!$A:$A, 0))-INDEX('KZ-normalized'!$E:$E, MATCH($A40, 'KZ-normalized'!$A:$A, 0))), 0), 0))+(IFERROR(IF(11*INDEX('UZ-normalized'!$D:$D, MATCH($A40, 'UZ-normalized'!$A:$A, 0))-INDEX('UZ-normalized'!$E:$E, MATCH($A40, 'UZ-normalized'!$A:$A, 0))&gt;0, -(11*INDEX('UZ-normalized'!$D:$D, MATCH($A40, 'UZ-normalized'!$A:$A, 0))-INDEX('UZ-normalized'!$E:$E, MATCH($A40, 'UZ-normalized'!$A:$A, 0))), 0), 0)))</f>
        <v>0</v>
      </c>
      <c r="Z40" s="6">
        <f>MIN(0, N40+(IFERROR(IF(12*INDEX('UA-normalized'!$D:$D, MATCH($A40, 'UA-normalized'!$A:$A, 0))-INDEX('UA-normalized'!$E:$E, MATCH($A40, 'UA-normalized'!$A:$A, 0))&gt;0, -(12*INDEX('UA-normalized'!$D:$D, MATCH($A40, 'UA-normalized'!$A:$A, 0))-INDEX('UA-normalized'!$E:$E, MATCH($A40, 'UA-normalized'!$A:$A, 0))), 0), 0))+(IFERROR(IF(12*INDEX('KZ-normalized'!$D:$D, MATCH($A40, 'KZ-normalized'!$A:$A, 0))-INDEX('KZ-normalized'!$E:$E, MATCH($A40, 'KZ-normalized'!$A:$A, 0))&gt;0, -(12*INDEX('KZ-normalized'!$D:$D, MATCH($A40, 'KZ-normalized'!$A:$A, 0))-INDEX('KZ-normalized'!$E:$E, MATCH($A40, 'KZ-normalized'!$A:$A, 0))), 0), 0))+(IFERROR(IF(12*INDEX('UZ-normalized'!$D:$D, MATCH($A40, 'UZ-normalized'!$A:$A, 0))-INDEX('UZ-normalized'!$E:$E, MATCH($A40, 'UZ-normalized'!$A:$A, 0))&gt;0, -(12*INDEX('UZ-normalized'!$D:$D, MATCH($A40, 'UZ-normalized'!$A:$A, 0))-INDEX('UZ-normalized'!$E:$E, MATCH($A40, 'UZ-normalized'!$A:$A, 0))), 0), 0)))</f>
        <v>0</v>
      </c>
      <c r="AA40" s="6">
        <f>MIN(0, N40+(IFERROR(IF(13*INDEX('UA-normalized'!$D:$D, MATCH($A40, 'UA-normalized'!$A:$A, 0))-INDEX('UA-normalized'!$E:$E, MATCH($A40, 'UA-normalized'!$A:$A, 0))&gt;0, -(13*INDEX('UA-normalized'!$D:$D, MATCH($A40, 'UA-normalized'!$A:$A, 0))-INDEX('UA-normalized'!$E:$E, MATCH($A40, 'UA-normalized'!$A:$A, 0))), 0), 0))+(IFERROR(IF(13*INDEX('KZ-normalized'!$D:$D, MATCH($A40, 'KZ-normalized'!$A:$A, 0))-INDEX('KZ-normalized'!$E:$E, MATCH($A40, 'KZ-normalized'!$A:$A, 0))&gt;0, -(13*INDEX('KZ-normalized'!$D:$D, MATCH($A40, 'KZ-normalized'!$A:$A, 0))-INDEX('KZ-normalized'!$E:$E, MATCH($A40, 'KZ-normalized'!$A:$A, 0))), 0), 0))+(IFERROR(IF(13*INDEX('UZ-normalized'!$D:$D, MATCH($A40, 'UZ-normalized'!$A:$A, 0))-INDEX('UZ-normalized'!$E:$E, MATCH($A40, 'UZ-normalized'!$A:$A, 0))&gt;0, -(13*INDEX('UZ-normalized'!$D:$D, MATCH($A40, 'UZ-normalized'!$A:$A, 0))-INDEX('UZ-normalized'!$E:$E, MATCH($A40, 'UZ-normalized'!$A:$A, 0))), 0), 0)))</f>
        <v>0</v>
      </c>
      <c r="AB40" s="6">
        <f>MIN(0, N40+(IFERROR(IF(14*INDEX('UA-normalized'!$D:$D, MATCH($A40, 'UA-normalized'!$A:$A, 0))-INDEX('UA-normalized'!$E:$E, MATCH($A40, 'UA-normalized'!$A:$A, 0))&gt;0, -(14*INDEX('UA-normalized'!$D:$D, MATCH($A40, 'UA-normalized'!$A:$A, 0))-INDEX('UA-normalized'!$E:$E, MATCH($A40, 'UA-normalized'!$A:$A, 0))), 0), 0))+(IFERROR(IF(14*INDEX('KZ-normalized'!$D:$D, MATCH($A40, 'KZ-normalized'!$A:$A, 0))-INDEX('KZ-normalized'!$E:$E, MATCH($A40, 'KZ-normalized'!$A:$A, 0))&gt;0, -(14*INDEX('KZ-normalized'!$D:$D, MATCH($A40, 'KZ-normalized'!$A:$A, 0))-INDEX('KZ-normalized'!$E:$E, MATCH($A40, 'KZ-normalized'!$A:$A, 0))), 0), 0))+(IFERROR(IF(14*INDEX('UZ-normalized'!$D:$D, MATCH($A40, 'UZ-normalized'!$A:$A, 0))-INDEX('UZ-normalized'!$E:$E, MATCH($A40, 'UZ-normalized'!$A:$A, 0))&gt;0, -(14*INDEX('UZ-normalized'!$D:$D, MATCH($A40, 'UZ-normalized'!$A:$A, 0))-INDEX('UZ-normalized'!$E:$E, MATCH($A40, 'UZ-normalized'!$A:$A, 0))), 0), 0)))</f>
        <v>0</v>
      </c>
      <c r="AC40" s="6">
        <f>MIN(0, N40+(IFERROR(IF(15*INDEX('UA-normalized'!$D:$D, MATCH($A40, 'UA-normalized'!$A:$A, 0))-INDEX('UA-normalized'!$E:$E, MATCH($A40, 'UA-normalized'!$A:$A, 0))&gt;0, -(15*INDEX('UA-normalized'!$D:$D, MATCH($A40, 'UA-normalized'!$A:$A, 0))-INDEX('UA-normalized'!$E:$E, MATCH($A40, 'UA-normalized'!$A:$A, 0))), 0), 0))+(IFERROR(IF(15*INDEX('KZ-normalized'!$D:$D, MATCH($A40, 'KZ-normalized'!$A:$A, 0))-INDEX('KZ-normalized'!$E:$E, MATCH($A40, 'KZ-normalized'!$A:$A, 0))&gt;0, -(15*INDEX('KZ-normalized'!$D:$D, MATCH($A40, 'KZ-normalized'!$A:$A, 0))-INDEX('KZ-normalized'!$E:$E, MATCH($A40, 'KZ-normalized'!$A:$A, 0))), 0), 0))+(IFERROR(IF(15*INDEX('UZ-normalized'!$D:$D, MATCH($A40, 'UZ-normalized'!$A:$A, 0))-INDEX('UZ-normalized'!$E:$E, MATCH($A40, 'UZ-normalized'!$A:$A, 0))&gt;0, -(15*INDEX('UZ-normalized'!$D:$D, MATCH($A40, 'UZ-normalized'!$A:$A, 0))-INDEX('UZ-normalized'!$E:$E, MATCH($A40, 'UZ-normalized'!$A:$A, 0))), 0), 0)))</f>
        <v>0</v>
      </c>
      <c r="AD40" s="6">
        <f>MIN(0, N40+(IFERROR(IF(16*INDEX('UA-normalized'!$D:$D, MATCH($A40, 'UA-normalized'!$A:$A, 0))-INDEX('UA-normalized'!$E:$E, MATCH($A40, 'UA-normalized'!$A:$A, 0))&gt;0, -(16*INDEX('UA-normalized'!$D:$D, MATCH($A40, 'UA-normalized'!$A:$A, 0))-INDEX('UA-normalized'!$E:$E, MATCH($A40, 'UA-normalized'!$A:$A, 0))), 0), 0))+(IFERROR(IF(16*INDEX('KZ-normalized'!$D:$D, MATCH($A40, 'KZ-normalized'!$A:$A, 0))-INDEX('KZ-normalized'!$E:$E, MATCH($A40, 'KZ-normalized'!$A:$A, 0))&gt;0, -(16*INDEX('KZ-normalized'!$D:$D, MATCH($A40, 'KZ-normalized'!$A:$A, 0))-INDEX('KZ-normalized'!$E:$E, MATCH($A40, 'KZ-normalized'!$A:$A, 0))), 0), 0))+(IFERROR(IF(16*INDEX('UZ-normalized'!$D:$D, MATCH($A40, 'UZ-normalized'!$A:$A, 0))-INDEX('UZ-normalized'!$E:$E, MATCH($A40, 'UZ-normalized'!$A:$A, 0))&gt;0, -(16*INDEX('UZ-normalized'!$D:$D, MATCH($A40, 'UZ-normalized'!$A:$A, 0))-INDEX('UZ-normalized'!$E:$E, MATCH($A40, 'UZ-normalized'!$A:$A, 0))), 0), 0)))</f>
        <v>0</v>
      </c>
      <c r="AE40" s="6">
        <f>MIN(0, N40+(IFERROR(IF(17*INDEX('UA-normalized'!$D:$D, MATCH($A40, 'UA-normalized'!$A:$A, 0))-INDEX('UA-normalized'!$E:$E, MATCH($A40, 'UA-normalized'!$A:$A, 0))&gt;0, -(17*INDEX('UA-normalized'!$D:$D, MATCH($A40, 'UA-normalized'!$A:$A, 0))-INDEX('UA-normalized'!$E:$E, MATCH($A40, 'UA-normalized'!$A:$A, 0))), 0), 0))+(IFERROR(IF(17*INDEX('KZ-normalized'!$D:$D, MATCH($A40, 'KZ-normalized'!$A:$A, 0))-INDEX('KZ-normalized'!$E:$E, MATCH($A40, 'KZ-normalized'!$A:$A, 0))&gt;0, -(17*INDEX('KZ-normalized'!$D:$D, MATCH($A40, 'KZ-normalized'!$A:$A, 0))-INDEX('KZ-normalized'!$E:$E, MATCH($A40, 'KZ-normalized'!$A:$A, 0))), 0), 0))+(IFERROR(IF(17*INDEX('UZ-normalized'!$D:$D, MATCH($A40, 'UZ-normalized'!$A:$A, 0))-INDEX('UZ-normalized'!$E:$E, MATCH($A40, 'UZ-normalized'!$A:$A, 0))&gt;0, -(17*INDEX('UZ-normalized'!$D:$D, MATCH($A40, 'UZ-normalized'!$A:$A, 0))-INDEX('UZ-normalized'!$E:$E, MATCH($A40, 'UZ-normalized'!$A:$A, 0))), 0), 0)))</f>
        <v>0</v>
      </c>
      <c r="AF40" s="6">
        <f>MIN(0, N40+(IFERROR(IF(18*INDEX('UA-normalized'!$D:$D, MATCH($A40, 'UA-normalized'!$A:$A, 0))-INDEX('UA-normalized'!$E:$E, MATCH($A40, 'UA-normalized'!$A:$A, 0))&gt;0, -(18*INDEX('UA-normalized'!$D:$D, MATCH($A40, 'UA-normalized'!$A:$A, 0))-INDEX('UA-normalized'!$E:$E, MATCH($A40, 'UA-normalized'!$A:$A, 0))), 0), 0))+(IFERROR(IF(18*INDEX('KZ-normalized'!$D:$D, MATCH($A40, 'KZ-normalized'!$A:$A, 0))-INDEX('KZ-normalized'!$E:$E, MATCH($A40, 'KZ-normalized'!$A:$A, 0))&gt;0, -(18*INDEX('KZ-normalized'!$D:$D, MATCH($A40, 'KZ-normalized'!$A:$A, 0))-INDEX('KZ-normalized'!$E:$E, MATCH($A40, 'KZ-normalized'!$A:$A, 0))), 0), 0))+(IFERROR(IF(18*INDEX('UZ-normalized'!$D:$D, MATCH($A40, 'UZ-normalized'!$A:$A, 0))-INDEX('UZ-normalized'!$E:$E, MATCH($A40, 'UZ-normalized'!$A:$A, 0))&gt;0, -(18*INDEX('UZ-normalized'!$D:$D, MATCH($A40, 'UZ-normalized'!$A:$A, 0))-INDEX('UZ-normalized'!$E:$E, MATCH($A40, 'UZ-normalized'!$A:$A, 0))), 0), 0)))</f>
        <v>0</v>
      </c>
      <c r="AG40" s="6">
        <f>MIN(0, N40+(IFERROR(IF(19*INDEX('UA-normalized'!$D:$D, MATCH($A40, 'UA-normalized'!$A:$A, 0))-INDEX('UA-normalized'!$E:$E, MATCH($A40, 'UA-normalized'!$A:$A, 0))&gt;0, -(19*INDEX('UA-normalized'!$D:$D, MATCH($A40, 'UA-normalized'!$A:$A, 0))-INDEX('UA-normalized'!$E:$E, MATCH($A40, 'UA-normalized'!$A:$A, 0))), 0), 0))+(IFERROR(IF(19*INDEX('KZ-normalized'!$D:$D, MATCH($A40, 'KZ-normalized'!$A:$A, 0))-INDEX('KZ-normalized'!$E:$E, MATCH($A40, 'KZ-normalized'!$A:$A, 0))&gt;0, -(19*INDEX('KZ-normalized'!$D:$D, MATCH($A40, 'KZ-normalized'!$A:$A, 0))-INDEX('KZ-normalized'!$E:$E, MATCH($A40, 'KZ-normalized'!$A:$A, 0))), 0), 0))+(IFERROR(IF(19*INDEX('UZ-normalized'!$D:$D, MATCH($A40, 'UZ-normalized'!$A:$A, 0))-INDEX('UZ-normalized'!$E:$E, MATCH($A40, 'UZ-normalized'!$A:$A, 0))&gt;0, -(19*INDEX('UZ-normalized'!$D:$D, MATCH($A40, 'UZ-normalized'!$A:$A, 0))-INDEX('UZ-normalized'!$E:$E, MATCH($A40, 'UZ-normalized'!$A:$A, 0))), 0), 0)))</f>
        <v>0</v>
      </c>
      <c r="AH40" s="6">
        <f>MIN(0, N40+(IFERROR(IF(20*INDEX('UA-normalized'!$D:$D, MATCH($A40, 'UA-normalized'!$A:$A, 0))-INDEX('UA-normalized'!$E:$E, MATCH($A40, 'UA-normalized'!$A:$A, 0))&gt;0, -(20*INDEX('UA-normalized'!$D:$D, MATCH($A40, 'UA-normalized'!$A:$A, 0))-INDEX('UA-normalized'!$E:$E, MATCH($A40, 'UA-normalized'!$A:$A, 0))), 0), 0))+(IFERROR(IF(20*INDEX('KZ-normalized'!$D:$D, MATCH($A40, 'KZ-normalized'!$A:$A, 0))-INDEX('KZ-normalized'!$E:$E, MATCH($A40, 'KZ-normalized'!$A:$A, 0))&gt;0, -(20*INDEX('KZ-normalized'!$D:$D, MATCH($A40, 'KZ-normalized'!$A:$A, 0))-INDEX('KZ-normalized'!$E:$E, MATCH($A40, 'KZ-normalized'!$A:$A, 0))), 0), 0))+(IFERROR(IF(20*INDEX('UZ-normalized'!$D:$D, MATCH($A40, 'UZ-normalized'!$A:$A, 0))-INDEX('UZ-normalized'!$E:$E, MATCH($A40, 'UZ-normalized'!$A:$A, 0))&gt;0, -(20*INDEX('UZ-normalized'!$D:$D, MATCH($A40, 'UZ-normalized'!$A:$A, 0))-INDEX('UZ-normalized'!$E:$E, MATCH($A40, 'UZ-normalized'!$A:$A, 0))), 0), 0)))</f>
        <v>0</v>
      </c>
      <c r="AI40" s="6">
        <f>MIN(0, N40+(IFERROR(IF(21*INDEX('UA-normalized'!$D:$D, MATCH($A40, 'UA-normalized'!$A:$A, 0))-INDEX('UA-normalized'!$E:$E, MATCH($A40, 'UA-normalized'!$A:$A, 0))&gt;0, -(21*INDEX('UA-normalized'!$D:$D, MATCH($A40, 'UA-normalized'!$A:$A, 0))-INDEX('UA-normalized'!$E:$E, MATCH($A40, 'UA-normalized'!$A:$A, 0))), 0), 0))+(IFERROR(IF(21*INDEX('KZ-normalized'!$D:$D, MATCH($A40, 'KZ-normalized'!$A:$A, 0))-INDEX('KZ-normalized'!$E:$E, MATCH($A40, 'KZ-normalized'!$A:$A, 0))&gt;0, -(21*INDEX('KZ-normalized'!$D:$D, MATCH($A40, 'KZ-normalized'!$A:$A, 0))-INDEX('KZ-normalized'!$E:$E, MATCH($A40, 'KZ-normalized'!$A:$A, 0))), 0), 0))+(IFERROR(IF(21*INDEX('UZ-normalized'!$D:$D, MATCH($A40, 'UZ-normalized'!$A:$A, 0))-INDEX('UZ-normalized'!$E:$E, MATCH($A40, 'UZ-normalized'!$A:$A, 0))&gt;0, -(21*INDEX('UZ-normalized'!$D:$D, MATCH($A40, 'UZ-normalized'!$A:$A, 0))-INDEX('UZ-normalized'!$E:$E, MATCH($A40, 'UZ-normalized'!$A:$A, 0))), 0), 0)))</f>
        <v>0</v>
      </c>
      <c r="AJ40" s="6">
        <f>MIN(0, N40+(IFERROR(IF(22*INDEX('UA-normalized'!$D:$D, MATCH($A40, 'UA-normalized'!$A:$A, 0))-INDEX('UA-normalized'!$E:$E, MATCH($A40, 'UA-normalized'!$A:$A, 0))&gt;0, -(22*INDEX('UA-normalized'!$D:$D, MATCH($A40, 'UA-normalized'!$A:$A, 0))-INDEX('UA-normalized'!$E:$E, MATCH($A40, 'UA-normalized'!$A:$A, 0))), 0), 0))+(IFERROR(IF(22*INDEX('KZ-normalized'!$D:$D, MATCH($A40, 'KZ-normalized'!$A:$A, 0))-INDEX('KZ-normalized'!$E:$E, MATCH($A40, 'KZ-normalized'!$A:$A, 0))&gt;0, -(22*INDEX('KZ-normalized'!$D:$D, MATCH($A40, 'KZ-normalized'!$A:$A, 0))-INDEX('KZ-normalized'!$E:$E, MATCH($A40, 'KZ-normalized'!$A:$A, 0))), 0), 0))+(IFERROR(IF(22*INDEX('UZ-normalized'!$D:$D, MATCH($A40, 'UZ-normalized'!$A:$A, 0))-INDEX('UZ-normalized'!$E:$E, MATCH($A40, 'UZ-normalized'!$A:$A, 0))&gt;0, -(22*INDEX('UZ-normalized'!$D:$D, MATCH($A40, 'UZ-normalized'!$A:$A, 0))-INDEX('UZ-normalized'!$E:$E, MATCH($A40, 'UZ-normalized'!$A:$A, 0))), 0), 0)))</f>
        <v>0</v>
      </c>
      <c r="AK40" s="6">
        <f>MIN(0, N40+(IFERROR(IF(23*INDEX('UA-normalized'!$D:$D, MATCH($A40, 'UA-normalized'!$A:$A, 0))-INDEX('UA-normalized'!$E:$E, MATCH($A40, 'UA-normalized'!$A:$A, 0))&gt;0, -(23*INDEX('UA-normalized'!$D:$D, MATCH($A40, 'UA-normalized'!$A:$A, 0))-INDEX('UA-normalized'!$E:$E, MATCH($A40, 'UA-normalized'!$A:$A, 0))), 0), 0))+(IFERROR(IF(23*INDEX('KZ-normalized'!$D:$D, MATCH($A40, 'KZ-normalized'!$A:$A, 0))-INDEX('KZ-normalized'!$E:$E, MATCH($A40, 'KZ-normalized'!$A:$A, 0))&gt;0, -(23*INDEX('KZ-normalized'!$D:$D, MATCH($A40, 'KZ-normalized'!$A:$A, 0))-INDEX('KZ-normalized'!$E:$E, MATCH($A40, 'KZ-normalized'!$A:$A, 0))), 0), 0))+(IFERROR(IF(23*INDEX('UZ-normalized'!$D:$D, MATCH($A40, 'UZ-normalized'!$A:$A, 0))-INDEX('UZ-normalized'!$E:$E, MATCH($A40, 'UZ-normalized'!$A:$A, 0))&gt;0, -(23*INDEX('UZ-normalized'!$D:$D, MATCH($A40, 'UZ-normalized'!$A:$A, 0))-INDEX('UZ-normalized'!$E:$E, MATCH($A40, 'UZ-normalized'!$A:$A, 0))), 0), 0)))</f>
        <v>0</v>
      </c>
      <c r="AL40" s="6">
        <f>MIN(0, N40+(IFERROR(IF(24*INDEX('UA-normalized'!$D:$D, MATCH($A40, 'UA-normalized'!$A:$A, 0))-INDEX('UA-normalized'!$E:$E, MATCH($A40, 'UA-normalized'!$A:$A, 0))&gt;0, -(24*INDEX('UA-normalized'!$D:$D, MATCH($A40, 'UA-normalized'!$A:$A, 0))-INDEX('UA-normalized'!$E:$E, MATCH($A40, 'UA-normalized'!$A:$A, 0))), 0), 0))+(IFERROR(IF(24*INDEX('KZ-normalized'!$D:$D, MATCH($A40, 'KZ-normalized'!$A:$A, 0))-INDEX('KZ-normalized'!$E:$E, MATCH($A40, 'KZ-normalized'!$A:$A, 0))&gt;0, -(24*INDEX('KZ-normalized'!$D:$D, MATCH($A40, 'KZ-normalized'!$A:$A, 0))-INDEX('KZ-normalized'!$E:$E, MATCH($A40, 'KZ-normalized'!$A:$A, 0))), 0), 0))+(IFERROR(IF(24*INDEX('UZ-normalized'!$D:$D, MATCH($A40, 'UZ-normalized'!$A:$A, 0))-INDEX('UZ-normalized'!$E:$E, MATCH($A40, 'UZ-normalized'!$A:$A, 0))&gt;0, -(24*INDEX('UZ-normalized'!$D:$D, MATCH($A40, 'UZ-normalized'!$A:$A, 0))-INDEX('UZ-normalized'!$E:$E, MATCH($A40, 'UZ-normalized'!$A:$A, 0))), 0), 0)))</f>
        <v>0</v>
      </c>
      <c r="AM40" s="6">
        <f>MIN(0, N40+(IFERROR(IF(25*INDEX('UA-normalized'!$D:$D, MATCH($A40, 'UA-normalized'!$A:$A, 0))-INDEX('UA-normalized'!$E:$E, MATCH($A40, 'UA-normalized'!$A:$A, 0))&gt;0, -(25*INDEX('UA-normalized'!$D:$D, MATCH($A40, 'UA-normalized'!$A:$A, 0))-INDEX('UA-normalized'!$E:$E, MATCH($A40, 'UA-normalized'!$A:$A, 0))), 0), 0))+(IFERROR(IF(25*INDEX('KZ-normalized'!$D:$D, MATCH($A40, 'KZ-normalized'!$A:$A, 0))-INDEX('KZ-normalized'!$E:$E, MATCH($A40, 'KZ-normalized'!$A:$A, 0))&gt;0, -(25*INDEX('KZ-normalized'!$D:$D, MATCH($A40, 'KZ-normalized'!$A:$A, 0))-INDEX('KZ-normalized'!$E:$E, MATCH($A40, 'KZ-normalized'!$A:$A, 0))), 0), 0))+(IFERROR(IF(25*INDEX('UZ-normalized'!$D:$D, MATCH($A40, 'UZ-normalized'!$A:$A, 0))-INDEX('UZ-normalized'!$E:$E, MATCH($A40, 'UZ-normalized'!$A:$A, 0))&gt;0, -(25*INDEX('UZ-normalized'!$D:$D, MATCH($A40, 'UZ-normalized'!$A:$A, 0))-INDEX('UZ-normalized'!$E:$E, MATCH($A40, 'UZ-normalized'!$A:$A, 0))), 0), 0)))</f>
        <v>0</v>
      </c>
      <c r="AN40" s="6">
        <f>MIN(0, N40+(IFERROR(IF(26*INDEX('UA-normalized'!$D:$D, MATCH($A40, 'UA-normalized'!$A:$A, 0))-INDEX('UA-normalized'!$E:$E, MATCH($A40, 'UA-normalized'!$A:$A, 0))&gt;0, -(26*INDEX('UA-normalized'!$D:$D, MATCH($A40, 'UA-normalized'!$A:$A, 0))-INDEX('UA-normalized'!$E:$E, MATCH($A40, 'UA-normalized'!$A:$A, 0))), 0), 0))+(IFERROR(IF(26*INDEX('KZ-normalized'!$D:$D, MATCH($A40, 'KZ-normalized'!$A:$A, 0))-INDEX('KZ-normalized'!$E:$E, MATCH($A40, 'KZ-normalized'!$A:$A, 0))&gt;0, -(26*INDEX('KZ-normalized'!$D:$D, MATCH($A40, 'KZ-normalized'!$A:$A, 0))-INDEX('KZ-normalized'!$E:$E, MATCH($A40, 'KZ-normalized'!$A:$A, 0))), 0), 0))+(IFERROR(IF(26*INDEX('UZ-normalized'!$D:$D, MATCH($A40, 'UZ-normalized'!$A:$A, 0))-INDEX('UZ-normalized'!$E:$E, MATCH($A40, 'UZ-normalized'!$A:$A, 0))&gt;0, -(26*INDEX('UZ-normalized'!$D:$D, MATCH($A40, 'UZ-normalized'!$A:$A, 0))-INDEX('UZ-normalized'!$E:$E, MATCH($A40, 'UZ-normalized'!$A:$A, 0))), 0), 0)))</f>
        <v>0</v>
      </c>
      <c r="AO40" s="6">
        <f>MIN(0, N40+(IFERROR(IF(27*INDEX('UA-normalized'!$D:$D, MATCH($A40, 'UA-normalized'!$A:$A, 0))-INDEX('UA-normalized'!$E:$E, MATCH($A40, 'UA-normalized'!$A:$A, 0))&gt;0, -(27*INDEX('UA-normalized'!$D:$D, MATCH($A40, 'UA-normalized'!$A:$A, 0))-INDEX('UA-normalized'!$E:$E, MATCH($A40, 'UA-normalized'!$A:$A, 0))), 0), 0))+(IFERROR(IF(27*INDEX('KZ-normalized'!$D:$D, MATCH($A40, 'KZ-normalized'!$A:$A, 0))-INDEX('KZ-normalized'!$E:$E, MATCH($A40, 'KZ-normalized'!$A:$A, 0))&gt;0, -(27*INDEX('KZ-normalized'!$D:$D, MATCH($A40, 'KZ-normalized'!$A:$A, 0))-INDEX('KZ-normalized'!$E:$E, MATCH($A40, 'KZ-normalized'!$A:$A, 0))), 0), 0))+(IFERROR(IF(27*INDEX('UZ-normalized'!$D:$D, MATCH($A40, 'UZ-normalized'!$A:$A, 0))-INDEX('UZ-normalized'!$E:$E, MATCH($A40, 'UZ-normalized'!$A:$A, 0))&gt;0, -(27*INDEX('UZ-normalized'!$D:$D, MATCH($A40, 'UZ-normalized'!$A:$A, 0))-INDEX('UZ-normalized'!$E:$E, MATCH($A40, 'UZ-normalized'!$A:$A, 0))), 0), 0)))</f>
        <v>0</v>
      </c>
      <c r="AP40" s="6">
        <f>MIN(0, N40+(IFERROR(IF(28*INDEX('UA-normalized'!$D:$D, MATCH($A40, 'UA-normalized'!$A:$A, 0))-INDEX('UA-normalized'!$E:$E, MATCH($A40, 'UA-normalized'!$A:$A, 0))&gt;0, -(28*INDEX('UA-normalized'!$D:$D, MATCH($A40, 'UA-normalized'!$A:$A, 0))-INDEX('UA-normalized'!$E:$E, MATCH($A40, 'UA-normalized'!$A:$A, 0))), 0), 0))+(IFERROR(IF(28*INDEX('KZ-normalized'!$D:$D, MATCH($A40, 'KZ-normalized'!$A:$A, 0))-INDEX('KZ-normalized'!$E:$E, MATCH($A40, 'KZ-normalized'!$A:$A, 0))&gt;0, -(28*INDEX('KZ-normalized'!$D:$D, MATCH($A40, 'KZ-normalized'!$A:$A, 0))-INDEX('KZ-normalized'!$E:$E, MATCH($A40, 'KZ-normalized'!$A:$A, 0))), 0), 0))+(IFERROR(IF(28*INDEX('UZ-normalized'!$D:$D, MATCH($A40, 'UZ-normalized'!$A:$A, 0))-INDEX('UZ-normalized'!$E:$E, MATCH($A40, 'UZ-normalized'!$A:$A, 0))&gt;0, -(28*INDEX('UZ-normalized'!$D:$D, MATCH($A40, 'UZ-normalized'!$A:$A, 0))-INDEX('UZ-normalized'!$E:$E, MATCH($A40, 'UZ-normalized'!$A:$A, 0))), 0), 0)))</f>
        <v>0</v>
      </c>
      <c r="AQ40" s="6">
        <f>MIN(0, N40+(IFERROR(IF(29*INDEX('UA-normalized'!$D:$D, MATCH($A40, 'UA-normalized'!$A:$A, 0))-INDEX('UA-normalized'!$E:$E, MATCH($A40, 'UA-normalized'!$A:$A, 0))&gt;0, -(29*INDEX('UA-normalized'!$D:$D, MATCH($A40, 'UA-normalized'!$A:$A, 0))-INDEX('UA-normalized'!$E:$E, MATCH($A40, 'UA-normalized'!$A:$A, 0))), 0), 0))+(IFERROR(IF(29*INDEX('KZ-normalized'!$D:$D, MATCH($A40, 'KZ-normalized'!$A:$A, 0))-INDEX('KZ-normalized'!$E:$E, MATCH($A40, 'KZ-normalized'!$A:$A, 0))&gt;0, -(29*INDEX('KZ-normalized'!$D:$D, MATCH($A40, 'KZ-normalized'!$A:$A, 0))-INDEX('KZ-normalized'!$E:$E, MATCH($A40, 'KZ-normalized'!$A:$A, 0))), 0), 0))+(IFERROR(IF(29*INDEX('UZ-normalized'!$D:$D, MATCH($A40, 'UZ-normalized'!$A:$A, 0))-INDEX('UZ-normalized'!$E:$E, MATCH($A40, 'UZ-normalized'!$A:$A, 0))&gt;0, -(29*INDEX('UZ-normalized'!$D:$D, MATCH($A40, 'UZ-normalized'!$A:$A, 0))-INDEX('UZ-normalized'!$E:$E, MATCH($A40, 'UZ-normalized'!$A:$A, 0))), 0), 0)))</f>
        <v>0</v>
      </c>
      <c r="AR40" s="6">
        <f>MIN(0, N40+(IFERROR(IF(30*INDEX('UA-normalized'!$D:$D, MATCH($A40, 'UA-normalized'!$A:$A, 0))-INDEX('UA-normalized'!$E:$E, MATCH($A40, 'UA-normalized'!$A:$A, 0))&gt;0, -(30*INDEX('UA-normalized'!$D:$D, MATCH($A40, 'UA-normalized'!$A:$A, 0))-INDEX('UA-normalized'!$E:$E, MATCH($A40, 'UA-normalized'!$A:$A, 0))), 0), 0))+(IFERROR(IF(30*INDEX('KZ-normalized'!$D:$D, MATCH($A40, 'KZ-normalized'!$A:$A, 0))-INDEX('KZ-normalized'!$E:$E, MATCH($A40, 'KZ-normalized'!$A:$A, 0))&gt;0, -(30*INDEX('KZ-normalized'!$D:$D, MATCH($A40, 'KZ-normalized'!$A:$A, 0))-INDEX('KZ-normalized'!$E:$E, MATCH($A40, 'KZ-normalized'!$A:$A, 0))), 0), 0))+(IFERROR(IF(30*INDEX('UZ-normalized'!$D:$D, MATCH($A40, 'UZ-normalized'!$A:$A, 0))-INDEX('UZ-normalized'!$E:$E, MATCH($A40, 'UZ-normalized'!$A:$A, 0))&gt;0, -(30*INDEX('UZ-normalized'!$D:$D, MATCH($A40, 'UZ-normalized'!$A:$A, 0))-INDEX('UZ-normalized'!$E:$E, MATCH($A40, 'UZ-normalized'!$A:$A, 0))), 0), 0)))</f>
        <v>0</v>
      </c>
    </row>
    <row r="41" spans="1:44" x14ac:dyDescent="0.25">
      <c r="A41" s="8" t="s">
        <v>126</v>
      </c>
      <c r="B41" s="8" t="s">
        <v>83</v>
      </c>
      <c r="C41" s="8" t="s">
        <v>105</v>
      </c>
      <c r="D41" s="8" t="s">
        <v>125</v>
      </c>
      <c r="N41">
        <f t="shared" si="0"/>
        <v>0</v>
      </c>
      <c r="O41" s="6">
        <f>MIN(0, N41+(IFERROR(IF(1*INDEX('UA-normalized'!$D:$D, MATCH($A41, 'UA-normalized'!$A:$A, 0))-INDEX('UA-normalized'!$E:$E, MATCH($A41, 'UA-normalized'!$A:$A, 0))&gt;0, -(1*INDEX('UA-normalized'!$D:$D, MATCH($A41, 'UA-normalized'!$A:$A, 0))-INDEX('UA-normalized'!$E:$E, MATCH($A41, 'UA-normalized'!$A:$A, 0))), 0), 0))+(IFERROR(IF(1*INDEX('KZ-normalized'!$D:$D, MATCH($A41, 'KZ-normalized'!$A:$A, 0))-INDEX('KZ-normalized'!$E:$E, MATCH($A41, 'KZ-normalized'!$A:$A, 0))&gt;0, -(1*INDEX('KZ-normalized'!$D:$D, MATCH($A41, 'KZ-normalized'!$A:$A, 0))-INDEX('KZ-normalized'!$E:$E, MATCH($A41, 'KZ-normalized'!$A:$A, 0))), 0), 0))+(IFERROR(IF(1*INDEX('UZ-normalized'!$D:$D, MATCH($A41, 'UZ-normalized'!$A:$A, 0))-INDEX('UZ-normalized'!$E:$E, MATCH($A41, 'UZ-normalized'!$A:$A, 0))&gt;0, -(1*INDEX('UZ-normalized'!$D:$D, MATCH($A41, 'UZ-normalized'!$A:$A, 0))-INDEX('UZ-normalized'!$E:$E, MATCH($A41, 'UZ-normalized'!$A:$A, 0))), 0), 0)))</f>
        <v>0</v>
      </c>
      <c r="P41" s="6">
        <f>MIN(0, N41+(IFERROR(IF(2*INDEX('UA-normalized'!$D:$D, MATCH($A41, 'UA-normalized'!$A:$A, 0))-INDEX('UA-normalized'!$E:$E, MATCH($A41, 'UA-normalized'!$A:$A, 0))&gt;0, -(2*INDEX('UA-normalized'!$D:$D, MATCH($A41, 'UA-normalized'!$A:$A, 0))-INDEX('UA-normalized'!$E:$E, MATCH($A41, 'UA-normalized'!$A:$A, 0))), 0), 0))+(IFERROR(IF(2*INDEX('KZ-normalized'!$D:$D, MATCH($A41, 'KZ-normalized'!$A:$A, 0))-INDEX('KZ-normalized'!$E:$E, MATCH($A41, 'KZ-normalized'!$A:$A, 0))&gt;0, -(2*INDEX('KZ-normalized'!$D:$D, MATCH($A41, 'KZ-normalized'!$A:$A, 0))-INDEX('KZ-normalized'!$E:$E, MATCH($A41, 'KZ-normalized'!$A:$A, 0))), 0), 0))+(IFERROR(IF(2*INDEX('UZ-normalized'!$D:$D, MATCH($A41, 'UZ-normalized'!$A:$A, 0))-INDEX('UZ-normalized'!$E:$E, MATCH($A41, 'UZ-normalized'!$A:$A, 0))&gt;0, -(2*INDEX('UZ-normalized'!$D:$D, MATCH($A41, 'UZ-normalized'!$A:$A, 0))-INDEX('UZ-normalized'!$E:$E, MATCH($A41, 'UZ-normalized'!$A:$A, 0))), 0), 0)))</f>
        <v>0</v>
      </c>
      <c r="Q41" s="6">
        <f>MIN(0, N41+(IFERROR(IF(3*INDEX('UA-normalized'!$D:$D, MATCH($A41, 'UA-normalized'!$A:$A, 0))-INDEX('UA-normalized'!$E:$E, MATCH($A41, 'UA-normalized'!$A:$A, 0))&gt;0, -(3*INDEX('UA-normalized'!$D:$D, MATCH($A41, 'UA-normalized'!$A:$A, 0))-INDEX('UA-normalized'!$E:$E, MATCH($A41, 'UA-normalized'!$A:$A, 0))), 0), 0))+(IFERROR(IF(3*INDEX('KZ-normalized'!$D:$D, MATCH($A41, 'KZ-normalized'!$A:$A, 0))-INDEX('KZ-normalized'!$E:$E, MATCH($A41, 'KZ-normalized'!$A:$A, 0))&gt;0, -(3*INDEX('KZ-normalized'!$D:$D, MATCH($A41, 'KZ-normalized'!$A:$A, 0))-INDEX('KZ-normalized'!$E:$E, MATCH($A41, 'KZ-normalized'!$A:$A, 0))), 0), 0))+(IFERROR(IF(3*INDEX('UZ-normalized'!$D:$D, MATCH($A41, 'UZ-normalized'!$A:$A, 0))-INDEX('UZ-normalized'!$E:$E, MATCH($A41, 'UZ-normalized'!$A:$A, 0))&gt;0, -(3*INDEX('UZ-normalized'!$D:$D, MATCH($A41, 'UZ-normalized'!$A:$A, 0))-INDEX('UZ-normalized'!$E:$E, MATCH($A41, 'UZ-normalized'!$A:$A, 0))), 0), 0)))</f>
        <v>0</v>
      </c>
      <c r="R41" s="6">
        <f>MIN(0, N41+(IFERROR(IF(4*INDEX('UA-normalized'!$D:$D, MATCH($A41, 'UA-normalized'!$A:$A, 0))-INDEX('UA-normalized'!$E:$E, MATCH($A41, 'UA-normalized'!$A:$A, 0))&gt;0, -(4*INDEX('UA-normalized'!$D:$D, MATCH($A41, 'UA-normalized'!$A:$A, 0))-INDEX('UA-normalized'!$E:$E, MATCH($A41, 'UA-normalized'!$A:$A, 0))), 0), 0))+(IFERROR(IF(4*INDEX('KZ-normalized'!$D:$D, MATCH($A41, 'KZ-normalized'!$A:$A, 0))-INDEX('KZ-normalized'!$E:$E, MATCH($A41, 'KZ-normalized'!$A:$A, 0))&gt;0, -(4*INDEX('KZ-normalized'!$D:$D, MATCH($A41, 'KZ-normalized'!$A:$A, 0))-INDEX('KZ-normalized'!$E:$E, MATCH($A41, 'KZ-normalized'!$A:$A, 0))), 0), 0))+(IFERROR(IF(4*INDEX('UZ-normalized'!$D:$D, MATCH($A41, 'UZ-normalized'!$A:$A, 0))-INDEX('UZ-normalized'!$E:$E, MATCH($A41, 'UZ-normalized'!$A:$A, 0))&gt;0, -(4*INDEX('UZ-normalized'!$D:$D, MATCH($A41, 'UZ-normalized'!$A:$A, 0))-INDEX('UZ-normalized'!$E:$E, MATCH($A41, 'UZ-normalized'!$A:$A, 0))), 0), 0)))</f>
        <v>0</v>
      </c>
      <c r="S41" s="6">
        <f>MIN(0, N41+(IFERROR(IF(5*INDEX('UA-normalized'!$D:$D, MATCH($A41, 'UA-normalized'!$A:$A, 0))-INDEX('UA-normalized'!$E:$E, MATCH($A41, 'UA-normalized'!$A:$A, 0))&gt;0, -(5*INDEX('UA-normalized'!$D:$D, MATCH($A41, 'UA-normalized'!$A:$A, 0))-INDEX('UA-normalized'!$E:$E, MATCH($A41, 'UA-normalized'!$A:$A, 0))), 0), 0))+(IFERROR(IF(5*INDEX('KZ-normalized'!$D:$D, MATCH($A41, 'KZ-normalized'!$A:$A, 0))-INDEX('KZ-normalized'!$E:$E, MATCH($A41, 'KZ-normalized'!$A:$A, 0))&gt;0, -(5*INDEX('KZ-normalized'!$D:$D, MATCH($A41, 'KZ-normalized'!$A:$A, 0))-INDEX('KZ-normalized'!$E:$E, MATCH($A41, 'KZ-normalized'!$A:$A, 0))), 0), 0))+(IFERROR(IF(5*INDEX('UZ-normalized'!$D:$D, MATCH($A41, 'UZ-normalized'!$A:$A, 0))-INDEX('UZ-normalized'!$E:$E, MATCH($A41, 'UZ-normalized'!$A:$A, 0))&gt;0, -(5*INDEX('UZ-normalized'!$D:$D, MATCH($A41, 'UZ-normalized'!$A:$A, 0))-INDEX('UZ-normalized'!$E:$E, MATCH($A41, 'UZ-normalized'!$A:$A, 0))), 0), 0)))</f>
        <v>0</v>
      </c>
      <c r="T41" s="6">
        <f>MIN(0, N41+(IFERROR(IF(6*INDEX('UA-normalized'!$D:$D, MATCH($A41, 'UA-normalized'!$A:$A, 0))-INDEX('UA-normalized'!$E:$E, MATCH($A41, 'UA-normalized'!$A:$A, 0))&gt;0, -(6*INDEX('UA-normalized'!$D:$D, MATCH($A41, 'UA-normalized'!$A:$A, 0))-INDEX('UA-normalized'!$E:$E, MATCH($A41, 'UA-normalized'!$A:$A, 0))), 0), 0))+(IFERROR(IF(6*INDEX('KZ-normalized'!$D:$D, MATCH($A41, 'KZ-normalized'!$A:$A, 0))-INDEX('KZ-normalized'!$E:$E, MATCH($A41, 'KZ-normalized'!$A:$A, 0))&gt;0, -(6*INDEX('KZ-normalized'!$D:$D, MATCH($A41, 'KZ-normalized'!$A:$A, 0))-INDEX('KZ-normalized'!$E:$E, MATCH($A41, 'KZ-normalized'!$A:$A, 0))), 0), 0))+(IFERROR(IF(6*INDEX('UZ-normalized'!$D:$D, MATCH($A41, 'UZ-normalized'!$A:$A, 0))-INDEX('UZ-normalized'!$E:$E, MATCH($A41, 'UZ-normalized'!$A:$A, 0))&gt;0, -(6*INDEX('UZ-normalized'!$D:$D, MATCH($A41, 'UZ-normalized'!$A:$A, 0))-INDEX('UZ-normalized'!$E:$E, MATCH($A41, 'UZ-normalized'!$A:$A, 0))), 0), 0)))</f>
        <v>0</v>
      </c>
      <c r="U41" s="6">
        <f>MIN(0, N41+(IFERROR(IF(7*INDEX('UA-normalized'!$D:$D, MATCH($A41, 'UA-normalized'!$A:$A, 0))-INDEX('UA-normalized'!$E:$E, MATCH($A41, 'UA-normalized'!$A:$A, 0))&gt;0, -(7*INDEX('UA-normalized'!$D:$D, MATCH($A41, 'UA-normalized'!$A:$A, 0))-INDEX('UA-normalized'!$E:$E, MATCH($A41, 'UA-normalized'!$A:$A, 0))), 0), 0))+(IFERROR(IF(7*INDEX('KZ-normalized'!$D:$D, MATCH($A41, 'KZ-normalized'!$A:$A, 0))-INDEX('KZ-normalized'!$E:$E, MATCH($A41, 'KZ-normalized'!$A:$A, 0))&gt;0, -(7*INDEX('KZ-normalized'!$D:$D, MATCH($A41, 'KZ-normalized'!$A:$A, 0))-INDEX('KZ-normalized'!$E:$E, MATCH($A41, 'KZ-normalized'!$A:$A, 0))), 0), 0))+(IFERROR(IF(7*INDEX('UZ-normalized'!$D:$D, MATCH($A41, 'UZ-normalized'!$A:$A, 0))-INDEX('UZ-normalized'!$E:$E, MATCH($A41, 'UZ-normalized'!$A:$A, 0))&gt;0, -(7*INDEX('UZ-normalized'!$D:$D, MATCH($A41, 'UZ-normalized'!$A:$A, 0))-INDEX('UZ-normalized'!$E:$E, MATCH($A41, 'UZ-normalized'!$A:$A, 0))), 0), 0)))</f>
        <v>0</v>
      </c>
      <c r="V41" s="6">
        <f>MIN(0, N41+(IFERROR(IF(8*INDEX('UA-normalized'!$D:$D, MATCH($A41, 'UA-normalized'!$A:$A, 0))-INDEX('UA-normalized'!$E:$E, MATCH($A41, 'UA-normalized'!$A:$A, 0))&gt;0, -(8*INDEX('UA-normalized'!$D:$D, MATCH($A41, 'UA-normalized'!$A:$A, 0))-INDEX('UA-normalized'!$E:$E, MATCH($A41, 'UA-normalized'!$A:$A, 0))), 0), 0))+(IFERROR(IF(8*INDEX('KZ-normalized'!$D:$D, MATCH($A41, 'KZ-normalized'!$A:$A, 0))-INDEX('KZ-normalized'!$E:$E, MATCH($A41, 'KZ-normalized'!$A:$A, 0))&gt;0, -(8*INDEX('KZ-normalized'!$D:$D, MATCH($A41, 'KZ-normalized'!$A:$A, 0))-INDEX('KZ-normalized'!$E:$E, MATCH($A41, 'KZ-normalized'!$A:$A, 0))), 0), 0))+(IFERROR(IF(8*INDEX('UZ-normalized'!$D:$D, MATCH($A41, 'UZ-normalized'!$A:$A, 0))-INDEX('UZ-normalized'!$E:$E, MATCH($A41, 'UZ-normalized'!$A:$A, 0))&gt;0, -(8*INDEX('UZ-normalized'!$D:$D, MATCH($A41, 'UZ-normalized'!$A:$A, 0))-INDEX('UZ-normalized'!$E:$E, MATCH($A41, 'UZ-normalized'!$A:$A, 0))), 0), 0)))</f>
        <v>0</v>
      </c>
      <c r="W41" s="6">
        <f>MIN(0, N41+(IFERROR(IF(9*INDEX('UA-normalized'!$D:$D, MATCH($A41, 'UA-normalized'!$A:$A, 0))-INDEX('UA-normalized'!$E:$E, MATCH($A41, 'UA-normalized'!$A:$A, 0))&gt;0, -(9*INDEX('UA-normalized'!$D:$D, MATCH($A41, 'UA-normalized'!$A:$A, 0))-INDEX('UA-normalized'!$E:$E, MATCH($A41, 'UA-normalized'!$A:$A, 0))), 0), 0))+(IFERROR(IF(9*INDEX('KZ-normalized'!$D:$D, MATCH($A41, 'KZ-normalized'!$A:$A, 0))-INDEX('KZ-normalized'!$E:$E, MATCH($A41, 'KZ-normalized'!$A:$A, 0))&gt;0, -(9*INDEX('KZ-normalized'!$D:$D, MATCH($A41, 'KZ-normalized'!$A:$A, 0))-INDEX('KZ-normalized'!$E:$E, MATCH($A41, 'KZ-normalized'!$A:$A, 0))), 0), 0))+(IFERROR(IF(9*INDEX('UZ-normalized'!$D:$D, MATCH($A41, 'UZ-normalized'!$A:$A, 0))-INDEX('UZ-normalized'!$E:$E, MATCH($A41, 'UZ-normalized'!$A:$A, 0))&gt;0, -(9*INDEX('UZ-normalized'!$D:$D, MATCH($A41, 'UZ-normalized'!$A:$A, 0))-INDEX('UZ-normalized'!$E:$E, MATCH($A41, 'UZ-normalized'!$A:$A, 0))), 0), 0)))</f>
        <v>0</v>
      </c>
      <c r="X41" s="6">
        <f>MIN(0, N41+(IFERROR(IF(10*INDEX('UA-normalized'!$D:$D, MATCH($A41, 'UA-normalized'!$A:$A, 0))-INDEX('UA-normalized'!$E:$E, MATCH($A41, 'UA-normalized'!$A:$A, 0))&gt;0, -(10*INDEX('UA-normalized'!$D:$D, MATCH($A41, 'UA-normalized'!$A:$A, 0))-INDEX('UA-normalized'!$E:$E, MATCH($A41, 'UA-normalized'!$A:$A, 0))), 0), 0))+(IFERROR(IF(10*INDEX('KZ-normalized'!$D:$D, MATCH($A41, 'KZ-normalized'!$A:$A, 0))-INDEX('KZ-normalized'!$E:$E, MATCH($A41, 'KZ-normalized'!$A:$A, 0))&gt;0, -(10*INDEX('KZ-normalized'!$D:$D, MATCH($A41, 'KZ-normalized'!$A:$A, 0))-INDEX('KZ-normalized'!$E:$E, MATCH($A41, 'KZ-normalized'!$A:$A, 0))), 0), 0))+(IFERROR(IF(10*INDEX('UZ-normalized'!$D:$D, MATCH($A41, 'UZ-normalized'!$A:$A, 0))-INDEX('UZ-normalized'!$E:$E, MATCH($A41, 'UZ-normalized'!$A:$A, 0))&gt;0, -(10*INDEX('UZ-normalized'!$D:$D, MATCH($A41, 'UZ-normalized'!$A:$A, 0))-INDEX('UZ-normalized'!$E:$E, MATCH($A41, 'UZ-normalized'!$A:$A, 0))), 0), 0)))</f>
        <v>0</v>
      </c>
      <c r="Y41" s="6">
        <f>MIN(0, N41+(IFERROR(IF(11*INDEX('UA-normalized'!$D:$D, MATCH($A41, 'UA-normalized'!$A:$A, 0))-INDEX('UA-normalized'!$E:$E, MATCH($A41, 'UA-normalized'!$A:$A, 0))&gt;0, -(11*INDEX('UA-normalized'!$D:$D, MATCH($A41, 'UA-normalized'!$A:$A, 0))-INDEX('UA-normalized'!$E:$E, MATCH($A41, 'UA-normalized'!$A:$A, 0))), 0), 0))+(IFERROR(IF(11*INDEX('KZ-normalized'!$D:$D, MATCH($A41, 'KZ-normalized'!$A:$A, 0))-INDEX('KZ-normalized'!$E:$E, MATCH($A41, 'KZ-normalized'!$A:$A, 0))&gt;0, -(11*INDEX('KZ-normalized'!$D:$D, MATCH($A41, 'KZ-normalized'!$A:$A, 0))-INDEX('KZ-normalized'!$E:$E, MATCH($A41, 'KZ-normalized'!$A:$A, 0))), 0), 0))+(IFERROR(IF(11*INDEX('UZ-normalized'!$D:$D, MATCH($A41, 'UZ-normalized'!$A:$A, 0))-INDEX('UZ-normalized'!$E:$E, MATCH($A41, 'UZ-normalized'!$A:$A, 0))&gt;0, -(11*INDEX('UZ-normalized'!$D:$D, MATCH($A41, 'UZ-normalized'!$A:$A, 0))-INDEX('UZ-normalized'!$E:$E, MATCH($A41, 'UZ-normalized'!$A:$A, 0))), 0), 0)))</f>
        <v>-0.5</v>
      </c>
      <c r="Z41" s="6">
        <f>MIN(0, N41+(IFERROR(IF(12*INDEX('UA-normalized'!$D:$D, MATCH($A41, 'UA-normalized'!$A:$A, 0))-INDEX('UA-normalized'!$E:$E, MATCH($A41, 'UA-normalized'!$A:$A, 0))&gt;0, -(12*INDEX('UA-normalized'!$D:$D, MATCH($A41, 'UA-normalized'!$A:$A, 0))-INDEX('UA-normalized'!$E:$E, MATCH($A41, 'UA-normalized'!$A:$A, 0))), 0), 0))+(IFERROR(IF(12*INDEX('KZ-normalized'!$D:$D, MATCH($A41, 'KZ-normalized'!$A:$A, 0))-INDEX('KZ-normalized'!$E:$E, MATCH($A41, 'KZ-normalized'!$A:$A, 0))&gt;0, -(12*INDEX('KZ-normalized'!$D:$D, MATCH($A41, 'KZ-normalized'!$A:$A, 0))-INDEX('KZ-normalized'!$E:$E, MATCH($A41, 'KZ-normalized'!$A:$A, 0))), 0), 0))+(IFERROR(IF(12*INDEX('UZ-normalized'!$D:$D, MATCH($A41, 'UZ-normalized'!$A:$A, 0))-INDEX('UZ-normalized'!$E:$E, MATCH($A41, 'UZ-normalized'!$A:$A, 0))&gt;0, -(12*INDEX('UZ-normalized'!$D:$D, MATCH($A41, 'UZ-normalized'!$A:$A, 0))-INDEX('UZ-normalized'!$E:$E, MATCH($A41, 'UZ-normalized'!$A:$A, 0))), 0), 0)))</f>
        <v>-1</v>
      </c>
      <c r="AA41" s="6">
        <f>MIN(0, N41+(IFERROR(IF(13*INDEX('UA-normalized'!$D:$D, MATCH($A41, 'UA-normalized'!$A:$A, 0))-INDEX('UA-normalized'!$E:$E, MATCH($A41, 'UA-normalized'!$A:$A, 0))&gt;0, -(13*INDEX('UA-normalized'!$D:$D, MATCH($A41, 'UA-normalized'!$A:$A, 0))-INDEX('UA-normalized'!$E:$E, MATCH($A41, 'UA-normalized'!$A:$A, 0))), 0), 0))+(IFERROR(IF(13*INDEX('KZ-normalized'!$D:$D, MATCH($A41, 'KZ-normalized'!$A:$A, 0))-INDEX('KZ-normalized'!$E:$E, MATCH($A41, 'KZ-normalized'!$A:$A, 0))&gt;0, -(13*INDEX('KZ-normalized'!$D:$D, MATCH($A41, 'KZ-normalized'!$A:$A, 0))-INDEX('KZ-normalized'!$E:$E, MATCH($A41, 'KZ-normalized'!$A:$A, 0))), 0), 0))+(IFERROR(IF(13*INDEX('UZ-normalized'!$D:$D, MATCH($A41, 'UZ-normalized'!$A:$A, 0))-INDEX('UZ-normalized'!$E:$E, MATCH($A41, 'UZ-normalized'!$A:$A, 0))&gt;0, -(13*INDEX('UZ-normalized'!$D:$D, MATCH($A41, 'UZ-normalized'!$A:$A, 0))-INDEX('UZ-normalized'!$E:$E, MATCH($A41, 'UZ-normalized'!$A:$A, 0))), 0), 0)))</f>
        <v>-1.5</v>
      </c>
      <c r="AB41" s="6">
        <f>MIN(0, N41+(IFERROR(IF(14*INDEX('UA-normalized'!$D:$D, MATCH($A41, 'UA-normalized'!$A:$A, 0))-INDEX('UA-normalized'!$E:$E, MATCH($A41, 'UA-normalized'!$A:$A, 0))&gt;0, -(14*INDEX('UA-normalized'!$D:$D, MATCH($A41, 'UA-normalized'!$A:$A, 0))-INDEX('UA-normalized'!$E:$E, MATCH($A41, 'UA-normalized'!$A:$A, 0))), 0), 0))+(IFERROR(IF(14*INDEX('KZ-normalized'!$D:$D, MATCH($A41, 'KZ-normalized'!$A:$A, 0))-INDEX('KZ-normalized'!$E:$E, MATCH($A41, 'KZ-normalized'!$A:$A, 0))&gt;0, -(14*INDEX('KZ-normalized'!$D:$D, MATCH($A41, 'KZ-normalized'!$A:$A, 0))-INDEX('KZ-normalized'!$E:$E, MATCH($A41, 'KZ-normalized'!$A:$A, 0))), 0), 0))+(IFERROR(IF(14*INDEX('UZ-normalized'!$D:$D, MATCH($A41, 'UZ-normalized'!$A:$A, 0))-INDEX('UZ-normalized'!$E:$E, MATCH($A41, 'UZ-normalized'!$A:$A, 0))&gt;0, -(14*INDEX('UZ-normalized'!$D:$D, MATCH($A41, 'UZ-normalized'!$A:$A, 0))-INDEX('UZ-normalized'!$E:$E, MATCH($A41, 'UZ-normalized'!$A:$A, 0))), 0), 0)))</f>
        <v>-2</v>
      </c>
      <c r="AC41" s="6">
        <f>MIN(0, N41+(IFERROR(IF(15*INDEX('UA-normalized'!$D:$D, MATCH($A41, 'UA-normalized'!$A:$A, 0))-INDEX('UA-normalized'!$E:$E, MATCH($A41, 'UA-normalized'!$A:$A, 0))&gt;0, -(15*INDEX('UA-normalized'!$D:$D, MATCH($A41, 'UA-normalized'!$A:$A, 0))-INDEX('UA-normalized'!$E:$E, MATCH($A41, 'UA-normalized'!$A:$A, 0))), 0), 0))+(IFERROR(IF(15*INDEX('KZ-normalized'!$D:$D, MATCH($A41, 'KZ-normalized'!$A:$A, 0))-INDEX('KZ-normalized'!$E:$E, MATCH($A41, 'KZ-normalized'!$A:$A, 0))&gt;0, -(15*INDEX('KZ-normalized'!$D:$D, MATCH($A41, 'KZ-normalized'!$A:$A, 0))-INDEX('KZ-normalized'!$E:$E, MATCH($A41, 'KZ-normalized'!$A:$A, 0))), 0), 0))+(IFERROR(IF(15*INDEX('UZ-normalized'!$D:$D, MATCH($A41, 'UZ-normalized'!$A:$A, 0))-INDEX('UZ-normalized'!$E:$E, MATCH($A41, 'UZ-normalized'!$A:$A, 0))&gt;0, -(15*INDEX('UZ-normalized'!$D:$D, MATCH($A41, 'UZ-normalized'!$A:$A, 0))-INDEX('UZ-normalized'!$E:$E, MATCH($A41, 'UZ-normalized'!$A:$A, 0))), 0), 0)))</f>
        <v>-2.5</v>
      </c>
      <c r="AD41" s="6">
        <f>MIN(0, N41+(IFERROR(IF(16*INDEX('UA-normalized'!$D:$D, MATCH($A41, 'UA-normalized'!$A:$A, 0))-INDEX('UA-normalized'!$E:$E, MATCH($A41, 'UA-normalized'!$A:$A, 0))&gt;0, -(16*INDEX('UA-normalized'!$D:$D, MATCH($A41, 'UA-normalized'!$A:$A, 0))-INDEX('UA-normalized'!$E:$E, MATCH($A41, 'UA-normalized'!$A:$A, 0))), 0), 0))+(IFERROR(IF(16*INDEX('KZ-normalized'!$D:$D, MATCH($A41, 'KZ-normalized'!$A:$A, 0))-INDEX('KZ-normalized'!$E:$E, MATCH($A41, 'KZ-normalized'!$A:$A, 0))&gt;0, -(16*INDEX('KZ-normalized'!$D:$D, MATCH($A41, 'KZ-normalized'!$A:$A, 0))-INDEX('KZ-normalized'!$E:$E, MATCH($A41, 'KZ-normalized'!$A:$A, 0))), 0), 0))+(IFERROR(IF(16*INDEX('UZ-normalized'!$D:$D, MATCH($A41, 'UZ-normalized'!$A:$A, 0))-INDEX('UZ-normalized'!$E:$E, MATCH($A41, 'UZ-normalized'!$A:$A, 0))&gt;0, -(16*INDEX('UZ-normalized'!$D:$D, MATCH($A41, 'UZ-normalized'!$A:$A, 0))-INDEX('UZ-normalized'!$E:$E, MATCH($A41, 'UZ-normalized'!$A:$A, 0))), 0), 0)))</f>
        <v>-3</v>
      </c>
      <c r="AE41" s="6">
        <f>MIN(0, N41+(IFERROR(IF(17*INDEX('UA-normalized'!$D:$D, MATCH($A41, 'UA-normalized'!$A:$A, 0))-INDEX('UA-normalized'!$E:$E, MATCH($A41, 'UA-normalized'!$A:$A, 0))&gt;0, -(17*INDEX('UA-normalized'!$D:$D, MATCH($A41, 'UA-normalized'!$A:$A, 0))-INDEX('UA-normalized'!$E:$E, MATCH($A41, 'UA-normalized'!$A:$A, 0))), 0), 0))+(IFERROR(IF(17*INDEX('KZ-normalized'!$D:$D, MATCH($A41, 'KZ-normalized'!$A:$A, 0))-INDEX('KZ-normalized'!$E:$E, MATCH($A41, 'KZ-normalized'!$A:$A, 0))&gt;0, -(17*INDEX('KZ-normalized'!$D:$D, MATCH($A41, 'KZ-normalized'!$A:$A, 0))-INDEX('KZ-normalized'!$E:$E, MATCH($A41, 'KZ-normalized'!$A:$A, 0))), 0), 0))+(IFERROR(IF(17*INDEX('UZ-normalized'!$D:$D, MATCH($A41, 'UZ-normalized'!$A:$A, 0))-INDEX('UZ-normalized'!$E:$E, MATCH($A41, 'UZ-normalized'!$A:$A, 0))&gt;0, -(17*INDEX('UZ-normalized'!$D:$D, MATCH($A41, 'UZ-normalized'!$A:$A, 0))-INDEX('UZ-normalized'!$E:$E, MATCH($A41, 'UZ-normalized'!$A:$A, 0))), 0), 0)))</f>
        <v>-3.5</v>
      </c>
      <c r="AF41" s="6">
        <f>MIN(0, N41+(IFERROR(IF(18*INDEX('UA-normalized'!$D:$D, MATCH($A41, 'UA-normalized'!$A:$A, 0))-INDEX('UA-normalized'!$E:$E, MATCH($A41, 'UA-normalized'!$A:$A, 0))&gt;0, -(18*INDEX('UA-normalized'!$D:$D, MATCH($A41, 'UA-normalized'!$A:$A, 0))-INDEX('UA-normalized'!$E:$E, MATCH($A41, 'UA-normalized'!$A:$A, 0))), 0), 0))+(IFERROR(IF(18*INDEX('KZ-normalized'!$D:$D, MATCH($A41, 'KZ-normalized'!$A:$A, 0))-INDEX('KZ-normalized'!$E:$E, MATCH($A41, 'KZ-normalized'!$A:$A, 0))&gt;0, -(18*INDEX('KZ-normalized'!$D:$D, MATCH($A41, 'KZ-normalized'!$A:$A, 0))-INDEX('KZ-normalized'!$E:$E, MATCH($A41, 'KZ-normalized'!$A:$A, 0))), 0), 0))+(IFERROR(IF(18*INDEX('UZ-normalized'!$D:$D, MATCH($A41, 'UZ-normalized'!$A:$A, 0))-INDEX('UZ-normalized'!$E:$E, MATCH($A41, 'UZ-normalized'!$A:$A, 0))&gt;0, -(18*INDEX('UZ-normalized'!$D:$D, MATCH($A41, 'UZ-normalized'!$A:$A, 0))-INDEX('UZ-normalized'!$E:$E, MATCH($A41, 'UZ-normalized'!$A:$A, 0))), 0), 0)))</f>
        <v>-4</v>
      </c>
      <c r="AG41" s="6">
        <f>MIN(0, N41+(IFERROR(IF(19*INDEX('UA-normalized'!$D:$D, MATCH($A41, 'UA-normalized'!$A:$A, 0))-INDEX('UA-normalized'!$E:$E, MATCH($A41, 'UA-normalized'!$A:$A, 0))&gt;0, -(19*INDEX('UA-normalized'!$D:$D, MATCH($A41, 'UA-normalized'!$A:$A, 0))-INDEX('UA-normalized'!$E:$E, MATCH($A41, 'UA-normalized'!$A:$A, 0))), 0), 0))+(IFERROR(IF(19*INDEX('KZ-normalized'!$D:$D, MATCH($A41, 'KZ-normalized'!$A:$A, 0))-INDEX('KZ-normalized'!$E:$E, MATCH($A41, 'KZ-normalized'!$A:$A, 0))&gt;0, -(19*INDEX('KZ-normalized'!$D:$D, MATCH($A41, 'KZ-normalized'!$A:$A, 0))-INDEX('KZ-normalized'!$E:$E, MATCH($A41, 'KZ-normalized'!$A:$A, 0))), 0), 0))+(IFERROR(IF(19*INDEX('UZ-normalized'!$D:$D, MATCH($A41, 'UZ-normalized'!$A:$A, 0))-INDEX('UZ-normalized'!$E:$E, MATCH($A41, 'UZ-normalized'!$A:$A, 0))&gt;0, -(19*INDEX('UZ-normalized'!$D:$D, MATCH($A41, 'UZ-normalized'!$A:$A, 0))-INDEX('UZ-normalized'!$E:$E, MATCH($A41, 'UZ-normalized'!$A:$A, 0))), 0), 0)))</f>
        <v>-4.5</v>
      </c>
      <c r="AH41" s="6">
        <f>MIN(0, N41+(IFERROR(IF(20*INDEX('UA-normalized'!$D:$D, MATCH($A41, 'UA-normalized'!$A:$A, 0))-INDEX('UA-normalized'!$E:$E, MATCH($A41, 'UA-normalized'!$A:$A, 0))&gt;0, -(20*INDEX('UA-normalized'!$D:$D, MATCH($A41, 'UA-normalized'!$A:$A, 0))-INDEX('UA-normalized'!$E:$E, MATCH($A41, 'UA-normalized'!$A:$A, 0))), 0), 0))+(IFERROR(IF(20*INDEX('KZ-normalized'!$D:$D, MATCH($A41, 'KZ-normalized'!$A:$A, 0))-INDEX('KZ-normalized'!$E:$E, MATCH($A41, 'KZ-normalized'!$A:$A, 0))&gt;0, -(20*INDEX('KZ-normalized'!$D:$D, MATCH($A41, 'KZ-normalized'!$A:$A, 0))-INDEX('KZ-normalized'!$E:$E, MATCH($A41, 'KZ-normalized'!$A:$A, 0))), 0), 0))+(IFERROR(IF(20*INDEX('UZ-normalized'!$D:$D, MATCH($A41, 'UZ-normalized'!$A:$A, 0))-INDEX('UZ-normalized'!$E:$E, MATCH($A41, 'UZ-normalized'!$A:$A, 0))&gt;0, -(20*INDEX('UZ-normalized'!$D:$D, MATCH($A41, 'UZ-normalized'!$A:$A, 0))-INDEX('UZ-normalized'!$E:$E, MATCH($A41, 'UZ-normalized'!$A:$A, 0))), 0), 0)))</f>
        <v>-5</v>
      </c>
      <c r="AI41" s="6">
        <f>MIN(0, N41+(IFERROR(IF(21*INDEX('UA-normalized'!$D:$D, MATCH($A41, 'UA-normalized'!$A:$A, 0))-INDEX('UA-normalized'!$E:$E, MATCH($A41, 'UA-normalized'!$A:$A, 0))&gt;0, -(21*INDEX('UA-normalized'!$D:$D, MATCH($A41, 'UA-normalized'!$A:$A, 0))-INDEX('UA-normalized'!$E:$E, MATCH($A41, 'UA-normalized'!$A:$A, 0))), 0), 0))+(IFERROR(IF(21*INDEX('KZ-normalized'!$D:$D, MATCH($A41, 'KZ-normalized'!$A:$A, 0))-INDEX('KZ-normalized'!$E:$E, MATCH($A41, 'KZ-normalized'!$A:$A, 0))&gt;0, -(21*INDEX('KZ-normalized'!$D:$D, MATCH($A41, 'KZ-normalized'!$A:$A, 0))-INDEX('KZ-normalized'!$E:$E, MATCH($A41, 'KZ-normalized'!$A:$A, 0))), 0), 0))+(IFERROR(IF(21*INDEX('UZ-normalized'!$D:$D, MATCH($A41, 'UZ-normalized'!$A:$A, 0))-INDEX('UZ-normalized'!$E:$E, MATCH($A41, 'UZ-normalized'!$A:$A, 0))&gt;0, -(21*INDEX('UZ-normalized'!$D:$D, MATCH($A41, 'UZ-normalized'!$A:$A, 0))-INDEX('UZ-normalized'!$E:$E, MATCH($A41, 'UZ-normalized'!$A:$A, 0))), 0), 0)))</f>
        <v>-5.5</v>
      </c>
      <c r="AJ41" s="6">
        <f>MIN(0, N41+(IFERROR(IF(22*INDEX('UA-normalized'!$D:$D, MATCH($A41, 'UA-normalized'!$A:$A, 0))-INDEX('UA-normalized'!$E:$E, MATCH($A41, 'UA-normalized'!$A:$A, 0))&gt;0, -(22*INDEX('UA-normalized'!$D:$D, MATCH($A41, 'UA-normalized'!$A:$A, 0))-INDEX('UA-normalized'!$E:$E, MATCH($A41, 'UA-normalized'!$A:$A, 0))), 0), 0))+(IFERROR(IF(22*INDEX('KZ-normalized'!$D:$D, MATCH($A41, 'KZ-normalized'!$A:$A, 0))-INDEX('KZ-normalized'!$E:$E, MATCH($A41, 'KZ-normalized'!$A:$A, 0))&gt;0, -(22*INDEX('KZ-normalized'!$D:$D, MATCH($A41, 'KZ-normalized'!$A:$A, 0))-INDEX('KZ-normalized'!$E:$E, MATCH($A41, 'KZ-normalized'!$A:$A, 0))), 0), 0))+(IFERROR(IF(22*INDEX('UZ-normalized'!$D:$D, MATCH($A41, 'UZ-normalized'!$A:$A, 0))-INDEX('UZ-normalized'!$E:$E, MATCH($A41, 'UZ-normalized'!$A:$A, 0))&gt;0, -(22*INDEX('UZ-normalized'!$D:$D, MATCH($A41, 'UZ-normalized'!$A:$A, 0))-INDEX('UZ-normalized'!$E:$E, MATCH($A41, 'UZ-normalized'!$A:$A, 0))), 0), 0)))</f>
        <v>-6</v>
      </c>
      <c r="AK41" s="6">
        <f>MIN(0, N41+(IFERROR(IF(23*INDEX('UA-normalized'!$D:$D, MATCH($A41, 'UA-normalized'!$A:$A, 0))-INDEX('UA-normalized'!$E:$E, MATCH($A41, 'UA-normalized'!$A:$A, 0))&gt;0, -(23*INDEX('UA-normalized'!$D:$D, MATCH($A41, 'UA-normalized'!$A:$A, 0))-INDEX('UA-normalized'!$E:$E, MATCH($A41, 'UA-normalized'!$A:$A, 0))), 0), 0))+(IFERROR(IF(23*INDEX('KZ-normalized'!$D:$D, MATCH($A41, 'KZ-normalized'!$A:$A, 0))-INDEX('KZ-normalized'!$E:$E, MATCH($A41, 'KZ-normalized'!$A:$A, 0))&gt;0, -(23*INDEX('KZ-normalized'!$D:$D, MATCH($A41, 'KZ-normalized'!$A:$A, 0))-INDEX('KZ-normalized'!$E:$E, MATCH($A41, 'KZ-normalized'!$A:$A, 0))), 0), 0))+(IFERROR(IF(23*INDEX('UZ-normalized'!$D:$D, MATCH($A41, 'UZ-normalized'!$A:$A, 0))-INDEX('UZ-normalized'!$E:$E, MATCH($A41, 'UZ-normalized'!$A:$A, 0))&gt;0, -(23*INDEX('UZ-normalized'!$D:$D, MATCH($A41, 'UZ-normalized'!$A:$A, 0))-INDEX('UZ-normalized'!$E:$E, MATCH($A41, 'UZ-normalized'!$A:$A, 0))), 0), 0)))</f>
        <v>-6.5</v>
      </c>
      <c r="AL41" s="6">
        <f>MIN(0, N41+(IFERROR(IF(24*INDEX('UA-normalized'!$D:$D, MATCH($A41, 'UA-normalized'!$A:$A, 0))-INDEX('UA-normalized'!$E:$E, MATCH($A41, 'UA-normalized'!$A:$A, 0))&gt;0, -(24*INDEX('UA-normalized'!$D:$D, MATCH($A41, 'UA-normalized'!$A:$A, 0))-INDEX('UA-normalized'!$E:$E, MATCH($A41, 'UA-normalized'!$A:$A, 0))), 0), 0))+(IFERROR(IF(24*INDEX('KZ-normalized'!$D:$D, MATCH($A41, 'KZ-normalized'!$A:$A, 0))-INDEX('KZ-normalized'!$E:$E, MATCH($A41, 'KZ-normalized'!$A:$A, 0))&gt;0, -(24*INDEX('KZ-normalized'!$D:$D, MATCH($A41, 'KZ-normalized'!$A:$A, 0))-INDEX('KZ-normalized'!$E:$E, MATCH($A41, 'KZ-normalized'!$A:$A, 0))), 0), 0))+(IFERROR(IF(24*INDEX('UZ-normalized'!$D:$D, MATCH($A41, 'UZ-normalized'!$A:$A, 0))-INDEX('UZ-normalized'!$E:$E, MATCH($A41, 'UZ-normalized'!$A:$A, 0))&gt;0, -(24*INDEX('UZ-normalized'!$D:$D, MATCH($A41, 'UZ-normalized'!$A:$A, 0))-INDEX('UZ-normalized'!$E:$E, MATCH($A41, 'UZ-normalized'!$A:$A, 0))), 0), 0)))</f>
        <v>-7</v>
      </c>
      <c r="AM41" s="6">
        <f>MIN(0, N41+(IFERROR(IF(25*INDEX('UA-normalized'!$D:$D, MATCH($A41, 'UA-normalized'!$A:$A, 0))-INDEX('UA-normalized'!$E:$E, MATCH($A41, 'UA-normalized'!$A:$A, 0))&gt;0, -(25*INDEX('UA-normalized'!$D:$D, MATCH($A41, 'UA-normalized'!$A:$A, 0))-INDEX('UA-normalized'!$E:$E, MATCH($A41, 'UA-normalized'!$A:$A, 0))), 0), 0))+(IFERROR(IF(25*INDEX('KZ-normalized'!$D:$D, MATCH($A41, 'KZ-normalized'!$A:$A, 0))-INDEX('KZ-normalized'!$E:$E, MATCH($A41, 'KZ-normalized'!$A:$A, 0))&gt;0, -(25*INDEX('KZ-normalized'!$D:$D, MATCH($A41, 'KZ-normalized'!$A:$A, 0))-INDEX('KZ-normalized'!$E:$E, MATCH($A41, 'KZ-normalized'!$A:$A, 0))), 0), 0))+(IFERROR(IF(25*INDEX('UZ-normalized'!$D:$D, MATCH($A41, 'UZ-normalized'!$A:$A, 0))-INDEX('UZ-normalized'!$E:$E, MATCH($A41, 'UZ-normalized'!$A:$A, 0))&gt;0, -(25*INDEX('UZ-normalized'!$D:$D, MATCH($A41, 'UZ-normalized'!$A:$A, 0))-INDEX('UZ-normalized'!$E:$E, MATCH($A41, 'UZ-normalized'!$A:$A, 0))), 0), 0)))</f>
        <v>-7.5</v>
      </c>
      <c r="AN41" s="6">
        <f>MIN(0, N41+(IFERROR(IF(26*INDEX('UA-normalized'!$D:$D, MATCH($A41, 'UA-normalized'!$A:$A, 0))-INDEX('UA-normalized'!$E:$E, MATCH($A41, 'UA-normalized'!$A:$A, 0))&gt;0, -(26*INDEX('UA-normalized'!$D:$D, MATCH($A41, 'UA-normalized'!$A:$A, 0))-INDEX('UA-normalized'!$E:$E, MATCH($A41, 'UA-normalized'!$A:$A, 0))), 0), 0))+(IFERROR(IF(26*INDEX('KZ-normalized'!$D:$D, MATCH($A41, 'KZ-normalized'!$A:$A, 0))-INDEX('KZ-normalized'!$E:$E, MATCH($A41, 'KZ-normalized'!$A:$A, 0))&gt;0, -(26*INDEX('KZ-normalized'!$D:$D, MATCH($A41, 'KZ-normalized'!$A:$A, 0))-INDEX('KZ-normalized'!$E:$E, MATCH($A41, 'KZ-normalized'!$A:$A, 0))), 0), 0))+(IFERROR(IF(26*INDEX('UZ-normalized'!$D:$D, MATCH($A41, 'UZ-normalized'!$A:$A, 0))-INDEX('UZ-normalized'!$E:$E, MATCH($A41, 'UZ-normalized'!$A:$A, 0))&gt;0, -(26*INDEX('UZ-normalized'!$D:$D, MATCH($A41, 'UZ-normalized'!$A:$A, 0))-INDEX('UZ-normalized'!$E:$E, MATCH($A41, 'UZ-normalized'!$A:$A, 0))), 0), 0)))</f>
        <v>-8</v>
      </c>
      <c r="AO41" s="6">
        <f>MIN(0, N41+(IFERROR(IF(27*INDEX('UA-normalized'!$D:$D, MATCH($A41, 'UA-normalized'!$A:$A, 0))-INDEX('UA-normalized'!$E:$E, MATCH($A41, 'UA-normalized'!$A:$A, 0))&gt;0, -(27*INDEX('UA-normalized'!$D:$D, MATCH($A41, 'UA-normalized'!$A:$A, 0))-INDEX('UA-normalized'!$E:$E, MATCH($A41, 'UA-normalized'!$A:$A, 0))), 0), 0))+(IFERROR(IF(27*INDEX('KZ-normalized'!$D:$D, MATCH($A41, 'KZ-normalized'!$A:$A, 0))-INDEX('KZ-normalized'!$E:$E, MATCH($A41, 'KZ-normalized'!$A:$A, 0))&gt;0, -(27*INDEX('KZ-normalized'!$D:$D, MATCH($A41, 'KZ-normalized'!$A:$A, 0))-INDEX('KZ-normalized'!$E:$E, MATCH($A41, 'KZ-normalized'!$A:$A, 0))), 0), 0))+(IFERROR(IF(27*INDEX('UZ-normalized'!$D:$D, MATCH($A41, 'UZ-normalized'!$A:$A, 0))-INDEX('UZ-normalized'!$E:$E, MATCH($A41, 'UZ-normalized'!$A:$A, 0))&gt;0, -(27*INDEX('UZ-normalized'!$D:$D, MATCH($A41, 'UZ-normalized'!$A:$A, 0))-INDEX('UZ-normalized'!$E:$E, MATCH($A41, 'UZ-normalized'!$A:$A, 0))), 0), 0)))</f>
        <v>-8.5</v>
      </c>
      <c r="AP41" s="6">
        <f>MIN(0, N41+(IFERROR(IF(28*INDEX('UA-normalized'!$D:$D, MATCH($A41, 'UA-normalized'!$A:$A, 0))-INDEX('UA-normalized'!$E:$E, MATCH($A41, 'UA-normalized'!$A:$A, 0))&gt;0, -(28*INDEX('UA-normalized'!$D:$D, MATCH($A41, 'UA-normalized'!$A:$A, 0))-INDEX('UA-normalized'!$E:$E, MATCH($A41, 'UA-normalized'!$A:$A, 0))), 0), 0))+(IFERROR(IF(28*INDEX('KZ-normalized'!$D:$D, MATCH($A41, 'KZ-normalized'!$A:$A, 0))-INDEX('KZ-normalized'!$E:$E, MATCH($A41, 'KZ-normalized'!$A:$A, 0))&gt;0, -(28*INDEX('KZ-normalized'!$D:$D, MATCH($A41, 'KZ-normalized'!$A:$A, 0))-INDEX('KZ-normalized'!$E:$E, MATCH($A41, 'KZ-normalized'!$A:$A, 0))), 0), 0))+(IFERROR(IF(28*INDEX('UZ-normalized'!$D:$D, MATCH($A41, 'UZ-normalized'!$A:$A, 0))-INDEX('UZ-normalized'!$E:$E, MATCH($A41, 'UZ-normalized'!$A:$A, 0))&gt;0, -(28*INDEX('UZ-normalized'!$D:$D, MATCH($A41, 'UZ-normalized'!$A:$A, 0))-INDEX('UZ-normalized'!$E:$E, MATCH($A41, 'UZ-normalized'!$A:$A, 0))), 0), 0)))</f>
        <v>-9</v>
      </c>
      <c r="AQ41" s="6">
        <f>MIN(0, N41+(IFERROR(IF(29*INDEX('UA-normalized'!$D:$D, MATCH($A41, 'UA-normalized'!$A:$A, 0))-INDEX('UA-normalized'!$E:$E, MATCH($A41, 'UA-normalized'!$A:$A, 0))&gt;0, -(29*INDEX('UA-normalized'!$D:$D, MATCH($A41, 'UA-normalized'!$A:$A, 0))-INDEX('UA-normalized'!$E:$E, MATCH($A41, 'UA-normalized'!$A:$A, 0))), 0), 0))+(IFERROR(IF(29*INDEX('KZ-normalized'!$D:$D, MATCH($A41, 'KZ-normalized'!$A:$A, 0))-INDEX('KZ-normalized'!$E:$E, MATCH($A41, 'KZ-normalized'!$A:$A, 0))&gt;0, -(29*INDEX('KZ-normalized'!$D:$D, MATCH($A41, 'KZ-normalized'!$A:$A, 0))-INDEX('KZ-normalized'!$E:$E, MATCH($A41, 'KZ-normalized'!$A:$A, 0))), 0), 0))+(IFERROR(IF(29*INDEX('UZ-normalized'!$D:$D, MATCH($A41, 'UZ-normalized'!$A:$A, 0))-INDEX('UZ-normalized'!$E:$E, MATCH($A41, 'UZ-normalized'!$A:$A, 0))&gt;0, -(29*INDEX('UZ-normalized'!$D:$D, MATCH($A41, 'UZ-normalized'!$A:$A, 0))-INDEX('UZ-normalized'!$E:$E, MATCH($A41, 'UZ-normalized'!$A:$A, 0))), 0), 0)))</f>
        <v>-9.5</v>
      </c>
      <c r="AR41" s="6">
        <f>MIN(0, N41+(IFERROR(IF(30*INDEX('UA-normalized'!$D:$D, MATCH($A41, 'UA-normalized'!$A:$A, 0))-INDEX('UA-normalized'!$E:$E, MATCH($A41, 'UA-normalized'!$A:$A, 0))&gt;0, -(30*INDEX('UA-normalized'!$D:$D, MATCH($A41, 'UA-normalized'!$A:$A, 0))-INDEX('UA-normalized'!$E:$E, MATCH($A41, 'UA-normalized'!$A:$A, 0))), 0), 0))+(IFERROR(IF(30*INDEX('KZ-normalized'!$D:$D, MATCH($A41, 'KZ-normalized'!$A:$A, 0))-INDEX('KZ-normalized'!$E:$E, MATCH($A41, 'KZ-normalized'!$A:$A, 0))&gt;0, -(30*INDEX('KZ-normalized'!$D:$D, MATCH($A41, 'KZ-normalized'!$A:$A, 0))-INDEX('KZ-normalized'!$E:$E, MATCH($A41, 'KZ-normalized'!$A:$A, 0))), 0), 0))+(IFERROR(IF(30*INDEX('UZ-normalized'!$D:$D, MATCH($A41, 'UZ-normalized'!$A:$A, 0))-INDEX('UZ-normalized'!$E:$E, MATCH($A41, 'UZ-normalized'!$A:$A, 0))&gt;0, -(30*INDEX('UZ-normalized'!$D:$D, MATCH($A41, 'UZ-normalized'!$A:$A, 0))-INDEX('UZ-normalized'!$E:$E, MATCH($A41, 'UZ-normalized'!$A:$A, 0))), 0), 0)))</f>
        <v>-10</v>
      </c>
    </row>
    <row r="42" spans="1:44" x14ac:dyDescent="0.25">
      <c r="A42" s="8" t="s">
        <v>127</v>
      </c>
      <c r="B42" s="8" t="s">
        <v>83</v>
      </c>
      <c r="C42" s="8" t="s">
        <v>128</v>
      </c>
      <c r="D42" s="8" t="s">
        <v>129</v>
      </c>
      <c r="N42">
        <f t="shared" si="0"/>
        <v>0</v>
      </c>
      <c r="O42" s="6">
        <f>MIN(0, N42+(IFERROR(IF(1*INDEX('UA-normalized'!$D:$D, MATCH($A42, 'UA-normalized'!$A:$A, 0))-INDEX('UA-normalized'!$E:$E, MATCH($A42, 'UA-normalized'!$A:$A, 0))&gt;0, -(1*INDEX('UA-normalized'!$D:$D, MATCH($A42, 'UA-normalized'!$A:$A, 0))-INDEX('UA-normalized'!$E:$E, MATCH($A42, 'UA-normalized'!$A:$A, 0))), 0), 0))+(IFERROR(IF(1*INDEX('KZ-normalized'!$D:$D, MATCH($A42, 'KZ-normalized'!$A:$A, 0))-INDEX('KZ-normalized'!$E:$E, MATCH($A42, 'KZ-normalized'!$A:$A, 0))&gt;0, -(1*INDEX('KZ-normalized'!$D:$D, MATCH($A42, 'KZ-normalized'!$A:$A, 0))-INDEX('KZ-normalized'!$E:$E, MATCH($A42, 'KZ-normalized'!$A:$A, 0))), 0), 0))+(IFERROR(IF(1*INDEX('UZ-normalized'!$D:$D, MATCH($A42, 'UZ-normalized'!$A:$A, 0))-INDEX('UZ-normalized'!$E:$E, MATCH($A42, 'UZ-normalized'!$A:$A, 0))&gt;0, -(1*INDEX('UZ-normalized'!$D:$D, MATCH($A42, 'UZ-normalized'!$A:$A, 0))-INDEX('UZ-normalized'!$E:$E, MATCH($A42, 'UZ-normalized'!$A:$A, 0))), 0), 0)))</f>
        <v>0</v>
      </c>
      <c r="P42" s="6">
        <f>MIN(0, N42+(IFERROR(IF(2*INDEX('UA-normalized'!$D:$D, MATCH($A42, 'UA-normalized'!$A:$A, 0))-INDEX('UA-normalized'!$E:$E, MATCH($A42, 'UA-normalized'!$A:$A, 0))&gt;0, -(2*INDEX('UA-normalized'!$D:$D, MATCH($A42, 'UA-normalized'!$A:$A, 0))-INDEX('UA-normalized'!$E:$E, MATCH($A42, 'UA-normalized'!$A:$A, 0))), 0), 0))+(IFERROR(IF(2*INDEX('KZ-normalized'!$D:$D, MATCH($A42, 'KZ-normalized'!$A:$A, 0))-INDEX('KZ-normalized'!$E:$E, MATCH($A42, 'KZ-normalized'!$A:$A, 0))&gt;0, -(2*INDEX('KZ-normalized'!$D:$D, MATCH($A42, 'KZ-normalized'!$A:$A, 0))-INDEX('KZ-normalized'!$E:$E, MATCH($A42, 'KZ-normalized'!$A:$A, 0))), 0), 0))+(IFERROR(IF(2*INDEX('UZ-normalized'!$D:$D, MATCH($A42, 'UZ-normalized'!$A:$A, 0))-INDEX('UZ-normalized'!$E:$E, MATCH($A42, 'UZ-normalized'!$A:$A, 0))&gt;0, -(2*INDEX('UZ-normalized'!$D:$D, MATCH($A42, 'UZ-normalized'!$A:$A, 0))-INDEX('UZ-normalized'!$E:$E, MATCH($A42, 'UZ-normalized'!$A:$A, 0))), 0), 0)))</f>
        <v>0</v>
      </c>
      <c r="Q42" s="6">
        <f>MIN(0, N42+(IFERROR(IF(3*INDEX('UA-normalized'!$D:$D, MATCH($A42, 'UA-normalized'!$A:$A, 0))-INDEX('UA-normalized'!$E:$E, MATCH($A42, 'UA-normalized'!$A:$A, 0))&gt;0, -(3*INDEX('UA-normalized'!$D:$D, MATCH($A42, 'UA-normalized'!$A:$A, 0))-INDEX('UA-normalized'!$E:$E, MATCH($A42, 'UA-normalized'!$A:$A, 0))), 0), 0))+(IFERROR(IF(3*INDEX('KZ-normalized'!$D:$D, MATCH($A42, 'KZ-normalized'!$A:$A, 0))-INDEX('KZ-normalized'!$E:$E, MATCH($A42, 'KZ-normalized'!$A:$A, 0))&gt;0, -(3*INDEX('KZ-normalized'!$D:$D, MATCH($A42, 'KZ-normalized'!$A:$A, 0))-INDEX('KZ-normalized'!$E:$E, MATCH($A42, 'KZ-normalized'!$A:$A, 0))), 0), 0))+(IFERROR(IF(3*INDEX('UZ-normalized'!$D:$D, MATCH($A42, 'UZ-normalized'!$A:$A, 0))-INDEX('UZ-normalized'!$E:$E, MATCH($A42, 'UZ-normalized'!$A:$A, 0))&gt;0, -(3*INDEX('UZ-normalized'!$D:$D, MATCH($A42, 'UZ-normalized'!$A:$A, 0))-INDEX('UZ-normalized'!$E:$E, MATCH($A42, 'UZ-normalized'!$A:$A, 0))), 0), 0)))</f>
        <v>0</v>
      </c>
      <c r="R42" s="6">
        <f>MIN(0, N42+(IFERROR(IF(4*INDEX('UA-normalized'!$D:$D, MATCH($A42, 'UA-normalized'!$A:$A, 0))-INDEX('UA-normalized'!$E:$E, MATCH($A42, 'UA-normalized'!$A:$A, 0))&gt;0, -(4*INDEX('UA-normalized'!$D:$D, MATCH($A42, 'UA-normalized'!$A:$A, 0))-INDEX('UA-normalized'!$E:$E, MATCH($A42, 'UA-normalized'!$A:$A, 0))), 0), 0))+(IFERROR(IF(4*INDEX('KZ-normalized'!$D:$D, MATCH($A42, 'KZ-normalized'!$A:$A, 0))-INDEX('KZ-normalized'!$E:$E, MATCH($A42, 'KZ-normalized'!$A:$A, 0))&gt;0, -(4*INDEX('KZ-normalized'!$D:$D, MATCH($A42, 'KZ-normalized'!$A:$A, 0))-INDEX('KZ-normalized'!$E:$E, MATCH($A42, 'KZ-normalized'!$A:$A, 0))), 0), 0))+(IFERROR(IF(4*INDEX('UZ-normalized'!$D:$D, MATCH($A42, 'UZ-normalized'!$A:$A, 0))-INDEX('UZ-normalized'!$E:$E, MATCH($A42, 'UZ-normalized'!$A:$A, 0))&gt;0, -(4*INDEX('UZ-normalized'!$D:$D, MATCH($A42, 'UZ-normalized'!$A:$A, 0))-INDEX('UZ-normalized'!$E:$E, MATCH($A42, 'UZ-normalized'!$A:$A, 0))), 0), 0)))</f>
        <v>0</v>
      </c>
      <c r="S42" s="6">
        <f>MIN(0, N42+(IFERROR(IF(5*INDEX('UA-normalized'!$D:$D, MATCH($A42, 'UA-normalized'!$A:$A, 0))-INDEX('UA-normalized'!$E:$E, MATCH($A42, 'UA-normalized'!$A:$A, 0))&gt;0, -(5*INDEX('UA-normalized'!$D:$D, MATCH($A42, 'UA-normalized'!$A:$A, 0))-INDEX('UA-normalized'!$E:$E, MATCH($A42, 'UA-normalized'!$A:$A, 0))), 0), 0))+(IFERROR(IF(5*INDEX('KZ-normalized'!$D:$D, MATCH($A42, 'KZ-normalized'!$A:$A, 0))-INDEX('KZ-normalized'!$E:$E, MATCH($A42, 'KZ-normalized'!$A:$A, 0))&gt;0, -(5*INDEX('KZ-normalized'!$D:$D, MATCH($A42, 'KZ-normalized'!$A:$A, 0))-INDEX('KZ-normalized'!$E:$E, MATCH($A42, 'KZ-normalized'!$A:$A, 0))), 0), 0))+(IFERROR(IF(5*INDEX('UZ-normalized'!$D:$D, MATCH($A42, 'UZ-normalized'!$A:$A, 0))-INDEX('UZ-normalized'!$E:$E, MATCH($A42, 'UZ-normalized'!$A:$A, 0))&gt;0, -(5*INDEX('UZ-normalized'!$D:$D, MATCH($A42, 'UZ-normalized'!$A:$A, 0))-INDEX('UZ-normalized'!$E:$E, MATCH($A42, 'UZ-normalized'!$A:$A, 0))), 0), 0)))</f>
        <v>0</v>
      </c>
      <c r="T42" s="6">
        <f>MIN(0, N42+(IFERROR(IF(6*INDEX('UA-normalized'!$D:$D, MATCH($A42, 'UA-normalized'!$A:$A, 0))-INDEX('UA-normalized'!$E:$E, MATCH($A42, 'UA-normalized'!$A:$A, 0))&gt;0, -(6*INDEX('UA-normalized'!$D:$D, MATCH($A42, 'UA-normalized'!$A:$A, 0))-INDEX('UA-normalized'!$E:$E, MATCH($A42, 'UA-normalized'!$A:$A, 0))), 0), 0))+(IFERROR(IF(6*INDEX('KZ-normalized'!$D:$D, MATCH($A42, 'KZ-normalized'!$A:$A, 0))-INDEX('KZ-normalized'!$E:$E, MATCH($A42, 'KZ-normalized'!$A:$A, 0))&gt;0, -(6*INDEX('KZ-normalized'!$D:$D, MATCH($A42, 'KZ-normalized'!$A:$A, 0))-INDEX('KZ-normalized'!$E:$E, MATCH($A42, 'KZ-normalized'!$A:$A, 0))), 0), 0))+(IFERROR(IF(6*INDEX('UZ-normalized'!$D:$D, MATCH($A42, 'UZ-normalized'!$A:$A, 0))-INDEX('UZ-normalized'!$E:$E, MATCH($A42, 'UZ-normalized'!$A:$A, 0))&gt;0, -(6*INDEX('UZ-normalized'!$D:$D, MATCH($A42, 'UZ-normalized'!$A:$A, 0))-INDEX('UZ-normalized'!$E:$E, MATCH($A42, 'UZ-normalized'!$A:$A, 0))), 0), 0)))</f>
        <v>-11</v>
      </c>
      <c r="U42" s="6">
        <f>MIN(0, N42+(IFERROR(IF(7*INDEX('UA-normalized'!$D:$D, MATCH($A42, 'UA-normalized'!$A:$A, 0))-INDEX('UA-normalized'!$E:$E, MATCH($A42, 'UA-normalized'!$A:$A, 0))&gt;0, -(7*INDEX('UA-normalized'!$D:$D, MATCH($A42, 'UA-normalized'!$A:$A, 0))-INDEX('UA-normalized'!$E:$E, MATCH($A42, 'UA-normalized'!$A:$A, 0))), 0), 0))+(IFERROR(IF(7*INDEX('KZ-normalized'!$D:$D, MATCH($A42, 'KZ-normalized'!$A:$A, 0))-INDEX('KZ-normalized'!$E:$E, MATCH($A42, 'KZ-normalized'!$A:$A, 0))&gt;0, -(7*INDEX('KZ-normalized'!$D:$D, MATCH($A42, 'KZ-normalized'!$A:$A, 0))-INDEX('KZ-normalized'!$E:$E, MATCH($A42, 'KZ-normalized'!$A:$A, 0))), 0), 0))+(IFERROR(IF(7*INDEX('UZ-normalized'!$D:$D, MATCH($A42, 'UZ-normalized'!$A:$A, 0))-INDEX('UZ-normalized'!$E:$E, MATCH($A42, 'UZ-normalized'!$A:$A, 0))&gt;0, -(7*INDEX('UZ-normalized'!$D:$D, MATCH($A42, 'UZ-normalized'!$A:$A, 0))-INDEX('UZ-normalized'!$E:$E, MATCH($A42, 'UZ-normalized'!$A:$A, 0))), 0), 0)))</f>
        <v>-38</v>
      </c>
      <c r="V42" s="6">
        <f>MIN(0, N42+(IFERROR(IF(8*INDEX('UA-normalized'!$D:$D, MATCH($A42, 'UA-normalized'!$A:$A, 0))-INDEX('UA-normalized'!$E:$E, MATCH($A42, 'UA-normalized'!$A:$A, 0))&gt;0, -(8*INDEX('UA-normalized'!$D:$D, MATCH($A42, 'UA-normalized'!$A:$A, 0))-INDEX('UA-normalized'!$E:$E, MATCH($A42, 'UA-normalized'!$A:$A, 0))), 0), 0))+(IFERROR(IF(8*INDEX('KZ-normalized'!$D:$D, MATCH($A42, 'KZ-normalized'!$A:$A, 0))-INDEX('KZ-normalized'!$E:$E, MATCH($A42, 'KZ-normalized'!$A:$A, 0))&gt;0, -(8*INDEX('KZ-normalized'!$D:$D, MATCH($A42, 'KZ-normalized'!$A:$A, 0))-INDEX('KZ-normalized'!$E:$E, MATCH($A42, 'KZ-normalized'!$A:$A, 0))), 0), 0))+(IFERROR(IF(8*INDEX('UZ-normalized'!$D:$D, MATCH($A42, 'UZ-normalized'!$A:$A, 0))-INDEX('UZ-normalized'!$E:$E, MATCH($A42, 'UZ-normalized'!$A:$A, 0))&gt;0, -(8*INDEX('UZ-normalized'!$D:$D, MATCH($A42, 'UZ-normalized'!$A:$A, 0))-INDEX('UZ-normalized'!$E:$E, MATCH($A42, 'UZ-normalized'!$A:$A, 0))), 0), 0)))</f>
        <v>-65</v>
      </c>
      <c r="W42" s="6">
        <f>MIN(0, N42+(IFERROR(IF(9*INDEX('UA-normalized'!$D:$D, MATCH($A42, 'UA-normalized'!$A:$A, 0))-INDEX('UA-normalized'!$E:$E, MATCH($A42, 'UA-normalized'!$A:$A, 0))&gt;0, -(9*INDEX('UA-normalized'!$D:$D, MATCH($A42, 'UA-normalized'!$A:$A, 0))-INDEX('UA-normalized'!$E:$E, MATCH($A42, 'UA-normalized'!$A:$A, 0))), 0), 0))+(IFERROR(IF(9*INDEX('KZ-normalized'!$D:$D, MATCH($A42, 'KZ-normalized'!$A:$A, 0))-INDEX('KZ-normalized'!$E:$E, MATCH($A42, 'KZ-normalized'!$A:$A, 0))&gt;0, -(9*INDEX('KZ-normalized'!$D:$D, MATCH($A42, 'KZ-normalized'!$A:$A, 0))-INDEX('KZ-normalized'!$E:$E, MATCH($A42, 'KZ-normalized'!$A:$A, 0))), 0), 0))+(IFERROR(IF(9*INDEX('UZ-normalized'!$D:$D, MATCH($A42, 'UZ-normalized'!$A:$A, 0))-INDEX('UZ-normalized'!$E:$E, MATCH($A42, 'UZ-normalized'!$A:$A, 0))&gt;0, -(9*INDEX('UZ-normalized'!$D:$D, MATCH($A42, 'UZ-normalized'!$A:$A, 0))-INDEX('UZ-normalized'!$E:$E, MATCH($A42, 'UZ-normalized'!$A:$A, 0))), 0), 0)))</f>
        <v>-92</v>
      </c>
      <c r="X42" s="6">
        <f>MIN(0, N42+(IFERROR(IF(10*INDEX('UA-normalized'!$D:$D, MATCH($A42, 'UA-normalized'!$A:$A, 0))-INDEX('UA-normalized'!$E:$E, MATCH($A42, 'UA-normalized'!$A:$A, 0))&gt;0, -(10*INDEX('UA-normalized'!$D:$D, MATCH($A42, 'UA-normalized'!$A:$A, 0))-INDEX('UA-normalized'!$E:$E, MATCH($A42, 'UA-normalized'!$A:$A, 0))), 0), 0))+(IFERROR(IF(10*INDEX('KZ-normalized'!$D:$D, MATCH($A42, 'KZ-normalized'!$A:$A, 0))-INDEX('KZ-normalized'!$E:$E, MATCH($A42, 'KZ-normalized'!$A:$A, 0))&gt;0, -(10*INDEX('KZ-normalized'!$D:$D, MATCH($A42, 'KZ-normalized'!$A:$A, 0))-INDEX('KZ-normalized'!$E:$E, MATCH($A42, 'KZ-normalized'!$A:$A, 0))), 0), 0))+(IFERROR(IF(10*INDEX('UZ-normalized'!$D:$D, MATCH($A42, 'UZ-normalized'!$A:$A, 0))-INDEX('UZ-normalized'!$E:$E, MATCH($A42, 'UZ-normalized'!$A:$A, 0))&gt;0, -(10*INDEX('UZ-normalized'!$D:$D, MATCH($A42, 'UZ-normalized'!$A:$A, 0))-INDEX('UZ-normalized'!$E:$E, MATCH($A42, 'UZ-normalized'!$A:$A, 0))), 0), 0)))</f>
        <v>-119</v>
      </c>
      <c r="Y42" s="6">
        <f>MIN(0, N42+(IFERROR(IF(11*INDEX('UA-normalized'!$D:$D, MATCH($A42, 'UA-normalized'!$A:$A, 0))-INDEX('UA-normalized'!$E:$E, MATCH($A42, 'UA-normalized'!$A:$A, 0))&gt;0, -(11*INDEX('UA-normalized'!$D:$D, MATCH($A42, 'UA-normalized'!$A:$A, 0))-INDEX('UA-normalized'!$E:$E, MATCH($A42, 'UA-normalized'!$A:$A, 0))), 0), 0))+(IFERROR(IF(11*INDEX('KZ-normalized'!$D:$D, MATCH($A42, 'KZ-normalized'!$A:$A, 0))-INDEX('KZ-normalized'!$E:$E, MATCH($A42, 'KZ-normalized'!$A:$A, 0))&gt;0, -(11*INDEX('KZ-normalized'!$D:$D, MATCH($A42, 'KZ-normalized'!$A:$A, 0))-INDEX('KZ-normalized'!$E:$E, MATCH($A42, 'KZ-normalized'!$A:$A, 0))), 0), 0))+(IFERROR(IF(11*INDEX('UZ-normalized'!$D:$D, MATCH($A42, 'UZ-normalized'!$A:$A, 0))-INDEX('UZ-normalized'!$E:$E, MATCH($A42, 'UZ-normalized'!$A:$A, 0))&gt;0, -(11*INDEX('UZ-normalized'!$D:$D, MATCH($A42, 'UZ-normalized'!$A:$A, 0))-INDEX('UZ-normalized'!$E:$E, MATCH($A42, 'UZ-normalized'!$A:$A, 0))), 0), 0)))</f>
        <v>-146</v>
      </c>
      <c r="Z42" s="6">
        <f>MIN(0, N42+(IFERROR(IF(12*INDEX('UA-normalized'!$D:$D, MATCH($A42, 'UA-normalized'!$A:$A, 0))-INDEX('UA-normalized'!$E:$E, MATCH($A42, 'UA-normalized'!$A:$A, 0))&gt;0, -(12*INDEX('UA-normalized'!$D:$D, MATCH($A42, 'UA-normalized'!$A:$A, 0))-INDEX('UA-normalized'!$E:$E, MATCH($A42, 'UA-normalized'!$A:$A, 0))), 0), 0))+(IFERROR(IF(12*INDEX('KZ-normalized'!$D:$D, MATCH($A42, 'KZ-normalized'!$A:$A, 0))-INDEX('KZ-normalized'!$E:$E, MATCH($A42, 'KZ-normalized'!$A:$A, 0))&gt;0, -(12*INDEX('KZ-normalized'!$D:$D, MATCH($A42, 'KZ-normalized'!$A:$A, 0))-INDEX('KZ-normalized'!$E:$E, MATCH($A42, 'KZ-normalized'!$A:$A, 0))), 0), 0))+(IFERROR(IF(12*INDEX('UZ-normalized'!$D:$D, MATCH($A42, 'UZ-normalized'!$A:$A, 0))-INDEX('UZ-normalized'!$E:$E, MATCH($A42, 'UZ-normalized'!$A:$A, 0))&gt;0, -(12*INDEX('UZ-normalized'!$D:$D, MATCH($A42, 'UZ-normalized'!$A:$A, 0))-INDEX('UZ-normalized'!$E:$E, MATCH($A42, 'UZ-normalized'!$A:$A, 0))), 0), 0)))</f>
        <v>-173</v>
      </c>
      <c r="AA42" s="6">
        <f>MIN(0, N42+(IFERROR(IF(13*INDEX('UA-normalized'!$D:$D, MATCH($A42, 'UA-normalized'!$A:$A, 0))-INDEX('UA-normalized'!$E:$E, MATCH($A42, 'UA-normalized'!$A:$A, 0))&gt;0, -(13*INDEX('UA-normalized'!$D:$D, MATCH($A42, 'UA-normalized'!$A:$A, 0))-INDEX('UA-normalized'!$E:$E, MATCH($A42, 'UA-normalized'!$A:$A, 0))), 0), 0))+(IFERROR(IF(13*INDEX('KZ-normalized'!$D:$D, MATCH($A42, 'KZ-normalized'!$A:$A, 0))-INDEX('KZ-normalized'!$E:$E, MATCH($A42, 'KZ-normalized'!$A:$A, 0))&gt;0, -(13*INDEX('KZ-normalized'!$D:$D, MATCH($A42, 'KZ-normalized'!$A:$A, 0))-INDEX('KZ-normalized'!$E:$E, MATCH($A42, 'KZ-normalized'!$A:$A, 0))), 0), 0))+(IFERROR(IF(13*INDEX('UZ-normalized'!$D:$D, MATCH($A42, 'UZ-normalized'!$A:$A, 0))-INDEX('UZ-normalized'!$E:$E, MATCH($A42, 'UZ-normalized'!$A:$A, 0))&gt;0, -(13*INDEX('UZ-normalized'!$D:$D, MATCH($A42, 'UZ-normalized'!$A:$A, 0))-INDEX('UZ-normalized'!$E:$E, MATCH($A42, 'UZ-normalized'!$A:$A, 0))), 0), 0)))</f>
        <v>-200</v>
      </c>
      <c r="AB42" s="6">
        <f>MIN(0, N42+(IFERROR(IF(14*INDEX('UA-normalized'!$D:$D, MATCH($A42, 'UA-normalized'!$A:$A, 0))-INDEX('UA-normalized'!$E:$E, MATCH($A42, 'UA-normalized'!$A:$A, 0))&gt;0, -(14*INDEX('UA-normalized'!$D:$D, MATCH($A42, 'UA-normalized'!$A:$A, 0))-INDEX('UA-normalized'!$E:$E, MATCH($A42, 'UA-normalized'!$A:$A, 0))), 0), 0))+(IFERROR(IF(14*INDEX('KZ-normalized'!$D:$D, MATCH($A42, 'KZ-normalized'!$A:$A, 0))-INDEX('KZ-normalized'!$E:$E, MATCH($A42, 'KZ-normalized'!$A:$A, 0))&gt;0, -(14*INDEX('KZ-normalized'!$D:$D, MATCH($A42, 'KZ-normalized'!$A:$A, 0))-INDEX('KZ-normalized'!$E:$E, MATCH($A42, 'KZ-normalized'!$A:$A, 0))), 0), 0))+(IFERROR(IF(14*INDEX('UZ-normalized'!$D:$D, MATCH($A42, 'UZ-normalized'!$A:$A, 0))-INDEX('UZ-normalized'!$E:$E, MATCH($A42, 'UZ-normalized'!$A:$A, 0))&gt;0, -(14*INDEX('UZ-normalized'!$D:$D, MATCH($A42, 'UZ-normalized'!$A:$A, 0))-INDEX('UZ-normalized'!$E:$E, MATCH($A42, 'UZ-normalized'!$A:$A, 0))), 0), 0)))</f>
        <v>-227</v>
      </c>
      <c r="AC42" s="6">
        <f>MIN(0, N42+(IFERROR(IF(15*INDEX('UA-normalized'!$D:$D, MATCH($A42, 'UA-normalized'!$A:$A, 0))-INDEX('UA-normalized'!$E:$E, MATCH($A42, 'UA-normalized'!$A:$A, 0))&gt;0, -(15*INDEX('UA-normalized'!$D:$D, MATCH($A42, 'UA-normalized'!$A:$A, 0))-INDEX('UA-normalized'!$E:$E, MATCH($A42, 'UA-normalized'!$A:$A, 0))), 0), 0))+(IFERROR(IF(15*INDEX('KZ-normalized'!$D:$D, MATCH($A42, 'KZ-normalized'!$A:$A, 0))-INDEX('KZ-normalized'!$E:$E, MATCH($A42, 'KZ-normalized'!$A:$A, 0))&gt;0, -(15*INDEX('KZ-normalized'!$D:$D, MATCH($A42, 'KZ-normalized'!$A:$A, 0))-INDEX('KZ-normalized'!$E:$E, MATCH($A42, 'KZ-normalized'!$A:$A, 0))), 0), 0))+(IFERROR(IF(15*INDEX('UZ-normalized'!$D:$D, MATCH($A42, 'UZ-normalized'!$A:$A, 0))-INDEX('UZ-normalized'!$E:$E, MATCH($A42, 'UZ-normalized'!$A:$A, 0))&gt;0, -(15*INDEX('UZ-normalized'!$D:$D, MATCH($A42, 'UZ-normalized'!$A:$A, 0))-INDEX('UZ-normalized'!$E:$E, MATCH($A42, 'UZ-normalized'!$A:$A, 0))), 0), 0)))</f>
        <v>-254</v>
      </c>
      <c r="AD42" s="6">
        <f>MIN(0, N42+(IFERROR(IF(16*INDEX('UA-normalized'!$D:$D, MATCH($A42, 'UA-normalized'!$A:$A, 0))-INDEX('UA-normalized'!$E:$E, MATCH($A42, 'UA-normalized'!$A:$A, 0))&gt;0, -(16*INDEX('UA-normalized'!$D:$D, MATCH($A42, 'UA-normalized'!$A:$A, 0))-INDEX('UA-normalized'!$E:$E, MATCH($A42, 'UA-normalized'!$A:$A, 0))), 0), 0))+(IFERROR(IF(16*INDEX('KZ-normalized'!$D:$D, MATCH($A42, 'KZ-normalized'!$A:$A, 0))-INDEX('KZ-normalized'!$E:$E, MATCH($A42, 'KZ-normalized'!$A:$A, 0))&gt;0, -(16*INDEX('KZ-normalized'!$D:$D, MATCH($A42, 'KZ-normalized'!$A:$A, 0))-INDEX('KZ-normalized'!$E:$E, MATCH($A42, 'KZ-normalized'!$A:$A, 0))), 0), 0))+(IFERROR(IF(16*INDEX('UZ-normalized'!$D:$D, MATCH($A42, 'UZ-normalized'!$A:$A, 0))-INDEX('UZ-normalized'!$E:$E, MATCH($A42, 'UZ-normalized'!$A:$A, 0))&gt;0, -(16*INDEX('UZ-normalized'!$D:$D, MATCH($A42, 'UZ-normalized'!$A:$A, 0))-INDEX('UZ-normalized'!$E:$E, MATCH($A42, 'UZ-normalized'!$A:$A, 0))), 0), 0)))</f>
        <v>-281</v>
      </c>
      <c r="AE42" s="6">
        <f>MIN(0, N42+(IFERROR(IF(17*INDEX('UA-normalized'!$D:$D, MATCH($A42, 'UA-normalized'!$A:$A, 0))-INDEX('UA-normalized'!$E:$E, MATCH($A42, 'UA-normalized'!$A:$A, 0))&gt;0, -(17*INDEX('UA-normalized'!$D:$D, MATCH($A42, 'UA-normalized'!$A:$A, 0))-INDEX('UA-normalized'!$E:$E, MATCH($A42, 'UA-normalized'!$A:$A, 0))), 0), 0))+(IFERROR(IF(17*INDEX('KZ-normalized'!$D:$D, MATCH($A42, 'KZ-normalized'!$A:$A, 0))-INDEX('KZ-normalized'!$E:$E, MATCH($A42, 'KZ-normalized'!$A:$A, 0))&gt;0, -(17*INDEX('KZ-normalized'!$D:$D, MATCH($A42, 'KZ-normalized'!$A:$A, 0))-INDEX('KZ-normalized'!$E:$E, MATCH($A42, 'KZ-normalized'!$A:$A, 0))), 0), 0))+(IFERROR(IF(17*INDEX('UZ-normalized'!$D:$D, MATCH($A42, 'UZ-normalized'!$A:$A, 0))-INDEX('UZ-normalized'!$E:$E, MATCH($A42, 'UZ-normalized'!$A:$A, 0))&gt;0, -(17*INDEX('UZ-normalized'!$D:$D, MATCH($A42, 'UZ-normalized'!$A:$A, 0))-INDEX('UZ-normalized'!$E:$E, MATCH($A42, 'UZ-normalized'!$A:$A, 0))), 0), 0)))</f>
        <v>-308</v>
      </c>
      <c r="AF42" s="6">
        <f>MIN(0, N42+(IFERROR(IF(18*INDEX('UA-normalized'!$D:$D, MATCH($A42, 'UA-normalized'!$A:$A, 0))-INDEX('UA-normalized'!$E:$E, MATCH($A42, 'UA-normalized'!$A:$A, 0))&gt;0, -(18*INDEX('UA-normalized'!$D:$D, MATCH($A42, 'UA-normalized'!$A:$A, 0))-INDEX('UA-normalized'!$E:$E, MATCH($A42, 'UA-normalized'!$A:$A, 0))), 0), 0))+(IFERROR(IF(18*INDEX('KZ-normalized'!$D:$D, MATCH($A42, 'KZ-normalized'!$A:$A, 0))-INDEX('KZ-normalized'!$E:$E, MATCH($A42, 'KZ-normalized'!$A:$A, 0))&gt;0, -(18*INDEX('KZ-normalized'!$D:$D, MATCH($A42, 'KZ-normalized'!$A:$A, 0))-INDEX('KZ-normalized'!$E:$E, MATCH($A42, 'KZ-normalized'!$A:$A, 0))), 0), 0))+(IFERROR(IF(18*INDEX('UZ-normalized'!$D:$D, MATCH($A42, 'UZ-normalized'!$A:$A, 0))-INDEX('UZ-normalized'!$E:$E, MATCH($A42, 'UZ-normalized'!$A:$A, 0))&gt;0, -(18*INDEX('UZ-normalized'!$D:$D, MATCH($A42, 'UZ-normalized'!$A:$A, 0))-INDEX('UZ-normalized'!$E:$E, MATCH($A42, 'UZ-normalized'!$A:$A, 0))), 0), 0)))</f>
        <v>-335</v>
      </c>
      <c r="AG42" s="6">
        <f>MIN(0, N42+(IFERROR(IF(19*INDEX('UA-normalized'!$D:$D, MATCH($A42, 'UA-normalized'!$A:$A, 0))-INDEX('UA-normalized'!$E:$E, MATCH($A42, 'UA-normalized'!$A:$A, 0))&gt;0, -(19*INDEX('UA-normalized'!$D:$D, MATCH($A42, 'UA-normalized'!$A:$A, 0))-INDEX('UA-normalized'!$E:$E, MATCH($A42, 'UA-normalized'!$A:$A, 0))), 0), 0))+(IFERROR(IF(19*INDEX('KZ-normalized'!$D:$D, MATCH($A42, 'KZ-normalized'!$A:$A, 0))-INDEX('KZ-normalized'!$E:$E, MATCH($A42, 'KZ-normalized'!$A:$A, 0))&gt;0, -(19*INDEX('KZ-normalized'!$D:$D, MATCH($A42, 'KZ-normalized'!$A:$A, 0))-INDEX('KZ-normalized'!$E:$E, MATCH($A42, 'KZ-normalized'!$A:$A, 0))), 0), 0))+(IFERROR(IF(19*INDEX('UZ-normalized'!$D:$D, MATCH($A42, 'UZ-normalized'!$A:$A, 0))-INDEX('UZ-normalized'!$E:$E, MATCH($A42, 'UZ-normalized'!$A:$A, 0))&gt;0, -(19*INDEX('UZ-normalized'!$D:$D, MATCH($A42, 'UZ-normalized'!$A:$A, 0))-INDEX('UZ-normalized'!$E:$E, MATCH($A42, 'UZ-normalized'!$A:$A, 0))), 0), 0)))</f>
        <v>-362</v>
      </c>
      <c r="AH42" s="6">
        <f>MIN(0, N42+(IFERROR(IF(20*INDEX('UA-normalized'!$D:$D, MATCH($A42, 'UA-normalized'!$A:$A, 0))-INDEX('UA-normalized'!$E:$E, MATCH($A42, 'UA-normalized'!$A:$A, 0))&gt;0, -(20*INDEX('UA-normalized'!$D:$D, MATCH($A42, 'UA-normalized'!$A:$A, 0))-INDEX('UA-normalized'!$E:$E, MATCH($A42, 'UA-normalized'!$A:$A, 0))), 0), 0))+(IFERROR(IF(20*INDEX('KZ-normalized'!$D:$D, MATCH($A42, 'KZ-normalized'!$A:$A, 0))-INDEX('KZ-normalized'!$E:$E, MATCH($A42, 'KZ-normalized'!$A:$A, 0))&gt;0, -(20*INDEX('KZ-normalized'!$D:$D, MATCH($A42, 'KZ-normalized'!$A:$A, 0))-INDEX('KZ-normalized'!$E:$E, MATCH($A42, 'KZ-normalized'!$A:$A, 0))), 0), 0))+(IFERROR(IF(20*INDEX('UZ-normalized'!$D:$D, MATCH($A42, 'UZ-normalized'!$A:$A, 0))-INDEX('UZ-normalized'!$E:$E, MATCH($A42, 'UZ-normalized'!$A:$A, 0))&gt;0, -(20*INDEX('UZ-normalized'!$D:$D, MATCH($A42, 'UZ-normalized'!$A:$A, 0))-INDEX('UZ-normalized'!$E:$E, MATCH($A42, 'UZ-normalized'!$A:$A, 0))), 0), 0)))</f>
        <v>-389</v>
      </c>
      <c r="AI42" s="6">
        <f>MIN(0, N42+(IFERROR(IF(21*INDEX('UA-normalized'!$D:$D, MATCH($A42, 'UA-normalized'!$A:$A, 0))-INDEX('UA-normalized'!$E:$E, MATCH($A42, 'UA-normalized'!$A:$A, 0))&gt;0, -(21*INDEX('UA-normalized'!$D:$D, MATCH($A42, 'UA-normalized'!$A:$A, 0))-INDEX('UA-normalized'!$E:$E, MATCH($A42, 'UA-normalized'!$A:$A, 0))), 0), 0))+(IFERROR(IF(21*INDEX('KZ-normalized'!$D:$D, MATCH($A42, 'KZ-normalized'!$A:$A, 0))-INDEX('KZ-normalized'!$E:$E, MATCH($A42, 'KZ-normalized'!$A:$A, 0))&gt;0, -(21*INDEX('KZ-normalized'!$D:$D, MATCH($A42, 'KZ-normalized'!$A:$A, 0))-INDEX('KZ-normalized'!$E:$E, MATCH($A42, 'KZ-normalized'!$A:$A, 0))), 0), 0))+(IFERROR(IF(21*INDEX('UZ-normalized'!$D:$D, MATCH($A42, 'UZ-normalized'!$A:$A, 0))-INDEX('UZ-normalized'!$E:$E, MATCH($A42, 'UZ-normalized'!$A:$A, 0))&gt;0, -(21*INDEX('UZ-normalized'!$D:$D, MATCH($A42, 'UZ-normalized'!$A:$A, 0))-INDEX('UZ-normalized'!$E:$E, MATCH($A42, 'UZ-normalized'!$A:$A, 0))), 0), 0)))</f>
        <v>-416</v>
      </c>
      <c r="AJ42" s="6">
        <f>MIN(0, N42+(IFERROR(IF(22*INDEX('UA-normalized'!$D:$D, MATCH($A42, 'UA-normalized'!$A:$A, 0))-INDEX('UA-normalized'!$E:$E, MATCH($A42, 'UA-normalized'!$A:$A, 0))&gt;0, -(22*INDEX('UA-normalized'!$D:$D, MATCH($A42, 'UA-normalized'!$A:$A, 0))-INDEX('UA-normalized'!$E:$E, MATCH($A42, 'UA-normalized'!$A:$A, 0))), 0), 0))+(IFERROR(IF(22*INDEX('KZ-normalized'!$D:$D, MATCH($A42, 'KZ-normalized'!$A:$A, 0))-INDEX('KZ-normalized'!$E:$E, MATCH($A42, 'KZ-normalized'!$A:$A, 0))&gt;0, -(22*INDEX('KZ-normalized'!$D:$D, MATCH($A42, 'KZ-normalized'!$A:$A, 0))-INDEX('KZ-normalized'!$E:$E, MATCH($A42, 'KZ-normalized'!$A:$A, 0))), 0), 0))+(IFERROR(IF(22*INDEX('UZ-normalized'!$D:$D, MATCH($A42, 'UZ-normalized'!$A:$A, 0))-INDEX('UZ-normalized'!$E:$E, MATCH($A42, 'UZ-normalized'!$A:$A, 0))&gt;0, -(22*INDEX('UZ-normalized'!$D:$D, MATCH($A42, 'UZ-normalized'!$A:$A, 0))-INDEX('UZ-normalized'!$E:$E, MATCH($A42, 'UZ-normalized'!$A:$A, 0))), 0), 0)))</f>
        <v>-443</v>
      </c>
      <c r="AK42" s="6">
        <f>MIN(0, N42+(IFERROR(IF(23*INDEX('UA-normalized'!$D:$D, MATCH($A42, 'UA-normalized'!$A:$A, 0))-INDEX('UA-normalized'!$E:$E, MATCH($A42, 'UA-normalized'!$A:$A, 0))&gt;0, -(23*INDEX('UA-normalized'!$D:$D, MATCH($A42, 'UA-normalized'!$A:$A, 0))-INDEX('UA-normalized'!$E:$E, MATCH($A42, 'UA-normalized'!$A:$A, 0))), 0), 0))+(IFERROR(IF(23*INDEX('KZ-normalized'!$D:$D, MATCH($A42, 'KZ-normalized'!$A:$A, 0))-INDEX('KZ-normalized'!$E:$E, MATCH($A42, 'KZ-normalized'!$A:$A, 0))&gt;0, -(23*INDEX('KZ-normalized'!$D:$D, MATCH($A42, 'KZ-normalized'!$A:$A, 0))-INDEX('KZ-normalized'!$E:$E, MATCH($A42, 'KZ-normalized'!$A:$A, 0))), 0), 0))+(IFERROR(IF(23*INDEX('UZ-normalized'!$D:$D, MATCH($A42, 'UZ-normalized'!$A:$A, 0))-INDEX('UZ-normalized'!$E:$E, MATCH($A42, 'UZ-normalized'!$A:$A, 0))&gt;0, -(23*INDEX('UZ-normalized'!$D:$D, MATCH($A42, 'UZ-normalized'!$A:$A, 0))-INDEX('UZ-normalized'!$E:$E, MATCH($A42, 'UZ-normalized'!$A:$A, 0))), 0), 0)))</f>
        <v>-470</v>
      </c>
      <c r="AL42" s="6">
        <f>MIN(0, N42+(IFERROR(IF(24*INDEX('UA-normalized'!$D:$D, MATCH($A42, 'UA-normalized'!$A:$A, 0))-INDEX('UA-normalized'!$E:$E, MATCH($A42, 'UA-normalized'!$A:$A, 0))&gt;0, -(24*INDEX('UA-normalized'!$D:$D, MATCH($A42, 'UA-normalized'!$A:$A, 0))-INDEX('UA-normalized'!$E:$E, MATCH($A42, 'UA-normalized'!$A:$A, 0))), 0), 0))+(IFERROR(IF(24*INDEX('KZ-normalized'!$D:$D, MATCH($A42, 'KZ-normalized'!$A:$A, 0))-INDEX('KZ-normalized'!$E:$E, MATCH($A42, 'KZ-normalized'!$A:$A, 0))&gt;0, -(24*INDEX('KZ-normalized'!$D:$D, MATCH($A42, 'KZ-normalized'!$A:$A, 0))-INDEX('KZ-normalized'!$E:$E, MATCH($A42, 'KZ-normalized'!$A:$A, 0))), 0), 0))+(IFERROR(IF(24*INDEX('UZ-normalized'!$D:$D, MATCH($A42, 'UZ-normalized'!$A:$A, 0))-INDEX('UZ-normalized'!$E:$E, MATCH($A42, 'UZ-normalized'!$A:$A, 0))&gt;0, -(24*INDEX('UZ-normalized'!$D:$D, MATCH($A42, 'UZ-normalized'!$A:$A, 0))-INDEX('UZ-normalized'!$E:$E, MATCH($A42, 'UZ-normalized'!$A:$A, 0))), 0), 0)))</f>
        <v>-497</v>
      </c>
      <c r="AM42" s="6">
        <f>MIN(0, N42+(IFERROR(IF(25*INDEX('UA-normalized'!$D:$D, MATCH($A42, 'UA-normalized'!$A:$A, 0))-INDEX('UA-normalized'!$E:$E, MATCH($A42, 'UA-normalized'!$A:$A, 0))&gt;0, -(25*INDEX('UA-normalized'!$D:$D, MATCH($A42, 'UA-normalized'!$A:$A, 0))-INDEX('UA-normalized'!$E:$E, MATCH($A42, 'UA-normalized'!$A:$A, 0))), 0), 0))+(IFERROR(IF(25*INDEX('KZ-normalized'!$D:$D, MATCH($A42, 'KZ-normalized'!$A:$A, 0))-INDEX('KZ-normalized'!$E:$E, MATCH($A42, 'KZ-normalized'!$A:$A, 0))&gt;0, -(25*INDEX('KZ-normalized'!$D:$D, MATCH($A42, 'KZ-normalized'!$A:$A, 0))-INDEX('KZ-normalized'!$E:$E, MATCH($A42, 'KZ-normalized'!$A:$A, 0))), 0), 0))+(IFERROR(IF(25*INDEX('UZ-normalized'!$D:$D, MATCH($A42, 'UZ-normalized'!$A:$A, 0))-INDEX('UZ-normalized'!$E:$E, MATCH($A42, 'UZ-normalized'!$A:$A, 0))&gt;0, -(25*INDEX('UZ-normalized'!$D:$D, MATCH($A42, 'UZ-normalized'!$A:$A, 0))-INDEX('UZ-normalized'!$E:$E, MATCH($A42, 'UZ-normalized'!$A:$A, 0))), 0), 0)))</f>
        <v>-524</v>
      </c>
      <c r="AN42" s="6">
        <f>MIN(0, N42+(IFERROR(IF(26*INDEX('UA-normalized'!$D:$D, MATCH($A42, 'UA-normalized'!$A:$A, 0))-INDEX('UA-normalized'!$E:$E, MATCH($A42, 'UA-normalized'!$A:$A, 0))&gt;0, -(26*INDEX('UA-normalized'!$D:$D, MATCH($A42, 'UA-normalized'!$A:$A, 0))-INDEX('UA-normalized'!$E:$E, MATCH($A42, 'UA-normalized'!$A:$A, 0))), 0), 0))+(IFERROR(IF(26*INDEX('KZ-normalized'!$D:$D, MATCH($A42, 'KZ-normalized'!$A:$A, 0))-INDEX('KZ-normalized'!$E:$E, MATCH($A42, 'KZ-normalized'!$A:$A, 0))&gt;0, -(26*INDEX('KZ-normalized'!$D:$D, MATCH($A42, 'KZ-normalized'!$A:$A, 0))-INDEX('KZ-normalized'!$E:$E, MATCH($A42, 'KZ-normalized'!$A:$A, 0))), 0), 0))+(IFERROR(IF(26*INDEX('UZ-normalized'!$D:$D, MATCH($A42, 'UZ-normalized'!$A:$A, 0))-INDEX('UZ-normalized'!$E:$E, MATCH($A42, 'UZ-normalized'!$A:$A, 0))&gt;0, -(26*INDEX('UZ-normalized'!$D:$D, MATCH($A42, 'UZ-normalized'!$A:$A, 0))-INDEX('UZ-normalized'!$E:$E, MATCH($A42, 'UZ-normalized'!$A:$A, 0))), 0), 0)))</f>
        <v>-551</v>
      </c>
      <c r="AO42" s="6">
        <f>MIN(0, N42+(IFERROR(IF(27*INDEX('UA-normalized'!$D:$D, MATCH($A42, 'UA-normalized'!$A:$A, 0))-INDEX('UA-normalized'!$E:$E, MATCH($A42, 'UA-normalized'!$A:$A, 0))&gt;0, -(27*INDEX('UA-normalized'!$D:$D, MATCH($A42, 'UA-normalized'!$A:$A, 0))-INDEX('UA-normalized'!$E:$E, MATCH($A42, 'UA-normalized'!$A:$A, 0))), 0), 0))+(IFERROR(IF(27*INDEX('KZ-normalized'!$D:$D, MATCH($A42, 'KZ-normalized'!$A:$A, 0))-INDEX('KZ-normalized'!$E:$E, MATCH($A42, 'KZ-normalized'!$A:$A, 0))&gt;0, -(27*INDEX('KZ-normalized'!$D:$D, MATCH($A42, 'KZ-normalized'!$A:$A, 0))-INDEX('KZ-normalized'!$E:$E, MATCH($A42, 'KZ-normalized'!$A:$A, 0))), 0), 0))+(IFERROR(IF(27*INDEX('UZ-normalized'!$D:$D, MATCH($A42, 'UZ-normalized'!$A:$A, 0))-INDEX('UZ-normalized'!$E:$E, MATCH($A42, 'UZ-normalized'!$A:$A, 0))&gt;0, -(27*INDEX('UZ-normalized'!$D:$D, MATCH($A42, 'UZ-normalized'!$A:$A, 0))-INDEX('UZ-normalized'!$E:$E, MATCH($A42, 'UZ-normalized'!$A:$A, 0))), 0), 0)))</f>
        <v>-578</v>
      </c>
      <c r="AP42" s="6">
        <f>MIN(0, N42+(IFERROR(IF(28*INDEX('UA-normalized'!$D:$D, MATCH($A42, 'UA-normalized'!$A:$A, 0))-INDEX('UA-normalized'!$E:$E, MATCH($A42, 'UA-normalized'!$A:$A, 0))&gt;0, -(28*INDEX('UA-normalized'!$D:$D, MATCH($A42, 'UA-normalized'!$A:$A, 0))-INDEX('UA-normalized'!$E:$E, MATCH($A42, 'UA-normalized'!$A:$A, 0))), 0), 0))+(IFERROR(IF(28*INDEX('KZ-normalized'!$D:$D, MATCH($A42, 'KZ-normalized'!$A:$A, 0))-INDEX('KZ-normalized'!$E:$E, MATCH($A42, 'KZ-normalized'!$A:$A, 0))&gt;0, -(28*INDEX('KZ-normalized'!$D:$D, MATCH($A42, 'KZ-normalized'!$A:$A, 0))-INDEX('KZ-normalized'!$E:$E, MATCH($A42, 'KZ-normalized'!$A:$A, 0))), 0), 0))+(IFERROR(IF(28*INDEX('UZ-normalized'!$D:$D, MATCH($A42, 'UZ-normalized'!$A:$A, 0))-INDEX('UZ-normalized'!$E:$E, MATCH($A42, 'UZ-normalized'!$A:$A, 0))&gt;0, -(28*INDEX('UZ-normalized'!$D:$D, MATCH($A42, 'UZ-normalized'!$A:$A, 0))-INDEX('UZ-normalized'!$E:$E, MATCH($A42, 'UZ-normalized'!$A:$A, 0))), 0), 0)))</f>
        <v>-605</v>
      </c>
      <c r="AQ42" s="6">
        <f>MIN(0, N42+(IFERROR(IF(29*INDEX('UA-normalized'!$D:$D, MATCH($A42, 'UA-normalized'!$A:$A, 0))-INDEX('UA-normalized'!$E:$E, MATCH($A42, 'UA-normalized'!$A:$A, 0))&gt;0, -(29*INDEX('UA-normalized'!$D:$D, MATCH($A42, 'UA-normalized'!$A:$A, 0))-INDEX('UA-normalized'!$E:$E, MATCH($A42, 'UA-normalized'!$A:$A, 0))), 0), 0))+(IFERROR(IF(29*INDEX('KZ-normalized'!$D:$D, MATCH($A42, 'KZ-normalized'!$A:$A, 0))-INDEX('KZ-normalized'!$E:$E, MATCH($A42, 'KZ-normalized'!$A:$A, 0))&gt;0, -(29*INDEX('KZ-normalized'!$D:$D, MATCH($A42, 'KZ-normalized'!$A:$A, 0))-INDEX('KZ-normalized'!$E:$E, MATCH($A42, 'KZ-normalized'!$A:$A, 0))), 0), 0))+(IFERROR(IF(29*INDEX('UZ-normalized'!$D:$D, MATCH($A42, 'UZ-normalized'!$A:$A, 0))-INDEX('UZ-normalized'!$E:$E, MATCH($A42, 'UZ-normalized'!$A:$A, 0))&gt;0, -(29*INDEX('UZ-normalized'!$D:$D, MATCH($A42, 'UZ-normalized'!$A:$A, 0))-INDEX('UZ-normalized'!$E:$E, MATCH($A42, 'UZ-normalized'!$A:$A, 0))), 0), 0)))</f>
        <v>-632</v>
      </c>
      <c r="AR42" s="6">
        <f>MIN(0, N42+(IFERROR(IF(30*INDEX('UA-normalized'!$D:$D, MATCH($A42, 'UA-normalized'!$A:$A, 0))-INDEX('UA-normalized'!$E:$E, MATCH($A42, 'UA-normalized'!$A:$A, 0))&gt;0, -(30*INDEX('UA-normalized'!$D:$D, MATCH($A42, 'UA-normalized'!$A:$A, 0))-INDEX('UA-normalized'!$E:$E, MATCH($A42, 'UA-normalized'!$A:$A, 0))), 0), 0))+(IFERROR(IF(30*INDEX('KZ-normalized'!$D:$D, MATCH($A42, 'KZ-normalized'!$A:$A, 0))-INDEX('KZ-normalized'!$E:$E, MATCH($A42, 'KZ-normalized'!$A:$A, 0))&gt;0, -(30*INDEX('KZ-normalized'!$D:$D, MATCH($A42, 'KZ-normalized'!$A:$A, 0))-INDEX('KZ-normalized'!$E:$E, MATCH($A42, 'KZ-normalized'!$A:$A, 0))), 0), 0))+(IFERROR(IF(30*INDEX('UZ-normalized'!$D:$D, MATCH($A42, 'UZ-normalized'!$A:$A, 0))-INDEX('UZ-normalized'!$E:$E, MATCH($A42, 'UZ-normalized'!$A:$A, 0))&gt;0, -(30*INDEX('UZ-normalized'!$D:$D, MATCH($A42, 'UZ-normalized'!$A:$A, 0))-INDEX('UZ-normalized'!$E:$E, MATCH($A42, 'UZ-normalized'!$A:$A, 0))), 0), 0)))</f>
        <v>-659</v>
      </c>
    </row>
    <row r="43" spans="1:44" x14ac:dyDescent="0.25">
      <c r="A43" s="8" t="s">
        <v>130</v>
      </c>
      <c r="B43" s="8" t="s">
        <v>83</v>
      </c>
      <c r="C43" s="8" t="s">
        <v>128</v>
      </c>
      <c r="D43" s="8" t="s">
        <v>131</v>
      </c>
      <c r="N43">
        <f t="shared" si="0"/>
        <v>0</v>
      </c>
      <c r="O43" s="6">
        <f>MIN(0, N43+(IFERROR(IF(1*INDEX('UA-normalized'!$D:$D, MATCH($A43, 'UA-normalized'!$A:$A, 0))-INDEX('UA-normalized'!$E:$E, MATCH($A43, 'UA-normalized'!$A:$A, 0))&gt;0, -(1*INDEX('UA-normalized'!$D:$D, MATCH($A43, 'UA-normalized'!$A:$A, 0))-INDEX('UA-normalized'!$E:$E, MATCH($A43, 'UA-normalized'!$A:$A, 0))), 0), 0))+(IFERROR(IF(1*INDEX('KZ-normalized'!$D:$D, MATCH($A43, 'KZ-normalized'!$A:$A, 0))-INDEX('KZ-normalized'!$E:$E, MATCH($A43, 'KZ-normalized'!$A:$A, 0))&gt;0, -(1*INDEX('KZ-normalized'!$D:$D, MATCH($A43, 'KZ-normalized'!$A:$A, 0))-INDEX('KZ-normalized'!$E:$E, MATCH($A43, 'KZ-normalized'!$A:$A, 0))), 0), 0))+(IFERROR(IF(1*INDEX('UZ-normalized'!$D:$D, MATCH($A43, 'UZ-normalized'!$A:$A, 0))-INDEX('UZ-normalized'!$E:$E, MATCH($A43, 'UZ-normalized'!$A:$A, 0))&gt;0, -(1*INDEX('UZ-normalized'!$D:$D, MATCH($A43, 'UZ-normalized'!$A:$A, 0))-INDEX('UZ-normalized'!$E:$E, MATCH($A43, 'UZ-normalized'!$A:$A, 0))), 0), 0)))</f>
        <v>0</v>
      </c>
      <c r="P43" s="6">
        <f>MIN(0, N43+(IFERROR(IF(2*INDEX('UA-normalized'!$D:$D, MATCH($A43, 'UA-normalized'!$A:$A, 0))-INDEX('UA-normalized'!$E:$E, MATCH($A43, 'UA-normalized'!$A:$A, 0))&gt;0, -(2*INDEX('UA-normalized'!$D:$D, MATCH($A43, 'UA-normalized'!$A:$A, 0))-INDEX('UA-normalized'!$E:$E, MATCH($A43, 'UA-normalized'!$A:$A, 0))), 0), 0))+(IFERROR(IF(2*INDEX('KZ-normalized'!$D:$D, MATCH($A43, 'KZ-normalized'!$A:$A, 0))-INDEX('KZ-normalized'!$E:$E, MATCH($A43, 'KZ-normalized'!$A:$A, 0))&gt;0, -(2*INDEX('KZ-normalized'!$D:$D, MATCH($A43, 'KZ-normalized'!$A:$A, 0))-INDEX('KZ-normalized'!$E:$E, MATCH($A43, 'KZ-normalized'!$A:$A, 0))), 0), 0))+(IFERROR(IF(2*INDEX('UZ-normalized'!$D:$D, MATCH($A43, 'UZ-normalized'!$A:$A, 0))-INDEX('UZ-normalized'!$E:$E, MATCH($A43, 'UZ-normalized'!$A:$A, 0))&gt;0, -(2*INDEX('UZ-normalized'!$D:$D, MATCH($A43, 'UZ-normalized'!$A:$A, 0))-INDEX('UZ-normalized'!$E:$E, MATCH($A43, 'UZ-normalized'!$A:$A, 0))), 0), 0)))</f>
        <v>0</v>
      </c>
      <c r="Q43" s="6">
        <f>MIN(0, N43+(IFERROR(IF(3*INDEX('UA-normalized'!$D:$D, MATCH($A43, 'UA-normalized'!$A:$A, 0))-INDEX('UA-normalized'!$E:$E, MATCH($A43, 'UA-normalized'!$A:$A, 0))&gt;0, -(3*INDEX('UA-normalized'!$D:$D, MATCH($A43, 'UA-normalized'!$A:$A, 0))-INDEX('UA-normalized'!$E:$E, MATCH($A43, 'UA-normalized'!$A:$A, 0))), 0), 0))+(IFERROR(IF(3*INDEX('KZ-normalized'!$D:$D, MATCH($A43, 'KZ-normalized'!$A:$A, 0))-INDEX('KZ-normalized'!$E:$E, MATCH($A43, 'KZ-normalized'!$A:$A, 0))&gt;0, -(3*INDEX('KZ-normalized'!$D:$D, MATCH($A43, 'KZ-normalized'!$A:$A, 0))-INDEX('KZ-normalized'!$E:$E, MATCH($A43, 'KZ-normalized'!$A:$A, 0))), 0), 0))+(IFERROR(IF(3*INDEX('UZ-normalized'!$D:$D, MATCH($A43, 'UZ-normalized'!$A:$A, 0))-INDEX('UZ-normalized'!$E:$E, MATCH($A43, 'UZ-normalized'!$A:$A, 0))&gt;0, -(3*INDEX('UZ-normalized'!$D:$D, MATCH($A43, 'UZ-normalized'!$A:$A, 0))-INDEX('UZ-normalized'!$E:$E, MATCH($A43, 'UZ-normalized'!$A:$A, 0))), 0), 0)))</f>
        <v>0</v>
      </c>
      <c r="R43" s="6">
        <f>MIN(0, N43+(IFERROR(IF(4*INDEX('UA-normalized'!$D:$D, MATCH($A43, 'UA-normalized'!$A:$A, 0))-INDEX('UA-normalized'!$E:$E, MATCH($A43, 'UA-normalized'!$A:$A, 0))&gt;0, -(4*INDEX('UA-normalized'!$D:$D, MATCH($A43, 'UA-normalized'!$A:$A, 0))-INDEX('UA-normalized'!$E:$E, MATCH($A43, 'UA-normalized'!$A:$A, 0))), 0), 0))+(IFERROR(IF(4*INDEX('KZ-normalized'!$D:$D, MATCH($A43, 'KZ-normalized'!$A:$A, 0))-INDEX('KZ-normalized'!$E:$E, MATCH($A43, 'KZ-normalized'!$A:$A, 0))&gt;0, -(4*INDEX('KZ-normalized'!$D:$D, MATCH($A43, 'KZ-normalized'!$A:$A, 0))-INDEX('KZ-normalized'!$E:$E, MATCH($A43, 'KZ-normalized'!$A:$A, 0))), 0), 0))+(IFERROR(IF(4*INDEX('UZ-normalized'!$D:$D, MATCH($A43, 'UZ-normalized'!$A:$A, 0))-INDEX('UZ-normalized'!$E:$E, MATCH($A43, 'UZ-normalized'!$A:$A, 0))&gt;0, -(4*INDEX('UZ-normalized'!$D:$D, MATCH($A43, 'UZ-normalized'!$A:$A, 0))-INDEX('UZ-normalized'!$E:$E, MATCH($A43, 'UZ-normalized'!$A:$A, 0))), 0), 0)))</f>
        <v>0</v>
      </c>
      <c r="S43" s="6">
        <f>MIN(0, N43+(IFERROR(IF(5*INDEX('UA-normalized'!$D:$D, MATCH($A43, 'UA-normalized'!$A:$A, 0))-INDEX('UA-normalized'!$E:$E, MATCH($A43, 'UA-normalized'!$A:$A, 0))&gt;0, -(5*INDEX('UA-normalized'!$D:$D, MATCH($A43, 'UA-normalized'!$A:$A, 0))-INDEX('UA-normalized'!$E:$E, MATCH($A43, 'UA-normalized'!$A:$A, 0))), 0), 0))+(IFERROR(IF(5*INDEX('KZ-normalized'!$D:$D, MATCH($A43, 'KZ-normalized'!$A:$A, 0))-INDEX('KZ-normalized'!$E:$E, MATCH($A43, 'KZ-normalized'!$A:$A, 0))&gt;0, -(5*INDEX('KZ-normalized'!$D:$D, MATCH($A43, 'KZ-normalized'!$A:$A, 0))-INDEX('KZ-normalized'!$E:$E, MATCH($A43, 'KZ-normalized'!$A:$A, 0))), 0), 0))+(IFERROR(IF(5*INDEX('UZ-normalized'!$D:$D, MATCH($A43, 'UZ-normalized'!$A:$A, 0))-INDEX('UZ-normalized'!$E:$E, MATCH($A43, 'UZ-normalized'!$A:$A, 0))&gt;0, -(5*INDEX('UZ-normalized'!$D:$D, MATCH($A43, 'UZ-normalized'!$A:$A, 0))-INDEX('UZ-normalized'!$E:$E, MATCH($A43, 'UZ-normalized'!$A:$A, 0))), 0), 0)))</f>
        <v>0</v>
      </c>
      <c r="T43" s="6">
        <f>MIN(0, N43+(IFERROR(IF(6*INDEX('UA-normalized'!$D:$D, MATCH($A43, 'UA-normalized'!$A:$A, 0))-INDEX('UA-normalized'!$E:$E, MATCH($A43, 'UA-normalized'!$A:$A, 0))&gt;0, -(6*INDEX('UA-normalized'!$D:$D, MATCH($A43, 'UA-normalized'!$A:$A, 0))-INDEX('UA-normalized'!$E:$E, MATCH($A43, 'UA-normalized'!$A:$A, 0))), 0), 0))+(IFERROR(IF(6*INDEX('KZ-normalized'!$D:$D, MATCH($A43, 'KZ-normalized'!$A:$A, 0))-INDEX('KZ-normalized'!$E:$E, MATCH($A43, 'KZ-normalized'!$A:$A, 0))&gt;0, -(6*INDEX('KZ-normalized'!$D:$D, MATCH($A43, 'KZ-normalized'!$A:$A, 0))-INDEX('KZ-normalized'!$E:$E, MATCH($A43, 'KZ-normalized'!$A:$A, 0))), 0), 0))+(IFERROR(IF(6*INDEX('UZ-normalized'!$D:$D, MATCH($A43, 'UZ-normalized'!$A:$A, 0))-INDEX('UZ-normalized'!$E:$E, MATCH($A43, 'UZ-normalized'!$A:$A, 0))&gt;0, -(6*INDEX('UZ-normalized'!$D:$D, MATCH($A43, 'UZ-normalized'!$A:$A, 0))-INDEX('UZ-normalized'!$E:$E, MATCH($A43, 'UZ-normalized'!$A:$A, 0))), 0), 0)))</f>
        <v>0</v>
      </c>
      <c r="U43" s="6">
        <f>MIN(0, N43+(IFERROR(IF(7*INDEX('UA-normalized'!$D:$D, MATCH($A43, 'UA-normalized'!$A:$A, 0))-INDEX('UA-normalized'!$E:$E, MATCH($A43, 'UA-normalized'!$A:$A, 0))&gt;0, -(7*INDEX('UA-normalized'!$D:$D, MATCH($A43, 'UA-normalized'!$A:$A, 0))-INDEX('UA-normalized'!$E:$E, MATCH($A43, 'UA-normalized'!$A:$A, 0))), 0), 0))+(IFERROR(IF(7*INDEX('KZ-normalized'!$D:$D, MATCH($A43, 'KZ-normalized'!$A:$A, 0))-INDEX('KZ-normalized'!$E:$E, MATCH($A43, 'KZ-normalized'!$A:$A, 0))&gt;0, -(7*INDEX('KZ-normalized'!$D:$D, MATCH($A43, 'KZ-normalized'!$A:$A, 0))-INDEX('KZ-normalized'!$E:$E, MATCH($A43, 'KZ-normalized'!$A:$A, 0))), 0), 0))+(IFERROR(IF(7*INDEX('UZ-normalized'!$D:$D, MATCH($A43, 'UZ-normalized'!$A:$A, 0))-INDEX('UZ-normalized'!$E:$E, MATCH($A43, 'UZ-normalized'!$A:$A, 0))&gt;0, -(7*INDEX('UZ-normalized'!$D:$D, MATCH($A43, 'UZ-normalized'!$A:$A, 0))-INDEX('UZ-normalized'!$E:$E, MATCH($A43, 'UZ-normalized'!$A:$A, 0))), 0), 0)))</f>
        <v>0</v>
      </c>
      <c r="V43" s="6">
        <f>MIN(0, N43+(IFERROR(IF(8*INDEX('UA-normalized'!$D:$D, MATCH($A43, 'UA-normalized'!$A:$A, 0))-INDEX('UA-normalized'!$E:$E, MATCH($A43, 'UA-normalized'!$A:$A, 0))&gt;0, -(8*INDEX('UA-normalized'!$D:$D, MATCH($A43, 'UA-normalized'!$A:$A, 0))-INDEX('UA-normalized'!$E:$E, MATCH($A43, 'UA-normalized'!$A:$A, 0))), 0), 0))+(IFERROR(IF(8*INDEX('KZ-normalized'!$D:$D, MATCH($A43, 'KZ-normalized'!$A:$A, 0))-INDEX('KZ-normalized'!$E:$E, MATCH($A43, 'KZ-normalized'!$A:$A, 0))&gt;0, -(8*INDEX('KZ-normalized'!$D:$D, MATCH($A43, 'KZ-normalized'!$A:$A, 0))-INDEX('KZ-normalized'!$E:$E, MATCH($A43, 'KZ-normalized'!$A:$A, 0))), 0), 0))+(IFERROR(IF(8*INDEX('UZ-normalized'!$D:$D, MATCH($A43, 'UZ-normalized'!$A:$A, 0))-INDEX('UZ-normalized'!$E:$E, MATCH($A43, 'UZ-normalized'!$A:$A, 0))&gt;0, -(8*INDEX('UZ-normalized'!$D:$D, MATCH($A43, 'UZ-normalized'!$A:$A, 0))-INDEX('UZ-normalized'!$E:$E, MATCH($A43, 'UZ-normalized'!$A:$A, 0))), 0), 0)))</f>
        <v>0</v>
      </c>
      <c r="W43" s="6">
        <f>MIN(0, N43+(IFERROR(IF(9*INDEX('UA-normalized'!$D:$D, MATCH($A43, 'UA-normalized'!$A:$A, 0))-INDEX('UA-normalized'!$E:$E, MATCH($A43, 'UA-normalized'!$A:$A, 0))&gt;0, -(9*INDEX('UA-normalized'!$D:$D, MATCH($A43, 'UA-normalized'!$A:$A, 0))-INDEX('UA-normalized'!$E:$E, MATCH($A43, 'UA-normalized'!$A:$A, 0))), 0), 0))+(IFERROR(IF(9*INDEX('KZ-normalized'!$D:$D, MATCH($A43, 'KZ-normalized'!$A:$A, 0))-INDEX('KZ-normalized'!$E:$E, MATCH($A43, 'KZ-normalized'!$A:$A, 0))&gt;0, -(9*INDEX('KZ-normalized'!$D:$D, MATCH($A43, 'KZ-normalized'!$A:$A, 0))-INDEX('KZ-normalized'!$E:$E, MATCH($A43, 'KZ-normalized'!$A:$A, 0))), 0), 0))+(IFERROR(IF(9*INDEX('UZ-normalized'!$D:$D, MATCH($A43, 'UZ-normalized'!$A:$A, 0))-INDEX('UZ-normalized'!$E:$E, MATCH($A43, 'UZ-normalized'!$A:$A, 0))&gt;0, -(9*INDEX('UZ-normalized'!$D:$D, MATCH($A43, 'UZ-normalized'!$A:$A, 0))-INDEX('UZ-normalized'!$E:$E, MATCH($A43, 'UZ-normalized'!$A:$A, 0))), 0), 0)))</f>
        <v>-0.79999999999999893</v>
      </c>
      <c r="X43" s="6">
        <f>MIN(0, N43+(IFERROR(IF(10*INDEX('UA-normalized'!$D:$D, MATCH($A43, 'UA-normalized'!$A:$A, 0))-INDEX('UA-normalized'!$E:$E, MATCH($A43, 'UA-normalized'!$A:$A, 0))&gt;0, -(10*INDEX('UA-normalized'!$D:$D, MATCH($A43, 'UA-normalized'!$A:$A, 0))-INDEX('UA-normalized'!$E:$E, MATCH($A43, 'UA-normalized'!$A:$A, 0))), 0), 0))+(IFERROR(IF(10*INDEX('KZ-normalized'!$D:$D, MATCH($A43, 'KZ-normalized'!$A:$A, 0))-INDEX('KZ-normalized'!$E:$E, MATCH($A43, 'KZ-normalized'!$A:$A, 0))&gt;0, -(10*INDEX('KZ-normalized'!$D:$D, MATCH($A43, 'KZ-normalized'!$A:$A, 0))-INDEX('KZ-normalized'!$E:$E, MATCH($A43, 'KZ-normalized'!$A:$A, 0))), 0), 0))+(IFERROR(IF(10*INDEX('UZ-normalized'!$D:$D, MATCH($A43, 'UZ-normalized'!$A:$A, 0))-INDEX('UZ-normalized'!$E:$E, MATCH($A43, 'UZ-normalized'!$A:$A, 0))&gt;0, -(10*INDEX('UZ-normalized'!$D:$D, MATCH($A43, 'UZ-normalized'!$A:$A, 0))-INDEX('UZ-normalized'!$E:$E, MATCH($A43, 'UZ-normalized'!$A:$A, 0))), 0), 0)))</f>
        <v>-12</v>
      </c>
      <c r="Y43" s="6">
        <f>MIN(0, N43+(IFERROR(IF(11*INDEX('UA-normalized'!$D:$D, MATCH($A43, 'UA-normalized'!$A:$A, 0))-INDEX('UA-normalized'!$E:$E, MATCH($A43, 'UA-normalized'!$A:$A, 0))&gt;0, -(11*INDEX('UA-normalized'!$D:$D, MATCH($A43, 'UA-normalized'!$A:$A, 0))-INDEX('UA-normalized'!$E:$E, MATCH($A43, 'UA-normalized'!$A:$A, 0))), 0), 0))+(IFERROR(IF(11*INDEX('KZ-normalized'!$D:$D, MATCH($A43, 'KZ-normalized'!$A:$A, 0))-INDEX('KZ-normalized'!$E:$E, MATCH($A43, 'KZ-normalized'!$A:$A, 0))&gt;0, -(11*INDEX('KZ-normalized'!$D:$D, MATCH($A43, 'KZ-normalized'!$A:$A, 0))-INDEX('KZ-normalized'!$E:$E, MATCH($A43, 'KZ-normalized'!$A:$A, 0))), 0), 0))+(IFERROR(IF(11*INDEX('UZ-normalized'!$D:$D, MATCH($A43, 'UZ-normalized'!$A:$A, 0))-INDEX('UZ-normalized'!$E:$E, MATCH($A43, 'UZ-normalized'!$A:$A, 0))&gt;0, -(11*INDEX('UZ-normalized'!$D:$D, MATCH($A43, 'UZ-normalized'!$A:$A, 0))-INDEX('UZ-normalized'!$E:$E, MATCH($A43, 'UZ-normalized'!$A:$A, 0))), 0), 0)))</f>
        <v>-23.2</v>
      </c>
      <c r="Z43" s="6">
        <f>MIN(0, N43+(IFERROR(IF(12*INDEX('UA-normalized'!$D:$D, MATCH($A43, 'UA-normalized'!$A:$A, 0))-INDEX('UA-normalized'!$E:$E, MATCH($A43, 'UA-normalized'!$A:$A, 0))&gt;0, -(12*INDEX('UA-normalized'!$D:$D, MATCH($A43, 'UA-normalized'!$A:$A, 0))-INDEX('UA-normalized'!$E:$E, MATCH($A43, 'UA-normalized'!$A:$A, 0))), 0), 0))+(IFERROR(IF(12*INDEX('KZ-normalized'!$D:$D, MATCH($A43, 'KZ-normalized'!$A:$A, 0))-INDEX('KZ-normalized'!$E:$E, MATCH($A43, 'KZ-normalized'!$A:$A, 0))&gt;0, -(12*INDEX('KZ-normalized'!$D:$D, MATCH($A43, 'KZ-normalized'!$A:$A, 0))-INDEX('KZ-normalized'!$E:$E, MATCH($A43, 'KZ-normalized'!$A:$A, 0))), 0), 0))+(IFERROR(IF(12*INDEX('UZ-normalized'!$D:$D, MATCH($A43, 'UZ-normalized'!$A:$A, 0))-INDEX('UZ-normalized'!$E:$E, MATCH($A43, 'UZ-normalized'!$A:$A, 0))&gt;0, -(12*INDEX('UZ-normalized'!$D:$D, MATCH($A43, 'UZ-normalized'!$A:$A, 0))-INDEX('UZ-normalized'!$E:$E, MATCH($A43, 'UZ-normalized'!$A:$A, 0))), 0), 0)))</f>
        <v>-34.4</v>
      </c>
      <c r="AA43" s="6">
        <f>MIN(0, N43+(IFERROR(IF(13*INDEX('UA-normalized'!$D:$D, MATCH($A43, 'UA-normalized'!$A:$A, 0))-INDEX('UA-normalized'!$E:$E, MATCH($A43, 'UA-normalized'!$A:$A, 0))&gt;0, -(13*INDEX('UA-normalized'!$D:$D, MATCH($A43, 'UA-normalized'!$A:$A, 0))-INDEX('UA-normalized'!$E:$E, MATCH($A43, 'UA-normalized'!$A:$A, 0))), 0), 0))+(IFERROR(IF(13*INDEX('KZ-normalized'!$D:$D, MATCH($A43, 'KZ-normalized'!$A:$A, 0))-INDEX('KZ-normalized'!$E:$E, MATCH($A43, 'KZ-normalized'!$A:$A, 0))&gt;0, -(13*INDEX('KZ-normalized'!$D:$D, MATCH($A43, 'KZ-normalized'!$A:$A, 0))-INDEX('KZ-normalized'!$E:$E, MATCH($A43, 'KZ-normalized'!$A:$A, 0))), 0), 0))+(IFERROR(IF(13*INDEX('UZ-normalized'!$D:$D, MATCH($A43, 'UZ-normalized'!$A:$A, 0))-INDEX('UZ-normalized'!$E:$E, MATCH($A43, 'UZ-normalized'!$A:$A, 0))&gt;0, -(13*INDEX('UZ-normalized'!$D:$D, MATCH($A43, 'UZ-normalized'!$A:$A, 0))-INDEX('UZ-normalized'!$E:$E, MATCH($A43, 'UZ-normalized'!$A:$A, 0))), 0), 0)))</f>
        <v>-45.6</v>
      </c>
      <c r="AB43" s="6">
        <f>MIN(0, N43+(IFERROR(IF(14*INDEX('UA-normalized'!$D:$D, MATCH($A43, 'UA-normalized'!$A:$A, 0))-INDEX('UA-normalized'!$E:$E, MATCH($A43, 'UA-normalized'!$A:$A, 0))&gt;0, -(14*INDEX('UA-normalized'!$D:$D, MATCH($A43, 'UA-normalized'!$A:$A, 0))-INDEX('UA-normalized'!$E:$E, MATCH($A43, 'UA-normalized'!$A:$A, 0))), 0), 0))+(IFERROR(IF(14*INDEX('KZ-normalized'!$D:$D, MATCH($A43, 'KZ-normalized'!$A:$A, 0))-INDEX('KZ-normalized'!$E:$E, MATCH($A43, 'KZ-normalized'!$A:$A, 0))&gt;0, -(14*INDEX('KZ-normalized'!$D:$D, MATCH($A43, 'KZ-normalized'!$A:$A, 0))-INDEX('KZ-normalized'!$E:$E, MATCH($A43, 'KZ-normalized'!$A:$A, 0))), 0), 0))+(IFERROR(IF(14*INDEX('UZ-normalized'!$D:$D, MATCH($A43, 'UZ-normalized'!$A:$A, 0))-INDEX('UZ-normalized'!$E:$E, MATCH($A43, 'UZ-normalized'!$A:$A, 0))&gt;0, -(14*INDEX('UZ-normalized'!$D:$D, MATCH($A43, 'UZ-normalized'!$A:$A, 0))-INDEX('UZ-normalized'!$E:$E, MATCH($A43, 'UZ-normalized'!$A:$A, 0))), 0), 0)))</f>
        <v>-56.8</v>
      </c>
      <c r="AC43" s="6">
        <f>MIN(0, N43+(IFERROR(IF(15*INDEX('UA-normalized'!$D:$D, MATCH($A43, 'UA-normalized'!$A:$A, 0))-INDEX('UA-normalized'!$E:$E, MATCH($A43, 'UA-normalized'!$A:$A, 0))&gt;0, -(15*INDEX('UA-normalized'!$D:$D, MATCH($A43, 'UA-normalized'!$A:$A, 0))-INDEX('UA-normalized'!$E:$E, MATCH($A43, 'UA-normalized'!$A:$A, 0))), 0), 0))+(IFERROR(IF(15*INDEX('KZ-normalized'!$D:$D, MATCH($A43, 'KZ-normalized'!$A:$A, 0))-INDEX('KZ-normalized'!$E:$E, MATCH($A43, 'KZ-normalized'!$A:$A, 0))&gt;0, -(15*INDEX('KZ-normalized'!$D:$D, MATCH($A43, 'KZ-normalized'!$A:$A, 0))-INDEX('KZ-normalized'!$E:$E, MATCH($A43, 'KZ-normalized'!$A:$A, 0))), 0), 0))+(IFERROR(IF(15*INDEX('UZ-normalized'!$D:$D, MATCH($A43, 'UZ-normalized'!$A:$A, 0))-INDEX('UZ-normalized'!$E:$E, MATCH($A43, 'UZ-normalized'!$A:$A, 0))&gt;0, -(15*INDEX('UZ-normalized'!$D:$D, MATCH($A43, 'UZ-normalized'!$A:$A, 0))-INDEX('UZ-normalized'!$E:$E, MATCH($A43, 'UZ-normalized'!$A:$A, 0))), 0), 0)))</f>
        <v>-68</v>
      </c>
      <c r="AD43" s="6">
        <f>MIN(0, N43+(IFERROR(IF(16*INDEX('UA-normalized'!$D:$D, MATCH($A43, 'UA-normalized'!$A:$A, 0))-INDEX('UA-normalized'!$E:$E, MATCH($A43, 'UA-normalized'!$A:$A, 0))&gt;0, -(16*INDEX('UA-normalized'!$D:$D, MATCH($A43, 'UA-normalized'!$A:$A, 0))-INDEX('UA-normalized'!$E:$E, MATCH($A43, 'UA-normalized'!$A:$A, 0))), 0), 0))+(IFERROR(IF(16*INDEX('KZ-normalized'!$D:$D, MATCH($A43, 'KZ-normalized'!$A:$A, 0))-INDEX('KZ-normalized'!$E:$E, MATCH($A43, 'KZ-normalized'!$A:$A, 0))&gt;0, -(16*INDEX('KZ-normalized'!$D:$D, MATCH($A43, 'KZ-normalized'!$A:$A, 0))-INDEX('KZ-normalized'!$E:$E, MATCH($A43, 'KZ-normalized'!$A:$A, 0))), 0), 0))+(IFERROR(IF(16*INDEX('UZ-normalized'!$D:$D, MATCH($A43, 'UZ-normalized'!$A:$A, 0))-INDEX('UZ-normalized'!$E:$E, MATCH($A43, 'UZ-normalized'!$A:$A, 0))&gt;0, -(16*INDEX('UZ-normalized'!$D:$D, MATCH($A43, 'UZ-normalized'!$A:$A, 0))-INDEX('UZ-normalized'!$E:$E, MATCH($A43, 'UZ-normalized'!$A:$A, 0))), 0), 0)))</f>
        <v>-79.2</v>
      </c>
      <c r="AE43" s="6">
        <f>MIN(0, N43+(IFERROR(IF(17*INDEX('UA-normalized'!$D:$D, MATCH($A43, 'UA-normalized'!$A:$A, 0))-INDEX('UA-normalized'!$E:$E, MATCH($A43, 'UA-normalized'!$A:$A, 0))&gt;0, -(17*INDEX('UA-normalized'!$D:$D, MATCH($A43, 'UA-normalized'!$A:$A, 0))-INDEX('UA-normalized'!$E:$E, MATCH($A43, 'UA-normalized'!$A:$A, 0))), 0), 0))+(IFERROR(IF(17*INDEX('KZ-normalized'!$D:$D, MATCH($A43, 'KZ-normalized'!$A:$A, 0))-INDEX('KZ-normalized'!$E:$E, MATCH($A43, 'KZ-normalized'!$A:$A, 0))&gt;0, -(17*INDEX('KZ-normalized'!$D:$D, MATCH($A43, 'KZ-normalized'!$A:$A, 0))-INDEX('KZ-normalized'!$E:$E, MATCH($A43, 'KZ-normalized'!$A:$A, 0))), 0), 0))+(IFERROR(IF(17*INDEX('UZ-normalized'!$D:$D, MATCH($A43, 'UZ-normalized'!$A:$A, 0))-INDEX('UZ-normalized'!$E:$E, MATCH($A43, 'UZ-normalized'!$A:$A, 0))&gt;0, -(17*INDEX('UZ-normalized'!$D:$D, MATCH($A43, 'UZ-normalized'!$A:$A, 0))-INDEX('UZ-normalized'!$E:$E, MATCH($A43, 'UZ-normalized'!$A:$A, 0))), 0), 0)))</f>
        <v>-90.4</v>
      </c>
      <c r="AF43" s="6">
        <f>MIN(0, N43+(IFERROR(IF(18*INDEX('UA-normalized'!$D:$D, MATCH($A43, 'UA-normalized'!$A:$A, 0))-INDEX('UA-normalized'!$E:$E, MATCH($A43, 'UA-normalized'!$A:$A, 0))&gt;0, -(18*INDEX('UA-normalized'!$D:$D, MATCH($A43, 'UA-normalized'!$A:$A, 0))-INDEX('UA-normalized'!$E:$E, MATCH($A43, 'UA-normalized'!$A:$A, 0))), 0), 0))+(IFERROR(IF(18*INDEX('KZ-normalized'!$D:$D, MATCH($A43, 'KZ-normalized'!$A:$A, 0))-INDEX('KZ-normalized'!$E:$E, MATCH($A43, 'KZ-normalized'!$A:$A, 0))&gt;0, -(18*INDEX('KZ-normalized'!$D:$D, MATCH($A43, 'KZ-normalized'!$A:$A, 0))-INDEX('KZ-normalized'!$E:$E, MATCH($A43, 'KZ-normalized'!$A:$A, 0))), 0), 0))+(IFERROR(IF(18*INDEX('UZ-normalized'!$D:$D, MATCH($A43, 'UZ-normalized'!$A:$A, 0))-INDEX('UZ-normalized'!$E:$E, MATCH($A43, 'UZ-normalized'!$A:$A, 0))&gt;0, -(18*INDEX('UZ-normalized'!$D:$D, MATCH($A43, 'UZ-normalized'!$A:$A, 0))-INDEX('UZ-normalized'!$E:$E, MATCH($A43, 'UZ-normalized'!$A:$A, 0))), 0), 0)))</f>
        <v>-101.6</v>
      </c>
      <c r="AG43" s="6">
        <f>MIN(0, N43+(IFERROR(IF(19*INDEX('UA-normalized'!$D:$D, MATCH($A43, 'UA-normalized'!$A:$A, 0))-INDEX('UA-normalized'!$E:$E, MATCH($A43, 'UA-normalized'!$A:$A, 0))&gt;0, -(19*INDEX('UA-normalized'!$D:$D, MATCH($A43, 'UA-normalized'!$A:$A, 0))-INDEX('UA-normalized'!$E:$E, MATCH($A43, 'UA-normalized'!$A:$A, 0))), 0), 0))+(IFERROR(IF(19*INDEX('KZ-normalized'!$D:$D, MATCH($A43, 'KZ-normalized'!$A:$A, 0))-INDEX('KZ-normalized'!$E:$E, MATCH($A43, 'KZ-normalized'!$A:$A, 0))&gt;0, -(19*INDEX('KZ-normalized'!$D:$D, MATCH($A43, 'KZ-normalized'!$A:$A, 0))-INDEX('KZ-normalized'!$E:$E, MATCH($A43, 'KZ-normalized'!$A:$A, 0))), 0), 0))+(IFERROR(IF(19*INDEX('UZ-normalized'!$D:$D, MATCH($A43, 'UZ-normalized'!$A:$A, 0))-INDEX('UZ-normalized'!$E:$E, MATCH($A43, 'UZ-normalized'!$A:$A, 0))&gt;0, -(19*INDEX('UZ-normalized'!$D:$D, MATCH($A43, 'UZ-normalized'!$A:$A, 0))-INDEX('UZ-normalized'!$E:$E, MATCH($A43, 'UZ-normalized'!$A:$A, 0))), 0), 0)))</f>
        <v>-112.8</v>
      </c>
      <c r="AH43" s="6">
        <f>MIN(0, N43+(IFERROR(IF(20*INDEX('UA-normalized'!$D:$D, MATCH($A43, 'UA-normalized'!$A:$A, 0))-INDEX('UA-normalized'!$E:$E, MATCH($A43, 'UA-normalized'!$A:$A, 0))&gt;0, -(20*INDEX('UA-normalized'!$D:$D, MATCH($A43, 'UA-normalized'!$A:$A, 0))-INDEX('UA-normalized'!$E:$E, MATCH($A43, 'UA-normalized'!$A:$A, 0))), 0), 0))+(IFERROR(IF(20*INDEX('KZ-normalized'!$D:$D, MATCH($A43, 'KZ-normalized'!$A:$A, 0))-INDEX('KZ-normalized'!$E:$E, MATCH($A43, 'KZ-normalized'!$A:$A, 0))&gt;0, -(20*INDEX('KZ-normalized'!$D:$D, MATCH($A43, 'KZ-normalized'!$A:$A, 0))-INDEX('KZ-normalized'!$E:$E, MATCH($A43, 'KZ-normalized'!$A:$A, 0))), 0), 0))+(IFERROR(IF(20*INDEX('UZ-normalized'!$D:$D, MATCH($A43, 'UZ-normalized'!$A:$A, 0))-INDEX('UZ-normalized'!$E:$E, MATCH($A43, 'UZ-normalized'!$A:$A, 0))&gt;0, -(20*INDEX('UZ-normalized'!$D:$D, MATCH($A43, 'UZ-normalized'!$A:$A, 0))-INDEX('UZ-normalized'!$E:$E, MATCH($A43, 'UZ-normalized'!$A:$A, 0))), 0), 0)))</f>
        <v>-124</v>
      </c>
      <c r="AI43" s="6">
        <f>MIN(0, N43+(IFERROR(IF(21*INDEX('UA-normalized'!$D:$D, MATCH($A43, 'UA-normalized'!$A:$A, 0))-INDEX('UA-normalized'!$E:$E, MATCH($A43, 'UA-normalized'!$A:$A, 0))&gt;0, -(21*INDEX('UA-normalized'!$D:$D, MATCH($A43, 'UA-normalized'!$A:$A, 0))-INDEX('UA-normalized'!$E:$E, MATCH($A43, 'UA-normalized'!$A:$A, 0))), 0), 0))+(IFERROR(IF(21*INDEX('KZ-normalized'!$D:$D, MATCH($A43, 'KZ-normalized'!$A:$A, 0))-INDEX('KZ-normalized'!$E:$E, MATCH($A43, 'KZ-normalized'!$A:$A, 0))&gt;0, -(21*INDEX('KZ-normalized'!$D:$D, MATCH($A43, 'KZ-normalized'!$A:$A, 0))-INDEX('KZ-normalized'!$E:$E, MATCH($A43, 'KZ-normalized'!$A:$A, 0))), 0), 0))+(IFERROR(IF(21*INDEX('UZ-normalized'!$D:$D, MATCH($A43, 'UZ-normalized'!$A:$A, 0))-INDEX('UZ-normalized'!$E:$E, MATCH($A43, 'UZ-normalized'!$A:$A, 0))&gt;0, -(21*INDEX('UZ-normalized'!$D:$D, MATCH($A43, 'UZ-normalized'!$A:$A, 0))-INDEX('UZ-normalized'!$E:$E, MATCH($A43, 'UZ-normalized'!$A:$A, 0))), 0), 0)))</f>
        <v>-135.19999999999999</v>
      </c>
      <c r="AJ43" s="6">
        <f>MIN(0, N43+(IFERROR(IF(22*INDEX('UA-normalized'!$D:$D, MATCH($A43, 'UA-normalized'!$A:$A, 0))-INDEX('UA-normalized'!$E:$E, MATCH($A43, 'UA-normalized'!$A:$A, 0))&gt;0, -(22*INDEX('UA-normalized'!$D:$D, MATCH($A43, 'UA-normalized'!$A:$A, 0))-INDEX('UA-normalized'!$E:$E, MATCH($A43, 'UA-normalized'!$A:$A, 0))), 0), 0))+(IFERROR(IF(22*INDEX('KZ-normalized'!$D:$D, MATCH($A43, 'KZ-normalized'!$A:$A, 0))-INDEX('KZ-normalized'!$E:$E, MATCH($A43, 'KZ-normalized'!$A:$A, 0))&gt;0, -(22*INDEX('KZ-normalized'!$D:$D, MATCH($A43, 'KZ-normalized'!$A:$A, 0))-INDEX('KZ-normalized'!$E:$E, MATCH($A43, 'KZ-normalized'!$A:$A, 0))), 0), 0))+(IFERROR(IF(22*INDEX('UZ-normalized'!$D:$D, MATCH($A43, 'UZ-normalized'!$A:$A, 0))-INDEX('UZ-normalized'!$E:$E, MATCH($A43, 'UZ-normalized'!$A:$A, 0))&gt;0, -(22*INDEX('UZ-normalized'!$D:$D, MATCH($A43, 'UZ-normalized'!$A:$A, 0))-INDEX('UZ-normalized'!$E:$E, MATCH($A43, 'UZ-normalized'!$A:$A, 0))), 0), 0)))</f>
        <v>-146.4</v>
      </c>
      <c r="AK43" s="6">
        <f>MIN(0, N43+(IFERROR(IF(23*INDEX('UA-normalized'!$D:$D, MATCH($A43, 'UA-normalized'!$A:$A, 0))-INDEX('UA-normalized'!$E:$E, MATCH($A43, 'UA-normalized'!$A:$A, 0))&gt;0, -(23*INDEX('UA-normalized'!$D:$D, MATCH($A43, 'UA-normalized'!$A:$A, 0))-INDEX('UA-normalized'!$E:$E, MATCH($A43, 'UA-normalized'!$A:$A, 0))), 0), 0))+(IFERROR(IF(23*INDEX('KZ-normalized'!$D:$D, MATCH($A43, 'KZ-normalized'!$A:$A, 0))-INDEX('KZ-normalized'!$E:$E, MATCH($A43, 'KZ-normalized'!$A:$A, 0))&gt;0, -(23*INDEX('KZ-normalized'!$D:$D, MATCH($A43, 'KZ-normalized'!$A:$A, 0))-INDEX('KZ-normalized'!$E:$E, MATCH($A43, 'KZ-normalized'!$A:$A, 0))), 0), 0))+(IFERROR(IF(23*INDEX('UZ-normalized'!$D:$D, MATCH($A43, 'UZ-normalized'!$A:$A, 0))-INDEX('UZ-normalized'!$E:$E, MATCH($A43, 'UZ-normalized'!$A:$A, 0))&gt;0, -(23*INDEX('UZ-normalized'!$D:$D, MATCH($A43, 'UZ-normalized'!$A:$A, 0))-INDEX('UZ-normalized'!$E:$E, MATCH($A43, 'UZ-normalized'!$A:$A, 0))), 0), 0)))</f>
        <v>-157.6</v>
      </c>
      <c r="AL43" s="6">
        <f>MIN(0, N43+(IFERROR(IF(24*INDEX('UA-normalized'!$D:$D, MATCH($A43, 'UA-normalized'!$A:$A, 0))-INDEX('UA-normalized'!$E:$E, MATCH($A43, 'UA-normalized'!$A:$A, 0))&gt;0, -(24*INDEX('UA-normalized'!$D:$D, MATCH($A43, 'UA-normalized'!$A:$A, 0))-INDEX('UA-normalized'!$E:$E, MATCH($A43, 'UA-normalized'!$A:$A, 0))), 0), 0))+(IFERROR(IF(24*INDEX('KZ-normalized'!$D:$D, MATCH($A43, 'KZ-normalized'!$A:$A, 0))-INDEX('KZ-normalized'!$E:$E, MATCH($A43, 'KZ-normalized'!$A:$A, 0))&gt;0, -(24*INDEX('KZ-normalized'!$D:$D, MATCH($A43, 'KZ-normalized'!$A:$A, 0))-INDEX('KZ-normalized'!$E:$E, MATCH($A43, 'KZ-normalized'!$A:$A, 0))), 0), 0))+(IFERROR(IF(24*INDEX('UZ-normalized'!$D:$D, MATCH($A43, 'UZ-normalized'!$A:$A, 0))-INDEX('UZ-normalized'!$E:$E, MATCH($A43, 'UZ-normalized'!$A:$A, 0))&gt;0, -(24*INDEX('UZ-normalized'!$D:$D, MATCH($A43, 'UZ-normalized'!$A:$A, 0))-INDEX('UZ-normalized'!$E:$E, MATCH($A43, 'UZ-normalized'!$A:$A, 0))), 0), 0)))</f>
        <v>-168.8</v>
      </c>
      <c r="AM43" s="6">
        <f>MIN(0, N43+(IFERROR(IF(25*INDEX('UA-normalized'!$D:$D, MATCH($A43, 'UA-normalized'!$A:$A, 0))-INDEX('UA-normalized'!$E:$E, MATCH($A43, 'UA-normalized'!$A:$A, 0))&gt;0, -(25*INDEX('UA-normalized'!$D:$D, MATCH($A43, 'UA-normalized'!$A:$A, 0))-INDEX('UA-normalized'!$E:$E, MATCH($A43, 'UA-normalized'!$A:$A, 0))), 0), 0))+(IFERROR(IF(25*INDEX('KZ-normalized'!$D:$D, MATCH($A43, 'KZ-normalized'!$A:$A, 0))-INDEX('KZ-normalized'!$E:$E, MATCH($A43, 'KZ-normalized'!$A:$A, 0))&gt;0, -(25*INDEX('KZ-normalized'!$D:$D, MATCH($A43, 'KZ-normalized'!$A:$A, 0))-INDEX('KZ-normalized'!$E:$E, MATCH($A43, 'KZ-normalized'!$A:$A, 0))), 0), 0))+(IFERROR(IF(25*INDEX('UZ-normalized'!$D:$D, MATCH($A43, 'UZ-normalized'!$A:$A, 0))-INDEX('UZ-normalized'!$E:$E, MATCH($A43, 'UZ-normalized'!$A:$A, 0))&gt;0, -(25*INDEX('UZ-normalized'!$D:$D, MATCH($A43, 'UZ-normalized'!$A:$A, 0))-INDEX('UZ-normalized'!$E:$E, MATCH($A43, 'UZ-normalized'!$A:$A, 0))), 0), 0)))</f>
        <v>-180</v>
      </c>
      <c r="AN43" s="6">
        <f>MIN(0, N43+(IFERROR(IF(26*INDEX('UA-normalized'!$D:$D, MATCH($A43, 'UA-normalized'!$A:$A, 0))-INDEX('UA-normalized'!$E:$E, MATCH($A43, 'UA-normalized'!$A:$A, 0))&gt;0, -(26*INDEX('UA-normalized'!$D:$D, MATCH($A43, 'UA-normalized'!$A:$A, 0))-INDEX('UA-normalized'!$E:$E, MATCH($A43, 'UA-normalized'!$A:$A, 0))), 0), 0))+(IFERROR(IF(26*INDEX('KZ-normalized'!$D:$D, MATCH($A43, 'KZ-normalized'!$A:$A, 0))-INDEX('KZ-normalized'!$E:$E, MATCH($A43, 'KZ-normalized'!$A:$A, 0))&gt;0, -(26*INDEX('KZ-normalized'!$D:$D, MATCH($A43, 'KZ-normalized'!$A:$A, 0))-INDEX('KZ-normalized'!$E:$E, MATCH($A43, 'KZ-normalized'!$A:$A, 0))), 0), 0))+(IFERROR(IF(26*INDEX('UZ-normalized'!$D:$D, MATCH($A43, 'UZ-normalized'!$A:$A, 0))-INDEX('UZ-normalized'!$E:$E, MATCH($A43, 'UZ-normalized'!$A:$A, 0))&gt;0, -(26*INDEX('UZ-normalized'!$D:$D, MATCH($A43, 'UZ-normalized'!$A:$A, 0))-INDEX('UZ-normalized'!$E:$E, MATCH($A43, 'UZ-normalized'!$A:$A, 0))), 0), 0)))</f>
        <v>-191.2</v>
      </c>
      <c r="AO43" s="6">
        <f>MIN(0, N43+(IFERROR(IF(27*INDEX('UA-normalized'!$D:$D, MATCH($A43, 'UA-normalized'!$A:$A, 0))-INDEX('UA-normalized'!$E:$E, MATCH($A43, 'UA-normalized'!$A:$A, 0))&gt;0, -(27*INDEX('UA-normalized'!$D:$D, MATCH($A43, 'UA-normalized'!$A:$A, 0))-INDEX('UA-normalized'!$E:$E, MATCH($A43, 'UA-normalized'!$A:$A, 0))), 0), 0))+(IFERROR(IF(27*INDEX('KZ-normalized'!$D:$D, MATCH($A43, 'KZ-normalized'!$A:$A, 0))-INDEX('KZ-normalized'!$E:$E, MATCH($A43, 'KZ-normalized'!$A:$A, 0))&gt;0, -(27*INDEX('KZ-normalized'!$D:$D, MATCH($A43, 'KZ-normalized'!$A:$A, 0))-INDEX('KZ-normalized'!$E:$E, MATCH($A43, 'KZ-normalized'!$A:$A, 0))), 0), 0))+(IFERROR(IF(27*INDEX('UZ-normalized'!$D:$D, MATCH($A43, 'UZ-normalized'!$A:$A, 0))-INDEX('UZ-normalized'!$E:$E, MATCH($A43, 'UZ-normalized'!$A:$A, 0))&gt;0, -(27*INDEX('UZ-normalized'!$D:$D, MATCH($A43, 'UZ-normalized'!$A:$A, 0))-INDEX('UZ-normalized'!$E:$E, MATCH($A43, 'UZ-normalized'!$A:$A, 0))), 0), 0)))</f>
        <v>-202.4</v>
      </c>
      <c r="AP43" s="6">
        <f>MIN(0, N43+(IFERROR(IF(28*INDEX('UA-normalized'!$D:$D, MATCH($A43, 'UA-normalized'!$A:$A, 0))-INDEX('UA-normalized'!$E:$E, MATCH($A43, 'UA-normalized'!$A:$A, 0))&gt;0, -(28*INDEX('UA-normalized'!$D:$D, MATCH($A43, 'UA-normalized'!$A:$A, 0))-INDEX('UA-normalized'!$E:$E, MATCH($A43, 'UA-normalized'!$A:$A, 0))), 0), 0))+(IFERROR(IF(28*INDEX('KZ-normalized'!$D:$D, MATCH($A43, 'KZ-normalized'!$A:$A, 0))-INDEX('KZ-normalized'!$E:$E, MATCH($A43, 'KZ-normalized'!$A:$A, 0))&gt;0, -(28*INDEX('KZ-normalized'!$D:$D, MATCH($A43, 'KZ-normalized'!$A:$A, 0))-INDEX('KZ-normalized'!$E:$E, MATCH($A43, 'KZ-normalized'!$A:$A, 0))), 0), 0))+(IFERROR(IF(28*INDEX('UZ-normalized'!$D:$D, MATCH($A43, 'UZ-normalized'!$A:$A, 0))-INDEX('UZ-normalized'!$E:$E, MATCH($A43, 'UZ-normalized'!$A:$A, 0))&gt;0, -(28*INDEX('UZ-normalized'!$D:$D, MATCH($A43, 'UZ-normalized'!$A:$A, 0))-INDEX('UZ-normalized'!$E:$E, MATCH($A43, 'UZ-normalized'!$A:$A, 0))), 0), 0)))</f>
        <v>-213.6</v>
      </c>
      <c r="AQ43" s="6">
        <f>MIN(0, N43+(IFERROR(IF(29*INDEX('UA-normalized'!$D:$D, MATCH($A43, 'UA-normalized'!$A:$A, 0))-INDEX('UA-normalized'!$E:$E, MATCH($A43, 'UA-normalized'!$A:$A, 0))&gt;0, -(29*INDEX('UA-normalized'!$D:$D, MATCH($A43, 'UA-normalized'!$A:$A, 0))-INDEX('UA-normalized'!$E:$E, MATCH($A43, 'UA-normalized'!$A:$A, 0))), 0), 0))+(IFERROR(IF(29*INDEX('KZ-normalized'!$D:$D, MATCH($A43, 'KZ-normalized'!$A:$A, 0))-INDEX('KZ-normalized'!$E:$E, MATCH($A43, 'KZ-normalized'!$A:$A, 0))&gt;0, -(29*INDEX('KZ-normalized'!$D:$D, MATCH($A43, 'KZ-normalized'!$A:$A, 0))-INDEX('KZ-normalized'!$E:$E, MATCH($A43, 'KZ-normalized'!$A:$A, 0))), 0), 0))+(IFERROR(IF(29*INDEX('UZ-normalized'!$D:$D, MATCH($A43, 'UZ-normalized'!$A:$A, 0))-INDEX('UZ-normalized'!$E:$E, MATCH($A43, 'UZ-normalized'!$A:$A, 0))&gt;0, -(29*INDEX('UZ-normalized'!$D:$D, MATCH($A43, 'UZ-normalized'!$A:$A, 0))-INDEX('UZ-normalized'!$E:$E, MATCH($A43, 'UZ-normalized'!$A:$A, 0))), 0), 0)))</f>
        <v>-224.8</v>
      </c>
      <c r="AR43" s="6">
        <f>MIN(0, N43+(IFERROR(IF(30*INDEX('UA-normalized'!$D:$D, MATCH($A43, 'UA-normalized'!$A:$A, 0))-INDEX('UA-normalized'!$E:$E, MATCH($A43, 'UA-normalized'!$A:$A, 0))&gt;0, -(30*INDEX('UA-normalized'!$D:$D, MATCH($A43, 'UA-normalized'!$A:$A, 0))-INDEX('UA-normalized'!$E:$E, MATCH($A43, 'UA-normalized'!$A:$A, 0))), 0), 0))+(IFERROR(IF(30*INDEX('KZ-normalized'!$D:$D, MATCH($A43, 'KZ-normalized'!$A:$A, 0))-INDEX('KZ-normalized'!$E:$E, MATCH($A43, 'KZ-normalized'!$A:$A, 0))&gt;0, -(30*INDEX('KZ-normalized'!$D:$D, MATCH($A43, 'KZ-normalized'!$A:$A, 0))-INDEX('KZ-normalized'!$E:$E, MATCH($A43, 'KZ-normalized'!$A:$A, 0))), 0), 0))+(IFERROR(IF(30*INDEX('UZ-normalized'!$D:$D, MATCH($A43, 'UZ-normalized'!$A:$A, 0))-INDEX('UZ-normalized'!$E:$E, MATCH($A43, 'UZ-normalized'!$A:$A, 0))&gt;0, -(30*INDEX('UZ-normalized'!$D:$D, MATCH($A43, 'UZ-normalized'!$A:$A, 0))-INDEX('UZ-normalized'!$E:$E, MATCH($A43, 'UZ-normalized'!$A:$A, 0))), 0), 0)))</f>
        <v>-236</v>
      </c>
    </row>
    <row r="44" spans="1:44" x14ac:dyDescent="0.25">
      <c r="A44" s="8" t="s">
        <v>132</v>
      </c>
      <c r="B44" s="8" t="s">
        <v>83</v>
      </c>
      <c r="C44" s="8" t="s">
        <v>128</v>
      </c>
      <c r="D44" s="8" t="s">
        <v>133</v>
      </c>
      <c r="N44">
        <f t="shared" si="0"/>
        <v>0</v>
      </c>
      <c r="O44" s="6">
        <f>MIN(0, N44+(IFERROR(IF(1*INDEX('UA-normalized'!$D:$D, MATCH($A44, 'UA-normalized'!$A:$A, 0))-INDEX('UA-normalized'!$E:$E, MATCH($A44, 'UA-normalized'!$A:$A, 0))&gt;0, -(1*INDEX('UA-normalized'!$D:$D, MATCH($A44, 'UA-normalized'!$A:$A, 0))-INDEX('UA-normalized'!$E:$E, MATCH($A44, 'UA-normalized'!$A:$A, 0))), 0), 0))+(IFERROR(IF(1*INDEX('KZ-normalized'!$D:$D, MATCH($A44, 'KZ-normalized'!$A:$A, 0))-INDEX('KZ-normalized'!$E:$E, MATCH($A44, 'KZ-normalized'!$A:$A, 0))&gt;0, -(1*INDEX('KZ-normalized'!$D:$D, MATCH($A44, 'KZ-normalized'!$A:$A, 0))-INDEX('KZ-normalized'!$E:$E, MATCH($A44, 'KZ-normalized'!$A:$A, 0))), 0), 0))+(IFERROR(IF(1*INDEX('UZ-normalized'!$D:$D, MATCH($A44, 'UZ-normalized'!$A:$A, 0))-INDEX('UZ-normalized'!$E:$E, MATCH($A44, 'UZ-normalized'!$A:$A, 0))&gt;0, -(1*INDEX('UZ-normalized'!$D:$D, MATCH($A44, 'UZ-normalized'!$A:$A, 0))-INDEX('UZ-normalized'!$E:$E, MATCH($A44, 'UZ-normalized'!$A:$A, 0))), 0), 0)))</f>
        <v>0</v>
      </c>
      <c r="P44" s="6">
        <f>MIN(0, N44+(IFERROR(IF(2*INDEX('UA-normalized'!$D:$D, MATCH($A44, 'UA-normalized'!$A:$A, 0))-INDEX('UA-normalized'!$E:$E, MATCH($A44, 'UA-normalized'!$A:$A, 0))&gt;0, -(2*INDEX('UA-normalized'!$D:$D, MATCH($A44, 'UA-normalized'!$A:$A, 0))-INDEX('UA-normalized'!$E:$E, MATCH($A44, 'UA-normalized'!$A:$A, 0))), 0), 0))+(IFERROR(IF(2*INDEX('KZ-normalized'!$D:$D, MATCH($A44, 'KZ-normalized'!$A:$A, 0))-INDEX('KZ-normalized'!$E:$E, MATCH($A44, 'KZ-normalized'!$A:$A, 0))&gt;0, -(2*INDEX('KZ-normalized'!$D:$D, MATCH($A44, 'KZ-normalized'!$A:$A, 0))-INDEX('KZ-normalized'!$E:$E, MATCH($A44, 'KZ-normalized'!$A:$A, 0))), 0), 0))+(IFERROR(IF(2*INDEX('UZ-normalized'!$D:$D, MATCH($A44, 'UZ-normalized'!$A:$A, 0))-INDEX('UZ-normalized'!$E:$E, MATCH($A44, 'UZ-normalized'!$A:$A, 0))&gt;0, -(2*INDEX('UZ-normalized'!$D:$D, MATCH($A44, 'UZ-normalized'!$A:$A, 0))-INDEX('UZ-normalized'!$E:$E, MATCH($A44, 'UZ-normalized'!$A:$A, 0))), 0), 0)))</f>
        <v>0</v>
      </c>
      <c r="Q44" s="6">
        <f>MIN(0, N44+(IFERROR(IF(3*INDEX('UA-normalized'!$D:$D, MATCH($A44, 'UA-normalized'!$A:$A, 0))-INDEX('UA-normalized'!$E:$E, MATCH($A44, 'UA-normalized'!$A:$A, 0))&gt;0, -(3*INDEX('UA-normalized'!$D:$D, MATCH($A44, 'UA-normalized'!$A:$A, 0))-INDEX('UA-normalized'!$E:$E, MATCH($A44, 'UA-normalized'!$A:$A, 0))), 0), 0))+(IFERROR(IF(3*INDEX('KZ-normalized'!$D:$D, MATCH($A44, 'KZ-normalized'!$A:$A, 0))-INDEX('KZ-normalized'!$E:$E, MATCH($A44, 'KZ-normalized'!$A:$A, 0))&gt;0, -(3*INDEX('KZ-normalized'!$D:$D, MATCH($A44, 'KZ-normalized'!$A:$A, 0))-INDEX('KZ-normalized'!$E:$E, MATCH($A44, 'KZ-normalized'!$A:$A, 0))), 0), 0))+(IFERROR(IF(3*INDEX('UZ-normalized'!$D:$D, MATCH($A44, 'UZ-normalized'!$A:$A, 0))-INDEX('UZ-normalized'!$E:$E, MATCH($A44, 'UZ-normalized'!$A:$A, 0))&gt;0, -(3*INDEX('UZ-normalized'!$D:$D, MATCH($A44, 'UZ-normalized'!$A:$A, 0))-INDEX('UZ-normalized'!$E:$E, MATCH($A44, 'UZ-normalized'!$A:$A, 0))), 0), 0)))</f>
        <v>0</v>
      </c>
      <c r="R44" s="6">
        <f>MIN(0, N44+(IFERROR(IF(4*INDEX('UA-normalized'!$D:$D, MATCH($A44, 'UA-normalized'!$A:$A, 0))-INDEX('UA-normalized'!$E:$E, MATCH($A44, 'UA-normalized'!$A:$A, 0))&gt;0, -(4*INDEX('UA-normalized'!$D:$D, MATCH($A44, 'UA-normalized'!$A:$A, 0))-INDEX('UA-normalized'!$E:$E, MATCH($A44, 'UA-normalized'!$A:$A, 0))), 0), 0))+(IFERROR(IF(4*INDEX('KZ-normalized'!$D:$D, MATCH($A44, 'KZ-normalized'!$A:$A, 0))-INDEX('KZ-normalized'!$E:$E, MATCH($A44, 'KZ-normalized'!$A:$A, 0))&gt;0, -(4*INDEX('KZ-normalized'!$D:$D, MATCH($A44, 'KZ-normalized'!$A:$A, 0))-INDEX('KZ-normalized'!$E:$E, MATCH($A44, 'KZ-normalized'!$A:$A, 0))), 0), 0))+(IFERROR(IF(4*INDEX('UZ-normalized'!$D:$D, MATCH($A44, 'UZ-normalized'!$A:$A, 0))-INDEX('UZ-normalized'!$E:$E, MATCH($A44, 'UZ-normalized'!$A:$A, 0))&gt;0, -(4*INDEX('UZ-normalized'!$D:$D, MATCH($A44, 'UZ-normalized'!$A:$A, 0))-INDEX('UZ-normalized'!$E:$E, MATCH($A44, 'UZ-normalized'!$A:$A, 0))), 0), 0)))</f>
        <v>0</v>
      </c>
      <c r="S44" s="6">
        <f>MIN(0, N44+(IFERROR(IF(5*INDEX('UA-normalized'!$D:$D, MATCH($A44, 'UA-normalized'!$A:$A, 0))-INDEX('UA-normalized'!$E:$E, MATCH($A44, 'UA-normalized'!$A:$A, 0))&gt;0, -(5*INDEX('UA-normalized'!$D:$D, MATCH($A44, 'UA-normalized'!$A:$A, 0))-INDEX('UA-normalized'!$E:$E, MATCH($A44, 'UA-normalized'!$A:$A, 0))), 0), 0))+(IFERROR(IF(5*INDEX('KZ-normalized'!$D:$D, MATCH($A44, 'KZ-normalized'!$A:$A, 0))-INDEX('KZ-normalized'!$E:$E, MATCH($A44, 'KZ-normalized'!$A:$A, 0))&gt;0, -(5*INDEX('KZ-normalized'!$D:$D, MATCH($A44, 'KZ-normalized'!$A:$A, 0))-INDEX('KZ-normalized'!$E:$E, MATCH($A44, 'KZ-normalized'!$A:$A, 0))), 0), 0))+(IFERROR(IF(5*INDEX('UZ-normalized'!$D:$D, MATCH($A44, 'UZ-normalized'!$A:$A, 0))-INDEX('UZ-normalized'!$E:$E, MATCH($A44, 'UZ-normalized'!$A:$A, 0))&gt;0, -(5*INDEX('UZ-normalized'!$D:$D, MATCH($A44, 'UZ-normalized'!$A:$A, 0))-INDEX('UZ-normalized'!$E:$E, MATCH($A44, 'UZ-normalized'!$A:$A, 0))), 0), 0)))</f>
        <v>0</v>
      </c>
      <c r="T44" s="6">
        <f>MIN(0, N44+(IFERROR(IF(6*INDEX('UA-normalized'!$D:$D, MATCH($A44, 'UA-normalized'!$A:$A, 0))-INDEX('UA-normalized'!$E:$E, MATCH($A44, 'UA-normalized'!$A:$A, 0))&gt;0, -(6*INDEX('UA-normalized'!$D:$D, MATCH($A44, 'UA-normalized'!$A:$A, 0))-INDEX('UA-normalized'!$E:$E, MATCH($A44, 'UA-normalized'!$A:$A, 0))), 0), 0))+(IFERROR(IF(6*INDEX('KZ-normalized'!$D:$D, MATCH($A44, 'KZ-normalized'!$A:$A, 0))-INDEX('KZ-normalized'!$E:$E, MATCH($A44, 'KZ-normalized'!$A:$A, 0))&gt;0, -(6*INDEX('KZ-normalized'!$D:$D, MATCH($A44, 'KZ-normalized'!$A:$A, 0))-INDEX('KZ-normalized'!$E:$E, MATCH($A44, 'KZ-normalized'!$A:$A, 0))), 0), 0))+(IFERROR(IF(6*INDEX('UZ-normalized'!$D:$D, MATCH($A44, 'UZ-normalized'!$A:$A, 0))-INDEX('UZ-normalized'!$E:$E, MATCH($A44, 'UZ-normalized'!$A:$A, 0))&gt;0, -(6*INDEX('UZ-normalized'!$D:$D, MATCH($A44, 'UZ-normalized'!$A:$A, 0))-INDEX('UZ-normalized'!$E:$E, MATCH($A44, 'UZ-normalized'!$A:$A, 0))), 0), 0)))</f>
        <v>0</v>
      </c>
      <c r="U44" s="6">
        <f>MIN(0, N44+(IFERROR(IF(7*INDEX('UA-normalized'!$D:$D, MATCH($A44, 'UA-normalized'!$A:$A, 0))-INDEX('UA-normalized'!$E:$E, MATCH($A44, 'UA-normalized'!$A:$A, 0))&gt;0, -(7*INDEX('UA-normalized'!$D:$D, MATCH($A44, 'UA-normalized'!$A:$A, 0))-INDEX('UA-normalized'!$E:$E, MATCH($A44, 'UA-normalized'!$A:$A, 0))), 0), 0))+(IFERROR(IF(7*INDEX('KZ-normalized'!$D:$D, MATCH($A44, 'KZ-normalized'!$A:$A, 0))-INDEX('KZ-normalized'!$E:$E, MATCH($A44, 'KZ-normalized'!$A:$A, 0))&gt;0, -(7*INDEX('KZ-normalized'!$D:$D, MATCH($A44, 'KZ-normalized'!$A:$A, 0))-INDEX('KZ-normalized'!$E:$E, MATCH($A44, 'KZ-normalized'!$A:$A, 0))), 0), 0))+(IFERROR(IF(7*INDEX('UZ-normalized'!$D:$D, MATCH($A44, 'UZ-normalized'!$A:$A, 0))-INDEX('UZ-normalized'!$E:$E, MATCH($A44, 'UZ-normalized'!$A:$A, 0))&gt;0, -(7*INDEX('UZ-normalized'!$D:$D, MATCH($A44, 'UZ-normalized'!$A:$A, 0))-INDEX('UZ-normalized'!$E:$E, MATCH($A44, 'UZ-normalized'!$A:$A, 0))), 0), 0)))</f>
        <v>-4</v>
      </c>
      <c r="V44" s="6">
        <f>MIN(0, N44+(IFERROR(IF(8*INDEX('UA-normalized'!$D:$D, MATCH($A44, 'UA-normalized'!$A:$A, 0))-INDEX('UA-normalized'!$E:$E, MATCH($A44, 'UA-normalized'!$A:$A, 0))&gt;0, -(8*INDEX('UA-normalized'!$D:$D, MATCH($A44, 'UA-normalized'!$A:$A, 0))-INDEX('UA-normalized'!$E:$E, MATCH($A44, 'UA-normalized'!$A:$A, 0))), 0), 0))+(IFERROR(IF(8*INDEX('KZ-normalized'!$D:$D, MATCH($A44, 'KZ-normalized'!$A:$A, 0))-INDEX('KZ-normalized'!$E:$E, MATCH($A44, 'KZ-normalized'!$A:$A, 0))&gt;0, -(8*INDEX('KZ-normalized'!$D:$D, MATCH($A44, 'KZ-normalized'!$A:$A, 0))-INDEX('KZ-normalized'!$E:$E, MATCH($A44, 'KZ-normalized'!$A:$A, 0))), 0), 0))+(IFERROR(IF(8*INDEX('UZ-normalized'!$D:$D, MATCH($A44, 'UZ-normalized'!$A:$A, 0))-INDEX('UZ-normalized'!$E:$E, MATCH($A44, 'UZ-normalized'!$A:$A, 0))&gt;0, -(8*INDEX('UZ-normalized'!$D:$D, MATCH($A44, 'UZ-normalized'!$A:$A, 0))-INDEX('UZ-normalized'!$E:$E, MATCH($A44, 'UZ-normalized'!$A:$A, 0))), 0), 0)))</f>
        <v>-16</v>
      </c>
      <c r="W44" s="6">
        <f>MIN(0, N44+(IFERROR(IF(9*INDEX('UA-normalized'!$D:$D, MATCH($A44, 'UA-normalized'!$A:$A, 0))-INDEX('UA-normalized'!$E:$E, MATCH($A44, 'UA-normalized'!$A:$A, 0))&gt;0, -(9*INDEX('UA-normalized'!$D:$D, MATCH($A44, 'UA-normalized'!$A:$A, 0))-INDEX('UA-normalized'!$E:$E, MATCH($A44, 'UA-normalized'!$A:$A, 0))), 0), 0))+(IFERROR(IF(9*INDEX('KZ-normalized'!$D:$D, MATCH($A44, 'KZ-normalized'!$A:$A, 0))-INDEX('KZ-normalized'!$E:$E, MATCH($A44, 'KZ-normalized'!$A:$A, 0))&gt;0, -(9*INDEX('KZ-normalized'!$D:$D, MATCH($A44, 'KZ-normalized'!$A:$A, 0))-INDEX('KZ-normalized'!$E:$E, MATCH($A44, 'KZ-normalized'!$A:$A, 0))), 0), 0))+(IFERROR(IF(9*INDEX('UZ-normalized'!$D:$D, MATCH($A44, 'UZ-normalized'!$A:$A, 0))-INDEX('UZ-normalized'!$E:$E, MATCH($A44, 'UZ-normalized'!$A:$A, 0))&gt;0, -(9*INDEX('UZ-normalized'!$D:$D, MATCH($A44, 'UZ-normalized'!$A:$A, 0))-INDEX('UZ-normalized'!$E:$E, MATCH($A44, 'UZ-normalized'!$A:$A, 0))), 0), 0)))</f>
        <v>-28</v>
      </c>
      <c r="X44" s="6">
        <f>MIN(0, N44+(IFERROR(IF(10*INDEX('UA-normalized'!$D:$D, MATCH($A44, 'UA-normalized'!$A:$A, 0))-INDEX('UA-normalized'!$E:$E, MATCH($A44, 'UA-normalized'!$A:$A, 0))&gt;0, -(10*INDEX('UA-normalized'!$D:$D, MATCH($A44, 'UA-normalized'!$A:$A, 0))-INDEX('UA-normalized'!$E:$E, MATCH($A44, 'UA-normalized'!$A:$A, 0))), 0), 0))+(IFERROR(IF(10*INDEX('KZ-normalized'!$D:$D, MATCH($A44, 'KZ-normalized'!$A:$A, 0))-INDEX('KZ-normalized'!$E:$E, MATCH($A44, 'KZ-normalized'!$A:$A, 0))&gt;0, -(10*INDEX('KZ-normalized'!$D:$D, MATCH($A44, 'KZ-normalized'!$A:$A, 0))-INDEX('KZ-normalized'!$E:$E, MATCH($A44, 'KZ-normalized'!$A:$A, 0))), 0), 0))+(IFERROR(IF(10*INDEX('UZ-normalized'!$D:$D, MATCH($A44, 'UZ-normalized'!$A:$A, 0))-INDEX('UZ-normalized'!$E:$E, MATCH($A44, 'UZ-normalized'!$A:$A, 0))&gt;0, -(10*INDEX('UZ-normalized'!$D:$D, MATCH($A44, 'UZ-normalized'!$A:$A, 0))-INDEX('UZ-normalized'!$E:$E, MATCH($A44, 'UZ-normalized'!$A:$A, 0))), 0), 0)))</f>
        <v>-40</v>
      </c>
      <c r="Y44" s="6">
        <f>MIN(0, N44+(IFERROR(IF(11*INDEX('UA-normalized'!$D:$D, MATCH($A44, 'UA-normalized'!$A:$A, 0))-INDEX('UA-normalized'!$E:$E, MATCH($A44, 'UA-normalized'!$A:$A, 0))&gt;0, -(11*INDEX('UA-normalized'!$D:$D, MATCH($A44, 'UA-normalized'!$A:$A, 0))-INDEX('UA-normalized'!$E:$E, MATCH($A44, 'UA-normalized'!$A:$A, 0))), 0), 0))+(IFERROR(IF(11*INDEX('KZ-normalized'!$D:$D, MATCH($A44, 'KZ-normalized'!$A:$A, 0))-INDEX('KZ-normalized'!$E:$E, MATCH($A44, 'KZ-normalized'!$A:$A, 0))&gt;0, -(11*INDEX('KZ-normalized'!$D:$D, MATCH($A44, 'KZ-normalized'!$A:$A, 0))-INDEX('KZ-normalized'!$E:$E, MATCH($A44, 'KZ-normalized'!$A:$A, 0))), 0), 0))+(IFERROR(IF(11*INDEX('UZ-normalized'!$D:$D, MATCH($A44, 'UZ-normalized'!$A:$A, 0))-INDEX('UZ-normalized'!$E:$E, MATCH($A44, 'UZ-normalized'!$A:$A, 0))&gt;0, -(11*INDEX('UZ-normalized'!$D:$D, MATCH($A44, 'UZ-normalized'!$A:$A, 0))-INDEX('UZ-normalized'!$E:$E, MATCH($A44, 'UZ-normalized'!$A:$A, 0))), 0), 0)))</f>
        <v>-52.5</v>
      </c>
      <c r="Z44" s="6">
        <f>MIN(0, N44+(IFERROR(IF(12*INDEX('UA-normalized'!$D:$D, MATCH($A44, 'UA-normalized'!$A:$A, 0))-INDEX('UA-normalized'!$E:$E, MATCH($A44, 'UA-normalized'!$A:$A, 0))&gt;0, -(12*INDEX('UA-normalized'!$D:$D, MATCH($A44, 'UA-normalized'!$A:$A, 0))-INDEX('UA-normalized'!$E:$E, MATCH($A44, 'UA-normalized'!$A:$A, 0))), 0), 0))+(IFERROR(IF(12*INDEX('KZ-normalized'!$D:$D, MATCH($A44, 'KZ-normalized'!$A:$A, 0))-INDEX('KZ-normalized'!$E:$E, MATCH($A44, 'KZ-normalized'!$A:$A, 0))&gt;0, -(12*INDEX('KZ-normalized'!$D:$D, MATCH($A44, 'KZ-normalized'!$A:$A, 0))-INDEX('KZ-normalized'!$E:$E, MATCH($A44, 'KZ-normalized'!$A:$A, 0))), 0), 0))+(IFERROR(IF(12*INDEX('UZ-normalized'!$D:$D, MATCH($A44, 'UZ-normalized'!$A:$A, 0))-INDEX('UZ-normalized'!$E:$E, MATCH($A44, 'UZ-normalized'!$A:$A, 0))&gt;0, -(12*INDEX('UZ-normalized'!$D:$D, MATCH($A44, 'UZ-normalized'!$A:$A, 0))-INDEX('UZ-normalized'!$E:$E, MATCH($A44, 'UZ-normalized'!$A:$A, 0))), 0), 0)))</f>
        <v>-66</v>
      </c>
      <c r="AA44" s="6">
        <f>MIN(0, N44+(IFERROR(IF(13*INDEX('UA-normalized'!$D:$D, MATCH($A44, 'UA-normalized'!$A:$A, 0))-INDEX('UA-normalized'!$E:$E, MATCH($A44, 'UA-normalized'!$A:$A, 0))&gt;0, -(13*INDEX('UA-normalized'!$D:$D, MATCH($A44, 'UA-normalized'!$A:$A, 0))-INDEX('UA-normalized'!$E:$E, MATCH($A44, 'UA-normalized'!$A:$A, 0))), 0), 0))+(IFERROR(IF(13*INDEX('KZ-normalized'!$D:$D, MATCH($A44, 'KZ-normalized'!$A:$A, 0))-INDEX('KZ-normalized'!$E:$E, MATCH($A44, 'KZ-normalized'!$A:$A, 0))&gt;0, -(13*INDEX('KZ-normalized'!$D:$D, MATCH($A44, 'KZ-normalized'!$A:$A, 0))-INDEX('KZ-normalized'!$E:$E, MATCH($A44, 'KZ-normalized'!$A:$A, 0))), 0), 0))+(IFERROR(IF(13*INDEX('UZ-normalized'!$D:$D, MATCH($A44, 'UZ-normalized'!$A:$A, 0))-INDEX('UZ-normalized'!$E:$E, MATCH($A44, 'UZ-normalized'!$A:$A, 0))&gt;0, -(13*INDEX('UZ-normalized'!$D:$D, MATCH($A44, 'UZ-normalized'!$A:$A, 0))-INDEX('UZ-normalized'!$E:$E, MATCH($A44, 'UZ-normalized'!$A:$A, 0))), 0), 0)))</f>
        <v>-79.5</v>
      </c>
      <c r="AB44" s="6">
        <f>MIN(0, N44+(IFERROR(IF(14*INDEX('UA-normalized'!$D:$D, MATCH($A44, 'UA-normalized'!$A:$A, 0))-INDEX('UA-normalized'!$E:$E, MATCH($A44, 'UA-normalized'!$A:$A, 0))&gt;0, -(14*INDEX('UA-normalized'!$D:$D, MATCH($A44, 'UA-normalized'!$A:$A, 0))-INDEX('UA-normalized'!$E:$E, MATCH($A44, 'UA-normalized'!$A:$A, 0))), 0), 0))+(IFERROR(IF(14*INDEX('KZ-normalized'!$D:$D, MATCH($A44, 'KZ-normalized'!$A:$A, 0))-INDEX('KZ-normalized'!$E:$E, MATCH($A44, 'KZ-normalized'!$A:$A, 0))&gt;0, -(14*INDEX('KZ-normalized'!$D:$D, MATCH($A44, 'KZ-normalized'!$A:$A, 0))-INDEX('KZ-normalized'!$E:$E, MATCH($A44, 'KZ-normalized'!$A:$A, 0))), 0), 0))+(IFERROR(IF(14*INDEX('UZ-normalized'!$D:$D, MATCH($A44, 'UZ-normalized'!$A:$A, 0))-INDEX('UZ-normalized'!$E:$E, MATCH($A44, 'UZ-normalized'!$A:$A, 0))&gt;0, -(14*INDEX('UZ-normalized'!$D:$D, MATCH($A44, 'UZ-normalized'!$A:$A, 0))-INDEX('UZ-normalized'!$E:$E, MATCH($A44, 'UZ-normalized'!$A:$A, 0))), 0), 0)))</f>
        <v>-93</v>
      </c>
      <c r="AC44" s="6">
        <f>MIN(0, N44+(IFERROR(IF(15*INDEX('UA-normalized'!$D:$D, MATCH($A44, 'UA-normalized'!$A:$A, 0))-INDEX('UA-normalized'!$E:$E, MATCH($A44, 'UA-normalized'!$A:$A, 0))&gt;0, -(15*INDEX('UA-normalized'!$D:$D, MATCH($A44, 'UA-normalized'!$A:$A, 0))-INDEX('UA-normalized'!$E:$E, MATCH($A44, 'UA-normalized'!$A:$A, 0))), 0), 0))+(IFERROR(IF(15*INDEX('KZ-normalized'!$D:$D, MATCH($A44, 'KZ-normalized'!$A:$A, 0))-INDEX('KZ-normalized'!$E:$E, MATCH($A44, 'KZ-normalized'!$A:$A, 0))&gt;0, -(15*INDEX('KZ-normalized'!$D:$D, MATCH($A44, 'KZ-normalized'!$A:$A, 0))-INDEX('KZ-normalized'!$E:$E, MATCH($A44, 'KZ-normalized'!$A:$A, 0))), 0), 0))+(IFERROR(IF(15*INDEX('UZ-normalized'!$D:$D, MATCH($A44, 'UZ-normalized'!$A:$A, 0))-INDEX('UZ-normalized'!$E:$E, MATCH($A44, 'UZ-normalized'!$A:$A, 0))&gt;0, -(15*INDEX('UZ-normalized'!$D:$D, MATCH($A44, 'UZ-normalized'!$A:$A, 0))-INDEX('UZ-normalized'!$E:$E, MATCH($A44, 'UZ-normalized'!$A:$A, 0))), 0), 0)))</f>
        <v>-106.5</v>
      </c>
      <c r="AD44" s="6">
        <f>MIN(0, N44+(IFERROR(IF(16*INDEX('UA-normalized'!$D:$D, MATCH($A44, 'UA-normalized'!$A:$A, 0))-INDEX('UA-normalized'!$E:$E, MATCH($A44, 'UA-normalized'!$A:$A, 0))&gt;0, -(16*INDEX('UA-normalized'!$D:$D, MATCH($A44, 'UA-normalized'!$A:$A, 0))-INDEX('UA-normalized'!$E:$E, MATCH($A44, 'UA-normalized'!$A:$A, 0))), 0), 0))+(IFERROR(IF(16*INDEX('KZ-normalized'!$D:$D, MATCH($A44, 'KZ-normalized'!$A:$A, 0))-INDEX('KZ-normalized'!$E:$E, MATCH($A44, 'KZ-normalized'!$A:$A, 0))&gt;0, -(16*INDEX('KZ-normalized'!$D:$D, MATCH($A44, 'KZ-normalized'!$A:$A, 0))-INDEX('KZ-normalized'!$E:$E, MATCH($A44, 'KZ-normalized'!$A:$A, 0))), 0), 0))+(IFERROR(IF(16*INDEX('UZ-normalized'!$D:$D, MATCH($A44, 'UZ-normalized'!$A:$A, 0))-INDEX('UZ-normalized'!$E:$E, MATCH($A44, 'UZ-normalized'!$A:$A, 0))&gt;0, -(16*INDEX('UZ-normalized'!$D:$D, MATCH($A44, 'UZ-normalized'!$A:$A, 0))-INDEX('UZ-normalized'!$E:$E, MATCH($A44, 'UZ-normalized'!$A:$A, 0))), 0), 0)))</f>
        <v>-120</v>
      </c>
      <c r="AE44" s="6">
        <f>MIN(0, N44+(IFERROR(IF(17*INDEX('UA-normalized'!$D:$D, MATCH($A44, 'UA-normalized'!$A:$A, 0))-INDEX('UA-normalized'!$E:$E, MATCH($A44, 'UA-normalized'!$A:$A, 0))&gt;0, -(17*INDEX('UA-normalized'!$D:$D, MATCH($A44, 'UA-normalized'!$A:$A, 0))-INDEX('UA-normalized'!$E:$E, MATCH($A44, 'UA-normalized'!$A:$A, 0))), 0), 0))+(IFERROR(IF(17*INDEX('KZ-normalized'!$D:$D, MATCH($A44, 'KZ-normalized'!$A:$A, 0))-INDEX('KZ-normalized'!$E:$E, MATCH($A44, 'KZ-normalized'!$A:$A, 0))&gt;0, -(17*INDEX('KZ-normalized'!$D:$D, MATCH($A44, 'KZ-normalized'!$A:$A, 0))-INDEX('KZ-normalized'!$E:$E, MATCH($A44, 'KZ-normalized'!$A:$A, 0))), 0), 0))+(IFERROR(IF(17*INDEX('UZ-normalized'!$D:$D, MATCH($A44, 'UZ-normalized'!$A:$A, 0))-INDEX('UZ-normalized'!$E:$E, MATCH($A44, 'UZ-normalized'!$A:$A, 0))&gt;0, -(17*INDEX('UZ-normalized'!$D:$D, MATCH($A44, 'UZ-normalized'!$A:$A, 0))-INDEX('UZ-normalized'!$E:$E, MATCH($A44, 'UZ-normalized'!$A:$A, 0))), 0), 0)))</f>
        <v>-133.5</v>
      </c>
      <c r="AF44" s="6">
        <f>MIN(0, N44+(IFERROR(IF(18*INDEX('UA-normalized'!$D:$D, MATCH($A44, 'UA-normalized'!$A:$A, 0))-INDEX('UA-normalized'!$E:$E, MATCH($A44, 'UA-normalized'!$A:$A, 0))&gt;0, -(18*INDEX('UA-normalized'!$D:$D, MATCH($A44, 'UA-normalized'!$A:$A, 0))-INDEX('UA-normalized'!$E:$E, MATCH($A44, 'UA-normalized'!$A:$A, 0))), 0), 0))+(IFERROR(IF(18*INDEX('KZ-normalized'!$D:$D, MATCH($A44, 'KZ-normalized'!$A:$A, 0))-INDEX('KZ-normalized'!$E:$E, MATCH($A44, 'KZ-normalized'!$A:$A, 0))&gt;0, -(18*INDEX('KZ-normalized'!$D:$D, MATCH($A44, 'KZ-normalized'!$A:$A, 0))-INDEX('KZ-normalized'!$E:$E, MATCH($A44, 'KZ-normalized'!$A:$A, 0))), 0), 0))+(IFERROR(IF(18*INDEX('UZ-normalized'!$D:$D, MATCH($A44, 'UZ-normalized'!$A:$A, 0))-INDEX('UZ-normalized'!$E:$E, MATCH($A44, 'UZ-normalized'!$A:$A, 0))&gt;0, -(18*INDEX('UZ-normalized'!$D:$D, MATCH($A44, 'UZ-normalized'!$A:$A, 0))-INDEX('UZ-normalized'!$E:$E, MATCH($A44, 'UZ-normalized'!$A:$A, 0))), 0), 0)))</f>
        <v>-147</v>
      </c>
      <c r="AG44" s="6">
        <f>MIN(0, N44+(IFERROR(IF(19*INDEX('UA-normalized'!$D:$D, MATCH($A44, 'UA-normalized'!$A:$A, 0))-INDEX('UA-normalized'!$E:$E, MATCH($A44, 'UA-normalized'!$A:$A, 0))&gt;0, -(19*INDEX('UA-normalized'!$D:$D, MATCH($A44, 'UA-normalized'!$A:$A, 0))-INDEX('UA-normalized'!$E:$E, MATCH($A44, 'UA-normalized'!$A:$A, 0))), 0), 0))+(IFERROR(IF(19*INDEX('KZ-normalized'!$D:$D, MATCH($A44, 'KZ-normalized'!$A:$A, 0))-INDEX('KZ-normalized'!$E:$E, MATCH($A44, 'KZ-normalized'!$A:$A, 0))&gt;0, -(19*INDEX('KZ-normalized'!$D:$D, MATCH($A44, 'KZ-normalized'!$A:$A, 0))-INDEX('KZ-normalized'!$E:$E, MATCH($A44, 'KZ-normalized'!$A:$A, 0))), 0), 0))+(IFERROR(IF(19*INDEX('UZ-normalized'!$D:$D, MATCH($A44, 'UZ-normalized'!$A:$A, 0))-INDEX('UZ-normalized'!$E:$E, MATCH($A44, 'UZ-normalized'!$A:$A, 0))&gt;0, -(19*INDEX('UZ-normalized'!$D:$D, MATCH($A44, 'UZ-normalized'!$A:$A, 0))-INDEX('UZ-normalized'!$E:$E, MATCH($A44, 'UZ-normalized'!$A:$A, 0))), 0), 0)))</f>
        <v>-160.5</v>
      </c>
      <c r="AH44" s="6">
        <f>MIN(0, N44+(IFERROR(IF(20*INDEX('UA-normalized'!$D:$D, MATCH($A44, 'UA-normalized'!$A:$A, 0))-INDEX('UA-normalized'!$E:$E, MATCH($A44, 'UA-normalized'!$A:$A, 0))&gt;0, -(20*INDEX('UA-normalized'!$D:$D, MATCH($A44, 'UA-normalized'!$A:$A, 0))-INDEX('UA-normalized'!$E:$E, MATCH($A44, 'UA-normalized'!$A:$A, 0))), 0), 0))+(IFERROR(IF(20*INDEX('KZ-normalized'!$D:$D, MATCH($A44, 'KZ-normalized'!$A:$A, 0))-INDEX('KZ-normalized'!$E:$E, MATCH($A44, 'KZ-normalized'!$A:$A, 0))&gt;0, -(20*INDEX('KZ-normalized'!$D:$D, MATCH($A44, 'KZ-normalized'!$A:$A, 0))-INDEX('KZ-normalized'!$E:$E, MATCH($A44, 'KZ-normalized'!$A:$A, 0))), 0), 0))+(IFERROR(IF(20*INDEX('UZ-normalized'!$D:$D, MATCH($A44, 'UZ-normalized'!$A:$A, 0))-INDEX('UZ-normalized'!$E:$E, MATCH($A44, 'UZ-normalized'!$A:$A, 0))&gt;0, -(20*INDEX('UZ-normalized'!$D:$D, MATCH($A44, 'UZ-normalized'!$A:$A, 0))-INDEX('UZ-normalized'!$E:$E, MATCH($A44, 'UZ-normalized'!$A:$A, 0))), 0), 0)))</f>
        <v>-174</v>
      </c>
      <c r="AI44" s="6">
        <f>MIN(0, N44+(IFERROR(IF(21*INDEX('UA-normalized'!$D:$D, MATCH($A44, 'UA-normalized'!$A:$A, 0))-INDEX('UA-normalized'!$E:$E, MATCH($A44, 'UA-normalized'!$A:$A, 0))&gt;0, -(21*INDEX('UA-normalized'!$D:$D, MATCH($A44, 'UA-normalized'!$A:$A, 0))-INDEX('UA-normalized'!$E:$E, MATCH($A44, 'UA-normalized'!$A:$A, 0))), 0), 0))+(IFERROR(IF(21*INDEX('KZ-normalized'!$D:$D, MATCH($A44, 'KZ-normalized'!$A:$A, 0))-INDEX('KZ-normalized'!$E:$E, MATCH($A44, 'KZ-normalized'!$A:$A, 0))&gt;0, -(21*INDEX('KZ-normalized'!$D:$D, MATCH($A44, 'KZ-normalized'!$A:$A, 0))-INDEX('KZ-normalized'!$E:$E, MATCH($A44, 'KZ-normalized'!$A:$A, 0))), 0), 0))+(IFERROR(IF(21*INDEX('UZ-normalized'!$D:$D, MATCH($A44, 'UZ-normalized'!$A:$A, 0))-INDEX('UZ-normalized'!$E:$E, MATCH($A44, 'UZ-normalized'!$A:$A, 0))&gt;0, -(21*INDEX('UZ-normalized'!$D:$D, MATCH($A44, 'UZ-normalized'!$A:$A, 0))-INDEX('UZ-normalized'!$E:$E, MATCH($A44, 'UZ-normalized'!$A:$A, 0))), 0), 0)))</f>
        <v>-187.5</v>
      </c>
      <c r="AJ44" s="6">
        <f>MIN(0, N44+(IFERROR(IF(22*INDEX('UA-normalized'!$D:$D, MATCH($A44, 'UA-normalized'!$A:$A, 0))-INDEX('UA-normalized'!$E:$E, MATCH($A44, 'UA-normalized'!$A:$A, 0))&gt;0, -(22*INDEX('UA-normalized'!$D:$D, MATCH($A44, 'UA-normalized'!$A:$A, 0))-INDEX('UA-normalized'!$E:$E, MATCH($A44, 'UA-normalized'!$A:$A, 0))), 0), 0))+(IFERROR(IF(22*INDEX('KZ-normalized'!$D:$D, MATCH($A44, 'KZ-normalized'!$A:$A, 0))-INDEX('KZ-normalized'!$E:$E, MATCH($A44, 'KZ-normalized'!$A:$A, 0))&gt;0, -(22*INDEX('KZ-normalized'!$D:$D, MATCH($A44, 'KZ-normalized'!$A:$A, 0))-INDEX('KZ-normalized'!$E:$E, MATCH($A44, 'KZ-normalized'!$A:$A, 0))), 0), 0))+(IFERROR(IF(22*INDEX('UZ-normalized'!$D:$D, MATCH($A44, 'UZ-normalized'!$A:$A, 0))-INDEX('UZ-normalized'!$E:$E, MATCH($A44, 'UZ-normalized'!$A:$A, 0))&gt;0, -(22*INDEX('UZ-normalized'!$D:$D, MATCH($A44, 'UZ-normalized'!$A:$A, 0))-INDEX('UZ-normalized'!$E:$E, MATCH($A44, 'UZ-normalized'!$A:$A, 0))), 0), 0)))</f>
        <v>-201</v>
      </c>
      <c r="AK44" s="6">
        <f>MIN(0, N44+(IFERROR(IF(23*INDEX('UA-normalized'!$D:$D, MATCH($A44, 'UA-normalized'!$A:$A, 0))-INDEX('UA-normalized'!$E:$E, MATCH($A44, 'UA-normalized'!$A:$A, 0))&gt;0, -(23*INDEX('UA-normalized'!$D:$D, MATCH($A44, 'UA-normalized'!$A:$A, 0))-INDEX('UA-normalized'!$E:$E, MATCH($A44, 'UA-normalized'!$A:$A, 0))), 0), 0))+(IFERROR(IF(23*INDEX('KZ-normalized'!$D:$D, MATCH($A44, 'KZ-normalized'!$A:$A, 0))-INDEX('KZ-normalized'!$E:$E, MATCH($A44, 'KZ-normalized'!$A:$A, 0))&gt;0, -(23*INDEX('KZ-normalized'!$D:$D, MATCH($A44, 'KZ-normalized'!$A:$A, 0))-INDEX('KZ-normalized'!$E:$E, MATCH($A44, 'KZ-normalized'!$A:$A, 0))), 0), 0))+(IFERROR(IF(23*INDEX('UZ-normalized'!$D:$D, MATCH($A44, 'UZ-normalized'!$A:$A, 0))-INDEX('UZ-normalized'!$E:$E, MATCH($A44, 'UZ-normalized'!$A:$A, 0))&gt;0, -(23*INDEX('UZ-normalized'!$D:$D, MATCH($A44, 'UZ-normalized'!$A:$A, 0))-INDEX('UZ-normalized'!$E:$E, MATCH($A44, 'UZ-normalized'!$A:$A, 0))), 0), 0)))</f>
        <v>-214.5</v>
      </c>
      <c r="AL44" s="6">
        <f>MIN(0, N44+(IFERROR(IF(24*INDEX('UA-normalized'!$D:$D, MATCH($A44, 'UA-normalized'!$A:$A, 0))-INDEX('UA-normalized'!$E:$E, MATCH($A44, 'UA-normalized'!$A:$A, 0))&gt;0, -(24*INDEX('UA-normalized'!$D:$D, MATCH($A44, 'UA-normalized'!$A:$A, 0))-INDEX('UA-normalized'!$E:$E, MATCH($A44, 'UA-normalized'!$A:$A, 0))), 0), 0))+(IFERROR(IF(24*INDEX('KZ-normalized'!$D:$D, MATCH($A44, 'KZ-normalized'!$A:$A, 0))-INDEX('KZ-normalized'!$E:$E, MATCH($A44, 'KZ-normalized'!$A:$A, 0))&gt;0, -(24*INDEX('KZ-normalized'!$D:$D, MATCH($A44, 'KZ-normalized'!$A:$A, 0))-INDEX('KZ-normalized'!$E:$E, MATCH($A44, 'KZ-normalized'!$A:$A, 0))), 0), 0))+(IFERROR(IF(24*INDEX('UZ-normalized'!$D:$D, MATCH($A44, 'UZ-normalized'!$A:$A, 0))-INDEX('UZ-normalized'!$E:$E, MATCH($A44, 'UZ-normalized'!$A:$A, 0))&gt;0, -(24*INDEX('UZ-normalized'!$D:$D, MATCH($A44, 'UZ-normalized'!$A:$A, 0))-INDEX('UZ-normalized'!$E:$E, MATCH($A44, 'UZ-normalized'!$A:$A, 0))), 0), 0)))</f>
        <v>-228</v>
      </c>
      <c r="AM44" s="6">
        <f>MIN(0, N44+(IFERROR(IF(25*INDEX('UA-normalized'!$D:$D, MATCH($A44, 'UA-normalized'!$A:$A, 0))-INDEX('UA-normalized'!$E:$E, MATCH($A44, 'UA-normalized'!$A:$A, 0))&gt;0, -(25*INDEX('UA-normalized'!$D:$D, MATCH($A44, 'UA-normalized'!$A:$A, 0))-INDEX('UA-normalized'!$E:$E, MATCH($A44, 'UA-normalized'!$A:$A, 0))), 0), 0))+(IFERROR(IF(25*INDEX('KZ-normalized'!$D:$D, MATCH($A44, 'KZ-normalized'!$A:$A, 0))-INDEX('KZ-normalized'!$E:$E, MATCH($A44, 'KZ-normalized'!$A:$A, 0))&gt;0, -(25*INDEX('KZ-normalized'!$D:$D, MATCH($A44, 'KZ-normalized'!$A:$A, 0))-INDEX('KZ-normalized'!$E:$E, MATCH($A44, 'KZ-normalized'!$A:$A, 0))), 0), 0))+(IFERROR(IF(25*INDEX('UZ-normalized'!$D:$D, MATCH($A44, 'UZ-normalized'!$A:$A, 0))-INDEX('UZ-normalized'!$E:$E, MATCH($A44, 'UZ-normalized'!$A:$A, 0))&gt;0, -(25*INDEX('UZ-normalized'!$D:$D, MATCH($A44, 'UZ-normalized'!$A:$A, 0))-INDEX('UZ-normalized'!$E:$E, MATCH($A44, 'UZ-normalized'!$A:$A, 0))), 0), 0)))</f>
        <v>-241.5</v>
      </c>
      <c r="AN44" s="6">
        <f>MIN(0, N44+(IFERROR(IF(26*INDEX('UA-normalized'!$D:$D, MATCH($A44, 'UA-normalized'!$A:$A, 0))-INDEX('UA-normalized'!$E:$E, MATCH($A44, 'UA-normalized'!$A:$A, 0))&gt;0, -(26*INDEX('UA-normalized'!$D:$D, MATCH($A44, 'UA-normalized'!$A:$A, 0))-INDEX('UA-normalized'!$E:$E, MATCH($A44, 'UA-normalized'!$A:$A, 0))), 0), 0))+(IFERROR(IF(26*INDEX('KZ-normalized'!$D:$D, MATCH($A44, 'KZ-normalized'!$A:$A, 0))-INDEX('KZ-normalized'!$E:$E, MATCH($A44, 'KZ-normalized'!$A:$A, 0))&gt;0, -(26*INDEX('KZ-normalized'!$D:$D, MATCH($A44, 'KZ-normalized'!$A:$A, 0))-INDEX('KZ-normalized'!$E:$E, MATCH($A44, 'KZ-normalized'!$A:$A, 0))), 0), 0))+(IFERROR(IF(26*INDEX('UZ-normalized'!$D:$D, MATCH($A44, 'UZ-normalized'!$A:$A, 0))-INDEX('UZ-normalized'!$E:$E, MATCH($A44, 'UZ-normalized'!$A:$A, 0))&gt;0, -(26*INDEX('UZ-normalized'!$D:$D, MATCH($A44, 'UZ-normalized'!$A:$A, 0))-INDEX('UZ-normalized'!$E:$E, MATCH($A44, 'UZ-normalized'!$A:$A, 0))), 0), 0)))</f>
        <v>-255</v>
      </c>
      <c r="AO44" s="6">
        <f>MIN(0, N44+(IFERROR(IF(27*INDEX('UA-normalized'!$D:$D, MATCH($A44, 'UA-normalized'!$A:$A, 0))-INDEX('UA-normalized'!$E:$E, MATCH($A44, 'UA-normalized'!$A:$A, 0))&gt;0, -(27*INDEX('UA-normalized'!$D:$D, MATCH($A44, 'UA-normalized'!$A:$A, 0))-INDEX('UA-normalized'!$E:$E, MATCH($A44, 'UA-normalized'!$A:$A, 0))), 0), 0))+(IFERROR(IF(27*INDEX('KZ-normalized'!$D:$D, MATCH($A44, 'KZ-normalized'!$A:$A, 0))-INDEX('KZ-normalized'!$E:$E, MATCH($A44, 'KZ-normalized'!$A:$A, 0))&gt;0, -(27*INDEX('KZ-normalized'!$D:$D, MATCH($A44, 'KZ-normalized'!$A:$A, 0))-INDEX('KZ-normalized'!$E:$E, MATCH($A44, 'KZ-normalized'!$A:$A, 0))), 0), 0))+(IFERROR(IF(27*INDEX('UZ-normalized'!$D:$D, MATCH($A44, 'UZ-normalized'!$A:$A, 0))-INDEX('UZ-normalized'!$E:$E, MATCH($A44, 'UZ-normalized'!$A:$A, 0))&gt;0, -(27*INDEX('UZ-normalized'!$D:$D, MATCH($A44, 'UZ-normalized'!$A:$A, 0))-INDEX('UZ-normalized'!$E:$E, MATCH($A44, 'UZ-normalized'!$A:$A, 0))), 0), 0)))</f>
        <v>-268.5</v>
      </c>
      <c r="AP44" s="6">
        <f>MIN(0, N44+(IFERROR(IF(28*INDEX('UA-normalized'!$D:$D, MATCH($A44, 'UA-normalized'!$A:$A, 0))-INDEX('UA-normalized'!$E:$E, MATCH($A44, 'UA-normalized'!$A:$A, 0))&gt;0, -(28*INDEX('UA-normalized'!$D:$D, MATCH($A44, 'UA-normalized'!$A:$A, 0))-INDEX('UA-normalized'!$E:$E, MATCH($A44, 'UA-normalized'!$A:$A, 0))), 0), 0))+(IFERROR(IF(28*INDEX('KZ-normalized'!$D:$D, MATCH($A44, 'KZ-normalized'!$A:$A, 0))-INDEX('KZ-normalized'!$E:$E, MATCH($A44, 'KZ-normalized'!$A:$A, 0))&gt;0, -(28*INDEX('KZ-normalized'!$D:$D, MATCH($A44, 'KZ-normalized'!$A:$A, 0))-INDEX('KZ-normalized'!$E:$E, MATCH($A44, 'KZ-normalized'!$A:$A, 0))), 0), 0))+(IFERROR(IF(28*INDEX('UZ-normalized'!$D:$D, MATCH($A44, 'UZ-normalized'!$A:$A, 0))-INDEX('UZ-normalized'!$E:$E, MATCH($A44, 'UZ-normalized'!$A:$A, 0))&gt;0, -(28*INDEX('UZ-normalized'!$D:$D, MATCH($A44, 'UZ-normalized'!$A:$A, 0))-INDEX('UZ-normalized'!$E:$E, MATCH($A44, 'UZ-normalized'!$A:$A, 0))), 0), 0)))</f>
        <v>-282</v>
      </c>
      <c r="AQ44" s="6">
        <f>MIN(0, N44+(IFERROR(IF(29*INDEX('UA-normalized'!$D:$D, MATCH($A44, 'UA-normalized'!$A:$A, 0))-INDEX('UA-normalized'!$E:$E, MATCH($A44, 'UA-normalized'!$A:$A, 0))&gt;0, -(29*INDEX('UA-normalized'!$D:$D, MATCH($A44, 'UA-normalized'!$A:$A, 0))-INDEX('UA-normalized'!$E:$E, MATCH($A44, 'UA-normalized'!$A:$A, 0))), 0), 0))+(IFERROR(IF(29*INDEX('KZ-normalized'!$D:$D, MATCH($A44, 'KZ-normalized'!$A:$A, 0))-INDEX('KZ-normalized'!$E:$E, MATCH($A44, 'KZ-normalized'!$A:$A, 0))&gt;0, -(29*INDEX('KZ-normalized'!$D:$D, MATCH($A44, 'KZ-normalized'!$A:$A, 0))-INDEX('KZ-normalized'!$E:$E, MATCH($A44, 'KZ-normalized'!$A:$A, 0))), 0), 0))+(IFERROR(IF(29*INDEX('UZ-normalized'!$D:$D, MATCH($A44, 'UZ-normalized'!$A:$A, 0))-INDEX('UZ-normalized'!$E:$E, MATCH($A44, 'UZ-normalized'!$A:$A, 0))&gt;0, -(29*INDEX('UZ-normalized'!$D:$D, MATCH($A44, 'UZ-normalized'!$A:$A, 0))-INDEX('UZ-normalized'!$E:$E, MATCH($A44, 'UZ-normalized'!$A:$A, 0))), 0), 0)))</f>
        <v>-295.5</v>
      </c>
      <c r="AR44" s="6">
        <f>MIN(0, N44+(IFERROR(IF(30*INDEX('UA-normalized'!$D:$D, MATCH($A44, 'UA-normalized'!$A:$A, 0))-INDEX('UA-normalized'!$E:$E, MATCH($A44, 'UA-normalized'!$A:$A, 0))&gt;0, -(30*INDEX('UA-normalized'!$D:$D, MATCH($A44, 'UA-normalized'!$A:$A, 0))-INDEX('UA-normalized'!$E:$E, MATCH($A44, 'UA-normalized'!$A:$A, 0))), 0), 0))+(IFERROR(IF(30*INDEX('KZ-normalized'!$D:$D, MATCH($A44, 'KZ-normalized'!$A:$A, 0))-INDEX('KZ-normalized'!$E:$E, MATCH($A44, 'KZ-normalized'!$A:$A, 0))&gt;0, -(30*INDEX('KZ-normalized'!$D:$D, MATCH($A44, 'KZ-normalized'!$A:$A, 0))-INDEX('KZ-normalized'!$E:$E, MATCH($A44, 'KZ-normalized'!$A:$A, 0))), 0), 0))+(IFERROR(IF(30*INDEX('UZ-normalized'!$D:$D, MATCH($A44, 'UZ-normalized'!$A:$A, 0))-INDEX('UZ-normalized'!$E:$E, MATCH($A44, 'UZ-normalized'!$A:$A, 0))&gt;0, -(30*INDEX('UZ-normalized'!$D:$D, MATCH($A44, 'UZ-normalized'!$A:$A, 0))-INDEX('UZ-normalized'!$E:$E, MATCH($A44, 'UZ-normalized'!$A:$A, 0))), 0), 0)))</f>
        <v>-309</v>
      </c>
    </row>
    <row r="45" spans="1:44" x14ac:dyDescent="0.25">
      <c r="A45" s="8" t="s">
        <v>134</v>
      </c>
      <c r="B45" s="8" t="s">
        <v>83</v>
      </c>
      <c r="C45" s="8" t="s">
        <v>128</v>
      </c>
      <c r="D45" s="8" t="s">
        <v>135</v>
      </c>
      <c r="E45">
        <v>2987.5</v>
      </c>
      <c r="I45">
        <v>2000</v>
      </c>
      <c r="N45">
        <f t="shared" si="0"/>
        <v>4987.5</v>
      </c>
      <c r="O45" s="6">
        <f>MIN(0, N45+(IFERROR(IF(1*INDEX('UA-normalized'!$D:$D, MATCH($A45, 'UA-normalized'!$A:$A, 0))-INDEX('UA-normalized'!$E:$E, MATCH($A45, 'UA-normalized'!$A:$A, 0))&gt;0, -(1*INDEX('UA-normalized'!$D:$D, MATCH($A45, 'UA-normalized'!$A:$A, 0))-INDEX('UA-normalized'!$E:$E, MATCH($A45, 'UA-normalized'!$A:$A, 0))), 0), 0))+(IFERROR(IF(1*INDEX('KZ-normalized'!$D:$D, MATCH($A45, 'KZ-normalized'!$A:$A, 0))-INDEX('KZ-normalized'!$E:$E, MATCH($A45, 'KZ-normalized'!$A:$A, 0))&gt;0, -(1*INDEX('KZ-normalized'!$D:$D, MATCH($A45, 'KZ-normalized'!$A:$A, 0))-INDEX('KZ-normalized'!$E:$E, MATCH($A45, 'KZ-normalized'!$A:$A, 0))), 0), 0))+(IFERROR(IF(1*INDEX('UZ-normalized'!$D:$D, MATCH($A45, 'UZ-normalized'!$A:$A, 0))-INDEX('UZ-normalized'!$E:$E, MATCH($A45, 'UZ-normalized'!$A:$A, 0))&gt;0, -(1*INDEX('UZ-normalized'!$D:$D, MATCH($A45, 'UZ-normalized'!$A:$A, 0))-INDEX('UZ-normalized'!$E:$E, MATCH($A45, 'UZ-normalized'!$A:$A, 0))), 0), 0)))</f>
        <v>0</v>
      </c>
      <c r="P45" s="6">
        <f>MIN(0, N45+(IFERROR(IF(2*INDEX('UA-normalized'!$D:$D, MATCH($A45, 'UA-normalized'!$A:$A, 0))-INDEX('UA-normalized'!$E:$E, MATCH($A45, 'UA-normalized'!$A:$A, 0))&gt;0, -(2*INDEX('UA-normalized'!$D:$D, MATCH($A45, 'UA-normalized'!$A:$A, 0))-INDEX('UA-normalized'!$E:$E, MATCH($A45, 'UA-normalized'!$A:$A, 0))), 0), 0))+(IFERROR(IF(2*INDEX('KZ-normalized'!$D:$D, MATCH($A45, 'KZ-normalized'!$A:$A, 0))-INDEX('KZ-normalized'!$E:$E, MATCH($A45, 'KZ-normalized'!$A:$A, 0))&gt;0, -(2*INDEX('KZ-normalized'!$D:$D, MATCH($A45, 'KZ-normalized'!$A:$A, 0))-INDEX('KZ-normalized'!$E:$E, MATCH($A45, 'KZ-normalized'!$A:$A, 0))), 0), 0))+(IFERROR(IF(2*INDEX('UZ-normalized'!$D:$D, MATCH($A45, 'UZ-normalized'!$A:$A, 0))-INDEX('UZ-normalized'!$E:$E, MATCH($A45, 'UZ-normalized'!$A:$A, 0))&gt;0, -(2*INDEX('UZ-normalized'!$D:$D, MATCH($A45, 'UZ-normalized'!$A:$A, 0))-INDEX('UZ-normalized'!$E:$E, MATCH($A45, 'UZ-normalized'!$A:$A, 0))), 0), 0)))</f>
        <v>0</v>
      </c>
      <c r="Q45" s="6">
        <f>MIN(0, N45+(IFERROR(IF(3*INDEX('UA-normalized'!$D:$D, MATCH($A45, 'UA-normalized'!$A:$A, 0))-INDEX('UA-normalized'!$E:$E, MATCH($A45, 'UA-normalized'!$A:$A, 0))&gt;0, -(3*INDEX('UA-normalized'!$D:$D, MATCH($A45, 'UA-normalized'!$A:$A, 0))-INDEX('UA-normalized'!$E:$E, MATCH($A45, 'UA-normalized'!$A:$A, 0))), 0), 0))+(IFERROR(IF(3*INDEX('KZ-normalized'!$D:$D, MATCH($A45, 'KZ-normalized'!$A:$A, 0))-INDEX('KZ-normalized'!$E:$E, MATCH($A45, 'KZ-normalized'!$A:$A, 0))&gt;0, -(3*INDEX('KZ-normalized'!$D:$D, MATCH($A45, 'KZ-normalized'!$A:$A, 0))-INDEX('KZ-normalized'!$E:$E, MATCH($A45, 'KZ-normalized'!$A:$A, 0))), 0), 0))+(IFERROR(IF(3*INDEX('UZ-normalized'!$D:$D, MATCH($A45, 'UZ-normalized'!$A:$A, 0))-INDEX('UZ-normalized'!$E:$E, MATCH($A45, 'UZ-normalized'!$A:$A, 0))&gt;0, -(3*INDEX('UZ-normalized'!$D:$D, MATCH($A45, 'UZ-normalized'!$A:$A, 0))-INDEX('UZ-normalized'!$E:$E, MATCH($A45, 'UZ-normalized'!$A:$A, 0))), 0), 0)))</f>
        <v>0</v>
      </c>
      <c r="R45" s="6">
        <f>MIN(0, N45+(IFERROR(IF(4*INDEX('UA-normalized'!$D:$D, MATCH($A45, 'UA-normalized'!$A:$A, 0))-INDEX('UA-normalized'!$E:$E, MATCH($A45, 'UA-normalized'!$A:$A, 0))&gt;0, -(4*INDEX('UA-normalized'!$D:$D, MATCH($A45, 'UA-normalized'!$A:$A, 0))-INDEX('UA-normalized'!$E:$E, MATCH($A45, 'UA-normalized'!$A:$A, 0))), 0), 0))+(IFERROR(IF(4*INDEX('KZ-normalized'!$D:$D, MATCH($A45, 'KZ-normalized'!$A:$A, 0))-INDEX('KZ-normalized'!$E:$E, MATCH($A45, 'KZ-normalized'!$A:$A, 0))&gt;0, -(4*INDEX('KZ-normalized'!$D:$D, MATCH($A45, 'KZ-normalized'!$A:$A, 0))-INDEX('KZ-normalized'!$E:$E, MATCH($A45, 'KZ-normalized'!$A:$A, 0))), 0), 0))+(IFERROR(IF(4*INDEX('UZ-normalized'!$D:$D, MATCH($A45, 'UZ-normalized'!$A:$A, 0))-INDEX('UZ-normalized'!$E:$E, MATCH($A45, 'UZ-normalized'!$A:$A, 0))&gt;0, -(4*INDEX('UZ-normalized'!$D:$D, MATCH($A45, 'UZ-normalized'!$A:$A, 0))-INDEX('UZ-normalized'!$E:$E, MATCH($A45, 'UZ-normalized'!$A:$A, 0))), 0), 0)))</f>
        <v>0</v>
      </c>
      <c r="S45" s="6">
        <f>MIN(0, N45+(IFERROR(IF(5*INDEX('UA-normalized'!$D:$D, MATCH($A45, 'UA-normalized'!$A:$A, 0))-INDEX('UA-normalized'!$E:$E, MATCH($A45, 'UA-normalized'!$A:$A, 0))&gt;0, -(5*INDEX('UA-normalized'!$D:$D, MATCH($A45, 'UA-normalized'!$A:$A, 0))-INDEX('UA-normalized'!$E:$E, MATCH($A45, 'UA-normalized'!$A:$A, 0))), 0), 0))+(IFERROR(IF(5*INDEX('KZ-normalized'!$D:$D, MATCH($A45, 'KZ-normalized'!$A:$A, 0))-INDEX('KZ-normalized'!$E:$E, MATCH($A45, 'KZ-normalized'!$A:$A, 0))&gt;0, -(5*INDEX('KZ-normalized'!$D:$D, MATCH($A45, 'KZ-normalized'!$A:$A, 0))-INDEX('KZ-normalized'!$E:$E, MATCH($A45, 'KZ-normalized'!$A:$A, 0))), 0), 0))+(IFERROR(IF(5*INDEX('UZ-normalized'!$D:$D, MATCH($A45, 'UZ-normalized'!$A:$A, 0))-INDEX('UZ-normalized'!$E:$E, MATCH($A45, 'UZ-normalized'!$A:$A, 0))&gt;0, -(5*INDEX('UZ-normalized'!$D:$D, MATCH($A45, 'UZ-normalized'!$A:$A, 0))-INDEX('UZ-normalized'!$E:$E, MATCH($A45, 'UZ-normalized'!$A:$A, 0))), 0), 0)))</f>
        <v>0</v>
      </c>
      <c r="T45" s="6">
        <f>MIN(0, N45+(IFERROR(IF(6*INDEX('UA-normalized'!$D:$D, MATCH($A45, 'UA-normalized'!$A:$A, 0))-INDEX('UA-normalized'!$E:$E, MATCH($A45, 'UA-normalized'!$A:$A, 0))&gt;0, -(6*INDEX('UA-normalized'!$D:$D, MATCH($A45, 'UA-normalized'!$A:$A, 0))-INDEX('UA-normalized'!$E:$E, MATCH($A45, 'UA-normalized'!$A:$A, 0))), 0), 0))+(IFERROR(IF(6*INDEX('KZ-normalized'!$D:$D, MATCH($A45, 'KZ-normalized'!$A:$A, 0))-INDEX('KZ-normalized'!$E:$E, MATCH($A45, 'KZ-normalized'!$A:$A, 0))&gt;0, -(6*INDEX('KZ-normalized'!$D:$D, MATCH($A45, 'KZ-normalized'!$A:$A, 0))-INDEX('KZ-normalized'!$E:$E, MATCH($A45, 'KZ-normalized'!$A:$A, 0))), 0), 0))+(IFERROR(IF(6*INDEX('UZ-normalized'!$D:$D, MATCH($A45, 'UZ-normalized'!$A:$A, 0))-INDEX('UZ-normalized'!$E:$E, MATCH($A45, 'UZ-normalized'!$A:$A, 0))&gt;0, -(6*INDEX('UZ-normalized'!$D:$D, MATCH($A45, 'UZ-normalized'!$A:$A, 0))-INDEX('UZ-normalized'!$E:$E, MATCH($A45, 'UZ-normalized'!$A:$A, 0))), 0), 0)))</f>
        <v>0</v>
      </c>
      <c r="U45" s="6">
        <f>MIN(0, N45+(IFERROR(IF(7*INDEX('UA-normalized'!$D:$D, MATCH($A45, 'UA-normalized'!$A:$A, 0))-INDEX('UA-normalized'!$E:$E, MATCH($A45, 'UA-normalized'!$A:$A, 0))&gt;0, -(7*INDEX('UA-normalized'!$D:$D, MATCH($A45, 'UA-normalized'!$A:$A, 0))-INDEX('UA-normalized'!$E:$E, MATCH($A45, 'UA-normalized'!$A:$A, 0))), 0), 0))+(IFERROR(IF(7*INDEX('KZ-normalized'!$D:$D, MATCH($A45, 'KZ-normalized'!$A:$A, 0))-INDEX('KZ-normalized'!$E:$E, MATCH($A45, 'KZ-normalized'!$A:$A, 0))&gt;0, -(7*INDEX('KZ-normalized'!$D:$D, MATCH($A45, 'KZ-normalized'!$A:$A, 0))-INDEX('KZ-normalized'!$E:$E, MATCH($A45, 'KZ-normalized'!$A:$A, 0))), 0), 0))+(IFERROR(IF(7*INDEX('UZ-normalized'!$D:$D, MATCH($A45, 'UZ-normalized'!$A:$A, 0))-INDEX('UZ-normalized'!$E:$E, MATCH($A45, 'UZ-normalized'!$A:$A, 0))&gt;0, -(7*INDEX('UZ-normalized'!$D:$D, MATCH($A45, 'UZ-normalized'!$A:$A, 0))-INDEX('UZ-normalized'!$E:$E, MATCH($A45, 'UZ-normalized'!$A:$A, 0))), 0), 0)))</f>
        <v>-778.5</v>
      </c>
      <c r="V45" s="6">
        <f>MIN(0, N45+(IFERROR(IF(8*INDEX('UA-normalized'!$D:$D, MATCH($A45, 'UA-normalized'!$A:$A, 0))-INDEX('UA-normalized'!$E:$E, MATCH($A45, 'UA-normalized'!$A:$A, 0))&gt;0, -(8*INDEX('UA-normalized'!$D:$D, MATCH($A45, 'UA-normalized'!$A:$A, 0))-INDEX('UA-normalized'!$E:$E, MATCH($A45, 'UA-normalized'!$A:$A, 0))), 0), 0))+(IFERROR(IF(8*INDEX('KZ-normalized'!$D:$D, MATCH($A45, 'KZ-normalized'!$A:$A, 0))-INDEX('KZ-normalized'!$E:$E, MATCH($A45, 'KZ-normalized'!$A:$A, 0))&gt;0, -(8*INDEX('KZ-normalized'!$D:$D, MATCH($A45, 'KZ-normalized'!$A:$A, 0))-INDEX('KZ-normalized'!$E:$E, MATCH($A45, 'KZ-normalized'!$A:$A, 0))), 0), 0))+(IFERROR(IF(8*INDEX('UZ-normalized'!$D:$D, MATCH($A45, 'UZ-normalized'!$A:$A, 0))-INDEX('UZ-normalized'!$E:$E, MATCH($A45, 'UZ-normalized'!$A:$A, 0))&gt;0, -(8*INDEX('UZ-normalized'!$D:$D, MATCH($A45, 'UZ-normalized'!$A:$A, 0))-INDEX('UZ-normalized'!$E:$E, MATCH($A45, 'UZ-normalized'!$A:$A, 0))), 0), 0)))</f>
        <v>-2047.5</v>
      </c>
      <c r="W45" s="6">
        <f>MIN(0, N45+(IFERROR(IF(9*INDEX('UA-normalized'!$D:$D, MATCH($A45, 'UA-normalized'!$A:$A, 0))-INDEX('UA-normalized'!$E:$E, MATCH($A45, 'UA-normalized'!$A:$A, 0))&gt;0, -(9*INDEX('UA-normalized'!$D:$D, MATCH($A45, 'UA-normalized'!$A:$A, 0))-INDEX('UA-normalized'!$E:$E, MATCH($A45, 'UA-normalized'!$A:$A, 0))), 0), 0))+(IFERROR(IF(9*INDEX('KZ-normalized'!$D:$D, MATCH($A45, 'KZ-normalized'!$A:$A, 0))-INDEX('KZ-normalized'!$E:$E, MATCH($A45, 'KZ-normalized'!$A:$A, 0))&gt;0, -(9*INDEX('KZ-normalized'!$D:$D, MATCH($A45, 'KZ-normalized'!$A:$A, 0))-INDEX('KZ-normalized'!$E:$E, MATCH($A45, 'KZ-normalized'!$A:$A, 0))), 0), 0))+(IFERROR(IF(9*INDEX('UZ-normalized'!$D:$D, MATCH($A45, 'UZ-normalized'!$A:$A, 0))-INDEX('UZ-normalized'!$E:$E, MATCH($A45, 'UZ-normalized'!$A:$A, 0))&gt;0, -(9*INDEX('UZ-normalized'!$D:$D, MATCH($A45, 'UZ-normalized'!$A:$A, 0))-INDEX('UZ-normalized'!$E:$E, MATCH($A45, 'UZ-normalized'!$A:$A, 0))), 0), 0)))</f>
        <v>-3316.5</v>
      </c>
      <c r="X45" s="6">
        <f>MIN(0, N45+(IFERROR(IF(10*INDEX('UA-normalized'!$D:$D, MATCH($A45, 'UA-normalized'!$A:$A, 0))-INDEX('UA-normalized'!$E:$E, MATCH($A45, 'UA-normalized'!$A:$A, 0))&gt;0, -(10*INDEX('UA-normalized'!$D:$D, MATCH($A45, 'UA-normalized'!$A:$A, 0))-INDEX('UA-normalized'!$E:$E, MATCH($A45, 'UA-normalized'!$A:$A, 0))), 0), 0))+(IFERROR(IF(10*INDEX('KZ-normalized'!$D:$D, MATCH($A45, 'KZ-normalized'!$A:$A, 0))-INDEX('KZ-normalized'!$E:$E, MATCH($A45, 'KZ-normalized'!$A:$A, 0))&gt;0, -(10*INDEX('KZ-normalized'!$D:$D, MATCH($A45, 'KZ-normalized'!$A:$A, 0))-INDEX('KZ-normalized'!$E:$E, MATCH($A45, 'KZ-normalized'!$A:$A, 0))), 0), 0))+(IFERROR(IF(10*INDEX('UZ-normalized'!$D:$D, MATCH($A45, 'UZ-normalized'!$A:$A, 0))-INDEX('UZ-normalized'!$E:$E, MATCH($A45, 'UZ-normalized'!$A:$A, 0))&gt;0, -(10*INDEX('UZ-normalized'!$D:$D, MATCH($A45, 'UZ-normalized'!$A:$A, 0))-INDEX('UZ-normalized'!$E:$E, MATCH($A45, 'UZ-normalized'!$A:$A, 0))), 0), 0)))</f>
        <v>-4585.5</v>
      </c>
      <c r="Y45" s="6">
        <f>MIN(0, N45+(IFERROR(IF(11*INDEX('UA-normalized'!$D:$D, MATCH($A45, 'UA-normalized'!$A:$A, 0))-INDEX('UA-normalized'!$E:$E, MATCH($A45, 'UA-normalized'!$A:$A, 0))&gt;0, -(11*INDEX('UA-normalized'!$D:$D, MATCH($A45, 'UA-normalized'!$A:$A, 0))-INDEX('UA-normalized'!$E:$E, MATCH($A45, 'UA-normalized'!$A:$A, 0))), 0), 0))+(IFERROR(IF(11*INDEX('KZ-normalized'!$D:$D, MATCH($A45, 'KZ-normalized'!$A:$A, 0))-INDEX('KZ-normalized'!$E:$E, MATCH($A45, 'KZ-normalized'!$A:$A, 0))&gt;0, -(11*INDEX('KZ-normalized'!$D:$D, MATCH($A45, 'KZ-normalized'!$A:$A, 0))-INDEX('KZ-normalized'!$E:$E, MATCH($A45, 'KZ-normalized'!$A:$A, 0))), 0), 0))+(IFERROR(IF(11*INDEX('UZ-normalized'!$D:$D, MATCH($A45, 'UZ-normalized'!$A:$A, 0))-INDEX('UZ-normalized'!$E:$E, MATCH($A45, 'UZ-normalized'!$A:$A, 0))&gt;0, -(11*INDEX('UZ-normalized'!$D:$D, MATCH($A45, 'UZ-normalized'!$A:$A, 0))-INDEX('UZ-normalized'!$E:$E, MATCH($A45, 'UZ-normalized'!$A:$A, 0))), 0), 0)))</f>
        <v>-5854.5</v>
      </c>
      <c r="Z45" s="6">
        <f>MIN(0, N45+(IFERROR(IF(12*INDEX('UA-normalized'!$D:$D, MATCH($A45, 'UA-normalized'!$A:$A, 0))-INDEX('UA-normalized'!$E:$E, MATCH($A45, 'UA-normalized'!$A:$A, 0))&gt;0, -(12*INDEX('UA-normalized'!$D:$D, MATCH($A45, 'UA-normalized'!$A:$A, 0))-INDEX('UA-normalized'!$E:$E, MATCH($A45, 'UA-normalized'!$A:$A, 0))), 0), 0))+(IFERROR(IF(12*INDEX('KZ-normalized'!$D:$D, MATCH($A45, 'KZ-normalized'!$A:$A, 0))-INDEX('KZ-normalized'!$E:$E, MATCH($A45, 'KZ-normalized'!$A:$A, 0))&gt;0, -(12*INDEX('KZ-normalized'!$D:$D, MATCH($A45, 'KZ-normalized'!$A:$A, 0))-INDEX('KZ-normalized'!$E:$E, MATCH($A45, 'KZ-normalized'!$A:$A, 0))), 0), 0))+(IFERROR(IF(12*INDEX('UZ-normalized'!$D:$D, MATCH($A45, 'UZ-normalized'!$A:$A, 0))-INDEX('UZ-normalized'!$E:$E, MATCH($A45, 'UZ-normalized'!$A:$A, 0))&gt;0, -(12*INDEX('UZ-normalized'!$D:$D, MATCH($A45, 'UZ-normalized'!$A:$A, 0))-INDEX('UZ-normalized'!$E:$E, MATCH($A45, 'UZ-normalized'!$A:$A, 0))), 0), 0)))</f>
        <v>-7123.5</v>
      </c>
      <c r="AA45" s="6">
        <f>MIN(0, N45+(IFERROR(IF(13*INDEX('UA-normalized'!$D:$D, MATCH($A45, 'UA-normalized'!$A:$A, 0))-INDEX('UA-normalized'!$E:$E, MATCH($A45, 'UA-normalized'!$A:$A, 0))&gt;0, -(13*INDEX('UA-normalized'!$D:$D, MATCH($A45, 'UA-normalized'!$A:$A, 0))-INDEX('UA-normalized'!$E:$E, MATCH($A45, 'UA-normalized'!$A:$A, 0))), 0), 0))+(IFERROR(IF(13*INDEX('KZ-normalized'!$D:$D, MATCH($A45, 'KZ-normalized'!$A:$A, 0))-INDEX('KZ-normalized'!$E:$E, MATCH($A45, 'KZ-normalized'!$A:$A, 0))&gt;0, -(13*INDEX('KZ-normalized'!$D:$D, MATCH($A45, 'KZ-normalized'!$A:$A, 0))-INDEX('KZ-normalized'!$E:$E, MATCH($A45, 'KZ-normalized'!$A:$A, 0))), 0), 0))+(IFERROR(IF(13*INDEX('UZ-normalized'!$D:$D, MATCH($A45, 'UZ-normalized'!$A:$A, 0))-INDEX('UZ-normalized'!$E:$E, MATCH($A45, 'UZ-normalized'!$A:$A, 0))&gt;0, -(13*INDEX('UZ-normalized'!$D:$D, MATCH($A45, 'UZ-normalized'!$A:$A, 0))-INDEX('UZ-normalized'!$E:$E, MATCH($A45, 'UZ-normalized'!$A:$A, 0))), 0), 0)))</f>
        <v>-8392.5</v>
      </c>
      <c r="AB45" s="6">
        <f>MIN(0, N45+(IFERROR(IF(14*INDEX('UA-normalized'!$D:$D, MATCH($A45, 'UA-normalized'!$A:$A, 0))-INDEX('UA-normalized'!$E:$E, MATCH($A45, 'UA-normalized'!$A:$A, 0))&gt;0, -(14*INDEX('UA-normalized'!$D:$D, MATCH($A45, 'UA-normalized'!$A:$A, 0))-INDEX('UA-normalized'!$E:$E, MATCH($A45, 'UA-normalized'!$A:$A, 0))), 0), 0))+(IFERROR(IF(14*INDEX('KZ-normalized'!$D:$D, MATCH($A45, 'KZ-normalized'!$A:$A, 0))-INDEX('KZ-normalized'!$E:$E, MATCH($A45, 'KZ-normalized'!$A:$A, 0))&gt;0, -(14*INDEX('KZ-normalized'!$D:$D, MATCH($A45, 'KZ-normalized'!$A:$A, 0))-INDEX('KZ-normalized'!$E:$E, MATCH($A45, 'KZ-normalized'!$A:$A, 0))), 0), 0))+(IFERROR(IF(14*INDEX('UZ-normalized'!$D:$D, MATCH($A45, 'UZ-normalized'!$A:$A, 0))-INDEX('UZ-normalized'!$E:$E, MATCH($A45, 'UZ-normalized'!$A:$A, 0))&gt;0, -(14*INDEX('UZ-normalized'!$D:$D, MATCH($A45, 'UZ-normalized'!$A:$A, 0))-INDEX('UZ-normalized'!$E:$E, MATCH($A45, 'UZ-normalized'!$A:$A, 0))), 0), 0)))</f>
        <v>-9661.5</v>
      </c>
      <c r="AC45" s="6">
        <f>MIN(0, N45+(IFERROR(IF(15*INDEX('UA-normalized'!$D:$D, MATCH($A45, 'UA-normalized'!$A:$A, 0))-INDEX('UA-normalized'!$E:$E, MATCH($A45, 'UA-normalized'!$A:$A, 0))&gt;0, -(15*INDEX('UA-normalized'!$D:$D, MATCH($A45, 'UA-normalized'!$A:$A, 0))-INDEX('UA-normalized'!$E:$E, MATCH($A45, 'UA-normalized'!$A:$A, 0))), 0), 0))+(IFERROR(IF(15*INDEX('KZ-normalized'!$D:$D, MATCH($A45, 'KZ-normalized'!$A:$A, 0))-INDEX('KZ-normalized'!$E:$E, MATCH($A45, 'KZ-normalized'!$A:$A, 0))&gt;0, -(15*INDEX('KZ-normalized'!$D:$D, MATCH($A45, 'KZ-normalized'!$A:$A, 0))-INDEX('KZ-normalized'!$E:$E, MATCH($A45, 'KZ-normalized'!$A:$A, 0))), 0), 0))+(IFERROR(IF(15*INDEX('UZ-normalized'!$D:$D, MATCH($A45, 'UZ-normalized'!$A:$A, 0))-INDEX('UZ-normalized'!$E:$E, MATCH($A45, 'UZ-normalized'!$A:$A, 0))&gt;0, -(15*INDEX('UZ-normalized'!$D:$D, MATCH($A45, 'UZ-normalized'!$A:$A, 0))-INDEX('UZ-normalized'!$E:$E, MATCH($A45, 'UZ-normalized'!$A:$A, 0))), 0), 0)))</f>
        <v>-10930.5</v>
      </c>
      <c r="AD45" s="6">
        <f>MIN(0, N45+(IFERROR(IF(16*INDEX('UA-normalized'!$D:$D, MATCH($A45, 'UA-normalized'!$A:$A, 0))-INDEX('UA-normalized'!$E:$E, MATCH($A45, 'UA-normalized'!$A:$A, 0))&gt;0, -(16*INDEX('UA-normalized'!$D:$D, MATCH($A45, 'UA-normalized'!$A:$A, 0))-INDEX('UA-normalized'!$E:$E, MATCH($A45, 'UA-normalized'!$A:$A, 0))), 0), 0))+(IFERROR(IF(16*INDEX('KZ-normalized'!$D:$D, MATCH($A45, 'KZ-normalized'!$A:$A, 0))-INDEX('KZ-normalized'!$E:$E, MATCH($A45, 'KZ-normalized'!$A:$A, 0))&gt;0, -(16*INDEX('KZ-normalized'!$D:$D, MATCH($A45, 'KZ-normalized'!$A:$A, 0))-INDEX('KZ-normalized'!$E:$E, MATCH($A45, 'KZ-normalized'!$A:$A, 0))), 0), 0))+(IFERROR(IF(16*INDEX('UZ-normalized'!$D:$D, MATCH($A45, 'UZ-normalized'!$A:$A, 0))-INDEX('UZ-normalized'!$E:$E, MATCH($A45, 'UZ-normalized'!$A:$A, 0))&gt;0, -(16*INDEX('UZ-normalized'!$D:$D, MATCH($A45, 'UZ-normalized'!$A:$A, 0))-INDEX('UZ-normalized'!$E:$E, MATCH($A45, 'UZ-normalized'!$A:$A, 0))), 0), 0)))</f>
        <v>-12199.5</v>
      </c>
      <c r="AE45" s="6">
        <f>MIN(0, N45+(IFERROR(IF(17*INDEX('UA-normalized'!$D:$D, MATCH($A45, 'UA-normalized'!$A:$A, 0))-INDEX('UA-normalized'!$E:$E, MATCH($A45, 'UA-normalized'!$A:$A, 0))&gt;0, -(17*INDEX('UA-normalized'!$D:$D, MATCH($A45, 'UA-normalized'!$A:$A, 0))-INDEX('UA-normalized'!$E:$E, MATCH($A45, 'UA-normalized'!$A:$A, 0))), 0), 0))+(IFERROR(IF(17*INDEX('KZ-normalized'!$D:$D, MATCH($A45, 'KZ-normalized'!$A:$A, 0))-INDEX('KZ-normalized'!$E:$E, MATCH($A45, 'KZ-normalized'!$A:$A, 0))&gt;0, -(17*INDEX('KZ-normalized'!$D:$D, MATCH($A45, 'KZ-normalized'!$A:$A, 0))-INDEX('KZ-normalized'!$E:$E, MATCH($A45, 'KZ-normalized'!$A:$A, 0))), 0), 0))+(IFERROR(IF(17*INDEX('UZ-normalized'!$D:$D, MATCH($A45, 'UZ-normalized'!$A:$A, 0))-INDEX('UZ-normalized'!$E:$E, MATCH($A45, 'UZ-normalized'!$A:$A, 0))&gt;0, -(17*INDEX('UZ-normalized'!$D:$D, MATCH($A45, 'UZ-normalized'!$A:$A, 0))-INDEX('UZ-normalized'!$E:$E, MATCH($A45, 'UZ-normalized'!$A:$A, 0))), 0), 0)))</f>
        <v>-13468.5</v>
      </c>
      <c r="AF45" s="6">
        <f>MIN(0, N45+(IFERROR(IF(18*INDEX('UA-normalized'!$D:$D, MATCH($A45, 'UA-normalized'!$A:$A, 0))-INDEX('UA-normalized'!$E:$E, MATCH($A45, 'UA-normalized'!$A:$A, 0))&gt;0, -(18*INDEX('UA-normalized'!$D:$D, MATCH($A45, 'UA-normalized'!$A:$A, 0))-INDEX('UA-normalized'!$E:$E, MATCH($A45, 'UA-normalized'!$A:$A, 0))), 0), 0))+(IFERROR(IF(18*INDEX('KZ-normalized'!$D:$D, MATCH($A45, 'KZ-normalized'!$A:$A, 0))-INDEX('KZ-normalized'!$E:$E, MATCH($A45, 'KZ-normalized'!$A:$A, 0))&gt;0, -(18*INDEX('KZ-normalized'!$D:$D, MATCH($A45, 'KZ-normalized'!$A:$A, 0))-INDEX('KZ-normalized'!$E:$E, MATCH($A45, 'KZ-normalized'!$A:$A, 0))), 0), 0))+(IFERROR(IF(18*INDEX('UZ-normalized'!$D:$D, MATCH($A45, 'UZ-normalized'!$A:$A, 0))-INDEX('UZ-normalized'!$E:$E, MATCH($A45, 'UZ-normalized'!$A:$A, 0))&gt;0, -(18*INDEX('UZ-normalized'!$D:$D, MATCH($A45, 'UZ-normalized'!$A:$A, 0))-INDEX('UZ-normalized'!$E:$E, MATCH($A45, 'UZ-normalized'!$A:$A, 0))), 0), 0)))</f>
        <v>-14737.5</v>
      </c>
      <c r="AG45" s="6">
        <f>MIN(0, N45+(IFERROR(IF(19*INDEX('UA-normalized'!$D:$D, MATCH($A45, 'UA-normalized'!$A:$A, 0))-INDEX('UA-normalized'!$E:$E, MATCH($A45, 'UA-normalized'!$A:$A, 0))&gt;0, -(19*INDEX('UA-normalized'!$D:$D, MATCH($A45, 'UA-normalized'!$A:$A, 0))-INDEX('UA-normalized'!$E:$E, MATCH($A45, 'UA-normalized'!$A:$A, 0))), 0), 0))+(IFERROR(IF(19*INDEX('KZ-normalized'!$D:$D, MATCH($A45, 'KZ-normalized'!$A:$A, 0))-INDEX('KZ-normalized'!$E:$E, MATCH($A45, 'KZ-normalized'!$A:$A, 0))&gt;0, -(19*INDEX('KZ-normalized'!$D:$D, MATCH($A45, 'KZ-normalized'!$A:$A, 0))-INDEX('KZ-normalized'!$E:$E, MATCH($A45, 'KZ-normalized'!$A:$A, 0))), 0), 0))+(IFERROR(IF(19*INDEX('UZ-normalized'!$D:$D, MATCH($A45, 'UZ-normalized'!$A:$A, 0))-INDEX('UZ-normalized'!$E:$E, MATCH($A45, 'UZ-normalized'!$A:$A, 0))&gt;0, -(19*INDEX('UZ-normalized'!$D:$D, MATCH($A45, 'UZ-normalized'!$A:$A, 0))-INDEX('UZ-normalized'!$E:$E, MATCH($A45, 'UZ-normalized'!$A:$A, 0))), 0), 0)))</f>
        <v>-16006.5</v>
      </c>
      <c r="AH45" s="6">
        <f>MIN(0, N45+(IFERROR(IF(20*INDEX('UA-normalized'!$D:$D, MATCH($A45, 'UA-normalized'!$A:$A, 0))-INDEX('UA-normalized'!$E:$E, MATCH($A45, 'UA-normalized'!$A:$A, 0))&gt;0, -(20*INDEX('UA-normalized'!$D:$D, MATCH($A45, 'UA-normalized'!$A:$A, 0))-INDEX('UA-normalized'!$E:$E, MATCH($A45, 'UA-normalized'!$A:$A, 0))), 0), 0))+(IFERROR(IF(20*INDEX('KZ-normalized'!$D:$D, MATCH($A45, 'KZ-normalized'!$A:$A, 0))-INDEX('KZ-normalized'!$E:$E, MATCH($A45, 'KZ-normalized'!$A:$A, 0))&gt;0, -(20*INDEX('KZ-normalized'!$D:$D, MATCH($A45, 'KZ-normalized'!$A:$A, 0))-INDEX('KZ-normalized'!$E:$E, MATCH($A45, 'KZ-normalized'!$A:$A, 0))), 0), 0))+(IFERROR(IF(20*INDEX('UZ-normalized'!$D:$D, MATCH($A45, 'UZ-normalized'!$A:$A, 0))-INDEX('UZ-normalized'!$E:$E, MATCH($A45, 'UZ-normalized'!$A:$A, 0))&gt;0, -(20*INDEX('UZ-normalized'!$D:$D, MATCH($A45, 'UZ-normalized'!$A:$A, 0))-INDEX('UZ-normalized'!$E:$E, MATCH($A45, 'UZ-normalized'!$A:$A, 0))), 0), 0)))</f>
        <v>-17275.5</v>
      </c>
      <c r="AI45" s="6">
        <f>MIN(0, N45+(IFERROR(IF(21*INDEX('UA-normalized'!$D:$D, MATCH($A45, 'UA-normalized'!$A:$A, 0))-INDEX('UA-normalized'!$E:$E, MATCH($A45, 'UA-normalized'!$A:$A, 0))&gt;0, -(21*INDEX('UA-normalized'!$D:$D, MATCH($A45, 'UA-normalized'!$A:$A, 0))-INDEX('UA-normalized'!$E:$E, MATCH($A45, 'UA-normalized'!$A:$A, 0))), 0), 0))+(IFERROR(IF(21*INDEX('KZ-normalized'!$D:$D, MATCH($A45, 'KZ-normalized'!$A:$A, 0))-INDEX('KZ-normalized'!$E:$E, MATCH($A45, 'KZ-normalized'!$A:$A, 0))&gt;0, -(21*INDEX('KZ-normalized'!$D:$D, MATCH($A45, 'KZ-normalized'!$A:$A, 0))-INDEX('KZ-normalized'!$E:$E, MATCH($A45, 'KZ-normalized'!$A:$A, 0))), 0), 0))+(IFERROR(IF(21*INDEX('UZ-normalized'!$D:$D, MATCH($A45, 'UZ-normalized'!$A:$A, 0))-INDEX('UZ-normalized'!$E:$E, MATCH($A45, 'UZ-normalized'!$A:$A, 0))&gt;0, -(21*INDEX('UZ-normalized'!$D:$D, MATCH($A45, 'UZ-normalized'!$A:$A, 0))-INDEX('UZ-normalized'!$E:$E, MATCH($A45, 'UZ-normalized'!$A:$A, 0))), 0), 0)))</f>
        <v>-18544.5</v>
      </c>
      <c r="AJ45" s="6">
        <f>MIN(0, N45+(IFERROR(IF(22*INDEX('UA-normalized'!$D:$D, MATCH($A45, 'UA-normalized'!$A:$A, 0))-INDEX('UA-normalized'!$E:$E, MATCH($A45, 'UA-normalized'!$A:$A, 0))&gt;0, -(22*INDEX('UA-normalized'!$D:$D, MATCH($A45, 'UA-normalized'!$A:$A, 0))-INDEX('UA-normalized'!$E:$E, MATCH($A45, 'UA-normalized'!$A:$A, 0))), 0), 0))+(IFERROR(IF(22*INDEX('KZ-normalized'!$D:$D, MATCH($A45, 'KZ-normalized'!$A:$A, 0))-INDEX('KZ-normalized'!$E:$E, MATCH($A45, 'KZ-normalized'!$A:$A, 0))&gt;0, -(22*INDEX('KZ-normalized'!$D:$D, MATCH($A45, 'KZ-normalized'!$A:$A, 0))-INDEX('KZ-normalized'!$E:$E, MATCH($A45, 'KZ-normalized'!$A:$A, 0))), 0), 0))+(IFERROR(IF(22*INDEX('UZ-normalized'!$D:$D, MATCH($A45, 'UZ-normalized'!$A:$A, 0))-INDEX('UZ-normalized'!$E:$E, MATCH($A45, 'UZ-normalized'!$A:$A, 0))&gt;0, -(22*INDEX('UZ-normalized'!$D:$D, MATCH($A45, 'UZ-normalized'!$A:$A, 0))-INDEX('UZ-normalized'!$E:$E, MATCH($A45, 'UZ-normalized'!$A:$A, 0))), 0), 0)))</f>
        <v>-19813.5</v>
      </c>
      <c r="AK45" s="6">
        <f>MIN(0, N45+(IFERROR(IF(23*INDEX('UA-normalized'!$D:$D, MATCH($A45, 'UA-normalized'!$A:$A, 0))-INDEX('UA-normalized'!$E:$E, MATCH($A45, 'UA-normalized'!$A:$A, 0))&gt;0, -(23*INDEX('UA-normalized'!$D:$D, MATCH($A45, 'UA-normalized'!$A:$A, 0))-INDEX('UA-normalized'!$E:$E, MATCH($A45, 'UA-normalized'!$A:$A, 0))), 0), 0))+(IFERROR(IF(23*INDEX('KZ-normalized'!$D:$D, MATCH($A45, 'KZ-normalized'!$A:$A, 0))-INDEX('KZ-normalized'!$E:$E, MATCH($A45, 'KZ-normalized'!$A:$A, 0))&gt;0, -(23*INDEX('KZ-normalized'!$D:$D, MATCH($A45, 'KZ-normalized'!$A:$A, 0))-INDEX('KZ-normalized'!$E:$E, MATCH($A45, 'KZ-normalized'!$A:$A, 0))), 0), 0))+(IFERROR(IF(23*INDEX('UZ-normalized'!$D:$D, MATCH($A45, 'UZ-normalized'!$A:$A, 0))-INDEX('UZ-normalized'!$E:$E, MATCH($A45, 'UZ-normalized'!$A:$A, 0))&gt;0, -(23*INDEX('UZ-normalized'!$D:$D, MATCH($A45, 'UZ-normalized'!$A:$A, 0))-INDEX('UZ-normalized'!$E:$E, MATCH($A45, 'UZ-normalized'!$A:$A, 0))), 0), 0)))</f>
        <v>-21082.5</v>
      </c>
      <c r="AL45" s="6">
        <f>MIN(0, N45+(IFERROR(IF(24*INDEX('UA-normalized'!$D:$D, MATCH($A45, 'UA-normalized'!$A:$A, 0))-INDEX('UA-normalized'!$E:$E, MATCH($A45, 'UA-normalized'!$A:$A, 0))&gt;0, -(24*INDEX('UA-normalized'!$D:$D, MATCH($A45, 'UA-normalized'!$A:$A, 0))-INDEX('UA-normalized'!$E:$E, MATCH($A45, 'UA-normalized'!$A:$A, 0))), 0), 0))+(IFERROR(IF(24*INDEX('KZ-normalized'!$D:$D, MATCH($A45, 'KZ-normalized'!$A:$A, 0))-INDEX('KZ-normalized'!$E:$E, MATCH($A45, 'KZ-normalized'!$A:$A, 0))&gt;0, -(24*INDEX('KZ-normalized'!$D:$D, MATCH($A45, 'KZ-normalized'!$A:$A, 0))-INDEX('KZ-normalized'!$E:$E, MATCH($A45, 'KZ-normalized'!$A:$A, 0))), 0), 0))+(IFERROR(IF(24*INDEX('UZ-normalized'!$D:$D, MATCH($A45, 'UZ-normalized'!$A:$A, 0))-INDEX('UZ-normalized'!$E:$E, MATCH($A45, 'UZ-normalized'!$A:$A, 0))&gt;0, -(24*INDEX('UZ-normalized'!$D:$D, MATCH($A45, 'UZ-normalized'!$A:$A, 0))-INDEX('UZ-normalized'!$E:$E, MATCH($A45, 'UZ-normalized'!$A:$A, 0))), 0), 0)))</f>
        <v>-22351.5</v>
      </c>
      <c r="AM45" s="6">
        <f>MIN(0, N45+(IFERROR(IF(25*INDEX('UA-normalized'!$D:$D, MATCH($A45, 'UA-normalized'!$A:$A, 0))-INDEX('UA-normalized'!$E:$E, MATCH($A45, 'UA-normalized'!$A:$A, 0))&gt;0, -(25*INDEX('UA-normalized'!$D:$D, MATCH($A45, 'UA-normalized'!$A:$A, 0))-INDEX('UA-normalized'!$E:$E, MATCH($A45, 'UA-normalized'!$A:$A, 0))), 0), 0))+(IFERROR(IF(25*INDEX('KZ-normalized'!$D:$D, MATCH($A45, 'KZ-normalized'!$A:$A, 0))-INDEX('KZ-normalized'!$E:$E, MATCH($A45, 'KZ-normalized'!$A:$A, 0))&gt;0, -(25*INDEX('KZ-normalized'!$D:$D, MATCH($A45, 'KZ-normalized'!$A:$A, 0))-INDEX('KZ-normalized'!$E:$E, MATCH($A45, 'KZ-normalized'!$A:$A, 0))), 0), 0))+(IFERROR(IF(25*INDEX('UZ-normalized'!$D:$D, MATCH($A45, 'UZ-normalized'!$A:$A, 0))-INDEX('UZ-normalized'!$E:$E, MATCH($A45, 'UZ-normalized'!$A:$A, 0))&gt;0, -(25*INDEX('UZ-normalized'!$D:$D, MATCH($A45, 'UZ-normalized'!$A:$A, 0))-INDEX('UZ-normalized'!$E:$E, MATCH($A45, 'UZ-normalized'!$A:$A, 0))), 0), 0)))</f>
        <v>-23620.5</v>
      </c>
      <c r="AN45" s="6">
        <f>MIN(0, N45+(IFERROR(IF(26*INDEX('UA-normalized'!$D:$D, MATCH($A45, 'UA-normalized'!$A:$A, 0))-INDEX('UA-normalized'!$E:$E, MATCH($A45, 'UA-normalized'!$A:$A, 0))&gt;0, -(26*INDEX('UA-normalized'!$D:$D, MATCH($A45, 'UA-normalized'!$A:$A, 0))-INDEX('UA-normalized'!$E:$E, MATCH($A45, 'UA-normalized'!$A:$A, 0))), 0), 0))+(IFERROR(IF(26*INDEX('KZ-normalized'!$D:$D, MATCH($A45, 'KZ-normalized'!$A:$A, 0))-INDEX('KZ-normalized'!$E:$E, MATCH($A45, 'KZ-normalized'!$A:$A, 0))&gt;0, -(26*INDEX('KZ-normalized'!$D:$D, MATCH($A45, 'KZ-normalized'!$A:$A, 0))-INDEX('KZ-normalized'!$E:$E, MATCH($A45, 'KZ-normalized'!$A:$A, 0))), 0), 0))+(IFERROR(IF(26*INDEX('UZ-normalized'!$D:$D, MATCH($A45, 'UZ-normalized'!$A:$A, 0))-INDEX('UZ-normalized'!$E:$E, MATCH($A45, 'UZ-normalized'!$A:$A, 0))&gt;0, -(26*INDEX('UZ-normalized'!$D:$D, MATCH($A45, 'UZ-normalized'!$A:$A, 0))-INDEX('UZ-normalized'!$E:$E, MATCH($A45, 'UZ-normalized'!$A:$A, 0))), 0), 0)))</f>
        <v>-24889.5</v>
      </c>
      <c r="AO45" s="6">
        <f>MIN(0, N45+(IFERROR(IF(27*INDEX('UA-normalized'!$D:$D, MATCH($A45, 'UA-normalized'!$A:$A, 0))-INDEX('UA-normalized'!$E:$E, MATCH($A45, 'UA-normalized'!$A:$A, 0))&gt;0, -(27*INDEX('UA-normalized'!$D:$D, MATCH($A45, 'UA-normalized'!$A:$A, 0))-INDEX('UA-normalized'!$E:$E, MATCH($A45, 'UA-normalized'!$A:$A, 0))), 0), 0))+(IFERROR(IF(27*INDEX('KZ-normalized'!$D:$D, MATCH($A45, 'KZ-normalized'!$A:$A, 0))-INDEX('KZ-normalized'!$E:$E, MATCH($A45, 'KZ-normalized'!$A:$A, 0))&gt;0, -(27*INDEX('KZ-normalized'!$D:$D, MATCH($A45, 'KZ-normalized'!$A:$A, 0))-INDEX('KZ-normalized'!$E:$E, MATCH($A45, 'KZ-normalized'!$A:$A, 0))), 0), 0))+(IFERROR(IF(27*INDEX('UZ-normalized'!$D:$D, MATCH($A45, 'UZ-normalized'!$A:$A, 0))-INDEX('UZ-normalized'!$E:$E, MATCH($A45, 'UZ-normalized'!$A:$A, 0))&gt;0, -(27*INDEX('UZ-normalized'!$D:$D, MATCH($A45, 'UZ-normalized'!$A:$A, 0))-INDEX('UZ-normalized'!$E:$E, MATCH($A45, 'UZ-normalized'!$A:$A, 0))), 0), 0)))</f>
        <v>-26158.5</v>
      </c>
      <c r="AP45" s="6">
        <f>MIN(0, N45+(IFERROR(IF(28*INDEX('UA-normalized'!$D:$D, MATCH($A45, 'UA-normalized'!$A:$A, 0))-INDEX('UA-normalized'!$E:$E, MATCH($A45, 'UA-normalized'!$A:$A, 0))&gt;0, -(28*INDEX('UA-normalized'!$D:$D, MATCH($A45, 'UA-normalized'!$A:$A, 0))-INDEX('UA-normalized'!$E:$E, MATCH($A45, 'UA-normalized'!$A:$A, 0))), 0), 0))+(IFERROR(IF(28*INDEX('KZ-normalized'!$D:$D, MATCH($A45, 'KZ-normalized'!$A:$A, 0))-INDEX('KZ-normalized'!$E:$E, MATCH($A45, 'KZ-normalized'!$A:$A, 0))&gt;0, -(28*INDEX('KZ-normalized'!$D:$D, MATCH($A45, 'KZ-normalized'!$A:$A, 0))-INDEX('KZ-normalized'!$E:$E, MATCH($A45, 'KZ-normalized'!$A:$A, 0))), 0), 0))+(IFERROR(IF(28*INDEX('UZ-normalized'!$D:$D, MATCH($A45, 'UZ-normalized'!$A:$A, 0))-INDEX('UZ-normalized'!$E:$E, MATCH($A45, 'UZ-normalized'!$A:$A, 0))&gt;0, -(28*INDEX('UZ-normalized'!$D:$D, MATCH($A45, 'UZ-normalized'!$A:$A, 0))-INDEX('UZ-normalized'!$E:$E, MATCH($A45, 'UZ-normalized'!$A:$A, 0))), 0), 0)))</f>
        <v>-27427.5</v>
      </c>
      <c r="AQ45" s="6">
        <f>MIN(0, N45+(IFERROR(IF(29*INDEX('UA-normalized'!$D:$D, MATCH($A45, 'UA-normalized'!$A:$A, 0))-INDEX('UA-normalized'!$E:$E, MATCH($A45, 'UA-normalized'!$A:$A, 0))&gt;0, -(29*INDEX('UA-normalized'!$D:$D, MATCH($A45, 'UA-normalized'!$A:$A, 0))-INDEX('UA-normalized'!$E:$E, MATCH($A45, 'UA-normalized'!$A:$A, 0))), 0), 0))+(IFERROR(IF(29*INDEX('KZ-normalized'!$D:$D, MATCH($A45, 'KZ-normalized'!$A:$A, 0))-INDEX('KZ-normalized'!$E:$E, MATCH($A45, 'KZ-normalized'!$A:$A, 0))&gt;0, -(29*INDEX('KZ-normalized'!$D:$D, MATCH($A45, 'KZ-normalized'!$A:$A, 0))-INDEX('KZ-normalized'!$E:$E, MATCH($A45, 'KZ-normalized'!$A:$A, 0))), 0), 0))+(IFERROR(IF(29*INDEX('UZ-normalized'!$D:$D, MATCH($A45, 'UZ-normalized'!$A:$A, 0))-INDEX('UZ-normalized'!$E:$E, MATCH($A45, 'UZ-normalized'!$A:$A, 0))&gt;0, -(29*INDEX('UZ-normalized'!$D:$D, MATCH($A45, 'UZ-normalized'!$A:$A, 0))-INDEX('UZ-normalized'!$E:$E, MATCH($A45, 'UZ-normalized'!$A:$A, 0))), 0), 0)))</f>
        <v>-28696.5</v>
      </c>
      <c r="AR45" s="6">
        <f>MIN(0, N45+(IFERROR(IF(30*INDEX('UA-normalized'!$D:$D, MATCH($A45, 'UA-normalized'!$A:$A, 0))-INDEX('UA-normalized'!$E:$E, MATCH($A45, 'UA-normalized'!$A:$A, 0))&gt;0, -(30*INDEX('UA-normalized'!$D:$D, MATCH($A45, 'UA-normalized'!$A:$A, 0))-INDEX('UA-normalized'!$E:$E, MATCH($A45, 'UA-normalized'!$A:$A, 0))), 0), 0))+(IFERROR(IF(30*INDEX('KZ-normalized'!$D:$D, MATCH($A45, 'KZ-normalized'!$A:$A, 0))-INDEX('KZ-normalized'!$E:$E, MATCH($A45, 'KZ-normalized'!$A:$A, 0))&gt;0, -(30*INDEX('KZ-normalized'!$D:$D, MATCH($A45, 'KZ-normalized'!$A:$A, 0))-INDEX('KZ-normalized'!$E:$E, MATCH($A45, 'KZ-normalized'!$A:$A, 0))), 0), 0))+(IFERROR(IF(30*INDEX('UZ-normalized'!$D:$D, MATCH($A45, 'UZ-normalized'!$A:$A, 0))-INDEX('UZ-normalized'!$E:$E, MATCH($A45, 'UZ-normalized'!$A:$A, 0))&gt;0, -(30*INDEX('UZ-normalized'!$D:$D, MATCH($A45, 'UZ-normalized'!$A:$A, 0))-INDEX('UZ-normalized'!$E:$E, MATCH($A45, 'UZ-normalized'!$A:$A, 0))), 0), 0)))</f>
        <v>-29965.5</v>
      </c>
    </row>
    <row r="46" spans="1:44" x14ac:dyDescent="0.25">
      <c r="A46" s="8" t="s">
        <v>136</v>
      </c>
      <c r="B46" s="8" t="s">
        <v>83</v>
      </c>
      <c r="C46" s="8" t="s">
        <v>128</v>
      </c>
      <c r="D46" s="8" t="s">
        <v>137</v>
      </c>
      <c r="E46">
        <v>2168.5</v>
      </c>
      <c r="G46">
        <v>-5</v>
      </c>
      <c r="I46">
        <v>600</v>
      </c>
      <c r="N46">
        <f t="shared" si="0"/>
        <v>2763.5</v>
      </c>
      <c r="O46" s="6">
        <f>MIN(0, N46+(IFERROR(IF(1*INDEX('UA-normalized'!$D:$D, MATCH($A46, 'UA-normalized'!$A:$A, 0))-INDEX('UA-normalized'!$E:$E, MATCH($A46, 'UA-normalized'!$A:$A, 0))&gt;0, -(1*INDEX('UA-normalized'!$D:$D, MATCH($A46, 'UA-normalized'!$A:$A, 0))-INDEX('UA-normalized'!$E:$E, MATCH($A46, 'UA-normalized'!$A:$A, 0))), 0), 0))+(IFERROR(IF(1*INDEX('KZ-normalized'!$D:$D, MATCH($A46, 'KZ-normalized'!$A:$A, 0))-INDEX('KZ-normalized'!$E:$E, MATCH($A46, 'KZ-normalized'!$A:$A, 0))&gt;0, -(1*INDEX('KZ-normalized'!$D:$D, MATCH($A46, 'KZ-normalized'!$A:$A, 0))-INDEX('KZ-normalized'!$E:$E, MATCH($A46, 'KZ-normalized'!$A:$A, 0))), 0), 0))+(IFERROR(IF(1*INDEX('UZ-normalized'!$D:$D, MATCH($A46, 'UZ-normalized'!$A:$A, 0))-INDEX('UZ-normalized'!$E:$E, MATCH($A46, 'UZ-normalized'!$A:$A, 0))&gt;0, -(1*INDEX('UZ-normalized'!$D:$D, MATCH($A46, 'UZ-normalized'!$A:$A, 0))-INDEX('UZ-normalized'!$E:$E, MATCH($A46, 'UZ-normalized'!$A:$A, 0))), 0), 0)))</f>
        <v>0</v>
      </c>
      <c r="P46" s="6">
        <f>MIN(0, N46+(IFERROR(IF(2*INDEX('UA-normalized'!$D:$D, MATCH($A46, 'UA-normalized'!$A:$A, 0))-INDEX('UA-normalized'!$E:$E, MATCH($A46, 'UA-normalized'!$A:$A, 0))&gt;0, -(2*INDEX('UA-normalized'!$D:$D, MATCH($A46, 'UA-normalized'!$A:$A, 0))-INDEX('UA-normalized'!$E:$E, MATCH($A46, 'UA-normalized'!$A:$A, 0))), 0), 0))+(IFERROR(IF(2*INDEX('KZ-normalized'!$D:$D, MATCH($A46, 'KZ-normalized'!$A:$A, 0))-INDEX('KZ-normalized'!$E:$E, MATCH($A46, 'KZ-normalized'!$A:$A, 0))&gt;0, -(2*INDEX('KZ-normalized'!$D:$D, MATCH($A46, 'KZ-normalized'!$A:$A, 0))-INDEX('KZ-normalized'!$E:$E, MATCH($A46, 'KZ-normalized'!$A:$A, 0))), 0), 0))+(IFERROR(IF(2*INDEX('UZ-normalized'!$D:$D, MATCH($A46, 'UZ-normalized'!$A:$A, 0))-INDEX('UZ-normalized'!$E:$E, MATCH($A46, 'UZ-normalized'!$A:$A, 0))&gt;0, -(2*INDEX('UZ-normalized'!$D:$D, MATCH($A46, 'UZ-normalized'!$A:$A, 0))-INDEX('UZ-normalized'!$E:$E, MATCH($A46, 'UZ-normalized'!$A:$A, 0))), 0), 0)))</f>
        <v>0</v>
      </c>
      <c r="Q46" s="6">
        <f>MIN(0, N46+(IFERROR(IF(3*INDEX('UA-normalized'!$D:$D, MATCH($A46, 'UA-normalized'!$A:$A, 0))-INDEX('UA-normalized'!$E:$E, MATCH($A46, 'UA-normalized'!$A:$A, 0))&gt;0, -(3*INDEX('UA-normalized'!$D:$D, MATCH($A46, 'UA-normalized'!$A:$A, 0))-INDEX('UA-normalized'!$E:$E, MATCH($A46, 'UA-normalized'!$A:$A, 0))), 0), 0))+(IFERROR(IF(3*INDEX('KZ-normalized'!$D:$D, MATCH($A46, 'KZ-normalized'!$A:$A, 0))-INDEX('KZ-normalized'!$E:$E, MATCH($A46, 'KZ-normalized'!$A:$A, 0))&gt;0, -(3*INDEX('KZ-normalized'!$D:$D, MATCH($A46, 'KZ-normalized'!$A:$A, 0))-INDEX('KZ-normalized'!$E:$E, MATCH($A46, 'KZ-normalized'!$A:$A, 0))), 0), 0))+(IFERROR(IF(3*INDEX('UZ-normalized'!$D:$D, MATCH($A46, 'UZ-normalized'!$A:$A, 0))-INDEX('UZ-normalized'!$E:$E, MATCH($A46, 'UZ-normalized'!$A:$A, 0))&gt;0, -(3*INDEX('UZ-normalized'!$D:$D, MATCH($A46, 'UZ-normalized'!$A:$A, 0))-INDEX('UZ-normalized'!$E:$E, MATCH($A46, 'UZ-normalized'!$A:$A, 0))), 0), 0)))</f>
        <v>0</v>
      </c>
      <c r="R46" s="6">
        <f>MIN(0, N46+(IFERROR(IF(4*INDEX('UA-normalized'!$D:$D, MATCH($A46, 'UA-normalized'!$A:$A, 0))-INDEX('UA-normalized'!$E:$E, MATCH($A46, 'UA-normalized'!$A:$A, 0))&gt;0, -(4*INDEX('UA-normalized'!$D:$D, MATCH($A46, 'UA-normalized'!$A:$A, 0))-INDEX('UA-normalized'!$E:$E, MATCH($A46, 'UA-normalized'!$A:$A, 0))), 0), 0))+(IFERROR(IF(4*INDEX('KZ-normalized'!$D:$D, MATCH($A46, 'KZ-normalized'!$A:$A, 0))-INDEX('KZ-normalized'!$E:$E, MATCH($A46, 'KZ-normalized'!$A:$A, 0))&gt;0, -(4*INDEX('KZ-normalized'!$D:$D, MATCH($A46, 'KZ-normalized'!$A:$A, 0))-INDEX('KZ-normalized'!$E:$E, MATCH($A46, 'KZ-normalized'!$A:$A, 0))), 0), 0))+(IFERROR(IF(4*INDEX('UZ-normalized'!$D:$D, MATCH($A46, 'UZ-normalized'!$A:$A, 0))-INDEX('UZ-normalized'!$E:$E, MATCH($A46, 'UZ-normalized'!$A:$A, 0))&gt;0, -(4*INDEX('UZ-normalized'!$D:$D, MATCH($A46, 'UZ-normalized'!$A:$A, 0))-INDEX('UZ-normalized'!$E:$E, MATCH($A46, 'UZ-normalized'!$A:$A, 0))), 0), 0)))</f>
        <v>0</v>
      </c>
      <c r="S46" s="6">
        <f>MIN(0, N46+(IFERROR(IF(5*INDEX('UA-normalized'!$D:$D, MATCH($A46, 'UA-normalized'!$A:$A, 0))-INDEX('UA-normalized'!$E:$E, MATCH($A46, 'UA-normalized'!$A:$A, 0))&gt;0, -(5*INDEX('UA-normalized'!$D:$D, MATCH($A46, 'UA-normalized'!$A:$A, 0))-INDEX('UA-normalized'!$E:$E, MATCH($A46, 'UA-normalized'!$A:$A, 0))), 0), 0))+(IFERROR(IF(5*INDEX('KZ-normalized'!$D:$D, MATCH($A46, 'KZ-normalized'!$A:$A, 0))-INDEX('KZ-normalized'!$E:$E, MATCH($A46, 'KZ-normalized'!$A:$A, 0))&gt;0, -(5*INDEX('KZ-normalized'!$D:$D, MATCH($A46, 'KZ-normalized'!$A:$A, 0))-INDEX('KZ-normalized'!$E:$E, MATCH($A46, 'KZ-normalized'!$A:$A, 0))), 0), 0))+(IFERROR(IF(5*INDEX('UZ-normalized'!$D:$D, MATCH($A46, 'UZ-normalized'!$A:$A, 0))-INDEX('UZ-normalized'!$E:$E, MATCH($A46, 'UZ-normalized'!$A:$A, 0))&gt;0, -(5*INDEX('UZ-normalized'!$D:$D, MATCH($A46, 'UZ-normalized'!$A:$A, 0))-INDEX('UZ-normalized'!$E:$E, MATCH($A46, 'UZ-normalized'!$A:$A, 0))), 0), 0)))</f>
        <v>0</v>
      </c>
      <c r="T46" s="6">
        <f>MIN(0, N46+(IFERROR(IF(6*INDEX('UA-normalized'!$D:$D, MATCH($A46, 'UA-normalized'!$A:$A, 0))-INDEX('UA-normalized'!$E:$E, MATCH($A46, 'UA-normalized'!$A:$A, 0))&gt;0, -(6*INDEX('UA-normalized'!$D:$D, MATCH($A46, 'UA-normalized'!$A:$A, 0))-INDEX('UA-normalized'!$E:$E, MATCH($A46, 'UA-normalized'!$A:$A, 0))), 0), 0))+(IFERROR(IF(6*INDEX('KZ-normalized'!$D:$D, MATCH($A46, 'KZ-normalized'!$A:$A, 0))-INDEX('KZ-normalized'!$E:$E, MATCH($A46, 'KZ-normalized'!$A:$A, 0))&gt;0, -(6*INDEX('KZ-normalized'!$D:$D, MATCH($A46, 'KZ-normalized'!$A:$A, 0))-INDEX('KZ-normalized'!$E:$E, MATCH($A46, 'KZ-normalized'!$A:$A, 0))), 0), 0))+(IFERROR(IF(6*INDEX('UZ-normalized'!$D:$D, MATCH($A46, 'UZ-normalized'!$A:$A, 0))-INDEX('UZ-normalized'!$E:$E, MATCH($A46, 'UZ-normalized'!$A:$A, 0))&gt;0, -(6*INDEX('UZ-normalized'!$D:$D, MATCH($A46, 'UZ-normalized'!$A:$A, 0))-INDEX('UZ-normalized'!$E:$E, MATCH($A46, 'UZ-normalized'!$A:$A, 0))), 0), 0)))</f>
        <v>0</v>
      </c>
      <c r="U46" s="6">
        <f>MIN(0, N46+(IFERROR(IF(7*INDEX('UA-normalized'!$D:$D, MATCH($A46, 'UA-normalized'!$A:$A, 0))-INDEX('UA-normalized'!$E:$E, MATCH($A46, 'UA-normalized'!$A:$A, 0))&gt;0, -(7*INDEX('UA-normalized'!$D:$D, MATCH($A46, 'UA-normalized'!$A:$A, 0))-INDEX('UA-normalized'!$E:$E, MATCH($A46, 'UA-normalized'!$A:$A, 0))), 0), 0))+(IFERROR(IF(7*INDEX('KZ-normalized'!$D:$D, MATCH($A46, 'KZ-normalized'!$A:$A, 0))-INDEX('KZ-normalized'!$E:$E, MATCH($A46, 'KZ-normalized'!$A:$A, 0))&gt;0, -(7*INDEX('KZ-normalized'!$D:$D, MATCH($A46, 'KZ-normalized'!$A:$A, 0))-INDEX('KZ-normalized'!$E:$E, MATCH($A46, 'KZ-normalized'!$A:$A, 0))), 0), 0))+(IFERROR(IF(7*INDEX('UZ-normalized'!$D:$D, MATCH($A46, 'UZ-normalized'!$A:$A, 0))-INDEX('UZ-normalized'!$E:$E, MATCH($A46, 'UZ-normalized'!$A:$A, 0))&gt;0, -(7*INDEX('UZ-normalized'!$D:$D, MATCH($A46, 'UZ-normalized'!$A:$A, 0))-INDEX('UZ-normalized'!$E:$E, MATCH($A46, 'UZ-normalized'!$A:$A, 0))), 0), 0)))</f>
        <v>0</v>
      </c>
      <c r="V46" s="6">
        <f>MIN(0, N46+(IFERROR(IF(8*INDEX('UA-normalized'!$D:$D, MATCH($A46, 'UA-normalized'!$A:$A, 0))-INDEX('UA-normalized'!$E:$E, MATCH($A46, 'UA-normalized'!$A:$A, 0))&gt;0, -(8*INDEX('UA-normalized'!$D:$D, MATCH($A46, 'UA-normalized'!$A:$A, 0))-INDEX('UA-normalized'!$E:$E, MATCH($A46, 'UA-normalized'!$A:$A, 0))), 0), 0))+(IFERROR(IF(8*INDEX('KZ-normalized'!$D:$D, MATCH($A46, 'KZ-normalized'!$A:$A, 0))-INDEX('KZ-normalized'!$E:$E, MATCH($A46, 'KZ-normalized'!$A:$A, 0))&gt;0, -(8*INDEX('KZ-normalized'!$D:$D, MATCH($A46, 'KZ-normalized'!$A:$A, 0))-INDEX('KZ-normalized'!$E:$E, MATCH($A46, 'KZ-normalized'!$A:$A, 0))), 0), 0))+(IFERROR(IF(8*INDEX('UZ-normalized'!$D:$D, MATCH($A46, 'UZ-normalized'!$A:$A, 0))-INDEX('UZ-normalized'!$E:$E, MATCH($A46, 'UZ-normalized'!$A:$A, 0))&gt;0, -(8*INDEX('UZ-normalized'!$D:$D, MATCH($A46, 'UZ-normalized'!$A:$A, 0))-INDEX('UZ-normalized'!$E:$E, MATCH($A46, 'UZ-normalized'!$A:$A, 0))), 0), 0)))</f>
        <v>0</v>
      </c>
      <c r="W46" s="6">
        <f>MIN(0, N46+(IFERROR(IF(9*INDEX('UA-normalized'!$D:$D, MATCH($A46, 'UA-normalized'!$A:$A, 0))-INDEX('UA-normalized'!$E:$E, MATCH($A46, 'UA-normalized'!$A:$A, 0))&gt;0, -(9*INDEX('UA-normalized'!$D:$D, MATCH($A46, 'UA-normalized'!$A:$A, 0))-INDEX('UA-normalized'!$E:$E, MATCH($A46, 'UA-normalized'!$A:$A, 0))), 0), 0))+(IFERROR(IF(9*INDEX('KZ-normalized'!$D:$D, MATCH($A46, 'KZ-normalized'!$A:$A, 0))-INDEX('KZ-normalized'!$E:$E, MATCH($A46, 'KZ-normalized'!$A:$A, 0))&gt;0, -(9*INDEX('KZ-normalized'!$D:$D, MATCH($A46, 'KZ-normalized'!$A:$A, 0))-INDEX('KZ-normalized'!$E:$E, MATCH($A46, 'KZ-normalized'!$A:$A, 0))), 0), 0))+(IFERROR(IF(9*INDEX('UZ-normalized'!$D:$D, MATCH($A46, 'UZ-normalized'!$A:$A, 0))-INDEX('UZ-normalized'!$E:$E, MATCH($A46, 'UZ-normalized'!$A:$A, 0))&gt;0, -(9*INDEX('UZ-normalized'!$D:$D, MATCH($A46, 'UZ-normalized'!$A:$A, 0))-INDEX('UZ-normalized'!$E:$E, MATCH($A46, 'UZ-normalized'!$A:$A, 0))), 0), 0)))</f>
        <v>0</v>
      </c>
      <c r="X46" s="6">
        <f>MIN(0, N46+(IFERROR(IF(10*INDEX('UA-normalized'!$D:$D, MATCH($A46, 'UA-normalized'!$A:$A, 0))-INDEX('UA-normalized'!$E:$E, MATCH($A46, 'UA-normalized'!$A:$A, 0))&gt;0, -(10*INDEX('UA-normalized'!$D:$D, MATCH($A46, 'UA-normalized'!$A:$A, 0))-INDEX('UA-normalized'!$E:$E, MATCH($A46, 'UA-normalized'!$A:$A, 0))), 0), 0))+(IFERROR(IF(10*INDEX('KZ-normalized'!$D:$D, MATCH($A46, 'KZ-normalized'!$A:$A, 0))-INDEX('KZ-normalized'!$E:$E, MATCH($A46, 'KZ-normalized'!$A:$A, 0))&gt;0, -(10*INDEX('KZ-normalized'!$D:$D, MATCH($A46, 'KZ-normalized'!$A:$A, 0))-INDEX('KZ-normalized'!$E:$E, MATCH($A46, 'KZ-normalized'!$A:$A, 0))), 0), 0))+(IFERROR(IF(10*INDEX('UZ-normalized'!$D:$D, MATCH($A46, 'UZ-normalized'!$A:$A, 0))-INDEX('UZ-normalized'!$E:$E, MATCH($A46, 'UZ-normalized'!$A:$A, 0))&gt;0, -(10*INDEX('UZ-normalized'!$D:$D, MATCH($A46, 'UZ-normalized'!$A:$A, 0))-INDEX('UZ-normalized'!$E:$E, MATCH($A46, 'UZ-normalized'!$A:$A, 0))), 0), 0)))</f>
        <v>-243.5</v>
      </c>
      <c r="Y46" s="6">
        <f>MIN(0, N46+(IFERROR(IF(11*INDEX('UA-normalized'!$D:$D, MATCH($A46, 'UA-normalized'!$A:$A, 0))-INDEX('UA-normalized'!$E:$E, MATCH($A46, 'UA-normalized'!$A:$A, 0))&gt;0, -(11*INDEX('UA-normalized'!$D:$D, MATCH($A46, 'UA-normalized'!$A:$A, 0))-INDEX('UA-normalized'!$E:$E, MATCH($A46, 'UA-normalized'!$A:$A, 0))), 0), 0))+(IFERROR(IF(11*INDEX('KZ-normalized'!$D:$D, MATCH($A46, 'KZ-normalized'!$A:$A, 0))-INDEX('KZ-normalized'!$E:$E, MATCH($A46, 'KZ-normalized'!$A:$A, 0))&gt;0, -(11*INDEX('KZ-normalized'!$D:$D, MATCH($A46, 'KZ-normalized'!$A:$A, 0))-INDEX('KZ-normalized'!$E:$E, MATCH($A46, 'KZ-normalized'!$A:$A, 0))), 0), 0))+(IFERROR(IF(11*INDEX('UZ-normalized'!$D:$D, MATCH($A46, 'UZ-normalized'!$A:$A, 0))-INDEX('UZ-normalized'!$E:$E, MATCH($A46, 'UZ-normalized'!$A:$A, 0))&gt;0, -(11*INDEX('UZ-normalized'!$D:$D, MATCH($A46, 'UZ-normalized'!$A:$A, 0))-INDEX('UZ-normalized'!$E:$E, MATCH($A46, 'UZ-normalized'!$A:$A, 0))), 0), 0)))</f>
        <v>-709.5</v>
      </c>
      <c r="Z46" s="6">
        <f>MIN(0, N46+(IFERROR(IF(12*INDEX('UA-normalized'!$D:$D, MATCH($A46, 'UA-normalized'!$A:$A, 0))-INDEX('UA-normalized'!$E:$E, MATCH($A46, 'UA-normalized'!$A:$A, 0))&gt;0, -(12*INDEX('UA-normalized'!$D:$D, MATCH($A46, 'UA-normalized'!$A:$A, 0))-INDEX('UA-normalized'!$E:$E, MATCH($A46, 'UA-normalized'!$A:$A, 0))), 0), 0))+(IFERROR(IF(12*INDEX('KZ-normalized'!$D:$D, MATCH($A46, 'KZ-normalized'!$A:$A, 0))-INDEX('KZ-normalized'!$E:$E, MATCH($A46, 'KZ-normalized'!$A:$A, 0))&gt;0, -(12*INDEX('KZ-normalized'!$D:$D, MATCH($A46, 'KZ-normalized'!$A:$A, 0))-INDEX('KZ-normalized'!$E:$E, MATCH($A46, 'KZ-normalized'!$A:$A, 0))), 0), 0))+(IFERROR(IF(12*INDEX('UZ-normalized'!$D:$D, MATCH($A46, 'UZ-normalized'!$A:$A, 0))-INDEX('UZ-normalized'!$E:$E, MATCH($A46, 'UZ-normalized'!$A:$A, 0))&gt;0, -(12*INDEX('UZ-normalized'!$D:$D, MATCH($A46, 'UZ-normalized'!$A:$A, 0))-INDEX('UZ-normalized'!$E:$E, MATCH($A46, 'UZ-normalized'!$A:$A, 0))), 0), 0)))</f>
        <v>-1175.5</v>
      </c>
      <c r="AA46" s="6">
        <f>MIN(0, N46+(IFERROR(IF(13*INDEX('UA-normalized'!$D:$D, MATCH($A46, 'UA-normalized'!$A:$A, 0))-INDEX('UA-normalized'!$E:$E, MATCH($A46, 'UA-normalized'!$A:$A, 0))&gt;0, -(13*INDEX('UA-normalized'!$D:$D, MATCH($A46, 'UA-normalized'!$A:$A, 0))-INDEX('UA-normalized'!$E:$E, MATCH($A46, 'UA-normalized'!$A:$A, 0))), 0), 0))+(IFERROR(IF(13*INDEX('KZ-normalized'!$D:$D, MATCH($A46, 'KZ-normalized'!$A:$A, 0))-INDEX('KZ-normalized'!$E:$E, MATCH($A46, 'KZ-normalized'!$A:$A, 0))&gt;0, -(13*INDEX('KZ-normalized'!$D:$D, MATCH($A46, 'KZ-normalized'!$A:$A, 0))-INDEX('KZ-normalized'!$E:$E, MATCH($A46, 'KZ-normalized'!$A:$A, 0))), 0), 0))+(IFERROR(IF(13*INDEX('UZ-normalized'!$D:$D, MATCH($A46, 'UZ-normalized'!$A:$A, 0))-INDEX('UZ-normalized'!$E:$E, MATCH($A46, 'UZ-normalized'!$A:$A, 0))&gt;0, -(13*INDEX('UZ-normalized'!$D:$D, MATCH($A46, 'UZ-normalized'!$A:$A, 0))-INDEX('UZ-normalized'!$E:$E, MATCH($A46, 'UZ-normalized'!$A:$A, 0))), 0), 0)))</f>
        <v>-1641.5</v>
      </c>
      <c r="AB46" s="6">
        <f>MIN(0, N46+(IFERROR(IF(14*INDEX('UA-normalized'!$D:$D, MATCH($A46, 'UA-normalized'!$A:$A, 0))-INDEX('UA-normalized'!$E:$E, MATCH($A46, 'UA-normalized'!$A:$A, 0))&gt;0, -(14*INDEX('UA-normalized'!$D:$D, MATCH($A46, 'UA-normalized'!$A:$A, 0))-INDEX('UA-normalized'!$E:$E, MATCH($A46, 'UA-normalized'!$A:$A, 0))), 0), 0))+(IFERROR(IF(14*INDEX('KZ-normalized'!$D:$D, MATCH($A46, 'KZ-normalized'!$A:$A, 0))-INDEX('KZ-normalized'!$E:$E, MATCH($A46, 'KZ-normalized'!$A:$A, 0))&gt;0, -(14*INDEX('KZ-normalized'!$D:$D, MATCH($A46, 'KZ-normalized'!$A:$A, 0))-INDEX('KZ-normalized'!$E:$E, MATCH($A46, 'KZ-normalized'!$A:$A, 0))), 0), 0))+(IFERROR(IF(14*INDEX('UZ-normalized'!$D:$D, MATCH($A46, 'UZ-normalized'!$A:$A, 0))-INDEX('UZ-normalized'!$E:$E, MATCH($A46, 'UZ-normalized'!$A:$A, 0))&gt;0, -(14*INDEX('UZ-normalized'!$D:$D, MATCH($A46, 'UZ-normalized'!$A:$A, 0))-INDEX('UZ-normalized'!$E:$E, MATCH($A46, 'UZ-normalized'!$A:$A, 0))), 0), 0)))</f>
        <v>-2107.5</v>
      </c>
      <c r="AC46" s="6">
        <f>MIN(0, N46+(IFERROR(IF(15*INDEX('UA-normalized'!$D:$D, MATCH($A46, 'UA-normalized'!$A:$A, 0))-INDEX('UA-normalized'!$E:$E, MATCH($A46, 'UA-normalized'!$A:$A, 0))&gt;0, -(15*INDEX('UA-normalized'!$D:$D, MATCH($A46, 'UA-normalized'!$A:$A, 0))-INDEX('UA-normalized'!$E:$E, MATCH($A46, 'UA-normalized'!$A:$A, 0))), 0), 0))+(IFERROR(IF(15*INDEX('KZ-normalized'!$D:$D, MATCH($A46, 'KZ-normalized'!$A:$A, 0))-INDEX('KZ-normalized'!$E:$E, MATCH($A46, 'KZ-normalized'!$A:$A, 0))&gt;0, -(15*INDEX('KZ-normalized'!$D:$D, MATCH($A46, 'KZ-normalized'!$A:$A, 0))-INDEX('KZ-normalized'!$E:$E, MATCH($A46, 'KZ-normalized'!$A:$A, 0))), 0), 0))+(IFERROR(IF(15*INDEX('UZ-normalized'!$D:$D, MATCH($A46, 'UZ-normalized'!$A:$A, 0))-INDEX('UZ-normalized'!$E:$E, MATCH($A46, 'UZ-normalized'!$A:$A, 0))&gt;0, -(15*INDEX('UZ-normalized'!$D:$D, MATCH($A46, 'UZ-normalized'!$A:$A, 0))-INDEX('UZ-normalized'!$E:$E, MATCH($A46, 'UZ-normalized'!$A:$A, 0))), 0), 0)))</f>
        <v>-2573.5</v>
      </c>
      <c r="AD46" s="6">
        <f>MIN(0, N46+(IFERROR(IF(16*INDEX('UA-normalized'!$D:$D, MATCH($A46, 'UA-normalized'!$A:$A, 0))-INDEX('UA-normalized'!$E:$E, MATCH($A46, 'UA-normalized'!$A:$A, 0))&gt;0, -(16*INDEX('UA-normalized'!$D:$D, MATCH($A46, 'UA-normalized'!$A:$A, 0))-INDEX('UA-normalized'!$E:$E, MATCH($A46, 'UA-normalized'!$A:$A, 0))), 0), 0))+(IFERROR(IF(16*INDEX('KZ-normalized'!$D:$D, MATCH($A46, 'KZ-normalized'!$A:$A, 0))-INDEX('KZ-normalized'!$E:$E, MATCH($A46, 'KZ-normalized'!$A:$A, 0))&gt;0, -(16*INDEX('KZ-normalized'!$D:$D, MATCH($A46, 'KZ-normalized'!$A:$A, 0))-INDEX('KZ-normalized'!$E:$E, MATCH($A46, 'KZ-normalized'!$A:$A, 0))), 0), 0))+(IFERROR(IF(16*INDEX('UZ-normalized'!$D:$D, MATCH($A46, 'UZ-normalized'!$A:$A, 0))-INDEX('UZ-normalized'!$E:$E, MATCH($A46, 'UZ-normalized'!$A:$A, 0))&gt;0, -(16*INDEX('UZ-normalized'!$D:$D, MATCH($A46, 'UZ-normalized'!$A:$A, 0))-INDEX('UZ-normalized'!$E:$E, MATCH($A46, 'UZ-normalized'!$A:$A, 0))), 0), 0)))</f>
        <v>-3039.5</v>
      </c>
      <c r="AE46" s="6">
        <f>MIN(0, N46+(IFERROR(IF(17*INDEX('UA-normalized'!$D:$D, MATCH($A46, 'UA-normalized'!$A:$A, 0))-INDEX('UA-normalized'!$E:$E, MATCH($A46, 'UA-normalized'!$A:$A, 0))&gt;0, -(17*INDEX('UA-normalized'!$D:$D, MATCH($A46, 'UA-normalized'!$A:$A, 0))-INDEX('UA-normalized'!$E:$E, MATCH($A46, 'UA-normalized'!$A:$A, 0))), 0), 0))+(IFERROR(IF(17*INDEX('KZ-normalized'!$D:$D, MATCH($A46, 'KZ-normalized'!$A:$A, 0))-INDEX('KZ-normalized'!$E:$E, MATCH($A46, 'KZ-normalized'!$A:$A, 0))&gt;0, -(17*INDEX('KZ-normalized'!$D:$D, MATCH($A46, 'KZ-normalized'!$A:$A, 0))-INDEX('KZ-normalized'!$E:$E, MATCH($A46, 'KZ-normalized'!$A:$A, 0))), 0), 0))+(IFERROR(IF(17*INDEX('UZ-normalized'!$D:$D, MATCH($A46, 'UZ-normalized'!$A:$A, 0))-INDEX('UZ-normalized'!$E:$E, MATCH($A46, 'UZ-normalized'!$A:$A, 0))&gt;0, -(17*INDEX('UZ-normalized'!$D:$D, MATCH($A46, 'UZ-normalized'!$A:$A, 0))-INDEX('UZ-normalized'!$E:$E, MATCH($A46, 'UZ-normalized'!$A:$A, 0))), 0), 0)))</f>
        <v>-3505.5</v>
      </c>
      <c r="AF46" s="6">
        <f>MIN(0, N46+(IFERROR(IF(18*INDEX('UA-normalized'!$D:$D, MATCH($A46, 'UA-normalized'!$A:$A, 0))-INDEX('UA-normalized'!$E:$E, MATCH($A46, 'UA-normalized'!$A:$A, 0))&gt;0, -(18*INDEX('UA-normalized'!$D:$D, MATCH($A46, 'UA-normalized'!$A:$A, 0))-INDEX('UA-normalized'!$E:$E, MATCH($A46, 'UA-normalized'!$A:$A, 0))), 0), 0))+(IFERROR(IF(18*INDEX('KZ-normalized'!$D:$D, MATCH($A46, 'KZ-normalized'!$A:$A, 0))-INDEX('KZ-normalized'!$E:$E, MATCH($A46, 'KZ-normalized'!$A:$A, 0))&gt;0, -(18*INDEX('KZ-normalized'!$D:$D, MATCH($A46, 'KZ-normalized'!$A:$A, 0))-INDEX('KZ-normalized'!$E:$E, MATCH($A46, 'KZ-normalized'!$A:$A, 0))), 0), 0))+(IFERROR(IF(18*INDEX('UZ-normalized'!$D:$D, MATCH($A46, 'UZ-normalized'!$A:$A, 0))-INDEX('UZ-normalized'!$E:$E, MATCH($A46, 'UZ-normalized'!$A:$A, 0))&gt;0, -(18*INDEX('UZ-normalized'!$D:$D, MATCH($A46, 'UZ-normalized'!$A:$A, 0))-INDEX('UZ-normalized'!$E:$E, MATCH($A46, 'UZ-normalized'!$A:$A, 0))), 0), 0)))</f>
        <v>-3971.5</v>
      </c>
      <c r="AG46" s="6">
        <f>MIN(0, N46+(IFERROR(IF(19*INDEX('UA-normalized'!$D:$D, MATCH($A46, 'UA-normalized'!$A:$A, 0))-INDEX('UA-normalized'!$E:$E, MATCH($A46, 'UA-normalized'!$A:$A, 0))&gt;0, -(19*INDEX('UA-normalized'!$D:$D, MATCH($A46, 'UA-normalized'!$A:$A, 0))-INDEX('UA-normalized'!$E:$E, MATCH($A46, 'UA-normalized'!$A:$A, 0))), 0), 0))+(IFERROR(IF(19*INDEX('KZ-normalized'!$D:$D, MATCH($A46, 'KZ-normalized'!$A:$A, 0))-INDEX('KZ-normalized'!$E:$E, MATCH($A46, 'KZ-normalized'!$A:$A, 0))&gt;0, -(19*INDEX('KZ-normalized'!$D:$D, MATCH($A46, 'KZ-normalized'!$A:$A, 0))-INDEX('KZ-normalized'!$E:$E, MATCH($A46, 'KZ-normalized'!$A:$A, 0))), 0), 0))+(IFERROR(IF(19*INDEX('UZ-normalized'!$D:$D, MATCH($A46, 'UZ-normalized'!$A:$A, 0))-INDEX('UZ-normalized'!$E:$E, MATCH($A46, 'UZ-normalized'!$A:$A, 0))&gt;0, -(19*INDEX('UZ-normalized'!$D:$D, MATCH($A46, 'UZ-normalized'!$A:$A, 0))-INDEX('UZ-normalized'!$E:$E, MATCH($A46, 'UZ-normalized'!$A:$A, 0))), 0), 0)))</f>
        <v>-4437.5</v>
      </c>
      <c r="AH46" s="6">
        <f>MIN(0, N46+(IFERROR(IF(20*INDEX('UA-normalized'!$D:$D, MATCH($A46, 'UA-normalized'!$A:$A, 0))-INDEX('UA-normalized'!$E:$E, MATCH($A46, 'UA-normalized'!$A:$A, 0))&gt;0, -(20*INDEX('UA-normalized'!$D:$D, MATCH($A46, 'UA-normalized'!$A:$A, 0))-INDEX('UA-normalized'!$E:$E, MATCH($A46, 'UA-normalized'!$A:$A, 0))), 0), 0))+(IFERROR(IF(20*INDEX('KZ-normalized'!$D:$D, MATCH($A46, 'KZ-normalized'!$A:$A, 0))-INDEX('KZ-normalized'!$E:$E, MATCH($A46, 'KZ-normalized'!$A:$A, 0))&gt;0, -(20*INDEX('KZ-normalized'!$D:$D, MATCH($A46, 'KZ-normalized'!$A:$A, 0))-INDEX('KZ-normalized'!$E:$E, MATCH($A46, 'KZ-normalized'!$A:$A, 0))), 0), 0))+(IFERROR(IF(20*INDEX('UZ-normalized'!$D:$D, MATCH($A46, 'UZ-normalized'!$A:$A, 0))-INDEX('UZ-normalized'!$E:$E, MATCH($A46, 'UZ-normalized'!$A:$A, 0))&gt;0, -(20*INDEX('UZ-normalized'!$D:$D, MATCH($A46, 'UZ-normalized'!$A:$A, 0))-INDEX('UZ-normalized'!$E:$E, MATCH($A46, 'UZ-normalized'!$A:$A, 0))), 0), 0)))</f>
        <v>-4903.5</v>
      </c>
      <c r="AI46" s="6">
        <f>MIN(0, N46+(IFERROR(IF(21*INDEX('UA-normalized'!$D:$D, MATCH($A46, 'UA-normalized'!$A:$A, 0))-INDEX('UA-normalized'!$E:$E, MATCH($A46, 'UA-normalized'!$A:$A, 0))&gt;0, -(21*INDEX('UA-normalized'!$D:$D, MATCH($A46, 'UA-normalized'!$A:$A, 0))-INDEX('UA-normalized'!$E:$E, MATCH($A46, 'UA-normalized'!$A:$A, 0))), 0), 0))+(IFERROR(IF(21*INDEX('KZ-normalized'!$D:$D, MATCH($A46, 'KZ-normalized'!$A:$A, 0))-INDEX('KZ-normalized'!$E:$E, MATCH($A46, 'KZ-normalized'!$A:$A, 0))&gt;0, -(21*INDEX('KZ-normalized'!$D:$D, MATCH($A46, 'KZ-normalized'!$A:$A, 0))-INDEX('KZ-normalized'!$E:$E, MATCH($A46, 'KZ-normalized'!$A:$A, 0))), 0), 0))+(IFERROR(IF(21*INDEX('UZ-normalized'!$D:$D, MATCH($A46, 'UZ-normalized'!$A:$A, 0))-INDEX('UZ-normalized'!$E:$E, MATCH($A46, 'UZ-normalized'!$A:$A, 0))&gt;0, -(21*INDEX('UZ-normalized'!$D:$D, MATCH($A46, 'UZ-normalized'!$A:$A, 0))-INDEX('UZ-normalized'!$E:$E, MATCH($A46, 'UZ-normalized'!$A:$A, 0))), 0), 0)))</f>
        <v>-5369.5</v>
      </c>
      <c r="AJ46" s="6">
        <f>MIN(0, N46+(IFERROR(IF(22*INDEX('UA-normalized'!$D:$D, MATCH($A46, 'UA-normalized'!$A:$A, 0))-INDEX('UA-normalized'!$E:$E, MATCH($A46, 'UA-normalized'!$A:$A, 0))&gt;0, -(22*INDEX('UA-normalized'!$D:$D, MATCH($A46, 'UA-normalized'!$A:$A, 0))-INDEX('UA-normalized'!$E:$E, MATCH($A46, 'UA-normalized'!$A:$A, 0))), 0), 0))+(IFERROR(IF(22*INDEX('KZ-normalized'!$D:$D, MATCH($A46, 'KZ-normalized'!$A:$A, 0))-INDEX('KZ-normalized'!$E:$E, MATCH($A46, 'KZ-normalized'!$A:$A, 0))&gt;0, -(22*INDEX('KZ-normalized'!$D:$D, MATCH($A46, 'KZ-normalized'!$A:$A, 0))-INDEX('KZ-normalized'!$E:$E, MATCH($A46, 'KZ-normalized'!$A:$A, 0))), 0), 0))+(IFERROR(IF(22*INDEX('UZ-normalized'!$D:$D, MATCH($A46, 'UZ-normalized'!$A:$A, 0))-INDEX('UZ-normalized'!$E:$E, MATCH($A46, 'UZ-normalized'!$A:$A, 0))&gt;0, -(22*INDEX('UZ-normalized'!$D:$D, MATCH($A46, 'UZ-normalized'!$A:$A, 0))-INDEX('UZ-normalized'!$E:$E, MATCH($A46, 'UZ-normalized'!$A:$A, 0))), 0), 0)))</f>
        <v>-5835.5</v>
      </c>
      <c r="AK46" s="6">
        <f>MIN(0, N46+(IFERROR(IF(23*INDEX('UA-normalized'!$D:$D, MATCH($A46, 'UA-normalized'!$A:$A, 0))-INDEX('UA-normalized'!$E:$E, MATCH($A46, 'UA-normalized'!$A:$A, 0))&gt;0, -(23*INDEX('UA-normalized'!$D:$D, MATCH($A46, 'UA-normalized'!$A:$A, 0))-INDEX('UA-normalized'!$E:$E, MATCH($A46, 'UA-normalized'!$A:$A, 0))), 0), 0))+(IFERROR(IF(23*INDEX('KZ-normalized'!$D:$D, MATCH($A46, 'KZ-normalized'!$A:$A, 0))-INDEX('KZ-normalized'!$E:$E, MATCH($A46, 'KZ-normalized'!$A:$A, 0))&gt;0, -(23*INDEX('KZ-normalized'!$D:$D, MATCH($A46, 'KZ-normalized'!$A:$A, 0))-INDEX('KZ-normalized'!$E:$E, MATCH($A46, 'KZ-normalized'!$A:$A, 0))), 0), 0))+(IFERROR(IF(23*INDEX('UZ-normalized'!$D:$D, MATCH($A46, 'UZ-normalized'!$A:$A, 0))-INDEX('UZ-normalized'!$E:$E, MATCH($A46, 'UZ-normalized'!$A:$A, 0))&gt;0, -(23*INDEX('UZ-normalized'!$D:$D, MATCH($A46, 'UZ-normalized'!$A:$A, 0))-INDEX('UZ-normalized'!$E:$E, MATCH($A46, 'UZ-normalized'!$A:$A, 0))), 0), 0)))</f>
        <v>-6301.5</v>
      </c>
      <c r="AL46" s="6">
        <f>MIN(0, N46+(IFERROR(IF(24*INDEX('UA-normalized'!$D:$D, MATCH($A46, 'UA-normalized'!$A:$A, 0))-INDEX('UA-normalized'!$E:$E, MATCH($A46, 'UA-normalized'!$A:$A, 0))&gt;0, -(24*INDEX('UA-normalized'!$D:$D, MATCH($A46, 'UA-normalized'!$A:$A, 0))-INDEX('UA-normalized'!$E:$E, MATCH($A46, 'UA-normalized'!$A:$A, 0))), 0), 0))+(IFERROR(IF(24*INDEX('KZ-normalized'!$D:$D, MATCH($A46, 'KZ-normalized'!$A:$A, 0))-INDEX('KZ-normalized'!$E:$E, MATCH($A46, 'KZ-normalized'!$A:$A, 0))&gt;0, -(24*INDEX('KZ-normalized'!$D:$D, MATCH($A46, 'KZ-normalized'!$A:$A, 0))-INDEX('KZ-normalized'!$E:$E, MATCH($A46, 'KZ-normalized'!$A:$A, 0))), 0), 0))+(IFERROR(IF(24*INDEX('UZ-normalized'!$D:$D, MATCH($A46, 'UZ-normalized'!$A:$A, 0))-INDEX('UZ-normalized'!$E:$E, MATCH($A46, 'UZ-normalized'!$A:$A, 0))&gt;0, -(24*INDEX('UZ-normalized'!$D:$D, MATCH($A46, 'UZ-normalized'!$A:$A, 0))-INDEX('UZ-normalized'!$E:$E, MATCH($A46, 'UZ-normalized'!$A:$A, 0))), 0), 0)))</f>
        <v>-6767.5</v>
      </c>
      <c r="AM46" s="6">
        <f>MIN(0, N46+(IFERROR(IF(25*INDEX('UA-normalized'!$D:$D, MATCH($A46, 'UA-normalized'!$A:$A, 0))-INDEX('UA-normalized'!$E:$E, MATCH($A46, 'UA-normalized'!$A:$A, 0))&gt;0, -(25*INDEX('UA-normalized'!$D:$D, MATCH($A46, 'UA-normalized'!$A:$A, 0))-INDEX('UA-normalized'!$E:$E, MATCH($A46, 'UA-normalized'!$A:$A, 0))), 0), 0))+(IFERROR(IF(25*INDEX('KZ-normalized'!$D:$D, MATCH($A46, 'KZ-normalized'!$A:$A, 0))-INDEX('KZ-normalized'!$E:$E, MATCH($A46, 'KZ-normalized'!$A:$A, 0))&gt;0, -(25*INDEX('KZ-normalized'!$D:$D, MATCH($A46, 'KZ-normalized'!$A:$A, 0))-INDEX('KZ-normalized'!$E:$E, MATCH($A46, 'KZ-normalized'!$A:$A, 0))), 0), 0))+(IFERROR(IF(25*INDEX('UZ-normalized'!$D:$D, MATCH($A46, 'UZ-normalized'!$A:$A, 0))-INDEX('UZ-normalized'!$E:$E, MATCH($A46, 'UZ-normalized'!$A:$A, 0))&gt;0, -(25*INDEX('UZ-normalized'!$D:$D, MATCH($A46, 'UZ-normalized'!$A:$A, 0))-INDEX('UZ-normalized'!$E:$E, MATCH($A46, 'UZ-normalized'!$A:$A, 0))), 0), 0)))</f>
        <v>-7233.5</v>
      </c>
      <c r="AN46" s="6">
        <f>MIN(0, N46+(IFERROR(IF(26*INDEX('UA-normalized'!$D:$D, MATCH($A46, 'UA-normalized'!$A:$A, 0))-INDEX('UA-normalized'!$E:$E, MATCH($A46, 'UA-normalized'!$A:$A, 0))&gt;0, -(26*INDEX('UA-normalized'!$D:$D, MATCH($A46, 'UA-normalized'!$A:$A, 0))-INDEX('UA-normalized'!$E:$E, MATCH($A46, 'UA-normalized'!$A:$A, 0))), 0), 0))+(IFERROR(IF(26*INDEX('KZ-normalized'!$D:$D, MATCH($A46, 'KZ-normalized'!$A:$A, 0))-INDEX('KZ-normalized'!$E:$E, MATCH($A46, 'KZ-normalized'!$A:$A, 0))&gt;0, -(26*INDEX('KZ-normalized'!$D:$D, MATCH($A46, 'KZ-normalized'!$A:$A, 0))-INDEX('KZ-normalized'!$E:$E, MATCH($A46, 'KZ-normalized'!$A:$A, 0))), 0), 0))+(IFERROR(IF(26*INDEX('UZ-normalized'!$D:$D, MATCH($A46, 'UZ-normalized'!$A:$A, 0))-INDEX('UZ-normalized'!$E:$E, MATCH($A46, 'UZ-normalized'!$A:$A, 0))&gt;0, -(26*INDEX('UZ-normalized'!$D:$D, MATCH($A46, 'UZ-normalized'!$A:$A, 0))-INDEX('UZ-normalized'!$E:$E, MATCH($A46, 'UZ-normalized'!$A:$A, 0))), 0), 0)))</f>
        <v>-7699.5</v>
      </c>
      <c r="AO46" s="6">
        <f>MIN(0, N46+(IFERROR(IF(27*INDEX('UA-normalized'!$D:$D, MATCH($A46, 'UA-normalized'!$A:$A, 0))-INDEX('UA-normalized'!$E:$E, MATCH($A46, 'UA-normalized'!$A:$A, 0))&gt;0, -(27*INDEX('UA-normalized'!$D:$D, MATCH($A46, 'UA-normalized'!$A:$A, 0))-INDEX('UA-normalized'!$E:$E, MATCH($A46, 'UA-normalized'!$A:$A, 0))), 0), 0))+(IFERROR(IF(27*INDEX('KZ-normalized'!$D:$D, MATCH($A46, 'KZ-normalized'!$A:$A, 0))-INDEX('KZ-normalized'!$E:$E, MATCH($A46, 'KZ-normalized'!$A:$A, 0))&gt;0, -(27*INDEX('KZ-normalized'!$D:$D, MATCH($A46, 'KZ-normalized'!$A:$A, 0))-INDEX('KZ-normalized'!$E:$E, MATCH($A46, 'KZ-normalized'!$A:$A, 0))), 0), 0))+(IFERROR(IF(27*INDEX('UZ-normalized'!$D:$D, MATCH($A46, 'UZ-normalized'!$A:$A, 0))-INDEX('UZ-normalized'!$E:$E, MATCH($A46, 'UZ-normalized'!$A:$A, 0))&gt;0, -(27*INDEX('UZ-normalized'!$D:$D, MATCH($A46, 'UZ-normalized'!$A:$A, 0))-INDEX('UZ-normalized'!$E:$E, MATCH($A46, 'UZ-normalized'!$A:$A, 0))), 0), 0)))</f>
        <v>-8165.5</v>
      </c>
      <c r="AP46" s="6">
        <f>MIN(0, N46+(IFERROR(IF(28*INDEX('UA-normalized'!$D:$D, MATCH($A46, 'UA-normalized'!$A:$A, 0))-INDEX('UA-normalized'!$E:$E, MATCH($A46, 'UA-normalized'!$A:$A, 0))&gt;0, -(28*INDEX('UA-normalized'!$D:$D, MATCH($A46, 'UA-normalized'!$A:$A, 0))-INDEX('UA-normalized'!$E:$E, MATCH($A46, 'UA-normalized'!$A:$A, 0))), 0), 0))+(IFERROR(IF(28*INDEX('KZ-normalized'!$D:$D, MATCH($A46, 'KZ-normalized'!$A:$A, 0))-INDEX('KZ-normalized'!$E:$E, MATCH($A46, 'KZ-normalized'!$A:$A, 0))&gt;0, -(28*INDEX('KZ-normalized'!$D:$D, MATCH($A46, 'KZ-normalized'!$A:$A, 0))-INDEX('KZ-normalized'!$E:$E, MATCH($A46, 'KZ-normalized'!$A:$A, 0))), 0), 0))+(IFERROR(IF(28*INDEX('UZ-normalized'!$D:$D, MATCH($A46, 'UZ-normalized'!$A:$A, 0))-INDEX('UZ-normalized'!$E:$E, MATCH($A46, 'UZ-normalized'!$A:$A, 0))&gt;0, -(28*INDEX('UZ-normalized'!$D:$D, MATCH($A46, 'UZ-normalized'!$A:$A, 0))-INDEX('UZ-normalized'!$E:$E, MATCH($A46, 'UZ-normalized'!$A:$A, 0))), 0), 0)))</f>
        <v>-8631.5</v>
      </c>
      <c r="AQ46" s="6">
        <f>MIN(0, N46+(IFERROR(IF(29*INDEX('UA-normalized'!$D:$D, MATCH($A46, 'UA-normalized'!$A:$A, 0))-INDEX('UA-normalized'!$E:$E, MATCH($A46, 'UA-normalized'!$A:$A, 0))&gt;0, -(29*INDEX('UA-normalized'!$D:$D, MATCH($A46, 'UA-normalized'!$A:$A, 0))-INDEX('UA-normalized'!$E:$E, MATCH($A46, 'UA-normalized'!$A:$A, 0))), 0), 0))+(IFERROR(IF(29*INDEX('KZ-normalized'!$D:$D, MATCH($A46, 'KZ-normalized'!$A:$A, 0))-INDEX('KZ-normalized'!$E:$E, MATCH($A46, 'KZ-normalized'!$A:$A, 0))&gt;0, -(29*INDEX('KZ-normalized'!$D:$D, MATCH($A46, 'KZ-normalized'!$A:$A, 0))-INDEX('KZ-normalized'!$E:$E, MATCH($A46, 'KZ-normalized'!$A:$A, 0))), 0), 0))+(IFERROR(IF(29*INDEX('UZ-normalized'!$D:$D, MATCH($A46, 'UZ-normalized'!$A:$A, 0))-INDEX('UZ-normalized'!$E:$E, MATCH($A46, 'UZ-normalized'!$A:$A, 0))&gt;0, -(29*INDEX('UZ-normalized'!$D:$D, MATCH($A46, 'UZ-normalized'!$A:$A, 0))-INDEX('UZ-normalized'!$E:$E, MATCH($A46, 'UZ-normalized'!$A:$A, 0))), 0), 0)))</f>
        <v>-9097.5</v>
      </c>
      <c r="AR46" s="6">
        <f>MIN(0, N46+(IFERROR(IF(30*INDEX('UA-normalized'!$D:$D, MATCH($A46, 'UA-normalized'!$A:$A, 0))-INDEX('UA-normalized'!$E:$E, MATCH($A46, 'UA-normalized'!$A:$A, 0))&gt;0, -(30*INDEX('UA-normalized'!$D:$D, MATCH($A46, 'UA-normalized'!$A:$A, 0))-INDEX('UA-normalized'!$E:$E, MATCH($A46, 'UA-normalized'!$A:$A, 0))), 0), 0))+(IFERROR(IF(30*INDEX('KZ-normalized'!$D:$D, MATCH($A46, 'KZ-normalized'!$A:$A, 0))-INDEX('KZ-normalized'!$E:$E, MATCH($A46, 'KZ-normalized'!$A:$A, 0))&gt;0, -(30*INDEX('KZ-normalized'!$D:$D, MATCH($A46, 'KZ-normalized'!$A:$A, 0))-INDEX('KZ-normalized'!$E:$E, MATCH($A46, 'KZ-normalized'!$A:$A, 0))), 0), 0))+(IFERROR(IF(30*INDEX('UZ-normalized'!$D:$D, MATCH($A46, 'UZ-normalized'!$A:$A, 0))-INDEX('UZ-normalized'!$E:$E, MATCH($A46, 'UZ-normalized'!$A:$A, 0))&gt;0, -(30*INDEX('UZ-normalized'!$D:$D, MATCH($A46, 'UZ-normalized'!$A:$A, 0))-INDEX('UZ-normalized'!$E:$E, MATCH($A46, 'UZ-normalized'!$A:$A, 0))), 0), 0)))</f>
        <v>-9563.5</v>
      </c>
    </row>
    <row r="47" spans="1:44" x14ac:dyDescent="0.25">
      <c r="A47" s="8" t="s">
        <v>138</v>
      </c>
      <c r="B47" s="8" t="s">
        <v>83</v>
      </c>
      <c r="C47" s="8" t="s">
        <v>128</v>
      </c>
      <c r="D47" s="8" t="s">
        <v>139</v>
      </c>
      <c r="E47">
        <v>4450</v>
      </c>
      <c r="G47">
        <v>-5</v>
      </c>
      <c r="I47">
        <v>500</v>
      </c>
      <c r="N47">
        <f t="shared" si="0"/>
        <v>4945</v>
      </c>
      <c r="O47" s="6">
        <f>MIN(0, N47+(IFERROR(IF(1*INDEX('UA-normalized'!$D:$D, MATCH($A47, 'UA-normalized'!$A:$A, 0))-INDEX('UA-normalized'!$E:$E, MATCH($A47, 'UA-normalized'!$A:$A, 0))&gt;0, -(1*INDEX('UA-normalized'!$D:$D, MATCH($A47, 'UA-normalized'!$A:$A, 0))-INDEX('UA-normalized'!$E:$E, MATCH($A47, 'UA-normalized'!$A:$A, 0))), 0), 0))+(IFERROR(IF(1*INDEX('KZ-normalized'!$D:$D, MATCH($A47, 'KZ-normalized'!$A:$A, 0))-INDEX('KZ-normalized'!$E:$E, MATCH($A47, 'KZ-normalized'!$A:$A, 0))&gt;0, -(1*INDEX('KZ-normalized'!$D:$D, MATCH($A47, 'KZ-normalized'!$A:$A, 0))-INDEX('KZ-normalized'!$E:$E, MATCH($A47, 'KZ-normalized'!$A:$A, 0))), 0), 0))+(IFERROR(IF(1*INDEX('UZ-normalized'!$D:$D, MATCH($A47, 'UZ-normalized'!$A:$A, 0))-INDEX('UZ-normalized'!$E:$E, MATCH($A47, 'UZ-normalized'!$A:$A, 0))&gt;0, -(1*INDEX('UZ-normalized'!$D:$D, MATCH($A47, 'UZ-normalized'!$A:$A, 0))-INDEX('UZ-normalized'!$E:$E, MATCH($A47, 'UZ-normalized'!$A:$A, 0))), 0), 0)))</f>
        <v>0</v>
      </c>
      <c r="P47" s="6">
        <f>MIN(0, N47+(IFERROR(IF(2*INDEX('UA-normalized'!$D:$D, MATCH($A47, 'UA-normalized'!$A:$A, 0))-INDEX('UA-normalized'!$E:$E, MATCH($A47, 'UA-normalized'!$A:$A, 0))&gt;0, -(2*INDEX('UA-normalized'!$D:$D, MATCH($A47, 'UA-normalized'!$A:$A, 0))-INDEX('UA-normalized'!$E:$E, MATCH($A47, 'UA-normalized'!$A:$A, 0))), 0), 0))+(IFERROR(IF(2*INDEX('KZ-normalized'!$D:$D, MATCH($A47, 'KZ-normalized'!$A:$A, 0))-INDEX('KZ-normalized'!$E:$E, MATCH($A47, 'KZ-normalized'!$A:$A, 0))&gt;0, -(2*INDEX('KZ-normalized'!$D:$D, MATCH($A47, 'KZ-normalized'!$A:$A, 0))-INDEX('KZ-normalized'!$E:$E, MATCH($A47, 'KZ-normalized'!$A:$A, 0))), 0), 0))+(IFERROR(IF(2*INDEX('UZ-normalized'!$D:$D, MATCH($A47, 'UZ-normalized'!$A:$A, 0))-INDEX('UZ-normalized'!$E:$E, MATCH($A47, 'UZ-normalized'!$A:$A, 0))&gt;0, -(2*INDEX('UZ-normalized'!$D:$D, MATCH($A47, 'UZ-normalized'!$A:$A, 0))-INDEX('UZ-normalized'!$E:$E, MATCH($A47, 'UZ-normalized'!$A:$A, 0))), 0), 0)))</f>
        <v>0</v>
      </c>
      <c r="Q47" s="6">
        <f>MIN(0, N47+(IFERROR(IF(3*INDEX('UA-normalized'!$D:$D, MATCH($A47, 'UA-normalized'!$A:$A, 0))-INDEX('UA-normalized'!$E:$E, MATCH($A47, 'UA-normalized'!$A:$A, 0))&gt;0, -(3*INDEX('UA-normalized'!$D:$D, MATCH($A47, 'UA-normalized'!$A:$A, 0))-INDEX('UA-normalized'!$E:$E, MATCH($A47, 'UA-normalized'!$A:$A, 0))), 0), 0))+(IFERROR(IF(3*INDEX('KZ-normalized'!$D:$D, MATCH($A47, 'KZ-normalized'!$A:$A, 0))-INDEX('KZ-normalized'!$E:$E, MATCH($A47, 'KZ-normalized'!$A:$A, 0))&gt;0, -(3*INDEX('KZ-normalized'!$D:$D, MATCH($A47, 'KZ-normalized'!$A:$A, 0))-INDEX('KZ-normalized'!$E:$E, MATCH($A47, 'KZ-normalized'!$A:$A, 0))), 0), 0))+(IFERROR(IF(3*INDEX('UZ-normalized'!$D:$D, MATCH($A47, 'UZ-normalized'!$A:$A, 0))-INDEX('UZ-normalized'!$E:$E, MATCH($A47, 'UZ-normalized'!$A:$A, 0))&gt;0, -(3*INDEX('UZ-normalized'!$D:$D, MATCH($A47, 'UZ-normalized'!$A:$A, 0))-INDEX('UZ-normalized'!$E:$E, MATCH($A47, 'UZ-normalized'!$A:$A, 0))), 0), 0)))</f>
        <v>0</v>
      </c>
      <c r="R47" s="6">
        <f>MIN(0, N47+(IFERROR(IF(4*INDEX('UA-normalized'!$D:$D, MATCH($A47, 'UA-normalized'!$A:$A, 0))-INDEX('UA-normalized'!$E:$E, MATCH($A47, 'UA-normalized'!$A:$A, 0))&gt;0, -(4*INDEX('UA-normalized'!$D:$D, MATCH($A47, 'UA-normalized'!$A:$A, 0))-INDEX('UA-normalized'!$E:$E, MATCH($A47, 'UA-normalized'!$A:$A, 0))), 0), 0))+(IFERROR(IF(4*INDEX('KZ-normalized'!$D:$D, MATCH($A47, 'KZ-normalized'!$A:$A, 0))-INDEX('KZ-normalized'!$E:$E, MATCH($A47, 'KZ-normalized'!$A:$A, 0))&gt;0, -(4*INDEX('KZ-normalized'!$D:$D, MATCH($A47, 'KZ-normalized'!$A:$A, 0))-INDEX('KZ-normalized'!$E:$E, MATCH($A47, 'KZ-normalized'!$A:$A, 0))), 0), 0))+(IFERROR(IF(4*INDEX('UZ-normalized'!$D:$D, MATCH($A47, 'UZ-normalized'!$A:$A, 0))-INDEX('UZ-normalized'!$E:$E, MATCH($A47, 'UZ-normalized'!$A:$A, 0))&gt;0, -(4*INDEX('UZ-normalized'!$D:$D, MATCH($A47, 'UZ-normalized'!$A:$A, 0))-INDEX('UZ-normalized'!$E:$E, MATCH($A47, 'UZ-normalized'!$A:$A, 0))), 0), 0)))</f>
        <v>0</v>
      </c>
      <c r="S47" s="6">
        <f>MIN(0, N47+(IFERROR(IF(5*INDEX('UA-normalized'!$D:$D, MATCH($A47, 'UA-normalized'!$A:$A, 0))-INDEX('UA-normalized'!$E:$E, MATCH($A47, 'UA-normalized'!$A:$A, 0))&gt;0, -(5*INDEX('UA-normalized'!$D:$D, MATCH($A47, 'UA-normalized'!$A:$A, 0))-INDEX('UA-normalized'!$E:$E, MATCH($A47, 'UA-normalized'!$A:$A, 0))), 0), 0))+(IFERROR(IF(5*INDEX('KZ-normalized'!$D:$D, MATCH($A47, 'KZ-normalized'!$A:$A, 0))-INDEX('KZ-normalized'!$E:$E, MATCH($A47, 'KZ-normalized'!$A:$A, 0))&gt;0, -(5*INDEX('KZ-normalized'!$D:$D, MATCH($A47, 'KZ-normalized'!$A:$A, 0))-INDEX('KZ-normalized'!$E:$E, MATCH($A47, 'KZ-normalized'!$A:$A, 0))), 0), 0))+(IFERROR(IF(5*INDEX('UZ-normalized'!$D:$D, MATCH($A47, 'UZ-normalized'!$A:$A, 0))-INDEX('UZ-normalized'!$E:$E, MATCH($A47, 'UZ-normalized'!$A:$A, 0))&gt;0, -(5*INDEX('UZ-normalized'!$D:$D, MATCH($A47, 'UZ-normalized'!$A:$A, 0))-INDEX('UZ-normalized'!$E:$E, MATCH($A47, 'UZ-normalized'!$A:$A, 0))), 0), 0)))</f>
        <v>0</v>
      </c>
      <c r="T47" s="6">
        <f>MIN(0, N47+(IFERROR(IF(6*INDEX('UA-normalized'!$D:$D, MATCH($A47, 'UA-normalized'!$A:$A, 0))-INDEX('UA-normalized'!$E:$E, MATCH($A47, 'UA-normalized'!$A:$A, 0))&gt;0, -(6*INDEX('UA-normalized'!$D:$D, MATCH($A47, 'UA-normalized'!$A:$A, 0))-INDEX('UA-normalized'!$E:$E, MATCH($A47, 'UA-normalized'!$A:$A, 0))), 0), 0))+(IFERROR(IF(6*INDEX('KZ-normalized'!$D:$D, MATCH($A47, 'KZ-normalized'!$A:$A, 0))-INDEX('KZ-normalized'!$E:$E, MATCH($A47, 'KZ-normalized'!$A:$A, 0))&gt;0, -(6*INDEX('KZ-normalized'!$D:$D, MATCH($A47, 'KZ-normalized'!$A:$A, 0))-INDEX('KZ-normalized'!$E:$E, MATCH($A47, 'KZ-normalized'!$A:$A, 0))), 0), 0))+(IFERROR(IF(6*INDEX('UZ-normalized'!$D:$D, MATCH($A47, 'UZ-normalized'!$A:$A, 0))-INDEX('UZ-normalized'!$E:$E, MATCH($A47, 'UZ-normalized'!$A:$A, 0))&gt;0, -(6*INDEX('UZ-normalized'!$D:$D, MATCH($A47, 'UZ-normalized'!$A:$A, 0))-INDEX('UZ-normalized'!$E:$E, MATCH($A47, 'UZ-normalized'!$A:$A, 0))), 0), 0)))</f>
        <v>0</v>
      </c>
      <c r="U47" s="6">
        <f>MIN(0, N47+(IFERROR(IF(7*INDEX('UA-normalized'!$D:$D, MATCH($A47, 'UA-normalized'!$A:$A, 0))-INDEX('UA-normalized'!$E:$E, MATCH($A47, 'UA-normalized'!$A:$A, 0))&gt;0, -(7*INDEX('UA-normalized'!$D:$D, MATCH($A47, 'UA-normalized'!$A:$A, 0))-INDEX('UA-normalized'!$E:$E, MATCH($A47, 'UA-normalized'!$A:$A, 0))), 0), 0))+(IFERROR(IF(7*INDEX('KZ-normalized'!$D:$D, MATCH($A47, 'KZ-normalized'!$A:$A, 0))-INDEX('KZ-normalized'!$E:$E, MATCH($A47, 'KZ-normalized'!$A:$A, 0))&gt;0, -(7*INDEX('KZ-normalized'!$D:$D, MATCH($A47, 'KZ-normalized'!$A:$A, 0))-INDEX('KZ-normalized'!$E:$E, MATCH($A47, 'KZ-normalized'!$A:$A, 0))), 0), 0))+(IFERROR(IF(7*INDEX('UZ-normalized'!$D:$D, MATCH($A47, 'UZ-normalized'!$A:$A, 0))-INDEX('UZ-normalized'!$E:$E, MATCH($A47, 'UZ-normalized'!$A:$A, 0))&gt;0, -(7*INDEX('UZ-normalized'!$D:$D, MATCH($A47, 'UZ-normalized'!$A:$A, 0))-INDEX('UZ-normalized'!$E:$E, MATCH($A47, 'UZ-normalized'!$A:$A, 0))), 0), 0)))</f>
        <v>0</v>
      </c>
      <c r="V47" s="6">
        <f>MIN(0, N47+(IFERROR(IF(8*INDEX('UA-normalized'!$D:$D, MATCH($A47, 'UA-normalized'!$A:$A, 0))-INDEX('UA-normalized'!$E:$E, MATCH($A47, 'UA-normalized'!$A:$A, 0))&gt;0, -(8*INDEX('UA-normalized'!$D:$D, MATCH($A47, 'UA-normalized'!$A:$A, 0))-INDEX('UA-normalized'!$E:$E, MATCH($A47, 'UA-normalized'!$A:$A, 0))), 0), 0))+(IFERROR(IF(8*INDEX('KZ-normalized'!$D:$D, MATCH($A47, 'KZ-normalized'!$A:$A, 0))-INDEX('KZ-normalized'!$E:$E, MATCH($A47, 'KZ-normalized'!$A:$A, 0))&gt;0, -(8*INDEX('KZ-normalized'!$D:$D, MATCH($A47, 'KZ-normalized'!$A:$A, 0))-INDEX('KZ-normalized'!$E:$E, MATCH($A47, 'KZ-normalized'!$A:$A, 0))), 0), 0))+(IFERROR(IF(8*INDEX('UZ-normalized'!$D:$D, MATCH($A47, 'UZ-normalized'!$A:$A, 0))-INDEX('UZ-normalized'!$E:$E, MATCH($A47, 'UZ-normalized'!$A:$A, 0))&gt;0, -(8*INDEX('UZ-normalized'!$D:$D, MATCH($A47, 'UZ-normalized'!$A:$A, 0))-INDEX('UZ-normalized'!$E:$E, MATCH($A47, 'UZ-normalized'!$A:$A, 0))), 0), 0)))</f>
        <v>0</v>
      </c>
      <c r="W47" s="6">
        <f>MIN(0, N47+(IFERROR(IF(9*INDEX('UA-normalized'!$D:$D, MATCH($A47, 'UA-normalized'!$A:$A, 0))-INDEX('UA-normalized'!$E:$E, MATCH($A47, 'UA-normalized'!$A:$A, 0))&gt;0, -(9*INDEX('UA-normalized'!$D:$D, MATCH($A47, 'UA-normalized'!$A:$A, 0))-INDEX('UA-normalized'!$E:$E, MATCH($A47, 'UA-normalized'!$A:$A, 0))), 0), 0))+(IFERROR(IF(9*INDEX('KZ-normalized'!$D:$D, MATCH($A47, 'KZ-normalized'!$A:$A, 0))-INDEX('KZ-normalized'!$E:$E, MATCH($A47, 'KZ-normalized'!$A:$A, 0))&gt;0, -(9*INDEX('KZ-normalized'!$D:$D, MATCH($A47, 'KZ-normalized'!$A:$A, 0))-INDEX('KZ-normalized'!$E:$E, MATCH($A47, 'KZ-normalized'!$A:$A, 0))), 0), 0))+(IFERROR(IF(9*INDEX('UZ-normalized'!$D:$D, MATCH($A47, 'UZ-normalized'!$A:$A, 0))-INDEX('UZ-normalized'!$E:$E, MATCH($A47, 'UZ-normalized'!$A:$A, 0))&gt;0, -(9*INDEX('UZ-normalized'!$D:$D, MATCH($A47, 'UZ-normalized'!$A:$A, 0))-INDEX('UZ-normalized'!$E:$E, MATCH($A47, 'UZ-normalized'!$A:$A, 0))), 0), 0)))</f>
        <v>0</v>
      </c>
      <c r="X47" s="6">
        <f>MIN(0, N47+(IFERROR(IF(10*INDEX('UA-normalized'!$D:$D, MATCH($A47, 'UA-normalized'!$A:$A, 0))-INDEX('UA-normalized'!$E:$E, MATCH($A47, 'UA-normalized'!$A:$A, 0))&gt;0, -(10*INDEX('UA-normalized'!$D:$D, MATCH($A47, 'UA-normalized'!$A:$A, 0))-INDEX('UA-normalized'!$E:$E, MATCH($A47, 'UA-normalized'!$A:$A, 0))), 0), 0))+(IFERROR(IF(10*INDEX('KZ-normalized'!$D:$D, MATCH($A47, 'KZ-normalized'!$A:$A, 0))-INDEX('KZ-normalized'!$E:$E, MATCH($A47, 'KZ-normalized'!$A:$A, 0))&gt;0, -(10*INDEX('KZ-normalized'!$D:$D, MATCH($A47, 'KZ-normalized'!$A:$A, 0))-INDEX('KZ-normalized'!$E:$E, MATCH($A47, 'KZ-normalized'!$A:$A, 0))), 0), 0))+(IFERROR(IF(10*INDEX('UZ-normalized'!$D:$D, MATCH($A47, 'UZ-normalized'!$A:$A, 0))-INDEX('UZ-normalized'!$E:$E, MATCH($A47, 'UZ-normalized'!$A:$A, 0))&gt;0, -(10*INDEX('UZ-normalized'!$D:$D, MATCH($A47, 'UZ-normalized'!$A:$A, 0))-INDEX('UZ-normalized'!$E:$E, MATCH($A47, 'UZ-normalized'!$A:$A, 0))), 0), 0)))</f>
        <v>0</v>
      </c>
      <c r="Y47" s="6">
        <f>MIN(0, N47+(IFERROR(IF(11*INDEX('UA-normalized'!$D:$D, MATCH($A47, 'UA-normalized'!$A:$A, 0))-INDEX('UA-normalized'!$E:$E, MATCH($A47, 'UA-normalized'!$A:$A, 0))&gt;0, -(11*INDEX('UA-normalized'!$D:$D, MATCH($A47, 'UA-normalized'!$A:$A, 0))-INDEX('UA-normalized'!$E:$E, MATCH($A47, 'UA-normalized'!$A:$A, 0))), 0), 0))+(IFERROR(IF(11*INDEX('KZ-normalized'!$D:$D, MATCH($A47, 'KZ-normalized'!$A:$A, 0))-INDEX('KZ-normalized'!$E:$E, MATCH($A47, 'KZ-normalized'!$A:$A, 0))&gt;0, -(11*INDEX('KZ-normalized'!$D:$D, MATCH($A47, 'KZ-normalized'!$A:$A, 0))-INDEX('KZ-normalized'!$E:$E, MATCH($A47, 'KZ-normalized'!$A:$A, 0))), 0), 0))+(IFERROR(IF(11*INDEX('UZ-normalized'!$D:$D, MATCH($A47, 'UZ-normalized'!$A:$A, 0))-INDEX('UZ-normalized'!$E:$E, MATCH($A47, 'UZ-normalized'!$A:$A, 0))&gt;0, -(11*INDEX('UZ-normalized'!$D:$D, MATCH($A47, 'UZ-normalized'!$A:$A, 0))-INDEX('UZ-normalized'!$E:$E, MATCH($A47, 'UZ-normalized'!$A:$A, 0))), 0), 0)))</f>
        <v>0</v>
      </c>
      <c r="Z47" s="6">
        <f>MIN(0, N47+(IFERROR(IF(12*INDEX('UA-normalized'!$D:$D, MATCH($A47, 'UA-normalized'!$A:$A, 0))-INDEX('UA-normalized'!$E:$E, MATCH($A47, 'UA-normalized'!$A:$A, 0))&gt;0, -(12*INDEX('UA-normalized'!$D:$D, MATCH($A47, 'UA-normalized'!$A:$A, 0))-INDEX('UA-normalized'!$E:$E, MATCH($A47, 'UA-normalized'!$A:$A, 0))), 0), 0))+(IFERROR(IF(12*INDEX('KZ-normalized'!$D:$D, MATCH($A47, 'KZ-normalized'!$A:$A, 0))-INDEX('KZ-normalized'!$E:$E, MATCH($A47, 'KZ-normalized'!$A:$A, 0))&gt;0, -(12*INDEX('KZ-normalized'!$D:$D, MATCH($A47, 'KZ-normalized'!$A:$A, 0))-INDEX('KZ-normalized'!$E:$E, MATCH($A47, 'KZ-normalized'!$A:$A, 0))), 0), 0))+(IFERROR(IF(12*INDEX('UZ-normalized'!$D:$D, MATCH($A47, 'UZ-normalized'!$A:$A, 0))-INDEX('UZ-normalized'!$E:$E, MATCH($A47, 'UZ-normalized'!$A:$A, 0))&gt;0, -(12*INDEX('UZ-normalized'!$D:$D, MATCH($A47, 'UZ-normalized'!$A:$A, 0))-INDEX('UZ-normalized'!$E:$E, MATCH($A47, 'UZ-normalized'!$A:$A, 0))), 0), 0)))</f>
        <v>-500</v>
      </c>
      <c r="AA47" s="6">
        <f>MIN(0, N47+(IFERROR(IF(13*INDEX('UA-normalized'!$D:$D, MATCH($A47, 'UA-normalized'!$A:$A, 0))-INDEX('UA-normalized'!$E:$E, MATCH($A47, 'UA-normalized'!$A:$A, 0))&gt;0, -(13*INDEX('UA-normalized'!$D:$D, MATCH($A47, 'UA-normalized'!$A:$A, 0))-INDEX('UA-normalized'!$E:$E, MATCH($A47, 'UA-normalized'!$A:$A, 0))), 0), 0))+(IFERROR(IF(13*INDEX('KZ-normalized'!$D:$D, MATCH($A47, 'KZ-normalized'!$A:$A, 0))-INDEX('KZ-normalized'!$E:$E, MATCH($A47, 'KZ-normalized'!$A:$A, 0))&gt;0, -(13*INDEX('KZ-normalized'!$D:$D, MATCH($A47, 'KZ-normalized'!$A:$A, 0))-INDEX('KZ-normalized'!$E:$E, MATCH($A47, 'KZ-normalized'!$A:$A, 0))), 0), 0))+(IFERROR(IF(13*INDEX('UZ-normalized'!$D:$D, MATCH($A47, 'UZ-normalized'!$A:$A, 0))-INDEX('UZ-normalized'!$E:$E, MATCH($A47, 'UZ-normalized'!$A:$A, 0))&gt;0, -(13*INDEX('UZ-normalized'!$D:$D, MATCH($A47, 'UZ-normalized'!$A:$A, 0))-INDEX('UZ-normalized'!$E:$E, MATCH($A47, 'UZ-normalized'!$A:$A, 0))), 0), 0)))</f>
        <v>-1094</v>
      </c>
      <c r="AB47" s="6">
        <f>MIN(0, N47+(IFERROR(IF(14*INDEX('UA-normalized'!$D:$D, MATCH($A47, 'UA-normalized'!$A:$A, 0))-INDEX('UA-normalized'!$E:$E, MATCH($A47, 'UA-normalized'!$A:$A, 0))&gt;0, -(14*INDEX('UA-normalized'!$D:$D, MATCH($A47, 'UA-normalized'!$A:$A, 0))-INDEX('UA-normalized'!$E:$E, MATCH($A47, 'UA-normalized'!$A:$A, 0))), 0), 0))+(IFERROR(IF(14*INDEX('KZ-normalized'!$D:$D, MATCH($A47, 'KZ-normalized'!$A:$A, 0))-INDEX('KZ-normalized'!$E:$E, MATCH($A47, 'KZ-normalized'!$A:$A, 0))&gt;0, -(14*INDEX('KZ-normalized'!$D:$D, MATCH($A47, 'KZ-normalized'!$A:$A, 0))-INDEX('KZ-normalized'!$E:$E, MATCH($A47, 'KZ-normalized'!$A:$A, 0))), 0), 0))+(IFERROR(IF(14*INDEX('UZ-normalized'!$D:$D, MATCH($A47, 'UZ-normalized'!$A:$A, 0))-INDEX('UZ-normalized'!$E:$E, MATCH($A47, 'UZ-normalized'!$A:$A, 0))&gt;0, -(14*INDEX('UZ-normalized'!$D:$D, MATCH($A47, 'UZ-normalized'!$A:$A, 0))-INDEX('UZ-normalized'!$E:$E, MATCH($A47, 'UZ-normalized'!$A:$A, 0))), 0), 0)))</f>
        <v>-1688</v>
      </c>
      <c r="AC47" s="6">
        <f>MIN(0, N47+(IFERROR(IF(15*INDEX('UA-normalized'!$D:$D, MATCH($A47, 'UA-normalized'!$A:$A, 0))-INDEX('UA-normalized'!$E:$E, MATCH($A47, 'UA-normalized'!$A:$A, 0))&gt;0, -(15*INDEX('UA-normalized'!$D:$D, MATCH($A47, 'UA-normalized'!$A:$A, 0))-INDEX('UA-normalized'!$E:$E, MATCH($A47, 'UA-normalized'!$A:$A, 0))), 0), 0))+(IFERROR(IF(15*INDEX('KZ-normalized'!$D:$D, MATCH($A47, 'KZ-normalized'!$A:$A, 0))-INDEX('KZ-normalized'!$E:$E, MATCH($A47, 'KZ-normalized'!$A:$A, 0))&gt;0, -(15*INDEX('KZ-normalized'!$D:$D, MATCH($A47, 'KZ-normalized'!$A:$A, 0))-INDEX('KZ-normalized'!$E:$E, MATCH($A47, 'KZ-normalized'!$A:$A, 0))), 0), 0))+(IFERROR(IF(15*INDEX('UZ-normalized'!$D:$D, MATCH($A47, 'UZ-normalized'!$A:$A, 0))-INDEX('UZ-normalized'!$E:$E, MATCH($A47, 'UZ-normalized'!$A:$A, 0))&gt;0, -(15*INDEX('UZ-normalized'!$D:$D, MATCH($A47, 'UZ-normalized'!$A:$A, 0))-INDEX('UZ-normalized'!$E:$E, MATCH($A47, 'UZ-normalized'!$A:$A, 0))), 0), 0)))</f>
        <v>-2282</v>
      </c>
      <c r="AD47" s="6">
        <f>MIN(0, N47+(IFERROR(IF(16*INDEX('UA-normalized'!$D:$D, MATCH($A47, 'UA-normalized'!$A:$A, 0))-INDEX('UA-normalized'!$E:$E, MATCH($A47, 'UA-normalized'!$A:$A, 0))&gt;0, -(16*INDEX('UA-normalized'!$D:$D, MATCH($A47, 'UA-normalized'!$A:$A, 0))-INDEX('UA-normalized'!$E:$E, MATCH($A47, 'UA-normalized'!$A:$A, 0))), 0), 0))+(IFERROR(IF(16*INDEX('KZ-normalized'!$D:$D, MATCH($A47, 'KZ-normalized'!$A:$A, 0))-INDEX('KZ-normalized'!$E:$E, MATCH($A47, 'KZ-normalized'!$A:$A, 0))&gt;0, -(16*INDEX('KZ-normalized'!$D:$D, MATCH($A47, 'KZ-normalized'!$A:$A, 0))-INDEX('KZ-normalized'!$E:$E, MATCH($A47, 'KZ-normalized'!$A:$A, 0))), 0), 0))+(IFERROR(IF(16*INDEX('UZ-normalized'!$D:$D, MATCH($A47, 'UZ-normalized'!$A:$A, 0))-INDEX('UZ-normalized'!$E:$E, MATCH($A47, 'UZ-normalized'!$A:$A, 0))&gt;0, -(16*INDEX('UZ-normalized'!$D:$D, MATCH($A47, 'UZ-normalized'!$A:$A, 0))-INDEX('UZ-normalized'!$E:$E, MATCH($A47, 'UZ-normalized'!$A:$A, 0))), 0), 0)))</f>
        <v>-2876</v>
      </c>
      <c r="AE47" s="6">
        <f>MIN(0, N47+(IFERROR(IF(17*INDEX('UA-normalized'!$D:$D, MATCH($A47, 'UA-normalized'!$A:$A, 0))-INDEX('UA-normalized'!$E:$E, MATCH($A47, 'UA-normalized'!$A:$A, 0))&gt;0, -(17*INDEX('UA-normalized'!$D:$D, MATCH($A47, 'UA-normalized'!$A:$A, 0))-INDEX('UA-normalized'!$E:$E, MATCH($A47, 'UA-normalized'!$A:$A, 0))), 0), 0))+(IFERROR(IF(17*INDEX('KZ-normalized'!$D:$D, MATCH($A47, 'KZ-normalized'!$A:$A, 0))-INDEX('KZ-normalized'!$E:$E, MATCH($A47, 'KZ-normalized'!$A:$A, 0))&gt;0, -(17*INDEX('KZ-normalized'!$D:$D, MATCH($A47, 'KZ-normalized'!$A:$A, 0))-INDEX('KZ-normalized'!$E:$E, MATCH($A47, 'KZ-normalized'!$A:$A, 0))), 0), 0))+(IFERROR(IF(17*INDEX('UZ-normalized'!$D:$D, MATCH($A47, 'UZ-normalized'!$A:$A, 0))-INDEX('UZ-normalized'!$E:$E, MATCH($A47, 'UZ-normalized'!$A:$A, 0))&gt;0, -(17*INDEX('UZ-normalized'!$D:$D, MATCH($A47, 'UZ-normalized'!$A:$A, 0))-INDEX('UZ-normalized'!$E:$E, MATCH($A47, 'UZ-normalized'!$A:$A, 0))), 0), 0)))</f>
        <v>-3470</v>
      </c>
      <c r="AF47" s="6">
        <f>MIN(0, N47+(IFERROR(IF(18*INDEX('UA-normalized'!$D:$D, MATCH($A47, 'UA-normalized'!$A:$A, 0))-INDEX('UA-normalized'!$E:$E, MATCH($A47, 'UA-normalized'!$A:$A, 0))&gt;0, -(18*INDEX('UA-normalized'!$D:$D, MATCH($A47, 'UA-normalized'!$A:$A, 0))-INDEX('UA-normalized'!$E:$E, MATCH($A47, 'UA-normalized'!$A:$A, 0))), 0), 0))+(IFERROR(IF(18*INDEX('KZ-normalized'!$D:$D, MATCH($A47, 'KZ-normalized'!$A:$A, 0))-INDEX('KZ-normalized'!$E:$E, MATCH($A47, 'KZ-normalized'!$A:$A, 0))&gt;0, -(18*INDEX('KZ-normalized'!$D:$D, MATCH($A47, 'KZ-normalized'!$A:$A, 0))-INDEX('KZ-normalized'!$E:$E, MATCH($A47, 'KZ-normalized'!$A:$A, 0))), 0), 0))+(IFERROR(IF(18*INDEX('UZ-normalized'!$D:$D, MATCH($A47, 'UZ-normalized'!$A:$A, 0))-INDEX('UZ-normalized'!$E:$E, MATCH($A47, 'UZ-normalized'!$A:$A, 0))&gt;0, -(18*INDEX('UZ-normalized'!$D:$D, MATCH($A47, 'UZ-normalized'!$A:$A, 0))-INDEX('UZ-normalized'!$E:$E, MATCH($A47, 'UZ-normalized'!$A:$A, 0))), 0), 0)))</f>
        <v>-4064</v>
      </c>
      <c r="AG47" s="6">
        <f>MIN(0, N47+(IFERROR(IF(19*INDEX('UA-normalized'!$D:$D, MATCH($A47, 'UA-normalized'!$A:$A, 0))-INDEX('UA-normalized'!$E:$E, MATCH($A47, 'UA-normalized'!$A:$A, 0))&gt;0, -(19*INDEX('UA-normalized'!$D:$D, MATCH($A47, 'UA-normalized'!$A:$A, 0))-INDEX('UA-normalized'!$E:$E, MATCH($A47, 'UA-normalized'!$A:$A, 0))), 0), 0))+(IFERROR(IF(19*INDEX('KZ-normalized'!$D:$D, MATCH($A47, 'KZ-normalized'!$A:$A, 0))-INDEX('KZ-normalized'!$E:$E, MATCH($A47, 'KZ-normalized'!$A:$A, 0))&gt;0, -(19*INDEX('KZ-normalized'!$D:$D, MATCH($A47, 'KZ-normalized'!$A:$A, 0))-INDEX('KZ-normalized'!$E:$E, MATCH($A47, 'KZ-normalized'!$A:$A, 0))), 0), 0))+(IFERROR(IF(19*INDEX('UZ-normalized'!$D:$D, MATCH($A47, 'UZ-normalized'!$A:$A, 0))-INDEX('UZ-normalized'!$E:$E, MATCH($A47, 'UZ-normalized'!$A:$A, 0))&gt;0, -(19*INDEX('UZ-normalized'!$D:$D, MATCH($A47, 'UZ-normalized'!$A:$A, 0))-INDEX('UZ-normalized'!$E:$E, MATCH($A47, 'UZ-normalized'!$A:$A, 0))), 0), 0)))</f>
        <v>-4658</v>
      </c>
      <c r="AH47" s="6">
        <f>MIN(0, N47+(IFERROR(IF(20*INDEX('UA-normalized'!$D:$D, MATCH($A47, 'UA-normalized'!$A:$A, 0))-INDEX('UA-normalized'!$E:$E, MATCH($A47, 'UA-normalized'!$A:$A, 0))&gt;0, -(20*INDEX('UA-normalized'!$D:$D, MATCH($A47, 'UA-normalized'!$A:$A, 0))-INDEX('UA-normalized'!$E:$E, MATCH($A47, 'UA-normalized'!$A:$A, 0))), 0), 0))+(IFERROR(IF(20*INDEX('KZ-normalized'!$D:$D, MATCH($A47, 'KZ-normalized'!$A:$A, 0))-INDEX('KZ-normalized'!$E:$E, MATCH($A47, 'KZ-normalized'!$A:$A, 0))&gt;0, -(20*INDEX('KZ-normalized'!$D:$D, MATCH($A47, 'KZ-normalized'!$A:$A, 0))-INDEX('KZ-normalized'!$E:$E, MATCH($A47, 'KZ-normalized'!$A:$A, 0))), 0), 0))+(IFERROR(IF(20*INDEX('UZ-normalized'!$D:$D, MATCH($A47, 'UZ-normalized'!$A:$A, 0))-INDEX('UZ-normalized'!$E:$E, MATCH($A47, 'UZ-normalized'!$A:$A, 0))&gt;0, -(20*INDEX('UZ-normalized'!$D:$D, MATCH($A47, 'UZ-normalized'!$A:$A, 0))-INDEX('UZ-normalized'!$E:$E, MATCH($A47, 'UZ-normalized'!$A:$A, 0))), 0), 0)))</f>
        <v>-5252</v>
      </c>
      <c r="AI47" s="6">
        <f>MIN(0, N47+(IFERROR(IF(21*INDEX('UA-normalized'!$D:$D, MATCH($A47, 'UA-normalized'!$A:$A, 0))-INDEX('UA-normalized'!$E:$E, MATCH($A47, 'UA-normalized'!$A:$A, 0))&gt;0, -(21*INDEX('UA-normalized'!$D:$D, MATCH($A47, 'UA-normalized'!$A:$A, 0))-INDEX('UA-normalized'!$E:$E, MATCH($A47, 'UA-normalized'!$A:$A, 0))), 0), 0))+(IFERROR(IF(21*INDEX('KZ-normalized'!$D:$D, MATCH($A47, 'KZ-normalized'!$A:$A, 0))-INDEX('KZ-normalized'!$E:$E, MATCH($A47, 'KZ-normalized'!$A:$A, 0))&gt;0, -(21*INDEX('KZ-normalized'!$D:$D, MATCH($A47, 'KZ-normalized'!$A:$A, 0))-INDEX('KZ-normalized'!$E:$E, MATCH($A47, 'KZ-normalized'!$A:$A, 0))), 0), 0))+(IFERROR(IF(21*INDEX('UZ-normalized'!$D:$D, MATCH($A47, 'UZ-normalized'!$A:$A, 0))-INDEX('UZ-normalized'!$E:$E, MATCH($A47, 'UZ-normalized'!$A:$A, 0))&gt;0, -(21*INDEX('UZ-normalized'!$D:$D, MATCH($A47, 'UZ-normalized'!$A:$A, 0))-INDEX('UZ-normalized'!$E:$E, MATCH($A47, 'UZ-normalized'!$A:$A, 0))), 0), 0)))</f>
        <v>-5846</v>
      </c>
      <c r="AJ47" s="6">
        <f>MIN(0, N47+(IFERROR(IF(22*INDEX('UA-normalized'!$D:$D, MATCH($A47, 'UA-normalized'!$A:$A, 0))-INDEX('UA-normalized'!$E:$E, MATCH($A47, 'UA-normalized'!$A:$A, 0))&gt;0, -(22*INDEX('UA-normalized'!$D:$D, MATCH($A47, 'UA-normalized'!$A:$A, 0))-INDEX('UA-normalized'!$E:$E, MATCH($A47, 'UA-normalized'!$A:$A, 0))), 0), 0))+(IFERROR(IF(22*INDEX('KZ-normalized'!$D:$D, MATCH($A47, 'KZ-normalized'!$A:$A, 0))-INDEX('KZ-normalized'!$E:$E, MATCH($A47, 'KZ-normalized'!$A:$A, 0))&gt;0, -(22*INDEX('KZ-normalized'!$D:$D, MATCH($A47, 'KZ-normalized'!$A:$A, 0))-INDEX('KZ-normalized'!$E:$E, MATCH($A47, 'KZ-normalized'!$A:$A, 0))), 0), 0))+(IFERROR(IF(22*INDEX('UZ-normalized'!$D:$D, MATCH($A47, 'UZ-normalized'!$A:$A, 0))-INDEX('UZ-normalized'!$E:$E, MATCH($A47, 'UZ-normalized'!$A:$A, 0))&gt;0, -(22*INDEX('UZ-normalized'!$D:$D, MATCH($A47, 'UZ-normalized'!$A:$A, 0))-INDEX('UZ-normalized'!$E:$E, MATCH($A47, 'UZ-normalized'!$A:$A, 0))), 0), 0)))</f>
        <v>-6440</v>
      </c>
      <c r="AK47" s="6">
        <f>MIN(0, N47+(IFERROR(IF(23*INDEX('UA-normalized'!$D:$D, MATCH($A47, 'UA-normalized'!$A:$A, 0))-INDEX('UA-normalized'!$E:$E, MATCH($A47, 'UA-normalized'!$A:$A, 0))&gt;0, -(23*INDEX('UA-normalized'!$D:$D, MATCH($A47, 'UA-normalized'!$A:$A, 0))-INDEX('UA-normalized'!$E:$E, MATCH($A47, 'UA-normalized'!$A:$A, 0))), 0), 0))+(IFERROR(IF(23*INDEX('KZ-normalized'!$D:$D, MATCH($A47, 'KZ-normalized'!$A:$A, 0))-INDEX('KZ-normalized'!$E:$E, MATCH($A47, 'KZ-normalized'!$A:$A, 0))&gt;0, -(23*INDEX('KZ-normalized'!$D:$D, MATCH($A47, 'KZ-normalized'!$A:$A, 0))-INDEX('KZ-normalized'!$E:$E, MATCH($A47, 'KZ-normalized'!$A:$A, 0))), 0), 0))+(IFERROR(IF(23*INDEX('UZ-normalized'!$D:$D, MATCH($A47, 'UZ-normalized'!$A:$A, 0))-INDEX('UZ-normalized'!$E:$E, MATCH($A47, 'UZ-normalized'!$A:$A, 0))&gt;0, -(23*INDEX('UZ-normalized'!$D:$D, MATCH($A47, 'UZ-normalized'!$A:$A, 0))-INDEX('UZ-normalized'!$E:$E, MATCH($A47, 'UZ-normalized'!$A:$A, 0))), 0), 0)))</f>
        <v>-7034</v>
      </c>
      <c r="AL47" s="6">
        <f>MIN(0, N47+(IFERROR(IF(24*INDEX('UA-normalized'!$D:$D, MATCH($A47, 'UA-normalized'!$A:$A, 0))-INDEX('UA-normalized'!$E:$E, MATCH($A47, 'UA-normalized'!$A:$A, 0))&gt;0, -(24*INDEX('UA-normalized'!$D:$D, MATCH($A47, 'UA-normalized'!$A:$A, 0))-INDEX('UA-normalized'!$E:$E, MATCH($A47, 'UA-normalized'!$A:$A, 0))), 0), 0))+(IFERROR(IF(24*INDEX('KZ-normalized'!$D:$D, MATCH($A47, 'KZ-normalized'!$A:$A, 0))-INDEX('KZ-normalized'!$E:$E, MATCH($A47, 'KZ-normalized'!$A:$A, 0))&gt;0, -(24*INDEX('KZ-normalized'!$D:$D, MATCH($A47, 'KZ-normalized'!$A:$A, 0))-INDEX('KZ-normalized'!$E:$E, MATCH($A47, 'KZ-normalized'!$A:$A, 0))), 0), 0))+(IFERROR(IF(24*INDEX('UZ-normalized'!$D:$D, MATCH($A47, 'UZ-normalized'!$A:$A, 0))-INDEX('UZ-normalized'!$E:$E, MATCH($A47, 'UZ-normalized'!$A:$A, 0))&gt;0, -(24*INDEX('UZ-normalized'!$D:$D, MATCH($A47, 'UZ-normalized'!$A:$A, 0))-INDEX('UZ-normalized'!$E:$E, MATCH($A47, 'UZ-normalized'!$A:$A, 0))), 0), 0)))</f>
        <v>-7628</v>
      </c>
      <c r="AM47" s="6">
        <f>MIN(0, N47+(IFERROR(IF(25*INDEX('UA-normalized'!$D:$D, MATCH($A47, 'UA-normalized'!$A:$A, 0))-INDEX('UA-normalized'!$E:$E, MATCH($A47, 'UA-normalized'!$A:$A, 0))&gt;0, -(25*INDEX('UA-normalized'!$D:$D, MATCH($A47, 'UA-normalized'!$A:$A, 0))-INDEX('UA-normalized'!$E:$E, MATCH($A47, 'UA-normalized'!$A:$A, 0))), 0), 0))+(IFERROR(IF(25*INDEX('KZ-normalized'!$D:$D, MATCH($A47, 'KZ-normalized'!$A:$A, 0))-INDEX('KZ-normalized'!$E:$E, MATCH($A47, 'KZ-normalized'!$A:$A, 0))&gt;0, -(25*INDEX('KZ-normalized'!$D:$D, MATCH($A47, 'KZ-normalized'!$A:$A, 0))-INDEX('KZ-normalized'!$E:$E, MATCH($A47, 'KZ-normalized'!$A:$A, 0))), 0), 0))+(IFERROR(IF(25*INDEX('UZ-normalized'!$D:$D, MATCH($A47, 'UZ-normalized'!$A:$A, 0))-INDEX('UZ-normalized'!$E:$E, MATCH($A47, 'UZ-normalized'!$A:$A, 0))&gt;0, -(25*INDEX('UZ-normalized'!$D:$D, MATCH($A47, 'UZ-normalized'!$A:$A, 0))-INDEX('UZ-normalized'!$E:$E, MATCH($A47, 'UZ-normalized'!$A:$A, 0))), 0), 0)))</f>
        <v>-8222</v>
      </c>
      <c r="AN47" s="6">
        <f>MIN(0, N47+(IFERROR(IF(26*INDEX('UA-normalized'!$D:$D, MATCH($A47, 'UA-normalized'!$A:$A, 0))-INDEX('UA-normalized'!$E:$E, MATCH($A47, 'UA-normalized'!$A:$A, 0))&gt;0, -(26*INDEX('UA-normalized'!$D:$D, MATCH($A47, 'UA-normalized'!$A:$A, 0))-INDEX('UA-normalized'!$E:$E, MATCH($A47, 'UA-normalized'!$A:$A, 0))), 0), 0))+(IFERROR(IF(26*INDEX('KZ-normalized'!$D:$D, MATCH($A47, 'KZ-normalized'!$A:$A, 0))-INDEX('KZ-normalized'!$E:$E, MATCH($A47, 'KZ-normalized'!$A:$A, 0))&gt;0, -(26*INDEX('KZ-normalized'!$D:$D, MATCH($A47, 'KZ-normalized'!$A:$A, 0))-INDEX('KZ-normalized'!$E:$E, MATCH($A47, 'KZ-normalized'!$A:$A, 0))), 0), 0))+(IFERROR(IF(26*INDEX('UZ-normalized'!$D:$D, MATCH($A47, 'UZ-normalized'!$A:$A, 0))-INDEX('UZ-normalized'!$E:$E, MATCH($A47, 'UZ-normalized'!$A:$A, 0))&gt;0, -(26*INDEX('UZ-normalized'!$D:$D, MATCH($A47, 'UZ-normalized'!$A:$A, 0))-INDEX('UZ-normalized'!$E:$E, MATCH($A47, 'UZ-normalized'!$A:$A, 0))), 0), 0)))</f>
        <v>-8816</v>
      </c>
      <c r="AO47" s="6">
        <f>MIN(0, N47+(IFERROR(IF(27*INDEX('UA-normalized'!$D:$D, MATCH($A47, 'UA-normalized'!$A:$A, 0))-INDEX('UA-normalized'!$E:$E, MATCH($A47, 'UA-normalized'!$A:$A, 0))&gt;0, -(27*INDEX('UA-normalized'!$D:$D, MATCH($A47, 'UA-normalized'!$A:$A, 0))-INDEX('UA-normalized'!$E:$E, MATCH($A47, 'UA-normalized'!$A:$A, 0))), 0), 0))+(IFERROR(IF(27*INDEX('KZ-normalized'!$D:$D, MATCH($A47, 'KZ-normalized'!$A:$A, 0))-INDEX('KZ-normalized'!$E:$E, MATCH($A47, 'KZ-normalized'!$A:$A, 0))&gt;0, -(27*INDEX('KZ-normalized'!$D:$D, MATCH($A47, 'KZ-normalized'!$A:$A, 0))-INDEX('KZ-normalized'!$E:$E, MATCH($A47, 'KZ-normalized'!$A:$A, 0))), 0), 0))+(IFERROR(IF(27*INDEX('UZ-normalized'!$D:$D, MATCH($A47, 'UZ-normalized'!$A:$A, 0))-INDEX('UZ-normalized'!$E:$E, MATCH($A47, 'UZ-normalized'!$A:$A, 0))&gt;0, -(27*INDEX('UZ-normalized'!$D:$D, MATCH($A47, 'UZ-normalized'!$A:$A, 0))-INDEX('UZ-normalized'!$E:$E, MATCH($A47, 'UZ-normalized'!$A:$A, 0))), 0), 0)))</f>
        <v>-9410</v>
      </c>
      <c r="AP47" s="6">
        <f>MIN(0, N47+(IFERROR(IF(28*INDEX('UA-normalized'!$D:$D, MATCH($A47, 'UA-normalized'!$A:$A, 0))-INDEX('UA-normalized'!$E:$E, MATCH($A47, 'UA-normalized'!$A:$A, 0))&gt;0, -(28*INDEX('UA-normalized'!$D:$D, MATCH($A47, 'UA-normalized'!$A:$A, 0))-INDEX('UA-normalized'!$E:$E, MATCH($A47, 'UA-normalized'!$A:$A, 0))), 0), 0))+(IFERROR(IF(28*INDEX('KZ-normalized'!$D:$D, MATCH($A47, 'KZ-normalized'!$A:$A, 0))-INDEX('KZ-normalized'!$E:$E, MATCH($A47, 'KZ-normalized'!$A:$A, 0))&gt;0, -(28*INDEX('KZ-normalized'!$D:$D, MATCH($A47, 'KZ-normalized'!$A:$A, 0))-INDEX('KZ-normalized'!$E:$E, MATCH($A47, 'KZ-normalized'!$A:$A, 0))), 0), 0))+(IFERROR(IF(28*INDEX('UZ-normalized'!$D:$D, MATCH($A47, 'UZ-normalized'!$A:$A, 0))-INDEX('UZ-normalized'!$E:$E, MATCH($A47, 'UZ-normalized'!$A:$A, 0))&gt;0, -(28*INDEX('UZ-normalized'!$D:$D, MATCH($A47, 'UZ-normalized'!$A:$A, 0))-INDEX('UZ-normalized'!$E:$E, MATCH($A47, 'UZ-normalized'!$A:$A, 0))), 0), 0)))</f>
        <v>-10004</v>
      </c>
      <c r="AQ47" s="6">
        <f>MIN(0, N47+(IFERROR(IF(29*INDEX('UA-normalized'!$D:$D, MATCH($A47, 'UA-normalized'!$A:$A, 0))-INDEX('UA-normalized'!$E:$E, MATCH($A47, 'UA-normalized'!$A:$A, 0))&gt;0, -(29*INDEX('UA-normalized'!$D:$D, MATCH($A47, 'UA-normalized'!$A:$A, 0))-INDEX('UA-normalized'!$E:$E, MATCH($A47, 'UA-normalized'!$A:$A, 0))), 0), 0))+(IFERROR(IF(29*INDEX('KZ-normalized'!$D:$D, MATCH($A47, 'KZ-normalized'!$A:$A, 0))-INDEX('KZ-normalized'!$E:$E, MATCH($A47, 'KZ-normalized'!$A:$A, 0))&gt;0, -(29*INDEX('KZ-normalized'!$D:$D, MATCH($A47, 'KZ-normalized'!$A:$A, 0))-INDEX('KZ-normalized'!$E:$E, MATCH($A47, 'KZ-normalized'!$A:$A, 0))), 0), 0))+(IFERROR(IF(29*INDEX('UZ-normalized'!$D:$D, MATCH($A47, 'UZ-normalized'!$A:$A, 0))-INDEX('UZ-normalized'!$E:$E, MATCH($A47, 'UZ-normalized'!$A:$A, 0))&gt;0, -(29*INDEX('UZ-normalized'!$D:$D, MATCH($A47, 'UZ-normalized'!$A:$A, 0))-INDEX('UZ-normalized'!$E:$E, MATCH($A47, 'UZ-normalized'!$A:$A, 0))), 0), 0)))</f>
        <v>-10598</v>
      </c>
      <c r="AR47" s="6">
        <f>MIN(0, N47+(IFERROR(IF(30*INDEX('UA-normalized'!$D:$D, MATCH($A47, 'UA-normalized'!$A:$A, 0))-INDEX('UA-normalized'!$E:$E, MATCH($A47, 'UA-normalized'!$A:$A, 0))&gt;0, -(30*INDEX('UA-normalized'!$D:$D, MATCH($A47, 'UA-normalized'!$A:$A, 0))-INDEX('UA-normalized'!$E:$E, MATCH($A47, 'UA-normalized'!$A:$A, 0))), 0), 0))+(IFERROR(IF(30*INDEX('KZ-normalized'!$D:$D, MATCH($A47, 'KZ-normalized'!$A:$A, 0))-INDEX('KZ-normalized'!$E:$E, MATCH($A47, 'KZ-normalized'!$A:$A, 0))&gt;0, -(30*INDEX('KZ-normalized'!$D:$D, MATCH($A47, 'KZ-normalized'!$A:$A, 0))-INDEX('KZ-normalized'!$E:$E, MATCH($A47, 'KZ-normalized'!$A:$A, 0))), 0), 0))+(IFERROR(IF(30*INDEX('UZ-normalized'!$D:$D, MATCH($A47, 'UZ-normalized'!$A:$A, 0))-INDEX('UZ-normalized'!$E:$E, MATCH($A47, 'UZ-normalized'!$A:$A, 0))&gt;0, -(30*INDEX('UZ-normalized'!$D:$D, MATCH($A47, 'UZ-normalized'!$A:$A, 0))-INDEX('UZ-normalized'!$E:$E, MATCH($A47, 'UZ-normalized'!$A:$A, 0))), 0), 0)))</f>
        <v>-11192</v>
      </c>
    </row>
    <row r="48" spans="1:44" x14ac:dyDescent="0.25">
      <c r="A48" s="8" t="s">
        <v>140</v>
      </c>
      <c r="B48" s="8" t="s">
        <v>83</v>
      </c>
      <c r="C48" s="8" t="s">
        <v>128</v>
      </c>
      <c r="D48" s="8" t="s">
        <v>141</v>
      </c>
      <c r="I48">
        <v>300</v>
      </c>
      <c r="N48">
        <f t="shared" si="0"/>
        <v>300</v>
      </c>
      <c r="O48" s="6">
        <f>MIN(0, N48+(IFERROR(IF(1*INDEX('UA-normalized'!$D:$D, MATCH($A48, 'UA-normalized'!$A:$A, 0))-INDEX('UA-normalized'!$E:$E, MATCH($A48, 'UA-normalized'!$A:$A, 0))&gt;0, -(1*INDEX('UA-normalized'!$D:$D, MATCH($A48, 'UA-normalized'!$A:$A, 0))-INDEX('UA-normalized'!$E:$E, MATCH($A48, 'UA-normalized'!$A:$A, 0))), 0), 0))+(IFERROR(IF(1*INDEX('KZ-normalized'!$D:$D, MATCH($A48, 'KZ-normalized'!$A:$A, 0))-INDEX('KZ-normalized'!$E:$E, MATCH($A48, 'KZ-normalized'!$A:$A, 0))&gt;0, -(1*INDEX('KZ-normalized'!$D:$D, MATCH($A48, 'KZ-normalized'!$A:$A, 0))-INDEX('KZ-normalized'!$E:$E, MATCH($A48, 'KZ-normalized'!$A:$A, 0))), 0), 0))+(IFERROR(IF(1*INDEX('UZ-normalized'!$D:$D, MATCH($A48, 'UZ-normalized'!$A:$A, 0))-INDEX('UZ-normalized'!$E:$E, MATCH($A48, 'UZ-normalized'!$A:$A, 0))&gt;0, -(1*INDEX('UZ-normalized'!$D:$D, MATCH($A48, 'UZ-normalized'!$A:$A, 0))-INDEX('UZ-normalized'!$E:$E, MATCH($A48, 'UZ-normalized'!$A:$A, 0))), 0), 0)))</f>
        <v>0</v>
      </c>
      <c r="P48" s="6">
        <f>MIN(0, N48+(IFERROR(IF(2*INDEX('UA-normalized'!$D:$D, MATCH($A48, 'UA-normalized'!$A:$A, 0))-INDEX('UA-normalized'!$E:$E, MATCH($A48, 'UA-normalized'!$A:$A, 0))&gt;0, -(2*INDEX('UA-normalized'!$D:$D, MATCH($A48, 'UA-normalized'!$A:$A, 0))-INDEX('UA-normalized'!$E:$E, MATCH($A48, 'UA-normalized'!$A:$A, 0))), 0), 0))+(IFERROR(IF(2*INDEX('KZ-normalized'!$D:$D, MATCH($A48, 'KZ-normalized'!$A:$A, 0))-INDEX('KZ-normalized'!$E:$E, MATCH($A48, 'KZ-normalized'!$A:$A, 0))&gt;0, -(2*INDEX('KZ-normalized'!$D:$D, MATCH($A48, 'KZ-normalized'!$A:$A, 0))-INDEX('KZ-normalized'!$E:$E, MATCH($A48, 'KZ-normalized'!$A:$A, 0))), 0), 0))+(IFERROR(IF(2*INDEX('UZ-normalized'!$D:$D, MATCH($A48, 'UZ-normalized'!$A:$A, 0))-INDEX('UZ-normalized'!$E:$E, MATCH($A48, 'UZ-normalized'!$A:$A, 0))&gt;0, -(2*INDEX('UZ-normalized'!$D:$D, MATCH($A48, 'UZ-normalized'!$A:$A, 0))-INDEX('UZ-normalized'!$E:$E, MATCH($A48, 'UZ-normalized'!$A:$A, 0))), 0), 0)))</f>
        <v>0</v>
      </c>
      <c r="Q48" s="6">
        <f>MIN(0, N48+(IFERROR(IF(3*INDEX('UA-normalized'!$D:$D, MATCH($A48, 'UA-normalized'!$A:$A, 0))-INDEX('UA-normalized'!$E:$E, MATCH($A48, 'UA-normalized'!$A:$A, 0))&gt;0, -(3*INDEX('UA-normalized'!$D:$D, MATCH($A48, 'UA-normalized'!$A:$A, 0))-INDEX('UA-normalized'!$E:$E, MATCH($A48, 'UA-normalized'!$A:$A, 0))), 0), 0))+(IFERROR(IF(3*INDEX('KZ-normalized'!$D:$D, MATCH($A48, 'KZ-normalized'!$A:$A, 0))-INDEX('KZ-normalized'!$E:$E, MATCH($A48, 'KZ-normalized'!$A:$A, 0))&gt;0, -(3*INDEX('KZ-normalized'!$D:$D, MATCH($A48, 'KZ-normalized'!$A:$A, 0))-INDEX('KZ-normalized'!$E:$E, MATCH($A48, 'KZ-normalized'!$A:$A, 0))), 0), 0))+(IFERROR(IF(3*INDEX('UZ-normalized'!$D:$D, MATCH($A48, 'UZ-normalized'!$A:$A, 0))-INDEX('UZ-normalized'!$E:$E, MATCH($A48, 'UZ-normalized'!$A:$A, 0))&gt;0, -(3*INDEX('UZ-normalized'!$D:$D, MATCH($A48, 'UZ-normalized'!$A:$A, 0))-INDEX('UZ-normalized'!$E:$E, MATCH($A48, 'UZ-normalized'!$A:$A, 0))), 0), 0)))</f>
        <v>-150</v>
      </c>
      <c r="R48" s="6">
        <f>MIN(0, N48+(IFERROR(IF(4*INDEX('UA-normalized'!$D:$D, MATCH($A48, 'UA-normalized'!$A:$A, 0))-INDEX('UA-normalized'!$E:$E, MATCH($A48, 'UA-normalized'!$A:$A, 0))&gt;0, -(4*INDEX('UA-normalized'!$D:$D, MATCH($A48, 'UA-normalized'!$A:$A, 0))-INDEX('UA-normalized'!$E:$E, MATCH($A48, 'UA-normalized'!$A:$A, 0))), 0), 0))+(IFERROR(IF(4*INDEX('KZ-normalized'!$D:$D, MATCH($A48, 'KZ-normalized'!$A:$A, 0))-INDEX('KZ-normalized'!$E:$E, MATCH($A48, 'KZ-normalized'!$A:$A, 0))&gt;0, -(4*INDEX('KZ-normalized'!$D:$D, MATCH($A48, 'KZ-normalized'!$A:$A, 0))-INDEX('KZ-normalized'!$E:$E, MATCH($A48, 'KZ-normalized'!$A:$A, 0))), 0), 0))+(IFERROR(IF(4*INDEX('UZ-normalized'!$D:$D, MATCH($A48, 'UZ-normalized'!$A:$A, 0))-INDEX('UZ-normalized'!$E:$E, MATCH($A48, 'UZ-normalized'!$A:$A, 0))&gt;0, -(4*INDEX('UZ-normalized'!$D:$D, MATCH($A48, 'UZ-normalized'!$A:$A, 0))-INDEX('UZ-normalized'!$E:$E, MATCH($A48, 'UZ-normalized'!$A:$A, 0))), 0), 0)))</f>
        <v>-300</v>
      </c>
      <c r="S48" s="6">
        <f>MIN(0, N48+(IFERROR(IF(5*INDEX('UA-normalized'!$D:$D, MATCH($A48, 'UA-normalized'!$A:$A, 0))-INDEX('UA-normalized'!$E:$E, MATCH($A48, 'UA-normalized'!$A:$A, 0))&gt;0, -(5*INDEX('UA-normalized'!$D:$D, MATCH($A48, 'UA-normalized'!$A:$A, 0))-INDEX('UA-normalized'!$E:$E, MATCH($A48, 'UA-normalized'!$A:$A, 0))), 0), 0))+(IFERROR(IF(5*INDEX('KZ-normalized'!$D:$D, MATCH($A48, 'KZ-normalized'!$A:$A, 0))-INDEX('KZ-normalized'!$E:$E, MATCH($A48, 'KZ-normalized'!$A:$A, 0))&gt;0, -(5*INDEX('KZ-normalized'!$D:$D, MATCH($A48, 'KZ-normalized'!$A:$A, 0))-INDEX('KZ-normalized'!$E:$E, MATCH($A48, 'KZ-normalized'!$A:$A, 0))), 0), 0))+(IFERROR(IF(5*INDEX('UZ-normalized'!$D:$D, MATCH($A48, 'UZ-normalized'!$A:$A, 0))-INDEX('UZ-normalized'!$E:$E, MATCH($A48, 'UZ-normalized'!$A:$A, 0))&gt;0, -(5*INDEX('UZ-normalized'!$D:$D, MATCH($A48, 'UZ-normalized'!$A:$A, 0))-INDEX('UZ-normalized'!$E:$E, MATCH($A48, 'UZ-normalized'!$A:$A, 0))), 0), 0)))</f>
        <v>-450</v>
      </c>
      <c r="T48" s="6">
        <f>MIN(0, N48+(IFERROR(IF(6*INDEX('UA-normalized'!$D:$D, MATCH($A48, 'UA-normalized'!$A:$A, 0))-INDEX('UA-normalized'!$E:$E, MATCH($A48, 'UA-normalized'!$A:$A, 0))&gt;0, -(6*INDEX('UA-normalized'!$D:$D, MATCH($A48, 'UA-normalized'!$A:$A, 0))-INDEX('UA-normalized'!$E:$E, MATCH($A48, 'UA-normalized'!$A:$A, 0))), 0), 0))+(IFERROR(IF(6*INDEX('KZ-normalized'!$D:$D, MATCH($A48, 'KZ-normalized'!$A:$A, 0))-INDEX('KZ-normalized'!$E:$E, MATCH($A48, 'KZ-normalized'!$A:$A, 0))&gt;0, -(6*INDEX('KZ-normalized'!$D:$D, MATCH($A48, 'KZ-normalized'!$A:$A, 0))-INDEX('KZ-normalized'!$E:$E, MATCH($A48, 'KZ-normalized'!$A:$A, 0))), 0), 0))+(IFERROR(IF(6*INDEX('UZ-normalized'!$D:$D, MATCH($A48, 'UZ-normalized'!$A:$A, 0))-INDEX('UZ-normalized'!$E:$E, MATCH($A48, 'UZ-normalized'!$A:$A, 0))&gt;0, -(6*INDEX('UZ-normalized'!$D:$D, MATCH($A48, 'UZ-normalized'!$A:$A, 0))-INDEX('UZ-normalized'!$E:$E, MATCH($A48, 'UZ-normalized'!$A:$A, 0))), 0), 0)))</f>
        <v>-600</v>
      </c>
      <c r="U48" s="6">
        <f>MIN(0, N48+(IFERROR(IF(7*INDEX('UA-normalized'!$D:$D, MATCH($A48, 'UA-normalized'!$A:$A, 0))-INDEX('UA-normalized'!$E:$E, MATCH($A48, 'UA-normalized'!$A:$A, 0))&gt;0, -(7*INDEX('UA-normalized'!$D:$D, MATCH($A48, 'UA-normalized'!$A:$A, 0))-INDEX('UA-normalized'!$E:$E, MATCH($A48, 'UA-normalized'!$A:$A, 0))), 0), 0))+(IFERROR(IF(7*INDEX('KZ-normalized'!$D:$D, MATCH($A48, 'KZ-normalized'!$A:$A, 0))-INDEX('KZ-normalized'!$E:$E, MATCH($A48, 'KZ-normalized'!$A:$A, 0))&gt;0, -(7*INDEX('KZ-normalized'!$D:$D, MATCH($A48, 'KZ-normalized'!$A:$A, 0))-INDEX('KZ-normalized'!$E:$E, MATCH($A48, 'KZ-normalized'!$A:$A, 0))), 0), 0))+(IFERROR(IF(7*INDEX('UZ-normalized'!$D:$D, MATCH($A48, 'UZ-normalized'!$A:$A, 0))-INDEX('UZ-normalized'!$E:$E, MATCH($A48, 'UZ-normalized'!$A:$A, 0))&gt;0, -(7*INDEX('UZ-normalized'!$D:$D, MATCH($A48, 'UZ-normalized'!$A:$A, 0))-INDEX('UZ-normalized'!$E:$E, MATCH($A48, 'UZ-normalized'!$A:$A, 0))), 0), 0)))</f>
        <v>-750</v>
      </c>
      <c r="V48" s="6">
        <f>MIN(0, N48+(IFERROR(IF(8*INDEX('UA-normalized'!$D:$D, MATCH($A48, 'UA-normalized'!$A:$A, 0))-INDEX('UA-normalized'!$E:$E, MATCH($A48, 'UA-normalized'!$A:$A, 0))&gt;0, -(8*INDEX('UA-normalized'!$D:$D, MATCH($A48, 'UA-normalized'!$A:$A, 0))-INDEX('UA-normalized'!$E:$E, MATCH($A48, 'UA-normalized'!$A:$A, 0))), 0), 0))+(IFERROR(IF(8*INDEX('KZ-normalized'!$D:$D, MATCH($A48, 'KZ-normalized'!$A:$A, 0))-INDEX('KZ-normalized'!$E:$E, MATCH($A48, 'KZ-normalized'!$A:$A, 0))&gt;0, -(8*INDEX('KZ-normalized'!$D:$D, MATCH($A48, 'KZ-normalized'!$A:$A, 0))-INDEX('KZ-normalized'!$E:$E, MATCH($A48, 'KZ-normalized'!$A:$A, 0))), 0), 0))+(IFERROR(IF(8*INDEX('UZ-normalized'!$D:$D, MATCH($A48, 'UZ-normalized'!$A:$A, 0))-INDEX('UZ-normalized'!$E:$E, MATCH($A48, 'UZ-normalized'!$A:$A, 0))&gt;0, -(8*INDEX('UZ-normalized'!$D:$D, MATCH($A48, 'UZ-normalized'!$A:$A, 0))-INDEX('UZ-normalized'!$E:$E, MATCH($A48, 'UZ-normalized'!$A:$A, 0))), 0), 0)))</f>
        <v>-900</v>
      </c>
      <c r="W48" s="6">
        <f>MIN(0, N48+(IFERROR(IF(9*INDEX('UA-normalized'!$D:$D, MATCH($A48, 'UA-normalized'!$A:$A, 0))-INDEX('UA-normalized'!$E:$E, MATCH($A48, 'UA-normalized'!$A:$A, 0))&gt;0, -(9*INDEX('UA-normalized'!$D:$D, MATCH($A48, 'UA-normalized'!$A:$A, 0))-INDEX('UA-normalized'!$E:$E, MATCH($A48, 'UA-normalized'!$A:$A, 0))), 0), 0))+(IFERROR(IF(9*INDEX('KZ-normalized'!$D:$D, MATCH($A48, 'KZ-normalized'!$A:$A, 0))-INDEX('KZ-normalized'!$E:$E, MATCH($A48, 'KZ-normalized'!$A:$A, 0))&gt;0, -(9*INDEX('KZ-normalized'!$D:$D, MATCH($A48, 'KZ-normalized'!$A:$A, 0))-INDEX('KZ-normalized'!$E:$E, MATCH($A48, 'KZ-normalized'!$A:$A, 0))), 0), 0))+(IFERROR(IF(9*INDEX('UZ-normalized'!$D:$D, MATCH($A48, 'UZ-normalized'!$A:$A, 0))-INDEX('UZ-normalized'!$E:$E, MATCH($A48, 'UZ-normalized'!$A:$A, 0))&gt;0, -(9*INDEX('UZ-normalized'!$D:$D, MATCH($A48, 'UZ-normalized'!$A:$A, 0))-INDEX('UZ-normalized'!$E:$E, MATCH($A48, 'UZ-normalized'!$A:$A, 0))), 0), 0)))</f>
        <v>-1050</v>
      </c>
      <c r="X48" s="6">
        <f>MIN(0, N48+(IFERROR(IF(10*INDEX('UA-normalized'!$D:$D, MATCH($A48, 'UA-normalized'!$A:$A, 0))-INDEX('UA-normalized'!$E:$E, MATCH($A48, 'UA-normalized'!$A:$A, 0))&gt;0, -(10*INDEX('UA-normalized'!$D:$D, MATCH($A48, 'UA-normalized'!$A:$A, 0))-INDEX('UA-normalized'!$E:$E, MATCH($A48, 'UA-normalized'!$A:$A, 0))), 0), 0))+(IFERROR(IF(10*INDEX('KZ-normalized'!$D:$D, MATCH($A48, 'KZ-normalized'!$A:$A, 0))-INDEX('KZ-normalized'!$E:$E, MATCH($A48, 'KZ-normalized'!$A:$A, 0))&gt;0, -(10*INDEX('KZ-normalized'!$D:$D, MATCH($A48, 'KZ-normalized'!$A:$A, 0))-INDEX('KZ-normalized'!$E:$E, MATCH($A48, 'KZ-normalized'!$A:$A, 0))), 0), 0))+(IFERROR(IF(10*INDEX('UZ-normalized'!$D:$D, MATCH($A48, 'UZ-normalized'!$A:$A, 0))-INDEX('UZ-normalized'!$E:$E, MATCH($A48, 'UZ-normalized'!$A:$A, 0))&gt;0, -(10*INDEX('UZ-normalized'!$D:$D, MATCH($A48, 'UZ-normalized'!$A:$A, 0))-INDEX('UZ-normalized'!$E:$E, MATCH($A48, 'UZ-normalized'!$A:$A, 0))), 0), 0)))</f>
        <v>-1200</v>
      </c>
      <c r="Y48" s="6">
        <f>MIN(0, N48+(IFERROR(IF(11*INDEX('UA-normalized'!$D:$D, MATCH($A48, 'UA-normalized'!$A:$A, 0))-INDEX('UA-normalized'!$E:$E, MATCH($A48, 'UA-normalized'!$A:$A, 0))&gt;0, -(11*INDEX('UA-normalized'!$D:$D, MATCH($A48, 'UA-normalized'!$A:$A, 0))-INDEX('UA-normalized'!$E:$E, MATCH($A48, 'UA-normalized'!$A:$A, 0))), 0), 0))+(IFERROR(IF(11*INDEX('KZ-normalized'!$D:$D, MATCH($A48, 'KZ-normalized'!$A:$A, 0))-INDEX('KZ-normalized'!$E:$E, MATCH($A48, 'KZ-normalized'!$A:$A, 0))&gt;0, -(11*INDEX('KZ-normalized'!$D:$D, MATCH($A48, 'KZ-normalized'!$A:$A, 0))-INDEX('KZ-normalized'!$E:$E, MATCH($A48, 'KZ-normalized'!$A:$A, 0))), 0), 0))+(IFERROR(IF(11*INDEX('UZ-normalized'!$D:$D, MATCH($A48, 'UZ-normalized'!$A:$A, 0))-INDEX('UZ-normalized'!$E:$E, MATCH($A48, 'UZ-normalized'!$A:$A, 0))&gt;0, -(11*INDEX('UZ-normalized'!$D:$D, MATCH($A48, 'UZ-normalized'!$A:$A, 0))-INDEX('UZ-normalized'!$E:$E, MATCH($A48, 'UZ-normalized'!$A:$A, 0))), 0), 0)))</f>
        <v>-1350</v>
      </c>
      <c r="Z48" s="6">
        <f>MIN(0, N48+(IFERROR(IF(12*INDEX('UA-normalized'!$D:$D, MATCH($A48, 'UA-normalized'!$A:$A, 0))-INDEX('UA-normalized'!$E:$E, MATCH($A48, 'UA-normalized'!$A:$A, 0))&gt;0, -(12*INDEX('UA-normalized'!$D:$D, MATCH($A48, 'UA-normalized'!$A:$A, 0))-INDEX('UA-normalized'!$E:$E, MATCH($A48, 'UA-normalized'!$A:$A, 0))), 0), 0))+(IFERROR(IF(12*INDEX('KZ-normalized'!$D:$D, MATCH($A48, 'KZ-normalized'!$A:$A, 0))-INDEX('KZ-normalized'!$E:$E, MATCH($A48, 'KZ-normalized'!$A:$A, 0))&gt;0, -(12*INDEX('KZ-normalized'!$D:$D, MATCH($A48, 'KZ-normalized'!$A:$A, 0))-INDEX('KZ-normalized'!$E:$E, MATCH($A48, 'KZ-normalized'!$A:$A, 0))), 0), 0))+(IFERROR(IF(12*INDEX('UZ-normalized'!$D:$D, MATCH($A48, 'UZ-normalized'!$A:$A, 0))-INDEX('UZ-normalized'!$E:$E, MATCH($A48, 'UZ-normalized'!$A:$A, 0))&gt;0, -(12*INDEX('UZ-normalized'!$D:$D, MATCH($A48, 'UZ-normalized'!$A:$A, 0))-INDEX('UZ-normalized'!$E:$E, MATCH($A48, 'UZ-normalized'!$A:$A, 0))), 0), 0)))</f>
        <v>-1500</v>
      </c>
      <c r="AA48" s="6">
        <f>MIN(0, N48+(IFERROR(IF(13*INDEX('UA-normalized'!$D:$D, MATCH($A48, 'UA-normalized'!$A:$A, 0))-INDEX('UA-normalized'!$E:$E, MATCH($A48, 'UA-normalized'!$A:$A, 0))&gt;0, -(13*INDEX('UA-normalized'!$D:$D, MATCH($A48, 'UA-normalized'!$A:$A, 0))-INDEX('UA-normalized'!$E:$E, MATCH($A48, 'UA-normalized'!$A:$A, 0))), 0), 0))+(IFERROR(IF(13*INDEX('KZ-normalized'!$D:$D, MATCH($A48, 'KZ-normalized'!$A:$A, 0))-INDEX('KZ-normalized'!$E:$E, MATCH($A48, 'KZ-normalized'!$A:$A, 0))&gt;0, -(13*INDEX('KZ-normalized'!$D:$D, MATCH($A48, 'KZ-normalized'!$A:$A, 0))-INDEX('KZ-normalized'!$E:$E, MATCH($A48, 'KZ-normalized'!$A:$A, 0))), 0), 0))+(IFERROR(IF(13*INDEX('UZ-normalized'!$D:$D, MATCH($A48, 'UZ-normalized'!$A:$A, 0))-INDEX('UZ-normalized'!$E:$E, MATCH($A48, 'UZ-normalized'!$A:$A, 0))&gt;0, -(13*INDEX('UZ-normalized'!$D:$D, MATCH($A48, 'UZ-normalized'!$A:$A, 0))-INDEX('UZ-normalized'!$E:$E, MATCH($A48, 'UZ-normalized'!$A:$A, 0))), 0), 0)))</f>
        <v>-1650</v>
      </c>
      <c r="AB48" s="6">
        <f>MIN(0, N48+(IFERROR(IF(14*INDEX('UA-normalized'!$D:$D, MATCH($A48, 'UA-normalized'!$A:$A, 0))-INDEX('UA-normalized'!$E:$E, MATCH($A48, 'UA-normalized'!$A:$A, 0))&gt;0, -(14*INDEX('UA-normalized'!$D:$D, MATCH($A48, 'UA-normalized'!$A:$A, 0))-INDEX('UA-normalized'!$E:$E, MATCH($A48, 'UA-normalized'!$A:$A, 0))), 0), 0))+(IFERROR(IF(14*INDEX('KZ-normalized'!$D:$D, MATCH($A48, 'KZ-normalized'!$A:$A, 0))-INDEX('KZ-normalized'!$E:$E, MATCH($A48, 'KZ-normalized'!$A:$A, 0))&gt;0, -(14*INDEX('KZ-normalized'!$D:$D, MATCH($A48, 'KZ-normalized'!$A:$A, 0))-INDEX('KZ-normalized'!$E:$E, MATCH($A48, 'KZ-normalized'!$A:$A, 0))), 0), 0))+(IFERROR(IF(14*INDEX('UZ-normalized'!$D:$D, MATCH($A48, 'UZ-normalized'!$A:$A, 0))-INDEX('UZ-normalized'!$E:$E, MATCH($A48, 'UZ-normalized'!$A:$A, 0))&gt;0, -(14*INDEX('UZ-normalized'!$D:$D, MATCH($A48, 'UZ-normalized'!$A:$A, 0))-INDEX('UZ-normalized'!$E:$E, MATCH($A48, 'UZ-normalized'!$A:$A, 0))), 0), 0)))</f>
        <v>-1800</v>
      </c>
      <c r="AC48" s="6">
        <f>MIN(0, N48+(IFERROR(IF(15*INDEX('UA-normalized'!$D:$D, MATCH($A48, 'UA-normalized'!$A:$A, 0))-INDEX('UA-normalized'!$E:$E, MATCH($A48, 'UA-normalized'!$A:$A, 0))&gt;0, -(15*INDEX('UA-normalized'!$D:$D, MATCH($A48, 'UA-normalized'!$A:$A, 0))-INDEX('UA-normalized'!$E:$E, MATCH($A48, 'UA-normalized'!$A:$A, 0))), 0), 0))+(IFERROR(IF(15*INDEX('KZ-normalized'!$D:$D, MATCH($A48, 'KZ-normalized'!$A:$A, 0))-INDEX('KZ-normalized'!$E:$E, MATCH($A48, 'KZ-normalized'!$A:$A, 0))&gt;0, -(15*INDEX('KZ-normalized'!$D:$D, MATCH($A48, 'KZ-normalized'!$A:$A, 0))-INDEX('KZ-normalized'!$E:$E, MATCH($A48, 'KZ-normalized'!$A:$A, 0))), 0), 0))+(IFERROR(IF(15*INDEX('UZ-normalized'!$D:$D, MATCH($A48, 'UZ-normalized'!$A:$A, 0))-INDEX('UZ-normalized'!$E:$E, MATCH($A48, 'UZ-normalized'!$A:$A, 0))&gt;0, -(15*INDEX('UZ-normalized'!$D:$D, MATCH($A48, 'UZ-normalized'!$A:$A, 0))-INDEX('UZ-normalized'!$E:$E, MATCH($A48, 'UZ-normalized'!$A:$A, 0))), 0), 0)))</f>
        <v>-1950.5</v>
      </c>
      <c r="AD48" s="6">
        <f>MIN(0, N48+(IFERROR(IF(16*INDEX('UA-normalized'!$D:$D, MATCH($A48, 'UA-normalized'!$A:$A, 0))-INDEX('UA-normalized'!$E:$E, MATCH($A48, 'UA-normalized'!$A:$A, 0))&gt;0, -(16*INDEX('UA-normalized'!$D:$D, MATCH($A48, 'UA-normalized'!$A:$A, 0))-INDEX('UA-normalized'!$E:$E, MATCH($A48, 'UA-normalized'!$A:$A, 0))), 0), 0))+(IFERROR(IF(16*INDEX('KZ-normalized'!$D:$D, MATCH($A48, 'KZ-normalized'!$A:$A, 0))-INDEX('KZ-normalized'!$E:$E, MATCH($A48, 'KZ-normalized'!$A:$A, 0))&gt;0, -(16*INDEX('KZ-normalized'!$D:$D, MATCH($A48, 'KZ-normalized'!$A:$A, 0))-INDEX('KZ-normalized'!$E:$E, MATCH($A48, 'KZ-normalized'!$A:$A, 0))), 0), 0))+(IFERROR(IF(16*INDEX('UZ-normalized'!$D:$D, MATCH($A48, 'UZ-normalized'!$A:$A, 0))-INDEX('UZ-normalized'!$E:$E, MATCH($A48, 'UZ-normalized'!$A:$A, 0))&gt;0, -(16*INDEX('UZ-normalized'!$D:$D, MATCH($A48, 'UZ-normalized'!$A:$A, 0))-INDEX('UZ-normalized'!$E:$E, MATCH($A48, 'UZ-normalized'!$A:$A, 0))), 0), 0)))</f>
        <v>-2102</v>
      </c>
      <c r="AE48" s="6">
        <f>MIN(0, N48+(IFERROR(IF(17*INDEX('UA-normalized'!$D:$D, MATCH($A48, 'UA-normalized'!$A:$A, 0))-INDEX('UA-normalized'!$E:$E, MATCH($A48, 'UA-normalized'!$A:$A, 0))&gt;0, -(17*INDEX('UA-normalized'!$D:$D, MATCH($A48, 'UA-normalized'!$A:$A, 0))-INDEX('UA-normalized'!$E:$E, MATCH($A48, 'UA-normalized'!$A:$A, 0))), 0), 0))+(IFERROR(IF(17*INDEX('KZ-normalized'!$D:$D, MATCH($A48, 'KZ-normalized'!$A:$A, 0))-INDEX('KZ-normalized'!$E:$E, MATCH($A48, 'KZ-normalized'!$A:$A, 0))&gt;0, -(17*INDEX('KZ-normalized'!$D:$D, MATCH($A48, 'KZ-normalized'!$A:$A, 0))-INDEX('KZ-normalized'!$E:$E, MATCH($A48, 'KZ-normalized'!$A:$A, 0))), 0), 0))+(IFERROR(IF(17*INDEX('UZ-normalized'!$D:$D, MATCH($A48, 'UZ-normalized'!$A:$A, 0))-INDEX('UZ-normalized'!$E:$E, MATCH($A48, 'UZ-normalized'!$A:$A, 0))&gt;0, -(17*INDEX('UZ-normalized'!$D:$D, MATCH($A48, 'UZ-normalized'!$A:$A, 0))-INDEX('UZ-normalized'!$E:$E, MATCH($A48, 'UZ-normalized'!$A:$A, 0))), 0), 0)))</f>
        <v>-2253.5</v>
      </c>
      <c r="AF48" s="6">
        <f>MIN(0, N48+(IFERROR(IF(18*INDEX('UA-normalized'!$D:$D, MATCH($A48, 'UA-normalized'!$A:$A, 0))-INDEX('UA-normalized'!$E:$E, MATCH($A48, 'UA-normalized'!$A:$A, 0))&gt;0, -(18*INDEX('UA-normalized'!$D:$D, MATCH($A48, 'UA-normalized'!$A:$A, 0))-INDEX('UA-normalized'!$E:$E, MATCH($A48, 'UA-normalized'!$A:$A, 0))), 0), 0))+(IFERROR(IF(18*INDEX('KZ-normalized'!$D:$D, MATCH($A48, 'KZ-normalized'!$A:$A, 0))-INDEX('KZ-normalized'!$E:$E, MATCH($A48, 'KZ-normalized'!$A:$A, 0))&gt;0, -(18*INDEX('KZ-normalized'!$D:$D, MATCH($A48, 'KZ-normalized'!$A:$A, 0))-INDEX('KZ-normalized'!$E:$E, MATCH($A48, 'KZ-normalized'!$A:$A, 0))), 0), 0))+(IFERROR(IF(18*INDEX('UZ-normalized'!$D:$D, MATCH($A48, 'UZ-normalized'!$A:$A, 0))-INDEX('UZ-normalized'!$E:$E, MATCH($A48, 'UZ-normalized'!$A:$A, 0))&gt;0, -(18*INDEX('UZ-normalized'!$D:$D, MATCH($A48, 'UZ-normalized'!$A:$A, 0))-INDEX('UZ-normalized'!$E:$E, MATCH($A48, 'UZ-normalized'!$A:$A, 0))), 0), 0)))</f>
        <v>-2405</v>
      </c>
      <c r="AG48" s="6">
        <f>MIN(0, N48+(IFERROR(IF(19*INDEX('UA-normalized'!$D:$D, MATCH($A48, 'UA-normalized'!$A:$A, 0))-INDEX('UA-normalized'!$E:$E, MATCH($A48, 'UA-normalized'!$A:$A, 0))&gt;0, -(19*INDEX('UA-normalized'!$D:$D, MATCH($A48, 'UA-normalized'!$A:$A, 0))-INDEX('UA-normalized'!$E:$E, MATCH($A48, 'UA-normalized'!$A:$A, 0))), 0), 0))+(IFERROR(IF(19*INDEX('KZ-normalized'!$D:$D, MATCH($A48, 'KZ-normalized'!$A:$A, 0))-INDEX('KZ-normalized'!$E:$E, MATCH($A48, 'KZ-normalized'!$A:$A, 0))&gt;0, -(19*INDEX('KZ-normalized'!$D:$D, MATCH($A48, 'KZ-normalized'!$A:$A, 0))-INDEX('KZ-normalized'!$E:$E, MATCH($A48, 'KZ-normalized'!$A:$A, 0))), 0), 0))+(IFERROR(IF(19*INDEX('UZ-normalized'!$D:$D, MATCH($A48, 'UZ-normalized'!$A:$A, 0))-INDEX('UZ-normalized'!$E:$E, MATCH($A48, 'UZ-normalized'!$A:$A, 0))&gt;0, -(19*INDEX('UZ-normalized'!$D:$D, MATCH($A48, 'UZ-normalized'!$A:$A, 0))-INDEX('UZ-normalized'!$E:$E, MATCH($A48, 'UZ-normalized'!$A:$A, 0))), 0), 0)))</f>
        <v>-2556.5</v>
      </c>
      <c r="AH48" s="6">
        <f>MIN(0, N48+(IFERROR(IF(20*INDEX('UA-normalized'!$D:$D, MATCH($A48, 'UA-normalized'!$A:$A, 0))-INDEX('UA-normalized'!$E:$E, MATCH($A48, 'UA-normalized'!$A:$A, 0))&gt;0, -(20*INDEX('UA-normalized'!$D:$D, MATCH($A48, 'UA-normalized'!$A:$A, 0))-INDEX('UA-normalized'!$E:$E, MATCH($A48, 'UA-normalized'!$A:$A, 0))), 0), 0))+(IFERROR(IF(20*INDEX('KZ-normalized'!$D:$D, MATCH($A48, 'KZ-normalized'!$A:$A, 0))-INDEX('KZ-normalized'!$E:$E, MATCH($A48, 'KZ-normalized'!$A:$A, 0))&gt;0, -(20*INDEX('KZ-normalized'!$D:$D, MATCH($A48, 'KZ-normalized'!$A:$A, 0))-INDEX('KZ-normalized'!$E:$E, MATCH($A48, 'KZ-normalized'!$A:$A, 0))), 0), 0))+(IFERROR(IF(20*INDEX('UZ-normalized'!$D:$D, MATCH($A48, 'UZ-normalized'!$A:$A, 0))-INDEX('UZ-normalized'!$E:$E, MATCH($A48, 'UZ-normalized'!$A:$A, 0))&gt;0, -(20*INDEX('UZ-normalized'!$D:$D, MATCH($A48, 'UZ-normalized'!$A:$A, 0))-INDEX('UZ-normalized'!$E:$E, MATCH($A48, 'UZ-normalized'!$A:$A, 0))), 0), 0)))</f>
        <v>-2708</v>
      </c>
      <c r="AI48" s="6">
        <f>MIN(0, N48+(IFERROR(IF(21*INDEX('UA-normalized'!$D:$D, MATCH($A48, 'UA-normalized'!$A:$A, 0))-INDEX('UA-normalized'!$E:$E, MATCH($A48, 'UA-normalized'!$A:$A, 0))&gt;0, -(21*INDEX('UA-normalized'!$D:$D, MATCH($A48, 'UA-normalized'!$A:$A, 0))-INDEX('UA-normalized'!$E:$E, MATCH($A48, 'UA-normalized'!$A:$A, 0))), 0), 0))+(IFERROR(IF(21*INDEX('KZ-normalized'!$D:$D, MATCH($A48, 'KZ-normalized'!$A:$A, 0))-INDEX('KZ-normalized'!$E:$E, MATCH($A48, 'KZ-normalized'!$A:$A, 0))&gt;0, -(21*INDEX('KZ-normalized'!$D:$D, MATCH($A48, 'KZ-normalized'!$A:$A, 0))-INDEX('KZ-normalized'!$E:$E, MATCH($A48, 'KZ-normalized'!$A:$A, 0))), 0), 0))+(IFERROR(IF(21*INDEX('UZ-normalized'!$D:$D, MATCH($A48, 'UZ-normalized'!$A:$A, 0))-INDEX('UZ-normalized'!$E:$E, MATCH($A48, 'UZ-normalized'!$A:$A, 0))&gt;0, -(21*INDEX('UZ-normalized'!$D:$D, MATCH($A48, 'UZ-normalized'!$A:$A, 0))-INDEX('UZ-normalized'!$E:$E, MATCH($A48, 'UZ-normalized'!$A:$A, 0))), 0), 0)))</f>
        <v>-2859.5</v>
      </c>
      <c r="AJ48" s="6">
        <f>MIN(0, N48+(IFERROR(IF(22*INDEX('UA-normalized'!$D:$D, MATCH($A48, 'UA-normalized'!$A:$A, 0))-INDEX('UA-normalized'!$E:$E, MATCH($A48, 'UA-normalized'!$A:$A, 0))&gt;0, -(22*INDEX('UA-normalized'!$D:$D, MATCH($A48, 'UA-normalized'!$A:$A, 0))-INDEX('UA-normalized'!$E:$E, MATCH($A48, 'UA-normalized'!$A:$A, 0))), 0), 0))+(IFERROR(IF(22*INDEX('KZ-normalized'!$D:$D, MATCH($A48, 'KZ-normalized'!$A:$A, 0))-INDEX('KZ-normalized'!$E:$E, MATCH($A48, 'KZ-normalized'!$A:$A, 0))&gt;0, -(22*INDEX('KZ-normalized'!$D:$D, MATCH($A48, 'KZ-normalized'!$A:$A, 0))-INDEX('KZ-normalized'!$E:$E, MATCH($A48, 'KZ-normalized'!$A:$A, 0))), 0), 0))+(IFERROR(IF(22*INDEX('UZ-normalized'!$D:$D, MATCH($A48, 'UZ-normalized'!$A:$A, 0))-INDEX('UZ-normalized'!$E:$E, MATCH($A48, 'UZ-normalized'!$A:$A, 0))&gt;0, -(22*INDEX('UZ-normalized'!$D:$D, MATCH($A48, 'UZ-normalized'!$A:$A, 0))-INDEX('UZ-normalized'!$E:$E, MATCH($A48, 'UZ-normalized'!$A:$A, 0))), 0), 0)))</f>
        <v>-3011</v>
      </c>
      <c r="AK48" s="6">
        <f>MIN(0, N48+(IFERROR(IF(23*INDEX('UA-normalized'!$D:$D, MATCH($A48, 'UA-normalized'!$A:$A, 0))-INDEX('UA-normalized'!$E:$E, MATCH($A48, 'UA-normalized'!$A:$A, 0))&gt;0, -(23*INDEX('UA-normalized'!$D:$D, MATCH($A48, 'UA-normalized'!$A:$A, 0))-INDEX('UA-normalized'!$E:$E, MATCH($A48, 'UA-normalized'!$A:$A, 0))), 0), 0))+(IFERROR(IF(23*INDEX('KZ-normalized'!$D:$D, MATCH($A48, 'KZ-normalized'!$A:$A, 0))-INDEX('KZ-normalized'!$E:$E, MATCH($A48, 'KZ-normalized'!$A:$A, 0))&gt;0, -(23*INDEX('KZ-normalized'!$D:$D, MATCH($A48, 'KZ-normalized'!$A:$A, 0))-INDEX('KZ-normalized'!$E:$E, MATCH($A48, 'KZ-normalized'!$A:$A, 0))), 0), 0))+(IFERROR(IF(23*INDEX('UZ-normalized'!$D:$D, MATCH($A48, 'UZ-normalized'!$A:$A, 0))-INDEX('UZ-normalized'!$E:$E, MATCH($A48, 'UZ-normalized'!$A:$A, 0))&gt;0, -(23*INDEX('UZ-normalized'!$D:$D, MATCH($A48, 'UZ-normalized'!$A:$A, 0))-INDEX('UZ-normalized'!$E:$E, MATCH($A48, 'UZ-normalized'!$A:$A, 0))), 0), 0)))</f>
        <v>-3162.5</v>
      </c>
      <c r="AL48" s="6">
        <f>MIN(0, N48+(IFERROR(IF(24*INDEX('UA-normalized'!$D:$D, MATCH($A48, 'UA-normalized'!$A:$A, 0))-INDEX('UA-normalized'!$E:$E, MATCH($A48, 'UA-normalized'!$A:$A, 0))&gt;0, -(24*INDEX('UA-normalized'!$D:$D, MATCH($A48, 'UA-normalized'!$A:$A, 0))-INDEX('UA-normalized'!$E:$E, MATCH($A48, 'UA-normalized'!$A:$A, 0))), 0), 0))+(IFERROR(IF(24*INDEX('KZ-normalized'!$D:$D, MATCH($A48, 'KZ-normalized'!$A:$A, 0))-INDEX('KZ-normalized'!$E:$E, MATCH($A48, 'KZ-normalized'!$A:$A, 0))&gt;0, -(24*INDEX('KZ-normalized'!$D:$D, MATCH($A48, 'KZ-normalized'!$A:$A, 0))-INDEX('KZ-normalized'!$E:$E, MATCH($A48, 'KZ-normalized'!$A:$A, 0))), 0), 0))+(IFERROR(IF(24*INDEX('UZ-normalized'!$D:$D, MATCH($A48, 'UZ-normalized'!$A:$A, 0))-INDEX('UZ-normalized'!$E:$E, MATCH($A48, 'UZ-normalized'!$A:$A, 0))&gt;0, -(24*INDEX('UZ-normalized'!$D:$D, MATCH($A48, 'UZ-normalized'!$A:$A, 0))-INDEX('UZ-normalized'!$E:$E, MATCH($A48, 'UZ-normalized'!$A:$A, 0))), 0), 0)))</f>
        <v>-3314</v>
      </c>
      <c r="AM48" s="6">
        <f>MIN(0, N48+(IFERROR(IF(25*INDEX('UA-normalized'!$D:$D, MATCH($A48, 'UA-normalized'!$A:$A, 0))-INDEX('UA-normalized'!$E:$E, MATCH($A48, 'UA-normalized'!$A:$A, 0))&gt;0, -(25*INDEX('UA-normalized'!$D:$D, MATCH($A48, 'UA-normalized'!$A:$A, 0))-INDEX('UA-normalized'!$E:$E, MATCH($A48, 'UA-normalized'!$A:$A, 0))), 0), 0))+(IFERROR(IF(25*INDEX('KZ-normalized'!$D:$D, MATCH($A48, 'KZ-normalized'!$A:$A, 0))-INDEX('KZ-normalized'!$E:$E, MATCH($A48, 'KZ-normalized'!$A:$A, 0))&gt;0, -(25*INDEX('KZ-normalized'!$D:$D, MATCH($A48, 'KZ-normalized'!$A:$A, 0))-INDEX('KZ-normalized'!$E:$E, MATCH($A48, 'KZ-normalized'!$A:$A, 0))), 0), 0))+(IFERROR(IF(25*INDEX('UZ-normalized'!$D:$D, MATCH($A48, 'UZ-normalized'!$A:$A, 0))-INDEX('UZ-normalized'!$E:$E, MATCH($A48, 'UZ-normalized'!$A:$A, 0))&gt;0, -(25*INDEX('UZ-normalized'!$D:$D, MATCH($A48, 'UZ-normalized'!$A:$A, 0))-INDEX('UZ-normalized'!$E:$E, MATCH($A48, 'UZ-normalized'!$A:$A, 0))), 0), 0)))</f>
        <v>-3465.5</v>
      </c>
      <c r="AN48" s="6">
        <f>MIN(0, N48+(IFERROR(IF(26*INDEX('UA-normalized'!$D:$D, MATCH($A48, 'UA-normalized'!$A:$A, 0))-INDEX('UA-normalized'!$E:$E, MATCH($A48, 'UA-normalized'!$A:$A, 0))&gt;0, -(26*INDEX('UA-normalized'!$D:$D, MATCH($A48, 'UA-normalized'!$A:$A, 0))-INDEX('UA-normalized'!$E:$E, MATCH($A48, 'UA-normalized'!$A:$A, 0))), 0), 0))+(IFERROR(IF(26*INDEX('KZ-normalized'!$D:$D, MATCH($A48, 'KZ-normalized'!$A:$A, 0))-INDEX('KZ-normalized'!$E:$E, MATCH($A48, 'KZ-normalized'!$A:$A, 0))&gt;0, -(26*INDEX('KZ-normalized'!$D:$D, MATCH($A48, 'KZ-normalized'!$A:$A, 0))-INDEX('KZ-normalized'!$E:$E, MATCH($A48, 'KZ-normalized'!$A:$A, 0))), 0), 0))+(IFERROR(IF(26*INDEX('UZ-normalized'!$D:$D, MATCH($A48, 'UZ-normalized'!$A:$A, 0))-INDEX('UZ-normalized'!$E:$E, MATCH($A48, 'UZ-normalized'!$A:$A, 0))&gt;0, -(26*INDEX('UZ-normalized'!$D:$D, MATCH($A48, 'UZ-normalized'!$A:$A, 0))-INDEX('UZ-normalized'!$E:$E, MATCH($A48, 'UZ-normalized'!$A:$A, 0))), 0), 0)))</f>
        <v>-3617</v>
      </c>
      <c r="AO48" s="6">
        <f>MIN(0, N48+(IFERROR(IF(27*INDEX('UA-normalized'!$D:$D, MATCH($A48, 'UA-normalized'!$A:$A, 0))-INDEX('UA-normalized'!$E:$E, MATCH($A48, 'UA-normalized'!$A:$A, 0))&gt;0, -(27*INDEX('UA-normalized'!$D:$D, MATCH($A48, 'UA-normalized'!$A:$A, 0))-INDEX('UA-normalized'!$E:$E, MATCH($A48, 'UA-normalized'!$A:$A, 0))), 0), 0))+(IFERROR(IF(27*INDEX('KZ-normalized'!$D:$D, MATCH($A48, 'KZ-normalized'!$A:$A, 0))-INDEX('KZ-normalized'!$E:$E, MATCH($A48, 'KZ-normalized'!$A:$A, 0))&gt;0, -(27*INDEX('KZ-normalized'!$D:$D, MATCH($A48, 'KZ-normalized'!$A:$A, 0))-INDEX('KZ-normalized'!$E:$E, MATCH($A48, 'KZ-normalized'!$A:$A, 0))), 0), 0))+(IFERROR(IF(27*INDEX('UZ-normalized'!$D:$D, MATCH($A48, 'UZ-normalized'!$A:$A, 0))-INDEX('UZ-normalized'!$E:$E, MATCH($A48, 'UZ-normalized'!$A:$A, 0))&gt;0, -(27*INDEX('UZ-normalized'!$D:$D, MATCH($A48, 'UZ-normalized'!$A:$A, 0))-INDEX('UZ-normalized'!$E:$E, MATCH($A48, 'UZ-normalized'!$A:$A, 0))), 0), 0)))</f>
        <v>-3768.5</v>
      </c>
      <c r="AP48" s="6">
        <f>MIN(0, N48+(IFERROR(IF(28*INDEX('UA-normalized'!$D:$D, MATCH($A48, 'UA-normalized'!$A:$A, 0))-INDEX('UA-normalized'!$E:$E, MATCH($A48, 'UA-normalized'!$A:$A, 0))&gt;0, -(28*INDEX('UA-normalized'!$D:$D, MATCH($A48, 'UA-normalized'!$A:$A, 0))-INDEX('UA-normalized'!$E:$E, MATCH($A48, 'UA-normalized'!$A:$A, 0))), 0), 0))+(IFERROR(IF(28*INDEX('KZ-normalized'!$D:$D, MATCH($A48, 'KZ-normalized'!$A:$A, 0))-INDEX('KZ-normalized'!$E:$E, MATCH($A48, 'KZ-normalized'!$A:$A, 0))&gt;0, -(28*INDEX('KZ-normalized'!$D:$D, MATCH($A48, 'KZ-normalized'!$A:$A, 0))-INDEX('KZ-normalized'!$E:$E, MATCH($A48, 'KZ-normalized'!$A:$A, 0))), 0), 0))+(IFERROR(IF(28*INDEX('UZ-normalized'!$D:$D, MATCH($A48, 'UZ-normalized'!$A:$A, 0))-INDEX('UZ-normalized'!$E:$E, MATCH($A48, 'UZ-normalized'!$A:$A, 0))&gt;0, -(28*INDEX('UZ-normalized'!$D:$D, MATCH($A48, 'UZ-normalized'!$A:$A, 0))-INDEX('UZ-normalized'!$E:$E, MATCH($A48, 'UZ-normalized'!$A:$A, 0))), 0), 0)))</f>
        <v>-3920</v>
      </c>
      <c r="AQ48" s="6">
        <f>MIN(0, N48+(IFERROR(IF(29*INDEX('UA-normalized'!$D:$D, MATCH($A48, 'UA-normalized'!$A:$A, 0))-INDEX('UA-normalized'!$E:$E, MATCH($A48, 'UA-normalized'!$A:$A, 0))&gt;0, -(29*INDEX('UA-normalized'!$D:$D, MATCH($A48, 'UA-normalized'!$A:$A, 0))-INDEX('UA-normalized'!$E:$E, MATCH($A48, 'UA-normalized'!$A:$A, 0))), 0), 0))+(IFERROR(IF(29*INDEX('KZ-normalized'!$D:$D, MATCH($A48, 'KZ-normalized'!$A:$A, 0))-INDEX('KZ-normalized'!$E:$E, MATCH($A48, 'KZ-normalized'!$A:$A, 0))&gt;0, -(29*INDEX('KZ-normalized'!$D:$D, MATCH($A48, 'KZ-normalized'!$A:$A, 0))-INDEX('KZ-normalized'!$E:$E, MATCH($A48, 'KZ-normalized'!$A:$A, 0))), 0), 0))+(IFERROR(IF(29*INDEX('UZ-normalized'!$D:$D, MATCH($A48, 'UZ-normalized'!$A:$A, 0))-INDEX('UZ-normalized'!$E:$E, MATCH($A48, 'UZ-normalized'!$A:$A, 0))&gt;0, -(29*INDEX('UZ-normalized'!$D:$D, MATCH($A48, 'UZ-normalized'!$A:$A, 0))-INDEX('UZ-normalized'!$E:$E, MATCH($A48, 'UZ-normalized'!$A:$A, 0))), 0), 0)))</f>
        <v>-4071.5</v>
      </c>
      <c r="AR48" s="6">
        <f>MIN(0, N48+(IFERROR(IF(30*INDEX('UA-normalized'!$D:$D, MATCH($A48, 'UA-normalized'!$A:$A, 0))-INDEX('UA-normalized'!$E:$E, MATCH($A48, 'UA-normalized'!$A:$A, 0))&gt;0, -(30*INDEX('UA-normalized'!$D:$D, MATCH($A48, 'UA-normalized'!$A:$A, 0))-INDEX('UA-normalized'!$E:$E, MATCH($A48, 'UA-normalized'!$A:$A, 0))), 0), 0))+(IFERROR(IF(30*INDEX('KZ-normalized'!$D:$D, MATCH($A48, 'KZ-normalized'!$A:$A, 0))-INDEX('KZ-normalized'!$E:$E, MATCH($A48, 'KZ-normalized'!$A:$A, 0))&gt;0, -(30*INDEX('KZ-normalized'!$D:$D, MATCH($A48, 'KZ-normalized'!$A:$A, 0))-INDEX('KZ-normalized'!$E:$E, MATCH($A48, 'KZ-normalized'!$A:$A, 0))), 0), 0))+(IFERROR(IF(30*INDEX('UZ-normalized'!$D:$D, MATCH($A48, 'UZ-normalized'!$A:$A, 0))-INDEX('UZ-normalized'!$E:$E, MATCH($A48, 'UZ-normalized'!$A:$A, 0))&gt;0, -(30*INDEX('UZ-normalized'!$D:$D, MATCH($A48, 'UZ-normalized'!$A:$A, 0))-INDEX('UZ-normalized'!$E:$E, MATCH($A48, 'UZ-normalized'!$A:$A, 0))), 0), 0)))</f>
        <v>-4223</v>
      </c>
    </row>
    <row r="49" spans="1:44" x14ac:dyDescent="0.25">
      <c r="A49" s="8" t="s">
        <v>142</v>
      </c>
      <c r="B49" s="8" t="s">
        <v>83</v>
      </c>
      <c r="C49" s="8" t="s">
        <v>128</v>
      </c>
      <c r="D49" s="8" t="s">
        <v>143</v>
      </c>
      <c r="E49">
        <v>300</v>
      </c>
      <c r="N49">
        <f t="shared" si="0"/>
        <v>300</v>
      </c>
      <c r="O49" s="6">
        <f>MIN(0, N49+(IFERROR(IF(1*INDEX('UA-normalized'!$D:$D, MATCH($A49, 'UA-normalized'!$A:$A, 0))-INDEX('UA-normalized'!$E:$E, MATCH($A49, 'UA-normalized'!$A:$A, 0))&gt;0, -(1*INDEX('UA-normalized'!$D:$D, MATCH($A49, 'UA-normalized'!$A:$A, 0))-INDEX('UA-normalized'!$E:$E, MATCH($A49, 'UA-normalized'!$A:$A, 0))), 0), 0))+(IFERROR(IF(1*INDEX('KZ-normalized'!$D:$D, MATCH($A49, 'KZ-normalized'!$A:$A, 0))-INDEX('KZ-normalized'!$E:$E, MATCH($A49, 'KZ-normalized'!$A:$A, 0))&gt;0, -(1*INDEX('KZ-normalized'!$D:$D, MATCH($A49, 'KZ-normalized'!$A:$A, 0))-INDEX('KZ-normalized'!$E:$E, MATCH($A49, 'KZ-normalized'!$A:$A, 0))), 0), 0))+(IFERROR(IF(1*INDEX('UZ-normalized'!$D:$D, MATCH($A49, 'UZ-normalized'!$A:$A, 0))-INDEX('UZ-normalized'!$E:$E, MATCH($A49, 'UZ-normalized'!$A:$A, 0))&gt;0, -(1*INDEX('UZ-normalized'!$D:$D, MATCH($A49, 'UZ-normalized'!$A:$A, 0))-INDEX('UZ-normalized'!$E:$E, MATCH($A49, 'UZ-normalized'!$A:$A, 0))), 0), 0)))</f>
        <v>0</v>
      </c>
      <c r="P49" s="6">
        <f>MIN(0, N49+(IFERROR(IF(2*INDEX('UA-normalized'!$D:$D, MATCH($A49, 'UA-normalized'!$A:$A, 0))-INDEX('UA-normalized'!$E:$E, MATCH($A49, 'UA-normalized'!$A:$A, 0))&gt;0, -(2*INDEX('UA-normalized'!$D:$D, MATCH($A49, 'UA-normalized'!$A:$A, 0))-INDEX('UA-normalized'!$E:$E, MATCH($A49, 'UA-normalized'!$A:$A, 0))), 0), 0))+(IFERROR(IF(2*INDEX('KZ-normalized'!$D:$D, MATCH($A49, 'KZ-normalized'!$A:$A, 0))-INDEX('KZ-normalized'!$E:$E, MATCH($A49, 'KZ-normalized'!$A:$A, 0))&gt;0, -(2*INDEX('KZ-normalized'!$D:$D, MATCH($A49, 'KZ-normalized'!$A:$A, 0))-INDEX('KZ-normalized'!$E:$E, MATCH($A49, 'KZ-normalized'!$A:$A, 0))), 0), 0))+(IFERROR(IF(2*INDEX('UZ-normalized'!$D:$D, MATCH($A49, 'UZ-normalized'!$A:$A, 0))-INDEX('UZ-normalized'!$E:$E, MATCH($A49, 'UZ-normalized'!$A:$A, 0))&gt;0, -(2*INDEX('UZ-normalized'!$D:$D, MATCH($A49, 'UZ-normalized'!$A:$A, 0))-INDEX('UZ-normalized'!$E:$E, MATCH($A49, 'UZ-normalized'!$A:$A, 0))), 0), 0)))</f>
        <v>0</v>
      </c>
      <c r="Q49" s="6">
        <f>MIN(0, N49+(IFERROR(IF(3*INDEX('UA-normalized'!$D:$D, MATCH($A49, 'UA-normalized'!$A:$A, 0))-INDEX('UA-normalized'!$E:$E, MATCH($A49, 'UA-normalized'!$A:$A, 0))&gt;0, -(3*INDEX('UA-normalized'!$D:$D, MATCH($A49, 'UA-normalized'!$A:$A, 0))-INDEX('UA-normalized'!$E:$E, MATCH($A49, 'UA-normalized'!$A:$A, 0))), 0), 0))+(IFERROR(IF(3*INDEX('KZ-normalized'!$D:$D, MATCH($A49, 'KZ-normalized'!$A:$A, 0))-INDEX('KZ-normalized'!$E:$E, MATCH($A49, 'KZ-normalized'!$A:$A, 0))&gt;0, -(3*INDEX('KZ-normalized'!$D:$D, MATCH($A49, 'KZ-normalized'!$A:$A, 0))-INDEX('KZ-normalized'!$E:$E, MATCH($A49, 'KZ-normalized'!$A:$A, 0))), 0), 0))+(IFERROR(IF(3*INDEX('UZ-normalized'!$D:$D, MATCH($A49, 'UZ-normalized'!$A:$A, 0))-INDEX('UZ-normalized'!$E:$E, MATCH($A49, 'UZ-normalized'!$A:$A, 0))&gt;0, -(3*INDEX('UZ-normalized'!$D:$D, MATCH($A49, 'UZ-normalized'!$A:$A, 0))-INDEX('UZ-normalized'!$E:$E, MATCH($A49, 'UZ-normalized'!$A:$A, 0))), 0), 0)))</f>
        <v>0</v>
      </c>
      <c r="R49" s="6">
        <f>MIN(0, N49+(IFERROR(IF(4*INDEX('UA-normalized'!$D:$D, MATCH($A49, 'UA-normalized'!$A:$A, 0))-INDEX('UA-normalized'!$E:$E, MATCH($A49, 'UA-normalized'!$A:$A, 0))&gt;0, -(4*INDEX('UA-normalized'!$D:$D, MATCH($A49, 'UA-normalized'!$A:$A, 0))-INDEX('UA-normalized'!$E:$E, MATCH($A49, 'UA-normalized'!$A:$A, 0))), 0), 0))+(IFERROR(IF(4*INDEX('KZ-normalized'!$D:$D, MATCH($A49, 'KZ-normalized'!$A:$A, 0))-INDEX('KZ-normalized'!$E:$E, MATCH($A49, 'KZ-normalized'!$A:$A, 0))&gt;0, -(4*INDEX('KZ-normalized'!$D:$D, MATCH($A49, 'KZ-normalized'!$A:$A, 0))-INDEX('KZ-normalized'!$E:$E, MATCH($A49, 'KZ-normalized'!$A:$A, 0))), 0), 0))+(IFERROR(IF(4*INDEX('UZ-normalized'!$D:$D, MATCH($A49, 'UZ-normalized'!$A:$A, 0))-INDEX('UZ-normalized'!$E:$E, MATCH($A49, 'UZ-normalized'!$A:$A, 0))&gt;0, -(4*INDEX('UZ-normalized'!$D:$D, MATCH($A49, 'UZ-normalized'!$A:$A, 0))-INDEX('UZ-normalized'!$E:$E, MATCH($A49, 'UZ-normalized'!$A:$A, 0))), 0), 0)))</f>
        <v>0</v>
      </c>
      <c r="S49" s="6">
        <f>MIN(0, N49+(IFERROR(IF(5*INDEX('UA-normalized'!$D:$D, MATCH($A49, 'UA-normalized'!$A:$A, 0))-INDEX('UA-normalized'!$E:$E, MATCH($A49, 'UA-normalized'!$A:$A, 0))&gt;0, -(5*INDEX('UA-normalized'!$D:$D, MATCH($A49, 'UA-normalized'!$A:$A, 0))-INDEX('UA-normalized'!$E:$E, MATCH($A49, 'UA-normalized'!$A:$A, 0))), 0), 0))+(IFERROR(IF(5*INDEX('KZ-normalized'!$D:$D, MATCH($A49, 'KZ-normalized'!$A:$A, 0))-INDEX('KZ-normalized'!$E:$E, MATCH($A49, 'KZ-normalized'!$A:$A, 0))&gt;0, -(5*INDEX('KZ-normalized'!$D:$D, MATCH($A49, 'KZ-normalized'!$A:$A, 0))-INDEX('KZ-normalized'!$E:$E, MATCH($A49, 'KZ-normalized'!$A:$A, 0))), 0), 0))+(IFERROR(IF(5*INDEX('UZ-normalized'!$D:$D, MATCH($A49, 'UZ-normalized'!$A:$A, 0))-INDEX('UZ-normalized'!$E:$E, MATCH($A49, 'UZ-normalized'!$A:$A, 0))&gt;0, -(5*INDEX('UZ-normalized'!$D:$D, MATCH($A49, 'UZ-normalized'!$A:$A, 0))-INDEX('UZ-normalized'!$E:$E, MATCH($A49, 'UZ-normalized'!$A:$A, 0))), 0), 0)))</f>
        <v>0</v>
      </c>
      <c r="T49" s="6">
        <f>MIN(0, N49+(IFERROR(IF(6*INDEX('UA-normalized'!$D:$D, MATCH($A49, 'UA-normalized'!$A:$A, 0))-INDEX('UA-normalized'!$E:$E, MATCH($A49, 'UA-normalized'!$A:$A, 0))&gt;0, -(6*INDEX('UA-normalized'!$D:$D, MATCH($A49, 'UA-normalized'!$A:$A, 0))-INDEX('UA-normalized'!$E:$E, MATCH($A49, 'UA-normalized'!$A:$A, 0))), 0), 0))+(IFERROR(IF(6*INDEX('KZ-normalized'!$D:$D, MATCH($A49, 'KZ-normalized'!$A:$A, 0))-INDEX('KZ-normalized'!$E:$E, MATCH($A49, 'KZ-normalized'!$A:$A, 0))&gt;0, -(6*INDEX('KZ-normalized'!$D:$D, MATCH($A49, 'KZ-normalized'!$A:$A, 0))-INDEX('KZ-normalized'!$E:$E, MATCH($A49, 'KZ-normalized'!$A:$A, 0))), 0), 0))+(IFERROR(IF(6*INDEX('UZ-normalized'!$D:$D, MATCH($A49, 'UZ-normalized'!$A:$A, 0))-INDEX('UZ-normalized'!$E:$E, MATCH($A49, 'UZ-normalized'!$A:$A, 0))&gt;0, -(6*INDEX('UZ-normalized'!$D:$D, MATCH($A49, 'UZ-normalized'!$A:$A, 0))-INDEX('UZ-normalized'!$E:$E, MATCH($A49, 'UZ-normalized'!$A:$A, 0))), 0), 0)))</f>
        <v>0</v>
      </c>
      <c r="U49" s="6">
        <f>MIN(0, N49+(IFERROR(IF(7*INDEX('UA-normalized'!$D:$D, MATCH($A49, 'UA-normalized'!$A:$A, 0))-INDEX('UA-normalized'!$E:$E, MATCH($A49, 'UA-normalized'!$A:$A, 0))&gt;0, -(7*INDEX('UA-normalized'!$D:$D, MATCH($A49, 'UA-normalized'!$A:$A, 0))-INDEX('UA-normalized'!$E:$E, MATCH($A49, 'UA-normalized'!$A:$A, 0))), 0), 0))+(IFERROR(IF(7*INDEX('KZ-normalized'!$D:$D, MATCH($A49, 'KZ-normalized'!$A:$A, 0))-INDEX('KZ-normalized'!$E:$E, MATCH($A49, 'KZ-normalized'!$A:$A, 0))&gt;0, -(7*INDEX('KZ-normalized'!$D:$D, MATCH($A49, 'KZ-normalized'!$A:$A, 0))-INDEX('KZ-normalized'!$E:$E, MATCH($A49, 'KZ-normalized'!$A:$A, 0))), 0), 0))+(IFERROR(IF(7*INDEX('UZ-normalized'!$D:$D, MATCH($A49, 'UZ-normalized'!$A:$A, 0))-INDEX('UZ-normalized'!$E:$E, MATCH($A49, 'UZ-normalized'!$A:$A, 0))&gt;0, -(7*INDEX('UZ-normalized'!$D:$D, MATCH($A49, 'UZ-normalized'!$A:$A, 0))-INDEX('UZ-normalized'!$E:$E, MATCH($A49, 'UZ-normalized'!$A:$A, 0))), 0), 0)))</f>
        <v>0</v>
      </c>
      <c r="V49" s="6">
        <f>MIN(0, N49+(IFERROR(IF(8*INDEX('UA-normalized'!$D:$D, MATCH($A49, 'UA-normalized'!$A:$A, 0))-INDEX('UA-normalized'!$E:$E, MATCH($A49, 'UA-normalized'!$A:$A, 0))&gt;0, -(8*INDEX('UA-normalized'!$D:$D, MATCH($A49, 'UA-normalized'!$A:$A, 0))-INDEX('UA-normalized'!$E:$E, MATCH($A49, 'UA-normalized'!$A:$A, 0))), 0), 0))+(IFERROR(IF(8*INDEX('KZ-normalized'!$D:$D, MATCH($A49, 'KZ-normalized'!$A:$A, 0))-INDEX('KZ-normalized'!$E:$E, MATCH($A49, 'KZ-normalized'!$A:$A, 0))&gt;0, -(8*INDEX('KZ-normalized'!$D:$D, MATCH($A49, 'KZ-normalized'!$A:$A, 0))-INDEX('KZ-normalized'!$E:$E, MATCH($A49, 'KZ-normalized'!$A:$A, 0))), 0), 0))+(IFERROR(IF(8*INDEX('UZ-normalized'!$D:$D, MATCH($A49, 'UZ-normalized'!$A:$A, 0))-INDEX('UZ-normalized'!$E:$E, MATCH($A49, 'UZ-normalized'!$A:$A, 0))&gt;0, -(8*INDEX('UZ-normalized'!$D:$D, MATCH($A49, 'UZ-normalized'!$A:$A, 0))-INDEX('UZ-normalized'!$E:$E, MATCH($A49, 'UZ-normalized'!$A:$A, 0))), 0), 0)))</f>
        <v>0</v>
      </c>
      <c r="W49" s="6">
        <f>MIN(0, N49+(IFERROR(IF(9*INDEX('UA-normalized'!$D:$D, MATCH($A49, 'UA-normalized'!$A:$A, 0))-INDEX('UA-normalized'!$E:$E, MATCH($A49, 'UA-normalized'!$A:$A, 0))&gt;0, -(9*INDEX('UA-normalized'!$D:$D, MATCH($A49, 'UA-normalized'!$A:$A, 0))-INDEX('UA-normalized'!$E:$E, MATCH($A49, 'UA-normalized'!$A:$A, 0))), 0), 0))+(IFERROR(IF(9*INDEX('KZ-normalized'!$D:$D, MATCH($A49, 'KZ-normalized'!$A:$A, 0))-INDEX('KZ-normalized'!$E:$E, MATCH($A49, 'KZ-normalized'!$A:$A, 0))&gt;0, -(9*INDEX('KZ-normalized'!$D:$D, MATCH($A49, 'KZ-normalized'!$A:$A, 0))-INDEX('KZ-normalized'!$E:$E, MATCH($A49, 'KZ-normalized'!$A:$A, 0))), 0), 0))+(IFERROR(IF(9*INDEX('UZ-normalized'!$D:$D, MATCH($A49, 'UZ-normalized'!$A:$A, 0))-INDEX('UZ-normalized'!$E:$E, MATCH($A49, 'UZ-normalized'!$A:$A, 0))&gt;0, -(9*INDEX('UZ-normalized'!$D:$D, MATCH($A49, 'UZ-normalized'!$A:$A, 0))-INDEX('UZ-normalized'!$E:$E, MATCH($A49, 'UZ-normalized'!$A:$A, 0))), 0), 0)))</f>
        <v>0</v>
      </c>
      <c r="X49" s="6">
        <f>MIN(0, N49+(IFERROR(IF(10*INDEX('UA-normalized'!$D:$D, MATCH($A49, 'UA-normalized'!$A:$A, 0))-INDEX('UA-normalized'!$E:$E, MATCH($A49, 'UA-normalized'!$A:$A, 0))&gt;0, -(10*INDEX('UA-normalized'!$D:$D, MATCH($A49, 'UA-normalized'!$A:$A, 0))-INDEX('UA-normalized'!$E:$E, MATCH($A49, 'UA-normalized'!$A:$A, 0))), 0), 0))+(IFERROR(IF(10*INDEX('KZ-normalized'!$D:$D, MATCH($A49, 'KZ-normalized'!$A:$A, 0))-INDEX('KZ-normalized'!$E:$E, MATCH($A49, 'KZ-normalized'!$A:$A, 0))&gt;0, -(10*INDEX('KZ-normalized'!$D:$D, MATCH($A49, 'KZ-normalized'!$A:$A, 0))-INDEX('KZ-normalized'!$E:$E, MATCH($A49, 'KZ-normalized'!$A:$A, 0))), 0), 0))+(IFERROR(IF(10*INDEX('UZ-normalized'!$D:$D, MATCH($A49, 'UZ-normalized'!$A:$A, 0))-INDEX('UZ-normalized'!$E:$E, MATCH($A49, 'UZ-normalized'!$A:$A, 0))&gt;0, -(10*INDEX('UZ-normalized'!$D:$D, MATCH($A49, 'UZ-normalized'!$A:$A, 0))-INDEX('UZ-normalized'!$E:$E, MATCH($A49, 'UZ-normalized'!$A:$A, 0))), 0), 0)))</f>
        <v>0</v>
      </c>
      <c r="Y49" s="6">
        <f>MIN(0, N49+(IFERROR(IF(11*INDEX('UA-normalized'!$D:$D, MATCH($A49, 'UA-normalized'!$A:$A, 0))-INDEX('UA-normalized'!$E:$E, MATCH($A49, 'UA-normalized'!$A:$A, 0))&gt;0, -(11*INDEX('UA-normalized'!$D:$D, MATCH($A49, 'UA-normalized'!$A:$A, 0))-INDEX('UA-normalized'!$E:$E, MATCH($A49, 'UA-normalized'!$A:$A, 0))), 0), 0))+(IFERROR(IF(11*INDEX('KZ-normalized'!$D:$D, MATCH($A49, 'KZ-normalized'!$A:$A, 0))-INDEX('KZ-normalized'!$E:$E, MATCH($A49, 'KZ-normalized'!$A:$A, 0))&gt;0, -(11*INDEX('KZ-normalized'!$D:$D, MATCH($A49, 'KZ-normalized'!$A:$A, 0))-INDEX('KZ-normalized'!$E:$E, MATCH($A49, 'KZ-normalized'!$A:$A, 0))), 0), 0))+(IFERROR(IF(11*INDEX('UZ-normalized'!$D:$D, MATCH($A49, 'UZ-normalized'!$A:$A, 0))-INDEX('UZ-normalized'!$E:$E, MATCH($A49, 'UZ-normalized'!$A:$A, 0))&gt;0, -(11*INDEX('UZ-normalized'!$D:$D, MATCH($A49, 'UZ-normalized'!$A:$A, 0))-INDEX('UZ-normalized'!$E:$E, MATCH($A49, 'UZ-normalized'!$A:$A, 0))), 0), 0)))</f>
        <v>0</v>
      </c>
      <c r="Z49" s="6">
        <f>MIN(0, N49+(IFERROR(IF(12*INDEX('UA-normalized'!$D:$D, MATCH($A49, 'UA-normalized'!$A:$A, 0))-INDEX('UA-normalized'!$E:$E, MATCH($A49, 'UA-normalized'!$A:$A, 0))&gt;0, -(12*INDEX('UA-normalized'!$D:$D, MATCH($A49, 'UA-normalized'!$A:$A, 0))-INDEX('UA-normalized'!$E:$E, MATCH($A49, 'UA-normalized'!$A:$A, 0))), 0), 0))+(IFERROR(IF(12*INDEX('KZ-normalized'!$D:$D, MATCH($A49, 'KZ-normalized'!$A:$A, 0))-INDEX('KZ-normalized'!$E:$E, MATCH($A49, 'KZ-normalized'!$A:$A, 0))&gt;0, -(12*INDEX('KZ-normalized'!$D:$D, MATCH($A49, 'KZ-normalized'!$A:$A, 0))-INDEX('KZ-normalized'!$E:$E, MATCH($A49, 'KZ-normalized'!$A:$A, 0))), 0), 0))+(IFERROR(IF(12*INDEX('UZ-normalized'!$D:$D, MATCH($A49, 'UZ-normalized'!$A:$A, 0))-INDEX('UZ-normalized'!$E:$E, MATCH($A49, 'UZ-normalized'!$A:$A, 0))&gt;0, -(12*INDEX('UZ-normalized'!$D:$D, MATCH($A49, 'UZ-normalized'!$A:$A, 0))-INDEX('UZ-normalized'!$E:$E, MATCH($A49, 'UZ-normalized'!$A:$A, 0))), 0), 0)))</f>
        <v>0</v>
      </c>
      <c r="AA49" s="6">
        <f>MIN(0, N49+(IFERROR(IF(13*INDEX('UA-normalized'!$D:$D, MATCH($A49, 'UA-normalized'!$A:$A, 0))-INDEX('UA-normalized'!$E:$E, MATCH($A49, 'UA-normalized'!$A:$A, 0))&gt;0, -(13*INDEX('UA-normalized'!$D:$D, MATCH($A49, 'UA-normalized'!$A:$A, 0))-INDEX('UA-normalized'!$E:$E, MATCH($A49, 'UA-normalized'!$A:$A, 0))), 0), 0))+(IFERROR(IF(13*INDEX('KZ-normalized'!$D:$D, MATCH($A49, 'KZ-normalized'!$A:$A, 0))-INDEX('KZ-normalized'!$E:$E, MATCH($A49, 'KZ-normalized'!$A:$A, 0))&gt;0, -(13*INDEX('KZ-normalized'!$D:$D, MATCH($A49, 'KZ-normalized'!$A:$A, 0))-INDEX('KZ-normalized'!$E:$E, MATCH($A49, 'KZ-normalized'!$A:$A, 0))), 0), 0))+(IFERROR(IF(13*INDEX('UZ-normalized'!$D:$D, MATCH($A49, 'UZ-normalized'!$A:$A, 0))-INDEX('UZ-normalized'!$E:$E, MATCH($A49, 'UZ-normalized'!$A:$A, 0))&gt;0, -(13*INDEX('UZ-normalized'!$D:$D, MATCH($A49, 'UZ-normalized'!$A:$A, 0))-INDEX('UZ-normalized'!$E:$E, MATCH($A49, 'UZ-normalized'!$A:$A, 0))), 0), 0)))</f>
        <v>0</v>
      </c>
      <c r="AB49" s="6">
        <f>MIN(0, N49+(IFERROR(IF(14*INDEX('UA-normalized'!$D:$D, MATCH($A49, 'UA-normalized'!$A:$A, 0))-INDEX('UA-normalized'!$E:$E, MATCH($A49, 'UA-normalized'!$A:$A, 0))&gt;0, -(14*INDEX('UA-normalized'!$D:$D, MATCH($A49, 'UA-normalized'!$A:$A, 0))-INDEX('UA-normalized'!$E:$E, MATCH($A49, 'UA-normalized'!$A:$A, 0))), 0), 0))+(IFERROR(IF(14*INDEX('KZ-normalized'!$D:$D, MATCH($A49, 'KZ-normalized'!$A:$A, 0))-INDEX('KZ-normalized'!$E:$E, MATCH($A49, 'KZ-normalized'!$A:$A, 0))&gt;0, -(14*INDEX('KZ-normalized'!$D:$D, MATCH($A49, 'KZ-normalized'!$A:$A, 0))-INDEX('KZ-normalized'!$E:$E, MATCH($A49, 'KZ-normalized'!$A:$A, 0))), 0), 0))+(IFERROR(IF(14*INDEX('UZ-normalized'!$D:$D, MATCH($A49, 'UZ-normalized'!$A:$A, 0))-INDEX('UZ-normalized'!$E:$E, MATCH($A49, 'UZ-normalized'!$A:$A, 0))&gt;0, -(14*INDEX('UZ-normalized'!$D:$D, MATCH($A49, 'UZ-normalized'!$A:$A, 0))-INDEX('UZ-normalized'!$E:$E, MATCH($A49, 'UZ-normalized'!$A:$A, 0))), 0), 0)))</f>
        <v>0</v>
      </c>
      <c r="AC49" s="6">
        <f>MIN(0, N49+(IFERROR(IF(15*INDEX('UA-normalized'!$D:$D, MATCH($A49, 'UA-normalized'!$A:$A, 0))-INDEX('UA-normalized'!$E:$E, MATCH($A49, 'UA-normalized'!$A:$A, 0))&gt;0, -(15*INDEX('UA-normalized'!$D:$D, MATCH($A49, 'UA-normalized'!$A:$A, 0))-INDEX('UA-normalized'!$E:$E, MATCH($A49, 'UA-normalized'!$A:$A, 0))), 0), 0))+(IFERROR(IF(15*INDEX('KZ-normalized'!$D:$D, MATCH($A49, 'KZ-normalized'!$A:$A, 0))-INDEX('KZ-normalized'!$E:$E, MATCH($A49, 'KZ-normalized'!$A:$A, 0))&gt;0, -(15*INDEX('KZ-normalized'!$D:$D, MATCH($A49, 'KZ-normalized'!$A:$A, 0))-INDEX('KZ-normalized'!$E:$E, MATCH($A49, 'KZ-normalized'!$A:$A, 0))), 0), 0))+(IFERROR(IF(15*INDEX('UZ-normalized'!$D:$D, MATCH($A49, 'UZ-normalized'!$A:$A, 0))-INDEX('UZ-normalized'!$E:$E, MATCH($A49, 'UZ-normalized'!$A:$A, 0))&gt;0, -(15*INDEX('UZ-normalized'!$D:$D, MATCH($A49, 'UZ-normalized'!$A:$A, 0))-INDEX('UZ-normalized'!$E:$E, MATCH($A49, 'UZ-normalized'!$A:$A, 0))), 0), 0)))</f>
        <v>0</v>
      </c>
      <c r="AD49" s="6">
        <f>MIN(0, N49+(IFERROR(IF(16*INDEX('UA-normalized'!$D:$D, MATCH($A49, 'UA-normalized'!$A:$A, 0))-INDEX('UA-normalized'!$E:$E, MATCH($A49, 'UA-normalized'!$A:$A, 0))&gt;0, -(16*INDEX('UA-normalized'!$D:$D, MATCH($A49, 'UA-normalized'!$A:$A, 0))-INDEX('UA-normalized'!$E:$E, MATCH($A49, 'UA-normalized'!$A:$A, 0))), 0), 0))+(IFERROR(IF(16*INDEX('KZ-normalized'!$D:$D, MATCH($A49, 'KZ-normalized'!$A:$A, 0))-INDEX('KZ-normalized'!$E:$E, MATCH($A49, 'KZ-normalized'!$A:$A, 0))&gt;0, -(16*INDEX('KZ-normalized'!$D:$D, MATCH($A49, 'KZ-normalized'!$A:$A, 0))-INDEX('KZ-normalized'!$E:$E, MATCH($A49, 'KZ-normalized'!$A:$A, 0))), 0), 0))+(IFERROR(IF(16*INDEX('UZ-normalized'!$D:$D, MATCH($A49, 'UZ-normalized'!$A:$A, 0))-INDEX('UZ-normalized'!$E:$E, MATCH($A49, 'UZ-normalized'!$A:$A, 0))&gt;0, -(16*INDEX('UZ-normalized'!$D:$D, MATCH($A49, 'UZ-normalized'!$A:$A, 0))-INDEX('UZ-normalized'!$E:$E, MATCH($A49, 'UZ-normalized'!$A:$A, 0))), 0), 0)))</f>
        <v>0</v>
      </c>
      <c r="AE49" s="6">
        <f>MIN(0, N49+(IFERROR(IF(17*INDEX('UA-normalized'!$D:$D, MATCH($A49, 'UA-normalized'!$A:$A, 0))-INDEX('UA-normalized'!$E:$E, MATCH($A49, 'UA-normalized'!$A:$A, 0))&gt;0, -(17*INDEX('UA-normalized'!$D:$D, MATCH($A49, 'UA-normalized'!$A:$A, 0))-INDEX('UA-normalized'!$E:$E, MATCH($A49, 'UA-normalized'!$A:$A, 0))), 0), 0))+(IFERROR(IF(17*INDEX('KZ-normalized'!$D:$D, MATCH($A49, 'KZ-normalized'!$A:$A, 0))-INDEX('KZ-normalized'!$E:$E, MATCH($A49, 'KZ-normalized'!$A:$A, 0))&gt;0, -(17*INDEX('KZ-normalized'!$D:$D, MATCH($A49, 'KZ-normalized'!$A:$A, 0))-INDEX('KZ-normalized'!$E:$E, MATCH($A49, 'KZ-normalized'!$A:$A, 0))), 0), 0))+(IFERROR(IF(17*INDEX('UZ-normalized'!$D:$D, MATCH($A49, 'UZ-normalized'!$A:$A, 0))-INDEX('UZ-normalized'!$E:$E, MATCH($A49, 'UZ-normalized'!$A:$A, 0))&gt;0, -(17*INDEX('UZ-normalized'!$D:$D, MATCH($A49, 'UZ-normalized'!$A:$A, 0))-INDEX('UZ-normalized'!$E:$E, MATCH($A49, 'UZ-normalized'!$A:$A, 0))), 0), 0)))</f>
        <v>0</v>
      </c>
      <c r="AF49" s="6">
        <f>MIN(0, N49+(IFERROR(IF(18*INDEX('UA-normalized'!$D:$D, MATCH($A49, 'UA-normalized'!$A:$A, 0))-INDEX('UA-normalized'!$E:$E, MATCH($A49, 'UA-normalized'!$A:$A, 0))&gt;0, -(18*INDEX('UA-normalized'!$D:$D, MATCH($A49, 'UA-normalized'!$A:$A, 0))-INDEX('UA-normalized'!$E:$E, MATCH($A49, 'UA-normalized'!$A:$A, 0))), 0), 0))+(IFERROR(IF(18*INDEX('KZ-normalized'!$D:$D, MATCH($A49, 'KZ-normalized'!$A:$A, 0))-INDEX('KZ-normalized'!$E:$E, MATCH($A49, 'KZ-normalized'!$A:$A, 0))&gt;0, -(18*INDEX('KZ-normalized'!$D:$D, MATCH($A49, 'KZ-normalized'!$A:$A, 0))-INDEX('KZ-normalized'!$E:$E, MATCH($A49, 'KZ-normalized'!$A:$A, 0))), 0), 0))+(IFERROR(IF(18*INDEX('UZ-normalized'!$D:$D, MATCH($A49, 'UZ-normalized'!$A:$A, 0))-INDEX('UZ-normalized'!$E:$E, MATCH($A49, 'UZ-normalized'!$A:$A, 0))&gt;0, -(18*INDEX('UZ-normalized'!$D:$D, MATCH($A49, 'UZ-normalized'!$A:$A, 0))-INDEX('UZ-normalized'!$E:$E, MATCH($A49, 'UZ-normalized'!$A:$A, 0))), 0), 0)))</f>
        <v>0</v>
      </c>
      <c r="AG49" s="6">
        <f>MIN(0, N49+(IFERROR(IF(19*INDEX('UA-normalized'!$D:$D, MATCH($A49, 'UA-normalized'!$A:$A, 0))-INDEX('UA-normalized'!$E:$E, MATCH($A49, 'UA-normalized'!$A:$A, 0))&gt;0, -(19*INDEX('UA-normalized'!$D:$D, MATCH($A49, 'UA-normalized'!$A:$A, 0))-INDEX('UA-normalized'!$E:$E, MATCH($A49, 'UA-normalized'!$A:$A, 0))), 0), 0))+(IFERROR(IF(19*INDEX('KZ-normalized'!$D:$D, MATCH($A49, 'KZ-normalized'!$A:$A, 0))-INDEX('KZ-normalized'!$E:$E, MATCH($A49, 'KZ-normalized'!$A:$A, 0))&gt;0, -(19*INDEX('KZ-normalized'!$D:$D, MATCH($A49, 'KZ-normalized'!$A:$A, 0))-INDEX('KZ-normalized'!$E:$E, MATCH($A49, 'KZ-normalized'!$A:$A, 0))), 0), 0))+(IFERROR(IF(19*INDEX('UZ-normalized'!$D:$D, MATCH($A49, 'UZ-normalized'!$A:$A, 0))-INDEX('UZ-normalized'!$E:$E, MATCH($A49, 'UZ-normalized'!$A:$A, 0))&gt;0, -(19*INDEX('UZ-normalized'!$D:$D, MATCH($A49, 'UZ-normalized'!$A:$A, 0))-INDEX('UZ-normalized'!$E:$E, MATCH($A49, 'UZ-normalized'!$A:$A, 0))), 0), 0)))</f>
        <v>0</v>
      </c>
      <c r="AH49" s="6">
        <f>MIN(0, N49+(IFERROR(IF(20*INDEX('UA-normalized'!$D:$D, MATCH($A49, 'UA-normalized'!$A:$A, 0))-INDEX('UA-normalized'!$E:$E, MATCH($A49, 'UA-normalized'!$A:$A, 0))&gt;0, -(20*INDEX('UA-normalized'!$D:$D, MATCH($A49, 'UA-normalized'!$A:$A, 0))-INDEX('UA-normalized'!$E:$E, MATCH($A49, 'UA-normalized'!$A:$A, 0))), 0), 0))+(IFERROR(IF(20*INDEX('KZ-normalized'!$D:$D, MATCH($A49, 'KZ-normalized'!$A:$A, 0))-INDEX('KZ-normalized'!$E:$E, MATCH($A49, 'KZ-normalized'!$A:$A, 0))&gt;0, -(20*INDEX('KZ-normalized'!$D:$D, MATCH($A49, 'KZ-normalized'!$A:$A, 0))-INDEX('KZ-normalized'!$E:$E, MATCH($A49, 'KZ-normalized'!$A:$A, 0))), 0), 0))+(IFERROR(IF(20*INDEX('UZ-normalized'!$D:$D, MATCH($A49, 'UZ-normalized'!$A:$A, 0))-INDEX('UZ-normalized'!$E:$E, MATCH($A49, 'UZ-normalized'!$A:$A, 0))&gt;0, -(20*INDEX('UZ-normalized'!$D:$D, MATCH($A49, 'UZ-normalized'!$A:$A, 0))-INDEX('UZ-normalized'!$E:$E, MATCH($A49, 'UZ-normalized'!$A:$A, 0))), 0), 0)))</f>
        <v>0</v>
      </c>
      <c r="AI49" s="6">
        <f>MIN(0, N49+(IFERROR(IF(21*INDEX('UA-normalized'!$D:$D, MATCH($A49, 'UA-normalized'!$A:$A, 0))-INDEX('UA-normalized'!$E:$E, MATCH($A49, 'UA-normalized'!$A:$A, 0))&gt;0, -(21*INDEX('UA-normalized'!$D:$D, MATCH($A49, 'UA-normalized'!$A:$A, 0))-INDEX('UA-normalized'!$E:$E, MATCH($A49, 'UA-normalized'!$A:$A, 0))), 0), 0))+(IFERROR(IF(21*INDEX('KZ-normalized'!$D:$D, MATCH($A49, 'KZ-normalized'!$A:$A, 0))-INDEX('KZ-normalized'!$E:$E, MATCH($A49, 'KZ-normalized'!$A:$A, 0))&gt;0, -(21*INDEX('KZ-normalized'!$D:$D, MATCH($A49, 'KZ-normalized'!$A:$A, 0))-INDEX('KZ-normalized'!$E:$E, MATCH($A49, 'KZ-normalized'!$A:$A, 0))), 0), 0))+(IFERROR(IF(21*INDEX('UZ-normalized'!$D:$D, MATCH($A49, 'UZ-normalized'!$A:$A, 0))-INDEX('UZ-normalized'!$E:$E, MATCH($A49, 'UZ-normalized'!$A:$A, 0))&gt;0, -(21*INDEX('UZ-normalized'!$D:$D, MATCH($A49, 'UZ-normalized'!$A:$A, 0))-INDEX('UZ-normalized'!$E:$E, MATCH($A49, 'UZ-normalized'!$A:$A, 0))), 0), 0)))</f>
        <v>0</v>
      </c>
      <c r="AJ49" s="6">
        <f>MIN(0, N49+(IFERROR(IF(22*INDEX('UA-normalized'!$D:$D, MATCH($A49, 'UA-normalized'!$A:$A, 0))-INDEX('UA-normalized'!$E:$E, MATCH($A49, 'UA-normalized'!$A:$A, 0))&gt;0, -(22*INDEX('UA-normalized'!$D:$D, MATCH($A49, 'UA-normalized'!$A:$A, 0))-INDEX('UA-normalized'!$E:$E, MATCH($A49, 'UA-normalized'!$A:$A, 0))), 0), 0))+(IFERROR(IF(22*INDEX('KZ-normalized'!$D:$D, MATCH($A49, 'KZ-normalized'!$A:$A, 0))-INDEX('KZ-normalized'!$E:$E, MATCH($A49, 'KZ-normalized'!$A:$A, 0))&gt;0, -(22*INDEX('KZ-normalized'!$D:$D, MATCH($A49, 'KZ-normalized'!$A:$A, 0))-INDEX('KZ-normalized'!$E:$E, MATCH($A49, 'KZ-normalized'!$A:$A, 0))), 0), 0))+(IFERROR(IF(22*INDEX('UZ-normalized'!$D:$D, MATCH($A49, 'UZ-normalized'!$A:$A, 0))-INDEX('UZ-normalized'!$E:$E, MATCH($A49, 'UZ-normalized'!$A:$A, 0))&gt;0, -(22*INDEX('UZ-normalized'!$D:$D, MATCH($A49, 'UZ-normalized'!$A:$A, 0))-INDEX('UZ-normalized'!$E:$E, MATCH($A49, 'UZ-normalized'!$A:$A, 0))), 0), 0)))</f>
        <v>0</v>
      </c>
      <c r="AK49" s="6">
        <f>MIN(0, N49+(IFERROR(IF(23*INDEX('UA-normalized'!$D:$D, MATCH($A49, 'UA-normalized'!$A:$A, 0))-INDEX('UA-normalized'!$E:$E, MATCH($A49, 'UA-normalized'!$A:$A, 0))&gt;0, -(23*INDEX('UA-normalized'!$D:$D, MATCH($A49, 'UA-normalized'!$A:$A, 0))-INDEX('UA-normalized'!$E:$E, MATCH($A49, 'UA-normalized'!$A:$A, 0))), 0), 0))+(IFERROR(IF(23*INDEX('KZ-normalized'!$D:$D, MATCH($A49, 'KZ-normalized'!$A:$A, 0))-INDEX('KZ-normalized'!$E:$E, MATCH($A49, 'KZ-normalized'!$A:$A, 0))&gt;0, -(23*INDEX('KZ-normalized'!$D:$D, MATCH($A49, 'KZ-normalized'!$A:$A, 0))-INDEX('KZ-normalized'!$E:$E, MATCH($A49, 'KZ-normalized'!$A:$A, 0))), 0), 0))+(IFERROR(IF(23*INDEX('UZ-normalized'!$D:$D, MATCH($A49, 'UZ-normalized'!$A:$A, 0))-INDEX('UZ-normalized'!$E:$E, MATCH($A49, 'UZ-normalized'!$A:$A, 0))&gt;0, -(23*INDEX('UZ-normalized'!$D:$D, MATCH($A49, 'UZ-normalized'!$A:$A, 0))-INDEX('UZ-normalized'!$E:$E, MATCH($A49, 'UZ-normalized'!$A:$A, 0))), 0), 0)))</f>
        <v>0</v>
      </c>
      <c r="AL49" s="6">
        <f>MIN(0, N49+(IFERROR(IF(24*INDEX('UA-normalized'!$D:$D, MATCH($A49, 'UA-normalized'!$A:$A, 0))-INDEX('UA-normalized'!$E:$E, MATCH($A49, 'UA-normalized'!$A:$A, 0))&gt;0, -(24*INDEX('UA-normalized'!$D:$D, MATCH($A49, 'UA-normalized'!$A:$A, 0))-INDEX('UA-normalized'!$E:$E, MATCH($A49, 'UA-normalized'!$A:$A, 0))), 0), 0))+(IFERROR(IF(24*INDEX('KZ-normalized'!$D:$D, MATCH($A49, 'KZ-normalized'!$A:$A, 0))-INDEX('KZ-normalized'!$E:$E, MATCH($A49, 'KZ-normalized'!$A:$A, 0))&gt;0, -(24*INDEX('KZ-normalized'!$D:$D, MATCH($A49, 'KZ-normalized'!$A:$A, 0))-INDEX('KZ-normalized'!$E:$E, MATCH($A49, 'KZ-normalized'!$A:$A, 0))), 0), 0))+(IFERROR(IF(24*INDEX('UZ-normalized'!$D:$D, MATCH($A49, 'UZ-normalized'!$A:$A, 0))-INDEX('UZ-normalized'!$E:$E, MATCH($A49, 'UZ-normalized'!$A:$A, 0))&gt;0, -(24*INDEX('UZ-normalized'!$D:$D, MATCH($A49, 'UZ-normalized'!$A:$A, 0))-INDEX('UZ-normalized'!$E:$E, MATCH($A49, 'UZ-normalized'!$A:$A, 0))), 0), 0)))</f>
        <v>0</v>
      </c>
      <c r="AM49" s="6">
        <f>MIN(0, N49+(IFERROR(IF(25*INDEX('UA-normalized'!$D:$D, MATCH($A49, 'UA-normalized'!$A:$A, 0))-INDEX('UA-normalized'!$E:$E, MATCH($A49, 'UA-normalized'!$A:$A, 0))&gt;0, -(25*INDEX('UA-normalized'!$D:$D, MATCH($A49, 'UA-normalized'!$A:$A, 0))-INDEX('UA-normalized'!$E:$E, MATCH($A49, 'UA-normalized'!$A:$A, 0))), 0), 0))+(IFERROR(IF(25*INDEX('KZ-normalized'!$D:$D, MATCH($A49, 'KZ-normalized'!$A:$A, 0))-INDEX('KZ-normalized'!$E:$E, MATCH($A49, 'KZ-normalized'!$A:$A, 0))&gt;0, -(25*INDEX('KZ-normalized'!$D:$D, MATCH($A49, 'KZ-normalized'!$A:$A, 0))-INDEX('KZ-normalized'!$E:$E, MATCH($A49, 'KZ-normalized'!$A:$A, 0))), 0), 0))+(IFERROR(IF(25*INDEX('UZ-normalized'!$D:$D, MATCH($A49, 'UZ-normalized'!$A:$A, 0))-INDEX('UZ-normalized'!$E:$E, MATCH($A49, 'UZ-normalized'!$A:$A, 0))&gt;0, -(25*INDEX('UZ-normalized'!$D:$D, MATCH($A49, 'UZ-normalized'!$A:$A, 0))-INDEX('UZ-normalized'!$E:$E, MATCH($A49, 'UZ-normalized'!$A:$A, 0))), 0), 0)))</f>
        <v>0</v>
      </c>
      <c r="AN49" s="6">
        <f>MIN(0, N49+(IFERROR(IF(26*INDEX('UA-normalized'!$D:$D, MATCH($A49, 'UA-normalized'!$A:$A, 0))-INDEX('UA-normalized'!$E:$E, MATCH($A49, 'UA-normalized'!$A:$A, 0))&gt;0, -(26*INDEX('UA-normalized'!$D:$D, MATCH($A49, 'UA-normalized'!$A:$A, 0))-INDEX('UA-normalized'!$E:$E, MATCH($A49, 'UA-normalized'!$A:$A, 0))), 0), 0))+(IFERROR(IF(26*INDEX('KZ-normalized'!$D:$D, MATCH($A49, 'KZ-normalized'!$A:$A, 0))-INDEX('KZ-normalized'!$E:$E, MATCH($A49, 'KZ-normalized'!$A:$A, 0))&gt;0, -(26*INDEX('KZ-normalized'!$D:$D, MATCH($A49, 'KZ-normalized'!$A:$A, 0))-INDEX('KZ-normalized'!$E:$E, MATCH($A49, 'KZ-normalized'!$A:$A, 0))), 0), 0))+(IFERROR(IF(26*INDEX('UZ-normalized'!$D:$D, MATCH($A49, 'UZ-normalized'!$A:$A, 0))-INDEX('UZ-normalized'!$E:$E, MATCH($A49, 'UZ-normalized'!$A:$A, 0))&gt;0, -(26*INDEX('UZ-normalized'!$D:$D, MATCH($A49, 'UZ-normalized'!$A:$A, 0))-INDEX('UZ-normalized'!$E:$E, MATCH($A49, 'UZ-normalized'!$A:$A, 0))), 0), 0)))</f>
        <v>0</v>
      </c>
      <c r="AO49" s="6">
        <f>MIN(0, N49+(IFERROR(IF(27*INDEX('UA-normalized'!$D:$D, MATCH($A49, 'UA-normalized'!$A:$A, 0))-INDEX('UA-normalized'!$E:$E, MATCH($A49, 'UA-normalized'!$A:$A, 0))&gt;0, -(27*INDEX('UA-normalized'!$D:$D, MATCH($A49, 'UA-normalized'!$A:$A, 0))-INDEX('UA-normalized'!$E:$E, MATCH($A49, 'UA-normalized'!$A:$A, 0))), 0), 0))+(IFERROR(IF(27*INDEX('KZ-normalized'!$D:$D, MATCH($A49, 'KZ-normalized'!$A:$A, 0))-INDEX('KZ-normalized'!$E:$E, MATCH($A49, 'KZ-normalized'!$A:$A, 0))&gt;0, -(27*INDEX('KZ-normalized'!$D:$D, MATCH($A49, 'KZ-normalized'!$A:$A, 0))-INDEX('KZ-normalized'!$E:$E, MATCH($A49, 'KZ-normalized'!$A:$A, 0))), 0), 0))+(IFERROR(IF(27*INDEX('UZ-normalized'!$D:$D, MATCH($A49, 'UZ-normalized'!$A:$A, 0))-INDEX('UZ-normalized'!$E:$E, MATCH($A49, 'UZ-normalized'!$A:$A, 0))&gt;0, -(27*INDEX('UZ-normalized'!$D:$D, MATCH($A49, 'UZ-normalized'!$A:$A, 0))-INDEX('UZ-normalized'!$E:$E, MATCH($A49, 'UZ-normalized'!$A:$A, 0))), 0), 0)))</f>
        <v>0</v>
      </c>
      <c r="AP49" s="6">
        <f>MIN(0, N49+(IFERROR(IF(28*INDEX('UA-normalized'!$D:$D, MATCH($A49, 'UA-normalized'!$A:$A, 0))-INDEX('UA-normalized'!$E:$E, MATCH($A49, 'UA-normalized'!$A:$A, 0))&gt;0, -(28*INDEX('UA-normalized'!$D:$D, MATCH($A49, 'UA-normalized'!$A:$A, 0))-INDEX('UA-normalized'!$E:$E, MATCH($A49, 'UA-normalized'!$A:$A, 0))), 0), 0))+(IFERROR(IF(28*INDEX('KZ-normalized'!$D:$D, MATCH($A49, 'KZ-normalized'!$A:$A, 0))-INDEX('KZ-normalized'!$E:$E, MATCH($A49, 'KZ-normalized'!$A:$A, 0))&gt;0, -(28*INDEX('KZ-normalized'!$D:$D, MATCH($A49, 'KZ-normalized'!$A:$A, 0))-INDEX('KZ-normalized'!$E:$E, MATCH($A49, 'KZ-normalized'!$A:$A, 0))), 0), 0))+(IFERROR(IF(28*INDEX('UZ-normalized'!$D:$D, MATCH($A49, 'UZ-normalized'!$A:$A, 0))-INDEX('UZ-normalized'!$E:$E, MATCH($A49, 'UZ-normalized'!$A:$A, 0))&gt;0, -(28*INDEX('UZ-normalized'!$D:$D, MATCH($A49, 'UZ-normalized'!$A:$A, 0))-INDEX('UZ-normalized'!$E:$E, MATCH($A49, 'UZ-normalized'!$A:$A, 0))), 0), 0)))</f>
        <v>0</v>
      </c>
      <c r="AQ49" s="6">
        <f>MIN(0, N49+(IFERROR(IF(29*INDEX('UA-normalized'!$D:$D, MATCH($A49, 'UA-normalized'!$A:$A, 0))-INDEX('UA-normalized'!$E:$E, MATCH($A49, 'UA-normalized'!$A:$A, 0))&gt;0, -(29*INDEX('UA-normalized'!$D:$D, MATCH($A49, 'UA-normalized'!$A:$A, 0))-INDEX('UA-normalized'!$E:$E, MATCH($A49, 'UA-normalized'!$A:$A, 0))), 0), 0))+(IFERROR(IF(29*INDEX('KZ-normalized'!$D:$D, MATCH($A49, 'KZ-normalized'!$A:$A, 0))-INDEX('KZ-normalized'!$E:$E, MATCH($A49, 'KZ-normalized'!$A:$A, 0))&gt;0, -(29*INDEX('KZ-normalized'!$D:$D, MATCH($A49, 'KZ-normalized'!$A:$A, 0))-INDEX('KZ-normalized'!$E:$E, MATCH($A49, 'KZ-normalized'!$A:$A, 0))), 0), 0))+(IFERROR(IF(29*INDEX('UZ-normalized'!$D:$D, MATCH($A49, 'UZ-normalized'!$A:$A, 0))-INDEX('UZ-normalized'!$E:$E, MATCH($A49, 'UZ-normalized'!$A:$A, 0))&gt;0, -(29*INDEX('UZ-normalized'!$D:$D, MATCH($A49, 'UZ-normalized'!$A:$A, 0))-INDEX('UZ-normalized'!$E:$E, MATCH($A49, 'UZ-normalized'!$A:$A, 0))), 0), 0)))</f>
        <v>0</v>
      </c>
      <c r="AR49" s="6">
        <f>MIN(0, N49+(IFERROR(IF(30*INDEX('UA-normalized'!$D:$D, MATCH($A49, 'UA-normalized'!$A:$A, 0))-INDEX('UA-normalized'!$E:$E, MATCH($A49, 'UA-normalized'!$A:$A, 0))&gt;0, -(30*INDEX('UA-normalized'!$D:$D, MATCH($A49, 'UA-normalized'!$A:$A, 0))-INDEX('UA-normalized'!$E:$E, MATCH($A49, 'UA-normalized'!$A:$A, 0))), 0), 0))+(IFERROR(IF(30*INDEX('KZ-normalized'!$D:$D, MATCH($A49, 'KZ-normalized'!$A:$A, 0))-INDEX('KZ-normalized'!$E:$E, MATCH($A49, 'KZ-normalized'!$A:$A, 0))&gt;0, -(30*INDEX('KZ-normalized'!$D:$D, MATCH($A49, 'KZ-normalized'!$A:$A, 0))-INDEX('KZ-normalized'!$E:$E, MATCH($A49, 'KZ-normalized'!$A:$A, 0))), 0), 0))+(IFERROR(IF(30*INDEX('UZ-normalized'!$D:$D, MATCH($A49, 'UZ-normalized'!$A:$A, 0))-INDEX('UZ-normalized'!$E:$E, MATCH($A49, 'UZ-normalized'!$A:$A, 0))&gt;0, -(30*INDEX('UZ-normalized'!$D:$D, MATCH($A49, 'UZ-normalized'!$A:$A, 0))-INDEX('UZ-normalized'!$E:$E, MATCH($A49, 'UZ-normalized'!$A:$A, 0))), 0), 0)))</f>
        <v>0</v>
      </c>
    </row>
    <row r="50" spans="1:44" x14ac:dyDescent="0.25">
      <c r="A50" s="8" t="s">
        <v>144</v>
      </c>
      <c r="B50" s="8" t="s">
        <v>83</v>
      </c>
      <c r="C50" s="8" t="s">
        <v>145</v>
      </c>
      <c r="D50" s="8" t="s">
        <v>146</v>
      </c>
      <c r="N50">
        <f t="shared" si="0"/>
        <v>0</v>
      </c>
      <c r="O50" s="6">
        <f>MIN(0, N50+(IFERROR(IF(1*INDEX('UA-normalized'!$D:$D, MATCH($A50, 'UA-normalized'!$A:$A, 0))-INDEX('UA-normalized'!$E:$E, MATCH($A50, 'UA-normalized'!$A:$A, 0))&gt;0, -(1*INDEX('UA-normalized'!$D:$D, MATCH($A50, 'UA-normalized'!$A:$A, 0))-INDEX('UA-normalized'!$E:$E, MATCH($A50, 'UA-normalized'!$A:$A, 0))), 0), 0))+(IFERROR(IF(1*INDEX('KZ-normalized'!$D:$D, MATCH($A50, 'KZ-normalized'!$A:$A, 0))-INDEX('KZ-normalized'!$E:$E, MATCH($A50, 'KZ-normalized'!$A:$A, 0))&gt;0, -(1*INDEX('KZ-normalized'!$D:$D, MATCH($A50, 'KZ-normalized'!$A:$A, 0))-INDEX('KZ-normalized'!$E:$E, MATCH($A50, 'KZ-normalized'!$A:$A, 0))), 0), 0))+(IFERROR(IF(1*INDEX('UZ-normalized'!$D:$D, MATCH($A50, 'UZ-normalized'!$A:$A, 0))-INDEX('UZ-normalized'!$E:$E, MATCH($A50, 'UZ-normalized'!$A:$A, 0))&gt;0, -(1*INDEX('UZ-normalized'!$D:$D, MATCH($A50, 'UZ-normalized'!$A:$A, 0))-INDEX('UZ-normalized'!$E:$E, MATCH($A50, 'UZ-normalized'!$A:$A, 0))), 0), 0)))</f>
        <v>0</v>
      </c>
      <c r="P50" s="6">
        <f>MIN(0, N50+(IFERROR(IF(2*INDEX('UA-normalized'!$D:$D, MATCH($A50, 'UA-normalized'!$A:$A, 0))-INDEX('UA-normalized'!$E:$E, MATCH($A50, 'UA-normalized'!$A:$A, 0))&gt;0, -(2*INDEX('UA-normalized'!$D:$D, MATCH($A50, 'UA-normalized'!$A:$A, 0))-INDEX('UA-normalized'!$E:$E, MATCH($A50, 'UA-normalized'!$A:$A, 0))), 0), 0))+(IFERROR(IF(2*INDEX('KZ-normalized'!$D:$D, MATCH($A50, 'KZ-normalized'!$A:$A, 0))-INDEX('KZ-normalized'!$E:$E, MATCH($A50, 'KZ-normalized'!$A:$A, 0))&gt;0, -(2*INDEX('KZ-normalized'!$D:$D, MATCH($A50, 'KZ-normalized'!$A:$A, 0))-INDEX('KZ-normalized'!$E:$E, MATCH($A50, 'KZ-normalized'!$A:$A, 0))), 0), 0))+(IFERROR(IF(2*INDEX('UZ-normalized'!$D:$D, MATCH($A50, 'UZ-normalized'!$A:$A, 0))-INDEX('UZ-normalized'!$E:$E, MATCH($A50, 'UZ-normalized'!$A:$A, 0))&gt;0, -(2*INDEX('UZ-normalized'!$D:$D, MATCH($A50, 'UZ-normalized'!$A:$A, 0))-INDEX('UZ-normalized'!$E:$E, MATCH($A50, 'UZ-normalized'!$A:$A, 0))), 0), 0)))</f>
        <v>0</v>
      </c>
      <c r="Q50" s="6">
        <f>MIN(0, N50+(IFERROR(IF(3*INDEX('UA-normalized'!$D:$D, MATCH($A50, 'UA-normalized'!$A:$A, 0))-INDEX('UA-normalized'!$E:$E, MATCH($A50, 'UA-normalized'!$A:$A, 0))&gt;0, -(3*INDEX('UA-normalized'!$D:$D, MATCH($A50, 'UA-normalized'!$A:$A, 0))-INDEX('UA-normalized'!$E:$E, MATCH($A50, 'UA-normalized'!$A:$A, 0))), 0), 0))+(IFERROR(IF(3*INDEX('KZ-normalized'!$D:$D, MATCH($A50, 'KZ-normalized'!$A:$A, 0))-INDEX('KZ-normalized'!$E:$E, MATCH($A50, 'KZ-normalized'!$A:$A, 0))&gt;0, -(3*INDEX('KZ-normalized'!$D:$D, MATCH($A50, 'KZ-normalized'!$A:$A, 0))-INDEX('KZ-normalized'!$E:$E, MATCH($A50, 'KZ-normalized'!$A:$A, 0))), 0), 0))+(IFERROR(IF(3*INDEX('UZ-normalized'!$D:$D, MATCH($A50, 'UZ-normalized'!$A:$A, 0))-INDEX('UZ-normalized'!$E:$E, MATCH($A50, 'UZ-normalized'!$A:$A, 0))&gt;0, -(3*INDEX('UZ-normalized'!$D:$D, MATCH($A50, 'UZ-normalized'!$A:$A, 0))-INDEX('UZ-normalized'!$E:$E, MATCH($A50, 'UZ-normalized'!$A:$A, 0))), 0), 0)))</f>
        <v>0</v>
      </c>
      <c r="R50" s="6">
        <f>MIN(0, N50+(IFERROR(IF(4*INDEX('UA-normalized'!$D:$D, MATCH($A50, 'UA-normalized'!$A:$A, 0))-INDEX('UA-normalized'!$E:$E, MATCH($A50, 'UA-normalized'!$A:$A, 0))&gt;0, -(4*INDEX('UA-normalized'!$D:$D, MATCH($A50, 'UA-normalized'!$A:$A, 0))-INDEX('UA-normalized'!$E:$E, MATCH($A50, 'UA-normalized'!$A:$A, 0))), 0), 0))+(IFERROR(IF(4*INDEX('KZ-normalized'!$D:$D, MATCH($A50, 'KZ-normalized'!$A:$A, 0))-INDEX('KZ-normalized'!$E:$E, MATCH($A50, 'KZ-normalized'!$A:$A, 0))&gt;0, -(4*INDEX('KZ-normalized'!$D:$D, MATCH($A50, 'KZ-normalized'!$A:$A, 0))-INDEX('KZ-normalized'!$E:$E, MATCH($A50, 'KZ-normalized'!$A:$A, 0))), 0), 0))+(IFERROR(IF(4*INDEX('UZ-normalized'!$D:$D, MATCH($A50, 'UZ-normalized'!$A:$A, 0))-INDEX('UZ-normalized'!$E:$E, MATCH($A50, 'UZ-normalized'!$A:$A, 0))&gt;0, -(4*INDEX('UZ-normalized'!$D:$D, MATCH($A50, 'UZ-normalized'!$A:$A, 0))-INDEX('UZ-normalized'!$E:$E, MATCH($A50, 'UZ-normalized'!$A:$A, 0))), 0), 0)))</f>
        <v>-5</v>
      </c>
      <c r="S50" s="6">
        <f>MIN(0, N50+(IFERROR(IF(5*INDEX('UA-normalized'!$D:$D, MATCH($A50, 'UA-normalized'!$A:$A, 0))-INDEX('UA-normalized'!$E:$E, MATCH($A50, 'UA-normalized'!$A:$A, 0))&gt;0, -(5*INDEX('UA-normalized'!$D:$D, MATCH($A50, 'UA-normalized'!$A:$A, 0))-INDEX('UA-normalized'!$E:$E, MATCH($A50, 'UA-normalized'!$A:$A, 0))), 0), 0))+(IFERROR(IF(5*INDEX('KZ-normalized'!$D:$D, MATCH($A50, 'KZ-normalized'!$A:$A, 0))-INDEX('KZ-normalized'!$E:$E, MATCH($A50, 'KZ-normalized'!$A:$A, 0))&gt;0, -(5*INDEX('KZ-normalized'!$D:$D, MATCH($A50, 'KZ-normalized'!$A:$A, 0))-INDEX('KZ-normalized'!$E:$E, MATCH($A50, 'KZ-normalized'!$A:$A, 0))), 0), 0))+(IFERROR(IF(5*INDEX('UZ-normalized'!$D:$D, MATCH($A50, 'UZ-normalized'!$A:$A, 0))-INDEX('UZ-normalized'!$E:$E, MATCH($A50, 'UZ-normalized'!$A:$A, 0))&gt;0, -(5*INDEX('UZ-normalized'!$D:$D, MATCH($A50, 'UZ-normalized'!$A:$A, 0))-INDEX('UZ-normalized'!$E:$E, MATCH($A50, 'UZ-normalized'!$A:$A, 0))), 0), 0)))</f>
        <v>-15</v>
      </c>
      <c r="T50" s="6">
        <f>MIN(0, N50+(IFERROR(IF(6*INDEX('UA-normalized'!$D:$D, MATCH($A50, 'UA-normalized'!$A:$A, 0))-INDEX('UA-normalized'!$E:$E, MATCH($A50, 'UA-normalized'!$A:$A, 0))&gt;0, -(6*INDEX('UA-normalized'!$D:$D, MATCH($A50, 'UA-normalized'!$A:$A, 0))-INDEX('UA-normalized'!$E:$E, MATCH($A50, 'UA-normalized'!$A:$A, 0))), 0), 0))+(IFERROR(IF(6*INDEX('KZ-normalized'!$D:$D, MATCH($A50, 'KZ-normalized'!$A:$A, 0))-INDEX('KZ-normalized'!$E:$E, MATCH($A50, 'KZ-normalized'!$A:$A, 0))&gt;0, -(6*INDEX('KZ-normalized'!$D:$D, MATCH($A50, 'KZ-normalized'!$A:$A, 0))-INDEX('KZ-normalized'!$E:$E, MATCH($A50, 'KZ-normalized'!$A:$A, 0))), 0), 0))+(IFERROR(IF(6*INDEX('UZ-normalized'!$D:$D, MATCH($A50, 'UZ-normalized'!$A:$A, 0))-INDEX('UZ-normalized'!$E:$E, MATCH($A50, 'UZ-normalized'!$A:$A, 0))&gt;0, -(6*INDEX('UZ-normalized'!$D:$D, MATCH($A50, 'UZ-normalized'!$A:$A, 0))-INDEX('UZ-normalized'!$E:$E, MATCH($A50, 'UZ-normalized'!$A:$A, 0))), 0), 0)))</f>
        <v>-25</v>
      </c>
      <c r="U50" s="6">
        <f>MIN(0, N50+(IFERROR(IF(7*INDEX('UA-normalized'!$D:$D, MATCH($A50, 'UA-normalized'!$A:$A, 0))-INDEX('UA-normalized'!$E:$E, MATCH($A50, 'UA-normalized'!$A:$A, 0))&gt;0, -(7*INDEX('UA-normalized'!$D:$D, MATCH($A50, 'UA-normalized'!$A:$A, 0))-INDEX('UA-normalized'!$E:$E, MATCH($A50, 'UA-normalized'!$A:$A, 0))), 0), 0))+(IFERROR(IF(7*INDEX('KZ-normalized'!$D:$D, MATCH($A50, 'KZ-normalized'!$A:$A, 0))-INDEX('KZ-normalized'!$E:$E, MATCH($A50, 'KZ-normalized'!$A:$A, 0))&gt;0, -(7*INDEX('KZ-normalized'!$D:$D, MATCH($A50, 'KZ-normalized'!$A:$A, 0))-INDEX('KZ-normalized'!$E:$E, MATCH($A50, 'KZ-normalized'!$A:$A, 0))), 0), 0))+(IFERROR(IF(7*INDEX('UZ-normalized'!$D:$D, MATCH($A50, 'UZ-normalized'!$A:$A, 0))-INDEX('UZ-normalized'!$E:$E, MATCH($A50, 'UZ-normalized'!$A:$A, 0))&gt;0, -(7*INDEX('UZ-normalized'!$D:$D, MATCH($A50, 'UZ-normalized'!$A:$A, 0))-INDEX('UZ-normalized'!$E:$E, MATCH($A50, 'UZ-normalized'!$A:$A, 0))), 0), 0)))</f>
        <v>-35</v>
      </c>
      <c r="V50" s="6">
        <f>MIN(0, N50+(IFERROR(IF(8*INDEX('UA-normalized'!$D:$D, MATCH($A50, 'UA-normalized'!$A:$A, 0))-INDEX('UA-normalized'!$E:$E, MATCH($A50, 'UA-normalized'!$A:$A, 0))&gt;0, -(8*INDEX('UA-normalized'!$D:$D, MATCH($A50, 'UA-normalized'!$A:$A, 0))-INDEX('UA-normalized'!$E:$E, MATCH($A50, 'UA-normalized'!$A:$A, 0))), 0), 0))+(IFERROR(IF(8*INDEX('KZ-normalized'!$D:$D, MATCH($A50, 'KZ-normalized'!$A:$A, 0))-INDEX('KZ-normalized'!$E:$E, MATCH($A50, 'KZ-normalized'!$A:$A, 0))&gt;0, -(8*INDEX('KZ-normalized'!$D:$D, MATCH($A50, 'KZ-normalized'!$A:$A, 0))-INDEX('KZ-normalized'!$E:$E, MATCH($A50, 'KZ-normalized'!$A:$A, 0))), 0), 0))+(IFERROR(IF(8*INDEX('UZ-normalized'!$D:$D, MATCH($A50, 'UZ-normalized'!$A:$A, 0))-INDEX('UZ-normalized'!$E:$E, MATCH($A50, 'UZ-normalized'!$A:$A, 0))&gt;0, -(8*INDEX('UZ-normalized'!$D:$D, MATCH($A50, 'UZ-normalized'!$A:$A, 0))-INDEX('UZ-normalized'!$E:$E, MATCH($A50, 'UZ-normalized'!$A:$A, 0))), 0), 0)))</f>
        <v>-45</v>
      </c>
      <c r="W50" s="6">
        <f>MIN(0, N50+(IFERROR(IF(9*INDEX('UA-normalized'!$D:$D, MATCH($A50, 'UA-normalized'!$A:$A, 0))-INDEX('UA-normalized'!$E:$E, MATCH($A50, 'UA-normalized'!$A:$A, 0))&gt;0, -(9*INDEX('UA-normalized'!$D:$D, MATCH($A50, 'UA-normalized'!$A:$A, 0))-INDEX('UA-normalized'!$E:$E, MATCH($A50, 'UA-normalized'!$A:$A, 0))), 0), 0))+(IFERROR(IF(9*INDEX('KZ-normalized'!$D:$D, MATCH($A50, 'KZ-normalized'!$A:$A, 0))-INDEX('KZ-normalized'!$E:$E, MATCH($A50, 'KZ-normalized'!$A:$A, 0))&gt;0, -(9*INDEX('KZ-normalized'!$D:$D, MATCH($A50, 'KZ-normalized'!$A:$A, 0))-INDEX('KZ-normalized'!$E:$E, MATCH($A50, 'KZ-normalized'!$A:$A, 0))), 0), 0))+(IFERROR(IF(9*INDEX('UZ-normalized'!$D:$D, MATCH($A50, 'UZ-normalized'!$A:$A, 0))-INDEX('UZ-normalized'!$E:$E, MATCH($A50, 'UZ-normalized'!$A:$A, 0))&gt;0, -(9*INDEX('UZ-normalized'!$D:$D, MATCH($A50, 'UZ-normalized'!$A:$A, 0))-INDEX('UZ-normalized'!$E:$E, MATCH($A50, 'UZ-normalized'!$A:$A, 0))), 0), 0)))</f>
        <v>-55</v>
      </c>
      <c r="X50" s="6">
        <f>MIN(0, N50+(IFERROR(IF(10*INDEX('UA-normalized'!$D:$D, MATCH($A50, 'UA-normalized'!$A:$A, 0))-INDEX('UA-normalized'!$E:$E, MATCH($A50, 'UA-normalized'!$A:$A, 0))&gt;0, -(10*INDEX('UA-normalized'!$D:$D, MATCH($A50, 'UA-normalized'!$A:$A, 0))-INDEX('UA-normalized'!$E:$E, MATCH($A50, 'UA-normalized'!$A:$A, 0))), 0), 0))+(IFERROR(IF(10*INDEX('KZ-normalized'!$D:$D, MATCH($A50, 'KZ-normalized'!$A:$A, 0))-INDEX('KZ-normalized'!$E:$E, MATCH($A50, 'KZ-normalized'!$A:$A, 0))&gt;0, -(10*INDEX('KZ-normalized'!$D:$D, MATCH($A50, 'KZ-normalized'!$A:$A, 0))-INDEX('KZ-normalized'!$E:$E, MATCH($A50, 'KZ-normalized'!$A:$A, 0))), 0), 0))+(IFERROR(IF(10*INDEX('UZ-normalized'!$D:$D, MATCH($A50, 'UZ-normalized'!$A:$A, 0))-INDEX('UZ-normalized'!$E:$E, MATCH($A50, 'UZ-normalized'!$A:$A, 0))&gt;0, -(10*INDEX('UZ-normalized'!$D:$D, MATCH($A50, 'UZ-normalized'!$A:$A, 0))-INDEX('UZ-normalized'!$E:$E, MATCH($A50, 'UZ-normalized'!$A:$A, 0))), 0), 0)))</f>
        <v>-65</v>
      </c>
      <c r="Y50" s="6">
        <f>MIN(0, N50+(IFERROR(IF(11*INDEX('UA-normalized'!$D:$D, MATCH($A50, 'UA-normalized'!$A:$A, 0))-INDEX('UA-normalized'!$E:$E, MATCH($A50, 'UA-normalized'!$A:$A, 0))&gt;0, -(11*INDEX('UA-normalized'!$D:$D, MATCH($A50, 'UA-normalized'!$A:$A, 0))-INDEX('UA-normalized'!$E:$E, MATCH($A50, 'UA-normalized'!$A:$A, 0))), 0), 0))+(IFERROR(IF(11*INDEX('KZ-normalized'!$D:$D, MATCH($A50, 'KZ-normalized'!$A:$A, 0))-INDEX('KZ-normalized'!$E:$E, MATCH($A50, 'KZ-normalized'!$A:$A, 0))&gt;0, -(11*INDEX('KZ-normalized'!$D:$D, MATCH($A50, 'KZ-normalized'!$A:$A, 0))-INDEX('KZ-normalized'!$E:$E, MATCH($A50, 'KZ-normalized'!$A:$A, 0))), 0), 0))+(IFERROR(IF(11*INDEX('UZ-normalized'!$D:$D, MATCH($A50, 'UZ-normalized'!$A:$A, 0))-INDEX('UZ-normalized'!$E:$E, MATCH($A50, 'UZ-normalized'!$A:$A, 0))&gt;0, -(11*INDEX('UZ-normalized'!$D:$D, MATCH($A50, 'UZ-normalized'!$A:$A, 0))-INDEX('UZ-normalized'!$E:$E, MATCH($A50, 'UZ-normalized'!$A:$A, 0))), 0), 0)))</f>
        <v>-75</v>
      </c>
      <c r="Z50" s="6">
        <f>MIN(0, N50+(IFERROR(IF(12*INDEX('UA-normalized'!$D:$D, MATCH($A50, 'UA-normalized'!$A:$A, 0))-INDEX('UA-normalized'!$E:$E, MATCH($A50, 'UA-normalized'!$A:$A, 0))&gt;0, -(12*INDEX('UA-normalized'!$D:$D, MATCH($A50, 'UA-normalized'!$A:$A, 0))-INDEX('UA-normalized'!$E:$E, MATCH($A50, 'UA-normalized'!$A:$A, 0))), 0), 0))+(IFERROR(IF(12*INDEX('KZ-normalized'!$D:$D, MATCH($A50, 'KZ-normalized'!$A:$A, 0))-INDEX('KZ-normalized'!$E:$E, MATCH($A50, 'KZ-normalized'!$A:$A, 0))&gt;0, -(12*INDEX('KZ-normalized'!$D:$D, MATCH($A50, 'KZ-normalized'!$A:$A, 0))-INDEX('KZ-normalized'!$E:$E, MATCH($A50, 'KZ-normalized'!$A:$A, 0))), 0), 0))+(IFERROR(IF(12*INDEX('UZ-normalized'!$D:$D, MATCH($A50, 'UZ-normalized'!$A:$A, 0))-INDEX('UZ-normalized'!$E:$E, MATCH($A50, 'UZ-normalized'!$A:$A, 0))&gt;0, -(12*INDEX('UZ-normalized'!$D:$D, MATCH($A50, 'UZ-normalized'!$A:$A, 0))-INDEX('UZ-normalized'!$E:$E, MATCH($A50, 'UZ-normalized'!$A:$A, 0))), 0), 0)))</f>
        <v>-85</v>
      </c>
      <c r="AA50" s="6">
        <f>MIN(0, N50+(IFERROR(IF(13*INDEX('UA-normalized'!$D:$D, MATCH($A50, 'UA-normalized'!$A:$A, 0))-INDEX('UA-normalized'!$E:$E, MATCH($A50, 'UA-normalized'!$A:$A, 0))&gt;0, -(13*INDEX('UA-normalized'!$D:$D, MATCH($A50, 'UA-normalized'!$A:$A, 0))-INDEX('UA-normalized'!$E:$E, MATCH($A50, 'UA-normalized'!$A:$A, 0))), 0), 0))+(IFERROR(IF(13*INDEX('KZ-normalized'!$D:$D, MATCH($A50, 'KZ-normalized'!$A:$A, 0))-INDEX('KZ-normalized'!$E:$E, MATCH($A50, 'KZ-normalized'!$A:$A, 0))&gt;0, -(13*INDEX('KZ-normalized'!$D:$D, MATCH($A50, 'KZ-normalized'!$A:$A, 0))-INDEX('KZ-normalized'!$E:$E, MATCH($A50, 'KZ-normalized'!$A:$A, 0))), 0), 0))+(IFERROR(IF(13*INDEX('UZ-normalized'!$D:$D, MATCH($A50, 'UZ-normalized'!$A:$A, 0))-INDEX('UZ-normalized'!$E:$E, MATCH($A50, 'UZ-normalized'!$A:$A, 0))&gt;0, -(13*INDEX('UZ-normalized'!$D:$D, MATCH($A50, 'UZ-normalized'!$A:$A, 0))-INDEX('UZ-normalized'!$E:$E, MATCH($A50, 'UZ-normalized'!$A:$A, 0))), 0), 0)))</f>
        <v>-95</v>
      </c>
      <c r="AB50" s="6">
        <f>MIN(0, N50+(IFERROR(IF(14*INDEX('UA-normalized'!$D:$D, MATCH($A50, 'UA-normalized'!$A:$A, 0))-INDEX('UA-normalized'!$E:$E, MATCH($A50, 'UA-normalized'!$A:$A, 0))&gt;0, -(14*INDEX('UA-normalized'!$D:$D, MATCH($A50, 'UA-normalized'!$A:$A, 0))-INDEX('UA-normalized'!$E:$E, MATCH($A50, 'UA-normalized'!$A:$A, 0))), 0), 0))+(IFERROR(IF(14*INDEX('KZ-normalized'!$D:$D, MATCH($A50, 'KZ-normalized'!$A:$A, 0))-INDEX('KZ-normalized'!$E:$E, MATCH($A50, 'KZ-normalized'!$A:$A, 0))&gt;0, -(14*INDEX('KZ-normalized'!$D:$D, MATCH($A50, 'KZ-normalized'!$A:$A, 0))-INDEX('KZ-normalized'!$E:$E, MATCH($A50, 'KZ-normalized'!$A:$A, 0))), 0), 0))+(IFERROR(IF(14*INDEX('UZ-normalized'!$D:$D, MATCH($A50, 'UZ-normalized'!$A:$A, 0))-INDEX('UZ-normalized'!$E:$E, MATCH($A50, 'UZ-normalized'!$A:$A, 0))&gt;0, -(14*INDEX('UZ-normalized'!$D:$D, MATCH($A50, 'UZ-normalized'!$A:$A, 0))-INDEX('UZ-normalized'!$E:$E, MATCH($A50, 'UZ-normalized'!$A:$A, 0))), 0), 0)))</f>
        <v>-105</v>
      </c>
      <c r="AC50" s="6">
        <f>MIN(0, N50+(IFERROR(IF(15*INDEX('UA-normalized'!$D:$D, MATCH($A50, 'UA-normalized'!$A:$A, 0))-INDEX('UA-normalized'!$E:$E, MATCH($A50, 'UA-normalized'!$A:$A, 0))&gt;0, -(15*INDEX('UA-normalized'!$D:$D, MATCH($A50, 'UA-normalized'!$A:$A, 0))-INDEX('UA-normalized'!$E:$E, MATCH($A50, 'UA-normalized'!$A:$A, 0))), 0), 0))+(IFERROR(IF(15*INDEX('KZ-normalized'!$D:$D, MATCH($A50, 'KZ-normalized'!$A:$A, 0))-INDEX('KZ-normalized'!$E:$E, MATCH($A50, 'KZ-normalized'!$A:$A, 0))&gt;0, -(15*INDEX('KZ-normalized'!$D:$D, MATCH($A50, 'KZ-normalized'!$A:$A, 0))-INDEX('KZ-normalized'!$E:$E, MATCH($A50, 'KZ-normalized'!$A:$A, 0))), 0), 0))+(IFERROR(IF(15*INDEX('UZ-normalized'!$D:$D, MATCH($A50, 'UZ-normalized'!$A:$A, 0))-INDEX('UZ-normalized'!$E:$E, MATCH($A50, 'UZ-normalized'!$A:$A, 0))&gt;0, -(15*INDEX('UZ-normalized'!$D:$D, MATCH($A50, 'UZ-normalized'!$A:$A, 0))-INDEX('UZ-normalized'!$E:$E, MATCH($A50, 'UZ-normalized'!$A:$A, 0))), 0), 0)))</f>
        <v>-115</v>
      </c>
      <c r="AD50" s="6">
        <f>MIN(0, N50+(IFERROR(IF(16*INDEX('UA-normalized'!$D:$D, MATCH($A50, 'UA-normalized'!$A:$A, 0))-INDEX('UA-normalized'!$E:$E, MATCH($A50, 'UA-normalized'!$A:$A, 0))&gt;0, -(16*INDEX('UA-normalized'!$D:$D, MATCH($A50, 'UA-normalized'!$A:$A, 0))-INDEX('UA-normalized'!$E:$E, MATCH($A50, 'UA-normalized'!$A:$A, 0))), 0), 0))+(IFERROR(IF(16*INDEX('KZ-normalized'!$D:$D, MATCH($A50, 'KZ-normalized'!$A:$A, 0))-INDEX('KZ-normalized'!$E:$E, MATCH($A50, 'KZ-normalized'!$A:$A, 0))&gt;0, -(16*INDEX('KZ-normalized'!$D:$D, MATCH($A50, 'KZ-normalized'!$A:$A, 0))-INDEX('KZ-normalized'!$E:$E, MATCH($A50, 'KZ-normalized'!$A:$A, 0))), 0), 0))+(IFERROR(IF(16*INDEX('UZ-normalized'!$D:$D, MATCH($A50, 'UZ-normalized'!$A:$A, 0))-INDEX('UZ-normalized'!$E:$E, MATCH($A50, 'UZ-normalized'!$A:$A, 0))&gt;0, -(16*INDEX('UZ-normalized'!$D:$D, MATCH($A50, 'UZ-normalized'!$A:$A, 0))-INDEX('UZ-normalized'!$E:$E, MATCH($A50, 'UZ-normalized'!$A:$A, 0))), 0), 0)))</f>
        <v>-125</v>
      </c>
      <c r="AE50" s="6">
        <f>MIN(0, N50+(IFERROR(IF(17*INDEX('UA-normalized'!$D:$D, MATCH($A50, 'UA-normalized'!$A:$A, 0))-INDEX('UA-normalized'!$E:$E, MATCH($A50, 'UA-normalized'!$A:$A, 0))&gt;0, -(17*INDEX('UA-normalized'!$D:$D, MATCH($A50, 'UA-normalized'!$A:$A, 0))-INDEX('UA-normalized'!$E:$E, MATCH($A50, 'UA-normalized'!$A:$A, 0))), 0), 0))+(IFERROR(IF(17*INDEX('KZ-normalized'!$D:$D, MATCH($A50, 'KZ-normalized'!$A:$A, 0))-INDEX('KZ-normalized'!$E:$E, MATCH($A50, 'KZ-normalized'!$A:$A, 0))&gt;0, -(17*INDEX('KZ-normalized'!$D:$D, MATCH($A50, 'KZ-normalized'!$A:$A, 0))-INDEX('KZ-normalized'!$E:$E, MATCH($A50, 'KZ-normalized'!$A:$A, 0))), 0), 0))+(IFERROR(IF(17*INDEX('UZ-normalized'!$D:$D, MATCH($A50, 'UZ-normalized'!$A:$A, 0))-INDEX('UZ-normalized'!$E:$E, MATCH($A50, 'UZ-normalized'!$A:$A, 0))&gt;0, -(17*INDEX('UZ-normalized'!$D:$D, MATCH($A50, 'UZ-normalized'!$A:$A, 0))-INDEX('UZ-normalized'!$E:$E, MATCH($A50, 'UZ-normalized'!$A:$A, 0))), 0), 0)))</f>
        <v>-135</v>
      </c>
      <c r="AF50" s="6">
        <f>MIN(0, N50+(IFERROR(IF(18*INDEX('UA-normalized'!$D:$D, MATCH($A50, 'UA-normalized'!$A:$A, 0))-INDEX('UA-normalized'!$E:$E, MATCH($A50, 'UA-normalized'!$A:$A, 0))&gt;0, -(18*INDEX('UA-normalized'!$D:$D, MATCH($A50, 'UA-normalized'!$A:$A, 0))-INDEX('UA-normalized'!$E:$E, MATCH($A50, 'UA-normalized'!$A:$A, 0))), 0), 0))+(IFERROR(IF(18*INDEX('KZ-normalized'!$D:$D, MATCH($A50, 'KZ-normalized'!$A:$A, 0))-INDEX('KZ-normalized'!$E:$E, MATCH($A50, 'KZ-normalized'!$A:$A, 0))&gt;0, -(18*INDEX('KZ-normalized'!$D:$D, MATCH($A50, 'KZ-normalized'!$A:$A, 0))-INDEX('KZ-normalized'!$E:$E, MATCH($A50, 'KZ-normalized'!$A:$A, 0))), 0), 0))+(IFERROR(IF(18*INDEX('UZ-normalized'!$D:$D, MATCH($A50, 'UZ-normalized'!$A:$A, 0))-INDEX('UZ-normalized'!$E:$E, MATCH($A50, 'UZ-normalized'!$A:$A, 0))&gt;0, -(18*INDEX('UZ-normalized'!$D:$D, MATCH($A50, 'UZ-normalized'!$A:$A, 0))-INDEX('UZ-normalized'!$E:$E, MATCH($A50, 'UZ-normalized'!$A:$A, 0))), 0), 0)))</f>
        <v>-145</v>
      </c>
      <c r="AG50" s="6">
        <f>MIN(0, N50+(IFERROR(IF(19*INDEX('UA-normalized'!$D:$D, MATCH($A50, 'UA-normalized'!$A:$A, 0))-INDEX('UA-normalized'!$E:$E, MATCH($A50, 'UA-normalized'!$A:$A, 0))&gt;0, -(19*INDEX('UA-normalized'!$D:$D, MATCH($A50, 'UA-normalized'!$A:$A, 0))-INDEX('UA-normalized'!$E:$E, MATCH($A50, 'UA-normalized'!$A:$A, 0))), 0), 0))+(IFERROR(IF(19*INDEX('KZ-normalized'!$D:$D, MATCH($A50, 'KZ-normalized'!$A:$A, 0))-INDEX('KZ-normalized'!$E:$E, MATCH($A50, 'KZ-normalized'!$A:$A, 0))&gt;0, -(19*INDEX('KZ-normalized'!$D:$D, MATCH($A50, 'KZ-normalized'!$A:$A, 0))-INDEX('KZ-normalized'!$E:$E, MATCH($A50, 'KZ-normalized'!$A:$A, 0))), 0), 0))+(IFERROR(IF(19*INDEX('UZ-normalized'!$D:$D, MATCH($A50, 'UZ-normalized'!$A:$A, 0))-INDEX('UZ-normalized'!$E:$E, MATCH($A50, 'UZ-normalized'!$A:$A, 0))&gt;0, -(19*INDEX('UZ-normalized'!$D:$D, MATCH($A50, 'UZ-normalized'!$A:$A, 0))-INDEX('UZ-normalized'!$E:$E, MATCH($A50, 'UZ-normalized'!$A:$A, 0))), 0), 0)))</f>
        <v>-155</v>
      </c>
      <c r="AH50" s="6">
        <f>MIN(0, N50+(IFERROR(IF(20*INDEX('UA-normalized'!$D:$D, MATCH($A50, 'UA-normalized'!$A:$A, 0))-INDEX('UA-normalized'!$E:$E, MATCH($A50, 'UA-normalized'!$A:$A, 0))&gt;0, -(20*INDEX('UA-normalized'!$D:$D, MATCH($A50, 'UA-normalized'!$A:$A, 0))-INDEX('UA-normalized'!$E:$E, MATCH($A50, 'UA-normalized'!$A:$A, 0))), 0), 0))+(IFERROR(IF(20*INDEX('KZ-normalized'!$D:$D, MATCH($A50, 'KZ-normalized'!$A:$A, 0))-INDEX('KZ-normalized'!$E:$E, MATCH($A50, 'KZ-normalized'!$A:$A, 0))&gt;0, -(20*INDEX('KZ-normalized'!$D:$D, MATCH($A50, 'KZ-normalized'!$A:$A, 0))-INDEX('KZ-normalized'!$E:$E, MATCH($A50, 'KZ-normalized'!$A:$A, 0))), 0), 0))+(IFERROR(IF(20*INDEX('UZ-normalized'!$D:$D, MATCH($A50, 'UZ-normalized'!$A:$A, 0))-INDEX('UZ-normalized'!$E:$E, MATCH($A50, 'UZ-normalized'!$A:$A, 0))&gt;0, -(20*INDEX('UZ-normalized'!$D:$D, MATCH($A50, 'UZ-normalized'!$A:$A, 0))-INDEX('UZ-normalized'!$E:$E, MATCH($A50, 'UZ-normalized'!$A:$A, 0))), 0), 0)))</f>
        <v>-165</v>
      </c>
      <c r="AI50" s="6">
        <f>MIN(0, N50+(IFERROR(IF(21*INDEX('UA-normalized'!$D:$D, MATCH($A50, 'UA-normalized'!$A:$A, 0))-INDEX('UA-normalized'!$E:$E, MATCH($A50, 'UA-normalized'!$A:$A, 0))&gt;0, -(21*INDEX('UA-normalized'!$D:$D, MATCH($A50, 'UA-normalized'!$A:$A, 0))-INDEX('UA-normalized'!$E:$E, MATCH($A50, 'UA-normalized'!$A:$A, 0))), 0), 0))+(IFERROR(IF(21*INDEX('KZ-normalized'!$D:$D, MATCH($A50, 'KZ-normalized'!$A:$A, 0))-INDEX('KZ-normalized'!$E:$E, MATCH($A50, 'KZ-normalized'!$A:$A, 0))&gt;0, -(21*INDEX('KZ-normalized'!$D:$D, MATCH($A50, 'KZ-normalized'!$A:$A, 0))-INDEX('KZ-normalized'!$E:$E, MATCH($A50, 'KZ-normalized'!$A:$A, 0))), 0), 0))+(IFERROR(IF(21*INDEX('UZ-normalized'!$D:$D, MATCH($A50, 'UZ-normalized'!$A:$A, 0))-INDEX('UZ-normalized'!$E:$E, MATCH($A50, 'UZ-normalized'!$A:$A, 0))&gt;0, -(21*INDEX('UZ-normalized'!$D:$D, MATCH($A50, 'UZ-normalized'!$A:$A, 0))-INDEX('UZ-normalized'!$E:$E, MATCH($A50, 'UZ-normalized'!$A:$A, 0))), 0), 0)))</f>
        <v>-175</v>
      </c>
      <c r="AJ50" s="6">
        <f>MIN(0, N50+(IFERROR(IF(22*INDEX('UA-normalized'!$D:$D, MATCH($A50, 'UA-normalized'!$A:$A, 0))-INDEX('UA-normalized'!$E:$E, MATCH($A50, 'UA-normalized'!$A:$A, 0))&gt;0, -(22*INDEX('UA-normalized'!$D:$D, MATCH($A50, 'UA-normalized'!$A:$A, 0))-INDEX('UA-normalized'!$E:$E, MATCH($A50, 'UA-normalized'!$A:$A, 0))), 0), 0))+(IFERROR(IF(22*INDEX('KZ-normalized'!$D:$D, MATCH($A50, 'KZ-normalized'!$A:$A, 0))-INDEX('KZ-normalized'!$E:$E, MATCH($A50, 'KZ-normalized'!$A:$A, 0))&gt;0, -(22*INDEX('KZ-normalized'!$D:$D, MATCH($A50, 'KZ-normalized'!$A:$A, 0))-INDEX('KZ-normalized'!$E:$E, MATCH($A50, 'KZ-normalized'!$A:$A, 0))), 0), 0))+(IFERROR(IF(22*INDEX('UZ-normalized'!$D:$D, MATCH($A50, 'UZ-normalized'!$A:$A, 0))-INDEX('UZ-normalized'!$E:$E, MATCH($A50, 'UZ-normalized'!$A:$A, 0))&gt;0, -(22*INDEX('UZ-normalized'!$D:$D, MATCH($A50, 'UZ-normalized'!$A:$A, 0))-INDEX('UZ-normalized'!$E:$E, MATCH($A50, 'UZ-normalized'!$A:$A, 0))), 0), 0)))</f>
        <v>-185</v>
      </c>
      <c r="AK50" s="6">
        <f>MIN(0, N50+(IFERROR(IF(23*INDEX('UA-normalized'!$D:$D, MATCH($A50, 'UA-normalized'!$A:$A, 0))-INDEX('UA-normalized'!$E:$E, MATCH($A50, 'UA-normalized'!$A:$A, 0))&gt;0, -(23*INDEX('UA-normalized'!$D:$D, MATCH($A50, 'UA-normalized'!$A:$A, 0))-INDEX('UA-normalized'!$E:$E, MATCH($A50, 'UA-normalized'!$A:$A, 0))), 0), 0))+(IFERROR(IF(23*INDEX('KZ-normalized'!$D:$D, MATCH($A50, 'KZ-normalized'!$A:$A, 0))-INDEX('KZ-normalized'!$E:$E, MATCH($A50, 'KZ-normalized'!$A:$A, 0))&gt;0, -(23*INDEX('KZ-normalized'!$D:$D, MATCH($A50, 'KZ-normalized'!$A:$A, 0))-INDEX('KZ-normalized'!$E:$E, MATCH($A50, 'KZ-normalized'!$A:$A, 0))), 0), 0))+(IFERROR(IF(23*INDEX('UZ-normalized'!$D:$D, MATCH($A50, 'UZ-normalized'!$A:$A, 0))-INDEX('UZ-normalized'!$E:$E, MATCH($A50, 'UZ-normalized'!$A:$A, 0))&gt;0, -(23*INDEX('UZ-normalized'!$D:$D, MATCH($A50, 'UZ-normalized'!$A:$A, 0))-INDEX('UZ-normalized'!$E:$E, MATCH($A50, 'UZ-normalized'!$A:$A, 0))), 0), 0)))</f>
        <v>-195</v>
      </c>
      <c r="AL50" s="6">
        <f>MIN(0, N50+(IFERROR(IF(24*INDEX('UA-normalized'!$D:$D, MATCH($A50, 'UA-normalized'!$A:$A, 0))-INDEX('UA-normalized'!$E:$E, MATCH($A50, 'UA-normalized'!$A:$A, 0))&gt;0, -(24*INDEX('UA-normalized'!$D:$D, MATCH($A50, 'UA-normalized'!$A:$A, 0))-INDEX('UA-normalized'!$E:$E, MATCH($A50, 'UA-normalized'!$A:$A, 0))), 0), 0))+(IFERROR(IF(24*INDEX('KZ-normalized'!$D:$D, MATCH($A50, 'KZ-normalized'!$A:$A, 0))-INDEX('KZ-normalized'!$E:$E, MATCH($A50, 'KZ-normalized'!$A:$A, 0))&gt;0, -(24*INDEX('KZ-normalized'!$D:$D, MATCH($A50, 'KZ-normalized'!$A:$A, 0))-INDEX('KZ-normalized'!$E:$E, MATCH($A50, 'KZ-normalized'!$A:$A, 0))), 0), 0))+(IFERROR(IF(24*INDEX('UZ-normalized'!$D:$D, MATCH($A50, 'UZ-normalized'!$A:$A, 0))-INDEX('UZ-normalized'!$E:$E, MATCH($A50, 'UZ-normalized'!$A:$A, 0))&gt;0, -(24*INDEX('UZ-normalized'!$D:$D, MATCH($A50, 'UZ-normalized'!$A:$A, 0))-INDEX('UZ-normalized'!$E:$E, MATCH($A50, 'UZ-normalized'!$A:$A, 0))), 0), 0)))</f>
        <v>-205</v>
      </c>
      <c r="AM50" s="6">
        <f>MIN(0, N50+(IFERROR(IF(25*INDEX('UA-normalized'!$D:$D, MATCH($A50, 'UA-normalized'!$A:$A, 0))-INDEX('UA-normalized'!$E:$E, MATCH($A50, 'UA-normalized'!$A:$A, 0))&gt;0, -(25*INDEX('UA-normalized'!$D:$D, MATCH($A50, 'UA-normalized'!$A:$A, 0))-INDEX('UA-normalized'!$E:$E, MATCH($A50, 'UA-normalized'!$A:$A, 0))), 0), 0))+(IFERROR(IF(25*INDEX('KZ-normalized'!$D:$D, MATCH($A50, 'KZ-normalized'!$A:$A, 0))-INDEX('KZ-normalized'!$E:$E, MATCH($A50, 'KZ-normalized'!$A:$A, 0))&gt;0, -(25*INDEX('KZ-normalized'!$D:$D, MATCH($A50, 'KZ-normalized'!$A:$A, 0))-INDEX('KZ-normalized'!$E:$E, MATCH($A50, 'KZ-normalized'!$A:$A, 0))), 0), 0))+(IFERROR(IF(25*INDEX('UZ-normalized'!$D:$D, MATCH($A50, 'UZ-normalized'!$A:$A, 0))-INDEX('UZ-normalized'!$E:$E, MATCH($A50, 'UZ-normalized'!$A:$A, 0))&gt;0, -(25*INDEX('UZ-normalized'!$D:$D, MATCH($A50, 'UZ-normalized'!$A:$A, 0))-INDEX('UZ-normalized'!$E:$E, MATCH($A50, 'UZ-normalized'!$A:$A, 0))), 0), 0)))</f>
        <v>-215</v>
      </c>
      <c r="AN50" s="6">
        <f>MIN(0, N50+(IFERROR(IF(26*INDEX('UA-normalized'!$D:$D, MATCH($A50, 'UA-normalized'!$A:$A, 0))-INDEX('UA-normalized'!$E:$E, MATCH($A50, 'UA-normalized'!$A:$A, 0))&gt;0, -(26*INDEX('UA-normalized'!$D:$D, MATCH($A50, 'UA-normalized'!$A:$A, 0))-INDEX('UA-normalized'!$E:$E, MATCH($A50, 'UA-normalized'!$A:$A, 0))), 0), 0))+(IFERROR(IF(26*INDEX('KZ-normalized'!$D:$D, MATCH($A50, 'KZ-normalized'!$A:$A, 0))-INDEX('KZ-normalized'!$E:$E, MATCH($A50, 'KZ-normalized'!$A:$A, 0))&gt;0, -(26*INDEX('KZ-normalized'!$D:$D, MATCH($A50, 'KZ-normalized'!$A:$A, 0))-INDEX('KZ-normalized'!$E:$E, MATCH($A50, 'KZ-normalized'!$A:$A, 0))), 0), 0))+(IFERROR(IF(26*INDEX('UZ-normalized'!$D:$D, MATCH($A50, 'UZ-normalized'!$A:$A, 0))-INDEX('UZ-normalized'!$E:$E, MATCH($A50, 'UZ-normalized'!$A:$A, 0))&gt;0, -(26*INDEX('UZ-normalized'!$D:$D, MATCH($A50, 'UZ-normalized'!$A:$A, 0))-INDEX('UZ-normalized'!$E:$E, MATCH($A50, 'UZ-normalized'!$A:$A, 0))), 0), 0)))</f>
        <v>-225</v>
      </c>
      <c r="AO50" s="6">
        <f>MIN(0, N50+(IFERROR(IF(27*INDEX('UA-normalized'!$D:$D, MATCH($A50, 'UA-normalized'!$A:$A, 0))-INDEX('UA-normalized'!$E:$E, MATCH($A50, 'UA-normalized'!$A:$A, 0))&gt;0, -(27*INDEX('UA-normalized'!$D:$D, MATCH($A50, 'UA-normalized'!$A:$A, 0))-INDEX('UA-normalized'!$E:$E, MATCH($A50, 'UA-normalized'!$A:$A, 0))), 0), 0))+(IFERROR(IF(27*INDEX('KZ-normalized'!$D:$D, MATCH($A50, 'KZ-normalized'!$A:$A, 0))-INDEX('KZ-normalized'!$E:$E, MATCH($A50, 'KZ-normalized'!$A:$A, 0))&gt;0, -(27*INDEX('KZ-normalized'!$D:$D, MATCH($A50, 'KZ-normalized'!$A:$A, 0))-INDEX('KZ-normalized'!$E:$E, MATCH($A50, 'KZ-normalized'!$A:$A, 0))), 0), 0))+(IFERROR(IF(27*INDEX('UZ-normalized'!$D:$D, MATCH($A50, 'UZ-normalized'!$A:$A, 0))-INDEX('UZ-normalized'!$E:$E, MATCH($A50, 'UZ-normalized'!$A:$A, 0))&gt;0, -(27*INDEX('UZ-normalized'!$D:$D, MATCH($A50, 'UZ-normalized'!$A:$A, 0))-INDEX('UZ-normalized'!$E:$E, MATCH($A50, 'UZ-normalized'!$A:$A, 0))), 0), 0)))</f>
        <v>-235</v>
      </c>
      <c r="AP50" s="6">
        <f>MIN(0, N50+(IFERROR(IF(28*INDEX('UA-normalized'!$D:$D, MATCH($A50, 'UA-normalized'!$A:$A, 0))-INDEX('UA-normalized'!$E:$E, MATCH($A50, 'UA-normalized'!$A:$A, 0))&gt;0, -(28*INDEX('UA-normalized'!$D:$D, MATCH($A50, 'UA-normalized'!$A:$A, 0))-INDEX('UA-normalized'!$E:$E, MATCH($A50, 'UA-normalized'!$A:$A, 0))), 0), 0))+(IFERROR(IF(28*INDEX('KZ-normalized'!$D:$D, MATCH($A50, 'KZ-normalized'!$A:$A, 0))-INDEX('KZ-normalized'!$E:$E, MATCH($A50, 'KZ-normalized'!$A:$A, 0))&gt;0, -(28*INDEX('KZ-normalized'!$D:$D, MATCH($A50, 'KZ-normalized'!$A:$A, 0))-INDEX('KZ-normalized'!$E:$E, MATCH($A50, 'KZ-normalized'!$A:$A, 0))), 0), 0))+(IFERROR(IF(28*INDEX('UZ-normalized'!$D:$D, MATCH($A50, 'UZ-normalized'!$A:$A, 0))-INDEX('UZ-normalized'!$E:$E, MATCH($A50, 'UZ-normalized'!$A:$A, 0))&gt;0, -(28*INDEX('UZ-normalized'!$D:$D, MATCH($A50, 'UZ-normalized'!$A:$A, 0))-INDEX('UZ-normalized'!$E:$E, MATCH($A50, 'UZ-normalized'!$A:$A, 0))), 0), 0)))</f>
        <v>-245</v>
      </c>
      <c r="AQ50" s="6">
        <f>MIN(0, N50+(IFERROR(IF(29*INDEX('UA-normalized'!$D:$D, MATCH($A50, 'UA-normalized'!$A:$A, 0))-INDEX('UA-normalized'!$E:$E, MATCH($A50, 'UA-normalized'!$A:$A, 0))&gt;0, -(29*INDEX('UA-normalized'!$D:$D, MATCH($A50, 'UA-normalized'!$A:$A, 0))-INDEX('UA-normalized'!$E:$E, MATCH($A50, 'UA-normalized'!$A:$A, 0))), 0), 0))+(IFERROR(IF(29*INDEX('KZ-normalized'!$D:$D, MATCH($A50, 'KZ-normalized'!$A:$A, 0))-INDEX('KZ-normalized'!$E:$E, MATCH($A50, 'KZ-normalized'!$A:$A, 0))&gt;0, -(29*INDEX('KZ-normalized'!$D:$D, MATCH($A50, 'KZ-normalized'!$A:$A, 0))-INDEX('KZ-normalized'!$E:$E, MATCH($A50, 'KZ-normalized'!$A:$A, 0))), 0), 0))+(IFERROR(IF(29*INDEX('UZ-normalized'!$D:$D, MATCH($A50, 'UZ-normalized'!$A:$A, 0))-INDEX('UZ-normalized'!$E:$E, MATCH($A50, 'UZ-normalized'!$A:$A, 0))&gt;0, -(29*INDEX('UZ-normalized'!$D:$D, MATCH($A50, 'UZ-normalized'!$A:$A, 0))-INDEX('UZ-normalized'!$E:$E, MATCH($A50, 'UZ-normalized'!$A:$A, 0))), 0), 0)))</f>
        <v>-255</v>
      </c>
      <c r="AR50" s="6">
        <f>MIN(0, N50+(IFERROR(IF(30*INDEX('UA-normalized'!$D:$D, MATCH($A50, 'UA-normalized'!$A:$A, 0))-INDEX('UA-normalized'!$E:$E, MATCH($A50, 'UA-normalized'!$A:$A, 0))&gt;0, -(30*INDEX('UA-normalized'!$D:$D, MATCH($A50, 'UA-normalized'!$A:$A, 0))-INDEX('UA-normalized'!$E:$E, MATCH($A50, 'UA-normalized'!$A:$A, 0))), 0), 0))+(IFERROR(IF(30*INDEX('KZ-normalized'!$D:$D, MATCH($A50, 'KZ-normalized'!$A:$A, 0))-INDEX('KZ-normalized'!$E:$E, MATCH($A50, 'KZ-normalized'!$A:$A, 0))&gt;0, -(30*INDEX('KZ-normalized'!$D:$D, MATCH($A50, 'KZ-normalized'!$A:$A, 0))-INDEX('KZ-normalized'!$E:$E, MATCH($A50, 'KZ-normalized'!$A:$A, 0))), 0), 0))+(IFERROR(IF(30*INDEX('UZ-normalized'!$D:$D, MATCH($A50, 'UZ-normalized'!$A:$A, 0))-INDEX('UZ-normalized'!$E:$E, MATCH($A50, 'UZ-normalized'!$A:$A, 0))&gt;0, -(30*INDEX('UZ-normalized'!$D:$D, MATCH($A50, 'UZ-normalized'!$A:$A, 0))-INDEX('UZ-normalized'!$E:$E, MATCH($A50, 'UZ-normalized'!$A:$A, 0))), 0), 0)))</f>
        <v>-265</v>
      </c>
    </row>
    <row r="51" spans="1:44" x14ac:dyDescent="0.25">
      <c r="A51" s="8" t="s">
        <v>147</v>
      </c>
      <c r="B51" s="8" t="s">
        <v>83</v>
      </c>
      <c r="C51" s="8" t="s">
        <v>145</v>
      </c>
      <c r="D51" s="8" t="s">
        <v>148</v>
      </c>
      <c r="N51">
        <f t="shared" si="0"/>
        <v>0</v>
      </c>
      <c r="O51" s="6">
        <f>MIN(0, N51+(IFERROR(IF(1*INDEX('UA-normalized'!$D:$D, MATCH($A51, 'UA-normalized'!$A:$A, 0))-INDEX('UA-normalized'!$E:$E, MATCH($A51, 'UA-normalized'!$A:$A, 0))&gt;0, -(1*INDEX('UA-normalized'!$D:$D, MATCH($A51, 'UA-normalized'!$A:$A, 0))-INDEX('UA-normalized'!$E:$E, MATCH($A51, 'UA-normalized'!$A:$A, 0))), 0), 0))+(IFERROR(IF(1*INDEX('KZ-normalized'!$D:$D, MATCH($A51, 'KZ-normalized'!$A:$A, 0))-INDEX('KZ-normalized'!$E:$E, MATCH($A51, 'KZ-normalized'!$A:$A, 0))&gt;0, -(1*INDEX('KZ-normalized'!$D:$D, MATCH($A51, 'KZ-normalized'!$A:$A, 0))-INDEX('KZ-normalized'!$E:$E, MATCH($A51, 'KZ-normalized'!$A:$A, 0))), 0), 0))+(IFERROR(IF(1*INDEX('UZ-normalized'!$D:$D, MATCH($A51, 'UZ-normalized'!$A:$A, 0))-INDEX('UZ-normalized'!$E:$E, MATCH($A51, 'UZ-normalized'!$A:$A, 0))&gt;0, -(1*INDEX('UZ-normalized'!$D:$D, MATCH($A51, 'UZ-normalized'!$A:$A, 0))-INDEX('UZ-normalized'!$E:$E, MATCH($A51, 'UZ-normalized'!$A:$A, 0))), 0), 0)))</f>
        <v>0</v>
      </c>
      <c r="P51" s="6">
        <f>MIN(0, N51+(IFERROR(IF(2*INDEX('UA-normalized'!$D:$D, MATCH($A51, 'UA-normalized'!$A:$A, 0))-INDEX('UA-normalized'!$E:$E, MATCH($A51, 'UA-normalized'!$A:$A, 0))&gt;0, -(2*INDEX('UA-normalized'!$D:$D, MATCH($A51, 'UA-normalized'!$A:$A, 0))-INDEX('UA-normalized'!$E:$E, MATCH($A51, 'UA-normalized'!$A:$A, 0))), 0), 0))+(IFERROR(IF(2*INDEX('KZ-normalized'!$D:$D, MATCH($A51, 'KZ-normalized'!$A:$A, 0))-INDEX('KZ-normalized'!$E:$E, MATCH($A51, 'KZ-normalized'!$A:$A, 0))&gt;0, -(2*INDEX('KZ-normalized'!$D:$D, MATCH($A51, 'KZ-normalized'!$A:$A, 0))-INDEX('KZ-normalized'!$E:$E, MATCH($A51, 'KZ-normalized'!$A:$A, 0))), 0), 0))+(IFERROR(IF(2*INDEX('UZ-normalized'!$D:$D, MATCH($A51, 'UZ-normalized'!$A:$A, 0))-INDEX('UZ-normalized'!$E:$E, MATCH($A51, 'UZ-normalized'!$A:$A, 0))&gt;0, -(2*INDEX('UZ-normalized'!$D:$D, MATCH($A51, 'UZ-normalized'!$A:$A, 0))-INDEX('UZ-normalized'!$E:$E, MATCH($A51, 'UZ-normalized'!$A:$A, 0))), 0), 0)))</f>
        <v>0</v>
      </c>
      <c r="Q51" s="6">
        <f>MIN(0, N51+(IFERROR(IF(3*INDEX('UA-normalized'!$D:$D, MATCH($A51, 'UA-normalized'!$A:$A, 0))-INDEX('UA-normalized'!$E:$E, MATCH($A51, 'UA-normalized'!$A:$A, 0))&gt;0, -(3*INDEX('UA-normalized'!$D:$D, MATCH($A51, 'UA-normalized'!$A:$A, 0))-INDEX('UA-normalized'!$E:$E, MATCH($A51, 'UA-normalized'!$A:$A, 0))), 0), 0))+(IFERROR(IF(3*INDEX('KZ-normalized'!$D:$D, MATCH($A51, 'KZ-normalized'!$A:$A, 0))-INDEX('KZ-normalized'!$E:$E, MATCH($A51, 'KZ-normalized'!$A:$A, 0))&gt;0, -(3*INDEX('KZ-normalized'!$D:$D, MATCH($A51, 'KZ-normalized'!$A:$A, 0))-INDEX('KZ-normalized'!$E:$E, MATCH($A51, 'KZ-normalized'!$A:$A, 0))), 0), 0))+(IFERROR(IF(3*INDEX('UZ-normalized'!$D:$D, MATCH($A51, 'UZ-normalized'!$A:$A, 0))-INDEX('UZ-normalized'!$E:$E, MATCH($A51, 'UZ-normalized'!$A:$A, 0))&gt;0, -(3*INDEX('UZ-normalized'!$D:$D, MATCH($A51, 'UZ-normalized'!$A:$A, 0))-INDEX('UZ-normalized'!$E:$E, MATCH($A51, 'UZ-normalized'!$A:$A, 0))), 0), 0)))</f>
        <v>0</v>
      </c>
      <c r="R51" s="6">
        <f>MIN(0, N51+(IFERROR(IF(4*INDEX('UA-normalized'!$D:$D, MATCH($A51, 'UA-normalized'!$A:$A, 0))-INDEX('UA-normalized'!$E:$E, MATCH($A51, 'UA-normalized'!$A:$A, 0))&gt;0, -(4*INDEX('UA-normalized'!$D:$D, MATCH($A51, 'UA-normalized'!$A:$A, 0))-INDEX('UA-normalized'!$E:$E, MATCH($A51, 'UA-normalized'!$A:$A, 0))), 0), 0))+(IFERROR(IF(4*INDEX('KZ-normalized'!$D:$D, MATCH($A51, 'KZ-normalized'!$A:$A, 0))-INDEX('KZ-normalized'!$E:$E, MATCH($A51, 'KZ-normalized'!$A:$A, 0))&gt;0, -(4*INDEX('KZ-normalized'!$D:$D, MATCH($A51, 'KZ-normalized'!$A:$A, 0))-INDEX('KZ-normalized'!$E:$E, MATCH($A51, 'KZ-normalized'!$A:$A, 0))), 0), 0))+(IFERROR(IF(4*INDEX('UZ-normalized'!$D:$D, MATCH($A51, 'UZ-normalized'!$A:$A, 0))-INDEX('UZ-normalized'!$E:$E, MATCH($A51, 'UZ-normalized'!$A:$A, 0))&gt;0, -(4*INDEX('UZ-normalized'!$D:$D, MATCH($A51, 'UZ-normalized'!$A:$A, 0))-INDEX('UZ-normalized'!$E:$E, MATCH($A51, 'UZ-normalized'!$A:$A, 0))), 0), 0)))</f>
        <v>0</v>
      </c>
      <c r="S51" s="6">
        <f>MIN(0, N51+(IFERROR(IF(5*INDEX('UA-normalized'!$D:$D, MATCH($A51, 'UA-normalized'!$A:$A, 0))-INDEX('UA-normalized'!$E:$E, MATCH($A51, 'UA-normalized'!$A:$A, 0))&gt;0, -(5*INDEX('UA-normalized'!$D:$D, MATCH($A51, 'UA-normalized'!$A:$A, 0))-INDEX('UA-normalized'!$E:$E, MATCH($A51, 'UA-normalized'!$A:$A, 0))), 0), 0))+(IFERROR(IF(5*INDEX('KZ-normalized'!$D:$D, MATCH($A51, 'KZ-normalized'!$A:$A, 0))-INDEX('KZ-normalized'!$E:$E, MATCH($A51, 'KZ-normalized'!$A:$A, 0))&gt;0, -(5*INDEX('KZ-normalized'!$D:$D, MATCH($A51, 'KZ-normalized'!$A:$A, 0))-INDEX('KZ-normalized'!$E:$E, MATCH($A51, 'KZ-normalized'!$A:$A, 0))), 0), 0))+(IFERROR(IF(5*INDEX('UZ-normalized'!$D:$D, MATCH($A51, 'UZ-normalized'!$A:$A, 0))-INDEX('UZ-normalized'!$E:$E, MATCH($A51, 'UZ-normalized'!$A:$A, 0))&gt;0, -(5*INDEX('UZ-normalized'!$D:$D, MATCH($A51, 'UZ-normalized'!$A:$A, 0))-INDEX('UZ-normalized'!$E:$E, MATCH($A51, 'UZ-normalized'!$A:$A, 0))), 0), 0)))</f>
        <v>0</v>
      </c>
      <c r="T51" s="6">
        <f>MIN(0, N51+(IFERROR(IF(6*INDEX('UA-normalized'!$D:$D, MATCH($A51, 'UA-normalized'!$A:$A, 0))-INDEX('UA-normalized'!$E:$E, MATCH($A51, 'UA-normalized'!$A:$A, 0))&gt;0, -(6*INDEX('UA-normalized'!$D:$D, MATCH($A51, 'UA-normalized'!$A:$A, 0))-INDEX('UA-normalized'!$E:$E, MATCH($A51, 'UA-normalized'!$A:$A, 0))), 0), 0))+(IFERROR(IF(6*INDEX('KZ-normalized'!$D:$D, MATCH($A51, 'KZ-normalized'!$A:$A, 0))-INDEX('KZ-normalized'!$E:$E, MATCH($A51, 'KZ-normalized'!$A:$A, 0))&gt;0, -(6*INDEX('KZ-normalized'!$D:$D, MATCH($A51, 'KZ-normalized'!$A:$A, 0))-INDEX('KZ-normalized'!$E:$E, MATCH($A51, 'KZ-normalized'!$A:$A, 0))), 0), 0))+(IFERROR(IF(6*INDEX('UZ-normalized'!$D:$D, MATCH($A51, 'UZ-normalized'!$A:$A, 0))-INDEX('UZ-normalized'!$E:$E, MATCH($A51, 'UZ-normalized'!$A:$A, 0))&gt;0, -(6*INDEX('UZ-normalized'!$D:$D, MATCH($A51, 'UZ-normalized'!$A:$A, 0))-INDEX('UZ-normalized'!$E:$E, MATCH($A51, 'UZ-normalized'!$A:$A, 0))), 0), 0)))</f>
        <v>0</v>
      </c>
      <c r="U51" s="6">
        <f>MIN(0, N51+(IFERROR(IF(7*INDEX('UA-normalized'!$D:$D, MATCH($A51, 'UA-normalized'!$A:$A, 0))-INDEX('UA-normalized'!$E:$E, MATCH($A51, 'UA-normalized'!$A:$A, 0))&gt;0, -(7*INDEX('UA-normalized'!$D:$D, MATCH($A51, 'UA-normalized'!$A:$A, 0))-INDEX('UA-normalized'!$E:$E, MATCH($A51, 'UA-normalized'!$A:$A, 0))), 0), 0))+(IFERROR(IF(7*INDEX('KZ-normalized'!$D:$D, MATCH($A51, 'KZ-normalized'!$A:$A, 0))-INDEX('KZ-normalized'!$E:$E, MATCH($A51, 'KZ-normalized'!$A:$A, 0))&gt;0, -(7*INDEX('KZ-normalized'!$D:$D, MATCH($A51, 'KZ-normalized'!$A:$A, 0))-INDEX('KZ-normalized'!$E:$E, MATCH($A51, 'KZ-normalized'!$A:$A, 0))), 0), 0))+(IFERROR(IF(7*INDEX('UZ-normalized'!$D:$D, MATCH($A51, 'UZ-normalized'!$A:$A, 0))-INDEX('UZ-normalized'!$E:$E, MATCH($A51, 'UZ-normalized'!$A:$A, 0))&gt;0, -(7*INDEX('UZ-normalized'!$D:$D, MATCH($A51, 'UZ-normalized'!$A:$A, 0))-INDEX('UZ-normalized'!$E:$E, MATCH($A51, 'UZ-normalized'!$A:$A, 0))), 0), 0)))</f>
        <v>0</v>
      </c>
      <c r="V51" s="6">
        <f>MIN(0, N51+(IFERROR(IF(8*INDEX('UA-normalized'!$D:$D, MATCH($A51, 'UA-normalized'!$A:$A, 0))-INDEX('UA-normalized'!$E:$E, MATCH($A51, 'UA-normalized'!$A:$A, 0))&gt;0, -(8*INDEX('UA-normalized'!$D:$D, MATCH($A51, 'UA-normalized'!$A:$A, 0))-INDEX('UA-normalized'!$E:$E, MATCH($A51, 'UA-normalized'!$A:$A, 0))), 0), 0))+(IFERROR(IF(8*INDEX('KZ-normalized'!$D:$D, MATCH($A51, 'KZ-normalized'!$A:$A, 0))-INDEX('KZ-normalized'!$E:$E, MATCH($A51, 'KZ-normalized'!$A:$A, 0))&gt;0, -(8*INDEX('KZ-normalized'!$D:$D, MATCH($A51, 'KZ-normalized'!$A:$A, 0))-INDEX('KZ-normalized'!$E:$E, MATCH($A51, 'KZ-normalized'!$A:$A, 0))), 0), 0))+(IFERROR(IF(8*INDEX('UZ-normalized'!$D:$D, MATCH($A51, 'UZ-normalized'!$A:$A, 0))-INDEX('UZ-normalized'!$E:$E, MATCH($A51, 'UZ-normalized'!$A:$A, 0))&gt;0, -(8*INDEX('UZ-normalized'!$D:$D, MATCH($A51, 'UZ-normalized'!$A:$A, 0))-INDEX('UZ-normalized'!$E:$E, MATCH($A51, 'UZ-normalized'!$A:$A, 0))), 0), 0)))</f>
        <v>0</v>
      </c>
      <c r="W51" s="6">
        <f>MIN(0, N51+(IFERROR(IF(9*INDEX('UA-normalized'!$D:$D, MATCH($A51, 'UA-normalized'!$A:$A, 0))-INDEX('UA-normalized'!$E:$E, MATCH($A51, 'UA-normalized'!$A:$A, 0))&gt;0, -(9*INDEX('UA-normalized'!$D:$D, MATCH($A51, 'UA-normalized'!$A:$A, 0))-INDEX('UA-normalized'!$E:$E, MATCH($A51, 'UA-normalized'!$A:$A, 0))), 0), 0))+(IFERROR(IF(9*INDEX('KZ-normalized'!$D:$D, MATCH($A51, 'KZ-normalized'!$A:$A, 0))-INDEX('KZ-normalized'!$E:$E, MATCH($A51, 'KZ-normalized'!$A:$A, 0))&gt;0, -(9*INDEX('KZ-normalized'!$D:$D, MATCH($A51, 'KZ-normalized'!$A:$A, 0))-INDEX('KZ-normalized'!$E:$E, MATCH($A51, 'KZ-normalized'!$A:$A, 0))), 0), 0))+(IFERROR(IF(9*INDEX('UZ-normalized'!$D:$D, MATCH($A51, 'UZ-normalized'!$A:$A, 0))-INDEX('UZ-normalized'!$E:$E, MATCH($A51, 'UZ-normalized'!$A:$A, 0))&gt;0, -(9*INDEX('UZ-normalized'!$D:$D, MATCH($A51, 'UZ-normalized'!$A:$A, 0))-INDEX('UZ-normalized'!$E:$E, MATCH($A51, 'UZ-normalized'!$A:$A, 0))), 0), 0)))</f>
        <v>0</v>
      </c>
      <c r="X51" s="6">
        <f>MIN(0, N51+(IFERROR(IF(10*INDEX('UA-normalized'!$D:$D, MATCH($A51, 'UA-normalized'!$A:$A, 0))-INDEX('UA-normalized'!$E:$E, MATCH($A51, 'UA-normalized'!$A:$A, 0))&gt;0, -(10*INDEX('UA-normalized'!$D:$D, MATCH($A51, 'UA-normalized'!$A:$A, 0))-INDEX('UA-normalized'!$E:$E, MATCH($A51, 'UA-normalized'!$A:$A, 0))), 0), 0))+(IFERROR(IF(10*INDEX('KZ-normalized'!$D:$D, MATCH($A51, 'KZ-normalized'!$A:$A, 0))-INDEX('KZ-normalized'!$E:$E, MATCH($A51, 'KZ-normalized'!$A:$A, 0))&gt;0, -(10*INDEX('KZ-normalized'!$D:$D, MATCH($A51, 'KZ-normalized'!$A:$A, 0))-INDEX('KZ-normalized'!$E:$E, MATCH($A51, 'KZ-normalized'!$A:$A, 0))), 0), 0))+(IFERROR(IF(10*INDEX('UZ-normalized'!$D:$D, MATCH($A51, 'UZ-normalized'!$A:$A, 0))-INDEX('UZ-normalized'!$E:$E, MATCH($A51, 'UZ-normalized'!$A:$A, 0))&gt;0, -(10*INDEX('UZ-normalized'!$D:$D, MATCH($A51, 'UZ-normalized'!$A:$A, 0))-INDEX('UZ-normalized'!$E:$E, MATCH($A51, 'UZ-normalized'!$A:$A, 0))), 0), 0)))</f>
        <v>0</v>
      </c>
      <c r="Y51" s="6">
        <f>MIN(0, N51+(IFERROR(IF(11*INDEX('UA-normalized'!$D:$D, MATCH($A51, 'UA-normalized'!$A:$A, 0))-INDEX('UA-normalized'!$E:$E, MATCH($A51, 'UA-normalized'!$A:$A, 0))&gt;0, -(11*INDEX('UA-normalized'!$D:$D, MATCH($A51, 'UA-normalized'!$A:$A, 0))-INDEX('UA-normalized'!$E:$E, MATCH($A51, 'UA-normalized'!$A:$A, 0))), 0), 0))+(IFERROR(IF(11*INDEX('KZ-normalized'!$D:$D, MATCH($A51, 'KZ-normalized'!$A:$A, 0))-INDEX('KZ-normalized'!$E:$E, MATCH($A51, 'KZ-normalized'!$A:$A, 0))&gt;0, -(11*INDEX('KZ-normalized'!$D:$D, MATCH($A51, 'KZ-normalized'!$A:$A, 0))-INDEX('KZ-normalized'!$E:$E, MATCH($A51, 'KZ-normalized'!$A:$A, 0))), 0), 0))+(IFERROR(IF(11*INDEX('UZ-normalized'!$D:$D, MATCH($A51, 'UZ-normalized'!$A:$A, 0))-INDEX('UZ-normalized'!$E:$E, MATCH($A51, 'UZ-normalized'!$A:$A, 0))&gt;0, -(11*INDEX('UZ-normalized'!$D:$D, MATCH($A51, 'UZ-normalized'!$A:$A, 0))-INDEX('UZ-normalized'!$E:$E, MATCH($A51, 'UZ-normalized'!$A:$A, 0))), 0), 0)))</f>
        <v>0</v>
      </c>
      <c r="Z51" s="6">
        <f>MIN(0, N51+(IFERROR(IF(12*INDEX('UA-normalized'!$D:$D, MATCH($A51, 'UA-normalized'!$A:$A, 0))-INDEX('UA-normalized'!$E:$E, MATCH($A51, 'UA-normalized'!$A:$A, 0))&gt;0, -(12*INDEX('UA-normalized'!$D:$D, MATCH($A51, 'UA-normalized'!$A:$A, 0))-INDEX('UA-normalized'!$E:$E, MATCH($A51, 'UA-normalized'!$A:$A, 0))), 0), 0))+(IFERROR(IF(12*INDEX('KZ-normalized'!$D:$D, MATCH($A51, 'KZ-normalized'!$A:$A, 0))-INDEX('KZ-normalized'!$E:$E, MATCH($A51, 'KZ-normalized'!$A:$A, 0))&gt;0, -(12*INDEX('KZ-normalized'!$D:$D, MATCH($A51, 'KZ-normalized'!$A:$A, 0))-INDEX('KZ-normalized'!$E:$E, MATCH($A51, 'KZ-normalized'!$A:$A, 0))), 0), 0))+(IFERROR(IF(12*INDEX('UZ-normalized'!$D:$D, MATCH($A51, 'UZ-normalized'!$A:$A, 0))-INDEX('UZ-normalized'!$E:$E, MATCH($A51, 'UZ-normalized'!$A:$A, 0))&gt;0, -(12*INDEX('UZ-normalized'!$D:$D, MATCH($A51, 'UZ-normalized'!$A:$A, 0))-INDEX('UZ-normalized'!$E:$E, MATCH($A51, 'UZ-normalized'!$A:$A, 0))), 0), 0)))</f>
        <v>0</v>
      </c>
      <c r="AA51" s="6">
        <f>MIN(0, N51+(IFERROR(IF(13*INDEX('UA-normalized'!$D:$D, MATCH($A51, 'UA-normalized'!$A:$A, 0))-INDEX('UA-normalized'!$E:$E, MATCH($A51, 'UA-normalized'!$A:$A, 0))&gt;0, -(13*INDEX('UA-normalized'!$D:$D, MATCH($A51, 'UA-normalized'!$A:$A, 0))-INDEX('UA-normalized'!$E:$E, MATCH($A51, 'UA-normalized'!$A:$A, 0))), 0), 0))+(IFERROR(IF(13*INDEX('KZ-normalized'!$D:$D, MATCH($A51, 'KZ-normalized'!$A:$A, 0))-INDEX('KZ-normalized'!$E:$E, MATCH($A51, 'KZ-normalized'!$A:$A, 0))&gt;0, -(13*INDEX('KZ-normalized'!$D:$D, MATCH($A51, 'KZ-normalized'!$A:$A, 0))-INDEX('KZ-normalized'!$E:$E, MATCH($A51, 'KZ-normalized'!$A:$A, 0))), 0), 0))+(IFERROR(IF(13*INDEX('UZ-normalized'!$D:$D, MATCH($A51, 'UZ-normalized'!$A:$A, 0))-INDEX('UZ-normalized'!$E:$E, MATCH($A51, 'UZ-normalized'!$A:$A, 0))&gt;0, -(13*INDEX('UZ-normalized'!$D:$D, MATCH($A51, 'UZ-normalized'!$A:$A, 0))-INDEX('UZ-normalized'!$E:$E, MATCH($A51, 'UZ-normalized'!$A:$A, 0))), 0), 0)))</f>
        <v>-1.8999999999999986</v>
      </c>
      <c r="AB51" s="6">
        <f>MIN(0, N51+(IFERROR(IF(14*INDEX('UA-normalized'!$D:$D, MATCH($A51, 'UA-normalized'!$A:$A, 0))-INDEX('UA-normalized'!$E:$E, MATCH($A51, 'UA-normalized'!$A:$A, 0))&gt;0, -(14*INDEX('UA-normalized'!$D:$D, MATCH($A51, 'UA-normalized'!$A:$A, 0))-INDEX('UA-normalized'!$E:$E, MATCH($A51, 'UA-normalized'!$A:$A, 0))), 0), 0))+(IFERROR(IF(14*INDEX('KZ-normalized'!$D:$D, MATCH($A51, 'KZ-normalized'!$A:$A, 0))-INDEX('KZ-normalized'!$E:$E, MATCH($A51, 'KZ-normalized'!$A:$A, 0))&gt;0, -(14*INDEX('KZ-normalized'!$D:$D, MATCH($A51, 'KZ-normalized'!$A:$A, 0))-INDEX('KZ-normalized'!$E:$E, MATCH($A51, 'KZ-normalized'!$A:$A, 0))), 0), 0))+(IFERROR(IF(14*INDEX('UZ-normalized'!$D:$D, MATCH($A51, 'UZ-normalized'!$A:$A, 0))-INDEX('UZ-normalized'!$E:$E, MATCH($A51, 'UZ-normalized'!$A:$A, 0))&gt;0, -(14*INDEX('UZ-normalized'!$D:$D, MATCH($A51, 'UZ-normalized'!$A:$A, 0))-INDEX('UZ-normalized'!$E:$E, MATCH($A51, 'UZ-normalized'!$A:$A, 0))), 0), 0)))</f>
        <v>-6.1999999999999957</v>
      </c>
      <c r="AC51" s="6">
        <f>MIN(0, N51+(IFERROR(IF(15*INDEX('UA-normalized'!$D:$D, MATCH($A51, 'UA-normalized'!$A:$A, 0))-INDEX('UA-normalized'!$E:$E, MATCH($A51, 'UA-normalized'!$A:$A, 0))&gt;0, -(15*INDEX('UA-normalized'!$D:$D, MATCH($A51, 'UA-normalized'!$A:$A, 0))-INDEX('UA-normalized'!$E:$E, MATCH($A51, 'UA-normalized'!$A:$A, 0))), 0), 0))+(IFERROR(IF(15*INDEX('KZ-normalized'!$D:$D, MATCH($A51, 'KZ-normalized'!$A:$A, 0))-INDEX('KZ-normalized'!$E:$E, MATCH($A51, 'KZ-normalized'!$A:$A, 0))&gt;0, -(15*INDEX('KZ-normalized'!$D:$D, MATCH($A51, 'KZ-normalized'!$A:$A, 0))-INDEX('KZ-normalized'!$E:$E, MATCH($A51, 'KZ-normalized'!$A:$A, 0))), 0), 0))+(IFERROR(IF(15*INDEX('UZ-normalized'!$D:$D, MATCH($A51, 'UZ-normalized'!$A:$A, 0))-INDEX('UZ-normalized'!$E:$E, MATCH($A51, 'UZ-normalized'!$A:$A, 0))&gt;0, -(15*INDEX('UZ-normalized'!$D:$D, MATCH($A51, 'UZ-normalized'!$A:$A, 0))-INDEX('UZ-normalized'!$E:$E, MATCH($A51, 'UZ-normalized'!$A:$A, 0))), 0), 0)))</f>
        <v>-10.5</v>
      </c>
      <c r="AD51" s="6">
        <f>MIN(0, N51+(IFERROR(IF(16*INDEX('UA-normalized'!$D:$D, MATCH($A51, 'UA-normalized'!$A:$A, 0))-INDEX('UA-normalized'!$E:$E, MATCH($A51, 'UA-normalized'!$A:$A, 0))&gt;0, -(16*INDEX('UA-normalized'!$D:$D, MATCH($A51, 'UA-normalized'!$A:$A, 0))-INDEX('UA-normalized'!$E:$E, MATCH($A51, 'UA-normalized'!$A:$A, 0))), 0), 0))+(IFERROR(IF(16*INDEX('KZ-normalized'!$D:$D, MATCH($A51, 'KZ-normalized'!$A:$A, 0))-INDEX('KZ-normalized'!$E:$E, MATCH($A51, 'KZ-normalized'!$A:$A, 0))&gt;0, -(16*INDEX('KZ-normalized'!$D:$D, MATCH($A51, 'KZ-normalized'!$A:$A, 0))-INDEX('KZ-normalized'!$E:$E, MATCH($A51, 'KZ-normalized'!$A:$A, 0))), 0), 0))+(IFERROR(IF(16*INDEX('UZ-normalized'!$D:$D, MATCH($A51, 'UZ-normalized'!$A:$A, 0))-INDEX('UZ-normalized'!$E:$E, MATCH($A51, 'UZ-normalized'!$A:$A, 0))&gt;0, -(16*INDEX('UZ-normalized'!$D:$D, MATCH($A51, 'UZ-normalized'!$A:$A, 0))-INDEX('UZ-normalized'!$E:$E, MATCH($A51, 'UZ-normalized'!$A:$A, 0))), 0), 0)))</f>
        <v>-14.799999999999997</v>
      </c>
      <c r="AE51" s="6">
        <f>MIN(0, N51+(IFERROR(IF(17*INDEX('UA-normalized'!$D:$D, MATCH($A51, 'UA-normalized'!$A:$A, 0))-INDEX('UA-normalized'!$E:$E, MATCH($A51, 'UA-normalized'!$A:$A, 0))&gt;0, -(17*INDEX('UA-normalized'!$D:$D, MATCH($A51, 'UA-normalized'!$A:$A, 0))-INDEX('UA-normalized'!$E:$E, MATCH($A51, 'UA-normalized'!$A:$A, 0))), 0), 0))+(IFERROR(IF(17*INDEX('KZ-normalized'!$D:$D, MATCH($A51, 'KZ-normalized'!$A:$A, 0))-INDEX('KZ-normalized'!$E:$E, MATCH($A51, 'KZ-normalized'!$A:$A, 0))&gt;0, -(17*INDEX('KZ-normalized'!$D:$D, MATCH($A51, 'KZ-normalized'!$A:$A, 0))-INDEX('KZ-normalized'!$E:$E, MATCH($A51, 'KZ-normalized'!$A:$A, 0))), 0), 0))+(IFERROR(IF(17*INDEX('UZ-normalized'!$D:$D, MATCH($A51, 'UZ-normalized'!$A:$A, 0))-INDEX('UZ-normalized'!$E:$E, MATCH($A51, 'UZ-normalized'!$A:$A, 0))&gt;0, -(17*INDEX('UZ-normalized'!$D:$D, MATCH($A51, 'UZ-normalized'!$A:$A, 0))-INDEX('UZ-normalized'!$E:$E, MATCH($A51, 'UZ-normalized'!$A:$A, 0))), 0), 0)))</f>
        <v>-19.099999999999994</v>
      </c>
      <c r="AF51" s="6">
        <f>MIN(0, N51+(IFERROR(IF(18*INDEX('UA-normalized'!$D:$D, MATCH($A51, 'UA-normalized'!$A:$A, 0))-INDEX('UA-normalized'!$E:$E, MATCH($A51, 'UA-normalized'!$A:$A, 0))&gt;0, -(18*INDEX('UA-normalized'!$D:$D, MATCH($A51, 'UA-normalized'!$A:$A, 0))-INDEX('UA-normalized'!$E:$E, MATCH($A51, 'UA-normalized'!$A:$A, 0))), 0), 0))+(IFERROR(IF(18*INDEX('KZ-normalized'!$D:$D, MATCH($A51, 'KZ-normalized'!$A:$A, 0))-INDEX('KZ-normalized'!$E:$E, MATCH($A51, 'KZ-normalized'!$A:$A, 0))&gt;0, -(18*INDEX('KZ-normalized'!$D:$D, MATCH($A51, 'KZ-normalized'!$A:$A, 0))-INDEX('KZ-normalized'!$E:$E, MATCH($A51, 'KZ-normalized'!$A:$A, 0))), 0), 0))+(IFERROR(IF(18*INDEX('UZ-normalized'!$D:$D, MATCH($A51, 'UZ-normalized'!$A:$A, 0))-INDEX('UZ-normalized'!$E:$E, MATCH($A51, 'UZ-normalized'!$A:$A, 0))&gt;0, -(18*INDEX('UZ-normalized'!$D:$D, MATCH($A51, 'UZ-normalized'!$A:$A, 0))-INDEX('UZ-normalized'!$E:$E, MATCH($A51, 'UZ-normalized'!$A:$A, 0))), 0), 0)))</f>
        <v>-23.399999999999991</v>
      </c>
      <c r="AG51" s="6">
        <f>MIN(0, N51+(IFERROR(IF(19*INDEX('UA-normalized'!$D:$D, MATCH($A51, 'UA-normalized'!$A:$A, 0))-INDEX('UA-normalized'!$E:$E, MATCH($A51, 'UA-normalized'!$A:$A, 0))&gt;0, -(19*INDEX('UA-normalized'!$D:$D, MATCH($A51, 'UA-normalized'!$A:$A, 0))-INDEX('UA-normalized'!$E:$E, MATCH($A51, 'UA-normalized'!$A:$A, 0))), 0), 0))+(IFERROR(IF(19*INDEX('KZ-normalized'!$D:$D, MATCH($A51, 'KZ-normalized'!$A:$A, 0))-INDEX('KZ-normalized'!$E:$E, MATCH($A51, 'KZ-normalized'!$A:$A, 0))&gt;0, -(19*INDEX('KZ-normalized'!$D:$D, MATCH($A51, 'KZ-normalized'!$A:$A, 0))-INDEX('KZ-normalized'!$E:$E, MATCH($A51, 'KZ-normalized'!$A:$A, 0))), 0), 0))+(IFERROR(IF(19*INDEX('UZ-normalized'!$D:$D, MATCH($A51, 'UZ-normalized'!$A:$A, 0))-INDEX('UZ-normalized'!$E:$E, MATCH($A51, 'UZ-normalized'!$A:$A, 0))&gt;0, -(19*INDEX('UZ-normalized'!$D:$D, MATCH($A51, 'UZ-normalized'!$A:$A, 0))-INDEX('UZ-normalized'!$E:$E, MATCH($A51, 'UZ-normalized'!$A:$A, 0))), 0), 0)))</f>
        <v>-27.700000000000003</v>
      </c>
      <c r="AH51" s="6">
        <f>MIN(0, N51+(IFERROR(IF(20*INDEX('UA-normalized'!$D:$D, MATCH($A51, 'UA-normalized'!$A:$A, 0))-INDEX('UA-normalized'!$E:$E, MATCH($A51, 'UA-normalized'!$A:$A, 0))&gt;0, -(20*INDEX('UA-normalized'!$D:$D, MATCH($A51, 'UA-normalized'!$A:$A, 0))-INDEX('UA-normalized'!$E:$E, MATCH($A51, 'UA-normalized'!$A:$A, 0))), 0), 0))+(IFERROR(IF(20*INDEX('KZ-normalized'!$D:$D, MATCH($A51, 'KZ-normalized'!$A:$A, 0))-INDEX('KZ-normalized'!$E:$E, MATCH($A51, 'KZ-normalized'!$A:$A, 0))&gt;0, -(20*INDEX('KZ-normalized'!$D:$D, MATCH($A51, 'KZ-normalized'!$A:$A, 0))-INDEX('KZ-normalized'!$E:$E, MATCH($A51, 'KZ-normalized'!$A:$A, 0))), 0), 0))+(IFERROR(IF(20*INDEX('UZ-normalized'!$D:$D, MATCH($A51, 'UZ-normalized'!$A:$A, 0))-INDEX('UZ-normalized'!$E:$E, MATCH($A51, 'UZ-normalized'!$A:$A, 0))&gt;0, -(20*INDEX('UZ-normalized'!$D:$D, MATCH($A51, 'UZ-normalized'!$A:$A, 0))-INDEX('UZ-normalized'!$E:$E, MATCH($A51, 'UZ-normalized'!$A:$A, 0))), 0), 0)))</f>
        <v>-32</v>
      </c>
      <c r="AI51" s="6">
        <f>MIN(0, N51+(IFERROR(IF(21*INDEX('UA-normalized'!$D:$D, MATCH($A51, 'UA-normalized'!$A:$A, 0))-INDEX('UA-normalized'!$E:$E, MATCH($A51, 'UA-normalized'!$A:$A, 0))&gt;0, -(21*INDEX('UA-normalized'!$D:$D, MATCH($A51, 'UA-normalized'!$A:$A, 0))-INDEX('UA-normalized'!$E:$E, MATCH($A51, 'UA-normalized'!$A:$A, 0))), 0), 0))+(IFERROR(IF(21*INDEX('KZ-normalized'!$D:$D, MATCH($A51, 'KZ-normalized'!$A:$A, 0))-INDEX('KZ-normalized'!$E:$E, MATCH($A51, 'KZ-normalized'!$A:$A, 0))&gt;0, -(21*INDEX('KZ-normalized'!$D:$D, MATCH($A51, 'KZ-normalized'!$A:$A, 0))-INDEX('KZ-normalized'!$E:$E, MATCH($A51, 'KZ-normalized'!$A:$A, 0))), 0), 0))+(IFERROR(IF(21*INDEX('UZ-normalized'!$D:$D, MATCH($A51, 'UZ-normalized'!$A:$A, 0))-INDEX('UZ-normalized'!$E:$E, MATCH($A51, 'UZ-normalized'!$A:$A, 0))&gt;0, -(21*INDEX('UZ-normalized'!$D:$D, MATCH($A51, 'UZ-normalized'!$A:$A, 0))-INDEX('UZ-normalized'!$E:$E, MATCH($A51, 'UZ-normalized'!$A:$A, 0))), 0), 0)))</f>
        <v>-36.299999999999997</v>
      </c>
      <c r="AJ51" s="6">
        <f>MIN(0, N51+(IFERROR(IF(22*INDEX('UA-normalized'!$D:$D, MATCH($A51, 'UA-normalized'!$A:$A, 0))-INDEX('UA-normalized'!$E:$E, MATCH($A51, 'UA-normalized'!$A:$A, 0))&gt;0, -(22*INDEX('UA-normalized'!$D:$D, MATCH($A51, 'UA-normalized'!$A:$A, 0))-INDEX('UA-normalized'!$E:$E, MATCH($A51, 'UA-normalized'!$A:$A, 0))), 0), 0))+(IFERROR(IF(22*INDEX('KZ-normalized'!$D:$D, MATCH($A51, 'KZ-normalized'!$A:$A, 0))-INDEX('KZ-normalized'!$E:$E, MATCH($A51, 'KZ-normalized'!$A:$A, 0))&gt;0, -(22*INDEX('KZ-normalized'!$D:$D, MATCH($A51, 'KZ-normalized'!$A:$A, 0))-INDEX('KZ-normalized'!$E:$E, MATCH($A51, 'KZ-normalized'!$A:$A, 0))), 0), 0))+(IFERROR(IF(22*INDEX('UZ-normalized'!$D:$D, MATCH($A51, 'UZ-normalized'!$A:$A, 0))-INDEX('UZ-normalized'!$E:$E, MATCH($A51, 'UZ-normalized'!$A:$A, 0))&gt;0, -(22*INDEX('UZ-normalized'!$D:$D, MATCH($A51, 'UZ-normalized'!$A:$A, 0))-INDEX('UZ-normalized'!$E:$E, MATCH($A51, 'UZ-normalized'!$A:$A, 0))), 0), 0)))</f>
        <v>-40.599999999999994</v>
      </c>
      <c r="AK51" s="6">
        <f>MIN(0, N51+(IFERROR(IF(23*INDEX('UA-normalized'!$D:$D, MATCH($A51, 'UA-normalized'!$A:$A, 0))-INDEX('UA-normalized'!$E:$E, MATCH($A51, 'UA-normalized'!$A:$A, 0))&gt;0, -(23*INDEX('UA-normalized'!$D:$D, MATCH($A51, 'UA-normalized'!$A:$A, 0))-INDEX('UA-normalized'!$E:$E, MATCH($A51, 'UA-normalized'!$A:$A, 0))), 0), 0))+(IFERROR(IF(23*INDEX('KZ-normalized'!$D:$D, MATCH($A51, 'KZ-normalized'!$A:$A, 0))-INDEX('KZ-normalized'!$E:$E, MATCH($A51, 'KZ-normalized'!$A:$A, 0))&gt;0, -(23*INDEX('KZ-normalized'!$D:$D, MATCH($A51, 'KZ-normalized'!$A:$A, 0))-INDEX('KZ-normalized'!$E:$E, MATCH($A51, 'KZ-normalized'!$A:$A, 0))), 0), 0))+(IFERROR(IF(23*INDEX('UZ-normalized'!$D:$D, MATCH($A51, 'UZ-normalized'!$A:$A, 0))-INDEX('UZ-normalized'!$E:$E, MATCH($A51, 'UZ-normalized'!$A:$A, 0))&gt;0, -(23*INDEX('UZ-normalized'!$D:$D, MATCH($A51, 'UZ-normalized'!$A:$A, 0))-INDEX('UZ-normalized'!$E:$E, MATCH($A51, 'UZ-normalized'!$A:$A, 0))), 0), 0)))</f>
        <v>-44.899999999999991</v>
      </c>
      <c r="AL51" s="6">
        <f>MIN(0, N51+(IFERROR(IF(24*INDEX('UA-normalized'!$D:$D, MATCH($A51, 'UA-normalized'!$A:$A, 0))-INDEX('UA-normalized'!$E:$E, MATCH($A51, 'UA-normalized'!$A:$A, 0))&gt;0, -(24*INDEX('UA-normalized'!$D:$D, MATCH($A51, 'UA-normalized'!$A:$A, 0))-INDEX('UA-normalized'!$E:$E, MATCH($A51, 'UA-normalized'!$A:$A, 0))), 0), 0))+(IFERROR(IF(24*INDEX('KZ-normalized'!$D:$D, MATCH($A51, 'KZ-normalized'!$A:$A, 0))-INDEX('KZ-normalized'!$E:$E, MATCH($A51, 'KZ-normalized'!$A:$A, 0))&gt;0, -(24*INDEX('KZ-normalized'!$D:$D, MATCH($A51, 'KZ-normalized'!$A:$A, 0))-INDEX('KZ-normalized'!$E:$E, MATCH($A51, 'KZ-normalized'!$A:$A, 0))), 0), 0))+(IFERROR(IF(24*INDEX('UZ-normalized'!$D:$D, MATCH($A51, 'UZ-normalized'!$A:$A, 0))-INDEX('UZ-normalized'!$E:$E, MATCH($A51, 'UZ-normalized'!$A:$A, 0))&gt;0, -(24*INDEX('UZ-normalized'!$D:$D, MATCH($A51, 'UZ-normalized'!$A:$A, 0))-INDEX('UZ-normalized'!$E:$E, MATCH($A51, 'UZ-normalized'!$A:$A, 0))), 0), 0)))</f>
        <v>-49.199999999999989</v>
      </c>
      <c r="AM51" s="6">
        <f>MIN(0, N51+(IFERROR(IF(25*INDEX('UA-normalized'!$D:$D, MATCH($A51, 'UA-normalized'!$A:$A, 0))-INDEX('UA-normalized'!$E:$E, MATCH($A51, 'UA-normalized'!$A:$A, 0))&gt;0, -(25*INDEX('UA-normalized'!$D:$D, MATCH($A51, 'UA-normalized'!$A:$A, 0))-INDEX('UA-normalized'!$E:$E, MATCH($A51, 'UA-normalized'!$A:$A, 0))), 0), 0))+(IFERROR(IF(25*INDEX('KZ-normalized'!$D:$D, MATCH($A51, 'KZ-normalized'!$A:$A, 0))-INDEX('KZ-normalized'!$E:$E, MATCH($A51, 'KZ-normalized'!$A:$A, 0))&gt;0, -(25*INDEX('KZ-normalized'!$D:$D, MATCH($A51, 'KZ-normalized'!$A:$A, 0))-INDEX('KZ-normalized'!$E:$E, MATCH($A51, 'KZ-normalized'!$A:$A, 0))), 0), 0))+(IFERROR(IF(25*INDEX('UZ-normalized'!$D:$D, MATCH($A51, 'UZ-normalized'!$A:$A, 0))-INDEX('UZ-normalized'!$E:$E, MATCH($A51, 'UZ-normalized'!$A:$A, 0))&gt;0, -(25*INDEX('UZ-normalized'!$D:$D, MATCH($A51, 'UZ-normalized'!$A:$A, 0))-INDEX('UZ-normalized'!$E:$E, MATCH($A51, 'UZ-normalized'!$A:$A, 0))), 0), 0)))</f>
        <v>-53.5</v>
      </c>
      <c r="AN51" s="6">
        <f>MIN(0, N51+(IFERROR(IF(26*INDEX('UA-normalized'!$D:$D, MATCH($A51, 'UA-normalized'!$A:$A, 0))-INDEX('UA-normalized'!$E:$E, MATCH($A51, 'UA-normalized'!$A:$A, 0))&gt;0, -(26*INDEX('UA-normalized'!$D:$D, MATCH($A51, 'UA-normalized'!$A:$A, 0))-INDEX('UA-normalized'!$E:$E, MATCH($A51, 'UA-normalized'!$A:$A, 0))), 0), 0))+(IFERROR(IF(26*INDEX('KZ-normalized'!$D:$D, MATCH($A51, 'KZ-normalized'!$A:$A, 0))-INDEX('KZ-normalized'!$E:$E, MATCH($A51, 'KZ-normalized'!$A:$A, 0))&gt;0, -(26*INDEX('KZ-normalized'!$D:$D, MATCH($A51, 'KZ-normalized'!$A:$A, 0))-INDEX('KZ-normalized'!$E:$E, MATCH($A51, 'KZ-normalized'!$A:$A, 0))), 0), 0))+(IFERROR(IF(26*INDEX('UZ-normalized'!$D:$D, MATCH($A51, 'UZ-normalized'!$A:$A, 0))-INDEX('UZ-normalized'!$E:$E, MATCH($A51, 'UZ-normalized'!$A:$A, 0))&gt;0, -(26*INDEX('UZ-normalized'!$D:$D, MATCH($A51, 'UZ-normalized'!$A:$A, 0))-INDEX('UZ-normalized'!$E:$E, MATCH($A51, 'UZ-normalized'!$A:$A, 0))), 0), 0)))</f>
        <v>-57.8</v>
      </c>
      <c r="AO51" s="6">
        <f>MIN(0, N51+(IFERROR(IF(27*INDEX('UA-normalized'!$D:$D, MATCH($A51, 'UA-normalized'!$A:$A, 0))-INDEX('UA-normalized'!$E:$E, MATCH($A51, 'UA-normalized'!$A:$A, 0))&gt;0, -(27*INDEX('UA-normalized'!$D:$D, MATCH($A51, 'UA-normalized'!$A:$A, 0))-INDEX('UA-normalized'!$E:$E, MATCH($A51, 'UA-normalized'!$A:$A, 0))), 0), 0))+(IFERROR(IF(27*INDEX('KZ-normalized'!$D:$D, MATCH($A51, 'KZ-normalized'!$A:$A, 0))-INDEX('KZ-normalized'!$E:$E, MATCH($A51, 'KZ-normalized'!$A:$A, 0))&gt;0, -(27*INDEX('KZ-normalized'!$D:$D, MATCH($A51, 'KZ-normalized'!$A:$A, 0))-INDEX('KZ-normalized'!$E:$E, MATCH($A51, 'KZ-normalized'!$A:$A, 0))), 0), 0))+(IFERROR(IF(27*INDEX('UZ-normalized'!$D:$D, MATCH($A51, 'UZ-normalized'!$A:$A, 0))-INDEX('UZ-normalized'!$E:$E, MATCH($A51, 'UZ-normalized'!$A:$A, 0))&gt;0, -(27*INDEX('UZ-normalized'!$D:$D, MATCH($A51, 'UZ-normalized'!$A:$A, 0))-INDEX('UZ-normalized'!$E:$E, MATCH($A51, 'UZ-normalized'!$A:$A, 0))), 0), 0)))</f>
        <v>-62.099999999999994</v>
      </c>
      <c r="AP51" s="6">
        <f>MIN(0, N51+(IFERROR(IF(28*INDEX('UA-normalized'!$D:$D, MATCH($A51, 'UA-normalized'!$A:$A, 0))-INDEX('UA-normalized'!$E:$E, MATCH($A51, 'UA-normalized'!$A:$A, 0))&gt;0, -(28*INDEX('UA-normalized'!$D:$D, MATCH($A51, 'UA-normalized'!$A:$A, 0))-INDEX('UA-normalized'!$E:$E, MATCH($A51, 'UA-normalized'!$A:$A, 0))), 0), 0))+(IFERROR(IF(28*INDEX('KZ-normalized'!$D:$D, MATCH($A51, 'KZ-normalized'!$A:$A, 0))-INDEX('KZ-normalized'!$E:$E, MATCH($A51, 'KZ-normalized'!$A:$A, 0))&gt;0, -(28*INDEX('KZ-normalized'!$D:$D, MATCH($A51, 'KZ-normalized'!$A:$A, 0))-INDEX('KZ-normalized'!$E:$E, MATCH($A51, 'KZ-normalized'!$A:$A, 0))), 0), 0))+(IFERROR(IF(28*INDEX('UZ-normalized'!$D:$D, MATCH($A51, 'UZ-normalized'!$A:$A, 0))-INDEX('UZ-normalized'!$E:$E, MATCH($A51, 'UZ-normalized'!$A:$A, 0))&gt;0, -(28*INDEX('UZ-normalized'!$D:$D, MATCH($A51, 'UZ-normalized'!$A:$A, 0))-INDEX('UZ-normalized'!$E:$E, MATCH($A51, 'UZ-normalized'!$A:$A, 0))), 0), 0)))</f>
        <v>-66.399999999999991</v>
      </c>
      <c r="AQ51" s="6">
        <f>MIN(0, N51+(IFERROR(IF(29*INDEX('UA-normalized'!$D:$D, MATCH($A51, 'UA-normalized'!$A:$A, 0))-INDEX('UA-normalized'!$E:$E, MATCH($A51, 'UA-normalized'!$A:$A, 0))&gt;0, -(29*INDEX('UA-normalized'!$D:$D, MATCH($A51, 'UA-normalized'!$A:$A, 0))-INDEX('UA-normalized'!$E:$E, MATCH($A51, 'UA-normalized'!$A:$A, 0))), 0), 0))+(IFERROR(IF(29*INDEX('KZ-normalized'!$D:$D, MATCH($A51, 'KZ-normalized'!$A:$A, 0))-INDEX('KZ-normalized'!$E:$E, MATCH($A51, 'KZ-normalized'!$A:$A, 0))&gt;0, -(29*INDEX('KZ-normalized'!$D:$D, MATCH($A51, 'KZ-normalized'!$A:$A, 0))-INDEX('KZ-normalized'!$E:$E, MATCH($A51, 'KZ-normalized'!$A:$A, 0))), 0), 0))+(IFERROR(IF(29*INDEX('UZ-normalized'!$D:$D, MATCH($A51, 'UZ-normalized'!$A:$A, 0))-INDEX('UZ-normalized'!$E:$E, MATCH($A51, 'UZ-normalized'!$A:$A, 0))&gt;0, -(29*INDEX('UZ-normalized'!$D:$D, MATCH($A51, 'UZ-normalized'!$A:$A, 0))-INDEX('UZ-normalized'!$E:$E, MATCH($A51, 'UZ-normalized'!$A:$A, 0))), 0), 0)))</f>
        <v>-70.699999999999989</v>
      </c>
      <c r="AR51" s="6">
        <f>MIN(0, N51+(IFERROR(IF(30*INDEX('UA-normalized'!$D:$D, MATCH($A51, 'UA-normalized'!$A:$A, 0))-INDEX('UA-normalized'!$E:$E, MATCH($A51, 'UA-normalized'!$A:$A, 0))&gt;0, -(30*INDEX('UA-normalized'!$D:$D, MATCH($A51, 'UA-normalized'!$A:$A, 0))-INDEX('UA-normalized'!$E:$E, MATCH($A51, 'UA-normalized'!$A:$A, 0))), 0), 0))+(IFERROR(IF(30*INDEX('KZ-normalized'!$D:$D, MATCH($A51, 'KZ-normalized'!$A:$A, 0))-INDEX('KZ-normalized'!$E:$E, MATCH($A51, 'KZ-normalized'!$A:$A, 0))&gt;0, -(30*INDEX('KZ-normalized'!$D:$D, MATCH($A51, 'KZ-normalized'!$A:$A, 0))-INDEX('KZ-normalized'!$E:$E, MATCH($A51, 'KZ-normalized'!$A:$A, 0))), 0), 0))+(IFERROR(IF(30*INDEX('UZ-normalized'!$D:$D, MATCH($A51, 'UZ-normalized'!$A:$A, 0))-INDEX('UZ-normalized'!$E:$E, MATCH($A51, 'UZ-normalized'!$A:$A, 0))&gt;0, -(30*INDEX('UZ-normalized'!$D:$D, MATCH($A51, 'UZ-normalized'!$A:$A, 0))-INDEX('UZ-normalized'!$E:$E, MATCH($A51, 'UZ-normalized'!$A:$A, 0))), 0), 0)))</f>
        <v>-75</v>
      </c>
    </row>
    <row r="52" spans="1:44" x14ac:dyDescent="0.25">
      <c r="A52" s="8" t="s">
        <v>149</v>
      </c>
      <c r="B52" s="8" t="s">
        <v>83</v>
      </c>
      <c r="C52" s="8" t="s">
        <v>145</v>
      </c>
      <c r="D52" s="8" t="s">
        <v>150</v>
      </c>
      <c r="N52">
        <f t="shared" si="0"/>
        <v>0</v>
      </c>
      <c r="O52" s="6">
        <f>MIN(0, N52+(IFERROR(IF(1*INDEX('UA-normalized'!$D:$D, MATCH($A52, 'UA-normalized'!$A:$A, 0))-INDEX('UA-normalized'!$E:$E, MATCH($A52, 'UA-normalized'!$A:$A, 0))&gt;0, -(1*INDEX('UA-normalized'!$D:$D, MATCH($A52, 'UA-normalized'!$A:$A, 0))-INDEX('UA-normalized'!$E:$E, MATCH($A52, 'UA-normalized'!$A:$A, 0))), 0), 0))+(IFERROR(IF(1*INDEX('KZ-normalized'!$D:$D, MATCH($A52, 'KZ-normalized'!$A:$A, 0))-INDEX('KZ-normalized'!$E:$E, MATCH($A52, 'KZ-normalized'!$A:$A, 0))&gt;0, -(1*INDEX('KZ-normalized'!$D:$D, MATCH($A52, 'KZ-normalized'!$A:$A, 0))-INDEX('KZ-normalized'!$E:$E, MATCH($A52, 'KZ-normalized'!$A:$A, 0))), 0), 0))+(IFERROR(IF(1*INDEX('UZ-normalized'!$D:$D, MATCH($A52, 'UZ-normalized'!$A:$A, 0))-INDEX('UZ-normalized'!$E:$E, MATCH($A52, 'UZ-normalized'!$A:$A, 0))&gt;0, -(1*INDEX('UZ-normalized'!$D:$D, MATCH($A52, 'UZ-normalized'!$A:$A, 0))-INDEX('UZ-normalized'!$E:$E, MATCH($A52, 'UZ-normalized'!$A:$A, 0))), 0), 0)))</f>
        <v>0</v>
      </c>
      <c r="P52" s="6">
        <f>MIN(0, N52+(IFERROR(IF(2*INDEX('UA-normalized'!$D:$D, MATCH($A52, 'UA-normalized'!$A:$A, 0))-INDEX('UA-normalized'!$E:$E, MATCH($A52, 'UA-normalized'!$A:$A, 0))&gt;0, -(2*INDEX('UA-normalized'!$D:$D, MATCH($A52, 'UA-normalized'!$A:$A, 0))-INDEX('UA-normalized'!$E:$E, MATCH($A52, 'UA-normalized'!$A:$A, 0))), 0), 0))+(IFERROR(IF(2*INDEX('KZ-normalized'!$D:$D, MATCH($A52, 'KZ-normalized'!$A:$A, 0))-INDEX('KZ-normalized'!$E:$E, MATCH($A52, 'KZ-normalized'!$A:$A, 0))&gt;0, -(2*INDEX('KZ-normalized'!$D:$D, MATCH($A52, 'KZ-normalized'!$A:$A, 0))-INDEX('KZ-normalized'!$E:$E, MATCH($A52, 'KZ-normalized'!$A:$A, 0))), 0), 0))+(IFERROR(IF(2*INDEX('UZ-normalized'!$D:$D, MATCH($A52, 'UZ-normalized'!$A:$A, 0))-INDEX('UZ-normalized'!$E:$E, MATCH($A52, 'UZ-normalized'!$A:$A, 0))&gt;0, -(2*INDEX('UZ-normalized'!$D:$D, MATCH($A52, 'UZ-normalized'!$A:$A, 0))-INDEX('UZ-normalized'!$E:$E, MATCH($A52, 'UZ-normalized'!$A:$A, 0))), 0), 0)))</f>
        <v>0</v>
      </c>
      <c r="Q52" s="6">
        <f>MIN(0, N52+(IFERROR(IF(3*INDEX('UA-normalized'!$D:$D, MATCH($A52, 'UA-normalized'!$A:$A, 0))-INDEX('UA-normalized'!$E:$E, MATCH($A52, 'UA-normalized'!$A:$A, 0))&gt;0, -(3*INDEX('UA-normalized'!$D:$D, MATCH($A52, 'UA-normalized'!$A:$A, 0))-INDEX('UA-normalized'!$E:$E, MATCH($A52, 'UA-normalized'!$A:$A, 0))), 0), 0))+(IFERROR(IF(3*INDEX('KZ-normalized'!$D:$D, MATCH($A52, 'KZ-normalized'!$A:$A, 0))-INDEX('KZ-normalized'!$E:$E, MATCH($A52, 'KZ-normalized'!$A:$A, 0))&gt;0, -(3*INDEX('KZ-normalized'!$D:$D, MATCH($A52, 'KZ-normalized'!$A:$A, 0))-INDEX('KZ-normalized'!$E:$E, MATCH($A52, 'KZ-normalized'!$A:$A, 0))), 0), 0))+(IFERROR(IF(3*INDEX('UZ-normalized'!$D:$D, MATCH($A52, 'UZ-normalized'!$A:$A, 0))-INDEX('UZ-normalized'!$E:$E, MATCH($A52, 'UZ-normalized'!$A:$A, 0))&gt;0, -(3*INDEX('UZ-normalized'!$D:$D, MATCH($A52, 'UZ-normalized'!$A:$A, 0))-INDEX('UZ-normalized'!$E:$E, MATCH($A52, 'UZ-normalized'!$A:$A, 0))), 0), 0)))</f>
        <v>0</v>
      </c>
      <c r="R52" s="6">
        <f>MIN(0, N52+(IFERROR(IF(4*INDEX('UA-normalized'!$D:$D, MATCH($A52, 'UA-normalized'!$A:$A, 0))-INDEX('UA-normalized'!$E:$E, MATCH($A52, 'UA-normalized'!$A:$A, 0))&gt;0, -(4*INDEX('UA-normalized'!$D:$D, MATCH($A52, 'UA-normalized'!$A:$A, 0))-INDEX('UA-normalized'!$E:$E, MATCH($A52, 'UA-normalized'!$A:$A, 0))), 0), 0))+(IFERROR(IF(4*INDEX('KZ-normalized'!$D:$D, MATCH($A52, 'KZ-normalized'!$A:$A, 0))-INDEX('KZ-normalized'!$E:$E, MATCH($A52, 'KZ-normalized'!$A:$A, 0))&gt;0, -(4*INDEX('KZ-normalized'!$D:$D, MATCH($A52, 'KZ-normalized'!$A:$A, 0))-INDEX('KZ-normalized'!$E:$E, MATCH($A52, 'KZ-normalized'!$A:$A, 0))), 0), 0))+(IFERROR(IF(4*INDEX('UZ-normalized'!$D:$D, MATCH($A52, 'UZ-normalized'!$A:$A, 0))-INDEX('UZ-normalized'!$E:$E, MATCH($A52, 'UZ-normalized'!$A:$A, 0))&gt;0, -(4*INDEX('UZ-normalized'!$D:$D, MATCH($A52, 'UZ-normalized'!$A:$A, 0))-INDEX('UZ-normalized'!$E:$E, MATCH($A52, 'UZ-normalized'!$A:$A, 0))), 0), 0)))</f>
        <v>0</v>
      </c>
      <c r="S52" s="6">
        <f>MIN(0, N52+(IFERROR(IF(5*INDEX('UA-normalized'!$D:$D, MATCH($A52, 'UA-normalized'!$A:$A, 0))-INDEX('UA-normalized'!$E:$E, MATCH($A52, 'UA-normalized'!$A:$A, 0))&gt;0, -(5*INDEX('UA-normalized'!$D:$D, MATCH($A52, 'UA-normalized'!$A:$A, 0))-INDEX('UA-normalized'!$E:$E, MATCH($A52, 'UA-normalized'!$A:$A, 0))), 0), 0))+(IFERROR(IF(5*INDEX('KZ-normalized'!$D:$D, MATCH($A52, 'KZ-normalized'!$A:$A, 0))-INDEX('KZ-normalized'!$E:$E, MATCH($A52, 'KZ-normalized'!$A:$A, 0))&gt;0, -(5*INDEX('KZ-normalized'!$D:$D, MATCH($A52, 'KZ-normalized'!$A:$A, 0))-INDEX('KZ-normalized'!$E:$E, MATCH($A52, 'KZ-normalized'!$A:$A, 0))), 0), 0))+(IFERROR(IF(5*INDEX('UZ-normalized'!$D:$D, MATCH($A52, 'UZ-normalized'!$A:$A, 0))-INDEX('UZ-normalized'!$E:$E, MATCH($A52, 'UZ-normalized'!$A:$A, 0))&gt;0, -(5*INDEX('UZ-normalized'!$D:$D, MATCH($A52, 'UZ-normalized'!$A:$A, 0))-INDEX('UZ-normalized'!$E:$E, MATCH($A52, 'UZ-normalized'!$A:$A, 0))), 0), 0)))</f>
        <v>0</v>
      </c>
      <c r="T52" s="6">
        <f>MIN(0, N52+(IFERROR(IF(6*INDEX('UA-normalized'!$D:$D, MATCH($A52, 'UA-normalized'!$A:$A, 0))-INDEX('UA-normalized'!$E:$E, MATCH($A52, 'UA-normalized'!$A:$A, 0))&gt;0, -(6*INDEX('UA-normalized'!$D:$D, MATCH($A52, 'UA-normalized'!$A:$A, 0))-INDEX('UA-normalized'!$E:$E, MATCH($A52, 'UA-normalized'!$A:$A, 0))), 0), 0))+(IFERROR(IF(6*INDEX('KZ-normalized'!$D:$D, MATCH($A52, 'KZ-normalized'!$A:$A, 0))-INDEX('KZ-normalized'!$E:$E, MATCH($A52, 'KZ-normalized'!$A:$A, 0))&gt;0, -(6*INDEX('KZ-normalized'!$D:$D, MATCH($A52, 'KZ-normalized'!$A:$A, 0))-INDEX('KZ-normalized'!$E:$E, MATCH($A52, 'KZ-normalized'!$A:$A, 0))), 0), 0))+(IFERROR(IF(6*INDEX('UZ-normalized'!$D:$D, MATCH($A52, 'UZ-normalized'!$A:$A, 0))-INDEX('UZ-normalized'!$E:$E, MATCH($A52, 'UZ-normalized'!$A:$A, 0))&gt;0, -(6*INDEX('UZ-normalized'!$D:$D, MATCH($A52, 'UZ-normalized'!$A:$A, 0))-INDEX('UZ-normalized'!$E:$E, MATCH($A52, 'UZ-normalized'!$A:$A, 0))), 0), 0)))</f>
        <v>0</v>
      </c>
      <c r="U52" s="6">
        <f>MIN(0, N52+(IFERROR(IF(7*INDEX('UA-normalized'!$D:$D, MATCH($A52, 'UA-normalized'!$A:$A, 0))-INDEX('UA-normalized'!$E:$E, MATCH($A52, 'UA-normalized'!$A:$A, 0))&gt;0, -(7*INDEX('UA-normalized'!$D:$D, MATCH($A52, 'UA-normalized'!$A:$A, 0))-INDEX('UA-normalized'!$E:$E, MATCH($A52, 'UA-normalized'!$A:$A, 0))), 0), 0))+(IFERROR(IF(7*INDEX('KZ-normalized'!$D:$D, MATCH($A52, 'KZ-normalized'!$A:$A, 0))-INDEX('KZ-normalized'!$E:$E, MATCH($A52, 'KZ-normalized'!$A:$A, 0))&gt;0, -(7*INDEX('KZ-normalized'!$D:$D, MATCH($A52, 'KZ-normalized'!$A:$A, 0))-INDEX('KZ-normalized'!$E:$E, MATCH($A52, 'KZ-normalized'!$A:$A, 0))), 0), 0))+(IFERROR(IF(7*INDEX('UZ-normalized'!$D:$D, MATCH($A52, 'UZ-normalized'!$A:$A, 0))-INDEX('UZ-normalized'!$E:$E, MATCH($A52, 'UZ-normalized'!$A:$A, 0))&gt;0, -(7*INDEX('UZ-normalized'!$D:$D, MATCH($A52, 'UZ-normalized'!$A:$A, 0))-INDEX('UZ-normalized'!$E:$E, MATCH($A52, 'UZ-normalized'!$A:$A, 0))), 0), 0)))</f>
        <v>0</v>
      </c>
      <c r="V52" s="6">
        <f>MIN(0, N52+(IFERROR(IF(8*INDEX('UA-normalized'!$D:$D, MATCH($A52, 'UA-normalized'!$A:$A, 0))-INDEX('UA-normalized'!$E:$E, MATCH($A52, 'UA-normalized'!$A:$A, 0))&gt;0, -(8*INDEX('UA-normalized'!$D:$D, MATCH($A52, 'UA-normalized'!$A:$A, 0))-INDEX('UA-normalized'!$E:$E, MATCH($A52, 'UA-normalized'!$A:$A, 0))), 0), 0))+(IFERROR(IF(8*INDEX('KZ-normalized'!$D:$D, MATCH($A52, 'KZ-normalized'!$A:$A, 0))-INDEX('KZ-normalized'!$E:$E, MATCH($A52, 'KZ-normalized'!$A:$A, 0))&gt;0, -(8*INDEX('KZ-normalized'!$D:$D, MATCH($A52, 'KZ-normalized'!$A:$A, 0))-INDEX('KZ-normalized'!$E:$E, MATCH($A52, 'KZ-normalized'!$A:$A, 0))), 0), 0))+(IFERROR(IF(8*INDEX('UZ-normalized'!$D:$D, MATCH($A52, 'UZ-normalized'!$A:$A, 0))-INDEX('UZ-normalized'!$E:$E, MATCH($A52, 'UZ-normalized'!$A:$A, 0))&gt;0, -(8*INDEX('UZ-normalized'!$D:$D, MATCH($A52, 'UZ-normalized'!$A:$A, 0))-INDEX('UZ-normalized'!$E:$E, MATCH($A52, 'UZ-normalized'!$A:$A, 0))), 0), 0)))</f>
        <v>0</v>
      </c>
      <c r="W52" s="6">
        <f>MIN(0, N52+(IFERROR(IF(9*INDEX('UA-normalized'!$D:$D, MATCH($A52, 'UA-normalized'!$A:$A, 0))-INDEX('UA-normalized'!$E:$E, MATCH($A52, 'UA-normalized'!$A:$A, 0))&gt;0, -(9*INDEX('UA-normalized'!$D:$D, MATCH($A52, 'UA-normalized'!$A:$A, 0))-INDEX('UA-normalized'!$E:$E, MATCH($A52, 'UA-normalized'!$A:$A, 0))), 0), 0))+(IFERROR(IF(9*INDEX('KZ-normalized'!$D:$D, MATCH($A52, 'KZ-normalized'!$A:$A, 0))-INDEX('KZ-normalized'!$E:$E, MATCH($A52, 'KZ-normalized'!$A:$A, 0))&gt;0, -(9*INDEX('KZ-normalized'!$D:$D, MATCH($A52, 'KZ-normalized'!$A:$A, 0))-INDEX('KZ-normalized'!$E:$E, MATCH($A52, 'KZ-normalized'!$A:$A, 0))), 0), 0))+(IFERROR(IF(9*INDEX('UZ-normalized'!$D:$D, MATCH($A52, 'UZ-normalized'!$A:$A, 0))-INDEX('UZ-normalized'!$E:$E, MATCH($A52, 'UZ-normalized'!$A:$A, 0))&gt;0, -(9*INDEX('UZ-normalized'!$D:$D, MATCH($A52, 'UZ-normalized'!$A:$A, 0))-INDEX('UZ-normalized'!$E:$E, MATCH($A52, 'UZ-normalized'!$A:$A, 0))), 0), 0)))</f>
        <v>0</v>
      </c>
      <c r="X52" s="6">
        <f>MIN(0, N52+(IFERROR(IF(10*INDEX('UA-normalized'!$D:$D, MATCH($A52, 'UA-normalized'!$A:$A, 0))-INDEX('UA-normalized'!$E:$E, MATCH($A52, 'UA-normalized'!$A:$A, 0))&gt;0, -(10*INDEX('UA-normalized'!$D:$D, MATCH($A52, 'UA-normalized'!$A:$A, 0))-INDEX('UA-normalized'!$E:$E, MATCH($A52, 'UA-normalized'!$A:$A, 0))), 0), 0))+(IFERROR(IF(10*INDEX('KZ-normalized'!$D:$D, MATCH($A52, 'KZ-normalized'!$A:$A, 0))-INDEX('KZ-normalized'!$E:$E, MATCH($A52, 'KZ-normalized'!$A:$A, 0))&gt;0, -(10*INDEX('KZ-normalized'!$D:$D, MATCH($A52, 'KZ-normalized'!$A:$A, 0))-INDEX('KZ-normalized'!$E:$E, MATCH($A52, 'KZ-normalized'!$A:$A, 0))), 0), 0))+(IFERROR(IF(10*INDEX('UZ-normalized'!$D:$D, MATCH($A52, 'UZ-normalized'!$A:$A, 0))-INDEX('UZ-normalized'!$E:$E, MATCH($A52, 'UZ-normalized'!$A:$A, 0))&gt;0, -(10*INDEX('UZ-normalized'!$D:$D, MATCH($A52, 'UZ-normalized'!$A:$A, 0))-INDEX('UZ-normalized'!$E:$E, MATCH($A52, 'UZ-normalized'!$A:$A, 0))), 0), 0)))</f>
        <v>0</v>
      </c>
      <c r="Y52" s="6">
        <f>MIN(0, N52+(IFERROR(IF(11*INDEX('UA-normalized'!$D:$D, MATCH($A52, 'UA-normalized'!$A:$A, 0))-INDEX('UA-normalized'!$E:$E, MATCH($A52, 'UA-normalized'!$A:$A, 0))&gt;0, -(11*INDEX('UA-normalized'!$D:$D, MATCH($A52, 'UA-normalized'!$A:$A, 0))-INDEX('UA-normalized'!$E:$E, MATCH($A52, 'UA-normalized'!$A:$A, 0))), 0), 0))+(IFERROR(IF(11*INDEX('KZ-normalized'!$D:$D, MATCH($A52, 'KZ-normalized'!$A:$A, 0))-INDEX('KZ-normalized'!$E:$E, MATCH($A52, 'KZ-normalized'!$A:$A, 0))&gt;0, -(11*INDEX('KZ-normalized'!$D:$D, MATCH($A52, 'KZ-normalized'!$A:$A, 0))-INDEX('KZ-normalized'!$E:$E, MATCH($A52, 'KZ-normalized'!$A:$A, 0))), 0), 0))+(IFERROR(IF(11*INDEX('UZ-normalized'!$D:$D, MATCH($A52, 'UZ-normalized'!$A:$A, 0))-INDEX('UZ-normalized'!$E:$E, MATCH($A52, 'UZ-normalized'!$A:$A, 0))&gt;0, -(11*INDEX('UZ-normalized'!$D:$D, MATCH($A52, 'UZ-normalized'!$A:$A, 0))-INDEX('UZ-normalized'!$E:$E, MATCH($A52, 'UZ-normalized'!$A:$A, 0))), 0), 0)))</f>
        <v>0</v>
      </c>
      <c r="Z52" s="6">
        <f>MIN(0, N52+(IFERROR(IF(12*INDEX('UA-normalized'!$D:$D, MATCH($A52, 'UA-normalized'!$A:$A, 0))-INDEX('UA-normalized'!$E:$E, MATCH($A52, 'UA-normalized'!$A:$A, 0))&gt;0, -(12*INDEX('UA-normalized'!$D:$D, MATCH($A52, 'UA-normalized'!$A:$A, 0))-INDEX('UA-normalized'!$E:$E, MATCH($A52, 'UA-normalized'!$A:$A, 0))), 0), 0))+(IFERROR(IF(12*INDEX('KZ-normalized'!$D:$D, MATCH($A52, 'KZ-normalized'!$A:$A, 0))-INDEX('KZ-normalized'!$E:$E, MATCH($A52, 'KZ-normalized'!$A:$A, 0))&gt;0, -(12*INDEX('KZ-normalized'!$D:$D, MATCH($A52, 'KZ-normalized'!$A:$A, 0))-INDEX('KZ-normalized'!$E:$E, MATCH($A52, 'KZ-normalized'!$A:$A, 0))), 0), 0))+(IFERROR(IF(12*INDEX('UZ-normalized'!$D:$D, MATCH($A52, 'UZ-normalized'!$A:$A, 0))-INDEX('UZ-normalized'!$E:$E, MATCH($A52, 'UZ-normalized'!$A:$A, 0))&gt;0, -(12*INDEX('UZ-normalized'!$D:$D, MATCH($A52, 'UZ-normalized'!$A:$A, 0))-INDEX('UZ-normalized'!$E:$E, MATCH($A52, 'UZ-normalized'!$A:$A, 0))), 0), 0)))</f>
        <v>0</v>
      </c>
      <c r="AA52" s="6">
        <f>MIN(0, N52+(IFERROR(IF(13*INDEX('UA-normalized'!$D:$D, MATCH($A52, 'UA-normalized'!$A:$A, 0))-INDEX('UA-normalized'!$E:$E, MATCH($A52, 'UA-normalized'!$A:$A, 0))&gt;0, -(13*INDEX('UA-normalized'!$D:$D, MATCH($A52, 'UA-normalized'!$A:$A, 0))-INDEX('UA-normalized'!$E:$E, MATCH($A52, 'UA-normalized'!$A:$A, 0))), 0), 0))+(IFERROR(IF(13*INDEX('KZ-normalized'!$D:$D, MATCH($A52, 'KZ-normalized'!$A:$A, 0))-INDEX('KZ-normalized'!$E:$E, MATCH($A52, 'KZ-normalized'!$A:$A, 0))&gt;0, -(13*INDEX('KZ-normalized'!$D:$D, MATCH($A52, 'KZ-normalized'!$A:$A, 0))-INDEX('KZ-normalized'!$E:$E, MATCH($A52, 'KZ-normalized'!$A:$A, 0))), 0), 0))+(IFERROR(IF(13*INDEX('UZ-normalized'!$D:$D, MATCH($A52, 'UZ-normalized'!$A:$A, 0))-INDEX('UZ-normalized'!$E:$E, MATCH($A52, 'UZ-normalized'!$A:$A, 0))&gt;0, -(13*INDEX('UZ-normalized'!$D:$D, MATCH($A52, 'UZ-normalized'!$A:$A, 0))-INDEX('UZ-normalized'!$E:$E, MATCH($A52, 'UZ-normalized'!$A:$A, 0))), 0), 0)))</f>
        <v>0</v>
      </c>
      <c r="AB52" s="6">
        <f>MIN(0, N52+(IFERROR(IF(14*INDEX('UA-normalized'!$D:$D, MATCH($A52, 'UA-normalized'!$A:$A, 0))-INDEX('UA-normalized'!$E:$E, MATCH($A52, 'UA-normalized'!$A:$A, 0))&gt;0, -(14*INDEX('UA-normalized'!$D:$D, MATCH($A52, 'UA-normalized'!$A:$A, 0))-INDEX('UA-normalized'!$E:$E, MATCH($A52, 'UA-normalized'!$A:$A, 0))), 0), 0))+(IFERROR(IF(14*INDEX('KZ-normalized'!$D:$D, MATCH($A52, 'KZ-normalized'!$A:$A, 0))-INDEX('KZ-normalized'!$E:$E, MATCH($A52, 'KZ-normalized'!$A:$A, 0))&gt;0, -(14*INDEX('KZ-normalized'!$D:$D, MATCH($A52, 'KZ-normalized'!$A:$A, 0))-INDEX('KZ-normalized'!$E:$E, MATCH($A52, 'KZ-normalized'!$A:$A, 0))), 0), 0))+(IFERROR(IF(14*INDEX('UZ-normalized'!$D:$D, MATCH($A52, 'UZ-normalized'!$A:$A, 0))-INDEX('UZ-normalized'!$E:$E, MATCH($A52, 'UZ-normalized'!$A:$A, 0))&gt;0, -(14*INDEX('UZ-normalized'!$D:$D, MATCH($A52, 'UZ-normalized'!$A:$A, 0))-INDEX('UZ-normalized'!$E:$E, MATCH($A52, 'UZ-normalized'!$A:$A, 0))), 0), 0)))</f>
        <v>0</v>
      </c>
      <c r="AC52" s="6">
        <f>MIN(0, N52+(IFERROR(IF(15*INDEX('UA-normalized'!$D:$D, MATCH($A52, 'UA-normalized'!$A:$A, 0))-INDEX('UA-normalized'!$E:$E, MATCH($A52, 'UA-normalized'!$A:$A, 0))&gt;0, -(15*INDEX('UA-normalized'!$D:$D, MATCH($A52, 'UA-normalized'!$A:$A, 0))-INDEX('UA-normalized'!$E:$E, MATCH($A52, 'UA-normalized'!$A:$A, 0))), 0), 0))+(IFERROR(IF(15*INDEX('KZ-normalized'!$D:$D, MATCH($A52, 'KZ-normalized'!$A:$A, 0))-INDEX('KZ-normalized'!$E:$E, MATCH($A52, 'KZ-normalized'!$A:$A, 0))&gt;0, -(15*INDEX('KZ-normalized'!$D:$D, MATCH($A52, 'KZ-normalized'!$A:$A, 0))-INDEX('KZ-normalized'!$E:$E, MATCH($A52, 'KZ-normalized'!$A:$A, 0))), 0), 0))+(IFERROR(IF(15*INDEX('UZ-normalized'!$D:$D, MATCH($A52, 'UZ-normalized'!$A:$A, 0))-INDEX('UZ-normalized'!$E:$E, MATCH($A52, 'UZ-normalized'!$A:$A, 0))&gt;0, -(15*INDEX('UZ-normalized'!$D:$D, MATCH($A52, 'UZ-normalized'!$A:$A, 0))-INDEX('UZ-normalized'!$E:$E, MATCH($A52, 'UZ-normalized'!$A:$A, 0))), 0), 0)))</f>
        <v>0</v>
      </c>
      <c r="AD52" s="6">
        <f>MIN(0, N52+(IFERROR(IF(16*INDEX('UA-normalized'!$D:$D, MATCH($A52, 'UA-normalized'!$A:$A, 0))-INDEX('UA-normalized'!$E:$E, MATCH($A52, 'UA-normalized'!$A:$A, 0))&gt;0, -(16*INDEX('UA-normalized'!$D:$D, MATCH($A52, 'UA-normalized'!$A:$A, 0))-INDEX('UA-normalized'!$E:$E, MATCH($A52, 'UA-normalized'!$A:$A, 0))), 0), 0))+(IFERROR(IF(16*INDEX('KZ-normalized'!$D:$D, MATCH($A52, 'KZ-normalized'!$A:$A, 0))-INDEX('KZ-normalized'!$E:$E, MATCH($A52, 'KZ-normalized'!$A:$A, 0))&gt;0, -(16*INDEX('KZ-normalized'!$D:$D, MATCH($A52, 'KZ-normalized'!$A:$A, 0))-INDEX('KZ-normalized'!$E:$E, MATCH($A52, 'KZ-normalized'!$A:$A, 0))), 0), 0))+(IFERROR(IF(16*INDEX('UZ-normalized'!$D:$D, MATCH($A52, 'UZ-normalized'!$A:$A, 0))-INDEX('UZ-normalized'!$E:$E, MATCH($A52, 'UZ-normalized'!$A:$A, 0))&gt;0, -(16*INDEX('UZ-normalized'!$D:$D, MATCH($A52, 'UZ-normalized'!$A:$A, 0))-INDEX('UZ-normalized'!$E:$E, MATCH($A52, 'UZ-normalized'!$A:$A, 0))), 0), 0)))</f>
        <v>0</v>
      </c>
      <c r="AE52" s="6">
        <f>MIN(0, N52+(IFERROR(IF(17*INDEX('UA-normalized'!$D:$D, MATCH($A52, 'UA-normalized'!$A:$A, 0))-INDEX('UA-normalized'!$E:$E, MATCH($A52, 'UA-normalized'!$A:$A, 0))&gt;0, -(17*INDEX('UA-normalized'!$D:$D, MATCH($A52, 'UA-normalized'!$A:$A, 0))-INDEX('UA-normalized'!$E:$E, MATCH($A52, 'UA-normalized'!$A:$A, 0))), 0), 0))+(IFERROR(IF(17*INDEX('KZ-normalized'!$D:$D, MATCH($A52, 'KZ-normalized'!$A:$A, 0))-INDEX('KZ-normalized'!$E:$E, MATCH($A52, 'KZ-normalized'!$A:$A, 0))&gt;0, -(17*INDEX('KZ-normalized'!$D:$D, MATCH($A52, 'KZ-normalized'!$A:$A, 0))-INDEX('KZ-normalized'!$E:$E, MATCH($A52, 'KZ-normalized'!$A:$A, 0))), 0), 0))+(IFERROR(IF(17*INDEX('UZ-normalized'!$D:$D, MATCH($A52, 'UZ-normalized'!$A:$A, 0))-INDEX('UZ-normalized'!$E:$E, MATCH($A52, 'UZ-normalized'!$A:$A, 0))&gt;0, -(17*INDEX('UZ-normalized'!$D:$D, MATCH($A52, 'UZ-normalized'!$A:$A, 0))-INDEX('UZ-normalized'!$E:$E, MATCH($A52, 'UZ-normalized'!$A:$A, 0))), 0), 0)))</f>
        <v>0</v>
      </c>
      <c r="AF52" s="6">
        <f>MIN(0, N52+(IFERROR(IF(18*INDEX('UA-normalized'!$D:$D, MATCH($A52, 'UA-normalized'!$A:$A, 0))-INDEX('UA-normalized'!$E:$E, MATCH($A52, 'UA-normalized'!$A:$A, 0))&gt;0, -(18*INDEX('UA-normalized'!$D:$D, MATCH($A52, 'UA-normalized'!$A:$A, 0))-INDEX('UA-normalized'!$E:$E, MATCH($A52, 'UA-normalized'!$A:$A, 0))), 0), 0))+(IFERROR(IF(18*INDEX('KZ-normalized'!$D:$D, MATCH($A52, 'KZ-normalized'!$A:$A, 0))-INDEX('KZ-normalized'!$E:$E, MATCH($A52, 'KZ-normalized'!$A:$A, 0))&gt;0, -(18*INDEX('KZ-normalized'!$D:$D, MATCH($A52, 'KZ-normalized'!$A:$A, 0))-INDEX('KZ-normalized'!$E:$E, MATCH($A52, 'KZ-normalized'!$A:$A, 0))), 0), 0))+(IFERROR(IF(18*INDEX('UZ-normalized'!$D:$D, MATCH($A52, 'UZ-normalized'!$A:$A, 0))-INDEX('UZ-normalized'!$E:$E, MATCH($A52, 'UZ-normalized'!$A:$A, 0))&gt;0, -(18*INDEX('UZ-normalized'!$D:$D, MATCH($A52, 'UZ-normalized'!$A:$A, 0))-INDEX('UZ-normalized'!$E:$E, MATCH($A52, 'UZ-normalized'!$A:$A, 0))), 0), 0)))</f>
        <v>0</v>
      </c>
      <c r="AG52" s="6">
        <f>MIN(0, N52+(IFERROR(IF(19*INDEX('UA-normalized'!$D:$D, MATCH($A52, 'UA-normalized'!$A:$A, 0))-INDEX('UA-normalized'!$E:$E, MATCH($A52, 'UA-normalized'!$A:$A, 0))&gt;0, -(19*INDEX('UA-normalized'!$D:$D, MATCH($A52, 'UA-normalized'!$A:$A, 0))-INDEX('UA-normalized'!$E:$E, MATCH($A52, 'UA-normalized'!$A:$A, 0))), 0), 0))+(IFERROR(IF(19*INDEX('KZ-normalized'!$D:$D, MATCH($A52, 'KZ-normalized'!$A:$A, 0))-INDEX('KZ-normalized'!$E:$E, MATCH($A52, 'KZ-normalized'!$A:$A, 0))&gt;0, -(19*INDEX('KZ-normalized'!$D:$D, MATCH($A52, 'KZ-normalized'!$A:$A, 0))-INDEX('KZ-normalized'!$E:$E, MATCH($A52, 'KZ-normalized'!$A:$A, 0))), 0), 0))+(IFERROR(IF(19*INDEX('UZ-normalized'!$D:$D, MATCH($A52, 'UZ-normalized'!$A:$A, 0))-INDEX('UZ-normalized'!$E:$E, MATCH($A52, 'UZ-normalized'!$A:$A, 0))&gt;0, -(19*INDEX('UZ-normalized'!$D:$D, MATCH($A52, 'UZ-normalized'!$A:$A, 0))-INDEX('UZ-normalized'!$E:$E, MATCH($A52, 'UZ-normalized'!$A:$A, 0))), 0), 0)))</f>
        <v>0</v>
      </c>
      <c r="AH52" s="6">
        <f>MIN(0, N52+(IFERROR(IF(20*INDEX('UA-normalized'!$D:$D, MATCH($A52, 'UA-normalized'!$A:$A, 0))-INDEX('UA-normalized'!$E:$E, MATCH($A52, 'UA-normalized'!$A:$A, 0))&gt;0, -(20*INDEX('UA-normalized'!$D:$D, MATCH($A52, 'UA-normalized'!$A:$A, 0))-INDEX('UA-normalized'!$E:$E, MATCH($A52, 'UA-normalized'!$A:$A, 0))), 0), 0))+(IFERROR(IF(20*INDEX('KZ-normalized'!$D:$D, MATCH($A52, 'KZ-normalized'!$A:$A, 0))-INDEX('KZ-normalized'!$E:$E, MATCH($A52, 'KZ-normalized'!$A:$A, 0))&gt;0, -(20*INDEX('KZ-normalized'!$D:$D, MATCH($A52, 'KZ-normalized'!$A:$A, 0))-INDEX('KZ-normalized'!$E:$E, MATCH($A52, 'KZ-normalized'!$A:$A, 0))), 0), 0))+(IFERROR(IF(20*INDEX('UZ-normalized'!$D:$D, MATCH($A52, 'UZ-normalized'!$A:$A, 0))-INDEX('UZ-normalized'!$E:$E, MATCH($A52, 'UZ-normalized'!$A:$A, 0))&gt;0, -(20*INDEX('UZ-normalized'!$D:$D, MATCH($A52, 'UZ-normalized'!$A:$A, 0))-INDEX('UZ-normalized'!$E:$E, MATCH($A52, 'UZ-normalized'!$A:$A, 0))), 0), 0)))</f>
        <v>0</v>
      </c>
      <c r="AI52" s="6">
        <f>MIN(0, N52+(IFERROR(IF(21*INDEX('UA-normalized'!$D:$D, MATCH($A52, 'UA-normalized'!$A:$A, 0))-INDEX('UA-normalized'!$E:$E, MATCH($A52, 'UA-normalized'!$A:$A, 0))&gt;0, -(21*INDEX('UA-normalized'!$D:$D, MATCH($A52, 'UA-normalized'!$A:$A, 0))-INDEX('UA-normalized'!$E:$E, MATCH($A52, 'UA-normalized'!$A:$A, 0))), 0), 0))+(IFERROR(IF(21*INDEX('KZ-normalized'!$D:$D, MATCH($A52, 'KZ-normalized'!$A:$A, 0))-INDEX('KZ-normalized'!$E:$E, MATCH($A52, 'KZ-normalized'!$A:$A, 0))&gt;0, -(21*INDEX('KZ-normalized'!$D:$D, MATCH($A52, 'KZ-normalized'!$A:$A, 0))-INDEX('KZ-normalized'!$E:$E, MATCH($A52, 'KZ-normalized'!$A:$A, 0))), 0), 0))+(IFERROR(IF(21*INDEX('UZ-normalized'!$D:$D, MATCH($A52, 'UZ-normalized'!$A:$A, 0))-INDEX('UZ-normalized'!$E:$E, MATCH($A52, 'UZ-normalized'!$A:$A, 0))&gt;0, -(21*INDEX('UZ-normalized'!$D:$D, MATCH($A52, 'UZ-normalized'!$A:$A, 0))-INDEX('UZ-normalized'!$E:$E, MATCH($A52, 'UZ-normalized'!$A:$A, 0))), 0), 0)))</f>
        <v>0</v>
      </c>
      <c r="AJ52" s="6">
        <f>MIN(0, N52+(IFERROR(IF(22*INDEX('UA-normalized'!$D:$D, MATCH($A52, 'UA-normalized'!$A:$A, 0))-INDEX('UA-normalized'!$E:$E, MATCH($A52, 'UA-normalized'!$A:$A, 0))&gt;0, -(22*INDEX('UA-normalized'!$D:$D, MATCH($A52, 'UA-normalized'!$A:$A, 0))-INDEX('UA-normalized'!$E:$E, MATCH($A52, 'UA-normalized'!$A:$A, 0))), 0), 0))+(IFERROR(IF(22*INDEX('KZ-normalized'!$D:$D, MATCH($A52, 'KZ-normalized'!$A:$A, 0))-INDEX('KZ-normalized'!$E:$E, MATCH($A52, 'KZ-normalized'!$A:$A, 0))&gt;0, -(22*INDEX('KZ-normalized'!$D:$D, MATCH($A52, 'KZ-normalized'!$A:$A, 0))-INDEX('KZ-normalized'!$E:$E, MATCH($A52, 'KZ-normalized'!$A:$A, 0))), 0), 0))+(IFERROR(IF(22*INDEX('UZ-normalized'!$D:$D, MATCH($A52, 'UZ-normalized'!$A:$A, 0))-INDEX('UZ-normalized'!$E:$E, MATCH($A52, 'UZ-normalized'!$A:$A, 0))&gt;0, -(22*INDEX('UZ-normalized'!$D:$D, MATCH($A52, 'UZ-normalized'!$A:$A, 0))-INDEX('UZ-normalized'!$E:$E, MATCH($A52, 'UZ-normalized'!$A:$A, 0))), 0), 0)))</f>
        <v>0</v>
      </c>
      <c r="AK52" s="6">
        <f>MIN(0, N52+(IFERROR(IF(23*INDEX('UA-normalized'!$D:$D, MATCH($A52, 'UA-normalized'!$A:$A, 0))-INDEX('UA-normalized'!$E:$E, MATCH($A52, 'UA-normalized'!$A:$A, 0))&gt;0, -(23*INDEX('UA-normalized'!$D:$D, MATCH($A52, 'UA-normalized'!$A:$A, 0))-INDEX('UA-normalized'!$E:$E, MATCH($A52, 'UA-normalized'!$A:$A, 0))), 0), 0))+(IFERROR(IF(23*INDEX('KZ-normalized'!$D:$D, MATCH($A52, 'KZ-normalized'!$A:$A, 0))-INDEX('KZ-normalized'!$E:$E, MATCH($A52, 'KZ-normalized'!$A:$A, 0))&gt;0, -(23*INDEX('KZ-normalized'!$D:$D, MATCH($A52, 'KZ-normalized'!$A:$A, 0))-INDEX('KZ-normalized'!$E:$E, MATCH($A52, 'KZ-normalized'!$A:$A, 0))), 0), 0))+(IFERROR(IF(23*INDEX('UZ-normalized'!$D:$D, MATCH($A52, 'UZ-normalized'!$A:$A, 0))-INDEX('UZ-normalized'!$E:$E, MATCH($A52, 'UZ-normalized'!$A:$A, 0))&gt;0, -(23*INDEX('UZ-normalized'!$D:$D, MATCH($A52, 'UZ-normalized'!$A:$A, 0))-INDEX('UZ-normalized'!$E:$E, MATCH($A52, 'UZ-normalized'!$A:$A, 0))), 0), 0)))</f>
        <v>0</v>
      </c>
      <c r="AL52" s="6">
        <f>MIN(0, N52+(IFERROR(IF(24*INDEX('UA-normalized'!$D:$D, MATCH($A52, 'UA-normalized'!$A:$A, 0))-INDEX('UA-normalized'!$E:$E, MATCH($A52, 'UA-normalized'!$A:$A, 0))&gt;0, -(24*INDEX('UA-normalized'!$D:$D, MATCH($A52, 'UA-normalized'!$A:$A, 0))-INDEX('UA-normalized'!$E:$E, MATCH($A52, 'UA-normalized'!$A:$A, 0))), 0), 0))+(IFERROR(IF(24*INDEX('KZ-normalized'!$D:$D, MATCH($A52, 'KZ-normalized'!$A:$A, 0))-INDEX('KZ-normalized'!$E:$E, MATCH($A52, 'KZ-normalized'!$A:$A, 0))&gt;0, -(24*INDEX('KZ-normalized'!$D:$D, MATCH($A52, 'KZ-normalized'!$A:$A, 0))-INDEX('KZ-normalized'!$E:$E, MATCH($A52, 'KZ-normalized'!$A:$A, 0))), 0), 0))+(IFERROR(IF(24*INDEX('UZ-normalized'!$D:$D, MATCH($A52, 'UZ-normalized'!$A:$A, 0))-INDEX('UZ-normalized'!$E:$E, MATCH($A52, 'UZ-normalized'!$A:$A, 0))&gt;0, -(24*INDEX('UZ-normalized'!$D:$D, MATCH($A52, 'UZ-normalized'!$A:$A, 0))-INDEX('UZ-normalized'!$E:$E, MATCH($A52, 'UZ-normalized'!$A:$A, 0))), 0), 0)))</f>
        <v>0</v>
      </c>
      <c r="AM52" s="6">
        <f>MIN(0, N52+(IFERROR(IF(25*INDEX('UA-normalized'!$D:$D, MATCH($A52, 'UA-normalized'!$A:$A, 0))-INDEX('UA-normalized'!$E:$E, MATCH($A52, 'UA-normalized'!$A:$A, 0))&gt;0, -(25*INDEX('UA-normalized'!$D:$D, MATCH($A52, 'UA-normalized'!$A:$A, 0))-INDEX('UA-normalized'!$E:$E, MATCH($A52, 'UA-normalized'!$A:$A, 0))), 0), 0))+(IFERROR(IF(25*INDEX('KZ-normalized'!$D:$D, MATCH($A52, 'KZ-normalized'!$A:$A, 0))-INDEX('KZ-normalized'!$E:$E, MATCH($A52, 'KZ-normalized'!$A:$A, 0))&gt;0, -(25*INDEX('KZ-normalized'!$D:$D, MATCH($A52, 'KZ-normalized'!$A:$A, 0))-INDEX('KZ-normalized'!$E:$E, MATCH($A52, 'KZ-normalized'!$A:$A, 0))), 0), 0))+(IFERROR(IF(25*INDEX('UZ-normalized'!$D:$D, MATCH($A52, 'UZ-normalized'!$A:$A, 0))-INDEX('UZ-normalized'!$E:$E, MATCH($A52, 'UZ-normalized'!$A:$A, 0))&gt;0, -(25*INDEX('UZ-normalized'!$D:$D, MATCH($A52, 'UZ-normalized'!$A:$A, 0))-INDEX('UZ-normalized'!$E:$E, MATCH($A52, 'UZ-normalized'!$A:$A, 0))), 0), 0)))</f>
        <v>0</v>
      </c>
      <c r="AN52" s="6">
        <f>MIN(0, N52+(IFERROR(IF(26*INDEX('UA-normalized'!$D:$D, MATCH($A52, 'UA-normalized'!$A:$A, 0))-INDEX('UA-normalized'!$E:$E, MATCH($A52, 'UA-normalized'!$A:$A, 0))&gt;0, -(26*INDEX('UA-normalized'!$D:$D, MATCH($A52, 'UA-normalized'!$A:$A, 0))-INDEX('UA-normalized'!$E:$E, MATCH($A52, 'UA-normalized'!$A:$A, 0))), 0), 0))+(IFERROR(IF(26*INDEX('KZ-normalized'!$D:$D, MATCH($A52, 'KZ-normalized'!$A:$A, 0))-INDEX('KZ-normalized'!$E:$E, MATCH($A52, 'KZ-normalized'!$A:$A, 0))&gt;0, -(26*INDEX('KZ-normalized'!$D:$D, MATCH($A52, 'KZ-normalized'!$A:$A, 0))-INDEX('KZ-normalized'!$E:$E, MATCH($A52, 'KZ-normalized'!$A:$A, 0))), 0), 0))+(IFERROR(IF(26*INDEX('UZ-normalized'!$D:$D, MATCH($A52, 'UZ-normalized'!$A:$A, 0))-INDEX('UZ-normalized'!$E:$E, MATCH($A52, 'UZ-normalized'!$A:$A, 0))&gt;0, -(26*INDEX('UZ-normalized'!$D:$D, MATCH($A52, 'UZ-normalized'!$A:$A, 0))-INDEX('UZ-normalized'!$E:$E, MATCH($A52, 'UZ-normalized'!$A:$A, 0))), 0), 0)))</f>
        <v>0</v>
      </c>
      <c r="AO52" s="6">
        <f>MIN(0, N52+(IFERROR(IF(27*INDEX('UA-normalized'!$D:$D, MATCH($A52, 'UA-normalized'!$A:$A, 0))-INDEX('UA-normalized'!$E:$E, MATCH($A52, 'UA-normalized'!$A:$A, 0))&gt;0, -(27*INDEX('UA-normalized'!$D:$D, MATCH($A52, 'UA-normalized'!$A:$A, 0))-INDEX('UA-normalized'!$E:$E, MATCH($A52, 'UA-normalized'!$A:$A, 0))), 0), 0))+(IFERROR(IF(27*INDEX('KZ-normalized'!$D:$D, MATCH($A52, 'KZ-normalized'!$A:$A, 0))-INDEX('KZ-normalized'!$E:$E, MATCH($A52, 'KZ-normalized'!$A:$A, 0))&gt;0, -(27*INDEX('KZ-normalized'!$D:$D, MATCH($A52, 'KZ-normalized'!$A:$A, 0))-INDEX('KZ-normalized'!$E:$E, MATCH($A52, 'KZ-normalized'!$A:$A, 0))), 0), 0))+(IFERROR(IF(27*INDEX('UZ-normalized'!$D:$D, MATCH($A52, 'UZ-normalized'!$A:$A, 0))-INDEX('UZ-normalized'!$E:$E, MATCH($A52, 'UZ-normalized'!$A:$A, 0))&gt;0, -(27*INDEX('UZ-normalized'!$D:$D, MATCH($A52, 'UZ-normalized'!$A:$A, 0))-INDEX('UZ-normalized'!$E:$E, MATCH($A52, 'UZ-normalized'!$A:$A, 0))), 0), 0)))</f>
        <v>0</v>
      </c>
      <c r="AP52" s="6">
        <f>MIN(0, N52+(IFERROR(IF(28*INDEX('UA-normalized'!$D:$D, MATCH($A52, 'UA-normalized'!$A:$A, 0))-INDEX('UA-normalized'!$E:$E, MATCH($A52, 'UA-normalized'!$A:$A, 0))&gt;0, -(28*INDEX('UA-normalized'!$D:$D, MATCH($A52, 'UA-normalized'!$A:$A, 0))-INDEX('UA-normalized'!$E:$E, MATCH($A52, 'UA-normalized'!$A:$A, 0))), 0), 0))+(IFERROR(IF(28*INDEX('KZ-normalized'!$D:$D, MATCH($A52, 'KZ-normalized'!$A:$A, 0))-INDEX('KZ-normalized'!$E:$E, MATCH($A52, 'KZ-normalized'!$A:$A, 0))&gt;0, -(28*INDEX('KZ-normalized'!$D:$D, MATCH($A52, 'KZ-normalized'!$A:$A, 0))-INDEX('KZ-normalized'!$E:$E, MATCH($A52, 'KZ-normalized'!$A:$A, 0))), 0), 0))+(IFERROR(IF(28*INDEX('UZ-normalized'!$D:$D, MATCH($A52, 'UZ-normalized'!$A:$A, 0))-INDEX('UZ-normalized'!$E:$E, MATCH($A52, 'UZ-normalized'!$A:$A, 0))&gt;0, -(28*INDEX('UZ-normalized'!$D:$D, MATCH($A52, 'UZ-normalized'!$A:$A, 0))-INDEX('UZ-normalized'!$E:$E, MATCH($A52, 'UZ-normalized'!$A:$A, 0))), 0), 0)))</f>
        <v>0</v>
      </c>
      <c r="AQ52" s="6">
        <f>MIN(0, N52+(IFERROR(IF(29*INDEX('UA-normalized'!$D:$D, MATCH($A52, 'UA-normalized'!$A:$A, 0))-INDEX('UA-normalized'!$E:$E, MATCH($A52, 'UA-normalized'!$A:$A, 0))&gt;0, -(29*INDEX('UA-normalized'!$D:$D, MATCH($A52, 'UA-normalized'!$A:$A, 0))-INDEX('UA-normalized'!$E:$E, MATCH($A52, 'UA-normalized'!$A:$A, 0))), 0), 0))+(IFERROR(IF(29*INDEX('KZ-normalized'!$D:$D, MATCH($A52, 'KZ-normalized'!$A:$A, 0))-INDEX('KZ-normalized'!$E:$E, MATCH($A52, 'KZ-normalized'!$A:$A, 0))&gt;0, -(29*INDEX('KZ-normalized'!$D:$D, MATCH($A52, 'KZ-normalized'!$A:$A, 0))-INDEX('KZ-normalized'!$E:$E, MATCH($A52, 'KZ-normalized'!$A:$A, 0))), 0), 0))+(IFERROR(IF(29*INDEX('UZ-normalized'!$D:$D, MATCH($A52, 'UZ-normalized'!$A:$A, 0))-INDEX('UZ-normalized'!$E:$E, MATCH($A52, 'UZ-normalized'!$A:$A, 0))&gt;0, -(29*INDEX('UZ-normalized'!$D:$D, MATCH($A52, 'UZ-normalized'!$A:$A, 0))-INDEX('UZ-normalized'!$E:$E, MATCH($A52, 'UZ-normalized'!$A:$A, 0))), 0), 0)))</f>
        <v>0</v>
      </c>
      <c r="AR52" s="6">
        <f>MIN(0, N52+(IFERROR(IF(30*INDEX('UA-normalized'!$D:$D, MATCH($A52, 'UA-normalized'!$A:$A, 0))-INDEX('UA-normalized'!$E:$E, MATCH($A52, 'UA-normalized'!$A:$A, 0))&gt;0, -(30*INDEX('UA-normalized'!$D:$D, MATCH($A52, 'UA-normalized'!$A:$A, 0))-INDEX('UA-normalized'!$E:$E, MATCH($A52, 'UA-normalized'!$A:$A, 0))), 0), 0))+(IFERROR(IF(30*INDEX('KZ-normalized'!$D:$D, MATCH($A52, 'KZ-normalized'!$A:$A, 0))-INDEX('KZ-normalized'!$E:$E, MATCH($A52, 'KZ-normalized'!$A:$A, 0))&gt;0, -(30*INDEX('KZ-normalized'!$D:$D, MATCH($A52, 'KZ-normalized'!$A:$A, 0))-INDEX('KZ-normalized'!$E:$E, MATCH($A52, 'KZ-normalized'!$A:$A, 0))), 0), 0))+(IFERROR(IF(30*INDEX('UZ-normalized'!$D:$D, MATCH($A52, 'UZ-normalized'!$A:$A, 0))-INDEX('UZ-normalized'!$E:$E, MATCH($A52, 'UZ-normalized'!$A:$A, 0))&gt;0, -(30*INDEX('UZ-normalized'!$D:$D, MATCH($A52, 'UZ-normalized'!$A:$A, 0))-INDEX('UZ-normalized'!$E:$E, MATCH($A52, 'UZ-normalized'!$A:$A, 0))), 0), 0)))</f>
        <v>0</v>
      </c>
    </row>
    <row r="53" spans="1:44" x14ac:dyDescent="0.25">
      <c r="A53" s="8" t="s">
        <v>151</v>
      </c>
      <c r="B53" s="8" t="s">
        <v>83</v>
      </c>
      <c r="C53" s="8" t="s">
        <v>145</v>
      </c>
      <c r="D53" s="8" t="s">
        <v>152</v>
      </c>
      <c r="N53">
        <f t="shared" si="0"/>
        <v>0</v>
      </c>
      <c r="O53" s="6">
        <f>MIN(0, N53+(IFERROR(IF(1*INDEX('UA-normalized'!$D:$D, MATCH($A53, 'UA-normalized'!$A:$A, 0))-INDEX('UA-normalized'!$E:$E, MATCH($A53, 'UA-normalized'!$A:$A, 0))&gt;0, -(1*INDEX('UA-normalized'!$D:$D, MATCH($A53, 'UA-normalized'!$A:$A, 0))-INDEX('UA-normalized'!$E:$E, MATCH($A53, 'UA-normalized'!$A:$A, 0))), 0), 0))+(IFERROR(IF(1*INDEX('KZ-normalized'!$D:$D, MATCH($A53, 'KZ-normalized'!$A:$A, 0))-INDEX('KZ-normalized'!$E:$E, MATCH($A53, 'KZ-normalized'!$A:$A, 0))&gt;0, -(1*INDEX('KZ-normalized'!$D:$D, MATCH($A53, 'KZ-normalized'!$A:$A, 0))-INDEX('KZ-normalized'!$E:$E, MATCH($A53, 'KZ-normalized'!$A:$A, 0))), 0), 0))+(IFERROR(IF(1*INDEX('UZ-normalized'!$D:$D, MATCH($A53, 'UZ-normalized'!$A:$A, 0))-INDEX('UZ-normalized'!$E:$E, MATCH($A53, 'UZ-normalized'!$A:$A, 0))&gt;0, -(1*INDEX('UZ-normalized'!$D:$D, MATCH($A53, 'UZ-normalized'!$A:$A, 0))-INDEX('UZ-normalized'!$E:$E, MATCH($A53, 'UZ-normalized'!$A:$A, 0))), 0), 0)))</f>
        <v>0</v>
      </c>
      <c r="P53" s="6">
        <f>MIN(0, N53+(IFERROR(IF(2*INDEX('UA-normalized'!$D:$D, MATCH($A53, 'UA-normalized'!$A:$A, 0))-INDEX('UA-normalized'!$E:$E, MATCH($A53, 'UA-normalized'!$A:$A, 0))&gt;0, -(2*INDEX('UA-normalized'!$D:$D, MATCH($A53, 'UA-normalized'!$A:$A, 0))-INDEX('UA-normalized'!$E:$E, MATCH($A53, 'UA-normalized'!$A:$A, 0))), 0), 0))+(IFERROR(IF(2*INDEX('KZ-normalized'!$D:$D, MATCH($A53, 'KZ-normalized'!$A:$A, 0))-INDEX('KZ-normalized'!$E:$E, MATCH($A53, 'KZ-normalized'!$A:$A, 0))&gt;0, -(2*INDEX('KZ-normalized'!$D:$D, MATCH($A53, 'KZ-normalized'!$A:$A, 0))-INDEX('KZ-normalized'!$E:$E, MATCH($A53, 'KZ-normalized'!$A:$A, 0))), 0), 0))+(IFERROR(IF(2*INDEX('UZ-normalized'!$D:$D, MATCH($A53, 'UZ-normalized'!$A:$A, 0))-INDEX('UZ-normalized'!$E:$E, MATCH($A53, 'UZ-normalized'!$A:$A, 0))&gt;0, -(2*INDEX('UZ-normalized'!$D:$D, MATCH($A53, 'UZ-normalized'!$A:$A, 0))-INDEX('UZ-normalized'!$E:$E, MATCH($A53, 'UZ-normalized'!$A:$A, 0))), 0), 0)))</f>
        <v>0</v>
      </c>
      <c r="Q53" s="6">
        <f>MIN(0, N53+(IFERROR(IF(3*INDEX('UA-normalized'!$D:$D, MATCH($A53, 'UA-normalized'!$A:$A, 0))-INDEX('UA-normalized'!$E:$E, MATCH($A53, 'UA-normalized'!$A:$A, 0))&gt;0, -(3*INDEX('UA-normalized'!$D:$D, MATCH($A53, 'UA-normalized'!$A:$A, 0))-INDEX('UA-normalized'!$E:$E, MATCH($A53, 'UA-normalized'!$A:$A, 0))), 0), 0))+(IFERROR(IF(3*INDEX('KZ-normalized'!$D:$D, MATCH($A53, 'KZ-normalized'!$A:$A, 0))-INDEX('KZ-normalized'!$E:$E, MATCH($A53, 'KZ-normalized'!$A:$A, 0))&gt;0, -(3*INDEX('KZ-normalized'!$D:$D, MATCH($A53, 'KZ-normalized'!$A:$A, 0))-INDEX('KZ-normalized'!$E:$E, MATCH($A53, 'KZ-normalized'!$A:$A, 0))), 0), 0))+(IFERROR(IF(3*INDEX('UZ-normalized'!$D:$D, MATCH($A53, 'UZ-normalized'!$A:$A, 0))-INDEX('UZ-normalized'!$E:$E, MATCH($A53, 'UZ-normalized'!$A:$A, 0))&gt;0, -(3*INDEX('UZ-normalized'!$D:$D, MATCH($A53, 'UZ-normalized'!$A:$A, 0))-INDEX('UZ-normalized'!$E:$E, MATCH($A53, 'UZ-normalized'!$A:$A, 0))), 0), 0)))</f>
        <v>0</v>
      </c>
      <c r="R53" s="6">
        <f>MIN(0, N53+(IFERROR(IF(4*INDEX('UA-normalized'!$D:$D, MATCH($A53, 'UA-normalized'!$A:$A, 0))-INDEX('UA-normalized'!$E:$E, MATCH($A53, 'UA-normalized'!$A:$A, 0))&gt;0, -(4*INDEX('UA-normalized'!$D:$D, MATCH($A53, 'UA-normalized'!$A:$A, 0))-INDEX('UA-normalized'!$E:$E, MATCH($A53, 'UA-normalized'!$A:$A, 0))), 0), 0))+(IFERROR(IF(4*INDEX('KZ-normalized'!$D:$D, MATCH($A53, 'KZ-normalized'!$A:$A, 0))-INDEX('KZ-normalized'!$E:$E, MATCH($A53, 'KZ-normalized'!$A:$A, 0))&gt;0, -(4*INDEX('KZ-normalized'!$D:$D, MATCH($A53, 'KZ-normalized'!$A:$A, 0))-INDEX('KZ-normalized'!$E:$E, MATCH($A53, 'KZ-normalized'!$A:$A, 0))), 0), 0))+(IFERROR(IF(4*INDEX('UZ-normalized'!$D:$D, MATCH($A53, 'UZ-normalized'!$A:$A, 0))-INDEX('UZ-normalized'!$E:$E, MATCH($A53, 'UZ-normalized'!$A:$A, 0))&gt;0, -(4*INDEX('UZ-normalized'!$D:$D, MATCH($A53, 'UZ-normalized'!$A:$A, 0))-INDEX('UZ-normalized'!$E:$E, MATCH($A53, 'UZ-normalized'!$A:$A, 0))), 0), 0)))</f>
        <v>0</v>
      </c>
      <c r="S53" s="6">
        <f>MIN(0, N53+(IFERROR(IF(5*INDEX('UA-normalized'!$D:$D, MATCH($A53, 'UA-normalized'!$A:$A, 0))-INDEX('UA-normalized'!$E:$E, MATCH($A53, 'UA-normalized'!$A:$A, 0))&gt;0, -(5*INDEX('UA-normalized'!$D:$D, MATCH($A53, 'UA-normalized'!$A:$A, 0))-INDEX('UA-normalized'!$E:$E, MATCH($A53, 'UA-normalized'!$A:$A, 0))), 0), 0))+(IFERROR(IF(5*INDEX('KZ-normalized'!$D:$D, MATCH($A53, 'KZ-normalized'!$A:$A, 0))-INDEX('KZ-normalized'!$E:$E, MATCH($A53, 'KZ-normalized'!$A:$A, 0))&gt;0, -(5*INDEX('KZ-normalized'!$D:$D, MATCH($A53, 'KZ-normalized'!$A:$A, 0))-INDEX('KZ-normalized'!$E:$E, MATCH($A53, 'KZ-normalized'!$A:$A, 0))), 0), 0))+(IFERROR(IF(5*INDEX('UZ-normalized'!$D:$D, MATCH($A53, 'UZ-normalized'!$A:$A, 0))-INDEX('UZ-normalized'!$E:$E, MATCH($A53, 'UZ-normalized'!$A:$A, 0))&gt;0, -(5*INDEX('UZ-normalized'!$D:$D, MATCH($A53, 'UZ-normalized'!$A:$A, 0))-INDEX('UZ-normalized'!$E:$E, MATCH($A53, 'UZ-normalized'!$A:$A, 0))), 0), 0)))</f>
        <v>0</v>
      </c>
      <c r="T53" s="6">
        <f>MIN(0, N53+(IFERROR(IF(6*INDEX('UA-normalized'!$D:$D, MATCH($A53, 'UA-normalized'!$A:$A, 0))-INDEX('UA-normalized'!$E:$E, MATCH($A53, 'UA-normalized'!$A:$A, 0))&gt;0, -(6*INDEX('UA-normalized'!$D:$D, MATCH($A53, 'UA-normalized'!$A:$A, 0))-INDEX('UA-normalized'!$E:$E, MATCH($A53, 'UA-normalized'!$A:$A, 0))), 0), 0))+(IFERROR(IF(6*INDEX('KZ-normalized'!$D:$D, MATCH($A53, 'KZ-normalized'!$A:$A, 0))-INDEX('KZ-normalized'!$E:$E, MATCH($A53, 'KZ-normalized'!$A:$A, 0))&gt;0, -(6*INDEX('KZ-normalized'!$D:$D, MATCH($A53, 'KZ-normalized'!$A:$A, 0))-INDEX('KZ-normalized'!$E:$E, MATCH($A53, 'KZ-normalized'!$A:$A, 0))), 0), 0))+(IFERROR(IF(6*INDEX('UZ-normalized'!$D:$D, MATCH($A53, 'UZ-normalized'!$A:$A, 0))-INDEX('UZ-normalized'!$E:$E, MATCH($A53, 'UZ-normalized'!$A:$A, 0))&gt;0, -(6*INDEX('UZ-normalized'!$D:$D, MATCH($A53, 'UZ-normalized'!$A:$A, 0))-INDEX('UZ-normalized'!$E:$E, MATCH($A53, 'UZ-normalized'!$A:$A, 0))), 0), 0)))</f>
        <v>0</v>
      </c>
      <c r="U53" s="6">
        <f>MIN(0, N53+(IFERROR(IF(7*INDEX('UA-normalized'!$D:$D, MATCH($A53, 'UA-normalized'!$A:$A, 0))-INDEX('UA-normalized'!$E:$E, MATCH($A53, 'UA-normalized'!$A:$A, 0))&gt;0, -(7*INDEX('UA-normalized'!$D:$D, MATCH($A53, 'UA-normalized'!$A:$A, 0))-INDEX('UA-normalized'!$E:$E, MATCH($A53, 'UA-normalized'!$A:$A, 0))), 0), 0))+(IFERROR(IF(7*INDEX('KZ-normalized'!$D:$D, MATCH($A53, 'KZ-normalized'!$A:$A, 0))-INDEX('KZ-normalized'!$E:$E, MATCH($A53, 'KZ-normalized'!$A:$A, 0))&gt;0, -(7*INDEX('KZ-normalized'!$D:$D, MATCH($A53, 'KZ-normalized'!$A:$A, 0))-INDEX('KZ-normalized'!$E:$E, MATCH($A53, 'KZ-normalized'!$A:$A, 0))), 0), 0))+(IFERROR(IF(7*INDEX('UZ-normalized'!$D:$D, MATCH($A53, 'UZ-normalized'!$A:$A, 0))-INDEX('UZ-normalized'!$E:$E, MATCH($A53, 'UZ-normalized'!$A:$A, 0))&gt;0, -(7*INDEX('UZ-normalized'!$D:$D, MATCH($A53, 'UZ-normalized'!$A:$A, 0))-INDEX('UZ-normalized'!$E:$E, MATCH($A53, 'UZ-normalized'!$A:$A, 0))), 0), 0)))</f>
        <v>0</v>
      </c>
      <c r="V53" s="6">
        <f>MIN(0, N53+(IFERROR(IF(8*INDEX('UA-normalized'!$D:$D, MATCH($A53, 'UA-normalized'!$A:$A, 0))-INDEX('UA-normalized'!$E:$E, MATCH($A53, 'UA-normalized'!$A:$A, 0))&gt;0, -(8*INDEX('UA-normalized'!$D:$D, MATCH($A53, 'UA-normalized'!$A:$A, 0))-INDEX('UA-normalized'!$E:$E, MATCH($A53, 'UA-normalized'!$A:$A, 0))), 0), 0))+(IFERROR(IF(8*INDEX('KZ-normalized'!$D:$D, MATCH($A53, 'KZ-normalized'!$A:$A, 0))-INDEX('KZ-normalized'!$E:$E, MATCH($A53, 'KZ-normalized'!$A:$A, 0))&gt;0, -(8*INDEX('KZ-normalized'!$D:$D, MATCH($A53, 'KZ-normalized'!$A:$A, 0))-INDEX('KZ-normalized'!$E:$E, MATCH($A53, 'KZ-normalized'!$A:$A, 0))), 0), 0))+(IFERROR(IF(8*INDEX('UZ-normalized'!$D:$D, MATCH($A53, 'UZ-normalized'!$A:$A, 0))-INDEX('UZ-normalized'!$E:$E, MATCH($A53, 'UZ-normalized'!$A:$A, 0))&gt;0, -(8*INDEX('UZ-normalized'!$D:$D, MATCH($A53, 'UZ-normalized'!$A:$A, 0))-INDEX('UZ-normalized'!$E:$E, MATCH($A53, 'UZ-normalized'!$A:$A, 0))), 0), 0)))</f>
        <v>-0.19999999999999929</v>
      </c>
      <c r="W53" s="6">
        <f>MIN(0, N53+(IFERROR(IF(9*INDEX('UA-normalized'!$D:$D, MATCH($A53, 'UA-normalized'!$A:$A, 0))-INDEX('UA-normalized'!$E:$E, MATCH($A53, 'UA-normalized'!$A:$A, 0))&gt;0, -(9*INDEX('UA-normalized'!$D:$D, MATCH($A53, 'UA-normalized'!$A:$A, 0))-INDEX('UA-normalized'!$E:$E, MATCH($A53, 'UA-normalized'!$A:$A, 0))), 0), 0))+(IFERROR(IF(9*INDEX('KZ-normalized'!$D:$D, MATCH($A53, 'KZ-normalized'!$A:$A, 0))-INDEX('KZ-normalized'!$E:$E, MATCH($A53, 'KZ-normalized'!$A:$A, 0))&gt;0, -(9*INDEX('KZ-normalized'!$D:$D, MATCH($A53, 'KZ-normalized'!$A:$A, 0))-INDEX('KZ-normalized'!$E:$E, MATCH($A53, 'KZ-normalized'!$A:$A, 0))), 0), 0))+(IFERROR(IF(9*INDEX('UZ-normalized'!$D:$D, MATCH($A53, 'UZ-normalized'!$A:$A, 0))-INDEX('UZ-normalized'!$E:$E, MATCH($A53, 'UZ-normalized'!$A:$A, 0))&gt;0, -(9*INDEX('UZ-normalized'!$D:$D, MATCH($A53, 'UZ-normalized'!$A:$A, 0))-INDEX('UZ-normalized'!$E:$E, MATCH($A53, 'UZ-normalized'!$A:$A, 0))), 0), 0)))</f>
        <v>-1.3499999999999996</v>
      </c>
      <c r="X53" s="6">
        <f>MIN(0, N53+(IFERROR(IF(10*INDEX('UA-normalized'!$D:$D, MATCH($A53, 'UA-normalized'!$A:$A, 0))-INDEX('UA-normalized'!$E:$E, MATCH($A53, 'UA-normalized'!$A:$A, 0))&gt;0, -(10*INDEX('UA-normalized'!$D:$D, MATCH($A53, 'UA-normalized'!$A:$A, 0))-INDEX('UA-normalized'!$E:$E, MATCH($A53, 'UA-normalized'!$A:$A, 0))), 0), 0))+(IFERROR(IF(10*INDEX('KZ-normalized'!$D:$D, MATCH($A53, 'KZ-normalized'!$A:$A, 0))-INDEX('KZ-normalized'!$E:$E, MATCH($A53, 'KZ-normalized'!$A:$A, 0))&gt;0, -(10*INDEX('KZ-normalized'!$D:$D, MATCH($A53, 'KZ-normalized'!$A:$A, 0))-INDEX('KZ-normalized'!$E:$E, MATCH($A53, 'KZ-normalized'!$A:$A, 0))), 0), 0))+(IFERROR(IF(10*INDEX('UZ-normalized'!$D:$D, MATCH($A53, 'UZ-normalized'!$A:$A, 0))-INDEX('UZ-normalized'!$E:$E, MATCH($A53, 'UZ-normalized'!$A:$A, 0))&gt;0, -(10*INDEX('UZ-normalized'!$D:$D, MATCH($A53, 'UZ-normalized'!$A:$A, 0))-INDEX('UZ-normalized'!$E:$E, MATCH($A53, 'UZ-normalized'!$A:$A, 0))), 0), 0)))</f>
        <v>-2.5</v>
      </c>
      <c r="Y53" s="6">
        <f>MIN(0, N53+(IFERROR(IF(11*INDEX('UA-normalized'!$D:$D, MATCH($A53, 'UA-normalized'!$A:$A, 0))-INDEX('UA-normalized'!$E:$E, MATCH($A53, 'UA-normalized'!$A:$A, 0))&gt;0, -(11*INDEX('UA-normalized'!$D:$D, MATCH($A53, 'UA-normalized'!$A:$A, 0))-INDEX('UA-normalized'!$E:$E, MATCH($A53, 'UA-normalized'!$A:$A, 0))), 0), 0))+(IFERROR(IF(11*INDEX('KZ-normalized'!$D:$D, MATCH($A53, 'KZ-normalized'!$A:$A, 0))-INDEX('KZ-normalized'!$E:$E, MATCH($A53, 'KZ-normalized'!$A:$A, 0))&gt;0, -(11*INDEX('KZ-normalized'!$D:$D, MATCH($A53, 'KZ-normalized'!$A:$A, 0))-INDEX('KZ-normalized'!$E:$E, MATCH($A53, 'KZ-normalized'!$A:$A, 0))), 0), 0))+(IFERROR(IF(11*INDEX('UZ-normalized'!$D:$D, MATCH($A53, 'UZ-normalized'!$A:$A, 0))-INDEX('UZ-normalized'!$E:$E, MATCH($A53, 'UZ-normalized'!$A:$A, 0))&gt;0, -(11*INDEX('UZ-normalized'!$D:$D, MATCH($A53, 'UZ-normalized'!$A:$A, 0))-INDEX('UZ-normalized'!$E:$E, MATCH($A53, 'UZ-normalized'!$A:$A, 0))), 0), 0)))</f>
        <v>-3.6499999999999986</v>
      </c>
      <c r="Z53" s="6">
        <f>MIN(0, N53+(IFERROR(IF(12*INDEX('UA-normalized'!$D:$D, MATCH($A53, 'UA-normalized'!$A:$A, 0))-INDEX('UA-normalized'!$E:$E, MATCH($A53, 'UA-normalized'!$A:$A, 0))&gt;0, -(12*INDEX('UA-normalized'!$D:$D, MATCH($A53, 'UA-normalized'!$A:$A, 0))-INDEX('UA-normalized'!$E:$E, MATCH($A53, 'UA-normalized'!$A:$A, 0))), 0), 0))+(IFERROR(IF(12*INDEX('KZ-normalized'!$D:$D, MATCH($A53, 'KZ-normalized'!$A:$A, 0))-INDEX('KZ-normalized'!$E:$E, MATCH($A53, 'KZ-normalized'!$A:$A, 0))&gt;0, -(12*INDEX('KZ-normalized'!$D:$D, MATCH($A53, 'KZ-normalized'!$A:$A, 0))-INDEX('KZ-normalized'!$E:$E, MATCH($A53, 'KZ-normalized'!$A:$A, 0))), 0), 0))+(IFERROR(IF(12*INDEX('UZ-normalized'!$D:$D, MATCH($A53, 'UZ-normalized'!$A:$A, 0))-INDEX('UZ-normalized'!$E:$E, MATCH($A53, 'UZ-normalized'!$A:$A, 0))&gt;0, -(12*INDEX('UZ-normalized'!$D:$D, MATCH($A53, 'UZ-normalized'!$A:$A, 0))-INDEX('UZ-normalized'!$E:$E, MATCH($A53, 'UZ-normalized'!$A:$A, 0))), 0), 0)))</f>
        <v>-4.7999999999999989</v>
      </c>
      <c r="AA53" s="6">
        <f>MIN(0, N53+(IFERROR(IF(13*INDEX('UA-normalized'!$D:$D, MATCH($A53, 'UA-normalized'!$A:$A, 0))-INDEX('UA-normalized'!$E:$E, MATCH($A53, 'UA-normalized'!$A:$A, 0))&gt;0, -(13*INDEX('UA-normalized'!$D:$D, MATCH($A53, 'UA-normalized'!$A:$A, 0))-INDEX('UA-normalized'!$E:$E, MATCH($A53, 'UA-normalized'!$A:$A, 0))), 0), 0))+(IFERROR(IF(13*INDEX('KZ-normalized'!$D:$D, MATCH($A53, 'KZ-normalized'!$A:$A, 0))-INDEX('KZ-normalized'!$E:$E, MATCH($A53, 'KZ-normalized'!$A:$A, 0))&gt;0, -(13*INDEX('KZ-normalized'!$D:$D, MATCH($A53, 'KZ-normalized'!$A:$A, 0))-INDEX('KZ-normalized'!$E:$E, MATCH($A53, 'KZ-normalized'!$A:$A, 0))), 0), 0))+(IFERROR(IF(13*INDEX('UZ-normalized'!$D:$D, MATCH($A53, 'UZ-normalized'!$A:$A, 0))-INDEX('UZ-normalized'!$E:$E, MATCH($A53, 'UZ-normalized'!$A:$A, 0))&gt;0, -(13*INDEX('UZ-normalized'!$D:$D, MATCH($A53, 'UZ-normalized'!$A:$A, 0))-INDEX('UZ-normalized'!$E:$E, MATCH($A53, 'UZ-normalized'!$A:$A, 0))), 0), 0)))</f>
        <v>-5.9499999999999993</v>
      </c>
      <c r="AB53" s="6">
        <f>MIN(0, N53+(IFERROR(IF(14*INDEX('UA-normalized'!$D:$D, MATCH($A53, 'UA-normalized'!$A:$A, 0))-INDEX('UA-normalized'!$E:$E, MATCH($A53, 'UA-normalized'!$A:$A, 0))&gt;0, -(14*INDEX('UA-normalized'!$D:$D, MATCH($A53, 'UA-normalized'!$A:$A, 0))-INDEX('UA-normalized'!$E:$E, MATCH($A53, 'UA-normalized'!$A:$A, 0))), 0), 0))+(IFERROR(IF(14*INDEX('KZ-normalized'!$D:$D, MATCH($A53, 'KZ-normalized'!$A:$A, 0))-INDEX('KZ-normalized'!$E:$E, MATCH($A53, 'KZ-normalized'!$A:$A, 0))&gt;0, -(14*INDEX('KZ-normalized'!$D:$D, MATCH($A53, 'KZ-normalized'!$A:$A, 0))-INDEX('KZ-normalized'!$E:$E, MATCH($A53, 'KZ-normalized'!$A:$A, 0))), 0), 0))+(IFERROR(IF(14*INDEX('UZ-normalized'!$D:$D, MATCH($A53, 'UZ-normalized'!$A:$A, 0))-INDEX('UZ-normalized'!$E:$E, MATCH($A53, 'UZ-normalized'!$A:$A, 0))&gt;0, -(14*INDEX('UZ-normalized'!$D:$D, MATCH($A53, 'UZ-normalized'!$A:$A, 0))-INDEX('UZ-normalized'!$E:$E, MATCH($A53, 'UZ-normalized'!$A:$A, 0))), 0), 0)))</f>
        <v>-7.0999999999999979</v>
      </c>
      <c r="AC53" s="6">
        <f>MIN(0, N53+(IFERROR(IF(15*INDEX('UA-normalized'!$D:$D, MATCH($A53, 'UA-normalized'!$A:$A, 0))-INDEX('UA-normalized'!$E:$E, MATCH($A53, 'UA-normalized'!$A:$A, 0))&gt;0, -(15*INDEX('UA-normalized'!$D:$D, MATCH($A53, 'UA-normalized'!$A:$A, 0))-INDEX('UA-normalized'!$E:$E, MATCH($A53, 'UA-normalized'!$A:$A, 0))), 0), 0))+(IFERROR(IF(15*INDEX('KZ-normalized'!$D:$D, MATCH($A53, 'KZ-normalized'!$A:$A, 0))-INDEX('KZ-normalized'!$E:$E, MATCH($A53, 'KZ-normalized'!$A:$A, 0))&gt;0, -(15*INDEX('KZ-normalized'!$D:$D, MATCH($A53, 'KZ-normalized'!$A:$A, 0))-INDEX('KZ-normalized'!$E:$E, MATCH($A53, 'KZ-normalized'!$A:$A, 0))), 0), 0))+(IFERROR(IF(15*INDEX('UZ-normalized'!$D:$D, MATCH($A53, 'UZ-normalized'!$A:$A, 0))-INDEX('UZ-normalized'!$E:$E, MATCH($A53, 'UZ-normalized'!$A:$A, 0))&gt;0, -(15*INDEX('UZ-normalized'!$D:$D, MATCH($A53, 'UZ-normalized'!$A:$A, 0))-INDEX('UZ-normalized'!$E:$E, MATCH($A53, 'UZ-normalized'!$A:$A, 0))), 0), 0)))</f>
        <v>-8.25</v>
      </c>
      <c r="AD53" s="6">
        <f>MIN(0, N53+(IFERROR(IF(16*INDEX('UA-normalized'!$D:$D, MATCH($A53, 'UA-normalized'!$A:$A, 0))-INDEX('UA-normalized'!$E:$E, MATCH($A53, 'UA-normalized'!$A:$A, 0))&gt;0, -(16*INDEX('UA-normalized'!$D:$D, MATCH($A53, 'UA-normalized'!$A:$A, 0))-INDEX('UA-normalized'!$E:$E, MATCH($A53, 'UA-normalized'!$A:$A, 0))), 0), 0))+(IFERROR(IF(16*INDEX('KZ-normalized'!$D:$D, MATCH($A53, 'KZ-normalized'!$A:$A, 0))-INDEX('KZ-normalized'!$E:$E, MATCH($A53, 'KZ-normalized'!$A:$A, 0))&gt;0, -(16*INDEX('KZ-normalized'!$D:$D, MATCH($A53, 'KZ-normalized'!$A:$A, 0))-INDEX('KZ-normalized'!$E:$E, MATCH($A53, 'KZ-normalized'!$A:$A, 0))), 0), 0))+(IFERROR(IF(16*INDEX('UZ-normalized'!$D:$D, MATCH($A53, 'UZ-normalized'!$A:$A, 0))-INDEX('UZ-normalized'!$E:$E, MATCH($A53, 'UZ-normalized'!$A:$A, 0))&gt;0, -(16*INDEX('UZ-normalized'!$D:$D, MATCH($A53, 'UZ-normalized'!$A:$A, 0))-INDEX('UZ-normalized'!$E:$E, MATCH($A53, 'UZ-normalized'!$A:$A, 0))), 0), 0)))</f>
        <v>-9.3999999999999986</v>
      </c>
      <c r="AE53" s="6">
        <f>MIN(0, N53+(IFERROR(IF(17*INDEX('UA-normalized'!$D:$D, MATCH($A53, 'UA-normalized'!$A:$A, 0))-INDEX('UA-normalized'!$E:$E, MATCH($A53, 'UA-normalized'!$A:$A, 0))&gt;0, -(17*INDEX('UA-normalized'!$D:$D, MATCH($A53, 'UA-normalized'!$A:$A, 0))-INDEX('UA-normalized'!$E:$E, MATCH($A53, 'UA-normalized'!$A:$A, 0))), 0), 0))+(IFERROR(IF(17*INDEX('KZ-normalized'!$D:$D, MATCH($A53, 'KZ-normalized'!$A:$A, 0))-INDEX('KZ-normalized'!$E:$E, MATCH($A53, 'KZ-normalized'!$A:$A, 0))&gt;0, -(17*INDEX('KZ-normalized'!$D:$D, MATCH($A53, 'KZ-normalized'!$A:$A, 0))-INDEX('KZ-normalized'!$E:$E, MATCH($A53, 'KZ-normalized'!$A:$A, 0))), 0), 0))+(IFERROR(IF(17*INDEX('UZ-normalized'!$D:$D, MATCH($A53, 'UZ-normalized'!$A:$A, 0))-INDEX('UZ-normalized'!$E:$E, MATCH($A53, 'UZ-normalized'!$A:$A, 0))&gt;0, -(17*INDEX('UZ-normalized'!$D:$D, MATCH($A53, 'UZ-normalized'!$A:$A, 0))-INDEX('UZ-normalized'!$E:$E, MATCH($A53, 'UZ-normalized'!$A:$A, 0))), 0), 0)))</f>
        <v>-10.549999999999997</v>
      </c>
      <c r="AF53" s="6">
        <f>MIN(0, N53+(IFERROR(IF(18*INDEX('UA-normalized'!$D:$D, MATCH($A53, 'UA-normalized'!$A:$A, 0))-INDEX('UA-normalized'!$E:$E, MATCH($A53, 'UA-normalized'!$A:$A, 0))&gt;0, -(18*INDEX('UA-normalized'!$D:$D, MATCH($A53, 'UA-normalized'!$A:$A, 0))-INDEX('UA-normalized'!$E:$E, MATCH($A53, 'UA-normalized'!$A:$A, 0))), 0), 0))+(IFERROR(IF(18*INDEX('KZ-normalized'!$D:$D, MATCH($A53, 'KZ-normalized'!$A:$A, 0))-INDEX('KZ-normalized'!$E:$E, MATCH($A53, 'KZ-normalized'!$A:$A, 0))&gt;0, -(18*INDEX('KZ-normalized'!$D:$D, MATCH($A53, 'KZ-normalized'!$A:$A, 0))-INDEX('KZ-normalized'!$E:$E, MATCH($A53, 'KZ-normalized'!$A:$A, 0))), 0), 0))+(IFERROR(IF(18*INDEX('UZ-normalized'!$D:$D, MATCH($A53, 'UZ-normalized'!$A:$A, 0))-INDEX('UZ-normalized'!$E:$E, MATCH($A53, 'UZ-normalized'!$A:$A, 0))&gt;0, -(18*INDEX('UZ-normalized'!$D:$D, MATCH($A53, 'UZ-normalized'!$A:$A, 0))-INDEX('UZ-normalized'!$E:$E, MATCH($A53, 'UZ-normalized'!$A:$A, 0))), 0), 0)))</f>
        <v>-11.7</v>
      </c>
      <c r="AG53" s="6">
        <f>MIN(0, N53+(IFERROR(IF(19*INDEX('UA-normalized'!$D:$D, MATCH($A53, 'UA-normalized'!$A:$A, 0))-INDEX('UA-normalized'!$E:$E, MATCH($A53, 'UA-normalized'!$A:$A, 0))&gt;0, -(19*INDEX('UA-normalized'!$D:$D, MATCH($A53, 'UA-normalized'!$A:$A, 0))-INDEX('UA-normalized'!$E:$E, MATCH($A53, 'UA-normalized'!$A:$A, 0))), 0), 0))+(IFERROR(IF(19*INDEX('KZ-normalized'!$D:$D, MATCH($A53, 'KZ-normalized'!$A:$A, 0))-INDEX('KZ-normalized'!$E:$E, MATCH($A53, 'KZ-normalized'!$A:$A, 0))&gt;0, -(19*INDEX('KZ-normalized'!$D:$D, MATCH($A53, 'KZ-normalized'!$A:$A, 0))-INDEX('KZ-normalized'!$E:$E, MATCH($A53, 'KZ-normalized'!$A:$A, 0))), 0), 0))+(IFERROR(IF(19*INDEX('UZ-normalized'!$D:$D, MATCH($A53, 'UZ-normalized'!$A:$A, 0))-INDEX('UZ-normalized'!$E:$E, MATCH($A53, 'UZ-normalized'!$A:$A, 0))&gt;0, -(19*INDEX('UZ-normalized'!$D:$D, MATCH($A53, 'UZ-normalized'!$A:$A, 0))-INDEX('UZ-normalized'!$E:$E, MATCH($A53, 'UZ-normalized'!$A:$A, 0))), 0), 0)))</f>
        <v>-12.849999999999998</v>
      </c>
      <c r="AH53" s="6">
        <f>MIN(0, N53+(IFERROR(IF(20*INDEX('UA-normalized'!$D:$D, MATCH($A53, 'UA-normalized'!$A:$A, 0))-INDEX('UA-normalized'!$E:$E, MATCH($A53, 'UA-normalized'!$A:$A, 0))&gt;0, -(20*INDEX('UA-normalized'!$D:$D, MATCH($A53, 'UA-normalized'!$A:$A, 0))-INDEX('UA-normalized'!$E:$E, MATCH($A53, 'UA-normalized'!$A:$A, 0))), 0), 0))+(IFERROR(IF(20*INDEX('KZ-normalized'!$D:$D, MATCH($A53, 'KZ-normalized'!$A:$A, 0))-INDEX('KZ-normalized'!$E:$E, MATCH($A53, 'KZ-normalized'!$A:$A, 0))&gt;0, -(20*INDEX('KZ-normalized'!$D:$D, MATCH($A53, 'KZ-normalized'!$A:$A, 0))-INDEX('KZ-normalized'!$E:$E, MATCH($A53, 'KZ-normalized'!$A:$A, 0))), 0), 0))+(IFERROR(IF(20*INDEX('UZ-normalized'!$D:$D, MATCH($A53, 'UZ-normalized'!$A:$A, 0))-INDEX('UZ-normalized'!$E:$E, MATCH($A53, 'UZ-normalized'!$A:$A, 0))&gt;0, -(20*INDEX('UZ-normalized'!$D:$D, MATCH($A53, 'UZ-normalized'!$A:$A, 0))-INDEX('UZ-normalized'!$E:$E, MATCH($A53, 'UZ-normalized'!$A:$A, 0))), 0), 0)))</f>
        <v>-14</v>
      </c>
      <c r="AI53" s="6">
        <f>MIN(0, N53+(IFERROR(IF(21*INDEX('UA-normalized'!$D:$D, MATCH($A53, 'UA-normalized'!$A:$A, 0))-INDEX('UA-normalized'!$E:$E, MATCH($A53, 'UA-normalized'!$A:$A, 0))&gt;0, -(21*INDEX('UA-normalized'!$D:$D, MATCH($A53, 'UA-normalized'!$A:$A, 0))-INDEX('UA-normalized'!$E:$E, MATCH($A53, 'UA-normalized'!$A:$A, 0))), 0), 0))+(IFERROR(IF(21*INDEX('KZ-normalized'!$D:$D, MATCH($A53, 'KZ-normalized'!$A:$A, 0))-INDEX('KZ-normalized'!$E:$E, MATCH($A53, 'KZ-normalized'!$A:$A, 0))&gt;0, -(21*INDEX('KZ-normalized'!$D:$D, MATCH($A53, 'KZ-normalized'!$A:$A, 0))-INDEX('KZ-normalized'!$E:$E, MATCH($A53, 'KZ-normalized'!$A:$A, 0))), 0), 0))+(IFERROR(IF(21*INDEX('UZ-normalized'!$D:$D, MATCH($A53, 'UZ-normalized'!$A:$A, 0))-INDEX('UZ-normalized'!$E:$E, MATCH($A53, 'UZ-normalized'!$A:$A, 0))&gt;0, -(21*INDEX('UZ-normalized'!$D:$D, MATCH($A53, 'UZ-normalized'!$A:$A, 0))-INDEX('UZ-normalized'!$E:$E, MATCH($A53, 'UZ-normalized'!$A:$A, 0))), 0), 0)))</f>
        <v>-15.149999999999999</v>
      </c>
      <c r="AJ53" s="6">
        <f>MIN(0, N53+(IFERROR(IF(22*INDEX('UA-normalized'!$D:$D, MATCH($A53, 'UA-normalized'!$A:$A, 0))-INDEX('UA-normalized'!$E:$E, MATCH($A53, 'UA-normalized'!$A:$A, 0))&gt;0, -(22*INDEX('UA-normalized'!$D:$D, MATCH($A53, 'UA-normalized'!$A:$A, 0))-INDEX('UA-normalized'!$E:$E, MATCH($A53, 'UA-normalized'!$A:$A, 0))), 0), 0))+(IFERROR(IF(22*INDEX('KZ-normalized'!$D:$D, MATCH($A53, 'KZ-normalized'!$A:$A, 0))-INDEX('KZ-normalized'!$E:$E, MATCH($A53, 'KZ-normalized'!$A:$A, 0))&gt;0, -(22*INDEX('KZ-normalized'!$D:$D, MATCH($A53, 'KZ-normalized'!$A:$A, 0))-INDEX('KZ-normalized'!$E:$E, MATCH($A53, 'KZ-normalized'!$A:$A, 0))), 0), 0))+(IFERROR(IF(22*INDEX('UZ-normalized'!$D:$D, MATCH($A53, 'UZ-normalized'!$A:$A, 0))-INDEX('UZ-normalized'!$E:$E, MATCH($A53, 'UZ-normalized'!$A:$A, 0))&gt;0, -(22*INDEX('UZ-normalized'!$D:$D, MATCH($A53, 'UZ-normalized'!$A:$A, 0))-INDEX('UZ-normalized'!$E:$E, MATCH($A53, 'UZ-normalized'!$A:$A, 0))), 0), 0)))</f>
        <v>-16.299999999999997</v>
      </c>
      <c r="AK53" s="6">
        <f>MIN(0, N53+(IFERROR(IF(23*INDEX('UA-normalized'!$D:$D, MATCH($A53, 'UA-normalized'!$A:$A, 0))-INDEX('UA-normalized'!$E:$E, MATCH($A53, 'UA-normalized'!$A:$A, 0))&gt;0, -(23*INDEX('UA-normalized'!$D:$D, MATCH($A53, 'UA-normalized'!$A:$A, 0))-INDEX('UA-normalized'!$E:$E, MATCH($A53, 'UA-normalized'!$A:$A, 0))), 0), 0))+(IFERROR(IF(23*INDEX('KZ-normalized'!$D:$D, MATCH($A53, 'KZ-normalized'!$A:$A, 0))-INDEX('KZ-normalized'!$E:$E, MATCH($A53, 'KZ-normalized'!$A:$A, 0))&gt;0, -(23*INDEX('KZ-normalized'!$D:$D, MATCH($A53, 'KZ-normalized'!$A:$A, 0))-INDEX('KZ-normalized'!$E:$E, MATCH($A53, 'KZ-normalized'!$A:$A, 0))), 0), 0))+(IFERROR(IF(23*INDEX('UZ-normalized'!$D:$D, MATCH($A53, 'UZ-normalized'!$A:$A, 0))-INDEX('UZ-normalized'!$E:$E, MATCH($A53, 'UZ-normalized'!$A:$A, 0))&gt;0, -(23*INDEX('UZ-normalized'!$D:$D, MATCH($A53, 'UZ-normalized'!$A:$A, 0))-INDEX('UZ-normalized'!$E:$E, MATCH($A53, 'UZ-normalized'!$A:$A, 0))), 0), 0)))</f>
        <v>-17.45</v>
      </c>
      <c r="AL53" s="6">
        <f>MIN(0, N53+(IFERROR(IF(24*INDEX('UA-normalized'!$D:$D, MATCH($A53, 'UA-normalized'!$A:$A, 0))-INDEX('UA-normalized'!$E:$E, MATCH($A53, 'UA-normalized'!$A:$A, 0))&gt;0, -(24*INDEX('UA-normalized'!$D:$D, MATCH($A53, 'UA-normalized'!$A:$A, 0))-INDEX('UA-normalized'!$E:$E, MATCH($A53, 'UA-normalized'!$A:$A, 0))), 0), 0))+(IFERROR(IF(24*INDEX('KZ-normalized'!$D:$D, MATCH($A53, 'KZ-normalized'!$A:$A, 0))-INDEX('KZ-normalized'!$E:$E, MATCH($A53, 'KZ-normalized'!$A:$A, 0))&gt;0, -(24*INDEX('KZ-normalized'!$D:$D, MATCH($A53, 'KZ-normalized'!$A:$A, 0))-INDEX('KZ-normalized'!$E:$E, MATCH($A53, 'KZ-normalized'!$A:$A, 0))), 0), 0))+(IFERROR(IF(24*INDEX('UZ-normalized'!$D:$D, MATCH($A53, 'UZ-normalized'!$A:$A, 0))-INDEX('UZ-normalized'!$E:$E, MATCH($A53, 'UZ-normalized'!$A:$A, 0))&gt;0, -(24*INDEX('UZ-normalized'!$D:$D, MATCH($A53, 'UZ-normalized'!$A:$A, 0))-INDEX('UZ-normalized'!$E:$E, MATCH($A53, 'UZ-normalized'!$A:$A, 0))), 0), 0)))</f>
        <v>-18.599999999999998</v>
      </c>
      <c r="AM53" s="6">
        <f>MIN(0, N53+(IFERROR(IF(25*INDEX('UA-normalized'!$D:$D, MATCH($A53, 'UA-normalized'!$A:$A, 0))-INDEX('UA-normalized'!$E:$E, MATCH($A53, 'UA-normalized'!$A:$A, 0))&gt;0, -(25*INDEX('UA-normalized'!$D:$D, MATCH($A53, 'UA-normalized'!$A:$A, 0))-INDEX('UA-normalized'!$E:$E, MATCH($A53, 'UA-normalized'!$A:$A, 0))), 0), 0))+(IFERROR(IF(25*INDEX('KZ-normalized'!$D:$D, MATCH($A53, 'KZ-normalized'!$A:$A, 0))-INDEX('KZ-normalized'!$E:$E, MATCH($A53, 'KZ-normalized'!$A:$A, 0))&gt;0, -(25*INDEX('KZ-normalized'!$D:$D, MATCH($A53, 'KZ-normalized'!$A:$A, 0))-INDEX('KZ-normalized'!$E:$E, MATCH($A53, 'KZ-normalized'!$A:$A, 0))), 0), 0))+(IFERROR(IF(25*INDEX('UZ-normalized'!$D:$D, MATCH($A53, 'UZ-normalized'!$A:$A, 0))-INDEX('UZ-normalized'!$E:$E, MATCH($A53, 'UZ-normalized'!$A:$A, 0))&gt;0, -(25*INDEX('UZ-normalized'!$D:$D, MATCH($A53, 'UZ-normalized'!$A:$A, 0))-INDEX('UZ-normalized'!$E:$E, MATCH($A53, 'UZ-normalized'!$A:$A, 0))), 0), 0)))</f>
        <v>-19.749999999999996</v>
      </c>
      <c r="AN53" s="6">
        <f>MIN(0, N53+(IFERROR(IF(26*INDEX('UA-normalized'!$D:$D, MATCH($A53, 'UA-normalized'!$A:$A, 0))-INDEX('UA-normalized'!$E:$E, MATCH($A53, 'UA-normalized'!$A:$A, 0))&gt;0, -(26*INDEX('UA-normalized'!$D:$D, MATCH($A53, 'UA-normalized'!$A:$A, 0))-INDEX('UA-normalized'!$E:$E, MATCH($A53, 'UA-normalized'!$A:$A, 0))), 0), 0))+(IFERROR(IF(26*INDEX('KZ-normalized'!$D:$D, MATCH($A53, 'KZ-normalized'!$A:$A, 0))-INDEX('KZ-normalized'!$E:$E, MATCH($A53, 'KZ-normalized'!$A:$A, 0))&gt;0, -(26*INDEX('KZ-normalized'!$D:$D, MATCH($A53, 'KZ-normalized'!$A:$A, 0))-INDEX('KZ-normalized'!$E:$E, MATCH($A53, 'KZ-normalized'!$A:$A, 0))), 0), 0))+(IFERROR(IF(26*INDEX('UZ-normalized'!$D:$D, MATCH($A53, 'UZ-normalized'!$A:$A, 0))-INDEX('UZ-normalized'!$E:$E, MATCH($A53, 'UZ-normalized'!$A:$A, 0))&gt;0, -(26*INDEX('UZ-normalized'!$D:$D, MATCH($A53, 'UZ-normalized'!$A:$A, 0))-INDEX('UZ-normalized'!$E:$E, MATCH($A53, 'UZ-normalized'!$A:$A, 0))), 0), 0)))</f>
        <v>-20.9</v>
      </c>
      <c r="AO53" s="6">
        <f>MIN(0, N53+(IFERROR(IF(27*INDEX('UA-normalized'!$D:$D, MATCH($A53, 'UA-normalized'!$A:$A, 0))-INDEX('UA-normalized'!$E:$E, MATCH($A53, 'UA-normalized'!$A:$A, 0))&gt;0, -(27*INDEX('UA-normalized'!$D:$D, MATCH($A53, 'UA-normalized'!$A:$A, 0))-INDEX('UA-normalized'!$E:$E, MATCH($A53, 'UA-normalized'!$A:$A, 0))), 0), 0))+(IFERROR(IF(27*INDEX('KZ-normalized'!$D:$D, MATCH($A53, 'KZ-normalized'!$A:$A, 0))-INDEX('KZ-normalized'!$E:$E, MATCH($A53, 'KZ-normalized'!$A:$A, 0))&gt;0, -(27*INDEX('KZ-normalized'!$D:$D, MATCH($A53, 'KZ-normalized'!$A:$A, 0))-INDEX('KZ-normalized'!$E:$E, MATCH($A53, 'KZ-normalized'!$A:$A, 0))), 0), 0))+(IFERROR(IF(27*INDEX('UZ-normalized'!$D:$D, MATCH($A53, 'UZ-normalized'!$A:$A, 0))-INDEX('UZ-normalized'!$E:$E, MATCH($A53, 'UZ-normalized'!$A:$A, 0))&gt;0, -(27*INDEX('UZ-normalized'!$D:$D, MATCH($A53, 'UZ-normalized'!$A:$A, 0))-INDEX('UZ-normalized'!$E:$E, MATCH($A53, 'UZ-normalized'!$A:$A, 0))), 0), 0)))</f>
        <v>-22.049999999999997</v>
      </c>
      <c r="AP53" s="6">
        <f>MIN(0, N53+(IFERROR(IF(28*INDEX('UA-normalized'!$D:$D, MATCH($A53, 'UA-normalized'!$A:$A, 0))-INDEX('UA-normalized'!$E:$E, MATCH($A53, 'UA-normalized'!$A:$A, 0))&gt;0, -(28*INDEX('UA-normalized'!$D:$D, MATCH($A53, 'UA-normalized'!$A:$A, 0))-INDEX('UA-normalized'!$E:$E, MATCH($A53, 'UA-normalized'!$A:$A, 0))), 0), 0))+(IFERROR(IF(28*INDEX('KZ-normalized'!$D:$D, MATCH($A53, 'KZ-normalized'!$A:$A, 0))-INDEX('KZ-normalized'!$E:$E, MATCH($A53, 'KZ-normalized'!$A:$A, 0))&gt;0, -(28*INDEX('KZ-normalized'!$D:$D, MATCH($A53, 'KZ-normalized'!$A:$A, 0))-INDEX('KZ-normalized'!$E:$E, MATCH($A53, 'KZ-normalized'!$A:$A, 0))), 0), 0))+(IFERROR(IF(28*INDEX('UZ-normalized'!$D:$D, MATCH($A53, 'UZ-normalized'!$A:$A, 0))-INDEX('UZ-normalized'!$E:$E, MATCH($A53, 'UZ-normalized'!$A:$A, 0))&gt;0, -(28*INDEX('UZ-normalized'!$D:$D, MATCH($A53, 'UZ-normalized'!$A:$A, 0))-INDEX('UZ-normalized'!$E:$E, MATCH($A53, 'UZ-normalized'!$A:$A, 0))), 0), 0)))</f>
        <v>-23.199999999999996</v>
      </c>
      <c r="AQ53" s="6">
        <f>MIN(0, N53+(IFERROR(IF(29*INDEX('UA-normalized'!$D:$D, MATCH($A53, 'UA-normalized'!$A:$A, 0))-INDEX('UA-normalized'!$E:$E, MATCH($A53, 'UA-normalized'!$A:$A, 0))&gt;0, -(29*INDEX('UA-normalized'!$D:$D, MATCH($A53, 'UA-normalized'!$A:$A, 0))-INDEX('UA-normalized'!$E:$E, MATCH($A53, 'UA-normalized'!$A:$A, 0))), 0), 0))+(IFERROR(IF(29*INDEX('KZ-normalized'!$D:$D, MATCH($A53, 'KZ-normalized'!$A:$A, 0))-INDEX('KZ-normalized'!$E:$E, MATCH($A53, 'KZ-normalized'!$A:$A, 0))&gt;0, -(29*INDEX('KZ-normalized'!$D:$D, MATCH($A53, 'KZ-normalized'!$A:$A, 0))-INDEX('KZ-normalized'!$E:$E, MATCH($A53, 'KZ-normalized'!$A:$A, 0))), 0), 0))+(IFERROR(IF(29*INDEX('UZ-normalized'!$D:$D, MATCH($A53, 'UZ-normalized'!$A:$A, 0))-INDEX('UZ-normalized'!$E:$E, MATCH($A53, 'UZ-normalized'!$A:$A, 0))&gt;0, -(29*INDEX('UZ-normalized'!$D:$D, MATCH($A53, 'UZ-normalized'!$A:$A, 0))-INDEX('UZ-normalized'!$E:$E, MATCH($A53, 'UZ-normalized'!$A:$A, 0))), 0), 0)))</f>
        <v>-24.349999999999994</v>
      </c>
      <c r="AR53" s="6">
        <f>MIN(0, N53+(IFERROR(IF(30*INDEX('UA-normalized'!$D:$D, MATCH($A53, 'UA-normalized'!$A:$A, 0))-INDEX('UA-normalized'!$E:$E, MATCH($A53, 'UA-normalized'!$A:$A, 0))&gt;0, -(30*INDEX('UA-normalized'!$D:$D, MATCH($A53, 'UA-normalized'!$A:$A, 0))-INDEX('UA-normalized'!$E:$E, MATCH($A53, 'UA-normalized'!$A:$A, 0))), 0), 0))+(IFERROR(IF(30*INDEX('KZ-normalized'!$D:$D, MATCH($A53, 'KZ-normalized'!$A:$A, 0))-INDEX('KZ-normalized'!$E:$E, MATCH($A53, 'KZ-normalized'!$A:$A, 0))&gt;0, -(30*INDEX('KZ-normalized'!$D:$D, MATCH($A53, 'KZ-normalized'!$A:$A, 0))-INDEX('KZ-normalized'!$E:$E, MATCH($A53, 'KZ-normalized'!$A:$A, 0))), 0), 0))+(IFERROR(IF(30*INDEX('UZ-normalized'!$D:$D, MATCH($A53, 'UZ-normalized'!$A:$A, 0))-INDEX('UZ-normalized'!$E:$E, MATCH($A53, 'UZ-normalized'!$A:$A, 0))&gt;0, -(30*INDEX('UZ-normalized'!$D:$D, MATCH($A53, 'UZ-normalized'!$A:$A, 0))-INDEX('UZ-normalized'!$E:$E, MATCH($A53, 'UZ-normalized'!$A:$A, 0))), 0), 0)))</f>
        <v>-25.5</v>
      </c>
    </row>
    <row r="54" spans="1:44" x14ac:dyDescent="0.25">
      <c r="A54" s="8" t="s">
        <v>153</v>
      </c>
      <c r="B54" s="8" t="s">
        <v>83</v>
      </c>
      <c r="C54" s="8" t="s">
        <v>145</v>
      </c>
      <c r="D54" s="8" t="s">
        <v>154</v>
      </c>
      <c r="N54">
        <f t="shared" si="0"/>
        <v>0</v>
      </c>
      <c r="O54" s="6">
        <f>MIN(0, N54+(IFERROR(IF(1*INDEX('UA-normalized'!$D:$D, MATCH($A54, 'UA-normalized'!$A:$A, 0))-INDEX('UA-normalized'!$E:$E, MATCH($A54, 'UA-normalized'!$A:$A, 0))&gt;0, -(1*INDEX('UA-normalized'!$D:$D, MATCH($A54, 'UA-normalized'!$A:$A, 0))-INDEX('UA-normalized'!$E:$E, MATCH($A54, 'UA-normalized'!$A:$A, 0))), 0), 0))+(IFERROR(IF(1*INDEX('KZ-normalized'!$D:$D, MATCH($A54, 'KZ-normalized'!$A:$A, 0))-INDEX('KZ-normalized'!$E:$E, MATCH($A54, 'KZ-normalized'!$A:$A, 0))&gt;0, -(1*INDEX('KZ-normalized'!$D:$D, MATCH($A54, 'KZ-normalized'!$A:$A, 0))-INDEX('KZ-normalized'!$E:$E, MATCH($A54, 'KZ-normalized'!$A:$A, 0))), 0), 0))+(IFERROR(IF(1*INDEX('UZ-normalized'!$D:$D, MATCH($A54, 'UZ-normalized'!$A:$A, 0))-INDEX('UZ-normalized'!$E:$E, MATCH($A54, 'UZ-normalized'!$A:$A, 0))&gt;0, -(1*INDEX('UZ-normalized'!$D:$D, MATCH($A54, 'UZ-normalized'!$A:$A, 0))-INDEX('UZ-normalized'!$E:$E, MATCH($A54, 'UZ-normalized'!$A:$A, 0))), 0), 0)))</f>
        <v>0</v>
      </c>
      <c r="P54" s="6">
        <f>MIN(0, N54+(IFERROR(IF(2*INDEX('UA-normalized'!$D:$D, MATCH($A54, 'UA-normalized'!$A:$A, 0))-INDEX('UA-normalized'!$E:$E, MATCH($A54, 'UA-normalized'!$A:$A, 0))&gt;0, -(2*INDEX('UA-normalized'!$D:$D, MATCH($A54, 'UA-normalized'!$A:$A, 0))-INDEX('UA-normalized'!$E:$E, MATCH($A54, 'UA-normalized'!$A:$A, 0))), 0), 0))+(IFERROR(IF(2*INDEX('KZ-normalized'!$D:$D, MATCH($A54, 'KZ-normalized'!$A:$A, 0))-INDEX('KZ-normalized'!$E:$E, MATCH($A54, 'KZ-normalized'!$A:$A, 0))&gt;0, -(2*INDEX('KZ-normalized'!$D:$D, MATCH($A54, 'KZ-normalized'!$A:$A, 0))-INDEX('KZ-normalized'!$E:$E, MATCH($A54, 'KZ-normalized'!$A:$A, 0))), 0), 0))+(IFERROR(IF(2*INDEX('UZ-normalized'!$D:$D, MATCH($A54, 'UZ-normalized'!$A:$A, 0))-INDEX('UZ-normalized'!$E:$E, MATCH($A54, 'UZ-normalized'!$A:$A, 0))&gt;0, -(2*INDEX('UZ-normalized'!$D:$D, MATCH($A54, 'UZ-normalized'!$A:$A, 0))-INDEX('UZ-normalized'!$E:$E, MATCH($A54, 'UZ-normalized'!$A:$A, 0))), 0), 0)))</f>
        <v>0</v>
      </c>
      <c r="Q54" s="6">
        <f>MIN(0, N54+(IFERROR(IF(3*INDEX('UA-normalized'!$D:$D, MATCH($A54, 'UA-normalized'!$A:$A, 0))-INDEX('UA-normalized'!$E:$E, MATCH($A54, 'UA-normalized'!$A:$A, 0))&gt;0, -(3*INDEX('UA-normalized'!$D:$D, MATCH($A54, 'UA-normalized'!$A:$A, 0))-INDEX('UA-normalized'!$E:$E, MATCH($A54, 'UA-normalized'!$A:$A, 0))), 0), 0))+(IFERROR(IF(3*INDEX('KZ-normalized'!$D:$D, MATCH($A54, 'KZ-normalized'!$A:$A, 0))-INDEX('KZ-normalized'!$E:$E, MATCH($A54, 'KZ-normalized'!$A:$A, 0))&gt;0, -(3*INDEX('KZ-normalized'!$D:$D, MATCH($A54, 'KZ-normalized'!$A:$A, 0))-INDEX('KZ-normalized'!$E:$E, MATCH($A54, 'KZ-normalized'!$A:$A, 0))), 0), 0))+(IFERROR(IF(3*INDEX('UZ-normalized'!$D:$D, MATCH($A54, 'UZ-normalized'!$A:$A, 0))-INDEX('UZ-normalized'!$E:$E, MATCH($A54, 'UZ-normalized'!$A:$A, 0))&gt;0, -(3*INDEX('UZ-normalized'!$D:$D, MATCH($A54, 'UZ-normalized'!$A:$A, 0))-INDEX('UZ-normalized'!$E:$E, MATCH($A54, 'UZ-normalized'!$A:$A, 0))), 0), 0)))</f>
        <v>0</v>
      </c>
      <c r="R54" s="6">
        <f>MIN(0, N54+(IFERROR(IF(4*INDEX('UA-normalized'!$D:$D, MATCH($A54, 'UA-normalized'!$A:$A, 0))-INDEX('UA-normalized'!$E:$E, MATCH($A54, 'UA-normalized'!$A:$A, 0))&gt;0, -(4*INDEX('UA-normalized'!$D:$D, MATCH($A54, 'UA-normalized'!$A:$A, 0))-INDEX('UA-normalized'!$E:$E, MATCH($A54, 'UA-normalized'!$A:$A, 0))), 0), 0))+(IFERROR(IF(4*INDEX('KZ-normalized'!$D:$D, MATCH($A54, 'KZ-normalized'!$A:$A, 0))-INDEX('KZ-normalized'!$E:$E, MATCH($A54, 'KZ-normalized'!$A:$A, 0))&gt;0, -(4*INDEX('KZ-normalized'!$D:$D, MATCH($A54, 'KZ-normalized'!$A:$A, 0))-INDEX('KZ-normalized'!$E:$E, MATCH($A54, 'KZ-normalized'!$A:$A, 0))), 0), 0))+(IFERROR(IF(4*INDEX('UZ-normalized'!$D:$D, MATCH($A54, 'UZ-normalized'!$A:$A, 0))-INDEX('UZ-normalized'!$E:$E, MATCH($A54, 'UZ-normalized'!$A:$A, 0))&gt;0, -(4*INDEX('UZ-normalized'!$D:$D, MATCH($A54, 'UZ-normalized'!$A:$A, 0))-INDEX('UZ-normalized'!$E:$E, MATCH($A54, 'UZ-normalized'!$A:$A, 0))), 0), 0)))</f>
        <v>0</v>
      </c>
      <c r="S54" s="6">
        <f>MIN(0, N54+(IFERROR(IF(5*INDEX('UA-normalized'!$D:$D, MATCH($A54, 'UA-normalized'!$A:$A, 0))-INDEX('UA-normalized'!$E:$E, MATCH($A54, 'UA-normalized'!$A:$A, 0))&gt;0, -(5*INDEX('UA-normalized'!$D:$D, MATCH($A54, 'UA-normalized'!$A:$A, 0))-INDEX('UA-normalized'!$E:$E, MATCH($A54, 'UA-normalized'!$A:$A, 0))), 0), 0))+(IFERROR(IF(5*INDEX('KZ-normalized'!$D:$D, MATCH($A54, 'KZ-normalized'!$A:$A, 0))-INDEX('KZ-normalized'!$E:$E, MATCH($A54, 'KZ-normalized'!$A:$A, 0))&gt;0, -(5*INDEX('KZ-normalized'!$D:$D, MATCH($A54, 'KZ-normalized'!$A:$A, 0))-INDEX('KZ-normalized'!$E:$E, MATCH($A54, 'KZ-normalized'!$A:$A, 0))), 0), 0))+(IFERROR(IF(5*INDEX('UZ-normalized'!$D:$D, MATCH($A54, 'UZ-normalized'!$A:$A, 0))-INDEX('UZ-normalized'!$E:$E, MATCH($A54, 'UZ-normalized'!$A:$A, 0))&gt;0, -(5*INDEX('UZ-normalized'!$D:$D, MATCH($A54, 'UZ-normalized'!$A:$A, 0))-INDEX('UZ-normalized'!$E:$E, MATCH($A54, 'UZ-normalized'!$A:$A, 0))), 0), 0)))</f>
        <v>0</v>
      </c>
      <c r="T54" s="6">
        <f>MIN(0, N54+(IFERROR(IF(6*INDEX('UA-normalized'!$D:$D, MATCH($A54, 'UA-normalized'!$A:$A, 0))-INDEX('UA-normalized'!$E:$E, MATCH($A54, 'UA-normalized'!$A:$A, 0))&gt;0, -(6*INDEX('UA-normalized'!$D:$D, MATCH($A54, 'UA-normalized'!$A:$A, 0))-INDEX('UA-normalized'!$E:$E, MATCH($A54, 'UA-normalized'!$A:$A, 0))), 0), 0))+(IFERROR(IF(6*INDEX('KZ-normalized'!$D:$D, MATCH($A54, 'KZ-normalized'!$A:$A, 0))-INDEX('KZ-normalized'!$E:$E, MATCH($A54, 'KZ-normalized'!$A:$A, 0))&gt;0, -(6*INDEX('KZ-normalized'!$D:$D, MATCH($A54, 'KZ-normalized'!$A:$A, 0))-INDEX('KZ-normalized'!$E:$E, MATCH($A54, 'KZ-normalized'!$A:$A, 0))), 0), 0))+(IFERROR(IF(6*INDEX('UZ-normalized'!$D:$D, MATCH($A54, 'UZ-normalized'!$A:$A, 0))-INDEX('UZ-normalized'!$E:$E, MATCH($A54, 'UZ-normalized'!$A:$A, 0))&gt;0, -(6*INDEX('UZ-normalized'!$D:$D, MATCH($A54, 'UZ-normalized'!$A:$A, 0))-INDEX('UZ-normalized'!$E:$E, MATCH($A54, 'UZ-normalized'!$A:$A, 0))), 0), 0)))</f>
        <v>0</v>
      </c>
      <c r="U54" s="6">
        <f>MIN(0, N54+(IFERROR(IF(7*INDEX('UA-normalized'!$D:$D, MATCH($A54, 'UA-normalized'!$A:$A, 0))-INDEX('UA-normalized'!$E:$E, MATCH($A54, 'UA-normalized'!$A:$A, 0))&gt;0, -(7*INDEX('UA-normalized'!$D:$D, MATCH($A54, 'UA-normalized'!$A:$A, 0))-INDEX('UA-normalized'!$E:$E, MATCH($A54, 'UA-normalized'!$A:$A, 0))), 0), 0))+(IFERROR(IF(7*INDEX('KZ-normalized'!$D:$D, MATCH($A54, 'KZ-normalized'!$A:$A, 0))-INDEX('KZ-normalized'!$E:$E, MATCH($A54, 'KZ-normalized'!$A:$A, 0))&gt;0, -(7*INDEX('KZ-normalized'!$D:$D, MATCH($A54, 'KZ-normalized'!$A:$A, 0))-INDEX('KZ-normalized'!$E:$E, MATCH($A54, 'KZ-normalized'!$A:$A, 0))), 0), 0))+(IFERROR(IF(7*INDEX('UZ-normalized'!$D:$D, MATCH($A54, 'UZ-normalized'!$A:$A, 0))-INDEX('UZ-normalized'!$E:$E, MATCH($A54, 'UZ-normalized'!$A:$A, 0))&gt;0, -(7*INDEX('UZ-normalized'!$D:$D, MATCH($A54, 'UZ-normalized'!$A:$A, 0))-INDEX('UZ-normalized'!$E:$E, MATCH($A54, 'UZ-normalized'!$A:$A, 0))), 0), 0)))</f>
        <v>0</v>
      </c>
      <c r="V54" s="6">
        <f>MIN(0, N54+(IFERROR(IF(8*INDEX('UA-normalized'!$D:$D, MATCH($A54, 'UA-normalized'!$A:$A, 0))-INDEX('UA-normalized'!$E:$E, MATCH($A54, 'UA-normalized'!$A:$A, 0))&gt;0, -(8*INDEX('UA-normalized'!$D:$D, MATCH($A54, 'UA-normalized'!$A:$A, 0))-INDEX('UA-normalized'!$E:$E, MATCH($A54, 'UA-normalized'!$A:$A, 0))), 0), 0))+(IFERROR(IF(8*INDEX('KZ-normalized'!$D:$D, MATCH($A54, 'KZ-normalized'!$A:$A, 0))-INDEX('KZ-normalized'!$E:$E, MATCH($A54, 'KZ-normalized'!$A:$A, 0))&gt;0, -(8*INDEX('KZ-normalized'!$D:$D, MATCH($A54, 'KZ-normalized'!$A:$A, 0))-INDEX('KZ-normalized'!$E:$E, MATCH($A54, 'KZ-normalized'!$A:$A, 0))), 0), 0))+(IFERROR(IF(8*INDEX('UZ-normalized'!$D:$D, MATCH($A54, 'UZ-normalized'!$A:$A, 0))-INDEX('UZ-normalized'!$E:$E, MATCH($A54, 'UZ-normalized'!$A:$A, 0))&gt;0, -(8*INDEX('UZ-normalized'!$D:$D, MATCH($A54, 'UZ-normalized'!$A:$A, 0))-INDEX('UZ-normalized'!$E:$E, MATCH($A54, 'UZ-normalized'!$A:$A, 0))), 0), 0)))</f>
        <v>0</v>
      </c>
      <c r="W54" s="6">
        <f>MIN(0, N54+(IFERROR(IF(9*INDEX('UA-normalized'!$D:$D, MATCH($A54, 'UA-normalized'!$A:$A, 0))-INDEX('UA-normalized'!$E:$E, MATCH($A54, 'UA-normalized'!$A:$A, 0))&gt;0, -(9*INDEX('UA-normalized'!$D:$D, MATCH($A54, 'UA-normalized'!$A:$A, 0))-INDEX('UA-normalized'!$E:$E, MATCH($A54, 'UA-normalized'!$A:$A, 0))), 0), 0))+(IFERROR(IF(9*INDEX('KZ-normalized'!$D:$D, MATCH($A54, 'KZ-normalized'!$A:$A, 0))-INDEX('KZ-normalized'!$E:$E, MATCH($A54, 'KZ-normalized'!$A:$A, 0))&gt;0, -(9*INDEX('KZ-normalized'!$D:$D, MATCH($A54, 'KZ-normalized'!$A:$A, 0))-INDEX('KZ-normalized'!$E:$E, MATCH($A54, 'KZ-normalized'!$A:$A, 0))), 0), 0))+(IFERROR(IF(9*INDEX('UZ-normalized'!$D:$D, MATCH($A54, 'UZ-normalized'!$A:$A, 0))-INDEX('UZ-normalized'!$E:$E, MATCH($A54, 'UZ-normalized'!$A:$A, 0))&gt;0, -(9*INDEX('UZ-normalized'!$D:$D, MATCH($A54, 'UZ-normalized'!$A:$A, 0))-INDEX('UZ-normalized'!$E:$E, MATCH($A54, 'UZ-normalized'!$A:$A, 0))), 0), 0)))</f>
        <v>0</v>
      </c>
      <c r="X54" s="6">
        <f>MIN(0, N54+(IFERROR(IF(10*INDEX('UA-normalized'!$D:$D, MATCH($A54, 'UA-normalized'!$A:$A, 0))-INDEX('UA-normalized'!$E:$E, MATCH($A54, 'UA-normalized'!$A:$A, 0))&gt;0, -(10*INDEX('UA-normalized'!$D:$D, MATCH($A54, 'UA-normalized'!$A:$A, 0))-INDEX('UA-normalized'!$E:$E, MATCH($A54, 'UA-normalized'!$A:$A, 0))), 0), 0))+(IFERROR(IF(10*INDEX('KZ-normalized'!$D:$D, MATCH($A54, 'KZ-normalized'!$A:$A, 0))-INDEX('KZ-normalized'!$E:$E, MATCH($A54, 'KZ-normalized'!$A:$A, 0))&gt;0, -(10*INDEX('KZ-normalized'!$D:$D, MATCH($A54, 'KZ-normalized'!$A:$A, 0))-INDEX('KZ-normalized'!$E:$E, MATCH($A54, 'KZ-normalized'!$A:$A, 0))), 0), 0))+(IFERROR(IF(10*INDEX('UZ-normalized'!$D:$D, MATCH($A54, 'UZ-normalized'!$A:$A, 0))-INDEX('UZ-normalized'!$E:$E, MATCH($A54, 'UZ-normalized'!$A:$A, 0))&gt;0, -(10*INDEX('UZ-normalized'!$D:$D, MATCH($A54, 'UZ-normalized'!$A:$A, 0))-INDEX('UZ-normalized'!$E:$E, MATCH($A54, 'UZ-normalized'!$A:$A, 0))), 0), 0)))</f>
        <v>0</v>
      </c>
      <c r="Y54" s="6">
        <f>MIN(0, N54+(IFERROR(IF(11*INDEX('UA-normalized'!$D:$D, MATCH($A54, 'UA-normalized'!$A:$A, 0))-INDEX('UA-normalized'!$E:$E, MATCH($A54, 'UA-normalized'!$A:$A, 0))&gt;0, -(11*INDEX('UA-normalized'!$D:$D, MATCH($A54, 'UA-normalized'!$A:$A, 0))-INDEX('UA-normalized'!$E:$E, MATCH($A54, 'UA-normalized'!$A:$A, 0))), 0), 0))+(IFERROR(IF(11*INDEX('KZ-normalized'!$D:$D, MATCH($A54, 'KZ-normalized'!$A:$A, 0))-INDEX('KZ-normalized'!$E:$E, MATCH($A54, 'KZ-normalized'!$A:$A, 0))&gt;0, -(11*INDEX('KZ-normalized'!$D:$D, MATCH($A54, 'KZ-normalized'!$A:$A, 0))-INDEX('KZ-normalized'!$E:$E, MATCH($A54, 'KZ-normalized'!$A:$A, 0))), 0), 0))+(IFERROR(IF(11*INDEX('UZ-normalized'!$D:$D, MATCH($A54, 'UZ-normalized'!$A:$A, 0))-INDEX('UZ-normalized'!$E:$E, MATCH($A54, 'UZ-normalized'!$A:$A, 0))&gt;0, -(11*INDEX('UZ-normalized'!$D:$D, MATCH($A54, 'UZ-normalized'!$A:$A, 0))-INDEX('UZ-normalized'!$E:$E, MATCH($A54, 'UZ-normalized'!$A:$A, 0))), 0), 0)))</f>
        <v>0</v>
      </c>
      <c r="Z54" s="6">
        <f>MIN(0, N54+(IFERROR(IF(12*INDEX('UA-normalized'!$D:$D, MATCH($A54, 'UA-normalized'!$A:$A, 0))-INDEX('UA-normalized'!$E:$E, MATCH($A54, 'UA-normalized'!$A:$A, 0))&gt;0, -(12*INDEX('UA-normalized'!$D:$D, MATCH($A54, 'UA-normalized'!$A:$A, 0))-INDEX('UA-normalized'!$E:$E, MATCH($A54, 'UA-normalized'!$A:$A, 0))), 0), 0))+(IFERROR(IF(12*INDEX('KZ-normalized'!$D:$D, MATCH($A54, 'KZ-normalized'!$A:$A, 0))-INDEX('KZ-normalized'!$E:$E, MATCH($A54, 'KZ-normalized'!$A:$A, 0))&gt;0, -(12*INDEX('KZ-normalized'!$D:$D, MATCH($A54, 'KZ-normalized'!$A:$A, 0))-INDEX('KZ-normalized'!$E:$E, MATCH($A54, 'KZ-normalized'!$A:$A, 0))), 0), 0))+(IFERROR(IF(12*INDEX('UZ-normalized'!$D:$D, MATCH($A54, 'UZ-normalized'!$A:$A, 0))-INDEX('UZ-normalized'!$E:$E, MATCH($A54, 'UZ-normalized'!$A:$A, 0))&gt;0, -(12*INDEX('UZ-normalized'!$D:$D, MATCH($A54, 'UZ-normalized'!$A:$A, 0))-INDEX('UZ-normalized'!$E:$E, MATCH($A54, 'UZ-normalized'!$A:$A, 0))), 0), 0)))</f>
        <v>0</v>
      </c>
      <c r="AA54" s="6">
        <f>MIN(0, N54+(IFERROR(IF(13*INDEX('UA-normalized'!$D:$D, MATCH($A54, 'UA-normalized'!$A:$A, 0))-INDEX('UA-normalized'!$E:$E, MATCH($A54, 'UA-normalized'!$A:$A, 0))&gt;0, -(13*INDEX('UA-normalized'!$D:$D, MATCH($A54, 'UA-normalized'!$A:$A, 0))-INDEX('UA-normalized'!$E:$E, MATCH($A54, 'UA-normalized'!$A:$A, 0))), 0), 0))+(IFERROR(IF(13*INDEX('KZ-normalized'!$D:$D, MATCH($A54, 'KZ-normalized'!$A:$A, 0))-INDEX('KZ-normalized'!$E:$E, MATCH($A54, 'KZ-normalized'!$A:$A, 0))&gt;0, -(13*INDEX('KZ-normalized'!$D:$D, MATCH($A54, 'KZ-normalized'!$A:$A, 0))-INDEX('KZ-normalized'!$E:$E, MATCH($A54, 'KZ-normalized'!$A:$A, 0))), 0), 0))+(IFERROR(IF(13*INDEX('UZ-normalized'!$D:$D, MATCH($A54, 'UZ-normalized'!$A:$A, 0))-INDEX('UZ-normalized'!$E:$E, MATCH($A54, 'UZ-normalized'!$A:$A, 0))&gt;0, -(13*INDEX('UZ-normalized'!$D:$D, MATCH($A54, 'UZ-normalized'!$A:$A, 0))-INDEX('UZ-normalized'!$E:$E, MATCH($A54, 'UZ-normalized'!$A:$A, 0))), 0), 0)))</f>
        <v>0</v>
      </c>
      <c r="AB54" s="6">
        <f>MIN(0, N54+(IFERROR(IF(14*INDEX('UA-normalized'!$D:$D, MATCH($A54, 'UA-normalized'!$A:$A, 0))-INDEX('UA-normalized'!$E:$E, MATCH($A54, 'UA-normalized'!$A:$A, 0))&gt;0, -(14*INDEX('UA-normalized'!$D:$D, MATCH($A54, 'UA-normalized'!$A:$A, 0))-INDEX('UA-normalized'!$E:$E, MATCH($A54, 'UA-normalized'!$A:$A, 0))), 0), 0))+(IFERROR(IF(14*INDEX('KZ-normalized'!$D:$D, MATCH($A54, 'KZ-normalized'!$A:$A, 0))-INDEX('KZ-normalized'!$E:$E, MATCH($A54, 'KZ-normalized'!$A:$A, 0))&gt;0, -(14*INDEX('KZ-normalized'!$D:$D, MATCH($A54, 'KZ-normalized'!$A:$A, 0))-INDEX('KZ-normalized'!$E:$E, MATCH($A54, 'KZ-normalized'!$A:$A, 0))), 0), 0))+(IFERROR(IF(14*INDEX('UZ-normalized'!$D:$D, MATCH($A54, 'UZ-normalized'!$A:$A, 0))-INDEX('UZ-normalized'!$E:$E, MATCH($A54, 'UZ-normalized'!$A:$A, 0))&gt;0, -(14*INDEX('UZ-normalized'!$D:$D, MATCH($A54, 'UZ-normalized'!$A:$A, 0))-INDEX('UZ-normalized'!$E:$E, MATCH($A54, 'UZ-normalized'!$A:$A, 0))), 0), 0)))</f>
        <v>0</v>
      </c>
      <c r="AC54" s="6">
        <f>MIN(0, N54+(IFERROR(IF(15*INDEX('UA-normalized'!$D:$D, MATCH($A54, 'UA-normalized'!$A:$A, 0))-INDEX('UA-normalized'!$E:$E, MATCH($A54, 'UA-normalized'!$A:$A, 0))&gt;0, -(15*INDEX('UA-normalized'!$D:$D, MATCH($A54, 'UA-normalized'!$A:$A, 0))-INDEX('UA-normalized'!$E:$E, MATCH($A54, 'UA-normalized'!$A:$A, 0))), 0), 0))+(IFERROR(IF(15*INDEX('KZ-normalized'!$D:$D, MATCH($A54, 'KZ-normalized'!$A:$A, 0))-INDEX('KZ-normalized'!$E:$E, MATCH($A54, 'KZ-normalized'!$A:$A, 0))&gt;0, -(15*INDEX('KZ-normalized'!$D:$D, MATCH($A54, 'KZ-normalized'!$A:$A, 0))-INDEX('KZ-normalized'!$E:$E, MATCH($A54, 'KZ-normalized'!$A:$A, 0))), 0), 0))+(IFERROR(IF(15*INDEX('UZ-normalized'!$D:$D, MATCH($A54, 'UZ-normalized'!$A:$A, 0))-INDEX('UZ-normalized'!$E:$E, MATCH($A54, 'UZ-normalized'!$A:$A, 0))&gt;0, -(15*INDEX('UZ-normalized'!$D:$D, MATCH($A54, 'UZ-normalized'!$A:$A, 0))-INDEX('UZ-normalized'!$E:$E, MATCH($A54, 'UZ-normalized'!$A:$A, 0))), 0), 0)))</f>
        <v>0</v>
      </c>
      <c r="AD54" s="6">
        <f>MIN(0, N54+(IFERROR(IF(16*INDEX('UA-normalized'!$D:$D, MATCH($A54, 'UA-normalized'!$A:$A, 0))-INDEX('UA-normalized'!$E:$E, MATCH($A54, 'UA-normalized'!$A:$A, 0))&gt;0, -(16*INDEX('UA-normalized'!$D:$D, MATCH($A54, 'UA-normalized'!$A:$A, 0))-INDEX('UA-normalized'!$E:$E, MATCH($A54, 'UA-normalized'!$A:$A, 0))), 0), 0))+(IFERROR(IF(16*INDEX('KZ-normalized'!$D:$D, MATCH($A54, 'KZ-normalized'!$A:$A, 0))-INDEX('KZ-normalized'!$E:$E, MATCH($A54, 'KZ-normalized'!$A:$A, 0))&gt;0, -(16*INDEX('KZ-normalized'!$D:$D, MATCH($A54, 'KZ-normalized'!$A:$A, 0))-INDEX('KZ-normalized'!$E:$E, MATCH($A54, 'KZ-normalized'!$A:$A, 0))), 0), 0))+(IFERROR(IF(16*INDEX('UZ-normalized'!$D:$D, MATCH($A54, 'UZ-normalized'!$A:$A, 0))-INDEX('UZ-normalized'!$E:$E, MATCH($A54, 'UZ-normalized'!$A:$A, 0))&gt;0, -(16*INDEX('UZ-normalized'!$D:$D, MATCH($A54, 'UZ-normalized'!$A:$A, 0))-INDEX('UZ-normalized'!$E:$E, MATCH($A54, 'UZ-normalized'!$A:$A, 0))), 0), 0)))</f>
        <v>0</v>
      </c>
      <c r="AE54" s="6">
        <f>MIN(0, N54+(IFERROR(IF(17*INDEX('UA-normalized'!$D:$D, MATCH($A54, 'UA-normalized'!$A:$A, 0))-INDEX('UA-normalized'!$E:$E, MATCH($A54, 'UA-normalized'!$A:$A, 0))&gt;0, -(17*INDEX('UA-normalized'!$D:$D, MATCH($A54, 'UA-normalized'!$A:$A, 0))-INDEX('UA-normalized'!$E:$E, MATCH($A54, 'UA-normalized'!$A:$A, 0))), 0), 0))+(IFERROR(IF(17*INDEX('KZ-normalized'!$D:$D, MATCH($A54, 'KZ-normalized'!$A:$A, 0))-INDEX('KZ-normalized'!$E:$E, MATCH($A54, 'KZ-normalized'!$A:$A, 0))&gt;0, -(17*INDEX('KZ-normalized'!$D:$D, MATCH($A54, 'KZ-normalized'!$A:$A, 0))-INDEX('KZ-normalized'!$E:$E, MATCH($A54, 'KZ-normalized'!$A:$A, 0))), 0), 0))+(IFERROR(IF(17*INDEX('UZ-normalized'!$D:$D, MATCH($A54, 'UZ-normalized'!$A:$A, 0))-INDEX('UZ-normalized'!$E:$E, MATCH($A54, 'UZ-normalized'!$A:$A, 0))&gt;0, -(17*INDEX('UZ-normalized'!$D:$D, MATCH($A54, 'UZ-normalized'!$A:$A, 0))-INDEX('UZ-normalized'!$E:$E, MATCH($A54, 'UZ-normalized'!$A:$A, 0))), 0), 0)))</f>
        <v>-0.64000000000000057</v>
      </c>
      <c r="AF54" s="6">
        <f>MIN(0, N54+(IFERROR(IF(18*INDEX('UA-normalized'!$D:$D, MATCH($A54, 'UA-normalized'!$A:$A, 0))-INDEX('UA-normalized'!$E:$E, MATCH($A54, 'UA-normalized'!$A:$A, 0))&gt;0, -(18*INDEX('UA-normalized'!$D:$D, MATCH($A54, 'UA-normalized'!$A:$A, 0))-INDEX('UA-normalized'!$E:$E, MATCH($A54, 'UA-normalized'!$A:$A, 0))), 0), 0))+(IFERROR(IF(18*INDEX('KZ-normalized'!$D:$D, MATCH($A54, 'KZ-normalized'!$A:$A, 0))-INDEX('KZ-normalized'!$E:$E, MATCH($A54, 'KZ-normalized'!$A:$A, 0))&gt;0, -(18*INDEX('KZ-normalized'!$D:$D, MATCH($A54, 'KZ-normalized'!$A:$A, 0))-INDEX('KZ-normalized'!$E:$E, MATCH($A54, 'KZ-normalized'!$A:$A, 0))), 0), 0))+(IFERROR(IF(18*INDEX('UZ-normalized'!$D:$D, MATCH($A54, 'UZ-normalized'!$A:$A, 0))-INDEX('UZ-normalized'!$E:$E, MATCH($A54, 'UZ-normalized'!$A:$A, 0))&gt;0, -(18*INDEX('UZ-normalized'!$D:$D, MATCH($A54, 'UZ-normalized'!$A:$A, 0))-INDEX('UZ-normalized'!$E:$E, MATCH($A54, 'UZ-normalized'!$A:$A, 0))), 0), 0)))</f>
        <v>-1.5600000000000023</v>
      </c>
      <c r="AG54" s="6">
        <f>MIN(0, N54+(IFERROR(IF(19*INDEX('UA-normalized'!$D:$D, MATCH($A54, 'UA-normalized'!$A:$A, 0))-INDEX('UA-normalized'!$E:$E, MATCH($A54, 'UA-normalized'!$A:$A, 0))&gt;0, -(19*INDEX('UA-normalized'!$D:$D, MATCH($A54, 'UA-normalized'!$A:$A, 0))-INDEX('UA-normalized'!$E:$E, MATCH($A54, 'UA-normalized'!$A:$A, 0))), 0), 0))+(IFERROR(IF(19*INDEX('KZ-normalized'!$D:$D, MATCH($A54, 'KZ-normalized'!$A:$A, 0))-INDEX('KZ-normalized'!$E:$E, MATCH($A54, 'KZ-normalized'!$A:$A, 0))&gt;0, -(19*INDEX('KZ-normalized'!$D:$D, MATCH($A54, 'KZ-normalized'!$A:$A, 0))-INDEX('KZ-normalized'!$E:$E, MATCH($A54, 'KZ-normalized'!$A:$A, 0))), 0), 0))+(IFERROR(IF(19*INDEX('UZ-normalized'!$D:$D, MATCH($A54, 'UZ-normalized'!$A:$A, 0))-INDEX('UZ-normalized'!$E:$E, MATCH($A54, 'UZ-normalized'!$A:$A, 0))&gt;0, -(19*INDEX('UZ-normalized'!$D:$D, MATCH($A54, 'UZ-normalized'!$A:$A, 0))-INDEX('UZ-normalized'!$E:$E, MATCH($A54, 'UZ-normalized'!$A:$A, 0))), 0), 0)))</f>
        <v>-2.4800000000000004</v>
      </c>
      <c r="AH54" s="6">
        <f>MIN(0, N54+(IFERROR(IF(20*INDEX('UA-normalized'!$D:$D, MATCH($A54, 'UA-normalized'!$A:$A, 0))-INDEX('UA-normalized'!$E:$E, MATCH($A54, 'UA-normalized'!$A:$A, 0))&gt;0, -(20*INDEX('UA-normalized'!$D:$D, MATCH($A54, 'UA-normalized'!$A:$A, 0))-INDEX('UA-normalized'!$E:$E, MATCH($A54, 'UA-normalized'!$A:$A, 0))), 0), 0))+(IFERROR(IF(20*INDEX('KZ-normalized'!$D:$D, MATCH($A54, 'KZ-normalized'!$A:$A, 0))-INDEX('KZ-normalized'!$E:$E, MATCH($A54, 'KZ-normalized'!$A:$A, 0))&gt;0, -(20*INDEX('KZ-normalized'!$D:$D, MATCH($A54, 'KZ-normalized'!$A:$A, 0))-INDEX('KZ-normalized'!$E:$E, MATCH($A54, 'KZ-normalized'!$A:$A, 0))), 0), 0))+(IFERROR(IF(20*INDEX('UZ-normalized'!$D:$D, MATCH($A54, 'UZ-normalized'!$A:$A, 0))-INDEX('UZ-normalized'!$E:$E, MATCH($A54, 'UZ-normalized'!$A:$A, 0))&gt;0, -(20*INDEX('UZ-normalized'!$D:$D, MATCH($A54, 'UZ-normalized'!$A:$A, 0))-INDEX('UZ-normalized'!$E:$E, MATCH($A54, 'UZ-normalized'!$A:$A, 0))), 0), 0)))</f>
        <v>-3.4000000000000021</v>
      </c>
      <c r="AI54" s="6">
        <f>MIN(0, N54+(IFERROR(IF(21*INDEX('UA-normalized'!$D:$D, MATCH($A54, 'UA-normalized'!$A:$A, 0))-INDEX('UA-normalized'!$E:$E, MATCH($A54, 'UA-normalized'!$A:$A, 0))&gt;0, -(21*INDEX('UA-normalized'!$D:$D, MATCH($A54, 'UA-normalized'!$A:$A, 0))-INDEX('UA-normalized'!$E:$E, MATCH($A54, 'UA-normalized'!$A:$A, 0))), 0), 0))+(IFERROR(IF(21*INDEX('KZ-normalized'!$D:$D, MATCH($A54, 'KZ-normalized'!$A:$A, 0))-INDEX('KZ-normalized'!$E:$E, MATCH($A54, 'KZ-normalized'!$A:$A, 0))&gt;0, -(21*INDEX('KZ-normalized'!$D:$D, MATCH($A54, 'KZ-normalized'!$A:$A, 0))-INDEX('KZ-normalized'!$E:$E, MATCH($A54, 'KZ-normalized'!$A:$A, 0))), 0), 0))+(IFERROR(IF(21*INDEX('UZ-normalized'!$D:$D, MATCH($A54, 'UZ-normalized'!$A:$A, 0))-INDEX('UZ-normalized'!$E:$E, MATCH($A54, 'UZ-normalized'!$A:$A, 0))&gt;0, -(21*INDEX('UZ-normalized'!$D:$D, MATCH($A54, 'UZ-normalized'!$A:$A, 0))-INDEX('UZ-normalized'!$E:$E, MATCH($A54, 'UZ-normalized'!$A:$A, 0))), 0), 0)))</f>
        <v>-4.32</v>
      </c>
      <c r="AJ54" s="6">
        <f>MIN(0, N54+(IFERROR(IF(22*INDEX('UA-normalized'!$D:$D, MATCH($A54, 'UA-normalized'!$A:$A, 0))-INDEX('UA-normalized'!$E:$E, MATCH($A54, 'UA-normalized'!$A:$A, 0))&gt;0, -(22*INDEX('UA-normalized'!$D:$D, MATCH($A54, 'UA-normalized'!$A:$A, 0))-INDEX('UA-normalized'!$E:$E, MATCH($A54, 'UA-normalized'!$A:$A, 0))), 0), 0))+(IFERROR(IF(22*INDEX('KZ-normalized'!$D:$D, MATCH($A54, 'KZ-normalized'!$A:$A, 0))-INDEX('KZ-normalized'!$E:$E, MATCH($A54, 'KZ-normalized'!$A:$A, 0))&gt;0, -(22*INDEX('KZ-normalized'!$D:$D, MATCH($A54, 'KZ-normalized'!$A:$A, 0))-INDEX('KZ-normalized'!$E:$E, MATCH($A54, 'KZ-normalized'!$A:$A, 0))), 0), 0))+(IFERROR(IF(22*INDEX('UZ-normalized'!$D:$D, MATCH($A54, 'UZ-normalized'!$A:$A, 0))-INDEX('UZ-normalized'!$E:$E, MATCH($A54, 'UZ-normalized'!$A:$A, 0))&gt;0, -(22*INDEX('UZ-normalized'!$D:$D, MATCH($A54, 'UZ-normalized'!$A:$A, 0))-INDEX('UZ-normalized'!$E:$E, MATCH($A54, 'UZ-normalized'!$A:$A, 0))), 0), 0)))</f>
        <v>-5.240000000000002</v>
      </c>
      <c r="AK54" s="6">
        <f>MIN(0, N54+(IFERROR(IF(23*INDEX('UA-normalized'!$D:$D, MATCH($A54, 'UA-normalized'!$A:$A, 0))-INDEX('UA-normalized'!$E:$E, MATCH($A54, 'UA-normalized'!$A:$A, 0))&gt;0, -(23*INDEX('UA-normalized'!$D:$D, MATCH($A54, 'UA-normalized'!$A:$A, 0))-INDEX('UA-normalized'!$E:$E, MATCH($A54, 'UA-normalized'!$A:$A, 0))), 0), 0))+(IFERROR(IF(23*INDEX('KZ-normalized'!$D:$D, MATCH($A54, 'KZ-normalized'!$A:$A, 0))-INDEX('KZ-normalized'!$E:$E, MATCH($A54, 'KZ-normalized'!$A:$A, 0))&gt;0, -(23*INDEX('KZ-normalized'!$D:$D, MATCH($A54, 'KZ-normalized'!$A:$A, 0))-INDEX('KZ-normalized'!$E:$E, MATCH($A54, 'KZ-normalized'!$A:$A, 0))), 0), 0))+(IFERROR(IF(23*INDEX('UZ-normalized'!$D:$D, MATCH($A54, 'UZ-normalized'!$A:$A, 0))-INDEX('UZ-normalized'!$E:$E, MATCH($A54, 'UZ-normalized'!$A:$A, 0))&gt;0, -(23*INDEX('UZ-normalized'!$D:$D, MATCH($A54, 'UZ-normalized'!$A:$A, 0))-INDEX('UZ-normalized'!$E:$E, MATCH($A54, 'UZ-normalized'!$A:$A, 0))), 0), 0)))</f>
        <v>-6.16</v>
      </c>
      <c r="AL54" s="6">
        <f>MIN(0, N54+(IFERROR(IF(24*INDEX('UA-normalized'!$D:$D, MATCH($A54, 'UA-normalized'!$A:$A, 0))-INDEX('UA-normalized'!$E:$E, MATCH($A54, 'UA-normalized'!$A:$A, 0))&gt;0, -(24*INDEX('UA-normalized'!$D:$D, MATCH($A54, 'UA-normalized'!$A:$A, 0))-INDEX('UA-normalized'!$E:$E, MATCH($A54, 'UA-normalized'!$A:$A, 0))), 0), 0))+(IFERROR(IF(24*INDEX('KZ-normalized'!$D:$D, MATCH($A54, 'KZ-normalized'!$A:$A, 0))-INDEX('KZ-normalized'!$E:$E, MATCH($A54, 'KZ-normalized'!$A:$A, 0))&gt;0, -(24*INDEX('KZ-normalized'!$D:$D, MATCH($A54, 'KZ-normalized'!$A:$A, 0))-INDEX('KZ-normalized'!$E:$E, MATCH($A54, 'KZ-normalized'!$A:$A, 0))), 0), 0))+(IFERROR(IF(24*INDEX('UZ-normalized'!$D:$D, MATCH($A54, 'UZ-normalized'!$A:$A, 0))-INDEX('UZ-normalized'!$E:$E, MATCH($A54, 'UZ-normalized'!$A:$A, 0))&gt;0, -(24*INDEX('UZ-normalized'!$D:$D, MATCH($A54, 'UZ-normalized'!$A:$A, 0))-INDEX('UZ-normalized'!$E:$E, MATCH($A54, 'UZ-normalized'!$A:$A, 0))), 0), 0)))</f>
        <v>-7.0800000000000018</v>
      </c>
      <c r="AM54" s="6">
        <f>MIN(0, N54+(IFERROR(IF(25*INDEX('UA-normalized'!$D:$D, MATCH($A54, 'UA-normalized'!$A:$A, 0))-INDEX('UA-normalized'!$E:$E, MATCH($A54, 'UA-normalized'!$A:$A, 0))&gt;0, -(25*INDEX('UA-normalized'!$D:$D, MATCH($A54, 'UA-normalized'!$A:$A, 0))-INDEX('UA-normalized'!$E:$E, MATCH($A54, 'UA-normalized'!$A:$A, 0))), 0), 0))+(IFERROR(IF(25*INDEX('KZ-normalized'!$D:$D, MATCH($A54, 'KZ-normalized'!$A:$A, 0))-INDEX('KZ-normalized'!$E:$E, MATCH($A54, 'KZ-normalized'!$A:$A, 0))&gt;0, -(25*INDEX('KZ-normalized'!$D:$D, MATCH($A54, 'KZ-normalized'!$A:$A, 0))-INDEX('KZ-normalized'!$E:$E, MATCH($A54, 'KZ-normalized'!$A:$A, 0))), 0), 0))+(IFERROR(IF(25*INDEX('UZ-normalized'!$D:$D, MATCH($A54, 'UZ-normalized'!$A:$A, 0))-INDEX('UZ-normalized'!$E:$E, MATCH($A54, 'UZ-normalized'!$A:$A, 0))&gt;0, -(25*INDEX('UZ-normalized'!$D:$D, MATCH($A54, 'UZ-normalized'!$A:$A, 0))-INDEX('UZ-normalized'!$E:$E, MATCH($A54, 'UZ-normalized'!$A:$A, 0))), 0), 0)))</f>
        <v>-8</v>
      </c>
      <c r="AN54" s="6">
        <f>MIN(0, N54+(IFERROR(IF(26*INDEX('UA-normalized'!$D:$D, MATCH($A54, 'UA-normalized'!$A:$A, 0))-INDEX('UA-normalized'!$E:$E, MATCH($A54, 'UA-normalized'!$A:$A, 0))&gt;0, -(26*INDEX('UA-normalized'!$D:$D, MATCH($A54, 'UA-normalized'!$A:$A, 0))-INDEX('UA-normalized'!$E:$E, MATCH($A54, 'UA-normalized'!$A:$A, 0))), 0), 0))+(IFERROR(IF(26*INDEX('KZ-normalized'!$D:$D, MATCH($A54, 'KZ-normalized'!$A:$A, 0))-INDEX('KZ-normalized'!$E:$E, MATCH($A54, 'KZ-normalized'!$A:$A, 0))&gt;0, -(26*INDEX('KZ-normalized'!$D:$D, MATCH($A54, 'KZ-normalized'!$A:$A, 0))-INDEX('KZ-normalized'!$E:$E, MATCH($A54, 'KZ-normalized'!$A:$A, 0))), 0), 0))+(IFERROR(IF(26*INDEX('UZ-normalized'!$D:$D, MATCH($A54, 'UZ-normalized'!$A:$A, 0))-INDEX('UZ-normalized'!$E:$E, MATCH($A54, 'UZ-normalized'!$A:$A, 0))&gt;0, -(26*INDEX('UZ-normalized'!$D:$D, MATCH($A54, 'UZ-normalized'!$A:$A, 0))-INDEX('UZ-normalized'!$E:$E, MATCH($A54, 'UZ-normalized'!$A:$A, 0))), 0), 0)))</f>
        <v>-8.9200000000000017</v>
      </c>
      <c r="AO54" s="6">
        <f>MIN(0, N54+(IFERROR(IF(27*INDEX('UA-normalized'!$D:$D, MATCH($A54, 'UA-normalized'!$A:$A, 0))-INDEX('UA-normalized'!$E:$E, MATCH($A54, 'UA-normalized'!$A:$A, 0))&gt;0, -(27*INDEX('UA-normalized'!$D:$D, MATCH($A54, 'UA-normalized'!$A:$A, 0))-INDEX('UA-normalized'!$E:$E, MATCH($A54, 'UA-normalized'!$A:$A, 0))), 0), 0))+(IFERROR(IF(27*INDEX('KZ-normalized'!$D:$D, MATCH($A54, 'KZ-normalized'!$A:$A, 0))-INDEX('KZ-normalized'!$E:$E, MATCH($A54, 'KZ-normalized'!$A:$A, 0))&gt;0, -(27*INDEX('KZ-normalized'!$D:$D, MATCH($A54, 'KZ-normalized'!$A:$A, 0))-INDEX('KZ-normalized'!$E:$E, MATCH($A54, 'KZ-normalized'!$A:$A, 0))), 0), 0))+(IFERROR(IF(27*INDEX('UZ-normalized'!$D:$D, MATCH($A54, 'UZ-normalized'!$A:$A, 0))-INDEX('UZ-normalized'!$E:$E, MATCH($A54, 'UZ-normalized'!$A:$A, 0))&gt;0, -(27*INDEX('UZ-normalized'!$D:$D, MATCH($A54, 'UZ-normalized'!$A:$A, 0))-INDEX('UZ-normalized'!$E:$E, MATCH($A54, 'UZ-normalized'!$A:$A, 0))), 0), 0)))</f>
        <v>-9.84</v>
      </c>
      <c r="AP54" s="6">
        <f>MIN(0, N54+(IFERROR(IF(28*INDEX('UA-normalized'!$D:$D, MATCH($A54, 'UA-normalized'!$A:$A, 0))-INDEX('UA-normalized'!$E:$E, MATCH($A54, 'UA-normalized'!$A:$A, 0))&gt;0, -(28*INDEX('UA-normalized'!$D:$D, MATCH($A54, 'UA-normalized'!$A:$A, 0))-INDEX('UA-normalized'!$E:$E, MATCH($A54, 'UA-normalized'!$A:$A, 0))), 0), 0))+(IFERROR(IF(28*INDEX('KZ-normalized'!$D:$D, MATCH($A54, 'KZ-normalized'!$A:$A, 0))-INDEX('KZ-normalized'!$E:$E, MATCH($A54, 'KZ-normalized'!$A:$A, 0))&gt;0, -(28*INDEX('KZ-normalized'!$D:$D, MATCH($A54, 'KZ-normalized'!$A:$A, 0))-INDEX('KZ-normalized'!$E:$E, MATCH($A54, 'KZ-normalized'!$A:$A, 0))), 0), 0))+(IFERROR(IF(28*INDEX('UZ-normalized'!$D:$D, MATCH($A54, 'UZ-normalized'!$A:$A, 0))-INDEX('UZ-normalized'!$E:$E, MATCH($A54, 'UZ-normalized'!$A:$A, 0))&gt;0, -(28*INDEX('UZ-normalized'!$D:$D, MATCH($A54, 'UZ-normalized'!$A:$A, 0))-INDEX('UZ-normalized'!$E:$E, MATCH($A54, 'UZ-normalized'!$A:$A, 0))), 0), 0)))</f>
        <v>-10.760000000000002</v>
      </c>
      <c r="AQ54" s="6">
        <f>MIN(0, N54+(IFERROR(IF(29*INDEX('UA-normalized'!$D:$D, MATCH($A54, 'UA-normalized'!$A:$A, 0))-INDEX('UA-normalized'!$E:$E, MATCH($A54, 'UA-normalized'!$A:$A, 0))&gt;0, -(29*INDEX('UA-normalized'!$D:$D, MATCH($A54, 'UA-normalized'!$A:$A, 0))-INDEX('UA-normalized'!$E:$E, MATCH($A54, 'UA-normalized'!$A:$A, 0))), 0), 0))+(IFERROR(IF(29*INDEX('KZ-normalized'!$D:$D, MATCH($A54, 'KZ-normalized'!$A:$A, 0))-INDEX('KZ-normalized'!$E:$E, MATCH($A54, 'KZ-normalized'!$A:$A, 0))&gt;0, -(29*INDEX('KZ-normalized'!$D:$D, MATCH($A54, 'KZ-normalized'!$A:$A, 0))-INDEX('KZ-normalized'!$E:$E, MATCH($A54, 'KZ-normalized'!$A:$A, 0))), 0), 0))+(IFERROR(IF(29*INDEX('UZ-normalized'!$D:$D, MATCH($A54, 'UZ-normalized'!$A:$A, 0))-INDEX('UZ-normalized'!$E:$E, MATCH($A54, 'UZ-normalized'!$A:$A, 0))&gt;0, -(29*INDEX('UZ-normalized'!$D:$D, MATCH($A54, 'UZ-normalized'!$A:$A, 0))-INDEX('UZ-normalized'!$E:$E, MATCH($A54, 'UZ-normalized'!$A:$A, 0))), 0), 0)))</f>
        <v>-11.68</v>
      </c>
      <c r="AR54" s="6">
        <f>MIN(0, N54+(IFERROR(IF(30*INDEX('UA-normalized'!$D:$D, MATCH($A54, 'UA-normalized'!$A:$A, 0))-INDEX('UA-normalized'!$E:$E, MATCH($A54, 'UA-normalized'!$A:$A, 0))&gt;0, -(30*INDEX('UA-normalized'!$D:$D, MATCH($A54, 'UA-normalized'!$A:$A, 0))-INDEX('UA-normalized'!$E:$E, MATCH($A54, 'UA-normalized'!$A:$A, 0))), 0), 0))+(IFERROR(IF(30*INDEX('KZ-normalized'!$D:$D, MATCH($A54, 'KZ-normalized'!$A:$A, 0))-INDEX('KZ-normalized'!$E:$E, MATCH($A54, 'KZ-normalized'!$A:$A, 0))&gt;0, -(30*INDEX('KZ-normalized'!$D:$D, MATCH($A54, 'KZ-normalized'!$A:$A, 0))-INDEX('KZ-normalized'!$E:$E, MATCH($A54, 'KZ-normalized'!$A:$A, 0))), 0), 0))+(IFERROR(IF(30*INDEX('UZ-normalized'!$D:$D, MATCH($A54, 'UZ-normalized'!$A:$A, 0))-INDEX('UZ-normalized'!$E:$E, MATCH($A54, 'UZ-normalized'!$A:$A, 0))&gt;0, -(30*INDEX('UZ-normalized'!$D:$D, MATCH($A54, 'UZ-normalized'!$A:$A, 0))-INDEX('UZ-normalized'!$E:$E, MATCH($A54, 'UZ-normalized'!$A:$A, 0))), 0), 0)))</f>
        <v>-12.600000000000001</v>
      </c>
    </row>
    <row r="55" spans="1:44" x14ac:dyDescent="0.25">
      <c r="A55" s="8" t="s">
        <v>155</v>
      </c>
      <c r="B55" s="8" t="s">
        <v>83</v>
      </c>
      <c r="C55" s="8" t="s">
        <v>145</v>
      </c>
      <c r="D55" s="8" t="s">
        <v>156</v>
      </c>
      <c r="E55">
        <v>16496.25</v>
      </c>
      <c r="H55">
        <v>375</v>
      </c>
      <c r="I55">
        <v>1300</v>
      </c>
      <c r="J55">
        <v>6371.25</v>
      </c>
      <c r="N55">
        <f t="shared" si="0"/>
        <v>24542.5</v>
      </c>
      <c r="O55" s="6">
        <f>MIN(0, N55+(IFERROR(IF(1*INDEX('UA-normalized'!$D:$D, MATCH($A55, 'UA-normalized'!$A:$A, 0))-INDEX('UA-normalized'!$E:$E, MATCH($A55, 'UA-normalized'!$A:$A, 0))&gt;0, -(1*INDEX('UA-normalized'!$D:$D, MATCH($A55, 'UA-normalized'!$A:$A, 0))-INDEX('UA-normalized'!$E:$E, MATCH($A55, 'UA-normalized'!$A:$A, 0))), 0), 0))+(IFERROR(IF(1*INDEX('KZ-normalized'!$D:$D, MATCH($A55, 'KZ-normalized'!$A:$A, 0))-INDEX('KZ-normalized'!$E:$E, MATCH($A55, 'KZ-normalized'!$A:$A, 0))&gt;0, -(1*INDEX('KZ-normalized'!$D:$D, MATCH($A55, 'KZ-normalized'!$A:$A, 0))-INDEX('KZ-normalized'!$E:$E, MATCH($A55, 'KZ-normalized'!$A:$A, 0))), 0), 0))+(IFERROR(IF(1*INDEX('UZ-normalized'!$D:$D, MATCH($A55, 'UZ-normalized'!$A:$A, 0))-INDEX('UZ-normalized'!$E:$E, MATCH($A55, 'UZ-normalized'!$A:$A, 0))&gt;0, -(1*INDEX('UZ-normalized'!$D:$D, MATCH($A55, 'UZ-normalized'!$A:$A, 0))-INDEX('UZ-normalized'!$E:$E, MATCH($A55, 'UZ-normalized'!$A:$A, 0))), 0), 0)))</f>
        <v>0</v>
      </c>
      <c r="P55" s="6">
        <f>MIN(0, N55+(IFERROR(IF(2*INDEX('UA-normalized'!$D:$D, MATCH($A55, 'UA-normalized'!$A:$A, 0))-INDEX('UA-normalized'!$E:$E, MATCH($A55, 'UA-normalized'!$A:$A, 0))&gt;0, -(2*INDEX('UA-normalized'!$D:$D, MATCH($A55, 'UA-normalized'!$A:$A, 0))-INDEX('UA-normalized'!$E:$E, MATCH($A55, 'UA-normalized'!$A:$A, 0))), 0), 0))+(IFERROR(IF(2*INDEX('KZ-normalized'!$D:$D, MATCH($A55, 'KZ-normalized'!$A:$A, 0))-INDEX('KZ-normalized'!$E:$E, MATCH($A55, 'KZ-normalized'!$A:$A, 0))&gt;0, -(2*INDEX('KZ-normalized'!$D:$D, MATCH($A55, 'KZ-normalized'!$A:$A, 0))-INDEX('KZ-normalized'!$E:$E, MATCH($A55, 'KZ-normalized'!$A:$A, 0))), 0), 0))+(IFERROR(IF(2*INDEX('UZ-normalized'!$D:$D, MATCH($A55, 'UZ-normalized'!$A:$A, 0))-INDEX('UZ-normalized'!$E:$E, MATCH($A55, 'UZ-normalized'!$A:$A, 0))&gt;0, -(2*INDEX('UZ-normalized'!$D:$D, MATCH($A55, 'UZ-normalized'!$A:$A, 0))-INDEX('UZ-normalized'!$E:$E, MATCH($A55, 'UZ-normalized'!$A:$A, 0))), 0), 0)))</f>
        <v>0</v>
      </c>
      <c r="Q55" s="6">
        <f>MIN(0, N55+(IFERROR(IF(3*INDEX('UA-normalized'!$D:$D, MATCH($A55, 'UA-normalized'!$A:$A, 0))-INDEX('UA-normalized'!$E:$E, MATCH($A55, 'UA-normalized'!$A:$A, 0))&gt;0, -(3*INDEX('UA-normalized'!$D:$D, MATCH($A55, 'UA-normalized'!$A:$A, 0))-INDEX('UA-normalized'!$E:$E, MATCH($A55, 'UA-normalized'!$A:$A, 0))), 0), 0))+(IFERROR(IF(3*INDEX('KZ-normalized'!$D:$D, MATCH($A55, 'KZ-normalized'!$A:$A, 0))-INDEX('KZ-normalized'!$E:$E, MATCH($A55, 'KZ-normalized'!$A:$A, 0))&gt;0, -(3*INDEX('KZ-normalized'!$D:$D, MATCH($A55, 'KZ-normalized'!$A:$A, 0))-INDEX('KZ-normalized'!$E:$E, MATCH($A55, 'KZ-normalized'!$A:$A, 0))), 0), 0))+(IFERROR(IF(3*INDEX('UZ-normalized'!$D:$D, MATCH($A55, 'UZ-normalized'!$A:$A, 0))-INDEX('UZ-normalized'!$E:$E, MATCH($A55, 'UZ-normalized'!$A:$A, 0))&gt;0, -(3*INDEX('UZ-normalized'!$D:$D, MATCH($A55, 'UZ-normalized'!$A:$A, 0))-INDEX('UZ-normalized'!$E:$E, MATCH($A55, 'UZ-normalized'!$A:$A, 0))), 0), 0)))</f>
        <v>0</v>
      </c>
      <c r="R55" s="6">
        <f>MIN(0, N55+(IFERROR(IF(4*INDEX('UA-normalized'!$D:$D, MATCH($A55, 'UA-normalized'!$A:$A, 0))-INDEX('UA-normalized'!$E:$E, MATCH($A55, 'UA-normalized'!$A:$A, 0))&gt;0, -(4*INDEX('UA-normalized'!$D:$D, MATCH($A55, 'UA-normalized'!$A:$A, 0))-INDEX('UA-normalized'!$E:$E, MATCH($A55, 'UA-normalized'!$A:$A, 0))), 0), 0))+(IFERROR(IF(4*INDEX('KZ-normalized'!$D:$D, MATCH($A55, 'KZ-normalized'!$A:$A, 0))-INDEX('KZ-normalized'!$E:$E, MATCH($A55, 'KZ-normalized'!$A:$A, 0))&gt;0, -(4*INDEX('KZ-normalized'!$D:$D, MATCH($A55, 'KZ-normalized'!$A:$A, 0))-INDEX('KZ-normalized'!$E:$E, MATCH($A55, 'KZ-normalized'!$A:$A, 0))), 0), 0))+(IFERROR(IF(4*INDEX('UZ-normalized'!$D:$D, MATCH($A55, 'UZ-normalized'!$A:$A, 0))-INDEX('UZ-normalized'!$E:$E, MATCH($A55, 'UZ-normalized'!$A:$A, 0))&gt;0, -(4*INDEX('UZ-normalized'!$D:$D, MATCH($A55, 'UZ-normalized'!$A:$A, 0))-INDEX('UZ-normalized'!$E:$E, MATCH($A55, 'UZ-normalized'!$A:$A, 0))), 0), 0)))</f>
        <v>0</v>
      </c>
      <c r="S55" s="6">
        <f>MIN(0, N55+(IFERROR(IF(5*INDEX('UA-normalized'!$D:$D, MATCH($A55, 'UA-normalized'!$A:$A, 0))-INDEX('UA-normalized'!$E:$E, MATCH($A55, 'UA-normalized'!$A:$A, 0))&gt;0, -(5*INDEX('UA-normalized'!$D:$D, MATCH($A55, 'UA-normalized'!$A:$A, 0))-INDEX('UA-normalized'!$E:$E, MATCH($A55, 'UA-normalized'!$A:$A, 0))), 0), 0))+(IFERROR(IF(5*INDEX('KZ-normalized'!$D:$D, MATCH($A55, 'KZ-normalized'!$A:$A, 0))-INDEX('KZ-normalized'!$E:$E, MATCH($A55, 'KZ-normalized'!$A:$A, 0))&gt;0, -(5*INDEX('KZ-normalized'!$D:$D, MATCH($A55, 'KZ-normalized'!$A:$A, 0))-INDEX('KZ-normalized'!$E:$E, MATCH($A55, 'KZ-normalized'!$A:$A, 0))), 0), 0))+(IFERROR(IF(5*INDEX('UZ-normalized'!$D:$D, MATCH($A55, 'UZ-normalized'!$A:$A, 0))-INDEX('UZ-normalized'!$E:$E, MATCH($A55, 'UZ-normalized'!$A:$A, 0))&gt;0, -(5*INDEX('UZ-normalized'!$D:$D, MATCH($A55, 'UZ-normalized'!$A:$A, 0))-INDEX('UZ-normalized'!$E:$E, MATCH($A55, 'UZ-normalized'!$A:$A, 0))), 0), 0)))</f>
        <v>0</v>
      </c>
      <c r="T55" s="6">
        <f>MIN(0, N55+(IFERROR(IF(6*INDEX('UA-normalized'!$D:$D, MATCH($A55, 'UA-normalized'!$A:$A, 0))-INDEX('UA-normalized'!$E:$E, MATCH($A55, 'UA-normalized'!$A:$A, 0))&gt;0, -(6*INDEX('UA-normalized'!$D:$D, MATCH($A55, 'UA-normalized'!$A:$A, 0))-INDEX('UA-normalized'!$E:$E, MATCH($A55, 'UA-normalized'!$A:$A, 0))), 0), 0))+(IFERROR(IF(6*INDEX('KZ-normalized'!$D:$D, MATCH($A55, 'KZ-normalized'!$A:$A, 0))-INDEX('KZ-normalized'!$E:$E, MATCH($A55, 'KZ-normalized'!$A:$A, 0))&gt;0, -(6*INDEX('KZ-normalized'!$D:$D, MATCH($A55, 'KZ-normalized'!$A:$A, 0))-INDEX('KZ-normalized'!$E:$E, MATCH($A55, 'KZ-normalized'!$A:$A, 0))), 0), 0))+(IFERROR(IF(6*INDEX('UZ-normalized'!$D:$D, MATCH($A55, 'UZ-normalized'!$A:$A, 0))-INDEX('UZ-normalized'!$E:$E, MATCH($A55, 'UZ-normalized'!$A:$A, 0))&gt;0, -(6*INDEX('UZ-normalized'!$D:$D, MATCH($A55, 'UZ-normalized'!$A:$A, 0))-INDEX('UZ-normalized'!$E:$E, MATCH($A55, 'UZ-normalized'!$A:$A, 0))), 0), 0)))</f>
        <v>0</v>
      </c>
      <c r="U55" s="6">
        <f>MIN(0, N55+(IFERROR(IF(7*INDEX('UA-normalized'!$D:$D, MATCH($A55, 'UA-normalized'!$A:$A, 0))-INDEX('UA-normalized'!$E:$E, MATCH($A55, 'UA-normalized'!$A:$A, 0))&gt;0, -(7*INDEX('UA-normalized'!$D:$D, MATCH($A55, 'UA-normalized'!$A:$A, 0))-INDEX('UA-normalized'!$E:$E, MATCH($A55, 'UA-normalized'!$A:$A, 0))), 0), 0))+(IFERROR(IF(7*INDEX('KZ-normalized'!$D:$D, MATCH($A55, 'KZ-normalized'!$A:$A, 0))-INDEX('KZ-normalized'!$E:$E, MATCH($A55, 'KZ-normalized'!$A:$A, 0))&gt;0, -(7*INDEX('KZ-normalized'!$D:$D, MATCH($A55, 'KZ-normalized'!$A:$A, 0))-INDEX('KZ-normalized'!$E:$E, MATCH($A55, 'KZ-normalized'!$A:$A, 0))), 0), 0))+(IFERROR(IF(7*INDEX('UZ-normalized'!$D:$D, MATCH($A55, 'UZ-normalized'!$A:$A, 0))-INDEX('UZ-normalized'!$E:$E, MATCH($A55, 'UZ-normalized'!$A:$A, 0))&gt;0, -(7*INDEX('UZ-normalized'!$D:$D, MATCH($A55, 'UZ-normalized'!$A:$A, 0))-INDEX('UZ-normalized'!$E:$E, MATCH($A55, 'UZ-normalized'!$A:$A, 0))), 0), 0)))</f>
        <v>0</v>
      </c>
      <c r="V55" s="6">
        <f>MIN(0, N55+(IFERROR(IF(8*INDEX('UA-normalized'!$D:$D, MATCH($A55, 'UA-normalized'!$A:$A, 0))-INDEX('UA-normalized'!$E:$E, MATCH($A55, 'UA-normalized'!$A:$A, 0))&gt;0, -(8*INDEX('UA-normalized'!$D:$D, MATCH($A55, 'UA-normalized'!$A:$A, 0))-INDEX('UA-normalized'!$E:$E, MATCH($A55, 'UA-normalized'!$A:$A, 0))), 0), 0))+(IFERROR(IF(8*INDEX('KZ-normalized'!$D:$D, MATCH($A55, 'KZ-normalized'!$A:$A, 0))-INDEX('KZ-normalized'!$E:$E, MATCH($A55, 'KZ-normalized'!$A:$A, 0))&gt;0, -(8*INDEX('KZ-normalized'!$D:$D, MATCH($A55, 'KZ-normalized'!$A:$A, 0))-INDEX('KZ-normalized'!$E:$E, MATCH($A55, 'KZ-normalized'!$A:$A, 0))), 0), 0))+(IFERROR(IF(8*INDEX('UZ-normalized'!$D:$D, MATCH($A55, 'UZ-normalized'!$A:$A, 0))-INDEX('UZ-normalized'!$E:$E, MATCH($A55, 'UZ-normalized'!$A:$A, 0))&gt;0, -(8*INDEX('UZ-normalized'!$D:$D, MATCH($A55, 'UZ-normalized'!$A:$A, 0))-INDEX('UZ-normalized'!$E:$E, MATCH($A55, 'UZ-normalized'!$A:$A, 0))), 0), 0)))</f>
        <v>0</v>
      </c>
      <c r="W55" s="6">
        <f>MIN(0, N55+(IFERROR(IF(9*INDEX('UA-normalized'!$D:$D, MATCH($A55, 'UA-normalized'!$A:$A, 0))-INDEX('UA-normalized'!$E:$E, MATCH($A55, 'UA-normalized'!$A:$A, 0))&gt;0, -(9*INDEX('UA-normalized'!$D:$D, MATCH($A55, 'UA-normalized'!$A:$A, 0))-INDEX('UA-normalized'!$E:$E, MATCH($A55, 'UA-normalized'!$A:$A, 0))), 0), 0))+(IFERROR(IF(9*INDEX('KZ-normalized'!$D:$D, MATCH($A55, 'KZ-normalized'!$A:$A, 0))-INDEX('KZ-normalized'!$E:$E, MATCH($A55, 'KZ-normalized'!$A:$A, 0))&gt;0, -(9*INDEX('KZ-normalized'!$D:$D, MATCH($A55, 'KZ-normalized'!$A:$A, 0))-INDEX('KZ-normalized'!$E:$E, MATCH($A55, 'KZ-normalized'!$A:$A, 0))), 0), 0))+(IFERROR(IF(9*INDEX('UZ-normalized'!$D:$D, MATCH($A55, 'UZ-normalized'!$A:$A, 0))-INDEX('UZ-normalized'!$E:$E, MATCH($A55, 'UZ-normalized'!$A:$A, 0))&gt;0, -(9*INDEX('UZ-normalized'!$D:$D, MATCH($A55, 'UZ-normalized'!$A:$A, 0))-INDEX('UZ-normalized'!$E:$E, MATCH($A55, 'UZ-normalized'!$A:$A, 0))), 0), 0)))</f>
        <v>0</v>
      </c>
      <c r="X55" s="6">
        <f>MIN(0, N55+(IFERROR(IF(10*INDEX('UA-normalized'!$D:$D, MATCH($A55, 'UA-normalized'!$A:$A, 0))-INDEX('UA-normalized'!$E:$E, MATCH($A55, 'UA-normalized'!$A:$A, 0))&gt;0, -(10*INDEX('UA-normalized'!$D:$D, MATCH($A55, 'UA-normalized'!$A:$A, 0))-INDEX('UA-normalized'!$E:$E, MATCH($A55, 'UA-normalized'!$A:$A, 0))), 0), 0))+(IFERROR(IF(10*INDEX('KZ-normalized'!$D:$D, MATCH($A55, 'KZ-normalized'!$A:$A, 0))-INDEX('KZ-normalized'!$E:$E, MATCH($A55, 'KZ-normalized'!$A:$A, 0))&gt;0, -(10*INDEX('KZ-normalized'!$D:$D, MATCH($A55, 'KZ-normalized'!$A:$A, 0))-INDEX('KZ-normalized'!$E:$E, MATCH($A55, 'KZ-normalized'!$A:$A, 0))), 0), 0))+(IFERROR(IF(10*INDEX('UZ-normalized'!$D:$D, MATCH($A55, 'UZ-normalized'!$A:$A, 0))-INDEX('UZ-normalized'!$E:$E, MATCH($A55, 'UZ-normalized'!$A:$A, 0))&gt;0, -(10*INDEX('UZ-normalized'!$D:$D, MATCH($A55, 'UZ-normalized'!$A:$A, 0))-INDEX('UZ-normalized'!$E:$E, MATCH($A55, 'UZ-normalized'!$A:$A, 0))), 0), 0)))</f>
        <v>0</v>
      </c>
      <c r="Y55" s="6">
        <f>MIN(0, N55+(IFERROR(IF(11*INDEX('UA-normalized'!$D:$D, MATCH($A55, 'UA-normalized'!$A:$A, 0))-INDEX('UA-normalized'!$E:$E, MATCH($A55, 'UA-normalized'!$A:$A, 0))&gt;0, -(11*INDEX('UA-normalized'!$D:$D, MATCH($A55, 'UA-normalized'!$A:$A, 0))-INDEX('UA-normalized'!$E:$E, MATCH($A55, 'UA-normalized'!$A:$A, 0))), 0), 0))+(IFERROR(IF(11*INDEX('KZ-normalized'!$D:$D, MATCH($A55, 'KZ-normalized'!$A:$A, 0))-INDEX('KZ-normalized'!$E:$E, MATCH($A55, 'KZ-normalized'!$A:$A, 0))&gt;0, -(11*INDEX('KZ-normalized'!$D:$D, MATCH($A55, 'KZ-normalized'!$A:$A, 0))-INDEX('KZ-normalized'!$E:$E, MATCH($A55, 'KZ-normalized'!$A:$A, 0))), 0), 0))+(IFERROR(IF(11*INDEX('UZ-normalized'!$D:$D, MATCH($A55, 'UZ-normalized'!$A:$A, 0))-INDEX('UZ-normalized'!$E:$E, MATCH($A55, 'UZ-normalized'!$A:$A, 0))&gt;0, -(11*INDEX('UZ-normalized'!$D:$D, MATCH($A55, 'UZ-normalized'!$A:$A, 0))-INDEX('UZ-normalized'!$E:$E, MATCH($A55, 'UZ-normalized'!$A:$A, 0))), 0), 0)))</f>
        <v>0</v>
      </c>
      <c r="Z55" s="6">
        <f>MIN(0, N55+(IFERROR(IF(12*INDEX('UA-normalized'!$D:$D, MATCH($A55, 'UA-normalized'!$A:$A, 0))-INDEX('UA-normalized'!$E:$E, MATCH($A55, 'UA-normalized'!$A:$A, 0))&gt;0, -(12*INDEX('UA-normalized'!$D:$D, MATCH($A55, 'UA-normalized'!$A:$A, 0))-INDEX('UA-normalized'!$E:$E, MATCH($A55, 'UA-normalized'!$A:$A, 0))), 0), 0))+(IFERROR(IF(12*INDEX('KZ-normalized'!$D:$D, MATCH($A55, 'KZ-normalized'!$A:$A, 0))-INDEX('KZ-normalized'!$E:$E, MATCH($A55, 'KZ-normalized'!$A:$A, 0))&gt;0, -(12*INDEX('KZ-normalized'!$D:$D, MATCH($A55, 'KZ-normalized'!$A:$A, 0))-INDEX('KZ-normalized'!$E:$E, MATCH($A55, 'KZ-normalized'!$A:$A, 0))), 0), 0))+(IFERROR(IF(12*INDEX('UZ-normalized'!$D:$D, MATCH($A55, 'UZ-normalized'!$A:$A, 0))-INDEX('UZ-normalized'!$E:$E, MATCH($A55, 'UZ-normalized'!$A:$A, 0))&gt;0, -(12*INDEX('UZ-normalized'!$D:$D, MATCH($A55, 'UZ-normalized'!$A:$A, 0))-INDEX('UZ-normalized'!$E:$E, MATCH($A55, 'UZ-normalized'!$A:$A, 0))), 0), 0)))</f>
        <v>0</v>
      </c>
      <c r="AA55" s="6">
        <f>MIN(0, N55+(IFERROR(IF(13*INDEX('UA-normalized'!$D:$D, MATCH($A55, 'UA-normalized'!$A:$A, 0))-INDEX('UA-normalized'!$E:$E, MATCH($A55, 'UA-normalized'!$A:$A, 0))&gt;0, -(13*INDEX('UA-normalized'!$D:$D, MATCH($A55, 'UA-normalized'!$A:$A, 0))-INDEX('UA-normalized'!$E:$E, MATCH($A55, 'UA-normalized'!$A:$A, 0))), 0), 0))+(IFERROR(IF(13*INDEX('KZ-normalized'!$D:$D, MATCH($A55, 'KZ-normalized'!$A:$A, 0))-INDEX('KZ-normalized'!$E:$E, MATCH($A55, 'KZ-normalized'!$A:$A, 0))&gt;0, -(13*INDEX('KZ-normalized'!$D:$D, MATCH($A55, 'KZ-normalized'!$A:$A, 0))-INDEX('KZ-normalized'!$E:$E, MATCH($A55, 'KZ-normalized'!$A:$A, 0))), 0), 0))+(IFERROR(IF(13*INDEX('UZ-normalized'!$D:$D, MATCH($A55, 'UZ-normalized'!$A:$A, 0))-INDEX('UZ-normalized'!$E:$E, MATCH($A55, 'UZ-normalized'!$A:$A, 0))&gt;0, -(13*INDEX('UZ-normalized'!$D:$D, MATCH($A55, 'UZ-normalized'!$A:$A, 0))-INDEX('UZ-normalized'!$E:$E, MATCH($A55, 'UZ-normalized'!$A:$A, 0))), 0), 0)))</f>
        <v>0</v>
      </c>
      <c r="AB55" s="6">
        <f>MIN(0, N55+(IFERROR(IF(14*INDEX('UA-normalized'!$D:$D, MATCH($A55, 'UA-normalized'!$A:$A, 0))-INDEX('UA-normalized'!$E:$E, MATCH($A55, 'UA-normalized'!$A:$A, 0))&gt;0, -(14*INDEX('UA-normalized'!$D:$D, MATCH($A55, 'UA-normalized'!$A:$A, 0))-INDEX('UA-normalized'!$E:$E, MATCH($A55, 'UA-normalized'!$A:$A, 0))), 0), 0))+(IFERROR(IF(14*INDEX('KZ-normalized'!$D:$D, MATCH($A55, 'KZ-normalized'!$A:$A, 0))-INDEX('KZ-normalized'!$E:$E, MATCH($A55, 'KZ-normalized'!$A:$A, 0))&gt;0, -(14*INDEX('KZ-normalized'!$D:$D, MATCH($A55, 'KZ-normalized'!$A:$A, 0))-INDEX('KZ-normalized'!$E:$E, MATCH($A55, 'KZ-normalized'!$A:$A, 0))), 0), 0))+(IFERROR(IF(14*INDEX('UZ-normalized'!$D:$D, MATCH($A55, 'UZ-normalized'!$A:$A, 0))-INDEX('UZ-normalized'!$E:$E, MATCH($A55, 'UZ-normalized'!$A:$A, 0))&gt;0, -(14*INDEX('UZ-normalized'!$D:$D, MATCH($A55, 'UZ-normalized'!$A:$A, 0))-INDEX('UZ-normalized'!$E:$E, MATCH($A55, 'UZ-normalized'!$A:$A, 0))), 0), 0)))</f>
        <v>0</v>
      </c>
      <c r="AC55" s="6">
        <f>MIN(0, N55+(IFERROR(IF(15*INDEX('UA-normalized'!$D:$D, MATCH($A55, 'UA-normalized'!$A:$A, 0))-INDEX('UA-normalized'!$E:$E, MATCH($A55, 'UA-normalized'!$A:$A, 0))&gt;0, -(15*INDEX('UA-normalized'!$D:$D, MATCH($A55, 'UA-normalized'!$A:$A, 0))-INDEX('UA-normalized'!$E:$E, MATCH($A55, 'UA-normalized'!$A:$A, 0))), 0), 0))+(IFERROR(IF(15*INDEX('KZ-normalized'!$D:$D, MATCH($A55, 'KZ-normalized'!$A:$A, 0))-INDEX('KZ-normalized'!$E:$E, MATCH($A55, 'KZ-normalized'!$A:$A, 0))&gt;0, -(15*INDEX('KZ-normalized'!$D:$D, MATCH($A55, 'KZ-normalized'!$A:$A, 0))-INDEX('KZ-normalized'!$E:$E, MATCH($A55, 'KZ-normalized'!$A:$A, 0))), 0), 0))+(IFERROR(IF(15*INDEX('UZ-normalized'!$D:$D, MATCH($A55, 'UZ-normalized'!$A:$A, 0))-INDEX('UZ-normalized'!$E:$E, MATCH($A55, 'UZ-normalized'!$A:$A, 0))&gt;0, -(15*INDEX('UZ-normalized'!$D:$D, MATCH($A55, 'UZ-normalized'!$A:$A, 0))-INDEX('UZ-normalized'!$E:$E, MATCH($A55, 'UZ-normalized'!$A:$A, 0))), 0), 0)))</f>
        <v>0</v>
      </c>
      <c r="AD55" s="6">
        <f>MIN(0, N55+(IFERROR(IF(16*INDEX('UA-normalized'!$D:$D, MATCH($A55, 'UA-normalized'!$A:$A, 0))-INDEX('UA-normalized'!$E:$E, MATCH($A55, 'UA-normalized'!$A:$A, 0))&gt;0, -(16*INDEX('UA-normalized'!$D:$D, MATCH($A55, 'UA-normalized'!$A:$A, 0))-INDEX('UA-normalized'!$E:$E, MATCH($A55, 'UA-normalized'!$A:$A, 0))), 0), 0))+(IFERROR(IF(16*INDEX('KZ-normalized'!$D:$D, MATCH($A55, 'KZ-normalized'!$A:$A, 0))-INDEX('KZ-normalized'!$E:$E, MATCH($A55, 'KZ-normalized'!$A:$A, 0))&gt;0, -(16*INDEX('KZ-normalized'!$D:$D, MATCH($A55, 'KZ-normalized'!$A:$A, 0))-INDEX('KZ-normalized'!$E:$E, MATCH($A55, 'KZ-normalized'!$A:$A, 0))), 0), 0))+(IFERROR(IF(16*INDEX('UZ-normalized'!$D:$D, MATCH($A55, 'UZ-normalized'!$A:$A, 0))-INDEX('UZ-normalized'!$E:$E, MATCH($A55, 'UZ-normalized'!$A:$A, 0))&gt;0, -(16*INDEX('UZ-normalized'!$D:$D, MATCH($A55, 'UZ-normalized'!$A:$A, 0))-INDEX('UZ-normalized'!$E:$E, MATCH($A55, 'UZ-normalized'!$A:$A, 0))), 0), 0)))</f>
        <v>0</v>
      </c>
      <c r="AE55" s="6">
        <f>MIN(0, N55+(IFERROR(IF(17*INDEX('UA-normalized'!$D:$D, MATCH($A55, 'UA-normalized'!$A:$A, 0))-INDEX('UA-normalized'!$E:$E, MATCH($A55, 'UA-normalized'!$A:$A, 0))&gt;0, -(17*INDEX('UA-normalized'!$D:$D, MATCH($A55, 'UA-normalized'!$A:$A, 0))-INDEX('UA-normalized'!$E:$E, MATCH($A55, 'UA-normalized'!$A:$A, 0))), 0), 0))+(IFERROR(IF(17*INDEX('KZ-normalized'!$D:$D, MATCH($A55, 'KZ-normalized'!$A:$A, 0))-INDEX('KZ-normalized'!$E:$E, MATCH($A55, 'KZ-normalized'!$A:$A, 0))&gt;0, -(17*INDEX('KZ-normalized'!$D:$D, MATCH($A55, 'KZ-normalized'!$A:$A, 0))-INDEX('KZ-normalized'!$E:$E, MATCH($A55, 'KZ-normalized'!$A:$A, 0))), 0), 0))+(IFERROR(IF(17*INDEX('UZ-normalized'!$D:$D, MATCH($A55, 'UZ-normalized'!$A:$A, 0))-INDEX('UZ-normalized'!$E:$E, MATCH($A55, 'UZ-normalized'!$A:$A, 0))&gt;0, -(17*INDEX('UZ-normalized'!$D:$D, MATCH($A55, 'UZ-normalized'!$A:$A, 0))-INDEX('UZ-normalized'!$E:$E, MATCH($A55, 'UZ-normalized'!$A:$A, 0))), 0), 0)))</f>
        <v>-541.5</v>
      </c>
      <c r="AF55" s="6">
        <f>MIN(0, N55+(IFERROR(IF(18*INDEX('UA-normalized'!$D:$D, MATCH($A55, 'UA-normalized'!$A:$A, 0))-INDEX('UA-normalized'!$E:$E, MATCH($A55, 'UA-normalized'!$A:$A, 0))&gt;0, -(18*INDEX('UA-normalized'!$D:$D, MATCH($A55, 'UA-normalized'!$A:$A, 0))-INDEX('UA-normalized'!$E:$E, MATCH($A55, 'UA-normalized'!$A:$A, 0))), 0), 0))+(IFERROR(IF(18*INDEX('KZ-normalized'!$D:$D, MATCH($A55, 'KZ-normalized'!$A:$A, 0))-INDEX('KZ-normalized'!$E:$E, MATCH($A55, 'KZ-normalized'!$A:$A, 0))&gt;0, -(18*INDEX('KZ-normalized'!$D:$D, MATCH($A55, 'KZ-normalized'!$A:$A, 0))-INDEX('KZ-normalized'!$E:$E, MATCH($A55, 'KZ-normalized'!$A:$A, 0))), 0), 0))+(IFERROR(IF(18*INDEX('UZ-normalized'!$D:$D, MATCH($A55, 'UZ-normalized'!$A:$A, 0))-INDEX('UZ-normalized'!$E:$E, MATCH($A55, 'UZ-normalized'!$A:$A, 0))&gt;0, -(18*INDEX('UZ-normalized'!$D:$D, MATCH($A55, 'UZ-normalized'!$A:$A, 0))-INDEX('UZ-normalized'!$E:$E, MATCH($A55, 'UZ-normalized'!$A:$A, 0))), 0), 0)))</f>
        <v>-2301.5</v>
      </c>
      <c r="AG55" s="6">
        <f>MIN(0, N55+(IFERROR(IF(19*INDEX('UA-normalized'!$D:$D, MATCH($A55, 'UA-normalized'!$A:$A, 0))-INDEX('UA-normalized'!$E:$E, MATCH($A55, 'UA-normalized'!$A:$A, 0))&gt;0, -(19*INDEX('UA-normalized'!$D:$D, MATCH($A55, 'UA-normalized'!$A:$A, 0))-INDEX('UA-normalized'!$E:$E, MATCH($A55, 'UA-normalized'!$A:$A, 0))), 0), 0))+(IFERROR(IF(19*INDEX('KZ-normalized'!$D:$D, MATCH($A55, 'KZ-normalized'!$A:$A, 0))-INDEX('KZ-normalized'!$E:$E, MATCH($A55, 'KZ-normalized'!$A:$A, 0))&gt;0, -(19*INDEX('KZ-normalized'!$D:$D, MATCH($A55, 'KZ-normalized'!$A:$A, 0))-INDEX('KZ-normalized'!$E:$E, MATCH($A55, 'KZ-normalized'!$A:$A, 0))), 0), 0))+(IFERROR(IF(19*INDEX('UZ-normalized'!$D:$D, MATCH($A55, 'UZ-normalized'!$A:$A, 0))-INDEX('UZ-normalized'!$E:$E, MATCH($A55, 'UZ-normalized'!$A:$A, 0))&gt;0, -(19*INDEX('UZ-normalized'!$D:$D, MATCH($A55, 'UZ-normalized'!$A:$A, 0))-INDEX('UZ-normalized'!$E:$E, MATCH($A55, 'UZ-normalized'!$A:$A, 0))), 0), 0)))</f>
        <v>-4061.5</v>
      </c>
      <c r="AH55" s="6">
        <f>MIN(0, N55+(IFERROR(IF(20*INDEX('UA-normalized'!$D:$D, MATCH($A55, 'UA-normalized'!$A:$A, 0))-INDEX('UA-normalized'!$E:$E, MATCH($A55, 'UA-normalized'!$A:$A, 0))&gt;0, -(20*INDEX('UA-normalized'!$D:$D, MATCH($A55, 'UA-normalized'!$A:$A, 0))-INDEX('UA-normalized'!$E:$E, MATCH($A55, 'UA-normalized'!$A:$A, 0))), 0), 0))+(IFERROR(IF(20*INDEX('KZ-normalized'!$D:$D, MATCH($A55, 'KZ-normalized'!$A:$A, 0))-INDEX('KZ-normalized'!$E:$E, MATCH($A55, 'KZ-normalized'!$A:$A, 0))&gt;0, -(20*INDEX('KZ-normalized'!$D:$D, MATCH($A55, 'KZ-normalized'!$A:$A, 0))-INDEX('KZ-normalized'!$E:$E, MATCH($A55, 'KZ-normalized'!$A:$A, 0))), 0), 0))+(IFERROR(IF(20*INDEX('UZ-normalized'!$D:$D, MATCH($A55, 'UZ-normalized'!$A:$A, 0))-INDEX('UZ-normalized'!$E:$E, MATCH($A55, 'UZ-normalized'!$A:$A, 0))&gt;0, -(20*INDEX('UZ-normalized'!$D:$D, MATCH($A55, 'UZ-normalized'!$A:$A, 0))-INDEX('UZ-normalized'!$E:$E, MATCH($A55, 'UZ-normalized'!$A:$A, 0))), 0), 0)))</f>
        <v>-5821.5</v>
      </c>
      <c r="AI55" s="6">
        <f>MIN(0, N55+(IFERROR(IF(21*INDEX('UA-normalized'!$D:$D, MATCH($A55, 'UA-normalized'!$A:$A, 0))-INDEX('UA-normalized'!$E:$E, MATCH($A55, 'UA-normalized'!$A:$A, 0))&gt;0, -(21*INDEX('UA-normalized'!$D:$D, MATCH($A55, 'UA-normalized'!$A:$A, 0))-INDEX('UA-normalized'!$E:$E, MATCH($A55, 'UA-normalized'!$A:$A, 0))), 0), 0))+(IFERROR(IF(21*INDEX('KZ-normalized'!$D:$D, MATCH($A55, 'KZ-normalized'!$A:$A, 0))-INDEX('KZ-normalized'!$E:$E, MATCH($A55, 'KZ-normalized'!$A:$A, 0))&gt;0, -(21*INDEX('KZ-normalized'!$D:$D, MATCH($A55, 'KZ-normalized'!$A:$A, 0))-INDEX('KZ-normalized'!$E:$E, MATCH($A55, 'KZ-normalized'!$A:$A, 0))), 0), 0))+(IFERROR(IF(21*INDEX('UZ-normalized'!$D:$D, MATCH($A55, 'UZ-normalized'!$A:$A, 0))-INDEX('UZ-normalized'!$E:$E, MATCH($A55, 'UZ-normalized'!$A:$A, 0))&gt;0, -(21*INDEX('UZ-normalized'!$D:$D, MATCH($A55, 'UZ-normalized'!$A:$A, 0))-INDEX('UZ-normalized'!$E:$E, MATCH($A55, 'UZ-normalized'!$A:$A, 0))), 0), 0)))</f>
        <v>-7581.5</v>
      </c>
      <c r="AJ55" s="6">
        <f>MIN(0, N55+(IFERROR(IF(22*INDEX('UA-normalized'!$D:$D, MATCH($A55, 'UA-normalized'!$A:$A, 0))-INDEX('UA-normalized'!$E:$E, MATCH($A55, 'UA-normalized'!$A:$A, 0))&gt;0, -(22*INDEX('UA-normalized'!$D:$D, MATCH($A55, 'UA-normalized'!$A:$A, 0))-INDEX('UA-normalized'!$E:$E, MATCH($A55, 'UA-normalized'!$A:$A, 0))), 0), 0))+(IFERROR(IF(22*INDEX('KZ-normalized'!$D:$D, MATCH($A55, 'KZ-normalized'!$A:$A, 0))-INDEX('KZ-normalized'!$E:$E, MATCH($A55, 'KZ-normalized'!$A:$A, 0))&gt;0, -(22*INDEX('KZ-normalized'!$D:$D, MATCH($A55, 'KZ-normalized'!$A:$A, 0))-INDEX('KZ-normalized'!$E:$E, MATCH($A55, 'KZ-normalized'!$A:$A, 0))), 0), 0))+(IFERROR(IF(22*INDEX('UZ-normalized'!$D:$D, MATCH($A55, 'UZ-normalized'!$A:$A, 0))-INDEX('UZ-normalized'!$E:$E, MATCH($A55, 'UZ-normalized'!$A:$A, 0))&gt;0, -(22*INDEX('UZ-normalized'!$D:$D, MATCH($A55, 'UZ-normalized'!$A:$A, 0))-INDEX('UZ-normalized'!$E:$E, MATCH($A55, 'UZ-normalized'!$A:$A, 0))), 0), 0)))</f>
        <v>-9341.5</v>
      </c>
      <c r="AK55" s="6">
        <f>MIN(0, N55+(IFERROR(IF(23*INDEX('UA-normalized'!$D:$D, MATCH($A55, 'UA-normalized'!$A:$A, 0))-INDEX('UA-normalized'!$E:$E, MATCH($A55, 'UA-normalized'!$A:$A, 0))&gt;0, -(23*INDEX('UA-normalized'!$D:$D, MATCH($A55, 'UA-normalized'!$A:$A, 0))-INDEX('UA-normalized'!$E:$E, MATCH($A55, 'UA-normalized'!$A:$A, 0))), 0), 0))+(IFERROR(IF(23*INDEX('KZ-normalized'!$D:$D, MATCH($A55, 'KZ-normalized'!$A:$A, 0))-INDEX('KZ-normalized'!$E:$E, MATCH($A55, 'KZ-normalized'!$A:$A, 0))&gt;0, -(23*INDEX('KZ-normalized'!$D:$D, MATCH($A55, 'KZ-normalized'!$A:$A, 0))-INDEX('KZ-normalized'!$E:$E, MATCH($A55, 'KZ-normalized'!$A:$A, 0))), 0), 0))+(IFERROR(IF(23*INDEX('UZ-normalized'!$D:$D, MATCH($A55, 'UZ-normalized'!$A:$A, 0))-INDEX('UZ-normalized'!$E:$E, MATCH($A55, 'UZ-normalized'!$A:$A, 0))&gt;0, -(23*INDEX('UZ-normalized'!$D:$D, MATCH($A55, 'UZ-normalized'!$A:$A, 0))-INDEX('UZ-normalized'!$E:$E, MATCH($A55, 'UZ-normalized'!$A:$A, 0))), 0), 0)))</f>
        <v>-11101.5</v>
      </c>
      <c r="AL55" s="6">
        <f>MIN(0, N55+(IFERROR(IF(24*INDEX('UA-normalized'!$D:$D, MATCH($A55, 'UA-normalized'!$A:$A, 0))-INDEX('UA-normalized'!$E:$E, MATCH($A55, 'UA-normalized'!$A:$A, 0))&gt;0, -(24*INDEX('UA-normalized'!$D:$D, MATCH($A55, 'UA-normalized'!$A:$A, 0))-INDEX('UA-normalized'!$E:$E, MATCH($A55, 'UA-normalized'!$A:$A, 0))), 0), 0))+(IFERROR(IF(24*INDEX('KZ-normalized'!$D:$D, MATCH($A55, 'KZ-normalized'!$A:$A, 0))-INDEX('KZ-normalized'!$E:$E, MATCH($A55, 'KZ-normalized'!$A:$A, 0))&gt;0, -(24*INDEX('KZ-normalized'!$D:$D, MATCH($A55, 'KZ-normalized'!$A:$A, 0))-INDEX('KZ-normalized'!$E:$E, MATCH($A55, 'KZ-normalized'!$A:$A, 0))), 0), 0))+(IFERROR(IF(24*INDEX('UZ-normalized'!$D:$D, MATCH($A55, 'UZ-normalized'!$A:$A, 0))-INDEX('UZ-normalized'!$E:$E, MATCH($A55, 'UZ-normalized'!$A:$A, 0))&gt;0, -(24*INDEX('UZ-normalized'!$D:$D, MATCH($A55, 'UZ-normalized'!$A:$A, 0))-INDEX('UZ-normalized'!$E:$E, MATCH($A55, 'UZ-normalized'!$A:$A, 0))), 0), 0)))</f>
        <v>-12861.5</v>
      </c>
      <c r="AM55" s="6">
        <f>MIN(0, N55+(IFERROR(IF(25*INDEX('UA-normalized'!$D:$D, MATCH($A55, 'UA-normalized'!$A:$A, 0))-INDEX('UA-normalized'!$E:$E, MATCH($A55, 'UA-normalized'!$A:$A, 0))&gt;0, -(25*INDEX('UA-normalized'!$D:$D, MATCH($A55, 'UA-normalized'!$A:$A, 0))-INDEX('UA-normalized'!$E:$E, MATCH($A55, 'UA-normalized'!$A:$A, 0))), 0), 0))+(IFERROR(IF(25*INDEX('KZ-normalized'!$D:$D, MATCH($A55, 'KZ-normalized'!$A:$A, 0))-INDEX('KZ-normalized'!$E:$E, MATCH($A55, 'KZ-normalized'!$A:$A, 0))&gt;0, -(25*INDEX('KZ-normalized'!$D:$D, MATCH($A55, 'KZ-normalized'!$A:$A, 0))-INDEX('KZ-normalized'!$E:$E, MATCH($A55, 'KZ-normalized'!$A:$A, 0))), 0), 0))+(IFERROR(IF(25*INDEX('UZ-normalized'!$D:$D, MATCH($A55, 'UZ-normalized'!$A:$A, 0))-INDEX('UZ-normalized'!$E:$E, MATCH($A55, 'UZ-normalized'!$A:$A, 0))&gt;0, -(25*INDEX('UZ-normalized'!$D:$D, MATCH($A55, 'UZ-normalized'!$A:$A, 0))-INDEX('UZ-normalized'!$E:$E, MATCH($A55, 'UZ-normalized'!$A:$A, 0))), 0), 0)))</f>
        <v>-14621.5</v>
      </c>
      <c r="AN55" s="6">
        <f>MIN(0, N55+(IFERROR(IF(26*INDEX('UA-normalized'!$D:$D, MATCH($A55, 'UA-normalized'!$A:$A, 0))-INDEX('UA-normalized'!$E:$E, MATCH($A55, 'UA-normalized'!$A:$A, 0))&gt;0, -(26*INDEX('UA-normalized'!$D:$D, MATCH($A55, 'UA-normalized'!$A:$A, 0))-INDEX('UA-normalized'!$E:$E, MATCH($A55, 'UA-normalized'!$A:$A, 0))), 0), 0))+(IFERROR(IF(26*INDEX('KZ-normalized'!$D:$D, MATCH($A55, 'KZ-normalized'!$A:$A, 0))-INDEX('KZ-normalized'!$E:$E, MATCH($A55, 'KZ-normalized'!$A:$A, 0))&gt;0, -(26*INDEX('KZ-normalized'!$D:$D, MATCH($A55, 'KZ-normalized'!$A:$A, 0))-INDEX('KZ-normalized'!$E:$E, MATCH($A55, 'KZ-normalized'!$A:$A, 0))), 0), 0))+(IFERROR(IF(26*INDEX('UZ-normalized'!$D:$D, MATCH($A55, 'UZ-normalized'!$A:$A, 0))-INDEX('UZ-normalized'!$E:$E, MATCH($A55, 'UZ-normalized'!$A:$A, 0))&gt;0, -(26*INDEX('UZ-normalized'!$D:$D, MATCH($A55, 'UZ-normalized'!$A:$A, 0))-INDEX('UZ-normalized'!$E:$E, MATCH($A55, 'UZ-normalized'!$A:$A, 0))), 0), 0)))</f>
        <v>-16381.5</v>
      </c>
      <c r="AO55" s="6">
        <f>MIN(0, N55+(IFERROR(IF(27*INDEX('UA-normalized'!$D:$D, MATCH($A55, 'UA-normalized'!$A:$A, 0))-INDEX('UA-normalized'!$E:$E, MATCH($A55, 'UA-normalized'!$A:$A, 0))&gt;0, -(27*INDEX('UA-normalized'!$D:$D, MATCH($A55, 'UA-normalized'!$A:$A, 0))-INDEX('UA-normalized'!$E:$E, MATCH($A55, 'UA-normalized'!$A:$A, 0))), 0), 0))+(IFERROR(IF(27*INDEX('KZ-normalized'!$D:$D, MATCH($A55, 'KZ-normalized'!$A:$A, 0))-INDEX('KZ-normalized'!$E:$E, MATCH($A55, 'KZ-normalized'!$A:$A, 0))&gt;0, -(27*INDEX('KZ-normalized'!$D:$D, MATCH($A55, 'KZ-normalized'!$A:$A, 0))-INDEX('KZ-normalized'!$E:$E, MATCH($A55, 'KZ-normalized'!$A:$A, 0))), 0), 0))+(IFERROR(IF(27*INDEX('UZ-normalized'!$D:$D, MATCH($A55, 'UZ-normalized'!$A:$A, 0))-INDEX('UZ-normalized'!$E:$E, MATCH($A55, 'UZ-normalized'!$A:$A, 0))&gt;0, -(27*INDEX('UZ-normalized'!$D:$D, MATCH($A55, 'UZ-normalized'!$A:$A, 0))-INDEX('UZ-normalized'!$E:$E, MATCH($A55, 'UZ-normalized'!$A:$A, 0))), 0), 0)))</f>
        <v>-18141.5</v>
      </c>
      <c r="AP55" s="6">
        <f>MIN(0, N55+(IFERROR(IF(28*INDEX('UA-normalized'!$D:$D, MATCH($A55, 'UA-normalized'!$A:$A, 0))-INDEX('UA-normalized'!$E:$E, MATCH($A55, 'UA-normalized'!$A:$A, 0))&gt;0, -(28*INDEX('UA-normalized'!$D:$D, MATCH($A55, 'UA-normalized'!$A:$A, 0))-INDEX('UA-normalized'!$E:$E, MATCH($A55, 'UA-normalized'!$A:$A, 0))), 0), 0))+(IFERROR(IF(28*INDEX('KZ-normalized'!$D:$D, MATCH($A55, 'KZ-normalized'!$A:$A, 0))-INDEX('KZ-normalized'!$E:$E, MATCH($A55, 'KZ-normalized'!$A:$A, 0))&gt;0, -(28*INDEX('KZ-normalized'!$D:$D, MATCH($A55, 'KZ-normalized'!$A:$A, 0))-INDEX('KZ-normalized'!$E:$E, MATCH($A55, 'KZ-normalized'!$A:$A, 0))), 0), 0))+(IFERROR(IF(28*INDEX('UZ-normalized'!$D:$D, MATCH($A55, 'UZ-normalized'!$A:$A, 0))-INDEX('UZ-normalized'!$E:$E, MATCH($A55, 'UZ-normalized'!$A:$A, 0))&gt;0, -(28*INDEX('UZ-normalized'!$D:$D, MATCH($A55, 'UZ-normalized'!$A:$A, 0))-INDEX('UZ-normalized'!$E:$E, MATCH($A55, 'UZ-normalized'!$A:$A, 0))), 0), 0)))</f>
        <v>-19901.5</v>
      </c>
      <c r="AQ55" s="6">
        <f>MIN(0, N55+(IFERROR(IF(29*INDEX('UA-normalized'!$D:$D, MATCH($A55, 'UA-normalized'!$A:$A, 0))-INDEX('UA-normalized'!$E:$E, MATCH($A55, 'UA-normalized'!$A:$A, 0))&gt;0, -(29*INDEX('UA-normalized'!$D:$D, MATCH($A55, 'UA-normalized'!$A:$A, 0))-INDEX('UA-normalized'!$E:$E, MATCH($A55, 'UA-normalized'!$A:$A, 0))), 0), 0))+(IFERROR(IF(29*INDEX('KZ-normalized'!$D:$D, MATCH($A55, 'KZ-normalized'!$A:$A, 0))-INDEX('KZ-normalized'!$E:$E, MATCH($A55, 'KZ-normalized'!$A:$A, 0))&gt;0, -(29*INDEX('KZ-normalized'!$D:$D, MATCH($A55, 'KZ-normalized'!$A:$A, 0))-INDEX('KZ-normalized'!$E:$E, MATCH($A55, 'KZ-normalized'!$A:$A, 0))), 0), 0))+(IFERROR(IF(29*INDEX('UZ-normalized'!$D:$D, MATCH($A55, 'UZ-normalized'!$A:$A, 0))-INDEX('UZ-normalized'!$E:$E, MATCH($A55, 'UZ-normalized'!$A:$A, 0))&gt;0, -(29*INDEX('UZ-normalized'!$D:$D, MATCH($A55, 'UZ-normalized'!$A:$A, 0))-INDEX('UZ-normalized'!$E:$E, MATCH($A55, 'UZ-normalized'!$A:$A, 0))), 0), 0)))</f>
        <v>-21661.5</v>
      </c>
      <c r="AR55" s="6">
        <f>MIN(0, N55+(IFERROR(IF(30*INDEX('UA-normalized'!$D:$D, MATCH($A55, 'UA-normalized'!$A:$A, 0))-INDEX('UA-normalized'!$E:$E, MATCH($A55, 'UA-normalized'!$A:$A, 0))&gt;0, -(30*INDEX('UA-normalized'!$D:$D, MATCH($A55, 'UA-normalized'!$A:$A, 0))-INDEX('UA-normalized'!$E:$E, MATCH($A55, 'UA-normalized'!$A:$A, 0))), 0), 0))+(IFERROR(IF(30*INDEX('KZ-normalized'!$D:$D, MATCH($A55, 'KZ-normalized'!$A:$A, 0))-INDEX('KZ-normalized'!$E:$E, MATCH($A55, 'KZ-normalized'!$A:$A, 0))&gt;0, -(30*INDEX('KZ-normalized'!$D:$D, MATCH($A55, 'KZ-normalized'!$A:$A, 0))-INDEX('KZ-normalized'!$E:$E, MATCH($A55, 'KZ-normalized'!$A:$A, 0))), 0), 0))+(IFERROR(IF(30*INDEX('UZ-normalized'!$D:$D, MATCH($A55, 'UZ-normalized'!$A:$A, 0))-INDEX('UZ-normalized'!$E:$E, MATCH($A55, 'UZ-normalized'!$A:$A, 0))&gt;0, -(30*INDEX('UZ-normalized'!$D:$D, MATCH($A55, 'UZ-normalized'!$A:$A, 0))-INDEX('UZ-normalized'!$E:$E, MATCH($A55, 'UZ-normalized'!$A:$A, 0))), 0), 0)))</f>
        <v>-23421.5</v>
      </c>
    </row>
    <row r="56" spans="1:44" x14ac:dyDescent="0.25">
      <c r="A56" s="8" t="s">
        <v>157</v>
      </c>
      <c r="B56" s="8" t="s">
        <v>83</v>
      </c>
      <c r="C56" s="8" t="s">
        <v>145</v>
      </c>
      <c r="D56" s="8" t="s">
        <v>158</v>
      </c>
      <c r="E56">
        <v>5353</v>
      </c>
      <c r="G56">
        <v>-20</v>
      </c>
      <c r="I56">
        <v>3500</v>
      </c>
      <c r="J56">
        <v>740.5</v>
      </c>
      <c r="N56">
        <f t="shared" si="0"/>
        <v>9573.5</v>
      </c>
      <c r="O56" s="6">
        <f>MIN(0, N56+(IFERROR(IF(1*INDEX('UA-normalized'!$D:$D, MATCH($A56, 'UA-normalized'!$A:$A, 0))-INDEX('UA-normalized'!$E:$E, MATCH($A56, 'UA-normalized'!$A:$A, 0))&gt;0, -(1*INDEX('UA-normalized'!$D:$D, MATCH($A56, 'UA-normalized'!$A:$A, 0))-INDEX('UA-normalized'!$E:$E, MATCH($A56, 'UA-normalized'!$A:$A, 0))), 0), 0))+(IFERROR(IF(1*INDEX('KZ-normalized'!$D:$D, MATCH($A56, 'KZ-normalized'!$A:$A, 0))-INDEX('KZ-normalized'!$E:$E, MATCH($A56, 'KZ-normalized'!$A:$A, 0))&gt;0, -(1*INDEX('KZ-normalized'!$D:$D, MATCH($A56, 'KZ-normalized'!$A:$A, 0))-INDEX('KZ-normalized'!$E:$E, MATCH($A56, 'KZ-normalized'!$A:$A, 0))), 0), 0))+(IFERROR(IF(1*INDEX('UZ-normalized'!$D:$D, MATCH($A56, 'UZ-normalized'!$A:$A, 0))-INDEX('UZ-normalized'!$E:$E, MATCH($A56, 'UZ-normalized'!$A:$A, 0))&gt;0, -(1*INDEX('UZ-normalized'!$D:$D, MATCH($A56, 'UZ-normalized'!$A:$A, 0))-INDEX('UZ-normalized'!$E:$E, MATCH($A56, 'UZ-normalized'!$A:$A, 0))), 0), 0)))</f>
        <v>0</v>
      </c>
      <c r="P56" s="6">
        <f>MIN(0, N56+(IFERROR(IF(2*INDEX('UA-normalized'!$D:$D, MATCH($A56, 'UA-normalized'!$A:$A, 0))-INDEX('UA-normalized'!$E:$E, MATCH($A56, 'UA-normalized'!$A:$A, 0))&gt;0, -(2*INDEX('UA-normalized'!$D:$D, MATCH($A56, 'UA-normalized'!$A:$A, 0))-INDEX('UA-normalized'!$E:$E, MATCH($A56, 'UA-normalized'!$A:$A, 0))), 0), 0))+(IFERROR(IF(2*INDEX('KZ-normalized'!$D:$D, MATCH($A56, 'KZ-normalized'!$A:$A, 0))-INDEX('KZ-normalized'!$E:$E, MATCH($A56, 'KZ-normalized'!$A:$A, 0))&gt;0, -(2*INDEX('KZ-normalized'!$D:$D, MATCH($A56, 'KZ-normalized'!$A:$A, 0))-INDEX('KZ-normalized'!$E:$E, MATCH($A56, 'KZ-normalized'!$A:$A, 0))), 0), 0))+(IFERROR(IF(2*INDEX('UZ-normalized'!$D:$D, MATCH($A56, 'UZ-normalized'!$A:$A, 0))-INDEX('UZ-normalized'!$E:$E, MATCH($A56, 'UZ-normalized'!$A:$A, 0))&gt;0, -(2*INDEX('UZ-normalized'!$D:$D, MATCH($A56, 'UZ-normalized'!$A:$A, 0))-INDEX('UZ-normalized'!$E:$E, MATCH($A56, 'UZ-normalized'!$A:$A, 0))), 0), 0)))</f>
        <v>0</v>
      </c>
      <c r="Q56" s="6">
        <f>MIN(0, N56+(IFERROR(IF(3*INDEX('UA-normalized'!$D:$D, MATCH($A56, 'UA-normalized'!$A:$A, 0))-INDEX('UA-normalized'!$E:$E, MATCH($A56, 'UA-normalized'!$A:$A, 0))&gt;0, -(3*INDEX('UA-normalized'!$D:$D, MATCH($A56, 'UA-normalized'!$A:$A, 0))-INDEX('UA-normalized'!$E:$E, MATCH($A56, 'UA-normalized'!$A:$A, 0))), 0), 0))+(IFERROR(IF(3*INDEX('KZ-normalized'!$D:$D, MATCH($A56, 'KZ-normalized'!$A:$A, 0))-INDEX('KZ-normalized'!$E:$E, MATCH($A56, 'KZ-normalized'!$A:$A, 0))&gt;0, -(3*INDEX('KZ-normalized'!$D:$D, MATCH($A56, 'KZ-normalized'!$A:$A, 0))-INDEX('KZ-normalized'!$E:$E, MATCH($A56, 'KZ-normalized'!$A:$A, 0))), 0), 0))+(IFERROR(IF(3*INDEX('UZ-normalized'!$D:$D, MATCH($A56, 'UZ-normalized'!$A:$A, 0))-INDEX('UZ-normalized'!$E:$E, MATCH($A56, 'UZ-normalized'!$A:$A, 0))&gt;0, -(3*INDEX('UZ-normalized'!$D:$D, MATCH($A56, 'UZ-normalized'!$A:$A, 0))-INDEX('UZ-normalized'!$E:$E, MATCH($A56, 'UZ-normalized'!$A:$A, 0))), 0), 0)))</f>
        <v>0</v>
      </c>
      <c r="R56" s="6">
        <f>MIN(0, N56+(IFERROR(IF(4*INDEX('UA-normalized'!$D:$D, MATCH($A56, 'UA-normalized'!$A:$A, 0))-INDEX('UA-normalized'!$E:$E, MATCH($A56, 'UA-normalized'!$A:$A, 0))&gt;0, -(4*INDEX('UA-normalized'!$D:$D, MATCH($A56, 'UA-normalized'!$A:$A, 0))-INDEX('UA-normalized'!$E:$E, MATCH($A56, 'UA-normalized'!$A:$A, 0))), 0), 0))+(IFERROR(IF(4*INDEX('KZ-normalized'!$D:$D, MATCH($A56, 'KZ-normalized'!$A:$A, 0))-INDEX('KZ-normalized'!$E:$E, MATCH($A56, 'KZ-normalized'!$A:$A, 0))&gt;0, -(4*INDEX('KZ-normalized'!$D:$D, MATCH($A56, 'KZ-normalized'!$A:$A, 0))-INDEX('KZ-normalized'!$E:$E, MATCH($A56, 'KZ-normalized'!$A:$A, 0))), 0), 0))+(IFERROR(IF(4*INDEX('UZ-normalized'!$D:$D, MATCH($A56, 'UZ-normalized'!$A:$A, 0))-INDEX('UZ-normalized'!$E:$E, MATCH($A56, 'UZ-normalized'!$A:$A, 0))&gt;0, -(4*INDEX('UZ-normalized'!$D:$D, MATCH($A56, 'UZ-normalized'!$A:$A, 0))-INDEX('UZ-normalized'!$E:$E, MATCH($A56, 'UZ-normalized'!$A:$A, 0))), 0), 0)))</f>
        <v>0</v>
      </c>
      <c r="S56" s="6">
        <f>MIN(0, N56+(IFERROR(IF(5*INDEX('UA-normalized'!$D:$D, MATCH($A56, 'UA-normalized'!$A:$A, 0))-INDEX('UA-normalized'!$E:$E, MATCH($A56, 'UA-normalized'!$A:$A, 0))&gt;0, -(5*INDEX('UA-normalized'!$D:$D, MATCH($A56, 'UA-normalized'!$A:$A, 0))-INDEX('UA-normalized'!$E:$E, MATCH($A56, 'UA-normalized'!$A:$A, 0))), 0), 0))+(IFERROR(IF(5*INDEX('KZ-normalized'!$D:$D, MATCH($A56, 'KZ-normalized'!$A:$A, 0))-INDEX('KZ-normalized'!$E:$E, MATCH($A56, 'KZ-normalized'!$A:$A, 0))&gt;0, -(5*INDEX('KZ-normalized'!$D:$D, MATCH($A56, 'KZ-normalized'!$A:$A, 0))-INDEX('KZ-normalized'!$E:$E, MATCH($A56, 'KZ-normalized'!$A:$A, 0))), 0), 0))+(IFERROR(IF(5*INDEX('UZ-normalized'!$D:$D, MATCH($A56, 'UZ-normalized'!$A:$A, 0))-INDEX('UZ-normalized'!$E:$E, MATCH($A56, 'UZ-normalized'!$A:$A, 0))&gt;0, -(5*INDEX('UZ-normalized'!$D:$D, MATCH($A56, 'UZ-normalized'!$A:$A, 0))-INDEX('UZ-normalized'!$E:$E, MATCH($A56, 'UZ-normalized'!$A:$A, 0))), 0), 0)))</f>
        <v>0</v>
      </c>
      <c r="T56" s="6">
        <f>MIN(0, N56+(IFERROR(IF(6*INDEX('UA-normalized'!$D:$D, MATCH($A56, 'UA-normalized'!$A:$A, 0))-INDEX('UA-normalized'!$E:$E, MATCH($A56, 'UA-normalized'!$A:$A, 0))&gt;0, -(6*INDEX('UA-normalized'!$D:$D, MATCH($A56, 'UA-normalized'!$A:$A, 0))-INDEX('UA-normalized'!$E:$E, MATCH($A56, 'UA-normalized'!$A:$A, 0))), 0), 0))+(IFERROR(IF(6*INDEX('KZ-normalized'!$D:$D, MATCH($A56, 'KZ-normalized'!$A:$A, 0))-INDEX('KZ-normalized'!$E:$E, MATCH($A56, 'KZ-normalized'!$A:$A, 0))&gt;0, -(6*INDEX('KZ-normalized'!$D:$D, MATCH($A56, 'KZ-normalized'!$A:$A, 0))-INDEX('KZ-normalized'!$E:$E, MATCH($A56, 'KZ-normalized'!$A:$A, 0))), 0), 0))+(IFERROR(IF(6*INDEX('UZ-normalized'!$D:$D, MATCH($A56, 'UZ-normalized'!$A:$A, 0))-INDEX('UZ-normalized'!$E:$E, MATCH($A56, 'UZ-normalized'!$A:$A, 0))&gt;0, -(6*INDEX('UZ-normalized'!$D:$D, MATCH($A56, 'UZ-normalized'!$A:$A, 0))-INDEX('UZ-normalized'!$E:$E, MATCH($A56, 'UZ-normalized'!$A:$A, 0))), 0), 0)))</f>
        <v>0</v>
      </c>
      <c r="U56" s="6">
        <f>MIN(0, N56+(IFERROR(IF(7*INDEX('UA-normalized'!$D:$D, MATCH($A56, 'UA-normalized'!$A:$A, 0))-INDEX('UA-normalized'!$E:$E, MATCH($A56, 'UA-normalized'!$A:$A, 0))&gt;0, -(7*INDEX('UA-normalized'!$D:$D, MATCH($A56, 'UA-normalized'!$A:$A, 0))-INDEX('UA-normalized'!$E:$E, MATCH($A56, 'UA-normalized'!$A:$A, 0))), 0), 0))+(IFERROR(IF(7*INDEX('KZ-normalized'!$D:$D, MATCH($A56, 'KZ-normalized'!$A:$A, 0))-INDEX('KZ-normalized'!$E:$E, MATCH($A56, 'KZ-normalized'!$A:$A, 0))&gt;0, -(7*INDEX('KZ-normalized'!$D:$D, MATCH($A56, 'KZ-normalized'!$A:$A, 0))-INDEX('KZ-normalized'!$E:$E, MATCH($A56, 'KZ-normalized'!$A:$A, 0))), 0), 0))+(IFERROR(IF(7*INDEX('UZ-normalized'!$D:$D, MATCH($A56, 'UZ-normalized'!$A:$A, 0))-INDEX('UZ-normalized'!$E:$E, MATCH($A56, 'UZ-normalized'!$A:$A, 0))&gt;0, -(7*INDEX('UZ-normalized'!$D:$D, MATCH($A56, 'UZ-normalized'!$A:$A, 0))-INDEX('UZ-normalized'!$E:$E, MATCH($A56, 'UZ-normalized'!$A:$A, 0))), 0), 0)))</f>
        <v>0</v>
      </c>
      <c r="V56" s="6">
        <f>MIN(0, N56+(IFERROR(IF(8*INDEX('UA-normalized'!$D:$D, MATCH($A56, 'UA-normalized'!$A:$A, 0))-INDEX('UA-normalized'!$E:$E, MATCH($A56, 'UA-normalized'!$A:$A, 0))&gt;0, -(8*INDEX('UA-normalized'!$D:$D, MATCH($A56, 'UA-normalized'!$A:$A, 0))-INDEX('UA-normalized'!$E:$E, MATCH($A56, 'UA-normalized'!$A:$A, 0))), 0), 0))+(IFERROR(IF(8*INDEX('KZ-normalized'!$D:$D, MATCH($A56, 'KZ-normalized'!$A:$A, 0))-INDEX('KZ-normalized'!$E:$E, MATCH($A56, 'KZ-normalized'!$A:$A, 0))&gt;0, -(8*INDEX('KZ-normalized'!$D:$D, MATCH($A56, 'KZ-normalized'!$A:$A, 0))-INDEX('KZ-normalized'!$E:$E, MATCH($A56, 'KZ-normalized'!$A:$A, 0))), 0), 0))+(IFERROR(IF(8*INDEX('UZ-normalized'!$D:$D, MATCH($A56, 'UZ-normalized'!$A:$A, 0))-INDEX('UZ-normalized'!$E:$E, MATCH($A56, 'UZ-normalized'!$A:$A, 0))&gt;0, -(8*INDEX('UZ-normalized'!$D:$D, MATCH($A56, 'UZ-normalized'!$A:$A, 0))-INDEX('UZ-normalized'!$E:$E, MATCH($A56, 'UZ-normalized'!$A:$A, 0))), 0), 0)))</f>
        <v>0</v>
      </c>
      <c r="W56" s="6">
        <f>MIN(0, N56+(IFERROR(IF(9*INDEX('UA-normalized'!$D:$D, MATCH($A56, 'UA-normalized'!$A:$A, 0))-INDEX('UA-normalized'!$E:$E, MATCH($A56, 'UA-normalized'!$A:$A, 0))&gt;0, -(9*INDEX('UA-normalized'!$D:$D, MATCH($A56, 'UA-normalized'!$A:$A, 0))-INDEX('UA-normalized'!$E:$E, MATCH($A56, 'UA-normalized'!$A:$A, 0))), 0), 0))+(IFERROR(IF(9*INDEX('KZ-normalized'!$D:$D, MATCH($A56, 'KZ-normalized'!$A:$A, 0))-INDEX('KZ-normalized'!$E:$E, MATCH($A56, 'KZ-normalized'!$A:$A, 0))&gt;0, -(9*INDEX('KZ-normalized'!$D:$D, MATCH($A56, 'KZ-normalized'!$A:$A, 0))-INDEX('KZ-normalized'!$E:$E, MATCH($A56, 'KZ-normalized'!$A:$A, 0))), 0), 0))+(IFERROR(IF(9*INDEX('UZ-normalized'!$D:$D, MATCH($A56, 'UZ-normalized'!$A:$A, 0))-INDEX('UZ-normalized'!$E:$E, MATCH($A56, 'UZ-normalized'!$A:$A, 0))&gt;0, -(9*INDEX('UZ-normalized'!$D:$D, MATCH($A56, 'UZ-normalized'!$A:$A, 0))-INDEX('UZ-normalized'!$E:$E, MATCH($A56, 'UZ-normalized'!$A:$A, 0))), 0), 0)))</f>
        <v>0</v>
      </c>
      <c r="X56" s="6">
        <f>MIN(0, N56+(IFERROR(IF(10*INDEX('UA-normalized'!$D:$D, MATCH($A56, 'UA-normalized'!$A:$A, 0))-INDEX('UA-normalized'!$E:$E, MATCH($A56, 'UA-normalized'!$A:$A, 0))&gt;0, -(10*INDEX('UA-normalized'!$D:$D, MATCH($A56, 'UA-normalized'!$A:$A, 0))-INDEX('UA-normalized'!$E:$E, MATCH($A56, 'UA-normalized'!$A:$A, 0))), 0), 0))+(IFERROR(IF(10*INDEX('KZ-normalized'!$D:$D, MATCH($A56, 'KZ-normalized'!$A:$A, 0))-INDEX('KZ-normalized'!$E:$E, MATCH($A56, 'KZ-normalized'!$A:$A, 0))&gt;0, -(10*INDEX('KZ-normalized'!$D:$D, MATCH($A56, 'KZ-normalized'!$A:$A, 0))-INDEX('KZ-normalized'!$E:$E, MATCH($A56, 'KZ-normalized'!$A:$A, 0))), 0), 0))+(IFERROR(IF(10*INDEX('UZ-normalized'!$D:$D, MATCH($A56, 'UZ-normalized'!$A:$A, 0))-INDEX('UZ-normalized'!$E:$E, MATCH($A56, 'UZ-normalized'!$A:$A, 0))&gt;0, -(10*INDEX('UZ-normalized'!$D:$D, MATCH($A56, 'UZ-normalized'!$A:$A, 0))-INDEX('UZ-normalized'!$E:$E, MATCH($A56, 'UZ-normalized'!$A:$A, 0))), 0), 0)))</f>
        <v>0</v>
      </c>
      <c r="Y56" s="6">
        <f>MIN(0, N56+(IFERROR(IF(11*INDEX('UA-normalized'!$D:$D, MATCH($A56, 'UA-normalized'!$A:$A, 0))-INDEX('UA-normalized'!$E:$E, MATCH($A56, 'UA-normalized'!$A:$A, 0))&gt;0, -(11*INDEX('UA-normalized'!$D:$D, MATCH($A56, 'UA-normalized'!$A:$A, 0))-INDEX('UA-normalized'!$E:$E, MATCH($A56, 'UA-normalized'!$A:$A, 0))), 0), 0))+(IFERROR(IF(11*INDEX('KZ-normalized'!$D:$D, MATCH($A56, 'KZ-normalized'!$A:$A, 0))-INDEX('KZ-normalized'!$E:$E, MATCH($A56, 'KZ-normalized'!$A:$A, 0))&gt;0, -(11*INDEX('KZ-normalized'!$D:$D, MATCH($A56, 'KZ-normalized'!$A:$A, 0))-INDEX('KZ-normalized'!$E:$E, MATCH($A56, 'KZ-normalized'!$A:$A, 0))), 0), 0))+(IFERROR(IF(11*INDEX('UZ-normalized'!$D:$D, MATCH($A56, 'UZ-normalized'!$A:$A, 0))-INDEX('UZ-normalized'!$E:$E, MATCH($A56, 'UZ-normalized'!$A:$A, 0))&gt;0, -(11*INDEX('UZ-normalized'!$D:$D, MATCH($A56, 'UZ-normalized'!$A:$A, 0))-INDEX('UZ-normalized'!$E:$E, MATCH($A56, 'UZ-normalized'!$A:$A, 0))), 0), 0)))</f>
        <v>0</v>
      </c>
      <c r="Z56" s="6">
        <f>MIN(0, N56+(IFERROR(IF(12*INDEX('UA-normalized'!$D:$D, MATCH($A56, 'UA-normalized'!$A:$A, 0))-INDEX('UA-normalized'!$E:$E, MATCH($A56, 'UA-normalized'!$A:$A, 0))&gt;0, -(12*INDEX('UA-normalized'!$D:$D, MATCH($A56, 'UA-normalized'!$A:$A, 0))-INDEX('UA-normalized'!$E:$E, MATCH($A56, 'UA-normalized'!$A:$A, 0))), 0), 0))+(IFERROR(IF(12*INDEX('KZ-normalized'!$D:$D, MATCH($A56, 'KZ-normalized'!$A:$A, 0))-INDEX('KZ-normalized'!$E:$E, MATCH($A56, 'KZ-normalized'!$A:$A, 0))&gt;0, -(12*INDEX('KZ-normalized'!$D:$D, MATCH($A56, 'KZ-normalized'!$A:$A, 0))-INDEX('KZ-normalized'!$E:$E, MATCH($A56, 'KZ-normalized'!$A:$A, 0))), 0), 0))+(IFERROR(IF(12*INDEX('UZ-normalized'!$D:$D, MATCH($A56, 'UZ-normalized'!$A:$A, 0))-INDEX('UZ-normalized'!$E:$E, MATCH($A56, 'UZ-normalized'!$A:$A, 0))&gt;0, -(12*INDEX('UZ-normalized'!$D:$D, MATCH($A56, 'UZ-normalized'!$A:$A, 0))-INDEX('UZ-normalized'!$E:$E, MATCH($A56, 'UZ-normalized'!$A:$A, 0))), 0), 0)))</f>
        <v>0</v>
      </c>
      <c r="AA56" s="6">
        <f>MIN(0, N56+(IFERROR(IF(13*INDEX('UA-normalized'!$D:$D, MATCH($A56, 'UA-normalized'!$A:$A, 0))-INDEX('UA-normalized'!$E:$E, MATCH($A56, 'UA-normalized'!$A:$A, 0))&gt;0, -(13*INDEX('UA-normalized'!$D:$D, MATCH($A56, 'UA-normalized'!$A:$A, 0))-INDEX('UA-normalized'!$E:$E, MATCH($A56, 'UA-normalized'!$A:$A, 0))), 0), 0))+(IFERROR(IF(13*INDEX('KZ-normalized'!$D:$D, MATCH($A56, 'KZ-normalized'!$A:$A, 0))-INDEX('KZ-normalized'!$E:$E, MATCH($A56, 'KZ-normalized'!$A:$A, 0))&gt;0, -(13*INDEX('KZ-normalized'!$D:$D, MATCH($A56, 'KZ-normalized'!$A:$A, 0))-INDEX('KZ-normalized'!$E:$E, MATCH($A56, 'KZ-normalized'!$A:$A, 0))), 0), 0))+(IFERROR(IF(13*INDEX('UZ-normalized'!$D:$D, MATCH($A56, 'UZ-normalized'!$A:$A, 0))-INDEX('UZ-normalized'!$E:$E, MATCH($A56, 'UZ-normalized'!$A:$A, 0))&gt;0, -(13*INDEX('UZ-normalized'!$D:$D, MATCH($A56, 'UZ-normalized'!$A:$A, 0))-INDEX('UZ-normalized'!$E:$E, MATCH($A56, 'UZ-normalized'!$A:$A, 0))), 0), 0)))</f>
        <v>-911.5</v>
      </c>
      <c r="AB56" s="6">
        <f>MIN(0, N56+(IFERROR(IF(14*INDEX('UA-normalized'!$D:$D, MATCH($A56, 'UA-normalized'!$A:$A, 0))-INDEX('UA-normalized'!$E:$E, MATCH($A56, 'UA-normalized'!$A:$A, 0))&gt;0, -(14*INDEX('UA-normalized'!$D:$D, MATCH($A56, 'UA-normalized'!$A:$A, 0))-INDEX('UA-normalized'!$E:$E, MATCH($A56, 'UA-normalized'!$A:$A, 0))), 0), 0))+(IFERROR(IF(14*INDEX('KZ-normalized'!$D:$D, MATCH($A56, 'KZ-normalized'!$A:$A, 0))-INDEX('KZ-normalized'!$E:$E, MATCH($A56, 'KZ-normalized'!$A:$A, 0))&gt;0, -(14*INDEX('KZ-normalized'!$D:$D, MATCH($A56, 'KZ-normalized'!$A:$A, 0))-INDEX('KZ-normalized'!$E:$E, MATCH($A56, 'KZ-normalized'!$A:$A, 0))), 0), 0))+(IFERROR(IF(14*INDEX('UZ-normalized'!$D:$D, MATCH($A56, 'UZ-normalized'!$A:$A, 0))-INDEX('UZ-normalized'!$E:$E, MATCH($A56, 'UZ-normalized'!$A:$A, 0))&gt;0, -(14*INDEX('UZ-normalized'!$D:$D, MATCH($A56, 'UZ-normalized'!$A:$A, 0))-INDEX('UZ-normalized'!$E:$E, MATCH($A56, 'UZ-normalized'!$A:$A, 0))), 0), 0)))</f>
        <v>-1970.5</v>
      </c>
      <c r="AC56" s="6">
        <f>MIN(0, N56+(IFERROR(IF(15*INDEX('UA-normalized'!$D:$D, MATCH($A56, 'UA-normalized'!$A:$A, 0))-INDEX('UA-normalized'!$E:$E, MATCH($A56, 'UA-normalized'!$A:$A, 0))&gt;0, -(15*INDEX('UA-normalized'!$D:$D, MATCH($A56, 'UA-normalized'!$A:$A, 0))-INDEX('UA-normalized'!$E:$E, MATCH($A56, 'UA-normalized'!$A:$A, 0))), 0), 0))+(IFERROR(IF(15*INDEX('KZ-normalized'!$D:$D, MATCH($A56, 'KZ-normalized'!$A:$A, 0))-INDEX('KZ-normalized'!$E:$E, MATCH($A56, 'KZ-normalized'!$A:$A, 0))&gt;0, -(15*INDEX('KZ-normalized'!$D:$D, MATCH($A56, 'KZ-normalized'!$A:$A, 0))-INDEX('KZ-normalized'!$E:$E, MATCH($A56, 'KZ-normalized'!$A:$A, 0))), 0), 0))+(IFERROR(IF(15*INDEX('UZ-normalized'!$D:$D, MATCH($A56, 'UZ-normalized'!$A:$A, 0))-INDEX('UZ-normalized'!$E:$E, MATCH($A56, 'UZ-normalized'!$A:$A, 0))&gt;0, -(15*INDEX('UZ-normalized'!$D:$D, MATCH($A56, 'UZ-normalized'!$A:$A, 0))-INDEX('UZ-normalized'!$E:$E, MATCH($A56, 'UZ-normalized'!$A:$A, 0))), 0), 0)))</f>
        <v>-3029.5</v>
      </c>
      <c r="AD56" s="6">
        <f>MIN(0, N56+(IFERROR(IF(16*INDEX('UA-normalized'!$D:$D, MATCH($A56, 'UA-normalized'!$A:$A, 0))-INDEX('UA-normalized'!$E:$E, MATCH($A56, 'UA-normalized'!$A:$A, 0))&gt;0, -(16*INDEX('UA-normalized'!$D:$D, MATCH($A56, 'UA-normalized'!$A:$A, 0))-INDEX('UA-normalized'!$E:$E, MATCH($A56, 'UA-normalized'!$A:$A, 0))), 0), 0))+(IFERROR(IF(16*INDEX('KZ-normalized'!$D:$D, MATCH($A56, 'KZ-normalized'!$A:$A, 0))-INDEX('KZ-normalized'!$E:$E, MATCH($A56, 'KZ-normalized'!$A:$A, 0))&gt;0, -(16*INDEX('KZ-normalized'!$D:$D, MATCH($A56, 'KZ-normalized'!$A:$A, 0))-INDEX('KZ-normalized'!$E:$E, MATCH($A56, 'KZ-normalized'!$A:$A, 0))), 0), 0))+(IFERROR(IF(16*INDEX('UZ-normalized'!$D:$D, MATCH($A56, 'UZ-normalized'!$A:$A, 0))-INDEX('UZ-normalized'!$E:$E, MATCH($A56, 'UZ-normalized'!$A:$A, 0))&gt;0, -(16*INDEX('UZ-normalized'!$D:$D, MATCH($A56, 'UZ-normalized'!$A:$A, 0))-INDEX('UZ-normalized'!$E:$E, MATCH($A56, 'UZ-normalized'!$A:$A, 0))), 0), 0)))</f>
        <v>-4088.5</v>
      </c>
      <c r="AE56" s="6">
        <f>MIN(0, N56+(IFERROR(IF(17*INDEX('UA-normalized'!$D:$D, MATCH($A56, 'UA-normalized'!$A:$A, 0))-INDEX('UA-normalized'!$E:$E, MATCH($A56, 'UA-normalized'!$A:$A, 0))&gt;0, -(17*INDEX('UA-normalized'!$D:$D, MATCH($A56, 'UA-normalized'!$A:$A, 0))-INDEX('UA-normalized'!$E:$E, MATCH($A56, 'UA-normalized'!$A:$A, 0))), 0), 0))+(IFERROR(IF(17*INDEX('KZ-normalized'!$D:$D, MATCH($A56, 'KZ-normalized'!$A:$A, 0))-INDEX('KZ-normalized'!$E:$E, MATCH($A56, 'KZ-normalized'!$A:$A, 0))&gt;0, -(17*INDEX('KZ-normalized'!$D:$D, MATCH($A56, 'KZ-normalized'!$A:$A, 0))-INDEX('KZ-normalized'!$E:$E, MATCH($A56, 'KZ-normalized'!$A:$A, 0))), 0), 0))+(IFERROR(IF(17*INDEX('UZ-normalized'!$D:$D, MATCH($A56, 'UZ-normalized'!$A:$A, 0))-INDEX('UZ-normalized'!$E:$E, MATCH($A56, 'UZ-normalized'!$A:$A, 0))&gt;0, -(17*INDEX('UZ-normalized'!$D:$D, MATCH($A56, 'UZ-normalized'!$A:$A, 0))-INDEX('UZ-normalized'!$E:$E, MATCH($A56, 'UZ-normalized'!$A:$A, 0))), 0), 0)))</f>
        <v>-5147.5</v>
      </c>
      <c r="AF56" s="6">
        <f>MIN(0, N56+(IFERROR(IF(18*INDEX('UA-normalized'!$D:$D, MATCH($A56, 'UA-normalized'!$A:$A, 0))-INDEX('UA-normalized'!$E:$E, MATCH($A56, 'UA-normalized'!$A:$A, 0))&gt;0, -(18*INDEX('UA-normalized'!$D:$D, MATCH($A56, 'UA-normalized'!$A:$A, 0))-INDEX('UA-normalized'!$E:$E, MATCH($A56, 'UA-normalized'!$A:$A, 0))), 0), 0))+(IFERROR(IF(18*INDEX('KZ-normalized'!$D:$D, MATCH($A56, 'KZ-normalized'!$A:$A, 0))-INDEX('KZ-normalized'!$E:$E, MATCH($A56, 'KZ-normalized'!$A:$A, 0))&gt;0, -(18*INDEX('KZ-normalized'!$D:$D, MATCH($A56, 'KZ-normalized'!$A:$A, 0))-INDEX('KZ-normalized'!$E:$E, MATCH($A56, 'KZ-normalized'!$A:$A, 0))), 0), 0))+(IFERROR(IF(18*INDEX('UZ-normalized'!$D:$D, MATCH($A56, 'UZ-normalized'!$A:$A, 0))-INDEX('UZ-normalized'!$E:$E, MATCH($A56, 'UZ-normalized'!$A:$A, 0))&gt;0, -(18*INDEX('UZ-normalized'!$D:$D, MATCH($A56, 'UZ-normalized'!$A:$A, 0))-INDEX('UZ-normalized'!$E:$E, MATCH($A56, 'UZ-normalized'!$A:$A, 0))), 0), 0)))</f>
        <v>-6206.5</v>
      </c>
      <c r="AG56" s="6">
        <f>MIN(0, N56+(IFERROR(IF(19*INDEX('UA-normalized'!$D:$D, MATCH($A56, 'UA-normalized'!$A:$A, 0))-INDEX('UA-normalized'!$E:$E, MATCH($A56, 'UA-normalized'!$A:$A, 0))&gt;0, -(19*INDEX('UA-normalized'!$D:$D, MATCH($A56, 'UA-normalized'!$A:$A, 0))-INDEX('UA-normalized'!$E:$E, MATCH($A56, 'UA-normalized'!$A:$A, 0))), 0), 0))+(IFERROR(IF(19*INDEX('KZ-normalized'!$D:$D, MATCH($A56, 'KZ-normalized'!$A:$A, 0))-INDEX('KZ-normalized'!$E:$E, MATCH($A56, 'KZ-normalized'!$A:$A, 0))&gt;0, -(19*INDEX('KZ-normalized'!$D:$D, MATCH($A56, 'KZ-normalized'!$A:$A, 0))-INDEX('KZ-normalized'!$E:$E, MATCH($A56, 'KZ-normalized'!$A:$A, 0))), 0), 0))+(IFERROR(IF(19*INDEX('UZ-normalized'!$D:$D, MATCH($A56, 'UZ-normalized'!$A:$A, 0))-INDEX('UZ-normalized'!$E:$E, MATCH($A56, 'UZ-normalized'!$A:$A, 0))&gt;0, -(19*INDEX('UZ-normalized'!$D:$D, MATCH($A56, 'UZ-normalized'!$A:$A, 0))-INDEX('UZ-normalized'!$E:$E, MATCH($A56, 'UZ-normalized'!$A:$A, 0))), 0), 0)))</f>
        <v>-7265.5</v>
      </c>
      <c r="AH56" s="6">
        <f>MIN(0, N56+(IFERROR(IF(20*INDEX('UA-normalized'!$D:$D, MATCH($A56, 'UA-normalized'!$A:$A, 0))-INDEX('UA-normalized'!$E:$E, MATCH($A56, 'UA-normalized'!$A:$A, 0))&gt;0, -(20*INDEX('UA-normalized'!$D:$D, MATCH($A56, 'UA-normalized'!$A:$A, 0))-INDEX('UA-normalized'!$E:$E, MATCH($A56, 'UA-normalized'!$A:$A, 0))), 0), 0))+(IFERROR(IF(20*INDEX('KZ-normalized'!$D:$D, MATCH($A56, 'KZ-normalized'!$A:$A, 0))-INDEX('KZ-normalized'!$E:$E, MATCH($A56, 'KZ-normalized'!$A:$A, 0))&gt;0, -(20*INDEX('KZ-normalized'!$D:$D, MATCH($A56, 'KZ-normalized'!$A:$A, 0))-INDEX('KZ-normalized'!$E:$E, MATCH($A56, 'KZ-normalized'!$A:$A, 0))), 0), 0))+(IFERROR(IF(20*INDEX('UZ-normalized'!$D:$D, MATCH($A56, 'UZ-normalized'!$A:$A, 0))-INDEX('UZ-normalized'!$E:$E, MATCH($A56, 'UZ-normalized'!$A:$A, 0))&gt;0, -(20*INDEX('UZ-normalized'!$D:$D, MATCH($A56, 'UZ-normalized'!$A:$A, 0))-INDEX('UZ-normalized'!$E:$E, MATCH($A56, 'UZ-normalized'!$A:$A, 0))), 0), 0)))</f>
        <v>-8324.5</v>
      </c>
      <c r="AI56" s="6">
        <f>MIN(0, N56+(IFERROR(IF(21*INDEX('UA-normalized'!$D:$D, MATCH($A56, 'UA-normalized'!$A:$A, 0))-INDEX('UA-normalized'!$E:$E, MATCH($A56, 'UA-normalized'!$A:$A, 0))&gt;0, -(21*INDEX('UA-normalized'!$D:$D, MATCH($A56, 'UA-normalized'!$A:$A, 0))-INDEX('UA-normalized'!$E:$E, MATCH($A56, 'UA-normalized'!$A:$A, 0))), 0), 0))+(IFERROR(IF(21*INDEX('KZ-normalized'!$D:$D, MATCH($A56, 'KZ-normalized'!$A:$A, 0))-INDEX('KZ-normalized'!$E:$E, MATCH($A56, 'KZ-normalized'!$A:$A, 0))&gt;0, -(21*INDEX('KZ-normalized'!$D:$D, MATCH($A56, 'KZ-normalized'!$A:$A, 0))-INDEX('KZ-normalized'!$E:$E, MATCH($A56, 'KZ-normalized'!$A:$A, 0))), 0), 0))+(IFERROR(IF(21*INDEX('UZ-normalized'!$D:$D, MATCH($A56, 'UZ-normalized'!$A:$A, 0))-INDEX('UZ-normalized'!$E:$E, MATCH($A56, 'UZ-normalized'!$A:$A, 0))&gt;0, -(21*INDEX('UZ-normalized'!$D:$D, MATCH($A56, 'UZ-normalized'!$A:$A, 0))-INDEX('UZ-normalized'!$E:$E, MATCH($A56, 'UZ-normalized'!$A:$A, 0))), 0), 0)))</f>
        <v>-9383.5</v>
      </c>
      <c r="AJ56" s="6">
        <f>MIN(0, N56+(IFERROR(IF(22*INDEX('UA-normalized'!$D:$D, MATCH($A56, 'UA-normalized'!$A:$A, 0))-INDEX('UA-normalized'!$E:$E, MATCH($A56, 'UA-normalized'!$A:$A, 0))&gt;0, -(22*INDEX('UA-normalized'!$D:$D, MATCH($A56, 'UA-normalized'!$A:$A, 0))-INDEX('UA-normalized'!$E:$E, MATCH($A56, 'UA-normalized'!$A:$A, 0))), 0), 0))+(IFERROR(IF(22*INDEX('KZ-normalized'!$D:$D, MATCH($A56, 'KZ-normalized'!$A:$A, 0))-INDEX('KZ-normalized'!$E:$E, MATCH($A56, 'KZ-normalized'!$A:$A, 0))&gt;0, -(22*INDEX('KZ-normalized'!$D:$D, MATCH($A56, 'KZ-normalized'!$A:$A, 0))-INDEX('KZ-normalized'!$E:$E, MATCH($A56, 'KZ-normalized'!$A:$A, 0))), 0), 0))+(IFERROR(IF(22*INDEX('UZ-normalized'!$D:$D, MATCH($A56, 'UZ-normalized'!$A:$A, 0))-INDEX('UZ-normalized'!$E:$E, MATCH($A56, 'UZ-normalized'!$A:$A, 0))&gt;0, -(22*INDEX('UZ-normalized'!$D:$D, MATCH($A56, 'UZ-normalized'!$A:$A, 0))-INDEX('UZ-normalized'!$E:$E, MATCH($A56, 'UZ-normalized'!$A:$A, 0))), 0), 0)))</f>
        <v>-10442.5</v>
      </c>
      <c r="AK56" s="6">
        <f>MIN(0, N56+(IFERROR(IF(23*INDEX('UA-normalized'!$D:$D, MATCH($A56, 'UA-normalized'!$A:$A, 0))-INDEX('UA-normalized'!$E:$E, MATCH($A56, 'UA-normalized'!$A:$A, 0))&gt;0, -(23*INDEX('UA-normalized'!$D:$D, MATCH($A56, 'UA-normalized'!$A:$A, 0))-INDEX('UA-normalized'!$E:$E, MATCH($A56, 'UA-normalized'!$A:$A, 0))), 0), 0))+(IFERROR(IF(23*INDEX('KZ-normalized'!$D:$D, MATCH($A56, 'KZ-normalized'!$A:$A, 0))-INDEX('KZ-normalized'!$E:$E, MATCH($A56, 'KZ-normalized'!$A:$A, 0))&gt;0, -(23*INDEX('KZ-normalized'!$D:$D, MATCH($A56, 'KZ-normalized'!$A:$A, 0))-INDEX('KZ-normalized'!$E:$E, MATCH($A56, 'KZ-normalized'!$A:$A, 0))), 0), 0))+(IFERROR(IF(23*INDEX('UZ-normalized'!$D:$D, MATCH($A56, 'UZ-normalized'!$A:$A, 0))-INDEX('UZ-normalized'!$E:$E, MATCH($A56, 'UZ-normalized'!$A:$A, 0))&gt;0, -(23*INDEX('UZ-normalized'!$D:$D, MATCH($A56, 'UZ-normalized'!$A:$A, 0))-INDEX('UZ-normalized'!$E:$E, MATCH($A56, 'UZ-normalized'!$A:$A, 0))), 0), 0)))</f>
        <v>-11501.5</v>
      </c>
      <c r="AL56" s="6">
        <f>MIN(0, N56+(IFERROR(IF(24*INDEX('UA-normalized'!$D:$D, MATCH($A56, 'UA-normalized'!$A:$A, 0))-INDEX('UA-normalized'!$E:$E, MATCH($A56, 'UA-normalized'!$A:$A, 0))&gt;0, -(24*INDEX('UA-normalized'!$D:$D, MATCH($A56, 'UA-normalized'!$A:$A, 0))-INDEX('UA-normalized'!$E:$E, MATCH($A56, 'UA-normalized'!$A:$A, 0))), 0), 0))+(IFERROR(IF(24*INDEX('KZ-normalized'!$D:$D, MATCH($A56, 'KZ-normalized'!$A:$A, 0))-INDEX('KZ-normalized'!$E:$E, MATCH($A56, 'KZ-normalized'!$A:$A, 0))&gt;0, -(24*INDEX('KZ-normalized'!$D:$D, MATCH($A56, 'KZ-normalized'!$A:$A, 0))-INDEX('KZ-normalized'!$E:$E, MATCH($A56, 'KZ-normalized'!$A:$A, 0))), 0), 0))+(IFERROR(IF(24*INDEX('UZ-normalized'!$D:$D, MATCH($A56, 'UZ-normalized'!$A:$A, 0))-INDEX('UZ-normalized'!$E:$E, MATCH($A56, 'UZ-normalized'!$A:$A, 0))&gt;0, -(24*INDEX('UZ-normalized'!$D:$D, MATCH($A56, 'UZ-normalized'!$A:$A, 0))-INDEX('UZ-normalized'!$E:$E, MATCH($A56, 'UZ-normalized'!$A:$A, 0))), 0), 0)))</f>
        <v>-12560.5</v>
      </c>
      <c r="AM56" s="6">
        <f>MIN(0, N56+(IFERROR(IF(25*INDEX('UA-normalized'!$D:$D, MATCH($A56, 'UA-normalized'!$A:$A, 0))-INDEX('UA-normalized'!$E:$E, MATCH($A56, 'UA-normalized'!$A:$A, 0))&gt;0, -(25*INDEX('UA-normalized'!$D:$D, MATCH($A56, 'UA-normalized'!$A:$A, 0))-INDEX('UA-normalized'!$E:$E, MATCH($A56, 'UA-normalized'!$A:$A, 0))), 0), 0))+(IFERROR(IF(25*INDEX('KZ-normalized'!$D:$D, MATCH($A56, 'KZ-normalized'!$A:$A, 0))-INDEX('KZ-normalized'!$E:$E, MATCH($A56, 'KZ-normalized'!$A:$A, 0))&gt;0, -(25*INDEX('KZ-normalized'!$D:$D, MATCH($A56, 'KZ-normalized'!$A:$A, 0))-INDEX('KZ-normalized'!$E:$E, MATCH($A56, 'KZ-normalized'!$A:$A, 0))), 0), 0))+(IFERROR(IF(25*INDEX('UZ-normalized'!$D:$D, MATCH($A56, 'UZ-normalized'!$A:$A, 0))-INDEX('UZ-normalized'!$E:$E, MATCH($A56, 'UZ-normalized'!$A:$A, 0))&gt;0, -(25*INDEX('UZ-normalized'!$D:$D, MATCH($A56, 'UZ-normalized'!$A:$A, 0))-INDEX('UZ-normalized'!$E:$E, MATCH($A56, 'UZ-normalized'!$A:$A, 0))), 0), 0)))</f>
        <v>-13619.5</v>
      </c>
      <c r="AN56" s="6">
        <f>MIN(0, N56+(IFERROR(IF(26*INDEX('UA-normalized'!$D:$D, MATCH($A56, 'UA-normalized'!$A:$A, 0))-INDEX('UA-normalized'!$E:$E, MATCH($A56, 'UA-normalized'!$A:$A, 0))&gt;0, -(26*INDEX('UA-normalized'!$D:$D, MATCH($A56, 'UA-normalized'!$A:$A, 0))-INDEX('UA-normalized'!$E:$E, MATCH($A56, 'UA-normalized'!$A:$A, 0))), 0), 0))+(IFERROR(IF(26*INDEX('KZ-normalized'!$D:$D, MATCH($A56, 'KZ-normalized'!$A:$A, 0))-INDEX('KZ-normalized'!$E:$E, MATCH($A56, 'KZ-normalized'!$A:$A, 0))&gt;0, -(26*INDEX('KZ-normalized'!$D:$D, MATCH($A56, 'KZ-normalized'!$A:$A, 0))-INDEX('KZ-normalized'!$E:$E, MATCH($A56, 'KZ-normalized'!$A:$A, 0))), 0), 0))+(IFERROR(IF(26*INDEX('UZ-normalized'!$D:$D, MATCH($A56, 'UZ-normalized'!$A:$A, 0))-INDEX('UZ-normalized'!$E:$E, MATCH($A56, 'UZ-normalized'!$A:$A, 0))&gt;0, -(26*INDEX('UZ-normalized'!$D:$D, MATCH($A56, 'UZ-normalized'!$A:$A, 0))-INDEX('UZ-normalized'!$E:$E, MATCH($A56, 'UZ-normalized'!$A:$A, 0))), 0), 0)))</f>
        <v>-14678.5</v>
      </c>
      <c r="AO56" s="6">
        <f>MIN(0, N56+(IFERROR(IF(27*INDEX('UA-normalized'!$D:$D, MATCH($A56, 'UA-normalized'!$A:$A, 0))-INDEX('UA-normalized'!$E:$E, MATCH($A56, 'UA-normalized'!$A:$A, 0))&gt;0, -(27*INDEX('UA-normalized'!$D:$D, MATCH($A56, 'UA-normalized'!$A:$A, 0))-INDEX('UA-normalized'!$E:$E, MATCH($A56, 'UA-normalized'!$A:$A, 0))), 0), 0))+(IFERROR(IF(27*INDEX('KZ-normalized'!$D:$D, MATCH($A56, 'KZ-normalized'!$A:$A, 0))-INDEX('KZ-normalized'!$E:$E, MATCH($A56, 'KZ-normalized'!$A:$A, 0))&gt;0, -(27*INDEX('KZ-normalized'!$D:$D, MATCH($A56, 'KZ-normalized'!$A:$A, 0))-INDEX('KZ-normalized'!$E:$E, MATCH($A56, 'KZ-normalized'!$A:$A, 0))), 0), 0))+(IFERROR(IF(27*INDEX('UZ-normalized'!$D:$D, MATCH($A56, 'UZ-normalized'!$A:$A, 0))-INDEX('UZ-normalized'!$E:$E, MATCH($A56, 'UZ-normalized'!$A:$A, 0))&gt;0, -(27*INDEX('UZ-normalized'!$D:$D, MATCH($A56, 'UZ-normalized'!$A:$A, 0))-INDEX('UZ-normalized'!$E:$E, MATCH($A56, 'UZ-normalized'!$A:$A, 0))), 0), 0)))</f>
        <v>-15737.5</v>
      </c>
      <c r="AP56" s="6">
        <f>MIN(0, N56+(IFERROR(IF(28*INDEX('UA-normalized'!$D:$D, MATCH($A56, 'UA-normalized'!$A:$A, 0))-INDEX('UA-normalized'!$E:$E, MATCH($A56, 'UA-normalized'!$A:$A, 0))&gt;0, -(28*INDEX('UA-normalized'!$D:$D, MATCH($A56, 'UA-normalized'!$A:$A, 0))-INDEX('UA-normalized'!$E:$E, MATCH($A56, 'UA-normalized'!$A:$A, 0))), 0), 0))+(IFERROR(IF(28*INDEX('KZ-normalized'!$D:$D, MATCH($A56, 'KZ-normalized'!$A:$A, 0))-INDEX('KZ-normalized'!$E:$E, MATCH($A56, 'KZ-normalized'!$A:$A, 0))&gt;0, -(28*INDEX('KZ-normalized'!$D:$D, MATCH($A56, 'KZ-normalized'!$A:$A, 0))-INDEX('KZ-normalized'!$E:$E, MATCH($A56, 'KZ-normalized'!$A:$A, 0))), 0), 0))+(IFERROR(IF(28*INDEX('UZ-normalized'!$D:$D, MATCH($A56, 'UZ-normalized'!$A:$A, 0))-INDEX('UZ-normalized'!$E:$E, MATCH($A56, 'UZ-normalized'!$A:$A, 0))&gt;0, -(28*INDEX('UZ-normalized'!$D:$D, MATCH($A56, 'UZ-normalized'!$A:$A, 0))-INDEX('UZ-normalized'!$E:$E, MATCH($A56, 'UZ-normalized'!$A:$A, 0))), 0), 0)))</f>
        <v>-16796.5</v>
      </c>
      <c r="AQ56" s="6">
        <f>MIN(0, N56+(IFERROR(IF(29*INDEX('UA-normalized'!$D:$D, MATCH($A56, 'UA-normalized'!$A:$A, 0))-INDEX('UA-normalized'!$E:$E, MATCH($A56, 'UA-normalized'!$A:$A, 0))&gt;0, -(29*INDEX('UA-normalized'!$D:$D, MATCH($A56, 'UA-normalized'!$A:$A, 0))-INDEX('UA-normalized'!$E:$E, MATCH($A56, 'UA-normalized'!$A:$A, 0))), 0), 0))+(IFERROR(IF(29*INDEX('KZ-normalized'!$D:$D, MATCH($A56, 'KZ-normalized'!$A:$A, 0))-INDEX('KZ-normalized'!$E:$E, MATCH($A56, 'KZ-normalized'!$A:$A, 0))&gt;0, -(29*INDEX('KZ-normalized'!$D:$D, MATCH($A56, 'KZ-normalized'!$A:$A, 0))-INDEX('KZ-normalized'!$E:$E, MATCH($A56, 'KZ-normalized'!$A:$A, 0))), 0), 0))+(IFERROR(IF(29*INDEX('UZ-normalized'!$D:$D, MATCH($A56, 'UZ-normalized'!$A:$A, 0))-INDEX('UZ-normalized'!$E:$E, MATCH($A56, 'UZ-normalized'!$A:$A, 0))&gt;0, -(29*INDEX('UZ-normalized'!$D:$D, MATCH($A56, 'UZ-normalized'!$A:$A, 0))-INDEX('UZ-normalized'!$E:$E, MATCH($A56, 'UZ-normalized'!$A:$A, 0))), 0), 0)))</f>
        <v>-17855.5</v>
      </c>
      <c r="AR56" s="6">
        <f>MIN(0, N56+(IFERROR(IF(30*INDEX('UA-normalized'!$D:$D, MATCH($A56, 'UA-normalized'!$A:$A, 0))-INDEX('UA-normalized'!$E:$E, MATCH($A56, 'UA-normalized'!$A:$A, 0))&gt;0, -(30*INDEX('UA-normalized'!$D:$D, MATCH($A56, 'UA-normalized'!$A:$A, 0))-INDEX('UA-normalized'!$E:$E, MATCH($A56, 'UA-normalized'!$A:$A, 0))), 0), 0))+(IFERROR(IF(30*INDEX('KZ-normalized'!$D:$D, MATCH($A56, 'KZ-normalized'!$A:$A, 0))-INDEX('KZ-normalized'!$E:$E, MATCH($A56, 'KZ-normalized'!$A:$A, 0))&gt;0, -(30*INDEX('KZ-normalized'!$D:$D, MATCH($A56, 'KZ-normalized'!$A:$A, 0))-INDEX('KZ-normalized'!$E:$E, MATCH($A56, 'KZ-normalized'!$A:$A, 0))), 0), 0))+(IFERROR(IF(30*INDEX('UZ-normalized'!$D:$D, MATCH($A56, 'UZ-normalized'!$A:$A, 0))-INDEX('UZ-normalized'!$E:$E, MATCH($A56, 'UZ-normalized'!$A:$A, 0))&gt;0, -(30*INDEX('UZ-normalized'!$D:$D, MATCH($A56, 'UZ-normalized'!$A:$A, 0))-INDEX('UZ-normalized'!$E:$E, MATCH($A56, 'UZ-normalized'!$A:$A, 0))), 0), 0)))</f>
        <v>-18914.5</v>
      </c>
    </row>
    <row r="57" spans="1:44" x14ac:dyDescent="0.25">
      <c r="A57" s="8" t="s">
        <v>159</v>
      </c>
      <c r="B57" s="8" t="s">
        <v>83</v>
      </c>
      <c r="C57" s="8" t="s">
        <v>145</v>
      </c>
      <c r="D57" s="8" t="s">
        <v>160</v>
      </c>
      <c r="E57">
        <v>7800</v>
      </c>
      <c r="G57">
        <v>-5</v>
      </c>
      <c r="N57">
        <f t="shared" si="0"/>
        <v>7795</v>
      </c>
      <c r="O57" s="6">
        <f>MIN(0, N57+(IFERROR(IF(1*INDEX('UA-normalized'!$D:$D, MATCH($A57, 'UA-normalized'!$A:$A, 0))-INDEX('UA-normalized'!$E:$E, MATCH($A57, 'UA-normalized'!$A:$A, 0))&gt;0, -(1*INDEX('UA-normalized'!$D:$D, MATCH($A57, 'UA-normalized'!$A:$A, 0))-INDEX('UA-normalized'!$E:$E, MATCH($A57, 'UA-normalized'!$A:$A, 0))), 0), 0))+(IFERROR(IF(1*INDEX('KZ-normalized'!$D:$D, MATCH($A57, 'KZ-normalized'!$A:$A, 0))-INDEX('KZ-normalized'!$E:$E, MATCH($A57, 'KZ-normalized'!$A:$A, 0))&gt;0, -(1*INDEX('KZ-normalized'!$D:$D, MATCH($A57, 'KZ-normalized'!$A:$A, 0))-INDEX('KZ-normalized'!$E:$E, MATCH($A57, 'KZ-normalized'!$A:$A, 0))), 0), 0))+(IFERROR(IF(1*INDEX('UZ-normalized'!$D:$D, MATCH($A57, 'UZ-normalized'!$A:$A, 0))-INDEX('UZ-normalized'!$E:$E, MATCH($A57, 'UZ-normalized'!$A:$A, 0))&gt;0, -(1*INDEX('UZ-normalized'!$D:$D, MATCH($A57, 'UZ-normalized'!$A:$A, 0))-INDEX('UZ-normalized'!$E:$E, MATCH($A57, 'UZ-normalized'!$A:$A, 0))), 0), 0)))</f>
        <v>0</v>
      </c>
      <c r="P57" s="6">
        <f>MIN(0, N57+(IFERROR(IF(2*INDEX('UA-normalized'!$D:$D, MATCH($A57, 'UA-normalized'!$A:$A, 0))-INDEX('UA-normalized'!$E:$E, MATCH($A57, 'UA-normalized'!$A:$A, 0))&gt;0, -(2*INDEX('UA-normalized'!$D:$D, MATCH($A57, 'UA-normalized'!$A:$A, 0))-INDEX('UA-normalized'!$E:$E, MATCH($A57, 'UA-normalized'!$A:$A, 0))), 0), 0))+(IFERROR(IF(2*INDEX('KZ-normalized'!$D:$D, MATCH($A57, 'KZ-normalized'!$A:$A, 0))-INDEX('KZ-normalized'!$E:$E, MATCH($A57, 'KZ-normalized'!$A:$A, 0))&gt;0, -(2*INDEX('KZ-normalized'!$D:$D, MATCH($A57, 'KZ-normalized'!$A:$A, 0))-INDEX('KZ-normalized'!$E:$E, MATCH($A57, 'KZ-normalized'!$A:$A, 0))), 0), 0))+(IFERROR(IF(2*INDEX('UZ-normalized'!$D:$D, MATCH($A57, 'UZ-normalized'!$A:$A, 0))-INDEX('UZ-normalized'!$E:$E, MATCH($A57, 'UZ-normalized'!$A:$A, 0))&gt;0, -(2*INDEX('UZ-normalized'!$D:$D, MATCH($A57, 'UZ-normalized'!$A:$A, 0))-INDEX('UZ-normalized'!$E:$E, MATCH($A57, 'UZ-normalized'!$A:$A, 0))), 0), 0)))</f>
        <v>0</v>
      </c>
      <c r="Q57" s="6">
        <f>MIN(0, N57+(IFERROR(IF(3*INDEX('UA-normalized'!$D:$D, MATCH($A57, 'UA-normalized'!$A:$A, 0))-INDEX('UA-normalized'!$E:$E, MATCH($A57, 'UA-normalized'!$A:$A, 0))&gt;0, -(3*INDEX('UA-normalized'!$D:$D, MATCH($A57, 'UA-normalized'!$A:$A, 0))-INDEX('UA-normalized'!$E:$E, MATCH($A57, 'UA-normalized'!$A:$A, 0))), 0), 0))+(IFERROR(IF(3*INDEX('KZ-normalized'!$D:$D, MATCH($A57, 'KZ-normalized'!$A:$A, 0))-INDEX('KZ-normalized'!$E:$E, MATCH($A57, 'KZ-normalized'!$A:$A, 0))&gt;0, -(3*INDEX('KZ-normalized'!$D:$D, MATCH($A57, 'KZ-normalized'!$A:$A, 0))-INDEX('KZ-normalized'!$E:$E, MATCH($A57, 'KZ-normalized'!$A:$A, 0))), 0), 0))+(IFERROR(IF(3*INDEX('UZ-normalized'!$D:$D, MATCH($A57, 'UZ-normalized'!$A:$A, 0))-INDEX('UZ-normalized'!$E:$E, MATCH($A57, 'UZ-normalized'!$A:$A, 0))&gt;0, -(3*INDEX('UZ-normalized'!$D:$D, MATCH($A57, 'UZ-normalized'!$A:$A, 0))-INDEX('UZ-normalized'!$E:$E, MATCH($A57, 'UZ-normalized'!$A:$A, 0))), 0), 0)))</f>
        <v>0</v>
      </c>
      <c r="R57" s="6">
        <f>MIN(0, N57+(IFERROR(IF(4*INDEX('UA-normalized'!$D:$D, MATCH($A57, 'UA-normalized'!$A:$A, 0))-INDEX('UA-normalized'!$E:$E, MATCH($A57, 'UA-normalized'!$A:$A, 0))&gt;0, -(4*INDEX('UA-normalized'!$D:$D, MATCH($A57, 'UA-normalized'!$A:$A, 0))-INDEX('UA-normalized'!$E:$E, MATCH($A57, 'UA-normalized'!$A:$A, 0))), 0), 0))+(IFERROR(IF(4*INDEX('KZ-normalized'!$D:$D, MATCH($A57, 'KZ-normalized'!$A:$A, 0))-INDEX('KZ-normalized'!$E:$E, MATCH($A57, 'KZ-normalized'!$A:$A, 0))&gt;0, -(4*INDEX('KZ-normalized'!$D:$D, MATCH($A57, 'KZ-normalized'!$A:$A, 0))-INDEX('KZ-normalized'!$E:$E, MATCH($A57, 'KZ-normalized'!$A:$A, 0))), 0), 0))+(IFERROR(IF(4*INDEX('UZ-normalized'!$D:$D, MATCH($A57, 'UZ-normalized'!$A:$A, 0))-INDEX('UZ-normalized'!$E:$E, MATCH($A57, 'UZ-normalized'!$A:$A, 0))&gt;0, -(4*INDEX('UZ-normalized'!$D:$D, MATCH($A57, 'UZ-normalized'!$A:$A, 0))-INDEX('UZ-normalized'!$E:$E, MATCH($A57, 'UZ-normalized'!$A:$A, 0))), 0), 0)))</f>
        <v>0</v>
      </c>
      <c r="S57" s="6">
        <f>MIN(0, N57+(IFERROR(IF(5*INDEX('UA-normalized'!$D:$D, MATCH($A57, 'UA-normalized'!$A:$A, 0))-INDEX('UA-normalized'!$E:$E, MATCH($A57, 'UA-normalized'!$A:$A, 0))&gt;0, -(5*INDEX('UA-normalized'!$D:$D, MATCH($A57, 'UA-normalized'!$A:$A, 0))-INDEX('UA-normalized'!$E:$E, MATCH($A57, 'UA-normalized'!$A:$A, 0))), 0), 0))+(IFERROR(IF(5*INDEX('KZ-normalized'!$D:$D, MATCH($A57, 'KZ-normalized'!$A:$A, 0))-INDEX('KZ-normalized'!$E:$E, MATCH($A57, 'KZ-normalized'!$A:$A, 0))&gt;0, -(5*INDEX('KZ-normalized'!$D:$D, MATCH($A57, 'KZ-normalized'!$A:$A, 0))-INDEX('KZ-normalized'!$E:$E, MATCH($A57, 'KZ-normalized'!$A:$A, 0))), 0), 0))+(IFERROR(IF(5*INDEX('UZ-normalized'!$D:$D, MATCH($A57, 'UZ-normalized'!$A:$A, 0))-INDEX('UZ-normalized'!$E:$E, MATCH($A57, 'UZ-normalized'!$A:$A, 0))&gt;0, -(5*INDEX('UZ-normalized'!$D:$D, MATCH($A57, 'UZ-normalized'!$A:$A, 0))-INDEX('UZ-normalized'!$E:$E, MATCH($A57, 'UZ-normalized'!$A:$A, 0))), 0), 0)))</f>
        <v>0</v>
      </c>
      <c r="T57" s="6">
        <f>MIN(0, N57+(IFERROR(IF(6*INDEX('UA-normalized'!$D:$D, MATCH($A57, 'UA-normalized'!$A:$A, 0))-INDEX('UA-normalized'!$E:$E, MATCH($A57, 'UA-normalized'!$A:$A, 0))&gt;0, -(6*INDEX('UA-normalized'!$D:$D, MATCH($A57, 'UA-normalized'!$A:$A, 0))-INDEX('UA-normalized'!$E:$E, MATCH($A57, 'UA-normalized'!$A:$A, 0))), 0), 0))+(IFERROR(IF(6*INDEX('KZ-normalized'!$D:$D, MATCH($A57, 'KZ-normalized'!$A:$A, 0))-INDEX('KZ-normalized'!$E:$E, MATCH($A57, 'KZ-normalized'!$A:$A, 0))&gt;0, -(6*INDEX('KZ-normalized'!$D:$D, MATCH($A57, 'KZ-normalized'!$A:$A, 0))-INDEX('KZ-normalized'!$E:$E, MATCH($A57, 'KZ-normalized'!$A:$A, 0))), 0), 0))+(IFERROR(IF(6*INDEX('UZ-normalized'!$D:$D, MATCH($A57, 'UZ-normalized'!$A:$A, 0))-INDEX('UZ-normalized'!$E:$E, MATCH($A57, 'UZ-normalized'!$A:$A, 0))&gt;0, -(6*INDEX('UZ-normalized'!$D:$D, MATCH($A57, 'UZ-normalized'!$A:$A, 0))-INDEX('UZ-normalized'!$E:$E, MATCH($A57, 'UZ-normalized'!$A:$A, 0))), 0), 0)))</f>
        <v>0</v>
      </c>
      <c r="U57" s="6">
        <f>MIN(0, N57+(IFERROR(IF(7*INDEX('UA-normalized'!$D:$D, MATCH($A57, 'UA-normalized'!$A:$A, 0))-INDEX('UA-normalized'!$E:$E, MATCH($A57, 'UA-normalized'!$A:$A, 0))&gt;0, -(7*INDEX('UA-normalized'!$D:$D, MATCH($A57, 'UA-normalized'!$A:$A, 0))-INDEX('UA-normalized'!$E:$E, MATCH($A57, 'UA-normalized'!$A:$A, 0))), 0), 0))+(IFERROR(IF(7*INDEX('KZ-normalized'!$D:$D, MATCH($A57, 'KZ-normalized'!$A:$A, 0))-INDEX('KZ-normalized'!$E:$E, MATCH($A57, 'KZ-normalized'!$A:$A, 0))&gt;0, -(7*INDEX('KZ-normalized'!$D:$D, MATCH($A57, 'KZ-normalized'!$A:$A, 0))-INDEX('KZ-normalized'!$E:$E, MATCH($A57, 'KZ-normalized'!$A:$A, 0))), 0), 0))+(IFERROR(IF(7*INDEX('UZ-normalized'!$D:$D, MATCH($A57, 'UZ-normalized'!$A:$A, 0))-INDEX('UZ-normalized'!$E:$E, MATCH($A57, 'UZ-normalized'!$A:$A, 0))&gt;0, -(7*INDEX('UZ-normalized'!$D:$D, MATCH($A57, 'UZ-normalized'!$A:$A, 0))-INDEX('UZ-normalized'!$E:$E, MATCH($A57, 'UZ-normalized'!$A:$A, 0))), 0), 0)))</f>
        <v>0</v>
      </c>
      <c r="V57" s="6">
        <f>MIN(0, N57+(IFERROR(IF(8*INDEX('UA-normalized'!$D:$D, MATCH($A57, 'UA-normalized'!$A:$A, 0))-INDEX('UA-normalized'!$E:$E, MATCH($A57, 'UA-normalized'!$A:$A, 0))&gt;0, -(8*INDEX('UA-normalized'!$D:$D, MATCH($A57, 'UA-normalized'!$A:$A, 0))-INDEX('UA-normalized'!$E:$E, MATCH($A57, 'UA-normalized'!$A:$A, 0))), 0), 0))+(IFERROR(IF(8*INDEX('KZ-normalized'!$D:$D, MATCH($A57, 'KZ-normalized'!$A:$A, 0))-INDEX('KZ-normalized'!$E:$E, MATCH($A57, 'KZ-normalized'!$A:$A, 0))&gt;0, -(8*INDEX('KZ-normalized'!$D:$D, MATCH($A57, 'KZ-normalized'!$A:$A, 0))-INDEX('KZ-normalized'!$E:$E, MATCH($A57, 'KZ-normalized'!$A:$A, 0))), 0), 0))+(IFERROR(IF(8*INDEX('UZ-normalized'!$D:$D, MATCH($A57, 'UZ-normalized'!$A:$A, 0))-INDEX('UZ-normalized'!$E:$E, MATCH($A57, 'UZ-normalized'!$A:$A, 0))&gt;0, -(8*INDEX('UZ-normalized'!$D:$D, MATCH($A57, 'UZ-normalized'!$A:$A, 0))-INDEX('UZ-normalized'!$E:$E, MATCH($A57, 'UZ-normalized'!$A:$A, 0))), 0), 0)))</f>
        <v>0</v>
      </c>
      <c r="W57" s="6">
        <f>MIN(0, N57+(IFERROR(IF(9*INDEX('UA-normalized'!$D:$D, MATCH($A57, 'UA-normalized'!$A:$A, 0))-INDEX('UA-normalized'!$E:$E, MATCH($A57, 'UA-normalized'!$A:$A, 0))&gt;0, -(9*INDEX('UA-normalized'!$D:$D, MATCH($A57, 'UA-normalized'!$A:$A, 0))-INDEX('UA-normalized'!$E:$E, MATCH($A57, 'UA-normalized'!$A:$A, 0))), 0), 0))+(IFERROR(IF(9*INDEX('KZ-normalized'!$D:$D, MATCH($A57, 'KZ-normalized'!$A:$A, 0))-INDEX('KZ-normalized'!$E:$E, MATCH($A57, 'KZ-normalized'!$A:$A, 0))&gt;0, -(9*INDEX('KZ-normalized'!$D:$D, MATCH($A57, 'KZ-normalized'!$A:$A, 0))-INDEX('KZ-normalized'!$E:$E, MATCH($A57, 'KZ-normalized'!$A:$A, 0))), 0), 0))+(IFERROR(IF(9*INDEX('UZ-normalized'!$D:$D, MATCH($A57, 'UZ-normalized'!$A:$A, 0))-INDEX('UZ-normalized'!$E:$E, MATCH($A57, 'UZ-normalized'!$A:$A, 0))&gt;0, -(9*INDEX('UZ-normalized'!$D:$D, MATCH($A57, 'UZ-normalized'!$A:$A, 0))-INDEX('UZ-normalized'!$E:$E, MATCH($A57, 'UZ-normalized'!$A:$A, 0))), 0), 0)))</f>
        <v>0</v>
      </c>
      <c r="X57" s="6">
        <f>MIN(0, N57+(IFERROR(IF(10*INDEX('UA-normalized'!$D:$D, MATCH($A57, 'UA-normalized'!$A:$A, 0))-INDEX('UA-normalized'!$E:$E, MATCH($A57, 'UA-normalized'!$A:$A, 0))&gt;0, -(10*INDEX('UA-normalized'!$D:$D, MATCH($A57, 'UA-normalized'!$A:$A, 0))-INDEX('UA-normalized'!$E:$E, MATCH($A57, 'UA-normalized'!$A:$A, 0))), 0), 0))+(IFERROR(IF(10*INDEX('KZ-normalized'!$D:$D, MATCH($A57, 'KZ-normalized'!$A:$A, 0))-INDEX('KZ-normalized'!$E:$E, MATCH($A57, 'KZ-normalized'!$A:$A, 0))&gt;0, -(10*INDEX('KZ-normalized'!$D:$D, MATCH($A57, 'KZ-normalized'!$A:$A, 0))-INDEX('KZ-normalized'!$E:$E, MATCH($A57, 'KZ-normalized'!$A:$A, 0))), 0), 0))+(IFERROR(IF(10*INDEX('UZ-normalized'!$D:$D, MATCH($A57, 'UZ-normalized'!$A:$A, 0))-INDEX('UZ-normalized'!$E:$E, MATCH($A57, 'UZ-normalized'!$A:$A, 0))&gt;0, -(10*INDEX('UZ-normalized'!$D:$D, MATCH($A57, 'UZ-normalized'!$A:$A, 0))-INDEX('UZ-normalized'!$E:$E, MATCH($A57, 'UZ-normalized'!$A:$A, 0))), 0), 0)))</f>
        <v>-664</v>
      </c>
      <c r="Y57" s="6">
        <f>MIN(0, N57+(IFERROR(IF(11*INDEX('UA-normalized'!$D:$D, MATCH($A57, 'UA-normalized'!$A:$A, 0))-INDEX('UA-normalized'!$E:$E, MATCH($A57, 'UA-normalized'!$A:$A, 0))&gt;0, -(11*INDEX('UA-normalized'!$D:$D, MATCH($A57, 'UA-normalized'!$A:$A, 0))-INDEX('UA-normalized'!$E:$E, MATCH($A57, 'UA-normalized'!$A:$A, 0))), 0), 0))+(IFERROR(IF(11*INDEX('KZ-normalized'!$D:$D, MATCH($A57, 'KZ-normalized'!$A:$A, 0))-INDEX('KZ-normalized'!$E:$E, MATCH($A57, 'KZ-normalized'!$A:$A, 0))&gt;0, -(11*INDEX('KZ-normalized'!$D:$D, MATCH($A57, 'KZ-normalized'!$A:$A, 0))-INDEX('KZ-normalized'!$E:$E, MATCH($A57, 'KZ-normalized'!$A:$A, 0))), 0), 0))+(IFERROR(IF(11*INDEX('UZ-normalized'!$D:$D, MATCH($A57, 'UZ-normalized'!$A:$A, 0))-INDEX('UZ-normalized'!$E:$E, MATCH($A57, 'UZ-normalized'!$A:$A, 0))&gt;0, -(11*INDEX('UZ-normalized'!$D:$D, MATCH($A57, 'UZ-normalized'!$A:$A, 0))-INDEX('UZ-normalized'!$E:$E, MATCH($A57, 'UZ-normalized'!$A:$A, 0))), 0), 0)))</f>
        <v>-1808.5</v>
      </c>
      <c r="Z57" s="6">
        <f>MIN(0, N57+(IFERROR(IF(12*INDEX('UA-normalized'!$D:$D, MATCH($A57, 'UA-normalized'!$A:$A, 0))-INDEX('UA-normalized'!$E:$E, MATCH($A57, 'UA-normalized'!$A:$A, 0))&gt;0, -(12*INDEX('UA-normalized'!$D:$D, MATCH($A57, 'UA-normalized'!$A:$A, 0))-INDEX('UA-normalized'!$E:$E, MATCH($A57, 'UA-normalized'!$A:$A, 0))), 0), 0))+(IFERROR(IF(12*INDEX('KZ-normalized'!$D:$D, MATCH($A57, 'KZ-normalized'!$A:$A, 0))-INDEX('KZ-normalized'!$E:$E, MATCH($A57, 'KZ-normalized'!$A:$A, 0))&gt;0, -(12*INDEX('KZ-normalized'!$D:$D, MATCH($A57, 'KZ-normalized'!$A:$A, 0))-INDEX('KZ-normalized'!$E:$E, MATCH($A57, 'KZ-normalized'!$A:$A, 0))), 0), 0))+(IFERROR(IF(12*INDEX('UZ-normalized'!$D:$D, MATCH($A57, 'UZ-normalized'!$A:$A, 0))-INDEX('UZ-normalized'!$E:$E, MATCH($A57, 'UZ-normalized'!$A:$A, 0))&gt;0, -(12*INDEX('UZ-normalized'!$D:$D, MATCH($A57, 'UZ-normalized'!$A:$A, 0))-INDEX('UZ-normalized'!$E:$E, MATCH($A57, 'UZ-normalized'!$A:$A, 0))), 0), 0)))</f>
        <v>-2953</v>
      </c>
      <c r="AA57" s="6">
        <f>MIN(0, N57+(IFERROR(IF(13*INDEX('UA-normalized'!$D:$D, MATCH($A57, 'UA-normalized'!$A:$A, 0))-INDEX('UA-normalized'!$E:$E, MATCH($A57, 'UA-normalized'!$A:$A, 0))&gt;0, -(13*INDEX('UA-normalized'!$D:$D, MATCH($A57, 'UA-normalized'!$A:$A, 0))-INDEX('UA-normalized'!$E:$E, MATCH($A57, 'UA-normalized'!$A:$A, 0))), 0), 0))+(IFERROR(IF(13*INDEX('KZ-normalized'!$D:$D, MATCH($A57, 'KZ-normalized'!$A:$A, 0))-INDEX('KZ-normalized'!$E:$E, MATCH($A57, 'KZ-normalized'!$A:$A, 0))&gt;0, -(13*INDEX('KZ-normalized'!$D:$D, MATCH($A57, 'KZ-normalized'!$A:$A, 0))-INDEX('KZ-normalized'!$E:$E, MATCH($A57, 'KZ-normalized'!$A:$A, 0))), 0), 0))+(IFERROR(IF(13*INDEX('UZ-normalized'!$D:$D, MATCH($A57, 'UZ-normalized'!$A:$A, 0))-INDEX('UZ-normalized'!$E:$E, MATCH($A57, 'UZ-normalized'!$A:$A, 0))&gt;0, -(13*INDEX('UZ-normalized'!$D:$D, MATCH($A57, 'UZ-normalized'!$A:$A, 0))-INDEX('UZ-normalized'!$E:$E, MATCH($A57, 'UZ-normalized'!$A:$A, 0))), 0), 0)))</f>
        <v>-4097.5</v>
      </c>
      <c r="AB57" s="6">
        <f>MIN(0, N57+(IFERROR(IF(14*INDEX('UA-normalized'!$D:$D, MATCH($A57, 'UA-normalized'!$A:$A, 0))-INDEX('UA-normalized'!$E:$E, MATCH($A57, 'UA-normalized'!$A:$A, 0))&gt;0, -(14*INDEX('UA-normalized'!$D:$D, MATCH($A57, 'UA-normalized'!$A:$A, 0))-INDEX('UA-normalized'!$E:$E, MATCH($A57, 'UA-normalized'!$A:$A, 0))), 0), 0))+(IFERROR(IF(14*INDEX('KZ-normalized'!$D:$D, MATCH($A57, 'KZ-normalized'!$A:$A, 0))-INDEX('KZ-normalized'!$E:$E, MATCH($A57, 'KZ-normalized'!$A:$A, 0))&gt;0, -(14*INDEX('KZ-normalized'!$D:$D, MATCH($A57, 'KZ-normalized'!$A:$A, 0))-INDEX('KZ-normalized'!$E:$E, MATCH($A57, 'KZ-normalized'!$A:$A, 0))), 0), 0))+(IFERROR(IF(14*INDEX('UZ-normalized'!$D:$D, MATCH($A57, 'UZ-normalized'!$A:$A, 0))-INDEX('UZ-normalized'!$E:$E, MATCH($A57, 'UZ-normalized'!$A:$A, 0))&gt;0, -(14*INDEX('UZ-normalized'!$D:$D, MATCH($A57, 'UZ-normalized'!$A:$A, 0))-INDEX('UZ-normalized'!$E:$E, MATCH($A57, 'UZ-normalized'!$A:$A, 0))), 0), 0)))</f>
        <v>-5242</v>
      </c>
      <c r="AC57" s="6">
        <f>MIN(0, N57+(IFERROR(IF(15*INDEX('UA-normalized'!$D:$D, MATCH($A57, 'UA-normalized'!$A:$A, 0))-INDEX('UA-normalized'!$E:$E, MATCH($A57, 'UA-normalized'!$A:$A, 0))&gt;0, -(15*INDEX('UA-normalized'!$D:$D, MATCH($A57, 'UA-normalized'!$A:$A, 0))-INDEX('UA-normalized'!$E:$E, MATCH($A57, 'UA-normalized'!$A:$A, 0))), 0), 0))+(IFERROR(IF(15*INDEX('KZ-normalized'!$D:$D, MATCH($A57, 'KZ-normalized'!$A:$A, 0))-INDEX('KZ-normalized'!$E:$E, MATCH($A57, 'KZ-normalized'!$A:$A, 0))&gt;0, -(15*INDEX('KZ-normalized'!$D:$D, MATCH($A57, 'KZ-normalized'!$A:$A, 0))-INDEX('KZ-normalized'!$E:$E, MATCH($A57, 'KZ-normalized'!$A:$A, 0))), 0), 0))+(IFERROR(IF(15*INDEX('UZ-normalized'!$D:$D, MATCH($A57, 'UZ-normalized'!$A:$A, 0))-INDEX('UZ-normalized'!$E:$E, MATCH($A57, 'UZ-normalized'!$A:$A, 0))&gt;0, -(15*INDEX('UZ-normalized'!$D:$D, MATCH($A57, 'UZ-normalized'!$A:$A, 0))-INDEX('UZ-normalized'!$E:$E, MATCH($A57, 'UZ-normalized'!$A:$A, 0))), 0), 0)))</f>
        <v>-6386.5</v>
      </c>
      <c r="AD57" s="6">
        <f>MIN(0, N57+(IFERROR(IF(16*INDEX('UA-normalized'!$D:$D, MATCH($A57, 'UA-normalized'!$A:$A, 0))-INDEX('UA-normalized'!$E:$E, MATCH($A57, 'UA-normalized'!$A:$A, 0))&gt;0, -(16*INDEX('UA-normalized'!$D:$D, MATCH($A57, 'UA-normalized'!$A:$A, 0))-INDEX('UA-normalized'!$E:$E, MATCH($A57, 'UA-normalized'!$A:$A, 0))), 0), 0))+(IFERROR(IF(16*INDEX('KZ-normalized'!$D:$D, MATCH($A57, 'KZ-normalized'!$A:$A, 0))-INDEX('KZ-normalized'!$E:$E, MATCH($A57, 'KZ-normalized'!$A:$A, 0))&gt;0, -(16*INDEX('KZ-normalized'!$D:$D, MATCH($A57, 'KZ-normalized'!$A:$A, 0))-INDEX('KZ-normalized'!$E:$E, MATCH($A57, 'KZ-normalized'!$A:$A, 0))), 0), 0))+(IFERROR(IF(16*INDEX('UZ-normalized'!$D:$D, MATCH($A57, 'UZ-normalized'!$A:$A, 0))-INDEX('UZ-normalized'!$E:$E, MATCH($A57, 'UZ-normalized'!$A:$A, 0))&gt;0, -(16*INDEX('UZ-normalized'!$D:$D, MATCH($A57, 'UZ-normalized'!$A:$A, 0))-INDEX('UZ-normalized'!$E:$E, MATCH($A57, 'UZ-normalized'!$A:$A, 0))), 0), 0)))</f>
        <v>-7531</v>
      </c>
      <c r="AE57" s="6">
        <f>MIN(0, N57+(IFERROR(IF(17*INDEX('UA-normalized'!$D:$D, MATCH($A57, 'UA-normalized'!$A:$A, 0))-INDEX('UA-normalized'!$E:$E, MATCH($A57, 'UA-normalized'!$A:$A, 0))&gt;0, -(17*INDEX('UA-normalized'!$D:$D, MATCH($A57, 'UA-normalized'!$A:$A, 0))-INDEX('UA-normalized'!$E:$E, MATCH($A57, 'UA-normalized'!$A:$A, 0))), 0), 0))+(IFERROR(IF(17*INDEX('KZ-normalized'!$D:$D, MATCH($A57, 'KZ-normalized'!$A:$A, 0))-INDEX('KZ-normalized'!$E:$E, MATCH($A57, 'KZ-normalized'!$A:$A, 0))&gt;0, -(17*INDEX('KZ-normalized'!$D:$D, MATCH($A57, 'KZ-normalized'!$A:$A, 0))-INDEX('KZ-normalized'!$E:$E, MATCH($A57, 'KZ-normalized'!$A:$A, 0))), 0), 0))+(IFERROR(IF(17*INDEX('UZ-normalized'!$D:$D, MATCH($A57, 'UZ-normalized'!$A:$A, 0))-INDEX('UZ-normalized'!$E:$E, MATCH($A57, 'UZ-normalized'!$A:$A, 0))&gt;0, -(17*INDEX('UZ-normalized'!$D:$D, MATCH($A57, 'UZ-normalized'!$A:$A, 0))-INDEX('UZ-normalized'!$E:$E, MATCH($A57, 'UZ-normalized'!$A:$A, 0))), 0), 0)))</f>
        <v>-8675.5</v>
      </c>
      <c r="AF57" s="6">
        <f>MIN(0, N57+(IFERROR(IF(18*INDEX('UA-normalized'!$D:$D, MATCH($A57, 'UA-normalized'!$A:$A, 0))-INDEX('UA-normalized'!$E:$E, MATCH($A57, 'UA-normalized'!$A:$A, 0))&gt;0, -(18*INDEX('UA-normalized'!$D:$D, MATCH($A57, 'UA-normalized'!$A:$A, 0))-INDEX('UA-normalized'!$E:$E, MATCH($A57, 'UA-normalized'!$A:$A, 0))), 0), 0))+(IFERROR(IF(18*INDEX('KZ-normalized'!$D:$D, MATCH($A57, 'KZ-normalized'!$A:$A, 0))-INDEX('KZ-normalized'!$E:$E, MATCH($A57, 'KZ-normalized'!$A:$A, 0))&gt;0, -(18*INDEX('KZ-normalized'!$D:$D, MATCH($A57, 'KZ-normalized'!$A:$A, 0))-INDEX('KZ-normalized'!$E:$E, MATCH($A57, 'KZ-normalized'!$A:$A, 0))), 0), 0))+(IFERROR(IF(18*INDEX('UZ-normalized'!$D:$D, MATCH($A57, 'UZ-normalized'!$A:$A, 0))-INDEX('UZ-normalized'!$E:$E, MATCH($A57, 'UZ-normalized'!$A:$A, 0))&gt;0, -(18*INDEX('UZ-normalized'!$D:$D, MATCH($A57, 'UZ-normalized'!$A:$A, 0))-INDEX('UZ-normalized'!$E:$E, MATCH($A57, 'UZ-normalized'!$A:$A, 0))), 0), 0)))</f>
        <v>-9820</v>
      </c>
      <c r="AG57" s="6">
        <f>MIN(0, N57+(IFERROR(IF(19*INDEX('UA-normalized'!$D:$D, MATCH($A57, 'UA-normalized'!$A:$A, 0))-INDEX('UA-normalized'!$E:$E, MATCH($A57, 'UA-normalized'!$A:$A, 0))&gt;0, -(19*INDEX('UA-normalized'!$D:$D, MATCH($A57, 'UA-normalized'!$A:$A, 0))-INDEX('UA-normalized'!$E:$E, MATCH($A57, 'UA-normalized'!$A:$A, 0))), 0), 0))+(IFERROR(IF(19*INDEX('KZ-normalized'!$D:$D, MATCH($A57, 'KZ-normalized'!$A:$A, 0))-INDEX('KZ-normalized'!$E:$E, MATCH($A57, 'KZ-normalized'!$A:$A, 0))&gt;0, -(19*INDEX('KZ-normalized'!$D:$D, MATCH($A57, 'KZ-normalized'!$A:$A, 0))-INDEX('KZ-normalized'!$E:$E, MATCH($A57, 'KZ-normalized'!$A:$A, 0))), 0), 0))+(IFERROR(IF(19*INDEX('UZ-normalized'!$D:$D, MATCH($A57, 'UZ-normalized'!$A:$A, 0))-INDEX('UZ-normalized'!$E:$E, MATCH($A57, 'UZ-normalized'!$A:$A, 0))&gt;0, -(19*INDEX('UZ-normalized'!$D:$D, MATCH($A57, 'UZ-normalized'!$A:$A, 0))-INDEX('UZ-normalized'!$E:$E, MATCH($A57, 'UZ-normalized'!$A:$A, 0))), 0), 0)))</f>
        <v>-10964.5</v>
      </c>
      <c r="AH57" s="6">
        <f>MIN(0, N57+(IFERROR(IF(20*INDEX('UA-normalized'!$D:$D, MATCH($A57, 'UA-normalized'!$A:$A, 0))-INDEX('UA-normalized'!$E:$E, MATCH($A57, 'UA-normalized'!$A:$A, 0))&gt;0, -(20*INDEX('UA-normalized'!$D:$D, MATCH($A57, 'UA-normalized'!$A:$A, 0))-INDEX('UA-normalized'!$E:$E, MATCH($A57, 'UA-normalized'!$A:$A, 0))), 0), 0))+(IFERROR(IF(20*INDEX('KZ-normalized'!$D:$D, MATCH($A57, 'KZ-normalized'!$A:$A, 0))-INDEX('KZ-normalized'!$E:$E, MATCH($A57, 'KZ-normalized'!$A:$A, 0))&gt;0, -(20*INDEX('KZ-normalized'!$D:$D, MATCH($A57, 'KZ-normalized'!$A:$A, 0))-INDEX('KZ-normalized'!$E:$E, MATCH($A57, 'KZ-normalized'!$A:$A, 0))), 0), 0))+(IFERROR(IF(20*INDEX('UZ-normalized'!$D:$D, MATCH($A57, 'UZ-normalized'!$A:$A, 0))-INDEX('UZ-normalized'!$E:$E, MATCH($A57, 'UZ-normalized'!$A:$A, 0))&gt;0, -(20*INDEX('UZ-normalized'!$D:$D, MATCH($A57, 'UZ-normalized'!$A:$A, 0))-INDEX('UZ-normalized'!$E:$E, MATCH($A57, 'UZ-normalized'!$A:$A, 0))), 0), 0)))</f>
        <v>-12109</v>
      </c>
      <c r="AI57" s="6">
        <f>MIN(0, N57+(IFERROR(IF(21*INDEX('UA-normalized'!$D:$D, MATCH($A57, 'UA-normalized'!$A:$A, 0))-INDEX('UA-normalized'!$E:$E, MATCH($A57, 'UA-normalized'!$A:$A, 0))&gt;0, -(21*INDEX('UA-normalized'!$D:$D, MATCH($A57, 'UA-normalized'!$A:$A, 0))-INDEX('UA-normalized'!$E:$E, MATCH($A57, 'UA-normalized'!$A:$A, 0))), 0), 0))+(IFERROR(IF(21*INDEX('KZ-normalized'!$D:$D, MATCH($A57, 'KZ-normalized'!$A:$A, 0))-INDEX('KZ-normalized'!$E:$E, MATCH($A57, 'KZ-normalized'!$A:$A, 0))&gt;0, -(21*INDEX('KZ-normalized'!$D:$D, MATCH($A57, 'KZ-normalized'!$A:$A, 0))-INDEX('KZ-normalized'!$E:$E, MATCH($A57, 'KZ-normalized'!$A:$A, 0))), 0), 0))+(IFERROR(IF(21*INDEX('UZ-normalized'!$D:$D, MATCH($A57, 'UZ-normalized'!$A:$A, 0))-INDEX('UZ-normalized'!$E:$E, MATCH($A57, 'UZ-normalized'!$A:$A, 0))&gt;0, -(21*INDEX('UZ-normalized'!$D:$D, MATCH($A57, 'UZ-normalized'!$A:$A, 0))-INDEX('UZ-normalized'!$E:$E, MATCH($A57, 'UZ-normalized'!$A:$A, 0))), 0), 0)))</f>
        <v>-13253.5</v>
      </c>
      <c r="AJ57" s="6">
        <f>MIN(0, N57+(IFERROR(IF(22*INDEX('UA-normalized'!$D:$D, MATCH($A57, 'UA-normalized'!$A:$A, 0))-INDEX('UA-normalized'!$E:$E, MATCH($A57, 'UA-normalized'!$A:$A, 0))&gt;0, -(22*INDEX('UA-normalized'!$D:$D, MATCH($A57, 'UA-normalized'!$A:$A, 0))-INDEX('UA-normalized'!$E:$E, MATCH($A57, 'UA-normalized'!$A:$A, 0))), 0), 0))+(IFERROR(IF(22*INDEX('KZ-normalized'!$D:$D, MATCH($A57, 'KZ-normalized'!$A:$A, 0))-INDEX('KZ-normalized'!$E:$E, MATCH($A57, 'KZ-normalized'!$A:$A, 0))&gt;0, -(22*INDEX('KZ-normalized'!$D:$D, MATCH($A57, 'KZ-normalized'!$A:$A, 0))-INDEX('KZ-normalized'!$E:$E, MATCH($A57, 'KZ-normalized'!$A:$A, 0))), 0), 0))+(IFERROR(IF(22*INDEX('UZ-normalized'!$D:$D, MATCH($A57, 'UZ-normalized'!$A:$A, 0))-INDEX('UZ-normalized'!$E:$E, MATCH($A57, 'UZ-normalized'!$A:$A, 0))&gt;0, -(22*INDEX('UZ-normalized'!$D:$D, MATCH($A57, 'UZ-normalized'!$A:$A, 0))-INDEX('UZ-normalized'!$E:$E, MATCH($A57, 'UZ-normalized'!$A:$A, 0))), 0), 0)))</f>
        <v>-14398</v>
      </c>
      <c r="AK57" s="6">
        <f>MIN(0, N57+(IFERROR(IF(23*INDEX('UA-normalized'!$D:$D, MATCH($A57, 'UA-normalized'!$A:$A, 0))-INDEX('UA-normalized'!$E:$E, MATCH($A57, 'UA-normalized'!$A:$A, 0))&gt;0, -(23*INDEX('UA-normalized'!$D:$D, MATCH($A57, 'UA-normalized'!$A:$A, 0))-INDEX('UA-normalized'!$E:$E, MATCH($A57, 'UA-normalized'!$A:$A, 0))), 0), 0))+(IFERROR(IF(23*INDEX('KZ-normalized'!$D:$D, MATCH($A57, 'KZ-normalized'!$A:$A, 0))-INDEX('KZ-normalized'!$E:$E, MATCH($A57, 'KZ-normalized'!$A:$A, 0))&gt;0, -(23*INDEX('KZ-normalized'!$D:$D, MATCH($A57, 'KZ-normalized'!$A:$A, 0))-INDEX('KZ-normalized'!$E:$E, MATCH($A57, 'KZ-normalized'!$A:$A, 0))), 0), 0))+(IFERROR(IF(23*INDEX('UZ-normalized'!$D:$D, MATCH($A57, 'UZ-normalized'!$A:$A, 0))-INDEX('UZ-normalized'!$E:$E, MATCH($A57, 'UZ-normalized'!$A:$A, 0))&gt;0, -(23*INDEX('UZ-normalized'!$D:$D, MATCH($A57, 'UZ-normalized'!$A:$A, 0))-INDEX('UZ-normalized'!$E:$E, MATCH($A57, 'UZ-normalized'!$A:$A, 0))), 0), 0)))</f>
        <v>-15542.5</v>
      </c>
      <c r="AL57" s="6">
        <f>MIN(0, N57+(IFERROR(IF(24*INDEX('UA-normalized'!$D:$D, MATCH($A57, 'UA-normalized'!$A:$A, 0))-INDEX('UA-normalized'!$E:$E, MATCH($A57, 'UA-normalized'!$A:$A, 0))&gt;0, -(24*INDEX('UA-normalized'!$D:$D, MATCH($A57, 'UA-normalized'!$A:$A, 0))-INDEX('UA-normalized'!$E:$E, MATCH($A57, 'UA-normalized'!$A:$A, 0))), 0), 0))+(IFERROR(IF(24*INDEX('KZ-normalized'!$D:$D, MATCH($A57, 'KZ-normalized'!$A:$A, 0))-INDEX('KZ-normalized'!$E:$E, MATCH($A57, 'KZ-normalized'!$A:$A, 0))&gt;0, -(24*INDEX('KZ-normalized'!$D:$D, MATCH($A57, 'KZ-normalized'!$A:$A, 0))-INDEX('KZ-normalized'!$E:$E, MATCH($A57, 'KZ-normalized'!$A:$A, 0))), 0), 0))+(IFERROR(IF(24*INDEX('UZ-normalized'!$D:$D, MATCH($A57, 'UZ-normalized'!$A:$A, 0))-INDEX('UZ-normalized'!$E:$E, MATCH($A57, 'UZ-normalized'!$A:$A, 0))&gt;0, -(24*INDEX('UZ-normalized'!$D:$D, MATCH($A57, 'UZ-normalized'!$A:$A, 0))-INDEX('UZ-normalized'!$E:$E, MATCH($A57, 'UZ-normalized'!$A:$A, 0))), 0), 0)))</f>
        <v>-16687</v>
      </c>
      <c r="AM57" s="6">
        <f>MIN(0, N57+(IFERROR(IF(25*INDEX('UA-normalized'!$D:$D, MATCH($A57, 'UA-normalized'!$A:$A, 0))-INDEX('UA-normalized'!$E:$E, MATCH($A57, 'UA-normalized'!$A:$A, 0))&gt;0, -(25*INDEX('UA-normalized'!$D:$D, MATCH($A57, 'UA-normalized'!$A:$A, 0))-INDEX('UA-normalized'!$E:$E, MATCH($A57, 'UA-normalized'!$A:$A, 0))), 0), 0))+(IFERROR(IF(25*INDEX('KZ-normalized'!$D:$D, MATCH($A57, 'KZ-normalized'!$A:$A, 0))-INDEX('KZ-normalized'!$E:$E, MATCH($A57, 'KZ-normalized'!$A:$A, 0))&gt;0, -(25*INDEX('KZ-normalized'!$D:$D, MATCH($A57, 'KZ-normalized'!$A:$A, 0))-INDEX('KZ-normalized'!$E:$E, MATCH($A57, 'KZ-normalized'!$A:$A, 0))), 0), 0))+(IFERROR(IF(25*INDEX('UZ-normalized'!$D:$D, MATCH($A57, 'UZ-normalized'!$A:$A, 0))-INDEX('UZ-normalized'!$E:$E, MATCH($A57, 'UZ-normalized'!$A:$A, 0))&gt;0, -(25*INDEX('UZ-normalized'!$D:$D, MATCH($A57, 'UZ-normalized'!$A:$A, 0))-INDEX('UZ-normalized'!$E:$E, MATCH($A57, 'UZ-normalized'!$A:$A, 0))), 0), 0)))</f>
        <v>-17831.5</v>
      </c>
      <c r="AN57" s="6">
        <f>MIN(0, N57+(IFERROR(IF(26*INDEX('UA-normalized'!$D:$D, MATCH($A57, 'UA-normalized'!$A:$A, 0))-INDEX('UA-normalized'!$E:$E, MATCH($A57, 'UA-normalized'!$A:$A, 0))&gt;0, -(26*INDEX('UA-normalized'!$D:$D, MATCH($A57, 'UA-normalized'!$A:$A, 0))-INDEX('UA-normalized'!$E:$E, MATCH($A57, 'UA-normalized'!$A:$A, 0))), 0), 0))+(IFERROR(IF(26*INDEX('KZ-normalized'!$D:$D, MATCH($A57, 'KZ-normalized'!$A:$A, 0))-INDEX('KZ-normalized'!$E:$E, MATCH($A57, 'KZ-normalized'!$A:$A, 0))&gt;0, -(26*INDEX('KZ-normalized'!$D:$D, MATCH($A57, 'KZ-normalized'!$A:$A, 0))-INDEX('KZ-normalized'!$E:$E, MATCH($A57, 'KZ-normalized'!$A:$A, 0))), 0), 0))+(IFERROR(IF(26*INDEX('UZ-normalized'!$D:$D, MATCH($A57, 'UZ-normalized'!$A:$A, 0))-INDEX('UZ-normalized'!$E:$E, MATCH($A57, 'UZ-normalized'!$A:$A, 0))&gt;0, -(26*INDEX('UZ-normalized'!$D:$D, MATCH($A57, 'UZ-normalized'!$A:$A, 0))-INDEX('UZ-normalized'!$E:$E, MATCH($A57, 'UZ-normalized'!$A:$A, 0))), 0), 0)))</f>
        <v>-18976</v>
      </c>
      <c r="AO57" s="6">
        <f>MIN(0, N57+(IFERROR(IF(27*INDEX('UA-normalized'!$D:$D, MATCH($A57, 'UA-normalized'!$A:$A, 0))-INDEX('UA-normalized'!$E:$E, MATCH($A57, 'UA-normalized'!$A:$A, 0))&gt;0, -(27*INDEX('UA-normalized'!$D:$D, MATCH($A57, 'UA-normalized'!$A:$A, 0))-INDEX('UA-normalized'!$E:$E, MATCH($A57, 'UA-normalized'!$A:$A, 0))), 0), 0))+(IFERROR(IF(27*INDEX('KZ-normalized'!$D:$D, MATCH($A57, 'KZ-normalized'!$A:$A, 0))-INDEX('KZ-normalized'!$E:$E, MATCH($A57, 'KZ-normalized'!$A:$A, 0))&gt;0, -(27*INDEX('KZ-normalized'!$D:$D, MATCH($A57, 'KZ-normalized'!$A:$A, 0))-INDEX('KZ-normalized'!$E:$E, MATCH($A57, 'KZ-normalized'!$A:$A, 0))), 0), 0))+(IFERROR(IF(27*INDEX('UZ-normalized'!$D:$D, MATCH($A57, 'UZ-normalized'!$A:$A, 0))-INDEX('UZ-normalized'!$E:$E, MATCH($A57, 'UZ-normalized'!$A:$A, 0))&gt;0, -(27*INDEX('UZ-normalized'!$D:$D, MATCH($A57, 'UZ-normalized'!$A:$A, 0))-INDEX('UZ-normalized'!$E:$E, MATCH($A57, 'UZ-normalized'!$A:$A, 0))), 0), 0)))</f>
        <v>-20120.5</v>
      </c>
      <c r="AP57" s="6">
        <f>MIN(0, N57+(IFERROR(IF(28*INDEX('UA-normalized'!$D:$D, MATCH($A57, 'UA-normalized'!$A:$A, 0))-INDEX('UA-normalized'!$E:$E, MATCH($A57, 'UA-normalized'!$A:$A, 0))&gt;0, -(28*INDEX('UA-normalized'!$D:$D, MATCH($A57, 'UA-normalized'!$A:$A, 0))-INDEX('UA-normalized'!$E:$E, MATCH($A57, 'UA-normalized'!$A:$A, 0))), 0), 0))+(IFERROR(IF(28*INDEX('KZ-normalized'!$D:$D, MATCH($A57, 'KZ-normalized'!$A:$A, 0))-INDEX('KZ-normalized'!$E:$E, MATCH($A57, 'KZ-normalized'!$A:$A, 0))&gt;0, -(28*INDEX('KZ-normalized'!$D:$D, MATCH($A57, 'KZ-normalized'!$A:$A, 0))-INDEX('KZ-normalized'!$E:$E, MATCH($A57, 'KZ-normalized'!$A:$A, 0))), 0), 0))+(IFERROR(IF(28*INDEX('UZ-normalized'!$D:$D, MATCH($A57, 'UZ-normalized'!$A:$A, 0))-INDEX('UZ-normalized'!$E:$E, MATCH($A57, 'UZ-normalized'!$A:$A, 0))&gt;0, -(28*INDEX('UZ-normalized'!$D:$D, MATCH($A57, 'UZ-normalized'!$A:$A, 0))-INDEX('UZ-normalized'!$E:$E, MATCH($A57, 'UZ-normalized'!$A:$A, 0))), 0), 0)))</f>
        <v>-21265</v>
      </c>
      <c r="AQ57" s="6">
        <f>MIN(0, N57+(IFERROR(IF(29*INDEX('UA-normalized'!$D:$D, MATCH($A57, 'UA-normalized'!$A:$A, 0))-INDEX('UA-normalized'!$E:$E, MATCH($A57, 'UA-normalized'!$A:$A, 0))&gt;0, -(29*INDEX('UA-normalized'!$D:$D, MATCH($A57, 'UA-normalized'!$A:$A, 0))-INDEX('UA-normalized'!$E:$E, MATCH($A57, 'UA-normalized'!$A:$A, 0))), 0), 0))+(IFERROR(IF(29*INDEX('KZ-normalized'!$D:$D, MATCH($A57, 'KZ-normalized'!$A:$A, 0))-INDEX('KZ-normalized'!$E:$E, MATCH($A57, 'KZ-normalized'!$A:$A, 0))&gt;0, -(29*INDEX('KZ-normalized'!$D:$D, MATCH($A57, 'KZ-normalized'!$A:$A, 0))-INDEX('KZ-normalized'!$E:$E, MATCH($A57, 'KZ-normalized'!$A:$A, 0))), 0), 0))+(IFERROR(IF(29*INDEX('UZ-normalized'!$D:$D, MATCH($A57, 'UZ-normalized'!$A:$A, 0))-INDEX('UZ-normalized'!$E:$E, MATCH($A57, 'UZ-normalized'!$A:$A, 0))&gt;0, -(29*INDEX('UZ-normalized'!$D:$D, MATCH($A57, 'UZ-normalized'!$A:$A, 0))-INDEX('UZ-normalized'!$E:$E, MATCH($A57, 'UZ-normalized'!$A:$A, 0))), 0), 0)))</f>
        <v>-22409.5</v>
      </c>
      <c r="AR57" s="6">
        <f>MIN(0, N57+(IFERROR(IF(30*INDEX('UA-normalized'!$D:$D, MATCH($A57, 'UA-normalized'!$A:$A, 0))-INDEX('UA-normalized'!$E:$E, MATCH($A57, 'UA-normalized'!$A:$A, 0))&gt;0, -(30*INDEX('UA-normalized'!$D:$D, MATCH($A57, 'UA-normalized'!$A:$A, 0))-INDEX('UA-normalized'!$E:$E, MATCH($A57, 'UA-normalized'!$A:$A, 0))), 0), 0))+(IFERROR(IF(30*INDEX('KZ-normalized'!$D:$D, MATCH($A57, 'KZ-normalized'!$A:$A, 0))-INDEX('KZ-normalized'!$E:$E, MATCH($A57, 'KZ-normalized'!$A:$A, 0))&gt;0, -(30*INDEX('KZ-normalized'!$D:$D, MATCH($A57, 'KZ-normalized'!$A:$A, 0))-INDEX('KZ-normalized'!$E:$E, MATCH($A57, 'KZ-normalized'!$A:$A, 0))), 0), 0))+(IFERROR(IF(30*INDEX('UZ-normalized'!$D:$D, MATCH($A57, 'UZ-normalized'!$A:$A, 0))-INDEX('UZ-normalized'!$E:$E, MATCH($A57, 'UZ-normalized'!$A:$A, 0))&gt;0, -(30*INDEX('UZ-normalized'!$D:$D, MATCH($A57, 'UZ-normalized'!$A:$A, 0))-INDEX('UZ-normalized'!$E:$E, MATCH($A57, 'UZ-normalized'!$A:$A, 0))), 0), 0)))</f>
        <v>-23554</v>
      </c>
    </row>
    <row r="58" spans="1:44" x14ac:dyDescent="0.25">
      <c r="A58" s="8" t="s">
        <v>161</v>
      </c>
      <c r="B58" s="8" t="s">
        <v>83</v>
      </c>
      <c r="C58" s="8" t="s">
        <v>145</v>
      </c>
      <c r="D58" s="8" t="s">
        <v>162</v>
      </c>
      <c r="G58">
        <v>-5</v>
      </c>
      <c r="I58">
        <v>300</v>
      </c>
      <c r="N58">
        <f t="shared" si="0"/>
        <v>295</v>
      </c>
      <c r="O58" s="6">
        <f>MIN(0, N58+(IFERROR(IF(1*INDEX('UA-normalized'!$D:$D, MATCH($A58, 'UA-normalized'!$A:$A, 0))-INDEX('UA-normalized'!$E:$E, MATCH($A58, 'UA-normalized'!$A:$A, 0))&gt;0, -(1*INDEX('UA-normalized'!$D:$D, MATCH($A58, 'UA-normalized'!$A:$A, 0))-INDEX('UA-normalized'!$E:$E, MATCH($A58, 'UA-normalized'!$A:$A, 0))), 0), 0))+(IFERROR(IF(1*INDEX('KZ-normalized'!$D:$D, MATCH($A58, 'KZ-normalized'!$A:$A, 0))-INDEX('KZ-normalized'!$E:$E, MATCH($A58, 'KZ-normalized'!$A:$A, 0))&gt;0, -(1*INDEX('KZ-normalized'!$D:$D, MATCH($A58, 'KZ-normalized'!$A:$A, 0))-INDEX('KZ-normalized'!$E:$E, MATCH($A58, 'KZ-normalized'!$A:$A, 0))), 0), 0))+(IFERROR(IF(1*INDEX('UZ-normalized'!$D:$D, MATCH($A58, 'UZ-normalized'!$A:$A, 0))-INDEX('UZ-normalized'!$E:$E, MATCH($A58, 'UZ-normalized'!$A:$A, 0))&gt;0, -(1*INDEX('UZ-normalized'!$D:$D, MATCH($A58, 'UZ-normalized'!$A:$A, 0))-INDEX('UZ-normalized'!$E:$E, MATCH($A58, 'UZ-normalized'!$A:$A, 0))), 0), 0)))</f>
        <v>0</v>
      </c>
      <c r="P58" s="6">
        <f>MIN(0, N58+(IFERROR(IF(2*INDEX('UA-normalized'!$D:$D, MATCH($A58, 'UA-normalized'!$A:$A, 0))-INDEX('UA-normalized'!$E:$E, MATCH($A58, 'UA-normalized'!$A:$A, 0))&gt;0, -(2*INDEX('UA-normalized'!$D:$D, MATCH($A58, 'UA-normalized'!$A:$A, 0))-INDEX('UA-normalized'!$E:$E, MATCH($A58, 'UA-normalized'!$A:$A, 0))), 0), 0))+(IFERROR(IF(2*INDEX('KZ-normalized'!$D:$D, MATCH($A58, 'KZ-normalized'!$A:$A, 0))-INDEX('KZ-normalized'!$E:$E, MATCH($A58, 'KZ-normalized'!$A:$A, 0))&gt;0, -(2*INDEX('KZ-normalized'!$D:$D, MATCH($A58, 'KZ-normalized'!$A:$A, 0))-INDEX('KZ-normalized'!$E:$E, MATCH($A58, 'KZ-normalized'!$A:$A, 0))), 0), 0))+(IFERROR(IF(2*INDEX('UZ-normalized'!$D:$D, MATCH($A58, 'UZ-normalized'!$A:$A, 0))-INDEX('UZ-normalized'!$E:$E, MATCH($A58, 'UZ-normalized'!$A:$A, 0))&gt;0, -(2*INDEX('UZ-normalized'!$D:$D, MATCH($A58, 'UZ-normalized'!$A:$A, 0))-INDEX('UZ-normalized'!$E:$E, MATCH($A58, 'UZ-normalized'!$A:$A, 0))), 0), 0)))</f>
        <v>0</v>
      </c>
      <c r="Q58" s="6">
        <f>MIN(0, N58+(IFERROR(IF(3*INDEX('UA-normalized'!$D:$D, MATCH($A58, 'UA-normalized'!$A:$A, 0))-INDEX('UA-normalized'!$E:$E, MATCH($A58, 'UA-normalized'!$A:$A, 0))&gt;0, -(3*INDEX('UA-normalized'!$D:$D, MATCH($A58, 'UA-normalized'!$A:$A, 0))-INDEX('UA-normalized'!$E:$E, MATCH($A58, 'UA-normalized'!$A:$A, 0))), 0), 0))+(IFERROR(IF(3*INDEX('KZ-normalized'!$D:$D, MATCH($A58, 'KZ-normalized'!$A:$A, 0))-INDEX('KZ-normalized'!$E:$E, MATCH($A58, 'KZ-normalized'!$A:$A, 0))&gt;0, -(3*INDEX('KZ-normalized'!$D:$D, MATCH($A58, 'KZ-normalized'!$A:$A, 0))-INDEX('KZ-normalized'!$E:$E, MATCH($A58, 'KZ-normalized'!$A:$A, 0))), 0), 0))+(IFERROR(IF(3*INDEX('UZ-normalized'!$D:$D, MATCH($A58, 'UZ-normalized'!$A:$A, 0))-INDEX('UZ-normalized'!$E:$E, MATCH($A58, 'UZ-normalized'!$A:$A, 0))&gt;0, -(3*INDEX('UZ-normalized'!$D:$D, MATCH($A58, 'UZ-normalized'!$A:$A, 0))-INDEX('UZ-normalized'!$E:$E, MATCH($A58, 'UZ-normalized'!$A:$A, 0))), 0), 0)))</f>
        <v>0</v>
      </c>
      <c r="R58" s="6">
        <f>MIN(0, N58+(IFERROR(IF(4*INDEX('UA-normalized'!$D:$D, MATCH($A58, 'UA-normalized'!$A:$A, 0))-INDEX('UA-normalized'!$E:$E, MATCH($A58, 'UA-normalized'!$A:$A, 0))&gt;0, -(4*INDEX('UA-normalized'!$D:$D, MATCH($A58, 'UA-normalized'!$A:$A, 0))-INDEX('UA-normalized'!$E:$E, MATCH($A58, 'UA-normalized'!$A:$A, 0))), 0), 0))+(IFERROR(IF(4*INDEX('KZ-normalized'!$D:$D, MATCH($A58, 'KZ-normalized'!$A:$A, 0))-INDEX('KZ-normalized'!$E:$E, MATCH($A58, 'KZ-normalized'!$A:$A, 0))&gt;0, -(4*INDEX('KZ-normalized'!$D:$D, MATCH($A58, 'KZ-normalized'!$A:$A, 0))-INDEX('KZ-normalized'!$E:$E, MATCH($A58, 'KZ-normalized'!$A:$A, 0))), 0), 0))+(IFERROR(IF(4*INDEX('UZ-normalized'!$D:$D, MATCH($A58, 'UZ-normalized'!$A:$A, 0))-INDEX('UZ-normalized'!$E:$E, MATCH($A58, 'UZ-normalized'!$A:$A, 0))&gt;0, -(4*INDEX('UZ-normalized'!$D:$D, MATCH($A58, 'UZ-normalized'!$A:$A, 0))-INDEX('UZ-normalized'!$E:$E, MATCH($A58, 'UZ-normalized'!$A:$A, 0))), 0), 0)))</f>
        <v>0</v>
      </c>
      <c r="S58" s="6">
        <f>MIN(0, N58+(IFERROR(IF(5*INDEX('UA-normalized'!$D:$D, MATCH($A58, 'UA-normalized'!$A:$A, 0))-INDEX('UA-normalized'!$E:$E, MATCH($A58, 'UA-normalized'!$A:$A, 0))&gt;0, -(5*INDEX('UA-normalized'!$D:$D, MATCH($A58, 'UA-normalized'!$A:$A, 0))-INDEX('UA-normalized'!$E:$E, MATCH($A58, 'UA-normalized'!$A:$A, 0))), 0), 0))+(IFERROR(IF(5*INDEX('KZ-normalized'!$D:$D, MATCH($A58, 'KZ-normalized'!$A:$A, 0))-INDEX('KZ-normalized'!$E:$E, MATCH($A58, 'KZ-normalized'!$A:$A, 0))&gt;0, -(5*INDEX('KZ-normalized'!$D:$D, MATCH($A58, 'KZ-normalized'!$A:$A, 0))-INDEX('KZ-normalized'!$E:$E, MATCH($A58, 'KZ-normalized'!$A:$A, 0))), 0), 0))+(IFERROR(IF(5*INDEX('UZ-normalized'!$D:$D, MATCH($A58, 'UZ-normalized'!$A:$A, 0))-INDEX('UZ-normalized'!$E:$E, MATCH($A58, 'UZ-normalized'!$A:$A, 0))&gt;0, -(5*INDEX('UZ-normalized'!$D:$D, MATCH($A58, 'UZ-normalized'!$A:$A, 0))-INDEX('UZ-normalized'!$E:$E, MATCH($A58, 'UZ-normalized'!$A:$A, 0))), 0), 0)))</f>
        <v>0</v>
      </c>
      <c r="T58" s="6">
        <f>MIN(0, N58+(IFERROR(IF(6*INDEX('UA-normalized'!$D:$D, MATCH($A58, 'UA-normalized'!$A:$A, 0))-INDEX('UA-normalized'!$E:$E, MATCH($A58, 'UA-normalized'!$A:$A, 0))&gt;0, -(6*INDEX('UA-normalized'!$D:$D, MATCH($A58, 'UA-normalized'!$A:$A, 0))-INDEX('UA-normalized'!$E:$E, MATCH($A58, 'UA-normalized'!$A:$A, 0))), 0), 0))+(IFERROR(IF(6*INDEX('KZ-normalized'!$D:$D, MATCH($A58, 'KZ-normalized'!$A:$A, 0))-INDEX('KZ-normalized'!$E:$E, MATCH($A58, 'KZ-normalized'!$A:$A, 0))&gt;0, -(6*INDEX('KZ-normalized'!$D:$D, MATCH($A58, 'KZ-normalized'!$A:$A, 0))-INDEX('KZ-normalized'!$E:$E, MATCH($A58, 'KZ-normalized'!$A:$A, 0))), 0), 0))+(IFERROR(IF(6*INDEX('UZ-normalized'!$D:$D, MATCH($A58, 'UZ-normalized'!$A:$A, 0))-INDEX('UZ-normalized'!$E:$E, MATCH($A58, 'UZ-normalized'!$A:$A, 0))&gt;0, -(6*INDEX('UZ-normalized'!$D:$D, MATCH($A58, 'UZ-normalized'!$A:$A, 0))-INDEX('UZ-normalized'!$E:$E, MATCH($A58, 'UZ-normalized'!$A:$A, 0))), 0), 0)))</f>
        <v>0</v>
      </c>
      <c r="U58" s="6">
        <f>MIN(0, N58+(IFERROR(IF(7*INDEX('UA-normalized'!$D:$D, MATCH($A58, 'UA-normalized'!$A:$A, 0))-INDEX('UA-normalized'!$E:$E, MATCH($A58, 'UA-normalized'!$A:$A, 0))&gt;0, -(7*INDEX('UA-normalized'!$D:$D, MATCH($A58, 'UA-normalized'!$A:$A, 0))-INDEX('UA-normalized'!$E:$E, MATCH($A58, 'UA-normalized'!$A:$A, 0))), 0), 0))+(IFERROR(IF(7*INDEX('KZ-normalized'!$D:$D, MATCH($A58, 'KZ-normalized'!$A:$A, 0))-INDEX('KZ-normalized'!$E:$E, MATCH($A58, 'KZ-normalized'!$A:$A, 0))&gt;0, -(7*INDEX('KZ-normalized'!$D:$D, MATCH($A58, 'KZ-normalized'!$A:$A, 0))-INDEX('KZ-normalized'!$E:$E, MATCH($A58, 'KZ-normalized'!$A:$A, 0))), 0), 0))+(IFERROR(IF(7*INDEX('UZ-normalized'!$D:$D, MATCH($A58, 'UZ-normalized'!$A:$A, 0))-INDEX('UZ-normalized'!$E:$E, MATCH($A58, 'UZ-normalized'!$A:$A, 0))&gt;0, -(7*INDEX('UZ-normalized'!$D:$D, MATCH($A58, 'UZ-normalized'!$A:$A, 0))-INDEX('UZ-normalized'!$E:$E, MATCH($A58, 'UZ-normalized'!$A:$A, 0))), 0), 0)))</f>
        <v>0</v>
      </c>
      <c r="V58" s="6">
        <f>MIN(0, N58+(IFERROR(IF(8*INDEX('UA-normalized'!$D:$D, MATCH($A58, 'UA-normalized'!$A:$A, 0))-INDEX('UA-normalized'!$E:$E, MATCH($A58, 'UA-normalized'!$A:$A, 0))&gt;0, -(8*INDEX('UA-normalized'!$D:$D, MATCH($A58, 'UA-normalized'!$A:$A, 0))-INDEX('UA-normalized'!$E:$E, MATCH($A58, 'UA-normalized'!$A:$A, 0))), 0), 0))+(IFERROR(IF(8*INDEX('KZ-normalized'!$D:$D, MATCH($A58, 'KZ-normalized'!$A:$A, 0))-INDEX('KZ-normalized'!$E:$E, MATCH($A58, 'KZ-normalized'!$A:$A, 0))&gt;0, -(8*INDEX('KZ-normalized'!$D:$D, MATCH($A58, 'KZ-normalized'!$A:$A, 0))-INDEX('KZ-normalized'!$E:$E, MATCH($A58, 'KZ-normalized'!$A:$A, 0))), 0), 0))+(IFERROR(IF(8*INDEX('UZ-normalized'!$D:$D, MATCH($A58, 'UZ-normalized'!$A:$A, 0))-INDEX('UZ-normalized'!$E:$E, MATCH($A58, 'UZ-normalized'!$A:$A, 0))&gt;0, -(8*INDEX('UZ-normalized'!$D:$D, MATCH($A58, 'UZ-normalized'!$A:$A, 0))-INDEX('UZ-normalized'!$E:$E, MATCH($A58, 'UZ-normalized'!$A:$A, 0))), 0), 0)))</f>
        <v>0</v>
      </c>
      <c r="W58" s="6">
        <f>MIN(0, N58+(IFERROR(IF(9*INDEX('UA-normalized'!$D:$D, MATCH($A58, 'UA-normalized'!$A:$A, 0))-INDEX('UA-normalized'!$E:$E, MATCH($A58, 'UA-normalized'!$A:$A, 0))&gt;0, -(9*INDEX('UA-normalized'!$D:$D, MATCH($A58, 'UA-normalized'!$A:$A, 0))-INDEX('UA-normalized'!$E:$E, MATCH($A58, 'UA-normalized'!$A:$A, 0))), 0), 0))+(IFERROR(IF(9*INDEX('KZ-normalized'!$D:$D, MATCH($A58, 'KZ-normalized'!$A:$A, 0))-INDEX('KZ-normalized'!$E:$E, MATCH($A58, 'KZ-normalized'!$A:$A, 0))&gt;0, -(9*INDEX('KZ-normalized'!$D:$D, MATCH($A58, 'KZ-normalized'!$A:$A, 0))-INDEX('KZ-normalized'!$E:$E, MATCH($A58, 'KZ-normalized'!$A:$A, 0))), 0), 0))+(IFERROR(IF(9*INDEX('UZ-normalized'!$D:$D, MATCH($A58, 'UZ-normalized'!$A:$A, 0))-INDEX('UZ-normalized'!$E:$E, MATCH($A58, 'UZ-normalized'!$A:$A, 0))&gt;0, -(9*INDEX('UZ-normalized'!$D:$D, MATCH($A58, 'UZ-normalized'!$A:$A, 0))-INDEX('UZ-normalized'!$E:$E, MATCH($A58, 'UZ-normalized'!$A:$A, 0))), 0), 0)))</f>
        <v>-10</v>
      </c>
      <c r="X58" s="6">
        <f>MIN(0, N58+(IFERROR(IF(10*INDEX('UA-normalized'!$D:$D, MATCH($A58, 'UA-normalized'!$A:$A, 0))-INDEX('UA-normalized'!$E:$E, MATCH($A58, 'UA-normalized'!$A:$A, 0))&gt;0, -(10*INDEX('UA-normalized'!$D:$D, MATCH($A58, 'UA-normalized'!$A:$A, 0))-INDEX('UA-normalized'!$E:$E, MATCH($A58, 'UA-normalized'!$A:$A, 0))), 0), 0))+(IFERROR(IF(10*INDEX('KZ-normalized'!$D:$D, MATCH($A58, 'KZ-normalized'!$A:$A, 0))-INDEX('KZ-normalized'!$E:$E, MATCH($A58, 'KZ-normalized'!$A:$A, 0))&gt;0, -(10*INDEX('KZ-normalized'!$D:$D, MATCH($A58, 'KZ-normalized'!$A:$A, 0))-INDEX('KZ-normalized'!$E:$E, MATCH($A58, 'KZ-normalized'!$A:$A, 0))), 0), 0))+(IFERROR(IF(10*INDEX('UZ-normalized'!$D:$D, MATCH($A58, 'UZ-normalized'!$A:$A, 0))-INDEX('UZ-normalized'!$E:$E, MATCH($A58, 'UZ-normalized'!$A:$A, 0))&gt;0, -(10*INDEX('UZ-normalized'!$D:$D, MATCH($A58, 'UZ-normalized'!$A:$A, 0))-INDEX('UZ-normalized'!$E:$E, MATCH($A58, 'UZ-normalized'!$A:$A, 0))), 0), 0)))</f>
        <v>-63</v>
      </c>
      <c r="Y58" s="6">
        <f>MIN(0, N58+(IFERROR(IF(11*INDEX('UA-normalized'!$D:$D, MATCH($A58, 'UA-normalized'!$A:$A, 0))-INDEX('UA-normalized'!$E:$E, MATCH($A58, 'UA-normalized'!$A:$A, 0))&gt;0, -(11*INDEX('UA-normalized'!$D:$D, MATCH($A58, 'UA-normalized'!$A:$A, 0))-INDEX('UA-normalized'!$E:$E, MATCH($A58, 'UA-normalized'!$A:$A, 0))), 0), 0))+(IFERROR(IF(11*INDEX('KZ-normalized'!$D:$D, MATCH($A58, 'KZ-normalized'!$A:$A, 0))-INDEX('KZ-normalized'!$E:$E, MATCH($A58, 'KZ-normalized'!$A:$A, 0))&gt;0, -(11*INDEX('KZ-normalized'!$D:$D, MATCH($A58, 'KZ-normalized'!$A:$A, 0))-INDEX('KZ-normalized'!$E:$E, MATCH($A58, 'KZ-normalized'!$A:$A, 0))), 0), 0))+(IFERROR(IF(11*INDEX('UZ-normalized'!$D:$D, MATCH($A58, 'UZ-normalized'!$A:$A, 0))-INDEX('UZ-normalized'!$E:$E, MATCH($A58, 'UZ-normalized'!$A:$A, 0))&gt;0, -(11*INDEX('UZ-normalized'!$D:$D, MATCH($A58, 'UZ-normalized'!$A:$A, 0))-INDEX('UZ-normalized'!$E:$E, MATCH($A58, 'UZ-normalized'!$A:$A, 0))), 0), 0)))</f>
        <v>-116</v>
      </c>
      <c r="Z58" s="6">
        <f>MIN(0, N58+(IFERROR(IF(12*INDEX('UA-normalized'!$D:$D, MATCH($A58, 'UA-normalized'!$A:$A, 0))-INDEX('UA-normalized'!$E:$E, MATCH($A58, 'UA-normalized'!$A:$A, 0))&gt;0, -(12*INDEX('UA-normalized'!$D:$D, MATCH($A58, 'UA-normalized'!$A:$A, 0))-INDEX('UA-normalized'!$E:$E, MATCH($A58, 'UA-normalized'!$A:$A, 0))), 0), 0))+(IFERROR(IF(12*INDEX('KZ-normalized'!$D:$D, MATCH($A58, 'KZ-normalized'!$A:$A, 0))-INDEX('KZ-normalized'!$E:$E, MATCH($A58, 'KZ-normalized'!$A:$A, 0))&gt;0, -(12*INDEX('KZ-normalized'!$D:$D, MATCH($A58, 'KZ-normalized'!$A:$A, 0))-INDEX('KZ-normalized'!$E:$E, MATCH($A58, 'KZ-normalized'!$A:$A, 0))), 0), 0))+(IFERROR(IF(12*INDEX('UZ-normalized'!$D:$D, MATCH($A58, 'UZ-normalized'!$A:$A, 0))-INDEX('UZ-normalized'!$E:$E, MATCH($A58, 'UZ-normalized'!$A:$A, 0))&gt;0, -(12*INDEX('UZ-normalized'!$D:$D, MATCH($A58, 'UZ-normalized'!$A:$A, 0))-INDEX('UZ-normalized'!$E:$E, MATCH($A58, 'UZ-normalized'!$A:$A, 0))), 0), 0)))</f>
        <v>-169</v>
      </c>
      <c r="AA58" s="6">
        <f>MIN(0, N58+(IFERROR(IF(13*INDEX('UA-normalized'!$D:$D, MATCH($A58, 'UA-normalized'!$A:$A, 0))-INDEX('UA-normalized'!$E:$E, MATCH($A58, 'UA-normalized'!$A:$A, 0))&gt;0, -(13*INDEX('UA-normalized'!$D:$D, MATCH($A58, 'UA-normalized'!$A:$A, 0))-INDEX('UA-normalized'!$E:$E, MATCH($A58, 'UA-normalized'!$A:$A, 0))), 0), 0))+(IFERROR(IF(13*INDEX('KZ-normalized'!$D:$D, MATCH($A58, 'KZ-normalized'!$A:$A, 0))-INDEX('KZ-normalized'!$E:$E, MATCH($A58, 'KZ-normalized'!$A:$A, 0))&gt;0, -(13*INDEX('KZ-normalized'!$D:$D, MATCH($A58, 'KZ-normalized'!$A:$A, 0))-INDEX('KZ-normalized'!$E:$E, MATCH($A58, 'KZ-normalized'!$A:$A, 0))), 0), 0))+(IFERROR(IF(13*INDEX('UZ-normalized'!$D:$D, MATCH($A58, 'UZ-normalized'!$A:$A, 0))-INDEX('UZ-normalized'!$E:$E, MATCH($A58, 'UZ-normalized'!$A:$A, 0))&gt;0, -(13*INDEX('UZ-normalized'!$D:$D, MATCH($A58, 'UZ-normalized'!$A:$A, 0))-INDEX('UZ-normalized'!$E:$E, MATCH($A58, 'UZ-normalized'!$A:$A, 0))), 0), 0)))</f>
        <v>-222</v>
      </c>
      <c r="AB58" s="6">
        <f>MIN(0, N58+(IFERROR(IF(14*INDEX('UA-normalized'!$D:$D, MATCH($A58, 'UA-normalized'!$A:$A, 0))-INDEX('UA-normalized'!$E:$E, MATCH($A58, 'UA-normalized'!$A:$A, 0))&gt;0, -(14*INDEX('UA-normalized'!$D:$D, MATCH($A58, 'UA-normalized'!$A:$A, 0))-INDEX('UA-normalized'!$E:$E, MATCH($A58, 'UA-normalized'!$A:$A, 0))), 0), 0))+(IFERROR(IF(14*INDEX('KZ-normalized'!$D:$D, MATCH($A58, 'KZ-normalized'!$A:$A, 0))-INDEX('KZ-normalized'!$E:$E, MATCH($A58, 'KZ-normalized'!$A:$A, 0))&gt;0, -(14*INDEX('KZ-normalized'!$D:$D, MATCH($A58, 'KZ-normalized'!$A:$A, 0))-INDEX('KZ-normalized'!$E:$E, MATCH($A58, 'KZ-normalized'!$A:$A, 0))), 0), 0))+(IFERROR(IF(14*INDEX('UZ-normalized'!$D:$D, MATCH($A58, 'UZ-normalized'!$A:$A, 0))-INDEX('UZ-normalized'!$E:$E, MATCH($A58, 'UZ-normalized'!$A:$A, 0))&gt;0, -(14*INDEX('UZ-normalized'!$D:$D, MATCH($A58, 'UZ-normalized'!$A:$A, 0))-INDEX('UZ-normalized'!$E:$E, MATCH($A58, 'UZ-normalized'!$A:$A, 0))), 0), 0)))</f>
        <v>-275</v>
      </c>
      <c r="AC58" s="6">
        <f>MIN(0, N58+(IFERROR(IF(15*INDEX('UA-normalized'!$D:$D, MATCH($A58, 'UA-normalized'!$A:$A, 0))-INDEX('UA-normalized'!$E:$E, MATCH($A58, 'UA-normalized'!$A:$A, 0))&gt;0, -(15*INDEX('UA-normalized'!$D:$D, MATCH($A58, 'UA-normalized'!$A:$A, 0))-INDEX('UA-normalized'!$E:$E, MATCH($A58, 'UA-normalized'!$A:$A, 0))), 0), 0))+(IFERROR(IF(15*INDEX('KZ-normalized'!$D:$D, MATCH($A58, 'KZ-normalized'!$A:$A, 0))-INDEX('KZ-normalized'!$E:$E, MATCH($A58, 'KZ-normalized'!$A:$A, 0))&gt;0, -(15*INDEX('KZ-normalized'!$D:$D, MATCH($A58, 'KZ-normalized'!$A:$A, 0))-INDEX('KZ-normalized'!$E:$E, MATCH($A58, 'KZ-normalized'!$A:$A, 0))), 0), 0))+(IFERROR(IF(15*INDEX('UZ-normalized'!$D:$D, MATCH($A58, 'UZ-normalized'!$A:$A, 0))-INDEX('UZ-normalized'!$E:$E, MATCH($A58, 'UZ-normalized'!$A:$A, 0))&gt;0, -(15*INDEX('UZ-normalized'!$D:$D, MATCH($A58, 'UZ-normalized'!$A:$A, 0))-INDEX('UZ-normalized'!$E:$E, MATCH($A58, 'UZ-normalized'!$A:$A, 0))), 0), 0)))</f>
        <v>-328</v>
      </c>
      <c r="AD58" s="6">
        <f>MIN(0, N58+(IFERROR(IF(16*INDEX('UA-normalized'!$D:$D, MATCH($A58, 'UA-normalized'!$A:$A, 0))-INDEX('UA-normalized'!$E:$E, MATCH($A58, 'UA-normalized'!$A:$A, 0))&gt;0, -(16*INDEX('UA-normalized'!$D:$D, MATCH($A58, 'UA-normalized'!$A:$A, 0))-INDEX('UA-normalized'!$E:$E, MATCH($A58, 'UA-normalized'!$A:$A, 0))), 0), 0))+(IFERROR(IF(16*INDEX('KZ-normalized'!$D:$D, MATCH($A58, 'KZ-normalized'!$A:$A, 0))-INDEX('KZ-normalized'!$E:$E, MATCH($A58, 'KZ-normalized'!$A:$A, 0))&gt;0, -(16*INDEX('KZ-normalized'!$D:$D, MATCH($A58, 'KZ-normalized'!$A:$A, 0))-INDEX('KZ-normalized'!$E:$E, MATCH($A58, 'KZ-normalized'!$A:$A, 0))), 0), 0))+(IFERROR(IF(16*INDEX('UZ-normalized'!$D:$D, MATCH($A58, 'UZ-normalized'!$A:$A, 0))-INDEX('UZ-normalized'!$E:$E, MATCH($A58, 'UZ-normalized'!$A:$A, 0))&gt;0, -(16*INDEX('UZ-normalized'!$D:$D, MATCH($A58, 'UZ-normalized'!$A:$A, 0))-INDEX('UZ-normalized'!$E:$E, MATCH($A58, 'UZ-normalized'!$A:$A, 0))), 0), 0)))</f>
        <v>-381</v>
      </c>
      <c r="AE58" s="6">
        <f>MIN(0, N58+(IFERROR(IF(17*INDEX('UA-normalized'!$D:$D, MATCH($A58, 'UA-normalized'!$A:$A, 0))-INDEX('UA-normalized'!$E:$E, MATCH($A58, 'UA-normalized'!$A:$A, 0))&gt;0, -(17*INDEX('UA-normalized'!$D:$D, MATCH($A58, 'UA-normalized'!$A:$A, 0))-INDEX('UA-normalized'!$E:$E, MATCH($A58, 'UA-normalized'!$A:$A, 0))), 0), 0))+(IFERROR(IF(17*INDEX('KZ-normalized'!$D:$D, MATCH($A58, 'KZ-normalized'!$A:$A, 0))-INDEX('KZ-normalized'!$E:$E, MATCH($A58, 'KZ-normalized'!$A:$A, 0))&gt;0, -(17*INDEX('KZ-normalized'!$D:$D, MATCH($A58, 'KZ-normalized'!$A:$A, 0))-INDEX('KZ-normalized'!$E:$E, MATCH($A58, 'KZ-normalized'!$A:$A, 0))), 0), 0))+(IFERROR(IF(17*INDEX('UZ-normalized'!$D:$D, MATCH($A58, 'UZ-normalized'!$A:$A, 0))-INDEX('UZ-normalized'!$E:$E, MATCH($A58, 'UZ-normalized'!$A:$A, 0))&gt;0, -(17*INDEX('UZ-normalized'!$D:$D, MATCH($A58, 'UZ-normalized'!$A:$A, 0))-INDEX('UZ-normalized'!$E:$E, MATCH($A58, 'UZ-normalized'!$A:$A, 0))), 0), 0)))</f>
        <v>-434</v>
      </c>
      <c r="AF58" s="6">
        <f>MIN(0, N58+(IFERROR(IF(18*INDEX('UA-normalized'!$D:$D, MATCH($A58, 'UA-normalized'!$A:$A, 0))-INDEX('UA-normalized'!$E:$E, MATCH($A58, 'UA-normalized'!$A:$A, 0))&gt;0, -(18*INDEX('UA-normalized'!$D:$D, MATCH($A58, 'UA-normalized'!$A:$A, 0))-INDEX('UA-normalized'!$E:$E, MATCH($A58, 'UA-normalized'!$A:$A, 0))), 0), 0))+(IFERROR(IF(18*INDEX('KZ-normalized'!$D:$D, MATCH($A58, 'KZ-normalized'!$A:$A, 0))-INDEX('KZ-normalized'!$E:$E, MATCH($A58, 'KZ-normalized'!$A:$A, 0))&gt;0, -(18*INDEX('KZ-normalized'!$D:$D, MATCH($A58, 'KZ-normalized'!$A:$A, 0))-INDEX('KZ-normalized'!$E:$E, MATCH($A58, 'KZ-normalized'!$A:$A, 0))), 0), 0))+(IFERROR(IF(18*INDEX('UZ-normalized'!$D:$D, MATCH($A58, 'UZ-normalized'!$A:$A, 0))-INDEX('UZ-normalized'!$E:$E, MATCH($A58, 'UZ-normalized'!$A:$A, 0))&gt;0, -(18*INDEX('UZ-normalized'!$D:$D, MATCH($A58, 'UZ-normalized'!$A:$A, 0))-INDEX('UZ-normalized'!$E:$E, MATCH($A58, 'UZ-normalized'!$A:$A, 0))), 0), 0)))</f>
        <v>-487</v>
      </c>
      <c r="AG58" s="6">
        <f>MIN(0, N58+(IFERROR(IF(19*INDEX('UA-normalized'!$D:$D, MATCH($A58, 'UA-normalized'!$A:$A, 0))-INDEX('UA-normalized'!$E:$E, MATCH($A58, 'UA-normalized'!$A:$A, 0))&gt;0, -(19*INDEX('UA-normalized'!$D:$D, MATCH($A58, 'UA-normalized'!$A:$A, 0))-INDEX('UA-normalized'!$E:$E, MATCH($A58, 'UA-normalized'!$A:$A, 0))), 0), 0))+(IFERROR(IF(19*INDEX('KZ-normalized'!$D:$D, MATCH($A58, 'KZ-normalized'!$A:$A, 0))-INDEX('KZ-normalized'!$E:$E, MATCH($A58, 'KZ-normalized'!$A:$A, 0))&gt;0, -(19*INDEX('KZ-normalized'!$D:$D, MATCH($A58, 'KZ-normalized'!$A:$A, 0))-INDEX('KZ-normalized'!$E:$E, MATCH($A58, 'KZ-normalized'!$A:$A, 0))), 0), 0))+(IFERROR(IF(19*INDEX('UZ-normalized'!$D:$D, MATCH($A58, 'UZ-normalized'!$A:$A, 0))-INDEX('UZ-normalized'!$E:$E, MATCH($A58, 'UZ-normalized'!$A:$A, 0))&gt;0, -(19*INDEX('UZ-normalized'!$D:$D, MATCH($A58, 'UZ-normalized'!$A:$A, 0))-INDEX('UZ-normalized'!$E:$E, MATCH($A58, 'UZ-normalized'!$A:$A, 0))), 0), 0)))</f>
        <v>-540</v>
      </c>
      <c r="AH58" s="6">
        <f>MIN(0, N58+(IFERROR(IF(20*INDEX('UA-normalized'!$D:$D, MATCH($A58, 'UA-normalized'!$A:$A, 0))-INDEX('UA-normalized'!$E:$E, MATCH($A58, 'UA-normalized'!$A:$A, 0))&gt;0, -(20*INDEX('UA-normalized'!$D:$D, MATCH($A58, 'UA-normalized'!$A:$A, 0))-INDEX('UA-normalized'!$E:$E, MATCH($A58, 'UA-normalized'!$A:$A, 0))), 0), 0))+(IFERROR(IF(20*INDEX('KZ-normalized'!$D:$D, MATCH($A58, 'KZ-normalized'!$A:$A, 0))-INDEX('KZ-normalized'!$E:$E, MATCH($A58, 'KZ-normalized'!$A:$A, 0))&gt;0, -(20*INDEX('KZ-normalized'!$D:$D, MATCH($A58, 'KZ-normalized'!$A:$A, 0))-INDEX('KZ-normalized'!$E:$E, MATCH($A58, 'KZ-normalized'!$A:$A, 0))), 0), 0))+(IFERROR(IF(20*INDEX('UZ-normalized'!$D:$D, MATCH($A58, 'UZ-normalized'!$A:$A, 0))-INDEX('UZ-normalized'!$E:$E, MATCH($A58, 'UZ-normalized'!$A:$A, 0))&gt;0, -(20*INDEX('UZ-normalized'!$D:$D, MATCH($A58, 'UZ-normalized'!$A:$A, 0))-INDEX('UZ-normalized'!$E:$E, MATCH($A58, 'UZ-normalized'!$A:$A, 0))), 0), 0)))</f>
        <v>-593</v>
      </c>
      <c r="AI58" s="6">
        <f>MIN(0, N58+(IFERROR(IF(21*INDEX('UA-normalized'!$D:$D, MATCH($A58, 'UA-normalized'!$A:$A, 0))-INDEX('UA-normalized'!$E:$E, MATCH($A58, 'UA-normalized'!$A:$A, 0))&gt;0, -(21*INDEX('UA-normalized'!$D:$D, MATCH($A58, 'UA-normalized'!$A:$A, 0))-INDEX('UA-normalized'!$E:$E, MATCH($A58, 'UA-normalized'!$A:$A, 0))), 0), 0))+(IFERROR(IF(21*INDEX('KZ-normalized'!$D:$D, MATCH($A58, 'KZ-normalized'!$A:$A, 0))-INDEX('KZ-normalized'!$E:$E, MATCH($A58, 'KZ-normalized'!$A:$A, 0))&gt;0, -(21*INDEX('KZ-normalized'!$D:$D, MATCH($A58, 'KZ-normalized'!$A:$A, 0))-INDEX('KZ-normalized'!$E:$E, MATCH($A58, 'KZ-normalized'!$A:$A, 0))), 0), 0))+(IFERROR(IF(21*INDEX('UZ-normalized'!$D:$D, MATCH($A58, 'UZ-normalized'!$A:$A, 0))-INDEX('UZ-normalized'!$E:$E, MATCH($A58, 'UZ-normalized'!$A:$A, 0))&gt;0, -(21*INDEX('UZ-normalized'!$D:$D, MATCH($A58, 'UZ-normalized'!$A:$A, 0))-INDEX('UZ-normalized'!$E:$E, MATCH($A58, 'UZ-normalized'!$A:$A, 0))), 0), 0)))</f>
        <v>-646</v>
      </c>
      <c r="AJ58" s="6">
        <f>MIN(0, N58+(IFERROR(IF(22*INDEX('UA-normalized'!$D:$D, MATCH($A58, 'UA-normalized'!$A:$A, 0))-INDEX('UA-normalized'!$E:$E, MATCH($A58, 'UA-normalized'!$A:$A, 0))&gt;0, -(22*INDEX('UA-normalized'!$D:$D, MATCH($A58, 'UA-normalized'!$A:$A, 0))-INDEX('UA-normalized'!$E:$E, MATCH($A58, 'UA-normalized'!$A:$A, 0))), 0), 0))+(IFERROR(IF(22*INDEX('KZ-normalized'!$D:$D, MATCH($A58, 'KZ-normalized'!$A:$A, 0))-INDEX('KZ-normalized'!$E:$E, MATCH($A58, 'KZ-normalized'!$A:$A, 0))&gt;0, -(22*INDEX('KZ-normalized'!$D:$D, MATCH($A58, 'KZ-normalized'!$A:$A, 0))-INDEX('KZ-normalized'!$E:$E, MATCH($A58, 'KZ-normalized'!$A:$A, 0))), 0), 0))+(IFERROR(IF(22*INDEX('UZ-normalized'!$D:$D, MATCH($A58, 'UZ-normalized'!$A:$A, 0))-INDEX('UZ-normalized'!$E:$E, MATCH($A58, 'UZ-normalized'!$A:$A, 0))&gt;0, -(22*INDEX('UZ-normalized'!$D:$D, MATCH($A58, 'UZ-normalized'!$A:$A, 0))-INDEX('UZ-normalized'!$E:$E, MATCH($A58, 'UZ-normalized'!$A:$A, 0))), 0), 0)))</f>
        <v>-699</v>
      </c>
      <c r="AK58" s="6">
        <f>MIN(0, N58+(IFERROR(IF(23*INDEX('UA-normalized'!$D:$D, MATCH($A58, 'UA-normalized'!$A:$A, 0))-INDEX('UA-normalized'!$E:$E, MATCH($A58, 'UA-normalized'!$A:$A, 0))&gt;0, -(23*INDEX('UA-normalized'!$D:$D, MATCH($A58, 'UA-normalized'!$A:$A, 0))-INDEX('UA-normalized'!$E:$E, MATCH($A58, 'UA-normalized'!$A:$A, 0))), 0), 0))+(IFERROR(IF(23*INDEX('KZ-normalized'!$D:$D, MATCH($A58, 'KZ-normalized'!$A:$A, 0))-INDEX('KZ-normalized'!$E:$E, MATCH($A58, 'KZ-normalized'!$A:$A, 0))&gt;0, -(23*INDEX('KZ-normalized'!$D:$D, MATCH($A58, 'KZ-normalized'!$A:$A, 0))-INDEX('KZ-normalized'!$E:$E, MATCH($A58, 'KZ-normalized'!$A:$A, 0))), 0), 0))+(IFERROR(IF(23*INDEX('UZ-normalized'!$D:$D, MATCH($A58, 'UZ-normalized'!$A:$A, 0))-INDEX('UZ-normalized'!$E:$E, MATCH($A58, 'UZ-normalized'!$A:$A, 0))&gt;0, -(23*INDEX('UZ-normalized'!$D:$D, MATCH($A58, 'UZ-normalized'!$A:$A, 0))-INDEX('UZ-normalized'!$E:$E, MATCH($A58, 'UZ-normalized'!$A:$A, 0))), 0), 0)))</f>
        <v>-752</v>
      </c>
      <c r="AL58" s="6">
        <f>MIN(0, N58+(IFERROR(IF(24*INDEX('UA-normalized'!$D:$D, MATCH($A58, 'UA-normalized'!$A:$A, 0))-INDEX('UA-normalized'!$E:$E, MATCH($A58, 'UA-normalized'!$A:$A, 0))&gt;0, -(24*INDEX('UA-normalized'!$D:$D, MATCH($A58, 'UA-normalized'!$A:$A, 0))-INDEX('UA-normalized'!$E:$E, MATCH($A58, 'UA-normalized'!$A:$A, 0))), 0), 0))+(IFERROR(IF(24*INDEX('KZ-normalized'!$D:$D, MATCH($A58, 'KZ-normalized'!$A:$A, 0))-INDEX('KZ-normalized'!$E:$E, MATCH($A58, 'KZ-normalized'!$A:$A, 0))&gt;0, -(24*INDEX('KZ-normalized'!$D:$D, MATCH($A58, 'KZ-normalized'!$A:$A, 0))-INDEX('KZ-normalized'!$E:$E, MATCH($A58, 'KZ-normalized'!$A:$A, 0))), 0), 0))+(IFERROR(IF(24*INDEX('UZ-normalized'!$D:$D, MATCH($A58, 'UZ-normalized'!$A:$A, 0))-INDEX('UZ-normalized'!$E:$E, MATCH($A58, 'UZ-normalized'!$A:$A, 0))&gt;0, -(24*INDEX('UZ-normalized'!$D:$D, MATCH($A58, 'UZ-normalized'!$A:$A, 0))-INDEX('UZ-normalized'!$E:$E, MATCH($A58, 'UZ-normalized'!$A:$A, 0))), 0), 0)))</f>
        <v>-805</v>
      </c>
      <c r="AM58" s="6">
        <f>MIN(0, N58+(IFERROR(IF(25*INDEX('UA-normalized'!$D:$D, MATCH($A58, 'UA-normalized'!$A:$A, 0))-INDEX('UA-normalized'!$E:$E, MATCH($A58, 'UA-normalized'!$A:$A, 0))&gt;0, -(25*INDEX('UA-normalized'!$D:$D, MATCH($A58, 'UA-normalized'!$A:$A, 0))-INDEX('UA-normalized'!$E:$E, MATCH($A58, 'UA-normalized'!$A:$A, 0))), 0), 0))+(IFERROR(IF(25*INDEX('KZ-normalized'!$D:$D, MATCH($A58, 'KZ-normalized'!$A:$A, 0))-INDEX('KZ-normalized'!$E:$E, MATCH($A58, 'KZ-normalized'!$A:$A, 0))&gt;0, -(25*INDEX('KZ-normalized'!$D:$D, MATCH($A58, 'KZ-normalized'!$A:$A, 0))-INDEX('KZ-normalized'!$E:$E, MATCH($A58, 'KZ-normalized'!$A:$A, 0))), 0), 0))+(IFERROR(IF(25*INDEX('UZ-normalized'!$D:$D, MATCH($A58, 'UZ-normalized'!$A:$A, 0))-INDEX('UZ-normalized'!$E:$E, MATCH($A58, 'UZ-normalized'!$A:$A, 0))&gt;0, -(25*INDEX('UZ-normalized'!$D:$D, MATCH($A58, 'UZ-normalized'!$A:$A, 0))-INDEX('UZ-normalized'!$E:$E, MATCH($A58, 'UZ-normalized'!$A:$A, 0))), 0), 0)))</f>
        <v>-858</v>
      </c>
      <c r="AN58" s="6">
        <f>MIN(0, N58+(IFERROR(IF(26*INDEX('UA-normalized'!$D:$D, MATCH($A58, 'UA-normalized'!$A:$A, 0))-INDEX('UA-normalized'!$E:$E, MATCH($A58, 'UA-normalized'!$A:$A, 0))&gt;0, -(26*INDEX('UA-normalized'!$D:$D, MATCH($A58, 'UA-normalized'!$A:$A, 0))-INDEX('UA-normalized'!$E:$E, MATCH($A58, 'UA-normalized'!$A:$A, 0))), 0), 0))+(IFERROR(IF(26*INDEX('KZ-normalized'!$D:$D, MATCH($A58, 'KZ-normalized'!$A:$A, 0))-INDEX('KZ-normalized'!$E:$E, MATCH($A58, 'KZ-normalized'!$A:$A, 0))&gt;0, -(26*INDEX('KZ-normalized'!$D:$D, MATCH($A58, 'KZ-normalized'!$A:$A, 0))-INDEX('KZ-normalized'!$E:$E, MATCH($A58, 'KZ-normalized'!$A:$A, 0))), 0), 0))+(IFERROR(IF(26*INDEX('UZ-normalized'!$D:$D, MATCH($A58, 'UZ-normalized'!$A:$A, 0))-INDEX('UZ-normalized'!$E:$E, MATCH($A58, 'UZ-normalized'!$A:$A, 0))&gt;0, -(26*INDEX('UZ-normalized'!$D:$D, MATCH($A58, 'UZ-normalized'!$A:$A, 0))-INDEX('UZ-normalized'!$E:$E, MATCH($A58, 'UZ-normalized'!$A:$A, 0))), 0), 0)))</f>
        <v>-911</v>
      </c>
      <c r="AO58" s="6">
        <f>MIN(0, N58+(IFERROR(IF(27*INDEX('UA-normalized'!$D:$D, MATCH($A58, 'UA-normalized'!$A:$A, 0))-INDEX('UA-normalized'!$E:$E, MATCH($A58, 'UA-normalized'!$A:$A, 0))&gt;0, -(27*INDEX('UA-normalized'!$D:$D, MATCH($A58, 'UA-normalized'!$A:$A, 0))-INDEX('UA-normalized'!$E:$E, MATCH($A58, 'UA-normalized'!$A:$A, 0))), 0), 0))+(IFERROR(IF(27*INDEX('KZ-normalized'!$D:$D, MATCH($A58, 'KZ-normalized'!$A:$A, 0))-INDEX('KZ-normalized'!$E:$E, MATCH($A58, 'KZ-normalized'!$A:$A, 0))&gt;0, -(27*INDEX('KZ-normalized'!$D:$D, MATCH($A58, 'KZ-normalized'!$A:$A, 0))-INDEX('KZ-normalized'!$E:$E, MATCH($A58, 'KZ-normalized'!$A:$A, 0))), 0), 0))+(IFERROR(IF(27*INDEX('UZ-normalized'!$D:$D, MATCH($A58, 'UZ-normalized'!$A:$A, 0))-INDEX('UZ-normalized'!$E:$E, MATCH($A58, 'UZ-normalized'!$A:$A, 0))&gt;0, -(27*INDEX('UZ-normalized'!$D:$D, MATCH($A58, 'UZ-normalized'!$A:$A, 0))-INDEX('UZ-normalized'!$E:$E, MATCH($A58, 'UZ-normalized'!$A:$A, 0))), 0), 0)))</f>
        <v>-964</v>
      </c>
      <c r="AP58" s="6">
        <f>MIN(0, N58+(IFERROR(IF(28*INDEX('UA-normalized'!$D:$D, MATCH($A58, 'UA-normalized'!$A:$A, 0))-INDEX('UA-normalized'!$E:$E, MATCH($A58, 'UA-normalized'!$A:$A, 0))&gt;0, -(28*INDEX('UA-normalized'!$D:$D, MATCH($A58, 'UA-normalized'!$A:$A, 0))-INDEX('UA-normalized'!$E:$E, MATCH($A58, 'UA-normalized'!$A:$A, 0))), 0), 0))+(IFERROR(IF(28*INDEX('KZ-normalized'!$D:$D, MATCH($A58, 'KZ-normalized'!$A:$A, 0))-INDEX('KZ-normalized'!$E:$E, MATCH($A58, 'KZ-normalized'!$A:$A, 0))&gt;0, -(28*INDEX('KZ-normalized'!$D:$D, MATCH($A58, 'KZ-normalized'!$A:$A, 0))-INDEX('KZ-normalized'!$E:$E, MATCH($A58, 'KZ-normalized'!$A:$A, 0))), 0), 0))+(IFERROR(IF(28*INDEX('UZ-normalized'!$D:$D, MATCH($A58, 'UZ-normalized'!$A:$A, 0))-INDEX('UZ-normalized'!$E:$E, MATCH($A58, 'UZ-normalized'!$A:$A, 0))&gt;0, -(28*INDEX('UZ-normalized'!$D:$D, MATCH($A58, 'UZ-normalized'!$A:$A, 0))-INDEX('UZ-normalized'!$E:$E, MATCH($A58, 'UZ-normalized'!$A:$A, 0))), 0), 0)))</f>
        <v>-1017</v>
      </c>
      <c r="AQ58" s="6">
        <f>MIN(0, N58+(IFERROR(IF(29*INDEX('UA-normalized'!$D:$D, MATCH($A58, 'UA-normalized'!$A:$A, 0))-INDEX('UA-normalized'!$E:$E, MATCH($A58, 'UA-normalized'!$A:$A, 0))&gt;0, -(29*INDEX('UA-normalized'!$D:$D, MATCH($A58, 'UA-normalized'!$A:$A, 0))-INDEX('UA-normalized'!$E:$E, MATCH($A58, 'UA-normalized'!$A:$A, 0))), 0), 0))+(IFERROR(IF(29*INDEX('KZ-normalized'!$D:$D, MATCH($A58, 'KZ-normalized'!$A:$A, 0))-INDEX('KZ-normalized'!$E:$E, MATCH($A58, 'KZ-normalized'!$A:$A, 0))&gt;0, -(29*INDEX('KZ-normalized'!$D:$D, MATCH($A58, 'KZ-normalized'!$A:$A, 0))-INDEX('KZ-normalized'!$E:$E, MATCH($A58, 'KZ-normalized'!$A:$A, 0))), 0), 0))+(IFERROR(IF(29*INDEX('UZ-normalized'!$D:$D, MATCH($A58, 'UZ-normalized'!$A:$A, 0))-INDEX('UZ-normalized'!$E:$E, MATCH($A58, 'UZ-normalized'!$A:$A, 0))&gt;0, -(29*INDEX('UZ-normalized'!$D:$D, MATCH($A58, 'UZ-normalized'!$A:$A, 0))-INDEX('UZ-normalized'!$E:$E, MATCH($A58, 'UZ-normalized'!$A:$A, 0))), 0), 0)))</f>
        <v>-1070</v>
      </c>
      <c r="AR58" s="6">
        <f>MIN(0, N58+(IFERROR(IF(30*INDEX('UA-normalized'!$D:$D, MATCH($A58, 'UA-normalized'!$A:$A, 0))-INDEX('UA-normalized'!$E:$E, MATCH($A58, 'UA-normalized'!$A:$A, 0))&gt;0, -(30*INDEX('UA-normalized'!$D:$D, MATCH($A58, 'UA-normalized'!$A:$A, 0))-INDEX('UA-normalized'!$E:$E, MATCH($A58, 'UA-normalized'!$A:$A, 0))), 0), 0))+(IFERROR(IF(30*INDEX('KZ-normalized'!$D:$D, MATCH($A58, 'KZ-normalized'!$A:$A, 0))-INDEX('KZ-normalized'!$E:$E, MATCH($A58, 'KZ-normalized'!$A:$A, 0))&gt;0, -(30*INDEX('KZ-normalized'!$D:$D, MATCH($A58, 'KZ-normalized'!$A:$A, 0))-INDEX('KZ-normalized'!$E:$E, MATCH($A58, 'KZ-normalized'!$A:$A, 0))), 0), 0))+(IFERROR(IF(30*INDEX('UZ-normalized'!$D:$D, MATCH($A58, 'UZ-normalized'!$A:$A, 0))-INDEX('UZ-normalized'!$E:$E, MATCH($A58, 'UZ-normalized'!$A:$A, 0))&gt;0, -(30*INDEX('UZ-normalized'!$D:$D, MATCH($A58, 'UZ-normalized'!$A:$A, 0))-INDEX('UZ-normalized'!$E:$E, MATCH($A58, 'UZ-normalized'!$A:$A, 0))), 0), 0)))</f>
        <v>-1123</v>
      </c>
    </row>
    <row r="59" spans="1:44" x14ac:dyDescent="0.25">
      <c r="A59" s="8" t="s">
        <v>163</v>
      </c>
      <c r="B59" s="8" t="s">
        <v>83</v>
      </c>
      <c r="C59" s="8" t="s">
        <v>145</v>
      </c>
      <c r="D59" s="8" t="s">
        <v>164</v>
      </c>
      <c r="N59">
        <f t="shared" si="0"/>
        <v>0</v>
      </c>
      <c r="O59" s="6">
        <f>MIN(0, N59+(IFERROR(IF(1*INDEX('UA-normalized'!$D:$D, MATCH($A59, 'UA-normalized'!$A:$A, 0))-INDEX('UA-normalized'!$E:$E, MATCH($A59, 'UA-normalized'!$A:$A, 0))&gt;0, -(1*INDEX('UA-normalized'!$D:$D, MATCH($A59, 'UA-normalized'!$A:$A, 0))-INDEX('UA-normalized'!$E:$E, MATCH($A59, 'UA-normalized'!$A:$A, 0))), 0), 0))+(IFERROR(IF(1*INDEX('KZ-normalized'!$D:$D, MATCH($A59, 'KZ-normalized'!$A:$A, 0))-INDEX('KZ-normalized'!$E:$E, MATCH($A59, 'KZ-normalized'!$A:$A, 0))&gt;0, -(1*INDEX('KZ-normalized'!$D:$D, MATCH($A59, 'KZ-normalized'!$A:$A, 0))-INDEX('KZ-normalized'!$E:$E, MATCH($A59, 'KZ-normalized'!$A:$A, 0))), 0), 0))+(IFERROR(IF(1*INDEX('UZ-normalized'!$D:$D, MATCH($A59, 'UZ-normalized'!$A:$A, 0))-INDEX('UZ-normalized'!$E:$E, MATCH($A59, 'UZ-normalized'!$A:$A, 0))&gt;0, -(1*INDEX('UZ-normalized'!$D:$D, MATCH($A59, 'UZ-normalized'!$A:$A, 0))-INDEX('UZ-normalized'!$E:$E, MATCH($A59, 'UZ-normalized'!$A:$A, 0))), 0), 0)))</f>
        <v>0</v>
      </c>
      <c r="P59" s="6">
        <f>MIN(0, N59+(IFERROR(IF(2*INDEX('UA-normalized'!$D:$D, MATCH($A59, 'UA-normalized'!$A:$A, 0))-INDEX('UA-normalized'!$E:$E, MATCH($A59, 'UA-normalized'!$A:$A, 0))&gt;0, -(2*INDEX('UA-normalized'!$D:$D, MATCH($A59, 'UA-normalized'!$A:$A, 0))-INDEX('UA-normalized'!$E:$E, MATCH($A59, 'UA-normalized'!$A:$A, 0))), 0), 0))+(IFERROR(IF(2*INDEX('KZ-normalized'!$D:$D, MATCH($A59, 'KZ-normalized'!$A:$A, 0))-INDEX('KZ-normalized'!$E:$E, MATCH($A59, 'KZ-normalized'!$A:$A, 0))&gt;0, -(2*INDEX('KZ-normalized'!$D:$D, MATCH($A59, 'KZ-normalized'!$A:$A, 0))-INDEX('KZ-normalized'!$E:$E, MATCH($A59, 'KZ-normalized'!$A:$A, 0))), 0), 0))+(IFERROR(IF(2*INDEX('UZ-normalized'!$D:$D, MATCH($A59, 'UZ-normalized'!$A:$A, 0))-INDEX('UZ-normalized'!$E:$E, MATCH($A59, 'UZ-normalized'!$A:$A, 0))&gt;0, -(2*INDEX('UZ-normalized'!$D:$D, MATCH($A59, 'UZ-normalized'!$A:$A, 0))-INDEX('UZ-normalized'!$E:$E, MATCH($A59, 'UZ-normalized'!$A:$A, 0))), 0), 0)))</f>
        <v>0</v>
      </c>
      <c r="Q59" s="6">
        <f>MIN(0, N59+(IFERROR(IF(3*INDEX('UA-normalized'!$D:$D, MATCH($A59, 'UA-normalized'!$A:$A, 0))-INDEX('UA-normalized'!$E:$E, MATCH($A59, 'UA-normalized'!$A:$A, 0))&gt;0, -(3*INDEX('UA-normalized'!$D:$D, MATCH($A59, 'UA-normalized'!$A:$A, 0))-INDEX('UA-normalized'!$E:$E, MATCH($A59, 'UA-normalized'!$A:$A, 0))), 0), 0))+(IFERROR(IF(3*INDEX('KZ-normalized'!$D:$D, MATCH($A59, 'KZ-normalized'!$A:$A, 0))-INDEX('KZ-normalized'!$E:$E, MATCH($A59, 'KZ-normalized'!$A:$A, 0))&gt;0, -(3*INDEX('KZ-normalized'!$D:$D, MATCH($A59, 'KZ-normalized'!$A:$A, 0))-INDEX('KZ-normalized'!$E:$E, MATCH($A59, 'KZ-normalized'!$A:$A, 0))), 0), 0))+(IFERROR(IF(3*INDEX('UZ-normalized'!$D:$D, MATCH($A59, 'UZ-normalized'!$A:$A, 0))-INDEX('UZ-normalized'!$E:$E, MATCH($A59, 'UZ-normalized'!$A:$A, 0))&gt;0, -(3*INDEX('UZ-normalized'!$D:$D, MATCH($A59, 'UZ-normalized'!$A:$A, 0))-INDEX('UZ-normalized'!$E:$E, MATCH($A59, 'UZ-normalized'!$A:$A, 0))), 0), 0)))</f>
        <v>0</v>
      </c>
      <c r="R59" s="6">
        <f>MIN(0, N59+(IFERROR(IF(4*INDEX('UA-normalized'!$D:$D, MATCH($A59, 'UA-normalized'!$A:$A, 0))-INDEX('UA-normalized'!$E:$E, MATCH($A59, 'UA-normalized'!$A:$A, 0))&gt;0, -(4*INDEX('UA-normalized'!$D:$D, MATCH($A59, 'UA-normalized'!$A:$A, 0))-INDEX('UA-normalized'!$E:$E, MATCH($A59, 'UA-normalized'!$A:$A, 0))), 0), 0))+(IFERROR(IF(4*INDEX('KZ-normalized'!$D:$D, MATCH($A59, 'KZ-normalized'!$A:$A, 0))-INDEX('KZ-normalized'!$E:$E, MATCH($A59, 'KZ-normalized'!$A:$A, 0))&gt;0, -(4*INDEX('KZ-normalized'!$D:$D, MATCH($A59, 'KZ-normalized'!$A:$A, 0))-INDEX('KZ-normalized'!$E:$E, MATCH($A59, 'KZ-normalized'!$A:$A, 0))), 0), 0))+(IFERROR(IF(4*INDEX('UZ-normalized'!$D:$D, MATCH($A59, 'UZ-normalized'!$A:$A, 0))-INDEX('UZ-normalized'!$E:$E, MATCH($A59, 'UZ-normalized'!$A:$A, 0))&gt;0, -(4*INDEX('UZ-normalized'!$D:$D, MATCH($A59, 'UZ-normalized'!$A:$A, 0))-INDEX('UZ-normalized'!$E:$E, MATCH($A59, 'UZ-normalized'!$A:$A, 0))), 0), 0)))</f>
        <v>0</v>
      </c>
      <c r="S59" s="6">
        <f>MIN(0, N59+(IFERROR(IF(5*INDEX('UA-normalized'!$D:$D, MATCH($A59, 'UA-normalized'!$A:$A, 0))-INDEX('UA-normalized'!$E:$E, MATCH($A59, 'UA-normalized'!$A:$A, 0))&gt;0, -(5*INDEX('UA-normalized'!$D:$D, MATCH($A59, 'UA-normalized'!$A:$A, 0))-INDEX('UA-normalized'!$E:$E, MATCH($A59, 'UA-normalized'!$A:$A, 0))), 0), 0))+(IFERROR(IF(5*INDEX('KZ-normalized'!$D:$D, MATCH($A59, 'KZ-normalized'!$A:$A, 0))-INDEX('KZ-normalized'!$E:$E, MATCH($A59, 'KZ-normalized'!$A:$A, 0))&gt;0, -(5*INDEX('KZ-normalized'!$D:$D, MATCH($A59, 'KZ-normalized'!$A:$A, 0))-INDEX('KZ-normalized'!$E:$E, MATCH($A59, 'KZ-normalized'!$A:$A, 0))), 0), 0))+(IFERROR(IF(5*INDEX('UZ-normalized'!$D:$D, MATCH($A59, 'UZ-normalized'!$A:$A, 0))-INDEX('UZ-normalized'!$E:$E, MATCH($A59, 'UZ-normalized'!$A:$A, 0))&gt;0, -(5*INDEX('UZ-normalized'!$D:$D, MATCH($A59, 'UZ-normalized'!$A:$A, 0))-INDEX('UZ-normalized'!$E:$E, MATCH($A59, 'UZ-normalized'!$A:$A, 0))), 0), 0)))</f>
        <v>0</v>
      </c>
      <c r="T59" s="6">
        <f>MIN(0, N59+(IFERROR(IF(6*INDEX('UA-normalized'!$D:$D, MATCH($A59, 'UA-normalized'!$A:$A, 0))-INDEX('UA-normalized'!$E:$E, MATCH($A59, 'UA-normalized'!$A:$A, 0))&gt;0, -(6*INDEX('UA-normalized'!$D:$D, MATCH($A59, 'UA-normalized'!$A:$A, 0))-INDEX('UA-normalized'!$E:$E, MATCH($A59, 'UA-normalized'!$A:$A, 0))), 0), 0))+(IFERROR(IF(6*INDEX('KZ-normalized'!$D:$D, MATCH($A59, 'KZ-normalized'!$A:$A, 0))-INDEX('KZ-normalized'!$E:$E, MATCH($A59, 'KZ-normalized'!$A:$A, 0))&gt;0, -(6*INDEX('KZ-normalized'!$D:$D, MATCH($A59, 'KZ-normalized'!$A:$A, 0))-INDEX('KZ-normalized'!$E:$E, MATCH($A59, 'KZ-normalized'!$A:$A, 0))), 0), 0))+(IFERROR(IF(6*INDEX('UZ-normalized'!$D:$D, MATCH($A59, 'UZ-normalized'!$A:$A, 0))-INDEX('UZ-normalized'!$E:$E, MATCH($A59, 'UZ-normalized'!$A:$A, 0))&gt;0, -(6*INDEX('UZ-normalized'!$D:$D, MATCH($A59, 'UZ-normalized'!$A:$A, 0))-INDEX('UZ-normalized'!$E:$E, MATCH($A59, 'UZ-normalized'!$A:$A, 0))), 0), 0)))</f>
        <v>0</v>
      </c>
      <c r="U59" s="6">
        <f>MIN(0, N59+(IFERROR(IF(7*INDEX('UA-normalized'!$D:$D, MATCH($A59, 'UA-normalized'!$A:$A, 0))-INDEX('UA-normalized'!$E:$E, MATCH($A59, 'UA-normalized'!$A:$A, 0))&gt;0, -(7*INDEX('UA-normalized'!$D:$D, MATCH($A59, 'UA-normalized'!$A:$A, 0))-INDEX('UA-normalized'!$E:$E, MATCH($A59, 'UA-normalized'!$A:$A, 0))), 0), 0))+(IFERROR(IF(7*INDEX('KZ-normalized'!$D:$D, MATCH($A59, 'KZ-normalized'!$A:$A, 0))-INDEX('KZ-normalized'!$E:$E, MATCH($A59, 'KZ-normalized'!$A:$A, 0))&gt;0, -(7*INDEX('KZ-normalized'!$D:$D, MATCH($A59, 'KZ-normalized'!$A:$A, 0))-INDEX('KZ-normalized'!$E:$E, MATCH($A59, 'KZ-normalized'!$A:$A, 0))), 0), 0))+(IFERROR(IF(7*INDEX('UZ-normalized'!$D:$D, MATCH($A59, 'UZ-normalized'!$A:$A, 0))-INDEX('UZ-normalized'!$E:$E, MATCH($A59, 'UZ-normalized'!$A:$A, 0))&gt;0, -(7*INDEX('UZ-normalized'!$D:$D, MATCH($A59, 'UZ-normalized'!$A:$A, 0))-INDEX('UZ-normalized'!$E:$E, MATCH($A59, 'UZ-normalized'!$A:$A, 0))), 0), 0)))</f>
        <v>-10.400000000000009</v>
      </c>
      <c r="V59" s="6">
        <f>MIN(0, N59+(IFERROR(IF(8*INDEX('UA-normalized'!$D:$D, MATCH($A59, 'UA-normalized'!$A:$A, 0))-INDEX('UA-normalized'!$E:$E, MATCH($A59, 'UA-normalized'!$A:$A, 0))&gt;0, -(8*INDEX('UA-normalized'!$D:$D, MATCH($A59, 'UA-normalized'!$A:$A, 0))-INDEX('UA-normalized'!$E:$E, MATCH($A59, 'UA-normalized'!$A:$A, 0))), 0), 0))+(IFERROR(IF(8*INDEX('KZ-normalized'!$D:$D, MATCH($A59, 'KZ-normalized'!$A:$A, 0))-INDEX('KZ-normalized'!$E:$E, MATCH($A59, 'KZ-normalized'!$A:$A, 0))&gt;0, -(8*INDEX('KZ-normalized'!$D:$D, MATCH($A59, 'KZ-normalized'!$A:$A, 0))-INDEX('KZ-normalized'!$E:$E, MATCH($A59, 'KZ-normalized'!$A:$A, 0))), 0), 0))+(IFERROR(IF(8*INDEX('UZ-normalized'!$D:$D, MATCH($A59, 'UZ-normalized'!$A:$A, 0))-INDEX('UZ-normalized'!$E:$E, MATCH($A59, 'UZ-normalized'!$A:$A, 0))&gt;0, -(8*INDEX('UZ-normalized'!$D:$D, MATCH($A59, 'UZ-normalized'!$A:$A, 0))-INDEX('UZ-normalized'!$E:$E, MATCH($A59, 'UZ-normalized'!$A:$A, 0))), 0), 0)))</f>
        <v>-21.600000000000005</v>
      </c>
      <c r="W59" s="6">
        <f>MIN(0, N59+(IFERROR(IF(9*INDEX('UA-normalized'!$D:$D, MATCH($A59, 'UA-normalized'!$A:$A, 0))-INDEX('UA-normalized'!$E:$E, MATCH($A59, 'UA-normalized'!$A:$A, 0))&gt;0, -(9*INDEX('UA-normalized'!$D:$D, MATCH($A59, 'UA-normalized'!$A:$A, 0))-INDEX('UA-normalized'!$E:$E, MATCH($A59, 'UA-normalized'!$A:$A, 0))), 0), 0))+(IFERROR(IF(9*INDEX('KZ-normalized'!$D:$D, MATCH($A59, 'KZ-normalized'!$A:$A, 0))-INDEX('KZ-normalized'!$E:$E, MATCH($A59, 'KZ-normalized'!$A:$A, 0))&gt;0, -(9*INDEX('KZ-normalized'!$D:$D, MATCH($A59, 'KZ-normalized'!$A:$A, 0))-INDEX('KZ-normalized'!$E:$E, MATCH($A59, 'KZ-normalized'!$A:$A, 0))), 0), 0))+(IFERROR(IF(9*INDEX('UZ-normalized'!$D:$D, MATCH($A59, 'UZ-normalized'!$A:$A, 0))-INDEX('UZ-normalized'!$E:$E, MATCH($A59, 'UZ-normalized'!$A:$A, 0))&gt;0, -(9*INDEX('UZ-normalized'!$D:$D, MATCH($A59, 'UZ-normalized'!$A:$A, 0))-INDEX('UZ-normalized'!$E:$E, MATCH($A59, 'UZ-normalized'!$A:$A, 0))), 0), 0)))</f>
        <v>-32.800000000000004</v>
      </c>
      <c r="X59" s="6">
        <f>MIN(0, N59+(IFERROR(IF(10*INDEX('UA-normalized'!$D:$D, MATCH($A59, 'UA-normalized'!$A:$A, 0))-INDEX('UA-normalized'!$E:$E, MATCH($A59, 'UA-normalized'!$A:$A, 0))&gt;0, -(10*INDEX('UA-normalized'!$D:$D, MATCH($A59, 'UA-normalized'!$A:$A, 0))-INDEX('UA-normalized'!$E:$E, MATCH($A59, 'UA-normalized'!$A:$A, 0))), 0), 0))+(IFERROR(IF(10*INDEX('KZ-normalized'!$D:$D, MATCH($A59, 'KZ-normalized'!$A:$A, 0))-INDEX('KZ-normalized'!$E:$E, MATCH($A59, 'KZ-normalized'!$A:$A, 0))&gt;0, -(10*INDEX('KZ-normalized'!$D:$D, MATCH($A59, 'KZ-normalized'!$A:$A, 0))-INDEX('KZ-normalized'!$E:$E, MATCH($A59, 'KZ-normalized'!$A:$A, 0))), 0), 0))+(IFERROR(IF(10*INDEX('UZ-normalized'!$D:$D, MATCH($A59, 'UZ-normalized'!$A:$A, 0))-INDEX('UZ-normalized'!$E:$E, MATCH($A59, 'UZ-normalized'!$A:$A, 0))&gt;0, -(10*INDEX('UZ-normalized'!$D:$D, MATCH($A59, 'UZ-normalized'!$A:$A, 0))-INDEX('UZ-normalized'!$E:$E, MATCH($A59, 'UZ-normalized'!$A:$A, 0))), 0), 0)))</f>
        <v>-44</v>
      </c>
      <c r="Y59" s="6">
        <f>MIN(0, N59+(IFERROR(IF(11*INDEX('UA-normalized'!$D:$D, MATCH($A59, 'UA-normalized'!$A:$A, 0))-INDEX('UA-normalized'!$E:$E, MATCH($A59, 'UA-normalized'!$A:$A, 0))&gt;0, -(11*INDEX('UA-normalized'!$D:$D, MATCH($A59, 'UA-normalized'!$A:$A, 0))-INDEX('UA-normalized'!$E:$E, MATCH($A59, 'UA-normalized'!$A:$A, 0))), 0), 0))+(IFERROR(IF(11*INDEX('KZ-normalized'!$D:$D, MATCH($A59, 'KZ-normalized'!$A:$A, 0))-INDEX('KZ-normalized'!$E:$E, MATCH($A59, 'KZ-normalized'!$A:$A, 0))&gt;0, -(11*INDEX('KZ-normalized'!$D:$D, MATCH($A59, 'KZ-normalized'!$A:$A, 0))-INDEX('KZ-normalized'!$E:$E, MATCH($A59, 'KZ-normalized'!$A:$A, 0))), 0), 0))+(IFERROR(IF(11*INDEX('UZ-normalized'!$D:$D, MATCH($A59, 'UZ-normalized'!$A:$A, 0))-INDEX('UZ-normalized'!$E:$E, MATCH($A59, 'UZ-normalized'!$A:$A, 0))&gt;0, -(11*INDEX('UZ-normalized'!$D:$D, MATCH($A59, 'UZ-normalized'!$A:$A, 0))-INDEX('UZ-normalized'!$E:$E, MATCH($A59, 'UZ-normalized'!$A:$A, 0))), 0), 0)))</f>
        <v>-55.20000000000001</v>
      </c>
      <c r="Z59" s="6">
        <f>MIN(0, N59+(IFERROR(IF(12*INDEX('UA-normalized'!$D:$D, MATCH($A59, 'UA-normalized'!$A:$A, 0))-INDEX('UA-normalized'!$E:$E, MATCH($A59, 'UA-normalized'!$A:$A, 0))&gt;0, -(12*INDEX('UA-normalized'!$D:$D, MATCH($A59, 'UA-normalized'!$A:$A, 0))-INDEX('UA-normalized'!$E:$E, MATCH($A59, 'UA-normalized'!$A:$A, 0))), 0), 0))+(IFERROR(IF(12*INDEX('KZ-normalized'!$D:$D, MATCH($A59, 'KZ-normalized'!$A:$A, 0))-INDEX('KZ-normalized'!$E:$E, MATCH($A59, 'KZ-normalized'!$A:$A, 0))&gt;0, -(12*INDEX('KZ-normalized'!$D:$D, MATCH($A59, 'KZ-normalized'!$A:$A, 0))-INDEX('KZ-normalized'!$E:$E, MATCH($A59, 'KZ-normalized'!$A:$A, 0))), 0), 0))+(IFERROR(IF(12*INDEX('UZ-normalized'!$D:$D, MATCH($A59, 'UZ-normalized'!$A:$A, 0))-INDEX('UZ-normalized'!$E:$E, MATCH($A59, 'UZ-normalized'!$A:$A, 0))&gt;0, -(12*INDEX('UZ-normalized'!$D:$D, MATCH($A59, 'UZ-normalized'!$A:$A, 0))-INDEX('UZ-normalized'!$E:$E, MATCH($A59, 'UZ-normalized'!$A:$A, 0))), 0), 0)))</f>
        <v>-67.400000000000006</v>
      </c>
      <c r="AA59" s="6">
        <f>MIN(0, N59+(IFERROR(IF(13*INDEX('UA-normalized'!$D:$D, MATCH($A59, 'UA-normalized'!$A:$A, 0))-INDEX('UA-normalized'!$E:$E, MATCH($A59, 'UA-normalized'!$A:$A, 0))&gt;0, -(13*INDEX('UA-normalized'!$D:$D, MATCH($A59, 'UA-normalized'!$A:$A, 0))-INDEX('UA-normalized'!$E:$E, MATCH($A59, 'UA-normalized'!$A:$A, 0))), 0), 0))+(IFERROR(IF(13*INDEX('KZ-normalized'!$D:$D, MATCH($A59, 'KZ-normalized'!$A:$A, 0))-INDEX('KZ-normalized'!$E:$E, MATCH($A59, 'KZ-normalized'!$A:$A, 0))&gt;0, -(13*INDEX('KZ-normalized'!$D:$D, MATCH($A59, 'KZ-normalized'!$A:$A, 0))-INDEX('KZ-normalized'!$E:$E, MATCH($A59, 'KZ-normalized'!$A:$A, 0))), 0), 0))+(IFERROR(IF(13*INDEX('UZ-normalized'!$D:$D, MATCH($A59, 'UZ-normalized'!$A:$A, 0))-INDEX('UZ-normalized'!$E:$E, MATCH($A59, 'UZ-normalized'!$A:$A, 0))&gt;0, -(13*INDEX('UZ-normalized'!$D:$D, MATCH($A59, 'UZ-normalized'!$A:$A, 0))-INDEX('UZ-normalized'!$E:$E, MATCH($A59, 'UZ-normalized'!$A:$A, 0))), 0), 0)))</f>
        <v>-81.100000000000009</v>
      </c>
      <c r="AB59" s="6">
        <f>MIN(0, N59+(IFERROR(IF(14*INDEX('UA-normalized'!$D:$D, MATCH($A59, 'UA-normalized'!$A:$A, 0))-INDEX('UA-normalized'!$E:$E, MATCH($A59, 'UA-normalized'!$A:$A, 0))&gt;0, -(14*INDEX('UA-normalized'!$D:$D, MATCH($A59, 'UA-normalized'!$A:$A, 0))-INDEX('UA-normalized'!$E:$E, MATCH($A59, 'UA-normalized'!$A:$A, 0))), 0), 0))+(IFERROR(IF(14*INDEX('KZ-normalized'!$D:$D, MATCH($A59, 'KZ-normalized'!$A:$A, 0))-INDEX('KZ-normalized'!$E:$E, MATCH($A59, 'KZ-normalized'!$A:$A, 0))&gt;0, -(14*INDEX('KZ-normalized'!$D:$D, MATCH($A59, 'KZ-normalized'!$A:$A, 0))-INDEX('KZ-normalized'!$E:$E, MATCH($A59, 'KZ-normalized'!$A:$A, 0))), 0), 0))+(IFERROR(IF(14*INDEX('UZ-normalized'!$D:$D, MATCH($A59, 'UZ-normalized'!$A:$A, 0))-INDEX('UZ-normalized'!$E:$E, MATCH($A59, 'UZ-normalized'!$A:$A, 0))&gt;0, -(14*INDEX('UZ-normalized'!$D:$D, MATCH($A59, 'UZ-normalized'!$A:$A, 0))-INDEX('UZ-normalized'!$E:$E, MATCH($A59, 'UZ-normalized'!$A:$A, 0))), 0), 0)))</f>
        <v>-94.800000000000011</v>
      </c>
      <c r="AC59" s="6">
        <f>MIN(0, N59+(IFERROR(IF(15*INDEX('UA-normalized'!$D:$D, MATCH($A59, 'UA-normalized'!$A:$A, 0))-INDEX('UA-normalized'!$E:$E, MATCH($A59, 'UA-normalized'!$A:$A, 0))&gt;0, -(15*INDEX('UA-normalized'!$D:$D, MATCH($A59, 'UA-normalized'!$A:$A, 0))-INDEX('UA-normalized'!$E:$E, MATCH($A59, 'UA-normalized'!$A:$A, 0))), 0), 0))+(IFERROR(IF(15*INDEX('KZ-normalized'!$D:$D, MATCH($A59, 'KZ-normalized'!$A:$A, 0))-INDEX('KZ-normalized'!$E:$E, MATCH($A59, 'KZ-normalized'!$A:$A, 0))&gt;0, -(15*INDEX('KZ-normalized'!$D:$D, MATCH($A59, 'KZ-normalized'!$A:$A, 0))-INDEX('KZ-normalized'!$E:$E, MATCH($A59, 'KZ-normalized'!$A:$A, 0))), 0), 0))+(IFERROR(IF(15*INDEX('UZ-normalized'!$D:$D, MATCH($A59, 'UZ-normalized'!$A:$A, 0))-INDEX('UZ-normalized'!$E:$E, MATCH($A59, 'UZ-normalized'!$A:$A, 0))&gt;0, -(15*INDEX('UZ-normalized'!$D:$D, MATCH($A59, 'UZ-normalized'!$A:$A, 0))-INDEX('UZ-normalized'!$E:$E, MATCH($A59, 'UZ-normalized'!$A:$A, 0))), 0), 0)))</f>
        <v>-108.5</v>
      </c>
      <c r="AD59" s="6">
        <f>MIN(0, N59+(IFERROR(IF(16*INDEX('UA-normalized'!$D:$D, MATCH($A59, 'UA-normalized'!$A:$A, 0))-INDEX('UA-normalized'!$E:$E, MATCH($A59, 'UA-normalized'!$A:$A, 0))&gt;0, -(16*INDEX('UA-normalized'!$D:$D, MATCH($A59, 'UA-normalized'!$A:$A, 0))-INDEX('UA-normalized'!$E:$E, MATCH($A59, 'UA-normalized'!$A:$A, 0))), 0), 0))+(IFERROR(IF(16*INDEX('KZ-normalized'!$D:$D, MATCH($A59, 'KZ-normalized'!$A:$A, 0))-INDEX('KZ-normalized'!$E:$E, MATCH($A59, 'KZ-normalized'!$A:$A, 0))&gt;0, -(16*INDEX('KZ-normalized'!$D:$D, MATCH($A59, 'KZ-normalized'!$A:$A, 0))-INDEX('KZ-normalized'!$E:$E, MATCH($A59, 'KZ-normalized'!$A:$A, 0))), 0), 0))+(IFERROR(IF(16*INDEX('UZ-normalized'!$D:$D, MATCH($A59, 'UZ-normalized'!$A:$A, 0))-INDEX('UZ-normalized'!$E:$E, MATCH($A59, 'UZ-normalized'!$A:$A, 0))&gt;0, -(16*INDEX('UZ-normalized'!$D:$D, MATCH($A59, 'UZ-normalized'!$A:$A, 0))-INDEX('UZ-normalized'!$E:$E, MATCH($A59, 'UZ-normalized'!$A:$A, 0))), 0), 0)))</f>
        <v>-122.20000000000002</v>
      </c>
      <c r="AE59" s="6">
        <f>MIN(0, N59+(IFERROR(IF(17*INDEX('UA-normalized'!$D:$D, MATCH($A59, 'UA-normalized'!$A:$A, 0))-INDEX('UA-normalized'!$E:$E, MATCH($A59, 'UA-normalized'!$A:$A, 0))&gt;0, -(17*INDEX('UA-normalized'!$D:$D, MATCH($A59, 'UA-normalized'!$A:$A, 0))-INDEX('UA-normalized'!$E:$E, MATCH($A59, 'UA-normalized'!$A:$A, 0))), 0), 0))+(IFERROR(IF(17*INDEX('KZ-normalized'!$D:$D, MATCH($A59, 'KZ-normalized'!$A:$A, 0))-INDEX('KZ-normalized'!$E:$E, MATCH($A59, 'KZ-normalized'!$A:$A, 0))&gt;0, -(17*INDEX('KZ-normalized'!$D:$D, MATCH($A59, 'KZ-normalized'!$A:$A, 0))-INDEX('KZ-normalized'!$E:$E, MATCH($A59, 'KZ-normalized'!$A:$A, 0))), 0), 0))+(IFERROR(IF(17*INDEX('UZ-normalized'!$D:$D, MATCH($A59, 'UZ-normalized'!$A:$A, 0))-INDEX('UZ-normalized'!$E:$E, MATCH($A59, 'UZ-normalized'!$A:$A, 0))&gt;0, -(17*INDEX('UZ-normalized'!$D:$D, MATCH($A59, 'UZ-normalized'!$A:$A, 0))-INDEX('UZ-normalized'!$E:$E, MATCH($A59, 'UZ-normalized'!$A:$A, 0))), 0), 0)))</f>
        <v>-135.90000000000003</v>
      </c>
      <c r="AF59" s="6">
        <f>MIN(0, N59+(IFERROR(IF(18*INDEX('UA-normalized'!$D:$D, MATCH($A59, 'UA-normalized'!$A:$A, 0))-INDEX('UA-normalized'!$E:$E, MATCH($A59, 'UA-normalized'!$A:$A, 0))&gt;0, -(18*INDEX('UA-normalized'!$D:$D, MATCH($A59, 'UA-normalized'!$A:$A, 0))-INDEX('UA-normalized'!$E:$E, MATCH($A59, 'UA-normalized'!$A:$A, 0))), 0), 0))+(IFERROR(IF(18*INDEX('KZ-normalized'!$D:$D, MATCH($A59, 'KZ-normalized'!$A:$A, 0))-INDEX('KZ-normalized'!$E:$E, MATCH($A59, 'KZ-normalized'!$A:$A, 0))&gt;0, -(18*INDEX('KZ-normalized'!$D:$D, MATCH($A59, 'KZ-normalized'!$A:$A, 0))-INDEX('KZ-normalized'!$E:$E, MATCH($A59, 'KZ-normalized'!$A:$A, 0))), 0), 0))+(IFERROR(IF(18*INDEX('UZ-normalized'!$D:$D, MATCH($A59, 'UZ-normalized'!$A:$A, 0))-INDEX('UZ-normalized'!$E:$E, MATCH($A59, 'UZ-normalized'!$A:$A, 0))&gt;0, -(18*INDEX('UZ-normalized'!$D:$D, MATCH($A59, 'UZ-normalized'!$A:$A, 0))-INDEX('UZ-normalized'!$E:$E, MATCH($A59, 'UZ-normalized'!$A:$A, 0))), 0), 0)))</f>
        <v>-149.6</v>
      </c>
      <c r="AG59" s="6">
        <f>MIN(0, N59+(IFERROR(IF(19*INDEX('UA-normalized'!$D:$D, MATCH($A59, 'UA-normalized'!$A:$A, 0))-INDEX('UA-normalized'!$E:$E, MATCH($A59, 'UA-normalized'!$A:$A, 0))&gt;0, -(19*INDEX('UA-normalized'!$D:$D, MATCH($A59, 'UA-normalized'!$A:$A, 0))-INDEX('UA-normalized'!$E:$E, MATCH($A59, 'UA-normalized'!$A:$A, 0))), 0), 0))+(IFERROR(IF(19*INDEX('KZ-normalized'!$D:$D, MATCH($A59, 'KZ-normalized'!$A:$A, 0))-INDEX('KZ-normalized'!$E:$E, MATCH($A59, 'KZ-normalized'!$A:$A, 0))&gt;0, -(19*INDEX('KZ-normalized'!$D:$D, MATCH($A59, 'KZ-normalized'!$A:$A, 0))-INDEX('KZ-normalized'!$E:$E, MATCH($A59, 'KZ-normalized'!$A:$A, 0))), 0), 0))+(IFERROR(IF(19*INDEX('UZ-normalized'!$D:$D, MATCH($A59, 'UZ-normalized'!$A:$A, 0))-INDEX('UZ-normalized'!$E:$E, MATCH($A59, 'UZ-normalized'!$A:$A, 0))&gt;0, -(19*INDEX('UZ-normalized'!$D:$D, MATCH($A59, 'UZ-normalized'!$A:$A, 0))-INDEX('UZ-normalized'!$E:$E, MATCH($A59, 'UZ-normalized'!$A:$A, 0))), 0), 0)))</f>
        <v>-163.30000000000001</v>
      </c>
      <c r="AH59" s="6">
        <f>MIN(0, N59+(IFERROR(IF(20*INDEX('UA-normalized'!$D:$D, MATCH($A59, 'UA-normalized'!$A:$A, 0))-INDEX('UA-normalized'!$E:$E, MATCH($A59, 'UA-normalized'!$A:$A, 0))&gt;0, -(20*INDEX('UA-normalized'!$D:$D, MATCH($A59, 'UA-normalized'!$A:$A, 0))-INDEX('UA-normalized'!$E:$E, MATCH($A59, 'UA-normalized'!$A:$A, 0))), 0), 0))+(IFERROR(IF(20*INDEX('KZ-normalized'!$D:$D, MATCH($A59, 'KZ-normalized'!$A:$A, 0))-INDEX('KZ-normalized'!$E:$E, MATCH($A59, 'KZ-normalized'!$A:$A, 0))&gt;0, -(20*INDEX('KZ-normalized'!$D:$D, MATCH($A59, 'KZ-normalized'!$A:$A, 0))-INDEX('KZ-normalized'!$E:$E, MATCH($A59, 'KZ-normalized'!$A:$A, 0))), 0), 0))+(IFERROR(IF(20*INDEX('UZ-normalized'!$D:$D, MATCH($A59, 'UZ-normalized'!$A:$A, 0))-INDEX('UZ-normalized'!$E:$E, MATCH($A59, 'UZ-normalized'!$A:$A, 0))&gt;0, -(20*INDEX('UZ-normalized'!$D:$D, MATCH($A59, 'UZ-normalized'!$A:$A, 0))-INDEX('UZ-normalized'!$E:$E, MATCH($A59, 'UZ-normalized'!$A:$A, 0))), 0), 0)))</f>
        <v>-177</v>
      </c>
      <c r="AI59" s="6">
        <f>MIN(0, N59+(IFERROR(IF(21*INDEX('UA-normalized'!$D:$D, MATCH($A59, 'UA-normalized'!$A:$A, 0))-INDEX('UA-normalized'!$E:$E, MATCH($A59, 'UA-normalized'!$A:$A, 0))&gt;0, -(21*INDEX('UA-normalized'!$D:$D, MATCH($A59, 'UA-normalized'!$A:$A, 0))-INDEX('UA-normalized'!$E:$E, MATCH($A59, 'UA-normalized'!$A:$A, 0))), 0), 0))+(IFERROR(IF(21*INDEX('KZ-normalized'!$D:$D, MATCH($A59, 'KZ-normalized'!$A:$A, 0))-INDEX('KZ-normalized'!$E:$E, MATCH($A59, 'KZ-normalized'!$A:$A, 0))&gt;0, -(21*INDEX('KZ-normalized'!$D:$D, MATCH($A59, 'KZ-normalized'!$A:$A, 0))-INDEX('KZ-normalized'!$E:$E, MATCH($A59, 'KZ-normalized'!$A:$A, 0))), 0), 0))+(IFERROR(IF(21*INDEX('UZ-normalized'!$D:$D, MATCH($A59, 'UZ-normalized'!$A:$A, 0))-INDEX('UZ-normalized'!$E:$E, MATCH($A59, 'UZ-normalized'!$A:$A, 0))&gt;0, -(21*INDEX('UZ-normalized'!$D:$D, MATCH($A59, 'UZ-normalized'!$A:$A, 0))-INDEX('UZ-normalized'!$E:$E, MATCH($A59, 'UZ-normalized'!$A:$A, 0))), 0), 0)))</f>
        <v>-190.70000000000002</v>
      </c>
      <c r="AJ59" s="6">
        <f>MIN(0, N59+(IFERROR(IF(22*INDEX('UA-normalized'!$D:$D, MATCH($A59, 'UA-normalized'!$A:$A, 0))-INDEX('UA-normalized'!$E:$E, MATCH($A59, 'UA-normalized'!$A:$A, 0))&gt;0, -(22*INDEX('UA-normalized'!$D:$D, MATCH($A59, 'UA-normalized'!$A:$A, 0))-INDEX('UA-normalized'!$E:$E, MATCH($A59, 'UA-normalized'!$A:$A, 0))), 0), 0))+(IFERROR(IF(22*INDEX('KZ-normalized'!$D:$D, MATCH($A59, 'KZ-normalized'!$A:$A, 0))-INDEX('KZ-normalized'!$E:$E, MATCH($A59, 'KZ-normalized'!$A:$A, 0))&gt;0, -(22*INDEX('KZ-normalized'!$D:$D, MATCH($A59, 'KZ-normalized'!$A:$A, 0))-INDEX('KZ-normalized'!$E:$E, MATCH($A59, 'KZ-normalized'!$A:$A, 0))), 0), 0))+(IFERROR(IF(22*INDEX('UZ-normalized'!$D:$D, MATCH($A59, 'UZ-normalized'!$A:$A, 0))-INDEX('UZ-normalized'!$E:$E, MATCH($A59, 'UZ-normalized'!$A:$A, 0))&gt;0, -(22*INDEX('UZ-normalized'!$D:$D, MATCH($A59, 'UZ-normalized'!$A:$A, 0))-INDEX('UZ-normalized'!$E:$E, MATCH($A59, 'UZ-normalized'!$A:$A, 0))), 0), 0)))</f>
        <v>-204.40000000000003</v>
      </c>
      <c r="AK59" s="6">
        <f>MIN(0, N59+(IFERROR(IF(23*INDEX('UA-normalized'!$D:$D, MATCH($A59, 'UA-normalized'!$A:$A, 0))-INDEX('UA-normalized'!$E:$E, MATCH($A59, 'UA-normalized'!$A:$A, 0))&gt;0, -(23*INDEX('UA-normalized'!$D:$D, MATCH($A59, 'UA-normalized'!$A:$A, 0))-INDEX('UA-normalized'!$E:$E, MATCH($A59, 'UA-normalized'!$A:$A, 0))), 0), 0))+(IFERROR(IF(23*INDEX('KZ-normalized'!$D:$D, MATCH($A59, 'KZ-normalized'!$A:$A, 0))-INDEX('KZ-normalized'!$E:$E, MATCH($A59, 'KZ-normalized'!$A:$A, 0))&gt;0, -(23*INDEX('KZ-normalized'!$D:$D, MATCH($A59, 'KZ-normalized'!$A:$A, 0))-INDEX('KZ-normalized'!$E:$E, MATCH($A59, 'KZ-normalized'!$A:$A, 0))), 0), 0))+(IFERROR(IF(23*INDEX('UZ-normalized'!$D:$D, MATCH($A59, 'UZ-normalized'!$A:$A, 0))-INDEX('UZ-normalized'!$E:$E, MATCH($A59, 'UZ-normalized'!$A:$A, 0))&gt;0, -(23*INDEX('UZ-normalized'!$D:$D, MATCH($A59, 'UZ-normalized'!$A:$A, 0))-INDEX('UZ-normalized'!$E:$E, MATCH($A59, 'UZ-normalized'!$A:$A, 0))), 0), 0)))</f>
        <v>-218.1</v>
      </c>
      <c r="AL59" s="6">
        <f>MIN(0, N59+(IFERROR(IF(24*INDEX('UA-normalized'!$D:$D, MATCH($A59, 'UA-normalized'!$A:$A, 0))-INDEX('UA-normalized'!$E:$E, MATCH($A59, 'UA-normalized'!$A:$A, 0))&gt;0, -(24*INDEX('UA-normalized'!$D:$D, MATCH($A59, 'UA-normalized'!$A:$A, 0))-INDEX('UA-normalized'!$E:$E, MATCH($A59, 'UA-normalized'!$A:$A, 0))), 0), 0))+(IFERROR(IF(24*INDEX('KZ-normalized'!$D:$D, MATCH($A59, 'KZ-normalized'!$A:$A, 0))-INDEX('KZ-normalized'!$E:$E, MATCH($A59, 'KZ-normalized'!$A:$A, 0))&gt;0, -(24*INDEX('KZ-normalized'!$D:$D, MATCH($A59, 'KZ-normalized'!$A:$A, 0))-INDEX('KZ-normalized'!$E:$E, MATCH($A59, 'KZ-normalized'!$A:$A, 0))), 0), 0))+(IFERROR(IF(24*INDEX('UZ-normalized'!$D:$D, MATCH($A59, 'UZ-normalized'!$A:$A, 0))-INDEX('UZ-normalized'!$E:$E, MATCH($A59, 'UZ-normalized'!$A:$A, 0))&gt;0, -(24*INDEX('UZ-normalized'!$D:$D, MATCH($A59, 'UZ-normalized'!$A:$A, 0))-INDEX('UZ-normalized'!$E:$E, MATCH($A59, 'UZ-normalized'!$A:$A, 0))), 0), 0)))</f>
        <v>-231.8</v>
      </c>
      <c r="AM59" s="6">
        <f>MIN(0, N59+(IFERROR(IF(25*INDEX('UA-normalized'!$D:$D, MATCH($A59, 'UA-normalized'!$A:$A, 0))-INDEX('UA-normalized'!$E:$E, MATCH($A59, 'UA-normalized'!$A:$A, 0))&gt;0, -(25*INDEX('UA-normalized'!$D:$D, MATCH($A59, 'UA-normalized'!$A:$A, 0))-INDEX('UA-normalized'!$E:$E, MATCH($A59, 'UA-normalized'!$A:$A, 0))), 0), 0))+(IFERROR(IF(25*INDEX('KZ-normalized'!$D:$D, MATCH($A59, 'KZ-normalized'!$A:$A, 0))-INDEX('KZ-normalized'!$E:$E, MATCH($A59, 'KZ-normalized'!$A:$A, 0))&gt;0, -(25*INDEX('KZ-normalized'!$D:$D, MATCH($A59, 'KZ-normalized'!$A:$A, 0))-INDEX('KZ-normalized'!$E:$E, MATCH($A59, 'KZ-normalized'!$A:$A, 0))), 0), 0))+(IFERROR(IF(25*INDEX('UZ-normalized'!$D:$D, MATCH($A59, 'UZ-normalized'!$A:$A, 0))-INDEX('UZ-normalized'!$E:$E, MATCH($A59, 'UZ-normalized'!$A:$A, 0))&gt;0, -(25*INDEX('UZ-normalized'!$D:$D, MATCH($A59, 'UZ-normalized'!$A:$A, 0))-INDEX('UZ-normalized'!$E:$E, MATCH($A59, 'UZ-normalized'!$A:$A, 0))), 0), 0)))</f>
        <v>-245.5</v>
      </c>
      <c r="AN59" s="6">
        <f>MIN(0, N59+(IFERROR(IF(26*INDEX('UA-normalized'!$D:$D, MATCH($A59, 'UA-normalized'!$A:$A, 0))-INDEX('UA-normalized'!$E:$E, MATCH($A59, 'UA-normalized'!$A:$A, 0))&gt;0, -(26*INDEX('UA-normalized'!$D:$D, MATCH($A59, 'UA-normalized'!$A:$A, 0))-INDEX('UA-normalized'!$E:$E, MATCH($A59, 'UA-normalized'!$A:$A, 0))), 0), 0))+(IFERROR(IF(26*INDEX('KZ-normalized'!$D:$D, MATCH($A59, 'KZ-normalized'!$A:$A, 0))-INDEX('KZ-normalized'!$E:$E, MATCH($A59, 'KZ-normalized'!$A:$A, 0))&gt;0, -(26*INDEX('KZ-normalized'!$D:$D, MATCH($A59, 'KZ-normalized'!$A:$A, 0))-INDEX('KZ-normalized'!$E:$E, MATCH($A59, 'KZ-normalized'!$A:$A, 0))), 0), 0))+(IFERROR(IF(26*INDEX('UZ-normalized'!$D:$D, MATCH($A59, 'UZ-normalized'!$A:$A, 0))-INDEX('UZ-normalized'!$E:$E, MATCH($A59, 'UZ-normalized'!$A:$A, 0))&gt;0, -(26*INDEX('UZ-normalized'!$D:$D, MATCH($A59, 'UZ-normalized'!$A:$A, 0))-INDEX('UZ-normalized'!$E:$E, MATCH($A59, 'UZ-normalized'!$A:$A, 0))), 0), 0)))</f>
        <v>-259.20000000000005</v>
      </c>
      <c r="AO59" s="6">
        <f>MIN(0, N59+(IFERROR(IF(27*INDEX('UA-normalized'!$D:$D, MATCH($A59, 'UA-normalized'!$A:$A, 0))-INDEX('UA-normalized'!$E:$E, MATCH($A59, 'UA-normalized'!$A:$A, 0))&gt;0, -(27*INDEX('UA-normalized'!$D:$D, MATCH($A59, 'UA-normalized'!$A:$A, 0))-INDEX('UA-normalized'!$E:$E, MATCH($A59, 'UA-normalized'!$A:$A, 0))), 0), 0))+(IFERROR(IF(27*INDEX('KZ-normalized'!$D:$D, MATCH($A59, 'KZ-normalized'!$A:$A, 0))-INDEX('KZ-normalized'!$E:$E, MATCH($A59, 'KZ-normalized'!$A:$A, 0))&gt;0, -(27*INDEX('KZ-normalized'!$D:$D, MATCH($A59, 'KZ-normalized'!$A:$A, 0))-INDEX('KZ-normalized'!$E:$E, MATCH($A59, 'KZ-normalized'!$A:$A, 0))), 0), 0))+(IFERROR(IF(27*INDEX('UZ-normalized'!$D:$D, MATCH($A59, 'UZ-normalized'!$A:$A, 0))-INDEX('UZ-normalized'!$E:$E, MATCH($A59, 'UZ-normalized'!$A:$A, 0))&gt;0, -(27*INDEX('UZ-normalized'!$D:$D, MATCH($A59, 'UZ-normalized'!$A:$A, 0))-INDEX('UZ-normalized'!$E:$E, MATCH($A59, 'UZ-normalized'!$A:$A, 0))), 0), 0)))</f>
        <v>-272.90000000000003</v>
      </c>
      <c r="AP59" s="6">
        <f>MIN(0, N59+(IFERROR(IF(28*INDEX('UA-normalized'!$D:$D, MATCH($A59, 'UA-normalized'!$A:$A, 0))-INDEX('UA-normalized'!$E:$E, MATCH($A59, 'UA-normalized'!$A:$A, 0))&gt;0, -(28*INDEX('UA-normalized'!$D:$D, MATCH($A59, 'UA-normalized'!$A:$A, 0))-INDEX('UA-normalized'!$E:$E, MATCH($A59, 'UA-normalized'!$A:$A, 0))), 0), 0))+(IFERROR(IF(28*INDEX('KZ-normalized'!$D:$D, MATCH($A59, 'KZ-normalized'!$A:$A, 0))-INDEX('KZ-normalized'!$E:$E, MATCH($A59, 'KZ-normalized'!$A:$A, 0))&gt;0, -(28*INDEX('KZ-normalized'!$D:$D, MATCH($A59, 'KZ-normalized'!$A:$A, 0))-INDEX('KZ-normalized'!$E:$E, MATCH($A59, 'KZ-normalized'!$A:$A, 0))), 0), 0))+(IFERROR(IF(28*INDEX('UZ-normalized'!$D:$D, MATCH($A59, 'UZ-normalized'!$A:$A, 0))-INDEX('UZ-normalized'!$E:$E, MATCH($A59, 'UZ-normalized'!$A:$A, 0))&gt;0, -(28*INDEX('UZ-normalized'!$D:$D, MATCH($A59, 'UZ-normalized'!$A:$A, 0))-INDEX('UZ-normalized'!$E:$E, MATCH($A59, 'UZ-normalized'!$A:$A, 0))), 0), 0)))</f>
        <v>-286.60000000000002</v>
      </c>
      <c r="AQ59" s="6">
        <f>MIN(0, N59+(IFERROR(IF(29*INDEX('UA-normalized'!$D:$D, MATCH($A59, 'UA-normalized'!$A:$A, 0))-INDEX('UA-normalized'!$E:$E, MATCH($A59, 'UA-normalized'!$A:$A, 0))&gt;0, -(29*INDEX('UA-normalized'!$D:$D, MATCH($A59, 'UA-normalized'!$A:$A, 0))-INDEX('UA-normalized'!$E:$E, MATCH($A59, 'UA-normalized'!$A:$A, 0))), 0), 0))+(IFERROR(IF(29*INDEX('KZ-normalized'!$D:$D, MATCH($A59, 'KZ-normalized'!$A:$A, 0))-INDEX('KZ-normalized'!$E:$E, MATCH($A59, 'KZ-normalized'!$A:$A, 0))&gt;0, -(29*INDEX('KZ-normalized'!$D:$D, MATCH($A59, 'KZ-normalized'!$A:$A, 0))-INDEX('KZ-normalized'!$E:$E, MATCH($A59, 'KZ-normalized'!$A:$A, 0))), 0), 0))+(IFERROR(IF(29*INDEX('UZ-normalized'!$D:$D, MATCH($A59, 'UZ-normalized'!$A:$A, 0))-INDEX('UZ-normalized'!$E:$E, MATCH($A59, 'UZ-normalized'!$A:$A, 0))&gt;0, -(29*INDEX('UZ-normalized'!$D:$D, MATCH($A59, 'UZ-normalized'!$A:$A, 0))-INDEX('UZ-normalized'!$E:$E, MATCH($A59, 'UZ-normalized'!$A:$A, 0))), 0), 0)))</f>
        <v>-300.30000000000007</v>
      </c>
      <c r="AR59" s="6">
        <f>MIN(0, N59+(IFERROR(IF(30*INDEX('UA-normalized'!$D:$D, MATCH($A59, 'UA-normalized'!$A:$A, 0))-INDEX('UA-normalized'!$E:$E, MATCH($A59, 'UA-normalized'!$A:$A, 0))&gt;0, -(30*INDEX('UA-normalized'!$D:$D, MATCH($A59, 'UA-normalized'!$A:$A, 0))-INDEX('UA-normalized'!$E:$E, MATCH($A59, 'UA-normalized'!$A:$A, 0))), 0), 0))+(IFERROR(IF(30*INDEX('KZ-normalized'!$D:$D, MATCH($A59, 'KZ-normalized'!$A:$A, 0))-INDEX('KZ-normalized'!$E:$E, MATCH($A59, 'KZ-normalized'!$A:$A, 0))&gt;0, -(30*INDEX('KZ-normalized'!$D:$D, MATCH($A59, 'KZ-normalized'!$A:$A, 0))-INDEX('KZ-normalized'!$E:$E, MATCH($A59, 'KZ-normalized'!$A:$A, 0))), 0), 0))+(IFERROR(IF(30*INDEX('UZ-normalized'!$D:$D, MATCH($A59, 'UZ-normalized'!$A:$A, 0))-INDEX('UZ-normalized'!$E:$E, MATCH($A59, 'UZ-normalized'!$A:$A, 0))&gt;0, -(30*INDEX('UZ-normalized'!$D:$D, MATCH($A59, 'UZ-normalized'!$A:$A, 0))-INDEX('UZ-normalized'!$E:$E, MATCH($A59, 'UZ-normalized'!$A:$A, 0))), 0), 0)))</f>
        <v>-314</v>
      </c>
    </row>
    <row r="60" spans="1:44" x14ac:dyDescent="0.25">
      <c r="A60" s="8" t="s">
        <v>165</v>
      </c>
      <c r="B60" s="8" t="s">
        <v>166</v>
      </c>
      <c r="C60" s="8" t="s">
        <v>167</v>
      </c>
      <c r="D60" s="8" t="s">
        <v>168</v>
      </c>
      <c r="E60">
        <v>23750</v>
      </c>
      <c r="N60">
        <f t="shared" si="0"/>
        <v>23750</v>
      </c>
      <c r="O60" s="6">
        <f>MIN(0, N60+(IFERROR(IF(1*INDEX('UA-normalized'!$D:$D, MATCH($A60, 'UA-normalized'!$A:$A, 0))-INDEX('UA-normalized'!$E:$E, MATCH($A60, 'UA-normalized'!$A:$A, 0))&gt;0, -(1*INDEX('UA-normalized'!$D:$D, MATCH($A60, 'UA-normalized'!$A:$A, 0))-INDEX('UA-normalized'!$E:$E, MATCH($A60, 'UA-normalized'!$A:$A, 0))), 0), 0))+(IFERROR(IF(1*INDEX('KZ-normalized'!$D:$D, MATCH($A60, 'KZ-normalized'!$A:$A, 0))-INDEX('KZ-normalized'!$E:$E, MATCH($A60, 'KZ-normalized'!$A:$A, 0))&gt;0, -(1*INDEX('KZ-normalized'!$D:$D, MATCH($A60, 'KZ-normalized'!$A:$A, 0))-INDEX('KZ-normalized'!$E:$E, MATCH($A60, 'KZ-normalized'!$A:$A, 0))), 0), 0))+(IFERROR(IF(1*INDEX('UZ-normalized'!$D:$D, MATCH($A60, 'UZ-normalized'!$A:$A, 0))-INDEX('UZ-normalized'!$E:$E, MATCH($A60, 'UZ-normalized'!$A:$A, 0))&gt;0, -(1*INDEX('UZ-normalized'!$D:$D, MATCH($A60, 'UZ-normalized'!$A:$A, 0))-INDEX('UZ-normalized'!$E:$E, MATCH($A60, 'UZ-normalized'!$A:$A, 0))), 0), 0)))</f>
        <v>0</v>
      </c>
      <c r="P60" s="6">
        <f>MIN(0, N60+(IFERROR(IF(2*INDEX('UA-normalized'!$D:$D, MATCH($A60, 'UA-normalized'!$A:$A, 0))-INDEX('UA-normalized'!$E:$E, MATCH($A60, 'UA-normalized'!$A:$A, 0))&gt;0, -(2*INDEX('UA-normalized'!$D:$D, MATCH($A60, 'UA-normalized'!$A:$A, 0))-INDEX('UA-normalized'!$E:$E, MATCH($A60, 'UA-normalized'!$A:$A, 0))), 0), 0))+(IFERROR(IF(2*INDEX('KZ-normalized'!$D:$D, MATCH($A60, 'KZ-normalized'!$A:$A, 0))-INDEX('KZ-normalized'!$E:$E, MATCH($A60, 'KZ-normalized'!$A:$A, 0))&gt;0, -(2*INDEX('KZ-normalized'!$D:$D, MATCH($A60, 'KZ-normalized'!$A:$A, 0))-INDEX('KZ-normalized'!$E:$E, MATCH($A60, 'KZ-normalized'!$A:$A, 0))), 0), 0))+(IFERROR(IF(2*INDEX('UZ-normalized'!$D:$D, MATCH($A60, 'UZ-normalized'!$A:$A, 0))-INDEX('UZ-normalized'!$E:$E, MATCH($A60, 'UZ-normalized'!$A:$A, 0))&gt;0, -(2*INDEX('UZ-normalized'!$D:$D, MATCH($A60, 'UZ-normalized'!$A:$A, 0))-INDEX('UZ-normalized'!$E:$E, MATCH($A60, 'UZ-normalized'!$A:$A, 0))), 0), 0)))</f>
        <v>0</v>
      </c>
      <c r="Q60" s="6">
        <f>MIN(0, N60+(IFERROR(IF(3*INDEX('UA-normalized'!$D:$D, MATCH($A60, 'UA-normalized'!$A:$A, 0))-INDEX('UA-normalized'!$E:$E, MATCH($A60, 'UA-normalized'!$A:$A, 0))&gt;0, -(3*INDEX('UA-normalized'!$D:$D, MATCH($A60, 'UA-normalized'!$A:$A, 0))-INDEX('UA-normalized'!$E:$E, MATCH($A60, 'UA-normalized'!$A:$A, 0))), 0), 0))+(IFERROR(IF(3*INDEX('KZ-normalized'!$D:$D, MATCH($A60, 'KZ-normalized'!$A:$A, 0))-INDEX('KZ-normalized'!$E:$E, MATCH($A60, 'KZ-normalized'!$A:$A, 0))&gt;0, -(3*INDEX('KZ-normalized'!$D:$D, MATCH($A60, 'KZ-normalized'!$A:$A, 0))-INDEX('KZ-normalized'!$E:$E, MATCH($A60, 'KZ-normalized'!$A:$A, 0))), 0), 0))+(IFERROR(IF(3*INDEX('UZ-normalized'!$D:$D, MATCH($A60, 'UZ-normalized'!$A:$A, 0))-INDEX('UZ-normalized'!$E:$E, MATCH($A60, 'UZ-normalized'!$A:$A, 0))&gt;0, -(3*INDEX('UZ-normalized'!$D:$D, MATCH($A60, 'UZ-normalized'!$A:$A, 0))-INDEX('UZ-normalized'!$E:$E, MATCH($A60, 'UZ-normalized'!$A:$A, 0))), 0), 0)))</f>
        <v>0</v>
      </c>
      <c r="R60" s="6">
        <f>MIN(0, N60+(IFERROR(IF(4*INDEX('UA-normalized'!$D:$D, MATCH($A60, 'UA-normalized'!$A:$A, 0))-INDEX('UA-normalized'!$E:$E, MATCH($A60, 'UA-normalized'!$A:$A, 0))&gt;0, -(4*INDEX('UA-normalized'!$D:$D, MATCH($A60, 'UA-normalized'!$A:$A, 0))-INDEX('UA-normalized'!$E:$E, MATCH($A60, 'UA-normalized'!$A:$A, 0))), 0), 0))+(IFERROR(IF(4*INDEX('KZ-normalized'!$D:$D, MATCH($A60, 'KZ-normalized'!$A:$A, 0))-INDEX('KZ-normalized'!$E:$E, MATCH($A60, 'KZ-normalized'!$A:$A, 0))&gt;0, -(4*INDEX('KZ-normalized'!$D:$D, MATCH($A60, 'KZ-normalized'!$A:$A, 0))-INDEX('KZ-normalized'!$E:$E, MATCH($A60, 'KZ-normalized'!$A:$A, 0))), 0), 0))+(IFERROR(IF(4*INDEX('UZ-normalized'!$D:$D, MATCH($A60, 'UZ-normalized'!$A:$A, 0))-INDEX('UZ-normalized'!$E:$E, MATCH($A60, 'UZ-normalized'!$A:$A, 0))&gt;0, -(4*INDEX('UZ-normalized'!$D:$D, MATCH($A60, 'UZ-normalized'!$A:$A, 0))-INDEX('UZ-normalized'!$E:$E, MATCH($A60, 'UZ-normalized'!$A:$A, 0))), 0), 0)))</f>
        <v>0</v>
      </c>
      <c r="S60" s="6">
        <f>MIN(0, N60+(IFERROR(IF(5*INDEX('UA-normalized'!$D:$D, MATCH($A60, 'UA-normalized'!$A:$A, 0))-INDEX('UA-normalized'!$E:$E, MATCH($A60, 'UA-normalized'!$A:$A, 0))&gt;0, -(5*INDEX('UA-normalized'!$D:$D, MATCH($A60, 'UA-normalized'!$A:$A, 0))-INDEX('UA-normalized'!$E:$E, MATCH($A60, 'UA-normalized'!$A:$A, 0))), 0), 0))+(IFERROR(IF(5*INDEX('KZ-normalized'!$D:$D, MATCH($A60, 'KZ-normalized'!$A:$A, 0))-INDEX('KZ-normalized'!$E:$E, MATCH($A60, 'KZ-normalized'!$A:$A, 0))&gt;0, -(5*INDEX('KZ-normalized'!$D:$D, MATCH($A60, 'KZ-normalized'!$A:$A, 0))-INDEX('KZ-normalized'!$E:$E, MATCH($A60, 'KZ-normalized'!$A:$A, 0))), 0), 0))+(IFERROR(IF(5*INDEX('UZ-normalized'!$D:$D, MATCH($A60, 'UZ-normalized'!$A:$A, 0))-INDEX('UZ-normalized'!$E:$E, MATCH($A60, 'UZ-normalized'!$A:$A, 0))&gt;0, -(5*INDEX('UZ-normalized'!$D:$D, MATCH($A60, 'UZ-normalized'!$A:$A, 0))-INDEX('UZ-normalized'!$E:$E, MATCH($A60, 'UZ-normalized'!$A:$A, 0))), 0), 0)))</f>
        <v>0</v>
      </c>
      <c r="T60" s="6">
        <f>MIN(0, N60+(IFERROR(IF(6*INDEX('UA-normalized'!$D:$D, MATCH($A60, 'UA-normalized'!$A:$A, 0))-INDEX('UA-normalized'!$E:$E, MATCH($A60, 'UA-normalized'!$A:$A, 0))&gt;0, -(6*INDEX('UA-normalized'!$D:$D, MATCH($A60, 'UA-normalized'!$A:$A, 0))-INDEX('UA-normalized'!$E:$E, MATCH($A60, 'UA-normalized'!$A:$A, 0))), 0), 0))+(IFERROR(IF(6*INDEX('KZ-normalized'!$D:$D, MATCH($A60, 'KZ-normalized'!$A:$A, 0))-INDEX('KZ-normalized'!$E:$E, MATCH($A60, 'KZ-normalized'!$A:$A, 0))&gt;0, -(6*INDEX('KZ-normalized'!$D:$D, MATCH($A60, 'KZ-normalized'!$A:$A, 0))-INDEX('KZ-normalized'!$E:$E, MATCH($A60, 'KZ-normalized'!$A:$A, 0))), 0), 0))+(IFERROR(IF(6*INDEX('UZ-normalized'!$D:$D, MATCH($A60, 'UZ-normalized'!$A:$A, 0))-INDEX('UZ-normalized'!$E:$E, MATCH($A60, 'UZ-normalized'!$A:$A, 0))&gt;0, -(6*INDEX('UZ-normalized'!$D:$D, MATCH($A60, 'UZ-normalized'!$A:$A, 0))-INDEX('UZ-normalized'!$E:$E, MATCH($A60, 'UZ-normalized'!$A:$A, 0))), 0), 0)))</f>
        <v>0</v>
      </c>
      <c r="U60" s="6">
        <f>MIN(0, N60+(IFERROR(IF(7*INDEX('UA-normalized'!$D:$D, MATCH($A60, 'UA-normalized'!$A:$A, 0))-INDEX('UA-normalized'!$E:$E, MATCH($A60, 'UA-normalized'!$A:$A, 0))&gt;0, -(7*INDEX('UA-normalized'!$D:$D, MATCH($A60, 'UA-normalized'!$A:$A, 0))-INDEX('UA-normalized'!$E:$E, MATCH($A60, 'UA-normalized'!$A:$A, 0))), 0), 0))+(IFERROR(IF(7*INDEX('KZ-normalized'!$D:$D, MATCH($A60, 'KZ-normalized'!$A:$A, 0))-INDEX('KZ-normalized'!$E:$E, MATCH($A60, 'KZ-normalized'!$A:$A, 0))&gt;0, -(7*INDEX('KZ-normalized'!$D:$D, MATCH($A60, 'KZ-normalized'!$A:$A, 0))-INDEX('KZ-normalized'!$E:$E, MATCH($A60, 'KZ-normalized'!$A:$A, 0))), 0), 0))+(IFERROR(IF(7*INDEX('UZ-normalized'!$D:$D, MATCH($A60, 'UZ-normalized'!$A:$A, 0))-INDEX('UZ-normalized'!$E:$E, MATCH($A60, 'UZ-normalized'!$A:$A, 0))&gt;0, -(7*INDEX('UZ-normalized'!$D:$D, MATCH($A60, 'UZ-normalized'!$A:$A, 0))-INDEX('UZ-normalized'!$E:$E, MATCH($A60, 'UZ-normalized'!$A:$A, 0))), 0), 0)))</f>
        <v>0</v>
      </c>
      <c r="V60" s="6">
        <f>MIN(0, N60+(IFERROR(IF(8*INDEX('UA-normalized'!$D:$D, MATCH($A60, 'UA-normalized'!$A:$A, 0))-INDEX('UA-normalized'!$E:$E, MATCH($A60, 'UA-normalized'!$A:$A, 0))&gt;0, -(8*INDEX('UA-normalized'!$D:$D, MATCH($A60, 'UA-normalized'!$A:$A, 0))-INDEX('UA-normalized'!$E:$E, MATCH($A60, 'UA-normalized'!$A:$A, 0))), 0), 0))+(IFERROR(IF(8*INDEX('KZ-normalized'!$D:$D, MATCH($A60, 'KZ-normalized'!$A:$A, 0))-INDEX('KZ-normalized'!$E:$E, MATCH($A60, 'KZ-normalized'!$A:$A, 0))&gt;0, -(8*INDEX('KZ-normalized'!$D:$D, MATCH($A60, 'KZ-normalized'!$A:$A, 0))-INDEX('KZ-normalized'!$E:$E, MATCH($A60, 'KZ-normalized'!$A:$A, 0))), 0), 0))+(IFERROR(IF(8*INDEX('UZ-normalized'!$D:$D, MATCH($A60, 'UZ-normalized'!$A:$A, 0))-INDEX('UZ-normalized'!$E:$E, MATCH($A60, 'UZ-normalized'!$A:$A, 0))&gt;0, -(8*INDEX('UZ-normalized'!$D:$D, MATCH($A60, 'UZ-normalized'!$A:$A, 0))-INDEX('UZ-normalized'!$E:$E, MATCH($A60, 'UZ-normalized'!$A:$A, 0))), 0), 0)))</f>
        <v>0</v>
      </c>
      <c r="W60" s="6">
        <f>MIN(0, N60+(IFERROR(IF(9*INDEX('UA-normalized'!$D:$D, MATCH($A60, 'UA-normalized'!$A:$A, 0))-INDEX('UA-normalized'!$E:$E, MATCH($A60, 'UA-normalized'!$A:$A, 0))&gt;0, -(9*INDEX('UA-normalized'!$D:$D, MATCH($A60, 'UA-normalized'!$A:$A, 0))-INDEX('UA-normalized'!$E:$E, MATCH($A60, 'UA-normalized'!$A:$A, 0))), 0), 0))+(IFERROR(IF(9*INDEX('KZ-normalized'!$D:$D, MATCH($A60, 'KZ-normalized'!$A:$A, 0))-INDEX('KZ-normalized'!$E:$E, MATCH($A60, 'KZ-normalized'!$A:$A, 0))&gt;0, -(9*INDEX('KZ-normalized'!$D:$D, MATCH($A60, 'KZ-normalized'!$A:$A, 0))-INDEX('KZ-normalized'!$E:$E, MATCH($A60, 'KZ-normalized'!$A:$A, 0))), 0), 0))+(IFERROR(IF(9*INDEX('UZ-normalized'!$D:$D, MATCH($A60, 'UZ-normalized'!$A:$A, 0))-INDEX('UZ-normalized'!$E:$E, MATCH($A60, 'UZ-normalized'!$A:$A, 0))&gt;0, -(9*INDEX('UZ-normalized'!$D:$D, MATCH($A60, 'UZ-normalized'!$A:$A, 0))-INDEX('UZ-normalized'!$E:$E, MATCH($A60, 'UZ-normalized'!$A:$A, 0))), 0), 0)))</f>
        <v>0</v>
      </c>
      <c r="X60" s="6">
        <f>MIN(0, N60+(IFERROR(IF(10*INDEX('UA-normalized'!$D:$D, MATCH($A60, 'UA-normalized'!$A:$A, 0))-INDEX('UA-normalized'!$E:$E, MATCH($A60, 'UA-normalized'!$A:$A, 0))&gt;0, -(10*INDEX('UA-normalized'!$D:$D, MATCH($A60, 'UA-normalized'!$A:$A, 0))-INDEX('UA-normalized'!$E:$E, MATCH($A60, 'UA-normalized'!$A:$A, 0))), 0), 0))+(IFERROR(IF(10*INDEX('KZ-normalized'!$D:$D, MATCH($A60, 'KZ-normalized'!$A:$A, 0))-INDEX('KZ-normalized'!$E:$E, MATCH($A60, 'KZ-normalized'!$A:$A, 0))&gt;0, -(10*INDEX('KZ-normalized'!$D:$D, MATCH($A60, 'KZ-normalized'!$A:$A, 0))-INDEX('KZ-normalized'!$E:$E, MATCH($A60, 'KZ-normalized'!$A:$A, 0))), 0), 0))+(IFERROR(IF(10*INDEX('UZ-normalized'!$D:$D, MATCH($A60, 'UZ-normalized'!$A:$A, 0))-INDEX('UZ-normalized'!$E:$E, MATCH($A60, 'UZ-normalized'!$A:$A, 0))&gt;0, -(10*INDEX('UZ-normalized'!$D:$D, MATCH($A60, 'UZ-normalized'!$A:$A, 0))-INDEX('UZ-normalized'!$E:$E, MATCH($A60, 'UZ-normalized'!$A:$A, 0))), 0), 0)))</f>
        <v>0</v>
      </c>
      <c r="Y60" s="6">
        <f>MIN(0, N60+(IFERROR(IF(11*INDEX('UA-normalized'!$D:$D, MATCH($A60, 'UA-normalized'!$A:$A, 0))-INDEX('UA-normalized'!$E:$E, MATCH($A60, 'UA-normalized'!$A:$A, 0))&gt;0, -(11*INDEX('UA-normalized'!$D:$D, MATCH($A60, 'UA-normalized'!$A:$A, 0))-INDEX('UA-normalized'!$E:$E, MATCH($A60, 'UA-normalized'!$A:$A, 0))), 0), 0))+(IFERROR(IF(11*INDEX('KZ-normalized'!$D:$D, MATCH($A60, 'KZ-normalized'!$A:$A, 0))-INDEX('KZ-normalized'!$E:$E, MATCH($A60, 'KZ-normalized'!$A:$A, 0))&gt;0, -(11*INDEX('KZ-normalized'!$D:$D, MATCH($A60, 'KZ-normalized'!$A:$A, 0))-INDEX('KZ-normalized'!$E:$E, MATCH($A60, 'KZ-normalized'!$A:$A, 0))), 0), 0))+(IFERROR(IF(11*INDEX('UZ-normalized'!$D:$D, MATCH($A60, 'UZ-normalized'!$A:$A, 0))-INDEX('UZ-normalized'!$E:$E, MATCH($A60, 'UZ-normalized'!$A:$A, 0))&gt;0, -(11*INDEX('UZ-normalized'!$D:$D, MATCH($A60, 'UZ-normalized'!$A:$A, 0))-INDEX('UZ-normalized'!$E:$E, MATCH($A60, 'UZ-normalized'!$A:$A, 0))), 0), 0)))</f>
        <v>0</v>
      </c>
      <c r="Z60" s="6">
        <f>MIN(0, N60+(IFERROR(IF(12*INDEX('UA-normalized'!$D:$D, MATCH($A60, 'UA-normalized'!$A:$A, 0))-INDEX('UA-normalized'!$E:$E, MATCH($A60, 'UA-normalized'!$A:$A, 0))&gt;0, -(12*INDEX('UA-normalized'!$D:$D, MATCH($A60, 'UA-normalized'!$A:$A, 0))-INDEX('UA-normalized'!$E:$E, MATCH($A60, 'UA-normalized'!$A:$A, 0))), 0), 0))+(IFERROR(IF(12*INDEX('KZ-normalized'!$D:$D, MATCH($A60, 'KZ-normalized'!$A:$A, 0))-INDEX('KZ-normalized'!$E:$E, MATCH($A60, 'KZ-normalized'!$A:$A, 0))&gt;0, -(12*INDEX('KZ-normalized'!$D:$D, MATCH($A60, 'KZ-normalized'!$A:$A, 0))-INDEX('KZ-normalized'!$E:$E, MATCH($A60, 'KZ-normalized'!$A:$A, 0))), 0), 0))+(IFERROR(IF(12*INDEX('UZ-normalized'!$D:$D, MATCH($A60, 'UZ-normalized'!$A:$A, 0))-INDEX('UZ-normalized'!$E:$E, MATCH($A60, 'UZ-normalized'!$A:$A, 0))&gt;0, -(12*INDEX('UZ-normalized'!$D:$D, MATCH($A60, 'UZ-normalized'!$A:$A, 0))-INDEX('UZ-normalized'!$E:$E, MATCH($A60, 'UZ-normalized'!$A:$A, 0))), 0), 0)))</f>
        <v>0</v>
      </c>
      <c r="AA60" s="6">
        <f>MIN(0, N60+(IFERROR(IF(13*INDEX('UA-normalized'!$D:$D, MATCH($A60, 'UA-normalized'!$A:$A, 0))-INDEX('UA-normalized'!$E:$E, MATCH($A60, 'UA-normalized'!$A:$A, 0))&gt;0, -(13*INDEX('UA-normalized'!$D:$D, MATCH($A60, 'UA-normalized'!$A:$A, 0))-INDEX('UA-normalized'!$E:$E, MATCH($A60, 'UA-normalized'!$A:$A, 0))), 0), 0))+(IFERROR(IF(13*INDEX('KZ-normalized'!$D:$D, MATCH($A60, 'KZ-normalized'!$A:$A, 0))-INDEX('KZ-normalized'!$E:$E, MATCH($A60, 'KZ-normalized'!$A:$A, 0))&gt;0, -(13*INDEX('KZ-normalized'!$D:$D, MATCH($A60, 'KZ-normalized'!$A:$A, 0))-INDEX('KZ-normalized'!$E:$E, MATCH($A60, 'KZ-normalized'!$A:$A, 0))), 0), 0))+(IFERROR(IF(13*INDEX('UZ-normalized'!$D:$D, MATCH($A60, 'UZ-normalized'!$A:$A, 0))-INDEX('UZ-normalized'!$E:$E, MATCH($A60, 'UZ-normalized'!$A:$A, 0))&gt;0, -(13*INDEX('UZ-normalized'!$D:$D, MATCH($A60, 'UZ-normalized'!$A:$A, 0))-INDEX('UZ-normalized'!$E:$E, MATCH($A60, 'UZ-normalized'!$A:$A, 0))), 0), 0)))</f>
        <v>0</v>
      </c>
      <c r="AB60" s="6">
        <f>MIN(0, N60+(IFERROR(IF(14*INDEX('UA-normalized'!$D:$D, MATCH($A60, 'UA-normalized'!$A:$A, 0))-INDEX('UA-normalized'!$E:$E, MATCH($A60, 'UA-normalized'!$A:$A, 0))&gt;0, -(14*INDEX('UA-normalized'!$D:$D, MATCH($A60, 'UA-normalized'!$A:$A, 0))-INDEX('UA-normalized'!$E:$E, MATCH($A60, 'UA-normalized'!$A:$A, 0))), 0), 0))+(IFERROR(IF(14*INDEX('KZ-normalized'!$D:$D, MATCH($A60, 'KZ-normalized'!$A:$A, 0))-INDEX('KZ-normalized'!$E:$E, MATCH($A60, 'KZ-normalized'!$A:$A, 0))&gt;0, -(14*INDEX('KZ-normalized'!$D:$D, MATCH($A60, 'KZ-normalized'!$A:$A, 0))-INDEX('KZ-normalized'!$E:$E, MATCH($A60, 'KZ-normalized'!$A:$A, 0))), 0), 0))+(IFERROR(IF(14*INDEX('UZ-normalized'!$D:$D, MATCH($A60, 'UZ-normalized'!$A:$A, 0))-INDEX('UZ-normalized'!$E:$E, MATCH($A60, 'UZ-normalized'!$A:$A, 0))&gt;0, -(14*INDEX('UZ-normalized'!$D:$D, MATCH($A60, 'UZ-normalized'!$A:$A, 0))-INDEX('UZ-normalized'!$E:$E, MATCH($A60, 'UZ-normalized'!$A:$A, 0))), 0), 0)))</f>
        <v>0</v>
      </c>
      <c r="AC60" s="6">
        <f>MIN(0, N60+(IFERROR(IF(15*INDEX('UA-normalized'!$D:$D, MATCH($A60, 'UA-normalized'!$A:$A, 0))-INDEX('UA-normalized'!$E:$E, MATCH($A60, 'UA-normalized'!$A:$A, 0))&gt;0, -(15*INDEX('UA-normalized'!$D:$D, MATCH($A60, 'UA-normalized'!$A:$A, 0))-INDEX('UA-normalized'!$E:$E, MATCH($A60, 'UA-normalized'!$A:$A, 0))), 0), 0))+(IFERROR(IF(15*INDEX('KZ-normalized'!$D:$D, MATCH($A60, 'KZ-normalized'!$A:$A, 0))-INDEX('KZ-normalized'!$E:$E, MATCH($A60, 'KZ-normalized'!$A:$A, 0))&gt;0, -(15*INDEX('KZ-normalized'!$D:$D, MATCH($A60, 'KZ-normalized'!$A:$A, 0))-INDEX('KZ-normalized'!$E:$E, MATCH($A60, 'KZ-normalized'!$A:$A, 0))), 0), 0))+(IFERROR(IF(15*INDEX('UZ-normalized'!$D:$D, MATCH($A60, 'UZ-normalized'!$A:$A, 0))-INDEX('UZ-normalized'!$E:$E, MATCH($A60, 'UZ-normalized'!$A:$A, 0))&gt;0, -(15*INDEX('UZ-normalized'!$D:$D, MATCH($A60, 'UZ-normalized'!$A:$A, 0))-INDEX('UZ-normalized'!$E:$E, MATCH($A60, 'UZ-normalized'!$A:$A, 0))), 0), 0)))</f>
        <v>0</v>
      </c>
      <c r="AD60" s="6">
        <f>MIN(0, N60+(IFERROR(IF(16*INDEX('UA-normalized'!$D:$D, MATCH($A60, 'UA-normalized'!$A:$A, 0))-INDEX('UA-normalized'!$E:$E, MATCH($A60, 'UA-normalized'!$A:$A, 0))&gt;0, -(16*INDEX('UA-normalized'!$D:$D, MATCH($A60, 'UA-normalized'!$A:$A, 0))-INDEX('UA-normalized'!$E:$E, MATCH($A60, 'UA-normalized'!$A:$A, 0))), 0), 0))+(IFERROR(IF(16*INDEX('KZ-normalized'!$D:$D, MATCH($A60, 'KZ-normalized'!$A:$A, 0))-INDEX('KZ-normalized'!$E:$E, MATCH($A60, 'KZ-normalized'!$A:$A, 0))&gt;0, -(16*INDEX('KZ-normalized'!$D:$D, MATCH($A60, 'KZ-normalized'!$A:$A, 0))-INDEX('KZ-normalized'!$E:$E, MATCH($A60, 'KZ-normalized'!$A:$A, 0))), 0), 0))+(IFERROR(IF(16*INDEX('UZ-normalized'!$D:$D, MATCH($A60, 'UZ-normalized'!$A:$A, 0))-INDEX('UZ-normalized'!$E:$E, MATCH($A60, 'UZ-normalized'!$A:$A, 0))&gt;0, -(16*INDEX('UZ-normalized'!$D:$D, MATCH($A60, 'UZ-normalized'!$A:$A, 0))-INDEX('UZ-normalized'!$E:$E, MATCH($A60, 'UZ-normalized'!$A:$A, 0))), 0), 0)))</f>
        <v>0</v>
      </c>
      <c r="AE60" s="6">
        <f>MIN(0, N60+(IFERROR(IF(17*INDEX('UA-normalized'!$D:$D, MATCH($A60, 'UA-normalized'!$A:$A, 0))-INDEX('UA-normalized'!$E:$E, MATCH($A60, 'UA-normalized'!$A:$A, 0))&gt;0, -(17*INDEX('UA-normalized'!$D:$D, MATCH($A60, 'UA-normalized'!$A:$A, 0))-INDEX('UA-normalized'!$E:$E, MATCH($A60, 'UA-normalized'!$A:$A, 0))), 0), 0))+(IFERROR(IF(17*INDEX('KZ-normalized'!$D:$D, MATCH($A60, 'KZ-normalized'!$A:$A, 0))-INDEX('KZ-normalized'!$E:$E, MATCH($A60, 'KZ-normalized'!$A:$A, 0))&gt;0, -(17*INDEX('KZ-normalized'!$D:$D, MATCH($A60, 'KZ-normalized'!$A:$A, 0))-INDEX('KZ-normalized'!$E:$E, MATCH($A60, 'KZ-normalized'!$A:$A, 0))), 0), 0))+(IFERROR(IF(17*INDEX('UZ-normalized'!$D:$D, MATCH($A60, 'UZ-normalized'!$A:$A, 0))-INDEX('UZ-normalized'!$E:$E, MATCH($A60, 'UZ-normalized'!$A:$A, 0))&gt;0, -(17*INDEX('UZ-normalized'!$D:$D, MATCH($A60, 'UZ-normalized'!$A:$A, 0))-INDEX('UZ-normalized'!$E:$E, MATCH($A60, 'UZ-normalized'!$A:$A, 0))), 0), 0)))</f>
        <v>0</v>
      </c>
      <c r="AF60" s="6">
        <f>MIN(0, N60+(IFERROR(IF(18*INDEX('UA-normalized'!$D:$D, MATCH($A60, 'UA-normalized'!$A:$A, 0))-INDEX('UA-normalized'!$E:$E, MATCH($A60, 'UA-normalized'!$A:$A, 0))&gt;0, -(18*INDEX('UA-normalized'!$D:$D, MATCH($A60, 'UA-normalized'!$A:$A, 0))-INDEX('UA-normalized'!$E:$E, MATCH($A60, 'UA-normalized'!$A:$A, 0))), 0), 0))+(IFERROR(IF(18*INDEX('KZ-normalized'!$D:$D, MATCH($A60, 'KZ-normalized'!$A:$A, 0))-INDEX('KZ-normalized'!$E:$E, MATCH($A60, 'KZ-normalized'!$A:$A, 0))&gt;0, -(18*INDEX('KZ-normalized'!$D:$D, MATCH($A60, 'KZ-normalized'!$A:$A, 0))-INDEX('KZ-normalized'!$E:$E, MATCH($A60, 'KZ-normalized'!$A:$A, 0))), 0), 0))+(IFERROR(IF(18*INDEX('UZ-normalized'!$D:$D, MATCH($A60, 'UZ-normalized'!$A:$A, 0))-INDEX('UZ-normalized'!$E:$E, MATCH($A60, 'UZ-normalized'!$A:$A, 0))&gt;0, -(18*INDEX('UZ-normalized'!$D:$D, MATCH($A60, 'UZ-normalized'!$A:$A, 0))-INDEX('UZ-normalized'!$E:$E, MATCH($A60, 'UZ-normalized'!$A:$A, 0))), 0), 0)))</f>
        <v>0</v>
      </c>
      <c r="AG60" s="6">
        <f>MIN(0, N60+(IFERROR(IF(19*INDEX('UA-normalized'!$D:$D, MATCH($A60, 'UA-normalized'!$A:$A, 0))-INDEX('UA-normalized'!$E:$E, MATCH($A60, 'UA-normalized'!$A:$A, 0))&gt;0, -(19*INDEX('UA-normalized'!$D:$D, MATCH($A60, 'UA-normalized'!$A:$A, 0))-INDEX('UA-normalized'!$E:$E, MATCH($A60, 'UA-normalized'!$A:$A, 0))), 0), 0))+(IFERROR(IF(19*INDEX('KZ-normalized'!$D:$D, MATCH($A60, 'KZ-normalized'!$A:$A, 0))-INDEX('KZ-normalized'!$E:$E, MATCH($A60, 'KZ-normalized'!$A:$A, 0))&gt;0, -(19*INDEX('KZ-normalized'!$D:$D, MATCH($A60, 'KZ-normalized'!$A:$A, 0))-INDEX('KZ-normalized'!$E:$E, MATCH($A60, 'KZ-normalized'!$A:$A, 0))), 0), 0))+(IFERROR(IF(19*INDEX('UZ-normalized'!$D:$D, MATCH($A60, 'UZ-normalized'!$A:$A, 0))-INDEX('UZ-normalized'!$E:$E, MATCH($A60, 'UZ-normalized'!$A:$A, 0))&gt;0, -(19*INDEX('UZ-normalized'!$D:$D, MATCH($A60, 'UZ-normalized'!$A:$A, 0))-INDEX('UZ-normalized'!$E:$E, MATCH($A60, 'UZ-normalized'!$A:$A, 0))), 0), 0)))</f>
        <v>0</v>
      </c>
      <c r="AH60" s="6">
        <f>MIN(0, N60+(IFERROR(IF(20*INDEX('UA-normalized'!$D:$D, MATCH($A60, 'UA-normalized'!$A:$A, 0))-INDEX('UA-normalized'!$E:$E, MATCH($A60, 'UA-normalized'!$A:$A, 0))&gt;0, -(20*INDEX('UA-normalized'!$D:$D, MATCH($A60, 'UA-normalized'!$A:$A, 0))-INDEX('UA-normalized'!$E:$E, MATCH($A60, 'UA-normalized'!$A:$A, 0))), 0), 0))+(IFERROR(IF(20*INDEX('KZ-normalized'!$D:$D, MATCH($A60, 'KZ-normalized'!$A:$A, 0))-INDEX('KZ-normalized'!$E:$E, MATCH($A60, 'KZ-normalized'!$A:$A, 0))&gt;0, -(20*INDEX('KZ-normalized'!$D:$D, MATCH($A60, 'KZ-normalized'!$A:$A, 0))-INDEX('KZ-normalized'!$E:$E, MATCH($A60, 'KZ-normalized'!$A:$A, 0))), 0), 0))+(IFERROR(IF(20*INDEX('UZ-normalized'!$D:$D, MATCH($A60, 'UZ-normalized'!$A:$A, 0))-INDEX('UZ-normalized'!$E:$E, MATCH($A60, 'UZ-normalized'!$A:$A, 0))&gt;0, -(20*INDEX('UZ-normalized'!$D:$D, MATCH($A60, 'UZ-normalized'!$A:$A, 0))-INDEX('UZ-normalized'!$E:$E, MATCH($A60, 'UZ-normalized'!$A:$A, 0))), 0), 0)))</f>
        <v>0</v>
      </c>
      <c r="AI60" s="6">
        <f>MIN(0, N60+(IFERROR(IF(21*INDEX('UA-normalized'!$D:$D, MATCH($A60, 'UA-normalized'!$A:$A, 0))-INDEX('UA-normalized'!$E:$E, MATCH($A60, 'UA-normalized'!$A:$A, 0))&gt;0, -(21*INDEX('UA-normalized'!$D:$D, MATCH($A60, 'UA-normalized'!$A:$A, 0))-INDEX('UA-normalized'!$E:$E, MATCH($A60, 'UA-normalized'!$A:$A, 0))), 0), 0))+(IFERROR(IF(21*INDEX('KZ-normalized'!$D:$D, MATCH($A60, 'KZ-normalized'!$A:$A, 0))-INDEX('KZ-normalized'!$E:$E, MATCH($A60, 'KZ-normalized'!$A:$A, 0))&gt;0, -(21*INDEX('KZ-normalized'!$D:$D, MATCH($A60, 'KZ-normalized'!$A:$A, 0))-INDEX('KZ-normalized'!$E:$E, MATCH($A60, 'KZ-normalized'!$A:$A, 0))), 0), 0))+(IFERROR(IF(21*INDEX('UZ-normalized'!$D:$D, MATCH($A60, 'UZ-normalized'!$A:$A, 0))-INDEX('UZ-normalized'!$E:$E, MATCH($A60, 'UZ-normalized'!$A:$A, 0))&gt;0, -(21*INDEX('UZ-normalized'!$D:$D, MATCH($A60, 'UZ-normalized'!$A:$A, 0))-INDEX('UZ-normalized'!$E:$E, MATCH($A60, 'UZ-normalized'!$A:$A, 0))), 0), 0)))</f>
        <v>0</v>
      </c>
      <c r="AJ60" s="6">
        <f>MIN(0, N60+(IFERROR(IF(22*INDEX('UA-normalized'!$D:$D, MATCH($A60, 'UA-normalized'!$A:$A, 0))-INDEX('UA-normalized'!$E:$E, MATCH($A60, 'UA-normalized'!$A:$A, 0))&gt;0, -(22*INDEX('UA-normalized'!$D:$D, MATCH($A60, 'UA-normalized'!$A:$A, 0))-INDEX('UA-normalized'!$E:$E, MATCH($A60, 'UA-normalized'!$A:$A, 0))), 0), 0))+(IFERROR(IF(22*INDEX('KZ-normalized'!$D:$D, MATCH($A60, 'KZ-normalized'!$A:$A, 0))-INDEX('KZ-normalized'!$E:$E, MATCH($A60, 'KZ-normalized'!$A:$A, 0))&gt;0, -(22*INDEX('KZ-normalized'!$D:$D, MATCH($A60, 'KZ-normalized'!$A:$A, 0))-INDEX('KZ-normalized'!$E:$E, MATCH($A60, 'KZ-normalized'!$A:$A, 0))), 0), 0))+(IFERROR(IF(22*INDEX('UZ-normalized'!$D:$D, MATCH($A60, 'UZ-normalized'!$A:$A, 0))-INDEX('UZ-normalized'!$E:$E, MATCH($A60, 'UZ-normalized'!$A:$A, 0))&gt;0, -(22*INDEX('UZ-normalized'!$D:$D, MATCH($A60, 'UZ-normalized'!$A:$A, 0))-INDEX('UZ-normalized'!$E:$E, MATCH($A60, 'UZ-normalized'!$A:$A, 0))), 0), 0)))</f>
        <v>0</v>
      </c>
      <c r="AK60" s="6">
        <f>MIN(0, N60+(IFERROR(IF(23*INDEX('UA-normalized'!$D:$D, MATCH($A60, 'UA-normalized'!$A:$A, 0))-INDEX('UA-normalized'!$E:$E, MATCH($A60, 'UA-normalized'!$A:$A, 0))&gt;0, -(23*INDEX('UA-normalized'!$D:$D, MATCH($A60, 'UA-normalized'!$A:$A, 0))-INDEX('UA-normalized'!$E:$E, MATCH($A60, 'UA-normalized'!$A:$A, 0))), 0), 0))+(IFERROR(IF(23*INDEX('KZ-normalized'!$D:$D, MATCH($A60, 'KZ-normalized'!$A:$A, 0))-INDEX('KZ-normalized'!$E:$E, MATCH($A60, 'KZ-normalized'!$A:$A, 0))&gt;0, -(23*INDEX('KZ-normalized'!$D:$D, MATCH($A60, 'KZ-normalized'!$A:$A, 0))-INDEX('KZ-normalized'!$E:$E, MATCH($A60, 'KZ-normalized'!$A:$A, 0))), 0), 0))+(IFERROR(IF(23*INDEX('UZ-normalized'!$D:$D, MATCH($A60, 'UZ-normalized'!$A:$A, 0))-INDEX('UZ-normalized'!$E:$E, MATCH($A60, 'UZ-normalized'!$A:$A, 0))&gt;0, -(23*INDEX('UZ-normalized'!$D:$D, MATCH($A60, 'UZ-normalized'!$A:$A, 0))-INDEX('UZ-normalized'!$E:$E, MATCH($A60, 'UZ-normalized'!$A:$A, 0))), 0), 0)))</f>
        <v>0</v>
      </c>
      <c r="AL60" s="6">
        <f>MIN(0, N60+(IFERROR(IF(24*INDEX('UA-normalized'!$D:$D, MATCH($A60, 'UA-normalized'!$A:$A, 0))-INDEX('UA-normalized'!$E:$E, MATCH($A60, 'UA-normalized'!$A:$A, 0))&gt;0, -(24*INDEX('UA-normalized'!$D:$D, MATCH($A60, 'UA-normalized'!$A:$A, 0))-INDEX('UA-normalized'!$E:$E, MATCH($A60, 'UA-normalized'!$A:$A, 0))), 0), 0))+(IFERROR(IF(24*INDEX('KZ-normalized'!$D:$D, MATCH($A60, 'KZ-normalized'!$A:$A, 0))-INDEX('KZ-normalized'!$E:$E, MATCH($A60, 'KZ-normalized'!$A:$A, 0))&gt;0, -(24*INDEX('KZ-normalized'!$D:$D, MATCH($A60, 'KZ-normalized'!$A:$A, 0))-INDEX('KZ-normalized'!$E:$E, MATCH($A60, 'KZ-normalized'!$A:$A, 0))), 0), 0))+(IFERROR(IF(24*INDEX('UZ-normalized'!$D:$D, MATCH($A60, 'UZ-normalized'!$A:$A, 0))-INDEX('UZ-normalized'!$E:$E, MATCH($A60, 'UZ-normalized'!$A:$A, 0))&gt;0, -(24*INDEX('UZ-normalized'!$D:$D, MATCH($A60, 'UZ-normalized'!$A:$A, 0))-INDEX('UZ-normalized'!$E:$E, MATCH($A60, 'UZ-normalized'!$A:$A, 0))), 0), 0)))</f>
        <v>0</v>
      </c>
      <c r="AM60" s="6">
        <f>MIN(0, N60+(IFERROR(IF(25*INDEX('UA-normalized'!$D:$D, MATCH($A60, 'UA-normalized'!$A:$A, 0))-INDEX('UA-normalized'!$E:$E, MATCH($A60, 'UA-normalized'!$A:$A, 0))&gt;0, -(25*INDEX('UA-normalized'!$D:$D, MATCH($A60, 'UA-normalized'!$A:$A, 0))-INDEX('UA-normalized'!$E:$E, MATCH($A60, 'UA-normalized'!$A:$A, 0))), 0), 0))+(IFERROR(IF(25*INDEX('KZ-normalized'!$D:$D, MATCH($A60, 'KZ-normalized'!$A:$A, 0))-INDEX('KZ-normalized'!$E:$E, MATCH($A60, 'KZ-normalized'!$A:$A, 0))&gt;0, -(25*INDEX('KZ-normalized'!$D:$D, MATCH($A60, 'KZ-normalized'!$A:$A, 0))-INDEX('KZ-normalized'!$E:$E, MATCH($A60, 'KZ-normalized'!$A:$A, 0))), 0), 0))+(IFERROR(IF(25*INDEX('UZ-normalized'!$D:$D, MATCH($A60, 'UZ-normalized'!$A:$A, 0))-INDEX('UZ-normalized'!$E:$E, MATCH($A60, 'UZ-normalized'!$A:$A, 0))&gt;0, -(25*INDEX('UZ-normalized'!$D:$D, MATCH($A60, 'UZ-normalized'!$A:$A, 0))-INDEX('UZ-normalized'!$E:$E, MATCH($A60, 'UZ-normalized'!$A:$A, 0))), 0), 0)))</f>
        <v>0</v>
      </c>
      <c r="AN60" s="6">
        <f>MIN(0, N60+(IFERROR(IF(26*INDEX('UA-normalized'!$D:$D, MATCH($A60, 'UA-normalized'!$A:$A, 0))-INDEX('UA-normalized'!$E:$E, MATCH($A60, 'UA-normalized'!$A:$A, 0))&gt;0, -(26*INDEX('UA-normalized'!$D:$D, MATCH($A60, 'UA-normalized'!$A:$A, 0))-INDEX('UA-normalized'!$E:$E, MATCH($A60, 'UA-normalized'!$A:$A, 0))), 0), 0))+(IFERROR(IF(26*INDEX('KZ-normalized'!$D:$D, MATCH($A60, 'KZ-normalized'!$A:$A, 0))-INDEX('KZ-normalized'!$E:$E, MATCH($A60, 'KZ-normalized'!$A:$A, 0))&gt;0, -(26*INDEX('KZ-normalized'!$D:$D, MATCH($A60, 'KZ-normalized'!$A:$A, 0))-INDEX('KZ-normalized'!$E:$E, MATCH($A60, 'KZ-normalized'!$A:$A, 0))), 0), 0))+(IFERROR(IF(26*INDEX('UZ-normalized'!$D:$D, MATCH($A60, 'UZ-normalized'!$A:$A, 0))-INDEX('UZ-normalized'!$E:$E, MATCH($A60, 'UZ-normalized'!$A:$A, 0))&gt;0, -(26*INDEX('UZ-normalized'!$D:$D, MATCH($A60, 'UZ-normalized'!$A:$A, 0))-INDEX('UZ-normalized'!$E:$E, MATCH($A60, 'UZ-normalized'!$A:$A, 0))), 0), 0)))</f>
        <v>0</v>
      </c>
      <c r="AO60" s="6">
        <f>MIN(0, N60+(IFERROR(IF(27*INDEX('UA-normalized'!$D:$D, MATCH($A60, 'UA-normalized'!$A:$A, 0))-INDEX('UA-normalized'!$E:$E, MATCH($A60, 'UA-normalized'!$A:$A, 0))&gt;0, -(27*INDEX('UA-normalized'!$D:$D, MATCH($A60, 'UA-normalized'!$A:$A, 0))-INDEX('UA-normalized'!$E:$E, MATCH($A60, 'UA-normalized'!$A:$A, 0))), 0), 0))+(IFERROR(IF(27*INDEX('KZ-normalized'!$D:$D, MATCH($A60, 'KZ-normalized'!$A:$A, 0))-INDEX('KZ-normalized'!$E:$E, MATCH($A60, 'KZ-normalized'!$A:$A, 0))&gt;0, -(27*INDEX('KZ-normalized'!$D:$D, MATCH($A60, 'KZ-normalized'!$A:$A, 0))-INDEX('KZ-normalized'!$E:$E, MATCH($A60, 'KZ-normalized'!$A:$A, 0))), 0), 0))+(IFERROR(IF(27*INDEX('UZ-normalized'!$D:$D, MATCH($A60, 'UZ-normalized'!$A:$A, 0))-INDEX('UZ-normalized'!$E:$E, MATCH($A60, 'UZ-normalized'!$A:$A, 0))&gt;0, -(27*INDEX('UZ-normalized'!$D:$D, MATCH($A60, 'UZ-normalized'!$A:$A, 0))-INDEX('UZ-normalized'!$E:$E, MATCH($A60, 'UZ-normalized'!$A:$A, 0))), 0), 0)))</f>
        <v>0</v>
      </c>
      <c r="AP60" s="6">
        <f>MIN(0, N60+(IFERROR(IF(28*INDEX('UA-normalized'!$D:$D, MATCH($A60, 'UA-normalized'!$A:$A, 0))-INDEX('UA-normalized'!$E:$E, MATCH($A60, 'UA-normalized'!$A:$A, 0))&gt;0, -(28*INDEX('UA-normalized'!$D:$D, MATCH($A60, 'UA-normalized'!$A:$A, 0))-INDEX('UA-normalized'!$E:$E, MATCH($A60, 'UA-normalized'!$A:$A, 0))), 0), 0))+(IFERROR(IF(28*INDEX('KZ-normalized'!$D:$D, MATCH($A60, 'KZ-normalized'!$A:$A, 0))-INDEX('KZ-normalized'!$E:$E, MATCH($A60, 'KZ-normalized'!$A:$A, 0))&gt;0, -(28*INDEX('KZ-normalized'!$D:$D, MATCH($A60, 'KZ-normalized'!$A:$A, 0))-INDEX('KZ-normalized'!$E:$E, MATCH($A60, 'KZ-normalized'!$A:$A, 0))), 0), 0))+(IFERROR(IF(28*INDEX('UZ-normalized'!$D:$D, MATCH($A60, 'UZ-normalized'!$A:$A, 0))-INDEX('UZ-normalized'!$E:$E, MATCH($A60, 'UZ-normalized'!$A:$A, 0))&gt;0, -(28*INDEX('UZ-normalized'!$D:$D, MATCH($A60, 'UZ-normalized'!$A:$A, 0))-INDEX('UZ-normalized'!$E:$E, MATCH($A60, 'UZ-normalized'!$A:$A, 0))), 0), 0)))</f>
        <v>0</v>
      </c>
      <c r="AQ60" s="6">
        <f>MIN(0, N60+(IFERROR(IF(29*INDEX('UA-normalized'!$D:$D, MATCH($A60, 'UA-normalized'!$A:$A, 0))-INDEX('UA-normalized'!$E:$E, MATCH($A60, 'UA-normalized'!$A:$A, 0))&gt;0, -(29*INDEX('UA-normalized'!$D:$D, MATCH($A60, 'UA-normalized'!$A:$A, 0))-INDEX('UA-normalized'!$E:$E, MATCH($A60, 'UA-normalized'!$A:$A, 0))), 0), 0))+(IFERROR(IF(29*INDEX('KZ-normalized'!$D:$D, MATCH($A60, 'KZ-normalized'!$A:$A, 0))-INDEX('KZ-normalized'!$E:$E, MATCH($A60, 'KZ-normalized'!$A:$A, 0))&gt;0, -(29*INDEX('KZ-normalized'!$D:$D, MATCH($A60, 'KZ-normalized'!$A:$A, 0))-INDEX('KZ-normalized'!$E:$E, MATCH($A60, 'KZ-normalized'!$A:$A, 0))), 0), 0))+(IFERROR(IF(29*INDEX('UZ-normalized'!$D:$D, MATCH($A60, 'UZ-normalized'!$A:$A, 0))-INDEX('UZ-normalized'!$E:$E, MATCH($A60, 'UZ-normalized'!$A:$A, 0))&gt;0, -(29*INDEX('UZ-normalized'!$D:$D, MATCH($A60, 'UZ-normalized'!$A:$A, 0))-INDEX('UZ-normalized'!$E:$E, MATCH($A60, 'UZ-normalized'!$A:$A, 0))), 0), 0)))</f>
        <v>0</v>
      </c>
      <c r="AR60" s="6">
        <f>MIN(0, N60+(IFERROR(IF(30*INDEX('UA-normalized'!$D:$D, MATCH($A60, 'UA-normalized'!$A:$A, 0))-INDEX('UA-normalized'!$E:$E, MATCH($A60, 'UA-normalized'!$A:$A, 0))&gt;0, -(30*INDEX('UA-normalized'!$D:$D, MATCH($A60, 'UA-normalized'!$A:$A, 0))-INDEX('UA-normalized'!$E:$E, MATCH($A60, 'UA-normalized'!$A:$A, 0))), 0), 0))+(IFERROR(IF(30*INDEX('KZ-normalized'!$D:$D, MATCH($A60, 'KZ-normalized'!$A:$A, 0))-INDEX('KZ-normalized'!$E:$E, MATCH($A60, 'KZ-normalized'!$A:$A, 0))&gt;0, -(30*INDEX('KZ-normalized'!$D:$D, MATCH($A60, 'KZ-normalized'!$A:$A, 0))-INDEX('KZ-normalized'!$E:$E, MATCH($A60, 'KZ-normalized'!$A:$A, 0))), 0), 0))+(IFERROR(IF(30*INDEX('UZ-normalized'!$D:$D, MATCH($A60, 'UZ-normalized'!$A:$A, 0))-INDEX('UZ-normalized'!$E:$E, MATCH($A60, 'UZ-normalized'!$A:$A, 0))&gt;0, -(30*INDEX('UZ-normalized'!$D:$D, MATCH($A60, 'UZ-normalized'!$A:$A, 0))-INDEX('UZ-normalized'!$E:$E, MATCH($A60, 'UZ-normalized'!$A:$A, 0))), 0), 0)))</f>
        <v>0</v>
      </c>
    </row>
    <row r="61" spans="1:44" x14ac:dyDescent="0.25">
      <c r="A61" s="8" t="s">
        <v>169</v>
      </c>
      <c r="B61" s="8" t="s">
        <v>166</v>
      </c>
      <c r="C61" s="8" t="s">
        <v>167</v>
      </c>
      <c r="D61" s="8" t="s">
        <v>168</v>
      </c>
      <c r="N61">
        <f t="shared" si="0"/>
        <v>0</v>
      </c>
      <c r="O61" s="6">
        <f>MIN(0, N61+(IFERROR(IF(1*INDEX('UA-normalized'!$D:$D, MATCH($A61, 'UA-normalized'!$A:$A, 0))-INDEX('UA-normalized'!$E:$E, MATCH($A61, 'UA-normalized'!$A:$A, 0))&gt;0, -(1*INDEX('UA-normalized'!$D:$D, MATCH($A61, 'UA-normalized'!$A:$A, 0))-INDEX('UA-normalized'!$E:$E, MATCH($A61, 'UA-normalized'!$A:$A, 0))), 0), 0))+(IFERROR(IF(1*INDEX('KZ-normalized'!$D:$D, MATCH($A61, 'KZ-normalized'!$A:$A, 0))-INDEX('KZ-normalized'!$E:$E, MATCH($A61, 'KZ-normalized'!$A:$A, 0))&gt;0, -(1*INDEX('KZ-normalized'!$D:$D, MATCH($A61, 'KZ-normalized'!$A:$A, 0))-INDEX('KZ-normalized'!$E:$E, MATCH($A61, 'KZ-normalized'!$A:$A, 0))), 0), 0))+(IFERROR(IF(1*INDEX('UZ-normalized'!$D:$D, MATCH($A61, 'UZ-normalized'!$A:$A, 0))-INDEX('UZ-normalized'!$E:$E, MATCH($A61, 'UZ-normalized'!$A:$A, 0))&gt;0, -(1*INDEX('UZ-normalized'!$D:$D, MATCH($A61, 'UZ-normalized'!$A:$A, 0))-INDEX('UZ-normalized'!$E:$E, MATCH($A61, 'UZ-normalized'!$A:$A, 0))), 0), 0)))</f>
        <v>0</v>
      </c>
      <c r="P61" s="6">
        <f>MIN(0, N61+(IFERROR(IF(2*INDEX('UA-normalized'!$D:$D, MATCH($A61, 'UA-normalized'!$A:$A, 0))-INDEX('UA-normalized'!$E:$E, MATCH($A61, 'UA-normalized'!$A:$A, 0))&gt;0, -(2*INDEX('UA-normalized'!$D:$D, MATCH($A61, 'UA-normalized'!$A:$A, 0))-INDEX('UA-normalized'!$E:$E, MATCH($A61, 'UA-normalized'!$A:$A, 0))), 0), 0))+(IFERROR(IF(2*INDEX('KZ-normalized'!$D:$D, MATCH($A61, 'KZ-normalized'!$A:$A, 0))-INDEX('KZ-normalized'!$E:$E, MATCH($A61, 'KZ-normalized'!$A:$A, 0))&gt;0, -(2*INDEX('KZ-normalized'!$D:$D, MATCH($A61, 'KZ-normalized'!$A:$A, 0))-INDEX('KZ-normalized'!$E:$E, MATCH($A61, 'KZ-normalized'!$A:$A, 0))), 0), 0))+(IFERROR(IF(2*INDEX('UZ-normalized'!$D:$D, MATCH($A61, 'UZ-normalized'!$A:$A, 0))-INDEX('UZ-normalized'!$E:$E, MATCH($A61, 'UZ-normalized'!$A:$A, 0))&gt;0, -(2*INDEX('UZ-normalized'!$D:$D, MATCH($A61, 'UZ-normalized'!$A:$A, 0))-INDEX('UZ-normalized'!$E:$E, MATCH($A61, 'UZ-normalized'!$A:$A, 0))), 0), 0)))</f>
        <v>0</v>
      </c>
      <c r="Q61" s="6">
        <f>MIN(0, N61+(IFERROR(IF(3*INDEX('UA-normalized'!$D:$D, MATCH($A61, 'UA-normalized'!$A:$A, 0))-INDEX('UA-normalized'!$E:$E, MATCH($A61, 'UA-normalized'!$A:$A, 0))&gt;0, -(3*INDEX('UA-normalized'!$D:$D, MATCH($A61, 'UA-normalized'!$A:$A, 0))-INDEX('UA-normalized'!$E:$E, MATCH($A61, 'UA-normalized'!$A:$A, 0))), 0), 0))+(IFERROR(IF(3*INDEX('KZ-normalized'!$D:$D, MATCH($A61, 'KZ-normalized'!$A:$A, 0))-INDEX('KZ-normalized'!$E:$E, MATCH($A61, 'KZ-normalized'!$A:$A, 0))&gt;0, -(3*INDEX('KZ-normalized'!$D:$D, MATCH($A61, 'KZ-normalized'!$A:$A, 0))-INDEX('KZ-normalized'!$E:$E, MATCH($A61, 'KZ-normalized'!$A:$A, 0))), 0), 0))+(IFERROR(IF(3*INDEX('UZ-normalized'!$D:$D, MATCH($A61, 'UZ-normalized'!$A:$A, 0))-INDEX('UZ-normalized'!$E:$E, MATCH($A61, 'UZ-normalized'!$A:$A, 0))&gt;0, -(3*INDEX('UZ-normalized'!$D:$D, MATCH($A61, 'UZ-normalized'!$A:$A, 0))-INDEX('UZ-normalized'!$E:$E, MATCH($A61, 'UZ-normalized'!$A:$A, 0))), 0), 0)))</f>
        <v>0</v>
      </c>
      <c r="R61" s="6">
        <f>MIN(0, N61+(IFERROR(IF(4*INDEX('UA-normalized'!$D:$D, MATCH($A61, 'UA-normalized'!$A:$A, 0))-INDEX('UA-normalized'!$E:$E, MATCH($A61, 'UA-normalized'!$A:$A, 0))&gt;0, -(4*INDEX('UA-normalized'!$D:$D, MATCH($A61, 'UA-normalized'!$A:$A, 0))-INDEX('UA-normalized'!$E:$E, MATCH($A61, 'UA-normalized'!$A:$A, 0))), 0), 0))+(IFERROR(IF(4*INDEX('KZ-normalized'!$D:$D, MATCH($A61, 'KZ-normalized'!$A:$A, 0))-INDEX('KZ-normalized'!$E:$E, MATCH($A61, 'KZ-normalized'!$A:$A, 0))&gt;0, -(4*INDEX('KZ-normalized'!$D:$D, MATCH($A61, 'KZ-normalized'!$A:$A, 0))-INDEX('KZ-normalized'!$E:$E, MATCH($A61, 'KZ-normalized'!$A:$A, 0))), 0), 0))+(IFERROR(IF(4*INDEX('UZ-normalized'!$D:$D, MATCH($A61, 'UZ-normalized'!$A:$A, 0))-INDEX('UZ-normalized'!$E:$E, MATCH($A61, 'UZ-normalized'!$A:$A, 0))&gt;0, -(4*INDEX('UZ-normalized'!$D:$D, MATCH($A61, 'UZ-normalized'!$A:$A, 0))-INDEX('UZ-normalized'!$E:$E, MATCH($A61, 'UZ-normalized'!$A:$A, 0))), 0), 0)))</f>
        <v>0</v>
      </c>
      <c r="S61" s="6">
        <f>MIN(0, N61+(IFERROR(IF(5*INDEX('UA-normalized'!$D:$D, MATCH($A61, 'UA-normalized'!$A:$A, 0))-INDEX('UA-normalized'!$E:$E, MATCH($A61, 'UA-normalized'!$A:$A, 0))&gt;0, -(5*INDEX('UA-normalized'!$D:$D, MATCH($A61, 'UA-normalized'!$A:$A, 0))-INDEX('UA-normalized'!$E:$E, MATCH($A61, 'UA-normalized'!$A:$A, 0))), 0), 0))+(IFERROR(IF(5*INDEX('KZ-normalized'!$D:$D, MATCH($A61, 'KZ-normalized'!$A:$A, 0))-INDEX('KZ-normalized'!$E:$E, MATCH($A61, 'KZ-normalized'!$A:$A, 0))&gt;0, -(5*INDEX('KZ-normalized'!$D:$D, MATCH($A61, 'KZ-normalized'!$A:$A, 0))-INDEX('KZ-normalized'!$E:$E, MATCH($A61, 'KZ-normalized'!$A:$A, 0))), 0), 0))+(IFERROR(IF(5*INDEX('UZ-normalized'!$D:$D, MATCH($A61, 'UZ-normalized'!$A:$A, 0))-INDEX('UZ-normalized'!$E:$E, MATCH($A61, 'UZ-normalized'!$A:$A, 0))&gt;0, -(5*INDEX('UZ-normalized'!$D:$D, MATCH($A61, 'UZ-normalized'!$A:$A, 0))-INDEX('UZ-normalized'!$E:$E, MATCH($A61, 'UZ-normalized'!$A:$A, 0))), 0), 0)))</f>
        <v>0</v>
      </c>
      <c r="T61" s="6">
        <f>MIN(0, N61+(IFERROR(IF(6*INDEX('UA-normalized'!$D:$D, MATCH($A61, 'UA-normalized'!$A:$A, 0))-INDEX('UA-normalized'!$E:$E, MATCH($A61, 'UA-normalized'!$A:$A, 0))&gt;0, -(6*INDEX('UA-normalized'!$D:$D, MATCH($A61, 'UA-normalized'!$A:$A, 0))-INDEX('UA-normalized'!$E:$E, MATCH($A61, 'UA-normalized'!$A:$A, 0))), 0), 0))+(IFERROR(IF(6*INDEX('KZ-normalized'!$D:$D, MATCH($A61, 'KZ-normalized'!$A:$A, 0))-INDEX('KZ-normalized'!$E:$E, MATCH($A61, 'KZ-normalized'!$A:$A, 0))&gt;0, -(6*INDEX('KZ-normalized'!$D:$D, MATCH($A61, 'KZ-normalized'!$A:$A, 0))-INDEX('KZ-normalized'!$E:$E, MATCH($A61, 'KZ-normalized'!$A:$A, 0))), 0), 0))+(IFERROR(IF(6*INDEX('UZ-normalized'!$D:$D, MATCH($A61, 'UZ-normalized'!$A:$A, 0))-INDEX('UZ-normalized'!$E:$E, MATCH($A61, 'UZ-normalized'!$A:$A, 0))&gt;0, -(6*INDEX('UZ-normalized'!$D:$D, MATCH($A61, 'UZ-normalized'!$A:$A, 0))-INDEX('UZ-normalized'!$E:$E, MATCH($A61, 'UZ-normalized'!$A:$A, 0))), 0), 0)))</f>
        <v>0</v>
      </c>
      <c r="U61" s="6">
        <f>MIN(0, N61+(IFERROR(IF(7*INDEX('UA-normalized'!$D:$D, MATCH($A61, 'UA-normalized'!$A:$A, 0))-INDEX('UA-normalized'!$E:$E, MATCH($A61, 'UA-normalized'!$A:$A, 0))&gt;0, -(7*INDEX('UA-normalized'!$D:$D, MATCH($A61, 'UA-normalized'!$A:$A, 0))-INDEX('UA-normalized'!$E:$E, MATCH($A61, 'UA-normalized'!$A:$A, 0))), 0), 0))+(IFERROR(IF(7*INDEX('KZ-normalized'!$D:$D, MATCH($A61, 'KZ-normalized'!$A:$A, 0))-INDEX('KZ-normalized'!$E:$E, MATCH($A61, 'KZ-normalized'!$A:$A, 0))&gt;0, -(7*INDEX('KZ-normalized'!$D:$D, MATCH($A61, 'KZ-normalized'!$A:$A, 0))-INDEX('KZ-normalized'!$E:$E, MATCH($A61, 'KZ-normalized'!$A:$A, 0))), 0), 0))+(IFERROR(IF(7*INDEX('UZ-normalized'!$D:$D, MATCH($A61, 'UZ-normalized'!$A:$A, 0))-INDEX('UZ-normalized'!$E:$E, MATCH($A61, 'UZ-normalized'!$A:$A, 0))&gt;0, -(7*INDEX('UZ-normalized'!$D:$D, MATCH($A61, 'UZ-normalized'!$A:$A, 0))-INDEX('UZ-normalized'!$E:$E, MATCH($A61, 'UZ-normalized'!$A:$A, 0))), 0), 0)))</f>
        <v>0</v>
      </c>
      <c r="V61" s="6">
        <f>MIN(0, N61+(IFERROR(IF(8*INDEX('UA-normalized'!$D:$D, MATCH($A61, 'UA-normalized'!$A:$A, 0))-INDEX('UA-normalized'!$E:$E, MATCH($A61, 'UA-normalized'!$A:$A, 0))&gt;0, -(8*INDEX('UA-normalized'!$D:$D, MATCH($A61, 'UA-normalized'!$A:$A, 0))-INDEX('UA-normalized'!$E:$E, MATCH($A61, 'UA-normalized'!$A:$A, 0))), 0), 0))+(IFERROR(IF(8*INDEX('KZ-normalized'!$D:$D, MATCH($A61, 'KZ-normalized'!$A:$A, 0))-INDEX('KZ-normalized'!$E:$E, MATCH($A61, 'KZ-normalized'!$A:$A, 0))&gt;0, -(8*INDEX('KZ-normalized'!$D:$D, MATCH($A61, 'KZ-normalized'!$A:$A, 0))-INDEX('KZ-normalized'!$E:$E, MATCH($A61, 'KZ-normalized'!$A:$A, 0))), 0), 0))+(IFERROR(IF(8*INDEX('UZ-normalized'!$D:$D, MATCH($A61, 'UZ-normalized'!$A:$A, 0))-INDEX('UZ-normalized'!$E:$E, MATCH($A61, 'UZ-normalized'!$A:$A, 0))&gt;0, -(8*INDEX('UZ-normalized'!$D:$D, MATCH($A61, 'UZ-normalized'!$A:$A, 0))-INDEX('UZ-normalized'!$E:$E, MATCH($A61, 'UZ-normalized'!$A:$A, 0))), 0), 0)))</f>
        <v>0</v>
      </c>
      <c r="W61" s="6">
        <f>MIN(0, N61+(IFERROR(IF(9*INDEX('UA-normalized'!$D:$D, MATCH($A61, 'UA-normalized'!$A:$A, 0))-INDEX('UA-normalized'!$E:$E, MATCH($A61, 'UA-normalized'!$A:$A, 0))&gt;0, -(9*INDEX('UA-normalized'!$D:$D, MATCH($A61, 'UA-normalized'!$A:$A, 0))-INDEX('UA-normalized'!$E:$E, MATCH($A61, 'UA-normalized'!$A:$A, 0))), 0), 0))+(IFERROR(IF(9*INDEX('KZ-normalized'!$D:$D, MATCH($A61, 'KZ-normalized'!$A:$A, 0))-INDEX('KZ-normalized'!$E:$E, MATCH($A61, 'KZ-normalized'!$A:$A, 0))&gt;0, -(9*INDEX('KZ-normalized'!$D:$D, MATCH($A61, 'KZ-normalized'!$A:$A, 0))-INDEX('KZ-normalized'!$E:$E, MATCH($A61, 'KZ-normalized'!$A:$A, 0))), 0), 0))+(IFERROR(IF(9*INDEX('UZ-normalized'!$D:$D, MATCH($A61, 'UZ-normalized'!$A:$A, 0))-INDEX('UZ-normalized'!$E:$E, MATCH($A61, 'UZ-normalized'!$A:$A, 0))&gt;0, -(9*INDEX('UZ-normalized'!$D:$D, MATCH($A61, 'UZ-normalized'!$A:$A, 0))-INDEX('UZ-normalized'!$E:$E, MATCH($A61, 'UZ-normalized'!$A:$A, 0))), 0), 0)))</f>
        <v>0</v>
      </c>
      <c r="X61" s="6">
        <f>MIN(0, N61+(IFERROR(IF(10*INDEX('UA-normalized'!$D:$D, MATCH($A61, 'UA-normalized'!$A:$A, 0))-INDEX('UA-normalized'!$E:$E, MATCH($A61, 'UA-normalized'!$A:$A, 0))&gt;0, -(10*INDEX('UA-normalized'!$D:$D, MATCH($A61, 'UA-normalized'!$A:$A, 0))-INDEX('UA-normalized'!$E:$E, MATCH($A61, 'UA-normalized'!$A:$A, 0))), 0), 0))+(IFERROR(IF(10*INDEX('KZ-normalized'!$D:$D, MATCH($A61, 'KZ-normalized'!$A:$A, 0))-INDEX('KZ-normalized'!$E:$E, MATCH($A61, 'KZ-normalized'!$A:$A, 0))&gt;0, -(10*INDEX('KZ-normalized'!$D:$D, MATCH($A61, 'KZ-normalized'!$A:$A, 0))-INDEX('KZ-normalized'!$E:$E, MATCH($A61, 'KZ-normalized'!$A:$A, 0))), 0), 0))+(IFERROR(IF(10*INDEX('UZ-normalized'!$D:$D, MATCH($A61, 'UZ-normalized'!$A:$A, 0))-INDEX('UZ-normalized'!$E:$E, MATCH($A61, 'UZ-normalized'!$A:$A, 0))&gt;0, -(10*INDEX('UZ-normalized'!$D:$D, MATCH($A61, 'UZ-normalized'!$A:$A, 0))-INDEX('UZ-normalized'!$E:$E, MATCH($A61, 'UZ-normalized'!$A:$A, 0))), 0), 0)))</f>
        <v>0</v>
      </c>
      <c r="Y61" s="6">
        <f>MIN(0, N61+(IFERROR(IF(11*INDEX('UA-normalized'!$D:$D, MATCH($A61, 'UA-normalized'!$A:$A, 0))-INDEX('UA-normalized'!$E:$E, MATCH($A61, 'UA-normalized'!$A:$A, 0))&gt;0, -(11*INDEX('UA-normalized'!$D:$D, MATCH($A61, 'UA-normalized'!$A:$A, 0))-INDEX('UA-normalized'!$E:$E, MATCH($A61, 'UA-normalized'!$A:$A, 0))), 0), 0))+(IFERROR(IF(11*INDEX('KZ-normalized'!$D:$D, MATCH($A61, 'KZ-normalized'!$A:$A, 0))-INDEX('KZ-normalized'!$E:$E, MATCH($A61, 'KZ-normalized'!$A:$A, 0))&gt;0, -(11*INDEX('KZ-normalized'!$D:$D, MATCH($A61, 'KZ-normalized'!$A:$A, 0))-INDEX('KZ-normalized'!$E:$E, MATCH($A61, 'KZ-normalized'!$A:$A, 0))), 0), 0))+(IFERROR(IF(11*INDEX('UZ-normalized'!$D:$D, MATCH($A61, 'UZ-normalized'!$A:$A, 0))-INDEX('UZ-normalized'!$E:$E, MATCH($A61, 'UZ-normalized'!$A:$A, 0))&gt;0, -(11*INDEX('UZ-normalized'!$D:$D, MATCH($A61, 'UZ-normalized'!$A:$A, 0))-INDEX('UZ-normalized'!$E:$E, MATCH($A61, 'UZ-normalized'!$A:$A, 0))), 0), 0)))</f>
        <v>0</v>
      </c>
      <c r="Z61" s="6">
        <f>MIN(0, N61+(IFERROR(IF(12*INDEX('UA-normalized'!$D:$D, MATCH($A61, 'UA-normalized'!$A:$A, 0))-INDEX('UA-normalized'!$E:$E, MATCH($A61, 'UA-normalized'!$A:$A, 0))&gt;0, -(12*INDEX('UA-normalized'!$D:$D, MATCH($A61, 'UA-normalized'!$A:$A, 0))-INDEX('UA-normalized'!$E:$E, MATCH($A61, 'UA-normalized'!$A:$A, 0))), 0), 0))+(IFERROR(IF(12*INDEX('KZ-normalized'!$D:$D, MATCH($A61, 'KZ-normalized'!$A:$A, 0))-INDEX('KZ-normalized'!$E:$E, MATCH($A61, 'KZ-normalized'!$A:$A, 0))&gt;0, -(12*INDEX('KZ-normalized'!$D:$D, MATCH($A61, 'KZ-normalized'!$A:$A, 0))-INDEX('KZ-normalized'!$E:$E, MATCH($A61, 'KZ-normalized'!$A:$A, 0))), 0), 0))+(IFERROR(IF(12*INDEX('UZ-normalized'!$D:$D, MATCH($A61, 'UZ-normalized'!$A:$A, 0))-INDEX('UZ-normalized'!$E:$E, MATCH($A61, 'UZ-normalized'!$A:$A, 0))&gt;0, -(12*INDEX('UZ-normalized'!$D:$D, MATCH($A61, 'UZ-normalized'!$A:$A, 0))-INDEX('UZ-normalized'!$E:$E, MATCH($A61, 'UZ-normalized'!$A:$A, 0))), 0), 0)))</f>
        <v>0</v>
      </c>
      <c r="AA61" s="6">
        <f>MIN(0, N61+(IFERROR(IF(13*INDEX('UA-normalized'!$D:$D, MATCH($A61, 'UA-normalized'!$A:$A, 0))-INDEX('UA-normalized'!$E:$E, MATCH($A61, 'UA-normalized'!$A:$A, 0))&gt;0, -(13*INDEX('UA-normalized'!$D:$D, MATCH($A61, 'UA-normalized'!$A:$A, 0))-INDEX('UA-normalized'!$E:$E, MATCH($A61, 'UA-normalized'!$A:$A, 0))), 0), 0))+(IFERROR(IF(13*INDEX('KZ-normalized'!$D:$D, MATCH($A61, 'KZ-normalized'!$A:$A, 0))-INDEX('KZ-normalized'!$E:$E, MATCH($A61, 'KZ-normalized'!$A:$A, 0))&gt;0, -(13*INDEX('KZ-normalized'!$D:$D, MATCH($A61, 'KZ-normalized'!$A:$A, 0))-INDEX('KZ-normalized'!$E:$E, MATCH($A61, 'KZ-normalized'!$A:$A, 0))), 0), 0))+(IFERROR(IF(13*INDEX('UZ-normalized'!$D:$D, MATCH($A61, 'UZ-normalized'!$A:$A, 0))-INDEX('UZ-normalized'!$E:$E, MATCH($A61, 'UZ-normalized'!$A:$A, 0))&gt;0, -(13*INDEX('UZ-normalized'!$D:$D, MATCH($A61, 'UZ-normalized'!$A:$A, 0))-INDEX('UZ-normalized'!$E:$E, MATCH($A61, 'UZ-normalized'!$A:$A, 0))), 0), 0)))</f>
        <v>0</v>
      </c>
      <c r="AB61" s="6">
        <f>MIN(0, N61+(IFERROR(IF(14*INDEX('UA-normalized'!$D:$D, MATCH($A61, 'UA-normalized'!$A:$A, 0))-INDEX('UA-normalized'!$E:$E, MATCH($A61, 'UA-normalized'!$A:$A, 0))&gt;0, -(14*INDEX('UA-normalized'!$D:$D, MATCH($A61, 'UA-normalized'!$A:$A, 0))-INDEX('UA-normalized'!$E:$E, MATCH($A61, 'UA-normalized'!$A:$A, 0))), 0), 0))+(IFERROR(IF(14*INDEX('KZ-normalized'!$D:$D, MATCH($A61, 'KZ-normalized'!$A:$A, 0))-INDEX('KZ-normalized'!$E:$E, MATCH($A61, 'KZ-normalized'!$A:$A, 0))&gt;0, -(14*INDEX('KZ-normalized'!$D:$D, MATCH($A61, 'KZ-normalized'!$A:$A, 0))-INDEX('KZ-normalized'!$E:$E, MATCH($A61, 'KZ-normalized'!$A:$A, 0))), 0), 0))+(IFERROR(IF(14*INDEX('UZ-normalized'!$D:$D, MATCH($A61, 'UZ-normalized'!$A:$A, 0))-INDEX('UZ-normalized'!$E:$E, MATCH($A61, 'UZ-normalized'!$A:$A, 0))&gt;0, -(14*INDEX('UZ-normalized'!$D:$D, MATCH($A61, 'UZ-normalized'!$A:$A, 0))-INDEX('UZ-normalized'!$E:$E, MATCH($A61, 'UZ-normalized'!$A:$A, 0))), 0), 0)))</f>
        <v>0</v>
      </c>
      <c r="AC61" s="6">
        <f>MIN(0, N61+(IFERROR(IF(15*INDEX('UA-normalized'!$D:$D, MATCH($A61, 'UA-normalized'!$A:$A, 0))-INDEX('UA-normalized'!$E:$E, MATCH($A61, 'UA-normalized'!$A:$A, 0))&gt;0, -(15*INDEX('UA-normalized'!$D:$D, MATCH($A61, 'UA-normalized'!$A:$A, 0))-INDEX('UA-normalized'!$E:$E, MATCH($A61, 'UA-normalized'!$A:$A, 0))), 0), 0))+(IFERROR(IF(15*INDEX('KZ-normalized'!$D:$D, MATCH($A61, 'KZ-normalized'!$A:$A, 0))-INDEX('KZ-normalized'!$E:$E, MATCH($A61, 'KZ-normalized'!$A:$A, 0))&gt;0, -(15*INDEX('KZ-normalized'!$D:$D, MATCH($A61, 'KZ-normalized'!$A:$A, 0))-INDEX('KZ-normalized'!$E:$E, MATCH($A61, 'KZ-normalized'!$A:$A, 0))), 0), 0))+(IFERROR(IF(15*INDEX('UZ-normalized'!$D:$D, MATCH($A61, 'UZ-normalized'!$A:$A, 0))-INDEX('UZ-normalized'!$E:$E, MATCH($A61, 'UZ-normalized'!$A:$A, 0))&gt;0, -(15*INDEX('UZ-normalized'!$D:$D, MATCH($A61, 'UZ-normalized'!$A:$A, 0))-INDEX('UZ-normalized'!$E:$E, MATCH($A61, 'UZ-normalized'!$A:$A, 0))), 0), 0)))</f>
        <v>0</v>
      </c>
      <c r="AD61" s="6">
        <f>MIN(0, N61+(IFERROR(IF(16*INDEX('UA-normalized'!$D:$D, MATCH($A61, 'UA-normalized'!$A:$A, 0))-INDEX('UA-normalized'!$E:$E, MATCH($A61, 'UA-normalized'!$A:$A, 0))&gt;0, -(16*INDEX('UA-normalized'!$D:$D, MATCH($A61, 'UA-normalized'!$A:$A, 0))-INDEX('UA-normalized'!$E:$E, MATCH($A61, 'UA-normalized'!$A:$A, 0))), 0), 0))+(IFERROR(IF(16*INDEX('KZ-normalized'!$D:$D, MATCH($A61, 'KZ-normalized'!$A:$A, 0))-INDEX('KZ-normalized'!$E:$E, MATCH($A61, 'KZ-normalized'!$A:$A, 0))&gt;0, -(16*INDEX('KZ-normalized'!$D:$D, MATCH($A61, 'KZ-normalized'!$A:$A, 0))-INDEX('KZ-normalized'!$E:$E, MATCH($A61, 'KZ-normalized'!$A:$A, 0))), 0), 0))+(IFERROR(IF(16*INDEX('UZ-normalized'!$D:$D, MATCH($A61, 'UZ-normalized'!$A:$A, 0))-INDEX('UZ-normalized'!$E:$E, MATCH($A61, 'UZ-normalized'!$A:$A, 0))&gt;0, -(16*INDEX('UZ-normalized'!$D:$D, MATCH($A61, 'UZ-normalized'!$A:$A, 0))-INDEX('UZ-normalized'!$E:$E, MATCH($A61, 'UZ-normalized'!$A:$A, 0))), 0), 0)))</f>
        <v>0</v>
      </c>
      <c r="AE61" s="6">
        <f>MIN(0, N61+(IFERROR(IF(17*INDEX('UA-normalized'!$D:$D, MATCH($A61, 'UA-normalized'!$A:$A, 0))-INDEX('UA-normalized'!$E:$E, MATCH($A61, 'UA-normalized'!$A:$A, 0))&gt;0, -(17*INDEX('UA-normalized'!$D:$D, MATCH($A61, 'UA-normalized'!$A:$A, 0))-INDEX('UA-normalized'!$E:$E, MATCH($A61, 'UA-normalized'!$A:$A, 0))), 0), 0))+(IFERROR(IF(17*INDEX('KZ-normalized'!$D:$D, MATCH($A61, 'KZ-normalized'!$A:$A, 0))-INDEX('KZ-normalized'!$E:$E, MATCH($A61, 'KZ-normalized'!$A:$A, 0))&gt;0, -(17*INDEX('KZ-normalized'!$D:$D, MATCH($A61, 'KZ-normalized'!$A:$A, 0))-INDEX('KZ-normalized'!$E:$E, MATCH($A61, 'KZ-normalized'!$A:$A, 0))), 0), 0))+(IFERROR(IF(17*INDEX('UZ-normalized'!$D:$D, MATCH($A61, 'UZ-normalized'!$A:$A, 0))-INDEX('UZ-normalized'!$E:$E, MATCH($A61, 'UZ-normalized'!$A:$A, 0))&gt;0, -(17*INDEX('UZ-normalized'!$D:$D, MATCH($A61, 'UZ-normalized'!$A:$A, 0))-INDEX('UZ-normalized'!$E:$E, MATCH($A61, 'UZ-normalized'!$A:$A, 0))), 0), 0)))</f>
        <v>0</v>
      </c>
      <c r="AF61" s="6">
        <f>MIN(0, N61+(IFERROR(IF(18*INDEX('UA-normalized'!$D:$D, MATCH($A61, 'UA-normalized'!$A:$A, 0))-INDEX('UA-normalized'!$E:$E, MATCH($A61, 'UA-normalized'!$A:$A, 0))&gt;0, -(18*INDEX('UA-normalized'!$D:$D, MATCH($A61, 'UA-normalized'!$A:$A, 0))-INDEX('UA-normalized'!$E:$E, MATCH($A61, 'UA-normalized'!$A:$A, 0))), 0), 0))+(IFERROR(IF(18*INDEX('KZ-normalized'!$D:$D, MATCH($A61, 'KZ-normalized'!$A:$A, 0))-INDEX('KZ-normalized'!$E:$E, MATCH($A61, 'KZ-normalized'!$A:$A, 0))&gt;0, -(18*INDEX('KZ-normalized'!$D:$D, MATCH($A61, 'KZ-normalized'!$A:$A, 0))-INDEX('KZ-normalized'!$E:$E, MATCH($A61, 'KZ-normalized'!$A:$A, 0))), 0), 0))+(IFERROR(IF(18*INDEX('UZ-normalized'!$D:$D, MATCH($A61, 'UZ-normalized'!$A:$A, 0))-INDEX('UZ-normalized'!$E:$E, MATCH($A61, 'UZ-normalized'!$A:$A, 0))&gt;0, -(18*INDEX('UZ-normalized'!$D:$D, MATCH($A61, 'UZ-normalized'!$A:$A, 0))-INDEX('UZ-normalized'!$E:$E, MATCH($A61, 'UZ-normalized'!$A:$A, 0))), 0), 0)))</f>
        <v>0</v>
      </c>
      <c r="AG61" s="6">
        <f>MIN(0, N61+(IFERROR(IF(19*INDEX('UA-normalized'!$D:$D, MATCH($A61, 'UA-normalized'!$A:$A, 0))-INDEX('UA-normalized'!$E:$E, MATCH($A61, 'UA-normalized'!$A:$A, 0))&gt;0, -(19*INDEX('UA-normalized'!$D:$D, MATCH($A61, 'UA-normalized'!$A:$A, 0))-INDEX('UA-normalized'!$E:$E, MATCH($A61, 'UA-normalized'!$A:$A, 0))), 0), 0))+(IFERROR(IF(19*INDEX('KZ-normalized'!$D:$D, MATCH($A61, 'KZ-normalized'!$A:$A, 0))-INDEX('KZ-normalized'!$E:$E, MATCH($A61, 'KZ-normalized'!$A:$A, 0))&gt;0, -(19*INDEX('KZ-normalized'!$D:$D, MATCH($A61, 'KZ-normalized'!$A:$A, 0))-INDEX('KZ-normalized'!$E:$E, MATCH($A61, 'KZ-normalized'!$A:$A, 0))), 0), 0))+(IFERROR(IF(19*INDEX('UZ-normalized'!$D:$D, MATCH($A61, 'UZ-normalized'!$A:$A, 0))-INDEX('UZ-normalized'!$E:$E, MATCH($A61, 'UZ-normalized'!$A:$A, 0))&gt;0, -(19*INDEX('UZ-normalized'!$D:$D, MATCH($A61, 'UZ-normalized'!$A:$A, 0))-INDEX('UZ-normalized'!$E:$E, MATCH($A61, 'UZ-normalized'!$A:$A, 0))), 0), 0)))</f>
        <v>0</v>
      </c>
      <c r="AH61" s="6">
        <f>MIN(0, N61+(IFERROR(IF(20*INDEX('UA-normalized'!$D:$D, MATCH($A61, 'UA-normalized'!$A:$A, 0))-INDEX('UA-normalized'!$E:$E, MATCH($A61, 'UA-normalized'!$A:$A, 0))&gt;0, -(20*INDEX('UA-normalized'!$D:$D, MATCH($A61, 'UA-normalized'!$A:$A, 0))-INDEX('UA-normalized'!$E:$E, MATCH($A61, 'UA-normalized'!$A:$A, 0))), 0), 0))+(IFERROR(IF(20*INDEX('KZ-normalized'!$D:$D, MATCH($A61, 'KZ-normalized'!$A:$A, 0))-INDEX('KZ-normalized'!$E:$E, MATCH($A61, 'KZ-normalized'!$A:$A, 0))&gt;0, -(20*INDEX('KZ-normalized'!$D:$D, MATCH($A61, 'KZ-normalized'!$A:$A, 0))-INDEX('KZ-normalized'!$E:$E, MATCH($A61, 'KZ-normalized'!$A:$A, 0))), 0), 0))+(IFERROR(IF(20*INDEX('UZ-normalized'!$D:$D, MATCH($A61, 'UZ-normalized'!$A:$A, 0))-INDEX('UZ-normalized'!$E:$E, MATCH($A61, 'UZ-normalized'!$A:$A, 0))&gt;0, -(20*INDEX('UZ-normalized'!$D:$D, MATCH($A61, 'UZ-normalized'!$A:$A, 0))-INDEX('UZ-normalized'!$E:$E, MATCH($A61, 'UZ-normalized'!$A:$A, 0))), 0), 0)))</f>
        <v>0</v>
      </c>
      <c r="AI61" s="6">
        <f>MIN(0, N61+(IFERROR(IF(21*INDEX('UA-normalized'!$D:$D, MATCH($A61, 'UA-normalized'!$A:$A, 0))-INDEX('UA-normalized'!$E:$E, MATCH($A61, 'UA-normalized'!$A:$A, 0))&gt;0, -(21*INDEX('UA-normalized'!$D:$D, MATCH($A61, 'UA-normalized'!$A:$A, 0))-INDEX('UA-normalized'!$E:$E, MATCH($A61, 'UA-normalized'!$A:$A, 0))), 0), 0))+(IFERROR(IF(21*INDEX('KZ-normalized'!$D:$D, MATCH($A61, 'KZ-normalized'!$A:$A, 0))-INDEX('KZ-normalized'!$E:$E, MATCH($A61, 'KZ-normalized'!$A:$A, 0))&gt;0, -(21*INDEX('KZ-normalized'!$D:$D, MATCH($A61, 'KZ-normalized'!$A:$A, 0))-INDEX('KZ-normalized'!$E:$E, MATCH($A61, 'KZ-normalized'!$A:$A, 0))), 0), 0))+(IFERROR(IF(21*INDEX('UZ-normalized'!$D:$D, MATCH($A61, 'UZ-normalized'!$A:$A, 0))-INDEX('UZ-normalized'!$E:$E, MATCH($A61, 'UZ-normalized'!$A:$A, 0))&gt;0, -(21*INDEX('UZ-normalized'!$D:$D, MATCH($A61, 'UZ-normalized'!$A:$A, 0))-INDEX('UZ-normalized'!$E:$E, MATCH($A61, 'UZ-normalized'!$A:$A, 0))), 0), 0)))</f>
        <v>0</v>
      </c>
      <c r="AJ61" s="6">
        <f>MIN(0, N61+(IFERROR(IF(22*INDEX('UA-normalized'!$D:$D, MATCH($A61, 'UA-normalized'!$A:$A, 0))-INDEX('UA-normalized'!$E:$E, MATCH($A61, 'UA-normalized'!$A:$A, 0))&gt;0, -(22*INDEX('UA-normalized'!$D:$D, MATCH($A61, 'UA-normalized'!$A:$A, 0))-INDEX('UA-normalized'!$E:$E, MATCH($A61, 'UA-normalized'!$A:$A, 0))), 0), 0))+(IFERROR(IF(22*INDEX('KZ-normalized'!$D:$D, MATCH($A61, 'KZ-normalized'!$A:$A, 0))-INDEX('KZ-normalized'!$E:$E, MATCH($A61, 'KZ-normalized'!$A:$A, 0))&gt;0, -(22*INDEX('KZ-normalized'!$D:$D, MATCH($A61, 'KZ-normalized'!$A:$A, 0))-INDEX('KZ-normalized'!$E:$E, MATCH($A61, 'KZ-normalized'!$A:$A, 0))), 0), 0))+(IFERROR(IF(22*INDEX('UZ-normalized'!$D:$D, MATCH($A61, 'UZ-normalized'!$A:$A, 0))-INDEX('UZ-normalized'!$E:$E, MATCH($A61, 'UZ-normalized'!$A:$A, 0))&gt;0, -(22*INDEX('UZ-normalized'!$D:$D, MATCH($A61, 'UZ-normalized'!$A:$A, 0))-INDEX('UZ-normalized'!$E:$E, MATCH($A61, 'UZ-normalized'!$A:$A, 0))), 0), 0)))</f>
        <v>0</v>
      </c>
      <c r="AK61" s="6">
        <f>MIN(0, N61+(IFERROR(IF(23*INDEX('UA-normalized'!$D:$D, MATCH($A61, 'UA-normalized'!$A:$A, 0))-INDEX('UA-normalized'!$E:$E, MATCH($A61, 'UA-normalized'!$A:$A, 0))&gt;0, -(23*INDEX('UA-normalized'!$D:$D, MATCH($A61, 'UA-normalized'!$A:$A, 0))-INDEX('UA-normalized'!$E:$E, MATCH($A61, 'UA-normalized'!$A:$A, 0))), 0), 0))+(IFERROR(IF(23*INDEX('KZ-normalized'!$D:$D, MATCH($A61, 'KZ-normalized'!$A:$A, 0))-INDEX('KZ-normalized'!$E:$E, MATCH($A61, 'KZ-normalized'!$A:$A, 0))&gt;0, -(23*INDEX('KZ-normalized'!$D:$D, MATCH($A61, 'KZ-normalized'!$A:$A, 0))-INDEX('KZ-normalized'!$E:$E, MATCH($A61, 'KZ-normalized'!$A:$A, 0))), 0), 0))+(IFERROR(IF(23*INDEX('UZ-normalized'!$D:$D, MATCH($A61, 'UZ-normalized'!$A:$A, 0))-INDEX('UZ-normalized'!$E:$E, MATCH($A61, 'UZ-normalized'!$A:$A, 0))&gt;0, -(23*INDEX('UZ-normalized'!$D:$D, MATCH($A61, 'UZ-normalized'!$A:$A, 0))-INDEX('UZ-normalized'!$E:$E, MATCH($A61, 'UZ-normalized'!$A:$A, 0))), 0), 0)))</f>
        <v>0</v>
      </c>
      <c r="AL61" s="6">
        <f>MIN(0, N61+(IFERROR(IF(24*INDEX('UA-normalized'!$D:$D, MATCH($A61, 'UA-normalized'!$A:$A, 0))-INDEX('UA-normalized'!$E:$E, MATCH($A61, 'UA-normalized'!$A:$A, 0))&gt;0, -(24*INDEX('UA-normalized'!$D:$D, MATCH($A61, 'UA-normalized'!$A:$A, 0))-INDEX('UA-normalized'!$E:$E, MATCH($A61, 'UA-normalized'!$A:$A, 0))), 0), 0))+(IFERROR(IF(24*INDEX('KZ-normalized'!$D:$D, MATCH($A61, 'KZ-normalized'!$A:$A, 0))-INDEX('KZ-normalized'!$E:$E, MATCH($A61, 'KZ-normalized'!$A:$A, 0))&gt;0, -(24*INDEX('KZ-normalized'!$D:$D, MATCH($A61, 'KZ-normalized'!$A:$A, 0))-INDEX('KZ-normalized'!$E:$E, MATCH($A61, 'KZ-normalized'!$A:$A, 0))), 0), 0))+(IFERROR(IF(24*INDEX('UZ-normalized'!$D:$D, MATCH($A61, 'UZ-normalized'!$A:$A, 0))-INDEX('UZ-normalized'!$E:$E, MATCH($A61, 'UZ-normalized'!$A:$A, 0))&gt;0, -(24*INDEX('UZ-normalized'!$D:$D, MATCH($A61, 'UZ-normalized'!$A:$A, 0))-INDEX('UZ-normalized'!$E:$E, MATCH($A61, 'UZ-normalized'!$A:$A, 0))), 0), 0)))</f>
        <v>0</v>
      </c>
      <c r="AM61" s="6">
        <f>MIN(0, N61+(IFERROR(IF(25*INDEX('UA-normalized'!$D:$D, MATCH($A61, 'UA-normalized'!$A:$A, 0))-INDEX('UA-normalized'!$E:$E, MATCH($A61, 'UA-normalized'!$A:$A, 0))&gt;0, -(25*INDEX('UA-normalized'!$D:$D, MATCH($A61, 'UA-normalized'!$A:$A, 0))-INDEX('UA-normalized'!$E:$E, MATCH($A61, 'UA-normalized'!$A:$A, 0))), 0), 0))+(IFERROR(IF(25*INDEX('KZ-normalized'!$D:$D, MATCH($A61, 'KZ-normalized'!$A:$A, 0))-INDEX('KZ-normalized'!$E:$E, MATCH($A61, 'KZ-normalized'!$A:$A, 0))&gt;0, -(25*INDEX('KZ-normalized'!$D:$D, MATCH($A61, 'KZ-normalized'!$A:$A, 0))-INDEX('KZ-normalized'!$E:$E, MATCH($A61, 'KZ-normalized'!$A:$A, 0))), 0), 0))+(IFERROR(IF(25*INDEX('UZ-normalized'!$D:$D, MATCH($A61, 'UZ-normalized'!$A:$A, 0))-INDEX('UZ-normalized'!$E:$E, MATCH($A61, 'UZ-normalized'!$A:$A, 0))&gt;0, -(25*INDEX('UZ-normalized'!$D:$D, MATCH($A61, 'UZ-normalized'!$A:$A, 0))-INDEX('UZ-normalized'!$E:$E, MATCH($A61, 'UZ-normalized'!$A:$A, 0))), 0), 0)))</f>
        <v>0</v>
      </c>
      <c r="AN61" s="6">
        <f>MIN(0, N61+(IFERROR(IF(26*INDEX('UA-normalized'!$D:$D, MATCH($A61, 'UA-normalized'!$A:$A, 0))-INDEX('UA-normalized'!$E:$E, MATCH($A61, 'UA-normalized'!$A:$A, 0))&gt;0, -(26*INDEX('UA-normalized'!$D:$D, MATCH($A61, 'UA-normalized'!$A:$A, 0))-INDEX('UA-normalized'!$E:$E, MATCH($A61, 'UA-normalized'!$A:$A, 0))), 0), 0))+(IFERROR(IF(26*INDEX('KZ-normalized'!$D:$D, MATCH($A61, 'KZ-normalized'!$A:$A, 0))-INDEX('KZ-normalized'!$E:$E, MATCH($A61, 'KZ-normalized'!$A:$A, 0))&gt;0, -(26*INDEX('KZ-normalized'!$D:$D, MATCH($A61, 'KZ-normalized'!$A:$A, 0))-INDEX('KZ-normalized'!$E:$E, MATCH($A61, 'KZ-normalized'!$A:$A, 0))), 0), 0))+(IFERROR(IF(26*INDEX('UZ-normalized'!$D:$D, MATCH($A61, 'UZ-normalized'!$A:$A, 0))-INDEX('UZ-normalized'!$E:$E, MATCH($A61, 'UZ-normalized'!$A:$A, 0))&gt;0, -(26*INDEX('UZ-normalized'!$D:$D, MATCH($A61, 'UZ-normalized'!$A:$A, 0))-INDEX('UZ-normalized'!$E:$E, MATCH($A61, 'UZ-normalized'!$A:$A, 0))), 0), 0)))</f>
        <v>0</v>
      </c>
      <c r="AO61" s="6">
        <f>MIN(0, N61+(IFERROR(IF(27*INDEX('UA-normalized'!$D:$D, MATCH($A61, 'UA-normalized'!$A:$A, 0))-INDEX('UA-normalized'!$E:$E, MATCH($A61, 'UA-normalized'!$A:$A, 0))&gt;0, -(27*INDEX('UA-normalized'!$D:$D, MATCH($A61, 'UA-normalized'!$A:$A, 0))-INDEX('UA-normalized'!$E:$E, MATCH($A61, 'UA-normalized'!$A:$A, 0))), 0), 0))+(IFERROR(IF(27*INDEX('KZ-normalized'!$D:$D, MATCH($A61, 'KZ-normalized'!$A:$A, 0))-INDEX('KZ-normalized'!$E:$E, MATCH($A61, 'KZ-normalized'!$A:$A, 0))&gt;0, -(27*INDEX('KZ-normalized'!$D:$D, MATCH($A61, 'KZ-normalized'!$A:$A, 0))-INDEX('KZ-normalized'!$E:$E, MATCH($A61, 'KZ-normalized'!$A:$A, 0))), 0), 0))+(IFERROR(IF(27*INDEX('UZ-normalized'!$D:$D, MATCH($A61, 'UZ-normalized'!$A:$A, 0))-INDEX('UZ-normalized'!$E:$E, MATCH($A61, 'UZ-normalized'!$A:$A, 0))&gt;0, -(27*INDEX('UZ-normalized'!$D:$D, MATCH($A61, 'UZ-normalized'!$A:$A, 0))-INDEX('UZ-normalized'!$E:$E, MATCH($A61, 'UZ-normalized'!$A:$A, 0))), 0), 0)))</f>
        <v>0</v>
      </c>
      <c r="AP61" s="6">
        <f>MIN(0, N61+(IFERROR(IF(28*INDEX('UA-normalized'!$D:$D, MATCH($A61, 'UA-normalized'!$A:$A, 0))-INDEX('UA-normalized'!$E:$E, MATCH($A61, 'UA-normalized'!$A:$A, 0))&gt;0, -(28*INDEX('UA-normalized'!$D:$D, MATCH($A61, 'UA-normalized'!$A:$A, 0))-INDEX('UA-normalized'!$E:$E, MATCH($A61, 'UA-normalized'!$A:$A, 0))), 0), 0))+(IFERROR(IF(28*INDEX('KZ-normalized'!$D:$D, MATCH($A61, 'KZ-normalized'!$A:$A, 0))-INDEX('KZ-normalized'!$E:$E, MATCH($A61, 'KZ-normalized'!$A:$A, 0))&gt;0, -(28*INDEX('KZ-normalized'!$D:$D, MATCH($A61, 'KZ-normalized'!$A:$A, 0))-INDEX('KZ-normalized'!$E:$E, MATCH($A61, 'KZ-normalized'!$A:$A, 0))), 0), 0))+(IFERROR(IF(28*INDEX('UZ-normalized'!$D:$D, MATCH($A61, 'UZ-normalized'!$A:$A, 0))-INDEX('UZ-normalized'!$E:$E, MATCH($A61, 'UZ-normalized'!$A:$A, 0))&gt;0, -(28*INDEX('UZ-normalized'!$D:$D, MATCH($A61, 'UZ-normalized'!$A:$A, 0))-INDEX('UZ-normalized'!$E:$E, MATCH($A61, 'UZ-normalized'!$A:$A, 0))), 0), 0)))</f>
        <v>0</v>
      </c>
      <c r="AQ61" s="6">
        <f>MIN(0, N61+(IFERROR(IF(29*INDEX('UA-normalized'!$D:$D, MATCH($A61, 'UA-normalized'!$A:$A, 0))-INDEX('UA-normalized'!$E:$E, MATCH($A61, 'UA-normalized'!$A:$A, 0))&gt;0, -(29*INDEX('UA-normalized'!$D:$D, MATCH($A61, 'UA-normalized'!$A:$A, 0))-INDEX('UA-normalized'!$E:$E, MATCH($A61, 'UA-normalized'!$A:$A, 0))), 0), 0))+(IFERROR(IF(29*INDEX('KZ-normalized'!$D:$D, MATCH($A61, 'KZ-normalized'!$A:$A, 0))-INDEX('KZ-normalized'!$E:$E, MATCH($A61, 'KZ-normalized'!$A:$A, 0))&gt;0, -(29*INDEX('KZ-normalized'!$D:$D, MATCH($A61, 'KZ-normalized'!$A:$A, 0))-INDEX('KZ-normalized'!$E:$E, MATCH($A61, 'KZ-normalized'!$A:$A, 0))), 0), 0))+(IFERROR(IF(29*INDEX('UZ-normalized'!$D:$D, MATCH($A61, 'UZ-normalized'!$A:$A, 0))-INDEX('UZ-normalized'!$E:$E, MATCH($A61, 'UZ-normalized'!$A:$A, 0))&gt;0, -(29*INDEX('UZ-normalized'!$D:$D, MATCH($A61, 'UZ-normalized'!$A:$A, 0))-INDEX('UZ-normalized'!$E:$E, MATCH($A61, 'UZ-normalized'!$A:$A, 0))), 0), 0)))</f>
        <v>0</v>
      </c>
      <c r="AR61" s="6">
        <f>MIN(0, N61+(IFERROR(IF(30*INDEX('UA-normalized'!$D:$D, MATCH($A61, 'UA-normalized'!$A:$A, 0))-INDEX('UA-normalized'!$E:$E, MATCH($A61, 'UA-normalized'!$A:$A, 0))&gt;0, -(30*INDEX('UA-normalized'!$D:$D, MATCH($A61, 'UA-normalized'!$A:$A, 0))-INDEX('UA-normalized'!$E:$E, MATCH($A61, 'UA-normalized'!$A:$A, 0))), 0), 0))+(IFERROR(IF(30*INDEX('KZ-normalized'!$D:$D, MATCH($A61, 'KZ-normalized'!$A:$A, 0))-INDEX('KZ-normalized'!$E:$E, MATCH($A61, 'KZ-normalized'!$A:$A, 0))&gt;0, -(30*INDEX('KZ-normalized'!$D:$D, MATCH($A61, 'KZ-normalized'!$A:$A, 0))-INDEX('KZ-normalized'!$E:$E, MATCH($A61, 'KZ-normalized'!$A:$A, 0))), 0), 0))+(IFERROR(IF(30*INDEX('UZ-normalized'!$D:$D, MATCH($A61, 'UZ-normalized'!$A:$A, 0))-INDEX('UZ-normalized'!$E:$E, MATCH($A61, 'UZ-normalized'!$A:$A, 0))&gt;0, -(30*INDEX('UZ-normalized'!$D:$D, MATCH($A61, 'UZ-normalized'!$A:$A, 0))-INDEX('UZ-normalized'!$E:$E, MATCH($A61, 'UZ-normalized'!$A:$A, 0))), 0), 0)))</f>
        <v>0</v>
      </c>
    </row>
    <row r="62" spans="1:44" x14ac:dyDescent="0.25">
      <c r="A62" s="8" t="s">
        <v>170</v>
      </c>
      <c r="B62" s="8" t="s">
        <v>166</v>
      </c>
      <c r="C62" s="8" t="s">
        <v>171</v>
      </c>
      <c r="D62" s="8" t="s">
        <v>172</v>
      </c>
      <c r="N62">
        <f t="shared" si="0"/>
        <v>0</v>
      </c>
      <c r="O62" s="6">
        <f>MIN(0, N62+(IFERROR(IF(1*INDEX('UA-normalized'!$D:$D, MATCH($A62, 'UA-normalized'!$A:$A, 0))-INDEX('UA-normalized'!$E:$E, MATCH($A62, 'UA-normalized'!$A:$A, 0))&gt;0, -(1*INDEX('UA-normalized'!$D:$D, MATCH($A62, 'UA-normalized'!$A:$A, 0))-INDEX('UA-normalized'!$E:$E, MATCH($A62, 'UA-normalized'!$A:$A, 0))), 0), 0))+(IFERROR(IF(1*INDEX('KZ-normalized'!$D:$D, MATCH($A62, 'KZ-normalized'!$A:$A, 0))-INDEX('KZ-normalized'!$E:$E, MATCH($A62, 'KZ-normalized'!$A:$A, 0))&gt;0, -(1*INDEX('KZ-normalized'!$D:$D, MATCH($A62, 'KZ-normalized'!$A:$A, 0))-INDEX('KZ-normalized'!$E:$E, MATCH($A62, 'KZ-normalized'!$A:$A, 0))), 0), 0))+(IFERROR(IF(1*INDEX('UZ-normalized'!$D:$D, MATCH($A62, 'UZ-normalized'!$A:$A, 0))-INDEX('UZ-normalized'!$E:$E, MATCH($A62, 'UZ-normalized'!$A:$A, 0))&gt;0, -(1*INDEX('UZ-normalized'!$D:$D, MATCH($A62, 'UZ-normalized'!$A:$A, 0))-INDEX('UZ-normalized'!$E:$E, MATCH($A62, 'UZ-normalized'!$A:$A, 0))), 0), 0)))</f>
        <v>0</v>
      </c>
      <c r="P62" s="6">
        <f>MIN(0, N62+(IFERROR(IF(2*INDEX('UA-normalized'!$D:$D, MATCH($A62, 'UA-normalized'!$A:$A, 0))-INDEX('UA-normalized'!$E:$E, MATCH($A62, 'UA-normalized'!$A:$A, 0))&gt;0, -(2*INDEX('UA-normalized'!$D:$D, MATCH($A62, 'UA-normalized'!$A:$A, 0))-INDEX('UA-normalized'!$E:$E, MATCH($A62, 'UA-normalized'!$A:$A, 0))), 0), 0))+(IFERROR(IF(2*INDEX('KZ-normalized'!$D:$D, MATCH($A62, 'KZ-normalized'!$A:$A, 0))-INDEX('KZ-normalized'!$E:$E, MATCH($A62, 'KZ-normalized'!$A:$A, 0))&gt;0, -(2*INDEX('KZ-normalized'!$D:$D, MATCH($A62, 'KZ-normalized'!$A:$A, 0))-INDEX('KZ-normalized'!$E:$E, MATCH($A62, 'KZ-normalized'!$A:$A, 0))), 0), 0))+(IFERROR(IF(2*INDEX('UZ-normalized'!$D:$D, MATCH($A62, 'UZ-normalized'!$A:$A, 0))-INDEX('UZ-normalized'!$E:$E, MATCH($A62, 'UZ-normalized'!$A:$A, 0))&gt;0, -(2*INDEX('UZ-normalized'!$D:$D, MATCH($A62, 'UZ-normalized'!$A:$A, 0))-INDEX('UZ-normalized'!$E:$E, MATCH($A62, 'UZ-normalized'!$A:$A, 0))), 0), 0)))</f>
        <v>0</v>
      </c>
      <c r="Q62" s="6">
        <f>MIN(0, N62+(IFERROR(IF(3*INDEX('UA-normalized'!$D:$D, MATCH($A62, 'UA-normalized'!$A:$A, 0))-INDEX('UA-normalized'!$E:$E, MATCH($A62, 'UA-normalized'!$A:$A, 0))&gt;0, -(3*INDEX('UA-normalized'!$D:$D, MATCH($A62, 'UA-normalized'!$A:$A, 0))-INDEX('UA-normalized'!$E:$E, MATCH($A62, 'UA-normalized'!$A:$A, 0))), 0), 0))+(IFERROR(IF(3*INDEX('KZ-normalized'!$D:$D, MATCH($A62, 'KZ-normalized'!$A:$A, 0))-INDEX('KZ-normalized'!$E:$E, MATCH($A62, 'KZ-normalized'!$A:$A, 0))&gt;0, -(3*INDEX('KZ-normalized'!$D:$D, MATCH($A62, 'KZ-normalized'!$A:$A, 0))-INDEX('KZ-normalized'!$E:$E, MATCH($A62, 'KZ-normalized'!$A:$A, 0))), 0), 0))+(IFERROR(IF(3*INDEX('UZ-normalized'!$D:$D, MATCH($A62, 'UZ-normalized'!$A:$A, 0))-INDEX('UZ-normalized'!$E:$E, MATCH($A62, 'UZ-normalized'!$A:$A, 0))&gt;0, -(3*INDEX('UZ-normalized'!$D:$D, MATCH($A62, 'UZ-normalized'!$A:$A, 0))-INDEX('UZ-normalized'!$E:$E, MATCH($A62, 'UZ-normalized'!$A:$A, 0))), 0), 0)))</f>
        <v>0</v>
      </c>
      <c r="R62" s="6">
        <f>MIN(0, N62+(IFERROR(IF(4*INDEX('UA-normalized'!$D:$D, MATCH($A62, 'UA-normalized'!$A:$A, 0))-INDEX('UA-normalized'!$E:$E, MATCH($A62, 'UA-normalized'!$A:$A, 0))&gt;0, -(4*INDEX('UA-normalized'!$D:$D, MATCH($A62, 'UA-normalized'!$A:$A, 0))-INDEX('UA-normalized'!$E:$E, MATCH($A62, 'UA-normalized'!$A:$A, 0))), 0), 0))+(IFERROR(IF(4*INDEX('KZ-normalized'!$D:$D, MATCH($A62, 'KZ-normalized'!$A:$A, 0))-INDEX('KZ-normalized'!$E:$E, MATCH($A62, 'KZ-normalized'!$A:$A, 0))&gt;0, -(4*INDEX('KZ-normalized'!$D:$D, MATCH($A62, 'KZ-normalized'!$A:$A, 0))-INDEX('KZ-normalized'!$E:$E, MATCH($A62, 'KZ-normalized'!$A:$A, 0))), 0), 0))+(IFERROR(IF(4*INDEX('UZ-normalized'!$D:$D, MATCH($A62, 'UZ-normalized'!$A:$A, 0))-INDEX('UZ-normalized'!$E:$E, MATCH($A62, 'UZ-normalized'!$A:$A, 0))&gt;0, -(4*INDEX('UZ-normalized'!$D:$D, MATCH($A62, 'UZ-normalized'!$A:$A, 0))-INDEX('UZ-normalized'!$E:$E, MATCH($A62, 'UZ-normalized'!$A:$A, 0))), 0), 0)))</f>
        <v>0</v>
      </c>
      <c r="S62" s="6">
        <f>MIN(0, N62+(IFERROR(IF(5*INDEX('UA-normalized'!$D:$D, MATCH($A62, 'UA-normalized'!$A:$A, 0))-INDEX('UA-normalized'!$E:$E, MATCH($A62, 'UA-normalized'!$A:$A, 0))&gt;0, -(5*INDEX('UA-normalized'!$D:$D, MATCH($A62, 'UA-normalized'!$A:$A, 0))-INDEX('UA-normalized'!$E:$E, MATCH($A62, 'UA-normalized'!$A:$A, 0))), 0), 0))+(IFERROR(IF(5*INDEX('KZ-normalized'!$D:$D, MATCH($A62, 'KZ-normalized'!$A:$A, 0))-INDEX('KZ-normalized'!$E:$E, MATCH($A62, 'KZ-normalized'!$A:$A, 0))&gt;0, -(5*INDEX('KZ-normalized'!$D:$D, MATCH($A62, 'KZ-normalized'!$A:$A, 0))-INDEX('KZ-normalized'!$E:$E, MATCH($A62, 'KZ-normalized'!$A:$A, 0))), 0), 0))+(IFERROR(IF(5*INDEX('UZ-normalized'!$D:$D, MATCH($A62, 'UZ-normalized'!$A:$A, 0))-INDEX('UZ-normalized'!$E:$E, MATCH($A62, 'UZ-normalized'!$A:$A, 0))&gt;0, -(5*INDEX('UZ-normalized'!$D:$D, MATCH($A62, 'UZ-normalized'!$A:$A, 0))-INDEX('UZ-normalized'!$E:$E, MATCH($A62, 'UZ-normalized'!$A:$A, 0))), 0), 0)))</f>
        <v>0</v>
      </c>
      <c r="T62" s="6">
        <f>MIN(0, N62+(IFERROR(IF(6*INDEX('UA-normalized'!$D:$D, MATCH($A62, 'UA-normalized'!$A:$A, 0))-INDEX('UA-normalized'!$E:$E, MATCH($A62, 'UA-normalized'!$A:$A, 0))&gt;0, -(6*INDEX('UA-normalized'!$D:$D, MATCH($A62, 'UA-normalized'!$A:$A, 0))-INDEX('UA-normalized'!$E:$E, MATCH($A62, 'UA-normalized'!$A:$A, 0))), 0), 0))+(IFERROR(IF(6*INDEX('KZ-normalized'!$D:$D, MATCH($A62, 'KZ-normalized'!$A:$A, 0))-INDEX('KZ-normalized'!$E:$E, MATCH($A62, 'KZ-normalized'!$A:$A, 0))&gt;0, -(6*INDEX('KZ-normalized'!$D:$D, MATCH($A62, 'KZ-normalized'!$A:$A, 0))-INDEX('KZ-normalized'!$E:$E, MATCH($A62, 'KZ-normalized'!$A:$A, 0))), 0), 0))+(IFERROR(IF(6*INDEX('UZ-normalized'!$D:$D, MATCH($A62, 'UZ-normalized'!$A:$A, 0))-INDEX('UZ-normalized'!$E:$E, MATCH($A62, 'UZ-normalized'!$A:$A, 0))&gt;0, -(6*INDEX('UZ-normalized'!$D:$D, MATCH($A62, 'UZ-normalized'!$A:$A, 0))-INDEX('UZ-normalized'!$E:$E, MATCH($A62, 'UZ-normalized'!$A:$A, 0))), 0), 0)))</f>
        <v>0</v>
      </c>
      <c r="U62" s="6">
        <f>MIN(0, N62+(IFERROR(IF(7*INDEX('UA-normalized'!$D:$D, MATCH($A62, 'UA-normalized'!$A:$A, 0))-INDEX('UA-normalized'!$E:$E, MATCH($A62, 'UA-normalized'!$A:$A, 0))&gt;0, -(7*INDEX('UA-normalized'!$D:$D, MATCH($A62, 'UA-normalized'!$A:$A, 0))-INDEX('UA-normalized'!$E:$E, MATCH($A62, 'UA-normalized'!$A:$A, 0))), 0), 0))+(IFERROR(IF(7*INDEX('KZ-normalized'!$D:$D, MATCH($A62, 'KZ-normalized'!$A:$A, 0))-INDEX('KZ-normalized'!$E:$E, MATCH($A62, 'KZ-normalized'!$A:$A, 0))&gt;0, -(7*INDEX('KZ-normalized'!$D:$D, MATCH($A62, 'KZ-normalized'!$A:$A, 0))-INDEX('KZ-normalized'!$E:$E, MATCH($A62, 'KZ-normalized'!$A:$A, 0))), 0), 0))+(IFERROR(IF(7*INDEX('UZ-normalized'!$D:$D, MATCH($A62, 'UZ-normalized'!$A:$A, 0))-INDEX('UZ-normalized'!$E:$E, MATCH($A62, 'UZ-normalized'!$A:$A, 0))&gt;0, -(7*INDEX('UZ-normalized'!$D:$D, MATCH($A62, 'UZ-normalized'!$A:$A, 0))-INDEX('UZ-normalized'!$E:$E, MATCH($A62, 'UZ-normalized'!$A:$A, 0))), 0), 0)))</f>
        <v>0</v>
      </c>
      <c r="V62" s="6">
        <f>MIN(0, N62+(IFERROR(IF(8*INDEX('UA-normalized'!$D:$D, MATCH($A62, 'UA-normalized'!$A:$A, 0))-INDEX('UA-normalized'!$E:$E, MATCH($A62, 'UA-normalized'!$A:$A, 0))&gt;0, -(8*INDEX('UA-normalized'!$D:$D, MATCH($A62, 'UA-normalized'!$A:$A, 0))-INDEX('UA-normalized'!$E:$E, MATCH($A62, 'UA-normalized'!$A:$A, 0))), 0), 0))+(IFERROR(IF(8*INDEX('KZ-normalized'!$D:$D, MATCH($A62, 'KZ-normalized'!$A:$A, 0))-INDEX('KZ-normalized'!$E:$E, MATCH($A62, 'KZ-normalized'!$A:$A, 0))&gt;0, -(8*INDEX('KZ-normalized'!$D:$D, MATCH($A62, 'KZ-normalized'!$A:$A, 0))-INDEX('KZ-normalized'!$E:$E, MATCH($A62, 'KZ-normalized'!$A:$A, 0))), 0), 0))+(IFERROR(IF(8*INDEX('UZ-normalized'!$D:$D, MATCH($A62, 'UZ-normalized'!$A:$A, 0))-INDEX('UZ-normalized'!$E:$E, MATCH($A62, 'UZ-normalized'!$A:$A, 0))&gt;0, -(8*INDEX('UZ-normalized'!$D:$D, MATCH($A62, 'UZ-normalized'!$A:$A, 0))-INDEX('UZ-normalized'!$E:$E, MATCH($A62, 'UZ-normalized'!$A:$A, 0))), 0), 0)))</f>
        <v>0</v>
      </c>
      <c r="W62" s="6">
        <f>MIN(0, N62+(IFERROR(IF(9*INDEX('UA-normalized'!$D:$D, MATCH($A62, 'UA-normalized'!$A:$A, 0))-INDEX('UA-normalized'!$E:$E, MATCH($A62, 'UA-normalized'!$A:$A, 0))&gt;0, -(9*INDEX('UA-normalized'!$D:$D, MATCH($A62, 'UA-normalized'!$A:$A, 0))-INDEX('UA-normalized'!$E:$E, MATCH($A62, 'UA-normalized'!$A:$A, 0))), 0), 0))+(IFERROR(IF(9*INDEX('KZ-normalized'!$D:$D, MATCH($A62, 'KZ-normalized'!$A:$A, 0))-INDEX('KZ-normalized'!$E:$E, MATCH($A62, 'KZ-normalized'!$A:$A, 0))&gt;0, -(9*INDEX('KZ-normalized'!$D:$D, MATCH($A62, 'KZ-normalized'!$A:$A, 0))-INDEX('KZ-normalized'!$E:$E, MATCH($A62, 'KZ-normalized'!$A:$A, 0))), 0), 0))+(IFERROR(IF(9*INDEX('UZ-normalized'!$D:$D, MATCH($A62, 'UZ-normalized'!$A:$A, 0))-INDEX('UZ-normalized'!$E:$E, MATCH($A62, 'UZ-normalized'!$A:$A, 0))&gt;0, -(9*INDEX('UZ-normalized'!$D:$D, MATCH($A62, 'UZ-normalized'!$A:$A, 0))-INDEX('UZ-normalized'!$E:$E, MATCH($A62, 'UZ-normalized'!$A:$A, 0))), 0), 0)))</f>
        <v>0</v>
      </c>
      <c r="X62" s="6">
        <f>MIN(0, N62+(IFERROR(IF(10*INDEX('UA-normalized'!$D:$D, MATCH($A62, 'UA-normalized'!$A:$A, 0))-INDEX('UA-normalized'!$E:$E, MATCH($A62, 'UA-normalized'!$A:$A, 0))&gt;0, -(10*INDEX('UA-normalized'!$D:$D, MATCH($A62, 'UA-normalized'!$A:$A, 0))-INDEX('UA-normalized'!$E:$E, MATCH($A62, 'UA-normalized'!$A:$A, 0))), 0), 0))+(IFERROR(IF(10*INDEX('KZ-normalized'!$D:$D, MATCH($A62, 'KZ-normalized'!$A:$A, 0))-INDEX('KZ-normalized'!$E:$E, MATCH($A62, 'KZ-normalized'!$A:$A, 0))&gt;0, -(10*INDEX('KZ-normalized'!$D:$D, MATCH($A62, 'KZ-normalized'!$A:$A, 0))-INDEX('KZ-normalized'!$E:$E, MATCH($A62, 'KZ-normalized'!$A:$A, 0))), 0), 0))+(IFERROR(IF(10*INDEX('UZ-normalized'!$D:$D, MATCH($A62, 'UZ-normalized'!$A:$A, 0))-INDEX('UZ-normalized'!$E:$E, MATCH($A62, 'UZ-normalized'!$A:$A, 0))&gt;0, -(10*INDEX('UZ-normalized'!$D:$D, MATCH($A62, 'UZ-normalized'!$A:$A, 0))-INDEX('UZ-normalized'!$E:$E, MATCH($A62, 'UZ-normalized'!$A:$A, 0))), 0), 0)))</f>
        <v>0</v>
      </c>
      <c r="Y62" s="6">
        <f>MIN(0, N62+(IFERROR(IF(11*INDEX('UA-normalized'!$D:$D, MATCH($A62, 'UA-normalized'!$A:$A, 0))-INDEX('UA-normalized'!$E:$E, MATCH($A62, 'UA-normalized'!$A:$A, 0))&gt;0, -(11*INDEX('UA-normalized'!$D:$D, MATCH($A62, 'UA-normalized'!$A:$A, 0))-INDEX('UA-normalized'!$E:$E, MATCH($A62, 'UA-normalized'!$A:$A, 0))), 0), 0))+(IFERROR(IF(11*INDEX('KZ-normalized'!$D:$D, MATCH($A62, 'KZ-normalized'!$A:$A, 0))-INDEX('KZ-normalized'!$E:$E, MATCH($A62, 'KZ-normalized'!$A:$A, 0))&gt;0, -(11*INDEX('KZ-normalized'!$D:$D, MATCH($A62, 'KZ-normalized'!$A:$A, 0))-INDEX('KZ-normalized'!$E:$E, MATCH($A62, 'KZ-normalized'!$A:$A, 0))), 0), 0))+(IFERROR(IF(11*INDEX('UZ-normalized'!$D:$D, MATCH($A62, 'UZ-normalized'!$A:$A, 0))-INDEX('UZ-normalized'!$E:$E, MATCH($A62, 'UZ-normalized'!$A:$A, 0))&gt;0, -(11*INDEX('UZ-normalized'!$D:$D, MATCH($A62, 'UZ-normalized'!$A:$A, 0))-INDEX('UZ-normalized'!$E:$E, MATCH($A62, 'UZ-normalized'!$A:$A, 0))), 0), 0)))</f>
        <v>0</v>
      </c>
      <c r="Z62" s="6">
        <f>MIN(0, N62+(IFERROR(IF(12*INDEX('UA-normalized'!$D:$D, MATCH($A62, 'UA-normalized'!$A:$A, 0))-INDEX('UA-normalized'!$E:$E, MATCH($A62, 'UA-normalized'!$A:$A, 0))&gt;0, -(12*INDEX('UA-normalized'!$D:$D, MATCH($A62, 'UA-normalized'!$A:$A, 0))-INDEX('UA-normalized'!$E:$E, MATCH($A62, 'UA-normalized'!$A:$A, 0))), 0), 0))+(IFERROR(IF(12*INDEX('KZ-normalized'!$D:$D, MATCH($A62, 'KZ-normalized'!$A:$A, 0))-INDEX('KZ-normalized'!$E:$E, MATCH($A62, 'KZ-normalized'!$A:$A, 0))&gt;0, -(12*INDEX('KZ-normalized'!$D:$D, MATCH($A62, 'KZ-normalized'!$A:$A, 0))-INDEX('KZ-normalized'!$E:$E, MATCH($A62, 'KZ-normalized'!$A:$A, 0))), 0), 0))+(IFERROR(IF(12*INDEX('UZ-normalized'!$D:$D, MATCH($A62, 'UZ-normalized'!$A:$A, 0))-INDEX('UZ-normalized'!$E:$E, MATCH($A62, 'UZ-normalized'!$A:$A, 0))&gt;0, -(12*INDEX('UZ-normalized'!$D:$D, MATCH($A62, 'UZ-normalized'!$A:$A, 0))-INDEX('UZ-normalized'!$E:$E, MATCH($A62, 'UZ-normalized'!$A:$A, 0))), 0), 0)))</f>
        <v>0</v>
      </c>
      <c r="AA62" s="6">
        <f>MIN(0, N62+(IFERROR(IF(13*INDEX('UA-normalized'!$D:$D, MATCH($A62, 'UA-normalized'!$A:$A, 0))-INDEX('UA-normalized'!$E:$E, MATCH($A62, 'UA-normalized'!$A:$A, 0))&gt;0, -(13*INDEX('UA-normalized'!$D:$D, MATCH($A62, 'UA-normalized'!$A:$A, 0))-INDEX('UA-normalized'!$E:$E, MATCH($A62, 'UA-normalized'!$A:$A, 0))), 0), 0))+(IFERROR(IF(13*INDEX('KZ-normalized'!$D:$D, MATCH($A62, 'KZ-normalized'!$A:$A, 0))-INDEX('KZ-normalized'!$E:$E, MATCH($A62, 'KZ-normalized'!$A:$A, 0))&gt;0, -(13*INDEX('KZ-normalized'!$D:$D, MATCH($A62, 'KZ-normalized'!$A:$A, 0))-INDEX('KZ-normalized'!$E:$E, MATCH($A62, 'KZ-normalized'!$A:$A, 0))), 0), 0))+(IFERROR(IF(13*INDEX('UZ-normalized'!$D:$D, MATCH($A62, 'UZ-normalized'!$A:$A, 0))-INDEX('UZ-normalized'!$E:$E, MATCH($A62, 'UZ-normalized'!$A:$A, 0))&gt;0, -(13*INDEX('UZ-normalized'!$D:$D, MATCH($A62, 'UZ-normalized'!$A:$A, 0))-INDEX('UZ-normalized'!$E:$E, MATCH($A62, 'UZ-normalized'!$A:$A, 0))), 0), 0)))</f>
        <v>0</v>
      </c>
      <c r="AB62" s="6">
        <f>MIN(0, N62+(IFERROR(IF(14*INDEX('UA-normalized'!$D:$D, MATCH($A62, 'UA-normalized'!$A:$A, 0))-INDEX('UA-normalized'!$E:$E, MATCH($A62, 'UA-normalized'!$A:$A, 0))&gt;0, -(14*INDEX('UA-normalized'!$D:$D, MATCH($A62, 'UA-normalized'!$A:$A, 0))-INDEX('UA-normalized'!$E:$E, MATCH($A62, 'UA-normalized'!$A:$A, 0))), 0), 0))+(IFERROR(IF(14*INDEX('KZ-normalized'!$D:$D, MATCH($A62, 'KZ-normalized'!$A:$A, 0))-INDEX('KZ-normalized'!$E:$E, MATCH($A62, 'KZ-normalized'!$A:$A, 0))&gt;0, -(14*INDEX('KZ-normalized'!$D:$D, MATCH($A62, 'KZ-normalized'!$A:$A, 0))-INDEX('KZ-normalized'!$E:$E, MATCH($A62, 'KZ-normalized'!$A:$A, 0))), 0), 0))+(IFERROR(IF(14*INDEX('UZ-normalized'!$D:$D, MATCH($A62, 'UZ-normalized'!$A:$A, 0))-INDEX('UZ-normalized'!$E:$E, MATCH($A62, 'UZ-normalized'!$A:$A, 0))&gt;0, -(14*INDEX('UZ-normalized'!$D:$D, MATCH($A62, 'UZ-normalized'!$A:$A, 0))-INDEX('UZ-normalized'!$E:$E, MATCH($A62, 'UZ-normalized'!$A:$A, 0))), 0), 0)))</f>
        <v>0</v>
      </c>
      <c r="AC62" s="6">
        <f>MIN(0, N62+(IFERROR(IF(15*INDEX('UA-normalized'!$D:$D, MATCH($A62, 'UA-normalized'!$A:$A, 0))-INDEX('UA-normalized'!$E:$E, MATCH($A62, 'UA-normalized'!$A:$A, 0))&gt;0, -(15*INDEX('UA-normalized'!$D:$D, MATCH($A62, 'UA-normalized'!$A:$A, 0))-INDEX('UA-normalized'!$E:$E, MATCH($A62, 'UA-normalized'!$A:$A, 0))), 0), 0))+(IFERROR(IF(15*INDEX('KZ-normalized'!$D:$D, MATCH($A62, 'KZ-normalized'!$A:$A, 0))-INDEX('KZ-normalized'!$E:$E, MATCH($A62, 'KZ-normalized'!$A:$A, 0))&gt;0, -(15*INDEX('KZ-normalized'!$D:$D, MATCH($A62, 'KZ-normalized'!$A:$A, 0))-INDEX('KZ-normalized'!$E:$E, MATCH($A62, 'KZ-normalized'!$A:$A, 0))), 0), 0))+(IFERROR(IF(15*INDEX('UZ-normalized'!$D:$D, MATCH($A62, 'UZ-normalized'!$A:$A, 0))-INDEX('UZ-normalized'!$E:$E, MATCH($A62, 'UZ-normalized'!$A:$A, 0))&gt;0, -(15*INDEX('UZ-normalized'!$D:$D, MATCH($A62, 'UZ-normalized'!$A:$A, 0))-INDEX('UZ-normalized'!$E:$E, MATCH($A62, 'UZ-normalized'!$A:$A, 0))), 0), 0)))</f>
        <v>0</v>
      </c>
      <c r="AD62" s="6">
        <f>MIN(0, N62+(IFERROR(IF(16*INDEX('UA-normalized'!$D:$D, MATCH($A62, 'UA-normalized'!$A:$A, 0))-INDEX('UA-normalized'!$E:$E, MATCH($A62, 'UA-normalized'!$A:$A, 0))&gt;0, -(16*INDEX('UA-normalized'!$D:$D, MATCH($A62, 'UA-normalized'!$A:$A, 0))-INDEX('UA-normalized'!$E:$E, MATCH($A62, 'UA-normalized'!$A:$A, 0))), 0), 0))+(IFERROR(IF(16*INDEX('KZ-normalized'!$D:$D, MATCH($A62, 'KZ-normalized'!$A:$A, 0))-INDEX('KZ-normalized'!$E:$E, MATCH($A62, 'KZ-normalized'!$A:$A, 0))&gt;0, -(16*INDEX('KZ-normalized'!$D:$D, MATCH($A62, 'KZ-normalized'!$A:$A, 0))-INDEX('KZ-normalized'!$E:$E, MATCH($A62, 'KZ-normalized'!$A:$A, 0))), 0), 0))+(IFERROR(IF(16*INDEX('UZ-normalized'!$D:$D, MATCH($A62, 'UZ-normalized'!$A:$A, 0))-INDEX('UZ-normalized'!$E:$E, MATCH($A62, 'UZ-normalized'!$A:$A, 0))&gt;0, -(16*INDEX('UZ-normalized'!$D:$D, MATCH($A62, 'UZ-normalized'!$A:$A, 0))-INDEX('UZ-normalized'!$E:$E, MATCH($A62, 'UZ-normalized'!$A:$A, 0))), 0), 0)))</f>
        <v>0</v>
      </c>
      <c r="AE62" s="6">
        <f>MIN(0, N62+(IFERROR(IF(17*INDEX('UA-normalized'!$D:$D, MATCH($A62, 'UA-normalized'!$A:$A, 0))-INDEX('UA-normalized'!$E:$E, MATCH($A62, 'UA-normalized'!$A:$A, 0))&gt;0, -(17*INDEX('UA-normalized'!$D:$D, MATCH($A62, 'UA-normalized'!$A:$A, 0))-INDEX('UA-normalized'!$E:$E, MATCH($A62, 'UA-normalized'!$A:$A, 0))), 0), 0))+(IFERROR(IF(17*INDEX('KZ-normalized'!$D:$D, MATCH($A62, 'KZ-normalized'!$A:$A, 0))-INDEX('KZ-normalized'!$E:$E, MATCH($A62, 'KZ-normalized'!$A:$A, 0))&gt;0, -(17*INDEX('KZ-normalized'!$D:$D, MATCH($A62, 'KZ-normalized'!$A:$A, 0))-INDEX('KZ-normalized'!$E:$E, MATCH($A62, 'KZ-normalized'!$A:$A, 0))), 0), 0))+(IFERROR(IF(17*INDEX('UZ-normalized'!$D:$D, MATCH($A62, 'UZ-normalized'!$A:$A, 0))-INDEX('UZ-normalized'!$E:$E, MATCH($A62, 'UZ-normalized'!$A:$A, 0))&gt;0, -(17*INDEX('UZ-normalized'!$D:$D, MATCH($A62, 'UZ-normalized'!$A:$A, 0))-INDEX('UZ-normalized'!$E:$E, MATCH($A62, 'UZ-normalized'!$A:$A, 0))), 0), 0)))</f>
        <v>0</v>
      </c>
      <c r="AF62" s="6">
        <f>MIN(0, N62+(IFERROR(IF(18*INDEX('UA-normalized'!$D:$D, MATCH($A62, 'UA-normalized'!$A:$A, 0))-INDEX('UA-normalized'!$E:$E, MATCH($A62, 'UA-normalized'!$A:$A, 0))&gt;0, -(18*INDEX('UA-normalized'!$D:$D, MATCH($A62, 'UA-normalized'!$A:$A, 0))-INDEX('UA-normalized'!$E:$E, MATCH($A62, 'UA-normalized'!$A:$A, 0))), 0), 0))+(IFERROR(IF(18*INDEX('KZ-normalized'!$D:$D, MATCH($A62, 'KZ-normalized'!$A:$A, 0))-INDEX('KZ-normalized'!$E:$E, MATCH($A62, 'KZ-normalized'!$A:$A, 0))&gt;0, -(18*INDEX('KZ-normalized'!$D:$D, MATCH($A62, 'KZ-normalized'!$A:$A, 0))-INDEX('KZ-normalized'!$E:$E, MATCH($A62, 'KZ-normalized'!$A:$A, 0))), 0), 0))+(IFERROR(IF(18*INDEX('UZ-normalized'!$D:$D, MATCH($A62, 'UZ-normalized'!$A:$A, 0))-INDEX('UZ-normalized'!$E:$E, MATCH($A62, 'UZ-normalized'!$A:$A, 0))&gt;0, -(18*INDEX('UZ-normalized'!$D:$D, MATCH($A62, 'UZ-normalized'!$A:$A, 0))-INDEX('UZ-normalized'!$E:$E, MATCH($A62, 'UZ-normalized'!$A:$A, 0))), 0), 0)))</f>
        <v>0</v>
      </c>
      <c r="AG62" s="6">
        <f>MIN(0, N62+(IFERROR(IF(19*INDEX('UA-normalized'!$D:$D, MATCH($A62, 'UA-normalized'!$A:$A, 0))-INDEX('UA-normalized'!$E:$E, MATCH($A62, 'UA-normalized'!$A:$A, 0))&gt;0, -(19*INDEX('UA-normalized'!$D:$D, MATCH($A62, 'UA-normalized'!$A:$A, 0))-INDEX('UA-normalized'!$E:$E, MATCH($A62, 'UA-normalized'!$A:$A, 0))), 0), 0))+(IFERROR(IF(19*INDEX('KZ-normalized'!$D:$D, MATCH($A62, 'KZ-normalized'!$A:$A, 0))-INDEX('KZ-normalized'!$E:$E, MATCH($A62, 'KZ-normalized'!$A:$A, 0))&gt;0, -(19*INDEX('KZ-normalized'!$D:$D, MATCH($A62, 'KZ-normalized'!$A:$A, 0))-INDEX('KZ-normalized'!$E:$E, MATCH($A62, 'KZ-normalized'!$A:$A, 0))), 0), 0))+(IFERROR(IF(19*INDEX('UZ-normalized'!$D:$D, MATCH($A62, 'UZ-normalized'!$A:$A, 0))-INDEX('UZ-normalized'!$E:$E, MATCH($A62, 'UZ-normalized'!$A:$A, 0))&gt;0, -(19*INDEX('UZ-normalized'!$D:$D, MATCH($A62, 'UZ-normalized'!$A:$A, 0))-INDEX('UZ-normalized'!$E:$E, MATCH($A62, 'UZ-normalized'!$A:$A, 0))), 0), 0)))</f>
        <v>0</v>
      </c>
      <c r="AH62" s="6">
        <f>MIN(0, N62+(IFERROR(IF(20*INDEX('UA-normalized'!$D:$D, MATCH($A62, 'UA-normalized'!$A:$A, 0))-INDEX('UA-normalized'!$E:$E, MATCH($A62, 'UA-normalized'!$A:$A, 0))&gt;0, -(20*INDEX('UA-normalized'!$D:$D, MATCH($A62, 'UA-normalized'!$A:$A, 0))-INDEX('UA-normalized'!$E:$E, MATCH($A62, 'UA-normalized'!$A:$A, 0))), 0), 0))+(IFERROR(IF(20*INDEX('KZ-normalized'!$D:$D, MATCH($A62, 'KZ-normalized'!$A:$A, 0))-INDEX('KZ-normalized'!$E:$E, MATCH($A62, 'KZ-normalized'!$A:$A, 0))&gt;0, -(20*INDEX('KZ-normalized'!$D:$D, MATCH($A62, 'KZ-normalized'!$A:$A, 0))-INDEX('KZ-normalized'!$E:$E, MATCH($A62, 'KZ-normalized'!$A:$A, 0))), 0), 0))+(IFERROR(IF(20*INDEX('UZ-normalized'!$D:$D, MATCH($A62, 'UZ-normalized'!$A:$A, 0))-INDEX('UZ-normalized'!$E:$E, MATCH($A62, 'UZ-normalized'!$A:$A, 0))&gt;0, -(20*INDEX('UZ-normalized'!$D:$D, MATCH($A62, 'UZ-normalized'!$A:$A, 0))-INDEX('UZ-normalized'!$E:$E, MATCH($A62, 'UZ-normalized'!$A:$A, 0))), 0), 0)))</f>
        <v>0</v>
      </c>
      <c r="AI62" s="6">
        <f>MIN(0, N62+(IFERROR(IF(21*INDEX('UA-normalized'!$D:$D, MATCH($A62, 'UA-normalized'!$A:$A, 0))-INDEX('UA-normalized'!$E:$E, MATCH($A62, 'UA-normalized'!$A:$A, 0))&gt;0, -(21*INDEX('UA-normalized'!$D:$D, MATCH($A62, 'UA-normalized'!$A:$A, 0))-INDEX('UA-normalized'!$E:$E, MATCH($A62, 'UA-normalized'!$A:$A, 0))), 0), 0))+(IFERROR(IF(21*INDEX('KZ-normalized'!$D:$D, MATCH($A62, 'KZ-normalized'!$A:$A, 0))-INDEX('KZ-normalized'!$E:$E, MATCH($A62, 'KZ-normalized'!$A:$A, 0))&gt;0, -(21*INDEX('KZ-normalized'!$D:$D, MATCH($A62, 'KZ-normalized'!$A:$A, 0))-INDEX('KZ-normalized'!$E:$E, MATCH($A62, 'KZ-normalized'!$A:$A, 0))), 0), 0))+(IFERROR(IF(21*INDEX('UZ-normalized'!$D:$D, MATCH($A62, 'UZ-normalized'!$A:$A, 0))-INDEX('UZ-normalized'!$E:$E, MATCH($A62, 'UZ-normalized'!$A:$A, 0))&gt;0, -(21*INDEX('UZ-normalized'!$D:$D, MATCH($A62, 'UZ-normalized'!$A:$A, 0))-INDEX('UZ-normalized'!$E:$E, MATCH($A62, 'UZ-normalized'!$A:$A, 0))), 0), 0)))</f>
        <v>-0.80000000000000071</v>
      </c>
      <c r="AJ62" s="6">
        <f>MIN(0, N62+(IFERROR(IF(22*INDEX('UA-normalized'!$D:$D, MATCH($A62, 'UA-normalized'!$A:$A, 0))-INDEX('UA-normalized'!$E:$E, MATCH($A62, 'UA-normalized'!$A:$A, 0))&gt;0, -(22*INDEX('UA-normalized'!$D:$D, MATCH($A62, 'UA-normalized'!$A:$A, 0))-INDEX('UA-normalized'!$E:$E, MATCH($A62, 'UA-normalized'!$A:$A, 0))), 0), 0))+(IFERROR(IF(22*INDEX('KZ-normalized'!$D:$D, MATCH($A62, 'KZ-normalized'!$A:$A, 0))-INDEX('KZ-normalized'!$E:$E, MATCH($A62, 'KZ-normalized'!$A:$A, 0))&gt;0, -(22*INDEX('KZ-normalized'!$D:$D, MATCH($A62, 'KZ-normalized'!$A:$A, 0))-INDEX('KZ-normalized'!$E:$E, MATCH($A62, 'KZ-normalized'!$A:$A, 0))), 0), 0))+(IFERROR(IF(22*INDEX('UZ-normalized'!$D:$D, MATCH($A62, 'UZ-normalized'!$A:$A, 0))-INDEX('UZ-normalized'!$E:$E, MATCH($A62, 'UZ-normalized'!$A:$A, 0))&gt;0, -(22*INDEX('UZ-normalized'!$D:$D, MATCH($A62, 'UZ-normalized'!$A:$A, 0))-INDEX('UZ-normalized'!$E:$E, MATCH($A62, 'UZ-normalized'!$A:$A, 0))), 0), 0)))</f>
        <v>-1.6000000000000014</v>
      </c>
      <c r="AK62" s="6">
        <f>MIN(0, N62+(IFERROR(IF(23*INDEX('UA-normalized'!$D:$D, MATCH($A62, 'UA-normalized'!$A:$A, 0))-INDEX('UA-normalized'!$E:$E, MATCH($A62, 'UA-normalized'!$A:$A, 0))&gt;0, -(23*INDEX('UA-normalized'!$D:$D, MATCH($A62, 'UA-normalized'!$A:$A, 0))-INDEX('UA-normalized'!$E:$E, MATCH($A62, 'UA-normalized'!$A:$A, 0))), 0), 0))+(IFERROR(IF(23*INDEX('KZ-normalized'!$D:$D, MATCH($A62, 'KZ-normalized'!$A:$A, 0))-INDEX('KZ-normalized'!$E:$E, MATCH($A62, 'KZ-normalized'!$A:$A, 0))&gt;0, -(23*INDEX('KZ-normalized'!$D:$D, MATCH($A62, 'KZ-normalized'!$A:$A, 0))-INDEX('KZ-normalized'!$E:$E, MATCH($A62, 'KZ-normalized'!$A:$A, 0))), 0), 0))+(IFERROR(IF(23*INDEX('UZ-normalized'!$D:$D, MATCH($A62, 'UZ-normalized'!$A:$A, 0))-INDEX('UZ-normalized'!$E:$E, MATCH($A62, 'UZ-normalized'!$A:$A, 0))&gt;0, -(23*INDEX('UZ-normalized'!$D:$D, MATCH($A62, 'UZ-normalized'!$A:$A, 0))-INDEX('UZ-normalized'!$E:$E, MATCH($A62, 'UZ-normalized'!$A:$A, 0))), 0), 0)))</f>
        <v>-2.4000000000000021</v>
      </c>
      <c r="AL62" s="6">
        <f>MIN(0, N62+(IFERROR(IF(24*INDEX('UA-normalized'!$D:$D, MATCH($A62, 'UA-normalized'!$A:$A, 0))-INDEX('UA-normalized'!$E:$E, MATCH($A62, 'UA-normalized'!$A:$A, 0))&gt;0, -(24*INDEX('UA-normalized'!$D:$D, MATCH($A62, 'UA-normalized'!$A:$A, 0))-INDEX('UA-normalized'!$E:$E, MATCH($A62, 'UA-normalized'!$A:$A, 0))), 0), 0))+(IFERROR(IF(24*INDEX('KZ-normalized'!$D:$D, MATCH($A62, 'KZ-normalized'!$A:$A, 0))-INDEX('KZ-normalized'!$E:$E, MATCH($A62, 'KZ-normalized'!$A:$A, 0))&gt;0, -(24*INDEX('KZ-normalized'!$D:$D, MATCH($A62, 'KZ-normalized'!$A:$A, 0))-INDEX('KZ-normalized'!$E:$E, MATCH($A62, 'KZ-normalized'!$A:$A, 0))), 0), 0))+(IFERROR(IF(24*INDEX('UZ-normalized'!$D:$D, MATCH($A62, 'UZ-normalized'!$A:$A, 0))-INDEX('UZ-normalized'!$E:$E, MATCH($A62, 'UZ-normalized'!$A:$A, 0))&gt;0, -(24*INDEX('UZ-normalized'!$D:$D, MATCH($A62, 'UZ-normalized'!$A:$A, 0))-INDEX('UZ-normalized'!$E:$E, MATCH($A62, 'UZ-normalized'!$A:$A, 0))), 0), 0)))</f>
        <v>-3.2000000000000028</v>
      </c>
      <c r="AM62" s="6">
        <f>MIN(0, N62+(IFERROR(IF(25*INDEX('UA-normalized'!$D:$D, MATCH($A62, 'UA-normalized'!$A:$A, 0))-INDEX('UA-normalized'!$E:$E, MATCH($A62, 'UA-normalized'!$A:$A, 0))&gt;0, -(25*INDEX('UA-normalized'!$D:$D, MATCH($A62, 'UA-normalized'!$A:$A, 0))-INDEX('UA-normalized'!$E:$E, MATCH($A62, 'UA-normalized'!$A:$A, 0))), 0), 0))+(IFERROR(IF(25*INDEX('KZ-normalized'!$D:$D, MATCH($A62, 'KZ-normalized'!$A:$A, 0))-INDEX('KZ-normalized'!$E:$E, MATCH($A62, 'KZ-normalized'!$A:$A, 0))&gt;0, -(25*INDEX('KZ-normalized'!$D:$D, MATCH($A62, 'KZ-normalized'!$A:$A, 0))-INDEX('KZ-normalized'!$E:$E, MATCH($A62, 'KZ-normalized'!$A:$A, 0))), 0), 0))+(IFERROR(IF(25*INDEX('UZ-normalized'!$D:$D, MATCH($A62, 'UZ-normalized'!$A:$A, 0))-INDEX('UZ-normalized'!$E:$E, MATCH($A62, 'UZ-normalized'!$A:$A, 0))&gt;0, -(25*INDEX('UZ-normalized'!$D:$D, MATCH($A62, 'UZ-normalized'!$A:$A, 0))-INDEX('UZ-normalized'!$E:$E, MATCH($A62, 'UZ-normalized'!$A:$A, 0))), 0), 0)))</f>
        <v>-4</v>
      </c>
      <c r="AN62" s="6">
        <f>MIN(0, N62+(IFERROR(IF(26*INDEX('UA-normalized'!$D:$D, MATCH($A62, 'UA-normalized'!$A:$A, 0))-INDEX('UA-normalized'!$E:$E, MATCH($A62, 'UA-normalized'!$A:$A, 0))&gt;0, -(26*INDEX('UA-normalized'!$D:$D, MATCH($A62, 'UA-normalized'!$A:$A, 0))-INDEX('UA-normalized'!$E:$E, MATCH($A62, 'UA-normalized'!$A:$A, 0))), 0), 0))+(IFERROR(IF(26*INDEX('KZ-normalized'!$D:$D, MATCH($A62, 'KZ-normalized'!$A:$A, 0))-INDEX('KZ-normalized'!$E:$E, MATCH($A62, 'KZ-normalized'!$A:$A, 0))&gt;0, -(26*INDEX('KZ-normalized'!$D:$D, MATCH($A62, 'KZ-normalized'!$A:$A, 0))-INDEX('KZ-normalized'!$E:$E, MATCH($A62, 'KZ-normalized'!$A:$A, 0))), 0), 0))+(IFERROR(IF(26*INDEX('UZ-normalized'!$D:$D, MATCH($A62, 'UZ-normalized'!$A:$A, 0))-INDEX('UZ-normalized'!$E:$E, MATCH($A62, 'UZ-normalized'!$A:$A, 0))&gt;0, -(26*INDEX('UZ-normalized'!$D:$D, MATCH($A62, 'UZ-normalized'!$A:$A, 0))-INDEX('UZ-normalized'!$E:$E, MATCH($A62, 'UZ-normalized'!$A:$A, 0))), 0), 0)))</f>
        <v>-4.8000000000000007</v>
      </c>
      <c r="AO62" s="6">
        <f>MIN(0, N62+(IFERROR(IF(27*INDEX('UA-normalized'!$D:$D, MATCH($A62, 'UA-normalized'!$A:$A, 0))-INDEX('UA-normalized'!$E:$E, MATCH($A62, 'UA-normalized'!$A:$A, 0))&gt;0, -(27*INDEX('UA-normalized'!$D:$D, MATCH($A62, 'UA-normalized'!$A:$A, 0))-INDEX('UA-normalized'!$E:$E, MATCH($A62, 'UA-normalized'!$A:$A, 0))), 0), 0))+(IFERROR(IF(27*INDEX('KZ-normalized'!$D:$D, MATCH($A62, 'KZ-normalized'!$A:$A, 0))-INDEX('KZ-normalized'!$E:$E, MATCH($A62, 'KZ-normalized'!$A:$A, 0))&gt;0, -(27*INDEX('KZ-normalized'!$D:$D, MATCH($A62, 'KZ-normalized'!$A:$A, 0))-INDEX('KZ-normalized'!$E:$E, MATCH($A62, 'KZ-normalized'!$A:$A, 0))), 0), 0))+(IFERROR(IF(27*INDEX('UZ-normalized'!$D:$D, MATCH($A62, 'UZ-normalized'!$A:$A, 0))-INDEX('UZ-normalized'!$E:$E, MATCH($A62, 'UZ-normalized'!$A:$A, 0))&gt;0, -(27*INDEX('UZ-normalized'!$D:$D, MATCH($A62, 'UZ-normalized'!$A:$A, 0))-INDEX('UZ-normalized'!$E:$E, MATCH($A62, 'UZ-normalized'!$A:$A, 0))), 0), 0)))</f>
        <v>-5.6000000000000014</v>
      </c>
      <c r="AP62" s="6">
        <f>MIN(0, N62+(IFERROR(IF(28*INDEX('UA-normalized'!$D:$D, MATCH($A62, 'UA-normalized'!$A:$A, 0))-INDEX('UA-normalized'!$E:$E, MATCH($A62, 'UA-normalized'!$A:$A, 0))&gt;0, -(28*INDEX('UA-normalized'!$D:$D, MATCH($A62, 'UA-normalized'!$A:$A, 0))-INDEX('UA-normalized'!$E:$E, MATCH($A62, 'UA-normalized'!$A:$A, 0))), 0), 0))+(IFERROR(IF(28*INDEX('KZ-normalized'!$D:$D, MATCH($A62, 'KZ-normalized'!$A:$A, 0))-INDEX('KZ-normalized'!$E:$E, MATCH($A62, 'KZ-normalized'!$A:$A, 0))&gt;0, -(28*INDEX('KZ-normalized'!$D:$D, MATCH($A62, 'KZ-normalized'!$A:$A, 0))-INDEX('KZ-normalized'!$E:$E, MATCH($A62, 'KZ-normalized'!$A:$A, 0))), 0), 0))+(IFERROR(IF(28*INDEX('UZ-normalized'!$D:$D, MATCH($A62, 'UZ-normalized'!$A:$A, 0))-INDEX('UZ-normalized'!$E:$E, MATCH($A62, 'UZ-normalized'!$A:$A, 0))&gt;0, -(28*INDEX('UZ-normalized'!$D:$D, MATCH($A62, 'UZ-normalized'!$A:$A, 0))-INDEX('UZ-normalized'!$E:$E, MATCH($A62, 'UZ-normalized'!$A:$A, 0))), 0), 0)))</f>
        <v>-6.4000000000000021</v>
      </c>
      <c r="AQ62" s="6">
        <f>MIN(0, N62+(IFERROR(IF(29*INDEX('UA-normalized'!$D:$D, MATCH($A62, 'UA-normalized'!$A:$A, 0))-INDEX('UA-normalized'!$E:$E, MATCH($A62, 'UA-normalized'!$A:$A, 0))&gt;0, -(29*INDEX('UA-normalized'!$D:$D, MATCH($A62, 'UA-normalized'!$A:$A, 0))-INDEX('UA-normalized'!$E:$E, MATCH($A62, 'UA-normalized'!$A:$A, 0))), 0), 0))+(IFERROR(IF(29*INDEX('KZ-normalized'!$D:$D, MATCH($A62, 'KZ-normalized'!$A:$A, 0))-INDEX('KZ-normalized'!$E:$E, MATCH($A62, 'KZ-normalized'!$A:$A, 0))&gt;0, -(29*INDEX('KZ-normalized'!$D:$D, MATCH($A62, 'KZ-normalized'!$A:$A, 0))-INDEX('KZ-normalized'!$E:$E, MATCH($A62, 'KZ-normalized'!$A:$A, 0))), 0), 0))+(IFERROR(IF(29*INDEX('UZ-normalized'!$D:$D, MATCH($A62, 'UZ-normalized'!$A:$A, 0))-INDEX('UZ-normalized'!$E:$E, MATCH($A62, 'UZ-normalized'!$A:$A, 0))&gt;0, -(29*INDEX('UZ-normalized'!$D:$D, MATCH($A62, 'UZ-normalized'!$A:$A, 0))-INDEX('UZ-normalized'!$E:$E, MATCH($A62, 'UZ-normalized'!$A:$A, 0))), 0), 0)))</f>
        <v>-7.2000000000000028</v>
      </c>
      <c r="AR62" s="6">
        <f>MIN(0, N62+(IFERROR(IF(30*INDEX('UA-normalized'!$D:$D, MATCH($A62, 'UA-normalized'!$A:$A, 0))-INDEX('UA-normalized'!$E:$E, MATCH($A62, 'UA-normalized'!$A:$A, 0))&gt;0, -(30*INDEX('UA-normalized'!$D:$D, MATCH($A62, 'UA-normalized'!$A:$A, 0))-INDEX('UA-normalized'!$E:$E, MATCH($A62, 'UA-normalized'!$A:$A, 0))), 0), 0))+(IFERROR(IF(30*INDEX('KZ-normalized'!$D:$D, MATCH($A62, 'KZ-normalized'!$A:$A, 0))-INDEX('KZ-normalized'!$E:$E, MATCH($A62, 'KZ-normalized'!$A:$A, 0))&gt;0, -(30*INDEX('KZ-normalized'!$D:$D, MATCH($A62, 'KZ-normalized'!$A:$A, 0))-INDEX('KZ-normalized'!$E:$E, MATCH($A62, 'KZ-normalized'!$A:$A, 0))), 0), 0))+(IFERROR(IF(30*INDEX('UZ-normalized'!$D:$D, MATCH($A62, 'UZ-normalized'!$A:$A, 0))-INDEX('UZ-normalized'!$E:$E, MATCH($A62, 'UZ-normalized'!$A:$A, 0))&gt;0, -(30*INDEX('UZ-normalized'!$D:$D, MATCH($A62, 'UZ-normalized'!$A:$A, 0))-INDEX('UZ-normalized'!$E:$E, MATCH($A62, 'UZ-normalized'!$A:$A, 0))), 0), 0)))</f>
        <v>-8</v>
      </c>
    </row>
    <row r="63" spans="1:44" x14ac:dyDescent="0.25">
      <c r="A63" s="8" t="s">
        <v>173</v>
      </c>
      <c r="B63" s="8" t="s">
        <v>166</v>
      </c>
      <c r="C63" s="8" t="s">
        <v>174</v>
      </c>
      <c r="D63" s="8" t="s">
        <v>175</v>
      </c>
      <c r="N63">
        <f t="shared" si="0"/>
        <v>0</v>
      </c>
      <c r="O63" s="6">
        <f>MIN(0, N63+(IFERROR(IF(1*INDEX('UA-normalized'!$D:$D, MATCH($A63, 'UA-normalized'!$A:$A, 0))-INDEX('UA-normalized'!$E:$E, MATCH($A63, 'UA-normalized'!$A:$A, 0))&gt;0, -(1*INDEX('UA-normalized'!$D:$D, MATCH($A63, 'UA-normalized'!$A:$A, 0))-INDEX('UA-normalized'!$E:$E, MATCH($A63, 'UA-normalized'!$A:$A, 0))), 0), 0))+(IFERROR(IF(1*INDEX('KZ-normalized'!$D:$D, MATCH($A63, 'KZ-normalized'!$A:$A, 0))-INDEX('KZ-normalized'!$E:$E, MATCH($A63, 'KZ-normalized'!$A:$A, 0))&gt;0, -(1*INDEX('KZ-normalized'!$D:$D, MATCH($A63, 'KZ-normalized'!$A:$A, 0))-INDEX('KZ-normalized'!$E:$E, MATCH($A63, 'KZ-normalized'!$A:$A, 0))), 0), 0))+(IFERROR(IF(1*INDEX('UZ-normalized'!$D:$D, MATCH($A63, 'UZ-normalized'!$A:$A, 0))-INDEX('UZ-normalized'!$E:$E, MATCH($A63, 'UZ-normalized'!$A:$A, 0))&gt;0, -(1*INDEX('UZ-normalized'!$D:$D, MATCH($A63, 'UZ-normalized'!$A:$A, 0))-INDEX('UZ-normalized'!$E:$E, MATCH($A63, 'UZ-normalized'!$A:$A, 0))), 0), 0)))</f>
        <v>0</v>
      </c>
      <c r="P63" s="6">
        <f>MIN(0, N63+(IFERROR(IF(2*INDEX('UA-normalized'!$D:$D, MATCH($A63, 'UA-normalized'!$A:$A, 0))-INDEX('UA-normalized'!$E:$E, MATCH($A63, 'UA-normalized'!$A:$A, 0))&gt;0, -(2*INDEX('UA-normalized'!$D:$D, MATCH($A63, 'UA-normalized'!$A:$A, 0))-INDEX('UA-normalized'!$E:$E, MATCH($A63, 'UA-normalized'!$A:$A, 0))), 0), 0))+(IFERROR(IF(2*INDEX('KZ-normalized'!$D:$D, MATCH($A63, 'KZ-normalized'!$A:$A, 0))-INDEX('KZ-normalized'!$E:$E, MATCH($A63, 'KZ-normalized'!$A:$A, 0))&gt;0, -(2*INDEX('KZ-normalized'!$D:$D, MATCH($A63, 'KZ-normalized'!$A:$A, 0))-INDEX('KZ-normalized'!$E:$E, MATCH($A63, 'KZ-normalized'!$A:$A, 0))), 0), 0))+(IFERROR(IF(2*INDEX('UZ-normalized'!$D:$D, MATCH($A63, 'UZ-normalized'!$A:$A, 0))-INDEX('UZ-normalized'!$E:$E, MATCH($A63, 'UZ-normalized'!$A:$A, 0))&gt;0, -(2*INDEX('UZ-normalized'!$D:$D, MATCH($A63, 'UZ-normalized'!$A:$A, 0))-INDEX('UZ-normalized'!$E:$E, MATCH($A63, 'UZ-normalized'!$A:$A, 0))), 0), 0)))</f>
        <v>0</v>
      </c>
      <c r="Q63" s="6">
        <f>MIN(0, N63+(IFERROR(IF(3*INDEX('UA-normalized'!$D:$D, MATCH($A63, 'UA-normalized'!$A:$A, 0))-INDEX('UA-normalized'!$E:$E, MATCH($A63, 'UA-normalized'!$A:$A, 0))&gt;0, -(3*INDEX('UA-normalized'!$D:$D, MATCH($A63, 'UA-normalized'!$A:$A, 0))-INDEX('UA-normalized'!$E:$E, MATCH($A63, 'UA-normalized'!$A:$A, 0))), 0), 0))+(IFERROR(IF(3*INDEX('KZ-normalized'!$D:$D, MATCH($A63, 'KZ-normalized'!$A:$A, 0))-INDEX('KZ-normalized'!$E:$E, MATCH($A63, 'KZ-normalized'!$A:$A, 0))&gt;0, -(3*INDEX('KZ-normalized'!$D:$D, MATCH($A63, 'KZ-normalized'!$A:$A, 0))-INDEX('KZ-normalized'!$E:$E, MATCH($A63, 'KZ-normalized'!$A:$A, 0))), 0), 0))+(IFERROR(IF(3*INDEX('UZ-normalized'!$D:$D, MATCH($A63, 'UZ-normalized'!$A:$A, 0))-INDEX('UZ-normalized'!$E:$E, MATCH($A63, 'UZ-normalized'!$A:$A, 0))&gt;0, -(3*INDEX('UZ-normalized'!$D:$D, MATCH($A63, 'UZ-normalized'!$A:$A, 0))-INDEX('UZ-normalized'!$E:$E, MATCH($A63, 'UZ-normalized'!$A:$A, 0))), 0), 0)))</f>
        <v>0</v>
      </c>
      <c r="R63" s="6">
        <f>MIN(0, N63+(IFERROR(IF(4*INDEX('UA-normalized'!$D:$D, MATCH($A63, 'UA-normalized'!$A:$A, 0))-INDEX('UA-normalized'!$E:$E, MATCH($A63, 'UA-normalized'!$A:$A, 0))&gt;0, -(4*INDEX('UA-normalized'!$D:$D, MATCH($A63, 'UA-normalized'!$A:$A, 0))-INDEX('UA-normalized'!$E:$E, MATCH($A63, 'UA-normalized'!$A:$A, 0))), 0), 0))+(IFERROR(IF(4*INDEX('KZ-normalized'!$D:$D, MATCH($A63, 'KZ-normalized'!$A:$A, 0))-INDEX('KZ-normalized'!$E:$E, MATCH($A63, 'KZ-normalized'!$A:$A, 0))&gt;0, -(4*INDEX('KZ-normalized'!$D:$D, MATCH($A63, 'KZ-normalized'!$A:$A, 0))-INDEX('KZ-normalized'!$E:$E, MATCH($A63, 'KZ-normalized'!$A:$A, 0))), 0), 0))+(IFERROR(IF(4*INDEX('UZ-normalized'!$D:$D, MATCH($A63, 'UZ-normalized'!$A:$A, 0))-INDEX('UZ-normalized'!$E:$E, MATCH($A63, 'UZ-normalized'!$A:$A, 0))&gt;0, -(4*INDEX('UZ-normalized'!$D:$D, MATCH($A63, 'UZ-normalized'!$A:$A, 0))-INDEX('UZ-normalized'!$E:$E, MATCH($A63, 'UZ-normalized'!$A:$A, 0))), 0), 0)))</f>
        <v>0</v>
      </c>
      <c r="S63" s="6">
        <f>MIN(0, N63+(IFERROR(IF(5*INDEX('UA-normalized'!$D:$D, MATCH($A63, 'UA-normalized'!$A:$A, 0))-INDEX('UA-normalized'!$E:$E, MATCH($A63, 'UA-normalized'!$A:$A, 0))&gt;0, -(5*INDEX('UA-normalized'!$D:$D, MATCH($A63, 'UA-normalized'!$A:$A, 0))-INDEX('UA-normalized'!$E:$E, MATCH($A63, 'UA-normalized'!$A:$A, 0))), 0), 0))+(IFERROR(IF(5*INDEX('KZ-normalized'!$D:$D, MATCH($A63, 'KZ-normalized'!$A:$A, 0))-INDEX('KZ-normalized'!$E:$E, MATCH($A63, 'KZ-normalized'!$A:$A, 0))&gt;0, -(5*INDEX('KZ-normalized'!$D:$D, MATCH($A63, 'KZ-normalized'!$A:$A, 0))-INDEX('KZ-normalized'!$E:$E, MATCH($A63, 'KZ-normalized'!$A:$A, 0))), 0), 0))+(IFERROR(IF(5*INDEX('UZ-normalized'!$D:$D, MATCH($A63, 'UZ-normalized'!$A:$A, 0))-INDEX('UZ-normalized'!$E:$E, MATCH($A63, 'UZ-normalized'!$A:$A, 0))&gt;0, -(5*INDEX('UZ-normalized'!$D:$D, MATCH($A63, 'UZ-normalized'!$A:$A, 0))-INDEX('UZ-normalized'!$E:$E, MATCH($A63, 'UZ-normalized'!$A:$A, 0))), 0), 0)))</f>
        <v>0</v>
      </c>
      <c r="T63" s="6">
        <f>MIN(0, N63+(IFERROR(IF(6*INDEX('UA-normalized'!$D:$D, MATCH($A63, 'UA-normalized'!$A:$A, 0))-INDEX('UA-normalized'!$E:$E, MATCH($A63, 'UA-normalized'!$A:$A, 0))&gt;0, -(6*INDEX('UA-normalized'!$D:$D, MATCH($A63, 'UA-normalized'!$A:$A, 0))-INDEX('UA-normalized'!$E:$E, MATCH($A63, 'UA-normalized'!$A:$A, 0))), 0), 0))+(IFERROR(IF(6*INDEX('KZ-normalized'!$D:$D, MATCH($A63, 'KZ-normalized'!$A:$A, 0))-INDEX('KZ-normalized'!$E:$E, MATCH($A63, 'KZ-normalized'!$A:$A, 0))&gt;0, -(6*INDEX('KZ-normalized'!$D:$D, MATCH($A63, 'KZ-normalized'!$A:$A, 0))-INDEX('KZ-normalized'!$E:$E, MATCH($A63, 'KZ-normalized'!$A:$A, 0))), 0), 0))+(IFERROR(IF(6*INDEX('UZ-normalized'!$D:$D, MATCH($A63, 'UZ-normalized'!$A:$A, 0))-INDEX('UZ-normalized'!$E:$E, MATCH($A63, 'UZ-normalized'!$A:$A, 0))&gt;0, -(6*INDEX('UZ-normalized'!$D:$D, MATCH($A63, 'UZ-normalized'!$A:$A, 0))-INDEX('UZ-normalized'!$E:$E, MATCH($A63, 'UZ-normalized'!$A:$A, 0))), 0), 0)))</f>
        <v>0</v>
      </c>
      <c r="U63" s="6">
        <f>MIN(0, N63+(IFERROR(IF(7*INDEX('UA-normalized'!$D:$D, MATCH($A63, 'UA-normalized'!$A:$A, 0))-INDEX('UA-normalized'!$E:$E, MATCH($A63, 'UA-normalized'!$A:$A, 0))&gt;0, -(7*INDEX('UA-normalized'!$D:$D, MATCH($A63, 'UA-normalized'!$A:$A, 0))-INDEX('UA-normalized'!$E:$E, MATCH($A63, 'UA-normalized'!$A:$A, 0))), 0), 0))+(IFERROR(IF(7*INDEX('KZ-normalized'!$D:$D, MATCH($A63, 'KZ-normalized'!$A:$A, 0))-INDEX('KZ-normalized'!$E:$E, MATCH($A63, 'KZ-normalized'!$A:$A, 0))&gt;0, -(7*INDEX('KZ-normalized'!$D:$D, MATCH($A63, 'KZ-normalized'!$A:$A, 0))-INDEX('KZ-normalized'!$E:$E, MATCH($A63, 'KZ-normalized'!$A:$A, 0))), 0), 0))+(IFERROR(IF(7*INDEX('UZ-normalized'!$D:$D, MATCH($A63, 'UZ-normalized'!$A:$A, 0))-INDEX('UZ-normalized'!$E:$E, MATCH($A63, 'UZ-normalized'!$A:$A, 0))&gt;0, -(7*INDEX('UZ-normalized'!$D:$D, MATCH($A63, 'UZ-normalized'!$A:$A, 0))-INDEX('UZ-normalized'!$E:$E, MATCH($A63, 'UZ-normalized'!$A:$A, 0))), 0), 0)))</f>
        <v>0</v>
      </c>
      <c r="V63" s="6">
        <f>MIN(0, N63+(IFERROR(IF(8*INDEX('UA-normalized'!$D:$D, MATCH($A63, 'UA-normalized'!$A:$A, 0))-INDEX('UA-normalized'!$E:$E, MATCH($A63, 'UA-normalized'!$A:$A, 0))&gt;0, -(8*INDEX('UA-normalized'!$D:$D, MATCH($A63, 'UA-normalized'!$A:$A, 0))-INDEX('UA-normalized'!$E:$E, MATCH($A63, 'UA-normalized'!$A:$A, 0))), 0), 0))+(IFERROR(IF(8*INDEX('KZ-normalized'!$D:$D, MATCH($A63, 'KZ-normalized'!$A:$A, 0))-INDEX('KZ-normalized'!$E:$E, MATCH($A63, 'KZ-normalized'!$A:$A, 0))&gt;0, -(8*INDEX('KZ-normalized'!$D:$D, MATCH($A63, 'KZ-normalized'!$A:$A, 0))-INDEX('KZ-normalized'!$E:$E, MATCH($A63, 'KZ-normalized'!$A:$A, 0))), 0), 0))+(IFERROR(IF(8*INDEX('UZ-normalized'!$D:$D, MATCH($A63, 'UZ-normalized'!$A:$A, 0))-INDEX('UZ-normalized'!$E:$E, MATCH($A63, 'UZ-normalized'!$A:$A, 0))&gt;0, -(8*INDEX('UZ-normalized'!$D:$D, MATCH($A63, 'UZ-normalized'!$A:$A, 0))-INDEX('UZ-normalized'!$E:$E, MATCH($A63, 'UZ-normalized'!$A:$A, 0))), 0), 0)))</f>
        <v>0</v>
      </c>
      <c r="W63" s="6">
        <f>MIN(0, N63+(IFERROR(IF(9*INDEX('UA-normalized'!$D:$D, MATCH($A63, 'UA-normalized'!$A:$A, 0))-INDEX('UA-normalized'!$E:$E, MATCH($A63, 'UA-normalized'!$A:$A, 0))&gt;0, -(9*INDEX('UA-normalized'!$D:$D, MATCH($A63, 'UA-normalized'!$A:$A, 0))-INDEX('UA-normalized'!$E:$E, MATCH($A63, 'UA-normalized'!$A:$A, 0))), 0), 0))+(IFERROR(IF(9*INDEX('KZ-normalized'!$D:$D, MATCH($A63, 'KZ-normalized'!$A:$A, 0))-INDEX('KZ-normalized'!$E:$E, MATCH($A63, 'KZ-normalized'!$A:$A, 0))&gt;0, -(9*INDEX('KZ-normalized'!$D:$D, MATCH($A63, 'KZ-normalized'!$A:$A, 0))-INDEX('KZ-normalized'!$E:$E, MATCH($A63, 'KZ-normalized'!$A:$A, 0))), 0), 0))+(IFERROR(IF(9*INDEX('UZ-normalized'!$D:$D, MATCH($A63, 'UZ-normalized'!$A:$A, 0))-INDEX('UZ-normalized'!$E:$E, MATCH($A63, 'UZ-normalized'!$A:$A, 0))&gt;0, -(9*INDEX('UZ-normalized'!$D:$D, MATCH($A63, 'UZ-normalized'!$A:$A, 0))-INDEX('UZ-normalized'!$E:$E, MATCH($A63, 'UZ-normalized'!$A:$A, 0))), 0), 0)))</f>
        <v>0</v>
      </c>
      <c r="X63" s="6">
        <f>MIN(0, N63+(IFERROR(IF(10*INDEX('UA-normalized'!$D:$D, MATCH($A63, 'UA-normalized'!$A:$A, 0))-INDEX('UA-normalized'!$E:$E, MATCH($A63, 'UA-normalized'!$A:$A, 0))&gt;0, -(10*INDEX('UA-normalized'!$D:$D, MATCH($A63, 'UA-normalized'!$A:$A, 0))-INDEX('UA-normalized'!$E:$E, MATCH($A63, 'UA-normalized'!$A:$A, 0))), 0), 0))+(IFERROR(IF(10*INDEX('KZ-normalized'!$D:$D, MATCH($A63, 'KZ-normalized'!$A:$A, 0))-INDEX('KZ-normalized'!$E:$E, MATCH($A63, 'KZ-normalized'!$A:$A, 0))&gt;0, -(10*INDEX('KZ-normalized'!$D:$D, MATCH($A63, 'KZ-normalized'!$A:$A, 0))-INDEX('KZ-normalized'!$E:$E, MATCH($A63, 'KZ-normalized'!$A:$A, 0))), 0), 0))+(IFERROR(IF(10*INDEX('UZ-normalized'!$D:$D, MATCH($A63, 'UZ-normalized'!$A:$A, 0))-INDEX('UZ-normalized'!$E:$E, MATCH($A63, 'UZ-normalized'!$A:$A, 0))&gt;0, -(10*INDEX('UZ-normalized'!$D:$D, MATCH($A63, 'UZ-normalized'!$A:$A, 0))-INDEX('UZ-normalized'!$E:$E, MATCH($A63, 'UZ-normalized'!$A:$A, 0))), 0), 0)))</f>
        <v>0</v>
      </c>
      <c r="Y63" s="6">
        <f>MIN(0, N63+(IFERROR(IF(11*INDEX('UA-normalized'!$D:$D, MATCH($A63, 'UA-normalized'!$A:$A, 0))-INDEX('UA-normalized'!$E:$E, MATCH($A63, 'UA-normalized'!$A:$A, 0))&gt;0, -(11*INDEX('UA-normalized'!$D:$D, MATCH($A63, 'UA-normalized'!$A:$A, 0))-INDEX('UA-normalized'!$E:$E, MATCH($A63, 'UA-normalized'!$A:$A, 0))), 0), 0))+(IFERROR(IF(11*INDEX('KZ-normalized'!$D:$D, MATCH($A63, 'KZ-normalized'!$A:$A, 0))-INDEX('KZ-normalized'!$E:$E, MATCH($A63, 'KZ-normalized'!$A:$A, 0))&gt;0, -(11*INDEX('KZ-normalized'!$D:$D, MATCH($A63, 'KZ-normalized'!$A:$A, 0))-INDEX('KZ-normalized'!$E:$E, MATCH($A63, 'KZ-normalized'!$A:$A, 0))), 0), 0))+(IFERROR(IF(11*INDEX('UZ-normalized'!$D:$D, MATCH($A63, 'UZ-normalized'!$A:$A, 0))-INDEX('UZ-normalized'!$E:$E, MATCH($A63, 'UZ-normalized'!$A:$A, 0))&gt;0, -(11*INDEX('UZ-normalized'!$D:$D, MATCH($A63, 'UZ-normalized'!$A:$A, 0))-INDEX('UZ-normalized'!$E:$E, MATCH($A63, 'UZ-normalized'!$A:$A, 0))), 0), 0)))</f>
        <v>0</v>
      </c>
      <c r="Z63" s="6">
        <f>MIN(0, N63+(IFERROR(IF(12*INDEX('UA-normalized'!$D:$D, MATCH($A63, 'UA-normalized'!$A:$A, 0))-INDEX('UA-normalized'!$E:$E, MATCH($A63, 'UA-normalized'!$A:$A, 0))&gt;0, -(12*INDEX('UA-normalized'!$D:$D, MATCH($A63, 'UA-normalized'!$A:$A, 0))-INDEX('UA-normalized'!$E:$E, MATCH($A63, 'UA-normalized'!$A:$A, 0))), 0), 0))+(IFERROR(IF(12*INDEX('KZ-normalized'!$D:$D, MATCH($A63, 'KZ-normalized'!$A:$A, 0))-INDEX('KZ-normalized'!$E:$E, MATCH($A63, 'KZ-normalized'!$A:$A, 0))&gt;0, -(12*INDEX('KZ-normalized'!$D:$D, MATCH($A63, 'KZ-normalized'!$A:$A, 0))-INDEX('KZ-normalized'!$E:$E, MATCH($A63, 'KZ-normalized'!$A:$A, 0))), 0), 0))+(IFERROR(IF(12*INDEX('UZ-normalized'!$D:$D, MATCH($A63, 'UZ-normalized'!$A:$A, 0))-INDEX('UZ-normalized'!$E:$E, MATCH($A63, 'UZ-normalized'!$A:$A, 0))&gt;0, -(12*INDEX('UZ-normalized'!$D:$D, MATCH($A63, 'UZ-normalized'!$A:$A, 0))-INDEX('UZ-normalized'!$E:$E, MATCH($A63, 'UZ-normalized'!$A:$A, 0))), 0), 0)))</f>
        <v>0</v>
      </c>
      <c r="AA63" s="6">
        <f>MIN(0, N63+(IFERROR(IF(13*INDEX('UA-normalized'!$D:$D, MATCH($A63, 'UA-normalized'!$A:$A, 0))-INDEX('UA-normalized'!$E:$E, MATCH($A63, 'UA-normalized'!$A:$A, 0))&gt;0, -(13*INDEX('UA-normalized'!$D:$D, MATCH($A63, 'UA-normalized'!$A:$A, 0))-INDEX('UA-normalized'!$E:$E, MATCH($A63, 'UA-normalized'!$A:$A, 0))), 0), 0))+(IFERROR(IF(13*INDEX('KZ-normalized'!$D:$D, MATCH($A63, 'KZ-normalized'!$A:$A, 0))-INDEX('KZ-normalized'!$E:$E, MATCH($A63, 'KZ-normalized'!$A:$A, 0))&gt;0, -(13*INDEX('KZ-normalized'!$D:$D, MATCH($A63, 'KZ-normalized'!$A:$A, 0))-INDEX('KZ-normalized'!$E:$E, MATCH($A63, 'KZ-normalized'!$A:$A, 0))), 0), 0))+(IFERROR(IF(13*INDEX('UZ-normalized'!$D:$D, MATCH($A63, 'UZ-normalized'!$A:$A, 0))-INDEX('UZ-normalized'!$E:$E, MATCH($A63, 'UZ-normalized'!$A:$A, 0))&gt;0, -(13*INDEX('UZ-normalized'!$D:$D, MATCH($A63, 'UZ-normalized'!$A:$A, 0))-INDEX('UZ-normalized'!$E:$E, MATCH($A63, 'UZ-normalized'!$A:$A, 0))), 0), 0)))</f>
        <v>0</v>
      </c>
      <c r="AB63" s="6">
        <f>MIN(0, N63+(IFERROR(IF(14*INDEX('UA-normalized'!$D:$D, MATCH($A63, 'UA-normalized'!$A:$A, 0))-INDEX('UA-normalized'!$E:$E, MATCH($A63, 'UA-normalized'!$A:$A, 0))&gt;0, -(14*INDEX('UA-normalized'!$D:$D, MATCH($A63, 'UA-normalized'!$A:$A, 0))-INDEX('UA-normalized'!$E:$E, MATCH($A63, 'UA-normalized'!$A:$A, 0))), 0), 0))+(IFERROR(IF(14*INDEX('KZ-normalized'!$D:$D, MATCH($A63, 'KZ-normalized'!$A:$A, 0))-INDEX('KZ-normalized'!$E:$E, MATCH($A63, 'KZ-normalized'!$A:$A, 0))&gt;0, -(14*INDEX('KZ-normalized'!$D:$D, MATCH($A63, 'KZ-normalized'!$A:$A, 0))-INDEX('KZ-normalized'!$E:$E, MATCH($A63, 'KZ-normalized'!$A:$A, 0))), 0), 0))+(IFERROR(IF(14*INDEX('UZ-normalized'!$D:$D, MATCH($A63, 'UZ-normalized'!$A:$A, 0))-INDEX('UZ-normalized'!$E:$E, MATCH($A63, 'UZ-normalized'!$A:$A, 0))&gt;0, -(14*INDEX('UZ-normalized'!$D:$D, MATCH($A63, 'UZ-normalized'!$A:$A, 0))-INDEX('UZ-normalized'!$E:$E, MATCH($A63, 'UZ-normalized'!$A:$A, 0))), 0), 0)))</f>
        <v>0</v>
      </c>
      <c r="AC63" s="6">
        <f>MIN(0, N63+(IFERROR(IF(15*INDEX('UA-normalized'!$D:$D, MATCH($A63, 'UA-normalized'!$A:$A, 0))-INDEX('UA-normalized'!$E:$E, MATCH($A63, 'UA-normalized'!$A:$A, 0))&gt;0, -(15*INDEX('UA-normalized'!$D:$D, MATCH($A63, 'UA-normalized'!$A:$A, 0))-INDEX('UA-normalized'!$E:$E, MATCH($A63, 'UA-normalized'!$A:$A, 0))), 0), 0))+(IFERROR(IF(15*INDEX('KZ-normalized'!$D:$D, MATCH($A63, 'KZ-normalized'!$A:$A, 0))-INDEX('KZ-normalized'!$E:$E, MATCH($A63, 'KZ-normalized'!$A:$A, 0))&gt;0, -(15*INDEX('KZ-normalized'!$D:$D, MATCH($A63, 'KZ-normalized'!$A:$A, 0))-INDEX('KZ-normalized'!$E:$E, MATCH($A63, 'KZ-normalized'!$A:$A, 0))), 0), 0))+(IFERROR(IF(15*INDEX('UZ-normalized'!$D:$D, MATCH($A63, 'UZ-normalized'!$A:$A, 0))-INDEX('UZ-normalized'!$E:$E, MATCH($A63, 'UZ-normalized'!$A:$A, 0))&gt;0, -(15*INDEX('UZ-normalized'!$D:$D, MATCH($A63, 'UZ-normalized'!$A:$A, 0))-INDEX('UZ-normalized'!$E:$E, MATCH($A63, 'UZ-normalized'!$A:$A, 0))), 0), 0)))</f>
        <v>0</v>
      </c>
      <c r="AD63" s="6">
        <f>MIN(0, N63+(IFERROR(IF(16*INDEX('UA-normalized'!$D:$D, MATCH($A63, 'UA-normalized'!$A:$A, 0))-INDEX('UA-normalized'!$E:$E, MATCH($A63, 'UA-normalized'!$A:$A, 0))&gt;0, -(16*INDEX('UA-normalized'!$D:$D, MATCH($A63, 'UA-normalized'!$A:$A, 0))-INDEX('UA-normalized'!$E:$E, MATCH($A63, 'UA-normalized'!$A:$A, 0))), 0), 0))+(IFERROR(IF(16*INDEX('KZ-normalized'!$D:$D, MATCH($A63, 'KZ-normalized'!$A:$A, 0))-INDEX('KZ-normalized'!$E:$E, MATCH($A63, 'KZ-normalized'!$A:$A, 0))&gt;0, -(16*INDEX('KZ-normalized'!$D:$D, MATCH($A63, 'KZ-normalized'!$A:$A, 0))-INDEX('KZ-normalized'!$E:$E, MATCH($A63, 'KZ-normalized'!$A:$A, 0))), 0), 0))+(IFERROR(IF(16*INDEX('UZ-normalized'!$D:$D, MATCH($A63, 'UZ-normalized'!$A:$A, 0))-INDEX('UZ-normalized'!$E:$E, MATCH($A63, 'UZ-normalized'!$A:$A, 0))&gt;0, -(16*INDEX('UZ-normalized'!$D:$D, MATCH($A63, 'UZ-normalized'!$A:$A, 0))-INDEX('UZ-normalized'!$E:$E, MATCH($A63, 'UZ-normalized'!$A:$A, 0))), 0), 0)))</f>
        <v>0</v>
      </c>
      <c r="AE63" s="6">
        <f>MIN(0, N63+(IFERROR(IF(17*INDEX('UA-normalized'!$D:$D, MATCH($A63, 'UA-normalized'!$A:$A, 0))-INDEX('UA-normalized'!$E:$E, MATCH($A63, 'UA-normalized'!$A:$A, 0))&gt;0, -(17*INDEX('UA-normalized'!$D:$D, MATCH($A63, 'UA-normalized'!$A:$A, 0))-INDEX('UA-normalized'!$E:$E, MATCH($A63, 'UA-normalized'!$A:$A, 0))), 0), 0))+(IFERROR(IF(17*INDEX('KZ-normalized'!$D:$D, MATCH($A63, 'KZ-normalized'!$A:$A, 0))-INDEX('KZ-normalized'!$E:$E, MATCH($A63, 'KZ-normalized'!$A:$A, 0))&gt;0, -(17*INDEX('KZ-normalized'!$D:$D, MATCH($A63, 'KZ-normalized'!$A:$A, 0))-INDEX('KZ-normalized'!$E:$E, MATCH($A63, 'KZ-normalized'!$A:$A, 0))), 0), 0))+(IFERROR(IF(17*INDEX('UZ-normalized'!$D:$D, MATCH($A63, 'UZ-normalized'!$A:$A, 0))-INDEX('UZ-normalized'!$E:$E, MATCH($A63, 'UZ-normalized'!$A:$A, 0))&gt;0, -(17*INDEX('UZ-normalized'!$D:$D, MATCH($A63, 'UZ-normalized'!$A:$A, 0))-INDEX('UZ-normalized'!$E:$E, MATCH($A63, 'UZ-normalized'!$A:$A, 0))), 0), 0)))</f>
        <v>0</v>
      </c>
      <c r="AF63" s="6">
        <f>MIN(0, N63+(IFERROR(IF(18*INDEX('UA-normalized'!$D:$D, MATCH($A63, 'UA-normalized'!$A:$A, 0))-INDEX('UA-normalized'!$E:$E, MATCH($A63, 'UA-normalized'!$A:$A, 0))&gt;0, -(18*INDEX('UA-normalized'!$D:$D, MATCH($A63, 'UA-normalized'!$A:$A, 0))-INDEX('UA-normalized'!$E:$E, MATCH($A63, 'UA-normalized'!$A:$A, 0))), 0), 0))+(IFERROR(IF(18*INDEX('KZ-normalized'!$D:$D, MATCH($A63, 'KZ-normalized'!$A:$A, 0))-INDEX('KZ-normalized'!$E:$E, MATCH($A63, 'KZ-normalized'!$A:$A, 0))&gt;0, -(18*INDEX('KZ-normalized'!$D:$D, MATCH($A63, 'KZ-normalized'!$A:$A, 0))-INDEX('KZ-normalized'!$E:$E, MATCH($A63, 'KZ-normalized'!$A:$A, 0))), 0), 0))+(IFERROR(IF(18*INDEX('UZ-normalized'!$D:$D, MATCH($A63, 'UZ-normalized'!$A:$A, 0))-INDEX('UZ-normalized'!$E:$E, MATCH($A63, 'UZ-normalized'!$A:$A, 0))&gt;0, -(18*INDEX('UZ-normalized'!$D:$D, MATCH($A63, 'UZ-normalized'!$A:$A, 0))-INDEX('UZ-normalized'!$E:$E, MATCH($A63, 'UZ-normalized'!$A:$A, 0))), 0), 0)))</f>
        <v>0</v>
      </c>
      <c r="AG63" s="6">
        <f>MIN(0, N63+(IFERROR(IF(19*INDEX('UA-normalized'!$D:$D, MATCH($A63, 'UA-normalized'!$A:$A, 0))-INDEX('UA-normalized'!$E:$E, MATCH($A63, 'UA-normalized'!$A:$A, 0))&gt;0, -(19*INDEX('UA-normalized'!$D:$D, MATCH($A63, 'UA-normalized'!$A:$A, 0))-INDEX('UA-normalized'!$E:$E, MATCH($A63, 'UA-normalized'!$A:$A, 0))), 0), 0))+(IFERROR(IF(19*INDEX('KZ-normalized'!$D:$D, MATCH($A63, 'KZ-normalized'!$A:$A, 0))-INDEX('KZ-normalized'!$E:$E, MATCH($A63, 'KZ-normalized'!$A:$A, 0))&gt;0, -(19*INDEX('KZ-normalized'!$D:$D, MATCH($A63, 'KZ-normalized'!$A:$A, 0))-INDEX('KZ-normalized'!$E:$E, MATCH($A63, 'KZ-normalized'!$A:$A, 0))), 0), 0))+(IFERROR(IF(19*INDEX('UZ-normalized'!$D:$D, MATCH($A63, 'UZ-normalized'!$A:$A, 0))-INDEX('UZ-normalized'!$E:$E, MATCH($A63, 'UZ-normalized'!$A:$A, 0))&gt;0, -(19*INDEX('UZ-normalized'!$D:$D, MATCH($A63, 'UZ-normalized'!$A:$A, 0))-INDEX('UZ-normalized'!$E:$E, MATCH($A63, 'UZ-normalized'!$A:$A, 0))), 0), 0)))</f>
        <v>0</v>
      </c>
      <c r="AH63" s="6">
        <f>MIN(0, N63+(IFERROR(IF(20*INDEX('UA-normalized'!$D:$D, MATCH($A63, 'UA-normalized'!$A:$A, 0))-INDEX('UA-normalized'!$E:$E, MATCH($A63, 'UA-normalized'!$A:$A, 0))&gt;0, -(20*INDEX('UA-normalized'!$D:$D, MATCH($A63, 'UA-normalized'!$A:$A, 0))-INDEX('UA-normalized'!$E:$E, MATCH($A63, 'UA-normalized'!$A:$A, 0))), 0), 0))+(IFERROR(IF(20*INDEX('KZ-normalized'!$D:$D, MATCH($A63, 'KZ-normalized'!$A:$A, 0))-INDEX('KZ-normalized'!$E:$E, MATCH($A63, 'KZ-normalized'!$A:$A, 0))&gt;0, -(20*INDEX('KZ-normalized'!$D:$D, MATCH($A63, 'KZ-normalized'!$A:$A, 0))-INDEX('KZ-normalized'!$E:$E, MATCH($A63, 'KZ-normalized'!$A:$A, 0))), 0), 0))+(IFERROR(IF(20*INDEX('UZ-normalized'!$D:$D, MATCH($A63, 'UZ-normalized'!$A:$A, 0))-INDEX('UZ-normalized'!$E:$E, MATCH($A63, 'UZ-normalized'!$A:$A, 0))&gt;0, -(20*INDEX('UZ-normalized'!$D:$D, MATCH($A63, 'UZ-normalized'!$A:$A, 0))-INDEX('UZ-normalized'!$E:$E, MATCH($A63, 'UZ-normalized'!$A:$A, 0))), 0), 0)))</f>
        <v>0</v>
      </c>
      <c r="AI63" s="6">
        <f>MIN(0, N63+(IFERROR(IF(21*INDEX('UA-normalized'!$D:$D, MATCH($A63, 'UA-normalized'!$A:$A, 0))-INDEX('UA-normalized'!$E:$E, MATCH($A63, 'UA-normalized'!$A:$A, 0))&gt;0, -(21*INDEX('UA-normalized'!$D:$D, MATCH($A63, 'UA-normalized'!$A:$A, 0))-INDEX('UA-normalized'!$E:$E, MATCH($A63, 'UA-normalized'!$A:$A, 0))), 0), 0))+(IFERROR(IF(21*INDEX('KZ-normalized'!$D:$D, MATCH($A63, 'KZ-normalized'!$A:$A, 0))-INDEX('KZ-normalized'!$E:$E, MATCH($A63, 'KZ-normalized'!$A:$A, 0))&gt;0, -(21*INDEX('KZ-normalized'!$D:$D, MATCH($A63, 'KZ-normalized'!$A:$A, 0))-INDEX('KZ-normalized'!$E:$E, MATCH($A63, 'KZ-normalized'!$A:$A, 0))), 0), 0))+(IFERROR(IF(21*INDEX('UZ-normalized'!$D:$D, MATCH($A63, 'UZ-normalized'!$A:$A, 0))-INDEX('UZ-normalized'!$E:$E, MATCH($A63, 'UZ-normalized'!$A:$A, 0))&gt;0, -(21*INDEX('UZ-normalized'!$D:$D, MATCH($A63, 'UZ-normalized'!$A:$A, 0))-INDEX('UZ-normalized'!$E:$E, MATCH($A63, 'UZ-normalized'!$A:$A, 0))), 0), 0)))</f>
        <v>0</v>
      </c>
      <c r="AJ63" s="6">
        <f>MIN(0, N63+(IFERROR(IF(22*INDEX('UA-normalized'!$D:$D, MATCH($A63, 'UA-normalized'!$A:$A, 0))-INDEX('UA-normalized'!$E:$E, MATCH($A63, 'UA-normalized'!$A:$A, 0))&gt;0, -(22*INDEX('UA-normalized'!$D:$D, MATCH($A63, 'UA-normalized'!$A:$A, 0))-INDEX('UA-normalized'!$E:$E, MATCH($A63, 'UA-normalized'!$A:$A, 0))), 0), 0))+(IFERROR(IF(22*INDEX('KZ-normalized'!$D:$D, MATCH($A63, 'KZ-normalized'!$A:$A, 0))-INDEX('KZ-normalized'!$E:$E, MATCH($A63, 'KZ-normalized'!$A:$A, 0))&gt;0, -(22*INDEX('KZ-normalized'!$D:$D, MATCH($A63, 'KZ-normalized'!$A:$A, 0))-INDEX('KZ-normalized'!$E:$E, MATCH($A63, 'KZ-normalized'!$A:$A, 0))), 0), 0))+(IFERROR(IF(22*INDEX('UZ-normalized'!$D:$D, MATCH($A63, 'UZ-normalized'!$A:$A, 0))-INDEX('UZ-normalized'!$E:$E, MATCH($A63, 'UZ-normalized'!$A:$A, 0))&gt;0, -(22*INDEX('UZ-normalized'!$D:$D, MATCH($A63, 'UZ-normalized'!$A:$A, 0))-INDEX('UZ-normalized'!$E:$E, MATCH($A63, 'UZ-normalized'!$A:$A, 0))), 0), 0)))</f>
        <v>0</v>
      </c>
      <c r="AK63" s="6">
        <f>MIN(0, N63+(IFERROR(IF(23*INDEX('UA-normalized'!$D:$D, MATCH($A63, 'UA-normalized'!$A:$A, 0))-INDEX('UA-normalized'!$E:$E, MATCH($A63, 'UA-normalized'!$A:$A, 0))&gt;0, -(23*INDEX('UA-normalized'!$D:$D, MATCH($A63, 'UA-normalized'!$A:$A, 0))-INDEX('UA-normalized'!$E:$E, MATCH($A63, 'UA-normalized'!$A:$A, 0))), 0), 0))+(IFERROR(IF(23*INDEX('KZ-normalized'!$D:$D, MATCH($A63, 'KZ-normalized'!$A:$A, 0))-INDEX('KZ-normalized'!$E:$E, MATCH($A63, 'KZ-normalized'!$A:$A, 0))&gt;0, -(23*INDEX('KZ-normalized'!$D:$D, MATCH($A63, 'KZ-normalized'!$A:$A, 0))-INDEX('KZ-normalized'!$E:$E, MATCH($A63, 'KZ-normalized'!$A:$A, 0))), 0), 0))+(IFERROR(IF(23*INDEX('UZ-normalized'!$D:$D, MATCH($A63, 'UZ-normalized'!$A:$A, 0))-INDEX('UZ-normalized'!$E:$E, MATCH($A63, 'UZ-normalized'!$A:$A, 0))&gt;0, -(23*INDEX('UZ-normalized'!$D:$D, MATCH($A63, 'UZ-normalized'!$A:$A, 0))-INDEX('UZ-normalized'!$E:$E, MATCH($A63, 'UZ-normalized'!$A:$A, 0))), 0), 0)))</f>
        <v>0</v>
      </c>
      <c r="AL63" s="6">
        <f>MIN(0, N63+(IFERROR(IF(24*INDEX('UA-normalized'!$D:$D, MATCH($A63, 'UA-normalized'!$A:$A, 0))-INDEX('UA-normalized'!$E:$E, MATCH($A63, 'UA-normalized'!$A:$A, 0))&gt;0, -(24*INDEX('UA-normalized'!$D:$D, MATCH($A63, 'UA-normalized'!$A:$A, 0))-INDEX('UA-normalized'!$E:$E, MATCH($A63, 'UA-normalized'!$A:$A, 0))), 0), 0))+(IFERROR(IF(24*INDEX('KZ-normalized'!$D:$D, MATCH($A63, 'KZ-normalized'!$A:$A, 0))-INDEX('KZ-normalized'!$E:$E, MATCH($A63, 'KZ-normalized'!$A:$A, 0))&gt;0, -(24*INDEX('KZ-normalized'!$D:$D, MATCH($A63, 'KZ-normalized'!$A:$A, 0))-INDEX('KZ-normalized'!$E:$E, MATCH($A63, 'KZ-normalized'!$A:$A, 0))), 0), 0))+(IFERROR(IF(24*INDEX('UZ-normalized'!$D:$D, MATCH($A63, 'UZ-normalized'!$A:$A, 0))-INDEX('UZ-normalized'!$E:$E, MATCH($A63, 'UZ-normalized'!$A:$A, 0))&gt;0, -(24*INDEX('UZ-normalized'!$D:$D, MATCH($A63, 'UZ-normalized'!$A:$A, 0))-INDEX('UZ-normalized'!$E:$E, MATCH($A63, 'UZ-normalized'!$A:$A, 0))), 0), 0)))</f>
        <v>0</v>
      </c>
      <c r="AM63" s="6">
        <f>MIN(0, N63+(IFERROR(IF(25*INDEX('UA-normalized'!$D:$D, MATCH($A63, 'UA-normalized'!$A:$A, 0))-INDEX('UA-normalized'!$E:$E, MATCH($A63, 'UA-normalized'!$A:$A, 0))&gt;0, -(25*INDEX('UA-normalized'!$D:$D, MATCH($A63, 'UA-normalized'!$A:$A, 0))-INDEX('UA-normalized'!$E:$E, MATCH($A63, 'UA-normalized'!$A:$A, 0))), 0), 0))+(IFERROR(IF(25*INDEX('KZ-normalized'!$D:$D, MATCH($A63, 'KZ-normalized'!$A:$A, 0))-INDEX('KZ-normalized'!$E:$E, MATCH($A63, 'KZ-normalized'!$A:$A, 0))&gt;0, -(25*INDEX('KZ-normalized'!$D:$D, MATCH($A63, 'KZ-normalized'!$A:$A, 0))-INDEX('KZ-normalized'!$E:$E, MATCH($A63, 'KZ-normalized'!$A:$A, 0))), 0), 0))+(IFERROR(IF(25*INDEX('UZ-normalized'!$D:$D, MATCH($A63, 'UZ-normalized'!$A:$A, 0))-INDEX('UZ-normalized'!$E:$E, MATCH($A63, 'UZ-normalized'!$A:$A, 0))&gt;0, -(25*INDEX('UZ-normalized'!$D:$D, MATCH($A63, 'UZ-normalized'!$A:$A, 0))-INDEX('UZ-normalized'!$E:$E, MATCH($A63, 'UZ-normalized'!$A:$A, 0))), 0), 0)))</f>
        <v>0</v>
      </c>
      <c r="AN63" s="6">
        <f>MIN(0, N63+(IFERROR(IF(26*INDEX('UA-normalized'!$D:$D, MATCH($A63, 'UA-normalized'!$A:$A, 0))-INDEX('UA-normalized'!$E:$E, MATCH($A63, 'UA-normalized'!$A:$A, 0))&gt;0, -(26*INDEX('UA-normalized'!$D:$D, MATCH($A63, 'UA-normalized'!$A:$A, 0))-INDEX('UA-normalized'!$E:$E, MATCH($A63, 'UA-normalized'!$A:$A, 0))), 0), 0))+(IFERROR(IF(26*INDEX('KZ-normalized'!$D:$D, MATCH($A63, 'KZ-normalized'!$A:$A, 0))-INDEX('KZ-normalized'!$E:$E, MATCH($A63, 'KZ-normalized'!$A:$A, 0))&gt;0, -(26*INDEX('KZ-normalized'!$D:$D, MATCH($A63, 'KZ-normalized'!$A:$A, 0))-INDEX('KZ-normalized'!$E:$E, MATCH($A63, 'KZ-normalized'!$A:$A, 0))), 0), 0))+(IFERROR(IF(26*INDEX('UZ-normalized'!$D:$D, MATCH($A63, 'UZ-normalized'!$A:$A, 0))-INDEX('UZ-normalized'!$E:$E, MATCH($A63, 'UZ-normalized'!$A:$A, 0))&gt;0, -(26*INDEX('UZ-normalized'!$D:$D, MATCH($A63, 'UZ-normalized'!$A:$A, 0))-INDEX('UZ-normalized'!$E:$E, MATCH($A63, 'UZ-normalized'!$A:$A, 0))), 0), 0)))</f>
        <v>0</v>
      </c>
      <c r="AO63" s="6">
        <f>MIN(0, N63+(IFERROR(IF(27*INDEX('UA-normalized'!$D:$D, MATCH($A63, 'UA-normalized'!$A:$A, 0))-INDEX('UA-normalized'!$E:$E, MATCH($A63, 'UA-normalized'!$A:$A, 0))&gt;0, -(27*INDEX('UA-normalized'!$D:$D, MATCH($A63, 'UA-normalized'!$A:$A, 0))-INDEX('UA-normalized'!$E:$E, MATCH($A63, 'UA-normalized'!$A:$A, 0))), 0), 0))+(IFERROR(IF(27*INDEX('KZ-normalized'!$D:$D, MATCH($A63, 'KZ-normalized'!$A:$A, 0))-INDEX('KZ-normalized'!$E:$E, MATCH($A63, 'KZ-normalized'!$A:$A, 0))&gt;0, -(27*INDEX('KZ-normalized'!$D:$D, MATCH($A63, 'KZ-normalized'!$A:$A, 0))-INDEX('KZ-normalized'!$E:$E, MATCH($A63, 'KZ-normalized'!$A:$A, 0))), 0), 0))+(IFERROR(IF(27*INDEX('UZ-normalized'!$D:$D, MATCH($A63, 'UZ-normalized'!$A:$A, 0))-INDEX('UZ-normalized'!$E:$E, MATCH($A63, 'UZ-normalized'!$A:$A, 0))&gt;0, -(27*INDEX('UZ-normalized'!$D:$D, MATCH($A63, 'UZ-normalized'!$A:$A, 0))-INDEX('UZ-normalized'!$E:$E, MATCH($A63, 'UZ-normalized'!$A:$A, 0))), 0), 0)))</f>
        <v>0</v>
      </c>
      <c r="AP63" s="6">
        <f>MIN(0, N63+(IFERROR(IF(28*INDEX('UA-normalized'!$D:$D, MATCH($A63, 'UA-normalized'!$A:$A, 0))-INDEX('UA-normalized'!$E:$E, MATCH($A63, 'UA-normalized'!$A:$A, 0))&gt;0, -(28*INDEX('UA-normalized'!$D:$D, MATCH($A63, 'UA-normalized'!$A:$A, 0))-INDEX('UA-normalized'!$E:$E, MATCH($A63, 'UA-normalized'!$A:$A, 0))), 0), 0))+(IFERROR(IF(28*INDEX('KZ-normalized'!$D:$D, MATCH($A63, 'KZ-normalized'!$A:$A, 0))-INDEX('KZ-normalized'!$E:$E, MATCH($A63, 'KZ-normalized'!$A:$A, 0))&gt;0, -(28*INDEX('KZ-normalized'!$D:$D, MATCH($A63, 'KZ-normalized'!$A:$A, 0))-INDEX('KZ-normalized'!$E:$E, MATCH($A63, 'KZ-normalized'!$A:$A, 0))), 0), 0))+(IFERROR(IF(28*INDEX('UZ-normalized'!$D:$D, MATCH($A63, 'UZ-normalized'!$A:$A, 0))-INDEX('UZ-normalized'!$E:$E, MATCH($A63, 'UZ-normalized'!$A:$A, 0))&gt;0, -(28*INDEX('UZ-normalized'!$D:$D, MATCH($A63, 'UZ-normalized'!$A:$A, 0))-INDEX('UZ-normalized'!$E:$E, MATCH($A63, 'UZ-normalized'!$A:$A, 0))), 0), 0)))</f>
        <v>0</v>
      </c>
      <c r="AQ63" s="6">
        <f>MIN(0, N63+(IFERROR(IF(29*INDEX('UA-normalized'!$D:$D, MATCH($A63, 'UA-normalized'!$A:$A, 0))-INDEX('UA-normalized'!$E:$E, MATCH($A63, 'UA-normalized'!$A:$A, 0))&gt;0, -(29*INDEX('UA-normalized'!$D:$D, MATCH($A63, 'UA-normalized'!$A:$A, 0))-INDEX('UA-normalized'!$E:$E, MATCH($A63, 'UA-normalized'!$A:$A, 0))), 0), 0))+(IFERROR(IF(29*INDEX('KZ-normalized'!$D:$D, MATCH($A63, 'KZ-normalized'!$A:$A, 0))-INDEX('KZ-normalized'!$E:$E, MATCH($A63, 'KZ-normalized'!$A:$A, 0))&gt;0, -(29*INDEX('KZ-normalized'!$D:$D, MATCH($A63, 'KZ-normalized'!$A:$A, 0))-INDEX('KZ-normalized'!$E:$E, MATCH($A63, 'KZ-normalized'!$A:$A, 0))), 0), 0))+(IFERROR(IF(29*INDEX('UZ-normalized'!$D:$D, MATCH($A63, 'UZ-normalized'!$A:$A, 0))-INDEX('UZ-normalized'!$E:$E, MATCH($A63, 'UZ-normalized'!$A:$A, 0))&gt;0, -(29*INDEX('UZ-normalized'!$D:$D, MATCH($A63, 'UZ-normalized'!$A:$A, 0))-INDEX('UZ-normalized'!$E:$E, MATCH($A63, 'UZ-normalized'!$A:$A, 0))), 0), 0)))</f>
        <v>0</v>
      </c>
      <c r="AR63" s="6">
        <f>MIN(0, N63+(IFERROR(IF(30*INDEX('UA-normalized'!$D:$D, MATCH($A63, 'UA-normalized'!$A:$A, 0))-INDEX('UA-normalized'!$E:$E, MATCH($A63, 'UA-normalized'!$A:$A, 0))&gt;0, -(30*INDEX('UA-normalized'!$D:$D, MATCH($A63, 'UA-normalized'!$A:$A, 0))-INDEX('UA-normalized'!$E:$E, MATCH($A63, 'UA-normalized'!$A:$A, 0))), 0), 0))+(IFERROR(IF(30*INDEX('KZ-normalized'!$D:$D, MATCH($A63, 'KZ-normalized'!$A:$A, 0))-INDEX('KZ-normalized'!$E:$E, MATCH($A63, 'KZ-normalized'!$A:$A, 0))&gt;0, -(30*INDEX('KZ-normalized'!$D:$D, MATCH($A63, 'KZ-normalized'!$A:$A, 0))-INDEX('KZ-normalized'!$E:$E, MATCH($A63, 'KZ-normalized'!$A:$A, 0))), 0), 0))+(IFERROR(IF(30*INDEX('UZ-normalized'!$D:$D, MATCH($A63, 'UZ-normalized'!$A:$A, 0))-INDEX('UZ-normalized'!$E:$E, MATCH($A63, 'UZ-normalized'!$A:$A, 0))&gt;0, -(30*INDEX('UZ-normalized'!$D:$D, MATCH($A63, 'UZ-normalized'!$A:$A, 0))-INDEX('UZ-normalized'!$E:$E, MATCH($A63, 'UZ-normalized'!$A:$A, 0))), 0), 0)))</f>
        <v>0</v>
      </c>
    </row>
    <row r="64" spans="1:44" x14ac:dyDescent="0.25">
      <c r="A64" s="8" t="s">
        <v>176</v>
      </c>
      <c r="B64" s="8" t="s">
        <v>166</v>
      </c>
      <c r="C64" s="8" t="s">
        <v>174</v>
      </c>
      <c r="D64" s="8" t="s">
        <v>175</v>
      </c>
      <c r="N64">
        <f t="shared" si="0"/>
        <v>0</v>
      </c>
      <c r="O64" s="6">
        <f>MIN(0, N64+(IFERROR(IF(1*INDEX('UA-normalized'!$D:$D, MATCH($A64, 'UA-normalized'!$A:$A, 0))-INDEX('UA-normalized'!$E:$E, MATCH($A64, 'UA-normalized'!$A:$A, 0))&gt;0, -(1*INDEX('UA-normalized'!$D:$D, MATCH($A64, 'UA-normalized'!$A:$A, 0))-INDEX('UA-normalized'!$E:$E, MATCH($A64, 'UA-normalized'!$A:$A, 0))), 0), 0))+(IFERROR(IF(1*INDEX('KZ-normalized'!$D:$D, MATCH($A64, 'KZ-normalized'!$A:$A, 0))-INDEX('KZ-normalized'!$E:$E, MATCH($A64, 'KZ-normalized'!$A:$A, 0))&gt;0, -(1*INDEX('KZ-normalized'!$D:$D, MATCH($A64, 'KZ-normalized'!$A:$A, 0))-INDEX('KZ-normalized'!$E:$E, MATCH($A64, 'KZ-normalized'!$A:$A, 0))), 0), 0))+(IFERROR(IF(1*INDEX('UZ-normalized'!$D:$D, MATCH($A64, 'UZ-normalized'!$A:$A, 0))-INDEX('UZ-normalized'!$E:$E, MATCH($A64, 'UZ-normalized'!$A:$A, 0))&gt;0, -(1*INDEX('UZ-normalized'!$D:$D, MATCH($A64, 'UZ-normalized'!$A:$A, 0))-INDEX('UZ-normalized'!$E:$E, MATCH($A64, 'UZ-normalized'!$A:$A, 0))), 0), 0)))</f>
        <v>0</v>
      </c>
      <c r="P64" s="6">
        <f>MIN(0, N64+(IFERROR(IF(2*INDEX('UA-normalized'!$D:$D, MATCH($A64, 'UA-normalized'!$A:$A, 0))-INDEX('UA-normalized'!$E:$E, MATCH($A64, 'UA-normalized'!$A:$A, 0))&gt;0, -(2*INDEX('UA-normalized'!$D:$D, MATCH($A64, 'UA-normalized'!$A:$A, 0))-INDEX('UA-normalized'!$E:$E, MATCH($A64, 'UA-normalized'!$A:$A, 0))), 0), 0))+(IFERROR(IF(2*INDEX('KZ-normalized'!$D:$D, MATCH($A64, 'KZ-normalized'!$A:$A, 0))-INDEX('KZ-normalized'!$E:$E, MATCH($A64, 'KZ-normalized'!$A:$A, 0))&gt;0, -(2*INDEX('KZ-normalized'!$D:$D, MATCH($A64, 'KZ-normalized'!$A:$A, 0))-INDEX('KZ-normalized'!$E:$E, MATCH($A64, 'KZ-normalized'!$A:$A, 0))), 0), 0))+(IFERROR(IF(2*INDEX('UZ-normalized'!$D:$D, MATCH($A64, 'UZ-normalized'!$A:$A, 0))-INDEX('UZ-normalized'!$E:$E, MATCH($A64, 'UZ-normalized'!$A:$A, 0))&gt;0, -(2*INDEX('UZ-normalized'!$D:$D, MATCH($A64, 'UZ-normalized'!$A:$A, 0))-INDEX('UZ-normalized'!$E:$E, MATCH($A64, 'UZ-normalized'!$A:$A, 0))), 0), 0)))</f>
        <v>0</v>
      </c>
      <c r="Q64" s="6">
        <f>MIN(0, N64+(IFERROR(IF(3*INDEX('UA-normalized'!$D:$D, MATCH($A64, 'UA-normalized'!$A:$A, 0))-INDEX('UA-normalized'!$E:$E, MATCH($A64, 'UA-normalized'!$A:$A, 0))&gt;0, -(3*INDEX('UA-normalized'!$D:$D, MATCH($A64, 'UA-normalized'!$A:$A, 0))-INDEX('UA-normalized'!$E:$E, MATCH($A64, 'UA-normalized'!$A:$A, 0))), 0), 0))+(IFERROR(IF(3*INDEX('KZ-normalized'!$D:$D, MATCH($A64, 'KZ-normalized'!$A:$A, 0))-INDEX('KZ-normalized'!$E:$E, MATCH($A64, 'KZ-normalized'!$A:$A, 0))&gt;0, -(3*INDEX('KZ-normalized'!$D:$D, MATCH($A64, 'KZ-normalized'!$A:$A, 0))-INDEX('KZ-normalized'!$E:$E, MATCH($A64, 'KZ-normalized'!$A:$A, 0))), 0), 0))+(IFERROR(IF(3*INDEX('UZ-normalized'!$D:$D, MATCH($A64, 'UZ-normalized'!$A:$A, 0))-INDEX('UZ-normalized'!$E:$E, MATCH($A64, 'UZ-normalized'!$A:$A, 0))&gt;0, -(3*INDEX('UZ-normalized'!$D:$D, MATCH($A64, 'UZ-normalized'!$A:$A, 0))-INDEX('UZ-normalized'!$E:$E, MATCH($A64, 'UZ-normalized'!$A:$A, 0))), 0), 0)))</f>
        <v>0</v>
      </c>
      <c r="R64" s="6">
        <f>MIN(0, N64+(IFERROR(IF(4*INDEX('UA-normalized'!$D:$D, MATCH($A64, 'UA-normalized'!$A:$A, 0))-INDEX('UA-normalized'!$E:$E, MATCH($A64, 'UA-normalized'!$A:$A, 0))&gt;0, -(4*INDEX('UA-normalized'!$D:$D, MATCH($A64, 'UA-normalized'!$A:$A, 0))-INDEX('UA-normalized'!$E:$E, MATCH($A64, 'UA-normalized'!$A:$A, 0))), 0), 0))+(IFERROR(IF(4*INDEX('KZ-normalized'!$D:$D, MATCH($A64, 'KZ-normalized'!$A:$A, 0))-INDEX('KZ-normalized'!$E:$E, MATCH($A64, 'KZ-normalized'!$A:$A, 0))&gt;0, -(4*INDEX('KZ-normalized'!$D:$D, MATCH($A64, 'KZ-normalized'!$A:$A, 0))-INDEX('KZ-normalized'!$E:$E, MATCH($A64, 'KZ-normalized'!$A:$A, 0))), 0), 0))+(IFERROR(IF(4*INDEX('UZ-normalized'!$D:$D, MATCH($A64, 'UZ-normalized'!$A:$A, 0))-INDEX('UZ-normalized'!$E:$E, MATCH($A64, 'UZ-normalized'!$A:$A, 0))&gt;0, -(4*INDEX('UZ-normalized'!$D:$D, MATCH($A64, 'UZ-normalized'!$A:$A, 0))-INDEX('UZ-normalized'!$E:$E, MATCH($A64, 'UZ-normalized'!$A:$A, 0))), 0), 0)))</f>
        <v>0</v>
      </c>
      <c r="S64" s="6">
        <f>MIN(0, N64+(IFERROR(IF(5*INDEX('UA-normalized'!$D:$D, MATCH($A64, 'UA-normalized'!$A:$A, 0))-INDEX('UA-normalized'!$E:$E, MATCH($A64, 'UA-normalized'!$A:$A, 0))&gt;0, -(5*INDEX('UA-normalized'!$D:$D, MATCH($A64, 'UA-normalized'!$A:$A, 0))-INDEX('UA-normalized'!$E:$E, MATCH($A64, 'UA-normalized'!$A:$A, 0))), 0), 0))+(IFERROR(IF(5*INDEX('KZ-normalized'!$D:$D, MATCH($A64, 'KZ-normalized'!$A:$A, 0))-INDEX('KZ-normalized'!$E:$E, MATCH($A64, 'KZ-normalized'!$A:$A, 0))&gt;0, -(5*INDEX('KZ-normalized'!$D:$D, MATCH($A64, 'KZ-normalized'!$A:$A, 0))-INDEX('KZ-normalized'!$E:$E, MATCH($A64, 'KZ-normalized'!$A:$A, 0))), 0), 0))+(IFERROR(IF(5*INDEX('UZ-normalized'!$D:$D, MATCH($A64, 'UZ-normalized'!$A:$A, 0))-INDEX('UZ-normalized'!$E:$E, MATCH($A64, 'UZ-normalized'!$A:$A, 0))&gt;0, -(5*INDEX('UZ-normalized'!$D:$D, MATCH($A64, 'UZ-normalized'!$A:$A, 0))-INDEX('UZ-normalized'!$E:$E, MATCH($A64, 'UZ-normalized'!$A:$A, 0))), 0), 0)))</f>
        <v>0</v>
      </c>
      <c r="T64" s="6">
        <f>MIN(0, N64+(IFERROR(IF(6*INDEX('UA-normalized'!$D:$D, MATCH($A64, 'UA-normalized'!$A:$A, 0))-INDEX('UA-normalized'!$E:$E, MATCH($A64, 'UA-normalized'!$A:$A, 0))&gt;0, -(6*INDEX('UA-normalized'!$D:$D, MATCH($A64, 'UA-normalized'!$A:$A, 0))-INDEX('UA-normalized'!$E:$E, MATCH($A64, 'UA-normalized'!$A:$A, 0))), 0), 0))+(IFERROR(IF(6*INDEX('KZ-normalized'!$D:$D, MATCH($A64, 'KZ-normalized'!$A:$A, 0))-INDEX('KZ-normalized'!$E:$E, MATCH($A64, 'KZ-normalized'!$A:$A, 0))&gt;0, -(6*INDEX('KZ-normalized'!$D:$D, MATCH($A64, 'KZ-normalized'!$A:$A, 0))-INDEX('KZ-normalized'!$E:$E, MATCH($A64, 'KZ-normalized'!$A:$A, 0))), 0), 0))+(IFERROR(IF(6*INDEX('UZ-normalized'!$D:$D, MATCH($A64, 'UZ-normalized'!$A:$A, 0))-INDEX('UZ-normalized'!$E:$E, MATCH($A64, 'UZ-normalized'!$A:$A, 0))&gt;0, -(6*INDEX('UZ-normalized'!$D:$D, MATCH($A64, 'UZ-normalized'!$A:$A, 0))-INDEX('UZ-normalized'!$E:$E, MATCH($A64, 'UZ-normalized'!$A:$A, 0))), 0), 0)))</f>
        <v>0</v>
      </c>
      <c r="U64" s="6">
        <f>MIN(0, N64+(IFERROR(IF(7*INDEX('UA-normalized'!$D:$D, MATCH($A64, 'UA-normalized'!$A:$A, 0))-INDEX('UA-normalized'!$E:$E, MATCH($A64, 'UA-normalized'!$A:$A, 0))&gt;0, -(7*INDEX('UA-normalized'!$D:$D, MATCH($A64, 'UA-normalized'!$A:$A, 0))-INDEX('UA-normalized'!$E:$E, MATCH($A64, 'UA-normalized'!$A:$A, 0))), 0), 0))+(IFERROR(IF(7*INDEX('KZ-normalized'!$D:$D, MATCH($A64, 'KZ-normalized'!$A:$A, 0))-INDEX('KZ-normalized'!$E:$E, MATCH($A64, 'KZ-normalized'!$A:$A, 0))&gt;0, -(7*INDEX('KZ-normalized'!$D:$D, MATCH($A64, 'KZ-normalized'!$A:$A, 0))-INDEX('KZ-normalized'!$E:$E, MATCH($A64, 'KZ-normalized'!$A:$A, 0))), 0), 0))+(IFERROR(IF(7*INDEX('UZ-normalized'!$D:$D, MATCH($A64, 'UZ-normalized'!$A:$A, 0))-INDEX('UZ-normalized'!$E:$E, MATCH($A64, 'UZ-normalized'!$A:$A, 0))&gt;0, -(7*INDEX('UZ-normalized'!$D:$D, MATCH($A64, 'UZ-normalized'!$A:$A, 0))-INDEX('UZ-normalized'!$E:$E, MATCH($A64, 'UZ-normalized'!$A:$A, 0))), 0), 0)))</f>
        <v>0</v>
      </c>
      <c r="V64" s="6">
        <f>MIN(0, N64+(IFERROR(IF(8*INDEX('UA-normalized'!$D:$D, MATCH($A64, 'UA-normalized'!$A:$A, 0))-INDEX('UA-normalized'!$E:$E, MATCH($A64, 'UA-normalized'!$A:$A, 0))&gt;0, -(8*INDEX('UA-normalized'!$D:$D, MATCH($A64, 'UA-normalized'!$A:$A, 0))-INDEX('UA-normalized'!$E:$E, MATCH($A64, 'UA-normalized'!$A:$A, 0))), 0), 0))+(IFERROR(IF(8*INDEX('KZ-normalized'!$D:$D, MATCH($A64, 'KZ-normalized'!$A:$A, 0))-INDEX('KZ-normalized'!$E:$E, MATCH($A64, 'KZ-normalized'!$A:$A, 0))&gt;0, -(8*INDEX('KZ-normalized'!$D:$D, MATCH($A64, 'KZ-normalized'!$A:$A, 0))-INDEX('KZ-normalized'!$E:$E, MATCH($A64, 'KZ-normalized'!$A:$A, 0))), 0), 0))+(IFERROR(IF(8*INDEX('UZ-normalized'!$D:$D, MATCH($A64, 'UZ-normalized'!$A:$A, 0))-INDEX('UZ-normalized'!$E:$E, MATCH($A64, 'UZ-normalized'!$A:$A, 0))&gt;0, -(8*INDEX('UZ-normalized'!$D:$D, MATCH($A64, 'UZ-normalized'!$A:$A, 0))-INDEX('UZ-normalized'!$E:$E, MATCH($A64, 'UZ-normalized'!$A:$A, 0))), 0), 0)))</f>
        <v>0</v>
      </c>
      <c r="W64" s="6">
        <f>MIN(0, N64+(IFERROR(IF(9*INDEX('UA-normalized'!$D:$D, MATCH($A64, 'UA-normalized'!$A:$A, 0))-INDEX('UA-normalized'!$E:$E, MATCH($A64, 'UA-normalized'!$A:$A, 0))&gt;0, -(9*INDEX('UA-normalized'!$D:$D, MATCH($A64, 'UA-normalized'!$A:$A, 0))-INDEX('UA-normalized'!$E:$E, MATCH($A64, 'UA-normalized'!$A:$A, 0))), 0), 0))+(IFERROR(IF(9*INDEX('KZ-normalized'!$D:$D, MATCH($A64, 'KZ-normalized'!$A:$A, 0))-INDEX('KZ-normalized'!$E:$E, MATCH($A64, 'KZ-normalized'!$A:$A, 0))&gt;0, -(9*INDEX('KZ-normalized'!$D:$D, MATCH($A64, 'KZ-normalized'!$A:$A, 0))-INDEX('KZ-normalized'!$E:$E, MATCH($A64, 'KZ-normalized'!$A:$A, 0))), 0), 0))+(IFERROR(IF(9*INDEX('UZ-normalized'!$D:$D, MATCH($A64, 'UZ-normalized'!$A:$A, 0))-INDEX('UZ-normalized'!$E:$E, MATCH($A64, 'UZ-normalized'!$A:$A, 0))&gt;0, -(9*INDEX('UZ-normalized'!$D:$D, MATCH($A64, 'UZ-normalized'!$A:$A, 0))-INDEX('UZ-normalized'!$E:$E, MATCH($A64, 'UZ-normalized'!$A:$A, 0))), 0), 0)))</f>
        <v>0</v>
      </c>
      <c r="X64" s="6">
        <f>MIN(0, N64+(IFERROR(IF(10*INDEX('UA-normalized'!$D:$D, MATCH($A64, 'UA-normalized'!$A:$A, 0))-INDEX('UA-normalized'!$E:$E, MATCH($A64, 'UA-normalized'!$A:$A, 0))&gt;0, -(10*INDEX('UA-normalized'!$D:$D, MATCH($A64, 'UA-normalized'!$A:$A, 0))-INDEX('UA-normalized'!$E:$E, MATCH($A64, 'UA-normalized'!$A:$A, 0))), 0), 0))+(IFERROR(IF(10*INDEX('KZ-normalized'!$D:$D, MATCH($A64, 'KZ-normalized'!$A:$A, 0))-INDEX('KZ-normalized'!$E:$E, MATCH($A64, 'KZ-normalized'!$A:$A, 0))&gt;0, -(10*INDEX('KZ-normalized'!$D:$D, MATCH($A64, 'KZ-normalized'!$A:$A, 0))-INDEX('KZ-normalized'!$E:$E, MATCH($A64, 'KZ-normalized'!$A:$A, 0))), 0), 0))+(IFERROR(IF(10*INDEX('UZ-normalized'!$D:$D, MATCH($A64, 'UZ-normalized'!$A:$A, 0))-INDEX('UZ-normalized'!$E:$E, MATCH($A64, 'UZ-normalized'!$A:$A, 0))&gt;0, -(10*INDEX('UZ-normalized'!$D:$D, MATCH($A64, 'UZ-normalized'!$A:$A, 0))-INDEX('UZ-normalized'!$E:$E, MATCH($A64, 'UZ-normalized'!$A:$A, 0))), 0), 0)))</f>
        <v>0</v>
      </c>
      <c r="Y64" s="6">
        <f>MIN(0, N64+(IFERROR(IF(11*INDEX('UA-normalized'!$D:$D, MATCH($A64, 'UA-normalized'!$A:$A, 0))-INDEX('UA-normalized'!$E:$E, MATCH($A64, 'UA-normalized'!$A:$A, 0))&gt;0, -(11*INDEX('UA-normalized'!$D:$D, MATCH($A64, 'UA-normalized'!$A:$A, 0))-INDEX('UA-normalized'!$E:$E, MATCH($A64, 'UA-normalized'!$A:$A, 0))), 0), 0))+(IFERROR(IF(11*INDEX('KZ-normalized'!$D:$D, MATCH($A64, 'KZ-normalized'!$A:$A, 0))-INDEX('KZ-normalized'!$E:$E, MATCH($A64, 'KZ-normalized'!$A:$A, 0))&gt;0, -(11*INDEX('KZ-normalized'!$D:$D, MATCH($A64, 'KZ-normalized'!$A:$A, 0))-INDEX('KZ-normalized'!$E:$E, MATCH($A64, 'KZ-normalized'!$A:$A, 0))), 0), 0))+(IFERROR(IF(11*INDEX('UZ-normalized'!$D:$D, MATCH($A64, 'UZ-normalized'!$A:$A, 0))-INDEX('UZ-normalized'!$E:$E, MATCH($A64, 'UZ-normalized'!$A:$A, 0))&gt;0, -(11*INDEX('UZ-normalized'!$D:$D, MATCH($A64, 'UZ-normalized'!$A:$A, 0))-INDEX('UZ-normalized'!$E:$E, MATCH($A64, 'UZ-normalized'!$A:$A, 0))), 0), 0)))</f>
        <v>0</v>
      </c>
      <c r="Z64" s="6">
        <f>MIN(0, N64+(IFERROR(IF(12*INDEX('UA-normalized'!$D:$D, MATCH($A64, 'UA-normalized'!$A:$A, 0))-INDEX('UA-normalized'!$E:$E, MATCH($A64, 'UA-normalized'!$A:$A, 0))&gt;0, -(12*INDEX('UA-normalized'!$D:$D, MATCH($A64, 'UA-normalized'!$A:$A, 0))-INDEX('UA-normalized'!$E:$E, MATCH($A64, 'UA-normalized'!$A:$A, 0))), 0), 0))+(IFERROR(IF(12*INDEX('KZ-normalized'!$D:$D, MATCH($A64, 'KZ-normalized'!$A:$A, 0))-INDEX('KZ-normalized'!$E:$E, MATCH($A64, 'KZ-normalized'!$A:$A, 0))&gt;0, -(12*INDEX('KZ-normalized'!$D:$D, MATCH($A64, 'KZ-normalized'!$A:$A, 0))-INDEX('KZ-normalized'!$E:$E, MATCH($A64, 'KZ-normalized'!$A:$A, 0))), 0), 0))+(IFERROR(IF(12*INDEX('UZ-normalized'!$D:$D, MATCH($A64, 'UZ-normalized'!$A:$A, 0))-INDEX('UZ-normalized'!$E:$E, MATCH($A64, 'UZ-normalized'!$A:$A, 0))&gt;0, -(12*INDEX('UZ-normalized'!$D:$D, MATCH($A64, 'UZ-normalized'!$A:$A, 0))-INDEX('UZ-normalized'!$E:$E, MATCH($A64, 'UZ-normalized'!$A:$A, 0))), 0), 0)))</f>
        <v>0</v>
      </c>
      <c r="AA64" s="6">
        <f>MIN(0, N64+(IFERROR(IF(13*INDEX('UA-normalized'!$D:$D, MATCH($A64, 'UA-normalized'!$A:$A, 0))-INDEX('UA-normalized'!$E:$E, MATCH($A64, 'UA-normalized'!$A:$A, 0))&gt;0, -(13*INDEX('UA-normalized'!$D:$D, MATCH($A64, 'UA-normalized'!$A:$A, 0))-INDEX('UA-normalized'!$E:$E, MATCH($A64, 'UA-normalized'!$A:$A, 0))), 0), 0))+(IFERROR(IF(13*INDEX('KZ-normalized'!$D:$D, MATCH($A64, 'KZ-normalized'!$A:$A, 0))-INDEX('KZ-normalized'!$E:$E, MATCH($A64, 'KZ-normalized'!$A:$A, 0))&gt;0, -(13*INDEX('KZ-normalized'!$D:$D, MATCH($A64, 'KZ-normalized'!$A:$A, 0))-INDEX('KZ-normalized'!$E:$E, MATCH($A64, 'KZ-normalized'!$A:$A, 0))), 0), 0))+(IFERROR(IF(13*INDEX('UZ-normalized'!$D:$D, MATCH($A64, 'UZ-normalized'!$A:$A, 0))-INDEX('UZ-normalized'!$E:$E, MATCH($A64, 'UZ-normalized'!$A:$A, 0))&gt;0, -(13*INDEX('UZ-normalized'!$D:$D, MATCH($A64, 'UZ-normalized'!$A:$A, 0))-INDEX('UZ-normalized'!$E:$E, MATCH($A64, 'UZ-normalized'!$A:$A, 0))), 0), 0)))</f>
        <v>0</v>
      </c>
      <c r="AB64" s="6">
        <f>MIN(0, N64+(IFERROR(IF(14*INDEX('UA-normalized'!$D:$D, MATCH($A64, 'UA-normalized'!$A:$A, 0))-INDEX('UA-normalized'!$E:$E, MATCH($A64, 'UA-normalized'!$A:$A, 0))&gt;0, -(14*INDEX('UA-normalized'!$D:$D, MATCH($A64, 'UA-normalized'!$A:$A, 0))-INDEX('UA-normalized'!$E:$E, MATCH($A64, 'UA-normalized'!$A:$A, 0))), 0), 0))+(IFERROR(IF(14*INDEX('KZ-normalized'!$D:$D, MATCH($A64, 'KZ-normalized'!$A:$A, 0))-INDEX('KZ-normalized'!$E:$E, MATCH($A64, 'KZ-normalized'!$A:$A, 0))&gt;0, -(14*INDEX('KZ-normalized'!$D:$D, MATCH($A64, 'KZ-normalized'!$A:$A, 0))-INDEX('KZ-normalized'!$E:$E, MATCH($A64, 'KZ-normalized'!$A:$A, 0))), 0), 0))+(IFERROR(IF(14*INDEX('UZ-normalized'!$D:$D, MATCH($A64, 'UZ-normalized'!$A:$A, 0))-INDEX('UZ-normalized'!$E:$E, MATCH($A64, 'UZ-normalized'!$A:$A, 0))&gt;0, -(14*INDEX('UZ-normalized'!$D:$D, MATCH($A64, 'UZ-normalized'!$A:$A, 0))-INDEX('UZ-normalized'!$E:$E, MATCH($A64, 'UZ-normalized'!$A:$A, 0))), 0), 0)))</f>
        <v>0</v>
      </c>
      <c r="AC64" s="6">
        <f>MIN(0, N64+(IFERROR(IF(15*INDEX('UA-normalized'!$D:$D, MATCH($A64, 'UA-normalized'!$A:$A, 0))-INDEX('UA-normalized'!$E:$E, MATCH($A64, 'UA-normalized'!$A:$A, 0))&gt;0, -(15*INDEX('UA-normalized'!$D:$D, MATCH($A64, 'UA-normalized'!$A:$A, 0))-INDEX('UA-normalized'!$E:$E, MATCH($A64, 'UA-normalized'!$A:$A, 0))), 0), 0))+(IFERROR(IF(15*INDEX('KZ-normalized'!$D:$D, MATCH($A64, 'KZ-normalized'!$A:$A, 0))-INDEX('KZ-normalized'!$E:$E, MATCH($A64, 'KZ-normalized'!$A:$A, 0))&gt;0, -(15*INDEX('KZ-normalized'!$D:$D, MATCH($A64, 'KZ-normalized'!$A:$A, 0))-INDEX('KZ-normalized'!$E:$E, MATCH($A64, 'KZ-normalized'!$A:$A, 0))), 0), 0))+(IFERROR(IF(15*INDEX('UZ-normalized'!$D:$D, MATCH($A64, 'UZ-normalized'!$A:$A, 0))-INDEX('UZ-normalized'!$E:$E, MATCH($A64, 'UZ-normalized'!$A:$A, 0))&gt;0, -(15*INDEX('UZ-normalized'!$D:$D, MATCH($A64, 'UZ-normalized'!$A:$A, 0))-INDEX('UZ-normalized'!$E:$E, MATCH($A64, 'UZ-normalized'!$A:$A, 0))), 0), 0)))</f>
        <v>0</v>
      </c>
      <c r="AD64" s="6">
        <f>MIN(0, N64+(IFERROR(IF(16*INDEX('UA-normalized'!$D:$D, MATCH($A64, 'UA-normalized'!$A:$A, 0))-INDEX('UA-normalized'!$E:$E, MATCH($A64, 'UA-normalized'!$A:$A, 0))&gt;0, -(16*INDEX('UA-normalized'!$D:$D, MATCH($A64, 'UA-normalized'!$A:$A, 0))-INDEX('UA-normalized'!$E:$E, MATCH($A64, 'UA-normalized'!$A:$A, 0))), 0), 0))+(IFERROR(IF(16*INDEX('KZ-normalized'!$D:$D, MATCH($A64, 'KZ-normalized'!$A:$A, 0))-INDEX('KZ-normalized'!$E:$E, MATCH($A64, 'KZ-normalized'!$A:$A, 0))&gt;0, -(16*INDEX('KZ-normalized'!$D:$D, MATCH($A64, 'KZ-normalized'!$A:$A, 0))-INDEX('KZ-normalized'!$E:$E, MATCH($A64, 'KZ-normalized'!$A:$A, 0))), 0), 0))+(IFERROR(IF(16*INDEX('UZ-normalized'!$D:$D, MATCH($A64, 'UZ-normalized'!$A:$A, 0))-INDEX('UZ-normalized'!$E:$E, MATCH($A64, 'UZ-normalized'!$A:$A, 0))&gt;0, -(16*INDEX('UZ-normalized'!$D:$D, MATCH($A64, 'UZ-normalized'!$A:$A, 0))-INDEX('UZ-normalized'!$E:$E, MATCH($A64, 'UZ-normalized'!$A:$A, 0))), 0), 0)))</f>
        <v>0</v>
      </c>
      <c r="AE64" s="6">
        <f>MIN(0, N64+(IFERROR(IF(17*INDEX('UA-normalized'!$D:$D, MATCH($A64, 'UA-normalized'!$A:$A, 0))-INDEX('UA-normalized'!$E:$E, MATCH($A64, 'UA-normalized'!$A:$A, 0))&gt;0, -(17*INDEX('UA-normalized'!$D:$D, MATCH($A64, 'UA-normalized'!$A:$A, 0))-INDEX('UA-normalized'!$E:$E, MATCH($A64, 'UA-normalized'!$A:$A, 0))), 0), 0))+(IFERROR(IF(17*INDEX('KZ-normalized'!$D:$D, MATCH($A64, 'KZ-normalized'!$A:$A, 0))-INDEX('KZ-normalized'!$E:$E, MATCH($A64, 'KZ-normalized'!$A:$A, 0))&gt;0, -(17*INDEX('KZ-normalized'!$D:$D, MATCH($A64, 'KZ-normalized'!$A:$A, 0))-INDEX('KZ-normalized'!$E:$E, MATCH($A64, 'KZ-normalized'!$A:$A, 0))), 0), 0))+(IFERROR(IF(17*INDEX('UZ-normalized'!$D:$D, MATCH($A64, 'UZ-normalized'!$A:$A, 0))-INDEX('UZ-normalized'!$E:$E, MATCH($A64, 'UZ-normalized'!$A:$A, 0))&gt;0, -(17*INDEX('UZ-normalized'!$D:$D, MATCH($A64, 'UZ-normalized'!$A:$A, 0))-INDEX('UZ-normalized'!$E:$E, MATCH($A64, 'UZ-normalized'!$A:$A, 0))), 0), 0)))</f>
        <v>0</v>
      </c>
      <c r="AF64" s="6">
        <f>MIN(0, N64+(IFERROR(IF(18*INDEX('UA-normalized'!$D:$D, MATCH($A64, 'UA-normalized'!$A:$A, 0))-INDEX('UA-normalized'!$E:$E, MATCH($A64, 'UA-normalized'!$A:$A, 0))&gt;0, -(18*INDEX('UA-normalized'!$D:$D, MATCH($A64, 'UA-normalized'!$A:$A, 0))-INDEX('UA-normalized'!$E:$E, MATCH($A64, 'UA-normalized'!$A:$A, 0))), 0), 0))+(IFERROR(IF(18*INDEX('KZ-normalized'!$D:$D, MATCH($A64, 'KZ-normalized'!$A:$A, 0))-INDEX('KZ-normalized'!$E:$E, MATCH($A64, 'KZ-normalized'!$A:$A, 0))&gt;0, -(18*INDEX('KZ-normalized'!$D:$D, MATCH($A64, 'KZ-normalized'!$A:$A, 0))-INDEX('KZ-normalized'!$E:$E, MATCH($A64, 'KZ-normalized'!$A:$A, 0))), 0), 0))+(IFERROR(IF(18*INDEX('UZ-normalized'!$D:$D, MATCH($A64, 'UZ-normalized'!$A:$A, 0))-INDEX('UZ-normalized'!$E:$E, MATCH($A64, 'UZ-normalized'!$A:$A, 0))&gt;0, -(18*INDEX('UZ-normalized'!$D:$D, MATCH($A64, 'UZ-normalized'!$A:$A, 0))-INDEX('UZ-normalized'!$E:$E, MATCH($A64, 'UZ-normalized'!$A:$A, 0))), 0), 0)))</f>
        <v>0</v>
      </c>
      <c r="AG64" s="6">
        <f>MIN(0, N64+(IFERROR(IF(19*INDEX('UA-normalized'!$D:$D, MATCH($A64, 'UA-normalized'!$A:$A, 0))-INDEX('UA-normalized'!$E:$E, MATCH($A64, 'UA-normalized'!$A:$A, 0))&gt;0, -(19*INDEX('UA-normalized'!$D:$D, MATCH($A64, 'UA-normalized'!$A:$A, 0))-INDEX('UA-normalized'!$E:$E, MATCH($A64, 'UA-normalized'!$A:$A, 0))), 0), 0))+(IFERROR(IF(19*INDEX('KZ-normalized'!$D:$D, MATCH($A64, 'KZ-normalized'!$A:$A, 0))-INDEX('KZ-normalized'!$E:$E, MATCH($A64, 'KZ-normalized'!$A:$A, 0))&gt;0, -(19*INDEX('KZ-normalized'!$D:$D, MATCH($A64, 'KZ-normalized'!$A:$A, 0))-INDEX('KZ-normalized'!$E:$E, MATCH($A64, 'KZ-normalized'!$A:$A, 0))), 0), 0))+(IFERROR(IF(19*INDEX('UZ-normalized'!$D:$D, MATCH($A64, 'UZ-normalized'!$A:$A, 0))-INDEX('UZ-normalized'!$E:$E, MATCH($A64, 'UZ-normalized'!$A:$A, 0))&gt;0, -(19*INDEX('UZ-normalized'!$D:$D, MATCH($A64, 'UZ-normalized'!$A:$A, 0))-INDEX('UZ-normalized'!$E:$E, MATCH($A64, 'UZ-normalized'!$A:$A, 0))), 0), 0)))</f>
        <v>0</v>
      </c>
      <c r="AH64" s="6">
        <f>MIN(0, N64+(IFERROR(IF(20*INDEX('UA-normalized'!$D:$D, MATCH($A64, 'UA-normalized'!$A:$A, 0))-INDEX('UA-normalized'!$E:$E, MATCH($A64, 'UA-normalized'!$A:$A, 0))&gt;0, -(20*INDEX('UA-normalized'!$D:$D, MATCH($A64, 'UA-normalized'!$A:$A, 0))-INDEX('UA-normalized'!$E:$E, MATCH($A64, 'UA-normalized'!$A:$A, 0))), 0), 0))+(IFERROR(IF(20*INDEX('KZ-normalized'!$D:$D, MATCH($A64, 'KZ-normalized'!$A:$A, 0))-INDEX('KZ-normalized'!$E:$E, MATCH($A64, 'KZ-normalized'!$A:$A, 0))&gt;0, -(20*INDEX('KZ-normalized'!$D:$D, MATCH($A64, 'KZ-normalized'!$A:$A, 0))-INDEX('KZ-normalized'!$E:$E, MATCH($A64, 'KZ-normalized'!$A:$A, 0))), 0), 0))+(IFERROR(IF(20*INDEX('UZ-normalized'!$D:$D, MATCH($A64, 'UZ-normalized'!$A:$A, 0))-INDEX('UZ-normalized'!$E:$E, MATCH($A64, 'UZ-normalized'!$A:$A, 0))&gt;0, -(20*INDEX('UZ-normalized'!$D:$D, MATCH($A64, 'UZ-normalized'!$A:$A, 0))-INDEX('UZ-normalized'!$E:$E, MATCH($A64, 'UZ-normalized'!$A:$A, 0))), 0), 0)))</f>
        <v>0</v>
      </c>
      <c r="AI64" s="6">
        <f>MIN(0, N64+(IFERROR(IF(21*INDEX('UA-normalized'!$D:$D, MATCH($A64, 'UA-normalized'!$A:$A, 0))-INDEX('UA-normalized'!$E:$E, MATCH($A64, 'UA-normalized'!$A:$A, 0))&gt;0, -(21*INDEX('UA-normalized'!$D:$D, MATCH($A64, 'UA-normalized'!$A:$A, 0))-INDEX('UA-normalized'!$E:$E, MATCH($A64, 'UA-normalized'!$A:$A, 0))), 0), 0))+(IFERROR(IF(21*INDEX('KZ-normalized'!$D:$D, MATCH($A64, 'KZ-normalized'!$A:$A, 0))-INDEX('KZ-normalized'!$E:$E, MATCH($A64, 'KZ-normalized'!$A:$A, 0))&gt;0, -(21*INDEX('KZ-normalized'!$D:$D, MATCH($A64, 'KZ-normalized'!$A:$A, 0))-INDEX('KZ-normalized'!$E:$E, MATCH($A64, 'KZ-normalized'!$A:$A, 0))), 0), 0))+(IFERROR(IF(21*INDEX('UZ-normalized'!$D:$D, MATCH($A64, 'UZ-normalized'!$A:$A, 0))-INDEX('UZ-normalized'!$E:$E, MATCH($A64, 'UZ-normalized'!$A:$A, 0))&gt;0, -(21*INDEX('UZ-normalized'!$D:$D, MATCH($A64, 'UZ-normalized'!$A:$A, 0))-INDEX('UZ-normalized'!$E:$E, MATCH($A64, 'UZ-normalized'!$A:$A, 0))), 0), 0)))</f>
        <v>0</v>
      </c>
      <c r="AJ64" s="6">
        <f>MIN(0, N64+(IFERROR(IF(22*INDEX('UA-normalized'!$D:$D, MATCH($A64, 'UA-normalized'!$A:$A, 0))-INDEX('UA-normalized'!$E:$E, MATCH($A64, 'UA-normalized'!$A:$A, 0))&gt;0, -(22*INDEX('UA-normalized'!$D:$D, MATCH($A64, 'UA-normalized'!$A:$A, 0))-INDEX('UA-normalized'!$E:$E, MATCH($A64, 'UA-normalized'!$A:$A, 0))), 0), 0))+(IFERROR(IF(22*INDEX('KZ-normalized'!$D:$D, MATCH($A64, 'KZ-normalized'!$A:$A, 0))-INDEX('KZ-normalized'!$E:$E, MATCH($A64, 'KZ-normalized'!$A:$A, 0))&gt;0, -(22*INDEX('KZ-normalized'!$D:$D, MATCH($A64, 'KZ-normalized'!$A:$A, 0))-INDEX('KZ-normalized'!$E:$E, MATCH($A64, 'KZ-normalized'!$A:$A, 0))), 0), 0))+(IFERROR(IF(22*INDEX('UZ-normalized'!$D:$D, MATCH($A64, 'UZ-normalized'!$A:$A, 0))-INDEX('UZ-normalized'!$E:$E, MATCH($A64, 'UZ-normalized'!$A:$A, 0))&gt;0, -(22*INDEX('UZ-normalized'!$D:$D, MATCH($A64, 'UZ-normalized'!$A:$A, 0))-INDEX('UZ-normalized'!$E:$E, MATCH($A64, 'UZ-normalized'!$A:$A, 0))), 0), 0)))</f>
        <v>0</v>
      </c>
      <c r="AK64" s="6">
        <f>MIN(0, N64+(IFERROR(IF(23*INDEX('UA-normalized'!$D:$D, MATCH($A64, 'UA-normalized'!$A:$A, 0))-INDEX('UA-normalized'!$E:$E, MATCH($A64, 'UA-normalized'!$A:$A, 0))&gt;0, -(23*INDEX('UA-normalized'!$D:$D, MATCH($A64, 'UA-normalized'!$A:$A, 0))-INDEX('UA-normalized'!$E:$E, MATCH($A64, 'UA-normalized'!$A:$A, 0))), 0), 0))+(IFERROR(IF(23*INDEX('KZ-normalized'!$D:$D, MATCH($A64, 'KZ-normalized'!$A:$A, 0))-INDEX('KZ-normalized'!$E:$E, MATCH($A64, 'KZ-normalized'!$A:$A, 0))&gt;0, -(23*INDEX('KZ-normalized'!$D:$D, MATCH($A64, 'KZ-normalized'!$A:$A, 0))-INDEX('KZ-normalized'!$E:$E, MATCH($A64, 'KZ-normalized'!$A:$A, 0))), 0), 0))+(IFERROR(IF(23*INDEX('UZ-normalized'!$D:$D, MATCH($A64, 'UZ-normalized'!$A:$A, 0))-INDEX('UZ-normalized'!$E:$E, MATCH($A64, 'UZ-normalized'!$A:$A, 0))&gt;0, -(23*INDEX('UZ-normalized'!$D:$D, MATCH($A64, 'UZ-normalized'!$A:$A, 0))-INDEX('UZ-normalized'!$E:$E, MATCH($A64, 'UZ-normalized'!$A:$A, 0))), 0), 0)))</f>
        <v>0</v>
      </c>
      <c r="AL64" s="6">
        <f>MIN(0, N64+(IFERROR(IF(24*INDEX('UA-normalized'!$D:$D, MATCH($A64, 'UA-normalized'!$A:$A, 0))-INDEX('UA-normalized'!$E:$E, MATCH($A64, 'UA-normalized'!$A:$A, 0))&gt;0, -(24*INDEX('UA-normalized'!$D:$D, MATCH($A64, 'UA-normalized'!$A:$A, 0))-INDEX('UA-normalized'!$E:$E, MATCH($A64, 'UA-normalized'!$A:$A, 0))), 0), 0))+(IFERROR(IF(24*INDEX('KZ-normalized'!$D:$D, MATCH($A64, 'KZ-normalized'!$A:$A, 0))-INDEX('KZ-normalized'!$E:$E, MATCH($A64, 'KZ-normalized'!$A:$A, 0))&gt;0, -(24*INDEX('KZ-normalized'!$D:$D, MATCH($A64, 'KZ-normalized'!$A:$A, 0))-INDEX('KZ-normalized'!$E:$E, MATCH($A64, 'KZ-normalized'!$A:$A, 0))), 0), 0))+(IFERROR(IF(24*INDEX('UZ-normalized'!$D:$D, MATCH($A64, 'UZ-normalized'!$A:$A, 0))-INDEX('UZ-normalized'!$E:$E, MATCH($A64, 'UZ-normalized'!$A:$A, 0))&gt;0, -(24*INDEX('UZ-normalized'!$D:$D, MATCH($A64, 'UZ-normalized'!$A:$A, 0))-INDEX('UZ-normalized'!$E:$E, MATCH($A64, 'UZ-normalized'!$A:$A, 0))), 0), 0)))</f>
        <v>0</v>
      </c>
      <c r="AM64" s="6">
        <f>MIN(0, N64+(IFERROR(IF(25*INDEX('UA-normalized'!$D:$D, MATCH($A64, 'UA-normalized'!$A:$A, 0))-INDEX('UA-normalized'!$E:$E, MATCH($A64, 'UA-normalized'!$A:$A, 0))&gt;0, -(25*INDEX('UA-normalized'!$D:$D, MATCH($A64, 'UA-normalized'!$A:$A, 0))-INDEX('UA-normalized'!$E:$E, MATCH($A64, 'UA-normalized'!$A:$A, 0))), 0), 0))+(IFERROR(IF(25*INDEX('KZ-normalized'!$D:$D, MATCH($A64, 'KZ-normalized'!$A:$A, 0))-INDEX('KZ-normalized'!$E:$E, MATCH($A64, 'KZ-normalized'!$A:$A, 0))&gt;0, -(25*INDEX('KZ-normalized'!$D:$D, MATCH($A64, 'KZ-normalized'!$A:$A, 0))-INDEX('KZ-normalized'!$E:$E, MATCH($A64, 'KZ-normalized'!$A:$A, 0))), 0), 0))+(IFERROR(IF(25*INDEX('UZ-normalized'!$D:$D, MATCH($A64, 'UZ-normalized'!$A:$A, 0))-INDEX('UZ-normalized'!$E:$E, MATCH($A64, 'UZ-normalized'!$A:$A, 0))&gt;0, -(25*INDEX('UZ-normalized'!$D:$D, MATCH($A64, 'UZ-normalized'!$A:$A, 0))-INDEX('UZ-normalized'!$E:$E, MATCH($A64, 'UZ-normalized'!$A:$A, 0))), 0), 0)))</f>
        <v>0</v>
      </c>
      <c r="AN64" s="6">
        <f>MIN(0, N64+(IFERROR(IF(26*INDEX('UA-normalized'!$D:$D, MATCH($A64, 'UA-normalized'!$A:$A, 0))-INDEX('UA-normalized'!$E:$E, MATCH($A64, 'UA-normalized'!$A:$A, 0))&gt;0, -(26*INDEX('UA-normalized'!$D:$D, MATCH($A64, 'UA-normalized'!$A:$A, 0))-INDEX('UA-normalized'!$E:$E, MATCH($A64, 'UA-normalized'!$A:$A, 0))), 0), 0))+(IFERROR(IF(26*INDEX('KZ-normalized'!$D:$D, MATCH($A64, 'KZ-normalized'!$A:$A, 0))-INDEX('KZ-normalized'!$E:$E, MATCH($A64, 'KZ-normalized'!$A:$A, 0))&gt;0, -(26*INDEX('KZ-normalized'!$D:$D, MATCH($A64, 'KZ-normalized'!$A:$A, 0))-INDEX('KZ-normalized'!$E:$E, MATCH($A64, 'KZ-normalized'!$A:$A, 0))), 0), 0))+(IFERROR(IF(26*INDEX('UZ-normalized'!$D:$D, MATCH($A64, 'UZ-normalized'!$A:$A, 0))-INDEX('UZ-normalized'!$E:$E, MATCH($A64, 'UZ-normalized'!$A:$A, 0))&gt;0, -(26*INDEX('UZ-normalized'!$D:$D, MATCH($A64, 'UZ-normalized'!$A:$A, 0))-INDEX('UZ-normalized'!$E:$E, MATCH($A64, 'UZ-normalized'!$A:$A, 0))), 0), 0)))</f>
        <v>0</v>
      </c>
      <c r="AO64" s="6">
        <f>MIN(0, N64+(IFERROR(IF(27*INDEX('UA-normalized'!$D:$D, MATCH($A64, 'UA-normalized'!$A:$A, 0))-INDEX('UA-normalized'!$E:$E, MATCH($A64, 'UA-normalized'!$A:$A, 0))&gt;0, -(27*INDEX('UA-normalized'!$D:$D, MATCH($A64, 'UA-normalized'!$A:$A, 0))-INDEX('UA-normalized'!$E:$E, MATCH($A64, 'UA-normalized'!$A:$A, 0))), 0), 0))+(IFERROR(IF(27*INDEX('KZ-normalized'!$D:$D, MATCH($A64, 'KZ-normalized'!$A:$A, 0))-INDEX('KZ-normalized'!$E:$E, MATCH($A64, 'KZ-normalized'!$A:$A, 0))&gt;0, -(27*INDEX('KZ-normalized'!$D:$D, MATCH($A64, 'KZ-normalized'!$A:$A, 0))-INDEX('KZ-normalized'!$E:$E, MATCH($A64, 'KZ-normalized'!$A:$A, 0))), 0), 0))+(IFERROR(IF(27*INDEX('UZ-normalized'!$D:$D, MATCH($A64, 'UZ-normalized'!$A:$A, 0))-INDEX('UZ-normalized'!$E:$E, MATCH($A64, 'UZ-normalized'!$A:$A, 0))&gt;0, -(27*INDEX('UZ-normalized'!$D:$D, MATCH($A64, 'UZ-normalized'!$A:$A, 0))-INDEX('UZ-normalized'!$E:$E, MATCH($A64, 'UZ-normalized'!$A:$A, 0))), 0), 0)))</f>
        <v>0</v>
      </c>
      <c r="AP64" s="6">
        <f>MIN(0, N64+(IFERROR(IF(28*INDEX('UA-normalized'!$D:$D, MATCH($A64, 'UA-normalized'!$A:$A, 0))-INDEX('UA-normalized'!$E:$E, MATCH($A64, 'UA-normalized'!$A:$A, 0))&gt;0, -(28*INDEX('UA-normalized'!$D:$D, MATCH($A64, 'UA-normalized'!$A:$A, 0))-INDEX('UA-normalized'!$E:$E, MATCH($A64, 'UA-normalized'!$A:$A, 0))), 0), 0))+(IFERROR(IF(28*INDEX('KZ-normalized'!$D:$D, MATCH($A64, 'KZ-normalized'!$A:$A, 0))-INDEX('KZ-normalized'!$E:$E, MATCH($A64, 'KZ-normalized'!$A:$A, 0))&gt;0, -(28*INDEX('KZ-normalized'!$D:$D, MATCH($A64, 'KZ-normalized'!$A:$A, 0))-INDEX('KZ-normalized'!$E:$E, MATCH($A64, 'KZ-normalized'!$A:$A, 0))), 0), 0))+(IFERROR(IF(28*INDEX('UZ-normalized'!$D:$D, MATCH($A64, 'UZ-normalized'!$A:$A, 0))-INDEX('UZ-normalized'!$E:$E, MATCH($A64, 'UZ-normalized'!$A:$A, 0))&gt;0, -(28*INDEX('UZ-normalized'!$D:$D, MATCH($A64, 'UZ-normalized'!$A:$A, 0))-INDEX('UZ-normalized'!$E:$E, MATCH($A64, 'UZ-normalized'!$A:$A, 0))), 0), 0)))</f>
        <v>0</v>
      </c>
      <c r="AQ64" s="6">
        <f>MIN(0, N64+(IFERROR(IF(29*INDEX('UA-normalized'!$D:$D, MATCH($A64, 'UA-normalized'!$A:$A, 0))-INDEX('UA-normalized'!$E:$E, MATCH($A64, 'UA-normalized'!$A:$A, 0))&gt;0, -(29*INDEX('UA-normalized'!$D:$D, MATCH($A64, 'UA-normalized'!$A:$A, 0))-INDEX('UA-normalized'!$E:$E, MATCH($A64, 'UA-normalized'!$A:$A, 0))), 0), 0))+(IFERROR(IF(29*INDEX('KZ-normalized'!$D:$D, MATCH($A64, 'KZ-normalized'!$A:$A, 0))-INDEX('KZ-normalized'!$E:$E, MATCH($A64, 'KZ-normalized'!$A:$A, 0))&gt;0, -(29*INDEX('KZ-normalized'!$D:$D, MATCH($A64, 'KZ-normalized'!$A:$A, 0))-INDEX('KZ-normalized'!$E:$E, MATCH($A64, 'KZ-normalized'!$A:$A, 0))), 0), 0))+(IFERROR(IF(29*INDEX('UZ-normalized'!$D:$D, MATCH($A64, 'UZ-normalized'!$A:$A, 0))-INDEX('UZ-normalized'!$E:$E, MATCH($A64, 'UZ-normalized'!$A:$A, 0))&gt;0, -(29*INDEX('UZ-normalized'!$D:$D, MATCH($A64, 'UZ-normalized'!$A:$A, 0))-INDEX('UZ-normalized'!$E:$E, MATCH($A64, 'UZ-normalized'!$A:$A, 0))), 0), 0)))</f>
        <v>0</v>
      </c>
      <c r="AR64" s="6">
        <f>MIN(0, N64+(IFERROR(IF(30*INDEX('UA-normalized'!$D:$D, MATCH($A64, 'UA-normalized'!$A:$A, 0))-INDEX('UA-normalized'!$E:$E, MATCH($A64, 'UA-normalized'!$A:$A, 0))&gt;0, -(30*INDEX('UA-normalized'!$D:$D, MATCH($A64, 'UA-normalized'!$A:$A, 0))-INDEX('UA-normalized'!$E:$E, MATCH($A64, 'UA-normalized'!$A:$A, 0))), 0), 0))+(IFERROR(IF(30*INDEX('KZ-normalized'!$D:$D, MATCH($A64, 'KZ-normalized'!$A:$A, 0))-INDEX('KZ-normalized'!$E:$E, MATCH($A64, 'KZ-normalized'!$A:$A, 0))&gt;0, -(30*INDEX('KZ-normalized'!$D:$D, MATCH($A64, 'KZ-normalized'!$A:$A, 0))-INDEX('KZ-normalized'!$E:$E, MATCH($A64, 'KZ-normalized'!$A:$A, 0))), 0), 0))+(IFERROR(IF(30*INDEX('UZ-normalized'!$D:$D, MATCH($A64, 'UZ-normalized'!$A:$A, 0))-INDEX('UZ-normalized'!$E:$E, MATCH($A64, 'UZ-normalized'!$A:$A, 0))&gt;0, -(30*INDEX('UZ-normalized'!$D:$D, MATCH($A64, 'UZ-normalized'!$A:$A, 0))-INDEX('UZ-normalized'!$E:$E, MATCH($A64, 'UZ-normalized'!$A:$A, 0))), 0), 0)))</f>
        <v>0</v>
      </c>
    </row>
    <row r="65" spans="1:44" x14ac:dyDescent="0.25">
      <c r="A65" s="8" t="s">
        <v>177</v>
      </c>
      <c r="B65" s="8" t="s">
        <v>166</v>
      </c>
      <c r="C65" s="8" t="s">
        <v>174</v>
      </c>
      <c r="D65" s="8" t="s">
        <v>178</v>
      </c>
      <c r="E65">
        <v>250</v>
      </c>
      <c r="N65">
        <f t="shared" si="0"/>
        <v>250</v>
      </c>
      <c r="O65" s="6">
        <f>MIN(0, N65+(IFERROR(IF(1*INDEX('UA-normalized'!$D:$D, MATCH($A65, 'UA-normalized'!$A:$A, 0))-INDEX('UA-normalized'!$E:$E, MATCH($A65, 'UA-normalized'!$A:$A, 0))&gt;0, -(1*INDEX('UA-normalized'!$D:$D, MATCH($A65, 'UA-normalized'!$A:$A, 0))-INDEX('UA-normalized'!$E:$E, MATCH($A65, 'UA-normalized'!$A:$A, 0))), 0), 0))+(IFERROR(IF(1*INDEX('KZ-normalized'!$D:$D, MATCH($A65, 'KZ-normalized'!$A:$A, 0))-INDEX('KZ-normalized'!$E:$E, MATCH($A65, 'KZ-normalized'!$A:$A, 0))&gt;0, -(1*INDEX('KZ-normalized'!$D:$D, MATCH($A65, 'KZ-normalized'!$A:$A, 0))-INDEX('KZ-normalized'!$E:$E, MATCH($A65, 'KZ-normalized'!$A:$A, 0))), 0), 0))+(IFERROR(IF(1*INDEX('UZ-normalized'!$D:$D, MATCH($A65, 'UZ-normalized'!$A:$A, 0))-INDEX('UZ-normalized'!$E:$E, MATCH($A65, 'UZ-normalized'!$A:$A, 0))&gt;0, -(1*INDEX('UZ-normalized'!$D:$D, MATCH($A65, 'UZ-normalized'!$A:$A, 0))-INDEX('UZ-normalized'!$E:$E, MATCH($A65, 'UZ-normalized'!$A:$A, 0))), 0), 0)))</f>
        <v>0</v>
      </c>
      <c r="P65" s="6">
        <f>MIN(0, N65+(IFERROR(IF(2*INDEX('UA-normalized'!$D:$D, MATCH($A65, 'UA-normalized'!$A:$A, 0))-INDEX('UA-normalized'!$E:$E, MATCH($A65, 'UA-normalized'!$A:$A, 0))&gt;0, -(2*INDEX('UA-normalized'!$D:$D, MATCH($A65, 'UA-normalized'!$A:$A, 0))-INDEX('UA-normalized'!$E:$E, MATCH($A65, 'UA-normalized'!$A:$A, 0))), 0), 0))+(IFERROR(IF(2*INDEX('KZ-normalized'!$D:$D, MATCH($A65, 'KZ-normalized'!$A:$A, 0))-INDEX('KZ-normalized'!$E:$E, MATCH($A65, 'KZ-normalized'!$A:$A, 0))&gt;0, -(2*INDEX('KZ-normalized'!$D:$D, MATCH($A65, 'KZ-normalized'!$A:$A, 0))-INDEX('KZ-normalized'!$E:$E, MATCH($A65, 'KZ-normalized'!$A:$A, 0))), 0), 0))+(IFERROR(IF(2*INDEX('UZ-normalized'!$D:$D, MATCH($A65, 'UZ-normalized'!$A:$A, 0))-INDEX('UZ-normalized'!$E:$E, MATCH($A65, 'UZ-normalized'!$A:$A, 0))&gt;0, -(2*INDEX('UZ-normalized'!$D:$D, MATCH($A65, 'UZ-normalized'!$A:$A, 0))-INDEX('UZ-normalized'!$E:$E, MATCH($A65, 'UZ-normalized'!$A:$A, 0))), 0), 0)))</f>
        <v>0</v>
      </c>
      <c r="Q65" s="6">
        <f>MIN(0, N65+(IFERROR(IF(3*INDEX('UA-normalized'!$D:$D, MATCH($A65, 'UA-normalized'!$A:$A, 0))-INDEX('UA-normalized'!$E:$E, MATCH($A65, 'UA-normalized'!$A:$A, 0))&gt;0, -(3*INDEX('UA-normalized'!$D:$D, MATCH($A65, 'UA-normalized'!$A:$A, 0))-INDEX('UA-normalized'!$E:$E, MATCH($A65, 'UA-normalized'!$A:$A, 0))), 0), 0))+(IFERROR(IF(3*INDEX('KZ-normalized'!$D:$D, MATCH($A65, 'KZ-normalized'!$A:$A, 0))-INDEX('KZ-normalized'!$E:$E, MATCH($A65, 'KZ-normalized'!$A:$A, 0))&gt;0, -(3*INDEX('KZ-normalized'!$D:$D, MATCH($A65, 'KZ-normalized'!$A:$A, 0))-INDEX('KZ-normalized'!$E:$E, MATCH($A65, 'KZ-normalized'!$A:$A, 0))), 0), 0))+(IFERROR(IF(3*INDEX('UZ-normalized'!$D:$D, MATCH($A65, 'UZ-normalized'!$A:$A, 0))-INDEX('UZ-normalized'!$E:$E, MATCH($A65, 'UZ-normalized'!$A:$A, 0))&gt;0, -(3*INDEX('UZ-normalized'!$D:$D, MATCH($A65, 'UZ-normalized'!$A:$A, 0))-INDEX('UZ-normalized'!$E:$E, MATCH($A65, 'UZ-normalized'!$A:$A, 0))), 0), 0)))</f>
        <v>0</v>
      </c>
      <c r="R65" s="6">
        <f>MIN(0, N65+(IFERROR(IF(4*INDEX('UA-normalized'!$D:$D, MATCH($A65, 'UA-normalized'!$A:$A, 0))-INDEX('UA-normalized'!$E:$E, MATCH($A65, 'UA-normalized'!$A:$A, 0))&gt;0, -(4*INDEX('UA-normalized'!$D:$D, MATCH($A65, 'UA-normalized'!$A:$A, 0))-INDEX('UA-normalized'!$E:$E, MATCH($A65, 'UA-normalized'!$A:$A, 0))), 0), 0))+(IFERROR(IF(4*INDEX('KZ-normalized'!$D:$D, MATCH($A65, 'KZ-normalized'!$A:$A, 0))-INDEX('KZ-normalized'!$E:$E, MATCH($A65, 'KZ-normalized'!$A:$A, 0))&gt;0, -(4*INDEX('KZ-normalized'!$D:$D, MATCH($A65, 'KZ-normalized'!$A:$A, 0))-INDEX('KZ-normalized'!$E:$E, MATCH($A65, 'KZ-normalized'!$A:$A, 0))), 0), 0))+(IFERROR(IF(4*INDEX('UZ-normalized'!$D:$D, MATCH($A65, 'UZ-normalized'!$A:$A, 0))-INDEX('UZ-normalized'!$E:$E, MATCH($A65, 'UZ-normalized'!$A:$A, 0))&gt;0, -(4*INDEX('UZ-normalized'!$D:$D, MATCH($A65, 'UZ-normalized'!$A:$A, 0))-INDEX('UZ-normalized'!$E:$E, MATCH($A65, 'UZ-normalized'!$A:$A, 0))), 0), 0)))</f>
        <v>0</v>
      </c>
      <c r="S65" s="6">
        <f>MIN(0, N65+(IFERROR(IF(5*INDEX('UA-normalized'!$D:$D, MATCH($A65, 'UA-normalized'!$A:$A, 0))-INDEX('UA-normalized'!$E:$E, MATCH($A65, 'UA-normalized'!$A:$A, 0))&gt;0, -(5*INDEX('UA-normalized'!$D:$D, MATCH($A65, 'UA-normalized'!$A:$A, 0))-INDEX('UA-normalized'!$E:$E, MATCH($A65, 'UA-normalized'!$A:$A, 0))), 0), 0))+(IFERROR(IF(5*INDEX('KZ-normalized'!$D:$D, MATCH($A65, 'KZ-normalized'!$A:$A, 0))-INDEX('KZ-normalized'!$E:$E, MATCH($A65, 'KZ-normalized'!$A:$A, 0))&gt;0, -(5*INDEX('KZ-normalized'!$D:$D, MATCH($A65, 'KZ-normalized'!$A:$A, 0))-INDEX('KZ-normalized'!$E:$E, MATCH($A65, 'KZ-normalized'!$A:$A, 0))), 0), 0))+(IFERROR(IF(5*INDEX('UZ-normalized'!$D:$D, MATCH($A65, 'UZ-normalized'!$A:$A, 0))-INDEX('UZ-normalized'!$E:$E, MATCH($A65, 'UZ-normalized'!$A:$A, 0))&gt;0, -(5*INDEX('UZ-normalized'!$D:$D, MATCH($A65, 'UZ-normalized'!$A:$A, 0))-INDEX('UZ-normalized'!$E:$E, MATCH($A65, 'UZ-normalized'!$A:$A, 0))), 0), 0)))</f>
        <v>0</v>
      </c>
      <c r="T65" s="6">
        <f>MIN(0, N65+(IFERROR(IF(6*INDEX('UA-normalized'!$D:$D, MATCH($A65, 'UA-normalized'!$A:$A, 0))-INDEX('UA-normalized'!$E:$E, MATCH($A65, 'UA-normalized'!$A:$A, 0))&gt;0, -(6*INDEX('UA-normalized'!$D:$D, MATCH($A65, 'UA-normalized'!$A:$A, 0))-INDEX('UA-normalized'!$E:$E, MATCH($A65, 'UA-normalized'!$A:$A, 0))), 0), 0))+(IFERROR(IF(6*INDEX('KZ-normalized'!$D:$D, MATCH($A65, 'KZ-normalized'!$A:$A, 0))-INDEX('KZ-normalized'!$E:$E, MATCH($A65, 'KZ-normalized'!$A:$A, 0))&gt;0, -(6*INDEX('KZ-normalized'!$D:$D, MATCH($A65, 'KZ-normalized'!$A:$A, 0))-INDEX('KZ-normalized'!$E:$E, MATCH($A65, 'KZ-normalized'!$A:$A, 0))), 0), 0))+(IFERROR(IF(6*INDEX('UZ-normalized'!$D:$D, MATCH($A65, 'UZ-normalized'!$A:$A, 0))-INDEX('UZ-normalized'!$E:$E, MATCH($A65, 'UZ-normalized'!$A:$A, 0))&gt;0, -(6*INDEX('UZ-normalized'!$D:$D, MATCH($A65, 'UZ-normalized'!$A:$A, 0))-INDEX('UZ-normalized'!$E:$E, MATCH($A65, 'UZ-normalized'!$A:$A, 0))), 0), 0)))</f>
        <v>0</v>
      </c>
      <c r="U65" s="6">
        <f>MIN(0, N65+(IFERROR(IF(7*INDEX('UA-normalized'!$D:$D, MATCH($A65, 'UA-normalized'!$A:$A, 0))-INDEX('UA-normalized'!$E:$E, MATCH($A65, 'UA-normalized'!$A:$A, 0))&gt;0, -(7*INDEX('UA-normalized'!$D:$D, MATCH($A65, 'UA-normalized'!$A:$A, 0))-INDEX('UA-normalized'!$E:$E, MATCH($A65, 'UA-normalized'!$A:$A, 0))), 0), 0))+(IFERROR(IF(7*INDEX('KZ-normalized'!$D:$D, MATCH($A65, 'KZ-normalized'!$A:$A, 0))-INDEX('KZ-normalized'!$E:$E, MATCH($A65, 'KZ-normalized'!$A:$A, 0))&gt;0, -(7*INDEX('KZ-normalized'!$D:$D, MATCH($A65, 'KZ-normalized'!$A:$A, 0))-INDEX('KZ-normalized'!$E:$E, MATCH($A65, 'KZ-normalized'!$A:$A, 0))), 0), 0))+(IFERROR(IF(7*INDEX('UZ-normalized'!$D:$D, MATCH($A65, 'UZ-normalized'!$A:$A, 0))-INDEX('UZ-normalized'!$E:$E, MATCH($A65, 'UZ-normalized'!$A:$A, 0))&gt;0, -(7*INDEX('UZ-normalized'!$D:$D, MATCH($A65, 'UZ-normalized'!$A:$A, 0))-INDEX('UZ-normalized'!$E:$E, MATCH($A65, 'UZ-normalized'!$A:$A, 0))), 0), 0)))</f>
        <v>0</v>
      </c>
      <c r="V65" s="6">
        <f>MIN(0, N65+(IFERROR(IF(8*INDEX('UA-normalized'!$D:$D, MATCH($A65, 'UA-normalized'!$A:$A, 0))-INDEX('UA-normalized'!$E:$E, MATCH($A65, 'UA-normalized'!$A:$A, 0))&gt;0, -(8*INDEX('UA-normalized'!$D:$D, MATCH($A65, 'UA-normalized'!$A:$A, 0))-INDEX('UA-normalized'!$E:$E, MATCH($A65, 'UA-normalized'!$A:$A, 0))), 0), 0))+(IFERROR(IF(8*INDEX('KZ-normalized'!$D:$D, MATCH($A65, 'KZ-normalized'!$A:$A, 0))-INDEX('KZ-normalized'!$E:$E, MATCH($A65, 'KZ-normalized'!$A:$A, 0))&gt;0, -(8*INDEX('KZ-normalized'!$D:$D, MATCH($A65, 'KZ-normalized'!$A:$A, 0))-INDEX('KZ-normalized'!$E:$E, MATCH($A65, 'KZ-normalized'!$A:$A, 0))), 0), 0))+(IFERROR(IF(8*INDEX('UZ-normalized'!$D:$D, MATCH($A65, 'UZ-normalized'!$A:$A, 0))-INDEX('UZ-normalized'!$E:$E, MATCH($A65, 'UZ-normalized'!$A:$A, 0))&gt;0, -(8*INDEX('UZ-normalized'!$D:$D, MATCH($A65, 'UZ-normalized'!$A:$A, 0))-INDEX('UZ-normalized'!$E:$E, MATCH($A65, 'UZ-normalized'!$A:$A, 0))), 0), 0)))</f>
        <v>0</v>
      </c>
      <c r="W65" s="6">
        <f>MIN(0, N65+(IFERROR(IF(9*INDEX('UA-normalized'!$D:$D, MATCH($A65, 'UA-normalized'!$A:$A, 0))-INDEX('UA-normalized'!$E:$E, MATCH($A65, 'UA-normalized'!$A:$A, 0))&gt;0, -(9*INDEX('UA-normalized'!$D:$D, MATCH($A65, 'UA-normalized'!$A:$A, 0))-INDEX('UA-normalized'!$E:$E, MATCH($A65, 'UA-normalized'!$A:$A, 0))), 0), 0))+(IFERROR(IF(9*INDEX('KZ-normalized'!$D:$D, MATCH($A65, 'KZ-normalized'!$A:$A, 0))-INDEX('KZ-normalized'!$E:$E, MATCH($A65, 'KZ-normalized'!$A:$A, 0))&gt;0, -(9*INDEX('KZ-normalized'!$D:$D, MATCH($A65, 'KZ-normalized'!$A:$A, 0))-INDEX('KZ-normalized'!$E:$E, MATCH($A65, 'KZ-normalized'!$A:$A, 0))), 0), 0))+(IFERROR(IF(9*INDEX('UZ-normalized'!$D:$D, MATCH($A65, 'UZ-normalized'!$A:$A, 0))-INDEX('UZ-normalized'!$E:$E, MATCH($A65, 'UZ-normalized'!$A:$A, 0))&gt;0, -(9*INDEX('UZ-normalized'!$D:$D, MATCH($A65, 'UZ-normalized'!$A:$A, 0))-INDEX('UZ-normalized'!$E:$E, MATCH($A65, 'UZ-normalized'!$A:$A, 0))), 0), 0)))</f>
        <v>0</v>
      </c>
      <c r="X65" s="6">
        <f>MIN(0, N65+(IFERROR(IF(10*INDEX('UA-normalized'!$D:$D, MATCH($A65, 'UA-normalized'!$A:$A, 0))-INDEX('UA-normalized'!$E:$E, MATCH($A65, 'UA-normalized'!$A:$A, 0))&gt;0, -(10*INDEX('UA-normalized'!$D:$D, MATCH($A65, 'UA-normalized'!$A:$A, 0))-INDEX('UA-normalized'!$E:$E, MATCH($A65, 'UA-normalized'!$A:$A, 0))), 0), 0))+(IFERROR(IF(10*INDEX('KZ-normalized'!$D:$D, MATCH($A65, 'KZ-normalized'!$A:$A, 0))-INDEX('KZ-normalized'!$E:$E, MATCH($A65, 'KZ-normalized'!$A:$A, 0))&gt;0, -(10*INDEX('KZ-normalized'!$D:$D, MATCH($A65, 'KZ-normalized'!$A:$A, 0))-INDEX('KZ-normalized'!$E:$E, MATCH($A65, 'KZ-normalized'!$A:$A, 0))), 0), 0))+(IFERROR(IF(10*INDEX('UZ-normalized'!$D:$D, MATCH($A65, 'UZ-normalized'!$A:$A, 0))-INDEX('UZ-normalized'!$E:$E, MATCH($A65, 'UZ-normalized'!$A:$A, 0))&gt;0, -(10*INDEX('UZ-normalized'!$D:$D, MATCH($A65, 'UZ-normalized'!$A:$A, 0))-INDEX('UZ-normalized'!$E:$E, MATCH($A65, 'UZ-normalized'!$A:$A, 0))), 0), 0)))</f>
        <v>0</v>
      </c>
      <c r="Y65" s="6">
        <f>MIN(0, N65+(IFERROR(IF(11*INDEX('UA-normalized'!$D:$D, MATCH($A65, 'UA-normalized'!$A:$A, 0))-INDEX('UA-normalized'!$E:$E, MATCH($A65, 'UA-normalized'!$A:$A, 0))&gt;0, -(11*INDEX('UA-normalized'!$D:$D, MATCH($A65, 'UA-normalized'!$A:$A, 0))-INDEX('UA-normalized'!$E:$E, MATCH($A65, 'UA-normalized'!$A:$A, 0))), 0), 0))+(IFERROR(IF(11*INDEX('KZ-normalized'!$D:$D, MATCH($A65, 'KZ-normalized'!$A:$A, 0))-INDEX('KZ-normalized'!$E:$E, MATCH($A65, 'KZ-normalized'!$A:$A, 0))&gt;0, -(11*INDEX('KZ-normalized'!$D:$D, MATCH($A65, 'KZ-normalized'!$A:$A, 0))-INDEX('KZ-normalized'!$E:$E, MATCH($A65, 'KZ-normalized'!$A:$A, 0))), 0), 0))+(IFERROR(IF(11*INDEX('UZ-normalized'!$D:$D, MATCH($A65, 'UZ-normalized'!$A:$A, 0))-INDEX('UZ-normalized'!$E:$E, MATCH($A65, 'UZ-normalized'!$A:$A, 0))&gt;0, -(11*INDEX('UZ-normalized'!$D:$D, MATCH($A65, 'UZ-normalized'!$A:$A, 0))-INDEX('UZ-normalized'!$E:$E, MATCH($A65, 'UZ-normalized'!$A:$A, 0))), 0), 0)))</f>
        <v>0</v>
      </c>
      <c r="Z65" s="6">
        <f>MIN(0, N65+(IFERROR(IF(12*INDEX('UA-normalized'!$D:$D, MATCH($A65, 'UA-normalized'!$A:$A, 0))-INDEX('UA-normalized'!$E:$E, MATCH($A65, 'UA-normalized'!$A:$A, 0))&gt;0, -(12*INDEX('UA-normalized'!$D:$D, MATCH($A65, 'UA-normalized'!$A:$A, 0))-INDEX('UA-normalized'!$E:$E, MATCH($A65, 'UA-normalized'!$A:$A, 0))), 0), 0))+(IFERROR(IF(12*INDEX('KZ-normalized'!$D:$D, MATCH($A65, 'KZ-normalized'!$A:$A, 0))-INDEX('KZ-normalized'!$E:$E, MATCH($A65, 'KZ-normalized'!$A:$A, 0))&gt;0, -(12*INDEX('KZ-normalized'!$D:$D, MATCH($A65, 'KZ-normalized'!$A:$A, 0))-INDEX('KZ-normalized'!$E:$E, MATCH($A65, 'KZ-normalized'!$A:$A, 0))), 0), 0))+(IFERROR(IF(12*INDEX('UZ-normalized'!$D:$D, MATCH($A65, 'UZ-normalized'!$A:$A, 0))-INDEX('UZ-normalized'!$E:$E, MATCH($A65, 'UZ-normalized'!$A:$A, 0))&gt;0, -(12*INDEX('UZ-normalized'!$D:$D, MATCH($A65, 'UZ-normalized'!$A:$A, 0))-INDEX('UZ-normalized'!$E:$E, MATCH($A65, 'UZ-normalized'!$A:$A, 0))), 0), 0)))</f>
        <v>0</v>
      </c>
      <c r="AA65" s="6">
        <f>MIN(0, N65+(IFERROR(IF(13*INDEX('UA-normalized'!$D:$D, MATCH($A65, 'UA-normalized'!$A:$A, 0))-INDEX('UA-normalized'!$E:$E, MATCH($A65, 'UA-normalized'!$A:$A, 0))&gt;0, -(13*INDEX('UA-normalized'!$D:$D, MATCH($A65, 'UA-normalized'!$A:$A, 0))-INDEX('UA-normalized'!$E:$E, MATCH($A65, 'UA-normalized'!$A:$A, 0))), 0), 0))+(IFERROR(IF(13*INDEX('KZ-normalized'!$D:$D, MATCH($A65, 'KZ-normalized'!$A:$A, 0))-INDEX('KZ-normalized'!$E:$E, MATCH($A65, 'KZ-normalized'!$A:$A, 0))&gt;0, -(13*INDEX('KZ-normalized'!$D:$D, MATCH($A65, 'KZ-normalized'!$A:$A, 0))-INDEX('KZ-normalized'!$E:$E, MATCH($A65, 'KZ-normalized'!$A:$A, 0))), 0), 0))+(IFERROR(IF(13*INDEX('UZ-normalized'!$D:$D, MATCH($A65, 'UZ-normalized'!$A:$A, 0))-INDEX('UZ-normalized'!$E:$E, MATCH($A65, 'UZ-normalized'!$A:$A, 0))&gt;0, -(13*INDEX('UZ-normalized'!$D:$D, MATCH($A65, 'UZ-normalized'!$A:$A, 0))-INDEX('UZ-normalized'!$E:$E, MATCH($A65, 'UZ-normalized'!$A:$A, 0))), 0), 0)))</f>
        <v>0</v>
      </c>
      <c r="AB65" s="6">
        <f>MIN(0, N65+(IFERROR(IF(14*INDEX('UA-normalized'!$D:$D, MATCH($A65, 'UA-normalized'!$A:$A, 0))-INDEX('UA-normalized'!$E:$E, MATCH($A65, 'UA-normalized'!$A:$A, 0))&gt;0, -(14*INDEX('UA-normalized'!$D:$D, MATCH($A65, 'UA-normalized'!$A:$A, 0))-INDEX('UA-normalized'!$E:$E, MATCH($A65, 'UA-normalized'!$A:$A, 0))), 0), 0))+(IFERROR(IF(14*INDEX('KZ-normalized'!$D:$D, MATCH($A65, 'KZ-normalized'!$A:$A, 0))-INDEX('KZ-normalized'!$E:$E, MATCH($A65, 'KZ-normalized'!$A:$A, 0))&gt;0, -(14*INDEX('KZ-normalized'!$D:$D, MATCH($A65, 'KZ-normalized'!$A:$A, 0))-INDEX('KZ-normalized'!$E:$E, MATCH($A65, 'KZ-normalized'!$A:$A, 0))), 0), 0))+(IFERROR(IF(14*INDEX('UZ-normalized'!$D:$D, MATCH($A65, 'UZ-normalized'!$A:$A, 0))-INDEX('UZ-normalized'!$E:$E, MATCH($A65, 'UZ-normalized'!$A:$A, 0))&gt;0, -(14*INDEX('UZ-normalized'!$D:$D, MATCH($A65, 'UZ-normalized'!$A:$A, 0))-INDEX('UZ-normalized'!$E:$E, MATCH($A65, 'UZ-normalized'!$A:$A, 0))), 0), 0)))</f>
        <v>0</v>
      </c>
      <c r="AC65" s="6">
        <f>MIN(0, N65+(IFERROR(IF(15*INDEX('UA-normalized'!$D:$D, MATCH($A65, 'UA-normalized'!$A:$A, 0))-INDEX('UA-normalized'!$E:$E, MATCH($A65, 'UA-normalized'!$A:$A, 0))&gt;0, -(15*INDEX('UA-normalized'!$D:$D, MATCH($A65, 'UA-normalized'!$A:$A, 0))-INDEX('UA-normalized'!$E:$E, MATCH($A65, 'UA-normalized'!$A:$A, 0))), 0), 0))+(IFERROR(IF(15*INDEX('KZ-normalized'!$D:$D, MATCH($A65, 'KZ-normalized'!$A:$A, 0))-INDEX('KZ-normalized'!$E:$E, MATCH($A65, 'KZ-normalized'!$A:$A, 0))&gt;0, -(15*INDEX('KZ-normalized'!$D:$D, MATCH($A65, 'KZ-normalized'!$A:$A, 0))-INDEX('KZ-normalized'!$E:$E, MATCH($A65, 'KZ-normalized'!$A:$A, 0))), 0), 0))+(IFERROR(IF(15*INDEX('UZ-normalized'!$D:$D, MATCH($A65, 'UZ-normalized'!$A:$A, 0))-INDEX('UZ-normalized'!$E:$E, MATCH($A65, 'UZ-normalized'!$A:$A, 0))&gt;0, -(15*INDEX('UZ-normalized'!$D:$D, MATCH($A65, 'UZ-normalized'!$A:$A, 0))-INDEX('UZ-normalized'!$E:$E, MATCH($A65, 'UZ-normalized'!$A:$A, 0))), 0), 0)))</f>
        <v>0</v>
      </c>
      <c r="AD65" s="6">
        <f>MIN(0, N65+(IFERROR(IF(16*INDEX('UA-normalized'!$D:$D, MATCH($A65, 'UA-normalized'!$A:$A, 0))-INDEX('UA-normalized'!$E:$E, MATCH($A65, 'UA-normalized'!$A:$A, 0))&gt;0, -(16*INDEX('UA-normalized'!$D:$D, MATCH($A65, 'UA-normalized'!$A:$A, 0))-INDEX('UA-normalized'!$E:$E, MATCH($A65, 'UA-normalized'!$A:$A, 0))), 0), 0))+(IFERROR(IF(16*INDEX('KZ-normalized'!$D:$D, MATCH($A65, 'KZ-normalized'!$A:$A, 0))-INDEX('KZ-normalized'!$E:$E, MATCH($A65, 'KZ-normalized'!$A:$A, 0))&gt;0, -(16*INDEX('KZ-normalized'!$D:$D, MATCH($A65, 'KZ-normalized'!$A:$A, 0))-INDEX('KZ-normalized'!$E:$E, MATCH($A65, 'KZ-normalized'!$A:$A, 0))), 0), 0))+(IFERROR(IF(16*INDEX('UZ-normalized'!$D:$D, MATCH($A65, 'UZ-normalized'!$A:$A, 0))-INDEX('UZ-normalized'!$E:$E, MATCH($A65, 'UZ-normalized'!$A:$A, 0))&gt;0, -(16*INDEX('UZ-normalized'!$D:$D, MATCH($A65, 'UZ-normalized'!$A:$A, 0))-INDEX('UZ-normalized'!$E:$E, MATCH($A65, 'UZ-normalized'!$A:$A, 0))), 0), 0)))</f>
        <v>0</v>
      </c>
      <c r="AE65" s="6">
        <f>MIN(0, N65+(IFERROR(IF(17*INDEX('UA-normalized'!$D:$D, MATCH($A65, 'UA-normalized'!$A:$A, 0))-INDEX('UA-normalized'!$E:$E, MATCH($A65, 'UA-normalized'!$A:$A, 0))&gt;0, -(17*INDEX('UA-normalized'!$D:$D, MATCH($A65, 'UA-normalized'!$A:$A, 0))-INDEX('UA-normalized'!$E:$E, MATCH($A65, 'UA-normalized'!$A:$A, 0))), 0), 0))+(IFERROR(IF(17*INDEX('KZ-normalized'!$D:$D, MATCH($A65, 'KZ-normalized'!$A:$A, 0))-INDEX('KZ-normalized'!$E:$E, MATCH($A65, 'KZ-normalized'!$A:$A, 0))&gt;0, -(17*INDEX('KZ-normalized'!$D:$D, MATCH($A65, 'KZ-normalized'!$A:$A, 0))-INDEX('KZ-normalized'!$E:$E, MATCH($A65, 'KZ-normalized'!$A:$A, 0))), 0), 0))+(IFERROR(IF(17*INDEX('UZ-normalized'!$D:$D, MATCH($A65, 'UZ-normalized'!$A:$A, 0))-INDEX('UZ-normalized'!$E:$E, MATCH($A65, 'UZ-normalized'!$A:$A, 0))&gt;0, -(17*INDEX('UZ-normalized'!$D:$D, MATCH($A65, 'UZ-normalized'!$A:$A, 0))-INDEX('UZ-normalized'!$E:$E, MATCH($A65, 'UZ-normalized'!$A:$A, 0))), 0), 0)))</f>
        <v>0</v>
      </c>
      <c r="AF65" s="6">
        <f>MIN(0, N65+(IFERROR(IF(18*INDEX('UA-normalized'!$D:$D, MATCH($A65, 'UA-normalized'!$A:$A, 0))-INDEX('UA-normalized'!$E:$E, MATCH($A65, 'UA-normalized'!$A:$A, 0))&gt;0, -(18*INDEX('UA-normalized'!$D:$D, MATCH($A65, 'UA-normalized'!$A:$A, 0))-INDEX('UA-normalized'!$E:$E, MATCH($A65, 'UA-normalized'!$A:$A, 0))), 0), 0))+(IFERROR(IF(18*INDEX('KZ-normalized'!$D:$D, MATCH($A65, 'KZ-normalized'!$A:$A, 0))-INDEX('KZ-normalized'!$E:$E, MATCH($A65, 'KZ-normalized'!$A:$A, 0))&gt;0, -(18*INDEX('KZ-normalized'!$D:$D, MATCH($A65, 'KZ-normalized'!$A:$A, 0))-INDEX('KZ-normalized'!$E:$E, MATCH($A65, 'KZ-normalized'!$A:$A, 0))), 0), 0))+(IFERROR(IF(18*INDEX('UZ-normalized'!$D:$D, MATCH($A65, 'UZ-normalized'!$A:$A, 0))-INDEX('UZ-normalized'!$E:$E, MATCH($A65, 'UZ-normalized'!$A:$A, 0))&gt;0, -(18*INDEX('UZ-normalized'!$D:$D, MATCH($A65, 'UZ-normalized'!$A:$A, 0))-INDEX('UZ-normalized'!$E:$E, MATCH($A65, 'UZ-normalized'!$A:$A, 0))), 0), 0)))</f>
        <v>0</v>
      </c>
      <c r="AG65" s="6">
        <f>MIN(0, N65+(IFERROR(IF(19*INDEX('UA-normalized'!$D:$D, MATCH($A65, 'UA-normalized'!$A:$A, 0))-INDEX('UA-normalized'!$E:$E, MATCH($A65, 'UA-normalized'!$A:$A, 0))&gt;0, -(19*INDEX('UA-normalized'!$D:$D, MATCH($A65, 'UA-normalized'!$A:$A, 0))-INDEX('UA-normalized'!$E:$E, MATCH($A65, 'UA-normalized'!$A:$A, 0))), 0), 0))+(IFERROR(IF(19*INDEX('KZ-normalized'!$D:$D, MATCH($A65, 'KZ-normalized'!$A:$A, 0))-INDEX('KZ-normalized'!$E:$E, MATCH($A65, 'KZ-normalized'!$A:$A, 0))&gt;0, -(19*INDEX('KZ-normalized'!$D:$D, MATCH($A65, 'KZ-normalized'!$A:$A, 0))-INDEX('KZ-normalized'!$E:$E, MATCH($A65, 'KZ-normalized'!$A:$A, 0))), 0), 0))+(IFERROR(IF(19*INDEX('UZ-normalized'!$D:$D, MATCH($A65, 'UZ-normalized'!$A:$A, 0))-INDEX('UZ-normalized'!$E:$E, MATCH($A65, 'UZ-normalized'!$A:$A, 0))&gt;0, -(19*INDEX('UZ-normalized'!$D:$D, MATCH($A65, 'UZ-normalized'!$A:$A, 0))-INDEX('UZ-normalized'!$E:$E, MATCH($A65, 'UZ-normalized'!$A:$A, 0))), 0), 0)))</f>
        <v>0</v>
      </c>
      <c r="AH65" s="6">
        <f>MIN(0, N65+(IFERROR(IF(20*INDEX('UA-normalized'!$D:$D, MATCH($A65, 'UA-normalized'!$A:$A, 0))-INDEX('UA-normalized'!$E:$E, MATCH($A65, 'UA-normalized'!$A:$A, 0))&gt;0, -(20*INDEX('UA-normalized'!$D:$D, MATCH($A65, 'UA-normalized'!$A:$A, 0))-INDEX('UA-normalized'!$E:$E, MATCH($A65, 'UA-normalized'!$A:$A, 0))), 0), 0))+(IFERROR(IF(20*INDEX('KZ-normalized'!$D:$D, MATCH($A65, 'KZ-normalized'!$A:$A, 0))-INDEX('KZ-normalized'!$E:$E, MATCH($A65, 'KZ-normalized'!$A:$A, 0))&gt;0, -(20*INDEX('KZ-normalized'!$D:$D, MATCH($A65, 'KZ-normalized'!$A:$A, 0))-INDEX('KZ-normalized'!$E:$E, MATCH($A65, 'KZ-normalized'!$A:$A, 0))), 0), 0))+(IFERROR(IF(20*INDEX('UZ-normalized'!$D:$D, MATCH($A65, 'UZ-normalized'!$A:$A, 0))-INDEX('UZ-normalized'!$E:$E, MATCH($A65, 'UZ-normalized'!$A:$A, 0))&gt;0, -(20*INDEX('UZ-normalized'!$D:$D, MATCH($A65, 'UZ-normalized'!$A:$A, 0))-INDEX('UZ-normalized'!$E:$E, MATCH($A65, 'UZ-normalized'!$A:$A, 0))), 0), 0)))</f>
        <v>0</v>
      </c>
      <c r="AI65" s="6">
        <f>MIN(0, N65+(IFERROR(IF(21*INDEX('UA-normalized'!$D:$D, MATCH($A65, 'UA-normalized'!$A:$A, 0))-INDEX('UA-normalized'!$E:$E, MATCH($A65, 'UA-normalized'!$A:$A, 0))&gt;0, -(21*INDEX('UA-normalized'!$D:$D, MATCH($A65, 'UA-normalized'!$A:$A, 0))-INDEX('UA-normalized'!$E:$E, MATCH($A65, 'UA-normalized'!$A:$A, 0))), 0), 0))+(IFERROR(IF(21*INDEX('KZ-normalized'!$D:$D, MATCH($A65, 'KZ-normalized'!$A:$A, 0))-INDEX('KZ-normalized'!$E:$E, MATCH($A65, 'KZ-normalized'!$A:$A, 0))&gt;0, -(21*INDEX('KZ-normalized'!$D:$D, MATCH($A65, 'KZ-normalized'!$A:$A, 0))-INDEX('KZ-normalized'!$E:$E, MATCH($A65, 'KZ-normalized'!$A:$A, 0))), 0), 0))+(IFERROR(IF(21*INDEX('UZ-normalized'!$D:$D, MATCH($A65, 'UZ-normalized'!$A:$A, 0))-INDEX('UZ-normalized'!$E:$E, MATCH($A65, 'UZ-normalized'!$A:$A, 0))&gt;0, -(21*INDEX('UZ-normalized'!$D:$D, MATCH($A65, 'UZ-normalized'!$A:$A, 0))-INDEX('UZ-normalized'!$E:$E, MATCH($A65, 'UZ-normalized'!$A:$A, 0))), 0), 0)))</f>
        <v>0</v>
      </c>
      <c r="AJ65" s="6">
        <f>MIN(0, N65+(IFERROR(IF(22*INDEX('UA-normalized'!$D:$D, MATCH($A65, 'UA-normalized'!$A:$A, 0))-INDEX('UA-normalized'!$E:$E, MATCH($A65, 'UA-normalized'!$A:$A, 0))&gt;0, -(22*INDEX('UA-normalized'!$D:$D, MATCH($A65, 'UA-normalized'!$A:$A, 0))-INDEX('UA-normalized'!$E:$E, MATCH($A65, 'UA-normalized'!$A:$A, 0))), 0), 0))+(IFERROR(IF(22*INDEX('KZ-normalized'!$D:$D, MATCH($A65, 'KZ-normalized'!$A:$A, 0))-INDEX('KZ-normalized'!$E:$E, MATCH($A65, 'KZ-normalized'!$A:$A, 0))&gt;0, -(22*INDEX('KZ-normalized'!$D:$D, MATCH($A65, 'KZ-normalized'!$A:$A, 0))-INDEX('KZ-normalized'!$E:$E, MATCH($A65, 'KZ-normalized'!$A:$A, 0))), 0), 0))+(IFERROR(IF(22*INDEX('UZ-normalized'!$D:$D, MATCH($A65, 'UZ-normalized'!$A:$A, 0))-INDEX('UZ-normalized'!$E:$E, MATCH($A65, 'UZ-normalized'!$A:$A, 0))&gt;0, -(22*INDEX('UZ-normalized'!$D:$D, MATCH($A65, 'UZ-normalized'!$A:$A, 0))-INDEX('UZ-normalized'!$E:$E, MATCH($A65, 'UZ-normalized'!$A:$A, 0))), 0), 0)))</f>
        <v>0</v>
      </c>
      <c r="AK65" s="6">
        <f>MIN(0, N65+(IFERROR(IF(23*INDEX('UA-normalized'!$D:$D, MATCH($A65, 'UA-normalized'!$A:$A, 0))-INDEX('UA-normalized'!$E:$E, MATCH($A65, 'UA-normalized'!$A:$A, 0))&gt;0, -(23*INDEX('UA-normalized'!$D:$D, MATCH($A65, 'UA-normalized'!$A:$A, 0))-INDEX('UA-normalized'!$E:$E, MATCH($A65, 'UA-normalized'!$A:$A, 0))), 0), 0))+(IFERROR(IF(23*INDEX('KZ-normalized'!$D:$D, MATCH($A65, 'KZ-normalized'!$A:$A, 0))-INDEX('KZ-normalized'!$E:$E, MATCH($A65, 'KZ-normalized'!$A:$A, 0))&gt;0, -(23*INDEX('KZ-normalized'!$D:$D, MATCH($A65, 'KZ-normalized'!$A:$A, 0))-INDEX('KZ-normalized'!$E:$E, MATCH($A65, 'KZ-normalized'!$A:$A, 0))), 0), 0))+(IFERROR(IF(23*INDEX('UZ-normalized'!$D:$D, MATCH($A65, 'UZ-normalized'!$A:$A, 0))-INDEX('UZ-normalized'!$E:$E, MATCH($A65, 'UZ-normalized'!$A:$A, 0))&gt;0, -(23*INDEX('UZ-normalized'!$D:$D, MATCH($A65, 'UZ-normalized'!$A:$A, 0))-INDEX('UZ-normalized'!$E:$E, MATCH($A65, 'UZ-normalized'!$A:$A, 0))), 0), 0)))</f>
        <v>0</v>
      </c>
      <c r="AL65" s="6">
        <f>MIN(0, N65+(IFERROR(IF(24*INDEX('UA-normalized'!$D:$D, MATCH($A65, 'UA-normalized'!$A:$A, 0))-INDEX('UA-normalized'!$E:$E, MATCH($A65, 'UA-normalized'!$A:$A, 0))&gt;0, -(24*INDEX('UA-normalized'!$D:$D, MATCH($A65, 'UA-normalized'!$A:$A, 0))-INDEX('UA-normalized'!$E:$E, MATCH($A65, 'UA-normalized'!$A:$A, 0))), 0), 0))+(IFERROR(IF(24*INDEX('KZ-normalized'!$D:$D, MATCH($A65, 'KZ-normalized'!$A:$A, 0))-INDEX('KZ-normalized'!$E:$E, MATCH($A65, 'KZ-normalized'!$A:$A, 0))&gt;0, -(24*INDEX('KZ-normalized'!$D:$D, MATCH($A65, 'KZ-normalized'!$A:$A, 0))-INDEX('KZ-normalized'!$E:$E, MATCH($A65, 'KZ-normalized'!$A:$A, 0))), 0), 0))+(IFERROR(IF(24*INDEX('UZ-normalized'!$D:$D, MATCH($A65, 'UZ-normalized'!$A:$A, 0))-INDEX('UZ-normalized'!$E:$E, MATCH($A65, 'UZ-normalized'!$A:$A, 0))&gt;0, -(24*INDEX('UZ-normalized'!$D:$D, MATCH($A65, 'UZ-normalized'!$A:$A, 0))-INDEX('UZ-normalized'!$E:$E, MATCH($A65, 'UZ-normalized'!$A:$A, 0))), 0), 0)))</f>
        <v>0</v>
      </c>
      <c r="AM65" s="6">
        <f>MIN(0, N65+(IFERROR(IF(25*INDEX('UA-normalized'!$D:$D, MATCH($A65, 'UA-normalized'!$A:$A, 0))-INDEX('UA-normalized'!$E:$E, MATCH($A65, 'UA-normalized'!$A:$A, 0))&gt;0, -(25*INDEX('UA-normalized'!$D:$D, MATCH($A65, 'UA-normalized'!$A:$A, 0))-INDEX('UA-normalized'!$E:$E, MATCH($A65, 'UA-normalized'!$A:$A, 0))), 0), 0))+(IFERROR(IF(25*INDEX('KZ-normalized'!$D:$D, MATCH($A65, 'KZ-normalized'!$A:$A, 0))-INDEX('KZ-normalized'!$E:$E, MATCH($A65, 'KZ-normalized'!$A:$A, 0))&gt;0, -(25*INDEX('KZ-normalized'!$D:$D, MATCH($A65, 'KZ-normalized'!$A:$A, 0))-INDEX('KZ-normalized'!$E:$E, MATCH($A65, 'KZ-normalized'!$A:$A, 0))), 0), 0))+(IFERROR(IF(25*INDEX('UZ-normalized'!$D:$D, MATCH($A65, 'UZ-normalized'!$A:$A, 0))-INDEX('UZ-normalized'!$E:$E, MATCH($A65, 'UZ-normalized'!$A:$A, 0))&gt;0, -(25*INDEX('UZ-normalized'!$D:$D, MATCH($A65, 'UZ-normalized'!$A:$A, 0))-INDEX('UZ-normalized'!$E:$E, MATCH($A65, 'UZ-normalized'!$A:$A, 0))), 0), 0)))</f>
        <v>0</v>
      </c>
      <c r="AN65" s="6">
        <f>MIN(0, N65+(IFERROR(IF(26*INDEX('UA-normalized'!$D:$D, MATCH($A65, 'UA-normalized'!$A:$A, 0))-INDEX('UA-normalized'!$E:$E, MATCH($A65, 'UA-normalized'!$A:$A, 0))&gt;0, -(26*INDEX('UA-normalized'!$D:$D, MATCH($A65, 'UA-normalized'!$A:$A, 0))-INDEX('UA-normalized'!$E:$E, MATCH($A65, 'UA-normalized'!$A:$A, 0))), 0), 0))+(IFERROR(IF(26*INDEX('KZ-normalized'!$D:$D, MATCH($A65, 'KZ-normalized'!$A:$A, 0))-INDEX('KZ-normalized'!$E:$E, MATCH($A65, 'KZ-normalized'!$A:$A, 0))&gt;0, -(26*INDEX('KZ-normalized'!$D:$D, MATCH($A65, 'KZ-normalized'!$A:$A, 0))-INDEX('KZ-normalized'!$E:$E, MATCH($A65, 'KZ-normalized'!$A:$A, 0))), 0), 0))+(IFERROR(IF(26*INDEX('UZ-normalized'!$D:$D, MATCH($A65, 'UZ-normalized'!$A:$A, 0))-INDEX('UZ-normalized'!$E:$E, MATCH($A65, 'UZ-normalized'!$A:$A, 0))&gt;0, -(26*INDEX('UZ-normalized'!$D:$D, MATCH($A65, 'UZ-normalized'!$A:$A, 0))-INDEX('UZ-normalized'!$E:$E, MATCH($A65, 'UZ-normalized'!$A:$A, 0))), 0), 0)))</f>
        <v>0</v>
      </c>
      <c r="AO65" s="6">
        <f>MIN(0, N65+(IFERROR(IF(27*INDEX('UA-normalized'!$D:$D, MATCH($A65, 'UA-normalized'!$A:$A, 0))-INDEX('UA-normalized'!$E:$E, MATCH($A65, 'UA-normalized'!$A:$A, 0))&gt;0, -(27*INDEX('UA-normalized'!$D:$D, MATCH($A65, 'UA-normalized'!$A:$A, 0))-INDEX('UA-normalized'!$E:$E, MATCH($A65, 'UA-normalized'!$A:$A, 0))), 0), 0))+(IFERROR(IF(27*INDEX('KZ-normalized'!$D:$D, MATCH($A65, 'KZ-normalized'!$A:$A, 0))-INDEX('KZ-normalized'!$E:$E, MATCH($A65, 'KZ-normalized'!$A:$A, 0))&gt;0, -(27*INDEX('KZ-normalized'!$D:$D, MATCH($A65, 'KZ-normalized'!$A:$A, 0))-INDEX('KZ-normalized'!$E:$E, MATCH($A65, 'KZ-normalized'!$A:$A, 0))), 0), 0))+(IFERROR(IF(27*INDEX('UZ-normalized'!$D:$D, MATCH($A65, 'UZ-normalized'!$A:$A, 0))-INDEX('UZ-normalized'!$E:$E, MATCH($A65, 'UZ-normalized'!$A:$A, 0))&gt;0, -(27*INDEX('UZ-normalized'!$D:$D, MATCH($A65, 'UZ-normalized'!$A:$A, 0))-INDEX('UZ-normalized'!$E:$E, MATCH($A65, 'UZ-normalized'!$A:$A, 0))), 0), 0)))</f>
        <v>0</v>
      </c>
      <c r="AP65" s="6">
        <f>MIN(0, N65+(IFERROR(IF(28*INDEX('UA-normalized'!$D:$D, MATCH($A65, 'UA-normalized'!$A:$A, 0))-INDEX('UA-normalized'!$E:$E, MATCH($A65, 'UA-normalized'!$A:$A, 0))&gt;0, -(28*INDEX('UA-normalized'!$D:$D, MATCH($A65, 'UA-normalized'!$A:$A, 0))-INDEX('UA-normalized'!$E:$E, MATCH($A65, 'UA-normalized'!$A:$A, 0))), 0), 0))+(IFERROR(IF(28*INDEX('KZ-normalized'!$D:$D, MATCH($A65, 'KZ-normalized'!$A:$A, 0))-INDEX('KZ-normalized'!$E:$E, MATCH($A65, 'KZ-normalized'!$A:$A, 0))&gt;0, -(28*INDEX('KZ-normalized'!$D:$D, MATCH($A65, 'KZ-normalized'!$A:$A, 0))-INDEX('KZ-normalized'!$E:$E, MATCH($A65, 'KZ-normalized'!$A:$A, 0))), 0), 0))+(IFERROR(IF(28*INDEX('UZ-normalized'!$D:$D, MATCH($A65, 'UZ-normalized'!$A:$A, 0))-INDEX('UZ-normalized'!$E:$E, MATCH($A65, 'UZ-normalized'!$A:$A, 0))&gt;0, -(28*INDEX('UZ-normalized'!$D:$D, MATCH($A65, 'UZ-normalized'!$A:$A, 0))-INDEX('UZ-normalized'!$E:$E, MATCH($A65, 'UZ-normalized'!$A:$A, 0))), 0), 0)))</f>
        <v>0</v>
      </c>
      <c r="AQ65" s="6">
        <f>MIN(0, N65+(IFERROR(IF(29*INDEX('UA-normalized'!$D:$D, MATCH($A65, 'UA-normalized'!$A:$A, 0))-INDEX('UA-normalized'!$E:$E, MATCH($A65, 'UA-normalized'!$A:$A, 0))&gt;0, -(29*INDEX('UA-normalized'!$D:$D, MATCH($A65, 'UA-normalized'!$A:$A, 0))-INDEX('UA-normalized'!$E:$E, MATCH($A65, 'UA-normalized'!$A:$A, 0))), 0), 0))+(IFERROR(IF(29*INDEX('KZ-normalized'!$D:$D, MATCH($A65, 'KZ-normalized'!$A:$A, 0))-INDEX('KZ-normalized'!$E:$E, MATCH($A65, 'KZ-normalized'!$A:$A, 0))&gt;0, -(29*INDEX('KZ-normalized'!$D:$D, MATCH($A65, 'KZ-normalized'!$A:$A, 0))-INDEX('KZ-normalized'!$E:$E, MATCH($A65, 'KZ-normalized'!$A:$A, 0))), 0), 0))+(IFERROR(IF(29*INDEX('UZ-normalized'!$D:$D, MATCH($A65, 'UZ-normalized'!$A:$A, 0))-INDEX('UZ-normalized'!$E:$E, MATCH($A65, 'UZ-normalized'!$A:$A, 0))&gt;0, -(29*INDEX('UZ-normalized'!$D:$D, MATCH($A65, 'UZ-normalized'!$A:$A, 0))-INDEX('UZ-normalized'!$E:$E, MATCH($A65, 'UZ-normalized'!$A:$A, 0))), 0), 0)))</f>
        <v>0</v>
      </c>
      <c r="AR65" s="6">
        <f>MIN(0, N65+(IFERROR(IF(30*INDEX('UA-normalized'!$D:$D, MATCH($A65, 'UA-normalized'!$A:$A, 0))-INDEX('UA-normalized'!$E:$E, MATCH($A65, 'UA-normalized'!$A:$A, 0))&gt;0, -(30*INDEX('UA-normalized'!$D:$D, MATCH($A65, 'UA-normalized'!$A:$A, 0))-INDEX('UA-normalized'!$E:$E, MATCH($A65, 'UA-normalized'!$A:$A, 0))), 0), 0))+(IFERROR(IF(30*INDEX('KZ-normalized'!$D:$D, MATCH($A65, 'KZ-normalized'!$A:$A, 0))-INDEX('KZ-normalized'!$E:$E, MATCH($A65, 'KZ-normalized'!$A:$A, 0))&gt;0, -(30*INDEX('KZ-normalized'!$D:$D, MATCH($A65, 'KZ-normalized'!$A:$A, 0))-INDEX('KZ-normalized'!$E:$E, MATCH($A65, 'KZ-normalized'!$A:$A, 0))), 0), 0))+(IFERROR(IF(30*INDEX('UZ-normalized'!$D:$D, MATCH($A65, 'UZ-normalized'!$A:$A, 0))-INDEX('UZ-normalized'!$E:$E, MATCH($A65, 'UZ-normalized'!$A:$A, 0))&gt;0, -(30*INDEX('UZ-normalized'!$D:$D, MATCH($A65, 'UZ-normalized'!$A:$A, 0))-INDEX('UZ-normalized'!$E:$E, MATCH($A65, 'UZ-normalized'!$A:$A, 0))), 0), 0)))</f>
        <v>0</v>
      </c>
    </row>
    <row r="66" spans="1:44" x14ac:dyDescent="0.25">
      <c r="A66" s="8" t="s">
        <v>179</v>
      </c>
      <c r="B66" s="8" t="s">
        <v>180</v>
      </c>
      <c r="C66" s="8" t="s">
        <v>181</v>
      </c>
      <c r="D66" s="8" t="s">
        <v>182</v>
      </c>
      <c r="E66">
        <v>2707.5</v>
      </c>
      <c r="G66">
        <v>-20</v>
      </c>
      <c r="N66">
        <f t="shared" ref="N66:N129" si="1">SUM(E66:M66)</f>
        <v>2687.5</v>
      </c>
      <c r="O66" s="6">
        <f>MIN(0, N66+(IFERROR(IF(1*INDEX('UA-normalized'!$D:$D, MATCH($A66, 'UA-normalized'!$A:$A, 0))-INDEX('UA-normalized'!$E:$E, MATCH($A66, 'UA-normalized'!$A:$A, 0))&gt;0, -(1*INDEX('UA-normalized'!$D:$D, MATCH($A66, 'UA-normalized'!$A:$A, 0))-INDEX('UA-normalized'!$E:$E, MATCH($A66, 'UA-normalized'!$A:$A, 0))), 0), 0))+(IFERROR(IF(1*INDEX('KZ-normalized'!$D:$D, MATCH($A66, 'KZ-normalized'!$A:$A, 0))-INDEX('KZ-normalized'!$E:$E, MATCH($A66, 'KZ-normalized'!$A:$A, 0))&gt;0, -(1*INDEX('KZ-normalized'!$D:$D, MATCH($A66, 'KZ-normalized'!$A:$A, 0))-INDEX('KZ-normalized'!$E:$E, MATCH($A66, 'KZ-normalized'!$A:$A, 0))), 0), 0))+(IFERROR(IF(1*INDEX('UZ-normalized'!$D:$D, MATCH($A66, 'UZ-normalized'!$A:$A, 0))-INDEX('UZ-normalized'!$E:$E, MATCH($A66, 'UZ-normalized'!$A:$A, 0))&gt;0, -(1*INDEX('UZ-normalized'!$D:$D, MATCH($A66, 'UZ-normalized'!$A:$A, 0))-INDEX('UZ-normalized'!$E:$E, MATCH($A66, 'UZ-normalized'!$A:$A, 0))), 0), 0)))</f>
        <v>0</v>
      </c>
      <c r="P66" s="6">
        <f>MIN(0, N66+(IFERROR(IF(2*INDEX('UA-normalized'!$D:$D, MATCH($A66, 'UA-normalized'!$A:$A, 0))-INDEX('UA-normalized'!$E:$E, MATCH($A66, 'UA-normalized'!$A:$A, 0))&gt;0, -(2*INDEX('UA-normalized'!$D:$D, MATCH($A66, 'UA-normalized'!$A:$A, 0))-INDEX('UA-normalized'!$E:$E, MATCH($A66, 'UA-normalized'!$A:$A, 0))), 0), 0))+(IFERROR(IF(2*INDEX('KZ-normalized'!$D:$D, MATCH($A66, 'KZ-normalized'!$A:$A, 0))-INDEX('KZ-normalized'!$E:$E, MATCH($A66, 'KZ-normalized'!$A:$A, 0))&gt;0, -(2*INDEX('KZ-normalized'!$D:$D, MATCH($A66, 'KZ-normalized'!$A:$A, 0))-INDEX('KZ-normalized'!$E:$E, MATCH($A66, 'KZ-normalized'!$A:$A, 0))), 0), 0))+(IFERROR(IF(2*INDEX('UZ-normalized'!$D:$D, MATCH($A66, 'UZ-normalized'!$A:$A, 0))-INDEX('UZ-normalized'!$E:$E, MATCH($A66, 'UZ-normalized'!$A:$A, 0))&gt;0, -(2*INDEX('UZ-normalized'!$D:$D, MATCH($A66, 'UZ-normalized'!$A:$A, 0))-INDEX('UZ-normalized'!$E:$E, MATCH($A66, 'UZ-normalized'!$A:$A, 0))), 0), 0)))</f>
        <v>0</v>
      </c>
      <c r="Q66" s="6">
        <f>MIN(0, N66+(IFERROR(IF(3*INDEX('UA-normalized'!$D:$D, MATCH($A66, 'UA-normalized'!$A:$A, 0))-INDEX('UA-normalized'!$E:$E, MATCH($A66, 'UA-normalized'!$A:$A, 0))&gt;0, -(3*INDEX('UA-normalized'!$D:$D, MATCH($A66, 'UA-normalized'!$A:$A, 0))-INDEX('UA-normalized'!$E:$E, MATCH($A66, 'UA-normalized'!$A:$A, 0))), 0), 0))+(IFERROR(IF(3*INDEX('KZ-normalized'!$D:$D, MATCH($A66, 'KZ-normalized'!$A:$A, 0))-INDEX('KZ-normalized'!$E:$E, MATCH($A66, 'KZ-normalized'!$A:$A, 0))&gt;0, -(3*INDEX('KZ-normalized'!$D:$D, MATCH($A66, 'KZ-normalized'!$A:$A, 0))-INDEX('KZ-normalized'!$E:$E, MATCH($A66, 'KZ-normalized'!$A:$A, 0))), 0), 0))+(IFERROR(IF(3*INDEX('UZ-normalized'!$D:$D, MATCH($A66, 'UZ-normalized'!$A:$A, 0))-INDEX('UZ-normalized'!$E:$E, MATCH($A66, 'UZ-normalized'!$A:$A, 0))&gt;0, -(3*INDEX('UZ-normalized'!$D:$D, MATCH($A66, 'UZ-normalized'!$A:$A, 0))-INDEX('UZ-normalized'!$E:$E, MATCH($A66, 'UZ-normalized'!$A:$A, 0))), 0), 0)))</f>
        <v>0</v>
      </c>
      <c r="R66" s="6">
        <f>MIN(0, N66+(IFERROR(IF(4*INDEX('UA-normalized'!$D:$D, MATCH($A66, 'UA-normalized'!$A:$A, 0))-INDEX('UA-normalized'!$E:$E, MATCH($A66, 'UA-normalized'!$A:$A, 0))&gt;0, -(4*INDEX('UA-normalized'!$D:$D, MATCH($A66, 'UA-normalized'!$A:$A, 0))-INDEX('UA-normalized'!$E:$E, MATCH($A66, 'UA-normalized'!$A:$A, 0))), 0), 0))+(IFERROR(IF(4*INDEX('KZ-normalized'!$D:$D, MATCH($A66, 'KZ-normalized'!$A:$A, 0))-INDEX('KZ-normalized'!$E:$E, MATCH($A66, 'KZ-normalized'!$A:$A, 0))&gt;0, -(4*INDEX('KZ-normalized'!$D:$D, MATCH($A66, 'KZ-normalized'!$A:$A, 0))-INDEX('KZ-normalized'!$E:$E, MATCH($A66, 'KZ-normalized'!$A:$A, 0))), 0), 0))+(IFERROR(IF(4*INDEX('UZ-normalized'!$D:$D, MATCH($A66, 'UZ-normalized'!$A:$A, 0))-INDEX('UZ-normalized'!$E:$E, MATCH($A66, 'UZ-normalized'!$A:$A, 0))&gt;0, -(4*INDEX('UZ-normalized'!$D:$D, MATCH($A66, 'UZ-normalized'!$A:$A, 0))-INDEX('UZ-normalized'!$E:$E, MATCH($A66, 'UZ-normalized'!$A:$A, 0))), 0), 0)))</f>
        <v>0</v>
      </c>
      <c r="S66" s="6">
        <f>MIN(0, N66+(IFERROR(IF(5*INDEX('UA-normalized'!$D:$D, MATCH($A66, 'UA-normalized'!$A:$A, 0))-INDEX('UA-normalized'!$E:$E, MATCH($A66, 'UA-normalized'!$A:$A, 0))&gt;0, -(5*INDEX('UA-normalized'!$D:$D, MATCH($A66, 'UA-normalized'!$A:$A, 0))-INDEX('UA-normalized'!$E:$E, MATCH($A66, 'UA-normalized'!$A:$A, 0))), 0), 0))+(IFERROR(IF(5*INDEX('KZ-normalized'!$D:$D, MATCH($A66, 'KZ-normalized'!$A:$A, 0))-INDEX('KZ-normalized'!$E:$E, MATCH($A66, 'KZ-normalized'!$A:$A, 0))&gt;0, -(5*INDEX('KZ-normalized'!$D:$D, MATCH($A66, 'KZ-normalized'!$A:$A, 0))-INDEX('KZ-normalized'!$E:$E, MATCH($A66, 'KZ-normalized'!$A:$A, 0))), 0), 0))+(IFERROR(IF(5*INDEX('UZ-normalized'!$D:$D, MATCH($A66, 'UZ-normalized'!$A:$A, 0))-INDEX('UZ-normalized'!$E:$E, MATCH($A66, 'UZ-normalized'!$A:$A, 0))&gt;0, -(5*INDEX('UZ-normalized'!$D:$D, MATCH($A66, 'UZ-normalized'!$A:$A, 0))-INDEX('UZ-normalized'!$E:$E, MATCH($A66, 'UZ-normalized'!$A:$A, 0))), 0), 0)))</f>
        <v>0</v>
      </c>
      <c r="T66" s="6">
        <f>MIN(0, N66+(IFERROR(IF(6*INDEX('UA-normalized'!$D:$D, MATCH($A66, 'UA-normalized'!$A:$A, 0))-INDEX('UA-normalized'!$E:$E, MATCH($A66, 'UA-normalized'!$A:$A, 0))&gt;0, -(6*INDEX('UA-normalized'!$D:$D, MATCH($A66, 'UA-normalized'!$A:$A, 0))-INDEX('UA-normalized'!$E:$E, MATCH($A66, 'UA-normalized'!$A:$A, 0))), 0), 0))+(IFERROR(IF(6*INDEX('KZ-normalized'!$D:$D, MATCH($A66, 'KZ-normalized'!$A:$A, 0))-INDEX('KZ-normalized'!$E:$E, MATCH($A66, 'KZ-normalized'!$A:$A, 0))&gt;0, -(6*INDEX('KZ-normalized'!$D:$D, MATCH($A66, 'KZ-normalized'!$A:$A, 0))-INDEX('KZ-normalized'!$E:$E, MATCH($A66, 'KZ-normalized'!$A:$A, 0))), 0), 0))+(IFERROR(IF(6*INDEX('UZ-normalized'!$D:$D, MATCH($A66, 'UZ-normalized'!$A:$A, 0))-INDEX('UZ-normalized'!$E:$E, MATCH($A66, 'UZ-normalized'!$A:$A, 0))&gt;0, -(6*INDEX('UZ-normalized'!$D:$D, MATCH($A66, 'UZ-normalized'!$A:$A, 0))-INDEX('UZ-normalized'!$E:$E, MATCH($A66, 'UZ-normalized'!$A:$A, 0))), 0), 0)))</f>
        <v>0</v>
      </c>
      <c r="U66" s="6">
        <f>MIN(0, N66+(IFERROR(IF(7*INDEX('UA-normalized'!$D:$D, MATCH($A66, 'UA-normalized'!$A:$A, 0))-INDEX('UA-normalized'!$E:$E, MATCH($A66, 'UA-normalized'!$A:$A, 0))&gt;0, -(7*INDEX('UA-normalized'!$D:$D, MATCH($A66, 'UA-normalized'!$A:$A, 0))-INDEX('UA-normalized'!$E:$E, MATCH($A66, 'UA-normalized'!$A:$A, 0))), 0), 0))+(IFERROR(IF(7*INDEX('KZ-normalized'!$D:$D, MATCH($A66, 'KZ-normalized'!$A:$A, 0))-INDEX('KZ-normalized'!$E:$E, MATCH($A66, 'KZ-normalized'!$A:$A, 0))&gt;0, -(7*INDEX('KZ-normalized'!$D:$D, MATCH($A66, 'KZ-normalized'!$A:$A, 0))-INDEX('KZ-normalized'!$E:$E, MATCH($A66, 'KZ-normalized'!$A:$A, 0))), 0), 0))+(IFERROR(IF(7*INDEX('UZ-normalized'!$D:$D, MATCH($A66, 'UZ-normalized'!$A:$A, 0))-INDEX('UZ-normalized'!$E:$E, MATCH($A66, 'UZ-normalized'!$A:$A, 0))&gt;0, -(7*INDEX('UZ-normalized'!$D:$D, MATCH($A66, 'UZ-normalized'!$A:$A, 0))-INDEX('UZ-normalized'!$E:$E, MATCH($A66, 'UZ-normalized'!$A:$A, 0))), 0), 0)))</f>
        <v>0</v>
      </c>
      <c r="V66" s="6">
        <f>MIN(0, N66+(IFERROR(IF(8*INDEX('UA-normalized'!$D:$D, MATCH($A66, 'UA-normalized'!$A:$A, 0))-INDEX('UA-normalized'!$E:$E, MATCH($A66, 'UA-normalized'!$A:$A, 0))&gt;0, -(8*INDEX('UA-normalized'!$D:$D, MATCH($A66, 'UA-normalized'!$A:$A, 0))-INDEX('UA-normalized'!$E:$E, MATCH($A66, 'UA-normalized'!$A:$A, 0))), 0), 0))+(IFERROR(IF(8*INDEX('KZ-normalized'!$D:$D, MATCH($A66, 'KZ-normalized'!$A:$A, 0))-INDEX('KZ-normalized'!$E:$E, MATCH($A66, 'KZ-normalized'!$A:$A, 0))&gt;0, -(8*INDEX('KZ-normalized'!$D:$D, MATCH($A66, 'KZ-normalized'!$A:$A, 0))-INDEX('KZ-normalized'!$E:$E, MATCH($A66, 'KZ-normalized'!$A:$A, 0))), 0), 0))+(IFERROR(IF(8*INDEX('UZ-normalized'!$D:$D, MATCH($A66, 'UZ-normalized'!$A:$A, 0))-INDEX('UZ-normalized'!$E:$E, MATCH($A66, 'UZ-normalized'!$A:$A, 0))&gt;0, -(8*INDEX('UZ-normalized'!$D:$D, MATCH($A66, 'UZ-normalized'!$A:$A, 0))-INDEX('UZ-normalized'!$E:$E, MATCH($A66, 'UZ-normalized'!$A:$A, 0))), 0), 0)))</f>
        <v>0</v>
      </c>
      <c r="W66" s="6">
        <f>MIN(0, N66+(IFERROR(IF(9*INDEX('UA-normalized'!$D:$D, MATCH($A66, 'UA-normalized'!$A:$A, 0))-INDEX('UA-normalized'!$E:$E, MATCH($A66, 'UA-normalized'!$A:$A, 0))&gt;0, -(9*INDEX('UA-normalized'!$D:$D, MATCH($A66, 'UA-normalized'!$A:$A, 0))-INDEX('UA-normalized'!$E:$E, MATCH($A66, 'UA-normalized'!$A:$A, 0))), 0), 0))+(IFERROR(IF(9*INDEX('KZ-normalized'!$D:$D, MATCH($A66, 'KZ-normalized'!$A:$A, 0))-INDEX('KZ-normalized'!$E:$E, MATCH($A66, 'KZ-normalized'!$A:$A, 0))&gt;0, -(9*INDEX('KZ-normalized'!$D:$D, MATCH($A66, 'KZ-normalized'!$A:$A, 0))-INDEX('KZ-normalized'!$E:$E, MATCH($A66, 'KZ-normalized'!$A:$A, 0))), 0), 0))+(IFERROR(IF(9*INDEX('UZ-normalized'!$D:$D, MATCH($A66, 'UZ-normalized'!$A:$A, 0))-INDEX('UZ-normalized'!$E:$E, MATCH($A66, 'UZ-normalized'!$A:$A, 0))&gt;0, -(9*INDEX('UZ-normalized'!$D:$D, MATCH($A66, 'UZ-normalized'!$A:$A, 0))-INDEX('UZ-normalized'!$E:$E, MATCH($A66, 'UZ-normalized'!$A:$A, 0))), 0), 0)))</f>
        <v>0</v>
      </c>
      <c r="X66" s="6">
        <f>MIN(0, N66+(IFERROR(IF(10*INDEX('UA-normalized'!$D:$D, MATCH($A66, 'UA-normalized'!$A:$A, 0))-INDEX('UA-normalized'!$E:$E, MATCH($A66, 'UA-normalized'!$A:$A, 0))&gt;0, -(10*INDEX('UA-normalized'!$D:$D, MATCH($A66, 'UA-normalized'!$A:$A, 0))-INDEX('UA-normalized'!$E:$E, MATCH($A66, 'UA-normalized'!$A:$A, 0))), 0), 0))+(IFERROR(IF(10*INDEX('KZ-normalized'!$D:$D, MATCH($A66, 'KZ-normalized'!$A:$A, 0))-INDEX('KZ-normalized'!$E:$E, MATCH($A66, 'KZ-normalized'!$A:$A, 0))&gt;0, -(10*INDEX('KZ-normalized'!$D:$D, MATCH($A66, 'KZ-normalized'!$A:$A, 0))-INDEX('KZ-normalized'!$E:$E, MATCH($A66, 'KZ-normalized'!$A:$A, 0))), 0), 0))+(IFERROR(IF(10*INDEX('UZ-normalized'!$D:$D, MATCH($A66, 'UZ-normalized'!$A:$A, 0))-INDEX('UZ-normalized'!$E:$E, MATCH($A66, 'UZ-normalized'!$A:$A, 0))&gt;0, -(10*INDEX('UZ-normalized'!$D:$D, MATCH($A66, 'UZ-normalized'!$A:$A, 0))-INDEX('UZ-normalized'!$E:$E, MATCH($A66, 'UZ-normalized'!$A:$A, 0))), 0), 0)))</f>
        <v>0</v>
      </c>
      <c r="Y66" s="6">
        <f>MIN(0, N66+(IFERROR(IF(11*INDEX('UA-normalized'!$D:$D, MATCH($A66, 'UA-normalized'!$A:$A, 0))-INDEX('UA-normalized'!$E:$E, MATCH($A66, 'UA-normalized'!$A:$A, 0))&gt;0, -(11*INDEX('UA-normalized'!$D:$D, MATCH($A66, 'UA-normalized'!$A:$A, 0))-INDEX('UA-normalized'!$E:$E, MATCH($A66, 'UA-normalized'!$A:$A, 0))), 0), 0))+(IFERROR(IF(11*INDEX('KZ-normalized'!$D:$D, MATCH($A66, 'KZ-normalized'!$A:$A, 0))-INDEX('KZ-normalized'!$E:$E, MATCH($A66, 'KZ-normalized'!$A:$A, 0))&gt;0, -(11*INDEX('KZ-normalized'!$D:$D, MATCH($A66, 'KZ-normalized'!$A:$A, 0))-INDEX('KZ-normalized'!$E:$E, MATCH($A66, 'KZ-normalized'!$A:$A, 0))), 0), 0))+(IFERROR(IF(11*INDEX('UZ-normalized'!$D:$D, MATCH($A66, 'UZ-normalized'!$A:$A, 0))-INDEX('UZ-normalized'!$E:$E, MATCH($A66, 'UZ-normalized'!$A:$A, 0))&gt;0, -(11*INDEX('UZ-normalized'!$D:$D, MATCH($A66, 'UZ-normalized'!$A:$A, 0))-INDEX('UZ-normalized'!$E:$E, MATCH($A66, 'UZ-normalized'!$A:$A, 0))), 0), 0)))</f>
        <v>0</v>
      </c>
      <c r="Z66" s="6">
        <f>MIN(0, N66+(IFERROR(IF(12*INDEX('UA-normalized'!$D:$D, MATCH($A66, 'UA-normalized'!$A:$A, 0))-INDEX('UA-normalized'!$E:$E, MATCH($A66, 'UA-normalized'!$A:$A, 0))&gt;0, -(12*INDEX('UA-normalized'!$D:$D, MATCH($A66, 'UA-normalized'!$A:$A, 0))-INDEX('UA-normalized'!$E:$E, MATCH($A66, 'UA-normalized'!$A:$A, 0))), 0), 0))+(IFERROR(IF(12*INDEX('KZ-normalized'!$D:$D, MATCH($A66, 'KZ-normalized'!$A:$A, 0))-INDEX('KZ-normalized'!$E:$E, MATCH($A66, 'KZ-normalized'!$A:$A, 0))&gt;0, -(12*INDEX('KZ-normalized'!$D:$D, MATCH($A66, 'KZ-normalized'!$A:$A, 0))-INDEX('KZ-normalized'!$E:$E, MATCH($A66, 'KZ-normalized'!$A:$A, 0))), 0), 0))+(IFERROR(IF(12*INDEX('UZ-normalized'!$D:$D, MATCH($A66, 'UZ-normalized'!$A:$A, 0))-INDEX('UZ-normalized'!$E:$E, MATCH($A66, 'UZ-normalized'!$A:$A, 0))&gt;0, -(12*INDEX('UZ-normalized'!$D:$D, MATCH($A66, 'UZ-normalized'!$A:$A, 0))-INDEX('UZ-normalized'!$E:$E, MATCH($A66, 'UZ-normalized'!$A:$A, 0))), 0), 0)))</f>
        <v>0</v>
      </c>
      <c r="AA66" s="6">
        <f>MIN(0, N66+(IFERROR(IF(13*INDEX('UA-normalized'!$D:$D, MATCH($A66, 'UA-normalized'!$A:$A, 0))-INDEX('UA-normalized'!$E:$E, MATCH($A66, 'UA-normalized'!$A:$A, 0))&gt;0, -(13*INDEX('UA-normalized'!$D:$D, MATCH($A66, 'UA-normalized'!$A:$A, 0))-INDEX('UA-normalized'!$E:$E, MATCH($A66, 'UA-normalized'!$A:$A, 0))), 0), 0))+(IFERROR(IF(13*INDEX('KZ-normalized'!$D:$D, MATCH($A66, 'KZ-normalized'!$A:$A, 0))-INDEX('KZ-normalized'!$E:$E, MATCH($A66, 'KZ-normalized'!$A:$A, 0))&gt;0, -(13*INDEX('KZ-normalized'!$D:$D, MATCH($A66, 'KZ-normalized'!$A:$A, 0))-INDEX('KZ-normalized'!$E:$E, MATCH($A66, 'KZ-normalized'!$A:$A, 0))), 0), 0))+(IFERROR(IF(13*INDEX('UZ-normalized'!$D:$D, MATCH($A66, 'UZ-normalized'!$A:$A, 0))-INDEX('UZ-normalized'!$E:$E, MATCH($A66, 'UZ-normalized'!$A:$A, 0))&gt;0, -(13*INDEX('UZ-normalized'!$D:$D, MATCH($A66, 'UZ-normalized'!$A:$A, 0))-INDEX('UZ-normalized'!$E:$E, MATCH($A66, 'UZ-normalized'!$A:$A, 0))), 0), 0)))</f>
        <v>0</v>
      </c>
      <c r="AB66" s="6">
        <f>MIN(0, N66+(IFERROR(IF(14*INDEX('UA-normalized'!$D:$D, MATCH($A66, 'UA-normalized'!$A:$A, 0))-INDEX('UA-normalized'!$E:$E, MATCH($A66, 'UA-normalized'!$A:$A, 0))&gt;0, -(14*INDEX('UA-normalized'!$D:$D, MATCH($A66, 'UA-normalized'!$A:$A, 0))-INDEX('UA-normalized'!$E:$E, MATCH($A66, 'UA-normalized'!$A:$A, 0))), 0), 0))+(IFERROR(IF(14*INDEX('KZ-normalized'!$D:$D, MATCH($A66, 'KZ-normalized'!$A:$A, 0))-INDEX('KZ-normalized'!$E:$E, MATCH($A66, 'KZ-normalized'!$A:$A, 0))&gt;0, -(14*INDEX('KZ-normalized'!$D:$D, MATCH($A66, 'KZ-normalized'!$A:$A, 0))-INDEX('KZ-normalized'!$E:$E, MATCH($A66, 'KZ-normalized'!$A:$A, 0))), 0), 0))+(IFERROR(IF(14*INDEX('UZ-normalized'!$D:$D, MATCH($A66, 'UZ-normalized'!$A:$A, 0))-INDEX('UZ-normalized'!$E:$E, MATCH($A66, 'UZ-normalized'!$A:$A, 0))&gt;0, -(14*INDEX('UZ-normalized'!$D:$D, MATCH($A66, 'UZ-normalized'!$A:$A, 0))-INDEX('UZ-normalized'!$E:$E, MATCH($A66, 'UZ-normalized'!$A:$A, 0))), 0), 0)))</f>
        <v>0</v>
      </c>
      <c r="AC66" s="6">
        <f>MIN(0, N66+(IFERROR(IF(15*INDEX('UA-normalized'!$D:$D, MATCH($A66, 'UA-normalized'!$A:$A, 0))-INDEX('UA-normalized'!$E:$E, MATCH($A66, 'UA-normalized'!$A:$A, 0))&gt;0, -(15*INDEX('UA-normalized'!$D:$D, MATCH($A66, 'UA-normalized'!$A:$A, 0))-INDEX('UA-normalized'!$E:$E, MATCH($A66, 'UA-normalized'!$A:$A, 0))), 0), 0))+(IFERROR(IF(15*INDEX('KZ-normalized'!$D:$D, MATCH($A66, 'KZ-normalized'!$A:$A, 0))-INDEX('KZ-normalized'!$E:$E, MATCH($A66, 'KZ-normalized'!$A:$A, 0))&gt;0, -(15*INDEX('KZ-normalized'!$D:$D, MATCH($A66, 'KZ-normalized'!$A:$A, 0))-INDEX('KZ-normalized'!$E:$E, MATCH($A66, 'KZ-normalized'!$A:$A, 0))), 0), 0))+(IFERROR(IF(15*INDEX('UZ-normalized'!$D:$D, MATCH($A66, 'UZ-normalized'!$A:$A, 0))-INDEX('UZ-normalized'!$E:$E, MATCH($A66, 'UZ-normalized'!$A:$A, 0))&gt;0, -(15*INDEX('UZ-normalized'!$D:$D, MATCH($A66, 'UZ-normalized'!$A:$A, 0))-INDEX('UZ-normalized'!$E:$E, MATCH($A66, 'UZ-normalized'!$A:$A, 0))), 0), 0)))</f>
        <v>0</v>
      </c>
      <c r="AD66" s="6">
        <f>MIN(0, N66+(IFERROR(IF(16*INDEX('UA-normalized'!$D:$D, MATCH($A66, 'UA-normalized'!$A:$A, 0))-INDEX('UA-normalized'!$E:$E, MATCH($A66, 'UA-normalized'!$A:$A, 0))&gt;0, -(16*INDEX('UA-normalized'!$D:$D, MATCH($A66, 'UA-normalized'!$A:$A, 0))-INDEX('UA-normalized'!$E:$E, MATCH($A66, 'UA-normalized'!$A:$A, 0))), 0), 0))+(IFERROR(IF(16*INDEX('KZ-normalized'!$D:$D, MATCH($A66, 'KZ-normalized'!$A:$A, 0))-INDEX('KZ-normalized'!$E:$E, MATCH($A66, 'KZ-normalized'!$A:$A, 0))&gt;0, -(16*INDEX('KZ-normalized'!$D:$D, MATCH($A66, 'KZ-normalized'!$A:$A, 0))-INDEX('KZ-normalized'!$E:$E, MATCH($A66, 'KZ-normalized'!$A:$A, 0))), 0), 0))+(IFERROR(IF(16*INDEX('UZ-normalized'!$D:$D, MATCH($A66, 'UZ-normalized'!$A:$A, 0))-INDEX('UZ-normalized'!$E:$E, MATCH($A66, 'UZ-normalized'!$A:$A, 0))&gt;0, -(16*INDEX('UZ-normalized'!$D:$D, MATCH($A66, 'UZ-normalized'!$A:$A, 0))-INDEX('UZ-normalized'!$E:$E, MATCH($A66, 'UZ-normalized'!$A:$A, 0))), 0), 0)))</f>
        <v>-157.5</v>
      </c>
      <c r="AE66" s="6">
        <f>MIN(0, N66+(IFERROR(IF(17*INDEX('UA-normalized'!$D:$D, MATCH($A66, 'UA-normalized'!$A:$A, 0))-INDEX('UA-normalized'!$E:$E, MATCH($A66, 'UA-normalized'!$A:$A, 0))&gt;0, -(17*INDEX('UA-normalized'!$D:$D, MATCH($A66, 'UA-normalized'!$A:$A, 0))-INDEX('UA-normalized'!$E:$E, MATCH($A66, 'UA-normalized'!$A:$A, 0))), 0), 0))+(IFERROR(IF(17*INDEX('KZ-normalized'!$D:$D, MATCH($A66, 'KZ-normalized'!$A:$A, 0))-INDEX('KZ-normalized'!$E:$E, MATCH($A66, 'KZ-normalized'!$A:$A, 0))&gt;0, -(17*INDEX('KZ-normalized'!$D:$D, MATCH($A66, 'KZ-normalized'!$A:$A, 0))-INDEX('KZ-normalized'!$E:$E, MATCH($A66, 'KZ-normalized'!$A:$A, 0))), 0), 0))+(IFERROR(IF(17*INDEX('UZ-normalized'!$D:$D, MATCH($A66, 'UZ-normalized'!$A:$A, 0))-INDEX('UZ-normalized'!$E:$E, MATCH($A66, 'UZ-normalized'!$A:$A, 0))&gt;0, -(17*INDEX('UZ-normalized'!$D:$D, MATCH($A66, 'UZ-normalized'!$A:$A, 0))-INDEX('UZ-normalized'!$E:$E, MATCH($A66, 'UZ-normalized'!$A:$A, 0))), 0), 0)))</f>
        <v>-401.5</v>
      </c>
      <c r="AF66" s="6">
        <f>MIN(0, N66+(IFERROR(IF(18*INDEX('UA-normalized'!$D:$D, MATCH($A66, 'UA-normalized'!$A:$A, 0))-INDEX('UA-normalized'!$E:$E, MATCH($A66, 'UA-normalized'!$A:$A, 0))&gt;0, -(18*INDEX('UA-normalized'!$D:$D, MATCH($A66, 'UA-normalized'!$A:$A, 0))-INDEX('UA-normalized'!$E:$E, MATCH($A66, 'UA-normalized'!$A:$A, 0))), 0), 0))+(IFERROR(IF(18*INDEX('KZ-normalized'!$D:$D, MATCH($A66, 'KZ-normalized'!$A:$A, 0))-INDEX('KZ-normalized'!$E:$E, MATCH($A66, 'KZ-normalized'!$A:$A, 0))&gt;0, -(18*INDEX('KZ-normalized'!$D:$D, MATCH($A66, 'KZ-normalized'!$A:$A, 0))-INDEX('KZ-normalized'!$E:$E, MATCH($A66, 'KZ-normalized'!$A:$A, 0))), 0), 0))+(IFERROR(IF(18*INDEX('UZ-normalized'!$D:$D, MATCH($A66, 'UZ-normalized'!$A:$A, 0))-INDEX('UZ-normalized'!$E:$E, MATCH($A66, 'UZ-normalized'!$A:$A, 0))&gt;0, -(18*INDEX('UZ-normalized'!$D:$D, MATCH($A66, 'UZ-normalized'!$A:$A, 0))-INDEX('UZ-normalized'!$E:$E, MATCH($A66, 'UZ-normalized'!$A:$A, 0))), 0), 0)))</f>
        <v>-645.5</v>
      </c>
      <c r="AG66" s="6">
        <f>MIN(0, N66+(IFERROR(IF(19*INDEX('UA-normalized'!$D:$D, MATCH($A66, 'UA-normalized'!$A:$A, 0))-INDEX('UA-normalized'!$E:$E, MATCH($A66, 'UA-normalized'!$A:$A, 0))&gt;0, -(19*INDEX('UA-normalized'!$D:$D, MATCH($A66, 'UA-normalized'!$A:$A, 0))-INDEX('UA-normalized'!$E:$E, MATCH($A66, 'UA-normalized'!$A:$A, 0))), 0), 0))+(IFERROR(IF(19*INDEX('KZ-normalized'!$D:$D, MATCH($A66, 'KZ-normalized'!$A:$A, 0))-INDEX('KZ-normalized'!$E:$E, MATCH($A66, 'KZ-normalized'!$A:$A, 0))&gt;0, -(19*INDEX('KZ-normalized'!$D:$D, MATCH($A66, 'KZ-normalized'!$A:$A, 0))-INDEX('KZ-normalized'!$E:$E, MATCH($A66, 'KZ-normalized'!$A:$A, 0))), 0), 0))+(IFERROR(IF(19*INDEX('UZ-normalized'!$D:$D, MATCH($A66, 'UZ-normalized'!$A:$A, 0))-INDEX('UZ-normalized'!$E:$E, MATCH($A66, 'UZ-normalized'!$A:$A, 0))&gt;0, -(19*INDEX('UZ-normalized'!$D:$D, MATCH($A66, 'UZ-normalized'!$A:$A, 0))-INDEX('UZ-normalized'!$E:$E, MATCH($A66, 'UZ-normalized'!$A:$A, 0))), 0), 0)))</f>
        <v>-889.5</v>
      </c>
      <c r="AH66" s="6">
        <f>MIN(0, N66+(IFERROR(IF(20*INDEX('UA-normalized'!$D:$D, MATCH($A66, 'UA-normalized'!$A:$A, 0))-INDEX('UA-normalized'!$E:$E, MATCH($A66, 'UA-normalized'!$A:$A, 0))&gt;0, -(20*INDEX('UA-normalized'!$D:$D, MATCH($A66, 'UA-normalized'!$A:$A, 0))-INDEX('UA-normalized'!$E:$E, MATCH($A66, 'UA-normalized'!$A:$A, 0))), 0), 0))+(IFERROR(IF(20*INDEX('KZ-normalized'!$D:$D, MATCH($A66, 'KZ-normalized'!$A:$A, 0))-INDEX('KZ-normalized'!$E:$E, MATCH($A66, 'KZ-normalized'!$A:$A, 0))&gt;0, -(20*INDEX('KZ-normalized'!$D:$D, MATCH($A66, 'KZ-normalized'!$A:$A, 0))-INDEX('KZ-normalized'!$E:$E, MATCH($A66, 'KZ-normalized'!$A:$A, 0))), 0), 0))+(IFERROR(IF(20*INDEX('UZ-normalized'!$D:$D, MATCH($A66, 'UZ-normalized'!$A:$A, 0))-INDEX('UZ-normalized'!$E:$E, MATCH($A66, 'UZ-normalized'!$A:$A, 0))&gt;0, -(20*INDEX('UZ-normalized'!$D:$D, MATCH($A66, 'UZ-normalized'!$A:$A, 0))-INDEX('UZ-normalized'!$E:$E, MATCH($A66, 'UZ-normalized'!$A:$A, 0))), 0), 0)))</f>
        <v>-1133.5</v>
      </c>
      <c r="AI66" s="6">
        <f>MIN(0, N66+(IFERROR(IF(21*INDEX('UA-normalized'!$D:$D, MATCH($A66, 'UA-normalized'!$A:$A, 0))-INDEX('UA-normalized'!$E:$E, MATCH($A66, 'UA-normalized'!$A:$A, 0))&gt;0, -(21*INDEX('UA-normalized'!$D:$D, MATCH($A66, 'UA-normalized'!$A:$A, 0))-INDEX('UA-normalized'!$E:$E, MATCH($A66, 'UA-normalized'!$A:$A, 0))), 0), 0))+(IFERROR(IF(21*INDEX('KZ-normalized'!$D:$D, MATCH($A66, 'KZ-normalized'!$A:$A, 0))-INDEX('KZ-normalized'!$E:$E, MATCH($A66, 'KZ-normalized'!$A:$A, 0))&gt;0, -(21*INDEX('KZ-normalized'!$D:$D, MATCH($A66, 'KZ-normalized'!$A:$A, 0))-INDEX('KZ-normalized'!$E:$E, MATCH($A66, 'KZ-normalized'!$A:$A, 0))), 0), 0))+(IFERROR(IF(21*INDEX('UZ-normalized'!$D:$D, MATCH($A66, 'UZ-normalized'!$A:$A, 0))-INDEX('UZ-normalized'!$E:$E, MATCH($A66, 'UZ-normalized'!$A:$A, 0))&gt;0, -(21*INDEX('UZ-normalized'!$D:$D, MATCH($A66, 'UZ-normalized'!$A:$A, 0))-INDEX('UZ-normalized'!$E:$E, MATCH($A66, 'UZ-normalized'!$A:$A, 0))), 0), 0)))</f>
        <v>-1377.5</v>
      </c>
      <c r="AJ66" s="6">
        <f>MIN(0, N66+(IFERROR(IF(22*INDEX('UA-normalized'!$D:$D, MATCH($A66, 'UA-normalized'!$A:$A, 0))-INDEX('UA-normalized'!$E:$E, MATCH($A66, 'UA-normalized'!$A:$A, 0))&gt;0, -(22*INDEX('UA-normalized'!$D:$D, MATCH($A66, 'UA-normalized'!$A:$A, 0))-INDEX('UA-normalized'!$E:$E, MATCH($A66, 'UA-normalized'!$A:$A, 0))), 0), 0))+(IFERROR(IF(22*INDEX('KZ-normalized'!$D:$D, MATCH($A66, 'KZ-normalized'!$A:$A, 0))-INDEX('KZ-normalized'!$E:$E, MATCH($A66, 'KZ-normalized'!$A:$A, 0))&gt;0, -(22*INDEX('KZ-normalized'!$D:$D, MATCH($A66, 'KZ-normalized'!$A:$A, 0))-INDEX('KZ-normalized'!$E:$E, MATCH($A66, 'KZ-normalized'!$A:$A, 0))), 0), 0))+(IFERROR(IF(22*INDEX('UZ-normalized'!$D:$D, MATCH($A66, 'UZ-normalized'!$A:$A, 0))-INDEX('UZ-normalized'!$E:$E, MATCH($A66, 'UZ-normalized'!$A:$A, 0))&gt;0, -(22*INDEX('UZ-normalized'!$D:$D, MATCH($A66, 'UZ-normalized'!$A:$A, 0))-INDEX('UZ-normalized'!$E:$E, MATCH($A66, 'UZ-normalized'!$A:$A, 0))), 0), 0)))</f>
        <v>-1621.5</v>
      </c>
      <c r="AK66" s="6">
        <f>MIN(0, N66+(IFERROR(IF(23*INDEX('UA-normalized'!$D:$D, MATCH($A66, 'UA-normalized'!$A:$A, 0))-INDEX('UA-normalized'!$E:$E, MATCH($A66, 'UA-normalized'!$A:$A, 0))&gt;0, -(23*INDEX('UA-normalized'!$D:$D, MATCH($A66, 'UA-normalized'!$A:$A, 0))-INDEX('UA-normalized'!$E:$E, MATCH($A66, 'UA-normalized'!$A:$A, 0))), 0), 0))+(IFERROR(IF(23*INDEX('KZ-normalized'!$D:$D, MATCH($A66, 'KZ-normalized'!$A:$A, 0))-INDEX('KZ-normalized'!$E:$E, MATCH($A66, 'KZ-normalized'!$A:$A, 0))&gt;0, -(23*INDEX('KZ-normalized'!$D:$D, MATCH($A66, 'KZ-normalized'!$A:$A, 0))-INDEX('KZ-normalized'!$E:$E, MATCH($A66, 'KZ-normalized'!$A:$A, 0))), 0), 0))+(IFERROR(IF(23*INDEX('UZ-normalized'!$D:$D, MATCH($A66, 'UZ-normalized'!$A:$A, 0))-INDEX('UZ-normalized'!$E:$E, MATCH($A66, 'UZ-normalized'!$A:$A, 0))&gt;0, -(23*INDEX('UZ-normalized'!$D:$D, MATCH($A66, 'UZ-normalized'!$A:$A, 0))-INDEX('UZ-normalized'!$E:$E, MATCH($A66, 'UZ-normalized'!$A:$A, 0))), 0), 0)))</f>
        <v>-1865.5</v>
      </c>
      <c r="AL66" s="6">
        <f>MIN(0, N66+(IFERROR(IF(24*INDEX('UA-normalized'!$D:$D, MATCH($A66, 'UA-normalized'!$A:$A, 0))-INDEX('UA-normalized'!$E:$E, MATCH($A66, 'UA-normalized'!$A:$A, 0))&gt;0, -(24*INDEX('UA-normalized'!$D:$D, MATCH($A66, 'UA-normalized'!$A:$A, 0))-INDEX('UA-normalized'!$E:$E, MATCH($A66, 'UA-normalized'!$A:$A, 0))), 0), 0))+(IFERROR(IF(24*INDEX('KZ-normalized'!$D:$D, MATCH($A66, 'KZ-normalized'!$A:$A, 0))-INDEX('KZ-normalized'!$E:$E, MATCH($A66, 'KZ-normalized'!$A:$A, 0))&gt;0, -(24*INDEX('KZ-normalized'!$D:$D, MATCH($A66, 'KZ-normalized'!$A:$A, 0))-INDEX('KZ-normalized'!$E:$E, MATCH($A66, 'KZ-normalized'!$A:$A, 0))), 0), 0))+(IFERROR(IF(24*INDEX('UZ-normalized'!$D:$D, MATCH($A66, 'UZ-normalized'!$A:$A, 0))-INDEX('UZ-normalized'!$E:$E, MATCH($A66, 'UZ-normalized'!$A:$A, 0))&gt;0, -(24*INDEX('UZ-normalized'!$D:$D, MATCH($A66, 'UZ-normalized'!$A:$A, 0))-INDEX('UZ-normalized'!$E:$E, MATCH($A66, 'UZ-normalized'!$A:$A, 0))), 0), 0)))</f>
        <v>-2109.5</v>
      </c>
      <c r="AM66" s="6">
        <f>MIN(0, N66+(IFERROR(IF(25*INDEX('UA-normalized'!$D:$D, MATCH($A66, 'UA-normalized'!$A:$A, 0))-INDEX('UA-normalized'!$E:$E, MATCH($A66, 'UA-normalized'!$A:$A, 0))&gt;0, -(25*INDEX('UA-normalized'!$D:$D, MATCH($A66, 'UA-normalized'!$A:$A, 0))-INDEX('UA-normalized'!$E:$E, MATCH($A66, 'UA-normalized'!$A:$A, 0))), 0), 0))+(IFERROR(IF(25*INDEX('KZ-normalized'!$D:$D, MATCH($A66, 'KZ-normalized'!$A:$A, 0))-INDEX('KZ-normalized'!$E:$E, MATCH($A66, 'KZ-normalized'!$A:$A, 0))&gt;0, -(25*INDEX('KZ-normalized'!$D:$D, MATCH($A66, 'KZ-normalized'!$A:$A, 0))-INDEX('KZ-normalized'!$E:$E, MATCH($A66, 'KZ-normalized'!$A:$A, 0))), 0), 0))+(IFERROR(IF(25*INDEX('UZ-normalized'!$D:$D, MATCH($A66, 'UZ-normalized'!$A:$A, 0))-INDEX('UZ-normalized'!$E:$E, MATCH($A66, 'UZ-normalized'!$A:$A, 0))&gt;0, -(25*INDEX('UZ-normalized'!$D:$D, MATCH($A66, 'UZ-normalized'!$A:$A, 0))-INDEX('UZ-normalized'!$E:$E, MATCH($A66, 'UZ-normalized'!$A:$A, 0))), 0), 0)))</f>
        <v>-2353.5</v>
      </c>
      <c r="AN66" s="6">
        <f>MIN(0, N66+(IFERROR(IF(26*INDEX('UA-normalized'!$D:$D, MATCH($A66, 'UA-normalized'!$A:$A, 0))-INDEX('UA-normalized'!$E:$E, MATCH($A66, 'UA-normalized'!$A:$A, 0))&gt;0, -(26*INDEX('UA-normalized'!$D:$D, MATCH($A66, 'UA-normalized'!$A:$A, 0))-INDEX('UA-normalized'!$E:$E, MATCH($A66, 'UA-normalized'!$A:$A, 0))), 0), 0))+(IFERROR(IF(26*INDEX('KZ-normalized'!$D:$D, MATCH($A66, 'KZ-normalized'!$A:$A, 0))-INDEX('KZ-normalized'!$E:$E, MATCH($A66, 'KZ-normalized'!$A:$A, 0))&gt;0, -(26*INDEX('KZ-normalized'!$D:$D, MATCH($A66, 'KZ-normalized'!$A:$A, 0))-INDEX('KZ-normalized'!$E:$E, MATCH($A66, 'KZ-normalized'!$A:$A, 0))), 0), 0))+(IFERROR(IF(26*INDEX('UZ-normalized'!$D:$D, MATCH($A66, 'UZ-normalized'!$A:$A, 0))-INDEX('UZ-normalized'!$E:$E, MATCH($A66, 'UZ-normalized'!$A:$A, 0))&gt;0, -(26*INDEX('UZ-normalized'!$D:$D, MATCH($A66, 'UZ-normalized'!$A:$A, 0))-INDEX('UZ-normalized'!$E:$E, MATCH($A66, 'UZ-normalized'!$A:$A, 0))), 0), 0)))</f>
        <v>-2597.5</v>
      </c>
      <c r="AO66" s="6">
        <f>MIN(0, N66+(IFERROR(IF(27*INDEX('UA-normalized'!$D:$D, MATCH($A66, 'UA-normalized'!$A:$A, 0))-INDEX('UA-normalized'!$E:$E, MATCH($A66, 'UA-normalized'!$A:$A, 0))&gt;0, -(27*INDEX('UA-normalized'!$D:$D, MATCH($A66, 'UA-normalized'!$A:$A, 0))-INDEX('UA-normalized'!$E:$E, MATCH($A66, 'UA-normalized'!$A:$A, 0))), 0), 0))+(IFERROR(IF(27*INDEX('KZ-normalized'!$D:$D, MATCH($A66, 'KZ-normalized'!$A:$A, 0))-INDEX('KZ-normalized'!$E:$E, MATCH($A66, 'KZ-normalized'!$A:$A, 0))&gt;0, -(27*INDEX('KZ-normalized'!$D:$D, MATCH($A66, 'KZ-normalized'!$A:$A, 0))-INDEX('KZ-normalized'!$E:$E, MATCH($A66, 'KZ-normalized'!$A:$A, 0))), 0), 0))+(IFERROR(IF(27*INDEX('UZ-normalized'!$D:$D, MATCH($A66, 'UZ-normalized'!$A:$A, 0))-INDEX('UZ-normalized'!$E:$E, MATCH($A66, 'UZ-normalized'!$A:$A, 0))&gt;0, -(27*INDEX('UZ-normalized'!$D:$D, MATCH($A66, 'UZ-normalized'!$A:$A, 0))-INDEX('UZ-normalized'!$E:$E, MATCH($A66, 'UZ-normalized'!$A:$A, 0))), 0), 0)))</f>
        <v>-2841.5</v>
      </c>
      <c r="AP66" s="6">
        <f>MIN(0, N66+(IFERROR(IF(28*INDEX('UA-normalized'!$D:$D, MATCH($A66, 'UA-normalized'!$A:$A, 0))-INDEX('UA-normalized'!$E:$E, MATCH($A66, 'UA-normalized'!$A:$A, 0))&gt;0, -(28*INDEX('UA-normalized'!$D:$D, MATCH($A66, 'UA-normalized'!$A:$A, 0))-INDEX('UA-normalized'!$E:$E, MATCH($A66, 'UA-normalized'!$A:$A, 0))), 0), 0))+(IFERROR(IF(28*INDEX('KZ-normalized'!$D:$D, MATCH($A66, 'KZ-normalized'!$A:$A, 0))-INDEX('KZ-normalized'!$E:$E, MATCH($A66, 'KZ-normalized'!$A:$A, 0))&gt;0, -(28*INDEX('KZ-normalized'!$D:$D, MATCH($A66, 'KZ-normalized'!$A:$A, 0))-INDEX('KZ-normalized'!$E:$E, MATCH($A66, 'KZ-normalized'!$A:$A, 0))), 0), 0))+(IFERROR(IF(28*INDEX('UZ-normalized'!$D:$D, MATCH($A66, 'UZ-normalized'!$A:$A, 0))-INDEX('UZ-normalized'!$E:$E, MATCH($A66, 'UZ-normalized'!$A:$A, 0))&gt;0, -(28*INDEX('UZ-normalized'!$D:$D, MATCH($A66, 'UZ-normalized'!$A:$A, 0))-INDEX('UZ-normalized'!$E:$E, MATCH($A66, 'UZ-normalized'!$A:$A, 0))), 0), 0)))</f>
        <v>-3085.5</v>
      </c>
      <c r="AQ66" s="6">
        <f>MIN(0, N66+(IFERROR(IF(29*INDEX('UA-normalized'!$D:$D, MATCH($A66, 'UA-normalized'!$A:$A, 0))-INDEX('UA-normalized'!$E:$E, MATCH($A66, 'UA-normalized'!$A:$A, 0))&gt;0, -(29*INDEX('UA-normalized'!$D:$D, MATCH($A66, 'UA-normalized'!$A:$A, 0))-INDEX('UA-normalized'!$E:$E, MATCH($A66, 'UA-normalized'!$A:$A, 0))), 0), 0))+(IFERROR(IF(29*INDEX('KZ-normalized'!$D:$D, MATCH($A66, 'KZ-normalized'!$A:$A, 0))-INDEX('KZ-normalized'!$E:$E, MATCH($A66, 'KZ-normalized'!$A:$A, 0))&gt;0, -(29*INDEX('KZ-normalized'!$D:$D, MATCH($A66, 'KZ-normalized'!$A:$A, 0))-INDEX('KZ-normalized'!$E:$E, MATCH($A66, 'KZ-normalized'!$A:$A, 0))), 0), 0))+(IFERROR(IF(29*INDEX('UZ-normalized'!$D:$D, MATCH($A66, 'UZ-normalized'!$A:$A, 0))-INDEX('UZ-normalized'!$E:$E, MATCH($A66, 'UZ-normalized'!$A:$A, 0))&gt;0, -(29*INDEX('UZ-normalized'!$D:$D, MATCH($A66, 'UZ-normalized'!$A:$A, 0))-INDEX('UZ-normalized'!$E:$E, MATCH($A66, 'UZ-normalized'!$A:$A, 0))), 0), 0)))</f>
        <v>-3329.5</v>
      </c>
      <c r="AR66" s="6">
        <f>MIN(0, N66+(IFERROR(IF(30*INDEX('UA-normalized'!$D:$D, MATCH($A66, 'UA-normalized'!$A:$A, 0))-INDEX('UA-normalized'!$E:$E, MATCH($A66, 'UA-normalized'!$A:$A, 0))&gt;0, -(30*INDEX('UA-normalized'!$D:$D, MATCH($A66, 'UA-normalized'!$A:$A, 0))-INDEX('UA-normalized'!$E:$E, MATCH($A66, 'UA-normalized'!$A:$A, 0))), 0), 0))+(IFERROR(IF(30*INDEX('KZ-normalized'!$D:$D, MATCH($A66, 'KZ-normalized'!$A:$A, 0))-INDEX('KZ-normalized'!$E:$E, MATCH($A66, 'KZ-normalized'!$A:$A, 0))&gt;0, -(30*INDEX('KZ-normalized'!$D:$D, MATCH($A66, 'KZ-normalized'!$A:$A, 0))-INDEX('KZ-normalized'!$E:$E, MATCH($A66, 'KZ-normalized'!$A:$A, 0))), 0), 0))+(IFERROR(IF(30*INDEX('UZ-normalized'!$D:$D, MATCH($A66, 'UZ-normalized'!$A:$A, 0))-INDEX('UZ-normalized'!$E:$E, MATCH($A66, 'UZ-normalized'!$A:$A, 0))&gt;0, -(30*INDEX('UZ-normalized'!$D:$D, MATCH($A66, 'UZ-normalized'!$A:$A, 0))-INDEX('UZ-normalized'!$E:$E, MATCH($A66, 'UZ-normalized'!$A:$A, 0))), 0), 0)))</f>
        <v>-3573.5</v>
      </c>
    </row>
    <row r="67" spans="1:44" x14ac:dyDescent="0.25">
      <c r="A67" s="8" t="s">
        <v>183</v>
      </c>
      <c r="B67" s="8" t="s">
        <v>180</v>
      </c>
      <c r="C67" s="8" t="s">
        <v>181</v>
      </c>
      <c r="D67" s="8" t="s">
        <v>184</v>
      </c>
      <c r="N67">
        <f t="shared" si="1"/>
        <v>0</v>
      </c>
      <c r="O67" s="6">
        <f>MIN(0, N67+(IFERROR(IF(1*INDEX('UA-normalized'!$D:$D, MATCH($A67, 'UA-normalized'!$A:$A, 0))-INDEX('UA-normalized'!$E:$E, MATCH($A67, 'UA-normalized'!$A:$A, 0))&gt;0, -(1*INDEX('UA-normalized'!$D:$D, MATCH($A67, 'UA-normalized'!$A:$A, 0))-INDEX('UA-normalized'!$E:$E, MATCH($A67, 'UA-normalized'!$A:$A, 0))), 0), 0))+(IFERROR(IF(1*INDEX('KZ-normalized'!$D:$D, MATCH($A67, 'KZ-normalized'!$A:$A, 0))-INDEX('KZ-normalized'!$E:$E, MATCH($A67, 'KZ-normalized'!$A:$A, 0))&gt;0, -(1*INDEX('KZ-normalized'!$D:$D, MATCH($A67, 'KZ-normalized'!$A:$A, 0))-INDEX('KZ-normalized'!$E:$E, MATCH($A67, 'KZ-normalized'!$A:$A, 0))), 0), 0))+(IFERROR(IF(1*INDEX('UZ-normalized'!$D:$D, MATCH($A67, 'UZ-normalized'!$A:$A, 0))-INDEX('UZ-normalized'!$E:$E, MATCH($A67, 'UZ-normalized'!$A:$A, 0))&gt;0, -(1*INDEX('UZ-normalized'!$D:$D, MATCH($A67, 'UZ-normalized'!$A:$A, 0))-INDEX('UZ-normalized'!$E:$E, MATCH($A67, 'UZ-normalized'!$A:$A, 0))), 0), 0)))</f>
        <v>0</v>
      </c>
      <c r="P67" s="6">
        <f>MIN(0, N67+(IFERROR(IF(2*INDEX('UA-normalized'!$D:$D, MATCH($A67, 'UA-normalized'!$A:$A, 0))-INDEX('UA-normalized'!$E:$E, MATCH($A67, 'UA-normalized'!$A:$A, 0))&gt;0, -(2*INDEX('UA-normalized'!$D:$D, MATCH($A67, 'UA-normalized'!$A:$A, 0))-INDEX('UA-normalized'!$E:$E, MATCH($A67, 'UA-normalized'!$A:$A, 0))), 0), 0))+(IFERROR(IF(2*INDEX('KZ-normalized'!$D:$D, MATCH($A67, 'KZ-normalized'!$A:$A, 0))-INDEX('KZ-normalized'!$E:$E, MATCH($A67, 'KZ-normalized'!$A:$A, 0))&gt;0, -(2*INDEX('KZ-normalized'!$D:$D, MATCH($A67, 'KZ-normalized'!$A:$A, 0))-INDEX('KZ-normalized'!$E:$E, MATCH($A67, 'KZ-normalized'!$A:$A, 0))), 0), 0))+(IFERROR(IF(2*INDEX('UZ-normalized'!$D:$D, MATCH($A67, 'UZ-normalized'!$A:$A, 0))-INDEX('UZ-normalized'!$E:$E, MATCH($A67, 'UZ-normalized'!$A:$A, 0))&gt;0, -(2*INDEX('UZ-normalized'!$D:$D, MATCH($A67, 'UZ-normalized'!$A:$A, 0))-INDEX('UZ-normalized'!$E:$E, MATCH($A67, 'UZ-normalized'!$A:$A, 0))), 0), 0)))</f>
        <v>0</v>
      </c>
      <c r="Q67" s="6">
        <f>MIN(0, N67+(IFERROR(IF(3*INDEX('UA-normalized'!$D:$D, MATCH($A67, 'UA-normalized'!$A:$A, 0))-INDEX('UA-normalized'!$E:$E, MATCH($A67, 'UA-normalized'!$A:$A, 0))&gt;0, -(3*INDEX('UA-normalized'!$D:$D, MATCH($A67, 'UA-normalized'!$A:$A, 0))-INDEX('UA-normalized'!$E:$E, MATCH($A67, 'UA-normalized'!$A:$A, 0))), 0), 0))+(IFERROR(IF(3*INDEX('KZ-normalized'!$D:$D, MATCH($A67, 'KZ-normalized'!$A:$A, 0))-INDEX('KZ-normalized'!$E:$E, MATCH($A67, 'KZ-normalized'!$A:$A, 0))&gt;0, -(3*INDEX('KZ-normalized'!$D:$D, MATCH($A67, 'KZ-normalized'!$A:$A, 0))-INDEX('KZ-normalized'!$E:$E, MATCH($A67, 'KZ-normalized'!$A:$A, 0))), 0), 0))+(IFERROR(IF(3*INDEX('UZ-normalized'!$D:$D, MATCH($A67, 'UZ-normalized'!$A:$A, 0))-INDEX('UZ-normalized'!$E:$E, MATCH($A67, 'UZ-normalized'!$A:$A, 0))&gt;0, -(3*INDEX('UZ-normalized'!$D:$D, MATCH($A67, 'UZ-normalized'!$A:$A, 0))-INDEX('UZ-normalized'!$E:$E, MATCH($A67, 'UZ-normalized'!$A:$A, 0))), 0), 0)))</f>
        <v>0</v>
      </c>
      <c r="R67" s="6">
        <f>MIN(0, N67+(IFERROR(IF(4*INDEX('UA-normalized'!$D:$D, MATCH($A67, 'UA-normalized'!$A:$A, 0))-INDEX('UA-normalized'!$E:$E, MATCH($A67, 'UA-normalized'!$A:$A, 0))&gt;0, -(4*INDEX('UA-normalized'!$D:$D, MATCH($A67, 'UA-normalized'!$A:$A, 0))-INDEX('UA-normalized'!$E:$E, MATCH($A67, 'UA-normalized'!$A:$A, 0))), 0), 0))+(IFERROR(IF(4*INDEX('KZ-normalized'!$D:$D, MATCH($A67, 'KZ-normalized'!$A:$A, 0))-INDEX('KZ-normalized'!$E:$E, MATCH($A67, 'KZ-normalized'!$A:$A, 0))&gt;0, -(4*INDEX('KZ-normalized'!$D:$D, MATCH($A67, 'KZ-normalized'!$A:$A, 0))-INDEX('KZ-normalized'!$E:$E, MATCH($A67, 'KZ-normalized'!$A:$A, 0))), 0), 0))+(IFERROR(IF(4*INDEX('UZ-normalized'!$D:$D, MATCH($A67, 'UZ-normalized'!$A:$A, 0))-INDEX('UZ-normalized'!$E:$E, MATCH($A67, 'UZ-normalized'!$A:$A, 0))&gt;0, -(4*INDEX('UZ-normalized'!$D:$D, MATCH($A67, 'UZ-normalized'!$A:$A, 0))-INDEX('UZ-normalized'!$E:$E, MATCH($A67, 'UZ-normalized'!$A:$A, 0))), 0), 0)))</f>
        <v>0</v>
      </c>
      <c r="S67" s="6">
        <f>MIN(0, N67+(IFERROR(IF(5*INDEX('UA-normalized'!$D:$D, MATCH($A67, 'UA-normalized'!$A:$A, 0))-INDEX('UA-normalized'!$E:$E, MATCH($A67, 'UA-normalized'!$A:$A, 0))&gt;0, -(5*INDEX('UA-normalized'!$D:$D, MATCH($A67, 'UA-normalized'!$A:$A, 0))-INDEX('UA-normalized'!$E:$E, MATCH($A67, 'UA-normalized'!$A:$A, 0))), 0), 0))+(IFERROR(IF(5*INDEX('KZ-normalized'!$D:$D, MATCH($A67, 'KZ-normalized'!$A:$A, 0))-INDEX('KZ-normalized'!$E:$E, MATCH($A67, 'KZ-normalized'!$A:$A, 0))&gt;0, -(5*INDEX('KZ-normalized'!$D:$D, MATCH($A67, 'KZ-normalized'!$A:$A, 0))-INDEX('KZ-normalized'!$E:$E, MATCH($A67, 'KZ-normalized'!$A:$A, 0))), 0), 0))+(IFERROR(IF(5*INDEX('UZ-normalized'!$D:$D, MATCH($A67, 'UZ-normalized'!$A:$A, 0))-INDEX('UZ-normalized'!$E:$E, MATCH($A67, 'UZ-normalized'!$A:$A, 0))&gt;0, -(5*INDEX('UZ-normalized'!$D:$D, MATCH($A67, 'UZ-normalized'!$A:$A, 0))-INDEX('UZ-normalized'!$E:$E, MATCH($A67, 'UZ-normalized'!$A:$A, 0))), 0), 0)))</f>
        <v>0</v>
      </c>
      <c r="T67" s="6">
        <f>MIN(0, N67+(IFERROR(IF(6*INDEX('UA-normalized'!$D:$D, MATCH($A67, 'UA-normalized'!$A:$A, 0))-INDEX('UA-normalized'!$E:$E, MATCH($A67, 'UA-normalized'!$A:$A, 0))&gt;0, -(6*INDEX('UA-normalized'!$D:$D, MATCH($A67, 'UA-normalized'!$A:$A, 0))-INDEX('UA-normalized'!$E:$E, MATCH($A67, 'UA-normalized'!$A:$A, 0))), 0), 0))+(IFERROR(IF(6*INDEX('KZ-normalized'!$D:$D, MATCH($A67, 'KZ-normalized'!$A:$A, 0))-INDEX('KZ-normalized'!$E:$E, MATCH($A67, 'KZ-normalized'!$A:$A, 0))&gt;0, -(6*INDEX('KZ-normalized'!$D:$D, MATCH($A67, 'KZ-normalized'!$A:$A, 0))-INDEX('KZ-normalized'!$E:$E, MATCH($A67, 'KZ-normalized'!$A:$A, 0))), 0), 0))+(IFERROR(IF(6*INDEX('UZ-normalized'!$D:$D, MATCH($A67, 'UZ-normalized'!$A:$A, 0))-INDEX('UZ-normalized'!$E:$E, MATCH($A67, 'UZ-normalized'!$A:$A, 0))&gt;0, -(6*INDEX('UZ-normalized'!$D:$D, MATCH($A67, 'UZ-normalized'!$A:$A, 0))-INDEX('UZ-normalized'!$E:$E, MATCH($A67, 'UZ-normalized'!$A:$A, 0))), 0), 0)))</f>
        <v>0</v>
      </c>
      <c r="U67" s="6">
        <f>MIN(0, N67+(IFERROR(IF(7*INDEX('UA-normalized'!$D:$D, MATCH($A67, 'UA-normalized'!$A:$A, 0))-INDEX('UA-normalized'!$E:$E, MATCH($A67, 'UA-normalized'!$A:$A, 0))&gt;0, -(7*INDEX('UA-normalized'!$D:$D, MATCH($A67, 'UA-normalized'!$A:$A, 0))-INDEX('UA-normalized'!$E:$E, MATCH($A67, 'UA-normalized'!$A:$A, 0))), 0), 0))+(IFERROR(IF(7*INDEX('KZ-normalized'!$D:$D, MATCH($A67, 'KZ-normalized'!$A:$A, 0))-INDEX('KZ-normalized'!$E:$E, MATCH($A67, 'KZ-normalized'!$A:$A, 0))&gt;0, -(7*INDEX('KZ-normalized'!$D:$D, MATCH($A67, 'KZ-normalized'!$A:$A, 0))-INDEX('KZ-normalized'!$E:$E, MATCH($A67, 'KZ-normalized'!$A:$A, 0))), 0), 0))+(IFERROR(IF(7*INDEX('UZ-normalized'!$D:$D, MATCH($A67, 'UZ-normalized'!$A:$A, 0))-INDEX('UZ-normalized'!$E:$E, MATCH($A67, 'UZ-normalized'!$A:$A, 0))&gt;0, -(7*INDEX('UZ-normalized'!$D:$D, MATCH($A67, 'UZ-normalized'!$A:$A, 0))-INDEX('UZ-normalized'!$E:$E, MATCH($A67, 'UZ-normalized'!$A:$A, 0))), 0), 0)))</f>
        <v>0</v>
      </c>
      <c r="V67" s="6">
        <f>MIN(0, N67+(IFERROR(IF(8*INDEX('UA-normalized'!$D:$D, MATCH($A67, 'UA-normalized'!$A:$A, 0))-INDEX('UA-normalized'!$E:$E, MATCH($A67, 'UA-normalized'!$A:$A, 0))&gt;0, -(8*INDEX('UA-normalized'!$D:$D, MATCH($A67, 'UA-normalized'!$A:$A, 0))-INDEX('UA-normalized'!$E:$E, MATCH($A67, 'UA-normalized'!$A:$A, 0))), 0), 0))+(IFERROR(IF(8*INDEX('KZ-normalized'!$D:$D, MATCH($A67, 'KZ-normalized'!$A:$A, 0))-INDEX('KZ-normalized'!$E:$E, MATCH($A67, 'KZ-normalized'!$A:$A, 0))&gt;0, -(8*INDEX('KZ-normalized'!$D:$D, MATCH($A67, 'KZ-normalized'!$A:$A, 0))-INDEX('KZ-normalized'!$E:$E, MATCH($A67, 'KZ-normalized'!$A:$A, 0))), 0), 0))+(IFERROR(IF(8*INDEX('UZ-normalized'!$D:$D, MATCH($A67, 'UZ-normalized'!$A:$A, 0))-INDEX('UZ-normalized'!$E:$E, MATCH($A67, 'UZ-normalized'!$A:$A, 0))&gt;0, -(8*INDEX('UZ-normalized'!$D:$D, MATCH($A67, 'UZ-normalized'!$A:$A, 0))-INDEX('UZ-normalized'!$E:$E, MATCH($A67, 'UZ-normalized'!$A:$A, 0))), 0), 0)))</f>
        <v>0</v>
      </c>
      <c r="W67" s="6">
        <f>MIN(0, N67+(IFERROR(IF(9*INDEX('UA-normalized'!$D:$D, MATCH($A67, 'UA-normalized'!$A:$A, 0))-INDEX('UA-normalized'!$E:$E, MATCH($A67, 'UA-normalized'!$A:$A, 0))&gt;0, -(9*INDEX('UA-normalized'!$D:$D, MATCH($A67, 'UA-normalized'!$A:$A, 0))-INDEX('UA-normalized'!$E:$E, MATCH($A67, 'UA-normalized'!$A:$A, 0))), 0), 0))+(IFERROR(IF(9*INDEX('KZ-normalized'!$D:$D, MATCH($A67, 'KZ-normalized'!$A:$A, 0))-INDEX('KZ-normalized'!$E:$E, MATCH($A67, 'KZ-normalized'!$A:$A, 0))&gt;0, -(9*INDEX('KZ-normalized'!$D:$D, MATCH($A67, 'KZ-normalized'!$A:$A, 0))-INDEX('KZ-normalized'!$E:$E, MATCH($A67, 'KZ-normalized'!$A:$A, 0))), 0), 0))+(IFERROR(IF(9*INDEX('UZ-normalized'!$D:$D, MATCH($A67, 'UZ-normalized'!$A:$A, 0))-INDEX('UZ-normalized'!$E:$E, MATCH($A67, 'UZ-normalized'!$A:$A, 0))&gt;0, -(9*INDEX('UZ-normalized'!$D:$D, MATCH($A67, 'UZ-normalized'!$A:$A, 0))-INDEX('UZ-normalized'!$E:$E, MATCH($A67, 'UZ-normalized'!$A:$A, 0))), 0), 0)))</f>
        <v>0</v>
      </c>
      <c r="X67" s="6">
        <f>MIN(0, N67+(IFERROR(IF(10*INDEX('UA-normalized'!$D:$D, MATCH($A67, 'UA-normalized'!$A:$A, 0))-INDEX('UA-normalized'!$E:$E, MATCH($A67, 'UA-normalized'!$A:$A, 0))&gt;0, -(10*INDEX('UA-normalized'!$D:$D, MATCH($A67, 'UA-normalized'!$A:$A, 0))-INDEX('UA-normalized'!$E:$E, MATCH($A67, 'UA-normalized'!$A:$A, 0))), 0), 0))+(IFERROR(IF(10*INDEX('KZ-normalized'!$D:$D, MATCH($A67, 'KZ-normalized'!$A:$A, 0))-INDEX('KZ-normalized'!$E:$E, MATCH($A67, 'KZ-normalized'!$A:$A, 0))&gt;0, -(10*INDEX('KZ-normalized'!$D:$D, MATCH($A67, 'KZ-normalized'!$A:$A, 0))-INDEX('KZ-normalized'!$E:$E, MATCH($A67, 'KZ-normalized'!$A:$A, 0))), 0), 0))+(IFERROR(IF(10*INDEX('UZ-normalized'!$D:$D, MATCH($A67, 'UZ-normalized'!$A:$A, 0))-INDEX('UZ-normalized'!$E:$E, MATCH($A67, 'UZ-normalized'!$A:$A, 0))&gt;0, -(10*INDEX('UZ-normalized'!$D:$D, MATCH($A67, 'UZ-normalized'!$A:$A, 0))-INDEX('UZ-normalized'!$E:$E, MATCH($A67, 'UZ-normalized'!$A:$A, 0))), 0), 0)))</f>
        <v>0</v>
      </c>
      <c r="Y67" s="6">
        <f>MIN(0, N67+(IFERROR(IF(11*INDEX('UA-normalized'!$D:$D, MATCH($A67, 'UA-normalized'!$A:$A, 0))-INDEX('UA-normalized'!$E:$E, MATCH($A67, 'UA-normalized'!$A:$A, 0))&gt;0, -(11*INDEX('UA-normalized'!$D:$D, MATCH($A67, 'UA-normalized'!$A:$A, 0))-INDEX('UA-normalized'!$E:$E, MATCH($A67, 'UA-normalized'!$A:$A, 0))), 0), 0))+(IFERROR(IF(11*INDEX('KZ-normalized'!$D:$D, MATCH($A67, 'KZ-normalized'!$A:$A, 0))-INDEX('KZ-normalized'!$E:$E, MATCH($A67, 'KZ-normalized'!$A:$A, 0))&gt;0, -(11*INDEX('KZ-normalized'!$D:$D, MATCH($A67, 'KZ-normalized'!$A:$A, 0))-INDEX('KZ-normalized'!$E:$E, MATCH($A67, 'KZ-normalized'!$A:$A, 0))), 0), 0))+(IFERROR(IF(11*INDEX('UZ-normalized'!$D:$D, MATCH($A67, 'UZ-normalized'!$A:$A, 0))-INDEX('UZ-normalized'!$E:$E, MATCH($A67, 'UZ-normalized'!$A:$A, 0))&gt;0, -(11*INDEX('UZ-normalized'!$D:$D, MATCH($A67, 'UZ-normalized'!$A:$A, 0))-INDEX('UZ-normalized'!$E:$E, MATCH($A67, 'UZ-normalized'!$A:$A, 0))), 0), 0)))</f>
        <v>0</v>
      </c>
      <c r="Z67" s="6">
        <f>MIN(0, N67+(IFERROR(IF(12*INDEX('UA-normalized'!$D:$D, MATCH($A67, 'UA-normalized'!$A:$A, 0))-INDEX('UA-normalized'!$E:$E, MATCH($A67, 'UA-normalized'!$A:$A, 0))&gt;0, -(12*INDEX('UA-normalized'!$D:$D, MATCH($A67, 'UA-normalized'!$A:$A, 0))-INDEX('UA-normalized'!$E:$E, MATCH($A67, 'UA-normalized'!$A:$A, 0))), 0), 0))+(IFERROR(IF(12*INDEX('KZ-normalized'!$D:$D, MATCH($A67, 'KZ-normalized'!$A:$A, 0))-INDEX('KZ-normalized'!$E:$E, MATCH($A67, 'KZ-normalized'!$A:$A, 0))&gt;0, -(12*INDEX('KZ-normalized'!$D:$D, MATCH($A67, 'KZ-normalized'!$A:$A, 0))-INDEX('KZ-normalized'!$E:$E, MATCH($A67, 'KZ-normalized'!$A:$A, 0))), 0), 0))+(IFERROR(IF(12*INDEX('UZ-normalized'!$D:$D, MATCH($A67, 'UZ-normalized'!$A:$A, 0))-INDEX('UZ-normalized'!$E:$E, MATCH($A67, 'UZ-normalized'!$A:$A, 0))&gt;0, -(12*INDEX('UZ-normalized'!$D:$D, MATCH($A67, 'UZ-normalized'!$A:$A, 0))-INDEX('UZ-normalized'!$E:$E, MATCH($A67, 'UZ-normalized'!$A:$A, 0))), 0), 0)))</f>
        <v>0</v>
      </c>
      <c r="AA67" s="6">
        <f>MIN(0, N67+(IFERROR(IF(13*INDEX('UA-normalized'!$D:$D, MATCH($A67, 'UA-normalized'!$A:$A, 0))-INDEX('UA-normalized'!$E:$E, MATCH($A67, 'UA-normalized'!$A:$A, 0))&gt;0, -(13*INDEX('UA-normalized'!$D:$D, MATCH($A67, 'UA-normalized'!$A:$A, 0))-INDEX('UA-normalized'!$E:$E, MATCH($A67, 'UA-normalized'!$A:$A, 0))), 0), 0))+(IFERROR(IF(13*INDEX('KZ-normalized'!$D:$D, MATCH($A67, 'KZ-normalized'!$A:$A, 0))-INDEX('KZ-normalized'!$E:$E, MATCH($A67, 'KZ-normalized'!$A:$A, 0))&gt;0, -(13*INDEX('KZ-normalized'!$D:$D, MATCH($A67, 'KZ-normalized'!$A:$A, 0))-INDEX('KZ-normalized'!$E:$E, MATCH($A67, 'KZ-normalized'!$A:$A, 0))), 0), 0))+(IFERROR(IF(13*INDEX('UZ-normalized'!$D:$D, MATCH($A67, 'UZ-normalized'!$A:$A, 0))-INDEX('UZ-normalized'!$E:$E, MATCH($A67, 'UZ-normalized'!$A:$A, 0))&gt;0, -(13*INDEX('UZ-normalized'!$D:$D, MATCH($A67, 'UZ-normalized'!$A:$A, 0))-INDEX('UZ-normalized'!$E:$E, MATCH($A67, 'UZ-normalized'!$A:$A, 0))), 0), 0)))</f>
        <v>0</v>
      </c>
      <c r="AB67" s="6">
        <f>MIN(0, N67+(IFERROR(IF(14*INDEX('UA-normalized'!$D:$D, MATCH($A67, 'UA-normalized'!$A:$A, 0))-INDEX('UA-normalized'!$E:$E, MATCH($A67, 'UA-normalized'!$A:$A, 0))&gt;0, -(14*INDEX('UA-normalized'!$D:$D, MATCH($A67, 'UA-normalized'!$A:$A, 0))-INDEX('UA-normalized'!$E:$E, MATCH($A67, 'UA-normalized'!$A:$A, 0))), 0), 0))+(IFERROR(IF(14*INDEX('KZ-normalized'!$D:$D, MATCH($A67, 'KZ-normalized'!$A:$A, 0))-INDEX('KZ-normalized'!$E:$E, MATCH($A67, 'KZ-normalized'!$A:$A, 0))&gt;0, -(14*INDEX('KZ-normalized'!$D:$D, MATCH($A67, 'KZ-normalized'!$A:$A, 0))-INDEX('KZ-normalized'!$E:$E, MATCH($A67, 'KZ-normalized'!$A:$A, 0))), 0), 0))+(IFERROR(IF(14*INDEX('UZ-normalized'!$D:$D, MATCH($A67, 'UZ-normalized'!$A:$A, 0))-INDEX('UZ-normalized'!$E:$E, MATCH($A67, 'UZ-normalized'!$A:$A, 0))&gt;0, -(14*INDEX('UZ-normalized'!$D:$D, MATCH($A67, 'UZ-normalized'!$A:$A, 0))-INDEX('UZ-normalized'!$E:$E, MATCH($A67, 'UZ-normalized'!$A:$A, 0))), 0), 0)))</f>
        <v>0</v>
      </c>
      <c r="AC67" s="6">
        <f>MIN(0, N67+(IFERROR(IF(15*INDEX('UA-normalized'!$D:$D, MATCH($A67, 'UA-normalized'!$A:$A, 0))-INDEX('UA-normalized'!$E:$E, MATCH($A67, 'UA-normalized'!$A:$A, 0))&gt;0, -(15*INDEX('UA-normalized'!$D:$D, MATCH($A67, 'UA-normalized'!$A:$A, 0))-INDEX('UA-normalized'!$E:$E, MATCH($A67, 'UA-normalized'!$A:$A, 0))), 0), 0))+(IFERROR(IF(15*INDEX('KZ-normalized'!$D:$D, MATCH($A67, 'KZ-normalized'!$A:$A, 0))-INDEX('KZ-normalized'!$E:$E, MATCH($A67, 'KZ-normalized'!$A:$A, 0))&gt;0, -(15*INDEX('KZ-normalized'!$D:$D, MATCH($A67, 'KZ-normalized'!$A:$A, 0))-INDEX('KZ-normalized'!$E:$E, MATCH($A67, 'KZ-normalized'!$A:$A, 0))), 0), 0))+(IFERROR(IF(15*INDEX('UZ-normalized'!$D:$D, MATCH($A67, 'UZ-normalized'!$A:$A, 0))-INDEX('UZ-normalized'!$E:$E, MATCH($A67, 'UZ-normalized'!$A:$A, 0))&gt;0, -(15*INDEX('UZ-normalized'!$D:$D, MATCH($A67, 'UZ-normalized'!$A:$A, 0))-INDEX('UZ-normalized'!$E:$E, MATCH($A67, 'UZ-normalized'!$A:$A, 0))), 0), 0)))</f>
        <v>0</v>
      </c>
      <c r="AD67" s="6">
        <f>MIN(0, N67+(IFERROR(IF(16*INDEX('UA-normalized'!$D:$D, MATCH($A67, 'UA-normalized'!$A:$A, 0))-INDEX('UA-normalized'!$E:$E, MATCH($A67, 'UA-normalized'!$A:$A, 0))&gt;0, -(16*INDEX('UA-normalized'!$D:$D, MATCH($A67, 'UA-normalized'!$A:$A, 0))-INDEX('UA-normalized'!$E:$E, MATCH($A67, 'UA-normalized'!$A:$A, 0))), 0), 0))+(IFERROR(IF(16*INDEX('KZ-normalized'!$D:$D, MATCH($A67, 'KZ-normalized'!$A:$A, 0))-INDEX('KZ-normalized'!$E:$E, MATCH($A67, 'KZ-normalized'!$A:$A, 0))&gt;0, -(16*INDEX('KZ-normalized'!$D:$D, MATCH($A67, 'KZ-normalized'!$A:$A, 0))-INDEX('KZ-normalized'!$E:$E, MATCH($A67, 'KZ-normalized'!$A:$A, 0))), 0), 0))+(IFERROR(IF(16*INDEX('UZ-normalized'!$D:$D, MATCH($A67, 'UZ-normalized'!$A:$A, 0))-INDEX('UZ-normalized'!$E:$E, MATCH($A67, 'UZ-normalized'!$A:$A, 0))&gt;0, -(16*INDEX('UZ-normalized'!$D:$D, MATCH($A67, 'UZ-normalized'!$A:$A, 0))-INDEX('UZ-normalized'!$E:$E, MATCH($A67, 'UZ-normalized'!$A:$A, 0))), 0), 0)))</f>
        <v>0</v>
      </c>
      <c r="AE67" s="6">
        <f>MIN(0, N67+(IFERROR(IF(17*INDEX('UA-normalized'!$D:$D, MATCH($A67, 'UA-normalized'!$A:$A, 0))-INDEX('UA-normalized'!$E:$E, MATCH($A67, 'UA-normalized'!$A:$A, 0))&gt;0, -(17*INDEX('UA-normalized'!$D:$D, MATCH($A67, 'UA-normalized'!$A:$A, 0))-INDEX('UA-normalized'!$E:$E, MATCH($A67, 'UA-normalized'!$A:$A, 0))), 0), 0))+(IFERROR(IF(17*INDEX('KZ-normalized'!$D:$D, MATCH($A67, 'KZ-normalized'!$A:$A, 0))-INDEX('KZ-normalized'!$E:$E, MATCH($A67, 'KZ-normalized'!$A:$A, 0))&gt;0, -(17*INDEX('KZ-normalized'!$D:$D, MATCH($A67, 'KZ-normalized'!$A:$A, 0))-INDEX('KZ-normalized'!$E:$E, MATCH($A67, 'KZ-normalized'!$A:$A, 0))), 0), 0))+(IFERROR(IF(17*INDEX('UZ-normalized'!$D:$D, MATCH($A67, 'UZ-normalized'!$A:$A, 0))-INDEX('UZ-normalized'!$E:$E, MATCH($A67, 'UZ-normalized'!$A:$A, 0))&gt;0, -(17*INDEX('UZ-normalized'!$D:$D, MATCH($A67, 'UZ-normalized'!$A:$A, 0))-INDEX('UZ-normalized'!$E:$E, MATCH($A67, 'UZ-normalized'!$A:$A, 0))), 0), 0)))</f>
        <v>0</v>
      </c>
      <c r="AF67" s="6">
        <f>MIN(0, N67+(IFERROR(IF(18*INDEX('UA-normalized'!$D:$D, MATCH($A67, 'UA-normalized'!$A:$A, 0))-INDEX('UA-normalized'!$E:$E, MATCH($A67, 'UA-normalized'!$A:$A, 0))&gt;0, -(18*INDEX('UA-normalized'!$D:$D, MATCH($A67, 'UA-normalized'!$A:$A, 0))-INDEX('UA-normalized'!$E:$E, MATCH($A67, 'UA-normalized'!$A:$A, 0))), 0), 0))+(IFERROR(IF(18*INDEX('KZ-normalized'!$D:$D, MATCH($A67, 'KZ-normalized'!$A:$A, 0))-INDEX('KZ-normalized'!$E:$E, MATCH($A67, 'KZ-normalized'!$A:$A, 0))&gt;0, -(18*INDEX('KZ-normalized'!$D:$D, MATCH($A67, 'KZ-normalized'!$A:$A, 0))-INDEX('KZ-normalized'!$E:$E, MATCH($A67, 'KZ-normalized'!$A:$A, 0))), 0), 0))+(IFERROR(IF(18*INDEX('UZ-normalized'!$D:$D, MATCH($A67, 'UZ-normalized'!$A:$A, 0))-INDEX('UZ-normalized'!$E:$E, MATCH($A67, 'UZ-normalized'!$A:$A, 0))&gt;0, -(18*INDEX('UZ-normalized'!$D:$D, MATCH($A67, 'UZ-normalized'!$A:$A, 0))-INDEX('UZ-normalized'!$E:$E, MATCH($A67, 'UZ-normalized'!$A:$A, 0))), 0), 0)))</f>
        <v>0</v>
      </c>
      <c r="AG67" s="6">
        <f>MIN(0, N67+(IFERROR(IF(19*INDEX('UA-normalized'!$D:$D, MATCH($A67, 'UA-normalized'!$A:$A, 0))-INDEX('UA-normalized'!$E:$E, MATCH($A67, 'UA-normalized'!$A:$A, 0))&gt;0, -(19*INDEX('UA-normalized'!$D:$D, MATCH($A67, 'UA-normalized'!$A:$A, 0))-INDEX('UA-normalized'!$E:$E, MATCH($A67, 'UA-normalized'!$A:$A, 0))), 0), 0))+(IFERROR(IF(19*INDEX('KZ-normalized'!$D:$D, MATCH($A67, 'KZ-normalized'!$A:$A, 0))-INDEX('KZ-normalized'!$E:$E, MATCH($A67, 'KZ-normalized'!$A:$A, 0))&gt;0, -(19*INDEX('KZ-normalized'!$D:$D, MATCH($A67, 'KZ-normalized'!$A:$A, 0))-INDEX('KZ-normalized'!$E:$E, MATCH($A67, 'KZ-normalized'!$A:$A, 0))), 0), 0))+(IFERROR(IF(19*INDEX('UZ-normalized'!$D:$D, MATCH($A67, 'UZ-normalized'!$A:$A, 0))-INDEX('UZ-normalized'!$E:$E, MATCH($A67, 'UZ-normalized'!$A:$A, 0))&gt;0, -(19*INDEX('UZ-normalized'!$D:$D, MATCH($A67, 'UZ-normalized'!$A:$A, 0))-INDEX('UZ-normalized'!$E:$E, MATCH($A67, 'UZ-normalized'!$A:$A, 0))), 0), 0)))</f>
        <v>0</v>
      </c>
      <c r="AH67" s="6">
        <f>MIN(0, N67+(IFERROR(IF(20*INDEX('UA-normalized'!$D:$D, MATCH($A67, 'UA-normalized'!$A:$A, 0))-INDEX('UA-normalized'!$E:$E, MATCH($A67, 'UA-normalized'!$A:$A, 0))&gt;0, -(20*INDEX('UA-normalized'!$D:$D, MATCH($A67, 'UA-normalized'!$A:$A, 0))-INDEX('UA-normalized'!$E:$E, MATCH($A67, 'UA-normalized'!$A:$A, 0))), 0), 0))+(IFERROR(IF(20*INDEX('KZ-normalized'!$D:$D, MATCH($A67, 'KZ-normalized'!$A:$A, 0))-INDEX('KZ-normalized'!$E:$E, MATCH($A67, 'KZ-normalized'!$A:$A, 0))&gt;0, -(20*INDEX('KZ-normalized'!$D:$D, MATCH($A67, 'KZ-normalized'!$A:$A, 0))-INDEX('KZ-normalized'!$E:$E, MATCH($A67, 'KZ-normalized'!$A:$A, 0))), 0), 0))+(IFERROR(IF(20*INDEX('UZ-normalized'!$D:$D, MATCH($A67, 'UZ-normalized'!$A:$A, 0))-INDEX('UZ-normalized'!$E:$E, MATCH($A67, 'UZ-normalized'!$A:$A, 0))&gt;0, -(20*INDEX('UZ-normalized'!$D:$D, MATCH($A67, 'UZ-normalized'!$A:$A, 0))-INDEX('UZ-normalized'!$E:$E, MATCH($A67, 'UZ-normalized'!$A:$A, 0))), 0), 0)))</f>
        <v>0</v>
      </c>
      <c r="AI67" s="6">
        <f>MIN(0, N67+(IFERROR(IF(21*INDEX('UA-normalized'!$D:$D, MATCH($A67, 'UA-normalized'!$A:$A, 0))-INDEX('UA-normalized'!$E:$E, MATCH($A67, 'UA-normalized'!$A:$A, 0))&gt;0, -(21*INDEX('UA-normalized'!$D:$D, MATCH($A67, 'UA-normalized'!$A:$A, 0))-INDEX('UA-normalized'!$E:$E, MATCH($A67, 'UA-normalized'!$A:$A, 0))), 0), 0))+(IFERROR(IF(21*INDEX('KZ-normalized'!$D:$D, MATCH($A67, 'KZ-normalized'!$A:$A, 0))-INDEX('KZ-normalized'!$E:$E, MATCH($A67, 'KZ-normalized'!$A:$A, 0))&gt;0, -(21*INDEX('KZ-normalized'!$D:$D, MATCH($A67, 'KZ-normalized'!$A:$A, 0))-INDEX('KZ-normalized'!$E:$E, MATCH($A67, 'KZ-normalized'!$A:$A, 0))), 0), 0))+(IFERROR(IF(21*INDEX('UZ-normalized'!$D:$D, MATCH($A67, 'UZ-normalized'!$A:$A, 0))-INDEX('UZ-normalized'!$E:$E, MATCH($A67, 'UZ-normalized'!$A:$A, 0))&gt;0, -(21*INDEX('UZ-normalized'!$D:$D, MATCH($A67, 'UZ-normalized'!$A:$A, 0))-INDEX('UZ-normalized'!$E:$E, MATCH($A67, 'UZ-normalized'!$A:$A, 0))), 0), 0)))</f>
        <v>0</v>
      </c>
      <c r="AJ67" s="6">
        <f>MIN(0, N67+(IFERROR(IF(22*INDEX('UA-normalized'!$D:$D, MATCH($A67, 'UA-normalized'!$A:$A, 0))-INDEX('UA-normalized'!$E:$E, MATCH($A67, 'UA-normalized'!$A:$A, 0))&gt;0, -(22*INDEX('UA-normalized'!$D:$D, MATCH($A67, 'UA-normalized'!$A:$A, 0))-INDEX('UA-normalized'!$E:$E, MATCH($A67, 'UA-normalized'!$A:$A, 0))), 0), 0))+(IFERROR(IF(22*INDEX('KZ-normalized'!$D:$D, MATCH($A67, 'KZ-normalized'!$A:$A, 0))-INDEX('KZ-normalized'!$E:$E, MATCH($A67, 'KZ-normalized'!$A:$A, 0))&gt;0, -(22*INDEX('KZ-normalized'!$D:$D, MATCH($A67, 'KZ-normalized'!$A:$A, 0))-INDEX('KZ-normalized'!$E:$E, MATCH($A67, 'KZ-normalized'!$A:$A, 0))), 0), 0))+(IFERROR(IF(22*INDEX('UZ-normalized'!$D:$D, MATCH($A67, 'UZ-normalized'!$A:$A, 0))-INDEX('UZ-normalized'!$E:$E, MATCH($A67, 'UZ-normalized'!$A:$A, 0))&gt;0, -(22*INDEX('UZ-normalized'!$D:$D, MATCH($A67, 'UZ-normalized'!$A:$A, 0))-INDEX('UZ-normalized'!$E:$E, MATCH($A67, 'UZ-normalized'!$A:$A, 0))), 0), 0)))</f>
        <v>0</v>
      </c>
      <c r="AK67" s="6">
        <f>MIN(0, N67+(IFERROR(IF(23*INDEX('UA-normalized'!$D:$D, MATCH($A67, 'UA-normalized'!$A:$A, 0))-INDEX('UA-normalized'!$E:$E, MATCH($A67, 'UA-normalized'!$A:$A, 0))&gt;0, -(23*INDEX('UA-normalized'!$D:$D, MATCH($A67, 'UA-normalized'!$A:$A, 0))-INDEX('UA-normalized'!$E:$E, MATCH($A67, 'UA-normalized'!$A:$A, 0))), 0), 0))+(IFERROR(IF(23*INDEX('KZ-normalized'!$D:$D, MATCH($A67, 'KZ-normalized'!$A:$A, 0))-INDEX('KZ-normalized'!$E:$E, MATCH($A67, 'KZ-normalized'!$A:$A, 0))&gt;0, -(23*INDEX('KZ-normalized'!$D:$D, MATCH($A67, 'KZ-normalized'!$A:$A, 0))-INDEX('KZ-normalized'!$E:$E, MATCH($A67, 'KZ-normalized'!$A:$A, 0))), 0), 0))+(IFERROR(IF(23*INDEX('UZ-normalized'!$D:$D, MATCH($A67, 'UZ-normalized'!$A:$A, 0))-INDEX('UZ-normalized'!$E:$E, MATCH($A67, 'UZ-normalized'!$A:$A, 0))&gt;0, -(23*INDEX('UZ-normalized'!$D:$D, MATCH($A67, 'UZ-normalized'!$A:$A, 0))-INDEX('UZ-normalized'!$E:$E, MATCH($A67, 'UZ-normalized'!$A:$A, 0))), 0), 0)))</f>
        <v>0</v>
      </c>
      <c r="AL67" s="6">
        <f>MIN(0, N67+(IFERROR(IF(24*INDEX('UA-normalized'!$D:$D, MATCH($A67, 'UA-normalized'!$A:$A, 0))-INDEX('UA-normalized'!$E:$E, MATCH($A67, 'UA-normalized'!$A:$A, 0))&gt;0, -(24*INDEX('UA-normalized'!$D:$D, MATCH($A67, 'UA-normalized'!$A:$A, 0))-INDEX('UA-normalized'!$E:$E, MATCH($A67, 'UA-normalized'!$A:$A, 0))), 0), 0))+(IFERROR(IF(24*INDEX('KZ-normalized'!$D:$D, MATCH($A67, 'KZ-normalized'!$A:$A, 0))-INDEX('KZ-normalized'!$E:$E, MATCH($A67, 'KZ-normalized'!$A:$A, 0))&gt;0, -(24*INDEX('KZ-normalized'!$D:$D, MATCH($A67, 'KZ-normalized'!$A:$A, 0))-INDEX('KZ-normalized'!$E:$E, MATCH($A67, 'KZ-normalized'!$A:$A, 0))), 0), 0))+(IFERROR(IF(24*INDEX('UZ-normalized'!$D:$D, MATCH($A67, 'UZ-normalized'!$A:$A, 0))-INDEX('UZ-normalized'!$E:$E, MATCH($A67, 'UZ-normalized'!$A:$A, 0))&gt;0, -(24*INDEX('UZ-normalized'!$D:$D, MATCH($A67, 'UZ-normalized'!$A:$A, 0))-INDEX('UZ-normalized'!$E:$E, MATCH($A67, 'UZ-normalized'!$A:$A, 0))), 0), 0)))</f>
        <v>0</v>
      </c>
      <c r="AM67" s="6">
        <f>MIN(0, N67+(IFERROR(IF(25*INDEX('UA-normalized'!$D:$D, MATCH($A67, 'UA-normalized'!$A:$A, 0))-INDEX('UA-normalized'!$E:$E, MATCH($A67, 'UA-normalized'!$A:$A, 0))&gt;0, -(25*INDEX('UA-normalized'!$D:$D, MATCH($A67, 'UA-normalized'!$A:$A, 0))-INDEX('UA-normalized'!$E:$E, MATCH($A67, 'UA-normalized'!$A:$A, 0))), 0), 0))+(IFERROR(IF(25*INDEX('KZ-normalized'!$D:$D, MATCH($A67, 'KZ-normalized'!$A:$A, 0))-INDEX('KZ-normalized'!$E:$E, MATCH($A67, 'KZ-normalized'!$A:$A, 0))&gt;0, -(25*INDEX('KZ-normalized'!$D:$D, MATCH($A67, 'KZ-normalized'!$A:$A, 0))-INDEX('KZ-normalized'!$E:$E, MATCH($A67, 'KZ-normalized'!$A:$A, 0))), 0), 0))+(IFERROR(IF(25*INDEX('UZ-normalized'!$D:$D, MATCH($A67, 'UZ-normalized'!$A:$A, 0))-INDEX('UZ-normalized'!$E:$E, MATCH($A67, 'UZ-normalized'!$A:$A, 0))&gt;0, -(25*INDEX('UZ-normalized'!$D:$D, MATCH($A67, 'UZ-normalized'!$A:$A, 0))-INDEX('UZ-normalized'!$E:$E, MATCH($A67, 'UZ-normalized'!$A:$A, 0))), 0), 0)))</f>
        <v>0</v>
      </c>
      <c r="AN67" s="6">
        <f>MIN(0, N67+(IFERROR(IF(26*INDEX('UA-normalized'!$D:$D, MATCH($A67, 'UA-normalized'!$A:$A, 0))-INDEX('UA-normalized'!$E:$E, MATCH($A67, 'UA-normalized'!$A:$A, 0))&gt;0, -(26*INDEX('UA-normalized'!$D:$D, MATCH($A67, 'UA-normalized'!$A:$A, 0))-INDEX('UA-normalized'!$E:$E, MATCH($A67, 'UA-normalized'!$A:$A, 0))), 0), 0))+(IFERROR(IF(26*INDEX('KZ-normalized'!$D:$D, MATCH($A67, 'KZ-normalized'!$A:$A, 0))-INDEX('KZ-normalized'!$E:$E, MATCH($A67, 'KZ-normalized'!$A:$A, 0))&gt;0, -(26*INDEX('KZ-normalized'!$D:$D, MATCH($A67, 'KZ-normalized'!$A:$A, 0))-INDEX('KZ-normalized'!$E:$E, MATCH($A67, 'KZ-normalized'!$A:$A, 0))), 0), 0))+(IFERROR(IF(26*INDEX('UZ-normalized'!$D:$D, MATCH($A67, 'UZ-normalized'!$A:$A, 0))-INDEX('UZ-normalized'!$E:$E, MATCH($A67, 'UZ-normalized'!$A:$A, 0))&gt;0, -(26*INDEX('UZ-normalized'!$D:$D, MATCH($A67, 'UZ-normalized'!$A:$A, 0))-INDEX('UZ-normalized'!$E:$E, MATCH($A67, 'UZ-normalized'!$A:$A, 0))), 0), 0)))</f>
        <v>0</v>
      </c>
      <c r="AO67" s="6">
        <f>MIN(0, N67+(IFERROR(IF(27*INDEX('UA-normalized'!$D:$D, MATCH($A67, 'UA-normalized'!$A:$A, 0))-INDEX('UA-normalized'!$E:$E, MATCH($A67, 'UA-normalized'!$A:$A, 0))&gt;0, -(27*INDEX('UA-normalized'!$D:$D, MATCH($A67, 'UA-normalized'!$A:$A, 0))-INDEX('UA-normalized'!$E:$E, MATCH($A67, 'UA-normalized'!$A:$A, 0))), 0), 0))+(IFERROR(IF(27*INDEX('KZ-normalized'!$D:$D, MATCH($A67, 'KZ-normalized'!$A:$A, 0))-INDEX('KZ-normalized'!$E:$E, MATCH($A67, 'KZ-normalized'!$A:$A, 0))&gt;0, -(27*INDEX('KZ-normalized'!$D:$D, MATCH($A67, 'KZ-normalized'!$A:$A, 0))-INDEX('KZ-normalized'!$E:$E, MATCH($A67, 'KZ-normalized'!$A:$A, 0))), 0), 0))+(IFERROR(IF(27*INDEX('UZ-normalized'!$D:$D, MATCH($A67, 'UZ-normalized'!$A:$A, 0))-INDEX('UZ-normalized'!$E:$E, MATCH($A67, 'UZ-normalized'!$A:$A, 0))&gt;0, -(27*INDEX('UZ-normalized'!$D:$D, MATCH($A67, 'UZ-normalized'!$A:$A, 0))-INDEX('UZ-normalized'!$E:$E, MATCH($A67, 'UZ-normalized'!$A:$A, 0))), 0), 0)))</f>
        <v>0</v>
      </c>
      <c r="AP67" s="6">
        <f>MIN(0, N67+(IFERROR(IF(28*INDEX('UA-normalized'!$D:$D, MATCH($A67, 'UA-normalized'!$A:$A, 0))-INDEX('UA-normalized'!$E:$E, MATCH($A67, 'UA-normalized'!$A:$A, 0))&gt;0, -(28*INDEX('UA-normalized'!$D:$D, MATCH($A67, 'UA-normalized'!$A:$A, 0))-INDEX('UA-normalized'!$E:$E, MATCH($A67, 'UA-normalized'!$A:$A, 0))), 0), 0))+(IFERROR(IF(28*INDEX('KZ-normalized'!$D:$D, MATCH($A67, 'KZ-normalized'!$A:$A, 0))-INDEX('KZ-normalized'!$E:$E, MATCH($A67, 'KZ-normalized'!$A:$A, 0))&gt;0, -(28*INDEX('KZ-normalized'!$D:$D, MATCH($A67, 'KZ-normalized'!$A:$A, 0))-INDEX('KZ-normalized'!$E:$E, MATCH($A67, 'KZ-normalized'!$A:$A, 0))), 0), 0))+(IFERROR(IF(28*INDEX('UZ-normalized'!$D:$D, MATCH($A67, 'UZ-normalized'!$A:$A, 0))-INDEX('UZ-normalized'!$E:$E, MATCH($A67, 'UZ-normalized'!$A:$A, 0))&gt;0, -(28*INDEX('UZ-normalized'!$D:$D, MATCH($A67, 'UZ-normalized'!$A:$A, 0))-INDEX('UZ-normalized'!$E:$E, MATCH($A67, 'UZ-normalized'!$A:$A, 0))), 0), 0)))</f>
        <v>0</v>
      </c>
      <c r="AQ67" s="6">
        <f>MIN(0, N67+(IFERROR(IF(29*INDEX('UA-normalized'!$D:$D, MATCH($A67, 'UA-normalized'!$A:$A, 0))-INDEX('UA-normalized'!$E:$E, MATCH($A67, 'UA-normalized'!$A:$A, 0))&gt;0, -(29*INDEX('UA-normalized'!$D:$D, MATCH($A67, 'UA-normalized'!$A:$A, 0))-INDEX('UA-normalized'!$E:$E, MATCH($A67, 'UA-normalized'!$A:$A, 0))), 0), 0))+(IFERROR(IF(29*INDEX('KZ-normalized'!$D:$D, MATCH($A67, 'KZ-normalized'!$A:$A, 0))-INDEX('KZ-normalized'!$E:$E, MATCH($A67, 'KZ-normalized'!$A:$A, 0))&gt;0, -(29*INDEX('KZ-normalized'!$D:$D, MATCH($A67, 'KZ-normalized'!$A:$A, 0))-INDEX('KZ-normalized'!$E:$E, MATCH($A67, 'KZ-normalized'!$A:$A, 0))), 0), 0))+(IFERROR(IF(29*INDEX('UZ-normalized'!$D:$D, MATCH($A67, 'UZ-normalized'!$A:$A, 0))-INDEX('UZ-normalized'!$E:$E, MATCH($A67, 'UZ-normalized'!$A:$A, 0))&gt;0, -(29*INDEX('UZ-normalized'!$D:$D, MATCH($A67, 'UZ-normalized'!$A:$A, 0))-INDEX('UZ-normalized'!$E:$E, MATCH($A67, 'UZ-normalized'!$A:$A, 0))), 0), 0)))</f>
        <v>0</v>
      </c>
      <c r="AR67" s="6">
        <f>MIN(0, N67+(IFERROR(IF(30*INDEX('UA-normalized'!$D:$D, MATCH($A67, 'UA-normalized'!$A:$A, 0))-INDEX('UA-normalized'!$E:$E, MATCH($A67, 'UA-normalized'!$A:$A, 0))&gt;0, -(30*INDEX('UA-normalized'!$D:$D, MATCH($A67, 'UA-normalized'!$A:$A, 0))-INDEX('UA-normalized'!$E:$E, MATCH($A67, 'UA-normalized'!$A:$A, 0))), 0), 0))+(IFERROR(IF(30*INDEX('KZ-normalized'!$D:$D, MATCH($A67, 'KZ-normalized'!$A:$A, 0))-INDEX('KZ-normalized'!$E:$E, MATCH($A67, 'KZ-normalized'!$A:$A, 0))&gt;0, -(30*INDEX('KZ-normalized'!$D:$D, MATCH($A67, 'KZ-normalized'!$A:$A, 0))-INDEX('KZ-normalized'!$E:$E, MATCH($A67, 'KZ-normalized'!$A:$A, 0))), 0), 0))+(IFERROR(IF(30*INDEX('UZ-normalized'!$D:$D, MATCH($A67, 'UZ-normalized'!$A:$A, 0))-INDEX('UZ-normalized'!$E:$E, MATCH($A67, 'UZ-normalized'!$A:$A, 0))&gt;0, -(30*INDEX('UZ-normalized'!$D:$D, MATCH($A67, 'UZ-normalized'!$A:$A, 0))-INDEX('UZ-normalized'!$E:$E, MATCH($A67, 'UZ-normalized'!$A:$A, 0))), 0), 0)))</f>
        <v>0</v>
      </c>
    </row>
    <row r="68" spans="1:44" x14ac:dyDescent="0.25">
      <c r="A68" s="8" t="s">
        <v>185</v>
      </c>
      <c r="B68" s="8" t="s">
        <v>180</v>
      </c>
      <c r="C68" s="8" t="s">
        <v>181</v>
      </c>
      <c r="D68" s="8" t="s">
        <v>186</v>
      </c>
      <c r="E68">
        <v>4612.75</v>
      </c>
      <c r="G68">
        <v>-20</v>
      </c>
      <c r="N68">
        <f t="shared" si="1"/>
        <v>4592.75</v>
      </c>
      <c r="O68" s="6">
        <f>MIN(0, N68+(IFERROR(IF(1*INDEX('UA-normalized'!$D:$D, MATCH($A68, 'UA-normalized'!$A:$A, 0))-INDEX('UA-normalized'!$E:$E, MATCH($A68, 'UA-normalized'!$A:$A, 0))&gt;0, -(1*INDEX('UA-normalized'!$D:$D, MATCH($A68, 'UA-normalized'!$A:$A, 0))-INDEX('UA-normalized'!$E:$E, MATCH($A68, 'UA-normalized'!$A:$A, 0))), 0), 0))+(IFERROR(IF(1*INDEX('KZ-normalized'!$D:$D, MATCH($A68, 'KZ-normalized'!$A:$A, 0))-INDEX('KZ-normalized'!$E:$E, MATCH($A68, 'KZ-normalized'!$A:$A, 0))&gt;0, -(1*INDEX('KZ-normalized'!$D:$D, MATCH($A68, 'KZ-normalized'!$A:$A, 0))-INDEX('KZ-normalized'!$E:$E, MATCH($A68, 'KZ-normalized'!$A:$A, 0))), 0), 0))+(IFERROR(IF(1*INDEX('UZ-normalized'!$D:$D, MATCH($A68, 'UZ-normalized'!$A:$A, 0))-INDEX('UZ-normalized'!$E:$E, MATCH($A68, 'UZ-normalized'!$A:$A, 0))&gt;0, -(1*INDEX('UZ-normalized'!$D:$D, MATCH($A68, 'UZ-normalized'!$A:$A, 0))-INDEX('UZ-normalized'!$E:$E, MATCH($A68, 'UZ-normalized'!$A:$A, 0))), 0), 0)))</f>
        <v>0</v>
      </c>
      <c r="P68" s="6">
        <f>MIN(0, N68+(IFERROR(IF(2*INDEX('UA-normalized'!$D:$D, MATCH($A68, 'UA-normalized'!$A:$A, 0))-INDEX('UA-normalized'!$E:$E, MATCH($A68, 'UA-normalized'!$A:$A, 0))&gt;0, -(2*INDEX('UA-normalized'!$D:$D, MATCH($A68, 'UA-normalized'!$A:$A, 0))-INDEX('UA-normalized'!$E:$E, MATCH($A68, 'UA-normalized'!$A:$A, 0))), 0), 0))+(IFERROR(IF(2*INDEX('KZ-normalized'!$D:$D, MATCH($A68, 'KZ-normalized'!$A:$A, 0))-INDEX('KZ-normalized'!$E:$E, MATCH($A68, 'KZ-normalized'!$A:$A, 0))&gt;0, -(2*INDEX('KZ-normalized'!$D:$D, MATCH($A68, 'KZ-normalized'!$A:$A, 0))-INDEX('KZ-normalized'!$E:$E, MATCH($A68, 'KZ-normalized'!$A:$A, 0))), 0), 0))+(IFERROR(IF(2*INDEX('UZ-normalized'!$D:$D, MATCH($A68, 'UZ-normalized'!$A:$A, 0))-INDEX('UZ-normalized'!$E:$E, MATCH($A68, 'UZ-normalized'!$A:$A, 0))&gt;0, -(2*INDEX('UZ-normalized'!$D:$D, MATCH($A68, 'UZ-normalized'!$A:$A, 0))-INDEX('UZ-normalized'!$E:$E, MATCH($A68, 'UZ-normalized'!$A:$A, 0))), 0), 0)))</f>
        <v>0</v>
      </c>
      <c r="Q68" s="6">
        <f>MIN(0, N68+(IFERROR(IF(3*INDEX('UA-normalized'!$D:$D, MATCH($A68, 'UA-normalized'!$A:$A, 0))-INDEX('UA-normalized'!$E:$E, MATCH($A68, 'UA-normalized'!$A:$A, 0))&gt;0, -(3*INDEX('UA-normalized'!$D:$D, MATCH($A68, 'UA-normalized'!$A:$A, 0))-INDEX('UA-normalized'!$E:$E, MATCH($A68, 'UA-normalized'!$A:$A, 0))), 0), 0))+(IFERROR(IF(3*INDEX('KZ-normalized'!$D:$D, MATCH($A68, 'KZ-normalized'!$A:$A, 0))-INDEX('KZ-normalized'!$E:$E, MATCH($A68, 'KZ-normalized'!$A:$A, 0))&gt;0, -(3*INDEX('KZ-normalized'!$D:$D, MATCH($A68, 'KZ-normalized'!$A:$A, 0))-INDEX('KZ-normalized'!$E:$E, MATCH($A68, 'KZ-normalized'!$A:$A, 0))), 0), 0))+(IFERROR(IF(3*INDEX('UZ-normalized'!$D:$D, MATCH($A68, 'UZ-normalized'!$A:$A, 0))-INDEX('UZ-normalized'!$E:$E, MATCH($A68, 'UZ-normalized'!$A:$A, 0))&gt;0, -(3*INDEX('UZ-normalized'!$D:$D, MATCH($A68, 'UZ-normalized'!$A:$A, 0))-INDEX('UZ-normalized'!$E:$E, MATCH($A68, 'UZ-normalized'!$A:$A, 0))), 0), 0)))</f>
        <v>0</v>
      </c>
      <c r="R68" s="6">
        <f>MIN(0, N68+(IFERROR(IF(4*INDEX('UA-normalized'!$D:$D, MATCH($A68, 'UA-normalized'!$A:$A, 0))-INDEX('UA-normalized'!$E:$E, MATCH($A68, 'UA-normalized'!$A:$A, 0))&gt;0, -(4*INDEX('UA-normalized'!$D:$D, MATCH($A68, 'UA-normalized'!$A:$A, 0))-INDEX('UA-normalized'!$E:$E, MATCH($A68, 'UA-normalized'!$A:$A, 0))), 0), 0))+(IFERROR(IF(4*INDEX('KZ-normalized'!$D:$D, MATCH($A68, 'KZ-normalized'!$A:$A, 0))-INDEX('KZ-normalized'!$E:$E, MATCH($A68, 'KZ-normalized'!$A:$A, 0))&gt;0, -(4*INDEX('KZ-normalized'!$D:$D, MATCH($A68, 'KZ-normalized'!$A:$A, 0))-INDEX('KZ-normalized'!$E:$E, MATCH($A68, 'KZ-normalized'!$A:$A, 0))), 0), 0))+(IFERROR(IF(4*INDEX('UZ-normalized'!$D:$D, MATCH($A68, 'UZ-normalized'!$A:$A, 0))-INDEX('UZ-normalized'!$E:$E, MATCH($A68, 'UZ-normalized'!$A:$A, 0))&gt;0, -(4*INDEX('UZ-normalized'!$D:$D, MATCH($A68, 'UZ-normalized'!$A:$A, 0))-INDEX('UZ-normalized'!$E:$E, MATCH($A68, 'UZ-normalized'!$A:$A, 0))), 0), 0)))</f>
        <v>0</v>
      </c>
      <c r="S68" s="6">
        <f>MIN(0, N68+(IFERROR(IF(5*INDEX('UA-normalized'!$D:$D, MATCH($A68, 'UA-normalized'!$A:$A, 0))-INDEX('UA-normalized'!$E:$E, MATCH($A68, 'UA-normalized'!$A:$A, 0))&gt;0, -(5*INDEX('UA-normalized'!$D:$D, MATCH($A68, 'UA-normalized'!$A:$A, 0))-INDEX('UA-normalized'!$E:$E, MATCH($A68, 'UA-normalized'!$A:$A, 0))), 0), 0))+(IFERROR(IF(5*INDEX('KZ-normalized'!$D:$D, MATCH($A68, 'KZ-normalized'!$A:$A, 0))-INDEX('KZ-normalized'!$E:$E, MATCH($A68, 'KZ-normalized'!$A:$A, 0))&gt;0, -(5*INDEX('KZ-normalized'!$D:$D, MATCH($A68, 'KZ-normalized'!$A:$A, 0))-INDEX('KZ-normalized'!$E:$E, MATCH($A68, 'KZ-normalized'!$A:$A, 0))), 0), 0))+(IFERROR(IF(5*INDEX('UZ-normalized'!$D:$D, MATCH($A68, 'UZ-normalized'!$A:$A, 0))-INDEX('UZ-normalized'!$E:$E, MATCH($A68, 'UZ-normalized'!$A:$A, 0))&gt;0, -(5*INDEX('UZ-normalized'!$D:$D, MATCH($A68, 'UZ-normalized'!$A:$A, 0))-INDEX('UZ-normalized'!$E:$E, MATCH($A68, 'UZ-normalized'!$A:$A, 0))), 0), 0)))</f>
        <v>0</v>
      </c>
      <c r="T68" s="6">
        <f>MIN(0, N68+(IFERROR(IF(6*INDEX('UA-normalized'!$D:$D, MATCH($A68, 'UA-normalized'!$A:$A, 0))-INDEX('UA-normalized'!$E:$E, MATCH($A68, 'UA-normalized'!$A:$A, 0))&gt;0, -(6*INDEX('UA-normalized'!$D:$D, MATCH($A68, 'UA-normalized'!$A:$A, 0))-INDEX('UA-normalized'!$E:$E, MATCH($A68, 'UA-normalized'!$A:$A, 0))), 0), 0))+(IFERROR(IF(6*INDEX('KZ-normalized'!$D:$D, MATCH($A68, 'KZ-normalized'!$A:$A, 0))-INDEX('KZ-normalized'!$E:$E, MATCH($A68, 'KZ-normalized'!$A:$A, 0))&gt;0, -(6*INDEX('KZ-normalized'!$D:$D, MATCH($A68, 'KZ-normalized'!$A:$A, 0))-INDEX('KZ-normalized'!$E:$E, MATCH($A68, 'KZ-normalized'!$A:$A, 0))), 0), 0))+(IFERROR(IF(6*INDEX('UZ-normalized'!$D:$D, MATCH($A68, 'UZ-normalized'!$A:$A, 0))-INDEX('UZ-normalized'!$E:$E, MATCH($A68, 'UZ-normalized'!$A:$A, 0))&gt;0, -(6*INDEX('UZ-normalized'!$D:$D, MATCH($A68, 'UZ-normalized'!$A:$A, 0))-INDEX('UZ-normalized'!$E:$E, MATCH($A68, 'UZ-normalized'!$A:$A, 0))), 0), 0)))</f>
        <v>0</v>
      </c>
      <c r="U68" s="6">
        <f>MIN(0, N68+(IFERROR(IF(7*INDEX('UA-normalized'!$D:$D, MATCH($A68, 'UA-normalized'!$A:$A, 0))-INDEX('UA-normalized'!$E:$E, MATCH($A68, 'UA-normalized'!$A:$A, 0))&gt;0, -(7*INDEX('UA-normalized'!$D:$D, MATCH($A68, 'UA-normalized'!$A:$A, 0))-INDEX('UA-normalized'!$E:$E, MATCH($A68, 'UA-normalized'!$A:$A, 0))), 0), 0))+(IFERROR(IF(7*INDEX('KZ-normalized'!$D:$D, MATCH($A68, 'KZ-normalized'!$A:$A, 0))-INDEX('KZ-normalized'!$E:$E, MATCH($A68, 'KZ-normalized'!$A:$A, 0))&gt;0, -(7*INDEX('KZ-normalized'!$D:$D, MATCH($A68, 'KZ-normalized'!$A:$A, 0))-INDEX('KZ-normalized'!$E:$E, MATCH($A68, 'KZ-normalized'!$A:$A, 0))), 0), 0))+(IFERROR(IF(7*INDEX('UZ-normalized'!$D:$D, MATCH($A68, 'UZ-normalized'!$A:$A, 0))-INDEX('UZ-normalized'!$E:$E, MATCH($A68, 'UZ-normalized'!$A:$A, 0))&gt;0, -(7*INDEX('UZ-normalized'!$D:$D, MATCH($A68, 'UZ-normalized'!$A:$A, 0))-INDEX('UZ-normalized'!$E:$E, MATCH($A68, 'UZ-normalized'!$A:$A, 0))), 0), 0)))</f>
        <v>0</v>
      </c>
      <c r="V68" s="6">
        <f>MIN(0, N68+(IFERROR(IF(8*INDEX('UA-normalized'!$D:$D, MATCH($A68, 'UA-normalized'!$A:$A, 0))-INDEX('UA-normalized'!$E:$E, MATCH($A68, 'UA-normalized'!$A:$A, 0))&gt;0, -(8*INDEX('UA-normalized'!$D:$D, MATCH($A68, 'UA-normalized'!$A:$A, 0))-INDEX('UA-normalized'!$E:$E, MATCH($A68, 'UA-normalized'!$A:$A, 0))), 0), 0))+(IFERROR(IF(8*INDEX('KZ-normalized'!$D:$D, MATCH($A68, 'KZ-normalized'!$A:$A, 0))-INDEX('KZ-normalized'!$E:$E, MATCH($A68, 'KZ-normalized'!$A:$A, 0))&gt;0, -(8*INDEX('KZ-normalized'!$D:$D, MATCH($A68, 'KZ-normalized'!$A:$A, 0))-INDEX('KZ-normalized'!$E:$E, MATCH($A68, 'KZ-normalized'!$A:$A, 0))), 0), 0))+(IFERROR(IF(8*INDEX('UZ-normalized'!$D:$D, MATCH($A68, 'UZ-normalized'!$A:$A, 0))-INDEX('UZ-normalized'!$E:$E, MATCH($A68, 'UZ-normalized'!$A:$A, 0))&gt;0, -(8*INDEX('UZ-normalized'!$D:$D, MATCH($A68, 'UZ-normalized'!$A:$A, 0))-INDEX('UZ-normalized'!$E:$E, MATCH($A68, 'UZ-normalized'!$A:$A, 0))), 0), 0)))</f>
        <v>0</v>
      </c>
      <c r="W68" s="6">
        <f>MIN(0, N68+(IFERROR(IF(9*INDEX('UA-normalized'!$D:$D, MATCH($A68, 'UA-normalized'!$A:$A, 0))-INDEX('UA-normalized'!$E:$E, MATCH($A68, 'UA-normalized'!$A:$A, 0))&gt;0, -(9*INDEX('UA-normalized'!$D:$D, MATCH($A68, 'UA-normalized'!$A:$A, 0))-INDEX('UA-normalized'!$E:$E, MATCH($A68, 'UA-normalized'!$A:$A, 0))), 0), 0))+(IFERROR(IF(9*INDEX('KZ-normalized'!$D:$D, MATCH($A68, 'KZ-normalized'!$A:$A, 0))-INDEX('KZ-normalized'!$E:$E, MATCH($A68, 'KZ-normalized'!$A:$A, 0))&gt;0, -(9*INDEX('KZ-normalized'!$D:$D, MATCH($A68, 'KZ-normalized'!$A:$A, 0))-INDEX('KZ-normalized'!$E:$E, MATCH($A68, 'KZ-normalized'!$A:$A, 0))), 0), 0))+(IFERROR(IF(9*INDEX('UZ-normalized'!$D:$D, MATCH($A68, 'UZ-normalized'!$A:$A, 0))-INDEX('UZ-normalized'!$E:$E, MATCH($A68, 'UZ-normalized'!$A:$A, 0))&gt;0, -(9*INDEX('UZ-normalized'!$D:$D, MATCH($A68, 'UZ-normalized'!$A:$A, 0))-INDEX('UZ-normalized'!$E:$E, MATCH($A68, 'UZ-normalized'!$A:$A, 0))), 0), 0)))</f>
        <v>0</v>
      </c>
      <c r="X68" s="6">
        <f>MIN(0, N68+(IFERROR(IF(10*INDEX('UA-normalized'!$D:$D, MATCH($A68, 'UA-normalized'!$A:$A, 0))-INDEX('UA-normalized'!$E:$E, MATCH($A68, 'UA-normalized'!$A:$A, 0))&gt;0, -(10*INDEX('UA-normalized'!$D:$D, MATCH($A68, 'UA-normalized'!$A:$A, 0))-INDEX('UA-normalized'!$E:$E, MATCH($A68, 'UA-normalized'!$A:$A, 0))), 0), 0))+(IFERROR(IF(10*INDEX('KZ-normalized'!$D:$D, MATCH($A68, 'KZ-normalized'!$A:$A, 0))-INDEX('KZ-normalized'!$E:$E, MATCH($A68, 'KZ-normalized'!$A:$A, 0))&gt;0, -(10*INDEX('KZ-normalized'!$D:$D, MATCH($A68, 'KZ-normalized'!$A:$A, 0))-INDEX('KZ-normalized'!$E:$E, MATCH($A68, 'KZ-normalized'!$A:$A, 0))), 0), 0))+(IFERROR(IF(10*INDEX('UZ-normalized'!$D:$D, MATCH($A68, 'UZ-normalized'!$A:$A, 0))-INDEX('UZ-normalized'!$E:$E, MATCH($A68, 'UZ-normalized'!$A:$A, 0))&gt;0, -(10*INDEX('UZ-normalized'!$D:$D, MATCH($A68, 'UZ-normalized'!$A:$A, 0))-INDEX('UZ-normalized'!$E:$E, MATCH($A68, 'UZ-normalized'!$A:$A, 0))), 0), 0)))</f>
        <v>0</v>
      </c>
      <c r="Y68" s="6">
        <f>MIN(0, N68+(IFERROR(IF(11*INDEX('UA-normalized'!$D:$D, MATCH($A68, 'UA-normalized'!$A:$A, 0))-INDEX('UA-normalized'!$E:$E, MATCH($A68, 'UA-normalized'!$A:$A, 0))&gt;0, -(11*INDEX('UA-normalized'!$D:$D, MATCH($A68, 'UA-normalized'!$A:$A, 0))-INDEX('UA-normalized'!$E:$E, MATCH($A68, 'UA-normalized'!$A:$A, 0))), 0), 0))+(IFERROR(IF(11*INDEX('KZ-normalized'!$D:$D, MATCH($A68, 'KZ-normalized'!$A:$A, 0))-INDEX('KZ-normalized'!$E:$E, MATCH($A68, 'KZ-normalized'!$A:$A, 0))&gt;0, -(11*INDEX('KZ-normalized'!$D:$D, MATCH($A68, 'KZ-normalized'!$A:$A, 0))-INDEX('KZ-normalized'!$E:$E, MATCH($A68, 'KZ-normalized'!$A:$A, 0))), 0), 0))+(IFERROR(IF(11*INDEX('UZ-normalized'!$D:$D, MATCH($A68, 'UZ-normalized'!$A:$A, 0))-INDEX('UZ-normalized'!$E:$E, MATCH($A68, 'UZ-normalized'!$A:$A, 0))&gt;0, -(11*INDEX('UZ-normalized'!$D:$D, MATCH($A68, 'UZ-normalized'!$A:$A, 0))-INDEX('UZ-normalized'!$E:$E, MATCH($A68, 'UZ-normalized'!$A:$A, 0))), 0), 0)))</f>
        <v>0</v>
      </c>
      <c r="Z68" s="6">
        <f>MIN(0, N68+(IFERROR(IF(12*INDEX('UA-normalized'!$D:$D, MATCH($A68, 'UA-normalized'!$A:$A, 0))-INDEX('UA-normalized'!$E:$E, MATCH($A68, 'UA-normalized'!$A:$A, 0))&gt;0, -(12*INDEX('UA-normalized'!$D:$D, MATCH($A68, 'UA-normalized'!$A:$A, 0))-INDEX('UA-normalized'!$E:$E, MATCH($A68, 'UA-normalized'!$A:$A, 0))), 0), 0))+(IFERROR(IF(12*INDEX('KZ-normalized'!$D:$D, MATCH($A68, 'KZ-normalized'!$A:$A, 0))-INDEX('KZ-normalized'!$E:$E, MATCH($A68, 'KZ-normalized'!$A:$A, 0))&gt;0, -(12*INDEX('KZ-normalized'!$D:$D, MATCH($A68, 'KZ-normalized'!$A:$A, 0))-INDEX('KZ-normalized'!$E:$E, MATCH($A68, 'KZ-normalized'!$A:$A, 0))), 0), 0))+(IFERROR(IF(12*INDEX('UZ-normalized'!$D:$D, MATCH($A68, 'UZ-normalized'!$A:$A, 0))-INDEX('UZ-normalized'!$E:$E, MATCH($A68, 'UZ-normalized'!$A:$A, 0))&gt;0, -(12*INDEX('UZ-normalized'!$D:$D, MATCH($A68, 'UZ-normalized'!$A:$A, 0))-INDEX('UZ-normalized'!$E:$E, MATCH($A68, 'UZ-normalized'!$A:$A, 0))), 0), 0)))</f>
        <v>0</v>
      </c>
      <c r="AA68" s="6">
        <f>MIN(0, N68+(IFERROR(IF(13*INDEX('UA-normalized'!$D:$D, MATCH($A68, 'UA-normalized'!$A:$A, 0))-INDEX('UA-normalized'!$E:$E, MATCH($A68, 'UA-normalized'!$A:$A, 0))&gt;0, -(13*INDEX('UA-normalized'!$D:$D, MATCH($A68, 'UA-normalized'!$A:$A, 0))-INDEX('UA-normalized'!$E:$E, MATCH($A68, 'UA-normalized'!$A:$A, 0))), 0), 0))+(IFERROR(IF(13*INDEX('KZ-normalized'!$D:$D, MATCH($A68, 'KZ-normalized'!$A:$A, 0))-INDEX('KZ-normalized'!$E:$E, MATCH($A68, 'KZ-normalized'!$A:$A, 0))&gt;0, -(13*INDEX('KZ-normalized'!$D:$D, MATCH($A68, 'KZ-normalized'!$A:$A, 0))-INDEX('KZ-normalized'!$E:$E, MATCH($A68, 'KZ-normalized'!$A:$A, 0))), 0), 0))+(IFERROR(IF(13*INDEX('UZ-normalized'!$D:$D, MATCH($A68, 'UZ-normalized'!$A:$A, 0))-INDEX('UZ-normalized'!$E:$E, MATCH($A68, 'UZ-normalized'!$A:$A, 0))&gt;0, -(13*INDEX('UZ-normalized'!$D:$D, MATCH($A68, 'UZ-normalized'!$A:$A, 0))-INDEX('UZ-normalized'!$E:$E, MATCH($A68, 'UZ-normalized'!$A:$A, 0))), 0), 0)))</f>
        <v>0</v>
      </c>
      <c r="AB68" s="6">
        <f>MIN(0, N68+(IFERROR(IF(14*INDEX('UA-normalized'!$D:$D, MATCH($A68, 'UA-normalized'!$A:$A, 0))-INDEX('UA-normalized'!$E:$E, MATCH($A68, 'UA-normalized'!$A:$A, 0))&gt;0, -(14*INDEX('UA-normalized'!$D:$D, MATCH($A68, 'UA-normalized'!$A:$A, 0))-INDEX('UA-normalized'!$E:$E, MATCH($A68, 'UA-normalized'!$A:$A, 0))), 0), 0))+(IFERROR(IF(14*INDEX('KZ-normalized'!$D:$D, MATCH($A68, 'KZ-normalized'!$A:$A, 0))-INDEX('KZ-normalized'!$E:$E, MATCH($A68, 'KZ-normalized'!$A:$A, 0))&gt;0, -(14*INDEX('KZ-normalized'!$D:$D, MATCH($A68, 'KZ-normalized'!$A:$A, 0))-INDEX('KZ-normalized'!$E:$E, MATCH($A68, 'KZ-normalized'!$A:$A, 0))), 0), 0))+(IFERROR(IF(14*INDEX('UZ-normalized'!$D:$D, MATCH($A68, 'UZ-normalized'!$A:$A, 0))-INDEX('UZ-normalized'!$E:$E, MATCH($A68, 'UZ-normalized'!$A:$A, 0))&gt;0, -(14*INDEX('UZ-normalized'!$D:$D, MATCH($A68, 'UZ-normalized'!$A:$A, 0))-INDEX('UZ-normalized'!$E:$E, MATCH($A68, 'UZ-normalized'!$A:$A, 0))), 0), 0)))</f>
        <v>0</v>
      </c>
      <c r="AC68" s="6">
        <f>MIN(0, N68+(IFERROR(IF(15*INDEX('UA-normalized'!$D:$D, MATCH($A68, 'UA-normalized'!$A:$A, 0))-INDEX('UA-normalized'!$E:$E, MATCH($A68, 'UA-normalized'!$A:$A, 0))&gt;0, -(15*INDEX('UA-normalized'!$D:$D, MATCH($A68, 'UA-normalized'!$A:$A, 0))-INDEX('UA-normalized'!$E:$E, MATCH($A68, 'UA-normalized'!$A:$A, 0))), 0), 0))+(IFERROR(IF(15*INDEX('KZ-normalized'!$D:$D, MATCH($A68, 'KZ-normalized'!$A:$A, 0))-INDEX('KZ-normalized'!$E:$E, MATCH($A68, 'KZ-normalized'!$A:$A, 0))&gt;0, -(15*INDEX('KZ-normalized'!$D:$D, MATCH($A68, 'KZ-normalized'!$A:$A, 0))-INDEX('KZ-normalized'!$E:$E, MATCH($A68, 'KZ-normalized'!$A:$A, 0))), 0), 0))+(IFERROR(IF(15*INDEX('UZ-normalized'!$D:$D, MATCH($A68, 'UZ-normalized'!$A:$A, 0))-INDEX('UZ-normalized'!$E:$E, MATCH($A68, 'UZ-normalized'!$A:$A, 0))&gt;0, -(15*INDEX('UZ-normalized'!$D:$D, MATCH($A68, 'UZ-normalized'!$A:$A, 0))-INDEX('UZ-normalized'!$E:$E, MATCH($A68, 'UZ-normalized'!$A:$A, 0))), 0), 0)))</f>
        <v>0</v>
      </c>
      <c r="AD68" s="6">
        <f>MIN(0, N68+(IFERROR(IF(16*INDEX('UA-normalized'!$D:$D, MATCH($A68, 'UA-normalized'!$A:$A, 0))-INDEX('UA-normalized'!$E:$E, MATCH($A68, 'UA-normalized'!$A:$A, 0))&gt;0, -(16*INDEX('UA-normalized'!$D:$D, MATCH($A68, 'UA-normalized'!$A:$A, 0))-INDEX('UA-normalized'!$E:$E, MATCH($A68, 'UA-normalized'!$A:$A, 0))), 0), 0))+(IFERROR(IF(16*INDEX('KZ-normalized'!$D:$D, MATCH($A68, 'KZ-normalized'!$A:$A, 0))-INDEX('KZ-normalized'!$E:$E, MATCH($A68, 'KZ-normalized'!$A:$A, 0))&gt;0, -(16*INDEX('KZ-normalized'!$D:$D, MATCH($A68, 'KZ-normalized'!$A:$A, 0))-INDEX('KZ-normalized'!$E:$E, MATCH($A68, 'KZ-normalized'!$A:$A, 0))), 0), 0))+(IFERROR(IF(16*INDEX('UZ-normalized'!$D:$D, MATCH($A68, 'UZ-normalized'!$A:$A, 0))-INDEX('UZ-normalized'!$E:$E, MATCH($A68, 'UZ-normalized'!$A:$A, 0))&gt;0, -(16*INDEX('UZ-normalized'!$D:$D, MATCH($A68, 'UZ-normalized'!$A:$A, 0))-INDEX('UZ-normalized'!$E:$E, MATCH($A68, 'UZ-normalized'!$A:$A, 0))), 0), 0)))</f>
        <v>0</v>
      </c>
      <c r="AE68" s="6">
        <f>MIN(0, N68+(IFERROR(IF(17*INDEX('UA-normalized'!$D:$D, MATCH($A68, 'UA-normalized'!$A:$A, 0))-INDEX('UA-normalized'!$E:$E, MATCH($A68, 'UA-normalized'!$A:$A, 0))&gt;0, -(17*INDEX('UA-normalized'!$D:$D, MATCH($A68, 'UA-normalized'!$A:$A, 0))-INDEX('UA-normalized'!$E:$E, MATCH($A68, 'UA-normalized'!$A:$A, 0))), 0), 0))+(IFERROR(IF(17*INDEX('KZ-normalized'!$D:$D, MATCH($A68, 'KZ-normalized'!$A:$A, 0))-INDEX('KZ-normalized'!$E:$E, MATCH($A68, 'KZ-normalized'!$A:$A, 0))&gt;0, -(17*INDEX('KZ-normalized'!$D:$D, MATCH($A68, 'KZ-normalized'!$A:$A, 0))-INDEX('KZ-normalized'!$E:$E, MATCH($A68, 'KZ-normalized'!$A:$A, 0))), 0), 0))+(IFERROR(IF(17*INDEX('UZ-normalized'!$D:$D, MATCH($A68, 'UZ-normalized'!$A:$A, 0))-INDEX('UZ-normalized'!$E:$E, MATCH($A68, 'UZ-normalized'!$A:$A, 0))&gt;0, -(17*INDEX('UZ-normalized'!$D:$D, MATCH($A68, 'UZ-normalized'!$A:$A, 0))-INDEX('UZ-normalized'!$E:$E, MATCH($A68, 'UZ-normalized'!$A:$A, 0))), 0), 0)))</f>
        <v>0</v>
      </c>
      <c r="AF68" s="6">
        <f>MIN(0, N68+(IFERROR(IF(18*INDEX('UA-normalized'!$D:$D, MATCH($A68, 'UA-normalized'!$A:$A, 0))-INDEX('UA-normalized'!$E:$E, MATCH($A68, 'UA-normalized'!$A:$A, 0))&gt;0, -(18*INDEX('UA-normalized'!$D:$D, MATCH($A68, 'UA-normalized'!$A:$A, 0))-INDEX('UA-normalized'!$E:$E, MATCH($A68, 'UA-normalized'!$A:$A, 0))), 0), 0))+(IFERROR(IF(18*INDEX('KZ-normalized'!$D:$D, MATCH($A68, 'KZ-normalized'!$A:$A, 0))-INDEX('KZ-normalized'!$E:$E, MATCH($A68, 'KZ-normalized'!$A:$A, 0))&gt;0, -(18*INDEX('KZ-normalized'!$D:$D, MATCH($A68, 'KZ-normalized'!$A:$A, 0))-INDEX('KZ-normalized'!$E:$E, MATCH($A68, 'KZ-normalized'!$A:$A, 0))), 0), 0))+(IFERROR(IF(18*INDEX('UZ-normalized'!$D:$D, MATCH($A68, 'UZ-normalized'!$A:$A, 0))-INDEX('UZ-normalized'!$E:$E, MATCH($A68, 'UZ-normalized'!$A:$A, 0))&gt;0, -(18*INDEX('UZ-normalized'!$D:$D, MATCH($A68, 'UZ-normalized'!$A:$A, 0))-INDEX('UZ-normalized'!$E:$E, MATCH($A68, 'UZ-normalized'!$A:$A, 0))), 0), 0)))</f>
        <v>0</v>
      </c>
      <c r="AG68" s="6">
        <f>MIN(0, N68+(IFERROR(IF(19*INDEX('UA-normalized'!$D:$D, MATCH($A68, 'UA-normalized'!$A:$A, 0))-INDEX('UA-normalized'!$E:$E, MATCH($A68, 'UA-normalized'!$A:$A, 0))&gt;0, -(19*INDEX('UA-normalized'!$D:$D, MATCH($A68, 'UA-normalized'!$A:$A, 0))-INDEX('UA-normalized'!$E:$E, MATCH($A68, 'UA-normalized'!$A:$A, 0))), 0), 0))+(IFERROR(IF(19*INDEX('KZ-normalized'!$D:$D, MATCH($A68, 'KZ-normalized'!$A:$A, 0))-INDEX('KZ-normalized'!$E:$E, MATCH($A68, 'KZ-normalized'!$A:$A, 0))&gt;0, -(19*INDEX('KZ-normalized'!$D:$D, MATCH($A68, 'KZ-normalized'!$A:$A, 0))-INDEX('KZ-normalized'!$E:$E, MATCH($A68, 'KZ-normalized'!$A:$A, 0))), 0), 0))+(IFERROR(IF(19*INDEX('UZ-normalized'!$D:$D, MATCH($A68, 'UZ-normalized'!$A:$A, 0))-INDEX('UZ-normalized'!$E:$E, MATCH($A68, 'UZ-normalized'!$A:$A, 0))&gt;0, -(19*INDEX('UZ-normalized'!$D:$D, MATCH($A68, 'UZ-normalized'!$A:$A, 0))-INDEX('UZ-normalized'!$E:$E, MATCH($A68, 'UZ-normalized'!$A:$A, 0))), 0), 0)))</f>
        <v>0</v>
      </c>
      <c r="AH68" s="6">
        <f>MIN(0, N68+(IFERROR(IF(20*INDEX('UA-normalized'!$D:$D, MATCH($A68, 'UA-normalized'!$A:$A, 0))-INDEX('UA-normalized'!$E:$E, MATCH($A68, 'UA-normalized'!$A:$A, 0))&gt;0, -(20*INDEX('UA-normalized'!$D:$D, MATCH($A68, 'UA-normalized'!$A:$A, 0))-INDEX('UA-normalized'!$E:$E, MATCH($A68, 'UA-normalized'!$A:$A, 0))), 0), 0))+(IFERROR(IF(20*INDEX('KZ-normalized'!$D:$D, MATCH($A68, 'KZ-normalized'!$A:$A, 0))-INDEX('KZ-normalized'!$E:$E, MATCH($A68, 'KZ-normalized'!$A:$A, 0))&gt;0, -(20*INDEX('KZ-normalized'!$D:$D, MATCH($A68, 'KZ-normalized'!$A:$A, 0))-INDEX('KZ-normalized'!$E:$E, MATCH($A68, 'KZ-normalized'!$A:$A, 0))), 0), 0))+(IFERROR(IF(20*INDEX('UZ-normalized'!$D:$D, MATCH($A68, 'UZ-normalized'!$A:$A, 0))-INDEX('UZ-normalized'!$E:$E, MATCH($A68, 'UZ-normalized'!$A:$A, 0))&gt;0, -(20*INDEX('UZ-normalized'!$D:$D, MATCH($A68, 'UZ-normalized'!$A:$A, 0))-INDEX('UZ-normalized'!$E:$E, MATCH($A68, 'UZ-normalized'!$A:$A, 0))), 0), 0)))</f>
        <v>0</v>
      </c>
      <c r="AI68" s="6">
        <f>MIN(0, N68+(IFERROR(IF(21*INDEX('UA-normalized'!$D:$D, MATCH($A68, 'UA-normalized'!$A:$A, 0))-INDEX('UA-normalized'!$E:$E, MATCH($A68, 'UA-normalized'!$A:$A, 0))&gt;0, -(21*INDEX('UA-normalized'!$D:$D, MATCH($A68, 'UA-normalized'!$A:$A, 0))-INDEX('UA-normalized'!$E:$E, MATCH($A68, 'UA-normalized'!$A:$A, 0))), 0), 0))+(IFERROR(IF(21*INDEX('KZ-normalized'!$D:$D, MATCH($A68, 'KZ-normalized'!$A:$A, 0))-INDEX('KZ-normalized'!$E:$E, MATCH($A68, 'KZ-normalized'!$A:$A, 0))&gt;0, -(21*INDEX('KZ-normalized'!$D:$D, MATCH($A68, 'KZ-normalized'!$A:$A, 0))-INDEX('KZ-normalized'!$E:$E, MATCH($A68, 'KZ-normalized'!$A:$A, 0))), 0), 0))+(IFERROR(IF(21*INDEX('UZ-normalized'!$D:$D, MATCH($A68, 'UZ-normalized'!$A:$A, 0))-INDEX('UZ-normalized'!$E:$E, MATCH($A68, 'UZ-normalized'!$A:$A, 0))&gt;0, -(21*INDEX('UZ-normalized'!$D:$D, MATCH($A68, 'UZ-normalized'!$A:$A, 0))-INDEX('UZ-normalized'!$E:$E, MATCH($A68, 'UZ-normalized'!$A:$A, 0))), 0), 0)))</f>
        <v>0</v>
      </c>
      <c r="AJ68" s="6">
        <f>MIN(0, N68+(IFERROR(IF(22*INDEX('UA-normalized'!$D:$D, MATCH($A68, 'UA-normalized'!$A:$A, 0))-INDEX('UA-normalized'!$E:$E, MATCH($A68, 'UA-normalized'!$A:$A, 0))&gt;0, -(22*INDEX('UA-normalized'!$D:$D, MATCH($A68, 'UA-normalized'!$A:$A, 0))-INDEX('UA-normalized'!$E:$E, MATCH($A68, 'UA-normalized'!$A:$A, 0))), 0), 0))+(IFERROR(IF(22*INDEX('KZ-normalized'!$D:$D, MATCH($A68, 'KZ-normalized'!$A:$A, 0))-INDEX('KZ-normalized'!$E:$E, MATCH($A68, 'KZ-normalized'!$A:$A, 0))&gt;0, -(22*INDEX('KZ-normalized'!$D:$D, MATCH($A68, 'KZ-normalized'!$A:$A, 0))-INDEX('KZ-normalized'!$E:$E, MATCH($A68, 'KZ-normalized'!$A:$A, 0))), 0), 0))+(IFERROR(IF(22*INDEX('UZ-normalized'!$D:$D, MATCH($A68, 'UZ-normalized'!$A:$A, 0))-INDEX('UZ-normalized'!$E:$E, MATCH($A68, 'UZ-normalized'!$A:$A, 0))&gt;0, -(22*INDEX('UZ-normalized'!$D:$D, MATCH($A68, 'UZ-normalized'!$A:$A, 0))-INDEX('UZ-normalized'!$E:$E, MATCH($A68, 'UZ-normalized'!$A:$A, 0))), 0), 0)))</f>
        <v>-118.25</v>
      </c>
      <c r="AK68" s="6">
        <f>MIN(0, N68+(IFERROR(IF(23*INDEX('UA-normalized'!$D:$D, MATCH($A68, 'UA-normalized'!$A:$A, 0))-INDEX('UA-normalized'!$E:$E, MATCH($A68, 'UA-normalized'!$A:$A, 0))&gt;0, -(23*INDEX('UA-normalized'!$D:$D, MATCH($A68, 'UA-normalized'!$A:$A, 0))-INDEX('UA-normalized'!$E:$E, MATCH($A68, 'UA-normalized'!$A:$A, 0))), 0), 0))+(IFERROR(IF(23*INDEX('KZ-normalized'!$D:$D, MATCH($A68, 'KZ-normalized'!$A:$A, 0))-INDEX('KZ-normalized'!$E:$E, MATCH($A68, 'KZ-normalized'!$A:$A, 0))&gt;0, -(23*INDEX('KZ-normalized'!$D:$D, MATCH($A68, 'KZ-normalized'!$A:$A, 0))-INDEX('KZ-normalized'!$E:$E, MATCH($A68, 'KZ-normalized'!$A:$A, 0))), 0), 0))+(IFERROR(IF(23*INDEX('UZ-normalized'!$D:$D, MATCH($A68, 'UZ-normalized'!$A:$A, 0))-INDEX('UZ-normalized'!$E:$E, MATCH($A68, 'UZ-normalized'!$A:$A, 0))&gt;0, -(23*INDEX('UZ-normalized'!$D:$D, MATCH($A68, 'UZ-normalized'!$A:$A, 0))-INDEX('UZ-normalized'!$E:$E, MATCH($A68, 'UZ-normalized'!$A:$A, 0))), 0), 0)))</f>
        <v>-381.75</v>
      </c>
      <c r="AL68" s="6">
        <f>MIN(0, N68+(IFERROR(IF(24*INDEX('UA-normalized'!$D:$D, MATCH($A68, 'UA-normalized'!$A:$A, 0))-INDEX('UA-normalized'!$E:$E, MATCH($A68, 'UA-normalized'!$A:$A, 0))&gt;0, -(24*INDEX('UA-normalized'!$D:$D, MATCH($A68, 'UA-normalized'!$A:$A, 0))-INDEX('UA-normalized'!$E:$E, MATCH($A68, 'UA-normalized'!$A:$A, 0))), 0), 0))+(IFERROR(IF(24*INDEX('KZ-normalized'!$D:$D, MATCH($A68, 'KZ-normalized'!$A:$A, 0))-INDEX('KZ-normalized'!$E:$E, MATCH($A68, 'KZ-normalized'!$A:$A, 0))&gt;0, -(24*INDEX('KZ-normalized'!$D:$D, MATCH($A68, 'KZ-normalized'!$A:$A, 0))-INDEX('KZ-normalized'!$E:$E, MATCH($A68, 'KZ-normalized'!$A:$A, 0))), 0), 0))+(IFERROR(IF(24*INDEX('UZ-normalized'!$D:$D, MATCH($A68, 'UZ-normalized'!$A:$A, 0))-INDEX('UZ-normalized'!$E:$E, MATCH($A68, 'UZ-normalized'!$A:$A, 0))&gt;0, -(24*INDEX('UZ-normalized'!$D:$D, MATCH($A68, 'UZ-normalized'!$A:$A, 0))-INDEX('UZ-normalized'!$E:$E, MATCH($A68, 'UZ-normalized'!$A:$A, 0))), 0), 0)))</f>
        <v>-645.25</v>
      </c>
      <c r="AM68" s="6">
        <f>MIN(0, N68+(IFERROR(IF(25*INDEX('UA-normalized'!$D:$D, MATCH($A68, 'UA-normalized'!$A:$A, 0))-INDEX('UA-normalized'!$E:$E, MATCH($A68, 'UA-normalized'!$A:$A, 0))&gt;0, -(25*INDEX('UA-normalized'!$D:$D, MATCH($A68, 'UA-normalized'!$A:$A, 0))-INDEX('UA-normalized'!$E:$E, MATCH($A68, 'UA-normalized'!$A:$A, 0))), 0), 0))+(IFERROR(IF(25*INDEX('KZ-normalized'!$D:$D, MATCH($A68, 'KZ-normalized'!$A:$A, 0))-INDEX('KZ-normalized'!$E:$E, MATCH($A68, 'KZ-normalized'!$A:$A, 0))&gt;0, -(25*INDEX('KZ-normalized'!$D:$D, MATCH($A68, 'KZ-normalized'!$A:$A, 0))-INDEX('KZ-normalized'!$E:$E, MATCH($A68, 'KZ-normalized'!$A:$A, 0))), 0), 0))+(IFERROR(IF(25*INDEX('UZ-normalized'!$D:$D, MATCH($A68, 'UZ-normalized'!$A:$A, 0))-INDEX('UZ-normalized'!$E:$E, MATCH($A68, 'UZ-normalized'!$A:$A, 0))&gt;0, -(25*INDEX('UZ-normalized'!$D:$D, MATCH($A68, 'UZ-normalized'!$A:$A, 0))-INDEX('UZ-normalized'!$E:$E, MATCH($A68, 'UZ-normalized'!$A:$A, 0))), 0), 0)))</f>
        <v>-908.75</v>
      </c>
      <c r="AN68" s="6">
        <f>MIN(0, N68+(IFERROR(IF(26*INDEX('UA-normalized'!$D:$D, MATCH($A68, 'UA-normalized'!$A:$A, 0))-INDEX('UA-normalized'!$E:$E, MATCH($A68, 'UA-normalized'!$A:$A, 0))&gt;0, -(26*INDEX('UA-normalized'!$D:$D, MATCH($A68, 'UA-normalized'!$A:$A, 0))-INDEX('UA-normalized'!$E:$E, MATCH($A68, 'UA-normalized'!$A:$A, 0))), 0), 0))+(IFERROR(IF(26*INDEX('KZ-normalized'!$D:$D, MATCH($A68, 'KZ-normalized'!$A:$A, 0))-INDEX('KZ-normalized'!$E:$E, MATCH($A68, 'KZ-normalized'!$A:$A, 0))&gt;0, -(26*INDEX('KZ-normalized'!$D:$D, MATCH($A68, 'KZ-normalized'!$A:$A, 0))-INDEX('KZ-normalized'!$E:$E, MATCH($A68, 'KZ-normalized'!$A:$A, 0))), 0), 0))+(IFERROR(IF(26*INDEX('UZ-normalized'!$D:$D, MATCH($A68, 'UZ-normalized'!$A:$A, 0))-INDEX('UZ-normalized'!$E:$E, MATCH($A68, 'UZ-normalized'!$A:$A, 0))&gt;0, -(26*INDEX('UZ-normalized'!$D:$D, MATCH($A68, 'UZ-normalized'!$A:$A, 0))-INDEX('UZ-normalized'!$E:$E, MATCH($A68, 'UZ-normalized'!$A:$A, 0))), 0), 0)))</f>
        <v>-1172.25</v>
      </c>
      <c r="AO68" s="6">
        <f>MIN(0, N68+(IFERROR(IF(27*INDEX('UA-normalized'!$D:$D, MATCH($A68, 'UA-normalized'!$A:$A, 0))-INDEX('UA-normalized'!$E:$E, MATCH($A68, 'UA-normalized'!$A:$A, 0))&gt;0, -(27*INDEX('UA-normalized'!$D:$D, MATCH($A68, 'UA-normalized'!$A:$A, 0))-INDEX('UA-normalized'!$E:$E, MATCH($A68, 'UA-normalized'!$A:$A, 0))), 0), 0))+(IFERROR(IF(27*INDEX('KZ-normalized'!$D:$D, MATCH($A68, 'KZ-normalized'!$A:$A, 0))-INDEX('KZ-normalized'!$E:$E, MATCH($A68, 'KZ-normalized'!$A:$A, 0))&gt;0, -(27*INDEX('KZ-normalized'!$D:$D, MATCH($A68, 'KZ-normalized'!$A:$A, 0))-INDEX('KZ-normalized'!$E:$E, MATCH($A68, 'KZ-normalized'!$A:$A, 0))), 0), 0))+(IFERROR(IF(27*INDEX('UZ-normalized'!$D:$D, MATCH($A68, 'UZ-normalized'!$A:$A, 0))-INDEX('UZ-normalized'!$E:$E, MATCH($A68, 'UZ-normalized'!$A:$A, 0))&gt;0, -(27*INDEX('UZ-normalized'!$D:$D, MATCH($A68, 'UZ-normalized'!$A:$A, 0))-INDEX('UZ-normalized'!$E:$E, MATCH($A68, 'UZ-normalized'!$A:$A, 0))), 0), 0)))</f>
        <v>-1435.75</v>
      </c>
      <c r="AP68" s="6">
        <f>MIN(0, N68+(IFERROR(IF(28*INDEX('UA-normalized'!$D:$D, MATCH($A68, 'UA-normalized'!$A:$A, 0))-INDEX('UA-normalized'!$E:$E, MATCH($A68, 'UA-normalized'!$A:$A, 0))&gt;0, -(28*INDEX('UA-normalized'!$D:$D, MATCH($A68, 'UA-normalized'!$A:$A, 0))-INDEX('UA-normalized'!$E:$E, MATCH($A68, 'UA-normalized'!$A:$A, 0))), 0), 0))+(IFERROR(IF(28*INDEX('KZ-normalized'!$D:$D, MATCH($A68, 'KZ-normalized'!$A:$A, 0))-INDEX('KZ-normalized'!$E:$E, MATCH($A68, 'KZ-normalized'!$A:$A, 0))&gt;0, -(28*INDEX('KZ-normalized'!$D:$D, MATCH($A68, 'KZ-normalized'!$A:$A, 0))-INDEX('KZ-normalized'!$E:$E, MATCH($A68, 'KZ-normalized'!$A:$A, 0))), 0), 0))+(IFERROR(IF(28*INDEX('UZ-normalized'!$D:$D, MATCH($A68, 'UZ-normalized'!$A:$A, 0))-INDEX('UZ-normalized'!$E:$E, MATCH($A68, 'UZ-normalized'!$A:$A, 0))&gt;0, -(28*INDEX('UZ-normalized'!$D:$D, MATCH($A68, 'UZ-normalized'!$A:$A, 0))-INDEX('UZ-normalized'!$E:$E, MATCH($A68, 'UZ-normalized'!$A:$A, 0))), 0), 0)))</f>
        <v>-1699.25</v>
      </c>
      <c r="AQ68" s="6">
        <f>MIN(0, N68+(IFERROR(IF(29*INDEX('UA-normalized'!$D:$D, MATCH($A68, 'UA-normalized'!$A:$A, 0))-INDEX('UA-normalized'!$E:$E, MATCH($A68, 'UA-normalized'!$A:$A, 0))&gt;0, -(29*INDEX('UA-normalized'!$D:$D, MATCH($A68, 'UA-normalized'!$A:$A, 0))-INDEX('UA-normalized'!$E:$E, MATCH($A68, 'UA-normalized'!$A:$A, 0))), 0), 0))+(IFERROR(IF(29*INDEX('KZ-normalized'!$D:$D, MATCH($A68, 'KZ-normalized'!$A:$A, 0))-INDEX('KZ-normalized'!$E:$E, MATCH($A68, 'KZ-normalized'!$A:$A, 0))&gt;0, -(29*INDEX('KZ-normalized'!$D:$D, MATCH($A68, 'KZ-normalized'!$A:$A, 0))-INDEX('KZ-normalized'!$E:$E, MATCH($A68, 'KZ-normalized'!$A:$A, 0))), 0), 0))+(IFERROR(IF(29*INDEX('UZ-normalized'!$D:$D, MATCH($A68, 'UZ-normalized'!$A:$A, 0))-INDEX('UZ-normalized'!$E:$E, MATCH($A68, 'UZ-normalized'!$A:$A, 0))&gt;0, -(29*INDEX('UZ-normalized'!$D:$D, MATCH($A68, 'UZ-normalized'!$A:$A, 0))-INDEX('UZ-normalized'!$E:$E, MATCH($A68, 'UZ-normalized'!$A:$A, 0))), 0), 0)))</f>
        <v>-1962.75</v>
      </c>
      <c r="AR68" s="6">
        <f>MIN(0, N68+(IFERROR(IF(30*INDEX('UA-normalized'!$D:$D, MATCH($A68, 'UA-normalized'!$A:$A, 0))-INDEX('UA-normalized'!$E:$E, MATCH($A68, 'UA-normalized'!$A:$A, 0))&gt;0, -(30*INDEX('UA-normalized'!$D:$D, MATCH($A68, 'UA-normalized'!$A:$A, 0))-INDEX('UA-normalized'!$E:$E, MATCH($A68, 'UA-normalized'!$A:$A, 0))), 0), 0))+(IFERROR(IF(30*INDEX('KZ-normalized'!$D:$D, MATCH($A68, 'KZ-normalized'!$A:$A, 0))-INDEX('KZ-normalized'!$E:$E, MATCH($A68, 'KZ-normalized'!$A:$A, 0))&gt;0, -(30*INDEX('KZ-normalized'!$D:$D, MATCH($A68, 'KZ-normalized'!$A:$A, 0))-INDEX('KZ-normalized'!$E:$E, MATCH($A68, 'KZ-normalized'!$A:$A, 0))), 0), 0))+(IFERROR(IF(30*INDEX('UZ-normalized'!$D:$D, MATCH($A68, 'UZ-normalized'!$A:$A, 0))-INDEX('UZ-normalized'!$E:$E, MATCH($A68, 'UZ-normalized'!$A:$A, 0))&gt;0, -(30*INDEX('UZ-normalized'!$D:$D, MATCH($A68, 'UZ-normalized'!$A:$A, 0))-INDEX('UZ-normalized'!$E:$E, MATCH($A68, 'UZ-normalized'!$A:$A, 0))), 0), 0)))</f>
        <v>-2226.25</v>
      </c>
    </row>
    <row r="69" spans="1:44" x14ac:dyDescent="0.25">
      <c r="A69" s="8" t="s">
        <v>187</v>
      </c>
      <c r="B69" s="8" t="s">
        <v>180</v>
      </c>
      <c r="C69" s="8" t="s">
        <v>181</v>
      </c>
      <c r="D69" s="8" t="s">
        <v>188</v>
      </c>
      <c r="N69">
        <f t="shared" si="1"/>
        <v>0</v>
      </c>
      <c r="O69" s="6">
        <f>MIN(0, N69+(IFERROR(IF(1*INDEX('UA-normalized'!$D:$D, MATCH($A69, 'UA-normalized'!$A:$A, 0))-INDEX('UA-normalized'!$E:$E, MATCH($A69, 'UA-normalized'!$A:$A, 0))&gt;0, -(1*INDEX('UA-normalized'!$D:$D, MATCH($A69, 'UA-normalized'!$A:$A, 0))-INDEX('UA-normalized'!$E:$E, MATCH($A69, 'UA-normalized'!$A:$A, 0))), 0), 0))+(IFERROR(IF(1*INDEX('KZ-normalized'!$D:$D, MATCH($A69, 'KZ-normalized'!$A:$A, 0))-INDEX('KZ-normalized'!$E:$E, MATCH($A69, 'KZ-normalized'!$A:$A, 0))&gt;0, -(1*INDEX('KZ-normalized'!$D:$D, MATCH($A69, 'KZ-normalized'!$A:$A, 0))-INDEX('KZ-normalized'!$E:$E, MATCH($A69, 'KZ-normalized'!$A:$A, 0))), 0), 0))+(IFERROR(IF(1*INDEX('UZ-normalized'!$D:$D, MATCH($A69, 'UZ-normalized'!$A:$A, 0))-INDEX('UZ-normalized'!$E:$E, MATCH($A69, 'UZ-normalized'!$A:$A, 0))&gt;0, -(1*INDEX('UZ-normalized'!$D:$D, MATCH($A69, 'UZ-normalized'!$A:$A, 0))-INDEX('UZ-normalized'!$E:$E, MATCH($A69, 'UZ-normalized'!$A:$A, 0))), 0), 0)))</f>
        <v>0</v>
      </c>
      <c r="P69" s="6">
        <f>MIN(0, N69+(IFERROR(IF(2*INDEX('UA-normalized'!$D:$D, MATCH($A69, 'UA-normalized'!$A:$A, 0))-INDEX('UA-normalized'!$E:$E, MATCH($A69, 'UA-normalized'!$A:$A, 0))&gt;0, -(2*INDEX('UA-normalized'!$D:$D, MATCH($A69, 'UA-normalized'!$A:$A, 0))-INDEX('UA-normalized'!$E:$E, MATCH($A69, 'UA-normalized'!$A:$A, 0))), 0), 0))+(IFERROR(IF(2*INDEX('KZ-normalized'!$D:$D, MATCH($A69, 'KZ-normalized'!$A:$A, 0))-INDEX('KZ-normalized'!$E:$E, MATCH($A69, 'KZ-normalized'!$A:$A, 0))&gt;0, -(2*INDEX('KZ-normalized'!$D:$D, MATCH($A69, 'KZ-normalized'!$A:$A, 0))-INDEX('KZ-normalized'!$E:$E, MATCH($A69, 'KZ-normalized'!$A:$A, 0))), 0), 0))+(IFERROR(IF(2*INDEX('UZ-normalized'!$D:$D, MATCH($A69, 'UZ-normalized'!$A:$A, 0))-INDEX('UZ-normalized'!$E:$E, MATCH($A69, 'UZ-normalized'!$A:$A, 0))&gt;0, -(2*INDEX('UZ-normalized'!$D:$D, MATCH($A69, 'UZ-normalized'!$A:$A, 0))-INDEX('UZ-normalized'!$E:$E, MATCH($A69, 'UZ-normalized'!$A:$A, 0))), 0), 0)))</f>
        <v>0</v>
      </c>
      <c r="Q69" s="6">
        <f>MIN(0, N69+(IFERROR(IF(3*INDEX('UA-normalized'!$D:$D, MATCH($A69, 'UA-normalized'!$A:$A, 0))-INDEX('UA-normalized'!$E:$E, MATCH($A69, 'UA-normalized'!$A:$A, 0))&gt;0, -(3*INDEX('UA-normalized'!$D:$D, MATCH($A69, 'UA-normalized'!$A:$A, 0))-INDEX('UA-normalized'!$E:$E, MATCH($A69, 'UA-normalized'!$A:$A, 0))), 0), 0))+(IFERROR(IF(3*INDEX('KZ-normalized'!$D:$D, MATCH($A69, 'KZ-normalized'!$A:$A, 0))-INDEX('KZ-normalized'!$E:$E, MATCH($A69, 'KZ-normalized'!$A:$A, 0))&gt;0, -(3*INDEX('KZ-normalized'!$D:$D, MATCH($A69, 'KZ-normalized'!$A:$A, 0))-INDEX('KZ-normalized'!$E:$E, MATCH($A69, 'KZ-normalized'!$A:$A, 0))), 0), 0))+(IFERROR(IF(3*INDEX('UZ-normalized'!$D:$D, MATCH($A69, 'UZ-normalized'!$A:$A, 0))-INDEX('UZ-normalized'!$E:$E, MATCH($A69, 'UZ-normalized'!$A:$A, 0))&gt;0, -(3*INDEX('UZ-normalized'!$D:$D, MATCH($A69, 'UZ-normalized'!$A:$A, 0))-INDEX('UZ-normalized'!$E:$E, MATCH($A69, 'UZ-normalized'!$A:$A, 0))), 0), 0)))</f>
        <v>0</v>
      </c>
      <c r="R69" s="6">
        <f>MIN(0, N69+(IFERROR(IF(4*INDEX('UA-normalized'!$D:$D, MATCH($A69, 'UA-normalized'!$A:$A, 0))-INDEX('UA-normalized'!$E:$E, MATCH($A69, 'UA-normalized'!$A:$A, 0))&gt;0, -(4*INDEX('UA-normalized'!$D:$D, MATCH($A69, 'UA-normalized'!$A:$A, 0))-INDEX('UA-normalized'!$E:$E, MATCH($A69, 'UA-normalized'!$A:$A, 0))), 0), 0))+(IFERROR(IF(4*INDEX('KZ-normalized'!$D:$D, MATCH($A69, 'KZ-normalized'!$A:$A, 0))-INDEX('KZ-normalized'!$E:$E, MATCH($A69, 'KZ-normalized'!$A:$A, 0))&gt;0, -(4*INDEX('KZ-normalized'!$D:$D, MATCH($A69, 'KZ-normalized'!$A:$A, 0))-INDEX('KZ-normalized'!$E:$E, MATCH($A69, 'KZ-normalized'!$A:$A, 0))), 0), 0))+(IFERROR(IF(4*INDEX('UZ-normalized'!$D:$D, MATCH($A69, 'UZ-normalized'!$A:$A, 0))-INDEX('UZ-normalized'!$E:$E, MATCH($A69, 'UZ-normalized'!$A:$A, 0))&gt;0, -(4*INDEX('UZ-normalized'!$D:$D, MATCH($A69, 'UZ-normalized'!$A:$A, 0))-INDEX('UZ-normalized'!$E:$E, MATCH($A69, 'UZ-normalized'!$A:$A, 0))), 0), 0)))</f>
        <v>0</v>
      </c>
      <c r="S69" s="6">
        <f>MIN(0, N69+(IFERROR(IF(5*INDEX('UA-normalized'!$D:$D, MATCH($A69, 'UA-normalized'!$A:$A, 0))-INDEX('UA-normalized'!$E:$E, MATCH($A69, 'UA-normalized'!$A:$A, 0))&gt;0, -(5*INDEX('UA-normalized'!$D:$D, MATCH($A69, 'UA-normalized'!$A:$A, 0))-INDEX('UA-normalized'!$E:$E, MATCH($A69, 'UA-normalized'!$A:$A, 0))), 0), 0))+(IFERROR(IF(5*INDEX('KZ-normalized'!$D:$D, MATCH($A69, 'KZ-normalized'!$A:$A, 0))-INDEX('KZ-normalized'!$E:$E, MATCH($A69, 'KZ-normalized'!$A:$A, 0))&gt;0, -(5*INDEX('KZ-normalized'!$D:$D, MATCH($A69, 'KZ-normalized'!$A:$A, 0))-INDEX('KZ-normalized'!$E:$E, MATCH($A69, 'KZ-normalized'!$A:$A, 0))), 0), 0))+(IFERROR(IF(5*INDEX('UZ-normalized'!$D:$D, MATCH($A69, 'UZ-normalized'!$A:$A, 0))-INDEX('UZ-normalized'!$E:$E, MATCH($A69, 'UZ-normalized'!$A:$A, 0))&gt;0, -(5*INDEX('UZ-normalized'!$D:$D, MATCH($A69, 'UZ-normalized'!$A:$A, 0))-INDEX('UZ-normalized'!$E:$E, MATCH($A69, 'UZ-normalized'!$A:$A, 0))), 0), 0)))</f>
        <v>0</v>
      </c>
      <c r="T69" s="6">
        <f>MIN(0, N69+(IFERROR(IF(6*INDEX('UA-normalized'!$D:$D, MATCH($A69, 'UA-normalized'!$A:$A, 0))-INDEX('UA-normalized'!$E:$E, MATCH($A69, 'UA-normalized'!$A:$A, 0))&gt;0, -(6*INDEX('UA-normalized'!$D:$D, MATCH($A69, 'UA-normalized'!$A:$A, 0))-INDEX('UA-normalized'!$E:$E, MATCH($A69, 'UA-normalized'!$A:$A, 0))), 0), 0))+(IFERROR(IF(6*INDEX('KZ-normalized'!$D:$D, MATCH($A69, 'KZ-normalized'!$A:$A, 0))-INDEX('KZ-normalized'!$E:$E, MATCH($A69, 'KZ-normalized'!$A:$A, 0))&gt;0, -(6*INDEX('KZ-normalized'!$D:$D, MATCH($A69, 'KZ-normalized'!$A:$A, 0))-INDEX('KZ-normalized'!$E:$E, MATCH($A69, 'KZ-normalized'!$A:$A, 0))), 0), 0))+(IFERROR(IF(6*INDEX('UZ-normalized'!$D:$D, MATCH($A69, 'UZ-normalized'!$A:$A, 0))-INDEX('UZ-normalized'!$E:$E, MATCH($A69, 'UZ-normalized'!$A:$A, 0))&gt;0, -(6*INDEX('UZ-normalized'!$D:$D, MATCH($A69, 'UZ-normalized'!$A:$A, 0))-INDEX('UZ-normalized'!$E:$E, MATCH($A69, 'UZ-normalized'!$A:$A, 0))), 0), 0)))</f>
        <v>0</v>
      </c>
      <c r="U69" s="6">
        <f>MIN(0, N69+(IFERROR(IF(7*INDEX('UA-normalized'!$D:$D, MATCH($A69, 'UA-normalized'!$A:$A, 0))-INDEX('UA-normalized'!$E:$E, MATCH($A69, 'UA-normalized'!$A:$A, 0))&gt;0, -(7*INDEX('UA-normalized'!$D:$D, MATCH($A69, 'UA-normalized'!$A:$A, 0))-INDEX('UA-normalized'!$E:$E, MATCH($A69, 'UA-normalized'!$A:$A, 0))), 0), 0))+(IFERROR(IF(7*INDEX('KZ-normalized'!$D:$D, MATCH($A69, 'KZ-normalized'!$A:$A, 0))-INDEX('KZ-normalized'!$E:$E, MATCH($A69, 'KZ-normalized'!$A:$A, 0))&gt;0, -(7*INDEX('KZ-normalized'!$D:$D, MATCH($A69, 'KZ-normalized'!$A:$A, 0))-INDEX('KZ-normalized'!$E:$E, MATCH($A69, 'KZ-normalized'!$A:$A, 0))), 0), 0))+(IFERROR(IF(7*INDEX('UZ-normalized'!$D:$D, MATCH($A69, 'UZ-normalized'!$A:$A, 0))-INDEX('UZ-normalized'!$E:$E, MATCH($A69, 'UZ-normalized'!$A:$A, 0))&gt;0, -(7*INDEX('UZ-normalized'!$D:$D, MATCH($A69, 'UZ-normalized'!$A:$A, 0))-INDEX('UZ-normalized'!$E:$E, MATCH($A69, 'UZ-normalized'!$A:$A, 0))), 0), 0)))</f>
        <v>0</v>
      </c>
      <c r="V69" s="6">
        <f>MIN(0, N69+(IFERROR(IF(8*INDEX('UA-normalized'!$D:$D, MATCH($A69, 'UA-normalized'!$A:$A, 0))-INDEX('UA-normalized'!$E:$E, MATCH($A69, 'UA-normalized'!$A:$A, 0))&gt;0, -(8*INDEX('UA-normalized'!$D:$D, MATCH($A69, 'UA-normalized'!$A:$A, 0))-INDEX('UA-normalized'!$E:$E, MATCH($A69, 'UA-normalized'!$A:$A, 0))), 0), 0))+(IFERROR(IF(8*INDEX('KZ-normalized'!$D:$D, MATCH($A69, 'KZ-normalized'!$A:$A, 0))-INDEX('KZ-normalized'!$E:$E, MATCH($A69, 'KZ-normalized'!$A:$A, 0))&gt;0, -(8*INDEX('KZ-normalized'!$D:$D, MATCH($A69, 'KZ-normalized'!$A:$A, 0))-INDEX('KZ-normalized'!$E:$E, MATCH($A69, 'KZ-normalized'!$A:$A, 0))), 0), 0))+(IFERROR(IF(8*INDEX('UZ-normalized'!$D:$D, MATCH($A69, 'UZ-normalized'!$A:$A, 0))-INDEX('UZ-normalized'!$E:$E, MATCH($A69, 'UZ-normalized'!$A:$A, 0))&gt;0, -(8*INDEX('UZ-normalized'!$D:$D, MATCH($A69, 'UZ-normalized'!$A:$A, 0))-INDEX('UZ-normalized'!$E:$E, MATCH($A69, 'UZ-normalized'!$A:$A, 0))), 0), 0)))</f>
        <v>0</v>
      </c>
      <c r="W69" s="6">
        <f>MIN(0, N69+(IFERROR(IF(9*INDEX('UA-normalized'!$D:$D, MATCH($A69, 'UA-normalized'!$A:$A, 0))-INDEX('UA-normalized'!$E:$E, MATCH($A69, 'UA-normalized'!$A:$A, 0))&gt;0, -(9*INDEX('UA-normalized'!$D:$D, MATCH($A69, 'UA-normalized'!$A:$A, 0))-INDEX('UA-normalized'!$E:$E, MATCH($A69, 'UA-normalized'!$A:$A, 0))), 0), 0))+(IFERROR(IF(9*INDEX('KZ-normalized'!$D:$D, MATCH($A69, 'KZ-normalized'!$A:$A, 0))-INDEX('KZ-normalized'!$E:$E, MATCH($A69, 'KZ-normalized'!$A:$A, 0))&gt;0, -(9*INDEX('KZ-normalized'!$D:$D, MATCH($A69, 'KZ-normalized'!$A:$A, 0))-INDEX('KZ-normalized'!$E:$E, MATCH($A69, 'KZ-normalized'!$A:$A, 0))), 0), 0))+(IFERROR(IF(9*INDEX('UZ-normalized'!$D:$D, MATCH($A69, 'UZ-normalized'!$A:$A, 0))-INDEX('UZ-normalized'!$E:$E, MATCH($A69, 'UZ-normalized'!$A:$A, 0))&gt;0, -(9*INDEX('UZ-normalized'!$D:$D, MATCH($A69, 'UZ-normalized'!$A:$A, 0))-INDEX('UZ-normalized'!$E:$E, MATCH($A69, 'UZ-normalized'!$A:$A, 0))), 0), 0)))</f>
        <v>0</v>
      </c>
      <c r="X69" s="6">
        <f>MIN(0, N69+(IFERROR(IF(10*INDEX('UA-normalized'!$D:$D, MATCH($A69, 'UA-normalized'!$A:$A, 0))-INDEX('UA-normalized'!$E:$E, MATCH($A69, 'UA-normalized'!$A:$A, 0))&gt;0, -(10*INDEX('UA-normalized'!$D:$D, MATCH($A69, 'UA-normalized'!$A:$A, 0))-INDEX('UA-normalized'!$E:$E, MATCH($A69, 'UA-normalized'!$A:$A, 0))), 0), 0))+(IFERROR(IF(10*INDEX('KZ-normalized'!$D:$D, MATCH($A69, 'KZ-normalized'!$A:$A, 0))-INDEX('KZ-normalized'!$E:$E, MATCH($A69, 'KZ-normalized'!$A:$A, 0))&gt;0, -(10*INDEX('KZ-normalized'!$D:$D, MATCH($A69, 'KZ-normalized'!$A:$A, 0))-INDEX('KZ-normalized'!$E:$E, MATCH($A69, 'KZ-normalized'!$A:$A, 0))), 0), 0))+(IFERROR(IF(10*INDEX('UZ-normalized'!$D:$D, MATCH($A69, 'UZ-normalized'!$A:$A, 0))-INDEX('UZ-normalized'!$E:$E, MATCH($A69, 'UZ-normalized'!$A:$A, 0))&gt;0, -(10*INDEX('UZ-normalized'!$D:$D, MATCH($A69, 'UZ-normalized'!$A:$A, 0))-INDEX('UZ-normalized'!$E:$E, MATCH($A69, 'UZ-normalized'!$A:$A, 0))), 0), 0)))</f>
        <v>-1</v>
      </c>
      <c r="Y69" s="6">
        <f>MIN(0, N69+(IFERROR(IF(11*INDEX('UA-normalized'!$D:$D, MATCH($A69, 'UA-normalized'!$A:$A, 0))-INDEX('UA-normalized'!$E:$E, MATCH($A69, 'UA-normalized'!$A:$A, 0))&gt;0, -(11*INDEX('UA-normalized'!$D:$D, MATCH($A69, 'UA-normalized'!$A:$A, 0))-INDEX('UA-normalized'!$E:$E, MATCH($A69, 'UA-normalized'!$A:$A, 0))), 0), 0))+(IFERROR(IF(11*INDEX('KZ-normalized'!$D:$D, MATCH($A69, 'KZ-normalized'!$A:$A, 0))-INDEX('KZ-normalized'!$E:$E, MATCH($A69, 'KZ-normalized'!$A:$A, 0))&gt;0, -(11*INDEX('KZ-normalized'!$D:$D, MATCH($A69, 'KZ-normalized'!$A:$A, 0))-INDEX('KZ-normalized'!$E:$E, MATCH($A69, 'KZ-normalized'!$A:$A, 0))), 0), 0))+(IFERROR(IF(11*INDEX('UZ-normalized'!$D:$D, MATCH($A69, 'UZ-normalized'!$A:$A, 0))-INDEX('UZ-normalized'!$E:$E, MATCH($A69, 'UZ-normalized'!$A:$A, 0))&gt;0, -(11*INDEX('UZ-normalized'!$D:$D, MATCH($A69, 'UZ-normalized'!$A:$A, 0))-INDEX('UZ-normalized'!$E:$E, MATCH($A69, 'UZ-normalized'!$A:$A, 0))), 0), 0)))</f>
        <v>-3</v>
      </c>
      <c r="Z69" s="6">
        <f>MIN(0, N69+(IFERROR(IF(12*INDEX('UA-normalized'!$D:$D, MATCH($A69, 'UA-normalized'!$A:$A, 0))-INDEX('UA-normalized'!$E:$E, MATCH($A69, 'UA-normalized'!$A:$A, 0))&gt;0, -(12*INDEX('UA-normalized'!$D:$D, MATCH($A69, 'UA-normalized'!$A:$A, 0))-INDEX('UA-normalized'!$E:$E, MATCH($A69, 'UA-normalized'!$A:$A, 0))), 0), 0))+(IFERROR(IF(12*INDEX('KZ-normalized'!$D:$D, MATCH($A69, 'KZ-normalized'!$A:$A, 0))-INDEX('KZ-normalized'!$E:$E, MATCH($A69, 'KZ-normalized'!$A:$A, 0))&gt;0, -(12*INDEX('KZ-normalized'!$D:$D, MATCH($A69, 'KZ-normalized'!$A:$A, 0))-INDEX('KZ-normalized'!$E:$E, MATCH($A69, 'KZ-normalized'!$A:$A, 0))), 0), 0))+(IFERROR(IF(12*INDEX('UZ-normalized'!$D:$D, MATCH($A69, 'UZ-normalized'!$A:$A, 0))-INDEX('UZ-normalized'!$E:$E, MATCH($A69, 'UZ-normalized'!$A:$A, 0))&gt;0, -(12*INDEX('UZ-normalized'!$D:$D, MATCH($A69, 'UZ-normalized'!$A:$A, 0))-INDEX('UZ-normalized'!$E:$E, MATCH($A69, 'UZ-normalized'!$A:$A, 0))), 0), 0)))</f>
        <v>-5</v>
      </c>
      <c r="AA69" s="6">
        <f>MIN(0, N69+(IFERROR(IF(13*INDEX('UA-normalized'!$D:$D, MATCH($A69, 'UA-normalized'!$A:$A, 0))-INDEX('UA-normalized'!$E:$E, MATCH($A69, 'UA-normalized'!$A:$A, 0))&gt;0, -(13*INDEX('UA-normalized'!$D:$D, MATCH($A69, 'UA-normalized'!$A:$A, 0))-INDEX('UA-normalized'!$E:$E, MATCH($A69, 'UA-normalized'!$A:$A, 0))), 0), 0))+(IFERROR(IF(13*INDEX('KZ-normalized'!$D:$D, MATCH($A69, 'KZ-normalized'!$A:$A, 0))-INDEX('KZ-normalized'!$E:$E, MATCH($A69, 'KZ-normalized'!$A:$A, 0))&gt;0, -(13*INDEX('KZ-normalized'!$D:$D, MATCH($A69, 'KZ-normalized'!$A:$A, 0))-INDEX('KZ-normalized'!$E:$E, MATCH($A69, 'KZ-normalized'!$A:$A, 0))), 0), 0))+(IFERROR(IF(13*INDEX('UZ-normalized'!$D:$D, MATCH($A69, 'UZ-normalized'!$A:$A, 0))-INDEX('UZ-normalized'!$E:$E, MATCH($A69, 'UZ-normalized'!$A:$A, 0))&gt;0, -(13*INDEX('UZ-normalized'!$D:$D, MATCH($A69, 'UZ-normalized'!$A:$A, 0))-INDEX('UZ-normalized'!$E:$E, MATCH($A69, 'UZ-normalized'!$A:$A, 0))), 0), 0)))</f>
        <v>-7</v>
      </c>
      <c r="AB69" s="6">
        <f>MIN(0, N69+(IFERROR(IF(14*INDEX('UA-normalized'!$D:$D, MATCH($A69, 'UA-normalized'!$A:$A, 0))-INDEX('UA-normalized'!$E:$E, MATCH($A69, 'UA-normalized'!$A:$A, 0))&gt;0, -(14*INDEX('UA-normalized'!$D:$D, MATCH($A69, 'UA-normalized'!$A:$A, 0))-INDEX('UA-normalized'!$E:$E, MATCH($A69, 'UA-normalized'!$A:$A, 0))), 0), 0))+(IFERROR(IF(14*INDEX('KZ-normalized'!$D:$D, MATCH($A69, 'KZ-normalized'!$A:$A, 0))-INDEX('KZ-normalized'!$E:$E, MATCH($A69, 'KZ-normalized'!$A:$A, 0))&gt;0, -(14*INDEX('KZ-normalized'!$D:$D, MATCH($A69, 'KZ-normalized'!$A:$A, 0))-INDEX('KZ-normalized'!$E:$E, MATCH($A69, 'KZ-normalized'!$A:$A, 0))), 0), 0))+(IFERROR(IF(14*INDEX('UZ-normalized'!$D:$D, MATCH($A69, 'UZ-normalized'!$A:$A, 0))-INDEX('UZ-normalized'!$E:$E, MATCH($A69, 'UZ-normalized'!$A:$A, 0))&gt;0, -(14*INDEX('UZ-normalized'!$D:$D, MATCH($A69, 'UZ-normalized'!$A:$A, 0))-INDEX('UZ-normalized'!$E:$E, MATCH($A69, 'UZ-normalized'!$A:$A, 0))), 0), 0)))</f>
        <v>-9</v>
      </c>
      <c r="AC69" s="6">
        <f>MIN(0, N69+(IFERROR(IF(15*INDEX('UA-normalized'!$D:$D, MATCH($A69, 'UA-normalized'!$A:$A, 0))-INDEX('UA-normalized'!$E:$E, MATCH($A69, 'UA-normalized'!$A:$A, 0))&gt;0, -(15*INDEX('UA-normalized'!$D:$D, MATCH($A69, 'UA-normalized'!$A:$A, 0))-INDEX('UA-normalized'!$E:$E, MATCH($A69, 'UA-normalized'!$A:$A, 0))), 0), 0))+(IFERROR(IF(15*INDEX('KZ-normalized'!$D:$D, MATCH($A69, 'KZ-normalized'!$A:$A, 0))-INDEX('KZ-normalized'!$E:$E, MATCH($A69, 'KZ-normalized'!$A:$A, 0))&gt;0, -(15*INDEX('KZ-normalized'!$D:$D, MATCH($A69, 'KZ-normalized'!$A:$A, 0))-INDEX('KZ-normalized'!$E:$E, MATCH($A69, 'KZ-normalized'!$A:$A, 0))), 0), 0))+(IFERROR(IF(15*INDEX('UZ-normalized'!$D:$D, MATCH($A69, 'UZ-normalized'!$A:$A, 0))-INDEX('UZ-normalized'!$E:$E, MATCH($A69, 'UZ-normalized'!$A:$A, 0))&gt;0, -(15*INDEX('UZ-normalized'!$D:$D, MATCH($A69, 'UZ-normalized'!$A:$A, 0))-INDEX('UZ-normalized'!$E:$E, MATCH($A69, 'UZ-normalized'!$A:$A, 0))), 0), 0)))</f>
        <v>-11</v>
      </c>
      <c r="AD69" s="6">
        <f>MIN(0, N69+(IFERROR(IF(16*INDEX('UA-normalized'!$D:$D, MATCH($A69, 'UA-normalized'!$A:$A, 0))-INDEX('UA-normalized'!$E:$E, MATCH($A69, 'UA-normalized'!$A:$A, 0))&gt;0, -(16*INDEX('UA-normalized'!$D:$D, MATCH($A69, 'UA-normalized'!$A:$A, 0))-INDEX('UA-normalized'!$E:$E, MATCH($A69, 'UA-normalized'!$A:$A, 0))), 0), 0))+(IFERROR(IF(16*INDEX('KZ-normalized'!$D:$D, MATCH($A69, 'KZ-normalized'!$A:$A, 0))-INDEX('KZ-normalized'!$E:$E, MATCH($A69, 'KZ-normalized'!$A:$A, 0))&gt;0, -(16*INDEX('KZ-normalized'!$D:$D, MATCH($A69, 'KZ-normalized'!$A:$A, 0))-INDEX('KZ-normalized'!$E:$E, MATCH($A69, 'KZ-normalized'!$A:$A, 0))), 0), 0))+(IFERROR(IF(16*INDEX('UZ-normalized'!$D:$D, MATCH($A69, 'UZ-normalized'!$A:$A, 0))-INDEX('UZ-normalized'!$E:$E, MATCH($A69, 'UZ-normalized'!$A:$A, 0))&gt;0, -(16*INDEX('UZ-normalized'!$D:$D, MATCH($A69, 'UZ-normalized'!$A:$A, 0))-INDEX('UZ-normalized'!$E:$E, MATCH($A69, 'UZ-normalized'!$A:$A, 0))), 0), 0)))</f>
        <v>-13</v>
      </c>
      <c r="AE69" s="6">
        <f>MIN(0, N69+(IFERROR(IF(17*INDEX('UA-normalized'!$D:$D, MATCH($A69, 'UA-normalized'!$A:$A, 0))-INDEX('UA-normalized'!$E:$E, MATCH($A69, 'UA-normalized'!$A:$A, 0))&gt;0, -(17*INDEX('UA-normalized'!$D:$D, MATCH($A69, 'UA-normalized'!$A:$A, 0))-INDEX('UA-normalized'!$E:$E, MATCH($A69, 'UA-normalized'!$A:$A, 0))), 0), 0))+(IFERROR(IF(17*INDEX('KZ-normalized'!$D:$D, MATCH($A69, 'KZ-normalized'!$A:$A, 0))-INDEX('KZ-normalized'!$E:$E, MATCH($A69, 'KZ-normalized'!$A:$A, 0))&gt;0, -(17*INDEX('KZ-normalized'!$D:$D, MATCH($A69, 'KZ-normalized'!$A:$A, 0))-INDEX('KZ-normalized'!$E:$E, MATCH($A69, 'KZ-normalized'!$A:$A, 0))), 0), 0))+(IFERROR(IF(17*INDEX('UZ-normalized'!$D:$D, MATCH($A69, 'UZ-normalized'!$A:$A, 0))-INDEX('UZ-normalized'!$E:$E, MATCH($A69, 'UZ-normalized'!$A:$A, 0))&gt;0, -(17*INDEX('UZ-normalized'!$D:$D, MATCH($A69, 'UZ-normalized'!$A:$A, 0))-INDEX('UZ-normalized'!$E:$E, MATCH($A69, 'UZ-normalized'!$A:$A, 0))), 0), 0)))</f>
        <v>-15</v>
      </c>
      <c r="AF69" s="6">
        <f>MIN(0, N69+(IFERROR(IF(18*INDEX('UA-normalized'!$D:$D, MATCH($A69, 'UA-normalized'!$A:$A, 0))-INDEX('UA-normalized'!$E:$E, MATCH($A69, 'UA-normalized'!$A:$A, 0))&gt;0, -(18*INDEX('UA-normalized'!$D:$D, MATCH($A69, 'UA-normalized'!$A:$A, 0))-INDEX('UA-normalized'!$E:$E, MATCH($A69, 'UA-normalized'!$A:$A, 0))), 0), 0))+(IFERROR(IF(18*INDEX('KZ-normalized'!$D:$D, MATCH($A69, 'KZ-normalized'!$A:$A, 0))-INDEX('KZ-normalized'!$E:$E, MATCH($A69, 'KZ-normalized'!$A:$A, 0))&gt;0, -(18*INDEX('KZ-normalized'!$D:$D, MATCH($A69, 'KZ-normalized'!$A:$A, 0))-INDEX('KZ-normalized'!$E:$E, MATCH($A69, 'KZ-normalized'!$A:$A, 0))), 0), 0))+(IFERROR(IF(18*INDEX('UZ-normalized'!$D:$D, MATCH($A69, 'UZ-normalized'!$A:$A, 0))-INDEX('UZ-normalized'!$E:$E, MATCH($A69, 'UZ-normalized'!$A:$A, 0))&gt;0, -(18*INDEX('UZ-normalized'!$D:$D, MATCH($A69, 'UZ-normalized'!$A:$A, 0))-INDEX('UZ-normalized'!$E:$E, MATCH($A69, 'UZ-normalized'!$A:$A, 0))), 0), 0)))</f>
        <v>-17</v>
      </c>
      <c r="AG69" s="6">
        <f>MIN(0, N69+(IFERROR(IF(19*INDEX('UA-normalized'!$D:$D, MATCH($A69, 'UA-normalized'!$A:$A, 0))-INDEX('UA-normalized'!$E:$E, MATCH($A69, 'UA-normalized'!$A:$A, 0))&gt;0, -(19*INDEX('UA-normalized'!$D:$D, MATCH($A69, 'UA-normalized'!$A:$A, 0))-INDEX('UA-normalized'!$E:$E, MATCH($A69, 'UA-normalized'!$A:$A, 0))), 0), 0))+(IFERROR(IF(19*INDEX('KZ-normalized'!$D:$D, MATCH($A69, 'KZ-normalized'!$A:$A, 0))-INDEX('KZ-normalized'!$E:$E, MATCH($A69, 'KZ-normalized'!$A:$A, 0))&gt;0, -(19*INDEX('KZ-normalized'!$D:$D, MATCH($A69, 'KZ-normalized'!$A:$A, 0))-INDEX('KZ-normalized'!$E:$E, MATCH($A69, 'KZ-normalized'!$A:$A, 0))), 0), 0))+(IFERROR(IF(19*INDEX('UZ-normalized'!$D:$D, MATCH($A69, 'UZ-normalized'!$A:$A, 0))-INDEX('UZ-normalized'!$E:$E, MATCH($A69, 'UZ-normalized'!$A:$A, 0))&gt;0, -(19*INDEX('UZ-normalized'!$D:$D, MATCH($A69, 'UZ-normalized'!$A:$A, 0))-INDEX('UZ-normalized'!$E:$E, MATCH($A69, 'UZ-normalized'!$A:$A, 0))), 0), 0)))</f>
        <v>-19</v>
      </c>
      <c r="AH69" s="6">
        <f>MIN(0, N69+(IFERROR(IF(20*INDEX('UA-normalized'!$D:$D, MATCH($A69, 'UA-normalized'!$A:$A, 0))-INDEX('UA-normalized'!$E:$E, MATCH($A69, 'UA-normalized'!$A:$A, 0))&gt;0, -(20*INDEX('UA-normalized'!$D:$D, MATCH($A69, 'UA-normalized'!$A:$A, 0))-INDEX('UA-normalized'!$E:$E, MATCH($A69, 'UA-normalized'!$A:$A, 0))), 0), 0))+(IFERROR(IF(20*INDEX('KZ-normalized'!$D:$D, MATCH($A69, 'KZ-normalized'!$A:$A, 0))-INDEX('KZ-normalized'!$E:$E, MATCH($A69, 'KZ-normalized'!$A:$A, 0))&gt;0, -(20*INDEX('KZ-normalized'!$D:$D, MATCH($A69, 'KZ-normalized'!$A:$A, 0))-INDEX('KZ-normalized'!$E:$E, MATCH($A69, 'KZ-normalized'!$A:$A, 0))), 0), 0))+(IFERROR(IF(20*INDEX('UZ-normalized'!$D:$D, MATCH($A69, 'UZ-normalized'!$A:$A, 0))-INDEX('UZ-normalized'!$E:$E, MATCH($A69, 'UZ-normalized'!$A:$A, 0))&gt;0, -(20*INDEX('UZ-normalized'!$D:$D, MATCH($A69, 'UZ-normalized'!$A:$A, 0))-INDEX('UZ-normalized'!$E:$E, MATCH($A69, 'UZ-normalized'!$A:$A, 0))), 0), 0)))</f>
        <v>-21</v>
      </c>
      <c r="AI69" s="6">
        <f>MIN(0, N69+(IFERROR(IF(21*INDEX('UA-normalized'!$D:$D, MATCH($A69, 'UA-normalized'!$A:$A, 0))-INDEX('UA-normalized'!$E:$E, MATCH($A69, 'UA-normalized'!$A:$A, 0))&gt;0, -(21*INDEX('UA-normalized'!$D:$D, MATCH($A69, 'UA-normalized'!$A:$A, 0))-INDEX('UA-normalized'!$E:$E, MATCH($A69, 'UA-normalized'!$A:$A, 0))), 0), 0))+(IFERROR(IF(21*INDEX('KZ-normalized'!$D:$D, MATCH($A69, 'KZ-normalized'!$A:$A, 0))-INDEX('KZ-normalized'!$E:$E, MATCH($A69, 'KZ-normalized'!$A:$A, 0))&gt;0, -(21*INDEX('KZ-normalized'!$D:$D, MATCH($A69, 'KZ-normalized'!$A:$A, 0))-INDEX('KZ-normalized'!$E:$E, MATCH($A69, 'KZ-normalized'!$A:$A, 0))), 0), 0))+(IFERROR(IF(21*INDEX('UZ-normalized'!$D:$D, MATCH($A69, 'UZ-normalized'!$A:$A, 0))-INDEX('UZ-normalized'!$E:$E, MATCH($A69, 'UZ-normalized'!$A:$A, 0))&gt;0, -(21*INDEX('UZ-normalized'!$D:$D, MATCH($A69, 'UZ-normalized'!$A:$A, 0))-INDEX('UZ-normalized'!$E:$E, MATCH($A69, 'UZ-normalized'!$A:$A, 0))), 0), 0)))</f>
        <v>-23</v>
      </c>
      <c r="AJ69" s="6">
        <f>MIN(0, N69+(IFERROR(IF(22*INDEX('UA-normalized'!$D:$D, MATCH($A69, 'UA-normalized'!$A:$A, 0))-INDEX('UA-normalized'!$E:$E, MATCH($A69, 'UA-normalized'!$A:$A, 0))&gt;0, -(22*INDEX('UA-normalized'!$D:$D, MATCH($A69, 'UA-normalized'!$A:$A, 0))-INDEX('UA-normalized'!$E:$E, MATCH($A69, 'UA-normalized'!$A:$A, 0))), 0), 0))+(IFERROR(IF(22*INDEX('KZ-normalized'!$D:$D, MATCH($A69, 'KZ-normalized'!$A:$A, 0))-INDEX('KZ-normalized'!$E:$E, MATCH($A69, 'KZ-normalized'!$A:$A, 0))&gt;0, -(22*INDEX('KZ-normalized'!$D:$D, MATCH($A69, 'KZ-normalized'!$A:$A, 0))-INDEX('KZ-normalized'!$E:$E, MATCH($A69, 'KZ-normalized'!$A:$A, 0))), 0), 0))+(IFERROR(IF(22*INDEX('UZ-normalized'!$D:$D, MATCH($A69, 'UZ-normalized'!$A:$A, 0))-INDEX('UZ-normalized'!$E:$E, MATCH($A69, 'UZ-normalized'!$A:$A, 0))&gt;0, -(22*INDEX('UZ-normalized'!$D:$D, MATCH($A69, 'UZ-normalized'!$A:$A, 0))-INDEX('UZ-normalized'!$E:$E, MATCH($A69, 'UZ-normalized'!$A:$A, 0))), 0), 0)))</f>
        <v>-25</v>
      </c>
      <c r="AK69" s="6">
        <f>MIN(0, N69+(IFERROR(IF(23*INDEX('UA-normalized'!$D:$D, MATCH($A69, 'UA-normalized'!$A:$A, 0))-INDEX('UA-normalized'!$E:$E, MATCH($A69, 'UA-normalized'!$A:$A, 0))&gt;0, -(23*INDEX('UA-normalized'!$D:$D, MATCH($A69, 'UA-normalized'!$A:$A, 0))-INDEX('UA-normalized'!$E:$E, MATCH($A69, 'UA-normalized'!$A:$A, 0))), 0), 0))+(IFERROR(IF(23*INDEX('KZ-normalized'!$D:$D, MATCH($A69, 'KZ-normalized'!$A:$A, 0))-INDEX('KZ-normalized'!$E:$E, MATCH($A69, 'KZ-normalized'!$A:$A, 0))&gt;0, -(23*INDEX('KZ-normalized'!$D:$D, MATCH($A69, 'KZ-normalized'!$A:$A, 0))-INDEX('KZ-normalized'!$E:$E, MATCH($A69, 'KZ-normalized'!$A:$A, 0))), 0), 0))+(IFERROR(IF(23*INDEX('UZ-normalized'!$D:$D, MATCH($A69, 'UZ-normalized'!$A:$A, 0))-INDEX('UZ-normalized'!$E:$E, MATCH($A69, 'UZ-normalized'!$A:$A, 0))&gt;0, -(23*INDEX('UZ-normalized'!$D:$D, MATCH($A69, 'UZ-normalized'!$A:$A, 0))-INDEX('UZ-normalized'!$E:$E, MATCH($A69, 'UZ-normalized'!$A:$A, 0))), 0), 0)))</f>
        <v>-27</v>
      </c>
      <c r="AL69" s="6">
        <f>MIN(0, N69+(IFERROR(IF(24*INDEX('UA-normalized'!$D:$D, MATCH($A69, 'UA-normalized'!$A:$A, 0))-INDEX('UA-normalized'!$E:$E, MATCH($A69, 'UA-normalized'!$A:$A, 0))&gt;0, -(24*INDEX('UA-normalized'!$D:$D, MATCH($A69, 'UA-normalized'!$A:$A, 0))-INDEX('UA-normalized'!$E:$E, MATCH($A69, 'UA-normalized'!$A:$A, 0))), 0), 0))+(IFERROR(IF(24*INDEX('KZ-normalized'!$D:$D, MATCH($A69, 'KZ-normalized'!$A:$A, 0))-INDEX('KZ-normalized'!$E:$E, MATCH($A69, 'KZ-normalized'!$A:$A, 0))&gt;0, -(24*INDEX('KZ-normalized'!$D:$D, MATCH($A69, 'KZ-normalized'!$A:$A, 0))-INDEX('KZ-normalized'!$E:$E, MATCH($A69, 'KZ-normalized'!$A:$A, 0))), 0), 0))+(IFERROR(IF(24*INDEX('UZ-normalized'!$D:$D, MATCH($A69, 'UZ-normalized'!$A:$A, 0))-INDEX('UZ-normalized'!$E:$E, MATCH($A69, 'UZ-normalized'!$A:$A, 0))&gt;0, -(24*INDEX('UZ-normalized'!$D:$D, MATCH($A69, 'UZ-normalized'!$A:$A, 0))-INDEX('UZ-normalized'!$E:$E, MATCH($A69, 'UZ-normalized'!$A:$A, 0))), 0), 0)))</f>
        <v>-29</v>
      </c>
      <c r="AM69" s="6">
        <f>MIN(0, N69+(IFERROR(IF(25*INDEX('UA-normalized'!$D:$D, MATCH($A69, 'UA-normalized'!$A:$A, 0))-INDEX('UA-normalized'!$E:$E, MATCH($A69, 'UA-normalized'!$A:$A, 0))&gt;0, -(25*INDEX('UA-normalized'!$D:$D, MATCH($A69, 'UA-normalized'!$A:$A, 0))-INDEX('UA-normalized'!$E:$E, MATCH($A69, 'UA-normalized'!$A:$A, 0))), 0), 0))+(IFERROR(IF(25*INDEX('KZ-normalized'!$D:$D, MATCH($A69, 'KZ-normalized'!$A:$A, 0))-INDEX('KZ-normalized'!$E:$E, MATCH($A69, 'KZ-normalized'!$A:$A, 0))&gt;0, -(25*INDEX('KZ-normalized'!$D:$D, MATCH($A69, 'KZ-normalized'!$A:$A, 0))-INDEX('KZ-normalized'!$E:$E, MATCH($A69, 'KZ-normalized'!$A:$A, 0))), 0), 0))+(IFERROR(IF(25*INDEX('UZ-normalized'!$D:$D, MATCH($A69, 'UZ-normalized'!$A:$A, 0))-INDEX('UZ-normalized'!$E:$E, MATCH($A69, 'UZ-normalized'!$A:$A, 0))&gt;0, -(25*INDEX('UZ-normalized'!$D:$D, MATCH($A69, 'UZ-normalized'!$A:$A, 0))-INDEX('UZ-normalized'!$E:$E, MATCH($A69, 'UZ-normalized'!$A:$A, 0))), 0), 0)))</f>
        <v>-31</v>
      </c>
      <c r="AN69" s="6">
        <f>MIN(0, N69+(IFERROR(IF(26*INDEX('UA-normalized'!$D:$D, MATCH($A69, 'UA-normalized'!$A:$A, 0))-INDEX('UA-normalized'!$E:$E, MATCH($A69, 'UA-normalized'!$A:$A, 0))&gt;0, -(26*INDEX('UA-normalized'!$D:$D, MATCH($A69, 'UA-normalized'!$A:$A, 0))-INDEX('UA-normalized'!$E:$E, MATCH($A69, 'UA-normalized'!$A:$A, 0))), 0), 0))+(IFERROR(IF(26*INDEX('KZ-normalized'!$D:$D, MATCH($A69, 'KZ-normalized'!$A:$A, 0))-INDEX('KZ-normalized'!$E:$E, MATCH($A69, 'KZ-normalized'!$A:$A, 0))&gt;0, -(26*INDEX('KZ-normalized'!$D:$D, MATCH($A69, 'KZ-normalized'!$A:$A, 0))-INDEX('KZ-normalized'!$E:$E, MATCH($A69, 'KZ-normalized'!$A:$A, 0))), 0), 0))+(IFERROR(IF(26*INDEX('UZ-normalized'!$D:$D, MATCH($A69, 'UZ-normalized'!$A:$A, 0))-INDEX('UZ-normalized'!$E:$E, MATCH($A69, 'UZ-normalized'!$A:$A, 0))&gt;0, -(26*INDEX('UZ-normalized'!$D:$D, MATCH($A69, 'UZ-normalized'!$A:$A, 0))-INDEX('UZ-normalized'!$E:$E, MATCH($A69, 'UZ-normalized'!$A:$A, 0))), 0), 0)))</f>
        <v>-33</v>
      </c>
      <c r="AO69" s="6">
        <f>MIN(0, N69+(IFERROR(IF(27*INDEX('UA-normalized'!$D:$D, MATCH($A69, 'UA-normalized'!$A:$A, 0))-INDEX('UA-normalized'!$E:$E, MATCH($A69, 'UA-normalized'!$A:$A, 0))&gt;0, -(27*INDEX('UA-normalized'!$D:$D, MATCH($A69, 'UA-normalized'!$A:$A, 0))-INDEX('UA-normalized'!$E:$E, MATCH($A69, 'UA-normalized'!$A:$A, 0))), 0), 0))+(IFERROR(IF(27*INDEX('KZ-normalized'!$D:$D, MATCH($A69, 'KZ-normalized'!$A:$A, 0))-INDEX('KZ-normalized'!$E:$E, MATCH($A69, 'KZ-normalized'!$A:$A, 0))&gt;0, -(27*INDEX('KZ-normalized'!$D:$D, MATCH($A69, 'KZ-normalized'!$A:$A, 0))-INDEX('KZ-normalized'!$E:$E, MATCH($A69, 'KZ-normalized'!$A:$A, 0))), 0), 0))+(IFERROR(IF(27*INDEX('UZ-normalized'!$D:$D, MATCH($A69, 'UZ-normalized'!$A:$A, 0))-INDEX('UZ-normalized'!$E:$E, MATCH($A69, 'UZ-normalized'!$A:$A, 0))&gt;0, -(27*INDEX('UZ-normalized'!$D:$D, MATCH($A69, 'UZ-normalized'!$A:$A, 0))-INDEX('UZ-normalized'!$E:$E, MATCH($A69, 'UZ-normalized'!$A:$A, 0))), 0), 0)))</f>
        <v>-35</v>
      </c>
      <c r="AP69" s="6">
        <f>MIN(0, N69+(IFERROR(IF(28*INDEX('UA-normalized'!$D:$D, MATCH($A69, 'UA-normalized'!$A:$A, 0))-INDEX('UA-normalized'!$E:$E, MATCH($A69, 'UA-normalized'!$A:$A, 0))&gt;0, -(28*INDEX('UA-normalized'!$D:$D, MATCH($A69, 'UA-normalized'!$A:$A, 0))-INDEX('UA-normalized'!$E:$E, MATCH($A69, 'UA-normalized'!$A:$A, 0))), 0), 0))+(IFERROR(IF(28*INDEX('KZ-normalized'!$D:$D, MATCH($A69, 'KZ-normalized'!$A:$A, 0))-INDEX('KZ-normalized'!$E:$E, MATCH($A69, 'KZ-normalized'!$A:$A, 0))&gt;0, -(28*INDEX('KZ-normalized'!$D:$D, MATCH($A69, 'KZ-normalized'!$A:$A, 0))-INDEX('KZ-normalized'!$E:$E, MATCH($A69, 'KZ-normalized'!$A:$A, 0))), 0), 0))+(IFERROR(IF(28*INDEX('UZ-normalized'!$D:$D, MATCH($A69, 'UZ-normalized'!$A:$A, 0))-INDEX('UZ-normalized'!$E:$E, MATCH($A69, 'UZ-normalized'!$A:$A, 0))&gt;0, -(28*INDEX('UZ-normalized'!$D:$D, MATCH($A69, 'UZ-normalized'!$A:$A, 0))-INDEX('UZ-normalized'!$E:$E, MATCH($A69, 'UZ-normalized'!$A:$A, 0))), 0), 0)))</f>
        <v>-37</v>
      </c>
      <c r="AQ69" s="6">
        <f>MIN(0, N69+(IFERROR(IF(29*INDEX('UA-normalized'!$D:$D, MATCH($A69, 'UA-normalized'!$A:$A, 0))-INDEX('UA-normalized'!$E:$E, MATCH($A69, 'UA-normalized'!$A:$A, 0))&gt;0, -(29*INDEX('UA-normalized'!$D:$D, MATCH($A69, 'UA-normalized'!$A:$A, 0))-INDEX('UA-normalized'!$E:$E, MATCH($A69, 'UA-normalized'!$A:$A, 0))), 0), 0))+(IFERROR(IF(29*INDEX('KZ-normalized'!$D:$D, MATCH($A69, 'KZ-normalized'!$A:$A, 0))-INDEX('KZ-normalized'!$E:$E, MATCH($A69, 'KZ-normalized'!$A:$A, 0))&gt;0, -(29*INDEX('KZ-normalized'!$D:$D, MATCH($A69, 'KZ-normalized'!$A:$A, 0))-INDEX('KZ-normalized'!$E:$E, MATCH($A69, 'KZ-normalized'!$A:$A, 0))), 0), 0))+(IFERROR(IF(29*INDEX('UZ-normalized'!$D:$D, MATCH($A69, 'UZ-normalized'!$A:$A, 0))-INDEX('UZ-normalized'!$E:$E, MATCH($A69, 'UZ-normalized'!$A:$A, 0))&gt;0, -(29*INDEX('UZ-normalized'!$D:$D, MATCH($A69, 'UZ-normalized'!$A:$A, 0))-INDEX('UZ-normalized'!$E:$E, MATCH($A69, 'UZ-normalized'!$A:$A, 0))), 0), 0)))</f>
        <v>-39</v>
      </c>
      <c r="AR69" s="6">
        <f>MIN(0, N69+(IFERROR(IF(30*INDEX('UA-normalized'!$D:$D, MATCH($A69, 'UA-normalized'!$A:$A, 0))-INDEX('UA-normalized'!$E:$E, MATCH($A69, 'UA-normalized'!$A:$A, 0))&gt;0, -(30*INDEX('UA-normalized'!$D:$D, MATCH($A69, 'UA-normalized'!$A:$A, 0))-INDEX('UA-normalized'!$E:$E, MATCH($A69, 'UA-normalized'!$A:$A, 0))), 0), 0))+(IFERROR(IF(30*INDEX('KZ-normalized'!$D:$D, MATCH($A69, 'KZ-normalized'!$A:$A, 0))-INDEX('KZ-normalized'!$E:$E, MATCH($A69, 'KZ-normalized'!$A:$A, 0))&gt;0, -(30*INDEX('KZ-normalized'!$D:$D, MATCH($A69, 'KZ-normalized'!$A:$A, 0))-INDEX('KZ-normalized'!$E:$E, MATCH($A69, 'KZ-normalized'!$A:$A, 0))), 0), 0))+(IFERROR(IF(30*INDEX('UZ-normalized'!$D:$D, MATCH($A69, 'UZ-normalized'!$A:$A, 0))-INDEX('UZ-normalized'!$E:$E, MATCH($A69, 'UZ-normalized'!$A:$A, 0))&gt;0, -(30*INDEX('UZ-normalized'!$D:$D, MATCH($A69, 'UZ-normalized'!$A:$A, 0))-INDEX('UZ-normalized'!$E:$E, MATCH($A69, 'UZ-normalized'!$A:$A, 0))), 0), 0)))</f>
        <v>-41</v>
      </c>
    </row>
    <row r="70" spans="1:44" x14ac:dyDescent="0.25">
      <c r="A70" s="8" t="s">
        <v>189</v>
      </c>
      <c r="B70" s="8" t="s">
        <v>180</v>
      </c>
      <c r="C70" s="8" t="s">
        <v>181</v>
      </c>
      <c r="D70" s="8" t="s">
        <v>190</v>
      </c>
      <c r="E70">
        <v>3133</v>
      </c>
      <c r="G70">
        <v>-30</v>
      </c>
      <c r="N70">
        <f t="shared" si="1"/>
        <v>3103</v>
      </c>
      <c r="O70" s="6">
        <f>MIN(0, N70+(IFERROR(IF(1*INDEX('UA-normalized'!$D:$D, MATCH($A70, 'UA-normalized'!$A:$A, 0))-INDEX('UA-normalized'!$E:$E, MATCH($A70, 'UA-normalized'!$A:$A, 0))&gt;0, -(1*INDEX('UA-normalized'!$D:$D, MATCH($A70, 'UA-normalized'!$A:$A, 0))-INDEX('UA-normalized'!$E:$E, MATCH($A70, 'UA-normalized'!$A:$A, 0))), 0), 0))+(IFERROR(IF(1*INDEX('KZ-normalized'!$D:$D, MATCH($A70, 'KZ-normalized'!$A:$A, 0))-INDEX('KZ-normalized'!$E:$E, MATCH($A70, 'KZ-normalized'!$A:$A, 0))&gt;0, -(1*INDEX('KZ-normalized'!$D:$D, MATCH($A70, 'KZ-normalized'!$A:$A, 0))-INDEX('KZ-normalized'!$E:$E, MATCH($A70, 'KZ-normalized'!$A:$A, 0))), 0), 0))+(IFERROR(IF(1*INDEX('UZ-normalized'!$D:$D, MATCH($A70, 'UZ-normalized'!$A:$A, 0))-INDEX('UZ-normalized'!$E:$E, MATCH($A70, 'UZ-normalized'!$A:$A, 0))&gt;0, -(1*INDEX('UZ-normalized'!$D:$D, MATCH($A70, 'UZ-normalized'!$A:$A, 0))-INDEX('UZ-normalized'!$E:$E, MATCH($A70, 'UZ-normalized'!$A:$A, 0))), 0), 0)))</f>
        <v>0</v>
      </c>
      <c r="P70" s="6">
        <f>MIN(0, N70+(IFERROR(IF(2*INDEX('UA-normalized'!$D:$D, MATCH($A70, 'UA-normalized'!$A:$A, 0))-INDEX('UA-normalized'!$E:$E, MATCH($A70, 'UA-normalized'!$A:$A, 0))&gt;0, -(2*INDEX('UA-normalized'!$D:$D, MATCH($A70, 'UA-normalized'!$A:$A, 0))-INDEX('UA-normalized'!$E:$E, MATCH($A70, 'UA-normalized'!$A:$A, 0))), 0), 0))+(IFERROR(IF(2*INDEX('KZ-normalized'!$D:$D, MATCH($A70, 'KZ-normalized'!$A:$A, 0))-INDEX('KZ-normalized'!$E:$E, MATCH($A70, 'KZ-normalized'!$A:$A, 0))&gt;0, -(2*INDEX('KZ-normalized'!$D:$D, MATCH($A70, 'KZ-normalized'!$A:$A, 0))-INDEX('KZ-normalized'!$E:$E, MATCH($A70, 'KZ-normalized'!$A:$A, 0))), 0), 0))+(IFERROR(IF(2*INDEX('UZ-normalized'!$D:$D, MATCH($A70, 'UZ-normalized'!$A:$A, 0))-INDEX('UZ-normalized'!$E:$E, MATCH($A70, 'UZ-normalized'!$A:$A, 0))&gt;0, -(2*INDEX('UZ-normalized'!$D:$D, MATCH($A70, 'UZ-normalized'!$A:$A, 0))-INDEX('UZ-normalized'!$E:$E, MATCH($A70, 'UZ-normalized'!$A:$A, 0))), 0), 0)))</f>
        <v>0</v>
      </c>
      <c r="Q70" s="6">
        <f>MIN(0, N70+(IFERROR(IF(3*INDEX('UA-normalized'!$D:$D, MATCH($A70, 'UA-normalized'!$A:$A, 0))-INDEX('UA-normalized'!$E:$E, MATCH($A70, 'UA-normalized'!$A:$A, 0))&gt;0, -(3*INDEX('UA-normalized'!$D:$D, MATCH($A70, 'UA-normalized'!$A:$A, 0))-INDEX('UA-normalized'!$E:$E, MATCH($A70, 'UA-normalized'!$A:$A, 0))), 0), 0))+(IFERROR(IF(3*INDEX('KZ-normalized'!$D:$D, MATCH($A70, 'KZ-normalized'!$A:$A, 0))-INDEX('KZ-normalized'!$E:$E, MATCH($A70, 'KZ-normalized'!$A:$A, 0))&gt;0, -(3*INDEX('KZ-normalized'!$D:$D, MATCH($A70, 'KZ-normalized'!$A:$A, 0))-INDEX('KZ-normalized'!$E:$E, MATCH($A70, 'KZ-normalized'!$A:$A, 0))), 0), 0))+(IFERROR(IF(3*INDEX('UZ-normalized'!$D:$D, MATCH($A70, 'UZ-normalized'!$A:$A, 0))-INDEX('UZ-normalized'!$E:$E, MATCH($A70, 'UZ-normalized'!$A:$A, 0))&gt;0, -(3*INDEX('UZ-normalized'!$D:$D, MATCH($A70, 'UZ-normalized'!$A:$A, 0))-INDEX('UZ-normalized'!$E:$E, MATCH($A70, 'UZ-normalized'!$A:$A, 0))), 0), 0)))</f>
        <v>0</v>
      </c>
      <c r="R70" s="6">
        <f>MIN(0, N70+(IFERROR(IF(4*INDEX('UA-normalized'!$D:$D, MATCH($A70, 'UA-normalized'!$A:$A, 0))-INDEX('UA-normalized'!$E:$E, MATCH($A70, 'UA-normalized'!$A:$A, 0))&gt;0, -(4*INDEX('UA-normalized'!$D:$D, MATCH($A70, 'UA-normalized'!$A:$A, 0))-INDEX('UA-normalized'!$E:$E, MATCH($A70, 'UA-normalized'!$A:$A, 0))), 0), 0))+(IFERROR(IF(4*INDEX('KZ-normalized'!$D:$D, MATCH($A70, 'KZ-normalized'!$A:$A, 0))-INDEX('KZ-normalized'!$E:$E, MATCH($A70, 'KZ-normalized'!$A:$A, 0))&gt;0, -(4*INDEX('KZ-normalized'!$D:$D, MATCH($A70, 'KZ-normalized'!$A:$A, 0))-INDEX('KZ-normalized'!$E:$E, MATCH($A70, 'KZ-normalized'!$A:$A, 0))), 0), 0))+(IFERROR(IF(4*INDEX('UZ-normalized'!$D:$D, MATCH($A70, 'UZ-normalized'!$A:$A, 0))-INDEX('UZ-normalized'!$E:$E, MATCH($A70, 'UZ-normalized'!$A:$A, 0))&gt;0, -(4*INDEX('UZ-normalized'!$D:$D, MATCH($A70, 'UZ-normalized'!$A:$A, 0))-INDEX('UZ-normalized'!$E:$E, MATCH($A70, 'UZ-normalized'!$A:$A, 0))), 0), 0)))</f>
        <v>0</v>
      </c>
      <c r="S70" s="6">
        <f>MIN(0, N70+(IFERROR(IF(5*INDEX('UA-normalized'!$D:$D, MATCH($A70, 'UA-normalized'!$A:$A, 0))-INDEX('UA-normalized'!$E:$E, MATCH($A70, 'UA-normalized'!$A:$A, 0))&gt;0, -(5*INDEX('UA-normalized'!$D:$D, MATCH($A70, 'UA-normalized'!$A:$A, 0))-INDEX('UA-normalized'!$E:$E, MATCH($A70, 'UA-normalized'!$A:$A, 0))), 0), 0))+(IFERROR(IF(5*INDEX('KZ-normalized'!$D:$D, MATCH($A70, 'KZ-normalized'!$A:$A, 0))-INDEX('KZ-normalized'!$E:$E, MATCH($A70, 'KZ-normalized'!$A:$A, 0))&gt;0, -(5*INDEX('KZ-normalized'!$D:$D, MATCH($A70, 'KZ-normalized'!$A:$A, 0))-INDEX('KZ-normalized'!$E:$E, MATCH($A70, 'KZ-normalized'!$A:$A, 0))), 0), 0))+(IFERROR(IF(5*INDEX('UZ-normalized'!$D:$D, MATCH($A70, 'UZ-normalized'!$A:$A, 0))-INDEX('UZ-normalized'!$E:$E, MATCH($A70, 'UZ-normalized'!$A:$A, 0))&gt;0, -(5*INDEX('UZ-normalized'!$D:$D, MATCH($A70, 'UZ-normalized'!$A:$A, 0))-INDEX('UZ-normalized'!$E:$E, MATCH($A70, 'UZ-normalized'!$A:$A, 0))), 0), 0)))</f>
        <v>0</v>
      </c>
      <c r="T70" s="6">
        <f>MIN(0, N70+(IFERROR(IF(6*INDEX('UA-normalized'!$D:$D, MATCH($A70, 'UA-normalized'!$A:$A, 0))-INDEX('UA-normalized'!$E:$E, MATCH($A70, 'UA-normalized'!$A:$A, 0))&gt;0, -(6*INDEX('UA-normalized'!$D:$D, MATCH($A70, 'UA-normalized'!$A:$A, 0))-INDEX('UA-normalized'!$E:$E, MATCH($A70, 'UA-normalized'!$A:$A, 0))), 0), 0))+(IFERROR(IF(6*INDEX('KZ-normalized'!$D:$D, MATCH($A70, 'KZ-normalized'!$A:$A, 0))-INDEX('KZ-normalized'!$E:$E, MATCH($A70, 'KZ-normalized'!$A:$A, 0))&gt;0, -(6*INDEX('KZ-normalized'!$D:$D, MATCH($A70, 'KZ-normalized'!$A:$A, 0))-INDEX('KZ-normalized'!$E:$E, MATCH($A70, 'KZ-normalized'!$A:$A, 0))), 0), 0))+(IFERROR(IF(6*INDEX('UZ-normalized'!$D:$D, MATCH($A70, 'UZ-normalized'!$A:$A, 0))-INDEX('UZ-normalized'!$E:$E, MATCH($A70, 'UZ-normalized'!$A:$A, 0))&gt;0, -(6*INDEX('UZ-normalized'!$D:$D, MATCH($A70, 'UZ-normalized'!$A:$A, 0))-INDEX('UZ-normalized'!$E:$E, MATCH($A70, 'UZ-normalized'!$A:$A, 0))), 0), 0)))</f>
        <v>0</v>
      </c>
      <c r="U70" s="6">
        <f>MIN(0, N70+(IFERROR(IF(7*INDEX('UA-normalized'!$D:$D, MATCH($A70, 'UA-normalized'!$A:$A, 0))-INDEX('UA-normalized'!$E:$E, MATCH($A70, 'UA-normalized'!$A:$A, 0))&gt;0, -(7*INDEX('UA-normalized'!$D:$D, MATCH($A70, 'UA-normalized'!$A:$A, 0))-INDEX('UA-normalized'!$E:$E, MATCH($A70, 'UA-normalized'!$A:$A, 0))), 0), 0))+(IFERROR(IF(7*INDEX('KZ-normalized'!$D:$D, MATCH($A70, 'KZ-normalized'!$A:$A, 0))-INDEX('KZ-normalized'!$E:$E, MATCH($A70, 'KZ-normalized'!$A:$A, 0))&gt;0, -(7*INDEX('KZ-normalized'!$D:$D, MATCH($A70, 'KZ-normalized'!$A:$A, 0))-INDEX('KZ-normalized'!$E:$E, MATCH($A70, 'KZ-normalized'!$A:$A, 0))), 0), 0))+(IFERROR(IF(7*INDEX('UZ-normalized'!$D:$D, MATCH($A70, 'UZ-normalized'!$A:$A, 0))-INDEX('UZ-normalized'!$E:$E, MATCH($A70, 'UZ-normalized'!$A:$A, 0))&gt;0, -(7*INDEX('UZ-normalized'!$D:$D, MATCH($A70, 'UZ-normalized'!$A:$A, 0))-INDEX('UZ-normalized'!$E:$E, MATCH($A70, 'UZ-normalized'!$A:$A, 0))), 0), 0)))</f>
        <v>0</v>
      </c>
      <c r="V70" s="6">
        <f>MIN(0, N70+(IFERROR(IF(8*INDEX('UA-normalized'!$D:$D, MATCH($A70, 'UA-normalized'!$A:$A, 0))-INDEX('UA-normalized'!$E:$E, MATCH($A70, 'UA-normalized'!$A:$A, 0))&gt;0, -(8*INDEX('UA-normalized'!$D:$D, MATCH($A70, 'UA-normalized'!$A:$A, 0))-INDEX('UA-normalized'!$E:$E, MATCH($A70, 'UA-normalized'!$A:$A, 0))), 0), 0))+(IFERROR(IF(8*INDEX('KZ-normalized'!$D:$D, MATCH($A70, 'KZ-normalized'!$A:$A, 0))-INDEX('KZ-normalized'!$E:$E, MATCH($A70, 'KZ-normalized'!$A:$A, 0))&gt;0, -(8*INDEX('KZ-normalized'!$D:$D, MATCH($A70, 'KZ-normalized'!$A:$A, 0))-INDEX('KZ-normalized'!$E:$E, MATCH($A70, 'KZ-normalized'!$A:$A, 0))), 0), 0))+(IFERROR(IF(8*INDEX('UZ-normalized'!$D:$D, MATCH($A70, 'UZ-normalized'!$A:$A, 0))-INDEX('UZ-normalized'!$E:$E, MATCH($A70, 'UZ-normalized'!$A:$A, 0))&gt;0, -(8*INDEX('UZ-normalized'!$D:$D, MATCH($A70, 'UZ-normalized'!$A:$A, 0))-INDEX('UZ-normalized'!$E:$E, MATCH($A70, 'UZ-normalized'!$A:$A, 0))), 0), 0)))</f>
        <v>0</v>
      </c>
      <c r="W70" s="6">
        <f>MIN(0, N70+(IFERROR(IF(9*INDEX('UA-normalized'!$D:$D, MATCH($A70, 'UA-normalized'!$A:$A, 0))-INDEX('UA-normalized'!$E:$E, MATCH($A70, 'UA-normalized'!$A:$A, 0))&gt;0, -(9*INDEX('UA-normalized'!$D:$D, MATCH($A70, 'UA-normalized'!$A:$A, 0))-INDEX('UA-normalized'!$E:$E, MATCH($A70, 'UA-normalized'!$A:$A, 0))), 0), 0))+(IFERROR(IF(9*INDEX('KZ-normalized'!$D:$D, MATCH($A70, 'KZ-normalized'!$A:$A, 0))-INDEX('KZ-normalized'!$E:$E, MATCH($A70, 'KZ-normalized'!$A:$A, 0))&gt;0, -(9*INDEX('KZ-normalized'!$D:$D, MATCH($A70, 'KZ-normalized'!$A:$A, 0))-INDEX('KZ-normalized'!$E:$E, MATCH($A70, 'KZ-normalized'!$A:$A, 0))), 0), 0))+(IFERROR(IF(9*INDEX('UZ-normalized'!$D:$D, MATCH($A70, 'UZ-normalized'!$A:$A, 0))-INDEX('UZ-normalized'!$E:$E, MATCH($A70, 'UZ-normalized'!$A:$A, 0))&gt;0, -(9*INDEX('UZ-normalized'!$D:$D, MATCH($A70, 'UZ-normalized'!$A:$A, 0))-INDEX('UZ-normalized'!$E:$E, MATCH($A70, 'UZ-normalized'!$A:$A, 0))), 0), 0)))</f>
        <v>0</v>
      </c>
      <c r="X70" s="6">
        <f>MIN(0, N70+(IFERROR(IF(10*INDEX('UA-normalized'!$D:$D, MATCH($A70, 'UA-normalized'!$A:$A, 0))-INDEX('UA-normalized'!$E:$E, MATCH($A70, 'UA-normalized'!$A:$A, 0))&gt;0, -(10*INDEX('UA-normalized'!$D:$D, MATCH($A70, 'UA-normalized'!$A:$A, 0))-INDEX('UA-normalized'!$E:$E, MATCH($A70, 'UA-normalized'!$A:$A, 0))), 0), 0))+(IFERROR(IF(10*INDEX('KZ-normalized'!$D:$D, MATCH($A70, 'KZ-normalized'!$A:$A, 0))-INDEX('KZ-normalized'!$E:$E, MATCH($A70, 'KZ-normalized'!$A:$A, 0))&gt;0, -(10*INDEX('KZ-normalized'!$D:$D, MATCH($A70, 'KZ-normalized'!$A:$A, 0))-INDEX('KZ-normalized'!$E:$E, MATCH($A70, 'KZ-normalized'!$A:$A, 0))), 0), 0))+(IFERROR(IF(10*INDEX('UZ-normalized'!$D:$D, MATCH($A70, 'UZ-normalized'!$A:$A, 0))-INDEX('UZ-normalized'!$E:$E, MATCH($A70, 'UZ-normalized'!$A:$A, 0))&gt;0, -(10*INDEX('UZ-normalized'!$D:$D, MATCH($A70, 'UZ-normalized'!$A:$A, 0))-INDEX('UZ-normalized'!$E:$E, MATCH($A70, 'UZ-normalized'!$A:$A, 0))), 0), 0)))</f>
        <v>0</v>
      </c>
      <c r="Y70" s="6">
        <f>MIN(0, N70+(IFERROR(IF(11*INDEX('UA-normalized'!$D:$D, MATCH($A70, 'UA-normalized'!$A:$A, 0))-INDEX('UA-normalized'!$E:$E, MATCH($A70, 'UA-normalized'!$A:$A, 0))&gt;0, -(11*INDEX('UA-normalized'!$D:$D, MATCH($A70, 'UA-normalized'!$A:$A, 0))-INDEX('UA-normalized'!$E:$E, MATCH($A70, 'UA-normalized'!$A:$A, 0))), 0), 0))+(IFERROR(IF(11*INDEX('KZ-normalized'!$D:$D, MATCH($A70, 'KZ-normalized'!$A:$A, 0))-INDEX('KZ-normalized'!$E:$E, MATCH($A70, 'KZ-normalized'!$A:$A, 0))&gt;0, -(11*INDEX('KZ-normalized'!$D:$D, MATCH($A70, 'KZ-normalized'!$A:$A, 0))-INDEX('KZ-normalized'!$E:$E, MATCH($A70, 'KZ-normalized'!$A:$A, 0))), 0), 0))+(IFERROR(IF(11*INDEX('UZ-normalized'!$D:$D, MATCH($A70, 'UZ-normalized'!$A:$A, 0))-INDEX('UZ-normalized'!$E:$E, MATCH($A70, 'UZ-normalized'!$A:$A, 0))&gt;0, -(11*INDEX('UZ-normalized'!$D:$D, MATCH($A70, 'UZ-normalized'!$A:$A, 0))-INDEX('UZ-normalized'!$E:$E, MATCH($A70, 'UZ-normalized'!$A:$A, 0))), 0), 0)))</f>
        <v>0</v>
      </c>
      <c r="Z70" s="6">
        <f>MIN(0, N70+(IFERROR(IF(12*INDEX('UA-normalized'!$D:$D, MATCH($A70, 'UA-normalized'!$A:$A, 0))-INDEX('UA-normalized'!$E:$E, MATCH($A70, 'UA-normalized'!$A:$A, 0))&gt;0, -(12*INDEX('UA-normalized'!$D:$D, MATCH($A70, 'UA-normalized'!$A:$A, 0))-INDEX('UA-normalized'!$E:$E, MATCH($A70, 'UA-normalized'!$A:$A, 0))), 0), 0))+(IFERROR(IF(12*INDEX('KZ-normalized'!$D:$D, MATCH($A70, 'KZ-normalized'!$A:$A, 0))-INDEX('KZ-normalized'!$E:$E, MATCH($A70, 'KZ-normalized'!$A:$A, 0))&gt;0, -(12*INDEX('KZ-normalized'!$D:$D, MATCH($A70, 'KZ-normalized'!$A:$A, 0))-INDEX('KZ-normalized'!$E:$E, MATCH($A70, 'KZ-normalized'!$A:$A, 0))), 0), 0))+(IFERROR(IF(12*INDEX('UZ-normalized'!$D:$D, MATCH($A70, 'UZ-normalized'!$A:$A, 0))-INDEX('UZ-normalized'!$E:$E, MATCH($A70, 'UZ-normalized'!$A:$A, 0))&gt;0, -(12*INDEX('UZ-normalized'!$D:$D, MATCH($A70, 'UZ-normalized'!$A:$A, 0))-INDEX('UZ-normalized'!$E:$E, MATCH($A70, 'UZ-normalized'!$A:$A, 0))), 0), 0)))</f>
        <v>0</v>
      </c>
      <c r="AA70" s="6">
        <f>MIN(0, N70+(IFERROR(IF(13*INDEX('UA-normalized'!$D:$D, MATCH($A70, 'UA-normalized'!$A:$A, 0))-INDEX('UA-normalized'!$E:$E, MATCH($A70, 'UA-normalized'!$A:$A, 0))&gt;0, -(13*INDEX('UA-normalized'!$D:$D, MATCH($A70, 'UA-normalized'!$A:$A, 0))-INDEX('UA-normalized'!$E:$E, MATCH($A70, 'UA-normalized'!$A:$A, 0))), 0), 0))+(IFERROR(IF(13*INDEX('KZ-normalized'!$D:$D, MATCH($A70, 'KZ-normalized'!$A:$A, 0))-INDEX('KZ-normalized'!$E:$E, MATCH($A70, 'KZ-normalized'!$A:$A, 0))&gt;0, -(13*INDEX('KZ-normalized'!$D:$D, MATCH($A70, 'KZ-normalized'!$A:$A, 0))-INDEX('KZ-normalized'!$E:$E, MATCH($A70, 'KZ-normalized'!$A:$A, 0))), 0), 0))+(IFERROR(IF(13*INDEX('UZ-normalized'!$D:$D, MATCH($A70, 'UZ-normalized'!$A:$A, 0))-INDEX('UZ-normalized'!$E:$E, MATCH($A70, 'UZ-normalized'!$A:$A, 0))&gt;0, -(13*INDEX('UZ-normalized'!$D:$D, MATCH($A70, 'UZ-normalized'!$A:$A, 0))-INDEX('UZ-normalized'!$E:$E, MATCH($A70, 'UZ-normalized'!$A:$A, 0))), 0), 0)))</f>
        <v>0</v>
      </c>
      <c r="AB70" s="6">
        <f>MIN(0, N70+(IFERROR(IF(14*INDEX('UA-normalized'!$D:$D, MATCH($A70, 'UA-normalized'!$A:$A, 0))-INDEX('UA-normalized'!$E:$E, MATCH($A70, 'UA-normalized'!$A:$A, 0))&gt;0, -(14*INDEX('UA-normalized'!$D:$D, MATCH($A70, 'UA-normalized'!$A:$A, 0))-INDEX('UA-normalized'!$E:$E, MATCH($A70, 'UA-normalized'!$A:$A, 0))), 0), 0))+(IFERROR(IF(14*INDEX('KZ-normalized'!$D:$D, MATCH($A70, 'KZ-normalized'!$A:$A, 0))-INDEX('KZ-normalized'!$E:$E, MATCH($A70, 'KZ-normalized'!$A:$A, 0))&gt;0, -(14*INDEX('KZ-normalized'!$D:$D, MATCH($A70, 'KZ-normalized'!$A:$A, 0))-INDEX('KZ-normalized'!$E:$E, MATCH($A70, 'KZ-normalized'!$A:$A, 0))), 0), 0))+(IFERROR(IF(14*INDEX('UZ-normalized'!$D:$D, MATCH($A70, 'UZ-normalized'!$A:$A, 0))-INDEX('UZ-normalized'!$E:$E, MATCH($A70, 'UZ-normalized'!$A:$A, 0))&gt;0, -(14*INDEX('UZ-normalized'!$D:$D, MATCH($A70, 'UZ-normalized'!$A:$A, 0))-INDEX('UZ-normalized'!$E:$E, MATCH($A70, 'UZ-normalized'!$A:$A, 0))), 0), 0)))</f>
        <v>0</v>
      </c>
      <c r="AC70" s="6">
        <f>MIN(0, N70+(IFERROR(IF(15*INDEX('UA-normalized'!$D:$D, MATCH($A70, 'UA-normalized'!$A:$A, 0))-INDEX('UA-normalized'!$E:$E, MATCH($A70, 'UA-normalized'!$A:$A, 0))&gt;0, -(15*INDEX('UA-normalized'!$D:$D, MATCH($A70, 'UA-normalized'!$A:$A, 0))-INDEX('UA-normalized'!$E:$E, MATCH($A70, 'UA-normalized'!$A:$A, 0))), 0), 0))+(IFERROR(IF(15*INDEX('KZ-normalized'!$D:$D, MATCH($A70, 'KZ-normalized'!$A:$A, 0))-INDEX('KZ-normalized'!$E:$E, MATCH($A70, 'KZ-normalized'!$A:$A, 0))&gt;0, -(15*INDEX('KZ-normalized'!$D:$D, MATCH($A70, 'KZ-normalized'!$A:$A, 0))-INDEX('KZ-normalized'!$E:$E, MATCH($A70, 'KZ-normalized'!$A:$A, 0))), 0), 0))+(IFERROR(IF(15*INDEX('UZ-normalized'!$D:$D, MATCH($A70, 'UZ-normalized'!$A:$A, 0))-INDEX('UZ-normalized'!$E:$E, MATCH($A70, 'UZ-normalized'!$A:$A, 0))&gt;0, -(15*INDEX('UZ-normalized'!$D:$D, MATCH($A70, 'UZ-normalized'!$A:$A, 0))-INDEX('UZ-normalized'!$E:$E, MATCH($A70, 'UZ-normalized'!$A:$A, 0))), 0), 0)))</f>
        <v>0</v>
      </c>
      <c r="AD70" s="6">
        <f>MIN(0, N70+(IFERROR(IF(16*INDEX('UA-normalized'!$D:$D, MATCH($A70, 'UA-normalized'!$A:$A, 0))-INDEX('UA-normalized'!$E:$E, MATCH($A70, 'UA-normalized'!$A:$A, 0))&gt;0, -(16*INDEX('UA-normalized'!$D:$D, MATCH($A70, 'UA-normalized'!$A:$A, 0))-INDEX('UA-normalized'!$E:$E, MATCH($A70, 'UA-normalized'!$A:$A, 0))), 0), 0))+(IFERROR(IF(16*INDEX('KZ-normalized'!$D:$D, MATCH($A70, 'KZ-normalized'!$A:$A, 0))-INDEX('KZ-normalized'!$E:$E, MATCH($A70, 'KZ-normalized'!$A:$A, 0))&gt;0, -(16*INDEX('KZ-normalized'!$D:$D, MATCH($A70, 'KZ-normalized'!$A:$A, 0))-INDEX('KZ-normalized'!$E:$E, MATCH($A70, 'KZ-normalized'!$A:$A, 0))), 0), 0))+(IFERROR(IF(16*INDEX('UZ-normalized'!$D:$D, MATCH($A70, 'UZ-normalized'!$A:$A, 0))-INDEX('UZ-normalized'!$E:$E, MATCH($A70, 'UZ-normalized'!$A:$A, 0))&gt;0, -(16*INDEX('UZ-normalized'!$D:$D, MATCH($A70, 'UZ-normalized'!$A:$A, 0))-INDEX('UZ-normalized'!$E:$E, MATCH($A70, 'UZ-normalized'!$A:$A, 0))), 0), 0)))</f>
        <v>0</v>
      </c>
      <c r="AE70" s="6">
        <f>MIN(0, N70+(IFERROR(IF(17*INDEX('UA-normalized'!$D:$D, MATCH($A70, 'UA-normalized'!$A:$A, 0))-INDEX('UA-normalized'!$E:$E, MATCH($A70, 'UA-normalized'!$A:$A, 0))&gt;0, -(17*INDEX('UA-normalized'!$D:$D, MATCH($A70, 'UA-normalized'!$A:$A, 0))-INDEX('UA-normalized'!$E:$E, MATCH($A70, 'UA-normalized'!$A:$A, 0))), 0), 0))+(IFERROR(IF(17*INDEX('KZ-normalized'!$D:$D, MATCH($A70, 'KZ-normalized'!$A:$A, 0))-INDEX('KZ-normalized'!$E:$E, MATCH($A70, 'KZ-normalized'!$A:$A, 0))&gt;0, -(17*INDEX('KZ-normalized'!$D:$D, MATCH($A70, 'KZ-normalized'!$A:$A, 0))-INDEX('KZ-normalized'!$E:$E, MATCH($A70, 'KZ-normalized'!$A:$A, 0))), 0), 0))+(IFERROR(IF(17*INDEX('UZ-normalized'!$D:$D, MATCH($A70, 'UZ-normalized'!$A:$A, 0))-INDEX('UZ-normalized'!$E:$E, MATCH($A70, 'UZ-normalized'!$A:$A, 0))&gt;0, -(17*INDEX('UZ-normalized'!$D:$D, MATCH($A70, 'UZ-normalized'!$A:$A, 0))-INDEX('UZ-normalized'!$E:$E, MATCH($A70, 'UZ-normalized'!$A:$A, 0))), 0), 0)))</f>
        <v>0</v>
      </c>
      <c r="AF70" s="6">
        <f>MIN(0, N70+(IFERROR(IF(18*INDEX('UA-normalized'!$D:$D, MATCH($A70, 'UA-normalized'!$A:$A, 0))-INDEX('UA-normalized'!$E:$E, MATCH($A70, 'UA-normalized'!$A:$A, 0))&gt;0, -(18*INDEX('UA-normalized'!$D:$D, MATCH($A70, 'UA-normalized'!$A:$A, 0))-INDEX('UA-normalized'!$E:$E, MATCH($A70, 'UA-normalized'!$A:$A, 0))), 0), 0))+(IFERROR(IF(18*INDEX('KZ-normalized'!$D:$D, MATCH($A70, 'KZ-normalized'!$A:$A, 0))-INDEX('KZ-normalized'!$E:$E, MATCH($A70, 'KZ-normalized'!$A:$A, 0))&gt;0, -(18*INDEX('KZ-normalized'!$D:$D, MATCH($A70, 'KZ-normalized'!$A:$A, 0))-INDEX('KZ-normalized'!$E:$E, MATCH($A70, 'KZ-normalized'!$A:$A, 0))), 0), 0))+(IFERROR(IF(18*INDEX('UZ-normalized'!$D:$D, MATCH($A70, 'UZ-normalized'!$A:$A, 0))-INDEX('UZ-normalized'!$E:$E, MATCH($A70, 'UZ-normalized'!$A:$A, 0))&gt;0, -(18*INDEX('UZ-normalized'!$D:$D, MATCH($A70, 'UZ-normalized'!$A:$A, 0))-INDEX('UZ-normalized'!$E:$E, MATCH($A70, 'UZ-normalized'!$A:$A, 0))), 0), 0)))</f>
        <v>0</v>
      </c>
      <c r="AG70" s="6">
        <f>MIN(0, N70+(IFERROR(IF(19*INDEX('UA-normalized'!$D:$D, MATCH($A70, 'UA-normalized'!$A:$A, 0))-INDEX('UA-normalized'!$E:$E, MATCH($A70, 'UA-normalized'!$A:$A, 0))&gt;0, -(19*INDEX('UA-normalized'!$D:$D, MATCH($A70, 'UA-normalized'!$A:$A, 0))-INDEX('UA-normalized'!$E:$E, MATCH($A70, 'UA-normalized'!$A:$A, 0))), 0), 0))+(IFERROR(IF(19*INDEX('KZ-normalized'!$D:$D, MATCH($A70, 'KZ-normalized'!$A:$A, 0))-INDEX('KZ-normalized'!$E:$E, MATCH($A70, 'KZ-normalized'!$A:$A, 0))&gt;0, -(19*INDEX('KZ-normalized'!$D:$D, MATCH($A70, 'KZ-normalized'!$A:$A, 0))-INDEX('KZ-normalized'!$E:$E, MATCH($A70, 'KZ-normalized'!$A:$A, 0))), 0), 0))+(IFERROR(IF(19*INDEX('UZ-normalized'!$D:$D, MATCH($A70, 'UZ-normalized'!$A:$A, 0))-INDEX('UZ-normalized'!$E:$E, MATCH($A70, 'UZ-normalized'!$A:$A, 0))&gt;0, -(19*INDEX('UZ-normalized'!$D:$D, MATCH($A70, 'UZ-normalized'!$A:$A, 0))-INDEX('UZ-normalized'!$E:$E, MATCH($A70, 'UZ-normalized'!$A:$A, 0))), 0), 0)))</f>
        <v>-180</v>
      </c>
      <c r="AH70" s="6">
        <f>MIN(0, N70+(IFERROR(IF(20*INDEX('UA-normalized'!$D:$D, MATCH($A70, 'UA-normalized'!$A:$A, 0))-INDEX('UA-normalized'!$E:$E, MATCH($A70, 'UA-normalized'!$A:$A, 0))&gt;0, -(20*INDEX('UA-normalized'!$D:$D, MATCH($A70, 'UA-normalized'!$A:$A, 0))-INDEX('UA-normalized'!$E:$E, MATCH($A70, 'UA-normalized'!$A:$A, 0))), 0), 0))+(IFERROR(IF(20*INDEX('KZ-normalized'!$D:$D, MATCH($A70, 'KZ-normalized'!$A:$A, 0))-INDEX('KZ-normalized'!$E:$E, MATCH($A70, 'KZ-normalized'!$A:$A, 0))&gt;0, -(20*INDEX('KZ-normalized'!$D:$D, MATCH($A70, 'KZ-normalized'!$A:$A, 0))-INDEX('KZ-normalized'!$E:$E, MATCH($A70, 'KZ-normalized'!$A:$A, 0))), 0), 0))+(IFERROR(IF(20*INDEX('UZ-normalized'!$D:$D, MATCH($A70, 'UZ-normalized'!$A:$A, 0))-INDEX('UZ-normalized'!$E:$E, MATCH($A70, 'UZ-normalized'!$A:$A, 0))&gt;0, -(20*INDEX('UZ-normalized'!$D:$D, MATCH($A70, 'UZ-normalized'!$A:$A, 0))-INDEX('UZ-normalized'!$E:$E, MATCH($A70, 'UZ-normalized'!$A:$A, 0))), 0), 0)))</f>
        <v>-406</v>
      </c>
      <c r="AI70" s="6">
        <f>MIN(0, N70+(IFERROR(IF(21*INDEX('UA-normalized'!$D:$D, MATCH($A70, 'UA-normalized'!$A:$A, 0))-INDEX('UA-normalized'!$E:$E, MATCH($A70, 'UA-normalized'!$A:$A, 0))&gt;0, -(21*INDEX('UA-normalized'!$D:$D, MATCH($A70, 'UA-normalized'!$A:$A, 0))-INDEX('UA-normalized'!$E:$E, MATCH($A70, 'UA-normalized'!$A:$A, 0))), 0), 0))+(IFERROR(IF(21*INDEX('KZ-normalized'!$D:$D, MATCH($A70, 'KZ-normalized'!$A:$A, 0))-INDEX('KZ-normalized'!$E:$E, MATCH($A70, 'KZ-normalized'!$A:$A, 0))&gt;0, -(21*INDEX('KZ-normalized'!$D:$D, MATCH($A70, 'KZ-normalized'!$A:$A, 0))-INDEX('KZ-normalized'!$E:$E, MATCH($A70, 'KZ-normalized'!$A:$A, 0))), 0), 0))+(IFERROR(IF(21*INDEX('UZ-normalized'!$D:$D, MATCH($A70, 'UZ-normalized'!$A:$A, 0))-INDEX('UZ-normalized'!$E:$E, MATCH($A70, 'UZ-normalized'!$A:$A, 0))&gt;0, -(21*INDEX('UZ-normalized'!$D:$D, MATCH($A70, 'UZ-normalized'!$A:$A, 0))-INDEX('UZ-normalized'!$E:$E, MATCH($A70, 'UZ-normalized'!$A:$A, 0))), 0), 0)))</f>
        <v>-632</v>
      </c>
      <c r="AJ70" s="6">
        <f>MIN(0, N70+(IFERROR(IF(22*INDEX('UA-normalized'!$D:$D, MATCH($A70, 'UA-normalized'!$A:$A, 0))-INDEX('UA-normalized'!$E:$E, MATCH($A70, 'UA-normalized'!$A:$A, 0))&gt;0, -(22*INDEX('UA-normalized'!$D:$D, MATCH($A70, 'UA-normalized'!$A:$A, 0))-INDEX('UA-normalized'!$E:$E, MATCH($A70, 'UA-normalized'!$A:$A, 0))), 0), 0))+(IFERROR(IF(22*INDEX('KZ-normalized'!$D:$D, MATCH($A70, 'KZ-normalized'!$A:$A, 0))-INDEX('KZ-normalized'!$E:$E, MATCH($A70, 'KZ-normalized'!$A:$A, 0))&gt;0, -(22*INDEX('KZ-normalized'!$D:$D, MATCH($A70, 'KZ-normalized'!$A:$A, 0))-INDEX('KZ-normalized'!$E:$E, MATCH($A70, 'KZ-normalized'!$A:$A, 0))), 0), 0))+(IFERROR(IF(22*INDEX('UZ-normalized'!$D:$D, MATCH($A70, 'UZ-normalized'!$A:$A, 0))-INDEX('UZ-normalized'!$E:$E, MATCH($A70, 'UZ-normalized'!$A:$A, 0))&gt;0, -(22*INDEX('UZ-normalized'!$D:$D, MATCH($A70, 'UZ-normalized'!$A:$A, 0))-INDEX('UZ-normalized'!$E:$E, MATCH($A70, 'UZ-normalized'!$A:$A, 0))), 0), 0)))</f>
        <v>-858</v>
      </c>
      <c r="AK70" s="6">
        <f>MIN(0, N70+(IFERROR(IF(23*INDEX('UA-normalized'!$D:$D, MATCH($A70, 'UA-normalized'!$A:$A, 0))-INDEX('UA-normalized'!$E:$E, MATCH($A70, 'UA-normalized'!$A:$A, 0))&gt;0, -(23*INDEX('UA-normalized'!$D:$D, MATCH($A70, 'UA-normalized'!$A:$A, 0))-INDEX('UA-normalized'!$E:$E, MATCH($A70, 'UA-normalized'!$A:$A, 0))), 0), 0))+(IFERROR(IF(23*INDEX('KZ-normalized'!$D:$D, MATCH($A70, 'KZ-normalized'!$A:$A, 0))-INDEX('KZ-normalized'!$E:$E, MATCH($A70, 'KZ-normalized'!$A:$A, 0))&gt;0, -(23*INDEX('KZ-normalized'!$D:$D, MATCH($A70, 'KZ-normalized'!$A:$A, 0))-INDEX('KZ-normalized'!$E:$E, MATCH($A70, 'KZ-normalized'!$A:$A, 0))), 0), 0))+(IFERROR(IF(23*INDEX('UZ-normalized'!$D:$D, MATCH($A70, 'UZ-normalized'!$A:$A, 0))-INDEX('UZ-normalized'!$E:$E, MATCH($A70, 'UZ-normalized'!$A:$A, 0))&gt;0, -(23*INDEX('UZ-normalized'!$D:$D, MATCH($A70, 'UZ-normalized'!$A:$A, 0))-INDEX('UZ-normalized'!$E:$E, MATCH($A70, 'UZ-normalized'!$A:$A, 0))), 0), 0)))</f>
        <v>-1084</v>
      </c>
      <c r="AL70" s="6">
        <f>MIN(0, N70+(IFERROR(IF(24*INDEX('UA-normalized'!$D:$D, MATCH($A70, 'UA-normalized'!$A:$A, 0))-INDEX('UA-normalized'!$E:$E, MATCH($A70, 'UA-normalized'!$A:$A, 0))&gt;0, -(24*INDEX('UA-normalized'!$D:$D, MATCH($A70, 'UA-normalized'!$A:$A, 0))-INDEX('UA-normalized'!$E:$E, MATCH($A70, 'UA-normalized'!$A:$A, 0))), 0), 0))+(IFERROR(IF(24*INDEX('KZ-normalized'!$D:$D, MATCH($A70, 'KZ-normalized'!$A:$A, 0))-INDEX('KZ-normalized'!$E:$E, MATCH($A70, 'KZ-normalized'!$A:$A, 0))&gt;0, -(24*INDEX('KZ-normalized'!$D:$D, MATCH($A70, 'KZ-normalized'!$A:$A, 0))-INDEX('KZ-normalized'!$E:$E, MATCH($A70, 'KZ-normalized'!$A:$A, 0))), 0), 0))+(IFERROR(IF(24*INDEX('UZ-normalized'!$D:$D, MATCH($A70, 'UZ-normalized'!$A:$A, 0))-INDEX('UZ-normalized'!$E:$E, MATCH($A70, 'UZ-normalized'!$A:$A, 0))&gt;0, -(24*INDEX('UZ-normalized'!$D:$D, MATCH($A70, 'UZ-normalized'!$A:$A, 0))-INDEX('UZ-normalized'!$E:$E, MATCH($A70, 'UZ-normalized'!$A:$A, 0))), 0), 0)))</f>
        <v>-1310</v>
      </c>
      <c r="AM70" s="6">
        <f>MIN(0, N70+(IFERROR(IF(25*INDEX('UA-normalized'!$D:$D, MATCH($A70, 'UA-normalized'!$A:$A, 0))-INDEX('UA-normalized'!$E:$E, MATCH($A70, 'UA-normalized'!$A:$A, 0))&gt;0, -(25*INDEX('UA-normalized'!$D:$D, MATCH($A70, 'UA-normalized'!$A:$A, 0))-INDEX('UA-normalized'!$E:$E, MATCH($A70, 'UA-normalized'!$A:$A, 0))), 0), 0))+(IFERROR(IF(25*INDEX('KZ-normalized'!$D:$D, MATCH($A70, 'KZ-normalized'!$A:$A, 0))-INDEX('KZ-normalized'!$E:$E, MATCH($A70, 'KZ-normalized'!$A:$A, 0))&gt;0, -(25*INDEX('KZ-normalized'!$D:$D, MATCH($A70, 'KZ-normalized'!$A:$A, 0))-INDEX('KZ-normalized'!$E:$E, MATCH($A70, 'KZ-normalized'!$A:$A, 0))), 0), 0))+(IFERROR(IF(25*INDEX('UZ-normalized'!$D:$D, MATCH($A70, 'UZ-normalized'!$A:$A, 0))-INDEX('UZ-normalized'!$E:$E, MATCH($A70, 'UZ-normalized'!$A:$A, 0))&gt;0, -(25*INDEX('UZ-normalized'!$D:$D, MATCH($A70, 'UZ-normalized'!$A:$A, 0))-INDEX('UZ-normalized'!$E:$E, MATCH($A70, 'UZ-normalized'!$A:$A, 0))), 0), 0)))</f>
        <v>-1536</v>
      </c>
      <c r="AN70" s="6">
        <f>MIN(0, N70+(IFERROR(IF(26*INDEX('UA-normalized'!$D:$D, MATCH($A70, 'UA-normalized'!$A:$A, 0))-INDEX('UA-normalized'!$E:$E, MATCH($A70, 'UA-normalized'!$A:$A, 0))&gt;0, -(26*INDEX('UA-normalized'!$D:$D, MATCH($A70, 'UA-normalized'!$A:$A, 0))-INDEX('UA-normalized'!$E:$E, MATCH($A70, 'UA-normalized'!$A:$A, 0))), 0), 0))+(IFERROR(IF(26*INDEX('KZ-normalized'!$D:$D, MATCH($A70, 'KZ-normalized'!$A:$A, 0))-INDEX('KZ-normalized'!$E:$E, MATCH($A70, 'KZ-normalized'!$A:$A, 0))&gt;0, -(26*INDEX('KZ-normalized'!$D:$D, MATCH($A70, 'KZ-normalized'!$A:$A, 0))-INDEX('KZ-normalized'!$E:$E, MATCH($A70, 'KZ-normalized'!$A:$A, 0))), 0), 0))+(IFERROR(IF(26*INDEX('UZ-normalized'!$D:$D, MATCH($A70, 'UZ-normalized'!$A:$A, 0))-INDEX('UZ-normalized'!$E:$E, MATCH($A70, 'UZ-normalized'!$A:$A, 0))&gt;0, -(26*INDEX('UZ-normalized'!$D:$D, MATCH($A70, 'UZ-normalized'!$A:$A, 0))-INDEX('UZ-normalized'!$E:$E, MATCH($A70, 'UZ-normalized'!$A:$A, 0))), 0), 0)))</f>
        <v>-1762</v>
      </c>
      <c r="AO70" s="6">
        <f>MIN(0, N70+(IFERROR(IF(27*INDEX('UA-normalized'!$D:$D, MATCH($A70, 'UA-normalized'!$A:$A, 0))-INDEX('UA-normalized'!$E:$E, MATCH($A70, 'UA-normalized'!$A:$A, 0))&gt;0, -(27*INDEX('UA-normalized'!$D:$D, MATCH($A70, 'UA-normalized'!$A:$A, 0))-INDEX('UA-normalized'!$E:$E, MATCH($A70, 'UA-normalized'!$A:$A, 0))), 0), 0))+(IFERROR(IF(27*INDEX('KZ-normalized'!$D:$D, MATCH($A70, 'KZ-normalized'!$A:$A, 0))-INDEX('KZ-normalized'!$E:$E, MATCH($A70, 'KZ-normalized'!$A:$A, 0))&gt;0, -(27*INDEX('KZ-normalized'!$D:$D, MATCH($A70, 'KZ-normalized'!$A:$A, 0))-INDEX('KZ-normalized'!$E:$E, MATCH($A70, 'KZ-normalized'!$A:$A, 0))), 0), 0))+(IFERROR(IF(27*INDEX('UZ-normalized'!$D:$D, MATCH($A70, 'UZ-normalized'!$A:$A, 0))-INDEX('UZ-normalized'!$E:$E, MATCH($A70, 'UZ-normalized'!$A:$A, 0))&gt;0, -(27*INDEX('UZ-normalized'!$D:$D, MATCH($A70, 'UZ-normalized'!$A:$A, 0))-INDEX('UZ-normalized'!$E:$E, MATCH($A70, 'UZ-normalized'!$A:$A, 0))), 0), 0)))</f>
        <v>-1988</v>
      </c>
      <c r="AP70" s="6">
        <f>MIN(0, N70+(IFERROR(IF(28*INDEX('UA-normalized'!$D:$D, MATCH($A70, 'UA-normalized'!$A:$A, 0))-INDEX('UA-normalized'!$E:$E, MATCH($A70, 'UA-normalized'!$A:$A, 0))&gt;0, -(28*INDEX('UA-normalized'!$D:$D, MATCH($A70, 'UA-normalized'!$A:$A, 0))-INDEX('UA-normalized'!$E:$E, MATCH($A70, 'UA-normalized'!$A:$A, 0))), 0), 0))+(IFERROR(IF(28*INDEX('KZ-normalized'!$D:$D, MATCH($A70, 'KZ-normalized'!$A:$A, 0))-INDEX('KZ-normalized'!$E:$E, MATCH($A70, 'KZ-normalized'!$A:$A, 0))&gt;0, -(28*INDEX('KZ-normalized'!$D:$D, MATCH($A70, 'KZ-normalized'!$A:$A, 0))-INDEX('KZ-normalized'!$E:$E, MATCH($A70, 'KZ-normalized'!$A:$A, 0))), 0), 0))+(IFERROR(IF(28*INDEX('UZ-normalized'!$D:$D, MATCH($A70, 'UZ-normalized'!$A:$A, 0))-INDEX('UZ-normalized'!$E:$E, MATCH($A70, 'UZ-normalized'!$A:$A, 0))&gt;0, -(28*INDEX('UZ-normalized'!$D:$D, MATCH($A70, 'UZ-normalized'!$A:$A, 0))-INDEX('UZ-normalized'!$E:$E, MATCH($A70, 'UZ-normalized'!$A:$A, 0))), 0), 0)))</f>
        <v>-2214</v>
      </c>
      <c r="AQ70" s="6">
        <f>MIN(0, N70+(IFERROR(IF(29*INDEX('UA-normalized'!$D:$D, MATCH($A70, 'UA-normalized'!$A:$A, 0))-INDEX('UA-normalized'!$E:$E, MATCH($A70, 'UA-normalized'!$A:$A, 0))&gt;0, -(29*INDEX('UA-normalized'!$D:$D, MATCH($A70, 'UA-normalized'!$A:$A, 0))-INDEX('UA-normalized'!$E:$E, MATCH($A70, 'UA-normalized'!$A:$A, 0))), 0), 0))+(IFERROR(IF(29*INDEX('KZ-normalized'!$D:$D, MATCH($A70, 'KZ-normalized'!$A:$A, 0))-INDEX('KZ-normalized'!$E:$E, MATCH($A70, 'KZ-normalized'!$A:$A, 0))&gt;0, -(29*INDEX('KZ-normalized'!$D:$D, MATCH($A70, 'KZ-normalized'!$A:$A, 0))-INDEX('KZ-normalized'!$E:$E, MATCH($A70, 'KZ-normalized'!$A:$A, 0))), 0), 0))+(IFERROR(IF(29*INDEX('UZ-normalized'!$D:$D, MATCH($A70, 'UZ-normalized'!$A:$A, 0))-INDEX('UZ-normalized'!$E:$E, MATCH($A70, 'UZ-normalized'!$A:$A, 0))&gt;0, -(29*INDEX('UZ-normalized'!$D:$D, MATCH($A70, 'UZ-normalized'!$A:$A, 0))-INDEX('UZ-normalized'!$E:$E, MATCH($A70, 'UZ-normalized'!$A:$A, 0))), 0), 0)))</f>
        <v>-2440</v>
      </c>
      <c r="AR70" s="6">
        <f>MIN(0, N70+(IFERROR(IF(30*INDEX('UA-normalized'!$D:$D, MATCH($A70, 'UA-normalized'!$A:$A, 0))-INDEX('UA-normalized'!$E:$E, MATCH($A70, 'UA-normalized'!$A:$A, 0))&gt;0, -(30*INDEX('UA-normalized'!$D:$D, MATCH($A70, 'UA-normalized'!$A:$A, 0))-INDEX('UA-normalized'!$E:$E, MATCH($A70, 'UA-normalized'!$A:$A, 0))), 0), 0))+(IFERROR(IF(30*INDEX('KZ-normalized'!$D:$D, MATCH($A70, 'KZ-normalized'!$A:$A, 0))-INDEX('KZ-normalized'!$E:$E, MATCH($A70, 'KZ-normalized'!$A:$A, 0))&gt;0, -(30*INDEX('KZ-normalized'!$D:$D, MATCH($A70, 'KZ-normalized'!$A:$A, 0))-INDEX('KZ-normalized'!$E:$E, MATCH($A70, 'KZ-normalized'!$A:$A, 0))), 0), 0))+(IFERROR(IF(30*INDEX('UZ-normalized'!$D:$D, MATCH($A70, 'UZ-normalized'!$A:$A, 0))-INDEX('UZ-normalized'!$E:$E, MATCH($A70, 'UZ-normalized'!$A:$A, 0))&gt;0, -(30*INDEX('UZ-normalized'!$D:$D, MATCH($A70, 'UZ-normalized'!$A:$A, 0))-INDEX('UZ-normalized'!$E:$E, MATCH($A70, 'UZ-normalized'!$A:$A, 0))), 0), 0)))</f>
        <v>-2666</v>
      </c>
    </row>
    <row r="71" spans="1:44" x14ac:dyDescent="0.25">
      <c r="A71" s="8" t="s">
        <v>191</v>
      </c>
      <c r="B71" s="8" t="s">
        <v>180</v>
      </c>
      <c r="C71" s="8" t="s">
        <v>181</v>
      </c>
      <c r="D71" s="8" t="s">
        <v>192</v>
      </c>
      <c r="N71">
        <f t="shared" si="1"/>
        <v>0</v>
      </c>
      <c r="O71" s="6">
        <f>MIN(0, N71+(IFERROR(IF(1*INDEX('UA-normalized'!$D:$D, MATCH($A71, 'UA-normalized'!$A:$A, 0))-INDEX('UA-normalized'!$E:$E, MATCH($A71, 'UA-normalized'!$A:$A, 0))&gt;0, -(1*INDEX('UA-normalized'!$D:$D, MATCH($A71, 'UA-normalized'!$A:$A, 0))-INDEX('UA-normalized'!$E:$E, MATCH($A71, 'UA-normalized'!$A:$A, 0))), 0), 0))+(IFERROR(IF(1*INDEX('KZ-normalized'!$D:$D, MATCH($A71, 'KZ-normalized'!$A:$A, 0))-INDEX('KZ-normalized'!$E:$E, MATCH($A71, 'KZ-normalized'!$A:$A, 0))&gt;0, -(1*INDEX('KZ-normalized'!$D:$D, MATCH($A71, 'KZ-normalized'!$A:$A, 0))-INDEX('KZ-normalized'!$E:$E, MATCH($A71, 'KZ-normalized'!$A:$A, 0))), 0), 0))+(IFERROR(IF(1*INDEX('UZ-normalized'!$D:$D, MATCH($A71, 'UZ-normalized'!$A:$A, 0))-INDEX('UZ-normalized'!$E:$E, MATCH($A71, 'UZ-normalized'!$A:$A, 0))&gt;0, -(1*INDEX('UZ-normalized'!$D:$D, MATCH($A71, 'UZ-normalized'!$A:$A, 0))-INDEX('UZ-normalized'!$E:$E, MATCH($A71, 'UZ-normalized'!$A:$A, 0))), 0), 0)))</f>
        <v>0</v>
      </c>
      <c r="P71" s="6">
        <f>MIN(0, N71+(IFERROR(IF(2*INDEX('UA-normalized'!$D:$D, MATCH($A71, 'UA-normalized'!$A:$A, 0))-INDEX('UA-normalized'!$E:$E, MATCH($A71, 'UA-normalized'!$A:$A, 0))&gt;0, -(2*INDEX('UA-normalized'!$D:$D, MATCH($A71, 'UA-normalized'!$A:$A, 0))-INDEX('UA-normalized'!$E:$E, MATCH($A71, 'UA-normalized'!$A:$A, 0))), 0), 0))+(IFERROR(IF(2*INDEX('KZ-normalized'!$D:$D, MATCH($A71, 'KZ-normalized'!$A:$A, 0))-INDEX('KZ-normalized'!$E:$E, MATCH($A71, 'KZ-normalized'!$A:$A, 0))&gt;0, -(2*INDEX('KZ-normalized'!$D:$D, MATCH($A71, 'KZ-normalized'!$A:$A, 0))-INDEX('KZ-normalized'!$E:$E, MATCH($A71, 'KZ-normalized'!$A:$A, 0))), 0), 0))+(IFERROR(IF(2*INDEX('UZ-normalized'!$D:$D, MATCH($A71, 'UZ-normalized'!$A:$A, 0))-INDEX('UZ-normalized'!$E:$E, MATCH($A71, 'UZ-normalized'!$A:$A, 0))&gt;0, -(2*INDEX('UZ-normalized'!$D:$D, MATCH($A71, 'UZ-normalized'!$A:$A, 0))-INDEX('UZ-normalized'!$E:$E, MATCH($A71, 'UZ-normalized'!$A:$A, 0))), 0), 0)))</f>
        <v>0</v>
      </c>
      <c r="Q71" s="6">
        <f>MIN(0, N71+(IFERROR(IF(3*INDEX('UA-normalized'!$D:$D, MATCH($A71, 'UA-normalized'!$A:$A, 0))-INDEX('UA-normalized'!$E:$E, MATCH($A71, 'UA-normalized'!$A:$A, 0))&gt;0, -(3*INDEX('UA-normalized'!$D:$D, MATCH($A71, 'UA-normalized'!$A:$A, 0))-INDEX('UA-normalized'!$E:$E, MATCH($A71, 'UA-normalized'!$A:$A, 0))), 0), 0))+(IFERROR(IF(3*INDEX('KZ-normalized'!$D:$D, MATCH($A71, 'KZ-normalized'!$A:$A, 0))-INDEX('KZ-normalized'!$E:$E, MATCH($A71, 'KZ-normalized'!$A:$A, 0))&gt;0, -(3*INDEX('KZ-normalized'!$D:$D, MATCH($A71, 'KZ-normalized'!$A:$A, 0))-INDEX('KZ-normalized'!$E:$E, MATCH($A71, 'KZ-normalized'!$A:$A, 0))), 0), 0))+(IFERROR(IF(3*INDEX('UZ-normalized'!$D:$D, MATCH($A71, 'UZ-normalized'!$A:$A, 0))-INDEX('UZ-normalized'!$E:$E, MATCH($A71, 'UZ-normalized'!$A:$A, 0))&gt;0, -(3*INDEX('UZ-normalized'!$D:$D, MATCH($A71, 'UZ-normalized'!$A:$A, 0))-INDEX('UZ-normalized'!$E:$E, MATCH($A71, 'UZ-normalized'!$A:$A, 0))), 0), 0)))</f>
        <v>0</v>
      </c>
      <c r="R71" s="6">
        <f>MIN(0, N71+(IFERROR(IF(4*INDEX('UA-normalized'!$D:$D, MATCH($A71, 'UA-normalized'!$A:$A, 0))-INDEX('UA-normalized'!$E:$E, MATCH($A71, 'UA-normalized'!$A:$A, 0))&gt;0, -(4*INDEX('UA-normalized'!$D:$D, MATCH($A71, 'UA-normalized'!$A:$A, 0))-INDEX('UA-normalized'!$E:$E, MATCH($A71, 'UA-normalized'!$A:$A, 0))), 0), 0))+(IFERROR(IF(4*INDEX('KZ-normalized'!$D:$D, MATCH($A71, 'KZ-normalized'!$A:$A, 0))-INDEX('KZ-normalized'!$E:$E, MATCH($A71, 'KZ-normalized'!$A:$A, 0))&gt;0, -(4*INDEX('KZ-normalized'!$D:$D, MATCH($A71, 'KZ-normalized'!$A:$A, 0))-INDEX('KZ-normalized'!$E:$E, MATCH($A71, 'KZ-normalized'!$A:$A, 0))), 0), 0))+(IFERROR(IF(4*INDEX('UZ-normalized'!$D:$D, MATCH($A71, 'UZ-normalized'!$A:$A, 0))-INDEX('UZ-normalized'!$E:$E, MATCH($A71, 'UZ-normalized'!$A:$A, 0))&gt;0, -(4*INDEX('UZ-normalized'!$D:$D, MATCH($A71, 'UZ-normalized'!$A:$A, 0))-INDEX('UZ-normalized'!$E:$E, MATCH($A71, 'UZ-normalized'!$A:$A, 0))), 0), 0)))</f>
        <v>0</v>
      </c>
      <c r="S71" s="6">
        <f>MIN(0, N71+(IFERROR(IF(5*INDEX('UA-normalized'!$D:$D, MATCH($A71, 'UA-normalized'!$A:$A, 0))-INDEX('UA-normalized'!$E:$E, MATCH($A71, 'UA-normalized'!$A:$A, 0))&gt;0, -(5*INDEX('UA-normalized'!$D:$D, MATCH($A71, 'UA-normalized'!$A:$A, 0))-INDEX('UA-normalized'!$E:$E, MATCH($A71, 'UA-normalized'!$A:$A, 0))), 0), 0))+(IFERROR(IF(5*INDEX('KZ-normalized'!$D:$D, MATCH($A71, 'KZ-normalized'!$A:$A, 0))-INDEX('KZ-normalized'!$E:$E, MATCH($A71, 'KZ-normalized'!$A:$A, 0))&gt;0, -(5*INDEX('KZ-normalized'!$D:$D, MATCH($A71, 'KZ-normalized'!$A:$A, 0))-INDEX('KZ-normalized'!$E:$E, MATCH($A71, 'KZ-normalized'!$A:$A, 0))), 0), 0))+(IFERROR(IF(5*INDEX('UZ-normalized'!$D:$D, MATCH($A71, 'UZ-normalized'!$A:$A, 0))-INDEX('UZ-normalized'!$E:$E, MATCH($A71, 'UZ-normalized'!$A:$A, 0))&gt;0, -(5*INDEX('UZ-normalized'!$D:$D, MATCH($A71, 'UZ-normalized'!$A:$A, 0))-INDEX('UZ-normalized'!$E:$E, MATCH($A71, 'UZ-normalized'!$A:$A, 0))), 0), 0)))</f>
        <v>0</v>
      </c>
      <c r="T71" s="6">
        <f>MIN(0, N71+(IFERROR(IF(6*INDEX('UA-normalized'!$D:$D, MATCH($A71, 'UA-normalized'!$A:$A, 0))-INDEX('UA-normalized'!$E:$E, MATCH($A71, 'UA-normalized'!$A:$A, 0))&gt;0, -(6*INDEX('UA-normalized'!$D:$D, MATCH($A71, 'UA-normalized'!$A:$A, 0))-INDEX('UA-normalized'!$E:$E, MATCH($A71, 'UA-normalized'!$A:$A, 0))), 0), 0))+(IFERROR(IF(6*INDEX('KZ-normalized'!$D:$D, MATCH($A71, 'KZ-normalized'!$A:$A, 0))-INDEX('KZ-normalized'!$E:$E, MATCH($A71, 'KZ-normalized'!$A:$A, 0))&gt;0, -(6*INDEX('KZ-normalized'!$D:$D, MATCH($A71, 'KZ-normalized'!$A:$A, 0))-INDEX('KZ-normalized'!$E:$E, MATCH($A71, 'KZ-normalized'!$A:$A, 0))), 0), 0))+(IFERROR(IF(6*INDEX('UZ-normalized'!$D:$D, MATCH($A71, 'UZ-normalized'!$A:$A, 0))-INDEX('UZ-normalized'!$E:$E, MATCH($A71, 'UZ-normalized'!$A:$A, 0))&gt;0, -(6*INDEX('UZ-normalized'!$D:$D, MATCH($A71, 'UZ-normalized'!$A:$A, 0))-INDEX('UZ-normalized'!$E:$E, MATCH($A71, 'UZ-normalized'!$A:$A, 0))), 0), 0)))</f>
        <v>-1.1999999999999993</v>
      </c>
      <c r="U71" s="6">
        <f>MIN(0, N71+(IFERROR(IF(7*INDEX('UA-normalized'!$D:$D, MATCH($A71, 'UA-normalized'!$A:$A, 0))-INDEX('UA-normalized'!$E:$E, MATCH($A71, 'UA-normalized'!$A:$A, 0))&gt;0, -(7*INDEX('UA-normalized'!$D:$D, MATCH($A71, 'UA-normalized'!$A:$A, 0))-INDEX('UA-normalized'!$E:$E, MATCH($A71, 'UA-normalized'!$A:$A, 0))), 0), 0))+(IFERROR(IF(7*INDEX('KZ-normalized'!$D:$D, MATCH($A71, 'KZ-normalized'!$A:$A, 0))-INDEX('KZ-normalized'!$E:$E, MATCH($A71, 'KZ-normalized'!$A:$A, 0))&gt;0, -(7*INDEX('KZ-normalized'!$D:$D, MATCH($A71, 'KZ-normalized'!$A:$A, 0))-INDEX('KZ-normalized'!$E:$E, MATCH($A71, 'KZ-normalized'!$A:$A, 0))), 0), 0))+(IFERROR(IF(7*INDEX('UZ-normalized'!$D:$D, MATCH($A71, 'UZ-normalized'!$A:$A, 0))-INDEX('UZ-normalized'!$E:$E, MATCH($A71, 'UZ-normalized'!$A:$A, 0))&gt;0, -(7*INDEX('UZ-normalized'!$D:$D, MATCH($A71, 'UZ-normalized'!$A:$A, 0))-INDEX('UZ-normalized'!$E:$E, MATCH($A71, 'UZ-normalized'!$A:$A, 0))), 0), 0)))</f>
        <v>-2.9000000000000004</v>
      </c>
      <c r="V71" s="6">
        <f>MIN(0, N71+(IFERROR(IF(8*INDEX('UA-normalized'!$D:$D, MATCH($A71, 'UA-normalized'!$A:$A, 0))-INDEX('UA-normalized'!$E:$E, MATCH($A71, 'UA-normalized'!$A:$A, 0))&gt;0, -(8*INDEX('UA-normalized'!$D:$D, MATCH($A71, 'UA-normalized'!$A:$A, 0))-INDEX('UA-normalized'!$E:$E, MATCH($A71, 'UA-normalized'!$A:$A, 0))), 0), 0))+(IFERROR(IF(8*INDEX('KZ-normalized'!$D:$D, MATCH($A71, 'KZ-normalized'!$A:$A, 0))-INDEX('KZ-normalized'!$E:$E, MATCH($A71, 'KZ-normalized'!$A:$A, 0))&gt;0, -(8*INDEX('KZ-normalized'!$D:$D, MATCH($A71, 'KZ-normalized'!$A:$A, 0))-INDEX('KZ-normalized'!$E:$E, MATCH($A71, 'KZ-normalized'!$A:$A, 0))), 0), 0))+(IFERROR(IF(8*INDEX('UZ-normalized'!$D:$D, MATCH($A71, 'UZ-normalized'!$A:$A, 0))-INDEX('UZ-normalized'!$E:$E, MATCH($A71, 'UZ-normalized'!$A:$A, 0))&gt;0, -(8*INDEX('UZ-normalized'!$D:$D, MATCH($A71, 'UZ-normalized'!$A:$A, 0))-INDEX('UZ-normalized'!$E:$E, MATCH($A71, 'UZ-normalized'!$A:$A, 0))), 0), 0)))</f>
        <v>-4.5999999999999996</v>
      </c>
      <c r="W71" s="6">
        <f>MIN(0, N71+(IFERROR(IF(9*INDEX('UA-normalized'!$D:$D, MATCH($A71, 'UA-normalized'!$A:$A, 0))-INDEX('UA-normalized'!$E:$E, MATCH($A71, 'UA-normalized'!$A:$A, 0))&gt;0, -(9*INDEX('UA-normalized'!$D:$D, MATCH($A71, 'UA-normalized'!$A:$A, 0))-INDEX('UA-normalized'!$E:$E, MATCH($A71, 'UA-normalized'!$A:$A, 0))), 0), 0))+(IFERROR(IF(9*INDEX('KZ-normalized'!$D:$D, MATCH($A71, 'KZ-normalized'!$A:$A, 0))-INDEX('KZ-normalized'!$E:$E, MATCH($A71, 'KZ-normalized'!$A:$A, 0))&gt;0, -(9*INDEX('KZ-normalized'!$D:$D, MATCH($A71, 'KZ-normalized'!$A:$A, 0))-INDEX('KZ-normalized'!$E:$E, MATCH($A71, 'KZ-normalized'!$A:$A, 0))), 0), 0))+(IFERROR(IF(9*INDEX('UZ-normalized'!$D:$D, MATCH($A71, 'UZ-normalized'!$A:$A, 0))-INDEX('UZ-normalized'!$E:$E, MATCH($A71, 'UZ-normalized'!$A:$A, 0))&gt;0, -(9*INDEX('UZ-normalized'!$D:$D, MATCH($A71, 'UZ-normalized'!$A:$A, 0))-INDEX('UZ-normalized'!$E:$E, MATCH($A71, 'UZ-normalized'!$A:$A, 0))), 0), 0)))</f>
        <v>-6.2999999999999989</v>
      </c>
      <c r="X71" s="6">
        <f>MIN(0, N71+(IFERROR(IF(10*INDEX('UA-normalized'!$D:$D, MATCH($A71, 'UA-normalized'!$A:$A, 0))-INDEX('UA-normalized'!$E:$E, MATCH($A71, 'UA-normalized'!$A:$A, 0))&gt;0, -(10*INDEX('UA-normalized'!$D:$D, MATCH($A71, 'UA-normalized'!$A:$A, 0))-INDEX('UA-normalized'!$E:$E, MATCH($A71, 'UA-normalized'!$A:$A, 0))), 0), 0))+(IFERROR(IF(10*INDEX('KZ-normalized'!$D:$D, MATCH($A71, 'KZ-normalized'!$A:$A, 0))-INDEX('KZ-normalized'!$E:$E, MATCH($A71, 'KZ-normalized'!$A:$A, 0))&gt;0, -(10*INDEX('KZ-normalized'!$D:$D, MATCH($A71, 'KZ-normalized'!$A:$A, 0))-INDEX('KZ-normalized'!$E:$E, MATCH($A71, 'KZ-normalized'!$A:$A, 0))), 0), 0))+(IFERROR(IF(10*INDEX('UZ-normalized'!$D:$D, MATCH($A71, 'UZ-normalized'!$A:$A, 0))-INDEX('UZ-normalized'!$E:$E, MATCH($A71, 'UZ-normalized'!$A:$A, 0))&gt;0, -(10*INDEX('UZ-normalized'!$D:$D, MATCH($A71, 'UZ-normalized'!$A:$A, 0))-INDEX('UZ-normalized'!$E:$E, MATCH($A71, 'UZ-normalized'!$A:$A, 0))), 0), 0)))</f>
        <v>-8</v>
      </c>
      <c r="Y71" s="6">
        <f>MIN(0, N71+(IFERROR(IF(11*INDEX('UA-normalized'!$D:$D, MATCH($A71, 'UA-normalized'!$A:$A, 0))-INDEX('UA-normalized'!$E:$E, MATCH($A71, 'UA-normalized'!$A:$A, 0))&gt;0, -(11*INDEX('UA-normalized'!$D:$D, MATCH($A71, 'UA-normalized'!$A:$A, 0))-INDEX('UA-normalized'!$E:$E, MATCH($A71, 'UA-normalized'!$A:$A, 0))), 0), 0))+(IFERROR(IF(11*INDEX('KZ-normalized'!$D:$D, MATCH($A71, 'KZ-normalized'!$A:$A, 0))-INDEX('KZ-normalized'!$E:$E, MATCH($A71, 'KZ-normalized'!$A:$A, 0))&gt;0, -(11*INDEX('KZ-normalized'!$D:$D, MATCH($A71, 'KZ-normalized'!$A:$A, 0))-INDEX('KZ-normalized'!$E:$E, MATCH($A71, 'KZ-normalized'!$A:$A, 0))), 0), 0))+(IFERROR(IF(11*INDEX('UZ-normalized'!$D:$D, MATCH($A71, 'UZ-normalized'!$A:$A, 0))-INDEX('UZ-normalized'!$E:$E, MATCH($A71, 'UZ-normalized'!$A:$A, 0))&gt;0, -(11*INDEX('UZ-normalized'!$D:$D, MATCH($A71, 'UZ-normalized'!$A:$A, 0))-INDEX('UZ-normalized'!$E:$E, MATCH($A71, 'UZ-normalized'!$A:$A, 0))), 0), 0)))</f>
        <v>-9.6999999999999993</v>
      </c>
      <c r="Z71" s="6">
        <f>MIN(0, N71+(IFERROR(IF(12*INDEX('UA-normalized'!$D:$D, MATCH($A71, 'UA-normalized'!$A:$A, 0))-INDEX('UA-normalized'!$E:$E, MATCH($A71, 'UA-normalized'!$A:$A, 0))&gt;0, -(12*INDEX('UA-normalized'!$D:$D, MATCH($A71, 'UA-normalized'!$A:$A, 0))-INDEX('UA-normalized'!$E:$E, MATCH($A71, 'UA-normalized'!$A:$A, 0))), 0), 0))+(IFERROR(IF(12*INDEX('KZ-normalized'!$D:$D, MATCH($A71, 'KZ-normalized'!$A:$A, 0))-INDEX('KZ-normalized'!$E:$E, MATCH($A71, 'KZ-normalized'!$A:$A, 0))&gt;0, -(12*INDEX('KZ-normalized'!$D:$D, MATCH($A71, 'KZ-normalized'!$A:$A, 0))-INDEX('KZ-normalized'!$E:$E, MATCH($A71, 'KZ-normalized'!$A:$A, 0))), 0), 0))+(IFERROR(IF(12*INDEX('UZ-normalized'!$D:$D, MATCH($A71, 'UZ-normalized'!$A:$A, 0))-INDEX('UZ-normalized'!$E:$E, MATCH($A71, 'UZ-normalized'!$A:$A, 0))&gt;0, -(12*INDEX('UZ-normalized'!$D:$D, MATCH($A71, 'UZ-normalized'!$A:$A, 0))-INDEX('UZ-normalized'!$E:$E, MATCH($A71, 'UZ-normalized'!$A:$A, 0))), 0), 0)))</f>
        <v>-11.399999999999999</v>
      </c>
      <c r="AA71" s="6">
        <f>MIN(0, N71+(IFERROR(IF(13*INDEX('UA-normalized'!$D:$D, MATCH($A71, 'UA-normalized'!$A:$A, 0))-INDEX('UA-normalized'!$E:$E, MATCH($A71, 'UA-normalized'!$A:$A, 0))&gt;0, -(13*INDEX('UA-normalized'!$D:$D, MATCH($A71, 'UA-normalized'!$A:$A, 0))-INDEX('UA-normalized'!$E:$E, MATCH($A71, 'UA-normalized'!$A:$A, 0))), 0), 0))+(IFERROR(IF(13*INDEX('KZ-normalized'!$D:$D, MATCH($A71, 'KZ-normalized'!$A:$A, 0))-INDEX('KZ-normalized'!$E:$E, MATCH($A71, 'KZ-normalized'!$A:$A, 0))&gt;0, -(13*INDEX('KZ-normalized'!$D:$D, MATCH($A71, 'KZ-normalized'!$A:$A, 0))-INDEX('KZ-normalized'!$E:$E, MATCH($A71, 'KZ-normalized'!$A:$A, 0))), 0), 0))+(IFERROR(IF(13*INDEX('UZ-normalized'!$D:$D, MATCH($A71, 'UZ-normalized'!$A:$A, 0))-INDEX('UZ-normalized'!$E:$E, MATCH($A71, 'UZ-normalized'!$A:$A, 0))&gt;0, -(13*INDEX('UZ-normalized'!$D:$D, MATCH($A71, 'UZ-normalized'!$A:$A, 0))-INDEX('UZ-normalized'!$E:$E, MATCH($A71, 'UZ-normalized'!$A:$A, 0))), 0), 0)))</f>
        <v>-13.099999999999998</v>
      </c>
      <c r="AB71" s="6">
        <f>MIN(0, N71+(IFERROR(IF(14*INDEX('UA-normalized'!$D:$D, MATCH($A71, 'UA-normalized'!$A:$A, 0))-INDEX('UA-normalized'!$E:$E, MATCH($A71, 'UA-normalized'!$A:$A, 0))&gt;0, -(14*INDEX('UA-normalized'!$D:$D, MATCH($A71, 'UA-normalized'!$A:$A, 0))-INDEX('UA-normalized'!$E:$E, MATCH($A71, 'UA-normalized'!$A:$A, 0))), 0), 0))+(IFERROR(IF(14*INDEX('KZ-normalized'!$D:$D, MATCH($A71, 'KZ-normalized'!$A:$A, 0))-INDEX('KZ-normalized'!$E:$E, MATCH($A71, 'KZ-normalized'!$A:$A, 0))&gt;0, -(14*INDEX('KZ-normalized'!$D:$D, MATCH($A71, 'KZ-normalized'!$A:$A, 0))-INDEX('KZ-normalized'!$E:$E, MATCH($A71, 'KZ-normalized'!$A:$A, 0))), 0), 0))+(IFERROR(IF(14*INDEX('UZ-normalized'!$D:$D, MATCH($A71, 'UZ-normalized'!$A:$A, 0))-INDEX('UZ-normalized'!$E:$E, MATCH($A71, 'UZ-normalized'!$A:$A, 0))&gt;0, -(14*INDEX('UZ-normalized'!$D:$D, MATCH($A71, 'UZ-normalized'!$A:$A, 0))-INDEX('UZ-normalized'!$E:$E, MATCH($A71, 'UZ-normalized'!$A:$A, 0))), 0), 0)))</f>
        <v>-14.8</v>
      </c>
      <c r="AC71" s="6">
        <f>MIN(0, N71+(IFERROR(IF(15*INDEX('UA-normalized'!$D:$D, MATCH($A71, 'UA-normalized'!$A:$A, 0))-INDEX('UA-normalized'!$E:$E, MATCH($A71, 'UA-normalized'!$A:$A, 0))&gt;0, -(15*INDEX('UA-normalized'!$D:$D, MATCH($A71, 'UA-normalized'!$A:$A, 0))-INDEX('UA-normalized'!$E:$E, MATCH($A71, 'UA-normalized'!$A:$A, 0))), 0), 0))+(IFERROR(IF(15*INDEX('KZ-normalized'!$D:$D, MATCH($A71, 'KZ-normalized'!$A:$A, 0))-INDEX('KZ-normalized'!$E:$E, MATCH($A71, 'KZ-normalized'!$A:$A, 0))&gt;0, -(15*INDEX('KZ-normalized'!$D:$D, MATCH($A71, 'KZ-normalized'!$A:$A, 0))-INDEX('KZ-normalized'!$E:$E, MATCH($A71, 'KZ-normalized'!$A:$A, 0))), 0), 0))+(IFERROR(IF(15*INDEX('UZ-normalized'!$D:$D, MATCH($A71, 'UZ-normalized'!$A:$A, 0))-INDEX('UZ-normalized'!$E:$E, MATCH($A71, 'UZ-normalized'!$A:$A, 0))&gt;0, -(15*INDEX('UZ-normalized'!$D:$D, MATCH($A71, 'UZ-normalized'!$A:$A, 0))-INDEX('UZ-normalized'!$E:$E, MATCH($A71, 'UZ-normalized'!$A:$A, 0))), 0), 0)))</f>
        <v>-16.5</v>
      </c>
      <c r="AD71" s="6">
        <f>MIN(0, N71+(IFERROR(IF(16*INDEX('UA-normalized'!$D:$D, MATCH($A71, 'UA-normalized'!$A:$A, 0))-INDEX('UA-normalized'!$E:$E, MATCH($A71, 'UA-normalized'!$A:$A, 0))&gt;0, -(16*INDEX('UA-normalized'!$D:$D, MATCH($A71, 'UA-normalized'!$A:$A, 0))-INDEX('UA-normalized'!$E:$E, MATCH($A71, 'UA-normalized'!$A:$A, 0))), 0), 0))+(IFERROR(IF(16*INDEX('KZ-normalized'!$D:$D, MATCH($A71, 'KZ-normalized'!$A:$A, 0))-INDEX('KZ-normalized'!$E:$E, MATCH($A71, 'KZ-normalized'!$A:$A, 0))&gt;0, -(16*INDEX('KZ-normalized'!$D:$D, MATCH($A71, 'KZ-normalized'!$A:$A, 0))-INDEX('KZ-normalized'!$E:$E, MATCH($A71, 'KZ-normalized'!$A:$A, 0))), 0), 0))+(IFERROR(IF(16*INDEX('UZ-normalized'!$D:$D, MATCH($A71, 'UZ-normalized'!$A:$A, 0))-INDEX('UZ-normalized'!$E:$E, MATCH($A71, 'UZ-normalized'!$A:$A, 0))&gt;0, -(16*INDEX('UZ-normalized'!$D:$D, MATCH($A71, 'UZ-normalized'!$A:$A, 0))-INDEX('UZ-normalized'!$E:$E, MATCH($A71, 'UZ-normalized'!$A:$A, 0))), 0), 0)))</f>
        <v>-18.2</v>
      </c>
      <c r="AE71" s="6">
        <f>MIN(0, N71+(IFERROR(IF(17*INDEX('UA-normalized'!$D:$D, MATCH($A71, 'UA-normalized'!$A:$A, 0))-INDEX('UA-normalized'!$E:$E, MATCH($A71, 'UA-normalized'!$A:$A, 0))&gt;0, -(17*INDEX('UA-normalized'!$D:$D, MATCH($A71, 'UA-normalized'!$A:$A, 0))-INDEX('UA-normalized'!$E:$E, MATCH($A71, 'UA-normalized'!$A:$A, 0))), 0), 0))+(IFERROR(IF(17*INDEX('KZ-normalized'!$D:$D, MATCH($A71, 'KZ-normalized'!$A:$A, 0))-INDEX('KZ-normalized'!$E:$E, MATCH($A71, 'KZ-normalized'!$A:$A, 0))&gt;0, -(17*INDEX('KZ-normalized'!$D:$D, MATCH($A71, 'KZ-normalized'!$A:$A, 0))-INDEX('KZ-normalized'!$E:$E, MATCH($A71, 'KZ-normalized'!$A:$A, 0))), 0), 0))+(IFERROR(IF(17*INDEX('UZ-normalized'!$D:$D, MATCH($A71, 'UZ-normalized'!$A:$A, 0))-INDEX('UZ-normalized'!$E:$E, MATCH($A71, 'UZ-normalized'!$A:$A, 0))&gt;0, -(17*INDEX('UZ-normalized'!$D:$D, MATCH($A71, 'UZ-normalized'!$A:$A, 0))-INDEX('UZ-normalized'!$E:$E, MATCH($A71, 'UZ-normalized'!$A:$A, 0))), 0), 0)))</f>
        <v>-19.899999999999999</v>
      </c>
      <c r="AF71" s="6">
        <f>MIN(0, N71+(IFERROR(IF(18*INDEX('UA-normalized'!$D:$D, MATCH($A71, 'UA-normalized'!$A:$A, 0))-INDEX('UA-normalized'!$E:$E, MATCH($A71, 'UA-normalized'!$A:$A, 0))&gt;0, -(18*INDEX('UA-normalized'!$D:$D, MATCH($A71, 'UA-normalized'!$A:$A, 0))-INDEX('UA-normalized'!$E:$E, MATCH($A71, 'UA-normalized'!$A:$A, 0))), 0), 0))+(IFERROR(IF(18*INDEX('KZ-normalized'!$D:$D, MATCH($A71, 'KZ-normalized'!$A:$A, 0))-INDEX('KZ-normalized'!$E:$E, MATCH($A71, 'KZ-normalized'!$A:$A, 0))&gt;0, -(18*INDEX('KZ-normalized'!$D:$D, MATCH($A71, 'KZ-normalized'!$A:$A, 0))-INDEX('KZ-normalized'!$E:$E, MATCH($A71, 'KZ-normalized'!$A:$A, 0))), 0), 0))+(IFERROR(IF(18*INDEX('UZ-normalized'!$D:$D, MATCH($A71, 'UZ-normalized'!$A:$A, 0))-INDEX('UZ-normalized'!$E:$E, MATCH($A71, 'UZ-normalized'!$A:$A, 0))&gt;0, -(18*INDEX('UZ-normalized'!$D:$D, MATCH($A71, 'UZ-normalized'!$A:$A, 0))-INDEX('UZ-normalized'!$E:$E, MATCH($A71, 'UZ-normalized'!$A:$A, 0))), 0), 0)))</f>
        <v>-21.599999999999998</v>
      </c>
      <c r="AG71" s="6">
        <f>MIN(0, N71+(IFERROR(IF(19*INDEX('UA-normalized'!$D:$D, MATCH($A71, 'UA-normalized'!$A:$A, 0))-INDEX('UA-normalized'!$E:$E, MATCH($A71, 'UA-normalized'!$A:$A, 0))&gt;0, -(19*INDEX('UA-normalized'!$D:$D, MATCH($A71, 'UA-normalized'!$A:$A, 0))-INDEX('UA-normalized'!$E:$E, MATCH($A71, 'UA-normalized'!$A:$A, 0))), 0), 0))+(IFERROR(IF(19*INDEX('KZ-normalized'!$D:$D, MATCH($A71, 'KZ-normalized'!$A:$A, 0))-INDEX('KZ-normalized'!$E:$E, MATCH($A71, 'KZ-normalized'!$A:$A, 0))&gt;0, -(19*INDEX('KZ-normalized'!$D:$D, MATCH($A71, 'KZ-normalized'!$A:$A, 0))-INDEX('KZ-normalized'!$E:$E, MATCH($A71, 'KZ-normalized'!$A:$A, 0))), 0), 0))+(IFERROR(IF(19*INDEX('UZ-normalized'!$D:$D, MATCH($A71, 'UZ-normalized'!$A:$A, 0))-INDEX('UZ-normalized'!$E:$E, MATCH($A71, 'UZ-normalized'!$A:$A, 0))&gt;0, -(19*INDEX('UZ-normalized'!$D:$D, MATCH($A71, 'UZ-normalized'!$A:$A, 0))-INDEX('UZ-normalized'!$E:$E, MATCH($A71, 'UZ-normalized'!$A:$A, 0))), 0), 0)))</f>
        <v>-23.299999999999997</v>
      </c>
      <c r="AH71" s="6">
        <f>MIN(0, N71+(IFERROR(IF(20*INDEX('UA-normalized'!$D:$D, MATCH($A71, 'UA-normalized'!$A:$A, 0))-INDEX('UA-normalized'!$E:$E, MATCH($A71, 'UA-normalized'!$A:$A, 0))&gt;0, -(20*INDEX('UA-normalized'!$D:$D, MATCH($A71, 'UA-normalized'!$A:$A, 0))-INDEX('UA-normalized'!$E:$E, MATCH($A71, 'UA-normalized'!$A:$A, 0))), 0), 0))+(IFERROR(IF(20*INDEX('KZ-normalized'!$D:$D, MATCH($A71, 'KZ-normalized'!$A:$A, 0))-INDEX('KZ-normalized'!$E:$E, MATCH($A71, 'KZ-normalized'!$A:$A, 0))&gt;0, -(20*INDEX('KZ-normalized'!$D:$D, MATCH($A71, 'KZ-normalized'!$A:$A, 0))-INDEX('KZ-normalized'!$E:$E, MATCH($A71, 'KZ-normalized'!$A:$A, 0))), 0), 0))+(IFERROR(IF(20*INDEX('UZ-normalized'!$D:$D, MATCH($A71, 'UZ-normalized'!$A:$A, 0))-INDEX('UZ-normalized'!$E:$E, MATCH($A71, 'UZ-normalized'!$A:$A, 0))&gt;0, -(20*INDEX('UZ-normalized'!$D:$D, MATCH($A71, 'UZ-normalized'!$A:$A, 0))-INDEX('UZ-normalized'!$E:$E, MATCH($A71, 'UZ-normalized'!$A:$A, 0))), 0), 0)))</f>
        <v>-25</v>
      </c>
      <c r="AI71" s="6">
        <f>MIN(0, N71+(IFERROR(IF(21*INDEX('UA-normalized'!$D:$D, MATCH($A71, 'UA-normalized'!$A:$A, 0))-INDEX('UA-normalized'!$E:$E, MATCH($A71, 'UA-normalized'!$A:$A, 0))&gt;0, -(21*INDEX('UA-normalized'!$D:$D, MATCH($A71, 'UA-normalized'!$A:$A, 0))-INDEX('UA-normalized'!$E:$E, MATCH($A71, 'UA-normalized'!$A:$A, 0))), 0), 0))+(IFERROR(IF(21*INDEX('KZ-normalized'!$D:$D, MATCH($A71, 'KZ-normalized'!$A:$A, 0))-INDEX('KZ-normalized'!$E:$E, MATCH($A71, 'KZ-normalized'!$A:$A, 0))&gt;0, -(21*INDEX('KZ-normalized'!$D:$D, MATCH($A71, 'KZ-normalized'!$A:$A, 0))-INDEX('KZ-normalized'!$E:$E, MATCH($A71, 'KZ-normalized'!$A:$A, 0))), 0), 0))+(IFERROR(IF(21*INDEX('UZ-normalized'!$D:$D, MATCH($A71, 'UZ-normalized'!$A:$A, 0))-INDEX('UZ-normalized'!$E:$E, MATCH($A71, 'UZ-normalized'!$A:$A, 0))&gt;0, -(21*INDEX('UZ-normalized'!$D:$D, MATCH($A71, 'UZ-normalized'!$A:$A, 0))-INDEX('UZ-normalized'!$E:$E, MATCH($A71, 'UZ-normalized'!$A:$A, 0))), 0), 0)))</f>
        <v>-26.699999999999996</v>
      </c>
      <c r="AJ71" s="6">
        <f>MIN(0, N71+(IFERROR(IF(22*INDEX('UA-normalized'!$D:$D, MATCH($A71, 'UA-normalized'!$A:$A, 0))-INDEX('UA-normalized'!$E:$E, MATCH($A71, 'UA-normalized'!$A:$A, 0))&gt;0, -(22*INDEX('UA-normalized'!$D:$D, MATCH($A71, 'UA-normalized'!$A:$A, 0))-INDEX('UA-normalized'!$E:$E, MATCH($A71, 'UA-normalized'!$A:$A, 0))), 0), 0))+(IFERROR(IF(22*INDEX('KZ-normalized'!$D:$D, MATCH($A71, 'KZ-normalized'!$A:$A, 0))-INDEX('KZ-normalized'!$E:$E, MATCH($A71, 'KZ-normalized'!$A:$A, 0))&gt;0, -(22*INDEX('KZ-normalized'!$D:$D, MATCH($A71, 'KZ-normalized'!$A:$A, 0))-INDEX('KZ-normalized'!$E:$E, MATCH($A71, 'KZ-normalized'!$A:$A, 0))), 0), 0))+(IFERROR(IF(22*INDEX('UZ-normalized'!$D:$D, MATCH($A71, 'UZ-normalized'!$A:$A, 0))-INDEX('UZ-normalized'!$E:$E, MATCH($A71, 'UZ-normalized'!$A:$A, 0))&gt;0, -(22*INDEX('UZ-normalized'!$D:$D, MATCH($A71, 'UZ-normalized'!$A:$A, 0))-INDEX('UZ-normalized'!$E:$E, MATCH($A71, 'UZ-normalized'!$A:$A, 0))), 0), 0)))</f>
        <v>-28.4</v>
      </c>
      <c r="AK71" s="6">
        <f>MIN(0, N71+(IFERROR(IF(23*INDEX('UA-normalized'!$D:$D, MATCH($A71, 'UA-normalized'!$A:$A, 0))-INDEX('UA-normalized'!$E:$E, MATCH($A71, 'UA-normalized'!$A:$A, 0))&gt;0, -(23*INDEX('UA-normalized'!$D:$D, MATCH($A71, 'UA-normalized'!$A:$A, 0))-INDEX('UA-normalized'!$E:$E, MATCH($A71, 'UA-normalized'!$A:$A, 0))), 0), 0))+(IFERROR(IF(23*INDEX('KZ-normalized'!$D:$D, MATCH($A71, 'KZ-normalized'!$A:$A, 0))-INDEX('KZ-normalized'!$E:$E, MATCH($A71, 'KZ-normalized'!$A:$A, 0))&gt;0, -(23*INDEX('KZ-normalized'!$D:$D, MATCH($A71, 'KZ-normalized'!$A:$A, 0))-INDEX('KZ-normalized'!$E:$E, MATCH($A71, 'KZ-normalized'!$A:$A, 0))), 0), 0))+(IFERROR(IF(23*INDEX('UZ-normalized'!$D:$D, MATCH($A71, 'UZ-normalized'!$A:$A, 0))-INDEX('UZ-normalized'!$E:$E, MATCH($A71, 'UZ-normalized'!$A:$A, 0))&gt;0, -(23*INDEX('UZ-normalized'!$D:$D, MATCH($A71, 'UZ-normalized'!$A:$A, 0))-INDEX('UZ-normalized'!$E:$E, MATCH($A71, 'UZ-normalized'!$A:$A, 0))), 0), 0)))</f>
        <v>-30.1</v>
      </c>
      <c r="AL71" s="6">
        <f>MIN(0, N71+(IFERROR(IF(24*INDEX('UA-normalized'!$D:$D, MATCH($A71, 'UA-normalized'!$A:$A, 0))-INDEX('UA-normalized'!$E:$E, MATCH($A71, 'UA-normalized'!$A:$A, 0))&gt;0, -(24*INDEX('UA-normalized'!$D:$D, MATCH($A71, 'UA-normalized'!$A:$A, 0))-INDEX('UA-normalized'!$E:$E, MATCH($A71, 'UA-normalized'!$A:$A, 0))), 0), 0))+(IFERROR(IF(24*INDEX('KZ-normalized'!$D:$D, MATCH($A71, 'KZ-normalized'!$A:$A, 0))-INDEX('KZ-normalized'!$E:$E, MATCH($A71, 'KZ-normalized'!$A:$A, 0))&gt;0, -(24*INDEX('KZ-normalized'!$D:$D, MATCH($A71, 'KZ-normalized'!$A:$A, 0))-INDEX('KZ-normalized'!$E:$E, MATCH($A71, 'KZ-normalized'!$A:$A, 0))), 0), 0))+(IFERROR(IF(24*INDEX('UZ-normalized'!$D:$D, MATCH($A71, 'UZ-normalized'!$A:$A, 0))-INDEX('UZ-normalized'!$E:$E, MATCH($A71, 'UZ-normalized'!$A:$A, 0))&gt;0, -(24*INDEX('UZ-normalized'!$D:$D, MATCH($A71, 'UZ-normalized'!$A:$A, 0))-INDEX('UZ-normalized'!$E:$E, MATCH($A71, 'UZ-normalized'!$A:$A, 0))), 0), 0)))</f>
        <v>-31.799999999999997</v>
      </c>
      <c r="AM71" s="6">
        <f>MIN(0, N71+(IFERROR(IF(25*INDEX('UA-normalized'!$D:$D, MATCH($A71, 'UA-normalized'!$A:$A, 0))-INDEX('UA-normalized'!$E:$E, MATCH($A71, 'UA-normalized'!$A:$A, 0))&gt;0, -(25*INDEX('UA-normalized'!$D:$D, MATCH($A71, 'UA-normalized'!$A:$A, 0))-INDEX('UA-normalized'!$E:$E, MATCH($A71, 'UA-normalized'!$A:$A, 0))), 0), 0))+(IFERROR(IF(25*INDEX('KZ-normalized'!$D:$D, MATCH($A71, 'KZ-normalized'!$A:$A, 0))-INDEX('KZ-normalized'!$E:$E, MATCH($A71, 'KZ-normalized'!$A:$A, 0))&gt;0, -(25*INDEX('KZ-normalized'!$D:$D, MATCH($A71, 'KZ-normalized'!$A:$A, 0))-INDEX('KZ-normalized'!$E:$E, MATCH($A71, 'KZ-normalized'!$A:$A, 0))), 0), 0))+(IFERROR(IF(25*INDEX('UZ-normalized'!$D:$D, MATCH($A71, 'UZ-normalized'!$A:$A, 0))-INDEX('UZ-normalized'!$E:$E, MATCH($A71, 'UZ-normalized'!$A:$A, 0))&gt;0, -(25*INDEX('UZ-normalized'!$D:$D, MATCH($A71, 'UZ-normalized'!$A:$A, 0))-INDEX('UZ-normalized'!$E:$E, MATCH($A71, 'UZ-normalized'!$A:$A, 0))), 0), 0)))</f>
        <v>-33.5</v>
      </c>
      <c r="AN71" s="6">
        <f>MIN(0, N71+(IFERROR(IF(26*INDEX('UA-normalized'!$D:$D, MATCH($A71, 'UA-normalized'!$A:$A, 0))-INDEX('UA-normalized'!$E:$E, MATCH($A71, 'UA-normalized'!$A:$A, 0))&gt;0, -(26*INDEX('UA-normalized'!$D:$D, MATCH($A71, 'UA-normalized'!$A:$A, 0))-INDEX('UA-normalized'!$E:$E, MATCH($A71, 'UA-normalized'!$A:$A, 0))), 0), 0))+(IFERROR(IF(26*INDEX('KZ-normalized'!$D:$D, MATCH($A71, 'KZ-normalized'!$A:$A, 0))-INDEX('KZ-normalized'!$E:$E, MATCH($A71, 'KZ-normalized'!$A:$A, 0))&gt;0, -(26*INDEX('KZ-normalized'!$D:$D, MATCH($A71, 'KZ-normalized'!$A:$A, 0))-INDEX('KZ-normalized'!$E:$E, MATCH($A71, 'KZ-normalized'!$A:$A, 0))), 0), 0))+(IFERROR(IF(26*INDEX('UZ-normalized'!$D:$D, MATCH($A71, 'UZ-normalized'!$A:$A, 0))-INDEX('UZ-normalized'!$E:$E, MATCH($A71, 'UZ-normalized'!$A:$A, 0))&gt;0, -(26*INDEX('UZ-normalized'!$D:$D, MATCH($A71, 'UZ-normalized'!$A:$A, 0))-INDEX('UZ-normalized'!$E:$E, MATCH($A71, 'UZ-normalized'!$A:$A, 0))), 0), 0)))</f>
        <v>-35.199999999999996</v>
      </c>
      <c r="AO71" s="6">
        <f>MIN(0, N71+(IFERROR(IF(27*INDEX('UA-normalized'!$D:$D, MATCH($A71, 'UA-normalized'!$A:$A, 0))-INDEX('UA-normalized'!$E:$E, MATCH($A71, 'UA-normalized'!$A:$A, 0))&gt;0, -(27*INDEX('UA-normalized'!$D:$D, MATCH($A71, 'UA-normalized'!$A:$A, 0))-INDEX('UA-normalized'!$E:$E, MATCH($A71, 'UA-normalized'!$A:$A, 0))), 0), 0))+(IFERROR(IF(27*INDEX('KZ-normalized'!$D:$D, MATCH($A71, 'KZ-normalized'!$A:$A, 0))-INDEX('KZ-normalized'!$E:$E, MATCH($A71, 'KZ-normalized'!$A:$A, 0))&gt;0, -(27*INDEX('KZ-normalized'!$D:$D, MATCH($A71, 'KZ-normalized'!$A:$A, 0))-INDEX('KZ-normalized'!$E:$E, MATCH($A71, 'KZ-normalized'!$A:$A, 0))), 0), 0))+(IFERROR(IF(27*INDEX('UZ-normalized'!$D:$D, MATCH($A71, 'UZ-normalized'!$A:$A, 0))-INDEX('UZ-normalized'!$E:$E, MATCH($A71, 'UZ-normalized'!$A:$A, 0))&gt;0, -(27*INDEX('UZ-normalized'!$D:$D, MATCH($A71, 'UZ-normalized'!$A:$A, 0))-INDEX('UZ-normalized'!$E:$E, MATCH($A71, 'UZ-normalized'!$A:$A, 0))), 0), 0)))</f>
        <v>-36.9</v>
      </c>
      <c r="AP71" s="6">
        <f>MIN(0, N71+(IFERROR(IF(28*INDEX('UA-normalized'!$D:$D, MATCH($A71, 'UA-normalized'!$A:$A, 0))-INDEX('UA-normalized'!$E:$E, MATCH($A71, 'UA-normalized'!$A:$A, 0))&gt;0, -(28*INDEX('UA-normalized'!$D:$D, MATCH($A71, 'UA-normalized'!$A:$A, 0))-INDEX('UA-normalized'!$E:$E, MATCH($A71, 'UA-normalized'!$A:$A, 0))), 0), 0))+(IFERROR(IF(28*INDEX('KZ-normalized'!$D:$D, MATCH($A71, 'KZ-normalized'!$A:$A, 0))-INDEX('KZ-normalized'!$E:$E, MATCH($A71, 'KZ-normalized'!$A:$A, 0))&gt;0, -(28*INDEX('KZ-normalized'!$D:$D, MATCH($A71, 'KZ-normalized'!$A:$A, 0))-INDEX('KZ-normalized'!$E:$E, MATCH($A71, 'KZ-normalized'!$A:$A, 0))), 0), 0))+(IFERROR(IF(28*INDEX('UZ-normalized'!$D:$D, MATCH($A71, 'UZ-normalized'!$A:$A, 0))-INDEX('UZ-normalized'!$E:$E, MATCH($A71, 'UZ-normalized'!$A:$A, 0))&gt;0, -(28*INDEX('UZ-normalized'!$D:$D, MATCH($A71, 'UZ-normalized'!$A:$A, 0))-INDEX('UZ-normalized'!$E:$E, MATCH($A71, 'UZ-normalized'!$A:$A, 0))), 0), 0)))</f>
        <v>-38.6</v>
      </c>
      <c r="AQ71" s="6">
        <f>MIN(0, N71+(IFERROR(IF(29*INDEX('UA-normalized'!$D:$D, MATCH($A71, 'UA-normalized'!$A:$A, 0))-INDEX('UA-normalized'!$E:$E, MATCH($A71, 'UA-normalized'!$A:$A, 0))&gt;0, -(29*INDEX('UA-normalized'!$D:$D, MATCH($A71, 'UA-normalized'!$A:$A, 0))-INDEX('UA-normalized'!$E:$E, MATCH($A71, 'UA-normalized'!$A:$A, 0))), 0), 0))+(IFERROR(IF(29*INDEX('KZ-normalized'!$D:$D, MATCH($A71, 'KZ-normalized'!$A:$A, 0))-INDEX('KZ-normalized'!$E:$E, MATCH($A71, 'KZ-normalized'!$A:$A, 0))&gt;0, -(29*INDEX('KZ-normalized'!$D:$D, MATCH($A71, 'KZ-normalized'!$A:$A, 0))-INDEX('KZ-normalized'!$E:$E, MATCH($A71, 'KZ-normalized'!$A:$A, 0))), 0), 0))+(IFERROR(IF(29*INDEX('UZ-normalized'!$D:$D, MATCH($A71, 'UZ-normalized'!$A:$A, 0))-INDEX('UZ-normalized'!$E:$E, MATCH($A71, 'UZ-normalized'!$A:$A, 0))&gt;0, -(29*INDEX('UZ-normalized'!$D:$D, MATCH($A71, 'UZ-normalized'!$A:$A, 0))-INDEX('UZ-normalized'!$E:$E, MATCH($A71, 'UZ-normalized'!$A:$A, 0))), 0), 0)))</f>
        <v>-40.299999999999997</v>
      </c>
      <c r="AR71" s="6">
        <f>MIN(0, N71+(IFERROR(IF(30*INDEX('UA-normalized'!$D:$D, MATCH($A71, 'UA-normalized'!$A:$A, 0))-INDEX('UA-normalized'!$E:$E, MATCH($A71, 'UA-normalized'!$A:$A, 0))&gt;0, -(30*INDEX('UA-normalized'!$D:$D, MATCH($A71, 'UA-normalized'!$A:$A, 0))-INDEX('UA-normalized'!$E:$E, MATCH($A71, 'UA-normalized'!$A:$A, 0))), 0), 0))+(IFERROR(IF(30*INDEX('KZ-normalized'!$D:$D, MATCH($A71, 'KZ-normalized'!$A:$A, 0))-INDEX('KZ-normalized'!$E:$E, MATCH($A71, 'KZ-normalized'!$A:$A, 0))&gt;0, -(30*INDEX('KZ-normalized'!$D:$D, MATCH($A71, 'KZ-normalized'!$A:$A, 0))-INDEX('KZ-normalized'!$E:$E, MATCH($A71, 'KZ-normalized'!$A:$A, 0))), 0), 0))+(IFERROR(IF(30*INDEX('UZ-normalized'!$D:$D, MATCH($A71, 'UZ-normalized'!$A:$A, 0))-INDEX('UZ-normalized'!$E:$E, MATCH($A71, 'UZ-normalized'!$A:$A, 0))&gt;0, -(30*INDEX('UZ-normalized'!$D:$D, MATCH($A71, 'UZ-normalized'!$A:$A, 0))-INDEX('UZ-normalized'!$E:$E, MATCH($A71, 'UZ-normalized'!$A:$A, 0))), 0), 0)))</f>
        <v>-42</v>
      </c>
    </row>
    <row r="72" spans="1:44" x14ac:dyDescent="0.25">
      <c r="A72" s="8" t="s">
        <v>193</v>
      </c>
      <c r="B72" s="8" t="s">
        <v>180</v>
      </c>
      <c r="C72" s="8" t="s">
        <v>181</v>
      </c>
      <c r="D72" s="8" t="s">
        <v>194</v>
      </c>
      <c r="N72">
        <f t="shared" si="1"/>
        <v>0</v>
      </c>
      <c r="O72" s="6">
        <f>MIN(0, N72+(IFERROR(IF(1*INDEX('UA-normalized'!$D:$D, MATCH($A72, 'UA-normalized'!$A:$A, 0))-INDEX('UA-normalized'!$E:$E, MATCH($A72, 'UA-normalized'!$A:$A, 0))&gt;0, -(1*INDEX('UA-normalized'!$D:$D, MATCH($A72, 'UA-normalized'!$A:$A, 0))-INDEX('UA-normalized'!$E:$E, MATCH($A72, 'UA-normalized'!$A:$A, 0))), 0), 0))+(IFERROR(IF(1*INDEX('KZ-normalized'!$D:$D, MATCH($A72, 'KZ-normalized'!$A:$A, 0))-INDEX('KZ-normalized'!$E:$E, MATCH($A72, 'KZ-normalized'!$A:$A, 0))&gt;0, -(1*INDEX('KZ-normalized'!$D:$D, MATCH($A72, 'KZ-normalized'!$A:$A, 0))-INDEX('KZ-normalized'!$E:$E, MATCH($A72, 'KZ-normalized'!$A:$A, 0))), 0), 0))+(IFERROR(IF(1*INDEX('UZ-normalized'!$D:$D, MATCH($A72, 'UZ-normalized'!$A:$A, 0))-INDEX('UZ-normalized'!$E:$E, MATCH($A72, 'UZ-normalized'!$A:$A, 0))&gt;0, -(1*INDEX('UZ-normalized'!$D:$D, MATCH($A72, 'UZ-normalized'!$A:$A, 0))-INDEX('UZ-normalized'!$E:$E, MATCH($A72, 'UZ-normalized'!$A:$A, 0))), 0), 0)))</f>
        <v>0</v>
      </c>
      <c r="P72" s="6">
        <f>MIN(0, N72+(IFERROR(IF(2*INDEX('UA-normalized'!$D:$D, MATCH($A72, 'UA-normalized'!$A:$A, 0))-INDEX('UA-normalized'!$E:$E, MATCH($A72, 'UA-normalized'!$A:$A, 0))&gt;0, -(2*INDEX('UA-normalized'!$D:$D, MATCH($A72, 'UA-normalized'!$A:$A, 0))-INDEX('UA-normalized'!$E:$E, MATCH($A72, 'UA-normalized'!$A:$A, 0))), 0), 0))+(IFERROR(IF(2*INDEX('KZ-normalized'!$D:$D, MATCH($A72, 'KZ-normalized'!$A:$A, 0))-INDEX('KZ-normalized'!$E:$E, MATCH($A72, 'KZ-normalized'!$A:$A, 0))&gt;0, -(2*INDEX('KZ-normalized'!$D:$D, MATCH($A72, 'KZ-normalized'!$A:$A, 0))-INDEX('KZ-normalized'!$E:$E, MATCH($A72, 'KZ-normalized'!$A:$A, 0))), 0), 0))+(IFERROR(IF(2*INDEX('UZ-normalized'!$D:$D, MATCH($A72, 'UZ-normalized'!$A:$A, 0))-INDEX('UZ-normalized'!$E:$E, MATCH($A72, 'UZ-normalized'!$A:$A, 0))&gt;0, -(2*INDEX('UZ-normalized'!$D:$D, MATCH($A72, 'UZ-normalized'!$A:$A, 0))-INDEX('UZ-normalized'!$E:$E, MATCH($A72, 'UZ-normalized'!$A:$A, 0))), 0), 0)))</f>
        <v>0</v>
      </c>
      <c r="Q72" s="6">
        <f>MIN(0, N72+(IFERROR(IF(3*INDEX('UA-normalized'!$D:$D, MATCH($A72, 'UA-normalized'!$A:$A, 0))-INDEX('UA-normalized'!$E:$E, MATCH($A72, 'UA-normalized'!$A:$A, 0))&gt;0, -(3*INDEX('UA-normalized'!$D:$D, MATCH($A72, 'UA-normalized'!$A:$A, 0))-INDEX('UA-normalized'!$E:$E, MATCH($A72, 'UA-normalized'!$A:$A, 0))), 0), 0))+(IFERROR(IF(3*INDEX('KZ-normalized'!$D:$D, MATCH($A72, 'KZ-normalized'!$A:$A, 0))-INDEX('KZ-normalized'!$E:$E, MATCH($A72, 'KZ-normalized'!$A:$A, 0))&gt;0, -(3*INDEX('KZ-normalized'!$D:$D, MATCH($A72, 'KZ-normalized'!$A:$A, 0))-INDEX('KZ-normalized'!$E:$E, MATCH($A72, 'KZ-normalized'!$A:$A, 0))), 0), 0))+(IFERROR(IF(3*INDEX('UZ-normalized'!$D:$D, MATCH($A72, 'UZ-normalized'!$A:$A, 0))-INDEX('UZ-normalized'!$E:$E, MATCH($A72, 'UZ-normalized'!$A:$A, 0))&gt;0, -(3*INDEX('UZ-normalized'!$D:$D, MATCH($A72, 'UZ-normalized'!$A:$A, 0))-INDEX('UZ-normalized'!$E:$E, MATCH($A72, 'UZ-normalized'!$A:$A, 0))), 0), 0)))</f>
        <v>0</v>
      </c>
      <c r="R72" s="6">
        <f>MIN(0, N72+(IFERROR(IF(4*INDEX('UA-normalized'!$D:$D, MATCH($A72, 'UA-normalized'!$A:$A, 0))-INDEX('UA-normalized'!$E:$E, MATCH($A72, 'UA-normalized'!$A:$A, 0))&gt;0, -(4*INDEX('UA-normalized'!$D:$D, MATCH($A72, 'UA-normalized'!$A:$A, 0))-INDEX('UA-normalized'!$E:$E, MATCH($A72, 'UA-normalized'!$A:$A, 0))), 0), 0))+(IFERROR(IF(4*INDEX('KZ-normalized'!$D:$D, MATCH($A72, 'KZ-normalized'!$A:$A, 0))-INDEX('KZ-normalized'!$E:$E, MATCH($A72, 'KZ-normalized'!$A:$A, 0))&gt;0, -(4*INDEX('KZ-normalized'!$D:$D, MATCH($A72, 'KZ-normalized'!$A:$A, 0))-INDEX('KZ-normalized'!$E:$E, MATCH($A72, 'KZ-normalized'!$A:$A, 0))), 0), 0))+(IFERROR(IF(4*INDEX('UZ-normalized'!$D:$D, MATCH($A72, 'UZ-normalized'!$A:$A, 0))-INDEX('UZ-normalized'!$E:$E, MATCH($A72, 'UZ-normalized'!$A:$A, 0))&gt;0, -(4*INDEX('UZ-normalized'!$D:$D, MATCH($A72, 'UZ-normalized'!$A:$A, 0))-INDEX('UZ-normalized'!$E:$E, MATCH($A72, 'UZ-normalized'!$A:$A, 0))), 0), 0)))</f>
        <v>0</v>
      </c>
      <c r="S72" s="6">
        <f>MIN(0, N72+(IFERROR(IF(5*INDEX('UA-normalized'!$D:$D, MATCH($A72, 'UA-normalized'!$A:$A, 0))-INDEX('UA-normalized'!$E:$E, MATCH($A72, 'UA-normalized'!$A:$A, 0))&gt;0, -(5*INDEX('UA-normalized'!$D:$D, MATCH($A72, 'UA-normalized'!$A:$A, 0))-INDEX('UA-normalized'!$E:$E, MATCH($A72, 'UA-normalized'!$A:$A, 0))), 0), 0))+(IFERROR(IF(5*INDEX('KZ-normalized'!$D:$D, MATCH($A72, 'KZ-normalized'!$A:$A, 0))-INDEX('KZ-normalized'!$E:$E, MATCH($A72, 'KZ-normalized'!$A:$A, 0))&gt;0, -(5*INDEX('KZ-normalized'!$D:$D, MATCH($A72, 'KZ-normalized'!$A:$A, 0))-INDEX('KZ-normalized'!$E:$E, MATCH($A72, 'KZ-normalized'!$A:$A, 0))), 0), 0))+(IFERROR(IF(5*INDEX('UZ-normalized'!$D:$D, MATCH($A72, 'UZ-normalized'!$A:$A, 0))-INDEX('UZ-normalized'!$E:$E, MATCH($A72, 'UZ-normalized'!$A:$A, 0))&gt;0, -(5*INDEX('UZ-normalized'!$D:$D, MATCH($A72, 'UZ-normalized'!$A:$A, 0))-INDEX('UZ-normalized'!$E:$E, MATCH($A72, 'UZ-normalized'!$A:$A, 0))), 0), 0)))</f>
        <v>0</v>
      </c>
      <c r="T72" s="6">
        <f>MIN(0, N72+(IFERROR(IF(6*INDEX('UA-normalized'!$D:$D, MATCH($A72, 'UA-normalized'!$A:$A, 0))-INDEX('UA-normalized'!$E:$E, MATCH($A72, 'UA-normalized'!$A:$A, 0))&gt;0, -(6*INDEX('UA-normalized'!$D:$D, MATCH($A72, 'UA-normalized'!$A:$A, 0))-INDEX('UA-normalized'!$E:$E, MATCH($A72, 'UA-normalized'!$A:$A, 0))), 0), 0))+(IFERROR(IF(6*INDEX('KZ-normalized'!$D:$D, MATCH($A72, 'KZ-normalized'!$A:$A, 0))-INDEX('KZ-normalized'!$E:$E, MATCH($A72, 'KZ-normalized'!$A:$A, 0))&gt;0, -(6*INDEX('KZ-normalized'!$D:$D, MATCH($A72, 'KZ-normalized'!$A:$A, 0))-INDEX('KZ-normalized'!$E:$E, MATCH($A72, 'KZ-normalized'!$A:$A, 0))), 0), 0))+(IFERROR(IF(6*INDEX('UZ-normalized'!$D:$D, MATCH($A72, 'UZ-normalized'!$A:$A, 0))-INDEX('UZ-normalized'!$E:$E, MATCH($A72, 'UZ-normalized'!$A:$A, 0))&gt;0, -(6*INDEX('UZ-normalized'!$D:$D, MATCH($A72, 'UZ-normalized'!$A:$A, 0))-INDEX('UZ-normalized'!$E:$E, MATCH($A72, 'UZ-normalized'!$A:$A, 0))), 0), 0)))</f>
        <v>0</v>
      </c>
      <c r="U72" s="6">
        <f>MIN(0, N72+(IFERROR(IF(7*INDEX('UA-normalized'!$D:$D, MATCH($A72, 'UA-normalized'!$A:$A, 0))-INDEX('UA-normalized'!$E:$E, MATCH($A72, 'UA-normalized'!$A:$A, 0))&gt;0, -(7*INDEX('UA-normalized'!$D:$D, MATCH($A72, 'UA-normalized'!$A:$A, 0))-INDEX('UA-normalized'!$E:$E, MATCH($A72, 'UA-normalized'!$A:$A, 0))), 0), 0))+(IFERROR(IF(7*INDEX('KZ-normalized'!$D:$D, MATCH($A72, 'KZ-normalized'!$A:$A, 0))-INDEX('KZ-normalized'!$E:$E, MATCH($A72, 'KZ-normalized'!$A:$A, 0))&gt;0, -(7*INDEX('KZ-normalized'!$D:$D, MATCH($A72, 'KZ-normalized'!$A:$A, 0))-INDEX('KZ-normalized'!$E:$E, MATCH($A72, 'KZ-normalized'!$A:$A, 0))), 0), 0))+(IFERROR(IF(7*INDEX('UZ-normalized'!$D:$D, MATCH($A72, 'UZ-normalized'!$A:$A, 0))-INDEX('UZ-normalized'!$E:$E, MATCH($A72, 'UZ-normalized'!$A:$A, 0))&gt;0, -(7*INDEX('UZ-normalized'!$D:$D, MATCH($A72, 'UZ-normalized'!$A:$A, 0))-INDEX('UZ-normalized'!$E:$E, MATCH($A72, 'UZ-normalized'!$A:$A, 0))), 0), 0)))</f>
        <v>0</v>
      </c>
      <c r="V72" s="6">
        <f>MIN(0, N72+(IFERROR(IF(8*INDEX('UA-normalized'!$D:$D, MATCH($A72, 'UA-normalized'!$A:$A, 0))-INDEX('UA-normalized'!$E:$E, MATCH($A72, 'UA-normalized'!$A:$A, 0))&gt;0, -(8*INDEX('UA-normalized'!$D:$D, MATCH($A72, 'UA-normalized'!$A:$A, 0))-INDEX('UA-normalized'!$E:$E, MATCH($A72, 'UA-normalized'!$A:$A, 0))), 0), 0))+(IFERROR(IF(8*INDEX('KZ-normalized'!$D:$D, MATCH($A72, 'KZ-normalized'!$A:$A, 0))-INDEX('KZ-normalized'!$E:$E, MATCH($A72, 'KZ-normalized'!$A:$A, 0))&gt;0, -(8*INDEX('KZ-normalized'!$D:$D, MATCH($A72, 'KZ-normalized'!$A:$A, 0))-INDEX('KZ-normalized'!$E:$E, MATCH($A72, 'KZ-normalized'!$A:$A, 0))), 0), 0))+(IFERROR(IF(8*INDEX('UZ-normalized'!$D:$D, MATCH($A72, 'UZ-normalized'!$A:$A, 0))-INDEX('UZ-normalized'!$E:$E, MATCH($A72, 'UZ-normalized'!$A:$A, 0))&gt;0, -(8*INDEX('UZ-normalized'!$D:$D, MATCH($A72, 'UZ-normalized'!$A:$A, 0))-INDEX('UZ-normalized'!$E:$E, MATCH($A72, 'UZ-normalized'!$A:$A, 0))), 0), 0)))</f>
        <v>0</v>
      </c>
      <c r="W72" s="6">
        <f>MIN(0, N72+(IFERROR(IF(9*INDEX('UA-normalized'!$D:$D, MATCH($A72, 'UA-normalized'!$A:$A, 0))-INDEX('UA-normalized'!$E:$E, MATCH($A72, 'UA-normalized'!$A:$A, 0))&gt;0, -(9*INDEX('UA-normalized'!$D:$D, MATCH($A72, 'UA-normalized'!$A:$A, 0))-INDEX('UA-normalized'!$E:$E, MATCH($A72, 'UA-normalized'!$A:$A, 0))), 0), 0))+(IFERROR(IF(9*INDEX('KZ-normalized'!$D:$D, MATCH($A72, 'KZ-normalized'!$A:$A, 0))-INDEX('KZ-normalized'!$E:$E, MATCH($A72, 'KZ-normalized'!$A:$A, 0))&gt;0, -(9*INDEX('KZ-normalized'!$D:$D, MATCH($A72, 'KZ-normalized'!$A:$A, 0))-INDEX('KZ-normalized'!$E:$E, MATCH($A72, 'KZ-normalized'!$A:$A, 0))), 0), 0))+(IFERROR(IF(9*INDEX('UZ-normalized'!$D:$D, MATCH($A72, 'UZ-normalized'!$A:$A, 0))-INDEX('UZ-normalized'!$E:$E, MATCH($A72, 'UZ-normalized'!$A:$A, 0))&gt;0, -(9*INDEX('UZ-normalized'!$D:$D, MATCH($A72, 'UZ-normalized'!$A:$A, 0))-INDEX('UZ-normalized'!$E:$E, MATCH($A72, 'UZ-normalized'!$A:$A, 0))), 0), 0)))</f>
        <v>0</v>
      </c>
      <c r="X72" s="6">
        <f>MIN(0, N72+(IFERROR(IF(10*INDEX('UA-normalized'!$D:$D, MATCH($A72, 'UA-normalized'!$A:$A, 0))-INDEX('UA-normalized'!$E:$E, MATCH($A72, 'UA-normalized'!$A:$A, 0))&gt;0, -(10*INDEX('UA-normalized'!$D:$D, MATCH($A72, 'UA-normalized'!$A:$A, 0))-INDEX('UA-normalized'!$E:$E, MATCH($A72, 'UA-normalized'!$A:$A, 0))), 0), 0))+(IFERROR(IF(10*INDEX('KZ-normalized'!$D:$D, MATCH($A72, 'KZ-normalized'!$A:$A, 0))-INDEX('KZ-normalized'!$E:$E, MATCH($A72, 'KZ-normalized'!$A:$A, 0))&gt;0, -(10*INDEX('KZ-normalized'!$D:$D, MATCH($A72, 'KZ-normalized'!$A:$A, 0))-INDEX('KZ-normalized'!$E:$E, MATCH($A72, 'KZ-normalized'!$A:$A, 0))), 0), 0))+(IFERROR(IF(10*INDEX('UZ-normalized'!$D:$D, MATCH($A72, 'UZ-normalized'!$A:$A, 0))-INDEX('UZ-normalized'!$E:$E, MATCH($A72, 'UZ-normalized'!$A:$A, 0))&gt;0, -(10*INDEX('UZ-normalized'!$D:$D, MATCH($A72, 'UZ-normalized'!$A:$A, 0))-INDEX('UZ-normalized'!$E:$E, MATCH($A72, 'UZ-normalized'!$A:$A, 0))), 0), 0)))</f>
        <v>0</v>
      </c>
      <c r="Y72" s="6">
        <f>MIN(0, N72+(IFERROR(IF(11*INDEX('UA-normalized'!$D:$D, MATCH($A72, 'UA-normalized'!$A:$A, 0))-INDEX('UA-normalized'!$E:$E, MATCH($A72, 'UA-normalized'!$A:$A, 0))&gt;0, -(11*INDEX('UA-normalized'!$D:$D, MATCH($A72, 'UA-normalized'!$A:$A, 0))-INDEX('UA-normalized'!$E:$E, MATCH($A72, 'UA-normalized'!$A:$A, 0))), 0), 0))+(IFERROR(IF(11*INDEX('KZ-normalized'!$D:$D, MATCH($A72, 'KZ-normalized'!$A:$A, 0))-INDEX('KZ-normalized'!$E:$E, MATCH($A72, 'KZ-normalized'!$A:$A, 0))&gt;0, -(11*INDEX('KZ-normalized'!$D:$D, MATCH($A72, 'KZ-normalized'!$A:$A, 0))-INDEX('KZ-normalized'!$E:$E, MATCH($A72, 'KZ-normalized'!$A:$A, 0))), 0), 0))+(IFERROR(IF(11*INDEX('UZ-normalized'!$D:$D, MATCH($A72, 'UZ-normalized'!$A:$A, 0))-INDEX('UZ-normalized'!$E:$E, MATCH($A72, 'UZ-normalized'!$A:$A, 0))&gt;0, -(11*INDEX('UZ-normalized'!$D:$D, MATCH($A72, 'UZ-normalized'!$A:$A, 0))-INDEX('UZ-normalized'!$E:$E, MATCH($A72, 'UZ-normalized'!$A:$A, 0))), 0), 0)))</f>
        <v>0</v>
      </c>
      <c r="Z72" s="6">
        <f>MIN(0, N72+(IFERROR(IF(12*INDEX('UA-normalized'!$D:$D, MATCH($A72, 'UA-normalized'!$A:$A, 0))-INDEX('UA-normalized'!$E:$E, MATCH($A72, 'UA-normalized'!$A:$A, 0))&gt;0, -(12*INDEX('UA-normalized'!$D:$D, MATCH($A72, 'UA-normalized'!$A:$A, 0))-INDEX('UA-normalized'!$E:$E, MATCH($A72, 'UA-normalized'!$A:$A, 0))), 0), 0))+(IFERROR(IF(12*INDEX('KZ-normalized'!$D:$D, MATCH($A72, 'KZ-normalized'!$A:$A, 0))-INDEX('KZ-normalized'!$E:$E, MATCH($A72, 'KZ-normalized'!$A:$A, 0))&gt;0, -(12*INDEX('KZ-normalized'!$D:$D, MATCH($A72, 'KZ-normalized'!$A:$A, 0))-INDEX('KZ-normalized'!$E:$E, MATCH($A72, 'KZ-normalized'!$A:$A, 0))), 0), 0))+(IFERROR(IF(12*INDEX('UZ-normalized'!$D:$D, MATCH($A72, 'UZ-normalized'!$A:$A, 0))-INDEX('UZ-normalized'!$E:$E, MATCH($A72, 'UZ-normalized'!$A:$A, 0))&gt;0, -(12*INDEX('UZ-normalized'!$D:$D, MATCH($A72, 'UZ-normalized'!$A:$A, 0))-INDEX('UZ-normalized'!$E:$E, MATCH($A72, 'UZ-normalized'!$A:$A, 0))), 0), 0)))</f>
        <v>0</v>
      </c>
      <c r="AA72" s="6">
        <f>MIN(0, N72+(IFERROR(IF(13*INDEX('UA-normalized'!$D:$D, MATCH($A72, 'UA-normalized'!$A:$A, 0))-INDEX('UA-normalized'!$E:$E, MATCH($A72, 'UA-normalized'!$A:$A, 0))&gt;0, -(13*INDEX('UA-normalized'!$D:$D, MATCH($A72, 'UA-normalized'!$A:$A, 0))-INDEX('UA-normalized'!$E:$E, MATCH($A72, 'UA-normalized'!$A:$A, 0))), 0), 0))+(IFERROR(IF(13*INDEX('KZ-normalized'!$D:$D, MATCH($A72, 'KZ-normalized'!$A:$A, 0))-INDEX('KZ-normalized'!$E:$E, MATCH($A72, 'KZ-normalized'!$A:$A, 0))&gt;0, -(13*INDEX('KZ-normalized'!$D:$D, MATCH($A72, 'KZ-normalized'!$A:$A, 0))-INDEX('KZ-normalized'!$E:$E, MATCH($A72, 'KZ-normalized'!$A:$A, 0))), 0), 0))+(IFERROR(IF(13*INDEX('UZ-normalized'!$D:$D, MATCH($A72, 'UZ-normalized'!$A:$A, 0))-INDEX('UZ-normalized'!$E:$E, MATCH($A72, 'UZ-normalized'!$A:$A, 0))&gt;0, -(13*INDEX('UZ-normalized'!$D:$D, MATCH($A72, 'UZ-normalized'!$A:$A, 0))-INDEX('UZ-normalized'!$E:$E, MATCH($A72, 'UZ-normalized'!$A:$A, 0))), 0), 0)))</f>
        <v>0</v>
      </c>
      <c r="AB72" s="6">
        <f>MIN(0, N72+(IFERROR(IF(14*INDEX('UA-normalized'!$D:$D, MATCH($A72, 'UA-normalized'!$A:$A, 0))-INDEX('UA-normalized'!$E:$E, MATCH($A72, 'UA-normalized'!$A:$A, 0))&gt;0, -(14*INDEX('UA-normalized'!$D:$D, MATCH($A72, 'UA-normalized'!$A:$A, 0))-INDEX('UA-normalized'!$E:$E, MATCH($A72, 'UA-normalized'!$A:$A, 0))), 0), 0))+(IFERROR(IF(14*INDEX('KZ-normalized'!$D:$D, MATCH($A72, 'KZ-normalized'!$A:$A, 0))-INDEX('KZ-normalized'!$E:$E, MATCH($A72, 'KZ-normalized'!$A:$A, 0))&gt;0, -(14*INDEX('KZ-normalized'!$D:$D, MATCH($A72, 'KZ-normalized'!$A:$A, 0))-INDEX('KZ-normalized'!$E:$E, MATCH($A72, 'KZ-normalized'!$A:$A, 0))), 0), 0))+(IFERROR(IF(14*INDEX('UZ-normalized'!$D:$D, MATCH($A72, 'UZ-normalized'!$A:$A, 0))-INDEX('UZ-normalized'!$E:$E, MATCH($A72, 'UZ-normalized'!$A:$A, 0))&gt;0, -(14*INDEX('UZ-normalized'!$D:$D, MATCH($A72, 'UZ-normalized'!$A:$A, 0))-INDEX('UZ-normalized'!$E:$E, MATCH($A72, 'UZ-normalized'!$A:$A, 0))), 0), 0)))</f>
        <v>-0.80000000000000071</v>
      </c>
      <c r="AC72" s="6">
        <f>MIN(0, N72+(IFERROR(IF(15*INDEX('UA-normalized'!$D:$D, MATCH($A72, 'UA-normalized'!$A:$A, 0))-INDEX('UA-normalized'!$E:$E, MATCH($A72, 'UA-normalized'!$A:$A, 0))&gt;0, -(15*INDEX('UA-normalized'!$D:$D, MATCH($A72, 'UA-normalized'!$A:$A, 0))-INDEX('UA-normalized'!$E:$E, MATCH($A72, 'UA-normalized'!$A:$A, 0))), 0), 0))+(IFERROR(IF(15*INDEX('KZ-normalized'!$D:$D, MATCH($A72, 'KZ-normalized'!$A:$A, 0))-INDEX('KZ-normalized'!$E:$E, MATCH($A72, 'KZ-normalized'!$A:$A, 0))&gt;0, -(15*INDEX('KZ-normalized'!$D:$D, MATCH($A72, 'KZ-normalized'!$A:$A, 0))-INDEX('KZ-normalized'!$E:$E, MATCH($A72, 'KZ-normalized'!$A:$A, 0))), 0), 0))+(IFERROR(IF(15*INDEX('UZ-normalized'!$D:$D, MATCH($A72, 'UZ-normalized'!$A:$A, 0))-INDEX('UZ-normalized'!$E:$E, MATCH($A72, 'UZ-normalized'!$A:$A, 0))&gt;0, -(15*INDEX('UZ-normalized'!$D:$D, MATCH($A72, 'UZ-normalized'!$A:$A, 0))-INDEX('UZ-normalized'!$E:$E, MATCH($A72, 'UZ-normalized'!$A:$A, 0))), 0), 0)))</f>
        <v>-2</v>
      </c>
      <c r="AD72" s="6">
        <f>MIN(0, N72+(IFERROR(IF(16*INDEX('UA-normalized'!$D:$D, MATCH($A72, 'UA-normalized'!$A:$A, 0))-INDEX('UA-normalized'!$E:$E, MATCH($A72, 'UA-normalized'!$A:$A, 0))&gt;0, -(16*INDEX('UA-normalized'!$D:$D, MATCH($A72, 'UA-normalized'!$A:$A, 0))-INDEX('UA-normalized'!$E:$E, MATCH($A72, 'UA-normalized'!$A:$A, 0))), 0), 0))+(IFERROR(IF(16*INDEX('KZ-normalized'!$D:$D, MATCH($A72, 'KZ-normalized'!$A:$A, 0))-INDEX('KZ-normalized'!$E:$E, MATCH($A72, 'KZ-normalized'!$A:$A, 0))&gt;0, -(16*INDEX('KZ-normalized'!$D:$D, MATCH($A72, 'KZ-normalized'!$A:$A, 0))-INDEX('KZ-normalized'!$E:$E, MATCH($A72, 'KZ-normalized'!$A:$A, 0))), 0), 0))+(IFERROR(IF(16*INDEX('UZ-normalized'!$D:$D, MATCH($A72, 'UZ-normalized'!$A:$A, 0))-INDEX('UZ-normalized'!$E:$E, MATCH($A72, 'UZ-normalized'!$A:$A, 0))&gt;0, -(16*INDEX('UZ-normalized'!$D:$D, MATCH($A72, 'UZ-normalized'!$A:$A, 0))-INDEX('UZ-normalized'!$E:$E, MATCH($A72, 'UZ-normalized'!$A:$A, 0))), 0), 0)))</f>
        <v>-3.1999999999999993</v>
      </c>
      <c r="AE72" s="6">
        <f>MIN(0, N72+(IFERROR(IF(17*INDEX('UA-normalized'!$D:$D, MATCH($A72, 'UA-normalized'!$A:$A, 0))-INDEX('UA-normalized'!$E:$E, MATCH($A72, 'UA-normalized'!$A:$A, 0))&gt;0, -(17*INDEX('UA-normalized'!$D:$D, MATCH($A72, 'UA-normalized'!$A:$A, 0))-INDEX('UA-normalized'!$E:$E, MATCH($A72, 'UA-normalized'!$A:$A, 0))), 0), 0))+(IFERROR(IF(17*INDEX('KZ-normalized'!$D:$D, MATCH($A72, 'KZ-normalized'!$A:$A, 0))-INDEX('KZ-normalized'!$E:$E, MATCH($A72, 'KZ-normalized'!$A:$A, 0))&gt;0, -(17*INDEX('KZ-normalized'!$D:$D, MATCH($A72, 'KZ-normalized'!$A:$A, 0))-INDEX('KZ-normalized'!$E:$E, MATCH($A72, 'KZ-normalized'!$A:$A, 0))), 0), 0))+(IFERROR(IF(17*INDEX('UZ-normalized'!$D:$D, MATCH($A72, 'UZ-normalized'!$A:$A, 0))-INDEX('UZ-normalized'!$E:$E, MATCH($A72, 'UZ-normalized'!$A:$A, 0))&gt;0, -(17*INDEX('UZ-normalized'!$D:$D, MATCH($A72, 'UZ-normalized'!$A:$A, 0))-INDEX('UZ-normalized'!$E:$E, MATCH($A72, 'UZ-normalized'!$A:$A, 0))), 0), 0)))</f>
        <v>-4.3999999999999986</v>
      </c>
      <c r="AF72" s="6">
        <f>MIN(0, N72+(IFERROR(IF(18*INDEX('UA-normalized'!$D:$D, MATCH($A72, 'UA-normalized'!$A:$A, 0))-INDEX('UA-normalized'!$E:$E, MATCH($A72, 'UA-normalized'!$A:$A, 0))&gt;0, -(18*INDEX('UA-normalized'!$D:$D, MATCH($A72, 'UA-normalized'!$A:$A, 0))-INDEX('UA-normalized'!$E:$E, MATCH($A72, 'UA-normalized'!$A:$A, 0))), 0), 0))+(IFERROR(IF(18*INDEX('KZ-normalized'!$D:$D, MATCH($A72, 'KZ-normalized'!$A:$A, 0))-INDEX('KZ-normalized'!$E:$E, MATCH($A72, 'KZ-normalized'!$A:$A, 0))&gt;0, -(18*INDEX('KZ-normalized'!$D:$D, MATCH($A72, 'KZ-normalized'!$A:$A, 0))-INDEX('KZ-normalized'!$E:$E, MATCH($A72, 'KZ-normalized'!$A:$A, 0))), 0), 0))+(IFERROR(IF(18*INDEX('UZ-normalized'!$D:$D, MATCH($A72, 'UZ-normalized'!$A:$A, 0))-INDEX('UZ-normalized'!$E:$E, MATCH($A72, 'UZ-normalized'!$A:$A, 0))&gt;0, -(18*INDEX('UZ-normalized'!$D:$D, MATCH($A72, 'UZ-normalized'!$A:$A, 0))-INDEX('UZ-normalized'!$E:$E, MATCH($A72, 'UZ-normalized'!$A:$A, 0))), 0), 0)))</f>
        <v>-5.5999999999999979</v>
      </c>
      <c r="AG72" s="6">
        <f>MIN(0, N72+(IFERROR(IF(19*INDEX('UA-normalized'!$D:$D, MATCH($A72, 'UA-normalized'!$A:$A, 0))-INDEX('UA-normalized'!$E:$E, MATCH($A72, 'UA-normalized'!$A:$A, 0))&gt;0, -(19*INDEX('UA-normalized'!$D:$D, MATCH($A72, 'UA-normalized'!$A:$A, 0))-INDEX('UA-normalized'!$E:$E, MATCH($A72, 'UA-normalized'!$A:$A, 0))), 0), 0))+(IFERROR(IF(19*INDEX('KZ-normalized'!$D:$D, MATCH($A72, 'KZ-normalized'!$A:$A, 0))-INDEX('KZ-normalized'!$E:$E, MATCH($A72, 'KZ-normalized'!$A:$A, 0))&gt;0, -(19*INDEX('KZ-normalized'!$D:$D, MATCH($A72, 'KZ-normalized'!$A:$A, 0))-INDEX('KZ-normalized'!$E:$E, MATCH($A72, 'KZ-normalized'!$A:$A, 0))), 0), 0))+(IFERROR(IF(19*INDEX('UZ-normalized'!$D:$D, MATCH($A72, 'UZ-normalized'!$A:$A, 0))-INDEX('UZ-normalized'!$E:$E, MATCH($A72, 'UZ-normalized'!$A:$A, 0))&gt;0, -(19*INDEX('UZ-normalized'!$D:$D, MATCH($A72, 'UZ-normalized'!$A:$A, 0))-INDEX('UZ-normalized'!$E:$E, MATCH($A72, 'UZ-normalized'!$A:$A, 0))), 0), 0)))</f>
        <v>-6.8000000000000007</v>
      </c>
      <c r="AH72" s="6">
        <f>MIN(0, N72+(IFERROR(IF(20*INDEX('UA-normalized'!$D:$D, MATCH($A72, 'UA-normalized'!$A:$A, 0))-INDEX('UA-normalized'!$E:$E, MATCH($A72, 'UA-normalized'!$A:$A, 0))&gt;0, -(20*INDEX('UA-normalized'!$D:$D, MATCH($A72, 'UA-normalized'!$A:$A, 0))-INDEX('UA-normalized'!$E:$E, MATCH($A72, 'UA-normalized'!$A:$A, 0))), 0), 0))+(IFERROR(IF(20*INDEX('KZ-normalized'!$D:$D, MATCH($A72, 'KZ-normalized'!$A:$A, 0))-INDEX('KZ-normalized'!$E:$E, MATCH($A72, 'KZ-normalized'!$A:$A, 0))&gt;0, -(20*INDEX('KZ-normalized'!$D:$D, MATCH($A72, 'KZ-normalized'!$A:$A, 0))-INDEX('KZ-normalized'!$E:$E, MATCH($A72, 'KZ-normalized'!$A:$A, 0))), 0), 0))+(IFERROR(IF(20*INDEX('UZ-normalized'!$D:$D, MATCH($A72, 'UZ-normalized'!$A:$A, 0))-INDEX('UZ-normalized'!$E:$E, MATCH($A72, 'UZ-normalized'!$A:$A, 0))&gt;0, -(20*INDEX('UZ-normalized'!$D:$D, MATCH($A72, 'UZ-normalized'!$A:$A, 0))-INDEX('UZ-normalized'!$E:$E, MATCH($A72, 'UZ-normalized'!$A:$A, 0))), 0), 0)))</f>
        <v>-8</v>
      </c>
      <c r="AI72" s="6">
        <f>MIN(0, N72+(IFERROR(IF(21*INDEX('UA-normalized'!$D:$D, MATCH($A72, 'UA-normalized'!$A:$A, 0))-INDEX('UA-normalized'!$E:$E, MATCH($A72, 'UA-normalized'!$A:$A, 0))&gt;0, -(21*INDEX('UA-normalized'!$D:$D, MATCH($A72, 'UA-normalized'!$A:$A, 0))-INDEX('UA-normalized'!$E:$E, MATCH($A72, 'UA-normalized'!$A:$A, 0))), 0), 0))+(IFERROR(IF(21*INDEX('KZ-normalized'!$D:$D, MATCH($A72, 'KZ-normalized'!$A:$A, 0))-INDEX('KZ-normalized'!$E:$E, MATCH($A72, 'KZ-normalized'!$A:$A, 0))&gt;0, -(21*INDEX('KZ-normalized'!$D:$D, MATCH($A72, 'KZ-normalized'!$A:$A, 0))-INDEX('KZ-normalized'!$E:$E, MATCH($A72, 'KZ-normalized'!$A:$A, 0))), 0), 0))+(IFERROR(IF(21*INDEX('UZ-normalized'!$D:$D, MATCH($A72, 'UZ-normalized'!$A:$A, 0))-INDEX('UZ-normalized'!$E:$E, MATCH($A72, 'UZ-normalized'!$A:$A, 0))&gt;0, -(21*INDEX('UZ-normalized'!$D:$D, MATCH($A72, 'UZ-normalized'!$A:$A, 0))-INDEX('UZ-normalized'!$E:$E, MATCH($A72, 'UZ-normalized'!$A:$A, 0))), 0), 0)))</f>
        <v>-9.1999999999999993</v>
      </c>
      <c r="AJ72" s="6">
        <f>MIN(0, N72+(IFERROR(IF(22*INDEX('UA-normalized'!$D:$D, MATCH($A72, 'UA-normalized'!$A:$A, 0))-INDEX('UA-normalized'!$E:$E, MATCH($A72, 'UA-normalized'!$A:$A, 0))&gt;0, -(22*INDEX('UA-normalized'!$D:$D, MATCH($A72, 'UA-normalized'!$A:$A, 0))-INDEX('UA-normalized'!$E:$E, MATCH($A72, 'UA-normalized'!$A:$A, 0))), 0), 0))+(IFERROR(IF(22*INDEX('KZ-normalized'!$D:$D, MATCH($A72, 'KZ-normalized'!$A:$A, 0))-INDEX('KZ-normalized'!$E:$E, MATCH($A72, 'KZ-normalized'!$A:$A, 0))&gt;0, -(22*INDEX('KZ-normalized'!$D:$D, MATCH($A72, 'KZ-normalized'!$A:$A, 0))-INDEX('KZ-normalized'!$E:$E, MATCH($A72, 'KZ-normalized'!$A:$A, 0))), 0), 0))+(IFERROR(IF(22*INDEX('UZ-normalized'!$D:$D, MATCH($A72, 'UZ-normalized'!$A:$A, 0))-INDEX('UZ-normalized'!$E:$E, MATCH($A72, 'UZ-normalized'!$A:$A, 0))&gt;0, -(22*INDEX('UZ-normalized'!$D:$D, MATCH($A72, 'UZ-normalized'!$A:$A, 0))-INDEX('UZ-normalized'!$E:$E, MATCH($A72, 'UZ-normalized'!$A:$A, 0))), 0), 0)))</f>
        <v>-10.399999999999999</v>
      </c>
      <c r="AK72" s="6">
        <f>MIN(0, N72+(IFERROR(IF(23*INDEX('UA-normalized'!$D:$D, MATCH($A72, 'UA-normalized'!$A:$A, 0))-INDEX('UA-normalized'!$E:$E, MATCH($A72, 'UA-normalized'!$A:$A, 0))&gt;0, -(23*INDEX('UA-normalized'!$D:$D, MATCH($A72, 'UA-normalized'!$A:$A, 0))-INDEX('UA-normalized'!$E:$E, MATCH($A72, 'UA-normalized'!$A:$A, 0))), 0), 0))+(IFERROR(IF(23*INDEX('KZ-normalized'!$D:$D, MATCH($A72, 'KZ-normalized'!$A:$A, 0))-INDEX('KZ-normalized'!$E:$E, MATCH($A72, 'KZ-normalized'!$A:$A, 0))&gt;0, -(23*INDEX('KZ-normalized'!$D:$D, MATCH($A72, 'KZ-normalized'!$A:$A, 0))-INDEX('KZ-normalized'!$E:$E, MATCH($A72, 'KZ-normalized'!$A:$A, 0))), 0), 0))+(IFERROR(IF(23*INDEX('UZ-normalized'!$D:$D, MATCH($A72, 'UZ-normalized'!$A:$A, 0))-INDEX('UZ-normalized'!$E:$E, MATCH($A72, 'UZ-normalized'!$A:$A, 0))&gt;0, -(23*INDEX('UZ-normalized'!$D:$D, MATCH($A72, 'UZ-normalized'!$A:$A, 0))-INDEX('UZ-normalized'!$E:$E, MATCH($A72, 'UZ-normalized'!$A:$A, 0))), 0), 0)))</f>
        <v>-11.599999999999998</v>
      </c>
      <c r="AL72" s="6">
        <f>MIN(0, N72+(IFERROR(IF(24*INDEX('UA-normalized'!$D:$D, MATCH($A72, 'UA-normalized'!$A:$A, 0))-INDEX('UA-normalized'!$E:$E, MATCH($A72, 'UA-normalized'!$A:$A, 0))&gt;0, -(24*INDEX('UA-normalized'!$D:$D, MATCH($A72, 'UA-normalized'!$A:$A, 0))-INDEX('UA-normalized'!$E:$E, MATCH($A72, 'UA-normalized'!$A:$A, 0))), 0), 0))+(IFERROR(IF(24*INDEX('KZ-normalized'!$D:$D, MATCH($A72, 'KZ-normalized'!$A:$A, 0))-INDEX('KZ-normalized'!$E:$E, MATCH($A72, 'KZ-normalized'!$A:$A, 0))&gt;0, -(24*INDEX('KZ-normalized'!$D:$D, MATCH($A72, 'KZ-normalized'!$A:$A, 0))-INDEX('KZ-normalized'!$E:$E, MATCH($A72, 'KZ-normalized'!$A:$A, 0))), 0), 0))+(IFERROR(IF(24*INDEX('UZ-normalized'!$D:$D, MATCH($A72, 'UZ-normalized'!$A:$A, 0))-INDEX('UZ-normalized'!$E:$E, MATCH($A72, 'UZ-normalized'!$A:$A, 0))&gt;0, -(24*INDEX('UZ-normalized'!$D:$D, MATCH($A72, 'UZ-normalized'!$A:$A, 0))-INDEX('UZ-normalized'!$E:$E, MATCH($A72, 'UZ-normalized'!$A:$A, 0))), 0), 0)))</f>
        <v>-12.799999999999997</v>
      </c>
      <c r="AM72" s="6">
        <f>MIN(0, N72+(IFERROR(IF(25*INDEX('UA-normalized'!$D:$D, MATCH($A72, 'UA-normalized'!$A:$A, 0))-INDEX('UA-normalized'!$E:$E, MATCH($A72, 'UA-normalized'!$A:$A, 0))&gt;0, -(25*INDEX('UA-normalized'!$D:$D, MATCH($A72, 'UA-normalized'!$A:$A, 0))-INDEX('UA-normalized'!$E:$E, MATCH($A72, 'UA-normalized'!$A:$A, 0))), 0), 0))+(IFERROR(IF(25*INDEX('KZ-normalized'!$D:$D, MATCH($A72, 'KZ-normalized'!$A:$A, 0))-INDEX('KZ-normalized'!$E:$E, MATCH($A72, 'KZ-normalized'!$A:$A, 0))&gt;0, -(25*INDEX('KZ-normalized'!$D:$D, MATCH($A72, 'KZ-normalized'!$A:$A, 0))-INDEX('KZ-normalized'!$E:$E, MATCH($A72, 'KZ-normalized'!$A:$A, 0))), 0), 0))+(IFERROR(IF(25*INDEX('UZ-normalized'!$D:$D, MATCH($A72, 'UZ-normalized'!$A:$A, 0))-INDEX('UZ-normalized'!$E:$E, MATCH($A72, 'UZ-normalized'!$A:$A, 0))&gt;0, -(25*INDEX('UZ-normalized'!$D:$D, MATCH($A72, 'UZ-normalized'!$A:$A, 0))-INDEX('UZ-normalized'!$E:$E, MATCH($A72, 'UZ-normalized'!$A:$A, 0))), 0), 0)))</f>
        <v>-14</v>
      </c>
      <c r="AN72" s="6">
        <f>MIN(0, N72+(IFERROR(IF(26*INDEX('UA-normalized'!$D:$D, MATCH($A72, 'UA-normalized'!$A:$A, 0))-INDEX('UA-normalized'!$E:$E, MATCH($A72, 'UA-normalized'!$A:$A, 0))&gt;0, -(26*INDEX('UA-normalized'!$D:$D, MATCH($A72, 'UA-normalized'!$A:$A, 0))-INDEX('UA-normalized'!$E:$E, MATCH($A72, 'UA-normalized'!$A:$A, 0))), 0), 0))+(IFERROR(IF(26*INDEX('KZ-normalized'!$D:$D, MATCH($A72, 'KZ-normalized'!$A:$A, 0))-INDEX('KZ-normalized'!$E:$E, MATCH($A72, 'KZ-normalized'!$A:$A, 0))&gt;0, -(26*INDEX('KZ-normalized'!$D:$D, MATCH($A72, 'KZ-normalized'!$A:$A, 0))-INDEX('KZ-normalized'!$E:$E, MATCH($A72, 'KZ-normalized'!$A:$A, 0))), 0), 0))+(IFERROR(IF(26*INDEX('UZ-normalized'!$D:$D, MATCH($A72, 'UZ-normalized'!$A:$A, 0))-INDEX('UZ-normalized'!$E:$E, MATCH($A72, 'UZ-normalized'!$A:$A, 0))&gt;0, -(26*INDEX('UZ-normalized'!$D:$D, MATCH($A72, 'UZ-normalized'!$A:$A, 0))-INDEX('UZ-normalized'!$E:$E, MATCH($A72, 'UZ-normalized'!$A:$A, 0))), 0), 0)))</f>
        <v>-15.2</v>
      </c>
      <c r="AO72" s="6">
        <f>MIN(0, N72+(IFERROR(IF(27*INDEX('UA-normalized'!$D:$D, MATCH($A72, 'UA-normalized'!$A:$A, 0))-INDEX('UA-normalized'!$E:$E, MATCH($A72, 'UA-normalized'!$A:$A, 0))&gt;0, -(27*INDEX('UA-normalized'!$D:$D, MATCH($A72, 'UA-normalized'!$A:$A, 0))-INDEX('UA-normalized'!$E:$E, MATCH($A72, 'UA-normalized'!$A:$A, 0))), 0), 0))+(IFERROR(IF(27*INDEX('KZ-normalized'!$D:$D, MATCH($A72, 'KZ-normalized'!$A:$A, 0))-INDEX('KZ-normalized'!$E:$E, MATCH($A72, 'KZ-normalized'!$A:$A, 0))&gt;0, -(27*INDEX('KZ-normalized'!$D:$D, MATCH($A72, 'KZ-normalized'!$A:$A, 0))-INDEX('KZ-normalized'!$E:$E, MATCH($A72, 'KZ-normalized'!$A:$A, 0))), 0), 0))+(IFERROR(IF(27*INDEX('UZ-normalized'!$D:$D, MATCH($A72, 'UZ-normalized'!$A:$A, 0))-INDEX('UZ-normalized'!$E:$E, MATCH($A72, 'UZ-normalized'!$A:$A, 0))&gt;0, -(27*INDEX('UZ-normalized'!$D:$D, MATCH($A72, 'UZ-normalized'!$A:$A, 0))-INDEX('UZ-normalized'!$E:$E, MATCH($A72, 'UZ-normalized'!$A:$A, 0))), 0), 0)))</f>
        <v>-16.399999999999999</v>
      </c>
      <c r="AP72" s="6">
        <f>MIN(0, N72+(IFERROR(IF(28*INDEX('UA-normalized'!$D:$D, MATCH($A72, 'UA-normalized'!$A:$A, 0))-INDEX('UA-normalized'!$E:$E, MATCH($A72, 'UA-normalized'!$A:$A, 0))&gt;0, -(28*INDEX('UA-normalized'!$D:$D, MATCH($A72, 'UA-normalized'!$A:$A, 0))-INDEX('UA-normalized'!$E:$E, MATCH($A72, 'UA-normalized'!$A:$A, 0))), 0), 0))+(IFERROR(IF(28*INDEX('KZ-normalized'!$D:$D, MATCH($A72, 'KZ-normalized'!$A:$A, 0))-INDEX('KZ-normalized'!$E:$E, MATCH($A72, 'KZ-normalized'!$A:$A, 0))&gt;0, -(28*INDEX('KZ-normalized'!$D:$D, MATCH($A72, 'KZ-normalized'!$A:$A, 0))-INDEX('KZ-normalized'!$E:$E, MATCH($A72, 'KZ-normalized'!$A:$A, 0))), 0), 0))+(IFERROR(IF(28*INDEX('UZ-normalized'!$D:$D, MATCH($A72, 'UZ-normalized'!$A:$A, 0))-INDEX('UZ-normalized'!$E:$E, MATCH($A72, 'UZ-normalized'!$A:$A, 0))&gt;0, -(28*INDEX('UZ-normalized'!$D:$D, MATCH($A72, 'UZ-normalized'!$A:$A, 0))-INDEX('UZ-normalized'!$E:$E, MATCH($A72, 'UZ-normalized'!$A:$A, 0))), 0), 0)))</f>
        <v>-17.600000000000001</v>
      </c>
      <c r="AQ72" s="6">
        <f>MIN(0, N72+(IFERROR(IF(29*INDEX('UA-normalized'!$D:$D, MATCH($A72, 'UA-normalized'!$A:$A, 0))-INDEX('UA-normalized'!$E:$E, MATCH($A72, 'UA-normalized'!$A:$A, 0))&gt;0, -(29*INDEX('UA-normalized'!$D:$D, MATCH($A72, 'UA-normalized'!$A:$A, 0))-INDEX('UA-normalized'!$E:$E, MATCH($A72, 'UA-normalized'!$A:$A, 0))), 0), 0))+(IFERROR(IF(29*INDEX('KZ-normalized'!$D:$D, MATCH($A72, 'KZ-normalized'!$A:$A, 0))-INDEX('KZ-normalized'!$E:$E, MATCH($A72, 'KZ-normalized'!$A:$A, 0))&gt;0, -(29*INDEX('KZ-normalized'!$D:$D, MATCH($A72, 'KZ-normalized'!$A:$A, 0))-INDEX('KZ-normalized'!$E:$E, MATCH($A72, 'KZ-normalized'!$A:$A, 0))), 0), 0))+(IFERROR(IF(29*INDEX('UZ-normalized'!$D:$D, MATCH($A72, 'UZ-normalized'!$A:$A, 0))-INDEX('UZ-normalized'!$E:$E, MATCH($A72, 'UZ-normalized'!$A:$A, 0))&gt;0, -(29*INDEX('UZ-normalized'!$D:$D, MATCH($A72, 'UZ-normalized'!$A:$A, 0))-INDEX('UZ-normalized'!$E:$E, MATCH($A72, 'UZ-normalized'!$A:$A, 0))), 0), 0)))</f>
        <v>-18.799999999999997</v>
      </c>
      <c r="AR72" s="6">
        <f>MIN(0, N72+(IFERROR(IF(30*INDEX('UA-normalized'!$D:$D, MATCH($A72, 'UA-normalized'!$A:$A, 0))-INDEX('UA-normalized'!$E:$E, MATCH($A72, 'UA-normalized'!$A:$A, 0))&gt;0, -(30*INDEX('UA-normalized'!$D:$D, MATCH($A72, 'UA-normalized'!$A:$A, 0))-INDEX('UA-normalized'!$E:$E, MATCH($A72, 'UA-normalized'!$A:$A, 0))), 0), 0))+(IFERROR(IF(30*INDEX('KZ-normalized'!$D:$D, MATCH($A72, 'KZ-normalized'!$A:$A, 0))-INDEX('KZ-normalized'!$E:$E, MATCH($A72, 'KZ-normalized'!$A:$A, 0))&gt;0, -(30*INDEX('KZ-normalized'!$D:$D, MATCH($A72, 'KZ-normalized'!$A:$A, 0))-INDEX('KZ-normalized'!$E:$E, MATCH($A72, 'KZ-normalized'!$A:$A, 0))), 0), 0))+(IFERROR(IF(30*INDEX('UZ-normalized'!$D:$D, MATCH($A72, 'UZ-normalized'!$A:$A, 0))-INDEX('UZ-normalized'!$E:$E, MATCH($A72, 'UZ-normalized'!$A:$A, 0))&gt;0, -(30*INDEX('UZ-normalized'!$D:$D, MATCH($A72, 'UZ-normalized'!$A:$A, 0))-INDEX('UZ-normalized'!$E:$E, MATCH($A72, 'UZ-normalized'!$A:$A, 0))), 0), 0)))</f>
        <v>-20</v>
      </c>
    </row>
    <row r="73" spans="1:44" x14ac:dyDescent="0.25">
      <c r="A73" s="8" t="s">
        <v>195</v>
      </c>
      <c r="B73" s="8" t="s">
        <v>180</v>
      </c>
      <c r="C73" s="8" t="s">
        <v>181</v>
      </c>
      <c r="D73" s="8" t="s">
        <v>196</v>
      </c>
      <c r="N73">
        <f t="shared" si="1"/>
        <v>0</v>
      </c>
      <c r="O73" s="6">
        <f>MIN(0, N73+(IFERROR(IF(1*INDEX('UA-normalized'!$D:$D, MATCH($A73, 'UA-normalized'!$A:$A, 0))-INDEX('UA-normalized'!$E:$E, MATCH($A73, 'UA-normalized'!$A:$A, 0))&gt;0, -(1*INDEX('UA-normalized'!$D:$D, MATCH($A73, 'UA-normalized'!$A:$A, 0))-INDEX('UA-normalized'!$E:$E, MATCH($A73, 'UA-normalized'!$A:$A, 0))), 0), 0))+(IFERROR(IF(1*INDEX('KZ-normalized'!$D:$D, MATCH($A73, 'KZ-normalized'!$A:$A, 0))-INDEX('KZ-normalized'!$E:$E, MATCH($A73, 'KZ-normalized'!$A:$A, 0))&gt;0, -(1*INDEX('KZ-normalized'!$D:$D, MATCH($A73, 'KZ-normalized'!$A:$A, 0))-INDEX('KZ-normalized'!$E:$E, MATCH($A73, 'KZ-normalized'!$A:$A, 0))), 0), 0))+(IFERROR(IF(1*INDEX('UZ-normalized'!$D:$D, MATCH($A73, 'UZ-normalized'!$A:$A, 0))-INDEX('UZ-normalized'!$E:$E, MATCH($A73, 'UZ-normalized'!$A:$A, 0))&gt;0, -(1*INDEX('UZ-normalized'!$D:$D, MATCH($A73, 'UZ-normalized'!$A:$A, 0))-INDEX('UZ-normalized'!$E:$E, MATCH($A73, 'UZ-normalized'!$A:$A, 0))), 0), 0)))</f>
        <v>0</v>
      </c>
      <c r="P73" s="6">
        <f>MIN(0, N73+(IFERROR(IF(2*INDEX('UA-normalized'!$D:$D, MATCH($A73, 'UA-normalized'!$A:$A, 0))-INDEX('UA-normalized'!$E:$E, MATCH($A73, 'UA-normalized'!$A:$A, 0))&gt;0, -(2*INDEX('UA-normalized'!$D:$D, MATCH($A73, 'UA-normalized'!$A:$A, 0))-INDEX('UA-normalized'!$E:$E, MATCH($A73, 'UA-normalized'!$A:$A, 0))), 0), 0))+(IFERROR(IF(2*INDEX('KZ-normalized'!$D:$D, MATCH($A73, 'KZ-normalized'!$A:$A, 0))-INDEX('KZ-normalized'!$E:$E, MATCH($A73, 'KZ-normalized'!$A:$A, 0))&gt;0, -(2*INDEX('KZ-normalized'!$D:$D, MATCH($A73, 'KZ-normalized'!$A:$A, 0))-INDEX('KZ-normalized'!$E:$E, MATCH($A73, 'KZ-normalized'!$A:$A, 0))), 0), 0))+(IFERROR(IF(2*INDEX('UZ-normalized'!$D:$D, MATCH($A73, 'UZ-normalized'!$A:$A, 0))-INDEX('UZ-normalized'!$E:$E, MATCH($A73, 'UZ-normalized'!$A:$A, 0))&gt;0, -(2*INDEX('UZ-normalized'!$D:$D, MATCH($A73, 'UZ-normalized'!$A:$A, 0))-INDEX('UZ-normalized'!$E:$E, MATCH($A73, 'UZ-normalized'!$A:$A, 0))), 0), 0)))</f>
        <v>0</v>
      </c>
      <c r="Q73" s="6">
        <f>MIN(0, N73+(IFERROR(IF(3*INDEX('UA-normalized'!$D:$D, MATCH($A73, 'UA-normalized'!$A:$A, 0))-INDEX('UA-normalized'!$E:$E, MATCH($A73, 'UA-normalized'!$A:$A, 0))&gt;0, -(3*INDEX('UA-normalized'!$D:$D, MATCH($A73, 'UA-normalized'!$A:$A, 0))-INDEX('UA-normalized'!$E:$E, MATCH($A73, 'UA-normalized'!$A:$A, 0))), 0), 0))+(IFERROR(IF(3*INDEX('KZ-normalized'!$D:$D, MATCH($A73, 'KZ-normalized'!$A:$A, 0))-INDEX('KZ-normalized'!$E:$E, MATCH($A73, 'KZ-normalized'!$A:$A, 0))&gt;0, -(3*INDEX('KZ-normalized'!$D:$D, MATCH($A73, 'KZ-normalized'!$A:$A, 0))-INDEX('KZ-normalized'!$E:$E, MATCH($A73, 'KZ-normalized'!$A:$A, 0))), 0), 0))+(IFERROR(IF(3*INDEX('UZ-normalized'!$D:$D, MATCH($A73, 'UZ-normalized'!$A:$A, 0))-INDEX('UZ-normalized'!$E:$E, MATCH($A73, 'UZ-normalized'!$A:$A, 0))&gt;0, -(3*INDEX('UZ-normalized'!$D:$D, MATCH($A73, 'UZ-normalized'!$A:$A, 0))-INDEX('UZ-normalized'!$E:$E, MATCH($A73, 'UZ-normalized'!$A:$A, 0))), 0), 0)))</f>
        <v>0</v>
      </c>
      <c r="R73" s="6">
        <f>MIN(0, N73+(IFERROR(IF(4*INDEX('UA-normalized'!$D:$D, MATCH($A73, 'UA-normalized'!$A:$A, 0))-INDEX('UA-normalized'!$E:$E, MATCH($A73, 'UA-normalized'!$A:$A, 0))&gt;0, -(4*INDEX('UA-normalized'!$D:$D, MATCH($A73, 'UA-normalized'!$A:$A, 0))-INDEX('UA-normalized'!$E:$E, MATCH($A73, 'UA-normalized'!$A:$A, 0))), 0), 0))+(IFERROR(IF(4*INDEX('KZ-normalized'!$D:$D, MATCH($A73, 'KZ-normalized'!$A:$A, 0))-INDEX('KZ-normalized'!$E:$E, MATCH($A73, 'KZ-normalized'!$A:$A, 0))&gt;0, -(4*INDEX('KZ-normalized'!$D:$D, MATCH($A73, 'KZ-normalized'!$A:$A, 0))-INDEX('KZ-normalized'!$E:$E, MATCH($A73, 'KZ-normalized'!$A:$A, 0))), 0), 0))+(IFERROR(IF(4*INDEX('UZ-normalized'!$D:$D, MATCH($A73, 'UZ-normalized'!$A:$A, 0))-INDEX('UZ-normalized'!$E:$E, MATCH($A73, 'UZ-normalized'!$A:$A, 0))&gt;0, -(4*INDEX('UZ-normalized'!$D:$D, MATCH($A73, 'UZ-normalized'!$A:$A, 0))-INDEX('UZ-normalized'!$E:$E, MATCH($A73, 'UZ-normalized'!$A:$A, 0))), 0), 0)))</f>
        <v>0</v>
      </c>
      <c r="S73" s="6">
        <f>MIN(0, N73+(IFERROR(IF(5*INDEX('UA-normalized'!$D:$D, MATCH($A73, 'UA-normalized'!$A:$A, 0))-INDEX('UA-normalized'!$E:$E, MATCH($A73, 'UA-normalized'!$A:$A, 0))&gt;0, -(5*INDEX('UA-normalized'!$D:$D, MATCH($A73, 'UA-normalized'!$A:$A, 0))-INDEX('UA-normalized'!$E:$E, MATCH($A73, 'UA-normalized'!$A:$A, 0))), 0), 0))+(IFERROR(IF(5*INDEX('KZ-normalized'!$D:$D, MATCH($A73, 'KZ-normalized'!$A:$A, 0))-INDEX('KZ-normalized'!$E:$E, MATCH($A73, 'KZ-normalized'!$A:$A, 0))&gt;0, -(5*INDEX('KZ-normalized'!$D:$D, MATCH($A73, 'KZ-normalized'!$A:$A, 0))-INDEX('KZ-normalized'!$E:$E, MATCH($A73, 'KZ-normalized'!$A:$A, 0))), 0), 0))+(IFERROR(IF(5*INDEX('UZ-normalized'!$D:$D, MATCH($A73, 'UZ-normalized'!$A:$A, 0))-INDEX('UZ-normalized'!$E:$E, MATCH($A73, 'UZ-normalized'!$A:$A, 0))&gt;0, -(5*INDEX('UZ-normalized'!$D:$D, MATCH($A73, 'UZ-normalized'!$A:$A, 0))-INDEX('UZ-normalized'!$E:$E, MATCH($A73, 'UZ-normalized'!$A:$A, 0))), 0), 0)))</f>
        <v>0</v>
      </c>
      <c r="T73" s="6">
        <f>MIN(0, N73+(IFERROR(IF(6*INDEX('UA-normalized'!$D:$D, MATCH($A73, 'UA-normalized'!$A:$A, 0))-INDEX('UA-normalized'!$E:$E, MATCH($A73, 'UA-normalized'!$A:$A, 0))&gt;0, -(6*INDEX('UA-normalized'!$D:$D, MATCH($A73, 'UA-normalized'!$A:$A, 0))-INDEX('UA-normalized'!$E:$E, MATCH($A73, 'UA-normalized'!$A:$A, 0))), 0), 0))+(IFERROR(IF(6*INDEX('KZ-normalized'!$D:$D, MATCH($A73, 'KZ-normalized'!$A:$A, 0))-INDEX('KZ-normalized'!$E:$E, MATCH($A73, 'KZ-normalized'!$A:$A, 0))&gt;0, -(6*INDEX('KZ-normalized'!$D:$D, MATCH($A73, 'KZ-normalized'!$A:$A, 0))-INDEX('KZ-normalized'!$E:$E, MATCH($A73, 'KZ-normalized'!$A:$A, 0))), 0), 0))+(IFERROR(IF(6*INDEX('UZ-normalized'!$D:$D, MATCH($A73, 'UZ-normalized'!$A:$A, 0))-INDEX('UZ-normalized'!$E:$E, MATCH($A73, 'UZ-normalized'!$A:$A, 0))&gt;0, -(6*INDEX('UZ-normalized'!$D:$D, MATCH($A73, 'UZ-normalized'!$A:$A, 0))-INDEX('UZ-normalized'!$E:$E, MATCH($A73, 'UZ-normalized'!$A:$A, 0))), 0), 0)))</f>
        <v>0</v>
      </c>
      <c r="U73" s="6">
        <f>MIN(0, N73+(IFERROR(IF(7*INDEX('UA-normalized'!$D:$D, MATCH($A73, 'UA-normalized'!$A:$A, 0))-INDEX('UA-normalized'!$E:$E, MATCH($A73, 'UA-normalized'!$A:$A, 0))&gt;0, -(7*INDEX('UA-normalized'!$D:$D, MATCH($A73, 'UA-normalized'!$A:$A, 0))-INDEX('UA-normalized'!$E:$E, MATCH($A73, 'UA-normalized'!$A:$A, 0))), 0), 0))+(IFERROR(IF(7*INDEX('KZ-normalized'!$D:$D, MATCH($A73, 'KZ-normalized'!$A:$A, 0))-INDEX('KZ-normalized'!$E:$E, MATCH($A73, 'KZ-normalized'!$A:$A, 0))&gt;0, -(7*INDEX('KZ-normalized'!$D:$D, MATCH($A73, 'KZ-normalized'!$A:$A, 0))-INDEX('KZ-normalized'!$E:$E, MATCH($A73, 'KZ-normalized'!$A:$A, 0))), 0), 0))+(IFERROR(IF(7*INDEX('UZ-normalized'!$D:$D, MATCH($A73, 'UZ-normalized'!$A:$A, 0))-INDEX('UZ-normalized'!$E:$E, MATCH($A73, 'UZ-normalized'!$A:$A, 0))&gt;0, -(7*INDEX('UZ-normalized'!$D:$D, MATCH($A73, 'UZ-normalized'!$A:$A, 0))-INDEX('UZ-normalized'!$E:$E, MATCH($A73, 'UZ-normalized'!$A:$A, 0))), 0), 0)))</f>
        <v>0</v>
      </c>
      <c r="V73" s="6">
        <f>MIN(0, N73+(IFERROR(IF(8*INDEX('UA-normalized'!$D:$D, MATCH($A73, 'UA-normalized'!$A:$A, 0))-INDEX('UA-normalized'!$E:$E, MATCH($A73, 'UA-normalized'!$A:$A, 0))&gt;0, -(8*INDEX('UA-normalized'!$D:$D, MATCH($A73, 'UA-normalized'!$A:$A, 0))-INDEX('UA-normalized'!$E:$E, MATCH($A73, 'UA-normalized'!$A:$A, 0))), 0), 0))+(IFERROR(IF(8*INDEX('KZ-normalized'!$D:$D, MATCH($A73, 'KZ-normalized'!$A:$A, 0))-INDEX('KZ-normalized'!$E:$E, MATCH($A73, 'KZ-normalized'!$A:$A, 0))&gt;0, -(8*INDEX('KZ-normalized'!$D:$D, MATCH($A73, 'KZ-normalized'!$A:$A, 0))-INDEX('KZ-normalized'!$E:$E, MATCH($A73, 'KZ-normalized'!$A:$A, 0))), 0), 0))+(IFERROR(IF(8*INDEX('UZ-normalized'!$D:$D, MATCH($A73, 'UZ-normalized'!$A:$A, 0))-INDEX('UZ-normalized'!$E:$E, MATCH($A73, 'UZ-normalized'!$A:$A, 0))&gt;0, -(8*INDEX('UZ-normalized'!$D:$D, MATCH($A73, 'UZ-normalized'!$A:$A, 0))-INDEX('UZ-normalized'!$E:$E, MATCH($A73, 'UZ-normalized'!$A:$A, 0))), 0), 0)))</f>
        <v>0</v>
      </c>
      <c r="W73" s="6">
        <f>MIN(0, N73+(IFERROR(IF(9*INDEX('UA-normalized'!$D:$D, MATCH($A73, 'UA-normalized'!$A:$A, 0))-INDEX('UA-normalized'!$E:$E, MATCH($A73, 'UA-normalized'!$A:$A, 0))&gt;0, -(9*INDEX('UA-normalized'!$D:$D, MATCH($A73, 'UA-normalized'!$A:$A, 0))-INDEX('UA-normalized'!$E:$E, MATCH($A73, 'UA-normalized'!$A:$A, 0))), 0), 0))+(IFERROR(IF(9*INDEX('KZ-normalized'!$D:$D, MATCH($A73, 'KZ-normalized'!$A:$A, 0))-INDEX('KZ-normalized'!$E:$E, MATCH($A73, 'KZ-normalized'!$A:$A, 0))&gt;0, -(9*INDEX('KZ-normalized'!$D:$D, MATCH($A73, 'KZ-normalized'!$A:$A, 0))-INDEX('KZ-normalized'!$E:$E, MATCH($A73, 'KZ-normalized'!$A:$A, 0))), 0), 0))+(IFERROR(IF(9*INDEX('UZ-normalized'!$D:$D, MATCH($A73, 'UZ-normalized'!$A:$A, 0))-INDEX('UZ-normalized'!$E:$E, MATCH($A73, 'UZ-normalized'!$A:$A, 0))&gt;0, -(9*INDEX('UZ-normalized'!$D:$D, MATCH($A73, 'UZ-normalized'!$A:$A, 0))-INDEX('UZ-normalized'!$E:$E, MATCH($A73, 'UZ-normalized'!$A:$A, 0))), 0), 0)))</f>
        <v>0</v>
      </c>
      <c r="X73" s="6">
        <f>MIN(0, N73+(IFERROR(IF(10*INDEX('UA-normalized'!$D:$D, MATCH($A73, 'UA-normalized'!$A:$A, 0))-INDEX('UA-normalized'!$E:$E, MATCH($A73, 'UA-normalized'!$A:$A, 0))&gt;0, -(10*INDEX('UA-normalized'!$D:$D, MATCH($A73, 'UA-normalized'!$A:$A, 0))-INDEX('UA-normalized'!$E:$E, MATCH($A73, 'UA-normalized'!$A:$A, 0))), 0), 0))+(IFERROR(IF(10*INDEX('KZ-normalized'!$D:$D, MATCH($A73, 'KZ-normalized'!$A:$A, 0))-INDEX('KZ-normalized'!$E:$E, MATCH($A73, 'KZ-normalized'!$A:$A, 0))&gt;0, -(10*INDEX('KZ-normalized'!$D:$D, MATCH($A73, 'KZ-normalized'!$A:$A, 0))-INDEX('KZ-normalized'!$E:$E, MATCH($A73, 'KZ-normalized'!$A:$A, 0))), 0), 0))+(IFERROR(IF(10*INDEX('UZ-normalized'!$D:$D, MATCH($A73, 'UZ-normalized'!$A:$A, 0))-INDEX('UZ-normalized'!$E:$E, MATCH($A73, 'UZ-normalized'!$A:$A, 0))&gt;0, -(10*INDEX('UZ-normalized'!$D:$D, MATCH($A73, 'UZ-normalized'!$A:$A, 0))-INDEX('UZ-normalized'!$E:$E, MATCH($A73, 'UZ-normalized'!$A:$A, 0))), 0), 0)))</f>
        <v>0</v>
      </c>
      <c r="Y73" s="6">
        <f>MIN(0, N73+(IFERROR(IF(11*INDEX('UA-normalized'!$D:$D, MATCH($A73, 'UA-normalized'!$A:$A, 0))-INDEX('UA-normalized'!$E:$E, MATCH($A73, 'UA-normalized'!$A:$A, 0))&gt;0, -(11*INDEX('UA-normalized'!$D:$D, MATCH($A73, 'UA-normalized'!$A:$A, 0))-INDEX('UA-normalized'!$E:$E, MATCH($A73, 'UA-normalized'!$A:$A, 0))), 0), 0))+(IFERROR(IF(11*INDEX('KZ-normalized'!$D:$D, MATCH($A73, 'KZ-normalized'!$A:$A, 0))-INDEX('KZ-normalized'!$E:$E, MATCH($A73, 'KZ-normalized'!$A:$A, 0))&gt;0, -(11*INDEX('KZ-normalized'!$D:$D, MATCH($A73, 'KZ-normalized'!$A:$A, 0))-INDEX('KZ-normalized'!$E:$E, MATCH($A73, 'KZ-normalized'!$A:$A, 0))), 0), 0))+(IFERROR(IF(11*INDEX('UZ-normalized'!$D:$D, MATCH($A73, 'UZ-normalized'!$A:$A, 0))-INDEX('UZ-normalized'!$E:$E, MATCH($A73, 'UZ-normalized'!$A:$A, 0))&gt;0, -(11*INDEX('UZ-normalized'!$D:$D, MATCH($A73, 'UZ-normalized'!$A:$A, 0))-INDEX('UZ-normalized'!$E:$E, MATCH($A73, 'UZ-normalized'!$A:$A, 0))), 0), 0)))</f>
        <v>0</v>
      </c>
      <c r="Z73" s="6">
        <f>MIN(0, N73+(IFERROR(IF(12*INDEX('UA-normalized'!$D:$D, MATCH($A73, 'UA-normalized'!$A:$A, 0))-INDEX('UA-normalized'!$E:$E, MATCH($A73, 'UA-normalized'!$A:$A, 0))&gt;0, -(12*INDEX('UA-normalized'!$D:$D, MATCH($A73, 'UA-normalized'!$A:$A, 0))-INDEX('UA-normalized'!$E:$E, MATCH($A73, 'UA-normalized'!$A:$A, 0))), 0), 0))+(IFERROR(IF(12*INDEX('KZ-normalized'!$D:$D, MATCH($A73, 'KZ-normalized'!$A:$A, 0))-INDEX('KZ-normalized'!$E:$E, MATCH($A73, 'KZ-normalized'!$A:$A, 0))&gt;0, -(12*INDEX('KZ-normalized'!$D:$D, MATCH($A73, 'KZ-normalized'!$A:$A, 0))-INDEX('KZ-normalized'!$E:$E, MATCH($A73, 'KZ-normalized'!$A:$A, 0))), 0), 0))+(IFERROR(IF(12*INDEX('UZ-normalized'!$D:$D, MATCH($A73, 'UZ-normalized'!$A:$A, 0))-INDEX('UZ-normalized'!$E:$E, MATCH($A73, 'UZ-normalized'!$A:$A, 0))&gt;0, -(12*INDEX('UZ-normalized'!$D:$D, MATCH($A73, 'UZ-normalized'!$A:$A, 0))-INDEX('UZ-normalized'!$E:$E, MATCH($A73, 'UZ-normalized'!$A:$A, 0))), 0), 0)))</f>
        <v>0</v>
      </c>
      <c r="AA73" s="6">
        <f>MIN(0, N73+(IFERROR(IF(13*INDEX('UA-normalized'!$D:$D, MATCH($A73, 'UA-normalized'!$A:$A, 0))-INDEX('UA-normalized'!$E:$E, MATCH($A73, 'UA-normalized'!$A:$A, 0))&gt;0, -(13*INDEX('UA-normalized'!$D:$D, MATCH($A73, 'UA-normalized'!$A:$A, 0))-INDEX('UA-normalized'!$E:$E, MATCH($A73, 'UA-normalized'!$A:$A, 0))), 0), 0))+(IFERROR(IF(13*INDEX('KZ-normalized'!$D:$D, MATCH($A73, 'KZ-normalized'!$A:$A, 0))-INDEX('KZ-normalized'!$E:$E, MATCH($A73, 'KZ-normalized'!$A:$A, 0))&gt;0, -(13*INDEX('KZ-normalized'!$D:$D, MATCH($A73, 'KZ-normalized'!$A:$A, 0))-INDEX('KZ-normalized'!$E:$E, MATCH($A73, 'KZ-normalized'!$A:$A, 0))), 0), 0))+(IFERROR(IF(13*INDEX('UZ-normalized'!$D:$D, MATCH($A73, 'UZ-normalized'!$A:$A, 0))-INDEX('UZ-normalized'!$E:$E, MATCH($A73, 'UZ-normalized'!$A:$A, 0))&gt;0, -(13*INDEX('UZ-normalized'!$D:$D, MATCH($A73, 'UZ-normalized'!$A:$A, 0))-INDEX('UZ-normalized'!$E:$E, MATCH($A73, 'UZ-normalized'!$A:$A, 0))), 0), 0)))</f>
        <v>0</v>
      </c>
      <c r="AB73" s="6">
        <f>MIN(0, N73+(IFERROR(IF(14*INDEX('UA-normalized'!$D:$D, MATCH($A73, 'UA-normalized'!$A:$A, 0))-INDEX('UA-normalized'!$E:$E, MATCH($A73, 'UA-normalized'!$A:$A, 0))&gt;0, -(14*INDEX('UA-normalized'!$D:$D, MATCH($A73, 'UA-normalized'!$A:$A, 0))-INDEX('UA-normalized'!$E:$E, MATCH($A73, 'UA-normalized'!$A:$A, 0))), 0), 0))+(IFERROR(IF(14*INDEX('KZ-normalized'!$D:$D, MATCH($A73, 'KZ-normalized'!$A:$A, 0))-INDEX('KZ-normalized'!$E:$E, MATCH($A73, 'KZ-normalized'!$A:$A, 0))&gt;0, -(14*INDEX('KZ-normalized'!$D:$D, MATCH($A73, 'KZ-normalized'!$A:$A, 0))-INDEX('KZ-normalized'!$E:$E, MATCH($A73, 'KZ-normalized'!$A:$A, 0))), 0), 0))+(IFERROR(IF(14*INDEX('UZ-normalized'!$D:$D, MATCH($A73, 'UZ-normalized'!$A:$A, 0))-INDEX('UZ-normalized'!$E:$E, MATCH($A73, 'UZ-normalized'!$A:$A, 0))&gt;0, -(14*INDEX('UZ-normalized'!$D:$D, MATCH($A73, 'UZ-normalized'!$A:$A, 0))-INDEX('UZ-normalized'!$E:$E, MATCH($A73, 'UZ-normalized'!$A:$A, 0))), 0), 0)))</f>
        <v>0</v>
      </c>
      <c r="AC73" s="6">
        <f>MIN(0, N73+(IFERROR(IF(15*INDEX('UA-normalized'!$D:$D, MATCH($A73, 'UA-normalized'!$A:$A, 0))-INDEX('UA-normalized'!$E:$E, MATCH($A73, 'UA-normalized'!$A:$A, 0))&gt;0, -(15*INDEX('UA-normalized'!$D:$D, MATCH($A73, 'UA-normalized'!$A:$A, 0))-INDEX('UA-normalized'!$E:$E, MATCH($A73, 'UA-normalized'!$A:$A, 0))), 0), 0))+(IFERROR(IF(15*INDEX('KZ-normalized'!$D:$D, MATCH($A73, 'KZ-normalized'!$A:$A, 0))-INDEX('KZ-normalized'!$E:$E, MATCH($A73, 'KZ-normalized'!$A:$A, 0))&gt;0, -(15*INDEX('KZ-normalized'!$D:$D, MATCH($A73, 'KZ-normalized'!$A:$A, 0))-INDEX('KZ-normalized'!$E:$E, MATCH($A73, 'KZ-normalized'!$A:$A, 0))), 0), 0))+(IFERROR(IF(15*INDEX('UZ-normalized'!$D:$D, MATCH($A73, 'UZ-normalized'!$A:$A, 0))-INDEX('UZ-normalized'!$E:$E, MATCH($A73, 'UZ-normalized'!$A:$A, 0))&gt;0, -(15*INDEX('UZ-normalized'!$D:$D, MATCH($A73, 'UZ-normalized'!$A:$A, 0))-INDEX('UZ-normalized'!$E:$E, MATCH($A73, 'UZ-normalized'!$A:$A, 0))), 0), 0)))</f>
        <v>-1.5</v>
      </c>
      <c r="AD73" s="6">
        <f>MIN(0, N73+(IFERROR(IF(16*INDEX('UA-normalized'!$D:$D, MATCH($A73, 'UA-normalized'!$A:$A, 0))-INDEX('UA-normalized'!$E:$E, MATCH($A73, 'UA-normalized'!$A:$A, 0))&gt;0, -(16*INDEX('UA-normalized'!$D:$D, MATCH($A73, 'UA-normalized'!$A:$A, 0))-INDEX('UA-normalized'!$E:$E, MATCH($A73, 'UA-normalized'!$A:$A, 0))), 0), 0))+(IFERROR(IF(16*INDEX('KZ-normalized'!$D:$D, MATCH($A73, 'KZ-normalized'!$A:$A, 0))-INDEX('KZ-normalized'!$E:$E, MATCH($A73, 'KZ-normalized'!$A:$A, 0))&gt;0, -(16*INDEX('KZ-normalized'!$D:$D, MATCH($A73, 'KZ-normalized'!$A:$A, 0))-INDEX('KZ-normalized'!$E:$E, MATCH($A73, 'KZ-normalized'!$A:$A, 0))), 0), 0))+(IFERROR(IF(16*INDEX('UZ-normalized'!$D:$D, MATCH($A73, 'UZ-normalized'!$A:$A, 0))-INDEX('UZ-normalized'!$E:$E, MATCH($A73, 'UZ-normalized'!$A:$A, 0))&gt;0, -(16*INDEX('UZ-normalized'!$D:$D, MATCH($A73, 'UZ-normalized'!$A:$A, 0))-INDEX('UZ-normalized'!$E:$E, MATCH($A73, 'UZ-normalized'!$A:$A, 0))), 0), 0)))</f>
        <v>-4.3999999999999986</v>
      </c>
      <c r="AE73" s="6">
        <f>MIN(0, N73+(IFERROR(IF(17*INDEX('UA-normalized'!$D:$D, MATCH($A73, 'UA-normalized'!$A:$A, 0))-INDEX('UA-normalized'!$E:$E, MATCH($A73, 'UA-normalized'!$A:$A, 0))&gt;0, -(17*INDEX('UA-normalized'!$D:$D, MATCH($A73, 'UA-normalized'!$A:$A, 0))-INDEX('UA-normalized'!$E:$E, MATCH($A73, 'UA-normalized'!$A:$A, 0))), 0), 0))+(IFERROR(IF(17*INDEX('KZ-normalized'!$D:$D, MATCH($A73, 'KZ-normalized'!$A:$A, 0))-INDEX('KZ-normalized'!$E:$E, MATCH($A73, 'KZ-normalized'!$A:$A, 0))&gt;0, -(17*INDEX('KZ-normalized'!$D:$D, MATCH($A73, 'KZ-normalized'!$A:$A, 0))-INDEX('KZ-normalized'!$E:$E, MATCH($A73, 'KZ-normalized'!$A:$A, 0))), 0), 0))+(IFERROR(IF(17*INDEX('UZ-normalized'!$D:$D, MATCH($A73, 'UZ-normalized'!$A:$A, 0))-INDEX('UZ-normalized'!$E:$E, MATCH($A73, 'UZ-normalized'!$A:$A, 0))&gt;0, -(17*INDEX('UZ-normalized'!$D:$D, MATCH($A73, 'UZ-normalized'!$A:$A, 0))-INDEX('UZ-normalized'!$E:$E, MATCH($A73, 'UZ-normalized'!$A:$A, 0))), 0), 0)))</f>
        <v>-7.2999999999999972</v>
      </c>
      <c r="AF73" s="6">
        <f>MIN(0, N73+(IFERROR(IF(18*INDEX('UA-normalized'!$D:$D, MATCH($A73, 'UA-normalized'!$A:$A, 0))-INDEX('UA-normalized'!$E:$E, MATCH($A73, 'UA-normalized'!$A:$A, 0))&gt;0, -(18*INDEX('UA-normalized'!$D:$D, MATCH($A73, 'UA-normalized'!$A:$A, 0))-INDEX('UA-normalized'!$E:$E, MATCH($A73, 'UA-normalized'!$A:$A, 0))), 0), 0))+(IFERROR(IF(18*INDEX('KZ-normalized'!$D:$D, MATCH($A73, 'KZ-normalized'!$A:$A, 0))-INDEX('KZ-normalized'!$E:$E, MATCH($A73, 'KZ-normalized'!$A:$A, 0))&gt;0, -(18*INDEX('KZ-normalized'!$D:$D, MATCH($A73, 'KZ-normalized'!$A:$A, 0))-INDEX('KZ-normalized'!$E:$E, MATCH($A73, 'KZ-normalized'!$A:$A, 0))), 0), 0))+(IFERROR(IF(18*INDEX('UZ-normalized'!$D:$D, MATCH($A73, 'UZ-normalized'!$A:$A, 0))-INDEX('UZ-normalized'!$E:$E, MATCH($A73, 'UZ-normalized'!$A:$A, 0))&gt;0, -(18*INDEX('UZ-normalized'!$D:$D, MATCH($A73, 'UZ-normalized'!$A:$A, 0))-INDEX('UZ-normalized'!$E:$E, MATCH($A73, 'UZ-normalized'!$A:$A, 0))), 0), 0)))</f>
        <v>-10.199999999999996</v>
      </c>
      <c r="AG73" s="6">
        <f>MIN(0, N73+(IFERROR(IF(19*INDEX('UA-normalized'!$D:$D, MATCH($A73, 'UA-normalized'!$A:$A, 0))-INDEX('UA-normalized'!$E:$E, MATCH($A73, 'UA-normalized'!$A:$A, 0))&gt;0, -(19*INDEX('UA-normalized'!$D:$D, MATCH($A73, 'UA-normalized'!$A:$A, 0))-INDEX('UA-normalized'!$E:$E, MATCH($A73, 'UA-normalized'!$A:$A, 0))), 0), 0))+(IFERROR(IF(19*INDEX('KZ-normalized'!$D:$D, MATCH($A73, 'KZ-normalized'!$A:$A, 0))-INDEX('KZ-normalized'!$E:$E, MATCH($A73, 'KZ-normalized'!$A:$A, 0))&gt;0, -(19*INDEX('KZ-normalized'!$D:$D, MATCH($A73, 'KZ-normalized'!$A:$A, 0))-INDEX('KZ-normalized'!$E:$E, MATCH($A73, 'KZ-normalized'!$A:$A, 0))), 0), 0))+(IFERROR(IF(19*INDEX('UZ-normalized'!$D:$D, MATCH($A73, 'UZ-normalized'!$A:$A, 0))-INDEX('UZ-normalized'!$E:$E, MATCH($A73, 'UZ-normalized'!$A:$A, 0))&gt;0, -(19*INDEX('UZ-normalized'!$D:$D, MATCH($A73, 'UZ-normalized'!$A:$A, 0))-INDEX('UZ-normalized'!$E:$E, MATCH($A73, 'UZ-normalized'!$A:$A, 0))), 0), 0)))</f>
        <v>-13.100000000000001</v>
      </c>
      <c r="AH73" s="6">
        <f>MIN(0, N73+(IFERROR(IF(20*INDEX('UA-normalized'!$D:$D, MATCH($A73, 'UA-normalized'!$A:$A, 0))-INDEX('UA-normalized'!$E:$E, MATCH($A73, 'UA-normalized'!$A:$A, 0))&gt;0, -(20*INDEX('UA-normalized'!$D:$D, MATCH($A73, 'UA-normalized'!$A:$A, 0))-INDEX('UA-normalized'!$E:$E, MATCH($A73, 'UA-normalized'!$A:$A, 0))), 0), 0))+(IFERROR(IF(20*INDEX('KZ-normalized'!$D:$D, MATCH($A73, 'KZ-normalized'!$A:$A, 0))-INDEX('KZ-normalized'!$E:$E, MATCH($A73, 'KZ-normalized'!$A:$A, 0))&gt;0, -(20*INDEX('KZ-normalized'!$D:$D, MATCH($A73, 'KZ-normalized'!$A:$A, 0))-INDEX('KZ-normalized'!$E:$E, MATCH($A73, 'KZ-normalized'!$A:$A, 0))), 0), 0))+(IFERROR(IF(20*INDEX('UZ-normalized'!$D:$D, MATCH($A73, 'UZ-normalized'!$A:$A, 0))-INDEX('UZ-normalized'!$E:$E, MATCH($A73, 'UZ-normalized'!$A:$A, 0))&gt;0, -(20*INDEX('UZ-normalized'!$D:$D, MATCH($A73, 'UZ-normalized'!$A:$A, 0))-INDEX('UZ-normalized'!$E:$E, MATCH($A73, 'UZ-normalized'!$A:$A, 0))), 0), 0)))</f>
        <v>-16</v>
      </c>
      <c r="AI73" s="6">
        <f>MIN(0, N73+(IFERROR(IF(21*INDEX('UA-normalized'!$D:$D, MATCH($A73, 'UA-normalized'!$A:$A, 0))-INDEX('UA-normalized'!$E:$E, MATCH($A73, 'UA-normalized'!$A:$A, 0))&gt;0, -(21*INDEX('UA-normalized'!$D:$D, MATCH($A73, 'UA-normalized'!$A:$A, 0))-INDEX('UA-normalized'!$E:$E, MATCH($A73, 'UA-normalized'!$A:$A, 0))), 0), 0))+(IFERROR(IF(21*INDEX('KZ-normalized'!$D:$D, MATCH($A73, 'KZ-normalized'!$A:$A, 0))-INDEX('KZ-normalized'!$E:$E, MATCH($A73, 'KZ-normalized'!$A:$A, 0))&gt;0, -(21*INDEX('KZ-normalized'!$D:$D, MATCH($A73, 'KZ-normalized'!$A:$A, 0))-INDEX('KZ-normalized'!$E:$E, MATCH($A73, 'KZ-normalized'!$A:$A, 0))), 0), 0))+(IFERROR(IF(21*INDEX('UZ-normalized'!$D:$D, MATCH($A73, 'UZ-normalized'!$A:$A, 0))-INDEX('UZ-normalized'!$E:$E, MATCH($A73, 'UZ-normalized'!$A:$A, 0))&gt;0, -(21*INDEX('UZ-normalized'!$D:$D, MATCH($A73, 'UZ-normalized'!$A:$A, 0))-INDEX('UZ-normalized'!$E:$E, MATCH($A73, 'UZ-normalized'!$A:$A, 0))), 0), 0)))</f>
        <v>-18.899999999999999</v>
      </c>
      <c r="AJ73" s="6">
        <f>MIN(0, N73+(IFERROR(IF(22*INDEX('UA-normalized'!$D:$D, MATCH($A73, 'UA-normalized'!$A:$A, 0))-INDEX('UA-normalized'!$E:$E, MATCH($A73, 'UA-normalized'!$A:$A, 0))&gt;0, -(22*INDEX('UA-normalized'!$D:$D, MATCH($A73, 'UA-normalized'!$A:$A, 0))-INDEX('UA-normalized'!$E:$E, MATCH($A73, 'UA-normalized'!$A:$A, 0))), 0), 0))+(IFERROR(IF(22*INDEX('KZ-normalized'!$D:$D, MATCH($A73, 'KZ-normalized'!$A:$A, 0))-INDEX('KZ-normalized'!$E:$E, MATCH($A73, 'KZ-normalized'!$A:$A, 0))&gt;0, -(22*INDEX('KZ-normalized'!$D:$D, MATCH($A73, 'KZ-normalized'!$A:$A, 0))-INDEX('KZ-normalized'!$E:$E, MATCH($A73, 'KZ-normalized'!$A:$A, 0))), 0), 0))+(IFERROR(IF(22*INDEX('UZ-normalized'!$D:$D, MATCH($A73, 'UZ-normalized'!$A:$A, 0))-INDEX('UZ-normalized'!$E:$E, MATCH($A73, 'UZ-normalized'!$A:$A, 0))&gt;0, -(22*INDEX('UZ-normalized'!$D:$D, MATCH($A73, 'UZ-normalized'!$A:$A, 0))-INDEX('UZ-normalized'!$E:$E, MATCH($A73, 'UZ-normalized'!$A:$A, 0))), 0), 0)))</f>
        <v>-21.799999999999997</v>
      </c>
      <c r="AK73" s="6">
        <f>MIN(0, N73+(IFERROR(IF(23*INDEX('UA-normalized'!$D:$D, MATCH($A73, 'UA-normalized'!$A:$A, 0))-INDEX('UA-normalized'!$E:$E, MATCH($A73, 'UA-normalized'!$A:$A, 0))&gt;0, -(23*INDEX('UA-normalized'!$D:$D, MATCH($A73, 'UA-normalized'!$A:$A, 0))-INDEX('UA-normalized'!$E:$E, MATCH($A73, 'UA-normalized'!$A:$A, 0))), 0), 0))+(IFERROR(IF(23*INDEX('KZ-normalized'!$D:$D, MATCH($A73, 'KZ-normalized'!$A:$A, 0))-INDEX('KZ-normalized'!$E:$E, MATCH($A73, 'KZ-normalized'!$A:$A, 0))&gt;0, -(23*INDEX('KZ-normalized'!$D:$D, MATCH($A73, 'KZ-normalized'!$A:$A, 0))-INDEX('KZ-normalized'!$E:$E, MATCH($A73, 'KZ-normalized'!$A:$A, 0))), 0), 0))+(IFERROR(IF(23*INDEX('UZ-normalized'!$D:$D, MATCH($A73, 'UZ-normalized'!$A:$A, 0))-INDEX('UZ-normalized'!$E:$E, MATCH($A73, 'UZ-normalized'!$A:$A, 0))&gt;0, -(23*INDEX('UZ-normalized'!$D:$D, MATCH($A73, 'UZ-normalized'!$A:$A, 0))-INDEX('UZ-normalized'!$E:$E, MATCH($A73, 'UZ-normalized'!$A:$A, 0))), 0), 0)))</f>
        <v>-24.700000000000003</v>
      </c>
      <c r="AL73" s="6">
        <f>MIN(0, N73+(IFERROR(IF(24*INDEX('UA-normalized'!$D:$D, MATCH($A73, 'UA-normalized'!$A:$A, 0))-INDEX('UA-normalized'!$E:$E, MATCH($A73, 'UA-normalized'!$A:$A, 0))&gt;0, -(24*INDEX('UA-normalized'!$D:$D, MATCH($A73, 'UA-normalized'!$A:$A, 0))-INDEX('UA-normalized'!$E:$E, MATCH($A73, 'UA-normalized'!$A:$A, 0))), 0), 0))+(IFERROR(IF(24*INDEX('KZ-normalized'!$D:$D, MATCH($A73, 'KZ-normalized'!$A:$A, 0))-INDEX('KZ-normalized'!$E:$E, MATCH($A73, 'KZ-normalized'!$A:$A, 0))&gt;0, -(24*INDEX('KZ-normalized'!$D:$D, MATCH($A73, 'KZ-normalized'!$A:$A, 0))-INDEX('KZ-normalized'!$E:$E, MATCH($A73, 'KZ-normalized'!$A:$A, 0))), 0), 0))+(IFERROR(IF(24*INDEX('UZ-normalized'!$D:$D, MATCH($A73, 'UZ-normalized'!$A:$A, 0))-INDEX('UZ-normalized'!$E:$E, MATCH($A73, 'UZ-normalized'!$A:$A, 0))&gt;0, -(24*INDEX('UZ-normalized'!$D:$D, MATCH($A73, 'UZ-normalized'!$A:$A, 0))-INDEX('UZ-normalized'!$E:$E, MATCH($A73, 'UZ-normalized'!$A:$A, 0))), 0), 0)))</f>
        <v>-27.599999999999994</v>
      </c>
      <c r="AM73" s="6">
        <f>MIN(0, N73+(IFERROR(IF(25*INDEX('UA-normalized'!$D:$D, MATCH($A73, 'UA-normalized'!$A:$A, 0))-INDEX('UA-normalized'!$E:$E, MATCH($A73, 'UA-normalized'!$A:$A, 0))&gt;0, -(25*INDEX('UA-normalized'!$D:$D, MATCH($A73, 'UA-normalized'!$A:$A, 0))-INDEX('UA-normalized'!$E:$E, MATCH($A73, 'UA-normalized'!$A:$A, 0))), 0), 0))+(IFERROR(IF(25*INDEX('KZ-normalized'!$D:$D, MATCH($A73, 'KZ-normalized'!$A:$A, 0))-INDEX('KZ-normalized'!$E:$E, MATCH($A73, 'KZ-normalized'!$A:$A, 0))&gt;0, -(25*INDEX('KZ-normalized'!$D:$D, MATCH($A73, 'KZ-normalized'!$A:$A, 0))-INDEX('KZ-normalized'!$E:$E, MATCH($A73, 'KZ-normalized'!$A:$A, 0))), 0), 0))+(IFERROR(IF(25*INDEX('UZ-normalized'!$D:$D, MATCH($A73, 'UZ-normalized'!$A:$A, 0))-INDEX('UZ-normalized'!$E:$E, MATCH($A73, 'UZ-normalized'!$A:$A, 0))&gt;0, -(25*INDEX('UZ-normalized'!$D:$D, MATCH($A73, 'UZ-normalized'!$A:$A, 0))-INDEX('UZ-normalized'!$E:$E, MATCH($A73, 'UZ-normalized'!$A:$A, 0))), 0), 0)))</f>
        <v>-30.5</v>
      </c>
      <c r="AN73" s="6">
        <f>MIN(0, N73+(IFERROR(IF(26*INDEX('UA-normalized'!$D:$D, MATCH($A73, 'UA-normalized'!$A:$A, 0))-INDEX('UA-normalized'!$E:$E, MATCH($A73, 'UA-normalized'!$A:$A, 0))&gt;0, -(26*INDEX('UA-normalized'!$D:$D, MATCH($A73, 'UA-normalized'!$A:$A, 0))-INDEX('UA-normalized'!$E:$E, MATCH($A73, 'UA-normalized'!$A:$A, 0))), 0), 0))+(IFERROR(IF(26*INDEX('KZ-normalized'!$D:$D, MATCH($A73, 'KZ-normalized'!$A:$A, 0))-INDEX('KZ-normalized'!$E:$E, MATCH($A73, 'KZ-normalized'!$A:$A, 0))&gt;0, -(26*INDEX('KZ-normalized'!$D:$D, MATCH($A73, 'KZ-normalized'!$A:$A, 0))-INDEX('KZ-normalized'!$E:$E, MATCH($A73, 'KZ-normalized'!$A:$A, 0))), 0), 0))+(IFERROR(IF(26*INDEX('UZ-normalized'!$D:$D, MATCH($A73, 'UZ-normalized'!$A:$A, 0))-INDEX('UZ-normalized'!$E:$E, MATCH($A73, 'UZ-normalized'!$A:$A, 0))&gt;0, -(26*INDEX('UZ-normalized'!$D:$D, MATCH($A73, 'UZ-normalized'!$A:$A, 0))-INDEX('UZ-normalized'!$E:$E, MATCH($A73, 'UZ-normalized'!$A:$A, 0))), 0), 0)))</f>
        <v>-33.399999999999991</v>
      </c>
      <c r="AO73" s="6">
        <f>MIN(0, N73+(IFERROR(IF(27*INDEX('UA-normalized'!$D:$D, MATCH($A73, 'UA-normalized'!$A:$A, 0))-INDEX('UA-normalized'!$E:$E, MATCH($A73, 'UA-normalized'!$A:$A, 0))&gt;0, -(27*INDEX('UA-normalized'!$D:$D, MATCH($A73, 'UA-normalized'!$A:$A, 0))-INDEX('UA-normalized'!$E:$E, MATCH($A73, 'UA-normalized'!$A:$A, 0))), 0), 0))+(IFERROR(IF(27*INDEX('KZ-normalized'!$D:$D, MATCH($A73, 'KZ-normalized'!$A:$A, 0))-INDEX('KZ-normalized'!$E:$E, MATCH($A73, 'KZ-normalized'!$A:$A, 0))&gt;0, -(27*INDEX('KZ-normalized'!$D:$D, MATCH($A73, 'KZ-normalized'!$A:$A, 0))-INDEX('KZ-normalized'!$E:$E, MATCH($A73, 'KZ-normalized'!$A:$A, 0))), 0), 0))+(IFERROR(IF(27*INDEX('UZ-normalized'!$D:$D, MATCH($A73, 'UZ-normalized'!$A:$A, 0))-INDEX('UZ-normalized'!$E:$E, MATCH($A73, 'UZ-normalized'!$A:$A, 0))&gt;0, -(27*INDEX('UZ-normalized'!$D:$D, MATCH($A73, 'UZ-normalized'!$A:$A, 0))-INDEX('UZ-normalized'!$E:$E, MATCH($A73, 'UZ-normalized'!$A:$A, 0))), 0), 0)))</f>
        <v>-36.299999999999997</v>
      </c>
      <c r="AP73" s="6">
        <f>MIN(0, N73+(IFERROR(IF(28*INDEX('UA-normalized'!$D:$D, MATCH($A73, 'UA-normalized'!$A:$A, 0))-INDEX('UA-normalized'!$E:$E, MATCH($A73, 'UA-normalized'!$A:$A, 0))&gt;0, -(28*INDEX('UA-normalized'!$D:$D, MATCH($A73, 'UA-normalized'!$A:$A, 0))-INDEX('UA-normalized'!$E:$E, MATCH($A73, 'UA-normalized'!$A:$A, 0))), 0), 0))+(IFERROR(IF(28*INDEX('KZ-normalized'!$D:$D, MATCH($A73, 'KZ-normalized'!$A:$A, 0))-INDEX('KZ-normalized'!$E:$E, MATCH($A73, 'KZ-normalized'!$A:$A, 0))&gt;0, -(28*INDEX('KZ-normalized'!$D:$D, MATCH($A73, 'KZ-normalized'!$A:$A, 0))-INDEX('KZ-normalized'!$E:$E, MATCH($A73, 'KZ-normalized'!$A:$A, 0))), 0), 0))+(IFERROR(IF(28*INDEX('UZ-normalized'!$D:$D, MATCH($A73, 'UZ-normalized'!$A:$A, 0))-INDEX('UZ-normalized'!$E:$E, MATCH($A73, 'UZ-normalized'!$A:$A, 0))&gt;0, -(28*INDEX('UZ-normalized'!$D:$D, MATCH($A73, 'UZ-normalized'!$A:$A, 0))-INDEX('UZ-normalized'!$E:$E, MATCH($A73, 'UZ-normalized'!$A:$A, 0))), 0), 0)))</f>
        <v>-39.200000000000003</v>
      </c>
      <c r="AQ73" s="6">
        <f>MIN(0, N73+(IFERROR(IF(29*INDEX('UA-normalized'!$D:$D, MATCH($A73, 'UA-normalized'!$A:$A, 0))-INDEX('UA-normalized'!$E:$E, MATCH($A73, 'UA-normalized'!$A:$A, 0))&gt;0, -(29*INDEX('UA-normalized'!$D:$D, MATCH($A73, 'UA-normalized'!$A:$A, 0))-INDEX('UA-normalized'!$E:$E, MATCH($A73, 'UA-normalized'!$A:$A, 0))), 0), 0))+(IFERROR(IF(29*INDEX('KZ-normalized'!$D:$D, MATCH($A73, 'KZ-normalized'!$A:$A, 0))-INDEX('KZ-normalized'!$E:$E, MATCH($A73, 'KZ-normalized'!$A:$A, 0))&gt;0, -(29*INDEX('KZ-normalized'!$D:$D, MATCH($A73, 'KZ-normalized'!$A:$A, 0))-INDEX('KZ-normalized'!$E:$E, MATCH($A73, 'KZ-normalized'!$A:$A, 0))), 0), 0))+(IFERROR(IF(29*INDEX('UZ-normalized'!$D:$D, MATCH($A73, 'UZ-normalized'!$A:$A, 0))-INDEX('UZ-normalized'!$E:$E, MATCH($A73, 'UZ-normalized'!$A:$A, 0))&gt;0, -(29*INDEX('UZ-normalized'!$D:$D, MATCH($A73, 'UZ-normalized'!$A:$A, 0))-INDEX('UZ-normalized'!$E:$E, MATCH($A73, 'UZ-normalized'!$A:$A, 0))), 0), 0)))</f>
        <v>-42.099999999999994</v>
      </c>
      <c r="AR73" s="6">
        <f>MIN(0, N73+(IFERROR(IF(30*INDEX('UA-normalized'!$D:$D, MATCH($A73, 'UA-normalized'!$A:$A, 0))-INDEX('UA-normalized'!$E:$E, MATCH($A73, 'UA-normalized'!$A:$A, 0))&gt;0, -(30*INDEX('UA-normalized'!$D:$D, MATCH($A73, 'UA-normalized'!$A:$A, 0))-INDEX('UA-normalized'!$E:$E, MATCH($A73, 'UA-normalized'!$A:$A, 0))), 0), 0))+(IFERROR(IF(30*INDEX('KZ-normalized'!$D:$D, MATCH($A73, 'KZ-normalized'!$A:$A, 0))-INDEX('KZ-normalized'!$E:$E, MATCH($A73, 'KZ-normalized'!$A:$A, 0))&gt;0, -(30*INDEX('KZ-normalized'!$D:$D, MATCH($A73, 'KZ-normalized'!$A:$A, 0))-INDEX('KZ-normalized'!$E:$E, MATCH($A73, 'KZ-normalized'!$A:$A, 0))), 0), 0))+(IFERROR(IF(30*INDEX('UZ-normalized'!$D:$D, MATCH($A73, 'UZ-normalized'!$A:$A, 0))-INDEX('UZ-normalized'!$E:$E, MATCH($A73, 'UZ-normalized'!$A:$A, 0))&gt;0, -(30*INDEX('UZ-normalized'!$D:$D, MATCH($A73, 'UZ-normalized'!$A:$A, 0))-INDEX('UZ-normalized'!$E:$E, MATCH($A73, 'UZ-normalized'!$A:$A, 0))), 0), 0)))</f>
        <v>-45</v>
      </c>
    </row>
    <row r="74" spans="1:44" x14ac:dyDescent="0.25">
      <c r="A74" s="8" t="s">
        <v>197</v>
      </c>
      <c r="B74" s="8" t="s">
        <v>180</v>
      </c>
      <c r="C74" s="8" t="s">
        <v>181</v>
      </c>
      <c r="D74" s="8" t="s">
        <v>198</v>
      </c>
      <c r="N74">
        <f t="shared" si="1"/>
        <v>0</v>
      </c>
      <c r="O74" s="6">
        <f>MIN(0, N74+(IFERROR(IF(1*INDEX('UA-normalized'!$D:$D, MATCH($A74, 'UA-normalized'!$A:$A, 0))-INDEX('UA-normalized'!$E:$E, MATCH($A74, 'UA-normalized'!$A:$A, 0))&gt;0, -(1*INDEX('UA-normalized'!$D:$D, MATCH($A74, 'UA-normalized'!$A:$A, 0))-INDEX('UA-normalized'!$E:$E, MATCH($A74, 'UA-normalized'!$A:$A, 0))), 0), 0))+(IFERROR(IF(1*INDEX('KZ-normalized'!$D:$D, MATCH($A74, 'KZ-normalized'!$A:$A, 0))-INDEX('KZ-normalized'!$E:$E, MATCH($A74, 'KZ-normalized'!$A:$A, 0))&gt;0, -(1*INDEX('KZ-normalized'!$D:$D, MATCH($A74, 'KZ-normalized'!$A:$A, 0))-INDEX('KZ-normalized'!$E:$E, MATCH($A74, 'KZ-normalized'!$A:$A, 0))), 0), 0))+(IFERROR(IF(1*INDEX('UZ-normalized'!$D:$D, MATCH($A74, 'UZ-normalized'!$A:$A, 0))-INDEX('UZ-normalized'!$E:$E, MATCH($A74, 'UZ-normalized'!$A:$A, 0))&gt;0, -(1*INDEX('UZ-normalized'!$D:$D, MATCH($A74, 'UZ-normalized'!$A:$A, 0))-INDEX('UZ-normalized'!$E:$E, MATCH($A74, 'UZ-normalized'!$A:$A, 0))), 0), 0)))</f>
        <v>0</v>
      </c>
      <c r="P74" s="6">
        <f>MIN(0, N74+(IFERROR(IF(2*INDEX('UA-normalized'!$D:$D, MATCH($A74, 'UA-normalized'!$A:$A, 0))-INDEX('UA-normalized'!$E:$E, MATCH($A74, 'UA-normalized'!$A:$A, 0))&gt;0, -(2*INDEX('UA-normalized'!$D:$D, MATCH($A74, 'UA-normalized'!$A:$A, 0))-INDEX('UA-normalized'!$E:$E, MATCH($A74, 'UA-normalized'!$A:$A, 0))), 0), 0))+(IFERROR(IF(2*INDEX('KZ-normalized'!$D:$D, MATCH($A74, 'KZ-normalized'!$A:$A, 0))-INDEX('KZ-normalized'!$E:$E, MATCH($A74, 'KZ-normalized'!$A:$A, 0))&gt;0, -(2*INDEX('KZ-normalized'!$D:$D, MATCH($A74, 'KZ-normalized'!$A:$A, 0))-INDEX('KZ-normalized'!$E:$E, MATCH($A74, 'KZ-normalized'!$A:$A, 0))), 0), 0))+(IFERROR(IF(2*INDEX('UZ-normalized'!$D:$D, MATCH($A74, 'UZ-normalized'!$A:$A, 0))-INDEX('UZ-normalized'!$E:$E, MATCH($A74, 'UZ-normalized'!$A:$A, 0))&gt;0, -(2*INDEX('UZ-normalized'!$D:$D, MATCH($A74, 'UZ-normalized'!$A:$A, 0))-INDEX('UZ-normalized'!$E:$E, MATCH($A74, 'UZ-normalized'!$A:$A, 0))), 0), 0)))</f>
        <v>0</v>
      </c>
      <c r="Q74" s="6">
        <f>MIN(0, N74+(IFERROR(IF(3*INDEX('UA-normalized'!$D:$D, MATCH($A74, 'UA-normalized'!$A:$A, 0))-INDEX('UA-normalized'!$E:$E, MATCH($A74, 'UA-normalized'!$A:$A, 0))&gt;0, -(3*INDEX('UA-normalized'!$D:$D, MATCH($A74, 'UA-normalized'!$A:$A, 0))-INDEX('UA-normalized'!$E:$E, MATCH($A74, 'UA-normalized'!$A:$A, 0))), 0), 0))+(IFERROR(IF(3*INDEX('KZ-normalized'!$D:$D, MATCH($A74, 'KZ-normalized'!$A:$A, 0))-INDEX('KZ-normalized'!$E:$E, MATCH($A74, 'KZ-normalized'!$A:$A, 0))&gt;0, -(3*INDEX('KZ-normalized'!$D:$D, MATCH($A74, 'KZ-normalized'!$A:$A, 0))-INDEX('KZ-normalized'!$E:$E, MATCH($A74, 'KZ-normalized'!$A:$A, 0))), 0), 0))+(IFERROR(IF(3*INDEX('UZ-normalized'!$D:$D, MATCH($A74, 'UZ-normalized'!$A:$A, 0))-INDEX('UZ-normalized'!$E:$E, MATCH($A74, 'UZ-normalized'!$A:$A, 0))&gt;0, -(3*INDEX('UZ-normalized'!$D:$D, MATCH($A74, 'UZ-normalized'!$A:$A, 0))-INDEX('UZ-normalized'!$E:$E, MATCH($A74, 'UZ-normalized'!$A:$A, 0))), 0), 0)))</f>
        <v>0</v>
      </c>
      <c r="R74" s="6">
        <f>MIN(0, N74+(IFERROR(IF(4*INDEX('UA-normalized'!$D:$D, MATCH($A74, 'UA-normalized'!$A:$A, 0))-INDEX('UA-normalized'!$E:$E, MATCH($A74, 'UA-normalized'!$A:$A, 0))&gt;0, -(4*INDEX('UA-normalized'!$D:$D, MATCH($A74, 'UA-normalized'!$A:$A, 0))-INDEX('UA-normalized'!$E:$E, MATCH($A74, 'UA-normalized'!$A:$A, 0))), 0), 0))+(IFERROR(IF(4*INDEX('KZ-normalized'!$D:$D, MATCH($A74, 'KZ-normalized'!$A:$A, 0))-INDEX('KZ-normalized'!$E:$E, MATCH($A74, 'KZ-normalized'!$A:$A, 0))&gt;0, -(4*INDEX('KZ-normalized'!$D:$D, MATCH($A74, 'KZ-normalized'!$A:$A, 0))-INDEX('KZ-normalized'!$E:$E, MATCH($A74, 'KZ-normalized'!$A:$A, 0))), 0), 0))+(IFERROR(IF(4*INDEX('UZ-normalized'!$D:$D, MATCH($A74, 'UZ-normalized'!$A:$A, 0))-INDEX('UZ-normalized'!$E:$E, MATCH($A74, 'UZ-normalized'!$A:$A, 0))&gt;0, -(4*INDEX('UZ-normalized'!$D:$D, MATCH($A74, 'UZ-normalized'!$A:$A, 0))-INDEX('UZ-normalized'!$E:$E, MATCH($A74, 'UZ-normalized'!$A:$A, 0))), 0), 0)))</f>
        <v>0</v>
      </c>
      <c r="S74" s="6">
        <f>MIN(0, N74+(IFERROR(IF(5*INDEX('UA-normalized'!$D:$D, MATCH($A74, 'UA-normalized'!$A:$A, 0))-INDEX('UA-normalized'!$E:$E, MATCH($A74, 'UA-normalized'!$A:$A, 0))&gt;0, -(5*INDEX('UA-normalized'!$D:$D, MATCH($A74, 'UA-normalized'!$A:$A, 0))-INDEX('UA-normalized'!$E:$E, MATCH($A74, 'UA-normalized'!$A:$A, 0))), 0), 0))+(IFERROR(IF(5*INDEX('KZ-normalized'!$D:$D, MATCH($A74, 'KZ-normalized'!$A:$A, 0))-INDEX('KZ-normalized'!$E:$E, MATCH($A74, 'KZ-normalized'!$A:$A, 0))&gt;0, -(5*INDEX('KZ-normalized'!$D:$D, MATCH($A74, 'KZ-normalized'!$A:$A, 0))-INDEX('KZ-normalized'!$E:$E, MATCH($A74, 'KZ-normalized'!$A:$A, 0))), 0), 0))+(IFERROR(IF(5*INDEX('UZ-normalized'!$D:$D, MATCH($A74, 'UZ-normalized'!$A:$A, 0))-INDEX('UZ-normalized'!$E:$E, MATCH($A74, 'UZ-normalized'!$A:$A, 0))&gt;0, -(5*INDEX('UZ-normalized'!$D:$D, MATCH($A74, 'UZ-normalized'!$A:$A, 0))-INDEX('UZ-normalized'!$E:$E, MATCH($A74, 'UZ-normalized'!$A:$A, 0))), 0), 0)))</f>
        <v>0</v>
      </c>
      <c r="T74" s="6">
        <f>MIN(0, N74+(IFERROR(IF(6*INDEX('UA-normalized'!$D:$D, MATCH($A74, 'UA-normalized'!$A:$A, 0))-INDEX('UA-normalized'!$E:$E, MATCH($A74, 'UA-normalized'!$A:$A, 0))&gt;0, -(6*INDEX('UA-normalized'!$D:$D, MATCH($A74, 'UA-normalized'!$A:$A, 0))-INDEX('UA-normalized'!$E:$E, MATCH($A74, 'UA-normalized'!$A:$A, 0))), 0), 0))+(IFERROR(IF(6*INDEX('KZ-normalized'!$D:$D, MATCH($A74, 'KZ-normalized'!$A:$A, 0))-INDEX('KZ-normalized'!$E:$E, MATCH($A74, 'KZ-normalized'!$A:$A, 0))&gt;0, -(6*INDEX('KZ-normalized'!$D:$D, MATCH($A74, 'KZ-normalized'!$A:$A, 0))-INDEX('KZ-normalized'!$E:$E, MATCH($A74, 'KZ-normalized'!$A:$A, 0))), 0), 0))+(IFERROR(IF(6*INDEX('UZ-normalized'!$D:$D, MATCH($A74, 'UZ-normalized'!$A:$A, 0))-INDEX('UZ-normalized'!$E:$E, MATCH($A74, 'UZ-normalized'!$A:$A, 0))&gt;0, -(6*INDEX('UZ-normalized'!$D:$D, MATCH($A74, 'UZ-normalized'!$A:$A, 0))-INDEX('UZ-normalized'!$E:$E, MATCH($A74, 'UZ-normalized'!$A:$A, 0))), 0), 0)))</f>
        <v>0</v>
      </c>
      <c r="U74" s="6">
        <f>MIN(0, N74+(IFERROR(IF(7*INDEX('UA-normalized'!$D:$D, MATCH($A74, 'UA-normalized'!$A:$A, 0))-INDEX('UA-normalized'!$E:$E, MATCH($A74, 'UA-normalized'!$A:$A, 0))&gt;0, -(7*INDEX('UA-normalized'!$D:$D, MATCH($A74, 'UA-normalized'!$A:$A, 0))-INDEX('UA-normalized'!$E:$E, MATCH($A74, 'UA-normalized'!$A:$A, 0))), 0), 0))+(IFERROR(IF(7*INDEX('KZ-normalized'!$D:$D, MATCH($A74, 'KZ-normalized'!$A:$A, 0))-INDEX('KZ-normalized'!$E:$E, MATCH($A74, 'KZ-normalized'!$A:$A, 0))&gt;0, -(7*INDEX('KZ-normalized'!$D:$D, MATCH($A74, 'KZ-normalized'!$A:$A, 0))-INDEX('KZ-normalized'!$E:$E, MATCH($A74, 'KZ-normalized'!$A:$A, 0))), 0), 0))+(IFERROR(IF(7*INDEX('UZ-normalized'!$D:$D, MATCH($A74, 'UZ-normalized'!$A:$A, 0))-INDEX('UZ-normalized'!$E:$E, MATCH($A74, 'UZ-normalized'!$A:$A, 0))&gt;0, -(7*INDEX('UZ-normalized'!$D:$D, MATCH($A74, 'UZ-normalized'!$A:$A, 0))-INDEX('UZ-normalized'!$E:$E, MATCH($A74, 'UZ-normalized'!$A:$A, 0))), 0), 0)))</f>
        <v>0</v>
      </c>
      <c r="V74" s="6">
        <f>MIN(0, N74+(IFERROR(IF(8*INDEX('UA-normalized'!$D:$D, MATCH($A74, 'UA-normalized'!$A:$A, 0))-INDEX('UA-normalized'!$E:$E, MATCH($A74, 'UA-normalized'!$A:$A, 0))&gt;0, -(8*INDEX('UA-normalized'!$D:$D, MATCH($A74, 'UA-normalized'!$A:$A, 0))-INDEX('UA-normalized'!$E:$E, MATCH($A74, 'UA-normalized'!$A:$A, 0))), 0), 0))+(IFERROR(IF(8*INDEX('KZ-normalized'!$D:$D, MATCH($A74, 'KZ-normalized'!$A:$A, 0))-INDEX('KZ-normalized'!$E:$E, MATCH($A74, 'KZ-normalized'!$A:$A, 0))&gt;0, -(8*INDEX('KZ-normalized'!$D:$D, MATCH($A74, 'KZ-normalized'!$A:$A, 0))-INDEX('KZ-normalized'!$E:$E, MATCH($A74, 'KZ-normalized'!$A:$A, 0))), 0), 0))+(IFERROR(IF(8*INDEX('UZ-normalized'!$D:$D, MATCH($A74, 'UZ-normalized'!$A:$A, 0))-INDEX('UZ-normalized'!$E:$E, MATCH($A74, 'UZ-normalized'!$A:$A, 0))&gt;0, -(8*INDEX('UZ-normalized'!$D:$D, MATCH($A74, 'UZ-normalized'!$A:$A, 0))-INDEX('UZ-normalized'!$E:$E, MATCH($A74, 'UZ-normalized'!$A:$A, 0))), 0), 0)))</f>
        <v>-0.39999999999999858</v>
      </c>
      <c r="W74" s="6">
        <f>MIN(0, N74+(IFERROR(IF(9*INDEX('UA-normalized'!$D:$D, MATCH($A74, 'UA-normalized'!$A:$A, 0))-INDEX('UA-normalized'!$E:$E, MATCH($A74, 'UA-normalized'!$A:$A, 0))&gt;0, -(9*INDEX('UA-normalized'!$D:$D, MATCH($A74, 'UA-normalized'!$A:$A, 0))-INDEX('UA-normalized'!$E:$E, MATCH($A74, 'UA-normalized'!$A:$A, 0))), 0), 0))+(IFERROR(IF(9*INDEX('KZ-normalized'!$D:$D, MATCH($A74, 'KZ-normalized'!$A:$A, 0))-INDEX('KZ-normalized'!$E:$E, MATCH($A74, 'KZ-normalized'!$A:$A, 0))&gt;0, -(9*INDEX('KZ-normalized'!$D:$D, MATCH($A74, 'KZ-normalized'!$A:$A, 0))-INDEX('KZ-normalized'!$E:$E, MATCH($A74, 'KZ-normalized'!$A:$A, 0))), 0), 0))+(IFERROR(IF(9*INDEX('UZ-normalized'!$D:$D, MATCH($A74, 'UZ-normalized'!$A:$A, 0))-INDEX('UZ-normalized'!$E:$E, MATCH($A74, 'UZ-normalized'!$A:$A, 0))&gt;0, -(9*INDEX('UZ-normalized'!$D:$D, MATCH($A74, 'UZ-normalized'!$A:$A, 0))-INDEX('UZ-normalized'!$E:$E, MATCH($A74, 'UZ-normalized'!$A:$A, 0))), 0), 0)))</f>
        <v>-2.6999999999999993</v>
      </c>
      <c r="X74" s="6">
        <f>MIN(0, N74+(IFERROR(IF(10*INDEX('UA-normalized'!$D:$D, MATCH($A74, 'UA-normalized'!$A:$A, 0))-INDEX('UA-normalized'!$E:$E, MATCH($A74, 'UA-normalized'!$A:$A, 0))&gt;0, -(10*INDEX('UA-normalized'!$D:$D, MATCH($A74, 'UA-normalized'!$A:$A, 0))-INDEX('UA-normalized'!$E:$E, MATCH($A74, 'UA-normalized'!$A:$A, 0))), 0), 0))+(IFERROR(IF(10*INDEX('KZ-normalized'!$D:$D, MATCH($A74, 'KZ-normalized'!$A:$A, 0))-INDEX('KZ-normalized'!$E:$E, MATCH($A74, 'KZ-normalized'!$A:$A, 0))&gt;0, -(10*INDEX('KZ-normalized'!$D:$D, MATCH($A74, 'KZ-normalized'!$A:$A, 0))-INDEX('KZ-normalized'!$E:$E, MATCH($A74, 'KZ-normalized'!$A:$A, 0))), 0), 0))+(IFERROR(IF(10*INDEX('UZ-normalized'!$D:$D, MATCH($A74, 'UZ-normalized'!$A:$A, 0))-INDEX('UZ-normalized'!$E:$E, MATCH($A74, 'UZ-normalized'!$A:$A, 0))&gt;0, -(10*INDEX('UZ-normalized'!$D:$D, MATCH($A74, 'UZ-normalized'!$A:$A, 0))-INDEX('UZ-normalized'!$E:$E, MATCH($A74, 'UZ-normalized'!$A:$A, 0))), 0), 0)))</f>
        <v>-5</v>
      </c>
      <c r="Y74" s="6">
        <f>MIN(0, N74+(IFERROR(IF(11*INDEX('UA-normalized'!$D:$D, MATCH($A74, 'UA-normalized'!$A:$A, 0))-INDEX('UA-normalized'!$E:$E, MATCH($A74, 'UA-normalized'!$A:$A, 0))&gt;0, -(11*INDEX('UA-normalized'!$D:$D, MATCH($A74, 'UA-normalized'!$A:$A, 0))-INDEX('UA-normalized'!$E:$E, MATCH($A74, 'UA-normalized'!$A:$A, 0))), 0), 0))+(IFERROR(IF(11*INDEX('KZ-normalized'!$D:$D, MATCH($A74, 'KZ-normalized'!$A:$A, 0))-INDEX('KZ-normalized'!$E:$E, MATCH($A74, 'KZ-normalized'!$A:$A, 0))&gt;0, -(11*INDEX('KZ-normalized'!$D:$D, MATCH($A74, 'KZ-normalized'!$A:$A, 0))-INDEX('KZ-normalized'!$E:$E, MATCH($A74, 'KZ-normalized'!$A:$A, 0))), 0), 0))+(IFERROR(IF(11*INDEX('UZ-normalized'!$D:$D, MATCH($A74, 'UZ-normalized'!$A:$A, 0))-INDEX('UZ-normalized'!$E:$E, MATCH($A74, 'UZ-normalized'!$A:$A, 0))&gt;0, -(11*INDEX('UZ-normalized'!$D:$D, MATCH($A74, 'UZ-normalized'!$A:$A, 0))-INDEX('UZ-normalized'!$E:$E, MATCH($A74, 'UZ-normalized'!$A:$A, 0))), 0), 0)))</f>
        <v>-7.2999999999999972</v>
      </c>
      <c r="Z74" s="6">
        <f>MIN(0, N74+(IFERROR(IF(12*INDEX('UA-normalized'!$D:$D, MATCH($A74, 'UA-normalized'!$A:$A, 0))-INDEX('UA-normalized'!$E:$E, MATCH($A74, 'UA-normalized'!$A:$A, 0))&gt;0, -(12*INDEX('UA-normalized'!$D:$D, MATCH($A74, 'UA-normalized'!$A:$A, 0))-INDEX('UA-normalized'!$E:$E, MATCH($A74, 'UA-normalized'!$A:$A, 0))), 0), 0))+(IFERROR(IF(12*INDEX('KZ-normalized'!$D:$D, MATCH($A74, 'KZ-normalized'!$A:$A, 0))-INDEX('KZ-normalized'!$E:$E, MATCH($A74, 'KZ-normalized'!$A:$A, 0))&gt;0, -(12*INDEX('KZ-normalized'!$D:$D, MATCH($A74, 'KZ-normalized'!$A:$A, 0))-INDEX('KZ-normalized'!$E:$E, MATCH($A74, 'KZ-normalized'!$A:$A, 0))), 0), 0))+(IFERROR(IF(12*INDEX('UZ-normalized'!$D:$D, MATCH($A74, 'UZ-normalized'!$A:$A, 0))-INDEX('UZ-normalized'!$E:$E, MATCH($A74, 'UZ-normalized'!$A:$A, 0))&gt;0, -(12*INDEX('UZ-normalized'!$D:$D, MATCH($A74, 'UZ-normalized'!$A:$A, 0))-INDEX('UZ-normalized'!$E:$E, MATCH($A74, 'UZ-normalized'!$A:$A, 0))), 0), 0)))</f>
        <v>-9.5999999999999979</v>
      </c>
      <c r="AA74" s="6">
        <f>MIN(0, N74+(IFERROR(IF(13*INDEX('UA-normalized'!$D:$D, MATCH($A74, 'UA-normalized'!$A:$A, 0))-INDEX('UA-normalized'!$E:$E, MATCH($A74, 'UA-normalized'!$A:$A, 0))&gt;0, -(13*INDEX('UA-normalized'!$D:$D, MATCH($A74, 'UA-normalized'!$A:$A, 0))-INDEX('UA-normalized'!$E:$E, MATCH($A74, 'UA-normalized'!$A:$A, 0))), 0), 0))+(IFERROR(IF(13*INDEX('KZ-normalized'!$D:$D, MATCH($A74, 'KZ-normalized'!$A:$A, 0))-INDEX('KZ-normalized'!$E:$E, MATCH($A74, 'KZ-normalized'!$A:$A, 0))&gt;0, -(13*INDEX('KZ-normalized'!$D:$D, MATCH($A74, 'KZ-normalized'!$A:$A, 0))-INDEX('KZ-normalized'!$E:$E, MATCH($A74, 'KZ-normalized'!$A:$A, 0))), 0), 0))+(IFERROR(IF(13*INDEX('UZ-normalized'!$D:$D, MATCH($A74, 'UZ-normalized'!$A:$A, 0))-INDEX('UZ-normalized'!$E:$E, MATCH($A74, 'UZ-normalized'!$A:$A, 0))&gt;0, -(13*INDEX('UZ-normalized'!$D:$D, MATCH($A74, 'UZ-normalized'!$A:$A, 0))-INDEX('UZ-normalized'!$E:$E, MATCH($A74, 'UZ-normalized'!$A:$A, 0))), 0), 0)))</f>
        <v>-11.899999999999999</v>
      </c>
      <c r="AB74" s="6">
        <f>MIN(0, N74+(IFERROR(IF(14*INDEX('UA-normalized'!$D:$D, MATCH($A74, 'UA-normalized'!$A:$A, 0))-INDEX('UA-normalized'!$E:$E, MATCH($A74, 'UA-normalized'!$A:$A, 0))&gt;0, -(14*INDEX('UA-normalized'!$D:$D, MATCH($A74, 'UA-normalized'!$A:$A, 0))-INDEX('UA-normalized'!$E:$E, MATCH($A74, 'UA-normalized'!$A:$A, 0))), 0), 0))+(IFERROR(IF(14*INDEX('KZ-normalized'!$D:$D, MATCH($A74, 'KZ-normalized'!$A:$A, 0))-INDEX('KZ-normalized'!$E:$E, MATCH($A74, 'KZ-normalized'!$A:$A, 0))&gt;0, -(14*INDEX('KZ-normalized'!$D:$D, MATCH($A74, 'KZ-normalized'!$A:$A, 0))-INDEX('KZ-normalized'!$E:$E, MATCH($A74, 'KZ-normalized'!$A:$A, 0))), 0), 0))+(IFERROR(IF(14*INDEX('UZ-normalized'!$D:$D, MATCH($A74, 'UZ-normalized'!$A:$A, 0))-INDEX('UZ-normalized'!$E:$E, MATCH($A74, 'UZ-normalized'!$A:$A, 0))&gt;0, -(14*INDEX('UZ-normalized'!$D:$D, MATCH($A74, 'UZ-normalized'!$A:$A, 0))-INDEX('UZ-normalized'!$E:$E, MATCH($A74, 'UZ-normalized'!$A:$A, 0))), 0), 0)))</f>
        <v>-14.199999999999996</v>
      </c>
      <c r="AC74" s="6">
        <f>MIN(0, N74+(IFERROR(IF(15*INDEX('UA-normalized'!$D:$D, MATCH($A74, 'UA-normalized'!$A:$A, 0))-INDEX('UA-normalized'!$E:$E, MATCH($A74, 'UA-normalized'!$A:$A, 0))&gt;0, -(15*INDEX('UA-normalized'!$D:$D, MATCH($A74, 'UA-normalized'!$A:$A, 0))-INDEX('UA-normalized'!$E:$E, MATCH($A74, 'UA-normalized'!$A:$A, 0))), 0), 0))+(IFERROR(IF(15*INDEX('KZ-normalized'!$D:$D, MATCH($A74, 'KZ-normalized'!$A:$A, 0))-INDEX('KZ-normalized'!$E:$E, MATCH($A74, 'KZ-normalized'!$A:$A, 0))&gt;0, -(15*INDEX('KZ-normalized'!$D:$D, MATCH($A74, 'KZ-normalized'!$A:$A, 0))-INDEX('KZ-normalized'!$E:$E, MATCH($A74, 'KZ-normalized'!$A:$A, 0))), 0), 0))+(IFERROR(IF(15*INDEX('UZ-normalized'!$D:$D, MATCH($A74, 'UZ-normalized'!$A:$A, 0))-INDEX('UZ-normalized'!$E:$E, MATCH($A74, 'UZ-normalized'!$A:$A, 0))&gt;0, -(15*INDEX('UZ-normalized'!$D:$D, MATCH($A74, 'UZ-normalized'!$A:$A, 0))-INDEX('UZ-normalized'!$E:$E, MATCH($A74, 'UZ-normalized'!$A:$A, 0))), 0), 0)))</f>
        <v>-16.5</v>
      </c>
      <c r="AD74" s="6">
        <f>MIN(0, N74+(IFERROR(IF(16*INDEX('UA-normalized'!$D:$D, MATCH($A74, 'UA-normalized'!$A:$A, 0))-INDEX('UA-normalized'!$E:$E, MATCH($A74, 'UA-normalized'!$A:$A, 0))&gt;0, -(16*INDEX('UA-normalized'!$D:$D, MATCH($A74, 'UA-normalized'!$A:$A, 0))-INDEX('UA-normalized'!$E:$E, MATCH($A74, 'UA-normalized'!$A:$A, 0))), 0), 0))+(IFERROR(IF(16*INDEX('KZ-normalized'!$D:$D, MATCH($A74, 'KZ-normalized'!$A:$A, 0))-INDEX('KZ-normalized'!$E:$E, MATCH($A74, 'KZ-normalized'!$A:$A, 0))&gt;0, -(16*INDEX('KZ-normalized'!$D:$D, MATCH($A74, 'KZ-normalized'!$A:$A, 0))-INDEX('KZ-normalized'!$E:$E, MATCH($A74, 'KZ-normalized'!$A:$A, 0))), 0), 0))+(IFERROR(IF(16*INDEX('UZ-normalized'!$D:$D, MATCH($A74, 'UZ-normalized'!$A:$A, 0))-INDEX('UZ-normalized'!$E:$E, MATCH($A74, 'UZ-normalized'!$A:$A, 0))&gt;0, -(16*INDEX('UZ-normalized'!$D:$D, MATCH($A74, 'UZ-normalized'!$A:$A, 0))-INDEX('UZ-normalized'!$E:$E, MATCH($A74, 'UZ-normalized'!$A:$A, 0))), 0), 0)))</f>
        <v>-18.799999999999997</v>
      </c>
      <c r="AE74" s="6">
        <f>MIN(0, N74+(IFERROR(IF(17*INDEX('UA-normalized'!$D:$D, MATCH($A74, 'UA-normalized'!$A:$A, 0))-INDEX('UA-normalized'!$E:$E, MATCH($A74, 'UA-normalized'!$A:$A, 0))&gt;0, -(17*INDEX('UA-normalized'!$D:$D, MATCH($A74, 'UA-normalized'!$A:$A, 0))-INDEX('UA-normalized'!$E:$E, MATCH($A74, 'UA-normalized'!$A:$A, 0))), 0), 0))+(IFERROR(IF(17*INDEX('KZ-normalized'!$D:$D, MATCH($A74, 'KZ-normalized'!$A:$A, 0))-INDEX('KZ-normalized'!$E:$E, MATCH($A74, 'KZ-normalized'!$A:$A, 0))&gt;0, -(17*INDEX('KZ-normalized'!$D:$D, MATCH($A74, 'KZ-normalized'!$A:$A, 0))-INDEX('KZ-normalized'!$E:$E, MATCH($A74, 'KZ-normalized'!$A:$A, 0))), 0), 0))+(IFERROR(IF(17*INDEX('UZ-normalized'!$D:$D, MATCH($A74, 'UZ-normalized'!$A:$A, 0))-INDEX('UZ-normalized'!$E:$E, MATCH($A74, 'UZ-normalized'!$A:$A, 0))&gt;0, -(17*INDEX('UZ-normalized'!$D:$D, MATCH($A74, 'UZ-normalized'!$A:$A, 0))-INDEX('UZ-normalized'!$E:$E, MATCH($A74, 'UZ-normalized'!$A:$A, 0))), 0), 0)))</f>
        <v>-21.099999999999994</v>
      </c>
      <c r="AF74" s="6">
        <f>MIN(0, N74+(IFERROR(IF(18*INDEX('UA-normalized'!$D:$D, MATCH($A74, 'UA-normalized'!$A:$A, 0))-INDEX('UA-normalized'!$E:$E, MATCH($A74, 'UA-normalized'!$A:$A, 0))&gt;0, -(18*INDEX('UA-normalized'!$D:$D, MATCH($A74, 'UA-normalized'!$A:$A, 0))-INDEX('UA-normalized'!$E:$E, MATCH($A74, 'UA-normalized'!$A:$A, 0))), 0), 0))+(IFERROR(IF(18*INDEX('KZ-normalized'!$D:$D, MATCH($A74, 'KZ-normalized'!$A:$A, 0))-INDEX('KZ-normalized'!$E:$E, MATCH($A74, 'KZ-normalized'!$A:$A, 0))&gt;0, -(18*INDEX('KZ-normalized'!$D:$D, MATCH($A74, 'KZ-normalized'!$A:$A, 0))-INDEX('KZ-normalized'!$E:$E, MATCH($A74, 'KZ-normalized'!$A:$A, 0))), 0), 0))+(IFERROR(IF(18*INDEX('UZ-normalized'!$D:$D, MATCH($A74, 'UZ-normalized'!$A:$A, 0))-INDEX('UZ-normalized'!$E:$E, MATCH($A74, 'UZ-normalized'!$A:$A, 0))&gt;0, -(18*INDEX('UZ-normalized'!$D:$D, MATCH($A74, 'UZ-normalized'!$A:$A, 0))-INDEX('UZ-normalized'!$E:$E, MATCH($A74, 'UZ-normalized'!$A:$A, 0))), 0), 0)))</f>
        <v>-23.4</v>
      </c>
      <c r="AG74" s="6">
        <f>MIN(0, N74+(IFERROR(IF(19*INDEX('UA-normalized'!$D:$D, MATCH($A74, 'UA-normalized'!$A:$A, 0))-INDEX('UA-normalized'!$E:$E, MATCH($A74, 'UA-normalized'!$A:$A, 0))&gt;0, -(19*INDEX('UA-normalized'!$D:$D, MATCH($A74, 'UA-normalized'!$A:$A, 0))-INDEX('UA-normalized'!$E:$E, MATCH($A74, 'UA-normalized'!$A:$A, 0))), 0), 0))+(IFERROR(IF(19*INDEX('KZ-normalized'!$D:$D, MATCH($A74, 'KZ-normalized'!$A:$A, 0))-INDEX('KZ-normalized'!$E:$E, MATCH($A74, 'KZ-normalized'!$A:$A, 0))&gt;0, -(19*INDEX('KZ-normalized'!$D:$D, MATCH($A74, 'KZ-normalized'!$A:$A, 0))-INDEX('KZ-normalized'!$E:$E, MATCH($A74, 'KZ-normalized'!$A:$A, 0))), 0), 0))+(IFERROR(IF(19*INDEX('UZ-normalized'!$D:$D, MATCH($A74, 'UZ-normalized'!$A:$A, 0))-INDEX('UZ-normalized'!$E:$E, MATCH($A74, 'UZ-normalized'!$A:$A, 0))&gt;0, -(19*INDEX('UZ-normalized'!$D:$D, MATCH($A74, 'UZ-normalized'!$A:$A, 0))-INDEX('UZ-normalized'!$E:$E, MATCH($A74, 'UZ-normalized'!$A:$A, 0))), 0), 0)))</f>
        <v>-25.699999999999996</v>
      </c>
      <c r="AH74" s="6">
        <f>MIN(0, N74+(IFERROR(IF(20*INDEX('UA-normalized'!$D:$D, MATCH($A74, 'UA-normalized'!$A:$A, 0))-INDEX('UA-normalized'!$E:$E, MATCH($A74, 'UA-normalized'!$A:$A, 0))&gt;0, -(20*INDEX('UA-normalized'!$D:$D, MATCH($A74, 'UA-normalized'!$A:$A, 0))-INDEX('UA-normalized'!$E:$E, MATCH($A74, 'UA-normalized'!$A:$A, 0))), 0), 0))+(IFERROR(IF(20*INDEX('KZ-normalized'!$D:$D, MATCH($A74, 'KZ-normalized'!$A:$A, 0))-INDEX('KZ-normalized'!$E:$E, MATCH($A74, 'KZ-normalized'!$A:$A, 0))&gt;0, -(20*INDEX('KZ-normalized'!$D:$D, MATCH($A74, 'KZ-normalized'!$A:$A, 0))-INDEX('KZ-normalized'!$E:$E, MATCH($A74, 'KZ-normalized'!$A:$A, 0))), 0), 0))+(IFERROR(IF(20*INDEX('UZ-normalized'!$D:$D, MATCH($A74, 'UZ-normalized'!$A:$A, 0))-INDEX('UZ-normalized'!$E:$E, MATCH($A74, 'UZ-normalized'!$A:$A, 0))&gt;0, -(20*INDEX('UZ-normalized'!$D:$D, MATCH($A74, 'UZ-normalized'!$A:$A, 0))-INDEX('UZ-normalized'!$E:$E, MATCH($A74, 'UZ-normalized'!$A:$A, 0))), 0), 0)))</f>
        <v>-28</v>
      </c>
      <c r="AI74" s="6">
        <f>MIN(0, N74+(IFERROR(IF(21*INDEX('UA-normalized'!$D:$D, MATCH($A74, 'UA-normalized'!$A:$A, 0))-INDEX('UA-normalized'!$E:$E, MATCH($A74, 'UA-normalized'!$A:$A, 0))&gt;0, -(21*INDEX('UA-normalized'!$D:$D, MATCH($A74, 'UA-normalized'!$A:$A, 0))-INDEX('UA-normalized'!$E:$E, MATCH($A74, 'UA-normalized'!$A:$A, 0))), 0), 0))+(IFERROR(IF(21*INDEX('KZ-normalized'!$D:$D, MATCH($A74, 'KZ-normalized'!$A:$A, 0))-INDEX('KZ-normalized'!$E:$E, MATCH($A74, 'KZ-normalized'!$A:$A, 0))&gt;0, -(21*INDEX('KZ-normalized'!$D:$D, MATCH($A74, 'KZ-normalized'!$A:$A, 0))-INDEX('KZ-normalized'!$E:$E, MATCH($A74, 'KZ-normalized'!$A:$A, 0))), 0), 0))+(IFERROR(IF(21*INDEX('UZ-normalized'!$D:$D, MATCH($A74, 'UZ-normalized'!$A:$A, 0))-INDEX('UZ-normalized'!$E:$E, MATCH($A74, 'UZ-normalized'!$A:$A, 0))&gt;0, -(21*INDEX('UZ-normalized'!$D:$D, MATCH($A74, 'UZ-normalized'!$A:$A, 0))-INDEX('UZ-normalized'!$E:$E, MATCH($A74, 'UZ-normalized'!$A:$A, 0))), 0), 0)))</f>
        <v>-30.299999999999997</v>
      </c>
      <c r="AJ74" s="6">
        <f>MIN(0, N74+(IFERROR(IF(22*INDEX('UA-normalized'!$D:$D, MATCH($A74, 'UA-normalized'!$A:$A, 0))-INDEX('UA-normalized'!$E:$E, MATCH($A74, 'UA-normalized'!$A:$A, 0))&gt;0, -(22*INDEX('UA-normalized'!$D:$D, MATCH($A74, 'UA-normalized'!$A:$A, 0))-INDEX('UA-normalized'!$E:$E, MATCH($A74, 'UA-normalized'!$A:$A, 0))), 0), 0))+(IFERROR(IF(22*INDEX('KZ-normalized'!$D:$D, MATCH($A74, 'KZ-normalized'!$A:$A, 0))-INDEX('KZ-normalized'!$E:$E, MATCH($A74, 'KZ-normalized'!$A:$A, 0))&gt;0, -(22*INDEX('KZ-normalized'!$D:$D, MATCH($A74, 'KZ-normalized'!$A:$A, 0))-INDEX('KZ-normalized'!$E:$E, MATCH($A74, 'KZ-normalized'!$A:$A, 0))), 0), 0))+(IFERROR(IF(22*INDEX('UZ-normalized'!$D:$D, MATCH($A74, 'UZ-normalized'!$A:$A, 0))-INDEX('UZ-normalized'!$E:$E, MATCH($A74, 'UZ-normalized'!$A:$A, 0))&gt;0, -(22*INDEX('UZ-normalized'!$D:$D, MATCH($A74, 'UZ-normalized'!$A:$A, 0))-INDEX('UZ-normalized'!$E:$E, MATCH($A74, 'UZ-normalized'!$A:$A, 0))), 0), 0)))</f>
        <v>-32.599999999999994</v>
      </c>
      <c r="AK74" s="6">
        <f>MIN(0, N74+(IFERROR(IF(23*INDEX('UA-normalized'!$D:$D, MATCH($A74, 'UA-normalized'!$A:$A, 0))-INDEX('UA-normalized'!$E:$E, MATCH($A74, 'UA-normalized'!$A:$A, 0))&gt;0, -(23*INDEX('UA-normalized'!$D:$D, MATCH($A74, 'UA-normalized'!$A:$A, 0))-INDEX('UA-normalized'!$E:$E, MATCH($A74, 'UA-normalized'!$A:$A, 0))), 0), 0))+(IFERROR(IF(23*INDEX('KZ-normalized'!$D:$D, MATCH($A74, 'KZ-normalized'!$A:$A, 0))-INDEX('KZ-normalized'!$E:$E, MATCH($A74, 'KZ-normalized'!$A:$A, 0))&gt;0, -(23*INDEX('KZ-normalized'!$D:$D, MATCH($A74, 'KZ-normalized'!$A:$A, 0))-INDEX('KZ-normalized'!$E:$E, MATCH($A74, 'KZ-normalized'!$A:$A, 0))), 0), 0))+(IFERROR(IF(23*INDEX('UZ-normalized'!$D:$D, MATCH($A74, 'UZ-normalized'!$A:$A, 0))-INDEX('UZ-normalized'!$E:$E, MATCH($A74, 'UZ-normalized'!$A:$A, 0))&gt;0, -(23*INDEX('UZ-normalized'!$D:$D, MATCH($A74, 'UZ-normalized'!$A:$A, 0))-INDEX('UZ-normalized'!$E:$E, MATCH($A74, 'UZ-normalized'!$A:$A, 0))), 0), 0)))</f>
        <v>-34.9</v>
      </c>
      <c r="AL74" s="6">
        <f>MIN(0, N74+(IFERROR(IF(24*INDEX('UA-normalized'!$D:$D, MATCH($A74, 'UA-normalized'!$A:$A, 0))-INDEX('UA-normalized'!$E:$E, MATCH($A74, 'UA-normalized'!$A:$A, 0))&gt;0, -(24*INDEX('UA-normalized'!$D:$D, MATCH($A74, 'UA-normalized'!$A:$A, 0))-INDEX('UA-normalized'!$E:$E, MATCH($A74, 'UA-normalized'!$A:$A, 0))), 0), 0))+(IFERROR(IF(24*INDEX('KZ-normalized'!$D:$D, MATCH($A74, 'KZ-normalized'!$A:$A, 0))-INDEX('KZ-normalized'!$E:$E, MATCH($A74, 'KZ-normalized'!$A:$A, 0))&gt;0, -(24*INDEX('KZ-normalized'!$D:$D, MATCH($A74, 'KZ-normalized'!$A:$A, 0))-INDEX('KZ-normalized'!$E:$E, MATCH($A74, 'KZ-normalized'!$A:$A, 0))), 0), 0))+(IFERROR(IF(24*INDEX('UZ-normalized'!$D:$D, MATCH($A74, 'UZ-normalized'!$A:$A, 0))-INDEX('UZ-normalized'!$E:$E, MATCH($A74, 'UZ-normalized'!$A:$A, 0))&gt;0, -(24*INDEX('UZ-normalized'!$D:$D, MATCH($A74, 'UZ-normalized'!$A:$A, 0))-INDEX('UZ-normalized'!$E:$E, MATCH($A74, 'UZ-normalized'!$A:$A, 0))), 0), 0)))</f>
        <v>-37.199999999999996</v>
      </c>
      <c r="AM74" s="6">
        <f>MIN(0, N74+(IFERROR(IF(25*INDEX('UA-normalized'!$D:$D, MATCH($A74, 'UA-normalized'!$A:$A, 0))-INDEX('UA-normalized'!$E:$E, MATCH($A74, 'UA-normalized'!$A:$A, 0))&gt;0, -(25*INDEX('UA-normalized'!$D:$D, MATCH($A74, 'UA-normalized'!$A:$A, 0))-INDEX('UA-normalized'!$E:$E, MATCH($A74, 'UA-normalized'!$A:$A, 0))), 0), 0))+(IFERROR(IF(25*INDEX('KZ-normalized'!$D:$D, MATCH($A74, 'KZ-normalized'!$A:$A, 0))-INDEX('KZ-normalized'!$E:$E, MATCH($A74, 'KZ-normalized'!$A:$A, 0))&gt;0, -(25*INDEX('KZ-normalized'!$D:$D, MATCH($A74, 'KZ-normalized'!$A:$A, 0))-INDEX('KZ-normalized'!$E:$E, MATCH($A74, 'KZ-normalized'!$A:$A, 0))), 0), 0))+(IFERROR(IF(25*INDEX('UZ-normalized'!$D:$D, MATCH($A74, 'UZ-normalized'!$A:$A, 0))-INDEX('UZ-normalized'!$E:$E, MATCH($A74, 'UZ-normalized'!$A:$A, 0))&gt;0, -(25*INDEX('UZ-normalized'!$D:$D, MATCH($A74, 'UZ-normalized'!$A:$A, 0))-INDEX('UZ-normalized'!$E:$E, MATCH($A74, 'UZ-normalized'!$A:$A, 0))), 0), 0)))</f>
        <v>-39.499999999999993</v>
      </c>
      <c r="AN74" s="6">
        <f>MIN(0, N74+(IFERROR(IF(26*INDEX('UA-normalized'!$D:$D, MATCH($A74, 'UA-normalized'!$A:$A, 0))-INDEX('UA-normalized'!$E:$E, MATCH($A74, 'UA-normalized'!$A:$A, 0))&gt;0, -(26*INDEX('UA-normalized'!$D:$D, MATCH($A74, 'UA-normalized'!$A:$A, 0))-INDEX('UA-normalized'!$E:$E, MATCH($A74, 'UA-normalized'!$A:$A, 0))), 0), 0))+(IFERROR(IF(26*INDEX('KZ-normalized'!$D:$D, MATCH($A74, 'KZ-normalized'!$A:$A, 0))-INDEX('KZ-normalized'!$E:$E, MATCH($A74, 'KZ-normalized'!$A:$A, 0))&gt;0, -(26*INDEX('KZ-normalized'!$D:$D, MATCH($A74, 'KZ-normalized'!$A:$A, 0))-INDEX('KZ-normalized'!$E:$E, MATCH($A74, 'KZ-normalized'!$A:$A, 0))), 0), 0))+(IFERROR(IF(26*INDEX('UZ-normalized'!$D:$D, MATCH($A74, 'UZ-normalized'!$A:$A, 0))-INDEX('UZ-normalized'!$E:$E, MATCH($A74, 'UZ-normalized'!$A:$A, 0))&gt;0, -(26*INDEX('UZ-normalized'!$D:$D, MATCH($A74, 'UZ-normalized'!$A:$A, 0))-INDEX('UZ-normalized'!$E:$E, MATCH($A74, 'UZ-normalized'!$A:$A, 0))), 0), 0)))</f>
        <v>-41.8</v>
      </c>
      <c r="AO74" s="6">
        <f>MIN(0, N74+(IFERROR(IF(27*INDEX('UA-normalized'!$D:$D, MATCH($A74, 'UA-normalized'!$A:$A, 0))-INDEX('UA-normalized'!$E:$E, MATCH($A74, 'UA-normalized'!$A:$A, 0))&gt;0, -(27*INDEX('UA-normalized'!$D:$D, MATCH($A74, 'UA-normalized'!$A:$A, 0))-INDEX('UA-normalized'!$E:$E, MATCH($A74, 'UA-normalized'!$A:$A, 0))), 0), 0))+(IFERROR(IF(27*INDEX('KZ-normalized'!$D:$D, MATCH($A74, 'KZ-normalized'!$A:$A, 0))-INDEX('KZ-normalized'!$E:$E, MATCH($A74, 'KZ-normalized'!$A:$A, 0))&gt;0, -(27*INDEX('KZ-normalized'!$D:$D, MATCH($A74, 'KZ-normalized'!$A:$A, 0))-INDEX('KZ-normalized'!$E:$E, MATCH($A74, 'KZ-normalized'!$A:$A, 0))), 0), 0))+(IFERROR(IF(27*INDEX('UZ-normalized'!$D:$D, MATCH($A74, 'UZ-normalized'!$A:$A, 0))-INDEX('UZ-normalized'!$E:$E, MATCH($A74, 'UZ-normalized'!$A:$A, 0))&gt;0, -(27*INDEX('UZ-normalized'!$D:$D, MATCH($A74, 'UZ-normalized'!$A:$A, 0))-INDEX('UZ-normalized'!$E:$E, MATCH($A74, 'UZ-normalized'!$A:$A, 0))), 0), 0)))</f>
        <v>-44.099999999999994</v>
      </c>
      <c r="AP74" s="6">
        <f>MIN(0, N74+(IFERROR(IF(28*INDEX('UA-normalized'!$D:$D, MATCH($A74, 'UA-normalized'!$A:$A, 0))-INDEX('UA-normalized'!$E:$E, MATCH($A74, 'UA-normalized'!$A:$A, 0))&gt;0, -(28*INDEX('UA-normalized'!$D:$D, MATCH($A74, 'UA-normalized'!$A:$A, 0))-INDEX('UA-normalized'!$E:$E, MATCH($A74, 'UA-normalized'!$A:$A, 0))), 0), 0))+(IFERROR(IF(28*INDEX('KZ-normalized'!$D:$D, MATCH($A74, 'KZ-normalized'!$A:$A, 0))-INDEX('KZ-normalized'!$E:$E, MATCH($A74, 'KZ-normalized'!$A:$A, 0))&gt;0, -(28*INDEX('KZ-normalized'!$D:$D, MATCH($A74, 'KZ-normalized'!$A:$A, 0))-INDEX('KZ-normalized'!$E:$E, MATCH($A74, 'KZ-normalized'!$A:$A, 0))), 0), 0))+(IFERROR(IF(28*INDEX('UZ-normalized'!$D:$D, MATCH($A74, 'UZ-normalized'!$A:$A, 0))-INDEX('UZ-normalized'!$E:$E, MATCH($A74, 'UZ-normalized'!$A:$A, 0))&gt;0, -(28*INDEX('UZ-normalized'!$D:$D, MATCH($A74, 'UZ-normalized'!$A:$A, 0))-INDEX('UZ-normalized'!$E:$E, MATCH($A74, 'UZ-normalized'!$A:$A, 0))), 0), 0)))</f>
        <v>-46.399999999999991</v>
      </c>
      <c r="AQ74" s="6">
        <f>MIN(0, N74+(IFERROR(IF(29*INDEX('UA-normalized'!$D:$D, MATCH($A74, 'UA-normalized'!$A:$A, 0))-INDEX('UA-normalized'!$E:$E, MATCH($A74, 'UA-normalized'!$A:$A, 0))&gt;0, -(29*INDEX('UA-normalized'!$D:$D, MATCH($A74, 'UA-normalized'!$A:$A, 0))-INDEX('UA-normalized'!$E:$E, MATCH($A74, 'UA-normalized'!$A:$A, 0))), 0), 0))+(IFERROR(IF(29*INDEX('KZ-normalized'!$D:$D, MATCH($A74, 'KZ-normalized'!$A:$A, 0))-INDEX('KZ-normalized'!$E:$E, MATCH($A74, 'KZ-normalized'!$A:$A, 0))&gt;0, -(29*INDEX('KZ-normalized'!$D:$D, MATCH($A74, 'KZ-normalized'!$A:$A, 0))-INDEX('KZ-normalized'!$E:$E, MATCH($A74, 'KZ-normalized'!$A:$A, 0))), 0), 0))+(IFERROR(IF(29*INDEX('UZ-normalized'!$D:$D, MATCH($A74, 'UZ-normalized'!$A:$A, 0))-INDEX('UZ-normalized'!$E:$E, MATCH($A74, 'UZ-normalized'!$A:$A, 0))&gt;0, -(29*INDEX('UZ-normalized'!$D:$D, MATCH($A74, 'UZ-normalized'!$A:$A, 0))-INDEX('UZ-normalized'!$E:$E, MATCH($A74, 'UZ-normalized'!$A:$A, 0))), 0), 0)))</f>
        <v>-48.699999999999989</v>
      </c>
      <c r="AR74" s="6">
        <f>MIN(0, N74+(IFERROR(IF(30*INDEX('UA-normalized'!$D:$D, MATCH($A74, 'UA-normalized'!$A:$A, 0))-INDEX('UA-normalized'!$E:$E, MATCH($A74, 'UA-normalized'!$A:$A, 0))&gt;0, -(30*INDEX('UA-normalized'!$D:$D, MATCH($A74, 'UA-normalized'!$A:$A, 0))-INDEX('UA-normalized'!$E:$E, MATCH($A74, 'UA-normalized'!$A:$A, 0))), 0), 0))+(IFERROR(IF(30*INDEX('KZ-normalized'!$D:$D, MATCH($A74, 'KZ-normalized'!$A:$A, 0))-INDEX('KZ-normalized'!$E:$E, MATCH($A74, 'KZ-normalized'!$A:$A, 0))&gt;0, -(30*INDEX('KZ-normalized'!$D:$D, MATCH($A74, 'KZ-normalized'!$A:$A, 0))-INDEX('KZ-normalized'!$E:$E, MATCH($A74, 'KZ-normalized'!$A:$A, 0))), 0), 0))+(IFERROR(IF(30*INDEX('UZ-normalized'!$D:$D, MATCH($A74, 'UZ-normalized'!$A:$A, 0))-INDEX('UZ-normalized'!$E:$E, MATCH($A74, 'UZ-normalized'!$A:$A, 0))&gt;0, -(30*INDEX('UZ-normalized'!$D:$D, MATCH($A74, 'UZ-normalized'!$A:$A, 0))-INDEX('UZ-normalized'!$E:$E, MATCH($A74, 'UZ-normalized'!$A:$A, 0))), 0), 0)))</f>
        <v>-51</v>
      </c>
    </row>
    <row r="75" spans="1:44" x14ac:dyDescent="0.25">
      <c r="A75" s="8" t="s">
        <v>199</v>
      </c>
      <c r="B75" s="8" t="s">
        <v>180</v>
      </c>
      <c r="C75" s="8" t="s">
        <v>181</v>
      </c>
      <c r="D75" s="8" t="s">
        <v>200</v>
      </c>
      <c r="F75">
        <v>599</v>
      </c>
      <c r="G75">
        <v>-20</v>
      </c>
      <c r="N75">
        <f t="shared" si="1"/>
        <v>579</v>
      </c>
      <c r="O75" s="6">
        <f>MIN(0, N75+(IFERROR(IF(1*INDEX('UA-normalized'!$D:$D, MATCH($A75, 'UA-normalized'!$A:$A, 0))-INDEX('UA-normalized'!$E:$E, MATCH($A75, 'UA-normalized'!$A:$A, 0))&gt;0, -(1*INDEX('UA-normalized'!$D:$D, MATCH($A75, 'UA-normalized'!$A:$A, 0))-INDEX('UA-normalized'!$E:$E, MATCH($A75, 'UA-normalized'!$A:$A, 0))), 0), 0))+(IFERROR(IF(1*INDEX('KZ-normalized'!$D:$D, MATCH($A75, 'KZ-normalized'!$A:$A, 0))-INDEX('KZ-normalized'!$E:$E, MATCH($A75, 'KZ-normalized'!$A:$A, 0))&gt;0, -(1*INDEX('KZ-normalized'!$D:$D, MATCH($A75, 'KZ-normalized'!$A:$A, 0))-INDEX('KZ-normalized'!$E:$E, MATCH($A75, 'KZ-normalized'!$A:$A, 0))), 0), 0))+(IFERROR(IF(1*INDEX('UZ-normalized'!$D:$D, MATCH($A75, 'UZ-normalized'!$A:$A, 0))-INDEX('UZ-normalized'!$E:$E, MATCH($A75, 'UZ-normalized'!$A:$A, 0))&gt;0, -(1*INDEX('UZ-normalized'!$D:$D, MATCH($A75, 'UZ-normalized'!$A:$A, 0))-INDEX('UZ-normalized'!$E:$E, MATCH($A75, 'UZ-normalized'!$A:$A, 0))), 0), 0)))</f>
        <v>0</v>
      </c>
      <c r="P75" s="6">
        <f>MIN(0, N75+(IFERROR(IF(2*INDEX('UA-normalized'!$D:$D, MATCH($A75, 'UA-normalized'!$A:$A, 0))-INDEX('UA-normalized'!$E:$E, MATCH($A75, 'UA-normalized'!$A:$A, 0))&gt;0, -(2*INDEX('UA-normalized'!$D:$D, MATCH($A75, 'UA-normalized'!$A:$A, 0))-INDEX('UA-normalized'!$E:$E, MATCH($A75, 'UA-normalized'!$A:$A, 0))), 0), 0))+(IFERROR(IF(2*INDEX('KZ-normalized'!$D:$D, MATCH($A75, 'KZ-normalized'!$A:$A, 0))-INDEX('KZ-normalized'!$E:$E, MATCH($A75, 'KZ-normalized'!$A:$A, 0))&gt;0, -(2*INDEX('KZ-normalized'!$D:$D, MATCH($A75, 'KZ-normalized'!$A:$A, 0))-INDEX('KZ-normalized'!$E:$E, MATCH($A75, 'KZ-normalized'!$A:$A, 0))), 0), 0))+(IFERROR(IF(2*INDEX('UZ-normalized'!$D:$D, MATCH($A75, 'UZ-normalized'!$A:$A, 0))-INDEX('UZ-normalized'!$E:$E, MATCH($A75, 'UZ-normalized'!$A:$A, 0))&gt;0, -(2*INDEX('UZ-normalized'!$D:$D, MATCH($A75, 'UZ-normalized'!$A:$A, 0))-INDEX('UZ-normalized'!$E:$E, MATCH($A75, 'UZ-normalized'!$A:$A, 0))), 0), 0)))</f>
        <v>0</v>
      </c>
      <c r="Q75" s="6">
        <f>MIN(0, N75+(IFERROR(IF(3*INDEX('UA-normalized'!$D:$D, MATCH($A75, 'UA-normalized'!$A:$A, 0))-INDEX('UA-normalized'!$E:$E, MATCH($A75, 'UA-normalized'!$A:$A, 0))&gt;0, -(3*INDEX('UA-normalized'!$D:$D, MATCH($A75, 'UA-normalized'!$A:$A, 0))-INDEX('UA-normalized'!$E:$E, MATCH($A75, 'UA-normalized'!$A:$A, 0))), 0), 0))+(IFERROR(IF(3*INDEX('KZ-normalized'!$D:$D, MATCH($A75, 'KZ-normalized'!$A:$A, 0))-INDEX('KZ-normalized'!$E:$E, MATCH($A75, 'KZ-normalized'!$A:$A, 0))&gt;0, -(3*INDEX('KZ-normalized'!$D:$D, MATCH($A75, 'KZ-normalized'!$A:$A, 0))-INDEX('KZ-normalized'!$E:$E, MATCH($A75, 'KZ-normalized'!$A:$A, 0))), 0), 0))+(IFERROR(IF(3*INDEX('UZ-normalized'!$D:$D, MATCH($A75, 'UZ-normalized'!$A:$A, 0))-INDEX('UZ-normalized'!$E:$E, MATCH($A75, 'UZ-normalized'!$A:$A, 0))&gt;0, -(3*INDEX('UZ-normalized'!$D:$D, MATCH($A75, 'UZ-normalized'!$A:$A, 0))-INDEX('UZ-normalized'!$E:$E, MATCH($A75, 'UZ-normalized'!$A:$A, 0))), 0), 0)))</f>
        <v>0</v>
      </c>
      <c r="R75" s="6">
        <f>MIN(0, N75+(IFERROR(IF(4*INDEX('UA-normalized'!$D:$D, MATCH($A75, 'UA-normalized'!$A:$A, 0))-INDEX('UA-normalized'!$E:$E, MATCH($A75, 'UA-normalized'!$A:$A, 0))&gt;0, -(4*INDEX('UA-normalized'!$D:$D, MATCH($A75, 'UA-normalized'!$A:$A, 0))-INDEX('UA-normalized'!$E:$E, MATCH($A75, 'UA-normalized'!$A:$A, 0))), 0), 0))+(IFERROR(IF(4*INDEX('KZ-normalized'!$D:$D, MATCH($A75, 'KZ-normalized'!$A:$A, 0))-INDEX('KZ-normalized'!$E:$E, MATCH($A75, 'KZ-normalized'!$A:$A, 0))&gt;0, -(4*INDEX('KZ-normalized'!$D:$D, MATCH($A75, 'KZ-normalized'!$A:$A, 0))-INDEX('KZ-normalized'!$E:$E, MATCH($A75, 'KZ-normalized'!$A:$A, 0))), 0), 0))+(IFERROR(IF(4*INDEX('UZ-normalized'!$D:$D, MATCH($A75, 'UZ-normalized'!$A:$A, 0))-INDEX('UZ-normalized'!$E:$E, MATCH($A75, 'UZ-normalized'!$A:$A, 0))&gt;0, -(4*INDEX('UZ-normalized'!$D:$D, MATCH($A75, 'UZ-normalized'!$A:$A, 0))-INDEX('UZ-normalized'!$E:$E, MATCH($A75, 'UZ-normalized'!$A:$A, 0))), 0), 0)))</f>
        <v>0</v>
      </c>
      <c r="S75" s="6">
        <f>MIN(0, N75+(IFERROR(IF(5*INDEX('UA-normalized'!$D:$D, MATCH($A75, 'UA-normalized'!$A:$A, 0))-INDEX('UA-normalized'!$E:$E, MATCH($A75, 'UA-normalized'!$A:$A, 0))&gt;0, -(5*INDEX('UA-normalized'!$D:$D, MATCH($A75, 'UA-normalized'!$A:$A, 0))-INDEX('UA-normalized'!$E:$E, MATCH($A75, 'UA-normalized'!$A:$A, 0))), 0), 0))+(IFERROR(IF(5*INDEX('KZ-normalized'!$D:$D, MATCH($A75, 'KZ-normalized'!$A:$A, 0))-INDEX('KZ-normalized'!$E:$E, MATCH($A75, 'KZ-normalized'!$A:$A, 0))&gt;0, -(5*INDEX('KZ-normalized'!$D:$D, MATCH($A75, 'KZ-normalized'!$A:$A, 0))-INDEX('KZ-normalized'!$E:$E, MATCH($A75, 'KZ-normalized'!$A:$A, 0))), 0), 0))+(IFERROR(IF(5*INDEX('UZ-normalized'!$D:$D, MATCH($A75, 'UZ-normalized'!$A:$A, 0))-INDEX('UZ-normalized'!$E:$E, MATCH($A75, 'UZ-normalized'!$A:$A, 0))&gt;0, -(5*INDEX('UZ-normalized'!$D:$D, MATCH($A75, 'UZ-normalized'!$A:$A, 0))-INDEX('UZ-normalized'!$E:$E, MATCH($A75, 'UZ-normalized'!$A:$A, 0))), 0), 0)))</f>
        <v>0</v>
      </c>
      <c r="T75" s="6">
        <f>MIN(0, N75+(IFERROR(IF(6*INDEX('UA-normalized'!$D:$D, MATCH($A75, 'UA-normalized'!$A:$A, 0))-INDEX('UA-normalized'!$E:$E, MATCH($A75, 'UA-normalized'!$A:$A, 0))&gt;0, -(6*INDEX('UA-normalized'!$D:$D, MATCH($A75, 'UA-normalized'!$A:$A, 0))-INDEX('UA-normalized'!$E:$E, MATCH($A75, 'UA-normalized'!$A:$A, 0))), 0), 0))+(IFERROR(IF(6*INDEX('KZ-normalized'!$D:$D, MATCH($A75, 'KZ-normalized'!$A:$A, 0))-INDEX('KZ-normalized'!$E:$E, MATCH($A75, 'KZ-normalized'!$A:$A, 0))&gt;0, -(6*INDEX('KZ-normalized'!$D:$D, MATCH($A75, 'KZ-normalized'!$A:$A, 0))-INDEX('KZ-normalized'!$E:$E, MATCH($A75, 'KZ-normalized'!$A:$A, 0))), 0), 0))+(IFERROR(IF(6*INDEX('UZ-normalized'!$D:$D, MATCH($A75, 'UZ-normalized'!$A:$A, 0))-INDEX('UZ-normalized'!$E:$E, MATCH($A75, 'UZ-normalized'!$A:$A, 0))&gt;0, -(6*INDEX('UZ-normalized'!$D:$D, MATCH($A75, 'UZ-normalized'!$A:$A, 0))-INDEX('UZ-normalized'!$E:$E, MATCH($A75, 'UZ-normalized'!$A:$A, 0))), 0), 0)))</f>
        <v>0</v>
      </c>
      <c r="U75" s="6">
        <f>MIN(0, N75+(IFERROR(IF(7*INDEX('UA-normalized'!$D:$D, MATCH($A75, 'UA-normalized'!$A:$A, 0))-INDEX('UA-normalized'!$E:$E, MATCH($A75, 'UA-normalized'!$A:$A, 0))&gt;0, -(7*INDEX('UA-normalized'!$D:$D, MATCH($A75, 'UA-normalized'!$A:$A, 0))-INDEX('UA-normalized'!$E:$E, MATCH($A75, 'UA-normalized'!$A:$A, 0))), 0), 0))+(IFERROR(IF(7*INDEX('KZ-normalized'!$D:$D, MATCH($A75, 'KZ-normalized'!$A:$A, 0))-INDEX('KZ-normalized'!$E:$E, MATCH($A75, 'KZ-normalized'!$A:$A, 0))&gt;0, -(7*INDEX('KZ-normalized'!$D:$D, MATCH($A75, 'KZ-normalized'!$A:$A, 0))-INDEX('KZ-normalized'!$E:$E, MATCH($A75, 'KZ-normalized'!$A:$A, 0))), 0), 0))+(IFERROR(IF(7*INDEX('UZ-normalized'!$D:$D, MATCH($A75, 'UZ-normalized'!$A:$A, 0))-INDEX('UZ-normalized'!$E:$E, MATCH($A75, 'UZ-normalized'!$A:$A, 0))&gt;0, -(7*INDEX('UZ-normalized'!$D:$D, MATCH($A75, 'UZ-normalized'!$A:$A, 0))-INDEX('UZ-normalized'!$E:$E, MATCH($A75, 'UZ-normalized'!$A:$A, 0))), 0), 0)))</f>
        <v>0</v>
      </c>
      <c r="V75" s="6">
        <f>MIN(0, N75+(IFERROR(IF(8*INDEX('UA-normalized'!$D:$D, MATCH($A75, 'UA-normalized'!$A:$A, 0))-INDEX('UA-normalized'!$E:$E, MATCH($A75, 'UA-normalized'!$A:$A, 0))&gt;0, -(8*INDEX('UA-normalized'!$D:$D, MATCH($A75, 'UA-normalized'!$A:$A, 0))-INDEX('UA-normalized'!$E:$E, MATCH($A75, 'UA-normalized'!$A:$A, 0))), 0), 0))+(IFERROR(IF(8*INDEX('KZ-normalized'!$D:$D, MATCH($A75, 'KZ-normalized'!$A:$A, 0))-INDEX('KZ-normalized'!$E:$E, MATCH($A75, 'KZ-normalized'!$A:$A, 0))&gt;0, -(8*INDEX('KZ-normalized'!$D:$D, MATCH($A75, 'KZ-normalized'!$A:$A, 0))-INDEX('KZ-normalized'!$E:$E, MATCH($A75, 'KZ-normalized'!$A:$A, 0))), 0), 0))+(IFERROR(IF(8*INDEX('UZ-normalized'!$D:$D, MATCH($A75, 'UZ-normalized'!$A:$A, 0))-INDEX('UZ-normalized'!$E:$E, MATCH($A75, 'UZ-normalized'!$A:$A, 0))&gt;0, -(8*INDEX('UZ-normalized'!$D:$D, MATCH($A75, 'UZ-normalized'!$A:$A, 0))-INDEX('UZ-normalized'!$E:$E, MATCH($A75, 'UZ-normalized'!$A:$A, 0))), 0), 0)))</f>
        <v>0</v>
      </c>
      <c r="W75" s="6">
        <f>MIN(0, N75+(IFERROR(IF(9*INDEX('UA-normalized'!$D:$D, MATCH($A75, 'UA-normalized'!$A:$A, 0))-INDEX('UA-normalized'!$E:$E, MATCH($A75, 'UA-normalized'!$A:$A, 0))&gt;0, -(9*INDEX('UA-normalized'!$D:$D, MATCH($A75, 'UA-normalized'!$A:$A, 0))-INDEX('UA-normalized'!$E:$E, MATCH($A75, 'UA-normalized'!$A:$A, 0))), 0), 0))+(IFERROR(IF(9*INDEX('KZ-normalized'!$D:$D, MATCH($A75, 'KZ-normalized'!$A:$A, 0))-INDEX('KZ-normalized'!$E:$E, MATCH($A75, 'KZ-normalized'!$A:$A, 0))&gt;0, -(9*INDEX('KZ-normalized'!$D:$D, MATCH($A75, 'KZ-normalized'!$A:$A, 0))-INDEX('KZ-normalized'!$E:$E, MATCH($A75, 'KZ-normalized'!$A:$A, 0))), 0), 0))+(IFERROR(IF(9*INDEX('UZ-normalized'!$D:$D, MATCH($A75, 'UZ-normalized'!$A:$A, 0))-INDEX('UZ-normalized'!$E:$E, MATCH($A75, 'UZ-normalized'!$A:$A, 0))&gt;0, -(9*INDEX('UZ-normalized'!$D:$D, MATCH($A75, 'UZ-normalized'!$A:$A, 0))-INDEX('UZ-normalized'!$E:$E, MATCH($A75, 'UZ-normalized'!$A:$A, 0))), 0), 0)))</f>
        <v>0</v>
      </c>
      <c r="X75" s="6">
        <f>MIN(0, N75+(IFERROR(IF(10*INDEX('UA-normalized'!$D:$D, MATCH($A75, 'UA-normalized'!$A:$A, 0))-INDEX('UA-normalized'!$E:$E, MATCH($A75, 'UA-normalized'!$A:$A, 0))&gt;0, -(10*INDEX('UA-normalized'!$D:$D, MATCH($A75, 'UA-normalized'!$A:$A, 0))-INDEX('UA-normalized'!$E:$E, MATCH($A75, 'UA-normalized'!$A:$A, 0))), 0), 0))+(IFERROR(IF(10*INDEX('KZ-normalized'!$D:$D, MATCH($A75, 'KZ-normalized'!$A:$A, 0))-INDEX('KZ-normalized'!$E:$E, MATCH($A75, 'KZ-normalized'!$A:$A, 0))&gt;0, -(10*INDEX('KZ-normalized'!$D:$D, MATCH($A75, 'KZ-normalized'!$A:$A, 0))-INDEX('KZ-normalized'!$E:$E, MATCH($A75, 'KZ-normalized'!$A:$A, 0))), 0), 0))+(IFERROR(IF(10*INDEX('UZ-normalized'!$D:$D, MATCH($A75, 'UZ-normalized'!$A:$A, 0))-INDEX('UZ-normalized'!$E:$E, MATCH($A75, 'UZ-normalized'!$A:$A, 0))&gt;0, -(10*INDEX('UZ-normalized'!$D:$D, MATCH($A75, 'UZ-normalized'!$A:$A, 0))-INDEX('UZ-normalized'!$E:$E, MATCH($A75, 'UZ-normalized'!$A:$A, 0))), 0), 0)))</f>
        <v>0</v>
      </c>
      <c r="Y75" s="6">
        <f>MIN(0, N75+(IFERROR(IF(11*INDEX('UA-normalized'!$D:$D, MATCH($A75, 'UA-normalized'!$A:$A, 0))-INDEX('UA-normalized'!$E:$E, MATCH($A75, 'UA-normalized'!$A:$A, 0))&gt;0, -(11*INDEX('UA-normalized'!$D:$D, MATCH($A75, 'UA-normalized'!$A:$A, 0))-INDEX('UA-normalized'!$E:$E, MATCH($A75, 'UA-normalized'!$A:$A, 0))), 0), 0))+(IFERROR(IF(11*INDEX('KZ-normalized'!$D:$D, MATCH($A75, 'KZ-normalized'!$A:$A, 0))-INDEX('KZ-normalized'!$E:$E, MATCH($A75, 'KZ-normalized'!$A:$A, 0))&gt;0, -(11*INDEX('KZ-normalized'!$D:$D, MATCH($A75, 'KZ-normalized'!$A:$A, 0))-INDEX('KZ-normalized'!$E:$E, MATCH($A75, 'KZ-normalized'!$A:$A, 0))), 0), 0))+(IFERROR(IF(11*INDEX('UZ-normalized'!$D:$D, MATCH($A75, 'UZ-normalized'!$A:$A, 0))-INDEX('UZ-normalized'!$E:$E, MATCH($A75, 'UZ-normalized'!$A:$A, 0))&gt;0, -(11*INDEX('UZ-normalized'!$D:$D, MATCH($A75, 'UZ-normalized'!$A:$A, 0))-INDEX('UZ-normalized'!$E:$E, MATCH($A75, 'UZ-normalized'!$A:$A, 0))), 0), 0)))</f>
        <v>0</v>
      </c>
      <c r="Z75" s="6">
        <f>MIN(0, N75+(IFERROR(IF(12*INDEX('UA-normalized'!$D:$D, MATCH($A75, 'UA-normalized'!$A:$A, 0))-INDEX('UA-normalized'!$E:$E, MATCH($A75, 'UA-normalized'!$A:$A, 0))&gt;0, -(12*INDEX('UA-normalized'!$D:$D, MATCH($A75, 'UA-normalized'!$A:$A, 0))-INDEX('UA-normalized'!$E:$E, MATCH($A75, 'UA-normalized'!$A:$A, 0))), 0), 0))+(IFERROR(IF(12*INDEX('KZ-normalized'!$D:$D, MATCH($A75, 'KZ-normalized'!$A:$A, 0))-INDEX('KZ-normalized'!$E:$E, MATCH($A75, 'KZ-normalized'!$A:$A, 0))&gt;0, -(12*INDEX('KZ-normalized'!$D:$D, MATCH($A75, 'KZ-normalized'!$A:$A, 0))-INDEX('KZ-normalized'!$E:$E, MATCH($A75, 'KZ-normalized'!$A:$A, 0))), 0), 0))+(IFERROR(IF(12*INDEX('UZ-normalized'!$D:$D, MATCH($A75, 'UZ-normalized'!$A:$A, 0))-INDEX('UZ-normalized'!$E:$E, MATCH($A75, 'UZ-normalized'!$A:$A, 0))&gt;0, -(12*INDEX('UZ-normalized'!$D:$D, MATCH($A75, 'UZ-normalized'!$A:$A, 0))-INDEX('UZ-normalized'!$E:$E, MATCH($A75, 'UZ-normalized'!$A:$A, 0))), 0), 0)))</f>
        <v>0</v>
      </c>
      <c r="AA75" s="6">
        <f>MIN(0, N75+(IFERROR(IF(13*INDEX('UA-normalized'!$D:$D, MATCH($A75, 'UA-normalized'!$A:$A, 0))-INDEX('UA-normalized'!$E:$E, MATCH($A75, 'UA-normalized'!$A:$A, 0))&gt;0, -(13*INDEX('UA-normalized'!$D:$D, MATCH($A75, 'UA-normalized'!$A:$A, 0))-INDEX('UA-normalized'!$E:$E, MATCH($A75, 'UA-normalized'!$A:$A, 0))), 0), 0))+(IFERROR(IF(13*INDEX('KZ-normalized'!$D:$D, MATCH($A75, 'KZ-normalized'!$A:$A, 0))-INDEX('KZ-normalized'!$E:$E, MATCH($A75, 'KZ-normalized'!$A:$A, 0))&gt;0, -(13*INDEX('KZ-normalized'!$D:$D, MATCH($A75, 'KZ-normalized'!$A:$A, 0))-INDEX('KZ-normalized'!$E:$E, MATCH($A75, 'KZ-normalized'!$A:$A, 0))), 0), 0))+(IFERROR(IF(13*INDEX('UZ-normalized'!$D:$D, MATCH($A75, 'UZ-normalized'!$A:$A, 0))-INDEX('UZ-normalized'!$E:$E, MATCH($A75, 'UZ-normalized'!$A:$A, 0))&gt;0, -(13*INDEX('UZ-normalized'!$D:$D, MATCH($A75, 'UZ-normalized'!$A:$A, 0))-INDEX('UZ-normalized'!$E:$E, MATCH($A75, 'UZ-normalized'!$A:$A, 0))), 0), 0)))</f>
        <v>0</v>
      </c>
      <c r="AB75" s="6">
        <f>MIN(0, N75+(IFERROR(IF(14*INDEX('UA-normalized'!$D:$D, MATCH($A75, 'UA-normalized'!$A:$A, 0))-INDEX('UA-normalized'!$E:$E, MATCH($A75, 'UA-normalized'!$A:$A, 0))&gt;0, -(14*INDEX('UA-normalized'!$D:$D, MATCH($A75, 'UA-normalized'!$A:$A, 0))-INDEX('UA-normalized'!$E:$E, MATCH($A75, 'UA-normalized'!$A:$A, 0))), 0), 0))+(IFERROR(IF(14*INDEX('KZ-normalized'!$D:$D, MATCH($A75, 'KZ-normalized'!$A:$A, 0))-INDEX('KZ-normalized'!$E:$E, MATCH($A75, 'KZ-normalized'!$A:$A, 0))&gt;0, -(14*INDEX('KZ-normalized'!$D:$D, MATCH($A75, 'KZ-normalized'!$A:$A, 0))-INDEX('KZ-normalized'!$E:$E, MATCH($A75, 'KZ-normalized'!$A:$A, 0))), 0), 0))+(IFERROR(IF(14*INDEX('UZ-normalized'!$D:$D, MATCH($A75, 'UZ-normalized'!$A:$A, 0))-INDEX('UZ-normalized'!$E:$E, MATCH($A75, 'UZ-normalized'!$A:$A, 0))&gt;0, -(14*INDEX('UZ-normalized'!$D:$D, MATCH($A75, 'UZ-normalized'!$A:$A, 0))-INDEX('UZ-normalized'!$E:$E, MATCH($A75, 'UZ-normalized'!$A:$A, 0))), 0), 0)))</f>
        <v>0</v>
      </c>
      <c r="AC75" s="6">
        <f>MIN(0, N75+(IFERROR(IF(15*INDEX('UA-normalized'!$D:$D, MATCH($A75, 'UA-normalized'!$A:$A, 0))-INDEX('UA-normalized'!$E:$E, MATCH($A75, 'UA-normalized'!$A:$A, 0))&gt;0, -(15*INDEX('UA-normalized'!$D:$D, MATCH($A75, 'UA-normalized'!$A:$A, 0))-INDEX('UA-normalized'!$E:$E, MATCH($A75, 'UA-normalized'!$A:$A, 0))), 0), 0))+(IFERROR(IF(15*INDEX('KZ-normalized'!$D:$D, MATCH($A75, 'KZ-normalized'!$A:$A, 0))-INDEX('KZ-normalized'!$E:$E, MATCH($A75, 'KZ-normalized'!$A:$A, 0))&gt;0, -(15*INDEX('KZ-normalized'!$D:$D, MATCH($A75, 'KZ-normalized'!$A:$A, 0))-INDEX('KZ-normalized'!$E:$E, MATCH($A75, 'KZ-normalized'!$A:$A, 0))), 0), 0))+(IFERROR(IF(15*INDEX('UZ-normalized'!$D:$D, MATCH($A75, 'UZ-normalized'!$A:$A, 0))-INDEX('UZ-normalized'!$E:$E, MATCH($A75, 'UZ-normalized'!$A:$A, 0))&gt;0, -(15*INDEX('UZ-normalized'!$D:$D, MATCH($A75, 'UZ-normalized'!$A:$A, 0))-INDEX('UZ-normalized'!$E:$E, MATCH($A75, 'UZ-normalized'!$A:$A, 0))), 0), 0)))</f>
        <v>0</v>
      </c>
      <c r="AD75" s="6">
        <f>MIN(0, N75+(IFERROR(IF(16*INDEX('UA-normalized'!$D:$D, MATCH($A75, 'UA-normalized'!$A:$A, 0))-INDEX('UA-normalized'!$E:$E, MATCH($A75, 'UA-normalized'!$A:$A, 0))&gt;0, -(16*INDEX('UA-normalized'!$D:$D, MATCH($A75, 'UA-normalized'!$A:$A, 0))-INDEX('UA-normalized'!$E:$E, MATCH($A75, 'UA-normalized'!$A:$A, 0))), 0), 0))+(IFERROR(IF(16*INDEX('KZ-normalized'!$D:$D, MATCH($A75, 'KZ-normalized'!$A:$A, 0))-INDEX('KZ-normalized'!$E:$E, MATCH($A75, 'KZ-normalized'!$A:$A, 0))&gt;0, -(16*INDEX('KZ-normalized'!$D:$D, MATCH($A75, 'KZ-normalized'!$A:$A, 0))-INDEX('KZ-normalized'!$E:$E, MATCH($A75, 'KZ-normalized'!$A:$A, 0))), 0), 0))+(IFERROR(IF(16*INDEX('UZ-normalized'!$D:$D, MATCH($A75, 'UZ-normalized'!$A:$A, 0))-INDEX('UZ-normalized'!$E:$E, MATCH($A75, 'UZ-normalized'!$A:$A, 0))&gt;0, -(16*INDEX('UZ-normalized'!$D:$D, MATCH($A75, 'UZ-normalized'!$A:$A, 0))-INDEX('UZ-normalized'!$E:$E, MATCH($A75, 'UZ-normalized'!$A:$A, 0))), 0), 0)))</f>
        <v>0</v>
      </c>
      <c r="AE75" s="6">
        <f>MIN(0, N75+(IFERROR(IF(17*INDEX('UA-normalized'!$D:$D, MATCH($A75, 'UA-normalized'!$A:$A, 0))-INDEX('UA-normalized'!$E:$E, MATCH($A75, 'UA-normalized'!$A:$A, 0))&gt;0, -(17*INDEX('UA-normalized'!$D:$D, MATCH($A75, 'UA-normalized'!$A:$A, 0))-INDEX('UA-normalized'!$E:$E, MATCH($A75, 'UA-normalized'!$A:$A, 0))), 0), 0))+(IFERROR(IF(17*INDEX('KZ-normalized'!$D:$D, MATCH($A75, 'KZ-normalized'!$A:$A, 0))-INDEX('KZ-normalized'!$E:$E, MATCH($A75, 'KZ-normalized'!$A:$A, 0))&gt;0, -(17*INDEX('KZ-normalized'!$D:$D, MATCH($A75, 'KZ-normalized'!$A:$A, 0))-INDEX('KZ-normalized'!$E:$E, MATCH($A75, 'KZ-normalized'!$A:$A, 0))), 0), 0))+(IFERROR(IF(17*INDEX('UZ-normalized'!$D:$D, MATCH($A75, 'UZ-normalized'!$A:$A, 0))-INDEX('UZ-normalized'!$E:$E, MATCH($A75, 'UZ-normalized'!$A:$A, 0))&gt;0, -(17*INDEX('UZ-normalized'!$D:$D, MATCH($A75, 'UZ-normalized'!$A:$A, 0))-INDEX('UZ-normalized'!$E:$E, MATCH($A75, 'UZ-normalized'!$A:$A, 0))), 0), 0)))</f>
        <v>0</v>
      </c>
      <c r="AF75" s="6">
        <f>MIN(0, N75+(IFERROR(IF(18*INDEX('UA-normalized'!$D:$D, MATCH($A75, 'UA-normalized'!$A:$A, 0))-INDEX('UA-normalized'!$E:$E, MATCH($A75, 'UA-normalized'!$A:$A, 0))&gt;0, -(18*INDEX('UA-normalized'!$D:$D, MATCH($A75, 'UA-normalized'!$A:$A, 0))-INDEX('UA-normalized'!$E:$E, MATCH($A75, 'UA-normalized'!$A:$A, 0))), 0), 0))+(IFERROR(IF(18*INDEX('KZ-normalized'!$D:$D, MATCH($A75, 'KZ-normalized'!$A:$A, 0))-INDEX('KZ-normalized'!$E:$E, MATCH($A75, 'KZ-normalized'!$A:$A, 0))&gt;0, -(18*INDEX('KZ-normalized'!$D:$D, MATCH($A75, 'KZ-normalized'!$A:$A, 0))-INDEX('KZ-normalized'!$E:$E, MATCH($A75, 'KZ-normalized'!$A:$A, 0))), 0), 0))+(IFERROR(IF(18*INDEX('UZ-normalized'!$D:$D, MATCH($A75, 'UZ-normalized'!$A:$A, 0))-INDEX('UZ-normalized'!$E:$E, MATCH($A75, 'UZ-normalized'!$A:$A, 0))&gt;0, -(18*INDEX('UZ-normalized'!$D:$D, MATCH($A75, 'UZ-normalized'!$A:$A, 0))-INDEX('UZ-normalized'!$E:$E, MATCH($A75, 'UZ-normalized'!$A:$A, 0))), 0), 0)))</f>
        <v>0</v>
      </c>
      <c r="AG75" s="6">
        <f>MIN(0, N75+(IFERROR(IF(19*INDEX('UA-normalized'!$D:$D, MATCH($A75, 'UA-normalized'!$A:$A, 0))-INDEX('UA-normalized'!$E:$E, MATCH($A75, 'UA-normalized'!$A:$A, 0))&gt;0, -(19*INDEX('UA-normalized'!$D:$D, MATCH($A75, 'UA-normalized'!$A:$A, 0))-INDEX('UA-normalized'!$E:$E, MATCH($A75, 'UA-normalized'!$A:$A, 0))), 0), 0))+(IFERROR(IF(19*INDEX('KZ-normalized'!$D:$D, MATCH($A75, 'KZ-normalized'!$A:$A, 0))-INDEX('KZ-normalized'!$E:$E, MATCH($A75, 'KZ-normalized'!$A:$A, 0))&gt;0, -(19*INDEX('KZ-normalized'!$D:$D, MATCH($A75, 'KZ-normalized'!$A:$A, 0))-INDEX('KZ-normalized'!$E:$E, MATCH($A75, 'KZ-normalized'!$A:$A, 0))), 0), 0))+(IFERROR(IF(19*INDEX('UZ-normalized'!$D:$D, MATCH($A75, 'UZ-normalized'!$A:$A, 0))-INDEX('UZ-normalized'!$E:$E, MATCH($A75, 'UZ-normalized'!$A:$A, 0))&gt;0, -(19*INDEX('UZ-normalized'!$D:$D, MATCH($A75, 'UZ-normalized'!$A:$A, 0))-INDEX('UZ-normalized'!$E:$E, MATCH($A75, 'UZ-normalized'!$A:$A, 0))), 0), 0)))</f>
        <v>0</v>
      </c>
      <c r="AH75" s="6">
        <f>MIN(0, N75+(IFERROR(IF(20*INDEX('UA-normalized'!$D:$D, MATCH($A75, 'UA-normalized'!$A:$A, 0))-INDEX('UA-normalized'!$E:$E, MATCH($A75, 'UA-normalized'!$A:$A, 0))&gt;0, -(20*INDEX('UA-normalized'!$D:$D, MATCH($A75, 'UA-normalized'!$A:$A, 0))-INDEX('UA-normalized'!$E:$E, MATCH($A75, 'UA-normalized'!$A:$A, 0))), 0), 0))+(IFERROR(IF(20*INDEX('KZ-normalized'!$D:$D, MATCH($A75, 'KZ-normalized'!$A:$A, 0))-INDEX('KZ-normalized'!$E:$E, MATCH($A75, 'KZ-normalized'!$A:$A, 0))&gt;0, -(20*INDEX('KZ-normalized'!$D:$D, MATCH($A75, 'KZ-normalized'!$A:$A, 0))-INDEX('KZ-normalized'!$E:$E, MATCH($A75, 'KZ-normalized'!$A:$A, 0))), 0), 0))+(IFERROR(IF(20*INDEX('UZ-normalized'!$D:$D, MATCH($A75, 'UZ-normalized'!$A:$A, 0))-INDEX('UZ-normalized'!$E:$E, MATCH($A75, 'UZ-normalized'!$A:$A, 0))&gt;0, -(20*INDEX('UZ-normalized'!$D:$D, MATCH($A75, 'UZ-normalized'!$A:$A, 0))-INDEX('UZ-normalized'!$E:$E, MATCH($A75, 'UZ-normalized'!$A:$A, 0))), 0), 0)))</f>
        <v>0</v>
      </c>
      <c r="AI75" s="6">
        <f>MIN(0, N75+(IFERROR(IF(21*INDEX('UA-normalized'!$D:$D, MATCH($A75, 'UA-normalized'!$A:$A, 0))-INDEX('UA-normalized'!$E:$E, MATCH($A75, 'UA-normalized'!$A:$A, 0))&gt;0, -(21*INDEX('UA-normalized'!$D:$D, MATCH($A75, 'UA-normalized'!$A:$A, 0))-INDEX('UA-normalized'!$E:$E, MATCH($A75, 'UA-normalized'!$A:$A, 0))), 0), 0))+(IFERROR(IF(21*INDEX('KZ-normalized'!$D:$D, MATCH($A75, 'KZ-normalized'!$A:$A, 0))-INDEX('KZ-normalized'!$E:$E, MATCH($A75, 'KZ-normalized'!$A:$A, 0))&gt;0, -(21*INDEX('KZ-normalized'!$D:$D, MATCH($A75, 'KZ-normalized'!$A:$A, 0))-INDEX('KZ-normalized'!$E:$E, MATCH($A75, 'KZ-normalized'!$A:$A, 0))), 0), 0))+(IFERROR(IF(21*INDEX('UZ-normalized'!$D:$D, MATCH($A75, 'UZ-normalized'!$A:$A, 0))-INDEX('UZ-normalized'!$E:$E, MATCH($A75, 'UZ-normalized'!$A:$A, 0))&gt;0, -(21*INDEX('UZ-normalized'!$D:$D, MATCH($A75, 'UZ-normalized'!$A:$A, 0))-INDEX('UZ-normalized'!$E:$E, MATCH($A75, 'UZ-normalized'!$A:$A, 0))), 0), 0)))</f>
        <v>0</v>
      </c>
      <c r="AJ75" s="6">
        <f>MIN(0, N75+(IFERROR(IF(22*INDEX('UA-normalized'!$D:$D, MATCH($A75, 'UA-normalized'!$A:$A, 0))-INDEX('UA-normalized'!$E:$E, MATCH($A75, 'UA-normalized'!$A:$A, 0))&gt;0, -(22*INDEX('UA-normalized'!$D:$D, MATCH($A75, 'UA-normalized'!$A:$A, 0))-INDEX('UA-normalized'!$E:$E, MATCH($A75, 'UA-normalized'!$A:$A, 0))), 0), 0))+(IFERROR(IF(22*INDEX('KZ-normalized'!$D:$D, MATCH($A75, 'KZ-normalized'!$A:$A, 0))-INDEX('KZ-normalized'!$E:$E, MATCH($A75, 'KZ-normalized'!$A:$A, 0))&gt;0, -(22*INDEX('KZ-normalized'!$D:$D, MATCH($A75, 'KZ-normalized'!$A:$A, 0))-INDEX('KZ-normalized'!$E:$E, MATCH($A75, 'KZ-normalized'!$A:$A, 0))), 0), 0))+(IFERROR(IF(22*INDEX('UZ-normalized'!$D:$D, MATCH($A75, 'UZ-normalized'!$A:$A, 0))-INDEX('UZ-normalized'!$E:$E, MATCH($A75, 'UZ-normalized'!$A:$A, 0))&gt;0, -(22*INDEX('UZ-normalized'!$D:$D, MATCH($A75, 'UZ-normalized'!$A:$A, 0))-INDEX('UZ-normalized'!$E:$E, MATCH($A75, 'UZ-normalized'!$A:$A, 0))), 0), 0)))</f>
        <v>0</v>
      </c>
      <c r="AK75" s="6">
        <f>MIN(0, N75+(IFERROR(IF(23*INDEX('UA-normalized'!$D:$D, MATCH($A75, 'UA-normalized'!$A:$A, 0))-INDEX('UA-normalized'!$E:$E, MATCH($A75, 'UA-normalized'!$A:$A, 0))&gt;0, -(23*INDEX('UA-normalized'!$D:$D, MATCH($A75, 'UA-normalized'!$A:$A, 0))-INDEX('UA-normalized'!$E:$E, MATCH($A75, 'UA-normalized'!$A:$A, 0))), 0), 0))+(IFERROR(IF(23*INDEX('KZ-normalized'!$D:$D, MATCH($A75, 'KZ-normalized'!$A:$A, 0))-INDEX('KZ-normalized'!$E:$E, MATCH($A75, 'KZ-normalized'!$A:$A, 0))&gt;0, -(23*INDEX('KZ-normalized'!$D:$D, MATCH($A75, 'KZ-normalized'!$A:$A, 0))-INDEX('KZ-normalized'!$E:$E, MATCH($A75, 'KZ-normalized'!$A:$A, 0))), 0), 0))+(IFERROR(IF(23*INDEX('UZ-normalized'!$D:$D, MATCH($A75, 'UZ-normalized'!$A:$A, 0))-INDEX('UZ-normalized'!$E:$E, MATCH($A75, 'UZ-normalized'!$A:$A, 0))&gt;0, -(23*INDEX('UZ-normalized'!$D:$D, MATCH($A75, 'UZ-normalized'!$A:$A, 0))-INDEX('UZ-normalized'!$E:$E, MATCH($A75, 'UZ-normalized'!$A:$A, 0))), 0), 0)))</f>
        <v>0</v>
      </c>
      <c r="AL75" s="6">
        <f>MIN(0, N75+(IFERROR(IF(24*INDEX('UA-normalized'!$D:$D, MATCH($A75, 'UA-normalized'!$A:$A, 0))-INDEX('UA-normalized'!$E:$E, MATCH($A75, 'UA-normalized'!$A:$A, 0))&gt;0, -(24*INDEX('UA-normalized'!$D:$D, MATCH($A75, 'UA-normalized'!$A:$A, 0))-INDEX('UA-normalized'!$E:$E, MATCH($A75, 'UA-normalized'!$A:$A, 0))), 0), 0))+(IFERROR(IF(24*INDEX('KZ-normalized'!$D:$D, MATCH($A75, 'KZ-normalized'!$A:$A, 0))-INDEX('KZ-normalized'!$E:$E, MATCH($A75, 'KZ-normalized'!$A:$A, 0))&gt;0, -(24*INDEX('KZ-normalized'!$D:$D, MATCH($A75, 'KZ-normalized'!$A:$A, 0))-INDEX('KZ-normalized'!$E:$E, MATCH($A75, 'KZ-normalized'!$A:$A, 0))), 0), 0))+(IFERROR(IF(24*INDEX('UZ-normalized'!$D:$D, MATCH($A75, 'UZ-normalized'!$A:$A, 0))-INDEX('UZ-normalized'!$E:$E, MATCH($A75, 'UZ-normalized'!$A:$A, 0))&gt;0, -(24*INDEX('UZ-normalized'!$D:$D, MATCH($A75, 'UZ-normalized'!$A:$A, 0))-INDEX('UZ-normalized'!$E:$E, MATCH($A75, 'UZ-normalized'!$A:$A, 0))), 0), 0)))</f>
        <v>0</v>
      </c>
      <c r="AM75" s="6">
        <f>MIN(0, N75+(IFERROR(IF(25*INDEX('UA-normalized'!$D:$D, MATCH($A75, 'UA-normalized'!$A:$A, 0))-INDEX('UA-normalized'!$E:$E, MATCH($A75, 'UA-normalized'!$A:$A, 0))&gt;0, -(25*INDEX('UA-normalized'!$D:$D, MATCH($A75, 'UA-normalized'!$A:$A, 0))-INDEX('UA-normalized'!$E:$E, MATCH($A75, 'UA-normalized'!$A:$A, 0))), 0), 0))+(IFERROR(IF(25*INDEX('KZ-normalized'!$D:$D, MATCH($A75, 'KZ-normalized'!$A:$A, 0))-INDEX('KZ-normalized'!$E:$E, MATCH($A75, 'KZ-normalized'!$A:$A, 0))&gt;0, -(25*INDEX('KZ-normalized'!$D:$D, MATCH($A75, 'KZ-normalized'!$A:$A, 0))-INDEX('KZ-normalized'!$E:$E, MATCH($A75, 'KZ-normalized'!$A:$A, 0))), 0), 0))+(IFERROR(IF(25*INDEX('UZ-normalized'!$D:$D, MATCH($A75, 'UZ-normalized'!$A:$A, 0))-INDEX('UZ-normalized'!$E:$E, MATCH($A75, 'UZ-normalized'!$A:$A, 0))&gt;0, -(25*INDEX('UZ-normalized'!$D:$D, MATCH($A75, 'UZ-normalized'!$A:$A, 0))-INDEX('UZ-normalized'!$E:$E, MATCH($A75, 'UZ-normalized'!$A:$A, 0))), 0), 0)))</f>
        <v>0</v>
      </c>
      <c r="AN75" s="6">
        <f>MIN(0, N75+(IFERROR(IF(26*INDEX('UA-normalized'!$D:$D, MATCH($A75, 'UA-normalized'!$A:$A, 0))-INDEX('UA-normalized'!$E:$E, MATCH($A75, 'UA-normalized'!$A:$A, 0))&gt;0, -(26*INDEX('UA-normalized'!$D:$D, MATCH($A75, 'UA-normalized'!$A:$A, 0))-INDEX('UA-normalized'!$E:$E, MATCH($A75, 'UA-normalized'!$A:$A, 0))), 0), 0))+(IFERROR(IF(26*INDEX('KZ-normalized'!$D:$D, MATCH($A75, 'KZ-normalized'!$A:$A, 0))-INDEX('KZ-normalized'!$E:$E, MATCH($A75, 'KZ-normalized'!$A:$A, 0))&gt;0, -(26*INDEX('KZ-normalized'!$D:$D, MATCH($A75, 'KZ-normalized'!$A:$A, 0))-INDEX('KZ-normalized'!$E:$E, MATCH($A75, 'KZ-normalized'!$A:$A, 0))), 0), 0))+(IFERROR(IF(26*INDEX('UZ-normalized'!$D:$D, MATCH($A75, 'UZ-normalized'!$A:$A, 0))-INDEX('UZ-normalized'!$E:$E, MATCH($A75, 'UZ-normalized'!$A:$A, 0))&gt;0, -(26*INDEX('UZ-normalized'!$D:$D, MATCH($A75, 'UZ-normalized'!$A:$A, 0))-INDEX('UZ-normalized'!$E:$E, MATCH($A75, 'UZ-normalized'!$A:$A, 0))), 0), 0)))</f>
        <v>0</v>
      </c>
      <c r="AO75" s="6">
        <f>MIN(0, N75+(IFERROR(IF(27*INDEX('UA-normalized'!$D:$D, MATCH($A75, 'UA-normalized'!$A:$A, 0))-INDEX('UA-normalized'!$E:$E, MATCH($A75, 'UA-normalized'!$A:$A, 0))&gt;0, -(27*INDEX('UA-normalized'!$D:$D, MATCH($A75, 'UA-normalized'!$A:$A, 0))-INDEX('UA-normalized'!$E:$E, MATCH($A75, 'UA-normalized'!$A:$A, 0))), 0), 0))+(IFERROR(IF(27*INDEX('KZ-normalized'!$D:$D, MATCH($A75, 'KZ-normalized'!$A:$A, 0))-INDEX('KZ-normalized'!$E:$E, MATCH($A75, 'KZ-normalized'!$A:$A, 0))&gt;0, -(27*INDEX('KZ-normalized'!$D:$D, MATCH($A75, 'KZ-normalized'!$A:$A, 0))-INDEX('KZ-normalized'!$E:$E, MATCH($A75, 'KZ-normalized'!$A:$A, 0))), 0), 0))+(IFERROR(IF(27*INDEX('UZ-normalized'!$D:$D, MATCH($A75, 'UZ-normalized'!$A:$A, 0))-INDEX('UZ-normalized'!$E:$E, MATCH($A75, 'UZ-normalized'!$A:$A, 0))&gt;0, -(27*INDEX('UZ-normalized'!$D:$D, MATCH($A75, 'UZ-normalized'!$A:$A, 0))-INDEX('UZ-normalized'!$E:$E, MATCH($A75, 'UZ-normalized'!$A:$A, 0))), 0), 0)))</f>
        <v>0</v>
      </c>
      <c r="AP75" s="6">
        <f>MIN(0, N75+(IFERROR(IF(28*INDEX('UA-normalized'!$D:$D, MATCH($A75, 'UA-normalized'!$A:$A, 0))-INDEX('UA-normalized'!$E:$E, MATCH($A75, 'UA-normalized'!$A:$A, 0))&gt;0, -(28*INDEX('UA-normalized'!$D:$D, MATCH($A75, 'UA-normalized'!$A:$A, 0))-INDEX('UA-normalized'!$E:$E, MATCH($A75, 'UA-normalized'!$A:$A, 0))), 0), 0))+(IFERROR(IF(28*INDEX('KZ-normalized'!$D:$D, MATCH($A75, 'KZ-normalized'!$A:$A, 0))-INDEX('KZ-normalized'!$E:$E, MATCH($A75, 'KZ-normalized'!$A:$A, 0))&gt;0, -(28*INDEX('KZ-normalized'!$D:$D, MATCH($A75, 'KZ-normalized'!$A:$A, 0))-INDEX('KZ-normalized'!$E:$E, MATCH($A75, 'KZ-normalized'!$A:$A, 0))), 0), 0))+(IFERROR(IF(28*INDEX('UZ-normalized'!$D:$D, MATCH($A75, 'UZ-normalized'!$A:$A, 0))-INDEX('UZ-normalized'!$E:$E, MATCH($A75, 'UZ-normalized'!$A:$A, 0))&gt;0, -(28*INDEX('UZ-normalized'!$D:$D, MATCH($A75, 'UZ-normalized'!$A:$A, 0))-INDEX('UZ-normalized'!$E:$E, MATCH($A75, 'UZ-normalized'!$A:$A, 0))), 0), 0)))</f>
        <v>0</v>
      </c>
      <c r="AQ75" s="6">
        <f>MIN(0, N75+(IFERROR(IF(29*INDEX('UA-normalized'!$D:$D, MATCH($A75, 'UA-normalized'!$A:$A, 0))-INDEX('UA-normalized'!$E:$E, MATCH($A75, 'UA-normalized'!$A:$A, 0))&gt;0, -(29*INDEX('UA-normalized'!$D:$D, MATCH($A75, 'UA-normalized'!$A:$A, 0))-INDEX('UA-normalized'!$E:$E, MATCH($A75, 'UA-normalized'!$A:$A, 0))), 0), 0))+(IFERROR(IF(29*INDEX('KZ-normalized'!$D:$D, MATCH($A75, 'KZ-normalized'!$A:$A, 0))-INDEX('KZ-normalized'!$E:$E, MATCH($A75, 'KZ-normalized'!$A:$A, 0))&gt;0, -(29*INDEX('KZ-normalized'!$D:$D, MATCH($A75, 'KZ-normalized'!$A:$A, 0))-INDEX('KZ-normalized'!$E:$E, MATCH($A75, 'KZ-normalized'!$A:$A, 0))), 0), 0))+(IFERROR(IF(29*INDEX('UZ-normalized'!$D:$D, MATCH($A75, 'UZ-normalized'!$A:$A, 0))-INDEX('UZ-normalized'!$E:$E, MATCH($A75, 'UZ-normalized'!$A:$A, 0))&gt;0, -(29*INDEX('UZ-normalized'!$D:$D, MATCH($A75, 'UZ-normalized'!$A:$A, 0))-INDEX('UZ-normalized'!$E:$E, MATCH($A75, 'UZ-normalized'!$A:$A, 0))), 0), 0)))</f>
        <v>0</v>
      </c>
      <c r="AR75" s="6">
        <f>MIN(0, N75+(IFERROR(IF(30*INDEX('UA-normalized'!$D:$D, MATCH($A75, 'UA-normalized'!$A:$A, 0))-INDEX('UA-normalized'!$E:$E, MATCH($A75, 'UA-normalized'!$A:$A, 0))&gt;0, -(30*INDEX('UA-normalized'!$D:$D, MATCH($A75, 'UA-normalized'!$A:$A, 0))-INDEX('UA-normalized'!$E:$E, MATCH($A75, 'UA-normalized'!$A:$A, 0))), 0), 0))+(IFERROR(IF(30*INDEX('KZ-normalized'!$D:$D, MATCH($A75, 'KZ-normalized'!$A:$A, 0))-INDEX('KZ-normalized'!$E:$E, MATCH($A75, 'KZ-normalized'!$A:$A, 0))&gt;0, -(30*INDEX('KZ-normalized'!$D:$D, MATCH($A75, 'KZ-normalized'!$A:$A, 0))-INDEX('KZ-normalized'!$E:$E, MATCH($A75, 'KZ-normalized'!$A:$A, 0))), 0), 0))+(IFERROR(IF(30*INDEX('UZ-normalized'!$D:$D, MATCH($A75, 'UZ-normalized'!$A:$A, 0))-INDEX('UZ-normalized'!$E:$E, MATCH($A75, 'UZ-normalized'!$A:$A, 0))&gt;0, -(30*INDEX('UZ-normalized'!$D:$D, MATCH($A75, 'UZ-normalized'!$A:$A, 0))-INDEX('UZ-normalized'!$E:$E, MATCH($A75, 'UZ-normalized'!$A:$A, 0))), 0), 0)))</f>
        <v>0</v>
      </c>
    </row>
    <row r="76" spans="1:44" x14ac:dyDescent="0.25">
      <c r="A76" s="8" t="s">
        <v>201</v>
      </c>
      <c r="B76" s="8" t="s">
        <v>180</v>
      </c>
      <c r="C76" s="8" t="s">
        <v>181</v>
      </c>
      <c r="D76" s="8" t="s">
        <v>202</v>
      </c>
      <c r="E76">
        <v>485</v>
      </c>
      <c r="F76">
        <v>253</v>
      </c>
      <c r="G76">
        <v>-10</v>
      </c>
      <c r="N76">
        <f t="shared" si="1"/>
        <v>728</v>
      </c>
      <c r="O76" s="6">
        <f>MIN(0, N76+(IFERROR(IF(1*INDEX('UA-normalized'!$D:$D, MATCH($A76, 'UA-normalized'!$A:$A, 0))-INDEX('UA-normalized'!$E:$E, MATCH($A76, 'UA-normalized'!$A:$A, 0))&gt;0, -(1*INDEX('UA-normalized'!$D:$D, MATCH($A76, 'UA-normalized'!$A:$A, 0))-INDEX('UA-normalized'!$E:$E, MATCH($A76, 'UA-normalized'!$A:$A, 0))), 0), 0))+(IFERROR(IF(1*INDEX('KZ-normalized'!$D:$D, MATCH($A76, 'KZ-normalized'!$A:$A, 0))-INDEX('KZ-normalized'!$E:$E, MATCH($A76, 'KZ-normalized'!$A:$A, 0))&gt;0, -(1*INDEX('KZ-normalized'!$D:$D, MATCH($A76, 'KZ-normalized'!$A:$A, 0))-INDEX('KZ-normalized'!$E:$E, MATCH($A76, 'KZ-normalized'!$A:$A, 0))), 0), 0))+(IFERROR(IF(1*INDEX('UZ-normalized'!$D:$D, MATCH($A76, 'UZ-normalized'!$A:$A, 0))-INDEX('UZ-normalized'!$E:$E, MATCH($A76, 'UZ-normalized'!$A:$A, 0))&gt;0, -(1*INDEX('UZ-normalized'!$D:$D, MATCH($A76, 'UZ-normalized'!$A:$A, 0))-INDEX('UZ-normalized'!$E:$E, MATCH($A76, 'UZ-normalized'!$A:$A, 0))), 0), 0)))</f>
        <v>0</v>
      </c>
      <c r="P76" s="6">
        <f>MIN(0, N76+(IFERROR(IF(2*INDEX('UA-normalized'!$D:$D, MATCH($A76, 'UA-normalized'!$A:$A, 0))-INDEX('UA-normalized'!$E:$E, MATCH($A76, 'UA-normalized'!$A:$A, 0))&gt;0, -(2*INDEX('UA-normalized'!$D:$D, MATCH($A76, 'UA-normalized'!$A:$A, 0))-INDEX('UA-normalized'!$E:$E, MATCH($A76, 'UA-normalized'!$A:$A, 0))), 0), 0))+(IFERROR(IF(2*INDEX('KZ-normalized'!$D:$D, MATCH($A76, 'KZ-normalized'!$A:$A, 0))-INDEX('KZ-normalized'!$E:$E, MATCH($A76, 'KZ-normalized'!$A:$A, 0))&gt;0, -(2*INDEX('KZ-normalized'!$D:$D, MATCH($A76, 'KZ-normalized'!$A:$A, 0))-INDEX('KZ-normalized'!$E:$E, MATCH($A76, 'KZ-normalized'!$A:$A, 0))), 0), 0))+(IFERROR(IF(2*INDEX('UZ-normalized'!$D:$D, MATCH($A76, 'UZ-normalized'!$A:$A, 0))-INDEX('UZ-normalized'!$E:$E, MATCH($A76, 'UZ-normalized'!$A:$A, 0))&gt;0, -(2*INDEX('UZ-normalized'!$D:$D, MATCH($A76, 'UZ-normalized'!$A:$A, 0))-INDEX('UZ-normalized'!$E:$E, MATCH($A76, 'UZ-normalized'!$A:$A, 0))), 0), 0)))</f>
        <v>0</v>
      </c>
      <c r="Q76" s="6">
        <f>MIN(0, N76+(IFERROR(IF(3*INDEX('UA-normalized'!$D:$D, MATCH($A76, 'UA-normalized'!$A:$A, 0))-INDEX('UA-normalized'!$E:$E, MATCH($A76, 'UA-normalized'!$A:$A, 0))&gt;0, -(3*INDEX('UA-normalized'!$D:$D, MATCH($A76, 'UA-normalized'!$A:$A, 0))-INDEX('UA-normalized'!$E:$E, MATCH($A76, 'UA-normalized'!$A:$A, 0))), 0), 0))+(IFERROR(IF(3*INDEX('KZ-normalized'!$D:$D, MATCH($A76, 'KZ-normalized'!$A:$A, 0))-INDEX('KZ-normalized'!$E:$E, MATCH($A76, 'KZ-normalized'!$A:$A, 0))&gt;0, -(3*INDEX('KZ-normalized'!$D:$D, MATCH($A76, 'KZ-normalized'!$A:$A, 0))-INDEX('KZ-normalized'!$E:$E, MATCH($A76, 'KZ-normalized'!$A:$A, 0))), 0), 0))+(IFERROR(IF(3*INDEX('UZ-normalized'!$D:$D, MATCH($A76, 'UZ-normalized'!$A:$A, 0))-INDEX('UZ-normalized'!$E:$E, MATCH($A76, 'UZ-normalized'!$A:$A, 0))&gt;0, -(3*INDEX('UZ-normalized'!$D:$D, MATCH($A76, 'UZ-normalized'!$A:$A, 0))-INDEX('UZ-normalized'!$E:$E, MATCH($A76, 'UZ-normalized'!$A:$A, 0))), 0), 0)))</f>
        <v>0</v>
      </c>
      <c r="R76" s="6">
        <f>MIN(0, N76+(IFERROR(IF(4*INDEX('UA-normalized'!$D:$D, MATCH($A76, 'UA-normalized'!$A:$A, 0))-INDEX('UA-normalized'!$E:$E, MATCH($A76, 'UA-normalized'!$A:$A, 0))&gt;0, -(4*INDEX('UA-normalized'!$D:$D, MATCH($A76, 'UA-normalized'!$A:$A, 0))-INDEX('UA-normalized'!$E:$E, MATCH($A76, 'UA-normalized'!$A:$A, 0))), 0), 0))+(IFERROR(IF(4*INDEX('KZ-normalized'!$D:$D, MATCH($A76, 'KZ-normalized'!$A:$A, 0))-INDEX('KZ-normalized'!$E:$E, MATCH($A76, 'KZ-normalized'!$A:$A, 0))&gt;0, -(4*INDEX('KZ-normalized'!$D:$D, MATCH($A76, 'KZ-normalized'!$A:$A, 0))-INDEX('KZ-normalized'!$E:$E, MATCH($A76, 'KZ-normalized'!$A:$A, 0))), 0), 0))+(IFERROR(IF(4*INDEX('UZ-normalized'!$D:$D, MATCH($A76, 'UZ-normalized'!$A:$A, 0))-INDEX('UZ-normalized'!$E:$E, MATCH($A76, 'UZ-normalized'!$A:$A, 0))&gt;0, -(4*INDEX('UZ-normalized'!$D:$D, MATCH($A76, 'UZ-normalized'!$A:$A, 0))-INDEX('UZ-normalized'!$E:$E, MATCH($A76, 'UZ-normalized'!$A:$A, 0))), 0), 0)))</f>
        <v>0</v>
      </c>
      <c r="S76" s="6">
        <f>MIN(0, N76+(IFERROR(IF(5*INDEX('UA-normalized'!$D:$D, MATCH($A76, 'UA-normalized'!$A:$A, 0))-INDEX('UA-normalized'!$E:$E, MATCH($A76, 'UA-normalized'!$A:$A, 0))&gt;0, -(5*INDEX('UA-normalized'!$D:$D, MATCH($A76, 'UA-normalized'!$A:$A, 0))-INDEX('UA-normalized'!$E:$E, MATCH($A76, 'UA-normalized'!$A:$A, 0))), 0), 0))+(IFERROR(IF(5*INDEX('KZ-normalized'!$D:$D, MATCH($A76, 'KZ-normalized'!$A:$A, 0))-INDEX('KZ-normalized'!$E:$E, MATCH($A76, 'KZ-normalized'!$A:$A, 0))&gt;0, -(5*INDEX('KZ-normalized'!$D:$D, MATCH($A76, 'KZ-normalized'!$A:$A, 0))-INDEX('KZ-normalized'!$E:$E, MATCH($A76, 'KZ-normalized'!$A:$A, 0))), 0), 0))+(IFERROR(IF(5*INDEX('UZ-normalized'!$D:$D, MATCH($A76, 'UZ-normalized'!$A:$A, 0))-INDEX('UZ-normalized'!$E:$E, MATCH($A76, 'UZ-normalized'!$A:$A, 0))&gt;0, -(5*INDEX('UZ-normalized'!$D:$D, MATCH($A76, 'UZ-normalized'!$A:$A, 0))-INDEX('UZ-normalized'!$E:$E, MATCH($A76, 'UZ-normalized'!$A:$A, 0))), 0), 0)))</f>
        <v>0</v>
      </c>
      <c r="T76" s="6">
        <f>MIN(0, N76+(IFERROR(IF(6*INDEX('UA-normalized'!$D:$D, MATCH($A76, 'UA-normalized'!$A:$A, 0))-INDEX('UA-normalized'!$E:$E, MATCH($A76, 'UA-normalized'!$A:$A, 0))&gt;0, -(6*INDEX('UA-normalized'!$D:$D, MATCH($A76, 'UA-normalized'!$A:$A, 0))-INDEX('UA-normalized'!$E:$E, MATCH($A76, 'UA-normalized'!$A:$A, 0))), 0), 0))+(IFERROR(IF(6*INDEX('KZ-normalized'!$D:$D, MATCH($A76, 'KZ-normalized'!$A:$A, 0))-INDEX('KZ-normalized'!$E:$E, MATCH($A76, 'KZ-normalized'!$A:$A, 0))&gt;0, -(6*INDEX('KZ-normalized'!$D:$D, MATCH($A76, 'KZ-normalized'!$A:$A, 0))-INDEX('KZ-normalized'!$E:$E, MATCH($A76, 'KZ-normalized'!$A:$A, 0))), 0), 0))+(IFERROR(IF(6*INDEX('UZ-normalized'!$D:$D, MATCH($A76, 'UZ-normalized'!$A:$A, 0))-INDEX('UZ-normalized'!$E:$E, MATCH($A76, 'UZ-normalized'!$A:$A, 0))&gt;0, -(6*INDEX('UZ-normalized'!$D:$D, MATCH($A76, 'UZ-normalized'!$A:$A, 0))-INDEX('UZ-normalized'!$E:$E, MATCH($A76, 'UZ-normalized'!$A:$A, 0))), 0), 0)))</f>
        <v>0</v>
      </c>
      <c r="U76" s="6">
        <f>MIN(0, N76+(IFERROR(IF(7*INDEX('UA-normalized'!$D:$D, MATCH($A76, 'UA-normalized'!$A:$A, 0))-INDEX('UA-normalized'!$E:$E, MATCH($A76, 'UA-normalized'!$A:$A, 0))&gt;0, -(7*INDEX('UA-normalized'!$D:$D, MATCH($A76, 'UA-normalized'!$A:$A, 0))-INDEX('UA-normalized'!$E:$E, MATCH($A76, 'UA-normalized'!$A:$A, 0))), 0), 0))+(IFERROR(IF(7*INDEX('KZ-normalized'!$D:$D, MATCH($A76, 'KZ-normalized'!$A:$A, 0))-INDEX('KZ-normalized'!$E:$E, MATCH($A76, 'KZ-normalized'!$A:$A, 0))&gt;0, -(7*INDEX('KZ-normalized'!$D:$D, MATCH($A76, 'KZ-normalized'!$A:$A, 0))-INDEX('KZ-normalized'!$E:$E, MATCH($A76, 'KZ-normalized'!$A:$A, 0))), 0), 0))+(IFERROR(IF(7*INDEX('UZ-normalized'!$D:$D, MATCH($A76, 'UZ-normalized'!$A:$A, 0))-INDEX('UZ-normalized'!$E:$E, MATCH($A76, 'UZ-normalized'!$A:$A, 0))&gt;0, -(7*INDEX('UZ-normalized'!$D:$D, MATCH($A76, 'UZ-normalized'!$A:$A, 0))-INDEX('UZ-normalized'!$E:$E, MATCH($A76, 'UZ-normalized'!$A:$A, 0))), 0), 0)))</f>
        <v>0</v>
      </c>
      <c r="V76" s="6">
        <f>MIN(0, N76+(IFERROR(IF(8*INDEX('UA-normalized'!$D:$D, MATCH($A76, 'UA-normalized'!$A:$A, 0))-INDEX('UA-normalized'!$E:$E, MATCH($A76, 'UA-normalized'!$A:$A, 0))&gt;0, -(8*INDEX('UA-normalized'!$D:$D, MATCH($A76, 'UA-normalized'!$A:$A, 0))-INDEX('UA-normalized'!$E:$E, MATCH($A76, 'UA-normalized'!$A:$A, 0))), 0), 0))+(IFERROR(IF(8*INDEX('KZ-normalized'!$D:$D, MATCH($A76, 'KZ-normalized'!$A:$A, 0))-INDEX('KZ-normalized'!$E:$E, MATCH($A76, 'KZ-normalized'!$A:$A, 0))&gt;0, -(8*INDEX('KZ-normalized'!$D:$D, MATCH($A76, 'KZ-normalized'!$A:$A, 0))-INDEX('KZ-normalized'!$E:$E, MATCH($A76, 'KZ-normalized'!$A:$A, 0))), 0), 0))+(IFERROR(IF(8*INDEX('UZ-normalized'!$D:$D, MATCH($A76, 'UZ-normalized'!$A:$A, 0))-INDEX('UZ-normalized'!$E:$E, MATCH($A76, 'UZ-normalized'!$A:$A, 0))&gt;0, -(8*INDEX('UZ-normalized'!$D:$D, MATCH($A76, 'UZ-normalized'!$A:$A, 0))-INDEX('UZ-normalized'!$E:$E, MATCH($A76, 'UZ-normalized'!$A:$A, 0))), 0), 0)))</f>
        <v>0</v>
      </c>
      <c r="W76" s="6">
        <f>MIN(0, N76+(IFERROR(IF(9*INDEX('UA-normalized'!$D:$D, MATCH($A76, 'UA-normalized'!$A:$A, 0))-INDEX('UA-normalized'!$E:$E, MATCH($A76, 'UA-normalized'!$A:$A, 0))&gt;0, -(9*INDEX('UA-normalized'!$D:$D, MATCH($A76, 'UA-normalized'!$A:$A, 0))-INDEX('UA-normalized'!$E:$E, MATCH($A76, 'UA-normalized'!$A:$A, 0))), 0), 0))+(IFERROR(IF(9*INDEX('KZ-normalized'!$D:$D, MATCH($A76, 'KZ-normalized'!$A:$A, 0))-INDEX('KZ-normalized'!$E:$E, MATCH($A76, 'KZ-normalized'!$A:$A, 0))&gt;0, -(9*INDEX('KZ-normalized'!$D:$D, MATCH($A76, 'KZ-normalized'!$A:$A, 0))-INDEX('KZ-normalized'!$E:$E, MATCH($A76, 'KZ-normalized'!$A:$A, 0))), 0), 0))+(IFERROR(IF(9*INDEX('UZ-normalized'!$D:$D, MATCH($A76, 'UZ-normalized'!$A:$A, 0))-INDEX('UZ-normalized'!$E:$E, MATCH($A76, 'UZ-normalized'!$A:$A, 0))&gt;0, -(9*INDEX('UZ-normalized'!$D:$D, MATCH($A76, 'UZ-normalized'!$A:$A, 0))-INDEX('UZ-normalized'!$E:$E, MATCH($A76, 'UZ-normalized'!$A:$A, 0))), 0), 0)))</f>
        <v>0</v>
      </c>
      <c r="X76" s="6">
        <f>MIN(0, N76+(IFERROR(IF(10*INDEX('UA-normalized'!$D:$D, MATCH($A76, 'UA-normalized'!$A:$A, 0))-INDEX('UA-normalized'!$E:$E, MATCH($A76, 'UA-normalized'!$A:$A, 0))&gt;0, -(10*INDEX('UA-normalized'!$D:$D, MATCH($A76, 'UA-normalized'!$A:$A, 0))-INDEX('UA-normalized'!$E:$E, MATCH($A76, 'UA-normalized'!$A:$A, 0))), 0), 0))+(IFERROR(IF(10*INDEX('KZ-normalized'!$D:$D, MATCH($A76, 'KZ-normalized'!$A:$A, 0))-INDEX('KZ-normalized'!$E:$E, MATCH($A76, 'KZ-normalized'!$A:$A, 0))&gt;0, -(10*INDEX('KZ-normalized'!$D:$D, MATCH($A76, 'KZ-normalized'!$A:$A, 0))-INDEX('KZ-normalized'!$E:$E, MATCH($A76, 'KZ-normalized'!$A:$A, 0))), 0), 0))+(IFERROR(IF(10*INDEX('UZ-normalized'!$D:$D, MATCH($A76, 'UZ-normalized'!$A:$A, 0))-INDEX('UZ-normalized'!$E:$E, MATCH($A76, 'UZ-normalized'!$A:$A, 0))&gt;0, -(10*INDEX('UZ-normalized'!$D:$D, MATCH($A76, 'UZ-normalized'!$A:$A, 0))-INDEX('UZ-normalized'!$E:$E, MATCH($A76, 'UZ-normalized'!$A:$A, 0))), 0), 0)))</f>
        <v>0</v>
      </c>
      <c r="Y76" s="6">
        <f>MIN(0, N76+(IFERROR(IF(11*INDEX('UA-normalized'!$D:$D, MATCH($A76, 'UA-normalized'!$A:$A, 0))-INDEX('UA-normalized'!$E:$E, MATCH($A76, 'UA-normalized'!$A:$A, 0))&gt;0, -(11*INDEX('UA-normalized'!$D:$D, MATCH($A76, 'UA-normalized'!$A:$A, 0))-INDEX('UA-normalized'!$E:$E, MATCH($A76, 'UA-normalized'!$A:$A, 0))), 0), 0))+(IFERROR(IF(11*INDEX('KZ-normalized'!$D:$D, MATCH($A76, 'KZ-normalized'!$A:$A, 0))-INDEX('KZ-normalized'!$E:$E, MATCH($A76, 'KZ-normalized'!$A:$A, 0))&gt;0, -(11*INDEX('KZ-normalized'!$D:$D, MATCH($A76, 'KZ-normalized'!$A:$A, 0))-INDEX('KZ-normalized'!$E:$E, MATCH($A76, 'KZ-normalized'!$A:$A, 0))), 0), 0))+(IFERROR(IF(11*INDEX('UZ-normalized'!$D:$D, MATCH($A76, 'UZ-normalized'!$A:$A, 0))-INDEX('UZ-normalized'!$E:$E, MATCH($A76, 'UZ-normalized'!$A:$A, 0))&gt;0, -(11*INDEX('UZ-normalized'!$D:$D, MATCH($A76, 'UZ-normalized'!$A:$A, 0))-INDEX('UZ-normalized'!$E:$E, MATCH($A76, 'UZ-normalized'!$A:$A, 0))), 0), 0)))</f>
        <v>0</v>
      </c>
      <c r="Z76" s="6">
        <f>MIN(0, N76+(IFERROR(IF(12*INDEX('UA-normalized'!$D:$D, MATCH($A76, 'UA-normalized'!$A:$A, 0))-INDEX('UA-normalized'!$E:$E, MATCH($A76, 'UA-normalized'!$A:$A, 0))&gt;0, -(12*INDEX('UA-normalized'!$D:$D, MATCH($A76, 'UA-normalized'!$A:$A, 0))-INDEX('UA-normalized'!$E:$E, MATCH($A76, 'UA-normalized'!$A:$A, 0))), 0), 0))+(IFERROR(IF(12*INDEX('KZ-normalized'!$D:$D, MATCH($A76, 'KZ-normalized'!$A:$A, 0))-INDEX('KZ-normalized'!$E:$E, MATCH($A76, 'KZ-normalized'!$A:$A, 0))&gt;0, -(12*INDEX('KZ-normalized'!$D:$D, MATCH($A76, 'KZ-normalized'!$A:$A, 0))-INDEX('KZ-normalized'!$E:$E, MATCH($A76, 'KZ-normalized'!$A:$A, 0))), 0), 0))+(IFERROR(IF(12*INDEX('UZ-normalized'!$D:$D, MATCH($A76, 'UZ-normalized'!$A:$A, 0))-INDEX('UZ-normalized'!$E:$E, MATCH($A76, 'UZ-normalized'!$A:$A, 0))&gt;0, -(12*INDEX('UZ-normalized'!$D:$D, MATCH($A76, 'UZ-normalized'!$A:$A, 0))-INDEX('UZ-normalized'!$E:$E, MATCH($A76, 'UZ-normalized'!$A:$A, 0))), 0), 0)))</f>
        <v>0</v>
      </c>
      <c r="AA76" s="6">
        <f>MIN(0, N76+(IFERROR(IF(13*INDEX('UA-normalized'!$D:$D, MATCH($A76, 'UA-normalized'!$A:$A, 0))-INDEX('UA-normalized'!$E:$E, MATCH($A76, 'UA-normalized'!$A:$A, 0))&gt;0, -(13*INDEX('UA-normalized'!$D:$D, MATCH($A76, 'UA-normalized'!$A:$A, 0))-INDEX('UA-normalized'!$E:$E, MATCH($A76, 'UA-normalized'!$A:$A, 0))), 0), 0))+(IFERROR(IF(13*INDEX('KZ-normalized'!$D:$D, MATCH($A76, 'KZ-normalized'!$A:$A, 0))-INDEX('KZ-normalized'!$E:$E, MATCH($A76, 'KZ-normalized'!$A:$A, 0))&gt;0, -(13*INDEX('KZ-normalized'!$D:$D, MATCH($A76, 'KZ-normalized'!$A:$A, 0))-INDEX('KZ-normalized'!$E:$E, MATCH($A76, 'KZ-normalized'!$A:$A, 0))), 0), 0))+(IFERROR(IF(13*INDEX('UZ-normalized'!$D:$D, MATCH($A76, 'UZ-normalized'!$A:$A, 0))-INDEX('UZ-normalized'!$E:$E, MATCH($A76, 'UZ-normalized'!$A:$A, 0))&gt;0, -(13*INDEX('UZ-normalized'!$D:$D, MATCH($A76, 'UZ-normalized'!$A:$A, 0))-INDEX('UZ-normalized'!$E:$E, MATCH($A76, 'UZ-normalized'!$A:$A, 0))), 0), 0)))</f>
        <v>0</v>
      </c>
      <c r="AB76" s="6">
        <f>MIN(0, N76+(IFERROR(IF(14*INDEX('UA-normalized'!$D:$D, MATCH($A76, 'UA-normalized'!$A:$A, 0))-INDEX('UA-normalized'!$E:$E, MATCH($A76, 'UA-normalized'!$A:$A, 0))&gt;0, -(14*INDEX('UA-normalized'!$D:$D, MATCH($A76, 'UA-normalized'!$A:$A, 0))-INDEX('UA-normalized'!$E:$E, MATCH($A76, 'UA-normalized'!$A:$A, 0))), 0), 0))+(IFERROR(IF(14*INDEX('KZ-normalized'!$D:$D, MATCH($A76, 'KZ-normalized'!$A:$A, 0))-INDEX('KZ-normalized'!$E:$E, MATCH($A76, 'KZ-normalized'!$A:$A, 0))&gt;0, -(14*INDEX('KZ-normalized'!$D:$D, MATCH($A76, 'KZ-normalized'!$A:$A, 0))-INDEX('KZ-normalized'!$E:$E, MATCH($A76, 'KZ-normalized'!$A:$A, 0))), 0), 0))+(IFERROR(IF(14*INDEX('UZ-normalized'!$D:$D, MATCH($A76, 'UZ-normalized'!$A:$A, 0))-INDEX('UZ-normalized'!$E:$E, MATCH($A76, 'UZ-normalized'!$A:$A, 0))&gt;0, -(14*INDEX('UZ-normalized'!$D:$D, MATCH($A76, 'UZ-normalized'!$A:$A, 0))-INDEX('UZ-normalized'!$E:$E, MATCH($A76, 'UZ-normalized'!$A:$A, 0))), 0), 0)))</f>
        <v>0</v>
      </c>
      <c r="AC76" s="6">
        <f>MIN(0, N76+(IFERROR(IF(15*INDEX('UA-normalized'!$D:$D, MATCH($A76, 'UA-normalized'!$A:$A, 0))-INDEX('UA-normalized'!$E:$E, MATCH($A76, 'UA-normalized'!$A:$A, 0))&gt;0, -(15*INDEX('UA-normalized'!$D:$D, MATCH($A76, 'UA-normalized'!$A:$A, 0))-INDEX('UA-normalized'!$E:$E, MATCH($A76, 'UA-normalized'!$A:$A, 0))), 0), 0))+(IFERROR(IF(15*INDEX('KZ-normalized'!$D:$D, MATCH($A76, 'KZ-normalized'!$A:$A, 0))-INDEX('KZ-normalized'!$E:$E, MATCH($A76, 'KZ-normalized'!$A:$A, 0))&gt;0, -(15*INDEX('KZ-normalized'!$D:$D, MATCH($A76, 'KZ-normalized'!$A:$A, 0))-INDEX('KZ-normalized'!$E:$E, MATCH($A76, 'KZ-normalized'!$A:$A, 0))), 0), 0))+(IFERROR(IF(15*INDEX('UZ-normalized'!$D:$D, MATCH($A76, 'UZ-normalized'!$A:$A, 0))-INDEX('UZ-normalized'!$E:$E, MATCH($A76, 'UZ-normalized'!$A:$A, 0))&gt;0, -(15*INDEX('UZ-normalized'!$D:$D, MATCH($A76, 'UZ-normalized'!$A:$A, 0))-INDEX('UZ-normalized'!$E:$E, MATCH($A76, 'UZ-normalized'!$A:$A, 0))), 0), 0)))</f>
        <v>0</v>
      </c>
      <c r="AD76" s="6">
        <f>MIN(0, N76+(IFERROR(IF(16*INDEX('UA-normalized'!$D:$D, MATCH($A76, 'UA-normalized'!$A:$A, 0))-INDEX('UA-normalized'!$E:$E, MATCH($A76, 'UA-normalized'!$A:$A, 0))&gt;0, -(16*INDEX('UA-normalized'!$D:$D, MATCH($A76, 'UA-normalized'!$A:$A, 0))-INDEX('UA-normalized'!$E:$E, MATCH($A76, 'UA-normalized'!$A:$A, 0))), 0), 0))+(IFERROR(IF(16*INDEX('KZ-normalized'!$D:$D, MATCH($A76, 'KZ-normalized'!$A:$A, 0))-INDEX('KZ-normalized'!$E:$E, MATCH($A76, 'KZ-normalized'!$A:$A, 0))&gt;0, -(16*INDEX('KZ-normalized'!$D:$D, MATCH($A76, 'KZ-normalized'!$A:$A, 0))-INDEX('KZ-normalized'!$E:$E, MATCH($A76, 'KZ-normalized'!$A:$A, 0))), 0), 0))+(IFERROR(IF(16*INDEX('UZ-normalized'!$D:$D, MATCH($A76, 'UZ-normalized'!$A:$A, 0))-INDEX('UZ-normalized'!$E:$E, MATCH($A76, 'UZ-normalized'!$A:$A, 0))&gt;0, -(16*INDEX('UZ-normalized'!$D:$D, MATCH($A76, 'UZ-normalized'!$A:$A, 0))-INDEX('UZ-normalized'!$E:$E, MATCH($A76, 'UZ-normalized'!$A:$A, 0))), 0), 0)))</f>
        <v>0</v>
      </c>
      <c r="AE76" s="6">
        <f>MIN(0, N76+(IFERROR(IF(17*INDEX('UA-normalized'!$D:$D, MATCH($A76, 'UA-normalized'!$A:$A, 0))-INDEX('UA-normalized'!$E:$E, MATCH($A76, 'UA-normalized'!$A:$A, 0))&gt;0, -(17*INDEX('UA-normalized'!$D:$D, MATCH($A76, 'UA-normalized'!$A:$A, 0))-INDEX('UA-normalized'!$E:$E, MATCH($A76, 'UA-normalized'!$A:$A, 0))), 0), 0))+(IFERROR(IF(17*INDEX('KZ-normalized'!$D:$D, MATCH($A76, 'KZ-normalized'!$A:$A, 0))-INDEX('KZ-normalized'!$E:$E, MATCH($A76, 'KZ-normalized'!$A:$A, 0))&gt;0, -(17*INDEX('KZ-normalized'!$D:$D, MATCH($A76, 'KZ-normalized'!$A:$A, 0))-INDEX('KZ-normalized'!$E:$E, MATCH($A76, 'KZ-normalized'!$A:$A, 0))), 0), 0))+(IFERROR(IF(17*INDEX('UZ-normalized'!$D:$D, MATCH($A76, 'UZ-normalized'!$A:$A, 0))-INDEX('UZ-normalized'!$E:$E, MATCH($A76, 'UZ-normalized'!$A:$A, 0))&gt;0, -(17*INDEX('UZ-normalized'!$D:$D, MATCH($A76, 'UZ-normalized'!$A:$A, 0))-INDEX('UZ-normalized'!$E:$E, MATCH($A76, 'UZ-normalized'!$A:$A, 0))), 0), 0)))</f>
        <v>0</v>
      </c>
      <c r="AF76" s="6">
        <f>MIN(0, N76+(IFERROR(IF(18*INDEX('UA-normalized'!$D:$D, MATCH($A76, 'UA-normalized'!$A:$A, 0))-INDEX('UA-normalized'!$E:$E, MATCH($A76, 'UA-normalized'!$A:$A, 0))&gt;0, -(18*INDEX('UA-normalized'!$D:$D, MATCH($A76, 'UA-normalized'!$A:$A, 0))-INDEX('UA-normalized'!$E:$E, MATCH($A76, 'UA-normalized'!$A:$A, 0))), 0), 0))+(IFERROR(IF(18*INDEX('KZ-normalized'!$D:$D, MATCH($A76, 'KZ-normalized'!$A:$A, 0))-INDEX('KZ-normalized'!$E:$E, MATCH($A76, 'KZ-normalized'!$A:$A, 0))&gt;0, -(18*INDEX('KZ-normalized'!$D:$D, MATCH($A76, 'KZ-normalized'!$A:$A, 0))-INDEX('KZ-normalized'!$E:$E, MATCH($A76, 'KZ-normalized'!$A:$A, 0))), 0), 0))+(IFERROR(IF(18*INDEX('UZ-normalized'!$D:$D, MATCH($A76, 'UZ-normalized'!$A:$A, 0))-INDEX('UZ-normalized'!$E:$E, MATCH($A76, 'UZ-normalized'!$A:$A, 0))&gt;0, -(18*INDEX('UZ-normalized'!$D:$D, MATCH($A76, 'UZ-normalized'!$A:$A, 0))-INDEX('UZ-normalized'!$E:$E, MATCH($A76, 'UZ-normalized'!$A:$A, 0))), 0), 0)))</f>
        <v>0</v>
      </c>
      <c r="AG76" s="6">
        <f>MIN(0, N76+(IFERROR(IF(19*INDEX('UA-normalized'!$D:$D, MATCH($A76, 'UA-normalized'!$A:$A, 0))-INDEX('UA-normalized'!$E:$E, MATCH($A76, 'UA-normalized'!$A:$A, 0))&gt;0, -(19*INDEX('UA-normalized'!$D:$D, MATCH($A76, 'UA-normalized'!$A:$A, 0))-INDEX('UA-normalized'!$E:$E, MATCH($A76, 'UA-normalized'!$A:$A, 0))), 0), 0))+(IFERROR(IF(19*INDEX('KZ-normalized'!$D:$D, MATCH($A76, 'KZ-normalized'!$A:$A, 0))-INDEX('KZ-normalized'!$E:$E, MATCH($A76, 'KZ-normalized'!$A:$A, 0))&gt;0, -(19*INDEX('KZ-normalized'!$D:$D, MATCH($A76, 'KZ-normalized'!$A:$A, 0))-INDEX('KZ-normalized'!$E:$E, MATCH($A76, 'KZ-normalized'!$A:$A, 0))), 0), 0))+(IFERROR(IF(19*INDEX('UZ-normalized'!$D:$D, MATCH($A76, 'UZ-normalized'!$A:$A, 0))-INDEX('UZ-normalized'!$E:$E, MATCH($A76, 'UZ-normalized'!$A:$A, 0))&gt;0, -(19*INDEX('UZ-normalized'!$D:$D, MATCH($A76, 'UZ-normalized'!$A:$A, 0))-INDEX('UZ-normalized'!$E:$E, MATCH($A76, 'UZ-normalized'!$A:$A, 0))), 0), 0)))</f>
        <v>0</v>
      </c>
      <c r="AH76" s="6">
        <f>MIN(0, N76+(IFERROR(IF(20*INDEX('UA-normalized'!$D:$D, MATCH($A76, 'UA-normalized'!$A:$A, 0))-INDEX('UA-normalized'!$E:$E, MATCH($A76, 'UA-normalized'!$A:$A, 0))&gt;0, -(20*INDEX('UA-normalized'!$D:$D, MATCH($A76, 'UA-normalized'!$A:$A, 0))-INDEX('UA-normalized'!$E:$E, MATCH($A76, 'UA-normalized'!$A:$A, 0))), 0), 0))+(IFERROR(IF(20*INDEX('KZ-normalized'!$D:$D, MATCH($A76, 'KZ-normalized'!$A:$A, 0))-INDEX('KZ-normalized'!$E:$E, MATCH($A76, 'KZ-normalized'!$A:$A, 0))&gt;0, -(20*INDEX('KZ-normalized'!$D:$D, MATCH($A76, 'KZ-normalized'!$A:$A, 0))-INDEX('KZ-normalized'!$E:$E, MATCH($A76, 'KZ-normalized'!$A:$A, 0))), 0), 0))+(IFERROR(IF(20*INDEX('UZ-normalized'!$D:$D, MATCH($A76, 'UZ-normalized'!$A:$A, 0))-INDEX('UZ-normalized'!$E:$E, MATCH($A76, 'UZ-normalized'!$A:$A, 0))&gt;0, -(20*INDEX('UZ-normalized'!$D:$D, MATCH($A76, 'UZ-normalized'!$A:$A, 0))-INDEX('UZ-normalized'!$E:$E, MATCH($A76, 'UZ-normalized'!$A:$A, 0))), 0), 0)))</f>
        <v>0</v>
      </c>
      <c r="AI76" s="6">
        <f>MIN(0, N76+(IFERROR(IF(21*INDEX('UA-normalized'!$D:$D, MATCH($A76, 'UA-normalized'!$A:$A, 0))-INDEX('UA-normalized'!$E:$E, MATCH($A76, 'UA-normalized'!$A:$A, 0))&gt;0, -(21*INDEX('UA-normalized'!$D:$D, MATCH($A76, 'UA-normalized'!$A:$A, 0))-INDEX('UA-normalized'!$E:$E, MATCH($A76, 'UA-normalized'!$A:$A, 0))), 0), 0))+(IFERROR(IF(21*INDEX('KZ-normalized'!$D:$D, MATCH($A76, 'KZ-normalized'!$A:$A, 0))-INDEX('KZ-normalized'!$E:$E, MATCH($A76, 'KZ-normalized'!$A:$A, 0))&gt;0, -(21*INDEX('KZ-normalized'!$D:$D, MATCH($A76, 'KZ-normalized'!$A:$A, 0))-INDEX('KZ-normalized'!$E:$E, MATCH($A76, 'KZ-normalized'!$A:$A, 0))), 0), 0))+(IFERROR(IF(21*INDEX('UZ-normalized'!$D:$D, MATCH($A76, 'UZ-normalized'!$A:$A, 0))-INDEX('UZ-normalized'!$E:$E, MATCH($A76, 'UZ-normalized'!$A:$A, 0))&gt;0, -(21*INDEX('UZ-normalized'!$D:$D, MATCH($A76, 'UZ-normalized'!$A:$A, 0))-INDEX('UZ-normalized'!$E:$E, MATCH($A76, 'UZ-normalized'!$A:$A, 0))), 0), 0)))</f>
        <v>0</v>
      </c>
      <c r="AJ76" s="6">
        <f>MIN(0, N76+(IFERROR(IF(22*INDEX('UA-normalized'!$D:$D, MATCH($A76, 'UA-normalized'!$A:$A, 0))-INDEX('UA-normalized'!$E:$E, MATCH($A76, 'UA-normalized'!$A:$A, 0))&gt;0, -(22*INDEX('UA-normalized'!$D:$D, MATCH($A76, 'UA-normalized'!$A:$A, 0))-INDEX('UA-normalized'!$E:$E, MATCH($A76, 'UA-normalized'!$A:$A, 0))), 0), 0))+(IFERROR(IF(22*INDEX('KZ-normalized'!$D:$D, MATCH($A76, 'KZ-normalized'!$A:$A, 0))-INDEX('KZ-normalized'!$E:$E, MATCH($A76, 'KZ-normalized'!$A:$A, 0))&gt;0, -(22*INDEX('KZ-normalized'!$D:$D, MATCH($A76, 'KZ-normalized'!$A:$A, 0))-INDEX('KZ-normalized'!$E:$E, MATCH($A76, 'KZ-normalized'!$A:$A, 0))), 0), 0))+(IFERROR(IF(22*INDEX('UZ-normalized'!$D:$D, MATCH($A76, 'UZ-normalized'!$A:$A, 0))-INDEX('UZ-normalized'!$E:$E, MATCH($A76, 'UZ-normalized'!$A:$A, 0))&gt;0, -(22*INDEX('UZ-normalized'!$D:$D, MATCH($A76, 'UZ-normalized'!$A:$A, 0))-INDEX('UZ-normalized'!$E:$E, MATCH($A76, 'UZ-normalized'!$A:$A, 0))), 0), 0)))</f>
        <v>0</v>
      </c>
      <c r="AK76" s="6">
        <f>MIN(0, N76+(IFERROR(IF(23*INDEX('UA-normalized'!$D:$D, MATCH($A76, 'UA-normalized'!$A:$A, 0))-INDEX('UA-normalized'!$E:$E, MATCH($A76, 'UA-normalized'!$A:$A, 0))&gt;0, -(23*INDEX('UA-normalized'!$D:$D, MATCH($A76, 'UA-normalized'!$A:$A, 0))-INDEX('UA-normalized'!$E:$E, MATCH($A76, 'UA-normalized'!$A:$A, 0))), 0), 0))+(IFERROR(IF(23*INDEX('KZ-normalized'!$D:$D, MATCH($A76, 'KZ-normalized'!$A:$A, 0))-INDEX('KZ-normalized'!$E:$E, MATCH($A76, 'KZ-normalized'!$A:$A, 0))&gt;0, -(23*INDEX('KZ-normalized'!$D:$D, MATCH($A76, 'KZ-normalized'!$A:$A, 0))-INDEX('KZ-normalized'!$E:$E, MATCH($A76, 'KZ-normalized'!$A:$A, 0))), 0), 0))+(IFERROR(IF(23*INDEX('UZ-normalized'!$D:$D, MATCH($A76, 'UZ-normalized'!$A:$A, 0))-INDEX('UZ-normalized'!$E:$E, MATCH($A76, 'UZ-normalized'!$A:$A, 0))&gt;0, -(23*INDEX('UZ-normalized'!$D:$D, MATCH($A76, 'UZ-normalized'!$A:$A, 0))-INDEX('UZ-normalized'!$E:$E, MATCH($A76, 'UZ-normalized'!$A:$A, 0))), 0), 0)))</f>
        <v>0</v>
      </c>
      <c r="AL76" s="6">
        <f>MIN(0, N76+(IFERROR(IF(24*INDEX('UA-normalized'!$D:$D, MATCH($A76, 'UA-normalized'!$A:$A, 0))-INDEX('UA-normalized'!$E:$E, MATCH($A76, 'UA-normalized'!$A:$A, 0))&gt;0, -(24*INDEX('UA-normalized'!$D:$D, MATCH($A76, 'UA-normalized'!$A:$A, 0))-INDEX('UA-normalized'!$E:$E, MATCH($A76, 'UA-normalized'!$A:$A, 0))), 0), 0))+(IFERROR(IF(24*INDEX('KZ-normalized'!$D:$D, MATCH($A76, 'KZ-normalized'!$A:$A, 0))-INDEX('KZ-normalized'!$E:$E, MATCH($A76, 'KZ-normalized'!$A:$A, 0))&gt;0, -(24*INDEX('KZ-normalized'!$D:$D, MATCH($A76, 'KZ-normalized'!$A:$A, 0))-INDEX('KZ-normalized'!$E:$E, MATCH($A76, 'KZ-normalized'!$A:$A, 0))), 0), 0))+(IFERROR(IF(24*INDEX('UZ-normalized'!$D:$D, MATCH($A76, 'UZ-normalized'!$A:$A, 0))-INDEX('UZ-normalized'!$E:$E, MATCH($A76, 'UZ-normalized'!$A:$A, 0))&gt;0, -(24*INDEX('UZ-normalized'!$D:$D, MATCH($A76, 'UZ-normalized'!$A:$A, 0))-INDEX('UZ-normalized'!$E:$E, MATCH($A76, 'UZ-normalized'!$A:$A, 0))), 0), 0)))</f>
        <v>0</v>
      </c>
      <c r="AM76" s="6">
        <f>MIN(0, N76+(IFERROR(IF(25*INDEX('UA-normalized'!$D:$D, MATCH($A76, 'UA-normalized'!$A:$A, 0))-INDEX('UA-normalized'!$E:$E, MATCH($A76, 'UA-normalized'!$A:$A, 0))&gt;0, -(25*INDEX('UA-normalized'!$D:$D, MATCH($A76, 'UA-normalized'!$A:$A, 0))-INDEX('UA-normalized'!$E:$E, MATCH($A76, 'UA-normalized'!$A:$A, 0))), 0), 0))+(IFERROR(IF(25*INDEX('KZ-normalized'!$D:$D, MATCH($A76, 'KZ-normalized'!$A:$A, 0))-INDEX('KZ-normalized'!$E:$E, MATCH($A76, 'KZ-normalized'!$A:$A, 0))&gt;0, -(25*INDEX('KZ-normalized'!$D:$D, MATCH($A76, 'KZ-normalized'!$A:$A, 0))-INDEX('KZ-normalized'!$E:$E, MATCH($A76, 'KZ-normalized'!$A:$A, 0))), 0), 0))+(IFERROR(IF(25*INDEX('UZ-normalized'!$D:$D, MATCH($A76, 'UZ-normalized'!$A:$A, 0))-INDEX('UZ-normalized'!$E:$E, MATCH($A76, 'UZ-normalized'!$A:$A, 0))&gt;0, -(25*INDEX('UZ-normalized'!$D:$D, MATCH($A76, 'UZ-normalized'!$A:$A, 0))-INDEX('UZ-normalized'!$E:$E, MATCH($A76, 'UZ-normalized'!$A:$A, 0))), 0), 0)))</f>
        <v>0</v>
      </c>
      <c r="AN76" s="6">
        <f>MIN(0, N76+(IFERROR(IF(26*INDEX('UA-normalized'!$D:$D, MATCH($A76, 'UA-normalized'!$A:$A, 0))-INDEX('UA-normalized'!$E:$E, MATCH($A76, 'UA-normalized'!$A:$A, 0))&gt;0, -(26*INDEX('UA-normalized'!$D:$D, MATCH($A76, 'UA-normalized'!$A:$A, 0))-INDEX('UA-normalized'!$E:$E, MATCH($A76, 'UA-normalized'!$A:$A, 0))), 0), 0))+(IFERROR(IF(26*INDEX('KZ-normalized'!$D:$D, MATCH($A76, 'KZ-normalized'!$A:$A, 0))-INDEX('KZ-normalized'!$E:$E, MATCH($A76, 'KZ-normalized'!$A:$A, 0))&gt;0, -(26*INDEX('KZ-normalized'!$D:$D, MATCH($A76, 'KZ-normalized'!$A:$A, 0))-INDEX('KZ-normalized'!$E:$E, MATCH($A76, 'KZ-normalized'!$A:$A, 0))), 0), 0))+(IFERROR(IF(26*INDEX('UZ-normalized'!$D:$D, MATCH($A76, 'UZ-normalized'!$A:$A, 0))-INDEX('UZ-normalized'!$E:$E, MATCH($A76, 'UZ-normalized'!$A:$A, 0))&gt;0, -(26*INDEX('UZ-normalized'!$D:$D, MATCH($A76, 'UZ-normalized'!$A:$A, 0))-INDEX('UZ-normalized'!$E:$E, MATCH($A76, 'UZ-normalized'!$A:$A, 0))), 0), 0)))</f>
        <v>0</v>
      </c>
      <c r="AO76" s="6">
        <f>MIN(0, N76+(IFERROR(IF(27*INDEX('UA-normalized'!$D:$D, MATCH($A76, 'UA-normalized'!$A:$A, 0))-INDEX('UA-normalized'!$E:$E, MATCH($A76, 'UA-normalized'!$A:$A, 0))&gt;0, -(27*INDEX('UA-normalized'!$D:$D, MATCH($A76, 'UA-normalized'!$A:$A, 0))-INDEX('UA-normalized'!$E:$E, MATCH($A76, 'UA-normalized'!$A:$A, 0))), 0), 0))+(IFERROR(IF(27*INDEX('KZ-normalized'!$D:$D, MATCH($A76, 'KZ-normalized'!$A:$A, 0))-INDEX('KZ-normalized'!$E:$E, MATCH($A76, 'KZ-normalized'!$A:$A, 0))&gt;0, -(27*INDEX('KZ-normalized'!$D:$D, MATCH($A76, 'KZ-normalized'!$A:$A, 0))-INDEX('KZ-normalized'!$E:$E, MATCH($A76, 'KZ-normalized'!$A:$A, 0))), 0), 0))+(IFERROR(IF(27*INDEX('UZ-normalized'!$D:$D, MATCH($A76, 'UZ-normalized'!$A:$A, 0))-INDEX('UZ-normalized'!$E:$E, MATCH($A76, 'UZ-normalized'!$A:$A, 0))&gt;0, -(27*INDEX('UZ-normalized'!$D:$D, MATCH($A76, 'UZ-normalized'!$A:$A, 0))-INDEX('UZ-normalized'!$E:$E, MATCH($A76, 'UZ-normalized'!$A:$A, 0))), 0), 0)))</f>
        <v>0</v>
      </c>
      <c r="AP76" s="6">
        <f>MIN(0, N76+(IFERROR(IF(28*INDEX('UA-normalized'!$D:$D, MATCH($A76, 'UA-normalized'!$A:$A, 0))-INDEX('UA-normalized'!$E:$E, MATCH($A76, 'UA-normalized'!$A:$A, 0))&gt;0, -(28*INDEX('UA-normalized'!$D:$D, MATCH($A76, 'UA-normalized'!$A:$A, 0))-INDEX('UA-normalized'!$E:$E, MATCH($A76, 'UA-normalized'!$A:$A, 0))), 0), 0))+(IFERROR(IF(28*INDEX('KZ-normalized'!$D:$D, MATCH($A76, 'KZ-normalized'!$A:$A, 0))-INDEX('KZ-normalized'!$E:$E, MATCH($A76, 'KZ-normalized'!$A:$A, 0))&gt;0, -(28*INDEX('KZ-normalized'!$D:$D, MATCH($A76, 'KZ-normalized'!$A:$A, 0))-INDEX('KZ-normalized'!$E:$E, MATCH($A76, 'KZ-normalized'!$A:$A, 0))), 0), 0))+(IFERROR(IF(28*INDEX('UZ-normalized'!$D:$D, MATCH($A76, 'UZ-normalized'!$A:$A, 0))-INDEX('UZ-normalized'!$E:$E, MATCH($A76, 'UZ-normalized'!$A:$A, 0))&gt;0, -(28*INDEX('UZ-normalized'!$D:$D, MATCH($A76, 'UZ-normalized'!$A:$A, 0))-INDEX('UZ-normalized'!$E:$E, MATCH($A76, 'UZ-normalized'!$A:$A, 0))), 0), 0)))</f>
        <v>0</v>
      </c>
      <c r="AQ76" s="6">
        <f>MIN(0, N76+(IFERROR(IF(29*INDEX('UA-normalized'!$D:$D, MATCH($A76, 'UA-normalized'!$A:$A, 0))-INDEX('UA-normalized'!$E:$E, MATCH($A76, 'UA-normalized'!$A:$A, 0))&gt;0, -(29*INDEX('UA-normalized'!$D:$D, MATCH($A76, 'UA-normalized'!$A:$A, 0))-INDEX('UA-normalized'!$E:$E, MATCH($A76, 'UA-normalized'!$A:$A, 0))), 0), 0))+(IFERROR(IF(29*INDEX('KZ-normalized'!$D:$D, MATCH($A76, 'KZ-normalized'!$A:$A, 0))-INDEX('KZ-normalized'!$E:$E, MATCH($A76, 'KZ-normalized'!$A:$A, 0))&gt;0, -(29*INDEX('KZ-normalized'!$D:$D, MATCH($A76, 'KZ-normalized'!$A:$A, 0))-INDEX('KZ-normalized'!$E:$E, MATCH($A76, 'KZ-normalized'!$A:$A, 0))), 0), 0))+(IFERROR(IF(29*INDEX('UZ-normalized'!$D:$D, MATCH($A76, 'UZ-normalized'!$A:$A, 0))-INDEX('UZ-normalized'!$E:$E, MATCH($A76, 'UZ-normalized'!$A:$A, 0))&gt;0, -(29*INDEX('UZ-normalized'!$D:$D, MATCH($A76, 'UZ-normalized'!$A:$A, 0))-INDEX('UZ-normalized'!$E:$E, MATCH($A76, 'UZ-normalized'!$A:$A, 0))), 0), 0)))</f>
        <v>0</v>
      </c>
      <c r="AR76" s="6">
        <f>MIN(0, N76+(IFERROR(IF(30*INDEX('UA-normalized'!$D:$D, MATCH($A76, 'UA-normalized'!$A:$A, 0))-INDEX('UA-normalized'!$E:$E, MATCH($A76, 'UA-normalized'!$A:$A, 0))&gt;0, -(30*INDEX('UA-normalized'!$D:$D, MATCH($A76, 'UA-normalized'!$A:$A, 0))-INDEX('UA-normalized'!$E:$E, MATCH($A76, 'UA-normalized'!$A:$A, 0))), 0), 0))+(IFERROR(IF(30*INDEX('KZ-normalized'!$D:$D, MATCH($A76, 'KZ-normalized'!$A:$A, 0))-INDEX('KZ-normalized'!$E:$E, MATCH($A76, 'KZ-normalized'!$A:$A, 0))&gt;0, -(30*INDEX('KZ-normalized'!$D:$D, MATCH($A76, 'KZ-normalized'!$A:$A, 0))-INDEX('KZ-normalized'!$E:$E, MATCH($A76, 'KZ-normalized'!$A:$A, 0))), 0), 0))+(IFERROR(IF(30*INDEX('UZ-normalized'!$D:$D, MATCH($A76, 'UZ-normalized'!$A:$A, 0))-INDEX('UZ-normalized'!$E:$E, MATCH($A76, 'UZ-normalized'!$A:$A, 0))&gt;0, -(30*INDEX('UZ-normalized'!$D:$D, MATCH($A76, 'UZ-normalized'!$A:$A, 0))-INDEX('UZ-normalized'!$E:$E, MATCH($A76, 'UZ-normalized'!$A:$A, 0))), 0), 0)))</f>
        <v>0</v>
      </c>
    </row>
    <row r="77" spans="1:44" x14ac:dyDescent="0.25">
      <c r="A77" s="8" t="s">
        <v>203</v>
      </c>
      <c r="B77" s="8" t="s">
        <v>180</v>
      </c>
      <c r="C77" s="8" t="s">
        <v>181</v>
      </c>
      <c r="D77" s="8" t="s">
        <v>204</v>
      </c>
      <c r="F77">
        <v>914</v>
      </c>
      <c r="G77">
        <v>-10</v>
      </c>
      <c r="N77">
        <f t="shared" si="1"/>
        <v>904</v>
      </c>
      <c r="O77" s="6">
        <f>MIN(0, N77+(IFERROR(IF(1*INDEX('UA-normalized'!$D:$D, MATCH($A77, 'UA-normalized'!$A:$A, 0))-INDEX('UA-normalized'!$E:$E, MATCH($A77, 'UA-normalized'!$A:$A, 0))&gt;0, -(1*INDEX('UA-normalized'!$D:$D, MATCH($A77, 'UA-normalized'!$A:$A, 0))-INDEX('UA-normalized'!$E:$E, MATCH($A77, 'UA-normalized'!$A:$A, 0))), 0), 0))+(IFERROR(IF(1*INDEX('KZ-normalized'!$D:$D, MATCH($A77, 'KZ-normalized'!$A:$A, 0))-INDEX('KZ-normalized'!$E:$E, MATCH($A77, 'KZ-normalized'!$A:$A, 0))&gt;0, -(1*INDEX('KZ-normalized'!$D:$D, MATCH($A77, 'KZ-normalized'!$A:$A, 0))-INDEX('KZ-normalized'!$E:$E, MATCH($A77, 'KZ-normalized'!$A:$A, 0))), 0), 0))+(IFERROR(IF(1*INDEX('UZ-normalized'!$D:$D, MATCH($A77, 'UZ-normalized'!$A:$A, 0))-INDEX('UZ-normalized'!$E:$E, MATCH($A77, 'UZ-normalized'!$A:$A, 0))&gt;0, -(1*INDEX('UZ-normalized'!$D:$D, MATCH($A77, 'UZ-normalized'!$A:$A, 0))-INDEX('UZ-normalized'!$E:$E, MATCH($A77, 'UZ-normalized'!$A:$A, 0))), 0), 0)))</f>
        <v>0</v>
      </c>
      <c r="P77" s="6">
        <f>MIN(0, N77+(IFERROR(IF(2*INDEX('UA-normalized'!$D:$D, MATCH($A77, 'UA-normalized'!$A:$A, 0))-INDEX('UA-normalized'!$E:$E, MATCH($A77, 'UA-normalized'!$A:$A, 0))&gt;0, -(2*INDEX('UA-normalized'!$D:$D, MATCH($A77, 'UA-normalized'!$A:$A, 0))-INDEX('UA-normalized'!$E:$E, MATCH($A77, 'UA-normalized'!$A:$A, 0))), 0), 0))+(IFERROR(IF(2*INDEX('KZ-normalized'!$D:$D, MATCH($A77, 'KZ-normalized'!$A:$A, 0))-INDEX('KZ-normalized'!$E:$E, MATCH($A77, 'KZ-normalized'!$A:$A, 0))&gt;0, -(2*INDEX('KZ-normalized'!$D:$D, MATCH($A77, 'KZ-normalized'!$A:$A, 0))-INDEX('KZ-normalized'!$E:$E, MATCH($A77, 'KZ-normalized'!$A:$A, 0))), 0), 0))+(IFERROR(IF(2*INDEX('UZ-normalized'!$D:$D, MATCH($A77, 'UZ-normalized'!$A:$A, 0))-INDEX('UZ-normalized'!$E:$E, MATCH($A77, 'UZ-normalized'!$A:$A, 0))&gt;0, -(2*INDEX('UZ-normalized'!$D:$D, MATCH($A77, 'UZ-normalized'!$A:$A, 0))-INDEX('UZ-normalized'!$E:$E, MATCH($A77, 'UZ-normalized'!$A:$A, 0))), 0), 0)))</f>
        <v>0</v>
      </c>
      <c r="Q77" s="6">
        <f>MIN(0, N77+(IFERROR(IF(3*INDEX('UA-normalized'!$D:$D, MATCH($A77, 'UA-normalized'!$A:$A, 0))-INDEX('UA-normalized'!$E:$E, MATCH($A77, 'UA-normalized'!$A:$A, 0))&gt;0, -(3*INDEX('UA-normalized'!$D:$D, MATCH($A77, 'UA-normalized'!$A:$A, 0))-INDEX('UA-normalized'!$E:$E, MATCH($A77, 'UA-normalized'!$A:$A, 0))), 0), 0))+(IFERROR(IF(3*INDEX('KZ-normalized'!$D:$D, MATCH($A77, 'KZ-normalized'!$A:$A, 0))-INDEX('KZ-normalized'!$E:$E, MATCH($A77, 'KZ-normalized'!$A:$A, 0))&gt;0, -(3*INDEX('KZ-normalized'!$D:$D, MATCH($A77, 'KZ-normalized'!$A:$A, 0))-INDEX('KZ-normalized'!$E:$E, MATCH($A77, 'KZ-normalized'!$A:$A, 0))), 0), 0))+(IFERROR(IF(3*INDEX('UZ-normalized'!$D:$D, MATCH($A77, 'UZ-normalized'!$A:$A, 0))-INDEX('UZ-normalized'!$E:$E, MATCH($A77, 'UZ-normalized'!$A:$A, 0))&gt;0, -(3*INDEX('UZ-normalized'!$D:$D, MATCH($A77, 'UZ-normalized'!$A:$A, 0))-INDEX('UZ-normalized'!$E:$E, MATCH($A77, 'UZ-normalized'!$A:$A, 0))), 0), 0)))</f>
        <v>0</v>
      </c>
      <c r="R77" s="6">
        <f>MIN(0, N77+(IFERROR(IF(4*INDEX('UA-normalized'!$D:$D, MATCH($A77, 'UA-normalized'!$A:$A, 0))-INDEX('UA-normalized'!$E:$E, MATCH($A77, 'UA-normalized'!$A:$A, 0))&gt;0, -(4*INDEX('UA-normalized'!$D:$D, MATCH($A77, 'UA-normalized'!$A:$A, 0))-INDEX('UA-normalized'!$E:$E, MATCH($A77, 'UA-normalized'!$A:$A, 0))), 0), 0))+(IFERROR(IF(4*INDEX('KZ-normalized'!$D:$D, MATCH($A77, 'KZ-normalized'!$A:$A, 0))-INDEX('KZ-normalized'!$E:$E, MATCH($A77, 'KZ-normalized'!$A:$A, 0))&gt;0, -(4*INDEX('KZ-normalized'!$D:$D, MATCH($A77, 'KZ-normalized'!$A:$A, 0))-INDEX('KZ-normalized'!$E:$E, MATCH($A77, 'KZ-normalized'!$A:$A, 0))), 0), 0))+(IFERROR(IF(4*INDEX('UZ-normalized'!$D:$D, MATCH($A77, 'UZ-normalized'!$A:$A, 0))-INDEX('UZ-normalized'!$E:$E, MATCH($A77, 'UZ-normalized'!$A:$A, 0))&gt;0, -(4*INDEX('UZ-normalized'!$D:$D, MATCH($A77, 'UZ-normalized'!$A:$A, 0))-INDEX('UZ-normalized'!$E:$E, MATCH($A77, 'UZ-normalized'!$A:$A, 0))), 0), 0)))</f>
        <v>0</v>
      </c>
      <c r="S77" s="6">
        <f>MIN(0, N77+(IFERROR(IF(5*INDEX('UA-normalized'!$D:$D, MATCH($A77, 'UA-normalized'!$A:$A, 0))-INDEX('UA-normalized'!$E:$E, MATCH($A77, 'UA-normalized'!$A:$A, 0))&gt;0, -(5*INDEX('UA-normalized'!$D:$D, MATCH($A77, 'UA-normalized'!$A:$A, 0))-INDEX('UA-normalized'!$E:$E, MATCH($A77, 'UA-normalized'!$A:$A, 0))), 0), 0))+(IFERROR(IF(5*INDEX('KZ-normalized'!$D:$D, MATCH($A77, 'KZ-normalized'!$A:$A, 0))-INDEX('KZ-normalized'!$E:$E, MATCH($A77, 'KZ-normalized'!$A:$A, 0))&gt;0, -(5*INDEX('KZ-normalized'!$D:$D, MATCH($A77, 'KZ-normalized'!$A:$A, 0))-INDEX('KZ-normalized'!$E:$E, MATCH($A77, 'KZ-normalized'!$A:$A, 0))), 0), 0))+(IFERROR(IF(5*INDEX('UZ-normalized'!$D:$D, MATCH($A77, 'UZ-normalized'!$A:$A, 0))-INDEX('UZ-normalized'!$E:$E, MATCH($A77, 'UZ-normalized'!$A:$A, 0))&gt;0, -(5*INDEX('UZ-normalized'!$D:$D, MATCH($A77, 'UZ-normalized'!$A:$A, 0))-INDEX('UZ-normalized'!$E:$E, MATCH($A77, 'UZ-normalized'!$A:$A, 0))), 0), 0)))</f>
        <v>0</v>
      </c>
      <c r="T77" s="6">
        <f>MIN(0, N77+(IFERROR(IF(6*INDEX('UA-normalized'!$D:$D, MATCH($A77, 'UA-normalized'!$A:$A, 0))-INDEX('UA-normalized'!$E:$E, MATCH($A77, 'UA-normalized'!$A:$A, 0))&gt;0, -(6*INDEX('UA-normalized'!$D:$D, MATCH($A77, 'UA-normalized'!$A:$A, 0))-INDEX('UA-normalized'!$E:$E, MATCH($A77, 'UA-normalized'!$A:$A, 0))), 0), 0))+(IFERROR(IF(6*INDEX('KZ-normalized'!$D:$D, MATCH($A77, 'KZ-normalized'!$A:$A, 0))-INDEX('KZ-normalized'!$E:$E, MATCH($A77, 'KZ-normalized'!$A:$A, 0))&gt;0, -(6*INDEX('KZ-normalized'!$D:$D, MATCH($A77, 'KZ-normalized'!$A:$A, 0))-INDEX('KZ-normalized'!$E:$E, MATCH($A77, 'KZ-normalized'!$A:$A, 0))), 0), 0))+(IFERROR(IF(6*INDEX('UZ-normalized'!$D:$D, MATCH($A77, 'UZ-normalized'!$A:$A, 0))-INDEX('UZ-normalized'!$E:$E, MATCH($A77, 'UZ-normalized'!$A:$A, 0))&gt;0, -(6*INDEX('UZ-normalized'!$D:$D, MATCH($A77, 'UZ-normalized'!$A:$A, 0))-INDEX('UZ-normalized'!$E:$E, MATCH($A77, 'UZ-normalized'!$A:$A, 0))), 0), 0)))</f>
        <v>0</v>
      </c>
      <c r="U77" s="6">
        <f>MIN(0, N77+(IFERROR(IF(7*INDEX('UA-normalized'!$D:$D, MATCH($A77, 'UA-normalized'!$A:$A, 0))-INDEX('UA-normalized'!$E:$E, MATCH($A77, 'UA-normalized'!$A:$A, 0))&gt;0, -(7*INDEX('UA-normalized'!$D:$D, MATCH($A77, 'UA-normalized'!$A:$A, 0))-INDEX('UA-normalized'!$E:$E, MATCH($A77, 'UA-normalized'!$A:$A, 0))), 0), 0))+(IFERROR(IF(7*INDEX('KZ-normalized'!$D:$D, MATCH($A77, 'KZ-normalized'!$A:$A, 0))-INDEX('KZ-normalized'!$E:$E, MATCH($A77, 'KZ-normalized'!$A:$A, 0))&gt;0, -(7*INDEX('KZ-normalized'!$D:$D, MATCH($A77, 'KZ-normalized'!$A:$A, 0))-INDEX('KZ-normalized'!$E:$E, MATCH($A77, 'KZ-normalized'!$A:$A, 0))), 0), 0))+(IFERROR(IF(7*INDEX('UZ-normalized'!$D:$D, MATCH($A77, 'UZ-normalized'!$A:$A, 0))-INDEX('UZ-normalized'!$E:$E, MATCH($A77, 'UZ-normalized'!$A:$A, 0))&gt;0, -(7*INDEX('UZ-normalized'!$D:$D, MATCH($A77, 'UZ-normalized'!$A:$A, 0))-INDEX('UZ-normalized'!$E:$E, MATCH($A77, 'UZ-normalized'!$A:$A, 0))), 0), 0)))</f>
        <v>0</v>
      </c>
      <c r="V77" s="6">
        <f>MIN(0, N77+(IFERROR(IF(8*INDEX('UA-normalized'!$D:$D, MATCH($A77, 'UA-normalized'!$A:$A, 0))-INDEX('UA-normalized'!$E:$E, MATCH($A77, 'UA-normalized'!$A:$A, 0))&gt;0, -(8*INDEX('UA-normalized'!$D:$D, MATCH($A77, 'UA-normalized'!$A:$A, 0))-INDEX('UA-normalized'!$E:$E, MATCH($A77, 'UA-normalized'!$A:$A, 0))), 0), 0))+(IFERROR(IF(8*INDEX('KZ-normalized'!$D:$D, MATCH($A77, 'KZ-normalized'!$A:$A, 0))-INDEX('KZ-normalized'!$E:$E, MATCH($A77, 'KZ-normalized'!$A:$A, 0))&gt;0, -(8*INDEX('KZ-normalized'!$D:$D, MATCH($A77, 'KZ-normalized'!$A:$A, 0))-INDEX('KZ-normalized'!$E:$E, MATCH($A77, 'KZ-normalized'!$A:$A, 0))), 0), 0))+(IFERROR(IF(8*INDEX('UZ-normalized'!$D:$D, MATCH($A77, 'UZ-normalized'!$A:$A, 0))-INDEX('UZ-normalized'!$E:$E, MATCH($A77, 'UZ-normalized'!$A:$A, 0))&gt;0, -(8*INDEX('UZ-normalized'!$D:$D, MATCH($A77, 'UZ-normalized'!$A:$A, 0))-INDEX('UZ-normalized'!$E:$E, MATCH($A77, 'UZ-normalized'!$A:$A, 0))), 0), 0)))</f>
        <v>0</v>
      </c>
      <c r="W77" s="6">
        <f>MIN(0, N77+(IFERROR(IF(9*INDEX('UA-normalized'!$D:$D, MATCH($A77, 'UA-normalized'!$A:$A, 0))-INDEX('UA-normalized'!$E:$E, MATCH($A77, 'UA-normalized'!$A:$A, 0))&gt;0, -(9*INDEX('UA-normalized'!$D:$D, MATCH($A77, 'UA-normalized'!$A:$A, 0))-INDEX('UA-normalized'!$E:$E, MATCH($A77, 'UA-normalized'!$A:$A, 0))), 0), 0))+(IFERROR(IF(9*INDEX('KZ-normalized'!$D:$D, MATCH($A77, 'KZ-normalized'!$A:$A, 0))-INDEX('KZ-normalized'!$E:$E, MATCH($A77, 'KZ-normalized'!$A:$A, 0))&gt;0, -(9*INDEX('KZ-normalized'!$D:$D, MATCH($A77, 'KZ-normalized'!$A:$A, 0))-INDEX('KZ-normalized'!$E:$E, MATCH($A77, 'KZ-normalized'!$A:$A, 0))), 0), 0))+(IFERROR(IF(9*INDEX('UZ-normalized'!$D:$D, MATCH($A77, 'UZ-normalized'!$A:$A, 0))-INDEX('UZ-normalized'!$E:$E, MATCH($A77, 'UZ-normalized'!$A:$A, 0))&gt;0, -(9*INDEX('UZ-normalized'!$D:$D, MATCH($A77, 'UZ-normalized'!$A:$A, 0))-INDEX('UZ-normalized'!$E:$E, MATCH($A77, 'UZ-normalized'!$A:$A, 0))), 0), 0)))</f>
        <v>0</v>
      </c>
      <c r="X77" s="6">
        <f>MIN(0, N77+(IFERROR(IF(10*INDEX('UA-normalized'!$D:$D, MATCH($A77, 'UA-normalized'!$A:$A, 0))-INDEX('UA-normalized'!$E:$E, MATCH($A77, 'UA-normalized'!$A:$A, 0))&gt;0, -(10*INDEX('UA-normalized'!$D:$D, MATCH($A77, 'UA-normalized'!$A:$A, 0))-INDEX('UA-normalized'!$E:$E, MATCH($A77, 'UA-normalized'!$A:$A, 0))), 0), 0))+(IFERROR(IF(10*INDEX('KZ-normalized'!$D:$D, MATCH($A77, 'KZ-normalized'!$A:$A, 0))-INDEX('KZ-normalized'!$E:$E, MATCH($A77, 'KZ-normalized'!$A:$A, 0))&gt;0, -(10*INDEX('KZ-normalized'!$D:$D, MATCH($A77, 'KZ-normalized'!$A:$A, 0))-INDEX('KZ-normalized'!$E:$E, MATCH($A77, 'KZ-normalized'!$A:$A, 0))), 0), 0))+(IFERROR(IF(10*INDEX('UZ-normalized'!$D:$D, MATCH($A77, 'UZ-normalized'!$A:$A, 0))-INDEX('UZ-normalized'!$E:$E, MATCH($A77, 'UZ-normalized'!$A:$A, 0))&gt;0, -(10*INDEX('UZ-normalized'!$D:$D, MATCH($A77, 'UZ-normalized'!$A:$A, 0))-INDEX('UZ-normalized'!$E:$E, MATCH($A77, 'UZ-normalized'!$A:$A, 0))), 0), 0)))</f>
        <v>0</v>
      </c>
      <c r="Y77" s="6">
        <f>MIN(0, N77+(IFERROR(IF(11*INDEX('UA-normalized'!$D:$D, MATCH($A77, 'UA-normalized'!$A:$A, 0))-INDEX('UA-normalized'!$E:$E, MATCH($A77, 'UA-normalized'!$A:$A, 0))&gt;0, -(11*INDEX('UA-normalized'!$D:$D, MATCH($A77, 'UA-normalized'!$A:$A, 0))-INDEX('UA-normalized'!$E:$E, MATCH($A77, 'UA-normalized'!$A:$A, 0))), 0), 0))+(IFERROR(IF(11*INDEX('KZ-normalized'!$D:$D, MATCH($A77, 'KZ-normalized'!$A:$A, 0))-INDEX('KZ-normalized'!$E:$E, MATCH($A77, 'KZ-normalized'!$A:$A, 0))&gt;0, -(11*INDEX('KZ-normalized'!$D:$D, MATCH($A77, 'KZ-normalized'!$A:$A, 0))-INDEX('KZ-normalized'!$E:$E, MATCH($A77, 'KZ-normalized'!$A:$A, 0))), 0), 0))+(IFERROR(IF(11*INDEX('UZ-normalized'!$D:$D, MATCH($A77, 'UZ-normalized'!$A:$A, 0))-INDEX('UZ-normalized'!$E:$E, MATCH($A77, 'UZ-normalized'!$A:$A, 0))&gt;0, -(11*INDEX('UZ-normalized'!$D:$D, MATCH($A77, 'UZ-normalized'!$A:$A, 0))-INDEX('UZ-normalized'!$E:$E, MATCH($A77, 'UZ-normalized'!$A:$A, 0))), 0), 0)))</f>
        <v>0</v>
      </c>
      <c r="Z77" s="6">
        <f>MIN(0, N77+(IFERROR(IF(12*INDEX('UA-normalized'!$D:$D, MATCH($A77, 'UA-normalized'!$A:$A, 0))-INDEX('UA-normalized'!$E:$E, MATCH($A77, 'UA-normalized'!$A:$A, 0))&gt;0, -(12*INDEX('UA-normalized'!$D:$D, MATCH($A77, 'UA-normalized'!$A:$A, 0))-INDEX('UA-normalized'!$E:$E, MATCH($A77, 'UA-normalized'!$A:$A, 0))), 0), 0))+(IFERROR(IF(12*INDEX('KZ-normalized'!$D:$D, MATCH($A77, 'KZ-normalized'!$A:$A, 0))-INDEX('KZ-normalized'!$E:$E, MATCH($A77, 'KZ-normalized'!$A:$A, 0))&gt;0, -(12*INDEX('KZ-normalized'!$D:$D, MATCH($A77, 'KZ-normalized'!$A:$A, 0))-INDEX('KZ-normalized'!$E:$E, MATCH($A77, 'KZ-normalized'!$A:$A, 0))), 0), 0))+(IFERROR(IF(12*INDEX('UZ-normalized'!$D:$D, MATCH($A77, 'UZ-normalized'!$A:$A, 0))-INDEX('UZ-normalized'!$E:$E, MATCH($A77, 'UZ-normalized'!$A:$A, 0))&gt;0, -(12*INDEX('UZ-normalized'!$D:$D, MATCH($A77, 'UZ-normalized'!$A:$A, 0))-INDEX('UZ-normalized'!$E:$E, MATCH($A77, 'UZ-normalized'!$A:$A, 0))), 0), 0)))</f>
        <v>0</v>
      </c>
      <c r="AA77" s="6">
        <f>MIN(0, N77+(IFERROR(IF(13*INDEX('UA-normalized'!$D:$D, MATCH($A77, 'UA-normalized'!$A:$A, 0))-INDEX('UA-normalized'!$E:$E, MATCH($A77, 'UA-normalized'!$A:$A, 0))&gt;0, -(13*INDEX('UA-normalized'!$D:$D, MATCH($A77, 'UA-normalized'!$A:$A, 0))-INDEX('UA-normalized'!$E:$E, MATCH($A77, 'UA-normalized'!$A:$A, 0))), 0), 0))+(IFERROR(IF(13*INDEX('KZ-normalized'!$D:$D, MATCH($A77, 'KZ-normalized'!$A:$A, 0))-INDEX('KZ-normalized'!$E:$E, MATCH($A77, 'KZ-normalized'!$A:$A, 0))&gt;0, -(13*INDEX('KZ-normalized'!$D:$D, MATCH($A77, 'KZ-normalized'!$A:$A, 0))-INDEX('KZ-normalized'!$E:$E, MATCH($A77, 'KZ-normalized'!$A:$A, 0))), 0), 0))+(IFERROR(IF(13*INDEX('UZ-normalized'!$D:$D, MATCH($A77, 'UZ-normalized'!$A:$A, 0))-INDEX('UZ-normalized'!$E:$E, MATCH($A77, 'UZ-normalized'!$A:$A, 0))&gt;0, -(13*INDEX('UZ-normalized'!$D:$D, MATCH($A77, 'UZ-normalized'!$A:$A, 0))-INDEX('UZ-normalized'!$E:$E, MATCH($A77, 'UZ-normalized'!$A:$A, 0))), 0), 0)))</f>
        <v>0</v>
      </c>
      <c r="AB77" s="6">
        <f>MIN(0, N77+(IFERROR(IF(14*INDEX('UA-normalized'!$D:$D, MATCH($A77, 'UA-normalized'!$A:$A, 0))-INDEX('UA-normalized'!$E:$E, MATCH($A77, 'UA-normalized'!$A:$A, 0))&gt;0, -(14*INDEX('UA-normalized'!$D:$D, MATCH($A77, 'UA-normalized'!$A:$A, 0))-INDEX('UA-normalized'!$E:$E, MATCH($A77, 'UA-normalized'!$A:$A, 0))), 0), 0))+(IFERROR(IF(14*INDEX('KZ-normalized'!$D:$D, MATCH($A77, 'KZ-normalized'!$A:$A, 0))-INDEX('KZ-normalized'!$E:$E, MATCH($A77, 'KZ-normalized'!$A:$A, 0))&gt;0, -(14*INDEX('KZ-normalized'!$D:$D, MATCH($A77, 'KZ-normalized'!$A:$A, 0))-INDEX('KZ-normalized'!$E:$E, MATCH($A77, 'KZ-normalized'!$A:$A, 0))), 0), 0))+(IFERROR(IF(14*INDEX('UZ-normalized'!$D:$D, MATCH($A77, 'UZ-normalized'!$A:$A, 0))-INDEX('UZ-normalized'!$E:$E, MATCH($A77, 'UZ-normalized'!$A:$A, 0))&gt;0, -(14*INDEX('UZ-normalized'!$D:$D, MATCH($A77, 'UZ-normalized'!$A:$A, 0))-INDEX('UZ-normalized'!$E:$E, MATCH($A77, 'UZ-normalized'!$A:$A, 0))), 0), 0)))</f>
        <v>0</v>
      </c>
      <c r="AC77" s="6">
        <f>MIN(0, N77+(IFERROR(IF(15*INDEX('UA-normalized'!$D:$D, MATCH($A77, 'UA-normalized'!$A:$A, 0))-INDEX('UA-normalized'!$E:$E, MATCH($A77, 'UA-normalized'!$A:$A, 0))&gt;0, -(15*INDEX('UA-normalized'!$D:$D, MATCH($A77, 'UA-normalized'!$A:$A, 0))-INDEX('UA-normalized'!$E:$E, MATCH($A77, 'UA-normalized'!$A:$A, 0))), 0), 0))+(IFERROR(IF(15*INDEX('KZ-normalized'!$D:$D, MATCH($A77, 'KZ-normalized'!$A:$A, 0))-INDEX('KZ-normalized'!$E:$E, MATCH($A77, 'KZ-normalized'!$A:$A, 0))&gt;0, -(15*INDEX('KZ-normalized'!$D:$D, MATCH($A77, 'KZ-normalized'!$A:$A, 0))-INDEX('KZ-normalized'!$E:$E, MATCH($A77, 'KZ-normalized'!$A:$A, 0))), 0), 0))+(IFERROR(IF(15*INDEX('UZ-normalized'!$D:$D, MATCH($A77, 'UZ-normalized'!$A:$A, 0))-INDEX('UZ-normalized'!$E:$E, MATCH($A77, 'UZ-normalized'!$A:$A, 0))&gt;0, -(15*INDEX('UZ-normalized'!$D:$D, MATCH($A77, 'UZ-normalized'!$A:$A, 0))-INDEX('UZ-normalized'!$E:$E, MATCH($A77, 'UZ-normalized'!$A:$A, 0))), 0), 0)))</f>
        <v>0</v>
      </c>
      <c r="AD77" s="6">
        <f>MIN(0, N77+(IFERROR(IF(16*INDEX('UA-normalized'!$D:$D, MATCH($A77, 'UA-normalized'!$A:$A, 0))-INDEX('UA-normalized'!$E:$E, MATCH($A77, 'UA-normalized'!$A:$A, 0))&gt;0, -(16*INDEX('UA-normalized'!$D:$D, MATCH($A77, 'UA-normalized'!$A:$A, 0))-INDEX('UA-normalized'!$E:$E, MATCH($A77, 'UA-normalized'!$A:$A, 0))), 0), 0))+(IFERROR(IF(16*INDEX('KZ-normalized'!$D:$D, MATCH($A77, 'KZ-normalized'!$A:$A, 0))-INDEX('KZ-normalized'!$E:$E, MATCH($A77, 'KZ-normalized'!$A:$A, 0))&gt;0, -(16*INDEX('KZ-normalized'!$D:$D, MATCH($A77, 'KZ-normalized'!$A:$A, 0))-INDEX('KZ-normalized'!$E:$E, MATCH($A77, 'KZ-normalized'!$A:$A, 0))), 0), 0))+(IFERROR(IF(16*INDEX('UZ-normalized'!$D:$D, MATCH($A77, 'UZ-normalized'!$A:$A, 0))-INDEX('UZ-normalized'!$E:$E, MATCH($A77, 'UZ-normalized'!$A:$A, 0))&gt;0, -(16*INDEX('UZ-normalized'!$D:$D, MATCH($A77, 'UZ-normalized'!$A:$A, 0))-INDEX('UZ-normalized'!$E:$E, MATCH($A77, 'UZ-normalized'!$A:$A, 0))), 0), 0)))</f>
        <v>0</v>
      </c>
      <c r="AE77" s="6">
        <f>MIN(0, N77+(IFERROR(IF(17*INDEX('UA-normalized'!$D:$D, MATCH($A77, 'UA-normalized'!$A:$A, 0))-INDEX('UA-normalized'!$E:$E, MATCH($A77, 'UA-normalized'!$A:$A, 0))&gt;0, -(17*INDEX('UA-normalized'!$D:$D, MATCH($A77, 'UA-normalized'!$A:$A, 0))-INDEX('UA-normalized'!$E:$E, MATCH($A77, 'UA-normalized'!$A:$A, 0))), 0), 0))+(IFERROR(IF(17*INDEX('KZ-normalized'!$D:$D, MATCH($A77, 'KZ-normalized'!$A:$A, 0))-INDEX('KZ-normalized'!$E:$E, MATCH($A77, 'KZ-normalized'!$A:$A, 0))&gt;0, -(17*INDEX('KZ-normalized'!$D:$D, MATCH($A77, 'KZ-normalized'!$A:$A, 0))-INDEX('KZ-normalized'!$E:$E, MATCH($A77, 'KZ-normalized'!$A:$A, 0))), 0), 0))+(IFERROR(IF(17*INDEX('UZ-normalized'!$D:$D, MATCH($A77, 'UZ-normalized'!$A:$A, 0))-INDEX('UZ-normalized'!$E:$E, MATCH($A77, 'UZ-normalized'!$A:$A, 0))&gt;0, -(17*INDEX('UZ-normalized'!$D:$D, MATCH($A77, 'UZ-normalized'!$A:$A, 0))-INDEX('UZ-normalized'!$E:$E, MATCH($A77, 'UZ-normalized'!$A:$A, 0))), 0), 0)))</f>
        <v>0</v>
      </c>
      <c r="AF77" s="6">
        <f>MIN(0, N77+(IFERROR(IF(18*INDEX('UA-normalized'!$D:$D, MATCH($A77, 'UA-normalized'!$A:$A, 0))-INDEX('UA-normalized'!$E:$E, MATCH($A77, 'UA-normalized'!$A:$A, 0))&gt;0, -(18*INDEX('UA-normalized'!$D:$D, MATCH($A77, 'UA-normalized'!$A:$A, 0))-INDEX('UA-normalized'!$E:$E, MATCH($A77, 'UA-normalized'!$A:$A, 0))), 0), 0))+(IFERROR(IF(18*INDEX('KZ-normalized'!$D:$D, MATCH($A77, 'KZ-normalized'!$A:$A, 0))-INDEX('KZ-normalized'!$E:$E, MATCH($A77, 'KZ-normalized'!$A:$A, 0))&gt;0, -(18*INDEX('KZ-normalized'!$D:$D, MATCH($A77, 'KZ-normalized'!$A:$A, 0))-INDEX('KZ-normalized'!$E:$E, MATCH($A77, 'KZ-normalized'!$A:$A, 0))), 0), 0))+(IFERROR(IF(18*INDEX('UZ-normalized'!$D:$D, MATCH($A77, 'UZ-normalized'!$A:$A, 0))-INDEX('UZ-normalized'!$E:$E, MATCH($A77, 'UZ-normalized'!$A:$A, 0))&gt;0, -(18*INDEX('UZ-normalized'!$D:$D, MATCH($A77, 'UZ-normalized'!$A:$A, 0))-INDEX('UZ-normalized'!$E:$E, MATCH($A77, 'UZ-normalized'!$A:$A, 0))), 0), 0)))</f>
        <v>0</v>
      </c>
      <c r="AG77" s="6">
        <f>MIN(0, N77+(IFERROR(IF(19*INDEX('UA-normalized'!$D:$D, MATCH($A77, 'UA-normalized'!$A:$A, 0))-INDEX('UA-normalized'!$E:$E, MATCH($A77, 'UA-normalized'!$A:$A, 0))&gt;0, -(19*INDEX('UA-normalized'!$D:$D, MATCH($A77, 'UA-normalized'!$A:$A, 0))-INDEX('UA-normalized'!$E:$E, MATCH($A77, 'UA-normalized'!$A:$A, 0))), 0), 0))+(IFERROR(IF(19*INDEX('KZ-normalized'!$D:$D, MATCH($A77, 'KZ-normalized'!$A:$A, 0))-INDEX('KZ-normalized'!$E:$E, MATCH($A77, 'KZ-normalized'!$A:$A, 0))&gt;0, -(19*INDEX('KZ-normalized'!$D:$D, MATCH($A77, 'KZ-normalized'!$A:$A, 0))-INDEX('KZ-normalized'!$E:$E, MATCH($A77, 'KZ-normalized'!$A:$A, 0))), 0), 0))+(IFERROR(IF(19*INDEX('UZ-normalized'!$D:$D, MATCH($A77, 'UZ-normalized'!$A:$A, 0))-INDEX('UZ-normalized'!$E:$E, MATCH($A77, 'UZ-normalized'!$A:$A, 0))&gt;0, -(19*INDEX('UZ-normalized'!$D:$D, MATCH($A77, 'UZ-normalized'!$A:$A, 0))-INDEX('UZ-normalized'!$E:$E, MATCH($A77, 'UZ-normalized'!$A:$A, 0))), 0), 0)))</f>
        <v>0</v>
      </c>
      <c r="AH77" s="6">
        <f>MIN(0, N77+(IFERROR(IF(20*INDEX('UA-normalized'!$D:$D, MATCH($A77, 'UA-normalized'!$A:$A, 0))-INDEX('UA-normalized'!$E:$E, MATCH($A77, 'UA-normalized'!$A:$A, 0))&gt;0, -(20*INDEX('UA-normalized'!$D:$D, MATCH($A77, 'UA-normalized'!$A:$A, 0))-INDEX('UA-normalized'!$E:$E, MATCH($A77, 'UA-normalized'!$A:$A, 0))), 0), 0))+(IFERROR(IF(20*INDEX('KZ-normalized'!$D:$D, MATCH($A77, 'KZ-normalized'!$A:$A, 0))-INDEX('KZ-normalized'!$E:$E, MATCH($A77, 'KZ-normalized'!$A:$A, 0))&gt;0, -(20*INDEX('KZ-normalized'!$D:$D, MATCH($A77, 'KZ-normalized'!$A:$A, 0))-INDEX('KZ-normalized'!$E:$E, MATCH($A77, 'KZ-normalized'!$A:$A, 0))), 0), 0))+(IFERROR(IF(20*INDEX('UZ-normalized'!$D:$D, MATCH($A77, 'UZ-normalized'!$A:$A, 0))-INDEX('UZ-normalized'!$E:$E, MATCH($A77, 'UZ-normalized'!$A:$A, 0))&gt;0, -(20*INDEX('UZ-normalized'!$D:$D, MATCH($A77, 'UZ-normalized'!$A:$A, 0))-INDEX('UZ-normalized'!$E:$E, MATCH($A77, 'UZ-normalized'!$A:$A, 0))), 0), 0)))</f>
        <v>0</v>
      </c>
      <c r="AI77" s="6">
        <f>MIN(0, N77+(IFERROR(IF(21*INDEX('UA-normalized'!$D:$D, MATCH($A77, 'UA-normalized'!$A:$A, 0))-INDEX('UA-normalized'!$E:$E, MATCH($A77, 'UA-normalized'!$A:$A, 0))&gt;0, -(21*INDEX('UA-normalized'!$D:$D, MATCH($A77, 'UA-normalized'!$A:$A, 0))-INDEX('UA-normalized'!$E:$E, MATCH($A77, 'UA-normalized'!$A:$A, 0))), 0), 0))+(IFERROR(IF(21*INDEX('KZ-normalized'!$D:$D, MATCH($A77, 'KZ-normalized'!$A:$A, 0))-INDEX('KZ-normalized'!$E:$E, MATCH($A77, 'KZ-normalized'!$A:$A, 0))&gt;0, -(21*INDEX('KZ-normalized'!$D:$D, MATCH($A77, 'KZ-normalized'!$A:$A, 0))-INDEX('KZ-normalized'!$E:$E, MATCH($A77, 'KZ-normalized'!$A:$A, 0))), 0), 0))+(IFERROR(IF(21*INDEX('UZ-normalized'!$D:$D, MATCH($A77, 'UZ-normalized'!$A:$A, 0))-INDEX('UZ-normalized'!$E:$E, MATCH($A77, 'UZ-normalized'!$A:$A, 0))&gt;0, -(21*INDEX('UZ-normalized'!$D:$D, MATCH($A77, 'UZ-normalized'!$A:$A, 0))-INDEX('UZ-normalized'!$E:$E, MATCH($A77, 'UZ-normalized'!$A:$A, 0))), 0), 0)))</f>
        <v>0</v>
      </c>
      <c r="AJ77" s="6">
        <f>MIN(0, N77+(IFERROR(IF(22*INDEX('UA-normalized'!$D:$D, MATCH($A77, 'UA-normalized'!$A:$A, 0))-INDEX('UA-normalized'!$E:$E, MATCH($A77, 'UA-normalized'!$A:$A, 0))&gt;0, -(22*INDEX('UA-normalized'!$D:$D, MATCH($A77, 'UA-normalized'!$A:$A, 0))-INDEX('UA-normalized'!$E:$E, MATCH($A77, 'UA-normalized'!$A:$A, 0))), 0), 0))+(IFERROR(IF(22*INDEX('KZ-normalized'!$D:$D, MATCH($A77, 'KZ-normalized'!$A:$A, 0))-INDEX('KZ-normalized'!$E:$E, MATCH($A77, 'KZ-normalized'!$A:$A, 0))&gt;0, -(22*INDEX('KZ-normalized'!$D:$D, MATCH($A77, 'KZ-normalized'!$A:$A, 0))-INDEX('KZ-normalized'!$E:$E, MATCH($A77, 'KZ-normalized'!$A:$A, 0))), 0), 0))+(IFERROR(IF(22*INDEX('UZ-normalized'!$D:$D, MATCH($A77, 'UZ-normalized'!$A:$A, 0))-INDEX('UZ-normalized'!$E:$E, MATCH($A77, 'UZ-normalized'!$A:$A, 0))&gt;0, -(22*INDEX('UZ-normalized'!$D:$D, MATCH($A77, 'UZ-normalized'!$A:$A, 0))-INDEX('UZ-normalized'!$E:$E, MATCH($A77, 'UZ-normalized'!$A:$A, 0))), 0), 0)))</f>
        <v>0</v>
      </c>
      <c r="AK77" s="6">
        <f>MIN(0, N77+(IFERROR(IF(23*INDEX('UA-normalized'!$D:$D, MATCH($A77, 'UA-normalized'!$A:$A, 0))-INDEX('UA-normalized'!$E:$E, MATCH($A77, 'UA-normalized'!$A:$A, 0))&gt;0, -(23*INDEX('UA-normalized'!$D:$D, MATCH($A77, 'UA-normalized'!$A:$A, 0))-INDEX('UA-normalized'!$E:$E, MATCH($A77, 'UA-normalized'!$A:$A, 0))), 0), 0))+(IFERROR(IF(23*INDEX('KZ-normalized'!$D:$D, MATCH($A77, 'KZ-normalized'!$A:$A, 0))-INDEX('KZ-normalized'!$E:$E, MATCH($A77, 'KZ-normalized'!$A:$A, 0))&gt;0, -(23*INDEX('KZ-normalized'!$D:$D, MATCH($A77, 'KZ-normalized'!$A:$A, 0))-INDEX('KZ-normalized'!$E:$E, MATCH($A77, 'KZ-normalized'!$A:$A, 0))), 0), 0))+(IFERROR(IF(23*INDEX('UZ-normalized'!$D:$D, MATCH($A77, 'UZ-normalized'!$A:$A, 0))-INDEX('UZ-normalized'!$E:$E, MATCH($A77, 'UZ-normalized'!$A:$A, 0))&gt;0, -(23*INDEX('UZ-normalized'!$D:$D, MATCH($A77, 'UZ-normalized'!$A:$A, 0))-INDEX('UZ-normalized'!$E:$E, MATCH($A77, 'UZ-normalized'!$A:$A, 0))), 0), 0)))</f>
        <v>0</v>
      </c>
      <c r="AL77" s="6">
        <f>MIN(0, N77+(IFERROR(IF(24*INDEX('UA-normalized'!$D:$D, MATCH($A77, 'UA-normalized'!$A:$A, 0))-INDEX('UA-normalized'!$E:$E, MATCH($A77, 'UA-normalized'!$A:$A, 0))&gt;0, -(24*INDEX('UA-normalized'!$D:$D, MATCH($A77, 'UA-normalized'!$A:$A, 0))-INDEX('UA-normalized'!$E:$E, MATCH($A77, 'UA-normalized'!$A:$A, 0))), 0), 0))+(IFERROR(IF(24*INDEX('KZ-normalized'!$D:$D, MATCH($A77, 'KZ-normalized'!$A:$A, 0))-INDEX('KZ-normalized'!$E:$E, MATCH($A77, 'KZ-normalized'!$A:$A, 0))&gt;0, -(24*INDEX('KZ-normalized'!$D:$D, MATCH($A77, 'KZ-normalized'!$A:$A, 0))-INDEX('KZ-normalized'!$E:$E, MATCH($A77, 'KZ-normalized'!$A:$A, 0))), 0), 0))+(IFERROR(IF(24*INDEX('UZ-normalized'!$D:$D, MATCH($A77, 'UZ-normalized'!$A:$A, 0))-INDEX('UZ-normalized'!$E:$E, MATCH($A77, 'UZ-normalized'!$A:$A, 0))&gt;0, -(24*INDEX('UZ-normalized'!$D:$D, MATCH($A77, 'UZ-normalized'!$A:$A, 0))-INDEX('UZ-normalized'!$E:$E, MATCH($A77, 'UZ-normalized'!$A:$A, 0))), 0), 0)))</f>
        <v>0</v>
      </c>
      <c r="AM77" s="6">
        <f>MIN(0, N77+(IFERROR(IF(25*INDEX('UA-normalized'!$D:$D, MATCH($A77, 'UA-normalized'!$A:$A, 0))-INDEX('UA-normalized'!$E:$E, MATCH($A77, 'UA-normalized'!$A:$A, 0))&gt;0, -(25*INDEX('UA-normalized'!$D:$D, MATCH($A77, 'UA-normalized'!$A:$A, 0))-INDEX('UA-normalized'!$E:$E, MATCH($A77, 'UA-normalized'!$A:$A, 0))), 0), 0))+(IFERROR(IF(25*INDEX('KZ-normalized'!$D:$D, MATCH($A77, 'KZ-normalized'!$A:$A, 0))-INDEX('KZ-normalized'!$E:$E, MATCH($A77, 'KZ-normalized'!$A:$A, 0))&gt;0, -(25*INDEX('KZ-normalized'!$D:$D, MATCH($A77, 'KZ-normalized'!$A:$A, 0))-INDEX('KZ-normalized'!$E:$E, MATCH($A77, 'KZ-normalized'!$A:$A, 0))), 0), 0))+(IFERROR(IF(25*INDEX('UZ-normalized'!$D:$D, MATCH($A77, 'UZ-normalized'!$A:$A, 0))-INDEX('UZ-normalized'!$E:$E, MATCH($A77, 'UZ-normalized'!$A:$A, 0))&gt;0, -(25*INDEX('UZ-normalized'!$D:$D, MATCH($A77, 'UZ-normalized'!$A:$A, 0))-INDEX('UZ-normalized'!$E:$E, MATCH($A77, 'UZ-normalized'!$A:$A, 0))), 0), 0)))</f>
        <v>0</v>
      </c>
      <c r="AN77" s="6">
        <f>MIN(0, N77+(IFERROR(IF(26*INDEX('UA-normalized'!$D:$D, MATCH($A77, 'UA-normalized'!$A:$A, 0))-INDEX('UA-normalized'!$E:$E, MATCH($A77, 'UA-normalized'!$A:$A, 0))&gt;0, -(26*INDEX('UA-normalized'!$D:$D, MATCH($A77, 'UA-normalized'!$A:$A, 0))-INDEX('UA-normalized'!$E:$E, MATCH($A77, 'UA-normalized'!$A:$A, 0))), 0), 0))+(IFERROR(IF(26*INDEX('KZ-normalized'!$D:$D, MATCH($A77, 'KZ-normalized'!$A:$A, 0))-INDEX('KZ-normalized'!$E:$E, MATCH($A77, 'KZ-normalized'!$A:$A, 0))&gt;0, -(26*INDEX('KZ-normalized'!$D:$D, MATCH($A77, 'KZ-normalized'!$A:$A, 0))-INDEX('KZ-normalized'!$E:$E, MATCH($A77, 'KZ-normalized'!$A:$A, 0))), 0), 0))+(IFERROR(IF(26*INDEX('UZ-normalized'!$D:$D, MATCH($A77, 'UZ-normalized'!$A:$A, 0))-INDEX('UZ-normalized'!$E:$E, MATCH($A77, 'UZ-normalized'!$A:$A, 0))&gt;0, -(26*INDEX('UZ-normalized'!$D:$D, MATCH($A77, 'UZ-normalized'!$A:$A, 0))-INDEX('UZ-normalized'!$E:$E, MATCH($A77, 'UZ-normalized'!$A:$A, 0))), 0), 0)))</f>
        <v>0</v>
      </c>
      <c r="AO77" s="6">
        <f>MIN(0, N77+(IFERROR(IF(27*INDEX('UA-normalized'!$D:$D, MATCH($A77, 'UA-normalized'!$A:$A, 0))-INDEX('UA-normalized'!$E:$E, MATCH($A77, 'UA-normalized'!$A:$A, 0))&gt;0, -(27*INDEX('UA-normalized'!$D:$D, MATCH($A77, 'UA-normalized'!$A:$A, 0))-INDEX('UA-normalized'!$E:$E, MATCH($A77, 'UA-normalized'!$A:$A, 0))), 0), 0))+(IFERROR(IF(27*INDEX('KZ-normalized'!$D:$D, MATCH($A77, 'KZ-normalized'!$A:$A, 0))-INDEX('KZ-normalized'!$E:$E, MATCH($A77, 'KZ-normalized'!$A:$A, 0))&gt;0, -(27*INDEX('KZ-normalized'!$D:$D, MATCH($A77, 'KZ-normalized'!$A:$A, 0))-INDEX('KZ-normalized'!$E:$E, MATCH($A77, 'KZ-normalized'!$A:$A, 0))), 0), 0))+(IFERROR(IF(27*INDEX('UZ-normalized'!$D:$D, MATCH($A77, 'UZ-normalized'!$A:$A, 0))-INDEX('UZ-normalized'!$E:$E, MATCH($A77, 'UZ-normalized'!$A:$A, 0))&gt;0, -(27*INDEX('UZ-normalized'!$D:$D, MATCH($A77, 'UZ-normalized'!$A:$A, 0))-INDEX('UZ-normalized'!$E:$E, MATCH($A77, 'UZ-normalized'!$A:$A, 0))), 0), 0)))</f>
        <v>0</v>
      </c>
      <c r="AP77" s="6">
        <f>MIN(0, N77+(IFERROR(IF(28*INDEX('UA-normalized'!$D:$D, MATCH($A77, 'UA-normalized'!$A:$A, 0))-INDEX('UA-normalized'!$E:$E, MATCH($A77, 'UA-normalized'!$A:$A, 0))&gt;0, -(28*INDEX('UA-normalized'!$D:$D, MATCH($A77, 'UA-normalized'!$A:$A, 0))-INDEX('UA-normalized'!$E:$E, MATCH($A77, 'UA-normalized'!$A:$A, 0))), 0), 0))+(IFERROR(IF(28*INDEX('KZ-normalized'!$D:$D, MATCH($A77, 'KZ-normalized'!$A:$A, 0))-INDEX('KZ-normalized'!$E:$E, MATCH($A77, 'KZ-normalized'!$A:$A, 0))&gt;0, -(28*INDEX('KZ-normalized'!$D:$D, MATCH($A77, 'KZ-normalized'!$A:$A, 0))-INDEX('KZ-normalized'!$E:$E, MATCH($A77, 'KZ-normalized'!$A:$A, 0))), 0), 0))+(IFERROR(IF(28*INDEX('UZ-normalized'!$D:$D, MATCH($A77, 'UZ-normalized'!$A:$A, 0))-INDEX('UZ-normalized'!$E:$E, MATCH($A77, 'UZ-normalized'!$A:$A, 0))&gt;0, -(28*INDEX('UZ-normalized'!$D:$D, MATCH($A77, 'UZ-normalized'!$A:$A, 0))-INDEX('UZ-normalized'!$E:$E, MATCH($A77, 'UZ-normalized'!$A:$A, 0))), 0), 0)))</f>
        <v>0</v>
      </c>
      <c r="AQ77" s="6">
        <f>MIN(0, N77+(IFERROR(IF(29*INDEX('UA-normalized'!$D:$D, MATCH($A77, 'UA-normalized'!$A:$A, 0))-INDEX('UA-normalized'!$E:$E, MATCH($A77, 'UA-normalized'!$A:$A, 0))&gt;0, -(29*INDEX('UA-normalized'!$D:$D, MATCH($A77, 'UA-normalized'!$A:$A, 0))-INDEX('UA-normalized'!$E:$E, MATCH($A77, 'UA-normalized'!$A:$A, 0))), 0), 0))+(IFERROR(IF(29*INDEX('KZ-normalized'!$D:$D, MATCH($A77, 'KZ-normalized'!$A:$A, 0))-INDEX('KZ-normalized'!$E:$E, MATCH($A77, 'KZ-normalized'!$A:$A, 0))&gt;0, -(29*INDEX('KZ-normalized'!$D:$D, MATCH($A77, 'KZ-normalized'!$A:$A, 0))-INDEX('KZ-normalized'!$E:$E, MATCH($A77, 'KZ-normalized'!$A:$A, 0))), 0), 0))+(IFERROR(IF(29*INDEX('UZ-normalized'!$D:$D, MATCH($A77, 'UZ-normalized'!$A:$A, 0))-INDEX('UZ-normalized'!$E:$E, MATCH($A77, 'UZ-normalized'!$A:$A, 0))&gt;0, -(29*INDEX('UZ-normalized'!$D:$D, MATCH($A77, 'UZ-normalized'!$A:$A, 0))-INDEX('UZ-normalized'!$E:$E, MATCH($A77, 'UZ-normalized'!$A:$A, 0))), 0), 0)))</f>
        <v>0</v>
      </c>
      <c r="AR77" s="6">
        <f>MIN(0, N77+(IFERROR(IF(30*INDEX('UA-normalized'!$D:$D, MATCH($A77, 'UA-normalized'!$A:$A, 0))-INDEX('UA-normalized'!$E:$E, MATCH($A77, 'UA-normalized'!$A:$A, 0))&gt;0, -(30*INDEX('UA-normalized'!$D:$D, MATCH($A77, 'UA-normalized'!$A:$A, 0))-INDEX('UA-normalized'!$E:$E, MATCH($A77, 'UA-normalized'!$A:$A, 0))), 0), 0))+(IFERROR(IF(30*INDEX('KZ-normalized'!$D:$D, MATCH($A77, 'KZ-normalized'!$A:$A, 0))-INDEX('KZ-normalized'!$E:$E, MATCH($A77, 'KZ-normalized'!$A:$A, 0))&gt;0, -(30*INDEX('KZ-normalized'!$D:$D, MATCH($A77, 'KZ-normalized'!$A:$A, 0))-INDEX('KZ-normalized'!$E:$E, MATCH($A77, 'KZ-normalized'!$A:$A, 0))), 0), 0))+(IFERROR(IF(30*INDEX('UZ-normalized'!$D:$D, MATCH($A77, 'UZ-normalized'!$A:$A, 0))-INDEX('UZ-normalized'!$E:$E, MATCH($A77, 'UZ-normalized'!$A:$A, 0))&gt;0, -(30*INDEX('UZ-normalized'!$D:$D, MATCH($A77, 'UZ-normalized'!$A:$A, 0))-INDEX('UZ-normalized'!$E:$E, MATCH($A77, 'UZ-normalized'!$A:$A, 0))), 0), 0)))</f>
        <v>0</v>
      </c>
    </row>
    <row r="78" spans="1:44" x14ac:dyDescent="0.25">
      <c r="A78" s="8" t="s">
        <v>205</v>
      </c>
      <c r="B78" s="8" t="s">
        <v>180</v>
      </c>
      <c r="C78" s="8" t="s">
        <v>206</v>
      </c>
      <c r="D78" s="8" t="s">
        <v>207</v>
      </c>
      <c r="E78">
        <v>5753.25</v>
      </c>
      <c r="G78">
        <v>-40</v>
      </c>
      <c r="N78">
        <f t="shared" si="1"/>
        <v>5713.25</v>
      </c>
      <c r="O78" s="6">
        <f>MIN(0, N78+(IFERROR(IF(1*INDEX('UA-normalized'!$D:$D, MATCH($A78, 'UA-normalized'!$A:$A, 0))-INDEX('UA-normalized'!$E:$E, MATCH($A78, 'UA-normalized'!$A:$A, 0))&gt;0, -(1*INDEX('UA-normalized'!$D:$D, MATCH($A78, 'UA-normalized'!$A:$A, 0))-INDEX('UA-normalized'!$E:$E, MATCH($A78, 'UA-normalized'!$A:$A, 0))), 0), 0))+(IFERROR(IF(1*INDEX('KZ-normalized'!$D:$D, MATCH($A78, 'KZ-normalized'!$A:$A, 0))-INDEX('KZ-normalized'!$E:$E, MATCH($A78, 'KZ-normalized'!$A:$A, 0))&gt;0, -(1*INDEX('KZ-normalized'!$D:$D, MATCH($A78, 'KZ-normalized'!$A:$A, 0))-INDEX('KZ-normalized'!$E:$E, MATCH($A78, 'KZ-normalized'!$A:$A, 0))), 0), 0))+(IFERROR(IF(1*INDEX('UZ-normalized'!$D:$D, MATCH($A78, 'UZ-normalized'!$A:$A, 0))-INDEX('UZ-normalized'!$E:$E, MATCH($A78, 'UZ-normalized'!$A:$A, 0))&gt;0, -(1*INDEX('UZ-normalized'!$D:$D, MATCH($A78, 'UZ-normalized'!$A:$A, 0))-INDEX('UZ-normalized'!$E:$E, MATCH($A78, 'UZ-normalized'!$A:$A, 0))), 0), 0)))</f>
        <v>0</v>
      </c>
      <c r="P78" s="6">
        <f>MIN(0, N78+(IFERROR(IF(2*INDEX('UA-normalized'!$D:$D, MATCH($A78, 'UA-normalized'!$A:$A, 0))-INDEX('UA-normalized'!$E:$E, MATCH($A78, 'UA-normalized'!$A:$A, 0))&gt;0, -(2*INDEX('UA-normalized'!$D:$D, MATCH($A78, 'UA-normalized'!$A:$A, 0))-INDEX('UA-normalized'!$E:$E, MATCH($A78, 'UA-normalized'!$A:$A, 0))), 0), 0))+(IFERROR(IF(2*INDEX('KZ-normalized'!$D:$D, MATCH($A78, 'KZ-normalized'!$A:$A, 0))-INDEX('KZ-normalized'!$E:$E, MATCH($A78, 'KZ-normalized'!$A:$A, 0))&gt;0, -(2*INDEX('KZ-normalized'!$D:$D, MATCH($A78, 'KZ-normalized'!$A:$A, 0))-INDEX('KZ-normalized'!$E:$E, MATCH($A78, 'KZ-normalized'!$A:$A, 0))), 0), 0))+(IFERROR(IF(2*INDEX('UZ-normalized'!$D:$D, MATCH($A78, 'UZ-normalized'!$A:$A, 0))-INDEX('UZ-normalized'!$E:$E, MATCH($A78, 'UZ-normalized'!$A:$A, 0))&gt;0, -(2*INDEX('UZ-normalized'!$D:$D, MATCH($A78, 'UZ-normalized'!$A:$A, 0))-INDEX('UZ-normalized'!$E:$E, MATCH($A78, 'UZ-normalized'!$A:$A, 0))), 0), 0)))</f>
        <v>0</v>
      </c>
      <c r="Q78" s="6">
        <f>MIN(0, N78+(IFERROR(IF(3*INDEX('UA-normalized'!$D:$D, MATCH($A78, 'UA-normalized'!$A:$A, 0))-INDEX('UA-normalized'!$E:$E, MATCH($A78, 'UA-normalized'!$A:$A, 0))&gt;0, -(3*INDEX('UA-normalized'!$D:$D, MATCH($A78, 'UA-normalized'!$A:$A, 0))-INDEX('UA-normalized'!$E:$E, MATCH($A78, 'UA-normalized'!$A:$A, 0))), 0), 0))+(IFERROR(IF(3*INDEX('KZ-normalized'!$D:$D, MATCH($A78, 'KZ-normalized'!$A:$A, 0))-INDEX('KZ-normalized'!$E:$E, MATCH($A78, 'KZ-normalized'!$A:$A, 0))&gt;0, -(3*INDEX('KZ-normalized'!$D:$D, MATCH($A78, 'KZ-normalized'!$A:$A, 0))-INDEX('KZ-normalized'!$E:$E, MATCH($A78, 'KZ-normalized'!$A:$A, 0))), 0), 0))+(IFERROR(IF(3*INDEX('UZ-normalized'!$D:$D, MATCH($A78, 'UZ-normalized'!$A:$A, 0))-INDEX('UZ-normalized'!$E:$E, MATCH($A78, 'UZ-normalized'!$A:$A, 0))&gt;0, -(3*INDEX('UZ-normalized'!$D:$D, MATCH($A78, 'UZ-normalized'!$A:$A, 0))-INDEX('UZ-normalized'!$E:$E, MATCH($A78, 'UZ-normalized'!$A:$A, 0))), 0), 0)))</f>
        <v>0</v>
      </c>
      <c r="R78" s="6">
        <f>MIN(0, N78+(IFERROR(IF(4*INDEX('UA-normalized'!$D:$D, MATCH($A78, 'UA-normalized'!$A:$A, 0))-INDEX('UA-normalized'!$E:$E, MATCH($A78, 'UA-normalized'!$A:$A, 0))&gt;0, -(4*INDEX('UA-normalized'!$D:$D, MATCH($A78, 'UA-normalized'!$A:$A, 0))-INDEX('UA-normalized'!$E:$E, MATCH($A78, 'UA-normalized'!$A:$A, 0))), 0), 0))+(IFERROR(IF(4*INDEX('KZ-normalized'!$D:$D, MATCH($A78, 'KZ-normalized'!$A:$A, 0))-INDEX('KZ-normalized'!$E:$E, MATCH($A78, 'KZ-normalized'!$A:$A, 0))&gt;0, -(4*INDEX('KZ-normalized'!$D:$D, MATCH($A78, 'KZ-normalized'!$A:$A, 0))-INDEX('KZ-normalized'!$E:$E, MATCH($A78, 'KZ-normalized'!$A:$A, 0))), 0), 0))+(IFERROR(IF(4*INDEX('UZ-normalized'!$D:$D, MATCH($A78, 'UZ-normalized'!$A:$A, 0))-INDEX('UZ-normalized'!$E:$E, MATCH($A78, 'UZ-normalized'!$A:$A, 0))&gt;0, -(4*INDEX('UZ-normalized'!$D:$D, MATCH($A78, 'UZ-normalized'!$A:$A, 0))-INDEX('UZ-normalized'!$E:$E, MATCH($A78, 'UZ-normalized'!$A:$A, 0))), 0), 0)))</f>
        <v>0</v>
      </c>
      <c r="S78" s="6">
        <f>MIN(0, N78+(IFERROR(IF(5*INDEX('UA-normalized'!$D:$D, MATCH($A78, 'UA-normalized'!$A:$A, 0))-INDEX('UA-normalized'!$E:$E, MATCH($A78, 'UA-normalized'!$A:$A, 0))&gt;0, -(5*INDEX('UA-normalized'!$D:$D, MATCH($A78, 'UA-normalized'!$A:$A, 0))-INDEX('UA-normalized'!$E:$E, MATCH($A78, 'UA-normalized'!$A:$A, 0))), 0), 0))+(IFERROR(IF(5*INDEX('KZ-normalized'!$D:$D, MATCH($A78, 'KZ-normalized'!$A:$A, 0))-INDEX('KZ-normalized'!$E:$E, MATCH($A78, 'KZ-normalized'!$A:$A, 0))&gt;0, -(5*INDEX('KZ-normalized'!$D:$D, MATCH($A78, 'KZ-normalized'!$A:$A, 0))-INDEX('KZ-normalized'!$E:$E, MATCH($A78, 'KZ-normalized'!$A:$A, 0))), 0), 0))+(IFERROR(IF(5*INDEX('UZ-normalized'!$D:$D, MATCH($A78, 'UZ-normalized'!$A:$A, 0))-INDEX('UZ-normalized'!$E:$E, MATCH($A78, 'UZ-normalized'!$A:$A, 0))&gt;0, -(5*INDEX('UZ-normalized'!$D:$D, MATCH($A78, 'UZ-normalized'!$A:$A, 0))-INDEX('UZ-normalized'!$E:$E, MATCH($A78, 'UZ-normalized'!$A:$A, 0))), 0), 0)))</f>
        <v>0</v>
      </c>
      <c r="T78" s="6">
        <f>MIN(0, N78+(IFERROR(IF(6*INDEX('UA-normalized'!$D:$D, MATCH($A78, 'UA-normalized'!$A:$A, 0))-INDEX('UA-normalized'!$E:$E, MATCH($A78, 'UA-normalized'!$A:$A, 0))&gt;0, -(6*INDEX('UA-normalized'!$D:$D, MATCH($A78, 'UA-normalized'!$A:$A, 0))-INDEX('UA-normalized'!$E:$E, MATCH($A78, 'UA-normalized'!$A:$A, 0))), 0), 0))+(IFERROR(IF(6*INDEX('KZ-normalized'!$D:$D, MATCH($A78, 'KZ-normalized'!$A:$A, 0))-INDEX('KZ-normalized'!$E:$E, MATCH($A78, 'KZ-normalized'!$A:$A, 0))&gt;0, -(6*INDEX('KZ-normalized'!$D:$D, MATCH($A78, 'KZ-normalized'!$A:$A, 0))-INDEX('KZ-normalized'!$E:$E, MATCH($A78, 'KZ-normalized'!$A:$A, 0))), 0), 0))+(IFERROR(IF(6*INDEX('UZ-normalized'!$D:$D, MATCH($A78, 'UZ-normalized'!$A:$A, 0))-INDEX('UZ-normalized'!$E:$E, MATCH($A78, 'UZ-normalized'!$A:$A, 0))&gt;0, -(6*INDEX('UZ-normalized'!$D:$D, MATCH($A78, 'UZ-normalized'!$A:$A, 0))-INDEX('UZ-normalized'!$E:$E, MATCH($A78, 'UZ-normalized'!$A:$A, 0))), 0), 0)))</f>
        <v>0</v>
      </c>
      <c r="U78" s="6">
        <f>MIN(0, N78+(IFERROR(IF(7*INDEX('UA-normalized'!$D:$D, MATCH($A78, 'UA-normalized'!$A:$A, 0))-INDEX('UA-normalized'!$E:$E, MATCH($A78, 'UA-normalized'!$A:$A, 0))&gt;0, -(7*INDEX('UA-normalized'!$D:$D, MATCH($A78, 'UA-normalized'!$A:$A, 0))-INDEX('UA-normalized'!$E:$E, MATCH($A78, 'UA-normalized'!$A:$A, 0))), 0), 0))+(IFERROR(IF(7*INDEX('KZ-normalized'!$D:$D, MATCH($A78, 'KZ-normalized'!$A:$A, 0))-INDEX('KZ-normalized'!$E:$E, MATCH($A78, 'KZ-normalized'!$A:$A, 0))&gt;0, -(7*INDEX('KZ-normalized'!$D:$D, MATCH($A78, 'KZ-normalized'!$A:$A, 0))-INDEX('KZ-normalized'!$E:$E, MATCH($A78, 'KZ-normalized'!$A:$A, 0))), 0), 0))+(IFERROR(IF(7*INDEX('UZ-normalized'!$D:$D, MATCH($A78, 'UZ-normalized'!$A:$A, 0))-INDEX('UZ-normalized'!$E:$E, MATCH($A78, 'UZ-normalized'!$A:$A, 0))&gt;0, -(7*INDEX('UZ-normalized'!$D:$D, MATCH($A78, 'UZ-normalized'!$A:$A, 0))-INDEX('UZ-normalized'!$E:$E, MATCH($A78, 'UZ-normalized'!$A:$A, 0))), 0), 0)))</f>
        <v>0</v>
      </c>
      <c r="V78" s="6">
        <f>MIN(0, N78+(IFERROR(IF(8*INDEX('UA-normalized'!$D:$D, MATCH($A78, 'UA-normalized'!$A:$A, 0))-INDEX('UA-normalized'!$E:$E, MATCH($A78, 'UA-normalized'!$A:$A, 0))&gt;0, -(8*INDEX('UA-normalized'!$D:$D, MATCH($A78, 'UA-normalized'!$A:$A, 0))-INDEX('UA-normalized'!$E:$E, MATCH($A78, 'UA-normalized'!$A:$A, 0))), 0), 0))+(IFERROR(IF(8*INDEX('KZ-normalized'!$D:$D, MATCH($A78, 'KZ-normalized'!$A:$A, 0))-INDEX('KZ-normalized'!$E:$E, MATCH($A78, 'KZ-normalized'!$A:$A, 0))&gt;0, -(8*INDEX('KZ-normalized'!$D:$D, MATCH($A78, 'KZ-normalized'!$A:$A, 0))-INDEX('KZ-normalized'!$E:$E, MATCH($A78, 'KZ-normalized'!$A:$A, 0))), 0), 0))+(IFERROR(IF(8*INDEX('UZ-normalized'!$D:$D, MATCH($A78, 'UZ-normalized'!$A:$A, 0))-INDEX('UZ-normalized'!$E:$E, MATCH($A78, 'UZ-normalized'!$A:$A, 0))&gt;0, -(8*INDEX('UZ-normalized'!$D:$D, MATCH($A78, 'UZ-normalized'!$A:$A, 0))-INDEX('UZ-normalized'!$E:$E, MATCH($A78, 'UZ-normalized'!$A:$A, 0))), 0), 0)))</f>
        <v>0</v>
      </c>
      <c r="W78" s="6">
        <f>MIN(0, N78+(IFERROR(IF(9*INDEX('UA-normalized'!$D:$D, MATCH($A78, 'UA-normalized'!$A:$A, 0))-INDEX('UA-normalized'!$E:$E, MATCH($A78, 'UA-normalized'!$A:$A, 0))&gt;0, -(9*INDEX('UA-normalized'!$D:$D, MATCH($A78, 'UA-normalized'!$A:$A, 0))-INDEX('UA-normalized'!$E:$E, MATCH($A78, 'UA-normalized'!$A:$A, 0))), 0), 0))+(IFERROR(IF(9*INDEX('KZ-normalized'!$D:$D, MATCH($A78, 'KZ-normalized'!$A:$A, 0))-INDEX('KZ-normalized'!$E:$E, MATCH($A78, 'KZ-normalized'!$A:$A, 0))&gt;0, -(9*INDEX('KZ-normalized'!$D:$D, MATCH($A78, 'KZ-normalized'!$A:$A, 0))-INDEX('KZ-normalized'!$E:$E, MATCH($A78, 'KZ-normalized'!$A:$A, 0))), 0), 0))+(IFERROR(IF(9*INDEX('UZ-normalized'!$D:$D, MATCH($A78, 'UZ-normalized'!$A:$A, 0))-INDEX('UZ-normalized'!$E:$E, MATCH($A78, 'UZ-normalized'!$A:$A, 0))&gt;0, -(9*INDEX('UZ-normalized'!$D:$D, MATCH($A78, 'UZ-normalized'!$A:$A, 0))-INDEX('UZ-normalized'!$E:$E, MATCH($A78, 'UZ-normalized'!$A:$A, 0))), 0), 0)))</f>
        <v>0</v>
      </c>
      <c r="X78" s="6">
        <f>MIN(0, N78+(IFERROR(IF(10*INDEX('UA-normalized'!$D:$D, MATCH($A78, 'UA-normalized'!$A:$A, 0))-INDEX('UA-normalized'!$E:$E, MATCH($A78, 'UA-normalized'!$A:$A, 0))&gt;0, -(10*INDEX('UA-normalized'!$D:$D, MATCH($A78, 'UA-normalized'!$A:$A, 0))-INDEX('UA-normalized'!$E:$E, MATCH($A78, 'UA-normalized'!$A:$A, 0))), 0), 0))+(IFERROR(IF(10*INDEX('KZ-normalized'!$D:$D, MATCH($A78, 'KZ-normalized'!$A:$A, 0))-INDEX('KZ-normalized'!$E:$E, MATCH($A78, 'KZ-normalized'!$A:$A, 0))&gt;0, -(10*INDEX('KZ-normalized'!$D:$D, MATCH($A78, 'KZ-normalized'!$A:$A, 0))-INDEX('KZ-normalized'!$E:$E, MATCH($A78, 'KZ-normalized'!$A:$A, 0))), 0), 0))+(IFERROR(IF(10*INDEX('UZ-normalized'!$D:$D, MATCH($A78, 'UZ-normalized'!$A:$A, 0))-INDEX('UZ-normalized'!$E:$E, MATCH($A78, 'UZ-normalized'!$A:$A, 0))&gt;0, -(10*INDEX('UZ-normalized'!$D:$D, MATCH($A78, 'UZ-normalized'!$A:$A, 0))-INDEX('UZ-normalized'!$E:$E, MATCH($A78, 'UZ-normalized'!$A:$A, 0))), 0), 0)))</f>
        <v>0</v>
      </c>
      <c r="Y78" s="6">
        <f>MIN(0, N78+(IFERROR(IF(11*INDEX('UA-normalized'!$D:$D, MATCH($A78, 'UA-normalized'!$A:$A, 0))-INDEX('UA-normalized'!$E:$E, MATCH($A78, 'UA-normalized'!$A:$A, 0))&gt;0, -(11*INDEX('UA-normalized'!$D:$D, MATCH($A78, 'UA-normalized'!$A:$A, 0))-INDEX('UA-normalized'!$E:$E, MATCH($A78, 'UA-normalized'!$A:$A, 0))), 0), 0))+(IFERROR(IF(11*INDEX('KZ-normalized'!$D:$D, MATCH($A78, 'KZ-normalized'!$A:$A, 0))-INDEX('KZ-normalized'!$E:$E, MATCH($A78, 'KZ-normalized'!$A:$A, 0))&gt;0, -(11*INDEX('KZ-normalized'!$D:$D, MATCH($A78, 'KZ-normalized'!$A:$A, 0))-INDEX('KZ-normalized'!$E:$E, MATCH($A78, 'KZ-normalized'!$A:$A, 0))), 0), 0))+(IFERROR(IF(11*INDEX('UZ-normalized'!$D:$D, MATCH($A78, 'UZ-normalized'!$A:$A, 0))-INDEX('UZ-normalized'!$E:$E, MATCH($A78, 'UZ-normalized'!$A:$A, 0))&gt;0, -(11*INDEX('UZ-normalized'!$D:$D, MATCH($A78, 'UZ-normalized'!$A:$A, 0))-INDEX('UZ-normalized'!$E:$E, MATCH($A78, 'UZ-normalized'!$A:$A, 0))), 0), 0)))</f>
        <v>0</v>
      </c>
      <c r="Z78" s="6">
        <f>MIN(0, N78+(IFERROR(IF(12*INDEX('UA-normalized'!$D:$D, MATCH($A78, 'UA-normalized'!$A:$A, 0))-INDEX('UA-normalized'!$E:$E, MATCH($A78, 'UA-normalized'!$A:$A, 0))&gt;0, -(12*INDEX('UA-normalized'!$D:$D, MATCH($A78, 'UA-normalized'!$A:$A, 0))-INDEX('UA-normalized'!$E:$E, MATCH($A78, 'UA-normalized'!$A:$A, 0))), 0), 0))+(IFERROR(IF(12*INDEX('KZ-normalized'!$D:$D, MATCH($A78, 'KZ-normalized'!$A:$A, 0))-INDEX('KZ-normalized'!$E:$E, MATCH($A78, 'KZ-normalized'!$A:$A, 0))&gt;0, -(12*INDEX('KZ-normalized'!$D:$D, MATCH($A78, 'KZ-normalized'!$A:$A, 0))-INDEX('KZ-normalized'!$E:$E, MATCH($A78, 'KZ-normalized'!$A:$A, 0))), 0), 0))+(IFERROR(IF(12*INDEX('UZ-normalized'!$D:$D, MATCH($A78, 'UZ-normalized'!$A:$A, 0))-INDEX('UZ-normalized'!$E:$E, MATCH($A78, 'UZ-normalized'!$A:$A, 0))&gt;0, -(12*INDEX('UZ-normalized'!$D:$D, MATCH($A78, 'UZ-normalized'!$A:$A, 0))-INDEX('UZ-normalized'!$E:$E, MATCH($A78, 'UZ-normalized'!$A:$A, 0))), 0), 0)))</f>
        <v>0</v>
      </c>
      <c r="AA78" s="6">
        <f>MIN(0, N78+(IFERROR(IF(13*INDEX('UA-normalized'!$D:$D, MATCH($A78, 'UA-normalized'!$A:$A, 0))-INDEX('UA-normalized'!$E:$E, MATCH($A78, 'UA-normalized'!$A:$A, 0))&gt;0, -(13*INDEX('UA-normalized'!$D:$D, MATCH($A78, 'UA-normalized'!$A:$A, 0))-INDEX('UA-normalized'!$E:$E, MATCH($A78, 'UA-normalized'!$A:$A, 0))), 0), 0))+(IFERROR(IF(13*INDEX('KZ-normalized'!$D:$D, MATCH($A78, 'KZ-normalized'!$A:$A, 0))-INDEX('KZ-normalized'!$E:$E, MATCH($A78, 'KZ-normalized'!$A:$A, 0))&gt;0, -(13*INDEX('KZ-normalized'!$D:$D, MATCH($A78, 'KZ-normalized'!$A:$A, 0))-INDEX('KZ-normalized'!$E:$E, MATCH($A78, 'KZ-normalized'!$A:$A, 0))), 0), 0))+(IFERROR(IF(13*INDEX('UZ-normalized'!$D:$D, MATCH($A78, 'UZ-normalized'!$A:$A, 0))-INDEX('UZ-normalized'!$E:$E, MATCH($A78, 'UZ-normalized'!$A:$A, 0))&gt;0, -(13*INDEX('UZ-normalized'!$D:$D, MATCH($A78, 'UZ-normalized'!$A:$A, 0))-INDEX('UZ-normalized'!$E:$E, MATCH($A78, 'UZ-normalized'!$A:$A, 0))), 0), 0)))</f>
        <v>0</v>
      </c>
      <c r="AB78" s="6">
        <f>MIN(0, N78+(IFERROR(IF(14*INDEX('UA-normalized'!$D:$D, MATCH($A78, 'UA-normalized'!$A:$A, 0))-INDEX('UA-normalized'!$E:$E, MATCH($A78, 'UA-normalized'!$A:$A, 0))&gt;0, -(14*INDEX('UA-normalized'!$D:$D, MATCH($A78, 'UA-normalized'!$A:$A, 0))-INDEX('UA-normalized'!$E:$E, MATCH($A78, 'UA-normalized'!$A:$A, 0))), 0), 0))+(IFERROR(IF(14*INDEX('KZ-normalized'!$D:$D, MATCH($A78, 'KZ-normalized'!$A:$A, 0))-INDEX('KZ-normalized'!$E:$E, MATCH($A78, 'KZ-normalized'!$A:$A, 0))&gt;0, -(14*INDEX('KZ-normalized'!$D:$D, MATCH($A78, 'KZ-normalized'!$A:$A, 0))-INDEX('KZ-normalized'!$E:$E, MATCH($A78, 'KZ-normalized'!$A:$A, 0))), 0), 0))+(IFERROR(IF(14*INDEX('UZ-normalized'!$D:$D, MATCH($A78, 'UZ-normalized'!$A:$A, 0))-INDEX('UZ-normalized'!$E:$E, MATCH($A78, 'UZ-normalized'!$A:$A, 0))&gt;0, -(14*INDEX('UZ-normalized'!$D:$D, MATCH($A78, 'UZ-normalized'!$A:$A, 0))-INDEX('UZ-normalized'!$E:$E, MATCH($A78, 'UZ-normalized'!$A:$A, 0))), 0), 0)))</f>
        <v>0</v>
      </c>
      <c r="AC78" s="6">
        <f>MIN(0, N78+(IFERROR(IF(15*INDEX('UA-normalized'!$D:$D, MATCH($A78, 'UA-normalized'!$A:$A, 0))-INDEX('UA-normalized'!$E:$E, MATCH($A78, 'UA-normalized'!$A:$A, 0))&gt;0, -(15*INDEX('UA-normalized'!$D:$D, MATCH($A78, 'UA-normalized'!$A:$A, 0))-INDEX('UA-normalized'!$E:$E, MATCH($A78, 'UA-normalized'!$A:$A, 0))), 0), 0))+(IFERROR(IF(15*INDEX('KZ-normalized'!$D:$D, MATCH($A78, 'KZ-normalized'!$A:$A, 0))-INDEX('KZ-normalized'!$E:$E, MATCH($A78, 'KZ-normalized'!$A:$A, 0))&gt;0, -(15*INDEX('KZ-normalized'!$D:$D, MATCH($A78, 'KZ-normalized'!$A:$A, 0))-INDEX('KZ-normalized'!$E:$E, MATCH($A78, 'KZ-normalized'!$A:$A, 0))), 0), 0))+(IFERROR(IF(15*INDEX('UZ-normalized'!$D:$D, MATCH($A78, 'UZ-normalized'!$A:$A, 0))-INDEX('UZ-normalized'!$E:$E, MATCH($A78, 'UZ-normalized'!$A:$A, 0))&gt;0, -(15*INDEX('UZ-normalized'!$D:$D, MATCH($A78, 'UZ-normalized'!$A:$A, 0))-INDEX('UZ-normalized'!$E:$E, MATCH($A78, 'UZ-normalized'!$A:$A, 0))), 0), 0)))</f>
        <v>0</v>
      </c>
      <c r="AD78" s="6">
        <f>MIN(0, N78+(IFERROR(IF(16*INDEX('UA-normalized'!$D:$D, MATCH($A78, 'UA-normalized'!$A:$A, 0))-INDEX('UA-normalized'!$E:$E, MATCH($A78, 'UA-normalized'!$A:$A, 0))&gt;0, -(16*INDEX('UA-normalized'!$D:$D, MATCH($A78, 'UA-normalized'!$A:$A, 0))-INDEX('UA-normalized'!$E:$E, MATCH($A78, 'UA-normalized'!$A:$A, 0))), 0), 0))+(IFERROR(IF(16*INDEX('KZ-normalized'!$D:$D, MATCH($A78, 'KZ-normalized'!$A:$A, 0))-INDEX('KZ-normalized'!$E:$E, MATCH($A78, 'KZ-normalized'!$A:$A, 0))&gt;0, -(16*INDEX('KZ-normalized'!$D:$D, MATCH($A78, 'KZ-normalized'!$A:$A, 0))-INDEX('KZ-normalized'!$E:$E, MATCH($A78, 'KZ-normalized'!$A:$A, 0))), 0), 0))+(IFERROR(IF(16*INDEX('UZ-normalized'!$D:$D, MATCH($A78, 'UZ-normalized'!$A:$A, 0))-INDEX('UZ-normalized'!$E:$E, MATCH($A78, 'UZ-normalized'!$A:$A, 0))&gt;0, -(16*INDEX('UZ-normalized'!$D:$D, MATCH($A78, 'UZ-normalized'!$A:$A, 0))-INDEX('UZ-normalized'!$E:$E, MATCH($A78, 'UZ-normalized'!$A:$A, 0))), 0), 0)))</f>
        <v>0</v>
      </c>
      <c r="AE78" s="6">
        <f>MIN(0, N78+(IFERROR(IF(17*INDEX('UA-normalized'!$D:$D, MATCH($A78, 'UA-normalized'!$A:$A, 0))-INDEX('UA-normalized'!$E:$E, MATCH($A78, 'UA-normalized'!$A:$A, 0))&gt;0, -(17*INDEX('UA-normalized'!$D:$D, MATCH($A78, 'UA-normalized'!$A:$A, 0))-INDEX('UA-normalized'!$E:$E, MATCH($A78, 'UA-normalized'!$A:$A, 0))), 0), 0))+(IFERROR(IF(17*INDEX('KZ-normalized'!$D:$D, MATCH($A78, 'KZ-normalized'!$A:$A, 0))-INDEX('KZ-normalized'!$E:$E, MATCH($A78, 'KZ-normalized'!$A:$A, 0))&gt;0, -(17*INDEX('KZ-normalized'!$D:$D, MATCH($A78, 'KZ-normalized'!$A:$A, 0))-INDEX('KZ-normalized'!$E:$E, MATCH($A78, 'KZ-normalized'!$A:$A, 0))), 0), 0))+(IFERROR(IF(17*INDEX('UZ-normalized'!$D:$D, MATCH($A78, 'UZ-normalized'!$A:$A, 0))-INDEX('UZ-normalized'!$E:$E, MATCH($A78, 'UZ-normalized'!$A:$A, 0))&gt;0, -(17*INDEX('UZ-normalized'!$D:$D, MATCH($A78, 'UZ-normalized'!$A:$A, 0))-INDEX('UZ-normalized'!$E:$E, MATCH($A78, 'UZ-normalized'!$A:$A, 0))), 0), 0)))</f>
        <v>0</v>
      </c>
      <c r="AF78" s="6">
        <f>MIN(0, N78+(IFERROR(IF(18*INDEX('UA-normalized'!$D:$D, MATCH($A78, 'UA-normalized'!$A:$A, 0))-INDEX('UA-normalized'!$E:$E, MATCH($A78, 'UA-normalized'!$A:$A, 0))&gt;0, -(18*INDEX('UA-normalized'!$D:$D, MATCH($A78, 'UA-normalized'!$A:$A, 0))-INDEX('UA-normalized'!$E:$E, MATCH($A78, 'UA-normalized'!$A:$A, 0))), 0), 0))+(IFERROR(IF(18*INDEX('KZ-normalized'!$D:$D, MATCH($A78, 'KZ-normalized'!$A:$A, 0))-INDEX('KZ-normalized'!$E:$E, MATCH($A78, 'KZ-normalized'!$A:$A, 0))&gt;0, -(18*INDEX('KZ-normalized'!$D:$D, MATCH($A78, 'KZ-normalized'!$A:$A, 0))-INDEX('KZ-normalized'!$E:$E, MATCH($A78, 'KZ-normalized'!$A:$A, 0))), 0), 0))+(IFERROR(IF(18*INDEX('UZ-normalized'!$D:$D, MATCH($A78, 'UZ-normalized'!$A:$A, 0))-INDEX('UZ-normalized'!$E:$E, MATCH($A78, 'UZ-normalized'!$A:$A, 0))&gt;0, -(18*INDEX('UZ-normalized'!$D:$D, MATCH($A78, 'UZ-normalized'!$A:$A, 0))-INDEX('UZ-normalized'!$E:$E, MATCH($A78, 'UZ-normalized'!$A:$A, 0))), 0), 0)))</f>
        <v>0</v>
      </c>
      <c r="AG78" s="6">
        <f>MIN(0, N78+(IFERROR(IF(19*INDEX('UA-normalized'!$D:$D, MATCH($A78, 'UA-normalized'!$A:$A, 0))-INDEX('UA-normalized'!$E:$E, MATCH($A78, 'UA-normalized'!$A:$A, 0))&gt;0, -(19*INDEX('UA-normalized'!$D:$D, MATCH($A78, 'UA-normalized'!$A:$A, 0))-INDEX('UA-normalized'!$E:$E, MATCH($A78, 'UA-normalized'!$A:$A, 0))), 0), 0))+(IFERROR(IF(19*INDEX('KZ-normalized'!$D:$D, MATCH($A78, 'KZ-normalized'!$A:$A, 0))-INDEX('KZ-normalized'!$E:$E, MATCH($A78, 'KZ-normalized'!$A:$A, 0))&gt;0, -(19*INDEX('KZ-normalized'!$D:$D, MATCH($A78, 'KZ-normalized'!$A:$A, 0))-INDEX('KZ-normalized'!$E:$E, MATCH($A78, 'KZ-normalized'!$A:$A, 0))), 0), 0))+(IFERROR(IF(19*INDEX('UZ-normalized'!$D:$D, MATCH($A78, 'UZ-normalized'!$A:$A, 0))-INDEX('UZ-normalized'!$E:$E, MATCH($A78, 'UZ-normalized'!$A:$A, 0))&gt;0, -(19*INDEX('UZ-normalized'!$D:$D, MATCH($A78, 'UZ-normalized'!$A:$A, 0))-INDEX('UZ-normalized'!$E:$E, MATCH($A78, 'UZ-normalized'!$A:$A, 0))), 0), 0)))</f>
        <v>0</v>
      </c>
      <c r="AH78" s="6">
        <f>MIN(0, N78+(IFERROR(IF(20*INDEX('UA-normalized'!$D:$D, MATCH($A78, 'UA-normalized'!$A:$A, 0))-INDEX('UA-normalized'!$E:$E, MATCH($A78, 'UA-normalized'!$A:$A, 0))&gt;0, -(20*INDEX('UA-normalized'!$D:$D, MATCH($A78, 'UA-normalized'!$A:$A, 0))-INDEX('UA-normalized'!$E:$E, MATCH($A78, 'UA-normalized'!$A:$A, 0))), 0), 0))+(IFERROR(IF(20*INDEX('KZ-normalized'!$D:$D, MATCH($A78, 'KZ-normalized'!$A:$A, 0))-INDEX('KZ-normalized'!$E:$E, MATCH($A78, 'KZ-normalized'!$A:$A, 0))&gt;0, -(20*INDEX('KZ-normalized'!$D:$D, MATCH($A78, 'KZ-normalized'!$A:$A, 0))-INDEX('KZ-normalized'!$E:$E, MATCH($A78, 'KZ-normalized'!$A:$A, 0))), 0), 0))+(IFERROR(IF(20*INDEX('UZ-normalized'!$D:$D, MATCH($A78, 'UZ-normalized'!$A:$A, 0))-INDEX('UZ-normalized'!$E:$E, MATCH($A78, 'UZ-normalized'!$A:$A, 0))&gt;0, -(20*INDEX('UZ-normalized'!$D:$D, MATCH($A78, 'UZ-normalized'!$A:$A, 0))-INDEX('UZ-normalized'!$E:$E, MATCH($A78, 'UZ-normalized'!$A:$A, 0))), 0), 0)))</f>
        <v>0</v>
      </c>
      <c r="AI78" s="6">
        <f>MIN(0, N78+(IFERROR(IF(21*INDEX('UA-normalized'!$D:$D, MATCH($A78, 'UA-normalized'!$A:$A, 0))-INDEX('UA-normalized'!$E:$E, MATCH($A78, 'UA-normalized'!$A:$A, 0))&gt;0, -(21*INDEX('UA-normalized'!$D:$D, MATCH($A78, 'UA-normalized'!$A:$A, 0))-INDEX('UA-normalized'!$E:$E, MATCH($A78, 'UA-normalized'!$A:$A, 0))), 0), 0))+(IFERROR(IF(21*INDEX('KZ-normalized'!$D:$D, MATCH($A78, 'KZ-normalized'!$A:$A, 0))-INDEX('KZ-normalized'!$E:$E, MATCH($A78, 'KZ-normalized'!$A:$A, 0))&gt;0, -(21*INDEX('KZ-normalized'!$D:$D, MATCH($A78, 'KZ-normalized'!$A:$A, 0))-INDEX('KZ-normalized'!$E:$E, MATCH($A78, 'KZ-normalized'!$A:$A, 0))), 0), 0))+(IFERROR(IF(21*INDEX('UZ-normalized'!$D:$D, MATCH($A78, 'UZ-normalized'!$A:$A, 0))-INDEX('UZ-normalized'!$E:$E, MATCH($A78, 'UZ-normalized'!$A:$A, 0))&gt;0, -(21*INDEX('UZ-normalized'!$D:$D, MATCH($A78, 'UZ-normalized'!$A:$A, 0))-INDEX('UZ-normalized'!$E:$E, MATCH($A78, 'UZ-normalized'!$A:$A, 0))), 0), 0)))</f>
        <v>-125.75</v>
      </c>
      <c r="AJ78" s="6">
        <f>MIN(0, N78+(IFERROR(IF(22*INDEX('UA-normalized'!$D:$D, MATCH($A78, 'UA-normalized'!$A:$A, 0))-INDEX('UA-normalized'!$E:$E, MATCH($A78, 'UA-normalized'!$A:$A, 0))&gt;0, -(22*INDEX('UA-normalized'!$D:$D, MATCH($A78, 'UA-normalized'!$A:$A, 0))-INDEX('UA-normalized'!$E:$E, MATCH($A78, 'UA-normalized'!$A:$A, 0))), 0), 0))+(IFERROR(IF(22*INDEX('KZ-normalized'!$D:$D, MATCH($A78, 'KZ-normalized'!$A:$A, 0))-INDEX('KZ-normalized'!$E:$E, MATCH($A78, 'KZ-normalized'!$A:$A, 0))&gt;0, -(22*INDEX('KZ-normalized'!$D:$D, MATCH($A78, 'KZ-normalized'!$A:$A, 0))-INDEX('KZ-normalized'!$E:$E, MATCH($A78, 'KZ-normalized'!$A:$A, 0))), 0), 0))+(IFERROR(IF(22*INDEX('UZ-normalized'!$D:$D, MATCH($A78, 'UZ-normalized'!$A:$A, 0))-INDEX('UZ-normalized'!$E:$E, MATCH($A78, 'UZ-normalized'!$A:$A, 0))&gt;0, -(22*INDEX('UZ-normalized'!$D:$D, MATCH($A78, 'UZ-normalized'!$A:$A, 0))-INDEX('UZ-normalized'!$E:$E, MATCH($A78, 'UZ-normalized'!$A:$A, 0))), 0), 0)))</f>
        <v>-465.75</v>
      </c>
      <c r="AK78" s="6">
        <f>MIN(0, N78+(IFERROR(IF(23*INDEX('UA-normalized'!$D:$D, MATCH($A78, 'UA-normalized'!$A:$A, 0))-INDEX('UA-normalized'!$E:$E, MATCH($A78, 'UA-normalized'!$A:$A, 0))&gt;0, -(23*INDEX('UA-normalized'!$D:$D, MATCH($A78, 'UA-normalized'!$A:$A, 0))-INDEX('UA-normalized'!$E:$E, MATCH($A78, 'UA-normalized'!$A:$A, 0))), 0), 0))+(IFERROR(IF(23*INDEX('KZ-normalized'!$D:$D, MATCH($A78, 'KZ-normalized'!$A:$A, 0))-INDEX('KZ-normalized'!$E:$E, MATCH($A78, 'KZ-normalized'!$A:$A, 0))&gt;0, -(23*INDEX('KZ-normalized'!$D:$D, MATCH($A78, 'KZ-normalized'!$A:$A, 0))-INDEX('KZ-normalized'!$E:$E, MATCH($A78, 'KZ-normalized'!$A:$A, 0))), 0), 0))+(IFERROR(IF(23*INDEX('UZ-normalized'!$D:$D, MATCH($A78, 'UZ-normalized'!$A:$A, 0))-INDEX('UZ-normalized'!$E:$E, MATCH($A78, 'UZ-normalized'!$A:$A, 0))&gt;0, -(23*INDEX('UZ-normalized'!$D:$D, MATCH($A78, 'UZ-normalized'!$A:$A, 0))-INDEX('UZ-normalized'!$E:$E, MATCH($A78, 'UZ-normalized'!$A:$A, 0))), 0), 0)))</f>
        <v>-805.75</v>
      </c>
      <c r="AL78" s="6">
        <f>MIN(0, N78+(IFERROR(IF(24*INDEX('UA-normalized'!$D:$D, MATCH($A78, 'UA-normalized'!$A:$A, 0))-INDEX('UA-normalized'!$E:$E, MATCH($A78, 'UA-normalized'!$A:$A, 0))&gt;0, -(24*INDEX('UA-normalized'!$D:$D, MATCH($A78, 'UA-normalized'!$A:$A, 0))-INDEX('UA-normalized'!$E:$E, MATCH($A78, 'UA-normalized'!$A:$A, 0))), 0), 0))+(IFERROR(IF(24*INDEX('KZ-normalized'!$D:$D, MATCH($A78, 'KZ-normalized'!$A:$A, 0))-INDEX('KZ-normalized'!$E:$E, MATCH($A78, 'KZ-normalized'!$A:$A, 0))&gt;0, -(24*INDEX('KZ-normalized'!$D:$D, MATCH($A78, 'KZ-normalized'!$A:$A, 0))-INDEX('KZ-normalized'!$E:$E, MATCH($A78, 'KZ-normalized'!$A:$A, 0))), 0), 0))+(IFERROR(IF(24*INDEX('UZ-normalized'!$D:$D, MATCH($A78, 'UZ-normalized'!$A:$A, 0))-INDEX('UZ-normalized'!$E:$E, MATCH($A78, 'UZ-normalized'!$A:$A, 0))&gt;0, -(24*INDEX('UZ-normalized'!$D:$D, MATCH($A78, 'UZ-normalized'!$A:$A, 0))-INDEX('UZ-normalized'!$E:$E, MATCH($A78, 'UZ-normalized'!$A:$A, 0))), 0), 0)))</f>
        <v>-1145.75</v>
      </c>
      <c r="AM78" s="6">
        <f>MIN(0, N78+(IFERROR(IF(25*INDEX('UA-normalized'!$D:$D, MATCH($A78, 'UA-normalized'!$A:$A, 0))-INDEX('UA-normalized'!$E:$E, MATCH($A78, 'UA-normalized'!$A:$A, 0))&gt;0, -(25*INDEX('UA-normalized'!$D:$D, MATCH($A78, 'UA-normalized'!$A:$A, 0))-INDEX('UA-normalized'!$E:$E, MATCH($A78, 'UA-normalized'!$A:$A, 0))), 0), 0))+(IFERROR(IF(25*INDEX('KZ-normalized'!$D:$D, MATCH($A78, 'KZ-normalized'!$A:$A, 0))-INDEX('KZ-normalized'!$E:$E, MATCH($A78, 'KZ-normalized'!$A:$A, 0))&gt;0, -(25*INDEX('KZ-normalized'!$D:$D, MATCH($A78, 'KZ-normalized'!$A:$A, 0))-INDEX('KZ-normalized'!$E:$E, MATCH($A78, 'KZ-normalized'!$A:$A, 0))), 0), 0))+(IFERROR(IF(25*INDEX('UZ-normalized'!$D:$D, MATCH($A78, 'UZ-normalized'!$A:$A, 0))-INDEX('UZ-normalized'!$E:$E, MATCH($A78, 'UZ-normalized'!$A:$A, 0))&gt;0, -(25*INDEX('UZ-normalized'!$D:$D, MATCH($A78, 'UZ-normalized'!$A:$A, 0))-INDEX('UZ-normalized'!$E:$E, MATCH($A78, 'UZ-normalized'!$A:$A, 0))), 0), 0)))</f>
        <v>-1485.75</v>
      </c>
      <c r="AN78" s="6">
        <f>MIN(0, N78+(IFERROR(IF(26*INDEX('UA-normalized'!$D:$D, MATCH($A78, 'UA-normalized'!$A:$A, 0))-INDEX('UA-normalized'!$E:$E, MATCH($A78, 'UA-normalized'!$A:$A, 0))&gt;0, -(26*INDEX('UA-normalized'!$D:$D, MATCH($A78, 'UA-normalized'!$A:$A, 0))-INDEX('UA-normalized'!$E:$E, MATCH($A78, 'UA-normalized'!$A:$A, 0))), 0), 0))+(IFERROR(IF(26*INDEX('KZ-normalized'!$D:$D, MATCH($A78, 'KZ-normalized'!$A:$A, 0))-INDEX('KZ-normalized'!$E:$E, MATCH($A78, 'KZ-normalized'!$A:$A, 0))&gt;0, -(26*INDEX('KZ-normalized'!$D:$D, MATCH($A78, 'KZ-normalized'!$A:$A, 0))-INDEX('KZ-normalized'!$E:$E, MATCH($A78, 'KZ-normalized'!$A:$A, 0))), 0), 0))+(IFERROR(IF(26*INDEX('UZ-normalized'!$D:$D, MATCH($A78, 'UZ-normalized'!$A:$A, 0))-INDEX('UZ-normalized'!$E:$E, MATCH($A78, 'UZ-normalized'!$A:$A, 0))&gt;0, -(26*INDEX('UZ-normalized'!$D:$D, MATCH($A78, 'UZ-normalized'!$A:$A, 0))-INDEX('UZ-normalized'!$E:$E, MATCH($A78, 'UZ-normalized'!$A:$A, 0))), 0), 0)))</f>
        <v>-1825.75</v>
      </c>
      <c r="AO78" s="6">
        <f>MIN(0, N78+(IFERROR(IF(27*INDEX('UA-normalized'!$D:$D, MATCH($A78, 'UA-normalized'!$A:$A, 0))-INDEX('UA-normalized'!$E:$E, MATCH($A78, 'UA-normalized'!$A:$A, 0))&gt;0, -(27*INDEX('UA-normalized'!$D:$D, MATCH($A78, 'UA-normalized'!$A:$A, 0))-INDEX('UA-normalized'!$E:$E, MATCH($A78, 'UA-normalized'!$A:$A, 0))), 0), 0))+(IFERROR(IF(27*INDEX('KZ-normalized'!$D:$D, MATCH($A78, 'KZ-normalized'!$A:$A, 0))-INDEX('KZ-normalized'!$E:$E, MATCH($A78, 'KZ-normalized'!$A:$A, 0))&gt;0, -(27*INDEX('KZ-normalized'!$D:$D, MATCH($A78, 'KZ-normalized'!$A:$A, 0))-INDEX('KZ-normalized'!$E:$E, MATCH($A78, 'KZ-normalized'!$A:$A, 0))), 0), 0))+(IFERROR(IF(27*INDEX('UZ-normalized'!$D:$D, MATCH($A78, 'UZ-normalized'!$A:$A, 0))-INDEX('UZ-normalized'!$E:$E, MATCH($A78, 'UZ-normalized'!$A:$A, 0))&gt;0, -(27*INDEX('UZ-normalized'!$D:$D, MATCH($A78, 'UZ-normalized'!$A:$A, 0))-INDEX('UZ-normalized'!$E:$E, MATCH($A78, 'UZ-normalized'!$A:$A, 0))), 0), 0)))</f>
        <v>-2165.75</v>
      </c>
      <c r="AP78" s="6">
        <f>MIN(0, N78+(IFERROR(IF(28*INDEX('UA-normalized'!$D:$D, MATCH($A78, 'UA-normalized'!$A:$A, 0))-INDEX('UA-normalized'!$E:$E, MATCH($A78, 'UA-normalized'!$A:$A, 0))&gt;0, -(28*INDEX('UA-normalized'!$D:$D, MATCH($A78, 'UA-normalized'!$A:$A, 0))-INDEX('UA-normalized'!$E:$E, MATCH($A78, 'UA-normalized'!$A:$A, 0))), 0), 0))+(IFERROR(IF(28*INDEX('KZ-normalized'!$D:$D, MATCH($A78, 'KZ-normalized'!$A:$A, 0))-INDEX('KZ-normalized'!$E:$E, MATCH($A78, 'KZ-normalized'!$A:$A, 0))&gt;0, -(28*INDEX('KZ-normalized'!$D:$D, MATCH($A78, 'KZ-normalized'!$A:$A, 0))-INDEX('KZ-normalized'!$E:$E, MATCH($A78, 'KZ-normalized'!$A:$A, 0))), 0), 0))+(IFERROR(IF(28*INDEX('UZ-normalized'!$D:$D, MATCH($A78, 'UZ-normalized'!$A:$A, 0))-INDEX('UZ-normalized'!$E:$E, MATCH($A78, 'UZ-normalized'!$A:$A, 0))&gt;0, -(28*INDEX('UZ-normalized'!$D:$D, MATCH($A78, 'UZ-normalized'!$A:$A, 0))-INDEX('UZ-normalized'!$E:$E, MATCH($A78, 'UZ-normalized'!$A:$A, 0))), 0), 0)))</f>
        <v>-2505.75</v>
      </c>
      <c r="AQ78" s="6">
        <f>MIN(0, N78+(IFERROR(IF(29*INDEX('UA-normalized'!$D:$D, MATCH($A78, 'UA-normalized'!$A:$A, 0))-INDEX('UA-normalized'!$E:$E, MATCH($A78, 'UA-normalized'!$A:$A, 0))&gt;0, -(29*INDEX('UA-normalized'!$D:$D, MATCH($A78, 'UA-normalized'!$A:$A, 0))-INDEX('UA-normalized'!$E:$E, MATCH($A78, 'UA-normalized'!$A:$A, 0))), 0), 0))+(IFERROR(IF(29*INDEX('KZ-normalized'!$D:$D, MATCH($A78, 'KZ-normalized'!$A:$A, 0))-INDEX('KZ-normalized'!$E:$E, MATCH($A78, 'KZ-normalized'!$A:$A, 0))&gt;0, -(29*INDEX('KZ-normalized'!$D:$D, MATCH($A78, 'KZ-normalized'!$A:$A, 0))-INDEX('KZ-normalized'!$E:$E, MATCH($A78, 'KZ-normalized'!$A:$A, 0))), 0), 0))+(IFERROR(IF(29*INDEX('UZ-normalized'!$D:$D, MATCH($A78, 'UZ-normalized'!$A:$A, 0))-INDEX('UZ-normalized'!$E:$E, MATCH($A78, 'UZ-normalized'!$A:$A, 0))&gt;0, -(29*INDEX('UZ-normalized'!$D:$D, MATCH($A78, 'UZ-normalized'!$A:$A, 0))-INDEX('UZ-normalized'!$E:$E, MATCH($A78, 'UZ-normalized'!$A:$A, 0))), 0), 0)))</f>
        <v>-2845.75</v>
      </c>
      <c r="AR78" s="6">
        <f>MIN(0, N78+(IFERROR(IF(30*INDEX('UA-normalized'!$D:$D, MATCH($A78, 'UA-normalized'!$A:$A, 0))-INDEX('UA-normalized'!$E:$E, MATCH($A78, 'UA-normalized'!$A:$A, 0))&gt;0, -(30*INDEX('UA-normalized'!$D:$D, MATCH($A78, 'UA-normalized'!$A:$A, 0))-INDEX('UA-normalized'!$E:$E, MATCH($A78, 'UA-normalized'!$A:$A, 0))), 0), 0))+(IFERROR(IF(30*INDEX('KZ-normalized'!$D:$D, MATCH($A78, 'KZ-normalized'!$A:$A, 0))-INDEX('KZ-normalized'!$E:$E, MATCH($A78, 'KZ-normalized'!$A:$A, 0))&gt;0, -(30*INDEX('KZ-normalized'!$D:$D, MATCH($A78, 'KZ-normalized'!$A:$A, 0))-INDEX('KZ-normalized'!$E:$E, MATCH($A78, 'KZ-normalized'!$A:$A, 0))), 0), 0))+(IFERROR(IF(30*INDEX('UZ-normalized'!$D:$D, MATCH($A78, 'UZ-normalized'!$A:$A, 0))-INDEX('UZ-normalized'!$E:$E, MATCH($A78, 'UZ-normalized'!$A:$A, 0))&gt;0, -(30*INDEX('UZ-normalized'!$D:$D, MATCH($A78, 'UZ-normalized'!$A:$A, 0))-INDEX('UZ-normalized'!$E:$E, MATCH($A78, 'UZ-normalized'!$A:$A, 0))), 0), 0)))</f>
        <v>-3185.75</v>
      </c>
    </row>
    <row r="79" spans="1:44" x14ac:dyDescent="0.25">
      <c r="A79" s="8" t="s">
        <v>208</v>
      </c>
      <c r="B79" s="8" t="s">
        <v>180</v>
      </c>
      <c r="C79" s="8" t="s">
        <v>206</v>
      </c>
      <c r="D79" s="8" t="s">
        <v>209</v>
      </c>
      <c r="E79">
        <v>2443.25</v>
      </c>
      <c r="G79">
        <v>-30</v>
      </c>
      <c r="N79">
        <f t="shared" si="1"/>
        <v>2413.25</v>
      </c>
      <c r="O79" s="6">
        <f>MIN(0, N79+(IFERROR(IF(1*INDEX('UA-normalized'!$D:$D, MATCH($A79, 'UA-normalized'!$A:$A, 0))-INDEX('UA-normalized'!$E:$E, MATCH($A79, 'UA-normalized'!$A:$A, 0))&gt;0, -(1*INDEX('UA-normalized'!$D:$D, MATCH($A79, 'UA-normalized'!$A:$A, 0))-INDEX('UA-normalized'!$E:$E, MATCH($A79, 'UA-normalized'!$A:$A, 0))), 0), 0))+(IFERROR(IF(1*INDEX('KZ-normalized'!$D:$D, MATCH($A79, 'KZ-normalized'!$A:$A, 0))-INDEX('KZ-normalized'!$E:$E, MATCH($A79, 'KZ-normalized'!$A:$A, 0))&gt;0, -(1*INDEX('KZ-normalized'!$D:$D, MATCH($A79, 'KZ-normalized'!$A:$A, 0))-INDEX('KZ-normalized'!$E:$E, MATCH($A79, 'KZ-normalized'!$A:$A, 0))), 0), 0))+(IFERROR(IF(1*INDEX('UZ-normalized'!$D:$D, MATCH($A79, 'UZ-normalized'!$A:$A, 0))-INDEX('UZ-normalized'!$E:$E, MATCH($A79, 'UZ-normalized'!$A:$A, 0))&gt;0, -(1*INDEX('UZ-normalized'!$D:$D, MATCH($A79, 'UZ-normalized'!$A:$A, 0))-INDEX('UZ-normalized'!$E:$E, MATCH($A79, 'UZ-normalized'!$A:$A, 0))), 0), 0)))</f>
        <v>0</v>
      </c>
      <c r="P79" s="6">
        <f>MIN(0, N79+(IFERROR(IF(2*INDEX('UA-normalized'!$D:$D, MATCH($A79, 'UA-normalized'!$A:$A, 0))-INDEX('UA-normalized'!$E:$E, MATCH($A79, 'UA-normalized'!$A:$A, 0))&gt;0, -(2*INDEX('UA-normalized'!$D:$D, MATCH($A79, 'UA-normalized'!$A:$A, 0))-INDEX('UA-normalized'!$E:$E, MATCH($A79, 'UA-normalized'!$A:$A, 0))), 0), 0))+(IFERROR(IF(2*INDEX('KZ-normalized'!$D:$D, MATCH($A79, 'KZ-normalized'!$A:$A, 0))-INDEX('KZ-normalized'!$E:$E, MATCH($A79, 'KZ-normalized'!$A:$A, 0))&gt;0, -(2*INDEX('KZ-normalized'!$D:$D, MATCH($A79, 'KZ-normalized'!$A:$A, 0))-INDEX('KZ-normalized'!$E:$E, MATCH($A79, 'KZ-normalized'!$A:$A, 0))), 0), 0))+(IFERROR(IF(2*INDEX('UZ-normalized'!$D:$D, MATCH($A79, 'UZ-normalized'!$A:$A, 0))-INDEX('UZ-normalized'!$E:$E, MATCH($A79, 'UZ-normalized'!$A:$A, 0))&gt;0, -(2*INDEX('UZ-normalized'!$D:$D, MATCH($A79, 'UZ-normalized'!$A:$A, 0))-INDEX('UZ-normalized'!$E:$E, MATCH($A79, 'UZ-normalized'!$A:$A, 0))), 0), 0)))</f>
        <v>0</v>
      </c>
      <c r="Q79" s="6">
        <f>MIN(0, N79+(IFERROR(IF(3*INDEX('UA-normalized'!$D:$D, MATCH($A79, 'UA-normalized'!$A:$A, 0))-INDEX('UA-normalized'!$E:$E, MATCH($A79, 'UA-normalized'!$A:$A, 0))&gt;0, -(3*INDEX('UA-normalized'!$D:$D, MATCH($A79, 'UA-normalized'!$A:$A, 0))-INDEX('UA-normalized'!$E:$E, MATCH($A79, 'UA-normalized'!$A:$A, 0))), 0), 0))+(IFERROR(IF(3*INDEX('KZ-normalized'!$D:$D, MATCH($A79, 'KZ-normalized'!$A:$A, 0))-INDEX('KZ-normalized'!$E:$E, MATCH($A79, 'KZ-normalized'!$A:$A, 0))&gt;0, -(3*INDEX('KZ-normalized'!$D:$D, MATCH($A79, 'KZ-normalized'!$A:$A, 0))-INDEX('KZ-normalized'!$E:$E, MATCH($A79, 'KZ-normalized'!$A:$A, 0))), 0), 0))+(IFERROR(IF(3*INDEX('UZ-normalized'!$D:$D, MATCH($A79, 'UZ-normalized'!$A:$A, 0))-INDEX('UZ-normalized'!$E:$E, MATCH($A79, 'UZ-normalized'!$A:$A, 0))&gt;0, -(3*INDEX('UZ-normalized'!$D:$D, MATCH($A79, 'UZ-normalized'!$A:$A, 0))-INDEX('UZ-normalized'!$E:$E, MATCH($A79, 'UZ-normalized'!$A:$A, 0))), 0), 0)))</f>
        <v>0</v>
      </c>
      <c r="R79" s="6">
        <f>MIN(0, N79+(IFERROR(IF(4*INDEX('UA-normalized'!$D:$D, MATCH($A79, 'UA-normalized'!$A:$A, 0))-INDEX('UA-normalized'!$E:$E, MATCH($A79, 'UA-normalized'!$A:$A, 0))&gt;0, -(4*INDEX('UA-normalized'!$D:$D, MATCH($A79, 'UA-normalized'!$A:$A, 0))-INDEX('UA-normalized'!$E:$E, MATCH($A79, 'UA-normalized'!$A:$A, 0))), 0), 0))+(IFERROR(IF(4*INDEX('KZ-normalized'!$D:$D, MATCH($A79, 'KZ-normalized'!$A:$A, 0))-INDEX('KZ-normalized'!$E:$E, MATCH($A79, 'KZ-normalized'!$A:$A, 0))&gt;0, -(4*INDEX('KZ-normalized'!$D:$D, MATCH($A79, 'KZ-normalized'!$A:$A, 0))-INDEX('KZ-normalized'!$E:$E, MATCH($A79, 'KZ-normalized'!$A:$A, 0))), 0), 0))+(IFERROR(IF(4*INDEX('UZ-normalized'!$D:$D, MATCH($A79, 'UZ-normalized'!$A:$A, 0))-INDEX('UZ-normalized'!$E:$E, MATCH($A79, 'UZ-normalized'!$A:$A, 0))&gt;0, -(4*INDEX('UZ-normalized'!$D:$D, MATCH($A79, 'UZ-normalized'!$A:$A, 0))-INDEX('UZ-normalized'!$E:$E, MATCH($A79, 'UZ-normalized'!$A:$A, 0))), 0), 0)))</f>
        <v>0</v>
      </c>
      <c r="S79" s="6">
        <f>MIN(0, N79+(IFERROR(IF(5*INDEX('UA-normalized'!$D:$D, MATCH($A79, 'UA-normalized'!$A:$A, 0))-INDEX('UA-normalized'!$E:$E, MATCH($A79, 'UA-normalized'!$A:$A, 0))&gt;0, -(5*INDEX('UA-normalized'!$D:$D, MATCH($A79, 'UA-normalized'!$A:$A, 0))-INDEX('UA-normalized'!$E:$E, MATCH($A79, 'UA-normalized'!$A:$A, 0))), 0), 0))+(IFERROR(IF(5*INDEX('KZ-normalized'!$D:$D, MATCH($A79, 'KZ-normalized'!$A:$A, 0))-INDEX('KZ-normalized'!$E:$E, MATCH($A79, 'KZ-normalized'!$A:$A, 0))&gt;0, -(5*INDEX('KZ-normalized'!$D:$D, MATCH($A79, 'KZ-normalized'!$A:$A, 0))-INDEX('KZ-normalized'!$E:$E, MATCH($A79, 'KZ-normalized'!$A:$A, 0))), 0), 0))+(IFERROR(IF(5*INDEX('UZ-normalized'!$D:$D, MATCH($A79, 'UZ-normalized'!$A:$A, 0))-INDEX('UZ-normalized'!$E:$E, MATCH($A79, 'UZ-normalized'!$A:$A, 0))&gt;0, -(5*INDEX('UZ-normalized'!$D:$D, MATCH($A79, 'UZ-normalized'!$A:$A, 0))-INDEX('UZ-normalized'!$E:$E, MATCH($A79, 'UZ-normalized'!$A:$A, 0))), 0), 0)))</f>
        <v>0</v>
      </c>
      <c r="T79" s="6">
        <f>MIN(0, N79+(IFERROR(IF(6*INDEX('UA-normalized'!$D:$D, MATCH($A79, 'UA-normalized'!$A:$A, 0))-INDEX('UA-normalized'!$E:$E, MATCH($A79, 'UA-normalized'!$A:$A, 0))&gt;0, -(6*INDEX('UA-normalized'!$D:$D, MATCH($A79, 'UA-normalized'!$A:$A, 0))-INDEX('UA-normalized'!$E:$E, MATCH($A79, 'UA-normalized'!$A:$A, 0))), 0), 0))+(IFERROR(IF(6*INDEX('KZ-normalized'!$D:$D, MATCH($A79, 'KZ-normalized'!$A:$A, 0))-INDEX('KZ-normalized'!$E:$E, MATCH($A79, 'KZ-normalized'!$A:$A, 0))&gt;0, -(6*INDEX('KZ-normalized'!$D:$D, MATCH($A79, 'KZ-normalized'!$A:$A, 0))-INDEX('KZ-normalized'!$E:$E, MATCH($A79, 'KZ-normalized'!$A:$A, 0))), 0), 0))+(IFERROR(IF(6*INDEX('UZ-normalized'!$D:$D, MATCH($A79, 'UZ-normalized'!$A:$A, 0))-INDEX('UZ-normalized'!$E:$E, MATCH($A79, 'UZ-normalized'!$A:$A, 0))&gt;0, -(6*INDEX('UZ-normalized'!$D:$D, MATCH($A79, 'UZ-normalized'!$A:$A, 0))-INDEX('UZ-normalized'!$E:$E, MATCH($A79, 'UZ-normalized'!$A:$A, 0))), 0), 0)))</f>
        <v>0</v>
      </c>
      <c r="U79" s="6">
        <f>MIN(0, N79+(IFERROR(IF(7*INDEX('UA-normalized'!$D:$D, MATCH($A79, 'UA-normalized'!$A:$A, 0))-INDEX('UA-normalized'!$E:$E, MATCH($A79, 'UA-normalized'!$A:$A, 0))&gt;0, -(7*INDEX('UA-normalized'!$D:$D, MATCH($A79, 'UA-normalized'!$A:$A, 0))-INDEX('UA-normalized'!$E:$E, MATCH($A79, 'UA-normalized'!$A:$A, 0))), 0), 0))+(IFERROR(IF(7*INDEX('KZ-normalized'!$D:$D, MATCH($A79, 'KZ-normalized'!$A:$A, 0))-INDEX('KZ-normalized'!$E:$E, MATCH($A79, 'KZ-normalized'!$A:$A, 0))&gt;0, -(7*INDEX('KZ-normalized'!$D:$D, MATCH($A79, 'KZ-normalized'!$A:$A, 0))-INDEX('KZ-normalized'!$E:$E, MATCH($A79, 'KZ-normalized'!$A:$A, 0))), 0), 0))+(IFERROR(IF(7*INDEX('UZ-normalized'!$D:$D, MATCH($A79, 'UZ-normalized'!$A:$A, 0))-INDEX('UZ-normalized'!$E:$E, MATCH($A79, 'UZ-normalized'!$A:$A, 0))&gt;0, -(7*INDEX('UZ-normalized'!$D:$D, MATCH($A79, 'UZ-normalized'!$A:$A, 0))-INDEX('UZ-normalized'!$E:$E, MATCH($A79, 'UZ-normalized'!$A:$A, 0))), 0), 0)))</f>
        <v>0</v>
      </c>
      <c r="V79" s="6">
        <f>MIN(0, N79+(IFERROR(IF(8*INDEX('UA-normalized'!$D:$D, MATCH($A79, 'UA-normalized'!$A:$A, 0))-INDEX('UA-normalized'!$E:$E, MATCH($A79, 'UA-normalized'!$A:$A, 0))&gt;0, -(8*INDEX('UA-normalized'!$D:$D, MATCH($A79, 'UA-normalized'!$A:$A, 0))-INDEX('UA-normalized'!$E:$E, MATCH($A79, 'UA-normalized'!$A:$A, 0))), 0), 0))+(IFERROR(IF(8*INDEX('KZ-normalized'!$D:$D, MATCH($A79, 'KZ-normalized'!$A:$A, 0))-INDEX('KZ-normalized'!$E:$E, MATCH($A79, 'KZ-normalized'!$A:$A, 0))&gt;0, -(8*INDEX('KZ-normalized'!$D:$D, MATCH($A79, 'KZ-normalized'!$A:$A, 0))-INDEX('KZ-normalized'!$E:$E, MATCH($A79, 'KZ-normalized'!$A:$A, 0))), 0), 0))+(IFERROR(IF(8*INDEX('UZ-normalized'!$D:$D, MATCH($A79, 'UZ-normalized'!$A:$A, 0))-INDEX('UZ-normalized'!$E:$E, MATCH($A79, 'UZ-normalized'!$A:$A, 0))&gt;0, -(8*INDEX('UZ-normalized'!$D:$D, MATCH($A79, 'UZ-normalized'!$A:$A, 0))-INDEX('UZ-normalized'!$E:$E, MATCH($A79, 'UZ-normalized'!$A:$A, 0))), 0), 0)))</f>
        <v>0</v>
      </c>
      <c r="W79" s="6">
        <f>MIN(0, N79+(IFERROR(IF(9*INDEX('UA-normalized'!$D:$D, MATCH($A79, 'UA-normalized'!$A:$A, 0))-INDEX('UA-normalized'!$E:$E, MATCH($A79, 'UA-normalized'!$A:$A, 0))&gt;0, -(9*INDEX('UA-normalized'!$D:$D, MATCH($A79, 'UA-normalized'!$A:$A, 0))-INDEX('UA-normalized'!$E:$E, MATCH($A79, 'UA-normalized'!$A:$A, 0))), 0), 0))+(IFERROR(IF(9*INDEX('KZ-normalized'!$D:$D, MATCH($A79, 'KZ-normalized'!$A:$A, 0))-INDEX('KZ-normalized'!$E:$E, MATCH($A79, 'KZ-normalized'!$A:$A, 0))&gt;0, -(9*INDEX('KZ-normalized'!$D:$D, MATCH($A79, 'KZ-normalized'!$A:$A, 0))-INDEX('KZ-normalized'!$E:$E, MATCH($A79, 'KZ-normalized'!$A:$A, 0))), 0), 0))+(IFERROR(IF(9*INDEX('UZ-normalized'!$D:$D, MATCH($A79, 'UZ-normalized'!$A:$A, 0))-INDEX('UZ-normalized'!$E:$E, MATCH($A79, 'UZ-normalized'!$A:$A, 0))&gt;0, -(9*INDEX('UZ-normalized'!$D:$D, MATCH($A79, 'UZ-normalized'!$A:$A, 0))-INDEX('UZ-normalized'!$E:$E, MATCH($A79, 'UZ-normalized'!$A:$A, 0))), 0), 0)))</f>
        <v>0</v>
      </c>
      <c r="X79" s="6">
        <f>MIN(0, N79+(IFERROR(IF(10*INDEX('UA-normalized'!$D:$D, MATCH($A79, 'UA-normalized'!$A:$A, 0))-INDEX('UA-normalized'!$E:$E, MATCH($A79, 'UA-normalized'!$A:$A, 0))&gt;0, -(10*INDEX('UA-normalized'!$D:$D, MATCH($A79, 'UA-normalized'!$A:$A, 0))-INDEX('UA-normalized'!$E:$E, MATCH($A79, 'UA-normalized'!$A:$A, 0))), 0), 0))+(IFERROR(IF(10*INDEX('KZ-normalized'!$D:$D, MATCH($A79, 'KZ-normalized'!$A:$A, 0))-INDEX('KZ-normalized'!$E:$E, MATCH($A79, 'KZ-normalized'!$A:$A, 0))&gt;0, -(10*INDEX('KZ-normalized'!$D:$D, MATCH($A79, 'KZ-normalized'!$A:$A, 0))-INDEX('KZ-normalized'!$E:$E, MATCH($A79, 'KZ-normalized'!$A:$A, 0))), 0), 0))+(IFERROR(IF(10*INDEX('UZ-normalized'!$D:$D, MATCH($A79, 'UZ-normalized'!$A:$A, 0))-INDEX('UZ-normalized'!$E:$E, MATCH($A79, 'UZ-normalized'!$A:$A, 0))&gt;0, -(10*INDEX('UZ-normalized'!$D:$D, MATCH($A79, 'UZ-normalized'!$A:$A, 0))-INDEX('UZ-normalized'!$E:$E, MATCH($A79, 'UZ-normalized'!$A:$A, 0))), 0), 0)))</f>
        <v>0</v>
      </c>
      <c r="Y79" s="6">
        <f>MIN(0, N79+(IFERROR(IF(11*INDEX('UA-normalized'!$D:$D, MATCH($A79, 'UA-normalized'!$A:$A, 0))-INDEX('UA-normalized'!$E:$E, MATCH($A79, 'UA-normalized'!$A:$A, 0))&gt;0, -(11*INDEX('UA-normalized'!$D:$D, MATCH($A79, 'UA-normalized'!$A:$A, 0))-INDEX('UA-normalized'!$E:$E, MATCH($A79, 'UA-normalized'!$A:$A, 0))), 0), 0))+(IFERROR(IF(11*INDEX('KZ-normalized'!$D:$D, MATCH($A79, 'KZ-normalized'!$A:$A, 0))-INDEX('KZ-normalized'!$E:$E, MATCH($A79, 'KZ-normalized'!$A:$A, 0))&gt;0, -(11*INDEX('KZ-normalized'!$D:$D, MATCH($A79, 'KZ-normalized'!$A:$A, 0))-INDEX('KZ-normalized'!$E:$E, MATCH($A79, 'KZ-normalized'!$A:$A, 0))), 0), 0))+(IFERROR(IF(11*INDEX('UZ-normalized'!$D:$D, MATCH($A79, 'UZ-normalized'!$A:$A, 0))-INDEX('UZ-normalized'!$E:$E, MATCH($A79, 'UZ-normalized'!$A:$A, 0))&gt;0, -(11*INDEX('UZ-normalized'!$D:$D, MATCH($A79, 'UZ-normalized'!$A:$A, 0))-INDEX('UZ-normalized'!$E:$E, MATCH($A79, 'UZ-normalized'!$A:$A, 0))), 0), 0)))</f>
        <v>0</v>
      </c>
      <c r="Z79" s="6">
        <f>MIN(0, N79+(IFERROR(IF(12*INDEX('UA-normalized'!$D:$D, MATCH($A79, 'UA-normalized'!$A:$A, 0))-INDEX('UA-normalized'!$E:$E, MATCH($A79, 'UA-normalized'!$A:$A, 0))&gt;0, -(12*INDEX('UA-normalized'!$D:$D, MATCH($A79, 'UA-normalized'!$A:$A, 0))-INDEX('UA-normalized'!$E:$E, MATCH($A79, 'UA-normalized'!$A:$A, 0))), 0), 0))+(IFERROR(IF(12*INDEX('KZ-normalized'!$D:$D, MATCH($A79, 'KZ-normalized'!$A:$A, 0))-INDEX('KZ-normalized'!$E:$E, MATCH($A79, 'KZ-normalized'!$A:$A, 0))&gt;0, -(12*INDEX('KZ-normalized'!$D:$D, MATCH($A79, 'KZ-normalized'!$A:$A, 0))-INDEX('KZ-normalized'!$E:$E, MATCH($A79, 'KZ-normalized'!$A:$A, 0))), 0), 0))+(IFERROR(IF(12*INDEX('UZ-normalized'!$D:$D, MATCH($A79, 'UZ-normalized'!$A:$A, 0))-INDEX('UZ-normalized'!$E:$E, MATCH($A79, 'UZ-normalized'!$A:$A, 0))&gt;0, -(12*INDEX('UZ-normalized'!$D:$D, MATCH($A79, 'UZ-normalized'!$A:$A, 0))-INDEX('UZ-normalized'!$E:$E, MATCH($A79, 'UZ-normalized'!$A:$A, 0))), 0), 0)))</f>
        <v>0</v>
      </c>
      <c r="AA79" s="6">
        <f>MIN(0, N79+(IFERROR(IF(13*INDEX('UA-normalized'!$D:$D, MATCH($A79, 'UA-normalized'!$A:$A, 0))-INDEX('UA-normalized'!$E:$E, MATCH($A79, 'UA-normalized'!$A:$A, 0))&gt;0, -(13*INDEX('UA-normalized'!$D:$D, MATCH($A79, 'UA-normalized'!$A:$A, 0))-INDEX('UA-normalized'!$E:$E, MATCH($A79, 'UA-normalized'!$A:$A, 0))), 0), 0))+(IFERROR(IF(13*INDEX('KZ-normalized'!$D:$D, MATCH($A79, 'KZ-normalized'!$A:$A, 0))-INDEX('KZ-normalized'!$E:$E, MATCH($A79, 'KZ-normalized'!$A:$A, 0))&gt;0, -(13*INDEX('KZ-normalized'!$D:$D, MATCH($A79, 'KZ-normalized'!$A:$A, 0))-INDEX('KZ-normalized'!$E:$E, MATCH($A79, 'KZ-normalized'!$A:$A, 0))), 0), 0))+(IFERROR(IF(13*INDEX('UZ-normalized'!$D:$D, MATCH($A79, 'UZ-normalized'!$A:$A, 0))-INDEX('UZ-normalized'!$E:$E, MATCH($A79, 'UZ-normalized'!$A:$A, 0))&gt;0, -(13*INDEX('UZ-normalized'!$D:$D, MATCH($A79, 'UZ-normalized'!$A:$A, 0))-INDEX('UZ-normalized'!$E:$E, MATCH($A79, 'UZ-normalized'!$A:$A, 0))), 0), 0)))</f>
        <v>-162.25</v>
      </c>
      <c r="AB79" s="6">
        <f>MIN(0, N79+(IFERROR(IF(14*INDEX('UA-normalized'!$D:$D, MATCH($A79, 'UA-normalized'!$A:$A, 0))-INDEX('UA-normalized'!$E:$E, MATCH($A79, 'UA-normalized'!$A:$A, 0))&gt;0, -(14*INDEX('UA-normalized'!$D:$D, MATCH($A79, 'UA-normalized'!$A:$A, 0))-INDEX('UA-normalized'!$E:$E, MATCH($A79, 'UA-normalized'!$A:$A, 0))), 0), 0))+(IFERROR(IF(14*INDEX('KZ-normalized'!$D:$D, MATCH($A79, 'KZ-normalized'!$A:$A, 0))-INDEX('KZ-normalized'!$E:$E, MATCH($A79, 'KZ-normalized'!$A:$A, 0))&gt;0, -(14*INDEX('KZ-normalized'!$D:$D, MATCH($A79, 'KZ-normalized'!$A:$A, 0))-INDEX('KZ-normalized'!$E:$E, MATCH($A79, 'KZ-normalized'!$A:$A, 0))), 0), 0))+(IFERROR(IF(14*INDEX('UZ-normalized'!$D:$D, MATCH($A79, 'UZ-normalized'!$A:$A, 0))-INDEX('UZ-normalized'!$E:$E, MATCH($A79, 'UZ-normalized'!$A:$A, 0))&gt;0, -(14*INDEX('UZ-normalized'!$D:$D, MATCH($A79, 'UZ-normalized'!$A:$A, 0))-INDEX('UZ-normalized'!$E:$E, MATCH($A79, 'UZ-normalized'!$A:$A, 0))), 0), 0)))</f>
        <v>-440.75</v>
      </c>
      <c r="AC79" s="6">
        <f>MIN(0, N79+(IFERROR(IF(15*INDEX('UA-normalized'!$D:$D, MATCH($A79, 'UA-normalized'!$A:$A, 0))-INDEX('UA-normalized'!$E:$E, MATCH($A79, 'UA-normalized'!$A:$A, 0))&gt;0, -(15*INDEX('UA-normalized'!$D:$D, MATCH($A79, 'UA-normalized'!$A:$A, 0))-INDEX('UA-normalized'!$E:$E, MATCH($A79, 'UA-normalized'!$A:$A, 0))), 0), 0))+(IFERROR(IF(15*INDEX('KZ-normalized'!$D:$D, MATCH($A79, 'KZ-normalized'!$A:$A, 0))-INDEX('KZ-normalized'!$E:$E, MATCH($A79, 'KZ-normalized'!$A:$A, 0))&gt;0, -(15*INDEX('KZ-normalized'!$D:$D, MATCH($A79, 'KZ-normalized'!$A:$A, 0))-INDEX('KZ-normalized'!$E:$E, MATCH($A79, 'KZ-normalized'!$A:$A, 0))), 0), 0))+(IFERROR(IF(15*INDEX('UZ-normalized'!$D:$D, MATCH($A79, 'UZ-normalized'!$A:$A, 0))-INDEX('UZ-normalized'!$E:$E, MATCH($A79, 'UZ-normalized'!$A:$A, 0))&gt;0, -(15*INDEX('UZ-normalized'!$D:$D, MATCH($A79, 'UZ-normalized'!$A:$A, 0))-INDEX('UZ-normalized'!$E:$E, MATCH($A79, 'UZ-normalized'!$A:$A, 0))), 0), 0)))</f>
        <v>-719.25</v>
      </c>
      <c r="AD79" s="6">
        <f>MIN(0, N79+(IFERROR(IF(16*INDEX('UA-normalized'!$D:$D, MATCH($A79, 'UA-normalized'!$A:$A, 0))-INDEX('UA-normalized'!$E:$E, MATCH($A79, 'UA-normalized'!$A:$A, 0))&gt;0, -(16*INDEX('UA-normalized'!$D:$D, MATCH($A79, 'UA-normalized'!$A:$A, 0))-INDEX('UA-normalized'!$E:$E, MATCH($A79, 'UA-normalized'!$A:$A, 0))), 0), 0))+(IFERROR(IF(16*INDEX('KZ-normalized'!$D:$D, MATCH($A79, 'KZ-normalized'!$A:$A, 0))-INDEX('KZ-normalized'!$E:$E, MATCH($A79, 'KZ-normalized'!$A:$A, 0))&gt;0, -(16*INDEX('KZ-normalized'!$D:$D, MATCH($A79, 'KZ-normalized'!$A:$A, 0))-INDEX('KZ-normalized'!$E:$E, MATCH($A79, 'KZ-normalized'!$A:$A, 0))), 0), 0))+(IFERROR(IF(16*INDEX('UZ-normalized'!$D:$D, MATCH($A79, 'UZ-normalized'!$A:$A, 0))-INDEX('UZ-normalized'!$E:$E, MATCH($A79, 'UZ-normalized'!$A:$A, 0))&gt;0, -(16*INDEX('UZ-normalized'!$D:$D, MATCH($A79, 'UZ-normalized'!$A:$A, 0))-INDEX('UZ-normalized'!$E:$E, MATCH($A79, 'UZ-normalized'!$A:$A, 0))), 0), 0)))</f>
        <v>-997.75</v>
      </c>
      <c r="AE79" s="6">
        <f>MIN(0, N79+(IFERROR(IF(17*INDEX('UA-normalized'!$D:$D, MATCH($A79, 'UA-normalized'!$A:$A, 0))-INDEX('UA-normalized'!$E:$E, MATCH($A79, 'UA-normalized'!$A:$A, 0))&gt;0, -(17*INDEX('UA-normalized'!$D:$D, MATCH($A79, 'UA-normalized'!$A:$A, 0))-INDEX('UA-normalized'!$E:$E, MATCH($A79, 'UA-normalized'!$A:$A, 0))), 0), 0))+(IFERROR(IF(17*INDEX('KZ-normalized'!$D:$D, MATCH($A79, 'KZ-normalized'!$A:$A, 0))-INDEX('KZ-normalized'!$E:$E, MATCH($A79, 'KZ-normalized'!$A:$A, 0))&gt;0, -(17*INDEX('KZ-normalized'!$D:$D, MATCH($A79, 'KZ-normalized'!$A:$A, 0))-INDEX('KZ-normalized'!$E:$E, MATCH($A79, 'KZ-normalized'!$A:$A, 0))), 0), 0))+(IFERROR(IF(17*INDEX('UZ-normalized'!$D:$D, MATCH($A79, 'UZ-normalized'!$A:$A, 0))-INDEX('UZ-normalized'!$E:$E, MATCH($A79, 'UZ-normalized'!$A:$A, 0))&gt;0, -(17*INDEX('UZ-normalized'!$D:$D, MATCH($A79, 'UZ-normalized'!$A:$A, 0))-INDEX('UZ-normalized'!$E:$E, MATCH($A79, 'UZ-normalized'!$A:$A, 0))), 0), 0)))</f>
        <v>-1276.25</v>
      </c>
      <c r="AF79" s="6">
        <f>MIN(0, N79+(IFERROR(IF(18*INDEX('UA-normalized'!$D:$D, MATCH($A79, 'UA-normalized'!$A:$A, 0))-INDEX('UA-normalized'!$E:$E, MATCH($A79, 'UA-normalized'!$A:$A, 0))&gt;0, -(18*INDEX('UA-normalized'!$D:$D, MATCH($A79, 'UA-normalized'!$A:$A, 0))-INDEX('UA-normalized'!$E:$E, MATCH($A79, 'UA-normalized'!$A:$A, 0))), 0), 0))+(IFERROR(IF(18*INDEX('KZ-normalized'!$D:$D, MATCH($A79, 'KZ-normalized'!$A:$A, 0))-INDEX('KZ-normalized'!$E:$E, MATCH($A79, 'KZ-normalized'!$A:$A, 0))&gt;0, -(18*INDEX('KZ-normalized'!$D:$D, MATCH($A79, 'KZ-normalized'!$A:$A, 0))-INDEX('KZ-normalized'!$E:$E, MATCH($A79, 'KZ-normalized'!$A:$A, 0))), 0), 0))+(IFERROR(IF(18*INDEX('UZ-normalized'!$D:$D, MATCH($A79, 'UZ-normalized'!$A:$A, 0))-INDEX('UZ-normalized'!$E:$E, MATCH($A79, 'UZ-normalized'!$A:$A, 0))&gt;0, -(18*INDEX('UZ-normalized'!$D:$D, MATCH($A79, 'UZ-normalized'!$A:$A, 0))-INDEX('UZ-normalized'!$E:$E, MATCH($A79, 'UZ-normalized'!$A:$A, 0))), 0), 0)))</f>
        <v>-1554.75</v>
      </c>
      <c r="AG79" s="6">
        <f>MIN(0, N79+(IFERROR(IF(19*INDEX('UA-normalized'!$D:$D, MATCH($A79, 'UA-normalized'!$A:$A, 0))-INDEX('UA-normalized'!$E:$E, MATCH($A79, 'UA-normalized'!$A:$A, 0))&gt;0, -(19*INDEX('UA-normalized'!$D:$D, MATCH($A79, 'UA-normalized'!$A:$A, 0))-INDEX('UA-normalized'!$E:$E, MATCH($A79, 'UA-normalized'!$A:$A, 0))), 0), 0))+(IFERROR(IF(19*INDEX('KZ-normalized'!$D:$D, MATCH($A79, 'KZ-normalized'!$A:$A, 0))-INDEX('KZ-normalized'!$E:$E, MATCH($A79, 'KZ-normalized'!$A:$A, 0))&gt;0, -(19*INDEX('KZ-normalized'!$D:$D, MATCH($A79, 'KZ-normalized'!$A:$A, 0))-INDEX('KZ-normalized'!$E:$E, MATCH($A79, 'KZ-normalized'!$A:$A, 0))), 0), 0))+(IFERROR(IF(19*INDEX('UZ-normalized'!$D:$D, MATCH($A79, 'UZ-normalized'!$A:$A, 0))-INDEX('UZ-normalized'!$E:$E, MATCH($A79, 'UZ-normalized'!$A:$A, 0))&gt;0, -(19*INDEX('UZ-normalized'!$D:$D, MATCH($A79, 'UZ-normalized'!$A:$A, 0))-INDEX('UZ-normalized'!$E:$E, MATCH($A79, 'UZ-normalized'!$A:$A, 0))), 0), 0)))</f>
        <v>-1833.25</v>
      </c>
      <c r="AH79" s="6">
        <f>MIN(0, N79+(IFERROR(IF(20*INDEX('UA-normalized'!$D:$D, MATCH($A79, 'UA-normalized'!$A:$A, 0))-INDEX('UA-normalized'!$E:$E, MATCH($A79, 'UA-normalized'!$A:$A, 0))&gt;0, -(20*INDEX('UA-normalized'!$D:$D, MATCH($A79, 'UA-normalized'!$A:$A, 0))-INDEX('UA-normalized'!$E:$E, MATCH($A79, 'UA-normalized'!$A:$A, 0))), 0), 0))+(IFERROR(IF(20*INDEX('KZ-normalized'!$D:$D, MATCH($A79, 'KZ-normalized'!$A:$A, 0))-INDEX('KZ-normalized'!$E:$E, MATCH($A79, 'KZ-normalized'!$A:$A, 0))&gt;0, -(20*INDEX('KZ-normalized'!$D:$D, MATCH($A79, 'KZ-normalized'!$A:$A, 0))-INDEX('KZ-normalized'!$E:$E, MATCH($A79, 'KZ-normalized'!$A:$A, 0))), 0), 0))+(IFERROR(IF(20*INDEX('UZ-normalized'!$D:$D, MATCH($A79, 'UZ-normalized'!$A:$A, 0))-INDEX('UZ-normalized'!$E:$E, MATCH($A79, 'UZ-normalized'!$A:$A, 0))&gt;0, -(20*INDEX('UZ-normalized'!$D:$D, MATCH($A79, 'UZ-normalized'!$A:$A, 0))-INDEX('UZ-normalized'!$E:$E, MATCH($A79, 'UZ-normalized'!$A:$A, 0))), 0), 0)))</f>
        <v>-2111.75</v>
      </c>
      <c r="AI79" s="6">
        <f>MIN(0, N79+(IFERROR(IF(21*INDEX('UA-normalized'!$D:$D, MATCH($A79, 'UA-normalized'!$A:$A, 0))-INDEX('UA-normalized'!$E:$E, MATCH($A79, 'UA-normalized'!$A:$A, 0))&gt;0, -(21*INDEX('UA-normalized'!$D:$D, MATCH($A79, 'UA-normalized'!$A:$A, 0))-INDEX('UA-normalized'!$E:$E, MATCH($A79, 'UA-normalized'!$A:$A, 0))), 0), 0))+(IFERROR(IF(21*INDEX('KZ-normalized'!$D:$D, MATCH($A79, 'KZ-normalized'!$A:$A, 0))-INDEX('KZ-normalized'!$E:$E, MATCH($A79, 'KZ-normalized'!$A:$A, 0))&gt;0, -(21*INDEX('KZ-normalized'!$D:$D, MATCH($A79, 'KZ-normalized'!$A:$A, 0))-INDEX('KZ-normalized'!$E:$E, MATCH($A79, 'KZ-normalized'!$A:$A, 0))), 0), 0))+(IFERROR(IF(21*INDEX('UZ-normalized'!$D:$D, MATCH($A79, 'UZ-normalized'!$A:$A, 0))-INDEX('UZ-normalized'!$E:$E, MATCH($A79, 'UZ-normalized'!$A:$A, 0))&gt;0, -(21*INDEX('UZ-normalized'!$D:$D, MATCH($A79, 'UZ-normalized'!$A:$A, 0))-INDEX('UZ-normalized'!$E:$E, MATCH($A79, 'UZ-normalized'!$A:$A, 0))), 0), 0)))</f>
        <v>-2390.25</v>
      </c>
      <c r="AJ79" s="6">
        <f>MIN(0, N79+(IFERROR(IF(22*INDEX('UA-normalized'!$D:$D, MATCH($A79, 'UA-normalized'!$A:$A, 0))-INDEX('UA-normalized'!$E:$E, MATCH($A79, 'UA-normalized'!$A:$A, 0))&gt;0, -(22*INDEX('UA-normalized'!$D:$D, MATCH($A79, 'UA-normalized'!$A:$A, 0))-INDEX('UA-normalized'!$E:$E, MATCH($A79, 'UA-normalized'!$A:$A, 0))), 0), 0))+(IFERROR(IF(22*INDEX('KZ-normalized'!$D:$D, MATCH($A79, 'KZ-normalized'!$A:$A, 0))-INDEX('KZ-normalized'!$E:$E, MATCH($A79, 'KZ-normalized'!$A:$A, 0))&gt;0, -(22*INDEX('KZ-normalized'!$D:$D, MATCH($A79, 'KZ-normalized'!$A:$A, 0))-INDEX('KZ-normalized'!$E:$E, MATCH($A79, 'KZ-normalized'!$A:$A, 0))), 0), 0))+(IFERROR(IF(22*INDEX('UZ-normalized'!$D:$D, MATCH($A79, 'UZ-normalized'!$A:$A, 0))-INDEX('UZ-normalized'!$E:$E, MATCH($A79, 'UZ-normalized'!$A:$A, 0))&gt;0, -(22*INDEX('UZ-normalized'!$D:$D, MATCH($A79, 'UZ-normalized'!$A:$A, 0))-INDEX('UZ-normalized'!$E:$E, MATCH($A79, 'UZ-normalized'!$A:$A, 0))), 0), 0)))</f>
        <v>-2668.75</v>
      </c>
      <c r="AK79" s="6">
        <f>MIN(0, N79+(IFERROR(IF(23*INDEX('UA-normalized'!$D:$D, MATCH($A79, 'UA-normalized'!$A:$A, 0))-INDEX('UA-normalized'!$E:$E, MATCH($A79, 'UA-normalized'!$A:$A, 0))&gt;0, -(23*INDEX('UA-normalized'!$D:$D, MATCH($A79, 'UA-normalized'!$A:$A, 0))-INDEX('UA-normalized'!$E:$E, MATCH($A79, 'UA-normalized'!$A:$A, 0))), 0), 0))+(IFERROR(IF(23*INDEX('KZ-normalized'!$D:$D, MATCH($A79, 'KZ-normalized'!$A:$A, 0))-INDEX('KZ-normalized'!$E:$E, MATCH($A79, 'KZ-normalized'!$A:$A, 0))&gt;0, -(23*INDEX('KZ-normalized'!$D:$D, MATCH($A79, 'KZ-normalized'!$A:$A, 0))-INDEX('KZ-normalized'!$E:$E, MATCH($A79, 'KZ-normalized'!$A:$A, 0))), 0), 0))+(IFERROR(IF(23*INDEX('UZ-normalized'!$D:$D, MATCH($A79, 'UZ-normalized'!$A:$A, 0))-INDEX('UZ-normalized'!$E:$E, MATCH($A79, 'UZ-normalized'!$A:$A, 0))&gt;0, -(23*INDEX('UZ-normalized'!$D:$D, MATCH($A79, 'UZ-normalized'!$A:$A, 0))-INDEX('UZ-normalized'!$E:$E, MATCH($A79, 'UZ-normalized'!$A:$A, 0))), 0), 0)))</f>
        <v>-2947.25</v>
      </c>
      <c r="AL79" s="6">
        <f>MIN(0, N79+(IFERROR(IF(24*INDEX('UA-normalized'!$D:$D, MATCH($A79, 'UA-normalized'!$A:$A, 0))-INDEX('UA-normalized'!$E:$E, MATCH($A79, 'UA-normalized'!$A:$A, 0))&gt;0, -(24*INDEX('UA-normalized'!$D:$D, MATCH($A79, 'UA-normalized'!$A:$A, 0))-INDEX('UA-normalized'!$E:$E, MATCH($A79, 'UA-normalized'!$A:$A, 0))), 0), 0))+(IFERROR(IF(24*INDEX('KZ-normalized'!$D:$D, MATCH($A79, 'KZ-normalized'!$A:$A, 0))-INDEX('KZ-normalized'!$E:$E, MATCH($A79, 'KZ-normalized'!$A:$A, 0))&gt;0, -(24*INDEX('KZ-normalized'!$D:$D, MATCH($A79, 'KZ-normalized'!$A:$A, 0))-INDEX('KZ-normalized'!$E:$E, MATCH($A79, 'KZ-normalized'!$A:$A, 0))), 0), 0))+(IFERROR(IF(24*INDEX('UZ-normalized'!$D:$D, MATCH($A79, 'UZ-normalized'!$A:$A, 0))-INDEX('UZ-normalized'!$E:$E, MATCH($A79, 'UZ-normalized'!$A:$A, 0))&gt;0, -(24*INDEX('UZ-normalized'!$D:$D, MATCH($A79, 'UZ-normalized'!$A:$A, 0))-INDEX('UZ-normalized'!$E:$E, MATCH($A79, 'UZ-normalized'!$A:$A, 0))), 0), 0)))</f>
        <v>-3225.75</v>
      </c>
      <c r="AM79" s="6">
        <f>MIN(0, N79+(IFERROR(IF(25*INDEX('UA-normalized'!$D:$D, MATCH($A79, 'UA-normalized'!$A:$A, 0))-INDEX('UA-normalized'!$E:$E, MATCH($A79, 'UA-normalized'!$A:$A, 0))&gt;0, -(25*INDEX('UA-normalized'!$D:$D, MATCH($A79, 'UA-normalized'!$A:$A, 0))-INDEX('UA-normalized'!$E:$E, MATCH($A79, 'UA-normalized'!$A:$A, 0))), 0), 0))+(IFERROR(IF(25*INDEX('KZ-normalized'!$D:$D, MATCH($A79, 'KZ-normalized'!$A:$A, 0))-INDEX('KZ-normalized'!$E:$E, MATCH($A79, 'KZ-normalized'!$A:$A, 0))&gt;0, -(25*INDEX('KZ-normalized'!$D:$D, MATCH($A79, 'KZ-normalized'!$A:$A, 0))-INDEX('KZ-normalized'!$E:$E, MATCH($A79, 'KZ-normalized'!$A:$A, 0))), 0), 0))+(IFERROR(IF(25*INDEX('UZ-normalized'!$D:$D, MATCH($A79, 'UZ-normalized'!$A:$A, 0))-INDEX('UZ-normalized'!$E:$E, MATCH($A79, 'UZ-normalized'!$A:$A, 0))&gt;0, -(25*INDEX('UZ-normalized'!$D:$D, MATCH($A79, 'UZ-normalized'!$A:$A, 0))-INDEX('UZ-normalized'!$E:$E, MATCH($A79, 'UZ-normalized'!$A:$A, 0))), 0), 0)))</f>
        <v>-3504.25</v>
      </c>
      <c r="AN79" s="6">
        <f>MIN(0, N79+(IFERROR(IF(26*INDEX('UA-normalized'!$D:$D, MATCH($A79, 'UA-normalized'!$A:$A, 0))-INDEX('UA-normalized'!$E:$E, MATCH($A79, 'UA-normalized'!$A:$A, 0))&gt;0, -(26*INDEX('UA-normalized'!$D:$D, MATCH($A79, 'UA-normalized'!$A:$A, 0))-INDEX('UA-normalized'!$E:$E, MATCH($A79, 'UA-normalized'!$A:$A, 0))), 0), 0))+(IFERROR(IF(26*INDEX('KZ-normalized'!$D:$D, MATCH($A79, 'KZ-normalized'!$A:$A, 0))-INDEX('KZ-normalized'!$E:$E, MATCH($A79, 'KZ-normalized'!$A:$A, 0))&gt;0, -(26*INDEX('KZ-normalized'!$D:$D, MATCH($A79, 'KZ-normalized'!$A:$A, 0))-INDEX('KZ-normalized'!$E:$E, MATCH($A79, 'KZ-normalized'!$A:$A, 0))), 0), 0))+(IFERROR(IF(26*INDEX('UZ-normalized'!$D:$D, MATCH($A79, 'UZ-normalized'!$A:$A, 0))-INDEX('UZ-normalized'!$E:$E, MATCH($A79, 'UZ-normalized'!$A:$A, 0))&gt;0, -(26*INDEX('UZ-normalized'!$D:$D, MATCH($A79, 'UZ-normalized'!$A:$A, 0))-INDEX('UZ-normalized'!$E:$E, MATCH($A79, 'UZ-normalized'!$A:$A, 0))), 0), 0)))</f>
        <v>-3782.75</v>
      </c>
      <c r="AO79" s="6">
        <f>MIN(0, N79+(IFERROR(IF(27*INDEX('UA-normalized'!$D:$D, MATCH($A79, 'UA-normalized'!$A:$A, 0))-INDEX('UA-normalized'!$E:$E, MATCH($A79, 'UA-normalized'!$A:$A, 0))&gt;0, -(27*INDEX('UA-normalized'!$D:$D, MATCH($A79, 'UA-normalized'!$A:$A, 0))-INDEX('UA-normalized'!$E:$E, MATCH($A79, 'UA-normalized'!$A:$A, 0))), 0), 0))+(IFERROR(IF(27*INDEX('KZ-normalized'!$D:$D, MATCH($A79, 'KZ-normalized'!$A:$A, 0))-INDEX('KZ-normalized'!$E:$E, MATCH($A79, 'KZ-normalized'!$A:$A, 0))&gt;0, -(27*INDEX('KZ-normalized'!$D:$D, MATCH($A79, 'KZ-normalized'!$A:$A, 0))-INDEX('KZ-normalized'!$E:$E, MATCH($A79, 'KZ-normalized'!$A:$A, 0))), 0), 0))+(IFERROR(IF(27*INDEX('UZ-normalized'!$D:$D, MATCH($A79, 'UZ-normalized'!$A:$A, 0))-INDEX('UZ-normalized'!$E:$E, MATCH($A79, 'UZ-normalized'!$A:$A, 0))&gt;0, -(27*INDEX('UZ-normalized'!$D:$D, MATCH($A79, 'UZ-normalized'!$A:$A, 0))-INDEX('UZ-normalized'!$E:$E, MATCH($A79, 'UZ-normalized'!$A:$A, 0))), 0), 0)))</f>
        <v>-4061.25</v>
      </c>
      <c r="AP79" s="6">
        <f>MIN(0, N79+(IFERROR(IF(28*INDEX('UA-normalized'!$D:$D, MATCH($A79, 'UA-normalized'!$A:$A, 0))-INDEX('UA-normalized'!$E:$E, MATCH($A79, 'UA-normalized'!$A:$A, 0))&gt;0, -(28*INDEX('UA-normalized'!$D:$D, MATCH($A79, 'UA-normalized'!$A:$A, 0))-INDEX('UA-normalized'!$E:$E, MATCH($A79, 'UA-normalized'!$A:$A, 0))), 0), 0))+(IFERROR(IF(28*INDEX('KZ-normalized'!$D:$D, MATCH($A79, 'KZ-normalized'!$A:$A, 0))-INDEX('KZ-normalized'!$E:$E, MATCH($A79, 'KZ-normalized'!$A:$A, 0))&gt;0, -(28*INDEX('KZ-normalized'!$D:$D, MATCH($A79, 'KZ-normalized'!$A:$A, 0))-INDEX('KZ-normalized'!$E:$E, MATCH($A79, 'KZ-normalized'!$A:$A, 0))), 0), 0))+(IFERROR(IF(28*INDEX('UZ-normalized'!$D:$D, MATCH($A79, 'UZ-normalized'!$A:$A, 0))-INDEX('UZ-normalized'!$E:$E, MATCH($A79, 'UZ-normalized'!$A:$A, 0))&gt;0, -(28*INDEX('UZ-normalized'!$D:$D, MATCH($A79, 'UZ-normalized'!$A:$A, 0))-INDEX('UZ-normalized'!$E:$E, MATCH($A79, 'UZ-normalized'!$A:$A, 0))), 0), 0)))</f>
        <v>-4339.75</v>
      </c>
      <c r="AQ79" s="6">
        <f>MIN(0, N79+(IFERROR(IF(29*INDEX('UA-normalized'!$D:$D, MATCH($A79, 'UA-normalized'!$A:$A, 0))-INDEX('UA-normalized'!$E:$E, MATCH($A79, 'UA-normalized'!$A:$A, 0))&gt;0, -(29*INDEX('UA-normalized'!$D:$D, MATCH($A79, 'UA-normalized'!$A:$A, 0))-INDEX('UA-normalized'!$E:$E, MATCH($A79, 'UA-normalized'!$A:$A, 0))), 0), 0))+(IFERROR(IF(29*INDEX('KZ-normalized'!$D:$D, MATCH($A79, 'KZ-normalized'!$A:$A, 0))-INDEX('KZ-normalized'!$E:$E, MATCH($A79, 'KZ-normalized'!$A:$A, 0))&gt;0, -(29*INDEX('KZ-normalized'!$D:$D, MATCH($A79, 'KZ-normalized'!$A:$A, 0))-INDEX('KZ-normalized'!$E:$E, MATCH($A79, 'KZ-normalized'!$A:$A, 0))), 0), 0))+(IFERROR(IF(29*INDEX('UZ-normalized'!$D:$D, MATCH($A79, 'UZ-normalized'!$A:$A, 0))-INDEX('UZ-normalized'!$E:$E, MATCH($A79, 'UZ-normalized'!$A:$A, 0))&gt;0, -(29*INDEX('UZ-normalized'!$D:$D, MATCH($A79, 'UZ-normalized'!$A:$A, 0))-INDEX('UZ-normalized'!$E:$E, MATCH($A79, 'UZ-normalized'!$A:$A, 0))), 0), 0)))</f>
        <v>-4618.25</v>
      </c>
      <c r="AR79" s="6">
        <f>MIN(0, N79+(IFERROR(IF(30*INDEX('UA-normalized'!$D:$D, MATCH($A79, 'UA-normalized'!$A:$A, 0))-INDEX('UA-normalized'!$E:$E, MATCH($A79, 'UA-normalized'!$A:$A, 0))&gt;0, -(30*INDEX('UA-normalized'!$D:$D, MATCH($A79, 'UA-normalized'!$A:$A, 0))-INDEX('UA-normalized'!$E:$E, MATCH($A79, 'UA-normalized'!$A:$A, 0))), 0), 0))+(IFERROR(IF(30*INDEX('KZ-normalized'!$D:$D, MATCH($A79, 'KZ-normalized'!$A:$A, 0))-INDEX('KZ-normalized'!$E:$E, MATCH($A79, 'KZ-normalized'!$A:$A, 0))&gt;0, -(30*INDEX('KZ-normalized'!$D:$D, MATCH($A79, 'KZ-normalized'!$A:$A, 0))-INDEX('KZ-normalized'!$E:$E, MATCH($A79, 'KZ-normalized'!$A:$A, 0))), 0), 0))+(IFERROR(IF(30*INDEX('UZ-normalized'!$D:$D, MATCH($A79, 'UZ-normalized'!$A:$A, 0))-INDEX('UZ-normalized'!$E:$E, MATCH($A79, 'UZ-normalized'!$A:$A, 0))&gt;0, -(30*INDEX('UZ-normalized'!$D:$D, MATCH($A79, 'UZ-normalized'!$A:$A, 0))-INDEX('UZ-normalized'!$E:$E, MATCH($A79, 'UZ-normalized'!$A:$A, 0))), 0), 0)))</f>
        <v>-4896.75</v>
      </c>
    </row>
    <row r="80" spans="1:44" x14ac:dyDescent="0.25">
      <c r="A80" s="8" t="s">
        <v>210</v>
      </c>
      <c r="B80" s="8" t="s">
        <v>180</v>
      </c>
      <c r="C80" s="8" t="s">
        <v>206</v>
      </c>
      <c r="D80" s="8" t="s">
        <v>211</v>
      </c>
      <c r="N80">
        <f t="shared" si="1"/>
        <v>0</v>
      </c>
      <c r="O80" s="6">
        <f>MIN(0, N80+(IFERROR(IF(1*INDEX('UA-normalized'!$D:$D, MATCH($A80, 'UA-normalized'!$A:$A, 0))-INDEX('UA-normalized'!$E:$E, MATCH($A80, 'UA-normalized'!$A:$A, 0))&gt;0, -(1*INDEX('UA-normalized'!$D:$D, MATCH($A80, 'UA-normalized'!$A:$A, 0))-INDEX('UA-normalized'!$E:$E, MATCH($A80, 'UA-normalized'!$A:$A, 0))), 0), 0))+(IFERROR(IF(1*INDEX('KZ-normalized'!$D:$D, MATCH($A80, 'KZ-normalized'!$A:$A, 0))-INDEX('KZ-normalized'!$E:$E, MATCH($A80, 'KZ-normalized'!$A:$A, 0))&gt;0, -(1*INDEX('KZ-normalized'!$D:$D, MATCH($A80, 'KZ-normalized'!$A:$A, 0))-INDEX('KZ-normalized'!$E:$E, MATCH($A80, 'KZ-normalized'!$A:$A, 0))), 0), 0))+(IFERROR(IF(1*INDEX('UZ-normalized'!$D:$D, MATCH($A80, 'UZ-normalized'!$A:$A, 0))-INDEX('UZ-normalized'!$E:$E, MATCH($A80, 'UZ-normalized'!$A:$A, 0))&gt;0, -(1*INDEX('UZ-normalized'!$D:$D, MATCH($A80, 'UZ-normalized'!$A:$A, 0))-INDEX('UZ-normalized'!$E:$E, MATCH($A80, 'UZ-normalized'!$A:$A, 0))), 0), 0)))</f>
        <v>0</v>
      </c>
      <c r="P80" s="6">
        <f>MIN(0, N80+(IFERROR(IF(2*INDEX('UA-normalized'!$D:$D, MATCH($A80, 'UA-normalized'!$A:$A, 0))-INDEX('UA-normalized'!$E:$E, MATCH($A80, 'UA-normalized'!$A:$A, 0))&gt;0, -(2*INDEX('UA-normalized'!$D:$D, MATCH($A80, 'UA-normalized'!$A:$A, 0))-INDEX('UA-normalized'!$E:$E, MATCH($A80, 'UA-normalized'!$A:$A, 0))), 0), 0))+(IFERROR(IF(2*INDEX('KZ-normalized'!$D:$D, MATCH($A80, 'KZ-normalized'!$A:$A, 0))-INDEX('KZ-normalized'!$E:$E, MATCH($A80, 'KZ-normalized'!$A:$A, 0))&gt;0, -(2*INDEX('KZ-normalized'!$D:$D, MATCH($A80, 'KZ-normalized'!$A:$A, 0))-INDEX('KZ-normalized'!$E:$E, MATCH($A80, 'KZ-normalized'!$A:$A, 0))), 0), 0))+(IFERROR(IF(2*INDEX('UZ-normalized'!$D:$D, MATCH($A80, 'UZ-normalized'!$A:$A, 0))-INDEX('UZ-normalized'!$E:$E, MATCH($A80, 'UZ-normalized'!$A:$A, 0))&gt;0, -(2*INDEX('UZ-normalized'!$D:$D, MATCH($A80, 'UZ-normalized'!$A:$A, 0))-INDEX('UZ-normalized'!$E:$E, MATCH($A80, 'UZ-normalized'!$A:$A, 0))), 0), 0)))</f>
        <v>0</v>
      </c>
      <c r="Q80" s="6">
        <f>MIN(0, N80+(IFERROR(IF(3*INDEX('UA-normalized'!$D:$D, MATCH($A80, 'UA-normalized'!$A:$A, 0))-INDEX('UA-normalized'!$E:$E, MATCH($A80, 'UA-normalized'!$A:$A, 0))&gt;0, -(3*INDEX('UA-normalized'!$D:$D, MATCH($A80, 'UA-normalized'!$A:$A, 0))-INDEX('UA-normalized'!$E:$E, MATCH($A80, 'UA-normalized'!$A:$A, 0))), 0), 0))+(IFERROR(IF(3*INDEX('KZ-normalized'!$D:$D, MATCH($A80, 'KZ-normalized'!$A:$A, 0))-INDEX('KZ-normalized'!$E:$E, MATCH($A80, 'KZ-normalized'!$A:$A, 0))&gt;0, -(3*INDEX('KZ-normalized'!$D:$D, MATCH($A80, 'KZ-normalized'!$A:$A, 0))-INDEX('KZ-normalized'!$E:$E, MATCH($A80, 'KZ-normalized'!$A:$A, 0))), 0), 0))+(IFERROR(IF(3*INDEX('UZ-normalized'!$D:$D, MATCH($A80, 'UZ-normalized'!$A:$A, 0))-INDEX('UZ-normalized'!$E:$E, MATCH($A80, 'UZ-normalized'!$A:$A, 0))&gt;0, -(3*INDEX('UZ-normalized'!$D:$D, MATCH($A80, 'UZ-normalized'!$A:$A, 0))-INDEX('UZ-normalized'!$E:$E, MATCH($A80, 'UZ-normalized'!$A:$A, 0))), 0), 0)))</f>
        <v>0</v>
      </c>
      <c r="R80" s="6">
        <f>MIN(0, N80+(IFERROR(IF(4*INDEX('UA-normalized'!$D:$D, MATCH($A80, 'UA-normalized'!$A:$A, 0))-INDEX('UA-normalized'!$E:$E, MATCH($A80, 'UA-normalized'!$A:$A, 0))&gt;0, -(4*INDEX('UA-normalized'!$D:$D, MATCH($A80, 'UA-normalized'!$A:$A, 0))-INDEX('UA-normalized'!$E:$E, MATCH($A80, 'UA-normalized'!$A:$A, 0))), 0), 0))+(IFERROR(IF(4*INDEX('KZ-normalized'!$D:$D, MATCH($A80, 'KZ-normalized'!$A:$A, 0))-INDEX('KZ-normalized'!$E:$E, MATCH($A80, 'KZ-normalized'!$A:$A, 0))&gt;0, -(4*INDEX('KZ-normalized'!$D:$D, MATCH($A80, 'KZ-normalized'!$A:$A, 0))-INDEX('KZ-normalized'!$E:$E, MATCH($A80, 'KZ-normalized'!$A:$A, 0))), 0), 0))+(IFERROR(IF(4*INDEX('UZ-normalized'!$D:$D, MATCH($A80, 'UZ-normalized'!$A:$A, 0))-INDEX('UZ-normalized'!$E:$E, MATCH($A80, 'UZ-normalized'!$A:$A, 0))&gt;0, -(4*INDEX('UZ-normalized'!$D:$D, MATCH($A80, 'UZ-normalized'!$A:$A, 0))-INDEX('UZ-normalized'!$E:$E, MATCH($A80, 'UZ-normalized'!$A:$A, 0))), 0), 0)))</f>
        <v>0</v>
      </c>
      <c r="S80" s="6">
        <f>MIN(0, N80+(IFERROR(IF(5*INDEX('UA-normalized'!$D:$D, MATCH($A80, 'UA-normalized'!$A:$A, 0))-INDEX('UA-normalized'!$E:$E, MATCH($A80, 'UA-normalized'!$A:$A, 0))&gt;0, -(5*INDEX('UA-normalized'!$D:$D, MATCH($A80, 'UA-normalized'!$A:$A, 0))-INDEX('UA-normalized'!$E:$E, MATCH($A80, 'UA-normalized'!$A:$A, 0))), 0), 0))+(IFERROR(IF(5*INDEX('KZ-normalized'!$D:$D, MATCH($A80, 'KZ-normalized'!$A:$A, 0))-INDEX('KZ-normalized'!$E:$E, MATCH($A80, 'KZ-normalized'!$A:$A, 0))&gt;0, -(5*INDEX('KZ-normalized'!$D:$D, MATCH($A80, 'KZ-normalized'!$A:$A, 0))-INDEX('KZ-normalized'!$E:$E, MATCH($A80, 'KZ-normalized'!$A:$A, 0))), 0), 0))+(IFERROR(IF(5*INDEX('UZ-normalized'!$D:$D, MATCH($A80, 'UZ-normalized'!$A:$A, 0))-INDEX('UZ-normalized'!$E:$E, MATCH($A80, 'UZ-normalized'!$A:$A, 0))&gt;0, -(5*INDEX('UZ-normalized'!$D:$D, MATCH($A80, 'UZ-normalized'!$A:$A, 0))-INDEX('UZ-normalized'!$E:$E, MATCH($A80, 'UZ-normalized'!$A:$A, 0))), 0), 0)))</f>
        <v>0</v>
      </c>
      <c r="T80" s="6">
        <f>MIN(0, N80+(IFERROR(IF(6*INDEX('UA-normalized'!$D:$D, MATCH($A80, 'UA-normalized'!$A:$A, 0))-INDEX('UA-normalized'!$E:$E, MATCH($A80, 'UA-normalized'!$A:$A, 0))&gt;0, -(6*INDEX('UA-normalized'!$D:$D, MATCH($A80, 'UA-normalized'!$A:$A, 0))-INDEX('UA-normalized'!$E:$E, MATCH($A80, 'UA-normalized'!$A:$A, 0))), 0), 0))+(IFERROR(IF(6*INDEX('KZ-normalized'!$D:$D, MATCH($A80, 'KZ-normalized'!$A:$A, 0))-INDEX('KZ-normalized'!$E:$E, MATCH($A80, 'KZ-normalized'!$A:$A, 0))&gt;0, -(6*INDEX('KZ-normalized'!$D:$D, MATCH($A80, 'KZ-normalized'!$A:$A, 0))-INDEX('KZ-normalized'!$E:$E, MATCH($A80, 'KZ-normalized'!$A:$A, 0))), 0), 0))+(IFERROR(IF(6*INDEX('UZ-normalized'!$D:$D, MATCH($A80, 'UZ-normalized'!$A:$A, 0))-INDEX('UZ-normalized'!$E:$E, MATCH($A80, 'UZ-normalized'!$A:$A, 0))&gt;0, -(6*INDEX('UZ-normalized'!$D:$D, MATCH($A80, 'UZ-normalized'!$A:$A, 0))-INDEX('UZ-normalized'!$E:$E, MATCH($A80, 'UZ-normalized'!$A:$A, 0))), 0), 0)))</f>
        <v>0</v>
      </c>
      <c r="U80" s="6">
        <f>MIN(0, N80+(IFERROR(IF(7*INDEX('UA-normalized'!$D:$D, MATCH($A80, 'UA-normalized'!$A:$A, 0))-INDEX('UA-normalized'!$E:$E, MATCH($A80, 'UA-normalized'!$A:$A, 0))&gt;0, -(7*INDEX('UA-normalized'!$D:$D, MATCH($A80, 'UA-normalized'!$A:$A, 0))-INDEX('UA-normalized'!$E:$E, MATCH($A80, 'UA-normalized'!$A:$A, 0))), 0), 0))+(IFERROR(IF(7*INDEX('KZ-normalized'!$D:$D, MATCH($A80, 'KZ-normalized'!$A:$A, 0))-INDEX('KZ-normalized'!$E:$E, MATCH($A80, 'KZ-normalized'!$A:$A, 0))&gt;0, -(7*INDEX('KZ-normalized'!$D:$D, MATCH($A80, 'KZ-normalized'!$A:$A, 0))-INDEX('KZ-normalized'!$E:$E, MATCH($A80, 'KZ-normalized'!$A:$A, 0))), 0), 0))+(IFERROR(IF(7*INDEX('UZ-normalized'!$D:$D, MATCH($A80, 'UZ-normalized'!$A:$A, 0))-INDEX('UZ-normalized'!$E:$E, MATCH($A80, 'UZ-normalized'!$A:$A, 0))&gt;0, -(7*INDEX('UZ-normalized'!$D:$D, MATCH($A80, 'UZ-normalized'!$A:$A, 0))-INDEX('UZ-normalized'!$E:$E, MATCH($A80, 'UZ-normalized'!$A:$A, 0))), 0), 0)))</f>
        <v>0</v>
      </c>
      <c r="V80" s="6">
        <f>MIN(0, N80+(IFERROR(IF(8*INDEX('UA-normalized'!$D:$D, MATCH($A80, 'UA-normalized'!$A:$A, 0))-INDEX('UA-normalized'!$E:$E, MATCH($A80, 'UA-normalized'!$A:$A, 0))&gt;0, -(8*INDEX('UA-normalized'!$D:$D, MATCH($A80, 'UA-normalized'!$A:$A, 0))-INDEX('UA-normalized'!$E:$E, MATCH($A80, 'UA-normalized'!$A:$A, 0))), 0), 0))+(IFERROR(IF(8*INDEX('KZ-normalized'!$D:$D, MATCH($A80, 'KZ-normalized'!$A:$A, 0))-INDEX('KZ-normalized'!$E:$E, MATCH($A80, 'KZ-normalized'!$A:$A, 0))&gt;0, -(8*INDEX('KZ-normalized'!$D:$D, MATCH($A80, 'KZ-normalized'!$A:$A, 0))-INDEX('KZ-normalized'!$E:$E, MATCH($A80, 'KZ-normalized'!$A:$A, 0))), 0), 0))+(IFERROR(IF(8*INDEX('UZ-normalized'!$D:$D, MATCH($A80, 'UZ-normalized'!$A:$A, 0))-INDEX('UZ-normalized'!$E:$E, MATCH($A80, 'UZ-normalized'!$A:$A, 0))&gt;0, -(8*INDEX('UZ-normalized'!$D:$D, MATCH($A80, 'UZ-normalized'!$A:$A, 0))-INDEX('UZ-normalized'!$E:$E, MATCH($A80, 'UZ-normalized'!$A:$A, 0))), 0), 0)))</f>
        <v>0</v>
      </c>
      <c r="W80" s="6">
        <f>MIN(0, N80+(IFERROR(IF(9*INDEX('UA-normalized'!$D:$D, MATCH($A80, 'UA-normalized'!$A:$A, 0))-INDEX('UA-normalized'!$E:$E, MATCH($A80, 'UA-normalized'!$A:$A, 0))&gt;0, -(9*INDEX('UA-normalized'!$D:$D, MATCH($A80, 'UA-normalized'!$A:$A, 0))-INDEX('UA-normalized'!$E:$E, MATCH($A80, 'UA-normalized'!$A:$A, 0))), 0), 0))+(IFERROR(IF(9*INDEX('KZ-normalized'!$D:$D, MATCH($A80, 'KZ-normalized'!$A:$A, 0))-INDEX('KZ-normalized'!$E:$E, MATCH($A80, 'KZ-normalized'!$A:$A, 0))&gt;0, -(9*INDEX('KZ-normalized'!$D:$D, MATCH($A80, 'KZ-normalized'!$A:$A, 0))-INDEX('KZ-normalized'!$E:$E, MATCH($A80, 'KZ-normalized'!$A:$A, 0))), 0), 0))+(IFERROR(IF(9*INDEX('UZ-normalized'!$D:$D, MATCH($A80, 'UZ-normalized'!$A:$A, 0))-INDEX('UZ-normalized'!$E:$E, MATCH($A80, 'UZ-normalized'!$A:$A, 0))&gt;0, -(9*INDEX('UZ-normalized'!$D:$D, MATCH($A80, 'UZ-normalized'!$A:$A, 0))-INDEX('UZ-normalized'!$E:$E, MATCH($A80, 'UZ-normalized'!$A:$A, 0))), 0), 0)))</f>
        <v>0</v>
      </c>
      <c r="X80" s="6">
        <f>MIN(0, N80+(IFERROR(IF(10*INDEX('UA-normalized'!$D:$D, MATCH($A80, 'UA-normalized'!$A:$A, 0))-INDEX('UA-normalized'!$E:$E, MATCH($A80, 'UA-normalized'!$A:$A, 0))&gt;0, -(10*INDEX('UA-normalized'!$D:$D, MATCH($A80, 'UA-normalized'!$A:$A, 0))-INDEX('UA-normalized'!$E:$E, MATCH($A80, 'UA-normalized'!$A:$A, 0))), 0), 0))+(IFERROR(IF(10*INDEX('KZ-normalized'!$D:$D, MATCH($A80, 'KZ-normalized'!$A:$A, 0))-INDEX('KZ-normalized'!$E:$E, MATCH($A80, 'KZ-normalized'!$A:$A, 0))&gt;0, -(10*INDEX('KZ-normalized'!$D:$D, MATCH($A80, 'KZ-normalized'!$A:$A, 0))-INDEX('KZ-normalized'!$E:$E, MATCH($A80, 'KZ-normalized'!$A:$A, 0))), 0), 0))+(IFERROR(IF(10*INDEX('UZ-normalized'!$D:$D, MATCH($A80, 'UZ-normalized'!$A:$A, 0))-INDEX('UZ-normalized'!$E:$E, MATCH($A80, 'UZ-normalized'!$A:$A, 0))&gt;0, -(10*INDEX('UZ-normalized'!$D:$D, MATCH($A80, 'UZ-normalized'!$A:$A, 0))-INDEX('UZ-normalized'!$E:$E, MATCH($A80, 'UZ-normalized'!$A:$A, 0))), 0), 0)))</f>
        <v>0</v>
      </c>
      <c r="Y80" s="6">
        <f>MIN(0, N80+(IFERROR(IF(11*INDEX('UA-normalized'!$D:$D, MATCH($A80, 'UA-normalized'!$A:$A, 0))-INDEX('UA-normalized'!$E:$E, MATCH($A80, 'UA-normalized'!$A:$A, 0))&gt;0, -(11*INDEX('UA-normalized'!$D:$D, MATCH($A80, 'UA-normalized'!$A:$A, 0))-INDEX('UA-normalized'!$E:$E, MATCH($A80, 'UA-normalized'!$A:$A, 0))), 0), 0))+(IFERROR(IF(11*INDEX('KZ-normalized'!$D:$D, MATCH($A80, 'KZ-normalized'!$A:$A, 0))-INDEX('KZ-normalized'!$E:$E, MATCH($A80, 'KZ-normalized'!$A:$A, 0))&gt;0, -(11*INDEX('KZ-normalized'!$D:$D, MATCH($A80, 'KZ-normalized'!$A:$A, 0))-INDEX('KZ-normalized'!$E:$E, MATCH($A80, 'KZ-normalized'!$A:$A, 0))), 0), 0))+(IFERROR(IF(11*INDEX('UZ-normalized'!$D:$D, MATCH($A80, 'UZ-normalized'!$A:$A, 0))-INDEX('UZ-normalized'!$E:$E, MATCH($A80, 'UZ-normalized'!$A:$A, 0))&gt;0, -(11*INDEX('UZ-normalized'!$D:$D, MATCH($A80, 'UZ-normalized'!$A:$A, 0))-INDEX('UZ-normalized'!$E:$E, MATCH($A80, 'UZ-normalized'!$A:$A, 0))), 0), 0)))</f>
        <v>0</v>
      </c>
      <c r="Z80" s="6">
        <f>MIN(0, N80+(IFERROR(IF(12*INDEX('UA-normalized'!$D:$D, MATCH($A80, 'UA-normalized'!$A:$A, 0))-INDEX('UA-normalized'!$E:$E, MATCH($A80, 'UA-normalized'!$A:$A, 0))&gt;0, -(12*INDEX('UA-normalized'!$D:$D, MATCH($A80, 'UA-normalized'!$A:$A, 0))-INDEX('UA-normalized'!$E:$E, MATCH($A80, 'UA-normalized'!$A:$A, 0))), 0), 0))+(IFERROR(IF(12*INDEX('KZ-normalized'!$D:$D, MATCH($A80, 'KZ-normalized'!$A:$A, 0))-INDEX('KZ-normalized'!$E:$E, MATCH($A80, 'KZ-normalized'!$A:$A, 0))&gt;0, -(12*INDEX('KZ-normalized'!$D:$D, MATCH($A80, 'KZ-normalized'!$A:$A, 0))-INDEX('KZ-normalized'!$E:$E, MATCH($A80, 'KZ-normalized'!$A:$A, 0))), 0), 0))+(IFERROR(IF(12*INDEX('UZ-normalized'!$D:$D, MATCH($A80, 'UZ-normalized'!$A:$A, 0))-INDEX('UZ-normalized'!$E:$E, MATCH($A80, 'UZ-normalized'!$A:$A, 0))&gt;0, -(12*INDEX('UZ-normalized'!$D:$D, MATCH($A80, 'UZ-normalized'!$A:$A, 0))-INDEX('UZ-normalized'!$E:$E, MATCH($A80, 'UZ-normalized'!$A:$A, 0))), 0), 0)))</f>
        <v>0</v>
      </c>
      <c r="AA80" s="6">
        <f>MIN(0, N80+(IFERROR(IF(13*INDEX('UA-normalized'!$D:$D, MATCH($A80, 'UA-normalized'!$A:$A, 0))-INDEX('UA-normalized'!$E:$E, MATCH($A80, 'UA-normalized'!$A:$A, 0))&gt;0, -(13*INDEX('UA-normalized'!$D:$D, MATCH($A80, 'UA-normalized'!$A:$A, 0))-INDEX('UA-normalized'!$E:$E, MATCH($A80, 'UA-normalized'!$A:$A, 0))), 0), 0))+(IFERROR(IF(13*INDEX('KZ-normalized'!$D:$D, MATCH($A80, 'KZ-normalized'!$A:$A, 0))-INDEX('KZ-normalized'!$E:$E, MATCH($A80, 'KZ-normalized'!$A:$A, 0))&gt;0, -(13*INDEX('KZ-normalized'!$D:$D, MATCH($A80, 'KZ-normalized'!$A:$A, 0))-INDEX('KZ-normalized'!$E:$E, MATCH($A80, 'KZ-normalized'!$A:$A, 0))), 0), 0))+(IFERROR(IF(13*INDEX('UZ-normalized'!$D:$D, MATCH($A80, 'UZ-normalized'!$A:$A, 0))-INDEX('UZ-normalized'!$E:$E, MATCH($A80, 'UZ-normalized'!$A:$A, 0))&gt;0, -(13*INDEX('UZ-normalized'!$D:$D, MATCH($A80, 'UZ-normalized'!$A:$A, 0))-INDEX('UZ-normalized'!$E:$E, MATCH($A80, 'UZ-normalized'!$A:$A, 0))), 0), 0)))</f>
        <v>0</v>
      </c>
      <c r="AB80" s="6">
        <f>MIN(0, N80+(IFERROR(IF(14*INDEX('UA-normalized'!$D:$D, MATCH($A80, 'UA-normalized'!$A:$A, 0))-INDEX('UA-normalized'!$E:$E, MATCH($A80, 'UA-normalized'!$A:$A, 0))&gt;0, -(14*INDEX('UA-normalized'!$D:$D, MATCH($A80, 'UA-normalized'!$A:$A, 0))-INDEX('UA-normalized'!$E:$E, MATCH($A80, 'UA-normalized'!$A:$A, 0))), 0), 0))+(IFERROR(IF(14*INDEX('KZ-normalized'!$D:$D, MATCH($A80, 'KZ-normalized'!$A:$A, 0))-INDEX('KZ-normalized'!$E:$E, MATCH($A80, 'KZ-normalized'!$A:$A, 0))&gt;0, -(14*INDEX('KZ-normalized'!$D:$D, MATCH($A80, 'KZ-normalized'!$A:$A, 0))-INDEX('KZ-normalized'!$E:$E, MATCH($A80, 'KZ-normalized'!$A:$A, 0))), 0), 0))+(IFERROR(IF(14*INDEX('UZ-normalized'!$D:$D, MATCH($A80, 'UZ-normalized'!$A:$A, 0))-INDEX('UZ-normalized'!$E:$E, MATCH($A80, 'UZ-normalized'!$A:$A, 0))&gt;0, -(14*INDEX('UZ-normalized'!$D:$D, MATCH($A80, 'UZ-normalized'!$A:$A, 0))-INDEX('UZ-normalized'!$E:$E, MATCH($A80, 'UZ-normalized'!$A:$A, 0))), 0), 0)))</f>
        <v>0</v>
      </c>
      <c r="AC80" s="6">
        <f>MIN(0, N80+(IFERROR(IF(15*INDEX('UA-normalized'!$D:$D, MATCH($A80, 'UA-normalized'!$A:$A, 0))-INDEX('UA-normalized'!$E:$E, MATCH($A80, 'UA-normalized'!$A:$A, 0))&gt;0, -(15*INDEX('UA-normalized'!$D:$D, MATCH($A80, 'UA-normalized'!$A:$A, 0))-INDEX('UA-normalized'!$E:$E, MATCH($A80, 'UA-normalized'!$A:$A, 0))), 0), 0))+(IFERROR(IF(15*INDEX('KZ-normalized'!$D:$D, MATCH($A80, 'KZ-normalized'!$A:$A, 0))-INDEX('KZ-normalized'!$E:$E, MATCH($A80, 'KZ-normalized'!$A:$A, 0))&gt;0, -(15*INDEX('KZ-normalized'!$D:$D, MATCH($A80, 'KZ-normalized'!$A:$A, 0))-INDEX('KZ-normalized'!$E:$E, MATCH($A80, 'KZ-normalized'!$A:$A, 0))), 0), 0))+(IFERROR(IF(15*INDEX('UZ-normalized'!$D:$D, MATCH($A80, 'UZ-normalized'!$A:$A, 0))-INDEX('UZ-normalized'!$E:$E, MATCH($A80, 'UZ-normalized'!$A:$A, 0))&gt;0, -(15*INDEX('UZ-normalized'!$D:$D, MATCH($A80, 'UZ-normalized'!$A:$A, 0))-INDEX('UZ-normalized'!$E:$E, MATCH($A80, 'UZ-normalized'!$A:$A, 0))), 0), 0)))</f>
        <v>0</v>
      </c>
      <c r="AD80" s="6">
        <f>MIN(0, N80+(IFERROR(IF(16*INDEX('UA-normalized'!$D:$D, MATCH($A80, 'UA-normalized'!$A:$A, 0))-INDEX('UA-normalized'!$E:$E, MATCH($A80, 'UA-normalized'!$A:$A, 0))&gt;0, -(16*INDEX('UA-normalized'!$D:$D, MATCH($A80, 'UA-normalized'!$A:$A, 0))-INDEX('UA-normalized'!$E:$E, MATCH($A80, 'UA-normalized'!$A:$A, 0))), 0), 0))+(IFERROR(IF(16*INDEX('KZ-normalized'!$D:$D, MATCH($A80, 'KZ-normalized'!$A:$A, 0))-INDEX('KZ-normalized'!$E:$E, MATCH($A80, 'KZ-normalized'!$A:$A, 0))&gt;0, -(16*INDEX('KZ-normalized'!$D:$D, MATCH($A80, 'KZ-normalized'!$A:$A, 0))-INDEX('KZ-normalized'!$E:$E, MATCH($A80, 'KZ-normalized'!$A:$A, 0))), 0), 0))+(IFERROR(IF(16*INDEX('UZ-normalized'!$D:$D, MATCH($A80, 'UZ-normalized'!$A:$A, 0))-INDEX('UZ-normalized'!$E:$E, MATCH($A80, 'UZ-normalized'!$A:$A, 0))&gt;0, -(16*INDEX('UZ-normalized'!$D:$D, MATCH($A80, 'UZ-normalized'!$A:$A, 0))-INDEX('UZ-normalized'!$E:$E, MATCH($A80, 'UZ-normalized'!$A:$A, 0))), 0), 0)))</f>
        <v>0</v>
      </c>
      <c r="AE80" s="6">
        <f>MIN(0, N80+(IFERROR(IF(17*INDEX('UA-normalized'!$D:$D, MATCH($A80, 'UA-normalized'!$A:$A, 0))-INDEX('UA-normalized'!$E:$E, MATCH($A80, 'UA-normalized'!$A:$A, 0))&gt;0, -(17*INDEX('UA-normalized'!$D:$D, MATCH($A80, 'UA-normalized'!$A:$A, 0))-INDEX('UA-normalized'!$E:$E, MATCH($A80, 'UA-normalized'!$A:$A, 0))), 0), 0))+(IFERROR(IF(17*INDEX('KZ-normalized'!$D:$D, MATCH($A80, 'KZ-normalized'!$A:$A, 0))-INDEX('KZ-normalized'!$E:$E, MATCH($A80, 'KZ-normalized'!$A:$A, 0))&gt;0, -(17*INDEX('KZ-normalized'!$D:$D, MATCH($A80, 'KZ-normalized'!$A:$A, 0))-INDEX('KZ-normalized'!$E:$E, MATCH($A80, 'KZ-normalized'!$A:$A, 0))), 0), 0))+(IFERROR(IF(17*INDEX('UZ-normalized'!$D:$D, MATCH($A80, 'UZ-normalized'!$A:$A, 0))-INDEX('UZ-normalized'!$E:$E, MATCH($A80, 'UZ-normalized'!$A:$A, 0))&gt;0, -(17*INDEX('UZ-normalized'!$D:$D, MATCH($A80, 'UZ-normalized'!$A:$A, 0))-INDEX('UZ-normalized'!$E:$E, MATCH($A80, 'UZ-normalized'!$A:$A, 0))), 0), 0)))</f>
        <v>0</v>
      </c>
      <c r="AF80" s="6">
        <f>MIN(0, N80+(IFERROR(IF(18*INDEX('UA-normalized'!$D:$D, MATCH($A80, 'UA-normalized'!$A:$A, 0))-INDEX('UA-normalized'!$E:$E, MATCH($A80, 'UA-normalized'!$A:$A, 0))&gt;0, -(18*INDEX('UA-normalized'!$D:$D, MATCH($A80, 'UA-normalized'!$A:$A, 0))-INDEX('UA-normalized'!$E:$E, MATCH($A80, 'UA-normalized'!$A:$A, 0))), 0), 0))+(IFERROR(IF(18*INDEX('KZ-normalized'!$D:$D, MATCH($A80, 'KZ-normalized'!$A:$A, 0))-INDEX('KZ-normalized'!$E:$E, MATCH($A80, 'KZ-normalized'!$A:$A, 0))&gt;0, -(18*INDEX('KZ-normalized'!$D:$D, MATCH($A80, 'KZ-normalized'!$A:$A, 0))-INDEX('KZ-normalized'!$E:$E, MATCH($A80, 'KZ-normalized'!$A:$A, 0))), 0), 0))+(IFERROR(IF(18*INDEX('UZ-normalized'!$D:$D, MATCH($A80, 'UZ-normalized'!$A:$A, 0))-INDEX('UZ-normalized'!$E:$E, MATCH($A80, 'UZ-normalized'!$A:$A, 0))&gt;0, -(18*INDEX('UZ-normalized'!$D:$D, MATCH($A80, 'UZ-normalized'!$A:$A, 0))-INDEX('UZ-normalized'!$E:$E, MATCH($A80, 'UZ-normalized'!$A:$A, 0))), 0), 0)))</f>
        <v>0</v>
      </c>
      <c r="AG80" s="6">
        <f>MIN(0, N80+(IFERROR(IF(19*INDEX('UA-normalized'!$D:$D, MATCH($A80, 'UA-normalized'!$A:$A, 0))-INDEX('UA-normalized'!$E:$E, MATCH($A80, 'UA-normalized'!$A:$A, 0))&gt;0, -(19*INDEX('UA-normalized'!$D:$D, MATCH($A80, 'UA-normalized'!$A:$A, 0))-INDEX('UA-normalized'!$E:$E, MATCH($A80, 'UA-normalized'!$A:$A, 0))), 0), 0))+(IFERROR(IF(19*INDEX('KZ-normalized'!$D:$D, MATCH($A80, 'KZ-normalized'!$A:$A, 0))-INDEX('KZ-normalized'!$E:$E, MATCH($A80, 'KZ-normalized'!$A:$A, 0))&gt;0, -(19*INDEX('KZ-normalized'!$D:$D, MATCH($A80, 'KZ-normalized'!$A:$A, 0))-INDEX('KZ-normalized'!$E:$E, MATCH($A80, 'KZ-normalized'!$A:$A, 0))), 0), 0))+(IFERROR(IF(19*INDEX('UZ-normalized'!$D:$D, MATCH($A80, 'UZ-normalized'!$A:$A, 0))-INDEX('UZ-normalized'!$E:$E, MATCH($A80, 'UZ-normalized'!$A:$A, 0))&gt;0, -(19*INDEX('UZ-normalized'!$D:$D, MATCH($A80, 'UZ-normalized'!$A:$A, 0))-INDEX('UZ-normalized'!$E:$E, MATCH($A80, 'UZ-normalized'!$A:$A, 0))), 0), 0)))</f>
        <v>0</v>
      </c>
      <c r="AH80" s="6">
        <f>MIN(0, N80+(IFERROR(IF(20*INDEX('UA-normalized'!$D:$D, MATCH($A80, 'UA-normalized'!$A:$A, 0))-INDEX('UA-normalized'!$E:$E, MATCH($A80, 'UA-normalized'!$A:$A, 0))&gt;0, -(20*INDEX('UA-normalized'!$D:$D, MATCH($A80, 'UA-normalized'!$A:$A, 0))-INDEX('UA-normalized'!$E:$E, MATCH($A80, 'UA-normalized'!$A:$A, 0))), 0), 0))+(IFERROR(IF(20*INDEX('KZ-normalized'!$D:$D, MATCH($A80, 'KZ-normalized'!$A:$A, 0))-INDEX('KZ-normalized'!$E:$E, MATCH($A80, 'KZ-normalized'!$A:$A, 0))&gt;0, -(20*INDEX('KZ-normalized'!$D:$D, MATCH($A80, 'KZ-normalized'!$A:$A, 0))-INDEX('KZ-normalized'!$E:$E, MATCH($A80, 'KZ-normalized'!$A:$A, 0))), 0), 0))+(IFERROR(IF(20*INDEX('UZ-normalized'!$D:$D, MATCH($A80, 'UZ-normalized'!$A:$A, 0))-INDEX('UZ-normalized'!$E:$E, MATCH($A80, 'UZ-normalized'!$A:$A, 0))&gt;0, -(20*INDEX('UZ-normalized'!$D:$D, MATCH($A80, 'UZ-normalized'!$A:$A, 0))-INDEX('UZ-normalized'!$E:$E, MATCH($A80, 'UZ-normalized'!$A:$A, 0))), 0), 0)))</f>
        <v>0</v>
      </c>
      <c r="AI80" s="6">
        <f>MIN(0, N80+(IFERROR(IF(21*INDEX('UA-normalized'!$D:$D, MATCH($A80, 'UA-normalized'!$A:$A, 0))-INDEX('UA-normalized'!$E:$E, MATCH($A80, 'UA-normalized'!$A:$A, 0))&gt;0, -(21*INDEX('UA-normalized'!$D:$D, MATCH($A80, 'UA-normalized'!$A:$A, 0))-INDEX('UA-normalized'!$E:$E, MATCH($A80, 'UA-normalized'!$A:$A, 0))), 0), 0))+(IFERROR(IF(21*INDEX('KZ-normalized'!$D:$D, MATCH($A80, 'KZ-normalized'!$A:$A, 0))-INDEX('KZ-normalized'!$E:$E, MATCH($A80, 'KZ-normalized'!$A:$A, 0))&gt;0, -(21*INDEX('KZ-normalized'!$D:$D, MATCH($A80, 'KZ-normalized'!$A:$A, 0))-INDEX('KZ-normalized'!$E:$E, MATCH($A80, 'KZ-normalized'!$A:$A, 0))), 0), 0))+(IFERROR(IF(21*INDEX('UZ-normalized'!$D:$D, MATCH($A80, 'UZ-normalized'!$A:$A, 0))-INDEX('UZ-normalized'!$E:$E, MATCH($A80, 'UZ-normalized'!$A:$A, 0))&gt;0, -(21*INDEX('UZ-normalized'!$D:$D, MATCH($A80, 'UZ-normalized'!$A:$A, 0))-INDEX('UZ-normalized'!$E:$E, MATCH($A80, 'UZ-normalized'!$A:$A, 0))), 0), 0)))</f>
        <v>0</v>
      </c>
      <c r="AJ80" s="6">
        <f>MIN(0, N80+(IFERROR(IF(22*INDEX('UA-normalized'!$D:$D, MATCH($A80, 'UA-normalized'!$A:$A, 0))-INDEX('UA-normalized'!$E:$E, MATCH($A80, 'UA-normalized'!$A:$A, 0))&gt;0, -(22*INDEX('UA-normalized'!$D:$D, MATCH($A80, 'UA-normalized'!$A:$A, 0))-INDEX('UA-normalized'!$E:$E, MATCH($A80, 'UA-normalized'!$A:$A, 0))), 0), 0))+(IFERROR(IF(22*INDEX('KZ-normalized'!$D:$D, MATCH($A80, 'KZ-normalized'!$A:$A, 0))-INDEX('KZ-normalized'!$E:$E, MATCH($A80, 'KZ-normalized'!$A:$A, 0))&gt;0, -(22*INDEX('KZ-normalized'!$D:$D, MATCH($A80, 'KZ-normalized'!$A:$A, 0))-INDEX('KZ-normalized'!$E:$E, MATCH($A80, 'KZ-normalized'!$A:$A, 0))), 0), 0))+(IFERROR(IF(22*INDEX('UZ-normalized'!$D:$D, MATCH($A80, 'UZ-normalized'!$A:$A, 0))-INDEX('UZ-normalized'!$E:$E, MATCH($A80, 'UZ-normalized'!$A:$A, 0))&gt;0, -(22*INDEX('UZ-normalized'!$D:$D, MATCH($A80, 'UZ-normalized'!$A:$A, 0))-INDEX('UZ-normalized'!$E:$E, MATCH($A80, 'UZ-normalized'!$A:$A, 0))), 0), 0)))</f>
        <v>0</v>
      </c>
      <c r="AK80" s="6">
        <f>MIN(0, N80+(IFERROR(IF(23*INDEX('UA-normalized'!$D:$D, MATCH($A80, 'UA-normalized'!$A:$A, 0))-INDEX('UA-normalized'!$E:$E, MATCH($A80, 'UA-normalized'!$A:$A, 0))&gt;0, -(23*INDEX('UA-normalized'!$D:$D, MATCH($A80, 'UA-normalized'!$A:$A, 0))-INDEX('UA-normalized'!$E:$E, MATCH($A80, 'UA-normalized'!$A:$A, 0))), 0), 0))+(IFERROR(IF(23*INDEX('KZ-normalized'!$D:$D, MATCH($A80, 'KZ-normalized'!$A:$A, 0))-INDEX('KZ-normalized'!$E:$E, MATCH($A80, 'KZ-normalized'!$A:$A, 0))&gt;0, -(23*INDEX('KZ-normalized'!$D:$D, MATCH($A80, 'KZ-normalized'!$A:$A, 0))-INDEX('KZ-normalized'!$E:$E, MATCH($A80, 'KZ-normalized'!$A:$A, 0))), 0), 0))+(IFERROR(IF(23*INDEX('UZ-normalized'!$D:$D, MATCH($A80, 'UZ-normalized'!$A:$A, 0))-INDEX('UZ-normalized'!$E:$E, MATCH($A80, 'UZ-normalized'!$A:$A, 0))&gt;0, -(23*INDEX('UZ-normalized'!$D:$D, MATCH($A80, 'UZ-normalized'!$A:$A, 0))-INDEX('UZ-normalized'!$E:$E, MATCH($A80, 'UZ-normalized'!$A:$A, 0))), 0), 0)))</f>
        <v>0</v>
      </c>
      <c r="AL80" s="6">
        <f>MIN(0, N80+(IFERROR(IF(24*INDEX('UA-normalized'!$D:$D, MATCH($A80, 'UA-normalized'!$A:$A, 0))-INDEX('UA-normalized'!$E:$E, MATCH($A80, 'UA-normalized'!$A:$A, 0))&gt;0, -(24*INDEX('UA-normalized'!$D:$D, MATCH($A80, 'UA-normalized'!$A:$A, 0))-INDEX('UA-normalized'!$E:$E, MATCH($A80, 'UA-normalized'!$A:$A, 0))), 0), 0))+(IFERROR(IF(24*INDEX('KZ-normalized'!$D:$D, MATCH($A80, 'KZ-normalized'!$A:$A, 0))-INDEX('KZ-normalized'!$E:$E, MATCH($A80, 'KZ-normalized'!$A:$A, 0))&gt;0, -(24*INDEX('KZ-normalized'!$D:$D, MATCH($A80, 'KZ-normalized'!$A:$A, 0))-INDEX('KZ-normalized'!$E:$E, MATCH($A80, 'KZ-normalized'!$A:$A, 0))), 0), 0))+(IFERROR(IF(24*INDEX('UZ-normalized'!$D:$D, MATCH($A80, 'UZ-normalized'!$A:$A, 0))-INDEX('UZ-normalized'!$E:$E, MATCH($A80, 'UZ-normalized'!$A:$A, 0))&gt;0, -(24*INDEX('UZ-normalized'!$D:$D, MATCH($A80, 'UZ-normalized'!$A:$A, 0))-INDEX('UZ-normalized'!$E:$E, MATCH($A80, 'UZ-normalized'!$A:$A, 0))), 0), 0)))</f>
        <v>0</v>
      </c>
      <c r="AM80" s="6">
        <f>MIN(0, N80+(IFERROR(IF(25*INDEX('UA-normalized'!$D:$D, MATCH($A80, 'UA-normalized'!$A:$A, 0))-INDEX('UA-normalized'!$E:$E, MATCH($A80, 'UA-normalized'!$A:$A, 0))&gt;0, -(25*INDEX('UA-normalized'!$D:$D, MATCH($A80, 'UA-normalized'!$A:$A, 0))-INDEX('UA-normalized'!$E:$E, MATCH($A80, 'UA-normalized'!$A:$A, 0))), 0), 0))+(IFERROR(IF(25*INDEX('KZ-normalized'!$D:$D, MATCH($A80, 'KZ-normalized'!$A:$A, 0))-INDEX('KZ-normalized'!$E:$E, MATCH($A80, 'KZ-normalized'!$A:$A, 0))&gt;0, -(25*INDEX('KZ-normalized'!$D:$D, MATCH($A80, 'KZ-normalized'!$A:$A, 0))-INDEX('KZ-normalized'!$E:$E, MATCH($A80, 'KZ-normalized'!$A:$A, 0))), 0), 0))+(IFERROR(IF(25*INDEX('UZ-normalized'!$D:$D, MATCH($A80, 'UZ-normalized'!$A:$A, 0))-INDEX('UZ-normalized'!$E:$E, MATCH($A80, 'UZ-normalized'!$A:$A, 0))&gt;0, -(25*INDEX('UZ-normalized'!$D:$D, MATCH($A80, 'UZ-normalized'!$A:$A, 0))-INDEX('UZ-normalized'!$E:$E, MATCH($A80, 'UZ-normalized'!$A:$A, 0))), 0), 0)))</f>
        <v>0</v>
      </c>
      <c r="AN80" s="6">
        <f>MIN(0, N80+(IFERROR(IF(26*INDEX('UA-normalized'!$D:$D, MATCH($A80, 'UA-normalized'!$A:$A, 0))-INDEX('UA-normalized'!$E:$E, MATCH($A80, 'UA-normalized'!$A:$A, 0))&gt;0, -(26*INDEX('UA-normalized'!$D:$D, MATCH($A80, 'UA-normalized'!$A:$A, 0))-INDEX('UA-normalized'!$E:$E, MATCH($A80, 'UA-normalized'!$A:$A, 0))), 0), 0))+(IFERROR(IF(26*INDEX('KZ-normalized'!$D:$D, MATCH($A80, 'KZ-normalized'!$A:$A, 0))-INDEX('KZ-normalized'!$E:$E, MATCH($A80, 'KZ-normalized'!$A:$A, 0))&gt;0, -(26*INDEX('KZ-normalized'!$D:$D, MATCH($A80, 'KZ-normalized'!$A:$A, 0))-INDEX('KZ-normalized'!$E:$E, MATCH($A80, 'KZ-normalized'!$A:$A, 0))), 0), 0))+(IFERROR(IF(26*INDEX('UZ-normalized'!$D:$D, MATCH($A80, 'UZ-normalized'!$A:$A, 0))-INDEX('UZ-normalized'!$E:$E, MATCH($A80, 'UZ-normalized'!$A:$A, 0))&gt;0, -(26*INDEX('UZ-normalized'!$D:$D, MATCH($A80, 'UZ-normalized'!$A:$A, 0))-INDEX('UZ-normalized'!$E:$E, MATCH($A80, 'UZ-normalized'!$A:$A, 0))), 0), 0)))</f>
        <v>0</v>
      </c>
      <c r="AO80" s="6">
        <f>MIN(0, N80+(IFERROR(IF(27*INDEX('UA-normalized'!$D:$D, MATCH($A80, 'UA-normalized'!$A:$A, 0))-INDEX('UA-normalized'!$E:$E, MATCH($A80, 'UA-normalized'!$A:$A, 0))&gt;0, -(27*INDEX('UA-normalized'!$D:$D, MATCH($A80, 'UA-normalized'!$A:$A, 0))-INDEX('UA-normalized'!$E:$E, MATCH($A80, 'UA-normalized'!$A:$A, 0))), 0), 0))+(IFERROR(IF(27*INDEX('KZ-normalized'!$D:$D, MATCH($A80, 'KZ-normalized'!$A:$A, 0))-INDEX('KZ-normalized'!$E:$E, MATCH($A80, 'KZ-normalized'!$A:$A, 0))&gt;0, -(27*INDEX('KZ-normalized'!$D:$D, MATCH($A80, 'KZ-normalized'!$A:$A, 0))-INDEX('KZ-normalized'!$E:$E, MATCH($A80, 'KZ-normalized'!$A:$A, 0))), 0), 0))+(IFERROR(IF(27*INDEX('UZ-normalized'!$D:$D, MATCH($A80, 'UZ-normalized'!$A:$A, 0))-INDEX('UZ-normalized'!$E:$E, MATCH($A80, 'UZ-normalized'!$A:$A, 0))&gt;0, -(27*INDEX('UZ-normalized'!$D:$D, MATCH($A80, 'UZ-normalized'!$A:$A, 0))-INDEX('UZ-normalized'!$E:$E, MATCH($A80, 'UZ-normalized'!$A:$A, 0))), 0), 0)))</f>
        <v>0</v>
      </c>
      <c r="AP80" s="6">
        <f>MIN(0, N80+(IFERROR(IF(28*INDEX('UA-normalized'!$D:$D, MATCH($A80, 'UA-normalized'!$A:$A, 0))-INDEX('UA-normalized'!$E:$E, MATCH($A80, 'UA-normalized'!$A:$A, 0))&gt;0, -(28*INDEX('UA-normalized'!$D:$D, MATCH($A80, 'UA-normalized'!$A:$A, 0))-INDEX('UA-normalized'!$E:$E, MATCH($A80, 'UA-normalized'!$A:$A, 0))), 0), 0))+(IFERROR(IF(28*INDEX('KZ-normalized'!$D:$D, MATCH($A80, 'KZ-normalized'!$A:$A, 0))-INDEX('KZ-normalized'!$E:$E, MATCH($A80, 'KZ-normalized'!$A:$A, 0))&gt;0, -(28*INDEX('KZ-normalized'!$D:$D, MATCH($A80, 'KZ-normalized'!$A:$A, 0))-INDEX('KZ-normalized'!$E:$E, MATCH($A80, 'KZ-normalized'!$A:$A, 0))), 0), 0))+(IFERROR(IF(28*INDEX('UZ-normalized'!$D:$D, MATCH($A80, 'UZ-normalized'!$A:$A, 0))-INDEX('UZ-normalized'!$E:$E, MATCH($A80, 'UZ-normalized'!$A:$A, 0))&gt;0, -(28*INDEX('UZ-normalized'!$D:$D, MATCH($A80, 'UZ-normalized'!$A:$A, 0))-INDEX('UZ-normalized'!$E:$E, MATCH($A80, 'UZ-normalized'!$A:$A, 0))), 0), 0)))</f>
        <v>0</v>
      </c>
      <c r="AQ80" s="6">
        <f>MIN(0, N80+(IFERROR(IF(29*INDEX('UA-normalized'!$D:$D, MATCH($A80, 'UA-normalized'!$A:$A, 0))-INDEX('UA-normalized'!$E:$E, MATCH($A80, 'UA-normalized'!$A:$A, 0))&gt;0, -(29*INDEX('UA-normalized'!$D:$D, MATCH($A80, 'UA-normalized'!$A:$A, 0))-INDEX('UA-normalized'!$E:$E, MATCH($A80, 'UA-normalized'!$A:$A, 0))), 0), 0))+(IFERROR(IF(29*INDEX('KZ-normalized'!$D:$D, MATCH($A80, 'KZ-normalized'!$A:$A, 0))-INDEX('KZ-normalized'!$E:$E, MATCH($A80, 'KZ-normalized'!$A:$A, 0))&gt;0, -(29*INDEX('KZ-normalized'!$D:$D, MATCH($A80, 'KZ-normalized'!$A:$A, 0))-INDEX('KZ-normalized'!$E:$E, MATCH($A80, 'KZ-normalized'!$A:$A, 0))), 0), 0))+(IFERROR(IF(29*INDEX('UZ-normalized'!$D:$D, MATCH($A80, 'UZ-normalized'!$A:$A, 0))-INDEX('UZ-normalized'!$E:$E, MATCH($A80, 'UZ-normalized'!$A:$A, 0))&gt;0, -(29*INDEX('UZ-normalized'!$D:$D, MATCH($A80, 'UZ-normalized'!$A:$A, 0))-INDEX('UZ-normalized'!$E:$E, MATCH($A80, 'UZ-normalized'!$A:$A, 0))), 0), 0)))</f>
        <v>0</v>
      </c>
      <c r="AR80" s="6">
        <f>MIN(0, N80+(IFERROR(IF(30*INDEX('UA-normalized'!$D:$D, MATCH($A80, 'UA-normalized'!$A:$A, 0))-INDEX('UA-normalized'!$E:$E, MATCH($A80, 'UA-normalized'!$A:$A, 0))&gt;0, -(30*INDEX('UA-normalized'!$D:$D, MATCH($A80, 'UA-normalized'!$A:$A, 0))-INDEX('UA-normalized'!$E:$E, MATCH($A80, 'UA-normalized'!$A:$A, 0))), 0), 0))+(IFERROR(IF(30*INDEX('KZ-normalized'!$D:$D, MATCH($A80, 'KZ-normalized'!$A:$A, 0))-INDEX('KZ-normalized'!$E:$E, MATCH($A80, 'KZ-normalized'!$A:$A, 0))&gt;0, -(30*INDEX('KZ-normalized'!$D:$D, MATCH($A80, 'KZ-normalized'!$A:$A, 0))-INDEX('KZ-normalized'!$E:$E, MATCH($A80, 'KZ-normalized'!$A:$A, 0))), 0), 0))+(IFERROR(IF(30*INDEX('UZ-normalized'!$D:$D, MATCH($A80, 'UZ-normalized'!$A:$A, 0))-INDEX('UZ-normalized'!$E:$E, MATCH($A80, 'UZ-normalized'!$A:$A, 0))&gt;0, -(30*INDEX('UZ-normalized'!$D:$D, MATCH($A80, 'UZ-normalized'!$A:$A, 0))-INDEX('UZ-normalized'!$E:$E, MATCH($A80, 'UZ-normalized'!$A:$A, 0))), 0), 0)))</f>
        <v>0</v>
      </c>
    </row>
    <row r="81" spans="1:44" x14ac:dyDescent="0.25">
      <c r="A81" s="8" t="s">
        <v>212</v>
      </c>
      <c r="B81" s="8" t="s">
        <v>180</v>
      </c>
      <c r="C81" s="8" t="s">
        <v>206</v>
      </c>
      <c r="D81" s="8" t="s">
        <v>213</v>
      </c>
      <c r="E81">
        <v>2870.75</v>
      </c>
      <c r="G81">
        <v>-50</v>
      </c>
      <c r="N81">
        <f t="shared" si="1"/>
        <v>2820.75</v>
      </c>
      <c r="O81" s="6">
        <f>MIN(0, N81+(IFERROR(IF(1*INDEX('UA-normalized'!$D:$D, MATCH($A81, 'UA-normalized'!$A:$A, 0))-INDEX('UA-normalized'!$E:$E, MATCH($A81, 'UA-normalized'!$A:$A, 0))&gt;0, -(1*INDEX('UA-normalized'!$D:$D, MATCH($A81, 'UA-normalized'!$A:$A, 0))-INDEX('UA-normalized'!$E:$E, MATCH($A81, 'UA-normalized'!$A:$A, 0))), 0), 0))+(IFERROR(IF(1*INDEX('KZ-normalized'!$D:$D, MATCH($A81, 'KZ-normalized'!$A:$A, 0))-INDEX('KZ-normalized'!$E:$E, MATCH($A81, 'KZ-normalized'!$A:$A, 0))&gt;0, -(1*INDEX('KZ-normalized'!$D:$D, MATCH($A81, 'KZ-normalized'!$A:$A, 0))-INDEX('KZ-normalized'!$E:$E, MATCH($A81, 'KZ-normalized'!$A:$A, 0))), 0), 0))+(IFERROR(IF(1*INDEX('UZ-normalized'!$D:$D, MATCH($A81, 'UZ-normalized'!$A:$A, 0))-INDEX('UZ-normalized'!$E:$E, MATCH($A81, 'UZ-normalized'!$A:$A, 0))&gt;0, -(1*INDEX('UZ-normalized'!$D:$D, MATCH($A81, 'UZ-normalized'!$A:$A, 0))-INDEX('UZ-normalized'!$E:$E, MATCH($A81, 'UZ-normalized'!$A:$A, 0))), 0), 0)))</f>
        <v>0</v>
      </c>
      <c r="P81" s="6">
        <f>MIN(0, N81+(IFERROR(IF(2*INDEX('UA-normalized'!$D:$D, MATCH($A81, 'UA-normalized'!$A:$A, 0))-INDEX('UA-normalized'!$E:$E, MATCH($A81, 'UA-normalized'!$A:$A, 0))&gt;0, -(2*INDEX('UA-normalized'!$D:$D, MATCH($A81, 'UA-normalized'!$A:$A, 0))-INDEX('UA-normalized'!$E:$E, MATCH($A81, 'UA-normalized'!$A:$A, 0))), 0), 0))+(IFERROR(IF(2*INDEX('KZ-normalized'!$D:$D, MATCH($A81, 'KZ-normalized'!$A:$A, 0))-INDEX('KZ-normalized'!$E:$E, MATCH($A81, 'KZ-normalized'!$A:$A, 0))&gt;0, -(2*INDEX('KZ-normalized'!$D:$D, MATCH($A81, 'KZ-normalized'!$A:$A, 0))-INDEX('KZ-normalized'!$E:$E, MATCH($A81, 'KZ-normalized'!$A:$A, 0))), 0), 0))+(IFERROR(IF(2*INDEX('UZ-normalized'!$D:$D, MATCH($A81, 'UZ-normalized'!$A:$A, 0))-INDEX('UZ-normalized'!$E:$E, MATCH($A81, 'UZ-normalized'!$A:$A, 0))&gt;0, -(2*INDEX('UZ-normalized'!$D:$D, MATCH($A81, 'UZ-normalized'!$A:$A, 0))-INDEX('UZ-normalized'!$E:$E, MATCH($A81, 'UZ-normalized'!$A:$A, 0))), 0), 0)))</f>
        <v>0</v>
      </c>
      <c r="Q81" s="6">
        <f>MIN(0, N81+(IFERROR(IF(3*INDEX('UA-normalized'!$D:$D, MATCH($A81, 'UA-normalized'!$A:$A, 0))-INDEX('UA-normalized'!$E:$E, MATCH($A81, 'UA-normalized'!$A:$A, 0))&gt;0, -(3*INDEX('UA-normalized'!$D:$D, MATCH($A81, 'UA-normalized'!$A:$A, 0))-INDEX('UA-normalized'!$E:$E, MATCH($A81, 'UA-normalized'!$A:$A, 0))), 0), 0))+(IFERROR(IF(3*INDEX('KZ-normalized'!$D:$D, MATCH($A81, 'KZ-normalized'!$A:$A, 0))-INDEX('KZ-normalized'!$E:$E, MATCH($A81, 'KZ-normalized'!$A:$A, 0))&gt;0, -(3*INDEX('KZ-normalized'!$D:$D, MATCH($A81, 'KZ-normalized'!$A:$A, 0))-INDEX('KZ-normalized'!$E:$E, MATCH($A81, 'KZ-normalized'!$A:$A, 0))), 0), 0))+(IFERROR(IF(3*INDEX('UZ-normalized'!$D:$D, MATCH($A81, 'UZ-normalized'!$A:$A, 0))-INDEX('UZ-normalized'!$E:$E, MATCH($A81, 'UZ-normalized'!$A:$A, 0))&gt;0, -(3*INDEX('UZ-normalized'!$D:$D, MATCH($A81, 'UZ-normalized'!$A:$A, 0))-INDEX('UZ-normalized'!$E:$E, MATCH($A81, 'UZ-normalized'!$A:$A, 0))), 0), 0)))</f>
        <v>0</v>
      </c>
      <c r="R81" s="6">
        <f>MIN(0, N81+(IFERROR(IF(4*INDEX('UA-normalized'!$D:$D, MATCH($A81, 'UA-normalized'!$A:$A, 0))-INDEX('UA-normalized'!$E:$E, MATCH($A81, 'UA-normalized'!$A:$A, 0))&gt;0, -(4*INDEX('UA-normalized'!$D:$D, MATCH($A81, 'UA-normalized'!$A:$A, 0))-INDEX('UA-normalized'!$E:$E, MATCH($A81, 'UA-normalized'!$A:$A, 0))), 0), 0))+(IFERROR(IF(4*INDEX('KZ-normalized'!$D:$D, MATCH($A81, 'KZ-normalized'!$A:$A, 0))-INDEX('KZ-normalized'!$E:$E, MATCH($A81, 'KZ-normalized'!$A:$A, 0))&gt;0, -(4*INDEX('KZ-normalized'!$D:$D, MATCH($A81, 'KZ-normalized'!$A:$A, 0))-INDEX('KZ-normalized'!$E:$E, MATCH($A81, 'KZ-normalized'!$A:$A, 0))), 0), 0))+(IFERROR(IF(4*INDEX('UZ-normalized'!$D:$D, MATCH($A81, 'UZ-normalized'!$A:$A, 0))-INDEX('UZ-normalized'!$E:$E, MATCH($A81, 'UZ-normalized'!$A:$A, 0))&gt;0, -(4*INDEX('UZ-normalized'!$D:$D, MATCH($A81, 'UZ-normalized'!$A:$A, 0))-INDEX('UZ-normalized'!$E:$E, MATCH($A81, 'UZ-normalized'!$A:$A, 0))), 0), 0)))</f>
        <v>0</v>
      </c>
      <c r="S81" s="6">
        <f>MIN(0, N81+(IFERROR(IF(5*INDEX('UA-normalized'!$D:$D, MATCH($A81, 'UA-normalized'!$A:$A, 0))-INDEX('UA-normalized'!$E:$E, MATCH($A81, 'UA-normalized'!$A:$A, 0))&gt;0, -(5*INDEX('UA-normalized'!$D:$D, MATCH($A81, 'UA-normalized'!$A:$A, 0))-INDEX('UA-normalized'!$E:$E, MATCH($A81, 'UA-normalized'!$A:$A, 0))), 0), 0))+(IFERROR(IF(5*INDEX('KZ-normalized'!$D:$D, MATCH($A81, 'KZ-normalized'!$A:$A, 0))-INDEX('KZ-normalized'!$E:$E, MATCH($A81, 'KZ-normalized'!$A:$A, 0))&gt;0, -(5*INDEX('KZ-normalized'!$D:$D, MATCH($A81, 'KZ-normalized'!$A:$A, 0))-INDEX('KZ-normalized'!$E:$E, MATCH($A81, 'KZ-normalized'!$A:$A, 0))), 0), 0))+(IFERROR(IF(5*INDEX('UZ-normalized'!$D:$D, MATCH($A81, 'UZ-normalized'!$A:$A, 0))-INDEX('UZ-normalized'!$E:$E, MATCH($A81, 'UZ-normalized'!$A:$A, 0))&gt;0, -(5*INDEX('UZ-normalized'!$D:$D, MATCH($A81, 'UZ-normalized'!$A:$A, 0))-INDEX('UZ-normalized'!$E:$E, MATCH($A81, 'UZ-normalized'!$A:$A, 0))), 0), 0)))</f>
        <v>0</v>
      </c>
      <c r="T81" s="6">
        <f>MIN(0, N81+(IFERROR(IF(6*INDEX('UA-normalized'!$D:$D, MATCH($A81, 'UA-normalized'!$A:$A, 0))-INDEX('UA-normalized'!$E:$E, MATCH($A81, 'UA-normalized'!$A:$A, 0))&gt;0, -(6*INDEX('UA-normalized'!$D:$D, MATCH($A81, 'UA-normalized'!$A:$A, 0))-INDEX('UA-normalized'!$E:$E, MATCH($A81, 'UA-normalized'!$A:$A, 0))), 0), 0))+(IFERROR(IF(6*INDEX('KZ-normalized'!$D:$D, MATCH($A81, 'KZ-normalized'!$A:$A, 0))-INDEX('KZ-normalized'!$E:$E, MATCH($A81, 'KZ-normalized'!$A:$A, 0))&gt;0, -(6*INDEX('KZ-normalized'!$D:$D, MATCH($A81, 'KZ-normalized'!$A:$A, 0))-INDEX('KZ-normalized'!$E:$E, MATCH($A81, 'KZ-normalized'!$A:$A, 0))), 0), 0))+(IFERROR(IF(6*INDEX('UZ-normalized'!$D:$D, MATCH($A81, 'UZ-normalized'!$A:$A, 0))-INDEX('UZ-normalized'!$E:$E, MATCH($A81, 'UZ-normalized'!$A:$A, 0))&gt;0, -(6*INDEX('UZ-normalized'!$D:$D, MATCH($A81, 'UZ-normalized'!$A:$A, 0))-INDEX('UZ-normalized'!$E:$E, MATCH($A81, 'UZ-normalized'!$A:$A, 0))), 0), 0)))</f>
        <v>0</v>
      </c>
      <c r="U81" s="6">
        <f>MIN(0, N81+(IFERROR(IF(7*INDEX('UA-normalized'!$D:$D, MATCH($A81, 'UA-normalized'!$A:$A, 0))-INDEX('UA-normalized'!$E:$E, MATCH($A81, 'UA-normalized'!$A:$A, 0))&gt;0, -(7*INDEX('UA-normalized'!$D:$D, MATCH($A81, 'UA-normalized'!$A:$A, 0))-INDEX('UA-normalized'!$E:$E, MATCH($A81, 'UA-normalized'!$A:$A, 0))), 0), 0))+(IFERROR(IF(7*INDEX('KZ-normalized'!$D:$D, MATCH($A81, 'KZ-normalized'!$A:$A, 0))-INDEX('KZ-normalized'!$E:$E, MATCH($A81, 'KZ-normalized'!$A:$A, 0))&gt;0, -(7*INDEX('KZ-normalized'!$D:$D, MATCH($A81, 'KZ-normalized'!$A:$A, 0))-INDEX('KZ-normalized'!$E:$E, MATCH($A81, 'KZ-normalized'!$A:$A, 0))), 0), 0))+(IFERROR(IF(7*INDEX('UZ-normalized'!$D:$D, MATCH($A81, 'UZ-normalized'!$A:$A, 0))-INDEX('UZ-normalized'!$E:$E, MATCH($A81, 'UZ-normalized'!$A:$A, 0))&gt;0, -(7*INDEX('UZ-normalized'!$D:$D, MATCH($A81, 'UZ-normalized'!$A:$A, 0))-INDEX('UZ-normalized'!$E:$E, MATCH($A81, 'UZ-normalized'!$A:$A, 0))), 0), 0)))</f>
        <v>0</v>
      </c>
      <c r="V81" s="6">
        <f>MIN(0, N81+(IFERROR(IF(8*INDEX('UA-normalized'!$D:$D, MATCH($A81, 'UA-normalized'!$A:$A, 0))-INDEX('UA-normalized'!$E:$E, MATCH($A81, 'UA-normalized'!$A:$A, 0))&gt;0, -(8*INDEX('UA-normalized'!$D:$D, MATCH($A81, 'UA-normalized'!$A:$A, 0))-INDEX('UA-normalized'!$E:$E, MATCH($A81, 'UA-normalized'!$A:$A, 0))), 0), 0))+(IFERROR(IF(8*INDEX('KZ-normalized'!$D:$D, MATCH($A81, 'KZ-normalized'!$A:$A, 0))-INDEX('KZ-normalized'!$E:$E, MATCH($A81, 'KZ-normalized'!$A:$A, 0))&gt;0, -(8*INDEX('KZ-normalized'!$D:$D, MATCH($A81, 'KZ-normalized'!$A:$A, 0))-INDEX('KZ-normalized'!$E:$E, MATCH($A81, 'KZ-normalized'!$A:$A, 0))), 0), 0))+(IFERROR(IF(8*INDEX('UZ-normalized'!$D:$D, MATCH($A81, 'UZ-normalized'!$A:$A, 0))-INDEX('UZ-normalized'!$E:$E, MATCH($A81, 'UZ-normalized'!$A:$A, 0))&gt;0, -(8*INDEX('UZ-normalized'!$D:$D, MATCH($A81, 'UZ-normalized'!$A:$A, 0))-INDEX('UZ-normalized'!$E:$E, MATCH($A81, 'UZ-normalized'!$A:$A, 0))), 0), 0)))</f>
        <v>0</v>
      </c>
      <c r="W81" s="6">
        <f>MIN(0, N81+(IFERROR(IF(9*INDEX('UA-normalized'!$D:$D, MATCH($A81, 'UA-normalized'!$A:$A, 0))-INDEX('UA-normalized'!$E:$E, MATCH($A81, 'UA-normalized'!$A:$A, 0))&gt;0, -(9*INDEX('UA-normalized'!$D:$D, MATCH($A81, 'UA-normalized'!$A:$A, 0))-INDEX('UA-normalized'!$E:$E, MATCH($A81, 'UA-normalized'!$A:$A, 0))), 0), 0))+(IFERROR(IF(9*INDEX('KZ-normalized'!$D:$D, MATCH($A81, 'KZ-normalized'!$A:$A, 0))-INDEX('KZ-normalized'!$E:$E, MATCH($A81, 'KZ-normalized'!$A:$A, 0))&gt;0, -(9*INDEX('KZ-normalized'!$D:$D, MATCH($A81, 'KZ-normalized'!$A:$A, 0))-INDEX('KZ-normalized'!$E:$E, MATCH($A81, 'KZ-normalized'!$A:$A, 0))), 0), 0))+(IFERROR(IF(9*INDEX('UZ-normalized'!$D:$D, MATCH($A81, 'UZ-normalized'!$A:$A, 0))-INDEX('UZ-normalized'!$E:$E, MATCH($A81, 'UZ-normalized'!$A:$A, 0))&gt;0, -(9*INDEX('UZ-normalized'!$D:$D, MATCH($A81, 'UZ-normalized'!$A:$A, 0))-INDEX('UZ-normalized'!$E:$E, MATCH($A81, 'UZ-normalized'!$A:$A, 0))), 0), 0)))</f>
        <v>0</v>
      </c>
      <c r="X81" s="6">
        <f>MIN(0, N81+(IFERROR(IF(10*INDEX('UA-normalized'!$D:$D, MATCH($A81, 'UA-normalized'!$A:$A, 0))-INDEX('UA-normalized'!$E:$E, MATCH($A81, 'UA-normalized'!$A:$A, 0))&gt;0, -(10*INDEX('UA-normalized'!$D:$D, MATCH($A81, 'UA-normalized'!$A:$A, 0))-INDEX('UA-normalized'!$E:$E, MATCH($A81, 'UA-normalized'!$A:$A, 0))), 0), 0))+(IFERROR(IF(10*INDEX('KZ-normalized'!$D:$D, MATCH($A81, 'KZ-normalized'!$A:$A, 0))-INDEX('KZ-normalized'!$E:$E, MATCH($A81, 'KZ-normalized'!$A:$A, 0))&gt;0, -(10*INDEX('KZ-normalized'!$D:$D, MATCH($A81, 'KZ-normalized'!$A:$A, 0))-INDEX('KZ-normalized'!$E:$E, MATCH($A81, 'KZ-normalized'!$A:$A, 0))), 0), 0))+(IFERROR(IF(10*INDEX('UZ-normalized'!$D:$D, MATCH($A81, 'UZ-normalized'!$A:$A, 0))-INDEX('UZ-normalized'!$E:$E, MATCH($A81, 'UZ-normalized'!$A:$A, 0))&gt;0, -(10*INDEX('UZ-normalized'!$D:$D, MATCH($A81, 'UZ-normalized'!$A:$A, 0))-INDEX('UZ-normalized'!$E:$E, MATCH($A81, 'UZ-normalized'!$A:$A, 0))), 0), 0)))</f>
        <v>0</v>
      </c>
      <c r="Y81" s="6">
        <f>MIN(0, N81+(IFERROR(IF(11*INDEX('UA-normalized'!$D:$D, MATCH($A81, 'UA-normalized'!$A:$A, 0))-INDEX('UA-normalized'!$E:$E, MATCH($A81, 'UA-normalized'!$A:$A, 0))&gt;0, -(11*INDEX('UA-normalized'!$D:$D, MATCH($A81, 'UA-normalized'!$A:$A, 0))-INDEX('UA-normalized'!$E:$E, MATCH($A81, 'UA-normalized'!$A:$A, 0))), 0), 0))+(IFERROR(IF(11*INDEX('KZ-normalized'!$D:$D, MATCH($A81, 'KZ-normalized'!$A:$A, 0))-INDEX('KZ-normalized'!$E:$E, MATCH($A81, 'KZ-normalized'!$A:$A, 0))&gt;0, -(11*INDEX('KZ-normalized'!$D:$D, MATCH($A81, 'KZ-normalized'!$A:$A, 0))-INDEX('KZ-normalized'!$E:$E, MATCH($A81, 'KZ-normalized'!$A:$A, 0))), 0), 0))+(IFERROR(IF(11*INDEX('UZ-normalized'!$D:$D, MATCH($A81, 'UZ-normalized'!$A:$A, 0))-INDEX('UZ-normalized'!$E:$E, MATCH($A81, 'UZ-normalized'!$A:$A, 0))&gt;0, -(11*INDEX('UZ-normalized'!$D:$D, MATCH($A81, 'UZ-normalized'!$A:$A, 0))-INDEX('UZ-normalized'!$E:$E, MATCH($A81, 'UZ-normalized'!$A:$A, 0))), 0), 0)))</f>
        <v>0</v>
      </c>
      <c r="Z81" s="6">
        <f>MIN(0, N81+(IFERROR(IF(12*INDEX('UA-normalized'!$D:$D, MATCH($A81, 'UA-normalized'!$A:$A, 0))-INDEX('UA-normalized'!$E:$E, MATCH($A81, 'UA-normalized'!$A:$A, 0))&gt;0, -(12*INDEX('UA-normalized'!$D:$D, MATCH($A81, 'UA-normalized'!$A:$A, 0))-INDEX('UA-normalized'!$E:$E, MATCH($A81, 'UA-normalized'!$A:$A, 0))), 0), 0))+(IFERROR(IF(12*INDEX('KZ-normalized'!$D:$D, MATCH($A81, 'KZ-normalized'!$A:$A, 0))-INDEX('KZ-normalized'!$E:$E, MATCH($A81, 'KZ-normalized'!$A:$A, 0))&gt;0, -(12*INDEX('KZ-normalized'!$D:$D, MATCH($A81, 'KZ-normalized'!$A:$A, 0))-INDEX('KZ-normalized'!$E:$E, MATCH($A81, 'KZ-normalized'!$A:$A, 0))), 0), 0))+(IFERROR(IF(12*INDEX('UZ-normalized'!$D:$D, MATCH($A81, 'UZ-normalized'!$A:$A, 0))-INDEX('UZ-normalized'!$E:$E, MATCH($A81, 'UZ-normalized'!$A:$A, 0))&gt;0, -(12*INDEX('UZ-normalized'!$D:$D, MATCH($A81, 'UZ-normalized'!$A:$A, 0))-INDEX('UZ-normalized'!$E:$E, MATCH($A81, 'UZ-normalized'!$A:$A, 0))), 0), 0)))</f>
        <v>0</v>
      </c>
      <c r="AA81" s="6">
        <f>MIN(0, N81+(IFERROR(IF(13*INDEX('UA-normalized'!$D:$D, MATCH($A81, 'UA-normalized'!$A:$A, 0))-INDEX('UA-normalized'!$E:$E, MATCH($A81, 'UA-normalized'!$A:$A, 0))&gt;0, -(13*INDEX('UA-normalized'!$D:$D, MATCH($A81, 'UA-normalized'!$A:$A, 0))-INDEX('UA-normalized'!$E:$E, MATCH($A81, 'UA-normalized'!$A:$A, 0))), 0), 0))+(IFERROR(IF(13*INDEX('KZ-normalized'!$D:$D, MATCH($A81, 'KZ-normalized'!$A:$A, 0))-INDEX('KZ-normalized'!$E:$E, MATCH($A81, 'KZ-normalized'!$A:$A, 0))&gt;0, -(13*INDEX('KZ-normalized'!$D:$D, MATCH($A81, 'KZ-normalized'!$A:$A, 0))-INDEX('KZ-normalized'!$E:$E, MATCH($A81, 'KZ-normalized'!$A:$A, 0))), 0), 0))+(IFERROR(IF(13*INDEX('UZ-normalized'!$D:$D, MATCH($A81, 'UZ-normalized'!$A:$A, 0))-INDEX('UZ-normalized'!$E:$E, MATCH($A81, 'UZ-normalized'!$A:$A, 0))&gt;0, -(13*INDEX('UZ-normalized'!$D:$D, MATCH($A81, 'UZ-normalized'!$A:$A, 0))-INDEX('UZ-normalized'!$E:$E, MATCH($A81, 'UZ-normalized'!$A:$A, 0))), 0), 0)))</f>
        <v>0</v>
      </c>
      <c r="AB81" s="6">
        <f>MIN(0, N81+(IFERROR(IF(14*INDEX('UA-normalized'!$D:$D, MATCH($A81, 'UA-normalized'!$A:$A, 0))-INDEX('UA-normalized'!$E:$E, MATCH($A81, 'UA-normalized'!$A:$A, 0))&gt;0, -(14*INDEX('UA-normalized'!$D:$D, MATCH($A81, 'UA-normalized'!$A:$A, 0))-INDEX('UA-normalized'!$E:$E, MATCH($A81, 'UA-normalized'!$A:$A, 0))), 0), 0))+(IFERROR(IF(14*INDEX('KZ-normalized'!$D:$D, MATCH($A81, 'KZ-normalized'!$A:$A, 0))-INDEX('KZ-normalized'!$E:$E, MATCH($A81, 'KZ-normalized'!$A:$A, 0))&gt;0, -(14*INDEX('KZ-normalized'!$D:$D, MATCH($A81, 'KZ-normalized'!$A:$A, 0))-INDEX('KZ-normalized'!$E:$E, MATCH($A81, 'KZ-normalized'!$A:$A, 0))), 0), 0))+(IFERROR(IF(14*INDEX('UZ-normalized'!$D:$D, MATCH($A81, 'UZ-normalized'!$A:$A, 0))-INDEX('UZ-normalized'!$E:$E, MATCH($A81, 'UZ-normalized'!$A:$A, 0))&gt;0, -(14*INDEX('UZ-normalized'!$D:$D, MATCH($A81, 'UZ-normalized'!$A:$A, 0))-INDEX('UZ-normalized'!$E:$E, MATCH($A81, 'UZ-normalized'!$A:$A, 0))), 0), 0)))</f>
        <v>0</v>
      </c>
      <c r="AC81" s="6">
        <f>MIN(0, N81+(IFERROR(IF(15*INDEX('UA-normalized'!$D:$D, MATCH($A81, 'UA-normalized'!$A:$A, 0))-INDEX('UA-normalized'!$E:$E, MATCH($A81, 'UA-normalized'!$A:$A, 0))&gt;0, -(15*INDEX('UA-normalized'!$D:$D, MATCH($A81, 'UA-normalized'!$A:$A, 0))-INDEX('UA-normalized'!$E:$E, MATCH($A81, 'UA-normalized'!$A:$A, 0))), 0), 0))+(IFERROR(IF(15*INDEX('KZ-normalized'!$D:$D, MATCH($A81, 'KZ-normalized'!$A:$A, 0))-INDEX('KZ-normalized'!$E:$E, MATCH($A81, 'KZ-normalized'!$A:$A, 0))&gt;0, -(15*INDEX('KZ-normalized'!$D:$D, MATCH($A81, 'KZ-normalized'!$A:$A, 0))-INDEX('KZ-normalized'!$E:$E, MATCH($A81, 'KZ-normalized'!$A:$A, 0))), 0), 0))+(IFERROR(IF(15*INDEX('UZ-normalized'!$D:$D, MATCH($A81, 'UZ-normalized'!$A:$A, 0))-INDEX('UZ-normalized'!$E:$E, MATCH($A81, 'UZ-normalized'!$A:$A, 0))&gt;0, -(15*INDEX('UZ-normalized'!$D:$D, MATCH($A81, 'UZ-normalized'!$A:$A, 0))-INDEX('UZ-normalized'!$E:$E, MATCH($A81, 'UZ-normalized'!$A:$A, 0))), 0), 0)))</f>
        <v>-17.25</v>
      </c>
      <c r="AD81" s="6">
        <f>MIN(0, N81+(IFERROR(IF(16*INDEX('UA-normalized'!$D:$D, MATCH($A81, 'UA-normalized'!$A:$A, 0))-INDEX('UA-normalized'!$E:$E, MATCH($A81, 'UA-normalized'!$A:$A, 0))&gt;0, -(16*INDEX('UA-normalized'!$D:$D, MATCH($A81, 'UA-normalized'!$A:$A, 0))-INDEX('UA-normalized'!$E:$E, MATCH($A81, 'UA-normalized'!$A:$A, 0))), 0), 0))+(IFERROR(IF(16*INDEX('KZ-normalized'!$D:$D, MATCH($A81, 'KZ-normalized'!$A:$A, 0))-INDEX('KZ-normalized'!$E:$E, MATCH($A81, 'KZ-normalized'!$A:$A, 0))&gt;0, -(16*INDEX('KZ-normalized'!$D:$D, MATCH($A81, 'KZ-normalized'!$A:$A, 0))-INDEX('KZ-normalized'!$E:$E, MATCH($A81, 'KZ-normalized'!$A:$A, 0))), 0), 0))+(IFERROR(IF(16*INDEX('UZ-normalized'!$D:$D, MATCH($A81, 'UZ-normalized'!$A:$A, 0))-INDEX('UZ-normalized'!$E:$E, MATCH($A81, 'UZ-normalized'!$A:$A, 0))&gt;0, -(16*INDEX('UZ-normalized'!$D:$D, MATCH($A81, 'UZ-normalized'!$A:$A, 0))-INDEX('UZ-normalized'!$E:$E, MATCH($A81, 'UZ-normalized'!$A:$A, 0))), 0), 0)))</f>
        <v>-255.25</v>
      </c>
      <c r="AE81" s="6">
        <f>MIN(0, N81+(IFERROR(IF(17*INDEX('UA-normalized'!$D:$D, MATCH($A81, 'UA-normalized'!$A:$A, 0))-INDEX('UA-normalized'!$E:$E, MATCH($A81, 'UA-normalized'!$A:$A, 0))&gt;0, -(17*INDEX('UA-normalized'!$D:$D, MATCH($A81, 'UA-normalized'!$A:$A, 0))-INDEX('UA-normalized'!$E:$E, MATCH($A81, 'UA-normalized'!$A:$A, 0))), 0), 0))+(IFERROR(IF(17*INDEX('KZ-normalized'!$D:$D, MATCH($A81, 'KZ-normalized'!$A:$A, 0))-INDEX('KZ-normalized'!$E:$E, MATCH($A81, 'KZ-normalized'!$A:$A, 0))&gt;0, -(17*INDEX('KZ-normalized'!$D:$D, MATCH($A81, 'KZ-normalized'!$A:$A, 0))-INDEX('KZ-normalized'!$E:$E, MATCH($A81, 'KZ-normalized'!$A:$A, 0))), 0), 0))+(IFERROR(IF(17*INDEX('UZ-normalized'!$D:$D, MATCH($A81, 'UZ-normalized'!$A:$A, 0))-INDEX('UZ-normalized'!$E:$E, MATCH($A81, 'UZ-normalized'!$A:$A, 0))&gt;0, -(17*INDEX('UZ-normalized'!$D:$D, MATCH($A81, 'UZ-normalized'!$A:$A, 0))-INDEX('UZ-normalized'!$E:$E, MATCH($A81, 'UZ-normalized'!$A:$A, 0))), 0), 0)))</f>
        <v>-493.25</v>
      </c>
      <c r="AF81" s="6">
        <f>MIN(0, N81+(IFERROR(IF(18*INDEX('UA-normalized'!$D:$D, MATCH($A81, 'UA-normalized'!$A:$A, 0))-INDEX('UA-normalized'!$E:$E, MATCH($A81, 'UA-normalized'!$A:$A, 0))&gt;0, -(18*INDEX('UA-normalized'!$D:$D, MATCH($A81, 'UA-normalized'!$A:$A, 0))-INDEX('UA-normalized'!$E:$E, MATCH($A81, 'UA-normalized'!$A:$A, 0))), 0), 0))+(IFERROR(IF(18*INDEX('KZ-normalized'!$D:$D, MATCH($A81, 'KZ-normalized'!$A:$A, 0))-INDEX('KZ-normalized'!$E:$E, MATCH($A81, 'KZ-normalized'!$A:$A, 0))&gt;0, -(18*INDEX('KZ-normalized'!$D:$D, MATCH($A81, 'KZ-normalized'!$A:$A, 0))-INDEX('KZ-normalized'!$E:$E, MATCH($A81, 'KZ-normalized'!$A:$A, 0))), 0), 0))+(IFERROR(IF(18*INDEX('UZ-normalized'!$D:$D, MATCH($A81, 'UZ-normalized'!$A:$A, 0))-INDEX('UZ-normalized'!$E:$E, MATCH($A81, 'UZ-normalized'!$A:$A, 0))&gt;0, -(18*INDEX('UZ-normalized'!$D:$D, MATCH($A81, 'UZ-normalized'!$A:$A, 0))-INDEX('UZ-normalized'!$E:$E, MATCH($A81, 'UZ-normalized'!$A:$A, 0))), 0), 0)))</f>
        <v>-731.25</v>
      </c>
      <c r="AG81" s="6">
        <f>MIN(0, N81+(IFERROR(IF(19*INDEX('UA-normalized'!$D:$D, MATCH($A81, 'UA-normalized'!$A:$A, 0))-INDEX('UA-normalized'!$E:$E, MATCH($A81, 'UA-normalized'!$A:$A, 0))&gt;0, -(19*INDEX('UA-normalized'!$D:$D, MATCH($A81, 'UA-normalized'!$A:$A, 0))-INDEX('UA-normalized'!$E:$E, MATCH($A81, 'UA-normalized'!$A:$A, 0))), 0), 0))+(IFERROR(IF(19*INDEX('KZ-normalized'!$D:$D, MATCH($A81, 'KZ-normalized'!$A:$A, 0))-INDEX('KZ-normalized'!$E:$E, MATCH($A81, 'KZ-normalized'!$A:$A, 0))&gt;0, -(19*INDEX('KZ-normalized'!$D:$D, MATCH($A81, 'KZ-normalized'!$A:$A, 0))-INDEX('KZ-normalized'!$E:$E, MATCH($A81, 'KZ-normalized'!$A:$A, 0))), 0), 0))+(IFERROR(IF(19*INDEX('UZ-normalized'!$D:$D, MATCH($A81, 'UZ-normalized'!$A:$A, 0))-INDEX('UZ-normalized'!$E:$E, MATCH($A81, 'UZ-normalized'!$A:$A, 0))&gt;0, -(19*INDEX('UZ-normalized'!$D:$D, MATCH($A81, 'UZ-normalized'!$A:$A, 0))-INDEX('UZ-normalized'!$E:$E, MATCH($A81, 'UZ-normalized'!$A:$A, 0))), 0), 0)))</f>
        <v>-969.25</v>
      </c>
      <c r="AH81" s="6">
        <f>MIN(0, N81+(IFERROR(IF(20*INDEX('UA-normalized'!$D:$D, MATCH($A81, 'UA-normalized'!$A:$A, 0))-INDEX('UA-normalized'!$E:$E, MATCH($A81, 'UA-normalized'!$A:$A, 0))&gt;0, -(20*INDEX('UA-normalized'!$D:$D, MATCH($A81, 'UA-normalized'!$A:$A, 0))-INDEX('UA-normalized'!$E:$E, MATCH($A81, 'UA-normalized'!$A:$A, 0))), 0), 0))+(IFERROR(IF(20*INDEX('KZ-normalized'!$D:$D, MATCH($A81, 'KZ-normalized'!$A:$A, 0))-INDEX('KZ-normalized'!$E:$E, MATCH($A81, 'KZ-normalized'!$A:$A, 0))&gt;0, -(20*INDEX('KZ-normalized'!$D:$D, MATCH($A81, 'KZ-normalized'!$A:$A, 0))-INDEX('KZ-normalized'!$E:$E, MATCH($A81, 'KZ-normalized'!$A:$A, 0))), 0), 0))+(IFERROR(IF(20*INDEX('UZ-normalized'!$D:$D, MATCH($A81, 'UZ-normalized'!$A:$A, 0))-INDEX('UZ-normalized'!$E:$E, MATCH($A81, 'UZ-normalized'!$A:$A, 0))&gt;0, -(20*INDEX('UZ-normalized'!$D:$D, MATCH($A81, 'UZ-normalized'!$A:$A, 0))-INDEX('UZ-normalized'!$E:$E, MATCH($A81, 'UZ-normalized'!$A:$A, 0))), 0), 0)))</f>
        <v>-1207.25</v>
      </c>
      <c r="AI81" s="6">
        <f>MIN(0, N81+(IFERROR(IF(21*INDEX('UA-normalized'!$D:$D, MATCH($A81, 'UA-normalized'!$A:$A, 0))-INDEX('UA-normalized'!$E:$E, MATCH($A81, 'UA-normalized'!$A:$A, 0))&gt;0, -(21*INDEX('UA-normalized'!$D:$D, MATCH($A81, 'UA-normalized'!$A:$A, 0))-INDEX('UA-normalized'!$E:$E, MATCH($A81, 'UA-normalized'!$A:$A, 0))), 0), 0))+(IFERROR(IF(21*INDEX('KZ-normalized'!$D:$D, MATCH($A81, 'KZ-normalized'!$A:$A, 0))-INDEX('KZ-normalized'!$E:$E, MATCH($A81, 'KZ-normalized'!$A:$A, 0))&gt;0, -(21*INDEX('KZ-normalized'!$D:$D, MATCH($A81, 'KZ-normalized'!$A:$A, 0))-INDEX('KZ-normalized'!$E:$E, MATCH($A81, 'KZ-normalized'!$A:$A, 0))), 0), 0))+(IFERROR(IF(21*INDEX('UZ-normalized'!$D:$D, MATCH($A81, 'UZ-normalized'!$A:$A, 0))-INDEX('UZ-normalized'!$E:$E, MATCH($A81, 'UZ-normalized'!$A:$A, 0))&gt;0, -(21*INDEX('UZ-normalized'!$D:$D, MATCH($A81, 'UZ-normalized'!$A:$A, 0))-INDEX('UZ-normalized'!$E:$E, MATCH($A81, 'UZ-normalized'!$A:$A, 0))), 0), 0)))</f>
        <v>-1445.25</v>
      </c>
      <c r="AJ81" s="6">
        <f>MIN(0, N81+(IFERROR(IF(22*INDEX('UA-normalized'!$D:$D, MATCH($A81, 'UA-normalized'!$A:$A, 0))-INDEX('UA-normalized'!$E:$E, MATCH($A81, 'UA-normalized'!$A:$A, 0))&gt;0, -(22*INDEX('UA-normalized'!$D:$D, MATCH($A81, 'UA-normalized'!$A:$A, 0))-INDEX('UA-normalized'!$E:$E, MATCH($A81, 'UA-normalized'!$A:$A, 0))), 0), 0))+(IFERROR(IF(22*INDEX('KZ-normalized'!$D:$D, MATCH($A81, 'KZ-normalized'!$A:$A, 0))-INDEX('KZ-normalized'!$E:$E, MATCH($A81, 'KZ-normalized'!$A:$A, 0))&gt;0, -(22*INDEX('KZ-normalized'!$D:$D, MATCH($A81, 'KZ-normalized'!$A:$A, 0))-INDEX('KZ-normalized'!$E:$E, MATCH($A81, 'KZ-normalized'!$A:$A, 0))), 0), 0))+(IFERROR(IF(22*INDEX('UZ-normalized'!$D:$D, MATCH($A81, 'UZ-normalized'!$A:$A, 0))-INDEX('UZ-normalized'!$E:$E, MATCH($A81, 'UZ-normalized'!$A:$A, 0))&gt;0, -(22*INDEX('UZ-normalized'!$D:$D, MATCH($A81, 'UZ-normalized'!$A:$A, 0))-INDEX('UZ-normalized'!$E:$E, MATCH($A81, 'UZ-normalized'!$A:$A, 0))), 0), 0)))</f>
        <v>-1683.25</v>
      </c>
      <c r="AK81" s="6">
        <f>MIN(0, N81+(IFERROR(IF(23*INDEX('UA-normalized'!$D:$D, MATCH($A81, 'UA-normalized'!$A:$A, 0))-INDEX('UA-normalized'!$E:$E, MATCH($A81, 'UA-normalized'!$A:$A, 0))&gt;0, -(23*INDEX('UA-normalized'!$D:$D, MATCH($A81, 'UA-normalized'!$A:$A, 0))-INDEX('UA-normalized'!$E:$E, MATCH($A81, 'UA-normalized'!$A:$A, 0))), 0), 0))+(IFERROR(IF(23*INDEX('KZ-normalized'!$D:$D, MATCH($A81, 'KZ-normalized'!$A:$A, 0))-INDEX('KZ-normalized'!$E:$E, MATCH($A81, 'KZ-normalized'!$A:$A, 0))&gt;0, -(23*INDEX('KZ-normalized'!$D:$D, MATCH($A81, 'KZ-normalized'!$A:$A, 0))-INDEX('KZ-normalized'!$E:$E, MATCH($A81, 'KZ-normalized'!$A:$A, 0))), 0), 0))+(IFERROR(IF(23*INDEX('UZ-normalized'!$D:$D, MATCH($A81, 'UZ-normalized'!$A:$A, 0))-INDEX('UZ-normalized'!$E:$E, MATCH($A81, 'UZ-normalized'!$A:$A, 0))&gt;0, -(23*INDEX('UZ-normalized'!$D:$D, MATCH($A81, 'UZ-normalized'!$A:$A, 0))-INDEX('UZ-normalized'!$E:$E, MATCH($A81, 'UZ-normalized'!$A:$A, 0))), 0), 0)))</f>
        <v>-1921.25</v>
      </c>
      <c r="AL81" s="6">
        <f>MIN(0, N81+(IFERROR(IF(24*INDEX('UA-normalized'!$D:$D, MATCH($A81, 'UA-normalized'!$A:$A, 0))-INDEX('UA-normalized'!$E:$E, MATCH($A81, 'UA-normalized'!$A:$A, 0))&gt;0, -(24*INDEX('UA-normalized'!$D:$D, MATCH($A81, 'UA-normalized'!$A:$A, 0))-INDEX('UA-normalized'!$E:$E, MATCH($A81, 'UA-normalized'!$A:$A, 0))), 0), 0))+(IFERROR(IF(24*INDEX('KZ-normalized'!$D:$D, MATCH($A81, 'KZ-normalized'!$A:$A, 0))-INDEX('KZ-normalized'!$E:$E, MATCH($A81, 'KZ-normalized'!$A:$A, 0))&gt;0, -(24*INDEX('KZ-normalized'!$D:$D, MATCH($A81, 'KZ-normalized'!$A:$A, 0))-INDEX('KZ-normalized'!$E:$E, MATCH($A81, 'KZ-normalized'!$A:$A, 0))), 0), 0))+(IFERROR(IF(24*INDEX('UZ-normalized'!$D:$D, MATCH($A81, 'UZ-normalized'!$A:$A, 0))-INDEX('UZ-normalized'!$E:$E, MATCH($A81, 'UZ-normalized'!$A:$A, 0))&gt;0, -(24*INDEX('UZ-normalized'!$D:$D, MATCH($A81, 'UZ-normalized'!$A:$A, 0))-INDEX('UZ-normalized'!$E:$E, MATCH($A81, 'UZ-normalized'!$A:$A, 0))), 0), 0)))</f>
        <v>-2159.25</v>
      </c>
      <c r="AM81" s="6">
        <f>MIN(0, N81+(IFERROR(IF(25*INDEX('UA-normalized'!$D:$D, MATCH($A81, 'UA-normalized'!$A:$A, 0))-INDEX('UA-normalized'!$E:$E, MATCH($A81, 'UA-normalized'!$A:$A, 0))&gt;0, -(25*INDEX('UA-normalized'!$D:$D, MATCH($A81, 'UA-normalized'!$A:$A, 0))-INDEX('UA-normalized'!$E:$E, MATCH($A81, 'UA-normalized'!$A:$A, 0))), 0), 0))+(IFERROR(IF(25*INDEX('KZ-normalized'!$D:$D, MATCH($A81, 'KZ-normalized'!$A:$A, 0))-INDEX('KZ-normalized'!$E:$E, MATCH($A81, 'KZ-normalized'!$A:$A, 0))&gt;0, -(25*INDEX('KZ-normalized'!$D:$D, MATCH($A81, 'KZ-normalized'!$A:$A, 0))-INDEX('KZ-normalized'!$E:$E, MATCH($A81, 'KZ-normalized'!$A:$A, 0))), 0), 0))+(IFERROR(IF(25*INDEX('UZ-normalized'!$D:$D, MATCH($A81, 'UZ-normalized'!$A:$A, 0))-INDEX('UZ-normalized'!$E:$E, MATCH($A81, 'UZ-normalized'!$A:$A, 0))&gt;0, -(25*INDEX('UZ-normalized'!$D:$D, MATCH($A81, 'UZ-normalized'!$A:$A, 0))-INDEX('UZ-normalized'!$E:$E, MATCH($A81, 'UZ-normalized'!$A:$A, 0))), 0), 0)))</f>
        <v>-2397.25</v>
      </c>
      <c r="AN81" s="6">
        <f>MIN(0, N81+(IFERROR(IF(26*INDEX('UA-normalized'!$D:$D, MATCH($A81, 'UA-normalized'!$A:$A, 0))-INDEX('UA-normalized'!$E:$E, MATCH($A81, 'UA-normalized'!$A:$A, 0))&gt;0, -(26*INDEX('UA-normalized'!$D:$D, MATCH($A81, 'UA-normalized'!$A:$A, 0))-INDEX('UA-normalized'!$E:$E, MATCH($A81, 'UA-normalized'!$A:$A, 0))), 0), 0))+(IFERROR(IF(26*INDEX('KZ-normalized'!$D:$D, MATCH($A81, 'KZ-normalized'!$A:$A, 0))-INDEX('KZ-normalized'!$E:$E, MATCH($A81, 'KZ-normalized'!$A:$A, 0))&gt;0, -(26*INDEX('KZ-normalized'!$D:$D, MATCH($A81, 'KZ-normalized'!$A:$A, 0))-INDEX('KZ-normalized'!$E:$E, MATCH($A81, 'KZ-normalized'!$A:$A, 0))), 0), 0))+(IFERROR(IF(26*INDEX('UZ-normalized'!$D:$D, MATCH($A81, 'UZ-normalized'!$A:$A, 0))-INDEX('UZ-normalized'!$E:$E, MATCH($A81, 'UZ-normalized'!$A:$A, 0))&gt;0, -(26*INDEX('UZ-normalized'!$D:$D, MATCH($A81, 'UZ-normalized'!$A:$A, 0))-INDEX('UZ-normalized'!$E:$E, MATCH($A81, 'UZ-normalized'!$A:$A, 0))), 0), 0)))</f>
        <v>-2635.25</v>
      </c>
      <c r="AO81" s="6">
        <f>MIN(0, N81+(IFERROR(IF(27*INDEX('UA-normalized'!$D:$D, MATCH($A81, 'UA-normalized'!$A:$A, 0))-INDEX('UA-normalized'!$E:$E, MATCH($A81, 'UA-normalized'!$A:$A, 0))&gt;0, -(27*INDEX('UA-normalized'!$D:$D, MATCH($A81, 'UA-normalized'!$A:$A, 0))-INDEX('UA-normalized'!$E:$E, MATCH($A81, 'UA-normalized'!$A:$A, 0))), 0), 0))+(IFERROR(IF(27*INDEX('KZ-normalized'!$D:$D, MATCH($A81, 'KZ-normalized'!$A:$A, 0))-INDEX('KZ-normalized'!$E:$E, MATCH($A81, 'KZ-normalized'!$A:$A, 0))&gt;0, -(27*INDEX('KZ-normalized'!$D:$D, MATCH($A81, 'KZ-normalized'!$A:$A, 0))-INDEX('KZ-normalized'!$E:$E, MATCH($A81, 'KZ-normalized'!$A:$A, 0))), 0), 0))+(IFERROR(IF(27*INDEX('UZ-normalized'!$D:$D, MATCH($A81, 'UZ-normalized'!$A:$A, 0))-INDEX('UZ-normalized'!$E:$E, MATCH($A81, 'UZ-normalized'!$A:$A, 0))&gt;0, -(27*INDEX('UZ-normalized'!$D:$D, MATCH($A81, 'UZ-normalized'!$A:$A, 0))-INDEX('UZ-normalized'!$E:$E, MATCH($A81, 'UZ-normalized'!$A:$A, 0))), 0), 0)))</f>
        <v>-2873.25</v>
      </c>
      <c r="AP81" s="6">
        <f>MIN(0, N81+(IFERROR(IF(28*INDEX('UA-normalized'!$D:$D, MATCH($A81, 'UA-normalized'!$A:$A, 0))-INDEX('UA-normalized'!$E:$E, MATCH($A81, 'UA-normalized'!$A:$A, 0))&gt;0, -(28*INDEX('UA-normalized'!$D:$D, MATCH($A81, 'UA-normalized'!$A:$A, 0))-INDEX('UA-normalized'!$E:$E, MATCH($A81, 'UA-normalized'!$A:$A, 0))), 0), 0))+(IFERROR(IF(28*INDEX('KZ-normalized'!$D:$D, MATCH($A81, 'KZ-normalized'!$A:$A, 0))-INDEX('KZ-normalized'!$E:$E, MATCH($A81, 'KZ-normalized'!$A:$A, 0))&gt;0, -(28*INDEX('KZ-normalized'!$D:$D, MATCH($A81, 'KZ-normalized'!$A:$A, 0))-INDEX('KZ-normalized'!$E:$E, MATCH($A81, 'KZ-normalized'!$A:$A, 0))), 0), 0))+(IFERROR(IF(28*INDEX('UZ-normalized'!$D:$D, MATCH($A81, 'UZ-normalized'!$A:$A, 0))-INDEX('UZ-normalized'!$E:$E, MATCH($A81, 'UZ-normalized'!$A:$A, 0))&gt;0, -(28*INDEX('UZ-normalized'!$D:$D, MATCH($A81, 'UZ-normalized'!$A:$A, 0))-INDEX('UZ-normalized'!$E:$E, MATCH($A81, 'UZ-normalized'!$A:$A, 0))), 0), 0)))</f>
        <v>-3111.25</v>
      </c>
      <c r="AQ81" s="6">
        <f>MIN(0, N81+(IFERROR(IF(29*INDEX('UA-normalized'!$D:$D, MATCH($A81, 'UA-normalized'!$A:$A, 0))-INDEX('UA-normalized'!$E:$E, MATCH($A81, 'UA-normalized'!$A:$A, 0))&gt;0, -(29*INDEX('UA-normalized'!$D:$D, MATCH($A81, 'UA-normalized'!$A:$A, 0))-INDEX('UA-normalized'!$E:$E, MATCH($A81, 'UA-normalized'!$A:$A, 0))), 0), 0))+(IFERROR(IF(29*INDEX('KZ-normalized'!$D:$D, MATCH($A81, 'KZ-normalized'!$A:$A, 0))-INDEX('KZ-normalized'!$E:$E, MATCH($A81, 'KZ-normalized'!$A:$A, 0))&gt;0, -(29*INDEX('KZ-normalized'!$D:$D, MATCH($A81, 'KZ-normalized'!$A:$A, 0))-INDEX('KZ-normalized'!$E:$E, MATCH($A81, 'KZ-normalized'!$A:$A, 0))), 0), 0))+(IFERROR(IF(29*INDEX('UZ-normalized'!$D:$D, MATCH($A81, 'UZ-normalized'!$A:$A, 0))-INDEX('UZ-normalized'!$E:$E, MATCH($A81, 'UZ-normalized'!$A:$A, 0))&gt;0, -(29*INDEX('UZ-normalized'!$D:$D, MATCH($A81, 'UZ-normalized'!$A:$A, 0))-INDEX('UZ-normalized'!$E:$E, MATCH($A81, 'UZ-normalized'!$A:$A, 0))), 0), 0)))</f>
        <v>-3349.25</v>
      </c>
      <c r="AR81" s="6">
        <f>MIN(0, N81+(IFERROR(IF(30*INDEX('UA-normalized'!$D:$D, MATCH($A81, 'UA-normalized'!$A:$A, 0))-INDEX('UA-normalized'!$E:$E, MATCH($A81, 'UA-normalized'!$A:$A, 0))&gt;0, -(30*INDEX('UA-normalized'!$D:$D, MATCH($A81, 'UA-normalized'!$A:$A, 0))-INDEX('UA-normalized'!$E:$E, MATCH($A81, 'UA-normalized'!$A:$A, 0))), 0), 0))+(IFERROR(IF(30*INDEX('KZ-normalized'!$D:$D, MATCH($A81, 'KZ-normalized'!$A:$A, 0))-INDEX('KZ-normalized'!$E:$E, MATCH($A81, 'KZ-normalized'!$A:$A, 0))&gt;0, -(30*INDEX('KZ-normalized'!$D:$D, MATCH($A81, 'KZ-normalized'!$A:$A, 0))-INDEX('KZ-normalized'!$E:$E, MATCH($A81, 'KZ-normalized'!$A:$A, 0))), 0), 0))+(IFERROR(IF(30*INDEX('UZ-normalized'!$D:$D, MATCH($A81, 'UZ-normalized'!$A:$A, 0))-INDEX('UZ-normalized'!$E:$E, MATCH($A81, 'UZ-normalized'!$A:$A, 0))&gt;0, -(30*INDEX('UZ-normalized'!$D:$D, MATCH($A81, 'UZ-normalized'!$A:$A, 0))-INDEX('UZ-normalized'!$E:$E, MATCH($A81, 'UZ-normalized'!$A:$A, 0))), 0), 0)))</f>
        <v>-3587.25</v>
      </c>
    </row>
    <row r="82" spans="1:44" x14ac:dyDescent="0.25">
      <c r="A82" s="8" t="s">
        <v>214</v>
      </c>
      <c r="B82" s="8" t="s">
        <v>180</v>
      </c>
      <c r="C82" s="8" t="s">
        <v>206</v>
      </c>
      <c r="D82" s="8" t="s">
        <v>215</v>
      </c>
      <c r="E82">
        <v>1115</v>
      </c>
      <c r="N82">
        <f t="shared" si="1"/>
        <v>1115</v>
      </c>
      <c r="O82" s="6">
        <f>MIN(0, N82+(IFERROR(IF(1*INDEX('UA-normalized'!$D:$D, MATCH($A82, 'UA-normalized'!$A:$A, 0))-INDEX('UA-normalized'!$E:$E, MATCH($A82, 'UA-normalized'!$A:$A, 0))&gt;0, -(1*INDEX('UA-normalized'!$D:$D, MATCH($A82, 'UA-normalized'!$A:$A, 0))-INDEX('UA-normalized'!$E:$E, MATCH($A82, 'UA-normalized'!$A:$A, 0))), 0), 0))+(IFERROR(IF(1*INDEX('KZ-normalized'!$D:$D, MATCH($A82, 'KZ-normalized'!$A:$A, 0))-INDEX('KZ-normalized'!$E:$E, MATCH($A82, 'KZ-normalized'!$A:$A, 0))&gt;0, -(1*INDEX('KZ-normalized'!$D:$D, MATCH($A82, 'KZ-normalized'!$A:$A, 0))-INDEX('KZ-normalized'!$E:$E, MATCH($A82, 'KZ-normalized'!$A:$A, 0))), 0), 0))+(IFERROR(IF(1*INDEX('UZ-normalized'!$D:$D, MATCH($A82, 'UZ-normalized'!$A:$A, 0))-INDEX('UZ-normalized'!$E:$E, MATCH($A82, 'UZ-normalized'!$A:$A, 0))&gt;0, -(1*INDEX('UZ-normalized'!$D:$D, MATCH($A82, 'UZ-normalized'!$A:$A, 0))-INDEX('UZ-normalized'!$E:$E, MATCH($A82, 'UZ-normalized'!$A:$A, 0))), 0), 0)))</f>
        <v>0</v>
      </c>
      <c r="P82" s="6">
        <f>MIN(0, N82+(IFERROR(IF(2*INDEX('UA-normalized'!$D:$D, MATCH($A82, 'UA-normalized'!$A:$A, 0))-INDEX('UA-normalized'!$E:$E, MATCH($A82, 'UA-normalized'!$A:$A, 0))&gt;0, -(2*INDEX('UA-normalized'!$D:$D, MATCH($A82, 'UA-normalized'!$A:$A, 0))-INDEX('UA-normalized'!$E:$E, MATCH($A82, 'UA-normalized'!$A:$A, 0))), 0), 0))+(IFERROR(IF(2*INDEX('KZ-normalized'!$D:$D, MATCH($A82, 'KZ-normalized'!$A:$A, 0))-INDEX('KZ-normalized'!$E:$E, MATCH($A82, 'KZ-normalized'!$A:$A, 0))&gt;0, -(2*INDEX('KZ-normalized'!$D:$D, MATCH($A82, 'KZ-normalized'!$A:$A, 0))-INDEX('KZ-normalized'!$E:$E, MATCH($A82, 'KZ-normalized'!$A:$A, 0))), 0), 0))+(IFERROR(IF(2*INDEX('UZ-normalized'!$D:$D, MATCH($A82, 'UZ-normalized'!$A:$A, 0))-INDEX('UZ-normalized'!$E:$E, MATCH($A82, 'UZ-normalized'!$A:$A, 0))&gt;0, -(2*INDEX('UZ-normalized'!$D:$D, MATCH($A82, 'UZ-normalized'!$A:$A, 0))-INDEX('UZ-normalized'!$E:$E, MATCH($A82, 'UZ-normalized'!$A:$A, 0))), 0), 0)))</f>
        <v>0</v>
      </c>
      <c r="Q82" s="6">
        <f>MIN(0, N82+(IFERROR(IF(3*INDEX('UA-normalized'!$D:$D, MATCH($A82, 'UA-normalized'!$A:$A, 0))-INDEX('UA-normalized'!$E:$E, MATCH($A82, 'UA-normalized'!$A:$A, 0))&gt;0, -(3*INDEX('UA-normalized'!$D:$D, MATCH($A82, 'UA-normalized'!$A:$A, 0))-INDEX('UA-normalized'!$E:$E, MATCH($A82, 'UA-normalized'!$A:$A, 0))), 0), 0))+(IFERROR(IF(3*INDEX('KZ-normalized'!$D:$D, MATCH($A82, 'KZ-normalized'!$A:$A, 0))-INDEX('KZ-normalized'!$E:$E, MATCH($A82, 'KZ-normalized'!$A:$A, 0))&gt;0, -(3*INDEX('KZ-normalized'!$D:$D, MATCH($A82, 'KZ-normalized'!$A:$A, 0))-INDEX('KZ-normalized'!$E:$E, MATCH($A82, 'KZ-normalized'!$A:$A, 0))), 0), 0))+(IFERROR(IF(3*INDEX('UZ-normalized'!$D:$D, MATCH($A82, 'UZ-normalized'!$A:$A, 0))-INDEX('UZ-normalized'!$E:$E, MATCH($A82, 'UZ-normalized'!$A:$A, 0))&gt;0, -(3*INDEX('UZ-normalized'!$D:$D, MATCH($A82, 'UZ-normalized'!$A:$A, 0))-INDEX('UZ-normalized'!$E:$E, MATCH($A82, 'UZ-normalized'!$A:$A, 0))), 0), 0)))</f>
        <v>0</v>
      </c>
      <c r="R82" s="6">
        <f>MIN(0, N82+(IFERROR(IF(4*INDEX('UA-normalized'!$D:$D, MATCH($A82, 'UA-normalized'!$A:$A, 0))-INDEX('UA-normalized'!$E:$E, MATCH($A82, 'UA-normalized'!$A:$A, 0))&gt;0, -(4*INDEX('UA-normalized'!$D:$D, MATCH($A82, 'UA-normalized'!$A:$A, 0))-INDEX('UA-normalized'!$E:$E, MATCH($A82, 'UA-normalized'!$A:$A, 0))), 0), 0))+(IFERROR(IF(4*INDEX('KZ-normalized'!$D:$D, MATCH($A82, 'KZ-normalized'!$A:$A, 0))-INDEX('KZ-normalized'!$E:$E, MATCH($A82, 'KZ-normalized'!$A:$A, 0))&gt;0, -(4*INDEX('KZ-normalized'!$D:$D, MATCH($A82, 'KZ-normalized'!$A:$A, 0))-INDEX('KZ-normalized'!$E:$E, MATCH($A82, 'KZ-normalized'!$A:$A, 0))), 0), 0))+(IFERROR(IF(4*INDEX('UZ-normalized'!$D:$D, MATCH($A82, 'UZ-normalized'!$A:$A, 0))-INDEX('UZ-normalized'!$E:$E, MATCH($A82, 'UZ-normalized'!$A:$A, 0))&gt;0, -(4*INDEX('UZ-normalized'!$D:$D, MATCH($A82, 'UZ-normalized'!$A:$A, 0))-INDEX('UZ-normalized'!$E:$E, MATCH($A82, 'UZ-normalized'!$A:$A, 0))), 0), 0)))</f>
        <v>0</v>
      </c>
      <c r="S82" s="6">
        <f>MIN(0, N82+(IFERROR(IF(5*INDEX('UA-normalized'!$D:$D, MATCH($A82, 'UA-normalized'!$A:$A, 0))-INDEX('UA-normalized'!$E:$E, MATCH($A82, 'UA-normalized'!$A:$A, 0))&gt;0, -(5*INDEX('UA-normalized'!$D:$D, MATCH($A82, 'UA-normalized'!$A:$A, 0))-INDEX('UA-normalized'!$E:$E, MATCH($A82, 'UA-normalized'!$A:$A, 0))), 0), 0))+(IFERROR(IF(5*INDEX('KZ-normalized'!$D:$D, MATCH($A82, 'KZ-normalized'!$A:$A, 0))-INDEX('KZ-normalized'!$E:$E, MATCH($A82, 'KZ-normalized'!$A:$A, 0))&gt;0, -(5*INDEX('KZ-normalized'!$D:$D, MATCH($A82, 'KZ-normalized'!$A:$A, 0))-INDEX('KZ-normalized'!$E:$E, MATCH($A82, 'KZ-normalized'!$A:$A, 0))), 0), 0))+(IFERROR(IF(5*INDEX('UZ-normalized'!$D:$D, MATCH($A82, 'UZ-normalized'!$A:$A, 0))-INDEX('UZ-normalized'!$E:$E, MATCH($A82, 'UZ-normalized'!$A:$A, 0))&gt;0, -(5*INDEX('UZ-normalized'!$D:$D, MATCH($A82, 'UZ-normalized'!$A:$A, 0))-INDEX('UZ-normalized'!$E:$E, MATCH($A82, 'UZ-normalized'!$A:$A, 0))), 0), 0)))</f>
        <v>0</v>
      </c>
      <c r="T82" s="6">
        <f>MIN(0, N82+(IFERROR(IF(6*INDEX('UA-normalized'!$D:$D, MATCH($A82, 'UA-normalized'!$A:$A, 0))-INDEX('UA-normalized'!$E:$E, MATCH($A82, 'UA-normalized'!$A:$A, 0))&gt;0, -(6*INDEX('UA-normalized'!$D:$D, MATCH($A82, 'UA-normalized'!$A:$A, 0))-INDEX('UA-normalized'!$E:$E, MATCH($A82, 'UA-normalized'!$A:$A, 0))), 0), 0))+(IFERROR(IF(6*INDEX('KZ-normalized'!$D:$D, MATCH($A82, 'KZ-normalized'!$A:$A, 0))-INDEX('KZ-normalized'!$E:$E, MATCH($A82, 'KZ-normalized'!$A:$A, 0))&gt;0, -(6*INDEX('KZ-normalized'!$D:$D, MATCH($A82, 'KZ-normalized'!$A:$A, 0))-INDEX('KZ-normalized'!$E:$E, MATCH($A82, 'KZ-normalized'!$A:$A, 0))), 0), 0))+(IFERROR(IF(6*INDEX('UZ-normalized'!$D:$D, MATCH($A82, 'UZ-normalized'!$A:$A, 0))-INDEX('UZ-normalized'!$E:$E, MATCH($A82, 'UZ-normalized'!$A:$A, 0))&gt;0, -(6*INDEX('UZ-normalized'!$D:$D, MATCH($A82, 'UZ-normalized'!$A:$A, 0))-INDEX('UZ-normalized'!$E:$E, MATCH($A82, 'UZ-normalized'!$A:$A, 0))), 0), 0)))</f>
        <v>0</v>
      </c>
      <c r="U82" s="6">
        <f>MIN(0, N82+(IFERROR(IF(7*INDEX('UA-normalized'!$D:$D, MATCH($A82, 'UA-normalized'!$A:$A, 0))-INDEX('UA-normalized'!$E:$E, MATCH($A82, 'UA-normalized'!$A:$A, 0))&gt;0, -(7*INDEX('UA-normalized'!$D:$D, MATCH($A82, 'UA-normalized'!$A:$A, 0))-INDEX('UA-normalized'!$E:$E, MATCH($A82, 'UA-normalized'!$A:$A, 0))), 0), 0))+(IFERROR(IF(7*INDEX('KZ-normalized'!$D:$D, MATCH($A82, 'KZ-normalized'!$A:$A, 0))-INDEX('KZ-normalized'!$E:$E, MATCH($A82, 'KZ-normalized'!$A:$A, 0))&gt;0, -(7*INDEX('KZ-normalized'!$D:$D, MATCH($A82, 'KZ-normalized'!$A:$A, 0))-INDEX('KZ-normalized'!$E:$E, MATCH($A82, 'KZ-normalized'!$A:$A, 0))), 0), 0))+(IFERROR(IF(7*INDEX('UZ-normalized'!$D:$D, MATCH($A82, 'UZ-normalized'!$A:$A, 0))-INDEX('UZ-normalized'!$E:$E, MATCH($A82, 'UZ-normalized'!$A:$A, 0))&gt;0, -(7*INDEX('UZ-normalized'!$D:$D, MATCH($A82, 'UZ-normalized'!$A:$A, 0))-INDEX('UZ-normalized'!$E:$E, MATCH($A82, 'UZ-normalized'!$A:$A, 0))), 0), 0)))</f>
        <v>0</v>
      </c>
      <c r="V82" s="6">
        <f>MIN(0, N82+(IFERROR(IF(8*INDEX('UA-normalized'!$D:$D, MATCH($A82, 'UA-normalized'!$A:$A, 0))-INDEX('UA-normalized'!$E:$E, MATCH($A82, 'UA-normalized'!$A:$A, 0))&gt;0, -(8*INDEX('UA-normalized'!$D:$D, MATCH($A82, 'UA-normalized'!$A:$A, 0))-INDEX('UA-normalized'!$E:$E, MATCH($A82, 'UA-normalized'!$A:$A, 0))), 0), 0))+(IFERROR(IF(8*INDEX('KZ-normalized'!$D:$D, MATCH($A82, 'KZ-normalized'!$A:$A, 0))-INDEX('KZ-normalized'!$E:$E, MATCH($A82, 'KZ-normalized'!$A:$A, 0))&gt;0, -(8*INDEX('KZ-normalized'!$D:$D, MATCH($A82, 'KZ-normalized'!$A:$A, 0))-INDEX('KZ-normalized'!$E:$E, MATCH($A82, 'KZ-normalized'!$A:$A, 0))), 0), 0))+(IFERROR(IF(8*INDEX('UZ-normalized'!$D:$D, MATCH($A82, 'UZ-normalized'!$A:$A, 0))-INDEX('UZ-normalized'!$E:$E, MATCH($A82, 'UZ-normalized'!$A:$A, 0))&gt;0, -(8*INDEX('UZ-normalized'!$D:$D, MATCH($A82, 'UZ-normalized'!$A:$A, 0))-INDEX('UZ-normalized'!$E:$E, MATCH($A82, 'UZ-normalized'!$A:$A, 0))), 0), 0)))</f>
        <v>0</v>
      </c>
      <c r="W82" s="6">
        <f>MIN(0, N82+(IFERROR(IF(9*INDEX('UA-normalized'!$D:$D, MATCH($A82, 'UA-normalized'!$A:$A, 0))-INDEX('UA-normalized'!$E:$E, MATCH($A82, 'UA-normalized'!$A:$A, 0))&gt;0, -(9*INDEX('UA-normalized'!$D:$D, MATCH($A82, 'UA-normalized'!$A:$A, 0))-INDEX('UA-normalized'!$E:$E, MATCH($A82, 'UA-normalized'!$A:$A, 0))), 0), 0))+(IFERROR(IF(9*INDEX('KZ-normalized'!$D:$D, MATCH($A82, 'KZ-normalized'!$A:$A, 0))-INDEX('KZ-normalized'!$E:$E, MATCH($A82, 'KZ-normalized'!$A:$A, 0))&gt;0, -(9*INDEX('KZ-normalized'!$D:$D, MATCH($A82, 'KZ-normalized'!$A:$A, 0))-INDEX('KZ-normalized'!$E:$E, MATCH($A82, 'KZ-normalized'!$A:$A, 0))), 0), 0))+(IFERROR(IF(9*INDEX('UZ-normalized'!$D:$D, MATCH($A82, 'UZ-normalized'!$A:$A, 0))-INDEX('UZ-normalized'!$E:$E, MATCH($A82, 'UZ-normalized'!$A:$A, 0))&gt;0, -(9*INDEX('UZ-normalized'!$D:$D, MATCH($A82, 'UZ-normalized'!$A:$A, 0))-INDEX('UZ-normalized'!$E:$E, MATCH($A82, 'UZ-normalized'!$A:$A, 0))), 0), 0)))</f>
        <v>0</v>
      </c>
      <c r="X82" s="6">
        <f>MIN(0, N82+(IFERROR(IF(10*INDEX('UA-normalized'!$D:$D, MATCH($A82, 'UA-normalized'!$A:$A, 0))-INDEX('UA-normalized'!$E:$E, MATCH($A82, 'UA-normalized'!$A:$A, 0))&gt;0, -(10*INDEX('UA-normalized'!$D:$D, MATCH($A82, 'UA-normalized'!$A:$A, 0))-INDEX('UA-normalized'!$E:$E, MATCH($A82, 'UA-normalized'!$A:$A, 0))), 0), 0))+(IFERROR(IF(10*INDEX('KZ-normalized'!$D:$D, MATCH($A82, 'KZ-normalized'!$A:$A, 0))-INDEX('KZ-normalized'!$E:$E, MATCH($A82, 'KZ-normalized'!$A:$A, 0))&gt;0, -(10*INDEX('KZ-normalized'!$D:$D, MATCH($A82, 'KZ-normalized'!$A:$A, 0))-INDEX('KZ-normalized'!$E:$E, MATCH($A82, 'KZ-normalized'!$A:$A, 0))), 0), 0))+(IFERROR(IF(10*INDEX('UZ-normalized'!$D:$D, MATCH($A82, 'UZ-normalized'!$A:$A, 0))-INDEX('UZ-normalized'!$E:$E, MATCH($A82, 'UZ-normalized'!$A:$A, 0))&gt;0, -(10*INDEX('UZ-normalized'!$D:$D, MATCH($A82, 'UZ-normalized'!$A:$A, 0))-INDEX('UZ-normalized'!$E:$E, MATCH($A82, 'UZ-normalized'!$A:$A, 0))), 0), 0)))</f>
        <v>0</v>
      </c>
      <c r="Y82" s="6">
        <f>MIN(0, N82+(IFERROR(IF(11*INDEX('UA-normalized'!$D:$D, MATCH($A82, 'UA-normalized'!$A:$A, 0))-INDEX('UA-normalized'!$E:$E, MATCH($A82, 'UA-normalized'!$A:$A, 0))&gt;0, -(11*INDEX('UA-normalized'!$D:$D, MATCH($A82, 'UA-normalized'!$A:$A, 0))-INDEX('UA-normalized'!$E:$E, MATCH($A82, 'UA-normalized'!$A:$A, 0))), 0), 0))+(IFERROR(IF(11*INDEX('KZ-normalized'!$D:$D, MATCH($A82, 'KZ-normalized'!$A:$A, 0))-INDEX('KZ-normalized'!$E:$E, MATCH($A82, 'KZ-normalized'!$A:$A, 0))&gt;0, -(11*INDEX('KZ-normalized'!$D:$D, MATCH($A82, 'KZ-normalized'!$A:$A, 0))-INDEX('KZ-normalized'!$E:$E, MATCH($A82, 'KZ-normalized'!$A:$A, 0))), 0), 0))+(IFERROR(IF(11*INDEX('UZ-normalized'!$D:$D, MATCH($A82, 'UZ-normalized'!$A:$A, 0))-INDEX('UZ-normalized'!$E:$E, MATCH($A82, 'UZ-normalized'!$A:$A, 0))&gt;0, -(11*INDEX('UZ-normalized'!$D:$D, MATCH($A82, 'UZ-normalized'!$A:$A, 0))-INDEX('UZ-normalized'!$E:$E, MATCH($A82, 'UZ-normalized'!$A:$A, 0))), 0), 0)))</f>
        <v>0</v>
      </c>
      <c r="Z82" s="6">
        <f>MIN(0, N82+(IFERROR(IF(12*INDEX('UA-normalized'!$D:$D, MATCH($A82, 'UA-normalized'!$A:$A, 0))-INDEX('UA-normalized'!$E:$E, MATCH($A82, 'UA-normalized'!$A:$A, 0))&gt;0, -(12*INDEX('UA-normalized'!$D:$D, MATCH($A82, 'UA-normalized'!$A:$A, 0))-INDEX('UA-normalized'!$E:$E, MATCH($A82, 'UA-normalized'!$A:$A, 0))), 0), 0))+(IFERROR(IF(12*INDEX('KZ-normalized'!$D:$D, MATCH($A82, 'KZ-normalized'!$A:$A, 0))-INDEX('KZ-normalized'!$E:$E, MATCH($A82, 'KZ-normalized'!$A:$A, 0))&gt;0, -(12*INDEX('KZ-normalized'!$D:$D, MATCH($A82, 'KZ-normalized'!$A:$A, 0))-INDEX('KZ-normalized'!$E:$E, MATCH($A82, 'KZ-normalized'!$A:$A, 0))), 0), 0))+(IFERROR(IF(12*INDEX('UZ-normalized'!$D:$D, MATCH($A82, 'UZ-normalized'!$A:$A, 0))-INDEX('UZ-normalized'!$E:$E, MATCH($A82, 'UZ-normalized'!$A:$A, 0))&gt;0, -(12*INDEX('UZ-normalized'!$D:$D, MATCH($A82, 'UZ-normalized'!$A:$A, 0))-INDEX('UZ-normalized'!$E:$E, MATCH($A82, 'UZ-normalized'!$A:$A, 0))), 0), 0)))</f>
        <v>0</v>
      </c>
      <c r="AA82" s="6">
        <f>MIN(0, N82+(IFERROR(IF(13*INDEX('UA-normalized'!$D:$D, MATCH($A82, 'UA-normalized'!$A:$A, 0))-INDEX('UA-normalized'!$E:$E, MATCH($A82, 'UA-normalized'!$A:$A, 0))&gt;0, -(13*INDEX('UA-normalized'!$D:$D, MATCH($A82, 'UA-normalized'!$A:$A, 0))-INDEX('UA-normalized'!$E:$E, MATCH($A82, 'UA-normalized'!$A:$A, 0))), 0), 0))+(IFERROR(IF(13*INDEX('KZ-normalized'!$D:$D, MATCH($A82, 'KZ-normalized'!$A:$A, 0))-INDEX('KZ-normalized'!$E:$E, MATCH($A82, 'KZ-normalized'!$A:$A, 0))&gt;0, -(13*INDEX('KZ-normalized'!$D:$D, MATCH($A82, 'KZ-normalized'!$A:$A, 0))-INDEX('KZ-normalized'!$E:$E, MATCH($A82, 'KZ-normalized'!$A:$A, 0))), 0), 0))+(IFERROR(IF(13*INDEX('UZ-normalized'!$D:$D, MATCH($A82, 'UZ-normalized'!$A:$A, 0))-INDEX('UZ-normalized'!$E:$E, MATCH($A82, 'UZ-normalized'!$A:$A, 0))&gt;0, -(13*INDEX('UZ-normalized'!$D:$D, MATCH($A82, 'UZ-normalized'!$A:$A, 0))-INDEX('UZ-normalized'!$E:$E, MATCH($A82, 'UZ-normalized'!$A:$A, 0))), 0), 0)))</f>
        <v>0</v>
      </c>
      <c r="AB82" s="6">
        <f>MIN(0, N82+(IFERROR(IF(14*INDEX('UA-normalized'!$D:$D, MATCH($A82, 'UA-normalized'!$A:$A, 0))-INDEX('UA-normalized'!$E:$E, MATCH($A82, 'UA-normalized'!$A:$A, 0))&gt;0, -(14*INDEX('UA-normalized'!$D:$D, MATCH($A82, 'UA-normalized'!$A:$A, 0))-INDEX('UA-normalized'!$E:$E, MATCH($A82, 'UA-normalized'!$A:$A, 0))), 0), 0))+(IFERROR(IF(14*INDEX('KZ-normalized'!$D:$D, MATCH($A82, 'KZ-normalized'!$A:$A, 0))-INDEX('KZ-normalized'!$E:$E, MATCH($A82, 'KZ-normalized'!$A:$A, 0))&gt;0, -(14*INDEX('KZ-normalized'!$D:$D, MATCH($A82, 'KZ-normalized'!$A:$A, 0))-INDEX('KZ-normalized'!$E:$E, MATCH($A82, 'KZ-normalized'!$A:$A, 0))), 0), 0))+(IFERROR(IF(14*INDEX('UZ-normalized'!$D:$D, MATCH($A82, 'UZ-normalized'!$A:$A, 0))-INDEX('UZ-normalized'!$E:$E, MATCH($A82, 'UZ-normalized'!$A:$A, 0))&gt;0, -(14*INDEX('UZ-normalized'!$D:$D, MATCH($A82, 'UZ-normalized'!$A:$A, 0))-INDEX('UZ-normalized'!$E:$E, MATCH($A82, 'UZ-normalized'!$A:$A, 0))), 0), 0)))</f>
        <v>0</v>
      </c>
      <c r="AC82" s="6">
        <f>MIN(0, N82+(IFERROR(IF(15*INDEX('UA-normalized'!$D:$D, MATCH($A82, 'UA-normalized'!$A:$A, 0))-INDEX('UA-normalized'!$E:$E, MATCH($A82, 'UA-normalized'!$A:$A, 0))&gt;0, -(15*INDEX('UA-normalized'!$D:$D, MATCH($A82, 'UA-normalized'!$A:$A, 0))-INDEX('UA-normalized'!$E:$E, MATCH($A82, 'UA-normalized'!$A:$A, 0))), 0), 0))+(IFERROR(IF(15*INDEX('KZ-normalized'!$D:$D, MATCH($A82, 'KZ-normalized'!$A:$A, 0))-INDEX('KZ-normalized'!$E:$E, MATCH($A82, 'KZ-normalized'!$A:$A, 0))&gt;0, -(15*INDEX('KZ-normalized'!$D:$D, MATCH($A82, 'KZ-normalized'!$A:$A, 0))-INDEX('KZ-normalized'!$E:$E, MATCH($A82, 'KZ-normalized'!$A:$A, 0))), 0), 0))+(IFERROR(IF(15*INDEX('UZ-normalized'!$D:$D, MATCH($A82, 'UZ-normalized'!$A:$A, 0))-INDEX('UZ-normalized'!$E:$E, MATCH($A82, 'UZ-normalized'!$A:$A, 0))&gt;0, -(15*INDEX('UZ-normalized'!$D:$D, MATCH($A82, 'UZ-normalized'!$A:$A, 0))-INDEX('UZ-normalized'!$E:$E, MATCH($A82, 'UZ-normalized'!$A:$A, 0))), 0), 0)))</f>
        <v>0</v>
      </c>
      <c r="AD82" s="6">
        <f>MIN(0, N82+(IFERROR(IF(16*INDEX('UA-normalized'!$D:$D, MATCH($A82, 'UA-normalized'!$A:$A, 0))-INDEX('UA-normalized'!$E:$E, MATCH($A82, 'UA-normalized'!$A:$A, 0))&gt;0, -(16*INDEX('UA-normalized'!$D:$D, MATCH($A82, 'UA-normalized'!$A:$A, 0))-INDEX('UA-normalized'!$E:$E, MATCH($A82, 'UA-normalized'!$A:$A, 0))), 0), 0))+(IFERROR(IF(16*INDEX('KZ-normalized'!$D:$D, MATCH($A82, 'KZ-normalized'!$A:$A, 0))-INDEX('KZ-normalized'!$E:$E, MATCH($A82, 'KZ-normalized'!$A:$A, 0))&gt;0, -(16*INDEX('KZ-normalized'!$D:$D, MATCH($A82, 'KZ-normalized'!$A:$A, 0))-INDEX('KZ-normalized'!$E:$E, MATCH($A82, 'KZ-normalized'!$A:$A, 0))), 0), 0))+(IFERROR(IF(16*INDEX('UZ-normalized'!$D:$D, MATCH($A82, 'UZ-normalized'!$A:$A, 0))-INDEX('UZ-normalized'!$E:$E, MATCH($A82, 'UZ-normalized'!$A:$A, 0))&gt;0, -(16*INDEX('UZ-normalized'!$D:$D, MATCH($A82, 'UZ-normalized'!$A:$A, 0))-INDEX('UZ-normalized'!$E:$E, MATCH($A82, 'UZ-normalized'!$A:$A, 0))), 0), 0)))</f>
        <v>0</v>
      </c>
      <c r="AE82" s="6">
        <f>MIN(0, N82+(IFERROR(IF(17*INDEX('UA-normalized'!$D:$D, MATCH($A82, 'UA-normalized'!$A:$A, 0))-INDEX('UA-normalized'!$E:$E, MATCH($A82, 'UA-normalized'!$A:$A, 0))&gt;0, -(17*INDEX('UA-normalized'!$D:$D, MATCH($A82, 'UA-normalized'!$A:$A, 0))-INDEX('UA-normalized'!$E:$E, MATCH($A82, 'UA-normalized'!$A:$A, 0))), 0), 0))+(IFERROR(IF(17*INDEX('KZ-normalized'!$D:$D, MATCH($A82, 'KZ-normalized'!$A:$A, 0))-INDEX('KZ-normalized'!$E:$E, MATCH($A82, 'KZ-normalized'!$A:$A, 0))&gt;0, -(17*INDEX('KZ-normalized'!$D:$D, MATCH($A82, 'KZ-normalized'!$A:$A, 0))-INDEX('KZ-normalized'!$E:$E, MATCH($A82, 'KZ-normalized'!$A:$A, 0))), 0), 0))+(IFERROR(IF(17*INDEX('UZ-normalized'!$D:$D, MATCH($A82, 'UZ-normalized'!$A:$A, 0))-INDEX('UZ-normalized'!$E:$E, MATCH($A82, 'UZ-normalized'!$A:$A, 0))&gt;0, -(17*INDEX('UZ-normalized'!$D:$D, MATCH($A82, 'UZ-normalized'!$A:$A, 0))-INDEX('UZ-normalized'!$E:$E, MATCH($A82, 'UZ-normalized'!$A:$A, 0))), 0), 0)))</f>
        <v>0</v>
      </c>
      <c r="AF82" s="6">
        <f>MIN(0, N82+(IFERROR(IF(18*INDEX('UA-normalized'!$D:$D, MATCH($A82, 'UA-normalized'!$A:$A, 0))-INDEX('UA-normalized'!$E:$E, MATCH($A82, 'UA-normalized'!$A:$A, 0))&gt;0, -(18*INDEX('UA-normalized'!$D:$D, MATCH($A82, 'UA-normalized'!$A:$A, 0))-INDEX('UA-normalized'!$E:$E, MATCH($A82, 'UA-normalized'!$A:$A, 0))), 0), 0))+(IFERROR(IF(18*INDEX('KZ-normalized'!$D:$D, MATCH($A82, 'KZ-normalized'!$A:$A, 0))-INDEX('KZ-normalized'!$E:$E, MATCH($A82, 'KZ-normalized'!$A:$A, 0))&gt;0, -(18*INDEX('KZ-normalized'!$D:$D, MATCH($A82, 'KZ-normalized'!$A:$A, 0))-INDEX('KZ-normalized'!$E:$E, MATCH($A82, 'KZ-normalized'!$A:$A, 0))), 0), 0))+(IFERROR(IF(18*INDEX('UZ-normalized'!$D:$D, MATCH($A82, 'UZ-normalized'!$A:$A, 0))-INDEX('UZ-normalized'!$E:$E, MATCH($A82, 'UZ-normalized'!$A:$A, 0))&gt;0, -(18*INDEX('UZ-normalized'!$D:$D, MATCH($A82, 'UZ-normalized'!$A:$A, 0))-INDEX('UZ-normalized'!$E:$E, MATCH($A82, 'UZ-normalized'!$A:$A, 0))), 0), 0)))</f>
        <v>-71.399999999999977</v>
      </c>
      <c r="AG82" s="6">
        <f>MIN(0, N82+(IFERROR(IF(19*INDEX('UA-normalized'!$D:$D, MATCH($A82, 'UA-normalized'!$A:$A, 0))-INDEX('UA-normalized'!$E:$E, MATCH($A82, 'UA-normalized'!$A:$A, 0))&gt;0, -(19*INDEX('UA-normalized'!$D:$D, MATCH($A82, 'UA-normalized'!$A:$A, 0))-INDEX('UA-normalized'!$E:$E, MATCH($A82, 'UA-normalized'!$A:$A, 0))), 0), 0))+(IFERROR(IF(19*INDEX('KZ-normalized'!$D:$D, MATCH($A82, 'KZ-normalized'!$A:$A, 0))-INDEX('KZ-normalized'!$E:$E, MATCH($A82, 'KZ-normalized'!$A:$A, 0))&gt;0, -(19*INDEX('KZ-normalized'!$D:$D, MATCH($A82, 'KZ-normalized'!$A:$A, 0))-INDEX('KZ-normalized'!$E:$E, MATCH($A82, 'KZ-normalized'!$A:$A, 0))), 0), 0))+(IFERROR(IF(19*INDEX('UZ-normalized'!$D:$D, MATCH($A82, 'UZ-normalized'!$A:$A, 0))-INDEX('UZ-normalized'!$E:$E, MATCH($A82, 'UZ-normalized'!$A:$A, 0))&gt;0, -(19*INDEX('UZ-normalized'!$D:$D, MATCH($A82, 'UZ-normalized'!$A:$A, 0))-INDEX('UZ-normalized'!$E:$E, MATCH($A82, 'UZ-normalized'!$A:$A, 0))), 0), 0)))</f>
        <v>-157.69999999999993</v>
      </c>
      <c r="AH82" s="6">
        <f>MIN(0, N82+(IFERROR(IF(20*INDEX('UA-normalized'!$D:$D, MATCH($A82, 'UA-normalized'!$A:$A, 0))-INDEX('UA-normalized'!$E:$E, MATCH($A82, 'UA-normalized'!$A:$A, 0))&gt;0, -(20*INDEX('UA-normalized'!$D:$D, MATCH($A82, 'UA-normalized'!$A:$A, 0))-INDEX('UA-normalized'!$E:$E, MATCH($A82, 'UA-normalized'!$A:$A, 0))), 0), 0))+(IFERROR(IF(20*INDEX('KZ-normalized'!$D:$D, MATCH($A82, 'KZ-normalized'!$A:$A, 0))-INDEX('KZ-normalized'!$E:$E, MATCH($A82, 'KZ-normalized'!$A:$A, 0))&gt;0, -(20*INDEX('KZ-normalized'!$D:$D, MATCH($A82, 'KZ-normalized'!$A:$A, 0))-INDEX('KZ-normalized'!$E:$E, MATCH($A82, 'KZ-normalized'!$A:$A, 0))), 0), 0))+(IFERROR(IF(20*INDEX('UZ-normalized'!$D:$D, MATCH($A82, 'UZ-normalized'!$A:$A, 0))-INDEX('UZ-normalized'!$E:$E, MATCH($A82, 'UZ-normalized'!$A:$A, 0))&gt;0, -(20*INDEX('UZ-normalized'!$D:$D, MATCH($A82, 'UZ-normalized'!$A:$A, 0))-INDEX('UZ-normalized'!$E:$E, MATCH($A82, 'UZ-normalized'!$A:$A, 0))), 0), 0)))</f>
        <v>-244</v>
      </c>
      <c r="AI82" s="6">
        <f>MIN(0, N82+(IFERROR(IF(21*INDEX('UA-normalized'!$D:$D, MATCH($A82, 'UA-normalized'!$A:$A, 0))-INDEX('UA-normalized'!$E:$E, MATCH($A82, 'UA-normalized'!$A:$A, 0))&gt;0, -(21*INDEX('UA-normalized'!$D:$D, MATCH($A82, 'UA-normalized'!$A:$A, 0))-INDEX('UA-normalized'!$E:$E, MATCH($A82, 'UA-normalized'!$A:$A, 0))), 0), 0))+(IFERROR(IF(21*INDEX('KZ-normalized'!$D:$D, MATCH($A82, 'KZ-normalized'!$A:$A, 0))-INDEX('KZ-normalized'!$E:$E, MATCH($A82, 'KZ-normalized'!$A:$A, 0))&gt;0, -(21*INDEX('KZ-normalized'!$D:$D, MATCH($A82, 'KZ-normalized'!$A:$A, 0))-INDEX('KZ-normalized'!$E:$E, MATCH($A82, 'KZ-normalized'!$A:$A, 0))), 0), 0))+(IFERROR(IF(21*INDEX('UZ-normalized'!$D:$D, MATCH($A82, 'UZ-normalized'!$A:$A, 0))-INDEX('UZ-normalized'!$E:$E, MATCH($A82, 'UZ-normalized'!$A:$A, 0))&gt;0, -(21*INDEX('UZ-normalized'!$D:$D, MATCH($A82, 'UZ-normalized'!$A:$A, 0))-INDEX('UZ-normalized'!$E:$E, MATCH($A82, 'UZ-normalized'!$A:$A, 0))), 0), 0)))</f>
        <v>-330.29999999999995</v>
      </c>
      <c r="AJ82" s="6">
        <f>MIN(0, N82+(IFERROR(IF(22*INDEX('UA-normalized'!$D:$D, MATCH($A82, 'UA-normalized'!$A:$A, 0))-INDEX('UA-normalized'!$E:$E, MATCH($A82, 'UA-normalized'!$A:$A, 0))&gt;0, -(22*INDEX('UA-normalized'!$D:$D, MATCH($A82, 'UA-normalized'!$A:$A, 0))-INDEX('UA-normalized'!$E:$E, MATCH($A82, 'UA-normalized'!$A:$A, 0))), 0), 0))+(IFERROR(IF(22*INDEX('KZ-normalized'!$D:$D, MATCH($A82, 'KZ-normalized'!$A:$A, 0))-INDEX('KZ-normalized'!$E:$E, MATCH($A82, 'KZ-normalized'!$A:$A, 0))&gt;0, -(22*INDEX('KZ-normalized'!$D:$D, MATCH($A82, 'KZ-normalized'!$A:$A, 0))-INDEX('KZ-normalized'!$E:$E, MATCH($A82, 'KZ-normalized'!$A:$A, 0))), 0), 0))+(IFERROR(IF(22*INDEX('UZ-normalized'!$D:$D, MATCH($A82, 'UZ-normalized'!$A:$A, 0))-INDEX('UZ-normalized'!$E:$E, MATCH($A82, 'UZ-normalized'!$A:$A, 0))&gt;0, -(22*INDEX('UZ-normalized'!$D:$D, MATCH($A82, 'UZ-normalized'!$A:$A, 0))-INDEX('UZ-normalized'!$E:$E, MATCH($A82, 'UZ-normalized'!$A:$A, 0))), 0), 0)))</f>
        <v>-416.6</v>
      </c>
      <c r="AK82" s="6">
        <f>MIN(0, N82+(IFERROR(IF(23*INDEX('UA-normalized'!$D:$D, MATCH($A82, 'UA-normalized'!$A:$A, 0))-INDEX('UA-normalized'!$E:$E, MATCH($A82, 'UA-normalized'!$A:$A, 0))&gt;0, -(23*INDEX('UA-normalized'!$D:$D, MATCH($A82, 'UA-normalized'!$A:$A, 0))-INDEX('UA-normalized'!$E:$E, MATCH($A82, 'UA-normalized'!$A:$A, 0))), 0), 0))+(IFERROR(IF(23*INDEX('KZ-normalized'!$D:$D, MATCH($A82, 'KZ-normalized'!$A:$A, 0))-INDEX('KZ-normalized'!$E:$E, MATCH($A82, 'KZ-normalized'!$A:$A, 0))&gt;0, -(23*INDEX('KZ-normalized'!$D:$D, MATCH($A82, 'KZ-normalized'!$A:$A, 0))-INDEX('KZ-normalized'!$E:$E, MATCH($A82, 'KZ-normalized'!$A:$A, 0))), 0), 0))+(IFERROR(IF(23*INDEX('UZ-normalized'!$D:$D, MATCH($A82, 'UZ-normalized'!$A:$A, 0))-INDEX('UZ-normalized'!$E:$E, MATCH($A82, 'UZ-normalized'!$A:$A, 0))&gt;0, -(23*INDEX('UZ-normalized'!$D:$D, MATCH($A82, 'UZ-normalized'!$A:$A, 0))-INDEX('UZ-normalized'!$E:$E, MATCH($A82, 'UZ-normalized'!$A:$A, 0))), 0), 0)))</f>
        <v>-502.89999999999986</v>
      </c>
      <c r="AL82" s="6">
        <f>MIN(0, N82+(IFERROR(IF(24*INDEX('UA-normalized'!$D:$D, MATCH($A82, 'UA-normalized'!$A:$A, 0))-INDEX('UA-normalized'!$E:$E, MATCH($A82, 'UA-normalized'!$A:$A, 0))&gt;0, -(24*INDEX('UA-normalized'!$D:$D, MATCH($A82, 'UA-normalized'!$A:$A, 0))-INDEX('UA-normalized'!$E:$E, MATCH($A82, 'UA-normalized'!$A:$A, 0))), 0), 0))+(IFERROR(IF(24*INDEX('KZ-normalized'!$D:$D, MATCH($A82, 'KZ-normalized'!$A:$A, 0))-INDEX('KZ-normalized'!$E:$E, MATCH($A82, 'KZ-normalized'!$A:$A, 0))&gt;0, -(24*INDEX('KZ-normalized'!$D:$D, MATCH($A82, 'KZ-normalized'!$A:$A, 0))-INDEX('KZ-normalized'!$E:$E, MATCH($A82, 'KZ-normalized'!$A:$A, 0))), 0), 0))+(IFERROR(IF(24*INDEX('UZ-normalized'!$D:$D, MATCH($A82, 'UZ-normalized'!$A:$A, 0))-INDEX('UZ-normalized'!$E:$E, MATCH($A82, 'UZ-normalized'!$A:$A, 0))&gt;0, -(24*INDEX('UZ-normalized'!$D:$D, MATCH($A82, 'UZ-normalized'!$A:$A, 0))-INDEX('UZ-normalized'!$E:$E, MATCH($A82, 'UZ-normalized'!$A:$A, 0))), 0), 0)))</f>
        <v>-589.19999999999993</v>
      </c>
      <c r="AM82" s="6">
        <f>MIN(0, N82+(IFERROR(IF(25*INDEX('UA-normalized'!$D:$D, MATCH($A82, 'UA-normalized'!$A:$A, 0))-INDEX('UA-normalized'!$E:$E, MATCH($A82, 'UA-normalized'!$A:$A, 0))&gt;0, -(25*INDEX('UA-normalized'!$D:$D, MATCH($A82, 'UA-normalized'!$A:$A, 0))-INDEX('UA-normalized'!$E:$E, MATCH($A82, 'UA-normalized'!$A:$A, 0))), 0), 0))+(IFERROR(IF(25*INDEX('KZ-normalized'!$D:$D, MATCH($A82, 'KZ-normalized'!$A:$A, 0))-INDEX('KZ-normalized'!$E:$E, MATCH($A82, 'KZ-normalized'!$A:$A, 0))&gt;0, -(25*INDEX('KZ-normalized'!$D:$D, MATCH($A82, 'KZ-normalized'!$A:$A, 0))-INDEX('KZ-normalized'!$E:$E, MATCH($A82, 'KZ-normalized'!$A:$A, 0))), 0), 0))+(IFERROR(IF(25*INDEX('UZ-normalized'!$D:$D, MATCH($A82, 'UZ-normalized'!$A:$A, 0))-INDEX('UZ-normalized'!$E:$E, MATCH($A82, 'UZ-normalized'!$A:$A, 0))&gt;0, -(25*INDEX('UZ-normalized'!$D:$D, MATCH($A82, 'UZ-normalized'!$A:$A, 0))-INDEX('UZ-normalized'!$E:$E, MATCH($A82, 'UZ-normalized'!$A:$A, 0))), 0), 0)))</f>
        <v>-675.5</v>
      </c>
      <c r="AN82" s="6">
        <f>MIN(0, N82+(IFERROR(IF(26*INDEX('UA-normalized'!$D:$D, MATCH($A82, 'UA-normalized'!$A:$A, 0))-INDEX('UA-normalized'!$E:$E, MATCH($A82, 'UA-normalized'!$A:$A, 0))&gt;0, -(26*INDEX('UA-normalized'!$D:$D, MATCH($A82, 'UA-normalized'!$A:$A, 0))-INDEX('UA-normalized'!$E:$E, MATCH($A82, 'UA-normalized'!$A:$A, 0))), 0), 0))+(IFERROR(IF(26*INDEX('KZ-normalized'!$D:$D, MATCH($A82, 'KZ-normalized'!$A:$A, 0))-INDEX('KZ-normalized'!$E:$E, MATCH($A82, 'KZ-normalized'!$A:$A, 0))&gt;0, -(26*INDEX('KZ-normalized'!$D:$D, MATCH($A82, 'KZ-normalized'!$A:$A, 0))-INDEX('KZ-normalized'!$E:$E, MATCH($A82, 'KZ-normalized'!$A:$A, 0))), 0), 0))+(IFERROR(IF(26*INDEX('UZ-normalized'!$D:$D, MATCH($A82, 'UZ-normalized'!$A:$A, 0))-INDEX('UZ-normalized'!$E:$E, MATCH($A82, 'UZ-normalized'!$A:$A, 0))&gt;0, -(26*INDEX('UZ-normalized'!$D:$D, MATCH($A82, 'UZ-normalized'!$A:$A, 0))-INDEX('UZ-normalized'!$E:$E, MATCH($A82, 'UZ-normalized'!$A:$A, 0))), 0), 0)))</f>
        <v>-761.8</v>
      </c>
      <c r="AO82" s="6">
        <f>MIN(0, N82+(IFERROR(IF(27*INDEX('UA-normalized'!$D:$D, MATCH($A82, 'UA-normalized'!$A:$A, 0))-INDEX('UA-normalized'!$E:$E, MATCH($A82, 'UA-normalized'!$A:$A, 0))&gt;0, -(27*INDEX('UA-normalized'!$D:$D, MATCH($A82, 'UA-normalized'!$A:$A, 0))-INDEX('UA-normalized'!$E:$E, MATCH($A82, 'UA-normalized'!$A:$A, 0))), 0), 0))+(IFERROR(IF(27*INDEX('KZ-normalized'!$D:$D, MATCH($A82, 'KZ-normalized'!$A:$A, 0))-INDEX('KZ-normalized'!$E:$E, MATCH($A82, 'KZ-normalized'!$A:$A, 0))&gt;0, -(27*INDEX('KZ-normalized'!$D:$D, MATCH($A82, 'KZ-normalized'!$A:$A, 0))-INDEX('KZ-normalized'!$E:$E, MATCH($A82, 'KZ-normalized'!$A:$A, 0))), 0), 0))+(IFERROR(IF(27*INDEX('UZ-normalized'!$D:$D, MATCH($A82, 'UZ-normalized'!$A:$A, 0))-INDEX('UZ-normalized'!$E:$E, MATCH($A82, 'UZ-normalized'!$A:$A, 0))&gt;0, -(27*INDEX('UZ-normalized'!$D:$D, MATCH($A82, 'UZ-normalized'!$A:$A, 0))-INDEX('UZ-normalized'!$E:$E, MATCH($A82, 'UZ-normalized'!$A:$A, 0))), 0), 0)))</f>
        <v>-848.1</v>
      </c>
      <c r="AP82" s="6">
        <f>MIN(0, N82+(IFERROR(IF(28*INDEX('UA-normalized'!$D:$D, MATCH($A82, 'UA-normalized'!$A:$A, 0))-INDEX('UA-normalized'!$E:$E, MATCH($A82, 'UA-normalized'!$A:$A, 0))&gt;0, -(28*INDEX('UA-normalized'!$D:$D, MATCH($A82, 'UA-normalized'!$A:$A, 0))-INDEX('UA-normalized'!$E:$E, MATCH($A82, 'UA-normalized'!$A:$A, 0))), 0), 0))+(IFERROR(IF(28*INDEX('KZ-normalized'!$D:$D, MATCH($A82, 'KZ-normalized'!$A:$A, 0))-INDEX('KZ-normalized'!$E:$E, MATCH($A82, 'KZ-normalized'!$A:$A, 0))&gt;0, -(28*INDEX('KZ-normalized'!$D:$D, MATCH($A82, 'KZ-normalized'!$A:$A, 0))-INDEX('KZ-normalized'!$E:$E, MATCH($A82, 'KZ-normalized'!$A:$A, 0))), 0), 0))+(IFERROR(IF(28*INDEX('UZ-normalized'!$D:$D, MATCH($A82, 'UZ-normalized'!$A:$A, 0))-INDEX('UZ-normalized'!$E:$E, MATCH($A82, 'UZ-normalized'!$A:$A, 0))&gt;0, -(28*INDEX('UZ-normalized'!$D:$D, MATCH($A82, 'UZ-normalized'!$A:$A, 0))-INDEX('UZ-normalized'!$E:$E, MATCH($A82, 'UZ-normalized'!$A:$A, 0))), 0), 0)))</f>
        <v>-934.39999999999986</v>
      </c>
      <c r="AQ82" s="6">
        <f>MIN(0, N82+(IFERROR(IF(29*INDEX('UA-normalized'!$D:$D, MATCH($A82, 'UA-normalized'!$A:$A, 0))-INDEX('UA-normalized'!$E:$E, MATCH($A82, 'UA-normalized'!$A:$A, 0))&gt;0, -(29*INDEX('UA-normalized'!$D:$D, MATCH($A82, 'UA-normalized'!$A:$A, 0))-INDEX('UA-normalized'!$E:$E, MATCH($A82, 'UA-normalized'!$A:$A, 0))), 0), 0))+(IFERROR(IF(29*INDEX('KZ-normalized'!$D:$D, MATCH($A82, 'KZ-normalized'!$A:$A, 0))-INDEX('KZ-normalized'!$E:$E, MATCH($A82, 'KZ-normalized'!$A:$A, 0))&gt;0, -(29*INDEX('KZ-normalized'!$D:$D, MATCH($A82, 'KZ-normalized'!$A:$A, 0))-INDEX('KZ-normalized'!$E:$E, MATCH($A82, 'KZ-normalized'!$A:$A, 0))), 0), 0))+(IFERROR(IF(29*INDEX('UZ-normalized'!$D:$D, MATCH($A82, 'UZ-normalized'!$A:$A, 0))-INDEX('UZ-normalized'!$E:$E, MATCH($A82, 'UZ-normalized'!$A:$A, 0))&gt;0, -(29*INDEX('UZ-normalized'!$D:$D, MATCH($A82, 'UZ-normalized'!$A:$A, 0))-INDEX('UZ-normalized'!$E:$E, MATCH($A82, 'UZ-normalized'!$A:$A, 0))), 0), 0)))</f>
        <v>-1020.6999999999999</v>
      </c>
      <c r="AR82" s="6">
        <f>MIN(0, N82+(IFERROR(IF(30*INDEX('UA-normalized'!$D:$D, MATCH($A82, 'UA-normalized'!$A:$A, 0))-INDEX('UA-normalized'!$E:$E, MATCH($A82, 'UA-normalized'!$A:$A, 0))&gt;0, -(30*INDEX('UA-normalized'!$D:$D, MATCH($A82, 'UA-normalized'!$A:$A, 0))-INDEX('UA-normalized'!$E:$E, MATCH($A82, 'UA-normalized'!$A:$A, 0))), 0), 0))+(IFERROR(IF(30*INDEX('KZ-normalized'!$D:$D, MATCH($A82, 'KZ-normalized'!$A:$A, 0))-INDEX('KZ-normalized'!$E:$E, MATCH($A82, 'KZ-normalized'!$A:$A, 0))&gt;0, -(30*INDEX('KZ-normalized'!$D:$D, MATCH($A82, 'KZ-normalized'!$A:$A, 0))-INDEX('KZ-normalized'!$E:$E, MATCH($A82, 'KZ-normalized'!$A:$A, 0))), 0), 0))+(IFERROR(IF(30*INDEX('UZ-normalized'!$D:$D, MATCH($A82, 'UZ-normalized'!$A:$A, 0))-INDEX('UZ-normalized'!$E:$E, MATCH($A82, 'UZ-normalized'!$A:$A, 0))&gt;0, -(30*INDEX('UZ-normalized'!$D:$D, MATCH($A82, 'UZ-normalized'!$A:$A, 0))-INDEX('UZ-normalized'!$E:$E, MATCH($A82, 'UZ-normalized'!$A:$A, 0))), 0), 0)))</f>
        <v>-1107</v>
      </c>
    </row>
    <row r="83" spans="1:44" x14ac:dyDescent="0.25">
      <c r="A83" s="8" t="s">
        <v>216</v>
      </c>
      <c r="B83" s="8" t="s">
        <v>180</v>
      </c>
      <c r="C83" s="8" t="s">
        <v>206</v>
      </c>
      <c r="D83" s="8" t="s">
        <v>217</v>
      </c>
      <c r="N83">
        <f t="shared" si="1"/>
        <v>0</v>
      </c>
      <c r="O83" s="6">
        <f>MIN(0, N83+(IFERROR(IF(1*INDEX('UA-normalized'!$D:$D, MATCH($A83, 'UA-normalized'!$A:$A, 0))-INDEX('UA-normalized'!$E:$E, MATCH($A83, 'UA-normalized'!$A:$A, 0))&gt;0, -(1*INDEX('UA-normalized'!$D:$D, MATCH($A83, 'UA-normalized'!$A:$A, 0))-INDEX('UA-normalized'!$E:$E, MATCH($A83, 'UA-normalized'!$A:$A, 0))), 0), 0))+(IFERROR(IF(1*INDEX('KZ-normalized'!$D:$D, MATCH($A83, 'KZ-normalized'!$A:$A, 0))-INDEX('KZ-normalized'!$E:$E, MATCH($A83, 'KZ-normalized'!$A:$A, 0))&gt;0, -(1*INDEX('KZ-normalized'!$D:$D, MATCH($A83, 'KZ-normalized'!$A:$A, 0))-INDEX('KZ-normalized'!$E:$E, MATCH($A83, 'KZ-normalized'!$A:$A, 0))), 0), 0))+(IFERROR(IF(1*INDEX('UZ-normalized'!$D:$D, MATCH($A83, 'UZ-normalized'!$A:$A, 0))-INDEX('UZ-normalized'!$E:$E, MATCH($A83, 'UZ-normalized'!$A:$A, 0))&gt;0, -(1*INDEX('UZ-normalized'!$D:$D, MATCH($A83, 'UZ-normalized'!$A:$A, 0))-INDEX('UZ-normalized'!$E:$E, MATCH($A83, 'UZ-normalized'!$A:$A, 0))), 0), 0)))</f>
        <v>0</v>
      </c>
      <c r="P83" s="6">
        <f>MIN(0, N83+(IFERROR(IF(2*INDEX('UA-normalized'!$D:$D, MATCH($A83, 'UA-normalized'!$A:$A, 0))-INDEX('UA-normalized'!$E:$E, MATCH($A83, 'UA-normalized'!$A:$A, 0))&gt;0, -(2*INDEX('UA-normalized'!$D:$D, MATCH($A83, 'UA-normalized'!$A:$A, 0))-INDEX('UA-normalized'!$E:$E, MATCH($A83, 'UA-normalized'!$A:$A, 0))), 0), 0))+(IFERROR(IF(2*INDEX('KZ-normalized'!$D:$D, MATCH($A83, 'KZ-normalized'!$A:$A, 0))-INDEX('KZ-normalized'!$E:$E, MATCH($A83, 'KZ-normalized'!$A:$A, 0))&gt;0, -(2*INDEX('KZ-normalized'!$D:$D, MATCH($A83, 'KZ-normalized'!$A:$A, 0))-INDEX('KZ-normalized'!$E:$E, MATCH($A83, 'KZ-normalized'!$A:$A, 0))), 0), 0))+(IFERROR(IF(2*INDEX('UZ-normalized'!$D:$D, MATCH($A83, 'UZ-normalized'!$A:$A, 0))-INDEX('UZ-normalized'!$E:$E, MATCH($A83, 'UZ-normalized'!$A:$A, 0))&gt;0, -(2*INDEX('UZ-normalized'!$D:$D, MATCH($A83, 'UZ-normalized'!$A:$A, 0))-INDEX('UZ-normalized'!$E:$E, MATCH($A83, 'UZ-normalized'!$A:$A, 0))), 0), 0)))</f>
        <v>0</v>
      </c>
      <c r="Q83" s="6">
        <f>MIN(0, N83+(IFERROR(IF(3*INDEX('UA-normalized'!$D:$D, MATCH($A83, 'UA-normalized'!$A:$A, 0))-INDEX('UA-normalized'!$E:$E, MATCH($A83, 'UA-normalized'!$A:$A, 0))&gt;0, -(3*INDEX('UA-normalized'!$D:$D, MATCH($A83, 'UA-normalized'!$A:$A, 0))-INDEX('UA-normalized'!$E:$E, MATCH($A83, 'UA-normalized'!$A:$A, 0))), 0), 0))+(IFERROR(IF(3*INDEX('KZ-normalized'!$D:$D, MATCH($A83, 'KZ-normalized'!$A:$A, 0))-INDEX('KZ-normalized'!$E:$E, MATCH($A83, 'KZ-normalized'!$A:$A, 0))&gt;0, -(3*INDEX('KZ-normalized'!$D:$D, MATCH($A83, 'KZ-normalized'!$A:$A, 0))-INDEX('KZ-normalized'!$E:$E, MATCH($A83, 'KZ-normalized'!$A:$A, 0))), 0), 0))+(IFERROR(IF(3*INDEX('UZ-normalized'!$D:$D, MATCH($A83, 'UZ-normalized'!$A:$A, 0))-INDEX('UZ-normalized'!$E:$E, MATCH($A83, 'UZ-normalized'!$A:$A, 0))&gt;0, -(3*INDEX('UZ-normalized'!$D:$D, MATCH($A83, 'UZ-normalized'!$A:$A, 0))-INDEX('UZ-normalized'!$E:$E, MATCH($A83, 'UZ-normalized'!$A:$A, 0))), 0), 0)))</f>
        <v>0</v>
      </c>
      <c r="R83" s="6">
        <f>MIN(0, N83+(IFERROR(IF(4*INDEX('UA-normalized'!$D:$D, MATCH($A83, 'UA-normalized'!$A:$A, 0))-INDEX('UA-normalized'!$E:$E, MATCH($A83, 'UA-normalized'!$A:$A, 0))&gt;0, -(4*INDEX('UA-normalized'!$D:$D, MATCH($A83, 'UA-normalized'!$A:$A, 0))-INDEX('UA-normalized'!$E:$E, MATCH($A83, 'UA-normalized'!$A:$A, 0))), 0), 0))+(IFERROR(IF(4*INDEX('KZ-normalized'!$D:$D, MATCH($A83, 'KZ-normalized'!$A:$A, 0))-INDEX('KZ-normalized'!$E:$E, MATCH($A83, 'KZ-normalized'!$A:$A, 0))&gt;0, -(4*INDEX('KZ-normalized'!$D:$D, MATCH($A83, 'KZ-normalized'!$A:$A, 0))-INDEX('KZ-normalized'!$E:$E, MATCH($A83, 'KZ-normalized'!$A:$A, 0))), 0), 0))+(IFERROR(IF(4*INDEX('UZ-normalized'!$D:$D, MATCH($A83, 'UZ-normalized'!$A:$A, 0))-INDEX('UZ-normalized'!$E:$E, MATCH($A83, 'UZ-normalized'!$A:$A, 0))&gt;0, -(4*INDEX('UZ-normalized'!$D:$D, MATCH($A83, 'UZ-normalized'!$A:$A, 0))-INDEX('UZ-normalized'!$E:$E, MATCH($A83, 'UZ-normalized'!$A:$A, 0))), 0), 0)))</f>
        <v>0</v>
      </c>
      <c r="S83" s="6">
        <f>MIN(0, N83+(IFERROR(IF(5*INDEX('UA-normalized'!$D:$D, MATCH($A83, 'UA-normalized'!$A:$A, 0))-INDEX('UA-normalized'!$E:$E, MATCH($A83, 'UA-normalized'!$A:$A, 0))&gt;0, -(5*INDEX('UA-normalized'!$D:$D, MATCH($A83, 'UA-normalized'!$A:$A, 0))-INDEX('UA-normalized'!$E:$E, MATCH($A83, 'UA-normalized'!$A:$A, 0))), 0), 0))+(IFERROR(IF(5*INDEX('KZ-normalized'!$D:$D, MATCH($A83, 'KZ-normalized'!$A:$A, 0))-INDEX('KZ-normalized'!$E:$E, MATCH($A83, 'KZ-normalized'!$A:$A, 0))&gt;0, -(5*INDEX('KZ-normalized'!$D:$D, MATCH($A83, 'KZ-normalized'!$A:$A, 0))-INDEX('KZ-normalized'!$E:$E, MATCH($A83, 'KZ-normalized'!$A:$A, 0))), 0), 0))+(IFERROR(IF(5*INDEX('UZ-normalized'!$D:$D, MATCH($A83, 'UZ-normalized'!$A:$A, 0))-INDEX('UZ-normalized'!$E:$E, MATCH($A83, 'UZ-normalized'!$A:$A, 0))&gt;0, -(5*INDEX('UZ-normalized'!$D:$D, MATCH($A83, 'UZ-normalized'!$A:$A, 0))-INDEX('UZ-normalized'!$E:$E, MATCH($A83, 'UZ-normalized'!$A:$A, 0))), 0), 0)))</f>
        <v>0</v>
      </c>
      <c r="T83" s="6">
        <f>MIN(0, N83+(IFERROR(IF(6*INDEX('UA-normalized'!$D:$D, MATCH($A83, 'UA-normalized'!$A:$A, 0))-INDEX('UA-normalized'!$E:$E, MATCH($A83, 'UA-normalized'!$A:$A, 0))&gt;0, -(6*INDEX('UA-normalized'!$D:$D, MATCH($A83, 'UA-normalized'!$A:$A, 0))-INDEX('UA-normalized'!$E:$E, MATCH($A83, 'UA-normalized'!$A:$A, 0))), 0), 0))+(IFERROR(IF(6*INDEX('KZ-normalized'!$D:$D, MATCH($A83, 'KZ-normalized'!$A:$A, 0))-INDEX('KZ-normalized'!$E:$E, MATCH($A83, 'KZ-normalized'!$A:$A, 0))&gt;0, -(6*INDEX('KZ-normalized'!$D:$D, MATCH($A83, 'KZ-normalized'!$A:$A, 0))-INDEX('KZ-normalized'!$E:$E, MATCH($A83, 'KZ-normalized'!$A:$A, 0))), 0), 0))+(IFERROR(IF(6*INDEX('UZ-normalized'!$D:$D, MATCH($A83, 'UZ-normalized'!$A:$A, 0))-INDEX('UZ-normalized'!$E:$E, MATCH($A83, 'UZ-normalized'!$A:$A, 0))&gt;0, -(6*INDEX('UZ-normalized'!$D:$D, MATCH($A83, 'UZ-normalized'!$A:$A, 0))-INDEX('UZ-normalized'!$E:$E, MATCH($A83, 'UZ-normalized'!$A:$A, 0))), 0), 0)))</f>
        <v>0</v>
      </c>
      <c r="U83" s="6">
        <f>MIN(0, N83+(IFERROR(IF(7*INDEX('UA-normalized'!$D:$D, MATCH($A83, 'UA-normalized'!$A:$A, 0))-INDEX('UA-normalized'!$E:$E, MATCH($A83, 'UA-normalized'!$A:$A, 0))&gt;0, -(7*INDEX('UA-normalized'!$D:$D, MATCH($A83, 'UA-normalized'!$A:$A, 0))-INDEX('UA-normalized'!$E:$E, MATCH($A83, 'UA-normalized'!$A:$A, 0))), 0), 0))+(IFERROR(IF(7*INDEX('KZ-normalized'!$D:$D, MATCH($A83, 'KZ-normalized'!$A:$A, 0))-INDEX('KZ-normalized'!$E:$E, MATCH($A83, 'KZ-normalized'!$A:$A, 0))&gt;0, -(7*INDEX('KZ-normalized'!$D:$D, MATCH($A83, 'KZ-normalized'!$A:$A, 0))-INDEX('KZ-normalized'!$E:$E, MATCH($A83, 'KZ-normalized'!$A:$A, 0))), 0), 0))+(IFERROR(IF(7*INDEX('UZ-normalized'!$D:$D, MATCH($A83, 'UZ-normalized'!$A:$A, 0))-INDEX('UZ-normalized'!$E:$E, MATCH($A83, 'UZ-normalized'!$A:$A, 0))&gt;0, -(7*INDEX('UZ-normalized'!$D:$D, MATCH($A83, 'UZ-normalized'!$A:$A, 0))-INDEX('UZ-normalized'!$E:$E, MATCH($A83, 'UZ-normalized'!$A:$A, 0))), 0), 0)))</f>
        <v>0</v>
      </c>
      <c r="V83" s="6">
        <f>MIN(0, N83+(IFERROR(IF(8*INDEX('UA-normalized'!$D:$D, MATCH($A83, 'UA-normalized'!$A:$A, 0))-INDEX('UA-normalized'!$E:$E, MATCH($A83, 'UA-normalized'!$A:$A, 0))&gt;0, -(8*INDEX('UA-normalized'!$D:$D, MATCH($A83, 'UA-normalized'!$A:$A, 0))-INDEX('UA-normalized'!$E:$E, MATCH($A83, 'UA-normalized'!$A:$A, 0))), 0), 0))+(IFERROR(IF(8*INDEX('KZ-normalized'!$D:$D, MATCH($A83, 'KZ-normalized'!$A:$A, 0))-INDEX('KZ-normalized'!$E:$E, MATCH($A83, 'KZ-normalized'!$A:$A, 0))&gt;0, -(8*INDEX('KZ-normalized'!$D:$D, MATCH($A83, 'KZ-normalized'!$A:$A, 0))-INDEX('KZ-normalized'!$E:$E, MATCH($A83, 'KZ-normalized'!$A:$A, 0))), 0), 0))+(IFERROR(IF(8*INDEX('UZ-normalized'!$D:$D, MATCH($A83, 'UZ-normalized'!$A:$A, 0))-INDEX('UZ-normalized'!$E:$E, MATCH($A83, 'UZ-normalized'!$A:$A, 0))&gt;0, -(8*INDEX('UZ-normalized'!$D:$D, MATCH($A83, 'UZ-normalized'!$A:$A, 0))-INDEX('UZ-normalized'!$E:$E, MATCH($A83, 'UZ-normalized'!$A:$A, 0))), 0), 0)))</f>
        <v>0</v>
      </c>
      <c r="W83" s="6">
        <f>MIN(0, N83+(IFERROR(IF(9*INDEX('UA-normalized'!$D:$D, MATCH($A83, 'UA-normalized'!$A:$A, 0))-INDEX('UA-normalized'!$E:$E, MATCH($A83, 'UA-normalized'!$A:$A, 0))&gt;0, -(9*INDEX('UA-normalized'!$D:$D, MATCH($A83, 'UA-normalized'!$A:$A, 0))-INDEX('UA-normalized'!$E:$E, MATCH($A83, 'UA-normalized'!$A:$A, 0))), 0), 0))+(IFERROR(IF(9*INDEX('KZ-normalized'!$D:$D, MATCH($A83, 'KZ-normalized'!$A:$A, 0))-INDEX('KZ-normalized'!$E:$E, MATCH($A83, 'KZ-normalized'!$A:$A, 0))&gt;0, -(9*INDEX('KZ-normalized'!$D:$D, MATCH($A83, 'KZ-normalized'!$A:$A, 0))-INDEX('KZ-normalized'!$E:$E, MATCH($A83, 'KZ-normalized'!$A:$A, 0))), 0), 0))+(IFERROR(IF(9*INDEX('UZ-normalized'!$D:$D, MATCH($A83, 'UZ-normalized'!$A:$A, 0))-INDEX('UZ-normalized'!$E:$E, MATCH($A83, 'UZ-normalized'!$A:$A, 0))&gt;0, -(9*INDEX('UZ-normalized'!$D:$D, MATCH($A83, 'UZ-normalized'!$A:$A, 0))-INDEX('UZ-normalized'!$E:$E, MATCH($A83, 'UZ-normalized'!$A:$A, 0))), 0), 0)))</f>
        <v>0</v>
      </c>
      <c r="X83" s="6">
        <f>MIN(0, N83+(IFERROR(IF(10*INDEX('UA-normalized'!$D:$D, MATCH($A83, 'UA-normalized'!$A:$A, 0))-INDEX('UA-normalized'!$E:$E, MATCH($A83, 'UA-normalized'!$A:$A, 0))&gt;0, -(10*INDEX('UA-normalized'!$D:$D, MATCH($A83, 'UA-normalized'!$A:$A, 0))-INDEX('UA-normalized'!$E:$E, MATCH($A83, 'UA-normalized'!$A:$A, 0))), 0), 0))+(IFERROR(IF(10*INDEX('KZ-normalized'!$D:$D, MATCH($A83, 'KZ-normalized'!$A:$A, 0))-INDEX('KZ-normalized'!$E:$E, MATCH($A83, 'KZ-normalized'!$A:$A, 0))&gt;0, -(10*INDEX('KZ-normalized'!$D:$D, MATCH($A83, 'KZ-normalized'!$A:$A, 0))-INDEX('KZ-normalized'!$E:$E, MATCH($A83, 'KZ-normalized'!$A:$A, 0))), 0), 0))+(IFERROR(IF(10*INDEX('UZ-normalized'!$D:$D, MATCH($A83, 'UZ-normalized'!$A:$A, 0))-INDEX('UZ-normalized'!$E:$E, MATCH($A83, 'UZ-normalized'!$A:$A, 0))&gt;0, -(10*INDEX('UZ-normalized'!$D:$D, MATCH($A83, 'UZ-normalized'!$A:$A, 0))-INDEX('UZ-normalized'!$E:$E, MATCH($A83, 'UZ-normalized'!$A:$A, 0))), 0), 0)))</f>
        <v>0</v>
      </c>
      <c r="Y83" s="6">
        <f>MIN(0, N83+(IFERROR(IF(11*INDEX('UA-normalized'!$D:$D, MATCH($A83, 'UA-normalized'!$A:$A, 0))-INDEX('UA-normalized'!$E:$E, MATCH($A83, 'UA-normalized'!$A:$A, 0))&gt;0, -(11*INDEX('UA-normalized'!$D:$D, MATCH($A83, 'UA-normalized'!$A:$A, 0))-INDEX('UA-normalized'!$E:$E, MATCH($A83, 'UA-normalized'!$A:$A, 0))), 0), 0))+(IFERROR(IF(11*INDEX('KZ-normalized'!$D:$D, MATCH($A83, 'KZ-normalized'!$A:$A, 0))-INDEX('KZ-normalized'!$E:$E, MATCH($A83, 'KZ-normalized'!$A:$A, 0))&gt;0, -(11*INDEX('KZ-normalized'!$D:$D, MATCH($A83, 'KZ-normalized'!$A:$A, 0))-INDEX('KZ-normalized'!$E:$E, MATCH($A83, 'KZ-normalized'!$A:$A, 0))), 0), 0))+(IFERROR(IF(11*INDEX('UZ-normalized'!$D:$D, MATCH($A83, 'UZ-normalized'!$A:$A, 0))-INDEX('UZ-normalized'!$E:$E, MATCH($A83, 'UZ-normalized'!$A:$A, 0))&gt;0, -(11*INDEX('UZ-normalized'!$D:$D, MATCH($A83, 'UZ-normalized'!$A:$A, 0))-INDEX('UZ-normalized'!$E:$E, MATCH($A83, 'UZ-normalized'!$A:$A, 0))), 0), 0)))</f>
        <v>0</v>
      </c>
      <c r="Z83" s="6">
        <f>MIN(0, N83+(IFERROR(IF(12*INDEX('UA-normalized'!$D:$D, MATCH($A83, 'UA-normalized'!$A:$A, 0))-INDEX('UA-normalized'!$E:$E, MATCH($A83, 'UA-normalized'!$A:$A, 0))&gt;0, -(12*INDEX('UA-normalized'!$D:$D, MATCH($A83, 'UA-normalized'!$A:$A, 0))-INDEX('UA-normalized'!$E:$E, MATCH($A83, 'UA-normalized'!$A:$A, 0))), 0), 0))+(IFERROR(IF(12*INDEX('KZ-normalized'!$D:$D, MATCH($A83, 'KZ-normalized'!$A:$A, 0))-INDEX('KZ-normalized'!$E:$E, MATCH($A83, 'KZ-normalized'!$A:$A, 0))&gt;0, -(12*INDEX('KZ-normalized'!$D:$D, MATCH($A83, 'KZ-normalized'!$A:$A, 0))-INDEX('KZ-normalized'!$E:$E, MATCH($A83, 'KZ-normalized'!$A:$A, 0))), 0), 0))+(IFERROR(IF(12*INDEX('UZ-normalized'!$D:$D, MATCH($A83, 'UZ-normalized'!$A:$A, 0))-INDEX('UZ-normalized'!$E:$E, MATCH($A83, 'UZ-normalized'!$A:$A, 0))&gt;0, -(12*INDEX('UZ-normalized'!$D:$D, MATCH($A83, 'UZ-normalized'!$A:$A, 0))-INDEX('UZ-normalized'!$E:$E, MATCH($A83, 'UZ-normalized'!$A:$A, 0))), 0), 0)))</f>
        <v>0</v>
      </c>
      <c r="AA83" s="6">
        <f>MIN(0, N83+(IFERROR(IF(13*INDEX('UA-normalized'!$D:$D, MATCH($A83, 'UA-normalized'!$A:$A, 0))-INDEX('UA-normalized'!$E:$E, MATCH($A83, 'UA-normalized'!$A:$A, 0))&gt;0, -(13*INDEX('UA-normalized'!$D:$D, MATCH($A83, 'UA-normalized'!$A:$A, 0))-INDEX('UA-normalized'!$E:$E, MATCH($A83, 'UA-normalized'!$A:$A, 0))), 0), 0))+(IFERROR(IF(13*INDEX('KZ-normalized'!$D:$D, MATCH($A83, 'KZ-normalized'!$A:$A, 0))-INDEX('KZ-normalized'!$E:$E, MATCH($A83, 'KZ-normalized'!$A:$A, 0))&gt;0, -(13*INDEX('KZ-normalized'!$D:$D, MATCH($A83, 'KZ-normalized'!$A:$A, 0))-INDEX('KZ-normalized'!$E:$E, MATCH($A83, 'KZ-normalized'!$A:$A, 0))), 0), 0))+(IFERROR(IF(13*INDEX('UZ-normalized'!$D:$D, MATCH($A83, 'UZ-normalized'!$A:$A, 0))-INDEX('UZ-normalized'!$E:$E, MATCH($A83, 'UZ-normalized'!$A:$A, 0))&gt;0, -(13*INDEX('UZ-normalized'!$D:$D, MATCH($A83, 'UZ-normalized'!$A:$A, 0))-INDEX('UZ-normalized'!$E:$E, MATCH($A83, 'UZ-normalized'!$A:$A, 0))), 0), 0)))</f>
        <v>0</v>
      </c>
      <c r="AB83" s="6">
        <f>MIN(0, N83+(IFERROR(IF(14*INDEX('UA-normalized'!$D:$D, MATCH($A83, 'UA-normalized'!$A:$A, 0))-INDEX('UA-normalized'!$E:$E, MATCH($A83, 'UA-normalized'!$A:$A, 0))&gt;0, -(14*INDEX('UA-normalized'!$D:$D, MATCH($A83, 'UA-normalized'!$A:$A, 0))-INDEX('UA-normalized'!$E:$E, MATCH($A83, 'UA-normalized'!$A:$A, 0))), 0), 0))+(IFERROR(IF(14*INDEX('KZ-normalized'!$D:$D, MATCH($A83, 'KZ-normalized'!$A:$A, 0))-INDEX('KZ-normalized'!$E:$E, MATCH($A83, 'KZ-normalized'!$A:$A, 0))&gt;0, -(14*INDEX('KZ-normalized'!$D:$D, MATCH($A83, 'KZ-normalized'!$A:$A, 0))-INDEX('KZ-normalized'!$E:$E, MATCH($A83, 'KZ-normalized'!$A:$A, 0))), 0), 0))+(IFERROR(IF(14*INDEX('UZ-normalized'!$D:$D, MATCH($A83, 'UZ-normalized'!$A:$A, 0))-INDEX('UZ-normalized'!$E:$E, MATCH($A83, 'UZ-normalized'!$A:$A, 0))&gt;0, -(14*INDEX('UZ-normalized'!$D:$D, MATCH($A83, 'UZ-normalized'!$A:$A, 0))-INDEX('UZ-normalized'!$E:$E, MATCH($A83, 'UZ-normalized'!$A:$A, 0))), 0), 0)))</f>
        <v>0</v>
      </c>
      <c r="AC83" s="6">
        <f>MIN(0, N83+(IFERROR(IF(15*INDEX('UA-normalized'!$D:$D, MATCH($A83, 'UA-normalized'!$A:$A, 0))-INDEX('UA-normalized'!$E:$E, MATCH($A83, 'UA-normalized'!$A:$A, 0))&gt;0, -(15*INDEX('UA-normalized'!$D:$D, MATCH($A83, 'UA-normalized'!$A:$A, 0))-INDEX('UA-normalized'!$E:$E, MATCH($A83, 'UA-normalized'!$A:$A, 0))), 0), 0))+(IFERROR(IF(15*INDEX('KZ-normalized'!$D:$D, MATCH($A83, 'KZ-normalized'!$A:$A, 0))-INDEX('KZ-normalized'!$E:$E, MATCH($A83, 'KZ-normalized'!$A:$A, 0))&gt;0, -(15*INDEX('KZ-normalized'!$D:$D, MATCH($A83, 'KZ-normalized'!$A:$A, 0))-INDEX('KZ-normalized'!$E:$E, MATCH($A83, 'KZ-normalized'!$A:$A, 0))), 0), 0))+(IFERROR(IF(15*INDEX('UZ-normalized'!$D:$D, MATCH($A83, 'UZ-normalized'!$A:$A, 0))-INDEX('UZ-normalized'!$E:$E, MATCH($A83, 'UZ-normalized'!$A:$A, 0))&gt;0, -(15*INDEX('UZ-normalized'!$D:$D, MATCH($A83, 'UZ-normalized'!$A:$A, 0))-INDEX('UZ-normalized'!$E:$E, MATCH($A83, 'UZ-normalized'!$A:$A, 0))), 0), 0)))</f>
        <v>0</v>
      </c>
      <c r="AD83" s="6">
        <f>MIN(0, N83+(IFERROR(IF(16*INDEX('UA-normalized'!$D:$D, MATCH($A83, 'UA-normalized'!$A:$A, 0))-INDEX('UA-normalized'!$E:$E, MATCH($A83, 'UA-normalized'!$A:$A, 0))&gt;0, -(16*INDEX('UA-normalized'!$D:$D, MATCH($A83, 'UA-normalized'!$A:$A, 0))-INDEX('UA-normalized'!$E:$E, MATCH($A83, 'UA-normalized'!$A:$A, 0))), 0), 0))+(IFERROR(IF(16*INDEX('KZ-normalized'!$D:$D, MATCH($A83, 'KZ-normalized'!$A:$A, 0))-INDEX('KZ-normalized'!$E:$E, MATCH($A83, 'KZ-normalized'!$A:$A, 0))&gt;0, -(16*INDEX('KZ-normalized'!$D:$D, MATCH($A83, 'KZ-normalized'!$A:$A, 0))-INDEX('KZ-normalized'!$E:$E, MATCH($A83, 'KZ-normalized'!$A:$A, 0))), 0), 0))+(IFERROR(IF(16*INDEX('UZ-normalized'!$D:$D, MATCH($A83, 'UZ-normalized'!$A:$A, 0))-INDEX('UZ-normalized'!$E:$E, MATCH($A83, 'UZ-normalized'!$A:$A, 0))&gt;0, -(16*INDEX('UZ-normalized'!$D:$D, MATCH($A83, 'UZ-normalized'!$A:$A, 0))-INDEX('UZ-normalized'!$E:$E, MATCH($A83, 'UZ-normalized'!$A:$A, 0))), 0), 0)))</f>
        <v>0</v>
      </c>
      <c r="AE83" s="6">
        <f>MIN(0, N83+(IFERROR(IF(17*INDEX('UA-normalized'!$D:$D, MATCH($A83, 'UA-normalized'!$A:$A, 0))-INDEX('UA-normalized'!$E:$E, MATCH($A83, 'UA-normalized'!$A:$A, 0))&gt;0, -(17*INDEX('UA-normalized'!$D:$D, MATCH($A83, 'UA-normalized'!$A:$A, 0))-INDEX('UA-normalized'!$E:$E, MATCH($A83, 'UA-normalized'!$A:$A, 0))), 0), 0))+(IFERROR(IF(17*INDEX('KZ-normalized'!$D:$D, MATCH($A83, 'KZ-normalized'!$A:$A, 0))-INDEX('KZ-normalized'!$E:$E, MATCH($A83, 'KZ-normalized'!$A:$A, 0))&gt;0, -(17*INDEX('KZ-normalized'!$D:$D, MATCH($A83, 'KZ-normalized'!$A:$A, 0))-INDEX('KZ-normalized'!$E:$E, MATCH($A83, 'KZ-normalized'!$A:$A, 0))), 0), 0))+(IFERROR(IF(17*INDEX('UZ-normalized'!$D:$D, MATCH($A83, 'UZ-normalized'!$A:$A, 0))-INDEX('UZ-normalized'!$E:$E, MATCH($A83, 'UZ-normalized'!$A:$A, 0))&gt;0, -(17*INDEX('UZ-normalized'!$D:$D, MATCH($A83, 'UZ-normalized'!$A:$A, 0))-INDEX('UZ-normalized'!$E:$E, MATCH($A83, 'UZ-normalized'!$A:$A, 0))), 0), 0)))</f>
        <v>0</v>
      </c>
      <c r="AF83" s="6">
        <f>MIN(0, N83+(IFERROR(IF(18*INDEX('UA-normalized'!$D:$D, MATCH($A83, 'UA-normalized'!$A:$A, 0))-INDEX('UA-normalized'!$E:$E, MATCH($A83, 'UA-normalized'!$A:$A, 0))&gt;0, -(18*INDEX('UA-normalized'!$D:$D, MATCH($A83, 'UA-normalized'!$A:$A, 0))-INDEX('UA-normalized'!$E:$E, MATCH($A83, 'UA-normalized'!$A:$A, 0))), 0), 0))+(IFERROR(IF(18*INDEX('KZ-normalized'!$D:$D, MATCH($A83, 'KZ-normalized'!$A:$A, 0))-INDEX('KZ-normalized'!$E:$E, MATCH($A83, 'KZ-normalized'!$A:$A, 0))&gt;0, -(18*INDEX('KZ-normalized'!$D:$D, MATCH($A83, 'KZ-normalized'!$A:$A, 0))-INDEX('KZ-normalized'!$E:$E, MATCH($A83, 'KZ-normalized'!$A:$A, 0))), 0), 0))+(IFERROR(IF(18*INDEX('UZ-normalized'!$D:$D, MATCH($A83, 'UZ-normalized'!$A:$A, 0))-INDEX('UZ-normalized'!$E:$E, MATCH($A83, 'UZ-normalized'!$A:$A, 0))&gt;0, -(18*INDEX('UZ-normalized'!$D:$D, MATCH($A83, 'UZ-normalized'!$A:$A, 0))-INDEX('UZ-normalized'!$E:$E, MATCH($A83, 'UZ-normalized'!$A:$A, 0))), 0), 0)))</f>
        <v>0</v>
      </c>
      <c r="AG83" s="6">
        <f>MIN(0, N83+(IFERROR(IF(19*INDEX('UA-normalized'!$D:$D, MATCH($A83, 'UA-normalized'!$A:$A, 0))-INDEX('UA-normalized'!$E:$E, MATCH($A83, 'UA-normalized'!$A:$A, 0))&gt;0, -(19*INDEX('UA-normalized'!$D:$D, MATCH($A83, 'UA-normalized'!$A:$A, 0))-INDEX('UA-normalized'!$E:$E, MATCH($A83, 'UA-normalized'!$A:$A, 0))), 0), 0))+(IFERROR(IF(19*INDEX('KZ-normalized'!$D:$D, MATCH($A83, 'KZ-normalized'!$A:$A, 0))-INDEX('KZ-normalized'!$E:$E, MATCH($A83, 'KZ-normalized'!$A:$A, 0))&gt;0, -(19*INDEX('KZ-normalized'!$D:$D, MATCH($A83, 'KZ-normalized'!$A:$A, 0))-INDEX('KZ-normalized'!$E:$E, MATCH($A83, 'KZ-normalized'!$A:$A, 0))), 0), 0))+(IFERROR(IF(19*INDEX('UZ-normalized'!$D:$D, MATCH($A83, 'UZ-normalized'!$A:$A, 0))-INDEX('UZ-normalized'!$E:$E, MATCH($A83, 'UZ-normalized'!$A:$A, 0))&gt;0, -(19*INDEX('UZ-normalized'!$D:$D, MATCH($A83, 'UZ-normalized'!$A:$A, 0))-INDEX('UZ-normalized'!$E:$E, MATCH($A83, 'UZ-normalized'!$A:$A, 0))), 0), 0)))</f>
        <v>0</v>
      </c>
      <c r="AH83" s="6">
        <f>MIN(0, N83+(IFERROR(IF(20*INDEX('UA-normalized'!$D:$D, MATCH($A83, 'UA-normalized'!$A:$A, 0))-INDEX('UA-normalized'!$E:$E, MATCH($A83, 'UA-normalized'!$A:$A, 0))&gt;0, -(20*INDEX('UA-normalized'!$D:$D, MATCH($A83, 'UA-normalized'!$A:$A, 0))-INDEX('UA-normalized'!$E:$E, MATCH($A83, 'UA-normalized'!$A:$A, 0))), 0), 0))+(IFERROR(IF(20*INDEX('KZ-normalized'!$D:$D, MATCH($A83, 'KZ-normalized'!$A:$A, 0))-INDEX('KZ-normalized'!$E:$E, MATCH($A83, 'KZ-normalized'!$A:$A, 0))&gt;0, -(20*INDEX('KZ-normalized'!$D:$D, MATCH($A83, 'KZ-normalized'!$A:$A, 0))-INDEX('KZ-normalized'!$E:$E, MATCH($A83, 'KZ-normalized'!$A:$A, 0))), 0), 0))+(IFERROR(IF(20*INDEX('UZ-normalized'!$D:$D, MATCH($A83, 'UZ-normalized'!$A:$A, 0))-INDEX('UZ-normalized'!$E:$E, MATCH($A83, 'UZ-normalized'!$A:$A, 0))&gt;0, -(20*INDEX('UZ-normalized'!$D:$D, MATCH($A83, 'UZ-normalized'!$A:$A, 0))-INDEX('UZ-normalized'!$E:$E, MATCH($A83, 'UZ-normalized'!$A:$A, 0))), 0), 0)))</f>
        <v>0</v>
      </c>
      <c r="AI83" s="6">
        <f>MIN(0, N83+(IFERROR(IF(21*INDEX('UA-normalized'!$D:$D, MATCH($A83, 'UA-normalized'!$A:$A, 0))-INDEX('UA-normalized'!$E:$E, MATCH($A83, 'UA-normalized'!$A:$A, 0))&gt;0, -(21*INDEX('UA-normalized'!$D:$D, MATCH($A83, 'UA-normalized'!$A:$A, 0))-INDEX('UA-normalized'!$E:$E, MATCH($A83, 'UA-normalized'!$A:$A, 0))), 0), 0))+(IFERROR(IF(21*INDEX('KZ-normalized'!$D:$D, MATCH($A83, 'KZ-normalized'!$A:$A, 0))-INDEX('KZ-normalized'!$E:$E, MATCH($A83, 'KZ-normalized'!$A:$A, 0))&gt;0, -(21*INDEX('KZ-normalized'!$D:$D, MATCH($A83, 'KZ-normalized'!$A:$A, 0))-INDEX('KZ-normalized'!$E:$E, MATCH($A83, 'KZ-normalized'!$A:$A, 0))), 0), 0))+(IFERROR(IF(21*INDEX('UZ-normalized'!$D:$D, MATCH($A83, 'UZ-normalized'!$A:$A, 0))-INDEX('UZ-normalized'!$E:$E, MATCH($A83, 'UZ-normalized'!$A:$A, 0))&gt;0, -(21*INDEX('UZ-normalized'!$D:$D, MATCH($A83, 'UZ-normalized'!$A:$A, 0))-INDEX('UZ-normalized'!$E:$E, MATCH($A83, 'UZ-normalized'!$A:$A, 0))), 0), 0)))</f>
        <v>0</v>
      </c>
      <c r="AJ83" s="6">
        <f>MIN(0, N83+(IFERROR(IF(22*INDEX('UA-normalized'!$D:$D, MATCH($A83, 'UA-normalized'!$A:$A, 0))-INDEX('UA-normalized'!$E:$E, MATCH($A83, 'UA-normalized'!$A:$A, 0))&gt;0, -(22*INDEX('UA-normalized'!$D:$D, MATCH($A83, 'UA-normalized'!$A:$A, 0))-INDEX('UA-normalized'!$E:$E, MATCH($A83, 'UA-normalized'!$A:$A, 0))), 0), 0))+(IFERROR(IF(22*INDEX('KZ-normalized'!$D:$D, MATCH($A83, 'KZ-normalized'!$A:$A, 0))-INDEX('KZ-normalized'!$E:$E, MATCH($A83, 'KZ-normalized'!$A:$A, 0))&gt;0, -(22*INDEX('KZ-normalized'!$D:$D, MATCH($A83, 'KZ-normalized'!$A:$A, 0))-INDEX('KZ-normalized'!$E:$E, MATCH($A83, 'KZ-normalized'!$A:$A, 0))), 0), 0))+(IFERROR(IF(22*INDEX('UZ-normalized'!$D:$D, MATCH($A83, 'UZ-normalized'!$A:$A, 0))-INDEX('UZ-normalized'!$E:$E, MATCH($A83, 'UZ-normalized'!$A:$A, 0))&gt;0, -(22*INDEX('UZ-normalized'!$D:$D, MATCH($A83, 'UZ-normalized'!$A:$A, 0))-INDEX('UZ-normalized'!$E:$E, MATCH($A83, 'UZ-normalized'!$A:$A, 0))), 0), 0)))</f>
        <v>0</v>
      </c>
      <c r="AK83" s="6">
        <f>MIN(0, N83+(IFERROR(IF(23*INDEX('UA-normalized'!$D:$D, MATCH($A83, 'UA-normalized'!$A:$A, 0))-INDEX('UA-normalized'!$E:$E, MATCH($A83, 'UA-normalized'!$A:$A, 0))&gt;0, -(23*INDEX('UA-normalized'!$D:$D, MATCH($A83, 'UA-normalized'!$A:$A, 0))-INDEX('UA-normalized'!$E:$E, MATCH($A83, 'UA-normalized'!$A:$A, 0))), 0), 0))+(IFERROR(IF(23*INDEX('KZ-normalized'!$D:$D, MATCH($A83, 'KZ-normalized'!$A:$A, 0))-INDEX('KZ-normalized'!$E:$E, MATCH($A83, 'KZ-normalized'!$A:$A, 0))&gt;0, -(23*INDEX('KZ-normalized'!$D:$D, MATCH($A83, 'KZ-normalized'!$A:$A, 0))-INDEX('KZ-normalized'!$E:$E, MATCH($A83, 'KZ-normalized'!$A:$A, 0))), 0), 0))+(IFERROR(IF(23*INDEX('UZ-normalized'!$D:$D, MATCH($A83, 'UZ-normalized'!$A:$A, 0))-INDEX('UZ-normalized'!$E:$E, MATCH($A83, 'UZ-normalized'!$A:$A, 0))&gt;0, -(23*INDEX('UZ-normalized'!$D:$D, MATCH($A83, 'UZ-normalized'!$A:$A, 0))-INDEX('UZ-normalized'!$E:$E, MATCH($A83, 'UZ-normalized'!$A:$A, 0))), 0), 0)))</f>
        <v>0</v>
      </c>
      <c r="AL83" s="6">
        <f>MIN(0, N83+(IFERROR(IF(24*INDEX('UA-normalized'!$D:$D, MATCH($A83, 'UA-normalized'!$A:$A, 0))-INDEX('UA-normalized'!$E:$E, MATCH($A83, 'UA-normalized'!$A:$A, 0))&gt;0, -(24*INDEX('UA-normalized'!$D:$D, MATCH($A83, 'UA-normalized'!$A:$A, 0))-INDEX('UA-normalized'!$E:$E, MATCH($A83, 'UA-normalized'!$A:$A, 0))), 0), 0))+(IFERROR(IF(24*INDEX('KZ-normalized'!$D:$D, MATCH($A83, 'KZ-normalized'!$A:$A, 0))-INDEX('KZ-normalized'!$E:$E, MATCH($A83, 'KZ-normalized'!$A:$A, 0))&gt;0, -(24*INDEX('KZ-normalized'!$D:$D, MATCH($A83, 'KZ-normalized'!$A:$A, 0))-INDEX('KZ-normalized'!$E:$E, MATCH($A83, 'KZ-normalized'!$A:$A, 0))), 0), 0))+(IFERROR(IF(24*INDEX('UZ-normalized'!$D:$D, MATCH($A83, 'UZ-normalized'!$A:$A, 0))-INDEX('UZ-normalized'!$E:$E, MATCH($A83, 'UZ-normalized'!$A:$A, 0))&gt;0, -(24*INDEX('UZ-normalized'!$D:$D, MATCH($A83, 'UZ-normalized'!$A:$A, 0))-INDEX('UZ-normalized'!$E:$E, MATCH($A83, 'UZ-normalized'!$A:$A, 0))), 0), 0)))</f>
        <v>0</v>
      </c>
      <c r="AM83" s="6">
        <f>MIN(0, N83+(IFERROR(IF(25*INDEX('UA-normalized'!$D:$D, MATCH($A83, 'UA-normalized'!$A:$A, 0))-INDEX('UA-normalized'!$E:$E, MATCH($A83, 'UA-normalized'!$A:$A, 0))&gt;0, -(25*INDEX('UA-normalized'!$D:$D, MATCH($A83, 'UA-normalized'!$A:$A, 0))-INDEX('UA-normalized'!$E:$E, MATCH($A83, 'UA-normalized'!$A:$A, 0))), 0), 0))+(IFERROR(IF(25*INDEX('KZ-normalized'!$D:$D, MATCH($A83, 'KZ-normalized'!$A:$A, 0))-INDEX('KZ-normalized'!$E:$E, MATCH($A83, 'KZ-normalized'!$A:$A, 0))&gt;0, -(25*INDEX('KZ-normalized'!$D:$D, MATCH($A83, 'KZ-normalized'!$A:$A, 0))-INDEX('KZ-normalized'!$E:$E, MATCH($A83, 'KZ-normalized'!$A:$A, 0))), 0), 0))+(IFERROR(IF(25*INDEX('UZ-normalized'!$D:$D, MATCH($A83, 'UZ-normalized'!$A:$A, 0))-INDEX('UZ-normalized'!$E:$E, MATCH($A83, 'UZ-normalized'!$A:$A, 0))&gt;0, -(25*INDEX('UZ-normalized'!$D:$D, MATCH($A83, 'UZ-normalized'!$A:$A, 0))-INDEX('UZ-normalized'!$E:$E, MATCH($A83, 'UZ-normalized'!$A:$A, 0))), 0), 0)))</f>
        <v>0</v>
      </c>
      <c r="AN83" s="6">
        <f>MIN(0, N83+(IFERROR(IF(26*INDEX('UA-normalized'!$D:$D, MATCH($A83, 'UA-normalized'!$A:$A, 0))-INDEX('UA-normalized'!$E:$E, MATCH($A83, 'UA-normalized'!$A:$A, 0))&gt;0, -(26*INDEX('UA-normalized'!$D:$D, MATCH($A83, 'UA-normalized'!$A:$A, 0))-INDEX('UA-normalized'!$E:$E, MATCH($A83, 'UA-normalized'!$A:$A, 0))), 0), 0))+(IFERROR(IF(26*INDEX('KZ-normalized'!$D:$D, MATCH($A83, 'KZ-normalized'!$A:$A, 0))-INDEX('KZ-normalized'!$E:$E, MATCH($A83, 'KZ-normalized'!$A:$A, 0))&gt;0, -(26*INDEX('KZ-normalized'!$D:$D, MATCH($A83, 'KZ-normalized'!$A:$A, 0))-INDEX('KZ-normalized'!$E:$E, MATCH($A83, 'KZ-normalized'!$A:$A, 0))), 0), 0))+(IFERROR(IF(26*INDEX('UZ-normalized'!$D:$D, MATCH($A83, 'UZ-normalized'!$A:$A, 0))-INDEX('UZ-normalized'!$E:$E, MATCH($A83, 'UZ-normalized'!$A:$A, 0))&gt;0, -(26*INDEX('UZ-normalized'!$D:$D, MATCH($A83, 'UZ-normalized'!$A:$A, 0))-INDEX('UZ-normalized'!$E:$E, MATCH($A83, 'UZ-normalized'!$A:$A, 0))), 0), 0)))</f>
        <v>0</v>
      </c>
      <c r="AO83" s="6">
        <f>MIN(0, N83+(IFERROR(IF(27*INDEX('UA-normalized'!$D:$D, MATCH($A83, 'UA-normalized'!$A:$A, 0))-INDEX('UA-normalized'!$E:$E, MATCH($A83, 'UA-normalized'!$A:$A, 0))&gt;0, -(27*INDEX('UA-normalized'!$D:$D, MATCH($A83, 'UA-normalized'!$A:$A, 0))-INDEX('UA-normalized'!$E:$E, MATCH($A83, 'UA-normalized'!$A:$A, 0))), 0), 0))+(IFERROR(IF(27*INDEX('KZ-normalized'!$D:$D, MATCH($A83, 'KZ-normalized'!$A:$A, 0))-INDEX('KZ-normalized'!$E:$E, MATCH($A83, 'KZ-normalized'!$A:$A, 0))&gt;0, -(27*INDEX('KZ-normalized'!$D:$D, MATCH($A83, 'KZ-normalized'!$A:$A, 0))-INDEX('KZ-normalized'!$E:$E, MATCH($A83, 'KZ-normalized'!$A:$A, 0))), 0), 0))+(IFERROR(IF(27*INDEX('UZ-normalized'!$D:$D, MATCH($A83, 'UZ-normalized'!$A:$A, 0))-INDEX('UZ-normalized'!$E:$E, MATCH($A83, 'UZ-normalized'!$A:$A, 0))&gt;0, -(27*INDEX('UZ-normalized'!$D:$D, MATCH($A83, 'UZ-normalized'!$A:$A, 0))-INDEX('UZ-normalized'!$E:$E, MATCH($A83, 'UZ-normalized'!$A:$A, 0))), 0), 0)))</f>
        <v>-0.30000000000000071</v>
      </c>
      <c r="AP83" s="6">
        <f>MIN(0, N83+(IFERROR(IF(28*INDEX('UA-normalized'!$D:$D, MATCH($A83, 'UA-normalized'!$A:$A, 0))-INDEX('UA-normalized'!$E:$E, MATCH($A83, 'UA-normalized'!$A:$A, 0))&gt;0, -(28*INDEX('UA-normalized'!$D:$D, MATCH($A83, 'UA-normalized'!$A:$A, 0))-INDEX('UA-normalized'!$E:$E, MATCH($A83, 'UA-normalized'!$A:$A, 0))), 0), 0))+(IFERROR(IF(28*INDEX('KZ-normalized'!$D:$D, MATCH($A83, 'KZ-normalized'!$A:$A, 0))-INDEX('KZ-normalized'!$E:$E, MATCH($A83, 'KZ-normalized'!$A:$A, 0))&gt;0, -(28*INDEX('KZ-normalized'!$D:$D, MATCH($A83, 'KZ-normalized'!$A:$A, 0))-INDEX('KZ-normalized'!$E:$E, MATCH($A83, 'KZ-normalized'!$A:$A, 0))), 0), 0))+(IFERROR(IF(28*INDEX('UZ-normalized'!$D:$D, MATCH($A83, 'UZ-normalized'!$A:$A, 0))-INDEX('UZ-normalized'!$E:$E, MATCH($A83, 'UZ-normalized'!$A:$A, 0))&gt;0, -(28*INDEX('UZ-normalized'!$D:$D, MATCH($A83, 'UZ-normalized'!$A:$A, 0))-INDEX('UZ-normalized'!$E:$E, MATCH($A83, 'UZ-normalized'!$A:$A, 0))), 0), 0)))</f>
        <v>-1.1999999999999993</v>
      </c>
      <c r="AQ83" s="6">
        <f>MIN(0, N83+(IFERROR(IF(29*INDEX('UA-normalized'!$D:$D, MATCH($A83, 'UA-normalized'!$A:$A, 0))-INDEX('UA-normalized'!$E:$E, MATCH($A83, 'UA-normalized'!$A:$A, 0))&gt;0, -(29*INDEX('UA-normalized'!$D:$D, MATCH($A83, 'UA-normalized'!$A:$A, 0))-INDEX('UA-normalized'!$E:$E, MATCH($A83, 'UA-normalized'!$A:$A, 0))), 0), 0))+(IFERROR(IF(29*INDEX('KZ-normalized'!$D:$D, MATCH($A83, 'KZ-normalized'!$A:$A, 0))-INDEX('KZ-normalized'!$E:$E, MATCH($A83, 'KZ-normalized'!$A:$A, 0))&gt;0, -(29*INDEX('KZ-normalized'!$D:$D, MATCH($A83, 'KZ-normalized'!$A:$A, 0))-INDEX('KZ-normalized'!$E:$E, MATCH($A83, 'KZ-normalized'!$A:$A, 0))), 0), 0))+(IFERROR(IF(29*INDEX('UZ-normalized'!$D:$D, MATCH($A83, 'UZ-normalized'!$A:$A, 0))-INDEX('UZ-normalized'!$E:$E, MATCH($A83, 'UZ-normalized'!$A:$A, 0))&gt;0, -(29*INDEX('UZ-normalized'!$D:$D, MATCH($A83, 'UZ-normalized'!$A:$A, 0))-INDEX('UZ-normalized'!$E:$E, MATCH($A83, 'UZ-normalized'!$A:$A, 0))), 0), 0)))</f>
        <v>-2.1000000000000014</v>
      </c>
      <c r="AR83" s="6">
        <f>MIN(0, N83+(IFERROR(IF(30*INDEX('UA-normalized'!$D:$D, MATCH($A83, 'UA-normalized'!$A:$A, 0))-INDEX('UA-normalized'!$E:$E, MATCH($A83, 'UA-normalized'!$A:$A, 0))&gt;0, -(30*INDEX('UA-normalized'!$D:$D, MATCH($A83, 'UA-normalized'!$A:$A, 0))-INDEX('UA-normalized'!$E:$E, MATCH($A83, 'UA-normalized'!$A:$A, 0))), 0), 0))+(IFERROR(IF(30*INDEX('KZ-normalized'!$D:$D, MATCH($A83, 'KZ-normalized'!$A:$A, 0))-INDEX('KZ-normalized'!$E:$E, MATCH($A83, 'KZ-normalized'!$A:$A, 0))&gt;0, -(30*INDEX('KZ-normalized'!$D:$D, MATCH($A83, 'KZ-normalized'!$A:$A, 0))-INDEX('KZ-normalized'!$E:$E, MATCH($A83, 'KZ-normalized'!$A:$A, 0))), 0), 0))+(IFERROR(IF(30*INDEX('UZ-normalized'!$D:$D, MATCH($A83, 'UZ-normalized'!$A:$A, 0))-INDEX('UZ-normalized'!$E:$E, MATCH($A83, 'UZ-normalized'!$A:$A, 0))&gt;0, -(30*INDEX('UZ-normalized'!$D:$D, MATCH($A83, 'UZ-normalized'!$A:$A, 0))-INDEX('UZ-normalized'!$E:$E, MATCH($A83, 'UZ-normalized'!$A:$A, 0))), 0), 0)))</f>
        <v>-3</v>
      </c>
    </row>
    <row r="84" spans="1:44" x14ac:dyDescent="0.25">
      <c r="A84" s="8" t="s">
        <v>218</v>
      </c>
      <c r="B84" s="8" t="s">
        <v>180</v>
      </c>
      <c r="C84" s="8" t="s">
        <v>206</v>
      </c>
      <c r="D84" s="8" t="s">
        <v>219</v>
      </c>
      <c r="N84">
        <f t="shared" si="1"/>
        <v>0</v>
      </c>
      <c r="O84" s="6">
        <f>MIN(0, N84+(IFERROR(IF(1*INDEX('UA-normalized'!$D:$D, MATCH($A84, 'UA-normalized'!$A:$A, 0))-INDEX('UA-normalized'!$E:$E, MATCH($A84, 'UA-normalized'!$A:$A, 0))&gt;0, -(1*INDEX('UA-normalized'!$D:$D, MATCH($A84, 'UA-normalized'!$A:$A, 0))-INDEX('UA-normalized'!$E:$E, MATCH($A84, 'UA-normalized'!$A:$A, 0))), 0), 0))+(IFERROR(IF(1*INDEX('KZ-normalized'!$D:$D, MATCH($A84, 'KZ-normalized'!$A:$A, 0))-INDEX('KZ-normalized'!$E:$E, MATCH($A84, 'KZ-normalized'!$A:$A, 0))&gt;0, -(1*INDEX('KZ-normalized'!$D:$D, MATCH($A84, 'KZ-normalized'!$A:$A, 0))-INDEX('KZ-normalized'!$E:$E, MATCH($A84, 'KZ-normalized'!$A:$A, 0))), 0), 0))+(IFERROR(IF(1*INDEX('UZ-normalized'!$D:$D, MATCH($A84, 'UZ-normalized'!$A:$A, 0))-INDEX('UZ-normalized'!$E:$E, MATCH($A84, 'UZ-normalized'!$A:$A, 0))&gt;0, -(1*INDEX('UZ-normalized'!$D:$D, MATCH($A84, 'UZ-normalized'!$A:$A, 0))-INDEX('UZ-normalized'!$E:$E, MATCH($A84, 'UZ-normalized'!$A:$A, 0))), 0), 0)))</f>
        <v>0</v>
      </c>
      <c r="P84" s="6">
        <f>MIN(0, N84+(IFERROR(IF(2*INDEX('UA-normalized'!$D:$D, MATCH($A84, 'UA-normalized'!$A:$A, 0))-INDEX('UA-normalized'!$E:$E, MATCH($A84, 'UA-normalized'!$A:$A, 0))&gt;0, -(2*INDEX('UA-normalized'!$D:$D, MATCH($A84, 'UA-normalized'!$A:$A, 0))-INDEX('UA-normalized'!$E:$E, MATCH($A84, 'UA-normalized'!$A:$A, 0))), 0), 0))+(IFERROR(IF(2*INDEX('KZ-normalized'!$D:$D, MATCH($A84, 'KZ-normalized'!$A:$A, 0))-INDEX('KZ-normalized'!$E:$E, MATCH($A84, 'KZ-normalized'!$A:$A, 0))&gt;0, -(2*INDEX('KZ-normalized'!$D:$D, MATCH($A84, 'KZ-normalized'!$A:$A, 0))-INDEX('KZ-normalized'!$E:$E, MATCH($A84, 'KZ-normalized'!$A:$A, 0))), 0), 0))+(IFERROR(IF(2*INDEX('UZ-normalized'!$D:$D, MATCH($A84, 'UZ-normalized'!$A:$A, 0))-INDEX('UZ-normalized'!$E:$E, MATCH($A84, 'UZ-normalized'!$A:$A, 0))&gt;0, -(2*INDEX('UZ-normalized'!$D:$D, MATCH($A84, 'UZ-normalized'!$A:$A, 0))-INDEX('UZ-normalized'!$E:$E, MATCH($A84, 'UZ-normalized'!$A:$A, 0))), 0), 0)))</f>
        <v>0</v>
      </c>
      <c r="Q84" s="6">
        <f>MIN(0, N84+(IFERROR(IF(3*INDEX('UA-normalized'!$D:$D, MATCH($A84, 'UA-normalized'!$A:$A, 0))-INDEX('UA-normalized'!$E:$E, MATCH($A84, 'UA-normalized'!$A:$A, 0))&gt;0, -(3*INDEX('UA-normalized'!$D:$D, MATCH($A84, 'UA-normalized'!$A:$A, 0))-INDEX('UA-normalized'!$E:$E, MATCH($A84, 'UA-normalized'!$A:$A, 0))), 0), 0))+(IFERROR(IF(3*INDEX('KZ-normalized'!$D:$D, MATCH($A84, 'KZ-normalized'!$A:$A, 0))-INDEX('KZ-normalized'!$E:$E, MATCH($A84, 'KZ-normalized'!$A:$A, 0))&gt;0, -(3*INDEX('KZ-normalized'!$D:$D, MATCH($A84, 'KZ-normalized'!$A:$A, 0))-INDEX('KZ-normalized'!$E:$E, MATCH($A84, 'KZ-normalized'!$A:$A, 0))), 0), 0))+(IFERROR(IF(3*INDEX('UZ-normalized'!$D:$D, MATCH($A84, 'UZ-normalized'!$A:$A, 0))-INDEX('UZ-normalized'!$E:$E, MATCH($A84, 'UZ-normalized'!$A:$A, 0))&gt;0, -(3*INDEX('UZ-normalized'!$D:$D, MATCH($A84, 'UZ-normalized'!$A:$A, 0))-INDEX('UZ-normalized'!$E:$E, MATCH($A84, 'UZ-normalized'!$A:$A, 0))), 0), 0)))</f>
        <v>0</v>
      </c>
      <c r="R84" s="6">
        <f>MIN(0, N84+(IFERROR(IF(4*INDEX('UA-normalized'!$D:$D, MATCH($A84, 'UA-normalized'!$A:$A, 0))-INDEX('UA-normalized'!$E:$E, MATCH($A84, 'UA-normalized'!$A:$A, 0))&gt;0, -(4*INDEX('UA-normalized'!$D:$D, MATCH($A84, 'UA-normalized'!$A:$A, 0))-INDEX('UA-normalized'!$E:$E, MATCH($A84, 'UA-normalized'!$A:$A, 0))), 0), 0))+(IFERROR(IF(4*INDEX('KZ-normalized'!$D:$D, MATCH($A84, 'KZ-normalized'!$A:$A, 0))-INDEX('KZ-normalized'!$E:$E, MATCH($A84, 'KZ-normalized'!$A:$A, 0))&gt;0, -(4*INDEX('KZ-normalized'!$D:$D, MATCH($A84, 'KZ-normalized'!$A:$A, 0))-INDEX('KZ-normalized'!$E:$E, MATCH($A84, 'KZ-normalized'!$A:$A, 0))), 0), 0))+(IFERROR(IF(4*INDEX('UZ-normalized'!$D:$D, MATCH($A84, 'UZ-normalized'!$A:$A, 0))-INDEX('UZ-normalized'!$E:$E, MATCH($A84, 'UZ-normalized'!$A:$A, 0))&gt;0, -(4*INDEX('UZ-normalized'!$D:$D, MATCH($A84, 'UZ-normalized'!$A:$A, 0))-INDEX('UZ-normalized'!$E:$E, MATCH($A84, 'UZ-normalized'!$A:$A, 0))), 0), 0)))</f>
        <v>-0.31999999999999984</v>
      </c>
      <c r="S84" s="6">
        <f>MIN(0, N84+(IFERROR(IF(5*INDEX('UA-normalized'!$D:$D, MATCH($A84, 'UA-normalized'!$A:$A, 0))-INDEX('UA-normalized'!$E:$E, MATCH($A84, 'UA-normalized'!$A:$A, 0))&gt;0, -(5*INDEX('UA-normalized'!$D:$D, MATCH($A84, 'UA-normalized'!$A:$A, 0))-INDEX('UA-normalized'!$E:$E, MATCH($A84, 'UA-normalized'!$A:$A, 0))), 0), 0))+(IFERROR(IF(5*INDEX('KZ-normalized'!$D:$D, MATCH($A84, 'KZ-normalized'!$A:$A, 0))-INDEX('KZ-normalized'!$E:$E, MATCH($A84, 'KZ-normalized'!$A:$A, 0))&gt;0, -(5*INDEX('KZ-normalized'!$D:$D, MATCH($A84, 'KZ-normalized'!$A:$A, 0))-INDEX('KZ-normalized'!$E:$E, MATCH($A84, 'KZ-normalized'!$A:$A, 0))), 0), 0))+(IFERROR(IF(5*INDEX('UZ-normalized'!$D:$D, MATCH($A84, 'UZ-normalized'!$A:$A, 0))-INDEX('UZ-normalized'!$E:$E, MATCH($A84, 'UZ-normalized'!$A:$A, 0))&gt;0, -(5*INDEX('UZ-normalized'!$D:$D, MATCH($A84, 'UZ-normalized'!$A:$A, 0))-INDEX('UZ-normalized'!$E:$E, MATCH($A84, 'UZ-normalized'!$A:$A, 0))), 0), 0)))</f>
        <v>-1.1499999999999995</v>
      </c>
      <c r="T84" s="6">
        <f>MIN(0, N84+(IFERROR(IF(6*INDEX('UA-normalized'!$D:$D, MATCH($A84, 'UA-normalized'!$A:$A, 0))-INDEX('UA-normalized'!$E:$E, MATCH($A84, 'UA-normalized'!$A:$A, 0))&gt;0, -(6*INDEX('UA-normalized'!$D:$D, MATCH($A84, 'UA-normalized'!$A:$A, 0))-INDEX('UA-normalized'!$E:$E, MATCH($A84, 'UA-normalized'!$A:$A, 0))), 0), 0))+(IFERROR(IF(6*INDEX('KZ-normalized'!$D:$D, MATCH($A84, 'KZ-normalized'!$A:$A, 0))-INDEX('KZ-normalized'!$E:$E, MATCH($A84, 'KZ-normalized'!$A:$A, 0))&gt;0, -(6*INDEX('KZ-normalized'!$D:$D, MATCH($A84, 'KZ-normalized'!$A:$A, 0))-INDEX('KZ-normalized'!$E:$E, MATCH($A84, 'KZ-normalized'!$A:$A, 0))), 0), 0))+(IFERROR(IF(6*INDEX('UZ-normalized'!$D:$D, MATCH($A84, 'UZ-normalized'!$A:$A, 0))-INDEX('UZ-normalized'!$E:$E, MATCH($A84, 'UZ-normalized'!$A:$A, 0))&gt;0, -(6*INDEX('UZ-normalized'!$D:$D, MATCH($A84, 'UZ-normalized'!$A:$A, 0))-INDEX('UZ-normalized'!$E:$E, MATCH($A84, 'UZ-normalized'!$A:$A, 0))), 0), 0)))</f>
        <v>-1.9799999999999995</v>
      </c>
      <c r="U84" s="6">
        <f>MIN(0, N84+(IFERROR(IF(7*INDEX('UA-normalized'!$D:$D, MATCH($A84, 'UA-normalized'!$A:$A, 0))-INDEX('UA-normalized'!$E:$E, MATCH($A84, 'UA-normalized'!$A:$A, 0))&gt;0, -(7*INDEX('UA-normalized'!$D:$D, MATCH($A84, 'UA-normalized'!$A:$A, 0))-INDEX('UA-normalized'!$E:$E, MATCH($A84, 'UA-normalized'!$A:$A, 0))), 0), 0))+(IFERROR(IF(7*INDEX('KZ-normalized'!$D:$D, MATCH($A84, 'KZ-normalized'!$A:$A, 0))-INDEX('KZ-normalized'!$E:$E, MATCH($A84, 'KZ-normalized'!$A:$A, 0))&gt;0, -(7*INDEX('KZ-normalized'!$D:$D, MATCH($A84, 'KZ-normalized'!$A:$A, 0))-INDEX('KZ-normalized'!$E:$E, MATCH($A84, 'KZ-normalized'!$A:$A, 0))), 0), 0))+(IFERROR(IF(7*INDEX('UZ-normalized'!$D:$D, MATCH($A84, 'UZ-normalized'!$A:$A, 0))-INDEX('UZ-normalized'!$E:$E, MATCH($A84, 'UZ-normalized'!$A:$A, 0))&gt;0, -(7*INDEX('UZ-normalized'!$D:$D, MATCH($A84, 'UZ-normalized'!$A:$A, 0))-INDEX('UZ-normalized'!$E:$E, MATCH($A84, 'UZ-normalized'!$A:$A, 0))), 0), 0)))</f>
        <v>-2.8099999999999996</v>
      </c>
      <c r="V84" s="6">
        <f>MIN(0, N84+(IFERROR(IF(8*INDEX('UA-normalized'!$D:$D, MATCH($A84, 'UA-normalized'!$A:$A, 0))-INDEX('UA-normalized'!$E:$E, MATCH($A84, 'UA-normalized'!$A:$A, 0))&gt;0, -(8*INDEX('UA-normalized'!$D:$D, MATCH($A84, 'UA-normalized'!$A:$A, 0))-INDEX('UA-normalized'!$E:$E, MATCH($A84, 'UA-normalized'!$A:$A, 0))), 0), 0))+(IFERROR(IF(8*INDEX('KZ-normalized'!$D:$D, MATCH($A84, 'KZ-normalized'!$A:$A, 0))-INDEX('KZ-normalized'!$E:$E, MATCH($A84, 'KZ-normalized'!$A:$A, 0))&gt;0, -(8*INDEX('KZ-normalized'!$D:$D, MATCH($A84, 'KZ-normalized'!$A:$A, 0))-INDEX('KZ-normalized'!$E:$E, MATCH($A84, 'KZ-normalized'!$A:$A, 0))), 0), 0))+(IFERROR(IF(8*INDEX('UZ-normalized'!$D:$D, MATCH($A84, 'UZ-normalized'!$A:$A, 0))-INDEX('UZ-normalized'!$E:$E, MATCH($A84, 'UZ-normalized'!$A:$A, 0))&gt;0, -(8*INDEX('UZ-normalized'!$D:$D, MATCH($A84, 'UZ-normalized'!$A:$A, 0))-INDEX('UZ-normalized'!$E:$E, MATCH($A84, 'UZ-normalized'!$A:$A, 0))), 0), 0)))</f>
        <v>-3.6399999999999997</v>
      </c>
      <c r="W84" s="6">
        <f>MIN(0, N84+(IFERROR(IF(9*INDEX('UA-normalized'!$D:$D, MATCH($A84, 'UA-normalized'!$A:$A, 0))-INDEX('UA-normalized'!$E:$E, MATCH($A84, 'UA-normalized'!$A:$A, 0))&gt;0, -(9*INDEX('UA-normalized'!$D:$D, MATCH($A84, 'UA-normalized'!$A:$A, 0))-INDEX('UA-normalized'!$E:$E, MATCH($A84, 'UA-normalized'!$A:$A, 0))), 0), 0))+(IFERROR(IF(9*INDEX('KZ-normalized'!$D:$D, MATCH($A84, 'KZ-normalized'!$A:$A, 0))-INDEX('KZ-normalized'!$E:$E, MATCH($A84, 'KZ-normalized'!$A:$A, 0))&gt;0, -(9*INDEX('KZ-normalized'!$D:$D, MATCH($A84, 'KZ-normalized'!$A:$A, 0))-INDEX('KZ-normalized'!$E:$E, MATCH($A84, 'KZ-normalized'!$A:$A, 0))), 0), 0))+(IFERROR(IF(9*INDEX('UZ-normalized'!$D:$D, MATCH($A84, 'UZ-normalized'!$A:$A, 0))-INDEX('UZ-normalized'!$E:$E, MATCH($A84, 'UZ-normalized'!$A:$A, 0))&gt;0, -(9*INDEX('UZ-normalized'!$D:$D, MATCH($A84, 'UZ-normalized'!$A:$A, 0))-INDEX('UZ-normalized'!$E:$E, MATCH($A84, 'UZ-normalized'!$A:$A, 0))), 0), 0)))</f>
        <v>-4.47</v>
      </c>
      <c r="X84" s="6">
        <f>MIN(0, N84+(IFERROR(IF(10*INDEX('UA-normalized'!$D:$D, MATCH($A84, 'UA-normalized'!$A:$A, 0))-INDEX('UA-normalized'!$E:$E, MATCH($A84, 'UA-normalized'!$A:$A, 0))&gt;0, -(10*INDEX('UA-normalized'!$D:$D, MATCH($A84, 'UA-normalized'!$A:$A, 0))-INDEX('UA-normalized'!$E:$E, MATCH($A84, 'UA-normalized'!$A:$A, 0))), 0), 0))+(IFERROR(IF(10*INDEX('KZ-normalized'!$D:$D, MATCH($A84, 'KZ-normalized'!$A:$A, 0))-INDEX('KZ-normalized'!$E:$E, MATCH($A84, 'KZ-normalized'!$A:$A, 0))&gt;0, -(10*INDEX('KZ-normalized'!$D:$D, MATCH($A84, 'KZ-normalized'!$A:$A, 0))-INDEX('KZ-normalized'!$E:$E, MATCH($A84, 'KZ-normalized'!$A:$A, 0))), 0), 0))+(IFERROR(IF(10*INDEX('UZ-normalized'!$D:$D, MATCH($A84, 'UZ-normalized'!$A:$A, 0))-INDEX('UZ-normalized'!$E:$E, MATCH($A84, 'UZ-normalized'!$A:$A, 0))&gt;0, -(10*INDEX('UZ-normalized'!$D:$D, MATCH($A84, 'UZ-normalized'!$A:$A, 0))-INDEX('UZ-normalized'!$E:$E, MATCH($A84, 'UZ-normalized'!$A:$A, 0))), 0), 0)))</f>
        <v>-5.2999999999999989</v>
      </c>
      <c r="Y84" s="6">
        <f>MIN(0, N84+(IFERROR(IF(11*INDEX('UA-normalized'!$D:$D, MATCH($A84, 'UA-normalized'!$A:$A, 0))-INDEX('UA-normalized'!$E:$E, MATCH($A84, 'UA-normalized'!$A:$A, 0))&gt;0, -(11*INDEX('UA-normalized'!$D:$D, MATCH($A84, 'UA-normalized'!$A:$A, 0))-INDEX('UA-normalized'!$E:$E, MATCH($A84, 'UA-normalized'!$A:$A, 0))), 0), 0))+(IFERROR(IF(11*INDEX('KZ-normalized'!$D:$D, MATCH($A84, 'KZ-normalized'!$A:$A, 0))-INDEX('KZ-normalized'!$E:$E, MATCH($A84, 'KZ-normalized'!$A:$A, 0))&gt;0, -(11*INDEX('KZ-normalized'!$D:$D, MATCH($A84, 'KZ-normalized'!$A:$A, 0))-INDEX('KZ-normalized'!$E:$E, MATCH($A84, 'KZ-normalized'!$A:$A, 0))), 0), 0))+(IFERROR(IF(11*INDEX('UZ-normalized'!$D:$D, MATCH($A84, 'UZ-normalized'!$A:$A, 0))-INDEX('UZ-normalized'!$E:$E, MATCH($A84, 'UZ-normalized'!$A:$A, 0))&gt;0, -(11*INDEX('UZ-normalized'!$D:$D, MATCH($A84, 'UZ-normalized'!$A:$A, 0))-INDEX('UZ-normalized'!$E:$E, MATCH($A84, 'UZ-normalized'!$A:$A, 0))), 0), 0)))</f>
        <v>-6.129999999999999</v>
      </c>
      <c r="Z84" s="6">
        <f>MIN(0, N84+(IFERROR(IF(12*INDEX('UA-normalized'!$D:$D, MATCH($A84, 'UA-normalized'!$A:$A, 0))-INDEX('UA-normalized'!$E:$E, MATCH($A84, 'UA-normalized'!$A:$A, 0))&gt;0, -(12*INDEX('UA-normalized'!$D:$D, MATCH($A84, 'UA-normalized'!$A:$A, 0))-INDEX('UA-normalized'!$E:$E, MATCH($A84, 'UA-normalized'!$A:$A, 0))), 0), 0))+(IFERROR(IF(12*INDEX('KZ-normalized'!$D:$D, MATCH($A84, 'KZ-normalized'!$A:$A, 0))-INDEX('KZ-normalized'!$E:$E, MATCH($A84, 'KZ-normalized'!$A:$A, 0))&gt;0, -(12*INDEX('KZ-normalized'!$D:$D, MATCH($A84, 'KZ-normalized'!$A:$A, 0))-INDEX('KZ-normalized'!$E:$E, MATCH($A84, 'KZ-normalized'!$A:$A, 0))), 0), 0))+(IFERROR(IF(12*INDEX('UZ-normalized'!$D:$D, MATCH($A84, 'UZ-normalized'!$A:$A, 0))-INDEX('UZ-normalized'!$E:$E, MATCH($A84, 'UZ-normalized'!$A:$A, 0))&gt;0, -(12*INDEX('UZ-normalized'!$D:$D, MATCH($A84, 'UZ-normalized'!$A:$A, 0))-INDEX('UZ-normalized'!$E:$E, MATCH($A84, 'UZ-normalized'!$A:$A, 0))), 0), 0)))</f>
        <v>-6.9599999999999991</v>
      </c>
      <c r="AA84" s="6">
        <f>MIN(0, N84+(IFERROR(IF(13*INDEX('UA-normalized'!$D:$D, MATCH($A84, 'UA-normalized'!$A:$A, 0))-INDEX('UA-normalized'!$E:$E, MATCH($A84, 'UA-normalized'!$A:$A, 0))&gt;0, -(13*INDEX('UA-normalized'!$D:$D, MATCH($A84, 'UA-normalized'!$A:$A, 0))-INDEX('UA-normalized'!$E:$E, MATCH($A84, 'UA-normalized'!$A:$A, 0))), 0), 0))+(IFERROR(IF(13*INDEX('KZ-normalized'!$D:$D, MATCH($A84, 'KZ-normalized'!$A:$A, 0))-INDEX('KZ-normalized'!$E:$E, MATCH($A84, 'KZ-normalized'!$A:$A, 0))&gt;0, -(13*INDEX('KZ-normalized'!$D:$D, MATCH($A84, 'KZ-normalized'!$A:$A, 0))-INDEX('KZ-normalized'!$E:$E, MATCH($A84, 'KZ-normalized'!$A:$A, 0))), 0), 0))+(IFERROR(IF(13*INDEX('UZ-normalized'!$D:$D, MATCH($A84, 'UZ-normalized'!$A:$A, 0))-INDEX('UZ-normalized'!$E:$E, MATCH($A84, 'UZ-normalized'!$A:$A, 0))&gt;0, -(13*INDEX('UZ-normalized'!$D:$D, MATCH($A84, 'UZ-normalized'!$A:$A, 0))-INDEX('UZ-normalized'!$E:$E, MATCH($A84, 'UZ-normalized'!$A:$A, 0))), 0), 0)))</f>
        <v>-7.7899999999999991</v>
      </c>
      <c r="AB84" s="6">
        <f>MIN(0, N84+(IFERROR(IF(14*INDEX('UA-normalized'!$D:$D, MATCH($A84, 'UA-normalized'!$A:$A, 0))-INDEX('UA-normalized'!$E:$E, MATCH($A84, 'UA-normalized'!$A:$A, 0))&gt;0, -(14*INDEX('UA-normalized'!$D:$D, MATCH($A84, 'UA-normalized'!$A:$A, 0))-INDEX('UA-normalized'!$E:$E, MATCH($A84, 'UA-normalized'!$A:$A, 0))), 0), 0))+(IFERROR(IF(14*INDEX('KZ-normalized'!$D:$D, MATCH($A84, 'KZ-normalized'!$A:$A, 0))-INDEX('KZ-normalized'!$E:$E, MATCH($A84, 'KZ-normalized'!$A:$A, 0))&gt;0, -(14*INDEX('KZ-normalized'!$D:$D, MATCH($A84, 'KZ-normalized'!$A:$A, 0))-INDEX('KZ-normalized'!$E:$E, MATCH($A84, 'KZ-normalized'!$A:$A, 0))), 0), 0))+(IFERROR(IF(14*INDEX('UZ-normalized'!$D:$D, MATCH($A84, 'UZ-normalized'!$A:$A, 0))-INDEX('UZ-normalized'!$E:$E, MATCH($A84, 'UZ-normalized'!$A:$A, 0))&gt;0, -(14*INDEX('UZ-normalized'!$D:$D, MATCH($A84, 'UZ-normalized'!$A:$A, 0))-INDEX('UZ-normalized'!$E:$E, MATCH($A84, 'UZ-normalized'!$A:$A, 0))), 0), 0)))</f>
        <v>-8.6199999999999992</v>
      </c>
      <c r="AC84" s="6">
        <f>MIN(0, N84+(IFERROR(IF(15*INDEX('UA-normalized'!$D:$D, MATCH($A84, 'UA-normalized'!$A:$A, 0))-INDEX('UA-normalized'!$E:$E, MATCH($A84, 'UA-normalized'!$A:$A, 0))&gt;0, -(15*INDEX('UA-normalized'!$D:$D, MATCH($A84, 'UA-normalized'!$A:$A, 0))-INDEX('UA-normalized'!$E:$E, MATCH($A84, 'UA-normalized'!$A:$A, 0))), 0), 0))+(IFERROR(IF(15*INDEX('KZ-normalized'!$D:$D, MATCH($A84, 'KZ-normalized'!$A:$A, 0))-INDEX('KZ-normalized'!$E:$E, MATCH($A84, 'KZ-normalized'!$A:$A, 0))&gt;0, -(15*INDEX('KZ-normalized'!$D:$D, MATCH($A84, 'KZ-normalized'!$A:$A, 0))-INDEX('KZ-normalized'!$E:$E, MATCH($A84, 'KZ-normalized'!$A:$A, 0))), 0), 0))+(IFERROR(IF(15*INDEX('UZ-normalized'!$D:$D, MATCH($A84, 'UZ-normalized'!$A:$A, 0))-INDEX('UZ-normalized'!$E:$E, MATCH($A84, 'UZ-normalized'!$A:$A, 0))&gt;0, -(15*INDEX('UZ-normalized'!$D:$D, MATCH($A84, 'UZ-normalized'!$A:$A, 0))-INDEX('UZ-normalized'!$E:$E, MATCH($A84, 'UZ-normalized'!$A:$A, 0))), 0), 0)))</f>
        <v>-9.4499999999999993</v>
      </c>
      <c r="AD84" s="6">
        <f>MIN(0, N84+(IFERROR(IF(16*INDEX('UA-normalized'!$D:$D, MATCH($A84, 'UA-normalized'!$A:$A, 0))-INDEX('UA-normalized'!$E:$E, MATCH($A84, 'UA-normalized'!$A:$A, 0))&gt;0, -(16*INDEX('UA-normalized'!$D:$D, MATCH($A84, 'UA-normalized'!$A:$A, 0))-INDEX('UA-normalized'!$E:$E, MATCH($A84, 'UA-normalized'!$A:$A, 0))), 0), 0))+(IFERROR(IF(16*INDEX('KZ-normalized'!$D:$D, MATCH($A84, 'KZ-normalized'!$A:$A, 0))-INDEX('KZ-normalized'!$E:$E, MATCH($A84, 'KZ-normalized'!$A:$A, 0))&gt;0, -(16*INDEX('KZ-normalized'!$D:$D, MATCH($A84, 'KZ-normalized'!$A:$A, 0))-INDEX('KZ-normalized'!$E:$E, MATCH($A84, 'KZ-normalized'!$A:$A, 0))), 0), 0))+(IFERROR(IF(16*INDEX('UZ-normalized'!$D:$D, MATCH($A84, 'UZ-normalized'!$A:$A, 0))-INDEX('UZ-normalized'!$E:$E, MATCH($A84, 'UZ-normalized'!$A:$A, 0))&gt;0, -(16*INDEX('UZ-normalized'!$D:$D, MATCH($A84, 'UZ-normalized'!$A:$A, 0))-INDEX('UZ-normalized'!$E:$E, MATCH($A84, 'UZ-normalized'!$A:$A, 0))), 0), 0)))</f>
        <v>-10.28</v>
      </c>
      <c r="AE84" s="6">
        <f>MIN(0, N84+(IFERROR(IF(17*INDEX('UA-normalized'!$D:$D, MATCH($A84, 'UA-normalized'!$A:$A, 0))-INDEX('UA-normalized'!$E:$E, MATCH($A84, 'UA-normalized'!$A:$A, 0))&gt;0, -(17*INDEX('UA-normalized'!$D:$D, MATCH($A84, 'UA-normalized'!$A:$A, 0))-INDEX('UA-normalized'!$E:$E, MATCH($A84, 'UA-normalized'!$A:$A, 0))), 0), 0))+(IFERROR(IF(17*INDEX('KZ-normalized'!$D:$D, MATCH($A84, 'KZ-normalized'!$A:$A, 0))-INDEX('KZ-normalized'!$E:$E, MATCH($A84, 'KZ-normalized'!$A:$A, 0))&gt;0, -(17*INDEX('KZ-normalized'!$D:$D, MATCH($A84, 'KZ-normalized'!$A:$A, 0))-INDEX('KZ-normalized'!$E:$E, MATCH($A84, 'KZ-normalized'!$A:$A, 0))), 0), 0))+(IFERROR(IF(17*INDEX('UZ-normalized'!$D:$D, MATCH($A84, 'UZ-normalized'!$A:$A, 0))-INDEX('UZ-normalized'!$E:$E, MATCH($A84, 'UZ-normalized'!$A:$A, 0))&gt;0, -(17*INDEX('UZ-normalized'!$D:$D, MATCH($A84, 'UZ-normalized'!$A:$A, 0))-INDEX('UZ-normalized'!$E:$E, MATCH($A84, 'UZ-normalized'!$A:$A, 0))), 0), 0)))</f>
        <v>-11.11</v>
      </c>
      <c r="AF84" s="6">
        <f>MIN(0, N84+(IFERROR(IF(18*INDEX('UA-normalized'!$D:$D, MATCH($A84, 'UA-normalized'!$A:$A, 0))-INDEX('UA-normalized'!$E:$E, MATCH($A84, 'UA-normalized'!$A:$A, 0))&gt;0, -(18*INDEX('UA-normalized'!$D:$D, MATCH($A84, 'UA-normalized'!$A:$A, 0))-INDEX('UA-normalized'!$E:$E, MATCH($A84, 'UA-normalized'!$A:$A, 0))), 0), 0))+(IFERROR(IF(18*INDEX('KZ-normalized'!$D:$D, MATCH($A84, 'KZ-normalized'!$A:$A, 0))-INDEX('KZ-normalized'!$E:$E, MATCH($A84, 'KZ-normalized'!$A:$A, 0))&gt;0, -(18*INDEX('KZ-normalized'!$D:$D, MATCH($A84, 'KZ-normalized'!$A:$A, 0))-INDEX('KZ-normalized'!$E:$E, MATCH($A84, 'KZ-normalized'!$A:$A, 0))), 0), 0))+(IFERROR(IF(18*INDEX('UZ-normalized'!$D:$D, MATCH($A84, 'UZ-normalized'!$A:$A, 0))-INDEX('UZ-normalized'!$E:$E, MATCH($A84, 'UZ-normalized'!$A:$A, 0))&gt;0, -(18*INDEX('UZ-normalized'!$D:$D, MATCH($A84, 'UZ-normalized'!$A:$A, 0))-INDEX('UZ-normalized'!$E:$E, MATCH($A84, 'UZ-normalized'!$A:$A, 0))), 0), 0)))</f>
        <v>-11.94</v>
      </c>
      <c r="AG84" s="6">
        <f>MIN(0, N84+(IFERROR(IF(19*INDEX('UA-normalized'!$D:$D, MATCH($A84, 'UA-normalized'!$A:$A, 0))-INDEX('UA-normalized'!$E:$E, MATCH($A84, 'UA-normalized'!$A:$A, 0))&gt;0, -(19*INDEX('UA-normalized'!$D:$D, MATCH($A84, 'UA-normalized'!$A:$A, 0))-INDEX('UA-normalized'!$E:$E, MATCH($A84, 'UA-normalized'!$A:$A, 0))), 0), 0))+(IFERROR(IF(19*INDEX('KZ-normalized'!$D:$D, MATCH($A84, 'KZ-normalized'!$A:$A, 0))-INDEX('KZ-normalized'!$E:$E, MATCH($A84, 'KZ-normalized'!$A:$A, 0))&gt;0, -(19*INDEX('KZ-normalized'!$D:$D, MATCH($A84, 'KZ-normalized'!$A:$A, 0))-INDEX('KZ-normalized'!$E:$E, MATCH($A84, 'KZ-normalized'!$A:$A, 0))), 0), 0))+(IFERROR(IF(19*INDEX('UZ-normalized'!$D:$D, MATCH($A84, 'UZ-normalized'!$A:$A, 0))-INDEX('UZ-normalized'!$E:$E, MATCH($A84, 'UZ-normalized'!$A:$A, 0))&gt;0, -(19*INDEX('UZ-normalized'!$D:$D, MATCH($A84, 'UZ-normalized'!$A:$A, 0))-INDEX('UZ-normalized'!$E:$E, MATCH($A84, 'UZ-normalized'!$A:$A, 0))), 0), 0)))</f>
        <v>-12.77</v>
      </c>
      <c r="AH84" s="6">
        <f>MIN(0, N84+(IFERROR(IF(20*INDEX('UA-normalized'!$D:$D, MATCH($A84, 'UA-normalized'!$A:$A, 0))-INDEX('UA-normalized'!$E:$E, MATCH($A84, 'UA-normalized'!$A:$A, 0))&gt;0, -(20*INDEX('UA-normalized'!$D:$D, MATCH($A84, 'UA-normalized'!$A:$A, 0))-INDEX('UA-normalized'!$E:$E, MATCH($A84, 'UA-normalized'!$A:$A, 0))), 0), 0))+(IFERROR(IF(20*INDEX('KZ-normalized'!$D:$D, MATCH($A84, 'KZ-normalized'!$A:$A, 0))-INDEX('KZ-normalized'!$E:$E, MATCH($A84, 'KZ-normalized'!$A:$A, 0))&gt;0, -(20*INDEX('KZ-normalized'!$D:$D, MATCH($A84, 'KZ-normalized'!$A:$A, 0))-INDEX('KZ-normalized'!$E:$E, MATCH($A84, 'KZ-normalized'!$A:$A, 0))), 0), 0))+(IFERROR(IF(20*INDEX('UZ-normalized'!$D:$D, MATCH($A84, 'UZ-normalized'!$A:$A, 0))-INDEX('UZ-normalized'!$E:$E, MATCH($A84, 'UZ-normalized'!$A:$A, 0))&gt;0, -(20*INDEX('UZ-normalized'!$D:$D, MATCH($A84, 'UZ-normalized'!$A:$A, 0))-INDEX('UZ-normalized'!$E:$E, MATCH($A84, 'UZ-normalized'!$A:$A, 0))), 0), 0)))</f>
        <v>-13.599999999999998</v>
      </c>
      <c r="AI84" s="6">
        <f>MIN(0, N84+(IFERROR(IF(21*INDEX('UA-normalized'!$D:$D, MATCH($A84, 'UA-normalized'!$A:$A, 0))-INDEX('UA-normalized'!$E:$E, MATCH($A84, 'UA-normalized'!$A:$A, 0))&gt;0, -(21*INDEX('UA-normalized'!$D:$D, MATCH($A84, 'UA-normalized'!$A:$A, 0))-INDEX('UA-normalized'!$E:$E, MATCH($A84, 'UA-normalized'!$A:$A, 0))), 0), 0))+(IFERROR(IF(21*INDEX('KZ-normalized'!$D:$D, MATCH($A84, 'KZ-normalized'!$A:$A, 0))-INDEX('KZ-normalized'!$E:$E, MATCH($A84, 'KZ-normalized'!$A:$A, 0))&gt;0, -(21*INDEX('KZ-normalized'!$D:$D, MATCH($A84, 'KZ-normalized'!$A:$A, 0))-INDEX('KZ-normalized'!$E:$E, MATCH($A84, 'KZ-normalized'!$A:$A, 0))), 0), 0))+(IFERROR(IF(21*INDEX('UZ-normalized'!$D:$D, MATCH($A84, 'UZ-normalized'!$A:$A, 0))-INDEX('UZ-normalized'!$E:$E, MATCH($A84, 'UZ-normalized'!$A:$A, 0))&gt;0, -(21*INDEX('UZ-normalized'!$D:$D, MATCH($A84, 'UZ-normalized'!$A:$A, 0))-INDEX('UZ-normalized'!$E:$E, MATCH($A84, 'UZ-normalized'!$A:$A, 0))), 0), 0)))</f>
        <v>-14.43</v>
      </c>
      <c r="AJ84" s="6">
        <f>MIN(0, N84+(IFERROR(IF(22*INDEX('UA-normalized'!$D:$D, MATCH($A84, 'UA-normalized'!$A:$A, 0))-INDEX('UA-normalized'!$E:$E, MATCH($A84, 'UA-normalized'!$A:$A, 0))&gt;0, -(22*INDEX('UA-normalized'!$D:$D, MATCH($A84, 'UA-normalized'!$A:$A, 0))-INDEX('UA-normalized'!$E:$E, MATCH($A84, 'UA-normalized'!$A:$A, 0))), 0), 0))+(IFERROR(IF(22*INDEX('KZ-normalized'!$D:$D, MATCH($A84, 'KZ-normalized'!$A:$A, 0))-INDEX('KZ-normalized'!$E:$E, MATCH($A84, 'KZ-normalized'!$A:$A, 0))&gt;0, -(22*INDEX('KZ-normalized'!$D:$D, MATCH($A84, 'KZ-normalized'!$A:$A, 0))-INDEX('KZ-normalized'!$E:$E, MATCH($A84, 'KZ-normalized'!$A:$A, 0))), 0), 0))+(IFERROR(IF(22*INDEX('UZ-normalized'!$D:$D, MATCH($A84, 'UZ-normalized'!$A:$A, 0))-INDEX('UZ-normalized'!$E:$E, MATCH($A84, 'UZ-normalized'!$A:$A, 0))&gt;0, -(22*INDEX('UZ-normalized'!$D:$D, MATCH($A84, 'UZ-normalized'!$A:$A, 0))-INDEX('UZ-normalized'!$E:$E, MATCH($A84, 'UZ-normalized'!$A:$A, 0))), 0), 0)))</f>
        <v>-15.259999999999998</v>
      </c>
      <c r="AK84" s="6">
        <f>MIN(0, N84+(IFERROR(IF(23*INDEX('UA-normalized'!$D:$D, MATCH($A84, 'UA-normalized'!$A:$A, 0))-INDEX('UA-normalized'!$E:$E, MATCH($A84, 'UA-normalized'!$A:$A, 0))&gt;0, -(23*INDEX('UA-normalized'!$D:$D, MATCH($A84, 'UA-normalized'!$A:$A, 0))-INDEX('UA-normalized'!$E:$E, MATCH($A84, 'UA-normalized'!$A:$A, 0))), 0), 0))+(IFERROR(IF(23*INDEX('KZ-normalized'!$D:$D, MATCH($A84, 'KZ-normalized'!$A:$A, 0))-INDEX('KZ-normalized'!$E:$E, MATCH($A84, 'KZ-normalized'!$A:$A, 0))&gt;0, -(23*INDEX('KZ-normalized'!$D:$D, MATCH($A84, 'KZ-normalized'!$A:$A, 0))-INDEX('KZ-normalized'!$E:$E, MATCH($A84, 'KZ-normalized'!$A:$A, 0))), 0), 0))+(IFERROR(IF(23*INDEX('UZ-normalized'!$D:$D, MATCH($A84, 'UZ-normalized'!$A:$A, 0))-INDEX('UZ-normalized'!$E:$E, MATCH($A84, 'UZ-normalized'!$A:$A, 0))&gt;0, -(23*INDEX('UZ-normalized'!$D:$D, MATCH($A84, 'UZ-normalized'!$A:$A, 0))-INDEX('UZ-normalized'!$E:$E, MATCH($A84, 'UZ-normalized'!$A:$A, 0))), 0), 0)))</f>
        <v>-16.09</v>
      </c>
      <c r="AL84" s="6">
        <f>MIN(0, N84+(IFERROR(IF(24*INDEX('UA-normalized'!$D:$D, MATCH($A84, 'UA-normalized'!$A:$A, 0))-INDEX('UA-normalized'!$E:$E, MATCH($A84, 'UA-normalized'!$A:$A, 0))&gt;0, -(24*INDEX('UA-normalized'!$D:$D, MATCH($A84, 'UA-normalized'!$A:$A, 0))-INDEX('UA-normalized'!$E:$E, MATCH($A84, 'UA-normalized'!$A:$A, 0))), 0), 0))+(IFERROR(IF(24*INDEX('KZ-normalized'!$D:$D, MATCH($A84, 'KZ-normalized'!$A:$A, 0))-INDEX('KZ-normalized'!$E:$E, MATCH($A84, 'KZ-normalized'!$A:$A, 0))&gt;0, -(24*INDEX('KZ-normalized'!$D:$D, MATCH($A84, 'KZ-normalized'!$A:$A, 0))-INDEX('KZ-normalized'!$E:$E, MATCH($A84, 'KZ-normalized'!$A:$A, 0))), 0), 0))+(IFERROR(IF(24*INDEX('UZ-normalized'!$D:$D, MATCH($A84, 'UZ-normalized'!$A:$A, 0))-INDEX('UZ-normalized'!$E:$E, MATCH($A84, 'UZ-normalized'!$A:$A, 0))&gt;0, -(24*INDEX('UZ-normalized'!$D:$D, MATCH($A84, 'UZ-normalized'!$A:$A, 0))-INDEX('UZ-normalized'!$E:$E, MATCH($A84, 'UZ-normalized'!$A:$A, 0))), 0), 0)))</f>
        <v>-16.919999999999998</v>
      </c>
      <c r="AM84" s="6">
        <f>MIN(0, N84+(IFERROR(IF(25*INDEX('UA-normalized'!$D:$D, MATCH($A84, 'UA-normalized'!$A:$A, 0))-INDEX('UA-normalized'!$E:$E, MATCH($A84, 'UA-normalized'!$A:$A, 0))&gt;0, -(25*INDEX('UA-normalized'!$D:$D, MATCH($A84, 'UA-normalized'!$A:$A, 0))-INDEX('UA-normalized'!$E:$E, MATCH($A84, 'UA-normalized'!$A:$A, 0))), 0), 0))+(IFERROR(IF(25*INDEX('KZ-normalized'!$D:$D, MATCH($A84, 'KZ-normalized'!$A:$A, 0))-INDEX('KZ-normalized'!$E:$E, MATCH($A84, 'KZ-normalized'!$A:$A, 0))&gt;0, -(25*INDEX('KZ-normalized'!$D:$D, MATCH($A84, 'KZ-normalized'!$A:$A, 0))-INDEX('KZ-normalized'!$E:$E, MATCH($A84, 'KZ-normalized'!$A:$A, 0))), 0), 0))+(IFERROR(IF(25*INDEX('UZ-normalized'!$D:$D, MATCH($A84, 'UZ-normalized'!$A:$A, 0))-INDEX('UZ-normalized'!$E:$E, MATCH($A84, 'UZ-normalized'!$A:$A, 0))&gt;0, -(25*INDEX('UZ-normalized'!$D:$D, MATCH($A84, 'UZ-normalized'!$A:$A, 0))-INDEX('UZ-normalized'!$E:$E, MATCH($A84, 'UZ-normalized'!$A:$A, 0))), 0), 0)))</f>
        <v>-17.75</v>
      </c>
      <c r="AN84" s="6">
        <f>MIN(0, N84+(IFERROR(IF(26*INDEX('UA-normalized'!$D:$D, MATCH($A84, 'UA-normalized'!$A:$A, 0))-INDEX('UA-normalized'!$E:$E, MATCH($A84, 'UA-normalized'!$A:$A, 0))&gt;0, -(26*INDEX('UA-normalized'!$D:$D, MATCH($A84, 'UA-normalized'!$A:$A, 0))-INDEX('UA-normalized'!$E:$E, MATCH($A84, 'UA-normalized'!$A:$A, 0))), 0), 0))+(IFERROR(IF(26*INDEX('KZ-normalized'!$D:$D, MATCH($A84, 'KZ-normalized'!$A:$A, 0))-INDEX('KZ-normalized'!$E:$E, MATCH($A84, 'KZ-normalized'!$A:$A, 0))&gt;0, -(26*INDEX('KZ-normalized'!$D:$D, MATCH($A84, 'KZ-normalized'!$A:$A, 0))-INDEX('KZ-normalized'!$E:$E, MATCH($A84, 'KZ-normalized'!$A:$A, 0))), 0), 0))+(IFERROR(IF(26*INDEX('UZ-normalized'!$D:$D, MATCH($A84, 'UZ-normalized'!$A:$A, 0))-INDEX('UZ-normalized'!$E:$E, MATCH($A84, 'UZ-normalized'!$A:$A, 0))&gt;0, -(26*INDEX('UZ-normalized'!$D:$D, MATCH($A84, 'UZ-normalized'!$A:$A, 0))-INDEX('UZ-normalized'!$E:$E, MATCH($A84, 'UZ-normalized'!$A:$A, 0))), 0), 0)))</f>
        <v>-18.579999999999998</v>
      </c>
      <c r="AO84" s="6">
        <f>MIN(0, N84+(IFERROR(IF(27*INDEX('UA-normalized'!$D:$D, MATCH($A84, 'UA-normalized'!$A:$A, 0))-INDEX('UA-normalized'!$E:$E, MATCH($A84, 'UA-normalized'!$A:$A, 0))&gt;0, -(27*INDEX('UA-normalized'!$D:$D, MATCH($A84, 'UA-normalized'!$A:$A, 0))-INDEX('UA-normalized'!$E:$E, MATCH($A84, 'UA-normalized'!$A:$A, 0))), 0), 0))+(IFERROR(IF(27*INDEX('KZ-normalized'!$D:$D, MATCH($A84, 'KZ-normalized'!$A:$A, 0))-INDEX('KZ-normalized'!$E:$E, MATCH($A84, 'KZ-normalized'!$A:$A, 0))&gt;0, -(27*INDEX('KZ-normalized'!$D:$D, MATCH($A84, 'KZ-normalized'!$A:$A, 0))-INDEX('KZ-normalized'!$E:$E, MATCH($A84, 'KZ-normalized'!$A:$A, 0))), 0), 0))+(IFERROR(IF(27*INDEX('UZ-normalized'!$D:$D, MATCH($A84, 'UZ-normalized'!$A:$A, 0))-INDEX('UZ-normalized'!$E:$E, MATCH($A84, 'UZ-normalized'!$A:$A, 0))&gt;0, -(27*INDEX('UZ-normalized'!$D:$D, MATCH($A84, 'UZ-normalized'!$A:$A, 0))-INDEX('UZ-normalized'!$E:$E, MATCH($A84, 'UZ-normalized'!$A:$A, 0))), 0), 0)))</f>
        <v>-19.41</v>
      </c>
      <c r="AP84" s="6">
        <f>MIN(0, N84+(IFERROR(IF(28*INDEX('UA-normalized'!$D:$D, MATCH($A84, 'UA-normalized'!$A:$A, 0))-INDEX('UA-normalized'!$E:$E, MATCH($A84, 'UA-normalized'!$A:$A, 0))&gt;0, -(28*INDEX('UA-normalized'!$D:$D, MATCH($A84, 'UA-normalized'!$A:$A, 0))-INDEX('UA-normalized'!$E:$E, MATCH($A84, 'UA-normalized'!$A:$A, 0))), 0), 0))+(IFERROR(IF(28*INDEX('KZ-normalized'!$D:$D, MATCH($A84, 'KZ-normalized'!$A:$A, 0))-INDEX('KZ-normalized'!$E:$E, MATCH($A84, 'KZ-normalized'!$A:$A, 0))&gt;0, -(28*INDEX('KZ-normalized'!$D:$D, MATCH($A84, 'KZ-normalized'!$A:$A, 0))-INDEX('KZ-normalized'!$E:$E, MATCH($A84, 'KZ-normalized'!$A:$A, 0))), 0), 0))+(IFERROR(IF(28*INDEX('UZ-normalized'!$D:$D, MATCH($A84, 'UZ-normalized'!$A:$A, 0))-INDEX('UZ-normalized'!$E:$E, MATCH($A84, 'UZ-normalized'!$A:$A, 0))&gt;0, -(28*INDEX('UZ-normalized'!$D:$D, MATCH($A84, 'UZ-normalized'!$A:$A, 0))-INDEX('UZ-normalized'!$E:$E, MATCH($A84, 'UZ-normalized'!$A:$A, 0))), 0), 0)))</f>
        <v>-20.239999999999998</v>
      </c>
      <c r="AQ84" s="6">
        <f>MIN(0, N84+(IFERROR(IF(29*INDEX('UA-normalized'!$D:$D, MATCH($A84, 'UA-normalized'!$A:$A, 0))-INDEX('UA-normalized'!$E:$E, MATCH($A84, 'UA-normalized'!$A:$A, 0))&gt;0, -(29*INDEX('UA-normalized'!$D:$D, MATCH($A84, 'UA-normalized'!$A:$A, 0))-INDEX('UA-normalized'!$E:$E, MATCH($A84, 'UA-normalized'!$A:$A, 0))), 0), 0))+(IFERROR(IF(29*INDEX('KZ-normalized'!$D:$D, MATCH($A84, 'KZ-normalized'!$A:$A, 0))-INDEX('KZ-normalized'!$E:$E, MATCH($A84, 'KZ-normalized'!$A:$A, 0))&gt;0, -(29*INDEX('KZ-normalized'!$D:$D, MATCH($A84, 'KZ-normalized'!$A:$A, 0))-INDEX('KZ-normalized'!$E:$E, MATCH($A84, 'KZ-normalized'!$A:$A, 0))), 0), 0))+(IFERROR(IF(29*INDEX('UZ-normalized'!$D:$D, MATCH($A84, 'UZ-normalized'!$A:$A, 0))-INDEX('UZ-normalized'!$E:$E, MATCH($A84, 'UZ-normalized'!$A:$A, 0))&gt;0, -(29*INDEX('UZ-normalized'!$D:$D, MATCH($A84, 'UZ-normalized'!$A:$A, 0))-INDEX('UZ-normalized'!$E:$E, MATCH($A84, 'UZ-normalized'!$A:$A, 0))), 0), 0)))</f>
        <v>-21.07</v>
      </c>
      <c r="AR84" s="6">
        <f>MIN(0, N84+(IFERROR(IF(30*INDEX('UA-normalized'!$D:$D, MATCH($A84, 'UA-normalized'!$A:$A, 0))-INDEX('UA-normalized'!$E:$E, MATCH($A84, 'UA-normalized'!$A:$A, 0))&gt;0, -(30*INDEX('UA-normalized'!$D:$D, MATCH($A84, 'UA-normalized'!$A:$A, 0))-INDEX('UA-normalized'!$E:$E, MATCH($A84, 'UA-normalized'!$A:$A, 0))), 0), 0))+(IFERROR(IF(30*INDEX('KZ-normalized'!$D:$D, MATCH($A84, 'KZ-normalized'!$A:$A, 0))-INDEX('KZ-normalized'!$E:$E, MATCH($A84, 'KZ-normalized'!$A:$A, 0))&gt;0, -(30*INDEX('KZ-normalized'!$D:$D, MATCH($A84, 'KZ-normalized'!$A:$A, 0))-INDEX('KZ-normalized'!$E:$E, MATCH($A84, 'KZ-normalized'!$A:$A, 0))), 0), 0))+(IFERROR(IF(30*INDEX('UZ-normalized'!$D:$D, MATCH($A84, 'UZ-normalized'!$A:$A, 0))-INDEX('UZ-normalized'!$E:$E, MATCH($A84, 'UZ-normalized'!$A:$A, 0))&gt;0, -(30*INDEX('UZ-normalized'!$D:$D, MATCH($A84, 'UZ-normalized'!$A:$A, 0))-INDEX('UZ-normalized'!$E:$E, MATCH($A84, 'UZ-normalized'!$A:$A, 0))), 0), 0)))</f>
        <v>-21.9</v>
      </c>
    </row>
    <row r="85" spans="1:44" x14ac:dyDescent="0.25">
      <c r="A85" s="8" t="s">
        <v>220</v>
      </c>
      <c r="B85" s="8" t="s">
        <v>180</v>
      </c>
      <c r="C85" s="8" t="s">
        <v>206</v>
      </c>
      <c r="D85" s="8" t="s">
        <v>221</v>
      </c>
      <c r="N85">
        <f t="shared" si="1"/>
        <v>0</v>
      </c>
      <c r="O85" s="6">
        <f>MIN(0, N85+(IFERROR(IF(1*INDEX('UA-normalized'!$D:$D, MATCH($A85, 'UA-normalized'!$A:$A, 0))-INDEX('UA-normalized'!$E:$E, MATCH($A85, 'UA-normalized'!$A:$A, 0))&gt;0, -(1*INDEX('UA-normalized'!$D:$D, MATCH($A85, 'UA-normalized'!$A:$A, 0))-INDEX('UA-normalized'!$E:$E, MATCH($A85, 'UA-normalized'!$A:$A, 0))), 0), 0))+(IFERROR(IF(1*INDEX('KZ-normalized'!$D:$D, MATCH($A85, 'KZ-normalized'!$A:$A, 0))-INDEX('KZ-normalized'!$E:$E, MATCH($A85, 'KZ-normalized'!$A:$A, 0))&gt;0, -(1*INDEX('KZ-normalized'!$D:$D, MATCH($A85, 'KZ-normalized'!$A:$A, 0))-INDEX('KZ-normalized'!$E:$E, MATCH($A85, 'KZ-normalized'!$A:$A, 0))), 0), 0))+(IFERROR(IF(1*INDEX('UZ-normalized'!$D:$D, MATCH($A85, 'UZ-normalized'!$A:$A, 0))-INDEX('UZ-normalized'!$E:$E, MATCH($A85, 'UZ-normalized'!$A:$A, 0))&gt;0, -(1*INDEX('UZ-normalized'!$D:$D, MATCH($A85, 'UZ-normalized'!$A:$A, 0))-INDEX('UZ-normalized'!$E:$E, MATCH($A85, 'UZ-normalized'!$A:$A, 0))), 0), 0)))</f>
        <v>0</v>
      </c>
      <c r="P85" s="6">
        <f>MIN(0, N85+(IFERROR(IF(2*INDEX('UA-normalized'!$D:$D, MATCH($A85, 'UA-normalized'!$A:$A, 0))-INDEX('UA-normalized'!$E:$E, MATCH($A85, 'UA-normalized'!$A:$A, 0))&gt;0, -(2*INDEX('UA-normalized'!$D:$D, MATCH($A85, 'UA-normalized'!$A:$A, 0))-INDEX('UA-normalized'!$E:$E, MATCH($A85, 'UA-normalized'!$A:$A, 0))), 0), 0))+(IFERROR(IF(2*INDEX('KZ-normalized'!$D:$D, MATCH($A85, 'KZ-normalized'!$A:$A, 0))-INDEX('KZ-normalized'!$E:$E, MATCH($A85, 'KZ-normalized'!$A:$A, 0))&gt;0, -(2*INDEX('KZ-normalized'!$D:$D, MATCH($A85, 'KZ-normalized'!$A:$A, 0))-INDEX('KZ-normalized'!$E:$E, MATCH($A85, 'KZ-normalized'!$A:$A, 0))), 0), 0))+(IFERROR(IF(2*INDEX('UZ-normalized'!$D:$D, MATCH($A85, 'UZ-normalized'!$A:$A, 0))-INDEX('UZ-normalized'!$E:$E, MATCH($A85, 'UZ-normalized'!$A:$A, 0))&gt;0, -(2*INDEX('UZ-normalized'!$D:$D, MATCH($A85, 'UZ-normalized'!$A:$A, 0))-INDEX('UZ-normalized'!$E:$E, MATCH($A85, 'UZ-normalized'!$A:$A, 0))), 0), 0)))</f>
        <v>0</v>
      </c>
      <c r="Q85" s="6">
        <f>MIN(0, N85+(IFERROR(IF(3*INDEX('UA-normalized'!$D:$D, MATCH($A85, 'UA-normalized'!$A:$A, 0))-INDEX('UA-normalized'!$E:$E, MATCH($A85, 'UA-normalized'!$A:$A, 0))&gt;0, -(3*INDEX('UA-normalized'!$D:$D, MATCH($A85, 'UA-normalized'!$A:$A, 0))-INDEX('UA-normalized'!$E:$E, MATCH($A85, 'UA-normalized'!$A:$A, 0))), 0), 0))+(IFERROR(IF(3*INDEX('KZ-normalized'!$D:$D, MATCH($A85, 'KZ-normalized'!$A:$A, 0))-INDEX('KZ-normalized'!$E:$E, MATCH($A85, 'KZ-normalized'!$A:$A, 0))&gt;0, -(3*INDEX('KZ-normalized'!$D:$D, MATCH($A85, 'KZ-normalized'!$A:$A, 0))-INDEX('KZ-normalized'!$E:$E, MATCH($A85, 'KZ-normalized'!$A:$A, 0))), 0), 0))+(IFERROR(IF(3*INDEX('UZ-normalized'!$D:$D, MATCH($A85, 'UZ-normalized'!$A:$A, 0))-INDEX('UZ-normalized'!$E:$E, MATCH($A85, 'UZ-normalized'!$A:$A, 0))&gt;0, -(3*INDEX('UZ-normalized'!$D:$D, MATCH($A85, 'UZ-normalized'!$A:$A, 0))-INDEX('UZ-normalized'!$E:$E, MATCH($A85, 'UZ-normalized'!$A:$A, 0))), 0), 0)))</f>
        <v>0</v>
      </c>
      <c r="R85" s="6">
        <f>MIN(0, N85+(IFERROR(IF(4*INDEX('UA-normalized'!$D:$D, MATCH($A85, 'UA-normalized'!$A:$A, 0))-INDEX('UA-normalized'!$E:$E, MATCH($A85, 'UA-normalized'!$A:$A, 0))&gt;0, -(4*INDEX('UA-normalized'!$D:$D, MATCH($A85, 'UA-normalized'!$A:$A, 0))-INDEX('UA-normalized'!$E:$E, MATCH($A85, 'UA-normalized'!$A:$A, 0))), 0), 0))+(IFERROR(IF(4*INDEX('KZ-normalized'!$D:$D, MATCH($A85, 'KZ-normalized'!$A:$A, 0))-INDEX('KZ-normalized'!$E:$E, MATCH($A85, 'KZ-normalized'!$A:$A, 0))&gt;0, -(4*INDEX('KZ-normalized'!$D:$D, MATCH($A85, 'KZ-normalized'!$A:$A, 0))-INDEX('KZ-normalized'!$E:$E, MATCH($A85, 'KZ-normalized'!$A:$A, 0))), 0), 0))+(IFERROR(IF(4*INDEX('UZ-normalized'!$D:$D, MATCH($A85, 'UZ-normalized'!$A:$A, 0))-INDEX('UZ-normalized'!$E:$E, MATCH($A85, 'UZ-normalized'!$A:$A, 0))&gt;0, -(4*INDEX('UZ-normalized'!$D:$D, MATCH($A85, 'UZ-normalized'!$A:$A, 0))-INDEX('UZ-normalized'!$E:$E, MATCH($A85, 'UZ-normalized'!$A:$A, 0))), 0), 0)))</f>
        <v>0</v>
      </c>
      <c r="S85" s="6">
        <f>MIN(0, N85+(IFERROR(IF(5*INDEX('UA-normalized'!$D:$D, MATCH($A85, 'UA-normalized'!$A:$A, 0))-INDEX('UA-normalized'!$E:$E, MATCH($A85, 'UA-normalized'!$A:$A, 0))&gt;0, -(5*INDEX('UA-normalized'!$D:$D, MATCH($A85, 'UA-normalized'!$A:$A, 0))-INDEX('UA-normalized'!$E:$E, MATCH($A85, 'UA-normalized'!$A:$A, 0))), 0), 0))+(IFERROR(IF(5*INDEX('KZ-normalized'!$D:$D, MATCH($A85, 'KZ-normalized'!$A:$A, 0))-INDEX('KZ-normalized'!$E:$E, MATCH($A85, 'KZ-normalized'!$A:$A, 0))&gt;0, -(5*INDEX('KZ-normalized'!$D:$D, MATCH($A85, 'KZ-normalized'!$A:$A, 0))-INDEX('KZ-normalized'!$E:$E, MATCH($A85, 'KZ-normalized'!$A:$A, 0))), 0), 0))+(IFERROR(IF(5*INDEX('UZ-normalized'!$D:$D, MATCH($A85, 'UZ-normalized'!$A:$A, 0))-INDEX('UZ-normalized'!$E:$E, MATCH($A85, 'UZ-normalized'!$A:$A, 0))&gt;0, -(5*INDEX('UZ-normalized'!$D:$D, MATCH($A85, 'UZ-normalized'!$A:$A, 0))-INDEX('UZ-normalized'!$E:$E, MATCH($A85, 'UZ-normalized'!$A:$A, 0))), 0), 0)))</f>
        <v>0</v>
      </c>
      <c r="T85" s="6">
        <f>MIN(0, N85+(IFERROR(IF(6*INDEX('UA-normalized'!$D:$D, MATCH($A85, 'UA-normalized'!$A:$A, 0))-INDEX('UA-normalized'!$E:$E, MATCH($A85, 'UA-normalized'!$A:$A, 0))&gt;0, -(6*INDEX('UA-normalized'!$D:$D, MATCH($A85, 'UA-normalized'!$A:$A, 0))-INDEX('UA-normalized'!$E:$E, MATCH($A85, 'UA-normalized'!$A:$A, 0))), 0), 0))+(IFERROR(IF(6*INDEX('KZ-normalized'!$D:$D, MATCH($A85, 'KZ-normalized'!$A:$A, 0))-INDEX('KZ-normalized'!$E:$E, MATCH($A85, 'KZ-normalized'!$A:$A, 0))&gt;0, -(6*INDEX('KZ-normalized'!$D:$D, MATCH($A85, 'KZ-normalized'!$A:$A, 0))-INDEX('KZ-normalized'!$E:$E, MATCH($A85, 'KZ-normalized'!$A:$A, 0))), 0), 0))+(IFERROR(IF(6*INDEX('UZ-normalized'!$D:$D, MATCH($A85, 'UZ-normalized'!$A:$A, 0))-INDEX('UZ-normalized'!$E:$E, MATCH($A85, 'UZ-normalized'!$A:$A, 0))&gt;0, -(6*INDEX('UZ-normalized'!$D:$D, MATCH($A85, 'UZ-normalized'!$A:$A, 0))-INDEX('UZ-normalized'!$E:$E, MATCH($A85, 'UZ-normalized'!$A:$A, 0))), 0), 0)))</f>
        <v>0</v>
      </c>
      <c r="U85" s="6">
        <f>MIN(0, N85+(IFERROR(IF(7*INDEX('UA-normalized'!$D:$D, MATCH($A85, 'UA-normalized'!$A:$A, 0))-INDEX('UA-normalized'!$E:$E, MATCH($A85, 'UA-normalized'!$A:$A, 0))&gt;0, -(7*INDEX('UA-normalized'!$D:$D, MATCH($A85, 'UA-normalized'!$A:$A, 0))-INDEX('UA-normalized'!$E:$E, MATCH($A85, 'UA-normalized'!$A:$A, 0))), 0), 0))+(IFERROR(IF(7*INDEX('KZ-normalized'!$D:$D, MATCH($A85, 'KZ-normalized'!$A:$A, 0))-INDEX('KZ-normalized'!$E:$E, MATCH($A85, 'KZ-normalized'!$A:$A, 0))&gt;0, -(7*INDEX('KZ-normalized'!$D:$D, MATCH($A85, 'KZ-normalized'!$A:$A, 0))-INDEX('KZ-normalized'!$E:$E, MATCH($A85, 'KZ-normalized'!$A:$A, 0))), 0), 0))+(IFERROR(IF(7*INDEX('UZ-normalized'!$D:$D, MATCH($A85, 'UZ-normalized'!$A:$A, 0))-INDEX('UZ-normalized'!$E:$E, MATCH($A85, 'UZ-normalized'!$A:$A, 0))&gt;0, -(7*INDEX('UZ-normalized'!$D:$D, MATCH($A85, 'UZ-normalized'!$A:$A, 0))-INDEX('UZ-normalized'!$E:$E, MATCH($A85, 'UZ-normalized'!$A:$A, 0))), 0), 0)))</f>
        <v>0</v>
      </c>
      <c r="V85" s="6">
        <f>MIN(0, N85+(IFERROR(IF(8*INDEX('UA-normalized'!$D:$D, MATCH($A85, 'UA-normalized'!$A:$A, 0))-INDEX('UA-normalized'!$E:$E, MATCH($A85, 'UA-normalized'!$A:$A, 0))&gt;0, -(8*INDEX('UA-normalized'!$D:$D, MATCH($A85, 'UA-normalized'!$A:$A, 0))-INDEX('UA-normalized'!$E:$E, MATCH($A85, 'UA-normalized'!$A:$A, 0))), 0), 0))+(IFERROR(IF(8*INDEX('KZ-normalized'!$D:$D, MATCH($A85, 'KZ-normalized'!$A:$A, 0))-INDEX('KZ-normalized'!$E:$E, MATCH($A85, 'KZ-normalized'!$A:$A, 0))&gt;0, -(8*INDEX('KZ-normalized'!$D:$D, MATCH($A85, 'KZ-normalized'!$A:$A, 0))-INDEX('KZ-normalized'!$E:$E, MATCH($A85, 'KZ-normalized'!$A:$A, 0))), 0), 0))+(IFERROR(IF(8*INDEX('UZ-normalized'!$D:$D, MATCH($A85, 'UZ-normalized'!$A:$A, 0))-INDEX('UZ-normalized'!$E:$E, MATCH($A85, 'UZ-normalized'!$A:$A, 0))&gt;0, -(8*INDEX('UZ-normalized'!$D:$D, MATCH($A85, 'UZ-normalized'!$A:$A, 0))-INDEX('UZ-normalized'!$E:$E, MATCH($A85, 'UZ-normalized'!$A:$A, 0))), 0), 0)))</f>
        <v>0</v>
      </c>
      <c r="W85" s="6">
        <f>MIN(0, N85+(IFERROR(IF(9*INDEX('UA-normalized'!$D:$D, MATCH($A85, 'UA-normalized'!$A:$A, 0))-INDEX('UA-normalized'!$E:$E, MATCH($A85, 'UA-normalized'!$A:$A, 0))&gt;0, -(9*INDEX('UA-normalized'!$D:$D, MATCH($A85, 'UA-normalized'!$A:$A, 0))-INDEX('UA-normalized'!$E:$E, MATCH($A85, 'UA-normalized'!$A:$A, 0))), 0), 0))+(IFERROR(IF(9*INDEX('KZ-normalized'!$D:$D, MATCH($A85, 'KZ-normalized'!$A:$A, 0))-INDEX('KZ-normalized'!$E:$E, MATCH($A85, 'KZ-normalized'!$A:$A, 0))&gt;0, -(9*INDEX('KZ-normalized'!$D:$D, MATCH($A85, 'KZ-normalized'!$A:$A, 0))-INDEX('KZ-normalized'!$E:$E, MATCH($A85, 'KZ-normalized'!$A:$A, 0))), 0), 0))+(IFERROR(IF(9*INDEX('UZ-normalized'!$D:$D, MATCH($A85, 'UZ-normalized'!$A:$A, 0))-INDEX('UZ-normalized'!$E:$E, MATCH($A85, 'UZ-normalized'!$A:$A, 0))&gt;0, -(9*INDEX('UZ-normalized'!$D:$D, MATCH($A85, 'UZ-normalized'!$A:$A, 0))-INDEX('UZ-normalized'!$E:$E, MATCH($A85, 'UZ-normalized'!$A:$A, 0))), 0), 0)))</f>
        <v>0</v>
      </c>
      <c r="X85" s="6">
        <f>MIN(0, N85+(IFERROR(IF(10*INDEX('UA-normalized'!$D:$D, MATCH($A85, 'UA-normalized'!$A:$A, 0))-INDEX('UA-normalized'!$E:$E, MATCH($A85, 'UA-normalized'!$A:$A, 0))&gt;0, -(10*INDEX('UA-normalized'!$D:$D, MATCH($A85, 'UA-normalized'!$A:$A, 0))-INDEX('UA-normalized'!$E:$E, MATCH($A85, 'UA-normalized'!$A:$A, 0))), 0), 0))+(IFERROR(IF(10*INDEX('KZ-normalized'!$D:$D, MATCH($A85, 'KZ-normalized'!$A:$A, 0))-INDEX('KZ-normalized'!$E:$E, MATCH($A85, 'KZ-normalized'!$A:$A, 0))&gt;0, -(10*INDEX('KZ-normalized'!$D:$D, MATCH($A85, 'KZ-normalized'!$A:$A, 0))-INDEX('KZ-normalized'!$E:$E, MATCH($A85, 'KZ-normalized'!$A:$A, 0))), 0), 0))+(IFERROR(IF(10*INDEX('UZ-normalized'!$D:$D, MATCH($A85, 'UZ-normalized'!$A:$A, 0))-INDEX('UZ-normalized'!$E:$E, MATCH($A85, 'UZ-normalized'!$A:$A, 0))&gt;0, -(10*INDEX('UZ-normalized'!$D:$D, MATCH($A85, 'UZ-normalized'!$A:$A, 0))-INDEX('UZ-normalized'!$E:$E, MATCH($A85, 'UZ-normalized'!$A:$A, 0))), 0), 0)))</f>
        <v>0</v>
      </c>
      <c r="Y85" s="6">
        <f>MIN(0, N85+(IFERROR(IF(11*INDEX('UA-normalized'!$D:$D, MATCH($A85, 'UA-normalized'!$A:$A, 0))-INDEX('UA-normalized'!$E:$E, MATCH($A85, 'UA-normalized'!$A:$A, 0))&gt;0, -(11*INDEX('UA-normalized'!$D:$D, MATCH($A85, 'UA-normalized'!$A:$A, 0))-INDEX('UA-normalized'!$E:$E, MATCH($A85, 'UA-normalized'!$A:$A, 0))), 0), 0))+(IFERROR(IF(11*INDEX('KZ-normalized'!$D:$D, MATCH($A85, 'KZ-normalized'!$A:$A, 0))-INDEX('KZ-normalized'!$E:$E, MATCH($A85, 'KZ-normalized'!$A:$A, 0))&gt;0, -(11*INDEX('KZ-normalized'!$D:$D, MATCH($A85, 'KZ-normalized'!$A:$A, 0))-INDEX('KZ-normalized'!$E:$E, MATCH($A85, 'KZ-normalized'!$A:$A, 0))), 0), 0))+(IFERROR(IF(11*INDEX('UZ-normalized'!$D:$D, MATCH($A85, 'UZ-normalized'!$A:$A, 0))-INDEX('UZ-normalized'!$E:$E, MATCH($A85, 'UZ-normalized'!$A:$A, 0))&gt;0, -(11*INDEX('UZ-normalized'!$D:$D, MATCH($A85, 'UZ-normalized'!$A:$A, 0))-INDEX('UZ-normalized'!$E:$E, MATCH($A85, 'UZ-normalized'!$A:$A, 0))), 0), 0)))</f>
        <v>-0.25</v>
      </c>
      <c r="Z85" s="6">
        <f>MIN(0, N85+(IFERROR(IF(12*INDEX('UA-normalized'!$D:$D, MATCH($A85, 'UA-normalized'!$A:$A, 0))-INDEX('UA-normalized'!$E:$E, MATCH($A85, 'UA-normalized'!$A:$A, 0))&gt;0, -(12*INDEX('UA-normalized'!$D:$D, MATCH($A85, 'UA-normalized'!$A:$A, 0))-INDEX('UA-normalized'!$E:$E, MATCH($A85, 'UA-normalized'!$A:$A, 0))), 0), 0))+(IFERROR(IF(12*INDEX('KZ-normalized'!$D:$D, MATCH($A85, 'KZ-normalized'!$A:$A, 0))-INDEX('KZ-normalized'!$E:$E, MATCH($A85, 'KZ-normalized'!$A:$A, 0))&gt;0, -(12*INDEX('KZ-normalized'!$D:$D, MATCH($A85, 'KZ-normalized'!$A:$A, 0))-INDEX('KZ-normalized'!$E:$E, MATCH($A85, 'KZ-normalized'!$A:$A, 0))), 0), 0))+(IFERROR(IF(12*INDEX('UZ-normalized'!$D:$D, MATCH($A85, 'UZ-normalized'!$A:$A, 0))-INDEX('UZ-normalized'!$E:$E, MATCH($A85, 'UZ-normalized'!$A:$A, 0))&gt;0, -(12*INDEX('UZ-normalized'!$D:$D, MATCH($A85, 'UZ-normalized'!$A:$A, 0))-INDEX('UZ-normalized'!$E:$E, MATCH($A85, 'UZ-normalized'!$A:$A, 0))), 0), 0)))</f>
        <v>-1</v>
      </c>
      <c r="AA85" s="6">
        <f>MIN(0, N85+(IFERROR(IF(13*INDEX('UA-normalized'!$D:$D, MATCH($A85, 'UA-normalized'!$A:$A, 0))-INDEX('UA-normalized'!$E:$E, MATCH($A85, 'UA-normalized'!$A:$A, 0))&gt;0, -(13*INDEX('UA-normalized'!$D:$D, MATCH($A85, 'UA-normalized'!$A:$A, 0))-INDEX('UA-normalized'!$E:$E, MATCH($A85, 'UA-normalized'!$A:$A, 0))), 0), 0))+(IFERROR(IF(13*INDEX('KZ-normalized'!$D:$D, MATCH($A85, 'KZ-normalized'!$A:$A, 0))-INDEX('KZ-normalized'!$E:$E, MATCH($A85, 'KZ-normalized'!$A:$A, 0))&gt;0, -(13*INDEX('KZ-normalized'!$D:$D, MATCH($A85, 'KZ-normalized'!$A:$A, 0))-INDEX('KZ-normalized'!$E:$E, MATCH($A85, 'KZ-normalized'!$A:$A, 0))), 0), 0))+(IFERROR(IF(13*INDEX('UZ-normalized'!$D:$D, MATCH($A85, 'UZ-normalized'!$A:$A, 0))-INDEX('UZ-normalized'!$E:$E, MATCH($A85, 'UZ-normalized'!$A:$A, 0))&gt;0, -(13*INDEX('UZ-normalized'!$D:$D, MATCH($A85, 'UZ-normalized'!$A:$A, 0))-INDEX('UZ-normalized'!$E:$E, MATCH($A85, 'UZ-normalized'!$A:$A, 0))), 0), 0)))</f>
        <v>-1.75</v>
      </c>
      <c r="AB85" s="6">
        <f>MIN(0, N85+(IFERROR(IF(14*INDEX('UA-normalized'!$D:$D, MATCH($A85, 'UA-normalized'!$A:$A, 0))-INDEX('UA-normalized'!$E:$E, MATCH($A85, 'UA-normalized'!$A:$A, 0))&gt;0, -(14*INDEX('UA-normalized'!$D:$D, MATCH($A85, 'UA-normalized'!$A:$A, 0))-INDEX('UA-normalized'!$E:$E, MATCH($A85, 'UA-normalized'!$A:$A, 0))), 0), 0))+(IFERROR(IF(14*INDEX('KZ-normalized'!$D:$D, MATCH($A85, 'KZ-normalized'!$A:$A, 0))-INDEX('KZ-normalized'!$E:$E, MATCH($A85, 'KZ-normalized'!$A:$A, 0))&gt;0, -(14*INDEX('KZ-normalized'!$D:$D, MATCH($A85, 'KZ-normalized'!$A:$A, 0))-INDEX('KZ-normalized'!$E:$E, MATCH($A85, 'KZ-normalized'!$A:$A, 0))), 0), 0))+(IFERROR(IF(14*INDEX('UZ-normalized'!$D:$D, MATCH($A85, 'UZ-normalized'!$A:$A, 0))-INDEX('UZ-normalized'!$E:$E, MATCH($A85, 'UZ-normalized'!$A:$A, 0))&gt;0, -(14*INDEX('UZ-normalized'!$D:$D, MATCH($A85, 'UZ-normalized'!$A:$A, 0))-INDEX('UZ-normalized'!$E:$E, MATCH($A85, 'UZ-normalized'!$A:$A, 0))), 0), 0)))</f>
        <v>-2.5</v>
      </c>
      <c r="AC85" s="6">
        <f>MIN(0, N85+(IFERROR(IF(15*INDEX('UA-normalized'!$D:$D, MATCH($A85, 'UA-normalized'!$A:$A, 0))-INDEX('UA-normalized'!$E:$E, MATCH($A85, 'UA-normalized'!$A:$A, 0))&gt;0, -(15*INDEX('UA-normalized'!$D:$D, MATCH($A85, 'UA-normalized'!$A:$A, 0))-INDEX('UA-normalized'!$E:$E, MATCH($A85, 'UA-normalized'!$A:$A, 0))), 0), 0))+(IFERROR(IF(15*INDEX('KZ-normalized'!$D:$D, MATCH($A85, 'KZ-normalized'!$A:$A, 0))-INDEX('KZ-normalized'!$E:$E, MATCH($A85, 'KZ-normalized'!$A:$A, 0))&gt;0, -(15*INDEX('KZ-normalized'!$D:$D, MATCH($A85, 'KZ-normalized'!$A:$A, 0))-INDEX('KZ-normalized'!$E:$E, MATCH($A85, 'KZ-normalized'!$A:$A, 0))), 0), 0))+(IFERROR(IF(15*INDEX('UZ-normalized'!$D:$D, MATCH($A85, 'UZ-normalized'!$A:$A, 0))-INDEX('UZ-normalized'!$E:$E, MATCH($A85, 'UZ-normalized'!$A:$A, 0))&gt;0, -(15*INDEX('UZ-normalized'!$D:$D, MATCH($A85, 'UZ-normalized'!$A:$A, 0))-INDEX('UZ-normalized'!$E:$E, MATCH($A85, 'UZ-normalized'!$A:$A, 0))), 0), 0)))</f>
        <v>-3.25</v>
      </c>
      <c r="AD85" s="6">
        <f>MIN(0, N85+(IFERROR(IF(16*INDEX('UA-normalized'!$D:$D, MATCH($A85, 'UA-normalized'!$A:$A, 0))-INDEX('UA-normalized'!$E:$E, MATCH($A85, 'UA-normalized'!$A:$A, 0))&gt;0, -(16*INDEX('UA-normalized'!$D:$D, MATCH($A85, 'UA-normalized'!$A:$A, 0))-INDEX('UA-normalized'!$E:$E, MATCH($A85, 'UA-normalized'!$A:$A, 0))), 0), 0))+(IFERROR(IF(16*INDEX('KZ-normalized'!$D:$D, MATCH($A85, 'KZ-normalized'!$A:$A, 0))-INDEX('KZ-normalized'!$E:$E, MATCH($A85, 'KZ-normalized'!$A:$A, 0))&gt;0, -(16*INDEX('KZ-normalized'!$D:$D, MATCH($A85, 'KZ-normalized'!$A:$A, 0))-INDEX('KZ-normalized'!$E:$E, MATCH($A85, 'KZ-normalized'!$A:$A, 0))), 0), 0))+(IFERROR(IF(16*INDEX('UZ-normalized'!$D:$D, MATCH($A85, 'UZ-normalized'!$A:$A, 0))-INDEX('UZ-normalized'!$E:$E, MATCH($A85, 'UZ-normalized'!$A:$A, 0))&gt;0, -(16*INDEX('UZ-normalized'!$D:$D, MATCH($A85, 'UZ-normalized'!$A:$A, 0))-INDEX('UZ-normalized'!$E:$E, MATCH($A85, 'UZ-normalized'!$A:$A, 0))), 0), 0)))</f>
        <v>-4</v>
      </c>
      <c r="AE85" s="6">
        <f>MIN(0, N85+(IFERROR(IF(17*INDEX('UA-normalized'!$D:$D, MATCH($A85, 'UA-normalized'!$A:$A, 0))-INDEX('UA-normalized'!$E:$E, MATCH($A85, 'UA-normalized'!$A:$A, 0))&gt;0, -(17*INDEX('UA-normalized'!$D:$D, MATCH($A85, 'UA-normalized'!$A:$A, 0))-INDEX('UA-normalized'!$E:$E, MATCH($A85, 'UA-normalized'!$A:$A, 0))), 0), 0))+(IFERROR(IF(17*INDEX('KZ-normalized'!$D:$D, MATCH($A85, 'KZ-normalized'!$A:$A, 0))-INDEX('KZ-normalized'!$E:$E, MATCH($A85, 'KZ-normalized'!$A:$A, 0))&gt;0, -(17*INDEX('KZ-normalized'!$D:$D, MATCH($A85, 'KZ-normalized'!$A:$A, 0))-INDEX('KZ-normalized'!$E:$E, MATCH($A85, 'KZ-normalized'!$A:$A, 0))), 0), 0))+(IFERROR(IF(17*INDEX('UZ-normalized'!$D:$D, MATCH($A85, 'UZ-normalized'!$A:$A, 0))-INDEX('UZ-normalized'!$E:$E, MATCH($A85, 'UZ-normalized'!$A:$A, 0))&gt;0, -(17*INDEX('UZ-normalized'!$D:$D, MATCH($A85, 'UZ-normalized'!$A:$A, 0))-INDEX('UZ-normalized'!$E:$E, MATCH($A85, 'UZ-normalized'!$A:$A, 0))), 0), 0)))</f>
        <v>-4.75</v>
      </c>
      <c r="AF85" s="6">
        <f>MIN(0, N85+(IFERROR(IF(18*INDEX('UA-normalized'!$D:$D, MATCH($A85, 'UA-normalized'!$A:$A, 0))-INDEX('UA-normalized'!$E:$E, MATCH($A85, 'UA-normalized'!$A:$A, 0))&gt;0, -(18*INDEX('UA-normalized'!$D:$D, MATCH($A85, 'UA-normalized'!$A:$A, 0))-INDEX('UA-normalized'!$E:$E, MATCH($A85, 'UA-normalized'!$A:$A, 0))), 0), 0))+(IFERROR(IF(18*INDEX('KZ-normalized'!$D:$D, MATCH($A85, 'KZ-normalized'!$A:$A, 0))-INDEX('KZ-normalized'!$E:$E, MATCH($A85, 'KZ-normalized'!$A:$A, 0))&gt;0, -(18*INDEX('KZ-normalized'!$D:$D, MATCH($A85, 'KZ-normalized'!$A:$A, 0))-INDEX('KZ-normalized'!$E:$E, MATCH($A85, 'KZ-normalized'!$A:$A, 0))), 0), 0))+(IFERROR(IF(18*INDEX('UZ-normalized'!$D:$D, MATCH($A85, 'UZ-normalized'!$A:$A, 0))-INDEX('UZ-normalized'!$E:$E, MATCH($A85, 'UZ-normalized'!$A:$A, 0))&gt;0, -(18*INDEX('UZ-normalized'!$D:$D, MATCH($A85, 'UZ-normalized'!$A:$A, 0))-INDEX('UZ-normalized'!$E:$E, MATCH($A85, 'UZ-normalized'!$A:$A, 0))), 0), 0)))</f>
        <v>-5.5</v>
      </c>
      <c r="AG85" s="6">
        <f>MIN(0, N85+(IFERROR(IF(19*INDEX('UA-normalized'!$D:$D, MATCH($A85, 'UA-normalized'!$A:$A, 0))-INDEX('UA-normalized'!$E:$E, MATCH($A85, 'UA-normalized'!$A:$A, 0))&gt;0, -(19*INDEX('UA-normalized'!$D:$D, MATCH($A85, 'UA-normalized'!$A:$A, 0))-INDEX('UA-normalized'!$E:$E, MATCH($A85, 'UA-normalized'!$A:$A, 0))), 0), 0))+(IFERROR(IF(19*INDEX('KZ-normalized'!$D:$D, MATCH($A85, 'KZ-normalized'!$A:$A, 0))-INDEX('KZ-normalized'!$E:$E, MATCH($A85, 'KZ-normalized'!$A:$A, 0))&gt;0, -(19*INDEX('KZ-normalized'!$D:$D, MATCH($A85, 'KZ-normalized'!$A:$A, 0))-INDEX('KZ-normalized'!$E:$E, MATCH($A85, 'KZ-normalized'!$A:$A, 0))), 0), 0))+(IFERROR(IF(19*INDEX('UZ-normalized'!$D:$D, MATCH($A85, 'UZ-normalized'!$A:$A, 0))-INDEX('UZ-normalized'!$E:$E, MATCH($A85, 'UZ-normalized'!$A:$A, 0))&gt;0, -(19*INDEX('UZ-normalized'!$D:$D, MATCH($A85, 'UZ-normalized'!$A:$A, 0))-INDEX('UZ-normalized'!$E:$E, MATCH($A85, 'UZ-normalized'!$A:$A, 0))), 0), 0)))</f>
        <v>-6.25</v>
      </c>
      <c r="AH85" s="6">
        <f>MIN(0, N85+(IFERROR(IF(20*INDEX('UA-normalized'!$D:$D, MATCH($A85, 'UA-normalized'!$A:$A, 0))-INDEX('UA-normalized'!$E:$E, MATCH($A85, 'UA-normalized'!$A:$A, 0))&gt;0, -(20*INDEX('UA-normalized'!$D:$D, MATCH($A85, 'UA-normalized'!$A:$A, 0))-INDEX('UA-normalized'!$E:$E, MATCH($A85, 'UA-normalized'!$A:$A, 0))), 0), 0))+(IFERROR(IF(20*INDEX('KZ-normalized'!$D:$D, MATCH($A85, 'KZ-normalized'!$A:$A, 0))-INDEX('KZ-normalized'!$E:$E, MATCH($A85, 'KZ-normalized'!$A:$A, 0))&gt;0, -(20*INDEX('KZ-normalized'!$D:$D, MATCH($A85, 'KZ-normalized'!$A:$A, 0))-INDEX('KZ-normalized'!$E:$E, MATCH($A85, 'KZ-normalized'!$A:$A, 0))), 0), 0))+(IFERROR(IF(20*INDEX('UZ-normalized'!$D:$D, MATCH($A85, 'UZ-normalized'!$A:$A, 0))-INDEX('UZ-normalized'!$E:$E, MATCH($A85, 'UZ-normalized'!$A:$A, 0))&gt;0, -(20*INDEX('UZ-normalized'!$D:$D, MATCH($A85, 'UZ-normalized'!$A:$A, 0))-INDEX('UZ-normalized'!$E:$E, MATCH($A85, 'UZ-normalized'!$A:$A, 0))), 0), 0)))</f>
        <v>-7</v>
      </c>
      <c r="AI85" s="6">
        <f>MIN(0, N85+(IFERROR(IF(21*INDEX('UA-normalized'!$D:$D, MATCH($A85, 'UA-normalized'!$A:$A, 0))-INDEX('UA-normalized'!$E:$E, MATCH($A85, 'UA-normalized'!$A:$A, 0))&gt;0, -(21*INDEX('UA-normalized'!$D:$D, MATCH($A85, 'UA-normalized'!$A:$A, 0))-INDEX('UA-normalized'!$E:$E, MATCH($A85, 'UA-normalized'!$A:$A, 0))), 0), 0))+(IFERROR(IF(21*INDEX('KZ-normalized'!$D:$D, MATCH($A85, 'KZ-normalized'!$A:$A, 0))-INDEX('KZ-normalized'!$E:$E, MATCH($A85, 'KZ-normalized'!$A:$A, 0))&gt;0, -(21*INDEX('KZ-normalized'!$D:$D, MATCH($A85, 'KZ-normalized'!$A:$A, 0))-INDEX('KZ-normalized'!$E:$E, MATCH($A85, 'KZ-normalized'!$A:$A, 0))), 0), 0))+(IFERROR(IF(21*INDEX('UZ-normalized'!$D:$D, MATCH($A85, 'UZ-normalized'!$A:$A, 0))-INDEX('UZ-normalized'!$E:$E, MATCH($A85, 'UZ-normalized'!$A:$A, 0))&gt;0, -(21*INDEX('UZ-normalized'!$D:$D, MATCH($A85, 'UZ-normalized'!$A:$A, 0))-INDEX('UZ-normalized'!$E:$E, MATCH($A85, 'UZ-normalized'!$A:$A, 0))), 0), 0)))</f>
        <v>-7.75</v>
      </c>
      <c r="AJ85" s="6">
        <f>MIN(0, N85+(IFERROR(IF(22*INDEX('UA-normalized'!$D:$D, MATCH($A85, 'UA-normalized'!$A:$A, 0))-INDEX('UA-normalized'!$E:$E, MATCH($A85, 'UA-normalized'!$A:$A, 0))&gt;0, -(22*INDEX('UA-normalized'!$D:$D, MATCH($A85, 'UA-normalized'!$A:$A, 0))-INDEX('UA-normalized'!$E:$E, MATCH($A85, 'UA-normalized'!$A:$A, 0))), 0), 0))+(IFERROR(IF(22*INDEX('KZ-normalized'!$D:$D, MATCH($A85, 'KZ-normalized'!$A:$A, 0))-INDEX('KZ-normalized'!$E:$E, MATCH($A85, 'KZ-normalized'!$A:$A, 0))&gt;0, -(22*INDEX('KZ-normalized'!$D:$D, MATCH($A85, 'KZ-normalized'!$A:$A, 0))-INDEX('KZ-normalized'!$E:$E, MATCH($A85, 'KZ-normalized'!$A:$A, 0))), 0), 0))+(IFERROR(IF(22*INDEX('UZ-normalized'!$D:$D, MATCH($A85, 'UZ-normalized'!$A:$A, 0))-INDEX('UZ-normalized'!$E:$E, MATCH($A85, 'UZ-normalized'!$A:$A, 0))&gt;0, -(22*INDEX('UZ-normalized'!$D:$D, MATCH($A85, 'UZ-normalized'!$A:$A, 0))-INDEX('UZ-normalized'!$E:$E, MATCH($A85, 'UZ-normalized'!$A:$A, 0))), 0), 0)))</f>
        <v>-8.5</v>
      </c>
      <c r="AK85" s="6">
        <f>MIN(0, N85+(IFERROR(IF(23*INDEX('UA-normalized'!$D:$D, MATCH($A85, 'UA-normalized'!$A:$A, 0))-INDEX('UA-normalized'!$E:$E, MATCH($A85, 'UA-normalized'!$A:$A, 0))&gt;0, -(23*INDEX('UA-normalized'!$D:$D, MATCH($A85, 'UA-normalized'!$A:$A, 0))-INDEX('UA-normalized'!$E:$E, MATCH($A85, 'UA-normalized'!$A:$A, 0))), 0), 0))+(IFERROR(IF(23*INDEX('KZ-normalized'!$D:$D, MATCH($A85, 'KZ-normalized'!$A:$A, 0))-INDEX('KZ-normalized'!$E:$E, MATCH($A85, 'KZ-normalized'!$A:$A, 0))&gt;0, -(23*INDEX('KZ-normalized'!$D:$D, MATCH($A85, 'KZ-normalized'!$A:$A, 0))-INDEX('KZ-normalized'!$E:$E, MATCH($A85, 'KZ-normalized'!$A:$A, 0))), 0), 0))+(IFERROR(IF(23*INDEX('UZ-normalized'!$D:$D, MATCH($A85, 'UZ-normalized'!$A:$A, 0))-INDEX('UZ-normalized'!$E:$E, MATCH($A85, 'UZ-normalized'!$A:$A, 0))&gt;0, -(23*INDEX('UZ-normalized'!$D:$D, MATCH($A85, 'UZ-normalized'!$A:$A, 0))-INDEX('UZ-normalized'!$E:$E, MATCH($A85, 'UZ-normalized'!$A:$A, 0))), 0), 0)))</f>
        <v>-9.25</v>
      </c>
      <c r="AL85" s="6">
        <f>MIN(0, N85+(IFERROR(IF(24*INDEX('UA-normalized'!$D:$D, MATCH($A85, 'UA-normalized'!$A:$A, 0))-INDEX('UA-normalized'!$E:$E, MATCH($A85, 'UA-normalized'!$A:$A, 0))&gt;0, -(24*INDEX('UA-normalized'!$D:$D, MATCH($A85, 'UA-normalized'!$A:$A, 0))-INDEX('UA-normalized'!$E:$E, MATCH($A85, 'UA-normalized'!$A:$A, 0))), 0), 0))+(IFERROR(IF(24*INDEX('KZ-normalized'!$D:$D, MATCH($A85, 'KZ-normalized'!$A:$A, 0))-INDEX('KZ-normalized'!$E:$E, MATCH($A85, 'KZ-normalized'!$A:$A, 0))&gt;0, -(24*INDEX('KZ-normalized'!$D:$D, MATCH($A85, 'KZ-normalized'!$A:$A, 0))-INDEX('KZ-normalized'!$E:$E, MATCH($A85, 'KZ-normalized'!$A:$A, 0))), 0), 0))+(IFERROR(IF(24*INDEX('UZ-normalized'!$D:$D, MATCH($A85, 'UZ-normalized'!$A:$A, 0))-INDEX('UZ-normalized'!$E:$E, MATCH($A85, 'UZ-normalized'!$A:$A, 0))&gt;0, -(24*INDEX('UZ-normalized'!$D:$D, MATCH($A85, 'UZ-normalized'!$A:$A, 0))-INDEX('UZ-normalized'!$E:$E, MATCH($A85, 'UZ-normalized'!$A:$A, 0))), 0), 0)))</f>
        <v>-10</v>
      </c>
      <c r="AM85" s="6">
        <f>MIN(0, N85+(IFERROR(IF(25*INDEX('UA-normalized'!$D:$D, MATCH($A85, 'UA-normalized'!$A:$A, 0))-INDEX('UA-normalized'!$E:$E, MATCH($A85, 'UA-normalized'!$A:$A, 0))&gt;0, -(25*INDEX('UA-normalized'!$D:$D, MATCH($A85, 'UA-normalized'!$A:$A, 0))-INDEX('UA-normalized'!$E:$E, MATCH($A85, 'UA-normalized'!$A:$A, 0))), 0), 0))+(IFERROR(IF(25*INDEX('KZ-normalized'!$D:$D, MATCH($A85, 'KZ-normalized'!$A:$A, 0))-INDEX('KZ-normalized'!$E:$E, MATCH($A85, 'KZ-normalized'!$A:$A, 0))&gt;0, -(25*INDEX('KZ-normalized'!$D:$D, MATCH($A85, 'KZ-normalized'!$A:$A, 0))-INDEX('KZ-normalized'!$E:$E, MATCH($A85, 'KZ-normalized'!$A:$A, 0))), 0), 0))+(IFERROR(IF(25*INDEX('UZ-normalized'!$D:$D, MATCH($A85, 'UZ-normalized'!$A:$A, 0))-INDEX('UZ-normalized'!$E:$E, MATCH($A85, 'UZ-normalized'!$A:$A, 0))&gt;0, -(25*INDEX('UZ-normalized'!$D:$D, MATCH($A85, 'UZ-normalized'!$A:$A, 0))-INDEX('UZ-normalized'!$E:$E, MATCH($A85, 'UZ-normalized'!$A:$A, 0))), 0), 0)))</f>
        <v>-10.75</v>
      </c>
      <c r="AN85" s="6">
        <f>MIN(0, N85+(IFERROR(IF(26*INDEX('UA-normalized'!$D:$D, MATCH($A85, 'UA-normalized'!$A:$A, 0))-INDEX('UA-normalized'!$E:$E, MATCH($A85, 'UA-normalized'!$A:$A, 0))&gt;0, -(26*INDEX('UA-normalized'!$D:$D, MATCH($A85, 'UA-normalized'!$A:$A, 0))-INDEX('UA-normalized'!$E:$E, MATCH($A85, 'UA-normalized'!$A:$A, 0))), 0), 0))+(IFERROR(IF(26*INDEX('KZ-normalized'!$D:$D, MATCH($A85, 'KZ-normalized'!$A:$A, 0))-INDEX('KZ-normalized'!$E:$E, MATCH($A85, 'KZ-normalized'!$A:$A, 0))&gt;0, -(26*INDEX('KZ-normalized'!$D:$D, MATCH($A85, 'KZ-normalized'!$A:$A, 0))-INDEX('KZ-normalized'!$E:$E, MATCH($A85, 'KZ-normalized'!$A:$A, 0))), 0), 0))+(IFERROR(IF(26*INDEX('UZ-normalized'!$D:$D, MATCH($A85, 'UZ-normalized'!$A:$A, 0))-INDEX('UZ-normalized'!$E:$E, MATCH($A85, 'UZ-normalized'!$A:$A, 0))&gt;0, -(26*INDEX('UZ-normalized'!$D:$D, MATCH($A85, 'UZ-normalized'!$A:$A, 0))-INDEX('UZ-normalized'!$E:$E, MATCH($A85, 'UZ-normalized'!$A:$A, 0))), 0), 0)))</f>
        <v>-11.5</v>
      </c>
      <c r="AO85" s="6">
        <f>MIN(0, N85+(IFERROR(IF(27*INDEX('UA-normalized'!$D:$D, MATCH($A85, 'UA-normalized'!$A:$A, 0))-INDEX('UA-normalized'!$E:$E, MATCH($A85, 'UA-normalized'!$A:$A, 0))&gt;0, -(27*INDEX('UA-normalized'!$D:$D, MATCH($A85, 'UA-normalized'!$A:$A, 0))-INDEX('UA-normalized'!$E:$E, MATCH($A85, 'UA-normalized'!$A:$A, 0))), 0), 0))+(IFERROR(IF(27*INDEX('KZ-normalized'!$D:$D, MATCH($A85, 'KZ-normalized'!$A:$A, 0))-INDEX('KZ-normalized'!$E:$E, MATCH($A85, 'KZ-normalized'!$A:$A, 0))&gt;0, -(27*INDEX('KZ-normalized'!$D:$D, MATCH($A85, 'KZ-normalized'!$A:$A, 0))-INDEX('KZ-normalized'!$E:$E, MATCH($A85, 'KZ-normalized'!$A:$A, 0))), 0), 0))+(IFERROR(IF(27*INDEX('UZ-normalized'!$D:$D, MATCH($A85, 'UZ-normalized'!$A:$A, 0))-INDEX('UZ-normalized'!$E:$E, MATCH($A85, 'UZ-normalized'!$A:$A, 0))&gt;0, -(27*INDEX('UZ-normalized'!$D:$D, MATCH($A85, 'UZ-normalized'!$A:$A, 0))-INDEX('UZ-normalized'!$E:$E, MATCH($A85, 'UZ-normalized'!$A:$A, 0))), 0), 0)))</f>
        <v>-12.25</v>
      </c>
      <c r="AP85" s="6">
        <f>MIN(0, N85+(IFERROR(IF(28*INDEX('UA-normalized'!$D:$D, MATCH($A85, 'UA-normalized'!$A:$A, 0))-INDEX('UA-normalized'!$E:$E, MATCH($A85, 'UA-normalized'!$A:$A, 0))&gt;0, -(28*INDEX('UA-normalized'!$D:$D, MATCH($A85, 'UA-normalized'!$A:$A, 0))-INDEX('UA-normalized'!$E:$E, MATCH($A85, 'UA-normalized'!$A:$A, 0))), 0), 0))+(IFERROR(IF(28*INDEX('KZ-normalized'!$D:$D, MATCH($A85, 'KZ-normalized'!$A:$A, 0))-INDEX('KZ-normalized'!$E:$E, MATCH($A85, 'KZ-normalized'!$A:$A, 0))&gt;0, -(28*INDEX('KZ-normalized'!$D:$D, MATCH($A85, 'KZ-normalized'!$A:$A, 0))-INDEX('KZ-normalized'!$E:$E, MATCH($A85, 'KZ-normalized'!$A:$A, 0))), 0), 0))+(IFERROR(IF(28*INDEX('UZ-normalized'!$D:$D, MATCH($A85, 'UZ-normalized'!$A:$A, 0))-INDEX('UZ-normalized'!$E:$E, MATCH($A85, 'UZ-normalized'!$A:$A, 0))&gt;0, -(28*INDEX('UZ-normalized'!$D:$D, MATCH($A85, 'UZ-normalized'!$A:$A, 0))-INDEX('UZ-normalized'!$E:$E, MATCH($A85, 'UZ-normalized'!$A:$A, 0))), 0), 0)))</f>
        <v>-13</v>
      </c>
      <c r="AQ85" s="6">
        <f>MIN(0, N85+(IFERROR(IF(29*INDEX('UA-normalized'!$D:$D, MATCH($A85, 'UA-normalized'!$A:$A, 0))-INDEX('UA-normalized'!$E:$E, MATCH($A85, 'UA-normalized'!$A:$A, 0))&gt;0, -(29*INDEX('UA-normalized'!$D:$D, MATCH($A85, 'UA-normalized'!$A:$A, 0))-INDEX('UA-normalized'!$E:$E, MATCH($A85, 'UA-normalized'!$A:$A, 0))), 0), 0))+(IFERROR(IF(29*INDEX('KZ-normalized'!$D:$D, MATCH($A85, 'KZ-normalized'!$A:$A, 0))-INDEX('KZ-normalized'!$E:$E, MATCH($A85, 'KZ-normalized'!$A:$A, 0))&gt;0, -(29*INDEX('KZ-normalized'!$D:$D, MATCH($A85, 'KZ-normalized'!$A:$A, 0))-INDEX('KZ-normalized'!$E:$E, MATCH($A85, 'KZ-normalized'!$A:$A, 0))), 0), 0))+(IFERROR(IF(29*INDEX('UZ-normalized'!$D:$D, MATCH($A85, 'UZ-normalized'!$A:$A, 0))-INDEX('UZ-normalized'!$E:$E, MATCH($A85, 'UZ-normalized'!$A:$A, 0))&gt;0, -(29*INDEX('UZ-normalized'!$D:$D, MATCH($A85, 'UZ-normalized'!$A:$A, 0))-INDEX('UZ-normalized'!$E:$E, MATCH($A85, 'UZ-normalized'!$A:$A, 0))), 0), 0)))</f>
        <v>-13.75</v>
      </c>
      <c r="AR85" s="6">
        <f>MIN(0, N85+(IFERROR(IF(30*INDEX('UA-normalized'!$D:$D, MATCH($A85, 'UA-normalized'!$A:$A, 0))-INDEX('UA-normalized'!$E:$E, MATCH($A85, 'UA-normalized'!$A:$A, 0))&gt;0, -(30*INDEX('UA-normalized'!$D:$D, MATCH($A85, 'UA-normalized'!$A:$A, 0))-INDEX('UA-normalized'!$E:$E, MATCH($A85, 'UA-normalized'!$A:$A, 0))), 0), 0))+(IFERROR(IF(30*INDEX('KZ-normalized'!$D:$D, MATCH($A85, 'KZ-normalized'!$A:$A, 0))-INDEX('KZ-normalized'!$E:$E, MATCH($A85, 'KZ-normalized'!$A:$A, 0))&gt;0, -(30*INDEX('KZ-normalized'!$D:$D, MATCH($A85, 'KZ-normalized'!$A:$A, 0))-INDEX('KZ-normalized'!$E:$E, MATCH($A85, 'KZ-normalized'!$A:$A, 0))), 0), 0))+(IFERROR(IF(30*INDEX('UZ-normalized'!$D:$D, MATCH($A85, 'UZ-normalized'!$A:$A, 0))-INDEX('UZ-normalized'!$E:$E, MATCH($A85, 'UZ-normalized'!$A:$A, 0))&gt;0, -(30*INDEX('UZ-normalized'!$D:$D, MATCH($A85, 'UZ-normalized'!$A:$A, 0))-INDEX('UZ-normalized'!$E:$E, MATCH($A85, 'UZ-normalized'!$A:$A, 0))), 0), 0)))</f>
        <v>-14.5</v>
      </c>
    </row>
    <row r="86" spans="1:44" x14ac:dyDescent="0.25">
      <c r="A86" s="8" t="s">
        <v>222</v>
      </c>
      <c r="B86" s="8" t="s">
        <v>180</v>
      </c>
      <c r="C86" s="8" t="s">
        <v>206</v>
      </c>
      <c r="D86" s="8" t="s">
        <v>223</v>
      </c>
      <c r="N86">
        <f t="shared" si="1"/>
        <v>0</v>
      </c>
      <c r="O86" s="6">
        <f>MIN(0, N86+(IFERROR(IF(1*INDEX('UA-normalized'!$D:$D, MATCH($A86, 'UA-normalized'!$A:$A, 0))-INDEX('UA-normalized'!$E:$E, MATCH($A86, 'UA-normalized'!$A:$A, 0))&gt;0, -(1*INDEX('UA-normalized'!$D:$D, MATCH($A86, 'UA-normalized'!$A:$A, 0))-INDEX('UA-normalized'!$E:$E, MATCH($A86, 'UA-normalized'!$A:$A, 0))), 0), 0))+(IFERROR(IF(1*INDEX('KZ-normalized'!$D:$D, MATCH($A86, 'KZ-normalized'!$A:$A, 0))-INDEX('KZ-normalized'!$E:$E, MATCH($A86, 'KZ-normalized'!$A:$A, 0))&gt;0, -(1*INDEX('KZ-normalized'!$D:$D, MATCH($A86, 'KZ-normalized'!$A:$A, 0))-INDEX('KZ-normalized'!$E:$E, MATCH($A86, 'KZ-normalized'!$A:$A, 0))), 0), 0))+(IFERROR(IF(1*INDEX('UZ-normalized'!$D:$D, MATCH($A86, 'UZ-normalized'!$A:$A, 0))-INDEX('UZ-normalized'!$E:$E, MATCH($A86, 'UZ-normalized'!$A:$A, 0))&gt;0, -(1*INDEX('UZ-normalized'!$D:$D, MATCH($A86, 'UZ-normalized'!$A:$A, 0))-INDEX('UZ-normalized'!$E:$E, MATCH($A86, 'UZ-normalized'!$A:$A, 0))), 0), 0)))</f>
        <v>0</v>
      </c>
      <c r="P86" s="6">
        <f>MIN(0, N86+(IFERROR(IF(2*INDEX('UA-normalized'!$D:$D, MATCH($A86, 'UA-normalized'!$A:$A, 0))-INDEX('UA-normalized'!$E:$E, MATCH($A86, 'UA-normalized'!$A:$A, 0))&gt;0, -(2*INDEX('UA-normalized'!$D:$D, MATCH($A86, 'UA-normalized'!$A:$A, 0))-INDEX('UA-normalized'!$E:$E, MATCH($A86, 'UA-normalized'!$A:$A, 0))), 0), 0))+(IFERROR(IF(2*INDEX('KZ-normalized'!$D:$D, MATCH($A86, 'KZ-normalized'!$A:$A, 0))-INDEX('KZ-normalized'!$E:$E, MATCH($A86, 'KZ-normalized'!$A:$A, 0))&gt;0, -(2*INDEX('KZ-normalized'!$D:$D, MATCH($A86, 'KZ-normalized'!$A:$A, 0))-INDEX('KZ-normalized'!$E:$E, MATCH($A86, 'KZ-normalized'!$A:$A, 0))), 0), 0))+(IFERROR(IF(2*INDEX('UZ-normalized'!$D:$D, MATCH($A86, 'UZ-normalized'!$A:$A, 0))-INDEX('UZ-normalized'!$E:$E, MATCH($A86, 'UZ-normalized'!$A:$A, 0))&gt;0, -(2*INDEX('UZ-normalized'!$D:$D, MATCH($A86, 'UZ-normalized'!$A:$A, 0))-INDEX('UZ-normalized'!$E:$E, MATCH($A86, 'UZ-normalized'!$A:$A, 0))), 0), 0)))</f>
        <v>0</v>
      </c>
      <c r="Q86" s="6">
        <f>MIN(0, N86+(IFERROR(IF(3*INDEX('UA-normalized'!$D:$D, MATCH($A86, 'UA-normalized'!$A:$A, 0))-INDEX('UA-normalized'!$E:$E, MATCH($A86, 'UA-normalized'!$A:$A, 0))&gt;0, -(3*INDEX('UA-normalized'!$D:$D, MATCH($A86, 'UA-normalized'!$A:$A, 0))-INDEX('UA-normalized'!$E:$E, MATCH($A86, 'UA-normalized'!$A:$A, 0))), 0), 0))+(IFERROR(IF(3*INDEX('KZ-normalized'!$D:$D, MATCH($A86, 'KZ-normalized'!$A:$A, 0))-INDEX('KZ-normalized'!$E:$E, MATCH($A86, 'KZ-normalized'!$A:$A, 0))&gt;0, -(3*INDEX('KZ-normalized'!$D:$D, MATCH($A86, 'KZ-normalized'!$A:$A, 0))-INDEX('KZ-normalized'!$E:$E, MATCH($A86, 'KZ-normalized'!$A:$A, 0))), 0), 0))+(IFERROR(IF(3*INDEX('UZ-normalized'!$D:$D, MATCH($A86, 'UZ-normalized'!$A:$A, 0))-INDEX('UZ-normalized'!$E:$E, MATCH($A86, 'UZ-normalized'!$A:$A, 0))&gt;0, -(3*INDEX('UZ-normalized'!$D:$D, MATCH($A86, 'UZ-normalized'!$A:$A, 0))-INDEX('UZ-normalized'!$E:$E, MATCH($A86, 'UZ-normalized'!$A:$A, 0))), 0), 0)))</f>
        <v>0</v>
      </c>
      <c r="R86" s="6">
        <f>MIN(0, N86+(IFERROR(IF(4*INDEX('UA-normalized'!$D:$D, MATCH($A86, 'UA-normalized'!$A:$A, 0))-INDEX('UA-normalized'!$E:$E, MATCH($A86, 'UA-normalized'!$A:$A, 0))&gt;0, -(4*INDEX('UA-normalized'!$D:$D, MATCH($A86, 'UA-normalized'!$A:$A, 0))-INDEX('UA-normalized'!$E:$E, MATCH($A86, 'UA-normalized'!$A:$A, 0))), 0), 0))+(IFERROR(IF(4*INDEX('KZ-normalized'!$D:$D, MATCH($A86, 'KZ-normalized'!$A:$A, 0))-INDEX('KZ-normalized'!$E:$E, MATCH($A86, 'KZ-normalized'!$A:$A, 0))&gt;0, -(4*INDEX('KZ-normalized'!$D:$D, MATCH($A86, 'KZ-normalized'!$A:$A, 0))-INDEX('KZ-normalized'!$E:$E, MATCH($A86, 'KZ-normalized'!$A:$A, 0))), 0), 0))+(IFERROR(IF(4*INDEX('UZ-normalized'!$D:$D, MATCH($A86, 'UZ-normalized'!$A:$A, 0))-INDEX('UZ-normalized'!$E:$E, MATCH($A86, 'UZ-normalized'!$A:$A, 0))&gt;0, -(4*INDEX('UZ-normalized'!$D:$D, MATCH($A86, 'UZ-normalized'!$A:$A, 0))-INDEX('UZ-normalized'!$E:$E, MATCH($A86, 'UZ-normalized'!$A:$A, 0))), 0), 0)))</f>
        <v>0</v>
      </c>
      <c r="S86" s="6">
        <f>MIN(0, N86+(IFERROR(IF(5*INDEX('UA-normalized'!$D:$D, MATCH($A86, 'UA-normalized'!$A:$A, 0))-INDEX('UA-normalized'!$E:$E, MATCH($A86, 'UA-normalized'!$A:$A, 0))&gt;0, -(5*INDEX('UA-normalized'!$D:$D, MATCH($A86, 'UA-normalized'!$A:$A, 0))-INDEX('UA-normalized'!$E:$E, MATCH($A86, 'UA-normalized'!$A:$A, 0))), 0), 0))+(IFERROR(IF(5*INDEX('KZ-normalized'!$D:$D, MATCH($A86, 'KZ-normalized'!$A:$A, 0))-INDEX('KZ-normalized'!$E:$E, MATCH($A86, 'KZ-normalized'!$A:$A, 0))&gt;0, -(5*INDEX('KZ-normalized'!$D:$D, MATCH($A86, 'KZ-normalized'!$A:$A, 0))-INDEX('KZ-normalized'!$E:$E, MATCH($A86, 'KZ-normalized'!$A:$A, 0))), 0), 0))+(IFERROR(IF(5*INDEX('UZ-normalized'!$D:$D, MATCH($A86, 'UZ-normalized'!$A:$A, 0))-INDEX('UZ-normalized'!$E:$E, MATCH($A86, 'UZ-normalized'!$A:$A, 0))&gt;0, -(5*INDEX('UZ-normalized'!$D:$D, MATCH($A86, 'UZ-normalized'!$A:$A, 0))-INDEX('UZ-normalized'!$E:$E, MATCH($A86, 'UZ-normalized'!$A:$A, 0))), 0), 0)))</f>
        <v>0</v>
      </c>
      <c r="T86" s="6">
        <f>MIN(0, N86+(IFERROR(IF(6*INDEX('UA-normalized'!$D:$D, MATCH($A86, 'UA-normalized'!$A:$A, 0))-INDEX('UA-normalized'!$E:$E, MATCH($A86, 'UA-normalized'!$A:$A, 0))&gt;0, -(6*INDEX('UA-normalized'!$D:$D, MATCH($A86, 'UA-normalized'!$A:$A, 0))-INDEX('UA-normalized'!$E:$E, MATCH($A86, 'UA-normalized'!$A:$A, 0))), 0), 0))+(IFERROR(IF(6*INDEX('KZ-normalized'!$D:$D, MATCH($A86, 'KZ-normalized'!$A:$A, 0))-INDEX('KZ-normalized'!$E:$E, MATCH($A86, 'KZ-normalized'!$A:$A, 0))&gt;0, -(6*INDEX('KZ-normalized'!$D:$D, MATCH($A86, 'KZ-normalized'!$A:$A, 0))-INDEX('KZ-normalized'!$E:$E, MATCH($A86, 'KZ-normalized'!$A:$A, 0))), 0), 0))+(IFERROR(IF(6*INDEX('UZ-normalized'!$D:$D, MATCH($A86, 'UZ-normalized'!$A:$A, 0))-INDEX('UZ-normalized'!$E:$E, MATCH($A86, 'UZ-normalized'!$A:$A, 0))&gt;0, -(6*INDEX('UZ-normalized'!$D:$D, MATCH($A86, 'UZ-normalized'!$A:$A, 0))-INDEX('UZ-normalized'!$E:$E, MATCH($A86, 'UZ-normalized'!$A:$A, 0))), 0), 0)))</f>
        <v>0</v>
      </c>
      <c r="U86" s="6">
        <f>MIN(0, N86+(IFERROR(IF(7*INDEX('UA-normalized'!$D:$D, MATCH($A86, 'UA-normalized'!$A:$A, 0))-INDEX('UA-normalized'!$E:$E, MATCH($A86, 'UA-normalized'!$A:$A, 0))&gt;0, -(7*INDEX('UA-normalized'!$D:$D, MATCH($A86, 'UA-normalized'!$A:$A, 0))-INDEX('UA-normalized'!$E:$E, MATCH($A86, 'UA-normalized'!$A:$A, 0))), 0), 0))+(IFERROR(IF(7*INDEX('KZ-normalized'!$D:$D, MATCH($A86, 'KZ-normalized'!$A:$A, 0))-INDEX('KZ-normalized'!$E:$E, MATCH($A86, 'KZ-normalized'!$A:$A, 0))&gt;0, -(7*INDEX('KZ-normalized'!$D:$D, MATCH($A86, 'KZ-normalized'!$A:$A, 0))-INDEX('KZ-normalized'!$E:$E, MATCH($A86, 'KZ-normalized'!$A:$A, 0))), 0), 0))+(IFERROR(IF(7*INDEX('UZ-normalized'!$D:$D, MATCH($A86, 'UZ-normalized'!$A:$A, 0))-INDEX('UZ-normalized'!$E:$E, MATCH($A86, 'UZ-normalized'!$A:$A, 0))&gt;0, -(7*INDEX('UZ-normalized'!$D:$D, MATCH($A86, 'UZ-normalized'!$A:$A, 0))-INDEX('UZ-normalized'!$E:$E, MATCH($A86, 'UZ-normalized'!$A:$A, 0))), 0), 0)))</f>
        <v>0</v>
      </c>
      <c r="V86" s="6">
        <f>MIN(0, N86+(IFERROR(IF(8*INDEX('UA-normalized'!$D:$D, MATCH($A86, 'UA-normalized'!$A:$A, 0))-INDEX('UA-normalized'!$E:$E, MATCH($A86, 'UA-normalized'!$A:$A, 0))&gt;0, -(8*INDEX('UA-normalized'!$D:$D, MATCH($A86, 'UA-normalized'!$A:$A, 0))-INDEX('UA-normalized'!$E:$E, MATCH($A86, 'UA-normalized'!$A:$A, 0))), 0), 0))+(IFERROR(IF(8*INDEX('KZ-normalized'!$D:$D, MATCH($A86, 'KZ-normalized'!$A:$A, 0))-INDEX('KZ-normalized'!$E:$E, MATCH($A86, 'KZ-normalized'!$A:$A, 0))&gt;0, -(8*INDEX('KZ-normalized'!$D:$D, MATCH($A86, 'KZ-normalized'!$A:$A, 0))-INDEX('KZ-normalized'!$E:$E, MATCH($A86, 'KZ-normalized'!$A:$A, 0))), 0), 0))+(IFERROR(IF(8*INDEX('UZ-normalized'!$D:$D, MATCH($A86, 'UZ-normalized'!$A:$A, 0))-INDEX('UZ-normalized'!$E:$E, MATCH($A86, 'UZ-normalized'!$A:$A, 0))&gt;0, -(8*INDEX('UZ-normalized'!$D:$D, MATCH($A86, 'UZ-normalized'!$A:$A, 0))-INDEX('UZ-normalized'!$E:$E, MATCH($A86, 'UZ-normalized'!$A:$A, 0))), 0), 0)))</f>
        <v>0</v>
      </c>
      <c r="W86" s="6">
        <f>MIN(0, N86+(IFERROR(IF(9*INDEX('UA-normalized'!$D:$D, MATCH($A86, 'UA-normalized'!$A:$A, 0))-INDEX('UA-normalized'!$E:$E, MATCH($A86, 'UA-normalized'!$A:$A, 0))&gt;0, -(9*INDEX('UA-normalized'!$D:$D, MATCH($A86, 'UA-normalized'!$A:$A, 0))-INDEX('UA-normalized'!$E:$E, MATCH($A86, 'UA-normalized'!$A:$A, 0))), 0), 0))+(IFERROR(IF(9*INDEX('KZ-normalized'!$D:$D, MATCH($A86, 'KZ-normalized'!$A:$A, 0))-INDEX('KZ-normalized'!$E:$E, MATCH($A86, 'KZ-normalized'!$A:$A, 0))&gt;0, -(9*INDEX('KZ-normalized'!$D:$D, MATCH($A86, 'KZ-normalized'!$A:$A, 0))-INDEX('KZ-normalized'!$E:$E, MATCH($A86, 'KZ-normalized'!$A:$A, 0))), 0), 0))+(IFERROR(IF(9*INDEX('UZ-normalized'!$D:$D, MATCH($A86, 'UZ-normalized'!$A:$A, 0))-INDEX('UZ-normalized'!$E:$E, MATCH($A86, 'UZ-normalized'!$A:$A, 0))&gt;0, -(9*INDEX('UZ-normalized'!$D:$D, MATCH($A86, 'UZ-normalized'!$A:$A, 0))-INDEX('UZ-normalized'!$E:$E, MATCH($A86, 'UZ-normalized'!$A:$A, 0))), 0), 0)))</f>
        <v>0</v>
      </c>
      <c r="X86" s="6">
        <f>MIN(0, N86+(IFERROR(IF(10*INDEX('UA-normalized'!$D:$D, MATCH($A86, 'UA-normalized'!$A:$A, 0))-INDEX('UA-normalized'!$E:$E, MATCH($A86, 'UA-normalized'!$A:$A, 0))&gt;0, -(10*INDEX('UA-normalized'!$D:$D, MATCH($A86, 'UA-normalized'!$A:$A, 0))-INDEX('UA-normalized'!$E:$E, MATCH($A86, 'UA-normalized'!$A:$A, 0))), 0), 0))+(IFERROR(IF(10*INDEX('KZ-normalized'!$D:$D, MATCH($A86, 'KZ-normalized'!$A:$A, 0))-INDEX('KZ-normalized'!$E:$E, MATCH($A86, 'KZ-normalized'!$A:$A, 0))&gt;0, -(10*INDEX('KZ-normalized'!$D:$D, MATCH($A86, 'KZ-normalized'!$A:$A, 0))-INDEX('KZ-normalized'!$E:$E, MATCH($A86, 'KZ-normalized'!$A:$A, 0))), 0), 0))+(IFERROR(IF(10*INDEX('UZ-normalized'!$D:$D, MATCH($A86, 'UZ-normalized'!$A:$A, 0))-INDEX('UZ-normalized'!$E:$E, MATCH($A86, 'UZ-normalized'!$A:$A, 0))&gt;0, -(10*INDEX('UZ-normalized'!$D:$D, MATCH($A86, 'UZ-normalized'!$A:$A, 0))-INDEX('UZ-normalized'!$E:$E, MATCH($A86, 'UZ-normalized'!$A:$A, 0))), 0), 0)))</f>
        <v>0</v>
      </c>
      <c r="Y86" s="6">
        <f>MIN(0, N86+(IFERROR(IF(11*INDEX('UA-normalized'!$D:$D, MATCH($A86, 'UA-normalized'!$A:$A, 0))-INDEX('UA-normalized'!$E:$E, MATCH($A86, 'UA-normalized'!$A:$A, 0))&gt;0, -(11*INDEX('UA-normalized'!$D:$D, MATCH($A86, 'UA-normalized'!$A:$A, 0))-INDEX('UA-normalized'!$E:$E, MATCH($A86, 'UA-normalized'!$A:$A, 0))), 0), 0))+(IFERROR(IF(11*INDEX('KZ-normalized'!$D:$D, MATCH($A86, 'KZ-normalized'!$A:$A, 0))-INDEX('KZ-normalized'!$E:$E, MATCH($A86, 'KZ-normalized'!$A:$A, 0))&gt;0, -(11*INDEX('KZ-normalized'!$D:$D, MATCH($A86, 'KZ-normalized'!$A:$A, 0))-INDEX('KZ-normalized'!$E:$E, MATCH($A86, 'KZ-normalized'!$A:$A, 0))), 0), 0))+(IFERROR(IF(11*INDEX('UZ-normalized'!$D:$D, MATCH($A86, 'UZ-normalized'!$A:$A, 0))-INDEX('UZ-normalized'!$E:$E, MATCH($A86, 'UZ-normalized'!$A:$A, 0))&gt;0, -(11*INDEX('UZ-normalized'!$D:$D, MATCH($A86, 'UZ-normalized'!$A:$A, 0))-INDEX('UZ-normalized'!$E:$E, MATCH($A86, 'UZ-normalized'!$A:$A, 0))), 0), 0)))</f>
        <v>-1.1000000000000014</v>
      </c>
      <c r="Z86" s="6">
        <f>MIN(0, N86+(IFERROR(IF(12*INDEX('UA-normalized'!$D:$D, MATCH($A86, 'UA-normalized'!$A:$A, 0))-INDEX('UA-normalized'!$E:$E, MATCH($A86, 'UA-normalized'!$A:$A, 0))&gt;0, -(12*INDEX('UA-normalized'!$D:$D, MATCH($A86, 'UA-normalized'!$A:$A, 0))-INDEX('UA-normalized'!$E:$E, MATCH($A86, 'UA-normalized'!$A:$A, 0))), 0), 0))+(IFERROR(IF(12*INDEX('KZ-normalized'!$D:$D, MATCH($A86, 'KZ-normalized'!$A:$A, 0))-INDEX('KZ-normalized'!$E:$E, MATCH($A86, 'KZ-normalized'!$A:$A, 0))&gt;0, -(12*INDEX('KZ-normalized'!$D:$D, MATCH($A86, 'KZ-normalized'!$A:$A, 0))-INDEX('KZ-normalized'!$E:$E, MATCH($A86, 'KZ-normalized'!$A:$A, 0))), 0), 0))+(IFERROR(IF(12*INDEX('UZ-normalized'!$D:$D, MATCH($A86, 'UZ-normalized'!$A:$A, 0))-INDEX('UZ-normalized'!$E:$E, MATCH($A86, 'UZ-normalized'!$A:$A, 0))&gt;0, -(12*INDEX('UZ-normalized'!$D:$D, MATCH($A86, 'UZ-normalized'!$A:$A, 0))-INDEX('UZ-normalized'!$E:$E, MATCH($A86, 'UZ-normalized'!$A:$A, 0))), 0), 0)))</f>
        <v>-2.2000000000000011</v>
      </c>
      <c r="AA86" s="6">
        <f>MIN(0, N86+(IFERROR(IF(13*INDEX('UA-normalized'!$D:$D, MATCH($A86, 'UA-normalized'!$A:$A, 0))-INDEX('UA-normalized'!$E:$E, MATCH($A86, 'UA-normalized'!$A:$A, 0))&gt;0, -(13*INDEX('UA-normalized'!$D:$D, MATCH($A86, 'UA-normalized'!$A:$A, 0))-INDEX('UA-normalized'!$E:$E, MATCH($A86, 'UA-normalized'!$A:$A, 0))), 0), 0))+(IFERROR(IF(13*INDEX('KZ-normalized'!$D:$D, MATCH($A86, 'KZ-normalized'!$A:$A, 0))-INDEX('KZ-normalized'!$E:$E, MATCH($A86, 'KZ-normalized'!$A:$A, 0))&gt;0, -(13*INDEX('KZ-normalized'!$D:$D, MATCH($A86, 'KZ-normalized'!$A:$A, 0))-INDEX('KZ-normalized'!$E:$E, MATCH($A86, 'KZ-normalized'!$A:$A, 0))), 0), 0))+(IFERROR(IF(13*INDEX('UZ-normalized'!$D:$D, MATCH($A86, 'UZ-normalized'!$A:$A, 0))-INDEX('UZ-normalized'!$E:$E, MATCH($A86, 'UZ-normalized'!$A:$A, 0))&gt;0, -(13*INDEX('UZ-normalized'!$D:$D, MATCH($A86, 'UZ-normalized'!$A:$A, 0))-INDEX('UZ-normalized'!$E:$E, MATCH($A86, 'UZ-normalized'!$A:$A, 0))), 0), 0)))</f>
        <v>-3.3000000000000007</v>
      </c>
      <c r="AB86" s="6">
        <f>MIN(0, N86+(IFERROR(IF(14*INDEX('UA-normalized'!$D:$D, MATCH($A86, 'UA-normalized'!$A:$A, 0))-INDEX('UA-normalized'!$E:$E, MATCH($A86, 'UA-normalized'!$A:$A, 0))&gt;0, -(14*INDEX('UA-normalized'!$D:$D, MATCH($A86, 'UA-normalized'!$A:$A, 0))-INDEX('UA-normalized'!$E:$E, MATCH($A86, 'UA-normalized'!$A:$A, 0))), 0), 0))+(IFERROR(IF(14*INDEX('KZ-normalized'!$D:$D, MATCH($A86, 'KZ-normalized'!$A:$A, 0))-INDEX('KZ-normalized'!$E:$E, MATCH($A86, 'KZ-normalized'!$A:$A, 0))&gt;0, -(14*INDEX('KZ-normalized'!$D:$D, MATCH($A86, 'KZ-normalized'!$A:$A, 0))-INDEX('KZ-normalized'!$E:$E, MATCH($A86, 'KZ-normalized'!$A:$A, 0))), 0), 0))+(IFERROR(IF(14*INDEX('UZ-normalized'!$D:$D, MATCH($A86, 'UZ-normalized'!$A:$A, 0))-INDEX('UZ-normalized'!$E:$E, MATCH($A86, 'UZ-normalized'!$A:$A, 0))&gt;0, -(14*INDEX('UZ-normalized'!$D:$D, MATCH($A86, 'UZ-normalized'!$A:$A, 0))-INDEX('UZ-normalized'!$E:$E, MATCH($A86, 'UZ-normalized'!$A:$A, 0))), 0), 0)))</f>
        <v>-4.4000000000000021</v>
      </c>
      <c r="AC86" s="6">
        <f>MIN(0, N86+(IFERROR(IF(15*INDEX('UA-normalized'!$D:$D, MATCH($A86, 'UA-normalized'!$A:$A, 0))-INDEX('UA-normalized'!$E:$E, MATCH($A86, 'UA-normalized'!$A:$A, 0))&gt;0, -(15*INDEX('UA-normalized'!$D:$D, MATCH($A86, 'UA-normalized'!$A:$A, 0))-INDEX('UA-normalized'!$E:$E, MATCH($A86, 'UA-normalized'!$A:$A, 0))), 0), 0))+(IFERROR(IF(15*INDEX('KZ-normalized'!$D:$D, MATCH($A86, 'KZ-normalized'!$A:$A, 0))-INDEX('KZ-normalized'!$E:$E, MATCH($A86, 'KZ-normalized'!$A:$A, 0))&gt;0, -(15*INDEX('KZ-normalized'!$D:$D, MATCH($A86, 'KZ-normalized'!$A:$A, 0))-INDEX('KZ-normalized'!$E:$E, MATCH($A86, 'KZ-normalized'!$A:$A, 0))), 0), 0))+(IFERROR(IF(15*INDEX('UZ-normalized'!$D:$D, MATCH($A86, 'UZ-normalized'!$A:$A, 0))-INDEX('UZ-normalized'!$E:$E, MATCH($A86, 'UZ-normalized'!$A:$A, 0))&gt;0, -(15*INDEX('UZ-normalized'!$D:$D, MATCH($A86, 'UZ-normalized'!$A:$A, 0))-INDEX('UZ-normalized'!$E:$E, MATCH($A86, 'UZ-normalized'!$A:$A, 0))), 0), 0)))</f>
        <v>-5.5</v>
      </c>
      <c r="AD86" s="6">
        <f>MIN(0, N86+(IFERROR(IF(16*INDEX('UA-normalized'!$D:$D, MATCH($A86, 'UA-normalized'!$A:$A, 0))-INDEX('UA-normalized'!$E:$E, MATCH($A86, 'UA-normalized'!$A:$A, 0))&gt;0, -(16*INDEX('UA-normalized'!$D:$D, MATCH($A86, 'UA-normalized'!$A:$A, 0))-INDEX('UA-normalized'!$E:$E, MATCH($A86, 'UA-normalized'!$A:$A, 0))), 0), 0))+(IFERROR(IF(16*INDEX('KZ-normalized'!$D:$D, MATCH($A86, 'KZ-normalized'!$A:$A, 0))-INDEX('KZ-normalized'!$E:$E, MATCH($A86, 'KZ-normalized'!$A:$A, 0))&gt;0, -(16*INDEX('KZ-normalized'!$D:$D, MATCH($A86, 'KZ-normalized'!$A:$A, 0))-INDEX('KZ-normalized'!$E:$E, MATCH($A86, 'KZ-normalized'!$A:$A, 0))), 0), 0))+(IFERROR(IF(16*INDEX('UZ-normalized'!$D:$D, MATCH($A86, 'UZ-normalized'!$A:$A, 0))-INDEX('UZ-normalized'!$E:$E, MATCH($A86, 'UZ-normalized'!$A:$A, 0))&gt;0, -(16*INDEX('UZ-normalized'!$D:$D, MATCH($A86, 'UZ-normalized'!$A:$A, 0))-INDEX('UZ-normalized'!$E:$E, MATCH($A86, 'UZ-normalized'!$A:$A, 0))), 0), 0)))</f>
        <v>-6.6000000000000014</v>
      </c>
      <c r="AE86" s="6">
        <f>MIN(0, N86+(IFERROR(IF(17*INDEX('UA-normalized'!$D:$D, MATCH($A86, 'UA-normalized'!$A:$A, 0))-INDEX('UA-normalized'!$E:$E, MATCH($A86, 'UA-normalized'!$A:$A, 0))&gt;0, -(17*INDEX('UA-normalized'!$D:$D, MATCH($A86, 'UA-normalized'!$A:$A, 0))-INDEX('UA-normalized'!$E:$E, MATCH($A86, 'UA-normalized'!$A:$A, 0))), 0), 0))+(IFERROR(IF(17*INDEX('KZ-normalized'!$D:$D, MATCH($A86, 'KZ-normalized'!$A:$A, 0))-INDEX('KZ-normalized'!$E:$E, MATCH($A86, 'KZ-normalized'!$A:$A, 0))&gt;0, -(17*INDEX('KZ-normalized'!$D:$D, MATCH($A86, 'KZ-normalized'!$A:$A, 0))-INDEX('KZ-normalized'!$E:$E, MATCH($A86, 'KZ-normalized'!$A:$A, 0))), 0), 0))+(IFERROR(IF(17*INDEX('UZ-normalized'!$D:$D, MATCH($A86, 'UZ-normalized'!$A:$A, 0))-INDEX('UZ-normalized'!$E:$E, MATCH($A86, 'UZ-normalized'!$A:$A, 0))&gt;0, -(17*INDEX('UZ-normalized'!$D:$D, MATCH($A86, 'UZ-normalized'!$A:$A, 0))-INDEX('UZ-normalized'!$E:$E, MATCH($A86, 'UZ-normalized'!$A:$A, 0))), 0), 0)))</f>
        <v>-7.7000000000000028</v>
      </c>
      <c r="AF86" s="6">
        <f>MIN(0, N86+(IFERROR(IF(18*INDEX('UA-normalized'!$D:$D, MATCH($A86, 'UA-normalized'!$A:$A, 0))-INDEX('UA-normalized'!$E:$E, MATCH($A86, 'UA-normalized'!$A:$A, 0))&gt;0, -(18*INDEX('UA-normalized'!$D:$D, MATCH($A86, 'UA-normalized'!$A:$A, 0))-INDEX('UA-normalized'!$E:$E, MATCH($A86, 'UA-normalized'!$A:$A, 0))), 0), 0))+(IFERROR(IF(18*INDEX('KZ-normalized'!$D:$D, MATCH($A86, 'KZ-normalized'!$A:$A, 0))-INDEX('KZ-normalized'!$E:$E, MATCH($A86, 'KZ-normalized'!$A:$A, 0))&gt;0, -(18*INDEX('KZ-normalized'!$D:$D, MATCH($A86, 'KZ-normalized'!$A:$A, 0))-INDEX('KZ-normalized'!$E:$E, MATCH($A86, 'KZ-normalized'!$A:$A, 0))), 0), 0))+(IFERROR(IF(18*INDEX('UZ-normalized'!$D:$D, MATCH($A86, 'UZ-normalized'!$A:$A, 0))-INDEX('UZ-normalized'!$E:$E, MATCH($A86, 'UZ-normalized'!$A:$A, 0))&gt;0, -(18*INDEX('UZ-normalized'!$D:$D, MATCH($A86, 'UZ-normalized'!$A:$A, 0))-INDEX('UZ-normalized'!$E:$E, MATCH($A86, 'UZ-normalized'!$A:$A, 0))), 0), 0)))</f>
        <v>-8.8000000000000007</v>
      </c>
      <c r="AG86" s="6">
        <f>MIN(0, N86+(IFERROR(IF(19*INDEX('UA-normalized'!$D:$D, MATCH($A86, 'UA-normalized'!$A:$A, 0))-INDEX('UA-normalized'!$E:$E, MATCH($A86, 'UA-normalized'!$A:$A, 0))&gt;0, -(19*INDEX('UA-normalized'!$D:$D, MATCH($A86, 'UA-normalized'!$A:$A, 0))-INDEX('UA-normalized'!$E:$E, MATCH($A86, 'UA-normalized'!$A:$A, 0))), 0), 0))+(IFERROR(IF(19*INDEX('KZ-normalized'!$D:$D, MATCH($A86, 'KZ-normalized'!$A:$A, 0))-INDEX('KZ-normalized'!$E:$E, MATCH($A86, 'KZ-normalized'!$A:$A, 0))&gt;0, -(19*INDEX('KZ-normalized'!$D:$D, MATCH($A86, 'KZ-normalized'!$A:$A, 0))-INDEX('KZ-normalized'!$E:$E, MATCH($A86, 'KZ-normalized'!$A:$A, 0))), 0), 0))+(IFERROR(IF(19*INDEX('UZ-normalized'!$D:$D, MATCH($A86, 'UZ-normalized'!$A:$A, 0))-INDEX('UZ-normalized'!$E:$E, MATCH($A86, 'UZ-normalized'!$A:$A, 0))&gt;0, -(19*INDEX('UZ-normalized'!$D:$D, MATCH($A86, 'UZ-normalized'!$A:$A, 0))-INDEX('UZ-normalized'!$E:$E, MATCH($A86, 'UZ-normalized'!$A:$A, 0))), 0), 0)))</f>
        <v>-9.9000000000000021</v>
      </c>
      <c r="AH86" s="6">
        <f>MIN(0, N86+(IFERROR(IF(20*INDEX('UA-normalized'!$D:$D, MATCH($A86, 'UA-normalized'!$A:$A, 0))-INDEX('UA-normalized'!$E:$E, MATCH($A86, 'UA-normalized'!$A:$A, 0))&gt;0, -(20*INDEX('UA-normalized'!$D:$D, MATCH($A86, 'UA-normalized'!$A:$A, 0))-INDEX('UA-normalized'!$E:$E, MATCH($A86, 'UA-normalized'!$A:$A, 0))), 0), 0))+(IFERROR(IF(20*INDEX('KZ-normalized'!$D:$D, MATCH($A86, 'KZ-normalized'!$A:$A, 0))-INDEX('KZ-normalized'!$E:$E, MATCH($A86, 'KZ-normalized'!$A:$A, 0))&gt;0, -(20*INDEX('KZ-normalized'!$D:$D, MATCH($A86, 'KZ-normalized'!$A:$A, 0))-INDEX('KZ-normalized'!$E:$E, MATCH($A86, 'KZ-normalized'!$A:$A, 0))), 0), 0))+(IFERROR(IF(20*INDEX('UZ-normalized'!$D:$D, MATCH($A86, 'UZ-normalized'!$A:$A, 0))-INDEX('UZ-normalized'!$E:$E, MATCH($A86, 'UZ-normalized'!$A:$A, 0))&gt;0, -(20*INDEX('UZ-normalized'!$D:$D, MATCH($A86, 'UZ-normalized'!$A:$A, 0))-INDEX('UZ-normalized'!$E:$E, MATCH($A86, 'UZ-normalized'!$A:$A, 0))), 0), 0)))</f>
        <v>-11</v>
      </c>
      <c r="AI86" s="6">
        <f>MIN(0, N86+(IFERROR(IF(21*INDEX('UA-normalized'!$D:$D, MATCH($A86, 'UA-normalized'!$A:$A, 0))-INDEX('UA-normalized'!$E:$E, MATCH($A86, 'UA-normalized'!$A:$A, 0))&gt;0, -(21*INDEX('UA-normalized'!$D:$D, MATCH($A86, 'UA-normalized'!$A:$A, 0))-INDEX('UA-normalized'!$E:$E, MATCH($A86, 'UA-normalized'!$A:$A, 0))), 0), 0))+(IFERROR(IF(21*INDEX('KZ-normalized'!$D:$D, MATCH($A86, 'KZ-normalized'!$A:$A, 0))-INDEX('KZ-normalized'!$E:$E, MATCH($A86, 'KZ-normalized'!$A:$A, 0))&gt;0, -(21*INDEX('KZ-normalized'!$D:$D, MATCH($A86, 'KZ-normalized'!$A:$A, 0))-INDEX('KZ-normalized'!$E:$E, MATCH($A86, 'KZ-normalized'!$A:$A, 0))), 0), 0))+(IFERROR(IF(21*INDEX('UZ-normalized'!$D:$D, MATCH($A86, 'UZ-normalized'!$A:$A, 0))-INDEX('UZ-normalized'!$E:$E, MATCH($A86, 'UZ-normalized'!$A:$A, 0))&gt;0, -(21*INDEX('UZ-normalized'!$D:$D, MATCH($A86, 'UZ-normalized'!$A:$A, 0))-INDEX('UZ-normalized'!$E:$E, MATCH($A86, 'UZ-normalized'!$A:$A, 0))), 0), 0)))</f>
        <v>-12.100000000000001</v>
      </c>
      <c r="AJ86" s="6">
        <f>MIN(0, N86+(IFERROR(IF(22*INDEX('UA-normalized'!$D:$D, MATCH($A86, 'UA-normalized'!$A:$A, 0))-INDEX('UA-normalized'!$E:$E, MATCH($A86, 'UA-normalized'!$A:$A, 0))&gt;0, -(22*INDEX('UA-normalized'!$D:$D, MATCH($A86, 'UA-normalized'!$A:$A, 0))-INDEX('UA-normalized'!$E:$E, MATCH($A86, 'UA-normalized'!$A:$A, 0))), 0), 0))+(IFERROR(IF(22*INDEX('KZ-normalized'!$D:$D, MATCH($A86, 'KZ-normalized'!$A:$A, 0))-INDEX('KZ-normalized'!$E:$E, MATCH($A86, 'KZ-normalized'!$A:$A, 0))&gt;0, -(22*INDEX('KZ-normalized'!$D:$D, MATCH($A86, 'KZ-normalized'!$A:$A, 0))-INDEX('KZ-normalized'!$E:$E, MATCH($A86, 'KZ-normalized'!$A:$A, 0))), 0), 0))+(IFERROR(IF(22*INDEX('UZ-normalized'!$D:$D, MATCH($A86, 'UZ-normalized'!$A:$A, 0))-INDEX('UZ-normalized'!$E:$E, MATCH($A86, 'UZ-normalized'!$A:$A, 0))&gt;0, -(22*INDEX('UZ-normalized'!$D:$D, MATCH($A86, 'UZ-normalized'!$A:$A, 0))-INDEX('UZ-normalized'!$E:$E, MATCH($A86, 'UZ-normalized'!$A:$A, 0))), 0), 0)))</f>
        <v>-13.200000000000003</v>
      </c>
      <c r="AK86" s="6">
        <f>MIN(0, N86+(IFERROR(IF(23*INDEX('UA-normalized'!$D:$D, MATCH($A86, 'UA-normalized'!$A:$A, 0))-INDEX('UA-normalized'!$E:$E, MATCH($A86, 'UA-normalized'!$A:$A, 0))&gt;0, -(23*INDEX('UA-normalized'!$D:$D, MATCH($A86, 'UA-normalized'!$A:$A, 0))-INDEX('UA-normalized'!$E:$E, MATCH($A86, 'UA-normalized'!$A:$A, 0))), 0), 0))+(IFERROR(IF(23*INDEX('KZ-normalized'!$D:$D, MATCH($A86, 'KZ-normalized'!$A:$A, 0))-INDEX('KZ-normalized'!$E:$E, MATCH($A86, 'KZ-normalized'!$A:$A, 0))&gt;0, -(23*INDEX('KZ-normalized'!$D:$D, MATCH($A86, 'KZ-normalized'!$A:$A, 0))-INDEX('KZ-normalized'!$E:$E, MATCH($A86, 'KZ-normalized'!$A:$A, 0))), 0), 0))+(IFERROR(IF(23*INDEX('UZ-normalized'!$D:$D, MATCH($A86, 'UZ-normalized'!$A:$A, 0))-INDEX('UZ-normalized'!$E:$E, MATCH($A86, 'UZ-normalized'!$A:$A, 0))&gt;0, -(23*INDEX('UZ-normalized'!$D:$D, MATCH($A86, 'UZ-normalized'!$A:$A, 0))-INDEX('UZ-normalized'!$E:$E, MATCH($A86, 'UZ-normalized'!$A:$A, 0))), 0), 0)))</f>
        <v>-14.3</v>
      </c>
      <c r="AL86" s="6">
        <f>MIN(0, N86+(IFERROR(IF(24*INDEX('UA-normalized'!$D:$D, MATCH($A86, 'UA-normalized'!$A:$A, 0))-INDEX('UA-normalized'!$E:$E, MATCH($A86, 'UA-normalized'!$A:$A, 0))&gt;0, -(24*INDEX('UA-normalized'!$D:$D, MATCH($A86, 'UA-normalized'!$A:$A, 0))-INDEX('UA-normalized'!$E:$E, MATCH($A86, 'UA-normalized'!$A:$A, 0))), 0), 0))+(IFERROR(IF(24*INDEX('KZ-normalized'!$D:$D, MATCH($A86, 'KZ-normalized'!$A:$A, 0))-INDEX('KZ-normalized'!$E:$E, MATCH($A86, 'KZ-normalized'!$A:$A, 0))&gt;0, -(24*INDEX('KZ-normalized'!$D:$D, MATCH($A86, 'KZ-normalized'!$A:$A, 0))-INDEX('KZ-normalized'!$E:$E, MATCH($A86, 'KZ-normalized'!$A:$A, 0))), 0), 0))+(IFERROR(IF(24*INDEX('UZ-normalized'!$D:$D, MATCH($A86, 'UZ-normalized'!$A:$A, 0))-INDEX('UZ-normalized'!$E:$E, MATCH($A86, 'UZ-normalized'!$A:$A, 0))&gt;0, -(24*INDEX('UZ-normalized'!$D:$D, MATCH($A86, 'UZ-normalized'!$A:$A, 0))-INDEX('UZ-normalized'!$E:$E, MATCH($A86, 'UZ-normalized'!$A:$A, 0))), 0), 0)))</f>
        <v>-15.400000000000002</v>
      </c>
      <c r="AM86" s="6">
        <f>MIN(0, N86+(IFERROR(IF(25*INDEX('UA-normalized'!$D:$D, MATCH($A86, 'UA-normalized'!$A:$A, 0))-INDEX('UA-normalized'!$E:$E, MATCH($A86, 'UA-normalized'!$A:$A, 0))&gt;0, -(25*INDEX('UA-normalized'!$D:$D, MATCH($A86, 'UA-normalized'!$A:$A, 0))-INDEX('UA-normalized'!$E:$E, MATCH($A86, 'UA-normalized'!$A:$A, 0))), 0), 0))+(IFERROR(IF(25*INDEX('KZ-normalized'!$D:$D, MATCH($A86, 'KZ-normalized'!$A:$A, 0))-INDEX('KZ-normalized'!$E:$E, MATCH($A86, 'KZ-normalized'!$A:$A, 0))&gt;0, -(25*INDEX('KZ-normalized'!$D:$D, MATCH($A86, 'KZ-normalized'!$A:$A, 0))-INDEX('KZ-normalized'!$E:$E, MATCH($A86, 'KZ-normalized'!$A:$A, 0))), 0), 0))+(IFERROR(IF(25*INDEX('UZ-normalized'!$D:$D, MATCH($A86, 'UZ-normalized'!$A:$A, 0))-INDEX('UZ-normalized'!$E:$E, MATCH($A86, 'UZ-normalized'!$A:$A, 0))&gt;0, -(25*INDEX('UZ-normalized'!$D:$D, MATCH($A86, 'UZ-normalized'!$A:$A, 0))-INDEX('UZ-normalized'!$E:$E, MATCH($A86, 'UZ-normalized'!$A:$A, 0))), 0), 0)))</f>
        <v>-16.500000000000004</v>
      </c>
      <c r="AN86" s="6">
        <f>MIN(0, N86+(IFERROR(IF(26*INDEX('UA-normalized'!$D:$D, MATCH($A86, 'UA-normalized'!$A:$A, 0))-INDEX('UA-normalized'!$E:$E, MATCH($A86, 'UA-normalized'!$A:$A, 0))&gt;0, -(26*INDEX('UA-normalized'!$D:$D, MATCH($A86, 'UA-normalized'!$A:$A, 0))-INDEX('UA-normalized'!$E:$E, MATCH($A86, 'UA-normalized'!$A:$A, 0))), 0), 0))+(IFERROR(IF(26*INDEX('KZ-normalized'!$D:$D, MATCH($A86, 'KZ-normalized'!$A:$A, 0))-INDEX('KZ-normalized'!$E:$E, MATCH($A86, 'KZ-normalized'!$A:$A, 0))&gt;0, -(26*INDEX('KZ-normalized'!$D:$D, MATCH($A86, 'KZ-normalized'!$A:$A, 0))-INDEX('KZ-normalized'!$E:$E, MATCH($A86, 'KZ-normalized'!$A:$A, 0))), 0), 0))+(IFERROR(IF(26*INDEX('UZ-normalized'!$D:$D, MATCH($A86, 'UZ-normalized'!$A:$A, 0))-INDEX('UZ-normalized'!$E:$E, MATCH($A86, 'UZ-normalized'!$A:$A, 0))&gt;0, -(26*INDEX('UZ-normalized'!$D:$D, MATCH($A86, 'UZ-normalized'!$A:$A, 0))-INDEX('UZ-normalized'!$E:$E, MATCH($A86, 'UZ-normalized'!$A:$A, 0))), 0), 0)))</f>
        <v>-17.600000000000001</v>
      </c>
      <c r="AO86" s="6">
        <f>MIN(0, N86+(IFERROR(IF(27*INDEX('UA-normalized'!$D:$D, MATCH($A86, 'UA-normalized'!$A:$A, 0))-INDEX('UA-normalized'!$E:$E, MATCH($A86, 'UA-normalized'!$A:$A, 0))&gt;0, -(27*INDEX('UA-normalized'!$D:$D, MATCH($A86, 'UA-normalized'!$A:$A, 0))-INDEX('UA-normalized'!$E:$E, MATCH($A86, 'UA-normalized'!$A:$A, 0))), 0), 0))+(IFERROR(IF(27*INDEX('KZ-normalized'!$D:$D, MATCH($A86, 'KZ-normalized'!$A:$A, 0))-INDEX('KZ-normalized'!$E:$E, MATCH($A86, 'KZ-normalized'!$A:$A, 0))&gt;0, -(27*INDEX('KZ-normalized'!$D:$D, MATCH($A86, 'KZ-normalized'!$A:$A, 0))-INDEX('KZ-normalized'!$E:$E, MATCH($A86, 'KZ-normalized'!$A:$A, 0))), 0), 0))+(IFERROR(IF(27*INDEX('UZ-normalized'!$D:$D, MATCH($A86, 'UZ-normalized'!$A:$A, 0))-INDEX('UZ-normalized'!$E:$E, MATCH($A86, 'UZ-normalized'!$A:$A, 0))&gt;0, -(27*INDEX('UZ-normalized'!$D:$D, MATCH($A86, 'UZ-normalized'!$A:$A, 0))-INDEX('UZ-normalized'!$E:$E, MATCH($A86, 'UZ-normalized'!$A:$A, 0))), 0), 0)))</f>
        <v>-18.700000000000003</v>
      </c>
      <c r="AP86" s="6">
        <f>MIN(0, N86+(IFERROR(IF(28*INDEX('UA-normalized'!$D:$D, MATCH($A86, 'UA-normalized'!$A:$A, 0))-INDEX('UA-normalized'!$E:$E, MATCH($A86, 'UA-normalized'!$A:$A, 0))&gt;0, -(28*INDEX('UA-normalized'!$D:$D, MATCH($A86, 'UA-normalized'!$A:$A, 0))-INDEX('UA-normalized'!$E:$E, MATCH($A86, 'UA-normalized'!$A:$A, 0))), 0), 0))+(IFERROR(IF(28*INDEX('KZ-normalized'!$D:$D, MATCH($A86, 'KZ-normalized'!$A:$A, 0))-INDEX('KZ-normalized'!$E:$E, MATCH($A86, 'KZ-normalized'!$A:$A, 0))&gt;0, -(28*INDEX('KZ-normalized'!$D:$D, MATCH($A86, 'KZ-normalized'!$A:$A, 0))-INDEX('KZ-normalized'!$E:$E, MATCH($A86, 'KZ-normalized'!$A:$A, 0))), 0), 0))+(IFERROR(IF(28*INDEX('UZ-normalized'!$D:$D, MATCH($A86, 'UZ-normalized'!$A:$A, 0))-INDEX('UZ-normalized'!$E:$E, MATCH($A86, 'UZ-normalized'!$A:$A, 0))&gt;0, -(28*INDEX('UZ-normalized'!$D:$D, MATCH($A86, 'UZ-normalized'!$A:$A, 0))-INDEX('UZ-normalized'!$E:$E, MATCH($A86, 'UZ-normalized'!$A:$A, 0))), 0), 0)))</f>
        <v>-19.800000000000004</v>
      </c>
      <c r="AQ86" s="6">
        <f>MIN(0, N86+(IFERROR(IF(29*INDEX('UA-normalized'!$D:$D, MATCH($A86, 'UA-normalized'!$A:$A, 0))-INDEX('UA-normalized'!$E:$E, MATCH($A86, 'UA-normalized'!$A:$A, 0))&gt;0, -(29*INDEX('UA-normalized'!$D:$D, MATCH($A86, 'UA-normalized'!$A:$A, 0))-INDEX('UA-normalized'!$E:$E, MATCH($A86, 'UA-normalized'!$A:$A, 0))), 0), 0))+(IFERROR(IF(29*INDEX('KZ-normalized'!$D:$D, MATCH($A86, 'KZ-normalized'!$A:$A, 0))-INDEX('KZ-normalized'!$E:$E, MATCH($A86, 'KZ-normalized'!$A:$A, 0))&gt;0, -(29*INDEX('KZ-normalized'!$D:$D, MATCH($A86, 'KZ-normalized'!$A:$A, 0))-INDEX('KZ-normalized'!$E:$E, MATCH($A86, 'KZ-normalized'!$A:$A, 0))), 0), 0))+(IFERROR(IF(29*INDEX('UZ-normalized'!$D:$D, MATCH($A86, 'UZ-normalized'!$A:$A, 0))-INDEX('UZ-normalized'!$E:$E, MATCH($A86, 'UZ-normalized'!$A:$A, 0))&gt;0, -(29*INDEX('UZ-normalized'!$D:$D, MATCH($A86, 'UZ-normalized'!$A:$A, 0))-INDEX('UZ-normalized'!$E:$E, MATCH($A86, 'UZ-normalized'!$A:$A, 0))), 0), 0)))</f>
        <v>-20.900000000000002</v>
      </c>
      <c r="AR86" s="6">
        <f>MIN(0, N86+(IFERROR(IF(30*INDEX('UA-normalized'!$D:$D, MATCH($A86, 'UA-normalized'!$A:$A, 0))-INDEX('UA-normalized'!$E:$E, MATCH($A86, 'UA-normalized'!$A:$A, 0))&gt;0, -(30*INDEX('UA-normalized'!$D:$D, MATCH($A86, 'UA-normalized'!$A:$A, 0))-INDEX('UA-normalized'!$E:$E, MATCH($A86, 'UA-normalized'!$A:$A, 0))), 0), 0))+(IFERROR(IF(30*INDEX('KZ-normalized'!$D:$D, MATCH($A86, 'KZ-normalized'!$A:$A, 0))-INDEX('KZ-normalized'!$E:$E, MATCH($A86, 'KZ-normalized'!$A:$A, 0))&gt;0, -(30*INDEX('KZ-normalized'!$D:$D, MATCH($A86, 'KZ-normalized'!$A:$A, 0))-INDEX('KZ-normalized'!$E:$E, MATCH($A86, 'KZ-normalized'!$A:$A, 0))), 0), 0))+(IFERROR(IF(30*INDEX('UZ-normalized'!$D:$D, MATCH($A86, 'UZ-normalized'!$A:$A, 0))-INDEX('UZ-normalized'!$E:$E, MATCH($A86, 'UZ-normalized'!$A:$A, 0))&gt;0, -(30*INDEX('UZ-normalized'!$D:$D, MATCH($A86, 'UZ-normalized'!$A:$A, 0))-INDEX('UZ-normalized'!$E:$E, MATCH($A86, 'UZ-normalized'!$A:$A, 0))), 0), 0)))</f>
        <v>-22</v>
      </c>
    </row>
    <row r="87" spans="1:44" x14ac:dyDescent="0.25">
      <c r="A87" s="8" t="s">
        <v>224</v>
      </c>
      <c r="B87" s="8" t="s">
        <v>180</v>
      </c>
      <c r="C87" s="8" t="s">
        <v>206</v>
      </c>
      <c r="D87" s="8" t="s">
        <v>225</v>
      </c>
      <c r="E87">
        <v>300</v>
      </c>
      <c r="F87">
        <v>280</v>
      </c>
      <c r="J87">
        <v>300</v>
      </c>
      <c r="N87">
        <f t="shared" si="1"/>
        <v>880</v>
      </c>
      <c r="O87" s="6">
        <f>MIN(0, N87+(IFERROR(IF(1*INDEX('UA-normalized'!$D:$D, MATCH($A87, 'UA-normalized'!$A:$A, 0))-INDEX('UA-normalized'!$E:$E, MATCH($A87, 'UA-normalized'!$A:$A, 0))&gt;0, -(1*INDEX('UA-normalized'!$D:$D, MATCH($A87, 'UA-normalized'!$A:$A, 0))-INDEX('UA-normalized'!$E:$E, MATCH($A87, 'UA-normalized'!$A:$A, 0))), 0), 0))+(IFERROR(IF(1*INDEX('KZ-normalized'!$D:$D, MATCH($A87, 'KZ-normalized'!$A:$A, 0))-INDEX('KZ-normalized'!$E:$E, MATCH($A87, 'KZ-normalized'!$A:$A, 0))&gt;0, -(1*INDEX('KZ-normalized'!$D:$D, MATCH($A87, 'KZ-normalized'!$A:$A, 0))-INDEX('KZ-normalized'!$E:$E, MATCH($A87, 'KZ-normalized'!$A:$A, 0))), 0), 0))+(IFERROR(IF(1*INDEX('UZ-normalized'!$D:$D, MATCH($A87, 'UZ-normalized'!$A:$A, 0))-INDEX('UZ-normalized'!$E:$E, MATCH($A87, 'UZ-normalized'!$A:$A, 0))&gt;0, -(1*INDEX('UZ-normalized'!$D:$D, MATCH($A87, 'UZ-normalized'!$A:$A, 0))-INDEX('UZ-normalized'!$E:$E, MATCH($A87, 'UZ-normalized'!$A:$A, 0))), 0), 0)))</f>
        <v>0</v>
      </c>
      <c r="P87" s="6">
        <f>MIN(0, N87+(IFERROR(IF(2*INDEX('UA-normalized'!$D:$D, MATCH($A87, 'UA-normalized'!$A:$A, 0))-INDEX('UA-normalized'!$E:$E, MATCH($A87, 'UA-normalized'!$A:$A, 0))&gt;0, -(2*INDEX('UA-normalized'!$D:$D, MATCH($A87, 'UA-normalized'!$A:$A, 0))-INDEX('UA-normalized'!$E:$E, MATCH($A87, 'UA-normalized'!$A:$A, 0))), 0), 0))+(IFERROR(IF(2*INDEX('KZ-normalized'!$D:$D, MATCH($A87, 'KZ-normalized'!$A:$A, 0))-INDEX('KZ-normalized'!$E:$E, MATCH($A87, 'KZ-normalized'!$A:$A, 0))&gt;0, -(2*INDEX('KZ-normalized'!$D:$D, MATCH($A87, 'KZ-normalized'!$A:$A, 0))-INDEX('KZ-normalized'!$E:$E, MATCH($A87, 'KZ-normalized'!$A:$A, 0))), 0), 0))+(IFERROR(IF(2*INDEX('UZ-normalized'!$D:$D, MATCH($A87, 'UZ-normalized'!$A:$A, 0))-INDEX('UZ-normalized'!$E:$E, MATCH($A87, 'UZ-normalized'!$A:$A, 0))&gt;0, -(2*INDEX('UZ-normalized'!$D:$D, MATCH($A87, 'UZ-normalized'!$A:$A, 0))-INDEX('UZ-normalized'!$E:$E, MATCH($A87, 'UZ-normalized'!$A:$A, 0))), 0), 0)))</f>
        <v>0</v>
      </c>
      <c r="Q87" s="6">
        <f>MIN(0, N87+(IFERROR(IF(3*INDEX('UA-normalized'!$D:$D, MATCH($A87, 'UA-normalized'!$A:$A, 0))-INDEX('UA-normalized'!$E:$E, MATCH($A87, 'UA-normalized'!$A:$A, 0))&gt;0, -(3*INDEX('UA-normalized'!$D:$D, MATCH($A87, 'UA-normalized'!$A:$A, 0))-INDEX('UA-normalized'!$E:$E, MATCH($A87, 'UA-normalized'!$A:$A, 0))), 0), 0))+(IFERROR(IF(3*INDEX('KZ-normalized'!$D:$D, MATCH($A87, 'KZ-normalized'!$A:$A, 0))-INDEX('KZ-normalized'!$E:$E, MATCH($A87, 'KZ-normalized'!$A:$A, 0))&gt;0, -(3*INDEX('KZ-normalized'!$D:$D, MATCH($A87, 'KZ-normalized'!$A:$A, 0))-INDEX('KZ-normalized'!$E:$E, MATCH($A87, 'KZ-normalized'!$A:$A, 0))), 0), 0))+(IFERROR(IF(3*INDEX('UZ-normalized'!$D:$D, MATCH($A87, 'UZ-normalized'!$A:$A, 0))-INDEX('UZ-normalized'!$E:$E, MATCH($A87, 'UZ-normalized'!$A:$A, 0))&gt;0, -(3*INDEX('UZ-normalized'!$D:$D, MATCH($A87, 'UZ-normalized'!$A:$A, 0))-INDEX('UZ-normalized'!$E:$E, MATCH($A87, 'UZ-normalized'!$A:$A, 0))), 0), 0)))</f>
        <v>0</v>
      </c>
      <c r="R87" s="6">
        <f>MIN(0, N87+(IFERROR(IF(4*INDEX('UA-normalized'!$D:$D, MATCH($A87, 'UA-normalized'!$A:$A, 0))-INDEX('UA-normalized'!$E:$E, MATCH($A87, 'UA-normalized'!$A:$A, 0))&gt;0, -(4*INDEX('UA-normalized'!$D:$D, MATCH($A87, 'UA-normalized'!$A:$A, 0))-INDEX('UA-normalized'!$E:$E, MATCH($A87, 'UA-normalized'!$A:$A, 0))), 0), 0))+(IFERROR(IF(4*INDEX('KZ-normalized'!$D:$D, MATCH($A87, 'KZ-normalized'!$A:$A, 0))-INDEX('KZ-normalized'!$E:$E, MATCH($A87, 'KZ-normalized'!$A:$A, 0))&gt;0, -(4*INDEX('KZ-normalized'!$D:$D, MATCH($A87, 'KZ-normalized'!$A:$A, 0))-INDEX('KZ-normalized'!$E:$E, MATCH($A87, 'KZ-normalized'!$A:$A, 0))), 0), 0))+(IFERROR(IF(4*INDEX('UZ-normalized'!$D:$D, MATCH($A87, 'UZ-normalized'!$A:$A, 0))-INDEX('UZ-normalized'!$E:$E, MATCH($A87, 'UZ-normalized'!$A:$A, 0))&gt;0, -(4*INDEX('UZ-normalized'!$D:$D, MATCH($A87, 'UZ-normalized'!$A:$A, 0))-INDEX('UZ-normalized'!$E:$E, MATCH($A87, 'UZ-normalized'!$A:$A, 0))), 0), 0)))</f>
        <v>0</v>
      </c>
      <c r="S87" s="6">
        <f>MIN(0, N87+(IFERROR(IF(5*INDEX('UA-normalized'!$D:$D, MATCH($A87, 'UA-normalized'!$A:$A, 0))-INDEX('UA-normalized'!$E:$E, MATCH($A87, 'UA-normalized'!$A:$A, 0))&gt;0, -(5*INDEX('UA-normalized'!$D:$D, MATCH($A87, 'UA-normalized'!$A:$A, 0))-INDEX('UA-normalized'!$E:$E, MATCH($A87, 'UA-normalized'!$A:$A, 0))), 0), 0))+(IFERROR(IF(5*INDEX('KZ-normalized'!$D:$D, MATCH($A87, 'KZ-normalized'!$A:$A, 0))-INDEX('KZ-normalized'!$E:$E, MATCH($A87, 'KZ-normalized'!$A:$A, 0))&gt;0, -(5*INDEX('KZ-normalized'!$D:$D, MATCH($A87, 'KZ-normalized'!$A:$A, 0))-INDEX('KZ-normalized'!$E:$E, MATCH($A87, 'KZ-normalized'!$A:$A, 0))), 0), 0))+(IFERROR(IF(5*INDEX('UZ-normalized'!$D:$D, MATCH($A87, 'UZ-normalized'!$A:$A, 0))-INDEX('UZ-normalized'!$E:$E, MATCH($A87, 'UZ-normalized'!$A:$A, 0))&gt;0, -(5*INDEX('UZ-normalized'!$D:$D, MATCH($A87, 'UZ-normalized'!$A:$A, 0))-INDEX('UZ-normalized'!$E:$E, MATCH($A87, 'UZ-normalized'!$A:$A, 0))), 0), 0)))</f>
        <v>0</v>
      </c>
      <c r="T87" s="6">
        <f>MIN(0, N87+(IFERROR(IF(6*INDEX('UA-normalized'!$D:$D, MATCH($A87, 'UA-normalized'!$A:$A, 0))-INDEX('UA-normalized'!$E:$E, MATCH($A87, 'UA-normalized'!$A:$A, 0))&gt;0, -(6*INDEX('UA-normalized'!$D:$D, MATCH($A87, 'UA-normalized'!$A:$A, 0))-INDEX('UA-normalized'!$E:$E, MATCH($A87, 'UA-normalized'!$A:$A, 0))), 0), 0))+(IFERROR(IF(6*INDEX('KZ-normalized'!$D:$D, MATCH($A87, 'KZ-normalized'!$A:$A, 0))-INDEX('KZ-normalized'!$E:$E, MATCH($A87, 'KZ-normalized'!$A:$A, 0))&gt;0, -(6*INDEX('KZ-normalized'!$D:$D, MATCH($A87, 'KZ-normalized'!$A:$A, 0))-INDEX('KZ-normalized'!$E:$E, MATCH($A87, 'KZ-normalized'!$A:$A, 0))), 0), 0))+(IFERROR(IF(6*INDEX('UZ-normalized'!$D:$D, MATCH($A87, 'UZ-normalized'!$A:$A, 0))-INDEX('UZ-normalized'!$E:$E, MATCH($A87, 'UZ-normalized'!$A:$A, 0))&gt;0, -(6*INDEX('UZ-normalized'!$D:$D, MATCH($A87, 'UZ-normalized'!$A:$A, 0))-INDEX('UZ-normalized'!$E:$E, MATCH($A87, 'UZ-normalized'!$A:$A, 0))), 0), 0)))</f>
        <v>0</v>
      </c>
      <c r="U87" s="6">
        <f>MIN(0, N87+(IFERROR(IF(7*INDEX('UA-normalized'!$D:$D, MATCH($A87, 'UA-normalized'!$A:$A, 0))-INDEX('UA-normalized'!$E:$E, MATCH($A87, 'UA-normalized'!$A:$A, 0))&gt;0, -(7*INDEX('UA-normalized'!$D:$D, MATCH($A87, 'UA-normalized'!$A:$A, 0))-INDEX('UA-normalized'!$E:$E, MATCH($A87, 'UA-normalized'!$A:$A, 0))), 0), 0))+(IFERROR(IF(7*INDEX('KZ-normalized'!$D:$D, MATCH($A87, 'KZ-normalized'!$A:$A, 0))-INDEX('KZ-normalized'!$E:$E, MATCH($A87, 'KZ-normalized'!$A:$A, 0))&gt;0, -(7*INDEX('KZ-normalized'!$D:$D, MATCH($A87, 'KZ-normalized'!$A:$A, 0))-INDEX('KZ-normalized'!$E:$E, MATCH($A87, 'KZ-normalized'!$A:$A, 0))), 0), 0))+(IFERROR(IF(7*INDEX('UZ-normalized'!$D:$D, MATCH($A87, 'UZ-normalized'!$A:$A, 0))-INDEX('UZ-normalized'!$E:$E, MATCH($A87, 'UZ-normalized'!$A:$A, 0))&gt;0, -(7*INDEX('UZ-normalized'!$D:$D, MATCH($A87, 'UZ-normalized'!$A:$A, 0))-INDEX('UZ-normalized'!$E:$E, MATCH($A87, 'UZ-normalized'!$A:$A, 0))), 0), 0)))</f>
        <v>0</v>
      </c>
      <c r="V87" s="6">
        <f>MIN(0, N87+(IFERROR(IF(8*INDEX('UA-normalized'!$D:$D, MATCH($A87, 'UA-normalized'!$A:$A, 0))-INDEX('UA-normalized'!$E:$E, MATCH($A87, 'UA-normalized'!$A:$A, 0))&gt;0, -(8*INDEX('UA-normalized'!$D:$D, MATCH($A87, 'UA-normalized'!$A:$A, 0))-INDEX('UA-normalized'!$E:$E, MATCH($A87, 'UA-normalized'!$A:$A, 0))), 0), 0))+(IFERROR(IF(8*INDEX('KZ-normalized'!$D:$D, MATCH($A87, 'KZ-normalized'!$A:$A, 0))-INDEX('KZ-normalized'!$E:$E, MATCH($A87, 'KZ-normalized'!$A:$A, 0))&gt;0, -(8*INDEX('KZ-normalized'!$D:$D, MATCH($A87, 'KZ-normalized'!$A:$A, 0))-INDEX('KZ-normalized'!$E:$E, MATCH($A87, 'KZ-normalized'!$A:$A, 0))), 0), 0))+(IFERROR(IF(8*INDEX('UZ-normalized'!$D:$D, MATCH($A87, 'UZ-normalized'!$A:$A, 0))-INDEX('UZ-normalized'!$E:$E, MATCH($A87, 'UZ-normalized'!$A:$A, 0))&gt;0, -(8*INDEX('UZ-normalized'!$D:$D, MATCH($A87, 'UZ-normalized'!$A:$A, 0))-INDEX('UZ-normalized'!$E:$E, MATCH($A87, 'UZ-normalized'!$A:$A, 0))), 0), 0)))</f>
        <v>0</v>
      </c>
      <c r="W87" s="6">
        <f>MIN(0, N87+(IFERROR(IF(9*INDEX('UA-normalized'!$D:$D, MATCH($A87, 'UA-normalized'!$A:$A, 0))-INDEX('UA-normalized'!$E:$E, MATCH($A87, 'UA-normalized'!$A:$A, 0))&gt;0, -(9*INDEX('UA-normalized'!$D:$D, MATCH($A87, 'UA-normalized'!$A:$A, 0))-INDEX('UA-normalized'!$E:$E, MATCH($A87, 'UA-normalized'!$A:$A, 0))), 0), 0))+(IFERROR(IF(9*INDEX('KZ-normalized'!$D:$D, MATCH($A87, 'KZ-normalized'!$A:$A, 0))-INDEX('KZ-normalized'!$E:$E, MATCH($A87, 'KZ-normalized'!$A:$A, 0))&gt;0, -(9*INDEX('KZ-normalized'!$D:$D, MATCH($A87, 'KZ-normalized'!$A:$A, 0))-INDEX('KZ-normalized'!$E:$E, MATCH($A87, 'KZ-normalized'!$A:$A, 0))), 0), 0))+(IFERROR(IF(9*INDEX('UZ-normalized'!$D:$D, MATCH($A87, 'UZ-normalized'!$A:$A, 0))-INDEX('UZ-normalized'!$E:$E, MATCH($A87, 'UZ-normalized'!$A:$A, 0))&gt;0, -(9*INDEX('UZ-normalized'!$D:$D, MATCH($A87, 'UZ-normalized'!$A:$A, 0))-INDEX('UZ-normalized'!$E:$E, MATCH($A87, 'UZ-normalized'!$A:$A, 0))), 0), 0)))</f>
        <v>0</v>
      </c>
      <c r="X87" s="6">
        <f>MIN(0, N87+(IFERROR(IF(10*INDEX('UA-normalized'!$D:$D, MATCH($A87, 'UA-normalized'!$A:$A, 0))-INDEX('UA-normalized'!$E:$E, MATCH($A87, 'UA-normalized'!$A:$A, 0))&gt;0, -(10*INDEX('UA-normalized'!$D:$D, MATCH($A87, 'UA-normalized'!$A:$A, 0))-INDEX('UA-normalized'!$E:$E, MATCH($A87, 'UA-normalized'!$A:$A, 0))), 0), 0))+(IFERROR(IF(10*INDEX('KZ-normalized'!$D:$D, MATCH($A87, 'KZ-normalized'!$A:$A, 0))-INDEX('KZ-normalized'!$E:$E, MATCH($A87, 'KZ-normalized'!$A:$A, 0))&gt;0, -(10*INDEX('KZ-normalized'!$D:$D, MATCH($A87, 'KZ-normalized'!$A:$A, 0))-INDEX('KZ-normalized'!$E:$E, MATCH($A87, 'KZ-normalized'!$A:$A, 0))), 0), 0))+(IFERROR(IF(10*INDEX('UZ-normalized'!$D:$D, MATCH($A87, 'UZ-normalized'!$A:$A, 0))-INDEX('UZ-normalized'!$E:$E, MATCH($A87, 'UZ-normalized'!$A:$A, 0))&gt;0, -(10*INDEX('UZ-normalized'!$D:$D, MATCH($A87, 'UZ-normalized'!$A:$A, 0))-INDEX('UZ-normalized'!$E:$E, MATCH($A87, 'UZ-normalized'!$A:$A, 0))), 0), 0)))</f>
        <v>0</v>
      </c>
      <c r="Y87" s="6">
        <f>MIN(0, N87+(IFERROR(IF(11*INDEX('UA-normalized'!$D:$D, MATCH($A87, 'UA-normalized'!$A:$A, 0))-INDEX('UA-normalized'!$E:$E, MATCH($A87, 'UA-normalized'!$A:$A, 0))&gt;0, -(11*INDEX('UA-normalized'!$D:$D, MATCH($A87, 'UA-normalized'!$A:$A, 0))-INDEX('UA-normalized'!$E:$E, MATCH($A87, 'UA-normalized'!$A:$A, 0))), 0), 0))+(IFERROR(IF(11*INDEX('KZ-normalized'!$D:$D, MATCH($A87, 'KZ-normalized'!$A:$A, 0))-INDEX('KZ-normalized'!$E:$E, MATCH($A87, 'KZ-normalized'!$A:$A, 0))&gt;0, -(11*INDEX('KZ-normalized'!$D:$D, MATCH($A87, 'KZ-normalized'!$A:$A, 0))-INDEX('KZ-normalized'!$E:$E, MATCH($A87, 'KZ-normalized'!$A:$A, 0))), 0), 0))+(IFERROR(IF(11*INDEX('UZ-normalized'!$D:$D, MATCH($A87, 'UZ-normalized'!$A:$A, 0))-INDEX('UZ-normalized'!$E:$E, MATCH($A87, 'UZ-normalized'!$A:$A, 0))&gt;0, -(11*INDEX('UZ-normalized'!$D:$D, MATCH($A87, 'UZ-normalized'!$A:$A, 0))-INDEX('UZ-normalized'!$E:$E, MATCH($A87, 'UZ-normalized'!$A:$A, 0))), 0), 0)))</f>
        <v>0</v>
      </c>
      <c r="Z87" s="6">
        <f>MIN(0, N87+(IFERROR(IF(12*INDEX('UA-normalized'!$D:$D, MATCH($A87, 'UA-normalized'!$A:$A, 0))-INDEX('UA-normalized'!$E:$E, MATCH($A87, 'UA-normalized'!$A:$A, 0))&gt;0, -(12*INDEX('UA-normalized'!$D:$D, MATCH($A87, 'UA-normalized'!$A:$A, 0))-INDEX('UA-normalized'!$E:$E, MATCH($A87, 'UA-normalized'!$A:$A, 0))), 0), 0))+(IFERROR(IF(12*INDEX('KZ-normalized'!$D:$D, MATCH($A87, 'KZ-normalized'!$A:$A, 0))-INDEX('KZ-normalized'!$E:$E, MATCH($A87, 'KZ-normalized'!$A:$A, 0))&gt;0, -(12*INDEX('KZ-normalized'!$D:$D, MATCH($A87, 'KZ-normalized'!$A:$A, 0))-INDEX('KZ-normalized'!$E:$E, MATCH($A87, 'KZ-normalized'!$A:$A, 0))), 0), 0))+(IFERROR(IF(12*INDEX('UZ-normalized'!$D:$D, MATCH($A87, 'UZ-normalized'!$A:$A, 0))-INDEX('UZ-normalized'!$E:$E, MATCH($A87, 'UZ-normalized'!$A:$A, 0))&gt;0, -(12*INDEX('UZ-normalized'!$D:$D, MATCH($A87, 'UZ-normalized'!$A:$A, 0))-INDEX('UZ-normalized'!$E:$E, MATCH($A87, 'UZ-normalized'!$A:$A, 0))), 0), 0)))</f>
        <v>0</v>
      </c>
      <c r="AA87" s="6">
        <f>MIN(0, N87+(IFERROR(IF(13*INDEX('UA-normalized'!$D:$D, MATCH($A87, 'UA-normalized'!$A:$A, 0))-INDEX('UA-normalized'!$E:$E, MATCH($A87, 'UA-normalized'!$A:$A, 0))&gt;0, -(13*INDEX('UA-normalized'!$D:$D, MATCH($A87, 'UA-normalized'!$A:$A, 0))-INDEX('UA-normalized'!$E:$E, MATCH($A87, 'UA-normalized'!$A:$A, 0))), 0), 0))+(IFERROR(IF(13*INDEX('KZ-normalized'!$D:$D, MATCH($A87, 'KZ-normalized'!$A:$A, 0))-INDEX('KZ-normalized'!$E:$E, MATCH($A87, 'KZ-normalized'!$A:$A, 0))&gt;0, -(13*INDEX('KZ-normalized'!$D:$D, MATCH($A87, 'KZ-normalized'!$A:$A, 0))-INDEX('KZ-normalized'!$E:$E, MATCH($A87, 'KZ-normalized'!$A:$A, 0))), 0), 0))+(IFERROR(IF(13*INDEX('UZ-normalized'!$D:$D, MATCH($A87, 'UZ-normalized'!$A:$A, 0))-INDEX('UZ-normalized'!$E:$E, MATCH($A87, 'UZ-normalized'!$A:$A, 0))&gt;0, -(13*INDEX('UZ-normalized'!$D:$D, MATCH($A87, 'UZ-normalized'!$A:$A, 0))-INDEX('UZ-normalized'!$E:$E, MATCH($A87, 'UZ-normalized'!$A:$A, 0))), 0), 0)))</f>
        <v>0</v>
      </c>
      <c r="AB87" s="6">
        <f>MIN(0, N87+(IFERROR(IF(14*INDEX('UA-normalized'!$D:$D, MATCH($A87, 'UA-normalized'!$A:$A, 0))-INDEX('UA-normalized'!$E:$E, MATCH($A87, 'UA-normalized'!$A:$A, 0))&gt;0, -(14*INDEX('UA-normalized'!$D:$D, MATCH($A87, 'UA-normalized'!$A:$A, 0))-INDEX('UA-normalized'!$E:$E, MATCH($A87, 'UA-normalized'!$A:$A, 0))), 0), 0))+(IFERROR(IF(14*INDEX('KZ-normalized'!$D:$D, MATCH($A87, 'KZ-normalized'!$A:$A, 0))-INDEX('KZ-normalized'!$E:$E, MATCH($A87, 'KZ-normalized'!$A:$A, 0))&gt;0, -(14*INDEX('KZ-normalized'!$D:$D, MATCH($A87, 'KZ-normalized'!$A:$A, 0))-INDEX('KZ-normalized'!$E:$E, MATCH($A87, 'KZ-normalized'!$A:$A, 0))), 0), 0))+(IFERROR(IF(14*INDEX('UZ-normalized'!$D:$D, MATCH($A87, 'UZ-normalized'!$A:$A, 0))-INDEX('UZ-normalized'!$E:$E, MATCH($A87, 'UZ-normalized'!$A:$A, 0))&gt;0, -(14*INDEX('UZ-normalized'!$D:$D, MATCH($A87, 'UZ-normalized'!$A:$A, 0))-INDEX('UZ-normalized'!$E:$E, MATCH($A87, 'UZ-normalized'!$A:$A, 0))), 0), 0)))</f>
        <v>0</v>
      </c>
      <c r="AC87" s="6">
        <f>MIN(0, N87+(IFERROR(IF(15*INDEX('UA-normalized'!$D:$D, MATCH($A87, 'UA-normalized'!$A:$A, 0))-INDEX('UA-normalized'!$E:$E, MATCH($A87, 'UA-normalized'!$A:$A, 0))&gt;0, -(15*INDEX('UA-normalized'!$D:$D, MATCH($A87, 'UA-normalized'!$A:$A, 0))-INDEX('UA-normalized'!$E:$E, MATCH($A87, 'UA-normalized'!$A:$A, 0))), 0), 0))+(IFERROR(IF(15*INDEX('KZ-normalized'!$D:$D, MATCH($A87, 'KZ-normalized'!$A:$A, 0))-INDEX('KZ-normalized'!$E:$E, MATCH($A87, 'KZ-normalized'!$A:$A, 0))&gt;0, -(15*INDEX('KZ-normalized'!$D:$D, MATCH($A87, 'KZ-normalized'!$A:$A, 0))-INDEX('KZ-normalized'!$E:$E, MATCH($A87, 'KZ-normalized'!$A:$A, 0))), 0), 0))+(IFERROR(IF(15*INDEX('UZ-normalized'!$D:$D, MATCH($A87, 'UZ-normalized'!$A:$A, 0))-INDEX('UZ-normalized'!$E:$E, MATCH($A87, 'UZ-normalized'!$A:$A, 0))&gt;0, -(15*INDEX('UZ-normalized'!$D:$D, MATCH($A87, 'UZ-normalized'!$A:$A, 0))-INDEX('UZ-normalized'!$E:$E, MATCH($A87, 'UZ-normalized'!$A:$A, 0))), 0), 0)))</f>
        <v>0</v>
      </c>
      <c r="AD87" s="6">
        <f>MIN(0, N87+(IFERROR(IF(16*INDEX('UA-normalized'!$D:$D, MATCH($A87, 'UA-normalized'!$A:$A, 0))-INDEX('UA-normalized'!$E:$E, MATCH($A87, 'UA-normalized'!$A:$A, 0))&gt;0, -(16*INDEX('UA-normalized'!$D:$D, MATCH($A87, 'UA-normalized'!$A:$A, 0))-INDEX('UA-normalized'!$E:$E, MATCH($A87, 'UA-normalized'!$A:$A, 0))), 0), 0))+(IFERROR(IF(16*INDEX('KZ-normalized'!$D:$D, MATCH($A87, 'KZ-normalized'!$A:$A, 0))-INDEX('KZ-normalized'!$E:$E, MATCH($A87, 'KZ-normalized'!$A:$A, 0))&gt;0, -(16*INDEX('KZ-normalized'!$D:$D, MATCH($A87, 'KZ-normalized'!$A:$A, 0))-INDEX('KZ-normalized'!$E:$E, MATCH($A87, 'KZ-normalized'!$A:$A, 0))), 0), 0))+(IFERROR(IF(16*INDEX('UZ-normalized'!$D:$D, MATCH($A87, 'UZ-normalized'!$A:$A, 0))-INDEX('UZ-normalized'!$E:$E, MATCH($A87, 'UZ-normalized'!$A:$A, 0))&gt;0, -(16*INDEX('UZ-normalized'!$D:$D, MATCH($A87, 'UZ-normalized'!$A:$A, 0))-INDEX('UZ-normalized'!$E:$E, MATCH($A87, 'UZ-normalized'!$A:$A, 0))), 0), 0)))</f>
        <v>0</v>
      </c>
      <c r="AE87" s="6">
        <f>MIN(0, N87+(IFERROR(IF(17*INDEX('UA-normalized'!$D:$D, MATCH($A87, 'UA-normalized'!$A:$A, 0))-INDEX('UA-normalized'!$E:$E, MATCH($A87, 'UA-normalized'!$A:$A, 0))&gt;0, -(17*INDEX('UA-normalized'!$D:$D, MATCH($A87, 'UA-normalized'!$A:$A, 0))-INDEX('UA-normalized'!$E:$E, MATCH($A87, 'UA-normalized'!$A:$A, 0))), 0), 0))+(IFERROR(IF(17*INDEX('KZ-normalized'!$D:$D, MATCH($A87, 'KZ-normalized'!$A:$A, 0))-INDEX('KZ-normalized'!$E:$E, MATCH($A87, 'KZ-normalized'!$A:$A, 0))&gt;0, -(17*INDEX('KZ-normalized'!$D:$D, MATCH($A87, 'KZ-normalized'!$A:$A, 0))-INDEX('KZ-normalized'!$E:$E, MATCH($A87, 'KZ-normalized'!$A:$A, 0))), 0), 0))+(IFERROR(IF(17*INDEX('UZ-normalized'!$D:$D, MATCH($A87, 'UZ-normalized'!$A:$A, 0))-INDEX('UZ-normalized'!$E:$E, MATCH($A87, 'UZ-normalized'!$A:$A, 0))&gt;0, -(17*INDEX('UZ-normalized'!$D:$D, MATCH($A87, 'UZ-normalized'!$A:$A, 0))-INDEX('UZ-normalized'!$E:$E, MATCH($A87, 'UZ-normalized'!$A:$A, 0))), 0), 0)))</f>
        <v>0</v>
      </c>
      <c r="AF87" s="6">
        <f>MIN(0, N87+(IFERROR(IF(18*INDEX('UA-normalized'!$D:$D, MATCH($A87, 'UA-normalized'!$A:$A, 0))-INDEX('UA-normalized'!$E:$E, MATCH($A87, 'UA-normalized'!$A:$A, 0))&gt;0, -(18*INDEX('UA-normalized'!$D:$D, MATCH($A87, 'UA-normalized'!$A:$A, 0))-INDEX('UA-normalized'!$E:$E, MATCH($A87, 'UA-normalized'!$A:$A, 0))), 0), 0))+(IFERROR(IF(18*INDEX('KZ-normalized'!$D:$D, MATCH($A87, 'KZ-normalized'!$A:$A, 0))-INDEX('KZ-normalized'!$E:$E, MATCH($A87, 'KZ-normalized'!$A:$A, 0))&gt;0, -(18*INDEX('KZ-normalized'!$D:$D, MATCH($A87, 'KZ-normalized'!$A:$A, 0))-INDEX('KZ-normalized'!$E:$E, MATCH($A87, 'KZ-normalized'!$A:$A, 0))), 0), 0))+(IFERROR(IF(18*INDEX('UZ-normalized'!$D:$D, MATCH($A87, 'UZ-normalized'!$A:$A, 0))-INDEX('UZ-normalized'!$E:$E, MATCH($A87, 'UZ-normalized'!$A:$A, 0))&gt;0, -(18*INDEX('UZ-normalized'!$D:$D, MATCH($A87, 'UZ-normalized'!$A:$A, 0))-INDEX('UZ-normalized'!$E:$E, MATCH($A87, 'UZ-normalized'!$A:$A, 0))), 0), 0)))</f>
        <v>0</v>
      </c>
      <c r="AG87" s="6">
        <f>MIN(0, N87+(IFERROR(IF(19*INDEX('UA-normalized'!$D:$D, MATCH($A87, 'UA-normalized'!$A:$A, 0))-INDEX('UA-normalized'!$E:$E, MATCH($A87, 'UA-normalized'!$A:$A, 0))&gt;0, -(19*INDEX('UA-normalized'!$D:$D, MATCH($A87, 'UA-normalized'!$A:$A, 0))-INDEX('UA-normalized'!$E:$E, MATCH($A87, 'UA-normalized'!$A:$A, 0))), 0), 0))+(IFERROR(IF(19*INDEX('KZ-normalized'!$D:$D, MATCH($A87, 'KZ-normalized'!$A:$A, 0))-INDEX('KZ-normalized'!$E:$E, MATCH($A87, 'KZ-normalized'!$A:$A, 0))&gt;0, -(19*INDEX('KZ-normalized'!$D:$D, MATCH($A87, 'KZ-normalized'!$A:$A, 0))-INDEX('KZ-normalized'!$E:$E, MATCH($A87, 'KZ-normalized'!$A:$A, 0))), 0), 0))+(IFERROR(IF(19*INDEX('UZ-normalized'!$D:$D, MATCH($A87, 'UZ-normalized'!$A:$A, 0))-INDEX('UZ-normalized'!$E:$E, MATCH($A87, 'UZ-normalized'!$A:$A, 0))&gt;0, -(19*INDEX('UZ-normalized'!$D:$D, MATCH($A87, 'UZ-normalized'!$A:$A, 0))-INDEX('UZ-normalized'!$E:$E, MATCH($A87, 'UZ-normalized'!$A:$A, 0))), 0), 0)))</f>
        <v>0</v>
      </c>
      <c r="AH87" s="6">
        <f>MIN(0, N87+(IFERROR(IF(20*INDEX('UA-normalized'!$D:$D, MATCH($A87, 'UA-normalized'!$A:$A, 0))-INDEX('UA-normalized'!$E:$E, MATCH($A87, 'UA-normalized'!$A:$A, 0))&gt;0, -(20*INDEX('UA-normalized'!$D:$D, MATCH($A87, 'UA-normalized'!$A:$A, 0))-INDEX('UA-normalized'!$E:$E, MATCH($A87, 'UA-normalized'!$A:$A, 0))), 0), 0))+(IFERROR(IF(20*INDEX('KZ-normalized'!$D:$D, MATCH($A87, 'KZ-normalized'!$A:$A, 0))-INDEX('KZ-normalized'!$E:$E, MATCH($A87, 'KZ-normalized'!$A:$A, 0))&gt;0, -(20*INDEX('KZ-normalized'!$D:$D, MATCH($A87, 'KZ-normalized'!$A:$A, 0))-INDEX('KZ-normalized'!$E:$E, MATCH($A87, 'KZ-normalized'!$A:$A, 0))), 0), 0))+(IFERROR(IF(20*INDEX('UZ-normalized'!$D:$D, MATCH($A87, 'UZ-normalized'!$A:$A, 0))-INDEX('UZ-normalized'!$E:$E, MATCH($A87, 'UZ-normalized'!$A:$A, 0))&gt;0, -(20*INDEX('UZ-normalized'!$D:$D, MATCH($A87, 'UZ-normalized'!$A:$A, 0))-INDEX('UZ-normalized'!$E:$E, MATCH($A87, 'UZ-normalized'!$A:$A, 0))), 0), 0)))</f>
        <v>0</v>
      </c>
      <c r="AI87" s="6">
        <f>MIN(0, N87+(IFERROR(IF(21*INDEX('UA-normalized'!$D:$D, MATCH($A87, 'UA-normalized'!$A:$A, 0))-INDEX('UA-normalized'!$E:$E, MATCH($A87, 'UA-normalized'!$A:$A, 0))&gt;0, -(21*INDEX('UA-normalized'!$D:$D, MATCH($A87, 'UA-normalized'!$A:$A, 0))-INDEX('UA-normalized'!$E:$E, MATCH($A87, 'UA-normalized'!$A:$A, 0))), 0), 0))+(IFERROR(IF(21*INDEX('KZ-normalized'!$D:$D, MATCH($A87, 'KZ-normalized'!$A:$A, 0))-INDEX('KZ-normalized'!$E:$E, MATCH($A87, 'KZ-normalized'!$A:$A, 0))&gt;0, -(21*INDEX('KZ-normalized'!$D:$D, MATCH($A87, 'KZ-normalized'!$A:$A, 0))-INDEX('KZ-normalized'!$E:$E, MATCH($A87, 'KZ-normalized'!$A:$A, 0))), 0), 0))+(IFERROR(IF(21*INDEX('UZ-normalized'!$D:$D, MATCH($A87, 'UZ-normalized'!$A:$A, 0))-INDEX('UZ-normalized'!$E:$E, MATCH($A87, 'UZ-normalized'!$A:$A, 0))&gt;0, -(21*INDEX('UZ-normalized'!$D:$D, MATCH($A87, 'UZ-normalized'!$A:$A, 0))-INDEX('UZ-normalized'!$E:$E, MATCH($A87, 'UZ-normalized'!$A:$A, 0))), 0), 0)))</f>
        <v>0</v>
      </c>
      <c r="AJ87" s="6">
        <f>MIN(0, N87+(IFERROR(IF(22*INDEX('UA-normalized'!$D:$D, MATCH($A87, 'UA-normalized'!$A:$A, 0))-INDEX('UA-normalized'!$E:$E, MATCH($A87, 'UA-normalized'!$A:$A, 0))&gt;0, -(22*INDEX('UA-normalized'!$D:$D, MATCH($A87, 'UA-normalized'!$A:$A, 0))-INDEX('UA-normalized'!$E:$E, MATCH($A87, 'UA-normalized'!$A:$A, 0))), 0), 0))+(IFERROR(IF(22*INDEX('KZ-normalized'!$D:$D, MATCH($A87, 'KZ-normalized'!$A:$A, 0))-INDEX('KZ-normalized'!$E:$E, MATCH($A87, 'KZ-normalized'!$A:$A, 0))&gt;0, -(22*INDEX('KZ-normalized'!$D:$D, MATCH($A87, 'KZ-normalized'!$A:$A, 0))-INDEX('KZ-normalized'!$E:$E, MATCH($A87, 'KZ-normalized'!$A:$A, 0))), 0), 0))+(IFERROR(IF(22*INDEX('UZ-normalized'!$D:$D, MATCH($A87, 'UZ-normalized'!$A:$A, 0))-INDEX('UZ-normalized'!$E:$E, MATCH($A87, 'UZ-normalized'!$A:$A, 0))&gt;0, -(22*INDEX('UZ-normalized'!$D:$D, MATCH($A87, 'UZ-normalized'!$A:$A, 0))-INDEX('UZ-normalized'!$E:$E, MATCH($A87, 'UZ-normalized'!$A:$A, 0))), 0), 0)))</f>
        <v>0</v>
      </c>
      <c r="AK87" s="6">
        <f>MIN(0, N87+(IFERROR(IF(23*INDEX('UA-normalized'!$D:$D, MATCH($A87, 'UA-normalized'!$A:$A, 0))-INDEX('UA-normalized'!$E:$E, MATCH($A87, 'UA-normalized'!$A:$A, 0))&gt;0, -(23*INDEX('UA-normalized'!$D:$D, MATCH($A87, 'UA-normalized'!$A:$A, 0))-INDEX('UA-normalized'!$E:$E, MATCH($A87, 'UA-normalized'!$A:$A, 0))), 0), 0))+(IFERROR(IF(23*INDEX('KZ-normalized'!$D:$D, MATCH($A87, 'KZ-normalized'!$A:$A, 0))-INDEX('KZ-normalized'!$E:$E, MATCH($A87, 'KZ-normalized'!$A:$A, 0))&gt;0, -(23*INDEX('KZ-normalized'!$D:$D, MATCH($A87, 'KZ-normalized'!$A:$A, 0))-INDEX('KZ-normalized'!$E:$E, MATCH($A87, 'KZ-normalized'!$A:$A, 0))), 0), 0))+(IFERROR(IF(23*INDEX('UZ-normalized'!$D:$D, MATCH($A87, 'UZ-normalized'!$A:$A, 0))-INDEX('UZ-normalized'!$E:$E, MATCH($A87, 'UZ-normalized'!$A:$A, 0))&gt;0, -(23*INDEX('UZ-normalized'!$D:$D, MATCH($A87, 'UZ-normalized'!$A:$A, 0))-INDEX('UZ-normalized'!$E:$E, MATCH($A87, 'UZ-normalized'!$A:$A, 0))), 0), 0)))</f>
        <v>0</v>
      </c>
      <c r="AL87" s="6">
        <f>MIN(0, N87+(IFERROR(IF(24*INDEX('UA-normalized'!$D:$D, MATCH($A87, 'UA-normalized'!$A:$A, 0))-INDEX('UA-normalized'!$E:$E, MATCH($A87, 'UA-normalized'!$A:$A, 0))&gt;0, -(24*INDEX('UA-normalized'!$D:$D, MATCH($A87, 'UA-normalized'!$A:$A, 0))-INDEX('UA-normalized'!$E:$E, MATCH($A87, 'UA-normalized'!$A:$A, 0))), 0), 0))+(IFERROR(IF(24*INDEX('KZ-normalized'!$D:$D, MATCH($A87, 'KZ-normalized'!$A:$A, 0))-INDEX('KZ-normalized'!$E:$E, MATCH($A87, 'KZ-normalized'!$A:$A, 0))&gt;0, -(24*INDEX('KZ-normalized'!$D:$D, MATCH($A87, 'KZ-normalized'!$A:$A, 0))-INDEX('KZ-normalized'!$E:$E, MATCH($A87, 'KZ-normalized'!$A:$A, 0))), 0), 0))+(IFERROR(IF(24*INDEX('UZ-normalized'!$D:$D, MATCH($A87, 'UZ-normalized'!$A:$A, 0))-INDEX('UZ-normalized'!$E:$E, MATCH($A87, 'UZ-normalized'!$A:$A, 0))&gt;0, -(24*INDEX('UZ-normalized'!$D:$D, MATCH($A87, 'UZ-normalized'!$A:$A, 0))-INDEX('UZ-normalized'!$E:$E, MATCH($A87, 'UZ-normalized'!$A:$A, 0))), 0), 0)))</f>
        <v>0</v>
      </c>
      <c r="AM87" s="6">
        <f>MIN(0, N87+(IFERROR(IF(25*INDEX('UA-normalized'!$D:$D, MATCH($A87, 'UA-normalized'!$A:$A, 0))-INDEX('UA-normalized'!$E:$E, MATCH($A87, 'UA-normalized'!$A:$A, 0))&gt;0, -(25*INDEX('UA-normalized'!$D:$D, MATCH($A87, 'UA-normalized'!$A:$A, 0))-INDEX('UA-normalized'!$E:$E, MATCH($A87, 'UA-normalized'!$A:$A, 0))), 0), 0))+(IFERROR(IF(25*INDEX('KZ-normalized'!$D:$D, MATCH($A87, 'KZ-normalized'!$A:$A, 0))-INDEX('KZ-normalized'!$E:$E, MATCH($A87, 'KZ-normalized'!$A:$A, 0))&gt;0, -(25*INDEX('KZ-normalized'!$D:$D, MATCH($A87, 'KZ-normalized'!$A:$A, 0))-INDEX('KZ-normalized'!$E:$E, MATCH($A87, 'KZ-normalized'!$A:$A, 0))), 0), 0))+(IFERROR(IF(25*INDEX('UZ-normalized'!$D:$D, MATCH($A87, 'UZ-normalized'!$A:$A, 0))-INDEX('UZ-normalized'!$E:$E, MATCH($A87, 'UZ-normalized'!$A:$A, 0))&gt;0, -(25*INDEX('UZ-normalized'!$D:$D, MATCH($A87, 'UZ-normalized'!$A:$A, 0))-INDEX('UZ-normalized'!$E:$E, MATCH($A87, 'UZ-normalized'!$A:$A, 0))), 0), 0)))</f>
        <v>0</v>
      </c>
      <c r="AN87" s="6">
        <f>MIN(0, N87+(IFERROR(IF(26*INDEX('UA-normalized'!$D:$D, MATCH($A87, 'UA-normalized'!$A:$A, 0))-INDEX('UA-normalized'!$E:$E, MATCH($A87, 'UA-normalized'!$A:$A, 0))&gt;0, -(26*INDEX('UA-normalized'!$D:$D, MATCH($A87, 'UA-normalized'!$A:$A, 0))-INDEX('UA-normalized'!$E:$E, MATCH($A87, 'UA-normalized'!$A:$A, 0))), 0), 0))+(IFERROR(IF(26*INDEX('KZ-normalized'!$D:$D, MATCH($A87, 'KZ-normalized'!$A:$A, 0))-INDEX('KZ-normalized'!$E:$E, MATCH($A87, 'KZ-normalized'!$A:$A, 0))&gt;0, -(26*INDEX('KZ-normalized'!$D:$D, MATCH($A87, 'KZ-normalized'!$A:$A, 0))-INDEX('KZ-normalized'!$E:$E, MATCH($A87, 'KZ-normalized'!$A:$A, 0))), 0), 0))+(IFERROR(IF(26*INDEX('UZ-normalized'!$D:$D, MATCH($A87, 'UZ-normalized'!$A:$A, 0))-INDEX('UZ-normalized'!$E:$E, MATCH($A87, 'UZ-normalized'!$A:$A, 0))&gt;0, -(26*INDEX('UZ-normalized'!$D:$D, MATCH($A87, 'UZ-normalized'!$A:$A, 0))-INDEX('UZ-normalized'!$E:$E, MATCH($A87, 'UZ-normalized'!$A:$A, 0))), 0), 0)))</f>
        <v>0</v>
      </c>
      <c r="AO87" s="6">
        <f>MIN(0, N87+(IFERROR(IF(27*INDEX('UA-normalized'!$D:$D, MATCH($A87, 'UA-normalized'!$A:$A, 0))-INDEX('UA-normalized'!$E:$E, MATCH($A87, 'UA-normalized'!$A:$A, 0))&gt;0, -(27*INDEX('UA-normalized'!$D:$D, MATCH($A87, 'UA-normalized'!$A:$A, 0))-INDEX('UA-normalized'!$E:$E, MATCH($A87, 'UA-normalized'!$A:$A, 0))), 0), 0))+(IFERROR(IF(27*INDEX('KZ-normalized'!$D:$D, MATCH($A87, 'KZ-normalized'!$A:$A, 0))-INDEX('KZ-normalized'!$E:$E, MATCH($A87, 'KZ-normalized'!$A:$A, 0))&gt;0, -(27*INDEX('KZ-normalized'!$D:$D, MATCH($A87, 'KZ-normalized'!$A:$A, 0))-INDEX('KZ-normalized'!$E:$E, MATCH($A87, 'KZ-normalized'!$A:$A, 0))), 0), 0))+(IFERROR(IF(27*INDEX('UZ-normalized'!$D:$D, MATCH($A87, 'UZ-normalized'!$A:$A, 0))-INDEX('UZ-normalized'!$E:$E, MATCH($A87, 'UZ-normalized'!$A:$A, 0))&gt;0, -(27*INDEX('UZ-normalized'!$D:$D, MATCH($A87, 'UZ-normalized'!$A:$A, 0))-INDEX('UZ-normalized'!$E:$E, MATCH($A87, 'UZ-normalized'!$A:$A, 0))), 0), 0)))</f>
        <v>0</v>
      </c>
      <c r="AP87" s="6">
        <f>MIN(0, N87+(IFERROR(IF(28*INDEX('UA-normalized'!$D:$D, MATCH($A87, 'UA-normalized'!$A:$A, 0))-INDEX('UA-normalized'!$E:$E, MATCH($A87, 'UA-normalized'!$A:$A, 0))&gt;0, -(28*INDEX('UA-normalized'!$D:$D, MATCH($A87, 'UA-normalized'!$A:$A, 0))-INDEX('UA-normalized'!$E:$E, MATCH($A87, 'UA-normalized'!$A:$A, 0))), 0), 0))+(IFERROR(IF(28*INDEX('KZ-normalized'!$D:$D, MATCH($A87, 'KZ-normalized'!$A:$A, 0))-INDEX('KZ-normalized'!$E:$E, MATCH($A87, 'KZ-normalized'!$A:$A, 0))&gt;0, -(28*INDEX('KZ-normalized'!$D:$D, MATCH($A87, 'KZ-normalized'!$A:$A, 0))-INDEX('KZ-normalized'!$E:$E, MATCH($A87, 'KZ-normalized'!$A:$A, 0))), 0), 0))+(IFERROR(IF(28*INDEX('UZ-normalized'!$D:$D, MATCH($A87, 'UZ-normalized'!$A:$A, 0))-INDEX('UZ-normalized'!$E:$E, MATCH($A87, 'UZ-normalized'!$A:$A, 0))&gt;0, -(28*INDEX('UZ-normalized'!$D:$D, MATCH($A87, 'UZ-normalized'!$A:$A, 0))-INDEX('UZ-normalized'!$E:$E, MATCH($A87, 'UZ-normalized'!$A:$A, 0))), 0), 0)))</f>
        <v>0</v>
      </c>
      <c r="AQ87" s="6">
        <f>MIN(0, N87+(IFERROR(IF(29*INDEX('UA-normalized'!$D:$D, MATCH($A87, 'UA-normalized'!$A:$A, 0))-INDEX('UA-normalized'!$E:$E, MATCH($A87, 'UA-normalized'!$A:$A, 0))&gt;0, -(29*INDEX('UA-normalized'!$D:$D, MATCH($A87, 'UA-normalized'!$A:$A, 0))-INDEX('UA-normalized'!$E:$E, MATCH($A87, 'UA-normalized'!$A:$A, 0))), 0), 0))+(IFERROR(IF(29*INDEX('KZ-normalized'!$D:$D, MATCH($A87, 'KZ-normalized'!$A:$A, 0))-INDEX('KZ-normalized'!$E:$E, MATCH($A87, 'KZ-normalized'!$A:$A, 0))&gt;0, -(29*INDEX('KZ-normalized'!$D:$D, MATCH($A87, 'KZ-normalized'!$A:$A, 0))-INDEX('KZ-normalized'!$E:$E, MATCH($A87, 'KZ-normalized'!$A:$A, 0))), 0), 0))+(IFERROR(IF(29*INDEX('UZ-normalized'!$D:$D, MATCH($A87, 'UZ-normalized'!$A:$A, 0))-INDEX('UZ-normalized'!$E:$E, MATCH($A87, 'UZ-normalized'!$A:$A, 0))&gt;0, -(29*INDEX('UZ-normalized'!$D:$D, MATCH($A87, 'UZ-normalized'!$A:$A, 0))-INDEX('UZ-normalized'!$E:$E, MATCH($A87, 'UZ-normalized'!$A:$A, 0))), 0), 0)))</f>
        <v>0</v>
      </c>
      <c r="AR87" s="6">
        <f>MIN(0, N87+(IFERROR(IF(30*INDEX('UA-normalized'!$D:$D, MATCH($A87, 'UA-normalized'!$A:$A, 0))-INDEX('UA-normalized'!$E:$E, MATCH($A87, 'UA-normalized'!$A:$A, 0))&gt;0, -(30*INDEX('UA-normalized'!$D:$D, MATCH($A87, 'UA-normalized'!$A:$A, 0))-INDEX('UA-normalized'!$E:$E, MATCH($A87, 'UA-normalized'!$A:$A, 0))), 0), 0))+(IFERROR(IF(30*INDEX('KZ-normalized'!$D:$D, MATCH($A87, 'KZ-normalized'!$A:$A, 0))-INDEX('KZ-normalized'!$E:$E, MATCH($A87, 'KZ-normalized'!$A:$A, 0))&gt;0, -(30*INDEX('KZ-normalized'!$D:$D, MATCH($A87, 'KZ-normalized'!$A:$A, 0))-INDEX('KZ-normalized'!$E:$E, MATCH($A87, 'KZ-normalized'!$A:$A, 0))), 0), 0))+(IFERROR(IF(30*INDEX('UZ-normalized'!$D:$D, MATCH($A87, 'UZ-normalized'!$A:$A, 0))-INDEX('UZ-normalized'!$E:$E, MATCH($A87, 'UZ-normalized'!$A:$A, 0))&gt;0, -(30*INDEX('UZ-normalized'!$D:$D, MATCH($A87, 'UZ-normalized'!$A:$A, 0))-INDEX('UZ-normalized'!$E:$E, MATCH($A87, 'UZ-normalized'!$A:$A, 0))), 0), 0)))</f>
        <v>0</v>
      </c>
    </row>
    <row r="88" spans="1:44" x14ac:dyDescent="0.25">
      <c r="A88" s="8" t="s">
        <v>226</v>
      </c>
      <c r="B88" s="8" t="s">
        <v>180</v>
      </c>
      <c r="C88" s="8" t="s">
        <v>206</v>
      </c>
      <c r="D88" s="8" t="s">
        <v>227</v>
      </c>
      <c r="F88">
        <v>23</v>
      </c>
      <c r="G88">
        <v>-30</v>
      </c>
      <c r="N88">
        <f t="shared" si="1"/>
        <v>-7</v>
      </c>
      <c r="O88" s="6">
        <f>MIN(0, N88+(IFERROR(IF(1*INDEX('UA-normalized'!$D:$D, MATCH($A88, 'UA-normalized'!$A:$A, 0))-INDEX('UA-normalized'!$E:$E, MATCH($A88, 'UA-normalized'!$A:$A, 0))&gt;0, -(1*INDEX('UA-normalized'!$D:$D, MATCH($A88, 'UA-normalized'!$A:$A, 0))-INDEX('UA-normalized'!$E:$E, MATCH($A88, 'UA-normalized'!$A:$A, 0))), 0), 0))+(IFERROR(IF(1*INDEX('KZ-normalized'!$D:$D, MATCH($A88, 'KZ-normalized'!$A:$A, 0))-INDEX('KZ-normalized'!$E:$E, MATCH($A88, 'KZ-normalized'!$A:$A, 0))&gt;0, -(1*INDEX('KZ-normalized'!$D:$D, MATCH($A88, 'KZ-normalized'!$A:$A, 0))-INDEX('KZ-normalized'!$E:$E, MATCH($A88, 'KZ-normalized'!$A:$A, 0))), 0), 0))+(IFERROR(IF(1*INDEX('UZ-normalized'!$D:$D, MATCH($A88, 'UZ-normalized'!$A:$A, 0))-INDEX('UZ-normalized'!$E:$E, MATCH($A88, 'UZ-normalized'!$A:$A, 0))&gt;0, -(1*INDEX('UZ-normalized'!$D:$D, MATCH($A88, 'UZ-normalized'!$A:$A, 0))-INDEX('UZ-normalized'!$E:$E, MATCH($A88, 'UZ-normalized'!$A:$A, 0))), 0), 0)))</f>
        <v>-7</v>
      </c>
      <c r="P88" s="6">
        <f>MIN(0, N88+(IFERROR(IF(2*INDEX('UA-normalized'!$D:$D, MATCH($A88, 'UA-normalized'!$A:$A, 0))-INDEX('UA-normalized'!$E:$E, MATCH($A88, 'UA-normalized'!$A:$A, 0))&gt;0, -(2*INDEX('UA-normalized'!$D:$D, MATCH($A88, 'UA-normalized'!$A:$A, 0))-INDEX('UA-normalized'!$E:$E, MATCH($A88, 'UA-normalized'!$A:$A, 0))), 0), 0))+(IFERROR(IF(2*INDEX('KZ-normalized'!$D:$D, MATCH($A88, 'KZ-normalized'!$A:$A, 0))-INDEX('KZ-normalized'!$E:$E, MATCH($A88, 'KZ-normalized'!$A:$A, 0))&gt;0, -(2*INDEX('KZ-normalized'!$D:$D, MATCH($A88, 'KZ-normalized'!$A:$A, 0))-INDEX('KZ-normalized'!$E:$E, MATCH($A88, 'KZ-normalized'!$A:$A, 0))), 0), 0))+(IFERROR(IF(2*INDEX('UZ-normalized'!$D:$D, MATCH($A88, 'UZ-normalized'!$A:$A, 0))-INDEX('UZ-normalized'!$E:$E, MATCH($A88, 'UZ-normalized'!$A:$A, 0))&gt;0, -(2*INDEX('UZ-normalized'!$D:$D, MATCH($A88, 'UZ-normalized'!$A:$A, 0))-INDEX('UZ-normalized'!$E:$E, MATCH($A88, 'UZ-normalized'!$A:$A, 0))), 0), 0)))</f>
        <v>-7</v>
      </c>
      <c r="Q88" s="6">
        <f>MIN(0, N88+(IFERROR(IF(3*INDEX('UA-normalized'!$D:$D, MATCH($A88, 'UA-normalized'!$A:$A, 0))-INDEX('UA-normalized'!$E:$E, MATCH($A88, 'UA-normalized'!$A:$A, 0))&gt;0, -(3*INDEX('UA-normalized'!$D:$D, MATCH($A88, 'UA-normalized'!$A:$A, 0))-INDEX('UA-normalized'!$E:$E, MATCH($A88, 'UA-normalized'!$A:$A, 0))), 0), 0))+(IFERROR(IF(3*INDEX('KZ-normalized'!$D:$D, MATCH($A88, 'KZ-normalized'!$A:$A, 0))-INDEX('KZ-normalized'!$E:$E, MATCH($A88, 'KZ-normalized'!$A:$A, 0))&gt;0, -(3*INDEX('KZ-normalized'!$D:$D, MATCH($A88, 'KZ-normalized'!$A:$A, 0))-INDEX('KZ-normalized'!$E:$E, MATCH($A88, 'KZ-normalized'!$A:$A, 0))), 0), 0))+(IFERROR(IF(3*INDEX('UZ-normalized'!$D:$D, MATCH($A88, 'UZ-normalized'!$A:$A, 0))-INDEX('UZ-normalized'!$E:$E, MATCH($A88, 'UZ-normalized'!$A:$A, 0))&gt;0, -(3*INDEX('UZ-normalized'!$D:$D, MATCH($A88, 'UZ-normalized'!$A:$A, 0))-INDEX('UZ-normalized'!$E:$E, MATCH($A88, 'UZ-normalized'!$A:$A, 0))), 0), 0)))</f>
        <v>-7</v>
      </c>
      <c r="R88" s="6">
        <f>MIN(0, N88+(IFERROR(IF(4*INDEX('UA-normalized'!$D:$D, MATCH($A88, 'UA-normalized'!$A:$A, 0))-INDEX('UA-normalized'!$E:$E, MATCH($A88, 'UA-normalized'!$A:$A, 0))&gt;0, -(4*INDEX('UA-normalized'!$D:$D, MATCH($A88, 'UA-normalized'!$A:$A, 0))-INDEX('UA-normalized'!$E:$E, MATCH($A88, 'UA-normalized'!$A:$A, 0))), 0), 0))+(IFERROR(IF(4*INDEX('KZ-normalized'!$D:$D, MATCH($A88, 'KZ-normalized'!$A:$A, 0))-INDEX('KZ-normalized'!$E:$E, MATCH($A88, 'KZ-normalized'!$A:$A, 0))&gt;0, -(4*INDEX('KZ-normalized'!$D:$D, MATCH($A88, 'KZ-normalized'!$A:$A, 0))-INDEX('KZ-normalized'!$E:$E, MATCH($A88, 'KZ-normalized'!$A:$A, 0))), 0), 0))+(IFERROR(IF(4*INDEX('UZ-normalized'!$D:$D, MATCH($A88, 'UZ-normalized'!$A:$A, 0))-INDEX('UZ-normalized'!$E:$E, MATCH($A88, 'UZ-normalized'!$A:$A, 0))&gt;0, -(4*INDEX('UZ-normalized'!$D:$D, MATCH($A88, 'UZ-normalized'!$A:$A, 0))-INDEX('UZ-normalized'!$E:$E, MATCH($A88, 'UZ-normalized'!$A:$A, 0))), 0), 0)))</f>
        <v>-10</v>
      </c>
      <c r="S88" s="6">
        <f>MIN(0, N88+(IFERROR(IF(5*INDEX('UA-normalized'!$D:$D, MATCH($A88, 'UA-normalized'!$A:$A, 0))-INDEX('UA-normalized'!$E:$E, MATCH($A88, 'UA-normalized'!$A:$A, 0))&gt;0, -(5*INDEX('UA-normalized'!$D:$D, MATCH($A88, 'UA-normalized'!$A:$A, 0))-INDEX('UA-normalized'!$E:$E, MATCH($A88, 'UA-normalized'!$A:$A, 0))), 0), 0))+(IFERROR(IF(5*INDEX('KZ-normalized'!$D:$D, MATCH($A88, 'KZ-normalized'!$A:$A, 0))-INDEX('KZ-normalized'!$E:$E, MATCH($A88, 'KZ-normalized'!$A:$A, 0))&gt;0, -(5*INDEX('KZ-normalized'!$D:$D, MATCH($A88, 'KZ-normalized'!$A:$A, 0))-INDEX('KZ-normalized'!$E:$E, MATCH($A88, 'KZ-normalized'!$A:$A, 0))), 0), 0))+(IFERROR(IF(5*INDEX('UZ-normalized'!$D:$D, MATCH($A88, 'UZ-normalized'!$A:$A, 0))-INDEX('UZ-normalized'!$E:$E, MATCH($A88, 'UZ-normalized'!$A:$A, 0))&gt;0, -(5*INDEX('UZ-normalized'!$D:$D, MATCH($A88, 'UZ-normalized'!$A:$A, 0))-INDEX('UZ-normalized'!$E:$E, MATCH($A88, 'UZ-normalized'!$A:$A, 0))), 0), 0)))</f>
        <v>-19</v>
      </c>
      <c r="T88" s="6">
        <f>MIN(0, N88+(IFERROR(IF(6*INDEX('UA-normalized'!$D:$D, MATCH($A88, 'UA-normalized'!$A:$A, 0))-INDEX('UA-normalized'!$E:$E, MATCH($A88, 'UA-normalized'!$A:$A, 0))&gt;0, -(6*INDEX('UA-normalized'!$D:$D, MATCH($A88, 'UA-normalized'!$A:$A, 0))-INDEX('UA-normalized'!$E:$E, MATCH($A88, 'UA-normalized'!$A:$A, 0))), 0), 0))+(IFERROR(IF(6*INDEX('KZ-normalized'!$D:$D, MATCH($A88, 'KZ-normalized'!$A:$A, 0))-INDEX('KZ-normalized'!$E:$E, MATCH($A88, 'KZ-normalized'!$A:$A, 0))&gt;0, -(6*INDEX('KZ-normalized'!$D:$D, MATCH($A88, 'KZ-normalized'!$A:$A, 0))-INDEX('KZ-normalized'!$E:$E, MATCH($A88, 'KZ-normalized'!$A:$A, 0))), 0), 0))+(IFERROR(IF(6*INDEX('UZ-normalized'!$D:$D, MATCH($A88, 'UZ-normalized'!$A:$A, 0))-INDEX('UZ-normalized'!$E:$E, MATCH($A88, 'UZ-normalized'!$A:$A, 0))&gt;0, -(6*INDEX('UZ-normalized'!$D:$D, MATCH($A88, 'UZ-normalized'!$A:$A, 0))-INDEX('UZ-normalized'!$E:$E, MATCH($A88, 'UZ-normalized'!$A:$A, 0))), 0), 0)))</f>
        <v>-42</v>
      </c>
      <c r="U88" s="6">
        <f>MIN(0, N88+(IFERROR(IF(7*INDEX('UA-normalized'!$D:$D, MATCH($A88, 'UA-normalized'!$A:$A, 0))-INDEX('UA-normalized'!$E:$E, MATCH($A88, 'UA-normalized'!$A:$A, 0))&gt;0, -(7*INDEX('UA-normalized'!$D:$D, MATCH($A88, 'UA-normalized'!$A:$A, 0))-INDEX('UA-normalized'!$E:$E, MATCH($A88, 'UA-normalized'!$A:$A, 0))), 0), 0))+(IFERROR(IF(7*INDEX('KZ-normalized'!$D:$D, MATCH($A88, 'KZ-normalized'!$A:$A, 0))-INDEX('KZ-normalized'!$E:$E, MATCH($A88, 'KZ-normalized'!$A:$A, 0))&gt;0, -(7*INDEX('KZ-normalized'!$D:$D, MATCH($A88, 'KZ-normalized'!$A:$A, 0))-INDEX('KZ-normalized'!$E:$E, MATCH($A88, 'KZ-normalized'!$A:$A, 0))), 0), 0))+(IFERROR(IF(7*INDEX('UZ-normalized'!$D:$D, MATCH($A88, 'UZ-normalized'!$A:$A, 0))-INDEX('UZ-normalized'!$E:$E, MATCH($A88, 'UZ-normalized'!$A:$A, 0))&gt;0, -(7*INDEX('UZ-normalized'!$D:$D, MATCH($A88, 'UZ-normalized'!$A:$A, 0))-INDEX('UZ-normalized'!$E:$E, MATCH($A88, 'UZ-normalized'!$A:$A, 0))), 0), 0)))</f>
        <v>-66</v>
      </c>
      <c r="V88" s="6">
        <f>MIN(0, N88+(IFERROR(IF(8*INDEX('UA-normalized'!$D:$D, MATCH($A88, 'UA-normalized'!$A:$A, 0))-INDEX('UA-normalized'!$E:$E, MATCH($A88, 'UA-normalized'!$A:$A, 0))&gt;0, -(8*INDEX('UA-normalized'!$D:$D, MATCH($A88, 'UA-normalized'!$A:$A, 0))-INDEX('UA-normalized'!$E:$E, MATCH($A88, 'UA-normalized'!$A:$A, 0))), 0), 0))+(IFERROR(IF(8*INDEX('KZ-normalized'!$D:$D, MATCH($A88, 'KZ-normalized'!$A:$A, 0))-INDEX('KZ-normalized'!$E:$E, MATCH($A88, 'KZ-normalized'!$A:$A, 0))&gt;0, -(8*INDEX('KZ-normalized'!$D:$D, MATCH($A88, 'KZ-normalized'!$A:$A, 0))-INDEX('KZ-normalized'!$E:$E, MATCH($A88, 'KZ-normalized'!$A:$A, 0))), 0), 0))+(IFERROR(IF(8*INDEX('UZ-normalized'!$D:$D, MATCH($A88, 'UZ-normalized'!$A:$A, 0))-INDEX('UZ-normalized'!$E:$E, MATCH($A88, 'UZ-normalized'!$A:$A, 0))&gt;0, -(8*INDEX('UZ-normalized'!$D:$D, MATCH($A88, 'UZ-normalized'!$A:$A, 0))-INDEX('UZ-normalized'!$E:$E, MATCH($A88, 'UZ-normalized'!$A:$A, 0))), 0), 0)))</f>
        <v>-90</v>
      </c>
      <c r="W88" s="6">
        <f>MIN(0, N88+(IFERROR(IF(9*INDEX('UA-normalized'!$D:$D, MATCH($A88, 'UA-normalized'!$A:$A, 0))-INDEX('UA-normalized'!$E:$E, MATCH($A88, 'UA-normalized'!$A:$A, 0))&gt;0, -(9*INDEX('UA-normalized'!$D:$D, MATCH($A88, 'UA-normalized'!$A:$A, 0))-INDEX('UA-normalized'!$E:$E, MATCH($A88, 'UA-normalized'!$A:$A, 0))), 0), 0))+(IFERROR(IF(9*INDEX('KZ-normalized'!$D:$D, MATCH($A88, 'KZ-normalized'!$A:$A, 0))-INDEX('KZ-normalized'!$E:$E, MATCH($A88, 'KZ-normalized'!$A:$A, 0))&gt;0, -(9*INDEX('KZ-normalized'!$D:$D, MATCH($A88, 'KZ-normalized'!$A:$A, 0))-INDEX('KZ-normalized'!$E:$E, MATCH($A88, 'KZ-normalized'!$A:$A, 0))), 0), 0))+(IFERROR(IF(9*INDEX('UZ-normalized'!$D:$D, MATCH($A88, 'UZ-normalized'!$A:$A, 0))-INDEX('UZ-normalized'!$E:$E, MATCH($A88, 'UZ-normalized'!$A:$A, 0))&gt;0, -(9*INDEX('UZ-normalized'!$D:$D, MATCH($A88, 'UZ-normalized'!$A:$A, 0))-INDEX('UZ-normalized'!$E:$E, MATCH($A88, 'UZ-normalized'!$A:$A, 0))), 0), 0)))</f>
        <v>-114</v>
      </c>
      <c r="X88" s="6">
        <f>MIN(0, N88+(IFERROR(IF(10*INDEX('UA-normalized'!$D:$D, MATCH($A88, 'UA-normalized'!$A:$A, 0))-INDEX('UA-normalized'!$E:$E, MATCH($A88, 'UA-normalized'!$A:$A, 0))&gt;0, -(10*INDEX('UA-normalized'!$D:$D, MATCH($A88, 'UA-normalized'!$A:$A, 0))-INDEX('UA-normalized'!$E:$E, MATCH($A88, 'UA-normalized'!$A:$A, 0))), 0), 0))+(IFERROR(IF(10*INDEX('KZ-normalized'!$D:$D, MATCH($A88, 'KZ-normalized'!$A:$A, 0))-INDEX('KZ-normalized'!$E:$E, MATCH($A88, 'KZ-normalized'!$A:$A, 0))&gt;0, -(10*INDEX('KZ-normalized'!$D:$D, MATCH($A88, 'KZ-normalized'!$A:$A, 0))-INDEX('KZ-normalized'!$E:$E, MATCH($A88, 'KZ-normalized'!$A:$A, 0))), 0), 0))+(IFERROR(IF(10*INDEX('UZ-normalized'!$D:$D, MATCH($A88, 'UZ-normalized'!$A:$A, 0))-INDEX('UZ-normalized'!$E:$E, MATCH($A88, 'UZ-normalized'!$A:$A, 0))&gt;0, -(10*INDEX('UZ-normalized'!$D:$D, MATCH($A88, 'UZ-normalized'!$A:$A, 0))-INDEX('UZ-normalized'!$E:$E, MATCH($A88, 'UZ-normalized'!$A:$A, 0))), 0), 0)))</f>
        <v>-138</v>
      </c>
      <c r="Y88" s="6">
        <f>MIN(0, N88+(IFERROR(IF(11*INDEX('UA-normalized'!$D:$D, MATCH($A88, 'UA-normalized'!$A:$A, 0))-INDEX('UA-normalized'!$E:$E, MATCH($A88, 'UA-normalized'!$A:$A, 0))&gt;0, -(11*INDEX('UA-normalized'!$D:$D, MATCH($A88, 'UA-normalized'!$A:$A, 0))-INDEX('UA-normalized'!$E:$E, MATCH($A88, 'UA-normalized'!$A:$A, 0))), 0), 0))+(IFERROR(IF(11*INDEX('KZ-normalized'!$D:$D, MATCH($A88, 'KZ-normalized'!$A:$A, 0))-INDEX('KZ-normalized'!$E:$E, MATCH($A88, 'KZ-normalized'!$A:$A, 0))&gt;0, -(11*INDEX('KZ-normalized'!$D:$D, MATCH($A88, 'KZ-normalized'!$A:$A, 0))-INDEX('KZ-normalized'!$E:$E, MATCH($A88, 'KZ-normalized'!$A:$A, 0))), 0), 0))+(IFERROR(IF(11*INDEX('UZ-normalized'!$D:$D, MATCH($A88, 'UZ-normalized'!$A:$A, 0))-INDEX('UZ-normalized'!$E:$E, MATCH($A88, 'UZ-normalized'!$A:$A, 0))&gt;0, -(11*INDEX('UZ-normalized'!$D:$D, MATCH($A88, 'UZ-normalized'!$A:$A, 0))-INDEX('UZ-normalized'!$E:$E, MATCH($A88, 'UZ-normalized'!$A:$A, 0))), 0), 0)))</f>
        <v>-162</v>
      </c>
      <c r="Z88" s="6">
        <f>MIN(0, N88+(IFERROR(IF(12*INDEX('UA-normalized'!$D:$D, MATCH($A88, 'UA-normalized'!$A:$A, 0))-INDEX('UA-normalized'!$E:$E, MATCH($A88, 'UA-normalized'!$A:$A, 0))&gt;0, -(12*INDEX('UA-normalized'!$D:$D, MATCH($A88, 'UA-normalized'!$A:$A, 0))-INDEX('UA-normalized'!$E:$E, MATCH($A88, 'UA-normalized'!$A:$A, 0))), 0), 0))+(IFERROR(IF(12*INDEX('KZ-normalized'!$D:$D, MATCH($A88, 'KZ-normalized'!$A:$A, 0))-INDEX('KZ-normalized'!$E:$E, MATCH($A88, 'KZ-normalized'!$A:$A, 0))&gt;0, -(12*INDEX('KZ-normalized'!$D:$D, MATCH($A88, 'KZ-normalized'!$A:$A, 0))-INDEX('KZ-normalized'!$E:$E, MATCH($A88, 'KZ-normalized'!$A:$A, 0))), 0), 0))+(IFERROR(IF(12*INDEX('UZ-normalized'!$D:$D, MATCH($A88, 'UZ-normalized'!$A:$A, 0))-INDEX('UZ-normalized'!$E:$E, MATCH($A88, 'UZ-normalized'!$A:$A, 0))&gt;0, -(12*INDEX('UZ-normalized'!$D:$D, MATCH($A88, 'UZ-normalized'!$A:$A, 0))-INDEX('UZ-normalized'!$E:$E, MATCH($A88, 'UZ-normalized'!$A:$A, 0))), 0), 0)))</f>
        <v>-186</v>
      </c>
      <c r="AA88" s="6">
        <f>MIN(0, N88+(IFERROR(IF(13*INDEX('UA-normalized'!$D:$D, MATCH($A88, 'UA-normalized'!$A:$A, 0))-INDEX('UA-normalized'!$E:$E, MATCH($A88, 'UA-normalized'!$A:$A, 0))&gt;0, -(13*INDEX('UA-normalized'!$D:$D, MATCH($A88, 'UA-normalized'!$A:$A, 0))-INDEX('UA-normalized'!$E:$E, MATCH($A88, 'UA-normalized'!$A:$A, 0))), 0), 0))+(IFERROR(IF(13*INDEX('KZ-normalized'!$D:$D, MATCH($A88, 'KZ-normalized'!$A:$A, 0))-INDEX('KZ-normalized'!$E:$E, MATCH($A88, 'KZ-normalized'!$A:$A, 0))&gt;0, -(13*INDEX('KZ-normalized'!$D:$D, MATCH($A88, 'KZ-normalized'!$A:$A, 0))-INDEX('KZ-normalized'!$E:$E, MATCH($A88, 'KZ-normalized'!$A:$A, 0))), 0), 0))+(IFERROR(IF(13*INDEX('UZ-normalized'!$D:$D, MATCH($A88, 'UZ-normalized'!$A:$A, 0))-INDEX('UZ-normalized'!$E:$E, MATCH($A88, 'UZ-normalized'!$A:$A, 0))&gt;0, -(13*INDEX('UZ-normalized'!$D:$D, MATCH($A88, 'UZ-normalized'!$A:$A, 0))-INDEX('UZ-normalized'!$E:$E, MATCH($A88, 'UZ-normalized'!$A:$A, 0))), 0), 0)))</f>
        <v>-210</v>
      </c>
      <c r="AB88" s="6">
        <f>MIN(0, N88+(IFERROR(IF(14*INDEX('UA-normalized'!$D:$D, MATCH($A88, 'UA-normalized'!$A:$A, 0))-INDEX('UA-normalized'!$E:$E, MATCH($A88, 'UA-normalized'!$A:$A, 0))&gt;0, -(14*INDEX('UA-normalized'!$D:$D, MATCH($A88, 'UA-normalized'!$A:$A, 0))-INDEX('UA-normalized'!$E:$E, MATCH($A88, 'UA-normalized'!$A:$A, 0))), 0), 0))+(IFERROR(IF(14*INDEX('KZ-normalized'!$D:$D, MATCH($A88, 'KZ-normalized'!$A:$A, 0))-INDEX('KZ-normalized'!$E:$E, MATCH($A88, 'KZ-normalized'!$A:$A, 0))&gt;0, -(14*INDEX('KZ-normalized'!$D:$D, MATCH($A88, 'KZ-normalized'!$A:$A, 0))-INDEX('KZ-normalized'!$E:$E, MATCH($A88, 'KZ-normalized'!$A:$A, 0))), 0), 0))+(IFERROR(IF(14*INDEX('UZ-normalized'!$D:$D, MATCH($A88, 'UZ-normalized'!$A:$A, 0))-INDEX('UZ-normalized'!$E:$E, MATCH($A88, 'UZ-normalized'!$A:$A, 0))&gt;0, -(14*INDEX('UZ-normalized'!$D:$D, MATCH($A88, 'UZ-normalized'!$A:$A, 0))-INDEX('UZ-normalized'!$E:$E, MATCH($A88, 'UZ-normalized'!$A:$A, 0))), 0), 0)))</f>
        <v>-234</v>
      </c>
      <c r="AC88" s="6">
        <f>MIN(0, N88+(IFERROR(IF(15*INDEX('UA-normalized'!$D:$D, MATCH($A88, 'UA-normalized'!$A:$A, 0))-INDEX('UA-normalized'!$E:$E, MATCH($A88, 'UA-normalized'!$A:$A, 0))&gt;0, -(15*INDEX('UA-normalized'!$D:$D, MATCH($A88, 'UA-normalized'!$A:$A, 0))-INDEX('UA-normalized'!$E:$E, MATCH($A88, 'UA-normalized'!$A:$A, 0))), 0), 0))+(IFERROR(IF(15*INDEX('KZ-normalized'!$D:$D, MATCH($A88, 'KZ-normalized'!$A:$A, 0))-INDEX('KZ-normalized'!$E:$E, MATCH($A88, 'KZ-normalized'!$A:$A, 0))&gt;0, -(15*INDEX('KZ-normalized'!$D:$D, MATCH($A88, 'KZ-normalized'!$A:$A, 0))-INDEX('KZ-normalized'!$E:$E, MATCH($A88, 'KZ-normalized'!$A:$A, 0))), 0), 0))+(IFERROR(IF(15*INDEX('UZ-normalized'!$D:$D, MATCH($A88, 'UZ-normalized'!$A:$A, 0))-INDEX('UZ-normalized'!$E:$E, MATCH($A88, 'UZ-normalized'!$A:$A, 0))&gt;0, -(15*INDEX('UZ-normalized'!$D:$D, MATCH($A88, 'UZ-normalized'!$A:$A, 0))-INDEX('UZ-normalized'!$E:$E, MATCH($A88, 'UZ-normalized'!$A:$A, 0))), 0), 0)))</f>
        <v>-258</v>
      </c>
      <c r="AD88" s="6">
        <f>MIN(0, N88+(IFERROR(IF(16*INDEX('UA-normalized'!$D:$D, MATCH($A88, 'UA-normalized'!$A:$A, 0))-INDEX('UA-normalized'!$E:$E, MATCH($A88, 'UA-normalized'!$A:$A, 0))&gt;0, -(16*INDEX('UA-normalized'!$D:$D, MATCH($A88, 'UA-normalized'!$A:$A, 0))-INDEX('UA-normalized'!$E:$E, MATCH($A88, 'UA-normalized'!$A:$A, 0))), 0), 0))+(IFERROR(IF(16*INDEX('KZ-normalized'!$D:$D, MATCH($A88, 'KZ-normalized'!$A:$A, 0))-INDEX('KZ-normalized'!$E:$E, MATCH($A88, 'KZ-normalized'!$A:$A, 0))&gt;0, -(16*INDEX('KZ-normalized'!$D:$D, MATCH($A88, 'KZ-normalized'!$A:$A, 0))-INDEX('KZ-normalized'!$E:$E, MATCH($A88, 'KZ-normalized'!$A:$A, 0))), 0), 0))+(IFERROR(IF(16*INDEX('UZ-normalized'!$D:$D, MATCH($A88, 'UZ-normalized'!$A:$A, 0))-INDEX('UZ-normalized'!$E:$E, MATCH($A88, 'UZ-normalized'!$A:$A, 0))&gt;0, -(16*INDEX('UZ-normalized'!$D:$D, MATCH($A88, 'UZ-normalized'!$A:$A, 0))-INDEX('UZ-normalized'!$E:$E, MATCH($A88, 'UZ-normalized'!$A:$A, 0))), 0), 0)))</f>
        <v>-282</v>
      </c>
      <c r="AE88" s="6">
        <f>MIN(0, N88+(IFERROR(IF(17*INDEX('UA-normalized'!$D:$D, MATCH($A88, 'UA-normalized'!$A:$A, 0))-INDEX('UA-normalized'!$E:$E, MATCH($A88, 'UA-normalized'!$A:$A, 0))&gt;0, -(17*INDEX('UA-normalized'!$D:$D, MATCH($A88, 'UA-normalized'!$A:$A, 0))-INDEX('UA-normalized'!$E:$E, MATCH($A88, 'UA-normalized'!$A:$A, 0))), 0), 0))+(IFERROR(IF(17*INDEX('KZ-normalized'!$D:$D, MATCH($A88, 'KZ-normalized'!$A:$A, 0))-INDEX('KZ-normalized'!$E:$E, MATCH($A88, 'KZ-normalized'!$A:$A, 0))&gt;0, -(17*INDEX('KZ-normalized'!$D:$D, MATCH($A88, 'KZ-normalized'!$A:$A, 0))-INDEX('KZ-normalized'!$E:$E, MATCH($A88, 'KZ-normalized'!$A:$A, 0))), 0), 0))+(IFERROR(IF(17*INDEX('UZ-normalized'!$D:$D, MATCH($A88, 'UZ-normalized'!$A:$A, 0))-INDEX('UZ-normalized'!$E:$E, MATCH($A88, 'UZ-normalized'!$A:$A, 0))&gt;0, -(17*INDEX('UZ-normalized'!$D:$D, MATCH($A88, 'UZ-normalized'!$A:$A, 0))-INDEX('UZ-normalized'!$E:$E, MATCH($A88, 'UZ-normalized'!$A:$A, 0))), 0), 0)))</f>
        <v>-306</v>
      </c>
      <c r="AF88" s="6">
        <f>MIN(0, N88+(IFERROR(IF(18*INDEX('UA-normalized'!$D:$D, MATCH($A88, 'UA-normalized'!$A:$A, 0))-INDEX('UA-normalized'!$E:$E, MATCH($A88, 'UA-normalized'!$A:$A, 0))&gt;0, -(18*INDEX('UA-normalized'!$D:$D, MATCH($A88, 'UA-normalized'!$A:$A, 0))-INDEX('UA-normalized'!$E:$E, MATCH($A88, 'UA-normalized'!$A:$A, 0))), 0), 0))+(IFERROR(IF(18*INDEX('KZ-normalized'!$D:$D, MATCH($A88, 'KZ-normalized'!$A:$A, 0))-INDEX('KZ-normalized'!$E:$E, MATCH($A88, 'KZ-normalized'!$A:$A, 0))&gt;0, -(18*INDEX('KZ-normalized'!$D:$D, MATCH($A88, 'KZ-normalized'!$A:$A, 0))-INDEX('KZ-normalized'!$E:$E, MATCH($A88, 'KZ-normalized'!$A:$A, 0))), 0), 0))+(IFERROR(IF(18*INDEX('UZ-normalized'!$D:$D, MATCH($A88, 'UZ-normalized'!$A:$A, 0))-INDEX('UZ-normalized'!$E:$E, MATCH($A88, 'UZ-normalized'!$A:$A, 0))&gt;0, -(18*INDEX('UZ-normalized'!$D:$D, MATCH($A88, 'UZ-normalized'!$A:$A, 0))-INDEX('UZ-normalized'!$E:$E, MATCH($A88, 'UZ-normalized'!$A:$A, 0))), 0), 0)))</f>
        <v>-330</v>
      </c>
      <c r="AG88" s="6">
        <f>MIN(0, N88+(IFERROR(IF(19*INDEX('UA-normalized'!$D:$D, MATCH($A88, 'UA-normalized'!$A:$A, 0))-INDEX('UA-normalized'!$E:$E, MATCH($A88, 'UA-normalized'!$A:$A, 0))&gt;0, -(19*INDEX('UA-normalized'!$D:$D, MATCH($A88, 'UA-normalized'!$A:$A, 0))-INDEX('UA-normalized'!$E:$E, MATCH($A88, 'UA-normalized'!$A:$A, 0))), 0), 0))+(IFERROR(IF(19*INDEX('KZ-normalized'!$D:$D, MATCH($A88, 'KZ-normalized'!$A:$A, 0))-INDEX('KZ-normalized'!$E:$E, MATCH($A88, 'KZ-normalized'!$A:$A, 0))&gt;0, -(19*INDEX('KZ-normalized'!$D:$D, MATCH($A88, 'KZ-normalized'!$A:$A, 0))-INDEX('KZ-normalized'!$E:$E, MATCH($A88, 'KZ-normalized'!$A:$A, 0))), 0), 0))+(IFERROR(IF(19*INDEX('UZ-normalized'!$D:$D, MATCH($A88, 'UZ-normalized'!$A:$A, 0))-INDEX('UZ-normalized'!$E:$E, MATCH($A88, 'UZ-normalized'!$A:$A, 0))&gt;0, -(19*INDEX('UZ-normalized'!$D:$D, MATCH($A88, 'UZ-normalized'!$A:$A, 0))-INDEX('UZ-normalized'!$E:$E, MATCH($A88, 'UZ-normalized'!$A:$A, 0))), 0), 0)))</f>
        <v>-358</v>
      </c>
      <c r="AH88" s="6">
        <f>MIN(0, N88+(IFERROR(IF(20*INDEX('UA-normalized'!$D:$D, MATCH($A88, 'UA-normalized'!$A:$A, 0))-INDEX('UA-normalized'!$E:$E, MATCH($A88, 'UA-normalized'!$A:$A, 0))&gt;0, -(20*INDEX('UA-normalized'!$D:$D, MATCH($A88, 'UA-normalized'!$A:$A, 0))-INDEX('UA-normalized'!$E:$E, MATCH($A88, 'UA-normalized'!$A:$A, 0))), 0), 0))+(IFERROR(IF(20*INDEX('KZ-normalized'!$D:$D, MATCH($A88, 'KZ-normalized'!$A:$A, 0))-INDEX('KZ-normalized'!$E:$E, MATCH($A88, 'KZ-normalized'!$A:$A, 0))&gt;0, -(20*INDEX('KZ-normalized'!$D:$D, MATCH($A88, 'KZ-normalized'!$A:$A, 0))-INDEX('KZ-normalized'!$E:$E, MATCH($A88, 'KZ-normalized'!$A:$A, 0))), 0), 0))+(IFERROR(IF(20*INDEX('UZ-normalized'!$D:$D, MATCH($A88, 'UZ-normalized'!$A:$A, 0))-INDEX('UZ-normalized'!$E:$E, MATCH($A88, 'UZ-normalized'!$A:$A, 0))&gt;0, -(20*INDEX('UZ-normalized'!$D:$D, MATCH($A88, 'UZ-normalized'!$A:$A, 0))-INDEX('UZ-normalized'!$E:$E, MATCH($A88, 'UZ-normalized'!$A:$A, 0))), 0), 0)))</f>
        <v>-386</v>
      </c>
      <c r="AI88" s="6">
        <f>MIN(0, N88+(IFERROR(IF(21*INDEX('UA-normalized'!$D:$D, MATCH($A88, 'UA-normalized'!$A:$A, 0))-INDEX('UA-normalized'!$E:$E, MATCH($A88, 'UA-normalized'!$A:$A, 0))&gt;0, -(21*INDEX('UA-normalized'!$D:$D, MATCH($A88, 'UA-normalized'!$A:$A, 0))-INDEX('UA-normalized'!$E:$E, MATCH($A88, 'UA-normalized'!$A:$A, 0))), 0), 0))+(IFERROR(IF(21*INDEX('KZ-normalized'!$D:$D, MATCH($A88, 'KZ-normalized'!$A:$A, 0))-INDEX('KZ-normalized'!$E:$E, MATCH($A88, 'KZ-normalized'!$A:$A, 0))&gt;0, -(21*INDEX('KZ-normalized'!$D:$D, MATCH($A88, 'KZ-normalized'!$A:$A, 0))-INDEX('KZ-normalized'!$E:$E, MATCH($A88, 'KZ-normalized'!$A:$A, 0))), 0), 0))+(IFERROR(IF(21*INDEX('UZ-normalized'!$D:$D, MATCH($A88, 'UZ-normalized'!$A:$A, 0))-INDEX('UZ-normalized'!$E:$E, MATCH($A88, 'UZ-normalized'!$A:$A, 0))&gt;0, -(21*INDEX('UZ-normalized'!$D:$D, MATCH($A88, 'UZ-normalized'!$A:$A, 0))-INDEX('UZ-normalized'!$E:$E, MATCH($A88, 'UZ-normalized'!$A:$A, 0))), 0), 0)))</f>
        <v>-414</v>
      </c>
      <c r="AJ88" s="6">
        <f>MIN(0, N88+(IFERROR(IF(22*INDEX('UA-normalized'!$D:$D, MATCH($A88, 'UA-normalized'!$A:$A, 0))-INDEX('UA-normalized'!$E:$E, MATCH($A88, 'UA-normalized'!$A:$A, 0))&gt;0, -(22*INDEX('UA-normalized'!$D:$D, MATCH($A88, 'UA-normalized'!$A:$A, 0))-INDEX('UA-normalized'!$E:$E, MATCH($A88, 'UA-normalized'!$A:$A, 0))), 0), 0))+(IFERROR(IF(22*INDEX('KZ-normalized'!$D:$D, MATCH($A88, 'KZ-normalized'!$A:$A, 0))-INDEX('KZ-normalized'!$E:$E, MATCH($A88, 'KZ-normalized'!$A:$A, 0))&gt;0, -(22*INDEX('KZ-normalized'!$D:$D, MATCH($A88, 'KZ-normalized'!$A:$A, 0))-INDEX('KZ-normalized'!$E:$E, MATCH($A88, 'KZ-normalized'!$A:$A, 0))), 0), 0))+(IFERROR(IF(22*INDEX('UZ-normalized'!$D:$D, MATCH($A88, 'UZ-normalized'!$A:$A, 0))-INDEX('UZ-normalized'!$E:$E, MATCH($A88, 'UZ-normalized'!$A:$A, 0))&gt;0, -(22*INDEX('UZ-normalized'!$D:$D, MATCH($A88, 'UZ-normalized'!$A:$A, 0))-INDEX('UZ-normalized'!$E:$E, MATCH($A88, 'UZ-normalized'!$A:$A, 0))), 0), 0)))</f>
        <v>-442</v>
      </c>
      <c r="AK88" s="6">
        <f>MIN(0, N88+(IFERROR(IF(23*INDEX('UA-normalized'!$D:$D, MATCH($A88, 'UA-normalized'!$A:$A, 0))-INDEX('UA-normalized'!$E:$E, MATCH($A88, 'UA-normalized'!$A:$A, 0))&gt;0, -(23*INDEX('UA-normalized'!$D:$D, MATCH($A88, 'UA-normalized'!$A:$A, 0))-INDEX('UA-normalized'!$E:$E, MATCH($A88, 'UA-normalized'!$A:$A, 0))), 0), 0))+(IFERROR(IF(23*INDEX('KZ-normalized'!$D:$D, MATCH($A88, 'KZ-normalized'!$A:$A, 0))-INDEX('KZ-normalized'!$E:$E, MATCH($A88, 'KZ-normalized'!$A:$A, 0))&gt;0, -(23*INDEX('KZ-normalized'!$D:$D, MATCH($A88, 'KZ-normalized'!$A:$A, 0))-INDEX('KZ-normalized'!$E:$E, MATCH($A88, 'KZ-normalized'!$A:$A, 0))), 0), 0))+(IFERROR(IF(23*INDEX('UZ-normalized'!$D:$D, MATCH($A88, 'UZ-normalized'!$A:$A, 0))-INDEX('UZ-normalized'!$E:$E, MATCH($A88, 'UZ-normalized'!$A:$A, 0))&gt;0, -(23*INDEX('UZ-normalized'!$D:$D, MATCH($A88, 'UZ-normalized'!$A:$A, 0))-INDEX('UZ-normalized'!$E:$E, MATCH($A88, 'UZ-normalized'!$A:$A, 0))), 0), 0)))</f>
        <v>-470</v>
      </c>
      <c r="AL88" s="6">
        <f>MIN(0, N88+(IFERROR(IF(24*INDEX('UA-normalized'!$D:$D, MATCH($A88, 'UA-normalized'!$A:$A, 0))-INDEX('UA-normalized'!$E:$E, MATCH($A88, 'UA-normalized'!$A:$A, 0))&gt;0, -(24*INDEX('UA-normalized'!$D:$D, MATCH($A88, 'UA-normalized'!$A:$A, 0))-INDEX('UA-normalized'!$E:$E, MATCH($A88, 'UA-normalized'!$A:$A, 0))), 0), 0))+(IFERROR(IF(24*INDEX('KZ-normalized'!$D:$D, MATCH($A88, 'KZ-normalized'!$A:$A, 0))-INDEX('KZ-normalized'!$E:$E, MATCH($A88, 'KZ-normalized'!$A:$A, 0))&gt;0, -(24*INDEX('KZ-normalized'!$D:$D, MATCH($A88, 'KZ-normalized'!$A:$A, 0))-INDEX('KZ-normalized'!$E:$E, MATCH($A88, 'KZ-normalized'!$A:$A, 0))), 0), 0))+(IFERROR(IF(24*INDEX('UZ-normalized'!$D:$D, MATCH($A88, 'UZ-normalized'!$A:$A, 0))-INDEX('UZ-normalized'!$E:$E, MATCH($A88, 'UZ-normalized'!$A:$A, 0))&gt;0, -(24*INDEX('UZ-normalized'!$D:$D, MATCH($A88, 'UZ-normalized'!$A:$A, 0))-INDEX('UZ-normalized'!$E:$E, MATCH($A88, 'UZ-normalized'!$A:$A, 0))), 0), 0)))</f>
        <v>-498</v>
      </c>
      <c r="AM88" s="6">
        <f>MIN(0, N88+(IFERROR(IF(25*INDEX('UA-normalized'!$D:$D, MATCH($A88, 'UA-normalized'!$A:$A, 0))-INDEX('UA-normalized'!$E:$E, MATCH($A88, 'UA-normalized'!$A:$A, 0))&gt;0, -(25*INDEX('UA-normalized'!$D:$D, MATCH($A88, 'UA-normalized'!$A:$A, 0))-INDEX('UA-normalized'!$E:$E, MATCH($A88, 'UA-normalized'!$A:$A, 0))), 0), 0))+(IFERROR(IF(25*INDEX('KZ-normalized'!$D:$D, MATCH($A88, 'KZ-normalized'!$A:$A, 0))-INDEX('KZ-normalized'!$E:$E, MATCH($A88, 'KZ-normalized'!$A:$A, 0))&gt;0, -(25*INDEX('KZ-normalized'!$D:$D, MATCH($A88, 'KZ-normalized'!$A:$A, 0))-INDEX('KZ-normalized'!$E:$E, MATCH($A88, 'KZ-normalized'!$A:$A, 0))), 0), 0))+(IFERROR(IF(25*INDEX('UZ-normalized'!$D:$D, MATCH($A88, 'UZ-normalized'!$A:$A, 0))-INDEX('UZ-normalized'!$E:$E, MATCH($A88, 'UZ-normalized'!$A:$A, 0))&gt;0, -(25*INDEX('UZ-normalized'!$D:$D, MATCH($A88, 'UZ-normalized'!$A:$A, 0))-INDEX('UZ-normalized'!$E:$E, MATCH($A88, 'UZ-normalized'!$A:$A, 0))), 0), 0)))</f>
        <v>-526</v>
      </c>
      <c r="AN88" s="6">
        <f>MIN(0, N88+(IFERROR(IF(26*INDEX('UA-normalized'!$D:$D, MATCH($A88, 'UA-normalized'!$A:$A, 0))-INDEX('UA-normalized'!$E:$E, MATCH($A88, 'UA-normalized'!$A:$A, 0))&gt;0, -(26*INDEX('UA-normalized'!$D:$D, MATCH($A88, 'UA-normalized'!$A:$A, 0))-INDEX('UA-normalized'!$E:$E, MATCH($A88, 'UA-normalized'!$A:$A, 0))), 0), 0))+(IFERROR(IF(26*INDEX('KZ-normalized'!$D:$D, MATCH($A88, 'KZ-normalized'!$A:$A, 0))-INDEX('KZ-normalized'!$E:$E, MATCH($A88, 'KZ-normalized'!$A:$A, 0))&gt;0, -(26*INDEX('KZ-normalized'!$D:$D, MATCH($A88, 'KZ-normalized'!$A:$A, 0))-INDEX('KZ-normalized'!$E:$E, MATCH($A88, 'KZ-normalized'!$A:$A, 0))), 0), 0))+(IFERROR(IF(26*INDEX('UZ-normalized'!$D:$D, MATCH($A88, 'UZ-normalized'!$A:$A, 0))-INDEX('UZ-normalized'!$E:$E, MATCH($A88, 'UZ-normalized'!$A:$A, 0))&gt;0, -(26*INDEX('UZ-normalized'!$D:$D, MATCH($A88, 'UZ-normalized'!$A:$A, 0))-INDEX('UZ-normalized'!$E:$E, MATCH($A88, 'UZ-normalized'!$A:$A, 0))), 0), 0)))</f>
        <v>-554</v>
      </c>
      <c r="AO88" s="6">
        <f>MIN(0, N88+(IFERROR(IF(27*INDEX('UA-normalized'!$D:$D, MATCH($A88, 'UA-normalized'!$A:$A, 0))-INDEX('UA-normalized'!$E:$E, MATCH($A88, 'UA-normalized'!$A:$A, 0))&gt;0, -(27*INDEX('UA-normalized'!$D:$D, MATCH($A88, 'UA-normalized'!$A:$A, 0))-INDEX('UA-normalized'!$E:$E, MATCH($A88, 'UA-normalized'!$A:$A, 0))), 0), 0))+(IFERROR(IF(27*INDEX('KZ-normalized'!$D:$D, MATCH($A88, 'KZ-normalized'!$A:$A, 0))-INDEX('KZ-normalized'!$E:$E, MATCH($A88, 'KZ-normalized'!$A:$A, 0))&gt;0, -(27*INDEX('KZ-normalized'!$D:$D, MATCH($A88, 'KZ-normalized'!$A:$A, 0))-INDEX('KZ-normalized'!$E:$E, MATCH($A88, 'KZ-normalized'!$A:$A, 0))), 0), 0))+(IFERROR(IF(27*INDEX('UZ-normalized'!$D:$D, MATCH($A88, 'UZ-normalized'!$A:$A, 0))-INDEX('UZ-normalized'!$E:$E, MATCH($A88, 'UZ-normalized'!$A:$A, 0))&gt;0, -(27*INDEX('UZ-normalized'!$D:$D, MATCH($A88, 'UZ-normalized'!$A:$A, 0))-INDEX('UZ-normalized'!$E:$E, MATCH($A88, 'UZ-normalized'!$A:$A, 0))), 0), 0)))</f>
        <v>-582</v>
      </c>
      <c r="AP88" s="6">
        <f>MIN(0, N88+(IFERROR(IF(28*INDEX('UA-normalized'!$D:$D, MATCH($A88, 'UA-normalized'!$A:$A, 0))-INDEX('UA-normalized'!$E:$E, MATCH($A88, 'UA-normalized'!$A:$A, 0))&gt;0, -(28*INDEX('UA-normalized'!$D:$D, MATCH($A88, 'UA-normalized'!$A:$A, 0))-INDEX('UA-normalized'!$E:$E, MATCH($A88, 'UA-normalized'!$A:$A, 0))), 0), 0))+(IFERROR(IF(28*INDEX('KZ-normalized'!$D:$D, MATCH($A88, 'KZ-normalized'!$A:$A, 0))-INDEX('KZ-normalized'!$E:$E, MATCH($A88, 'KZ-normalized'!$A:$A, 0))&gt;0, -(28*INDEX('KZ-normalized'!$D:$D, MATCH($A88, 'KZ-normalized'!$A:$A, 0))-INDEX('KZ-normalized'!$E:$E, MATCH($A88, 'KZ-normalized'!$A:$A, 0))), 0), 0))+(IFERROR(IF(28*INDEX('UZ-normalized'!$D:$D, MATCH($A88, 'UZ-normalized'!$A:$A, 0))-INDEX('UZ-normalized'!$E:$E, MATCH($A88, 'UZ-normalized'!$A:$A, 0))&gt;0, -(28*INDEX('UZ-normalized'!$D:$D, MATCH($A88, 'UZ-normalized'!$A:$A, 0))-INDEX('UZ-normalized'!$E:$E, MATCH($A88, 'UZ-normalized'!$A:$A, 0))), 0), 0)))</f>
        <v>-610</v>
      </c>
      <c r="AQ88" s="6">
        <f>MIN(0, N88+(IFERROR(IF(29*INDEX('UA-normalized'!$D:$D, MATCH($A88, 'UA-normalized'!$A:$A, 0))-INDEX('UA-normalized'!$E:$E, MATCH($A88, 'UA-normalized'!$A:$A, 0))&gt;0, -(29*INDEX('UA-normalized'!$D:$D, MATCH($A88, 'UA-normalized'!$A:$A, 0))-INDEX('UA-normalized'!$E:$E, MATCH($A88, 'UA-normalized'!$A:$A, 0))), 0), 0))+(IFERROR(IF(29*INDEX('KZ-normalized'!$D:$D, MATCH($A88, 'KZ-normalized'!$A:$A, 0))-INDEX('KZ-normalized'!$E:$E, MATCH($A88, 'KZ-normalized'!$A:$A, 0))&gt;0, -(29*INDEX('KZ-normalized'!$D:$D, MATCH($A88, 'KZ-normalized'!$A:$A, 0))-INDEX('KZ-normalized'!$E:$E, MATCH($A88, 'KZ-normalized'!$A:$A, 0))), 0), 0))+(IFERROR(IF(29*INDEX('UZ-normalized'!$D:$D, MATCH($A88, 'UZ-normalized'!$A:$A, 0))-INDEX('UZ-normalized'!$E:$E, MATCH($A88, 'UZ-normalized'!$A:$A, 0))&gt;0, -(29*INDEX('UZ-normalized'!$D:$D, MATCH($A88, 'UZ-normalized'!$A:$A, 0))-INDEX('UZ-normalized'!$E:$E, MATCH($A88, 'UZ-normalized'!$A:$A, 0))), 0), 0)))</f>
        <v>-638</v>
      </c>
      <c r="AR88" s="6">
        <f>MIN(0, N88+(IFERROR(IF(30*INDEX('UA-normalized'!$D:$D, MATCH($A88, 'UA-normalized'!$A:$A, 0))-INDEX('UA-normalized'!$E:$E, MATCH($A88, 'UA-normalized'!$A:$A, 0))&gt;0, -(30*INDEX('UA-normalized'!$D:$D, MATCH($A88, 'UA-normalized'!$A:$A, 0))-INDEX('UA-normalized'!$E:$E, MATCH($A88, 'UA-normalized'!$A:$A, 0))), 0), 0))+(IFERROR(IF(30*INDEX('KZ-normalized'!$D:$D, MATCH($A88, 'KZ-normalized'!$A:$A, 0))-INDEX('KZ-normalized'!$E:$E, MATCH($A88, 'KZ-normalized'!$A:$A, 0))&gt;0, -(30*INDEX('KZ-normalized'!$D:$D, MATCH($A88, 'KZ-normalized'!$A:$A, 0))-INDEX('KZ-normalized'!$E:$E, MATCH($A88, 'KZ-normalized'!$A:$A, 0))), 0), 0))+(IFERROR(IF(30*INDEX('UZ-normalized'!$D:$D, MATCH($A88, 'UZ-normalized'!$A:$A, 0))-INDEX('UZ-normalized'!$E:$E, MATCH($A88, 'UZ-normalized'!$A:$A, 0))&gt;0, -(30*INDEX('UZ-normalized'!$D:$D, MATCH($A88, 'UZ-normalized'!$A:$A, 0))-INDEX('UZ-normalized'!$E:$E, MATCH($A88, 'UZ-normalized'!$A:$A, 0))), 0), 0)))</f>
        <v>-666</v>
      </c>
    </row>
    <row r="89" spans="1:44" x14ac:dyDescent="0.25">
      <c r="A89" s="8" t="s">
        <v>228</v>
      </c>
      <c r="B89" s="8" t="s">
        <v>180</v>
      </c>
      <c r="C89" s="8" t="s">
        <v>206</v>
      </c>
      <c r="D89" s="8" t="s">
        <v>229</v>
      </c>
      <c r="F89">
        <v>50</v>
      </c>
      <c r="N89">
        <f t="shared" si="1"/>
        <v>50</v>
      </c>
      <c r="O89" s="6">
        <f>MIN(0, N89+(IFERROR(IF(1*INDEX('UA-normalized'!$D:$D, MATCH($A89, 'UA-normalized'!$A:$A, 0))-INDEX('UA-normalized'!$E:$E, MATCH($A89, 'UA-normalized'!$A:$A, 0))&gt;0, -(1*INDEX('UA-normalized'!$D:$D, MATCH($A89, 'UA-normalized'!$A:$A, 0))-INDEX('UA-normalized'!$E:$E, MATCH($A89, 'UA-normalized'!$A:$A, 0))), 0), 0))+(IFERROR(IF(1*INDEX('KZ-normalized'!$D:$D, MATCH($A89, 'KZ-normalized'!$A:$A, 0))-INDEX('KZ-normalized'!$E:$E, MATCH($A89, 'KZ-normalized'!$A:$A, 0))&gt;0, -(1*INDEX('KZ-normalized'!$D:$D, MATCH($A89, 'KZ-normalized'!$A:$A, 0))-INDEX('KZ-normalized'!$E:$E, MATCH($A89, 'KZ-normalized'!$A:$A, 0))), 0), 0))+(IFERROR(IF(1*INDEX('UZ-normalized'!$D:$D, MATCH($A89, 'UZ-normalized'!$A:$A, 0))-INDEX('UZ-normalized'!$E:$E, MATCH($A89, 'UZ-normalized'!$A:$A, 0))&gt;0, -(1*INDEX('UZ-normalized'!$D:$D, MATCH($A89, 'UZ-normalized'!$A:$A, 0))-INDEX('UZ-normalized'!$E:$E, MATCH($A89, 'UZ-normalized'!$A:$A, 0))), 0), 0)))</f>
        <v>0</v>
      </c>
      <c r="P89" s="6">
        <f>MIN(0, N89+(IFERROR(IF(2*INDEX('UA-normalized'!$D:$D, MATCH($A89, 'UA-normalized'!$A:$A, 0))-INDEX('UA-normalized'!$E:$E, MATCH($A89, 'UA-normalized'!$A:$A, 0))&gt;0, -(2*INDEX('UA-normalized'!$D:$D, MATCH($A89, 'UA-normalized'!$A:$A, 0))-INDEX('UA-normalized'!$E:$E, MATCH($A89, 'UA-normalized'!$A:$A, 0))), 0), 0))+(IFERROR(IF(2*INDEX('KZ-normalized'!$D:$D, MATCH($A89, 'KZ-normalized'!$A:$A, 0))-INDEX('KZ-normalized'!$E:$E, MATCH($A89, 'KZ-normalized'!$A:$A, 0))&gt;0, -(2*INDEX('KZ-normalized'!$D:$D, MATCH($A89, 'KZ-normalized'!$A:$A, 0))-INDEX('KZ-normalized'!$E:$E, MATCH($A89, 'KZ-normalized'!$A:$A, 0))), 0), 0))+(IFERROR(IF(2*INDEX('UZ-normalized'!$D:$D, MATCH($A89, 'UZ-normalized'!$A:$A, 0))-INDEX('UZ-normalized'!$E:$E, MATCH($A89, 'UZ-normalized'!$A:$A, 0))&gt;0, -(2*INDEX('UZ-normalized'!$D:$D, MATCH($A89, 'UZ-normalized'!$A:$A, 0))-INDEX('UZ-normalized'!$E:$E, MATCH($A89, 'UZ-normalized'!$A:$A, 0))), 0), 0)))</f>
        <v>0</v>
      </c>
      <c r="Q89" s="6">
        <f>MIN(0, N89+(IFERROR(IF(3*INDEX('UA-normalized'!$D:$D, MATCH($A89, 'UA-normalized'!$A:$A, 0))-INDEX('UA-normalized'!$E:$E, MATCH($A89, 'UA-normalized'!$A:$A, 0))&gt;0, -(3*INDEX('UA-normalized'!$D:$D, MATCH($A89, 'UA-normalized'!$A:$A, 0))-INDEX('UA-normalized'!$E:$E, MATCH($A89, 'UA-normalized'!$A:$A, 0))), 0), 0))+(IFERROR(IF(3*INDEX('KZ-normalized'!$D:$D, MATCH($A89, 'KZ-normalized'!$A:$A, 0))-INDEX('KZ-normalized'!$E:$E, MATCH($A89, 'KZ-normalized'!$A:$A, 0))&gt;0, -(3*INDEX('KZ-normalized'!$D:$D, MATCH($A89, 'KZ-normalized'!$A:$A, 0))-INDEX('KZ-normalized'!$E:$E, MATCH($A89, 'KZ-normalized'!$A:$A, 0))), 0), 0))+(IFERROR(IF(3*INDEX('UZ-normalized'!$D:$D, MATCH($A89, 'UZ-normalized'!$A:$A, 0))-INDEX('UZ-normalized'!$E:$E, MATCH($A89, 'UZ-normalized'!$A:$A, 0))&gt;0, -(3*INDEX('UZ-normalized'!$D:$D, MATCH($A89, 'UZ-normalized'!$A:$A, 0))-INDEX('UZ-normalized'!$E:$E, MATCH($A89, 'UZ-normalized'!$A:$A, 0))), 0), 0)))</f>
        <v>0</v>
      </c>
      <c r="R89" s="6">
        <f>MIN(0, N89+(IFERROR(IF(4*INDEX('UA-normalized'!$D:$D, MATCH($A89, 'UA-normalized'!$A:$A, 0))-INDEX('UA-normalized'!$E:$E, MATCH($A89, 'UA-normalized'!$A:$A, 0))&gt;0, -(4*INDEX('UA-normalized'!$D:$D, MATCH($A89, 'UA-normalized'!$A:$A, 0))-INDEX('UA-normalized'!$E:$E, MATCH($A89, 'UA-normalized'!$A:$A, 0))), 0), 0))+(IFERROR(IF(4*INDEX('KZ-normalized'!$D:$D, MATCH($A89, 'KZ-normalized'!$A:$A, 0))-INDEX('KZ-normalized'!$E:$E, MATCH($A89, 'KZ-normalized'!$A:$A, 0))&gt;0, -(4*INDEX('KZ-normalized'!$D:$D, MATCH($A89, 'KZ-normalized'!$A:$A, 0))-INDEX('KZ-normalized'!$E:$E, MATCH($A89, 'KZ-normalized'!$A:$A, 0))), 0), 0))+(IFERROR(IF(4*INDEX('UZ-normalized'!$D:$D, MATCH($A89, 'UZ-normalized'!$A:$A, 0))-INDEX('UZ-normalized'!$E:$E, MATCH($A89, 'UZ-normalized'!$A:$A, 0))&gt;0, -(4*INDEX('UZ-normalized'!$D:$D, MATCH($A89, 'UZ-normalized'!$A:$A, 0))-INDEX('UZ-normalized'!$E:$E, MATCH($A89, 'UZ-normalized'!$A:$A, 0))), 0), 0)))</f>
        <v>0</v>
      </c>
      <c r="S89" s="6">
        <f>MIN(0, N89+(IFERROR(IF(5*INDEX('UA-normalized'!$D:$D, MATCH($A89, 'UA-normalized'!$A:$A, 0))-INDEX('UA-normalized'!$E:$E, MATCH($A89, 'UA-normalized'!$A:$A, 0))&gt;0, -(5*INDEX('UA-normalized'!$D:$D, MATCH($A89, 'UA-normalized'!$A:$A, 0))-INDEX('UA-normalized'!$E:$E, MATCH($A89, 'UA-normalized'!$A:$A, 0))), 0), 0))+(IFERROR(IF(5*INDEX('KZ-normalized'!$D:$D, MATCH($A89, 'KZ-normalized'!$A:$A, 0))-INDEX('KZ-normalized'!$E:$E, MATCH($A89, 'KZ-normalized'!$A:$A, 0))&gt;0, -(5*INDEX('KZ-normalized'!$D:$D, MATCH($A89, 'KZ-normalized'!$A:$A, 0))-INDEX('KZ-normalized'!$E:$E, MATCH($A89, 'KZ-normalized'!$A:$A, 0))), 0), 0))+(IFERROR(IF(5*INDEX('UZ-normalized'!$D:$D, MATCH($A89, 'UZ-normalized'!$A:$A, 0))-INDEX('UZ-normalized'!$E:$E, MATCH($A89, 'UZ-normalized'!$A:$A, 0))&gt;0, -(5*INDEX('UZ-normalized'!$D:$D, MATCH($A89, 'UZ-normalized'!$A:$A, 0))-INDEX('UZ-normalized'!$E:$E, MATCH($A89, 'UZ-normalized'!$A:$A, 0))), 0), 0)))</f>
        <v>0</v>
      </c>
      <c r="T89" s="6">
        <f>MIN(0, N89+(IFERROR(IF(6*INDEX('UA-normalized'!$D:$D, MATCH($A89, 'UA-normalized'!$A:$A, 0))-INDEX('UA-normalized'!$E:$E, MATCH($A89, 'UA-normalized'!$A:$A, 0))&gt;0, -(6*INDEX('UA-normalized'!$D:$D, MATCH($A89, 'UA-normalized'!$A:$A, 0))-INDEX('UA-normalized'!$E:$E, MATCH($A89, 'UA-normalized'!$A:$A, 0))), 0), 0))+(IFERROR(IF(6*INDEX('KZ-normalized'!$D:$D, MATCH($A89, 'KZ-normalized'!$A:$A, 0))-INDEX('KZ-normalized'!$E:$E, MATCH($A89, 'KZ-normalized'!$A:$A, 0))&gt;0, -(6*INDEX('KZ-normalized'!$D:$D, MATCH($A89, 'KZ-normalized'!$A:$A, 0))-INDEX('KZ-normalized'!$E:$E, MATCH($A89, 'KZ-normalized'!$A:$A, 0))), 0), 0))+(IFERROR(IF(6*INDEX('UZ-normalized'!$D:$D, MATCH($A89, 'UZ-normalized'!$A:$A, 0))-INDEX('UZ-normalized'!$E:$E, MATCH($A89, 'UZ-normalized'!$A:$A, 0))&gt;0, -(6*INDEX('UZ-normalized'!$D:$D, MATCH($A89, 'UZ-normalized'!$A:$A, 0))-INDEX('UZ-normalized'!$E:$E, MATCH($A89, 'UZ-normalized'!$A:$A, 0))), 0), 0)))</f>
        <v>0</v>
      </c>
      <c r="U89" s="6">
        <f>MIN(0, N89+(IFERROR(IF(7*INDEX('UA-normalized'!$D:$D, MATCH($A89, 'UA-normalized'!$A:$A, 0))-INDEX('UA-normalized'!$E:$E, MATCH($A89, 'UA-normalized'!$A:$A, 0))&gt;0, -(7*INDEX('UA-normalized'!$D:$D, MATCH($A89, 'UA-normalized'!$A:$A, 0))-INDEX('UA-normalized'!$E:$E, MATCH($A89, 'UA-normalized'!$A:$A, 0))), 0), 0))+(IFERROR(IF(7*INDEX('KZ-normalized'!$D:$D, MATCH($A89, 'KZ-normalized'!$A:$A, 0))-INDEX('KZ-normalized'!$E:$E, MATCH($A89, 'KZ-normalized'!$A:$A, 0))&gt;0, -(7*INDEX('KZ-normalized'!$D:$D, MATCH($A89, 'KZ-normalized'!$A:$A, 0))-INDEX('KZ-normalized'!$E:$E, MATCH($A89, 'KZ-normalized'!$A:$A, 0))), 0), 0))+(IFERROR(IF(7*INDEX('UZ-normalized'!$D:$D, MATCH($A89, 'UZ-normalized'!$A:$A, 0))-INDEX('UZ-normalized'!$E:$E, MATCH($A89, 'UZ-normalized'!$A:$A, 0))&gt;0, -(7*INDEX('UZ-normalized'!$D:$D, MATCH($A89, 'UZ-normalized'!$A:$A, 0))-INDEX('UZ-normalized'!$E:$E, MATCH($A89, 'UZ-normalized'!$A:$A, 0))), 0), 0)))</f>
        <v>0</v>
      </c>
      <c r="V89" s="6">
        <f>MIN(0, N89+(IFERROR(IF(8*INDEX('UA-normalized'!$D:$D, MATCH($A89, 'UA-normalized'!$A:$A, 0))-INDEX('UA-normalized'!$E:$E, MATCH($A89, 'UA-normalized'!$A:$A, 0))&gt;0, -(8*INDEX('UA-normalized'!$D:$D, MATCH($A89, 'UA-normalized'!$A:$A, 0))-INDEX('UA-normalized'!$E:$E, MATCH($A89, 'UA-normalized'!$A:$A, 0))), 0), 0))+(IFERROR(IF(8*INDEX('KZ-normalized'!$D:$D, MATCH($A89, 'KZ-normalized'!$A:$A, 0))-INDEX('KZ-normalized'!$E:$E, MATCH($A89, 'KZ-normalized'!$A:$A, 0))&gt;0, -(8*INDEX('KZ-normalized'!$D:$D, MATCH($A89, 'KZ-normalized'!$A:$A, 0))-INDEX('KZ-normalized'!$E:$E, MATCH($A89, 'KZ-normalized'!$A:$A, 0))), 0), 0))+(IFERROR(IF(8*INDEX('UZ-normalized'!$D:$D, MATCH($A89, 'UZ-normalized'!$A:$A, 0))-INDEX('UZ-normalized'!$E:$E, MATCH($A89, 'UZ-normalized'!$A:$A, 0))&gt;0, -(8*INDEX('UZ-normalized'!$D:$D, MATCH($A89, 'UZ-normalized'!$A:$A, 0))-INDEX('UZ-normalized'!$E:$E, MATCH($A89, 'UZ-normalized'!$A:$A, 0))), 0), 0)))</f>
        <v>0</v>
      </c>
      <c r="W89" s="6">
        <f>MIN(0, N89+(IFERROR(IF(9*INDEX('UA-normalized'!$D:$D, MATCH($A89, 'UA-normalized'!$A:$A, 0))-INDEX('UA-normalized'!$E:$E, MATCH($A89, 'UA-normalized'!$A:$A, 0))&gt;0, -(9*INDEX('UA-normalized'!$D:$D, MATCH($A89, 'UA-normalized'!$A:$A, 0))-INDEX('UA-normalized'!$E:$E, MATCH($A89, 'UA-normalized'!$A:$A, 0))), 0), 0))+(IFERROR(IF(9*INDEX('KZ-normalized'!$D:$D, MATCH($A89, 'KZ-normalized'!$A:$A, 0))-INDEX('KZ-normalized'!$E:$E, MATCH($A89, 'KZ-normalized'!$A:$A, 0))&gt;0, -(9*INDEX('KZ-normalized'!$D:$D, MATCH($A89, 'KZ-normalized'!$A:$A, 0))-INDEX('KZ-normalized'!$E:$E, MATCH($A89, 'KZ-normalized'!$A:$A, 0))), 0), 0))+(IFERROR(IF(9*INDEX('UZ-normalized'!$D:$D, MATCH($A89, 'UZ-normalized'!$A:$A, 0))-INDEX('UZ-normalized'!$E:$E, MATCH($A89, 'UZ-normalized'!$A:$A, 0))&gt;0, -(9*INDEX('UZ-normalized'!$D:$D, MATCH($A89, 'UZ-normalized'!$A:$A, 0))-INDEX('UZ-normalized'!$E:$E, MATCH($A89, 'UZ-normalized'!$A:$A, 0))), 0), 0)))</f>
        <v>0</v>
      </c>
      <c r="X89" s="6">
        <f>MIN(0, N89+(IFERROR(IF(10*INDEX('UA-normalized'!$D:$D, MATCH($A89, 'UA-normalized'!$A:$A, 0))-INDEX('UA-normalized'!$E:$E, MATCH($A89, 'UA-normalized'!$A:$A, 0))&gt;0, -(10*INDEX('UA-normalized'!$D:$D, MATCH($A89, 'UA-normalized'!$A:$A, 0))-INDEX('UA-normalized'!$E:$E, MATCH($A89, 'UA-normalized'!$A:$A, 0))), 0), 0))+(IFERROR(IF(10*INDEX('KZ-normalized'!$D:$D, MATCH($A89, 'KZ-normalized'!$A:$A, 0))-INDEX('KZ-normalized'!$E:$E, MATCH($A89, 'KZ-normalized'!$A:$A, 0))&gt;0, -(10*INDEX('KZ-normalized'!$D:$D, MATCH($A89, 'KZ-normalized'!$A:$A, 0))-INDEX('KZ-normalized'!$E:$E, MATCH($A89, 'KZ-normalized'!$A:$A, 0))), 0), 0))+(IFERROR(IF(10*INDEX('UZ-normalized'!$D:$D, MATCH($A89, 'UZ-normalized'!$A:$A, 0))-INDEX('UZ-normalized'!$E:$E, MATCH($A89, 'UZ-normalized'!$A:$A, 0))&gt;0, -(10*INDEX('UZ-normalized'!$D:$D, MATCH($A89, 'UZ-normalized'!$A:$A, 0))-INDEX('UZ-normalized'!$E:$E, MATCH($A89, 'UZ-normalized'!$A:$A, 0))), 0), 0)))</f>
        <v>0</v>
      </c>
      <c r="Y89" s="6">
        <f>MIN(0, N89+(IFERROR(IF(11*INDEX('UA-normalized'!$D:$D, MATCH($A89, 'UA-normalized'!$A:$A, 0))-INDEX('UA-normalized'!$E:$E, MATCH($A89, 'UA-normalized'!$A:$A, 0))&gt;0, -(11*INDEX('UA-normalized'!$D:$D, MATCH($A89, 'UA-normalized'!$A:$A, 0))-INDEX('UA-normalized'!$E:$E, MATCH($A89, 'UA-normalized'!$A:$A, 0))), 0), 0))+(IFERROR(IF(11*INDEX('KZ-normalized'!$D:$D, MATCH($A89, 'KZ-normalized'!$A:$A, 0))-INDEX('KZ-normalized'!$E:$E, MATCH($A89, 'KZ-normalized'!$A:$A, 0))&gt;0, -(11*INDEX('KZ-normalized'!$D:$D, MATCH($A89, 'KZ-normalized'!$A:$A, 0))-INDEX('KZ-normalized'!$E:$E, MATCH($A89, 'KZ-normalized'!$A:$A, 0))), 0), 0))+(IFERROR(IF(11*INDEX('UZ-normalized'!$D:$D, MATCH($A89, 'UZ-normalized'!$A:$A, 0))-INDEX('UZ-normalized'!$E:$E, MATCH($A89, 'UZ-normalized'!$A:$A, 0))&gt;0, -(11*INDEX('UZ-normalized'!$D:$D, MATCH($A89, 'UZ-normalized'!$A:$A, 0))-INDEX('UZ-normalized'!$E:$E, MATCH($A89, 'UZ-normalized'!$A:$A, 0))), 0), 0)))</f>
        <v>0</v>
      </c>
      <c r="Z89" s="6">
        <f>MIN(0, N89+(IFERROR(IF(12*INDEX('UA-normalized'!$D:$D, MATCH($A89, 'UA-normalized'!$A:$A, 0))-INDEX('UA-normalized'!$E:$E, MATCH($A89, 'UA-normalized'!$A:$A, 0))&gt;0, -(12*INDEX('UA-normalized'!$D:$D, MATCH($A89, 'UA-normalized'!$A:$A, 0))-INDEX('UA-normalized'!$E:$E, MATCH($A89, 'UA-normalized'!$A:$A, 0))), 0), 0))+(IFERROR(IF(12*INDEX('KZ-normalized'!$D:$D, MATCH($A89, 'KZ-normalized'!$A:$A, 0))-INDEX('KZ-normalized'!$E:$E, MATCH($A89, 'KZ-normalized'!$A:$A, 0))&gt;0, -(12*INDEX('KZ-normalized'!$D:$D, MATCH($A89, 'KZ-normalized'!$A:$A, 0))-INDEX('KZ-normalized'!$E:$E, MATCH($A89, 'KZ-normalized'!$A:$A, 0))), 0), 0))+(IFERROR(IF(12*INDEX('UZ-normalized'!$D:$D, MATCH($A89, 'UZ-normalized'!$A:$A, 0))-INDEX('UZ-normalized'!$E:$E, MATCH($A89, 'UZ-normalized'!$A:$A, 0))&gt;0, -(12*INDEX('UZ-normalized'!$D:$D, MATCH($A89, 'UZ-normalized'!$A:$A, 0))-INDEX('UZ-normalized'!$E:$E, MATCH($A89, 'UZ-normalized'!$A:$A, 0))), 0), 0)))</f>
        <v>0</v>
      </c>
      <c r="AA89" s="6">
        <f>MIN(0, N89+(IFERROR(IF(13*INDEX('UA-normalized'!$D:$D, MATCH($A89, 'UA-normalized'!$A:$A, 0))-INDEX('UA-normalized'!$E:$E, MATCH($A89, 'UA-normalized'!$A:$A, 0))&gt;0, -(13*INDEX('UA-normalized'!$D:$D, MATCH($A89, 'UA-normalized'!$A:$A, 0))-INDEX('UA-normalized'!$E:$E, MATCH($A89, 'UA-normalized'!$A:$A, 0))), 0), 0))+(IFERROR(IF(13*INDEX('KZ-normalized'!$D:$D, MATCH($A89, 'KZ-normalized'!$A:$A, 0))-INDEX('KZ-normalized'!$E:$E, MATCH($A89, 'KZ-normalized'!$A:$A, 0))&gt;0, -(13*INDEX('KZ-normalized'!$D:$D, MATCH($A89, 'KZ-normalized'!$A:$A, 0))-INDEX('KZ-normalized'!$E:$E, MATCH($A89, 'KZ-normalized'!$A:$A, 0))), 0), 0))+(IFERROR(IF(13*INDEX('UZ-normalized'!$D:$D, MATCH($A89, 'UZ-normalized'!$A:$A, 0))-INDEX('UZ-normalized'!$E:$E, MATCH($A89, 'UZ-normalized'!$A:$A, 0))&gt;0, -(13*INDEX('UZ-normalized'!$D:$D, MATCH($A89, 'UZ-normalized'!$A:$A, 0))-INDEX('UZ-normalized'!$E:$E, MATCH($A89, 'UZ-normalized'!$A:$A, 0))), 0), 0)))</f>
        <v>0</v>
      </c>
      <c r="AB89" s="6">
        <f>MIN(0, N89+(IFERROR(IF(14*INDEX('UA-normalized'!$D:$D, MATCH($A89, 'UA-normalized'!$A:$A, 0))-INDEX('UA-normalized'!$E:$E, MATCH($A89, 'UA-normalized'!$A:$A, 0))&gt;0, -(14*INDEX('UA-normalized'!$D:$D, MATCH($A89, 'UA-normalized'!$A:$A, 0))-INDEX('UA-normalized'!$E:$E, MATCH($A89, 'UA-normalized'!$A:$A, 0))), 0), 0))+(IFERROR(IF(14*INDEX('KZ-normalized'!$D:$D, MATCH($A89, 'KZ-normalized'!$A:$A, 0))-INDEX('KZ-normalized'!$E:$E, MATCH($A89, 'KZ-normalized'!$A:$A, 0))&gt;0, -(14*INDEX('KZ-normalized'!$D:$D, MATCH($A89, 'KZ-normalized'!$A:$A, 0))-INDEX('KZ-normalized'!$E:$E, MATCH($A89, 'KZ-normalized'!$A:$A, 0))), 0), 0))+(IFERROR(IF(14*INDEX('UZ-normalized'!$D:$D, MATCH($A89, 'UZ-normalized'!$A:$A, 0))-INDEX('UZ-normalized'!$E:$E, MATCH($A89, 'UZ-normalized'!$A:$A, 0))&gt;0, -(14*INDEX('UZ-normalized'!$D:$D, MATCH($A89, 'UZ-normalized'!$A:$A, 0))-INDEX('UZ-normalized'!$E:$E, MATCH($A89, 'UZ-normalized'!$A:$A, 0))), 0), 0)))</f>
        <v>0</v>
      </c>
      <c r="AC89" s="6">
        <f>MIN(0, N89+(IFERROR(IF(15*INDEX('UA-normalized'!$D:$D, MATCH($A89, 'UA-normalized'!$A:$A, 0))-INDEX('UA-normalized'!$E:$E, MATCH($A89, 'UA-normalized'!$A:$A, 0))&gt;0, -(15*INDEX('UA-normalized'!$D:$D, MATCH($A89, 'UA-normalized'!$A:$A, 0))-INDEX('UA-normalized'!$E:$E, MATCH($A89, 'UA-normalized'!$A:$A, 0))), 0), 0))+(IFERROR(IF(15*INDEX('KZ-normalized'!$D:$D, MATCH($A89, 'KZ-normalized'!$A:$A, 0))-INDEX('KZ-normalized'!$E:$E, MATCH($A89, 'KZ-normalized'!$A:$A, 0))&gt;0, -(15*INDEX('KZ-normalized'!$D:$D, MATCH($A89, 'KZ-normalized'!$A:$A, 0))-INDEX('KZ-normalized'!$E:$E, MATCH($A89, 'KZ-normalized'!$A:$A, 0))), 0), 0))+(IFERROR(IF(15*INDEX('UZ-normalized'!$D:$D, MATCH($A89, 'UZ-normalized'!$A:$A, 0))-INDEX('UZ-normalized'!$E:$E, MATCH($A89, 'UZ-normalized'!$A:$A, 0))&gt;0, -(15*INDEX('UZ-normalized'!$D:$D, MATCH($A89, 'UZ-normalized'!$A:$A, 0))-INDEX('UZ-normalized'!$E:$E, MATCH($A89, 'UZ-normalized'!$A:$A, 0))), 0), 0)))</f>
        <v>0</v>
      </c>
      <c r="AD89" s="6">
        <f>MIN(0, N89+(IFERROR(IF(16*INDEX('UA-normalized'!$D:$D, MATCH($A89, 'UA-normalized'!$A:$A, 0))-INDEX('UA-normalized'!$E:$E, MATCH($A89, 'UA-normalized'!$A:$A, 0))&gt;0, -(16*INDEX('UA-normalized'!$D:$D, MATCH($A89, 'UA-normalized'!$A:$A, 0))-INDEX('UA-normalized'!$E:$E, MATCH($A89, 'UA-normalized'!$A:$A, 0))), 0), 0))+(IFERROR(IF(16*INDEX('KZ-normalized'!$D:$D, MATCH($A89, 'KZ-normalized'!$A:$A, 0))-INDEX('KZ-normalized'!$E:$E, MATCH($A89, 'KZ-normalized'!$A:$A, 0))&gt;0, -(16*INDEX('KZ-normalized'!$D:$D, MATCH($A89, 'KZ-normalized'!$A:$A, 0))-INDEX('KZ-normalized'!$E:$E, MATCH($A89, 'KZ-normalized'!$A:$A, 0))), 0), 0))+(IFERROR(IF(16*INDEX('UZ-normalized'!$D:$D, MATCH($A89, 'UZ-normalized'!$A:$A, 0))-INDEX('UZ-normalized'!$E:$E, MATCH($A89, 'UZ-normalized'!$A:$A, 0))&gt;0, -(16*INDEX('UZ-normalized'!$D:$D, MATCH($A89, 'UZ-normalized'!$A:$A, 0))-INDEX('UZ-normalized'!$E:$E, MATCH($A89, 'UZ-normalized'!$A:$A, 0))), 0), 0)))</f>
        <v>0</v>
      </c>
      <c r="AE89" s="6">
        <f>MIN(0, N89+(IFERROR(IF(17*INDEX('UA-normalized'!$D:$D, MATCH($A89, 'UA-normalized'!$A:$A, 0))-INDEX('UA-normalized'!$E:$E, MATCH($A89, 'UA-normalized'!$A:$A, 0))&gt;0, -(17*INDEX('UA-normalized'!$D:$D, MATCH($A89, 'UA-normalized'!$A:$A, 0))-INDEX('UA-normalized'!$E:$E, MATCH($A89, 'UA-normalized'!$A:$A, 0))), 0), 0))+(IFERROR(IF(17*INDEX('KZ-normalized'!$D:$D, MATCH($A89, 'KZ-normalized'!$A:$A, 0))-INDEX('KZ-normalized'!$E:$E, MATCH($A89, 'KZ-normalized'!$A:$A, 0))&gt;0, -(17*INDEX('KZ-normalized'!$D:$D, MATCH($A89, 'KZ-normalized'!$A:$A, 0))-INDEX('KZ-normalized'!$E:$E, MATCH($A89, 'KZ-normalized'!$A:$A, 0))), 0), 0))+(IFERROR(IF(17*INDEX('UZ-normalized'!$D:$D, MATCH($A89, 'UZ-normalized'!$A:$A, 0))-INDEX('UZ-normalized'!$E:$E, MATCH($A89, 'UZ-normalized'!$A:$A, 0))&gt;0, -(17*INDEX('UZ-normalized'!$D:$D, MATCH($A89, 'UZ-normalized'!$A:$A, 0))-INDEX('UZ-normalized'!$E:$E, MATCH($A89, 'UZ-normalized'!$A:$A, 0))), 0), 0)))</f>
        <v>0</v>
      </c>
      <c r="AF89" s="6">
        <f>MIN(0, N89+(IFERROR(IF(18*INDEX('UA-normalized'!$D:$D, MATCH($A89, 'UA-normalized'!$A:$A, 0))-INDEX('UA-normalized'!$E:$E, MATCH($A89, 'UA-normalized'!$A:$A, 0))&gt;0, -(18*INDEX('UA-normalized'!$D:$D, MATCH($A89, 'UA-normalized'!$A:$A, 0))-INDEX('UA-normalized'!$E:$E, MATCH($A89, 'UA-normalized'!$A:$A, 0))), 0), 0))+(IFERROR(IF(18*INDEX('KZ-normalized'!$D:$D, MATCH($A89, 'KZ-normalized'!$A:$A, 0))-INDEX('KZ-normalized'!$E:$E, MATCH($A89, 'KZ-normalized'!$A:$A, 0))&gt;0, -(18*INDEX('KZ-normalized'!$D:$D, MATCH($A89, 'KZ-normalized'!$A:$A, 0))-INDEX('KZ-normalized'!$E:$E, MATCH($A89, 'KZ-normalized'!$A:$A, 0))), 0), 0))+(IFERROR(IF(18*INDEX('UZ-normalized'!$D:$D, MATCH($A89, 'UZ-normalized'!$A:$A, 0))-INDEX('UZ-normalized'!$E:$E, MATCH($A89, 'UZ-normalized'!$A:$A, 0))&gt;0, -(18*INDEX('UZ-normalized'!$D:$D, MATCH($A89, 'UZ-normalized'!$A:$A, 0))-INDEX('UZ-normalized'!$E:$E, MATCH($A89, 'UZ-normalized'!$A:$A, 0))), 0), 0)))</f>
        <v>0</v>
      </c>
      <c r="AG89" s="6">
        <f>MIN(0, N89+(IFERROR(IF(19*INDEX('UA-normalized'!$D:$D, MATCH($A89, 'UA-normalized'!$A:$A, 0))-INDEX('UA-normalized'!$E:$E, MATCH($A89, 'UA-normalized'!$A:$A, 0))&gt;0, -(19*INDEX('UA-normalized'!$D:$D, MATCH($A89, 'UA-normalized'!$A:$A, 0))-INDEX('UA-normalized'!$E:$E, MATCH($A89, 'UA-normalized'!$A:$A, 0))), 0), 0))+(IFERROR(IF(19*INDEX('KZ-normalized'!$D:$D, MATCH($A89, 'KZ-normalized'!$A:$A, 0))-INDEX('KZ-normalized'!$E:$E, MATCH($A89, 'KZ-normalized'!$A:$A, 0))&gt;0, -(19*INDEX('KZ-normalized'!$D:$D, MATCH($A89, 'KZ-normalized'!$A:$A, 0))-INDEX('KZ-normalized'!$E:$E, MATCH($A89, 'KZ-normalized'!$A:$A, 0))), 0), 0))+(IFERROR(IF(19*INDEX('UZ-normalized'!$D:$D, MATCH($A89, 'UZ-normalized'!$A:$A, 0))-INDEX('UZ-normalized'!$E:$E, MATCH($A89, 'UZ-normalized'!$A:$A, 0))&gt;0, -(19*INDEX('UZ-normalized'!$D:$D, MATCH($A89, 'UZ-normalized'!$A:$A, 0))-INDEX('UZ-normalized'!$E:$E, MATCH($A89, 'UZ-normalized'!$A:$A, 0))), 0), 0)))</f>
        <v>0</v>
      </c>
      <c r="AH89" s="6">
        <f>MIN(0, N89+(IFERROR(IF(20*INDEX('UA-normalized'!$D:$D, MATCH($A89, 'UA-normalized'!$A:$A, 0))-INDEX('UA-normalized'!$E:$E, MATCH($A89, 'UA-normalized'!$A:$A, 0))&gt;0, -(20*INDEX('UA-normalized'!$D:$D, MATCH($A89, 'UA-normalized'!$A:$A, 0))-INDEX('UA-normalized'!$E:$E, MATCH($A89, 'UA-normalized'!$A:$A, 0))), 0), 0))+(IFERROR(IF(20*INDEX('KZ-normalized'!$D:$D, MATCH($A89, 'KZ-normalized'!$A:$A, 0))-INDEX('KZ-normalized'!$E:$E, MATCH($A89, 'KZ-normalized'!$A:$A, 0))&gt;0, -(20*INDEX('KZ-normalized'!$D:$D, MATCH($A89, 'KZ-normalized'!$A:$A, 0))-INDEX('KZ-normalized'!$E:$E, MATCH($A89, 'KZ-normalized'!$A:$A, 0))), 0), 0))+(IFERROR(IF(20*INDEX('UZ-normalized'!$D:$D, MATCH($A89, 'UZ-normalized'!$A:$A, 0))-INDEX('UZ-normalized'!$E:$E, MATCH($A89, 'UZ-normalized'!$A:$A, 0))&gt;0, -(20*INDEX('UZ-normalized'!$D:$D, MATCH($A89, 'UZ-normalized'!$A:$A, 0))-INDEX('UZ-normalized'!$E:$E, MATCH($A89, 'UZ-normalized'!$A:$A, 0))), 0), 0)))</f>
        <v>0</v>
      </c>
      <c r="AI89" s="6">
        <f>MIN(0, N89+(IFERROR(IF(21*INDEX('UA-normalized'!$D:$D, MATCH($A89, 'UA-normalized'!$A:$A, 0))-INDEX('UA-normalized'!$E:$E, MATCH($A89, 'UA-normalized'!$A:$A, 0))&gt;0, -(21*INDEX('UA-normalized'!$D:$D, MATCH($A89, 'UA-normalized'!$A:$A, 0))-INDEX('UA-normalized'!$E:$E, MATCH($A89, 'UA-normalized'!$A:$A, 0))), 0), 0))+(IFERROR(IF(21*INDEX('KZ-normalized'!$D:$D, MATCH($A89, 'KZ-normalized'!$A:$A, 0))-INDEX('KZ-normalized'!$E:$E, MATCH($A89, 'KZ-normalized'!$A:$A, 0))&gt;0, -(21*INDEX('KZ-normalized'!$D:$D, MATCH($A89, 'KZ-normalized'!$A:$A, 0))-INDEX('KZ-normalized'!$E:$E, MATCH($A89, 'KZ-normalized'!$A:$A, 0))), 0), 0))+(IFERROR(IF(21*INDEX('UZ-normalized'!$D:$D, MATCH($A89, 'UZ-normalized'!$A:$A, 0))-INDEX('UZ-normalized'!$E:$E, MATCH($A89, 'UZ-normalized'!$A:$A, 0))&gt;0, -(21*INDEX('UZ-normalized'!$D:$D, MATCH($A89, 'UZ-normalized'!$A:$A, 0))-INDEX('UZ-normalized'!$E:$E, MATCH($A89, 'UZ-normalized'!$A:$A, 0))), 0), 0)))</f>
        <v>0</v>
      </c>
      <c r="AJ89" s="6">
        <f>MIN(0, N89+(IFERROR(IF(22*INDEX('UA-normalized'!$D:$D, MATCH($A89, 'UA-normalized'!$A:$A, 0))-INDEX('UA-normalized'!$E:$E, MATCH($A89, 'UA-normalized'!$A:$A, 0))&gt;0, -(22*INDEX('UA-normalized'!$D:$D, MATCH($A89, 'UA-normalized'!$A:$A, 0))-INDEX('UA-normalized'!$E:$E, MATCH($A89, 'UA-normalized'!$A:$A, 0))), 0), 0))+(IFERROR(IF(22*INDEX('KZ-normalized'!$D:$D, MATCH($A89, 'KZ-normalized'!$A:$A, 0))-INDEX('KZ-normalized'!$E:$E, MATCH($A89, 'KZ-normalized'!$A:$A, 0))&gt;0, -(22*INDEX('KZ-normalized'!$D:$D, MATCH($A89, 'KZ-normalized'!$A:$A, 0))-INDEX('KZ-normalized'!$E:$E, MATCH($A89, 'KZ-normalized'!$A:$A, 0))), 0), 0))+(IFERROR(IF(22*INDEX('UZ-normalized'!$D:$D, MATCH($A89, 'UZ-normalized'!$A:$A, 0))-INDEX('UZ-normalized'!$E:$E, MATCH($A89, 'UZ-normalized'!$A:$A, 0))&gt;0, -(22*INDEX('UZ-normalized'!$D:$D, MATCH($A89, 'UZ-normalized'!$A:$A, 0))-INDEX('UZ-normalized'!$E:$E, MATCH($A89, 'UZ-normalized'!$A:$A, 0))), 0), 0)))</f>
        <v>0</v>
      </c>
      <c r="AK89" s="6">
        <f>MIN(0, N89+(IFERROR(IF(23*INDEX('UA-normalized'!$D:$D, MATCH($A89, 'UA-normalized'!$A:$A, 0))-INDEX('UA-normalized'!$E:$E, MATCH($A89, 'UA-normalized'!$A:$A, 0))&gt;0, -(23*INDEX('UA-normalized'!$D:$D, MATCH($A89, 'UA-normalized'!$A:$A, 0))-INDEX('UA-normalized'!$E:$E, MATCH($A89, 'UA-normalized'!$A:$A, 0))), 0), 0))+(IFERROR(IF(23*INDEX('KZ-normalized'!$D:$D, MATCH($A89, 'KZ-normalized'!$A:$A, 0))-INDEX('KZ-normalized'!$E:$E, MATCH($A89, 'KZ-normalized'!$A:$A, 0))&gt;0, -(23*INDEX('KZ-normalized'!$D:$D, MATCH($A89, 'KZ-normalized'!$A:$A, 0))-INDEX('KZ-normalized'!$E:$E, MATCH($A89, 'KZ-normalized'!$A:$A, 0))), 0), 0))+(IFERROR(IF(23*INDEX('UZ-normalized'!$D:$D, MATCH($A89, 'UZ-normalized'!$A:$A, 0))-INDEX('UZ-normalized'!$E:$E, MATCH($A89, 'UZ-normalized'!$A:$A, 0))&gt;0, -(23*INDEX('UZ-normalized'!$D:$D, MATCH($A89, 'UZ-normalized'!$A:$A, 0))-INDEX('UZ-normalized'!$E:$E, MATCH($A89, 'UZ-normalized'!$A:$A, 0))), 0), 0)))</f>
        <v>0</v>
      </c>
      <c r="AL89" s="6">
        <f>MIN(0, N89+(IFERROR(IF(24*INDEX('UA-normalized'!$D:$D, MATCH($A89, 'UA-normalized'!$A:$A, 0))-INDEX('UA-normalized'!$E:$E, MATCH($A89, 'UA-normalized'!$A:$A, 0))&gt;0, -(24*INDEX('UA-normalized'!$D:$D, MATCH($A89, 'UA-normalized'!$A:$A, 0))-INDEX('UA-normalized'!$E:$E, MATCH($A89, 'UA-normalized'!$A:$A, 0))), 0), 0))+(IFERROR(IF(24*INDEX('KZ-normalized'!$D:$D, MATCH($A89, 'KZ-normalized'!$A:$A, 0))-INDEX('KZ-normalized'!$E:$E, MATCH($A89, 'KZ-normalized'!$A:$A, 0))&gt;0, -(24*INDEX('KZ-normalized'!$D:$D, MATCH($A89, 'KZ-normalized'!$A:$A, 0))-INDEX('KZ-normalized'!$E:$E, MATCH($A89, 'KZ-normalized'!$A:$A, 0))), 0), 0))+(IFERROR(IF(24*INDEX('UZ-normalized'!$D:$D, MATCH($A89, 'UZ-normalized'!$A:$A, 0))-INDEX('UZ-normalized'!$E:$E, MATCH($A89, 'UZ-normalized'!$A:$A, 0))&gt;0, -(24*INDEX('UZ-normalized'!$D:$D, MATCH($A89, 'UZ-normalized'!$A:$A, 0))-INDEX('UZ-normalized'!$E:$E, MATCH($A89, 'UZ-normalized'!$A:$A, 0))), 0), 0)))</f>
        <v>0</v>
      </c>
      <c r="AM89" s="6">
        <f>MIN(0, N89+(IFERROR(IF(25*INDEX('UA-normalized'!$D:$D, MATCH($A89, 'UA-normalized'!$A:$A, 0))-INDEX('UA-normalized'!$E:$E, MATCH($A89, 'UA-normalized'!$A:$A, 0))&gt;0, -(25*INDEX('UA-normalized'!$D:$D, MATCH($A89, 'UA-normalized'!$A:$A, 0))-INDEX('UA-normalized'!$E:$E, MATCH($A89, 'UA-normalized'!$A:$A, 0))), 0), 0))+(IFERROR(IF(25*INDEX('KZ-normalized'!$D:$D, MATCH($A89, 'KZ-normalized'!$A:$A, 0))-INDEX('KZ-normalized'!$E:$E, MATCH($A89, 'KZ-normalized'!$A:$A, 0))&gt;0, -(25*INDEX('KZ-normalized'!$D:$D, MATCH($A89, 'KZ-normalized'!$A:$A, 0))-INDEX('KZ-normalized'!$E:$E, MATCH($A89, 'KZ-normalized'!$A:$A, 0))), 0), 0))+(IFERROR(IF(25*INDEX('UZ-normalized'!$D:$D, MATCH($A89, 'UZ-normalized'!$A:$A, 0))-INDEX('UZ-normalized'!$E:$E, MATCH($A89, 'UZ-normalized'!$A:$A, 0))&gt;0, -(25*INDEX('UZ-normalized'!$D:$D, MATCH($A89, 'UZ-normalized'!$A:$A, 0))-INDEX('UZ-normalized'!$E:$E, MATCH($A89, 'UZ-normalized'!$A:$A, 0))), 0), 0)))</f>
        <v>0</v>
      </c>
      <c r="AN89" s="6">
        <f>MIN(0, N89+(IFERROR(IF(26*INDEX('UA-normalized'!$D:$D, MATCH($A89, 'UA-normalized'!$A:$A, 0))-INDEX('UA-normalized'!$E:$E, MATCH($A89, 'UA-normalized'!$A:$A, 0))&gt;0, -(26*INDEX('UA-normalized'!$D:$D, MATCH($A89, 'UA-normalized'!$A:$A, 0))-INDEX('UA-normalized'!$E:$E, MATCH($A89, 'UA-normalized'!$A:$A, 0))), 0), 0))+(IFERROR(IF(26*INDEX('KZ-normalized'!$D:$D, MATCH($A89, 'KZ-normalized'!$A:$A, 0))-INDEX('KZ-normalized'!$E:$E, MATCH($A89, 'KZ-normalized'!$A:$A, 0))&gt;0, -(26*INDEX('KZ-normalized'!$D:$D, MATCH($A89, 'KZ-normalized'!$A:$A, 0))-INDEX('KZ-normalized'!$E:$E, MATCH($A89, 'KZ-normalized'!$A:$A, 0))), 0), 0))+(IFERROR(IF(26*INDEX('UZ-normalized'!$D:$D, MATCH($A89, 'UZ-normalized'!$A:$A, 0))-INDEX('UZ-normalized'!$E:$E, MATCH($A89, 'UZ-normalized'!$A:$A, 0))&gt;0, -(26*INDEX('UZ-normalized'!$D:$D, MATCH($A89, 'UZ-normalized'!$A:$A, 0))-INDEX('UZ-normalized'!$E:$E, MATCH($A89, 'UZ-normalized'!$A:$A, 0))), 0), 0)))</f>
        <v>0</v>
      </c>
      <c r="AO89" s="6">
        <f>MIN(0, N89+(IFERROR(IF(27*INDEX('UA-normalized'!$D:$D, MATCH($A89, 'UA-normalized'!$A:$A, 0))-INDEX('UA-normalized'!$E:$E, MATCH($A89, 'UA-normalized'!$A:$A, 0))&gt;0, -(27*INDEX('UA-normalized'!$D:$D, MATCH($A89, 'UA-normalized'!$A:$A, 0))-INDEX('UA-normalized'!$E:$E, MATCH($A89, 'UA-normalized'!$A:$A, 0))), 0), 0))+(IFERROR(IF(27*INDEX('KZ-normalized'!$D:$D, MATCH($A89, 'KZ-normalized'!$A:$A, 0))-INDEX('KZ-normalized'!$E:$E, MATCH($A89, 'KZ-normalized'!$A:$A, 0))&gt;0, -(27*INDEX('KZ-normalized'!$D:$D, MATCH($A89, 'KZ-normalized'!$A:$A, 0))-INDEX('KZ-normalized'!$E:$E, MATCH($A89, 'KZ-normalized'!$A:$A, 0))), 0), 0))+(IFERROR(IF(27*INDEX('UZ-normalized'!$D:$D, MATCH($A89, 'UZ-normalized'!$A:$A, 0))-INDEX('UZ-normalized'!$E:$E, MATCH($A89, 'UZ-normalized'!$A:$A, 0))&gt;0, -(27*INDEX('UZ-normalized'!$D:$D, MATCH($A89, 'UZ-normalized'!$A:$A, 0))-INDEX('UZ-normalized'!$E:$E, MATCH($A89, 'UZ-normalized'!$A:$A, 0))), 0), 0)))</f>
        <v>0</v>
      </c>
      <c r="AP89" s="6">
        <f>MIN(0, N89+(IFERROR(IF(28*INDEX('UA-normalized'!$D:$D, MATCH($A89, 'UA-normalized'!$A:$A, 0))-INDEX('UA-normalized'!$E:$E, MATCH($A89, 'UA-normalized'!$A:$A, 0))&gt;0, -(28*INDEX('UA-normalized'!$D:$D, MATCH($A89, 'UA-normalized'!$A:$A, 0))-INDEX('UA-normalized'!$E:$E, MATCH($A89, 'UA-normalized'!$A:$A, 0))), 0), 0))+(IFERROR(IF(28*INDEX('KZ-normalized'!$D:$D, MATCH($A89, 'KZ-normalized'!$A:$A, 0))-INDEX('KZ-normalized'!$E:$E, MATCH($A89, 'KZ-normalized'!$A:$A, 0))&gt;0, -(28*INDEX('KZ-normalized'!$D:$D, MATCH($A89, 'KZ-normalized'!$A:$A, 0))-INDEX('KZ-normalized'!$E:$E, MATCH($A89, 'KZ-normalized'!$A:$A, 0))), 0), 0))+(IFERROR(IF(28*INDEX('UZ-normalized'!$D:$D, MATCH($A89, 'UZ-normalized'!$A:$A, 0))-INDEX('UZ-normalized'!$E:$E, MATCH($A89, 'UZ-normalized'!$A:$A, 0))&gt;0, -(28*INDEX('UZ-normalized'!$D:$D, MATCH($A89, 'UZ-normalized'!$A:$A, 0))-INDEX('UZ-normalized'!$E:$E, MATCH($A89, 'UZ-normalized'!$A:$A, 0))), 0), 0)))</f>
        <v>0</v>
      </c>
      <c r="AQ89" s="6">
        <f>MIN(0, N89+(IFERROR(IF(29*INDEX('UA-normalized'!$D:$D, MATCH($A89, 'UA-normalized'!$A:$A, 0))-INDEX('UA-normalized'!$E:$E, MATCH($A89, 'UA-normalized'!$A:$A, 0))&gt;0, -(29*INDEX('UA-normalized'!$D:$D, MATCH($A89, 'UA-normalized'!$A:$A, 0))-INDEX('UA-normalized'!$E:$E, MATCH($A89, 'UA-normalized'!$A:$A, 0))), 0), 0))+(IFERROR(IF(29*INDEX('KZ-normalized'!$D:$D, MATCH($A89, 'KZ-normalized'!$A:$A, 0))-INDEX('KZ-normalized'!$E:$E, MATCH($A89, 'KZ-normalized'!$A:$A, 0))&gt;0, -(29*INDEX('KZ-normalized'!$D:$D, MATCH($A89, 'KZ-normalized'!$A:$A, 0))-INDEX('KZ-normalized'!$E:$E, MATCH($A89, 'KZ-normalized'!$A:$A, 0))), 0), 0))+(IFERROR(IF(29*INDEX('UZ-normalized'!$D:$D, MATCH($A89, 'UZ-normalized'!$A:$A, 0))-INDEX('UZ-normalized'!$E:$E, MATCH($A89, 'UZ-normalized'!$A:$A, 0))&gt;0, -(29*INDEX('UZ-normalized'!$D:$D, MATCH($A89, 'UZ-normalized'!$A:$A, 0))-INDEX('UZ-normalized'!$E:$E, MATCH($A89, 'UZ-normalized'!$A:$A, 0))), 0), 0)))</f>
        <v>0</v>
      </c>
      <c r="AR89" s="6">
        <f>MIN(0, N89+(IFERROR(IF(30*INDEX('UA-normalized'!$D:$D, MATCH($A89, 'UA-normalized'!$A:$A, 0))-INDEX('UA-normalized'!$E:$E, MATCH($A89, 'UA-normalized'!$A:$A, 0))&gt;0, -(30*INDEX('UA-normalized'!$D:$D, MATCH($A89, 'UA-normalized'!$A:$A, 0))-INDEX('UA-normalized'!$E:$E, MATCH($A89, 'UA-normalized'!$A:$A, 0))), 0), 0))+(IFERROR(IF(30*INDEX('KZ-normalized'!$D:$D, MATCH($A89, 'KZ-normalized'!$A:$A, 0))-INDEX('KZ-normalized'!$E:$E, MATCH($A89, 'KZ-normalized'!$A:$A, 0))&gt;0, -(30*INDEX('KZ-normalized'!$D:$D, MATCH($A89, 'KZ-normalized'!$A:$A, 0))-INDEX('KZ-normalized'!$E:$E, MATCH($A89, 'KZ-normalized'!$A:$A, 0))), 0), 0))+(IFERROR(IF(30*INDEX('UZ-normalized'!$D:$D, MATCH($A89, 'UZ-normalized'!$A:$A, 0))-INDEX('UZ-normalized'!$E:$E, MATCH($A89, 'UZ-normalized'!$A:$A, 0))&gt;0, -(30*INDEX('UZ-normalized'!$D:$D, MATCH($A89, 'UZ-normalized'!$A:$A, 0))-INDEX('UZ-normalized'!$E:$E, MATCH($A89, 'UZ-normalized'!$A:$A, 0))), 0), 0)))</f>
        <v>0</v>
      </c>
    </row>
    <row r="90" spans="1:44" x14ac:dyDescent="0.25">
      <c r="A90" s="8" t="s">
        <v>230</v>
      </c>
      <c r="B90" s="8" t="s">
        <v>180</v>
      </c>
      <c r="C90" s="8" t="s">
        <v>206</v>
      </c>
      <c r="D90" s="8" t="s">
        <v>231</v>
      </c>
      <c r="F90">
        <v>332</v>
      </c>
      <c r="N90">
        <f t="shared" si="1"/>
        <v>332</v>
      </c>
      <c r="O90" s="6">
        <f>MIN(0, N90+(IFERROR(IF(1*INDEX('UA-normalized'!$D:$D, MATCH($A90, 'UA-normalized'!$A:$A, 0))-INDEX('UA-normalized'!$E:$E, MATCH($A90, 'UA-normalized'!$A:$A, 0))&gt;0, -(1*INDEX('UA-normalized'!$D:$D, MATCH($A90, 'UA-normalized'!$A:$A, 0))-INDEX('UA-normalized'!$E:$E, MATCH($A90, 'UA-normalized'!$A:$A, 0))), 0), 0))+(IFERROR(IF(1*INDEX('KZ-normalized'!$D:$D, MATCH($A90, 'KZ-normalized'!$A:$A, 0))-INDEX('KZ-normalized'!$E:$E, MATCH($A90, 'KZ-normalized'!$A:$A, 0))&gt;0, -(1*INDEX('KZ-normalized'!$D:$D, MATCH($A90, 'KZ-normalized'!$A:$A, 0))-INDEX('KZ-normalized'!$E:$E, MATCH($A90, 'KZ-normalized'!$A:$A, 0))), 0), 0))+(IFERROR(IF(1*INDEX('UZ-normalized'!$D:$D, MATCH($A90, 'UZ-normalized'!$A:$A, 0))-INDEX('UZ-normalized'!$E:$E, MATCH($A90, 'UZ-normalized'!$A:$A, 0))&gt;0, -(1*INDEX('UZ-normalized'!$D:$D, MATCH($A90, 'UZ-normalized'!$A:$A, 0))-INDEX('UZ-normalized'!$E:$E, MATCH($A90, 'UZ-normalized'!$A:$A, 0))), 0), 0)))</f>
        <v>0</v>
      </c>
      <c r="P90" s="6">
        <f>MIN(0, N90+(IFERROR(IF(2*INDEX('UA-normalized'!$D:$D, MATCH($A90, 'UA-normalized'!$A:$A, 0))-INDEX('UA-normalized'!$E:$E, MATCH($A90, 'UA-normalized'!$A:$A, 0))&gt;0, -(2*INDEX('UA-normalized'!$D:$D, MATCH($A90, 'UA-normalized'!$A:$A, 0))-INDEX('UA-normalized'!$E:$E, MATCH($A90, 'UA-normalized'!$A:$A, 0))), 0), 0))+(IFERROR(IF(2*INDEX('KZ-normalized'!$D:$D, MATCH($A90, 'KZ-normalized'!$A:$A, 0))-INDEX('KZ-normalized'!$E:$E, MATCH($A90, 'KZ-normalized'!$A:$A, 0))&gt;0, -(2*INDEX('KZ-normalized'!$D:$D, MATCH($A90, 'KZ-normalized'!$A:$A, 0))-INDEX('KZ-normalized'!$E:$E, MATCH($A90, 'KZ-normalized'!$A:$A, 0))), 0), 0))+(IFERROR(IF(2*INDEX('UZ-normalized'!$D:$D, MATCH($A90, 'UZ-normalized'!$A:$A, 0))-INDEX('UZ-normalized'!$E:$E, MATCH($A90, 'UZ-normalized'!$A:$A, 0))&gt;0, -(2*INDEX('UZ-normalized'!$D:$D, MATCH($A90, 'UZ-normalized'!$A:$A, 0))-INDEX('UZ-normalized'!$E:$E, MATCH($A90, 'UZ-normalized'!$A:$A, 0))), 0), 0)))</f>
        <v>0</v>
      </c>
      <c r="Q90" s="6">
        <f>MIN(0, N90+(IFERROR(IF(3*INDEX('UA-normalized'!$D:$D, MATCH($A90, 'UA-normalized'!$A:$A, 0))-INDEX('UA-normalized'!$E:$E, MATCH($A90, 'UA-normalized'!$A:$A, 0))&gt;0, -(3*INDEX('UA-normalized'!$D:$D, MATCH($A90, 'UA-normalized'!$A:$A, 0))-INDEX('UA-normalized'!$E:$E, MATCH($A90, 'UA-normalized'!$A:$A, 0))), 0), 0))+(IFERROR(IF(3*INDEX('KZ-normalized'!$D:$D, MATCH($A90, 'KZ-normalized'!$A:$A, 0))-INDEX('KZ-normalized'!$E:$E, MATCH($A90, 'KZ-normalized'!$A:$A, 0))&gt;0, -(3*INDEX('KZ-normalized'!$D:$D, MATCH($A90, 'KZ-normalized'!$A:$A, 0))-INDEX('KZ-normalized'!$E:$E, MATCH($A90, 'KZ-normalized'!$A:$A, 0))), 0), 0))+(IFERROR(IF(3*INDEX('UZ-normalized'!$D:$D, MATCH($A90, 'UZ-normalized'!$A:$A, 0))-INDEX('UZ-normalized'!$E:$E, MATCH($A90, 'UZ-normalized'!$A:$A, 0))&gt;0, -(3*INDEX('UZ-normalized'!$D:$D, MATCH($A90, 'UZ-normalized'!$A:$A, 0))-INDEX('UZ-normalized'!$E:$E, MATCH($A90, 'UZ-normalized'!$A:$A, 0))), 0), 0)))</f>
        <v>0</v>
      </c>
      <c r="R90" s="6">
        <f>MIN(0, N90+(IFERROR(IF(4*INDEX('UA-normalized'!$D:$D, MATCH($A90, 'UA-normalized'!$A:$A, 0))-INDEX('UA-normalized'!$E:$E, MATCH($A90, 'UA-normalized'!$A:$A, 0))&gt;0, -(4*INDEX('UA-normalized'!$D:$D, MATCH($A90, 'UA-normalized'!$A:$A, 0))-INDEX('UA-normalized'!$E:$E, MATCH($A90, 'UA-normalized'!$A:$A, 0))), 0), 0))+(IFERROR(IF(4*INDEX('KZ-normalized'!$D:$D, MATCH($A90, 'KZ-normalized'!$A:$A, 0))-INDEX('KZ-normalized'!$E:$E, MATCH($A90, 'KZ-normalized'!$A:$A, 0))&gt;0, -(4*INDEX('KZ-normalized'!$D:$D, MATCH($A90, 'KZ-normalized'!$A:$A, 0))-INDEX('KZ-normalized'!$E:$E, MATCH($A90, 'KZ-normalized'!$A:$A, 0))), 0), 0))+(IFERROR(IF(4*INDEX('UZ-normalized'!$D:$D, MATCH($A90, 'UZ-normalized'!$A:$A, 0))-INDEX('UZ-normalized'!$E:$E, MATCH($A90, 'UZ-normalized'!$A:$A, 0))&gt;0, -(4*INDEX('UZ-normalized'!$D:$D, MATCH($A90, 'UZ-normalized'!$A:$A, 0))-INDEX('UZ-normalized'!$E:$E, MATCH($A90, 'UZ-normalized'!$A:$A, 0))), 0), 0)))</f>
        <v>0</v>
      </c>
      <c r="S90" s="6">
        <f>MIN(0, N90+(IFERROR(IF(5*INDEX('UA-normalized'!$D:$D, MATCH($A90, 'UA-normalized'!$A:$A, 0))-INDEX('UA-normalized'!$E:$E, MATCH($A90, 'UA-normalized'!$A:$A, 0))&gt;0, -(5*INDEX('UA-normalized'!$D:$D, MATCH($A90, 'UA-normalized'!$A:$A, 0))-INDEX('UA-normalized'!$E:$E, MATCH($A90, 'UA-normalized'!$A:$A, 0))), 0), 0))+(IFERROR(IF(5*INDEX('KZ-normalized'!$D:$D, MATCH($A90, 'KZ-normalized'!$A:$A, 0))-INDEX('KZ-normalized'!$E:$E, MATCH($A90, 'KZ-normalized'!$A:$A, 0))&gt;0, -(5*INDEX('KZ-normalized'!$D:$D, MATCH($A90, 'KZ-normalized'!$A:$A, 0))-INDEX('KZ-normalized'!$E:$E, MATCH($A90, 'KZ-normalized'!$A:$A, 0))), 0), 0))+(IFERROR(IF(5*INDEX('UZ-normalized'!$D:$D, MATCH($A90, 'UZ-normalized'!$A:$A, 0))-INDEX('UZ-normalized'!$E:$E, MATCH($A90, 'UZ-normalized'!$A:$A, 0))&gt;0, -(5*INDEX('UZ-normalized'!$D:$D, MATCH($A90, 'UZ-normalized'!$A:$A, 0))-INDEX('UZ-normalized'!$E:$E, MATCH($A90, 'UZ-normalized'!$A:$A, 0))), 0), 0)))</f>
        <v>0</v>
      </c>
      <c r="T90" s="6">
        <f>MIN(0, N90+(IFERROR(IF(6*INDEX('UA-normalized'!$D:$D, MATCH($A90, 'UA-normalized'!$A:$A, 0))-INDEX('UA-normalized'!$E:$E, MATCH($A90, 'UA-normalized'!$A:$A, 0))&gt;0, -(6*INDEX('UA-normalized'!$D:$D, MATCH($A90, 'UA-normalized'!$A:$A, 0))-INDEX('UA-normalized'!$E:$E, MATCH($A90, 'UA-normalized'!$A:$A, 0))), 0), 0))+(IFERROR(IF(6*INDEX('KZ-normalized'!$D:$D, MATCH($A90, 'KZ-normalized'!$A:$A, 0))-INDEX('KZ-normalized'!$E:$E, MATCH($A90, 'KZ-normalized'!$A:$A, 0))&gt;0, -(6*INDEX('KZ-normalized'!$D:$D, MATCH($A90, 'KZ-normalized'!$A:$A, 0))-INDEX('KZ-normalized'!$E:$E, MATCH($A90, 'KZ-normalized'!$A:$A, 0))), 0), 0))+(IFERROR(IF(6*INDEX('UZ-normalized'!$D:$D, MATCH($A90, 'UZ-normalized'!$A:$A, 0))-INDEX('UZ-normalized'!$E:$E, MATCH($A90, 'UZ-normalized'!$A:$A, 0))&gt;0, -(6*INDEX('UZ-normalized'!$D:$D, MATCH($A90, 'UZ-normalized'!$A:$A, 0))-INDEX('UZ-normalized'!$E:$E, MATCH($A90, 'UZ-normalized'!$A:$A, 0))), 0), 0)))</f>
        <v>0</v>
      </c>
      <c r="U90" s="6">
        <f>MIN(0, N90+(IFERROR(IF(7*INDEX('UA-normalized'!$D:$D, MATCH($A90, 'UA-normalized'!$A:$A, 0))-INDEX('UA-normalized'!$E:$E, MATCH($A90, 'UA-normalized'!$A:$A, 0))&gt;0, -(7*INDEX('UA-normalized'!$D:$D, MATCH($A90, 'UA-normalized'!$A:$A, 0))-INDEX('UA-normalized'!$E:$E, MATCH($A90, 'UA-normalized'!$A:$A, 0))), 0), 0))+(IFERROR(IF(7*INDEX('KZ-normalized'!$D:$D, MATCH($A90, 'KZ-normalized'!$A:$A, 0))-INDEX('KZ-normalized'!$E:$E, MATCH($A90, 'KZ-normalized'!$A:$A, 0))&gt;0, -(7*INDEX('KZ-normalized'!$D:$D, MATCH($A90, 'KZ-normalized'!$A:$A, 0))-INDEX('KZ-normalized'!$E:$E, MATCH($A90, 'KZ-normalized'!$A:$A, 0))), 0), 0))+(IFERROR(IF(7*INDEX('UZ-normalized'!$D:$D, MATCH($A90, 'UZ-normalized'!$A:$A, 0))-INDEX('UZ-normalized'!$E:$E, MATCH($A90, 'UZ-normalized'!$A:$A, 0))&gt;0, -(7*INDEX('UZ-normalized'!$D:$D, MATCH($A90, 'UZ-normalized'!$A:$A, 0))-INDEX('UZ-normalized'!$E:$E, MATCH($A90, 'UZ-normalized'!$A:$A, 0))), 0), 0)))</f>
        <v>0</v>
      </c>
      <c r="V90" s="6">
        <f>MIN(0, N90+(IFERROR(IF(8*INDEX('UA-normalized'!$D:$D, MATCH($A90, 'UA-normalized'!$A:$A, 0))-INDEX('UA-normalized'!$E:$E, MATCH($A90, 'UA-normalized'!$A:$A, 0))&gt;0, -(8*INDEX('UA-normalized'!$D:$D, MATCH($A90, 'UA-normalized'!$A:$A, 0))-INDEX('UA-normalized'!$E:$E, MATCH($A90, 'UA-normalized'!$A:$A, 0))), 0), 0))+(IFERROR(IF(8*INDEX('KZ-normalized'!$D:$D, MATCH($A90, 'KZ-normalized'!$A:$A, 0))-INDEX('KZ-normalized'!$E:$E, MATCH($A90, 'KZ-normalized'!$A:$A, 0))&gt;0, -(8*INDEX('KZ-normalized'!$D:$D, MATCH($A90, 'KZ-normalized'!$A:$A, 0))-INDEX('KZ-normalized'!$E:$E, MATCH($A90, 'KZ-normalized'!$A:$A, 0))), 0), 0))+(IFERROR(IF(8*INDEX('UZ-normalized'!$D:$D, MATCH($A90, 'UZ-normalized'!$A:$A, 0))-INDEX('UZ-normalized'!$E:$E, MATCH($A90, 'UZ-normalized'!$A:$A, 0))&gt;0, -(8*INDEX('UZ-normalized'!$D:$D, MATCH($A90, 'UZ-normalized'!$A:$A, 0))-INDEX('UZ-normalized'!$E:$E, MATCH($A90, 'UZ-normalized'!$A:$A, 0))), 0), 0)))</f>
        <v>0</v>
      </c>
      <c r="W90" s="6">
        <f>MIN(0, N90+(IFERROR(IF(9*INDEX('UA-normalized'!$D:$D, MATCH($A90, 'UA-normalized'!$A:$A, 0))-INDEX('UA-normalized'!$E:$E, MATCH($A90, 'UA-normalized'!$A:$A, 0))&gt;0, -(9*INDEX('UA-normalized'!$D:$D, MATCH($A90, 'UA-normalized'!$A:$A, 0))-INDEX('UA-normalized'!$E:$E, MATCH($A90, 'UA-normalized'!$A:$A, 0))), 0), 0))+(IFERROR(IF(9*INDEX('KZ-normalized'!$D:$D, MATCH($A90, 'KZ-normalized'!$A:$A, 0))-INDEX('KZ-normalized'!$E:$E, MATCH($A90, 'KZ-normalized'!$A:$A, 0))&gt;0, -(9*INDEX('KZ-normalized'!$D:$D, MATCH($A90, 'KZ-normalized'!$A:$A, 0))-INDEX('KZ-normalized'!$E:$E, MATCH($A90, 'KZ-normalized'!$A:$A, 0))), 0), 0))+(IFERROR(IF(9*INDEX('UZ-normalized'!$D:$D, MATCH($A90, 'UZ-normalized'!$A:$A, 0))-INDEX('UZ-normalized'!$E:$E, MATCH($A90, 'UZ-normalized'!$A:$A, 0))&gt;0, -(9*INDEX('UZ-normalized'!$D:$D, MATCH($A90, 'UZ-normalized'!$A:$A, 0))-INDEX('UZ-normalized'!$E:$E, MATCH($A90, 'UZ-normalized'!$A:$A, 0))), 0), 0)))</f>
        <v>0</v>
      </c>
      <c r="X90" s="6">
        <f>MIN(0, N90+(IFERROR(IF(10*INDEX('UA-normalized'!$D:$D, MATCH($A90, 'UA-normalized'!$A:$A, 0))-INDEX('UA-normalized'!$E:$E, MATCH($A90, 'UA-normalized'!$A:$A, 0))&gt;0, -(10*INDEX('UA-normalized'!$D:$D, MATCH($A90, 'UA-normalized'!$A:$A, 0))-INDEX('UA-normalized'!$E:$E, MATCH($A90, 'UA-normalized'!$A:$A, 0))), 0), 0))+(IFERROR(IF(10*INDEX('KZ-normalized'!$D:$D, MATCH($A90, 'KZ-normalized'!$A:$A, 0))-INDEX('KZ-normalized'!$E:$E, MATCH($A90, 'KZ-normalized'!$A:$A, 0))&gt;0, -(10*INDEX('KZ-normalized'!$D:$D, MATCH($A90, 'KZ-normalized'!$A:$A, 0))-INDEX('KZ-normalized'!$E:$E, MATCH($A90, 'KZ-normalized'!$A:$A, 0))), 0), 0))+(IFERROR(IF(10*INDEX('UZ-normalized'!$D:$D, MATCH($A90, 'UZ-normalized'!$A:$A, 0))-INDEX('UZ-normalized'!$E:$E, MATCH($A90, 'UZ-normalized'!$A:$A, 0))&gt;0, -(10*INDEX('UZ-normalized'!$D:$D, MATCH($A90, 'UZ-normalized'!$A:$A, 0))-INDEX('UZ-normalized'!$E:$E, MATCH($A90, 'UZ-normalized'!$A:$A, 0))), 0), 0)))</f>
        <v>0</v>
      </c>
      <c r="Y90" s="6">
        <f>MIN(0, N90+(IFERROR(IF(11*INDEX('UA-normalized'!$D:$D, MATCH($A90, 'UA-normalized'!$A:$A, 0))-INDEX('UA-normalized'!$E:$E, MATCH($A90, 'UA-normalized'!$A:$A, 0))&gt;0, -(11*INDEX('UA-normalized'!$D:$D, MATCH($A90, 'UA-normalized'!$A:$A, 0))-INDEX('UA-normalized'!$E:$E, MATCH($A90, 'UA-normalized'!$A:$A, 0))), 0), 0))+(IFERROR(IF(11*INDEX('KZ-normalized'!$D:$D, MATCH($A90, 'KZ-normalized'!$A:$A, 0))-INDEX('KZ-normalized'!$E:$E, MATCH($A90, 'KZ-normalized'!$A:$A, 0))&gt;0, -(11*INDEX('KZ-normalized'!$D:$D, MATCH($A90, 'KZ-normalized'!$A:$A, 0))-INDEX('KZ-normalized'!$E:$E, MATCH($A90, 'KZ-normalized'!$A:$A, 0))), 0), 0))+(IFERROR(IF(11*INDEX('UZ-normalized'!$D:$D, MATCH($A90, 'UZ-normalized'!$A:$A, 0))-INDEX('UZ-normalized'!$E:$E, MATCH($A90, 'UZ-normalized'!$A:$A, 0))&gt;0, -(11*INDEX('UZ-normalized'!$D:$D, MATCH($A90, 'UZ-normalized'!$A:$A, 0))-INDEX('UZ-normalized'!$E:$E, MATCH($A90, 'UZ-normalized'!$A:$A, 0))), 0), 0)))</f>
        <v>0</v>
      </c>
      <c r="Z90" s="6">
        <f>MIN(0, N90+(IFERROR(IF(12*INDEX('UA-normalized'!$D:$D, MATCH($A90, 'UA-normalized'!$A:$A, 0))-INDEX('UA-normalized'!$E:$E, MATCH($A90, 'UA-normalized'!$A:$A, 0))&gt;0, -(12*INDEX('UA-normalized'!$D:$D, MATCH($A90, 'UA-normalized'!$A:$A, 0))-INDEX('UA-normalized'!$E:$E, MATCH($A90, 'UA-normalized'!$A:$A, 0))), 0), 0))+(IFERROR(IF(12*INDEX('KZ-normalized'!$D:$D, MATCH($A90, 'KZ-normalized'!$A:$A, 0))-INDEX('KZ-normalized'!$E:$E, MATCH($A90, 'KZ-normalized'!$A:$A, 0))&gt;0, -(12*INDEX('KZ-normalized'!$D:$D, MATCH($A90, 'KZ-normalized'!$A:$A, 0))-INDEX('KZ-normalized'!$E:$E, MATCH($A90, 'KZ-normalized'!$A:$A, 0))), 0), 0))+(IFERROR(IF(12*INDEX('UZ-normalized'!$D:$D, MATCH($A90, 'UZ-normalized'!$A:$A, 0))-INDEX('UZ-normalized'!$E:$E, MATCH($A90, 'UZ-normalized'!$A:$A, 0))&gt;0, -(12*INDEX('UZ-normalized'!$D:$D, MATCH($A90, 'UZ-normalized'!$A:$A, 0))-INDEX('UZ-normalized'!$E:$E, MATCH($A90, 'UZ-normalized'!$A:$A, 0))), 0), 0)))</f>
        <v>0</v>
      </c>
      <c r="AA90" s="6">
        <f>MIN(0, N90+(IFERROR(IF(13*INDEX('UA-normalized'!$D:$D, MATCH($A90, 'UA-normalized'!$A:$A, 0))-INDEX('UA-normalized'!$E:$E, MATCH($A90, 'UA-normalized'!$A:$A, 0))&gt;0, -(13*INDEX('UA-normalized'!$D:$D, MATCH($A90, 'UA-normalized'!$A:$A, 0))-INDEX('UA-normalized'!$E:$E, MATCH($A90, 'UA-normalized'!$A:$A, 0))), 0), 0))+(IFERROR(IF(13*INDEX('KZ-normalized'!$D:$D, MATCH($A90, 'KZ-normalized'!$A:$A, 0))-INDEX('KZ-normalized'!$E:$E, MATCH($A90, 'KZ-normalized'!$A:$A, 0))&gt;0, -(13*INDEX('KZ-normalized'!$D:$D, MATCH($A90, 'KZ-normalized'!$A:$A, 0))-INDEX('KZ-normalized'!$E:$E, MATCH($A90, 'KZ-normalized'!$A:$A, 0))), 0), 0))+(IFERROR(IF(13*INDEX('UZ-normalized'!$D:$D, MATCH($A90, 'UZ-normalized'!$A:$A, 0))-INDEX('UZ-normalized'!$E:$E, MATCH($A90, 'UZ-normalized'!$A:$A, 0))&gt;0, -(13*INDEX('UZ-normalized'!$D:$D, MATCH($A90, 'UZ-normalized'!$A:$A, 0))-INDEX('UZ-normalized'!$E:$E, MATCH($A90, 'UZ-normalized'!$A:$A, 0))), 0), 0)))</f>
        <v>0</v>
      </c>
      <c r="AB90" s="6">
        <f>MIN(0, N90+(IFERROR(IF(14*INDEX('UA-normalized'!$D:$D, MATCH($A90, 'UA-normalized'!$A:$A, 0))-INDEX('UA-normalized'!$E:$E, MATCH($A90, 'UA-normalized'!$A:$A, 0))&gt;0, -(14*INDEX('UA-normalized'!$D:$D, MATCH($A90, 'UA-normalized'!$A:$A, 0))-INDEX('UA-normalized'!$E:$E, MATCH($A90, 'UA-normalized'!$A:$A, 0))), 0), 0))+(IFERROR(IF(14*INDEX('KZ-normalized'!$D:$D, MATCH($A90, 'KZ-normalized'!$A:$A, 0))-INDEX('KZ-normalized'!$E:$E, MATCH($A90, 'KZ-normalized'!$A:$A, 0))&gt;0, -(14*INDEX('KZ-normalized'!$D:$D, MATCH($A90, 'KZ-normalized'!$A:$A, 0))-INDEX('KZ-normalized'!$E:$E, MATCH($A90, 'KZ-normalized'!$A:$A, 0))), 0), 0))+(IFERROR(IF(14*INDEX('UZ-normalized'!$D:$D, MATCH($A90, 'UZ-normalized'!$A:$A, 0))-INDEX('UZ-normalized'!$E:$E, MATCH($A90, 'UZ-normalized'!$A:$A, 0))&gt;0, -(14*INDEX('UZ-normalized'!$D:$D, MATCH($A90, 'UZ-normalized'!$A:$A, 0))-INDEX('UZ-normalized'!$E:$E, MATCH($A90, 'UZ-normalized'!$A:$A, 0))), 0), 0)))</f>
        <v>0</v>
      </c>
      <c r="AC90" s="6">
        <f>MIN(0, N90+(IFERROR(IF(15*INDEX('UA-normalized'!$D:$D, MATCH($A90, 'UA-normalized'!$A:$A, 0))-INDEX('UA-normalized'!$E:$E, MATCH($A90, 'UA-normalized'!$A:$A, 0))&gt;0, -(15*INDEX('UA-normalized'!$D:$D, MATCH($A90, 'UA-normalized'!$A:$A, 0))-INDEX('UA-normalized'!$E:$E, MATCH($A90, 'UA-normalized'!$A:$A, 0))), 0), 0))+(IFERROR(IF(15*INDEX('KZ-normalized'!$D:$D, MATCH($A90, 'KZ-normalized'!$A:$A, 0))-INDEX('KZ-normalized'!$E:$E, MATCH($A90, 'KZ-normalized'!$A:$A, 0))&gt;0, -(15*INDEX('KZ-normalized'!$D:$D, MATCH($A90, 'KZ-normalized'!$A:$A, 0))-INDEX('KZ-normalized'!$E:$E, MATCH($A90, 'KZ-normalized'!$A:$A, 0))), 0), 0))+(IFERROR(IF(15*INDEX('UZ-normalized'!$D:$D, MATCH($A90, 'UZ-normalized'!$A:$A, 0))-INDEX('UZ-normalized'!$E:$E, MATCH($A90, 'UZ-normalized'!$A:$A, 0))&gt;0, -(15*INDEX('UZ-normalized'!$D:$D, MATCH($A90, 'UZ-normalized'!$A:$A, 0))-INDEX('UZ-normalized'!$E:$E, MATCH($A90, 'UZ-normalized'!$A:$A, 0))), 0), 0)))</f>
        <v>0</v>
      </c>
      <c r="AD90" s="6">
        <f>MIN(0, N90+(IFERROR(IF(16*INDEX('UA-normalized'!$D:$D, MATCH($A90, 'UA-normalized'!$A:$A, 0))-INDEX('UA-normalized'!$E:$E, MATCH($A90, 'UA-normalized'!$A:$A, 0))&gt;0, -(16*INDEX('UA-normalized'!$D:$D, MATCH($A90, 'UA-normalized'!$A:$A, 0))-INDEX('UA-normalized'!$E:$E, MATCH($A90, 'UA-normalized'!$A:$A, 0))), 0), 0))+(IFERROR(IF(16*INDEX('KZ-normalized'!$D:$D, MATCH($A90, 'KZ-normalized'!$A:$A, 0))-INDEX('KZ-normalized'!$E:$E, MATCH($A90, 'KZ-normalized'!$A:$A, 0))&gt;0, -(16*INDEX('KZ-normalized'!$D:$D, MATCH($A90, 'KZ-normalized'!$A:$A, 0))-INDEX('KZ-normalized'!$E:$E, MATCH($A90, 'KZ-normalized'!$A:$A, 0))), 0), 0))+(IFERROR(IF(16*INDEX('UZ-normalized'!$D:$D, MATCH($A90, 'UZ-normalized'!$A:$A, 0))-INDEX('UZ-normalized'!$E:$E, MATCH($A90, 'UZ-normalized'!$A:$A, 0))&gt;0, -(16*INDEX('UZ-normalized'!$D:$D, MATCH($A90, 'UZ-normalized'!$A:$A, 0))-INDEX('UZ-normalized'!$E:$E, MATCH($A90, 'UZ-normalized'!$A:$A, 0))), 0), 0)))</f>
        <v>0</v>
      </c>
      <c r="AE90" s="6">
        <f>MIN(0, N90+(IFERROR(IF(17*INDEX('UA-normalized'!$D:$D, MATCH($A90, 'UA-normalized'!$A:$A, 0))-INDEX('UA-normalized'!$E:$E, MATCH($A90, 'UA-normalized'!$A:$A, 0))&gt;0, -(17*INDEX('UA-normalized'!$D:$D, MATCH($A90, 'UA-normalized'!$A:$A, 0))-INDEX('UA-normalized'!$E:$E, MATCH($A90, 'UA-normalized'!$A:$A, 0))), 0), 0))+(IFERROR(IF(17*INDEX('KZ-normalized'!$D:$D, MATCH($A90, 'KZ-normalized'!$A:$A, 0))-INDEX('KZ-normalized'!$E:$E, MATCH($A90, 'KZ-normalized'!$A:$A, 0))&gt;0, -(17*INDEX('KZ-normalized'!$D:$D, MATCH($A90, 'KZ-normalized'!$A:$A, 0))-INDEX('KZ-normalized'!$E:$E, MATCH($A90, 'KZ-normalized'!$A:$A, 0))), 0), 0))+(IFERROR(IF(17*INDEX('UZ-normalized'!$D:$D, MATCH($A90, 'UZ-normalized'!$A:$A, 0))-INDEX('UZ-normalized'!$E:$E, MATCH($A90, 'UZ-normalized'!$A:$A, 0))&gt;0, -(17*INDEX('UZ-normalized'!$D:$D, MATCH($A90, 'UZ-normalized'!$A:$A, 0))-INDEX('UZ-normalized'!$E:$E, MATCH($A90, 'UZ-normalized'!$A:$A, 0))), 0), 0)))</f>
        <v>0</v>
      </c>
      <c r="AF90" s="6">
        <f>MIN(0, N90+(IFERROR(IF(18*INDEX('UA-normalized'!$D:$D, MATCH($A90, 'UA-normalized'!$A:$A, 0))-INDEX('UA-normalized'!$E:$E, MATCH($A90, 'UA-normalized'!$A:$A, 0))&gt;0, -(18*INDEX('UA-normalized'!$D:$D, MATCH($A90, 'UA-normalized'!$A:$A, 0))-INDEX('UA-normalized'!$E:$E, MATCH($A90, 'UA-normalized'!$A:$A, 0))), 0), 0))+(IFERROR(IF(18*INDEX('KZ-normalized'!$D:$D, MATCH($A90, 'KZ-normalized'!$A:$A, 0))-INDEX('KZ-normalized'!$E:$E, MATCH($A90, 'KZ-normalized'!$A:$A, 0))&gt;0, -(18*INDEX('KZ-normalized'!$D:$D, MATCH($A90, 'KZ-normalized'!$A:$A, 0))-INDEX('KZ-normalized'!$E:$E, MATCH($A90, 'KZ-normalized'!$A:$A, 0))), 0), 0))+(IFERROR(IF(18*INDEX('UZ-normalized'!$D:$D, MATCH($A90, 'UZ-normalized'!$A:$A, 0))-INDEX('UZ-normalized'!$E:$E, MATCH($A90, 'UZ-normalized'!$A:$A, 0))&gt;0, -(18*INDEX('UZ-normalized'!$D:$D, MATCH($A90, 'UZ-normalized'!$A:$A, 0))-INDEX('UZ-normalized'!$E:$E, MATCH($A90, 'UZ-normalized'!$A:$A, 0))), 0), 0)))</f>
        <v>0</v>
      </c>
      <c r="AG90" s="6">
        <f>MIN(0, N90+(IFERROR(IF(19*INDEX('UA-normalized'!$D:$D, MATCH($A90, 'UA-normalized'!$A:$A, 0))-INDEX('UA-normalized'!$E:$E, MATCH($A90, 'UA-normalized'!$A:$A, 0))&gt;0, -(19*INDEX('UA-normalized'!$D:$D, MATCH($A90, 'UA-normalized'!$A:$A, 0))-INDEX('UA-normalized'!$E:$E, MATCH($A90, 'UA-normalized'!$A:$A, 0))), 0), 0))+(IFERROR(IF(19*INDEX('KZ-normalized'!$D:$D, MATCH($A90, 'KZ-normalized'!$A:$A, 0))-INDEX('KZ-normalized'!$E:$E, MATCH($A90, 'KZ-normalized'!$A:$A, 0))&gt;0, -(19*INDEX('KZ-normalized'!$D:$D, MATCH($A90, 'KZ-normalized'!$A:$A, 0))-INDEX('KZ-normalized'!$E:$E, MATCH($A90, 'KZ-normalized'!$A:$A, 0))), 0), 0))+(IFERROR(IF(19*INDEX('UZ-normalized'!$D:$D, MATCH($A90, 'UZ-normalized'!$A:$A, 0))-INDEX('UZ-normalized'!$E:$E, MATCH($A90, 'UZ-normalized'!$A:$A, 0))&gt;0, -(19*INDEX('UZ-normalized'!$D:$D, MATCH($A90, 'UZ-normalized'!$A:$A, 0))-INDEX('UZ-normalized'!$E:$E, MATCH($A90, 'UZ-normalized'!$A:$A, 0))), 0), 0)))</f>
        <v>0</v>
      </c>
      <c r="AH90" s="6">
        <f>MIN(0, N90+(IFERROR(IF(20*INDEX('UA-normalized'!$D:$D, MATCH($A90, 'UA-normalized'!$A:$A, 0))-INDEX('UA-normalized'!$E:$E, MATCH($A90, 'UA-normalized'!$A:$A, 0))&gt;0, -(20*INDEX('UA-normalized'!$D:$D, MATCH($A90, 'UA-normalized'!$A:$A, 0))-INDEX('UA-normalized'!$E:$E, MATCH($A90, 'UA-normalized'!$A:$A, 0))), 0), 0))+(IFERROR(IF(20*INDEX('KZ-normalized'!$D:$D, MATCH($A90, 'KZ-normalized'!$A:$A, 0))-INDEX('KZ-normalized'!$E:$E, MATCH($A90, 'KZ-normalized'!$A:$A, 0))&gt;0, -(20*INDEX('KZ-normalized'!$D:$D, MATCH($A90, 'KZ-normalized'!$A:$A, 0))-INDEX('KZ-normalized'!$E:$E, MATCH($A90, 'KZ-normalized'!$A:$A, 0))), 0), 0))+(IFERROR(IF(20*INDEX('UZ-normalized'!$D:$D, MATCH($A90, 'UZ-normalized'!$A:$A, 0))-INDEX('UZ-normalized'!$E:$E, MATCH($A90, 'UZ-normalized'!$A:$A, 0))&gt;0, -(20*INDEX('UZ-normalized'!$D:$D, MATCH($A90, 'UZ-normalized'!$A:$A, 0))-INDEX('UZ-normalized'!$E:$E, MATCH($A90, 'UZ-normalized'!$A:$A, 0))), 0), 0)))</f>
        <v>0</v>
      </c>
      <c r="AI90" s="6">
        <f>MIN(0, N90+(IFERROR(IF(21*INDEX('UA-normalized'!$D:$D, MATCH($A90, 'UA-normalized'!$A:$A, 0))-INDEX('UA-normalized'!$E:$E, MATCH($A90, 'UA-normalized'!$A:$A, 0))&gt;0, -(21*INDEX('UA-normalized'!$D:$D, MATCH($A90, 'UA-normalized'!$A:$A, 0))-INDEX('UA-normalized'!$E:$E, MATCH($A90, 'UA-normalized'!$A:$A, 0))), 0), 0))+(IFERROR(IF(21*INDEX('KZ-normalized'!$D:$D, MATCH($A90, 'KZ-normalized'!$A:$A, 0))-INDEX('KZ-normalized'!$E:$E, MATCH($A90, 'KZ-normalized'!$A:$A, 0))&gt;0, -(21*INDEX('KZ-normalized'!$D:$D, MATCH($A90, 'KZ-normalized'!$A:$A, 0))-INDEX('KZ-normalized'!$E:$E, MATCH($A90, 'KZ-normalized'!$A:$A, 0))), 0), 0))+(IFERROR(IF(21*INDEX('UZ-normalized'!$D:$D, MATCH($A90, 'UZ-normalized'!$A:$A, 0))-INDEX('UZ-normalized'!$E:$E, MATCH($A90, 'UZ-normalized'!$A:$A, 0))&gt;0, -(21*INDEX('UZ-normalized'!$D:$D, MATCH($A90, 'UZ-normalized'!$A:$A, 0))-INDEX('UZ-normalized'!$E:$E, MATCH($A90, 'UZ-normalized'!$A:$A, 0))), 0), 0)))</f>
        <v>0</v>
      </c>
      <c r="AJ90" s="6">
        <f>MIN(0, N90+(IFERROR(IF(22*INDEX('UA-normalized'!$D:$D, MATCH($A90, 'UA-normalized'!$A:$A, 0))-INDEX('UA-normalized'!$E:$E, MATCH($A90, 'UA-normalized'!$A:$A, 0))&gt;0, -(22*INDEX('UA-normalized'!$D:$D, MATCH($A90, 'UA-normalized'!$A:$A, 0))-INDEX('UA-normalized'!$E:$E, MATCH($A90, 'UA-normalized'!$A:$A, 0))), 0), 0))+(IFERROR(IF(22*INDEX('KZ-normalized'!$D:$D, MATCH($A90, 'KZ-normalized'!$A:$A, 0))-INDEX('KZ-normalized'!$E:$E, MATCH($A90, 'KZ-normalized'!$A:$A, 0))&gt;0, -(22*INDEX('KZ-normalized'!$D:$D, MATCH($A90, 'KZ-normalized'!$A:$A, 0))-INDEX('KZ-normalized'!$E:$E, MATCH($A90, 'KZ-normalized'!$A:$A, 0))), 0), 0))+(IFERROR(IF(22*INDEX('UZ-normalized'!$D:$D, MATCH($A90, 'UZ-normalized'!$A:$A, 0))-INDEX('UZ-normalized'!$E:$E, MATCH($A90, 'UZ-normalized'!$A:$A, 0))&gt;0, -(22*INDEX('UZ-normalized'!$D:$D, MATCH($A90, 'UZ-normalized'!$A:$A, 0))-INDEX('UZ-normalized'!$E:$E, MATCH($A90, 'UZ-normalized'!$A:$A, 0))), 0), 0)))</f>
        <v>0</v>
      </c>
      <c r="AK90" s="6">
        <f>MIN(0, N90+(IFERROR(IF(23*INDEX('UA-normalized'!$D:$D, MATCH($A90, 'UA-normalized'!$A:$A, 0))-INDEX('UA-normalized'!$E:$E, MATCH($A90, 'UA-normalized'!$A:$A, 0))&gt;0, -(23*INDEX('UA-normalized'!$D:$D, MATCH($A90, 'UA-normalized'!$A:$A, 0))-INDEX('UA-normalized'!$E:$E, MATCH($A90, 'UA-normalized'!$A:$A, 0))), 0), 0))+(IFERROR(IF(23*INDEX('KZ-normalized'!$D:$D, MATCH($A90, 'KZ-normalized'!$A:$A, 0))-INDEX('KZ-normalized'!$E:$E, MATCH($A90, 'KZ-normalized'!$A:$A, 0))&gt;0, -(23*INDEX('KZ-normalized'!$D:$D, MATCH($A90, 'KZ-normalized'!$A:$A, 0))-INDEX('KZ-normalized'!$E:$E, MATCH($A90, 'KZ-normalized'!$A:$A, 0))), 0), 0))+(IFERROR(IF(23*INDEX('UZ-normalized'!$D:$D, MATCH($A90, 'UZ-normalized'!$A:$A, 0))-INDEX('UZ-normalized'!$E:$E, MATCH($A90, 'UZ-normalized'!$A:$A, 0))&gt;0, -(23*INDEX('UZ-normalized'!$D:$D, MATCH($A90, 'UZ-normalized'!$A:$A, 0))-INDEX('UZ-normalized'!$E:$E, MATCH($A90, 'UZ-normalized'!$A:$A, 0))), 0), 0)))</f>
        <v>0</v>
      </c>
      <c r="AL90" s="6">
        <f>MIN(0, N90+(IFERROR(IF(24*INDEX('UA-normalized'!$D:$D, MATCH($A90, 'UA-normalized'!$A:$A, 0))-INDEX('UA-normalized'!$E:$E, MATCH($A90, 'UA-normalized'!$A:$A, 0))&gt;0, -(24*INDEX('UA-normalized'!$D:$D, MATCH($A90, 'UA-normalized'!$A:$A, 0))-INDEX('UA-normalized'!$E:$E, MATCH($A90, 'UA-normalized'!$A:$A, 0))), 0), 0))+(IFERROR(IF(24*INDEX('KZ-normalized'!$D:$D, MATCH($A90, 'KZ-normalized'!$A:$A, 0))-INDEX('KZ-normalized'!$E:$E, MATCH($A90, 'KZ-normalized'!$A:$A, 0))&gt;0, -(24*INDEX('KZ-normalized'!$D:$D, MATCH($A90, 'KZ-normalized'!$A:$A, 0))-INDEX('KZ-normalized'!$E:$E, MATCH($A90, 'KZ-normalized'!$A:$A, 0))), 0), 0))+(IFERROR(IF(24*INDEX('UZ-normalized'!$D:$D, MATCH($A90, 'UZ-normalized'!$A:$A, 0))-INDEX('UZ-normalized'!$E:$E, MATCH($A90, 'UZ-normalized'!$A:$A, 0))&gt;0, -(24*INDEX('UZ-normalized'!$D:$D, MATCH($A90, 'UZ-normalized'!$A:$A, 0))-INDEX('UZ-normalized'!$E:$E, MATCH($A90, 'UZ-normalized'!$A:$A, 0))), 0), 0)))</f>
        <v>0</v>
      </c>
      <c r="AM90" s="6">
        <f>MIN(0, N90+(IFERROR(IF(25*INDEX('UA-normalized'!$D:$D, MATCH($A90, 'UA-normalized'!$A:$A, 0))-INDEX('UA-normalized'!$E:$E, MATCH($A90, 'UA-normalized'!$A:$A, 0))&gt;0, -(25*INDEX('UA-normalized'!$D:$D, MATCH($A90, 'UA-normalized'!$A:$A, 0))-INDEX('UA-normalized'!$E:$E, MATCH($A90, 'UA-normalized'!$A:$A, 0))), 0), 0))+(IFERROR(IF(25*INDEX('KZ-normalized'!$D:$D, MATCH($A90, 'KZ-normalized'!$A:$A, 0))-INDEX('KZ-normalized'!$E:$E, MATCH($A90, 'KZ-normalized'!$A:$A, 0))&gt;0, -(25*INDEX('KZ-normalized'!$D:$D, MATCH($A90, 'KZ-normalized'!$A:$A, 0))-INDEX('KZ-normalized'!$E:$E, MATCH($A90, 'KZ-normalized'!$A:$A, 0))), 0), 0))+(IFERROR(IF(25*INDEX('UZ-normalized'!$D:$D, MATCH($A90, 'UZ-normalized'!$A:$A, 0))-INDEX('UZ-normalized'!$E:$E, MATCH($A90, 'UZ-normalized'!$A:$A, 0))&gt;0, -(25*INDEX('UZ-normalized'!$D:$D, MATCH($A90, 'UZ-normalized'!$A:$A, 0))-INDEX('UZ-normalized'!$E:$E, MATCH($A90, 'UZ-normalized'!$A:$A, 0))), 0), 0)))</f>
        <v>0</v>
      </c>
      <c r="AN90" s="6">
        <f>MIN(0, N90+(IFERROR(IF(26*INDEX('UA-normalized'!$D:$D, MATCH($A90, 'UA-normalized'!$A:$A, 0))-INDEX('UA-normalized'!$E:$E, MATCH($A90, 'UA-normalized'!$A:$A, 0))&gt;0, -(26*INDEX('UA-normalized'!$D:$D, MATCH($A90, 'UA-normalized'!$A:$A, 0))-INDEX('UA-normalized'!$E:$E, MATCH($A90, 'UA-normalized'!$A:$A, 0))), 0), 0))+(IFERROR(IF(26*INDEX('KZ-normalized'!$D:$D, MATCH($A90, 'KZ-normalized'!$A:$A, 0))-INDEX('KZ-normalized'!$E:$E, MATCH($A90, 'KZ-normalized'!$A:$A, 0))&gt;0, -(26*INDEX('KZ-normalized'!$D:$D, MATCH($A90, 'KZ-normalized'!$A:$A, 0))-INDEX('KZ-normalized'!$E:$E, MATCH($A90, 'KZ-normalized'!$A:$A, 0))), 0), 0))+(IFERROR(IF(26*INDEX('UZ-normalized'!$D:$D, MATCH($A90, 'UZ-normalized'!$A:$A, 0))-INDEX('UZ-normalized'!$E:$E, MATCH($A90, 'UZ-normalized'!$A:$A, 0))&gt;0, -(26*INDEX('UZ-normalized'!$D:$D, MATCH($A90, 'UZ-normalized'!$A:$A, 0))-INDEX('UZ-normalized'!$E:$E, MATCH($A90, 'UZ-normalized'!$A:$A, 0))), 0), 0)))</f>
        <v>0</v>
      </c>
      <c r="AO90" s="6">
        <f>MIN(0, N90+(IFERROR(IF(27*INDEX('UA-normalized'!$D:$D, MATCH($A90, 'UA-normalized'!$A:$A, 0))-INDEX('UA-normalized'!$E:$E, MATCH($A90, 'UA-normalized'!$A:$A, 0))&gt;0, -(27*INDEX('UA-normalized'!$D:$D, MATCH($A90, 'UA-normalized'!$A:$A, 0))-INDEX('UA-normalized'!$E:$E, MATCH($A90, 'UA-normalized'!$A:$A, 0))), 0), 0))+(IFERROR(IF(27*INDEX('KZ-normalized'!$D:$D, MATCH($A90, 'KZ-normalized'!$A:$A, 0))-INDEX('KZ-normalized'!$E:$E, MATCH($A90, 'KZ-normalized'!$A:$A, 0))&gt;0, -(27*INDEX('KZ-normalized'!$D:$D, MATCH($A90, 'KZ-normalized'!$A:$A, 0))-INDEX('KZ-normalized'!$E:$E, MATCH($A90, 'KZ-normalized'!$A:$A, 0))), 0), 0))+(IFERROR(IF(27*INDEX('UZ-normalized'!$D:$D, MATCH($A90, 'UZ-normalized'!$A:$A, 0))-INDEX('UZ-normalized'!$E:$E, MATCH($A90, 'UZ-normalized'!$A:$A, 0))&gt;0, -(27*INDEX('UZ-normalized'!$D:$D, MATCH($A90, 'UZ-normalized'!$A:$A, 0))-INDEX('UZ-normalized'!$E:$E, MATCH($A90, 'UZ-normalized'!$A:$A, 0))), 0), 0)))</f>
        <v>0</v>
      </c>
      <c r="AP90" s="6">
        <f>MIN(0, N90+(IFERROR(IF(28*INDEX('UA-normalized'!$D:$D, MATCH($A90, 'UA-normalized'!$A:$A, 0))-INDEX('UA-normalized'!$E:$E, MATCH($A90, 'UA-normalized'!$A:$A, 0))&gt;0, -(28*INDEX('UA-normalized'!$D:$D, MATCH($A90, 'UA-normalized'!$A:$A, 0))-INDEX('UA-normalized'!$E:$E, MATCH($A90, 'UA-normalized'!$A:$A, 0))), 0), 0))+(IFERROR(IF(28*INDEX('KZ-normalized'!$D:$D, MATCH($A90, 'KZ-normalized'!$A:$A, 0))-INDEX('KZ-normalized'!$E:$E, MATCH($A90, 'KZ-normalized'!$A:$A, 0))&gt;0, -(28*INDEX('KZ-normalized'!$D:$D, MATCH($A90, 'KZ-normalized'!$A:$A, 0))-INDEX('KZ-normalized'!$E:$E, MATCH($A90, 'KZ-normalized'!$A:$A, 0))), 0), 0))+(IFERROR(IF(28*INDEX('UZ-normalized'!$D:$D, MATCH($A90, 'UZ-normalized'!$A:$A, 0))-INDEX('UZ-normalized'!$E:$E, MATCH($A90, 'UZ-normalized'!$A:$A, 0))&gt;0, -(28*INDEX('UZ-normalized'!$D:$D, MATCH($A90, 'UZ-normalized'!$A:$A, 0))-INDEX('UZ-normalized'!$E:$E, MATCH($A90, 'UZ-normalized'!$A:$A, 0))), 0), 0)))</f>
        <v>0</v>
      </c>
      <c r="AQ90" s="6">
        <f>MIN(0, N90+(IFERROR(IF(29*INDEX('UA-normalized'!$D:$D, MATCH($A90, 'UA-normalized'!$A:$A, 0))-INDEX('UA-normalized'!$E:$E, MATCH($A90, 'UA-normalized'!$A:$A, 0))&gt;0, -(29*INDEX('UA-normalized'!$D:$D, MATCH($A90, 'UA-normalized'!$A:$A, 0))-INDEX('UA-normalized'!$E:$E, MATCH($A90, 'UA-normalized'!$A:$A, 0))), 0), 0))+(IFERROR(IF(29*INDEX('KZ-normalized'!$D:$D, MATCH($A90, 'KZ-normalized'!$A:$A, 0))-INDEX('KZ-normalized'!$E:$E, MATCH($A90, 'KZ-normalized'!$A:$A, 0))&gt;0, -(29*INDEX('KZ-normalized'!$D:$D, MATCH($A90, 'KZ-normalized'!$A:$A, 0))-INDEX('KZ-normalized'!$E:$E, MATCH($A90, 'KZ-normalized'!$A:$A, 0))), 0), 0))+(IFERROR(IF(29*INDEX('UZ-normalized'!$D:$D, MATCH($A90, 'UZ-normalized'!$A:$A, 0))-INDEX('UZ-normalized'!$E:$E, MATCH($A90, 'UZ-normalized'!$A:$A, 0))&gt;0, -(29*INDEX('UZ-normalized'!$D:$D, MATCH($A90, 'UZ-normalized'!$A:$A, 0))-INDEX('UZ-normalized'!$E:$E, MATCH($A90, 'UZ-normalized'!$A:$A, 0))), 0), 0)))</f>
        <v>0</v>
      </c>
      <c r="AR90" s="6">
        <f>MIN(0, N90+(IFERROR(IF(30*INDEX('UA-normalized'!$D:$D, MATCH($A90, 'UA-normalized'!$A:$A, 0))-INDEX('UA-normalized'!$E:$E, MATCH($A90, 'UA-normalized'!$A:$A, 0))&gt;0, -(30*INDEX('UA-normalized'!$D:$D, MATCH($A90, 'UA-normalized'!$A:$A, 0))-INDEX('UA-normalized'!$E:$E, MATCH($A90, 'UA-normalized'!$A:$A, 0))), 0), 0))+(IFERROR(IF(30*INDEX('KZ-normalized'!$D:$D, MATCH($A90, 'KZ-normalized'!$A:$A, 0))-INDEX('KZ-normalized'!$E:$E, MATCH($A90, 'KZ-normalized'!$A:$A, 0))&gt;0, -(30*INDEX('KZ-normalized'!$D:$D, MATCH($A90, 'KZ-normalized'!$A:$A, 0))-INDEX('KZ-normalized'!$E:$E, MATCH($A90, 'KZ-normalized'!$A:$A, 0))), 0), 0))+(IFERROR(IF(30*INDEX('UZ-normalized'!$D:$D, MATCH($A90, 'UZ-normalized'!$A:$A, 0))-INDEX('UZ-normalized'!$E:$E, MATCH($A90, 'UZ-normalized'!$A:$A, 0))&gt;0, -(30*INDEX('UZ-normalized'!$D:$D, MATCH($A90, 'UZ-normalized'!$A:$A, 0))-INDEX('UZ-normalized'!$E:$E, MATCH($A90, 'UZ-normalized'!$A:$A, 0))), 0), 0)))</f>
        <v>0</v>
      </c>
    </row>
    <row r="91" spans="1:44" x14ac:dyDescent="0.25">
      <c r="A91" s="8" t="s">
        <v>232</v>
      </c>
      <c r="B91" s="8" t="s">
        <v>180</v>
      </c>
      <c r="C91" s="8" t="s">
        <v>206</v>
      </c>
      <c r="D91" s="8" t="s">
        <v>233</v>
      </c>
      <c r="F91">
        <v>372</v>
      </c>
      <c r="N91">
        <f t="shared" si="1"/>
        <v>372</v>
      </c>
      <c r="O91" s="6">
        <f>MIN(0, N91+(IFERROR(IF(1*INDEX('UA-normalized'!$D:$D, MATCH($A91, 'UA-normalized'!$A:$A, 0))-INDEX('UA-normalized'!$E:$E, MATCH($A91, 'UA-normalized'!$A:$A, 0))&gt;0, -(1*INDEX('UA-normalized'!$D:$D, MATCH($A91, 'UA-normalized'!$A:$A, 0))-INDEX('UA-normalized'!$E:$E, MATCH($A91, 'UA-normalized'!$A:$A, 0))), 0), 0))+(IFERROR(IF(1*INDEX('KZ-normalized'!$D:$D, MATCH($A91, 'KZ-normalized'!$A:$A, 0))-INDEX('KZ-normalized'!$E:$E, MATCH($A91, 'KZ-normalized'!$A:$A, 0))&gt;0, -(1*INDEX('KZ-normalized'!$D:$D, MATCH($A91, 'KZ-normalized'!$A:$A, 0))-INDEX('KZ-normalized'!$E:$E, MATCH($A91, 'KZ-normalized'!$A:$A, 0))), 0), 0))+(IFERROR(IF(1*INDEX('UZ-normalized'!$D:$D, MATCH($A91, 'UZ-normalized'!$A:$A, 0))-INDEX('UZ-normalized'!$E:$E, MATCH($A91, 'UZ-normalized'!$A:$A, 0))&gt;0, -(1*INDEX('UZ-normalized'!$D:$D, MATCH($A91, 'UZ-normalized'!$A:$A, 0))-INDEX('UZ-normalized'!$E:$E, MATCH($A91, 'UZ-normalized'!$A:$A, 0))), 0), 0)))</f>
        <v>0</v>
      </c>
      <c r="P91" s="6">
        <f>MIN(0, N91+(IFERROR(IF(2*INDEX('UA-normalized'!$D:$D, MATCH($A91, 'UA-normalized'!$A:$A, 0))-INDEX('UA-normalized'!$E:$E, MATCH($A91, 'UA-normalized'!$A:$A, 0))&gt;0, -(2*INDEX('UA-normalized'!$D:$D, MATCH($A91, 'UA-normalized'!$A:$A, 0))-INDEX('UA-normalized'!$E:$E, MATCH($A91, 'UA-normalized'!$A:$A, 0))), 0), 0))+(IFERROR(IF(2*INDEX('KZ-normalized'!$D:$D, MATCH($A91, 'KZ-normalized'!$A:$A, 0))-INDEX('KZ-normalized'!$E:$E, MATCH($A91, 'KZ-normalized'!$A:$A, 0))&gt;0, -(2*INDEX('KZ-normalized'!$D:$D, MATCH($A91, 'KZ-normalized'!$A:$A, 0))-INDEX('KZ-normalized'!$E:$E, MATCH($A91, 'KZ-normalized'!$A:$A, 0))), 0), 0))+(IFERROR(IF(2*INDEX('UZ-normalized'!$D:$D, MATCH($A91, 'UZ-normalized'!$A:$A, 0))-INDEX('UZ-normalized'!$E:$E, MATCH($A91, 'UZ-normalized'!$A:$A, 0))&gt;0, -(2*INDEX('UZ-normalized'!$D:$D, MATCH($A91, 'UZ-normalized'!$A:$A, 0))-INDEX('UZ-normalized'!$E:$E, MATCH($A91, 'UZ-normalized'!$A:$A, 0))), 0), 0)))</f>
        <v>0</v>
      </c>
      <c r="Q91" s="6">
        <f>MIN(0, N91+(IFERROR(IF(3*INDEX('UA-normalized'!$D:$D, MATCH($A91, 'UA-normalized'!$A:$A, 0))-INDEX('UA-normalized'!$E:$E, MATCH($A91, 'UA-normalized'!$A:$A, 0))&gt;0, -(3*INDEX('UA-normalized'!$D:$D, MATCH($A91, 'UA-normalized'!$A:$A, 0))-INDEX('UA-normalized'!$E:$E, MATCH($A91, 'UA-normalized'!$A:$A, 0))), 0), 0))+(IFERROR(IF(3*INDEX('KZ-normalized'!$D:$D, MATCH($A91, 'KZ-normalized'!$A:$A, 0))-INDEX('KZ-normalized'!$E:$E, MATCH($A91, 'KZ-normalized'!$A:$A, 0))&gt;0, -(3*INDEX('KZ-normalized'!$D:$D, MATCH($A91, 'KZ-normalized'!$A:$A, 0))-INDEX('KZ-normalized'!$E:$E, MATCH($A91, 'KZ-normalized'!$A:$A, 0))), 0), 0))+(IFERROR(IF(3*INDEX('UZ-normalized'!$D:$D, MATCH($A91, 'UZ-normalized'!$A:$A, 0))-INDEX('UZ-normalized'!$E:$E, MATCH($A91, 'UZ-normalized'!$A:$A, 0))&gt;0, -(3*INDEX('UZ-normalized'!$D:$D, MATCH($A91, 'UZ-normalized'!$A:$A, 0))-INDEX('UZ-normalized'!$E:$E, MATCH($A91, 'UZ-normalized'!$A:$A, 0))), 0), 0)))</f>
        <v>0</v>
      </c>
      <c r="R91" s="6">
        <f>MIN(0, N91+(IFERROR(IF(4*INDEX('UA-normalized'!$D:$D, MATCH($A91, 'UA-normalized'!$A:$A, 0))-INDEX('UA-normalized'!$E:$E, MATCH($A91, 'UA-normalized'!$A:$A, 0))&gt;0, -(4*INDEX('UA-normalized'!$D:$D, MATCH($A91, 'UA-normalized'!$A:$A, 0))-INDEX('UA-normalized'!$E:$E, MATCH($A91, 'UA-normalized'!$A:$A, 0))), 0), 0))+(IFERROR(IF(4*INDEX('KZ-normalized'!$D:$D, MATCH($A91, 'KZ-normalized'!$A:$A, 0))-INDEX('KZ-normalized'!$E:$E, MATCH($A91, 'KZ-normalized'!$A:$A, 0))&gt;0, -(4*INDEX('KZ-normalized'!$D:$D, MATCH($A91, 'KZ-normalized'!$A:$A, 0))-INDEX('KZ-normalized'!$E:$E, MATCH($A91, 'KZ-normalized'!$A:$A, 0))), 0), 0))+(IFERROR(IF(4*INDEX('UZ-normalized'!$D:$D, MATCH($A91, 'UZ-normalized'!$A:$A, 0))-INDEX('UZ-normalized'!$E:$E, MATCH($A91, 'UZ-normalized'!$A:$A, 0))&gt;0, -(4*INDEX('UZ-normalized'!$D:$D, MATCH($A91, 'UZ-normalized'!$A:$A, 0))-INDEX('UZ-normalized'!$E:$E, MATCH($A91, 'UZ-normalized'!$A:$A, 0))), 0), 0)))</f>
        <v>0</v>
      </c>
      <c r="S91" s="6">
        <f>MIN(0, N91+(IFERROR(IF(5*INDEX('UA-normalized'!$D:$D, MATCH($A91, 'UA-normalized'!$A:$A, 0))-INDEX('UA-normalized'!$E:$E, MATCH($A91, 'UA-normalized'!$A:$A, 0))&gt;0, -(5*INDEX('UA-normalized'!$D:$D, MATCH($A91, 'UA-normalized'!$A:$A, 0))-INDEX('UA-normalized'!$E:$E, MATCH($A91, 'UA-normalized'!$A:$A, 0))), 0), 0))+(IFERROR(IF(5*INDEX('KZ-normalized'!$D:$D, MATCH($A91, 'KZ-normalized'!$A:$A, 0))-INDEX('KZ-normalized'!$E:$E, MATCH($A91, 'KZ-normalized'!$A:$A, 0))&gt;0, -(5*INDEX('KZ-normalized'!$D:$D, MATCH($A91, 'KZ-normalized'!$A:$A, 0))-INDEX('KZ-normalized'!$E:$E, MATCH($A91, 'KZ-normalized'!$A:$A, 0))), 0), 0))+(IFERROR(IF(5*INDEX('UZ-normalized'!$D:$D, MATCH($A91, 'UZ-normalized'!$A:$A, 0))-INDEX('UZ-normalized'!$E:$E, MATCH($A91, 'UZ-normalized'!$A:$A, 0))&gt;0, -(5*INDEX('UZ-normalized'!$D:$D, MATCH($A91, 'UZ-normalized'!$A:$A, 0))-INDEX('UZ-normalized'!$E:$E, MATCH($A91, 'UZ-normalized'!$A:$A, 0))), 0), 0)))</f>
        <v>0</v>
      </c>
      <c r="T91" s="6">
        <f>MIN(0, N91+(IFERROR(IF(6*INDEX('UA-normalized'!$D:$D, MATCH($A91, 'UA-normalized'!$A:$A, 0))-INDEX('UA-normalized'!$E:$E, MATCH($A91, 'UA-normalized'!$A:$A, 0))&gt;0, -(6*INDEX('UA-normalized'!$D:$D, MATCH($A91, 'UA-normalized'!$A:$A, 0))-INDEX('UA-normalized'!$E:$E, MATCH($A91, 'UA-normalized'!$A:$A, 0))), 0), 0))+(IFERROR(IF(6*INDEX('KZ-normalized'!$D:$D, MATCH($A91, 'KZ-normalized'!$A:$A, 0))-INDEX('KZ-normalized'!$E:$E, MATCH($A91, 'KZ-normalized'!$A:$A, 0))&gt;0, -(6*INDEX('KZ-normalized'!$D:$D, MATCH($A91, 'KZ-normalized'!$A:$A, 0))-INDEX('KZ-normalized'!$E:$E, MATCH($A91, 'KZ-normalized'!$A:$A, 0))), 0), 0))+(IFERROR(IF(6*INDEX('UZ-normalized'!$D:$D, MATCH($A91, 'UZ-normalized'!$A:$A, 0))-INDEX('UZ-normalized'!$E:$E, MATCH($A91, 'UZ-normalized'!$A:$A, 0))&gt;0, -(6*INDEX('UZ-normalized'!$D:$D, MATCH($A91, 'UZ-normalized'!$A:$A, 0))-INDEX('UZ-normalized'!$E:$E, MATCH($A91, 'UZ-normalized'!$A:$A, 0))), 0), 0)))</f>
        <v>0</v>
      </c>
      <c r="U91" s="6">
        <f>MIN(0, N91+(IFERROR(IF(7*INDEX('UA-normalized'!$D:$D, MATCH($A91, 'UA-normalized'!$A:$A, 0))-INDEX('UA-normalized'!$E:$E, MATCH($A91, 'UA-normalized'!$A:$A, 0))&gt;0, -(7*INDEX('UA-normalized'!$D:$D, MATCH($A91, 'UA-normalized'!$A:$A, 0))-INDEX('UA-normalized'!$E:$E, MATCH($A91, 'UA-normalized'!$A:$A, 0))), 0), 0))+(IFERROR(IF(7*INDEX('KZ-normalized'!$D:$D, MATCH($A91, 'KZ-normalized'!$A:$A, 0))-INDEX('KZ-normalized'!$E:$E, MATCH($A91, 'KZ-normalized'!$A:$A, 0))&gt;0, -(7*INDEX('KZ-normalized'!$D:$D, MATCH($A91, 'KZ-normalized'!$A:$A, 0))-INDEX('KZ-normalized'!$E:$E, MATCH($A91, 'KZ-normalized'!$A:$A, 0))), 0), 0))+(IFERROR(IF(7*INDEX('UZ-normalized'!$D:$D, MATCH($A91, 'UZ-normalized'!$A:$A, 0))-INDEX('UZ-normalized'!$E:$E, MATCH($A91, 'UZ-normalized'!$A:$A, 0))&gt;0, -(7*INDEX('UZ-normalized'!$D:$D, MATCH($A91, 'UZ-normalized'!$A:$A, 0))-INDEX('UZ-normalized'!$E:$E, MATCH($A91, 'UZ-normalized'!$A:$A, 0))), 0), 0)))</f>
        <v>0</v>
      </c>
      <c r="V91" s="6">
        <f>MIN(0, N91+(IFERROR(IF(8*INDEX('UA-normalized'!$D:$D, MATCH($A91, 'UA-normalized'!$A:$A, 0))-INDEX('UA-normalized'!$E:$E, MATCH($A91, 'UA-normalized'!$A:$A, 0))&gt;0, -(8*INDEX('UA-normalized'!$D:$D, MATCH($A91, 'UA-normalized'!$A:$A, 0))-INDEX('UA-normalized'!$E:$E, MATCH($A91, 'UA-normalized'!$A:$A, 0))), 0), 0))+(IFERROR(IF(8*INDEX('KZ-normalized'!$D:$D, MATCH($A91, 'KZ-normalized'!$A:$A, 0))-INDEX('KZ-normalized'!$E:$E, MATCH($A91, 'KZ-normalized'!$A:$A, 0))&gt;0, -(8*INDEX('KZ-normalized'!$D:$D, MATCH($A91, 'KZ-normalized'!$A:$A, 0))-INDEX('KZ-normalized'!$E:$E, MATCH($A91, 'KZ-normalized'!$A:$A, 0))), 0), 0))+(IFERROR(IF(8*INDEX('UZ-normalized'!$D:$D, MATCH($A91, 'UZ-normalized'!$A:$A, 0))-INDEX('UZ-normalized'!$E:$E, MATCH($A91, 'UZ-normalized'!$A:$A, 0))&gt;0, -(8*INDEX('UZ-normalized'!$D:$D, MATCH($A91, 'UZ-normalized'!$A:$A, 0))-INDEX('UZ-normalized'!$E:$E, MATCH($A91, 'UZ-normalized'!$A:$A, 0))), 0), 0)))</f>
        <v>0</v>
      </c>
      <c r="W91" s="6">
        <f>MIN(0, N91+(IFERROR(IF(9*INDEX('UA-normalized'!$D:$D, MATCH($A91, 'UA-normalized'!$A:$A, 0))-INDEX('UA-normalized'!$E:$E, MATCH($A91, 'UA-normalized'!$A:$A, 0))&gt;0, -(9*INDEX('UA-normalized'!$D:$D, MATCH($A91, 'UA-normalized'!$A:$A, 0))-INDEX('UA-normalized'!$E:$E, MATCH($A91, 'UA-normalized'!$A:$A, 0))), 0), 0))+(IFERROR(IF(9*INDEX('KZ-normalized'!$D:$D, MATCH($A91, 'KZ-normalized'!$A:$A, 0))-INDEX('KZ-normalized'!$E:$E, MATCH($A91, 'KZ-normalized'!$A:$A, 0))&gt;0, -(9*INDEX('KZ-normalized'!$D:$D, MATCH($A91, 'KZ-normalized'!$A:$A, 0))-INDEX('KZ-normalized'!$E:$E, MATCH($A91, 'KZ-normalized'!$A:$A, 0))), 0), 0))+(IFERROR(IF(9*INDEX('UZ-normalized'!$D:$D, MATCH($A91, 'UZ-normalized'!$A:$A, 0))-INDEX('UZ-normalized'!$E:$E, MATCH($A91, 'UZ-normalized'!$A:$A, 0))&gt;0, -(9*INDEX('UZ-normalized'!$D:$D, MATCH($A91, 'UZ-normalized'!$A:$A, 0))-INDEX('UZ-normalized'!$E:$E, MATCH($A91, 'UZ-normalized'!$A:$A, 0))), 0), 0)))</f>
        <v>0</v>
      </c>
      <c r="X91" s="6">
        <f>MIN(0, N91+(IFERROR(IF(10*INDEX('UA-normalized'!$D:$D, MATCH($A91, 'UA-normalized'!$A:$A, 0))-INDEX('UA-normalized'!$E:$E, MATCH($A91, 'UA-normalized'!$A:$A, 0))&gt;0, -(10*INDEX('UA-normalized'!$D:$D, MATCH($A91, 'UA-normalized'!$A:$A, 0))-INDEX('UA-normalized'!$E:$E, MATCH($A91, 'UA-normalized'!$A:$A, 0))), 0), 0))+(IFERROR(IF(10*INDEX('KZ-normalized'!$D:$D, MATCH($A91, 'KZ-normalized'!$A:$A, 0))-INDEX('KZ-normalized'!$E:$E, MATCH($A91, 'KZ-normalized'!$A:$A, 0))&gt;0, -(10*INDEX('KZ-normalized'!$D:$D, MATCH($A91, 'KZ-normalized'!$A:$A, 0))-INDEX('KZ-normalized'!$E:$E, MATCH($A91, 'KZ-normalized'!$A:$A, 0))), 0), 0))+(IFERROR(IF(10*INDEX('UZ-normalized'!$D:$D, MATCH($A91, 'UZ-normalized'!$A:$A, 0))-INDEX('UZ-normalized'!$E:$E, MATCH($A91, 'UZ-normalized'!$A:$A, 0))&gt;0, -(10*INDEX('UZ-normalized'!$D:$D, MATCH($A91, 'UZ-normalized'!$A:$A, 0))-INDEX('UZ-normalized'!$E:$E, MATCH($A91, 'UZ-normalized'!$A:$A, 0))), 0), 0)))</f>
        <v>0</v>
      </c>
      <c r="Y91" s="6">
        <f>MIN(0, N91+(IFERROR(IF(11*INDEX('UA-normalized'!$D:$D, MATCH($A91, 'UA-normalized'!$A:$A, 0))-INDEX('UA-normalized'!$E:$E, MATCH($A91, 'UA-normalized'!$A:$A, 0))&gt;0, -(11*INDEX('UA-normalized'!$D:$D, MATCH($A91, 'UA-normalized'!$A:$A, 0))-INDEX('UA-normalized'!$E:$E, MATCH($A91, 'UA-normalized'!$A:$A, 0))), 0), 0))+(IFERROR(IF(11*INDEX('KZ-normalized'!$D:$D, MATCH($A91, 'KZ-normalized'!$A:$A, 0))-INDEX('KZ-normalized'!$E:$E, MATCH($A91, 'KZ-normalized'!$A:$A, 0))&gt;0, -(11*INDEX('KZ-normalized'!$D:$D, MATCH($A91, 'KZ-normalized'!$A:$A, 0))-INDEX('KZ-normalized'!$E:$E, MATCH($A91, 'KZ-normalized'!$A:$A, 0))), 0), 0))+(IFERROR(IF(11*INDEX('UZ-normalized'!$D:$D, MATCH($A91, 'UZ-normalized'!$A:$A, 0))-INDEX('UZ-normalized'!$E:$E, MATCH($A91, 'UZ-normalized'!$A:$A, 0))&gt;0, -(11*INDEX('UZ-normalized'!$D:$D, MATCH($A91, 'UZ-normalized'!$A:$A, 0))-INDEX('UZ-normalized'!$E:$E, MATCH($A91, 'UZ-normalized'!$A:$A, 0))), 0), 0)))</f>
        <v>0</v>
      </c>
      <c r="Z91" s="6">
        <f>MIN(0, N91+(IFERROR(IF(12*INDEX('UA-normalized'!$D:$D, MATCH($A91, 'UA-normalized'!$A:$A, 0))-INDEX('UA-normalized'!$E:$E, MATCH($A91, 'UA-normalized'!$A:$A, 0))&gt;0, -(12*INDEX('UA-normalized'!$D:$D, MATCH($A91, 'UA-normalized'!$A:$A, 0))-INDEX('UA-normalized'!$E:$E, MATCH($A91, 'UA-normalized'!$A:$A, 0))), 0), 0))+(IFERROR(IF(12*INDEX('KZ-normalized'!$D:$D, MATCH($A91, 'KZ-normalized'!$A:$A, 0))-INDEX('KZ-normalized'!$E:$E, MATCH($A91, 'KZ-normalized'!$A:$A, 0))&gt;0, -(12*INDEX('KZ-normalized'!$D:$D, MATCH($A91, 'KZ-normalized'!$A:$A, 0))-INDEX('KZ-normalized'!$E:$E, MATCH($A91, 'KZ-normalized'!$A:$A, 0))), 0), 0))+(IFERROR(IF(12*INDEX('UZ-normalized'!$D:$D, MATCH($A91, 'UZ-normalized'!$A:$A, 0))-INDEX('UZ-normalized'!$E:$E, MATCH($A91, 'UZ-normalized'!$A:$A, 0))&gt;0, -(12*INDEX('UZ-normalized'!$D:$D, MATCH($A91, 'UZ-normalized'!$A:$A, 0))-INDEX('UZ-normalized'!$E:$E, MATCH($A91, 'UZ-normalized'!$A:$A, 0))), 0), 0)))</f>
        <v>0</v>
      </c>
      <c r="AA91" s="6">
        <f>MIN(0, N91+(IFERROR(IF(13*INDEX('UA-normalized'!$D:$D, MATCH($A91, 'UA-normalized'!$A:$A, 0))-INDEX('UA-normalized'!$E:$E, MATCH($A91, 'UA-normalized'!$A:$A, 0))&gt;0, -(13*INDEX('UA-normalized'!$D:$D, MATCH($A91, 'UA-normalized'!$A:$A, 0))-INDEX('UA-normalized'!$E:$E, MATCH($A91, 'UA-normalized'!$A:$A, 0))), 0), 0))+(IFERROR(IF(13*INDEX('KZ-normalized'!$D:$D, MATCH($A91, 'KZ-normalized'!$A:$A, 0))-INDEX('KZ-normalized'!$E:$E, MATCH($A91, 'KZ-normalized'!$A:$A, 0))&gt;0, -(13*INDEX('KZ-normalized'!$D:$D, MATCH($A91, 'KZ-normalized'!$A:$A, 0))-INDEX('KZ-normalized'!$E:$E, MATCH($A91, 'KZ-normalized'!$A:$A, 0))), 0), 0))+(IFERROR(IF(13*INDEX('UZ-normalized'!$D:$D, MATCH($A91, 'UZ-normalized'!$A:$A, 0))-INDEX('UZ-normalized'!$E:$E, MATCH($A91, 'UZ-normalized'!$A:$A, 0))&gt;0, -(13*INDEX('UZ-normalized'!$D:$D, MATCH($A91, 'UZ-normalized'!$A:$A, 0))-INDEX('UZ-normalized'!$E:$E, MATCH($A91, 'UZ-normalized'!$A:$A, 0))), 0), 0)))</f>
        <v>0</v>
      </c>
      <c r="AB91" s="6">
        <f>MIN(0, N91+(IFERROR(IF(14*INDEX('UA-normalized'!$D:$D, MATCH($A91, 'UA-normalized'!$A:$A, 0))-INDEX('UA-normalized'!$E:$E, MATCH($A91, 'UA-normalized'!$A:$A, 0))&gt;0, -(14*INDEX('UA-normalized'!$D:$D, MATCH($A91, 'UA-normalized'!$A:$A, 0))-INDEX('UA-normalized'!$E:$E, MATCH($A91, 'UA-normalized'!$A:$A, 0))), 0), 0))+(IFERROR(IF(14*INDEX('KZ-normalized'!$D:$D, MATCH($A91, 'KZ-normalized'!$A:$A, 0))-INDEX('KZ-normalized'!$E:$E, MATCH($A91, 'KZ-normalized'!$A:$A, 0))&gt;0, -(14*INDEX('KZ-normalized'!$D:$D, MATCH($A91, 'KZ-normalized'!$A:$A, 0))-INDEX('KZ-normalized'!$E:$E, MATCH($A91, 'KZ-normalized'!$A:$A, 0))), 0), 0))+(IFERROR(IF(14*INDEX('UZ-normalized'!$D:$D, MATCH($A91, 'UZ-normalized'!$A:$A, 0))-INDEX('UZ-normalized'!$E:$E, MATCH($A91, 'UZ-normalized'!$A:$A, 0))&gt;0, -(14*INDEX('UZ-normalized'!$D:$D, MATCH($A91, 'UZ-normalized'!$A:$A, 0))-INDEX('UZ-normalized'!$E:$E, MATCH($A91, 'UZ-normalized'!$A:$A, 0))), 0), 0)))</f>
        <v>0</v>
      </c>
      <c r="AC91" s="6">
        <f>MIN(0, N91+(IFERROR(IF(15*INDEX('UA-normalized'!$D:$D, MATCH($A91, 'UA-normalized'!$A:$A, 0))-INDEX('UA-normalized'!$E:$E, MATCH($A91, 'UA-normalized'!$A:$A, 0))&gt;0, -(15*INDEX('UA-normalized'!$D:$D, MATCH($A91, 'UA-normalized'!$A:$A, 0))-INDEX('UA-normalized'!$E:$E, MATCH($A91, 'UA-normalized'!$A:$A, 0))), 0), 0))+(IFERROR(IF(15*INDEX('KZ-normalized'!$D:$D, MATCH($A91, 'KZ-normalized'!$A:$A, 0))-INDEX('KZ-normalized'!$E:$E, MATCH($A91, 'KZ-normalized'!$A:$A, 0))&gt;0, -(15*INDEX('KZ-normalized'!$D:$D, MATCH($A91, 'KZ-normalized'!$A:$A, 0))-INDEX('KZ-normalized'!$E:$E, MATCH($A91, 'KZ-normalized'!$A:$A, 0))), 0), 0))+(IFERROR(IF(15*INDEX('UZ-normalized'!$D:$D, MATCH($A91, 'UZ-normalized'!$A:$A, 0))-INDEX('UZ-normalized'!$E:$E, MATCH($A91, 'UZ-normalized'!$A:$A, 0))&gt;0, -(15*INDEX('UZ-normalized'!$D:$D, MATCH($A91, 'UZ-normalized'!$A:$A, 0))-INDEX('UZ-normalized'!$E:$E, MATCH($A91, 'UZ-normalized'!$A:$A, 0))), 0), 0)))</f>
        <v>0</v>
      </c>
      <c r="AD91" s="6">
        <f>MIN(0, N91+(IFERROR(IF(16*INDEX('UA-normalized'!$D:$D, MATCH($A91, 'UA-normalized'!$A:$A, 0))-INDEX('UA-normalized'!$E:$E, MATCH($A91, 'UA-normalized'!$A:$A, 0))&gt;0, -(16*INDEX('UA-normalized'!$D:$D, MATCH($A91, 'UA-normalized'!$A:$A, 0))-INDEX('UA-normalized'!$E:$E, MATCH($A91, 'UA-normalized'!$A:$A, 0))), 0), 0))+(IFERROR(IF(16*INDEX('KZ-normalized'!$D:$D, MATCH($A91, 'KZ-normalized'!$A:$A, 0))-INDEX('KZ-normalized'!$E:$E, MATCH($A91, 'KZ-normalized'!$A:$A, 0))&gt;0, -(16*INDEX('KZ-normalized'!$D:$D, MATCH($A91, 'KZ-normalized'!$A:$A, 0))-INDEX('KZ-normalized'!$E:$E, MATCH($A91, 'KZ-normalized'!$A:$A, 0))), 0), 0))+(IFERROR(IF(16*INDEX('UZ-normalized'!$D:$D, MATCH($A91, 'UZ-normalized'!$A:$A, 0))-INDEX('UZ-normalized'!$E:$E, MATCH($A91, 'UZ-normalized'!$A:$A, 0))&gt;0, -(16*INDEX('UZ-normalized'!$D:$D, MATCH($A91, 'UZ-normalized'!$A:$A, 0))-INDEX('UZ-normalized'!$E:$E, MATCH($A91, 'UZ-normalized'!$A:$A, 0))), 0), 0)))</f>
        <v>0</v>
      </c>
      <c r="AE91" s="6">
        <f>MIN(0, N91+(IFERROR(IF(17*INDEX('UA-normalized'!$D:$D, MATCH($A91, 'UA-normalized'!$A:$A, 0))-INDEX('UA-normalized'!$E:$E, MATCH($A91, 'UA-normalized'!$A:$A, 0))&gt;0, -(17*INDEX('UA-normalized'!$D:$D, MATCH($A91, 'UA-normalized'!$A:$A, 0))-INDEX('UA-normalized'!$E:$E, MATCH($A91, 'UA-normalized'!$A:$A, 0))), 0), 0))+(IFERROR(IF(17*INDEX('KZ-normalized'!$D:$D, MATCH($A91, 'KZ-normalized'!$A:$A, 0))-INDEX('KZ-normalized'!$E:$E, MATCH($A91, 'KZ-normalized'!$A:$A, 0))&gt;0, -(17*INDEX('KZ-normalized'!$D:$D, MATCH($A91, 'KZ-normalized'!$A:$A, 0))-INDEX('KZ-normalized'!$E:$E, MATCH($A91, 'KZ-normalized'!$A:$A, 0))), 0), 0))+(IFERROR(IF(17*INDEX('UZ-normalized'!$D:$D, MATCH($A91, 'UZ-normalized'!$A:$A, 0))-INDEX('UZ-normalized'!$E:$E, MATCH($A91, 'UZ-normalized'!$A:$A, 0))&gt;0, -(17*INDEX('UZ-normalized'!$D:$D, MATCH($A91, 'UZ-normalized'!$A:$A, 0))-INDEX('UZ-normalized'!$E:$E, MATCH($A91, 'UZ-normalized'!$A:$A, 0))), 0), 0)))</f>
        <v>0</v>
      </c>
      <c r="AF91" s="6">
        <f>MIN(0, N91+(IFERROR(IF(18*INDEX('UA-normalized'!$D:$D, MATCH($A91, 'UA-normalized'!$A:$A, 0))-INDEX('UA-normalized'!$E:$E, MATCH($A91, 'UA-normalized'!$A:$A, 0))&gt;0, -(18*INDEX('UA-normalized'!$D:$D, MATCH($A91, 'UA-normalized'!$A:$A, 0))-INDEX('UA-normalized'!$E:$E, MATCH($A91, 'UA-normalized'!$A:$A, 0))), 0), 0))+(IFERROR(IF(18*INDEX('KZ-normalized'!$D:$D, MATCH($A91, 'KZ-normalized'!$A:$A, 0))-INDEX('KZ-normalized'!$E:$E, MATCH($A91, 'KZ-normalized'!$A:$A, 0))&gt;0, -(18*INDEX('KZ-normalized'!$D:$D, MATCH($A91, 'KZ-normalized'!$A:$A, 0))-INDEX('KZ-normalized'!$E:$E, MATCH($A91, 'KZ-normalized'!$A:$A, 0))), 0), 0))+(IFERROR(IF(18*INDEX('UZ-normalized'!$D:$D, MATCH($A91, 'UZ-normalized'!$A:$A, 0))-INDEX('UZ-normalized'!$E:$E, MATCH($A91, 'UZ-normalized'!$A:$A, 0))&gt;0, -(18*INDEX('UZ-normalized'!$D:$D, MATCH($A91, 'UZ-normalized'!$A:$A, 0))-INDEX('UZ-normalized'!$E:$E, MATCH($A91, 'UZ-normalized'!$A:$A, 0))), 0), 0)))</f>
        <v>0</v>
      </c>
      <c r="AG91" s="6">
        <f>MIN(0, N91+(IFERROR(IF(19*INDEX('UA-normalized'!$D:$D, MATCH($A91, 'UA-normalized'!$A:$A, 0))-INDEX('UA-normalized'!$E:$E, MATCH($A91, 'UA-normalized'!$A:$A, 0))&gt;0, -(19*INDEX('UA-normalized'!$D:$D, MATCH($A91, 'UA-normalized'!$A:$A, 0))-INDEX('UA-normalized'!$E:$E, MATCH($A91, 'UA-normalized'!$A:$A, 0))), 0), 0))+(IFERROR(IF(19*INDEX('KZ-normalized'!$D:$D, MATCH($A91, 'KZ-normalized'!$A:$A, 0))-INDEX('KZ-normalized'!$E:$E, MATCH($A91, 'KZ-normalized'!$A:$A, 0))&gt;0, -(19*INDEX('KZ-normalized'!$D:$D, MATCH($A91, 'KZ-normalized'!$A:$A, 0))-INDEX('KZ-normalized'!$E:$E, MATCH($A91, 'KZ-normalized'!$A:$A, 0))), 0), 0))+(IFERROR(IF(19*INDEX('UZ-normalized'!$D:$D, MATCH($A91, 'UZ-normalized'!$A:$A, 0))-INDEX('UZ-normalized'!$E:$E, MATCH($A91, 'UZ-normalized'!$A:$A, 0))&gt;0, -(19*INDEX('UZ-normalized'!$D:$D, MATCH($A91, 'UZ-normalized'!$A:$A, 0))-INDEX('UZ-normalized'!$E:$E, MATCH($A91, 'UZ-normalized'!$A:$A, 0))), 0), 0)))</f>
        <v>0</v>
      </c>
      <c r="AH91" s="6">
        <f>MIN(0, N91+(IFERROR(IF(20*INDEX('UA-normalized'!$D:$D, MATCH($A91, 'UA-normalized'!$A:$A, 0))-INDEX('UA-normalized'!$E:$E, MATCH($A91, 'UA-normalized'!$A:$A, 0))&gt;0, -(20*INDEX('UA-normalized'!$D:$D, MATCH($A91, 'UA-normalized'!$A:$A, 0))-INDEX('UA-normalized'!$E:$E, MATCH($A91, 'UA-normalized'!$A:$A, 0))), 0), 0))+(IFERROR(IF(20*INDEX('KZ-normalized'!$D:$D, MATCH($A91, 'KZ-normalized'!$A:$A, 0))-INDEX('KZ-normalized'!$E:$E, MATCH($A91, 'KZ-normalized'!$A:$A, 0))&gt;0, -(20*INDEX('KZ-normalized'!$D:$D, MATCH($A91, 'KZ-normalized'!$A:$A, 0))-INDEX('KZ-normalized'!$E:$E, MATCH($A91, 'KZ-normalized'!$A:$A, 0))), 0), 0))+(IFERROR(IF(20*INDEX('UZ-normalized'!$D:$D, MATCH($A91, 'UZ-normalized'!$A:$A, 0))-INDEX('UZ-normalized'!$E:$E, MATCH($A91, 'UZ-normalized'!$A:$A, 0))&gt;0, -(20*INDEX('UZ-normalized'!$D:$D, MATCH($A91, 'UZ-normalized'!$A:$A, 0))-INDEX('UZ-normalized'!$E:$E, MATCH($A91, 'UZ-normalized'!$A:$A, 0))), 0), 0)))</f>
        <v>0</v>
      </c>
      <c r="AI91" s="6">
        <f>MIN(0, N91+(IFERROR(IF(21*INDEX('UA-normalized'!$D:$D, MATCH($A91, 'UA-normalized'!$A:$A, 0))-INDEX('UA-normalized'!$E:$E, MATCH($A91, 'UA-normalized'!$A:$A, 0))&gt;0, -(21*INDEX('UA-normalized'!$D:$D, MATCH($A91, 'UA-normalized'!$A:$A, 0))-INDEX('UA-normalized'!$E:$E, MATCH($A91, 'UA-normalized'!$A:$A, 0))), 0), 0))+(IFERROR(IF(21*INDEX('KZ-normalized'!$D:$D, MATCH($A91, 'KZ-normalized'!$A:$A, 0))-INDEX('KZ-normalized'!$E:$E, MATCH($A91, 'KZ-normalized'!$A:$A, 0))&gt;0, -(21*INDEX('KZ-normalized'!$D:$D, MATCH($A91, 'KZ-normalized'!$A:$A, 0))-INDEX('KZ-normalized'!$E:$E, MATCH($A91, 'KZ-normalized'!$A:$A, 0))), 0), 0))+(IFERROR(IF(21*INDEX('UZ-normalized'!$D:$D, MATCH($A91, 'UZ-normalized'!$A:$A, 0))-INDEX('UZ-normalized'!$E:$E, MATCH($A91, 'UZ-normalized'!$A:$A, 0))&gt;0, -(21*INDEX('UZ-normalized'!$D:$D, MATCH($A91, 'UZ-normalized'!$A:$A, 0))-INDEX('UZ-normalized'!$E:$E, MATCH($A91, 'UZ-normalized'!$A:$A, 0))), 0), 0)))</f>
        <v>0</v>
      </c>
      <c r="AJ91" s="6">
        <f>MIN(0, N91+(IFERROR(IF(22*INDEX('UA-normalized'!$D:$D, MATCH($A91, 'UA-normalized'!$A:$A, 0))-INDEX('UA-normalized'!$E:$E, MATCH($A91, 'UA-normalized'!$A:$A, 0))&gt;0, -(22*INDEX('UA-normalized'!$D:$D, MATCH($A91, 'UA-normalized'!$A:$A, 0))-INDEX('UA-normalized'!$E:$E, MATCH($A91, 'UA-normalized'!$A:$A, 0))), 0), 0))+(IFERROR(IF(22*INDEX('KZ-normalized'!$D:$D, MATCH($A91, 'KZ-normalized'!$A:$A, 0))-INDEX('KZ-normalized'!$E:$E, MATCH($A91, 'KZ-normalized'!$A:$A, 0))&gt;0, -(22*INDEX('KZ-normalized'!$D:$D, MATCH($A91, 'KZ-normalized'!$A:$A, 0))-INDEX('KZ-normalized'!$E:$E, MATCH($A91, 'KZ-normalized'!$A:$A, 0))), 0), 0))+(IFERROR(IF(22*INDEX('UZ-normalized'!$D:$D, MATCH($A91, 'UZ-normalized'!$A:$A, 0))-INDEX('UZ-normalized'!$E:$E, MATCH($A91, 'UZ-normalized'!$A:$A, 0))&gt;0, -(22*INDEX('UZ-normalized'!$D:$D, MATCH($A91, 'UZ-normalized'!$A:$A, 0))-INDEX('UZ-normalized'!$E:$E, MATCH($A91, 'UZ-normalized'!$A:$A, 0))), 0), 0)))</f>
        <v>0</v>
      </c>
      <c r="AK91" s="6">
        <f>MIN(0, N91+(IFERROR(IF(23*INDEX('UA-normalized'!$D:$D, MATCH($A91, 'UA-normalized'!$A:$A, 0))-INDEX('UA-normalized'!$E:$E, MATCH($A91, 'UA-normalized'!$A:$A, 0))&gt;0, -(23*INDEX('UA-normalized'!$D:$D, MATCH($A91, 'UA-normalized'!$A:$A, 0))-INDEX('UA-normalized'!$E:$E, MATCH($A91, 'UA-normalized'!$A:$A, 0))), 0), 0))+(IFERROR(IF(23*INDEX('KZ-normalized'!$D:$D, MATCH($A91, 'KZ-normalized'!$A:$A, 0))-INDEX('KZ-normalized'!$E:$E, MATCH($A91, 'KZ-normalized'!$A:$A, 0))&gt;0, -(23*INDEX('KZ-normalized'!$D:$D, MATCH($A91, 'KZ-normalized'!$A:$A, 0))-INDEX('KZ-normalized'!$E:$E, MATCH($A91, 'KZ-normalized'!$A:$A, 0))), 0), 0))+(IFERROR(IF(23*INDEX('UZ-normalized'!$D:$D, MATCH($A91, 'UZ-normalized'!$A:$A, 0))-INDEX('UZ-normalized'!$E:$E, MATCH($A91, 'UZ-normalized'!$A:$A, 0))&gt;0, -(23*INDEX('UZ-normalized'!$D:$D, MATCH($A91, 'UZ-normalized'!$A:$A, 0))-INDEX('UZ-normalized'!$E:$E, MATCH($A91, 'UZ-normalized'!$A:$A, 0))), 0), 0)))</f>
        <v>0</v>
      </c>
      <c r="AL91" s="6">
        <f>MIN(0, N91+(IFERROR(IF(24*INDEX('UA-normalized'!$D:$D, MATCH($A91, 'UA-normalized'!$A:$A, 0))-INDEX('UA-normalized'!$E:$E, MATCH($A91, 'UA-normalized'!$A:$A, 0))&gt;0, -(24*INDEX('UA-normalized'!$D:$D, MATCH($A91, 'UA-normalized'!$A:$A, 0))-INDEX('UA-normalized'!$E:$E, MATCH($A91, 'UA-normalized'!$A:$A, 0))), 0), 0))+(IFERROR(IF(24*INDEX('KZ-normalized'!$D:$D, MATCH($A91, 'KZ-normalized'!$A:$A, 0))-INDEX('KZ-normalized'!$E:$E, MATCH($A91, 'KZ-normalized'!$A:$A, 0))&gt;0, -(24*INDEX('KZ-normalized'!$D:$D, MATCH($A91, 'KZ-normalized'!$A:$A, 0))-INDEX('KZ-normalized'!$E:$E, MATCH($A91, 'KZ-normalized'!$A:$A, 0))), 0), 0))+(IFERROR(IF(24*INDEX('UZ-normalized'!$D:$D, MATCH($A91, 'UZ-normalized'!$A:$A, 0))-INDEX('UZ-normalized'!$E:$E, MATCH($A91, 'UZ-normalized'!$A:$A, 0))&gt;0, -(24*INDEX('UZ-normalized'!$D:$D, MATCH($A91, 'UZ-normalized'!$A:$A, 0))-INDEX('UZ-normalized'!$E:$E, MATCH($A91, 'UZ-normalized'!$A:$A, 0))), 0), 0)))</f>
        <v>0</v>
      </c>
      <c r="AM91" s="6">
        <f>MIN(0, N91+(IFERROR(IF(25*INDEX('UA-normalized'!$D:$D, MATCH($A91, 'UA-normalized'!$A:$A, 0))-INDEX('UA-normalized'!$E:$E, MATCH($A91, 'UA-normalized'!$A:$A, 0))&gt;0, -(25*INDEX('UA-normalized'!$D:$D, MATCH($A91, 'UA-normalized'!$A:$A, 0))-INDEX('UA-normalized'!$E:$E, MATCH($A91, 'UA-normalized'!$A:$A, 0))), 0), 0))+(IFERROR(IF(25*INDEX('KZ-normalized'!$D:$D, MATCH($A91, 'KZ-normalized'!$A:$A, 0))-INDEX('KZ-normalized'!$E:$E, MATCH($A91, 'KZ-normalized'!$A:$A, 0))&gt;0, -(25*INDEX('KZ-normalized'!$D:$D, MATCH($A91, 'KZ-normalized'!$A:$A, 0))-INDEX('KZ-normalized'!$E:$E, MATCH($A91, 'KZ-normalized'!$A:$A, 0))), 0), 0))+(IFERROR(IF(25*INDEX('UZ-normalized'!$D:$D, MATCH($A91, 'UZ-normalized'!$A:$A, 0))-INDEX('UZ-normalized'!$E:$E, MATCH($A91, 'UZ-normalized'!$A:$A, 0))&gt;0, -(25*INDEX('UZ-normalized'!$D:$D, MATCH($A91, 'UZ-normalized'!$A:$A, 0))-INDEX('UZ-normalized'!$E:$E, MATCH($A91, 'UZ-normalized'!$A:$A, 0))), 0), 0)))</f>
        <v>0</v>
      </c>
      <c r="AN91" s="6">
        <f>MIN(0, N91+(IFERROR(IF(26*INDEX('UA-normalized'!$D:$D, MATCH($A91, 'UA-normalized'!$A:$A, 0))-INDEX('UA-normalized'!$E:$E, MATCH($A91, 'UA-normalized'!$A:$A, 0))&gt;0, -(26*INDEX('UA-normalized'!$D:$D, MATCH($A91, 'UA-normalized'!$A:$A, 0))-INDEX('UA-normalized'!$E:$E, MATCH($A91, 'UA-normalized'!$A:$A, 0))), 0), 0))+(IFERROR(IF(26*INDEX('KZ-normalized'!$D:$D, MATCH($A91, 'KZ-normalized'!$A:$A, 0))-INDEX('KZ-normalized'!$E:$E, MATCH($A91, 'KZ-normalized'!$A:$A, 0))&gt;0, -(26*INDEX('KZ-normalized'!$D:$D, MATCH($A91, 'KZ-normalized'!$A:$A, 0))-INDEX('KZ-normalized'!$E:$E, MATCH($A91, 'KZ-normalized'!$A:$A, 0))), 0), 0))+(IFERROR(IF(26*INDEX('UZ-normalized'!$D:$D, MATCH($A91, 'UZ-normalized'!$A:$A, 0))-INDEX('UZ-normalized'!$E:$E, MATCH($A91, 'UZ-normalized'!$A:$A, 0))&gt;0, -(26*INDEX('UZ-normalized'!$D:$D, MATCH($A91, 'UZ-normalized'!$A:$A, 0))-INDEX('UZ-normalized'!$E:$E, MATCH($A91, 'UZ-normalized'!$A:$A, 0))), 0), 0)))</f>
        <v>0</v>
      </c>
      <c r="AO91" s="6">
        <f>MIN(0, N91+(IFERROR(IF(27*INDEX('UA-normalized'!$D:$D, MATCH($A91, 'UA-normalized'!$A:$A, 0))-INDEX('UA-normalized'!$E:$E, MATCH($A91, 'UA-normalized'!$A:$A, 0))&gt;0, -(27*INDEX('UA-normalized'!$D:$D, MATCH($A91, 'UA-normalized'!$A:$A, 0))-INDEX('UA-normalized'!$E:$E, MATCH($A91, 'UA-normalized'!$A:$A, 0))), 0), 0))+(IFERROR(IF(27*INDEX('KZ-normalized'!$D:$D, MATCH($A91, 'KZ-normalized'!$A:$A, 0))-INDEX('KZ-normalized'!$E:$E, MATCH($A91, 'KZ-normalized'!$A:$A, 0))&gt;0, -(27*INDEX('KZ-normalized'!$D:$D, MATCH($A91, 'KZ-normalized'!$A:$A, 0))-INDEX('KZ-normalized'!$E:$E, MATCH($A91, 'KZ-normalized'!$A:$A, 0))), 0), 0))+(IFERROR(IF(27*INDEX('UZ-normalized'!$D:$D, MATCH($A91, 'UZ-normalized'!$A:$A, 0))-INDEX('UZ-normalized'!$E:$E, MATCH($A91, 'UZ-normalized'!$A:$A, 0))&gt;0, -(27*INDEX('UZ-normalized'!$D:$D, MATCH($A91, 'UZ-normalized'!$A:$A, 0))-INDEX('UZ-normalized'!$E:$E, MATCH($A91, 'UZ-normalized'!$A:$A, 0))), 0), 0)))</f>
        <v>0</v>
      </c>
      <c r="AP91" s="6">
        <f>MIN(0, N91+(IFERROR(IF(28*INDEX('UA-normalized'!$D:$D, MATCH($A91, 'UA-normalized'!$A:$A, 0))-INDEX('UA-normalized'!$E:$E, MATCH($A91, 'UA-normalized'!$A:$A, 0))&gt;0, -(28*INDEX('UA-normalized'!$D:$D, MATCH($A91, 'UA-normalized'!$A:$A, 0))-INDEX('UA-normalized'!$E:$E, MATCH($A91, 'UA-normalized'!$A:$A, 0))), 0), 0))+(IFERROR(IF(28*INDEX('KZ-normalized'!$D:$D, MATCH($A91, 'KZ-normalized'!$A:$A, 0))-INDEX('KZ-normalized'!$E:$E, MATCH($A91, 'KZ-normalized'!$A:$A, 0))&gt;0, -(28*INDEX('KZ-normalized'!$D:$D, MATCH($A91, 'KZ-normalized'!$A:$A, 0))-INDEX('KZ-normalized'!$E:$E, MATCH($A91, 'KZ-normalized'!$A:$A, 0))), 0), 0))+(IFERROR(IF(28*INDEX('UZ-normalized'!$D:$D, MATCH($A91, 'UZ-normalized'!$A:$A, 0))-INDEX('UZ-normalized'!$E:$E, MATCH($A91, 'UZ-normalized'!$A:$A, 0))&gt;0, -(28*INDEX('UZ-normalized'!$D:$D, MATCH($A91, 'UZ-normalized'!$A:$A, 0))-INDEX('UZ-normalized'!$E:$E, MATCH($A91, 'UZ-normalized'!$A:$A, 0))), 0), 0)))</f>
        <v>0</v>
      </c>
      <c r="AQ91" s="6">
        <f>MIN(0, N91+(IFERROR(IF(29*INDEX('UA-normalized'!$D:$D, MATCH($A91, 'UA-normalized'!$A:$A, 0))-INDEX('UA-normalized'!$E:$E, MATCH($A91, 'UA-normalized'!$A:$A, 0))&gt;0, -(29*INDEX('UA-normalized'!$D:$D, MATCH($A91, 'UA-normalized'!$A:$A, 0))-INDEX('UA-normalized'!$E:$E, MATCH($A91, 'UA-normalized'!$A:$A, 0))), 0), 0))+(IFERROR(IF(29*INDEX('KZ-normalized'!$D:$D, MATCH($A91, 'KZ-normalized'!$A:$A, 0))-INDEX('KZ-normalized'!$E:$E, MATCH($A91, 'KZ-normalized'!$A:$A, 0))&gt;0, -(29*INDEX('KZ-normalized'!$D:$D, MATCH($A91, 'KZ-normalized'!$A:$A, 0))-INDEX('KZ-normalized'!$E:$E, MATCH($A91, 'KZ-normalized'!$A:$A, 0))), 0), 0))+(IFERROR(IF(29*INDEX('UZ-normalized'!$D:$D, MATCH($A91, 'UZ-normalized'!$A:$A, 0))-INDEX('UZ-normalized'!$E:$E, MATCH($A91, 'UZ-normalized'!$A:$A, 0))&gt;0, -(29*INDEX('UZ-normalized'!$D:$D, MATCH($A91, 'UZ-normalized'!$A:$A, 0))-INDEX('UZ-normalized'!$E:$E, MATCH($A91, 'UZ-normalized'!$A:$A, 0))), 0), 0)))</f>
        <v>0</v>
      </c>
      <c r="AR91" s="6">
        <f>MIN(0, N91+(IFERROR(IF(30*INDEX('UA-normalized'!$D:$D, MATCH($A91, 'UA-normalized'!$A:$A, 0))-INDEX('UA-normalized'!$E:$E, MATCH($A91, 'UA-normalized'!$A:$A, 0))&gt;0, -(30*INDEX('UA-normalized'!$D:$D, MATCH($A91, 'UA-normalized'!$A:$A, 0))-INDEX('UA-normalized'!$E:$E, MATCH($A91, 'UA-normalized'!$A:$A, 0))), 0), 0))+(IFERROR(IF(30*INDEX('KZ-normalized'!$D:$D, MATCH($A91, 'KZ-normalized'!$A:$A, 0))-INDEX('KZ-normalized'!$E:$E, MATCH($A91, 'KZ-normalized'!$A:$A, 0))&gt;0, -(30*INDEX('KZ-normalized'!$D:$D, MATCH($A91, 'KZ-normalized'!$A:$A, 0))-INDEX('KZ-normalized'!$E:$E, MATCH($A91, 'KZ-normalized'!$A:$A, 0))), 0), 0))+(IFERROR(IF(30*INDEX('UZ-normalized'!$D:$D, MATCH($A91, 'UZ-normalized'!$A:$A, 0))-INDEX('UZ-normalized'!$E:$E, MATCH($A91, 'UZ-normalized'!$A:$A, 0))&gt;0, -(30*INDEX('UZ-normalized'!$D:$D, MATCH($A91, 'UZ-normalized'!$A:$A, 0))-INDEX('UZ-normalized'!$E:$E, MATCH($A91, 'UZ-normalized'!$A:$A, 0))), 0), 0)))</f>
        <v>0</v>
      </c>
    </row>
    <row r="92" spans="1:44" x14ac:dyDescent="0.25">
      <c r="A92" s="8" t="s">
        <v>234</v>
      </c>
      <c r="B92" s="8" t="s">
        <v>180</v>
      </c>
      <c r="C92" s="8" t="s">
        <v>235</v>
      </c>
      <c r="D92" s="8" t="s">
        <v>236</v>
      </c>
      <c r="E92">
        <v>4867.5</v>
      </c>
      <c r="G92">
        <v>-450</v>
      </c>
      <c r="N92">
        <f t="shared" si="1"/>
        <v>4417.5</v>
      </c>
      <c r="O92" s="6">
        <f>MIN(0, N92+(IFERROR(IF(1*INDEX('UA-normalized'!$D:$D, MATCH($A92, 'UA-normalized'!$A:$A, 0))-INDEX('UA-normalized'!$E:$E, MATCH($A92, 'UA-normalized'!$A:$A, 0))&gt;0, -(1*INDEX('UA-normalized'!$D:$D, MATCH($A92, 'UA-normalized'!$A:$A, 0))-INDEX('UA-normalized'!$E:$E, MATCH($A92, 'UA-normalized'!$A:$A, 0))), 0), 0))+(IFERROR(IF(1*INDEX('KZ-normalized'!$D:$D, MATCH($A92, 'KZ-normalized'!$A:$A, 0))-INDEX('KZ-normalized'!$E:$E, MATCH($A92, 'KZ-normalized'!$A:$A, 0))&gt;0, -(1*INDEX('KZ-normalized'!$D:$D, MATCH($A92, 'KZ-normalized'!$A:$A, 0))-INDEX('KZ-normalized'!$E:$E, MATCH($A92, 'KZ-normalized'!$A:$A, 0))), 0), 0))+(IFERROR(IF(1*INDEX('UZ-normalized'!$D:$D, MATCH($A92, 'UZ-normalized'!$A:$A, 0))-INDEX('UZ-normalized'!$E:$E, MATCH($A92, 'UZ-normalized'!$A:$A, 0))&gt;0, -(1*INDEX('UZ-normalized'!$D:$D, MATCH($A92, 'UZ-normalized'!$A:$A, 0))-INDEX('UZ-normalized'!$E:$E, MATCH($A92, 'UZ-normalized'!$A:$A, 0))), 0), 0)))</f>
        <v>0</v>
      </c>
      <c r="P92" s="6">
        <f>MIN(0, N92+(IFERROR(IF(2*INDEX('UA-normalized'!$D:$D, MATCH($A92, 'UA-normalized'!$A:$A, 0))-INDEX('UA-normalized'!$E:$E, MATCH($A92, 'UA-normalized'!$A:$A, 0))&gt;0, -(2*INDEX('UA-normalized'!$D:$D, MATCH($A92, 'UA-normalized'!$A:$A, 0))-INDEX('UA-normalized'!$E:$E, MATCH($A92, 'UA-normalized'!$A:$A, 0))), 0), 0))+(IFERROR(IF(2*INDEX('KZ-normalized'!$D:$D, MATCH($A92, 'KZ-normalized'!$A:$A, 0))-INDEX('KZ-normalized'!$E:$E, MATCH($A92, 'KZ-normalized'!$A:$A, 0))&gt;0, -(2*INDEX('KZ-normalized'!$D:$D, MATCH($A92, 'KZ-normalized'!$A:$A, 0))-INDEX('KZ-normalized'!$E:$E, MATCH($A92, 'KZ-normalized'!$A:$A, 0))), 0), 0))+(IFERROR(IF(2*INDEX('UZ-normalized'!$D:$D, MATCH($A92, 'UZ-normalized'!$A:$A, 0))-INDEX('UZ-normalized'!$E:$E, MATCH($A92, 'UZ-normalized'!$A:$A, 0))&gt;0, -(2*INDEX('UZ-normalized'!$D:$D, MATCH($A92, 'UZ-normalized'!$A:$A, 0))-INDEX('UZ-normalized'!$E:$E, MATCH($A92, 'UZ-normalized'!$A:$A, 0))), 0), 0)))</f>
        <v>0</v>
      </c>
      <c r="Q92" s="6">
        <f>MIN(0, N92+(IFERROR(IF(3*INDEX('UA-normalized'!$D:$D, MATCH($A92, 'UA-normalized'!$A:$A, 0))-INDEX('UA-normalized'!$E:$E, MATCH($A92, 'UA-normalized'!$A:$A, 0))&gt;0, -(3*INDEX('UA-normalized'!$D:$D, MATCH($A92, 'UA-normalized'!$A:$A, 0))-INDEX('UA-normalized'!$E:$E, MATCH($A92, 'UA-normalized'!$A:$A, 0))), 0), 0))+(IFERROR(IF(3*INDEX('KZ-normalized'!$D:$D, MATCH($A92, 'KZ-normalized'!$A:$A, 0))-INDEX('KZ-normalized'!$E:$E, MATCH($A92, 'KZ-normalized'!$A:$A, 0))&gt;0, -(3*INDEX('KZ-normalized'!$D:$D, MATCH($A92, 'KZ-normalized'!$A:$A, 0))-INDEX('KZ-normalized'!$E:$E, MATCH($A92, 'KZ-normalized'!$A:$A, 0))), 0), 0))+(IFERROR(IF(3*INDEX('UZ-normalized'!$D:$D, MATCH($A92, 'UZ-normalized'!$A:$A, 0))-INDEX('UZ-normalized'!$E:$E, MATCH($A92, 'UZ-normalized'!$A:$A, 0))&gt;0, -(3*INDEX('UZ-normalized'!$D:$D, MATCH($A92, 'UZ-normalized'!$A:$A, 0))-INDEX('UZ-normalized'!$E:$E, MATCH($A92, 'UZ-normalized'!$A:$A, 0))), 0), 0)))</f>
        <v>0</v>
      </c>
      <c r="R92" s="6">
        <f>MIN(0, N92+(IFERROR(IF(4*INDEX('UA-normalized'!$D:$D, MATCH($A92, 'UA-normalized'!$A:$A, 0))-INDEX('UA-normalized'!$E:$E, MATCH($A92, 'UA-normalized'!$A:$A, 0))&gt;0, -(4*INDEX('UA-normalized'!$D:$D, MATCH($A92, 'UA-normalized'!$A:$A, 0))-INDEX('UA-normalized'!$E:$E, MATCH($A92, 'UA-normalized'!$A:$A, 0))), 0), 0))+(IFERROR(IF(4*INDEX('KZ-normalized'!$D:$D, MATCH($A92, 'KZ-normalized'!$A:$A, 0))-INDEX('KZ-normalized'!$E:$E, MATCH($A92, 'KZ-normalized'!$A:$A, 0))&gt;0, -(4*INDEX('KZ-normalized'!$D:$D, MATCH($A92, 'KZ-normalized'!$A:$A, 0))-INDEX('KZ-normalized'!$E:$E, MATCH($A92, 'KZ-normalized'!$A:$A, 0))), 0), 0))+(IFERROR(IF(4*INDEX('UZ-normalized'!$D:$D, MATCH($A92, 'UZ-normalized'!$A:$A, 0))-INDEX('UZ-normalized'!$E:$E, MATCH($A92, 'UZ-normalized'!$A:$A, 0))&gt;0, -(4*INDEX('UZ-normalized'!$D:$D, MATCH($A92, 'UZ-normalized'!$A:$A, 0))-INDEX('UZ-normalized'!$E:$E, MATCH($A92, 'UZ-normalized'!$A:$A, 0))), 0), 0)))</f>
        <v>0</v>
      </c>
      <c r="S92" s="6">
        <f>MIN(0, N92+(IFERROR(IF(5*INDEX('UA-normalized'!$D:$D, MATCH($A92, 'UA-normalized'!$A:$A, 0))-INDEX('UA-normalized'!$E:$E, MATCH($A92, 'UA-normalized'!$A:$A, 0))&gt;0, -(5*INDEX('UA-normalized'!$D:$D, MATCH($A92, 'UA-normalized'!$A:$A, 0))-INDEX('UA-normalized'!$E:$E, MATCH($A92, 'UA-normalized'!$A:$A, 0))), 0), 0))+(IFERROR(IF(5*INDEX('KZ-normalized'!$D:$D, MATCH($A92, 'KZ-normalized'!$A:$A, 0))-INDEX('KZ-normalized'!$E:$E, MATCH($A92, 'KZ-normalized'!$A:$A, 0))&gt;0, -(5*INDEX('KZ-normalized'!$D:$D, MATCH($A92, 'KZ-normalized'!$A:$A, 0))-INDEX('KZ-normalized'!$E:$E, MATCH($A92, 'KZ-normalized'!$A:$A, 0))), 0), 0))+(IFERROR(IF(5*INDEX('UZ-normalized'!$D:$D, MATCH($A92, 'UZ-normalized'!$A:$A, 0))-INDEX('UZ-normalized'!$E:$E, MATCH($A92, 'UZ-normalized'!$A:$A, 0))&gt;0, -(5*INDEX('UZ-normalized'!$D:$D, MATCH($A92, 'UZ-normalized'!$A:$A, 0))-INDEX('UZ-normalized'!$E:$E, MATCH($A92, 'UZ-normalized'!$A:$A, 0))), 0), 0)))</f>
        <v>0</v>
      </c>
      <c r="T92" s="6">
        <f>MIN(0, N92+(IFERROR(IF(6*INDEX('UA-normalized'!$D:$D, MATCH($A92, 'UA-normalized'!$A:$A, 0))-INDEX('UA-normalized'!$E:$E, MATCH($A92, 'UA-normalized'!$A:$A, 0))&gt;0, -(6*INDEX('UA-normalized'!$D:$D, MATCH($A92, 'UA-normalized'!$A:$A, 0))-INDEX('UA-normalized'!$E:$E, MATCH($A92, 'UA-normalized'!$A:$A, 0))), 0), 0))+(IFERROR(IF(6*INDEX('KZ-normalized'!$D:$D, MATCH($A92, 'KZ-normalized'!$A:$A, 0))-INDEX('KZ-normalized'!$E:$E, MATCH($A92, 'KZ-normalized'!$A:$A, 0))&gt;0, -(6*INDEX('KZ-normalized'!$D:$D, MATCH($A92, 'KZ-normalized'!$A:$A, 0))-INDEX('KZ-normalized'!$E:$E, MATCH($A92, 'KZ-normalized'!$A:$A, 0))), 0), 0))+(IFERROR(IF(6*INDEX('UZ-normalized'!$D:$D, MATCH($A92, 'UZ-normalized'!$A:$A, 0))-INDEX('UZ-normalized'!$E:$E, MATCH($A92, 'UZ-normalized'!$A:$A, 0))&gt;0, -(6*INDEX('UZ-normalized'!$D:$D, MATCH($A92, 'UZ-normalized'!$A:$A, 0))-INDEX('UZ-normalized'!$E:$E, MATCH($A92, 'UZ-normalized'!$A:$A, 0))), 0), 0)))</f>
        <v>0</v>
      </c>
      <c r="U92" s="6">
        <f>MIN(0, N92+(IFERROR(IF(7*INDEX('UA-normalized'!$D:$D, MATCH($A92, 'UA-normalized'!$A:$A, 0))-INDEX('UA-normalized'!$E:$E, MATCH($A92, 'UA-normalized'!$A:$A, 0))&gt;0, -(7*INDEX('UA-normalized'!$D:$D, MATCH($A92, 'UA-normalized'!$A:$A, 0))-INDEX('UA-normalized'!$E:$E, MATCH($A92, 'UA-normalized'!$A:$A, 0))), 0), 0))+(IFERROR(IF(7*INDEX('KZ-normalized'!$D:$D, MATCH($A92, 'KZ-normalized'!$A:$A, 0))-INDEX('KZ-normalized'!$E:$E, MATCH($A92, 'KZ-normalized'!$A:$A, 0))&gt;0, -(7*INDEX('KZ-normalized'!$D:$D, MATCH($A92, 'KZ-normalized'!$A:$A, 0))-INDEX('KZ-normalized'!$E:$E, MATCH($A92, 'KZ-normalized'!$A:$A, 0))), 0), 0))+(IFERROR(IF(7*INDEX('UZ-normalized'!$D:$D, MATCH($A92, 'UZ-normalized'!$A:$A, 0))-INDEX('UZ-normalized'!$E:$E, MATCH($A92, 'UZ-normalized'!$A:$A, 0))&gt;0, -(7*INDEX('UZ-normalized'!$D:$D, MATCH($A92, 'UZ-normalized'!$A:$A, 0))-INDEX('UZ-normalized'!$E:$E, MATCH($A92, 'UZ-normalized'!$A:$A, 0))), 0), 0)))</f>
        <v>0</v>
      </c>
      <c r="V92" s="6">
        <f>MIN(0, N92+(IFERROR(IF(8*INDEX('UA-normalized'!$D:$D, MATCH($A92, 'UA-normalized'!$A:$A, 0))-INDEX('UA-normalized'!$E:$E, MATCH($A92, 'UA-normalized'!$A:$A, 0))&gt;0, -(8*INDEX('UA-normalized'!$D:$D, MATCH($A92, 'UA-normalized'!$A:$A, 0))-INDEX('UA-normalized'!$E:$E, MATCH($A92, 'UA-normalized'!$A:$A, 0))), 0), 0))+(IFERROR(IF(8*INDEX('KZ-normalized'!$D:$D, MATCH($A92, 'KZ-normalized'!$A:$A, 0))-INDEX('KZ-normalized'!$E:$E, MATCH($A92, 'KZ-normalized'!$A:$A, 0))&gt;0, -(8*INDEX('KZ-normalized'!$D:$D, MATCH($A92, 'KZ-normalized'!$A:$A, 0))-INDEX('KZ-normalized'!$E:$E, MATCH($A92, 'KZ-normalized'!$A:$A, 0))), 0), 0))+(IFERROR(IF(8*INDEX('UZ-normalized'!$D:$D, MATCH($A92, 'UZ-normalized'!$A:$A, 0))-INDEX('UZ-normalized'!$E:$E, MATCH($A92, 'UZ-normalized'!$A:$A, 0))&gt;0, -(8*INDEX('UZ-normalized'!$D:$D, MATCH($A92, 'UZ-normalized'!$A:$A, 0))-INDEX('UZ-normalized'!$E:$E, MATCH($A92, 'UZ-normalized'!$A:$A, 0))), 0), 0)))</f>
        <v>0</v>
      </c>
      <c r="W92" s="6">
        <f>MIN(0, N92+(IFERROR(IF(9*INDEX('UA-normalized'!$D:$D, MATCH($A92, 'UA-normalized'!$A:$A, 0))-INDEX('UA-normalized'!$E:$E, MATCH($A92, 'UA-normalized'!$A:$A, 0))&gt;0, -(9*INDEX('UA-normalized'!$D:$D, MATCH($A92, 'UA-normalized'!$A:$A, 0))-INDEX('UA-normalized'!$E:$E, MATCH($A92, 'UA-normalized'!$A:$A, 0))), 0), 0))+(IFERROR(IF(9*INDEX('KZ-normalized'!$D:$D, MATCH($A92, 'KZ-normalized'!$A:$A, 0))-INDEX('KZ-normalized'!$E:$E, MATCH($A92, 'KZ-normalized'!$A:$A, 0))&gt;0, -(9*INDEX('KZ-normalized'!$D:$D, MATCH($A92, 'KZ-normalized'!$A:$A, 0))-INDEX('KZ-normalized'!$E:$E, MATCH($A92, 'KZ-normalized'!$A:$A, 0))), 0), 0))+(IFERROR(IF(9*INDEX('UZ-normalized'!$D:$D, MATCH($A92, 'UZ-normalized'!$A:$A, 0))-INDEX('UZ-normalized'!$E:$E, MATCH($A92, 'UZ-normalized'!$A:$A, 0))&gt;0, -(9*INDEX('UZ-normalized'!$D:$D, MATCH($A92, 'UZ-normalized'!$A:$A, 0))-INDEX('UZ-normalized'!$E:$E, MATCH($A92, 'UZ-normalized'!$A:$A, 0))), 0), 0)))</f>
        <v>0</v>
      </c>
      <c r="X92" s="6">
        <f>MIN(0, N92+(IFERROR(IF(10*INDEX('UA-normalized'!$D:$D, MATCH($A92, 'UA-normalized'!$A:$A, 0))-INDEX('UA-normalized'!$E:$E, MATCH($A92, 'UA-normalized'!$A:$A, 0))&gt;0, -(10*INDEX('UA-normalized'!$D:$D, MATCH($A92, 'UA-normalized'!$A:$A, 0))-INDEX('UA-normalized'!$E:$E, MATCH($A92, 'UA-normalized'!$A:$A, 0))), 0), 0))+(IFERROR(IF(10*INDEX('KZ-normalized'!$D:$D, MATCH($A92, 'KZ-normalized'!$A:$A, 0))-INDEX('KZ-normalized'!$E:$E, MATCH($A92, 'KZ-normalized'!$A:$A, 0))&gt;0, -(10*INDEX('KZ-normalized'!$D:$D, MATCH($A92, 'KZ-normalized'!$A:$A, 0))-INDEX('KZ-normalized'!$E:$E, MATCH($A92, 'KZ-normalized'!$A:$A, 0))), 0), 0))+(IFERROR(IF(10*INDEX('UZ-normalized'!$D:$D, MATCH($A92, 'UZ-normalized'!$A:$A, 0))-INDEX('UZ-normalized'!$E:$E, MATCH($A92, 'UZ-normalized'!$A:$A, 0))&gt;0, -(10*INDEX('UZ-normalized'!$D:$D, MATCH($A92, 'UZ-normalized'!$A:$A, 0))-INDEX('UZ-normalized'!$E:$E, MATCH($A92, 'UZ-normalized'!$A:$A, 0))), 0), 0)))</f>
        <v>0</v>
      </c>
      <c r="Y92" s="6">
        <f>MIN(0, N92+(IFERROR(IF(11*INDEX('UA-normalized'!$D:$D, MATCH($A92, 'UA-normalized'!$A:$A, 0))-INDEX('UA-normalized'!$E:$E, MATCH($A92, 'UA-normalized'!$A:$A, 0))&gt;0, -(11*INDEX('UA-normalized'!$D:$D, MATCH($A92, 'UA-normalized'!$A:$A, 0))-INDEX('UA-normalized'!$E:$E, MATCH($A92, 'UA-normalized'!$A:$A, 0))), 0), 0))+(IFERROR(IF(11*INDEX('KZ-normalized'!$D:$D, MATCH($A92, 'KZ-normalized'!$A:$A, 0))-INDEX('KZ-normalized'!$E:$E, MATCH($A92, 'KZ-normalized'!$A:$A, 0))&gt;0, -(11*INDEX('KZ-normalized'!$D:$D, MATCH($A92, 'KZ-normalized'!$A:$A, 0))-INDEX('KZ-normalized'!$E:$E, MATCH($A92, 'KZ-normalized'!$A:$A, 0))), 0), 0))+(IFERROR(IF(11*INDEX('UZ-normalized'!$D:$D, MATCH($A92, 'UZ-normalized'!$A:$A, 0))-INDEX('UZ-normalized'!$E:$E, MATCH($A92, 'UZ-normalized'!$A:$A, 0))&gt;0, -(11*INDEX('UZ-normalized'!$D:$D, MATCH($A92, 'UZ-normalized'!$A:$A, 0))-INDEX('UZ-normalized'!$E:$E, MATCH($A92, 'UZ-normalized'!$A:$A, 0))), 0), 0)))</f>
        <v>0</v>
      </c>
      <c r="Z92" s="6">
        <f>MIN(0, N92+(IFERROR(IF(12*INDEX('UA-normalized'!$D:$D, MATCH($A92, 'UA-normalized'!$A:$A, 0))-INDEX('UA-normalized'!$E:$E, MATCH($A92, 'UA-normalized'!$A:$A, 0))&gt;0, -(12*INDEX('UA-normalized'!$D:$D, MATCH($A92, 'UA-normalized'!$A:$A, 0))-INDEX('UA-normalized'!$E:$E, MATCH($A92, 'UA-normalized'!$A:$A, 0))), 0), 0))+(IFERROR(IF(12*INDEX('KZ-normalized'!$D:$D, MATCH($A92, 'KZ-normalized'!$A:$A, 0))-INDEX('KZ-normalized'!$E:$E, MATCH($A92, 'KZ-normalized'!$A:$A, 0))&gt;0, -(12*INDEX('KZ-normalized'!$D:$D, MATCH($A92, 'KZ-normalized'!$A:$A, 0))-INDEX('KZ-normalized'!$E:$E, MATCH($A92, 'KZ-normalized'!$A:$A, 0))), 0), 0))+(IFERROR(IF(12*INDEX('UZ-normalized'!$D:$D, MATCH($A92, 'UZ-normalized'!$A:$A, 0))-INDEX('UZ-normalized'!$E:$E, MATCH($A92, 'UZ-normalized'!$A:$A, 0))&gt;0, -(12*INDEX('UZ-normalized'!$D:$D, MATCH($A92, 'UZ-normalized'!$A:$A, 0))-INDEX('UZ-normalized'!$E:$E, MATCH($A92, 'UZ-normalized'!$A:$A, 0))), 0), 0)))</f>
        <v>0</v>
      </c>
      <c r="AA92" s="6">
        <f>MIN(0, N92+(IFERROR(IF(13*INDEX('UA-normalized'!$D:$D, MATCH($A92, 'UA-normalized'!$A:$A, 0))-INDEX('UA-normalized'!$E:$E, MATCH($A92, 'UA-normalized'!$A:$A, 0))&gt;0, -(13*INDEX('UA-normalized'!$D:$D, MATCH($A92, 'UA-normalized'!$A:$A, 0))-INDEX('UA-normalized'!$E:$E, MATCH($A92, 'UA-normalized'!$A:$A, 0))), 0), 0))+(IFERROR(IF(13*INDEX('KZ-normalized'!$D:$D, MATCH($A92, 'KZ-normalized'!$A:$A, 0))-INDEX('KZ-normalized'!$E:$E, MATCH($A92, 'KZ-normalized'!$A:$A, 0))&gt;0, -(13*INDEX('KZ-normalized'!$D:$D, MATCH($A92, 'KZ-normalized'!$A:$A, 0))-INDEX('KZ-normalized'!$E:$E, MATCH($A92, 'KZ-normalized'!$A:$A, 0))), 0), 0))+(IFERROR(IF(13*INDEX('UZ-normalized'!$D:$D, MATCH($A92, 'UZ-normalized'!$A:$A, 0))-INDEX('UZ-normalized'!$E:$E, MATCH($A92, 'UZ-normalized'!$A:$A, 0))&gt;0, -(13*INDEX('UZ-normalized'!$D:$D, MATCH($A92, 'UZ-normalized'!$A:$A, 0))-INDEX('UZ-normalized'!$E:$E, MATCH($A92, 'UZ-normalized'!$A:$A, 0))), 0), 0)))</f>
        <v>-95.5</v>
      </c>
      <c r="AB92" s="6">
        <f>MIN(0, N92+(IFERROR(IF(14*INDEX('UA-normalized'!$D:$D, MATCH($A92, 'UA-normalized'!$A:$A, 0))-INDEX('UA-normalized'!$E:$E, MATCH($A92, 'UA-normalized'!$A:$A, 0))&gt;0, -(14*INDEX('UA-normalized'!$D:$D, MATCH($A92, 'UA-normalized'!$A:$A, 0))-INDEX('UA-normalized'!$E:$E, MATCH($A92, 'UA-normalized'!$A:$A, 0))), 0), 0))+(IFERROR(IF(14*INDEX('KZ-normalized'!$D:$D, MATCH($A92, 'KZ-normalized'!$A:$A, 0))-INDEX('KZ-normalized'!$E:$E, MATCH($A92, 'KZ-normalized'!$A:$A, 0))&gt;0, -(14*INDEX('KZ-normalized'!$D:$D, MATCH($A92, 'KZ-normalized'!$A:$A, 0))-INDEX('KZ-normalized'!$E:$E, MATCH($A92, 'KZ-normalized'!$A:$A, 0))), 0), 0))+(IFERROR(IF(14*INDEX('UZ-normalized'!$D:$D, MATCH($A92, 'UZ-normalized'!$A:$A, 0))-INDEX('UZ-normalized'!$E:$E, MATCH($A92, 'UZ-normalized'!$A:$A, 0))&gt;0, -(14*INDEX('UZ-normalized'!$D:$D, MATCH($A92, 'UZ-normalized'!$A:$A, 0))-INDEX('UZ-normalized'!$E:$E, MATCH($A92, 'UZ-normalized'!$A:$A, 0))), 0), 0)))</f>
        <v>-611.5</v>
      </c>
      <c r="AC92" s="6">
        <f>MIN(0, N92+(IFERROR(IF(15*INDEX('UA-normalized'!$D:$D, MATCH($A92, 'UA-normalized'!$A:$A, 0))-INDEX('UA-normalized'!$E:$E, MATCH($A92, 'UA-normalized'!$A:$A, 0))&gt;0, -(15*INDEX('UA-normalized'!$D:$D, MATCH($A92, 'UA-normalized'!$A:$A, 0))-INDEX('UA-normalized'!$E:$E, MATCH($A92, 'UA-normalized'!$A:$A, 0))), 0), 0))+(IFERROR(IF(15*INDEX('KZ-normalized'!$D:$D, MATCH($A92, 'KZ-normalized'!$A:$A, 0))-INDEX('KZ-normalized'!$E:$E, MATCH($A92, 'KZ-normalized'!$A:$A, 0))&gt;0, -(15*INDEX('KZ-normalized'!$D:$D, MATCH($A92, 'KZ-normalized'!$A:$A, 0))-INDEX('KZ-normalized'!$E:$E, MATCH($A92, 'KZ-normalized'!$A:$A, 0))), 0), 0))+(IFERROR(IF(15*INDEX('UZ-normalized'!$D:$D, MATCH($A92, 'UZ-normalized'!$A:$A, 0))-INDEX('UZ-normalized'!$E:$E, MATCH($A92, 'UZ-normalized'!$A:$A, 0))&gt;0, -(15*INDEX('UZ-normalized'!$D:$D, MATCH($A92, 'UZ-normalized'!$A:$A, 0))-INDEX('UZ-normalized'!$E:$E, MATCH($A92, 'UZ-normalized'!$A:$A, 0))), 0), 0)))</f>
        <v>-1127.5</v>
      </c>
      <c r="AD92" s="6">
        <f>MIN(0, N92+(IFERROR(IF(16*INDEX('UA-normalized'!$D:$D, MATCH($A92, 'UA-normalized'!$A:$A, 0))-INDEX('UA-normalized'!$E:$E, MATCH($A92, 'UA-normalized'!$A:$A, 0))&gt;0, -(16*INDEX('UA-normalized'!$D:$D, MATCH($A92, 'UA-normalized'!$A:$A, 0))-INDEX('UA-normalized'!$E:$E, MATCH($A92, 'UA-normalized'!$A:$A, 0))), 0), 0))+(IFERROR(IF(16*INDEX('KZ-normalized'!$D:$D, MATCH($A92, 'KZ-normalized'!$A:$A, 0))-INDEX('KZ-normalized'!$E:$E, MATCH($A92, 'KZ-normalized'!$A:$A, 0))&gt;0, -(16*INDEX('KZ-normalized'!$D:$D, MATCH($A92, 'KZ-normalized'!$A:$A, 0))-INDEX('KZ-normalized'!$E:$E, MATCH($A92, 'KZ-normalized'!$A:$A, 0))), 0), 0))+(IFERROR(IF(16*INDEX('UZ-normalized'!$D:$D, MATCH($A92, 'UZ-normalized'!$A:$A, 0))-INDEX('UZ-normalized'!$E:$E, MATCH($A92, 'UZ-normalized'!$A:$A, 0))&gt;0, -(16*INDEX('UZ-normalized'!$D:$D, MATCH($A92, 'UZ-normalized'!$A:$A, 0))-INDEX('UZ-normalized'!$E:$E, MATCH($A92, 'UZ-normalized'!$A:$A, 0))), 0), 0)))</f>
        <v>-1643.5</v>
      </c>
      <c r="AE92" s="6">
        <f>MIN(0, N92+(IFERROR(IF(17*INDEX('UA-normalized'!$D:$D, MATCH($A92, 'UA-normalized'!$A:$A, 0))-INDEX('UA-normalized'!$E:$E, MATCH($A92, 'UA-normalized'!$A:$A, 0))&gt;0, -(17*INDEX('UA-normalized'!$D:$D, MATCH($A92, 'UA-normalized'!$A:$A, 0))-INDEX('UA-normalized'!$E:$E, MATCH($A92, 'UA-normalized'!$A:$A, 0))), 0), 0))+(IFERROR(IF(17*INDEX('KZ-normalized'!$D:$D, MATCH($A92, 'KZ-normalized'!$A:$A, 0))-INDEX('KZ-normalized'!$E:$E, MATCH($A92, 'KZ-normalized'!$A:$A, 0))&gt;0, -(17*INDEX('KZ-normalized'!$D:$D, MATCH($A92, 'KZ-normalized'!$A:$A, 0))-INDEX('KZ-normalized'!$E:$E, MATCH($A92, 'KZ-normalized'!$A:$A, 0))), 0), 0))+(IFERROR(IF(17*INDEX('UZ-normalized'!$D:$D, MATCH($A92, 'UZ-normalized'!$A:$A, 0))-INDEX('UZ-normalized'!$E:$E, MATCH($A92, 'UZ-normalized'!$A:$A, 0))&gt;0, -(17*INDEX('UZ-normalized'!$D:$D, MATCH($A92, 'UZ-normalized'!$A:$A, 0))-INDEX('UZ-normalized'!$E:$E, MATCH($A92, 'UZ-normalized'!$A:$A, 0))), 0), 0)))</f>
        <v>-2159.5</v>
      </c>
      <c r="AF92" s="6">
        <f>MIN(0, N92+(IFERROR(IF(18*INDEX('UA-normalized'!$D:$D, MATCH($A92, 'UA-normalized'!$A:$A, 0))-INDEX('UA-normalized'!$E:$E, MATCH($A92, 'UA-normalized'!$A:$A, 0))&gt;0, -(18*INDEX('UA-normalized'!$D:$D, MATCH($A92, 'UA-normalized'!$A:$A, 0))-INDEX('UA-normalized'!$E:$E, MATCH($A92, 'UA-normalized'!$A:$A, 0))), 0), 0))+(IFERROR(IF(18*INDEX('KZ-normalized'!$D:$D, MATCH($A92, 'KZ-normalized'!$A:$A, 0))-INDEX('KZ-normalized'!$E:$E, MATCH($A92, 'KZ-normalized'!$A:$A, 0))&gt;0, -(18*INDEX('KZ-normalized'!$D:$D, MATCH($A92, 'KZ-normalized'!$A:$A, 0))-INDEX('KZ-normalized'!$E:$E, MATCH($A92, 'KZ-normalized'!$A:$A, 0))), 0), 0))+(IFERROR(IF(18*INDEX('UZ-normalized'!$D:$D, MATCH($A92, 'UZ-normalized'!$A:$A, 0))-INDEX('UZ-normalized'!$E:$E, MATCH($A92, 'UZ-normalized'!$A:$A, 0))&gt;0, -(18*INDEX('UZ-normalized'!$D:$D, MATCH($A92, 'UZ-normalized'!$A:$A, 0))-INDEX('UZ-normalized'!$E:$E, MATCH($A92, 'UZ-normalized'!$A:$A, 0))), 0), 0)))</f>
        <v>-2675.5</v>
      </c>
      <c r="AG92" s="6">
        <f>MIN(0, N92+(IFERROR(IF(19*INDEX('UA-normalized'!$D:$D, MATCH($A92, 'UA-normalized'!$A:$A, 0))-INDEX('UA-normalized'!$E:$E, MATCH($A92, 'UA-normalized'!$A:$A, 0))&gt;0, -(19*INDEX('UA-normalized'!$D:$D, MATCH($A92, 'UA-normalized'!$A:$A, 0))-INDEX('UA-normalized'!$E:$E, MATCH($A92, 'UA-normalized'!$A:$A, 0))), 0), 0))+(IFERROR(IF(19*INDEX('KZ-normalized'!$D:$D, MATCH($A92, 'KZ-normalized'!$A:$A, 0))-INDEX('KZ-normalized'!$E:$E, MATCH($A92, 'KZ-normalized'!$A:$A, 0))&gt;0, -(19*INDEX('KZ-normalized'!$D:$D, MATCH($A92, 'KZ-normalized'!$A:$A, 0))-INDEX('KZ-normalized'!$E:$E, MATCH($A92, 'KZ-normalized'!$A:$A, 0))), 0), 0))+(IFERROR(IF(19*INDEX('UZ-normalized'!$D:$D, MATCH($A92, 'UZ-normalized'!$A:$A, 0))-INDEX('UZ-normalized'!$E:$E, MATCH($A92, 'UZ-normalized'!$A:$A, 0))&gt;0, -(19*INDEX('UZ-normalized'!$D:$D, MATCH($A92, 'UZ-normalized'!$A:$A, 0))-INDEX('UZ-normalized'!$E:$E, MATCH($A92, 'UZ-normalized'!$A:$A, 0))), 0), 0)))</f>
        <v>-3191.5</v>
      </c>
      <c r="AH92" s="6">
        <f>MIN(0, N92+(IFERROR(IF(20*INDEX('UA-normalized'!$D:$D, MATCH($A92, 'UA-normalized'!$A:$A, 0))-INDEX('UA-normalized'!$E:$E, MATCH($A92, 'UA-normalized'!$A:$A, 0))&gt;0, -(20*INDEX('UA-normalized'!$D:$D, MATCH($A92, 'UA-normalized'!$A:$A, 0))-INDEX('UA-normalized'!$E:$E, MATCH($A92, 'UA-normalized'!$A:$A, 0))), 0), 0))+(IFERROR(IF(20*INDEX('KZ-normalized'!$D:$D, MATCH($A92, 'KZ-normalized'!$A:$A, 0))-INDEX('KZ-normalized'!$E:$E, MATCH($A92, 'KZ-normalized'!$A:$A, 0))&gt;0, -(20*INDEX('KZ-normalized'!$D:$D, MATCH($A92, 'KZ-normalized'!$A:$A, 0))-INDEX('KZ-normalized'!$E:$E, MATCH($A92, 'KZ-normalized'!$A:$A, 0))), 0), 0))+(IFERROR(IF(20*INDEX('UZ-normalized'!$D:$D, MATCH($A92, 'UZ-normalized'!$A:$A, 0))-INDEX('UZ-normalized'!$E:$E, MATCH($A92, 'UZ-normalized'!$A:$A, 0))&gt;0, -(20*INDEX('UZ-normalized'!$D:$D, MATCH($A92, 'UZ-normalized'!$A:$A, 0))-INDEX('UZ-normalized'!$E:$E, MATCH($A92, 'UZ-normalized'!$A:$A, 0))), 0), 0)))</f>
        <v>-3707.5</v>
      </c>
      <c r="AI92" s="6">
        <f>MIN(0, N92+(IFERROR(IF(21*INDEX('UA-normalized'!$D:$D, MATCH($A92, 'UA-normalized'!$A:$A, 0))-INDEX('UA-normalized'!$E:$E, MATCH($A92, 'UA-normalized'!$A:$A, 0))&gt;0, -(21*INDEX('UA-normalized'!$D:$D, MATCH($A92, 'UA-normalized'!$A:$A, 0))-INDEX('UA-normalized'!$E:$E, MATCH($A92, 'UA-normalized'!$A:$A, 0))), 0), 0))+(IFERROR(IF(21*INDEX('KZ-normalized'!$D:$D, MATCH($A92, 'KZ-normalized'!$A:$A, 0))-INDEX('KZ-normalized'!$E:$E, MATCH($A92, 'KZ-normalized'!$A:$A, 0))&gt;0, -(21*INDEX('KZ-normalized'!$D:$D, MATCH($A92, 'KZ-normalized'!$A:$A, 0))-INDEX('KZ-normalized'!$E:$E, MATCH($A92, 'KZ-normalized'!$A:$A, 0))), 0), 0))+(IFERROR(IF(21*INDEX('UZ-normalized'!$D:$D, MATCH($A92, 'UZ-normalized'!$A:$A, 0))-INDEX('UZ-normalized'!$E:$E, MATCH($A92, 'UZ-normalized'!$A:$A, 0))&gt;0, -(21*INDEX('UZ-normalized'!$D:$D, MATCH($A92, 'UZ-normalized'!$A:$A, 0))-INDEX('UZ-normalized'!$E:$E, MATCH($A92, 'UZ-normalized'!$A:$A, 0))), 0), 0)))</f>
        <v>-4223.5</v>
      </c>
      <c r="AJ92" s="6">
        <f>MIN(0, N92+(IFERROR(IF(22*INDEX('UA-normalized'!$D:$D, MATCH($A92, 'UA-normalized'!$A:$A, 0))-INDEX('UA-normalized'!$E:$E, MATCH($A92, 'UA-normalized'!$A:$A, 0))&gt;0, -(22*INDEX('UA-normalized'!$D:$D, MATCH($A92, 'UA-normalized'!$A:$A, 0))-INDEX('UA-normalized'!$E:$E, MATCH($A92, 'UA-normalized'!$A:$A, 0))), 0), 0))+(IFERROR(IF(22*INDEX('KZ-normalized'!$D:$D, MATCH($A92, 'KZ-normalized'!$A:$A, 0))-INDEX('KZ-normalized'!$E:$E, MATCH($A92, 'KZ-normalized'!$A:$A, 0))&gt;0, -(22*INDEX('KZ-normalized'!$D:$D, MATCH($A92, 'KZ-normalized'!$A:$A, 0))-INDEX('KZ-normalized'!$E:$E, MATCH($A92, 'KZ-normalized'!$A:$A, 0))), 0), 0))+(IFERROR(IF(22*INDEX('UZ-normalized'!$D:$D, MATCH($A92, 'UZ-normalized'!$A:$A, 0))-INDEX('UZ-normalized'!$E:$E, MATCH($A92, 'UZ-normalized'!$A:$A, 0))&gt;0, -(22*INDEX('UZ-normalized'!$D:$D, MATCH($A92, 'UZ-normalized'!$A:$A, 0))-INDEX('UZ-normalized'!$E:$E, MATCH($A92, 'UZ-normalized'!$A:$A, 0))), 0), 0)))</f>
        <v>-4739.5</v>
      </c>
      <c r="AK92" s="6">
        <f>MIN(0, N92+(IFERROR(IF(23*INDEX('UA-normalized'!$D:$D, MATCH($A92, 'UA-normalized'!$A:$A, 0))-INDEX('UA-normalized'!$E:$E, MATCH($A92, 'UA-normalized'!$A:$A, 0))&gt;0, -(23*INDEX('UA-normalized'!$D:$D, MATCH($A92, 'UA-normalized'!$A:$A, 0))-INDEX('UA-normalized'!$E:$E, MATCH($A92, 'UA-normalized'!$A:$A, 0))), 0), 0))+(IFERROR(IF(23*INDEX('KZ-normalized'!$D:$D, MATCH($A92, 'KZ-normalized'!$A:$A, 0))-INDEX('KZ-normalized'!$E:$E, MATCH($A92, 'KZ-normalized'!$A:$A, 0))&gt;0, -(23*INDEX('KZ-normalized'!$D:$D, MATCH($A92, 'KZ-normalized'!$A:$A, 0))-INDEX('KZ-normalized'!$E:$E, MATCH($A92, 'KZ-normalized'!$A:$A, 0))), 0), 0))+(IFERROR(IF(23*INDEX('UZ-normalized'!$D:$D, MATCH($A92, 'UZ-normalized'!$A:$A, 0))-INDEX('UZ-normalized'!$E:$E, MATCH($A92, 'UZ-normalized'!$A:$A, 0))&gt;0, -(23*INDEX('UZ-normalized'!$D:$D, MATCH($A92, 'UZ-normalized'!$A:$A, 0))-INDEX('UZ-normalized'!$E:$E, MATCH($A92, 'UZ-normalized'!$A:$A, 0))), 0), 0)))</f>
        <v>-5255.5</v>
      </c>
      <c r="AL92" s="6">
        <f>MIN(0, N92+(IFERROR(IF(24*INDEX('UA-normalized'!$D:$D, MATCH($A92, 'UA-normalized'!$A:$A, 0))-INDEX('UA-normalized'!$E:$E, MATCH($A92, 'UA-normalized'!$A:$A, 0))&gt;0, -(24*INDEX('UA-normalized'!$D:$D, MATCH($A92, 'UA-normalized'!$A:$A, 0))-INDEX('UA-normalized'!$E:$E, MATCH($A92, 'UA-normalized'!$A:$A, 0))), 0), 0))+(IFERROR(IF(24*INDEX('KZ-normalized'!$D:$D, MATCH($A92, 'KZ-normalized'!$A:$A, 0))-INDEX('KZ-normalized'!$E:$E, MATCH($A92, 'KZ-normalized'!$A:$A, 0))&gt;0, -(24*INDEX('KZ-normalized'!$D:$D, MATCH($A92, 'KZ-normalized'!$A:$A, 0))-INDEX('KZ-normalized'!$E:$E, MATCH($A92, 'KZ-normalized'!$A:$A, 0))), 0), 0))+(IFERROR(IF(24*INDEX('UZ-normalized'!$D:$D, MATCH($A92, 'UZ-normalized'!$A:$A, 0))-INDEX('UZ-normalized'!$E:$E, MATCH($A92, 'UZ-normalized'!$A:$A, 0))&gt;0, -(24*INDEX('UZ-normalized'!$D:$D, MATCH($A92, 'UZ-normalized'!$A:$A, 0))-INDEX('UZ-normalized'!$E:$E, MATCH($A92, 'UZ-normalized'!$A:$A, 0))), 0), 0)))</f>
        <v>-5771.5</v>
      </c>
      <c r="AM92" s="6">
        <f>MIN(0, N92+(IFERROR(IF(25*INDEX('UA-normalized'!$D:$D, MATCH($A92, 'UA-normalized'!$A:$A, 0))-INDEX('UA-normalized'!$E:$E, MATCH($A92, 'UA-normalized'!$A:$A, 0))&gt;0, -(25*INDEX('UA-normalized'!$D:$D, MATCH($A92, 'UA-normalized'!$A:$A, 0))-INDEX('UA-normalized'!$E:$E, MATCH($A92, 'UA-normalized'!$A:$A, 0))), 0), 0))+(IFERROR(IF(25*INDEX('KZ-normalized'!$D:$D, MATCH($A92, 'KZ-normalized'!$A:$A, 0))-INDEX('KZ-normalized'!$E:$E, MATCH($A92, 'KZ-normalized'!$A:$A, 0))&gt;0, -(25*INDEX('KZ-normalized'!$D:$D, MATCH($A92, 'KZ-normalized'!$A:$A, 0))-INDEX('KZ-normalized'!$E:$E, MATCH($A92, 'KZ-normalized'!$A:$A, 0))), 0), 0))+(IFERROR(IF(25*INDEX('UZ-normalized'!$D:$D, MATCH($A92, 'UZ-normalized'!$A:$A, 0))-INDEX('UZ-normalized'!$E:$E, MATCH($A92, 'UZ-normalized'!$A:$A, 0))&gt;0, -(25*INDEX('UZ-normalized'!$D:$D, MATCH($A92, 'UZ-normalized'!$A:$A, 0))-INDEX('UZ-normalized'!$E:$E, MATCH($A92, 'UZ-normalized'!$A:$A, 0))), 0), 0)))</f>
        <v>-6287.5</v>
      </c>
      <c r="AN92" s="6">
        <f>MIN(0, N92+(IFERROR(IF(26*INDEX('UA-normalized'!$D:$D, MATCH($A92, 'UA-normalized'!$A:$A, 0))-INDEX('UA-normalized'!$E:$E, MATCH($A92, 'UA-normalized'!$A:$A, 0))&gt;0, -(26*INDEX('UA-normalized'!$D:$D, MATCH($A92, 'UA-normalized'!$A:$A, 0))-INDEX('UA-normalized'!$E:$E, MATCH($A92, 'UA-normalized'!$A:$A, 0))), 0), 0))+(IFERROR(IF(26*INDEX('KZ-normalized'!$D:$D, MATCH($A92, 'KZ-normalized'!$A:$A, 0))-INDEX('KZ-normalized'!$E:$E, MATCH($A92, 'KZ-normalized'!$A:$A, 0))&gt;0, -(26*INDEX('KZ-normalized'!$D:$D, MATCH($A92, 'KZ-normalized'!$A:$A, 0))-INDEX('KZ-normalized'!$E:$E, MATCH($A92, 'KZ-normalized'!$A:$A, 0))), 0), 0))+(IFERROR(IF(26*INDEX('UZ-normalized'!$D:$D, MATCH($A92, 'UZ-normalized'!$A:$A, 0))-INDEX('UZ-normalized'!$E:$E, MATCH($A92, 'UZ-normalized'!$A:$A, 0))&gt;0, -(26*INDEX('UZ-normalized'!$D:$D, MATCH($A92, 'UZ-normalized'!$A:$A, 0))-INDEX('UZ-normalized'!$E:$E, MATCH($A92, 'UZ-normalized'!$A:$A, 0))), 0), 0)))</f>
        <v>-6803.5</v>
      </c>
      <c r="AO92" s="6">
        <f>MIN(0, N92+(IFERROR(IF(27*INDEX('UA-normalized'!$D:$D, MATCH($A92, 'UA-normalized'!$A:$A, 0))-INDEX('UA-normalized'!$E:$E, MATCH($A92, 'UA-normalized'!$A:$A, 0))&gt;0, -(27*INDEX('UA-normalized'!$D:$D, MATCH($A92, 'UA-normalized'!$A:$A, 0))-INDEX('UA-normalized'!$E:$E, MATCH($A92, 'UA-normalized'!$A:$A, 0))), 0), 0))+(IFERROR(IF(27*INDEX('KZ-normalized'!$D:$D, MATCH($A92, 'KZ-normalized'!$A:$A, 0))-INDEX('KZ-normalized'!$E:$E, MATCH($A92, 'KZ-normalized'!$A:$A, 0))&gt;0, -(27*INDEX('KZ-normalized'!$D:$D, MATCH($A92, 'KZ-normalized'!$A:$A, 0))-INDEX('KZ-normalized'!$E:$E, MATCH($A92, 'KZ-normalized'!$A:$A, 0))), 0), 0))+(IFERROR(IF(27*INDEX('UZ-normalized'!$D:$D, MATCH($A92, 'UZ-normalized'!$A:$A, 0))-INDEX('UZ-normalized'!$E:$E, MATCH($A92, 'UZ-normalized'!$A:$A, 0))&gt;0, -(27*INDEX('UZ-normalized'!$D:$D, MATCH($A92, 'UZ-normalized'!$A:$A, 0))-INDEX('UZ-normalized'!$E:$E, MATCH($A92, 'UZ-normalized'!$A:$A, 0))), 0), 0)))</f>
        <v>-7319.5</v>
      </c>
      <c r="AP92" s="6">
        <f>MIN(0, N92+(IFERROR(IF(28*INDEX('UA-normalized'!$D:$D, MATCH($A92, 'UA-normalized'!$A:$A, 0))-INDEX('UA-normalized'!$E:$E, MATCH($A92, 'UA-normalized'!$A:$A, 0))&gt;0, -(28*INDEX('UA-normalized'!$D:$D, MATCH($A92, 'UA-normalized'!$A:$A, 0))-INDEX('UA-normalized'!$E:$E, MATCH($A92, 'UA-normalized'!$A:$A, 0))), 0), 0))+(IFERROR(IF(28*INDEX('KZ-normalized'!$D:$D, MATCH($A92, 'KZ-normalized'!$A:$A, 0))-INDEX('KZ-normalized'!$E:$E, MATCH($A92, 'KZ-normalized'!$A:$A, 0))&gt;0, -(28*INDEX('KZ-normalized'!$D:$D, MATCH($A92, 'KZ-normalized'!$A:$A, 0))-INDEX('KZ-normalized'!$E:$E, MATCH($A92, 'KZ-normalized'!$A:$A, 0))), 0), 0))+(IFERROR(IF(28*INDEX('UZ-normalized'!$D:$D, MATCH($A92, 'UZ-normalized'!$A:$A, 0))-INDEX('UZ-normalized'!$E:$E, MATCH($A92, 'UZ-normalized'!$A:$A, 0))&gt;0, -(28*INDEX('UZ-normalized'!$D:$D, MATCH($A92, 'UZ-normalized'!$A:$A, 0))-INDEX('UZ-normalized'!$E:$E, MATCH($A92, 'UZ-normalized'!$A:$A, 0))), 0), 0)))</f>
        <v>-7835.5</v>
      </c>
      <c r="AQ92" s="6">
        <f>MIN(0, N92+(IFERROR(IF(29*INDEX('UA-normalized'!$D:$D, MATCH($A92, 'UA-normalized'!$A:$A, 0))-INDEX('UA-normalized'!$E:$E, MATCH($A92, 'UA-normalized'!$A:$A, 0))&gt;0, -(29*INDEX('UA-normalized'!$D:$D, MATCH($A92, 'UA-normalized'!$A:$A, 0))-INDEX('UA-normalized'!$E:$E, MATCH($A92, 'UA-normalized'!$A:$A, 0))), 0), 0))+(IFERROR(IF(29*INDEX('KZ-normalized'!$D:$D, MATCH($A92, 'KZ-normalized'!$A:$A, 0))-INDEX('KZ-normalized'!$E:$E, MATCH($A92, 'KZ-normalized'!$A:$A, 0))&gt;0, -(29*INDEX('KZ-normalized'!$D:$D, MATCH($A92, 'KZ-normalized'!$A:$A, 0))-INDEX('KZ-normalized'!$E:$E, MATCH($A92, 'KZ-normalized'!$A:$A, 0))), 0), 0))+(IFERROR(IF(29*INDEX('UZ-normalized'!$D:$D, MATCH($A92, 'UZ-normalized'!$A:$A, 0))-INDEX('UZ-normalized'!$E:$E, MATCH($A92, 'UZ-normalized'!$A:$A, 0))&gt;0, -(29*INDEX('UZ-normalized'!$D:$D, MATCH($A92, 'UZ-normalized'!$A:$A, 0))-INDEX('UZ-normalized'!$E:$E, MATCH($A92, 'UZ-normalized'!$A:$A, 0))), 0), 0)))</f>
        <v>-8351.5</v>
      </c>
      <c r="AR92" s="6">
        <f>MIN(0, N92+(IFERROR(IF(30*INDEX('UA-normalized'!$D:$D, MATCH($A92, 'UA-normalized'!$A:$A, 0))-INDEX('UA-normalized'!$E:$E, MATCH($A92, 'UA-normalized'!$A:$A, 0))&gt;0, -(30*INDEX('UA-normalized'!$D:$D, MATCH($A92, 'UA-normalized'!$A:$A, 0))-INDEX('UA-normalized'!$E:$E, MATCH($A92, 'UA-normalized'!$A:$A, 0))), 0), 0))+(IFERROR(IF(30*INDEX('KZ-normalized'!$D:$D, MATCH($A92, 'KZ-normalized'!$A:$A, 0))-INDEX('KZ-normalized'!$E:$E, MATCH($A92, 'KZ-normalized'!$A:$A, 0))&gt;0, -(30*INDEX('KZ-normalized'!$D:$D, MATCH($A92, 'KZ-normalized'!$A:$A, 0))-INDEX('KZ-normalized'!$E:$E, MATCH($A92, 'KZ-normalized'!$A:$A, 0))), 0), 0))+(IFERROR(IF(30*INDEX('UZ-normalized'!$D:$D, MATCH($A92, 'UZ-normalized'!$A:$A, 0))-INDEX('UZ-normalized'!$E:$E, MATCH($A92, 'UZ-normalized'!$A:$A, 0))&gt;0, -(30*INDEX('UZ-normalized'!$D:$D, MATCH($A92, 'UZ-normalized'!$A:$A, 0))-INDEX('UZ-normalized'!$E:$E, MATCH($A92, 'UZ-normalized'!$A:$A, 0))), 0), 0)))</f>
        <v>-8867.5</v>
      </c>
    </row>
    <row r="93" spans="1:44" x14ac:dyDescent="0.25">
      <c r="A93" s="8" t="s">
        <v>237</v>
      </c>
      <c r="B93" s="8" t="s">
        <v>180</v>
      </c>
      <c r="C93" s="8" t="s">
        <v>235</v>
      </c>
      <c r="D93" s="8" t="s">
        <v>238</v>
      </c>
      <c r="E93">
        <v>3423</v>
      </c>
      <c r="G93">
        <v>-650</v>
      </c>
      <c r="N93">
        <f t="shared" si="1"/>
        <v>2773</v>
      </c>
      <c r="O93" s="6">
        <f>MIN(0, N93+(IFERROR(IF(1*INDEX('UA-normalized'!$D:$D, MATCH($A93, 'UA-normalized'!$A:$A, 0))-INDEX('UA-normalized'!$E:$E, MATCH($A93, 'UA-normalized'!$A:$A, 0))&gt;0, -(1*INDEX('UA-normalized'!$D:$D, MATCH($A93, 'UA-normalized'!$A:$A, 0))-INDEX('UA-normalized'!$E:$E, MATCH($A93, 'UA-normalized'!$A:$A, 0))), 0), 0))+(IFERROR(IF(1*INDEX('KZ-normalized'!$D:$D, MATCH($A93, 'KZ-normalized'!$A:$A, 0))-INDEX('KZ-normalized'!$E:$E, MATCH($A93, 'KZ-normalized'!$A:$A, 0))&gt;0, -(1*INDEX('KZ-normalized'!$D:$D, MATCH($A93, 'KZ-normalized'!$A:$A, 0))-INDEX('KZ-normalized'!$E:$E, MATCH($A93, 'KZ-normalized'!$A:$A, 0))), 0), 0))+(IFERROR(IF(1*INDEX('UZ-normalized'!$D:$D, MATCH($A93, 'UZ-normalized'!$A:$A, 0))-INDEX('UZ-normalized'!$E:$E, MATCH($A93, 'UZ-normalized'!$A:$A, 0))&gt;0, -(1*INDEX('UZ-normalized'!$D:$D, MATCH($A93, 'UZ-normalized'!$A:$A, 0))-INDEX('UZ-normalized'!$E:$E, MATCH($A93, 'UZ-normalized'!$A:$A, 0))), 0), 0)))</f>
        <v>0</v>
      </c>
      <c r="P93" s="6">
        <f>MIN(0, N93+(IFERROR(IF(2*INDEX('UA-normalized'!$D:$D, MATCH($A93, 'UA-normalized'!$A:$A, 0))-INDEX('UA-normalized'!$E:$E, MATCH($A93, 'UA-normalized'!$A:$A, 0))&gt;0, -(2*INDEX('UA-normalized'!$D:$D, MATCH($A93, 'UA-normalized'!$A:$A, 0))-INDEX('UA-normalized'!$E:$E, MATCH($A93, 'UA-normalized'!$A:$A, 0))), 0), 0))+(IFERROR(IF(2*INDEX('KZ-normalized'!$D:$D, MATCH($A93, 'KZ-normalized'!$A:$A, 0))-INDEX('KZ-normalized'!$E:$E, MATCH($A93, 'KZ-normalized'!$A:$A, 0))&gt;0, -(2*INDEX('KZ-normalized'!$D:$D, MATCH($A93, 'KZ-normalized'!$A:$A, 0))-INDEX('KZ-normalized'!$E:$E, MATCH($A93, 'KZ-normalized'!$A:$A, 0))), 0), 0))+(IFERROR(IF(2*INDEX('UZ-normalized'!$D:$D, MATCH($A93, 'UZ-normalized'!$A:$A, 0))-INDEX('UZ-normalized'!$E:$E, MATCH($A93, 'UZ-normalized'!$A:$A, 0))&gt;0, -(2*INDEX('UZ-normalized'!$D:$D, MATCH($A93, 'UZ-normalized'!$A:$A, 0))-INDEX('UZ-normalized'!$E:$E, MATCH($A93, 'UZ-normalized'!$A:$A, 0))), 0), 0)))</f>
        <v>0</v>
      </c>
      <c r="Q93" s="6">
        <f>MIN(0, N93+(IFERROR(IF(3*INDEX('UA-normalized'!$D:$D, MATCH($A93, 'UA-normalized'!$A:$A, 0))-INDEX('UA-normalized'!$E:$E, MATCH($A93, 'UA-normalized'!$A:$A, 0))&gt;0, -(3*INDEX('UA-normalized'!$D:$D, MATCH($A93, 'UA-normalized'!$A:$A, 0))-INDEX('UA-normalized'!$E:$E, MATCH($A93, 'UA-normalized'!$A:$A, 0))), 0), 0))+(IFERROR(IF(3*INDEX('KZ-normalized'!$D:$D, MATCH($A93, 'KZ-normalized'!$A:$A, 0))-INDEX('KZ-normalized'!$E:$E, MATCH($A93, 'KZ-normalized'!$A:$A, 0))&gt;0, -(3*INDEX('KZ-normalized'!$D:$D, MATCH($A93, 'KZ-normalized'!$A:$A, 0))-INDEX('KZ-normalized'!$E:$E, MATCH($A93, 'KZ-normalized'!$A:$A, 0))), 0), 0))+(IFERROR(IF(3*INDEX('UZ-normalized'!$D:$D, MATCH($A93, 'UZ-normalized'!$A:$A, 0))-INDEX('UZ-normalized'!$E:$E, MATCH($A93, 'UZ-normalized'!$A:$A, 0))&gt;0, -(3*INDEX('UZ-normalized'!$D:$D, MATCH($A93, 'UZ-normalized'!$A:$A, 0))-INDEX('UZ-normalized'!$E:$E, MATCH($A93, 'UZ-normalized'!$A:$A, 0))), 0), 0)))</f>
        <v>0</v>
      </c>
      <c r="R93" s="6">
        <f>MIN(0, N93+(IFERROR(IF(4*INDEX('UA-normalized'!$D:$D, MATCH($A93, 'UA-normalized'!$A:$A, 0))-INDEX('UA-normalized'!$E:$E, MATCH($A93, 'UA-normalized'!$A:$A, 0))&gt;0, -(4*INDEX('UA-normalized'!$D:$D, MATCH($A93, 'UA-normalized'!$A:$A, 0))-INDEX('UA-normalized'!$E:$E, MATCH($A93, 'UA-normalized'!$A:$A, 0))), 0), 0))+(IFERROR(IF(4*INDEX('KZ-normalized'!$D:$D, MATCH($A93, 'KZ-normalized'!$A:$A, 0))-INDEX('KZ-normalized'!$E:$E, MATCH($A93, 'KZ-normalized'!$A:$A, 0))&gt;0, -(4*INDEX('KZ-normalized'!$D:$D, MATCH($A93, 'KZ-normalized'!$A:$A, 0))-INDEX('KZ-normalized'!$E:$E, MATCH($A93, 'KZ-normalized'!$A:$A, 0))), 0), 0))+(IFERROR(IF(4*INDEX('UZ-normalized'!$D:$D, MATCH($A93, 'UZ-normalized'!$A:$A, 0))-INDEX('UZ-normalized'!$E:$E, MATCH($A93, 'UZ-normalized'!$A:$A, 0))&gt;0, -(4*INDEX('UZ-normalized'!$D:$D, MATCH($A93, 'UZ-normalized'!$A:$A, 0))-INDEX('UZ-normalized'!$E:$E, MATCH($A93, 'UZ-normalized'!$A:$A, 0))), 0), 0)))</f>
        <v>0</v>
      </c>
      <c r="S93" s="6">
        <f>MIN(0, N93+(IFERROR(IF(5*INDEX('UA-normalized'!$D:$D, MATCH($A93, 'UA-normalized'!$A:$A, 0))-INDEX('UA-normalized'!$E:$E, MATCH($A93, 'UA-normalized'!$A:$A, 0))&gt;0, -(5*INDEX('UA-normalized'!$D:$D, MATCH($A93, 'UA-normalized'!$A:$A, 0))-INDEX('UA-normalized'!$E:$E, MATCH($A93, 'UA-normalized'!$A:$A, 0))), 0), 0))+(IFERROR(IF(5*INDEX('KZ-normalized'!$D:$D, MATCH($A93, 'KZ-normalized'!$A:$A, 0))-INDEX('KZ-normalized'!$E:$E, MATCH($A93, 'KZ-normalized'!$A:$A, 0))&gt;0, -(5*INDEX('KZ-normalized'!$D:$D, MATCH($A93, 'KZ-normalized'!$A:$A, 0))-INDEX('KZ-normalized'!$E:$E, MATCH($A93, 'KZ-normalized'!$A:$A, 0))), 0), 0))+(IFERROR(IF(5*INDEX('UZ-normalized'!$D:$D, MATCH($A93, 'UZ-normalized'!$A:$A, 0))-INDEX('UZ-normalized'!$E:$E, MATCH($A93, 'UZ-normalized'!$A:$A, 0))&gt;0, -(5*INDEX('UZ-normalized'!$D:$D, MATCH($A93, 'UZ-normalized'!$A:$A, 0))-INDEX('UZ-normalized'!$E:$E, MATCH($A93, 'UZ-normalized'!$A:$A, 0))), 0), 0)))</f>
        <v>0</v>
      </c>
      <c r="T93" s="6">
        <f>MIN(0, N93+(IFERROR(IF(6*INDEX('UA-normalized'!$D:$D, MATCH($A93, 'UA-normalized'!$A:$A, 0))-INDEX('UA-normalized'!$E:$E, MATCH($A93, 'UA-normalized'!$A:$A, 0))&gt;0, -(6*INDEX('UA-normalized'!$D:$D, MATCH($A93, 'UA-normalized'!$A:$A, 0))-INDEX('UA-normalized'!$E:$E, MATCH($A93, 'UA-normalized'!$A:$A, 0))), 0), 0))+(IFERROR(IF(6*INDEX('KZ-normalized'!$D:$D, MATCH($A93, 'KZ-normalized'!$A:$A, 0))-INDEX('KZ-normalized'!$E:$E, MATCH($A93, 'KZ-normalized'!$A:$A, 0))&gt;0, -(6*INDEX('KZ-normalized'!$D:$D, MATCH($A93, 'KZ-normalized'!$A:$A, 0))-INDEX('KZ-normalized'!$E:$E, MATCH($A93, 'KZ-normalized'!$A:$A, 0))), 0), 0))+(IFERROR(IF(6*INDEX('UZ-normalized'!$D:$D, MATCH($A93, 'UZ-normalized'!$A:$A, 0))-INDEX('UZ-normalized'!$E:$E, MATCH($A93, 'UZ-normalized'!$A:$A, 0))&gt;0, -(6*INDEX('UZ-normalized'!$D:$D, MATCH($A93, 'UZ-normalized'!$A:$A, 0))-INDEX('UZ-normalized'!$E:$E, MATCH($A93, 'UZ-normalized'!$A:$A, 0))), 0), 0)))</f>
        <v>0</v>
      </c>
      <c r="U93" s="6">
        <f>MIN(0, N93+(IFERROR(IF(7*INDEX('UA-normalized'!$D:$D, MATCH($A93, 'UA-normalized'!$A:$A, 0))-INDEX('UA-normalized'!$E:$E, MATCH($A93, 'UA-normalized'!$A:$A, 0))&gt;0, -(7*INDEX('UA-normalized'!$D:$D, MATCH($A93, 'UA-normalized'!$A:$A, 0))-INDEX('UA-normalized'!$E:$E, MATCH($A93, 'UA-normalized'!$A:$A, 0))), 0), 0))+(IFERROR(IF(7*INDEX('KZ-normalized'!$D:$D, MATCH($A93, 'KZ-normalized'!$A:$A, 0))-INDEX('KZ-normalized'!$E:$E, MATCH($A93, 'KZ-normalized'!$A:$A, 0))&gt;0, -(7*INDEX('KZ-normalized'!$D:$D, MATCH($A93, 'KZ-normalized'!$A:$A, 0))-INDEX('KZ-normalized'!$E:$E, MATCH($A93, 'KZ-normalized'!$A:$A, 0))), 0), 0))+(IFERROR(IF(7*INDEX('UZ-normalized'!$D:$D, MATCH($A93, 'UZ-normalized'!$A:$A, 0))-INDEX('UZ-normalized'!$E:$E, MATCH($A93, 'UZ-normalized'!$A:$A, 0))&gt;0, -(7*INDEX('UZ-normalized'!$D:$D, MATCH($A93, 'UZ-normalized'!$A:$A, 0))-INDEX('UZ-normalized'!$E:$E, MATCH($A93, 'UZ-normalized'!$A:$A, 0))), 0), 0)))</f>
        <v>0</v>
      </c>
      <c r="V93" s="6">
        <f>MIN(0, N93+(IFERROR(IF(8*INDEX('UA-normalized'!$D:$D, MATCH($A93, 'UA-normalized'!$A:$A, 0))-INDEX('UA-normalized'!$E:$E, MATCH($A93, 'UA-normalized'!$A:$A, 0))&gt;0, -(8*INDEX('UA-normalized'!$D:$D, MATCH($A93, 'UA-normalized'!$A:$A, 0))-INDEX('UA-normalized'!$E:$E, MATCH($A93, 'UA-normalized'!$A:$A, 0))), 0), 0))+(IFERROR(IF(8*INDEX('KZ-normalized'!$D:$D, MATCH($A93, 'KZ-normalized'!$A:$A, 0))-INDEX('KZ-normalized'!$E:$E, MATCH($A93, 'KZ-normalized'!$A:$A, 0))&gt;0, -(8*INDEX('KZ-normalized'!$D:$D, MATCH($A93, 'KZ-normalized'!$A:$A, 0))-INDEX('KZ-normalized'!$E:$E, MATCH($A93, 'KZ-normalized'!$A:$A, 0))), 0), 0))+(IFERROR(IF(8*INDEX('UZ-normalized'!$D:$D, MATCH($A93, 'UZ-normalized'!$A:$A, 0))-INDEX('UZ-normalized'!$E:$E, MATCH($A93, 'UZ-normalized'!$A:$A, 0))&gt;0, -(8*INDEX('UZ-normalized'!$D:$D, MATCH($A93, 'UZ-normalized'!$A:$A, 0))-INDEX('UZ-normalized'!$E:$E, MATCH($A93, 'UZ-normalized'!$A:$A, 0))), 0), 0)))</f>
        <v>0</v>
      </c>
      <c r="W93" s="6">
        <f>MIN(0, N93+(IFERROR(IF(9*INDEX('UA-normalized'!$D:$D, MATCH($A93, 'UA-normalized'!$A:$A, 0))-INDEX('UA-normalized'!$E:$E, MATCH($A93, 'UA-normalized'!$A:$A, 0))&gt;0, -(9*INDEX('UA-normalized'!$D:$D, MATCH($A93, 'UA-normalized'!$A:$A, 0))-INDEX('UA-normalized'!$E:$E, MATCH($A93, 'UA-normalized'!$A:$A, 0))), 0), 0))+(IFERROR(IF(9*INDEX('KZ-normalized'!$D:$D, MATCH($A93, 'KZ-normalized'!$A:$A, 0))-INDEX('KZ-normalized'!$E:$E, MATCH($A93, 'KZ-normalized'!$A:$A, 0))&gt;0, -(9*INDEX('KZ-normalized'!$D:$D, MATCH($A93, 'KZ-normalized'!$A:$A, 0))-INDEX('KZ-normalized'!$E:$E, MATCH($A93, 'KZ-normalized'!$A:$A, 0))), 0), 0))+(IFERROR(IF(9*INDEX('UZ-normalized'!$D:$D, MATCH($A93, 'UZ-normalized'!$A:$A, 0))-INDEX('UZ-normalized'!$E:$E, MATCH($A93, 'UZ-normalized'!$A:$A, 0))&gt;0, -(9*INDEX('UZ-normalized'!$D:$D, MATCH($A93, 'UZ-normalized'!$A:$A, 0))-INDEX('UZ-normalized'!$E:$E, MATCH($A93, 'UZ-normalized'!$A:$A, 0))), 0), 0)))</f>
        <v>-98</v>
      </c>
      <c r="X93" s="6">
        <f>MIN(0, N93+(IFERROR(IF(10*INDEX('UA-normalized'!$D:$D, MATCH($A93, 'UA-normalized'!$A:$A, 0))-INDEX('UA-normalized'!$E:$E, MATCH($A93, 'UA-normalized'!$A:$A, 0))&gt;0, -(10*INDEX('UA-normalized'!$D:$D, MATCH($A93, 'UA-normalized'!$A:$A, 0))-INDEX('UA-normalized'!$E:$E, MATCH($A93, 'UA-normalized'!$A:$A, 0))), 0), 0))+(IFERROR(IF(10*INDEX('KZ-normalized'!$D:$D, MATCH($A93, 'KZ-normalized'!$A:$A, 0))-INDEX('KZ-normalized'!$E:$E, MATCH($A93, 'KZ-normalized'!$A:$A, 0))&gt;0, -(10*INDEX('KZ-normalized'!$D:$D, MATCH($A93, 'KZ-normalized'!$A:$A, 0))-INDEX('KZ-normalized'!$E:$E, MATCH($A93, 'KZ-normalized'!$A:$A, 0))), 0), 0))+(IFERROR(IF(10*INDEX('UZ-normalized'!$D:$D, MATCH($A93, 'UZ-normalized'!$A:$A, 0))-INDEX('UZ-normalized'!$E:$E, MATCH($A93, 'UZ-normalized'!$A:$A, 0))&gt;0, -(10*INDEX('UZ-normalized'!$D:$D, MATCH($A93, 'UZ-normalized'!$A:$A, 0))-INDEX('UZ-normalized'!$E:$E, MATCH($A93, 'UZ-normalized'!$A:$A, 0))), 0), 0)))</f>
        <v>-647</v>
      </c>
      <c r="Y93" s="6">
        <f>MIN(0, N93+(IFERROR(IF(11*INDEX('UA-normalized'!$D:$D, MATCH($A93, 'UA-normalized'!$A:$A, 0))-INDEX('UA-normalized'!$E:$E, MATCH($A93, 'UA-normalized'!$A:$A, 0))&gt;0, -(11*INDEX('UA-normalized'!$D:$D, MATCH($A93, 'UA-normalized'!$A:$A, 0))-INDEX('UA-normalized'!$E:$E, MATCH($A93, 'UA-normalized'!$A:$A, 0))), 0), 0))+(IFERROR(IF(11*INDEX('KZ-normalized'!$D:$D, MATCH($A93, 'KZ-normalized'!$A:$A, 0))-INDEX('KZ-normalized'!$E:$E, MATCH($A93, 'KZ-normalized'!$A:$A, 0))&gt;0, -(11*INDEX('KZ-normalized'!$D:$D, MATCH($A93, 'KZ-normalized'!$A:$A, 0))-INDEX('KZ-normalized'!$E:$E, MATCH($A93, 'KZ-normalized'!$A:$A, 0))), 0), 0))+(IFERROR(IF(11*INDEX('UZ-normalized'!$D:$D, MATCH($A93, 'UZ-normalized'!$A:$A, 0))-INDEX('UZ-normalized'!$E:$E, MATCH($A93, 'UZ-normalized'!$A:$A, 0))&gt;0, -(11*INDEX('UZ-normalized'!$D:$D, MATCH($A93, 'UZ-normalized'!$A:$A, 0))-INDEX('UZ-normalized'!$E:$E, MATCH($A93, 'UZ-normalized'!$A:$A, 0))), 0), 0)))</f>
        <v>-1196</v>
      </c>
      <c r="Z93" s="6">
        <f>MIN(0, N93+(IFERROR(IF(12*INDEX('UA-normalized'!$D:$D, MATCH($A93, 'UA-normalized'!$A:$A, 0))-INDEX('UA-normalized'!$E:$E, MATCH($A93, 'UA-normalized'!$A:$A, 0))&gt;0, -(12*INDEX('UA-normalized'!$D:$D, MATCH($A93, 'UA-normalized'!$A:$A, 0))-INDEX('UA-normalized'!$E:$E, MATCH($A93, 'UA-normalized'!$A:$A, 0))), 0), 0))+(IFERROR(IF(12*INDEX('KZ-normalized'!$D:$D, MATCH($A93, 'KZ-normalized'!$A:$A, 0))-INDEX('KZ-normalized'!$E:$E, MATCH($A93, 'KZ-normalized'!$A:$A, 0))&gt;0, -(12*INDEX('KZ-normalized'!$D:$D, MATCH($A93, 'KZ-normalized'!$A:$A, 0))-INDEX('KZ-normalized'!$E:$E, MATCH($A93, 'KZ-normalized'!$A:$A, 0))), 0), 0))+(IFERROR(IF(12*INDEX('UZ-normalized'!$D:$D, MATCH($A93, 'UZ-normalized'!$A:$A, 0))-INDEX('UZ-normalized'!$E:$E, MATCH($A93, 'UZ-normalized'!$A:$A, 0))&gt;0, -(12*INDEX('UZ-normalized'!$D:$D, MATCH($A93, 'UZ-normalized'!$A:$A, 0))-INDEX('UZ-normalized'!$E:$E, MATCH($A93, 'UZ-normalized'!$A:$A, 0))), 0), 0)))</f>
        <v>-1745</v>
      </c>
      <c r="AA93" s="6">
        <f>MIN(0, N93+(IFERROR(IF(13*INDEX('UA-normalized'!$D:$D, MATCH($A93, 'UA-normalized'!$A:$A, 0))-INDEX('UA-normalized'!$E:$E, MATCH($A93, 'UA-normalized'!$A:$A, 0))&gt;0, -(13*INDEX('UA-normalized'!$D:$D, MATCH($A93, 'UA-normalized'!$A:$A, 0))-INDEX('UA-normalized'!$E:$E, MATCH($A93, 'UA-normalized'!$A:$A, 0))), 0), 0))+(IFERROR(IF(13*INDEX('KZ-normalized'!$D:$D, MATCH($A93, 'KZ-normalized'!$A:$A, 0))-INDEX('KZ-normalized'!$E:$E, MATCH($A93, 'KZ-normalized'!$A:$A, 0))&gt;0, -(13*INDEX('KZ-normalized'!$D:$D, MATCH($A93, 'KZ-normalized'!$A:$A, 0))-INDEX('KZ-normalized'!$E:$E, MATCH($A93, 'KZ-normalized'!$A:$A, 0))), 0), 0))+(IFERROR(IF(13*INDEX('UZ-normalized'!$D:$D, MATCH($A93, 'UZ-normalized'!$A:$A, 0))-INDEX('UZ-normalized'!$E:$E, MATCH($A93, 'UZ-normalized'!$A:$A, 0))&gt;0, -(13*INDEX('UZ-normalized'!$D:$D, MATCH($A93, 'UZ-normalized'!$A:$A, 0))-INDEX('UZ-normalized'!$E:$E, MATCH($A93, 'UZ-normalized'!$A:$A, 0))), 0), 0)))</f>
        <v>-2294</v>
      </c>
      <c r="AB93" s="6">
        <f>MIN(0, N93+(IFERROR(IF(14*INDEX('UA-normalized'!$D:$D, MATCH($A93, 'UA-normalized'!$A:$A, 0))-INDEX('UA-normalized'!$E:$E, MATCH($A93, 'UA-normalized'!$A:$A, 0))&gt;0, -(14*INDEX('UA-normalized'!$D:$D, MATCH($A93, 'UA-normalized'!$A:$A, 0))-INDEX('UA-normalized'!$E:$E, MATCH($A93, 'UA-normalized'!$A:$A, 0))), 0), 0))+(IFERROR(IF(14*INDEX('KZ-normalized'!$D:$D, MATCH($A93, 'KZ-normalized'!$A:$A, 0))-INDEX('KZ-normalized'!$E:$E, MATCH($A93, 'KZ-normalized'!$A:$A, 0))&gt;0, -(14*INDEX('KZ-normalized'!$D:$D, MATCH($A93, 'KZ-normalized'!$A:$A, 0))-INDEX('KZ-normalized'!$E:$E, MATCH($A93, 'KZ-normalized'!$A:$A, 0))), 0), 0))+(IFERROR(IF(14*INDEX('UZ-normalized'!$D:$D, MATCH($A93, 'UZ-normalized'!$A:$A, 0))-INDEX('UZ-normalized'!$E:$E, MATCH($A93, 'UZ-normalized'!$A:$A, 0))&gt;0, -(14*INDEX('UZ-normalized'!$D:$D, MATCH($A93, 'UZ-normalized'!$A:$A, 0))-INDEX('UZ-normalized'!$E:$E, MATCH($A93, 'UZ-normalized'!$A:$A, 0))), 0), 0)))</f>
        <v>-2843</v>
      </c>
      <c r="AC93" s="6">
        <f>MIN(0, N93+(IFERROR(IF(15*INDEX('UA-normalized'!$D:$D, MATCH($A93, 'UA-normalized'!$A:$A, 0))-INDEX('UA-normalized'!$E:$E, MATCH($A93, 'UA-normalized'!$A:$A, 0))&gt;0, -(15*INDEX('UA-normalized'!$D:$D, MATCH($A93, 'UA-normalized'!$A:$A, 0))-INDEX('UA-normalized'!$E:$E, MATCH($A93, 'UA-normalized'!$A:$A, 0))), 0), 0))+(IFERROR(IF(15*INDEX('KZ-normalized'!$D:$D, MATCH($A93, 'KZ-normalized'!$A:$A, 0))-INDEX('KZ-normalized'!$E:$E, MATCH($A93, 'KZ-normalized'!$A:$A, 0))&gt;0, -(15*INDEX('KZ-normalized'!$D:$D, MATCH($A93, 'KZ-normalized'!$A:$A, 0))-INDEX('KZ-normalized'!$E:$E, MATCH($A93, 'KZ-normalized'!$A:$A, 0))), 0), 0))+(IFERROR(IF(15*INDEX('UZ-normalized'!$D:$D, MATCH($A93, 'UZ-normalized'!$A:$A, 0))-INDEX('UZ-normalized'!$E:$E, MATCH($A93, 'UZ-normalized'!$A:$A, 0))&gt;0, -(15*INDEX('UZ-normalized'!$D:$D, MATCH($A93, 'UZ-normalized'!$A:$A, 0))-INDEX('UZ-normalized'!$E:$E, MATCH($A93, 'UZ-normalized'!$A:$A, 0))), 0), 0)))</f>
        <v>-3392</v>
      </c>
      <c r="AD93" s="6">
        <f>MIN(0, N93+(IFERROR(IF(16*INDEX('UA-normalized'!$D:$D, MATCH($A93, 'UA-normalized'!$A:$A, 0))-INDEX('UA-normalized'!$E:$E, MATCH($A93, 'UA-normalized'!$A:$A, 0))&gt;0, -(16*INDEX('UA-normalized'!$D:$D, MATCH($A93, 'UA-normalized'!$A:$A, 0))-INDEX('UA-normalized'!$E:$E, MATCH($A93, 'UA-normalized'!$A:$A, 0))), 0), 0))+(IFERROR(IF(16*INDEX('KZ-normalized'!$D:$D, MATCH($A93, 'KZ-normalized'!$A:$A, 0))-INDEX('KZ-normalized'!$E:$E, MATCH($A93, 'KZ-normalized'!$A:$A, 0))&gt;0, -(16*INDEX('KZ-normalized'!$D:$D, MATCH($A93, 'KZ-normalized'!$A:$A, 0))-INDEX('KZ-normalized'!$E:$E, MATCH($A93, 'KZ-normalized'!$A:$A, 0))), 0), 0))+(IFERROR(IF(16*INDEX('UZ-normalized'!$D:$D, MATCH($A93, 'UZ-normalized'!$A:$A, 0))-INDEX('UZ-normalized'!$E:$E, MATCH($A93, 'UZ-normalized'!$A:$A, 0))&gt;0, -(16*INDEX('UZ-normalized'!$D:$D, MATCH($A93, 'UZ-normalized'!$A:$A, 0))-INDEX('UZ-normalized'!$E:$E, MATCH($A93, 'UZ-normalized'!$A:$A, 0))), 0), 0)))</f>
        <v>-3941</v>
      </c>
      <c r="AE93" s="6">
        <f>MIN(0, N93+(IFERROR(IF(17*INDEX('UA-normalized'!$D:$D, MATCH($A93, 'UA-normalized'!$A:$A, 0))-INDEX('UA-normalized'!$E:$E, MATCH($A93, 'UA-normalized'!$A:$A, 0))&gt;0, -(17*INDEX('UA-normalized'!$D:$D, MATCH($A93, 'UA-normalized'!$A:$A, 0))-INDEX('UA-normalized'!$E:$E, MATCH($A93, 'UA-normalized'!$A:$A, 0))), 0), 0))+(IFERROR(IF(17*INDEX('KZ-normalized'!$D:$D, MATCH($A93, 'KZ-normalized'!$A:$A, 0))-INDEX('KZ-normalized'!$E:$E, MATCH($A93, 'KZ-normalized'!$A:$A, 0))&gt;0, -(17*INDEX('KZ-normalized'!$D:$D, MATCH($A93, 'KZ-normalized'!$A:$A, 0))-INDEX('KZ-normalized'!$E:$E, MATCH($A93, 'KZ-normalized'!$A:$A, 0))), 0), 0))+(IFERROR(IF(17*INDEX('UZ-normalized'!$D:$D, MATCH($A93, 'UZ-normalized'!$A:$A, 0))-INDEX('UZ-normalized'!$E:$E, MATCH($A93, 'UZ-normalized'!$A:$A, 0))&gt;0, -(17*INDEX('UZ-normalized'!$D:$D, MATCH($A93, 'UZ-normalized'!$A:$A, 0))-INDEX('UZ-normalized'!$E:$E, MATCH($A93, 'UZ-normalized'!$A:$A, 0))), 0), 0)))</f>
        <v>-4490</v>
      </c>
      <c r="AF93" s="6">
        <f>MIN(0, N93+(IFERROR(IF(18*INDEX('UA-normalized'!$D:$D, MATCH($A93, 'UA-normalized'!$A:$A, 0))-INDEX('UA-normalized'!$E:$E, MATCH($A93, 'UA-normalized'!$A:$A, 0))&gt;0, -(18*INDEX('UA-normalized'!$D:$D, MATCH($A93, 'UA-normalized'!$A:$A, 0))-INDEX('UA-normalized'!$E:$E, MATCH($A93, 'UA-normalized'!$A:$A, 0))), 0), 0))+(IFERROR(IF(18*INDEX('KZ-normalized'!$D:$D, MATCH($A93, 'KZ-normalized'!$A:$A, 0))-INDEX('KZ-normalized'!$E:$E, MATCH($A93, 'KZ-normalized'!$A:$A, 0))&gt;0, -(18*INDEX('KZ-normalized'!$D:$D, MATCH($A93, 'KZ-normalized'!$A:$A, 0))-INDEX('KZ-normalized'!$E:$E, MATCH($A93, 'KZ-normalized'!$A:$A, 0))), 0), 0))+(IFERROR(IF(18*INDEX('UZ-normalized'!$D:$D, MATCH($A93, 'UZ-normalized'!$A:$A, 0))-INDEX('UZ-normalized'!$E:$E, MATCH($A93, 'UZ-normalized'!$A:$A, 0))&gt;0, -(18*INDEX('UZ-normalized'!$D:$D, MATCH($A93, 'UZ-normalized'!$A:$A, 0))-INDEX('UZ-normalized'!$E:$E, MATCH($A93, 'UZ-normalized'!$A:$A, 0))), 0), 0)))</f>
        <v>-5039</v>
      </c>
      <c r="AG93" s="6">
        <f>MIN(0, N93+(IFERROR(IF(19*INDEX('UA-normalized'!$D:$D, MATCH($A93, 'UA-normalized'!$A:$A, 0))-INDEX('UA-normalized'!$E:$E, MATCH($A93, 'UA-normalized'!$A:$A, 0))&gt;0, -(19*INDEX('UA-normalized'!$D:$D, MATCH($A93, 'UA-normalized'!$A:$A, 0))-INDEX('UA-normalized'!$E:$E, MATCH($A93, 'UA-normalized'!$A:$A, 0))), 0), 0))+(IFERROR(IF(19*INDEX('KZ-normalized'!$D:$D, MATCH($A93, 'KZ-normalized'!$A:$A, 0))-INDEX('KZ-normalized'!$E:$E, MATCH($A93, 'KZ-normalized'!$A:$A, 0))&gt;0, -(19*INDEX('KZ-normalized'!$D:$D, MATCH($A93, 'KZ-normalized'!$A:$A, 0))-INDEX('KZ-normalized'!$E:$E, MATCH($A93, 'KZ-normalized'!$A:$A, 0))), 0), 0))+(IFERROR(IF(19*INDEX('UZ-normalized'!$D:$D, MATCH($A93, 'UZ-normalized'!$A:$A, 0))-INDEX('UZ-normalized'!$E:$E, MATCH($A93, 'UZ-normalized'!$A:$A, 0))&gt;0, -(19*INDEX('UZ-normalized'!$D:$D, MATCH($A93, 'UZ-normalized'!$A:$A, 0))-INDEX('UZ-normalized'!$E:$E, MATCH($A93, 'UZ-normalized'!$A:$A, 0))), 0), 0)))</f>
        <v>-5588</v>
      </c>
      <c r="AH93" s="6">
        <f>MIN(0, N93+(IFERROR(IF(20*INDEX('UA-normalized'!$D:$D, MATCH($A93, 'UA-normalized'!$A:$A, 0))-INDEX('UA-normalized'!$E:$E, MATCH($A93, 'UA-normalized'!$A:$A, 0))&gt;0, -(20*INDEX('UA-normalized'!$D:$D, MATCH($A93, 'UA-normalized'!$A:$A, 0))-INDEX('UA-normalized'!$E:$E, MATCH($A93, 'UA-normalized'!$A:$A, 0))), 0), 0))+(IFERROR(IF(20*INDEX('KZ-normalized'!$D:$D, MATCH($A93, 'KZ-normalized'!$A:$A, 0))-INDEX('KZ-normalized'!$E:$E, MATCH($A93, 'KZ-normalized'!$A:$A, 0))&gt;0, -(20*INDEX('KZ-normalized'!$D:$D, MATCH($A93, 'KZ-normalized'!$A:$A, 0))-INDEX('KZ-normalized'!$E:$E, MATCH($A93, 'KZ-normalized'!$A:$A, 0))), 0), 0))+(IFERROR(IF(20*INDEX('UZ-normalized'!$D:$D, MATCH($A93, 'UZ-normalized'!$A:$A, 0))-INDEX('UZ-normalized'!$E:$E, MATCH($A93, 'UZ-normalized'!$A:$A, 0))&gt;0, -(20*INDEX('UZ-normalized'!$D:$D, MATCH($A93, 'UZ-normalized'!$A:$A, 0))-INDEX('UZ-normalized'!$E:$E, MATCH($A93, 'UZ-normalized'!$A:$A, 0))), 0), 0)))</f>
        <v>-6137</v>
      </c>
      <c r="AI93" s="6">
        <f>MIN(0, N93+(IFERROR(IF(21*INDEX('UA-normalized'!$D:$D, MATCH($A93, 'UA-normalized'!$A:$A, 0))-INDEX('UA-normalized'!$E:$E, MATCH($A93, 'UA-normalized'!$A:$A, 0))&gt;0, -(21*INDEX('UA-normalized'!$D:$D, MATCH($A93, 'UA-normalized'!$A:$A, 0))-INDEX('UA-normalized'!$E:$E, MATCH($A93, 'UA-normalized'!$A:$A, 0))), 0), 0))+(IFERROR(IF(21*INDEX('KZ-normalized'!$D:$D, MATCH($A93, 'KZ-normalized'!$A:$A, 0))-INDEX('KZ-normalized'!$E:$E, MATCH($A93, 'KZ-normalized'!$A:$A, 0))&gt;0, -(21*INDEX('KZ-normalized'!$D:$D, MATCH($A93, 'KZ-normalized'!$A:$A, 0))-INDEX('KZ-normalized'!$E:$E, MATCH($A93, 'KZ-normalized'!$A:$A, 0))), 0), 0))+(IFERROR(IF(21*INDEX('UZ-normalized'!$D:$D, MATCH($A93, 'UZ-normalized'!$A:$A, 0))-INDEX('UZ-normalized'!$E:$E, MATCH($A93, 'UZ-normalized'!$A:$A, 0))&gt;0, -(21*INDEX('UZ-normalized'!$D:$D, MATCH($A93, 'UZ-normalized'!$A:$A, 0))-INDEX('UZ-normalized'!$E:$E, MATCH($A93, 'UZ-normalized'!$A:$A, 0))), 0), 0)))</f>
        <v>-6686</v>
      </c>
      <c r="AJ93" s="6">
        <f>MIN(0, N93+(IFERROR(IF(22*INDEX('UA-normalized'!$D:$D, MATCH($A93, 'UA-normalized'!$A:$A, 0))-INDEX('UA-normalized'!$E:$E, MATCH($A93, 'UA-normalized'!$A:$A, 0))&gt;0, -(22*INDEX('UA-normalized'!$D:$D, MATCH($A93, 'UA-normalized'!$A:$A, 0))-INDEX('UA-normalized'!$E:$E, MATCH($A93, 'UA-normalized'!$A:$A, 0))), 0), 0))+(IFERROR(IF(22*INDEX('KZ-normalized'!$D:$D, MATCH($A93, 'KZ-normalized'!$A:$A, 0))-INDEX('KZ-normalized'!$E:$E, MATCH($A93, 'KZ-normalized'!$A:$A, 0))&gt;0, -(22*INDEX('KZ-normalized'!$D:$D, MATCH($A93, 'KZ-normalized'!$A:$A, 0))-INDEX('KZ-normalized'!$E:$E, MATCH($A93, 'KZ-normalized'!$A:$A, 0))), 0), 0))+(IFERROR(IF(22*INDEX('UZ-normalized'!$D:$D, MATCH($A93, 'UZ-normalized'!$A:$A, 0))-INDEX('UZ-normalized'!$E:$E, MATCH($A93, 'UZ-normalized'!$A:$A, 0))&gt;0, -(22*INDEX('UZ-normalized'!$D:$D, MATCH($A93, 'UZ-normalized'!$A:$A, 0))-INDEX('UZ-normalized'!$E:$E, MATCH($A93, 'UZ-normalized'!$A:$A, 0))), 0), 0)))</f>
        <v>-7235</v>
      </c>
      <c r="AK93" s="6">
        <f>MIN(0, N93+(IFERROR(IF(23*INDEX('UA-normalized'!$D:$D, MATCH($A93, 'UA-normalized'!$A:$A, 0))-INDEX('UA-normalized'!$E:$E, MATCH($A93, 'UA-normalized'!$A:$A, 0))&gt;0, -(23*INDEX('UA-normalized'!$D:$D, MATCH($A93, 'UA-normalized'!$A:$A, 0))-INDEX('UA-normalized'!$E:$E, MATCH($A93, 'UA-normalized'!$A:$A, 0))), 0), 0))+(IFERROR(IF(23*INDEX('KZ-normalized'!$D:$D, MATCH($A93, 'KZ-normalized'!$A:$A, 0))-INDEX('KZ-normalized'!$E:$E, MATCH($A93, 'KZ-normalized'!$A:$A, 0))&gt;0, -(23*INDEX('KZ-normalized'!$D:$D, MATCH($A93, 'KZ-normalized'!$A:$A, 0))-INDEX('KZ-normalized'!$E:$E, MATCH($A93, 'KZ-normalized'!$A:$A, 0))), 0), 0))+(IFERROR(IF(23*INDEX('UZ-normalized'!$D:$D, MATCH($A93, 'UZ-normalized'!$A:$A, 0))-INDEX('UZ-normalized'!$E:$E, MATCH($A93, 'UZ-normalized'!$A:$A, 0))&gt;0, -(23*INDEX('UZ-normalized'!$D:$D, MATCH($A93, 'UZ-normalized'!$A:$A, 0))-INDEX('UZ-normalized'!$E:$E, MATCH($A93, 'UZ-normalized'!$A:$A, 0))), 0), 0)))</f>
        <v>-7784</v>
      </c>
      <c r="AL93" s="6">
        <f>MIN(0, N93+(IFERROR(IF(24*INDEX('UA-normalized'!$D:$D, MATCH($A93, 'UA-normalized'!$A:$A, 0))-INDEX('UA-normalized'!$E:$E, MATCH($A93, 'UA-normalized'!$A:$A, 0))&gt;0, -(24*INDEX('UA-normalized'!$D:$D, MATCH($A93, 'UA-normalized'!$A:$A, 0))-INDEX('UA-normalized'!$E:$E, MATCH($A93, 'UA-normalized'!$A:$A, 0))), 0), 0))+(IFERROR(IF(24*INDEX('KZ-normalized'!$D:$D, MATCH($A93, 'KZ-normalized'!$A:$A, 0))-INDEX('KZ-normalized'!$E:$E, MATCH($A93, 'KZ-normalized'!$A:$A, 0))&gt;0, -(24*INDEX('KZ-normalized'!$D:$D, MATCH($A93, 'KZ-normalized'!$A:$A, 0))-INDEX('KZ-normalized'!$E:$E, MATCH($A93, 'KZ-normalized'!$A:$A, 0))), 0), 0))+(IFERROR(IF(24*INDEX('UZ-normalized'!$D:$D, MATCH($A93, 'UZ-normalized'!$A:$A, 0))-INDEX('UZ-normalized'!$E:$E, MATCH($A93, 'UZ-normalized'!$A:$A, 0))&gt;0, -(24*INDEX('UZ-normalized'!$D:$D, MATCH($A93, 'UZ-normalized'!$A:$A, 0))-INDEX('UZ-normalized'!$E:$E, MATCH($A93, 'UZ-normalized'!$A:$A, 0))), 0), 0)))</f>
        <v>-8333</v>
      </c>
      <c r="AM93" s="6">
        <f>MIN(0, N93+(IFERROR(IF(25*INDEX('UA-normalized'!$D:$D, MATCH($A93, 'UA-normalized'!$A:$A, 0))-INDEX('UA-normalized'!$E:$E, MATCH($A93, 'UA-normalized'!$A:$A, 0))&gt;0, -(25*INDEX('UA-normalized'!$D:$D, MATCH($A93, 'UA-normalized'!$A:$A, 0))-INDEX('UA-normalized'!$E:$E, MATCH($A93, 'UA-normalized'!$A:$A, 0))), 0), 0))+(IFERROR(IF(25*INDEX('KZ-normalized'!$D:$D, MATCH($A93, 'KZ-normalized'!$A:$A, 0))-INDEX('KZ-normalized'!$E:$E, MATCH($A93, 'KZ-normalized'!$A:$A, 0))&gt;0, -(25*INDEX('KZ-normalized'!$D:$D, MATCH($A93, 'KZ-normalized'!$A:$A, 0))-INDEX('KZ-normalized'!$E:$E, MATCH($A93, 'KZ-normalized'!$A:$A, 0))), 0), 0))+(IFERROR(IF(25*INDEX('UZ-normalized'!$D:$D, MATCH($A93, 'UZ-normalized'!$A:$A, 0))-INDEX('UZ-normalized'!$E:$E, MATCH($A93, 'UZ-normalized'!$A:$A, 0))&gt;0, -(25*INDEX('UZ-normalized'!$D:$D, MATCH($A93, 'UZ-normalized'!$A:$A, 0))-INDEX('UZ-normalized'!$E:$E, MATCH($A93, 'UZ-normalized'!$A:$A, 0))), 0), 0)))</f>
        <v>-8882</v>
      </c>
      <c r="AN93" s="6">
        <f>MIN(0, N93+(IFERROR(IF(26*INDEX('UA-normalized'!$D:$D, MATCH($A93, 'UA-normalized'!$A:$A, 0))-INDEX('UA-normalized'!$E:$E, MATCH($A93, 'UA-normalized'!$A:$A, 0))&gt;0, -(26*INDEX('UA-normalized'!$D:$D, MATCH($A93, 'UA-normalized'!$A:$A, 0))-INDEX('UA-normalized'!$E:$E, MATCH($A93, 'UA-normalized'!$A:$A, 0))), 0), 0))+(IFERROR(IF(26*INDEX('KZ-normalized'!$D:$D, MATCH($A93, 'KZ-normalized'!$A:$A, 0))-INDEX('KZ-normalized'!$E:$E, MATCH($A93, 'KZ-normalized'!$A:$A, 0))&gt;0, -(26*INDEX('KZ-normalized'!$D:$D, MATCH($A93, 'KZ-normalized'!$A:$A, 0))-INDEX('KZ-normalized'!$E:$E, MATCH($A93, 'KZ-normalized'!$A:$A, 0))), 0), 0))+(IFERROR(IF(26*INDEX('UZ-normalized'!$D:$D, MATCH($A93, 'UZ-normalized'!$A:$A, 0))-INDEX('UZ-normalized'!$E:$E, MATCH($A93, 'UZ-normalized'!$A:$A, 0))&gt;0, -(26*INDEX('UZ-normalized'!$D:$D, MATCH($A93, 'UZ-normalized'!$A:$A, 0))-INDEX('UZ-normalized'!$E:$E, MATCH($A93, 'UZ-normalized'!$A:$A, 0))), 0), 0)))</f>
        <v>-9431</v>
      </c>
      <c r="AO93" s="6">
        <f>MIN(0, N93+(IFERROR(IF(27*INDEX('UA-normalized'!$D:$D, MATCH($A93, 'UA-normalized'!$A:$A, 0))-INDEX('UA-normalized'!$E:$E, MATCH($A93, 'UA-normalized'!$A:$A, 0))&gt;0, -(27*INDEX('UA-normalized'!$D:$D, MATCH($A93, 'UA-normalized'!$A:$A, 0))-INDEX('UA-normalized'!$E:$E, MATCH($A93, 'UA-normalized'!$A:$A, 0))), 0), 0))+(IFERROR(IF(27*INDEX('KZ-normalized'!$D:$D, MATCH($A93, 'KZ-normalized'!$A:$A, 0))-INDEX('KZ-normalized'!$E:$E, MATCH($A93, 'KZ-normalized'!$A:$A, 0))&gt;0, -(27*INDEX('KZ-normalized'!$D:$D, MATCH($A93, 'KZ-normalized'!$A:$A, 0))-INDEX('KZ-normalized'!$E:$E, MATCH($A93, 'KZ-normalized'!$A:$A, 0))), 0), 0))+(IFERROR(IF(27*INDEX('UZ-normalized'!$D:$D, MATCH($A93, 'UZ-normalized'!$A:$A, 0))-INDEX('UZ-normalized'!$E:$E, MATCH($A93, 'UZ-normalized'!$A:$A, 0))&gt;0, -(27*INDEX('UZ-normalized'!$D:$D, MATCH($A93, 'UZ-normalized'!$A:$A, 0))-INDEX('UZ-normalized'!$E:$E, MATCH($A93, 'UZ-normalized'!$A:$A, 0))), 0), 0)))</f>
        <v>-9980</v>
      </c>
      <c r="AP93" s="6">
        <f>MIN(0, N93+(IFERROR(IF(28*INDEX('UA-normalized'!$D:$D, MATCH($A93, 'UA-normalized'!$A:$A, 0))-INDEX('UA-normalized'!$E:$E, MATCH($A93, 'UA-normalized'!$A:$A, 0))&gt;0, -(28*INDEX('UA-normalized'!$D:$D, MATCH($A93, 'UA-normalized'!$A:$A, 0))-INDEX('UA-normalized'!$E:$E, MATCH($A93, 'UA-normalized'!$A:$A, 0))), 0), 0))+(IFERROR(IF(28*INDEX('KZ-normalized'!$D:$D, MATCH($A93, 'KZ-normalized'!$A:$A, 0))-INDEX('KZ-normalized'!$E:$E, MATCH($A93, 'KZ-normalized'!$A:$A, 0))&gt;0, -(28*INDEX('KZ-normalized'!$D:$D, MATCH($A93, 'KZ-normalized'!$A:$A, 0))-INDEX('KZ-normalized'!$E:$E, MATCH($A93, 'KZ-normalized'!$A:$A, 0))), 0), 0))+(IFERROR(IF(28*INDEX('UZ-normalized'!$D:$D, MATCH($A93, 'UZ-normalized'!$A:$A, 0))-INDEX('UZ-normalized'!$E:$E, MATCH($A93, 'UZ-normalized'!$A:$A, 0))&gt;0, -(28*INDEX('UZ-normalized'!$D:$D, MATCH($A93, 'UZ-normalized'!$A:$A, 0))-INDEX('UZ-normalized'!$E:$E, MATCH($A93, 'UZ-normalized'!$A:$A, 0))), 0), 0)))</f>
        <v>-10529</v>
      </c>
      <c r="AQ93" s="6">
        <f>MIN(0, N93+(IFERROR(IF(29*INDEX('UA-normalized'!$D:$D, MATCH($A93, 'UA-normalized'!$A:$A, 0))-INDEX('UA-normalized'!$E:$E, MATCH($A93, 'UA-normalized'!$A:$A, 0))&gt;0, -(29*INDEX('UA-normalized'!$D:$D, MATCH($A93, 'UA-normalized'!$A:$A, 0))-INDEX('UA-normalized'!$E:$E, MATCH($A93, 'UA-normalized'!$A:$A, 0))), 0), 0))+(IFERROR(IF(29*INDEX('KZ-normalized'!$D:$D, MATCH($A93, 'KZ-normalized'!$A:$A, 0))-INDEX('KZ-normalized'!$E:$E, MATCH($A93, 'KZ-normalized'!$A:$A, 0))&gt;0, -(29*INDEX('KZ-normalized'!$D:$D, MATCH($A93, 'KZ-normalized'!$A:$A, 0))-INDEX('KZ-normalized'!$E:$E, MATCH($A93, 'KZ-normalized'!$A:$A, 0))), 0), 0))+(IFERROR(IF(29*INDEX('UZ-normalized'!$D:$D, MATCH($A93, 'UZ-normalized'!$A:$A, 0))-INDEX('UZ-normalized'!$E:$E, MATCH($A93, 'UZ-normalized'!$A:$A, 0))&gt;0, -(29*INDEX('UZ-normalized'!$D:$D, MATCH($A93, 'UZ-normalized'!$A:$A, 0))-INDEX('UZ-normalized'!$E:$E, MATCH($A93, 'UZ-normalized'!$A:$A, 0))), 0), 0)))</f>
        <v>-11078</v>
      </c>
      <c r="AR93" s="6">
        <f>MIN(0, N93+(IFERROR(IF(30*INDEX('UA-normalized'!$D:$D, MATCH($A93, 'UA-normalized'!$A:$A, 0))-INDEX('UA-normalized'!$E:$E, MATCH($A93, 'UA-normalized'!$A:$A, 0))&gt;0, -(30*INDEX('UA-normalized'!$D:$D, MATCH($A93, 'UA-normalized'!$A:$A, 0))-INDEX('UA-normalized'!$E:$E, MATCH($A93, 'UA-normalized'!$A:$A, 0))), 0), 0))+(IFERROR(IF(30*INDEX('KZ-normalized'!$D:$D, MATCH($A93, 'KZ-normalized'!$A:$A, 0))-INDEX('KZ-normalized'!$E:$E, MATCH($A93, 'KZ-normalized'!$A:$A, 0))&gt;0, -(30*INDEX('KZ-normalized'!$D:$D, MATCH($A93, 'KZ-normalized'!$A:$A, 0))-INDEX('KZ-normalized'!$E:$E, MATCH($A93, 'KZ-normalized'!$A:$A, 0))), 0), 0))+(IFERROR(IF(30*INDEX('UZ-normalized'!$D:$D, MATCH($A93, 'UZ-normalized'!$A:$A, 0))-INDEX('UZ-normalized'!$E:$E, MATCH($A93, 'UZ-normalized'!$A:$A, 0))&gt;0, -(30*INDEX('UZ-normalized'!$D:$D, MATCH($A93, 'UZ-normalized'!$A:$A, 0))-INDEX('UZ-normalized'!$E:$E, MATCH($A93, 'UZ-normalized'!$A:$A, 0))), 0), 0)))</f>
        <v>-11627</v>
      </c>
    </row>
    <row r="94" spans="1:44" x14ac:dyDescent="0.25">
      <c r="A94" s="8" t="s">
        <v>239</v>
      </c>
      <c r="B94" s="8" t="s">
        <v>180</v>
      </c>
      <c r="C94" s="8" t="s">
        <v>235</v>
      </c>
      <c r="D94" s="8" t="s">
        <v>240</v>
      </c>
      <c r="E94">
        <v>1500</v>
      </c>
      <c r="G94">
        <v>-300</v>
      </c>
      <c r="N94">
        <f t="shared" si="1"/>
        <v>1200</v>
      </c>
      <c r="O94" s="6">
        <f>MIN(0, N94+(IFERROR(IF(1*INDEX('UA-normalized'!$D:$D, MATCH($A94, 'UA-normalized'!$A:$A, 0))-INDEX('UA-normalized'!$E:$E, MATCH($A94, 'UA-normalized'!$A:$A, 0))&gt;0, -(1*INDEX('UA-normalized'!$D:$D, MATCH($A94, 'UA-normalized'!$A:$A, 0))-INDEX('UA-normalized'!$E:$E, MATCH($A94, 'UA-normalized'!$A:$A, 0))), 0), 0))+(IFERROR(IF(1*INDEX('KZ-normalized'!$D:$D, MATCH($A94, 'KZ-normalized'!$A:$A, 0))-INDEX('KZ-normalized'!$E:$E, MATCH($A94, 'KZ-normalized'!$A:$A, 0))&gt;0, -(1*INDEX('KZ-normalized'!$D:$D, MATCH($A94, 'KZ-normalized'!$A:$A, 0))-INDEX('KZ-normalized'!$E:$E, MATCH($A94, 'KZ-normalized'!$A:$A, 0))), 0), 0))+(IFERROR(IF(1*INDEX('UZ-normalized'!$D:$D, MATCH($A94, 'UZ-normalized'!$A:$A, 0))-INDEX('UZ-normalized'!$E:$E, MATCH($A94, 'UZ-normalized'!$A:$A, 0))&gt;0, -(1*INDEX('UZ-normalized'!$D:$D, MATCH($A94, 'UZ-normalized'!$A:$A, 0))-INDEX('UZ-normalized'!$E:$E, MATCH($A94, 'UZ-normalized'!$A:$A, 0))), 0), 0)))</f>
        <v>0</v>
      </c>
      <c r="P94" s="6">
        <f>MIN(0, N94+(IFERROR(IF(2*INDEX('UA-normalized'!$D:$D, MATCH($A94, 'UA-normalized'!$A:$A, 0))-INDEX('UA-normalized'!$E:$E, MATCH($A94, 'UA-normalized'!$A:$A, 0))&gt;0, -(2*INDEX('UA-normalized'!$D:$D, MATCH($A94, 'UA-normalized'!$A:$A, 0))-INDEX('UA-normalized'!$E:$E, MATCH($A94, 'UA-normalized'!$A:$A, 0))), 0), 0))+(IFERROR(IF(2*INDEX('KZ-normalized'!$D:$D, MATCH($A94, 'KZ-normalized'!$A:$A, 0))-INDEX('KZ-normalized'!$E:$E, MATCH($A94, 'KZ-normalized'!$A:$A, 0))&gt;0, -(2*INDEX('KZ-normalized'!$D:$D, MATCH($A94, 'KZ-normalized'!$A:$A, 0))-INDEX('KZ-normalized'!$E:$E, MATCH($A94, 'KZ-normalized'!$A:$A, 0))), 0), 0))+(IFERROR(IF(2*INDEX('UZ-normalized'!$D:$D, MATCH($A94, 'UZ-normalized'!$A:$A, 0))-INDEX('UZ-normalized'!$E:$E, MATCH($A94, 'UZ-normalized'!$A:$A, 0))&gt;0, -(2*INDEX('UZ-normalized'!$D:$D, MATCH($A94, 'UZ-normalized'!$A:$A, 0))-INDEX('UZ-normalized'!$E:$E, MATCH($A94, 'UZ-normalized'!$A:$A, 0))), 0), 0)))</f>
        <v>0</v>
      </c>
      <c r="Q94" s="6">
        <f>MIN(0, N94+(IFERROR(IF(3*INDEX('UA-normalized'!$D:$D, MATCH($A94, 'UA-normalized'!$A:$A, 0))-INDEX('UA-normalized'!$E:$E, MATCH($A94, 'UA-normalized'!$A:$A, 0))&gt;0, -(3*INDEX('UA-normalized'!$D:$D, MATCH($A94, 'UA-normalized'!$A:$A, 0))-INDEX('UA-normalized'!$E:$E, MATCH($A94, 'UA-normalized'!$A:$A, 0))), 0), 0))+(IFERROR(IF(3*INDEX('KZ-normalized'!$D:$D, MATCH($A94, 'KZ-normalized'!$A:$A, 0))-INDEX('KZ-normalized'!$E:$E, MATCH($A94, 'KZ-normalized'!$A:$A, 0))&gt;0, -(3*INDEX('KZ-normalized'!$D:$D, MATCH($A94, 'KZ-normalized'!$A:$A, 0))-INDEX('KZ-normalized'!$E:$E, MATCH($A94, 'KZ-normalized'!$A:$A, 0))), 0), 0))+(IFERROR(IF(3*INDEX('UZ-normalized'!$D:$D, MATCH($A94, 'UZ-normalized'!$A:$A, 0))-INDEX('UZ-normalized'!$E:$E, MATCH($A94, 'UZ-normalized'!$A:$A, 0))&gt;0, -(3*INDEX('UZ-normalized'!$D:$D, MATCH($A94, 'UZ-normalized'!$A:$A, 0))-INDEX('UZ-normalized'!$E:$E, MATCH($A94, 'UZ-normalized'!$A:$A, 0))), 0), 0)))</f>
        <v>0</v>
      </c>
      <c r="R94" s="6">
        <f>MIN(0, N94+(IFERROR(IF(4*INDEX('UA-normalized'!$D:$D, MATCH($A94, 'UA-normalized'!$A:$A, 0))-INDEX('UA-normalized'!$E:$E, MATCH($A94, 'UA-normalized'!$A:$A, 0))&gt;0, -(4*INDEX('UA-normalized'!$D:$D, MATCH($A94, 'UA-normalized'!$A:$A, 0))-INDEX('UA-normalized'!$E:$E, MATCH($A94, 'UA-normalized'!$A:$A, 0))), 0), 0))+(IFERROR(IF(4*INDEX('KZ-normalized'!$D:$D, MATCH($A94, 'KZ-normalized'!$A:$A, 0))-INDEX('KZ-normalized'!$E:$E, MATCH($A94, 'KZ-normalized'!$A:$A, 0))&gt;0, -(4*INDEX('KZ-normalized'!$D:$D, MATCH($A94, 'KZ-normalized'!$A:$A, 0))-INDEX('KZ-normalized'!$E:$E, MATCH($A94, 'KZ-normalized'!$A:$A, 0))), 0), 0))+(IFERROR(IF(4*INDEX('UZ-normalized'!$D:$D, MATCH($A94, 'UZ-normalized'!$A:$A, 0))-INDEX('UZ-normalized'!$E:$E, MATCH($A94, 'UZ-normalized'!$A:$A, 0))&gt;0, -(4*INDEX('UZ-normalized'!$D:$D, MATCH($A94, 'UZ-normalized'!$A:$A, 0))-INDEX('UZ-normalized'!$E:$E, MATCH($A94, 'UZ-normalized'!$A:$A, 0))), 0), 0)))</f>
        <v>0</v>
      </c>
      <c r="S94" s="6">
        <f>MIN(0, N94+(IFERROR(IF(5*INDEX('UA-normalized'!$D:$D, MATCH($A94, 'UA-normalized'!$A:$A, 0))-INDEX('UA-normalized'!$E:$E, MATCH($A94, 'UA-normalized'!$A:$A, 0))&gt;0, -(5*INDEX('UA-normalized'!$D:$D, MATCH($A94, 'UA-normalized'!$A:$A, 0))-INDEX('UA-normalized'!$E:$E, MATCH($A94, 'UA-normalized'!$A:$A, 0))), 0), 0))+(IFERROR(IF(5*INDEX('KZ-normalized'!$D:$D, MATCH($A94, 'KZ-normalized'!$A:$A, 0))-INDEX('KZ-normalized'!$E:$E, MATCH($A94, 'KZ-normalized'!$A:$A, 0))&gt;0, -(5*INDEX('KZ-normalized'!$D:$D, MATCH($A94, 'KZ-normalized'!$A:$A, 0))-INDEX('KZ-normalized'!$E:$E, MATCH($A94, 'KZ-normalized'!$A:$A, 0))), 0), 0))+(IFERROR(IF(5*INDEX('UZ-normalized'!$D:$D, MATCH($A94, 'UZ-normalized'!$A:$A, 0))-INDEX('UZ-normalized'!$E:$E, MATCH($A94, 'UZ-normalized'!$A:$A, 0))&gt;0, -(5*INDEX('UZ-normalized'!$D:$D, MATCH($A94, 'UZ-normalized'!$A:$A, 0))-INDEX('UZ-normalized'!$E:$E, MATCH($A94, 'UZ-normalized'!$A:$A, 0))), 0), 0)))</f>
        <v>0</v>
      </c>
      <c r="T94" s="6">
        <f>MIN(0, N94+(IFERROR(IF(6*INDEX('UA-normalized'!$D:$D, MATCH($A94, 'UA-normalized'!$A:$A, 0))-INDEX('UA-normalized'!$E:$E, MATCH($A94, 'UA-normalized'!$A:$A, 0))&gt;0, -(6*INDEX('UA-normalized'!$D:$D, MATCH($A94, 'UA-normalized'!$A:$A, 0))-INDEX('UA-normalized'!$E:$E, MATCH($A94, 'UA-normalized'!$A:$A, 0))), 0), 0))+(IFERROR(IF(6*INDEX('KZ-normalized'!$D:$D, MATCH($A94, 'KZ-normalized'!$A:$A, 0))-INDEX('KZ-normalized'!$E:$E, MATCH($A94, 'KZ-normalized'!$A:$A, 0))&gt;0, -(6*INDEX('KZ-normalized'!$D:$D, MATCH($A94, 'KZ-normalized'!$A:$A, 0))-INDEX('KZ-normalized'!$E:$E, MATCH($A94, 'KZ-normalized'!$A:$A, 0))), 0), 0))+(IFERROR(IF(6*INDEX('UZ-normalized'!$D:$D, MATCH($A94, 'UZ-normalized'!$A:$A, 0))-INDEX('UZ-normalized'!$E:$E, MATCH($A94, 'UZ-normalized'!$A:$A, 0))&gt;0, -(6*INDEX('UZ-normalized'!$D:$D, MATCH($A94, 'UZ-normalized'!$A:$A, 0))-INDEX('UZ-normalized'!$E:$E, MATCH($A94, 'UZ-normalized'!$A:$A, 0))), 0), 0)))</f>
        <v>0</v>
      </c>
      <c r="U94" s="6">
        <f>MIN(0, N94+(IFERROR(IF(7*INDEX('UA-normalized'!$D:$D, MATCH($A94, 'UA-normalized'!$A:$A, 0))-INDEX('UA-normalized'!$E:$E, MATCH($A94, 'UA-normalized'!$A:$A, 0))&gt;0, -(7*INDEX('UA-normalized'!$D:$D, MATCH($A94, 'UA-normalized'!$A:$A, 0))-INDEX('UA-normalized'!$E:$E, MATCH($A94, 'UA-normalized'!$A:$A, 0))), 0), 0))+(IFERROR(IF(7*INDEX('KZ-normalized'!$D:$D, MATCH($A94, 'KZ-normalized'!$A:$A, 0))-INDEX('KZ-normalized'!$E:$E, MATCH($A94, 'KZ-normalized'!$A:$A, 0))&gt;0, -(7*INDEX('KZ-normalized'!$D:$D, MATCH($A94, 'KZ-normalized'!$A:$A, 0))-INDEX('KZ-normalized'!$E:$E, MATCH($A94, 'KZ-normalized'!$A:$A, 0))), 0), 0))+(IFERROR(IF(7*INDEX('UZ-normalized'!$D:$D, MATCH($A94, 'UZ-normalized'!$A:$A, 0))-INDEX('UZ-normalized'!$E:$E, MATCH($A94, 'UZ-normalized'!$A:$A, 0))&gt;0, -(7*INDEX('UZ-normalized'!$D:$D, MATCH($A94, 'UZ-normalized'!$A:$A, 0))-INDEX('UZ-normalized'!$E:$E, MATCH($A94, 'UZ-normalized'!$A:$A, 0))), 0), 0)))</f>
        <v>0</v>
      </c>
      <c r="V94" s="6">
        <f>MIN(0, N94+(IFERROR(IF(8*INDEX('UA-normalized'!$D:$D, MATCH($A94, 'UA-normalized'!$A:$A, 0))-INDEX('UA-normalized'!$E:$E, MATCH($A94, 'UA-normalized'!$A:$A, 0))&gt;0, -(8*INDEX('UA-normalized'!$D:$D, MATCH($A94, 'UA-normalized'!$A:$A, 0))-INDEX('UA-normalized'!$E:$E, MATCH($A94, 'UA-normalized'!$A:$A, 0))), 0), 0))+(IFERROR(IF(8*INDEX('KZ-normalized'!$D:$D, MATCH($A94, 'KZ-normalized'!$A:$A, 0))-INDEX('KZ-normalized'!$E:$E, MATCH($A94, 'KZ-normalized'!$A:$A, 0))&gt;0, -(8*INDEX('KZ-normalized'!$D:$D, MATCH($A94, 'KZ-normalized'!$A:$A, 0))-INDEX('KZ-normalized'!$E:$E, MATCH($A94, 'KZ-normalized'!$A:$A, 0))), 0), 0))+(IFERROR(IF(8*INDEX('UZ-normalized'!$D:$D, MATCH($A94, 'UZ-normalized'!$A:$A, 0))-INDEX('UZ-normalized'!$E:$E, MATCH($A94, 'UZ-normalized'!$A:$A, 0))&gt;0, -(8*INDEX('UZ-normalized'!$D:$D, MATCH($A94, 'UZ-normalized'!$A:$A, 0))-INDEX('UZ-normalized'!$E:$E, MATCH($A94, 'UZ-normalized'!$A:$A, 0))), 0), 0)))</f>
        <v>0</v>
      </c>
      <c r="W94" s="6">
        <f>MIN(0, N94+(IFERROR(IF(9*INDEX('UA-normalized'!$D:$D, MATCH($A94, 'UA-normalized'!$A:$A, 0))-INDEX('UA-normalized'!$E:$E, MATCH($A94, 'UA-normalized'!$A:$A, 0))&gt;0, -(9*INDEX('UA-normalized'!$D:$D, MATCH($A94, 'UA-normalized'!$A:$A, 0))-INDEX('UA-normalized'!$E:$E, MATCH($A94, 'UA-normalized'!$A:$A, 0))), 0), 0))+(IFERROR(IF(9*INDEX('KZ-normalized'!$D:$D, MATCH($A94, 'KZ-normalized'!$A:$A, 0))-INDEX('KZ-normalized'!$E:$E, MATCH($A94, 'KZ-normalized'!$A:$A, 0))&gt;0, -(9*INDEX('KZ-normalized'!$D:$D, MATCH($A94, 'KZ-normalized'!$A:$A, 0))-INDEX('KZ-normalized'!$E:$E, MATCH($A94, 'KZ-normalized'!$A:$A, 0))), 0), 0))+(IFERROR(IF(9*INDEX('UZ-normalized'!$D:$D, MATCH($A94, 'UZ-normalized'!$A:$A, 0))-INDEX('UZ-normalized'!$E:$E, MATCH($A94, 'UZ-normalized'!$A:$A, 0))&gt;0, -(9*INDEX('UZ-normalized'!$D:$D, MATCH($A94, 'UZ-normalized'!$A:$A, 0))-INDEX('UZ-normalized'!$E:$E, MATCH($A94, 'UZ-normalized'!$A:$A, 0))), 0), 0)))</f>
        <v>0</v>
      </c>
      <c r="X94" s="6">
        <f>MIN(0, N94+(IFERROR(IF(10*INDEX('UA-normalized'!$D:$D, MATCH($A94, 'UA-normalized'!$A:$A, 0))-INDEX('UA-normalized'!$E:$E, MATCH($A94, 'UA-normalized'!$A:$A, 0))&gt;0, -(10*INDEX('UA-normalized'!$D:$D, MATCH($A94, 'UA-normalized'!$A:$A, 0))-INDEX('UA-normalized'!$E:$E, MATCH($A94, 'UA-normalized'!$A:$A, 0))), 0), 0))+(IFERROR(IF(10*INDEX('KZ-normalized'!$D:$D, MATCH($A94, 'KZ-normalized'!$A:$A, 0))-INDEX('KZ-normalized'!$E:$E, MATCH($A94, 'KZ-normalized'!$A:$A, 0))&gt;0, -(10*INDEX('KZ-normalized'!$D:$D, MATCH($A94, 'KZ-normalized'!$A:$A, 0))-INDEX('KZ-normalized'!$E:$E, MATCH($A94, 'KZ-normalized'!$A:$A, 0))), 0), 0))+(IFERROR(IF(10*INDEX('UZ-normalized'!$D:$D, MATCH($A94, 'UZ-normalized'!$A:$A, 0))-INDEX('UZ-normalized'!$E:$E, MATCH($A94, 'UZ-normalized'!$A:$A, 0))&gt;0, -(10*INDEX('UZ-normalized'!$D:$D, MATCH($A94, 'UZ-normalized'!$A:$A, 0))-INDEX('UZ-normalized'!$E:$E, MATCH($A94, 'UZ-normalized'!$A:$A, 0))), 0), 0)))</f>
        <v>0</v>
      </c>
      <c r="Y94" s="6">
        <f>MIN(0, N94+(IFERROR(IF(11*INDEX('UA-normalized'!$D:$D, MATCH($A94, 'UA-normalized'!$A:$A, 0))-INDEX('UA-normalized'!$E:$E, MATCH($A94, 'UA-normalized'!$A:$A, 0))&gt;0, -(11*INDEX('UA-normalized'!$D:$D, MATCH($A94, 'UA-normalized'!$A:$A, 0))-INDEX('UA-normalized'!$E:$E, MATCH($A94, 'UA-normalized'!$A:$A, 0))), 0), 0))+(IFERROR(IF(11*INDEX('KZ-normalized'!$D:$D, MATCH($A94, 'KZ-normalized'!$A:$A, 0))-INDEX('KZ-normalized'!$E:$E, MATCH($A94, 'KZ-normalized'!$A:$A, 0))&gt;0, -(11*INDEX('KZ-normalized'!$D:$D, MATCH($A94, 'KZ-normalized'!$A:$A, 0))-INDEX('KZ-normalized'!$E:$E, MATCH($A94, 'KZ-normalized'!$A:$A, 0))), 0), 0))+(IFERROR(IF(11*INDEX('UZ-normalized'!$D:$D, MATCH($A94, 'UZ-normalized'!$A:$A, 0))-INDEX('UZ-normalized'!$E:$E, MATCH($A94, 'UZ-normalized'!$A:$A, 0))&gt;0, -(11*INDEX('UZ-normalized'!$D:$D, MATCH($A94, 'UZ-normalized'!$A:$A, 0))-INDEX('UZ-normalized'!$E:$E, MATCH($A94, 'UZ-normalized'!$A:$A, 0))), 0), 0)))</f>
        <v>-217.5</v>
      </c>
      <c r="Z94" s="6">
        <f>MIN(0, N94+(IFERROR(IF(12*INDEX('UA-normalized'!$D:$D, MATCH($A94, 'UA-normalized'!$A:$A, 0))-INDEX('UA-normalized'!$E:$E, MATCH($A94, 'UA-normalized'!$A:$A, 0))&gt;0, -(12*INDEX('UA-normalized'!$D:$D, MATCH($A94, 'UA-normalized'!$A:$A, 0))-INDEX('UA-normalized'!$E:$E, MATCH($A94, 'UA-normalized'!$A:$A, 0))), 0), 0))+(IFERROR(IF(12*INDEX('KZ-normalized'!$D:$D, MATCH($A94, 'KZ-normalized'!$A:$A, 0))-INDEX('KZ-normalized'!$E:$E, MATCH($A94, 'KZ-normalized'!$A:$A, 0))&gt;0, -(12*INDEX('KZ-normalized'!$D:$D, MATCH($A94, 'KZ-normalized'!$A:$A, 0))-INDEX('KZ-normalized'!$E:$E, MATCH($A94, 'KZ-normalized'!$A:$A, 0))), 0), 0))+(IFERROR(IF(12*INDEX('UZ-normalized'!$D:$D, MATCH($A94, 'UZ-normalized'!$A:$A, 0))-INDEX('UZ-normalized'!$E:$E, MATCH($A94, 'UZ-normalized'!$A:$A, 0))&gt;0, -(12*INDEX('UZ-normalized'!$D:$D, MATCH($A94, 'UZ-normalized'!$A:$A, 0))-INDEX('UZ-normalized'!$E:$E, MATCH($A94, 'UZ-normalized'!$A:$A, 0))), 0), 0)))</f>
        <v>-435</v>
      </c>
      <c r="AA94" s="6">
        <f>MIN(0, N94+(IFERROR(IF(13*INDEX('UA-normalized'!$D:$D, MATCH($A94, 'UA-normalized'!$A:$A, 0))-INDEX('UA-normalized'!$E:$E, MATCH($A94, 'UA-normalized'!$A:$A, 0))&gt;0, -(13*INDEX('UA-normalized'!$D:$D, MATCH($A94, 'UA-normalized'!$A:$A, 0))-INDEX('UA-normalized'!$E:$E, MATCH($A94, 'UA-normalized'!$A:$A, 0))), 0), 0))+(IFERROR(IF(13*INDEX('KZ-normalized'!$D:$D, MATCH($A94, 'KZ-normalized'!$A:$A, 0))-INDEX('KZ-normalized'!$E:$E, MATCH($A94, 'KZ-normalized'!$A:$A, 0))&gt;0, -(13*INDEX('KZ-normalized'!$D:$D, MATCH($A94, 'KZ-normalized'!$A:$A, 0))-INDEX('KZ-normalized'!$E:$E, MATCH($A94, 'KZ-normalized'!$A:$A, 0))), 0), 0))+(IFERROR(IF(13*INDEX('UZ-normalized'!$D:$D, MATCH($A94, 'UZ-normalized'!$A:$A, 0))-INDEX('UZ-normalized'!$E:$E, MATCH($A94, 'UZ-normalized'!$A:$A, 0))&gt;0, -(13*INDEX('UZ-normalized'!$D:$D, MATCH($A94, 'UZ-normalized'!$A:$A, 0))-INDEX('UZ-normalized'!$E:$E, MATCH($A94, 'UZ-normalized'!$A:$A, 0))), 0), 0)))</f>
        <v>-652.5</v>
      </c>
      <c r="AB94" s="6">
        <f>MIN(0, N94+(IFERROR(IF(14*INDEX('UA-normalized'!$D:$D, MATCH($A94, 'UA-normalized'!$A:$A, 0))-INDEX('UA-normalized'!$E:$E, MATCH($A94, 'UA-normalized'!$A:$A, 0))&gt;0, -(14*INDEX('UA-normalized'!$D:$D, MATCH($A94, 'UA-normalized'!$A:$A, 0))-INDEX('UA-normalized'!$E:$E, MATCH($A94, 'UA-normalized'!$A:$A, 0))), 0), 0))+(IFERROR(IF(14*INDEX('KZ-normalized'!$D:$D, MATCH($A94, 'KZ-normalized'!$A:$A, 0))-INDEX('KZ-normalized'!$E:$E, MATCH($A94, 'KZ-normalized'!$A:$A, 0))&gt;0, -(14*INDEX('KZ-normalized'!$D:$D, MATCH($A94, 'KZ-normalized'!$A:$A, 0))-INDEX('KZ-normalized'!$E:$E, MATCH($A94, 'KZ-normalized'!$A:$A, 0))), 0), 0))+(IFERROR(IF(14*INDEX('UZ-normalized'!$D:$D, MATCH($A94, 'UZ-normalized'!$A:$A, 0))-INDEX('UZ-normalized'!$E:$E, MATCH($A94, 'UZ-normalized'!$A:$A, 0))&gt;0, -(14*INDEX('UZ-normalized'!$D:$D, MATCH($A94, 'UZ-normalized'!$A:$A, 0))-INDEX('UZ-normalized'!$E:$E, MATCH($A94, 'UZ-normalized'!$A:$A, 0))), 0), 0)))</f>
        <v>-870</v>
      </c>
      <c r="AC94" s="6">
        <f>MIN(0, N94+(IFERROR(IF(15*INDEX('UA-normalized'!$D:$D, MATCH($A94, 'UA-normalized'!$A:$A, 0))-INDEX('UA-normalized'!$E:$E, MATCH($A94, 'UA-normalized'!$A:$A, 0))&gt;0, -(15*INDEX('UA-normalized'!$D:$D, MATCH($A94, 'UA-normalized'!$A:$A, 0))-INDEX('UA-normalized'!$E:$E, MATCH($A94, 'UA-normalized'!$A:$A, 0))), 0), 0))+(IFERROR(IF(15*INDEX('KZ-normalized'!$D:$D, MATCH($A94, 'KZ-normalized'!$A:$A, 0))-INDEX('KZ-normalized'!$E:$E, MATCH($A94, 'KZ-normalized'!$A:$A, 0))&gt;0, -(15*INDEX('KZ-normalized'!$D:$D, MATCH($A94, 'KZ-normalized'!$A:$A, 0))-INDEX('KZ-normalized'!$E:$E, MATCH($A94, 'KZ-normalized'!$A:$A, 0))), 0), 0))+(IFERROR(IF(15*INDEX('UZ-normalized'!$D:$D, MATCH($A94, 'UZ-normalized'!$A:$A, 0))-INDEX('UZ-normalized'!$E:$E, MATCH($A94, 'UZ-normalized'!$A:$A, 0))&gt;0, -(15*INDEX('UZ-normalized'!$D:$D, MATCH($A94, 'UZ-normalized'!$A:$A, 0))-INDEX('UZ-normalized'!$E:$E, MATCH($A94, 'UZ-normalized'!$A:$A, 0))), 0), 0)))</f>
        <v>-1087.5</v>
      </c>
      <c r="AD94" s="6">
        <f>MIN(0, N94+(IFERROR(IF(16*INDEX('UA-normalized'!$D:$D, MATCH($A94, 'UA-normalized'!$A:$A, 0))-INDEX('UA-normalized'!$E:$E, MATCH($A94, 'UA-normalized'!$A:$A, 0))&gt;0, -(16*INDEX('UA-normalized'!$D:$D, MATCH($A94, 'UA-normalized'!$A:$A, 0))-INDEX('UA-normalized'!$E:$E, MATCH($A94, 'UA-normalized'!$A:$A, 0))), 0), 0))+(IFERROR(IF(16*INDEX('KZ-normalized'!$D:$D, MATCH($A94, 'KZ-normalized'!$A:$A, 0))-INDEX('KZ-normalized'!$E:$E, MATCH($A94, 'KZ-normalized'!$A:$A, 0))&gt;0, -(16*INDEX('KZ-normalized'!$D:$D, MATCH($A94, 'KZ-normalized'!$A:$A, 0))-INDEX('KZ-normalized'!$E:$E, MATCH($A94, 'KZ-normalized'!$A:$A, 0))), 0), 0))+(IFERROR(IF(16*INDEX('UZ-normalized'!$D:$D, MATCH($A94, 'UZ-normalized'!$A:$A, 0))-INDEX('UZ-normalized'!$E:$E, MATCH($A94, 'UZ-normalized'!$A:$A, 0))&gt;0, -(16*INDEX('UZ-normalized'!$D:$D, MATCH($A94, 'UZ-normalized'!$A:$A, 0))-INDEX('UZ-normalized'!$E:$E, MATCH($A94, 'UZ-normalized'!$A:$A, 0))), 0), 0)))</f>
        <v>-1305</v>
      </c>
      <c r="AE94" s="6">
        <f>MIN(0, N94+(IFERROR(IF(17*INDEX('UA-normalized'!$D:$D, MATCH($A94, 'UA-normalized'!$A:$A, 0))-INDEX('UA-normalized'!$E:$E, MATCH($A94, 'UA-normalized'!$A:$A, 0))&gt;0, -(17*INDEX('UA-normalized'!$D:$D, MATCH($A94, 'UA-normalized'!$A:$A, 0))-INDEX('UA-normalized'!$E:$E, MATCH($A94, 'UA-normalized'!$A:$A, 0))), 0), 0))+(IFERROR(IF(17*INDEX('KZ-normalized'!$D:$D, MATCH($A94, 'KZ-normalized'!$A:$A, 0))-INDEX('KZ-normalized'!$E:$E, MATCH($A94, 'KZ-normalized'!$A:$A, 0))&gt;0, -(17*INDEX('KZ-normalized'!$D:$D, MATCH($A94, 'KZ-normalized'!$A:$A, 0))-INDEX('KZ-normalized'!$E:$E, MATCH($A94, 'KZ-normalized'!$A:$A, 0))), 0), 0))+(IFERROR(IF(17*INDEX('UZ-normalized'!$D:$D, MATCH($A94, 'UZ-normalized'!$A:$A, 0))-INDEX('UZ-normalized'!$E:$E, MATCH($A94, 'UZ-normalized'!$A:$A, 0))&gt;0, -(17*INDEX('UZ-normalized'!$D:$D, MATCH($A94, 'UZ-normalized'!$A:$A, 0))-INDEX('UZ-normalized'!$E:$E, MATCH($A94, 'UZ-normalized'!$A:$A, 0))), 0), 0)))</f>
        <v>-1522.5</v>
      </c>
      <c r="AF94" s="6">
        <f>MIN(0, N94+(IFERROR(IF(18*INDEX('UA-normalized'!$D:$D, MATCH($A94, 'UA-normalized'!$A:$A, 0))-INDEX('UA-normalized'!$E:$E, MATCH($A94, 'UA-normalized'!$A:$A, 0))&gt;0, -(18*INDEX('UA-normalized'!$D:$D, MATCH($A94, 'UA-normalized'!$A:$A, 0))-INDEX('UA-normalized'!$E:$E, MATCH($A94, 'UA-normalized'!$A:$A, 0))), 0), 0))+(IFERROR(IF(18*INDEX('KZ-normalized'!$D:$D, MATCH($A94, 'KZ-normalized'!$A:$A, 0))-INDEX('KZ-normalized'!$E:$E, MATCH($A94, 'KZ-normalized'!$A:$A, 0))&gt;0, -(18*INDEX('KZ-normalized'!$D:$D, MATCH($A94, 'KZ-normalized'!$A:$A, 0))-INDEX('KZ-normalized'!$E:$E, MATCH($A94, 'KZ-normalized'!$A:$A, 0))), 0), 0))+(IFERROR(IF(18*INDEX('UZ-normalized'!$D:$D, MATCH($A94, 'UZ-normalized'!$A:$A, 0))-INDEX('UZ-normalized'!$E:$E, MATCH($A94, 'UZ-normalized'!$A:$A, 0))&gt;0, -(18*INDEX('UZ-normalized'!$D:$D, MATCH($A94, 'UZ-normalized'!$A:$A, 0))-INDEX('UZ-normalized'!$E:$E, MATCH($A94, 'UZ-normalized'!$A:$A, 0))), 0), 0)))</f>
        <v>-1740</v>
      </c>
      <c r="AG94" s="6">
        <f>MIN(0, N94+(IFERROR(IF(19*INDEX('UA-normalized'!$D:$D, MATCH($A94, 'UA-normalized'!$A:$A, 0))-INDEX('UA-normalized'!$E:$E, MATCH($A94, 'UA-normalized'!$A:$A, 0))&gt;0, -(19*INDEX('UA-normalized'!$D:$D, MATCH($A94, 'UA-normalized'!$A:$A, 0))-INDEX('UA-normalized'!$E:$E, MATCH($A94, 'UA-normalized'!$A:$A, 0))), 0), 0))+(IFERROR(IF(19*INDEX('KZ-normalized'!$D:$D, MATCH($A94, 'KZ-normalized'!$A:$A, 0))-INDEX('KZ-normalized'!$E:$E, MATCH($A94, 'KZ-normalized'!$A:$A, 0))&gt;0, -(19*INDEX('KZ-normalized'!$D:$D, MATCH($A94, 'KZ-normalized'!$A:$A, 0))-INDEX('KZ-normalized'!$E:$E, MATCH($A94, 'KZ-normalized'!$A:$A, 0))), 0), 0))+(IFERROR(IF(19*INDEX('UZ-normalized'!$D:$D, MATCH($A94, 'UZ-normalized'!$A:$A, 0))-INDEX('UZ-normalized'!$E:$E, MATCH($A94, 'UZ-normalized'!$A:$A, 0))&gt;0, -(19*INDEX('UZ-normalized'!$D:$D, MATCH($A94, 'UZ-normalized'!$A:$A, 0))-INDEX('UZ-normalized'!$E:$E, MATCH($A94, 'UZ-normalized'!$A:$A, 0))), 0), 0)))</f>
        <v>-1957.5</v>
      </c>
      <c r="AH94" s="6">
        <f>MIN(0, N94+(IFERROR(IF(20*INDEX('UA-normalized'!$D:$D, MATCH($A94, 'UA-normalized'!$A:$A, 0))-INDEX('UA-normalized'!$E:$E, MATCH($A94, 'UA-normalized'!$A:$A, 0))&gt;0, -(20*INDEX('UA-normalized'!$D:$D, MATCH($A94, 'UA-normalized'!$A:$A, 0))-INDEX('UA-normalized'!$E:$E, MATCH($A94, 'UA-normalized'!$A:$A, 0))), 0), 0))+(IFERROR(IF(20*INDEX('KZ-normalized'!$D:$D, MATCH($A94, 'KZ-normalized'!$A:$A, 0))-INDEX('KZ-normalized'!$E:$E, MATCH($A94, 'KZ-normalized'!$A:$A, 0))&gt;0, -(20*INDEX('KZ-normalized'!$D:$D, MATCH($A94, 'KZ-normalized'!$A:$A, 0))-INDEX('KZ-normalized'!$E:$E, MATCH($A94, 'KZ-normalized'!$A:$A, 0))), 0), 0))+(IFERROR(IF(20*INDEX('UZ-normalized'!$D:$D, MATCH($A94, 'UZ-normalized'!$A:$A, 0))-INDEX('UZ-normalized'!$E:$E, MATCH($A94, 'UZ-normalized'!$A:$A, 0))&gt;0, -(20*INDEX('UZ-normalized'!$D:$D, MATCH($A94, 'UZ-normalized'!$A:$A, 0))-INDEX('UZ-normalized'!$E:$E, MATCH($A94, 'UZ-normalized'!$A:$A, 0))), 0), 0)))</f>
        <v>-2175</v>
      </c>
      <c r="AI94" s="6">
        <f>MIN(0, N94+(IFERROR(IF(21*INDEX('UA-normalized'!$D:$D, MATCH($A94, 'UA-normalized'!$A:$A, 0))-INDEX('UA-normalized'!$E:$E, MATCH($A94, 'UA-normalized'!$A:$A, 0))&gt;0, -(21*INDEX('UA-normalized'!$D:$D, MATCH($A94, 'UA-normalized'!$A:$A, 0))-INDEX('UA-normalized'!$E:$E, MATCH($A94, 'UA-normalized'!$A:$A, 0))), 0), 0))+(IFERROR(IF(21*INDEX('KZ-normalized'!$D:$D, MATCH($A94, 'KZ-normalized'!$A:$A, 0))-INDEX('KZ-normalized'!$E:$E, MATCH($A94, 'KZ-normalized'!$A:$A, 0))&gt;0, -(21*INDEX('KZ-normalized'!$D:$D, MATCH($A94, 'KZ-normalized'!$A:$A, 0))-INDEX('KZ-normalized'!$E:$E, MATCH($A94, 'KZ-normalized'!$A:$A, 0))), 0), 0))+(IFERROR(IF(21*INDEX('UZ-normalized'!$D:$D, MATCH($A94, 'UZ-normalized'!$A:$A, 0))-INDEX('UZ-normalized'!$E:$E, MATCH($A94, 'UZ-normalized'!$A:$A, 0))&gt;0, -(21*INDEX('UZ-normalized'!$D:$D, MATCH($A94, 'UZ-normalized'!$A:$A, 0))-INDEX('UZ-normalized'!$E:$E, MATCH($A94, 'UZ-normalized'!$A:$A, 0))), 0), 0)))</f>
        <v>-2392.5</v>
      </c>
      <c r="AJ94" s="6">
        <f>MIN(0, N94+(IFERROR(IF(22*INDEX('UA-normalized'!$D:$D, MATCH($A94, 'UA-normalized'!$A:$A, 0))-INDEX('UA-normalized'!$E:$E, MATCH($A94, 'UA-normalized'!$A:$A, 0))&gt;0, -(22*INDEX('UA-normalized'!$D:$D, MATCH($A94, 'UA-normalized'!$A:$A, 0))-INDEX('UA-normalized'!$E:$E, MATCH($A94, 'UA-normalized'!$A:$A, 0))), 0), 0))+(IFERROR(IF(22*INDEX('KZ-normalized'!$D:$D, MATCH($A94, 'KZ-normalized'!$A:$A, 0))-INDEX('KZ-normalized'!$E:$E, MATCH($A94, 'KZ-normalized'!$A:$A, 0))&gt;0, -(22*INDEX('KZ-normalized'!$D:$D, MATCH($A94, 'KZ-normalized'!$A:$A, 0))-INDEX('KZ-normalized'!$E:$E, MATCH($A94, 'KZ-normalized'!$A:$A, 0))), 0), 0))+(IFERROR(IF(22*INDEX('UZ-normalized'!$D:$D, MATCH($A94, 'UZ-normalized'!$A:$A, 0))-INDEX('UZ-normalized'!$E:$E, MATCH($A94, 'UZ-normalized'!$A:$A, 0))&gt;0, -(22*INDEX('UZ-normalized'!$D:$D, MATCH($A94, 'UZ-normalized'!$A:$A, 0))-INDEX('UZ-normalized'!$E:$E, MATCH($A94, 'UZ-normalized'!$A:$A, 0))), 0), 0)))</f>
        <v>-2610</v>
      </c>
      <c r="AK94" s="6">
        <f>MIN(0, N94+(IFERROR(IF(23*INDEX('UA-normalized'!$D:$D, MATCH($A94, 'UA-normalized'!$A:$A, 0))-INDEX('UA-normalized'!$E:$E, MATCH($A94, 'UA-normalized'!$A:$A, 0))&gt;0, -(23*INDEX('UA-normalized'!$D:$D, MATCH($A94, 'UA-normalized'!$A:$A, 0))-INDEX('UA-normalized'!$E:$E, MATCH($A94, 'UA-normalized'!$A:$A, 0))), 0), 0))+(IFERROR(IF(23*INDEX('KZ-normalized'!$D:$D, MATCH($A94, 'KZ-normalized'!$A:$A, 0))-INDEX('KZ-normalized'!$E:$E, MATCH($A94, 'KZ-normalized'!$A:$A, 0))&gt;0, -(23*INDEX('KZ-normalized'!$D:$D, MATCH($A94, 'KZ-normalized'!$A:$A, 0))-INDEX('KZ-normalized'!$E:$E, MATCH($A94, 'KZ-normalized'!$A:$A, 0))), 0), 0))+(IFERROR(IF(23*INDEX('UZ-normalized'!$D:$D, MATCH($A94, 'UZ-normalized'!$A:$A, 0))-INDEX('UZ-normalized'!$E:$E, MATCH($A94, 'UZ-normalized'!$A:$A, 0))&gt;0, -(23*INDEX('UZ-normalized'!$D:$D, MATCH($A94, 'UZ-normalized'!$A:$A, 0))-INDEX('UZ-normalized'!$E:$E, MATCH($A94, 'UZ-normalized'!$A:$A, 0))), 0), 0)))</f>
        <v>-2827.5</v>
      </c>
      <c r="AL94" s="6">
        <f>MIN(0, N94+(IFERROR(IF(24*INDEX('UA-normalized'!$D:$D, MATCH($A94, 'UA-normalized'!$A:$A, 0))-INDEX('UA-normalized'!$E:$E, MATCH($A94, 'UA-normalized'!$A:$A, 0))&gt;0, -(24*INDEX('UA-normalized'!$D:$D, MATCH($A94, 'UA-normalized'!$A:$A, 0))-INDEX('UA-normalized'!$E:$E, MATCH($A94, 'UA-normalized'!$A:$A, 0))), 0), 0))+(IFERROR(IF(24*INDEX('KZ-normalized'!$D:$D, MATCH($A94, 'KZ-normalized'!$A:$A, 0))-INDEX('KZ-normalized'!$E:$E, MATCH($A94, 'KZ-normalized'!$A:$A, 0))&gt;0, -(24*INDEX('KZ-normalized'!$D:$D, MATCH($A94, 'KZ-normalized'!$A:$A, 0))-INDEX('KZ-normalized'!$E:$E, MATCH($A94, 'KZ-normalized'!$A:$A, 0))), 0), 0))+(IFERROR(IF(24*INDEX('UZ-normalized'!$D:$D, MATCH($A94, 'UZ-normalized'!$A:$A, 0))-INDEX('UZ-normalized'!$E:$E, MATCH($A94, 'UZ-normalized'!$A:$A, 0))&gt;0, -(24*INDEX('UZ-normalized'!$D:$D, MATCH($A94, 'UZ-normalized'!$A:$A, 0))-INDEX('UZ-normalized'!$E:$E, MATCH($A94, 'UZ-normalized'!$A:$A, 0))), 0), 0)))</f>
        <v>-3045</v>
      </c>
      <c r="AM94" s="6">
        <f>MIN(0, N94+(IFERROR(IF(25*INDEX('UA-normalized'!$D:$D, MATCH($A94, 'UA-normalized'!$A:$A, 0))-INDEX('UA-normalized'!$E:$E, MATCH($A94, 'UA-normalized'!$A:$A, 0))&gt;0, -(25*INDEX('UA-normalized'!$D:$D, MATCH($A94, 'UA-normalized'!$A:$A, 0))-INDEX('UA-normalized'!$E:$E, MATCH($A94, 'UA-normalized'!$A:$A, 0))), 0), 0))+(IFERROR(IF(25*INDEX('KZ-normalized'!$D:$D, MATCH($A94, 'KZ-normalized'!$A:$A, 0))-INDEX('KZ-normalized'!$E:$E, MATCH($A94, 'KZ-normalized'!$A:$A, 0))&gt;0, -(25*INDEX('KZ-normalized'!$D:$D, MATCH($A94, 'KZ-normalized'!$A:$A, 0))-INDEX('KZ-normalized'!$E:$E, MATCH($A94, 'KZ-normalized'!$A:$A, 0))), 0), 0))+(IFERROR(IF(25*INDEX('UZ-normalized'!$D:$D, MATCH($A94, 'UZ-normalized'!$A:$A, 0))-INDEX('UZ-normalized'!$E:$E, MATCH($A94, 'UZ-normalized'!$A:$A, 0))&gt;0, -(25*INDEX('UZ-normalized'!$D:$D, MATCH($A94, 'UZ-normalized'!$A:$A, 0))-INDEX('UZ-normalized'!$E:$E, MATCH($A94, 'UZ-normalized'!$A:$A, 0))), 0), 0)))</f>
        <v>-3262.5</v>
      </c>
      <c r="AN94" s="6">
        <f>MIN(0, N94+(IFERROR(IF(26*INDEX('UA-normalized'!$D:$D, MATCH($A94, 'UA-normalized'!$A:$A, 0))-INDEX('UA-normalized'!$E:$E, MATCH($A94, 'UA-normalized'!$A:$A, 0))&gt;0, -(26*INDEX('UA-normalized'!$D:$D, MATCH($A94, 'UA-normalized'!$A:$A, 0))-INDEX('UA-normalized'!$E:$E, MATCH($A94, 'UA-normalized'!$A:$A, 0))), 0), 0))+(IFERROR(IF(26*INDEX('KZ-normalized'!$D:$D, MATCH($A94, 'KZ-normalized'!$A:$A, 0))-INDEX('KZ-normalized'!$E:$E, MATCH($A94, 'KZ-normalized'!$A:$A, 0))&gt;0, -(26*INDEX('KZ-normalized'!$D:$D, MATCH($A94, 'KZ-normalized'!$A:$A, 0))-INDEX('KZ-normalized'!$E:$E, MATCH($A94, 'KZ-normalized'!$A:$A, 0))), 0), 0))+(IFERROR(IF(26*INDEX('UZ-normalized'!$D:$D, MATCH($A94, 'UZ-normalized'!$A:$A, 0))-INDEX('UZ-normalized'!$E:$E, MATCH($A94, 'UZ-normalized'!$A:$A, 0))&gt;0, -(26*INDEX('UZ-normalized'!$D:$D, MATCH($A94, 'UZ-normalized'!$A:$A, 0))-INDEX('UZ-normalized'!$E:$E, MATCH($A94, 'UZ-normalized'!$A:$A, 0))), 0), 0)))</f>
        <v>-3480</v>
      </c>
      <c r="AO94" s="6">
        <f>MIN(0, N94+(IFERROR(IF(27*INDEX('UA-normalized'!$D:$D, MATCH($A94, 'UA-normalized'!$A:$A, 0))-INDEX('UA-normalized'!$E:$E, MATCH($A94, 'UA-normalized'!$A:$A, 0))&gt;0, -(27*INDEX('UA-normalized'!$D:$D, MATCH($A94, 'UA-normalized'!$A:$A, 0))-INDEX('UA-normalized'!$E:$E, MATCH($A94, 'UA-normalized'!$A:$A, 0))), 0), 0))+(IFERROR(IF(27*INDEX('KZ-normalized'!$D:$D, MATCH($A94, 'KZ-normalized'!$A:$A, 0))-INDEX('KZ-normalized'!$E:$E, MATCH($A94, 'KZ-normalized'!$A:$A, 0))&gt;0, -(27*INDEX('KZ-normalized'!$D:$D, MATCH($A94, 'KZ-normalized'!$A:$A, 0))-INDEX('KZ-normalized'!$E:$E, MATCH($A94, 'KZ-normalized'!$A:$A, 0))), 0), 0))+(IFERROR(IF(27*INDEX('UZ-normalized'!$D:$D, MATCH($A94, 'UZ-normalized'!$A:$A, 0))-INDEX('UZ-normalized'!$E:$E, MATCH($A94, 'UZ-normalized'!$A:$A, 0))&gt;0, -(27*INDEX('UZ-normalized'!$D:$D, MATCH($A94, 'UZ-normalized'!$A:$A, 0))-INDEX('UZ-normalized'!$E:$E, MATCH($A94, 'UZ-normalized'!$A:$A, 0))), 0), 0)))</f>
        <v>-3697.5</v>
      </c>
      <c r="AP94" s="6">
        <f>MIN(0, N94+(IFERROR(IF(28*INDEX('UA-normalized'!$D:$D, MATCH($A94, 'UA-normalized'!$A:$A, 0))-INDEX('UA-normalized'!$E:$E, MATCH($A94, 'UA-normalized'!$A:$A, 0))&gt;0, -(28*INDEX('UA-normalized'!$D:$D, MATCH($A94, 'UA-normalized'!$A:$A, 0))-INDEX('UA-normalized'!$E:$E, MATCH($A94, 'UA-normalized'!$A:$A, 0))), 0), 0))+(IFERROR(IF(28*INDEX('KZ-normalized'!$D:$D, MATCH($A94, 'KZ-normalized'!$A:$A, 0))-INDEX('KZ-normalized'!$E:$E, MATCH($A94, 'KZ-normalized'!$A:$A, 0))&gt;0, -(28*INDEX('KZ-normalized'!$D:$D, MATCH($A94, 'KZ-normalized'!$A:$A, 0))-INDEX('KZ-normalized'!$E:$E, MATCH($A94, 'KZ-normalized'!$A:$A, 0))), 0), 0))+(IFERROR(IF(28*INDEX('UZ-normalized'!$D:$D, MATCH($A94, 'UZ-normalized'!$A:$A, 0))-INDEX('UZ-normalized'!$E:$E, MATCH($A94, 'UZ-normalized'!$A:$A, 0))&gt;0, -(28*INDEX('UZ-normalized'!$D:$D, MATCH($A94, 'UZ-normalized'!$A:$A, 0))-INDEX('UZ-normalized'!$E:$E, MATCH($A94, 'UZ-normalized'!$A:$A, 0))), 0), 0)))</f>
        <v>-3915</v>
      </c>
      <c r="AQ94" s="6">
        <f>MIN(0, N94+(IFERROR(IF(29*INDEX('UA-normalized'!$D:$D, MATCH($A94, 'UA-normalized'!$A:$A, 0))-INDEX('UA-normalized'!$E:$E, MATCH($A94, 'UA-normalized'!$A:$A, 0))&gt;0, -(29*INDEX('UA-normalized'!$D:$D, MATCH($A94, 'UA-normalized'!$A:$A, 0))-INDEX('UA-normalized'!$E:$E, MATCH($A94, 'UA-normalized'!$A:$A, 0))), 0), 0))+(IFERROR(IF(29*INDEX('KZ-normalized'!$D:$D, MATCH($A94, 'KZ-normalized'!$A:$A, 0))-INDEX('KZ-normalized'!$E:$E, MATCH($A94, 'KZ-normalized'!$A:$A, 0))&gt;0, -(29*INDEX('KZ-normalized'!$D:$D, MATCH($A94, 'KZ-normalized'!$A:$A, 0))-INDEX('KZ-normalized'!$E:$E, MATCH($A94, 'KZ-normalized'!$A:$A, 0))), 0), 0))+(IFERROR(IF(29*INDEX('UZ-normalized'!$D:$D, MATCH($A94, 'UZ-normalized'!$A:$A, 0))-INDEX('UZ-normalized'!$E:$E, MATCH($A94, 'UZ-normalized'!$A:$A, 0))&gt;0, -(29*INDEX('UZ-normalized'!$D:$D, MATCH($A94, 'UZ-normalized'!$A:$A, 0))-INDEX('UZ-normalized'!$E:$E, MATCH($A94, 'UZ-normalized'!$A:$A, 0))), 0), 0)))</f>
        <v>-4132.5</v>
      </c>
      <c r="AR94" s="6">
        <f>MIN(0, N94+(IFERROR(IF(30*INDEX('UA-normalized'!$D:$D, MATCH($A94, 'UA-normalized'!$A:$A, 0))-INDEX('UA-normalized'!$E:$E, MATCH($A94, 'UA-normalized'!$A:$A, 0))&gt;0, -(30*INDEX('UA-normalized'!$D:$D, MATCH($A94, 'UA-normalized'!$A:$A, 0))-INDEX('UA-normalized'!$E:$E, MATCH($A94, 'UA-normalized'!$A:$A, 0))), 0), 0))+(IFERROR(IF(30*INDEX('KZ-normalized'!$D:$D, MATCH($A94, 'KZ-normalized'!$A:$A, 0))-INDEX('KZ-normalized'!$E:$E, MATCH($A94, 'KZ-normalized'!$A:$A, 0))&gt;0, -(30*INDEX('KZ-normalized'!$D:$D, MATCH($A94, 'KZ-normalized'!$A:$A, 0))-INDEX('KZ-normalized'!$E:$E, MATCH($A94, 'KZ-normalized'!$A:$A, 0))), 0), 0))+(IFERROR(IF(30*INDEX('UZ-normalized'!$D:$D, MATCH($A94, 'UZ-normalized'!$A:$A, 0))-INDEX('UZ-normalized'!$E:$E, MATCH($A94, 'UZ-normalized'!$A:$A, 0))&gt;0, -(30*INDEX('UZ-normalized'!$D:$D, MATCH($A94, 'UZ-normalized'!$A:$A, 0))-INDEX('UZ-normalized'!$E:$E, MATCH($A94, 'UZ-normalized'!$A:$A, 0))), 0), 0)))</f>
        <v>-4350</v>
      </c>
    </row>
    <row r="95" spans="1:44" x14ac:dyDescent="0.25">
      <c r="A95" s="8" t="s">
        <v>241</v>
      </c>
      <c r="B95" s="8" t="s">
        <v>180</v>
      </c>
      <c r="C95" s="8" t="s">
        <v>235</v>
      </c>
      <c r="D95" s="8" t="s">
        <v>242</v>
      </c>
      <c r="N95">
        <f t="shared" si="1"/>
        <v>0</v>
      </c>
      <c r="O95" s="6">
        <f>MIN(0, N95+(IFERROR(IF(1*INDEX('UA-normalized'!$D:$D, MATCH($A95, 'UA-normalized'!$A:$A, 0))-INDEX('UA-normalized'!$E:$E, MATCH($A95, 'UA-normalized'!$A:$A, 0))&gt;0, -(1*INDEX('UA-normalized'!$D:$D, MATCH($A95, 'UA-normalized'!$A:$A, 0))-INDEX('UA-normalized'!$E:$E, MATCH($A95, 'UA-normalized'!$A:$A, 0))), 0), 0))+(IFERROR(IF(1*INDEX('KZ-normalized'!$D:$D, MATCH($A95, 'KZ-normalized'!$A:$A, 0))-INDEX('KZ-normalized'!$E:$E, MATCH($A95, 'KZ-normalized'!$A:$A, 0))&gt;0, -(1*INDEX('KZ-normalized'!$D:$D, MATCH($A95, 'KZ-normalized'!$A:$A, 0))-INDEX('KZ-normalized'!$E:$E, MATCH($A95, 'KZ-normalized'!$A:$A, 0))), 0), 0))+(IFERROR(IF(1*INDEX('UZ-normalized'!$D:$D, MATCH($A95, 'UZ-normalized'!$A:$A, 0))-INDEX('UZ-normalized'!$E:$E, MATCH($A95, 'UZ-normalized'!$A:$A, 0))&gt;0, -(1*INDEX('UZ-normalized'!$D:$D, MATCH($A95, 'UZ-normalized'!$A:$A, 0))-INDEX('UZ-normalized'!$E:$E, MATCH($A95, 'UZ-normalized'!$A:$A, 0))), 0), 0)))</f>
        <v>0</v>
      </c>
      <c r="P95" s="6">
        <f>MIN(0, N95+(IFERROR(IF(2*INDEX('UA-normalized'!$D:$D, MATCH($A95, 'UA-normalized'!$A:$A, 0))-INDEX('UA-normalized'!$E:$E, MATCH($A95, 'UA-normalized'!$A:$A, 0))&gt;0, -(2*INDEX('UA-normalized'!$D:$D, MATCH($A95, 'UA-normalized'!$A:$A, 0))-INDEX('UA-normalized'!$E:$E, MATCH($A95, 'UA-normalized'!$A:$A, 0))), 0), 0))+(IFERROR(IF(2*INDEX('KZ-normalized'!$D:$D, MATCH($A95, 'KZ-normalized'!$A:$A, 0))-INDEX('KZ-normalized'!$E:$E, MATCH($A95, 'KZ-normalized'!$A:$A, 0))&gt;0, -(2*INDEX('KZ-normalized'!$D:$D, MATCH($A95, 'KZ-normalized'!$A:$A, 0))-INDEX('KZ-normalized'!$E:$E, MATCH($A95, 'KZ-normalized'!$A:$A, 0))), 0), 0))+(IFERROR(IF(2*INDEX('UZ-normalized'!$D:$D, MATCH($A95, 'UZ-normalized'!$A:$A, 0))-INDEX('UZ-normalized'!$E:$E, MATCH($A95, 'UZ-normalized'!$A:$A, 0))&gt;0, -(2*INDEX('UZ-normalized'!$D:$D, MATCH($A95, 'UZ-normalized'!$A:$A, 0))-INDEX('UZ-normalized'!$E:$E, MATCH($A95, 'UZ-normalized'!$A:$A, 0))), 0), 0)))</f>
        <v>0</v>
      </c>
      <c r="Q95" s="6">
        <f>MIN(0, N95+(IFERROR(IF(3*INDEX('UA-normalized'!$D:$D, MATCH($A95, 'UA-normalized'!$A:$A, 0))-INDEX('UA-normalized'!$E:$E, MATCH($A95, 'UA-normalized'!$A:$A, 0))&gt;0, -(3*INDEX('UA-normalized'!$D:$D, MATCH($A95, 'UA-normalized'!$A:$A, 0))-INDEX('UA-normalized'!$E:$E, MATCH($A95, 'UA-normalized'!$A:$A, 0))), 0), 0))+(IFERROR(IF(3*INDEX('KZ-normalized'!$D:$D, MATCH($A95, 'KZ-normalized'!$A:$A, 0))-INDEX('KZ-normalized'!$E:$E, MATCH($A95, 'KZ-normalized'!$A:$A, 0))&gt;0, -(3*INDEX('KZ-normalized'!$D:$D, MATCH($A95, 'KZ-normalized'!$A:$A, 0))-INDEX('KZ-normalized'!$E:$E, MATCH($A95, 'KZ-normalized'!$A:$A, 0))), 0), 0))+(IFERROR(IF(3*INDEX('UZ-normalized'!$D:$D, MATCH($A95, 'UZ-normalized'!$A:$A, 0))-INDEX('UZ-normalized'!$E:$E, MATCH($A95, 'UZ-normalized'!$A:$A, 0))&gt;0, -(3*INDEX('UZ-normalized'!$D:$D, MATCH($A95, 'UZ-normalized'!$A:$A, 0))-INDEX('UZ-normalized'!$E:$E, MATCH($A95, 'UZ-normalized'!$A:$A, 0))), 0), 0)))</f>
        <v>0</v>
      </c>
      <c r="R95" s="6">
        <f>MIN(0, N95+(IFERROR(IF(4*INDEX('UA-normalized'!$D:$D, MATCH($A95, 'UA-normalized'!$A:$A, 0))-INDEX('UA-normalized'!$E:$E, MATCH($A95, 'UA-normalized'!$A:$A, 0))&gt;0, -(4*INDEX('UA-normalized'!$D:$D, MATCH($A95, 'UA-normalized'!$A:$A, 0))-INDEX('UA-normalized'!$E:$E, MATCH($A95, 'UA-normalized'!$A:$A, 0))), 0), 0))+(IFERROR(IF(4*INDEX('KZ-normalized'!$D:$D, MATCH($A95, 'KZ-normalized'!$A:$A, 0))-INDEX('KZ-normalized'!$E:$E, MATCH($A95, 'KZ-normalized'!$A:$A, 0))&gt;0, -(4*INDEX('KZ-normalized'!$D:$D, MATCH($A95, 'KZ-normalized'!$A:$A, 0))-INDEX('KZ-normalized'!$E:$E, MATCH($A95, 'KZ-normalized'!$A:$A, 0))), 0), 0))+(IFERROR(IF(4*INDEX('UZ-normalized'!$D:$D, MATCH($A95, 'UZ-normalized'!$A:$A, 0))-INDEX('UZ-normalized'!$E:$E, MATCH($A95, 'UZ-normalized'!$A:$A, 0))&gt;0, -(4*INDEX('UZ-normalized'!$D:$D, MATCH($A95, 'UZ-normalized'!$A:$A, 0))-INDEX('UZ-normalized'!$E:$E, MATCH($A95, 'UZ-normalized'!$A:$A, 0))), 0), 0)))</f>
        <v>0</v>
      </c>
      <c r="S95" s="6">
        <f>MIN(0, N95+(IFERROR(IF(5*INDEX('UA-normalized'!$D:$D, MATCH($A95, 'UA-normalized'!$A:$A, 0))-INDEX('UA-normalized'!$E:$E, MATCH($A95, 'UA-normalized'!$A:$A, 0))&gt;0, -(5*INDEX('UA-normalized'!$D:$D, MATCH($A95, 'UA-normalized'!$A:$A, 0))-INDEX('UA-normalized'!$E:$E, MATCH($A95, 'UA-normalized'!$A:$A, 0))), 0), 0))+(IFERROR(IF(5*INDEX('KZ-normalized'!$D:$D, MATCH($A95, 'KZ-normalized'!$A:$A, 0))-INDEX('KZ-normalized'!$E:$E, MATCH($A95, 'KZ-normalized'!$A:$A, 0))&gt;0, -(5*INDEX('KZ-normalized'!$D:$D, MATCH($A95, 'KZ-normalized'!$A:$A, 0))-INDEX('KZ-normalized'!$E:$E, MATCH($A95, 'KZ-normalized'!$A:$A, 0))), 0), 0))+(IFERROR(IF(5*INDEX('UZ-normalized'!$D:$D, MATCH($A95, 'UZ-normalized'!$A:$A, 0))-INDEX('UZ-normalized'!$E:$E, MATCH($A95, 'UZ-normalized'!$A:$A, 0))&gt;0, -(5*INDEX('UZ-normalized'!$D:$D, MATCH($A95, 'UZ-normalized'!$A:$A, 0))-INDEX('UZ-normalized'!$E:$E, MATCH($A95, 'UZ-normalized'!$A:$A, 0))), 0), 0)))</f>
        <v>0</v>
      </c>
      <c r="T95" s="6">
        <f>MIN(0, N95+(IFERROR(IF(6*INDEX('UA-normalized'!$D:$D, MATCH($A95, 'UA-normalized'!$A:$A, 0))-INDEX('UA-normalized'!$E:$E, MATCH($A95, 'UA-normalized'!$A:$A, 0))&gt;0, -(6*INDEX('UA-normalized'!$D:$D, MATCH($A95, 'UA-normalized'!$A:$A, 0))-INDEX('UA-normalized'!$E:$E, MATCH($A95, 'UA-normalized'!$A:$A, 0))), 0), 0))+(IFERROR(IF(6*INDEX('KZ-normalized'!$D:$D, MATCH($A95, 'KZ-normalized'!$A:$A, 0))-INDEX('KZ-normalized'!$E:$E, MATCH($A95, 'KZ-normalized'!$A:$A, 0))&gt;0, -(6*INDEX('KZ-normalized'!$D:$D, MATCH($A95, 'KZ-normalized'!$A:$A, 0))-INDEX('KZ-normalized'!$E:$E, MATCH($A95, 'KZ-normalized'!$A:$A, 0))), 0), 0))+(IFERROR(IF(6*INDEX('UZ-normalized'!$D:$D, MATCH($A95, 'UZ-normalized'!$A:$A, 0))-INDEX('UZ-normalized'!$E:$E, MATCH($A95, 'UZ-normalized'!$A:$A, 0))&gt;0, -(6*INDEX('UZ-normalized'!$D:$D, MATCH($A95, 'UZ-normalized'!$A:$A, 0))-INDEX('UZ-normalized'!$E:$E, MATCH($A95, 'UZ-normalized'!$A:$A, 0))), 0), 0)))</f>
        <v>0</v>
      </c>
      <c r="U95" s="6">
        <f>MIN(0, N95+(IFERROR(IF(7*INDEX('UA-normalized'!$D:$D, MATCH($A95, 'UA-normalized'!$A:$A, 0))-INDEX('UA-normalized'!$E:$E, MATCH($A95, 'UA-normalized'!$A:$A, 0))&gt;0, -(7*INDEX('UA-normalized'!$D:$D, MATCH($A95, 'UA-normalized'!$A:$A, 0))-INDEX('UA-normalized'!$E:$E, MATCH($A95, 'UA-normalized'!$A:$A, 0))), 0), 0))+(IFERROR(IF(7*INDEX('KZ-normalized'!$D:$D, MATCH($A95, 'KZ-normalized'!$A:$A, 0))-INDEX('KZ-normalized'!$E:$E, MATCH($A95, 'KZ-normalized'!$A:$A, 0))&gt;0, -(7*INDEX('KZ-normalized'!$D:$D, MATCH($A95, 'KZ-normalized'!$A:$A, 0))-INDEX('KZ-normalized'!$E:$E, MATCH($A95, 'KZ-normalized'!$A:$A, 0))), 0), 0))+(IFERROR(IF(7*INDEX('UZ-normalized'!$D:$D, MATCH($A95, 'UZ-normalized'!$A:$A, 0))-INDEX('UZ-normalized'!$E:$E, MATCH($A95, 'UZ-normalized'!$A:$A, 0))&gt;0, -(7*INDEX('UZ-normalized'!$D:$D, MATCH($A95, 'UZ-normalized'!$A:$A, 0))-INDEX('UZ-normalized'!$E:$E, MATCH($A95, 'UZ-normalized'!$A:$A, 0))), 0), 0)))</f>
        <v>-6.1999999999999957</v>
      </c>
      <c r="V95" s="6">
        <f>MIN(0, N95+(IFERROR(IF(8*INDEX('UA-normalized'!$D:$D, MATCH($A95, 'UA-normalized'!$A:$A, 0))-INDEX('UA-normalized'!$E:$E, MATCH($A95, 'UA-normalized'!$A:$A, 0))&gt;0, -(8*INDEX('UA-normalized'!$D:$D, MATCH($A95, 'UA-normalized'!$A:$A, 0))-INDEX('UA-normalized'!$E:$E, MATCH($A95, 'UA-normalized'!$A:$A, 0))), 0), 0))+(IFERROR(IF(8*INDEX('KZ-normalized'!$D:$D, MATCH($A95, 'KZ-normalized'!$A:$A, 0))-INDEX('KZ-normalized'!$E:$E, MATCH($A95, 'KZ-normalized'!$A:$A, 0))&gt;0, -(8*INDEX('KZ-normalized'!$D:$D, MATCH($A95, 'KZ-normalized'!$A:$A, 0))-INDEX('KZ-normalized'!$E:$E, MATCH($A95, 'KZ-normalized'!$A:$A, 0))), 0), 0))+(IFERROR(IF(8*INDEX('UZ-normalized'!$D:$D, MATCH($A95, 'UZ-normalized'!$A:$A, 0))-INDEX('UZ-normalized'!$E:$E, MATCH($A95, 'UZ-normalized'!$A:$A, 0))&gt;0, -(8*INDEX('UZ-normalized'!$D:$D, MATCH($A95, 'UZ-normalized'!$A:$A, 0))-INDEX('UZ-normalized'!$E:$E, MATCH($A95, 'UZ-normalized'!$A:$A, 0))), 0), 0)))</f>
        <v>-12.799999999999997</v>
      </c>
      <c r="W95" s="6">
        <f>MIN(0, N95+(IFERROR(IF(9*INDEX('UA-normalized'!$D:$D, MATCH($A95, 'UA-normalized'!$A:$A, 0))-INDEX('UA-normalized'!$E:$E, MATCH($A95, 'UA-normalized'!$A:$A, 0))&gt;0, -(9*INDEX('UA-normalized'!$D:$D, MATCH($A95, 'UA-normalized'!$A:$A, 0))-INDEX('UA-normalized'!$E:$E, MATCH($A95, 'UA-normalized'!$A:$A, 0))), 0), 0))+(IFERROR(IF(9*INDEX('KZ-normalized'!$D:$D, MATCH($A95, 'KZ-normalized'!$A:$A, 0))-INDEX('KZ-normalized'!$E:$E, MATCH($A95, 'KZ-normalized'!$A:$A, 0))&gt;0, -(9*INDEX('KZ-normalized'!$D:$D, MATCH($A95, 'KZ-normalized'!$A:$A, 0))-INDEX('KZ-normalized'!$E:$E, MATCH($A95, 'KZ-normalized'!$A:$A, 0))), 0), 0))+(IFERROR(IF(9*INDEX('UZ-normalized'!$D:$D, MATCH($A95, 'UZ-normalized'!$A:$A, 0))-INDEX('UZ-normalized'!$E:$E, MATCH($A95, 'UZ-normalized'!$A:$A, 0))&gt;0, -(9*INDEX('UZ-normalized'!$D:$D, MATCH($A95, 'UZ-normalized'!$A:$A, 0))-INDEX('UZ-normalized'!$E:$E, MATCH($A95, 'UZ-normalized'!$A:$A, 0))), 0), 0)))</f>
        <v>-19.399999999999999</v>
      </c>
      <c r="X95" s="6">
        <f>MIN(0, N95+(IFERROR(IF(10*INDEX('UA-normalized'!$D:$D, MATCH($A95, 'UA-normalized'!$A:$A, 0))-INDEX('UA-normalized'!$E:$E, MATCH($A95, 'UA-normalized'!$A:$A, 0))&gt;0, -(10*INDEX('UA-normalized'!$D:$D, MATCH($A95, 'UA-normalized'!$A:$A, 0))-INDEX('UA-normalized'!$E:$E, MATCH($A95, 'UA-normalized'!$A:$A, 0))), 0), 0))+(IFERROR(IF(10*INDEX('KZ-normalized'!$D:$D, MATCH($A95, 'KZ-normalized'!$A:$A, 0))-INDEX('KZ-normalized'!$E:$E, MATCH($A95, 'KZ-normalized'!$A:$A, 0))&gt;0, -(10*INDEX('KZ-normalized'!$D:$D, MATCH($A95, 'KZ-normalized'!$A:$A, 0))-INDEX('KZ-normalized'!$E:$E, MATCH($A95, 'KZ-normalized'!$A:$A, 0))), 0), 0))+(IFERROR(IF(10*INDEX('UZ-normalized'!$D:$D, MATCH($A95, 'UZ-normalized'!$A:$A, 0))-INDEX('UZ-normalized'!$E:$E, MATCH($A95, 'UZ-normalized'!$A:$A, 0))&gt;0, -(10*INDEX('UZ-normalized'!$D:$D, MATCH($A95, 'UZ-normalized'!$A:$A, 0))-INDEX('UZ-normalized'!$E:$E, MATCH($A95, 'UZ-normalized'!$A:$A, 0))), 0), 0)))</f>
        <v>-26</v>
      </c>
      <c r="Y95" s="6">
        <f>MIN(0, N95+(IFERROR(IF(11*INDEX('UA-normalized'!$D:$D, MATCH($A95, 'UA-normalized'!$A:$A, 0))-INDEX('UA-normalized'!$E:$E, MATCH($A95, 'UA-normalized'!$A:$A, 0))&gt;0, -(11*INDEX('UA-normalized'!$D:$D, MATCH($A95, 'UA-normalized'!$A:$A, 0))-INDEX('UA-normalized'!$E:$E, MATCH($A95, 'UA-normalized'!$A:$A, 0))), 0), 0))+(IFERROR(IF(11*INDEX('KZ-normalized'!$D:$D, MATCH($A95, 'KZ-normalized'!$A:$A, 0))-INDEX('KZ-normalized'!$E:$E, MATCH($A95, 'KZ-normalized'!$A:$A, 0))&gt;0, -(11*INDEX('KZ-normalized'!$D:$D, MATCH($A95, 'KZ-normalized'!$A:$A, 0))-INDEX('KZ-normalized'!$E:$E, MATCH($A95, 'KZ-normalized'!$A:$A, 0))), 0), 0))+(IFERROR(IF(11*INDEX('UZ-normalized'!$D:$D, MATCH($A95, 'UZ-normalized'!$A:$A, 0))-INDEX('UZ-normalized'!$E:$E, MATCH($A95, 'UZ-normalized'!$A:$A, 0))&gt;0, -(11*INDEX('UZ-normalized'!$D:$D, MATCH($A95, 'UZ-normalized'!$A:$A, 0))-INDEX('UZ-normalized'!$E:$E, MATCH($A95, 'UZ-normalized'!$A:$A, 0))), 0), 0)))</f>
        <v>-32.599999999999994</v>
      </c>
      <c r="Z95" s="6">
        <f>MIN(0, N95+(IFERROR(IF(12*INDEX('UA-normalized'!$D:$D, MATCH($A95, 'UA-normalized'!$A:$A, 0))-INDEX('UA-normalized'!$E:$E, MATCH($A95, 'UA-normalized'!$A:$A, 0))&gt;0, -(12*INDEX('UA-normalized'!$D:$D, MATCH($A95, 'UA-normalized'!$A:$A, 0))-INDEX('UA-normalized'!$E:$E, MATCH($A95, 'UA-normalized'!$A:$A, 0))), 0), 0))+(IFERROR(IF(12*INDEX('KZ-normalized'!$D:$D, MATCH($A95, 'KZ-normalized'!$A:$A, 0))-INDEX('KZ-normalized'!$E:$E, MATCH($A95, 'KZ-normalized'!$A:$A, 0))&gt;0, -(12*INDEX('KZ-normalized'!$D:$D, MATCH($A95, 'KZ-normalized'!$A:$A, 0))-INDEX('KZ-normalized'!$E:$E, MATCH($A95, 'KZ-normalized'!$A:$A, 0))), 0), 0))+(IFERROR(IF(12*INDEX('UZ-normalized'!$D:$D, MATCH($A95, 'UZ-normalized'!$A:$A, 0))-INDEX('UZ-normalized'!$E:$E, MATCH($A95, 'UZ-normalized'!$A:$A, 0))&gt;0, -(12*INDEX('UZ-normalized'!$D:$D, MATCH($A95, 'UZ-normalized'!$A:$A, 0))-INDEX('UZ-normalized'!$E:$E, MATCH($A95, 'UZ-normalized'!$A:$A, 0))), 0), 0)))</f>
        <v>-39.199999999999989</v>
      </c>
      <c r="AA95" s="6">
        <f>MIN(0, N95+(IFERROR(IF(13*INDEX('UA-normalized'!$D:$D, MATCH($A95, 'UA-normalized'!$A:$A, 0))-INDEX('UA-normalized'!$E:$E, MATCH($A95, 'UA-normalized'!$A:$A, 0))&gt;0, -(13*INDEX('UA-normalized'!$D:$D, MATCH($A95, 'UA-normalized'!$A:$A, 0))-INDEX('UA-normalized'!$E:$E, MATCH($A95, 'UA-normalized'!$A:$A, 0))), 0), 0))+(IFERROR(IF(13*INDEX('KZ-normalized'!$D:$D, MATCH($A95, 'KZ-normalized'!$A:$A, 0))-INDEX('KZ-normalized'!$E:$E, MATCH($A95, 'KZ-normalized'!$A:$A, 0))&gt;0, -(13*INDEX('KZ-normalized'!$D:$D, MATCH($A95, 'KZ-normalized'!$A:$A, 0))-INDEX('KZ-normalized'!$E:$E, MATCH($A95, 'KZ-normalized'!$A:$A, 0))), 0), 0))+(IFERROR(IF(13*INDEX('UZ-normalized'!$D:$D, MATCH($A95, 'UZ-normalized'!$A:$A, 0))-INDEX('UZ-normalized'!$E:$E, MATCH($A95, 'UZ-normalized'!$A:$A, 0))&gt;0, -(13*INDEX('UZ-normalized'!$D:$D, MATCH($A95, 'UZ-normalized'!$A:$A, 0))-INDEX('UZ-normalized'!$E:$E, MATCH($A95, 'UZ-normalized'!$A:$A, 0))), 0), 0)))</f>
        <v>-45.8</v>
      </c>
      <c r="AB95" s="6">
        <f>MIN(0, N95+(IFERROR(IF(14*INDEX('UA-normalized'!$D:$D, MATCH($A95, 'UA-normalized'!$A:$A, 0))-INDEX('UA-normalized'!$E:$E, MATCH($A95, 'UA-normalized'!$A:$A, 0))&gt;0, -(14*INDEX('UA-normalized'!$D:$D, MATCH($A95, 'UA-normalized'!$A:$A, 0))-INDEX('UA-normalized'!$E:$E, MATCH($A95, 'UA-normalized'!$A:$A, 0))), 0), 0))+(IFERROR(IF(14*INDEX('KZ-normalized'!$D:$D, MATCH($A95, 'KZ-normalized'!$A:$A, 0))-INDEX('KZ-normalized'!$E:$E, MATCH($A95, 'KZ-normalized'!$A:$A, 0))&gt;0, -(14*INDEX('KZ-normalized'!$D:$D, MATCH($A95, 'KZ-normalized'!$A:$A, 0))-INDEX('KZ-normalized'!$E:$E, MATCH($A95, 'KZ-normalized'!$A:$A, 0))), 0), 0))+(IFERROR(IF(14*INDEX('UZ-normalized'!$D:$D, MATCH($A95, 'UZ-normalized'!$A:$A, 0))-INDEX('UZ-normalized'!$E:$E, MATCH($A95, 'UZ-normalized'!$A:$A, 0))&gt;0, -(14*INDEX('UZ-normalized'!$D:$D, MATCH($A95, 'UZ-normalized'!$A:$A, 0))-INDEX('UZ-normalized'!$E:$E, MATCH($A95, 'UZ-normalized'!$A:$A, 0))), 0), 0)))</f>
        <v>-52.399999999999991</v>
      </c>
      <c r="AC95" s="6">
        <f>MIN(0, N95+(IFERROR(IF(15*INDEX('UA-normalized'!$D:$D, MATCH($A95, 'UA-normalized'!$A:$A, 0))-INDEX('UA-normalized'!$E:$E, MATCH($A95, 'UA-normalized'!$A:$A, 0))&gt;0, -(15*INDEX('UA-normalized'!$D:$D, MATCH($A95, 'UA-normalized'!$A:$A, 0))-INDEX('UA-normalized'!$E:$E, MATCH($A95, 'UA-normalized'!$A:$A, 0))), 0), 0))+(IFERROR(IF(15*INDEX('KZ-normalized'!$D:$D, MATCH($A95, 'KZ-normalized'!$A:$A, 0))-INDEX('KZ-normalized'!$E:$E, MATCH($A95, 'KZ-normalized'!$A:$A, 0))&gt;0, -(15*INDEX('KZ-normalized'!$D:$D, MATCH($A95, 'KZ-normalized'!$A:$A, 0))-INDEX('KZ-normalized'!$E:$E, MATCH($A95, 'KZ-normalized'!$A:$A, 0))), 0), 0))+(IFERROR(IF(15*INDEX('UZ-normalized'!$D:$D, MATCH($A95, 'UZ-normalized'!$A:$A, 0))-INDEX('UZ-normalized'!$E:$E, MATCH($A95, 'UZ-normalized'!$A:$A, 0))&gt;0, -(15*INDEX('UZ-normalized'!$D:$D, MATCH($A95, 'UZ-normalized'!$A:$A, 0))-INDEX('UZ-normalized'!$E:$E, MATCH($A95, 'UZ-normalized'!$A:$A, 0))), 0), 0)))</f>
        <v>-59</v>
      </c>
      <c r="AD95" s="6">
        <f>MIN(0, N95+(IFERROR(IF(16*INDEX('UA-normalized'!$D:$D, MATCH($A95, 'UA-normalized'!$A:$A, 0))-INDEX('UA-normalized'!$E:$E, MATCH($A95, 'UA-normalized'!$A:$A, 0))&gt;0, -(16*INDEX('UA-normalized'!$D:$D, MATCH($A95, 'UA-normalized'!$A:$A, 0))-INDEX('UA-normalized'!$E:$E, MATCH($A95, 'UA-normalized'!$A:$A, 0))), 0), 0))+(IFERROR(IF(16*INDEX('KZ-normalized'!$D:$D, MATCH($A95, 'KZ-normalized'!$A:$A, 0))-INDEX('KZ-normalized'!$E:$E, MATCH($A95, 'KZ-normalized'!$A:$A, 0))&gt;0, -(16*INDEX('KZ-normalized'!$D:$D, MATCH($A95, 'KZ-normalized'!$A:$A, 0))-INDEX('KZ-normalized'!$E:$E, MATCH($A95, 'KZ-normalized'!$A:$A, 0))), 0), 0))+(IFERROR(IF(16*INDEX('UZ-normalized'!$D:$D, MATCH($A95, 'UZ-normalized'!$A:$A, 0))-INDEX('UZ-normalized'!$E:$E, MATCH($A95, 'UZ-normalized'!$A:$A, 0))&gt;0, -(16*INDEX('UZ-normalized'!$D:$D, MATCH($A95, 'UZ-normalized'!$A:$A, 0))-INDEX('UZ-normalized'!$E:$E, MATCH($A95, 'UZ-normalized'!$A:$A, 0))), 0), 0)))</f>
        <v>-65.599999999999994</v>
      </c>
      <c r="AE95" s="6">
        <f>MIN(0, N95+(IFERROR(IF(17*INDEX('UA-normalized'!$D:$D, MATCH($A95, 'UA-normalized'!$A:$A, 0))-INDEX('UA-normalized'!$E:$E, MATCH($A95, 'UA-normalized'!$A:$A, 0))&gt;0, -(17*INDEX('UA-normalized'!$D:$D, MATCH($A95, 'UA-normalized'!$A:$A, 0))-INDEX('UA-normalized'!$E:$E, MATCH($A95, 'UA-normalized'!$A:$A, 0))), 0), 0))+(IFERROR(IF(17*INDEX('KZ-normalized'!$D:$D, MATCH($A95, 'KZ-normalized'!$A:$A, 0))-INDEX('KZ-normalized'!$E:$E, MATCH($A95, 'KZ-normalized'!$A:$A, 0))&gt;0, -(17*INDEX('KZ-normalized'!$D:$D, MATCH($A95, 'KZ-normalized'!$A:$A, 0))-INDEX('KZ-normalized'!$E:$E, MATCH($A95, 'KZ-normalized'!$A:$A, 0))), 0), 0))+(IFERROR(IF(17*INDEX('UZ-normalized'!$D:$D, MATCH($A95, 'UZ-normalized'!$A:$A, 0))-INDEX('UZ-normalized'!$E:$E, MATCH($A95, 'UZ-normalized'!$A:$A, 0))&gt;0, -(17*INDEX('UZ-normalized'!$D:$D, MATCH($A95, 'UZ-normalized'!$A:$A, 0))-INDEX('UZ-normalized'!$E:$E, MATCH($A95, 'UZ-normalized'!$A:$A, 0))), 0), 0)))</f>
        <v>-72.199999999999989</v>
      </c>
      <c r="AF95" s="6">
        <f>MIN(0, N95+(IFERROR(IF(18*INDEX('UA-normalized'!$D:$D, MATCH($A95, 'UA-normalized'!$A:$A, 0))-INDEX('UA-normalized'!$E:$E, MATCH($A95, 'UA-normalized'!$A:$A, 0))&gt;0, -(18*INDEX('UA-normalized'!$D:$D, MATCH($A95, 'UA-normalized'!$A:$A, 0))-INDEX('UA-normalized'!$E:$E, MATCH($A95, 'UA-normalized'!$A:$A, 0))), 0), 0))+(IFERROR(IF(18*INDEX('KZ-normalized'!$D:$D, MATCH($A95, 'KZ-normalized'!$A:$A, 0))-INDEX('KZ-normalized'!$E:$E, MATCH($A95, 'KZ-normalized'!$A:$A, 0))&gt;0, -(18*INDEX('KZ-normalized'!$D:$D, MATCH($A95, 'KZ-normalized'!$A:$A, 0))-INDEX('KZ-normalized'!$E:$E, MATCH($A95, 'KZ-normalized'!$A:$A, 0))), 0), 0))+(IFERROR(IF(18*INDEX('UZ-normalized'!$D:$D, MATCH($A95, 'UZ-normalized'!$A:$A, 0))-INDEX('UZ-normalized'!$E:$E, MATCH($A95, 'UZ-normalized'!$A:$A, 0))&gt;0, -(18*INDEX('UZ-normalized'!$D:$D, MATCH($A95, 'UZ-normalized'!$A:$A, 0))-INDEX('UZ-normalized'!$E:$E, MATCH($A95, 'UZ-normalized'!$A:$A, 0))), 0), 0)))</f>
        <v>-78.8</v>
      </c>
      <c r="AG95" s="6">
        <f>MIN(0, N95+(IFERROR(IF(19*INDEX('UA-normalized'!$D:$D, MATCH($A95, 'UA-normalized'!$A:$A, 0))-INDEX('UA-normalized'!$E:$E, MATCH($A95, 'UA-normalized'!$A:$A, 0))&gt;0, -(19*INDEX('UA-normalized'!$D:$D, MATCH($A95, 'UA-normalized'!$A:$A, 0))-INDEX('UA-normalized'!$E:$E, MATCH($A95, 'UA-normalized'!$A:$A, 0))), 0), 0))+(IFERROR(IF(19*INDEX('KZ-normalized'!$D:$D, MATCH($A95, 'KZ-normalized'!$A:$A, 0))-INDEX('KZ-normalized'!$E:$E, MATCH($A95, 'KZ-normalized'!$A:$A, 0))&gt;0, -(19*INDEX('KZ-normalized'!$D:$D, MATCH($A95, 'KZ-normalized'!$A:$A, 0))-INDEX('KZ-normalized'!$E:$E, MATCH($A95, 'KZ-normalized'!$A:$A, 0))), 0), 0))+(IFERROR(IF(19*INDEX('UZ-normalized'!$D:$D, MATCH($A95, 'UZ-normalized'!$A:$A, 0))-INDEX('UZ-normalized'!$E:$E, MATCH($A95, 'UZ-normalized'!$A:$A, 0))&gt;0, -(19*INDEX('UZ-normalized'!$D:$D, MATCH($A95, 'UZ-normalized'!$A:$A, 0))-INDEX('UZ-normalized'!$E:$E, MATCH($A95, 'UZ-normalized'!$A:$A, 0))), 0), 0)))</f>
        <v>-85.399999999999991</v>
      </c>
      <c r="AH95" s="6">
        <f>MIN(0, N95+(IFERROR(IF(20*INDEX('UA-normalized'!$D:$D, MATCH($A95, 'UA-normalized'!$A:$A, 0))-INDEX('UA-normalized'!$E:$E, MATCH($A95, 'UA-normalized'!$A:$A, 0))&gt;0, -(20*INDEX('UA-normalized'!$D:$D, MATCH($A95, 'UA-normalized'!$A:$A, 0))-INDEX('UA-normalized'!$E:$E, MATCH($A95, 'UA-normalized'!$A:$A, 0))), 0), 0))+(IFERROR(IF(20*INDEX('KZ-normalized'!$D:$D, MATCH($A95, 'KZ-normalized'!$A:$A, 0))-INDEX('KZ-normalized'!$E:$E, MATCH($A95, 'KZ-normalized'!$A:$A, 0))&gt;0, -(20*INDEX('KZ-normalized'!$D:$D, MATCH($A95, 'KZ-normalized'!$A:$A, 0))-INDEX('KZ-normalized'!$E:$E, MATCH($A95, 'KZ-normalized'!$A:$A, 0))), 0), 0))+(IFERROR(IF(20*INDEX('UZ-normalized'!$D:$D, MATCH($A95, 'UZ-normalized'!$A:$A, 0))-INDEX('UZ-normalized'!$E:$E, MATCH($A95, 'UZ-normalized'!$A:$A, 0))&gt;0, -(20*INDEX('UZ-normalized'!$D:$D, MATCH($A95, 'UZ-normalized'!$A:$A, 0))-INDEX('UZ-normalized'!$E:$E, MATCH($A95, 'UZ-normalized'!$A:$A, 0))), 0), 0)))</f>
        <v>-92</v>
      </c>
      <c r="AI95" s="6">
        <f>MIN(0, N95+(IFERROR(IF(21*INDEX('UA-normalized'!$D:$D, MATCH($A95, 'UA-normalized'!$A:$A, 0))-INDEX('UA-normalized'!$E:$E, MATCH($A95, 'UA-normalized'!$A:$A, 0))&gt;0, -(21*INDEX('UA-normalized'!$D:$D, MATCH($A95, 'UA-normalized'!$A:$A, 0))-INDEX('UA-normalized'!$E:$E, MATCH($A95, 'UA-normalized'!$A:$A, 0))), 0), 0))+(IFERROR(IF(21*INDEX('KZ-normalized'!$D:$D, MATCH($A95, 'KZ-normalized'!$A:$A, 0))-INDEX('KZ-normalized'!$E:$E, MATCH($A95, 'KZ-normalized'!$A:$A, 0))&gt;0, -(21*INDEX('KZ-normalized'!$D:$D, MATCH($A95, 'KZ-normalized'!$A:$A, 0))-INDEX('KZ-normalized'!$E:$E, MATCH($A95, 'KZ-normalized'!$A:$A, 0))), 0), 0))+(IFERROR(IF(21*INDEX('UZ-normalized'!$D:$D, MATCH($A95, 'UZ-normalized'!$A:$A, 0))-INDEX('UZ-normalized'!$E:$E, MATCH($A95, 'UZ-normalized'!$A:$A, 0))&gt;0, -(21*INDEX('UZ-normalized'!$D:$D, MATCH($A95, 'UZ-normalized'!$A:$A, 0))-INDEX('UZ-normalized'!$E:$E, MATCH($A95, 'UZ-normalized'!$A:$A, 0))), 0), 0)))</f>
        <v>-98.6</v>
      </c>
      <c r="AJ95" s="6">
        <f>MIN(0, N95+(IFERROR(IF(22*INDEX('UA-normalized'!$D:$D, MATCH($A95, 'UA-normalized'!$A:$A, 0))-INDEX('UA-normalized'!$E:$E, MATCH($A95, 'UA-normalized'!$A:$A, 0))&gt;0, -(22*INDEX('UA-normalized'!$D:$D, MATCH($A95, 'UA-normalized'!$A:$A, 0))-INDEX('UA-normalized'!$E:$E, MATCH($A95, 'UA-normalized'!$A:$A, 0))), 0), 0))+(IFERROR(IF(22*INDEX('KZ-normalized'!$D:$D, MATCH($A95, 'KZ-normalized'!$A:$A, 0))-INDEX('KZ-normalized'!$E:$E, MATCH($A95, 'KZ-normalized'!$A:$A, 0))&gt;0, -(22*INDEX('KZ-normalized'!$D:$D, MATCH($A95, 'KZ-normalized'!$A:$A, 0))-INDEX('KZ-normalized'!$E:$E, MATCH($A95, 'KZ-normalized'!$A:$A, 0))), 0), 0))+(IFERROR(IF(22*INDEX('UZ-normalized'!$D:$D, MATCH($A95, 'UZ-normalized'!$A:$A, 0))-INDEX('UZ-normalized'!$E:$E, MATCH($A95, 'UZ-normalized'!$A:$A, 0))&gt;0, -(22*INDEX('UZ-normalized'!$D:$D, MATCH($A95, 'UZ-normalized'!$A:$A, 0))-INDEX('UZ-normalized'!$E:$E, MATCH($A95, 'UZ-normalized'!$A:$A, 0))), 0), 0)))</f>
        <v>-105.19999999999999</v>
      </c>
      <c r="AK95" s="6">
        <f>MIN(0, N95+(IFERROR(IF(23*INDEX('UA-normalized'!$D:$D, MATCH($A95, 'UA-normalized'!$A:$A, 0))-INDEX('UA-normalized'!$E:$E, MATCH($A95, 'UA-normalized'!$A:$A, 0))&gt;0, -(23*INDEX('UA-normalized'!$D:$D, MATCH($A95, 'UA-normalized'!$A:$A, 0))-INDEX('UA-normalized'!$E:$E, MATCH($A95, 'UA-normalized'!$A:$A, 0))), 0), 0))+(IFERROR(IF(23*INDEX('KZ-normalized'!$D:$D, MATCH($A95, 'KZ-normalized'!$A:$A, 0))-INDEX('KZ-normalized'!$E:$E, MATCH($A95, 'KZ-normalized'!$A:$A, 0))&gt;0, -(23*INDEX('KZ-normalized'!$D:$D, MATCH($A95, 'KZ-normalized'!$A:$A, 0))-INDEX('KZ-normalized'!$E:$E, MATCH($A95, 'KZ-normalized'!$A:$A, 0))), 0), 0))+(IFERROR(IF(23*INDEX('UZ-normalized'!$D:$D, MATCH($A95, 'UZ-normalized'!$A:$A, 0))-INDEX('UZ-normalized'!$E:$E, MATCH($A95, 'UZ-normalized'!$A:$A, 0))&gt;0, -(23*INDEX('UZ-normalized'!$D:$D, MATCH($A95, 'UZ-normalized'!$A:$A, 0))-INDEX('UZ-normalized'!$E:$E, MATCH($A95, 'UZ-normalized'!$A:$A, 0))), 0), 0)))</f>
        <v>-111.79999999999998</v>
      </c>
      <c r="AL95" s="6">
        <f>MIN(0, N95+(IFERROR(IF(24*INDEX('UA-normalized'!$D:$D, MATCH($A95, 'UA-normalized'!$A:$A, 0))-INDEX('UA-normalized'!$E:$E, MATCH($A95, 'UA-normalized'!$A:$A, 0))&gt;0, -(24*INDEX('UA-normalized'!$D:$D, MATCH($A95, 'UA-normalized'!$A:$A, 0))-INDEX('UA-normalized'!$E:$E, MATCH($A95, 'UA-normalized'!$A:$A, 0))), 0), 0))+(IFERROR(IF(24*INDEX('KZ-normalized'!$D:$D, MATCH($A95, 'KZ-normalized'!$A:$A, 0))-INDEX('KZ-normalized'!$E:$E, MATCH($A95, 'KZ-normalized'!$A:$A, 0))&gt;0, -(24*INDEX('KZ-normalized'!$D:$D, MATCH($A95, 'KZ-normalized'!$A:$A, 0))-INDEX('KZ-normalized'!$E:$E, MATCH($A95, 'KZ-normalized'!$A:$A, 0))), 0), 0))+(IFERROR(IF(24*INDEX('UZ-normalized'!$D:$D, MATCH($A95, 'UZ-normalized'!$A:$A, 0))-INDEX('UZ-normalized'!$E:$E, MATCH($A95, 'UZ-normalized'!$A:$A, 0))&gt;0, -(24*INDEX('UZ-normalized'!$D:$D, MATCH($A95, 'UZ-normalized'!$A:$A, 0))-INDEX('UZ-normalized'!$E:$E, MATCH($A95, 'UZ-normalized'!$A:$A, 0))), 0), 0)))</f>
        <v>-118.39999999999998</v>
      </c>
      <c r="AM95" s="6">
        <f>MIN(0, N95+(IFERROR(IF(25*INDEX('UA-normalized'!$D:$D, MATCH($A95, 'UA-normalized'!$A:$A, 0))-INDEX('UA-normalized'!$E:$E, MATCH($A95, 'UA-normalized'!$A:$A, 0))&gt;0, -(25*INDEX('UA-normalized'!$D:$D, MATCH($A95, 'UA-normalized'!$A:$A, 0))-INDEX('UA-normalized'!$E:$E, MATCH($A95, 'UA-normalized'!$A:$A, 0))), 0), 0))+(IFERROR(IF(25*INDEX('KZ-normalized'!$D:$D, MATCH($A95, 'KZ-normalized'!$A:$A, 0))-INDEX('KZ-normalized'!$E:$E, MATCH($A95, 'KZ-normalized'!$A:$A, 0))&gt;0, -(25*INDEX('KZ-normalized'!$D:$D, MATCH($A95, 'KZ-normalized'!$A:$A, 0))-INDEX('KZ-normalized'!$E:$E, MATCH($A95, 'KZ-normalized'!$A:$A, 0))), 0), 0))+(IFERROR(IF(25*INDEX('UZ-normalized'!$D:$D, MATCH($A95, 'UZ-normalized'!$A:$A, 0))-INDEX('UZ-normalized'!$E:$E, MATCH($A95, 'UZ-normalized'!$A:$A, 0))&gt;0, -(25*INDEX('UZ-normalized'!$D:$D, MATCH($A95, 'UZ-normalized'!$A:$A, 0))-INDEX('UZ-normalized'!$E:$E, MATCH($A95, 'UZ-normalized'!$A:$A, 0))), 0), 0)))</f>
        <v>-125</v>
      </c>
      <c r="AN95" s="6">
        <f>MIN(0, N95+(IFERROR(IF(26*INDEX('UA-normalized'!$D:$D, MATCH($A95, 'UA-normalized'!$A:$A, 0))-INDEX('UA-normalized'!$E:$E, MATCH($A95, 'UA-normalized'!$A:$A, 0))&gt;0, -(26*INDEX('UA-normalized'!$D:$D, MATCH($A95, 'UA-normalized'!$A:$A, 0))-INDEX('UA-normalized'!$E:$E, MATCH($A95, 'UA-normalized'!$A:$A, 0))), 0), 0))+(IFERROR(IF(26*INDEX('KZ-normalized'!$D:$D, MATCH($A95, 'KZ-normalized'!$A:$A, 0))-INDEX('KZ-normalized'!$E:$E, MATCH($A95, 'KZ-normalized'!$A:$A, 0))&gt;0, -(26*INDEX('KZ-normalized'!$D:$D, MATCH($A95, 'KZ-normalized'!$A:$A, 0))-INDEX('KZ-normalized'!$E:$E, MATCH($A95, 'KZ-normalized'!$A:$A, 0))), 0), 0))+(IFERROR(IF(26*INDEX('UZ-normalized'!$D:$D, MATCH($A95, 'UZ-normalized'!$A:$A, 0))-INDEX('UZ-normalized'!$E:$E, MATCH($A95, 'UZ-normalized'!$A:$A, 0))&gt;0, -(26*INDEX('UZ-normalized'!$D:$D, MATCH($A95, 'UZ-normalized'!$A:$A, 0))-INDEX('UZ-normalized'!$E:$E, MATCH($A95, 'UZ-normalized'!$A:$A, 0))), 0), 0)))</f>
        <v>-131.6</v>
      </c>
      <c r="AO95" s="6">
        <f>MIN(0, N95+(IFERROR(IF(27*INDEX('UA-normalized'!$D:$D, MATCH($A95, 'UA-normalized'!$A:$A, 0))-INDEX('UA-normalized'!$E:$E, MATCH($A95, 'UA-normalized'!$A:$A, 0))&gt;0, -(27*INDEX('UA-normalized'!$D:$D, MATCH($A95, 'UA-normalized'!$A:$A, 0))-INDEX('UA-normalized'!$E:$E, MATCH($A95, 'UA-normalized'!$A:$A, 0))), 0), 0))+(IFERROR(IF(27*INDEX('KZ-normalized'!$D:$D, MATCH($A95, 'KZ-normalized'!$A:$A, 0))-INDEX('KZ-normalized'!$E:$E, MATCH($A95, 'KZ-normalized'!$A:$A, 0))&gt;0, -(27*INDEX('KZ-normalized'!$D:$D, MATCH($A95, 'KZ-normalized'!$A:$A, 0))-INDEX('KZ-normalized'!$E:$E, MATCH($A95, 'KZ-normalized'!$A:$A, 0))), 0), 0))+(IFERROR(IF(27*INDEX('UZ-normalized'!$D:$D, MATCH($A95, 'UZ-normalized'!$A:$A, 0))-INDEX('UZ-normalized'!$E:$E, MATCH($A95, 'UZ-normalized'!$A:$A, 0))&gt;0, -(27*INDEX('UZ-normalized'!$D:$D, MATCH($A95, 'UZ-normalized'!$A:$A, 0))-INDEX('UZ-normalized'!$E:$E, MATCH($A95, 'UZ-normalized'!$A:$A, 0))), 0), 0)))</f>
        <v>-138.19999999999999</v>
      </c>
      <c r="AP95" s="6">
        <f>MIN(0, N95+(IFERROR(IF(28*INDEX('UA-normalized'!$D:$D, MATCH($A95, 'UA-normalized'!$A:$A, 0))-INDEX('UA-normalized'!$E:$E, MATCH($A95, 'UA-normalized'!$A:$A, 0))&gt;0, -(28*INDEX('UA-normalized'!$D:$D, MATCH($A95, 'UA-normalized'!$A:$A, 0))-INDEX('UA-normalized'!$E:$E, MATCH($A95, 'UA-normalized'!$A:$A, 0))), 0), 0))+(IFERROR(IF(28*INDEX('KZ-normalized'!$D:$D, MATCH($A95, 'KZ-normalized'!$A:$A, 0))-INDEX('KZ-normalized'!$E:$E, MATCH($A95, 'KZ-normalized'!$A:$A, 0))&gt;0, -(28*INDEX('KZ-normalized'!$D:$D, MATCH($A95, 'KZ-normalized'!$A:$A, 0))-INDEX('KZ-normalized'!$E:$E, MATCH($A95, 'KZ-normalized'!$A:$A, 0))), 0), 0))+(IFERROR(IF(28*INDEX('UZ-normalized'!$D:$D, MATCH($A95, 'UZ-normalized'!$A:$A, 0))-INDEX('UZ-normalized'!$E:$E, MATCH($A95, 'UZ-normalized'!$A:$A, 0))&gt;0, -(28*INDEX('UZ-normalized'!$D:$D, MATCH($A95, 'UZ-normalized'!$A:$A, 0))-INDEX('UZ-normalized'!$E:$E, MATCH($A95, 'UZ-normalized'!$A:$A, 0))), 0), 0)))</f>
        <v>-144.79999999999998</v>
      </c>
      <c r="AQ95" s="6">
        <f>MIN(0, N95+(IFERROR(IF(29*INDEX('UA-normalized'!$D:$D, MATCH($A95, 'UA-normalized'!$A:$A, 0))-INDEX('UA-normalized'!$E:$E, MATCH($A95, 'UA-normalized'!$A:$A, 0))&gt;0, -(29*INDEX('UA-normalized'!$D:$D, MATCH($A95, 'UA-normalized'!$A:$A, 0))-INDEX('UA-normalized'!$E:$E, MATCH($A95, 'UA-normalized'!$A:$A, 0))), 0), 0))+(IFERROR(IF(29*INDEX('KZ-normalized'!$D:$D, MATCH($A95, 'KZ-normalized'!$A:$A, 0))-INDEX('KZ-normalized'!$E:$E, MATCH($A95, 'KZ-normalized'!$A:$A, 0))&gt;0, -(29*INDEX('KZ-normalized'!$D:$D, MATCH($A95, 'KZ-normalized'!$A:$A, 0))-INDEX('KZ-normalized'!$E:$E, MATCH($A95, 'KZ-normalized'!$A:$A, 0))), 0), 0))+(IFERROR(IF(29*INDEX('UZ-normalized'!$D:$D, MATCH($A95, 'UZ-normalized'!$A:$A, 0))-INDEX('UZ-normalized'!$E:$E, MATCH($A95, 'UZ-normalized'!$A:$A, 0))&gt;0, -(29*INDEX('UZ-normalized'!$D:$D, MATCH($A95, 'UZ-normalized'!$A:$A, 0))-INDEX('UZ-normalized'!$E:$E, MATCH($A95, 'UZ-normalized'!$A:$A, 0))), 0), 0)))</f>
        <v>-151.39999999999998</v>
      </c>
      <c r="AR95" s="6">
        <f>MIN(0, N95+(IFERROR(IF(30*INDEX('UA-normalized'!$D:$D, MATCH($A95, 'UA-normalized'!$A:$A, 0))-INDEX('UA-normalized'!$E:$E, MATCH($A95, 'UA-normalized'!$A:$A, 0))&gt;0, -(30*INDEX('UA-normalized'!$D:$D, MATCH($A95, 'UA-normalized'!$A:$A, 0))-INDEX('UA-normalized'!$E:$E, MATCH($A95, 'UA-normalized'!$A:$A, 0))), 0), 0))+(IFERROR(IF(30*INDEX('KZ-normalized'!$D:$D, MATCH($A95, 'KZ-normalized'!$A:$A, 0))-INDEX('KZ-normalized'!$E:$E, MATCH($A95, 'KZ-normalized'!$A:$A, 0))&gt;0, -(30*INDEX('KZ-normalized'!$D:$D, MATCH($A95, 'KZ-normalized'!$A:$A, 0))-INDEX('KZ-normalized'!$E:$E, MATCH($A95, 'KZ-normalized'!$A:$A, 0))), 0), 0))+(IFERROR(IF(30*INDEX('UZ-normalized'!$D:$D, MATCH($A95, 'UZ-normalized'!$A:$A, 0))-INDEX('UZ-normalized'!$E:$E, MATCH($A95, 'UZ-normalized'!$A:$A, 0))&gt;0, -(30*INDEX('UZ-normalized'!$D:$D, MATCH($A95, 'UZ-normalized'!$A:$A, 0))-INDEX('UZ-normalized'!$E:$E, MATCH($A95, 'UZ-normalized'!$A:$A, 0))), 0), 0)))</f>
        <v>-158</v>
      </c>
    </row>
    <row r="96" spans="1:44" x14ac:dyDescent="0.25">
      <c r="A96" s="8" t="s">
        <v>243</v>
      </c>
      <c r="B96" s="8" t="s">
        <v>180</v>
      </c>
      <c r="C96" s="8" t="s">
        <v>235</v>
      </c>
      <c r="D96" s="8" t="s">
        <v>244</v>
      </c>
      <c r="G96">
        <v>-30</v>
      </c>
      <c r="N96">
        <f t="shared" si="1"/>
        <v>-30</v>
      </c>
      <c r="O96" s="6">
        <f>MIN(0, N96+(IFERROR(IF(1*INDEX('UA-normalized'!$D:$D, MATCH($A96, 'UA-normalized'!$A:$A, 0))-INDEX('UA-normalized'!$E:$E, MATCH($A96, 'UA-normalized'!$A:$A, 0))&gt;0, -(1*INDEX('UA-normalized'!$D:$D, MATCH($A96, 'UA-normalized'!$A:$A, 0))-INDEX('UA-normalized'!$E:$E, MATCH($A96, 'UA-normalized'!$A:$A, 0))), 0), 0))+(IFERROR(IF(1*INDEX('KZ-normalized'!$D:$D, MATCH($A96, 'KZ-normalized'!$A:$A, 0))-INDEX('KZ-normalized'!$E:$E, MATCH($A96, 'KZ-normalized'!$A:$A, 0))&gt;0, -(1*INDEX('KZ-normalized'!$D:$D, MATCH($A96, 'KZ-normalized'!$A:$A, 0))-INDEX('KZ-normalized'!$E:$E, MATCH($A96, 'KZ-normalized'!$A:$A, 0))), 0), 0))+(IFERROR(IF(1*INDEX('UZ-normalized'!$D:$D, MATCH($A96, 'UZ-normalized'!$A:$A, 0))-INDEX('UZ-normalized'!$E:$E, MATCH($A96, 'UZ-normalized'!$A:$A, 0))&gt;0, -(1*INDEX('UZ-normalized'!$D:$D, MATCH($A96, 'UZ-normalized'!$A:$A, 0))-INDEX('UZ-normalized'!$E:$E, MATCH($A96, 'UZ-normalized'!$A:$A, 0))), 0), 0)))</f>
        <v>-30</v>
      </c>
      <c r="P96" s="6">
        <f>MIN(0, N96+(IFERROR(IF(2*INDEX('UA-normalized'!$D:$D, MATCH($A96, 'UA-normalized'!$A:$A, 0))-INDEX('UA-normalized'!$E:$E, MATCH($A96, 'UA-normalized'!$A:$A, 0))&gt;0, -(2*INDEX('UA-normalized'!$D:$D, MATCH($A96, 'UA-normalized'!$A:$A, 0))-INDEX('UA-normalized'!$E:$E, MATCH($A96, 'UA-normalized'!$A:$A, 0))), 0), 0))+(IFERROR(IF(2*INDEX('KZ-normalized'!$D:$D, MATCH($A96, 'KZ-normalized'!$A:$A, 0))-INDEX('KZ-normalized'!$E:$E, MATCH($A96, 'KZ-normalized'!$A:$A, 0))&gt;0, -(2*INDEX('KZ-normalized'!$D:$D, MATCH($A96, 'KZ-normalized'!$A:$A, 0))-INDEX('KZ-normalized'!$E:$E, MATCH($A96, 'KZ-normalized'!$A:$A, 0))), 0), 0))+(IFERROR(IF(2*INDEX('UZ-normalized'!$D:$D, MATCH($A96, 'UZ-normalized'!$A:$A, 0))-INDEX('UZ-normalized'!$E:$E, MATCH($A96, 'UZ-normalized'!$A:$A, 0))&gt;0, -(2*INDEX('UZ-normalized'!$D:$D, MATCH($A96, 'UZ-normalized'!$A:$A, 0))-INDEX('UZ-normalized'!$E:$E, MATCH($A96, 'UZ-normalized'!$A:$A, 0))), 0), 0)))</f>
        <v>-30</v>
      </c>
      <c r="Q96" s="6">
        <f>MIN(0, N96+(IFERROR(IF(3*INDEX('UA-normalized'!$D:$D, MATCH($A96, 'UA-normalized'!$A:$A, 0))-INDEX('UA-normalized'!$E:$E, MATCH($A96, 'UA-normalized'!$A:$A, 0))&gt;0, -(3*INDEX('UA-normalized'!$D:$D, MATCH($A96, 'UA-normalized'!$A:$A, 0))-INDEX('UA-normalized'!$E:$E, MATCH($A96, 'UA-normalized'!$A:$A, 0))), 0), 0))+(IFERROR(IF(3*INDEX('KZ-normalized'!$D:$D, MATCH($A96, 'KZ-normalized'!$A:$A, 0))-INDEX('KZ-normalized'!$E:$E, MATCH($A96, 'KZ-normalized'!$A:$A, 0))&gt;0, -(3*INDEX('KZ-normalized'!$D:$D, MATCH($A96, 'KZ-normalized'!$A:$A, 0))-INDEX('KZ-normalized'!$E:$E, MATCH($A96, 'KZ-normalized'!$A:$A, 0))), 0), 0))+(IFERROR(IF(3*INDEX('UZ-normalized'!$D:$D, MATCH($A96, 'UZ-normalized'!$A:$A, 0))-INDEX('UZ-normalized'!$E:$E, MATCH($A96, 'UZ-normalized'!$A:$A, 0))&gt;0, -(3*INDEX('UZ-normalized'!$D:$D, MATCH($A96, 'UZ-normalized'!$A:$A, 0))-INDEX('UZ-normalized'!$E:$E, MATCH($A96, 'UZ-normalized'!$A:$A, 0))), 0), 0)))</f>
        <v>-30</v>
      </c>
      <c r="R96" s="6">
        <f>MIN(0, N96+(IFERROR(IF(4*INDEX('UA-normalized'!$D:$D, MATCH($A96, 'UA-normalized'!$A:$A, 0))-INDEX('UA-normalized'!$E:$E, MATCH($A96, 'UA-normalized'!$A:$A, 0))&gt;0, -(4*INDEX('UA-normalized'!$D:$D, MATCH($A96, 'UA-normalized'!$A:$A, 0))-INDEX('UA-normalized'!$E:$E, MATCH($A96, 'UA-normalized'!$A:$A, 0))), 0), 0))+(IFERROR(IF(4*INDEX('KZ-normalized'!$D:$D, MATCH($A96, 'KZ-normalized'!$A:$A, 0))-INDEX('KZ-normalized'!$E:$E, MATCH($A96, 'KZ-normalized'!$A:$A, 0))&gt;0, -(4*INDEX('KZ-normalized'!$D:$D, MATCH($A96, 'KZ-normalized'!$A:$A, 0))-INDEX('KZ-normalized'!$E:$E, MATCH($A96, 'KZ-normalized'!$A:$A, 0))), 0), 0))+(IFERROR(IF(4*INDEX('UZ-normalized'!$D:$D, MATCH($A96, 'UZ-normalized'!$A:$A, 0))-INDEX('UZ-normalized'!$E:$E, MATCH($A96, 'UZ-normalized'!$A:$A, 0))&gt;0, -(4*INDEX('UZ-normalized'!$D:$D, MATCH($A96, 'UZ-normalized'!$A:$A, 0))-INDEX('UZ-normalized'!$E:$E, MATCH($A96, 'UZ-normalized'!$A:$A, 0))), 0), 0)))</f>
        <v>-30</v>
      </c>
      <c r="S96" s="6">
        <f>MIN(0, N96+(IFERROR(IF(5*INDEX('UA-normalized'!$D:$D, MATCH($A96, 'UA-normalized'!$A:$A, 0))-INDEX('UA-normalized'!$E:$E, MATCH($A96, 'UA-normalized'!$A:$A, 0))&gt;0, -(5*INDEX('UA-normalized'!$D:$D, MATCH($A96, 'UA-normalized'!$A:$A, 0))-INDEX('UA-normalized'!$E:$E, MATCH($A96, 'UA-normalized'!$A:$A, 0))), 0), 0))+(IFERROR(IF(5*INDEX('KZ-normalized'!$D:$D, MATCH($A96, 'KZ-normalized'!$A:$A, 0))-INDEX('KZ-normalized'!$E:$E, MATCH($A96, 'KZ-normalized'!$A:$A, 0))&gt;0, -(5*INDEX('KZ-normalized'!$D:$D, MATCH($A96, 'KZ-normalized'!$A:$A, 0))-INDEX('KZ-normalized'!$E:$E, MATCH($A96, 'KZ-normalized'!$A:$A, 0))), 0), 0))+(IFERROR(IF(5*INDEX('UZ-normalized'!$D:$D, MATCH($A96, 'UZ-normalized'!$A:$A, 0))-INDEX('UZ-normalized'!$E:$E, MATCH($A96, 'UZ-normalized'!$A:$A, 0))&gt;0, -(5*INDEX('UZ-normalized'!$D:$D, MATCH($A96, 'UZ-normalized'!$A:$A, 0))-INDEX('UZ-normalized'!$E:$E, MATCH($A96, 'UZ-normalized'!$A:$A, 0))), 0), 0)))</f>
        <v>-30</v>
      </c>
      <c r="T96" s="6">
        <f>MIN(0, N96+(IFERROR(IF(6*INDEX('UA-normalized'!$D:$D, MATCH($A96, 'UA-normalized'!$A:$A, 0))-INDEX('UA-normalized'!$E:$E, MATCH($A96, 'UA-normalized'!$A:$A, 0))&gt;0, -(6*INDEX('UA-normalized'!$D:$D, MATCH($A96, 'UA-normalized'!$A:$A, 0))-INDEX('UA-normalized'!$E:$E, MATCH($A96, 'UA-normalized'!$A:$A, 0))), 0), 0))+(IFERROR(IF(6*INDEX('KZ-normalized'!$D:$D, MATCH($A96, 'KZ-normalized'!$A:$A, 0))-INDEX('KZ-normalized'!$E:$E, MATCH($A96, 'KZ-normalized'!$A:$A, 0))&gt;0, -(6*INDEX('KZ-normalized'!$D:$D, MATCH($A96, 'KZ-normalized'!$A:$A, 0))-INDEX('KZ-normalized'!$E:$E, MATCH($A96, 'KZ-normalized'!$A:$A, 0))), 0), 0))+(IFERROR(IF(6*INDEX('UZ-normalized'!$D:$D, MATCH($A96, 'UZ-normalized'!$A:$A, 0))-INDEX('UZ-normalized'!$E:$E, MATCH($A96, 'UZ-normalized'!$A:$A, 0))&gt;0, -(6*INDEX('UZ-normalized'!$D:$D, MATCH($A96, 'UZ-normalized'!$A:$A, 0))-INDEX('UZ-normalized'!$E:$E, MATCH($A96, 'UZ-normalized'!$A:$A, 0))), 0), 0)))</f>
        <v>-43</v>
      </c>
      <c r="U96" s="6">
        <f>MIN(0, N96+(IFERROR(IF(7*INDEX('UA-normalized'!$D:$D, MATCH($A96, 'UA-normalized'!$A:$A, 0))-INDEX('UA-normalized'!$E:$E, MATCH($A96, 'UA-normalized'!$A:$A, 0))&gt;0, -(7*INDEX('UA-normalized'!$D:$D, MATCH($A96, 'UA-normalized'!$A:$A, 0))-INDEX('UA-normalized'!$E:$E, MATCH($A96, 'UA-normalized'!$A:$A, 0))), 0), 0))+(IFERROR(IF(7*INDEX('KZ-normalized'!$D:$D, MATCH($A96, 'KZ-normalized'!$A:$A, 0))-INDEX('KZ-normalized'!$E:$E, MATCH($A96, 'KZ-normalized'!$A:$A, 0))&gt;0, -(7*INDEX('KZ-normalized'!$D:$D, MATCH($A96, 'KZ-normalized'!$A:$A, 0))-INDEX('KZ-normalized'!$E:$E, MATCH($A96, 'KZ-normalized'!$A:$A, 0))), 0), 0))+(IFERROR(IF(7*INDEX('UZ-normalized'!$D:$D, MATCH($A96, 'UZ-normalized'!$A:$A, 0))-INDEX('UZ-normalized'!$E:$E, MATCH($A96, 'UZ-normalized'!$A:$A, 0))&gt;0, -(7*INDEX('UZ-normalized'!$D:$D, MATCH($A96, 'UZ-normalized'!$A:$A, 0))-INDEX('UZ-normalized'!$E:$E, MATCH($A96, 'UZ-normalized'!$A:$A, 0))), 0), 0)))</f>
        <v>-64</v>
      </c>
      <c r="V96" s="6">
        <f>MIN(0, N96+(IFERROR(IF(8*INDEX('UA-normalized'!$D:$D, MATCH($A96, 'UA-normalized'!$A:$A, 0))-INDEX('UA-normalized'!$E:$E, MATCH($A96, 'UA-normalized'!$A:$A, 0))&gt;0, -(8*INDEX('UA-normalized'!$D:$D, MATCH($A96, 'UA-normalized'!$A:$A, 0))-INDEX('UA-normalized'!$E:$E, MATCH($A96, 'UA-normalized'!$A:$A, 0))), 0), 0))+(IFERROR(IF(8*INDEX('KZ-normalized'!$D:$D, MATCH($A96, 'KZ-normalized'!$A:$A, 0))-INDEX('KZ-normalized'!$E:$E, MATCH($A96, 'KZ-normalized'!$A:$A, 0))&gt;0, -(8*INDEX('KZ-normalized'!$D:$D, MATCH($A96, 'KZ-normalized'!$A:$A, 0))-INDEX('KZ-normalized'!$E:$E, MATCH($A96, 'KZ-normalized'!$A:$A, 0))), 0), 0))+(IFERROR(IF(8*INDEX('UZ-normalized'!$D:$D, MATCH($A96, 'UZ-normalized'!$A:$A, 0))-INDEX('UZ-normalized'!$E:$E, MATCH($A96, 'UZ-normalized'!$A:$A, 0))&gt;0, -(8*INDEX('UZ-normalized'!$D:$D, MATCH($A96, 'UZ-normalized'!$A:$A, 0))-INDEX('UZ-normalized'!$E:$E, MATCH($A96, 'UZ-normalized'!$A:$A, 0))), 0), 0)))</f>
        <v>-85</v>
      </c>
      <c r="W96" s="6">
        <f>MIN(0, N96+(IFERROR(IF(9*INDEX('UA-normalized'!$D:$D, MATCH($A96, 'UA-normalized'!$A:$A, 0))-INDEX('UA-normalized'!$E:$E, MATCH($A96, 'UA-normalized'!$A:$A, 0))&gt;0, -(9*INDEX('UA-normalized'!$D:$D, MATCH($A96, 'UA-normalized'!$A:$A, 0))-INDEX('UA-normalized'!$E:$E, MATCH($A96, 'UA-normalized'!$A:$A, 0))), 0), 0))+(IFERROR(IF(9*INDEX('KZ-normalized'!$D:$D, MATCH($A96, 'KZ-normalized'!$A:$A, 0))-INDEX('KZ-normalized'!$E:$E, MATCH($A96, 'KZ-normalized'!$A:$A, 0))&gt;0, -(9*INDEX('KZ-normalized'!$D:$D, MATCH($A96, 'KZ-normalized'!$A:$A, 0))-INDEX('KZ-normalized'!$E:$E, MATCH($A96, 'KZ-normalized'!$A:$A, 0))), 0), 0))+(IFERROR(IF(9*INDEX('UZ-normalized'!$D:$D, MATCH($A96, 'UZ-normalized'!$A:$A, 0))-INDEX('UZ-normalized'!$E:$E, MATCH($A96, 'UZ-normalized'!$A:$A, 0))&gt;0, -(9*INDEX('UZ-normalized'!$D:$D, MATCH($A96, 'UZ-normalized'!$A:$A, 0))-INDEX('UZ-normalized'!$E:$E, MATCH($A96, 'UZ-normalized'!$A:$A, 0))), 0), 0)))</f>
        <v>-106.7</v>
      </c>
      <c r="X96" s="6">
        <f>MIN(0, N96+(IFERROR(IF(10*INDEX('UA-normalized'!$D:$D, MATCH($A96, 'UA-normalized'!$A:$A, 0))-INDEX('UA-normalized'!$E:$E, MATCH($A96, 'UA-normalized'!$A:$A, 0))&gt;0, -(10*INDEX('UA-normalized'!$D:$D, MATCH($A96, 'UA-normalized'!$A:$A, 0))-INDEX('UA-normalized'!$E:$E, MATCH($A96, 'UA-normalized'!$A:$A, 0))), 0), 0))+(IFERROR(IF(10*INDEX('KZ-normalized'!$D:$D, MATCH($A96, 'KZ-normalized'!$A:$A, 0))-INDEX('KZ-normalized'!$E:$E, MATCH($A96, 'KZ-normalized'!$A:$A, 0))&gt;0, -(10*INDEX('KZ-normalized'!$D:$D, MATCH($A96, 'KZ-normalized'!$A:$A, 0))-INDEX('KZ-normalized'!$E:$E, MATCH($A96, 'KZ-normalized'!$A:$A, 0))), 0), 0))+(IFERROR(IF(10*INDEX('UZ-normalized'!$D:$D, MATCH($A96, 'UZ-normalized'!$A:$A, 0))-INDEX('UZ-normalized'!$E:$E, MATCH($A96, 'UZ-normalized'!$A:$A, 0))&gt;0, -(10*INDEX('UZ-normalized'!$D:$D, MATCH($A96, 'UZ-normalized'!$A:$A, 0))-INDEX('UZ-normalized'!$E:$E, MATCH($A96, 'UZ-normalized'!$A:$A, 0))), 0), 0)))</f>
        <v>-135</v>
      </c>
      <c r="Y96" s="6">
        <f>MIN(0, N96+(IFERROR(IF(11*INDEX('UA-normalized'!$D:$D, MATCH($A96, 'UA-normalized'!$A:$A, 0))-INDEX('UA-normalized'!$E:$E, MATCH($A96, 'UA-normalized'!$A:$A, 0))&gt;0, -(11*INDEX('UA-normalized'!$D:$D, MATCH($A96, 'UA-normalized'!$A:$A, 0))-INDEX('UA-normalized'!$E:$E, MATCH($A96, 'UA-normalized'!$A:$A, 0))), 0), 0))+(IFERROR(IF(11*INDEX('KZ-normalized'!$D:$D, MATCH($A96, 'KZ-normalized'!$A:$A, 0))-INDEX('KZ-normalized'!$E:$E, MATCH($A96, 'KZ-normalized'!$A:$A, 0))&gt;0, -(11*INDEX('KZ-normalized'!$D:$D, MATCH($A96, 'KZ-normalized'!$A:$A, 0))-INDEX('KZ-normalized'!$E:$E, MATCH($A96, 'KZ-normalized'!$A:$A, 0))), 0), 0))+(IFERROR(IF(11*INDEX('UZ-normalized'!$D:$D, MATCH($A96, 'UZ-normalized'!$A:$A, 0))-INDEX('UZ-normalized'!$E:$E, MATCH($A96, 'UZ-normalized'!$A:$A, 0))&gt;0, -(11*INDEX('UZ-normalized'!$D:$D, MATCH($A96, 'UZ-normalized'!$A:$A, 0))-INDEX('UZ-normalized'!$E:$E, MATCH($A96, 'UZ-normalized'!$A:$A, 0))), 0), 0)))</f>
        <v>-163.30000000000001</v>
      </c>
      <c r="Z96" s="6">
        <f>MIN(0, N96+(IFERROR(IF(12*INDEX('UA-normalized'!$D:$D, MATCH($A96, 'UA-normalized'!$A:$A, 0))-INDEX('UA-normalized'!$E:$E, MATCH($A96, 'UA-normalized'!$A:$A, 0))&gt;0, -(12*INDEX('UA-normalized'!$D:$D, MATCH($A96, 'UA-normalized'!$A:$A, 0))-INDEX('UA-normalized'!$E:$E, MATCH($A96, 'UA-normalized'!$A:$A, 0))), 0), 0))+(IFERROR(IF(12*INDEX('KZ-normalized'!$D:$D, MATCH($A96, 'KZ-normalized'!$A:$A, 0))-INDEX('KZ-normalized'!$E:$E, MATCH($A96, 'KZ-normalized'!$A:$A, 0))&gt;0, -(12*INDEX('KZ-normalized'!$D:$D, MATCH($A96, 'KZ-normalized'!$A:$A, 0))-INDEX('KZ-normalized'!$E:$E, MATCH($A96, 'KZ-normalized'!$A:$A, 0))), 0), 0))+(IFERROR(IF(12*INDEX('UZ-normalized'!$D:$D, MATCH($A96, 'UZ-normalized'!$A:$A, 0))-INDEX('UZ-normalized'!$E:$E, MATCH($A96, 'UZ-normalized'!$A:$A, 0))&gt;0, -(12*INDEX('UZ-normalized'!$D:$D, MATCH($A96, 'UZ-normalized'!$A:$A, 0))-INDEX('UZ-normalized'!$E:$E, MATCH($A96, 'UZ-normalized'!$A:$A, 0))), 0), 0)))</f>
        <v>-191.6</v>
      </c>
      <c r="AA96" s="6">
        <f>MIN(0, N96+(IFERROR(IF(13*INDEX('UA-normalized'!$D:$D, MATCH($A96, 'UA-normalized'!$A:$A, 0))-INDEX('UA-normalized'!$E:$E, MATCH($A96, 'UA-normalized'!$A:$A, 0))&gt;0, -(13*INDEX('UA-normalized'!$D:$D, MATCH($A96, 'UA-normalized'!$A:$A, 0))-INDEX('UA-normalized'!$E:$E, MATCH($A96, 'UA-normalized'!$A:$A, 0))), 0), 0))+(IFERROR(IF(13*INDEX('KZ-normalized'!$D:$D, MATCH($A96, 'KZ-normalized'!$A:$A, 0))-INDEX('KZ-normalized'!$E:$E, MATCH($A96, 'KZ-normalized'!$A:$A, 0))&gt;0, -(13*INDEX('KZ-normalized'!$D:$D, MATCH($A96, 'KZ-normalized'!$A:$A, 0))-INDEX('KZ-normalized'!$E:$E, MATCH($A96, 'KZ-normalized'!$A:$A, 0))), 0), 0))+(IFERROR(IF(13*INDEX('UZ-normalized'!$D:$D, MATCH($A96, 'UZ-normalized'!$A:$A, 0))-INDEX('UZ-normalized'!$E:$E, MATCH($A96, 'UZ-normalized'!$A:$A, 0))&gt;0, -(13*INDEX('UZ-normalized'!$D:$D, MATCH($A96, 'UZ-normalized'!$A:$A, 0))-INDEX('UZ-normalized'!$E:$E, MATCH($A96, 'UZ-normalized'!$A:$A, 0))), 0), 0)))</f>
        <v>-219.89999999999998</v>
      </c>
      <c r="AB96" s="6">
        <f>MIN(0, N96+(IFERROR(IF(14*INDEX('UA-normalized'!$D:$D, MATCH($A96, 'UA-normalized'!$A:$A, 0))-INDEX('UA-normalized'!$E:$E, MATCH($A96, 'UA-normalized'!$A:$A, 0))&gt;0, -(14*INDEX('UA-normalized'!$D:$D, MATCH($A96, 'UA-normalized'!$A:$A, 0))-INDEX('UA-normalized'!$E:$E, MATCH($A96, 'UA-normalized'!$A:$A, 0))), 0), 0))+(IFERROR(IF(14*INDEX('KZ-normalized'!$D:$D, MATCH($A96, 'KZ-normalized'!$A:$A, 0))-INDEX('KZ-normalized'!$E:$E, MATCH($A96, 'KZ-normalized'!$A:$A, 0))&gt;0, -(14*INDEX('KZ-normalized'!$D:$D, MATCH($A96, 'KZ-normalized'!$A:$A, 0))-INDEX('KZ-normalized'!$E:$E, MATCH($A96, 'KZ-normalized'!$A:$A, 0))), 0), 0))+(IFERROR(IF(14*INDEX('UZ-normalized'!$D:$D, MATCH($A96, 'UZ-normalized'!$A:$A, 0))-INDEX('UZ-normalized'!$E:$E, MATCH($A96, 'UZ-normalized'!$A:$A, 0))&gt;0, -(14*INDEX('UZ-normalized'!$D:$D, MATCH($A96, 'UZ-normalized'!$A:$A, 0))-INDEX('UZ-normalized'!$E:$E, MATCH($A96, 'UZ-normalized'!$A:$A, 0))), 0), 0)))</f>
        <v>-248.2</v>
      </c>
      <c r="AC96" s="6">
        <f>MIN(0, N96+(IFERROR(IF(15*INDEX('UA-normalized'!$D:$D, MATCH($A96, 'UA-normalized'!$A:$A, 0))-INDEX('UA-normalized'!$E:$E, MATCH($A96, 'UA-normalized'!$A:$A, 0))&gt;0, -(15*INDEX('UA-normalized'!$D:$D, MATCH($A96, 'UA-normalized'!$A:$A, 0))-INDEX('UA-normalized'!$E:$E, MATCH($A96, 'UA-normalized'!$A:$A, 0))), 0), 0))+(IFERROR(IF(15*INDEX('KZ-normalized'!$D:$D, MATCH($A96, 'KZ-normalized'!$A:$A, 0))-INDEX('KZ-normalized'!$E:$E, MATCH($A96, 'KZ-normalized'!$A:$A, 0))&gt;0, -(15*INDEX('KZ-normalized'!$D:$D, MATCH($A96, 'KZ-normalized'!$A:$A, 0))-INDEX('KZ-normalized'!$E:$E, MATCH($A96, 'KZ-normalized'!$A:$A, 0))), 0), 0))+(IFERROR(IF(15*INDEX('UZ-normalized'!$D:$D, MATCH($A96, 'UZ-normalized'!$A:$A, 0))-INDEX('UZ-normalized'!$E:$E, MATCH($A96, 'UZ-normalized'!$A:$A, 0))&gt;0, -(15*INDEX('UZ-normalized'!$D:$D, MATCH($A96, 'UZ-normalized'!$A:$A, 0))-INDEX('UZ-normalized'!$E:$E, MATCH($A96, 'UZ-normalized'!$A:$A, 0))), 0), 0)))</f>
        <v>-276.5</v>
      </c>
      <c r="AD96" s="6">
        <f>MIN(0, N96+(IFERROR(IF(16*INDEX('UA-normalized'!$D:$D, MATCH($A96, 'UA-normalized'!$A:$A, 0))-INDEX('UA-normalized'!$E:$E, MATCH($A96, 'UA-normalized'!$A:$A, 0))&gt;0, -(16*INDEX('UA-normalized'!$D:$D, MATCH($A96, 'UA-normalized'!$A:$A, 0))-INDEX('UA-normalized'!$E:$E, MATCH($A96, 'UA-normalized'!$A:$A, 0))), 0), 0))+(IFERROR(IF(16*INDEX('KZ-normalized'!$D:$D, MATCH($A96, 'KZ-normalized'!$A:$A, 0))-INDEX('KZ-normalized'!$E:$E, MATCH($A96, 'KZ-normalized'!$A:$A, 0))&gt;0, -(16*INDEX('KZ-normalized'!$D:$D, MATCH($A96, 'KZ-normalized'!$A:$A, 0))-INDEX('KZ-normalized'!$E:$E, MATCH($A96, 'KZ-normalized'!$A:$A, 0))), 0), 0))+(IFERROR(IF(16*INDEX('UZ-normalized'!$D:$D, MATCH($A96, 'UZ-normalized'!$A:$A, 0))-INDEX('UZ-normalized'!$E:$E, MATCH($A96, 'UZ-normalized'!$A:$A, 0))&gt;0, -(16*INDEX('UZ-normalized'!$D:$D, MATCH($A96, 'UZ-normalized'!$A:$A, 0))-INDEX('UZ-normalized'!$E:$E, MATCH($A96, 'UZ-normalized'!$A:$A, 0))), 0), 0)))</f>
        <v>-304.8</v>
      </c>
      <c r="AE96" s="6">
        <f>MIN(0, N96+(IFERROR(IF(17*INDEX('UA-normalized'!$D:$D, MATCH($A96, 'UA-normalized'!$A:$A, 0))-INDEX('UA-normalized'!$E:$E, MATCH($A96, 'UA-normalized'!$A:$A, 0))&gt;0, -(17*INDEX('UA-normalized'!$D:$D, MATCH($A96, 'UA-normalized'!$A:$A, 0))-INDEX('UA-normalized'!$E:$E, MATCH($A96, 'UA-normalized'!$A:$A, 0))), 0), 0))+(IFERROR(IF(17*INDEX('KZ-normalized'!$D:$D, MATCH($A96, 'KZ-normalized'!$A:$A, 0))-INDEX('KZ-normalized'!$E:$E, MATCH($A96, 'KZ-normalized'!$A:$A, 0))&gt;0, -(17*INDEX('KZ-normalized'!$D:$D, MATCH($A96, 'KZ-normalized'!$A:$A, 0))-INDEX('KZ-normalized'!$E:$E, MATCH($A96, 'KZ-normalized'!$A:$A, 0))), 0), 0))+(IFERROR(IF(17*INDEX('UZ-normalized'!$D:$D, MATCH($A96, 'UZ-normalized'!$A:$A, 0))-INDEX('UZ-normalized'!$E:$E, MATCH($A96, 'UZ-normalized'!$A:$A, 0))&gt;0, -(17*INDEX('UZ-normalized'!$D:$D, MATCH($A96, 'UZ-normalized'!$A:$A, 0))-INDEX('UZ-normalized'!$E:$E, MATCH($A96, 'UZ-normalized'!$A:$A, 0))), 0), 0)))</f>
        <v>-333.1</v>
      </c>
      <c r="AF96" s="6">
        <f>MIN(0, N96+(IFERROR(IF(18*INDEX('UA-normalized'!$D:$D, MATCH($A96, 'UA-normalized'!$A:$A, 0))-INDEX('UA-normalized'!$E:$E, MATCH($A96, 'UA-normalized'!$A:$A, 0))&gt;0, -(18*INDEX('UA-normalized'!$D:$D, MATCH($A96, 'UA-normalized'!$A:$A, 0))-INDEX('UA-normalized'!$E:$E, MATCH($A96, 'UA-normalized'!$A:$A, 0))), 0), 0))+(IFERROR(IF(18*INDEX('KZ-normalized'!$D:$D, MATCH($A96, 'KZ-normalized'!$A:$A, 0))-INDEX('KZ-normalized'!$E:$E, MATCH($A96, 'KZ-normalized'!$A:$A, 0))&gt;0, -(18*INDEX('KZ-normalized'!$D:$D, MATCH($A96, 'KZ-normalized'!$A:$A, 0))-INDEX('KZ-normalized'!$E:$E, MATCH($A96, 'KZ-normalized'!$A:$A, 0))), 0), 0))+(IFERROR(IF(18*INDEX('UZ-normalized'!$D:$D, MATCH($A96, 'UZ-normalized'!$A:$A, 0))-INDEX('UZ-normalized'!$E:$E, MATCH($A96, 'UZ-normalized'!$A:$A, 0))&gt;0, -(18*INDEX('UZ-normalized'!$D:$D, MATCH($A96, 'UZ-normalized'!$A:$A, 0))-INDEX('UZ-normalized'!$E:$E, MATCH($A96, 'UZ-normalized'!$A:$A, 0))), 0), 0)))</f>
        <v>-361.4</v>
      </c>
      <c r="AG96" s="6">
        <f>MIN(0, N96+(IFERROR(IF(19*INDEX('UA-normalized'!$D:$D, MATCH($A96, 'UA-normalized'!$A:$A, 0))-INDEX('UA-normalized'!$E:$E, MATCH($A96, 'UA-normalized'!$A:$A, 0))&gt;0, -(19*INDEX('UA-normalized'!$D:$D, MATCH($A96, 'UA-normalized'!$A:$A, 0))-INDEX('UA-normalized'!$E:$E, MATCH($A96, 'UA-normalized'!$A:$A, 0))), 0), 0))+(IFERROR(IF(19*INDEX('KZ-normalized'!$D:$D, MATCH($A96, 'KZ-normalized'!$A:$A, 0))-INDEX('KZ-normalized'!$E:$E, MATCH($A96, 'KZ-normalized'!$A:$A, 0))&gt;0, -(19*INDEX('KZ-normalized'!$D:$D, MATCH($A96, 'KZ-normalized'!$A:$A, 0))-INDEX('KZ-normalized'!$E:$E, MATCH($A96, 'KZ-normalized'!$A:$A, 0))), 0), 0))+(IFERROR(IF(19*INDEX('UZ-normalized'!$D:$D, MATCH($A96, 'UZ-normalized'!$A:$A, 0))-INDEX('UZ-normalized'!$E:$E, MATCH($A96, 'UZ-normalized'!$A:$A, 0))&gt;0, -(19*INDEX('UZ-normalized'!$D:$D, MATCH($A96, 'UZ-normalized'!$A:$A, 0))-INDEX('UZ-normalized'!$E:$E, MATCH($A96, 'UZ-normalized'!$A:$A, 0))), 0), 0)))</f>
        <v>-389.7</v>
      </c>
      <c r="AH96" s="6">
        <f>MIN(0, N96+(IFERROR(IF(20*INDEX('UA-normalized'!$D:$D, MATCH($A96, 'UA-normalized'!$A:$A, 0))-INDEX('UA-normalized'!$E:$E, MATCH($A96, 'UA-normalized'!$A:$A, 0))&gt;0, -(20*INDEX('UA-normalized'!$D:$D, MATCH($A96, 'UA-normalized'!$A:$A, 0))-INDEX('UA-normalized'!$E:$E, MATCH($A96, 'UA-normalized'!$A:$A, 0))), 0), 0))+(IFERROR(IF(20*INDEX('KZ-normalized'!$D:$D, MATCH($A96, 'KZ-normalized'!$A:$A, 0))-INDEX('KZ-normalized'!$E:$E, MATCH($A96, 'KZ-normalized'!$A:$A, 0))&gt;0, -(20*INDEX('KZ-normalized'!$D:$D, MATCH($A96, 'KZ-normalized'!$A:$A, 0))-INDEX('KZ-normalized'!$E:$E, MATCH($A96, 'KZ-normalized'!$A:$A, 0))), 0), 0))+(IFERROR(IF(20*INDEX('UZ-normalized'!$D:$D, MATCH($A96, 'UZ-normalized'!$A:$A, 0))-INDEX('UZ-normalized'!$E:$E, MATCH($A96, 'UZ-normalized'!$A:$A, 0))&gt;0, -(20*INDEX('UZ-normalized'!$D:$D, MATCH($A96, 'UZ-normalized'!$A:$A, 0))-INDEX('UZ-normalized'!$E:$E, MATCH($A96, 'UZ-normalized'!$A:$A, 0))), 0), 0)))</f>
        <v>-418</v>
      </c>
      <c r="AI96" s="6">
        <f>MIN(0, N96+(IFERROR(IF(21*INDEX('UA-normalized'!$D:$D, MATCH($A96, 'UA-normalized'!$A:$A, 0))-INDEX('UA-normalized'!$E:$E, MATCH($A96, 'UA-normalized'!$A:$A, 0))&gt;0, -(21*INDEX('UA-normalized'!$D:$D, MATCH($A96, 'UA-normalized'!$A:$A, 0))-INDEX('UA-normalized'!$E:$E, MATCH($A96, 'UA-normalized'!$A:$A, 0))), 0), 0))+(IFERROR(IF(21*INDEX('KZ-normalized'!$D:$D, MATCH($A96, 'KZ-normalized'!$A:$A, 0))-INDEX('KZ-normalized'!$E:$E, MATCH($A96, 'KZ-normalized'!$A:$A, 0))&gt;0, -(21*INDEX('KZ-normalized'!$D:$D, MATCH($A96, 'KZ-normalized'!$A:$A, 0))-INDEX('KZ-normalized'!$E:$E, MATCH($A96, 'KZ-normalized'!$A:$A, 0))), 0), 0))+(IFERROR(IF(21*INDEX('UZ-normalized'!$D:$D, MATCH($A96, 'UZ-normalized'!$A:$A, 0))-INDEX('UZ-normalized'!$E:$E, MATCH($A96, 'UZ-normalized'!$A:$A, 0))&gt;0, -(21*INDEX('UZ-normalized'!$D:$D, MATCH($A96, 'UZ-normalized'!$A:$A, 0))-INDEX('UZ-normalized'!$E:$E, MATCH($A96, 'UZ-normalized'!$A:$A, 0))), 0), 0)))</f>
        <v>-446.29999999999995</v>
      </c>
      <c r="AJ96" s="6">
        <f>MIN(0, N96+(IFERROR(IF(22*INDEX('UA-normalized'!$D:$D, MATCH($A96, 'UA-normalized'!$A:$A, 0))-INDEX('UA-normalized'!$E:$E, MATCH($A96, 'UA-normalized'!$A:$A, 0))&gt;0, -(22*INDEX('UA-normalized'!$D:$D, MATCH($A96, 'UA-normalized'!$A:$A, 0))-INDEX('UA-normalized'!$E:$E, MATCH($A96, 'UA-normalized'!$A:$A, 0))), 0), 0))+(IFERROR(IF(22*INDEX('KZ-normalized'!$D:$D, MATCH($A96, 'KZ-normalized'!$A:$A, 0))-INDEX('KZ-normalized'!$E:$E, MATCH($A96, 'KZ-normalized'!$A:$A, 0))&gt;0, -(22*INDEX('KZ-normalized'!$D:$D, MATCH($A96, 'KZ-normalized'!$A:$A, 0))-INDEX('KZ-normalized'!$E:$E, MATCH($A96, 'KZ-normalized'!$A:$A, 0))), 0), 0))+(IFERROR(IF(22*INDEX('UZ-normalized'!$D:$D, MATCH($A96, 'UZ-normalized'!$A:$A, 0))-INDEX('UZ-normalized'!$E:$E, MATCH($A96, 'UZ-normalized'!$A:$A, 0))&gt;0, -(22*INDEX('UZ-normalized'!$D:$D, MATCH($A96, 'UZ-normalized'!$A:$A, 0))-INDEX('UZ-normalized'!$E:$E, MATCH($A96, 'UZ-normalized'!$A:$A, 0))), 0), 0)))</f>
        <v>-474.6</v>
      </c>
      <c r="AK96" s="6">
        <f>MIN(0, N96+(IFERROR(IF(23*INDEX('UA-normalized'!$D:$D, MATCH($A96, 'UA-normalized'!$A:$A, 0))-INDEX('UA-normalized'!$E:$E, MATCH($A96, 'UA-normalized'!$A:$A, 0))&gt;0, -(23*INDEX('UA-normalized'!$D:$D, MATCH($A96, 'UA-normalized'!$A:$A, 0))-INDEX('UA-normalized'!$E:$E, MATCH($A96, 'UA-normalized'!$A:$A, 0))), 0), 0))+(IFERROR(IF(23*INDEX('KZ-normalized'!$D:$D, MATCH($A96, 'KZ-normalized'!$A:$A, 0))-INDEX('KZ-normalized'!$E:$E, MATCH($A96, 'KZ-normalized'!$A:$A, 0))&gt;0, -(23*INDEX('KZ-normalized'!$D:$D, MATCH($A96, 'KZ-normalized'!$A:$A, 0))-INDEX('KZ-normalized'!$E:$E, MATCH($A96, 'KZ-normalized'!$A:$A, 0))), 0), 0))+(IFERROR(IF(23*INDEX('UZ-normalized'!$D:$D, MATCH($A96, 'UZ-normalized'!$A:$A, 0))-INDEX('UZ-normalized'!$E:$E, MATCH($A96, 'UZ-normalized'!$A:$A, 0))&gt;0, -(23*INDEX('UZ-normalized'!$D:$D, MATCH($A96, 'UZ-normalized'!$A:$A, 0))-INDEX('UZ-normalized'!$E:$E, MATCH($A96, 'UZ-normalized'!$A:$A, 0))), 0), 0)))</f>
        <v>-502.9</v>
      </c>
      <c r="AL96" s="6">
        <f>MIN(0, N96+(IFERROR(IF(24*INDEX('UA-normalized'!$D:$D, MATCH($A96, 'UA-normalized'!$A:$A, 0))-INDEX('UA-normalized'!$E:$E, MATCH($A96, 'UA-normalized'!$A:$A, 0))&gt;0, -(24*INDEX('UA-normalized'!$D:$D, MATCH($A96, 'UA-normalized'!$A:$A, 0))-INDEX('UA-normalized'!$E:$E, MATCH($A96, 'UA-normalized'!$A:$A, 0))), 0), 0))+(IFERROR(IF(24*INDEX('KZ-normalized'!$D:$D, MATCH($A96, 'KZ-normalized'!$A:$A, 0))-INDEX('KZ-normalized'!$E:$E, MATCH($A96, 'KZ-normalized'!$A:$A, 0))&gt;0, -(24*INDEX('KZ-normalized'!$D:$D, MATCH($A96, 'KZ-normalized'!$A:$A, 0))-INDEX('KZ-normalized'!$E:$E, MATCH($A96, 'KZ-normalized'!$A:$A, 0))), 0), 0))+(IFERROR(IF(24*INDEX('UZ-normalized'!$D:$D, MATCH($A96, 'UZ-normalized'!$A:$A, 0))-INDEX('UZ-normalized'!$E:$E, MATCH($A96, 'UZ-normalized'!$A:$A, 0))&gt;0, -(24*INDEX('UZ-normalized'!$D:$D, MATCH($A96, 'UZ-normalized'!$A:$A, 0))-INDEX('UZ-normalized'!$E:$E, MATCH($A96, 'UZ-normalized'!$A:$A, 0))), 0), 0)))</f>
        <v>-531.20000000000005</v>
      </c>
      <c r="AM96" s="6">
        <f>MIN(0, N96+(IFERROR(IF(25*INDEX('UA-normalized'!$D:$D, MATCH($A96, 'UA-normalized'!$A:$A, 0))-INDEX('UA-normalized'!$E:$E, MATCH($A96, 'UA-normalized'!$A:$A, 0))&gt;0, -(25*INDEX('UA-normalized'!$D:$D, MATCH($A96, 'UA-normalized'!$A:$A, 0))-INDEX('UA-normalized'!$E:$E, MATCH($A96, 'UA-normalized'!$A:$A, 0))), 0), 0))+(IFERROR(IF(25*INDEX('KZ-normalized'!$D:$D, MATCH($A96, 'KZ-normalized'!$A:$A, 0))-INDEX('KZ-normalized'!$E:$E, MATCH($A96, 'KZ-normalized'!$A:$A, 0))&gt;0, -(25*INDEX('KZ-normalized'!$D:$D, MATCH($A96, 'KZ-normalized'!$A:$A, 0))-INDEX('KZ-normalized'!$E:$E, MATCH($A96, 'KZ-normalized'!$A:$A, 0))), 0), 0))+(IFERROR(IF(25*INDEX('UZ-normalized'!$D:$D, MATCH($A96, 'UZ-normalized'!$A:$A, 0))-INDEX('UZ-normalized'!$E:$E, MATCH($A96, 'UZ-normalized'!$A:$A, 0))&gt;0, -(25*INDEX('UZ-normalized'!$D:$D, MATCH($A96, 'UZ-normalized'!$A:$A, 0))-INDEX('UZ-normalized'!$E:$E, MATCH($A96, 'UZ-normalized'!$A:$A, 0))), 0), 0)))</f>
        <v>-559.5</v>
      </c>
      <c r="AN96" s="6">
        <f>MIN(0, N96+(IFERROR(IF(26*INDEX('UA-normalized'!$D:$D, MATCH($A96, 'UA-normalized'!$A:$A, 0))-INDEX('UA-normalized'!$E:$E, MATCH($A96, 'UA-normalized'!$A:$A, 0))&gt;0, -(26*INDEX('UA-normalized'!$D:$D, MATCH($A96, 'UA-normalized'!$A:$A, 0))-INDEX('UA-normalized'!$E:$E, MATCH($A96, 'UA-normalized'!$A:$A, 0))), 0), 0))+(IFERROR(IF(26*INDEX('KZ-normalized'!$D:$D, MATCH($A96, 'KZ-normalized'!$A:$A, 0))-INDEX('KZ-normalized'!$E:$E, MATCH($A96, 'KZ-normalized'!$A:$A, 0))&gt;0, -(26*INDEX('KZ-normalized'!$D:$D, MATCH($A96, 'KZ-normalized'!$A:$A, 0))-INDEX('KZ-normalized'!$E:$E, MATCH($A96, 'KZ-normalized'!$A:$A, 0))), 0), 0))+(IFERROR(IF(26*INDEX('UZ-normalized'!$D:$D, MATCH($A96, 'UZ-normalized'!$A:$A, 0))-INDEX('UZ-normalized'!$E:$E, MATCH($A96, 'UZ-normalized'!$A:$A, 0))&gt;0, -(26*INDEX('UZ-normalized'!$D:$D, MATCH($A96, 'UZ-normalized'!$A:$A, 0))-INDEX('UZ-normalized'!$E:$E, MATCH($A96, 'UZ-normalized'!$A:$A, 0))), 0), 0)))</f>
        <v>-587.79999999999995</v>
      </c>
      <c r="AO96" s="6">
        <f>MIN(0, N96+(IFERROR(IF(27*INDEX('UA-normalized'!$D:$D, MATCH($A96, 'UA-normalized'!$A:$A, 0))-INDEX('UA-normalized'!$E:$E, MATCH($A96, 'UA-normalized'!$A:$A, 0))&gt;0, -(27*INDEX('UA-normalized'!$D:$D, MATCH($A96, 'UA-normalized'!$A:$A, 0))-INDEX('UA-normalized'!$E:$E, MATCH($A96, 'UA-normalized'!$A:$A, 0))), 0), 0))+(IFERROR(IF(27*INDEX('KZ-normalized'!$D:$D, MATCH($A96, 'KZ-normalized'!$A:$A, 0))-INDEX('KZ-normalized'!$E:$E, MATCH($A96, 'KZ-normalized'!$A:$A, 0))&gt;0, -(27*INDEX('KZ-normalized'!$D:$D, MATCH($A96, 'KZ-normalized'!$A:$A, 0))-INDEX('KZ-normalized'!$E:$E, MATCH($A96, 'KZ-normalized'!$A:$A, 0))), 0), 0))+(IFERROR(IF(27*INDEX('UZ-normalized'!$D:$D, MATCH($A96, 'UZ-normalized'!$A:$A, 0))-INDEX('UZ-normalized'!$E:$E, MATCH($A96, 'UZ-normalized'!$A:$A, 0))&gt;0, -(27*INDEX('UZ-normalized'!$D:$D, MATCH($A96, 'UZ-normalized'!$A:$A, 0))-INDEX('UZ-normalized'!$E:$E, MATCH($A96, 'UZ-normalized'!$A:$A, 0))), 0), 0)))</f>
        <v>-616.1</v>
      </c>
      <c r="AP96" s="6">
        <f>MIN(0, N96+(IFERROR(IF(28*INDEX('UA-normalized'!$D:$D, MATCH($A96, 'UA-normalized'!$A:$A, 0))-INDEX('UA-normalized'!$E:$E, MATCH($A96, 'UA-normalized'!$A:$A, 0))&gt;0, -(28*INDEX('UA-normalized'!$D:$D, MATCH($A96, 'UA-normalized'!$A:$A, 0))-INDEX('UA-normalized'!$E:$E, MATCH($A96, 'UA-normalized'!$A:$A, 0))), 0), 0))+(IFERROR(IF(28*INDEX('KZ-normalized'!$D:$D, MATCH($A96, 'KZ-normalized'!$A:$A, 0))-INDEX('KZ-normalized'!$E:$E, MATCH($A96, 'KZ-normalized'!$A:$A, 0))&gt;0, -(28*INDEX('KZ-normalized'!$D:$D, MATCH($A96, 'KZ-normalized'!$A:$A, 0))-INDEX('KZ-normalized'!$E:$E, MATCH($A96, 'KZ-normalized'!$A:$A, 0))), 0), 0))+(IFERROR(IF(28*INDEX('UZ-normalized'!$D:$D, MATCH($A96, 'UZ-normalized'!$A:$A, 0))-INDEX('UZ-normalized'!$E:$E, MATCH($A96, 'UZ-normalized'!$A:$A, 0))&gt;0, -(28*INDEX('UZ-normalized'!$D:$D, MATCH($A96, 'UZ-normalized'!$A:$A, 0))-INDEX('UZ-normalized'!$E:$E, MATCH($A96, 'UZ-normalized'!$A:$A, 0))), 0), 0)))</f>
        <v>-644.4</v>
      </c>
      <c r="AQ96" s="6">
        <f>MIN(0, N96+(IFERROR(IF(29*INDEX('UA-normalized'!$D:$D, MATCH($A96, 'UA-normalized'!$A:$A, 0))-INDEX('UA-normalized'!$E:$E, MATCH($A96, 'UA-normalized'!$A:$A, 0))&gt;0, -(29*INDEX('UA-normalized'!$D:$D, MATCH($A96, 'UA-normalized'!$A:$A, 0))-INDEX('UA-normalized'!$E:$E, MATCH($A96, 'UA-normalized'!$A:$A, 0))), 0), 0))+(IFERROR(IF(29*INDEX('KZ-normalized'!$D:$D, MATCH($A96, 'KZ-normalized'!$A:$A, 0))-INDEX('KZ-normalized'!$E:$E, MATCH($A96, 'KZ-normalized'!$A:$A, 0))&gt;0, -(29*INDEX('KZ-normalized'!$D:$D, MATCH($A96, 'KZ-normalized'!$A:$A, 0))-INDEX('KZ-normalized'!$E:$E, MATCH($A96, 'KZ-normalized'!$A:$A, 0))), 0), 0))+(IFERROR(IF(29*INDEX('UZ-normalized'!$D:$D, MATCH($A96, 'UZ-normalized'!$A:$A, 0))-INDEX('UZ-normalized'!$E:$E, MATCH($A96, 'UZ-normalized'!$A:$A, 0))&gt;0, -(29*INDEX('UZ-normalized'!$D:$D, MATCH($A96, 'UZ-normalized'!$A:$A, 0))-INDEX('UZ-normalized'!$E:$E, MATCH($A96, 'UZ-normalized'!$A:$A, 0))), 0), 0)))</f>
        <v>-672.7</v>
      </c>
      <c r="AR96" s="6">
        <f>MIN(0, N96+(IFERROR(IF(30*INDEX('UA-normalized'!$D:$D, MATCH($A96, 'UA-normalized'!$A:$A, 0))-INDEX('UA-normalized'!$E:$E, MATCH($A96, 'UA-normalized'!$A:$A, 0))&gt;0, -(30*INDEX('UA-normalized'!$D:$D, MATCH($A96, 'UA-normalized'!$A:$A, 0))-INDEX('UA-normalized'!$E:$E, MATCH($A96, 'UA-normalized'!$A:$A, 0))), 0), 0))+(IFERROR(IF(30*INDEX('KZ-normalized'!$D:$D, MATCH($A96, 'KZ-normalized'!$A:$A, 0))-INDEX('KZ-normalized'!$E:$E, MATCH($A96, 'KZ-normalized'!$A:$A, 0))&gt;0, -(30*INDEX('KZ-normalized'!$D:$D, MATCH($A96, 'KZ-normalized'!$A:$A, 0))-INDEX('KZ-normalized'!$E:$E, MATCH($A96, 'KZ-normalized'!$A:$A, 0))), 0), 0))+(IFERROR(IF(30*INDEX('UZ-normalized'!$D:$D, MATCH($A96, 'UZ-normalized'!$A:$A, 0))-INDEX('UZ-normalized'!$E:$E, MATCH($A96, 'UZ-normalized'!$A:$A, 0))&gt;0, -(30*INDEX('UZ-normalized'!$D:$D, MATCH($A96, 'UZ-normalized'!$A:$A, 0))-INDEX('UZ-normalized'!$E:$E, MATCH($A96, 'UZ-normalized'!$A:$A, 0))), 0), 0)))</f>
        <v>-701</v>
      </c>
    </row>
    <row r="97" spans="1:44" x14ac:dyDescent="0.25">
      <c r="A97" s="8" t="s">
        <v>245</v>
      </c>
      <c r="B97" s="8" t="s">
        <v>180</v>
      </c>
      <c r="C97" s="8" t="s">
        <v>235</v>
      </c>
      <c r="D97" s="8" t="s">
        <v>246</v>
      </c>
      <c r="G97">
        <v>-20</v>
      </c>
      <c r="N97">
        <f t="shared" si="1"/>
        <v>-20</v>
      </c>
      <c r="O97" s="6">
        <f>MIN(0, N97+(IFERROR(IF(1*INDEX('UA-normalized'!$D:$D, MATCH($A97, 'UA-normalized'!$A:$A, 0))-INDEX('UA-normalized'!$E:$E, MATCH($A97, 'UA-normalized'!$A:$A, 0))&gt;0, -(1*INDEX('UA-normalized'!$D:$D, MATCH($A97, 'UA-normalized'!$A:$A, 0))-INDEX('UA-normalized'!$E:$E, MATCH($A97, 'UA-normalized'!$A:$A, 0))), 0), 0))+(IFERROR(IF(1*INDEX('KZ-normalized'!$D:$D, MATCH($A97, 'KZ-normalized'!$A:$A, 0))-INDEX('KZ-normalized'!$E:$E, MATCH($A97, 'KZ-normalized'!$A:$A, 0))&gt;0, -(1*INDEX('KZ-normalized'!$D:$D, MATCH($A97, 'KZ-normalized'!$A:$A, 0))-INDEX('KZ-normalized'!$E:$E, MATCH($A97, 'KZ-normalized'!$A:$A, 0))), 0), 0))+(IFERROR(IF(1*INDEX('UZ-normalized'!$D:$D, MATCH($A97, 'UZ-normalized'!$A:$A, 0))-INDEX('UZ-normalized'!$E:$E, MATCH($A97, 'UZ-normalized'!$A:$A, 0))&gt;0, -(1*INDEX('UZ-normalized'!$D:$D, MATCH($A97, 'UZ-normalized'!$A:$A, 0))-INDEX('UZ-normalized'!$E:$E, MATCH($A97, 'UZ-normalized'!$A:$A, 0))), 0), 0)))</f>
        <v>-20</v>
      </c>
      <c r="P97" s="6">
        <f>MIN(0, N97+(IFERROR(IF(2*INDEX('UA-normalized'!$D:$D, MATCH($A97, 'UA-normalized'!$A:$A, 0))-INDEX('UA-normalized'!$E:$E, MATCH($A97, 'UA-normalized'!$A:$A, 0))&gt;0, -(2*INDEX('UA-normalized'!$D:$D, MATCH($A97, 'UA-normalized'!$A:$A, 0))-INDEX('UA-normalized'!$E:$E, MATCH($A97, 'UA-normalized'!$A:$A, 0))), 0), 0))+(IFERROR(IF(2*INDEX('KZ-normalized'!$D:$D, MATCH($A97, 'KZ-normalized'!$A:$A, 0))-INDEX('KZ-normalized'!$E:$E, MATCH($A97, 'KZ-normalized'!$A:$A, 0))&gt;0, -(2*INDEX('KZ-normalized'!$D:$D, MATCH($A97, 'KZ-normalized'!$A:$A, 0))-INDEX('KZ-normalized'!$E:$E, MATCH($A97, 'KZ-normalized'!$A:$A, 0))), 0), 0))+(IFERROR(IF(2*INDEX('UZ-normalized'!$D:$D, MATCH($A97, 'UZ-normalized'!$A:$A, 0))-INDEX('UZ-normalized'!$E:$E, MATCH($A97, 'UZ-normalized'!$A:$A, 0))&gt;0, -(2*INDEX('UZ-normalized'!$D:$D, MATCH($A97, 'UZ-normalized'!$A:$A, 0))-INDEX('UZ-normalized'!$E:$E, MATCH($A97, 'UZ-normalized'!$A:$A, 0))), 0), 0)))</f>
        <v>-20</v>
      </c>
      <c r="Q97" s="6">
        <f>MIN(0, N97+(IFERROR(IF(3*INDEX('UA-normalized'!$D:$D, MATCH($A97, 'UA-normalized'!$A:$A, 0))-INDEX('UA-normalized'!$E:$E, MATCH($A97, 'UA-normalized'!$A:$A, 0))&gt;0, -(3*INDEX('UA-normalized'!$D:$D, MATCH($A97, 'UA-normalized'!$A:$A, 0))-INDEX('UA-normalized'!$E:$E, MATCH($A97, 'UA-normalized'!$A:$A, 0))), 0), 0))+(IFERROR(IF(3*INDEX('KZ-normalized'!$D:$D, MATCH($A97, 'KZ-normalized'!$A:$A, 0))-INDEX('KZ-normalized'!$E:$E, MATCH($A97, 'KZ-normalized'!$A:$A, 0))&gt;0, -(3*INDEX('KZ-normalized'!$D:$D, MATCH($A97, 'KZ-normalized'!$A:$A, 0))-INDEX('KZ-normalized'!$E:$E, MATCH($A97, 'KZ-normalized'!$A:$A, 0))), 0), 0))+(IFERROR(IF(3*INDEX('UZ-normalized'!$D:$D, MATCH($A97, 'UZ-normalized'!$A:$A, 0))-INDEX('UZ-normalized'!$E:$E, MATCH($A97, 'UZ-normalized'!$A:$A, 0))&gt;0, -(3*INDEX('UZ-normalized'!$D:$D, MATCH($A97, 'UZ-normalized'!$A:$A, 0))-INDEX('UZ-normalized'!$E:$E, MATCH($A97, 'UZ-normalized'!$A:$A, 0))), 0), 0)))</f>
        <v>-20</v>
      </c>
      <c r="R97" s="6">
        <f>MIN(0, N97+(IFERROR(IF(4*INDEX('UA-normalized'!$D:$D, MATCH($A97, 'UA-normalized'!$A:$A, 0))-INDEX('UA-normalized'!$E:$E, MATCH($A97, 'UA-normalized'!$A:$A, 0))&gt;0, -(4*INDEX('UA-normalized'!$D:$D, MATCH($A97, 'UA-normalized'!$A:$A, 0))-INDEX('UA-normalized'!$E:$E, MATCH($A97, 'UA-normalized'!$A:$A, 0))), 0), 0))+(IFERROR(IF(4*INDEX('KZ-normalized'!$D:$D, MATCH($A97, 'KZ-normalized'!$A:$A, 0))-INDEX('KZ-normalized'!$E:$E, MATCH($A97, 'KZ-normalized'!$A:$A, 0))&gt;0, -(4*INDEX('KZ-normalized'!$D:$D, MATCH($A97, 'KZ-normalized'!$A:$A, 0))-INDEX('KZ-normalized'!$E:$E, MATCH($A97, 'KZ-normalized'!$A:$A, 0))), 0), 0))+(IFERROR(IF(4*INDEX('UZ-normalized'!$D:$D, MATCH($A97, 'UZ-normalized'!$A:$A, 0))-INDEX('UZ-normalized'!$E:$E, MATCH($A97, 'UZ-normalized'!$A:$A, 0))&gt;0, -(4*INDEX('UZ-normalized'!$D:$D, MATCH($A97, 'UZ-normalized'!$A:$A, 0))-INDEX('UZ-normalized'!$E:$E, MATCH($A97, 'UZ-normalized'!$A:$A, 0))), 0), 0)))</f>
        <v>-20</v>
      </c>
      <c r="S97" s="6">
        <f>MIN(0, N97+(IFERROR(IF(5*INDEX('UA-normalized'!$D:$D, MATCH($A97, 'UA-normalized'!$A:$A, 0))-INDEX('UA-normalized'!$E:$E, MATCH($A97, 'UA-normalized'!$A:$A, 0))&gt;0, -(5*INDEX('UA-normalized'!$D:$D, MATCH($A97, 'UA-normalized'!$A:$A, 0))-INDEX('UA-normalized'!$E:$E, MATCH($A97, 'UA-normalized'!$A:$A, 0))), 0), 0))+(IFERROR(IF(5*INDEX('KZ-normalized'!$D:$D, MATCH($A97, 'KZ-normalized'!$A:$A, 0))-INDEX('KZ-normalized'!$E:$E, MATCH($A97, 'KZ-normalized'!$A:$A, 0))&gt;0, -(5*INDEX('KZ-normalized'!$D:$D, MATCH($A97, 'KZ-normalized'!$A:$A, 0))-INDEX('KZ-normalized'!$E:$E, MATCH($A97, 'KZ-normalized'!$A:$A, 0))), 0), 0))+(IFERROR(IF(5*INDEX('UZ-normalized'!$D:$D, MATCH($A97, 'UZ-normalized'!$A:$A, 0))-INDEX('UZ-normalized'!$E:$E, MATCH($A97, 'UZ-normalized'!$A:$A, 0))&gt;0, -(5*INDEX('UZ-normalized'!$D:$D, MATCH($A97, 'UZ-normalized'!$A:$A, 0))-INDEX('UZ-normalized'!$E:$E, MATCH($A97, 'UZ-normalized'!$A:$A, 0))), 0), 0)))</f>
        <v>-20</v>
      </c>
      <c r="T97" s="6">
        <f>MIN(0, N97+(IFERROR(IF(6*INDEX('UA-normalized'!$D:$D, MATCH($A97, 'UA-normalized'!$A:$A, 0))-INDEX('UA-normalized'!$E:$E, MATCH($A97, 'UA-normalized'!$A:$A, 0))&gt;0, -(6*INDEX('UA-normalized'!$D:$D, MATCH($A97, 'UA-normalized'!$A:$A, 0))-INDEX('UA-normalized'!$E:$E, MATCH($A97, 'UA-normalized'!$A:$A, 0))), 0), 0))+(IFERROR(IF(6*INDEX('KZ-normalized'!$D:$D, MATCH($A97, 'KZ-normalized'!$A:$A, 0))-INDEX('KZ-normalized'!$E:$E, MATCH($A97, 'KZ-normalized'!$A:$A, 0))&gt;0, -(6*INDEX('KZ-normalized'!$D:$D, MATCH($A97, 'KZ-normalized'!$A:$A, 0))-INDEX('KZ-normalized'!$E:$E, MATCH($A97, 'KZ-normalized'!$A:$A, 0))), 0), 0))+(IFERROR(IF(6*INDEX('UZ-normalized'!$D:$D, MATCH($A97, 'UZ-normalized'!$A:$A, 0))-INDEX('UZ-normalized'!$E:$E, MATCH($A97, 'UZ-normalized'!$A:$A, 0))&gt;0, -(6*INDEX('UZ-normalized'!$D:$D, MATCH($A97, 'UZ-normalized'!$A:$A, 0))-INDEX('UZ-normalized'!$E:$E, MATCH($A97, 'UZ-normalized'!$A:$A, 0))), 0), 0)))</f>
        <v>-21</v>
      </c>
      <c r="U97" s="6">
        <f>MIN(0, N97+(IFERROR(IF(7*INDEX('UA-normalized'!$D:$D, MATCH($A97, 'UA-normalized'!$A:$A, 0))-INDEX('UA-normalized'!$E:$E, MATCH($A97, 'UA-normalized'!$A:$A, 0))&gt;0, -(7*INDEX('UA-normalized'!$D:$D, MATCH($A97, 'UA-normalized'!$A:$A, 0))-INDEX('UA-normalized'!$E:$E, MATCH($A97, 'UA-normalized'!$A:$A, 0))), 0), 0))+(IFERROR(IF(7*INDEX('KZ-normalized'!$D:$D, MATCH($A97, 'KZ-normalized'!$A:$A, 0))-INDEX('KZ-normalized'!$E:$E, MATCH($A97, 'KZ-normalized'!$A:$A, 0))&gt;0, -(7*INDEX('KZ-normalized'!$D:$D, MATCH($A97, 'KZ-normalized'!$A:$A, 0))-INDEX('KZ-normalized'!$E:$E, MATCH($A97, 'KZ-normalized'!$A:$A, 0))), 0), 0))+(IFERROR(IF(7*INDEX('UZ-normalized'!$D:$D, MATCH($A97, 'UZ-normalized'!$A:$A, 0))-INDEX('UZ-normalized'!$E:$E, MATCH($A97, 'UZ-normalized'!$A:$A, 0))&gt;0, -(7*INDEX('UZ-normalized'!$D:$D, MATCH($A97, 'UZ-normalized'!$A:$A, 0))-INDEX('UZ-normalized'!$E:$E, MATCH($A97, 'UZ-normalized'!$A:$A, 0))), 0), 0)))</f>
        <v>-38</v>
      </c>
      <c r="V97" s="6">
        <f>MIN(0, N97+(IFERROR(IF(8*INDEX('UA-normalized'!$D:$D, MATCH($A97, 'UA-normalized'!$A:$A, 0))-INDEX('UA-normalized'!$E:$E, MATCH($A97, 'UA-normalized'!$A:$A, 0))&gt;0, -(8*INDEX('UA-normalized'!$D:$D, MATCH($A97, 'UA-normalized'!$A:$A, 0))-INDEX('UA-normalized'!$E:$E, MATCH($A97, 'UA-normalized'!$A:$A, 0))), 0), 0))+(IFERROR(IF(8*INDEX('KZ-normalized'!$D:$D, MATCH($A97, 'KZ-normalized'!$A:$A, 0))-INDEX('KZ-normalized'!$E:$E, MATCH($A97, 'KZ-normalized'!$A:$A, 0))&gt;0, -(8*INDEX('KZ-normalized'!$D:$D, MATCH($A97, 'KZ-normalized'!$A:$A, 0))-INDEX('KZ-normalized'!$E:$E, MATCH($A97, 'KZ-normalized'!$A:$A, 0))), 0), 0))+(IFERROR(IF(8*INDEX('UZ-normalized'!$D:$D, MATCH($A97, 'UZ-normalized'!$A:$A, 0))-INDEX('UZ-normalized'!$E:$E, MATCH($A97, 'UZ-normalized'!$A:$A, 0))&gt;0, -(8*INDEX('UZ-normalized'!$D:$D, MATCH($A97, 'UZ-normalized'!$A:$A, 0))-INDEX('UZ-normalized'!$E:$E, MATCH($A97, 'UZ-normalized'!$A:$A, 0))), 0), 0)))</f>
        <v>-55</v>
      </c>
      <c r="W97" s="6">
        <f>MIN(0, N97+(IFERROR(IF(9*INDEX('UA-normalized'!$D:$D, MATCH($A97, 'UA-normalized'!$A:$A, 0))-INDEX('UA-normalized'!$E:$E, MATCH($A97, 'UA-normalized'!$A:$A, 0))&gt;0, -(9*INDEX('UA-normalized'!$D:$D, MATCH($A97, 'UA-normalized'!$A:$A, 0))-INDEX('UA-normalized'!$E:$E, MATCH($A97, 'UA-normalized'!$A:$A, 0))), 0), 0))+(IFERROR(IF(9*INDEX('KZ-normalized'!$D:$D, MATCH($A97, 'KZ-normalized'!$A:$A, 0))-INDEX('KZ-normalized'!$E:$E, MATCH($A97, 'KZ-normalized'!$A:$A, 0))&gt;0, -(9*INDEX('KZ-normalized'!$D:$D, MATCH($A97, 'KZ-normalized'!$A:$A, 0))-INDEX('KZ-normalized'!$E:$E, MATCH($A97, 'KZ-normalized'!$A:$A, 0))), 0), 0))+(IFERROR(IF(9*INDEX('UZ-normalized'!$D:$D, MATCH($A97, 'UZ-normalized'!$A:$A, 0))-INDEX('UZ-normalized'!$E:$E, MATCH($A97, 'UZ-normalized'!$A:$A, 0))&gt;0, -(9*INDEX('UZ-normalized'!$D:$D, MATCH($A97, 'UZ-normalized'!$A:$A, 0))-INDEX('UZ-normalized'!$E:$E, MATCH($A97, 'UZ-normalized'!$A:$A, 0))), 0), 0)))</f>
        <v>-75.7</v>
      </c>
      <c r="X97" s="6">
        <f>MIN(0, N97+(IFERROR(IF(10*INDEX('UA-normalized'!$D:$D, MATCH($A97, 'UA-normalized'!$A:$A, 0))-INDEX('UA-normalized'!$E:$E, MATCH($A97, 'UA-normalized'!$A:$A, 0))&gt;0, -(10*INDEX('UA-normalized'!$D:$D, MATCH($A97, 'UA-normalized'!$A:$A, 0))-INDEX('UA-normalized'!$E:$E, MATCH($A97, 'UA-normalized'!$A:$A, 0))), 0), 0))+(IFERROR(IF(10*INDEX('KZ-normalized'!$D:$D, MATCH($A97, 'KZ-normalized'!$A:$A, 0))-INDEX('KZ-normalized'!$E:$E, MATCH($A97, 'KZ-normalized'!$A:$A, 0))&gt;0, -(10*INDEX('KZ-normalized'!$D:$D, MATCH($A97, 'KZ-normalized'!$A:$A, 0))-INDEX('KZ-normalized'!$E:$E, MATCH($A97, 'KZ-normalized'!$A:$A, 0))), 0), 0))+(IFERROR(IF(10*INDEX('UZ-normalized'!$D:$D, MATCH($A97, 'UZ-normalized'!$A:$A, 0))-INDEX('UZ-normalized'!$E:$E, MATCH($A97, 'UZ-normalized'!$A:$A, 0))&gt;0, -(10*INDEX('UZ-normalized'!$D:$D, MATCH($A97, 'UZ-normalized'!$A:$A, 0))-INDEX('UZ-normalized'!$E:$E, MATCH($A97, 'UZ-normalized'!$A:$A, 0))), 0), 0)))</f>
        <v>-103</v>
      </c>
      <c r="Y97" s="6">
        <f>MIN(0, N97+(IFERROR(IF(11*INDEX('UA-normalized'!$D:$D, MATCH($A97, 'UA-normalized'!$A:$A, 0))-INDEX('UA-normalized'!$E:$E, MATCH($A97, 'UA-normalized'!$A:$A, 0))&gt;0, -(11*INDEX('UA-normalized'!$D:$D, MATCH($A97, 'UA-normalized'!$A:$A, 0))-INDEX('UA-normalized'!$E:$E, MATCH($A97, 'UA-normalized'!$A:$A, 0))), 0), 0))+(IFERROR(IF(11*INDEX('KZ-normalized'!$D:$D, MATCH($A97, 'KZ-normalized'!$A:$A, 0))-INDEX('KZ-normalized'!$E:$E, MATCH($A97, 'KZ-normalized'!$A:$A, 0))&gt;0, -(11*INDEX('KZ-normalized'!$D:$D, MATCH($A97, 'KZ-normalized'!$A:$A, 0))-INDEX('KZ-normalized'!$E:$E, MATCH($A97, 'KZ-normalized'!$A:$A, 0))), 0), 0))+(IFERROR(IF(11*INDEX('UZ-normalized'!$D:$D, MATCH($A97, 'UZ-normalized'!$A:$A, 0))-INDEX('UZ-normalized'!$E:$E, MATCH($A97, 'UZ-normalized'!$A:$A, 0))&gt;0, -(11*INDEX('UZ-normalized'!$D:$D, MATCH($A97, 'UZ-normalized'!$A:$A, 0))-INDEX('UZ-normalized'!$E:$E, MATCH($A97, 'UZ-normalized'!$A:$A, 0))), 0), 0)))</f>
        <v>-130.30000000000001</v>
      </c>
      <c r="Z97" s="6">
        <f>MIN(0, N97+(IFERROR(IF(12*INDEX('UA-normalized'!$D:$D, MATCH($A97, 'UA-normalized'!$A:$A, 0))-INDEX('UA-normalized'!$E:$E, MATCH($A97, 'UA-normalized'!$A:$A, 0))&gt;0, -(12*INDEX('UA-normalized'!$D:$D, MATCH($A97, 'UA-normalized'!$A:$A, 0))-INDEX('UA-normalized'!$E:$E, MATCH($A97, 'UA-normalized'!$A:$A, 0))), 0), 0))+(IFERROR(IF(12*INDEX('KZ-normalized'!$D:$D, MATCH($A97, 'KZ-normalized'!$A:$A, 0))-INDEX('KZ-normalized'!$E:$E, MATCH($A97, 'KZ-normalized'!$A:$A, 0))&gt;0, -(12*INDEX('KZ-normalized'!$D:$D, MATCH($A97, 'KZ-normalized'!$A:$A, 0))-INDEX('KZ-normalized'!$E:$E, MATCH($A97, 'KZ-normalized'!$A:$A, 0))), 0), 0))+(IFERROR(IF(12*INDEX('UZ-normalized'!$D:$D, MATCH($A97, 'UZ-normalized'!$A:$A, 0))-INDEX('UZ-normalized'!$E:$E, MATCH($A97, 'UZ-normalized'!$A:$A, 0))&gt;0, -(12*INDEX('UZ-normalized'!$D:$D, MATCH($A97, 'UZ-normalized'!$A:$A, 0))-INDEX('UZ-normalized'!$E:$E, MATCH($A97, 'UZ-normalized'!$A:$A, 0))), 0), 0)))</f>
        <v>-157.60000000000002</v>
      </c>
      <c r="AA97" s="6">
        <f>MIN(0, N97+(IFERROR(IF(13*INDEX('UA-normalized'!$D:$D, MATCH($A97, 'UA-normalized'!$A:$A, 0))-INDEX('UA-normalized'!$E:$E, MATCH($A97, 'UA-normalized'!$A:$A, 0))&gt;0, -(13*INDEX('UA-normalized'!$D:$D, MATCH($A97, 'UA-normalized'!$A:$A, 0))-INDEX('UA-normalized'!$E:$E, MATCH($A97, 'UA-normalized'!$A:$A, 0))), 0), 0))+(IFERROR(IF(13*INDEX('KZ-normalized'!$D:$D, MATCH($A97, 'KZ-normalized'!$A:$A, 0))-INDEX('KZ-normalized'!$E:$E, MATCH($A97, 'KZ-normalized'!$A:$A, 0))&gt;0, -(13*INDEX('KZ-normalized'!$D:$D, MATCH($A97, 'KZ-normalized'!$A:$A, 0))-INDEX('KZ-normalized'!$E:$E, MATCH($A97, 'KZ-normalized'!$A:$A, 0))), 0), 0))+(IFERROR(IF(13*INDEX('UZ-normalized'!$D:$D, MATCH($A97, 'UZ-normalized'!$A:$A, 0))-INDEX('UZ-normalized'!$E:$E, MATCH($A97, 'UZ-normalized'!$A:$A, 0))&gt;0, -(13*INDEX('UZ-normalized'!$D:$D, MATCH($A97, 'UZ-normalized'!$A:$A, 0))-INDEX('UZ-normalized'!$E:$E, MATCH($A97, 'UZ-normalized'!$A:$A, 0))), 0), 0)))</f>
        <v>-184.9</v>
      </c>
      <c r="AB97" s="6">
        <f>MIN(0, N97+(IFERROR(IF(14*INDEX('UA-normalized'!$D:$D, MATCH($A97, 'UA-normalized'!$A:$A, 0))-INDEX('UA-normalized'!$E:$E, MATCH($A97, 'UA-normalized'!$A:$A, 0))&gt;0, -(14*INDEX('UA-normalized'!$D:$D, MATCH($A97, 'UA-normalized'!$A:$A, 0))-INDEX('UA-normalized'!$E:$E, MATCH($A97, 'UA-normalized'!$A:$A, 0))), 0), 0))+(IFERROR(IF(14*INDEX('KZ-normalized'!$D:$D, MATCH($A97, 'KZ-normalized'!$A:$A, 0))-INDEX('KZ-normalized'!$E:$E, MATCH($A97, 'KZ-normalized'!$A:$A, 0))&gt;0, -(14*INDEX('KZ-normalized'!$D:$D, MATCH($A97, 'KZ-normalized'!$A:$A, 0))-INDEX('KZ-normalized'!$E:$E, MATCH($A97, 'KZ-normalized'!$A:$A, 0))), 0), 0))+(IFERROR(IF(14*INDEX('UZ-normalized'!$D:$D, MATCH($A97, 'UZ-normalized'!$A:$A, 0))-INDEX('UZ-normalized'!$E:$E, MATCH($A97, 'UZ-normalized'!$A:$A, 0))&gt;0, -(14*INDEX('UZ-normalized'!$D:$D, MATCH($A97, 'UZ-normalized'!$A:$A, 0))-INDEX('UZ-normalized'!$E:$E, MATCH($A97, 'UZ-normalized'!$A:$A, 0))), 0), 0)))</f>
        <v>-212.20000000000002</v>
      </c>
      <c r="AC97" s="6">
        <f>MIN(0, N97+(IFERROR(IF(15*INDEX('UA-normalized'!$D:$D, MATCH($A97, 'UA-normalized'!$A:$A, 0))-INDEX('UA-normalized'!$E:$E, MATCH($A97, 'UA-normalized'!$A:$A, 0))&gt;0, -(15*INDEX('UA-normalized'!$D:$D, MATCH($A97, 'UA-normalized'!$A:$A, 0))-INDEX('UA-normalized'!$E:$E, MATCH($A97, 'UA-normalized'!$A:$A, 0))), 0), 0))+(IFERROR(IF(15*INDEX('KZ-normalized'!$D:$D, MATCH($A97, 'KZ-normalized'!$A:$A, 0))-INDEX('KZ-normalized'!$E:$E, MATCH($A97, 'KZ-normalized'!$A:$A, 0))&gt;0, -(15*INDEX('KZ-normalized'!$D:$D, MATCH($A97, 'KZ-normalized'!$A:$A, 0))-INDEX('KZ-normalized'!$E:$E, MATCH($A97, 'KZ-normalized'!$A:$A, 0))), 0), 0))+(IFERROR(IF(15*INDEX('UZ-normalized'!$D:$D, MATCH($A97, 'UZ-normalized'!$A:$A, 0))-INDEX('UZ-normalized'!$E:$E, MATCH($A97, 'UZ-normalized'!$A:$A, 0))&gt;0, -(15*INDEX('UZ-normalized'!$D:$D, MATCH($A97, 'UZ-normalized'!$A:$A, 0))-INDEX('UZ-normalized'!$E:$E, MATCH($A97, 'UZ-normalized'!$A:$A, 0))), 0), 0)))</f>
        <v>-239.5</v>
      </c>
      <c r="AD97" s="6">
        <f>MIN(0, N97+(IFERROR(IF(16*INDEX('UA-normalized'!$D:$D, MATCH($A97, 'UA-normalized'!$A:$A, 0))-INDEX('UA-normalized'!$E:$E, MATCH($A97, 'UA-normalized'!$A:$A, 0))&gt;0, -(16*INDEX('UA-normalized'!$D:$D, MATCH($A97, 'UA-normalized'!$A:$A, 0))-INDEX('UA-normalized'!$E:$E, MATCH($A97, 'UA-normalized'!$A:$A, 0))), 0), 0))+(IFERROR(IF(16*INDEX('KZ-normalized'!$D:$D, MATCH($A97, 'KZ-normalized'!$A:$A, 0))-INDEX('KZ-normalized'!$E:$E, MATCH($A97, 'KZ-normalized'!$A:$A, 0))&gt;0, -(16*INDEX('KZ-normalized'!$D:$D, MATCH($A97, 'KZ-normalized'!$A:$A, 0))-INDEX('KZ-normalized'!$E:$E, MATCH($A97, 'KZ-normalized'!$A:$A, 0))), 0), 0))+(IFERROR(IF(16*INDEX('UZ-normalized'!$D:$D, MATCH($A97, 'UZ-normalized'!$A:$A, 0))-INDEX('UZ-normalized'!$E:$E, MATCH($A97, 'UZ-normalized'!$A:$A, 0))&gt;0, -(16*INDEX('UZ-normalized'!$D:$D, MATCH($A97, 'UZ-normalized'!$A:$A, 0))-INDEX('UZ-normalized'!$E:$E, MATCH($A97, 'UZ-normalized'!$A:$A, 0))), 0), 0)))</f>
        <v>-266.8</v>
      </c>
      <c r="AE97" s="6">
        <f>MIN(0, N97+(IFERROR(IF(17*INDEX('UA-normalized'!$D:$D, MATCH($A97, 'UA-normalized'!$A:$A, 0))-INDEX('UA-normalized'!$E:$E, MATCH($A97, 'UA-normalized'!$A:$A, 0))&gt;0, -(17*INDEX('UA-normalized'!$D:$D, MATCH($A97, 'UA-normalized'!$A:$A, 0))-INDEX('UA-normalized'!$E:$E, MATCH($A97, 'UA-normalized'!$A:$A, 0))), 0), 0))+(IFERROR(IF(17*INDEX('KZ-normalized'!$D:$D, MATCH($A97, 'KZ-normalized'!$A:$A, 0))-INDEX('KZ-normalized'!$E:$E, MATCH($A97, 'KZ-normalized'!$A:$A, 0))&gt;0, -(17*INDEX('KZ-normalized'!$D:$D, MATCH($A97, 'KZ-normalized'!$A:$A, 0))-INDEX('KZ-normalized'!$E:$E, MATCH($A97, 'KZ-normalized'!$A:$A, 0))), 0), 0))+(IFERROR(IF(17*INDEX('UZ-normalized'!$D:$D, MATCH($A97, 'UZ-normalized'!$A:$A, 0))-INDEX('UZ-normalized'!$E:$E, MATCH($A97, 'UZ-normalized'!$A:$A, 0))&gt;0, -(17*INDEX('UZ-normalized'!$D:$D, MATCH($A97, 'UZ-normalized'!$A:$A, 0))-INDEX('UZ-normalized'!$E:$E, MATCH($A97, 'UZ-normalized'!$A:$A, 0))), 0), 0)))</f>
        <v>-294.10000000000002</v>
      </c>
      <c r="AF97" s="6">
        <f>MIN(0, N97+(IFERROR(IF(18*INDEX('UA-normalized'!$D:$D, MATCH($A97, 'UA-normalized'!$A:$A, 0))-INDEX('UA-normalized'!$E:$E, MATCH($A97, 'UA-normalized'!$A:$A, 0))&gt;0, -(18*INDEX('UA-normalized'!$D:$D, MATCH($A97, 'UA-normalized'!$A:$A, 0))-INDEX('UA-normalized'!$E:$E, MATCH($A97, 'UA-normalized'!$A:$A, 0))), 0), 0))+(IFERROR(IF(18*INDEX('KZ-normalized'!$D:$D, MATCH($A97, 'KZ-normalized'!$A:$A, 0))-INDEX('KZ-normalized'!$E:$E, MATCH($A97, 'KZ-normalized'!$A:$A, 0))&gt;0, -(18*INDEX('KZ-normalized'!$D:$D, MATCH($A97, 'KZ-normalized'!$A:$A, 0))-INDEX('KZ-normalized'!$E:$E, MATCH($A97, 'KZ-normalized'!$A:$A, 0))), 0), 0))+(IFERROR(IF(18*INDEX('UZ-normalized'!$D:$D, MATCH($A97, 'UZ-normalized'!$A:$A, 0))-INDEX('UZ-normalized'!$E:$E, MATCH($A97, 'UZ-normalized'!$A:$A, 0))&gt;0, -(18*INDEX('UZ-normalized'!$D:$D, MATCH($A97, 'UZ-normalized'!$A:$A, 0))-INDEX('UZ-normalized'!$E:$E, MATCH($A97, 'UZ-normalized'!$A:$A, 0))), 0), 0)))</f>
        <v>-321.39999999999998</v>
      </c>
      <c r="AG97" s="6">
        <f>MIN(0, N97+(IFERROR(IF(19*INDEX('UA-normalized'!$D:$D, MATCH($A97, 'UA-normalized'!$A:$A, 0))-INDEX('UA-normalized'!$E:$E, MATCH($A97, 'UA-normalized'!$A:$A, 0))&gt;0, -(19*INDEX('UA-normalized'!$D:$D, MATCH($A97, 'UA-normalized'!$A:$A, 0))-INDEX('UA-normalized'!$E:$E, MATCH($A97, 'UA-normalized'!$A:$A, 0))), 0), 0))+(IFERROR(IF(19*INDEX('KZ-normalized'!$D:$D, MATCH($A97, 'KZ-normalized'!$A:$A, 0))-INDEX('KZ-normalized'!$E:$E, MATCH($A97, 'KZ-normalized'!$A:$A, 0))&gt;0, -(19*INDEX('KZ-normalized'!$D:$D, MATCH($A97, 'KZ-normalized'!$A:$A, 0))-INDEX('KZ-normalized'!$E:$E, MATCH($A97, 'KZ-normalized'!$A:$A, 0))), 0), 0))+(IFERROR(IF(19*INDEX('UZ-normalized'!$D:$D, MATCH($A97, 'UZ-normalized'!$A:$A, 0))-INDEX('UZ-normalized'!$E:$E, MATCH($A97, 'UZ-normalized'!$A:$A, 0))&gt;0, -(19*INDEX('UZ-normalized'!$D:$D, MATCH($A97, 'UZ-normalized'!$A:$A, 0))-INDEX('UZ-normalized'!$E:$E, MATCH($A97, 'UZ-normalized'!$A:$A, 0))), 0), 0)))</f>
        <v>-348.70000000000005</v>
      </c>
      <c r="AH97" s="6">
        <f>MIN(0, N97+(IFERROR(IF(20*INDEX('UA-normalized'!$D:$D, MATCH($A97, 'UA-normalized'!$A:$A, 0))-INDEX('UA-normalized'!$E:$E, MATCH($A97, 'UA-normalized'!$A:$A, 0))&gt;0, -(20*INDEX('UA-normalized'!$D:$D, MATCH($A97, 'UA-normalized'!$A:$A, 0))-INDEX('UA-normalized'!$E:$E, MATCH($A97, 'UA-normalized'!$A:$A, 0))), 0), 0))+(IFERROR(IF(20*INDEX('KZ-normalized'!$D:$D, MATCH($A97, 'KZ-normalized'!$A:$A, 0))-INDEX('KZ-normalized'!$E:$E, MATCH($A97, 'KZ-normalized'!$A:$A, 0))&gt;0, -(20*INDEX('KZ-normalized'!$D:$D, MATCH($A97, 'KZ-normalized'!$A:$A, 0))-INDEX('KZ-normalized'!$E:$E, MATCH($A97, 'KZ-normalized'!$A:$A, 0))), 0), 0))+(IFERROR(IF(20*INDEX('UZ-normalized'!$D:$D, MATCH($A97, 'UZ-normalized'!$A:$A, 0))-INDEX('UZ-normalized'!$E:$E, MATCH($A97, 'UZ-normalized'!$A:$A, 0))&gt;0, -(20*INDEX('UZ-normalized'!$D:$D, MATCH($A97, 'UZ-normalized'!$A:$A, 0))-INDEX('UZ-normalized'!$E:$E, MATCH($A97, 'UZ-normalized'!$A:$A, 0))), 0), 0)))</f>
        <v>-376</v>
      </c>
      <c r="AI97" s="6">
        <f>MIN(0, N97+(IFERROR(IF(21*INDEX('UA-normalized'!$D:$D, MATCH($A97, 'UA-normalized'!$A:$A, 0))-INDEX('UA-normalized'!$E:$E, MATCH($A97, 'UA-normalized'!$A:$A, 0))&gt;0, -(21*INDEX('UA-normalized'!$D:$D, MATCH($A97, 'UA-normalized'!$A:$A, 0))-INDEX('UA-normalized'!$E:$E, MATCH($A97, 'UA-normalized'!$A:$A, 0))), 0), 0))+(IFERROR(IF(21*INDEX('KZ-normalized'!$D:$D, MATCH($A97, 'KZ-normalized'!$A:$A, 0))-INDEX('KZ-normalized'!$E:$E, MATCH($A97, 'KZ-normalized'!$A:$A, 0))&gt;0, -(21*INDEX('KZ-normalized'!$D:$D, MATCH($A97, 'KZ-normalized'!$A:$A, 0))-INDEX('KZ-normalized'!$E:$E, MATCH($A97, 'KZ-normalized'!$A:$A, 0))), 0), 0))+(IFERROR(IF(21*INDEX('UZ-normalized'!$D:$D, MATCH($A97, 'UZ-normalized'!$A:$A, 0))-INDEX('UZ-normalized'!$E:$E, MATCH($A97, 'UZ-normalized'!$A:$A, 0))&gt;0, -(21*INDEX('UZ-normalized'!$D:$D, MATCH($A97, 'UZ-normalized'!$A:$A, 0))-INDEX('UZ-normalized'!$E:$E, MATCH($A97, 'UZ-normalized'!$A:$A, 0))), 0), 0)))</f>
        <v>-403.3</v>
      </c>
      <c r="AJ97" s="6">
        <f>MIN(0, N97+(IFERROR(IF(22*INDEX('UA-normalized'!$D:$D, MATCH($A97, 'UA-normalized'!$A:$A, 0))-INDEX('UA-normalized'!$E:$E, MATCH($A97, 'UA-normalized'!$A:$A, 0))&gt;0, -(22*INDEX('UA-normalized'!$D:$D, MATCH($A97, 'UA-normalized'!$A:$A, 0))-INDEX('UA-normalized'!$E:$E, MATCH($A97, 'UA-normalized'!$A:$A, 0))), 0), 0))+(IFERROR(IF(22*INDEX('KZ-normalized'!$D:$D, MATCH($A97, 'KZ-normalized'!$A:$A, 0))-INDEX('KZ-normalized'!$E:$E, MATCH($A97, 'KZ-normalized'!$A:$A, 0))&gt;0, -(22*INDEX('KZ-normalized'!$D:$D, MATCH($A97, 'KZ-normalized'!$A:$A, 0))-INDEX('KZ-normalized'!$E:$E, MATCH($A97, 'KZ-normalized'!$A:$A, 0))), 0), 0))+(IFERROR(IF(22*INDEX('UZ-normalized'!$D:$D, MATCH($A97, 'UZ-normalized'!$A:$A, 0))-INDEX('UZ-normalized'!$E:$E, MATCH($A97, 'UZ-normalized'!$A:$A, 0))&gt;0, -(22*INDEX('UZ-normalized'!$D:$D, MATCH($A97, 'UZ-normalized'!$A:$A, 0))-INDEX('UZ-normalized'!$E:$E, MATCH($A97, 'UZ-normalized'!$A:$A, 0))), 0), 0)))</f>
        <v>-430.6</v>
      </c>
      <c r="AK97" s="6">
        <f>MIN(0, N97+(IFERROR(IF(23*INDEX('UA-normalized'!$D:$D, MATCH($A97, 'UA-normalized'!$A:$A, 0))-INDEX('UA-normalized'!$E:$E, MATCH($A97, 'UA-normalized'!$A:$A, 0))&gt;0, -(23*INDEX('UA-normalized'!$D:$D, MATCH($A97, 'UA-normalized'!$A:$A, 0))-INDEX('UA-normalized'!$E:$E, MATCH($A97, 'UA-normalized'!$A:$A, 0))), 0), 0))+(IFERROR(IF(23*INDEX('KZ-normalized'!$D:$D, MATCH($A97, 'KZ-normalized'!$A:$A, 0))-INDEX('KZ-normalized'!$E:$E, MATCH($A97, 'KZ-normalized'!$A:$A, 0))&gt;0, -(23*INDEX('KZ-normalized'!$D:$D, MATCH($A97, 'KZ-normalized'!$A:$A, 0))-INDEX('KZ-normalized'!$E:$E, MATCH($A97, 'KZ-normalized'!$A:$A, 0))), 0), 0))+(IFERROR(IF(23*INDEX('UZ-normalized'!$D:$D, MATCH($A97, 'UZ-normalized'!$A:$A, 0))-INDEX('UZ-normalized'!$E:$E, MATCH($A97, 'UZ-normalized'!$A:$A, 0))&gt;0, -(23*INDEX('UZ-normalized'!$D:$D, MATCH($A97, 'UZ-normalized'!$A:$A, 0))-INDEX('UZ-normalized'!$E:$E, MATCH($A97, 'UZ-normalized'!$A:$A, 0))), 0), 0)))</f>
        <v>-457.9</v>
      </c>
      <c r="AL97" s="6">
        <f>MIN(0, N97+(IFERROR(IF(24*INDEX('UA-normalized'!$D:$D, MATCH($A97, 'UA-normalized'!$A:$A, 0))-INDEX('UA-normalized'!$E:$E, MATCH($A97, 'UA-normalized'!$A:$A, 0))&gt;0, -(24*INDEX('UA-normalized'!$D:$D, MATCH($A97, 'UA-normalized'!$A:$A, 0))-INDEX('UA-normalized'!$E:$E, MATCH($A97, 'UA-normalized'!$A:$A, 0))), 0), 0))+(IFERROR(IF(24*INDEX('KZ-normalized'!$D:$D, MATCH($A97, 'KZ-normalized'!$A:$A, 0))-INDEX('KZ-normalized'!$E:$E, MATCH($A97, 'KZ-normalized'!$A:$A, 0))&gt;0, -(24*INDEX('KZ-normalized'!$D:$D, MATCH($A97, 'KZ-normalized'!$A:$A, 0))-INDEX('KZ-normalized'!$E:$E, MATCH($A97, 'KZ-normalized'!$A:$A, 0))), 0), 0))+(IFERROR(IF(24*INDEX('UZ-normalized'!$D:$D, MATCH($A97, 'UZ-normalized'!$A:$A, 0))-INDEX('UZ-normalized'!$E:$E, MATCH($A97, 'UZ-normalized'!$A:$A, 0))&gt;0, -(24*INDEX('UZ-normalized'!$D:$D, MATCH($A97, 'UZ-normalized'!$A:$A, 0))-INDEX('UZ-normalized'!$E:$E, MATCH($A97, 'UZ-normalized'!$A:$A, 0))), 0), 0)))</f>
        <v>-485.20000000000005</v>
      </c>
      <c r="AM97" s="6">
        <f>MIN(0, N97+(IFERROR(IF(25*INDEX('UA-normalized'!$D:$D, MATCH($A97, 'UA-normalized'!$A:$A, 0))-INDEX('UA-normalized'!$E:$E, MATCH($A97, 'UA-normalized'!$A:$A, 0))&gt;0, -(25*INDEX('UA-normalized'!$D:$D, MATCH($A97, 'UA-normalized'!$A:$A, 0))-INDEX('UA-normalized'!$E:$E, MATCH($A97, 'UA-normalized'!$A:$A, 0))), 0), 0))+(IFERROR(IF(25*INDEX('KZ-normalized'!$D:$D, MATCH($A97, 'KZ-normalized'!$A:$A, 0))-INDEX('KZ-normalized'!$E:$E, MATCH($A97, 'KZ-normalized'!$A:$A, 0))&gt;0, -(25*INDEX('KZ-normalized'!$D:$D, MATCH($A97, 'KZ-normalized'!$A:$A, 0))-INDEX('KZ-normalized'!$E:$E, MATCH($A97, 'KZ-normalized'!$A:$A, 0))), 0), 0))+(IFERROR(IF(25*INDEX('UZ-normalized'!$D:$D, MATCH($A97, 'UZ-normalized'!$A:$A, 0))-INDEX('UZ-normalized'!$E:$E, MATCH($A97, 'UZ-normalized'!$A:$A, 0))&gt;0, -(25*INDEX('UZ-normalized'!$D:$D, MATCH($A97, 'UZ-normalized'!$A:$A, 0))-INDEX('UZ-normalized'!$E:$E, MATCH($A97, 'UZ-normalized'!$A:$A, 0))), 0), 0)))</f>
        <v>-512.5</v>
      </c>
      <c r="AN97" s="6">
        <f>MIN(0, N97+(IFERROR(IF(26*INDEX('UA-normalized'!$D:$D, MATCH($A97, 'UA-normalized'!$A:$A, 0))-INDEX('UA-normalized'!$E:$E, MATCH($A97, 'UA-normalized'!$A:$A, 0))&gt;0, -(26*INDEX('UA-normalized'!$D:$D, MATCH($A97, 'UA-normalized'!$A:$A, 0))-INDEX('UA-normalized'!$E:$E, MATCH($A97, 'UA-normalized'!$A:$A, 0))), 0), 0))+(IFERROR(IF(26*INDEX('KZ-normalized'!$D:$D, MATCH($A97, 'KZ-normalized'!$A:$A, 0))-INDEX('KZ-normalized'!$E:$E, MATCH($A97, 'KZ-normalized'!$A:$A, 0))&gt;0, -(26*INDEX('KZ-normalized'!$D:$D, MATCH($A97, 'KZ-normalized'!$A:$A, 0))-INDEX('KZ-normalized'!$E:$E, MATCH($A97, 'KZ-normalized'!$A:$A, 0))), 0), 0))+(IFERROR(IF(26*INDEX('UZ-normalized'!$D:$D, MATCH($A97, 'UZ-normalized'!$A:$A, 0))-INDEX('UZ-normalized'!$E:$E, MATCH($A97, 'UZ-normalized'!$A:$A, 0))&gt;0, -(26*INDEX('UZ-normalized'!$D:$D, MATCH($A97, 'UZ-normalized'!$A:$A, 0))-INDEX('UZ-normalized'!$E:$E, MATCH($A97, 'UZ-normalized'!$A:$A, 0))), 0), 0)))</f>
        <v>-539.79999999999995</v>
      </c>
      <c r="AO97" s="6">
        <f>MIN(0, N97+(IFERROR(IF(27*INDEX('UA-normalized'!$D:$D, MATCH($A97, 'UA-normalized'!$A:$A, 0))-INDEX('UA-normalized'!$E:$E, MATCH($A97, 'UA-normalized'!$A:$A, 0))&gt;0, -(27*INDEX('UA-normalized'!$D:$D, MATCH($A97, 'UA-normalized'!$A:$A, 0))-INDEX('UA-normalized'!$E:$E, MATCH($A97, 'UA-normalized'!$A:$A, 0))), 0), 0))+(IFERROR(IF(27*INDEX('KZ-normalized'!$D:$D, MATCH($A97, 'KZ-normalized'!$A:$A, 0))-INDEX('KZ-normalized'!$E:$E, MATCH($A97, 'KZ-normalized'!$A:$A, 0))&gt;0, -(27*INDEX('KZ-normalized'!$D:$D, MATCH($A97, 'KZ-normalized'!$A:$A, 0))-INDEX('KZ-normalized'!$E:$E, MATCH($A97, 'KZ-normalized'!$A:$A, 0))), 0), 0))+(IFERROR(IF(27*INDEX('UZ-normalized'!$D:$D, MATCH($A97, 'UZ-normalized'!$A:$A, 0))-INDEX('UZ-normalized'!$E:$E, MATCH($A97, 'UZ-normalized'!$A:$A, 0))&gt;0, -(27*INDEX('UZ-normalized'!$D:$D, MATCH($A97, 'UZ-normalized'!$A:$A, 0))-INDEX('UZ-normalized'!$E:$E, MATCH($A97, 'UZ-normalized'!$A:$A, 0))), 0), 0)))</f>
        <v>-567.1</v>
      </c>
      <c r="AP97" s="6">
        <f>MIN(0, N97+(IFERROR(IF(28*INDEX('UA-normalized'!$D:$D, MATCH($A97, 'UA-normalized'!$A:$A, 0))-INDEX('UA-normalized'!$E:$E, MATCH($A97, 'UA-normalized'!$A:$A, 0))&gt;0, -(28*INDEX('UA-normalized'!$D:$D, MATCH($A97, 'UA-normalized'!$A:$A, 0))-INDEX('UA-normalized'!$E:$E, MATCH($A97, 'UA-normalized'!$A:$A, 0))), 0), 0))+(IFERROR(IF(28*INDEX('KZ-normalized'!$D:$D, MATCH($A97, 'KZ-normalized'!$A:$A, 0))-INDEX('KZ-normalized'!$E:$E, MATCH($A97, 'KZ-normalized'!$A:$A, 0))&gt;0, -(28*INDEX('KZ-normalized'!$D:$D, MATCH($A97, 'KZ-normalized'!$A:$A, 0))-INDEX('KZ-normalized'!$E:$E, MATCH($A97, 'KZ-normalized'!$A:$A, 0))), 0), 0))+(IFERROR(IF(28*INDEX('UZ-normalized'!$D:$D, MATCH($A97, 'UZ-normalized'!$A:$A, 0))-INDEX('UZ-normalized'!$E:$E, MATCH($A97, 'UZ-normalized'!$A:$A, 0))&gt;0, -(28*INDEX('UZ-normalized'!$D:$D, MATCH($A97, 'UZ-normalized'!$A:$A, 0))-INDEX('UZ-normalized'!$E:$E, MATCH($A97, 'UZ-normalized'!$A:$A, 0))), 0), 0)))</f>
        <v>-594.40000000000009</v>
      </c>
      <c r="AQ97" s="6">
        <f>MIN(0, N97+(IFERROR(IF(29*INDEX('UA-normalized'!$D:$D, MATCH($A97, 'UA-normalized'!$A:$A, 0))-INDEX('UA-normalized'!$E:$E, MATCH($A97, 'UA-normalized'!$A:$A, 0))&gt;0, -(29*INDEX('UA-normalized'!$D:$D, MATCH($A97, 'UA-normalized'!$A:$A, 0))-INDEX('UA-normalized'!$E:$E, MATCH($A97, 'UA-normalized'!$A:$A, 0))), 0), 0))+(IFERROR(IF(29*INDEX('KZ-normalized'!$D:$D, MATCH($A97, 'KZ-normalized'!$A:$A, 0))-INDEX('KZ-normalized'!$E:$E, MATCH($A97, 'KZ-normalized'!$A:$A, 0))&gt;0, -(29*INDEX('KZ-normalized'!$D:$D, MATCH($A97, 'KZ-normalized'!$A:$A, 0))-INDEX('KZ-normalized'!$E:$E, MATCH($A97, 'KZ-normalized'!$A:$A, 0))), 0), 0))+(IFERROR(IF(29*INDEX('UZ-normalized'!$D:$D, MATCH($A97, 'UZ-normalized'!$A:$A, 0))-INDEX('UZ-normalized'!$E:$E, MATCH($A97, 'UZ-normalized'!$A:$A, 0))&gt;0, -(29*INDEX('UZ-normalized'!$D:$D, MATCH($A97, 'UZ-normalized'!$A:$A, 0))-INDEX('UZ-normalized'!$E:$E, MATCH($A97, 'UZ-normalized'!$A:$A, 0))), 0), 0)))</f>
        <v>-621.70000000000005</v>
      </c>
      <c r="AR97" s="6">
        <f>MIN(0, N97+(IFERROR(IF(30*INDEX('UA-normalized'!$D:$D, MATCH($A97, 'UA-normalized'!$A:$A, 0))-INDEX('UA-normalized'!$E:$E, MATCH($A97, 'UA-normalized'!$A:$A, 0))&gt;0, -(30*INDEX('UA-normalized'!$D:$D, MATCH($A97, 'UA-normalized'!$A:$A, 0))-INDEX('UA-normalized'!$E:$E, MATCH($A97, 'UA-normalized'!$A:$A, 0))), 0), 0))+(IFERROR(IF(30*INDEX('KZ-normalized'!$D:$D, MATCH($A97, 'KZ-normalized'!$A:$A, 0))-INDEX('KZ-normalized'!$E:$E, MATCH($A97, 'KZ-normalized'!$A:$A, 0))&gt;0, -(30*INDEX('KZ-normalized'!$D:$D, MATCH($A97, 'KZ-normalized'!$A:$A, 0))-INDEX('KZ-normalized'!$E:$E, MATCH($A97, 'KZ-normalized'!$A:$A, 0))), 0), 0))+(IFERROR(IF(30*INDEX('UZ-normalized'!$D:$D, MATCH($A97, 'UZ-normalized'!$A:$A, 0))-INDEX('UZ-normalized'!$E:$E, MATCH($A97, 'UZ-normalized'!$A:$A, 0))&gt;0, -(30*INDEX('UZ-normalized'!$D:$D, MATCH($A97, 'UZ-normalized'!$A:$A, 0))-INDEX('UZ-normalized'!$E:$E, MATCH($A97, 'UZ-normalized'!$A:$A, 0))), 0), 0)))</f>
        <v>-649</v>
      </c>
    </row>
    <row r="98" spans="1:44" x14ac:dyDescent="0.25">
      <c r="A98" s="8" t="s">
        <v>247</v>
      </c>
      <c r="B98" s="8" t="s">
        <v>180</v>
      </c>
      <c r="C98" s="8" t="s">
        <v>235</v>
      </c>
      <c r="D98" s="8" t="s">
        <v>248</v>
      </c>
      <c r="G98">
        <v>-10</v>
      </c>
      <c r="N98">
        <f t="shared" si="1"/>
        <v>-10</v>
      </c>
      <c r="O98" s="6">
        <f>MIN(0, N98+(IFERROR(IF(1*INDEX('UA-normalized'!$D:$D, MATCH($A98, 'UA-normalized'!$A:$A, 0))-INDEX('UA-normalized'!$E:$E, MATCH($A98, 'UA-normalized'!$A:$A, 0))&gt;0, -(1*INDEX('UA-normalized'!$D:$D, MATCH($A98, 'UA-normalized'!$A:$A, 0))-INDEX('UA-normalized'!$E:$E, MATCH($A98, 'UA-normalized'!$A:$A, 0))), 0), 0))+(IFERROR(IF(1*INDEX('KZ-normalized'!$D:$D, MATCH($A98, 'KZ-normalized'!$A:$A, 0))-INDEX('KZ-normalized'!$E:$E, MATCH($A98, 'KZ-normalized'!$A:$A, 0))&gt;0, -(1*INDEX('KZ-normalized'!$D:$D, MATCH($A98, 'KZ-normalized'!$A:$A, 0))-INDEX('KZ-normalized'!$E:$E, MATCH($A98, 'KZ-normalized'!$A:$A, 0))), 0), 0))+(IFERROR(IF(1*INDEX('UZ-normalized'!$D:$D, MATCH($A98, 'UZ-normalized'!$A:$A, 0))-INDEX('UZ-normalized'!$E:$E, MATCH($A98, 'UZ-normalized'!$A:$A, 0))&gt;0, -(1*INDEX('UZ-normalized'!$D:$D, MATCH($A98, 'UZ-normalized'!$A:$A, 0))-INDEX('UZ-normalized'!$E:$E, MATCH($A98, 'UZ-normalized'!$A:$A, 0))), 0), 0)))</f>
        <v>-10</v>
      </c>
      <c r="P98" s="6">
        <f>MIN(0, N98+(IFERROR(IF(2*INDEX('UA-normalized'!$D:$D, MATCH($A98, 'UA-normalized'!$A:$A, 0))-INDEX('UA-normalized'!$E:$E, MATCH($A98, 'UA-normalized'!$A:$A, 0))&gt;0, -(2*INDEX('UA-normalized'!$D:$D, MATCH($A98, 'UA-normalized'!$A:$A, 0))-INDEX('UA-normalized'!$E:$E, MATCH($A98, 'UA-normalized'!$A:$A, 0))), 0), 0))+(IFERROR(IF(2*INDEX('KZ-normalized'!$D:$D, MATCH($A98, 'KZ-normalized'!$A:$A, 0))-INDEX('KZ-normalized'!$E:$E, MATCH($A98, 'KZ-normalized'!$A:$A, 0))&gt;0, -(2*INDEX('KZ-normalized'!$D:$D, MATCH($A98, 'KZ-normalized'!$A:$A, 0))-INDEX('KZ-normalized'!$E:$E, MATCH($A98, 'KZ-normalized'!$A:$A, 0))), 0), 0))+(IFERROR(IF(2*INDEX('UZ-normalized'!$D:$D, MATCH($A98, 'UZ-normalized'!$A:$A, 0))-INDEX('UZ-normalized'!$E:$E, MATCH($A98, 'UZ-normalized'!$A:$A, 0))&gt;0, -(2*INDEX('UZ-normalized'!$D:$D, MATCH($A98, 'UZ-normalized'!$A:$A, 0))-INDEX('UZ-normalized'!$E:$E, MATCH($A98, 'UZ-normalized'!$A:$A, 0))), 0), 0)))</f>
        <v>-10</v>
      </c>
      <c r="Q98" s="6">
        <f>MIN(0, N98+(IFERROR(IF(3*INDEX('UA-normalized'!$D:$D, MATCH($A98, 'UA-normalized'!$A:$A, 0))-INDEX('UA-normalized'!$E:$E, MATCH($A98, 'UA-normalized'!$A:$A, 0))&gt;0, -(3*INDEX('UA-normalized'!$D:$D, MATCH($A98, 'UA-normalized'!$A:$A, 0))-INDEX('UA-normalized'!$E:$E, MATCH($A98, 'UA-normalized'!$A:$A, 0))), 0), 0))+(IFERROR(IF(3*INDEX('KZ-normalized'!$D:$D, MATCH($A98, 'KZ-normalized'!$A:$A, 0))-INDEX('KZ-normalized'!$E:$E, MATCH($A98, 'KZ-normalized'!$A:$A, 0))&gt;0, -(3*INDEX('KZ-normalized'!$D:$D, MATCH($A98, 'KZ-normalized'!$A:$A, 0))-INDEX('KZ-normalized'!$E:$E, MATCH($A98, 'KZ-normalized'!$A:$A, 0))), 0), 0))+(IFERROR(IF(3*INDEX('UZ-normalized'!$D:$D, MATCH($A98, 'UZ-normalized'!$A:$A, 0))-INDEX('UZ-normalized'!$E:$E, MATCH($A98, 'UZ-normalized'!$A:$A, 0))&gt;0, -(3*INDEX('UZ-normalized'!$D:$D, MATCH($A98, 'UZ-normalized'!$A:$A, 0))-INDEX('UZ-normalized'!$E:$E, MATCH($A98, 'UZ-normalized'!$A:$A, 0))), 0), 0)))</f>
        <v>-10</v>
      </c>
      <c r="R98" s="6">
        <f>MIN(0, N98+(IFERROR(IF(4*INDEX('UA-normalized'!$D:$D, MATCH($A98, 'UA-normalized'!$A:$A, 0))-INDEX('UA-normalized'!$E:$E, MATCH($A98, 'UA-normalized'!$A:$A, 0))&gt;0, -(4*INDEX('UA-normalized'!$D:$D, MATCH($A98, 'UA-normalized'!$A:$A, 0))-INDEX('UA-normalized'!$E:$E, MATCH($A98, 'UA-normalized'!$A:$A, 0))), 0), 0))+(IFERROR(IF(4*INDEX('KZ-normalized'!$D:$D, MATCH($A98, 'KZ-normalized'!$A:$A, 0))-INDEX('KZ-normalized'!$E:$E, MATCH($A98, 'KZ-normalized'!$A:$A, 0))&gt;0, -(4*INDEX('KZ-normalized'!$D:$D, MATCH($A98, 'KZ-normalized'!$A:$A, 0))-INDEX('KZ-normalized'!$E:$E, MATCH($A98, 'KZ-normalized'!$A:$A, 0))), 0), 0))+(IFERROR(IF(4*INDEX('UZ-normalized'!$D:$D, MATCH($A98, 'UZ-normalized'!$A:$A, 0))-INDEX('UZ-normalized'!$E:$E, MATCH($A98, 'UZ-normalized'!$A:$A, 0))&gt;0, -(4*INDEX('UZ-normalized'!$D:$D, MATCH($A98, 'UZ-normalized'!$A:$A, 0))-INDEX('UZ-normalized'!$E:$E, MATCH($A98, 'UZ-normalized'!$A:$A, 0))), 0), 0)))</f>
        <v>-10</v>
      </c>
      <c r="S98" s="6">
        <f>MIN(0, N98+(IFERROR(IF(5*INDEX('UA-normalized'!$D:$D, MATCH($A98, 'UA-normalized'!$A:$A, 0))-INDEX('UA-normalized'!$E:$E, MATCH($A98, 'UA-normalized'!$A:$A, 0))&gt;0, -(5*INDEX('UA-normalized'!$D:$D, MATCH($A98, 'UA-normalized'!$A:$A, 0))-INDEX('UA-normalized'!$E:$E, MATCH($A98, 'UA-normalized'!$A:$A, 0))), 0), 0))+(IFERROR(IF(5*INDEX('KZ-normalized'!$D:$D, MATCH($A98, 'KZ-normalized'!$A:$A, 0))-INDEX('KZ-normalized'!$E:$E, MATCH($A98, 'KZ-normalized'!$A:$A, 0))&gt;0, -(5*INDEX('KZ-normalized'!$D:$D, MATCH($A98, 'KZ-normalized'!$A:$A, 0))-INDEX('KZ-normalized'!$E:$E, MATCH($A98, 'KZ-normalized'!$A:$A, 0))), 0), 0))+(IFERROR(IF(5*INDEX('UZ-normalized'!$D:$D, MATCH($A98, 'UZ-normalized'!$A:$A, 0))-INDEX('UZ-normalized'!$E:$E, MATCH($A98, 'UZ-normalized'!$A:$A, 0))&gt;0, -(5*INDEX('UZ-normalized'!$D:$D, MATCH($A98, 'UZ-normalized'!$A:$A, 0))-INDEX('UZ-normalized'!$E:$E, MATCH($A98, 'UZ-normalized'!$A:$A, 0))), 0), 0)))</f>
        <v>-10</v>
      </c>
      <c r="T98" s="6">
        <f>MIN(0, N98+(IFERROR(IF(6*INDEX('UA-normalized'!$D:$D, MATCH($A98, 'UA-normalized'!$A:$A, 0))-INDEX('UA-normalized'!$E:$E, MATCH($A98, 'UA-normalized'!$A:$A, 0))&gt;0, -(6*INDEX('UA-normalized'!$D:$D, MATCH($A98, 'UA-normalized'!$A:$A, 0))-INDEX('UA-normalized'!$E:$E, MATCH($A98, 'UA-normalized'!$A:$A, 0))), 0), 0))+(IFERROR(IF(6*INDEX('KZ-normalized'!$D:$D, MATCH($A98, 'KZ-normalized'!$A:$A, 0))-INDEX('KZ-normalized'!$E:$E, MATCH($A98, 'KZ-normalized'!$A:$A, 0))&gt;0, -(6*INDEX('KZ-normalized'!$D:$D, MATCH($A98, 'KZ-normalized'!$A:$A, 0))-INDEX('KZ-normalized'!$E:$E, MATCH($A98, 'KZ-normalized'!$A:$A, 0))), 0), 0))+(IFERROR(IF(6*INDEX('UZ-normalized'!$D:$D, MATCH($A98, 'UZ-normalized'!$A:$A, 0))-INDEX('UZ-normalized'!$E:$E, MATCH($A98, 'UZ-normalized'!$A:$A, 0))&gt;0, -(6*INDEX('UZ-normalized'!$D:$D, MATCH($A98, 'UZ-normalized'!$A:$A, 0))-INDEX('UZ-normalized'!$E:$E, MATCH($A98, 'UZ-normalized'!$A:$A, 0))), 0), 0)))</f>
        <v>-10</v>
      </c>
      <c r="U98" s="6">
        <f>MIN(0, N98+(IFERROR(IF(7*INDEX('UA-normalized'!$D:$D, MATCH($A98, 'UA-normalized'!$A:$A, 0))-INDEX('UA-normalized'!$E:$E, MATCH($A98, 'UA-normalized'!$A:$A, 0))&gt;0, -(7*INDEX('UA-normalized'!$D:$D, MATCH($A98, 'UA-normalized'!$A:$A, 0))-INDEX('UA-normalized'!$E:$E, MATCH($A98, 'UA-normalized'!$A:$A, 0))), 0), 0))+(IFERROR(IF(7*INDEX('KZ-normalized'!$D:$D, MATCH($A98, 'KZ-normalized'!$A:$A, 0))-INDEX('KZ-normalized'!$E:$E, MATCH($A98, 'KZ-normalized'!$A:$A, 0))&gt;0, -(7*INDEX('KZ-normalized'!$D:$D, MATCH($A98, 'KZ-normalized'!$A:$A, 0))-INDEX('KZ-normalized'!$E:$E, MATCH($A98, 'KZ-normalized'!$A:$A, 0))), 0), 0))+(IFERROR(IF(7*INDEX('UZ-normalized'!$D:$D, MATCH($A98, 'UZ-normalized'!$A:$A, 0))-INDEX('UZ-normalized'!$E:$E, MATCH($A98, 'UZ-normalized'!$A:$A, 0))&gt;0, -(7*INDEX('UZ-normalized'!$D:$D, MATCH($A98, 'UZ-normalized'!$A:$A, 0))-INDEX('UZ-normalized'!$E:$E, MATCH($A98, 'UZ-normalized'!$A:$A, 0))), 0), 0)))</f>
        <v>-18</v>
      </c>
      <c r="V98" s="6">
        <f>MIN(0, N98+(IFERROR(IF(8*INDEX('UA-normalized'!$D:$D, MATCH($A98, 'UA-normalized'!$A:$A, 0))-INDEX('UA-normalized'!$E:$E, MATCH($A98, 'UA-normalized'!$A:$A, 0))&gt;0, -(8*INDEX('UA-normalized'!$D:$D, MATCH($A98, 'UA-normalized'!$A:$A, 0))-INDEX('UA-normalized'!$E:$E, MATCH($A98, 'UA-normalized'!$A:$A, 0))), 0), 0))+(IFERROR(IF(8*INDEX('KZ-normalized'!$D:$D, MATCH($A98, 'KZ-normalized'!$A:$A, 0))-INDEX('KZ-normalized'!$E:$E, MATCH($A98, 'KZ-normalized'!$A:$A, 0))&gt;0, -(8*INDEX('KZ-normalized'!$D:$D, MATCH($A98, 'KZ-normalized'!$A:$A, 0))-INDEX('KZ-normalized'!$E:$E, MATCH($A98, 'KZ-normalized'!$A:$A, 0))), 0), 0))+(IFERROR(IF(8*INDEX('UZ-normalized'!$D:$D, MATCH($A98, 'UZ-normalized'!$A:$A, 0))-INDEX('UZ-normalized'!$E:$E, MATCH($A98, 'UZ-normalized'!$A:$A, 0))&gt;0, -(8*INDEX('UZ-normalized'!$D:$D, MATCH($A98, 'UZ-normalized'!$A:$A, 0))-INDEX('UZ-normalized'!$E:$E, MATCH($A98, 'UZ-normalized'!$A:$A, 0))), 0), 0)))</f>
        <v>-28</v>
      </c>
      <c r="W98" s="6">
        <f>MIN(0, N98+(IFERROR(IF(9*INDEX('UA-normalized'!$D:$D, MATCH($A98, 'UA-normalized'!$A:$A, 0))-INDEX('UA-normalized'!$E:$E, MATCH($A98, 'UA-normalized'!$A:$A, 0))&gt;0, -(9*INDEX('UA-normalized'!$D:$D, MATCH($A98, 'UA-normalized'!$A:$A, 0))-INDEX('UA-normalized'!$E:$E, MATCH($A98, 'UA-normalized'!$A:$A, 0))), 0), 0))+(IFERROR(IF(9*INDEX('KZ-normalized'!$D:$D, MATCH($A98, 'KZ-normalized'!$A:$A, 0))-INDEX('KZ-normalized'!$E:$E, MATCH($A98, 'KZ-normalized'!$A:$A, 0))&gt;0, -(9*INDEX('KZ-normalized'!$D:$D, MATCH($A98, 'KZ-normalized'!$A:$A, 0))-INDEX('KZ-normalized'!$E:$E, MATCH($A98, 'KZ-normalized'!$A:$A, 0))), 0), 0))+(IFERROR(IF(9*INDEX('UZ-normalized'!$D:$D, MATCH($A98, 'UZ-normalized'!$A:$A, 0))-INDEX('UZ-normalized'!$E:$E, MATCH($A98, 'UZ-normalized'!$A:$A, 0))&gt;0, -(9*INDEX('UZ-normalized'!$D:$D, MATCH($A98, 'UZ-normalized'!$A:$A, 0))-INDEX('UZ-normalized'!$E:$E, MATCH($A98, 'UZ-normalized'!$A:$A, 0))), 0), 0)))</f>
        <v>-38</v>
      </c>
      <c r="X98" s="6">
        <f>MIN(0, N98+(IFERROR(IF(10*INDEX('UA-normalized'!$D:$D, MATCH($A98, 'UA-normalized'!$A:$A, 0))-INDEX('UA-normalized'!$E:$E, MATCH($A98, 'UA-normalized'!$A:$A, 0))&gt;0, -(10*INDEX('UA-normalized'!$D:$D, MATCH($A98, 'UA-normalized'!$A:$A, 0))-INDEX('UA-normalized'!$E:$E, MATCH($A98, 'UA-normalized'!$A:$A, 0))), 0), 0))+(IFERROR(IF(10*INDEX('KZ-normalized'!$D:$D, MATCH($A98, 'KZ-normalized'!$A:$A, 0))-INDEX('KZ-normalized'!$E:$E, MATCH($A98, 'KZ-normalized'!$A:$A, 0))&gt;0, -(10*INDEX('KZ-normalized'!$D:$D, MATCH($A98, 'KZ-normalized'!$A:$A, 0))-INDEX('KZ-normalized'!$E:$E, MATCH($A98, 'KZ-normalized'!$A:$A, 0))), 0), 0))+(IFERROR(IF(10*INDEX('UZ-normalized'!$D:$D, MATCH($A98, 'UZ-normalized'!$A:$A, 0))-INDEX('UZ-normalized'!$E:$E, MATCH($A98, 'UZ-normalized'!$A:$A, 0))&gt;0, -(10*INDEX('UZ-normalized'!$D:$D, MATCH($A98, 'UZ-normalized'!$A:$A, 0))-INDEX('UZ-normalized'!$E:$E, MATCH($A98, 'UZ-normalized'!$A:$A, 0))), 0), 0)))</f>
        <v>-48</v>
      </c>
      <c r="Y98" s="6">
        <f>MIN(0, N98+(IFERROR(IF(11*INDEX('UA-normalized'!$D:$D, MATCH($A98, 'UA-normalized'!$A:$A, 0))-INDEX('UA-normalized'!$E:$E, MATCH($A98, 'UA-normalized'!$A:$A, 0))&gt;0, -(11*INDEX('UA-normalized'!$D:$D, MATCH($A98, 'UA-normalized'!$A:$A, 0))-INDEX('UA-normalized'!$E:$E, MATCH($A98, 'UA-normalized'!$A:$A, 0))), 0), 0))+(IFERROR(IF(11*INDEX('KZ-normalized'!$D:$D, MATCH($A98, 'KZ-normalized'!$A:$A, 0))-INDEX('KZ-normalized'!$E:$E, MATCH($A98, 'KZ-normalized'!$A:$A, 0))&gt;0, -(11*INDEX('KZ-normalized'!$D:$D, MATCH($A98, 'KZ-normalized'!$A:$A, 0))-INDEX('KZ-normalized'!$E:$E, MATCH($A98, 'KZ-normalized'!$A:$A, 0))), 0), 0))+(IFERROR(IF(11*INDEX('UZ-normalized'!$D:$D, MATCH($A98, 'UZ-normalized'!$A:$A, 0))-INDEX('UZ-normalized'!$E:$E, MATCH($A98, 'UZ-normalized'!$A:$A, 0))&gt;0, -(11*INDEX('UZ-normalized'!$D:$D, MATCH($A98, 'UZ-normalized'!$A:$A, 0))-INDEX('UZ-normalized'!$E:$E, MATCH($A98, 'UZ-normalized'!$A:$A, 0))), 0), 0)))</f>
        <v>-58</v>
      </c>
      <c r="Z98" s="6">
        <f>MIN(0, N98+(IFERROR(IF(12*INDEX('UA-normalized'!$D:$D, MATCH($A98, 'UA-normalized'!$A:$A, 0))-INDEX('UA-normalized'!$E:$E, MATCH($A98, 'UA-normalized'!$A:$A, 0))&gt;0, -(12*INDEX('UA-normalized'!$D:$D, MATCH($A98, 'UA-normalized'!$A:$A, 0))-INDEX('UA-normalized'!$E:$E, MATCH($A98, 'UA-normalized'!$A:$A, 0))), 0), 0))+(IFERROR(IF(12*INDEX('KZ-normalized'!$D:$D, MATCH($A98, 'KZ-normalized'!$A:$A, 0))-INDEX('KZ-normalized'!$E:$E, MATCH($A98, 'KZ-normalized'!$A:$A, 0))&gt;0, -(12*INDEX('KZ-normalized'!$D:$D, MATCH($A98, 'KZ-normalized'!$A:$A, 0))-INDEX('KZ-normalized'!$E:$E, MATCH($A98, 'KZ-normalized'!$A:$A, 0))), 0), 0))+(IFERROR(IF(12*INDEX('UZ-normalized'!$D:$D, MATCH($A98, 'UZ-normalized'!$A:$A, 0))-INDEX('UZ-normalized'!$E:$E, MATCH($A98, 'UZ-normalized'!$A:$A, 0))&gt;0, -(12*INDEX('UZ-normalized'!$D:$D, MATCH($A98, 'UZ-normalized'!$A:$A, 0))-INDEX('UZ-normalized'!$E:$E, MATCH($A98, 'UZ-normalized'!$A:$A, 0))), 0), 0)))</f>
        <v>-70.199999999999989</v>
      </c>
      <c r="AA98" s="6">
        <f>MIN(0, N98+(IFERROR(IF(13*INDEX('UA-normalized'!$D:$D, MATCH($A98, 'UA-normalized'!$A:$A, 0))-INDEX('UA-normalized'!$E:$E, MATCH($A98, 'UA-normalized'!$A:$A, 0))&gt;0, -(13*INDEX('UA-normalized'!$D:$D, MATCH($A98, 'UA-normalized'!$A:$A, 0))-INDEX('UA-normalized'!$E:$E, MATCH($A98, 'UA-normalized'!$A:$A, 0))), 0), 0))+(IFERROR(IF(13*INDEX('KZ-normalized'!$D:$D, MATCH($A98, 'KZ-normalized'!$A:$A, 0))-INDEX('KZ-normalized'!$E:$E, MATCH($A98, 'KZ-normalized'!$A:$A, 0))&gt;0, -(13*INDEX('KZ-normalized'!$D:$D, MATCH($A98, 'KZ-normalized'!$A:$A, 0))-INDEX('KZ-normalized'!$E:$E, MATCH($A98, 'KZ-normalized'!$A:$A, 0))), 0), 0))+(IFERROR(IF(13*INDEX('UZ-normalized'!$D:$D, MATCH($A98, 'UZ-normalized'!$A:$A, 0))-INDEX('UZ-normalized'!$E:$E, MATCH($A98, 'UZ-normalized'!$A:$A, 0))&gt;0, -(13*INDEX('UZ-normalized'!$D:$D, MATCH($A98, 'UZ-normalized'!$A:$A, 0))-INDEX('UZ-normalized'!$E:$E, MATCH($A98, 'UZ-normalized'!$A:$A, 0))), 0), 0)))</f>
        <v>-84.8</v>
      </c>
      <c r="AB98" s="6">
        <f>MIN(0, N98+(IFERROR(IF(14*INDEX('UA-normalized'!$D:$D, MATCH($A98, 'UA-normalized'!$A:$A, 0))-INDEX('UA-normalized'!$E:$E, MATCH($A98, 'UA-normalized'!$A:$A, 0))&gt;0, -(14*INDEX('UA-normalized'!$D:$D, MATCH($A98, 'UA-normalized'!$A:$A, 0))-INDEX('UA-normalized'!$E:$E, MATCH($A98, 'UA-normalized'!$A:$A, 0))), 0), 0))+(IFERROR(IF(14*INDEX('KZ-normalized'!$D:$D, MATCH($A98, 'KZ-normalized'!$A:$A, 0))-INDEX('KZ-normalized'!$E:$E, MATCH($A98, 'KZ-normalized'!$A:$A, 0))&gt;0, -(14*INDEX('KZ-normalized'!$D:$D, MATCH($A98, 'KZ-normalized'!$A:$A, 0))-INDEX('KZ-normalized'!$E:$E, MATCH($A98, 'KZ-normalized'!$A:$A, 0))), 0), 0))+(IFERROR(IF(14*INDEX('UZ-normalized'!$D:$D, MATCH($A98, 'UZ-normalized'!$A:$A, 0))-INDEX('UZ-normalized'!$E:$E, MATCH($A98, 'UZ-normalized'!$A:$A, 0))&gt;0, -(14*INDEX('UZ-normalized'!$D:$D, MATCH($A98, 'UZ-normalized'!$A:$A, 0))-INDEX('UZ-normalized'!$E:$E, MATCH($A98, 'UZ-normalized'!$A:$A, 0))), 0), 0)))</f>
        <v>-99.399999999999991</v>
      </c>
      <c r="AC98" s="6">
        <f>MIN(0, N98+(IFERROR(IF(15*INDEX('UA-normalized'!$D:$D, MATCH($A98, 'UA-normalized'!$A:$A, 0))-INDEX('UA-normalized'!$E:$E, MATCH($A98, 'UA-normalized'!$A:$A, 0))&gt;0, -(15*INDEX('UA-normalized'!$D:$D, MATCH($A98, 'UA-normalized'!$A:$A, 0))-INDEX('UA-normalized'!$E:$E, MATCH($A98, 'UA-normalized'!$A:$A, 0))), 0), 0))+(IFERROR(IF(15*INDEX('KZ-normalized'!$D:$D, MATCH($A98, 'KZ-normalized'!$A:$A, 0))-INDEX('KZ-normalized'!$E:$E, MATCH($A98, 'KZ-normalized'!$A:$A, 0))&gt;0, -(15*INDEX('KZ-normalized'!$D:$D, MATCH($A98, 'KZ-normalized'!$A:$A, 0))-INDEX('KZ-normalized'!$E:$E, MATCH($A98, 'KZ-normalized'!$A:$A, 0))), 0), 0))+(IFERROR(IF(15*INDEX('UZ-normalized'!$D:$D, MATCH($A98, 'UZ-normalized'!$A:$A, 0))-INDEX('UZ-normalized'!$E:$E, MATCH($A98, 'UZ-normalized'!$A:$A, 0))&gt;0, -(15*INDEX('UZ-normalized'!$D:$D, MATCH($A98, 'UZ-normalized'!$A:$A, 0))-INDEX('UZ-normalized'!$E:$E, MATCH($A98, 'UZ-normalized'!$A:$A, 0))), 0), 0)))</f>
        <v>-114</v>
      </c>
      <c r="AD98" s="6">
        <f>MIN(0, N98+(IFERROR(IF(16*INDEX('UA-normalized'!$D:$D, MATCH($A98, 'UA-normalized'!$A:$A, 0))-INDEX('UA-normalized'!$E:$E, MATCH($A98, 'UA-normalized'!$A:$A, 0))&gt;0, -(16*INDEX('UA-normalized'!$D:$D, MATCH($A98, 'UA-normalized'!$A:$A, 0))-INDEX('UA-normalized'!$E:$E, MATCH($A98, 'UA-normalized'!$A:$A, 0))), 0), 0))+(IFERROR(IF(16*INDEX('KZ-normalized'!$D:$D, MATCH($A98, 'KZ-normalized'!$A:$A, 0))-INDEX('KZ-normalized'!$E:$E, MATCH($A98, 'KZ-normalized'!$A:$A, 0))&gt;0, -(16*INDEX('KZ-normalized'!$D:$D, MATCH($A98, 'KZ-normalized'!$A:$A, 0))-INDEX('KZ-normalized'!$E:$E, MATCH($A98, 'KZ-normalized'!$A:$A, 0))), 0), 0))+(IFERROR(IF(16*INDEX('UZ-normalized'!$D:$D, MATCH($A98, 'UZ-normalized'!$A:$A, 0))-INDEX('UZ-normalized'!$E:$E, MATCH($A98, 'UZ-normalized'!$A:$A, 0))&gt;0, -(16*INDEX('UZ-normalized'!$D:$D, MATCH($A98, 'UZ-normalized'!$A:$A, 0))-INDEX('UZ-normalized'!$E:$E, MATCH($A98, 'UZ-normalized'!$A:$A, 0))), 0), 0)))</f>
        <v>-128.6</v>
      </c>
      <c r="AE98" s="6">
        <f>MIN(0, N98+(IFERROR(IF(17*INDEX('UA-normalized'!$D:$D, MATCH($A98, 'UA-normalized'!$A:$A, 0))-INDEX('UA-normalized'!$E:$E, MATCH($A98, 'UA-normalized'!$A:$A, 0))&gt;0, -(17*INDEX('UA-normalized'!$D:$D, MATCH($A98, 'UA-normalized'!$A:$A, 0))-INDEX('UA-normalized'!$E:$E, MATCH($A98, 'UA-normalized'!$A:$A, 0))), 0), 0))+(IFERROR(IF(17*INDEX('KZ-normalized'!$D:$D, MATCH($A98, 'KZ-normalized'!$A:$A, 0))-INDEX('KZ-normalized'!$E:$E, MATCH($A98, 'KZ-normalized'!$A:$A, 0))&gt;0, -(17*INDEX('KZ-normalized'!$D:$D, MATCH($A98, 'KZ-normalized'!$A:$A, 0))-INDEX('KZ-normalized'!$E:$E, MATCH($A98, 'KZ-normalized'!$A:$A, 0))), 0), 0))+(IFERROR(IF(17*INDEX('UZ-normalized'!$D:$D, MATCH($A98, 'UZ-normalized'!$A:$A, 0))-INDEX('UZ-normalized'!$E:$E, MATCH($A98, 'UZ-normalized'!$A:$A, 0))&gt;0, -(17*INDEX('UZ-normalized'!$D:$D, MATCH($A98, 'UZ-normalized'!$A:$A, 0))-INDEX('UZ-normalized'!$E:$E, MATCH($A98, 'UZ-normalized'!$A:$A, 0))), 0), 0)))</f>
        <v>-143.19999999999999</v>
      </c>
      <c r="AF98" s="6">
        <f>MIN(0, N98+(IFERROR(IF(18*INDEX('UA-normalized'!$D:$D, MATCH($A98, 'UA-normalized'!$A:$A, 0))-INDEX('UA-normalized'!$E:$E, MATCH($A98, 'UA-normalized'!$A:$A, 0))&gt;0, -(18*INDEX('UA-normalized'!$D:$D, MATCH($A98, 'UA-normalized'!$A:$A, 0))-INDEX('UA-normalized'!$E:$E, MATCH($A98, 'UA-normalized'!$A:$A, 0))), 0), 0))+(IFERROR(IF(18*INDEX('KZ-normalized'!$D:$D, MATCH($A98, 'KZ-normalized'!$A:$A, 0))-INDEX('KZ-normalized'!$E:$E, MATCH($A98, 'KZ-normalized'!$A:$A, 0))&gt;0, -(18*INDEX('KZ-normalized'!$D:$D, MATCH($A98, 'KZ-normalized'!$A:$A, 0))-INDEX('KZ-normalized'!$E:$E, MATCH($A98, 'KZ-normalized'!$A:$A, 0))), 0), 0))+(IFERROR(IF(18*INDEX('UZ-normalized'!$D:$D, MATCH($A98, 'UZ-normalized'!$A:$A, 0))-INDEX('UZ-normalized'!$E:$E, MATCH($A98, 'UZ-normalized'!$A:$A, 0))&gt;0, -(18*INDEX('UZ-normalized'!$D:$D, MATCH($A98, 'UZ-normalized'!$A:$A, 0))-INDEX('UZ-normalized'!$E:$E, MATCH($A98, 'UZ-normalized'!$A:$A, 0))), 0), 0)))</f>
        <v>-157.80000000000001</v>
      </c>
      <c r="AG98" s="6">
        <f>MIN(0, N98+(IFERROR(IF(19*INDEX('UA-normalized'!$D:$D, MATCH($A98, 'UA-normalized'!$A:$A, 0))-INDEX('UA-normalized'!$E:$E, MATCH($A98, 'UA-normalized'!$A:$A, 0))&gt;0, -(19*INDEX('UA-normalized'!$D:$D, MATCH($A98, 'UA-normalized'!$A:$A, 0))-INDEX('UA-normalized'!$E:$E, MATCH($A98, 'UA-normalized'!$A:$A, 0))), 0), 0))+(IFERROR(IF(19*INDEX('KZ-normalized'!$D:$D, MATCH($A98, 'KZ-normalized'!$A:$A, 0))-INDEX('KZ-normalized'!$E:$E, MATCH($A98, 'KZ-normalized'!$A:$A, 0))&gt;0, -(19*INDEX('KZ-normalized'!$D:$D, MATCH($A98, 'KZ-normalized'!$A:$A, 0))-INDEX('KZ-normalized'!$E:$E, MATCH($A98, 'KZ-normalized'!$A:$A, 0))), 0), 0))+(IFERROR(IF(19*INDEX('UZ-normalized'!$D:$D, MATCH($A98, 'UZ-normalized'!$A:$A, 0))-INDEX('UZ-normalized'!$E:$E, MATCH($A98, 'UZ-normalized'!$A:$A, 0))&gt;0, -(19*INDEX('UZ-normalized'!$D:$D, MATCH($A98, 'UZ-normalized'!$A:$A, 0))-INDEX('UZ-normalized'!$E:$E, MATCH($A98, 'UZ-normalized'!$A:$A, 0))), 0), 0)))</f>
        <v>-172.39999999999998</v>
      </c>
      <c r="AH98" s="6">
        <f>MIN(0, N98+(IFERROR(IF(20*INDEX('UA-normalized'!$D:$D, MATCH($A98, 'UA-normalized'!$A:$A, 0))-INDEX('UA-normalized'!$E:$E, MATCH($A98, 'UA-normalized'!$A:$A, 0))&gt;0, -(20*INDEX('UA-normalized'!$D:$D, MATCH($A98, 'UA-normalized'!$A:$A, 0))-INDEX('UA-normalized'!$E:$E, MATCH($A98, 'UA-normalized'!$A:$A, 0))), 0), 0))+(IFERROR(IF(20*INDEX('KZ-normalized'!$D:$D, MATCH($A98, 'KZ-normalized'!$A:$A, 0))-INDEX('KZ-normalized'!$E:$E, MATCH($A98, 'KZ-normalized'!$A:$A, 0))&gt;0, -(20*INDEX('KZ-normalized'!$D:$D, MATCH($A98, 'KZ-normalized'!$A:$A, 0))-INDEX('KZ-normalized'!$E:$E, MATCH($A98, 'KZ-normalized'!$A:$A, 0))), 0), 0))+(IFERROR(IF(20*INDEX('UZ-normalized'!$D:$D, MATCH($A98, 'UZ-normalized'!$A:$A, 0))-INDEX('UZ-normalized'!$E:$E, MATCH($A98, 'UZ-normalized'!$A:$A, 0))&gt;0, -(20*INDEX('UZ-normalized'!$D:$D, MATCH($A98, 'UZ-normalized'!$A:$A, 0))-INDEX('UZ-normalized'!$E:$E, MATCH($A98, 'UZ-normalized'!$A:$A, 0))), 0), 0)))</f>
        <v>-187</v>
      </c>
      <c r="AI98" s="6">
        <f>MIN(0, N98+(IFERROR(IF(21*INDEX('UA-normalized'!$D:$D, MATCH($A98, 'UA-normalized'!$A:$A, 0))-INDEX('UA-normalized'!$E:$E, MATCH($A98, 'UA-normalized'!$A:$A, 0))&gt;0, -(21*INDEX('UA-normalized'!$D:$D, MATCH($A98, 'UA-normalized'!$A:$A, 0))-INDEX('UA-normalized'!$E:$E, MATCH($A98, 'UA-normalized'!$A:$A, 0))), 0), 0))+(IFERROR(IF(21*INDEX('KZ-normalized'!$D:$D, MATCH($A98, 'KZ-normalized'!$A:$A, 0))-INDEX('KZ-normalized'!$E:$E, MATCH($A98, 'KZ-normalized'!$A:$A, 0))&gt;0, -(21*INDEX('KZ-normalized'!$D:$D, MATCH($A98, 'KZ-normalized'!$A:$A, 0))-INDEX('KZ-normalized'!$E:$E, MATCH($A98, 'KZ-normalized'!$A:$A, 0))), 0), 0))+(IFERROR(IF(21*INDEX('UZ-normalized'!$D:$D, MATCH($A98, 'UZ-normalized'!$A:$A, 0))-INDEX('UZ-normalized'!$E:$E, MATCH($A98, 'UZ-normalized'!$A:$A, 0))&gt;0, -(21*INDEX('UZ-normalized'!$D:$D, MATCH($A98, 'UZ-normalized'!$A:$A, 0))-INDEX('UZ-normalized'!$E:$E, MATCH($A98, 'UZ-normalized'!$A:$A, 0))), 0), 0)))</f>
        <v>-201.6</v>
      </c>
      <c r="AJ98" s="6">
        <f>MIN(0, N98+(IFERROR(IF(22*INDEX('UA-normalized'!$D:$D, MATCH($A98, 'UA-normalized'!$A:$A, 0))-INDEX('UA-normalized'!$E:$E, MATCH($A98, 'UA-normalized'!$A:$A, 0))&gt;0, -(22*INDEX('UA-normalized'!$D:$D, MATCH($A98, 'UA-normalized'!$A:$A, 0))-INDEX('UA-normalized'!$E:$E, MATCH($A98, 'UA-normalized'!$A:$A, 0))), 0), 0))+(IFERROR(IF(22*INDEX('KZ-normalized'!$D:$D, MATCH($A98, 'KZ-normalized'!$A:$A, 0))-INDEX('KZ-normalized'!$E:$E, MATCH($A98, 'KZ-normalized'!$A:$A, 0))&gt;0, -(22*INDEX('KZ-normalized'!$D:$D, MATCH($A98, 'KZ-normalized'!$A:$A, 0))-INDEX('KZ-normalized'!$E:$E, MATCH($A98, 'KZ-normalized'!$A:$A, 0))), 0), 0))+(IFERROR(IF(22*INDEX('UZ-normalized'!$D:$D, MATCH($A98, 'UZ-normalized'!$A:$A, 0))-INDEX('UZ-normalized'!$E:$E, MATCH($A98, 'UZ-normalized'!$A:$A, 0))&gt;0, -(22*INDEX('UZ-normalized'!$D:$D, MATCH($A98, 'UZ-normalized'!$A:$A, 0))-INDEX('UZ-normalized'!$E:$E, MATCH($A98, 'UZ-normalized'!$A:$A, 0))), 0), 0)))</f>
        <v>-216.2</v>
      </c>
      <c r="AK98" s="6">
        <f>MIN(0, N98+(IFERROR(IF(23*INDEX('UA-normalized'!$D:$D, MATCH($A98, 'UA-normalized'!$A:$A, 0))-INDEX('UA-normalized'!$E:$E, MATCH($A98, 'UA-normalized'!$A:$A, 0))&gt;0, -(23*INDEX('UA-normalized'!$D:$D, MATCH($A98, 'UA-normalized'!$A:$A, 0))-INDEX('UA-normalized'!$E:$E, MATCH($A98, 'UA-normalized'!$A:$A, 0))), 0), 0))+(IFERROR(IF(23*INDEX('KZ-normalized'!$D:$D, MATCH($A98, 'KZ-normalized'!$A:$A, 0))-INDEX('KZ-normalized'!$E:$E, MATCH($A98, 'KZ-normalized'!$A:$A, 0))&gt;0, -(23*INDEX('KZ-normalized'!$D:$D, MATCH($A98, 'KZ-normalized'!$A:$A, 0))-INDEX('KZ-normalized'!$E:$E, MATCH($A98, 'KZ-normalized'!$A:$A, 0))), 0), 0))+(IFERROR(IF(23*INDEX('UZ-normalized'!$D:$D, MATCH($A98, 'UZ-normalized'!$A:$A, 0))-INDEX('UZ-normalized'!$E:$E, MATCH($A98, 'UZ-normalized'!$A:$A, 0))&gt;0, -(23*INDEX('UZ-normalized'!$D:$D, MATCH($A98, 'UZ-normalized'!$A:$A, 0))-INDEX('UZ-normalized'!$E:$E, MATCH($A98, 'UZ-normalized'!$A:$A, 0))), 0), 0)))</f>
        <v>-230.8</v>
      </c>
      <c r="AL98" s="6">
        <f>MIN(0, N98+(IFERROR(IF(24*INDEX('UA-normalized'!$D:$D, MATCH($A98, 'UA-normalized'!$A:$A, 0))-INDEX('UA-normalized'!$E:$E, MATCH($A98, 'UA-normalized'!$A:$A, 0))&gt;0, -(24*INDEX('UA-normalized'!$D:$D, MATCH($A98, 'UA-normalized'!$A:$A, 0))-INDEX('UA-normalized'!$E:$E, MATCH($A98, 'UA-normalized'!$A:$A, 0))), 0), 0))+(IFERROR(IF(24*INDEX('KZ-normalized'!$D:$D, MATCH($A98, 'KZ-normalized'!$A:$A, 0))-INDEX('KZ-normalized'!$E:$E, MATCH($A98, 'KZ-normalized'!$A:$A, 0))&gt;0, -(24*INDEX('KZ-normalized'!$D:$D, MATCH($A98, 'KZ-normalized'!$A:$A, 0))-INDEX('KZ-normalized'!$E:$E, MATCH($A98, 'KZ-normalized'!$A:$A, 0))), 0), 0))+(IFERROR(IF(24*INDEX('UZ-normalized'!$D:$D, MATCH($A98, 'UZ-normalized'!$A:$A, 0))-INDEX('UZ-normalized'!$E:$E, MATCH($A98, 'UZ-normalized'!$A:$A, 0))&gt;0, -(24*INDEX('UZ-normalized'!$D:$D, MATCH($A98, 'UZ-normalized'!$A:$A, 0))-INDEX('UZ-normalized'!$E:$E, MATCH($A98, 'UZ-normalized'!$A:$A, 0))), 0), 0)))</f>
        <v>-245.39999999999998</v>
      </c>
      <c r="AM98" s="6">
        <f>MIN(0, N98+(IFERROR(IF(25*INDEX('UA-normalized'!$D:$D, MATCH($A98, 'UA-normalized'!$A:$A, 0))-INDEX('UA-normalized'!$E:$E, MATCH($A98, 'UA-normalized'!$A:$A, 0))&gt;0, -(25*INDEX('UA-normalized'!$D:$D, MATCH($A98, 'UA-normalized'!$A:$A, 0))-INDEX('UA-normalized'!$E:$E, MATCH($A98, 'UA-normalized'!$A:$A, 0))), 0), 0))+(IFERROR(IF(25*INDEX('KZ-normalized'!$D:$D, MATCH($A98, 'KZ-normalized'!$A:$A, 0))-INDEX('KZ-normalized'!$E:$E, MATCH($A98, 'KZ-normalized'!$A:$A, 0))&gt;0, -(25*INDEX('KZ-normalized'!$D:$D, MATCH($A98, 'KZ-normalized'!$A:$A, 0))-INDEX('KZ-normalized'!$E:$E, MATCH($A98, 'KZ-normalized'!$A:$A, 0))), 0), 0))+(IFERROR(IF(25*INDEX('UZ-normalized'!$D:$D, MATCH($A98, 'UZ-normalized'!$A:$A, 0))-INDEX('UZ-normalized'!$E:$E, MATCH($A98, 'UZ-normalized'!$A:$A, 0))&gt;0, -(25*INDEX('UZ-normalized'!$D:$D, MATCH($A98, 'UZ-normalized'!$A:$A, 0))-INDEX('UZ-normalized'!$E:$E, MATCH($A98, 'UZ-normalized'!$A:$A, 0))), 0), 0)))</f>
        <v>-260</v>
      </c>
      <c r="AN98" s="6">
        <f>MIN(0, N98+(IFERROR(IF(26*INDEX('UA-normalized'!$D:$D, MATCH($A98, 'UA-normalized'!$A:$A, 0))-INDEX('UA-normalized'!$E:$E, MATCH($A98, 'UA-normalized'!$A:$A, 0))&gt;0, -(26*INDEX('UA-normalized'!$D:$D, MATCH($A98, 'UA-normalized'!$A:$A, 0))-INDEX('UA-normalized'!$E:$E, MATCH($A98, 'UA-normalized'!$A:$A, 0))), 0), 0))+(IFERROR(IF(26*INDEX('KZ-normalized'!$D:$D, MATCH($A98, 'KZ-normalized'!$A:$A, 0))-INDEX('KZ-normalized'!$E:$E, MATCH($A98, 'KZ-normalized'!$A:$A, 0))&gt;0, -(26*INDEX('KZ-normalized'!$D:$D, MATCH($A98, 'KZ-normalized'!$A:$A, 0))-INDEX('KZ-normalized'!$E:$E, MATCH($A98, 'KZ-normalized'!$A:$A, 0))), 0), 0))+(IFERROR(IF(26*INDEX('UZ-normalized'!$D:$D, MATCH($A98, 'UZ-normalized'!$A:$A, 0))-INDEX('UZ-normalized'!$E:$E, MATCH($A98, 'UZ-normalized'!$A:$A, 0))&gt;0, -(26*INDEX('UZ-normalized'!$D:$D, MATCH($A98, 'UZ-normalized'!$A:$A, 0))-INDEX('UZ-normalized'!$E:$E, MATCH($A98, 'UZ-normalized'!$A:$A, 0))), 0), 0)))</f>
        <v>-274.60000000000002</v>
      </c>
      <c r="AO98" s="6">
        <f>MIN(0, N98+(IFERROR(IF(27*INDEX('UA-normalized'!$D:$D, MATCH($A98, 'UA-normalized'!$A:$A, 0))-INDEX('UA-normalized'!$E:$E, MATCH($A98, 'UA-normalized'!$A:$A, 0))&gt;0, -(27*INDEX('UA-normalized'!$D:$D, MATCH($A98, 'UA-normalized'!$A:$A, 0))-INDEX('UA-normalized'!$E:$E, MATCH($A98, 'UA-normalized'!$A:$A, 0))), 0), 0))+(IFERROR(IF(27*INDEX('KZ-normalized'!$D:$D, MATCH($A98, 'KZ-normalized'!$A:$A, 0))-INDEX('KZ-normalized'!$E:$E, MATCH($A98, 'KZ-normalized'!$A:$A, 0))&gt;0, -(27*INDEX('KZ-normalized'!$D:$D, MATCH($A98, 'KZ-normalized'!$A:$A, 0))-INDEX('KZ-normalized'!$E:$E, MATCH($A98, 'KZ-normalized'!$A:$A, 0))), 0), 0))+(IFERROR(IF(27*INDEX('UZ-normalized'!$D:$D, MATCH($A98, 'UZ-normalized'!$A:$A, 0))-INDEX('UZ-normalized'!$E:$E, MATCH($A98, 'UZ-normalized'!$A:$A, 0))&gt;0, -(27*INDEX('UZ-normalized'!$D:$D, MATCH($A98, 'UZ-normalized'!$A:$A, 0))-INDEX('UZ-normalized'!$E:$E, MATCH($A98, 'UZ-normalized'!$A:$A, 0))), 0), 0)))</f>
        <v>-289.2</v>
      </c>
      <c r="AP98" s="6">
        <f>MIN(0, N98+(IFERROR(IF(28*INDEX('UA-normalized'!$D:$D, MATCH($A98, 'UA-normalized'!$A:$A, 0))-INDEX('UA-normalized'!$E:$E, MATCH($A98, 'UA-normalized'!$A:$A, 0))&gt;0, -(28*INDEX('UA-normalized'!$D:$D, MATCH($A98, 'UA-normalized'!$A:$A, 0))-INDEX('UA-normalized'!$E:$E, MATCH($A98, 'UA-normalized'!$A:$A, 0))), 0), 0))+(IFERROR(IF(28*INDEX('KZ-normalized'!$D:$D, MATCH($A98, 'KZ-normalized'!$A:$A, 0))-INDEX('KZ-normalized'!$E:$E, MATCH($A98, 'KZ-normalized'!$A:$A, 0))&gt;0, -(28*INDEX('KZ-normalized'!$D:$D, MATCH($A98, 'KZ-normalized'!$A:$A, 0))-INDEX('KZ-normalized'!$E:$E, MATCH($A98, 'KZ-normalized'!$A:$A, 0))), 0), 0))+(IFERROR(IF(28*INDEX('UZ-normalized'!$D:$D, MATCH($A98, 'UZ-normalized'!$A:$A, 0))-INDEX('UZ-normalized'!$E:$E, MATCH($A98, 'UZ-normalized'!$A:$A, 0))&gt;0, -(28*INDEX('UZ-normalized'!$D:$D, MATCH($A98, 'UZ-normalized'!$A:$A, 0))-INDEX('UZ-normalized'!$E:$E, MATCH($A98, 'UZ-normalized'!$A:$A, 0))), 0), 0)))</f>
        <v>-303.79999999999995</v>
      </c>
      <c r="AQ98" s="6">
        <f>MIN(0, N98+(IFERROR(IF(29*INDEX('UA-normalized'!$D:$D, MATCH($A98, 'UA-normalized'!$A:$A, 0))-INDEX('UA-normalized'!$E:$E, MATCH($A98, 'UA-normalized'!$A:$A, 0))&gt;0, -(29*INDEX('UA-normalized'!$D:$D, MATCH($A98, 'UA-normalized'!$A:$A, 0))-INDEX('UA-normalized'!$E:$E, MATCH($A98, 'UA-normalized'!$A:$A, 0))), 0), 0))+(IFERROR(IF(29*INDEX('KZ-normalized'!$D:$D, MATCH($A98, 'KZ-normalized'!$A:$A, 0))-INDEX('KZ-normalized'!$E:$E, MATCH($A98, 'KZ-normalized'!$A:$A, 0))&gt;0, -(29*INDEX('KZ-normalized'!$D:$D, MATCH($A98, 'KZ-normalized'!$A:$A, 0))-INDEX('KZ-normalized'!$E:$E, MATCH($A98, 'KZ-normalized'!$A:$A, 0))), 0), 0))+(IFERROR(IF(29*INDEX('UZ-normalized'!$D:$D, MATCH($A98, 'UZ-normalized'!$A:$A, 0))-INDEX('UZ-normalized'!$E:$E, MATCH($A98, 'UZ-normalized'!$A:$A, 0))&gt;0, -(29*INDEX('UZ-normalized'!$D:$D, MATCH($A98, 'UZ-normalized'!$A:$A, 0))-INDEX('UZ-normalized'!$E:$E, MATCH($A98, 'UZ-normalized'!$A:$A, 0))), 0), 0)))</f>
        <v>-318.39999999999998</v>
      </c>
      <c r="AR98" s="6">
        <f>MIN(0, N98+(IFERROR(IF(30*INDEX('UA-normalized'!$D:$D, MATCH($A98, 'UA-normalized'!$A:$A, 0))-INDEX('UA-normalized'!$E:$E, MATCH($A98, 'UA-normalized'!$A:$A, 0))&gt;0, -(30*INDEX('UA-normalized'!$D:$D, MATCH($A98, 'UA-normalized'!$A:$A, 0))-INDEX('UA-normalized'!$E:$E, MATCH($A98, 'UA-normalized'!$A:$A, 0))), 0), 0))+(IFERROR(IF(30*INDEX('KZ-normalized'!$D:$D, MATCH($A98, 'KZ-normalized'!$A:$A, 0))-INDEX('KZ-normalized'!$E:$E, MATCH($A98, 'KZ-normalized'!$A:$A, 0))&gt;0, -(30*INDEX('KZ-normalized'!$D:$D, MATCH($A98, 'KZ-normalized'!$A:$A, 0))-INDEX('KZ-normalized'!$E:$E, MATCH($A98, 'KZ-normalized'!$A:$A, 0))), 0), 0))+(IFERROR(IF(30*INDEX('UZ-normalized'!$D:$D, MATCH($A98, 'UZ-normalized'!$A:$A, 0))-INDEX('UZ-normalized'!$E:$E, MATCH($A98, 'UZ-normalized'!$A:$A, 0))&gt;0, -(30*INDEX('UZ-normalized'!$D:$D, MATCH($A98, 'UZ-normalized'!$A:$A, 0))-INDEX('UZ-normalized'!$E:$E, MATCH($A98, 'UZ-normalized'!$A:$A, 0))), 0), 0)))</f>
        <v>-333</v>
      </c>
    </row>
    <row r="99" spans="1:44" x14ac:dyDescent="0.25">
      <c r="A99" s="8" t="s">
        <v>249</v>
      </c>
      <c r="B99" s="8" t="s">
        <v>180</v>
      </c>
      <c r="C99" s="8" t="s">
        <v>235</v>
      </c>
      <c r="D99" s="8" t="s">
        <v>250</v>
      </c>
      <c r="G99">
        <v>-200</v>
      </c>
      <c r="N99">
        <f t="shared" si="1"/>
        <v>-200</v>
      </c>
      <c r="O99" s="6">
        <f>MIN(0, N99+(IFERROR(IF(1*INDEX('UA-normalized'!$D:$D, MATCH($A99, 'UA-normalized'!$A:$A, 0))-INDEX('UA-normalized'!$E:$E, MATCH($A99, 'UA-normalized'!$A:$A, 0))&gt;0, -(1*INDEX('UA-normalized'!$D:$D, MATCH($A99, 'UA-normalized'!$A:$A, 0))-INDEX('UA-normalized'!$E:$E, MATCH($A99, 'UA-normalized'!$A:$A, 0))), 0), 0))+(IFERROR(IF(1*INDEX('KZ-normalized'!$D:$D, MATCH($A99, 'KZ-normalized'!$A:$A, 0))-INDEX('KZ-normalized'!$E:$E, MATCH($A99, 'KZ-normalized'!$A:$A, 0))&gt;0, -(1*INDEX('KZ-normalized'!$D:$D, MATCH($A99, 'KZ-normalized'!$A:$A, 0))-INDEX('KZ-normalized'!$E:$E, MATCH($A99, 'KZ-normalized'!$A:$A, 0))), 0), 0))+(IFERROR(IF(1*INDEX('UZ-normalized'!$D:$D, MATCH($A99, 'UZ-normalized'!$A:$A, 0))-INDEX('UZ-normalized'!$E:$E, MATCH($A99, 'UZ-normalized'!$A:$A, 0))&gt;0, -(1*INDEX('UZ-normalized'!$D:$D, MATCH($A99, 'UZ-normalized'!$A:$A, 0))-INDEX('UZ-normalized'!$E:$E, MATCH($A99, 'UZ-normalized'!$A:$A, 0))), 0), 0)))</f>
        <v>-206</v>
      </c>
      <c r="P99" s="6">
        <f>MIN(0, N99+(IFERROR(IF(2*INDEX('UA-normalized'!$D:$D, MATCH($A99, 'UA-normalized'!$A:$A, 0))-INDEX('UA-normalized'!$E:$E, MATCH($A99, 'UA-normalized'!$A:$A, 0))&gt;0, -(2*INDEX('UA-normalized'!$D:$D, MATCH($A99, 'UA-normalized'!$A:$A, 0))-INDEX('UA-normalized'!$E:$E, MATCH($A99, 'UA-normalized'!$A:$A, 0))), 0), 0))+(IFERROR(IF(2*INDEX('KZ-normalized'!$D:$D, MATCH($A99, 'KZ-normalized'!$A:$A, 0))-INDEX('KZ-normalized'!$E:$E, MATCH($A99, 'KZ-normalized'!$A:$A, 0))&gt;0, -(2*INDEX('KZ-normalized'!$D:$D, MATCH($A99, 'KZ-normalized'!$A:$A, 0))-INDEX('KZ-normalized'!$E:$E, MATCH($A99, 'KZ-normalized'!$A:$A, 0))), 0), 0))+(IFERROR(IF(2*INDEX('UZ-normalized'!$D:$D, MATCH($A99, 'UZ-normalized'!$A:$A, 0))-INDEX('UZ-normalized'!$E:$E, MATCH($A99, 'UZ-normalized'!$A:$A, 0))&gt;0, -(2*INDEX('UZ-normalized'!$D:$D, MATCH($A99, 'UZ-normalized'!$A:$A, 0))-INDEX('UZ-normalized'!$E:$E, MATCH($A99, 'UZ-normalized'!$A:$A, 0))), 0), 0)))</f>
        <v>-212</v>
      </c>
      <c r="Q99" s="6">
        <f>MIN(0, N99+(IFERROR(IF(3*INDEX('UA-normalized'!$D:$D, MATCH($A99, 'UA-normalized'!$A:$A, 0))-INDEX('UA-normalized'!$E:$E, MATCH($A99, 'UA-normalized'!$A:$A, 0))&gt;0, -(3*INDEX('UA-normalized'!$D:$D, MATCH($A99, 'UA-normalized'!$A:$A, 0))-INDEX('UA-normalized'!$E:$E, MATCH($A99, 'UA-normalized'!$A:$A, 0))), 0), 0))+(IFERROR(IF(3*INDEX('KZ-normalized'!$D:$D, MATCH($A99, 'KZ-normalized'!$A:$A, 0))-INDEX('KZ-normalized'!$E:$E, MATCH($A99, 'KZ-normalized'!$A:$A, 0))&gt;0, -(3*INDEX('KZ-normalized'!$D:$D, MATCH($A99, 'KZ-normalized'!$A:$A, 0))-INDEX('KZ-normalized'!$E:$E, MATCH($A99, 'KZ-normalized'!$A:$A, 0))), 0), 0))+(IFERROR(IF(3*INDEX('UZ-normalized'!$D:$D, MATCH($A99, 'UZ-normalized'!$A:$A, 0))-INDEX('UZ-normalized'!$E:$E, MATCH($A99, 'UZ-normalized'!$A:$A, 0))&gt;0, -(3*INDEX('UZ-normalized'!$D:$D, MATCH($A99, 'UZ-normalized'!$A:$A, 0))-INDEX('UZ-normalized'!$E:$E, MATCH($A99, 'UZ-normalized'!$A:$A, 0))), 0), 0)))</f>
        <v>-218</v>
      </c>
      <c r="R99" s="6">
        <f>MIN(0, N99+(IFERROR(IF(4*INDEX('UA-normalized'!$D:$D, MATCH($A99, 'UA-normalized'!$A:$A, 0))-INDEX('UA-normalized'!$E:$E, MATCH($A99, 'UA-normalized'!$A:$A, 0))&gt;0, -(4*INDEX('UA-normalized'!$D:$D, MATCH($A99, 'UA-normalized'!$A:$A, 0))-INDEX('UA-normalized'!$E:$E, MATCH($A99, 'UA-normalized'!$A:$A, 0))), 0), 0))+(IFERROR(IF(4*INDEX('KZ-normalized'!$D:$D, MATCH($A99, 'KZ-normalized'!$A:$A, 0))-INDEX('KZ-normalized'!$E:$E, MATCH($A99, 'KZ-normalized'!$A:$A, 0))&gt;0, -(4*INDEX('KZ-normalized'!$D:$D, MATCH($A99, 'KZ-normalized'!$A:$A, 0))-INDEX('KZ-normalized'!$E:$E, MATCH($A99, 'KZ-normalized'!$A:$A, 0))), 0), 0))+(IFERROR(IF(4*INDEX('UZ-normalized'!$D:$D, MATCH($A99, 'UZ-normalized'!$A:$A, 0))-INDEX('UZ-normalized'!$E:$E, MATCH($A99, 'UZ-normalized'!$A:$A, 0))&gt;0, -(4*INDEX('UZ-normalized'!$D:$D, MATCH($A99, 'UZ-normalized'!$A:$A, 0))-INDEX('UZ-normalized'!$E:$E, MATCH($A99, 'UZ-normalized'!$A:$A, 0))), 0), 0)))</f>
        <v>-224</v>
      </c>
      <c r="S99" s="6">
        <f>MIN(0, N99+(IFERROR(IF(5*INDEX('UA-normalized'!$D:$D, MATCH($A99, 'UA-normalized'!$A:$A, 0))-INDEX('UA-normalized'!$E:$E, MATCH($A99, 'UA-normalized'!$A:$A, 0))&gt;0, -(5*INDEX('UA-normalized'!$D:$D, MATCH($A99, 'UA-normalized'!$A:$A, 0))-INDEX('UA-normalized'!$E:$E, MATCH($A99, 'UA-normalized'!$A:$A, 0))), 0), 0))+(IFERROR(IF(5*INDEX('KZ-normalized'!$D:$D, MATCH($A99, 'KZ-normalized'!$A:$A, 0))-INDEX('KZ-normalized'!$E:$E, MATCH($A99, 'KZ-normalized'!$A:$A, 0))&gt;0, -(5*INDEX('KZ-normalized'!$D:$D, MATCH($A99, 'KZ-normalized'!$A:$A, 0))-INDEX('KZ-normalized'!$E:$E, MATCH($A99, 'KZ-normalized'!$A:$A, 0))), 0), 0))+(IFERROR(IF(5*INDEX('UZ-normalized'!$D:$D, MATCH($A99, 'UZ-normalized'!$A:$A, 0))-INDEX('UZ-normalized'!$E:$E, MATCH($A99, 'UZ-normalized'!$A:$A, 0))&gt;0, -(5*INDEX('UZ-normalized'!$D:$D, MATCH($A99, 'UZ-normalized'!$A:$A, 0))-INDEX('UZ-normalized'!$E:$E, MATCH($A99, 'UZ-normalized'!$A:$A, 0))), 0), 0)))</f>
        <v>-240</v>
      </c>
      <c r="T99" s="6">
        <f>MIN(0, N99+(IFERROR(IF(6*INDEX('UA-normalized'!$D:$D, MATCH($A99, 'UA-normalized'!$A:$A, 0))-INDEX('UA-normalized'!$E:$E, MATCH($A99, 'UA-normalized'!$A:$A, 0))&gt;0, -(6*INDEX('UA-normalized'!$D:$D, MATCH($A99, 'UA-normalized'!$A:$A, 0))-INDEX('UA-normalized'!$E:$E, MATCH($A99, 'UA-normalized'!$A:$A, 0))), 0), 0))+(IFERROR(IF(6*INDEX('KZ-normalized'!$D:$D, MATCH($A99, 'KZ-normalized'!$A:$A, 0))-INDEX('KZ-normalized'!$E:$E, MATCH($A99, 'KZ-normalized'!$A:$A, 0))&gt;0, -(6*INDEX('KZ-normalized'!$D:$D, MATCH($A99, 'KZ-normalized'!$A:$A, 0))-INDEX('KZ-normalized'!$E:$E, MATCH($A99, 'KZ-normalized'!$A:$A, 0))), 0), 0))+(IFERROR(IF(6*INDEX('UZ-normalized'!$D:$D, MATCH($A99, 'UZ-normalized'!$A:$A, 0))-INDEX('UZ-normalized'!$E:$E, MATCH($A99, 'UZ-normalized'!$A:$A, 0))&gt;0, -(6*INDEX('UZ-normalized'!$D:$D, MATCH($A99, 'UZ-normalized'!$A:$A, 0))-INDEX('UZ-normalized'!$E:$E, MATCH($A99, 'UZ-normalized'!$A:$A, 0))), 0), 0)))</f>
        <v>-373</v>
      </c>
      <c r="U99" s="6">
        <f>MIN(0, N99+(IFERROR(IF(7*INDEX('UA-normalized'!$D:$D, MATCH($A99, 'UA-normalized'!$A:$A, 0))-INDEX('UA-normalized'!$E:$E, MATCH($A99, 'UA-normalized'!$A:$A, 0))&gt;0, -(7*INDEX('UA-normalized'!$D:$D, MATCH($A99, 'UA-normalized'!$A:$A, 0))-INDEX('UA-normalized'!$E:$E, MATCH($A99, 'UA-normalized'!$A:$A, 0))), 0), 0))+(IFERROR(IF(7*INDEX('KZ-normalized'!$D:$D, MATCH($A99, 'KZ-normalized'!$A:$A, 0))-INDEX('KZ-normalized'!$E:$E, MATCH($A99, 'KZ-normalized'!$A:$A, 0))&gt;0, -(7*INDEX('KZ-normalized'!$D:$D, MATCH($A99, 'KZ-normalized'!$A:$A, 0))-INDEX('KZ-normalized'!$E:$E, MATCH($A99, 'KZ-normalized'!$A:$A, 0))), 0), 0))+(IFERROR(IF(7*INDEX('UZ-normalized'!$D:$D, MATCH($A99, 'UZ-normalized'!$A:$A, 0))-INDEX('UZ-normalized'!$E:$E, MATCH($A99, 'UZ-normalized'!$A:$A, 0))&gt;0, -(7*INDEX('UZ-normalized'!$D:$D, MATCH($A99, 'UZ-normalized'!$A:$A, 0))-INDEX('UZ-normalized'!$E:$E, MATCH($A99, 'UZ-normalized'!$A:$A, 0))), 0), 0)))</f>
        <v>-506</v>
      </c>
      <c r="V99" s="6">
        <f>MIN(0, N99+(IFERROR(IF(8*INDEX('UA-normalized'!$D:$D, MATCH($A99, 'UA-normalized'!$A:$A, 0))-INDEX('UA-normalized'!$E:$E, MATCH($A99, 'UA-normalized'!$A:$A, 0))&gt;0, -(8*INDEX('UA-normalized'!$D:$D, MATCH($A99, 'UA-normalized'!$A:$A, 0))-INDEX('UA-normalized'!$E:$E, MATCH($A99, 'UA-normalized'!$A:$A, 0))), 0), 0))+(IFERROR(IF(8*INDEX('KZ-normalized'!$D:$D, MATCH($A99, 'KZ-normalized'!$A:$A, 0))-INDEX('KZ-normalized'!$E:$E, MATCH($A99, 'KZ-normalized'!$A:$A, 0))&gt;0, -(8*INDEX('KZ-normalized'!$D:$D, MATCH($A99, 'KZ-normalized'!$A:$A, 0))-INDEX('KZ-normalized'!$E:$E, MATCH($A99, 'KZ-normalized'!$A:$A, 0))), 0), 0))+(IFERROR(IF(8*INDEX('UZ-normalized'!$D:$D, MATCH($A99, 'UZ-normalized'!$A:$A, 0))-INDEX('UZ-normalized'!$E:$E, MATCH($A99, 'UZ-normalized'!$A:$A, 0))&gt;0, -(8*INDEX('UZ-normalized'!$D:$D, MATCH($A99, 'UZ-normalized'!$A:$A, 0))-INDEX('UZ-normalized'!$E:$E, MATCH($A99, 'UZ-normalized'!$A:$A, 0))), 0), 0)))</f>
        <v>-639</v>
      </c>
      <c r="W99" s="6">
        <f>MIN(0, N99+(IFERROR(IF(9*INDEX('UA-normalized'!$D:$D, MATCH($A99, 'UA-normalized'!$A:$A, 0))-INDEX('UA-normalized'!$E:$E, MATCH($A99, 'UA-normalized'!$A:$A, 0))&gt;0, -(9*INDEX('UA-normalized'!$D:$D, MATCH($A99, 'UA-normalized'!$A:$A, 0))-INDEX('UA-normalized'!$E:$E, MATCH($A99, 'UA-normalized'!$A:$A, 0))), 0), 0))+(IFERROR(IF(9*INDEX('KZ-normalized'!$D:$D, MATCH($A99, 'KZ-normalized'!$A:$A, 0))-INDEX('KZ-normalized'!$E:$E, MATCH($A99, 'KZ-normalized'!$A:$A, 0))&gt;0, -(9*INDEX('KZ-normalized'!$D:$D, MATCH($A99, 'KZ-normalized'!$A:$A, 0))-INDEX('KZ-normalized'!$E:$E, MATCH($A99, 'KZ-normalized'!$A:$A, 0))), 0), 0))+(IFERROR(IF(9*INDEX('UZ-normalized'!$D:$D, MATCH($A99, 'UZ-normalized'!$A:$A, 0))-INDEX('UZ-normalized'!$E:$E, MATCH($A99, 'UZ-normalized'!$A:$A, 0))&gt;0, -(9*INDEX('UZ-normalized'!$D:$D, MATCH($A99, 'UZ-normalized'!$A:$A, 0))-INDEX('UZ-normalized'!$E:$E, MATCH($A99, 'UZ-normalized'!$A:$A, 0))), 0), 0)))</f>
        <v>-772</v>
      </c>
      <c r="X99" s="6">
        <f>MIN(0, N99+(IFERROR(IF(10*INDEX('UA-normalized'!$D:$D, MATCH($A99, 'UA-normalized'!$A:$A, 0))-INDEX('UA-normalized'!$E:$E, MATCH($A99, 'UA-normalized'!$A:$A, 0))&gt;0, -(10*INDEX('UA-normalized'!$D:$D, MATCH($A99, 'UA-normalized'!$A:$A, 0))-INDEX('UA-normalized'!$E:$E, MATCH($A99, 'UA-normalized'!$A:$A, 0))), 0), 0))+(IFERROR(IF(10*INDEX('KZ-normalized'!$D:$D, MATCH($A99, 'KZ-normalized'!$A:$A, 0))-INDEX('KZ-normalized'!$E:$E, MATCH($A99, 'KZ-normalized'!$A:$A, 0))&gt;0, -(10*INDEX('KZ-normalized'!$D:$D, MATCH($A99, 'KZ-normalized'!$A:$A, 0))-INDEX('KZ-normalized'!$E:$E, MATCH($A99, 'KZ-normalized'!$A:$A, 0))), 0), 0))+(IFERROR(IF(10*INDEX('UZ-normalized'!$D:$D, MATCH($A99, 'UZ-normalized'!$A:$A, 0))-INDEX('UZ-normalized'!$E:$E, MATCH($A99, 'UZ-normalized'!$A:$A, 0))&gt;0, -(10*INDEX('UZ-normalized'!$D:$D, MATCH($A99, 'UZ-normalized'!$A:$A, 0))-INDEX('UZ-normalized'!$E:$E, MATCH($A99, 'UZ-normalized'!$A:$A, 0))), 0), 0)))</f>
        <v>-905</v>
      </c>
      <c r="Y99" s="6">
        <f>MIN(0, N99+(IFERROR(IF(11*INDEX('UA-normalized'!$D:$D, MATCH($A99, 'UA-normalized'!$A:$A, 0))-INDEX('UA-normalized'!$E:$E, MATCH($A99, 'UA-normalized'!$A:$A, 0))&gt;0, -(11*INDEX('UA-normalized'!$D:$D, MATCH($A99, 'UA-normalized'!$A:$A, 0))-INDEX('UA-normalized'!$E:$E, MATCH($A99, 'UA-normalized'!$A:$A, 0))), 0), 0))+(IFERROR(IF(11*INDEX('KZ-normalized'!$D:$D, MATCH($A99, 'KZ-normalized'!$A:$A, 0))-INDEX('KZ-normalized'!$E:$E, MATCH($A99, 'KZ-normalized'!$A:$A, 0))&gt;0, -(11*INDEX('KZ-normalized'!$D:$D, MATCH($A99, 'KZ-normalized'!$A:$A, 0))-INDEX('KZ-normalized'!$E:$E, MATCH($A99, 'KZ-normalized'!$A:$A, 0))), 0), 0))+(IFERROR(IF(11*INDEX('UZ-normalized'!$D:$D, MATCH($A99, 'UZ-normalized'!$A:$A, 0))-INDEX('UZ-normalized'!$E:$E, MATCH($A99, 'UZ-normalized'!$A:$A, 0))&gt;0, -(11*INDEX('UZ-normalized'!$D:$D, MATCH($A99, 'UZ-normalized'!$A:$A, 0))-INDEX('UZ-normalized'!$E:$E, MATCH($A99, 'UZ-normalized'!$A:$A, 0))), 0), 0)))</f>
        <v>-1038</v>
      </c>
      <c r="Z99" s="6">
        <f>MIN(0, N99+(IFERROR(IF(12*INDEX('UA-normalized'!$D:$D, MATCH($A99, 'UA-normalized'!$A:$A, 0))-INDEX('UA-normalized'!$E:$E, MATCH($A99, 'UA-normalized'!$A:$A, 0))&gt;0, -(12*INDEX('UA-normalized'!$D:$D, MATCH($A99, 'UA-normalized'!$A:$A, 0))-INDEX('UA-normalized'!$E:$E, MATCH($A99, 'UA-normalized'!$A:$A, 0))), 0), 0))+(IFERROR(IF(12*INDEX('KZ-normalized'!$D:$D, MATCH($A99, 'KZ-normalized'!$A:$A, 0))-INDEX('KZ-normalized'!$E:$E, MATCH($A99, 'KZ-normalized'!$A:$A, 0))&gt;0, -(12*INDEX('KZ-normalized'!$D:$D, MATCH($A99, 'KZ-normalized'!$A:$A, 0))-INDEX('KZ-normalized'!$E:$E, MATCH($A99, 'KZ-normalized'!$A:$A, 0))), 0), 0))+(IFERROR(IF(12*INDEX('UZ-normalized'!$D:$D, MATCH($A99, 'UZ-normalized'!$A:$A, 0))-INDEX('UZ-normalized'!$E:$E, MATCH($A99, 'UZ-normalized'!$A:$A, 0))&gt;0, -(12*INDEX('UZ-normalized'!$D:$D, MATCH($A99, 'UZ-normalized'!$A:$A, 0))-INDEX('UZ-normalized'!$E:$E, MATCH($A99, 'UZ-normalized'!$A:$A, 0))), 0), 0)))</f>
        <v>-1171</v>
      </c>
      <c r="AA99" s="6">
        <f>MIN(0, N99+(IFERROR(IF(13*INDEX('UA-normalized'!$D:$D, MATCH($A99, 'UA-normalized'!$A:$A, 0))-INDEX('UA-normalized'!$E:$E, MATCH($A99, 'UA-normalized'!$A:$A, 0))&gt;0, -(13*INDEX('UA-normalized'!$D:$D, MATCH($A99, 'UA-normalized'!$A:$A, 0))-INDEX('UA-normalized'!$E:$E, MATCH($A99, 'UA-normalized'!$A:$A, 0))), 0), 0))+(IFERROR(IF(13*INDEX('KZ-normalized'!$D:$D, MATCH($A99, 'KZ-normalized'!$A:$A, 0))-INDEX('KZ-normalized'!$E:$E, MATCH($A99, 'KZ-normalized'!$A:$A, 0))&gt;0, -(13*INDEX('KZ-normalized'!$D:$D, MATCH($A99, 'KZ-normalized'!$A:$A, 0))-INDEX('KZ-normalized'!$E:$E, MATCH($A99, 'KZ-normalized'!$A:$A, 0))), 0), 0))+(IFERROR(IF(13*INDEX('UZ-normalized'!$D:$D, MATCH($A99, 'UZ-normalized'!$A:$A, 0))-INDEX('UZ-normalized'!$E:$E, MATCH($A99, 'UZ-normalized'!$A:$A, 0))&gt;0, -(13*INDEX('UZ-normalized'!$D:$D, MATCH($A99, 'UZ-normalized'!$A:$A, 0))-INDEX('UZ-normalized'!$E:$E, MATCH($A99, 'UZ-normalized'!$A:$A, 0))), 0), 0)))</f>
        <v>-1304</v>
      </c>
      <c r="AB99" s="6">
        <f>MIN(0, N99+(IFERROR(IF(14*INDEX('UA-normalized'!$D:$D, MATCH($A99, 'UA-normalized'!$A:$A, 0))-INDEX('UA-normalized'!$E:$E, MATCH($A99, 'UA-normalized'!$A:$A, 0))&gt;0, -(14*INDEX('UA-normalized'!$D:$D, MATCH($A99, 'UA-normalized'!$A:$A, 0))-INDEX('UA-normalized'!$E:$E, MATCH($A99, 'UA-normalized'!$A:$A, 0))), 0), 0))+(IFERROR(IF(14*INDEX('KZ-normalized'!$D:$D, MATCH($A99, 'KZ-normalized'!$A:$A, 0))-INDEX('KZ-normalized'!$E:$E, MATCH($A99, 'KZ-normalized'!$A:$A, 0))&gt;0, -(14*INDEX('KZ-normalized'!$D:$D, MATCH($A99, 'KZ-normalized'!$A:$A, 0))-INDEX('KZ-normalized'!$E:$E, MATCH($A99, 'KZ-normalized'!$A:$A, 0))), 0), 0))+(IFERROR(IF(14*INDEX('UZ-normalized'!$D:$D, MATCH($A99, 'UZ-normalized'!$A:$A, 0))-INDEX('UZ-normalized'!$E:$E, MATCH($A99, 'UZ-normalized'!$A:$A, 0))&gt;0, -(14*INDEX('UZ-normalized'!$D:$D, MATCH($A99, 'UZ-normalized'!$A:$A, 0))-INDEX('UZ-normalized'!$E:$E, MATCH($A99, 'UZ-normalized'!$A:$A, 0))), 0), 0)))</f>
        <v>-1437</v>
      </c>
      <c r="AC99" s="6">
        <f>MIN(0, N99+(IFERROR(IF(15*INDEX('UA-normalized'!$D:$D, MATCH($A99, 'UA-normalized'!$A:$A, 0))-INDEX('UA-normalized'!$E:$E, MATCH($A99, 'UA-normalized'!$A:$A, 0))&gt;0, -(15*INDEX('UA-normalized'!$D:$D, MATCH($A99, 'UA-normalized'!$A:$A, 0))-INDEX('UA-normalized'!$E:$E, MATCH($A99, 'UA-normalized'!$A:$A, 0))), 0), 0))+(IFERROR(IF(15*INDEX('KZ-normalized'!$D:$D, MATCH($A99, 'KZ-normalized'!$A:$A, 0))-INDEX('KZ-normalized'!$E:$E, MATCH($A99, 'KZ-normalized'!$A:$A, 0))&gt;0, -(15*INDEX('KZ-normalized'!$D:$D, MATCH($A99, 'KZ-normalized'!$A:$A, 0))-INDEX('KZ-normalized'!$E:$E, MATCH($A99, 'KZ-normalized'!$A:$A, 0))), 0), 0))+(IFERROR(IF(15*INDEX('UZ-normalized'!$D:$D, MATCH($A99, 'UZ-normalized'!$A:$A, 0))-INDEX('UZ-normalized'!$E:$E, MATCH($A99, 'UZ-normalized'!$A:$A, 0))&gt;0, -(15*INDEX('UZ-normalized'!$D:$D, MATCH($A99, 'UZ-normalized'!$A:$A, 0))-INDEX('UZ-normalized'!$E:$E, MATCH($A99, 'UZ-normalized'!$A:$A, 0))), 0), 0)))</f>
        <v>-1570</v>
      </c>
      <c r="AD99" s="6">
        <f>MIN(0, N99+(IFERROR(IF(16*INDEX('UA-normalized'!$D:$D, MATCH($A99, 'UA-normalized'!$A:$A, 0))-INDEX('UA-normalized'!$E:$E, MATCH($A99, 'UA-normalized'!$A:$A, 0))&gt;0, -(16*INDEX('UA-normalized'!$D:$D, MATCH($A99, 'UA-normalized'!$A:$A, 0))-INDEX('UA-normalized'!$E:$E, MATCH($A99, 'UA-normalized'!$A:$A, 0))), 0), 0))+(IFERROR(IF(16*INDEX('KZ-normalized'!$D:$D, MATCH($A99, 'KZ-normalized'!$A:$A, 0))-INDEX('KZ-normalized'!$E:$E, MATCH($A99, 'KZ-normalized'!$A:$A, 0))&gt;0, -(16*INDEX('KZ-normalized'!$D:$D, MATCH($A99, 'KZ-normalized'!$A:$A, 0))-INDEX('KZ-normalized'!$E:$E, MATCH($A99, 'KZ-normalized'!$A:$A, 0))), 0), 0))+(IFERROR(IF(16*INDEX('UZ-normalized'!$D:$D, MATCH($A99, 'UZ-normalized'!$A:$A, 0))-INDEX('UZ-normalized'!$E:$E, MATCH($A99, 'UZ-normalized'!$A:$A, 0))&gt;0, -(16*INDEX('UZ-normalized'!$D:$D, MATCH($A99, 'UZ-normalized'!$A:$A, 0))-INDEX('UZ-normalized'!$E:$E, MATCH($A99, 'UZ-normalized'!$A:$A, 0))), 0), 0)))</f>
        <v>-1703</v>
      </c>
      <c r="AE99" s="6">
        <f>MIN(0, N99+(IFERROR(IF(17*INDEX('UA-normalized'!$D:$D, MATCH($A99, 'UA-normalized'!$A:$A, 0))-INDEX('UA-normalized'!$E:$E, MATCH($A99, 'UA-normalized'!$A:$A, 0))&gt;0, -(17*INDEX('UA-normalized'!$D:$D, MATCH($A99, 'UA-normalized'!$A:$A, 0))-INDEX('UA-normalized'!$E:$E, MATCH($A99, 'UA-normalized'!$A:$A, 0))), 0), 0))+(IFERROR(IF(17*INDEX('KZ-normalized'!$D:$D, MATCH($A99, 'KZ-normalized'!$A:$A, 0))-INDEX('KZ-normalized'!$E:$E, MATCH($A99, 'KZ-normalized'!$A:$A, 0))&gt;0, -(17*INDEX('KZ-normalized'!$D:$D, MATCH($A99, 'KZ-normalized'!$A:$A, 0))-INDEX('KZ-normalized'!$E:$E, MATCH($A99, 'KZ-normalized'!$A:$A, 0))), 0), 0))+(IFERROR(IF(17*INDEX('UZ-normalized'!$D:$D, MATCH($A99, 'UZ-normalized'!$A:$A, 0))-INDEX('UZ-normalized'!$E:$E, MATCH($A99, 'UZ-normalized'!$A:$A, 0))&gt;0, -(17*INDEX('UZ-normalized'!$D:$D, MATCH($A99, 'UZ-normalized'!$A:$A, 0))-INDEX('UZ-normalized'!$E:$E, MATCH($A99, 'UZ-normalized'!$A:$A, 0))), 0), 0)))</f>
        <v>-1836</v>
      </c>
      <c r="AF99" s="6">
        <f>MIN(0, N99+(IFERROR(IF(18*INDEX('UA-normalized'!$D:$D, MATCH($A99, 'UA-normalized'!$A:$A, 0))-INDEX('UA-normalized'!$E:$E, MATCH($A99, 'UA-normalized'!$A:$A, 0))&gt;0, -(18*INDEX('UA-normalized'!$D:$D, MATCH($A99, 'UA-normalized'!$A:$A, 0))-INDEX('UA-normalized'!$E:$E, MATCH($A99, 'UA-normalized'!$A:$A, 0))), 0), 0))+(IFERROR(IF(18*INDEX('KZ-normalized'!$D:$D, MATCH($A99, 'KZ-normalized'!$A:$A, 0))-INDEX('KZ-normalized'!$E:$E, MATCH($A99, 'KZ-normalized'!$A:$A, 0))&gt;0, -(18*INDEX('KZ-normalized'!$D:$D, MATCH($A99, 'KZ-normalized'!$A:$A, 0))-INDEX('KZ-normalized'!$E:$E, MATCH($A99, 'KZ-normalized'!$A:$A, 0))), 0), 0))+(IFERROR(IF(18*INDEX('UZ-normalized'!$D:$D, MATCH($A99, 'UZ-normalized'!$A:$A, 0))-INDEX('UZ-normalized'!$E:$E, MATCH($A99, 'UZ-normalized'!$A:$A, 0))&gt;0, -(18*INDEX('UZ-normalized'!$D:$D, MATCH($A99, 'UZ-normalized'!$A:$A, 0))-INDEX('UZ-normalized'!$E:$E, MATCH($A99, 'UZ-normalized'!$A:$A, 0))), 0), 0)))</f>
        <v>-1969</v>
      </c>
      <c r="AG99" s="6">
        <f>MIN(0, N99+(IFERROR(IF(19*INDEX('UA-normalized'!$D:$D, MATCH($A99, 'UA-normalized'!$A:$A, 0))-INDEX('UA-normalized'!$E:$E, MATCH($A99, 'UA-normalized'!$A:$A, 0))&gt;0, -(19*INDEX('UA-normalized'!$D:$D, MATCH($A99, 'UA-normalized'!$A:$A, 0))-INDEX('UA-normalized'!$E:$E, MATCH($A99, 'UA-normalized'!$A:$A, 0))), 0), 0))+(IFERROR(IF(19*INDEX('KZ-normalized'!$D:$D, MATCH($A99, 'KZ-normalized'!$A:$A, 0))-INDEX('KZ-normalized'!$E:$E, MATCH($A99, 'KZ-normalized'!$A:$A, 0))&gt;0, -(19*INDEX('KZ-normalized'!$D:$D, MATCH($A99, 'KZ-normalized'!$A:$A, 0))-INDEX('KZ-normalized'!$E:$E, MATCH($A99, 'KZ-normalized'!$A:$A, 0))), 0), 0))+(IFERROR(IF(19*INDEX('UZ-normalized'!$D:$D, MATCH($A99, 'UZ-normalized'!$A:$A, 0))-INDEX('UZ-normalized'!$E:$E, MATCH($A99, 'UZ-normalized'!$A:$A, 0))&gt;0, -(19*INDEX('UZ-normalized'!$D:$D, MATCH($A99, 'UZ-normalized'!$A:$A, 0))-INDEX('UZ-normalized'!$E:$E, MATCH($A99, 'UZ-normalized'!$A:$A, 0))), 0), 0)))</f>
        <v>-2102</v>
      </c>
      <c r="AH99" s="6">
        <f>MIN(0, N99+(IFERROR(IF(20*INDEX('UA-normalized'!$D:$D, MATCH($A99, 'UA-normalized'!$A:$A, 0))-INDEX('UA-normalized'!$E:$E, MATCH($A99, 'UA-normalized'!$A:$A, 0))&gt;0, -(20*INDEX('UA-normalized'!$D:$D, MATCH($A99, 'UA-normalized'!$A:$A, 0))-INDEX('UA-normalized'!$E:$E, MATCH($A99, 'UA-normalized'!$A:$A, 0))), 0), 0))+(IFERROR(IF(20*INDEX('KZ-normalized'!$D:$D, MATCH($A99, 'KZ-normalized'!$A:$A, 0))-INDEX('KZ-normalized'!$E:$E, MATCH($A99, 'KZ-normalized'!$A:$A, 0))&gt;0, -(20*INDEX('KZ-normalized'!$D:$D, MATCH($A99, 'KZ-normalized'!$A:$A, 0))-INDEX('KZ-normalized'!$E:$E, MATCH($A99, 'KZ-normalized'!$A:$A, 0))), 0), 0))+(IFERROR(IF(20*INDEX('UZ-normalized'!$D:$D, MATCH($A99, 'UZ-normalized'!$A:$A, 0))-INDEX('UZ-normalized'!$E:$E, MATCH($A99, 'UZ-normalized'!$A:$A, 0))&gt;0, -(20*INDEX('UZ-normalized'!$D:$D, MATCH($A99, 'UZ-normalized'!$A:$A, 0))-INDEX('UZ-normalized'!$E:$E, MATCH($A99, 'UZ-normalized'!$A:$A, 0))), 0), 0)))</f>
        <v>-2235</v>
      </c>
      <c r="AI99" s="6">
        <f>MIN(0, N99+(IFERROR(IF(21*INDEX('UA-normalized'!$D:$D, MATCH($A99, 'UA-normalized'!$A:$A, 0))-INDEX('UA-normalized'!$E:$E, MATCH($A99, 'UA-normalized'!$A:$A, 0))&gt;0, -(21*INDEX('UA-normalized'!$D:$D, MATCH($A99, 'UA-normalized'!$A:$A, 0))-INDEX('UA-normalized'!$E:$E, MATCH($A99, 'UA-normalized'!$A:$A, 0))), 0), 0))+(IFERROR(IF(21*INDEX('KZ-normalized'!$D:$D, MATCH($A99, 'KZ-normalized'!$A:$A, 0))-INDEX('KZ-normalized'!$E:$E, MATCH($A99, 'KZ-normalized'!$A:$A, 0))&gt;0, -(21*INDEX('KZ-normalized'!$D:$D, MATCH($A99, 'KZ-normalized'!$A:$A, 0))-INDEX('KZ-normalized'!$E:$E, MATCH($A99, 'KZ-normalized'!$A:$A, 0))), 0), 0))+(IFERROR(IF(21*INDEX('UZ-normalized'!$D:$D, MATCH($A99, 'UZ-normalized'!$A:$A, 0))-INDEX('UZ-normalized'!$E:$E, MATCH($A99, 'UZ-normalized'!$A:$A, 0))&gt;0, -(21*INDEX('UZ-normalized'!$D:$D, MATCH($A99, 'UZ-normalized'!$A:$A, 0))-INDEX('UZ-normalized'!$E:$E, MATCH($A99, 'UZ-normalized'!$A:$A, 0))), 0), 0)))</f>
        <v>-2368</v>
      </c>
      <c r="AJ99" s="6">
        <f>MIN(0, N99+(IFERROR(IF(22*INDEX('UA-normalized'!$D:$D, MATCH($A99, 'UA-normalized'!$A:$A, 0))-INDEX('UA-normalized'!$E:$E, MATCH($A99, 'UA-normalized'!$A:$A, 0))&gt;0, -(22*INDEX('UA-normalized'!$D:$D, MATCH($A99, 'UA-normalized'!$A:$A, 0))-INDEX('UA-normalized'!$E:$E, MATCH($A99, 'UA-normalized'!$A:$A, 0))), 0), 0))+(IFERROR(IF(22*INDEX('KZ-normalized'!$D:$D, MATCH($A99, 'KZ-normalized'!$A:$A, 0))-INDEX('KZ-normalized'!$E:$E, MATCH($A99, 'KZ-normalized'!$A:$A, 0))&gt;0, -(22*INDEX('KZ-normalized'!$D:$D, MATCH($A99, 'KZ-normalized'!$A:$A, 0))-INDEX('KZ-normalized'!$E:$E, MATCH($A99, 'KZ-normalized'!$A:$A, 0))), 0), 0))+(IFERROR(IF(22*INDEX('UZ-normalized'!$D:$D, MATCH($A99, 'UZ-normalized'!$A:$A, 0))-INDEX('UZ-normalized'!$E:$E, MATCH($A99, 'UZ-normalized'!$A:$A, 0))&gt;0, -(22*INDEX('UZ-normalized'!$D:$D, MATCH($A99, 'UZ-normalized'!$A:$A, 0))-INDEX('UZ-normalized'!$E:$E, MATCH($A99, 'UZ-normalized'!$A:$A, 0))), 0), 0)))</f>
        <v>-2501</v>
      </c>
      <c r="AK99" s="6">
        <f>MIN(0, N99+(IFERROR(IF(23*INDEX('UA-normalized'!$D:$D, MATCH($A99, 'UA-normalized'!$A:$A, 0))-INDEX('UA-normalized'!$E:$E, MATCH($A99, 'UA-normalized'!$A:$A, 0))&gt;0, -(23*INDEX('UA-normalized'!$D:$D, MATCH($A99, 'UA-normalized'!$A:$A, 0))-INDEX('UA-normalized'!$E:$E, MATCH($A99, 'UA-normalized'!$A:$A, 0))), 0), 0))+(IFERROR(IF(23*INDEX('KZ-normalized'!$D:$D, MATCH($A99, 'KZ-normalized'!$A:$A, 0))-INDEX('KZ-normalized'!$E:$E, MATCH($A99, 'KZ-normalized'!$A:$A, 0))&gt;0, -(23*INDEX('KZ-normalized'!$D:$D, MATCH($A99, 'KZ-normalized'!$A:$A, 0))-INDEX('KZ-normalized'!$E:$E, MATCH($A99, 'KZ-normalized'!$A:$A, 0))), 0), 0))+(IFERROR(IF(23*INDEX('UZ-normalized'!$D:$D, MATCH($A99, 'UZ-normalized'!$A:$A, 0))-INDEX('UZ-normalized'!$E:$E, MATCH($A99, 'UZ-normalized'!$A:$A, 0))&gt;0, -(23*INDEX('UZ-normalized'!$D:$D, MATCH($A99, 'UZ-normalized'!$A:$A, 0))-INDEX('UZ-normalized'!$E:$E, MATCH($A99, 'UZ-normalized'!$A:$A, 0))), 0), 0)))</f>
        <v>-2634</v>
      </c>
      <c r="AL99" s="6">
        <f>MIN(0, N99+(IFERROR(IF(24*INDEX('UA-normalized'!$D:$D, MATCH($A99, 'UA-normalized'!$A:$A, 0))-INDEX('UA-normalized'!$E:$E, MATCH($A99, 'UA-normalized'!$A:$A, 0))&gt;0, -(24*INDEX('UA-normalized'!$D:$D, MATCH($A99, 'UA-normalized'!$A:$A, 0))-INDEX('UA-normalized'!$E:$E, MATCH($A99, 'UA-normalized'!$A:$A, 0))), 0), 0))+(IFERROR(IF(24*INDEX('KZ-normalized'!$D:$D, MATCH($A99, 'KZ-normalized'!$A:$A, 0))-INDEX('KZ-normalized'!$E:$E, MATCH($A99, 'KZ-normalized'!$A:$A, 0))&gt;0, -(24*INDEX('KZ-normalized'!$D:$D, MATCH($A99, 'KZ-normalized'!$A:$A, 0))-INDEX('KZ-normalized'!$E:$E, MATCH($A99, 'KZ-normalized'!$A:$A, 0))), 0), 0))+(IFERROR(IF(24*INDEX('UZ-normalized'!$D:$D, MATCH($A99, 'UZ-normalized'!$A:$A, 0))-INDEX('UZ-normalized'!$E:$E, MATCH($A99, 'UZ-normalized'!$A:$A, 0))&gt;0, -(24*INDEX('UZ-normalized'!$D:$D, MATCH($A99, 'UZ-normalized'!$A:$A, 0))-INDEX('UZ-normalized'!$E:$E, MATCH($A99, 'UZ-normalized'!$A:$A, 0))), 0), 0)))</f>
        <v>-2767</v>
      </c>
      <c r="AM99" s="6">
        <f>MIN(0, N99+(IFERROR(IF(25*INDEX('UA-normalized'!$D:$D, MATCH($A99, 'UA-normalized'!$A:$A, 0))-INDEX('UA-normalized'!$E:$E, MATCH($A99, 'UA-normalized'!$A:$A, 0))&gt;0, -(25*INDEX('UA-normalized'!$D:$D, MATCH($A99, 'UA-normalized'!$A:$A, 0))-INDEX('UA-normalized'!$E:$E, MATCH($A99, 'UA-normalized'!$A:$A, 0))), 0), 0))+(IFERROR(IF(25*INDEX('KZ-normalized'!$D:$D, MATCH($A99, 'KZ-normalized'!$A:$A, 0))-INDEX('KZ-normalized'!$E:$E, MATCH($A99, 'KZ-normalized'!$A:$A, 0))&gt;0, -(25*INDEX('KZ-normalized'!$D:$D, MATCH($A99, 'KZ-normalized'!$A:$A, 0))-INDEX('KZ-normalized'!$E:$E, MATCH($A99, 'KZ-normalized'!$A:$A, 0))), 0), 0))+(IFERROR(IF(25*INDEX('UZ-normalized'!$D:$D, MATCH($A99, 'UZ-normalized'!$A:$A, 0))-INDEX('UZ-normalized'!$E:$E, MATCH($A99, 'UZ-normalized'!$A:$A, 0))&gt;0, -(25*INDEX('UZ-normalized'!$D:$D, MATCH($A99, 'UZ-normalized'!$A:$A, 0))-INDEX('UZ-normalized'!$E:$E, MATCH($A99, 'UZ-normalized'!$A:$A, 0))), 0), 0)))</f>
        <v>-2900</v>
      </c>
      <c r="AN99" s="6">
        <f>MIN(0, N99+(IFERROR(IF(26*INDEX('UA-normalized'!$D:$D, MATCH($A99, 'UA-normalized'!$A:$A, 0))-INDEX('UA-normalized'!$E:$E, MATCH($A99, 'UA-normalized'!$A:$A, 0))&gt;0, -(26*INDEX('UA-normalized'!$D:$D, MATCH($A99, 'UA-normalized'!$A:$A, 0))-INDEX('UA-normalized'!$E:$E, MATCH($A99, 'UA-normalized'!$A:$A, 0))), 0), 0))+(IFERROR(IF(26*INDEX('KZ-normalized'!$D:$D, MATCH($A99, 'KZ-normalized'!$A:$A, 0))-INDEX('KZ-normalized'!$E:$E, MATCH($A99, 'KZ-normalized'!$A:$A, 0))&gt;0, -(26*INDEX('KZ-normalized'!$D:$D, MATCH($A99, 'KZ-normalized'!$A:$A, 0))-INDEX('KZ-normalized'!$E:$E, MATCH($A99, 'KZ-normalized'!$A:$A, 0))), 0), 0))+(IFERROR(IF(26*INDEX('UZ-normalized'!$D:$D, MATCH($A99, 'UZ-normalized'!$A:$A, 0))-INDEX('UZ-normalized'!$E:$E, MATCH($A99, 'UZ-normalized'!$A:$A, 0))&gt;0, -(26*INDEX('UZ-normalized'!$D:$D, MATCH($A99, 'UZ-normalized'!$A:$A, 0))-INDEX('UZ-normalized'!$E:$E, MATCH($A99, 'UZ-normalized'!$A:$A, 0))), 0), 0)))</f>
        <v>-3033</v>
      </c>
      <c r="AO99" s="6">
        <f>MIN(0, N99+(IFERROR(IF(27*INDEX('UA-normalized'!$D:$D, MATCH($A99, 'UA-normalized'!$A:$A, 0))-INDEX('UA-normalized'!$E:$E, MATCH($A99, 'UA-normalized'!$A:$A, 0))&gt;0, -(27*INDEX('UA-normalized'!$D:$D, MATCH($A99, 'UA-normalized'!$A:$A, 0))-INDEX('UA-normalized'!$E:$E, MATCH($A99, 'UA-normalized'!$A:$A, 0))), 0), 0))+(IFERROR(IF(27*INDEX('KZ-normalized'!$D:$D, MATCH($A99, 'KZ-normalized'!$A:$A, 0))-INDEX('KZ-normalized'!$E:$E, MATCH($A99, 'KZ-normalized'!$A:$A, 0))&gt;0, -(27*INDEX('KZ-normalized'!$D:$D, MATCH($A99, 'KZ-normalized'!$A:$A, 0))-INDEX('KZ-normalized'!$E:$E, MATCH($A99, 'KZ-normalized'!$A:$A, 0))), 0), 0))+(IFERROR(IF(27*INDEX('UZ-normalized'!$D:$D, MATCH($A99, 'UZ-normalized'!$A:$A, 0))-INDEX('UZ-normalized'!$E:$E, MATCH($A99, 'UZ-normalized'!$A:$A, 0))&gt;0, -(27*INDEX('UZ-normalized'!$D:$D, MATCH($A99, 'UZ-normalized'!$A:$A, 0))-INDEX('UZ-normalized'!$E:$E, MATCH($A99, 'UZ-normalized'!$A:$A, 0))), 0), 0)))</f>
        <v>-3166</v>
      </c>
      <c r="AP99" s="6">
        <f>MIN(0, N99+(IFERROR(IF(28*INDEX('UA-normalized'!$D:$D, MATCH($A99, 'UA-normalized'!$A:$A, 0))-INDEX('UA-normalized'!$E:$E, MATCH($A99, 'UA-normalized'!$A:$A, 0))&gt;0, -(28*INDEX('UA-normalized'!$D:$D, MATCH($A99, 'UA-normalized'!$A:$A, 0))-INDEX('UA-normalized'!$E:$E, MATCH($A99, 'UA-normalized'!$A:$A, 0))), 0), 0))+(IFERROR(IF(28*INDEX('KZ-normalized'!$D:$D, MATCH($A99, 'KZ-normalized'!$A:$A, 0))-INDEX('KZ-normalized'!$E:$E, MATCH($A99, 'KZ-normalized'!$A:$A, 0))&gt;0, -(28*INDEX('KZ-normalized'!$D:$D, MATCH($A99, 'KZ-normalized'!$A:$A, 0))-INDEX('KZ-normalized'!$E:$E, MATCH($A99, 'KZ-normalized'!$A:$A, 0))), 0), 0))+(IFERROR(IF(28*INDEX('UZ-normalized'!$D:$D, MATCH($A99, 'UZ-normalized'!$A:$A, 0))-INDEX('UZ-normalized'!$E:$E, MATCH($A99, 'UZ-normalized'!$A:$A, 0))&gt;0, -(28*INDEX('UZ-normalized'!$D:$D, MATCH($A99, 'UZ-normalized'!$A:$A, 0))-INDEX('UZ-normalized'!$E:$E, MATCH($A99, 'UZ-normalized'!$A:$A, 0))), 0), 0)))</f>
        <v>-3299</v>
      </c>
      <c r="AQ99" s="6">
        <f>MIN(0, N99+(IFERROR(IF(29*INDEX('UA-normalized'!$D:$D, MATCH($A99, 'UA-normalized'!$A:$A, 0))-INDEX('UA-normalized'!$E:$E, MATCH($A99, 'UA-normalized'!$A:$A, 0))&gt;0, -(29*INDEX('UA-normalized'!$D:$D, MATCH($A99, 'UA-normalized'!$A:$A, 0))-INDEX('UA-normalized'!$E:$E, MATCH($A99, 'UA-normalized'!$A:$A, 0))), 0), 0))+(IFERROR(IF(29*INDEX('KZ-normalized'!$D:$D, MATCH($A99, 'KZ-normalized'!$A:$A, 0))-INDEX('KZ-normalized'!$E:$E, MATCH($A99, 'KZ-normalized'!$A:$A, 0))&gt;0, -(29*INDEX('KZ-normalized'!$D:$D, MATCH($A99, 'KZ-normalized'!$A:$A, 0))-INDEX('KZ-normalized'!$E:$E, MATCH($A99, 'KZ-normalized'!$A:$A, 0))), 0), 0))+(IFERROR(IF(29*INDEX('UZ-normalized'!$D:$D, MATCH($A99, 'UZ-normalized'!$A:$A, 0))-INDEX('UZ-normalized'!$E:$E, MATCH($A99, 'UZ-normalized'!$A:$A, 0))&gt;0, -(29*INDEX('UZ-normalized'!$D:$D, MATCH($A99, 'UZ-normalized'!$A:$A, 0))-INDEX('UZ-normalized'!$E:$E, MATCH($A99, 'UZ-normalized'!$A:$A, 0))), 0), 0)))</f>
        <v>-3432</v>
      </c>
      <c r="AR99" s="6">
        <f>MIN(0, N99+(IFERROR(IF(30*INDEX('UA-normalized'!$D:$D, MATCH($A99, 'UA-normalized'!$A:$A, 0))-INDEX('UA-normalized'!$E:$E, MATCH($A99, 'UA-normalized'!$A:$A, 0))&gt;0, -(30*INDEX('UA-normalized'!$D:$D, MATCH($A99, 'UA-normalized'!$A:$A, 0))-INDEX('UA-normalized'!$E:$E, MATCH($A99, 'UA-normalized'!$A:$A, 0))), 0), 0))+(IFERROR(IF(30*INDEX('KZ-normalized'!$D:$D, MATCH($A99, 'KZ-normalized'!$A:$A, 0))-INDEX('KZ-normalized'!$E:$E, MATCH($A99, 'KZ-normalized'!$A:$A, 0))&gt;0, -(30*INDEX('KZ-normalized'!$D:$D, MATCH($A99, 'KZ-normalized'!$A:$A, 0))-INDEX('KZ-normalized'!$E:$E, MATCH($A99, 'KZ-normalized'!$A:$A, 0))), 0), 0))+(IFERROR(IF(30*INDEX('UZ-normalized'!$D:$D, MATCH($A99, 'UZ-normalized'!$A:$A, 0))-INDEX('UZ-normalized'!$E:$E, MATCH($A99, 'UZ-normalized'!$A:$A, 0))&gt;0, -(30*INDEX('UZ-normalized'!$D:$D, MATCH($A99, 'UZ-normalized'!$A:$A, 0))-INDEX('UZ-normalized'!$E:$E, MATCH($A99, 'UZ-normalized'!$A:$A, 0))), 0), 0)))</f>
        <v>-3565</v>
      </c>
    </row>
    <row r="100" spans="1:44" x14ac:dyDescent="0.25">
      <c r="A100" s="8" t="s">
        <v>251</v>
      </c>
      <c r="B100" s="8" t="s">
        <v>180</v>
      </c>
      <c r="C100" s="8" t="s">
        <v>235</v>
      </c>
      <c r="D100" s="8" t="s">
        <v>252</v>
      </c>
      <c r="E100">
        <v>25</v>
      </c>
      <c r="G100">
        <v>-100</v>
      </c>
      <c r="N100">
        <f t="shared" si="1"/>
        <v>-75</v>
      </c>
      <c r="O100" s="6">
        <f>MIN(0, N100+(IFERROR(IF(1*INDEX('UA-normalized'!$D:$D, MATCH($A100, 'UA-normalized'!$A:$A, 0))-INDEX('UA-normalized'!$E:$E, MATCH($A100, 'UA-normalized'!$A:$A, 0))&gt;0, -(1*INDEX('UA-normalized'!$D:$D, MATCH($A100, 'UA-normalized'!$A:$A, 0))-INDEX('UA-normalized'!$E:$E, MATCH($A100, 'UA-normalized'!$A:$A, 0))), 0), 0))+(IFERROR(IF(1*INDEX('KZ-normalized'!$D:$D, MATCH($A100, 'KZ-normalized'!$A:$A, 0))-INDEX('KZ-normalized'!$E:$E, MATCH($A100, 'KZ-normalized'!$A:$A, 0))&gt;0, -(1*INDEX('KZ-normalized'!$D:$D, MATCH($A100, 'KZ-normalized'!$A:$A, 0))-INDEX('KZ-normalized'!$E:$E, MATCH($A100, 'KZ-normalized'!$A:$A, 0))), 0), 0))+(IFERROR(IF(1*INDEX('UZ-normalized'!$D:$D, MATCH($A100, 'UZ-normalized'!$A:$A, 0))-INDEX('UZ-normalized'!$E:$E, MATCH($A100, 'UZ-normalized'!$A:$A, 0))&gt;0, -(1*INDEX('UZ-normalized'!$D:$D, MATCH($A100, 'UZ-normalized'!$A:$A, 0))-INDEX('UZ-normalized'!$E:$E, MATCH($A100, 'UZ-normalized'!$A:$A, 0))), 0), 0)))</f>
        <v>-75</v>
      </c>
      <c r="P100" s="6">
        <f>MIN(0, N100+(IFERROR(IF(2*INDEX('UA-normalized'!$D:$D, MATCH($A100, 'UA-normalized'!$A:$A, 0))-INDEX('UA-normalized'!$E:$E, MATCH($A100, 'UA-normalized'!$A:$A, 0))&gt;0, -(2*INDEX('UA-normalized'!$D:$D, MATCH($A100, 'UA-normalized'!$A:$A, 0))-INDEX('UA-normalized'!$E:$E, MATCH($A100, 'UA-normalized'!$A:$A, 0))), 0), 0))+(IFERROR(IF(2*INDEX('KZ-normalized'!$D:$D, MATCH($A100, 'KZ-normalized'!$A:$A, 0))-INDEX('KZ-normalized'!$E:$E, MATCH($A100, 'KZ-normalized'!$A:$A, 0))&gt;0, -(2*INDEX('KZ-normalized'!$D:$D, MATCH($A100, 'KZ-normalized'!$A:$A, 0))-INDEX('KZ-normalized'!$E:$E, MATCH($A100, 'KZ-normalized'!$A:$A, 0))), 0), 0))+(IFERROR(IF(2*INDEX('UZ-normalized'!$D:$D, MATCH($A100, 'UZ-normalized'!$A:$A, 0))-INDEX('UZ-normalized'!$E:$E, MATCH($A100, 'UZ-normalized'!$A:$A, 0))&gt;0, -(2*INDEX('UZ-normalized'!$D:$D, MATCH($A100, 'UZ-normalized'!$A:$A, 0))-INDEX('UZ-normalized'!$E:$E, MATCH($A100, 'UZ-normalized'!$A:$A, 0))), 0), 0)))</f>
        <v>-75</v>
      </c>
      <c r="Q100" s="6">
        <f>MIN(0, N100+(IFERROR(IF(3*INDEX('UA-normalized'!$D:$D, MATCH($A100, 'UA-normalized'!$A:$A, 0))-INDEX('UA-normalized'!$E:$E, MATCH($A100, 'UA-normalized'!$A:$A, 0))&gt;0, -(3*INDEX('UA-normalized'!$D:$D, MATCH($A100, 'UA-normalized'!$A:$A, 0))-INDEX('UA-normalized'!$E:$E, MATCH($A100, 'UA-normalized'!$A:$A, 0))), 0), 0))+(IFERROR(IF(3*INDEX('KZ-normalized'!$D:$D, MATCH($A100, 'KZ-normalized'!$A:$A, 0))-INDEX('KZ-normalized'!$E:$E, MATCH($A100, 'KZ-normalized'!$A:$A, 0))&gt;0, -(3*INDEX('KZ-normalized'!$D:$D, MATCH($A100, 'KZ-normalized'!$A:$A, 0))-INDEX('KZ-normalized'!$E:$E, MATCH($A100, 'KZ-normalized'!$A:$A, 0))), 0), 0))+(IFERROR(IF(3*INDEX('UZ-normalized'!$D:$D, MATCH($A100, 'UZ-normalized'!$A:$A, 0))-INDEX('UZ-normalized'!$E:$E, MATCH($A100, 'UZ-normalized'!$A:$A, 0))&gt;0, -(3*INDEX('UZ-normalized'!$D:$D, MATCH($A100, 'UZ-normalized'!$A:$A, 0))-INDEX('UZ-normalized'!$E:$E, MATCH($A100, 'UZ-normalized'!$A:$A, 0))), 0), 0)))</f>
        <v>-75</v>
      </c>
      <c r="R100" s="6">
        <f>MIN(0, N100+(IFERROR(IF(4*INDEX('UA-normalized'!$D:$D, MATCH($A100, 'UA-normalized'!$A:$A, 0))-INDEX('UA-normalized'!$E:$E, MATCH($A100, 'UA-normalized'!$A:$A, 0))&gt;0, -(4*INDEX('UA-normalized'!$D:$D, MATCH($A100, 'UA-normalized'!$A:$A, 0))-INDEX('UA-normalized'!$E:$E, MATCH($A100, 'UA-normalized'!$A:$A, 0))), 0), 0))+(IFERROR(IF(4*INDEX('KZ-normalized'!$D:$D, MATCH($A100, 'KZ-normalized'!$A:$A, 0))-INDEX('KZ-normalized'!$E:$E, MATCH($A100, 'KZ-normalized'!$A:$A, 0))&gt;0, -(4*INDEX('KZ-normalized'!$D:$D, MATCH($A100, 'KZ-normalized'!$A:$A, 0))-INDEX('KZ-normalized'!$E:$E, MATCH($A100, 'KZ-normalized'!$A:$A, 0))), 0), 0))+(IFERROR(IF(4*INDEX('UZ-normalized'!$D:$D, MATCH($A100, 'UZ-normalized'!$A:$A, 0))-INDEX('UZ-normalized'!$E:$E, MATCH($A100, 'UZ-normalized'!$A:$A, 0))&gt;0, -(4*INDEX('UZ-normalized'!$D:$D, MATCH($A100, 'UZ-normalized'!$A:$A, 0))-INDEX('UZ-normalized'!$E:$E, MATCH($A100, 'UZ-normalized'!$A:$A, 0))), 0), 0)))</f>
        <v>-78</v>
      </c>
      <c r="S100" s="6">
        <f>MIN(0, N100+(IFERROR(IF(5*INDEX('UA-normalized'!$D:$D, MATCH($A100, 'UA-normalized'!$A:$A, 0))-INDEX('UA-normalized'!$E:$E, MATCH($A100, 'UA-normalized'!$A:$A, 0))&gt;0, -(5*INDEX('UA-normalized'!$D:$D, MATCH($A100, 'UA-normalized'!$A:$A, 0))-INDEX('UA-normalized'!$E:$E, MATCH($A100, 'UA-normalized'!$A:$A, 0))), 0), 0))+(IFERROR(IF(5*INDEX('KZ-normalized'!$D:$D, MATCH($A100, 'KZ-normalized'!$A:$A, 0))-INDEX('KZ-normalized'!$E:$E, MATCH($A100, 'KZ-normalized'!$A:$A, 0))&gt;0, -(5*INDEX('KZ-normalized'!$D:$D, MATCH($A100, 'KZ-normalized'!$A:$A, 0))-INDEX('KZ-normalized'!$E:$E, MATCH($A100, 'KZ-normalized'!$A:$A, 0))), 0), 0))+(IFERROR(IF(5*INDEX('UZ-normalized'!$D:$D, MATCH($A100, 'UZ-normalized'!$A:$A, 0))-INDEX('UZ-normalized'!$E:$E, MATCH($A100, 'UZ-normalized'!$A:$A, 0))&gt;0, -(5*INDEX('UZ-normalized'!$D:$D, MATCH($A100, 'UZ-normalized'!$A:$A, 0))-INDEX('UZ-normalized'!$E:$E, MATCH($A100, 'UZ-normalized'!$A:$A, 0))), 0), 0)))</f>
        <v>-109</v>
      </c>
      <c r="T100" s="6">
        <f>MIN(0, N100+(IFERROR(IF(6*INDEX('UA-normalized'!$D:$D, MATCH($A100, 'UA-normalized'!$A:$A, 0))-INDEX('UA-normalized'!$E:$E, MATCH($A100, 'UA-normalized'!$A:$A, 0))&gt;0, -(6*INDEX('UA-normalized'!$D:$D, MATCH($A100, 'UA-normalized'!$A:$A, 0))-INDEX('UA-normalized'!$E:$E, MATCH($A100, 'UA-normalized'!$A:$A, 0))), 0), 0))+(IFERROR(IF(6*INDEX('KZ-normalized'!$D:$D, MATCH($A100, 'KZ-normalized'!$A:$A, 0))-INDEX('KZ-normalized'!$E:$E, MATCH($A100, 'KZ-normalized'!$A:$A, 0))&gt;0, -(6*INDEX('KZ-normalized'!$D:$D, MATCH($A100, 'KZ-normalized'!$A:$A, 0))-INDEX('KZ-normalized'!$E:$E, MATCH($A100, 'KZ-normalized'!$A:$A, 0))), 0), 0))+(IFERROR(IF(6*INDEX('UZ-normalized'!$D:$D, MATCH($A100, 'UZ-normalized'!$A:$A, 0))-INDEX('UZ-normalized'!$E:$E, MATCH($A100, 'UZ-normalized'!$A:$A, 0))&gt;0, -(6*INDEX('UZ-normalized'!$D:$D, MATCH($A100, 'UZ-normalized'!$A:$A, 0))-INDEX('UZ-normalized'!$E:$E, MATCH($A100, 'UZ-normalized'!$A:$A, 0))), 0), 0)))</f>
        <v>-232</v>
      </c>
      <c r="U100" s="6">
        <f>MIN(0, N100+(IFERROR(IF(7*INDEX('UA-normalized'!$D:$D, MATCH($A100, 'UA-normalized'!$A:$A, 0))-INDEX('UA-normalized'!$E:$E, MATCH($A100, 'UA-normalized'!$A:$A, 0))&gt;0, -(7*INDEX('UA-normalized'!$D:$D, MATCH($A100, 'UA-normalized'!$A:$A, 0))-INDEX('UA-normalized'!$E:$E, MATCH($A100, 'UA-normalized'!$A:$A, 0))), 0), 0))+(IFERROR(IF(7*INDEX('KZ-normalized'!$D:$D, MATCH($A100, 'KZ-normalized'!$A:$A, 0))-INDEX('KZ-normalized'!$E:$E, MATCH($A100, 'KZ-normalized'!$A:$A, 0))&gt;0, -(7*INDEX('KZ-normalized'!$D:$D, MATCH($A100, 'KZ-normalized'!$A:$A, 0))-INDEX('KZ-normalized'!$E:$E, MATCH($A100, 'KZ-normalized'!$A:$A, 0))), 0), 0))+(IFERROR(IF(7*INDEX('UZ-normalized'!$D:$D, MATCH($A100, 'UZ-normalized'!$A:$A, 0))-INDEX('UZ-normalized'!$E:$E, MATCH($A100, 'UZ-normalized'!$A:$A, 0))&gt;0, -(7*INDEX('UZ-normalized'!$D:$D, MATCH($A100, 'UZ-normalized'!$A:$A, 0))-INDEX('UZ-normalized'!$E:$E, MATCH($A100, 'UZ-normalized'!$A:$A, 0))), 0), 0)))</f>
        <v>-355.5</v>
      </c>
      <c r="V100" s="6">
        <f>MIN(0, N100+(IFERROR(IF(8*INDEX('UA-normalized'!$D:$D, MATCH($A100, 'UA-normalized'!$A:$A, 0))-INDEX('UA-normalized'!$E:$E, MATCH($A100, 'UA-normalized'!$A:$A, 0))&gt;0, -(8*INDEX('UA-normalized'!$D:$D, MATCH($A100, 'UA-normalized'!$A:$A, 0))-INDEX('UA-normalized'!$E:$E, MATCH($A100, 'UA-normalized'!$A:$A, 0))), 0), 0))+(IFERROR(IF(8*INDEX('KZ-normalized'!$D:$D, MATCH($A100, 'KZ-normalized'!$A:$A, 0))-INDEX('KZ-normalized'!$E:$E, MATCH($A100, 'KZ-normalized'!$A:$A, 0))&gt;0, -(8*INDEX('KZ-normalized'!$D:$D, MATCH($A100, 'KZ-normalized'!$A:$A, 0))-INDEX('KZ-normalized'!$E:$E, MATCH($A100, 'KZ-normalized'!$A:$A, 0))), 0), 0))+(IFERROR(IF(8*INDEX('UZ-normalized'!$D:$D, MATCH($A100, 'UZ-normalized'!$A:$A, 0))-INDEX('UZ-normalized'!$E:$E, MATCH($A100, 'UZ-normalized'!$A:$A, 0))&gt;0, -(8*INDEX('UZ-normalized'!$D:$D, MATCH($A100, 'UZ-normalized'!$A:$A, 0))-INDEX('UZ-normalized'!$E:$E, MATCH($A100, 'UZ-normalized'!$A:$A, 0))), 0), 0)))</f>
        <v>-479</v>
      </c>
      <c r="W100" s="6">
        <f>MIN(0, N100+(IFERROR(IF(9*INDEX('UA-normalized'!$D:$D, MATCH($A100, 'UA-normalized'!$A:$A, 0))-INDEX('UA-normalized'!$E:$E, MATCH($A100, 'UA-normalized'!$A:$A, 0))&gt;0, -(9*INDEX('UA-normalized'!$D:$D, MATCH($A100, 'UA-normalized'!$A:$A, 0))-INDEX('UA-normalized'!$E:$E, MATCH($A100, 'UA-normalized'!$A:$A, 0))), 0), 0))+(IFERROR(IF(9*INDEX('KZ-normalized'!$D:$D, MATCH($A100, 'KZ-normalized'!$A:$A, 0))-INDEX('KZ-normalized'!$E:$E, MATCH($A100, 'KZ-normalized'!$A:$A, 0))&gt;0, -(9*INDEX('KZ-normalized'!$D:$D, MATCH($A100, 'KZ-normalized'!$A:$A, 0))-INDEX('KZ-normalized'!$E:$E, MATCH($A100, 'KZ-normalized'!$A:$A, 0))), 0), 0))+(IFERROR(IF(9*INDEX('UZ-normalized'!$D:$D, MATCH($A100, 'UZ-normalized'!$A:$A, 0))-INDEX('UZ-normalized'!$E:$E, MATCH($A100, 'UZ-normalized'!$A:$A, 0))&gt;0, -(9*INDEX('UZ-normalized'!$D:$D, MATCH($A100, 'UZ-normalized'!$A:$A, 0))-INDEX('UZ-normalized'!$E:$E, MATCH($A100, 'UZ-normalized'!$A:$A, 0))), 0), 0)))</f>
        <v>-602.5</v>
      </c>
      <c r="X100" s="6">
        <f>MIN(0, N100+(IFERROR(IF(10*INDEX('UA-normalized'!$D:$D, MATCH($A100, 'UA-normalized'!$A:$A, 0))-INDEX('UA-normalized'!$E:$E, MATCH($A100, 'UA-normalized'!$A:$A, 0))&gt;0, -(10*INDEX('UA-normalized'!$D:$D, MATCH($A100, 'UA-normalized'!$A:$A, 0))-INDEX('UA-normalized'!$E:$E, MATCH($A100, 'UA-normalized'!$A:$A, 0))), 0), 0))+(IFERROR(IF(10*INDEX('KZ-normalized'!$D:$D, MATCH($A100, 'KZ-normalized'!$A:$A, 0))-INDEX('KZ-normalized'!$E:$E, MATCH($A100, 'KZ-normalized'!$A:$A, 0))&gt;0, -(10*INDEX('KZ-normalized'!$D:$D, MATCH($A100, 'KZ-normalized'!$A:$A, 0))-INDEX('KZ-normalized'!$E:$E, MATCH($A100, 'KZ-normalized'!$A:$A, 0))), 0), 0))+(IFERROR(IF(10*INDEX('UZ-normalized'!$D:$D, MATCH($A100, 'UZ-normalized'!$A:$A, 0))-INDEX('UZ-normalized'!$E:$E, MATCH($A100, 'UZ-normalized'!$A:$A, 0))&gt;0, -(10*INDEX('UZ-normalized'!$D:$D, MATCH($A100, 'UZ-normalized'!$A:$A, 0))-INDEX('UZ-normalized'!$E:$E, MATCH($A100, 'UZ-normalized'!$A:$A, 0))), 0), 0)))</f>
        <v>-726</v>
      </c>
      <c r="Y100" s="6">
        <f>MIN(0, N100+(IFERROR(IF(11*INDEX('UA-normalized'!$D:$D, MATCH($A100, 'UA-normalized'!$A:$A, 0))-INDEX('UA-normalized'!$E:$E, MATCH($A100, 'UA-normalized'!$A:$A, 0))&gt;0, -(11*INDEX('UA-normalized'!$D:$D, MATCH($A100, 'UA-normalized'!$A:$A, 0))-INDEX('UA-normalized'!$E:$E, MATCH($A100, 'UA-normalized'!$A:$A, 0))), 0), 0))+(IFERROR(IF(11*INDEX('KZ-normalized'!$D:$D, MATCH($A100, 'KZ-normalized'!$A:$A, 0))-INDEX('KZ-normalized'!$E:$E, MATCH($A100, 'KZ-normalized'!$A:$A, 0))&gt;0, -(11*INDEX('KZ-normalized'!$D:$D, MATCH($A100, 'KZ-normalized'!$A:$A, 0))-INDEX('KZ-normalized'!$E:$E, MATCH($A100, 'KZ-normalized'!$A:$A, 0))), 0), 0))+(IFERROR(IF(11*INDEX('UZ-normalized'!$D:$D, MATCH($A100, 'UZ-normalized'!$A:$A, 0))-INDEX('UZ-normalized'!$E:$E, MATCH($A100, 'UZ-normalized'!$A:$A, 0))&gt;0, -(11*INDEX('UZ-normalized'!$D:$D, MATCH($A100, 'UZ-normalized'!$A:$A, 0))-INDEX('UZ-normalized'!$E:$E, MATCH($A100, 'UZ-normalized'!$A:$A, 0))), 0), 0)))</f>
        <v>-849.5</v>
      </c>
      <c r="Z100" s="6">
        <f>MIN(0, N100+(IFERROR(IF(12*INDEX('UA-normalized'!$D:$D, MATCH($A100, 'UA-normalized'!$A:$A, 0))-INDEX('UA-normalized'!$E:$E, MATCH($A100, 'UA-normalized'!$A:$A, 0))&gt;0, -(12*INDEX('UA-normalized'!$D:$D, MATCH($A100, 'UA-normalized'!$A:$A, 0))-INDEX('UA-normalized'!$E:$E, MATCH($A100, 'UA-normalized'!$A:$A, 0))), 0), 0))+(IFERROR(IF(12*INDEX('KZ-normalized'!$D:$D, MATCH($A100, 'KZ-normalized'!$A:$A, 0))-INDEX('KZ-normalized'!$E:$E, MATCH($A100, 'KZ-normalized'!$A:$A, 0))&gt;0, -(12*INDEX('KZ-normalized'!$D:$D, MATCH($A100, 'KZ-normalized'!$A:$A, 0))-INDEX('KZ-normalized'!$E:$E, MATCH($A100, 'KZ-normalized'!$A:$A, 0))), 0), 0))+(IFERROR(IF(12*INDEX('UZ-normalized'!$D:$D, MATCH($A100, 'UZ-normalized'!$A:$A, 0))-INDEX('UZ-normalized'!$E:$E, MATCH($A100, 'UZ-normalized'!$A:$A, 0))&gt;0, -(12*INDEX('UZ-normalized'!$D:$D, MATCH($A100, 'UZ-normalized'!$A:$A, 0))-INDEX('UZ-normalized'!$E:$E, MATCH($A100, 'UZ-normalized'!$A:$A, 0))), 0), 0)))</f>
        <v>-973</v>
      </c>
      <c r="AA100" s="6">
        <f>MIN(0, N100+(IFERROR(IF(13*INDEX('UA-normalized'!$D:$D, MATCH($A100, 'UA-normalized'!$A:$A, 0))-INDEX('UA-normalized'!$E:$E, MATCH($A100, 'UA-normalized'!$A:$A, 0))&gt;0, -(13*INDEX('UA-normalized'!$D:$D, MATCH($A100, 'UA-normalized'!$A:$A, 0))-INDEX('UA-normalized'!$E:$E, MATCH($A100, 'UA-normalized'!$A:$A, 0))), 0), 0))+(IFERROR(IF(13*INDEX('KZ-normalized'!$D:$D, MATCH($A100, 'KZ-normalized'!$A:$A, 0))-INDEX('KZ-normalized'!$E:$E, MATCH($A100, 'KZ-normalized'!$A:$A, 0))&gt;0, -(13*INDEX('KZ-normalized'!$D:$D, MATCH($A100, 'KZ-normalized'!$A:$A, 0))-INDEX('KZ-normalized'!$E:$E, MATCH($A100, 'KZ-normalized'!$A:$A, 0))), 0), 0))+(IFERROR(IF(13*INDEX('UZ-normalized'!$D:$D, MATCH($A100, 'UZ-normalized'!$A:$A, 0))-INDEX('UZ-normalized'!$E:$E, MATCH($A100, 'UZ-normalized'!$A:$A, 0))&gt;0, -(13*INDEX('UZ-normalized'!$D:$D, MATCH($A100, 'UZ-normalized'!$A:$A, 0))-INDEX('UZ-normalized'!$E:$E, MATCH($A100, 'UZ-normalized'!$A:$A, 0))), 0), 0)))</f>
        <v>-1096.5</v>
      </c>
      <c r="AB100" s="6">
        <f>MIN(0, N100+(IFERROR(IF(14*INDEX('UA-normalized'!$D:$D, MATCH($A100, 'UA-normalized'!$A:$A, 0))-INDEX('UA-normalized'!$E:$E, MATCH($A100, 'UA-normalized'!$A:$A, 0))&gt;0, -(14*INDEX('UA-normalized'!$D:$D, MATCH($A100, 'UA-normalized'!$A:$A, 0))-INDEX('UA-normalized'!$E:$E, MATCH($A100, 'UA-normalized'!$A:$A, 0))), 0), 0))+(IFERROR(IF(14*INDEX('KZ-normalized'!$D:$D, MATCH($A100, 'KZ-normalized'!$A:$A, 0))-INDEX('KZ-normalized'!$E:$E, MATCH($A100, 'KZ-normalized'!$A:$A, 0))&gt;0, -(14*INDEX('KZ-normalized'!$D:$D, MATCH($A100, 'KZ-normalized'!$A:$A, 0))-INDEX('KZ-normalized'!$E:$E, MATCH($A100, 'KZ-normalized'!$A:$A, 0))), 0), 0))+(IFERROR(IF(14*INDEX('UZ-normalized'!$D:$D, MATCH($A100, 'UZ-normalized'!$A:$A, 0))-INDEX('UZ-normalized'!$E:$E, MATCH($A100, 'UZ-normalized'!$A:$A, 0))&gt;0, -(14*INDEX('UZ-normalized'!$D:$D, MATCH($A100, 'UZ-normalized'!$A:$A, 0))-INDEX('UZ-normalized'!$E:$E, MATCH($A100, 'UZ-normalized'!$A:$A, 0))), 0), 0)))</f>
        <v>-1220</v>
      </c>
      <c r="AC100" s="6">
        <f>MIN(0, N100+(IFERROR(IF(15*INDEX('UA-normalized'!$D:$D, MATCH($A100, 'UA-normalized'!$A:$A, 0))-INDEX('UA-normalized'!$E:$E, MATCH($A100, 'UA-normalized'!$A:$A, 0))&gt;0, -(15*INDEX('UA-normalized'!$D:$D, MATCH($A100, 'UA-normalized'!$A:$A, 0))-INDEX('UA-normalized'!$E:$E, MATCH($A100, 'UA-normalized'!$A:$A, 0))), 0), 0))+(IFERROR(IF(15*INDEX('KZ-normalized'!$D:$D, MATCH($A100, 'KZ-normalized'!$A:$A, 0))-INDEX('KZ-normalized'!$E:$E, MATCH($A100, 'KZ-normalized'!$A:$A, 0))&gt;0, -(15*INDEX('KZ-normalized'!$D:$D, MATCH($A100, 'KZ-normalized'!$A:$A, 0))-INDEX('KZ-normalized'!$E:$E, MATCH($A100, 'KZ-normalized'!$A:$A, 0))), 0), 0))+(IFERROR(IF(15*INDEX('UZ-normalized'!$D:$D, MATCH($A100, 'UZ-normalized'!$A:$A, 0))-INDEX('UZ-normalized'!$E:$E, MATCH($A100, 'UZ-normalized'!$A:$A, 0))&gt;0, -(15*INDEX('UZ-normalized'!$D:$D, MATCH($A100, 'UZ-normalized'!$A:$A, 0))-INDEX('UZ-normalized'!$E:$E, MATCH($A100, 'UZ-normalized'!$A:$A, 0))), 0), 0)))</f>
        <v>-1343.5</v>
      </c>
      <c r="AD100" s="6">
        <f>MIN(0, N100+(IFERROR(IF(16*INDEX('UA-normalized'!$D:$D, MATCH($A100, 'UA-normalized'!$A:$A, 0))-INDEX('UA-normalized'!$E:$E, MATCH($A100, 'UA-normalized'!$A:$A, 0))&gt;0, -(16*INDEX('UA-normalized'!$D:$D, MATCH($A100, 'UA-normalized'!$A:$A, 0))-INDEX('UA-normalized'!$E:$E, MATCH($A100, 'UA-normalized'!$A:$A, 0))), 0), 0))+(IFERROR(IF(16*INDEX('KZ-normalized'!$D:$D, MATCH($A100, 'KZ-normalized'!$A:$A, 0))-INDEX('KZ-normalized'!$E:$E, MATCH($A100, 'KZ-normalized'!$A:$A, 0))&gt;0, -(16*INDEX('KZ-normalized'!$D:$D, MATCH($A100, 'KZ-normalized'!$A:$A, 0))-INDEX('KZ-normalized'!$E:$E, MATCH($A100, 'KZ-normalized'!$A:$A, 0))), 0), 0))+(IFERROR(IF(16*INDEX('UZ-normalized'!$D:$D, MATCH($A100, 'UZ-normalized'!$A:$A, 0))-INDEX('UZ-normalized'!$E:$E, MATCH($A100, 'UZ-normalized'!$A:$A, 0))&gt;0, -(16*INDEX('UZ-normalized'!$D:$D, MATCH($A100, 'UZ-normalized'!$A:$A, 0))-INDEX('UZ-normalized'!$E:$E, MATCH($A100, 'UZ-normalized'!$A:$A, 0))), 0), 0)))</f>
        <v>-1467</v>
      </c>
      <c r="AE100" s="6">
        <f>MIN(0, N100+(IFERROR(IF(17*INDEX('UA-normalized'!$D:$D, MATCH($A100, 'UA-normalized'!$A:$A, 0))-INDEX('UA-normalized'!$E:$E, MATCH($A100, 'UA-normalized'!$A:$A, 0))&gt;0, -(17*INDEX('UA-normalized'!$D:$D, MATCH($A100, 'UA-normalized'!$A:$A, 0))-INDEX('UA-normalized'!$E:$E, MATCH($A100, 'UA-normalized'!$A:$A, 0))), 0), 0))+(IFERROR(IF(17*INDEX('KZ-normalized'!$D:$D, MATCH($A100, 'KZ-normalized'!$A:$A, 0))-INDEX('KZ-normalized'!$E:$E, MATCH($A100, 'KZ-normalized'!$A:$A, 0))&gt;0, -(17*INDEX('KZ-normalized'!$D:$D, MATCH($A100, 'KZ-normalized'!$A:$A, 0))-INDEX('KZ-normalized'!$E:$E, MATCH($A100, 'KZ-normalized'!$A:$A, 0))), 0), 0))+(IFERROR(IF(17*INDEX('UZ-normalized'!$D:$D, MATCH($A100, 'UZ-normalized'!$A:$A, 0))-INDEX('UZ-normalized'!$E:$E, MATCH($A100, 'UZ-normalized'!$A:$A, 0))&gt;0, -(17*INDEX('UZ-normalized'!$D:$D, MATCH($A100, 'UZ-normalized'!$A:$A, 0))-INDEX('UZ-normalized'!$E:$E, MATCH($A100, 'UZ-normalized'!$A:$A, 0))), 0), 0)))</f>
        <v>-1590.5</v>
      </c>
      <c r="AF100" s="6">
        <f>MIN(0, N100+(IFERROR(IF(18*INDEX('UA-normalized'!$D:$D, MATCH($A100, 'UA-normalized'!$A:$A, 0))-INDEX('UA-normalized'!$E:$E, MATCH($A100, 'UA-normalized'!$A:$A, 0))&gt;0, -(18*INDEX('UA-normalized'!$D:$D, MATCH($A100, 'UA-normalized'!$A:$A, 0))-INDEX('UA-normalized'!$E:$E, MATCH($A100, 'UA-normalized'!$A:$A, 0))), 0), 0))+(IFERROR(IF(18*INDEX('KZ-normalized'!$D:$D, MATCH($A100, 'KZ-normalized'!$A:$A, 0))-INDEX('KZ-normalized'!$E:$E, MATCH($A100, 'KZ-normalized'!$A:$A, 0))&gt;0, -(18*INDEX('KZ-normalized'!$D:$D, MATCH($A100, 'KZ-normalized'!$A:$A, 0))-INDEX('KZ-normalized'!$E:$E, MATCH($A100, 'KZ-normalized'!$A:$A, 0))), 0), 0))+(IFERROR(IF(18*INDEX('UZ-normalized'!$D:$D, MATCH($A100, 'UZ-normalized'!$A:$A, 0))-INDEX('UZ-normalized'!$E:$E, MATCH($A100, 'UZ-normalized'!$A:$A, 0))&gt;0, -(18*INDEX('UZ-normalized'!$D:$D, MATCH($A100, 'UZ-normalized'!$A:$A, 0))-INDEX('UZ-normalized'!$E:$E, MATCH($A100, 'UZ-normalized'!$A:$A, 0))), 0), 0)))</f>
        <v>-1714</v>
      </c>
      <c r="AG100" s="6">
        <f>MIN(0, N100+(IFERROR(IF(19*INDEX('UA-normalized'!$D:$D, MATCH($A100, 'UA-normalized'!$A:$A, 0))-INDEX('UA-normalized'!$E:$E, MATCH($A100, 'UA-normalized'!$A:$A, 0))&gt;0, -(19*INDEX('UA-normalized'!$D:$D, MATCH($A100, 'UA-normalized'!$A:$A, 0))-INDEX('UA-normalized'!$E:$E, MATCH($A100, 'UA-normalized'!$A:$A, 0))), 0), 0))+(IFERROR(IF(19*INDEX('KZ-normalized'!$D:$D, MATCH($A100, 'KZ-normalized'!$A:$A, 0))-INDEX('KZ-normalized'!$E:$E, MATCH($A100, 'KZ-normalized'!$A:$A, 0))&gt;0, -(19*INDEX('KZ-normalized'!$D:$D, MATCH($A100, 'KZ-normalized'!$A:$A, 0))-INDEX('KZ-normalized'!$E:$E, MATCH($A100, 'KZ-normalized'!$A:$A, 0))), 0), 0))+(IFERROR(IF(19*INDEX('UZ-normalized'!$D:$D, MATCH($A100, 'UZ-normalized'!$A:$A, 0))-INDEX('UZ-normalized'!$E:$E, MATCH($A100, 'UZ-normalized'!$A:$A, 0))&gt;0, -(19*INDEX('UZ-normalized'!$D:$D, MATCH($A100, 'UZ-normalized'!$A:$A, 0))-INDEX('UZ-normalized'!$E:$E, MATCH($A100, 'UZ-normalized'!$A:$A, 0))), 0), 0)))</f>
        <v>-1837.5</v>
      </c>
      <c r="AH100" s="6">
        <f>MIN(0, N100+(IFERROR(IF(20*INDEX('UA-normalized'!$D:$D, MATCH($A100, 'UA-normalized'!$A:$A, 0))-INDEX('UA-normalized'!$E:$E, MATCH($A100, 'UA-normalized'!$A:$A, 0))&gt;0, -(20*INDEX('UA-normalized'!$D:$D, MATCH($A100, 'UA-normalized'!$A:$A, 0))-INDEX('UA-normalized'!$E:$E, MATCH($A100, 'UA-normalized'!$A:$A, 0))), 0), 0))+(IFERROR(IF(20*INDEX('KZ-normalized'!$D:$D, MATCH($A100, 'KZ-normalized'!$A:$A, 0))-INDEX('KZ-normalized'!$E:$E, MATCH($A100, 'KZ-normalized'!$A:$A, 0))&gt;0, -(20*INDEX('KZ-normalized'!$D:$D, MATCH($A100, 'KZ-normalized'!$A:$A, 0))-INDEX('KZ-normalized'!$E:$E, MATCH($A100, 'KZ-normalized'!$A:$A, 0))), 0), 0))+(IFERROR(IF(20*INDEX('UZ-normalized'!$D:$D, MATCH($A100, 'UZ-normalized'!$A:$A, 0))-INDEX('UZ-normalized'!$E:$E, MATCH($A100, 'UZ-normalized'!$A:$A, 0))&gt;0, -(20*INDEX('UZ-normalized'!$D:$D, MATCH($A100, 'UZ-normalized'!$A:$A, 0))-INDEX('UZ-normalized'!$E:$E, MATCH($A100, 'UZ-normalized'!$A:$A, 0))), 0), 0)))</f>
        <v>-1961</v>
      </c>
      <c r="AI100" s="6">
        <f>MIN(0, N100+(IFERROR(IF(21*INDEX('UA-normalized'!$D:$D, MATCH($A100, 'UA-normalized'!$A:$A, 0))-INDEX('UA-normalized'!$E:$E, MATCH($A100, 'UA-normalized'!$A:$A, 0))&gt;0, -(21*INDEX('UA-normalized'!$D:$D, MATCH($A100, 'UA-normalized'!$A:$A, 0))-INDEX('UA-normalized'!$E:$E, MATCH($A100, 'UA-normalized'!$A:$A, 0))), 0), 0))+(IFERROR(IF(21*INDEX('KZ-normalized'!$D:$D, MATCH($A100, 'KZ-normalized'!$A:$A, 0))-INDEX('KZ-normalized'!$E:$E, MATCH($A100, 'KZ-normalized'!$A:$A, 0))&gt;0, -(21*INDEX('KZ-normalized'!$D:$D, MATCH($A100, 'KZ-normalized'!$A:$A, 0))-INDEX('KZ-normalized'!$E:$E, MATCH($A100, 'KZ-normalized'!$A:$A, 0))), 0), 0))+(IFERROR(IF(21*INDEX('UZ-normalized'!$D:$D, MATCH($A100, 'UZ-normalized'!$A:$A, 0))-INDEX('UZ-normalized'!$E:$E, MATCH($A100, 'UZ-normalized'!$A:$A, 0))&gt;0, -(21*INDEX('UZ-normalized'!$D:$D, MATCH($A100, 'UZ-normalized'!$A:$A, 0))-INDEX('UZ-normalized'!$E:$E, MATCH($A100, 'UZ-normalized'!$A:$A, 0))), 0), 0)))</f>
        <v>-2084.5</v>
      </c>
      <c r="AJ100" s="6">
        <f>MIN(0, N100+(IFERROR(IF(22*INDEX('UA-normalized'!$D:$D, MATCH($A100, 'UA-normalized'!$A:$A, 0))-INDEX('UA-normalized'!$E:$E, MATCH($A100, 'UA-normalized'!$A:$A, 0))&gt;0, -(22*INDEX('UA-normalized'!$D:$D, MATCH($A100, 'UA-normalized'!$A:$A, 0))-INDEX('UA-normalized'!$E:$E, MATCH($A100, 'UA-normalized'!$A:$A, 0))), 0), 0))+(IFERROR(IF(22*INDEX('KZ-normalized'!$D:$D, MATCH($A100, 'KZ-normalized'!$A:$A, 0))-INDEX('KZ-normalized'!$E:$E, MATCH($A100, 'KZ-normalized'!$A:$A, 0))&gt;0, -(22*INDEX('KZ-normalized'!$D:$D, MATCH($A100, 'KZ-normalized'!$A:$A, 0))-INDEX('KZ-normalized'!$E:$E, MATCH($A100, 'KZ-normalized'!$A:$A, 0))), 0), 0))+(IFERROR(IF(22*INDEX('UZ-normalized'!$D:$D, MATCH($A100, 'UZ-normalized'!$A:$A, 0))-INDEX('UZ-normalized'!$E:$E, MATCH($A100, 'UZ-normalized'!$A:$A, 0))&gt;0, -(22*INDEX('UZ-normalized'!$D:$D, MATCH($A100, 'UZ-normalized'!$A:$A, 0))-INDEX('UZ-normalized'!$E:$E, MATCH($A100, 'UZ-normalized'!$A:$A, 0))), 0), 0)))</f>
        <v>-2208</v>
      </c>
      <c r="AK100" s="6">
        <f>MIN(0, N100+(IFERROR(IF(23*INDEX('UA-normalized'!$D:$D, MATCH($A100, 'UA-normalized'!$A:$A, 0))-INDEX('UA-normalized'!$E:$E, MATCH($A100, 'UA-normalized'!$A:$A, 0))&gt;0, -(23*INDEX('UA-normalized'!$D:$D, MATCH($A100, 'UA-normalized'!$A:$A, 0))-INDEX('UA-normalized'!$E:$E, MATCH($A100, 'UA-normalized'!$A:$A, 0))), 0), 0))+(IFERROR(IF(23*INDEX('KZ-normalized'!$D:$D, MATCH($A100, 'KZ-normalized'!$A:$A, 0))-INDEX('KZ-normalized'!$E:$E, MATCH($A100, 'KZ-normalized'!$A:$A, 0))&gt;0, -(23*INDEX('KZ-normalized'!$D:$D, MATCH($A100, 'KZ-normalized'!$A:$A, 0))-INDEX('KZ-normalized'!$E:$E, MATCH($A100, 'KZ-normalized'!$A:$A, 0))), 0), 0))+(IFERROR(IF(23*INDEX('UZ-normalized'!$D:$D, MATCH($A100, 'UZ-normalized'!$A:$A, 0))-INDEX('UZ-normalized'!$E:$E, MATCH($A100, 'UZ-normalized'!$A:$A, 0))&gt;0, -(23*INDEX('UZ-normalized'!$D:$D, MATCH($A100, 'UZ-normalized'!$A:$A, 0))-INDEX('UZ-normalized'!$E:$E, MATCH($A100, 'UZ-normalized'!$A:$A, 0))), 0), 0)))</f>
        <v>-2331.5</v>
      </c>
      <c r="AL100" s="6">
        <f>MIN(0, N100+(IFERROR(IF(24*INDEX('UA-normalized'!$D:$D, MATCH($A100, 'UA-normalized'!$A:$A, 0))-INDEX('UA-normalized'!$E:$E, MATCH($A100, 'UA-normalized'!$A:$A, 0))&gt;0, -(24*INDEX('UA-normalized'!$D:$D, MATCH($A100, 'UA-normalized'!$A:$A, 0))-INDEX('UA-normalized'!$E:$E, MATCH($A100, 'UA-normalized'!$A:$A, 0))), 0), 0))+(IFERROR(IF(24*INDEX('KZ-normalized'!$D:$D, MATCH($A100, 'KZ-normalized'!$A:$A, 0))-INDEX('KZ-normalized'!$E:$E, MATCH($A100, 'KZ-normalized'!$A:$A, 0))&gt;0, -(24*INDEX('KZ-normalized'!$D:$D, MATCH($A100, 'KZ-normalized'!$A:$A, 0))-INDEX('KZ-normalized'!$E:$E, MATCH($A100, 'KZ-normalized'!$A:$A, 0))), 0), 0))+(IFERROR(IF(24*INDEX('UZ-normalized'!$D:$D, MATCH($A100, 'UZ-normalized'!$A:$A, 0))-INDEX('UZ-normalized'!$E:$E, MATCH($A100, 'UZ-normalized'!$A:$A, 0))&gt;0, -(24*INDEX('UZ-normalized'!$D:$D, MATCH($A100, 'UZ-normalized'!$A:$A, 0))-INDEX('UZ-normalized'!$E:$E, MATCH($A100, 'UZ-normalized'!$A:$A, 0))), 0), 0)))</f>
        <v>-2455</v>
      </c>
      <c r="AM100" s="6">
        <f>MIN(0, N100+(IFERROR(IF(25*INDEX('UA-normalized'!$D:$D, MATCH($A100, 'UA-normalized'!$A:$A, 0))-INDEX('UA-normalized'!$E:$E, MATCH($A100, 'UA-normalized'!$A:$A, 0))&gt;0, -(25*INDEX('UA-normalized'!$D:$D, MATCH($A100, 'UA-normalized'!$A:$A, 0))-INDEX('UA-normalized'!$E:$E, MATCH($A100, 'UA-normalized'!$A:$A, 0))), 0), 0))+(IFERROR(IF(25*INDEX('KZ-normalized'!$D:$D, MATCH($A100, 'KZ-normalized'!$A:$A, 0))-INDEX('KZ-normalized'!$E:$E, MATCH($A100, 'KZ-normalized'!$A:$A, 0))&gt;0, -(25*INDEX('KZ-normalized'!$D:$D, MATCH($A100, 'KZ-normalized'!$A:$A, 0))-INDEX('KZ-normalized'!$E:$E, MATCH($A100, 'KZ-normalized'!$A:$A, 0))), 0), 0))+(IFERROR(IF(25*INDEX('UZ-normalized'!$D:$D, MATCH($A100, 'UZ-normalized'!$A:$A, 0))-INDEX('UZ-normalized'!$E:$E, MATCH($A100, 'UZ-normalized'!$A:$A, 0))&gt;0, -(25*INDEX('UZ-normalized'!$D:$D, MATCH($A100, 'UZ-normalized'!$A:$A, 0))-INDEX('UZ-normalized'!$E:$E, MATCH($A100, 'UZ-normalized'!$A:$A, 0))), 0), 0)))</f>
        <v>-2578.5</v>
      </c>
      <c r="AN100" s="6">
        <f>MIN(0, N100+(IFERROR(IF(26*INDEX('UA-normalized'!$D:$D, MATCH($A100, 'UA-normalized'!$A:$A, 0))-INDEX('UA-normalized'!$E:$E, MATCH($A100, 'UA-normalized'!$A:$A, 0))&gt;0, -(26*INDEX('UA-normalized'!$D:$D, MATCH($A100, 'UA-normalized'!$A:$A, 0))-INDEX('UA-normalized'!$E:$E, MATCH($A100, 'UA-normalized'!$A:$A, 0))), 0), 0))+(IFERROR(IF(26*INDEX('KZ-normalized'!$D:$D, MATCH($A100, 'KZ-normalized'!$A:$A, 0))-INDEX('KZ-normalized'!$E:$E, MATCH($A100, 'KZ-normalized'!$A:$A, 0))&gt;0, -(26*INDEX('KZ-normalized'!$D:$D, MATCH($A100, 'KZ-normalized'!$A:$A, 0))-INDEX('KZ-normalized'!$E:$E, MATCH($A100, 'KZ-normalized'!$A:$A, 0))), 0), 0))+(IFERROR(IF(26*INDEX('UZ-normalized'!$D:$D, MATCH($A100, 'UZ-normalized'!$A:$A, 0))-INDEX('UZ-normalized'!$E:$E, MATCH($A100, 'UZ-normalized'!$A:$A, 0))&gt;0, -(26*INDEX('UZ-normalized'!$D:$D, MATCH($A100, 'UZ-normalized'!$A:$A, 0))-INDEX('UZ-normalized'!$E:$E, MATCH($A100, 'UZ-normalized'!$A:$A, 0))), 0), 0)))</f>
        <v>-2702</v>
      </c>
      <c r="AO100" s="6">
        <f>MIN(0, N100+(IFERROR(IF(27*INDEX('UA-normalized'!$D:$D, MATCH($A100, 'UA-normalized'!$A:$A, 0))-INDEX('UA-normalized'!$E:$E, MATCH($A100, 'UA-normalized'!$A:$A, 0))&gt;0, -(27*INDEX('UA-normalized'!$D:$D, MATCH($A100, 'UA-normalized'!$A:$A, 0))-INDEX('UA-normalized'!$E:$E, MATCH($A100, 'UA-normalized'!$A:$A, 0))), 0), 0))+(IFERROR(IF(27*INDEX('KZ-normalized'!$D:$D, MATCH($A100, 'KZ-normalized'!$A:$A, 0))-INDEX('KZ-normalized'!$E:$E, MATCH($A100, 'KZ-normalized'!$A:$A, 0))&gt;0, -(27*INDEX('KZ-normalized'!$D:$D, MATCH($A100, 'KZ-normalized'!$A:$A, 0))-INDEX('KZ-normalized'!$E:$E, MATCH($A100, 'KZ-normalized'!$A:$A, 0))), 0), 0))+(IFERROR(IF(27*INDEX('UZ-normalized'!$D:$D, MATCH($A100, 'UZ-normalized'!$A:$A, 0))-INDEX('UZ-normalized'!$E:$E, MATCH($A100, 'UZ-normalized'!$A:$A, 0))&gt;0, -(27*INDEX('UZ-normalized'!$D:$D, MATCH($A100, 'UZ-normalized'!$A:$A, 0))-INDEX('UZ-normalized'!$E:$E, MATCH($A100, 'UZ-normalized'!$A:$A, 0))), 0), 0)))</f>
        <v>-2825.5</v>
      </c>
      <c r="AP100" s="6">
        <f>MIN(0, N100+(IFERROR(IF(28*INDEX('UA-normalized'!$D:$D, MATCH($A100, 'UA-normalized'!$A:$A, 0))-INDEX('UA-normalized'!$E:$E, MATCH($A100, 'UA-normalized'!$A:$A, 0))&gt;0, -(28*INDEX('UA-normalized'!$D:$D, MATCH($A100, 'UA-normalized'!$A:$A, 0))-INDEX('UA-normalized'!$E:$E, MATCH($A100, 'UA-normalized'!$A:$A, 0))), 0), 0))+(IFERROR(IF(28*INDEX('KZ-normalized'!$D:$D, MATCH($A100, 'KZ-normalized'!$A:$A, 0))-INDEX('KZ-normalized'!$E:$E, MATCH($A100, 'KZ-normalized'!$A:$A, 0))&gt;0, -(28*INDEX('KZ-normalized'!$D:$D, MATCH($A100, 'KZ-normalized'!$A:$A, 0))-INDEX('KZ-normalized'!$E:$E, MATCH($A100, 'KZ-normalized'!$A:$A, 0))), 0), 0))+(IFERROR(IF(28*INDEX('UZ-normalized'!$D:$D, MATCH($A100, 'UZ-normalized'!$A:$A, 0))-INDEX('UZ-normalized'!$E:$E, MATCH($A100, 'UZ-normalized'!$A:$A, 0))&gt;0, -(28*INDEX('UZ-normalized'!$D:$D, MATCH($A100, 'UZ-normalized'!$A:$A, 0))-INDEX('UZ-normalized'!$E:$E, MATCH($A100, 'UZ-normalized'!$A:$A, 0))), 0), 0)))</f>
        <v>-2949</v>
      </c>
      <c r="AQ100" s="6">
        <f>MIN(0, N100+(IFERROR(IF(29*INDEX('UA-normalized'!$D:$D, MATCH($A100, 'UA-normalized'!$A:$A, 0))-INDEX('UA-normalized'!$E:$E, MATCH($A100, 'UA-normalized'!$A:$A, 0))&gt;0, -(29*INDEX('UA-normalized'!$D:$D, MATCH($A100, 'UA-normalized'!$A:$A, 0))-INDEX('UA-normalized'!$E:$E, MATCH($A100, 'UA-normalized'!$A:$A, 0))), 0), 0))+(IFERROR(IF(29*INDEX('KZ-normalized'!$D:$D, MATCH($A100, 'KZ-normalized'!$A:$A, 0))-INDEX('KZ-normalized'!$E:$E, MATCH($A100, 'KZ-normalized'!$A:$A, 0))&gt;0, -(29*INDEX('KZ-normalized'!$D:$D, MATCH($A100, 'KZ-normalized'!$A:$A, 0))-INDEX('KZ-normalized'!$E:$E, MATCH($A100, 'KZ-normalized'!$A:$A, 0))), 0), 0))+(IFERROR(IF(29*INDEX('UZ-normalized'!$D:$D, MATCH($A100, 'UZ-normalized'!$A:$A, 0))-INDEX('UZ-normalized'!$E:$E, MATCH($A100, 'UZ-normalized'!$A:$A, 0))&gt;0, -(29*INDEX('UZ-normalized'!$D:$D, MATCH($A100, 'UZ-normalized'!$A:$A, 0))-INDEX('UZ-normalized'!$E:$E, MATCH($A100, 'UZ-normalized'!$A:$A, 0))), 0), 0)))</f>
        <v>-3072.5</v>
      </c>
      <c r="AR100" s="6">
        <f>MIN(0, N100+(IFERROR(IF(30*INDEX('UA-normalized'!$D:$D, MATCH($A100, 'UA-normalized'!$A:$A, 0))-INDEX('UA-normalized'!$E:$E, MATCH($A100, 'UA-normalized'!$A:$A, 0))&gt;0, -(30*INDEX('UA-normalized'!$D:$D, MATCH($A100, 'UA-normalized'!$A:$A, 0))-INDEX('UA-normalized'!$E:$E, MATCH($A100, 'UA-normalized'!$A:$A, 0))), 0), 0))+(IFERROR(IF(30*INDEX('KZ-normalized'!$D:$D, MATCH($A100, 'KZ-normalized'!$A:$A, 0))-INDEX('KZ-normalized'!$E:$E, MATCH($A100, 'KZ-normalized'!$A:$A, 0))&gt;0, -(30*INDEX('KZ-normalized'!$D:$D, MATCH($A100, 'KZ-normalized'!$A:$A, 0))-INDEX('KZ-normalized'!$E:$E, MATCH($A100, 'KZ-normalized'!$A:$A, 0))), 0), 0))+(IFERROR(IF(30*INDEX('UZ-normalized'!$D:$D, MATCH($A100, 'UZ-normalized'!$A:$A, 0))-INDEX('UZ-normalized'!$E:$E, MATCH($A100, 'UZ-normalized'!$A:$A, 0))&gt;0, -(30*INDEX('UZ-normalized'!$D:$D, MATCH($A100, 'UZ-normalized'!$A:$A, 0))-INDEX('UZ-normalized'!$E:$E, MATCH($A100, 'UZ-normalized'!$A:$A, 0))), 0), 0)))</f>
        <v>-3196</v>
      </c>
    </row>
    <row r="101" spans="1:44" x14ac:dyDescent="0.25">
      <c r="A101" s="8" t="s">
        <v>253</v>
      </c>
      <c r="B101" s="8" t="s">
        <v>180</v>
      </c>
      <c r="C101" s="8" t="s">
        <v>235</v>
      </c>
      <c r="D101" s="8" t="s">
        <v>254</v>
      </c>
      <c r="G101">
        <v>-100</v>
      </c>
      <c r="N101">
        <f t="shared" si="1"/>
        <v>-100</v>
      </c>
      <c r="O101" s="6">
        <f>MIN(0, N101+(IFERROR(IF(1*INDEX('UA-normalized'!$D:$D, MATCH($A101, 'UA-normalized'!$A:$A, 0))-INDEX('UA-normalized'!$E:$E, MATCH($A101, 'UA-normalized'!$A:$A, 0))&gt;0, -(1*INDEX('UA-normalized'!$D:$D, MATCH($A101, 'UA-normalized'!$A:$A, 0))-INDEX('UA-normalized'!$E:$E, MATCH($A101, 'UA-normalized'!$A:$A, 0))), 0), 0))+(IFERROR(IF(1*INDEX('KZ-normalized'!$D:$D, MATCH($A101, 'KZ-normalized'!$A:$A, 0))-INDEX('KZ-normalized'!$E:$E, MATCH($A101, 'KZ-normalized'!$A:$A, 0))&gt;0, -(1*INDEX('KZ-normalized'!$D:$D, MATCH($A101, 'KZ-normalized'!$A:$A, 0))-INDEX('KZ-normalized'!$E:$E, MATCH($A101, 'KZ-normalized'!$A:$A, 0))), 0), 0))+(IFERROR(IF(1*INDEX('UZ-normalized'!$D:$D, MATCH($A101, 'UZ-normalized'!$A:$A, 0))-INDEX('UZ-normalized'!$E:$E, MATCH($A101, 'UZ-normalized'!$A:$A, 0))&gt;0, -(1*INDEX('UZ-normalized'!$D:$D, MATCH($A101, 'UZ-normalized'!$A:$A, 0))-INDEX('UZ-normalized'!$E:$E, MATCH($A101, 'UZ-normalized'!$A:$A, 0))), 0), 0)))</f>
        <v>-100</v>
      </c>
      <c r="P101" s="6">
        <f>MIN(0, N101+(IFERROR(IF(2*INDEX('UA-normalized'!$D:$D, MATCH($A101, 'UA-normalized'!$A:$A, 0))-INDEX('UA-normalized'!$E:$E, MATCH($A101, 'UA-normalized'!$A:$A, 0))&gt;0, -(2*INDEX('UA-normalized'!$D:$D, MATCH($A101, 'UA-normalized'!$A:$A, 0))-INDEX('UA-normalized'!$E:$E, MATCH($A101, 'UA-normalized'!$A:$A, 0))), 0), 0))+(IFERROR(IF(2*INDEX('KZ-normalized'!$D:$D, MATCH($A101, 'KZ-normalized'!$A:$A, 0))-INDEX('KZ-normalized'!$E:$E, MATCH($A101, 'KZ-normalized'!$A:$A, 0))&gt;0, -(2*INDEX('KZ-normalized'!$D:$D, MATCH($A101, 'KZ-normalized'!$A:$A, 0))-INDEX('KZ-normalized'!$E:$E, MATCH($A101, 'KZ-normalized'!$A:$A, 0))), 0), 0))+(IFERROR(IF(2*INDEX('UZ-normalized'!$D:$D, MATCH($A101, 'UZ-normalized'!$A:$A, 0))-INDEX('UZ-normalized'!$E:$E, MATCH($A101, 'UZ-normalized'!$A:$A, 0))&gt;0, -(2*INDEX('UZ-normalized'!$D:$D, MATCH($A101, 'UZ-normalized'!$A:$A, 0))-INDEX('UZ-normalized'!$E:$E, MATCH($A101, 'UZ-normalized'!$A:$A, 0))), 0), 0)))</f>
        <v>-100</v>
      </c>
      <c r="Q101" s="6">
        <f>MIN(0, N101+(IFERROR(IF(3*INDEX('UA-normalized'!$D:$D, MATCH($A101, 'UA-normalized'!$A:$A, 0))-INDEX('UA-normalized'!$E:$E, MATCH($A101, 'UA-normalized'!$A:$A, 0))&gt;0, -(3*INDEX('UA-normalized'!$D:$D, MATCH($A101, 'UA-normalized'!$A:$A, 0))-INDEX('UA-normalized'!$E:$E, MATCH($A101, 'UA-normalized'!$A:$A, 0))), 0), 0))+(IFERROR(IF(3*INDEX('KZ-normalized'!$D:$D, MATCH($A101, 'KZ-normalized'!$A:$A, 0))-INDEX('KZ-normalized'!$E:$E, MATCH($A101, 'KZ-normalized'!$A:$A, 0))&gt;0, -(3*INDEX('KZ-normalized'!$D:$D, MATCH($A101, 'KZ-normalized'!$A:$A, 0))-INDEX('KZ-normalized'!$E:$E, MATCH($A101, 'KZ-normalized'!$A:$A, 0))), 0), 0))+(IFERROR(IF(3*INDEX('UZ-normalized'!$D:$D, MATCH($A101, 'UZ-normalized'!$A:$A, 0))-INDEX('UZ-normalized'!$E:$E, MATCH($A101, 'UZ-normalized'!$A:$A, 0))&gt;0, -(3*INDEX('UZ-normalized'!$D:$D, MATCH($A101, 'UZ-normalized'!$A:$A, 0))-INDEX('UZ-normalized'!$E:$E, MATCH($A101, 'UZ-normalized'!$A:$A, 0))), 0), 0)))</f>
        <v>-100</v>
      </c>
      <c r="R101" s="6">
        <f>MIN(0, N101+(IFERROR(IF(4*INDEX('UA-normalized'!$D:$D, MATCH($A101, 'UA-normalized'!$A:$A, 0))-INDEX('UA-normalized'!$E:$E, MATCH($A101, 'UA-normalized'!$A:$A, 0))&gt;0, -(4*INDEX('UA-normalized'!$D:$D, MATCH($A101, 'UA-normalized'!$A:$A, 0))-INDEX('UA-normalized'!$E:$E, MATCH($A101, 'UA-normalized'!$A:$A, 0))), 0), 0))+(IFERROR(IF(4*INDEX('KZ-normalized'!$D:$D, MATCH($A101, 'KZ-normalized'!$A:$A, 0))-INDEX('KZ-normalized'!$E:$E, MATCH($A101, 'KZ-normalized'!$A:$A, 0))&gt;0, -(4*INDEX('KZ-normalized'!$D:$D, MATCH($A101, 'KZ-normalized'!$A:$A, 0))-INDEX('KZ-normalized'!$E:$E, MATCH($A101, 'KZ-normalized'!$A:$A, 0))), 0), 0))+(IFERROR(IF(4*INDEX('UZ-normalized'!$D:$D, MATCH($A101, 'UZ-normalized'!$A:$A, 0))-INDEX('UZ-normalized'!$E:$E, MATCH($A101, 'UZ-normalized'!$A:$A, 0))&gt;0, -(4*INDEX('UZ-normalized'!$D:$D, MATCH($A101, 'UZ-normalized'!$A:$A, 0))-INDEX('UZ-normalized'!$E:$E, MATCH($A101, 'UZ-normalized'!$A:$A, 0))), 0), 0)))</f>
        <v>-100</v>
      </c>
      <c r="S101" s="6">
        <f>MIN(0, N101+(IFERROR(IF(5*INDEX('UA-normalized'!$D:$D, MATCH($A101, 'UA-normalized'!$A:$A, 0))-INDEX('UA-normalized'!$E:$E, MATCH($A101, 'UA-normalized'!$A:$A, 0))&gt;0, -(5*INDEX('UA-normalized'!$D:$D, MATCH($A101, 'UA-normalized'!$A:$A, 0))-INDEX('UA-normalized'!$E:$E, MATCH($A101, 'UA-normalized'!$A:$A, 0))), 0), 0))+(IFERROR(IF(5*INDEX('KZ-normalized'!$D:$D, MATCH($A101, 'KZ-normalized'!$A:$A, 0))-INDEX('KZ-normalized'!$E:$E, MATCH($A101, 'KZ-normalized'!$A:$A, 0))&gt;0, -(5*INDEX('KZ-normalized'!$D:$D, MATCH($A101, 'KZ-normalized'!$A:$A, 0))-INDEX('KZ-normalized'!$E:$E, MATCH($A101, 'KZ-normalized'!$A:$A, 0))), 0), 0))+(IFERROR(IF(5*INDEX('UZ-normalized'!$D:$D, MATCH($A101, 'UZ-normalized'!$A:$A, 0))-INDEX('UZ-normalized'!$E:$E, MATCH($A101, 'UZ-normalized'!$A:$A, 0))&gt;0, -(5*INDEX('UZ-normalized'!$D:$D, MATCH($A101, 'UZ-normalized'!$A:$A, 0))-INDEX('UZ-normalized'!$E:$E, MATCH($A101, 'UZ-normalized'!$A:$A, 0))), 0), 0)))</f>
        <v>-158</v>
      </c>
      <c r="T101" s="6">
        <f>MIN(0, N101+(IFERROR(IF(6*INDEX('UA-normalized'!$D:$D, MATCH($A101, 'UA-normalized'!$A:$A, 0))-INDEX('UA-normalized'!$E:$E, MATCH($A101, 'UA-normalized'!$A:$A, 0))&gt;0, -(6*INDEX('UA-normalized'!$D:$D, MATCH($A101, 'UA-normalized'!$A:$A, 0))-INDEX('UA-normalized'!$E:$E, MATCH($A101, 'UA-normalized'!$A:$A, 0))), 0), 0))+(IFERROR(IF(6*INDEX('KZ-normalized'!$D:$D, MATCH($A101, 'KZ-normalized'!$A:$A, 0))-INDEX('KZ-normalized'!$E:$E, MATCH($A101, 'KZ-normalized'!$A:$A, 0))&gt;0, -(6*INDEX('KZ-normalized'!$D:$D, MATCH($A101, 'KZ-normalized'!$A:$A, 0))-INDEX('KZ-normalized'!$E:$E, MATCH($A101, 'KZ-normalized'!$A:$A, 0))), 0), 0))+(IFERROR(IF(6*INDEX('UZ-normalized'!$D:$D, MATCH($A101, 'UZ-normalized'!$A:$A, 0))-INDEX('UZ-normalized'!$E:$E, MATCH($A101, 'UZ-normalized'!$A:$A, 0))&gt;0, -(6*INDEX('UZ-normalized'!$D:$D, MATCH($A101, 'UZ-normalized'!$A:$A, 0))-INDEX('UZ-normalized'!$E:$E, MATCH($A101, 'UZ-normalized'!$A:$A, 0))), 0), 0)))</f>
        <v>-219.4</v>
      </c>
      <c r="U101" s="6">
        <f>MIN(0, N101+(IFERROR(IF(7*INDEX('UA-normalized'!$D:$D, MATCH($A101, 'UA-normalized'!$A:$A, 0))-INDEX('UA-normalized'!$E:$E, MATCH($A101, 'UA-normalized'!$A:$A, 0))&gt;0, -(7*INDEX('UA-normalized'!$D:$D, MATCH($A101, 'UA-normalized'!$A:$A, 0))-INDEX('UA-normalized'!$E:$E, MATCH($A101, 'UA-normalized'!$A:$A, 0))), 0), 0))+(IFERROR(IF(7*INDEX('KZ-normalized'!$D:$D, MATCH($A101, 'KZ-normalized'!$A:$A, 0))-INDEX('KZ-normalized'!$E:$E, MATCH($A101, 'KZ-normalized'!$A:$A, 0))&gt;0, -(7*INDEX('KZ-normalized'!$D:$D, MATCH($A101, 'KZ-normalized'!$A:$A, 0))-INDEX('KZ-normalized'!$E:$E, MATCH($A101, 'KZ-normalized'!$A:$A, 0))), 0), 0))+(IFERROR(IF(7*INDEX('UZ-normalized'!$D:$D, MATCH($A101, 'UZ-normalized'!$A:$A, 0))-INDEX('UZ-normalized'!$E:$E, MATCH($A101, 'UZ-normalized'!$A:$A, 0))&gt;0, -(7*INDEX('UZ-normalized'!$D:$D, MATCH($A101, 'UZ-normalized'!$A:$A, 0))-INDEX('UZ-normalized'!$E:$E, MATCH($A101, 'UZ-normalized'!$A:$A, 0))), 0), 0)))</f>
        <v>-286.8</v>
      </c>
      <c r="V101" s="6">
        <f>MIN(0, N101+(IFERROR(IF(8*INDEX('UA-normalized'!$D:$D, MATCH($A101, 'UA-normalized'!$A:$A, 0))-INDEX('UA-normalized'!$E:$E, MATCH($A101, 'UA-normalized'!$A:$A, 0))&gt;0, -(8*INDEX('UA-normalized'!$D:$D, MATCH($A101, 'UA-normalized'!$A:$A, 0))-INDEX('UA-normalized'!$E:$E, MATCH($A101, 'UA-normalized'!$A:$A, 0))), 0), 0))+(IFERROR(IF(8*INDEX('KZ-normalized'!$D:$D, MATCH($A101, 'KZ-normalized'!$A:$A, 0))-INDEX('KZ-normalized'!$E:$E, MATCH($A101, 'KZ-normalized'!$A:$A, 0))&gt;0, -(8*INDEX('KZ-normalized'!$D:$D, MATCH($A101, 'KZ-normalized'!$A:$A, 0))-INDEX('KZ-normalized'!$E:$E, MATCH($A101, 'KZ-normalized'!$A:$A, 0))), 0), 0))+(IFERROR(IF(8*INDEX('UZ-normalized'!$D:$D, MATCH($A101, 'UZ-normalized'!$A:$A, 0))-INDEX('UZ-normalized'!$E:$E, MATCH($A101, 'UZ-normalized'!$A:$A, 0))&gt;0, -(8*INDEX('UZ-normalized'!$D:$D, MATCH($A101, 'UZ-normalized'!$A:$A, 0))-INDEX('UZ-normalized'!$E:$E, MATCH($A101, 'UZ-normalized'!$A:$A, 0))), 0), 0)))</f>
        <v>-354.2</v>
      </c>
      <c r="W101" s="6">
        <f>MIN(0, N101+(IFERROR(IF(9*INDEX('UA-normalized'!$D:$D, MATCH($A101, 'UA-normalized'!$A:$A, 0))-INDEX('UA-normalized'!$E:$E, MATCH($A101, 'UA-normalized'!$A:$A, 0))&gt;0, -(9*INDEX('UA-normalized'!$D:$D, MATCH($A101, 'UA-normalized'!$A:$A, 0))-INDEX('UA-normalized'!$E:$E, MATCH($A101, 'UA-normalized'!$A:$A, 0))), 0), 0))+(IFERROR(IF(9*INDEX('KZ-normalized'!$D:$D, MATCH($A101, 'KZ-normalized'!$A:$A, 0))-INDEX('KZ-normalized'!$E:$E, MATCH($A101, 'KZ-normalized'!$A:$A, 0))&gt;0, -(9*INDEX('KZ-normalized'!$D:$D, MATCH($A101, 'KZ-normalized'!$A:$A, 0))-INDEX('KZ-normalized'!$E:$E, MATCH($A101, 'KZ-normalized'!$A:$A, 0))), 0), 0))+(IFERROR(IF(9*INDEX('UZ-normalized'!$D:$D, MATCH($A101, 'UZ-normalized'!$A:$A, 0))-INDEX('UZ-normalized'!$E:$E, MATCH($A101, 'UZ-normalized'!$A:$A, 0))&gt;0, -(9*INDEX('UZ-normalized'!$D:$D, MATCH($A101, 'UZ-normalized'!$A:$A, 0))-INDEX('UZ-normalized'!$E:$E, MATCH($A101, 'UZ-normalized'!$A:$A, 0))), 0), 0)))</f>
        <v>-421.6</v>
      </c>
      <c r="X101" s="6">
        <f>MIN(0, N101+(IFERROR(IF(10*INDEX('UA-normalized'!$D:$D, MATCH($A101, 'UA-normalized'!$A:$A, 0))-INDEX('UA-normalized'!$E:$E, MATCH($A101, 'UA-normalized'!$A:$A, 0))&gt;0, -(10*INDEX('UA-normalized'!$D:$D, MATCH($A101, 'UA-normalized'!$A:$A, 0))-INDEX('UA-normalized'!$E:$E, MATCH($A101, 'UA-normalized'!$A:$A, 0))), 0), 0))+(IFERROR(IF(10*INDEX('KZ-normalized'!$D:$D, MATCH($A101, 'KZ-normalized'!$A:$A, 0))-INDEX('KZ-normalized'!$E:$E, MATCH($A101, 'KZ-normalized'!$A:$A, 0))&gt;0, -(10*INDEX('KZ-normalized'!$D:$D, MATCH($A101, 'KZ-normalized'!$A:$A, 0))-INDEX('KZ-normalized'!$E:$E, MATCH($A101, 'KZ-normalized'!$A:$A, 0))), 0), 0))+(IFERROR(IF(10*INDEX('UZ-normalized'!$D:$D, MATCH($A101, 'UZ-normalized'!$A:$A, 0))-INDEX('UZ-normalized'!$E:$E, MATCH($A101, 'UZ-normalized'!$A:$A, 0))&gt;0, -(10*INDEX('UZ-normalized'!$D:$D, MATCH($A101, 'UZ-normalized'!$A:$A, 0))-INDEX('UZ-normalized'!$E:$E, MATCH($A101, 'UZ-normalized'!$A:$A, 0))), 0), 0)))</f>
        <v>-489</v>
      </c>
      <c r="Y101" s="6">
        <f>MIN(0, N101+(IFERROR(IF(11*INDEX('UA-normalized'!$D:$D, MATCH($A101, 'UA-normalized'!$A:$A, 0))-INDEX('UA-normalized'!$E:$E, MATCH($A101, 'UA-normalized'!$A:$A, 0))&gt;0, -(11*INDEX('UA-normalized'!$D:$D, MATCH($A101, 'UA-normalized'!$A:$A, 0))-INDEX('UA-normalized'!$E:$E, MATCH($A101, 'UA-normalized'!$A:$A, 0))), 0), 0))+(IFERROR(IF(11*INDEX('KZ-normalized'!$D:$D, MATCH($A101, 'KZ-normalized'!$A:$A, 0))-INDEX('KZ-normalized'!$E:$E, MATCH($A101, 'KZ-normalized'!$A:$A, 0))&gt;0, -(11*INDEX('KZ-normalized'!$D:$D, MATCH($A101, 'KZ-normalized'!$A:$A, 0))-INDEX('KZ-normalized'!$E:$E, MATCH($A101, 'KZ-normalized'!$A:$A, 0))), 0), 0))+(IFERROR(IF(11*INDEX('UZ-normalized'!$D:$D, MATCH($A101, 'UZ-normalized'!$A:$A, 0))-INDEX('UZ-normalized'!$E:$E, MATCH($A101, 'UZ-normalized'!$A:$A, 0))&gt;0, -(11*INDEX('UZ-normalized'!$D:$D, MATCH($A101, 'UZ-normalized'!$A:$A, 0))-INDEX('UZ-normalized'!$E:$E, MATCH($A101, 'UZ-normalized'!$A:$A, 0))), 0), 0)))</f>
        <v>-556.4</v>
      </c>
      <c r="Z101" s="6">
        <f>MIN(0, N101+(IFERROR(IF(12*INDEX('UA-normalized'!$D:$D, MATCH($A101, 'UA-normalized'!$A:$A, 0))-INDEX('UA-normalized'!$E:$E, MATCH($A101, 'UA-normalized'!$A:$A, 0))&gt;0, -(12*INDEX('UA-normalized'!$D:$D, MATCH($A101, 'UA-normalized'!$A:$A, 0))-INDEX('UA-normalized'!$E:$E, MATCH($A101, 'UA-normalized'!$A:$A, 0))), 0), 0))+(IFERROR(IF(12*INDEX('KZ-normalized'!$D:$D, MATCH($A101, 'KZ-normalized'!$A:$A, 0))-INDEX('KZ-normalized'!$E:$E, MATCH($A101, 'KZ-normalized'!$A:$A, 0))&gt;0, -(12*INDEX('KZ-normalized'!$D:$D, MATCH($A101, 'KZ-normalized'!$A:$A, 0))-INDEX('KZ-normalized'!$E:$E, MATCH($A101, 'KZ-normalized'!$A:$A, 0))), 0), 0))+(IFERROR(IF(12*INDEX('UZ-normalized'!$D:$D, MATCH($A101, 'UZ-normalized'!$A:$A, 0))-INDEX('UZ-normalized'!$E:$E, MATCH($A101, 'UZ-normalized'!$A:$A, 0))&gt;0, -(12*INDEX('UZ-normalized'!$D:$D, MATCH($A101, 'UZ-normalized'!$A:$A, 0))-INDEX('UZ-normalized'!$E:$E, MATCH($A101, 'UZ-normalized'!$A:$A, 0))), 0), 0)))</f>
        <v>-623.79999999999995</v>
      </c>
      <c r="AA101" s="6">
        <f>MIN(0, N101+(IFERROR(IF(13*INDEX('UA-normalized'!$D:$D, MATCH($A101, 'UA-normalized'!$A:$A, 0))-INDEX('UA-normalized'!$E:$E, MATCH($A101, 'UA-normalized'!$A:$A, 0))&gt;0, -(13*INDEX('UA-normalized'!$D:$D, MATCH($A101, 'UA-normalized'!$A:$A, 0))-INDEX('UA-normalized'!$E:$E, MATCH($A101, 'UA-normalized'!$A:$A, 0))), 0), 0))+(IFERROR(IF(13*INDEX('KZ-normalized'!$D:$D, MATCH($A101, 'KZ-normalized'!$A:$A, 0))-INDEX('KZ-normalized'!$E:$E, MATCH($A101, 'KZ-normalized'!$A:$A, 0))&gt;0, -(13*INDEX('KZ-normalized'!$D:$D, MATCH($A101, 'KZ-normalized'!$A:$A, 0))-INDEX('KZ-normalized'!$E:$E, MATCH($A101, 'KZ-normalized'!$A:$A, 0))), 0), 0))+(IFERROR(IF(13*INDEX('UZ-normalized'!$D:$D, MATCH($A101, 'UZ-normalized'!$A:$A, 0))-INDEX('UZ-normalized'!$E:$E, MATCH($A101, 'UZ-normalized'!$A:$A, 0))&gt;0, -(13*INDEX('UZ-normalized'!$D:$D, MATCH($A101, 'UZ-normalized'!$A:$A, 0))-INDEX('UZ-normalized'!$E:$E, MATCH($A101, 'UZ-normalized'!$A:$A, 0))), 0), 0)))</f>
        <v>-691.2</v>
      </c>
      <c r="AB101" s="6">
        <f>MIN(0, N101+(IFERROR(IF(14*INDEX('UA-normalized'!$D:$D, MATCH($A101, 'UA-normalized'!$A:$A, 0))-INDEX('UA-normalized'!$E:$E, MATCH($A101, 'UA-normalized'!$A:$A, 0))&gt;0, -(14*INDEX('UA-normalized'!$D:$D, MATCH($A101, 'UA-normalized'!$A:$A, 0))-INDEX('UA-normalized'!$E:$E, MATCH($A101, 'UA-normalized'!$A:$A, 0))), 0), 0))+(IFERROR(IF(14*INDEX('KZ-normalized'!$D:$D, MATCH($A101, 'KZ-normalized'!$A:$A, 0))-INDEX('KZ-normalized'!$E:$E, MATCH($A101, 'KZ-normalized'!$A:$A, 0))&gt;0, -(14*INDEX('KZ-normalized'!$D:$D, MATCH($A101, 'KZ-normalized'!$A:$A, 0))-INDEX('KZ-normalized'!$E:$E, MATCH($A101, 'KZ-normalized'!$A:$A, 0))), 0), 0))+(IFERROR(IF(14*INDEX('UZ-normalized'!$D:$D, MATCH($A101, 'UZ-normalized'!$A:$A, 0))-INDEX('UZ-normalized'!$E:$E, MATCH($A101, 'UZ-normalized'!$A:$A, 0))&gt;0, -(14*INDEX('UZ-normalized'!$D:$D, MATCH($A101, 'UZ-normalized'!$A:$A, 0))-INDEX('UZ-normalized'!$E:$E, MATCH($A101, 'UZ-normalized'!$A:$A, 0))), 0), 0)))</f>
        <v>-758.6</v>
      </c>
      <c r="AC101" s="6">
        <f>MIN(0, N101+(IFERROR(IF(15*INDEX('UA-normalized'!$D:$D, MATCH($A101, 'UA-normalized'!$A:$A, 0))-INDEX('UA-normalized'!$E:$E, MATCH($A101, 'UA-normalized'!$A:$A, 0))&gt;0, -(15*INDEX('UA-normalized'!$D:$D, MATCH($A101, 'UA-normalized'!$A:$A, 0))-INDEX('UA-normalized'!$E:$E, MATCH($A101, 'UA-normalized'!$A:$A, 0))), 0), 0))+(IFERROR(IF(15*INDEX('KZ-normalized'!$D:$D, MATCH($A101, 'KZ-normalized'!$A:$A, 0))-INDEX('KZ-normalized'!$E:$E, MATCH($A101, 'KZ-normalized'!$A:$A, 0))&gt;0, -(15*INDEX('KZ-normalized'!$D:$D, MATCH($A101, 'KZ-normalized'!$A:$A, 0))-INDEX('KZ-normalized'!$E:$E, MATCH($A101, 'KZ-normalized'!$A:$A, 0))), 0), 0))+(IFERROR(IF(15*INDEX('UZ-normalized'!$D:$D, MATCH($A101, 'UZ-normalized'!$A:$A, 0))-INDEX('UZ-normalized'!$E:$E, MATCH($A101, 'UZ-normalized'!$A:$A, 0))&gt;0, -(15*INDEX('UZ-normalized'!$D:$D, MATCH($A101, 'UZ-normalized'!$A:$A, 0))-INDEX('UZ-normalized'!$E:$E, MATCH($A101, 'UZ-normalized'!$A:$A, 0))), 0), 0)))</f>
        <v>-826</v>
      </c>
      <c r="AD101" s="6">
        <f>MIN(0, N101+(IFERROR(IF(16*INDEX('UA-normalized'!$D:$D, MATCH($A101, 'UA-normalized'!$A:$A, 0))-INDEX('UA-normalized'!$E:$E, MATCH($A101, 'UA-normalized'!$A:$A, 0))&gt;0, -(16*INDEX('UA-normalized'!$D:$D, MATCH($A101, 'UA-normalized'!$A:$A, 0))-INDEX('UA-normalized'!$E:$E, MATCH($A101, 'UA-normalized'!$A:$A, 0))), 0), 0))+(IFERROR(IF(16*INDEX('KZ-normalized'!$D:$D, MATCH($A101, 'KZ-normalized'!$A:$A, 0))-INDEX('KZ-normalized'!$E:$E, MATCH($A101, 'KZ-normalized'!$A:$A, 0))&gt;0, -(16*INDEX('KZ-normalized'!$D:$D, MATCH($A101, 'KZ-normalized'!$A:$A, 0))-INDEX('KZ-normalized'!$E:$E, MATCH($A101, 'KZ-normalized'!$A:$A, 0))), 0), 0))+(IFERROR(IF(16*INDEX('UZ-normalized'!$D:$D, MATCH($A101, 'UZ-normalized'!$A:$A, 0))-INDEX('UZ-normalized'!$E:$E, MATCH($A101, 'UZ-normalized'!$A:$A, 0))&gt;0, -(16*INDEX('UZ-normalized'!$D:$D, MATCH($A101, 'UZ-normalized'!$A:$A, 0))-INDEX('UZ-normalized'!$E:$E, MATCH($A101, 'UZ-normalized'!$A:$A, 0))), 0), 0)))</f>
        <v>-893.4</v>
      </c>
      <c r="AE101" s="6">
        <f>MIN(0, N101+(IFERROR(IF(17*INDEX('UA-normalized'!$D:$D, MATCH($A101, 'UA-normalized'!$A:$A, 0))-INDEX('UA-normalized'!$E:$E, MATCH($A101, 'UA-normalized'!$A:$A, 0))&gt;0, -(17*INDEX('UA-normalized'!$D:$D, MATCH($A101, 'UA-normalized'!$A:$A, 0))-INDEX('UA-normalized'!$E:$E, MATCH($A101, 'UA-normalized'!$A:$A, 0))), 0), 0))+(IFERROR(IF(17*INDEX('KZ-normalized'!$D:$D, MATCH($A101, 'KZ-normalized'!$A:$A, 0))-INDEX('KZ-normalized'!$E:$E, MATCH($A101, 'KZ-normalized'!$A:$A, 0))&gt;0, -(17*INDEX('KZ-normalized'!$D:$D, MATCH($A101, 'KZ-normalized'!$A:$A, 0))-INDEX('KZ-normalized'!$E:$E, MATCH($A101, 'KZ-normalized'!$A:$A, 0))), 0), 0))+(IFERROR(IF(17*INDEX('UZ-normalized'!$D:$D, MATCH($A101, 'UZ-normalized'!$A:$A, 0))-INDEX('UZ-normalized'!$E:$E, MATCH($A101, 'UZ-normalized'!$A:$A, 0))&gt;0, -(17*INDEX('UZ-normalized'!$D:$D, MATCH($A101, 'UZ-normalized'!$A:$A, 0))-INDEX('UZ-normalized'!$E:$E, MATCH($A101, 'UZ-normalized'!$A:$A, 0))), 0), 0)))</f>
        <v>-960.8</v>
      </c>
      <c r="AF101" s="6">
        <f>MIN(0, N101+(IFERROR(IF(18*INDEX('UA-normalized'!$D:$D, MATCH($A101, 'UA-normalized'!$A:$A, 0))-INDEX('UA-normalized'!$E:$E, MATCH($A101, 'UA-normalized'!$A:$A, 0))&gt;0, -(18*INDEX('UA-normalized'!$D:$D, MATCH($A101, 'UA-normalized'!$A:$A, 0))-INDEX('UA-normalized'!$E:$E, MATCH($A101, 'UA-normalized'!$A:$A, 0))), 0), 0))+(IFERROR(IF(18*INDEX('KZ-normalized'!$D:$D, MATCH($A101, 'KZ-normalized'!$A:$A, 0))-INDEX('KZ-normalized'!$E:$E, MATCH($A101, 'KZ-normalized'!$A:$A, 0))&gt;0, -(18*INDEX('KZ-normalized'!$D:$D, MATCH($A101, 'KZ-normalized'!$A:$A, 0))-INDEX('KZ-normalized'!$E:$E, MATCH($A101, 'KZ-normalized'!$A:$A, 0))), 0), 0))+(IFERROR(IF(18*INDEX('UZ-normalized'!$D:$D, MATCH($A101, 'UZ-normalized'!$A:$A, 0))-INDEX('UZ-normalized'!$E:$E, MATCH($A101, 'UZ-normalized'!$A:$A, 0))&gt;0, -(18*INDEX('UZ-normalized'!$D:$D, MATCH($A101, 'UZ-normalized'!$A:$A, 0))-INDEX('UZ-normalized'!$E:$E, MATCH($A101, 'UZ-normalized'!$A:$A, 0))), 0), 0)))</f>
        <v>-1028.2</v>
      </c>
      <c r="AG101" s="6">
        <f>MIN(0, N101+(IFERROR(IF(19*INDEX('UA-normalized'!$D:$D, MATCH($A101, 'UA-normalized'!$A:$A, 0))-INDEX('UA-normalized'!$E:$E, MATCH($A101, 'UA-normalized'!$A:$A, 0))&gt;0, -(19*INDEX('UA-normalized'!$D:$D, MATCH($A101, 'UA-normalized'!$A:$A, 0))-INDEX('UA-normalized'!$E:$E, MATCH($A101, 'UA-normalized'!$A:$A, 0))), 0), 0))+(IFERROR(IF(19*INDEX('KZ-normalized'!$D:$D, MATCH($A101, 'KZ-normalized'!$A:$A, 0))-INDEX('KZ-normalized'!$E:$E, MATCH($A101, 'KZ-normalized'!$A:$A, 0))&gt;0, -(19*INDEX('KZ-normalized'!$D:$D, MATCH($A101, 'KZ-normalized'!$A:$A, 0))-INDEX('KZ-normalized'!$E:$E, MATCH($A101, 'KZ-normalized'!$A:$A, 0))), 0), 0))+(IFERROR(IF(19*INDEX('UZ-normalized'!$D:$D, MATCH($A101, 'UZ-normalized'!$A:$A, 0))-INDEX('UZ-normalized'!$E:$E, MATCH($A101, 'UZ-normalized'!$A:$A, 0))&gt;0, -(19*INDEX('UZ-normalized'!$D:$D, MATCH($A101, 'UZ-normalized'!$A:$A, 0))-INDEX('UZ-normalized'!$E:$E, MATCH($A101, 'UZ-normalized'!$A:$A, 0))), 0), 0)))</f>
        <v>-1095.5999999999999</v>
      </c>
      <c r="AH101" s="6">
        <f>MIN(0, N101+(IFERROR(IF(20*INDEX('UA-normalized'!$D:$D, MATCH($A101, 'UA-normalized'!$A:$A, 0))-INDEX('UA-normalized'!$E:$E, MATCH($A101, 'UA-normalized'!$A:$A, 0))&gt;0, -(20*INDEX('UA-normalized'!$D:$D, MATCH($A101, 'UA-normalized'!$A:$A, 0))-INDEX('UA-normalized'!$E:$E, MATCH($A101, 'UA-normalized'!$A:$A, 0))), 0), 0))+(IFERROR(IF(20*INDEX('KZ-normalized'!$D:$D, MATCH($A101, 'KZ-normalized'!$A:$A, 0))-INDEX('KZ-normalized'!$E:$E, MATCH($A101, 'KZ-normalized'!$A:$A, 0))&gt;0, -(20*INDEX('KZ-normalized'!$D:$D, MATCH($A101, 'KZ-normalized'!$A:$A, 0))-INDEX('KZ-normalized'!$E:$E, MATCH($A101, 'KZ-normalized'!$A:$A, 0))), 0), 0))+(IFERROR(IF(20*INDEX('UZ-normalized'!$D:$D, MATCH($A101, 'UZ-normalized'!$A:$A, 0))-INDEX('UZ-normalized'!$E:$E, MATCH($A101, 'UZ-normalized'!$A:$A, 0))&gt;0, -(20*INDEX('UZ-normalized'!$D:$D, MATCH($A101, 'UZ-normalized'!$A:$A, 0))-INDEX('UZ-normalized'!$E:$E, MATCH($A101, 'UZ-normalized'!$A:$A, 0))), 0), 0)))</f>
        <v>-1163</v>
      </c>
      <c r="AI101" s="6">
        <f>MIN(0, N101+(IFERROR(IF(21*INDEX('UA-normalized'!$D:$D, MATCH($A101, 'UA-normalized'!$A:$A, 0))-INDEX('UA-normalized'!$E:$E, MATCH($A101, 'UA-normalized'!$A:$A, 0))&gt;0, -(21*INDEX('UA-normalized'!$D:$D, MATCH($A101, 'UA-normalized'!$A:$A, 0))-INDEX('UA-normalized'!$E:$E, MATCH($A101, 'UA-normalized'!$A:$A, 0))), 0), 0))+(IFERROR(IF(21*INDEX('KZ-normalized'!$D:$D, MATCH($A101, 'KZ-normalized'!$A:$A, 0))-INDEX('KZ-normalized'!$E:$E, MATCH($A101, 'KZ-normalized'!$A:$A, 0))&gt;0, -(21*INDEX('KZ-normalized'!$D:$D, MATCH($A101, 'KZ-normalized'!$A:$A, 0))-INDEX('KZ-normalized'!$E:$E, MATCH($A101, 'KZ-normalized'!$A:$A, 0))), 0), 0))+(IFERROR(IF(21*INDEX('UZ-normalized'!$D:$D, MATCH($A101, 'UZ-normalized'!$A:$A, 0))-INDEX('UZ-normalized'!$E:$E, MATCH($A101, 'UZ-normalized'!$A:$A, 0))&gt;0, -(21*INDEX('UZ-normalized'!$D:$D, MATCH($A101, 'UZ-normalized'!$A:$A, 0))-INDEX('UZ-normalized'!$E:$E, MATCH($A101, 'UZ-normalized'!$A:$A, 0))), 0), 0)))</f>
        <v>-1230.4000000000001</v>
      </c>
      <c r="AJ101" s="6">
        <f>MIN(0, N101+(IFERROR(IF(22*INDEX('UA-normalized'!$D:$D, MATCH($A101, 'UA-normalized'!$A:$A, 0))-INDEX('UA-normalized'!$E:$E, MATCH($A101, 'UA-normalized'!$A:$A, 0))&gt;0, -(22*INDEX('UA-normalized'!$D:$D, MATCH($A101, 'UA-normalized'!$A:$A, 0))-INDEX('UA-normalized'!$E:$E, MATCH($A101, 'UA-normalized'!$A:$A, 0))), 0), 0))+(IFERROR(IF(22*INDEX('KZ-normalized'!$D:$D, MATCH($A101, 'KZ-normalized'!$A:$A, 0))-INDEX('KZ-normalized'!$E:$E, MATCH($A101, 'KZ-normalized'!$A:$A, 0))&gt;0, -(22*INDEX('KZ-normalized'!$D:$D, MATCH($A101, 'KZ-normalized'!$A:$A, 0))-INDEX('KZ-normalized'!$E:$E, MATCH($A101, 'KZ-normalized'!$A:$A, 0))), 0), 0))+(IFERROR(IF(22*INDEX('UZ-normalized'!$D:$D, MATCH($A101, 'UZ-normalized'!$A:$A, 0))-INDEX('UZ-normalized'!$E:$E, MATCH($A101, 'UZ-normalized'!$A:$A, 0))&gt;0, -(22*INDEX('UZ-normalized'!$D:$D, MATCH($A101, 'UZ-normalized'!$A:$A, 0))-INDEX('UZ-normalized'!$E:$E, MATCH($A101, 'UZ-normalized'!$A:$A, 0))), 0), 0)))</f>
        <v>-1297.8</v>
      </c>
      <c r="AK101" s="6">
        <f>MIN(0, N101+(IFERROR(IF(23*INDEX('UA-normalized'!$D:$D, MATCH($A101, 'UA-normalized'!$A:$A, 0))-INDEX('UA-normalized'!$E:$E, MATCH($A101, 'UA-normalized'!$A:$A, 0))&gt;0, -(23*INDEX('UA-normalized'!$D:$D, MATCH($A101, 'UA-normalized'!$A:$A, 0))-INDEX('UA-normalized'!$E:$E, MATCH($A101, 'UA-normalized'!$A:$A, 0))), 0), 0))+(IFERROR(IF(23*INDEX('KZ-normalized'!$D:$D, MATCH($A101, 'KZ-normalized'!$A:$A, 0))-INDEX('KZ-normalized'!$E:$E, MATCH($A101, 'KZ-normalized'!$A:$A, 0))&gt;0, -(23*INDEX('KZ-normalized'!$D:$D, MATCH($A101, 'KZ-normalized'!$A:$A, 0))-INDEX('KZ-normalized'!$E:$E, MATCH($A101, 'KZ-normalized'!$A:$A, 0))), 0), 0))+(IFERROR(IF(23*INDEX('UZ-normalized'!$D:$D, MATCH($A101, 'UZ-normalized'!$A:$A, 0))-INDEX('UZ-normalized'!$E:$E, MATCH($A101, 'UZ-normalized'!$A:$A, 0))&gt;0, -(23*INDEX('UZ-normalized'!$D:$D, MATCH($A101, 'UZ-normalized'!$A:$A, 0))-INDEX('UZ-normalized'!$E:$E, MATCH($A101, 'UZ-normalized'!$A:$A, 0))), 0), 0)))</f>
        <v>-1365.2</v>
      </c>
      <c r="AL101" s="6">
        <f>MIN(0, N101+(IFERROR(IF(24*INDEX('UA-normalized'!$D:$D, MATCH($A101, 'UA-normalized'!$A:$A, 0))-INDEX('UA-normalized'!$E:$E, MATCH($A101, 'UA-normalized'!$A:$A, 0))&gt;0, -(24*INDEX('UA-normalized'!$D:$D, MATCH($A101, 'UA-normalized'!$A:$A, 0))-INDEX('UA-normalized'!$E:$E, MATCH($A101, 'UA-normalized'!$A:$A, 0))), 0), 0))+(IFERROR(IF(24*INDEX('KZ-normalized'!$D:$D, MATCH($A101, 'KZ-normalized'!$A:$A, 0))-INDEX('KZ-normalized'!$E:$E, MATCH($A101, 'KZ-normalized'!$A:$A, 0))&gt;0, -(24*INDEX('KZ-normalized'!$D:$D, MATCH($A101, 'KZ-normalized'!$A:$A, 0))-INDEX('KZ-normalized'!$E:$E, MATCH($A101, 'KZ-normalized'!$A:$A, 0))), 0), 0))+(IFERROR(IF(24*INDEX('UZ-normalized'!$D:$D, MATCH($A101, 'UZ-normalized'!$A:$A, 0))-INDEX('UZ-normalized'!$E:$E, MATCH($A101, 'UZ-normalized'!$A:$A, 0))&gt;0, -(24*INDEX('UZ-normalized'!$D:$D, MATCH($A101, 'UZ-normalized'!$A:$A, 0))-INDEX('UZ-normalized'!$E:$E, MATCH($A101, 'UZ-normalized'!$A:$A, 0))), 0), 0)))</f>
        <v>-1432.6</v>
      </c>
      <c r="AM101" s="6">
        <f>MIN(0, N101+(IFERROR(IF(25*INDEX('UA-normalized'!$D:$D, MATCH($A101, 'UA-normalized'!$A:$A, 0))-INDEX('UA-normalized'!$E:$E, MATCH($A101, 'UA-normalized'!$A:$A, 0))&gt;0, -(25*INDEX('UA-normalized'!$D:$D, MATCH($A101, 'UA-normalized'!$A:$A, 0))-INDEX('UA-normalized'!$E:$E, MATCH($A101, 'UA-normalized'!$A:$A, 0))), 0), 0))+(IFERROR(IF(25*INDEX('KZ-normalized'!$D:$D, MATCH($A101, 'KZ-normalized'!$A:$A, 0))-INDEX('KZ-normalized'!$E:$E, MATCH($A101, 'KZ-normalized'!$A:$A, 0))&gt;0, -(25*INDEX('KZ-normalized'!$D:$D, MATCH($A101, 'KZ-normalized'!$A:$A, 0))-INDEX('KZ-normalized'!$E:$E, MATCH($A101, 'KZ-normalized'!$A:$A, 0))), 0), 0))+(IFERROR(IF(25*INDEX('UZ-normalized'!$D:$D, MATCH($A101, 'UZ-normalized'!$A:$A, 0))-INDEX('UZ-normalized'!$E:$E, MATCH($A101, 'UZ-normalized'!$A:$A, 0))&gt;0, -(25*INDEX('UZ-normalized'!$D:$D, MATCH($A101, 'UZ-normalized'!$A:$A, 0))-INDEX('UZ-normalized'!$E:$E, MATCH($A101, 'UZ-normalized'!$A:$A, 0))), 0), 0)))</f>
        <v>-1500</v>
      </c>
      <c r="AN101" s="6">
        <f>MIN(0, N101+(IFERROR(IF(26*INDEX('UA-normalized'!$D:$D, MATCH($A101, 'UA-normalized'!$A:$A, 0))-INDEX('UA-normalized'!$E:$E, MATCH($A101, 'UA-normalized'!$A:$A, 0))&gt;0, -(26*INDEX('UA-normalized'!$D:$D, MATCH($A101, 'UA-normalized'!$A:$A, 0))-INDEX('UA-normalized'!$E:$E, MATCH($A101, 'UA-normalized'!$A:$A, 0))), 0), 0))+(IFERROR(IF(26*INDEX('KZ-normalized'!$D:$D, MATCH($A101, 'KZ-normalized'!$A:$A, 0))-INDEX('KZ-normalized'!$E:$E, MATCH($A101, 'KZ-normalized'!$A:$A, 0))&gt;0, -(26*INDEX('KZ-normalized'!$D:$D, MATCH($A101, 'KZ-normalized'!$A:$A, 0))-INDEX('KZ-normalized'!$E:$E, MATCH($A101, 'KZ-normalized'!$A:$A, 0))), 0), 0))+(IFERROR(IF(26*INDEX('UZ-normalized'!$D:$D, MATCH($A101, 'UZ-normalized'!$A:$A, 0))-INDEX('UZ-normalized'!$E:$E, MATCH($A101, 'UZ-normalized'!$A:$A, 0))&gt;0, -(26*INDEX('UZ-normalized'!$D:$D, MATCH($A101, 'UZ-normalized'!$A:$A, 0))-INDEX('UZ-normalized'!$E:$E, MATCH($A101, 'UZ-normalized'!$A:$A, 0))), 0), 0)))</f>
        <v>-1567.4</v>
      </c>
      <c r="AO101" s="6">
        <f>MIN(0, N101+(IFERROR(IF(27*INDEX('UA-normalized'!$D:$D, MATCH($A101, 'UA-normalized'!$A:$A, 0))-INDEX('UA-normalized'!$E:$E, MATCH($A101, 'UA-normalized'!$A:$A, 0))&gt;0, -(27*INDEX('UA-normalized'!$D:$D, MATCH($A101, 'UA-normalized'!$A:$A, 0))-INDEX('UA-normalized'!$E:$E, MATCH($A101, 'UA-normalized'!$A:$A, 0))), 0), 0))+(IFERROR(IF(27*INDEX('KZ-normalized'!$D:$D, MATCH($A101, 'KZ-normalized'!$A:$A, 0))-INDEX('KZ-normalized'!$E:$E, MATCH($A101, 'KZ-normalized'!$A:$A, 0))&gt;0, -(27*INDEX('KZ-normalized'!$D:$D, MATCH($A101, 'KZ-normalized'!$A:$A, 0))-INDEX('KZ-normalized'!$E:$E, MATCH($A101, 'KZ-normalized'!$A:$A, 0))), 0), 0))+(IFERROR(IF(27*INDEX('UZ-normalized'!$D:$D, MATCH($A101, 'UZ-normalized'!$A:$A, 0))-INDEX('UZ-normalized'!$E:$E, MATCH($A101, 'UZ-normalized'!$A:$A, 0))&gt;0, -(27*INDEX('UZ-normalized'!$D:$D, MATCH($A101, 'UZ-normalized'!$A:$A, 0))-INDEX('UZ-normalized'!$E:$E, MATCH($A101, 'UZ-normalized'!$A:$A, 0))), 0), 0)))</f>
        <v>-1634.8</v>
      </c>
      <c r="AP101" s="6">
        <f>MIN(0, N101+(IFERROR(IF(28*INDEX('UA-normalized'!$D:$D, MATCH($A101, 'UA-normalized'!$A:$A, 0))-INDEX('UA-normalized'!$E:$E, MATCH($A101, 'UA-normalized'!$A:$A, 0))&gt;0, -(28*INDEX('UA-normalized'!$D:$D, MATCH($A101, 'UA-normalized'!$A:$A, 0))-INDEX('UA-normalized'!$E:$E, MATCH($A101, 'UA-normalized'!$A:$A, 0))), 0), 0))+(IFERROR(IF(28*INDEX('KZ-normalized'!$D:$D, MATCH($A101, 'KZ-normalized'!$A:$A, 0))-INDEX('KZ-normalized'!$E:$E, MATCH($A101, 'KZ-normalized'!$A:$A, 0))&gt;0, -(28*INDEX('KZ-normalized'!$D:$D, MATCH($A101, 'KZ-normalized'!$A:$A, 0))-INDEX('KZ-normalized'!$E:$E, MATCH($A101, 'KZ-normalized'!$A:$A, 0))), 0), 0))+(IFERROR(IF(28*INDEX('UZ-normalized'!$D:$D, MATCH($A101, 'UZ-normalized'!$A:$A, 0))-INDEX('UZ-normalized'!$E:$E, MATCH($A101, 'UZ-normalized'!$A:$A, 0))&gt;0, -(28*INDEX('UZ-normalized'!$D:$D, MATCH($A101, 'UZ-normalized'!$A:$A, 0))-INDEX('UZ-normalized'!$E:$E, MATCH($A101, 'UZ-normalized'!$A:$A, 0))), 0), 0)))</f>
        <v>-1702.2</v>
      </c>
      <c r="AQ101" s="6">
        <f>MIN(0, N101+(IFERROR(IF(29*INDEX('UA-normalized'!$D:$D, MATCH($A101, 'UA-normalized'!$A:$A, 0))-INDEX('UA-normalized'!$E:$E, MATCH($A101, 'UA-normalized'!$A:$A, 0))&gt;0, -(29*INDEX('UA-normalized'!$D:$D, MATCH($A101, 'UA-normalized'!$A:$A, 0))-INDEX('UA-normalized'!$E:$E, MATCH($A101, 'UA-normalized'!$A:$A, 0))), 0), 0))+(IFERROR(IF(29*INDEX('KZ-normalized'!$D:$D, MATCH($A101, 'KZ-normalized'!$A:$A, 0))-INDEX('KZ-normalized'!$E:$E, MATCH($A101, 'KZ-normalized'!$A:$A, 0))&gt;0, -(29*INDEX('KZ-normalized'!$D:$D, MATCH($A101, 'KZ-normalized'!$A:$A, 0))-INDEX('KZ-normalized'!$E:$E, MATCH($A101, 'KZ-normalized'!$A:$A, 0))), 0), 0))+(IFERROR(IF(29*INDEX('UZ-normalized'!$D:$D, MATCH($A101, 'UZ-normalized'!$A:$A, 0))-INDEX('UZ-normalized'!$E:$E, MATCH($A101, 'UZ-normalized'!$A:$A, 0))&gt;0, -(29*INDEX('UZ-normalized'!$D:$D, MATCH($A101, 'UZ-normalized'!$A:$A, 0))-INDEX('UZ-normalized'!$E:$E, MATCH($A101, 'UZ-normalized'!$A:$A, 0))), 0), 0)))</f>
        <v>-1769.6</v>
      </c>
      <c r="AR101" s="6">
        <f>MIN(0, N101+(IFERROR(IF(30*INDEX('UA-normalized'!$D:$D, MATCH($A101, 'UA-normalized'!$A:$A, 0))-INDEX('UA-normalized'!$E:$E, MATCH($A101, 'UA-normalized'!$A:$A, 0))&gt;0, -(30*INDEX('UA-normalized'!$D:$D, MATCH($A101, 'UA-normalized'!$A:$A, 0))-INDEX('UA-normalized'!$E:$E, MATCH($A101, 'UA-normalized'!$A:$A, 0))), 0), 0))+(IFERROR(IF(30*INDEX('KZ-normalized'!$D:$D, MATCH($A101, 'KZ-normalized'!$A:$A, 0))-INDEX('KZ-normalized'!$E:$E, MATCH($A101, 'KZ-normalized'!$A:$A, 0))&gt;0, -(30*INDEX('KZ-normalized'!$D:$D, MATCH($A101, 'KZ-normalized'!$A:$A, 0))-INDEX('KZ-normalized'!$E:$E, MATCH($A101, 'KZ-normalized'!$A:$A, 0))), 0), 0))+(IFERROR(IF(30*INDEX('UZ-normalized'!$D:$D, MATCH($A101, 'UZ-normalized'!$A:$A, 0))-INDEX('UZ-normalized'!$E:$E, MATCH($A101, 'UZ-normalized'!$A:$A, 0))&gt;0, -(30*INDEX('UZ-normalized'!$D:$D, MATCH($A101, 'UZ-normalized'!$A:$A, 0))-INDEX('UZ-normalized'!$E:$E, MATCH($A101, 'UZ-normalized'!$A:$A, 0))), 0), 0)))</f>
        <v>-1837</v>
      </c>
    </row>
    <row r="102" spans="1:44" x14ac:dyDescent="0.25">
      <c r="A102" s="8" t="s">
        <v>255</v>
      </c>
      <c r="B102" s="8" t="s">
        <v>180</v>
      </c>
      <c r="C102" s="8" t="s">
        <v>256</v>
      </c>
      <c r="D102" s="8" t="s">
        <v>257</v>
      </c>
      <c r="G102">
        <v>-200</v>
      </c>
      <c r="N102">
        <f t="shared" si="1"/>
        <v>-200</v>
      </c>
      <c r="O102" s="6">
        <f>MIN(0, N102+(IFERROR(IF(1*INDEX('UA-normalized'!$D:$D, MATCH($A102, 'UA-normalized'!$A:$A, 0))-INDEX('UA-normalized'!$E:$E, MATCH($A102, 'UA-normalized'!$A:$A, 0))&gt;0, -(1*INDEX('UA-normalized'!$D:$D, MATCH($A102, 'UA-normalized'!$A:$A, 0))-INDEX('UA-normalized'!$E:$E, MATCH($A102, 'UA-normalized'!$A:$A, 0))), 0), 0))+(IFERROR(IF(1*INDEX('KZ-normalized'!$D:$D, MATCH($A102, 'KZ-normalized'!$A:$A, 0))-INDEX('KZ-normalized'!$E:$E, MATCH($A102, 'KZ-normalized'!$A:$A, 0))&gt;0, -(1*INDEX('KZ-normalized'!$D:$D, MATCH($A102, 'KZ-normalized'!$A:$A, 0))-INDEX('KZ-normalized'!$E:$E, MATCH($A102, 'KZ-normalized'!$A:$A, 0))), 0), 0))+(IFERROR(IF(1*INDEX('UZ-normalized'!$D:$D, MATCH($A102, 'UZ-normalized'!$A:$A, 0))-INDEX('UZ-normalized'!$E:$E, MATCH($A102, 'UZ-normalized'!$A:$A, 0))&gt;0, -(1*INDEX('UZ-normalized'!$D:$D, MATCH($A102, 'UZ-normalized'!$A:$A, 0))-INDEX('UZ-normalized'!$E:$E, MATCH($A102, 'UZ-normalized'!$A:$A, 0))), 0), 0)))</f>
        <v>-200</v>
      </c>
      <c r="P102" s="6">
        <f>MIN(0, N102+(IFERROR(IF(2*INDEX('UA-normalized'!$D:$D, MATCH($A102, 'UA-normalized'!$A:$A, 0))-INDEX('UA-normalized'!$E:$E, MATCH($A102, 'UA-normalized'!$A:$A, 0))&gt;0, -(2*INDEX('UA-normalized'!$D:$D, MATCH($A102, 'UA-normalized'!$A:$A, 0))-INDEX('UA-normalized'!$E:$E, MATCH($A102, 'UA-normalized'!$A:$A, 0))), 0), 0))+(IFERROR(IF(2*INDEX('KZ-normalized'!$D:$D, MATCH($A102, 'KZ-normalized'!$A:$A, 0))-INDEX('KZ-normalized'!$E:$E, MATCH($A102, 'KZ-normalized'!$A:$A, 0))&gt;0, -(2*INDEX('KZ-normalized'!$D:$D, MATCH($A102, 'KZ-normalized'!$A:$A, 0))-INDEX('KZ-normalized'!$E:$E, MATCH($A102, 'KZ-normalized'!$A:$A, 0))), 0), 0))+(IFERROR(IF(2*INDEX('UZ-normalized'!$D:$D, MATCH($A102, 'UZ-normalized'!$A:$A, 0))-INDEX('UZ-normalized'!$E:$E, MATCH($A102, 'UZ-normalized'!$A:$A, 0))&gt;0, -(2*INDEX('UZ-normalized'!$D:$D, MATCH($A102, 'UZ-normalized'!$A:$A, 0))-INDEX('UZ-normalized'!$E:$E, MATCH($A102, 'UZ-normalized'!$A:$A, 0))), 0), 0)))</f>
        <v>-200</v>
      </c>
      <c r="Q102" s="6">
        <f>MIN(0, N102+(IFERROR(IF(3*INDEX('UA-normalized'!$D:$D, MATCH($A102, 'UA-normalized'!$A:$A, 0))-INDEX('UA-normalized'!$E:$E, MATCH($A102, 'UA-normalized'!$A:$A, 0))&gt;0, -(3*INDEX('UA-normalized'!$D:$D, MATCH($A102, 'UA-normalized'!$A:$A, 0))-INDEX('UA-normalized'!$E:$E, MATCH($A102, 'UA-normalized'!$A:$A, 0))), 0), 0))+(IFERROR(IF(3*INDEX('KZ-normalized'!$D:$D, MATCH($A102, 'KZ-normalized'!$A:$A, 0))-INDEX('KZ-normalized'!$E:$E, MATCH($A102, 'KZ-normalized'!$A:$A, 0))&gt;0, -(3*INDEX('KZ-normalized'!$D:$D, MATCH($A102, 'KZ-normalized'!$A:$A, 0))-INDEX('KZ-normalized'!$E:$E, MATCH($A102, 'KZ-normalized'!$A:$A, 0))), 0), 0))+(IFERROR(IF(3*INDEX('UZ-normalized'!$D:$D, MATCH($A102, 'UZ-normalized'!$A:$A, 0))-INDEX('UZ-normalized'!$E:$E, MATCH($A102, 'UZ-normalized'!$A:$A, 0))&gt;0, -(3*INDEX('UZ-normalized'!$D:$D, MATCH($A102, 'UZ-normalized'!$A:$A, 0))-INDEX('UZ-normalized'!$E:$E, MATCH($A102, 'UZ-normalized'!$A:$A, 0))), 0), 0)))</f>
        <v>-200</v>
      </c>
      <c r="R102" s="6">
        <f>MIN(0, N102+(IFERROR(IF(4*INDEX('UA-normalized'!$D:$D, MATCH($A102, 'UA-normalized'!$A:$A, 0))-INDEX('UA-normalized'!$E:$E, MATCH($A102, 'UA-normalized'!$A:$A, 0))&gt;0, -(4*INDEX('UA-normalized'!$D:$D, MATCH($A102, 'UA-normalized'!$A:$A, 0))-INDEX('UA-normalized'!$E:$E, MATCH($A102, 'UA-normalized'!$A:$A, 0))), 0), 0))+(IFERROR(IF(4*INDEX('KZ-normalized'!$D:$D, MATCH($A102, 'KZ-normalized'!$A:$A, 0))-INDEX('KZ-normalized'!$E:$E, MATCH($A102, 'KZ-normalized'!$A:$A, 0))&gt;0, -(4*INDEX('KZ-normalized'!$D:$D, MATCH($A102, 'KZ-normalized'!$A:$A, 0))-INDEX('KZ-normalized'!$E:$E, MATCH($A102, 'KZ-normalized'!$A:$A, 0))), 0), 0))+(IFERROR(IF(4*INDEX('UZ-normalized'!$D:$D, MATCH($A102, 'UZ-normalized'!$A:$A, 0))-INDEX('UZ-normalized'!$E:$E, MATCH($A102, 'UZ-normalized'!$A:$A, 0))&gt;0, -(4*INDEX('UZ-normalized'!$D:$D, MATCH($A102, 'UZ-normalized'!$A:$A, 0))-INDEX('UZ-normalized'!$E:$E, MATCH($A102, 'UZ-normalized'!$A:$A, 0))), 0), 0)))</f>
        <v>-200</v>
      </c>
      <c r="S102" s="6">
        <f>MIN(0, N102+(IFERROR(IF(5*INDEX('UA-normalized'!$D:$D, MATCH($A102, 'UA-normalized'!$A:$A, 0))-INDEX('UA-normalized'!$E:$E, MATCH($A102, 'UA-normalized'!$A:$A, 0))&gt;0, -(5*INDEX('UA-normalized'!$D:$D, MATCH($A102, 'UA-normalized'!$A:$A, 0))-INDEX('UA-normalized'!$E:$E, MATCH($A102, 'UA-normalized'!$A:$A, 0))), 0), 0))+(IFERROR(IF(5*INDEX('KZ-normalized'!$D:$D, MATCH($A102, 'KZ-normalized'!$A:$A, 0))-INDEX('KZ-normalized'!$E:$E, MATCH($A102, 'KZ-normalized'!$A:$A, 0))&gt;0, -(5*INDEX('KZ-normalized'!$D:$D, MATCH($A102, 'KZ-normalized'!$A:$A, 0))-INDEX('KZ-normalized'!$E:$E, MATCH($A102, 'KZ-normalized'!$A:$A, 0))), 0), 0))+(IFERROR(IF(5*INDEX('UZ-normalized'!$D:$D, MATCH($A102, 'UZ-normalized'!$A:$A, 0))-INDEX('UZ-normalized'!$E:$E, MATCH($A102, 'UZ-normalized'!$A:$A, 0))&gt;0, -(5*INDEX('UZ-normalized'!$D:$D, MATCH($A102, 'UZ-normalized'!$A:$A, 0))-INDEX('UZ-normalized'!$E:$E, MATCH($A102, 'UZ-normalized'!$A:$A, 0))), 0), 0)))</f>
        <v>-202</v>
      </c>
      <c r="T102" s="6">
        <f>MIN(0, N102+(IFERROR(IF(6*INDEX('UA-normalized'!$D:$D, MATCH($A102, 'UA-normalized'!$A:$A, 0))-INDEX('UA-normalized'!$E:$E, MATCH($A102, 'UA-normalized'!$A:$A, 0))&gt;0, -(6*INDEX('UA-normalized'!$D:$D, MATCH($A102, 'UA-normalized'!$A:$A, 0))-INDEX('UA-normalized'!$E:$E, MATCH($A102, 'UA-normalized'!$A:$A, 0))), 0), 0))+(IFERROR(IF(6*INDEX('KZ-normalized'!$D:$D, MATCH($A102, 'KZ-normalized'!$A:$A, 0))-INDEX('KZ-normalized'!$E:$E, MATCH($A102, 'KZ-normalized'!$A:$A, 0))&gt;0, -(6*INDEX('KZ-normalized'!$D:$D, MATCH($A102, 'KZ-normalized'!$A:$A, 0))-INDEX('KZ-normalized'!$E:$E, MATCH($A102, 'KZ-normalized'!$A:$A, 0))), 0), 0))+(IFERROR(IF(6*INDEX('UZ-normalized'!$D:$D, MATCH($A102, 'UZ-normalized'!$A:$A, 0))-INDEX('UZ-normalized'!$E:$E, MATCH($A102, 'UZ-normalized'!$A:$A, 0))&gt;0, -(6*INDEX('UZ-normalized'!$D:$D, MATCH($A102, 'UZ-normalized'!$A:$A, 0))-INDEX('UZ-normalized'!$E:$E, MATCH($A102, 'UZ-normalized'!$A:$A, 0))), 0), 0)))</f>
        <v>-260</v>
      </c>
      <c r="U102" s="6">
        <f>MIN(0, N102+(IFERROR(IF(7*INDEX('UA-normalized'!$D:$D, MATCH($A102, 'UA-normalized'!$A:$A, 0))-INDEX('UA-normalized'!$E:$E, MATCH($A102, 'UA-normalized'!$A:$A, 0))&gt;0, -(7*INDEX('UA-normalized'!$D:$D, MATCH($A102, 'UA-normalized'!$A:$A, 0))-INDEX('UA-normalized'!$E:$E, MATCH($A102, 'UA-normalized'!$A:$A, 0))), 0), 0))+(IFERROR(IF(7*INDEX('KZ-normalized'!$D:$D, MATCH($A102, 'KZ-normalized'!$A:$A, 0))-INDEX('KZ-normalized'!$E:$E, MATCH($A102, 'KZ-normalized'!$A:$A, 0))&gt;0, -(7*INDEX('KZ-normalized'!$D:$D, MATCH($A102, 'KZ-normalized'!$A:$A, 0))-INDEX('KZ-normalized'!$E:$E, MATCH($A102, 'KZ-normalized'!$A:$A, 0))), 0), 0))+(IFERROR(IF(7*INDEX('UZ-normalized'!$D:$D, MATCH($A102, 'UZ-normalized'!$A:$A, 0))-INDEX('UZ-normalized'!$E:$E, MATCH($A102, 'UZ-normalized'!$A:$A, 0))&gt;0, -(7*INDEX('UZ-normalized'!$D:$D, MATCH($A102, 'UZ-normalized'!$A:$A, 0))-INDEX('UZ-normalized'!$E:$E, MATCH($A102, 'UZ-normalized'!$A:$A, 0))), 0), 0)))</f>
        <v>-325</v>
      </c>
      <c r="V102" s="6">
        <f>MIN(0, N102+(IFERROR(IF(8*INDEX('UA-normalized'!$D:$D, MATCH($A102, 'UA-normalized'!$A:$A, 0))-INDEX('UA-normalized'!$E:$E, MATCH($A102, 'UA-normalized'!$A:$A, 0))&gt;0, -(8*INDEX('UA-normalized'!$D:$D, MATCH($A102, 'UA-normalized'!$A:$A, 0))-INDEX('UA-normalized'!$E:$E, MATCH($A102, 'UA-normalized'!$A:$A, 0))), 0), 0))+(IFERROR(IF(8*INDEX('KZ-normalized'!$D:$D, MATCH($A102, 'KZ-normalized'!$A:$A, 0))-INDEX('KZ-normalized'!$E:$E, MATCH($A102, 'KZ-normalized'!$A:$A, 0))&gt;0, -(8*INDEX('KZ-normalized'!$D:$D, MATCH($A102, 'KZ-normalized'!$A:$A, 0))-INDEX('KZ-normalized'!$E:$E, MATCH($A102, 'KZ-normalized'!$A:$A, 0))), 0), 0))+(IFERROR(IF(8*INDEX('UZ-normalized'!$D:$D, MATCH($A102, 'UZ-normalized'!$A:$A, 0))-INDEX('UZ-normalized'!$E:$E, MATCH($A102, 'UZ-normalized'!$A:$A, 0))&gt;0, -(8*INDEX('UZ-normalized'!$D:$D, MATCH($A102, 'UZ-normalized'!$A:$A, 0))-INDEX('UZ-normalized'!$E:$E, MATCH($A102, 'UZ-normalized'!$A:$A, 0))), 0), 0)))</f>
        <v>-391</v>
      </c>
      <c r="W102" s="6">
        <f>MIN(0, N102+(IFERROR(IF(9*INDEX('UA-normalized'!$D:$D, MATCH($A102, 'UA-normalized'!$A:$A, 0))-INDEX('UA-normalized'!$E:$E, MATCH($A102, 'UA-normalized'!$A:$A, 0))&gt;0, -(9*INDEX('UA-normalized'!$D:$D, MATCH($A102, 'UA-normalized'!$A:$A, 0))-INDEX('UA-normalized'!$E:$E, MATCH($A102, 'UA-normalized'!$A:$A, 0))), 0), 0))+(IFERROR(IF(9*INDEX('KZ-normalized'!$D:$D, MATCH($A102, 'KZ-normalized'!$A:$A, 0))-INDEX('KZ-normalized'!$E:$E, MATCH($A102, 'KZ-normalized'!$A:$A, 0))&gt;0, -(9*INDEX('KZ-normalized'!$D:$D, MATCH($A102, 'KZ-normalized'!$A:$A, 0))-INDEX('KZ-normalized'!$E:$E, MATCH($A102, 'KZ-normalized'!$A:$A, 0))), 0), 0))+(IFERROR(IF(9*INDEX('UZ-normalized'!$D:$D, MATCH($A102, 'UZ-normalized'!$A:$A, 0))-INDEX('UZ-normalized'!$E:$E, MATCH($A102, 'UZ-normalized'!$A:$A, 0))&gt;0, -(9*INDEX('UZ-normalized'!$D:$D, MATCH($A102, 'UZ-normalized'!$A:$A, 0))-INDEX('UZ-normalized'!$E:$E, MATCH($A102, 'UZ-normalized'!$A:$A, 0))), 0), 0)))</f>
        <v>-457</v>
      </c>
      <c r="X102" s="6">
        <f>MIN(0, N102+(IFERROR(IF(10*INDEX('UA-normalized'!$D:$D, MATCH($A102, 'UA-normalized'!$A:$A, 0))-INDEX('UA-normalized'!$E:$E, MATCH($A102, 'UA-normalized'!$A:$A, 0))&gt;0, -(10*INDEX('UA-normalized'!$D:$D, MATCH($A102, 'UA-normalized'!$A:$A, 0))-INDEX('UA-normalized'!$E:$E, MATCH($A102, 'UA-normalized'!$A:$A, 0))), 0), 0))+(IFERROR(IF(10*INDEX('KZ-normalized'!$D:$D, MATCH($A102, 'KZ-normalized'!$A:$A, 0))-INDEX('KZ-normalized'!$E:$E, MATCH($A102, 'KZ-normalized'!$A:$A, 0))&gt;0, -(10*INDEX('KZ-normalized'!$D:$D, MATCH($A102, 'KZ-normalized'!$A:$A, 0))-INDEX('KZ-normalized'!$E:$E, MATCH($A102, 'KZ-normalized'!$A:$A, 0))), 0), 0))+(IFERROR(IF(10*INDEX('UZ-normalized'!$D:$D, MATCH($A102, 'UZ-normalized'!$A:$A, 0))-INDEX('UZ-normalized'!$E:$E, MATCH($A102, 'UZ-normalized'!$A:$A, 0))&gt;0, -(10*INDEX('UZ-normalized'!$D:$D, MATCH($A102, 'UZ-normalized'!$A:$A, 0))-INDEX('UZ-normalized'!$E:$E, MATCH($A102, 'UZ-normalized'!$A:$A, 0))), 0), 0)))</f>
        <v>-524</v>
      </c>
      <c r="Y102" s="6">
        <f>MIN(0, N102+(IFERROR(IF(11*INDEX('UA-normalized'!$D:$D, MATCH($A102, 'UA-normalized'!$A:$A, 0))-INDEX('UA-normalized'!$E:$E, MATCH($A102, 'UA-normalized'!$A:$A, 0))&gt;0, -(11*INDEX('UA-normalized'!$D:$D, MATCH($A102, 'UA-normalized'!$A:$A, 0))-INDEX('UA-normalized'!$E:$E, MATCH($A102, 'UA-normalized'!$A:$A, 0))), 0), 0))+(IFERROR(IF(11*INDEX('KZ-normalized'!$D:$D, MATCH($A102, 'KZ-normalized'!$A:$A, 0))-INDEX('KZ-normalized'!$E:$E, MATCH($A102, 'KZ-normalized'!$A:$A, 0))&gt;0, -(11*INDEX('KZ-normalized'!$D:$D, MATCH($A102, 'KZ-normalized'!$A:$A, 0))-INDEX('KZ-normalized'!$E:$E, MATCH($A102, 'KZ-normalized'!$A:$A, 0))), 0), 0))+(IFERROR(IF(11*INDEX('UZ-normalized'!$D:$D, MATCH($A102, 'UZ-normalized'!$A:$A, 0))-INDEX('UZ-normalized'!$E:$E, MATCH($A102, 'UZ-normalized'!$A:$A, 0))&gt;0, -(11*INDEX('UZ-normalized'!$D:$D, MATCH($A102, 'UZ-normalized'!$A:$A, 0))-INDEX('UZ-normalized'!$E:$E, MATCH($A102, 'UZ-normalized'!$A:$A, 0))), 0), 0)))</f>
        <v>-592.6</v>
      </c>
      <c r="Z102" s="6">
        <f>MIN(0, N102+(IFERROR(IF(12*INDEX('UA-normalized'!$D:$D, MATCH($A102, 'UA-normalized'!$A:$A, 0))-INDEX('UA-normalized'!$E:$E, MATCH($A102, 'UA-normalized'!$A:$A, 0))&gt;0, -(12*INDEX('UA-normalized'!$D:$D, MATCH($A102, 'UA-normalized'!$A:$A, 0))-INDEX('UA-normalized'!$E:$E, MATCH($A102, 'UA-normalized'!$A:$A, 0))), 0), 0))+(IFERROR(IF(12*INDEX('KZ-normalized'!$D:$D, MATCH($A102, 'KZ-normalized'!$A:$A, 0))-INDEX('KZ-normalized'!$E:$E, MATCH($A102, 'KZ-normalized'!$A:$A, 0))&gt;0, -(12*INDEX('KZ-normalized'!$D:$D, MATCH($A102, 'KZ-normalized'!$A:$A, 0))-INDEX('KZ-normalized'!$E:$E, MATCH($A102, 'KZ-normalized'!$A:$A, 0))), 0), 0))+(IFERROR(IF(12*INDEX('UZ-normalized'!$D:$D, MATCH($A102, 'UZ-normalized'!$A:$A, 0))-INDEX('UZ-normalized'!$E:$E, MATCH($A102, 'UZ-normalized'!$A:$A, 0))&gt;0, -(12*INDEX('UZ-normalized'!$D:$D, MATCH($A102, 'UZ-normalized'!$A:$A, 0))-INDEX('UZ-normalized'!$E:$E, MATCH($A102, 'UZ-normalized'!$A:$A, 0))), 0), 0)))</f>
        <v>-661.2</v>
      </c>
      <c r="AA102" s="6">
        <f>MIN(0, N102+(IFERROR(IF(13*INDEX('UA-normalized'!$D:$D, MATCH($A102, 'UA-normalized'!$A:$A, 0))-INDEX('UA-normalized'!$E:$E, MATCH($A102, 'UA-normalized'!$A:$A, 0))&gt;0, -(13*INDEX('UA-normalized'!$D:$D, MATCH($A102, 'UA-normalized'!$A:$A, 0))-INDEX('UA-normalized'!$E:$E, MATCH($A102, 'UA-normalized'!$A:$A, 0))), 0), 0))+(IFERROR(IF(13*INDEX('KZ-normalized'!$D:$D, MATCH($A102, 'KZ-normalized'!$A:$A, 0))-INDEX('KZ-normalized'!$E:$E, MATCH($A102, 'KZ-normalized'!$A:$A, 0))&gt;0, -(13*INDEX('KZ-normalized'!$D:$D, MATCH($A102, 'KZ-normalized'!$A:$A, 0))-INDEX('KZ-normalized'!$E:$E, MATCH($A102, 'KZ-normalized'!$A:$A, 0))), 0), 0))+(IFERROR(IF(13*INDEX('UZ-normalized'!$D:$D, MATCH($A102, 'UZ-normalized'!$A:$A, 0))-INDEX('UZ-normalized'!$E:$E, MATCH($A102, 'UZ-normalized'!$A:$A, 0))&gt;0, -(13*INDEX('UZ-normalized'!$D:$D, MATCH($A102, 'UZ-normalized'!$A:$A, 0))-INDEX('UZ-normalized'!$E:$E, MATCH($A102, 'UZ-normalized'!$A:$A, 0))), 0), 0)))</f>
        <v>-729.8</v>
      </c>
      <c r="AB102" s="6">
        <f>MIN(0, N102+(IFERROR(IF(14*INDEX('UA-normalized'!$D:$D, MATCH($A102, 'UA-normalized'!$A:$A, 0))-INDEX('UA-normalized'!$E:$E, MATCH($A102, 'UA-normalized'!$A:$A, 0))&gt;0, -(14*INDEX('UA-normalized'!$D:$D, MATCH($A102, 'UA-normalized'!$A:$A, 0))-INDEX('UA-normalized'!$E:$E, MATCH($A102, 'UA-normalized'!$A:$A, 0))), 0), 0))+(IFERROR(IF(14*INDEX('KZ-normalized'!$D:$D, MATCH($A102, 'KZ-normalized'!$A:$A, 0))-INDEX('KZ-normalized'!$E:$E, MATCH($A102, 'KZ-normalized'!$A:$A, 0))&gt;0, -(14*INDEX('KZ-normalized'!$D:$D, MATCH($A102, 'KZ-normalized'!$A:$A, 0))-INDEX('KZ-normalized'!$E:$E, MATCH($A102, 'KZ-normalized'!$A:$A, 0))), 0), 0))+(IFERROR(IF(14*INDEX('UZ-normalized'!$D:$D, MATCH($A102, 'UZ-normalized'!$A:$A, 0))-INDEX('UZ-normalized'!$E:$E, MATCH($A102, 'UZ-normalized'!$A:$A, 0))&gt;0, -(14*INDEX('UZ-normalized'!$D:$D, MATCH($A102, 'UZ-normalized'!$A:$A, 0))-INDEX('UZ-normalized'!$E:$E, MATCH($A102, 'UZ-normalized'!$A:$A, 0))), 0), 0)))</f>
        <v>-798.4</v>
      </c>
      <c r="AC102" s="6">
        <f>MIN(0, N102+(IFERROR(IF(15*INDEX('UA-normalized'!$D:$D, MATCH($A102, 'UA-normalized'!$A:$A, 0))-INDEX('UA-normalized'!$E:$E, MATCH($A102, 'UA-normalized'!$A:$A, 0))&gt;0, -(15*INDEX('UA-normalized'!$D:$D, MATCH($A102, 'UA-normalized'!$A:$A, 0))-INDEX('UA-normalized'!$E:$E, MATCH($A102, 'UA-normalized'!$A:$A, 0))), 0), 0))+(IFERROR(IF(15*INDEX('KZ-normalized'!$D:$D, MATCH($A102, 'KZ-normalized'!$A:$A, 0))-INDEX('KZ-normalized'!$E:$E, MATCH($A102, 'KZ-normalized'!$A:$A, 0))&gt;0, -(15*INDEX('KZ-normalized'!$D:$D, MATCH($A102, 'KZ-normalized'!$A:$A, 0))-INDEX('KZ-normalized'!$E:$E, MATCH($A102, 'KZ-normalized'!$A:$A, 0))), 0), 0))+(IFERROR(IF(15*INDEX('UZ-normalized'!$D:$D, MATCH($A102, 'UZ-normalized'!$A:$A, 0))-INDEX('UZ-normalized'!$E:$E, MATCH($A102, 'UZ-normalized'!$A:$A, 0))&gt;0, -(15*INDEX('UZ-normalized'!$D:$D, MATCH($A102, 'UZ-normalized'!$A:$A, 0))-INDEX('UZ-normalized'!$E:$E, MATCH($A102, 'UZ-normalized'!$A:$A, 0))), 0), 0)))</f>
        <v>-867</v>
      </c>
      <c r="AD102" s="6">
        <f>MIN(0, N102+(IFERROR(IF(16*INDEX('UA-normalized'!$D:$D, MATCH($A102, 'UA-normalized'!$A:$A, 0))-INDEX('UA-normalized'!$E:$E, MATCH($A102, 'UA-normalized'!$A:$A, 0))&gt;0, -(16*INDEX('UA-normalized'!$D:$D, MATCH($A102, 'UA-normalized'!$A:$A, 0))-INDEX('UA-normalized'!$E:$E, MATCH($A102, 'UA-normalized'!$A:$A, 0))), 0), 0))+(IFERROR(IF(16*INDEX('KZ-normalized'!$D:$D, MATCH($A102, 'KZ-normalized'!$A:$A, 0))-INDEX('KZ-normalized'!$E:$E, MATCH($A102, 'KZ-normalized'!$A:$A, 0))&gt;0, -(16*INDEX('KZ-normalized'!$D:$D, MATCH($A102, 'KZ-normalized'!$A:$A, 0))-INDEX('KZ-normalized'!$E:$E, MATCH($A102, 'KZ-normalized'!$A:$A, 0))), 0), 0))+(IFERROR(IF(16*INDEX('UZ-normalized'!$D:$D, MATCH($A102, 'UZ-normalized'!$A:$A, 0))-INDEX('UZ-normalized'!$E:$E, MATCH($A102, 'UZ-normalized'!$A:$A, 0))&gt;0, -(16*INDEX('UZ-normalized'!$D:$D, MATCH($A102, 'UZ-normalized'!$A:$A, 0))-INDEX('UZ-normalized'!$E:$E, MATCH($A102, 'UZ-normalized'!$A:$A, 0))), 0), 0)))</f>
        <v>-935.6</v>
      </c>
      <c r="AE102" s="6">
        <f>MIN(0, N102+(IFERROR(IF(17*INDEX('UA-normalized'!$D:$D, MATCH($A102, 'UA-normalized'!$A:$A, 0))-INDEX('UA-normalized'!$E:$E, MATCH($A102, 'UA-normalized'!$A:$A, 0))&gt;0, -(17*INDEX('UA-normalized'!$D:$D, MATCH($A102, 'UA-normalized'!$A:$A, 0))-INDEX('UA-normalized'!$E:$E, MATCH($A102, 'UA-normalized'!$A:$A, 0))), 0), 0))+(IFERROR(IF(17*INDEX('KZ-normalized'!$D:$D, MATCH($A102, 'KZ-normalized'!$A:$A, 0))-INDEX('KZ-normalized'!$E:$E, MATCH($A102, 'KZ-normalized'!$A:$A, 0))&gt;0, -(17*INDEX('KZ-normalized'!$D:$D, MATCH($A102, 'KZ-normalized'!$A:$A, 0))-INDEX('KZ-normalized'!$E:$E, MATCH($A102, 'KZ-normalized'!$A:$A, 0))), 0), 0))+(IFERROR(IF(17*INDEX('UZ-normalized'!$D:$D, MATCH($A102, 'UZ-normalized'!$A:$A, 0))-INDEX('UZ-normalized'!$E:$E, MATCH($A102, 'UZ-normalized'!$A:$A, 0))&gt;0, -(17*INDEX('UZ-normalized'!$D:$D, MATCH($A102, 'UZ-normalized'!$A:$A, 0))-INDEX('UZ-normalized'!$E:$E, MATCH($A102, 'UZ-normalized'!$A:$A, 0))), 0), 0)))</f>
        <v>-1004.2</v>
      </c>
      <c r="AF102" s="6">
        <f>MIN(0, N102+(IFERROR(IF(18*INDEX('UA-normalized'!$D:$D, MATCH($A102, 'UA-normalized'!$A:$A, 0))-INDEX('UA-normalized'!$E:$E, MATCH($A102, 'UA-normalized'!$A:$A, 0))&gt;0, -(18*INDEX('UA-normalized'!$D:$D, MATCH($A102, 'UA-normalized'!$A:$A, 0))-INDEX('UA-normalized'!$E:$E, MATCH($A102, 'UA-normalized'!$A:$A, 0))), 0), 0))+(IFERROR(IF(18*INDEX('KZ-normalized'!$D:$D, MATCH($A102, 'KZ-normalized'!$A:$A, 0))-INDEX('KZ-normalized'!$E:$E, MATCH($A102, 'KZ-normalized'!$A:$A, 0))&gt;0, -(18*INDEX('KZ-normalized'!$D:$D, MATCH($A102, 'KZ-normalized'!$A:$A, 0))-INDEX('KZ-normalized'!$E:$E, MATCH($A102, 'KZ-normalized'!$A:$A, 0))), 0), 0))+(IFERROR(IF(18*INDEX('UZ-normalized'!$D:$D, MATCH($A102, 'UZ-normalized'!$A:$A, 0))-INDEX('UZ-normalized'!$E:$E, MATCH($A102, 'UZ-normalized'!$A:$A, 0))&gt;0, -(18*INDEX('UZ-normalized'!$D:$D, MATCH($A102, 'UZ-normalized'!$A:$A, 0))-INDEX('UZ-normalized'!$E:$E, MATCH($A102, 'UZ-normalized'!$A:$A, 0))), 0), 0)))</f>
        <v>-1072.8</v>
      </c>
      <c r="AG102" s="6">
        <f>MIN(0, N102+(IFERROR(IF(19*INDEX('UA-normalized'!$D:$D, MATCH($A102, 'UA-normalized'!$A:$A, 0))-INDEX('UA-normalized'!$E:$E, MATCH($A102, 'UA-normalized'!$A:$A, 0))&gt;0, -(19*INDEX('UA-normalized'!$D:$D, MATCH($A102, 'UA-normalized'!$A:$A, 0))-INDEX('UA-normalized'!$E:$E, MATCH($A102, 'UA-normalized'!$A:$A, 0))), 0), 0))+(IFERROR(IF(19*INDEX('KZ-normalized'!$D:$D, MATCH($A102, 'KZ-normalized'!$A:$A, 0))-INDEX('KZ-normalized'!$E:$E, MATCH($A102, 'KZ-normalized'!$A:$A, 0))&gt;0, -(19*INDEX('KZ-normalized'!$D:$D, MATCH($A102, 'KZ-normalized'!$A:$A, 0))-INDEX('KZ-normalized'!$E:$E, MATCH($A102, 'KZ-normalized'!$A:$A, 0))), 0), 0))+(IFERROR(IF(19*INDEX('UZ-normalized'!$D:$D, MATCH($A102, 'UZ-normalized'!$A:$A, 0))-INDEX('UZ-normalized'!$E:$E, MATCH($A102, 'UZ-normalized'!$A:$A, 0))&gt;0, -(19*INDEX('UZ-normalized'!$D:$D, MATCH($A102, 'UZ-normalized'!$A:$A, 0))-INDEX('UZ-normalized'!$E:$E, MATCH($A102, 'UZ-normalized'!$A:$A, 0))), 0), 0)))</f>
        <v>-1141.4000000000001</v>
      </c>
      <c r="AH102" s="6">
        <f>MIN(0, N102+(IFERROR(IF(20*INDEX('UA-normalized'!$D:$D, MATCH($A102, 'UA-normalized'!$A:$A, 0))-INDEX('UA-normalized'!$E:$E, MATCH($A102, 'UA-normalized'!$A:$A, 0))&gt;0, -(20*INDEX('UA-normalized'!$D:$D, MATCH($A102, 'UA-normalized'!$A:$A, 0))-INDEX('UA-normalized'!$E:$E, MATCH($A102, 'UA-normalized'!$A:$A, 0))), 0), 0))+(IFERROR(IF(20*INDEX('KZ-normalized'!$D:$D, MATCH($A102, 'KZ-normalized'!$A:$A, 0))-INDEX('KZ-normalized'!$E:$E, MATCH($A102, 'KZ-normalized'!$A:$A, 0))&gt;0, -(20*INDEX('KZ-normalized'!$D:$D, MATCH($A102, 'KZ-normalized'!$A:$A, 0))-INDEX('KZ-normalized'!$E:$E, MATCH($A102, 'KZ-normalized'!$A:$A, 0))), 0), 0))+(IFERROR(IF(20*INDEX('UZ-normalized'!$D:$D, MATCH($A102, 'UZ-normalized'!$A:$A, 0))-INDEX('UZ-normalized'!$E:$E, MATCH($A102, 'UZ-normalized'!$A:$A, 0))&gt;0, -(20*INDEX('UZ-normalized'!$D:$D, MATCH($A102, 'UZ-normalized'!$A:$A, 0))-INDEX('UZ-normalized'!$E:$E, MATCH($A102, 'UZ-normalized'!$A:$A, 0))), 0), 0)))</f>
        <v>-1210</v>
      </c>
      <c r="AI102" s="6">
        <f>MIN(0, N102+(IFERROR(IF(21*INDEX('UA-normalized'!$D:$D, MATCH($A102, 'UA-normalized'!$A:$A, 0))-INDEX('UA-normalized'!$E:$E, MATCH($A102, 'UA-normalized'!$A:$A, 0))&gt;0, -(21*INDEX('UA-normalized'!$D:$D, MATCH($A102, 'UA-normalized'!$A:$A, 0))-INDEX('UA-normalized'!$E:$E, MATCH($A102, 'UA-normalized'!$A:$A, 0))), 0), 0))+(IFERROR(IF(21*INDEX('KZ-normalized'!$D:$D, MATCH($A102, 'KZ-normalized'!$A:$A, 0))-INDEX('KZ-normalized'!$E:$E, MATCH($A102, 'KZ-normalized'!$A:$A, 0))&gt;0, -(21*INDEX('KZ-normalized'!$D:$D, MATCH($A102, 'KZ-normalized'!$A:$A, 0))-INDEX('KZ-normalized'!$E:$E, MATCH($A102, 'KZ-normalized'!$A:$A, 0))), 0), 0))+(IFERROR(IF(21*INDEX('UZ-normalized'!$D:$D, MATCH($A102, 'UZ-normalized'!$A:$A, 0))-INDEX('UZ-normalized'!$E:$E, MATCH($A102, 'UZ-normalized'!$A:$A, 0))&gt;0, -(21*INDEX('UZ-normalized'!$D:$D, MATCH($A102, 'UZ-normalized'!$A:$A, 0))-INDEX('UZ-normalized'!$E:$E, MATCH($A102, 'UZ-normalized'!$A:$A, 0))), 0), 0)))</f>
        <v>-1278.5999999999999</v>
      </c>
      <c r="AJ102" s="6">
        <f>MIN(0, N102+(IFERROR(IF(22*INDEX('UA-normalized'!$D:$D, MATCH($A102, 'UA-normalized'!$A:$A, 0))-INDEX('UA-normalized'!$E:$E, MATCH($A102, 'UA-normalized'!$A:$A, 0))&gt;0, -(22*INDEX('UA-normalized'!$D:$D, MATCH($A102, 'UA-normalized'!$A:$A, 0))-INDEX('UA-normalized'!$E:$E, MATCH($A102, 'UA-normalized'!$A:$A, 0))), 0), 0))+(IFERROR(IF(22*INDEX('KZ-normalized'!$D:$D, MATCH($A102, 'KZ-normalized'!$A:$A, 0))-INDEX('KZ-normalized'!$E:$E, MATCH($A102, 'KZ-normalized'!$A:$A, 0))&gt;0, -(22*INDEX('KZ-normalized'!$D:$D, MATCH($A102, 'KZ-normalized'!$A:$A, 0))-INDEX('KZ-normalized'!$E:$E, MATCH($A102, 'KZ-normalized'!$A:$A, 0))), 0), 0))+(IFERROR(IF(22*INDEX('UZ-normalized'!$D:$D, MATCH($A102, 'UZ-normalized'!$A:$A, 0))-INDEX('UZ-normalized'!$E:$E, MATCH($A102, 'UZ-normalized'!$A:$A, 0))&gt;0, -(22*INDEX('UZ-normalized'!$D:$D, MATCH($A102, 'UZ-normalized'!$A:$A, 0))-INDEX('UZ-normalized'!$E:$E, MATCH($A102, 'UZ-normalized'!$A:$A, 0))), 0), 0)))</f>
        <v>-1347.2</v>
      </c>
      <c r="AK102" s="6">
        <f>MIN(0, N102+(IFERROR(IF(23*INDEX('UA-normalized'!$D:$D, MATCH($A102, 'UA-normalized'!$A:$A, 0))-INDEX('UA-normalized'!$E:$E, MATCH($A102, 'UA-normalized'!$A:$A, 0))&gt;0, -(23*INDEX('UA-normalized'!$D:$D, MATCH($A102, 'UA-normalized'!$A:$A, 0))-INDEX('UA-normalized'!$E:$E, MATCH($A102, 'UA-normalized'!$A:$A, 0))), 0), 0))+(IFERROR(IF(23*INDEX('KZ-normalized'!$D:$D, MATCH($A102, 'KZ-normalized'!$A:$A, 0))-INDEX('KZ-normalized'!$E:$E, MATCH($A102, 'KZ-normalized'!$A:$A, 0))&gt;0, -(23*INDEX('KZ-normalized'!$D:$D, MATCH($A102, 'KZ-normalized'!$A:$A, 0))-INDEX('KZ-normalized'!$E:$E, MATCH($A102, 'KZ-normalized'!$A:$A, 0))), 0), 0))+(IFERROR(IF(23*INDEX('UZ-normalized'!$D:$D, MATCH($A102, 'UZ-normalized'!$A:$A, 0))-INDEX('UZ-normalized'!$E:$E, MATCH($A102, 'UZ-normalized'!$A:$A, 0))&gt;0, -(23*INDEX('UZ-normalized'!$D:$D, MATCH($A102, 'UZ-normalized'!$A:$A, 0))-INDEX('UZ-normalized'!$E:$E, MATCH($A102, 'UZ-normalized'!$A:$A, 0))), 0), 0)))</f>
        <v>-1415.8</v>
      </c>
      <c r="AL102" s="6">
        <f>MIN(0, N102+(IFERROR(IF(24*INDEX('UA-normalized'!$D:$D, MATCH($A102, 'UA-normalized'!$A:$A, 0))-INDEX('UA-normalized'!$E:$E, MATCH($A102, 'UA-normalized'!$A:$A, 0))&gt;0, -(24*INDEX('UA-normalized'!$D:$D, MATCH($A102, 'UA-normalized'!$A:$A, 0))-INDEX('UA-normalized'!$E:$E, MATCH($A102, 'UA-normalized'!$A:$A, 0))), 0), 0))+(IFERROR(IF(24*INDEX('KZ-normalized'!$D:$D, MATCH($A102, 'KZ-normalized'!$A:$A, 0))-INDEX('KZ-normalized'!$E:$E, MATCH($A102, 'KZ-normalized'!$A:$A, 0))&gt;0, -(24*INDEX('KZ-normalized'!$D:$D, MATCH($A102, 'KZ-normalized'!$A:$A, 0))-INDEX('KZ-normalized'!$E:$E, MATCH($A102, 'KZ-normalized'!$A:$A, 0))), 0), 0))+(IFERROR(IF(24*INDEX('UZ-normalized'!$D:$D, MATCH($A102, 'UZ-normalized'!$A:$A, 0))-INDEX('UZ-normalized'!$E:$E, MATCH($A102, 'UZ-normalized'!$A:$A, 0))&gt;0, -(24*INDEX('UZ-normalized'!$D:$D, MATCH($A102, 'UZ-normalized'!$A:$A, 0))-INDEX('UZ-normalized'!$E:$E, MATCH($A102, 'UZ-normalized'!$A:$A, 0))), 0), 0)))</f>
        <v>-1484.4</v>
      </c>
      <c r="AM102" s="6">
        <f>MIN(0, N102+(IFERROR(IF(25*INDEX('UA-normalized'!$D:$D, MATCH($A102, 'UA-normalized'!$A:$A, 0))-INDEX('UA-normalized'!$E:$E, MATCH($A102, 'UA-normalized'!$A:$A, 0))&gt;0, -(25*INDEX('UA-normalized'!$D:$D, MATCH($A102, 'UA-normalized'!$A:$A, 0))-INDEX('UA-normalized'!$E:$E, MATCH($A102, 'UA-normalized'!$A:$A, 0))), 0), 0))+(IFERROR(IF(25*INDEX('KZ-normalized'!$D:$D, MATCH($A102, 'KZ-normalized'!$A:$A, 0))-INDEX('KZ-normalized'!$E:$E, MATCH($A102, 'KZ-normalized'!$A:$A, 0))&gt;0, -(25*INDEX('KZ-normalized'!$D:$D, MATCH($A102, 'KZ-normalized'!$A:$A, 0))-INDEX('KZ-normalized'!$E:$E, MATCH($A102, 'KZ-normalized'!$A:$A, 0))), 0), 0))+(IFERROR(IF(25*INDEX('UZ-normalized'!$D:$D, MATCH($A102, 'UZ-normalized'!$A:$A, 0))-INDEX('UZ-normalized'!$E:$E, MATCH($A102, 'UZ-normalized'!$A:$A, 0))&gt;0, -(25*INDEX('UZ-normalized'!$D:$D, MATCH($A102, 'UZ-normalized'!$A:$A, 0))-INDEX('UZ-normalized'!$E:$E, MATCH($A102, 'UZ-normalized'!$A:$A, 0))), 0), 0)))</f>
        <v>-1553</v>
      </c>
      <c r="AN102" s="6">
        <f>MIN(0, N102+(IFERROR(IF(26*INDEX('UA-normalized'!$D:$D, MATCH($A102, 'UA-normalized'!$A:$A, 0))-INDEX('UA-normalized'!$E:$E, MATCH($A102, 'UA-normalized'!$A:$A, 0))&gt;0, -(26*INDEX('UA-normalized'!$D:$D, MATCH($A102, 'UA-normalized'!$A:$A, 0))-INDEX('UA-normalized'!$E:$E, MATCH($A102, 'UA-normalized'!$A:$A, 0))), 0), 0))+(IFERROR(IF(26*INDEX('KZ-normalized'!$D:$D, MATCH($A102, 'KZ-normalized'!$A:$A, 0))-INDEX('KZ-normalized'!$E:$E, MATCH($A102, 'KZ-normalized'!$A:$A, 0))&gt;0, -(26*INDEX('KZ-normalized'!$D:$D, MATCH($A102, 'KZ-normalized'!$A:$A, 0))-INDEX('KZ-normalized'!$E:$E, MATCH($A102, 'KZ-normalized'!$A:$A, 0))), 0), 0))+(IFERROR(IF(26*INDEX('UZ-normalized'!$D:$D, MATCH($A102, 'UZ-normalized'!$A:$A, 0))-INDEX('UZ-normalized'!$E:$E, MATCH($A102, 'UZ-normalized'!$A:$A, 0))&gt;0, -(26*INDEX('UZ-normalized'!$D:$D, MATCH($A102, 'UZ-normalized'!$A:$A, 0))-INDEX('UZ-normalized'!$E:$E, MATCH($A102, 'UZ-normalized'!$A:$A, 0))), 0), 0)))</f>
        <v>-1621.6</v>
      </c>
      <c r="AO102" s="6">
        <f>MIN(0, N102+(IFERROR(IF(27*INDEX('UA-normalized'!$D:$D, MATCH($A102, 'UA-normalized'!$A:$A, 0))-INDEX('UA-normalized'!$E:$E, MATCH($A102, 'UA-normalized'!$A:$A, 0))&gt;0, -(27*INDEX('UA-normalized'!$D:$D, MATCH($A102, 'UA-normalized'!$A:$A, 0))-INDEX('UA-normalized'!$E:$E, MATCH($A102, 'UA-normalized'!$A:$A, 0))), 0), 0))+(IFERROR(IF(27*INDEX('KZ-normalized'!$D:$D, MATCH($A102, 'KZ-normalized'!$A:$A, 0))-INDEX('KZ-normalized'!$E:$E, MATCH($A102, 'KZ-normalized'!$A:$A, 0))&gt;0, -(27*INDEX('KZ-normalized'!$D:$D, MATCH($A102, 'KZ-normalized'!$A:$A, 0))-INDEX('KZ-normalized'!$E:$E, MATCH($A102, 'KZ-normalized'!$A:$A, 0))), 0), 0))+(IFERROR(IF(27*INDEX('UZ-normalized'!$D:$D, MATCH($A102, 'UZ-normalized'!$A:$A, 0))-INDEX('UZ-normalized'!$E:$E, MATCH($A102, 'UZ-normalized'!$A:$A, 0))&gt;0, -(27*INDEX('UZ-normalized'!$D:$D, MATCH($A102, 'UZ-normalized'!$A:$A, 0))-INDEX('UZ-normalized'!$E:$E, MATCH($A102, 'UZ-normalized'!$A:$A, 0))), 0), 0)))</f>
        <v>-1690.2</v>
      </c>
      <c r="AP102" s="6">
        <f>MIN(0, N102+(IFERROR(IF(28*INDEX('UA-normalized'!$D:$D, MATCH($A102, 'UA-normalized'!$A:$A, 0))-INDEX('UA-normalized'!$E:$E, MATCH($A102, 'UA-normalized'!$A:$A, 0))&gt;0, -(28*INDEX('UA-normalized'!$D:$D, MATCH($A102, 'UA-normalized'!$A:$A, 0))-INDEX('UA-normalized'!$E:$E, MATCH($A102, 'UA-normalized'!$A:$A, 0))), 0), 0))+(IFERROR(IF(28*INDEX('KZ-normalized'!$D:$D, MATCH($A102, 'KZ-normalized'!$A:$A, 0))-INDEX('KZ-normalized'!$E:$E, MATCH($A102, 'KZ-normalized'!$A:$A, 0))&gt;0, -(28*INDEX('KZ-normalized'!$D:$D, MATCH($A102, 'KZ-normalized'!$A:$A, 0))-INDEX('KZ-normalized'!$E:$E, MATCH($A102, 'KZ-normalized'!$A:$A, 0))), 0), 0))+(IFERROR(IF(28*INDEX('UZ-normalized'!$D:$D, MATCH($A102, 'UZ-normalized'!$A:$A, 0))-INDEX('UZ-normalized'!$E:$E, MATCH($A102, 'UZ-normalized'!$A:$A, 0))&gt;0, -(28*INDEX('UZ-normalized'!$D:$D, MATCH($A102, 'UZ-normalized'!$A:$A, 0))-INDEX('UZ-normalized'!$E:$E, MATCH($A102, 'UZ-normalized'!$A:$A, 0))), 0), 0)))</f>
        <v>-1758.8</v>
      </c>
      <c r="AQ102" s="6">
        <f>MIN(0, N102+(IFERROR(IF(29*INDEX('UA-normalized'!$D:$D, MATCH($A102, 'UA-normalized'!$A:$A, 0))-INDEX('UA-normalized'!$E:$E, MATCH($A102, 'UA-normalized'!$A:$A, 0))&gt;0, -(29*INDEX('UA-normalized'!$D:$D, MATCH($A102, 'UA-normalized'!$A:$A, 0))-INDEX('UA-normalized'!$E:$E, MATCH($A102, 'UA-normalized'!$A:$A, 0))), 0), 0))+(IFERROR(IF(29*INDEX('KZ-normalized'!$D:$D, MATCH($A102, 'KZ-normalized'!$A:$A, 0))-INDEX('KZ-normalized'!$E:$E, MATCH($A102, 'KZ-normalized'!$A:$A, 0))&gt;0, -(29*INDEX('KZ-normalized'!$D:$D, MATCH($A102, 'KZ-normalized'!$A:$A, 0))-INDEX('KZ-normalized'!$E:$E, MATCH($A102, 'KZ-normalized'!$A:$A, 0))), 0), 0))+(IFERROR(IF(29*INDEX('UZ-normalized'!$D:$D, MATCH($A102, 'UZ-normalized'!$A:$A, 0))-INDEX('UZ-normalized'!$E:$E, MATCH($A102, 'UZ-normalized'!$A:$A, 0))&gt;0, -(29*INDEX('UZ-normalized'!$D:$D, MATCH($A102, 'UZ-normalized'!$A:$A, 0))-INDEX('UZ-normalized'!$E:$E, MATCH($A102, 'UZ-normalized'!$A:$A, 0))), 0), 0)))</f>
        <v>-1827.4</v>
      </c>
      <c r="AR102" s="6">
        <f>MIN(0, N102+(IFERROR(IF(30*INDEX('UA-normalized'!$D:$D, MATCH($A102, 'UA-normalized'!$A:$A, 0))-INDEX('UA-normalized'!$E:$E, MATCH($A102, 'UA-normalized'!$A:$A, 0))&gt;0, -(30*INDEX('UA-normalized'!$D:$D, MATCH($A102, 'UA-normalized'!$A:$A, 0))-INDEX('UA-normalized'!$E:$E, MATCH($A102, 'UA-normalized'!$A:$A, 0))), 0), 0))+(IFERROR(IF(30*INDEX('KZ-normalized'!$D:$D, MATCH($A102, 'KZ-normalized'!$A:$A, 0))-INDEX('KZ-normalized'!$E:$E, MATCH($A102, 'KZ-normalized'!$A:$A, 0))&gt;0, -(30*INDEX('KZ-normalized'!$D:$D, MATCH($A102, 'KZ-normalized'!$A:$A, 0))-INDEX('KZ-normalized'!$E:$E, MATCH($A102, 'KZ-normalized'!$A:$A, 0))), 0), 0))+(IFERROR(IF(30*INDEX('UZ-normalized'!$D:$D, MATCH($A102, 'UZ-normalized'!$A:$A, 0))-INDEX('UZ-normalized'!$E:$E, MATCH($A102, 'UZ-normalized'!$A:$A, 0))&gt;0, -(30*INDEX('UZ-normalized'!$D:$D, MATCH($A102, 'UZ-normalized'!$A:$A, 0))-INDEX('UZ-normalized'!$E:$E, MATCH($A102, 'UZ-normalized'!$A:$A, 0))), 0), 0)))</f>
        <v>-1896</v>
      </c>
    </row>
    <row r="103" spans="1:44" x14ac:dyDescent="0.25">
      <c r="A103" s="8" t="s">
        <v>258</v>
      </c>
      <c r="B103" s="8" t="s">
        <v>180</v>
      </c>
      <c r="C103" s="8" t="s">
        <v>256</v>
      </c>
      <c r="D103" s="8" t="s">
        <v>259</v>
      </c>
      <c r="N103">
        <f t="shared" si="1"/>
        <v>0</v>
      </c>
      <c r="O103" s="6">
        <f>MIN(0, N103+(IFERROR(IF(1*INDEX('UA-normalized'!$D:$D, MATCH($A103, 'UA-normalized'!$A:$A, 0))-INDEX('UA-normalized'!$E:$E, MATCH($A103, 'UA-normalized'!$A:$A, 0))&gt;0, -(1*INDEX('UA-normalized'!$D:$D, MATCH($A103, 'UA-normalized'!$A:$A, 0))-INDEX('UA-normalized'!$E:$E, MATCH($A103, 'UA-normalized'!$A:$A, 0))), 0), 0))+(IFERROR(IF(1*INDEX('KZ-normalized'!$D:$D, MATCH($A103, 'KZ-normalized'!$A:$A, 0))-INDEX('KZ-normalized'!$E:$E, MATCH($A103, 'KZ-normalized'!$A:$A, 0))&gt;0, -(1*INDEX('KZ-normalized'!$D:$D, MATCH($A103, 'KZ-normalized'!$A:$A, 0))-INDEX('KZ-normalized'!$E:$E, MATCH($A103, 'KZ-normalized'!$A:$A, 0))), 0), 0))+(IFERROR(IF(1*INDEX('UZ-normalized'!$D:$D, MATCH($A103, 'UZ-normalized'!$A:$A, 0))-INDEX('UZ-normalized'!$E:$E, MATCH($A103, 'UZ-normalized'!$A:$A, 0))&gt;0, -(1*INDEX('UZ-normalized'!$D:$D, MATCH($A103, 'UZ-normalized'!$A:$A, 0))-INDEX('UZ-normalized'!$E:$E, MATCH($A103, 'UZ-normalized'!$A:$A, 0))), 0), 0)))</f>
        <v>0</v>
      </c>
      <c r="P103" s="6">
        <f>MIN(0, N103+(IFERROR(IF(2*INDEX('UA-normalized'!$D:$D, MATCH($A103, 'UA-normalized'!$A:$A, 0))-INDEX('UA-normalized'!$E:$E, MATCH($A103, 'UA-normalized'!$A:$A, 0))&gt;0, -(2*INDEX('UA-normalized'!$D:$D, MATCH($A103, 'UA-normalized'!$A:$A, 0))-INDEX('UA-normalized'!$E:$E, MATCH($A103, 'UA-normalized'!$A:$A, 0))), 0), 0))+(IFERROR(IF(2*INDEX('KZ-normalized'!$D:$D, MATCH($A103, 'KZ-normalized'!$A:$A, 0))-INDEX('KZ-normalized'!$E:$E, MATCH($A103, 'KZ-normalized'!$A:$A, 0))&gt;0, -(2*INDEX('KZ-normalized'!$D:$D, MATCH($A103, 'KZ-normalized'!$A:$A, 0))-INDEX('KZ-normalized'!$E:$E, MATCH($A103, 'KZ-normalized'!$A:$A, 0))), 0), 0))+(IFERROR(IF(2*INDEX('UZ-normalized'!$D:$D, MATCH($A103, 'UZ-normalized'!$A:$A, 0))-INDEX('UZ-normalized'!$E:$E, MATCH($A103, 'UZ-normalized'!$A:$A, 0))&gt;0, -(2*INDEX('UZ-normalized'!$D:$D, MATCH($A103, 'UZ-normalized'!$A:$A, 0))-INDEX('UZ-normalized'!$E:$E, MATCH($A103, 'UZ-normalized'!$A:$A, 0))), 0), 0)))</f>
        <v>0</v>
      </c>
      <c r="Q103" s="6">
        <f>MIN(0, N103+(IFERROR(IF(3*INDEX('UA-normalized'!$D:$D, MATCH($A103, 'UA-normalized'!$A:$A, 0))-INDEX('UA-normalized'!$E:$E, MATCH($A103, 'UA-normalized'!$A:$A, 0))&gt;0, -(3*INDEX('UA-normalized'!$D:$D, MATCH($A103, 'UA-normalized'!$A:$A, 0))-INDEX('UA-normalized'!$E:$E, MATCH($A103, 'UA-normalized'!$A:$A, 0))), 0), 0))+(IFERROR(IF(3*INDEX('KZ-normalized'!$D:$D, MATCH($A103, 'KZ-normalized'!$A:$A, 0))-INDEX('KZ-normalized'!$E:$E, MATCH($A103, 'KZ-normalized'!$A:$A, 0))&gt;0, -(3*INDEX('KZ-normalized'!$D:$D, MATCH($A103, 'KZ-normalized'!$A:$A, 0))-INDEX('KZ-normalized'!$E:$E, MATCH($A103, 'KZ-normalized'!$A:$A, 0))), 0), 0))+(IFERROR(IF(3*INDEX('UZ-normalized'!$D:$D, MATCH($A103, 'UZ-normalized'!$A:$A, 0))-INDEX('UZ-normalized'!$E:$E, MATCH($A103, 'UZ-normalized'!$A:$A, 0))&gt;0, -(3*INDEX('UZ-normalized'!$D:$D, MATCH($A103, 'UZ-normalized'!$A:$A, 0))-INDEX('UZ-normalized'!$E:$E, MATCH($A103, 'UZ-normalized'!$A:$A, 0))), 0), 0)))</f>
        <v>0</v>
      </c>
      <c r="R103" s="6">
        <f>MIN(0, N103+(IFERROR(IF(4*INDEX('UA-normalized'!$D:$D, MATCH($A103, 'UA-normalized'!$A:$A, 0))-INDEX('UA-normalized'!$E:$E, MATCH($A103, 'UA-normalized'!$A:$A, 0))&gt;0, -(4*INDEX('UA-normalized'!$D:$D, MATCH($A103, 'UA-normalized'!$A:$A, 0))-INDEX('UA-normalized'!$E:$E, MATCH($A103, 'UA-normalized'!$A:$A, 0))), 0), 0))+(IFERROR(IF(4*INDEX('KZ-normalized'!$D:$D, MATCH($A103, 'KZ-normalized'!$A:$A, 0))-INDEX('KZ-normalized'!$E:$E, MATCH($A103, 'KZ-normalized'!$A:$A, 0))&gt;0, -(4*INDEX('KZ-normalized'!$D:$D, MATCH($A103, 'KZ-normalized'!$A:$A, 0))-INDEX('KZ-normalized'!$E:$E, MATCH($A103, 'KZ-normalized'!$A:$A, 0))), 0), 0))+(IFERROR(IF(4*INDEX('UZ-normalized'!$D:$D, MATCH($A103, 'UZ-normalized'!$A:$A, 0))-INDEX('UZ-normalized'!$E:$E, MATCH($A103, 'UZ-normalized'!$A:$A, 0))&gt;0, -(4*INDEX('UZ-normalized'!$D:$D, MATCH($A103, 'UZ-normalized'!$A:$A, 0))-INDEX('UZ-normalized'!$E:$E, MATCH($A103, 'UZ-normalized'!$A:$A, 0))), 0), 0)))</f>
        <v>0</v>
      </c>
      <c r="S103" s="6">
        <f>MIN(0, N103+(IFERROR(IF(5*INDEX('UA-normalized'!$D:$D, MATCH($A103, 'UA-normalized'!$A:$A, 0))-INDEX('UA-normalized'!$E:$E, MATCH($A103, 'UA-normalized'!$A:$A, 0))&gt;0, -(5*INDEX('UA-normalized'!$D:$D, MATCH($A103, 'UA-normalized'!$A:$A, 0))-INDEX('UA-normalized'!$E:$E, MATCH($A103, 'UA-normalized'!$A:$A, 0))), 0), 0))+(IFERROR(IF(5*INDEX('KZ-normalized'!$D:$D, MATCH($A103, 'KZ-normalized'!$A:$A, 0))-INDEX('KZ-normalized'!$E:$E, MATCH($A103, 'KZ-normalized'!$A:$A, 0))&gt;0, -(5*INDEX('KZ-normalized'!$D:$D, MATCH($A103, 'KZ-normalized'!$A:$A, 0))-INDEX('KZ-normalized'!$E:$E, MATCH($A103, 'KZ-normalized'!$A:$A, 0))), 0), 0))+(IFERROR(IF(5*INDEX('UZ-normalized'!$D:$D, MATCH($A103, 'UZ-normalized'!$A:$A, 0))-INDEX('UZ-normalized'!$E:$E, MATCH($A103, 'UZ-normalized'!$A:$A, 0))&gt;0, -(5*INDEX('UZ-normalized'!$D:$D, MATCH($A103, 'UZ-normalized'!$A:$A, 0))-INDEX('UZ-normalized'!$E:$E, MATCH($A103, 'UZ-normalized'!$A:$A, 0))), 0), 0)))</f>
        <v>0</v>
      </c>
      <c r="T103" s="6">
        <f>MIN(0, N103+(IFERROR(IF(6*INDEX('UA-normalized'!$D:$D, MATCH($A103, 'UA-normalized'!$A:$A, 0))-INDEX('UA-normalized'!$E:$E, MATCH($A103, 'UA-normalized'!$A:$A, 0))&gt;0, -(6*INDEX('UA-normalized'!$D:$D, MATCH($A103, 'UA-normalized'!$A:$A, 0))-INDEX('UA-normalized'!$E:$E, MATCH($A103, 'UA-normalized'!$A:$A, 0))), 0), 0))+(IFERROR(IF(6*INDEX('KZ-normalized'!$D:$D, MATCH($A103, 'KZ-normalized'!$A:$A, 0))-INDEX('KZ-normalized'!$E:$E, MATCH($A103, 'KZ-normalized'!$A:$A, 0))&gt;0, -(6*INDEX('KZ-normalized'!$D:$D, MATCH($A103, 'KZ-normalized'!$A:$A, 0))-INDEX('KZ-normalized'!$E:$E, MATCH($A103, 'KZ-normalized'!$A:$A, 0))), 0), 0))+(IFERROR(IF(6*INDEX('UZ-normalized'!$D:$D, MATCH($A103, 'UZ-normalized'!$A:$A, 0))-INDEX('UZ-normalized'!$E:$E, MATCH($A103, 'UZ-normalized'!$A:$A, 0))&gt;0, -(6*INDEX('UZ-normalized'!$D:$D, MATCH($A103, 'UZ-normalized'!$A:$A, 0))-INDEX('UZ-normalized'!$E:$E, MATCH($A103, 'UZ-normalized'!$A:$A, 0))), 0), 0)))</f>
        <v>0</v>
      </c>
      <c r="U103" s="6">
        <f>MIN(0, N103+(IFERROR(IF(7*INDEX('UA-normalized'!$D:$D, MATCH($A103, 'UA-normalized'!$A:$A, 0))-INDEX('UA-normalized'!$E:$E, MATCH($A103, 'UA-normalized'!$A:$A, 0))&gt;0, -(7*INDEX('UA-normalized'!$D:$D, MATCH($A103, 'UA-normalized'!$A:$A, 0))-INDEX('UA-normalized'!$E:$E, MATCH($A103, 'UA-normalized'!$A:$A, 0))), 0), 0))+(IFERROR(IF(7*INDEX('KZ-normalized'!$D:$D, MATCH($A103, 'KZ-normalized'!$A:$A, 0))-INDEX('KZ-normalized'!$E:$E, MATCH($A103, 'KZ-normalized'!$A:$A, 0))&gt;0, -(7*INDEX('KZ-normalized'!$D:$D, MATCH($A103, 'KZ-normalized'!$A:$A, 0))-INDEX('KZ-normalized'!$E:$E, MATCH($A103, 'KZ-normalized'!$A:$A, 0))), 0), 0))+(IFERROR(IF(7*INDEX('UZ-normalized'!$D:$D, MATCH($A103, 'UZ-normalized'!$A:$A, 0))-INDEX('UZ-normalized'!$E:$E, MATCH($A103, 'UZ-normalized'!$A:$A, 0))&gt;0, -(7*INDEX('UZ-normalized'!$D:$D, MATCH($A103, 'UZ-normalized'!$A:$A, 0))-INDEX('UZ-normalized'!$E:$E, MATCH($A103, 'UZ-normalized'!$A:$A, 0))), 0), 0)))</f>
        <v>0</v>
      </c>
      <c r="V103" s="6">
        <f>MIN(0, N103+(IFERROR(IF(8*INDEX('UA-normalized'!$D:$D, MATCH($A103, 'UA-normalized'!$A:$A, 0))-INDEX('UA-normalized'!$E:$E, MATCH($A103, 'UA-normalized'!$A:$A, 0))&gt;0, -(8*INDEX('UA-normalized'!$D:$D, MATCH($A103, 'UA-normalized'!$A:$A, 0))-INDEX('UA-normalized'!$E:$E, MATCH($A103, 'UA-normalized'!$A:$A, 0))), 0), 0))+(IFERROR(IF(8*INDEX('KZ-normalized'!$D:$D, MATCH($A103, 'KZ-normalized'!$A:$A, 0))-INDEX('KZ-normalized'!$E:$E, MATCH($A103, 'KZ-normalized'!$A:$A, 0))&gt;0, -(8*INDEX('KZ-normalized'!$D:$D, MATCH($A103, 'KZ-normalized'!$A:$A, 0))-INDEX('KZ-normalized'!$E:$E, MATCH($A103, 'KZ-normalized'!$A:$A, 0))), 0), 0))+(IFERROR(IF(8*INDEX('UZ-normalized'!$D:$D, MATCH($A103, 'UZ-normalized'!$A:$A, 0))-INDEX('UZ-normalized'!$E:$E, MATCH($A103, 'UZ-normalized'!$A:$A, 0))&gt;0, -(8*INDEX('UZ-normalized'!$D:$D, MATCH($A103, 'UZ-normalized'!$A:$A, 0))-INDEX('UZ-normalized'!$E:$E, MATCH($A103, 'UZ-normalized'!$A:$A, 0))), 0), 0)))</f>
        <v>0</v>
      </c>
      <c r="W103" s="6">
        <f>MIN(0, N103+(IFERROR(IF(9*INDEX('UA-normalized'!$D:$D, MATCH($A103, 'UA-normalized'!$A:$A, 0))-INDEX('UA-normalized'!$E:$E, MATCH($A103, 'UA-normalized'!$A:$A, 0))&gt;0, -(9*INDEX('UA-normalized'!$D:$D, MATCH($A103, 'UA-normalized'!$A:$A, 0))-INDEX('UA-normalized'!$E:$E, MATCH($A103, 'UA-normalized'!$A:$A, 0))), 0), 0))+(IFERROR(IF(9*INDEX('KZ-normalized'!$D:$D, MATCH($A103, 'KZ-normalized'!$A:$A, 0))-INDEX('KZ-normalized'!$E:$E, MATCH($A103, 'KZ-normalized'!$A:$A, 0))&gt;0, -(9*INDEX('KZ-normalized'!$D:$D, MATCH($A103, 'KZ-normalized'!$A:$A, 0))-INDEX('KZ-normalized'!$E:$E, MATCH($A103, 'KZ-normalized'!$A:$A, 0))), 0), 0))+(IFERROR(IF(9*INDEX('UZ-normalized'!$D:$D, MATCH($A103, 'UZ-normalized'!$A:$A, 0))-INDEX('UZ-normalized'!$E:$E, MATCH($A103, 'UZ-normalized'!$A:$A, 0))&gt;0, -(9*INDEX('UZ-normalized'!$D:$D, MATCH($A103, 'UZ-normalized'!$A:$A, 0))-INDEX('UZ-normalized'!$E:$E, MATCH($A103, 'UZ-normalized'!$A:$A, 0))), 0), 0)))</f>
        <v>0</v>
      </c>
      <c r="X103" s="6">
        <f>MIN(0, N103+(IFERROR(IF(10*INDEX('UA-normalized'!$D:$D, MATCH($A103, 'UA-normalized'!$A:$A, 0))-INDEX('UA-normalized'!$E:$E, MATCH($A103, 'UA-normalized'!$A:$A, 0))&gt;0, -(10*INDEX('UA-normalized'!$D:$D, MATCH($A103, 'UA-normalized'!$A:$A, 0))-INDEX('UA-normalized'!$E:$E, MATCH($A103, 'UA-normalized'!$A:$A, 0))), 0), 0))+(IFERROR(IF(10*INDEX('KZ-normalized'!$D:$D, MATCH($A103, 'KZ-normalized'!$A:$A, 0))-INDEX('KZ-normalized'!$E:$E, MATCH($A103, 'KZ-normalized'!$A:$A, 0))&gt;0, -(10*INDEX('KZ-normalized'!$D:$D, MATCH($A103, 'KZ-normalized'!$A:$A, 0))-INDEX('KZ-normalized'!$E:$E, MATCH($A103, 'KZ-normalized'!$A:$A, 0))), 0), 0))+(IFERROR(IF(10*INDEX('UZ-normalized'!$D:$D, MATCH($A103, 'UZ-normalized'!$A:$A, 0))-INDEX('UZ-normalized'!$E:$E, MATCH($A103, 'UZ-normalized'!$A:$A, 0))&gt;0, -(10*INDEX('UZ-normalized'!$D:$D, MATCH($A103, 'UZ-normalized'!$A:$A, 0))-INDEX('UZ-normalized'!$E:$E, MATCH($A103, 'UZ-normalized'!$A:$A, 0))), 0), 0)))</f>
        <v>0</v>
      </c>
      <c r="Y103" s="6">
        <f>MIN(0, N103+(IFERROR(IF(11*INDEX('UA-normalized'!$D:$D, MATCH($A103, 'UA-normalized'!$A:$A, 0))-INDEX('UA-normalized'!$E:$E, MATCH($A103, 'UA-normalized'!$A:$A, 0))&gt;0, -(11*INDEX('UA-normalized'!$D:$D, MATCH($A103, 'UA-normalized'!$A:$A, 0))-INDEX('UA-normalized'!$E:$E, MATCH($A103, 'UA-normalized'!$A:$A, 0))), 0), 0))+(IFERROR(IF(11*INDEX('KZ-normalized'!$D:$D, MATCH($A103, 'KZ-normalized'!$A:$A, 0))-INDEX('KZ-normalized'!$E:$E, MATCH($A103, 'KZ-normalized'!$A:$A, 0))&gt;0, -(11*INDEX('KZ-normalized'!$D:$D, MATCH($A103, 'KZ-normalized'!$A:$A, 0))-INDEX('KZ-normalized'!$E:$E, MATCH($A103, 'KZ-normalized'!$A:$A, 0))), 0), 0))+(IFERROR(IF(11*INDEX('UZ-normalized'!$D:$D, MATCH($A103, 'UZ-normalized'!$A:$A, 0))-INDEX('UZ-normalized'!$E:$E, MATCH($A103, 'UZ-normalized'!$A:$A, 0))&gt;0, -(11*INDEX('UZ-normalized'!$D:$D, MATCH($A103, 'UZ-normalized'!$A:$A, 0))-INDEX('UZ-normalized'!$E:$E, MATCH($A103, 'UZ-normalized'!$A:$A, 0))), 0), 0)))</f>
        <v>0</v>
      </c>
      <c r="Z103" s="6">
        <f>MIN(0, N103+(IFERROR(IF(12*INDEX('UA-normalized'!$D:$D, MATCH($A103, 'UA-normalized'!$A:$A, 0))-INDEX('UA-normalized'!$E:$E, MATCH($A103, 'UA-normalized'!$A:$A, 0))&gt;0, -(12*INDEX('UA-normalized'!$D:$D, MATCH($A103, 'UA-normalized'!$A:$A, 0))-INDEX('UA-normalized'!$E:$E, MATCH($A103, 'UA-normalized'!$A:$A, 0))), 0), 0))+(IFERROR(IF(12*INDEX('KZ-normalized'!$D:$D, MATCH($A103, 'KZ-normalized'!$A:$A, 0))-INDEX('KZ-normalized'!$E:$E, MATCH($A103, 'KZ-normalized'!$A:$A, 0))&gt;0, -(12*INDEX('KZ-normalized'!$D:$D, MATCH($A103, 'KZ-normalized'!$A:$A, 0))-INDEX('KZ-normalized'!$E:$E, MATCH($A103, 'KZ-normalized'!$A:$A, 0))), 0), 0))+(IFERROR(IF(12*INDEX('UZ-normalized'!$D:$D, MATCH($A103, 'UZ-normalized'!$A:$A, 0))-INDEX('UZ-normalized'!$E:$E, MATCH($A103, 'UZ-normalized'!$A:$A, 0))&gt;0, -(12*INDEX('UZ-normalized'!$D:$D, MATCH($A103, 'UZ-normalized'!$A:$A, 0))-INDEX('UZ-normalized'!$E:$E, MATCH($A103, 'UZ-normalized'!$A:$A, 0))), 0), 0)))</f>
        <v>0</v>
      </c>
      <c r="AA103" s="6">
        <f>MIN(0, N103+(IFERROR(IF(13*INDEX('UA-normalized'!$D:$D, MATCH($A103, 'UA-normalized'!$A:$A, 0))-INDEX('UA-normalized'!$E:$E, MATCH($A103, 'UA-normalized'!$A:$A, 0))&gt;0, -(13*INDEX('UA-normalized'!$D:$D, MATCH($A103, 'UA-normalized'!$A:$A, 0))-INDEX('UA-normalized'!$E:$E, MATCH($A103, 'UA-normalized'!$A:$A, 0))), 0), 0))+(IFERROR(IF(13*INDEX('KZ-normalized'!$D:$D, MATCH($A103, 'KZ-normalized'!$A:$A, 0))-INDEX('KZ-normalized'!$E:$E, MATCH($A103, 'KZ-normalized'!$A:$A, 0))&gt;0, -(13*INDEX('KZ-normalized'!$D:$D, MATCH($A103, 'KZ-normalized'!$A:$A, 0))-INDEX('KZ-normalized'!$E:$E, MATCH($A103, 'KZ-normalized'!$A:$A, 0))), 0), 0))+(IFERROR(IF(13*INDEX('UZ-normalized'!$D:$D, MATCH($A103, 'UZ-normalized'!$A:$A, 0))-INDEX('UZ-normalized'!$E:$E, MATCH($A103, 'UZ-normalized'!$A:$A, 0))&gt;0, -(13*INDEX('UZ-normalized'!$D:$D, MATCH($A103, 'UZ-normalized'!$A:$A, 0))-INDEX('UZ-normalized'!$E:$E, MATCH($A103, 'UZ-normalized'!$A:$A, 0))), 0), 0)))</f>
        <v>0</v>
      </c>
      <c r="AB103" s="6">
        <f>MIN(0, N103+(IFERROR(IF(14*INDEX('UA-normalized'!$D:$D, MATCH($A103, 'UA-normalized'!$A:$A, 0))-INDEX('UA-normalized'!$E:$E, MATCH($A103, 'UA-normalized'!$A:$A, 0))&gt;0, -(14*INDEX('UA-normalized'!$D:$D, MATCH($A103, 'UA-normalized'!$A:$A, 0))-INDEX('UA-normalized'!$E:$E, MATCH($A103, 'UA-normalized'!$A:$A, 0))), 0), 0))+(IFERROR(IF(14*INDEX('KZ-normalized'!$D:$D, MATCH($A103, 'KZ-normalized'!$A:$A, 0))-INDEX('KZ-normalized'!$E:$E, MATCH($A103, 'KZ-normalized'!$A:$A, 0))&gt;0, -(14*INDEX('KZ-normalized'!$D:$D, MATCH($A103, 'KZ-normalized'!$A:$A, 0))-INDEX('KZ-normalized'!$E:$E, MATCH($A103, 'KZ-normalized'!$A:$A, 0))), 0), 0))+(IFERROR(IF(14*INDEX('UZ-normalized'!$D:$D, MATCH($A103, 'UZ-normalized'!$A:$A, 0))-INDEX('UZ-normalized'!$E:$E, MATCH($A103, 'UZ-normalized'!$A:$A, 0))&gt;0, -(14*INDEX('UZ-normalized'!$D:$D, MATCH($A103, 'UZ-normalized'!$A:$A, 0))-INDEX('UZ-normalized'!$E:$E, MATCH($A103, 'UZ-normalized'!$A:$A, 0))), 0), 0)))</f>
        <v>0</v>
      </c>
      <c r="AC103" s="6">
        <f>MIN(0, N103+(IFERROR(IF(15*INDEX('UA-normalized'!$D:$D, MATCH($A103, 'UA-normalized'!$A:$A, 0))-INDEX('UA-normalized'!$E:$E, MATCH($A103, 'UA-normalized'!$A:$A, 0))&gt;0, -(15*INDEX('UA-normalized'!$D:$D, MATCH($A103, 'UA-normalized'!$A:$A, 0))-INDEX('UA-normalized'!$E:$E, MATCH($A103, 'UA-normalized'!$A:$A, 0))), 0), 0))+(IFERROR(IF(15*INDEX('KZ-normalized'!$D:$D, MATCH($A103, 'KZ-normalized'!$A:$A, 0))-INDEX('KZ-normalized'!$E:$E, MATCH($A103, 'KZ-normalized'!$A:$A, 0))&gt;0, -(15*INDEX('KZ-normalized'!$D:$D, MATCH($A103, 'KZ-normalized'!$A:$A, 0))-INDEX('KZ-normalized'!$E:$E, MATCH($A103, 'KZ-normalized'!$A:$A, 0))), 0), 0))+(IFERROR(IF(15*INDEX('UZ-normalized'!$D:$D, MATCH($A103, 'UZ-normalized'!$A:$A, 0))-INDEX('UZ-normalized'!$E:$E, MATCH($A103, 'UZ-normalized'!$A:$A, 0))&gt;0, -(15*INDEX('UZ-normalized'!$D:$D, MATCH($A103, 'UZ-normalized'!$A:$A, 0))-INDEX('UZ-normalized'!$E:$E, MATCH($A103, 'UZ-normalized'!$A:$A, 0))), 0), 0)))</f>
        <v>0</v>
      </c>
      <c r="AD103" s="6">
        <f>MIN(0, N103+(IFERROR(IF(16*INDEX('UA-normalized'!$D:$D, MATCH($A103, 'UA-normalized'!$A:$A, 0))-INDEX('UA-normalized'!$E:$E, MATCH($A103, 'UA-normalized'!$A:$A, 0))&gt;0, -(16*INDEX('UA-normalized'!$D:$D, MATCH($A103, 'UA-normalized'!$A:$A, 0))-INDEX('UA-normalized'!$E:$E, MATCH($A103, 'UA-normalized'!$A:$A, 0))), 0), 0))+(IFERROR(IF(16*INDEX('KZ-normalized'!$D:$D, MATCH($A103, 'KZ-normalized'!$A:$A, 0))-INDEX('KZ-normalized'!$E:$E, MATCH($A103, 'KZ-normalized'!$A:$A, 0))&gt;0, -(16*INDEX('KZ-normalized'!$D:$D, MATCH($A103, 'KZ-normalized'!$A:$A, 0))-INDEX('KZ-normalized'!$E:$E, MATCH($A103, 'KZ-normalized'!$A:$A, 0))), 0), 0))+(IFERROR(IF(16*INDEX('UZ-normalized'!$D:$D, MATCH($A103, 'UZ-normalized'!$A:$A, 0))-INDEX('UZ-normalized'!$E:$E, MATCH($A103, 'UZ-normalized'!$A:$A, 0))&gt;0, -(16*INDEX('UZ-normalized'!$D:$D, MATCH($A103, 'UZ-normalized'!$A:$A, 0))-INDEX('UZ-normalized'!$E:$E, MATCH($A103, 'UZ-normalized'!$A:$A, 0))), 0), 0)))</f>
        <v>0</v>
      </c>
      <c r="AE103" s="6">
        <f>MIN(0, N103+(IFERROR(IF(17*INDEX('UA-normalized'!$D:$D, MATCH($A103, 'UA-normalized'!$A:$A, 0))-INDEX('UA-normalized'!$E:$E, MATCH($A103, 'UA-normalized'!$A:$A, 0))&gt;0, -(17*INDEX('UA-normalized'!$D:$D, MATCH($A103, 'UA-normalized'!$A:$A, 0))-INDEX('UA-normalized'!$E:$E, MATCH($A103, 'UA-normalized'!$A:$A, 0))), 0), 0))+(IFERROR(IF(17*INDEX('KZ-normalized'!$D:$D, MATCH($A103, 'KZ-normalized'!$A:$A, 0))-INDEX('KZ-normalized'!$E:$E, MATCH($A103, 'KZ-normalized'!$A:$A, 0))&gt;0, -(17*INDEX('KZ-normalized'!$D:$D, MATCH($A103, 'KZ-normalized'!$A:$A, 0))-INDEX('KZ-normalized'!$E:$E, MATCH($A103, 'KZ-normalized'!$A:$A, 0))), 0), 0))+(IFERROR(IF(17*INDEX('UZ-normalized'!$D:$D, MATCH($A103, 'UZ-normalized'!$A:$A, 0))-INDEX('UZ-normalized'!$E:$E, MATCH($A103, 'UZ-normalized'!$A:$A, 0))&gt;0, -(17*INDEX('UZ-normalized'!$D:$D, MATCH($A103, 'UZ-normalized'!$A:$A, 0))-INDEX('UZ-normalized'!$E:$E, MATCH($A103, 'UZ-normalized'!$A:$A, 0))), 0), 0)))</f>
        <v>0</v>
      </c>
      <c r="AF103" s="6">
        <f>MIN(0, N103+(IFERROR(IF(18*INDEX('UA-normalized'!$D:$D, MATCH($A103, 'UA-normalized'!$A:$A, 0))-INDEX('UA-normalized'!$E:$E, MATCH($A103, 'UA-normalized'!$A:$A, 0))&gt;0, -(18*INDEX('UA-normalized'!$D:$D, MATCH($A103, 'UA-normalized'!$A:$A, 0))-INDEX('UA-normalized'!$E:$E, MATCH($A103, 'UA-normalized'!$A:$A, 0))), 0), 0))+(IFERROR(IF(18*INDEX('KZ-normalized'!$D:$D, MATCH($A103, 'KZ-normalized'!$A:$A, 0))-INDEX('KZ-normalized'!$E:$E, MATCH($A103, 'KZ-normalized'!$A:$A, 0))&gt;0, -(18*INDEX('KZ-normalized'!$D:$D, MATCH($A103, 'KZ-normalized'!$A:$A, 0))-INDEX('KZ-normalized'!$E:$E, MATCH($A103, 'KZ-normalized'!$A:$A, 0))), 0), 0))+(IFERROR(IF(18*INDEX('UZ-normalized'!$D:$D, MATCH($A103, 'UZ-normalized'!$A:$A, 0))-INDEX('UZ-normalized'!$E:$E, MATCH($A103, 'UZ-normalized'!$A:$A, 0))&gt;0, -(18*INDEX('UZ-normalized'!$D:$D, MATCH($A103, 'UZ-normalized'!$A:$A, 0))-INDEX('UZ-normalized'!$E:$E, MATCH($A103, 'UZ-normalized'!$A:$A, 0))), 0), 0)))</f>
        <v>0</v>
      </c>
      <c r="AG103" s="6">
        <f>MIN(0, N103+(IFERROR(IF(19*INDEX('UA-normalized'!$D:$D, MATCH($A103, 'UA-normalized'!$A:$A, 0))-INDEX('UA-normalized'!$E:$E, MATCH($A103, 'UA-normalized'!$A:$A, 0))&gt;0, -(19*INDEX('UA-normalized'!$D:$D, MATCH($A103, 'UA-normalized'!$A:$A, 0))-INDEX('UA-normalized'!$E:$E, MATCH($A103, 'UA-normalized'!$A:$A, 0))), 0), 0))+(IFERROR(IF(19*INDEX('KZ-normalized'!$D:$D, MATCH($A103, 'KZ-normalized'!$A:$A, 0))-INDEX('KZ-normalized'!$E:$E, MATCH($A103, 'KZ-normalized'!$A:$A, 0))&gt;0, -(19*INDEX('KZ-normalized'!$D:$D, MATCH($A103, 'KZ-normalized'!$A:$A, 0))-INDEX('KZ-normalized'!$E:$E, MATCH($A103, 'KZ-normalized'!$A:$A, 0))), 0), 0))+(IFERROR(IF(19*INDEX('UZ-normalized'!$D:$D, MATCH($A103, 'UZ-normalized'!$A:$A, 0))-INDEX('UZ-normalized'!$E:$E, MATCH($A103, 'UZ-normalized'!$A:$A, 0))&gt;0, -(19*INDEX('UZ-normalized'!$D:$D, MATCH($A103, 'UZ-normalized'!$A:$A, 0))-INDEX('UZ-normalized'!$E:$E, MATCH($A103, 'UZ-normalized'!$A:$A, 0))), 0), 0)))</f>
        <v>0</v>
      </c>
      <c r="AH103" s="6">
        <f>MIN(0, N103+(IFERROR(IF(20*INDEX('UA-normalized'!$D:$D, MATCH($A103, 'UA-normalized'!$A:$A, 0))-INDEX('UA-normalized'!$E:$E, MATCH($A103, 'UA-normalized'!$A:$A, 0))&gt;0, -(20*INDEX('UA-normalized'!$D:$D, MATCH($A103, 'UA-normalized'!$A:$A, 0))-INDEX('UA-normalized'!$E:$E, MATCH($A103, 'UA-normalized'!$A:$A, 0))), 0), 0))+(IFERROR(IF(20*INDEX('KZ-normalized'!$D:$D, MATCH($A103, 'KZ-normalized'!$A:$A, 0))-INDEX('KZ-normalized'!$E:$E, MATCH($A103, 'KZ-normalized'!$A:$A, 0))&gt;0, -(20*INDEX('KZ-normalized'!$D:$D, MATCH($A103, 'KZ-normalized'!$A:$A, 0))-INDEX('KZ-normalized'!$E:$E, MATCH($A103, 'KZ-normalized'!$A:$A, 0))), 0), 0))+(IFERROR(IF(20*INDEX('UZ-normalized'!$D:$D, MATCH($A103, 'UZ-normalized'!$A:$A, 0))-INDEX('UZ-normalized'!$E:$E, MATCH($A103, 'UZ-normalized'!$A:$A, 0))&gt;0, -(20*INDEX('UZ-normalized'!$D:$D, MATCH($A103, 'UZ-normalized'!$A:$A, 0))-INDEX('UZ-normalized'!$E:$E, MATCH($A103, 'UZ-normalized'!$A:$A, 0))), 0), 0)))</f>
        <v>-1</v>
      </c>
      <c r="AI103" s="6">
        <f>MIN(0, N103+(IFERROR(IF(21*INDEX('UA-normalized'!$D:$D, MATCH($A103, 'UA-normalized'!$A:$A, 0))-INDEX('UA-normalized'!$E:$E, MATCH($A103, 'UA-normalized'!$A:$A, 0))&gt;0, -(21*INDEX('UA-normalized'!$D:$D, MATCH($A103, 'UA-normalized'!$A:$A, 0))-INDEX('UA-normalized'!$E:$E, MATCH($A103, 'UA-normalized'!$A:$A, 0))), 0), 0))+(IFERROR(IF(21*INDEX('KZ-normalized'!$D:$D, MATCH($A103, 'KZ-normalized'!$A:$A, 0))-INDEX('KZ-normalized'!$E:$E, MATCH($A103, 'KZ-normalized'!$A:$A, 0))&gt;0, -(21*INDEX('KZ-normalized'!$D:$D, MATCH($A103, 'KZ-normalized'!$A:$A, 0))-INDEX('KZ-normalized'!$E:$E, MATCH($A103, 'KZ-normalized'!$A:$A, 0))), 0), 0))+(IFERROR(IF(21*INDEX('UZ-normalized'!$D:$D, MATCH($A103, 'UZ-normalized'!$A:$A, 0))-INDEX('UZ-normalized'!$E:$E, MATCH($A103, 'UZ-normalized'!$A:$A, 0))&gt;0, -(21*INDEX('UZ-normalized'!$D:$D, MATCH($A103, 'UZ-normalized'!$A:$A, 0))-INDEX('UZ-normalized'!$E:$E, MATCH($A103, 'UZ-normalized'!$A:$A, 0))), 0), 0)))</f>
        <v>-2.6000000000000014</v>
      </c>
      <c r="AJ103" s="6">
        <f>MIN(0, N103+(IFERROR(IF(22*INDEX('UA-normalized'!$D:$D, MATCH($A103, 'UA-normalized'!$A:$A, 0))-INDEX('UA-normalized'!$E:$E, MATCH($A103, 'UA-normalized'!$A:$A, 0))&gt;0, -(22*INDEX('UA-normalized'!$D:$D, MATCH($A103, 'UA-normalized'!$A:$A, 0))-INDEX('UA-normalized'!$E:$E, MATCH($A103, 'UA-normalized'!$A:$A, 0))), 0), 0))+(IFERROR(IF(22*INDEX('KZ-normalized'!$D:$D, MATCH($A103, 'KZ-normalized'!$A:$A, 0))-INDEX('KZ-normalized'!$E:$E, MATCH($A103, 'KZ-normalized'!$A:$A, 0))&gt;0, -(22*INDEX('KZ-normalized'!$D:$D, MATCH($A103, 'KZ-normalized'!$A:$A, 0))-INDEX('KZ-normalized'!$E:$E, MATCH($A103, 'KZ-normalized'!$A:$A, 0))), 0), 0))+(IFERROR(IF(22*INDEX('UZ-normalized'!$D:$D, MATCH($A103, 'UZ-normalized'!$A:$A, 0))-INDEX('UZ-normalized'!$E:$E, MATCH($A103, 'UZ-normalized'!$A:$A, 0))&gt;0, -(22*INDEX('UZ-normalized'!$D:$D, MATCH($A103, 'UZ-normalized'!$A:$A, 0))-INDEX('UZ-normalized'!$E:$E, MATCH($A103, 'UZ-normalized'!$A:$A, 0))), 0), 0)))</f>
        <v>-4.2000000000000028</v>
      </c>
      <c r="AK103" s="6">
        <f>MIN(0, N103+(IFERROR(IF(23*INDEX('UA-normalized'!$D:$D, MATCH($A103, 'UA-normalized'!$A:$A, 0))-INDEX('UA-normalized'!$E:$E, MATCH($A103, 'UA-normalized'!$A:$A, 0))&gt;0, -(23*INDEX('UA-normalized'!$D:$D, MATCH($A103, 'UA-normalized'!$A:$A, 0))-INDEX('UA-normalized'!$E:$E, MATCH($A103, 'UA-normalized'!$A:$A, 0))), 0), 0))+(IFERROR(IF(23*INDEX('KZ-normalized'!$D:$D, MATCH($A103, 'KZ-normalized'!$A:$A, 0))-INDEX('KZ-normalized'!$E:$E, MATCH($A103, 'KZ-normalized'!$A:$A, 0))&gt;0, -(23*INDEX('KZ-normalized'!$D:$D, MATCH($A103, 'KZ-normalized'!$A:$A, 0))-INDEX('KZ-normalized'!$E:$E, MATCH($A103, 'KZ-normalized'!$A:$A, 0))), 0), 0))+(IFERROR(IF(23*INDEX('UZ-normalized'!$D:$D, MATCH($A103, 'UZ-normalized'!$A:$A, 0))-INDEX('UZ-normalized'!$E:$E, MATCH($A103, 'UZ-normalized'!$A:$A, 0))&gt;0, -(23*INDEX('UZ-normalized'!$D:$D, MATCH($A103, 'UZ-normalized'!$A:$A, 0))-INDEX('UZ-normalized'!$E:$E, MATCH($A103, 'UZ-normalized'!$A:$A, 0))), 0), 0)))</f>
        <v>-5.8000000000000043</v>
      </c>
      <c r="AL103" s="6">
        <f>MIN(0, N103+(IFERROR(IF(24*INDEX('UA-normalized'!$D:$D, MATCH($A103, 'UA-normalized'!$A:$A, 0))-INDEX('UA-normalized'!$E:$E, MATCH($A103, 'UA-normalized'!$A:$A, 0))&gt;0, -(24*INDEX('UA-normalized'!$D:$D, MATCH($A103, 'UA-normalized'!$A:$A, 0))-INDEX('UA-normalized'!$E:$E, MATCH($A103, 'UA-normalized'!$A:$A, 0))), 0), 0))+(IFERROR(IF(24*INDEX('KZ-normalized'!$D:$D, MATCH($A103, 'KZ-normalized'!$A:$A, 0))-INDEX('KZ-normalized'!$E:$E, MATCH($A103, 'KZ-normalized'!$A:$A, 0))&gt;0, -(24*INDEX('KZ-normalized'!$D:$D, MATCH($A103, 'KZ-normalized'!$A:$A, 0))-INDEX('KZ-normalized'!$E:$E, MATCH($A103, 'KZ-normalized'!$A:$A, 0))), 0), 0))+(IFERROR(IF(24*INDEX('UZ-normalized'!$D:$D, MATCH($A103, 'UZ-normalized'!$A:$A, 0))-INDEX('UZ-normalized'!$E:$E, MATCH($A103, 'UZ-normalized'!$A:$A, 0))&gt;0, -(24*INDEX('UZ-normalized'!$D:$D, MATCH($A103, 'UZ-normalized'!$A:$A, 0))-INDEX('UZ-normalized'!$E:$E, MATCH($A103, 'UZ-normalized'!$A:$A, 0))), 0), 0)))</f>
        <v>-7.4000000000000057</v>
      </c>
      <c r="AM103" s="6">
        <f>MIN(0, N103+(IFERROR(IF(25*INDEX('UA-normalized'!$D:$D, MATCH($A103, 'UA-normalized'!$A:$A, 0))-INDEX('UA-normalized'!$E:$E, MATCH($A103, 'UA-normalized'!$A:$A, 0))&gt;0, -(25*INDEX('UA-normalized'!$D:$D, MATCH($A103, 'UA-normalized'!$A:$A, 0))-INDEX('UA-normalized'!$E:$E, MATCH($A103, 'UA-normalized'!$A:$A, 0))), 0), 0))+(IFERROR(IF(25*INDEX('KZ-normalized'!$D:$D, MATCH($A103, 'KZ-normalized'!$A:$A, 0))-INDEX('KZ-normalized'!$E:$E, MATCH($A103, 'KZ-normalized'!$A:$A, 0))&gt;0, -(25*INDEX('KZ-normalized'!$D:$D, MATCH($A103, 'KZ-normalized'!$A:$A, 0))-INDEX('KZ-normalized'!$E:$E, MATCH($A103, 'KZ-normalized'!$A:$A, 0))), 0), 0))+(IFERROR(IF(25*INDEX('UZ-normalized'!$D:$D, MATCH($A103, 'UZ-normalized'!$A:$A, 0))-INDEX('UZ-normalized'!$E:$E, MATCH($A103, 'UZ-normalized'!$A:$A, 0))&gt;0, -(25*INDEX('UZ-normalized'!$D:$D, MATCH($A103, 'UZ-normalized'!$A:$A, 0))-INDEX('UZ-normalized'!$E:$E, MATCH($A103, 'UZ-normalized'!$A:$A, 0))), 0), 0)))</f>
        <v>-9</v>
      </c>
      <c r="AN103" s="6">
        <f>MIN(0, N103+(IFERROR(IF(26*INDEX('UA-normalized'!$D:$D, MATCH($A103, 'UA-normalized'!$A:$A, 0))-INDEX('UA-normalized'!$E:$E, MATCH($A103, 'UA-normalized'!$A:$A, 0))&gt;0, -(26*INDEX('UA-normalized'!$D:$D, MATCH($A103, 'UA-normalized'!$A:$A, 0))-INDEX('UA-normalized'!$E:$E, MATCH($A103, 'UA-normalized'!$A:$A, 0))), 0), 0))+(IFERROR(IF(26*INDEX('KZ-normalized'!$D:$D, MATCH($A103, 'KZ-normalized'!$A:$A, 0))-INDEX('KZ-normalized'!$E:$E, MATCH($A103, 'KZ-normalized'!$A:$A, 0))&gt;0, -(26*INDEX('KZ-normalized'!$D:$D, MATCH($A103, 'KZ-normalized'!$A:$A, 0))-INDEX('KZ-normalized'!$E:$E, MATCH($A103, 'KZ-normalized'!$A:$A, 0))), 0), 0))+(IFERROR(IF(26*INDEX('UZ-normalized'!$D:$D, MATCH($A103, 'UZ-normalized'!$A:$A, 0))-INDEX('UZ-normalized'!$E:$E, MATCH($A103, 'UZ-normalized'!$A:$A, 0))&gt;0, -(26*INDEX('UZ-normalized'!$D:$D, MATCH($A103, 'UZ-normalized'!$A:$A, 0))-INDEX('UZ-normalized'!$E:$E, MATCH($A103, 'UZ-normalized'!$A:$A, 0))), 0), 0)))</f>
        <v>-10.600000000000001</v>
      </c>
      <c r="AO103" s="6">
        <f>MIN(0, N103+(IFERROR(IF(27*INDEX('UA-normalized'!$D:$D, MATCH($A103, 'UA-normalized'!$A:$A, 0))-INDEX('UA-normalized'!$E:$E, MATCH($A103, 'UA-normalized'!$A:$A, 0))&gt;0, -(27*INDEX('UA-normalized'!$D:$D, MATCH($A103, 'UA-normalized'!$A:$A, 0))-INDEX('UA-normalized'!$E:$E, MATCH($A103, 'UA-normalized'!$A:$A, 0))), 0), 0))+(IFERROR(IF(27*INDEX('KZ-normalized'!$D:$D, MATCH($A103, 'KZ-normalized'!$A:$A, 0))-INDEX('KZ-normalized'!$E:$E, MATCH($A103, 'KZ-normalized'!$A:$A, 0))&gt;0, -(27*INDEX('KZ-normalized'!$D:$D, MATCH($A103, 'KZ-normalized'!$A:$A, 0))-INDEX('KZ-normalized'!$E:$E, MATCH($A103, 'KZ-normalized'!$A:$A, 0))), 0), 0))+(IFERROR(IF(27*INDEX('UZ-normalized'!$D:$D, MATCH($A103, 'UZ-normalized'!$A:$A, 0))-INDEX('UZ-normalized'!$E:$E, MATCH($A103, 'UZ-normalized'!$A:$A, 0))&gt;0, -(27*INDEX('UZ-normalized'!$D:$D, MATCH($A103, 'UZ-normalized'!$A:$A, 0))-INDEX('UZ-normalized'!$E:$E, MATCH($A103, 'UZ-normalized'!$A:$A, 0))), 0), 0)))</f>
        <v>-12.200000000000003</v>
      </c>
      <c r="AP103" s="6">
        <f>MIN(0, N103+(IFERROR(IF(28*INDEX('UA-normalized'!$D:$D, MATCH($A103, 'UA-normalized'!$A:$A, 0))-INDEX('UA-normalized'!$E:$E, MATCH($A103, 'UA-normalized'!$A:$A, 0))&gt;0, -(28*INDEX('UA-normalized'!$D:$D, MATCH($A103, 'UA-normalized'!$A:$A, 0))-INDEX('UA-normalized'!$E:$E, MATCH($A103, 'UA-normalized'!$A:$A, 0))), 0), 0))+(IFERROR(IF(28*INDEX('KZ-normalized'!$D:$D, MATCH($A103, 'KZ-normalized'!$A:$A, 0))-INDEX('KZ-normalized'!$E:$E, MATCH($A103, 'KZ-normalized'!$A:$A, 0))&gt;0, -(28*INDEX('KZ-normalized'!$D:$D, MATCH($A103, 'KZ-normalized'!$A:$A, 0))-INDEX('KZ-normalized'!$E:$E, MATCH($A103, 'KZ-normalized'!$A:$A, 0))), 0), 0))+(IFERROR(IF(28*INDEX('UZ-normalized'!$D:$D, MATCH($A103, 'UZ-normalized'!$A:$A, 0))-INDEX('UZ-normalized'!$E:$E, MATCH($A103, 'UZ-normalized'!$A:$A, 0))&gt;0, -(28*INDEX('UZ-normalized'!$D:$D, MATCH($A103, 'UZ-normalized'!$A:$A, 0))-INDEX('UZ-normalized'!$E:$E, MATCH($A103, 'UZ-normalized'!$A:$A, 0))), 0), 0)))</f>
        <v>-13.800000000000004</v>
      </c>
      <c r="AQ103" s="6">
        <f>MIN(0, N103+(IFERROR(IF(29*INDEX('UA-normalized'!$D:$D, MATCH($A103, 'UA-normalized'!$A:$A, 0))-INDEX('UA-normalized'!$E:$E, MATCH($A103, 'UA-normalized'!$A:$A, 0))&gt;0, -(29*INDEX('UA-normalized'!$D:$D, MATCH($A103, 'UA-normalized'!$A:$A, 0))-INDEX('UA-normalized'!$E:$E, MATCH($A103, 'UA-normalized'!$A:$A, 0))), 0), 0))+(IFERROR(IF(29*INDEX('KZ-normalized'!$D:$D, MATCH($A103, 'KZ-normalized'!$A:$A, 0))-INDEX('KZ-normalized'!$E:$E, MATCH($A103, 'KZ-normalized'!$A:$A, 0))&gt;0, -(29*INDEX('KZ-normalized'!$D:$D, MATCH($A103, 'KZ-normalized'!$A:$A, 0))-INDEX('KZ-normalized'!$E:$E, MATCH($A103, 'KZ-normalized'!$A:$A, 0))), 0), 0))+(IFERROR(IF(29*INDEX('UZ-normalized'!$D:$D, MATCH($A103, 'UZ-normalized'!$A:$A, 0))-INDEX('UZ-normalized'!$E:$E, MATCH($A103, 'UZ-normalized'!$A:$A, 0))&gt;0, -(29*INDEX('UZ-normalized'!$D:$D, MATCH($A103, 'UZ-normalized'!$A:$A, 0))-INDEX('UZ-normalized'!$E:$E, MATCH($A103, 'UZ-normalized'!$A:$A, 0))), 0), 0)))</f>
        <v>-15.400000000000006</v>
      </c>
      <c r="AR103" s="6">
        <f>MIN(0, N103+(IFERROR(IF(30*INDEX('UA-normalized'!$D:$D, MATCH($A103, 'UA-normalized'!$A:$A, 0))-INDEX('UA-normalized'!$E:$E, MATCH($A103, 'UA-normalized'!$A:$A, 0))&gt;0, -(30*INDEX('UA-normalized'!$D:$D, MATCH($A103, 'UA-normalized'!$A:$A, 0))-INDEX('UA-normalized'!$E:$E, MATCH($A103, 'UA-normalized'!$A:$A, 0))), 0), 0))+(IFERROR(IF(30*INDEX('KZ-normalized'!$D:$D, MATCH($A103, 'KZ-normalized'!$A:$A, 0))-INDEX('KZ-normalized'!$E:$E, MATCH($A103, 'KZ-normalized'!$A:$A, 0))&gt;0, -(30*INDEX('KZ-normalized'!$D:$D, MATCH($A103, 'KZ-normalized'!$A:$A, 0))-INDEX('KZ-normalized'!$E:$E, MATCH($A103, 'KZ-normalized'!$A:$A, 0))), 0), 0))+(IFERROR(IF(30*INDEX('UZ-normalized'!$D:$D, MATCH($A103, 'UZ-normalized'!$A:$A, 0))-INDEX('UZ-normalized'!$E:$E, MATCH($A103, 'UZ-normalized'!$A:$A, 0))&gt;0, -(30*INDEX('UZ-normalized'!$D:$D, MATCH($A103, 'UZ-normalized'!$A:$A, 0))-INDEX('UZ-normalized'!$E:$E, MATCH($A103, 'UZ-normalized'!$A:$A, 0))), 0), 0)))</f>
        <v>-17</v>
      </c>
    </row>
    <row r="104" spans="1:44" x14ac:dyDescent="0.25">
      <c r="A104" s="8" t="s">
        <v>260</v>
      </c>
      <c r="B104" s="8" t="s">
        <v>180</v>
      </c>
      <c r="C104" s="8" t="s">
        <v>256</v>
      </c>
      <c r="D104" s="8" t="s">
        <v>261</v>
      </c>
      <c r="G104">
        <v>-100</v>
      </c>
      <c r="N104">
        <f t="shared" si="1"/>
        <v>-100</v>
      </c>
      <c r="O104" s="6">
        <f>MIN(0, N104+(IFERROR(IF(1*INDEX('UA-normalized'!$D:$D, MATCH($A104, 'UA-normalized'!$A:$A, 0))-INDEX('UA-normalized'!$E:$E, MATCH($A104, 'UA-normalized'!$A:$A, 0))&gt;0, -(1*INDEX('UA-normalized'!$D:$D, MATCH($A104, 'UA-normalized'!$A:$A, 0))-INDEX('UA-normalized'!$E:$E, MATCH($A104, 'UA-normalized'!$A:$A, 0))), 0), 0))+(IFERROR(IF(1*INDEX('KZ-normalized'!$D:$D, MATCH($A104, 'KZ-normalized'!$A:$A, 0))-INDEX('KZ-normalized'!$E:$E, MATCH($A104, 'KZ-normalized'!$A:$A, 0))&gt;0, -(1*INDEX('KZ-normalized'!$D:$D, MATCH($A104, 'KZ-normalized'!$A:$A, 0))-INDEX('KZ-normalized'!$E:$E, MATCH($A104, 'KZ-normalized'!$A:$A, 0))), 0), 0))+(IFERROR(IF(1*INDEX('UZ-normalized'!$D:$D, MATCH($A104, 'UZ-normalized'!$A:$A, 0))-INDEX('UZ-normalized'!$E:$E, MATCH($A104, 'UZ-normalized'!$A:$A, 0))&gt;0, -(1*INDEX('UZ-normalized'!$D:$D, MATCH($A104, 'UZ-normalized'!$A:$A, 0))-INDEX('UZ-normalized'!$E:$E, MATCH($A104, 'UZ-normalized'!$A:$A, 0))), 0), 0)))</f>
        <v>-100</v>
      </c>
      <c r="P104" s="6">
        <f>MIN(0, N104+(IFERROR(IF(2*INDEX('UA-normalized'!$D:$D, MATCH($A104, 'UA-normalized'!$A:$A, 0))-INDEX('UA-normalized'!$E:$E, MATCH($A104, 'UA-normalized'!$A:$A, 0))&gt;0, -(2*INDEX('UA-normalized'!$D:$D, MATCH($A104, 'UA-normalized'!$A:$A, 0))-INDEX('UA-normalized'!$E:$E, MATCH($A104, 'UA-normalized'!$A:$A, 0))), 0), 0))+(IFERROR(IF(2*INDEX('KZ-normalized'!$D:$D, MATCH($A104, 'KZ-normalized'!$A:$A, 0))-INDEX('KZ-normalized'!$E:$E, MATCH($A104, 'KZ-normalized'!$A:$A, 0))&gt;0, -(2*INDEX('KZ-normalized'!$D:$D, MATCH($A104, 'KZ-normalized'!$A:$A, 0))-INDEX('KZ-normalized'!$E:$E, MATCH($A104, 'KZ-normalized'!$A:$A, 0))), 0), 0))+(IFERROR(IF(2*INDEX('UZ-normalized'!$D:$D, MATCH($A104, 'UZ-normalized'!$A:$A, 0))-INDEX('UZ-normalized'!$E:$E, MATCH($A104, 'UZ-normalized'!$A:$A, 0))&gt;0, -(2*INDEX('UZ-normalized'!$D:$D, MATCH($A104, 'UZ-normalized'!$A:$A, 0))-INDEX('UZ-normalized'!$E:$E, MATCH($A104, 'UZ-normalized'!$A:$A, 0))), 0), 0)))</f>
        <v>-100</v>
      </c>
      <c r="Q104" s="6">
        <f>MIN(0, N104+(IFERROR(IF(3*INDEX('UA-normalized'!$D:$D, MATCH($A104, 'UA-normalized'!$A:$A, 0))-INDEX('UA-normalized'!$E:$E, MATCH($A104, 'UA-normalized'!$A:$A, 0))&gt;0, -(3*INDEX('UA-normalized'!$D:$D, MATCH($A104, 'UA-normalized'!$A:$A, 0))-INDEX('UA-normalized'!$E:$E, MATCH($A104, 'UA-normalized'!$A:$A, 0))), 0), 0))+(IFERROR(IF(3*INDEX('KZ-normalized'!$D:$D, MATCH($A104, 'KZ-normalized'!$A:$A, 0))-INDEX('KZ-normalized'!$E:$E, MATCH($A104, 'KZ-normalized'!$A:$A, 0))&gt;0, -(3*INDEX('KZ-normalized'!$D:$D, MATCH($A104, 'KZ-normalized'!$A:$A, 0))-INDEX('KZ-normalized'!$E:$E, MATCH($A104, 'KZ-normalized'!$A:$A, 0))), 0), 0))+(IFERROR(IF(3*INDEX('UZ-normalized'!$D:$D, MATCH($A104, 'UZ-normalized'!$A:$A, 0))-INDEX('UZ-normalized'!$E:$E, MATCH($A104, 'UZ-normalized'!$A:$A, 0))&gt;0, -(3*INDEX('UZ-normalized'!$D:$D, MATCH($A104, 'UZ-normalized'!$A:$A, 0))-INDEX('UZ-normalized'!$E:$E, MATCH($A104, 'UZ-normalized'!$A:$A, 0))), 0), 0)))</f>
        <v>-100</v>
      </c>
      <c r="R104" s="6">
        <f>MIN(0, N104+(IFERROR(IF(4*INDEX('UA-normalized'!$D:$D, MATCH($A104, 'UA-normalized'!$A:$A, 0))-INDEX('UA-normalized'!$E:$E, MATCH($A104, 'UA-normalized'!$A:$A, 0))&gt;0, -(4*INDEX('UA-normalized'!$D:$D, MATCH($A104, 'UA-normalized'!$A:$A, 0))-INDEX('UA-normalized'!$E:$E, MATCH($A104, 'UA-normalized'!$A:$A, 0))), 0), 0))+(IFERROR(IF(4*INDEX('KZ-normalized'!$D:$D, MATCH($A104, 'KZ-normalized'!$A:$A, 0))-INDEX('KZ-normalized'!$E:$E, MATCH($A104, 'KZ-normalized'!$A:$A, 0))&gt;0, -(4*INDEX('KZ-normalized'!$D:$D, MATCH($A104, 'KZ-normalized'!$A:$A, 0))-INDEX('KZ-normalized'!$E:$E, MATCH($A104, 'KZ-normalized'!$A:$A, 0))), 0), 0))+(IFERROR(IF(4*INDEX('UZ-normalized'!$D:$D, MATCH($A104, 'UZ-normalized'!$A:$A, 0))-INDEX('UZ-normalized'!$E:$E, MATCH($A104, 'UZ-normalized'!$A:$A, 0))&gt;0, -(4*INDEX('UZ-normalized'!$D:$D, MATCH($A104, 'UZ-normalized'!$A:$A, 0))-INDEX('UZ-normalized'!$E:$E, MATCH($A104, 'UZ-normalized'!$A:$A, 0))), 0), 0)))</f>
        <v>-101</v>
      </c>
      <c r="S104" s="6">
        <f>MIN(0, N104+(IFERROR(IF(5*INDEX('UA-normalized'!$D:$D, MATCH($A104, 'UA-normalized'!$A:$A, 0))-INDEX('UA-normalized'!$E:$E, MATCH($A104, 'UA-normalized'!$A:$A, 0))&gt;0, -(5*INDEX('UA-normalized'!$D:$D, MATCH($A104, 'UA-normalized'!$A:$A, 0))-INDEX('UA-normalized'!$E:$E, MATCH($A104, 'UA-normalized'!$A:$A, 0))), 0), 0))+(IFERROR(IF(5*INDEX('KZ-normalized'!$D:$D, MATCH($A104, 'KZ-normalized'!$A:$A, 0))-INDEX('KZ-normalized'!$E:$E, MATCH($A104, 'KZ-normalized'!$A:$A, 0))&gt;0, -(5*INDEX('KZ-normalized'!$D:$D, MATCH($A104, 'KZ-normalized'!$A:$A, 0))-INDEX('KZ-normalized'!$E:$E, MATCH($A104, 'KZ-normalized'!$A:$A, 0))), 0), 0))+(IFERROR(IF(5*INDEX('UZ-normalized'!$D:$D, MATCH($A104, 'UZ-normalized'!$A:$A, 0))-INDEX('UZ-normalized'!$E:$E, MATCH($A104, 'UZ-normalized'!$A:$A, 0))&gt;0, -(5*INDEX('UZ-normalized'!$D:$D, MATCH($A104, 'UZ-normalized'!$A:$A, 0))-INDEX('UZ-normalized'!$E:$E, MATCH($A104, 'UZ-normalized'!$A:$A, 0))), 0), 0)))</f>
        <v>-133</v>
      </c>
      <c r="T104" s="6">
        <f>MIN(0, N104+(IFERROR(IF(6*INDEX('UA-normalized'!$D:$D, MATCH($A104, 'UA-normalized'!$A:$A, 0))-INDEX('UA-normalized'!$E:$E, MATCH($A104, 'UA-normalized'!$A:$A, 0))&gt;0, -(6*INDEX('UA-normalized'!$D:$D, MATCH($A104, 'UA-normalized'!$A:$A, 0))-INDEX('UA-normalized'!$E:$E, MATCH($A104, 'UA-normalized'!$A:$A, 0))), 0), 0))+(IFERROR(IF(6*INDEX('KZ-normalized'!$D:$D, MATCH($A104, 'KZ-normalized'!$A:$A, 0))-INDEX('KZ-normalized'!$E:$E, MATCH($A104, 'KZ-normalized'!$A:$A, 0))&gt;0, -(6*INDEX('KZ-normalized'!$D:$D, MATCH($A104, 'KZ-normalized'!$A:$A, 0))-INDEX('KZ-normalized'!$E:$E, MATCH($A104, 'KZ-normalized'!$A:$A, 0))), 0), 0))+(IFERROR(IF(6*INDEX('UZ-normalized'!$D:$D, MATCH($A104, 'UZ-normalized'!$A:$A, 0))-INDEX('UZ-normalized'!$E:$E, MATCH($A104, 'UZ-normalized'!$A:$A, 0))&gt;0, -(6*INDEX('UZ-normalized'!$D:$D, MATCH($A104, 'UZ-normalized'!$A:$A, 0))-INDEX('UZ-normalized'!$E:$E, MATCH($A104, 'UZ-normalized'!$A:$A, 0))), 0), 0)))</f>
        <v>-185</v>
      </c>
      <c r="U104" s="6">
        <f>MIN(0, N104+(IFERROR(IF(7*INDEX('UA-normalized'!$D:$D, MATCH($A104, 'UA-normalized'!$A:$A, 0))-INDEX('UA-normalized'!$E:$E, MATCH($A104, 'UA-normalized'!$A:$A, 0))&gt;0, -(7*INDEX('UA-normalized'!$D:$D, MATCH($A104, 'UA-normalized'!$A:$A, 0))-INDEX('UA-normalized'!$E:$E, MATCH($A104, 'UA-normalized'!$A:$A, 0))), 0), 0))+(IFERROR(IF(7*INDEX('KZ-normalized'!$D:$D, MATCH($A104, 'KZ-normalized'!$A:$A, 0))-INDEX('KZ-normalized'!$E:$E, MATCH($A104, 'KZ-normalized'!$A:$A, 0))&gt;0, -(7*INDEX('KZ-normalized'!$D:$D, MATCH($A104, 'KZ-normalized'!$A:$A, 0))-INDEX('KZ-normalized'!$E:$E, MATCH($A104, 'KZ-normalized'!$A:$A, 0))), 0), 0))+(IFERROR(IF(7*INDEX('UZ-normalized'!$D:$D, MATCH($A104, 'UZ-normalized'!$A:$A, 0))-INDEX('UZ-normalized'!$E:$E, MATCH($A104, 'UZ-normalized'!$A:$A, 0))&gt;0, -(7*INDEX('UZ-normalized'!$D:$D, MATCH($A104, 'UZ-normalized'!$A:$A, 0))-INDEX('UZ-normalized'!$E:$E, MATCH($A104, 'UZ-normalized'!$A:$A, 0))), 0), 0)))</f>
        <v>-237</v>
      </c>
      <c r="V104" s="6">
        <f>MIN(0, N104+(IFERROR(IF(8*INDEX('UA-normalized'!$D:$D, MATCH($A104, 'UA-normalized'!$A:$A, 0))-INDEX('UA-normalized'!$E:$E, MATCH($A104, 'UA-normalized'!$A:$A, 0))&gt;0, -(8*INDEX('UA-normalized'!$D:$D, MATCH($A104, 'UA-normalized'!$A:$A, 0))-INDEX('UA-normalized'!$E:$E, MATCH($A104, 'UA-normalized'!$A:$A, 0))), 0), 0))+(IFERROR(IF(8*INDEX('KZ-normalized'!$D:$D, MATCH($A104, 'KZ-normalized'!$A:$A, 0))-INDEX('KZ-normalized'!$E:$E, MATCH($A104, 'KZ-normalized'!$A:$A, 0))&gt;0, -(8*INDEX('KZ-normalized'!$D:$D, MATCH($A104, 'KZ-normalized'!$A:$A, 0))-INDEX('KZ-normalized'!$E:$E, MATCH($A104, 'KZ-normalized'!$A:$A, 0))), 0), 0))+(IFERROR(IF(8*INDEX('UZ-normalized'!$D:$D, MATCH($A104, 'UZ-normalized'!$A:$A, 0))-INDEX('UZ-normalized'!$E:$E, MATCH($A104, 'UZ-normalized'!$A:$A, 0))&gt;0, -(8*INDEX('UZ-normalized'!$D:$D, MATCH($A104, 'UZ-normalized'!$A:$A, 0))-INDEX('UZ-normalized'!$E:$E, MATCH($A104, 'UZ-normalized'!$A:$A, 0))), 0), 0)))</f>
        <v>-289</v>
      </c>
      <c r="W104" s="6">
        <f>MIN(0, N104+(IFERROR(IF(9*INDEX('UA-normalized'!$D:$D, MATCH($A104, 'UA-normalized'!$A:$A, 0))-INDEX('UA-normalized'!$E:$E, MATCH($A104, 'UA-normalized'!$A:$A, 0))&gt;0, -(9*INDEX('UA-normalized'!$D:$D, MATCH($A104, 'UA-normalized'!$A:$A, 0))-INDEX('UA-normalized'!$E:$E, MATCH($A104, 'UA-normalized'!$A:$A, 0))), 0), 0))+(IFERROR(IF(9*INDEX('KZ-normalized'!$D:$D, MATCH($A104, 'KZ-normalized'!$A:$A, 0))-INDEX('KZ-normalized'!$E:$E, MATCH($A104, 'KZ-normalized'!$A:$A, 0))&gt;0, -(9*INDEX('KZ-normalized'!$D:$D, MATCH($A104, 'KZ-normalized'!$A:$A, 0))-INDEX('KZ-normalized'!$E:$E, MATCH($A104, 'KZ-normalized'!$A:$A, 0))), 0), 0))+(IFERROR(IF(9*INDEX('UZ-normalized'!$D:$D, MATCH($A104, 'UZ-normalized'!$A:$A, 0))-INDEX('UZ-normalized'!$E:$E, MATCH($A104, 'UZ-normalized'!$A:$A, 0))&gt;0, -(9*INDEX('UZ-normalized'!$D:$D, MATCH($A104, 'UZ-normalized'!$A:$A, 0))-INDEX('UZ-normalized'!$E:$E, MATCH($A104, 'UZ-normalized'!$A:$A, 0))), 0), 0)))</f>
        <v>-341</v>
      </c>
      <c r="X104" s="6">
        <f>MIN(0, N104+(IFERROR(IF(10*INDEX('UA-normalized'!$D:$D, MATCH($A104, 'UA-normalized'!$A:$A, 0))-INDEX('UA-normalized'!$E:$E, MATCH($A104, 'UA-normalized'!$A:$A, 0))&gt;0, -(10*INDEX('UA-normalized'!$D:$D, MATCH($A104, 'UA-normalized'!$A:$A, 0))-INDEX('UA-normalized'!$E:$E, MATCH($A104, 'UA-normalized'!$A:$A, 0))), 0), 0))+(IFERROR(IF(10*INDEX('KZ-normalized'!$D:$D, MATCH($A104, 'KZ-normalized'!$A:$A, 0))-INDEX('KZ-normalized'!$E:$E, MATCH($A104, 'KZ-normalized'!$A:$A, 0))&gt;0, -(10*INDEX('KZ-normalized'!$D:$D, MATCH($A104, 'KZ-normalized'!$A:$A, 0))-INDEX('KZ-normalized'!$E:$E, MATCH($A104, 'KZ-normalized'!$A:$A, 0))), 0), 0))+(IFERROR(IF(10*INDEX('UZ-normalized'!$D:$D, MATCH($A104, 'UZ-normalized'!$A:$A, 0))-INDEX('UZ-normalized'!$E:$E, MATCH($A104, 'UZ-normalized'!$A:$A, 0))&gt;0, -(10*INDEX('UZ-normalized'!$D:$D, MATCH($A104, 'UZ-normalized'!$A:$A, 0))-INDEX('UZ-normalized'!$E:$E, MATCH($A104, 'UZ-normalized'!$A:$A, 0))), 0), 0)))</f>
        <v>-393</v>
      </c>
      <c r="Y104" s="6">
        <f>MIN(0, N104+(IFERROR(IF(11*INDEX('UA-normalized'!$D:$D, MATCH($A104, 'UA-normalized'!$A:$A, 0))-INDEX('UA-normalized'!$E:$E, MATCH($A104, 'UA-normalized'!$A:$A, 0))&gt;0, -(11*INDEX('UA-normalized'!$D:$D, MATCH($A104, 'UA-normalized'!$A:$A, 0))-INDEX('UA-normalized'!$E:$E, MATCH($A104, 'UA-normalized'!$A:$A, 0))), 0), 0))+(IFERROR(IF(11*INDEX('KZ-normalized'!$D:$D, MATCH($A104, 'KZ-normalized'!$A:$A, 0))-INDEX('KZ-normalized'!$E:$E, MATCH($A104, 'KZ-normalized'!$A:$A, 0))&gt;0, -(11*INDEX('KZ-normalized'!$D:$D, MATCH($A104, 'KZ-normalized'!$A:$A, 0))-INDEX('KZ-normalized'!$E:$E, MATCH($A104, 'KZ-normalized'!$A:$A, 0))), 0), 0))+(IFERROR(IF(11*INDEX('UZ-normalized'!$D:$D, MATCH($A104, 'UZ-normalized'!$A:$A, 0))-INDEX('UZ-normalized'!$E:$E, MATCH($A104, 'UZ-normalized'!$A:$A, 0))&gt;0, -(11*INDEX('UZ-normalized'!$D:$D, MATCH($A104, 'UZ-normalized'!$A:$A, 0))-INDEX('UZ-normalized'!$E:$E, MATCH($A104, 'UZ-normalized'!$A:$A, 0))), 0), 0)))</f>
        <v>-445</v>
      </c>
      <c r="Z104" s="6">
        <f>MIN(0, N104+(IFERROR(IF(12*INDEX('UA-normalized'!$D:$D, MATCH($A104, 'UA-normalized'!$A:$A, 0))-INDEX('UA-normalized'!$E:$E, MATCH($A104, 'UA-normalized'!$A:$A, 0))&gt;0, -(12*INDEX('UA-normalized'!$D:$D, MATCH($A104, 'UA-normalized'!$A:$A, 0))-INDEX('UA-normalized'!$E:$E, MATCH($A104, 'UA-normalized'!$A:$A, 0))), 0), 0))+(IFERROR(IF(12*INDEX('KZ-normalized'!$D:$D, MATCH($A104, 'KZ-normalized'!$A:$A, 0))-INDEX('KZ-normalized'!$E:$E, MATCH($A104, 'KZ-normalized'!$A:$A, 0))&gt;0, -(12*INDEX('KZ-normalized'!$D:$D, MATCH($A104, 'KZ-normalized'!$A:$A, 0))-INDEX('KZ-normalized'!$E:$E, MATCH($A104, 'KZ-normalized'!$A:$A, 0))), 0), 0))+(IFERROR(IF(12*INDEX('UZ-normalized'!$D:$D, MATCH($A104, 'UZ-normalized'!$A:$A, 0))-INDEX('UZ-normalized'!$E:$E, MATCH($A104, 'UZ-normalized'!$A:$A, 0))&gt;0, -(12*INDEX('UZ-normalized'!$D:$D, MATCH($A104, 'UZ-normalized'!$A:$A, 0))-INDEX('UZ-normalized'!$E:$E, MATCH($A104, 'UZ-normalized'!$A:$A, 0))), 0), 0)))</f>
        <v>-497</v>
      </c>
      <c r="AA104" s="6">
        <f>MIN(0, N104+(IFERROR(IF(13*INDEX('UA-normalized'!$D:$D, MATCH($A104, 'UA-normalized'!$A:$A, 0))-INDEX('UA-normalized'!$E:$E, MATCH($A104, 'UA-normalized'!$A:$A, 0))&gt;0, -(13*INDEX('UA-normalized'!$D:$D, MATCH($A104, 'UA-normalized'!$A:$A, 0))-INDEX('UA-normalized'!$E:$E, MATCH($A104, 'UA-normalized'!$A:$A, 0))), 0), 0))+(IFERROR(IF(13*INDEX('KZ-normalized'!$D:$D, MATCH($A104, 'KZ-normalized'!$A:$A, 0))-INDEX('KZ-normalized'!$E:$E, MATCH($A104, 'KZ-normalized'!$A:$A, 0))&gt;0, -(13*INDEX('KZ-normalized'!$D:$D, MATCH($A104, 'KZ-normalized'!$A:$A, 0))-INDEX('KZ-normalized'!$E:$E, MATCH($A104, 'KZ-normalized'!$A:$A, 0))), 0), 0))+(IFERROR(IF(13*INDEX('UZ-normalized'!$D:$D, MATCH($A104, 'UZ-normalized'!$A:$A, 0))-INDEX('UZ-normalized'!$E:$E, MATCH($A104, 'UZ-normalized'!$A:$A, 0))&gt;0, -(13*INDEX('UZ-normalized'!$D:$D, MATCH($A104, 'UZ-normalized'!$A:$A, 0))-INDEX('UZ-normalized'!$E:$E, MATCH($A104, 'UZ-normalized'!$A:$A, 0))), 0), 0)))</f>
        <v>-549</v>
      </c>
      <c r="AB104" s="6">
        <f>MIN(0, N104+(IFERROR(IF(14*INDEX('UA-normalized'!$D:$D, MATCH($A104, 'UA-normalized'!$A:$A, 0))-INDEX('UA-normalized'!$E:$E, MATCH($A104, 'UA-normalized'!$A:$A, 0))&gt;0, -(14*INDEX('UA-normalized'!$D:$D, MATCH($A104, 'UA-normalized'!$A:$A, 0))-INDEX('UA-normalized'!$E:$E, MATCH($A104, 'UA-normalized'!$A:$A, 0))), 0), 0))+(IFERROR(IF(14*INDEX('KZ-normalized'!$D:$D, MATCH($A104, 'KZ-normalized'!$A:$A, 0))-INDEX('KZ-normalized'!$E:$E, MATCH($A104, 'KZ-normalized'!$A:$A, 0))&gt;0, -(14*INDEX('KZ-normalized'!$D:$D, MATCH($A104, 'KZ-normalized'!$A:$A, 0))-INDEX('KZ-normalized'!$E:$E, MATCH($A104, 'KZ-normalized'!$A:$A, 0))), 0), 0))+(IFERROR(IF(14*INDEX('UZ-normalized'!$D:$D, MATCH($A104, 'UZ-normalized'!$A:$A, 0))-INDEX('UZ-normalized'!$E:$E, MATCH($A104, 'UZ-normalized'!$A:$A, 0))&gt;0, -(14*INDEX('UZ-normalized'!$D:$D, MATCH($A104, 'UZ-normalized'!$A:$A, 0))-INDEX('UZ-normalized'!$E:$E, MATCH($A104, 'UZ-normalized'!$A:$A, 0))), 0), 0)))</f>
        <v>-601</v>
      </c>
      <c r="AC104" s="6">
        <f>MIN(0, N104+(IFERROR(IF(15*INDEX('UA-normalized'!$D:$D, MATCH($A104, 'UA-normalized'!$A:$A, 0))-INDEX('UA-normalized'!$E:$E, MATCH($A104, 'UA-normalized'!$A:$A, 0))&gt;0, -(15*INDEX('UA-normalized'!$D:$D, MATCH($A104, 'UA-normalized'!$A:$A, 0))-INDEX('UA-normalized'!$E:$E, MATCH($A104, 'UA-normalized'!$A:$A, 0))), 0), 0))+(IFERROR(IF(15*INDEX('KZ-normalized'!$D:$D, MATCH($A104, 'KZ-normalized'!$A:$A, 0))-INDEX('KZ-normalized'!$E:$E, MATCH($A104, 'KZ-normalized'!$A:$A, 0))&gt;0, -(15*INDEX('KZ-normalized'!$D:$D, MATCH($A104, 'KZ-normalized'!$A:$A, 0))-INDEX('KZ-normalized'!$E:$E, MATCH($A104, 'KZ-normalized'!$A:$A, 0))), 0), 0))+(IFERROR(IF(15*INDEX('UZ-normalized'!$D:$D, MATCH($A104, 'UZ-normalized'!$A:$A, 0))-INDEX('UZ-normalized'!$E:$E, MATCH($A104, 'UZ-normalized'!$A:$A, 0))&gt;0, -(15*INDEX('UZ-normalized'!$D:$D, MATCH($A104, 'UZ-normalized'!$A:$A, 0))-INDEX('UZ-normalized'!$E:$E, MATCH($A104, 'UZ-normalized'!$A:$A, 0))), 0), 0)))</f>
        <v>-653</v>
      </c>
      <c r="AD104" s="6">
        <f>MIN(0, N104+(IFERROR(IF(16*INDEX('UA-normalized'!$D:$D, MATCH($A104, 'UA-normalized'!$A:$A, 0))-INDEX('UA-normalized'!$E:$E, MATCH($A104, 'UA-normalized'!$A:$A, 0))&gt;0, -(16*INDEX('UA-normalized'!$D:$D, MATCH($A104, 'UA-normalized'!$A:$A, 0))-INDEX('UA-normalized'!$E:$E, MATCH($A104, 'UA-normalized'!$A:$A, 0))), 0), 0))+(IFERROR(IF(16*INDEX('KZ-normalized'!$D:$D, MATCH($A104, 'KZ-normalized'!$A:$A, 0))-INDEX('KZ-normalized'!$E:$E, MATCH($A104, 'KZ-normalized'!$A:$A, 0))&gt;0, -(16*INDEX('KZ-normalized'!$D:$D, MATCH($A104, 'KZ-normalized'!$A:$A, 0))-INDEX('KZ-normalized'!$E:$E, MATCH($A104, 'KZ-normalized'!$A:$A, 0))), 0), 0))+(IFERROR(IF(16*INDEX('UZ-normalized'!$D:$D, MATCH($A104, 'UZ-normalized'!$A:$A, 0))-INDEX('UZ-normalized'!$E:$E, MATCH($A104, 'UZ-normalized'!$A:$A, 0))&gt;0, -(16*INDEX('UZ-normalized'!$D:$D, MATCH($A104, 'UZ-normalized'!$A:$A, 0))-INDEX('UZ-normalized'!$E:$E, MATCH($A104, 'UZ-normalized'!$A:$A, 0))), 0), 0)))</f>
        <v>-705</v>
      </c>
      <c r="AE104" s="6">
        <f>MIN(0, N104+(IFERROR(IF(17*INDEX('UA-normalized'!$D:$D, MATCH($A104, 'UA-normalized'!$A:$A, 0))-INDEX('UA-normalized'!$E:$E, MATCH($A104, 'UA-normalized'!$A:$A, 0))&gt;0, -(17*INDEX('UA-normalized'!$D:$D, MATCH($A104, 'UA-normalized'!$A:$A, 0))-INDEX('UA-normalized'!$E:$E, MATCH($A104, 'UA-normalized'!$A:$A, 0))), 0), 0))+(IFERROR(IF(17*INDEX('KZ-normalized'!$D:$D, MATCH($A104, 'KZ-normalized'!$A:$A, 0))-INDEX('KZ-normalized'!$E:$E, MATCH($A104, 'KZ-normalized'!$A:$A, 0))&gt;0, -(17*INDEX('KZ-normalized'!$D:$D, MATCH($A104, 'KZ-normalized'!$A:$A, 0))-INDEX('KZ-normalized'!$E:$E, MATCH($A104, 'KZ-normalized'!$A:$A, 0))), 0), 0))+(IFERROR(IF(17*INDEX('UZ-normalized'!$D:$D, MATCH($A104, 'UZ-normalized'!$A:$A, 0))-INDEX('UZ-normalized'!$E:$E, MATCH($A104, 'UZ-normalized'!$A:$A, 0))&gt;0, -(17*INDEX('UZ-normalized'!$D:$D, MATCH($A104, 'UZ-normalized'!$A:$A, 0))-INDEX('UZ-normalized'!$E:$E, MATCH($A104, 'UZ-normalized'!$A:$A, 0))), 0), 0)))</f>
        <v>-757</v>
      </c>
      <c r="AF104" s="6">
        <f>MIN(0, N104+(IFERROR(IF(18*INDEX('UA-normalized'!$D:$D, MATCH($A104, 'UA-normalized'!$A:$A, 0))-INDEX('UA-normalized'!$E:$E, MATCH($A104, 'UA-normalized'!$A:$A, 0))&gt;0, -(18*INDEX('UA-normalized'!$D:$D, MATCH($A104, 'UA-normalized'!$A:$A, 0))-INDEX('UA-normalized'!$E:$E, MATCH($A104, 'UA-normalized'!$A:$A, 0))), 0), 0))+(IFERROR(IF(18*INDEX('KZ-normalized'!$D:$D, MATCH($A104, 'KZ-normalized'!$A:$A, 0))-INDEX('KZ-normalized'!$E:$E, MATCH($A104, 'KZ-normalized'!$A:$A, 0))&gt;0, -(18*INDEX('KZ-normalized'!$D:$D, MATCH($A104, 'KZ-normalized'!$A:$A, 0))-INDEX('KZ-normalized'!$E:$E, MATCH($A104, 'KZ-normalized'!$A:$A, 0))), 0), 0))+(IFERROR(IF(18*INDEX('UZ-normalized'!$D:$D, MATCH($A104, 'UZ-normalized'!$A:$A, 0))-INDEX('UZ-normalized'!$E:$E, MATCH($A104, 'UZ-normalized'!$A:$A, 0))&gt;0, -(18*INDEX('UZ-normalized'!$D:$D, MATCH($A104, 'UZ-normalized'!$A:$A, 0))-INDEX('UZ-normalized'!$E:$E, MATCH($A104, 'UZ-normalized'!$A:$A, 0))), 0), 0)))</f>
        <v>-809.5</v>
      </c>
      <c r="AG104" s="6">
        <f>MIN(0, N104+(IFERROR(IF(19*INDEX('UA-normalized'!$D:$D, MATCH($A104, 'UA-normalized'!$A:$A, 0))-INDEX('UA-normalized'!$E:$E, MATCH($A104, 'UA-normalized'!$A:$A, 0))&gt;0, -(19*INDEX('UA-normalized'!$D:$D, MATCH($A104, 'UA-normalized'!$A:$A, 0))-INDEX('UA-normalized'!$E:$E, MATCH($A104, 'UA-normalized'!$A:$A, 0))), 0), 0))+(IFERROR(IF(19*INDEX('KZ-normalized'!$D:$D, MATCH($A104, 'KZ-normalized'!$A:$A, 0))-INDEX('KZ-normalized'!$E:$E, MATCH($A104, 'KZ-normalized'!$A:$A, 0))&gt;0, -(19*INDEX('KZ-normalized'!$D:$D, MATCH($A104, 'KZ-normalized'!$A:$A, 0))-INDEX('KZ-normalized'!$E:$E, MATCH($A104, 'KZ-normalized'!$A:$A, 0))), 0), 0))+(IFERROR(IF(19*INDEX('UZ-normalized'!$D:$D, MATCH($A104, 'UZ-normalized'!$A:$A, 0))-INDEX('UZ-normalized'!$E:$E, MATCH($A104, 'UZ-normalized'!$A:$A, 0))&gt;0, -(19*INDEX('UZ-normalized'!$D:$D, MATCH($A104, 'UZ-normalized'!$A:$A, 0))-INDEX('UZ-normalized'!$E:$E, MATCH($A104, 'UZ-normalized'!$A:$A, 0))), 0), 0)))</f>
        <v>-862.25</v>
      </c>
      <c r="AH104" s="6">
        <f>MIN(0, N104+(IFERROR(IF(20*INDEX('UA-normalized'!$D:$D, MATCH($A104, 'UA-normalized'!$A:$A, 0))-INDEX('UA-normalized'!$E:$E, MATCH($A104, 'UA-normalized'!$A:$A, 0))&gt;0, -(20*INDEX('UA-normalized'!$D:$D, MATCH($A104, 'UA-normalized'!$A:$A, 0))-INDEX('UA-normalized'!$E:$E, MATCH($A104, 'UA-normalized'!$A:$A, 0))), 0), 0))+(IFERROR(IF(20*INDEX('KZ-normalized'!$D:$D, MATCH($A104, 'KZ-normalized'!$A:$A, 0))-INDEX('KZ-normalized'!$E:$E, MATCH($A104, 'KZ-normalized'!$A:$A, 0))&gt;0, -(20*INDEX('KZ-normalized'!$D:$D, MATCH($A104, 'KZ-normalized'!$A:$A, 0))-INDEX('KZ-normalized'!$E:$E, MATCH($A104, 'KZ-normalized'!$A:$A, 0))), 0), 0))+(IFERROR(IF(20*INDEX('UZ-normalized'!$D:$D, MATCH($A104, 'UZ-normalized'!$A:$A, 0))-INDEX('UZ-normalized'!$E:$E, MATCH($A104, 'UZ-normalized'!$A:$A, 0))&gt;0, -(20*INDEX('UZ-normalized'!$D:$D, MATCH($A104, 'UZ-normalized'!$A:$A, 0))-INDEX('UZ-normalized'!$E:$E, MATCH($A104, 'UZ-normalized'!$A:$A, 0))), 0), 0)))</f>
        <v>-915</v>
      </c>
      <c r="AI104" s="6">
        <f>MIN(0, N104+(IFERROR(IF(21*INDEX('UA-normalized'!$D:$D, MATCH($A104, 'UA-normalized'!$A:$A, 0))-INDEX('UA-normalized'!$E:$E, MATCH($A104, 'UA-normalized'!$A:$A, 0))&gt;0, -(21*INDEX('UA-normalized'!$D:$D, MATCH($A104, 'UA-normalized'!$A:$A, 0))-INDEX('UA-normalized'!$E:$E, MATCH($A104, 'UA-normalized'!$A:$A, 0))), 0), 0))+(IFERROR(IF(21*INDEX('KZ-normalized'!$D:$D, MATCH($A104, 'KZ-normalized'!$A:$A, 0))-INDEX('KZ-normalized'!$E:$E, MATCH($A104, 'KZ-normalized'!$A:$A, 0))&gt;0, -(21*INDEX('KZ-normalized'!$D:$D, MATCH($A104, 'KZ-normalized'!$A:$A, 0))-INDEX('KZ-normalized'!$E:$E, MATCH($A104, 'KZ-normalized'!$A:$A, 0))), 0), 0))+(IFERROR(IF(21*INDEX('UZ-normalized'!$D:$D, MATCH($A104, 'UZ-normalized'!$A:$A, 0))-INDEX('UZ-normalized'!$E:$E, MATCH($A104, 'UZ-normalized'!$A:$A, 0))&gt;0, -(21*INDEX('UZ-normalized'!$D:$D, MATCH($A104, 'UZ-normalized'!$A:$A, 0))-INDEX('UZ-normalized'!$E:$E, MATCH($A104, 'UZ-normalized'!$A:$A, 0))), 0), 0)))</f>
        <v>-967.75</v>
      </c>
      <c r="AJ104" s="6">
        <f>MIN(0, N104+(IFERROR(IF(22*INDEX('UA-normalized'!$D:$D, MATCH($A104, 'UA-normalized'!$A:$A, 0))-INDEX('UA-normalized'!$E:$E, MATCH($A104, 'UA-normalized'!$A:$A, 0))&gt;0, -(22*INDEX('UA-normalized'!$D:$D, MATCH($A104, 'UA-normalized'!$A:$A, 0))-INDEX('UA-normalized'!$E:$E, MATCH($A104, 'UA-normalized'!$A:$A, 0))), 0), 0))+(IFERROR(IF(22*INDEX('KZ-normalized'!$D:$D, MATCH($A104, 'KZ-normalized'!$A:$A, 0))-INDEX('KZ-normalized'!$E:$E, MATCH($A104, 'KZ-normalized'!$A:$A, 0))&gt;0, -(22*INDEX('KZ-normalized'!$D:$D, MATCH($A104, 'KZ-normalized'!$A:$A, 0))-INDEX('KZ-normalized'!$E:$E, MATCH($A104, 'KZ-normalized'!$A:$A, 0))), 0), 0))+(IFERROR(IF(22*INDEX('UZ-normalized'!$D:$D, MATCH($A104, 'UZ-normalized'!$A:$A, 0))-INDEX('UZ-normalized'!$E:$E, MATCH($A104, 'UZ-normalized'!$A:$A, 0))&gt;0, -(22*INDEX('UZ-normalized'!$D:$D, MATCH($A104, 'UZ-normalized'!$A:$A, 0))-INDEX('UZ-normalized'!$E:$E, MATCH($A104, 'UZ-normalized'!$A:$A, 0))), 0), 0)))</f>
        <v>-1020.5</v>
      </c>
      <c r="AK104" s="6">
        <f>MIN(0, N104+(IFERROR(IF(23*INDEX('UA-normalized'!$D:$D, MATCH($A104, 'UA-normalized'!$A:$A, 0))-INDEX('UA-normalized'!$E:$E, MATCH($A104, 'UA-normalized'!$A:$A, 0))&gt;0, -(23*INDEX('UA-normalized'!$D:$D, MATCH($A104, 'UA-normalized'!$A:$A, 0))-INDEX('UA-normalized'!$E:$E, MATCH($A104, 'UA-normalized'!$A:$A, 0))), 0), 0))+(IFERROR(IF(23*INDEX('KZ-normalized'!$D:$D, MATCH($A104, 'KZ-normalized'!$A:$A, 0))-INDEX('KZ-normalized'!$E:$E, MATCH($A104, 'KZ-normalized'!$A:$A, 0))&gt;0, -(23*INDEX('KZ-normalized'!$D:$D, MATCH($A104, 'KZ-normalized'!$A:$A, 0))-INDEX('KZ-normalized'!$E:$E, MATCH($A104, 'KZ-normalized'!$A:$A, 0))), 0), 0))+(IFERROR(IF(23*INDEX('UZ-normalized'!$D:$D, MATCH($A104, 'UZ-normalized'!$A:$A, 0))-INDEX('UZ-normalized'!$E:$E, MATCH($A104, 'UZ-normalized'!$A:$A, 0))&gt;0, -(23*INDEX('UZ-normalized'!$D:$D, MATCH($A104, 'UZ-normalized'!$A:$A, 0))-INDEX('UZ-normalized'!$E:$E, MATCH($A104, 'UZ-normalized'!$A:$A, 0))), 0), 0)))</f>
        <v>-1073.25</v>
      </c>
      <c r="AL104" s="6">
        <f>MIN(0, N104+(IFERROR(IF(24*INDEX('UA-normalized'!$D:$D, MATCH($A104, 'UA-normalized'!$A:$A, 0))-INDEX('UA-normalized'!$E:$E, MATCH($A104, 'UA-normalized'!$A:$A, 0))&gt;0, -(24*INDEX('UA-normalized'!$D:$D, MATCH($A104, 'UA-normalized'!$A:$A, 0))-INDEX('UA-normalized'!$E:$E, MATCH($A104, 'UA-normalized'!$A:$A, 0))), 0), 0))+(IFERROR(IF(24*INDEX('KZ-normalized'!$D:$D, MATCH($A104, 'KZ-normalized'!$A:$A, 0))-INDEX('KZ-normalized'!$E:$E, MATCH($A104, 'KZ-normalized'!$A:$A, 0))&gt;0, -(24*INDEX('KZ-normalized'!$D:$D, MATCH($A104, 'KZ-normalized'!$A:$A, 0))-INDEX('KZ-normalized'!$E:$E, MATCH($A104, 'KZ-normalized'!$A:$A, 0))), 0), 0))+(IFERROR(IF(24*INDEX('UZ-normalized'!$D:$D, MATCH($A104, 'UZ-normalized'!$A:$A, 0))-INDEX('UZ-normalized'!$E:$E, MATCH($A104, 'UZ-normalized'!$A:$A, 0))&gt;0, -(24*INDEX('UZ-normalized'!$D:$D, MATCH($A104, 'UZ-normalized'!$A:$A, 0))-INDEX('UZ-normalized'!$E:$E, MATCH($A104, 'UZ-normalized'!$A:$A, 0))), 0), 0)))</f>
        <v>-1126</v>
      </c>
      <c r="AM104" s="6">
        <f>MIN(0, N104+(IFERROR(IF(25*INDEX('UA-normalized'!$D:$D, MATCH($A104, 'UA-normalized'!$A:$A, 0))-INDEX('UA-normalized'!$E:$E, MATCH($A104, 'UA-normalized'!$A:$A, 0))&gt;0, -(25*INDEX('UA-normalized'!$D:$D, MATCH($A104, 'UA-normalized'!$A:$A, 0))-INDEX('UA-normalized'!$E:$E, MATCH($A104, 'UA-normalized'!$A:$A, 0))), 0), 0))+(IFERROR(IF(25*INDEX('KZ-normalized'!$D:$D, MATCH($A104, 'KZ-normalized'!$A:$A, 0))-INDEX('KZ-normalized'!$E:$E, MATCH($A104, 'KZ-normalized'!$A:$A, 0))&gt;0, -(25*INDEX('KZ-normalized'!$D:$D, MATCH($A104, 'KZ-normalized'!$A:$A, 0))-INDEX('KZ-normalized'!$E:$E, MATCH($A104, 'KZ-normalized'!$A:$A, 0))), 0), 0))+(IFERROR(IF(25*INDEX('UZ-normalized'!$D:$D, MATCH($A104, 'UZ-normalized'!$A:$A, 0))-INDEX('UZ-normalized'!$E:$E, MATCH($A104, 'UZ-normalized'!$A:$A, 0))&gt;0, -(25*INDEX('UZ-normalized'!$D:$D, MATCH($A104, 'UZ-normalized'!$A:$A, 0))-INDEX('UZ-normalized'!$E:$E, MATCH($A104, 'UZ-normalized'!$A:$A, 0))), 0), 0)))</f>
        <v>-1178.75</v>
      </c>
      <c r="AN104" s="6">
        <f>MIN(0, N104+(IFERROR(IF(26*INDEX('UA-normalized'!$D:$D, MATCH($A104, 'UA-normalized'!$A:$A, 0))-INDEX('UA-normalized'!$E:$E, MATCH($A104, 'UA-normalized'!$A:$A, 0))&gt;0, -(26*INDEX('UA-normalized'!$D:$D, MATCH($A104, 'UA-normalized'!$A:$A, 0))-INDEX('UA-normalized'!$E:$E, MATCH($A104, 'UA-normalized'!$A:$A, 0))), 0), 0))+(IFERROR(IF(26*INDEX('KZ-normalized'!$D:$D, MATCH($A104, 'KZ-normalized'!$A:$A, 0))-INDEX('KZ-normalized'!$E:$E, MATCH($A104, 'KZ-normalized'!$A:$A, 0))&gt;0, -(26*INDEX('KZ-normalized'!$D:$D, MATCH($A104, 'KZ-normalized'!$A:$A, 0))-INDEX('KZ-normalized'!$E:$E, MATCH($A104, 'KZ-normalized'!$A:$A, 0))), 0), 0))+(IFERROR(IF(26*INDEX('UZ-normalized'!$D:$D, MATCH($A104, 'UZ-normalized'!$A:$A, 0))-INDEX('UZ-normalized'!$E:$E, MATCH($A104, 'UZ-normalized'!$A:$A, 0))&gt;0, -(26*INDEX('UZ-normalized'!$D:$D, MATCH($A104, 'UZ-normalized'!$A:$A, 0))-INDEX('UZ-normalized'!$E:$E, MATCH($A104, 'UZ-normalized'!$A:$A, 0))), 0), 0)))</f>
        <v>-1231.5</v>
      </c>
      <c r="AO104" s="6">
        <f>MIN(0, N104+(IFERROR(IF(27*INDEX('UA-normalized'!$D:$D, MATCH($A104, 'UA-normalized'!$A:$A, 0))-INDEX('UA-normalized'!$E:$E, MATCH($A104, 'UA-normalized'!$A:$A, 0))&gt;0, -(27*INDEX('UA-normalized'!$D:$D, MATCH($A104, 'UA-normalized'!$A:$A, 0))-INDEX('UA-normalized'!$E:$E, MATCH($A104, 'UA-normalized'!$A:$A, 0))), 0), 0))+(IFERROR(IF(27*INDEX('KZ-normalized'!$D:$D, MATCH($A104, 'KZ-normalized'!$A:$A, 0))-INDEX('KZ-normalized'!$E:$E, MATCH($A104, 'KZ-normalized'!$A:$A, 0))&gt;0, -(27*INDEX('KZ-normalized'!$D:$D, MATCH($A104, 'KZ-normalized'!$A:$A, 0))-INDEX('KZ-normalized'!$E:$E, MATCH($A104, 'KZ-normalized'!$A:$A, 0))), 0), 0))+(IFERROR(IF(27*INDEX('UZ-normalized'!$D:$D, MATCH($A104, 'UZ-normalized'!$A:$A, 0))-INDEX('UZ-normalized'!$E:$E, MATCH($A104, 'UZ-normalized'!$A:$A, 0))&gt;0, -(27*INDEX('UZ-normalized'!$D:$D, MATCH($A104, 'UZ-normalized'!$A:$A, 0))-INDEX('UZ-normalized'!$E:$E, MATCH($A104, 'UZ-normalized'!$A:$A, 0))), 0), 0)))</f>
        <v>-1284.25</v>
      </c>
      <c r="AP104" s="6">
        <f>MIN(0, N104+(IFERROR(IF(28*INDEX('UA-normalized'!$D:$D, MATCH($A104, 'UA-normalized'!$A:$A, 0))-INDEX('UA-normalized'!$E:$E, MATCH($A104, 'UA-normalized'!$A:$A, 0))&gt;0, -(28*INDEX('UA-normalized'!$D:$D, MATCH($A104, 'UA-normalized'!$A:$A, 0))-INDEX('UA-normalized'!$E:$E, MATCH($A104, 'UA-normalized'!$A:$A, 0))), 0), 0))+(IFERROR(IF(28*INDEX('KZ-normalized'!$D:$D, MATCH($A104, 'KZ-normalized'!$A:$A, 0))-INDEX('KZ-normalized'!$E:$E, MATCH($A104, 'KZ-normalized'!$A:$A, 0))&gt;0, -(28*INDEX('KZ-normalized'!$D:$D, MATCH($A104, 'KZ-normalized'!$A:$A, 0))-INDEX('KZ-normalized'!$E:$E, MATCH($A104, 'KZ-normalized'!$A:$A, 0))), 0), 0))+(IFERROR(IF(28*INDEX('UZ-normalized'!$D:$D, MATCH($A104, 'UZ-normalized'!$A:$A, 0))-INDEX('UZ-normalized'!$E:$E, MATCH($A104, 'UZ-normalized'!$A:$A, 0))&gt;0, -(28*INDEX('UZ-normalized'!$D:$D, MATCH($A104, 'UZ-normalized'!$A:$A, 0))-INDEX('UZ-normalized'!$E:$E, MATCH($A104, 'UZ-normalized'!$A:$A, 0))), 0), 0)))</f>
        <v>-1337</v>
      </c>
      <c r="AQ104" s="6">
        <f>MIN(0, N104+(IFERROR(IF(29*INDEX('UA-normalized'!$D:$D, MATCH($A104, 'UA-normalized'!$A:$A, 0))-INDEX('UA-normalized'!$E:$E, MATCH($A104, 'UA-normalized'!$A:$A, 0))&gt;0, -(29*INDEX('UA-normalized'!$D:$D, MATCH($A104, 'UA-normalized'!$A:$A, 0))-INDEX('UA-normalized'!$E:$E, MATCH($A104, 'UA-normalized'!$A:$A, 0))), 0), 0))+(IFERROR(IF(29*INDEX('KZ-normalized'!$D:$D, MATCH($A104, 'KZ-normalized'!$A:$A, 0))-INDEX('KZ-normalized'!$E:$E, MATCH($A104, 'KZ-normalized'!$A:$A, 0))&gt;0, -(29*INDEX('KZ-normalized'!$D:$D, MATCH($A104, 'KZ-normalized'!$A:$A, 0))-INDEX('KZ-normalized'!$E:$E, MATCH($A104, 'KZ-normalized'!$A:$A, 0))), 0), 0))+(IFERROR(IF(29*INDEX('UZ-normalized'!$D:$D, MATCH($A104, 'UZ-normalized'!$A:$A, 0))-INDEX('UZ-normalized'!$E:$E, MATCH($A104, 'UZ-normalized'!$A:$A, 0))&gt;0, -(29*INDEX('UZ-normalized'!$D:$D, MATCH($A104, 'UZ-normalized'!$A:$A, 0))-INDEX('UZ-normalized'!$E:$E, MATCH($A104, 'UZ-normalized'!$A:$A, 0))), 0), 0)))</f>
        <v>-1389.75</v>
      </c>
      <c r="AR104" s="6">
        <f>MIN(0, N104+(IFERROR(IF(30*INDEX('UA-normalized'!$D:$D, MATCH($A104, 'UA-normalized'!$A:$A, 0))-INDEX('UA-normalized'!$E:$E, MATCH($A104, 'UA-normalized'!$A:$A, 0))&gt;0, -(30*INDEX('UA-normalized'!$D:$D, MATCH($A104, 'UA-normalized'!$A:$A, 0))-INDEX('UA-normalized'!$E:$E, MATCH($A104, 'UA-normalized'!$A:$A, 0))), 0), 0))+(IFERROR(IF(30*INDEX('KZ-normalized'!$D:$D, MATCH($A104, 'KZ-normalized'!$A:$A, 0))-INDEX('KZ-normalized'!$E:$E, MATCH($A104, 'KZ-normalized'!$A:$A, 0))&gt;0, -(30*INDEX('KZ-normalized'!$D:$D, MATCH($A104, 'KZ-normalized'!$A:$A, 0))-INDEX('KZ-normalized'!$E:$E, MATCH($A104, 'KZ-normalized'!$A:$A, 0))), 0), 0))+(IFERROR(IF(30*INDEX('UZ-normalized'!$D:$D, MATCH($A104, 'UZ-normalized'!$A:$A, 0))-INDEX('UZ-normalized'!$E:$E, MATCH($A104, 'UZ-normalized'!$A:$A, 0))&gt;0, -(30*INDEX('UZ-normalized'!$D:$D, MATCH($A104, 'UZ-normalized'!$A:$A, 0))-INDEX('UZ-normalized'!$E:$E, MATCH($A104, 'UZ-normalized'!$A:$A, 0))), 0), 0)))</f>
        <v>-1442.5</v>
      </c>
    </row>
    <row r="105" spans="1:44" x14ac:dyDescent="0.25">
      <c r="A105" s="8" t="s">
        <v>262</v>
      </c>
      <c r="B105" s="8" t="s">
        <v>180</v>
      </c>
      <c r="C105" s="8" t="s">
        <v>256</v>
      </c>
      <c r="D105" s="8" t="s">
        <v>263</v>
      </c>
      <c r="G105">
        <v>-50</v>
      </c>
      <c r="N105">
        <f t="shared" si="1"/>
        <v>-50</v>
      </c>
      <c r="O105" s="6">
        <f>MIN(0, N105+(IFERROR(IF(1*INDEX('UA-normalized'!$D:$D, MATCH($A105, 'UA-normalized'!$A:$A, 0))-INDEX('UA-normalized'!$E:$E, MATCH($A105, 'UA-normalized'!$A:$A, 0))&gt;0, -(1*INDEX('UA-normalized'!$D:$D, MATCH($A105, 'UA-normalized'!$A:$A, 0))-INDEX('UA-normalized'!$E:$E, MATCH($A105, 'UA-normalized'!$A:$A, 0))), 0), 0))+(IFERROR(IF(1*INDEX('KZ-normalized'!$D:$D, MATCH($A105, 'KZ-normalized'!$A:$A, 0))-INDEX('KZ-normalized'!$E:$E, MATCH($A105, 'KZ-normalized'!$A:$A, 0))&gt;0, -(1*INDEX('KZ-normalized'!$D:$D, MATCH($A105, 'KZ-normalized'!$A:$A, 0))-INDEX('KZ-normalized'!$E:$E, MATCH($A105, 'KZ-normalized'!$A:$A, 0))), 0), 0))+(IFERROR(IF(1*INDEX('UZ-normalized'!$D:$D, MATCH($A105, 'UZ-normalized'!$A:$A, 0))-INDEX('UZ-normalized'!$E:$E, MATCH($A105, 'UZ-normalized'!$A:$A, 0))&gt;0, -(1*INDEX('UZ-normalized'!$D:$D, MATCH($A105, 'UZ-normalized'!$A:$A, 0))-INDEX('UZ-normalized'!$E:$E, MATCH($A105, 'UZ-normalized'!$A:$A, 0))), 0), 0)))</f>
        <v>-50</v>
      </c>
      <c r="P105" s="6">
        <f>MIN(0, N105+(IFERROR(IF(2*INDEX('UA-normalized'!$D:$D, MATCH($A105, 'UA-normalized'!$A:$A, 0))-INDEX('UA-normalized'!$E:$E, MATCH($A105, 'UA-normalized'!$A:$A, 0))&gt;0, -(2*INDEX('UA-normalized'!$D:$D, MATCH($A105, 'UA-normalized'!$A:$A, 0))-INDEX('UA-normalized'!$E:$E, MATCH($A105, 'UA-normalized'!$A:$A, 0))), 0), 0))+(IFERROR(IF(2*INDEX('KZ-normalized'!$D:$D, MATCH($A105, 'KZ-normalized'!$A:$A, 0))-INDEX('KZ-normalized'!$E:$E, MATCH($A105, 'KZ-normalized'!$A:$A, 0))&gt;0, -(2*INDEX('KZ-normalized'!$D:$D, MATCH($A105, 'KZ-normalized'!$A:$A, 0))-INDEX('KZ-normalized'!$E:$E, MATCH($A105, 'KZ-normalized'!$A:$A, 0))), 0), 0))+(IFERROR(IF(2*INDEX('UZ-normalized'!$D:$D, MATCH($A105, 'UZ-normalized'!$A:$A, 0))-INDEX('UZ-normalized'!$E:$E, MATCH($A105, 'UZ-normalized'!$A:$A, 0))&gt;0, -(2*INDEX('UZ-normalized'!$D:$D, MATCH($A105, 'UZ-normalized'!$A:$A, 0))-INDEX('UZ-normalized'!$E:$E, MATCH($A105, 'UZ-normalized'!$A:$A, 0))), 0), 0)))</f>
        <v>-50</v>
      </c>
      <c r="Q105" s="6">
        <f>MIN(0, N105+(IFERROR(IF(3*INDEX('UA-normalized'!$D:$D, MATCH($A105, 'UA-normalized'!$A:$A, 0))-INDEX('UA-normalized'!$E:$E, MATCH($A105, 'UA-normalized'!$A:$A, 0))&gt;0, -(3*INDEX('UA-normalized'!$D:$D, MATCH($A105, 'UA-normalized'!$A:$A, 0))-INDEX('UA-normalized'!$E:$E, MATCH($A105, 'UA-normalized'!$A:$A, 0))), 0), 0))+(IFERROR(IF(3*INDEX('KZ-normalized'!$D:$D, MATCH($A105, 'KZ-normalized'!$A:$A, 0))-INDEX('KZ-normalized'!$E:$E, MATCH($A105, 'KZ-normalized'!$A:$A, 0))&gt;0, -(3*INDEX('KZ-normalized'!$D:$D, MATCH($A105, 'KZ-normalized'!$A:$A, 0))-INDEX('KZ-normalized'!$E:$E, MATCH($A105, 'KZ-normalized'!$A:$A, 0))), 0), 0))+(IFERROR(IF(3*INDEX('UZ-normalized'!$D:$D, MATCH($A105, 'UZ-normalized'!$A:$A, 0))-INDEX('UZ-normalized'!$E:$E, MATCH($A105, 'UZ-normalized'!$A:$A, 0))&gt;0, -(3*INDEX('UZ-normalized'!$D:$D, MATCH($A105, 'UZ-normalized'!$A:$A, 0))-INDEX('UZ-normalized'!$E:$E, MATCH($A105, 'UZ-normalized'!$A:$A, 0))), 0), 0)))</f>
        <v>-50</v>
      </c>
      <c r="R105" s="6">
        <f>MIN(0, N105+(IFERROR(IF(4*INDEX('UA-normalized'!$D:$D, MATCH($A105, 'UA-normalized'!$A:$A, 0))-INDEX('UA-normalized'!$E:$E, MATCH($A105, 'UA-normalized'!$A:$A, 0))&gt;0, -(4*INDEX('UA-normalized'!$D:$D, MATCH($A105, 'UA-normalized'!$A:$A, 0))-INDEX('UA-normalized'!$E:$E, MATCH($A105, 'UA-normalized'!$A:$A, 0))), 0), 0))+(IFERROR(IF(4*INDEX('KZ-normalized'!$D:$D, MATCH($A105, 'KZ-normalized'!$A:$A, 0))-INDEX('KZ-normalized'!$E:$E, MATCH($A105, 'KZ-normalized'!$A:$A, 0))&gt;0, -(4*INDEX('KZ-normalized'!$D:$D, MATCH($A105, 'KZ-normalized'!$A:$A, 0))-INDEX('KZ-normalized'!$E:$E, MATCH($A105, 'KZ-normalized'!$A:$A, 0))), 0), 0))+(IFERROR(IF(4*INDEX('UZ-normalized'!$D:$D, MATCH($A105, 'UZ-normalized'!$A:$A, 0))-INDEX('UZ-normalized'!$E:$E, MATCH($A105, 'UZ-normalized'!$A:$A, 0))&gt;0, -(4*INDEX('UZ-normalized'!$D:$D, MATCH($A105, 'UZ-normalized'!$A:$A, 0))-INDEX('UZ-normalized'!$E:$E, MATCH($A105, 'UZ-normalized'!$A:$A, 0))), 0), 0)))</f>
        <v>-50</v>
      </c>
      <c r="S105" s="6">
        <f>MIN(0, N105+(IFERROR(IF(5*INDEX('UA-normalized'!$D:$D, MATCH($A105, 'UA-normalized'!$A:$A, 0))-INDEX('UA-normalized'!$E:$E, MATCH($A105, 'UA-normalized'!$A:$A, 0))&gt;0, -(5*INDEX('UA-normalized'!$D:$D, MATCH($A105, 'UA-normalized'!$A:$A, 0))-INDEX('UA-normalized'!$E:$E, MATCH($A105, 'UA-normalized'!$A:$A, 0))), 0), 0))+(IFERROR(IF(5*INDEX('KZ-normalized'!$D:$D, MATCH($A105, 'KZ-normalized'!$A:$A, 0))-INDEX('KZ-normalized'!$E:$E, MATCH($A105, 'KZ-normalized'!$A:$A, 0))&gt;0, -(5*INDEX('KZ-normalized'!$D:$D, MATCH($A105, 'KZ-normalized'!$A:$A, 0))-INDEX('KZ-normalized'!$E:$E, MATCH($A105, 'KZ-normalized'!$A:$A, 0))), 0), 0))+(IFERROR(IF(5*INDEX('UZ-normalized'!$D:$D, MATCH($A105, 'UZ-normalized'!$A:$A, 0))-INDEX('UZ-normalized'!$E:$E, MATCH($A105, 'UZ-normalized'!$A:$A, 0))&gt;0, -(5*INDEX('UZ-normalized'!$D:$D, MATCH($A105, 'UZ-normalized'!$A:$A, 0))-INDEX('UZ-normalized'!$E:$E, MATCH($A105, 'UZ-normalized'!$A:$A, 0))), 0), 0)))</f>
        <v>-50</v>
      </c>
      <c r="T105" s="6">
        <f>MIN(0, N105+(IFERROR(IF(6*INDEX('UA-normalized'!$D:$D, MATCH($A105, 'UA-normalized'!$A:$A, 0))-INDEX('UA-normalized'!$E:$E, MATCH($A105, 'UA-normalized'!$A:$A, 0))&gt;0, -(6*INDEX('UA-normalized'!$D:$D, MATCH($A105, 'UA-normalized'!$A:$A, 0))-INDEX('UA-normalized'!$E:$E, MATCH($A105, 'UA-normalized'!$A:$A, 0))), 0), 0))+(IFERROR(IF(6*INDEX('KZ-normalized'!$D:$D, MATCH($A105, 'KZ-normalized'!$A:$A, 0))-INDEX('KZ-normalized'!$E:$E, MATCH($A105, 'KZ-normalized'!$A:$A, 0))&gt;0, -(6*INDEX('KZ-normalized'!$D:$D, MATCH($A105, 'KZ-normalized'!$A:$A, 0))-INDEX('KZ-normalized'!$E:$E, MATCH($A105, 'KZ-normalized'!$A:$A, 0))), 0), 0))+(IFERROR(IF(6*INDEX('UZ-normalized'!$D:$D, MATCH($A105, 'UZ-normalized'!$A:$A, 0))-INDEX('UZ-normalized'!$E:$E, MATCH($A105, 'UZ-normalized'!$A:$A, 0))&gt;0, -(6*INDEX('UZ-normalized'!$D:$D, MATCH($A105, 'UZ-normalized'!$A:$A, 0))-INDEX('UZ-normalized'!$E:$E, MATCH($A105, 'UZ-normalized'!$A:$A, 0))), 0), 0)))</f>
        <v>-57</v>
      </c>
      <c r="U105" s="6">
        <f>MIN(0, N105+(IFERROR(IF(7*INDEX('UA-normalized'!$D:$D, MATCH($A105, 'UA-normalized'!$A:$A, 0))-INDEX('UA-normalized'!$E:$E, MATCH($A105, 'UA-normalized'!$A:$A, 0))&gt;0, -(7*INDEX('UA-normalized'!$D:$D, MATCH($A105, 'UA-normalized'!$A:$A, 0))-INDEX('UA-normalized'!$E:$E, MATCH($A105, 'UA-normalized'!$A:$A, 0))), 0), 0))+(IFERROR(IF(7*INDEX('KZ-normalized'!$D:$D, MATCH($A105, 'KZ-normalized'!$A:$A, 0))-INDEX('KZ-normalized'!$E:$E, MATCH($A105, 'KZ-normalized'!$A:$A, 0))&gt;0, -(7*INDEX('KZ-normalized'!$D:$D, MATCH($A105, 'KZ-normalized'!$A:$A, 0))-INDEX('KZ-normalized'!$E:$E, MATCH($A105, 'KZ-normalized'!$A:$A, 0))), 0), 0))+(IFERROR(IF(7*INDEX('UZ-normalized'!$D:$D, MATCH($A105, 'UZ-normalized'!$A:$A, 0))-INDEX('UZ-normalized'!$E:$E, MATCH($A105, 'UZ-normalized'!$A:$A, 0))&gt;0, -(7*INDEX('UZ-normalized'!$D:$D, MATCH($A105, 'UZ-normalized'!$A:$A, 0))-INDEX('UZ-normalized'!$E:$E, MATCH($A105, 'UZ-normalized'!$A:$A, 0))), 0), 0)))</f>
        <v>-77</v>
      </c>
      <c r="V105" s="6">
        <f>MIN(0, N105+(IFERROR(IF(8*INDEX('UA-normalized'!$D:$D, MATCH($A105, 'UA-normalized'!$A:$A, 0))-INDEX('UA-normalized'!$E:$E, MATCH($A105, 'UA-normalized'!$A:$A, 0))&gt;0, -(8*INDEX('UA-normalized'!$D:$D, MATCH($A105, 'UA-normalized'!$A:$A, 0))-INDEX('UA-normalized'!$E:$E, MATCH($A105, 'UA-normalized'!$A:$A, 0))), 0), 0))+(IFERROR(IF(8*INDEX('KZ-normalized'!$D:$D, MATCH($A105, 'KZ-normalized'!$A:$A, 0))-INDEX('KZ-normalized'!$E:$E, MATCH($A105, 'KZ-normalized'!$A:$A, 0))&gt;0, -(8*INDEX('KZ-normalized'!$D:$D, MATCH($A105, 'KZ-normalized'!$A:$A, 0))-INDEX('KZ-normalized'!$E:$E, MATCH($A105, 'KZ-normalized'!$A:$A, 0))), 0), 0))+(IFERROR(IF(8*INDEX('UZ-normalized'!$D:$D, MATCH($A105, 'UZ-normalized'!$A:$A, 0))-INDEX('UZ-normalized'!$E:$E, MATCH($A105, 'UZ-normalized'!$A:$A, 0))&gt;0, -(8*INDEX('UZ-normalized'!$D:$D, MATCH($A105, 'UZ-normalized'!$A:$A, 0))-INDEX('UZ-normalized'!$E:$E, MATCH($A105, 'UZ-normalized'!$A:$A, 0))), 0), 0)))</f>
        <v>-97</v>
      </c>
      <c r="W105" s="6">
        <f>MIN(0, N105+(IFERROR(IF(9*INDEX('UA-normalized'!$D:$D, MATCH($A105, 'UA-normalized'!$A:$A, 0))-INDEX('UA-normalized'!$E:$E, MATCH($A105, 'UA-normalized'!$A:$A, 0))&gt;0, -(9*INDEX('UA-normalized'!$D:$D, MATCH($A105, 'UA-normalized'!$A:$A, 0))-INDEX('UA-normalized'!$E:$E, MATCH($A105, 'UA-normalized'!$A:$A, 0))), 0), 0))+(IFERROR(IF(9*INDEX('KZ-normalized'!$D:$D, MATCH($A105, 'KZ-normalized'!$A:$A, 0))-INDEX('KZ-normalized'!$E:$E, MATCH($A105, 'KZ-normalized'!$A:$A, 0))&gt;0, -(9*INDEX('KZ-normalized'!$D:$D, MATCH($A105, 'KZ-normalized'!$A:$A, 0))-INDEX('KZ-normalized'!$E:$E, MATCH($A105, 'KZ-normalized'!$A:$A, 0))), 0), 0))+(IFERROR(IF(9*INDEX('UZ-normalized'!$D:$D, MATCH($A105, 'UZ-normalized'!$A:$A, 0))-INDEX('UZ-normalized'!$E:$E, MATCH($A105, 'UZ-normalized'!$A:$A, 0))&gt;0, -(9*INDEX('UZ-normalized'!$D:$D, MATCH($A105, 'UZ-normalized'!$A:$A, 0))-INDEX('UZ-normalized'!$E:$E, MATCH($A105, 'UZ-normalized'!$A:$A, 0))), 0), 0)))</f>
        <v>-117</v>
      </c>
      <c r="X105" s="6">
        <f>MIN(0, N105+(IFERROR(IF(10*INDEX('UA-normalized'!$D:$D, MATCH($A105, 'UA-normalized'!$A:$A, 0))-INDEX('UA-normalized'!$E:$E, MATCH($A105, 'UA-normalized'!$A:$A, 0))&gt;0, -(10*INDEX('UA-normalized'!$D:$D, MATCH($A105, 'UA-normalized'!$A:$A, 0))-INDEX('UA-normalized'!$E:$E, MATCH($A105, 'UA-normalized'!$A:$A, 0))), 0), 0))+(IFERROR(IF(10*INDEX('KZ-normalized'!$D:$D, MATCH($A105, 'KZ-normalized'!$A:$A, 0))-INDEX('KZ-normalized'!$E:$E, MATCH($A105, 'KZ-normalized'!$A:$A, 0))&gt;0, -(10*INDEX('KZ-normalized'!$D:$D, MATCH($A105, 'KZ-normalized'!$A:$A, 0))-INDEX('KZ-normalized'!$E:$E, MATCH($A105, 'KZ-normalized'!$A:$A, 0))), 0), 0))+(IFERROR(IF(10*INDEX('UZ-normalized'!$D:$D, MATCH($A105, 'UZ-normalized'!$A:$A, 0))-INDEX('UZ-normalized'!$E:$E, MATCH($A105, 'UZ-normalized'!$A:$A, 0))&gt;0, -(10*INDEX('UZ-normalized'!$D:$D, MATCH($A105, 'UZ-normalized'!$A:$A, 0))-INDEX('UZ-normalized'!$E:$E, MATCH($A105, 'UZ-normalized'!$A:$A, 0))), 0), 0)))</f>
        <v>-137</v>
      </c>
      <c r="Y105" s="6">
        <f>MIN(0, N105+(IFERROR(IF(11*INDEX('UA-normalized'!$D:$D, MATCH($A105, 'UA-normalized'!$A:$A, 0))-INDEX('UA-normalized'!$E:$E, MATCH($A105, 'UA-normalized'!$A:$A, 0))&gt;0, -(11*INDEX('UA-normalized'!$D:$D, MATCH($A105, 'UA-normalized'!$A:$A, 0))-INDEX('UA-normalized'!$E:$E, MATCH($A105, 'UA-normalized'!$A:$A, 0))), 0), 0))+(IFERROR(IF(11*INDEX('KZ-normalized'!$D:$D, MATCH($A105, 'KZ-normalized'!$A:$A, 0))-INDEX('KZ-normalized'!$E:$E, MATCH($A105, 'KZ-normalized'!$A:$A, 0))&gt;0, -(11*INDEX('KZ-normalized'!$D:$D, MATCH($A105, 'KZ-normalized'!$A:$A, 0))-INDEX('KZ-normalized'!$E:$E, MATCH($A105, 'KZ-normalized'!$A:$A, 0))), 0), 0))+(IFERROR(IF(11*INDEX('UZ-normalized'!$D:$D, MATCH($A105, 'UZ-normalized'!$A:$A, 0))-INDEX('UZ-normalized'!$E:$E, MATCH($A105, 'UZ-normalized'!$A:$A, 0))&gt;0, -(11*INDEX('UZ-normalized'!$D:$D, MATCH($A105, 'UZ-normalized'!$A:$A, 0))-INDEX('UZ-normalized'!$E:$E, MATCH($A105, 'UZ-normalized'!$A:$A, 0))), 0), 0)))</f>
        <v>-157</v>
      </c>
      <c r="Z105" s="6">
        <f>MIN(0, N105+(IFERROR(IF(12*INDEX('UA-normalized'!$D:$D, MATCH($A105, 'UA-normalized'!$A:$A, 0))-INDEX('UA-normalized'!$E:$E, MATCH($A105, 'UA-normalized'!$A:$A, 0))&gt;0, -(12*INDEX('UA-normalized'!$D:$D, MATCH($A105, 'UA-normalized'!$A:$A, 0))-INDEX('UA-normalized'!$E:$E, MATCH($A105, 'UA-normalized'!$A:$A, 0))), 0), 0))+(IFERROR(IF(12*INDEX('KZ-normalized'!$D:$D, MATCH($A105, 'KZ-normalized'!$A:$A, 0))-INDEX('KZ-normalized'!$E:$E, MATCH($A105, 'KZ-normalized'!$A:$A, 0))&gt;0, -(12*INDEX('KZ-normalized'!$D:$D, MATCH($A105, 'KZ-normalized'!$A:$A, 0))-INDEX('KZ-normalized'!$E:$E, MATCH($A105, 'KZ-normalized'!$A:$A, 0))), 0), 0))+(IFERROR(IF(12*INDEX('UZ-normalized'!$D:$D, MATCH($A105, 'UZ-normalized'!$A:$A, 0))-INDEX('UZ-normalized'!$E:$E, MATCH($A105, 'UZ-normalized'!$A:$A, 0))&gt;0, -(12*INDEX('UZ-normalized'!$D:$D, MATCH($A105, 'UZ-normalized'!$A:$A, 0))-INDEX('UZ-normalized'!$E:$E, MATCH($A105, 'UZ-normalized'!$A:$A, 0))), 0), 0)))</f>
        <v>-177</v>
      </c>
      <c r="AA105" s="6">
        <f>MIN(0, N105+(IFERROR(IF(13*INDEX('UA-normalized'!$D:$D, MATCH($A105, 'UA-normalized'!$A:$A, 0))-INDEX('UA-normalized'!$E:$E, MATCH($A105, 'UA-normalized'!$A:$A, 0))&gt;0, -(13*INDEX('UA-normalized'!$D:$D, MATCH($A105, 'UA-normalized'!$A:$A, 0))-INDEX('UA-normalized'!$E:$E, MATCH($A105, 'UA-normalized'!$A:$A, 0))), 0), 0))+(IFERROR(IF(13*INDEX('KZ-normalized'!$D:$D, MATCH($A105, 'KZ-normalized'!$A:$A, 0))-INDEX('KZ-normalized'!$E:$E, MATCH($A105, 'KZ-normalized'!$A:$A, 0))&gt;0, -(13*INDEX('KZ-normalized'!$D:$D, MATCH($A105, 'KZ-normalized'!$A:$A, 0))-INDEX('KZ-normalized'!$E:$E, MATCH($A105, 'KZ-normalized'!$A:$A, 0))), 0), 0))+(IFERROR(IF(13*INDEX('UZ-normalized'!$D:$D, MATCH($A105, 'UZ-normalized'!$A:$A, 0))-INDEX('UZ-normalized'!$E:$E, MATCH($A105, 'UZ-normalized'!$A:$A, 0))&gt;0, -(13*INDEX('UZ-normalized'!$D:$D, MATCH($A105, 'UZ-normalized'!$A:$A, 0))-INDEX('UZ-normalized'!$E:$E, MATCH($A105, 'UZ-normalized'!$A:$A, 0))), 0), 0)))</f>
        <v>-197</v>
      </c>
      <c r="AB105" s="6">
        <f>MIN(0, N105+(IFERROR(IF(14*INDEX('UA-normalized'!$D:$D, MATCH($A105, 'UA-normalized'!$A:$A, 0))-INDEX('UA-normalized'!$E:$E, MATCH($A105, 'UA-normalized'!$A:$A, 0))&gt;0, -(14*INDEX('UA-normalized'!$D:$D, MATCH($A105, 'UA-normalized'!$A:$A, 0))-INDEX('UA-normalized'!$E:$E, MATCH($A105, 'UA-normalized'!$A:$A, 0))), 0), 0))+(IFERROR(IF(14*INDEX('KZ-normalized'!$D:$D, MATCH($A105, 'KZ-normalized'!$A:$A, 0))-INDEX('KZ-normalized'!$E:$E, MATCH($A105, 'KZ-normalized'!$A:$A, 0))&gt;0, -(14*INDEX('KZ-normalized'!$D:$D, MATCH($A105, 'KZ-normalized'!$A:$A, 0))-INDEX('KZ-normalized'!$E:$E, MATCH($A105, 'KZ-normalized'!$A:$A, 0))), 0), 0))+(IFERROR(IF(14*INDEX('UZ-normalized'!$D:$D, MATCH($A105, 'UZ-normalized'!$A:$A, 0))-INDEX('UZ-normalized'!$E:$E, MATCH($A105, 'UZ-normalized'!$A:$A, 0))&gt;0, -(14*INDEX('UZ-normalized'!$D:$D, MATCH($A105, 'UZ-normalized'!$A:$A, 0))-INDEX('UZ-normalized'!$E:$E, MATCH($A105, 'UZ-normalized'!$A:$A, 0))), 0), 0)))</f>
        <v>-217</v>
      </c>
      <c r="AC105" s="6">
        <f>MIN(0, N105+(IFERROR(IF(15*INDEX('UA-normalized'!$D:$D, MATCH($A105, 'UA-normalized'!$A:$A, 0))-INDEX('UA-normalized'!$E:$E, MATCH($A105, 'UA-normalized'!$A:$A, 0))&gt;0, -(15*INDEX('UA-normalized'!$D:$D, MATCH($A105, 'UA-normalized'!$A:$A, 0))-INDEX('UA-normalized'!$E:$E, MATCH($A105, 'UA-normalized'!$A:$A, 0))), 0), 0))+(IFERROR(IF(15*INDEX('KZ-normalized'!$D:$D, MATCH($A105, 'KZ-normalized'!$A:$A, 0))-INDEX('KZ-normalized'!$E:$E, MATCH($A105, 'KZ-normalized'!$A:$A, 0))&gt;0, -(15*INDEX('KZ-normalized'!$D:$D, MATCH($A105, 'KZ-normalized'!$A:$A, 0))-INDEX('KZ-normalized'!$E:$E, MATCH($A105, 'KZ-normalized'!$A:$A, 0))), 0), 0))+(IFERROR(IF(15*INDEX('UZ-normalized'!$D:$D, MATCH($A105, 'UZ-normalized'!$A:$A, 0))-INDEX('UZ-normalized'!$E:$E, MATCH($A105, 'UZ-normalized'!$A:$A, 0))&gt;0, -(15*INDEX('UZ-normalized'!$D:$D, MATCH($A105, 'UZ-normalized'!$A:$A, 0))-INDEX('UZ-normalized'!$E:$E, MATCH($A105, 'UZ-normalized'!$A:$A, 0))), 0), 0)))</f>
        <v>-237</v>
      </c>
      <c r="AD105" s="6">
        <f>MIN(0, N105+(IFERROR(IF(16*INDEX('UA-normalized'!$D:$D, MATCH($A105, 'UA-normalized'!$A:$A, 0))-INDEX('UA-normalized'!$E:$E, MATCH($A105, 'UA-normalized'!$A:$A, 0))&gt;0, -(16*INDEX('UA-normalized'!$D:$D, MATCH($A105, 'UA-normalized'!$A:$A, 0))-INDEX('UA-normalized'!$E:$E, MATCH($A105, 'UA-normalized'!$A:$A, 0))), 0), 0))+(IFERROR(IF(16*INDEX('KZ-normalized'!$D:$D, MATCH($A105, 'KZ-normalized'!$A:$A, 0))-INDEX('KZ-normalized'!$E:$E, MATCH($A105, 'KZ-normalized'!$A:$A, 0))&gt;0, -(16*INDEX('KZ-normalized'!$D:$D, MATCH($A105, 'KZ-normalized'!$A:$A, 0))-INDEX('KZ-normalized'!$E:$E, MATCH($A105, 'KZ-normalized'!$A:$A, 0))), 0), 0))+(IFERROR(IF(16*INDEX('UZ-normalized'!$D:$D, MATCH($A105, 'UZ-normalized'!$A:$A, 0))-INDEX('UZ-normalized'!$E:$E, MATCH($A105, 'UZ-normalized'!$A:$A, 0))&gt;0, -(16*INDEX('UZ-normalized'!$D:$D, MATCH($A105, 'UZ-normalized'!$A:$A, 0))-INDEX('UZ-normalized'!$E:$E, MATCH($A105, 'UZ-normalized'!$A:$A, 0))), 0), 0)))</f>
        <v>-257</v>
      </c>
      <c r="AE105" s="6">
        <f>MIN(0, N105+(IFERROR(IF(17*INDEX('UA-normalized'!$D:$D, MATCH($A105, 'UA-normalized'!$A:$A, 0))-INDEX('UA-normalized'!$E:$E, MATCH($A105, 'UA-normalized'!$A:$A, 0))&gt;0, -(17*INDEX('UA-normalized'!$D:$D, MATCH($A105, 'UA-normalized'!$A:$A, 0))-INDEX('UA-normalized'!$E:$E, MATCH($A105, 'UA-normalized'!$A:$A, 0))), 0), 0))+(IFERROR(IF(17*INDEX('KZ-normalized'!$D:$D, MATCH($A105, 'KZ-normalized'!$A:$A, 0))-INDEX('KZ-normalized'!$E:$E, MATCH($A105, 'KZ-normalized'!$A:$A, 0))&gt;0, -(17*INDEX('KZ-normalized'!$D:$D, MATCH($A105, 'KZ-normalized'!$A:$A, 0))-INDEX('KZ-normalized'!$E:$E, MATCH($A105, 'KZ-normalized'!$A:$A, 0))), 0), 0))+(IFERROR(IF(17*INDEX('UZ-normalized'!$D:$D, MATCH($A105, 'UZ-normalized'!$A:$A, 0))-INDEX('UZ-normalized'!$E:$E, MATCH($A105, 'UZ-normalized'!$A:$A, 0))&gt;0, -(17*INDEX('UZ-normalized'!$D:$D, MATCH($A105, 'UZ-normalized'!$A:$A, 0))-INDEX('UZ-normalized'!$E:$E, MATCH($A105, 'UZ-normalized'!$A:$A, 0))), 0), 0)))</f>
        <v>-277</v>
      </c>
      <c r="AF105" s="6">
        <f>MIN(0, N105+(IFERROR(IF(18*INDEX('UA-normalized'!$D:$D, MATCH($A105, 'UA-normalized'!$A:$A, 0))-INDEX('UA-normalized'!$E:$E, MATCH($A105, 'UA-normalized'!$A:$A, 0))&gt;0, -(18*INDEX('UA-normalized'!$D:$D, MATCH($A105, 'UA-normalized'!$A:$A, 0))-INDEX('UA-normalized'!$E:$E, MATCH($A105, 'UA-normalized'!$A:$A, 0))), 0), 0))+(IFERROR(IF(18*INDEX('KZ-normalized'!$D:$D, MATCH($A105, 'KZ-normalized'!$A:$A, 0))-INDEX('KZ-normalized'!$E:$E, MATCH($A105, 'KZ-normalized'!$A:$A, 0))&gt;0, -(18*INDEX('KZ-normalized'!$D:$D, MATCH($A105, 'KZ-normalized'!$A:$A, 0))-INDEX('KZ-normalized'!$E:$E, MATCH($A105, 'KZ-normalized'!$A:$A, 0))), 0), 0))+(IFERROR(IF(18*INDEX('UZ-normalized'!$D:$D, MATCH($A105, 'UZ-normalized'!$A:$A, 0))-INDEX('UZ-normalized'!$E:$E, MATCH($A105, 'UZ-normalized'!$A:$A, 0))&gt;0, -(18*INDEX('UZ-normalized'!$D:$D, MATCH($A105, 'UZ-normalized'!$A:$A, 0))-INDEX('UZ-normalized'!$E:$E, MATCH($A105, 'UZ-normalized'!$A:$A, 0))), 0), 0)))</f>
        <v>-297</v>
      </c>
      <c r="AG105" s="6">
        <f>MIN(0, N105+(IFERROR(IF(19*INDEX('UA-normalized'!$D:$D, MATCH($A105, 'UA-normalized'!$A:$A, 0))-INDEX('UA-normalized'!$E:$E, MATCH($A105, 'UA-normalized'!$A:$A, 0))&gt;0, -(19*INDEX('UA-normalized'!$D:$D, MATCH($A105, 'UA-normalized'!$A:$A, 0))-INDEX('UA-normalized'!$E:$E, MATCH($A105, 'UA-normalized'!$A:$A, 0))), 0), 0))+(IFERROR(IF(19*INDEX('KZ-normalized'!$D:$D, MATCH($A105, 'KZ-normalized'!$A:$A, 0))-INDEX('KZ-normalized'!$E:$E, MATCH($A105, 'KZ-normalized'!$A:$A, 0))&gt;0, -(19*INDEX('KZ-normalized'!$D:$D, MATCH($A105, 'KZ-normalized'!$A:$A, 0))-INDEX('KZ-normalized'!$E:$E, MATCH($A105, 'KZ-normalized'!$A:$A, 0))), 0), 0))+(IFERROR(IF(19*INDEX('UZ-normalized'!$D:$D, MATCH($A105, 'UZ-normalized'!$A:$A, 0))-INDEX('UZ-normalized'!$E:$E, MATCH($A105, 'UZ-normalized'!$A:$A, 0))&gt;0, -(19*INDEX('UZ-normalized'!$D:$D, MATCH($A105, 'UZ-normalized'!$A:$A, 0))-INDEX('UZ-normalized'!$E:$E, MATCH($A105, 'UZ-normalized'!$A:$A, 0))), 0), 0)))</f>
        <v>-317</v>
      </c>
      <c r="AH105" s="6">
        <f>MIN(0, N105+(IFERROR(IF(20*INDEX('UA-normalized'!$D:$D, MATCH($A105, 'UA-normalized'!$A:$A, 0))-INDEX('UA-normalized'!$E:$E, MATCH($A105, 'UA-normalized'!$A:$A, 0))&gt;0, -(20*INDEX('UA-normalized'!$D:$D, MATCH($A105, 'UA-normalized'!$A:$A, 0))-INDEX('UA-normalized'!$E:$E, MATCH($A105, 'UA-normalized'!$A:$A, 0))), 0), 0))+(IFERROR(IF(20*INDEX('KZ-normalized'!$D:$D, MATCH($A105, 'KZ-normalized'!$A:$A, 0))-INDEX('KZ-normalized'!$E:$E, MATCH($A105, 'KZ-normalized'!$A:$A, 0))&gt;0, -(20*INDEX('KZ-normalized'!$D:$D, MATCH($A105, 'KZ-normalized'!$A:$A, 0))-INDEX('KZ-normalized'!$E:$E, MATCH($A105, 'KZ-normalized'!$A:$A, 0))), 0), 0))+(IFERROR(IF(20*INDEX('UZ-normalized'!$D:$D, MATCH($A105, 'UZ-normalized'!$A:$A, 0))-INDEX('UZ-normalized'!$E:$E, MATCH($A105, 'UZ-normalized'!$A:$A, 0))&gt;0, -(20*INDEX('UZ-normalized'!$D:$D, MATCH($A105, 'UZ-normalized'!$A:$A, 0))-INDEX('UZ-normalized'!$E:$E, MATCH($A105, 'UZ-normalized'!$A:$A, 0))), 0), 0)))</f>
        <v>-337</v>
      </c>
      <c r="AI105" s="6">
        <f>MIN(0, N105+(IFERROR(IF(21*INDEX('UA-normalized'!$D:$D, MATCH($A105, 'UA-normalized'!$A:$A, 0))-INDEX('UA-normalized'!$E:$E, MATCH($A105, 'UA-normalized'!$A:$A, 0))&gt;0, -(21*INDEX('UA-normalized'!$D:$D, MATCH($A105, 'UA-normalized'!$A:$A, 0))-INDEX('UA-normalized'!$E:$E, MATCH($A105, 'UA-normalized'!$A:$A, 0))), 0), 0))+(IFERROR(IF(21*INDEX('KZ-normalized'!$D:$D, MATCH($A105, 'KZ-normalized'!$A:$A, 0))-INDEX('KZ-normalized'!$E:$E, MATCH($A105, 'KZ-normalized'!$A:$A, 0))&gt;0, -(21*INDEX('KZ-normalized'!$D:$D, MATCH($A105, 'KZ-normalized'!$A:$A, 0))-INDEX('KZ-normalized'!$E:$E, MATCH($A105, 'KZ-normalized'!$A:$A, 0))), 0), 0))+(IFERROR(IF(21*INDEX('UZ-normalized'!$D:$D, MATCH($A105, 'UZ-normalized'!$A:$A, 0))-INDEX('UZ-normalized'!$E:$E, MATCH($A105, 'UZ-normalized'!$A:$A, 0))&gt;0, -(21*INDEX('UZ-normalized'!$D:$D, MATCH($A105, 'UZ-normalized'!$A:$A, 0))-INDEX('UZ-normalized'!$E:$E, MATCH($A105, 'UZ-normalized'!$A:$A, 0))), 0), 0)))</f>
        <v>-357</v>
      </c>
      <c r="AJ105" s="6">
        <f>MIN(0, N105+(IFERROR(IF(22*INDEX('UA-normalized'!$D:$D, MATCH($A105, 'UA-normalized'!$A:$A, 0))-INDEX('UA-normalized'!$E:$E, MATCH($A105, 'UA-normalized'!$A:$A, 0))&gt;0, -(22*INDEX('UA-normalized'!$D:$D, MATCH($A105, 'UA-normalized'!$A:$A, 0))-INDEX('UA-normalized'!$E:$E, MATCH($A105, 'UA-normalized'!$A:$A, 0))), 0), 0))+(IFERROR(IF(22*INDEX('KZ-normalized'!$D:$D, MATCH($A105, 'KZ-normalized'!$A:$A, 0))-INDEX('KZ-normalized'!$E:$E, MATCH($A105, 'KZ-normalized'!$A:$A, 0))&gt;0, -(22*INDEX('KZ-normalized'!$D:$D, MATCH($A105, 'KZ-normalized'!$A:$A, 0))-INDEX('KZ-normalized'!$E:$E, MATCH($A105, 'KZ-normalized'!$A:$A, 0))), 0), 0))+(IFERROR(IF(22*INDEX('UZ-normalized'!$D:$D, MATCH($A105, 'UZ-normalized'!$A:$A, 0))-INDEX('UZ-normalized'!$E:$E, MATCH($A105, 'UZ-normalized'!$A:$A, 0))&gt;0, -(22*INDEX('UZ-normalized'!$D:$D, MATCH($A105, 'UZ-normalized'!$A:$A, 0))-INDEX('UZ-normalized'!$E:$E, MATCH($A105, 'UZ-normalized'!$A:$A, 0))), 0), 0)))</f>
        <v>-377</v>
      </c>
      <c r="AK105" s="6">
        <f>MIN(0, N105+(IFERROR(IF(23*INDEX('UA-normalized'!$D:$D, MATCH($A105, 'UA-normalized'!$A:$A, 0))-INDEX('UA-normalized'!$E:$E, MATCH($A105, 'UA-normalized'!$A:$A, 0))&gt;0, -(23*INDEX('UA-normalized'!$D:$D, MATCH($A105, 'UA-normalized'!$A:$A, 0))-INDEX('UA-normalized'!$E:$E, MATCH($A105, 'UA-normalized'!$A:$A, 0))), 0), 0))+(IFERROR(IF(23*INDEX('KZ-normalized'!$D:$D, MATCH($A105, 'KZ-normalized'!$A:$A, 0))-INDEX('KZ-normalized'!$E:$E, MATCH($A105, 'KZ-normalized'!$A:$A, 0))&gt;0, -(23*INDEX('KZ-normalized'!$D:$D, MATCH($A105, 'KZ-normalized'!$A:$A, 0))-INDEX('KZ-normalized'!$E:$E, MATCH($A105, 'KZ-normalized'!$A:$A, 0))), 0), 0))+(IFERROR(IF(23*INDEX('UZ-normalized'!$D:$D, MATCH($A105, 'UZ-normalized'!$A:$A, 0))-INDEX('UZ-normalized'!$E:$E, MATCH($A105, 'UZ-normalized'!$A:$A, 0))&gt;0, -(23*INDEX('UZ-normalized'!$D:$D, MATCH($A105, 'UZ-normalized'!$A:$A, 0))-INDEX('UZ-normalized'!$E:$E, MATCH($A105, 'UZ-normalized'!$A:$A, 0))), 0), 0)))</f>
        <v>-397</v>
      </c>
      <c r="AL105" s="6">
        <f>MIN(0, N105+(IFERROR(IF(24*INDEX('UA-normalized'!$D:$D, MATCH($A105, 'UA-normalized'!$A:$A, 0))-INDEX('UA-normalized'!$E:$E, MATCH($A105, 'UA-normalized'!$A:$A, 0))&gt;0, -(24*INDEX('UA-normalized'!$D:$D, MATCH($A105, 'UA-normalized'!$A:$A, 0))-INDEX('UA-normalized'!$E:$E, MATCH($A105, 'UA-normalized'!$A:$A, 0))), 0), 0))+(IFERROR(IF(24*INDEX('KZ-normalized'!$D:$D, MATCH($A105, 'KZ-normalized'!$A:$A, 0))-INDEX('KZ-normalized'!$E:$E, MATCH($A105, 'KZ-normalized'!$A:$A, 0))&gt;0, -(24*INDEX('KZ-normalized'!$D:$D, MATCH($A105, 'KZ-normalized'!$A:$A, 0))-INDEX('KZ-normalized'!$E:$E, MATCH($A105, 'KZ-normalized'!$A:$A, 0))), 0), 0))+(IFERROR(IF(24*INDEX('UZ-normalized'!$D:$D, MATCH($A105, 'UZ-normalized'!$A:$A, 0))-INDEX('UZ-normalized'!$E:$E, MATCH($A105, 'UZ-normalized'!$A:$A, 0))&gt;0, -(24*INDEX('UZ-normalized'!$D:$D, MATCH($A105, 'UZ-normalized'!$A:$A, 0))-INDEX('UZ-normalized'!$E:$E, MATCH($A105, 'UZ-normalized'!$A:$A, 0))), 0), 0)))</f>
        <v>-417</v>
      </c>
      <c r="AM105" s="6">
        <f>MIN(0, N105+(IFERROR(IF(25*INDEX('UA-normalized'!$D:$D, MATCH($A105, 'UA-normalized'!$A:$A, 0))-INDEX('UA-normalized'!$E:$E, MATCH($A105, 'UA-normalized'!$A:$A, 0))&gt;0, -(25*INDEX('UA-normalized'!$D:$D, MATCH($A105, 'UA-normalized'!$A:$A, 0))-INDEX('UA-normalized'!$E:$E, MATCH($A105, 'UA-normalized'!$A:$A, 0))), 0), 0))+(IFERROR(IF(25*INDEX('KZ-normalized'!$D:$D, MATCH($A105, 'KZ-normalized'!$A:$A, 0))-INDEX('KZ-normalized'!$E:$E, MATCH($A105, 'KZ-normalized'!$A:$A, 0))&gt;0, -(25*INDEX('KZ-normalized'!$D:$D, MATCH($A105, 'KZ-normalized'!$A:$A, 0))-INDEX('KZ-normalized'!$E:$E, MATCH($A105, 'KZ-normalized'!$A:$A, 0))), 0), 0))+(IFERROR(IF(25*INDEX('UZ-normalized'!$D:$D, MATCH($A105, 'UZ-normalized'!$A:$A, 0))-INDEX('UZ-normalized'!$E:$E, MATCH($A105, 'UZ-normalized'!$A:$A, 0))&gt;0, -(25*INDEX('UZ-normalized'!$D:$D, MATCH($A105, 'UZ-normalized'!$A:$A, 0))-INDEX('UZ-normalized'!$E:$E, MATCH($A105, 'UZ-normalized'!$A:$A, 0))), 0), 0)))</f>
        <v>-437</v>
      </c>
      <c r="AN105" s="6">
        <f>MIN(0, N105+(IFERROR(IF(26*INDEX('UA-normalized'!$D:$D, MATCH($A105, 'UA-normalized'!$A:$A, 0))-INDEX('UA-normalized'!$E:$E, MATCH($A105, 'UA-normalized'!$A:$A, 0))&gt;0, -(26*INDEX('UA-normalized'!$D:$D, MATCH($A105, 'UA-normalized'!$A:$A, 0))-INDEX('UA-normalized'!$E:$E, MATCH($A105, 'UA-normalized'!$A:$A, 0))), 0), 0))+(IFERROR(IF(26*INDEX('KZ-normalized'!$D:$D, MATCH($A105, 'KZ-normalized'!$A:$A, 0))-INDEX('KZ-normalized'!$E:$E, MATCH($A105, 'KZ-normalized'!$A:$A, 0))&gt;0, -(26*INDEX('KZ-normalized'!$D:$D, MATCH($A105, 'KZ-normalized'!$A:$A, 0))-INDEX('KZ-normalized'!$E:$E, MATCH($A105, 'KZ-normalized'!$A:$A, 0))), 0), 0))+(IFERROR(IF(26*INDEX('UZ-normalized'!$D:$D, MATCH($A105, 'UZ-normalized'!$A:$A, 0))-INDEX('UZ-normalized'!$E:$E, MATCH($A105, 'UZ-normalized'!$A:$A, 0))&gt;0, -(26*INDEX('UZ-normalized'!$D:$D, MATCH($A105, 'UZ-normalized'!$A:$A, 0))-INDEX('UZ-normalized'!$E:$E, MATCH($A105, 'UZ-normalized'!$A:$A, 0))), 0), 0)))</f>
        <v>-457</v>
      </c>
      <c r="AO105" s="6">
        <f>MIN(0, N105+(IFERROR(IF(27*INDEX('UA-normalized'!$D:$D, MATCH($A105, 'UA-normalized'!$A:$A, 0))-INDEX('UA-normalized'!$E:$E, MATCH($A105, 'UA-normalized'!$A:$A, 0))&gt;0, -(27*INDEX('UA-normalized'!$D:$D, MATCH($A105, 'UA-normalized'!$A:$A, 0))-INDEX('UA-normalized'!$E:$E, MATCH($A105, 'UA-normalized'!$A:$A, 0))), 0), 0))+(IFERROR(IF(27*INDEX('KZ-normalized'!$D:$D, MATCH($A105, 'KZ-normalized'!$A:$A, 0))-INDEX('KZ-normalized'!$E:$E, MATCH($A105, 'KZ-normalized'!$A:$A, 0))&gt;0, -(27*INDEX('KZ-normalized'!$D:$D, MATCH($A105, 'KZ-normalized'!$A:$A, 0))-INDEX('KZ-normalized'!$E:$E, MATCH($A105, 'KZ-normalized'!$A:$A, 0))), 0), 0))+(IFERROR(IF(27*INDEX('UZ-normalized'!$D:$D, MATCH($A105, 'UZ-normalized'!$A:$A, 0))-INDEX('UZ-normalized'!$E:$E, MATCH($A105, 'UZ-normalized'!$A:$A, 0))&gt;0, -(27*INDEX('UZ-normalized'!$D:$D, MATCH($A105, 'UZ-normalized'!$A:$A, 0))-INDEX('UZ-normalized'!$E:$E, MATCH($A105, 'UZ-normalized'!$A:$A, 0))), 0), 0)))</f>
        <v>-477</v>
      </c>
      <c r="AP105" s="6">
        <f>MIN(0, N105+(IFERROR(IF(28*INDEX('UA-normalized'!$D:$D, MATCH($A105, 'UA-normalized'!$A:$A, 0))-INDEX('UA-normalized'!$E:$E, MATCH($A105, 'UA-normalized'!$A:$A, 0))&gt;0, -(28*INDEX('UA-normalized'!$D:$D, MATCH($A105, 'UA-normalized'!$A:$A, 0))-INDEX('UA-normalized'!$E:$E, MATCH($A105, 'UA-normalized'!$A:$A, 0))), 0), 0))+(IFERROR(IF(28*INDEX('KZ-normalized'!$D:$D, MATCH($A105, 'KZ-normalized'!$A:$A, 0))-INDEX('KZ-normalized'!$E:$E, MATCH($A105, 'KZ-normalized'!$A:$A, 0))&gt;0, -(28*INDEX('KZ-normalized'!$D:$D, MATCH($A105, 'KZ-normalized'!$A:$A, 0))-INDEX('KZ-normalized'!$E:$E, MATCH($A105, 'KZ-normalized'!$A:$A, 0))), 0), 0))+(IFERROR(IF(28*INDEX('UZ-normalized'!$D:$D, MATCH($A105, 'UZ-normalized'!$A:$A, 0))-INDEX('UZ-normalized'!$E:$E, MATCH($A105, 'UZ-normalized'!$A:$A, 0))&gt;0, -(28*INDEX('UZ-normalized'!$D:$D, MATCH($A105, 'UZ-normalized'!$A:$A, 0))-INDEX('UZ-normalized'!$E:$E, MATCH($A105, 'UZ-normalized'!$A:$A, 0))), 0), 0)))</f>
        <v>-497</v>
      </c>
      <c r="AQ105" s="6">
        <f>MIN(0, N105+(IFERROR(IF(29*INDEX('UA-normalized'!$D:$D, MATCH($A105, 'UA-normalized'!$A:$A, 0))-INDEX('UA-normalized'!$E:$E, MATCH($A105, 'UA-normalized'!$A:$A, 0))&gt;0, -(29*INDEX('UA-normalized'!$D:$D, MATCH($A105, 'UA-normalized'!$A:$A, 0))-INDEX('UA-normalized'!$E:$E, MATCH($A105, 'UA-normalized'!$A:$A, 0))), 0), 0))+(IFERROR(IF(29*INDEX('KZ-normalized'!$D:$D, MATCH($A105, 'KZ-normalized'!$A:$A, 0))-INDEX('KZ-normalized'!$E:$E, MATCH($A105, 'KZ-normalized'!$A:$A, 0))&gt;0, -(29*INDEX('KZ-normalized'!$D:$D, MATCH($A105, 'KZ-normalized'!$A:$A, 0))-INDEX('KZ-normalized'!$E:$E, MATCH($A105, 'KZ-normalized'!$A:$A, 0))), 0), 0))+(IFERROR(IF(29*INDEX('UZ-normalized'!$D:$D, MATCH($A105, 'UZ-normalized'!$A:$A, 0))-INDEX('UZ-normalized'!$E:$E, MATCH($A105, 'UZ-normalized'!$A:$A, 0))&gt;0, -(29*INDEX('UZ-normalized'!$D:$D, MATCH($A105, 'UZ-normalized'!$A:$A, 0))-INDEX('UZ-normalized'!$E:$E, MATCH($A105, 'UZ-normalized'!$A:$A, 0))), 0), 0)))</f>
        <v>-517</v>
      </c>
      <c r="AR105" s="6">
        <f>MIN(0, N105+(IFERROR(IF(30*INDEX('UA-normalized'!$D:$D, MATCH($A105, 'UA-normalized'!$A:$A, 0))-INDEX('UA-normalized'!$E:$E, MATCH($A105, 'UA-normalized'!$A:$A, 0))&gt;0, -(30*INDEX('UA-normalized'!$D:$D, MATCH($A105, 'UA-normalized'!$A:$A, 0))-INDEX('UA-normalized'!$E:$E, MATCH($A105, 'UA-normalized'!$A:$A, 0))), 0), 0))+(IFERROR(IF(30*INDEX('KZ-normalized'!$D:$D, MATCH($A105, 'KZ-normalized'!$A:$A, 0))-INDEX('KZ-normalized'!$E:$E, MATCH($A105, 'KZ-normalized'!$A:$A, 0))&gt;0, -(30*INDEX('KZ-normalized'!$D:$D, MATCH($A105, 'KZ-normalized'!$A:$A, 0))-INDEX('KZ-normalized'!$E:$E, MATCH($A105, 'KZ-normalized'!$A:$A, 0))), 0), 0))+(IFERROR(IF(30*INDEX('UZ-normalized'!$D:$D, MATCH($A105, 'UZ-normalized'!$A:$A, 0))-INDEX('UZ-normalized'!$E:$E, MATCH($A105, 'UZ-normalized'!$A:$A, 0))&gt;0, -(30*INDEX('UZ-normalized'!$D:$D, MATCH($A105, 'UZ-normalized'!$A:$A, 0))-INDEX('UZ-normalized'!$E:$E, MATCH($A105, 'UZ-normalized'!$A:$A, 0))), 0), 0)))</f>
        <v>-537</v>
      </c>
    </row>
    <row r="106" spans="1:44" x14ac:dyDescent="0.25">
      <c r="A106" s="8" t="s">
        <v>264</v>
      </c>
      <c r="B106" s="8" t="s">
        <v>180</v>
      </c>
      <c r="C106" s="8" t="s">
        <v>256</v>
      </c>
      <c r="D106" s="8" t="s">
        <v>265</v>
      </c>
      <c r="E106">
        <v>2355</v>
      </c>
      <c r="G106">
        <v>-650</v>
      </c>
      <c r="J106">
        <v>1275</v>
      </c>
      <c r="N106">
        <f t="shared" si="1"/>
        <v>2980</v>
      </c>
      <c r="O106" s="6">
        <f>MIN(0, N106+(IFERROR(IF(1*INDEX('UA-normalized'!$D:$D, MATCH($A106, 'UA-normalized'!$A:$A, 0))-INDEX('UA-normalized'!$E:$E, MATCH($A106, 'UA-normalized'!$A:$A, 0))&gt;0, -(1*INDEX('UA-normalized'!$D:$D, MATCH($A106, 'UA-normalized'!$A:$A, 0))-INDEX('UA-normalized'!$E:$E, MATCH($A106, 'UA-normalized'!$A:$A, 0))), 0), 0))+(IFERROR(IF(1*INDEX('KZ-normalized'!$D:$D, MATCH($A106, 'KZ-normalized'!$A:$A, 0))-INDEX('KZ-normalized'!$E:$E, MATCH($A106, 'KZ-normalized'!$A:$A, 0))&gt;0, -(1*INDEX('KZ-normalized'!$D:$D, MATCH($A106, 'KZ-normalized'!$A:$A, 0))-INDEX('KZ-normalized'!$E:$E, MATCH($A106, 'KZ-normalized'!$A:$A, 0))), 0), 0))+(IFERROR(IF(1*INDEX('UZ-normalized'!$D:$D, MATCH($A106, 'UZ-normalized'!$A:$A, 0))-INDEX('UZ-normalized'!$E:$E, MATCH($A106, 'UZ-normalized'!$A:$A, 0))&gt;0, -(1*INDEX('UZ-normalized'!$D:$D, MATCH($A106, 'UZ-normalized'!$A:$A, 0))-INDEX('UZ-normalized'!$E:$E, MATCH($A106, 'UZ-normalized'!$A:$A, 0))), 0), 0)))</f>
        <v>0</v>
      </c>
      <c r="P106" s="6">
        <f>MIN(0, N106+(IFERROR(IF(2*INDEX('UA-normalized'!$D:$D, MATCH($A106, 'UA-normalized'!$A:$A, 0))-INDEX('UA-normalized'!$E:$E, MATCH($A106, 'UA-normalized'!$A:$A, 0))&gt;0, -(2*INDEX('UA-normalized'!$D:$D, MATCH($A106, 'UA-normalized'!$A:$A, 0))-INDEX('UA-normalized'!$E:$E, MATCH($A106, 'UA-normalized'!$A:$A, 0))), 0), 0))+(IFERROR(IF(2*INDEX('KZ-normalized'!$D:$D, MATCH($A106, 'KZ-normalized'!$A:$A, 0))-INDEX('KZ-normalized'!$E:$E, MATCH($A106, 'KZ-normalized'!$A:$A, 0))&gt;0, -(2*INDEX('KZ-normalized'!$D:$D, MATCH($A106, 'KZ-normalized'!$A:$A, 0))-INDEX('KZ-normalized'!$E:$E, MATCH($A106, 'KZ-normalized'!$A:$A, 0))), 0), 0))+(IFERROR(IF(2*INDEX('UZ-normalized'!$D:$D, MATCH($A106, 'UZ-normalized'!$A:$A, 0))-INDEX('UZ-normalized'!$E:$E, MATCH($A106, 'UZ-normalized'!$A:$A, 0))&gt;0, -(2*INDEX('UZ-normalized'!$D:$D, MATCH($A106, 'UZ-normalized'!$A:$A, 0))-INDEX('UZ-normalized'!$E:$E, MATCH($A106, 'UZ-normalized'!$A:$A, 0))), 0), 0)))</f>
        <v>0</v>
      </c>
      <c r="Q106" s="6">
        <f>MIN(0, N106+(IFERROR(IF(3*INDEX('UA-normalized'!$D:$D, MATCH($A106, 'UA-normalized'!$A:$A, 0))-INDEX('UA-normalized'!$E:$E, MATCH($A106, 'UA-normalized'!$A:$A, 0))&gt;0, -(3*INDEX('UA-normalized'!$D:$D, MATCH($A106, 'UA-normalized'!$A:$A, 0))-INDEX('UA-normalized'!$E:$E, MATCH($A106, 'UA-normalized'!$A:$A, 0))), 0), 0))+(IFERROR(IF(3*INDEX('KZ-normalized'!$D:$D, MATCH($A106, 'KZ-normalized'!$A:$A, 0))-INDEX('KZ-normalized'!$E:$E, MATCH($A106, 'KZ-normalized'!$A:$A, 0))&gt;0, -(3*INDEX('KZ-normalized'!$D:$D, MATCH($A106, 'KZ-normalized'!$A:$A, 0))-INDEX('KZ-normalized'!$E:$E, MATCH($A106, 'KZ-normalized'!$A:$A, 0))), 0), 0))+(IFERROR(IF(3*INDEX('UZ-normalized'!$D:$D, MATCH($A106, 'UZ-normalized'!$A:$A, 0))-INDEX('UZ-normalized'!$E:$E, MATCH($A106, 'UZ-normalized'!$A:$A, 0))&gt;0, -(3*INDEX('UZ-normalized'!$D:$D, MATCH($A106, 'UZ-normalized'!$A:$A, 0))-INDEX('UZ-normalized'!$E:$E, MATCH($A106, 'UZ-normalized'!$A:$A, 0))), 0), 0)))</f>
        <v>0</v>
      </c>
      <c r="R106" s="6">
        <f>MIN(0, N106+(IFERROR(IF(4*INDEX('UA-normalized'!$D:$D, MATCH($A106, 'UA-normalized'!$A:$A, 0))-INDEX('UA-normalized'!$E:$E, MATCH($A106, 'UA-normalized'!$A:$A, 0))&gt;0, -(4*INDEX('UA-normalized'!$D:$D, MATCH($A106, 'UA-normalized'!$A:$A, 0))-INDEX('UA-normalized'!$E:$E, MATCH($A106, 'UA-normalized'!$A:$A, 0))), 0), 0))+(IFERROR(IF(4*INDEX('KZ-normalized'!$D:$D, MATCH($A106, 'KZ-normalized'!$A:$A, 0))-INDEX('KZ-normalized'!$E:$E, MATCH($A106, 'KZ-normalized'!$A:$A, 0))&gt;0, -(4*INDEX('KZ-normalized'!$D:$D, MATCH($A106, 'KZ-normalized'!$A:$A, 0))-INDEX('KZ-normalized'!$E:$E, MATCH($A106, 'KZ-normalized'!$A:$A, 0))), 0), 0))+(IFERROR(IF(4*INDEX('UZ-normalized'!$D:$D, MATCH($A106, 'UZ-normalized'!$A:$A, 0))-INDEX('UZ-normalized'!$E:$E, MATCH($A106, 'UZ-normalized'!$A:$A, 0))&gt;0, -(4*INDEX('UZ-normalized'!$D:$D, MATCH($A106, 'UZ-normalized'!$A:$A, 0))-INDEX('UZ-normalized'!$E:$E, MATCH($A106, 'UZ-normalized'!$A:$A, 0))), 0), 0)))</f>
        <v>0</v>
      </c>
      <c r="S106" s="6">
        <f>MIN(0, N106+(IFERROR(IF(5*INDEX('UA-normalized'!$D:$D, MATCH($A106, 'UA-normalized'!$A:$A, 0))-INDEX('UA-normalized'!$E:$E, MATCH($A106, 'UA-normalized'!$A:$A, 0))&gt;0, -(5*INDEX('UA-normalized'!$D:$D, MATCH($A106, 'UA-normalized'!$A:$A, 0))-INDEX('UA-normalized'!$E:$E, MATCH($A106, 'UA-normalized'!$A:$A, 0))), 0), 0))+(IFERROR(IF(5*INDEX('KZ-normalized'!$D:$D, MATCH($A106, 'KZ-normalized'!$A:$A, 0))-INDEX('KZ-normalized'!$E:$E, MATCH($A106, 'KZ-normalized'!$A:$A, 0))&gt;0, -(5*INDEX('KZ-normalized'!$D:$D, MATCH($A106, 'KZ-normalized'!$A:$A, 0))-INDEX('KZ-normalized'!$E:$E, MATCH($A106, 'KZ-normalized'!$A:$A, 0))), 0), 0))+(IFERROR(IF(5*INDEX('UZ-normalized'!$D:$D, MATCH($A106, 'UZ-normalized'!$A:$A, 0))-INDEX('UZ-normalized'!$E:$E, MATCH($A106, 'UZ-normalized'!$A:$A, 0))&gt;0, -(5*INDEX('UZ-normalized'!$D:$D, MATCH($A106, 'UZ-normalized'!$A:$A, 0))-INDEX('UZ-normalized'!$E:$E, MATCH($A106, 'UZ-normalized'!$A:$A, 0))), 0), 0)))</f>
        <v>0</v>
      </c>
      <c r="T106" s="6">
        <f>MIN(0, N106+(IFERROR(IF(6*INDEX('UA-normalized'!$D:$D, MATCH($A106, 'UA-normalized'!$A:$A, 0))-INDEX('UA-normalized'!$E:$E, MATCH($A106, 'UA-normalized'!$A:$A, 0))&gt;0, -(6*INDEX('UA-normalized'!$D:$D, MATCH($A106, 'UA-normalized'!$A:$A, 0))-INDEX('UA-normalized'!$E:$E, MATCH($A106, 'UA-normalized'!$A:$A, 0))), 0), 0))+(IFERROR(IF(6*INDEX('KZ-normalized'!$D:$D, MATCH($A106, 'KZ-normalized'!$A:$A, 0))-INDEX('KZ-normalized'!$E:$E, MATCH($A106, 'KZ-normalized'!$A:$A, 0))&gt;0, -(6*INDEX('KZ-normalized'!$D:$D, MATCH($A106, 'KZ-normalized'!$A:$A, 0))-INDEX('KZ-normalized'!$E:$E, MATCH($A106, 'KZ-normalized'!$A:$A, 0))), 0), 0))+(IFERROR(IF(6*INDEX('UZ-normalized'!$D:$D, MATCH($A106, 'UZ-normalized'!$A:$A, 0))-INDEX('UZ-normalized'!$E:$E, MATCH($A106, 'UZ-normalized'!$A:$A, 0))&gt;0, -(6*INDEX('UZ-normalized'!$D:$D, MATCH($A106, 'UZ-normalized'!$A:$A, 0))-INDEX('UZ-normalized'!$E:$E, MATCH($A106, 'UZ-normalized'!$A:$A, 0))), 0), 0)))</f>
        <v>0</v>
      </c>
      <c r="U106" s="6">
        <f>MIN(0, N106+(IFERROR(IF(7*INDEX('UA-normalized'!$D:$D, MATCH($A106, 'UA-normalized'!$A:$A, 0))-INDEX('UA-normalized'!$E:$E, MATCH($A106, 'UA-normalized'!$A:$A, 0))&gt;0, -(7*INDEX('UA-normalized'!$D:$D, MATCH($A106, 'UA-normalized'!$A:$A, 0))-INDEX('UA-normalized'!$E:$E, MATCH($A106, 'UA-normalized'!$A:$A, 0))), 0), 0))+(IFERROR(IF(7*INDEX('KZ-normalized'!$D:$D, MATCH($A106, 'KZ-normalized'!$A:$A, 0))-INDEX('KZ-normalized'!$E:$E, MATCH($A106, 'KZ-normalized'!$A:$A, 0))&gt;0, -(7*INDEX('KZ-normalized'!$D:$D, MATCH($A106, 'KZ-normalized'!$A:$A, 0))-INDEX('KZ-normalized'!$E:$E, MATCH($A106, 'KZ-normalized'!$A:$A, 0))), 0), 0))+(IFERROR(IF(7*INDEX('UZ-normalized'!$D:$D, MATCH($A106, 'UZ-normalized'!$A:$A, 0))-INDEX('UZ-normalized'!$E:$E, MATCH($A106, 'UZ-normalized'!$A:$A, 0))&gt;0, -(7*INDEX('UZ-normalized'!$D:$D, MATCH($A106, 'UZ-normalized'!$A:$A, 0))-INDEX('UZ-normalized'!$E:$E, MATCH($A106, 'UZ-normalized'!$A:$A, 0))), 0), 0)))</f>
        <v>0</v>
      </c>
      <c r="V106" s="6">
        <f>MIN(0, N106+(IFERROR(IF(8*INDEX('UA-normalized'!$D:$D, MATCH($A106, 'UA-normalized'!$A:$A, 0))-INDEX('UA-normalized'!$E:$E, MATCH($A106, 'UA-normalized'!$A:$A, 0))&gt;0, -(8*INDEX('UA-normalized'!$D:$D, MATCH($A106, 'UA-normalized'!$A:$A, 0))-INDEX('UA-normalized'!$E:$E, MATCH($A106, 'UA-normalized'!$A:$A, 0))), 0), 0))+(IFERROR(IF(8*INDEX('KZ-normalized'!$D:$D, MATCH($A106, 'KZ-normalized'!$A:$A, 0))-INDEX('KZ-normalized'!$E:$E, MATCH($A106, 'KZ-normalized'!$A:$A, 0))&gt;0, -(8*INDEX('KZ-normalized'!$D:$D, MATCH($A106, 'KZ-normalized'!$A:$A, 0))-INDEX('KZ-normalized'!$E:$E, MATCH($A106, 'KZ-normalized'!$A:$A, 0))), 0), 0))+(IFERROR(IF(8*INDEX('UZ-normalized'!$D:$D, MATCH($A106, 'UZ-normalized'!$A:$A, 0))-INDEX('UZ-normalized'!$E:$E, MATCH($A106, 'UZ-normalized'!$A:$A, 0))&gt;0, -(8*INDEX('UZ-normalized'!$D:$D, MATCH($A106, 'UZ-normalized'!$A:$A, 0))-INDEX('UZ-normalized'!$E:$E, MATCH($A106, 'UZ-normalized'!$A:$A, 0))), 0), 0)))</f>
        <v>0</v>
      </c>
      <c r="W106" s="6">
        <f>MIN(0, N106+(IFERROR(IF(9*INDEX('UA-normalized'!$D:$D, MATCH($A106, 'UA-normalized'!$A:$A, 0))-INDEX('UA-normalized'!$E:$E, MATCH($A106, 'UA-normalized'!$A:$A, 0))&gt;0, -(9*INDEX('UA-normalized'!$D:$D, MATCH($A106, 'UA-normalized'!$A:$A, 0))-INDEX('UA-normalized'!$E:$E, MATCH($A106, 'UA-normalized'!$A:$A, 0))), 0), 0))+(IFERROR(IF(9*INDEX('KZ-normalized'!$D:$D, MATCH($A106, 'KZ-normalized'!$A:$A, 0))-INDEX('KZ-normalized'!$E:$E, MATCH($A106, 'KZ-normalized'!$A:$A, 0))&gt;0, -(9*INDEX('KZ-normalized'!$D:$D, MATCH($A106, 'KZ-normalized'!$A:$A, 0))-INDEX('KZ-normalized'!$E:$E, MATCH($A106, 'KZ-normalized'!$A:$A, 0))), 0), 0))+(IFERROR(IF(9*INDEX('UZ-normalized'!$D:$D, MATCH($A106, 'UZ-normalized'!$A:$A, 0))-INDEX('UZ-normalized'!$E:$E, MATCH($A106, 'UZ-normalized'!$A:$A, 0))&gt;0, -(9*INDEX('UZ-normalized'!$D:$D, MATCH($A106, 'UZ-normalized'!$A:$A, 0))-INDEX('UZ-normalized'!$E:$E, MATCH($A106, 'UZ-normalized'!$A:$A, 0))), 0), 0)))</f>
        <v>0</v>
      </c>
      <c r="X106" s="6">
        <f>MIN(0, N106+(IFERROR(IF(10*INDEX('UA-normalized'!$D:$D, MATCH($A106, 'UA-normalized'!$A:$A, 0))-INDEX('UA-normalized'!$E:$E, MATCH($A106, 'UA-normalized'!$A:$A, 0))&gt;0, -(10*INDEX('UA-normalized'!$D:$D, MATCH($A106, 'UA-normalized'!$A:$A, 0))-INDEX('UA-normalized'!$E:$E, MATCH($A106, 'UA-normalized'!$A:$A, 0))), 0), 0))+(IFERROR(IF(10*INDEX('KZ-normalized'!$D:$D, MATCH($A106, 'KZ-normalized'!$A:$A, 0))-INDEX('KZ-normalized'!$E:$E, MATCH($A106, 'KZ-normalized'!$A:$A, 0))&gt;0, -(10*INDEX('KZ-normalized'!$D:$D, MATCH($A106, 'KZ-normalized'!$A:$A, 0))-INDEX('KZ-normalized'!$E:$E, MATCH($A106, 'KZ-normalized'!$A:$A, 0))), 0), 0))+(IFERROR(IF(10*INDEX('UZ-normalized'!$D:$D, MATCH($A106, 'UZ-normalized'!$A:$A, 0))-INDEX('UZ-normalized'!$E:$E, MATCH($A106, 'UZ-normalized'!$A:$A, 0))&gt;0, -(10*INDEX('UZ-normalized'!$D:$D, MATCH($A106, 'UZ-normalized'!$A:$A, 0))-INDEX('UZ-normalized'!$E:$E, MATCH($A106, 'UZ-normalized'!$A:$A, 0))), 0), 0)))</f>
        <v>0</v>
      </c>
      <c r="Y106" s="6">
        <f>MIN(0, N106+(IFERROR(IF(11*INDEX('UA-normalized'!$D:$D, MATCH($A106, 'UA-normalized'!$A:$A, 0))-INDEX('UA-normalized'!$E:$E, MATCH($A106, 'UA-normalized'!$A:$A, 0))&gt;0, -(11*INDEX('UA-normalized'!$D:$D, MATCH($A106, 'UA-normalized'!$A:$A, 0))-INDEX('UA-normalized'!$E:$E, MATCH($A106, 'UA-normalized'!$A:$A, 0))), 0), 0))+(IFERROR(IF(11*INDEX('KZ-normalized'!$D:$D, MATCH($A106, 'KZ-normalized'!$A:$A, 0))-INDEX('KZ-normalized'!$E:$E, MATCH($A106, 'KZ-normalized'!$A:$A, 0))&gt;0, -(11*INDEX('KZ-normalized'!$D:$D, MATCH($A106, 'KZ-normalized'!$A:$A, 0))-INDEX('KZ-normalized'!$E:$E, MATCH($A106, 'KZ-normalized'!$A:$A, 0))), 0), 0))+(IFERROR(IF(11*INDEX('UZ-normalized'!$D:$D, MATCH($A106, 'UZ-normalized'!$A:$A, 0))-INDEX('UZ-normalized'!$E:$E, MATCH($A106, 'UZ-normalized'!$A:$A, 0))&gt;0, -(11*INDEX('UZ-normalized'!$D:$D, MATCH($A106, 'UZ-normalized'!$A:$A, 0))-INDEX('UZ-normalized'!$E:$E, MATCH($A106, 'UZ-normalized'!$A:$A, 0))), 0), 0)))</f>
        <v>0</v>
      </c>
      <c r="Z106" s="6">
        <f>MIN(0, N106+(IFERROR(IF(12*INDEX('UA-normalized'!$D:$D, MATCH($A106, 'UA-normalized'!$A:$A, 0))-INDEX('UA-normalized'!$E:$E, MATCH($A106, 'UA-normalized'!$A:$A, 0))&gt;0, -(12*INDEX('UA-normalized'!$D:$D, MATCH($A106, 'UA-normalized'!$A:$A, 0))-INDEX('UA-normalized'!$E:$E, MATCH($A106, 'UA-normalized'!$A:$A, 0))), 0), 0))+(IFERROR(IF(12*INDEX('KZ-normalized'!$D:$D, MATCH($A106, 'KZ-normalized'!$A:$A, 0))-INDEX('KZ-normalized'!$E:$E, MATCH($A106, 'KZ-normalized'!$A:$A, 0))&gt;0, -(12*INDEX('KZ-normalized'!$D:$D, MATCH($A106, 'KZ-normalized'!$A:$A, 0))-INDEX('KZ-normalized'!$E:$E, MATCH($A106, 'KZ-normalized'!$A:$A, 0))), 0), 0))+(IFERROR(IF(12*INDEX('UZ-normalized'!$D:$D, MATCH($A106, 'UZ-normalized'!$A:$A, 0))-INDEX('UZ-normalized'!$E:$E, MATCH($A106, 'UZ-normalized'!$A:$A, 0))&gt;0, -(12*INDEX('UZ-normalized'!$D:$D, MATCH($A106, 'UZ-normalized'!$A:$A, 0))-INDEX('UZ-normalized'!$E:$E, MATCH($A106, 'UZ-normalized'!$A:$A, 0))), 0), 0)))</f>
        <v>0</v>
      </c>
      <c r="AA106" s="6">
        <f>MIN(0, N106+(IFERROR(IF(13*INDEX('UA-normalized'!$D:$D, MATCH($A106, 'UA-normalized'!$A:$A, 0))-INDEX('UA-normalized'!$E:$E, MATCH($A106, 'UA-normalized'!$A:$A, 0))&gt;0, -(13*INDEX('UA-normalized'!$D:$D, MATCH($A106, 'UA-normalized'!$A:$A, 0))-INDEX('UA-normalized'!$E:$E, MATCH($A106, 'UA-normalized'!$A:$A, 0))), 0), 0))+(IFERROR(IF(13*INDEX('KZ-normalized'!$D:$D, MATCH($A106, 'KZ-normalized'!$A:$A, 0))-INDEX('KZ-normalized'!$E:$E, MATCH($A106, 'KZ-normalized'!$A:$A, 0))&gt;0, -(13*INDEX('KZ-normalized'!$D:$D, MATCH($A106, 'KZ-normalized'!$A:$A, 0))-INDEX('KZ-normalized'!$E:$E, MATCH($A106, 'KZ-normalized'!$A:$A, 0))), 0), 0))+(IFERROR(IF(13*INDEX('UZ-normalized'!$D:$D, MATCH($A106, 'UZ-normalized'!$A:$A, 0))-INDEX('UZ-normalized'!$E:$E, MATCH($A106, 'UZ-normalized'!$A:$A, 0))&gt;0, -(13*INDEX('UZ-normalized'!$D:$D, MATCH($A106, 'UZ-normalized'!$A:$A, 0))-INDEX('UZ-normalized'!$E:$E, MATCH($A106, 'UZ-normalized'!$A:$A, 0))), 0), 0)))</f>
        <v>0</v>
      </c>
      <c r="AB106" s="6">
        <f>MIN(0, N106+(IFERROR(IF(14*INDEX('UA-normalized'!$D:$D, MATCH($A106, 'UA-normalized'!$A:$A, 0))-INDEX('UA-normalized'!$E:$E, MATCH($A106, 'UA-normalized'!$A:$A, 0))&gt;0, -(14*INDEX('UA-normalized'!$D:$D, MATCH($A106, 'UA-normalized'!$A:$A, 0))-INDEX('UA-normalized'!$E:$E, MATCH($A106, 'UA-normalized'!$A:$A, 0))), 0), 0))+(IFERROR(IF(14*INDEX('KZ-normalized'!$D:$D, MATCH($A106, 'KZ-normalized'!$A:$A, 0))-INDEX('KZ-normalized'!$E:$E, MATCH($A106, 'KZ-normalized'!$A:$A, 0))&gt;0, -(14*INDEX('KZ-normalized'!$D:$D, MATCH($A106, 'KZ-normalized'!$A:$A, 0))-INDEX('KZ-normalized'!$E:$E, MATCH($A106, 'KZ-normalized'!$A:$A, 0))), 0), 0))+(IFERROR(IF(14*INDEX('UZ-normalized'!$D:$D, MATCH($A106, 'UZ-normalized'!$A:$A, 0))-INDEX('UZ-normalized'!$E:$E, MATCH($A106, 'UZ-normalized'!$A:$A, 0))&gt;0, -(14*INDEX('UZ-normalized'!$D:$D, MATCH($A106, 'UZ-normalized'!$A:$A, 0))-INDEX('UZ-normalized'!$E:$E, MATCH($A106, 'UZ-normalized'!$A:$A, 0))), 0), 0)))</f>
        <v>0</v>
      </c>
      <c r="AC106" s="6">
        <f>MIN(0, N106+(IFERROR(IF(15*INDEX('UA-normalized'!$D:$D, MATCH($A106, 'UA-normalized'!$A:$A, 0))-INDEX('UA-normalized'!$E:$E, MATCH($A106, 'UA-normalized'!$A:$A, 0))&gt;0, -(15*INDEX('UA-normalized'!$D:$D, MATCH($A106, 'UA-normalized'!$A:$A, 0))-INDEX('UA-normalized'!$E:$E, MATCH($A106, 'UA-normalized'!$A:$A, 0))), 0), 0))+(IFERROR(IF(15*INDEX('KZ-normalized'!$D:$D, MATCH($A106, 'KZ-normalized'!$A:$A, 0))-INDEX('KZ-normalized'!$E:$E, MATCH($A106, 'KZ-normalized'!$A:$A, 0))&gt;0, -(15*INDEX('KZ-normalized'!$D:$D, MATCH($A106, 'KZ-normalized'!$A:$A, 0))-INDEX('KZ-normalized'!$E:$E, MATCH($A106, 'KZ-normalized'!$A:$A, 0))), 0), 0))+(IFERROR(IF(15*INDEX('UZ-normalized'!$D:$D, MATCH($A106, 'UZ-normalized'!$A:$A, 0))-INDEX('UZ-normalized'!$E:$E, MATCH($A106, 'UZ-normalized'!$A:$A, 0))&gt;0, -(15*INDEX('UZ-normalized'!$D:$D, MATCH($A106, 'UZ-normalized'!$A:$A, 0))-INDEX('UZ-normalized'!$E:$E, MATCH($A106, 'UZ-normalized'!$A:$A, 0))), 0), 0)))</f>
        <v>0</v>
      </c>
      <c r="AD106" s="6">
        <f>MIN(0, N106+(IFERROR(IF(16*INDEX('UA-normalized'!$D:$D, MATCH($A106, 'UA-normalized'!$A:$A, 0))-INDEX('UA-normalized'!$E:$E, MATCH($A106, 'UA-normalized'!$A:$A, 0))&gt;0, -(16*INDEX('UA-normalized'!$D:$D, MATCH($A106, 'UA-normalized'!$A:$A, 0))-INDEX('UA-normalized'!$E:$E, MATCH($A106, 'UA-normalized'!$A:$A, 0))), 0), 0))+(IFERROR(IF(16*INDEX('KZ-normalized'!$D:$D, MATCH($A106, 'KZ-normalized'!$A:$A, 0))-INDEX('KZ-normalized'!$E:$E, MATCH($A106, 'KZ-normalized'!$A:$A, 0))&gt;0, -(16*INDEX('KZ-normalized'!$D:$D, MATCH($A106, 'KZ-normalized'!$A:$A, 0))-INDEX('KZ-normalized'!$E:$E, MATCH($A106, 'KZ-normalized'!$A:$A, 0))), 0), 0))+(IFERROR(IF(16*INDEX('UZ-normalized'!$D:$D, MATCH($A106, 'UZ-normalized'!$A:$A, 0))-INDEX('UZ-normalized'!$E:$E, MATCH($A106, 'UZ-normalized'!$A:$A, 0))&gt;0, -(16*INDEX('UZ-normalized'!$D:$D, MATCH($A106, 'UZ-normalized'!$A:$A, 0))-INDEX('UZ-normalized'!$E:$E, MATCH($A106, 'UZ-normalized'!$A:$A, 0))), 0), 0)))</f>
        <v>0</v>
      </c>
      <c r="AE106" s="6">
        <f>MIN(0, N106+(IFERROR(IF(17*INDEX('UA-normalized'!$D:$D, MATCH($A106, 'UA-normalized'!$A:$A, 0))-INDEX('UA-normalized'!$E:$E, MATCH($A106, 'UA-normalized'!$A:$A, 0))&gt;0, -(17*INDEX('UA-normalized'!$D:$D, MATCH($A106, 'UA-normalized'!$A:$A, 0))-INDEX('UA-normalized'!$E:$E, MATCH($A106, 'UA-normalized'!$A:$A, 0))), 0), 0))+(IFERROR(IF(17*INDEX('KZ-normalized'!$D:$D, MATCH($A106, 'KZ-normalized'!$A:$A, 0))-INDEX('KZ-normalized'!$E:$E, MATCH($A106, 'KZ-normalized'!$A:$A, 0))&gt;0, -(17*INDEX('KZ-normalized'!$D:$D, MATCH($A106, 'KZ-normalized'!$A:$A, 0))-INDEX('KZ-normalized'!$E:$E, MATCH($A106, 'KZ-normalized'!$A:$A, 0))), 0), 0))+(IFERROR(IF(17*INDEX('UZ-normalized'!$D:$D, MATCH($A106, 'UZ-normalized'!$A:$A, 0))-INDEX('UZ-normalized'!$E:$E, MATCH($A106, 'UZ-normalized'!$A:$A, 0))&gt;0, -(17*INDEX('UZ-normalized'!$D:$D, MATCH($A106, 'UZ-normalized'!$A:$A, 0))-INDEX('UZ-normalized'!$E:$E, MATCH($A106, 'UZ-normalized'!$A:$A, 0))), 0), 0)))</f>
        <v>-184.09999999999991</v>
      </c>
      <c r="AF106" s="6">
        <f>MIN(0, N106+(IFERROR(IF(18*INDEX('UA-normalized'!$D:$D, MATCH($A106, 'UA-normalized'!$A:$A, 0))-INDEX('UA-normalized'!$E:$E, MATCH($A106, 'UA-normalized'!$A:$A, 0))&gt;0, -(18*INDEX('UA-normalized'!$D:$D, MATCH($A106, 'UA-normalized'!$A:$A, 0))-INDEX('UA-normalized'!$E:$E, MATCH($A106, 'UA-normalized'!$A:$A, 0))), 0), 0))+(IFERROR(IF(18*INDEX('KZ-normalized'!$D:$D, MATCH($A106, 'KZ-normalized'!$A:$A, 0))-INDEX('KZ-normalized'!$E:$E, MATCH($A106, 'KZ-normalized'!$A:$A, 0))&gt;0, -(18*INDEX('KZ-normalized'!$D:$D, MATCH($A106, 'KZ-normalized'!$A:$A, 0))-INDEX('KZ-normalized'!$E:$E, MATCH($A106, 'KZ-normalized'!$A:$A, 0))), 0), 0))+(IFERROR(IF(18*INDEX('UZ-normalized'!$D:$D, MATCH($A106, 'UZ-normalized'!$A:$A, 0))-INDEX('UZ-normalized'!$E:$E, MATCH($A106, 'UZ-normalized'!$A:$A, 0))&gt;0, -(18*INDEX('UZ-normalized'!$D:$D, MATCH($A106, 'UZ-normalized'!$A:$A, 0))-INDEX('UZ-normalized'!$E:$E, MATCH($A106, 'UZ-normalized'!$A:$A, 0))), 0), 0)))</f>
        <v>-432.40000000000009</v>
      </c>
      <c r="AG106" s="6">
        <f>MIN(0, N106+(IFERROR(IF(19*INDEX('UA-normalized'!$D:$D, MATCH($A106, 'UA-normalized'!$A:$A, 0))-INDEX('UA-normalized'!$E:$E, MATCH($A106, 'UA-normalized'!$A:$A, 0))&gt;0, -(19*INDEX('UA-normalized'!$D:$D, MATCH($A106, 'UA-normalized'!$A:$A, 0))-INDEX('UA-normalized'!$E:$E, MATCH($A106, 'UA-normalized'!$A:$A, 0))), 0), 0))+(IFERROR(IF(19*INDEX('KZ-normalized'!$D:$D, MATCH($A106, 'KZ-normalized'!$A:$A, 0))-INDEX('KZ-normalized'!$E:$E, MATCH($A106, 'KZ-normalized'!$A:$A, 0))&gt;0, -(19*INDEX('KZ-normalized'!$D:$D, MATCH($A106, 'KZ-normalized'!$A:$A, 0))-INDEX('KZ-normalized'!$E:$E, MATCH($A106, 'KZ-normalized'!$A:$A, 0))), 0), 0))+(IFERROR(IF(19*INDEX('UZ-normalized'!$D:$D, MATCH($A106, 'UZ-normalized'!$A:$A, 0))-INDEX('UZ-normalized'!$E:$E, MATCH($A106, 'UZ-normalized'!$A:$A, 0))&gt;0, -(19*INDEX('UZ-normalized'!$D:$D, MATCH($A106, 'UZ-normalized'!$A:$A, 0))-INDEX('UZ-normalized'!$E:$E, MATCH($A106, 'UZ-normalized'!$A:$A, 0))), 0), 0)))</f>
        <v>-680.69999999999982</v>
      </c>
      <c r="AH106" s="6">
        <f>MIN(0, N106+(IFERROR(IF(20*INDEX('UA-normalized'!$D:$D, MATCH($A106, 'UA-normalized'!$A:$A, 0))-INDEX('UA-normalized'!$E:$E, MATCH($A106, 'UA-normalized'!$A:$A, 0))&gt;0, -(20*INDEX('UA-normalized'!$D:$D, MATCH($A106, 'UA-normalized'!$A:$A, 0))-INDEX('UA-normalized'!$E:$E, MATCH($A106, 'UA-normalized'!$A:$A, 0))), 0), 0))+(IFERROR(IF(20*INDEX('KZ-normalized'!$D:$D, MATCH($A106, 'KZ-normalized'!$A:$A, 0))-INDEX('KZ-normalized'!$E:$E, MATCH($A106, 'KZ-normalized'!$A:$A, 0))&gt;0, -(20*INDEX('KZ-normalized'!$D:$D, MATCH($A106, 'KZ-normalized'!$A:$A, 0))-INDEX('KZ-normalized'!$E:$E, MATCH($A106, 'KZ-normalized'!$A:$A, 0))), 0), 0))+(IFERROR(IF(20*INDEX('UZ-normalized'!$D:$D, MATCH($A106, 'UZ-normalized'!$A:$A, 0))-INDEX('UZ-normalized'!$E:$E, MATCH($A106, 'UZ-normalized'!$A:$A, 0))&gt;0, -(20*INDEX('UZ-normalized'!$D:$D, MATCH($A106, 'UZ-normalized'!$A:$A, 0))-INDEX('UZ-normalized'!$E:$E, MATCH($A106, 'UZ-normalized'!$A:$A, 0))), 0), 0)))</f>
        <v>-929</v>
      </c>
      <c r="AI106" s="6">
        <f>MIN(0, N106+(IFERROR(IF(21*INDEX('UA-normalized'!$D:$D, MATCH($A106, 'UA-normalized'!$A:$A, 0))-INDEX('UA-normalized'!$E:$E, MATCH($A106, 'UA-normalized'!$A:$A, 0))&gt;0, -(21*INDEX('UA-normalized'!$D:$D, MATCH($A106, 'UA-normalized'!$A:$A, 0))-INDEX('UA-normalized'!$E:$E, MATCH($A106, 'UA-normalized'!$A:$A, 0))), 0), 0))+(IFERROR(IF(21*INDEX('KZ-normalized'!$D:$D, MATCH($A106, 'KZ-normalized'!$A:$A, 0))-INDEX('KZ-normalized'!$E:$E, MATCH($A106, 'KZ-normalized'!$A:$A, 0))&gt;0, -(21*INDEX('KZ-normalized'!$D:$D, MATCH($A106, 'KZ-normalized'!$A:$A, 0))-INDEX('KZ-normalized'!$E:$E, MATCH($A106, 'KZ-normalized'!$A:$A, 0))), 0), 0))+(IFERROR(IF(21*INDEX('UZ-normalized'!$D:$D, MATCH($A106, 'UZ-normalized'!$A:$A, 0))-INDEX('UZ-normalized'!$E:$E, MATCH($A106, 'UZ-normalized'!$A:$A, 0))&gt;0, -(21*INDEX('UZ-normalized'!$D:$D, MATCH($A106, 'UZ-normalized'!$A:$A, 0))-INDEX('UZ-normalized'!$E:$E, MATCH($A106, 'UZ-normalized'!$A:$A, 0))), 0), 0)))</f>
        <v>-1177.3000000000002</v>
      </c>
      <c r="AJ106" s="6">
        <f>MIN(0, N106+(IFERROR(IF(22*INDEX('UA-normalized'!$D:$D, MATCH($A106, 'UA-normalized'!$A:$A, 0))-INDEX('UA-normalized'!$E:$E, MATCH($A106, 'UA-normalized'!$A:$A, 0))&gt;0, -(22*INDEX('UA-normalized'!$D:$D, MATCH($A106, 'UA-normalized'!$A:$A, 0))-INDEX('UA-normalized'!$E:$E, MATCH($A106, 'UA-normalized'!$A:$A, 0))), 0), 0))+(IFERROR(IF(22*INDEX('KZ-normalized'!$D:$D, MATCH($A106, 'KZ-normalized'!$A:$A, 0))-INDEX('KZ-normalized'!$E:$E, MATCH($A106, 'KZ-normalized'!$A:$A, 0))&gt;0, -(22*INDEX('KZ-normalized'!$D:$D, MATCH($A106, 'KZ-normalized'!$A:$A, 0))-INDEX('KZ-normalized'!$E:$E, MATCH($A106, 'KZ-normalized'!$A:$A, 0))), 0), 0))+(IFERROR(IF(22*INDEX('UZ-normalized'!$D:$D, MATCH($A106, 'UZ-normalized'!$A:$A, 0))-INDEX('UZ-normalized'!$E:$E, MATCH($A106, 'UZ-normalized'!$A:$A, 0))&gt;0, -(22*INDEX('UZ-normalized'!$D:$D, MATCH($A106, 'UZ-normalized'!$A:$A, 0))-INDEX('UZ-normalized'!$E:$E, MATCH($A106, 'UZ-normalized'!$A:$A, 0))), 0), 0)))</f>
        <v>-1425.6</v>
      </c>
      <c r="AK106" s="6">
        <f>MIN(0, N106+(IFERROR(IF(23*INDEX('UA-normalized'!$D:$D, MATCH($A106, 'UA-normalized'!$A:$A, 0))-INDEX('UA-normalized'!$E:$E, MATCH($A106, 'UA-normalized'!$A:$A, 0))&gt;0, -(23*INDEX('UA-normalized'!$D:$D, MATCH($A106, 'UA-normalized'!$A:$A, 0))-INDEX('UA-normalized'!$E:$E, MATCH($A106, 'UA-normalized'!$A:$A, 0))), 0), 0))+(IFERROR(IF(23*INDEX('KZ-normalized'!$D:$D, MATCH($A106, 'KZ-normalized'!$A:$A, 0))-INDEX('KZ-normalized'!$E:$E, MATCH($A106, 'KZ-normalized'!$A:$A, 0))&gt;0, -(23*INDEX('KZ-normalized'!$D:$D, MATCH($A106, 'KZ-normalized'!$A:$A, 0))-INDEX('KZ-normalized'!$E:$E, MATCH($A106, 'KZ-normalized'!$A:$A, 0))), 0), 0))+(IFERROR(IF(23*INDEX('UZ-normalized'!$D:$D, MATCH($A106, 'UZ-normalized'!$A:$A, 0))-INDEX('UZ-normalized'!$E:$E, MATCH($A106, 'UZ-normalized'!$A:$A, 0))&gt;0, -(23*INDEX('UZ-normalized'!$D:$D, MATCH($A106, 'UZ-normalized'!$A:$A, 0))-INDEX('UZ-normalized'!$E:$E, MATCH($A106, 'UZ-normalized'!$A:$A, 0))), 0), 0)))</f>
        <v>-1673.9</v>
      </c>
      <c r="AL106" s="6">
        <f>MIN(0, N106+(IFERROR(IF(24*INDEX('UA-normalized'!$D:$D, MATCH($A106, 'UA-normalized'!$A:$A, 0))-INDEX('UA-normalized'!$E:$E, MATCH($A106, 'UA-normalized'!$A:$A, 0))&gt;0, -(24*INDEX('UA-normalized'!$D:$D, MATCH($A106, 'UA-normalized'!$A:$A, 0))-INDEX('UA-normalized'!$E:$E, MATCH($A106, 'UA-normalized'!$A:$A, 0))), 0), 0))+(IFERROR(IF(24*INDEX('KZ-normalized'!$D:$D, MATCH($A106, 'KZ-normalized'!$A:$A, 0))-INDEX('KZ-normalized'!$E:$E, MATCH($A106, 'KZ-normalized'!$A:$A, 0))&gt;0, -(24*INDEX('KZ-normalized'!$D:$D, MATCH($A106, 'KZ-normalized'!$A:$A, 0))-INDEX('KZ-normalized'!$E:$E, MATCH($A106, 'KZ-normalized'!$A:$A, 0))), 0), 0))+(IFERROR(IF(24*INDEX('UZ-normalized'!$D:$D, MATCH($A106, 'UZ-normalized'!$A:$A, 0))-INDEX('UZ-normalized'!$E:$E, MATCH($A106, 'UZ-normalized'!$A:$A, 0))&gt;0, -(24*INDEX('UZ-normalized'!$D:$D, MATCH($A106, 'UZ-normalized'!$A:$A, 0))-INDEX('UZ-normalized'!$E:$E, MATCH($A106, 'UZ-normalized'!$A:$A, 0))), 0), 0)))</f>
        <v>-1922.1999999999998</v>
      </c>
      <c r="AM106" s="6">
        <f>MIN(0, N106+(IFERROR(IF(25*INDEX('UA-normalized'!$D:$D, MATCH($A106, 'UA-normalized'!$A:$A, 0))-INDEX('UA-normalized'!$E:$E, MATCH($A106, 'UA-normalized'!$A:$A, 0))&gt;0, -(25*INDEX('UA-normalized'!$D:$D, MATCH($A106, 'UA-normalized'!$A:$A, 0))-INDEX('UA-normalized'!$E:$E, MATCH($A106, 'UA-normalized'!$A:$A, 0))), 0), 0))+(IFERROR(IF(25*INDEX('KZ-normalized'!$D:$D, MATCH($A106, 'KZ-normalized'!$A:$A, 0))-INDEX('KZ-normalized'!$E:$E, MATCH($A106, 'KZ-normalized'!$A:$A, 0))&gt;0, -(25*INDEX('KZ-normalized'!$D:$D, MATCH($A106, 'KZ-normalized'!$A:$A, 0))-INDEX('KZ-normalized'!$E:$E, MATCH($A106, 'KZ-normalized'!$A:$A, 0))), 0), 0))+(IFERROR(IF(25*INDEX('UZ-normalized'!$D:$D, MATCH($A106, 'UZ-normalized'!$A:$A, 0))-INDEX('UZ-normalized'!$E:$E, MATCH($A106, 'UZ-normalized'!$A:$A, 0))&gt;0, -(25*INDEX('UZ-normalized'!$D:$D, MATCH($A106, 'UZ-normalized'!$A:$A, 0))-INDEX('UZ-normalized'!$E:$E, MATCH($A106, 'UZ-normalized'!$A:$A, 0))), 0), 0)))</f>
        <v>-2170.5</v>
      </c>
      <c r="AN106" s="6">
        <f>MIN(0, N106+(IFERROR(IF(26*INDEX('UA-normalized'!$D:$D, MATCH($A106, 'UA-normalized'!$A:$A, 0))-INDEX('UA-normalized'!$E:$E, MATCH($A106, 'UA-normalized'!$A:$A, 0))&gt;0, -(26*INDEX('UA-normalized'!$D:$D, MATCH($A106, 'UA-normalized'!$A:$A, 0))-INDEX('UA-normalized'!$E:$E, MATCH($A106, 'UA-normalized'!$A:$A, 0))), 0), 0))+(IFERROR(IF(26*INDEX('KZ-normalized'!$D:$D, MATCH($A106, 'KZ-normalized'!$A:$A, 0))-INDEX('KZ-normalized'!$E:$E, MATCH($A106, 'KZ-normalized'!$A:$A, 0))&gt;0, -(26*INDEX('KZ-normalized'!$D:$D, MATCH($A106, 'KZ-normalized'!$A:$A, 0))-INDEX('KZ-normalized'!$E:$E, MATCH($A106, 'KZ-normalized'!$A:$A, 0))), 0), 0))+(IFERROR(IF(26*INDEX('UZ-normalized'!$D:$D, MATCH($A106, 'UZ-normalized'!$A:$A, 0))-INDEX('UZ-normalized'!$E:$E, MATCH($A106, 'UZ-normalized'!$A:$A, 0))&gt;0, -(26*INDEX('UZ-normalized'!$D:$D, MATCH($A106, 'UZ-normalized'!$A:$A, 0))-INDEX('UZ-normalized'!$E:$E, MATCH($A106, 'UZ-normalized'!$A:$A, 0))), 0), 0)))</f>
        <v>-2418.8000000000002</v>
      </c>
      <c r="AO106" s="6">
        <f>MIN(0, N106+(IFERROR(IF(27*INDEX('UA-normalized'!$D:$D, MATCH($A106, 'UA-normalized'!$A:$A, 0))-INDEX('UA-normalized'!$E:$E, MATCH($A106, 'UA-normalized'!$A:$A, 0))&gt;0, -(27*INDEX('UA-normalized'!$D:$D, MATCH($A106, 'UA-normalized'!$A:$A, 0))-INDEX('UA-normalized'!$E:$E, MATCH($A106, 'UA-normalized'!$A:$A, 0))), 0), 0))+(IFERROR(IF(27*INDEX('KZ-normalized'!$D:$D, MATCH($A106, 'KZ-normalized'!$A:$A, 0))-INDEX('KZ-normalized'!$E:$E, MATCH($A106, 'KZ-normalized'!$A:$A, 0))&gt;0, -(27*INDEX('KZ-normalized'!$D:$D, MATCH($A106, 'KZ-normalized'!$A:$A, 0))-INDEX('KZ-normalized'!$E:$E, MATCH($A106, 'KZ-normalized'!$A:$A, 0))), 0), 0))+(IFERROR(IF(27*INDEX('UZ-normalized'!$D:$D, MATCH($A106, 'UZ-normalized'!$A:$A, 0))-INDEX('UZ-normalized'!$E:$E, MATCH($A106, 'UZ-normalized'!$A:$A, 0))&gt;0, -(27*INDEX('UZ-normalized'!$D:$D, MATCH($A106, 'UZ-normalized'!$A:$A, 0))-INDEX('UZ-normalized'!$E:$E, MATCH($A106, 'UZ-normalized'!$A:$A, 0))), 0), 0)))</f>
        <v>-2667.1</v>
      </c>
      <c r="AP106" s="6">
        <f>MIN(0, N106+(IFERROR(IF(28*INDEX('UA-normalized'!$D:$D, MATCH($A106, 'UA-normalized'!$A:$A, 0))-INDEX('UA-normalized'!$E:$E, MATCH($A106, 'UA-normalized'!$A:$A, 0))&gt;0, -(28*INDEX('UA-normalized'!$D:$D, MATCH($A106, 'UA-normalized'!$A:$A, 0))-INDEX('UA-normalized'!$E:$E, MATCH($A106, 'UA-normalized'!$A:$A, 0))), 0), 0))+(IFERROR(IF(28*INDEX('KZ-normalized'!$D:$D, MATCH($A106, 'KZ-normalized'!$A:$A, 0))-INDEX('KZ-normalized'!$E:$E, MATCH($A106, 'KZ-normalized'!$A:$A, 0))&gt;0, -(28*INDEX('KZ-normalized'!$D:$D, MATCH($A106, 'KZ-normalized'!$A:$A, 0))-INDEX('KZ-normalized'!$E:$E, MATCH($A106, 'KZ-normalized'!$A:$A, 0))), 0), 0))+(IFERROR(IF(28*INDEX('UZ-normalized'!$D:$D, MATCH($A106, 'UZ-normalized'!$A:$A, 0))-INDEX('UZ-normalized'!$E:$E, MATCH($A106, 'UZ-normalized'!$A:$A, 0))&gt;0, -(28*INDEX('UZ-normalized'!$D:$D, MATCH($A106, 'UZ-normalized'!$A:$A, 0))-INDEX('UZ-normalized'!$E:$E, MATCH($A106, 'UZ-normalized'!$A:$A, 0))), 0), 0)))</f>
        <v>-2915.4</v>
      </c>
      <c r="AQ106" s="6">
        <f>MIN(0, N106+(IFERROR(IF(29*INDEX('UA-normalized'!$D:$D, MATCH($A106, 'UA-normalized'!$A:$A, 0))-INDEX('UA-normalized'!$E:$E, MATCH($A106, 'UA-normalized'!$A:$A, 0))&gt;0, -(29*INDEX('UA-normalized'!$D:$D, MATCH($A106, 'UA-normalized'!$A:$A, 0))-INDEX('UA-normalized'!$E:$E, MATCH($A106, 'UA-normalized'!$A:$A, 0))), 0), 0))+(IFERROR(IF(29*INDEX('KZ-normalized'!$D:$D, MATCH($A106, 'KZ-normalized'!$A:$A, 0))-INDEX('KZ-normalized'!$E:$E, MATCH($A106, 'KZ-normalized'!$A:$A, 0))&gt;0, -(29*INDEX('KZ-normalized'!$D:$D, MATCH($A106, 'KZ-normalized'!$A:$A, 0))-INDEX('KZ-normalized'!$E:$E, MATCH($A106, 'KZ-normalized'!$A:$A, 0))), 0), 0))+(IFERROR(IF(29*INDEX('UZ-normalized'!$D:$D, MATCH($A106, 'UZ-normalized'!$A:$A, 0))-INDEX('UZ-normalized'!$E:$E, MATCH($A106, 'UZ-normalized'!$A:$A, 0))&gt;0, -(29*INDEX('UZ-normalized'!$D:$D, MATCH($A106, 'UZ-normalized'!$A:$A, 0))-INDEX('UZ-normalized'!$E:$E, MATCH($A106, 'UZ-normalized'!$A:$A, 0))), 0), 0)))</f>
        <v>-3163.7</v>
      </c>
      <c r="AR106" s="6">
        <f>MIN(0, N106+(IFERROR(IF(30*INDEX('UA-normalized'!$D:$D, MATCH($A106, 'UA-normalized'!$A:$A, 0))-INDEX('UA-normalized'!$E:$E, MATCH($A106, 'UA-normalized'!$A:$A, 0))&gt;0, -(30*INDEX('UA-normalized'!$D:$D, MATCH($A106, 'UA-normalized'!$A:$A, 0))-INDEX('UA-normalized'!$E:$E, MATCH($A106, 'UA-normalized'!$A:$A, 0))), 0), 0))+(IFERROR(IF(30*INDEX('KZ-normalized'!$D:$D, MATCH($A106, 'KZ-normalized'!$A:$A, 0))-INDEX('KZ-normalized'!$E:$E, MATCH($A106, 'KZ-normalized'!$A:$A, 0))&gt;0, -(30*INDEX('KZ-normalized'!$D:$D, MATCH($A106, 'KZ-normalized'!$A:$A, 0))-INDEX('KZ-normalized'!$E:$E, MATCH($A106, 'KZ-normalized'!$A:$A, 0))), 0), 0))+(IFERROR(IF(30*INDEX('UZ-normalized'!$D:$D, MATCH($A106, 'UZ-normalized'!$A:$A, 0))-INDEX('UZ-normalized'!$E:$E, MATCH($A106, 'UZ-normalized'!$A:$A, 0))&gt;0, -(30*INDEX('UZ-normalized'!$D:$D, MATCH($A106, 'UZ-normalized'!$A:$A, 0))-INDEX('UZ-normalized'!$E:$E, MATCH($A106, 'UZ-normalized'!$A:$A, 0))), 0), 0)))</f>
        <v>-3412</v>
      </c>
    </row>
    <row r="107" spans="1:44" x14ac:dyDescent="0.25">
      <c r="A107" s="8" t="s">
        <v>266</v>
      </c>
      <c r="B107" s="8" t="s">
        <v>180</v>
      </c>
      <c r="C107" s="8" t="s">
        <v>256</v>
      </c>
      <c r="D107" s="8" t="s">
        <v>267</v>
      </c>
      <c r="E107">
        <v>1625</v>
      </c>
      <c r="G107">
        <v>-350</v>
      </c>
      <c r="J107">
        <v>1625</v>
      </c>
      <c r="N107">
        <f t="shared" si="1"/>
        <v>2900</v>
      </c>
      <c r="O107" s="6">
        <f>MIN(0, N107+(IFERROR(IF(1*INDEX('UA-normalized'!$D:$D, MATCH($A107, 'UA-normalized'!$A:$A, 0))-INDEX('UA-normalized'!$E:$E, MATCH($A107, 'UA-normalized'!$A:$A, 0))&gt;0, -(1*INDEX('UA-normalized'!$D:$D, MATCH($A107, 'UA-normalized'!$A:$A, 0))-INDEX('UA-normalized'!$E:$E, MATCH($A107, 'UA-normalized'!$A:$A, 0))), 0), 0))+(IFERROR(IF(1*INDEX('KZ-normalized'!$D:$D, MATCH($A107, 'KZ-normalized'!$A:$A, 0))-INDEX('KZ-normalized'!$E:$E, MATCH($A107, 'KZ-normalized'!$A:$A, 0))&gt;0, -(1*INDEX('KZ-normalized'!$D:$D, MATCH($A107, 'KZ-normalized'!$A:$A, 0))-INDEX('KZ-normalized'!$E:$E, MATCH($A107, 'KZ-normalized'!$A:$A, 0))), 0), 0))+(IFERROR(IF(1*INDEX('UZ-normalized'!$D:$D, MATCH($A107, 'UZ-normalized'!$A:$A, 0))-INDEX('UZ-normalized'!$E:$E, MATCH($A107, 'UZ-normalized'!$A:$A, 0))&gt;0, -(1*INDEX('UZ-normalized'!$D:$D, MATCH($A107, 'UZ-normalized'!$A:$A, 0))-INDEX('UZ-normalized'!$E:$E, MATCH($A107, 'UZ-normalized'!$A:$A, 0))), 0), 0)))</f>
        <v>0</v>
      </c>
      <c r="P107" s="6">
        <f>MIN(0, N107+(IFERROR(IF(2*INDEX('UA-normalized'!$D:$D, MATCH($A107, 'UA-normalized'!$A:$A, 0))-INDEX('UA-normalized'!$E:$E, MATCH($A107, 'UA-normalized'!$A:$A, 0))&gt;0, -(2*INDEX('UA-normalized'!$D:$D, MATCH($A107, 'UA-normalized'!$A:$A, 0))-INDEX('UA-normalized'!$E:$E, MATCH($A107, 'UA-normalized'!$A:$A, 0))), 0), 0))+(IFERROR(IF(2*INDEX('KZ-normalized'!$D:$D, MATCH($A107, 'KZ-normalized'!$A:$A, 0))-INDEX('KZ-normalized'!$E:$E, MATCH($A107, 'KZ-normalized'!$A:$A, 0))&gt;0, -(2*INDEX('KZ-normalized'!$D:$D, MATCH($A107, 'KZ-normalized'!$A:$A, 0))-INDEX('KZ-normalized'!$E:$E, MATCH($A107, 'KZ-normalized'!$A:$A, 0))), 0), 0))+(IFERROR(IF(2*INDEX('UZ-normalized'!$D:$D, MATCH($A107, 'UZ-normalized'!$A:$A, 0))-INDEX('UZ-normalized'!$E:$E, MATCH($A107, 'UZ-normalized'!$A:$A, 0))&gt;0, -(2*INDEX('UZ-normalized'!$D:$D, MATCH($A107, 'UZ-normalized'!$A:$A, 0))-INDEX('UZ-normalized'!$E:$E, MATCH($A107, 'UZ-normalized'!$A:$A, 0))), 0), 0)))</f>
        <v>0</v>
      </c>
      <c r="Q107" s="6">
        <f>MIN(0, N107+(IFERROR(IF(3*INDEX('UA-normalized'!$D:$D, MATCH($A107, 'UA-normalized'!$A:$A, 0))-INDEX('UA-normalized'!$E:$E, MATCH($A107, 'UA-normalized'!$A:$A, 0))&gt;0, -(3*INDEX('UA-normalized'!$D:$D, MATCH($A107, 'UA-normalized'!$A:$A, 0))-INDEX('UA-normalized'!$E:$E, MATCH($A107, 'UA-normalized'!$A:$A, 0))), 0), 0))+(IFERROR(IF(3*INDEX('KZ-normalized'!$D:$D, MATCH($A107, 'KZ-normalized'!$A:$A, 0))-INDEX('KZ-normalized'!$E:$E, MATCH($A107, 'KZ-normalized'!$A:$A, 0))&gt;0, -(3*INDEX('KZ-normalized'!$D:$D, MATCH($A107, 'KZ-normalized'!$A:$A, 0))-INDEX('KZ-normalized'!$E:$E, MATCH($A107, 'KZ-normalized'!$A:$A, 0))), 0), 0))+(IFERROR(IF(3*INDEX('UZ-normalized'!$D:$D, MATCH($A107, 'UZ-normalized'!$A:$A, 0))-INDEX('UZ-normalized'!$E:$E, MATCH($A107, 'UZ-normalized'!$A:$A, 0))&gt;0, -(3*INDEX('UZ-normalized'!$D:$D, MATCH($A107, 'UZ-normalized'!$A:$A, 0))-INDEX('UZ-normalized'!$E:$E, MATCH($A107, 'UZ-normalized'!$A:$A, 0))), 0), 0)))</f>
        <v>0</v>
      </c>
      <c r="R107" s="6">
        <f>MIN(0, N107+(IFERROR(IF(4*INDEX('UA-normalized'!$D:$D, MATCH($A107, 'UA-normalized'!$A:$A, 0))-INDEX('UA-normalized'!$E:$E, MATCH($A107, 'UA-normalized'!$A:$A, 0))&gt;0, -(4*INDEX('UA-normalized'!$D:$D, MATCH($A107, 'UA-normalized'!$A:$A, 0))-INDEX('UA-normalized'!$E:$E, MATCH($A107, 'UA-normalized'!$A:$A, 0))), 0), 0))+(IFERROR(IF(4*INDEX('KZ-normalized'!$D:$D, MATCH($A107, 'KZ-normalized'!$A:$A, 0))-INDEX('KZ-normalized'!$E:$E, MATCH($A107, 'KZ-normalized'!$A:$A, 0))&gt;0, -(4*INDEX('KZ-normalized'!$D:$D, MATCH($A107, 'KZ-normalized'!$A:$A, 0))-INDEX('KZ-normalized'!$E:$E, MATCH($A107, 'KZ-normalized'!$A:$A, 0))), 0), 0))+(IFERROR(IF(4*INDEX('UZ-normalized'!$D:$D, MATCH($A107, 'UZ-normalized'!$A:$A, 0))-INDEX('UZ-normalized'!$E:$E, MATCH($A107, 'UZ-normalized'!$A:$A, 0))&gt;0, -(4*INDEX('UZ-normalized'!$D:$D, MATCH($A107, 'UZ-normalized'!$A:$A, 0))-INDEX('UZ-normalized'!$E:$E, MATCH($A107, 'UZ-normalized'!$A:$A, 0))), 0), 0)))</f>
        <v>0</v>
      </c>
      <c r="S107" s="6">
        <f>MIN(0, N107+(IFERROR(IF(5*INDEX('UA-normalized'!$D:$D, MATCH($A107, 'UA-normalized'!$A:$A, 0))-INDEX('UA-normalized'!$E:$E, MATCH($A107, 'UA-normalized'!$A:$A, 0))&gt;0, -(5*INDEX('UA-normalized'!$D:$D, MATCH($A107, 'UA-normalized'!$A:$A, 0))-INDEX('UA-normalized'!$E:$E, MATCH($A107, 'UA-normalized'!$A:$A, 0))), 0), 0))+(IFERROR(IF(5*INDEX('KZ-normalized'!$D:$D, MATCH($A107, 'KZ-normalized'!$A:$A, 0))-INDEX('KZ-normalized'!$E:$E, MATCH($A107, 'KZ-normalized'!$A:$A, 0))&gt;0, -(5*INDEX('KZ-normalized'!$D:$D, MATCH($A107, 'KZ-normalized'!$A:$A, 0))-INDEX('KZ-normalized'!$E:$E, MATCH($A107, 'KZ-normalized'!$A:$A, 0))), 0), 0))+(IFERROR(IF(5*INDEX('UZ-normalized'!$D:$D, MATCH($A107, 'UZ-normalized'!$A:$A, 0))-INDEX('UZ-normalized'!$E:$E, MATCH($A107, 'UZ-normalized'!$A:$A, 0))&gt;0, -(5*INDEX('UZ-normalized'!$D:$D, MATCH($A107, 'UZ-normalized'!$A:$A, 0))-INDEX('UZ-normalized'!$E:$E, MATCH($A107, 'UZ-normalized'!$A:$A, 0))), 0), 0)))</f>
        <v>0</v>
      </c>
      <c r="T107" s="6">
        <f>MIN(0, N107+(IFERROR(IF(6*INDEX('UA-normalized'!$D:$D, MATCH($A107, 'UA-normalized'!$A:$A, 0))-INDEX('UA-normalized'!$E:$E, MATCH($A107, 'UA-normalized'!$A:$A, 0))&gt;0, -(6*INDEX('UA-normalized'!$D:$D, MATCH($A107, 'UA-normalized'!$A:$A, 0))-INDEX('UA-normalized'!$E:$E, MATCH($A107, 'UA-normalized'!$A:$A, 0))), 0), 0))+(IFERROR(IF(6*INDEX('KZ-normalized'!$D:$D, MATCH($A107, 'KZ-normalized'!$A:$A, 0))-INDEX('KZ-normalized'!$E:$E, MATCH($A107, 'KZ-normalized'!$A:$A, 0))&gt;0, -(6*INDEX('KZ-normalized'!$D:$D, MATCH($A107, 'KZ-normalized'!$A:$A, 0))-INDEX('KZ-normalized'!$E:$E, MATCH($A107, 'KZ-normalized'!$A:$A, 0))), 0), 0))+(IFERROR(IF(6*INDEX('UZ-normalized'!$D:$D, MATCH($A107, 'UZ-normalized'!$A:$A, 0))-INDEX('UZ-normalized'!$E:$E, MATCH($A107, 'UZ-normalized'!$A:$A, 0))&gt;0, -(6*INDEX('UZ-normalized'!$D:$D, MATCH($A107, 'UZ-normalized'!$A:$A, 0))-INDEX('UZ-normalized'!$E:$E, MATCH($A107, 'UZ-normalized'!$A:$A, 0))), 0), 0)))</f>
        <v>0</v>
      </c>
      <c r="U107" s="6">
        <f>MIN(0, N107+(IFERROR(IF(7*INDEX('UA-normalized'!$D:$D, MATCH($A107, 'UA-normalized'!$A:$A, 0))-INDEX('UA-normalized'!$E:$E, MATCH($A107, 'UA-normalized'!$A:$A, 0))&gt;0, -(7*INDEX('UA-normalized'!$D:$D, MATCH($A107, 'UA-normalized'!$A:$A, 0))-INDEX('UA-normalized'!$E:$E, MATCH($A107, 'UA-normalized'!$A:$A, 0))), 0), 0))+(IFERROR(IF(7*INDEX('KZ-normalized'!$D:$D, MATCH($A107, 'KZ-normalized'!$A:$A, 0))-INDEX('KZ-normalized'!$E:$E, MATCH($A107, 'KZ-normalized'!$A:$A, 0))&gt;0, -(7*INDEX('KZ-normalized'!$D:$D, MATCH($A107, 'KZ-normalized'!$A:$A, 0))-INDEX('KZ-normalized'!$E:$E, MATCH($A107, 'KZ-normalized'!$A:$A, 0))), 0), 0))+(IFERROR(IF(7*INDEX('UZ-normalized'!$D:$D, MATCH($A107, 'UZ-normalized'!$A:$A, 0))-INDEX('UZ-normalized'!$E:$E, MATCH($A107, 'UZ-normalized'!$A:$A, 0))&gt;0, -(7*INDEX('UZ-normalized'!$D:$D, MATCH($A107, 'UZ-normalized'!$A:$A, 0))-INDEX('UZ-normalized'!$E:$E, MATCH($A107, 'UZ-normalized'!$A:$A, 0))), 0), 0)))</f>
        <v>0</v>
      </c>
      <c r="V107" s="6">
        <f>MIN(0, N107+(IFERROR(IF(8*INDEX('UA-normalized'!$D:$D, MATCH($A107, 'UA-normalized'!$A:$A, 0))-INDEX('UA-normalized'!$E:$E, MATCH($A107, 'UA-normalized'!$A:$A, 0))&gt;0, -(8*INDEX('UA-normalized'!$D:$D, MATCH($A107, 'UA-normalized'!$A:$A, 0))-INDEX('UA-normalized'!$E:$E, MATCH($A107, 'UA-normalized'!$A:$A, 0))), 0), 0))+(IFERROR(IF(8*INDEX('KZ-normalized'!$D:$D, MATCH($A107, 'KZ-normalized'!$A:$A, 0))-INDEX('KZ-normalized'!$E:$E, MATCH($A107, 'KZ-normalized'!$A:$A, 0))&gt;0, -(8*INDEX('KZ-normalized'!$D:$D, MATCH($A107, 'KZ-normalized'!$A:$A, 0))-INDEX('KZ-normalized'!$E:$E, MATCH($A107, 'KZ-normalized'!$A:$A, 0))), 0), 0))+(IFERROR(IF(8*INDEX('UZ-normalized'!$D:$D, MATCH($A107, 'UZ-normalized'!$A:$A, 0))-INDEX('UZ-normalized'!$E:$E, MATCH($A107, 'UZ-normalized'!$A:$A, 0))&gt;0, -(8*INDEX('UZ-normalized'!$D:$D, MATCH($A107, 'UZ-normalized'!$A:$A, 0))-INDEX('UZ-normalized'!$E:$E, MATCH($A107, 'UZ-normalized'!$A:$A, 0))), 0), 0)))</f>
        <v>0</v>
      </c>
      <c r="W107" s="6">
        <f>MIN(0, N107+(IFERROR(IF(9*INDEX('UA-normalized'!$D:$D, MATCH($A107, 'UA-normalized'!$A:$A, 0))-INDEX('UA-normalized'!$E:$E, MATCH($A107, 'UA-normalized'!$A:$A, 0))&gt;0, -(9*INDEX('UA-normalized'!$D:$D, MATCH($A107, 'UA-normalized'!$A:$A, 0))-INDEX('UA-normalized'!$E:$E, MATCH($A107, 'UA-normalized'!$A:$A, 0))), 0), 0))+(IFERROR(IF(9*INDEX('KZ-normalized'!$D:$D, MATCH($A107, 'KZ-normalized'!$A:$A, 0))-INDEX('KZ-normalized'!$E:$E, MATCH($A107, 'KZ-normalized'!$A:$A, 0))&gt;0, -(9*INDEX('KZ-normalized'!$D:$D, MATCH($A107, 'KZ-normalized'!$A:$A, 0))-INDEX('KZ-normalized'!$E:$E, MATCH($A107, 'KZ-normalized'!$A:$A, 0))), 0), 0))+(IFERROR(IF(9*INDEX('UZ-normalized'!$D:$D, MATCH($A107, 'UZ-normalized'!$A:$A, 0))-INDEX('UZ-normalized'!$E:$E, MATCH($A107, 'UZ-normalized'!$A:$A, 0))&gt;0, -(9*INDEX('UZ-normalized'!$D:$D, MATCH($A107, 'UZ-normalized'!$A:$A, 0))-INDEX('UZ-normalized'!$E:$E, MATCH($A107, 'UZ-normalized'!$A:$A, 0))), 0), 0)))</f>
        <v>0</v>
      </c>
      <c r="X107" s="6">
        <f>MIN(0, N107+(IFERROR(IF(10*INDEX('UA-normalized'!$D:$D, MATCH($A107, 'UA-normalized'!$A:$A, 0))-INDEX('UA-normalized'!$E:$E, MATCH($A107, 'UA-normalized'!$A:$A, 0))&gt;0, -(10*INDEX('UA-normalized'!$D:$D, MATCH($A107, 'UA-normalized'!$A:$A, 0))-INDEX('UA-normalized'!$E:$E, MATCH($A107, 'UA-normalized'!$A:$A, 0))), 0), 0))+(IFERROR(IF(10*INDEX('KZ-normalized'!$D:$D, MATCH($A107, 'KZ-normalized'!$A:$A, 0))-INDEX('KZ-normalized'!$E:$E, MATCH($A107, 'KZ-normalized'!$A:$A, 0))&gt;0, -(10*INDEX('KZ-normalized'!$D:$D, MATCH($A107, 'KZ-normalized'!$A:$A, 0))-INDEX('KZ-normalized'!$E:$E, MATCH($A107, 'KZ-normalized'!$A:$A, 0))), 0), 0))+(IFERROR(IF(10*INDEX('UZ-normalized'!$D:$D, MATCH($A107, 'UZ-normalized'!$A:$A, 0))-INDEX('UZ-normalized'!$E:$E, MATCH($A107, 'UZ-normalized'!$A:$A, 0))&gt;0, -(10*INDEX('UZ-normalized'!$D:$D, MATCH($A107, 'UZ-normalized'!$A:$A, 0))-INDEX('UZ-normalized'!$E:$E, MATCH($A107, 'UZ-normalized'!$A:$A, 0))), 0), 0)))</f>
        <v>0</v>
      </c>
      <c r="Y107" s="6">
        <f>MIN(0, N107+(IFERROR(IF(11*INDEX('UA-normalized'!$D:$D, MATCH($A107, 'UA-normalized'!$A:$A, 0))-INDEX('UA-normalized'!$E:$E, MATCH($A107, 'UA-normalized'!$A:$A, 0))&gt;0, -(11*INDEX('UA-normalized'!$D:$D, MATCH($A107, 'UA-normalized'!$A:$A, 0))-INDEX('UA-normalized'!$E:$E, MATCH($A107, 'UA-normalized'!$A:$A, 0))), 0), 0))+(IFERROR(IF(11*INDEX('KZ-normalized'!$D:$D, MATCH($A107, 'KZ-normalized'!$A:$A, 0))-INDEX('KZ-normalized'!$E:$E, MATCH($A107, 'KZ-normalized'!$A:$A, 0))&gt;0, -(11*INDEX('KZ-normalized'!$D:$D, MATCH($A107, 'KZ-normalized'!$A:$A, 0))-INDEX('KZ-normalized'!$E:$E, MATCH($A107, 'KZ-normalized'!$A:$A, 0))), 0), 0))+(IFERROR(IF(11*INDEX('UZ-normalized'!$D:$D, MATCH($A107, 'UZ-normalized'!$A:$A, 0))-INDEX('UZ-normalized'!$E:$E, MATCH($A107, 'UZ-normalized'!$A:$A, 0))&gt;0, -(11*INDEX('UZ-normalized'!$D:$D, MATCH($A107, 'UZ-normalized'!$A:$A, 0))-INDEX('UZ-normalized'!$E:$E, MATCH($A107, 'UZ-normalized'!$A:$A, 0))), 0), 0)))</f>
        <v>0</v>
      </c>
      <c r="Z107" s="6">
        <f>MIN(0, N107+(IFERROR(IF(12*INDEX('UA-normalized'!$D:$D, MATCH($A107, 'UA-normalized'!$A:$A, 0))-INDEX('UA-normalized'!$E:$E, MATCH($A107, 'UA-normalized'!$A:$A, 0))&gt;0, -(12*INDEX('UA-normalized'!$D:$D, MATCH($A107, 'UA-normalized'!$A:$A, 0))-INDEX('UA-normalized'!$E:$E, MATCH($A107, 'UA-normalized'!$A:$A, 0))), 0), 0))+(IFERROR(IF(12*INDEX('KZ-normalized'!$D:$D, MATCH($A107, 'KZ-normalized'!$A:$A, 0))-INDEX('KZ-normalized'!$E:$E, MATCH($A107, 'KZ-normalized'!$A:$A, 0))&gt;0, -(12*INDEX('KZ-normalized'!$D:$D, MATCH($A107, 'KZ-normalized'!$A:$A, 0))-INDEX('KZ-normalized'!$E:$E, MATCH($A107, 'KZ-normalized'!$A:$A, 0))), 0), 0))+(IFERROR(IF(12*INDEX('UZ-normalized'!$D:$D, MATCH($A107, 'UZ-normalized'!$A:$A, 0))-INDEX('UZ-normalized'!$E:$E, MATCH($A107, 'UZ-normalized'!$A:$A, 0))&gt;0, -(12*INDEX('UZ-normalized'!$D:$D, MATCH($A107, 'UZ-normalized'!$A:$A, 0))-INDEX('UZ-normalized'!$E:$E, MATCH($A107, 'UZ-normalized'!$A:$A, 0))), 0), 0)))</f>
        <v>0</v>
      </c>
      <c r="AA107" s="6">
        <f>MIN(0, N107+(IFERROR(IF(13*INDEX('UA-normalized'!$D:$D, MATCH($A107, 'UA-normalized'!$A:$A, 0))-INDEX('UA-normalized'!$E:$E, MATCH($A107, 'UA-normalized'!$A:$A, 0))&gt;0, -(13*INDEX('UA-normalized'!$D:$D, MATCH($A107, 'UA-normalized'!$A:$A, 0))-INDEX('UA-normalized'!$E:$E, MATCH($A107, 'UA-normalized'!$A:$A, 0))), 0), 0))+(IFERROR(IF(13*INDEX('KZ-normalized'!$D:$D, MATCH($A107, 'KZ-normalized'!$A:$A, 0))-INDEX('KZ-normalized'!$E:$E, MATCH($A107, 'KZ-normalized'!$A:$A, 0))&gt;0, -(13*INDEX('KZ-normalized'!$D:$D, MATCH($A107, 'KZ-normalized'!$A:$A, 0))-INDEX('KZ-normalized'!$E:$E, MATCH($A107, 'KZ-normalized'!$A:$A, 0))), 0), 0))+(IFERROR(IF(13*INDEX('UZ-normalized'!$D:$D, MATCH($A107, 'UZ-normalized'!$A:$A, 0))-INDEX('UZ-normalized'!$E:$E, MATCH($A107, 'UZ-normalized'!$A:$A, 0))&gt;0, -(13*INDEX('UZ-normalized'!$D:$D, MATCH($A107, 'UZ-normalized'!$A:$A, 0))-INDEX('UZ-normalized'!$E:$E, MATCH($A107, 'UZ-normalized'!$A:$A, 0))), 0), 0)))</f>
        <v>0</v>
      </c>
      <c r="AB107" s="6">
        <f>MIN(0, N107+(IFERROR(IF(14*INDEX('UA-normalized'!$D:$D, MATCH($A107, 'UA-normalized'!$A:$A, 0))-INDEX('UA-normalized'!$E:$E, MATCH($A107, 'UA-normalized'!$A:$A, 0))&gt;0, -(14*INDEX('UA-normalized'!$D:$D, MATCH($A107, 'UA-normalized'!$A:$A, 0))-INDEX('UA-normalized'!$E:$E, MATCH($A107, 'UA-normalized'!$A:$A, 0))), 0), 0))+(IFERROR(IF(14*INDEX('KZ-normalized'!$D:$D, MATCH($A107, 'KZ-normalized'!$A:$A, 0))-INDEX('KZ-normalized'!$E:$E, MATCH($A107, 'KZ-normalized'!$A:$A, 0))&gt;0, -(14*INDEX('KZ-normalized'!$D:$D, MATCH($A107, 'KZ-normalized'!$A:$A, 0))-INDEX('KZ-normalized'!$E:$E, MATCH($A107, 'KZ-normalized'!$A:$A, 0))), 0), 0))+(IFERROR(IF(14*INDEX('UZ-normalized'!$D:$D, MATCH($A107, 'UZ-normalized'!$A:$A, 0))-INDEX('UZ-normalized'!$E:$E, MATCH($A107, 'UZ-normalized'!$A:$A, 0))&gt;0, -(14*INDEX('UZ-normalized'!$D:$D, MATCH($A107, 'UZ-normalized'!$A:$A, 0))-INDEX('UZ-normalized'!$E:$E, MATCH($A107, 'UZ-normalized'!$A:$A, 0))), 0), 0)))</f>
        <v>0</v>
      </c>
      <c r="AC107" s="6">
        <f>MIN(0, N107+(IFERROR(IF(15*INDEX('UA-normalized'!$D:$D, MATCH($A107, 'UA-normalized'!$A:$A, 0))-INDEX('UA-normalized'!$E:$E, MATCH($A107, 'UA-normalized'!$A:$A, 0))&gt;0, -(15*INDEX('UA-normalized'!$D:$D, MATCH($A107, 'UA-normalized'!$A:$A, 0))-INDEX('UA-normalized'!$E:$E, MATCH($A107, 'UA-normalized'!$A:$A, 0))), 0), 0))+(IFERROR(IF(15*INDEX('KZ-normalized'!$D:$D, MATCH($A107, 'KZ-normalized'!$A:$A, 0))-INDEX('KZ-normalized'!$E:$E, MATCH($A107, 'KZ-normalized'!$A:$A, 0))&gt;0, -(15*INDEX('KZ-normalized'!$D:$D, MATCH($A107, 'KZ-normalized'!$A:$A, 0))-INDEX('KZ-normalized'!$E:$E, MATCH($A107, 'KZ-normalized'!$A:$A, 0))), 0), 0))+(IFERROR(IF(15*INDEX('UZ-normalized'!$D:$D, MATCH($A107, 'UZ-normalized'!$A:$A, 0))-INDEX('UZ-normalized'!$E:$E, MATCH($A107, 'UZ-normalized'!$A:$A, 0))&gt;0, -(15*INDEX('UZ-normalized'!$D:$D, MATCH($A107, 'UZ-normalized'!$A:$A, 0))-INDEX('UZ-normalized'!$E:$E, MATCH($A107, 'UZ-normalized'!$A:$A, 0))), 0), 0)))</f>
        <v>0</v>
      </c>
      <c r="AD107" s="6">
        <f>MIN(0, N107+(IFERROR(IF(16*INDEX('UA-normalized'!$D:$D, MATCH($A107, 'UA-normalized'!$A:$A, 0))-INDEX('UA-normalized'!$E:$E, MATCH($A107, 'UA-normalized'!$A:$A, 0))&gt;0, -(16*INDEX('UA-normalized'!$D:$D, MATCH($A107, 'UA-normalized'!$A:$A, 0))-INDEX('UA-normalized'!$E:$E, MATCH($A107, 'UA-normalized'!$A:$A, 0))), 0), 0))+(IFERROR(IF(16*INDEX('KZ-normalized'!$D:$D, MATCH($A107, 'KZ-normalized'!$A:$A, 0))-INDEX('KZ-normalized'!$E:$E, MATCH($A107, 'KZ-normalized'!$A:$A, 0))&gt;0, -(16*INDEX('KZ-normalized'!$D:$D, MATCH($A107, 'KZ-normalized'!$A:$A, 0))-INDEX('KZ-normalized'!$E:$E, MATCH($A107, 'KZ-normalized'!$A:$A, 0))), 0), 0))+(IFERROR(IF(16*INDEX('UZ-normalized'!$D:$D, MATCH($A107, 'UZ-normalized'!$A:$A, 0))-INDEX('UZ-normalized'!$E:$E, MATCH($A107, 'UZ-normalized'!$A:$A, 0))&gt;0, -(16*INDEX('UZ-normalized'!$D:$D, MATCH($A107, 'UZ-normalized'!$A:$A, 0))-INDEX('UZ-normalized'!$E:$E, MATCH($A107, 'UZ-normalized'!$A:$A, 0))), 0), 0)))</f>
        <v>0</v>
      </c>
      <c r="AE107" s="6">
        <f>MIN(0, N107+(IFERROR(IF(17*INDEX('UA-normalized'!$D:$D, MATCH($A107, 'UA-normalized'!$A:$A, 0))-INDEX('UA-normalized'!$E:$E, MATCH($A107, 'UA-normalized'!$A:$A, 0))&gt;0, -(17*INDEX('UA-normalized'!$D:$D, MATCH($A107, 'UA-normalized'!$A:$A, 0))-INDEX('UA-normalized'!$E:$E, MATCH($A107, 'UA-normalized'!$A:$A, 0))), 0), 0))+(IFERROR(IF(17*INDEX('KZ-normalized'!$D:$D, MATCH($A107, 'KZ-normalized'!$A:$A, 0))-INDEX('KZ-normalized'!$E:$E, MATCH($A107, 'KZ-normalized'!$A:$A, 0))&gt;0, -(17*INDEX('KZ-normalized'!$D:$D, MATCH($A107, 'KZ-normalized'!$A:$A, 0))-INDEX('KZ-normalized'!$E:$E, MATCH($A107, 'KZ-normalized'!$A:$A, 0))), 0), 0))+(IFERROR(IF(17*INDEX('UZ-normalized'!$D:$D, MATCH($A107, 'UZ-normalized'!$A:$A, 0))-INDEX('UZ-normalized'!$E:$E, MATCH($A107, 'UZ-normalized'!$A:$A, 0))&gt;0, -(17*INDEX('UZ-normalized'!$D:$D, MATCH($A107, 'UZ-normalized'!$A:$A, 0))-INDEX('UZ-normalized'!$E:$E, MATCH($A107, 'UZ-normalized'!$A:$A, 0))), 0), 0)))</f>
        <v>0</v>
      </c>
      <c r="AF107" s="6">
        <f>MIN(0, N107+(IFERROR(IF(18*INDEX('UA-normalized'!$D:$D, MATCH($A107, 'UA-normalized'!$A:$A, 0))-INDEX('UA-normalized'!$E:$E, MATCH($A107, 'UA-normalized'!$A:$A, 0))&gt;0, -(18*INDEX('UA-normalized'!$D:$D, MATCH($A107, 'UA-normalized'!$A:$A, 0))-INDEX('UA-normalized'!$E:$E, MATCH($A107, 'UA-normalized'!$A:$A, 0))), 0), 0))+(IFERROR(IF(18*INDEX('KZ-normalized'!$D:$D, MATCH($A107, 'KZ-normalized'!$A:$A, 0))-INDEX('KZ-normalized'!$E:$E, MATCH($A107, 'KZ-normalized'!$A:$A, 0))&gt;0, -(18*INDEX('KZ-normalized'!$D:$D, MATCH($A107, 'KZ-normalized'!$A:$A, 0))-INDEX('KZ-normalized'!$E:$E, MATCH($A107, 'KZ-normalized'!$A:$A, 0))), 0), 0))+(IFERROR(IF(18*INDEX('UZ-normalized'!$D:$D, MATCH($A107, 'UZ-normalized'!$A:$A, 0))-INDEX('UZ-normalized'!$E:$E, MATCH($A107, 'UZ-normalized'!$A:$A, 0))&gt;0, -(18*INDEX('UZ-normalized'!$D:$D, MATCH($A107, 'UZ-normalized'!$A:$A, 0))-INDEX('UZ-normalized'!$E:$E, MATCH($A107, 'UZ-normalized'!$A:$A, 0))), 0), 0)))</f>
        <v>0</v>
      </c>
      <c r="AG107" s="6">
        <f>MIN(0, N107+(IFERROR(IF(19*INDEX('UA-normalized'!$D:$D, MATCH($A107, 'UA-normalized'!$A:$A, 0))-INDEX('UA-normalized'!$E:$E, MATCH($A107, 'UA-normalized'!$A:$A, 0))&gt;0, -(19*INDEX('UA-normalized'!$D:$D, MATCH($A107, 'UA-normalized'!$A:$A, 0))-INDEX('UA-normalized'!$E:$E, MATCH($A107, 'UA-normalized'!$A:$A, 0))), 0), 0))+(IFERROR(IF(19*INDEX('KZ-normalized'!$D:$D, MATCH($A107, 'KZ-normalized'!$A:$A, 0))-INDEX('KZ-normalized'!$E:$E, MATCH($A107, 'KZ-normalized'!$A:$A, 0))&gt;0, -(19*INDEX('KZ-normalized'!$D:$D, MATCH($A107, 'KZ-normalized'!$A:$A, 0))-INDEX('KZ-normalized'!$E:$E, MATCH($A107, 'KZ-normalized'!$A:$A, 0))), 0), 0))+(IFERROR(IF(19*INDEX('UZ-normalized'!$D:$D, MATCH($A107, 'UZ-normalized'!$A:$A, 0))-INDEX('UZ-normalized'!$E:$E, MATCH($A107, 'UZ-normalized'!$A:$A, 0))&gt;0, -(19*INDEX('UZ-normalized'!$D:$D, MATCH($A107, 'UZ-normalized'!$A:$A, 0))-INDEX('UZ-normalized'!$E:$E, MATCH($A107, 'UZ-normalized'!$A:$A, 0))), 0), 0)))</f>
        <v>0</v>
      </c>
      <c r="AH107" s="6">
        <f>MIN(0, N107+(IFERROR(IF(20*INDEX('UA-normalized'!$D:$D, MATCH($A107, 'UA-normalized'!$A:$A, 0))-INDEX('UA-normalized'!$E:$E, MATCH($A107, 'UA-normalized'!$A:$A, 0))&gt;0, -(20*INDEX('UA-normalized'!$D:$D, MATCH($A107, 'UA-normalized'!$A:$A, 0))-INDEX('UA-normalized'!$E:$E, MATCH($A107, 'UA-normalized'!$A:$A, 0))), 0), 0))+(IFERROR(IF(20*INDEX('KZ-normalized'!$D:$D, MATCH($A107, 'KZ-normalized'!$A:$A, 0))-INDEX('KZ-normalized'!$E:$E, MATCH($A107, 'KZ-normalized'!$A:$A, 0))&gt;0, -(20*INDEX('KZ-normalized'!$D:$D, MATCH($A107, 'KZ-normalized'!$A:$A, 0))-INDEX('KZ-normalized'!$E:$E, MATCH($A107, 'KZ-normalized'!$A:$A, 0))), 0), 0))+(IFERROR(IF(20*INDEX('UZ-normalized'!$D:$D, MATCH($A107, 'UZ-normalized'!$A:$A, 0))-INDEX('UZ-normalized'!$E:$E, MATCH($A107, 'UZ-normalized'!$A:$A, 0))&gt;0, -(20*INDEX('UZ-normalized'!$D:$D, MATCH($A107, 'UZ-normalized'!$A:$A, 0))-INDEX('UZ-normalized'!$E:$E, MATCH($A107, 'UZ-normalized'!$A:$A, 0))), 0), 0)))</f>
        <v>-95</v>
      </c>
      <c r="AI107" s="6">
        <f>MIN(0, N107+(IFERROR(IF(21*INDEX('UA-normalized'!$D:$D, MATCH($A107, 'UA-normalized'!$A:$A, 0))-INDEX('UA-normalized'!$E:$E, MATCH($A107, 'UA-normalized'!$A:$A, 0))&gt;0, -(21*INDEX('UA-normalized'!$D:$D, MATCH($A107, 'UA-normalized'!$A:$A, 0))-INDEX('UA-normalized'!$E:$E, MATCH($A107, 'UA-normalized'!$A:$A, 0))), 0), 0))+(IFERROR(IF(21*INDEX('KZ-normalized'!$D:$D, MATCH($A107, 'KZ-normalized'!$A:$A, 0))-INDEX('KZ-normalized'!$E:$E, MATCH($A107, 'KZ-normalized'!$A:$A, 0))&gt;0, -(21*INDEX('KZ-normalized'!$D:$D, MATCH($A107, 'KZ-normalized'!$A:$A, 0))-INDEX('KZ-normalized'!$E:$E, MATCH($A107, 'KZ-normalized'!$A:$A, 0))), 0), 0))+(IFERROR(IF(21*INDEX('UZ-normalized'!$D:$D, MATCH($A107, 'UZ-normalized'!$A:$A, 0))-INDEX('UZ-normalized'!$E:$E, MATCH($A107, 'UZ-normalized'!$A:$A, 0))&gt;0, -(21*INDEX('UZ-normalized'!$D:$D, MATCH($A107, 'UZ-normalized'!$A:$A, 0))-INDEX('UZ-normalized'!$E:$E, MATCH($A107, 'UZ-normalized'!$A:$A, 0))), 0), 0)))</f>
        <v>-284.69999999999982</v>
      </c>
      <c r="AJ107" s="6">
        <f>MIN(0, N107+(IFERROR(IF(22*INDEX('UA-normalized'!$D:$D, MATCH($A107, 'UA-normalized'!$A:$A, 0))-INDEX('UA-normalized'!$E:$E, MATCH($A107, 'UA-normalized'!$A:$A, 0))&gt;0, -(22*INDEX('UA-normalized'!$D:$D, MATCH($A107, 'UA-normalized'!$A:$A, 0))-INDEX('UA-normalized'!$E:$E, MATCH($A107, 'UA-normalized'!$A:$A, 0))), 0), 0))+(IFERROR(IF(22*INDEX('KZ-normalized'!$D:$D, MATCH($A107, 'KZ-normalized'!$A:$A, 0))-INDEX('KZ-normalized'!$E:$E, MATCH($A107, 'KZ-normalized'!$A:$A, 0))&gt;0, -(22*INDEX('KZ-normalized'!$D:$D, MATCH($A107, 'KZ-normalized'!$A:$A, 0))-INDEX('KZ-normalized'!$E:$E, MATCH($A107, 'KZ-normalized'!$A:$A, 0))), 0), 0))+(IFERROR(IF(22*INDEX('UZ-normalized'!$D:$D, MATCH($A107, 'UZ-normalized'!$A:$A, 0))-INDEX('UZ-normalized'!$E:$E, MATCH($A107, 'UZ-normalized'!$A:$A, 0))&gt;0, -(22*INDEX('UZ-normalized'!$D:$D, MATCH($A107, 'UZ-normalized'!$A:$A, 0))-INDEX('UZ-normalized'!$E:$E, MATCH($A107, 'UZ-normalized'!$A:$A, 0))), 0), 0)))</f>
        <v>-474.40000000000009</v>
      </c>
      <c r="AK107" s="6">
        <f>MIN(0, N107+(IFERROR(IF(23*INDEX('UA-normalized'!$D:$D, MATCH($A107, 'UA-normalized'!$A:$A, 0))-INDEX('UA-normalized'!$E:$E, MATCH($A107, 'UA-normalized'!$A:$A, 0))&gt;0, -(23*INDEX('UA-normalized'!$D:$D, MATCH($A107, 'UA-normalized'!$A:$A, 0))-INDEX('UA-normalized'!$E:$E, MATCH($A107, 'UA-normalized'!$A:$A, 0))), 0), 0))+(IFERROR(IF(23*INDEX('KZ-normalized'!$D:$D, MATCH($A107, 'KZ-normalized'!$A:$A, 0))-INDEX('KZ-normalized'!$E:$E, MATCH($A107, 'KZ-normalized'!$A:$A, 0))&gt;0, -(23*INDEX('KZ-normalized'!$D:$D, MATCH($A107, 'KZ-normalized'!$A:$A, 0))-INDEX('KZ-normalized'!$E:$E, MATCH($A107, 'KZ-normalized'!$A:$A, 0))), 0), 0))+(IFERROR(IF(23*INDEX('UZ-normalized'!$D:$D, MATCH($A107, 'UZ-normalized'!$A:$A, 0))-INDEX('UZ-normalized'!$E:$E, MATCH($A107, 'UZ-normalized'!$A:$A, 0))&gt;0, -(23*INDEX('UZ-normalized'!$D:$D, MATCH($A107, 'UZ-normalized'!$A:$A, 0))-INDEX('UZ-normalized'!$E:$E, MATCH($A107, 'UZ-normalized'!$A:$A, 0))), 0), 0)))</f>
        <v>-664.09999999999991</v>
      </c>
      <c r="AL107" s="6">
        <f>MIN(0, N107+(IFERROR(IF(24*INDEX('UA-normalized'!$D:$D, MATCH($A107, 'UA-normalized'!$A:$A, 0))-INDEX('UA-normalized'!$E:$E, MATCH($A107, 'UA-normalized'!$A:$A, 0))&gt;0, -(24*INDEX('UA-normalized'!$D:$D, MATCH($A107, 'UA-normalized'!$A:$A, 0))-INDEX('UA-normalized'!$E:$E, MATCH($A107, 'UA-normalized'!$A:$A, 0))), 0), 0))+(IFERROR(IF(24*INDEX('KZ-normalized'!$D:$D, MATCH($A107, 'KZ-normalized'!$A:$A, 0))-INDEX('KZ-normalized'!$E:$E, MATCH($A107, 'KZ-normalized'!$A:$A, 0))&gt;0, -(24*INDEX('KZ-normalized'!$D:$D, MATCH($A107, 'KZ-normalized'!$A:$A, 0))-INDEX('KZ-normalized'!$E:$E, MATCH($A107, 'KZ-normalized'!$A:$A, 0))), 0), 0))+(IFERROR(IF(24*INDEX('UZ-normalized'!$D:$D, MATCH($A107, 'UZ-normalized'!$A:$A, 0))-INDEX('UZ-normalized'!$E:$E, MATCH($A107, 'UZ-normalized'!$A:$A, 0))&gt;0, -(24*INDEX('UZ-normalized'!$D:$D, MATCH($A107, 'UZ-normalized'!$A:$A, 0))-INDEX('UZ-normalized'!$E:$E, MATCH($A107, 'UZ-normalized'!$A:$A, 0))), 0), 0)))</f>
        <v>-853.80000000000018</v>
      </c>
      <c r="AM107" s="6">
        <f>MIN(0, N107+(IFERROR(IF(25*INDEX('UA-normalized'!$D:$D, MATCH($A107, 'UA-normalized'!$A:$A, 0))-INDEX('UA-normalized'!$E:$E, MATCH($A107, 'UA-normalized'!$A:$A, 0))&gt;0, -(25*INDEX('UA-normalized'!$D:$D, MATCH($A107, 'UA-normalized'!$A:$A, 0))-INDEX('UA-normalized'!$E:$E, MATCH($A107, 'UA-normalized'!$A:$A, 0))), 0), 0))+(IFERROR(IF(25*INDEX('KZ-normalized'!$D:$D, MATCH($A107, 'KZ-normalized'!$A:$A, 0))-INDEX('KZ-normalized'!$E:$E, MATCH($A107, 'KZ-normalized'!$A:$A, 0))&gt;0, -(25*INDEX('KZ-normalized'!$D:$D, MATCH($A107, 'KZ-normalized'!$A:$A, 0))-INDEX('KZ-normalized'!$E:$E, MATCH($A107, 'KZ-normalized'!$A:$A, 0))), 0), 0))+(IFERROR(IF(25*INDEX('UZ-normalized'!$D:$D, MATCH($A107, 'UZ-normalized'!$A:$A, 0))-INDEX('UZ-normalized'!$E:$E, MATCH($A107, 'UZ-normalized'!$A:$A, 0))&gt;0, -(25*INDEX('UZ-normalized'!$D:$D, MATCH($A107, 'UZ-normalized'!$A:$A, 0))-INDEX('UZ-normalized'!$E:$E, MATCH($A107, 'UZ-normalized'!$A:$A, 0))), 0), 0)))</f>
        <v>-1043.5</v>
      </c>
      <c r="AN107" s="6">
        <f>MIN(0, N107+(IFERROR(IF(26*INDEX('UA-normalized'!$D:$D, MATCH($A107, 'UA-normalized'!$A:$A, 0))-INDEX('UA-normalized'!$E:$E, MATCH($A107, 'UA-normalized'!$A:$A, 0))&gt;0, -(26*INDEX('UA-normalized'!$D:$D, MATCH($A107, 'UA-normalized'!$A:$A, 0))-INDEX('UA-normalized'!$E:$E, MATCH($A107, 'UA-normalized'!$A:$A, 0))), 0), 0))+(IFERROR(IF(26*INDEX('KZ-normalized'!$D:$D, MATCH($A107, 'KZ-normalized'!$A:$A, 0))-INDEX('KZ-normalized'!$E:$E, MATCH($A107, 'KZ-normalized'!$A:$A, 0))&gt;0, -(26*INDEX('KZ-normalized'!$D:$D, MATCH($A107, 'KZ-normalized'!$A:$A, 0))-INDEX('KZ-normalized'!$E:$E, MATCH($A107, 'KZ-normalized'!$A:$A, 0))), 0), 0))+(IFERROR(IF(26*INDEX('UZ-normalized'!$D:$D, MATCH($A107, 'UZ-normalized'!$A:$A, 0))-INDEX('UZ-normalized'!$E:$E, MATCH($A107, 'UZ-normalized'!$A:$A, 0))&gt;0, -(26*INDEX('UZ-normalized'!$D:$D, MATCH($A107, 'UZ-normalized'!$A:$A, 0))-INDEX('UZ-normalized'!$E:$E, MATCH($A107, 'UZ-normalized'!$A:$A, 0))), 0), 0)))</f>
        <v>-1233.1999999999998</v>
      </c>
      <c r="AO107" s="6">
        <f>MIN(0, N107+(IFERROR(IF(27*INDEX('UA-normalized'!$D:$D, MATCH($A107, 'UA-normalized'!$A:$A, 0))-INDEX('UA-normalized'!$E:$E, MATCH($A107, 'UA-normalized'!$A:$A, 0))&gt;0, -(27*INDEX('UA-normalized'!$D:$D, MATCH($A107, 'UA-normalized'!$A:$A, 0))-INDEX('UA-normalized'!$E:$E, MATCH($A107, 'UA-normalized'!$A:$A, 0))), 0), 0))+(IFERROR(IF(27*INDEX('KZ-normalized'!$D:$D, MATCH($A107, 'KZ-normalized'!$A:$A, 0))-INDEX('KZ-normalized'!$E:$E, MATCH($A107, 'KZ-normalized'!$A:$A, 0))&gt;0, -(27*INDEX('KZ-normalized'!$D:$D, MATCH($A107, 'KZ-normalized'!$A:$A, 0))-INDEX('KZ-normalized'!$E:$E, MATCH($A107, 'KZ-normalized'!$A:$A, 0))), 0), 0))+(IFERROR(IF(27*INDEX('UZ-normalized'!$D:$D, MATCH($A107, 'UZ-normalized'!$A:$A, 0))-INDEX('UZ-normalized'!$E:$E, MATCH($A107, 'UZ-normalized'!$A:$A, 0))&gt;0, -(27*INDEX('UZ-normalized'!$D:$D, MATCH($A107, 'UZ-normalized'!$A:$A, 0))-INDEX('UZ-normalized'!$E:$E, MATCH($A107, 'UZ-normalized'!$A:$A, 0))), 0), 0)))</f>
        <v>-1422.9</v>
      </c>
      <c r="AP107" s="6">
        <f>MIN(0, N107+(IFERROR(IF(28*INDEX('UA-normalized'!$D:$D, MATCH($A107, 'UA-normalized'!$A:$A, 0))-INDEX('UA-normalized'!$E:$E, MATCH($A107, 'UA-normalized'!$A:$A, 0))&gt;0, -(28*INDEX('UA-normalized'!$D:$D, MATCH($A107, 'UA-normalized'!$A:$A, 0))-INDEX('UA-normalized'!$E:$E, MATCH($A107, 'UA-normalized'!$A:$A, 0))), 0), 0))+(IFERROR(IF(28*INDEX('KZ-normalized'!$D:$D, MATCH($A107, 'KZ-normalized'!$A:$A, 0))-INDEX('KZ-normalized'!$E:$E, MATCH($A107, 'KZ-normalized'!$A:$A, 0))&gt;0, -(28*INDEX('KZ-normalized'!$D:$D, MATCH($A107, 'KZ-normalized'!$A:$A, 0))-INDEX('KZ-normalized'!$E:$E, MATCH($A107, 'KZ-normalized'!$A:$A, 0))), 0), 0))+(IFERROR(IF(28*INDEX('UZ-normalized'!$D:$D, MATCH($A107, 'UZ-normalized'!$A:$A, 0))-INDEX('UZ-normalized'!$E:$E, MATCH($A107, 'UZ-normalized'!$A:$A, 0))&gt;0, -(28*INDEX('UZ-normalized'!$D:$D, MATCH($A107, 'UZ-normalized'!$A:$A, 0))-INDEX('UZ-normalized'!$E:$E, MATCH($A107, 'UZ-normalized'!$A:$A, 0))), 0), 0)))</f>
        <v>-1612.6</v>
      </c>
      <c r="AQ107" s="6">
        <f>MIN(0, N107+(IFERROR(IF(29*INDEX('UA-normalized'!$D:$D, MATCH($A107, 'UA-normalized'!$A:$A, 0))-INDEX('UA-normalized'!$E:$E, MATCH($A107, 'UA-normalized'!$A:$A, 0))&gt;0, -(29*INDEX('UA-normalized'!$D:$D, MATCH($A107, 'UA-normalized'!$A:$A, 0))-INDEX('UA-normalized'!$E:$E, MATCH($A107, 'UA-normalized'!$A:$A, 0))), 0), 0))+(IFERROR(IF(29*INDEX('KZ-normalized'!$D:$D, MATCH($A107, 'KZ-normalized'!$A:$A, 0))-INDEX('KZ-normalized'!$E:$E, MATCH($A107, 'KZ-normalized'!$A:$A, 0))&gt;0, -(29*INDEX('KZ-normalized'!$D:$D, MATCH($A107, 'KZ-normalized'!$A:$A, 0))-INDEX('KZ-normalized'!$E:$E, MATCH($A107, 'KZ-normalized'!$A:$A, 0))), 0), 0))+(IFERROR(IF(29*INDEX('UZ-normalized'!$D:$D, MATCH($A107, 'UZ-normalized'!$A:$A, 0))-INDEX('UZ-normalized'!$E:$E, MATCH($A107, 'UZ-normalized'!$A:$A, 0))&gt;0, -(29*INDEX('UZ-normalized'!$D:$D, MATCH($A107, 'UZ-normalized'!$A:$A, 0))-INDEX('UZ-normalized'!$E:$E, MATCH($A107, 'UZ-normalized'!$A:$A, 0))), 0), 0)))</f>
        <v>-1802.3000000000002</v>
      </c>
      <c r="AR107" s="6">
        <f>MIN(0, N107+(IFERROR(IF(30*INDEX('UA-normalized'!$D:$D, MATCH($A107, 'UA-normalized'!$A:$A, 0))-INDEX('UA-normalized'!$E:$E, MATCH($A107, 'UA-normalized'!$A:$A, 0))&gt;0, -(30*INDEX('UA-normalized'!$D:$D, MATCH($A107, 'UA-normalized'!$A:$A, 0))-INDEX('UA-normalized'!$E:$E, MATCH($A107, 'UA-normalized'!$A:$A, 0))), 0), 0))+(IFERROR(IF(30*INDEX('KZ-normalized'!$D:$D, MATCH($A107, 'KZ-normalized'!$A:$A, 0))-INDEX('KZ-normalized'!$E:$E, MATCH($A107, 'KZ-normalized'!$A:$A, 0))&gt;0, -(30*INDEX('KZ-normalized'!$D:$D, MATCH($A107, 'KZ-normalized'!$A:$A, 0))-INDEX('KZ-normalized'!$E:$E, MATCH($A107, 'KZ-normalized'!$A:$A, 0))), 0), 0))+(IFERROR(IF(30*INDEX('UZ-normalized'!$D:$D, MATCH($A107, 'UZ-normalized'!$A:$A, 0))-INDEX('UZ-normalized'!$E:$E, MATCH($A107, 'UZ-normalized'!$A:$A, 0))&gt;0, -(30*INDEX('UZ-normalized'!$D:$D, MATCH($A107, 'UZ-normalized'!$A:$A, 0))-INDEX('UZ-normalized'!$E:$E, MATCH($A107, 'UZ-normalized'!$A:$A, 0))), 0), 0)))</f>
        <v>-1992</v>
      </c>
    </row>
    <row r="108" spans="1:44" x14ac:dyDescent="0.25">
      <c r="A108" s="8" t="s">
        <v>268</v>
      </c>
      <c r="B108" s="8" t="s">
        <v>180</v>
      </c>
      <c r="C108" s="8" t="s">
        <v>256</v>
      </c>
      <c r="D108" s="8" t="s">
        <v>269</v>
      </c>
      <c r="E108">
        <v>1478</v>
      </c>
      <c r="G108">
        <v>-350</v>
      </c>
      <c r="J108">
        <v>1478</v>
      </c>
      <c r="N108">
        <f t="shared" si="1"/>
        <v>2606</v>
      </c>
      <c r="O108" s="6">
        <f>MIN(0, N108+(IFERROR(IF(1*INDEX('UA-normalized'!$D:$D, MATCH($A108, 'UA-normalized'!$A:$A, 0))-INDEX('UA-normalized'!$E:$E, MATCH($A108, 'UA-normalized'!$A:$A, 0))&gt;0, -(1*INDEX('UA-normalized'!$D:$D, MATCH($A108, 'UA-normalized'!$A:$A, 0))-INDEX('UA-normalized'!$E:$E, MATCH($A108, 'UA-normalized'!$A:$A, 0))), 0), 0))+(IFERROR(IF(1*INDEX('KZ-normalized'!$D:$D, MATCH($A108, 'KZ-normalized'!$A:$A, 0))-INDEX('KZ-normalized'!$E:$E, MATCH($A108, 'KZ-normalized'!$A:$A, 0))&gt;0, -(1*INDEX('KZ-normalized'!$D:$D, MATCH($A108, 'KZ-normalized'!$A:$A, 0))-INDEX('KZ-normalized'!$E:$E, MATCH($A108, 'KZ-normalized'!$A:$A, 0))), 0), 0))+(IFERROR(IF(1*INDEX('UZ-normalized'!$D:$D, MATCH($A108, 'UZ-normalized'!$A:$A, 0))-INDEX('UZ-normalized'!$E:$E, MATCH($A108, 'UZ-normalized'!$A:$A, 0))&gt;0, -(1*INDEX('UZ-normalized'!$D:$D, MATCH($A108, 'UZ-normalized'!$A:$A, 0))-INDEX('UZ-normalized'!$E:$E, MATCH($A108, 'UZ-normalized'!$A:$A, 0))), 0), 0)))</f>
        <v>0</v>
      </c>
      <c r="P108" s="6">
        <f>MIN(0, N108+(IFERROR(IF(2*INDEX('UA-normalized'!$D:$D, MATCH($A108, 'UA-normalized'!$A:$A, 0))-INDEX('UA-normalized'!$E:$E, MATCH($A108, 'UA-normalized'!$A:$A, 0))&gt;0, -(2*INDEX('UA-normalized'!$D:$D, MATCH($A108, 'UA-normalized'!$A:$A, 0))-INDEX('UA-normalized'!$E:$E, MATCH($A108, 'UA-normalized'!$A:$A, 0))), 0), 0))+(IFERROR(IF(2*INDEX('KZ-normalized'!$D:$D, MATCH($A108, 'KZ-normalized'!$A:$A, 0))-INDEX('KZ-normalized'!$E:$E, MATCH($A108, 'KZ-normalized'!$A:$A, 0))&gt;0, -(2*INDEX('KZ-normalized'!$D:$D, MATCH($A108, 'KZ-normalized'!$A:$A, 0))-INDEX('KZ-normalized'!$E:$E, MATCH($A108, 'KZ-normalized'!$A:$A, 0))), 0), 0))+(IFERROR(IF(2*INDEX('UZ-normalized'!$D:$D, MATCH($A108, 'UZ-normalized'!$A:$A, 0))-INDEX('UZ-normalized'!$E:$E, MATCH($A108, 'UZ-normalized'!$A:$A, 0))&gt;0, -(2*INDEX('UZ-normalized'!$D:$D, MATCH($A108, 'UZ-normalized'!$A:$A, 0))-INDEX('UZ-normalized'!$E:$E, MATCH($A108, 'UZ-normalized'!$A:$A, 0))), 0), 0)))</f>
        <v>0</v>
      </c>
      <c r="Q108" s="6">
        <f>MIN(0, N108+(IFERROR(IF(3*INDEX('UA-normalized'!$D:$D, MATCH($A108, 'UA-normalized'!$A:$A, 0))-INDEX('UA-normalized'!$E:$E, MATCH($A108, 'UA-normalized'!$A:$A, 0))&gt;0, -(3*INDEX('UA-normalized'!$D:$D, MATCH($A108, 'UA-normalized'!$A:$A, 0))-INDEX('UA-normalized'!$E:$E, MATCH($A108, 'UA-normalized'!$A:$A, 0))), 0), 0))+(IFERROR(IF(3*INDEX('KZ-normalized'!$D:$D, MATCH($A108, 'KZ-normalized'!$A:$A, 0))-INDEX('KZ-normalized'!$E:$E, MATCH($A108, 'KZ-normalized'!$A:$A, 0))&gt;0, -(3*INDEX('KZ-normalized'!$D:$D, MATCH($A108, 'KZ-normalized'!$A:$A, 0))-INDEX('KZ-normalized'!$E:$E, MATCH($A108, 'KZ-normalized'!$A:$A, 0))), 0), 0))+(IFERROR(IF(3*INDEX('UZ-normalized'!$D:$D, MATCH($A108, 'UZ-normalized'!$A:$A, 0))-INDEX('UZ-normalized'!$E:$E, MATCH($A108, 'UZ-normalized'!$A:$A, 0))&gt;0, -(3*INDEX('UZ-normalized'!$D:$D, MATCH($A108, 'UZ-normalized'!$A:$A, 0))-INDEX('UZ-normalized'!$E:$E, MATCH($A108, 'UZ-normalized'!$A:$A, 0))), 0), 0)))</f>
        <v>0</v>
      </c>
      <c r="R108" s="6">
        <f>MIN(0, N108+(IFERROR(IF(4*INDEX('UA-normalized'!$D:$D, MATCH($A108, 'UA-normalized'!$A:$A, 0))-INDEX('UA-normalized'!$E:$E, MATCH($A108, 'UA-normalized'!$A:$A, 0))&gt;0, -(4*INDEX('UA-normalized'!$D:$D, MATCH($A108, 'UA-normalized'!$A:$A, 0))-INDEX('UA-normalized'!$E:$E, MATCH($A108, 'UA-normalized'!$A:$A, 0))), 0), 0))+(IFERROR(IF(4*INDEX('KZ-normalized'!$D:$D, MATCH($A108, 'KZ-normalized'!$A:$A, 0))-INDEX('KZ-normalized'!$E:$E, MATCH($A108, 'KZ-normalized'!$A:$A, 0))&gt;0, -(4*INDEX('KZ-normalized'!$D:$D, MATCH($A108, 'KZ-normalized'!$A:$A, 0))-INDEX('KZ-normalized'!$E:$E, MATCH($A108, 'KZ-normalized'!$A:$A, 0))), 0), 0))+(IFERROR(IF(4*INDEX('UZ-normalized'!$D:$D, MATCH($A108, 'UZ-normalized'!$A:$A, 0))-INDEX('UZ-normalized'!$E:$E, MATCH($A108, 'UZ-normalized'!$A:$A, 0))&gt;0, -(4*INDEX('UZ-normalized'!$D:$D, MATCH($A108, 'UZ-normalized'!$A:$A, 0))-INDEX('UZ-normalized'!$E:$E, MATCH($A108, 'UZ-normalized'!$A:$A, 0))), 0), 0)))</f>
        <v>0</v>
      </c>
      <c r="S108" s="6">
        <f>MIN(0, N108+(IFERROR(IF(5*INDEX('UA-normalized'!$D:$D, MATCH($A108, 'UA-normalized'!$A:$A, 0))-INDEX('UA-normalized'!$E:$E, MATCH($A108, 'UA-normalized'!$A:$A, 0))&gt;0, -(5*INDEX('UA-normalized'!$D:$D, MATCH($A108, 'UA-normalized'!$A:$A, 0))-INDEX('UA-normalized'!$E:$E, MATCH($A108, 'UA-normalized'!$A:$A, 0))), 0), 0))+(IFERROR(IF(5*INDEX('KZ-normalized'!$D:$D, MATCH($A108, 'KZ-normalized'!$A:$A, 0))-INDEX('KZ-normalized'!$E:$E, MATCH($A108, 'KZ-normalized'!$A:$A, 0))&gt;0, -(5*INDEX('KZ-normalized'!$D:$D, MATCH($A108, 'KZ-normalized'!$A:$A, 0))-INDEX('KZ-normalized'!$E:$E, MATCH($A108, 'KZ-normalized'!$A:$A, 0))), 0), 0))+(IFERROR(IF(5*INDEX('UZ-normalized'!$D:$D, MATCH($A108, 'UZ-normalized'!$A:$A, 0))-INDEX('UZ-normalized'!$E:$E, MATCH($A108, 'UZ-normalized'!$A:$A, 0))&gt;0, -(5*INDEX('UZ-normalized'!$D:$D, MATCH($A108, 'UZ-normalized'!$A:$A, 0))-INDEX('UZ-normalized'!$E:$E, MATCH($A108, 'UZ-normalized'!$A:$A, 0))), 0), 0)))</f>
        <v>0</v>
      </c>
      <c r="T108" s="6">
        <f>MIN(0, N108+(IFERROR(IF(6*INDEX('UA-normalized'!$D:$D, MATCH($A108, 'UA-normalized'!$A:$A, 0))-INDEX('UA-normalized'!$E:$E, MATCH($A108, 'UA-normalized'!$A:$A, 0))&gt;0, -(6*INDEX('UA-normalized'!$D:$D, MATCH($A108, 'UA-normalized'!$A:$A, 0))-INDEX('UA-normalized'!$E:$E, MATCH($A108, 'UA-normalized'!$A:$A, 0))), 0), 0))+(IFERROR(IF(6*INDEX('KZ-normalized'!$D:$D, MATCH($A108, 'KZ-normalized'!$A:$A, 0))-INDEX('KZ-normalized'!$E:$E, MATCH($A108, 'KZ-normalized'!$A:$A, 0))&gt;0, -(6*INDEX('KZ-normalized'!$D:$D, MATCH($A108, 'KZ-normalized'!$A:$A, 0))-INDEX('KZ-normalized'!$E:$E, MATCH($A108, 'KZ-normalized'!$A:$A, 0))), 0), 0))+(IFERROR(IF(6*INDEX('UZ-normalized'!$D:$D, MATCH($A108, 'UZ-normalized'!$A:$A, 0))-INDEX('UZ-normalized'!$E:$E, MATCH($A108, 'UZ-normalized'!$A:$A, 0))&gt;0, -(6*INDEX('UZ-normalized'!$D:$D, MATCH($A108, 'UZ-normalized'!$A:$A, 0))-INDEX('UZ-normalized'!$E:$E, MATCH($A108, 'UZ-normalized'!$A:$A, 0))), 0), 0)))</f>
        <v>0</v>
      </c>
      <c r="U108" s="6">
        <f>MIN(0, N108+(IFERROR(IF(7*INDEX('UA-normalized'!$D:$D, MATCH($A108, 'UA-normalized'!$A:$A, 0))-INDEX('UA-normalized'!$E:$E, MATCH($A108, 'UA-normalized'!$A:$A, 0))&gt;0, -(7*INDEX('UA-normalized'!$D:$D, MATCH($A108, 'UA-normalized'!$A:$A, 0))-INDEX('UA-normalized'!$E:$E, MATCH($A108, 'UA-normalized'!$A:$A, 0))), 0), 0))+(IFERROR(IF(7*INDEX('KZ-normalized'!$D:$D, MATCH($A108, 'KZ-normalized'!$A:$A, 0))-INDEX('KZ-normalized'!$E:$E, MATCH($A108, 'KZ-normalized'!$A:$A, 0))&gt;0, -(7*INDEX('KZ-normalized'!$D:$D, MATCH($A108, 'KZ-normalized'!$A:$A, 0))-INDEX('KZ-normalized'!$E:$E, MATCH($A108, 'KZ-normalized'!$A:$A, 0))), 0), 0))+(IFERROR(IF(7*INDEX('UZ-normalized'!$D:$D, MATCH($A108, 'UZ-normalized'!$A:$A, 0))-INDEX('UZ-normalized'!$E:$E, MATCH($A108, 'UZ-normalized'!$A:$A, 0))&gt;0, -(7*INDEX('UZ-normalized'!$D:$D, MATCH($A108, 'UZ-normalized'!$A:$A, 0))-INDEX('UZ-normalized'!$E:$E, MATCH($A108, 'UZ-normalized'!$A:$A, 0))), 0), 0)))</f>
        <v>0</v>
      </c>
      <c r="V108" s="6">
        <f>MIN(0, N108+(IFERROR(IF(8*INDEX('UA-normalized'!$D:$D, MATCH($A108, 'UA-normalized'!$A:$A, 0))-INDEX('UA-normalized'!$E:$E, MATCH($A108, 'UA-normalized'!$A:$A, 0))&gt;0, -(8*INDEX('UA-normalized'!$D:$D, MATCH($A108, 'UA-normalized'!$A:$A, 0))-INDEX('UA-normalized'!$E:$E, MATCH($A108, 'UA-normalized'!$A:$A, 0))), 0), 0))+(IFERROR(IF(8*INDEX('KZ-normalized'!$D:$D, MATCH($A108, 'KZ-normalized'!$A:$A, 0))-INDEX('KZ-normalized'!$E:$E, MATCH($A108, 'KZ-normalized'!$A:$A, 0))&gt;0, -(8*INDEX('KZ-normalized'!$D:$D, MATCH($A108, 'KZ-normalized'!$A:$A, 0))-INDEX('KZ-normalized'!$E:$E, MATCH($A108, 'KZ-normalized'!$A:$A, 0))), 0), 0))+(IFERROR(IF(8*INDEX('UZ-normalized'!$D:$D, MATCH($A108, 'UZ-normalized'!$A:$A, 0))-INDEX('UZ-normalized'!$E:$E, MATCH($A108, 'UZ-normalized'!$A:$A, 0))&gt;0, -(8*INDEX('UZ-normalized'!$D:$D, MATCH($A108, 'UZ-normalized'!$A:$A, 0))-INDEX('UZ-normalized'!$E:$E, MATCH($A108, 'UZ-normalized'!$A:$A, 0))), 0), 0)))</f>
        <v>0</v>
      </c>
      <c r="W108" s="6">
        <f>MIN(0, N108+(IFERROR(IF(9*INDEX('UA-normalized'!$D:$D, MATCH($A108, 'UA-normalized'!$A:$A, 0))-INDEX('UA-normalized'!$E:$E, MATCH($A108, 'UA-normalized'!$A:$A, 0))&gt;0, -(9*INDEX('UA-normalized'!$D:$D, MATCH($A108, 'UA-normalized'!$A:$A, 0))-INDEX('UA-normalized'!$E:$E, MATCH($A108, 'UA-normalized'!$A:$A, 0))), 0), 0))+(IFERROR(IF(9*INDEX('KZ-normalized'!$D:$D, MATCH($A108, 'KZ-normalized'!$A:$A, 0))-INDEX('KZ-normalized'!$E:$E, MATCH($A108, 'KZ-normalized'!$A:$A, 0))&gt;0, -(9*INDEX('KZ-normalized'!$D:$D, MATCH($A108, 'KZ-normalized'!$A:$A, 0))-INDEX('KZ-normalized'!$E:$E, MATCH($A108, 'KZ-normalized'!$A:$A, 0))), 0), 0))+(IFERROR(IF(9*INDEX('UZ-normalized'!$D:$D, MATCH($A108, 'UZ-normalized'!$A:$A, 0))-INDEX('UZ-normalized'!$E:$E, MATCH($A108, 'UZ-normalized'!$A:$A, 0))&gt;0, -(9*INDEX('UZ-normalized'!$D:$D, MATCH($A108, 'UZ-normalized'!$A:$A, 0))-INDEX('UZ-normalized'!$E:$E, MATCH($A108, 'UZ-normalized'!$A:$A, 0))), 0), 0)))</f>
        <v>0</v>
      </c>
      <c r="X108" s="6">
        <f>MIN(0, N108+(IFERROR(IF(10*INDEX('UA-normalized'!$D:$D, MATCH($A108, 'UA-normalized'!$A:$A, 0))-INDEX('UA-normalized'!$E:$E, MATCH($A108, 'UA-normalized'!$A:$A, 0))&gt;0, -(10*INDEX('UA-normalized'!$D:$D, MATCH($A108, 'UA-normalized'!$A:$A, 0))-INDEX('UA-normalized'!$E:$E, MATCH($A108, 'UA-normalized'!$A:$A, 0))), 0), 0))+(IFERROR(IF(10*INDEX('KZ-normalized'!$D:$D, MATCH($A108, 'KZ-normalized'!$A:$A, 0))-INDEX('KZ-normalized'!$E:$E, MATCH($A108, 'KZ-normalized'!$A:$A, 0))&gt;0, -(10*INDEX('KZ-normalized'!$D:$D, MATCH($A108, 'KZ-normalized'!$A:$A, 0))-INDEX('KZ-normalized'!$E:$E, MATCH($A108, 'KZ-normalized'!$A:$A, 0))), 0), 0))+(IFERROR(IF(10*INDEX('UZ-normalized'!$D:$D, MATCH($A108, 'UZ-normalized'!$A:$A, 0))-INDEX('UZ-normalized'!$E:$E, MATCH($A108, 'UZ-normalized'!$A:$A, 0))&gt;0, -(10*INDEX('UZ-normalized'!$D:$D, MATCH($A108, 'UZ-normalized'!$A:$A, 0))-INDEX('UZ-normalized'!$E:$E, MATCH($A108, 'UZ-normalized'!$A:$A, 0))), 0), 0)))</f>
        <v>0</v>
      </c>
      <c r="Y108" s="6">
        <f>MIN(0, N108+(IFERROR(IF(11*INDEX('UA-normalized'!$D:$D, MATCH($A108, 'UA-normalized'!$A:$A, 0))-INDEX('UA-normalized'!$E:$E, MATCH($A108, 'UA-normalized'!$A:$A, 0))&gt;0, -(11*INDEX('UA-normalized'!$D:$D, MATCH($A108, 'UA-normalized'!$A:$A, 0))-INDEX('UA-normalized'!$E:$E, MATCH($A108, 'UA-normalized'!$A:$A, 0))), 0), 0))+(IFERROR(IF(11*INDEX('KZ-normalized'!$D:$D, MATCH($A108, 'KZ-normalized'!$A:$A, 0))-INDEX('KZ-normalized'!$E:$E, MATCH($A108, 'KZ-normalized'!$A:$A, 0))&gt;0, -(11*INDEX('KZ-normalized'!$D:$D, MATCH($A108, 'KZ-normalized'!$A:$A, 0))-INDEX('KZ-normalized'!$E:$E, MATCH($A108, 'KZ-normalized'!$A:$A, 0))), 0), 0))+(IFERROR(IF(11*INDEX('UZ-normalized'!$D:$D, MATCH($A108, 'UZ-normalized'!$A:$A, 0))-INDEX('UZ-normalized'!$E:$E, MATCH($A108, 'UZ-normalized'!$A:$A, 0))&gt;0, -(11*INDEX('UZ-normalized'!$D:$D, MATCH($A108, 'UZ-normalized'!$A:$A, 0))-INDEX('UZ-normalized'!$E:$E, MATCH($A108, 'UZ-normalized'!$A:$A, 0))), 0), 0)))</f>
        <v>0</v>
      </c>
      <c r="Z108" s="6">
        <f>MIN(0, N108+(IFERROR(IF(12*INDEX('UA-normalized'!$D:$D, MATCH($A108, 'UA-normalized'!$A:$A, 0))-INDEX('UA-normalized'!$E:$E, MATCH($A108, 'UA-normalized'!$A:$A, 0))&gt;0, -(12*INDEX('UA-normalized'!$D:$D, MATCH($A108, 'UA-normalized'!$A:$A, 0))-INDEX('UA-normalized'!$E:$E, MATCH($A108, 'UA-normalized'!$A:$A, 0))), 0), 0))+(IFERROR(IF(12*INDEX('KZ-normalized'!$D:$D, MATCH($A108, 'KZ-normalized'!$A:$A, 0))-INDEX('KZ-normalized'!$E:$E, MATCH($A108, 'KZ-normalized'!$A:$A, 0))&gt;0, -(12*INDEX('KZ-normalized'!$D:$D, MATCH($A108, 'KZ-normalized'!$A:$A, 0))-INDEX('KZ-normalized'!$E:$E, MATCH($A108, 'KZ-normalized'!$A:$A, 0))), 0), 0))+(IFERROR(IF(12*INDEX('UZ-normalized'!$D:$D, MATCH($A108, 'UZ-normalized'!$A:$A, 0))-INDEX('UZ-normalized'!$E:$E, MATCH($A108, 'UZ-normalized'!$A:$A, 0))&gt;0, -(12*INDEX('UZ-normalized'!$D:$D, MATCH($A108, 'UZ-normalized'!$A:$A, 0))-INDEX('UZ-normalized'!$E:$E, MATCH($A108, 'UZ-normalized'!$A:$A, 0))), 0), 0)))</f>
        <v>0</v>
      </c>
      <c r="AA108" s="6">
        <f>MIN(0, N108+(IFERROR(IF(13*INDEX('UA-normalized'!$D:$D, MATCH($A108, 'UA-normalized'!$A:$A, 0))-INDEX('UA-normalized'!$E:$E, MATCH($A108, 'UA-normalized'!$A:$A, 0))&gt;0, -(13*INDEX('UA-normalized'!$D:$D, MATCH($A108, 'UA-normalized'!$A:$A, 0))-INDEX('UA-normalized'!$E:$E, MATCH($A108, 'UA-normalized'!$A:$A, 0))), 0), 0))+(IFERROR(IF(13*INDEX('KZ-normalized'!$D:$D, MATCH($A108, 'KZ-normalized'!$A:$A, 0))-INDEX('KZ-normalized'!$E:$E, MATCH($A108, 'KZ-normalized'!$A:$A, 0))&gt;0, -(13*INDEX('KZ-normalized'!$D:$D, MATCH($A108, 'KZ-normalized'!$A:$A, 0))-INDEX('KZ-normalized'!$E:$E, MATCH($A108, 'KZ-normalized'!$A:$A, 0))), 0), 0))+(IFERROR(IF(13*INDEX('UZ-normalized'!$D:$D, MATCH($A108, 'UZ-normalized'!$A:$A, 0))-INDEX('UZ-normalized'!$E:$E, MATCH($A108, 'UZ-normalized'!$A:$A, 0))&gt;0, -(13*INDEX('UZ-normalized'!$D:$D, MATCH($A108, 'UZ-normalized'!$A:$A, 0))-INDEX('UZ-normalized'!$E:$E, MATCH($A108, 'UZ-normalized'!$A:$A, 0))), 0), 0)))</f>
        <v>0</v>
      </c>
      <c r="AB108" s="6">
        <f>MIN(0, N108+(IFERROR(IF(14*INDEX('UA-normalized'!$D:$D, MATCH($A108, 'UA-normalized'!$A:$A, 0))-INDEX('UA-normalized'!$E:$E, MATCH($A108, 'UA-normalized'!$A:$A, 0))&gt;0, -(14*INDEX('UA-normalized'!$D:$D, MATCH($A108, 'UA-normalized'!$A:$A, 0))-INDEX('UA-normalized'!$E:$E, MATCH($A108, 'UA-normalized'!$A:$A, 0))), 0), 0))+(IFERROR(IF(14*INDEX('KZ-normalized'!$D:$D, MATCH($A108, 'KZ-normalized'!$A:$A, 0))-INDEX('KZ-normalized'!$E:$E, MATCH($A108, 'KZ-normalized'!$A:$A, 0))&gt;0, -(14*INDEX('KZ-normalized'!$D:$D, MATCH($A108, 'KZ-normalized'!$A:$A, 0))-INDEX('KZ-normalized'!$E:$E, MATCH($A108, 'KZ-normalized'!$A:$A, 0))), 0), 0))+(IFERROR(IF(14*INDEX('UZ-normalized'!$D:$D, MATCH($A108, 'UZ-normalized'!$A:$A, 0))-INDEX('UZ-normalized'!$E:$E, MATCH($A108, 'UZ-normalized'!$A:$A, 0))&gt;0, -(14*INDEX('UZ-normalized'!$D:$D, MATCH($A108, 'UZ-normalized'!$A:$A, 0))-INDEX('UZ-normalized'!$E:$E, MATCH($A108, 'UZ-normalized'!$A:$A, 0))), 0), 0)))</f>
        <v>0</v>
      </c>
      <c r="AC108" s="6">
        <f>MIN(0, N108+(IFERROR(IF(15*INDEX('UA-normalized'!$D:$D, MATCH($A108, 'UA-normalized'!$A:$A, 0))-INDEX('UA-normalized'!$E:$E, MATCH($A108, 'UA-normalized'!$A:$A, 0))&gt;0, -(15*INDEX('UA-normalized'!$D:$D, MATCH($A108, 'UA-normalized'!$A:$A, 0))-INDEX('UA-normalized'!$E:$E, MATCH($A108, 'UA-normalized'!$A:$A, 0))), 0), 0))+(IFERROR(IF(15*INDEX('KZ-normalized'!$D:$D, MATCH($A108, 'KZ-normalized'!$A:$A, 0))-INDEX('KZ-normalized'!$E:$E, MATCH($A108, 'KZ-normalized'!$A:$A, 0))&gt;0, -(15*INDEX('KZ-normalized'!$D:$D, MATCH($A108, 'KZ-normalized'!$A:$A, 0))-INDEX('KZ-normalized'!$E:$E, MATCH($A108, 'KZ-normalized'!$A:$A, 0))), 0), 0))+(IFERROR(IF(15*INDEX('UZ-normalized'!$D:$D, MATCH($A108, 'UZ-normalized'!$A:$A, 0))-INDEX('UZ-normalized'!$E:$E, MATCH($A108, 'UZ-normalized'!$A:$A, 0))&gt;0, -(15*INDEX('UZ-normalized'!$D:$D, MATCH($A108, 'UZ-normalized'!$A:$A, 0))-INDEX('UZ-normalized'!$E:$E, MATCH($A108, 'UZ-normalized'!$A:$A, 0))), 0), 0)))</f>
        <v>0</v>
      </c>
      <c r="AD108" s="6">
        <f>MIN(0, N108+(IFERROR(IF(16*INDEX('UA-normalized'!$D:$D, MATCH($A108, 'UA-normalized'!$A:$A, 0))-INDEX('UA-normalized'!$E:$E, MATCH($A108, 'UA-normalized'!$A:$A, 0))&gt;0, -(16*INDEX('UA-normalized'!$D:$D, MATCH($A108, 'UA-normalized'!$A:$A, 0))-INDEX('UA-normalized'!$E:$E, MATCH($A108, 'UA-normalized'!$A:$A, 0))), 0), 0))+(IFERROR(IF(16*INDEX('KZ-normalized'!$D:$D, MATCH($A108, 'KZ-normalized'!$A:$A, 0))-INDEX('KZ-normalized'!$E:$E, MATCH($A108, 'KZ-normalized'!$A:$A, 0))&gt;0, -(16*INDEX('KZ-normalized'!$D:$D, MATCH($A108, 'KZ-normalized'!$A:$A, 0))-INDEX('KZ-normalized'!$E:$E, MATCH($A108, 'KZ-normalized'!$A:$A, 0))), 0), 0))+(IFERROR(IF(16*INDEX('UZ-normalized'!$D:$D, MATCH($A108, 'UZ-normalized'!$A:$A, 0))-INDEX('UZ-normalized'!$E:$E, MATCH($A108, 'UZ-normalized'!$A:$A, 0))&gt;0, -(16*INDEX('UZ-normalized'!$D:$D, MATCH($A108, 'UZ-normalized'!$A:$A, 0))-INDEX('UZ-normalized'!$E:$E, MATCH($A108, 'UZ-normalized'!$A:$A, 0))), 0), 0)))</f>
        <v>0</v>
      </c>
      <c r="AE108" s="6">
        <f>MIN(0, N108+(IFERROR(IF(17*INDEX('UA-normalized'!$D:$D, MATCH($A108, 'UA-normalized'!$A:$A, 0))-INDEX('UA-normalized'!$E:$E, MATCH($A108, 'UA-normalized'!$A:$A, 0))&gt;0, -(17*INDEX('UA-normalized'!$D:$D, MATCH($A108, 'UA-normalized'!$A:$A, 0))-INDEX('UA-normalized'!$E:$E, MATCH($A108, 'UA-normalized'!$A:$A, 0))), 0), 0))+(IFERROR(IF(17*INDEX('KZ-normalized'!$D:$D, MATCH($A108, 'KZ-normalized'!$A:$A, 0))-INDEX('KZ-normalized'!$E:$E, MATCH($A108, 'KZ-normalized'!$A:$A, 0))&gt;0, -(17*INDEX('KZ-normalized'!$D:$D, MATCH($A108, 'KZ-normalized'!$A:$A, 0))-INDEX('KZ-normalized'!$E:$E, MATCH($A108, 'KZ-normalized'!$A:$A, 0))), 0), 0))+(IFERROR(IF(17*INDEX('UZ-normalized'!$D:$D, MATCH($A108, 'UZ-normalized'!$A:$A, 0))-INDEX('UZ-normalized'!$E:$E, MATCH($A108, 'UZ-normalized'!$A:$A, 0))&gt;0, -(17*INDEX('UZ-normalized'!$D:$D, MATCH($A108, 'UZ-normalized'!$A:$A, 0))-INDEX('UZ-normalized'!$E:$E, MATCH($A108, 'UZ-normalized'!$A:$A, 0))), 0), 0)))</f>
        <v>0</v>
      </c>
      <c r="AF108" s="6">
        <f>MIN(0, N108+(IFERROR(IF(18*INDEX('UA-normalized'!$D:$D, MATCH($A108, 'UA-normalized'!$A:$A, 0))-INDEX('UA-normalized'!$E:$E, MATCH($A108, 'UA-normalized'!$A:$A, 0))&gt;0, -(18*INDEX('UA-normalized'!$D:$D, MATCH($A108, 'UA-normalized'!$A:$A, 0))-INDEX('UA-normalized'!$E:$E, MATCH($A108, 'UA-normalized'!$A:$A, 0))), 0), 0))+(IFERROR(IF(18*INDEX('KZ-normalized'!$D:$D, MATCH($A108, 'KZ-normalized'!$A:$A, 0))-INDEX('KZ-normalized'!$E:$E, MATCH($A108, 'KZ-normalized'!$A:$A, 0))&gt;0, -(18*INDEX('KZ-normalized'!$D:$D, MATCH($A108, 'KZ-normalized'!$A:$A, 0))-INDEX('KZ-normalized'!$E:$E, MATCH($A108, 'KZ-normalized'!$A:$A, 0))), 0), 0))+(IFERROR(IF(18*INDEX('UZ-normalized'!$D:$D, MATCH($A108, 'UZ-normalized'!$A:$A, 0))-INDEX('UZ-normalized'!$E:$E, MATCH($A108, 'UZ-normalized'!$A:$A, 0))&gt;0, -(18*INDEX('UZ-normalized'!$D:$D, MATCH($A108, 'UZ-normalized'!$A:$A, 0))-INDEX('UZ-normalized'!$E:$E, MATCH($A108, 'UZ-normalized'!$A:$A, 0))), 0), 0)))</f>
        <v>0</v>
      </c>
      <c r="AG108" s="6">
        <f>MIN(0, N108+(IFERROR(IF(19*INDEX('UA-normalized'!$D:$D, MATCH($A108, 'UA-normalized'!$A:$A, 0))-INDEX('UA-normalized'!$E:$E, MATCH($A108, 'UA-normalized'!$A:$A, 0))&gt;0, -(19*INDEX('UA-normalized'!$D:$D, MATCH($A108, 'UA-normalized'!$A:$A, 0))-INDEX('UA-normalized'!$E:$E, MATCH($A108, 'UA-normalized'!$A:$A, 0))), 0), 0))+(IFERROR(IF(19*INDEX('KZ-normalized'!$D:$D, MATCH($A108, 'KZ-normalized'!$A:$A, 0))-INDEX('KZ-normalized'!$E:$E, MATCH($A108, 'KZ-normalized'!$A:$A, 0))&gt;0, -(19*INDEX('KZ-normalized'!$D:$D, MATCH($A108, 'KZ-normalized'!$A:$A, 0))-INDEX('KZ-normalized'!$E:$E, MATCH($A108, 'KZ-normalized'!$A:$A, 0))), 0), 0))+(IFERROR(IF(19*INDEX('UZ-normalized'!$D:$D, MATCH($A108, 'UZ-normalized'!$A:$A, 0))-INDEX('UZ-normalized'!$E:$E, MATCH($A108, 'UZ-normalized'!$A:$A, 0))&gt;0, -(19*INDEX('UZ-normalized'!$D:$D, MATCH($A108, 'UZ-normalized'!$A:$A, 0))-INDEX('UZ-normalized'!$E:$E, MATCH($A108, 'UZ-normalized'!$A:$A, 0))), 0), 0)))</f>
        <v>0</v>
      </c>
      <c r="AH108" s="6">
        <f>MIN(0, N108+(IFERROR(IF(20*INDEX('UA-normalized'!$D:$D, MATCH($A108, 'UA-normalized'!$A:$A, 0))-INDEX('UA-normalized'!$E:$E, MATCH($A108, 'UA-normalized'!$A:$A, 0))&gt;0, -(20*INDEX('UA-normalized'!$D:$D, MATCH($A108, 'UA-normalized'!$A:$A, 0))-INDEX('UA-normalized'!$E:$E, MATCH($A108, 'UA-normalized'!$A:$A, 0))), 0), 0))+(IFERROR(IF(20*INDEX('KZ-normalized'!$D:$D, MATCH($A108, 'KZ-normalized'!$A:$A, 0))-INDEX('KZ-normalized'!$E:$E, MATCH($A108, 'KZ-normalized'!$A:$A, 0))&gt;0, -(20*INDEX('KZ-normalized'!$D:$D, MATCH($A108, 'KZ-normalized'!$A:$A, 0))-INDEX('KZ-normalized'!$E:$E, MATCH($A108, 'KZ-normalized'!$A:$A, 0))), 0), 0))+(IFERROR(IF(20*INDEX('UZ-normalized'!$D:$D, MATCH($A108, 'UZ-normalized'!$A:$A, 0))-INDEX('UZ-normalized'!$E:$E, MATCH($A108, 'UZ-normalized'!$A:$A, 0))&gt;0, -(20*INDEX('UZ-normalized'!$D:$D, MATCH($A108, 'UZ-normalized'!$A:$A, 0))-INDEX('UZ-normalized'!$E:$E, MATCH($A108, 'UZ-normalized'!$A:$A, 0))), 0), 0)))</f>
        <v>0</v>
      </c>
      <c r="AI108" s="6">
        <f>MIN(0, N108+(IFERROR(IF(21*INDEX('UA-normalized'!$D:$D, MATCH($A108, 'UA-normalized'!$A:$A, 0))-INDEX('UA-normalized'!$E:$E, MATCH($A108, 'UA-normalized'!$A:$A, 0))&gt;0, -(21*INDEX('UA-normalized'!$D:$D, MATCH($A108, 'UA-normalized'!$A:$A, 0))-INDEX('UA-normalized'!$E:$E, MATCH($A108, 'UA-normalized'!$A:$A, 0))), 0), 0))+(IFERROR(IF(21*INDEX('KZ-normalized'!$D:$D, MATCH($A108, 'KZ-normalized'!$A:$A, 0))-INDEX('KZ-normalized'!$E:$E, MATCH($A108, 'KZ-normalized'!$A:$A, 0))&gt;0, -(21*INDEX('KZ-normalized'!$D:$D, MATCH($A108, 'KZ-normalized'!$A:$A, 0))-INDEX('KZ-normalized'!$E:$E, MATCH($A108, 'KZ-normalized'!$A:$A, 0))), 0), 0))+(IFERROR(IF(21*INDEX('UZ-normalized'!$D:$D, MATCH($A108, 'UZ-normalized'!$A:$A, 0))-INDEX('UZ-normalized'!$E:$E, MATCH($A108, 'UZ-normalized'!$A:$A, 0))&gt;0, -(21*INDEX('UZ-normalized'!$D:$D, MATCH($A108, 'UZ-normalized'!$A:$A, 0))-INDEX('UZ-normalized'!$E:$E, MATCH($A108, 'UZ-normalized'!$A:$A, 0))), 0), 0)))</f>
        <v>0</v>
      </c>
      <c r="AJ108" s="6">
        <f>MIN(0, N108+(IFERROR(IF(22*INDEX('UA-normalized'!$D:$D, MATCH($A108, 'UA-normalized'!$A:$A, 0))-INDEX('UA-normalized'!$E:$E, MATCH($A108, 'UA-normalized'!$A:$A, 0))&gt;0, -(22*INDEX('UA-normalized'!$D:$D, MATCH($A108, 'UA-normalized'!$A:$A, 0))-INDEX('UA-normalized'!$E:$E, MATCH($A108, 'UA-normalized'!$A:$A, 0))), 0), 0))+(IFERROR(IF(22*INDEX('KZ-normalized'!$D:$D, MATCH($A108, 'KZ-normalized'!$A:$A, 0))-INDEX('KZ-normalized'!$E:$E, MATCH($A108, 'KZ-normalized'!$A:$A, 0))&gt;0, -(22*INDEX('KZ-normalized'!$D:$D, MATCH($A108, 'KZ-normalized'!$A:$A, 0))-INDEX('KZ-normalized'!$E:$E, MATCH($A108, 'KZ-normalized'!$A:$A, 0))), 0), 0))+(IFERROR(IF(22*INDEX('UZ-normalized'!$D:$D, MATCH($A108, 'UZ-normalized'!$A:$A, 0))-INDEX('UZ-normalized'!$E:$E, MATCH($A108, 'UZ-normalized'!$A:$A, 0))&gt;0, -(22*INDEX('UZ-normalized'!$D:$D, MATCH($A108, 'UZ-normalized'!$A:$A, 0))-INDEX('UZ-normalized'!$E:$E, MATCH($A108, 'UZ-normalized'!$A:$A, 0))), 0), 0)))</f>
        <v>0</v>
      </c>
      <c r="AK108" s="6">
        <f>MIN(0, N108+(IFERROR(IF(23*INDEX('UA-normalized'!$D:$D, MATCH($A108, 'UA-normalized'!$A:$A, 0))-INDEX('UA-normalized'!$E:$E, MATCH($A108, 'UA-normalized'!$A:$A, 0))&gt;0, -(23*INDEX('UA-normalized'!$D:$D, MATCH($A108, 'UA-normalized'!$A:$A, 0))-INDEX('UA-normalized'!$E:$E, MATCH($A108, 'UA-normalized'!$A:$A, 0))), 0), 0))+(IFERROR(IF(23*INDEX('KZ-normalized'!$D:$D, MATCH($A108, 'KZ-normalized'!$A:$A, 0))-INDEX('KZ-normalized'!$E:$E, MATCH($A108, 'KZ-normalized'!$A:$A, 0))&gt;0, -(23*INDEX('KZ-normalized'!$D:$D, MATCH($A108, 'KZ-normalized'!$A:$A, 0))-INDEX('KZ-normalized'!$E:$E, MATCH($A108, 'KZ-normalized'!$A:$A, 0))), 0), 0))+(IFERROR(IF(23*INDEX('UZ-normalized'!$D:$D, MATCH($A108, 'UZ-normalized'!$A:$A, 0))-INDEX('UZ-normalized'!$E:$E, MATCH($A108, 'UZ-normalized'!$A:$A, 0))&gt;0, -(23*INDEX('UZ-normalized'!$D:$D, MATCH($A108, 'UZ-normalized'!$A:$A, 0))-INDEX('UZ-normalized'!$E:$E, MATCH($A108, 'UZ-normalized'!$A:$A, 0))), 0), 0)))</f>
        <v>0</v>
      </c>
      <c r="AL108" s="6">
        <f>MIN(0, N108+(IFERROR(IF(24*INDEX('UA-normalized'!$D:$D, MATCH($A108, 'UA-normalized'!$A:$A, 0))-INDEX('UA-normalized'!$E:$E, MATCH($A108, 'UA-normalized'!$A:$A, 0))&gt;0, -(24*INDEX('UA-normalized'!$D:$D, MATCH($A108, 'UA-normalized'!$A:$A, 0))-INDEX('UA-normalized'!$E:$E, MATCH($A108, 'UA-normalized'!$A:$A, 0))), 0), 0))+(IFERROR(IF(24*INDEX('KZ-normalized'!$D:$D, MATCH($A108, 'KZ-normalized'!$A:$A, 0))-INDEX('KZ-normalized'!$E:$E, MATCH($A108, 'KZ-normalized'!$A:$A, 0))&gt;0, -(24*INDEX('KZ-normalized'!$D:$D, MATCH($A108, 'KZ-normalized'!$A:$A, 0))-INDEX('KZ-normalized'!$E:$E, MATCH($A108, 'KZ-normalized'!$A:$A, 0))), 0), 0))+(IFERROR(IF(24*INDEX('UZ-normalized'!$D:$D, MATCH($A108, 'UZ-normalized'!$A:$A, 0))-INDEX('UZ-normalized'!$E:$E, MATCH($A108, 'UZ-normalized'!$A:$A, 0))&gt;0, -(24*INDEX('UZ-normalized'!$D:$D, MATCH($A108, 'UZ-normalized'!$A:$A, 0))-INDEX('UZ-normalized'!$E:$E, MATCH($A108, 'UZ-normalized'!$A:$A, 0))), 0), 0)))</f>
        <v>0</v>
      </c>
      <c r="AM108" s="6">
        <f>MIN(0, N108+(IFERROR(IF(25*INDEX('UA-normalized'!$D:$D, MATCH($A108, 'UA-normalized'!$A:$A, 0))-INDEX('UA-normalized'!$E:$E, MATCH($A108, 'UA-normalized'!$A:$A, 0))&gt;0, -(25*INDEX('UA-normalized'!$D:$D, MATCH($A108, 'UA-normalized'!$A:$A, 0))-INDEX('UA-normalized'!$E:$E, MATCH($A108, 'UA-normalized'!$A:$A, 0))), 0), 0))+(IFERROR(IF(25*INDEX('KZ-normalized'!$D:$D, MATCH($A108, 'KZ-normalized'!$A:$A, 0))-INDEX('KZ-normalized'!$E:$E, MATCH($A108, 'KZ-normalized'!$A:$A, 0))&gt;0, -(25*INDEX('KZ-normalized'!$D:$D, MATCH($A108, 'KZ-normalized'!$A:$A, 0))-INDEX('KZ-normalized'!$E:$E, MATCH($A108, 'KZ-normalized'!$A:$A, 0))), 0), 0))+(IFERROR(IF(25*INDEX('UZ-normalized'!$D:$D, MATCH($A108, 'UZ-normalized'!$A:$A, 0))-INDEX('UZ-normalized'!$E:$E, MATCH($A108, 'UZ-normalized'!$A:$A, 0))&gt;0, -(25*INDEX('UZ-normalized'!$D:$D, MATCH($A108, 'UZ-normalized'!$A:$A, 0))-INDEX('UZ-normalized'!$E:$E, MATCH($A108, 'UZ-normalized'!$A:$A, 0))), 0), 0)))</f>
        <v>0</v>
      </c>
      <c r="AN108" s="6">
        <f>MIN(0, N108+(IFERROR(IF(26*INDEX('UA-normalized'!$D:$D, MATCH($A108, 'UA-normalized'!$A:$A, 0))-INDEX('UA-normalized'!$E:$E, MATCH($A108, 'UA-normalized'!$A:$A, 0))&gt;0, -(26*INDEX('UA-normalized'!$D:$D, MATCH($A108, 'UA-normalized'!$A:$A, 0))-INDEX('UA-normalized'!$E:$E, MATCH($A108, 'UA-normalized'!$A:$A, 0))), 0), 0))+(IFERROR(IF(26*INDEX('KZ-normalized'!$D:$D, MATCH($A108, 'KZ-normalized'!$A:$A, 0))-INDEX('KZ-normalized'!$E:$E, MATCH($A108, 'KZ-normalized'!$A:$A, 0))&gt;0, -(26*INDEX('KZ-normalized'!$D:$D, MATCH($A108, 'KZ-normalized'!$A:$A, 0))-INDEX('KZ-normalized'!$E:$E, MATCH($A108, 'KZ-normalized'!$A:$A, 0))), 0), 0))+(IFERROR(IF(26*INDEX('UZ-normalized'!$D:$D, MATCH($A108, 'UZ-normalized'!$A:$A, 0))-INDEX('UZ-normalized'!$E:$E, MATCH($A108, 'UZ-normalized'!$A:$A, 0))&gt;0, -(26*INDEX('UZ-normalized'!$D:$D, MATCH($A108, 'UZ-normalized'!$A:$A, 0))-INDEX('UZ-normalized'!$E:$E, MATCH($A108, 'UZ-normalized'!$A:$A, 0))), 0), 0)))</f>
        <v>0</v>
      </c>
      <c r="AO108" s="6">
        <f>MIN(0, N108+(IFERROR(IF(27*INDEX('UA-normalized'!$D:$D, MATCH($A108, 'UA-normalized'!$A:$A, 0))-INDEX('UA-normalized'!$E:$E, MATCH($A108, 'UA-normalized'!$A:$A, 0))&gt;0, -(27*INDEX('UA-normalized'!$D:$D, MATCH($A108, 'UA-normalized'!$A:$A, 0))-INDEX('UA-normalized'!$E:$E, MATCH($A108, 'UA-normalized'!$A:$A, 0))), 0), 0))+(IFERROR(IF(27*INDEX('KZ-normalized'!$D:$D, MATCH($A108, 'KZ-normalized'!$A:$A, 0))-INDEX('KZ-normalized'!$E:$E, MATCH($A108, 'KZ-normalized'!$A:$A, 0))&gt;0, -(27*INDEX('KZ-normalized'!$D:$D, MATCH($A108, 'KZ-normalized'!$A:$A, 0))-INDEX('KZ-normalized'!$E:$E, MATCH($A108, 'KZ-normalized'!$A:$A, 0))), 0), 0))+(IFERROR(IF(27*INDEX('UZ-normalized'!$D:$D, MATCH($A108, 'UZ-normalized'!$A:$A, 0))-INDEX('UZ-normalized'!$E:$E, MATCH($A108, 'UZ-normalized'!$A:$A, 0))&gt;0, -(27*INDEX('UZ-normalized'!$D:$D, MATCH($A108, 'UZ-normalized'!$A:$A, 0))-INDEX('UZ-normalized'!$E:$E, MATCH($A108, 'UZ-normalized'!$A:$A, 0))), 0), 0)))</f>
        <v>0</v>
      </c>
      <c r="AP108" s="6">
        <f>MIN(0, N108+(IFERROR(IF(28*INDEX('UA-normalized'!$D:$D, MATCH($A108, 'UA-normalized'!$A:$A, 0))-INDEX('UA-normalized'!$E:$E, MATCH($A108, 'UA-normalized'!$A:$A, 0))&gt;0, -(28*INDEX('UA-normalized'!$D:$D, MATCH($A108, 'UA-normalized'!$A:$A, 0))-INDEX('UA-normalized'!$E:$E, MATCH($A108, 'UA-normalized'!$A:$A, 0))), 0), 0))+(IFERROR(IF(28*INDEX('KZ-normalized'!$D:$D, MATCH($A108, 'KZ-normalized'!$A:$A, 0))-INDEX('KZ-normalized'!$E:$E, MATCH($A108, 'KZ-normalized'!$A:$A, 0))&gt;0, -(28*INDEX('KZ-normalized'!$D:$D, MATCH($A108, 'KZ-normalized'!$A:$A, 0))-INDEX('KZ-normalized'!$E:$E, MATCH($A108, 'KZ-normalized'!$A:$A, 0))), 0), 0))+(IFERROR(IF(28*INDEX('UZ-normalized'!$D:$D, MATCH($A108, 'UZ-normalized'!$A:$A, 0))-INDEX('UZ-normalized'!$E:$E, MATCH($A108, 'UZ-normalized'!$A:$A, 0))&gt;0, -(28*INDEX('UZ-normalized'!$D:$D, MATCH($A108, 'UZ-normalized'!$A:$A, 0))-INDEX('UZ-normalized'!$E:$E, MATCH($A108, 'UZ-normalized'!$A:$A, 0))), 0), 0)))</f>
        <v>0</v>
      </c>
      <c r="AQ108" s="6">
        <f>MIN(0, N108+(IFERROR(IF(29*INDEX('UA-normalized'!$D:$D, MATCH($A108, 'UA-normalized'!$A:$A, 0))-INDEX('UA-normalized'!$E:$E, MATCH($A108, 'UA-normalized'!$A:$A, 0))&gt;0, -(29*INDEX('UA-normalized'!$D:$D, MATCH($A108, 'UA-normalized'!$A:$A, 0))-INDEX('UA-normalized'!$E:$E, MATCH($A108, 'UA-normalized'!$A:$A, 0))), 0), 0))+(IFERROR(IF(29*INDEX('KZ-normalized'!$D:$D, MATCH($A108, 'KZ-normalized'!$A:$A, 0))-INDEX('KZ-normalized'!$E:$E, MATCH($A108, 'KZ-normalized'!$A:$A, 0))&gt;0, -(29*INDEX('KZ-normalized'!$D:$D, MATCH($A108, 'KZ-normalized'!$A:$A, 0))-INDEX('KZ-normalized'!$E:$E, MATCH($A108, 'KZ-normalized'!$A:$A, 0))), 0), 0))+(IFERROR(IF(29*INDEX('UZ-normalized'!$D:$D, MATCH($A108, 'UZ-normalized'!$A:$A, 0))-INDEX('UZ-normalized'!$E:$E, MATCH($A108, 'UZ-normalized'!$A:$A, 0))&gt;0, -(29*INDEX('UZ-normalized'!$D:$D, MATCH($A108, 'UZ-normalized'!$A:$A, 0))-INDEX('UZ-normalized'!$E:$E, MATCH($A108, 'UZ-normalized'!$A:$A, 0))), 0), 0)))</f>
        <v>0</v>
      </c>
      <c r="AR108" s="6">
        <f>MIN(0, N108+(IFERROR(IF(30*INDEX('UA-normalized'!$D:$D, MATCH($A108, 'UA-normalized'!$A:$A, 0))-INDEX('UA-normalized'!$E:$E, MATCH($A108, 'UA-normalized'!$A:$A, 0))&gt;0, -(30*INDEX('UA-normalized'!$D:$D, MATCH($A108, 'UA-normalized'!$A:$A, 0))-INDEX('UA-normalized'!$E:$E, MATCH($A108, 'UA-normalized'!$A:$A, 0))), 0), 0))+(IFERROR(IF(30*INDEX('KZ-normalized'!$D:$D, MATCH($A108, 'KZ-normalized'!$A:$A, 0))-INDEX('KZ-normalized'!$E:$E, MATCH($A108, 'KZ-normalized'!$A:$A, 0))&gt;0, -(30*INDEX('KZ-normalized'!$D:$D, MATCH($A108, 'KZ-normalized'!$A:$A, 0))-INDEX('KZ-normalized'!$E:$E, MATCH($A108, 'KZ-normalized'!$A:$A, 0))), 0), 0))+(IFERROR(IF(30*INDEX('UZ-normalized'!$D:$D, MATCH($A108, 'UZ-normalized'!$A:$A, 0))-INDEX('UZ-normalized'!$E:$E, MATCH($A108, 'UZ-normalized'!$A:$A, 0))&gt;0, -(30*INDEX('UZ-normalized'!$D:$D, MATCH($A108, 'UZ-normalized'!$A:$A, 0))-INDEX('UZ-normalized'!$E:$E, MATCH($A108, 'UZ-normalized'!$A:$A, 0))), 0), 0)))</f>
        <v>0</v>
      </c>
    </row>
    <row r="109" spans="1:44" x14ac:dyDescent="0.25">
      <c r="A109" s="8" t="s">
        <v>270</v>
      </c>
      <c r="B109" s="8" t="s">
        <v>180</v>
      </c>
      <c r="C109" s="8" t="s">
        <v>256</v>
      </c>
      <c r="D109" s="8" t="s">
        <v>271</v>
      </c>
      <c r="E109">
        <v>6100.75</v>
      </c>
      <c r="G109">
        <v>-850</v>
      </c>
      <c r="N109">
        <f t="shared" si="1"/>
        <v>5250.75</v>
      </c>
      <c r="O109" s="6">
        <f>MIN(0, N109+(IFERROR(IF(1*INDEX('UA-normalized'!$D:$D, MATCH($A109, 'UA-normalized'!$A:$A, 0))-INDEX('UA-normalized'!$E:$E, MATCH($A109, 'UA-normalized'!$A:$A, 0))&gt;0, -(1*INDEX('UA-normalized'!$D:$D, MATCH($A109, 'UA-normalized'!$A:$A, 0))-INDEX('UA-normalized'!$E:$E, MATCH($A109, 'UA-normalized'!$A:$A, 0))), 0), 0))+(IFERROR(IF(1*INDEX('KZ-normalized'!$D:$D, MATCH($A109, 'KZ-normalized'!$A:$A, 0))-INDEX('KZ-normalized'!$E:$E, MATCH($A109, 'KZ-normalized'!$A:$A, 0))&gt;0, -(1*INDEX('KZ-normalized'!$D:$D, MATCH($A109, 'KZ-normalized'!$A:$A, 0))-INDEX('KZ-normalized'!$E:$E, MATCH($A109, 'KZ-normalized'!$A:$A, 0))), 0), 0))+(IFERROR(IF(1*INDEX('UZ-normalized'!$D:$D, MATCH($A109, 'UZ-normalized'!$A:$A, 0))-INDEX('UZ-normalized'!$E:$E, MATCH($A109, 'UZ-normalized'!$A:$A, 0))&gt;0, -(1*INDEX('UZ-normalized'!$D:$D, MATCH($A109, 'UZ-normalized'!$A:$A, 0))-INDEX('UZ-normalized'!$E:$E, MATCH($A109, 'UZ-normalized'!$A:$A, 0))), 0), 0)))</f>
        <v>0</v>
      </c>
      <c r="P109" s="6">
        <f>MIN(0, N109+(IFERROR(IF(2*INDEX('UA-normalized'!$D:$D, MATCH($A109, 'UA-normalized'!$A:$A, 0))-INDEX('UA-normalized'!$E:$E, MATCH($A109, 'UA-normalized'!$A:$A, 0))&gt;0, -(2*INDEX('UA-normalized'!$D:$D, MATCH($A109, 'UA-normalized'!$A:$A, 0))-INDEX('UA-normalized'!$E:$E, MATCH($A109, 'UA-normalized'!$A:$A, 0))), 0), 0))+(IFERROR(IF(2*INDEX('KZ-normalized'!$D:$D, MATCH($A109, 'KZ-normalized'!$A:$A, 0))-INDEX('KZ-normalized'!$E:$E, MATCH($A109, 'KZ-normalized'!$A:$A, 0))&gt;0, -(2*INDEX('KZ-normalized'!$D:$D, MATCH($A109, 'KZ-normalized'!$A:$A, 0))-INDEX('KZ-normalized'!$E:$E, MATCH($A109, 'KZ-normalized'!$A:$A, 0))), 0), 0))+(IFERROR(IF(2*INDEX('UZ-normalized'!$D:$D, MATCH($A109, 'UZ-normalized'!$A:$A, 0))-INDEX('UZ-normalized'!$E:$E, MATCH($A109, 'UZ-normalized'!$A:$A, 0))&gt;0, -(2*INDEX('UZ-normalized'!$D:$D, MATCH($A109, 'UZ-normalized'!$A:$A, 0))-INDEX('UZ-normalized'!$E:$E, MATCH($A109, 'UZ-normalized'!$A:$A, 0))), 0), 0)))</f>
        <v>0</v>
      </c>
      <c r="Q109" s="6">
        <f>MIN(0, N109+(IFERROR(IF(3*INDEX('UA-normalized'!$D:$D, MATCH($A109, 'UA-normalized'!$A:$A, 0))-INDEX('UA-normalized'!$E:$E, MATCH($A109, 'UA-normalized'!$A:$A, 0))&gt;0, -(3*INDEX('UA-normalized'!$D:$D, MATCH($A109, 'UA-normalized'!$A:$A, 0))-INDEX('UA-normalized'!$E:$E, MATCH($A109, 'UA-normalized'!$A:$A, 0))), 0), 0))+(IFERROR(IF(3*INDEX('KZ-normalized'!$D:$D, MATCH($A109, 'KZ-normalized'!$A:$A, 0))-INDEX('KZ-normalized'!$E:$E, MATCH($A109, 'KZ-normalized'!$A:$A, 0))&gt;0, -(3*INDEX('KZ-normalized'!$D:$D, MATCH($A109, 'KZ-normalized'!$A:$A, 0))-INDEX('KZ-normalized'!$E:$E, MATCH($A109, 'KZ-normalized'!$A:$A, 0))), 0), 0))+(IFERROR(IF(3*INDEX('UZ-normalized'!$D:$D, MATCH($A109, 'UZ-normalized'!$A:$A, 0))-INDEX('UZ-normalized'!$E:$E, MATCH($A109, 'UZ-normalized'!$A:$A, 0))&gt;0, -(3*INDEX('UZ-normalized'!$D:$D, MATCH($A109, 'UZ-normalized'!$A:$A, 0))-INDEX('UZ-normalized'!$E:$E, MATCH($A109, 'UZ-normalized'!$A:$A, 0))), 0), 0)))</f>
        <v>0</v>
      </c>
      <c r="R109" s="6">
        <f>MIN(0, N109+(IFERROR(IF(4*INDEX('UA-normalized'!$D:$D, MATCH($A109, 'UA-normalized'!$A:$A, 0))-INDEX('UA-normalized'!$E:$E, MATCH($A109, 'UA-normalized'!$A:$A, 0))&gt;0, -(4*INDEX('UA-normalized'!$D:$D, MATCH($A109, 'UA-normalized'!$A:$A, 0))-INDEX('UA-normalized'!$E:$E, MATCH($A109, 'UA-normalized'!$A:$A, 0))), 0), 0))+(IFERROR(IF(4*INDEX('KZ-normalized'!$D:$D, MATCH($A109, 'KZ-normalized'!$A:$A, 0))-INDEX('KZ-normalized'!$E:$E, MATCH($A109, 'KZ-normalized'!$A:$A, 0))&gt;0, -(4*INDEX('KZ-normalized'!$D:$D, MATCH($A109, 'KZ-normalized'!$A:$A, 0))-INDEX('KZ-normalized'!$E:$E, MATCH($A109, 'KZ-normalized'!$A:$A, 0))), 0), 0))+(IFERROR(IF(4*INDEX('UZ-normalized'!$D:$D, MATCH($A109, 'UZ-normalized'!$A:$A, 0))-INDEX('UZ-normalized'!$E:$E, MATCH($A109, 'UZ-normalized'!$A:$A, 0))&gt;0, -(4*INDEX('UZ-normalized'!$D:$D, MATCH($A109, 'UZ-normalized'!$A:$A, 0))-INDEX('UZ-normalized'!$E:$E, MATCH($A109, 'UZ-normalized'!$A:$A, 0))), 0), 0)))</f>
        <v>0</v>
      </c>
      <c r="S109" s="6">
        <f>MIN(0, N109+(IFERROR(IF(5*INDEX('UA-normalized'!$D:$D, MATCH($A109, 'UA-normalized'!$A:$A, 0))-INDEX('UA-normalized'!$E:$E, MATCH($A109, 'UA-normalized'!$A:$A, 0))&gt;0, -(5*INDEX('UA-normalized'!$D:$D, MATCH($A109, 'UA-normalized'!$A:$A, 0))-INDEX('UA-normalized'!$E:$E, MATCH($A109, 'UA-normalized'!$A:$A, 0))), 0), 0))+(IFERROR(IF(5*INDEX('KZ-normalized'!$D:$D, MATCH($A109, 'KZ-normalized'!$A:$A, 0))-INDEX('KZ-normalized'!$E:$E, MATCH($A109, 'KZ-normalized'!$A:$A, 0))&gt;0, -(5*INDEX('KZ-normalized'!$D:$D, MATCH($A109, 'KZ-normalized'!$A:$A, 0))-INDEX('KZ-normalized'!$E:$E, MATCH($A109, 'KZ-normalized'!$A:$A, 0))), 0), 0))+(IFERROR(IF(5*INDEX('UZ-normalized'!$D:$D, MATCH($A109, 'UZ-normalized'!$A:$A, 0))-INDEX('UZ-normalized'!$E:$E, MATCH($A109, 'UZ-normalized'!$A:$A, 0))&gt;0, -(5*INDEX('UZ-normalized'!$D:$D, MATCH($A109, 'UZ-normalized'!$A:$A, 0))-INDEX('UZ-normalized'!$E:$E, MATCH($A109, 'UZ-normalized'!$A:$A, 0))), 0), 0)))</f>
        <v>0</v>
      </c>
      <c r="T109" s="6">
        <f>MIN(0, N109+(IFERROR(IF(6*INDEX('UA-normalized'!$D:$D, MATCH($A109, 'UA-normalized'!$A:$A, 0))-INDEX('UA-normalized'!$E:$E, MATCH($A109, 'UA-normalized'!$A:$A, 0))&gt;0, -(6*INDEX('UA-normalized'!$D:$D, MATCH($A109, 'UA-normalized'!$A:$A, 0))-INDEX('UA-normalized'!$E:$E, MATCH($A109, 'UA-normalized'!$A:$A, 0))), 0), 0))+(IFERROR(IF(6*INDEX('KZ-normalized'!$D:$D, MATCH($A109, 'KZ-normalized'!$A:$A, 0))-INDEX('KZ-normalized'!$E:$E, MATCH($A109, 'KZ-normalized'!$A:$A, 0))&gt;0, -(6*INDEX('KZ-normalized'!$D:$D, MATCH($A109, 'KZ-normalized'!$A:$A, 0))-INDEX('KZ-normalized'!$E:$E, MATCH($A109, 'KZ-normalized'!$A:$A, 0))), 0), 0))+(IFERROR(IF(6*INDEX('UZ-normalized'!$D:$D, MATCH($A109, 'UZ-normalized'!$A:$A, 0))-INDEX('UZ-normalized'!$E:$E, MATCH($A109, 'UZ-normalized'!$A:$A, 0))&gt;0, -(6*INDEX('UZ-normalized'!$D:$D, MATCH($A109, 'UZ-normalized'!$A:$A, 0))-INDEX('UZ-normalized'!$E:$E, MATCH($A109, 'UZ-normalized'!$A:$A, 0))), 0), 0)))</f>
        <v>0</v>
      </c>
      <c r="U109" s="6">
        <f>MIN(0, N109+(IFERROR(IF(7*INDEX('UA-normalized'!$D:$D, MATCH($A109, 'UA-normalized'!$A:$A, 0))-INDEX('UA-normalized'!$E:$E, MATCH($A109, 'UA-normalized'!$A:$A, 0))&gt;0, -(7*INDEX('UA-normalized'!$D:$D, MATCH($A109, 'UA-normalized'!$A:$A, 0))-INDEX('UA-normalized'!$E:$E, MATCH($A109, 'UA-normalized'!$A:$A, 0))), 0), 0))+(IFERROR(IF(7*INDEX('KZ-normalized'!$D:$D, MATCH($A109, 'KZ-normalized'!$A:$A, 0))-INDEX('KZ-normalized'!$E:$E, MATCH($A109, 'KZ-normalized'!$A:$A, 0))&gt;0, -(7*INDEX('KZ-normalized'!$D:$D, MATCH($A109, 'KZ-normalized'!$A:$A, 0))-INDEX('KZ-normalized'!$E:$E, MATCH($A109, 'KZ-normalized'!$A:$A, 0))), 0), 0))+(IFERROR(IF(7*INDEX('UZ-normalized'!$D:$D, MATCH($A109, 'UZ-normalized'!$A:$A, 0))-INDEX('UZ-normalized'!$E:$E, MATCH($A109, 'UZ-normalized'!$A:$A, 0))&gt;0, -(7*INDEX('UZ-normalized'!$D:$D, MATCH($A109, 'UZ-normalized'!$A:$A, 0))-INDEX('UZ-normalized'!$E:$E, MATCH($A109, 'UZ-normalized'!$A:$A, 0))), 0), 0)))</f>
        <v>0</v>
      </c>
      <c r="V109" s="6">
        <f>MIN(0, N109+(IFERROR(IF(8*INDEX('UA-normalized'!$D:$D, MATCH($A109, 'UA-normalized'!$A:$A, 0))-INDEX('UA-normalized'!$E:$E, MATCH($A109, 'UA-normalized'!$A:$A, 0))&gt;0, -(8*INDEX('UA-normalized'!$D:$D, MATCH($A109, 'UA-normalized'!$A:$A, 0))-INDEX('UA-normalized'!$E:$E, MATCH($A109, 'UA-normalized'!$A:$A, 0))), 0), 0))+(IFERROR(IF(8*INDEX('KZ-normalized'!$D:$D, MATCH($A109, 'KZ-normalized'!$A:$A, 0))-INDEX('KZ-normalized'!$E:$E, MATCH($A109, 'KZ-normalized'!$A:$A, 0))&gt;0, -(8*INDEX('KZ-normalized'!$D:$D, MATCH($A109, 'KZ-normalized'!$A:$A, 0))-INDEX('KZ-normalized'!$E:$E, MATCH($A109, 'KZ-normalized'!$A:$A, 0))), 0), 0))+(IFERROR(IF(8*INDEX('UZ-normalized'!$D:$D, MATCH($A109, 'UZ-normalized'!$A:$A, 0))-INDEX('UZ-normalized'!$E:$E, MATCH($A109, 'UZ-normalized'!$A:$A, 0))&gt;0, -(8*INDEX('UZ-normalized'!$D:$D, MATCH($A109, 'UZ-normalized'!$A:$A, 0))-INDEX('UZ-normalized'!$E:$E, MATCH($A109, 'UZ-normalized'!$A:$A, 0))), 0), 0)))</f>
        <v>0</v>
      </c>
      <c r="W109" s="6">
        <f>MIN(0, N109+(IFERROR(IF(9*INDEX('UA-normalized'!$D:$D, MATCH($A109, 'UA-normalized'!$A:$A, 0))-INDEX('UA-normalized'!$E:$E, MATCH($A109, 'UA-normalized'!$A:$A, 0))&gt;0, -(9*INDEX('UA-normalized'!$D:$D, MATCH($A109, 'UA-normalized'!$A:$A, 0))-INDEX('UA-normalized'!$E:$E, MATCH($A109, 'UA-normalized'!$A:$A, 0))), 0), 0))+(IFERROR(IF(9*INDEX('KZ-normalized'!$D:$D, MATCH($A109, 'KZ-normalized'!$A:$A, 0))-INDEX('KZ-normalized'!$E:$E, MATCH($A109, 'KZ-normalized'!$A:$A, 0))&gt;0, -(9*INDEX('KZ-normalized'!$D:$D, MATCH($A109, 'KZ-normalized'!$A:$A, 0))-INDEX('KZ-normalized'!$E:$E, MATCH($A109, 'KZ-normalized'!$A:$A, 0))), 0), 0))+(IFERROR(IF(9*INDEX('UZ-normalized'!$D:$D, MATCH($A109, 'UZ-normalized'!$A:$A, 0))-INDEX('UZ-normalized'!$E:$E, MATCH($A109, 'UZ-normalized'!$A:$A, 0))&gt;0, -(9*INDEX('UZ-normalized'!$D:$D, MATCH($A109, 'UZ-normalized'!$A:$A, 0))-INDEX('UZ-normalized'!$E:$E, MATCH($A109, 'UZ-normalized'!$A:$A, 0))), 0), 0)))</f>
        <v>0</v>
      </c>
      <c r="X109" s="6">
        <f>MIN(0, N109+(IFERROR(IF(10*INDEX('UA-normalized'!$D:$D, MATCH($A109, 'UA-normalized'!$A:$A, 0))-INDEX('UA-normalized'!$E:$E, MATCH($A109, 'UA-normalized'!$A:$A, 0))&gt;0, -(10*INDEX('UA-normalized'!$D:$D, MATCH($A109, 'UA-normalized'!$A:$A, 0))-INDEX('UA-normalized'!$E:$E, MATCH($A109, 'UA-normalized'!$A:$A, 0))), 0), 0))+(IFERROR(IF(10*INDEX('KZ-normalized'!$D:$D, MATCH($A109, 'KZ-normalized'!$A:$A, 0))-INDEX('KZ-normalized'!$E:$E, MATCH($A109, 'KZ-normalized'!$A:$A, 0))&gt;0, -(10*INDEX('KZ-normalized'!$D:$D, MATCH($A109, 'KZ-normalized'!$A:$A, 0))-INDEX('KZ-normalized'!$E:$E, MATCH($A109, 'KZ-normalized'!$A:$A, 0))), 0), 0))+(IFERROR(IF(10*INDEX('UZ-normalized'!$D:$D, MATCH($A109, 'UZ-normalized'!$A:$A, 0))-INDEX('UZ-normalized'!$E:$E, MATCH($A109, 'UZ-normalized'!$A:$A, 0))&gt;0, -(10*INDEX('UZ-normalized'!$D:$D, MATCH($A109, 'UZ-normalized'!$A:$A, 0))-INDEX('UZ-normalized'!$E:$E, MATCH($A109, 'UZ-normalized'!$A:$A, 0))), 0), 0)))</f>
        <v>0</v>
      </c>
      <c r="Y109" s="6">
        <f>MIN(0, N109+(IFERROR(IF(11*INDEX('UA-normalized'!$D:$D, MATCH($A109, 'UA-normalized'!$A:$A, 0))-INDEX('UA-normalized'!$E:$E, MATCH($A109, 'UA-normalized'!$A:$A, 0))&gt;0, -(11*INDEX('UA-normalized'!$D:$D, MATCH($A109, 'UA-normalized'!$A:$A, 0))-INDEX('UA-normalized'!$E:$E, MATCH($A109, 'UA-normalized'!$A:$A, 0))), 0), 0))+(IFERROR(IF(11*INDEX('KZ-normalized'!$D:$D, MATCH($A109, 'KZ-normalized'!$A:$A, 0))-INDEX('KZ-normalized'!$E:$E, MATCH($A109, 'KZ-normalized'!$A:$A, 0))&gt;0, -(11*INDEX('KZ-normalized'!$D:$D, MATCH($A109, 'KZ-normalized'!$A:$A, 0))-INDEX('KZ-normalized'!$E:$E, MATCH($A109, 'KZ-normalized'!$A:$A, 0))), 0), 0))+(IFERROR(IF(11*INDEX('UZ-normalized'!$D:$D, MATCH($A109, 'UZ-normalized'!$A:$A, 0))-INDEX('UZ-normalized'!$E:$E, MATCH($A109, 'UZ-normalized'!$A:$A, 0))&gt;0, -(11*INDEX('UZ-normalized'!$D:$D, MATCH($A109, 'UZ-normalized'!$A:$A, 0))-INDEX('UZ-normalized'!$E:$E, MATCH($A109, 'UZ-normalized'!$A:$A, 0))), 0), 0)))</f>
        <v>0</v>
      </c>
      <c r="Z109" s="6">
        <f>MIN(0, N109+(IFERROR(IF(12*INDEX('UA-normalized'!$D:$D, MATCH($A109, 'UA-normalized'!$A:$A, 0))-INDEX('UA-normalized'!$E:$E, MATCH($A109, 'UA-normalized'!$A:$A, 0))&gt;0, -(12*INDEX('UA-normalized'!$D:$D, MATCH($A109, 'UA-normalized'!$A:$A, 0))-INDEX('UA-normalized'!$E:$E, MATCH($A109, 'UA-normalized'!$A:$A, 0))), 0), 0))+(IFERROR(IF(12*INDEX('KZ-normalized'!$D:$D, MATCH($A109, 'KZ-normalized'!$A:$A, 0))-INDEX('KZ-normalized'!$E:$E, MATCH($A109, 'KZ-normalized'!$A:$A, 0))&gt;0, -(12*INDEX('KZ-normalized'!$D:$D, MATCH($A109, 'KZ-normalized'!$A:$A, 0))-INDEX('KZ-normalized'!$E:$E, MATCH($A109, 'KZ-normalized'!$A:$A, 0))), 0), 0))+(IFERROR(IF(12*INDEX('UZ-normalized'!$D:$D, MATCH($A109, 'UZ-normalized'!$A:$A, 0))-INDEX('UZ-normalized'!$E:$E, MATCH($A109, 'UZ-normalized'!$A:$A, 0))&gt;0, -(12*INDEX('UZ-normalized'!$D:$D, MATCH($A109, 'UZ-normalized'!$A:$A, 0))-INDEX('UZ-normalized'!$E:$E, MATCH($A109, 'UZ-normalized'!$A:$A, 0))), 0), 0)))</f>
        <v>0</v>
      </c>
      <c r="AA109" s="6">
        <f>MIN(0, N109+(IFERROR(IF(13*INDEX('UA-normalized'!$D:$D, MATCH($A109, 'UA-normalized'!$A:$A, 0))-INDEX('UA-normalized'!$E:$E, MATCH($A109, 'UA-normalized'!$A:$A, 0))&gt;0, -(13*INDEX('UA-normalized'!$D:$D, MATCH($A109, 'UA-normalized'!$A:$A, 0))-INDEX('UA-normalized'!$E:$E, MATCH($A109, 'UA-normalized'!$A:$A, 0))), 0), 0))+(IFERROR(IF(13*INDEX('KZ-normalized'!$D:$D, MATCH($A109, 'KZ-normalized'!$A:$A, 0))-INDEX('KZ-normalized'!$E:$E, MATCH($A109, 'KZ-normalized'!$A:$A, 0))&gt;0, -(13*INDEX('KZ-normalized'!$D:$D, MATCH($A109, 'KZ-normalized'!$A:$A, 0))-INDEX('KZ-normalized'!$E:$E, MATCH($A109, 'KZ-normalized'!$A:$A, 0))), 0), 0))+(IFERROR(IF(13*INDEX('UZ-normalized'!$D:$D, MATCH($A109, 'UZ-normalized'!$A:$A, 0))-INDEX('UZ-normalized'!$E:$E, MATCH($A109, 'UZ-normalized'!$A:$A, 0))&gt;0, -(13*INDEX('UZ-normalized'!$D:$D, MATCH($A109, 'UZ-normalized'!$A:$A, 0))-INDEX('UZ-normalized'!$E:$E, MATCH($A109, 'UZ-normalized'!$A:$A, 0))), 0), 0)))</f>
        <v>0</v>
      </c>
      <c r="AB109" s="6">
        <f>MIN(0, N109+(IFERROR(IF(14*INDEX('UA-normalized'!$D:$D, MATCH($A109, 'UA-normalized'!$A:$A, 0))-INDEX('UA-normalized'!$E:$E, MATCH($A109, 'UA-normalized'!$A:$A, 0))&gt;0, -(14*INDEX('UA-normalized'!$D:$D, MATCH($A109, 'UA-normalized'!$A:$A, 0))-INDEX('UA-normalized'!$E:$E, MATCH($A109, 'UA-normalized'!$A:$A, 0))), 0), 0))+(IFERROR(IF(14*INDEX('KZ-normalized'!$D:$D, MATCH($A109, 'KZ-normalized'!$A:$A, 0))-INDEX('KZ-normalized'!$E:$E, MATCH($A109, 'KZ-normalized'!$A:$A, 0))&gt;0, -(14*INDEX('KZ-normalized'!$D:$D, MATCH($A109, 'KZ-normalized'!$A:$A, 0))-INDEX('KZ-normalized'!$E:$E, MATCH($A109, 'KZ-normalized'!$A:$A, 0))), 0), 0))+(IFERROR(IF(14*INDEX('UZ-normalized'!$D:$D, MATCH($A109, 'UZ-normalized'!$A:$A, 0))-INDEX('UZ-normalized'!$E:$E, MATCH($A109, 'UZ-normalized'!$A:$A, 0))&gt;0, -(14*INDEX('UZ-normalized'!$D:$D, MATCH($A109, 'UZ-normalized'!$A:$A, 0))-INDEX('UZ-normalized'!$E:$E, MATCH($A109, 'UZ-normalized'!$A:$A, 0))), 0), 0)))</f>
        <v>0</v>
      </c>
      <c r="AC109" s="6">
        <f>MIN(0, N109+(IFERROR(IF(15*INDEX('UA-normalized'!$D:$D, MATCH($A109, 'UA-normalized'!$A:$A, 0))-INDEX('UA-normalized'!$E:$E, MATCH($A109, 'UA-normalized'!$A:$A, 0))&gt;0, -(15*INDEX('UA-normalized'!$D:$D, MATCH($A109, 'UA-normalized'!$A:$A, 0))-INDEX('UA-normalized'!$E:$E, MATCH($A109, 'UA-normalized'!$A:$A, 0))), 0), 0))+(IFERROR(IF(15*INDEX('KZ-normalized'!$D:$D, MATCH($A109, 'KZ-normalized'!$A:$A, 0))-INDEX('KZ-normalized'!$E:$E, MATCH($A109, 'KZ-normalized'!$A:$A, 0))&gt;0, -(15*INDEX('KZ-normalized'!$D:$D, MATCH($A109, 'KZ-normalized'!$A:$A, 0))-INDEX('KZ-normalized'!$E:$E, MATCH($A109, 'KZ-normalized'!$A:$A, 0))), 0), 0))+(IFERROR(IF(15*INDEX('UZ-normalized'!$D:$D, MATCH($A109, 'UZ-normalized'!$A:$A, 0))-INDEX('UZ-normalized'!$E:$E, MATCH($A109, 'UZ-normalized'!$A:$A, 0))&gt;0, -(15*INDEX('UZ-normalized'!$D:$D, MATCH($A109, 'UZ-normalized'!$A:$A, 0))-INDEX('UZ-normalized'!$E:$E, MATCH($A109, 'UZ-normalized'!$A:$A, 0))), 0), 0)))</f>
        <v>0</v>
      </c>
      <c r="AD109" s="6">
        <f>MIN(0, N109+(IFERROR(IF(16*INDEX('UA-normalized'!$D:$D, MATCH($A109, 'UA-normalized'!$A:$A, 0))-INDEX('UA-normalized'!$E:$E, MATCH($A109, 'UA-normalized'!$A:$A, 0))&gt;0, -(16*INDEX('UA-normalized'!$D:$D, MATCH($A109, 'UA-normalized'!$A:$A, 0))-INDEX('UA-normalized'!$E:$E, MATCH($A109, 'UA-normalized'!$A:$A, 0))), 0), 0))+(IFERROR(IF(16*INDEX('KZ-normalized'!$D:$D, MATCH($A109, 'KZ-normalized'!$A:$A, 0))-INDEX('KZ-normalized'!$E:$E, MATCH($A109, 'KZ-normalized'!$A:$A, 0))&gt;0, -(16*INDEX('KZ-normalized'!$D:$D, MATCH($A109, 'KZ-normalized'!$A:$A, 0))-INDEX('KZ-normalized'!$E:$E, MATCH($A109, 'KZ-normalized'!$A:$A, 0))), 0), 0))+(IFERROR(IF(16*INDEX('UZ-normalized'!$D:$D, MATCH($A109, 'UZ-normalized'!$A:$A, 0))-INDEX('UZ-normalized'!$E:$E, MATCH($A109, 'UZ-normalized'!$A:$A, 0))&gt;0, -(16*INDEX('UZ-normalized'!$D:$D, MATCH($A109, 'UZ-normalized'!$A:$A, 0))-INDEX('UZ-normalized'!$E:$E, MATCH($A109, 'UZ-normalized'!$A:$A, 0))), 0), 0)))</f>
        <v>0</v>
      </c>
      <c r="AE109" s="6">
        <f>MIN(0, N109+(IFERROR(IF(17*INDEX('UA-normalized'!$D:$D, MATCH($A109, 'UA-normalized'!$A:$A, 0))-INDEX('UA-normalized'!$E:$E, MATCH($A109, 'UA-normalized'!$A:$A, 0))&gt;0, -(17*INDEX('UA-normalized'!$D:$D, MATCH($A109, 'UA-normalized'!$A:$A, 0))-INDEX('UA-normalized'!$E:$E, MATCH($A109, 'UA-normalized'!$A:$A, 0))), 0), 0))+(IFERROR(IF(17*INDEX('KZ-normalized'!$D:$D, MATCH($A109, 'KZ-normalized'!$A:$A, 0))-INDEX('KZ-normalized'!$E:$E, MATCH($A109, 'KZ-normalized'!$A:$A, 0))&gt;0, -(17*INDEX('KZ-normalized'!$D:$D, MATCH($A109, 'KZ-normalized'!$A:$A, 0))-INDEX('KZ-normalized'!$E:$E, MATCH($A109, 'KZ-normalized'!$A:$A, 0))), 0), 0))+(IFERROR(IF(17*INDEX('UZ-normalized'!$D:$D, MATCH($A109, 'UZ-normalized'!$A:$A, 0))-INDEX('UZ-normalized'!$E:$E, MATCH($A109, 'UZ-normalized'!$A:$A, 0))&gt;0, -(17*INDEX('UZ-normalized'!$D:$D, MATCH($A109, 'UZ-normalized'!$A:$A, 0))-INDEX('UZ-normalized'!$E:$E, MATCH($A109, 'UZ-normalized'!$A:$A, 0))), 0), 0)))</f>
        <v>0</v>
      </c>
      <c r="AF109" s="6">
        <f>MIN(0, N109+(IFERROR(IF(18*INDEX('UA-normalized'!$D:$D, MATCH($A109, 'UA-normalized'!$A:$A, 0))-INDEX('UA-normalized'!$E:$E, MATCH($A109, 'UA-normalized'!$A:$A, 0))&gt;0, -(18*INDEX('UA-normalized'!$D:$D, MATCH($A109, 'UA-normalized'!$A:$A, 0))-INDEX('UA-normalized'!$E:$E, MATCH($A109, 'UA-normalized'!$A:$A, 0))), 0), 0))+(IFERROR(IF(18*INDEX('KZ-normalized'!$D:$D, MATCH($A109, 'KZ-normalized'!$A:$A, 0))-INDEX('KZ-normalized'!$E:$E, MATCH($A109, 'KZ-normalized'!$A:$A, 0))&gt;0, -(18*INDEX('KZ-normalized'!$D:$D, MATCH($A109, 'KZ-normalized'!$A:$A, 0))-INDEX('KZ-normalized'!$E:$E, MATCH($A109, 'KZ-normalized'!$A:$A, 0))), 0), 0))+(IFERROR(IF(18*INDEX('UZ-normalized'!$D:$D, MATCH($A109, 'UZ-normalized'!$A:$A, 0))-INDEX('UZ-normalized'!$E:$E, MATCH($A109, 'UZ-normalized'!$A:$A, 0))&gt;0, -(18*INDEX('UZ-normalized'!$D:$D, MATCH($A109, 'UZ-normalized'!$A:$A, 0))-INDEX('UZ-normalized'!$E:$E, MATCH($A109, 'UZ-normalized'!$A:$A, 0))), 0), 0)))</f>
        <v>0</v>
      </c>
      <c r="AG109" s="6">
        <f>MIN(0, N109+(IFERROR(IF(19*INDEX('UA-normalized'!$D:$D, MATCH($A109, 'UA-normalized'!$A:$A, 0))-INDEX('UA-normalized'!$E:$E, MATCH($A109, 'UA-normalized'!$A:$A, 0))&gt;0, -(19*INDEX('UA-normalized'!$D:$D, MATCH($A109, 'UA-normalized'!$A:$A, 0))-INDEX('UA-normalized'!$E:$E, MATCH($A109, 'UA-normalized'!$A:$A, 0))), 0), 0))+(IFERROR(IF(19*INDEX('KZ-normalized'!$D:$D, MATCH($A109, 'KZ-normalized'!$A:$A, 0))-INDEX('KZ-normalized'!$E:$E, MATCH($A109, 'KZ-normalized'!$A:$A, 0))&gt;0, -(19*INDEX('KZ-normalized'!$D:$D, MATCH($A109, 'KZ-normalized'!$A:$A, 0))-INDEX('KZ-normalized'!$E:$E, MATCH($A109, 'KZ-normalized'!$A:$A, 0))), 0), 0))+(IFERROR(IF(19*INDEX('UZ-normalized'!$D:$D, MATCH($A109, 'UZ-normalized'!$A:$A, 0))-INDEX('UZ-normalized'!$E:$E, MATCH($A109, 'UZ-normalized'!$A:$A, 0))&gt;0, -(19*INDEX('UZ-normalized'!$D:$D, MATCH($A109, 'UZ-normalized'!$A:$A, 0))-INDEX('UZ-normalized'!$E:$E, MATCH($A109, 'UZ-normalized'!$A:$A, 0))), 0), 0)))</f>
        <v>0</v>
      </c>
      <c r="AH109" s="6">
        <f>MIN(0, N109+(IFERROR(IF(20*INDEX('UA-normalized'!$D:$D, MATCH($A109, 'UA-normalized'!$A:$A, 0))-INDEX('UA-normalized'!$E:$E, MATCH($A109, 'UA-normalized'!$A:$A, 0))&gt;0, -(20*INDEX('UA-normalized'!$D:$D, MATCH($A109, 'UA-normalized'!$A:$A, 0))-INDEX('UA-normalized'!$E:$E, MATCH($A109, 'UA-normalized'!$A:$A, 0))), 0), 0))+(IFERROR(IF(20*INDEX('KZ-normalized'!$D:$D, MATCH($A109, 'KZ-normalized'!$A:$A, 0))-INDEX('KZ-normalized'!$E:$E, MATCH($A109, 'KZ-normalized'!$A:$A, 0))&gt;0, -(20*INDEX('KZ-normalized'!$D:$D, MATCH($A109, 'KZ-normalized'!$A:$A, 0))-INDEX('KZ-normalized'!$E:$E, MATCH($A109, 'KZ-normalized'!$A:$A, 0))), 0), 0))+(IFERROR(IF(20*INDEX('UZ-normalized'!$D:$D, MATCH($A109, 'UZ-normalized'!$A:$A, 0))-INDEX('UZ-normalized'!$E:$E, MATCH($A109, 'UZ-normalized'!$A:$A, 0))&gt;0, -(20*INDEX('UZ-normalized'!$D:$D, MATCH($A109, 'UZ-normalized'!$A:$A, 0))-INDEX('UZ-normalized'!$E:$E, MATCH($A109, 'UZ-normalized'!$A:$A, 0))), 0), 0)))</f>
        <v>0</v>
      </c>
      <c r="AI109" s="6">
        <f>MIN(0, N109+(IFERROR(IF(21*INDEX('UA-normalized'!$D:$D, MATCH($A109, 'UA-normalized'!$A:$A, 0))-INDEX('UA-normalized'!$E:$E, MATCH($A109, 'UA-normalized'!$A:$A, 0))&gt;0, -(21*INDEX('UA-normalized'!$D:$D, MATCH($A109, 'UA-normalized'!$A:$A, 0))-INDEX('UA-normalized'!$E:$E, MATCH($A109, 'UA-normalized'!$A:$A, 0))), 0), 0))+(IFERROR(IF(21*INDEX('KZ-normalized'!$D:$D, MATCH($A109, 'KZ-normalized'!$A:$A, 0))-INDEX('KZ-normalized'!$E:$E, MATCH($A109, 'KZ-normalized'!$A:$A, 0))&gt;0, -(21*INDEX('KZ-normalized'!$D:$D, MATCH($A109, 'KZ-normalized'!$A:$A, 0))-INDEX('KZ-normalized'!$E:$E, MATCH($A109, 'KZ-normalized'!$A:$A, 0))), 0), 0))+(IFERROR(IF(21*INDEX('UZ-normalized'!$D:$D, MATCH($A109, 'UZ-normalized'!$A:$A, 0))-INDEX('UZ-normalized'!$E:$E, MATCH($A109, 'UZ-normalized'!$A:$A, 0))&gt;0, -(21*INDEX('UZ-normalized'!$D:$D, MATCH($A109, 'UZ-normalized'!$A:$A, 0))-INDEX('UZ-normalized'!$E:$E, MATCH($A109, 'UZ-normalized'!$A:$A, 0))), 0), 0)))</f>
        <v>-198.25</v>
      </c>
      <c r="AJ109" s="6">
        <f>MIN(0, N109+(IFERROR(IF(22*INDEX('UA-normalized'!$D:$D, MATCH($A109, 'UA-normalized'!$A:$A, 0))-INDEX('UA-normalized'!$E:$E, MATCH($A109, 'UA-normalized'!$A:$A, 0))&gt;0, -(22*INDEX('UA-normalized'!$D:$D, MATCH($A109, 'UA-normalized'!$A:$A, 0))-INDEX('UA-normalized'!$E:$E, MATCH($A109, 'UA-normalized'!$A:$A, 0))), 0), 0))+(IFERROR(IF(22*INDEX('KZ-normalized'!$D:$D, MATCH($A109, 'KZ-normalized'!$A:$A, 0))-INDEX('KZ-normalized'!$E:$E, MATCH($A109, 'KZ-normalized'!$A:$A, 0))&gt;0, -(22*INDEX('KZ-normalized'!$D:$D, MATCH($A109, 'KZ-normalized'!$A:$A, 0))-INDEX('KZ-normalized'!$E:$E, MATCH($A109, 'KZ-normalized'!$A:$A, 0))), 0), 0))+(IFERROR(IF(22*INDEX('UZ-normalized'!$D:$D, MATCH($A109, 'UZ-normalized'!$A:$A, 0))-INDEX('UZ-normalized'!$E:$E, MATCH($A109, 'UZ-normalized'!$A:$A, 0))&gt;0, -(22*INDEX('UZ-normalized'!$D:$D, MATCH($A109, 'UZ-normalized'!$A:$A, 0))-INDEX('UZ-normalized'!$E:$E, MATCH($A109, 'UZ-normalized'!$A:$A, 0))), 0), 0)))</f>
        <v>-543.25</v>
      </c>
      <c r="AK109" s="6">
        <f>MIN(0, N109+(IFERROR(IF(23*INDEX('UA-normalized'!$D:$D, MATCH($A109, 'UA-normalized'!$A:$A, 0))-INDEX('UA-normalized'!$E:$E, MATCH($A109, 'UA-normalized'!$A:$A, 0))&gt;0, -(23*INDEX('UA-normalized'!$D:$D, MATCH($A109, 'UA-normalized'!$A:$A, 0))-INDEX('UA-normalized'!$E:$E, MATCH($A109, 'UA-normalized'!$A:$A, 0))), 0), 0))+(IFERROR(IF(23*INDEX('KZ-normalized'!$D:$D, MATCH($A109, 'KZ-normalized'!$A:$A, 0))-INDEX('KZ-normalized'!$E:$E, MATCH($A109, 'KZ-normalized'!$A:$A, 0))&gt;0, -(23*INDEX('KZ-normalized'!$D:$D, MATCH($A109, 'KZ-normalized'!$A:$A, 0))-INDEX('KZ-normalized'!$E:$E, MATCH($A109, 'KZ-normalized'!$A:$A, 0))), 0), 0))+(IFERROR(IF(23*INDEX('UZ-normalized'!$D:$D, MATCH($A109, 'UZ-normalized'!$A:$A, 0))-INDEX('UZ-normalized'!$E:$E, MATCH($A109, 'UZ-normalized'!$A:$A, 0))&gt;0, -(23*INDEX('UZ-normalized'!$D:$D, MATCH($A109, 'UZ-normalized'!$A:$A, 0))-INDEX('UZ-normalized'!$E:$E, MATCH($A109, 'UZ-normalized'!$A:$A, 0))), 0), 0)))</f>
        <v>-888.25</v>
      </c>
      <c r="AL109" s="6">
        <f>MIN(0, N109+(IFERROR(IF(24*INDEX('UA-normalized'!$D:$D, MATCH($A109, 'UA-normalized'!$A:$A, 0))-INDEX('UA-normalized'!$E:$E, MATCH($A109, 'UA-normalized'!$A:$A, 0))&gt;0, -(24*INDEX('UA-normalized'!$D:$D, MATCH($A109, 'UA-normalized'!$A:$A, 0))-INDEX('UA-normalized'!$E:$E, MATCH($A109, 'UA-normalized'!$A:$A, 0))), 0), 0))+(IFERROR(IF(24*INDEX('KZ-normalized'!$D:$D, MATCH($A109, 'KZ-normalized'!$A:$A, 0))-INDEX('KZ-normalized'!$E:$E, MATCH($A109, 'KZ-normalized'!$A:$A, 0))&gt;0, -(24*INDEX('KZ-normalized'!$D:$D, MATCH($A109, 'KZ-normalized'!$A:$A, 0))-INDEX('KZ-normalized'!$E:$E, MATCH($A109, 'KZ-normalized'!$A:$A, 0))), 0), 0))+(IFERROR(IF(24*INDEX('UZ-normalized'!$D:$D, MATCH($A109, 'UZ-normalized'!$A:$A, 0))-INDEX('UZ-normalized'!$E:$E, MATCH($A109, 'UZ-normalized'!$A:$A, 0))&gt;0, -(24*INDEX('UZ-normalized'!$D:$D, MATCH($A109, 'UZ-normalized'!$A:$A, 0))-INDEX('UZ-normalized'!$E:$E, MATCH($A109, 'UZ-normalized'!$A:$A, 0))), 0), 0)))</f>
        <v>-1233.25</v>
      </c>
      <c r="AM109" s="6">
        <f>MIN(0, N109+(IFERROR(IF(25*INDEX('UA-normalized'!$D:$D, MATCH($A109, 'UA-normalized'!$A:$A, 0))-INDEX('UA-normalized'!$E:$E, MATCH($A109, 'UA-normalized'!$A:$A, 0))&gt;0, -(25*INDEX('UA-normalized'!$D:$D, MATCH($A109, 'UA-normalized'!$A:$A, 0))-INDEX('UA-normalized'!$E:$E, MATCH($A109, 'UA-normalized'!$A:$A, 0))), 0), 0))+(IFERROR(IF(25*INDEX('KZ-normalized'!$D:$D, MATCH($A109, 'KZ-normalized'!$A:$A, 0))-INDEX('KZ-normalized'!$E:$E, MATCH($A109, 'KZ-normalized'!$A:$A, 0))&gt;0, -(25*INDEX('KZ-normalized'!$D:$D, MATCH($A109, 'KZ-normalized'!$A:$A, 0))-INDEX('KZ-normalized'!$E:$E, MATCH($A109, 'KZ-normalized'!$A:$A, 0))), 0), 0))+(IFERROR(IF(25*INDEX('UZ-normalized'!$D:$D, MATCH($A109, 'UZ-normalized'!$A:$A, 0))-INDEX('UZ-normalized'!$E:$E, MATCH($A109, 'UZ-normalized'!$A:$A, 0))&gt;0, -(25*INDEX('UZ-normalized'!$D:$D, MATCH($A109, 'UZ-normalized'!$A:$A, 0))-INDEX('UZ-normalized'!$E:$E, MATCH($A109, 'UZ-normalized'!$A:$A, 0))), 0), 0)))</f>
        <v>-1578.25</v>
      </c>
      <c r="AN109" s="6">
        <f>MIN(0, N109+(IFERROR(IF(26*INDEX('UA-normalized'!$D:$D, MATCH($A109, 'UA-normalized'!$A:$A, 0))-INDEX('UA-normalized'!$E:$E, MATCH($A109, 'UA-normalized'!$A:$A, 0))&gt;0, -(26*INDEX('UA-normalized'!$D:$D, MATCH($A109, 'UA-normalized'!$A:$A, 0))-INDEX('UA-normalized'!$E:$E, MATCH($A109, 'UA-normalized'!$A:$A, 0))), 0), 0))+(IFERROR(IF(26*INDEX('KZ-normalized'!$D:$D, MATCH($A109, 'KZ-normalized'!$A:$A, 0))-INDEX('KZ-normalized'!$E:$E, MATCH($A109, 'KZ-normalized'!$A:$A, 0))&gt;0, -(26*INDEX('KZ-normalized'!$D:$D, MATCH($A109, 'KZ-normalized'!$A:$A, 0))-INDEX('KZ-normalized'!$E:$E, MATCH($A109, 'KZ-normalized'!$A:$A, 0))), 0), 0))+(IFERROR(IF(26*INDEX('UZ-normalized'!$D:$D, MATCH($A109, 'UZ-normalized'!$A:$A, 0))-INDEX('UZ-normalized'!$E:$E, MATCH($A109, 'UZ-normalized'!$A:$A, 0))&gt;0, -(26*INDEX('UZ-normalized'!$D:$D, MATCH($A109, 'UZ-normalized'!$A:$A, 0))-INDEX('UZ-normalized'!$E:$E, MATCH($A109, 'UZ-normalized'!$A:$A, 0))), 0), 0)))</f>
        <v>-1923.25</v>
      </c>
      <c r="AO109" s="6">
        <f>MIN(0, N109+(IFERROR(IF(27*INDEX('UA-normalized'!$D:$D, MATCH($A109, 'UA-normalized'!$A:$A, 0))-INDEX('UA-normalized'!$E:$E, MATCH($A109, 'UA-normalized'!$A:$A, 0))&gt;0, -(27*INDEX('UA-normalized'!$D:$D, MATCH($A109, 'UA-normalized'!$A:$A, 0))-INDEX('UA-normalized'!$E:$E, MATCH($A109, 'UA-normalized'!$A:$A, 0))), 0), 0))+(IFERROR(IF(27*INDEX('KZ-normalized'!$D:$D, MATCH($A109, 'KZ-normalized'!$A:$A, 0))-INDEX('KZ-normalized'!$E:$E, MATCH($A109, 'KZ-normalized'!$A:$A, 0))&gt;0, -(27*INDEX('KZ-normalized'!$D:$D, MATCH($A109, 'KZ-normalized'!$A:$A, 0))-INDEX('KZ-normalized'!$E:$E, MATCH($A109, 'KZ-normalized'!$A:$A, 0))), 0), 0))+(IFERROR(IF(27*INDEX('UZ-normalized'!$D:$D, MATCH($A109, 'UZ-normalized'!$A:$A, 0))-INDEX('UZ-normalized'!$E:$E, MATCH($A109, 'UZ-normalized'!$A:$A, 0))&gt;0, -(27*INDEX('UZ-normalized'!$D:$D, MATCH($A109, 'UZ-normalized'!$A:$A, 0))-INDEX('UZ-normalized'!$E:$E, MATCH($A109, 'UZ-normalized'!$A:$A, 0))), 0), 0)))</f>
        <v>-2268.25</v>
      </c>
      <c r="AP109" s="6">
        <f>MIN(0, N109+(IFERROR(IF(28*INDEX('UA-normalized'!$D:$D, MATCH($A109, 'UA-normalized'!$A:$A, 0))-INDEX('UA-normalized'!$E:$E, MATCH($A109, 'UA-normalized'!$A:$A, 0))&gt;0, -(28*INDEX('UA-normalized'!$D:$D, MATCH($A109, 'UA-normalized'!$A:$A, 0))-INDEX('UA-normalized'!$E:$E, MATCH($A109, 'UA-normalized'!$A:$A, 0))), 0), 0))+(IFERROR(IF(28*INDEX('KZ-normalized'!$D:$D, MATCH($A109, 'KZ-normalized'!$A:$A, 0))-INDEX('KZ-normalized'!$E:$E, MATCH($A109, 'KZ-normalized'!$A:$A, 0))&gt;0, -(28*INDEX('KZ-normalized'!$D:$D, MATCH($A109, 'KZ-normalized'!$A:$A, 0))-INDEX('KZ-normalized'!$E:$E, MATCH($A109, 'KZ-normalized'!$A:$A, 0))), 0), 0))+(IFERROR(IF(28*INDEX('UZ-normalized'!$D:$D, MATCH($A109, 'UZ-normalized'!$A:$A, 0))-INDEX('UZ-normalized'!$E:$E, MATCH($A109, 'UZ-normalized'!$A:$A, 0))&gt;0, -(28*INDEX('UZ-normalized'!$D:$D, MATCH($A109, 'UZ-normalized'!$A:$A, 0))-INDEX('UZ-normalized'!$E:$E, MATCH($A109, 'UZ-normalized'!$A:$A, 0))), 0), 0)))</f>
        <v>-2613.25</v>
      </c>
      <c r="AQ109" s="6">
        <f>MIN(0, N109+(IFERROR(IF(29*INDEX('UA-normalized'!$D:$D, MATCH($A109, 'UA-normalized'!$A:$A, 0))-INDEX('UA-normalized'!$E:$E, MATCH($A109, 'UA-normalized'!$A:$A, 0))&gt;0, -(29*INDEX('UA-normalized'!$D:$D, MATCH($A109, 'UA-normalized'!$A:$A, 0))-INDEX('UA-normalized'!$E:$E, MATCH($A109, 'UA-normalized'!$A:$A, 0))), 0), 0))+(IFERROR(IF(29*INDEX('KZ-normalized'!$D:$D, MATCH($A109, 'KZ-normalized'!$A:$A, 0))-INDEX('KZ-normalized'!$E:$E, MATCH($A109, 'KZ-normalized'!$A:$A, 0))&gt;0, -(29*INDEX('KZ-normalized'!$D:$D, MATCH($A109, 'KZ-normalized'!$A:$A, 0))-INDEX('KZ-normalized'!$E:$E, MATCH($A109, 'KZ-normalized'!$A:$A, 0))), 0), 0))+(IFERROR(IF(29*INDEX('UZ-normalized'!$D:$D, MATCH($A109, 'UZ-normalized'!$A:$A, 0))-INDEX('UZ-normalized'!$E:$E, MATCH($A109, 'UZ-normalized'!$A:$A, 0))&gt;0, -(29*INDEX('UZ-normalized'!$D:$D, MATCH($A109, 'UZ-normalized'!$A:$A, 0))-INDEX('UZ-normalized'!$E:$E, MATCH($A109, 'UZ-normalized'!$A:$A, 0))), 0), 0)))</f>
        <v>-2958.25</v>
      </c>
      <c r="AR109" s="6">
        <f>MIN(0, N109+(IFERROR(IF(30*INDEX('UA-normalized'!$D:$D, MATCH($A109, 'UA-normalized'!$A:$A, 0))-INDEX('UA-normalized'!$E:$E, MATCH($A109, 'UA-normalized'!$A:$A, 0))&gt;0, -(30*INDEX('UA-normalized'!$D:$D, MATCH($A109, 'UA-normalized'!$A:$A, 0))-INDEX('UA-normalized'!$E:$E, MATCH($A109, 'UA-normalized'!$A:$A, 0))), 0), 0))+(IFERROR(IF(30*INDEX('KZ-normalized'!$D:$D, MATCH($A109, 'KZ-normalized'!$A:$A, 0))-INDEX('KZ-normalized'!$E:$E, MATCH($A109, 'KZ-normalized'!$A:$A, 0))&gt;0, -(30*INDEX('KZ-normalized'!$D:$D, MATCH($A109, 'KZ-normalized'!$A:$A, 0))-INDEX('KZ-normalized'!$E:$E, MATCH($A109, 'KZ-normalized'!$A:$A, 0))), 0), 0))+(IFERROR(IF(30*INDEX('UZ-normalized'!$D:$D, MATCH($A109, 'UZ-normalized'!$A:$A, 0))-INDEX('UZ-normalized'!$E:$E, MATCH($A109, 'UZ-normalized'!$A:$A, 0))&gt;0, -(30*INDEX('UZ-normalized'!$D:$D, MATCH($A109, 'UZ-normalized'!$A:$A, 0))-INDEX('UZ-normalized'!$E:$E, MATCH($A109, 'UZ-normalized'!$A:$A, 0))), 0), 0)))</f>
        <v>-3303.25</v>
      </c>
    </row>
    <row r="110" spans="1:44" x14ac:dyDescent="0.25">
      <c r="A110" s="8" t="s">
        <v>272</v>
      </c>
      <c r="B110" s="8" t="s">
        <v>180</v>
      </c>
      <c r="C110" s="8" t="s">
        <v>256</v>
      </c>
      <c r="D110" s="8" t="s">
        <v>273</v>
      </c>
      <c r="N110">
        <f t="shared" si="1"/>
        <v>0</v>
      </c>
      <c r="O110" s="6">
        <f>MIN(0, N110+(IFERROR(IF(1*INDEX('UA-normalized'!$D:$D, MATCH($A110, 'UA-normalized'!$A:$A, 0))-INDEX('UA-normalized'!$E:$E, MATCH($A110, 'UA-normalized'!$A:$A, 0))&gt;0, -(1*INDEX('UA-normalized'!$D:$D, MATCH($A110, 'UA-normalized'!$A:$A, 0))-INDEX('UA-normalized'!$E:$E, MATCH($A110, 'UA-normalized'!$A:$A, 0))), 0), 0))+(IFERROR(IF(1*INDEX('KZ-normalized'!$D:$D, MATCH($A110, 'KZ-normalized'!$A:$A, 0))-INDEX('KZ-normalized'!$E:$E, MATCH($A110, 'KZ-normalized'!$A:$A, 0))&gt;0, -(1*INDEX('KZ-normalized'!$D:$D, MATCH($A110, 'KZ-normalized'!$A:$A, 0))-INDEX('KZ-normalized'!$E:$E, MATCH($A110, 'KZ-normalized'!$A:$A, 0))), 0), 0))+(IFERROR(IF(1*INDEX('UZ-normalized'!$D:$D, MATCH($A110, 'UZ-normalized'!$A:$A, 0))-INDEX('UZ-normalized'!$E:$E, MATCH($A110, 'UZ-normalized'!$A:$A, 0))&gt;0, -(1*INDEX('UZ-normalized'!$D:$D, MATCH($A110, 'UZ-normalized'!$A:$A, 0))-INDEX('UZ-normalized'!$E:$E, MATCH($A110, 'UZ-normalized'!$A:$A, 0))), 0), 0)))</f>
        <v>0</v>
      </c>
      <c r="P110" s="6">
        <f>MIN(0, N110+(IFERROR(IF(2*INDEX('UA-normalized'!$D:$D, MATCH($A110, 'UA-normalized'!$A:$A, 0))-INDEX('UA-normalized'!$E:$E, MATCH($A110, 'UA-normalized'!$A:$A, 0))&gt;0, -(2*INDEX('UA-normalized'!$D:$D, MATCH($A110, 'UA-normalized'!$A:$A, 0))-INDEX('UA-normalized'!$E:$E, MATCH($A110, 'UA-normalized'!$A:$A, 0))), 0), 0))+(IFERROR(IF(2*INDEX('KZ-normalized'!$D:$D, MATCH($A110, 'KZ-normalized'!$A:$A, 0))-INDEX('KZ-normalized'!$E:$E, MATCH($A110, 'KZ-normalized'!$A:$A, 0))&gt;0, -(2*INDEX('KZ-normalized'!$D:$D, MATCH($A110, 'KZ-normalized'!$A:$A, 0))-INDEX('KZ-normalized'!$E:$E, MATCH($A110, 'KZ-normalized'!$A:$A, 0))), 0), 0))+(IFERROR(IF(2*INDEX('UZ-normalized'!$D:$D, MATCH($A110, 'UZ-normalized'!$A:$A, 0))-INDEX('UZ-normalized'!$E:$E, MATCH($A110, 'UZ-normalized'!$A:$A, 0))&gt;0, -(2*INDEX('UZ-normalized'!$D:$D, MATCH($A110, 'UZ-normalized'!$A:$A, 0))-INDEX('UZ-normalized'!$E:$E, MATCH($A110, 'UZ-normalized'!$A:$A, 0))), 0), 0)))</f>
        <v>0</v>
      </c>
      <c r="Q110" s="6">
        <f>MIN(0, N110+(IFERROR(IF(3*INDEX('UA-normalized'!$D:$D, MATCH($A110, 'UA-normalized'!$A:$A, 0))-INDEX('UA-normalized'!$E:$E, MATCH($A110, 'UA-normalized'!$A:$A, 0))&gt;0, -(3*INDEX('UA-normalized'!$D:$D, MATCH($A110, 'UA-normalized'!$A:$A, 0))-INDEX('UA-normalized'!$E:$E, MATCH($A110, 'UA-normalized'!$A:$A, 0))), 0), 0))+(IFERROR(IF(3*INDEX('KZ-normalized'!$D:$D, MATCH($A110, 'KZ-normalized'!$A:$A, 0))-INDEX('KZ-normalized'!$E:$E, MATCH($A110, 'KZ-normalized'!$A:$A, 0))&gt;0, -(3*INDEX('KZ-normalized'!$D:$D, MATCH($A110, 'KZ-normalized'!$A:$A, 0))-INDEX('KZ-normalized'!$E:$E, MATCH($A110, 'KZ-normalized'!$A:$A, 0))), 0), 0))+(IFERROR(IF(3*INDEX('UZ-normalized'!$D:$D, MATCH($A110, 'UZ-normalized'!$A:$A, 0))-INDEX('UZ-normalized'!$E:$E, MATCH($A110, 'UZ-normalized'!$A:$A, 0))&gt;0, -(3*INDEX('UZ-normalized'!$D:$D, MATCH($A110, 'UZ-normalized'!$A:$A, 0))-INDEX('UZ-normalized'!$E:$E, MATCH($A110, 'UZ-normalized'!$A:$A, 0))), 0), 0)))</f>
        <v>0</v>
      </c>
      <c r="R110" s="6">
        <f>MIN(0, N110+(IFERROR(IF(4*INDEX('UA-normalized'!$D:$D, MATCH($A110, 'UA-normalized'!$A:$A, 0))-INDEX('UA-normalized'!$E:$E, MATCH($A110, 'UA-normalized'!$A:$A, 0))&gt;0, -(4*INDEX('UA-normalized'!$D:$D, MATCH($A110, 'UA-normalized'!$A:$A, 0))-INDEX('UA-normalized'!$E:$E, MATCH($A110, 'UA-normalized'!$A:$A, 0))), 0), 0))+(IFERROR(IF(4*INDEX('KZ-normalized'!$D:$D, MATCH($A110, 'KZ-normalized'!$A:$A, 0))-INDEX('KZ-normalized'!$E:$E, MATCH($A110, 'KZ-normalized'!$A:$A, 0))&gt;0, -(4*INDEX('KZ-normalized'!$D:$D, MATCH($A110, 'KZ-normalized'!$A:$A, 0))-INDEX('KZ-normalized'!$E:$E, MATCH($A110, 'KZ-normalized'!$A:$A, 0))), 0), 0))+(IFERROR(IF(4*INDEX('UZ-normalized'!$D:$D, MATCH($A110, 'UZ-normalized'!$A:$A, 0))-INDEX('UZ-normalized'!$E:$E, MATCH($A110, 'UZ-normalized'!$A:$A, 0))&gt;0, -(4*INDEX('UZ-normalized'!$D:$D, MATCH($A110, 'UZ-normalized'!$A:$A, 0))-INDEX('UZ-normalized'!$E:$E, MATCH($A110, 'UZ-normalized'!$A:$A, 0))), 0), 0)))</f>
        <v>0</v>
      </c>
      <c r="S110" s="6">
        <f>MIN(0, N110+(IFERROR(IF(5*INDEX('UA-normalized'!$D:$D, MATCH($A110, 'UA-normalized'!$A:$A, 0))-INDEX('UA-normalized'!$E:$E, MATCH($A110, 'UA-normalized'!$A:$A, 0))&gt;0, -(5*INDEX('UA-normalized'!$D:$D, MATCH($A110, 'UA-normalized'!$A:$A, 0))-INDEX('UA-normalized'!$E:$E, MATCH($A110, 'UA-normalized'!$A:$A, 0))), 0), 0))+(IFERROR(IF(5*INDEX('KZ-normalized'!$D:$D, MATCH($A110, 'KZ-normalized'!$A:$A, 0))-INDEX('KZ-normalized'!$E:$E, MATCH($A110, 'KZ-normalized'!$A:$A, 0))&gt;0, -(5*INDEX('KZ-normalized'!$D:$D, MATCH($A110, 'KZ-normalized'!$A:$A, 0))-INDEX('KZ-normalized'!$E:$E, MATCH($A110, 'KZ-normalized'!$A:$A, 0))), 0), 0))+(IFERROR(IF(5*INDEX('UZ-normalized'!$D:$D, MATCH($A110, 'UZ-normalized'!$A:$A, 0))-INDEX('UZ-normalized'!$E:$E, MATCH($A110, 'UZ-normalized'!$A:$A, 0))&gt;0, -(5*INDEX('UZ-normalized'!$D:$D, MATCH($A110, 'UZ-normalized'!$A:$A, 0))-INDEX('UZ-normalized'!$E:$E, MATCH($A110, 'UZ-normalized'!$A:$A, 0))), 0), 0)))</f>
        <v>0</v>
      </c>
      <c r="T110" s="6">
        <f>MIN(0, N110+(IFERROR(IF(6*INDEX('UA-normalized'!$D:$D, MATCH($A110, 'UA-normalized'!$A:$A, 0))-INDEX('UA-normalized'!$E:$E, MATCH($A110, 'UA-normalized'!$A:$A, 0))&gt;0, -(6*INDEX('UA-normalized'!$D:$D, MATCH($A110, 'UA-normalized'!$A:$A, 0))-INDEX('UA-normalized'!$E:$E, MATCH($A110, 'UA-normalized'!$A:$A, 0))), 0), 0))+(IFERROR(IF(6*INDEX('KZ-normalized'!$D:$D, MATCH($A110, 'KZ-normalized'!$A:$A, 0))-INDEX('KZ-normalized'!$E:$E, MATCH($A110, 'KZ-normalized'!$A:$A, 0))&gt;0, -(6*INDEX('KZ-normalized'!$D:$D, MATCH($A110, 'KZ-normalized'!$A:$A, 0))-INDEX('KZ-normalized'!$E:$E, MATCH($A110, 'KZ-normalized'!$A:$A, 0))), 0), 0))+(IFERROR(IF(6*INDEX('UZ-normalized'!$D:$D, MATCH($A110, 'UZ-normalized'!$A:$A, 0))-INDEX('UZ-normalized'!$E:$E, MATCH($A110, 'UZ-normalized'!$A:$A, 0))&gt;0, -(6*INDEX('UZ-normalized'!$D:$D, MATCH($A110, 'UZ-normalized'!$A:$A, 0))-INDEX('UZ-normalized'!$E:$E, MATCH($A110, 'UZ-normalized'!$A:$A, 0))), 0), 0)))</f>
        <v>0</v>
      </c>
      <c r="U110" s="6">
        <f>MIN(0, N110+(IFERROR(IF(7*INDEX('UA-normalized'!$D:$D, MATCH($A110, 'UA-normalized'!$A:$A, 0))-INDEX('UA-normalized'!$E:$E, MATCH($A110, 'UA-normalized'!$A:$A, 0))&gt;0, -(7*INDEX('UA-normalized'!$D:$D, MATCH($A110, 'UA-normalized'!$A:$A, 0))-INDEX('UA-normalized'!$E:$E, MATCH($A110, 'UA-normalized'!$A:$A, 0))), 0), 0))+(IFERROR(IF(7*INDEX('KZ-normalized'!$D:$D, MATCH($A110, 'KZ-normalized'!$A:$A, 0))-INDEX('KZ-normalized'!$E:$E, MATCH($A110, 'KZ-normalized'!$A:$A, 0))&gt;0, -(7*INDEX('KZ-normalized'!$D:$D, MATCH($A110, 'KZ-normalized'!$A:$A, 0))-INDEX('KZ-normalized'!$E:$E, MATCH($A110, 'KZ-normalized'!$A:$A, 0))), 0), 0))+(IFERROR(IF(7*INDEX('UZ-normalized'!$D:$D, MATCH($A110, 'UZ-normalized'!$A:$A, 0))-INDEX('UZ-normalized'!$E:$E, MATCH($A110, 'UZ-normalized'!$A:$A, 0))&gt;0, -(7*INDEX('UZ-normalized'!$D:$D, MATCH($A110, 'UZ-normalized'!$A:$A, 0))-INDEX('UZ-normalized'!$E:$E, MATCH($A110, 'UZ-normalized'!$A:$A, 0))), 0), 0)))</f>
        <v>0</v>
      </c>
      <c r="V110" s="6">
        <f>MIN(0, N110+(IFERROR(IF(8*INDEX('UA-normalized'!$D:$D, MATCH($A110, 'UA-normalized'!$A:$A, 0))-INDEX('UA-normalized'!$E:$E, MATCH($A110, 'UA-normalized'!$A:$A, 0))&gt;0, -(8*INDEX('UA-normalized'!$D:$D, MATCH($A110, 'UA-normalized'!$A:$A, 0))-INDEX('UA-normalized'!$E:$E, MATCH($A110, 'UA-normalized'!$A:$A, 0))), 0), 0))+(IFERROR(IF(8*INDEX('KZ-normalized'!$D:$D, MATCH($A110, 'KZ-normalized'!$A:$A, 0))-INDEX('KZ-normalized'!$E:$E, MATCH($A110, 'KZ-normalized'!$A:$A, 0))&gt;0, -(8*INDEX('KZ-normalized'!$D:$D, MATCH($A110, 'KZ-normalized'!$A:$A, 0))-INDEX('KZ-normalized'!$E:$E, MATCH($A110, 'KZ-normalized'!$A:$A, 0))), 0), 0))+(IFERROR(IF(8*INDEX('UZ-normalized'!$D:$D, MATCH($A110, 'UZ-normalized'!$A:$A, 0))-INDEX('UZ-normalized'!$E:$E, MATCH($A110, 'UZ-normalized'!$A:$A, 0))&gt;0, -(8*INDEX('UZ-normalized'!$D:$D, MATCH($A110, 'UZ-normalized'!$A:$A, 0))-INDEX('UZ-normalized'!$E:$E, MATCH($A110, 'UZ-normalized'!$A:$A, 0))), 0), 0)))</f>
        <v>0</v>
      </c>
      <c r="W110" s="6">
        <f>MIN(0, N110+(IFERROR(IF(9*INDEX('UA-normalized'!$D:$D, MATCH($A110, 'UA-normalized'!$A:$A, 0))-INDEX('UA-normalized'!$E:$E, MATCH($A110, 'UA-normalized'!$A:$A, 0))&gt;0, -(9*INDEX('UA-normalized'!$D:$D, MATCH($A110, 'UA-normalized'!$A:$A, 0))-INDEX('UA-normalized'!$E:$E, MATCH($A110, 'UA-normalized'!$A:$A, 0))), 0), 0))+(IFERROR(IF(9*INDEX('KZ-normalized'!$D:$D, MATCH($A110, 'KZ-normalized'!$A:$A, 0))-INDEX('KZ-normalized'!$E:$E, MATCH($A110, 'KZ-normalized'!$A:$A, 0))&gt;0, -(9*INDEX('KZ-normalized'!$D:$D, MATCH($A110, 'KZ-normalized'!$A:$A, 0))-INDEX('KZ-normalized'!$E:$E, MATCH($A110, 'KZ-normalized'!$A:$A, 0))), 0), 0))+(IFERROR(IF(9*INDEX('UZ-normalized'!$D:$D, MATCH($A110, 'UZ-normalized'!$A:$A, 0))-INDEX('UZ-normalized'!$E:$E, MATCH($A110, 'UZ-normalized'!$A:$A, 0))&gt;0, -(9*INDEX('UZ-normalized'!$D:$D, MATCH($A110, 'UZ-normalized'!$A:$A, 0))-INDEX('UZ-normalized'!$E:$E, MATCH($A110, 'UZ-normalized'!$A:$A, 0))), 0), 0)))</f>
        <v>0</v>
      </c>
      <c r="X110" s="6">
        <f>MIN(0, N110+(IFERROR(IF(10*INDEX('UA-normalized'!$D:$D, MATCH($A110, 'UA-normalized'!$A:$A, 0))-INDEX('UA-normalized'!$E:$E, MATCH($A110, 'UA-normalized'!$A:$A, 0))&gt;0, -(10*INDEX('UA-normalized'!$D:$D, MATCH($A110, 'UA-normalized'!$A:$A, 0))-INDEX('UA-normalized'!$E:$E, MATCH($A110, 'UA-normalized'!$A:$A, 0))), 0), 0))+(IFERROR(IF(10*INDEX('KZ-normalized'!$D:$D, MATCH($A110, 'KZ-normalized'!$A:$A, 0))-INDEX('KZ-normalized'!$E:$E, MATCH($A110, 'KZ-normalized'!$A:$A, 0))&gt;0, -(10*INDEX('KZ-normalized'!$D:$D, MATCH($A110, 'KZ-normalized'!$A:$A, 0))-INDEX('KZ-normalized'!$E:$E, MATCH($A110, 'KZ-normalized'!$A:$A, 0))), 0), 0))+(IFERROR(IF(10*INDEX('UZ-normalized'!$D:$D, MATCH($A110, 'UZ-normalized'!$A:$A, 0))-INDEX('UZ-normalized'!$E:$E, MATCH($A110, 'UZ-normalized'!$A:$A, 0))&gt;0, -(10*INDEX('UZ-normalized'!$D:$D, MATCH($A110, 'UZ-normalized'!$A:$A, 0))-INDEX('UZ-normalized'!$E:$E, MATCH($A110, 'UZ-normalized'!$A:$A, 0))), 0), 0)))</f>
        <v>0</v>
      </c>
      <c r="Y110" s="6">
        <f>MIN(0, N110+(IFERROR(IF(11*INDEX('UA-normalized'!$D:$D, MATCH($A110, 'UA-normalized'!$A:$A, 0))-INDEX('UA-normalized'!$E:$E, MATCH($A110, 'UA-normalized'!$A:$A, 0))&gt;0, -(11*INDEX('UA-normalized'!$D:$D, MATCH($A110, 'UA-normalized'!$A:$A, 0))-INDEX('UA-normalized'!$E:$E, MATCH($A110, 'UA-normalized'!$A:$A, 0))), 0), 0))+(IFERROR(IF(11*INDEX('KZ-normalized'!$D:$D, MATCH($A110, 'KZ-normalized'!$A:$A, 0))-INDEX('KZ-normalized'!$E:$E, MATCH($A110, 'KZ-normalized'!$A:$A, 0))&gt;0, -(11*INDEX('KZ-normalized'!$D:$D, MATCH($A110, 'KZ-normalized'!$A:$A, 0))-INDEX('KZ-normalized'!$E:$E, MATCH($A110, 'KZ-normalized'!$A:$A, 0))), 0), 0))+(IFERROR(IF(11*INDEX('UZ-normalized'!$D:$D, MATCH($A110, 'UZ-normalized'!$A:$A, 0))-INDEX('UZ-normalized'!$E:$E, MATCH($A110, 'UZ-normalized'!$A:$A, 0))&gt;0, -(11*INDEX('UZ-normalized'!$D:$D, MATCH($A110, 'UZ-normalized'!$A:$A, 0))-INDEX('UZ-normalized'!$E:$E, MATCH($A110, 'UZ-normalized'!$A:$A, 0))), 0), 0)))</f>
        <v>0</v>
      </c>
      <c r="Z110" s="6">
        <f>MIN(0, N110+(IFERROR(IF(12*INDEX('UA-normalized'!$D:$D, MATCH($A110, 'UA-normalized'!$A:$A, 0))-INDEX('UA-normalized'!$E:$E, MATCH($A110, 'UA-normalized'!$A:$A, 0))&gt;0, -(12*INDEX('UA-normalized'!$D:$D, MATCH($A110, 'UA-normalized'!$A:$A, 0))-INDEX('UA-normalized'!$E:$E, MATCH($A110, 'UA-normalized'!$A:$A, 0))), 0), 0))+(IFERROR(IF(12*INDEX('KZ-normalized'!$D:$D, MATCH($A110, 'KZ-normalized'!$A:$A, 0))-INDEX('KZ-normalized'!$E:$E, MATCH($A110, 'KZ-normalized'!$A:$A, 0))&gt;0, -(12*INDEX('KZ-normalized'!$D:$D, MATCH($A110, 'KZ-normalized'!$A:$A, 0))-INDEX('KZ-normalized'!$E:$E, MATCH($A110, 'KZ-normalized'!$A:$A, 0))), 0), 0))+(IFERROR(IF(12*INDEX('UZ-normalized'!$D:$D, MATCH($A110, 'UZ-normalized'!$A:$A, 0))-INDEX('UZ-normalized'!$E:$E, MATCH($A110, 'UZ-normalized'!$A:$A, 0))&gt;0, -(12*INDEX('UZ-normalized'!$D:$D, MATCH($A110, 'UZ-normalized'!$A:$A, 0))-INDEX('UZ-normalized'!$E:$E, MATCH($A110, 'UZ-normalized'!$A:$A, 0))), 0), 0)))</f>
        <v>0</v>
      </c>
      <c r="AA110" s="6">
        <f>MIN(0, N110+(IFERROR(IF(13*INDEX('UA-normalized'!$D:$D, MATCH($A110, 'UA-normalized'!$A:$A, 0))-INDEX('UA-normalized'!$E:$E, MATCH($A110, 'UA-normalized'!$A:$A, 0))&gt;0, -(13*INDEX('UA-normalized'!$D:$D, MATCH($A110, 'UA-normalized'!$A:$A, 0))-INDEX('UA-normalized'!$E:$E, MATCH($A110, 'UA-normalized'!$A:$A, 0))), 0), 0))+(IFERROR(IF(13*INDEX('KZ-normalized'!$D:$D, MATCH($A110, 'KZ-normalized'!$A:$A, 0))-INDEX('KZ-normalized'!$E:$E, MATCH($A110, 'KZ-normalized'!$A:$A, 0))&gt;0, -(13*INDEX('KZ-normalized'!$D:$D, MATCH($A110, 'KZ-normalized'!$A:$A, 0))-INDEX('KZ-normalized'!$E:$E, MATCH($A110, 'KZ-normalized'!$A:$A, 0))), 0), 0))+(IFERROR(IF(13*INDEX('UZ-normalized'!$D:$D, MATCH($A110, 'UZ-normalized'!$A:$A, 0))-INDEX('UZ-normalized'!$E:$E, MATCH($A110, 'UZ-normalized'!$A:$A, 0))&gt;0, -(13*INDEX('UZ-normalized'!$D:$D, MATCH($A110, 'UZ-normalized'!$A:$A, 0))-INDEX('UZ-normalized'!$E:$E, MATCH($A110, 'UZ-normalized'!$A:$A, 0))), 0), 0)))</f>
        <v>0</v>
      </c>
      <c r="AB110" s="6">
        <f>MIN(0, N110+(IFERROR(IF(14*INDEX('UA-normalized'!$D:$D, MATCH($A110, 'UA-normalized'!$A:$A, 0))-INDEX('UA-normalized'!$E:$E, MATCH($A110, 'UA-normalized'!$A:$A, 0))&gt;0, -(14*INDEX('UA-normalized'!$D:$D, MATCH($A110, 'UA-normalized'!$A:$A, 0))-INDEX('UA-normalized'!$E:$E, MATCH($A110, 'UA-normalized'!$A:$A, 0))), 0), 0))+(IFERROR(IF(14*INDEX('KZ-normalized'!$D:$D, MATCH($A110, 'KZ-normalized'!$A:$A, 0))-INDEX('KZ-normalized'!$E:$E, MATCH($A110, 'KZ-normalized'!$A:$A, 0))&gt;0, -(14*INDEX('KZ-normalized'!$D:$D, MATCH($A110, 'KZ-normalized'!$A:$A, 0))-INDEX('KZ-normalized'!$E:$E, MATCH($A110, 'KZ-normalized'!$A:$A, 0))), 0), 0))+(IFERROR(IF(14*INDEX('UZ-normalized'!$D:$D, MATCH($A110, 'UZ-normalized'!$A:$A, 0))-INDEX('UZ-normalized'!$E:$E, MATCH($A110, 'UZ-normalized'!$A:$A, 0))&gt;0, -(14*INDEX('UZ-normalized'!$D:$D, MATCH($A110, 'UZ-normalized'!$A:$A, 0))-INDEX('UZ-normalized'!$E:$E, MATCH($A110, 'UZ-normalized'!$A:$A, 0))), 0), 0)))</f>
        <v>0</v>
      </c>
      <c r="AC110" s="6">
        <f>MIN(0, N110+(IFERROR(IF(15*INDEX('UA-normalized'!$D:$D, MATCH($A110, 'UA-normalized'!$A:$A, 0))-INDEX('UA-normalized'!$E:$E, MATCH($A110, 'UA-normalized'!$A:$A, 0))&gt;0, -(15*INDEX('UA-normalized'!$D:$D, MATCH($A110, 'UA-normalized'!$A:$A, 0))-INDEX('UA-normalized'!$E:$E, MATCH($A110, 'UA-normalized'!$A:$A, 0))), 0), 0))+(IFERROR(IF(15*INDEX('KZ-normalized'!$D:$D, MATCH($A110, 'KZ-normalized'!$A:$A, 0))-INDEX('KZ-normalized'!$E:$E, MATCH($A110, 'KZ-normalized'!$A:$A, 0))&gt;0, -(15*INDEX('KZ-normalized'!$D:$D, MATCH($A110, 'KZ-normalized'!$A:$A, 0))-INDEX('KZ-normalized'!$E:$E, MATCH($A110, 'KZ-normalized'!$A:$A, 0))), 0), 0))+(IFERROR(IF(15*INDEX('UZ-normalized'!$D:$D, MATCH($A110, 'UZ-normalized'!$A:$A, 0))-INDEX('UZ-normalized'!$E:$E, MATCH($A110, 'UZ-normalized'!$A:$A, 0))&gt;0, -(15*INDEX('UZ-normalized'!$D:$D, MATCH($A110, 'UZ-normalized'!$A:$A, 0))-INDEX('UZ-normalized'!$E:$E, MATCH($A110, 'UZ-normalized'!$A:$A, 0))), 0), 0)))</f>
        <v>0</v>
      </c>
      <c r="AD110" s="6">
        <f>MIN(0, N110+(IFERROR(IF(16*INDEX('UA-normalized'!$D:$D, MATCH($A110, 'UA-normalized'!$A:$A, 0))-INDEX('UA-normalized'!$E:$E, MATCH($A110, 'UA-normalized'!$A:$A, 0))&gt;0, -(16*INDEX('UA-normalized'!$D:$D, MATCH($A110, 'UA-normalized'!$A:$A, 0))-INDEX('UA-normalized'!$E:$E, MATCH($A110, 'UA-normalized'!$A:$A, 0))), 0), 0))+(IFERROR(IF(16*INDEX('KZ-normalized'!$D:$D, MATCH($A110, 'KZ-normalized'!$A:$A, 0))-INDEX('KZ-normalized'!$E:$E, MATCH($A110, 'KZ-normalized'!$A:$A, 0))&gt;0, -(16*INDEX('KZ-normalized'!$D:$D, MATCH($A110, 'KZ-normalized'!$A:$A, 0))-INDEX('KZ-normalized'!$E:$E, MATCH($A110, 'KZ-normalized'!$A:$A, 0))), 0), 0))+(IFERROR(IF(16*INDEX('UZ-normalized'!$D:$D, MATCH($A110, 'UZ-normalized'!$A:$A, 0))-INDEX('UZ-normalized'!$E:$E, MATCH($A110, 'UZ-normalized'!$A:$A, 0))&gt;0, -(16*INDEX('UZ-normalized'!$D:$D, MATCH($A110, 'UZ-normalized'!$A:$A, 0))-INDEX('UZ-normalized'!$E:$E, MATCH($A110, 'UZ-normalized'!$A:$A, 0))), 0), 0)))</f>
        <v>0</v>
      </c>
      <c r="AE110" s="6">
        <f>MIN(0, N110+(IFERROR(IF(17*INDEX('UA-normalized'!$D:$D, MATCH($A110, 'UA-normalized'!$A:$A, 0))-INDEX('UA-normalized'!$E:$E, MATCH($A110, 'UA-normalized'!$A:$A, 0))&gt;0, -(17*INDEX('UA-normalized'!$D:$D, MATCH($A110, 'UA-normalized'!$A:$A, 0))-INDEX('UA-normalized'!$E:$E, MATCH($A110, 'UA-normalized'!$A:$A, 0))), 0), 0))+(IFERROR(IF(17*INDEX('KZ-normalized'!$D:$D, MATCH($A110, 'KZ-normalized'!$A:$A, 0))-INDEX('KZ-normalized'!$E:$E, MATCH($A110, 'KZ-normalized'!$A:$A, 0))&gt;0, -(17*INDEX('KZ-normalized'!$D:$D, MATCH($A110, 'KZ-normalized'!$A:$A, 0))-INDEX('KZ-normalized'!$E:$E, MATCH($A110, 'KZ-normalized'!$A:$A, 0))), 0), 0))+(IFERROR(IF(17*INDEX('UZ-normalized'!$D:$D, MATCH($A110, 'UZ-normalized'!$A:$A, 0))-INDEX('UZ-normalized'!$E:$E, MATCH($A110, 'UZ-normalized'!$A:$A, 0))&gt;0, -(17*INDEX('UZ-normalized'!$D:$D, MATCH($A110, 'UZ-normalized'!$A:$A, 0))-INDEX('UZ-normalized'!$E:$E, MATCH($A110, 'UZ-normalized'!$A:$A, 0))), 0), 0)))</f>
        <v>0</v>
      </c>
      <c r="AF110" s="6">
        <f>MIN(0, N110+(IFERROR(IF(18*INDEX('UA-normalized'!$D:$D, MATCH($A110, 'UA-normalized'!$A:$A, 0))-INDEX('UA-normalized'!$E:$E, MATCH($A110, 'UA-normalized'!$A:$A, 0))&gt;0, -(18*INDEX('UA-normalized'!$D:$D, MATCH($A110, 'UA-normalized'!$A:$A, 0))-INDEX('UA-normalized'!$E:$E, MATCH($A110, 'UA-normalized'!$A:$A, 0))), 0), 0))+(IFERROR(IF(18*INDEX('KZ-normalized'!$D:$D, MATCH($A110, 'KZ-normalized'!$A:$A, 0))-INDEX('KZ-normalized'!$E:$E, MATCH($A110, 'KZ-normalized'!$A:$A, 0))&gt;0, -(18*INDEX('KZ-normalized'!$D:$D, MATCH($A110, 'KZ-normalized'!$A:$A, 0))-INDEX('KZ-normalized'!$E:$E, MATCH($A110, 'KZ-normalized'!$A:$A, 0))), 0), 0))+(IFERROR(IF(18*INDEX('UZ-normalized'!$D:$D, MATCH($A110, 'UZ-normalized'!$A:$A, 0))-INDEX('UZ-normalized'!$E:$E, MATCH($A110, 'UZ-normalized'!$A:$A, 0))&gt;0, -(18*INDEX('UZ-normalized'!$D:$D, MATCH($A110, 'UZ-normalized'!$A:$A, 0))-INDEX('UZ-normalized'!$E:$E, MATCH($A110, 'UZ-normalized'!$A:$A, 0))), 0), 0)))</f>
        <v>0</v>
      </c>
      <c r="AG110" s="6">
        <f>MIN(0, N110+(IFERROR(IF(19*INDEX('UA-normalized'!$D:$D, MATCH($A110, 'UA-normalized'!$A:$A, 0))-INDEX('UA-normalized'!$E:$E, MATCH($A110, 'UA-normalized'!$A:$A, 0))&gt;0, -(19*INDEX('UA-normalized'!$D:$D, MATCH($A110, 'UA-normalized'!$A:$A, 0))-INDEX('UA-normalized'!$E:$E, MATCH($A110, 'UA-normalized'!$A:$A, 0))), 0), 0))+(IFERROR(IF(19*INDEX('KZ-normalized'!$D:$D, MATCH($A110, 'KZ-normalized'!$A:$A, 0))-INDEX('KZ-normalized'!$E:$E, MATCH($A110, 'KZ-normalized'!$A:$A, 0))&gt;0, -(19*INDEX('KZ-normalized'!$D:$D, MATCH($A110, 'KZ-normalized'!$A:$A, 0))-INDEX('KZ-normalized'!$E:$E, MATCH($A110, 'KZ-normalized'!$A:$A, 0))), 0), 0))+(IFERROR(IF(19*INDEX('UZ-normalized'!$D:$D, MATCH($A110, 'UZ-normalized'!$A:$A, 0))-INDEX('UZ-normalized'!$E:$E, MATCH($A110, 'UZ-normalized'!$A:$A, 0))&gt;0, -(19*INDEX('UZ-normalized'!$D:$D, MATCH($A110, 'UZ-normalized'!$A:$A, 0))-INDEX('UZ-normalized'!$E:$E, MATCH($A110, 'UZ-normalized'!$A:$A, 0))), 0), 0)))</f>
        <v>0</v>
      </c>
      <c r="AH110" s="6">
        <f>MIN(0, N110+(IFERROR(IF(20*INDEX('UA-normalized'!$D:$D, MATCH($A110, 'UA-normalized'!$A:$A, 0))-INDEX('UA-normalized'!$E:$E, MATCH($A110, 'UA-normalized'!$A:$A, 0))&gt;0, -(20*INDEX('UA-normalized'!$D:$D, MATCH($A110, 'UA-normalized'!$A:$A, 0))-INDEX('UA-normalized'!$E:$E, MATCH($A110, 'UA-normalized'!$A:$A, 0))), 0), 0))+(IFERROR(IF(20*INDEX('KZ-normalized'!$D:$D, MATCH($A110, 'KZ-normalized'!$A:$A, 0))-INDEX('KZ-normalized'!$E:$E, MATCH($A110, 'KZ-normalized'!$A:$A, 0))&gt;0, -(20*INDEX('KZ-normalized'!$D:$D, MATCH($A110, 'KZ-normalized'!$A:$A, 0))-INDEX('KZ-normalized'!$E:$E, MATCH($A110, 'KZ-normalized'!$A:$A, 0))), 0), 0))+(IFERROR(IF(20*INDEX('UZ-normalized'!$D:$D, MATCH($A110, 'UZ-normalized'!$A:$A, 0))-INDEX('UZ-normalized'!$E:$E, MATCH($A110, 'UZ-normalized'!$A:$A, 0))&gt;0, -(20*INDEX('UZ-normalized'!$D:$D, MATCH($A110, 'UZ-normalized'!$A:$A, 0))-INDEX('UZ-normalized'!$E:$E, MATCH($A110, 'UZ-normalized'!$A:$A, 0))), 0), 0)))</f>
        <v>0</v>
      </c>
      <c r="AI110" s="6">
        <f>MIN(0, N110+(IFERROR(IF(21*INDEX('UA-normalized'!$D:$D, MATCH($A110, 'UA-normalized'!$A:$A, 0))-INDEX('UA-normalized'!$E:$E, MATCH($A110, 'UA-normalized'!$A:$A, 0))&gt;0, -(21*INDEX('UA-normalized'!$D:$D, MATCH($A110, 'UA-normalized'!$A:$A, 0))-INDEX('UA-normalized'!$E:$E, MATCH($A110, 'UA-normalized'!$A:$A, 0))), 0), 0))+(IFERROR(IF(21*INDEX('KZ-normalized'!$D:$D, MATCH($A110, 'KZ-normalized'!$A:$A, 0))-INDEX('KZ-normalized'!$E:$E, MATCH($A110, 'KZ-normalized'!$A:$A, 0))&gt;0, -(21*INDEX('KZ-normalized'!$D:$D, MATCH($A110, 'KZ-normalized'!$A:$A, 0))-INDEX('KZ-normalized'!$E:$E, MATCH($A110, 'KZ-normalized'!$A:$A, 0))), 0), 0))+(IFERROR(IF(21*INDEX('UZ-normalized'!$D:$D, MATCH($A110, 'UZ-normalized'!$A:$A, 0))-INDEX('UZ-normalized'!$E:$E, MATCH($A110, 'UZ-normalized'!$A:$A, 0))&gt;0, -(21*INDEX('UZ-normalized'!$D:$D, MATCH($A110, 'UZ-normalized'!$A:$A, 0))-INDEX('UZ-normalized'!$E:$E, MATCH($A110, 'UZ-normalized'!$A:$A, 0))), 0), 0)))</f>
        <v>0</v>
      </c>
      <c r="AJ110" s="6">
        <f>MIN(0, N110+(IFERROR(IF(22*INDEX('UA-normalized'!$D:$D, MATCH($A110, 'UA-normalized'!$A:$A, 0))-INDEX('UA-normalized'!$E:$E, MATCH($A110, 'UA-normalized'!$A:$A, 0))&gt;0, -(22*INDEX('UA-normalized'!$D:$D, MATCH($A110, 'UA-normalized'!$A:$A, 0))-INDEX('UA-normalized'!$E:$E, MATCH($A110, 'UA-normalized'!$A:$A, 0))), 0), 0))+(IFERROR(IF(22*INDEX('KZ-normalized'!$D:$D, MATCH($A110, 'KZ-normalized'!$A:$A, 0))-INDEX('KZ-normalized'!$E:$E, MATCH($A110, 'KZ-normalized'!$A:$A, 0))&gt;0, -(22*INDEX('KZ-normalized'!$D:$D, MATCH($A110, 'KZ-normalized'!$A:$A, 0))-INDEX('KZ-normalized'!$E:$E, MATCH($A110, 'KZ-normalized'!$A:$A, 0))), 0), 0))+(IFERROR(IF(22*INDEX('UZ-normalized'!$D:$D, MATCH($A110, 'UZ-normalized'!$A:$A, 0))-INDEX('UZ-normalized'!$E:$E, MATCH($A110, 'UZ-normalized'!$A:$A, 0))&gt;0, -(22*INDEX('UZ-normalized'!$D:$D, MATCH($A110, 'UZ-normalized'!$A:$A, 0))-INDEX('UZ-normalized'!$E:$E, MATCH($A110, 'UZ-normalized'!$A:$A, 0))), 0), 0)))</f>
        <v>0</v>
      </c>
      <c r="AK110" s="6">
        <f>MIN(0, N110+(IFERROR(IF(23*INDEX('UA-normalized'!$D:$D, MATCH($A110, 'UA-normalized'!$A:$A, 0))-INDEX('UA-normalized'!$E:$E, MATCH($A110, 'UA-normalized'!$A:$A, 0))&gt;0, -(23*INDEX('UA-normalized'!$D:$D, MATCH($A110, 'UA-normalized'!$A:$A, 0))-INDEX('UA-normalized'!$E:$E, MATCH($A110, 'UA-normalized'!$A:$A, 0))), 0), 0))+(IFERROR(IF(23*INDEX('KZ-normalized'!$D:$D, MATCH($A110, 'KZ-normalized'!$A:$A, 0))-INDEX('KZ-normalized'!$E:$E, MATCH($A110, 'KZ-normalized'!$A:$A, 0))&gt;0, -(23*INDEX('KZ-normalized'!$D:$D, MATCH($A110, 'KZ-normalized'!$A:$A, 0))-INDEX('KZ-normalized'!$E:$E, MATCH($A110, 'KZ-normalized'!$A:$A, 0))), 0), 0))+(IFERROR(IF(23*INDEX('UZ-normalized'!$D:$D, MATCH($A110, 'UZ-normalized'!$A:$A, 0))-INDEX('UZ-normalized'!$E:$E, MATCH($A110, 'UZ-normalized'!$A:$A, 0))&gt;0, -(23*INDEX('UZ-normalized'!$D:$D, MATCH($A110, 'UZ-normalized'!$A:$A, 0))-INDEX('UZ-normalized'!$E:$E, MATCH($A110, 'UZ-normalized'!$A:$A, 0))), 0), 0)))</f>
        <v>0</v>
      </c>
      <c r="AL110" s="6">
        <f>MIN(0, N110+(IFERROR(IF(24*INDEX('UA-normalized'!$D:$D, MATCH($A110, 'UA-normalized'!$A:$A, 0))-INDEX('UA-normalized'!$E:$E, MATCH($A110, 'UA-normalized'!$A:$A, 0))&gt;0, -(24*INDEX('UA-normalized'!$D:$D, MATCH($A110, 'UA-normalized'!$A:$A, 0))-INDEX('UA-normalized'!$E:$E, MATCH($A110, 'UA-normalized'!$A:$A, 0))), 0), 0))+(IFERROR(IF(24*INDEX('KZ-normalized'!$D:$D, MATCH($A110, 'KZ-normalized'!$A:$A, 0))-INDEX('KZ-normalized'!$E:$E, MATCH($A110, 'KZ-normalized'!$A:$A, 0))&gt;0, -(24*INDEX('KZ-normalized'!$D:$D, MATCH($A110, 'KZ-normalized'!$A:$A, 0))-INDEX('KZ-normalized'!$E:$E, MATCH($A110, 'KZ-normalized'!$A:$A, 0))), 0), 0))+(IFERROR(IF(24*INDEX('UZ-normalized'!$D:$D, MATCH($A110, 'UZ-normalized'!$A:$A, 0))-INDEX('UZ-normalized'!$E:$E, MATCH($A110, 'UZ-normalized'!$A:$A, 0))&gt;0, -(24*INDEX('UZ-normalized'!$D:$D, MATCH($A110, 'UZ-normalized'!$A:$A, 0))-INDEX('UZ-normalized'!$E:$E, MATCH($A110, 'UZ-normalized'!$A:$A, 0))), 0), 0)))</f>
        <v>0</v>
      </c>
      <c r="AM110" s="6">
        <f>MIN(0, N110+(IFERROR(IF(25*INDEX('UA-normalized'!$D:$D, MATCH($A110, 'UA-normalized'!$A:$A, 0))-INDEX('UA-normalized'!$E:$E, MATCH($A110, 'UA-normalized'!$A:$A, 0))&gt;0, -(25*INDEX('UA-normalized'!$D:$D, MATCH($A110, 'UA-normalized'!$A:$A, 0))-INDEX('UA-normalized'!$E:$E, MATCH($A110, 'UA-normalized'!$A:$A, 0))), 0), 0))+(IFERROR(IF(25*INDEX('KZ-normalized'!$D:$D, MATCH($A110, 'KZ-normalized'!$A:$A, 0))-INDEX('KZ-normalized'!$E:$E, MATCH($A110, 'KZ-normalized'!$A:$A, 0))&gt;0, -(25*INDEX('KZ-normalized'!$D:$D, MATCH($A110, 'KZ-normalized'!$A:$A, 0))-INDEX('KZ-normalized'!$E:$E, MATCH($A110, 'KZ-normalized'!$A:$A, 0))), 0), 0))+(IFERROR(IF(25*INDEX('UZ-normalized'!$D:$D, MATCH($A110, 'UZ-normalized'!$A:$A, 0))-INDEX('UZ-normalized'!$E:$E, MATCH($A110, 'UZ-normalized'!$A:$A, 0))&gt;0, -(25*INDEX('UZ-normalized'!$D:$D, MATCH($A110, 'UZ-normalized'!$A:$A, 0))-INDEX('UZ-normalized'!$E:$E, MATCH($A110, 'UZ-normalized'!$A:$A, 0))), 0), 0)))</f>
        <v>0</v>
      </c>
      <c r="AN110" s="6">
        <f>MIN(0, N110+(IFERROR(IF(26*INDEX('UA-normalized'!$D:$D, MATCH($A110, 'UA-normalized'!$A:$A, 0))-INDEX('UA-normalized'!$E:$E, MATCH($A110, 'UA-normalized'!$A:$A, 0))&gt;0, -(26*INDEX('UA-normalized'!$D:$D, MATCH($A110, 'UA-normalized'!$A:$A, 0))-INDEX('UA-normalized'!$E:$E, MATCH($A110, 'UA-normalized'!$A:$A, 0))), 0), 0))+(IFERROR(IF(26*INDEX('KZ-normalized'!$D:$D, MATCH($A110, 'KZ-normalized'!$A:$A, 0))-INDEX('KZ-normalized'!$E:$E, MATCH($A110, 'KZ-normalized'!$A:$A, 0))&gt;0, -(26*INDEX('KZ-normalized'!$D:$D, MATCH($A110, 'KZ-normalized'!$A:$A, 0))-INDEX('KZ-normalized'!$E:$E, MATCH($A110, 'KZ-normalized'!$A:$A, 0))), 0), 0))+(IFERROR(IF(26*INDEX('UZ-normalized'!$D:$D, MATCH($A110, 'UZ-normalized'!$A:$A, 0))-INDEX('UZ-normalized'!$E:$E, MATCH($A110, 'UZ-normalized'!$A:$A, 0))&gt;0, -(26*INDEX('UZ-normalized'!$D:$D, MATCH($A110, 'UZ-normalized'!$A:$A, 0))-INDEX('UZ-normalized'!$E:$E, MATCH($A110, 'UZ-normalized'!$A:$A, 0))), 0), 0)))</f>
        <v>0</v>
      </c>
      <c r="AO110" s="6">
        <f>MIN(0, N110+(IFERROR(IF(27*INDEX('UA-normalized'!$D:$D, MATCH($A110, 'UA-normalized'!$A:$A, 0))-INDEX('UA-normalized'!$E:$E, MATCH($A110, 'UA-normalized'!$A:$A, 0))&gt;0, -(27*INDEX('UA-normalized'!$D:$D, MATCH($A110, 'UA-normalized'!$A:$A, 0))-INDEX('UA-normalized'!$E:$E, MATCH($A110, 'UA-normalized'!$A:$A, 0))), 0), 0))+(IFERROR(IF(27*INDEX('KZ-normalized'!$D:$D, MATCH($A110, 'KZ-normalized'!$A:$A, 0))-INDEX('KZ-normalized'!$E:$E, MATCH($A110, 'KZ-normalized'!$A:$A, 0))&gt;0, -(27*INDEX('KZ-normalized'!$D:$D, MATCH($A110, 'KZ-normalized'!$A:$A, 0))-INDEX('KZ-normalized'!$E:$E, MATCH($A110, 'KZ-normalized'!$A:$A, 0))), 0), 0))+(IFERROR(IF(27*INDEX('UZ-normalized'!$D:$D, MATCH($A110, 'UZ-normalized'!$A:$A, 0))-INDEX('UZ-normalized'!$E:$E, MATCH($A110, 'UZ-normalized'!$A:$A, 0))&gt;0, -(27*INDEX('UZ-normalized'!$D:$D, MATCH($A110, 'UZ-normalized'!$A:$A, 0))-INDEX('UZ-normalized'!$E:$E, MATCH($A110, 'UZ-normalized'!$A:$A, 0))), 0), 0)))</f>
        <v>0</v>
      </c>
      <c r="AP110" s="6">
        <f>MIN(0, N110+(IFERROR(IF(28*INDEX('UA-normalized'!$D:$D, MATCH($A110, 'UA-normalized'!$A:$A, 0))-INDEX('UA-normalized'!$E:$E, MATCH($A110, 'UA-normalized'!$A:$A, 0))&gt;0, -(28*INDEX('UA-normalized'!$D:$D, MATCH($A110, 'UA-normalized'!$A:$A, 0))-INDEX('UA-normalized'!$E:$E, MATCH($A110, 'UA-normalized'!$A:$A, 0))), 0), 0))+(IFERROR(IF(28*INDEX('KZ-normalized'!$D:$D, MATCH($A110, 'KZ-normalized'!$A:$A, 0))-INDEX('KZ-normalized'!$E:$E, MATCH($A110, 'KZ-normalized'!$A:$A, 0))&gt;0, -(28*INDEX('KZ-normalized'!$D:$D, MATCH($A110, 'KZ-normalized'!$A:$A, 0))-INDEX('KZ-normalized'!$E:$E, MATCH($A110, 'KZ-normalized'!$A:$A, 0))), 0), 0))+(IFERROR(IF(28*INDEX('UZ-normalized'!$D:$D, MATCH($A110, 'UZ-normalized'!$A:$A, 0))-INDEX('UZ-normalized'!$E:$E, MATCH($A110, 'UZ-normalized'!$A:$A, 0))&gt;0, -(28*INDEX('UZ-normalized'!$D:$D, MATCH($A110, 'UZ-normalized'!$A:$A, 0))-INDEX('UZ-normalized'!$E:$E, MATCH($A110, 'UZ-normalized'!$A:$A, 0))), 0), 0)))</f>
        <v>0</v>
      </c>
      <c r="AQ110" s="6">
        <f>MIN(0, N110+(IFERROR(IF(29*INDEX('UA-normalized'!$D:$D, MATCH($A110, 'UA-normalized'!$A:$A, 0))-INDEX('UA-normalized'!$E:$E, MATCH($A110, 'UA-normalized'!$A:$A, 0))&gt;0, -(29*INDEX('UA-normalized'!$D:$D, MATCH($A110, 'UA-normalized'!$A:$A, 0))-INDEX('UA-normalized'!$E:$E, MATCH($A110, 'UA-normalized'!$A:$A, 0))), 0), 0))+(IFERROR(IF(29*INDEX('KZ-normalized'!$D:$D, MATCH($A110, 'KZ-normalized'!$A:$A, 0))-INDEX('KZ-normalized'!$E:$E, MATCH($A110, 'KZ-normalized'!$A:$A, 0))&gt;0, -(29*INDEX('KZ-normalized'!$D:$D, MATCH($A110, 'KZ-normalized'!$A:$A, 0))-INDEX('KZ-normalized'!$E:$E, MATCH($A110, 'KZ-normalized'!$A:$A, 0))), 0), 0))+(IFERROR(IF(29*INDEX('UZ-normalized'!$D:$D, MATCH($A110, 'UZ-normalized'!$A:$A, 0))-INDEX('UZ-normalized'!$E:$E, MATCH($A110, 'UZ-normalized'!$A:$A, 0))&gt;0, -(29*INDEX('UZ-normalized'!$D:$D, MATCH($A110, 'UZ-normalized'!$A:$A, 0))-INDEX('UZ-normalized'!$E:$E, MATCH($A110, 'UZ-normalized'!$A:$A, 0))), 0), 0)))</f>
        <v>0</v>
      </c>
      <c r="AR110" s="6">
        <f>MIN(0, N110+(IFERROR(IF(30*INDEX('UA-normalized'!$D:$D, MATCH($A110, 'UA-normalized'!$A:$A, 0))-INDEX('UA-normalized'!$E:$E, MATCH($A110, 'UA-normalized'!$A:$A, 0))&gt;0, -(30*INDEX('UA-normalized'!$D:$D, MATCH($A110, 'UA-normalized'!$A:$A, 0))-INDEX('UA-normalized'!$E:$E, MATCH($A110, 'UA-normalized'!$A:$A, 0))), 0), 0))+(IFERROR(IF(30*INDEX('KZ-normalized'!$D:$D, MATCH($A110, 'KZ-normalized'!$A:$A, 0))-INDEX('KZ-normalized'!$E:$E, MATCH($A110, 'KZ-normalized'!$A:$A, 0))&gt;0, -(30*INDEX('KZ-normalized'!$D:$D, MATCH($A110, 'KZ-normalized'!$A:$A, 0))-INDEX('KZ-normalized'!$E:$E, MATCH($A110, 'KZ-normalized'!$A:$A, 0))), 0), 0))+(IFERROR(IF(30*INDEX('UZ-normalized'!$D:$D, MATCH($A110, 'UZ-normalized'!$A:$A, 0))-INDEX('UZ-normalized'!$E:$E, MATCH($A110, 'UZ-normalized'!$A:$A, 0))&gt;0, -(30*INDEX('UZ-normalized'!$D:$D, MATCH($A110, 'UZ-normalized'!$A:$A, 0))-INDEX('UZ-normalized'!$E:$E, MATCH($A110, 'UZ-normalized'!$A:$A, 0))), 0), 0)))</f>
        <v>0</v>
      </c>
    </row>
    <row r="111" spans="1:44" x14ac:dyDescent="0.25">
      <c r="A111" s="8" t="s">
        <v>274</v>
      </c>
      <c r="B111" s="8" t="s">
        <v>180</v>
      </c>
      <c r="C111" s="8" t="s">
        <v>256</v>
      </c>
      <c r="D111" s="8" t="s">
        <v>275</v>
      </c>
      <c r="E111">
        <v>5180</v>
      </c>
      <c r="G111">
        <v>-750</v>
      </c>
      <c r="N111">
        <f t="shared" si="1"/>
        <v>4430</v>
      </c>
      <c r="O111" s="6">
        <f>MIN(0, N111+(IFERROR(IF(1*INDEX('UA-normalized'!$D:$D, MATCH($A111, 'UA-normalized'!$A:$A, 0))-INDEX('UA-normalized'!$E:$E, MATCH($A111, 'UA-normalized'!$A:$A, 0))&gt;0, -(1*INDEX('UA-normalized'!$D:$D, MATCH($A111, 'UA-normalized'!$A:$A, 0))-INDEX('UA-normalized'!$E:$E, MATCH($A111, 'UA-normalized'!$A:$A, 0))), 0), 0))+(IFERROR(IF(1*INDEX('KZ-normalized'!$D:$D, MATCH($A111, 'KZ-normalized'!$A:$A, 0))-INDEX('KZ-normalized'!$E:$E, MATCH($A111, 'KZ-normalized'!$A:$A, 0))&gt;0, -(1*INDEX('KZ-normalized'!$D:$D, MATCH($A111, 'KZ-normalized'!$A:$A, 0))-INDEX('KZ-normalized'!$E:$E, MATCH($A111, 'KZ-normalized'!$A:$A, 0))), 0), 0))+(IFERROR(IF(1*INDEX('UZ-normalized'!$D:$D, MATCH($A111, 'UZ-normalized'!$A:$A, 0))-INDEX('UZ-normalized'!$E:$E, MATCH($A111, 'UZ-normalized'!$A:$A, 0))&gt;0, -(1*INDEX('UZ-normalized'!$D:$D, MATCH($A111, 'UZ-normalized'!$A:$A, 0))-INDEX('UZ-normalized'!$E:$E, MATCH($A111, 'UZ-normalized'!$A:$A, 0))), 0), 0)))</f>
        <v>0</v>
      </c>
      <c r="P111" s="6">
        <f>MIN(0, N111+(IFERROR(IF(2*INDEX('UA-normalized'!$D:$D, MATCH($A111, 'UA-normalized'!$A:$A, 0))-INDEX('UA-normalized'!$E:$E, MATCH($A111, 'UA-normalized'!$A:$A, 0))&gt;0, -(2*INDEX('UA-normalized'!$D:$D, MATCH($A111, 'UA-normalized'!$A:$A, 0))-INDEX('UA-normalized'!$E:$E, MATCH($A111, 'UA-normalized'!$A:$A, 0))), 0), 0))+(IFERROR(IF(2*INDEX('KZ-normalized'!$D:$D, MATCH($A111, 'KZ-normalized'!$A:$A, 0))-INDEX('KZ-normalized'!$E:$E, MATCH($A111, 'KZ-normalized'!$A:$A, 0))&gt;0, -(2*INDEX('KZ-normalized'!$D:$D, MATCH($A111, 'KZ-normalized'!$A:$A, 0))-INDEX('KZ-normalized'!$E:$E, MATCH($A111, 'KZ-normalized'!$A:$A, 0))), 0), 0))+(IFERROR(IF(2*INDEX('UZ-normalized'!$D:$D, MATCH($A111, 'UZ-normalized'!$A:$A, 0))-INDEX('UZ-normalized'!$E:$E, MATCH($A111, 'UZ-normalized'!$A:$A, 0))&gt;0, -(2*INDEX('UZ-normalized'!$D:$D, MATCH($A111, 'UZ-normalized'!$A:$A, 0))-INDEX('UZ-normalized'!$E:$E, MATCH($A111, 'UZ-normalized'!$A:$A, 0))), 0), 0)))</f>
        <v>0</v>
      </c>
      <c r="Q111" s="6">
        <f>MIN(0, N111+(IFERROR(IF(3*INDEX('UA-normalized'!$D:$D, MATCH($A111, 'UA-normalized'!$A:$A, 0))-INDEX('UA-normalized'!$E:$E, MATCH($A111, 'UA-normalized'!$A:$A, 0))&gt;0, -(3*INDEX('UA-normalized'!$D:$D, MATCH($A111, 'UA-normalized'!$A:$A, 0))-INDEX('UA-normalized'!$E:$E, MATCH($A111, 'UA-normalized'!$A:$A, 0))), 0), 0))+(IFERROR(IF(3*INDEX('KZ-normalized'!$D:$D, MATCH($A111, 'KZ-normalized'!$A:$A, 0))-INDEX('KZ-normalized'!$E:$E, MATCH($A111, 'KZ-normalized'!$A:$A, 0))&gt;0, -(3*INDEX('KZ-normalized'!$D:$D, MATCH($A111, 'KZ-normalized'!$A:$A, 0))-INDEX('KZ-normalized'!$E:$E, MATCH($A111, 'KZ-normalized'!$A:$A, 0))), 0), 0))+(IFERROR(IF(3*INDEX('UZ-normalized'!$D:$D, MATCH($A111, 'UZ-normalized'!$A:$A, 0))-INDEX('UZ-normalized'!$E:$E, MATCH($A111, 'UZ-normalized'!$A:$A, 0))&gt;0, -(3*INDEX('UZ-normalized'!$D:$D, MATCH($A111, 'UZ-normalized'!$A:$A, 0))-INDEX('UZ-normalized'!$E:$E, MATCH($A111, 'UZ-normalized'!$A:$A, 0))), 0), 0)))</f>
        <v>0</v>
      </c>
      <c r="R111" s="6">
        <f>MIN(0, N111+(IFERROR(IF(4*INDEX('UA-normalized'!$D:$D, MATCH($A111, 'UA-normalized'!$A:$A, 0))-INDEX('UA-normalized'!$E:$E, MATCH($A111, 'UA-normalized'!$A:$A, 0))&gt;0, -(4*INDEX('UA-normalized'!$D:$D, MATCH($A111, 'UA-normalized'!$A:$A, 0))-INDEX('UA-normalized'!$E:$E, MATCH($A111, 'UA-normalized'!$A:$A, 0))), 0), 0))+(IFERROR(IF(4*INDEX('KZ-normalized'!$D:$D, MATCH($A111, 'KZ-normalized'!$A:$A, 0))-INDEX('KZ-normalized'!$E:$E, MATCH($A111, 'KZ-normalized'!$A:$A, 0))&gt;0, -(4*INDEX('KZ-normalized'!$D:$D, MATCH($A111, 'KZ-normalized'!$A:$A, 0))-INDEX('KZ-normalized'!$E:$E, MATCH($A111, 'KZ-normalized'!$A:$A, 0))), 0), 0))+(IFERROR(IF(4*INDEX('UZ-normalized'!$D:$D, MATCH($A111, 'UZ-normalized'!$A:$A, 0))-INDEX('UZ-normalized'!$E:$E, MATCH($A111, 'UZ-normalized'!$A:$A, 0))&gt;0, -(4*INDEX('UZ-normalized'!$D:$D, MATCH($A111, 'UZ-normalized'!$A:$A, 0))-INDEX('UZ-normalized'!$E:$E, MATCH($A111, 'UZ-normalized'!$A:$A, 0))), 0), 0)))</f>
        <v>0</v>
      </c>
      <c r="S111" s="6">
        <f>MIN(0, N111+(IFERROR(IF(5*INDEX('UA-normalized'!$D:$D, MATCH($A111, 'UA-normalized'!$A:$A, 0))-INDEX('UA-normalized'!$E:$E, MATCH($A111, 'UA-normalized'!$A:$A, 0))&gt;0, -(5*INDEX('UA-normalized'!$D:$D, MATCH($A111, 'UA-normalized'!$A:$A, 0))-INDEX('UA-normalized'!$E:$E, MATCH($A111, 'UA-normalized'!$A:$A, 0))), 0), 0))+(IFERROR(IF(5*INDEX('KZ-normalized'!$D:$D, MATCH($A111, 'KZ-normalized'!$A:$A, 0))-INDEX('KZ-normalized'!$E:$E, MATCH($A111, 'KZ-normalized'!$A:$A, 0))&gt;0, -(5*INDEX('KZ-normalized'!$D:$D, MATCH($A111, 'KZ-normalized'!$A:$A, 0))-INDEX('KZ-normalized'!$E:$E, MATCH($A111, 'KZ-normalized'!$A:$A, 0))), 0), 0))+(IFERROR(IF(5*INDEX('UZ-normalized'!$D:$D, MATCH($A111, 'UZ-normalized'!$A:$A, 0))-INDEX('UZ-normalized'!$E:$E, MATCH($A111, 'UZ-normalized'!$A:$A, 0))&gt;0, -(5*INDEX('UZ-normalized'!$D:$D, MATCH($A111, 'UZ-normalized'!$A:$A, 0))-INDEX('UZ-normalized'!$E:$E, MATCH($A111, 'UZ-normalized'!$A:$A, 0))), 0), 0)))</f>
        <v>0</v>
      </c>
      <c r="T111" s="6">
        <f>MIN(0, N111+(IFERROR(IF(6*INDEX('UA-normalized'!$D:$D, MATCH($A111, 'UA-normalized'!$A:$A, 0))-INDEX('UA-normalized'!$E:$E, MATCH($A111, 'UA-normalized'!$A:$A, 0))&gt;0, -(6*INDEX('UA-normalized'!$D:$D, MATCH($A111, 'UA-normalized'!$A:$A, 0))-INDEX('UA-normalized'!$E:$E, MATCH($A111, 'UA-normalized'!$A:$A, 0))), 0), 0))+(IFERROR(IF(6*INDEX('KZ-normalized'!$D:$D, MATCH($A111, 'KZ-normalized'!$A:$A, 0))-INDEX('KZ-normalized'!$E:$E, MATCH($A111, 'KZ-normalized'!$A:$A, 0))&gt;0, -(6*INDEX('KZ-normalized'!$D:$D, MATCH($A111, 'KZ-normalized'!$A:$A, 0))-INDEX('KZ-normalized'!$E:$E, MATCH($A111, 'KZ-normalized'!$A:$A, 0))), 0), 0))+(IFERROR(IF(6*INDEX('UZ-normalized'!$D:$D, MATCH($A111, 'UZ-normalized'!$A:$A, 0))-INDEX('UZ-normalized'!$E:$E, MATCH($A111, 'UZ-normalized'!$A:$A, 0))&gt;0, -(6*INDEX('UZ-normalized'!$D:$D, MATCH($A111, 'UZ-normalized'!$A:$A, 0))-INDEX('UZ-normalized'!$E:$E, MATCH($A111, 'UZ-normalized'!$A:$A, 0))), 0), 0)))</f>
        <v>0</v>
      </c>
      <c r="U111" s="6">
        <f>MIN(0, N111+(IFERROR(IF(7*INDEX('UA-normalized'!$D:$D, MATCH($A111, 'UA-normalized'!$A:$A, 0))-INDEX('UA-normalized'!$E:$E, MATCH($A111, 'UA-normalized'!$A:$A, 0))&gt;0, -(7*INDEX('UA-normalized'!$D:$D, MATCH($A111, 'UA-normalized'!$A:$A, 0))-INDEX('UA-normalized'!$E:$E, MATCH($A111, 'UA-normalized'!$A:$A, 0))), 0), 0))+(IFERROR(IF(7*INDEX('KZ-normalized'!$D:$D, MATCH($A111, 'KZ-normalized'!$A:$A, 0))-INDEX('KZ-normalized'!$E:$E, MATCH($A111, 'KZ-normalized'!$A:$A, 0))&gt;0, -(7*INDEX('KZ-normalized'!$D:$D, MATCH($A111, 'KZ-normalized'!$A:$A, 0))-INDEX('KZ-normalized'!$E:$E, MATCH($A111, 'KZ-normalized'!$A:$A, 0))), 0), 0))+(IFERROR(IF(7*INDEX('UZ-normalized'!$D:$D, MATCH($A111, 'UZ-normalized'!$A:$A, 0))-INDEX('UZ-normalized'!$E:$E, MATCH($A111, 'UZ-normalized'!$A:$A, 0))&gt;0, -(7*INDEX('UZ-normalized'!$D:$D, MATCH($A111, 'UZ-normalized'!$A:$A, 0))-INDEX('UZ-normalized'!$E:$E, MATCH($A111, 'UZ-normalized'!$A:$A, 0))), 0), 0)))</f>
        <v>0</v>
      </c>
      <c r="V111" s="6">
        <f>MIN(0, N111+(IFERROR(IF(8*INDEX('UA-normalized'!$D:$D, MATCH($A111, 'UA-normalized'!$A:$A, 0))-INDEX('UA-normalized'!$E:$E, MATCH($A111, 'UA-normalized'!$A:$A, 0))&gt;0, -(8*INDEX('UA-normalized'!$D:$D, MATCH($A111, 'UA-normalized'!$A:$A, 0))-INDEX('UA-normalized'!$E:$E, MATCH($A111, 'UA-normalized'!$A:$A, 0))), 0), 0))+(IFERROR(IF(8*INDEX('KZ-normalized'!$D:$D, MATCH($A111, 'KZ-normalized'!$A:$A, 0))-INDEX('KZ-normalized'!$E:$E, MATCH($A111, 'KZ-normalized'!$A:$A, 0))&gt;0, -(8*INDEX('KZ-normalized'!$D:$D, MATCH($A111, 'KZ-normalized'!$A:$A, 0))-INDEX('KZ-normalized'!$E:$E, MATCH($A111, 'KZ-normalized'!$A:$A, 0))), 0), 0))+(IFERROR(IF(8*INDEX('UZ-normalized'!$D:$D, MATCH($A111, 'UZ-normalized'!$A:$A, 0))-INDEX('UZ-normalized'!$E:$E, MATCH($A111, 'UZ-normalized'!$A:$A, 0))&gt;0, -(8*INDEX('UZ-normalized'!$D:$D, MATCH($A111, 'UZ-normalized'!$A:$A, 0))-INDEX('UZ-normalized'!$E:$E, MATCH($A111, 'UZ-normalized'!$A:$A, 0))), 0), 0)))</f>
        <v>0</v>
      </c>
      <c r="W111" s="6">
        <f>MIN(0, N111+(IFERROR(IF(9*INDEX('UA-normalized'!$D:$D, MATCH($A111, 'UA-normalized'!$A:$A, 0))-INDEX('UA-normalized'!$E:$E, MATCH($A111, 'UA-normalized'!$A:$A, 0))&gt;0, -(9*INDEX('UA-normalized'!$D:$D, MATCH($A111, 'UA-normalized'!$A:$A, 0))-INDEX('UA-normalized'!$E:$E, MATCH($A111, 'UA-normalized'!$A:$A, 0))), 0), 0))+(IFERROR(IF(9*INDEX('KZ-normalized'!$D:$D, MATCH($A111, 'KZ-normalized'!$A:$A, 0))-INDEX('KZ-normalized'!$E:$E, MATCH($A111, 'KZ-normalized'!$A:$A, 0))&gt;0, -(9*INDEX('KZ-normalized'!$D:$D, MATCH($A111, 'KZ-normalized'!$A:$A, 0))-INDEX('KZ-normalized'!$E:$E, MATCH($A111, 'KZ-normalized'!$A:$A, 0))), 0), 0))+(IFERROR(IF(9*INDEX('UZ-normalized'!$D:$D, MATCH($A111, 'UZ-normalized'!$A:$A, 0))-INDEX('UZ-normalized'!$E:$E, MATCH($A111, 'UZ-normalized'!$A:$A, 0))&gt;0, -(9*INDEX('UZ-normalized'!$D:$D, MATCH($A111, 'UZ-normalized'!$A:$A, 0))-INDEX('UZ-normalized'!$E:$E, MATCH($A111, 'UZ-normalized'!$A:$A, 0))), 0), 0)))</f>
        <v>0</v>
      </c>
      <c r="X111" s="6">
        <f>MIN(0, N111+(IFERROR(IF(10*INDEX('UA-normalized'!$D:$D, MATCH($A111, 'UA-normalized'!$A:$A, 0))-INDEX('UA-normalized'!$E:$E, MATCH($A111, 'UA-normalized'!$A:$A, 0))&gt;0, -(10*INDEX('UA-normalized'!$D:$D, MATCH($A111, 'UA-normalized'!$A:$A, 0))-INDEX('UA-normalized'!$E:$E, MATCH($A111, 'UA-normalized'!$A:$A, 0))), 0), 0))+(IFERROR(IF(10*INDEX('KZ-normalized'!$D:$D, MATCH($A111, 'KZ-normalized'!$A:$A, 0))-INDEX('KZ-normalized'!$E:$E, MATCH($A111, 'KZ-normalized'!$A:$A, 0))&gt;0, -(10*INDEX('KZ-normalized'!$D:$D, MATCH($A111, 'KZ-normalized'!$A:$A, 0))-INDEX('KZ-normalized'!$E:$E, MATCH($A111, 'KZ-normalized'!$A:$A, 0))), 0), 0))+(IFERROR(IF(10*INDEX('UZ-normalized'!$D:$D, MATCH($A111, 'UZ-normalized'!$A:$A, 0))-INDEX('UZ-normalized'!$E:$E, MATCH($A111, 'UZ-normalized'!$A:$A, 0))&gt;0, -(10*INDEX('UZ-normalized'!$D:$D, MATCH($A111, 'UZ-normalized'!$A:$A, 0))-INDEX('UZ-normalized'!$E:$E, MATCH($A111, 'UZ-normalized'!$A:$A, 0))), 0), 0)))</f>
        <v>0</v>
      </c>
      <c r="Y111" s="6">
        <f>MIN(0, N111+(IFERROR(IF(11*INDEX('UA-normalized'!$D:$D, MATCH($A111, 'UA-normalized'!$A:$A, 0))-INDEX('UA-normalized'!$E:$E, MATCH($A111, 'UA-normalized'!$A:$A, 0))&gt;0, -(11*INDEX('UA-normalized'!$D:$D, MATCH($A111, 'UA-normalized'!$A:$A, 0))-INDEX('UA-normalized'!$E:$E, MATCH($A111, 'UA-normalized'!$A:$A, 0))), 0), 0))+(IFERROR(IF(11*INDEX('KZ-normalized'!$D:$D, MATCH($A111, 'KZ-normalized'!$A:$A, 0))-INDEX('KZ-normalized'!$E:$E, MATCH($A111, 'KZ-normalized'!$A:$A, 0))&gt;0, -(11*INDEX('KZ-normalized'!$D:$D, MATCH($A111, 'KZ-normalized'!$A:$A, 0))-INDEX('KZ-normalized'!$E:$E, MATCH($A111, 'KZ-normalized'!$A:$A, 0))), 0), 0))+(IFERROR(IF(11*INDEX('UZ-normalized'!$D:$D, MATCH($A111, 'UZ-normalized'!$A:$A, 0))-INDEX('UZ-normalized'!$E:$E, MATCH($A111, 'UZ-normalized'!$A:$A, 0))&gt;0, -(11*INDEX('UZ-normalized'!$D:$D, MATCH($A111, 'UZ-normalized'!$A:$A, 0))-INDEX('UZ-normalized'!$E:$E, MATCH($A111, 'UZ-normalized'!$A:$A, 0))), 0), 0)))</f>
        <v>0</v>
      </c>
      <c r="Z111" s="6">
        <f>MIN(0, N111+(IFERROR(IF(12*INDEX('UA-normalized'!$D:$D, MATCH($A111, 'UA-normalized'!$A:$A, 0))-INDEX('UA-normalized'!$E:$E, MATCH($A111, 'UA-normalized'!$A:$A, 0))&gt;0, -(12*INDEX('UA-normalized'!$D:$D, MATCH($A111, 'UA-normalized'!$A:$A, 0))-INDEX('UA-normalized'!$E:$E, MATCH($A111, 'UA-normalized'!$A:$A, 0))), 0), 0))+(IFERROR(IF(12*INDEX('KZ-normalized'!$D:$D, MATCH($A111, 'KZ-normalized'!$A:$A, 0))-INDEX('KZ-normalized'!$E:$E, MATCH($A111, 'KZ-normalized'!$A:$A, 0))&gt;0, -(12*INDEX('KZ-normalized'!$D:$D, MATCH($A111, 'KZ-normalized'!$A:$A, 0))-INDEX('KZ-normalized'!$E:$E, MATCH($A111, 'KZ-normalized'!$A:$A, 0))), 0), 0))+(IFERROR(IF(12*INDEX('UZ-normalized'!$D:$D, MATCH($A111, 'UZ-normalized'!$A:$A, 0))-INDEX('UZ-normalized'!$E:$E, MATCH($A111, 'UZ-normalized'!$A:$A, 0))&gt;0, -(12*INDEX('UZ-normalized'!$D:$D, MATCH($A111, 'UZ-normalized'!$A:$A, 0))-INDEX('UZ-normalized'!$E:$E, MATCH($A111, 'UZ-normalized'!$A:$A, 0))), 0), 0)))</f>
        <v>0</v>
      </c>
      <c r="AA111" s="6">
        <f>MIN(0, N111+(IFERROR(IF(13*INDEX('UA-normalized'!$D:$D, MATCH($A111, 'UA-normalized'!$A:$A, 0))-INDEX('UA-normalized'!$E:$E, MATCH($A111, 'UA-normalized'!$A:$A, 0))&gt;0, -(13*INDEX('UA-normalized'!$D:$D, MATCH($A111, 'UA-normalized'!$A:$A, 0))-INDEX('UA-normalized'!$E:$E, MATCH($A111, 'UA-normalized'!$A:$A, 0))), 0), 0))+(IFERROR(IF(13*INDEX('KZ-normalized'!$D:$D, MATCH($A111, 'KZ-normalized'!$A:$A, 0))-INDEX('KZ-normalized'!$E:$E, MATCH($A111, 'KZ-normalized'!$A:$A, 0))&gt;0, -(13*INDEX('KZ-normalized'!$D:$D, MATCH($A111, 'KZ-normalized'!$A:$A, 0))-INDEX('KZ-normalized'!$E:$E, MATCH($A111, 'KZ-normalized'!$A:$A, 0))), 0), 0))+(IFERROR(IF(13*INDEX('UZ-normalized'!$D:$D, MATCH($A111, 'UZ-normalized'!$A:$A, 0))-INDEX('UZ-normalized'!$E:$E, MATCH($A111, 'UZ-normalized'!$A:$A, 0))&gt;0, -(13*INDEX('UZ-normalized'!$D:$D, MATCH($A111, 'UZ-normalized'!$A:$A, 0))-INDEX('UZ-normalized'!$E:$E, MATCH($A111, 'UZ-normalized'!$A:$A, 0))), 0), 0)))</f>
        <v>0</v>
      </c>
      <c r="AB111" s="6">
        <f>MIN(0, N111+(IFERROR(IF(14*INDEX('UA-normalized'!$D:$D, MATCH($A111, 'UA-normalized'!$A:$A, 0))-INDEX('UA-normalized'!$E:$E, MATCH($A111, 'UA-normalized'!$A:$A, 0))&gt;0, -(14*INDEX('UA-normalized'!$D:$D, MATCH($A111, 'UA-normalized'!$A:$A, 0))-INDEX('UA-normalized'!$E:$E, MATCH($A111, 'UA-normalized'!$A:$A, 0))), 0), 0))+(IFERROR(IF(14*INDEX('KZ-normalized'!$D:$D, MATCH($A111, 'KZ-normalized'!$A:$A, 0))-INDEX('KZ-normalized'!$E:$E, MATCH($A111, 'KZ-normalized'!$A:$A, 0))&gt;0, -(14*INDEX('KZ-normalized'!$D:$D, MATCH($A111, 'KZ-normalized'!$A:$A, 0))-INDEX('KZ-normalized'!$E:$E, MATCH($A111, 'KZ-normalized'!$A:$A, 0))), 0), 0))+(IFERROR(IF(14*INDEX('UZ-normalized'!$D:$D, MATCH($A111, 'UZ-normalized'!$A:$A, 0))-INDEX('UZ-normalized'!$E:$E, MATCH($A111, 'UZ-normalized'!$A:$A, 0))&gt;0, -(14*INDEX('UZ-normalized'!$D:$D, MATCH($A111, 'UZ-normalized'!$A:$A, 0))-INDEX('UZ-normalized'!$E:$E, MATCH($A111, 'UZ-normalized'!$A:$A, 0))), 0), 0)))</f>
        <v>0</v>
      </c>
      <c r="AC111" s="6">
        <f>MIN(0, N111+(IFERROR(IF(15*INDEX('UA-normalized'!$D:$D, MATCH($A111, 'UA-normalized'!$A:$A, 0))-INDEX('UA-normalized'!$E:$E, MATCH($A111, 'UA-normalized'!$A:$A, 0))&gt;0, -(15*INDEX('UA-normalized'!$D:$D, MATCH($A111, 'UA-normalized'!$A:$A, 0))-INDEX('UA-normalized'!$E:$E, MATCH($A111, 'UA-normalized'!$A:$A, 0))), 0), 0))+(IFERROR(IF(15*INDEX('KZ-normalized'!$D:$D, MATCH($A111, 'KZ-normalized'!$A:$A, 0))-INDEX('KZ-normalized'!$E:$E, MATCH($A111, 'KZ-normalized'!$A:$A, 0))&gt;0, -(15*INDEX('KZ-normalized'!$D:$D, MATCH($A111, 'KZ-normalized'!$A:$A, 0))-INDEX('KZ-normalized'!$E:$E, MATCH($A111, 'KZ-normalized'!$A:$A, 0))), 0), 0))+(IFERROR(IF(15*INDEX('UZ-normalized'!$D:$D, MATCH($A111, 'UZ-normalized'!$A:$A, 0))-INDEX('UZ-normalized'!$E:$E, MATCH($A111, 'UZ-normalized'!$A:$A, 0))&gt;0, -(15*INDEX('UZ-normalized'!$D:$D, MATCH($A111, 'UZ-normalized'!$A:$A, 0))-INDEX('UZ-normalized'!$E:$E, MATCH($A111, 'UZ-normalized'!$A:$A, 0))), 0), 0)))</f>
        <v>-19.5</v>
      </c>
      <c r="AD111" s="6">
        <f>MIN(0, N111+(IFERROR(IF(16*INDEX('UA-normalized'!$D:$D, MATCH($A111, 'UA-normalized'!$A:$A, 0))-INDEX('UA-normalized'!$E:$E, MATCH($A111, 'UA-normalized'!$A:$A, 0))&gt;0, -(16*INDEX('UA-normalized'!$D:$D, MATCH($A111, 'UA-normalized'!$A:$A, 0))-INDEX('UA-normalized'!$E:$E, MATCH($A111, 'UA-normalized'!$A:$A, 0))), 0), 0))+(IFERROR(IF(16*INDEX('KZ-normalized'!$D:$D, MATCH($A111, 'KZ-normalized'!$A:$A, 0))-INDEX('KZ-normalized'!$E:$E, MATCH($A111, 'KZ-normalized'!$A:$A, 0))&gt;0, -(16*INDEX('KZ-normalized'!$D:$D, MATCH($A111, 'KZ-normalized'!$A:$A, 0))-INDEX('KZ-normalized'!$E:$E, MATCH($A111, 'KZ-normalized'!$A:$A, 0))), 0), 0))+(IFERROR(IF(16*INDEX('UZ-normalized'!$D:$D, MATCH($A111, 'UZ-normalized'!$A:$A, 0))-INDEX('UZ-normalized'!$E:$E, MATCH($A111, 'UZ-normalized'!$A:$A, 0))&gt;0, -(16*INDEX('UZ-normalized'!$D:$D, MATCH($A111, 'UZ-normalized'!$A:$A, 0))-INDEX('UZ-normalized'!$E:$E, MATCH($A111, 'UZ-normalized'!$A:$A, 0))), 0), 0)))</f>
        <v>-434.39999999999964</v>
      </c>
      <c r="AE111" s="6">
        <f>MIN(0, N111+(IFERROR(IF(17*INDEX('UA-normalized'!$D:$D, MATCH($A111, 'UA-normalized'!$A:$A, 0))-INDEX('UA-normalized'!$E:$E, MATCH($A111, 'UA-normalized'!$A:$A, 0))&gt;0, -(17*INDEX('UA-normalized'!$D:$D, MATCH($A111, 'UA-normalized'!$A:$A, 0))-INDEX('UA-normalized'!$E:$E, MATCH($A111, 'UA-normalized'!$A:$A, 0))), 0), 0))+(IFERROR(IF(17*INDEX('KZ-normalized'!$D:$D, MATCH($A111, 'KZ-normalized'!$A:$A, 0))-INDEX('KZ-normalized'!$E:$E, MATCH($A111, 'KZ-normalized'!$A:$A, 0))&gt;0, -(17*INDEX('KZ-normalized'!$D:$D, MATCH($A111, 'KZ-normalized'!$A:$A, 0))-INDEX('KZ-normalized'!$E:$E, MATCH($A111, 'KZ-normalized'!$A:$A, 0))), 0), 0))+(IFERROR(IF(17*INDEX('UZ-normalized'!$D:$D, MATCH($A111, 'UZ-normalized'!$A:$A, 0))-INDEX('UZ-normalized'!$E:$E, MATCH($A111, 'UZ-normalized'!$A:$A, 0))&gt;0, -(17*INDEX('UZ-normalized'!$D:$D, MATCH($A111, 'UZ-normalized'!$A:$A, 0))-INDEX('UZ-normalized'!$E:$E, MATCH($A111, 'UZ-normalized'!$A:$A, 0))), 0), 0)))</f>
        <v>-849.30000000000018</v>
      </c>
      <c r="AF111" s="6">
        <f>MIN(0, N111+(IFERROR(IF(18*INDEX('UA-normalized'!$D:$D, MATCH($A111, 'UA-normalized'!$A:$A, 0))-INDEX('UA-normalized'!$E:$E, MATCH($A111, 'UA-normalized'!$A:$A, 0))&gt;0, -(18*INDEX('UA-normalized'!$D:$D, MATCH($A111, 'UA-normalized'!$A:$A, 0))-INDEX('UA-normalized'!$E:$E, MATCH($A111, 'UA-normalized'!$A:$A, 0))), 0), 0))+(IFERROR(IF(18*INDEX('KZ-normalized'!$D:$D, MATCH($A111, 'KZ-normalized'!$A:$A, 0))-INDEX('KZ-normalized'!$E:$E, MATCH($A111, 'KZ-normalized'!$A:$A, 0))&gt;0, -(18*INDEX('KZ-normalized'!$D:$D, MATCH($A111, 'KZ-normalized'!$A:$A, 0))-INDEX('KZ-normalized'!$E:$E, MATCH($A111, 'KZ-normalized'!$A:$A, 0))), 0), 0))+(IFERROR(IF(18*INDEX('UZ-normalized'!$D:$D, MATCH($A111, 'UZ-normalized'!$A:$A, 0))-INDEX('UZ-normalized'!$E:$E, MATCH($A111, 'UZ-normalized'!$A:$A, 0))&gt;0, -(18*INDEX('UZ-normalized'!$D:$D, MATCH($A111, 'UZ-normalized'!$A:$A, 0))-INDEX('UZ-normalized'!$E:$E, MATCH($A111, 'UZ-normalized'!$A:$A, 0))), 0), 0)))</f>
        <v>-1264.1999999999998</v>
      </c>
      <c r="AG111" s="6">
        <f>MIN(0, N111+(IFERROR(IF(19*INDEX('UA-normalized'!$D:$D, MATCH($A111, 'UA-normalized'!$A:$A, 0))-INDEX('UA-normalized'!$E:$E, MATCH($A111, 'UA-normalized'!$A:$A, 0))&gt;0, -(19*INDEX('UA-normalized'!$D:$D, MATCH($A111, 'UA-normalized'!$A:$A, 0))-INDEX('UA-normalized'!$E:$E, MATCH($A111, 'UA-normalized'!$A:$A, 0))), 0), 0))+(IFERROR(IF(19*INDEX('KZ-normalized'!$D:$D, MATCH($A111, 'KZ-normalized'!$A:$A, 0))-INDEX('KZ-normalized'!$E:$E, MATCH($A111, 'KZ-normalized'!$A:$A, 0))&gt;0, -(19*INDEX('KZ-normalized'!$D:$D, MATCH($A111, 'KZ-normalized'!$A:$A, 0))-INDEX('KZ-normalized'!$E:$E, MATCH($A111, 'KZ-normalized'!$A:$A, 0))), 0), 0))+(IFERROR(IF(19*INDEX('UZ-normalized'!$D:$D, MATCH($A111, 'UZ-normalized'!$A:$A, 0))-INDEX('UZ-normalized'!$E:$E, MATCH($A111, 'UZ-normalized'!$A:$A, 0))&gt;0, -(19*INDEX('UZ-normalized'!$D:$D, MATCH($A111, 'UZ-normalized'!$A:$A, 0))-INDEX('UZ-normalized'!$E:$E, MATCH($A111, 'UZ-normalized'!$A:$A, 0))), 0), 0)))</f>
        <v>-1679.1000000000004</v>
      </c>
      <c r="AH111" s="6">
        <f>MIN(0, N111+(IFERROR(IF(20*INDEX('UA-normalized'!$D:$D, MATCH($A111, 'UA-normalized'!$A:$A, 0))-INDEX('UA-normalized'!$E:$E, MATCH($A111, 'UA-normalized'!$A:$A, 0))&gt;0, -(20*INDEX('UA-normalized'!$D:$D, MATCH($A111, 'UA-normalized'!$A:$A, 0))-INDEX('UA-normalized'!$E:$E, MATCH($A111, 'UA-normalized'!$A:$A, 0))), 0), 0))+(IFERROR(IF(20*INDEX('KZ-normalized'!$D:$D, MATCH($A111, 'KZ-normalized'!$A:$A, 0))-INDEX('KZ-normalized'!$E:$E, MATCH($A111, 'KZ-normalized'!$A:$A, 0))&gt;0, -(20*INDEX('KZ-normalized'!$D:$D, MATCH($A111, 'KZ-normalized'!$A:$A, 0))-INDEX('KZ-normalized'!$E:$E, MATCH($A111, 'KZ-normalized'!$A:$A, 0))), 0), 0))+(IFERROR(IF(20*INDEX('UZ-normalized'!$D:$D, MATCH($A111, 'UZ-normalized'!$A:$A, 0))-INDEX('UZ-normalized'!$E:$E, MATCH($A111, 'UZ-normalized'!$A:$A, 0))&gt;0, -(20*INDEX('UZ-normalized'!$D:$D, MATCH($A111, 'UZ-normalized'!$A:$A, 0))-INDEX('UZ-normalized'!$E:$E, MATCH($A111, 'UZ-normalized'!$A:$A, 0))), 0), 0)))</f>
        <v>-2094</v>
      </c>
      <c r="AI111" s="6">
        <f>MIN(0, N111+(IFERROR(IF(21*INDEX('UA-normalized'!$D:$D, MATCH($A111, 'UA-normalized'!$A:$A, 0))-INDEX('UA-normalized'!$E:$E, MATCH($A111, 'UA-normalized'!$A:$A, 0))&gt;0, -(21*INDEX('UA-normalized'!$D:$D, MATCH($A111, 'UA-normalized'!$A:$A, 0))-INDEX('UA-normalized'!$E:$E, MATCH($A111, 'UA-normalized'!$A:$A, 0))), 0), 0))+(IFERROR(IF(21*INDEX('KZ-normalized'!$D:$D, MATCH($A111, 'KZ-normalized'!$A:$A, 0))-INDEX('KZ-normalized'!$E:$E, MATCH($A111, 'KZ-normalized'!$A:$A, 0))&gt;0, -(21*INDEX('KZ-normalized'!$D:$D, MATCH($A111, 'KZ-normalized'!$A:$A, 0))-INDEX('KZ-normalized'!$E:$E, MATCH($A111, 'KZ-normalized'!$A:$A, 0))), 0), 0))+(IFERROR(IF(21*INDEX('UZ-normalized'!$D:$D, MATCH($A111, 'UZ-normalized'!$A:$A, 0))-INDEX('UZ-normalized'!$E:$E, MATCH($A111, 'UZ-normalized'!$A:$A, 0))&gt;0, -(21*INDEX('UZ-normalized'!$D:$D, MATCH($A111, 'UZ-normalized'!$A:$A, 0))-INDEX('UZ-normalized'!$E:$E, MATCH($A111, 'UZ-normalized'!$A:$A, 0))), 0), 0)))</f>
        <v>-2508.8999999999996</v>
      </c>
      <c r="AJ111" s="6">
        <f>MIN(0, N111+(IFERROR(IF(22*INDEX('UA-normalized'!$D:$D, MATCH($A111, 'UA-normalized'!$A:$A, 0))-INDEX('UA-normalized'!$E:$E, MATCH($A111, 'UA-normalized'!$A:$A, 0))&gt;0, -(22*INDEX('UA-normalized'!$D:$D, MATCH($A111, 'UA-normalized'!$A:$A, 0))-INDEX('UA-normalized'!$E:$E, MATCH($A111, 'UA-normalized'!$A:$A, 0))), 0), 0))+(IFERROR(IF(22*INDEX('KZ-normalized'!$D:$D, MATCH($A111, 'KZ-normalized'!$A:$A, 0))-INDEX('KZ-normalized'!$E:$E, MATCH($A111, 'KZ-normalized'!$A:$A, 0))&gt;0, -(22*INDEX('KZ-normalized'!$D:$D, MATCH($A111, 'KZ-normalized'!$A:$A, 0))-INDEX('KZ-normalized'!$E:$E, MATCH($A111, 'KZ-normalized'!$A:$A, 0))), 0), 0))+(IFERROR(IF(22*INDEX('UZ-normalized'!$D:$D, MATCH($A111, 'UZ-normalized'!$A:$A, 0))-INDEX('UZ-normalized'!$E:$E, MATCH($A111, 'UZ-normalized'!$A:$A, 0))&gt;0, -(22*INDEX('UZ-normalized'!$D:$D, MATCH($A111, 'UZ-normalized'!$A:$A, 0))-INDEX('UZ-normalized'!$E:$E, MATCH($A111, 'UZ-normalized'!$A:$A, 0))), 0), 0)))</f>
        <v>-2923.8</v>
      </c>
      <c r="AK111" s="6">
        <f>MIN(0, N111+(IFERROR(IF(23*INDEX('UA-normalized'!$D:$D, MATCH($A111, 'UA-normalized'!$A:$A, 0))-INDEX('UA-normalized'!$E:$E, MATCH($A111, 'UA-normalized'!$A:$A, 0))&gt;0, -(23*INDEX('UA-normalized'!$D:$D, MATCH($A111, 'UA-normalized'!$A:$A, 0))-INDEX('UA-normalized'!$E:$E, MATCH($A111, 'UA-normalized'!$A:$A, 0))), 0), 0))+(IFERROR(IF(23*INDEX('KZ-normalized'!$D:$D, MATCH($A111, 'KZ-normalized'!$A:$A, 0))-INDEX('KZ-normalized'!$E:$E, MATCH($A111, 'KZ-normalized'!$A:$A, 0))&gt;0, -(23*INDEX('KZ-normalized'!$D:$D, MATCH($A111, 'KZ-normalized'!$A:$A, 0))-INDEX('KZ-normalized'!$E:$E, MATCH($A111, 'KZ-normalized'!$A:$A, 0))), 0), 0))+(IFERROR(IF(23*INDEX('UZ-normalized'!$D:$D, MATCH($A111, 'UZ-normalized'!$A:$A, 0))-INDEX('UZ-normalized'!$E:$E, MATCH($A111, 'UZ-normalized'!$A:$A, 0))&gt;0, -(23*INDEX('UZ-normalized'!$D:$D, MATCH($A111, 'UZ-normalized'!$A:$A, 0))-INDEX('UZ-normalized'!$E:$E, MATCH($A111, 'UZ-normalized'!$A:$A, 0))), 0), 0)))</f>
        <v>-3338.7</v>
      </c>
      <c r="AL111" s="6">
        <f>MIN(0, N111+(IFERROR(IF(24*INDEX('UA-normalized'!$D:$D, MATCH($A111, 'UA-normalized'!$A:$A, 0))-INDEX('UA-normalized'!$E:$E, MATCH($A111, 'UA-normalized'!$A:$A, 0))&gt;0, -(24*INDEX('UA-normalized'!$D:$D, MATCH($A111, 'UA-normalized'!$A:$A, 0))-INDEX('UA-normalized'!$E:$E, MATCH($A111, 'UA-normalized'!$A:$A, 0))), 0), 0))+(IFERROR(IF(24*INDEX('KZ-normalized'!$D:$D, MATCH($A111, 'KZ-normalized'!$A:$A, 0))-INDEX('KZ-normalized'!$E:$E, MATCH($A111, 'KZ-normalized'!$A:$A, 0))&gt;0, -(24*INDEX('KZ-normalized'!$D:$D, MATCH($A111, 'KZ-normalized'!$A:$A, 0))-INDEX('KZ-normalized'!$E:$E, MATCH($A111, 'KZ-normalized'!$A:$A, 0))), 0), 0))+(IFERROR(IF(24*INDEX('UZ-normalized'!$D:$D, MATCH($A111, 'UZ-normalized'!$A:$A, 0))-INDEX('UZ-normalized'!$E:$E, MATCH($A111, 'UZ-normalized'!$A:$A, 0))&gt;0, -(24*INDEX('UZ-normalized'!$D:$D, MATCH($A111, 'UZ-normalized'!$A:$A, 0))-INDEX('UZ-normalized'!$E:$E, MATCH($A111, 'UZ-normalized'!$A:$A, 0))), 0), 0)))</f>
        <v>-3753.6000000000004</v>
      </c>
      <c r="AM111" s="6">
        <f>MIN(0, N111+(IFERROR(IF(25*INDEX('UA-normalized'!$D:$D, MATCH($A111, 'UA-normalized'!$A:$A, 0))-INDEX('UA-normalized'!$E:$E, MATCH($A111, 'UA-normalized'!$A:$A, 0))&gt;0, -(25*INDEX('UA-normalized'!$D:$D, MATCH($A111, 'UA-normalized'!$A:$A, 0))-INDEX('UA-normalized'!$E:$E, MATCH($A111, 'UA-normalized'!$A:$A, 0))), 0), 0))+(IFERROR(IF(25*INDEX('KZ-normalized'!$D:$D, MATCH($A111, 'KZ-normalized'!$A:$A, 0))-INDEX('KZ-normalized'!$E:$E, MATCH($A111, 'KZ-normalized'!$A:$A, 0))&gt;0, -(25*INDEX('KZ-normalized'!$D:$D, MATCH($A111, 'KZ-normalized'!$A:$A, 0))-INDEX('KZ-normalized'!$E:$E, MATCH($A111, 'KZ-normalized'!$A:$A, 0))), 0), 0))+(IFERROR(IF(25*INDEX('UZ-normalized'!$D:$D, MATCH($A111, 'UZ-normalized'!$A:$A, 0))-INDEX('UZ-normalized'!$E:$E, MATCH($A111, 'UZ-normalized'!$A:$A, 0))&gt;0, -(25*INDEX('UZ-normalized'!$D:$D, MATCH($A111, 'UZ-normalized'!$A:$A, 0))-INDEX('UZ-normalized'!$E:$E, MATCH($A111, 'UZ-normalized'!$A:$A, 0))), 0), 0)))</f>
        <v>-4168.5</v>
      </c>
      <c r="AN111" s="6">
        <f>MIN(0, N111+(IFERROR(IF(26*INDEX('UA-normalized'!$D:$D, MATCH($A111, 'UA-normalized'!$A:$A, 0))-INDEX('UA-normalized'!$E:$E, MATCH($A111, 'UA-normalized'!$A:$A, 0))&gt;0, -(26*INDEX('UA-normalized'!$D:$D, MATCH($A111, 'UA-normalized'!$A:$A, 0))-INDEX('UA-normalized'!$E:$E, MATCH($A111, 'UA-normalized'!$A:$A, 0))), 0), 0))+(IFERROR(IF(26*INDEX('KZ-normalized'!$D:$D, MATCH($A111, 'KZ-normalized'!$A:$A, 0))-INDEX('KZ-normalized'!$E:$E, MATCH($A111, 'KZ-normalized'!$A:$A, 0))&gt;0, -(26*INDEX('KZ-normalized'!$D:$D, MATCH($A111, 'KZ-normalized'!$A:$A, 0))-INDEX('KZ-normalized'!$E:$E, MATCH($A111, 'KZ-normalized'!$A:$A, 0))), 0), 0))+(IFERROR(IF(26*INDEX('UZ-normalized'!$D:$D, MATCH($A111, 'UZ-normalized'!$A:$A, 0))-INDEX('UZ-normalized'!$E:$E, MATCH($A111, 'UZ-normalized'!$A:$A, 0))&gt;0, -(26*INDEX('UZ-normalized'!$D:$D, MATCH($A111, 'UZ-normalized'!$A:$A, 0))-INDEX('UZ-normalized'!$E:$E, MATCH($A111, 'UZ-normalized'!$A:$A, 0))), 0), 0)))</f>
        <v>-4583.3999999999996</v>
      </c>
      <c r="AO111" s="6">
        <f>MIN(0, N111+(IFERROR(IF(27*INDEX('UA-normalized'!$D:$D, MATCH($A111, 'UA-normalized'!$A:$A, 0))-INDEX('UA-normalized'!$E:$E, MATCH($A111, 'UA-normalized'!$A:$A, 0))&gt;0, -(27*INDEX('UA-normalized'!$D:$D, MATCH($A111, 'UA-normalized'!$A:$A, 0))-INDEX('UA-normalized'!$E:$E, MATCH($A111, 'UA-normalized'!$A:$A, 0))), 0), 0))+(IFERROR(IF(27*INDEX('KZ-normalized'!$D:$D, MATCH($A111, 'KZ-normalized'!$A:$A, 0))-INDEX('KZ-normalized'!$E:$E, MATCH($A111, 'KZ-normalized'!$A:$A, 0))&gt;0, -(27*INDEX('KZ-normalized'!$D:$D, MATCH($A111, 'KZ-normalized'!$A:$A, 0))-INDEX('KZ-normalized'!$E:$E, MATCH($A111, 'KZ-normalized'!$A:$A, 0))), 0), 0))+(IFERROR(IF(27*INDEX('UZ-normalized'!$D:$D, MATCH($A111, 'UZ-normalized'!$A:$A, 0))-INDEX('UZ-normalized'!$E:$E, MATCH($A111, 'UZ-normalized'!$A:$A, 0))&gt;0, -(27*INDEX('UZ-normalized'!$D:$D, MATCH($A111, 'UZ-normalized'!$A:$A, 0))-INDEX('UZ-normalized'!$E:$E, MATCH($A111, 'UZ-normalized'!$A:$A, 0))), 0), 0)))</f>
        <v>-4998.3</v>
      </c>
      <c r="AP111" s="6">
        <f>MIN(0, N111+(IFERROR(IF(28*INDEX('UA-normalized'!$D:$D, MATCH($A111, 'UA-normalized'!$A:$A, 0))-INDEX('UA-normalized'!$E:$E, MATCH($A111, 'UA-normalized'!$A:$A, 0))&gt;0, -(28*INDEX('UA-normalized'!$D:$D, MATCH($A111, 'UA-normalized'!$A:$A, 0))-INDEX('UA-normalized'!$E:$E, MATCH($A111, 'UA-normalized'!$A:$A, 0))), 0), 0))+(IFERROR(IF(28*INDEX('KZ-normalized'!$D:$D, MATCH($A111, 'KZ-normalized'!$A:$A, 0))-INDEX('KZ-normalized'!$E:$E, MATCH($A111, 'KZ-normalized'!$A:$A, 0))&gt;0, -(28*INDEX('KZ-normalized'!$D:$D, MATCH($A111, 'KZ-normalized'!$A:$A, 0))-INDEX('KZ-normalized'!$E:$E, MATCH($A111, 'KZ-normalized'!$A:$A, 0))), 0), 0))+(IFERROR(IF(28*INDEX('UZ-normalized'!$D:$D, MATCH($A111, 'UZ-normalized'!$A:$A, 0))-INDEX('UZ-normalized'!$E:$E, MATCH($A111, 'UZ-normalized'!$A:$A, 0))&gt;0, -(28*INDEX('UZ-normalized'!$D:$D, MATCH($A111, 'UZ-normalized'!$A:$A, 0))-INDEX('UZ-normalized'!$E:$E, MATCH($A111, 'UZ-normalized'!$A:$A, 0))), 0), 0)))</f>
        <v>-5413.2</v>
      </c>
      <c r="AQ111" s="6">
        <f>MIN(0, N111+(IFERROR(IF(29*INDEX('UA-normalized'!$D:$D, MATCH($A111, 'UA-normalized'!$A:$A, 0))-INDEX('UA-normalized'!$E:$E, MATCH($A111, 'UA-normalized'!$A:$A, 0))&gt;0, -(29*INDEX('UA-normalized'!$D:$D, MATCH($A111, 'UA-normalized'!$A:$A, 0))-INDEX('UA-normalized'!$E:$E, MATCH($A111, 'UA-normalized'!$A:$A, 0))), 0), 0))+(IFERROR(IF(29*INDEX('KZ-normalized'!$D:$D, MATCH($A111, 'KZ-normalized'!$A:$A, 0))-INDEX('KZ-normalized'!$E:$E, MATCH($A111, 'KZ-normalized'!$A:$A, 0))&gt;0, -(29*INDEX('KZ-normalized'!$D:$D, MATCH($A111, 'KZ-normalized'!$A:$A, 0))-INDEX('KZ-normalized'!$E:$E, MATCH($A111, 'KZ-normalized'!$A:$A, 0))), 0), 0))+(IFERROR(IF(29*INDEX('UZ-normalized'!$D:$D, MATCH($A111, 'UZ-normalized'!$A:$A, 0))-INDEX('UZ-normalized'!$E:$E, MATCH($A111, 'UZ-normalized'!$A:$A, 0))&gt;0, -(29*INDEX('UZ-normalized'!$D:$D, MATCH($A111, 'UZ-normalized'!$A:$A, 0))-INDEX('UZ-normalized'!$E:$E, MATCH($A111, 'UZ-normalized'!$A:$A, 0))), 0), 0)))</f>
        <v>-5828.1</v>
      </c>
      <c r="AR111" s="6">
        <f>MIN(0, N111+(IFERROR(IF(30*INDEX('UA-normalized'!$D:$D, MATCH($A111, 'UA-normalized'!$A:$A, 0))-INDEX('UA-normalized'!$E:$E, MATCH($A111, 'UA-normalized'!$A:$A, 0))&gt;0, -(30*INDEX('UA-normalized'!$D:$D, MATCH($A111, 'UA-normalized'!$A:$A, 0))-INDEX('UA-normalized'!$E:$E, MATCH($A111, 'UA-normalized'!$A:$A, 0))), 0), 0))+(IFERROR(IF(30*INDEX('KZ-normalized'!$D:$D, MATCH($A111, 'KZ-normalized'!$A:$A, 0))-INDEX('KZ-normalized'!$E:$E, MATCH($A111, 'KZ-normalized'!$A:$A, 0))&gt;0, -(30*INDEX('KZ-normalized'!$D:$D, MATCH($A111, 'KZ-normalized'!$A:$A, 0))-INDEX('KZ-normalized'!$E:$E, MATCH($A111, 'KZ-normalized'!$A:$A, 0))), 0), 0))+(IFERROR(IF(30*INDEX('UZ-normalized'!$D:$D, MATCH($A111, 'UZ-normalized'!$A:$A, 0))-INDEX('UZ-normalized'!$E:$E, MATCH($A111, 'UZ-normalized'!$A:$A, 0))&gt;0, -(30*INDEX('UZ-normalized'!$D:$D, MATCH($A111, 'UZ-normalized'!$A:$A, 0))-INDEX('UZ-normalized'!$E:$E, MATCH($A111, 'UZ-normalized'!$A:$A, 0))), 0), 0)))</f>
        <v>-6243</v>
      </c>
    </row>
    <row r="112" spans="1:44" x14ac:dyDescent="0.25">
      <c r="A112" s="8" t="s">
        <v>276</v>
      </c>
      <c r="B112" s="8" t="s">
        <v>180</v>
      </c>
      <c r="C112" s="8" t="s">
        <v>256</v>
      </c>
      <c r="D112" s="8" t="s">
        <v>277</v>
      </c>
      <c r="N112">
        <f t="shared" si="1"/>
        <v>0</v>
      </c>
      <c r="O112" s="6">
        <f>MIN(0, N112+(IFERROR(IF(1*INDEX('UA-normalized'!$D:$D, MATCH($A112, 'UA-normalized'!$A:$A, 0))-INDEX('UA-normalized'!$E:$E, MATCH($A112, 'UA-normalized'!$A:$A, 0))&gt;0, -(1*INDEX('UA-normalized'!$D:$D, MATCH($A112, 'UA-normalized'!$A:$A, 0))-INDEX('UA-normalized'!$E:$E, MATCH($A112, 'UA-normalized'!$A:$A, 0))), 0), 0))+(IFERROR(IF(1*INDEX('KZ-normalized'!$D:$D, MATCH($A112, 'KZ-normalized'!$A:$A, 0))-INDEX('KZ-normalized'!$E:$E, MATCH($A112, 'KZ-normalized'!$A:$A, 0))&gt;0, -(1*INDEX('KZ-normalized'!$D:$D, MATCH($A112, 'KZ-normalized'!$A:$A, 0))-INDEX('KZ-normalized'!$E:$E, MATCH($A112, 'KZ-normalized'!$A:$A, 0))), 0), 0))+(IFERROR(IF(1*INDEX('UZ-normalized'!$D:$D, MATCH($A112, 'UZ-normalized'!$A:$A, 0))-INDEX('UZ-normalized'!$E:$E, MATCH($A112, 'UZ-normalized'!$A:$A, 0))&gt;0, -(1*INDEX('UZ-normalized'!$D:$D, MATCH($A112, 'UZ-normalized'!$A:$A, 0))-INDEX('UZ-normalized'!$E:$E, MATCH($A112, 'UZ-normalized'!$A:$A, 0))), 0), 0)))</f>
        <v>0</v>
      </c>
      <c r="P112" s="6">
        <f>MIN(0, N112+(IFERROR(IF(2*INDEX('UA-normalized'!$D:$D, MATCH($A112, 'UA-normalized'!$A:$A, 0))-INDEX('UA-normalized'!$E:$E, MATCH($A112, 'UA-normalized'!$A:$A, 0))&gt;0, -(2*INDEX('UA-normalized'!$D:$D, MATCH($A112, 'UA-normalized'!$A:$A, 0))-INDEX('UA-normalized'!$E:$E, MATCH($A112, 'UA-normalized'!$A:$A, 0))), 0), 0))+(IFERROR(IF(2*INDEX('KZ-normalized'!$D:$D, MATCH($A112, 'KZ-normalized'!$A:$A, 0))-INDEX('KZ-normalized'!$E:$E, MATCH($A112, 'KZ-normalized'!$A:$A, 0))&gt;0, -(2*INDEX('KZ-normalized'!$D:$D, MATCH($A112, 'KZ-normalized'!$A:$A, 0))-INDEX('KZ-normalized'!$E:$E, MATCH($A112, 'KZ-normalized'!$A:$A, 0))), 0), 0))+(IFERROR(IF(2*INDEX('UZ-normalized'!$D:$D, MATCH($A112, 'UZ-normalized'!$A:$A, 0))-INDEX('UZ-normalized'!$E:$E, MATCH($A112, 'UZ-normalized'!$A:$A, 0))&gt;0, -(2*INDEX('UZ-normalized'!$D:$D, MATCH($A112, 'UZ-normalized'!$A:$A, 0))-INDEX('UZ-normalized'!$E:$E, MATCH($A112, 'UZ-normalized'!$A:$A, 0))), 0), 0)))</f>
        <v>0</v>
      </c>
      <c r="Q112" s="6">
        <f>MIN(0, N112+(IFERROR(IF(3*INDEX('UA-normalized'!$D:$D, MATCH($A112, 'UA-normalized'!$A:$A, 0))-INDEX('UA-normalized'!$E:$E, MATCH($A112, 'UA-normalized'!$A:$A, 0))&gt;0, -(3*INDEX('UA-normalized'!$D:$D, MATCH($A112, 'UA-normalized'!$A:$A, 0))-INDEX('UA-normalized'!$E:$E, MATCH($A112, 'UA-normalized'!$A:$A, 0))), 0), 0))+(IFERROR(IF(3*INDEX('KZ-normalized'!$D:$D, MATCH($A112, 'KZ-normalized'!$A:$A, 0))-INDEX('KZ-normalized'!$E:$E, MATCH($A112, 'KZ-normalized'!$A:$A, 0))&gt;0, -(3*INDEX('KZ-normalized'!$D:$D, MATCH($A112, 'KZ-normalized'!$A:$A, 0))-INDEX('KZ-normalized'!$E:$E, MATCH($A112, 'KZ-normalized'!$A:$A, 0))), 0), 0))+(IFERROR(IF(3*INDEX('UZ-normalized'!$D:$D, MATCH($A112, 'UZ-normalized'!$A:$A, 0))-INDEX('UZ-normalized'!$E:$E, MATCH($A112, 'UZ-normalized'!$A:$A, 0))&gt;0, -(3*INDEX('UZ-normalized'!$D:$D, MATCH($A112, 'UZ-normalized'!$A:$A, 0))-INDEX('UZ-normalized'!$E:$E, MATCH($A112, 'UZ-normalized'!$A:$A, 0))), 0), 0)))</f>
        <v>0</v>
      </c>
      <c r="R112" s="6">
        <f>MIN(0, N112+(IFERROR(IF(4*INDEX('UA-normalized'!$D:$D, MATCH($A112, 'UA-normalized'!$A:$A, 0))-INDEX('UA-normalized'!$E:$E, MATCH($A112, 'UA-normalized'!$A:$A, 0))&gt;0, -(4*INDEX('UA-normalized'!$D:$D, MATCH($A112, 'UA-normalized'!$A:$A, 0))-INDEX('UA-normalized'!$E:$E, MATCH($A112, 'UA-normalized'!$A:$A, 0))), 0), 0))+(IFERROR(IF(4*INDEX('KZ-normalized'!$D:$D, MATCH($A112, 'KZ-normalized'!$A:$A, 0))-INDEX('KZ-normalized'!$E:$E, MATCH($A112, 'KZ-normalized'!$A:$A, 0))&gt;0, -(4*INDEX('KZ-normalized'!$D:$D, MATCH($A112, 'KZ-normalized'!$A:$A, 0))-INDEX('KZ-normalized'!$E:$E, MATCH($A112, 'KZ-normalized'!$A:$A, 0))), 0), 0))+(IFERROR(IF(4*INDEX('UZ-normalized'!$D:$D, MATCH($A112, 'UZ-normalized'!$A:$A, 0))-INDEX('UZ-normalized'!$E:$E, MATCH($A112, 'UZ-normalized'!$A:$A, 0))&gt;0, -(4*INDEX('UZ-normalized'!$D:$D, MATCH($A112, 'UZ-normalized'!$A:$A, 0))-INDEX('UZ-normalized'!$E:$E, MATCH($A112, 'UZ-normalized'!$A:$A, 0))), 0), 0)))</f>
        <v>0</v>
      </c>
      <c r="S112" s="6">
        <f>MIN(0, N112+(IFERROR(IF(5*INDEX('UA-normalized'!$D:$D, MATCH($A112, 'UA-normalized'!$A:$A, 0))-INDEX('UA-normalized'!$E:$E, MATCH($A112, 'UA-normalized'!$A:$A, 0))&gt;0, -(5*INDEX('UA-normalized'!$D:$D, MATCH($A112, 'UA-normalized'!$A:$A, 0))-INDEX('UA-normalized'!$E:$E, MATCH($A112, 'UA-normalized'!$A:$A, 0))), 0), 0))+(IFERROR(IF(5*INDEX('KZ-normalized'!$D:$D, MATCH($A112, 'KZ-normalized'!$A:$A, 0))-INDEX('KZ-normalized'!$E:$E, MATCH($A112, 'KZ-normalized'!$A:$A, 0))&gt;0, -(5*INDEX('KZ-normalized'!$D:$D, MATCH($A112, 'KZ-normalized'!$A:$A, 0))-INDEX('KZ-normalized'!$E:$E, MATCH($A112, 'KZ-normalized'!$A:$A, 0))), 0), 0))+(IFERROR(IF(5*INDEX('UZ-normalized'!$D:$D, MATCH($A112, 'UZ-normalized'!$A:$A, 0))-INDEX('UZ-normalized'!$E:$E, MATCH($A112, 'UZ-normalized'!$A:$A, 0))&gt;0, -(5*INDEX('UZ-normalized'!$D:$D, MATCH($A112, 'UZ-normalized'!$A:$A, 0))-INDEX('UZ-normalized'!$E:$E, MATCH($A112, 'UZ-normalized'!$A:$A, 0))), 0), 0)))</f>
        <v>0</v>
      </c>
      <c r="T112" s="6">
        <f>MIN(0, N112+(IFERROR(IF(6*INDEX('UA-normalized'!$D:$D, MATCH($A112, 'UA-normalized'!$A:$A, 0))-INDEX('UA-normalized'!$E:$E, MATCH($A112, 'UA-normalized'!$A:$A, 0))&gt;0, -(6*INDEX('UA-normalized'!$D:$D, MATCH($A112, 'UA-normalized'!$A:$A, 0))-INDEX('UA-normalized'!$E:$E, MATCH($A112, 'UA-normalized'!$A:$A, 0))), 0), 0))+(IFERROR(IF(6*INDEX('KZ-normalized'!$D:$D, MATCH($A112, 'KZ-normalized'!$A:$A, 0))-INDEX('KZ-normalized'!$E:$E, MATCH($A112, 'KZ-normalized'!$A:$A, 0))&gt;0, -(6*INDEX('KZ-normalized'!$D:$D, MATCH($A112, 'KZ-normalized'!$A:$A, 0))-INDEX('KZ-normalized'!$E:$E, MATCH($A112, 'KZ-normalized'!$A:$A, 0))), 0), 0))+(IFERROR(IF(6*INDEX('UZ-normalized'!$D:$D, MATCH($A112, 'UZ-normalized'!$A:$A, 0))-INDEX('UZ-normalized'!$E:$E, MATCH($A112, 'UZ-normalized'!$A:$A, 0))&gt;0, -(6*INDEX('UZ-normalized'!$D:$D, MATCH($A112, 'UZ-normalized'!$A:$A, 0))-INDEX('UZ-normalized'!$E:$E, MATCH($A112, 'UZ-normalized'!$A:$A, 0))), 0), 0)))</f>
        <v>0</v>
      </c>
      <c r="U112" s="6">
        <f>MIN(0, N112+(IFERROR(IF(7*INDEX('UA-normalized'!$D:$D, MATCH($A112, 'UA-normalized'!$A:$A, 0))-INDEX('UA-normalized'!$E:$E, MATCH($A112, 'UA-normalized'!$A:$A, 0))&gt;0, -(7*INDEX('UA-normalized'!$D:$D, MATCH($A112, 'UA-normalized'!$A:$A, 0))-INDEX('UA-normalized'!$E:$E, MATCH($A112, 'UA-normalized'!$A:$A, 0))), 0), 0))+(IFERROR(IF(7*INDEX('KZ-normalized'!$D:$D, MATCH($A112, 'KZ-normalized'!$A:$A, 0))-INDEX('KZ-normalized'!$E:$E, MATCH($A112, 'KZ-normalized'!$A:$A, 0))&gt;0, -(7*INDEX('KZ-normalized'!$D:$D, MATCH($A112, 'KZ-normalized'!$A:$A, 0))-INDEX('KZ-normalized'!$E:$E, MATCH($A112, 'KZ-normalized'!$A:$A, 0))), 0), 0))+(IFERROR(IF(7*INDEX('UZ-normalized'!$D:$D, MATCH($A112, 'UZ-normalized'!$A:$A, 0))-INDEX('UZ-normalized'!$E:$E, MATCH($A112, 'UZ-normalized'!$A:$A, 0))&gt;0, -(7*INDEX('UZ-normalized'!$D:$D, MATCH($A112, 'UZ-normalized'!$A:$A, 0))-INDEX('UZ-normalized'!$E:$E, MATCH($A112, 'UZ-normalized'!$A:$A, 0))), 0), 0)))</f>
        <v>0</v>
      </c>
      <c r="V112" s="6">
        <f>MIN(0, N112+(IFERROR(IF(8*INDEX('UA-normalized'!$D:$D, MATCH($A112, 'UA-normalized'!$A:$A, 0))-INDEX('UA-normalized'!$E:$E, MATCH($A112, 'UA-normalized'!$A:$A, 0))&gt;0, -(8*INDEX('UA-normalized'!$D:$D, MATCH($A112, 'UA-normalized'!$A:$A, 0))-INDEX('UA-normalized'!$E:$E, MATCH($A112, 'UA-normalized'!$A:$A, 0))), 0), 0))+(IFERROR(IF(8*INDEX('KZ-normalized'!$D:$D, MATCH($A112, 'KZ-normalized'!$A:$A, 0))-INDEX('KZ-normalized'!$E:$E, MATCH($A112, 'KZ-normalized'!$A:$A, 0))&gt;0, -(8*INDEX('KZ-normalized'!$D:$D, MATCH($A112, 'KZ-normalized'!$A:$A, 0))-INDEX('KZ-normalized'!$E:$E, MATCH($A112, 'KZ-normalized'!$A:$A, 0))), 0), 0))+(IFERROR(IF(8*INDEX('UZ-normalized'!$D:$D, MATCH($A112, 'UZ-normalized'!$A:$A, 0))-INDEX('UZ-normalized'!$E:$E, MATCH($A112, 'UZ-normalized'!$A:$A, 0))&gt;0, -(8*INDEX('UZ-normalized'!$D:$D, MATCH($A112, 'UZ-normalized'!$A:$A, 0))-INDEX('UZ-normalized'!$E:$E, MATCH($A112, 'UZ-normalized'!$A:$A, 0))), 0), 0)))</f>
        <v>0</v>
      </c>
      <c r="W112" s="6">
        <f>MIN(0, N112+(IFERROR(IF(9*INDEX('UA-normalized'!$D:$D, MATCH($A112, 'UA-normalized'!$A:$A, 0))-INDEX('UA-normalized'!$E:$E, MATCH($A112, 'UA-normalized'!$A:$A, 0))&gt;0, -(9*INDEX('UA-normalized'!$D:$D, MATCH($A112, 'UA-normalized'!$A:$A, 0))-INDEX('UA-normalized'!$E:$E, MATCH($A112, 'UA-normalized'!$A:$A, 0))), 0), 0))+(IFERROR(IF(9*INDEX('KZ-normalized'!$D:$D, MATCH($A112, 'KZ-normalized'!$A:$A, 0))-INDEX('KZ-normalized'!$E:$E, MATCH($A112, 'KZ-normalized'!$A:$A, 0))&gt;0, -(9*INDEX('KZ-normalized'!$D:$D, MATCH($A112, 'KZ-normalized'!$A:$A, 0))-INDEX('KZ-normalized'!$E:$E, MATCH($A112, 'KZ-normalized'!$A:$A, 0))), 0), 0))+(IFERROR(IF(9*INDEX('UZ-normalized'!$D:$D, MATCH($A112, 'UZ-normalized'!$A:$A, 0))-INDEX('UZ-normalized'!$E:$E, MATCH($A112, 'UZ-normalized'!$A:$A, 0))&gt;0, -(9*INDEX('UZ-normalized'!$D:$D, MATCH($A112, 'UZ-normalized'!$A:$A, 0))-INDEX('UZ-normalized'!$E:$E, MATCH($A112, 'UZ-normalized'!$A:$A, 0))), 0), 0)))</f>
        <v>0</v>
      </c>
      <c r="X112" s="6">
        <f>MIN(0, N112+(IFERROR(IF(10*INDEX('UA-normalized'!$D:$D, MATCH($A112, 'UA-normalized'!$A:$A, 0))-INDEX('UA-normalized'!$E:$E, MATCH($A112, 'UA-normalized'!$A:$A, 0))&gt;0, -(10*INDEX('UA-normalized'!$D:$D, MATCH($A112, 'UA-normalized'!$A:$A, 0))-INDEX('UA-normalized'!$E:$E, MATCH($A112, 'UA-normalized'!$A:$A, 0))), 0), 0))+(IFERROR(IF(10*INDEX('KZ-normalized'!$D:$D, MATCH($A112, 'KZ-normalized'!$A:$A, 0))-INDEX('KZ-normalized'!$E:$E, MATCH($A112, 'KZ-normalized'!$A:$A, 0))&gt;0, -(10*INDEX('KZ-normalized'!$D:$D, MATCH($A112, 'KZ-normalized'!$A:$A, 0))-INDEX('KZ-normalized'!$E:$E, MATCH($A112, 'KZ-normalized'!$A:$A, 0))), 0), 0))+(IFERROR(IF(10*INDEX('UZ-normalized'!$D:$D, MATCH($A112, 'UZ-normalized'!$A:$A, 0))-INDEX('UZ-normalized'!$E:$E, MATCH($A112, 'UZ-normalized'!$A:$A, 0))&gt;0, -(10*INDEX('UZ-normalized'!$D:$D, MATCH($A112, 'UZ-normalized'!$A:$A, 0))-INDEX('UZ-normalized'!$E:$E, MATCH($A112, 'UZ-normalized'!$A:$A, 0))), 0), 0)))</f>
        <v>0</v>
      </c>
      <c r="Y112" s="6">
        <f>MIN(0, N112+(IFERROR(IF(11*INDEX('UA-normalized'!$D:$D, MATCH($A112, 'UA-normalized'!$A:$A, 0))-INDEX('UA-normalized'!$E:$E, MATCH($A112, 'UA-normalized'!$A:$A, 0))&gt;0, -(11*INDEX('UA-normalized'!$D:$D, MATCH($A112, 'UA-normalized'!$A:$A, 0))-INDEX('UA-normalized'!$E:$E, MATCH($A112, 'UA-normalized'!$A:$A, 0))), 0), 0))+(IFERROR(IF(11*INDEX('KZ-normalized'!$D:$D, MATCH($A112, 'KZ-normalized'!$A:$A, 0))-INDEX('KZ-normalized'!$E:$E, MATCH($A112, 'KZ-normalized'!$A:$A, 0))&gt;0, -(11*INDEX('KZ-normalized'!$D:$D, MATCH($A112, 'KZ-normalized'!$A:$A, 0))-INDEX('KZ-normalized'!$E:$E, MATCH($A112, 'KZ-normalized'!$A:$A, 0))), 0), 0))+(IFERROR(IF(11*INDEX('UZ-normalized'!$D:$D, MATCH($A112, 'UZ-normalized'!$A:$A, 0))-INDEX('UZ-normalized'!$E:$E, MATCH($A112, 'UZ-normalized'!$A:$A, 0))&gt;0, -(11*INDEX('UZ-normalized'!$D:$D, MATCH($A112, 'UZ-normalized'!$A:$A, 0))-INDEX('UZ-normalized'!$E:$E, MATCH($A112, 'UZ-normalized'!$A:$A, 0))), 0), 0)))</f>
        <v>-0.69999999999999929</v>
      </c>
      <c r="Z112" s="6">
        <f>MIN(0, N112+(IFERROR(IF(12*INDEX('UA-normalized'!$D:$D, MATCH($A112, 'UA-normalized'!$A:$A, 0))-INDEX('UA-normalized'!$E:$E, MATCH($A112, 'UA-normalized'!$A:$A, 0))&gt;0, -(12*INDEX('UA-normalized'!$D:$D, MATCH($A112, 'UA-normalized'!$A:$A, 0))-INDEX('UA-normalized'!$E:$E, MATCH($A112, 'UA-normalized'!$A:$A, 0))), 0), 0))+(IFERROR(IF(12*INDEX('KZ-normalized'!$D:$D, MATCH($A112, 'KZ-normalized'!$A:$A, 0))-INDEX('KZ-normalized'!$E:$E, MATCH($A112, 'KZ-normalized'!$A:$A, 0))&gt;0, -(12*INDEX('KZ-normalized'!$D:$D, MATCH($A112, 'KZ-normalized'!$A:$A, 0))-INDEX('KZ-normalized'!$E:$E, MATCH($A112, 'KZ-normalized'!$A:$A, 0))), 0), 0))+(IFERROR(IF(12*INDEX('UZ-normalized'!$D:$D, MATCH($A112, 'UZ-normalized'!$A:$A, 0))-INDEX('UZ-normalized'!$E:$E, MATCH($A112, 'UZ-normalized'!$A:$A, 0))&gt;0, -(12*INDEX('UZ-normalized'!$D:$D, MATCH($A112, 'UZ-normalized'!$A:$A, 0))-INDEX('UZ-normalized'!$E:$E, MATCH($A112, 'UZ-normalized'!$A:$A, 0))), 0), 0)))</f>
        <v>-1.3999999999999986</v>
      </c>
      <c r="AA112" s="6">
        <f>MIN(0, N112+(IFERROR(IF(13*INDEX('UA-normalized'!$D:$D, MATCH($A112, 'UA-normalized'!$A:$A, 0))-INDEX('UA-normalized'!$E:$E, MATCH($A112, 'UA-normalized'!$A:$A, 0))&gt;0, -(13*INDEX('UA-normalized'!$D:$D, MATCH($A112, 'UA-normalized'!$A:$A, 0))-INDEX('UA-normalized'!$E:$E, MATCH($A112, 'UA-normalized'!$A:$A, 0))), 0), 0))+(IFERROR(IF(13*INDEX('KZ-normalized'!$D:$D, MATCH($A112, 'KZ-normalized'!$A:$A, 0))-INDEX('KZ-normalized'!$E:$E, MATCH($A112, 'KZ-normalized'!$A:$A, 0))&gt;0, -(13*INDEX('KZ-normalized'!$D:$D, MATCH($A112, 'KZ-normalized'!$A:$A, 0))-INDEX('KZ-normalized'!$E:$E, MATCH($A112, 'KZ-normalized'!$A:$A, 0))), 0), 0))+(IFERROR(IF(13*INDEX('UZ-normalized'!$D:$D, MATCH($A112, 'UZ-normalized'!$A:$A, 0))-INDEX('UZ-normalized'!$E:$E, MATCH($A112, 'UZ-normalized'!$A:$A, 0))&gt;0, -(13*INDEX('UZ-normalized'!$D:$D, MATCH($A112, 'UZ-normalized'!$A:$A, 0))-INDEX('UZ-normalized'!$E:$E, MATCH($A112, 'UZ-normalized'!$A:$A, 0))), 0), 0)))</f>
        <v>-2.0999999999999996</v>
      </c>
      <c r="AB112" s="6">
        <f>MIN(0, N112+(IFERROR(IF(14*INDEX('UA-normalized'!$D:$D, MATCH($A112, 'UA-normalized'!$A:$A, 0))-INDEX('UA-normalized'!$E:$E, MATCH($A112, 'UA-normalized'!$A:$A, 0))&gt;0, -(14*INDEX('UA-normalized'!$D:$D, MATCH($A112, 'UA-normalized'!$A:$A, 0))-INDEX('UA-normalized'!$E:$E, MATCH($A112, 'UA-normalized'!$A:$A, 0))), 0), 0))+(IFERROR(IF(14*INDEX('KZ-normalized'!$D:$D, MATCH($A112, 'KZ-normalized'!$A:$A, 0))-INDEX('KZ-normalized'!$E:$E, MATCH($A112, 'KZ-normalized'!$A:$A, 0))&gt;0, -(14*INDEX('KZ-normalized'!$D:$D, MATCH($A112, 'KZ-normalized'!$A:$A, 0))-INDEX('KZ-normalized'!$E:$E, MATCH($A112, 'KZ-normalized'!$A:$A, 0))), 0), 0))+(IFERROR(IF(14*INDEX('UZ-normalized'!$D:$D, MATCH($A112, 'UZ-normalized'!$A:$A, 0))-INDEX('UZ-normalized'!$E:$E, MATCH($A112, 'UZ-normalized'!$A:$A, 0))&gt;0, -(14*INDEX('UZ-normalized'!$D:$D, MATCH($A112, 'UZ-normalized'!$A:$A, 0))-INDEX('UZ-normalized'!$E:$E, MATCH($A112, 'UZ-normalized'!$A:$A, 0))), 0), 0)))</f>
        <v>-2.7999999999999989</v>
      </c>
      <c r="AC112" s="6">
        <f>MIN(0, N112+(IFERROR(IF(15*INDEX('UA-normalized'!$D:$D, MATCH($A112, 'UA-normalized'!$A:$A, 0))-INDEX('UA-normalized'!$E:$E, MATCH($A112, 'UA-normalized'!$A:$A, 0))&gt;0, -(15*INDEX('UA-normalized'!$D:$D, MATCH($A112, 'UA-normalized'!$A:$A, 0))-INDEX('UA-normalized'!$E:$E, MATCH($A112, 'UA-normalized'!$A:$A, 0))), 0), 0))+(IFERROR(IF(15*INDEX('KZ-normalized'!$D:$D, MATCH($A112, 'KZ-normalized'!$A:$A, 0))-INDEX('KZ-normalized'!$E:$E, MATCH($A112, 'KZ-normalized'!$A:$A, 0))&gt;0, -(15*INDEX('KZ-normalized'!$D:$D, MATCH($A112, 'KZ-normalized'!$A:$A, 0))-INDEX('KZ-normalized'!$E:$E, MATCH($A112, 'KZ-normalized'!$A:$A, 0))), 0), 0))+(IFERROR(IF(15*INDEX('UZ-normalized'!$D:$D, MATCH($A112, 'UZ-normalized'!$A:$A, 0))-INDEX('UZ-normalized'!$E:$E, MATCH($A112, 'UZ-normalized'!$A:$A, 0))&gt;0, -(15*INDEX('UZ-normalized'!$D:$D, MATCH($A112, 'UZ-normalized'!$A:$A, 0))-INDEX('UZ-normalized'!$E:$E, MATCH($A112, 'UZ-normalized'!$A:$A, 0))), 0), 0)))</f>
        <v>-3.5</v>
      </c>
      <c r="AD112" s="6">
        <f>MIN(0, N112+(IFERROR(IF(16*INDEX('UA-normalized'!$D:$D, MATCH($A112, 'UA-normalized'!$A:$A, 0))-INDEX('UA-normalized'!$E:$E, MATCH($A112, 'UA-normalized'!$A:$A, 0))&gt;0, -(16*INDEX('UA-normalized'!$D:$D, MATCH($A112, 'UA-normalized'!$A:$A, 0))-INDEX('UA-normalized'!$E:$E, MATCH($A112, 'UA-normalized'!$A:$A, 0))), 0), 0))+(IFERROR(IF(16*INDEX('KZ-normalized'!$D:$D, MATCH($A112, 'KZ-normalized'!$A:$A, 0))-INDEX('KZ-normalized'!$E:$E, MATCH($A112, 'KZ-normalized'!$A:$A, 0))&gt;0, -(16*INDEX('KZ-normalized'!$D:$D, MATCH($A112, 'KZ-normalized'!$A:$A, 0))-INDEX('KZ-normalized'!$E:$E, MATCH($A112, 'KZ-normalized'!$A:$A, 0))), 0), 0))+(IFERROR(IF(16*INDEX('UZ-normalized'!$D:$D, MATCH($A112, 'UZ-normalized'!$A:$A, 0))-INDEX('UZ-normalized'!$E:$E, MATCH($A112, 'UZ-normalized'!$A:$A, 0))&gt;0, -(16*INDEX('UZ-normalized'!$D:$D, MATCH($A112, 'UZ-normalized'!$A:$A, 0))-INDEX('UZ-normalized'!$E:$E, MATCH($A112, 'UZ-normalized'!$A:$A, 0))), 0), 0)))</f>
        <v>-4.1999999999999993</v>
      </c>
      <c r="AE112" s="6">
        <f>MIN(0, N112+(IFERROR(IF(17*INDEX('UA-normalized'!$D:$D, MATCH($A112, 'UA-normalized'!$A:$A, 0))-INDEX('UA-normalized'!$E:$E, MATCH($A112, 'UA-normalized'!$A:$A, 0))&gt;0, -(17*INDEX('UA-normalized'!$D:$D, MATCH($A112, 'UA-normalized'!$A:$A, 0))-INDEX('UA-normalized'!$E:$E, MATCH($A112, 'UA-normalized'!$A:$A, 0))), 0), 0))+(IFERROR(IF(17*INDEX('KZ-normalized'!$D:$D, MATCH($A112, 'KZ-normalized'!$A:$A, 0))-INDEX('KZ-normalized'!$E:$E, MATCH($A112, 'KZ-normalized'!$A:$A, 0))&gt;0, -(17*INDEX('KZ-normalized'!$D:$D, MATCH($A112, 'KZ-normalized'!$A:$A, 0))-INDEX('KZ-normalized'!$E:$E, MATCH($A112, 'KZ-normalized'!$A:$A, 0))), 0), 0))+(IFERROR(IF(17*INDEX('UZ-normalized'!$D:$D, MATCH($A112, 'UZ-normalized'!$A:$A, 0))-INDEX('UZ-normalized'!$E:$E, MATCH($A112, 'UZ-normalized'!$A:$A, 0))&gt;0, -(17*INDEX('UZ-normalized'!$D:$D, MATCH($A112, 'UZ-normalized'!$A:$A, 0))-INDEX('UZ-normalized'!$E:$E, MATCH($A112, 'UZ-normalized'!$A:$A, 0))), 0), 0)))</f>
        <v>-4.8999999999999986</v>
      </c>
      <c r="AF112" s="6">
        <f>MIN(0, N112+(IFERROR(IF(18*INDEX('UA-normalized'!$D:$D, MATCH($A112, 'UA-normalized'!$A:$A, 0))-INDEX('UA-normalized'!$E:$E, MATCH($A112, 'UA-normalized'!$A:$A, 0))&gt;0, -(18*INDEX('UA-normalized'!$D:$D, MATCH($A112, 'UA-normalized'!$A:$A, 0))-INDEX('UA-normalized'!$E:$E, MATCH($A112, 'UA-normalized'!$A:$A, 0))), 0), 0))+(IFERROR(IF(18*INDEX('KZ-normalized'!$D:$D, MATCH($A112, 'KZ-normalized'!$A:$A, 0))-INDEX('KZ-normalized'!$E:$E, MATCH($A112, 'KZ-normalized'!$A:$A, 0))&gt;0, -(18*INDEX('KZ-normalized'!$D:$D, MATCH($A112, 'KZ-normalized'!$A:$A, 0))-INDEX('KZ-normalized'!$E:$E, MATCH($A112, 'KZ-normalized'!$A:$A, 0))), 0), 0))+(IFERROR(IF(18*INDEX('UZ-normalized'!$D:$D, MATCH($A112, 'UZ-normalized'!$A:$A, 0))-INDEX('UZ-normalized'!$E:$E, MATCH($A112, 'UZ-normalized'!$A:$A, 0))&gt;0, -(18*INDEX('UZ-normalized'!$D:$D, MATCH($A112, 'UZ-normalized'!$A:$A, 0))-INDEX('UZ-normalized'!$E:$E, MATCH($A112, 'UZ-normalized'!$A:$A, 0))), 0), 0)))</f>
        <v>-5.6</v>
      </c>
      <c r="AG112" s="6">
        <f>MIN(0, N112+(IFERROR(IF(19*INDEX('UA-normalized'!$D:$D, MATCH($A112, 'UA-normalized'!$A:$A, 0))-INDEX('UA-normalized'!$E:$E, MATCH($A112, 'UA-normalized'!$A:$A, 0))&gt;0, -(19*INDEX('UA-normalized'!$D:$D, MATCH($A112, 'UA-normalized'!$A:$A, 0))-INDEX('UA-normalized'!$E:$E, MATCH($A112, 'UA-normalized'!$A:$A, 0))), 0), 0))+(IFERROR(IF(19*INDEX('KZ-normalized'!$D:$D, MATCH($A112, 'KZ-normalized'!$A:$A, 0))-INDEX('KZ-normalized'!$E:$E, MATCH($A112, 'KZ-normalized'!$A:$A, 0))&gt;0, -(19*INDEX('KZ-normalized'!$D:$D, MATCH($A112, 'KZ-normalized'!$A:$A, 0))-INDEX('KZ-normalized'!$E:$E, MATCH($A112, 'KZ-normalized'!$A:$A, 0))), 0), 0))+(IFERROR(IF(19*INDEX('UZ-normalized'!$D:$D, MATCH($A112, 'UZ-normalized'!$A:$A, 0))-INDEX('UZ-normalized'!$E:$E, MATCH($A112, 'UZ-normalized'!$A:$A, 0))&gt;0, -(19*INDEX('UZ-normalized'!$D:$D, MATCH($A112, 'UZ-normalized'!$A:$A, 0))-INDEX('UZ-normalized'!$E:$E, MATCH($A112, 'UZ-normalized'!$A:$A, 0))), 0), 0)))</f>
        <v>-6.2999999999999989</v>
      </c>
      <c r="AH112" s="6">
        <f>MIN(0, N112+(IFERROR(IF(20*INDEX('UA-normalized'!$D:$D, MATCH($A112, 'UA-normalized'!$A:$A, 0))-INDEX('UA-normalized'!$E:$E, MATCH($A112, 'UA-normalized'!$A:$A, 0))&gt;0, -(20*INDEX('UA-normalized'!$D:$D, MATCH($A112, 'UA-normalized'!$A:$A, 0))-INDEX('UA-normalized'!$E:$E, MATCH($A112, 'UA-normalized'!$A:$A, 0))), 0), 0))+(IFERROR(IF(20*INDEX('KZ-normalized'!$D:$D, MATCH($A112, 'KZ-normalized'!$A:$A, 0))-INDEX('KZ-normalized'!$E:$E, MATCH($A112, 'KZ-normalized'!$A:$A, 0))&gt;0, -(20*INDEX('KZ-normalized'!$D:$D, MATCH($A112, 'KZ-normalized'!$A:$A, 0))-INDEX('KZ-normalized'!$E:$E, MATCH($A112, 'KZ-normalized'!$A:$A, 0))), 0), 0))+(IFERROR(IF(20*INDEX('UZ-normalized'!$D:$D, MATCH($A112, 'UZ-normalized'!$A:$A, 0))-INDEX('UZ-normalized'!$E:$E, MATCH($A112, 'UZ-normalized'!$A:$A, 0))&gt;0, -(20*INDEX('UZ-normalized'!$D:$D, MATCH($A112, 'UZ-normalized'!$A:$A, 0))-INDEX('UZ-normalized'!$E:$E, MATCH($A112, 'UZ-normalized'!$A:$A, 0))), 0), 0)))</f>
        <v>-7</v>
      </c>
      <c r="AI112" s="6">
        <f>MIN(0, N112+(IFERROR(IF(21*INDEX('UA-normalized'!$D:$D, MATCH($A112, 'UA-normalized'!$A:$A, 0))-INDEX('UA-normalized'!$E:$E, MATCH($A112, 'UA-normalized'!$A:$A, 0))&gt;0, -(21*INDEX('UA-normalized'!$D:$D, MATCH($A112, 'UA-normalized'!$A:$A, 0))-INDEX('UA-normalized'!$E:$E, MATCH($A112, 'UA-normalized'!$A:$A, 0))), 0), 0))+(IFERROR(IF(21*INDEX('KZ-normalized'!$D:$D, MATCH($A112, 'KZ-normalized'!$A:$A, 0))-INDEX('KZ-normalized'!$E:$E, MATCH($A112, 'KZ-normalized'!$A:$A, 0))&gt;0, -(21*INDEX('KZ-normalized'!$D:$D, MATCH($A112, 'KZ-normalized'!$A:$A, 0))-INDEX('KZ-normalized'!$E:$E, MATCH($A112, 'KZ-normalized'!$A:$A, 0))), 0), 0))+(IFERROR(IF(21*INDEX('UZ-normalized'!$D:$D, MATCH($A112, 'UZ-normalized'!$A:$A, 0))-INDEX('UZ-normalized'!$E:$E, MATCH($A112, 'UZ-normalized'!$A:$A, 0))&gt;0, -(21*INDEX('UZ-normalized'!$D:$D, MATCH($A112, 'UZ-normalized'!$A:$A, 0))-INDEX('UZ-normalized'!$E:$E, MATCH($A112, 'UZ-normalized'!$A:$A, 0))), 0), 0)))</f>
        <v>-7.6999999999999993</v>
      </c>
      <c r="AJ112" s="6">
        <f>MIN(0, N112+(IFERROR(IF(22*INDEX('UA-normalized'!$D:$D, MATCH($A112, 'UA-normalized'!$A:$A, 0))-INDEX('UA-normalized'!$E:$E, MATCH($A112, 'UA-normalized'!$A:$A, 0))&gt;0, -(22*INDEX('UA-normalized'!$D:$D, MATCH($A112, 'UA-normalized'!$A:$A, 0))-INDEX('UA-normalized'!$E:$E, MATCH($A112, 'UA-normalized'!$A:$A, 0))), 0), 0))+(IFERROR(IF(22*INDEX('KZ-normalized'!$D:$D, MATCH($A112, 'KZ-normalized'!$A:$A, 0))-INDEX('KZ-normalized'!$E:$E, MATCH($A112, 'KZ-normalized'!$A:$A, 0))&gt;0, -(22*INDEX('KZ-normalized'!$D:$D, MATCH($A112, 'KZ-normalized'!$A:$A, 0))-INDEX('KZ-normalized'!$E:$E, MATCH($A112, 'KZ-normalized'!$A:$A, 0))), 0), 0))+(IFERROR(IF(22*INDEX('UZ-normalized'!$D:$D, MATCH($A112, 'UZ-normalized'!$A:$A, 0))-INDEX('UZ-normalized'!$E:$E, MATCH($A112, 'UZ-normalized'!$A:$A, 0))&gt;0, -(22*INDEX('UZ-normalized'!$D:$D, MATCH($A112, 'UZ-normalized'!$A:$A, 0))-INDEX('UZ-normalized'!$E:$E, MATCH($A112, 'UZ-normalized'!$A:$A, 0))), 0), 0)))</f>
        <v>-8.3999999999999986</v>
      </c>
      <c r="AK112" s="6">
        <f>MIN(0, N112+(IFERROR(IF(23*INDEX('UA-normalized'!$D:$D, MATCH($A112, 'UA-normalized'!$A:$A, 0))-INDEX('UA-normalized'!$E:$E, MATCH($A112, 'UA-normalized'!$A:$A, 0))&gt;0, -(23*INDEX('UA-normalized'!$D:$D, MATCH($A112, 'UA-normalized'!$A:$A, 0))-INDEX('UA-normalized'!$E:$E, MATCH($A112, 'UA-normalized'!$A:$A, 0))), 0), 0))+(IFERROR(IF(23*INDEX('KZ-normalized'!$D:$D, MATCH($A112, 'KZ-normalized'!$A:$A, 0))-INDEX('KZ-normalized'!$E:$E, MATCH($A112, 'KZ-normalized'!$A:$A, 0))&gt;0, -(23*INDEX('KZ-normalized'!$D:$D, MATCH($A112, 'KZ-normalized'!$A:$A, 0))-INDEX('KZ-normalized'!$E:$E, MATCH($A112, 'KZ-normalized'!$A:$A, 0))), 0), 0))+(IFERROR(IF(23*INDEX('UZ-normalized'!$D:$D, MATCH($A112, 'UZ-normalized'!$A:$A, 0))-INDEX('UZ-normalized'!$E:$E, MATCH($A112, 'UZ-normalized'!$A:$A, 0))&gt;0, -(23*INDEX('UZ-normalized'!$D:$D, MATCH($A112, 'UZ-normalized'!$A:$A, 0))-INDEX('UZ-normalized'!$E:$E, MATCH($A112, 'UZ-normalized'!$A:$A, 0))), 0), 0)))</f>
        <v>-9.0999999999999979</v>
      </c>
      <c r="AL112" s="6">
        <f>MIN(0, N112+(IFERROR(IF(24*INDEX('UA-normalized'!$D:$D, MATCH($A112, 'UA-normalized'!$A:$A, 0))-INDEX('UA-normalized'!$E:$E, MATCH($A112, 'UA-normalized'!$A:$A, 0))&gt;0, -(24*INDEX('UA-normalized'!$D:$D, MATCH($A112, 'UA-normalized'!$A:$A, 0))-INDEX('UA-normalized'!$E:$E, MATCH($A112, 'UA-normalized'!$A:$A, 0))), 0), 0))+(IFERROR(IF(24*INDEX('KZ-normalized'!$D:$D, MATCH($A112, 'KZ-normalized'!$A:$A, 0))-INDEX('KZ-normalized'!$E:$E, MATCH($A112, 'KZ-normalized'!$A:$A, 0))&gt;0, -(24*INDEX('KZ-normalized'!$D:$D, MATCH($A112, 'KZ-normalized'!$A:$A, 0))-INDEX('KZ-normalized'!$E:$E, MATCH($A112, 'KZ-normalized'!$A:$A, 0))), 0), 0))+(IFERROR(IF(24*INDEX('UZ-normalized'!$D:$D, MATCH($A112, 'UZ-normalized'!$A:$A, 0))-INDEX('UZ-normalized'!$E:$E, MATCH($A112, 'UZ-normalized'!$A:$A, 0))&gt;0, -(24*INDEX('UZ-normalized'!$D:$D, MATCH($A112, 'UZ-normalized'!$A:$A, 0))-INDEX('UZ-normalized'!$E:$E, MATCH($A112, 'UZ-normalized'!$A:$A, 0))), 0), 0)))</f>
        <v>-9.7999999999999972</v>
      </c>
      <c r="AM112" s="6">
        <f>MIN(0, N112+(IFERROR(IF(25*INDEX('UA-normalized'!$D:$D, MATCH($A112, 'UA-normalized'!$A:$A, 0))-INDEX('UA-normalized'!$E:$E, MATCH($A112, 'UA-normalized'!$A:$A, 0))&gt;0, -(25*INDEX('UA-normalized'!$D:$D, MATCH($A112, 'UA-normalized'!$A:$A, 0))-INDEX('UA-normalized'!$E:$E, MATCH($A112, 'UA-normalized'!$A:$A, 0))), 0), 0))+(IFERROR(IF(25*INDEX('KZ-normalized'!$D:$D, MATCH($A112, 'KZ-normalized'!$A:$A, 0))-INDEX('KZ-normalized'!$E:$E, MATCH($A112, 'KZ-normalized'!$A:$A, 0))&gt;0, -(25*INDEX('KZ-normalized'!$D:$D, MATCH($A112, 'KZ-normalized'!$A:$A, 0))-INDEX('KZ-normalized'!$E:$E, MATCH($A112, 'KZ-normalized'!$A:$A, 0))), 0), 0))+(IFERROR(IF(25*INDEX('UZ-normalized'!$D:$D, MATCH($A112, 'UZ-normalized'!$A:$A, 0))-INDEX('UZ-normalized'!$E:$E, MATCH($A112, 'UZ-normalized'!$A:$A, 0))&gt;0, -(25*INDEX('UZ-normalized'!$D:$D, MATCH($A112, 'UZ-normalized'!$A:$A, 0))-INDEX('UZ-normalized'!$E:$E, MATCH($A112, 'UZ-normalized'!$A:$A, 0))), 0), 0)))</f>
        <v>-10.5</v>
      </c>
      <c r="AN112" s="6">
        <f>MIN(0, N112+(IFERROR(IF(26*INDEX('UA-normalized'!$D:$D, MATCH($A112, 'UA-normalized'!$A:$A, 0))-INDEX('UA-normalized'!$E:$E, MATCH($A112, 'UA-normalized'!$A:$A, 0))&gt;0, -(26*INDEX('UA-normalized'!$D:$D, MATCH($A112, 'UA-normalized'!$A:$A, 0))-INDEX('UA-normalized'!$E:$E, MATCH($A112, 'UA-normalized'!$A:$A, 0))), 0), 0))+(IFERROR(IF(26*INDEX('KZ-normalized'!$D:$D, MATCH($A112, 'KZ-normalized'!$A:$A, 0))-INDEX('KZ-normalized'!$E:$E, MATCH($A112, 'KZ-normalized'!$A:$A, 0))&gt;0, -(26*INDEX('KZ-normalized'!$D:$D, MATCH($A112, 'KZ-normalized'!$A:$A, 0))-INDEX('KZ-normalized'!$E:$E, MATCH($A112, 'KZ-normalized'!$A:$A, 0))), 0), 0))+(IFERROR(IF(26*INDEX('UZ-normalized'!$D:$D, MATCH($A112, 'UZ-normalized'!$A:$A, 0))-INDEX('UZ-normalized'!$E:$E, MATCH($A112, 'UZ-normalized'!$A:$A, 0))&gt;0, -(26*INDEX('UZ-normalized'!$D:$D, MATCH($A112, 'UZ-normalized'!$A:$A, 0))-INDEX('UZ-normalized'!$E:$E, MATCH($A112, 'UZ-normalized'!$A:$A, 0))), 0), 0)))</f>
        <v>-11.2</v>
      </c>
      <c r="AO112" s="6">
        <f>MIN(0, N112+(IFERROR(IF(27*INDEX('UA-normalized'!$D:$D, MATCH($A112, 'UA-normalized'!$A:$A, 0))-INDEX('UA-normalized'!$E:$E, MATCH($A112, 'UA-normalized'!$A:$A, 0))&gt;0, -(27*INDEX('UA-normalized'!$D:$D, MATCH($A112, 'UA-normalized'!$A:$A, 0))-INDEX('UA-normalized'!$E:$E, MATCH($A112, 'UA-normalized'!$A:$A, 0))), 0), 0))+(IFERROR(IF(27*INDEX('KZ-normalized'!$D:$D, MATCH($A112, 'KZ-normalized'!$A:$A, 0))-INDEX('KZ-normalized'!$E:$E, MATCH($A112, 'KZ-normalized'!$A:$A, 0))&gt;0, -(27*INDEX('KZ-normalized'!$D:$D, MATCH($A112, 'KZ-normalized'!$A:$A, 0))-INDEX('KZ-normalized'!$E:$E, MATCH($A112, 'KZ-normalized'!$A:$A, 0))), 0), 0))+(IFERROR(IF(27*INDEX('UZ-normalized'!$D:$D, MATCH($A112, 'UZ-normalized'!$A:$A, 0))-INDEX('UZ-normalized'!$E:$E, MATCH($A112, 'UZ-normalized'!$A:$A, 0))&gt;0, -(27*INDEX('UZ-normalized'!$D:$D, MATCH($A112, 'UZ-normalized'!$A:$A, 0))-INDEX('UZ-normalized'!$E:$E, MATCH($A112, 'UZ-normalized'!$A:$A, 0))), 0), 0)))</f>
        <v>-11.899999999999999</v>
      </c>
      <c r="AP112" s="6">
        <f>MIN(0, N112+(IFERROR(IF(28*INDEX('UA-normalized'!$D:$D, MATCH($A112, 'UA-normalized'!$A:$A, 0))-INDEX('UA-normalized'!$E:$E, MATCH($A112, 'UA-normalized'!$A:$A, 0))&gt;0, -(28*INDEX('UA-normalized'!$D:$D, MATCH($A112, 'UA-normalized'!$A:$A, 0))-INDEX('UA-normalized'!$E:$E, MATCH($A112, 'UA-normalized'!$A:$A, 0))), 0), 0))+(IFERROR(IF(28*INDEX('KZ-normalized'!$D:$D, MATCH($A112, 'KZ-normalized'!$A:$A, 0))-INDEX('KZ-normalized'!$E:$E, MATCH($A112, 'KZ-normalized'!$A:$A, 0))&gt;0, -(28*INDEX('KZ-normalized'!$D:$D, MATCH($A112, 'KZ-normalized'!$A:$A, 0))-INDEX('KZ-normalized'!$E:$E, MATCH($A112, 'KZ-normalized'!$A:$A, 0))), 0), 0))+(IFERROR(IF(28*INDEX('UZ-normalized'!$D:$D, MATCH($A112, 'UZ-normalized'!$A:$A, 0))-INDEX('UZ-normalized'!$E:$E, MATCH($A112, 'UZ-normalized'!$A:$A, 0))&gt;0, -(28*INDEX('UZ-normalized'!$D:$D, MATCH($A112, 'UZ-normalized'!$A:$A, 0))-INDEX('UZ-normalized'!$E:$E, MATCH($A112, 'UZ-normalized'!$A:$A, 0))), 0), 0)))</f>
        <v>-12.599999999999998</v>
      </c>
      <c r="AQ112" s="6">
        <f>MIN(0, N112+(IFERROR(IF(29*INDEX('UA-normalized'!$D:$D, MATCH($A112, 'UA-normalized'!$A:$A, 0))-INDEX('UA-normalized'!$E:$E, MATCH($A112, 'UA-normalized'!$A:$A, 0))&gt;0, -(29*INDEX('UA-normalized'!$D:$D, MATCH($A112, 'UA-normalized'!$A:$A, 0))-INDEX('UA-normalized'!$E:$E, MATCH($A112, 'UA-normalized'!$A:$A, 0))), 0), 0))+(IFERROR(IF(29*INDEX('KZ-normalized'!$D:$D, MATCH($A112, 'KZ-normalized'!$A:$A, 0))-INDEX('KZ-normalized'!$E:$E, MATCH($A112, 'KZ-normalized'!$A:$A, 0))&gt;0, -(29*INDEX('KZ-normalized'!$D:$D, MATCH($A112, 'KZ-normalized'!$A:$A, 0))-INDEX('KZ-normalized'!$E:$E, MATCH($A112, 'KZ-normalized'!$A:$A, 0))), 0), 0))+(IFERROR(IF(29*INDEX('UZ-normalized'!$D:$D, MATCH($A112, 'UZ-normalized'!$A:$A, 0))-INDEX('UZ-normalized'!$E:$E, MATCH($A112, 'UZ-normalized'!$A:$A, 0))&gt;0, -(29*INDEX('UZ-normalized'!$D:$D, MATCH($A112, 'UZ-normalized'!$A:$A, 0))-INDEX('UZ-normalized'!$E:$E, MATCH($A112, 'UZ-normalized'!$A:$A, 0))), 0), 0)))</f>
        <v>-13.299999999999997</v>
      </c>
      <c r="AR112" s="6">
        <f>MIN(0, N112+(IFERROR(IF(30*INDEX('UA-normalized'!$D:$D, MATCH($A112, 'UA-normalized'!$A:$A, 0))-INDEX('UA-normalized'!$E:$E, MATCH($A112, 'UA-normalized'!$A:$A, 0))&gt;0, -(30*INDEX('UA-normalized'!$D:$D, MATCH($A112, 'UA-normalized'!$A:$A, 0))-INDEX('UA-normalized'!$E:$E, MATCH($A112, 'UA-normalized'!$A:$A, 0))), 0), 0))+(IFERROR(IF(30*INDEX('KZ-normalized'!$D:$D, MATCH($A112, 'KZ-normalized'!$A:$A, 0))-INDEX('KZ-normalized'!$E:$E, MATCH($A112, 'KZ-normalized'!$A:$A, 0))&gt;0, -(30*INDEX('KZ-normalized'!$D:$D, MATCH($A112, 'KZ-normalized'!$A:$A, 0))-INDEX('KZ-normalized'!$E:$E, MATCH($A112, 'KZ-normalized'!$A:$A, 0))), 0), 0))+(IFERROR(IF(30*INDEX('UZ-normalized'!$D:$D, MATCH($A112, 'UZ-normalized'!$A:$A, 0))-INDEX('UZ-normalized'!$E:$E, MATCH($A112, 'UZ-normalized'!$A:$A, 0))&gt;0, -(30*INDEX('UZ-normalized'!$D:$D, MATCH($A112, 'UZ-normalized'!$A:$A, 0))-INDEX('UZ-normalized'!$E:$E, MATCH($A112, 'UZ-normalized'!$A:$A, 0))), 0), 0)))</f>
        <v>-14</v>
      </c>
    </row>
    <row r="113" spans="1:44" x14ac:dyDescent="0.25">
      <c r="A113" s="8" t="s">
        <v>278</v>
      </c>
      <c r="B113" s="8" t="s">
        <v>180</v>
      </c>
      <c r="C113" s="8" t="s">
        <v>256</v>
      </c>
      <c r="D113" s="8" t="s">
        <v>279</v>
      </c>
      <c r="G113">
        <v>-250</v>
      </c>
      <c r="N113">
        <f t="shared" si="1"/>
        <v>-250</v>
      </c>
      <c r="O113" s="6">
        <f>MIN(0, N113+(IFERROR(IF(1*INDEX('UA-normalized'!$D:$D, MATCH($A113, 'UA-normalized'!$A:$A, 0))-INDEX('UA-normalized'!$E:$E, MATCH($A113, 'UA-normalized'!$A:$A, 0))&gt;0, -(1*INDEX('UA-normalized'!$D:$D, MATCH($A113, 'UA-normalized'!$A:$A, 0))-INDEX('UA-normalized'!$E:$E, MATCH($A113, 'UA-normalized'!$A:$A, 0))), 0), 0))+(IFERROR(IF(1*INDEX('KZ-normalized'!$D:$D, MATCH($A113, 'KZ-normalized'!$A:$A, 0))-INDEX('KZ-normalized'!$E:$E, MATCH($A113, 'KZ-normalized'!$A:$A, 0))&gt;0, -(1*INDEX('KZ-normalized'!$D:$D, MATCH($A113, 'KZ-normalized'!$A:$A, 0))-INDEX('KZ-normalized'!$E:$E, MATCH($A113, 'KZ-normalized'!$A:$A, 0))), 0), 0))+(IFERROR(IF(1*INDEX('UZ-normalized'!$D:$D, MATCH($A113, 'UZ-normalized'!$A:$A, 0))-INDEX('UZ-normalized'!$E:$E, MATCH($A113, 'UZ-normalized'!$A:$A, 0))&gt;0, -(1*INDEX('UZ-normalized'!$D:$D, MATCH($A113, 'UZ-normalized'!$A:$A, 0))-INDEX('UZ-normalized'!$E:$E, MATCH($A113, 'UZ-normalized'!$A:$A, 0))), 0), 0)))</f>
        <v>-250</v>
      </c>
      <c r="P113" s="6">
        <f>MIN(0, N113+(IFERROR(IF(2*INDEX('UA-normalized'!$D:$D, MATCH($A113, 'UA-normalized'!$A:$A, 0))-INDEX('UA-normalized'!$E:$E, MATCH($A113, 'UA-normalized'!$A:$A, 0))&gt;0, -(2*INDEX('UA-normalized'!$D:$D, MATCH($A113, 'UA-normalized'!$A:$A, 0))-INDEX('UA-normalized'!$E:$E, MATCH($A113, 'UA-normalized'!$A:$A, 0))), 0), 0))+(IFERROR(IF(2*INDEX('KZ-normalized'!$D:$D, MATCH($A113, 'KZ-normalized'!$A:$A, 0))-INDEX('KZ-normalized'!$E:$E, MATCH($A113, 'KZ-normalized'!$A:$A, 0))&gt;0, -(2*INDEX('KZ-normalized'!$D:$D, MATCH($A113, 'KZ-normalized'!$A:$A, 0))-INDEX('KZ-normalized'!$E:$E, MATCH($A113, 'KZ-normalized'!$A:$A, 0))), 0), 0))+(IFERROR(IF(2*INDEX('UZ-normalized'!$D:$D, MATCH($A113, 'UZ-normalized'!$A:$A, 0))-INDEX('UZ-normalized'!$E:$E, MATCH($A113, 'UZ-normalized'!$A:$A, 0))&gt;0, -(2*INDEX('UZ-normalized'!$D:$D, MATCH($A113, 'UZ-normalized'!$A:$A, 0))-INDEX('UZ-normalized'!$E:$E, MATCH($A113, 'UZ-normalized'!$A:$A, 0))), 0), 0)))</f>
        <v>-250</v>
      </c>
      <c r="Q113" s="6">
        <f>MIN(0, N113+(IFERROR(IF(3*INDEX('UA-normalized'!$D:$D, MATCH($A113, 'UA-normalized'!$A:$A, 0))-INDEX('UA-normalized'!$E:$E, MATCH($A113, 'UA-normalized'!$A:$A, 0))&gt;0, -(3*INDEX('UA-normalized'!$D:$D, MATCH($A113, 'UA-normalized'!$A:$A, 0))-INDEX('UA-normalized'!$E:$E, MATCH($A113, 'UA-normalized'!$A:$A, 0))), 0), 0))+(IFERROR(IF(3*INDEX('KZ-normalized'!$D:$D, MATCH($A113, 'KZ-normalized'!$A:$A, 0))-INDEX('KZ-normalized'!$E:$E, MATCH($A113, 'KZ-normalized'!$A:$A, 0))&gt;0, -(3*INDEX('KZ-normalized'!$D:$D, MATCH($A113, 'KZ-normalized'!$A:$A, 0))-INDEX('KZ-normalized'!$E:$E, MATCH($A113, 'KZ-normalized'!$A:$A, 0))), 0), 0))+(IFERROR(IF(3*INDEX('UZ-normalized'!$D:$D, MATCH($A113, 'UZ-normalized'!$A:$A, 0))-INDEX('UZ-normalized'!$E:$E, MATCH($A113, 'UZ-normalized'!$A:$A, 0))&gt;0, -(3*INDEX('UZ-normalized'!$D:$D, MATCH($A113, 'UZ-normalized'!$A:$A, 0))-INDEX('UZ-normalized'!$E:$E, MATCH($A113, 'UZ-normalized'!$A:$A, 0))), 0), 0)))</f>
        <v>-250</v>
      </c>
      <c r="R113" s="6">
        <f>MIN(0, N113+(IFERROR(IF(4*INDEX('UA-normalized'!$D:$D, MATCH($A113, 'UA-normalized'!$A:$A, 0))-INDEX('UA-normalized'!$E:$E, MATCH($A113, 'UA-normalized'!$A:$A, 0))&gt;0, -(4*INDEX('UA-normalized'!$D:$D, MATCH($A113, 'UA-normalized'!$A:$A, 0))-INDEX('UA-normalized'!$E:$E, MATCH($A113, 'UA-normalized'!$A:$A, 0))), 0), 0))+(IFERROR(IF(4*INDEX('KZ-normalized'!$D:$D, MATCH($A113, 'KZ-normalized'!$A:$A, 0))-INDEX('KZ-normalized'!$E:$E, MATCH($A113, 'KZ-normalized'!$A:$A, 0))&gt;0, -(4*INDEX('KZ-normalized'!$D:$D, MATCH($A113, 'KZ-normalized'!$A:$A, 0))-INDEX('KZ-normalized'!$E:$E, MATCH($A113, 'KZ-normalized'!$A:$A, 0))), 0), 0))+(IFERROR(IF(4*INDEX('UZ-normalized'!$D:$D, MATCH($A113, 'UZ-normalized'!$A:$A, 0))-INDEX('UZ-normalized'!$E:$E, MATCH($A113, 'UZ-normalized'!$A:$A, 0))&gt;0, -(4*INDEX('UZ-normalized'!$D:$D, MATCH($A113, 'UZ-normalized'!$A:$A, 0))-INDEX('UZ-normalized'!$E:$E, MATCH($A113, 'UZ-normalized'!$A:$A, 0))), 0), 0)))</f>
        <v>-250</v>
      </c>
      <c r="S113" s="6">
        <f>MIN(0, N113+(IFERROR(IF(5*INDEX('UA-normalized'!$D:$D, MATCH($A113, 'UA-normalized'!$A:$A, 0))-INDEX('UA-normalized'!$E:$E, MATCH($A113, 'UA-normalized'!$A:$A, 0))&gt;0, -(5*INDEX('UA-normalized'!$D:$D, MATCH($A113, 'UA-normalized'!$A:$A, 0))-INDEX('UA-normalized'!$E:$E, MATCH($A113, 'UA-normalized'!$A:$A, 0))), 0), 0))+(IFERROR(IF(5*INDEX('KZ-normalized'!$D:$D, MATCH($A113, 'KZ-normalized'!$A:$A, 0))-INDEX('KZ-normalized'!$E:$E, MATCH($A113, 'KZ-normalized'!$A:$A, 0))&gt;0, -(5*INDEX('KZ-normalized'!$D:$D, MATCH($A113, 'KZ-normalized'!$A:$A, 0))-INDEX('KZ-normalized'!$E:$E, MATCH($A113, 'KZ-normalized'!$A:$A, 0))), 0), 0))+(IFERROR(IF(5*INDEX('UZ-normalized'!$D:$D, MATCH($A113, 'UZ-normalized'!$A:$A, 0))-INDEX('UZ-normalized'!$E:$E, MATCH($A113, 'UZ-normalized'!$A:$A, 0))&gt;0, -(5*INDEX('UZ-normalized'!$D:$D, MATCH($A113, 'UZ-normalized'!$A:$A, 0))-INDEX('UZ-normalized'!$E:$E, MATCH($A113, 'UZ-normalized'!$A:$A, 0))), 0), 0)))</f>
        <v>-250</v>
      </c>
      <c r="T113" s="6">
        <f>MIN(0, N113+(IFERROR(IF(6*INDEX('UA-normalized'!$D:$D, MATCH($A113, 'UA-normalized'!$A:$A, 0))-INDEX('UA-normalized'!$E:$E, MATCH($A113, 'UA-normalized'!$A:$A, 0))&gt;0, -(6*INDEX('UA-normalized'!$D:$D, MATCH($A113, 'UA-normalized'!$A:$A, 0))-INDEX('UA-normalized'!$E:$E, MATCH($A113, 'UA-normalized'!$A:$A, 0))), 0), 0))+(IFERROR(IF(6*INDEX('KZ-normalized'!$D:$D, MATCH($A113, 'KZ-normalized'!$A:$A, 0))-INDEX('KZ-normalized'!$E:$E, MATCH($A113, 'KZ-normalized'!$A:$A, 0))&gt;0, -(6*INDEX('KZ-normalized'!$D:$D, MATCH($A113, 'KZ-normalized'!$A:$A, 0))-INDEX('KZ-normalized'!$E:$E, MATCH($A113, 'KZ-normalized'!$A:$A, 0))), 0), 0))+(IFERROR(IF(6*INDEX('UZ-normalized'!$D:$D, MATCH($A113, 'UZ-normalized'!$A:$A, 0))-INDEX('UZ-normalized'!$E:$E, MATCH($A113, 'UZ-normalized'!$A:$A, 0))&gt;0, -(6*INDEX('UZ-normalized'!$D:$D, MATCH($A113, 'UZ-normalized'!$A:$A, 0))-INDEX('UZ-normalized'!$E:$E, MATCH($A113, 'UZ-normalized'!$A:$A, 0))), 0), 0)))</f>
        <v>-275</v>
      </c>
      <c r="U113" s="6">
        <f>MIN(0, N113+(IFERROR(IF(7*INDEX('UA-normalized'!$D:$D, MATCH($A113, 'UA-normalized'!$A:$A, 0))-INDEX('UA-normalized'!$E:$E, MATCH($A113, 'UA-normalized'!$A:$A, 0))&gt;0, -(7*INDEX('UA-normalized'!$D:$D, MATCH($A113, 'UA-normalized'!$A:$A, 0))-INDEX('UA-normalized'!$E:$E, MATCH($A113, 'UA-normalized'!$A:$A, 0))), 0), 0))+(IFERROR(IF(7*INDEX('KZ-normalized'!$D:$D, MATCH($A113, 'KZ-normalized'!$A:$A, 0))-INDEX('KZ-normalized'!$E:$E, MATCH($A113, 'KZ-normalized'!$A:$A, 0))&gt;0, -(7*INDEX('KZ-normalized'!$D:$D, MATCH($A113, 'KZ-normalized'!$A:$A, 0))-INDEX('KZ-normalized'!$E:$E, MATCH($A113, 'KZ-normalized'!$A:$A, 0))), 0), 0))+(IFERROR(IF(7*INDEX('UZ-normalized'!$D:$D, MATCH($A113, 'UZ-normalized'!$A:$A, 0))-INDEX('UZ-normalized'!$E:$E, MATCH($A113, 'UZ-normalized'!$A:$A, 0))&gt;0, -(7*INDEX('UZ-normalized'!$D:$D, MATCH($A113, 'UZ-normalized'!$A:$A, 0))-INDEX('UZ-normalized'!$E:$E, MATCH($A113, 'UZ-normalized'!$A:$A, 0))), 0), 0)))</f>
        <v>-405</v>
      </c>
      <c r="V113" s="6">
        <f>MIN(0, N113+(IFERROR(IF(8*INDEX('UA-normalized'!$D:$D, MATCH($A113, 'UA-normalized'!$A:$A, 0))-INDEX('UA-normalized'!$E:$E, MATCH($A113, 'UA-normalized'!$A:$A, 0))&gt;0, -(8*INDEX('UA-normalized'!$D:$D, MATCH($A113, 'UA-normalized'!$A:$A, 0))-INDEX('UA-normalized'!$E:$E, MATCH($A113, 'UA-normalized'!$A:$A, 0))), 0), 0))+(IFERROR(IF(8*INDEX('KZ-normalized'!$D:$D, MATCH($A113, 'KZ-normalized'!$A:$A, 0))-INDEX('KZ-normalized'!$E:$E, MATCH($A113, 'KZ-normalized'!$A:$A, 0))&gt;0, -(8*INDEX('KZ-normalized'!$D:$D, MATCH($A113, 'KZ-normalized'!$A:$A, 0))-INDEX('KZ-normalized'!$E:$E, MATCH($A113, 'KZ-normalized'!$A:$A, 0))), 0), 0))+(IFERROR(IF(8*INDEX('UZ-normalized'!$D:$D, MATCH($A113, 'UZ-normalized'!$A:$A, 0))-INDEX('UZ-normalized'!$E:$E, MATCH($A113, 'UZ-normalized'!$A:$A, 0))&gt;0, -(8*INDEX('UZ-normalized'!$D:$D, MATCH($A113, 'UZ-normalized'!$A:$A, 0))-INDEX('UZ-normalized'!$E:$E, MATCH($A113, 'UZ-normalized'!$A:$A, 0))), 0), 0)))</f>
        <v>-535</v>
      </c>
      <c r="W113" s="6">
        <f>MIN(0, N113+(IFERROR(IF(9*INDEX('UA-normalized'!$D:$D, MATCH($A113, 'UA-normalized'!$A:$A, 0))-INDEX('UA-normalized'!$E:$E, MATCH($A113, 'UA-normalized'!$A:$A, 0))&gt;0, -(9*INDEX('UA-normalized'!$D:$D, MATCH($A113, 'UA-normalized'!$A:$A, 0))-INDEX('UA-normalized'!$E:$E, MATCH($A113, 'UA-normalized'!$A:$A, 0))), 0), 0))+(IFERROR(IF(9*INDEX('KZ-normalized'!$D:$D, MATCH($A113, 'KZ-normalized'!$A:$A, 0))-INDEX('KZ-normalized'!$E:$E, MATCH($A113, 'KZ-normalized'!$A:$A, 0))&gt;0, -(9*INDEX('KZ-normalized'!$D:$D, MATCH($A113, 'KZ-normalized'!$A:$A, 0))-INDEX('KZ-normalized'!$E:$E, MATCH($A113, 'KZ-normalized'!$A:$A, 0))), 0), 0))+(IFERROR(IF(9*INDEX('UZ-normalized'!$D:$D, MATCH($A113, 'UZ-normalized'!$A:$A, 0))-INDEX('UZ-normalized'!$E:$E, MATCH($A113, 'UZ-normalized'!$A:$A, 0))&gt;0, -(9*INDEX('UZ-normalized'!$D:$D, MATCH($A113, 'UZ-normalized'!$A:$A, 0))-INDEX('UZ-normalized'!$E:$E, MATCH($A113, 'UZ-normalized'!$A:$A, 0))), 0), 0)))</f>
        <v>-668</v>
      </c>
      <c r="X113" s="6">
        <f>MIN(0, N113+(IFERROR(IF(10*INDEX('UA-normalized'!$D:$D, MATCH($A113, 'UA-normalized'!$A:$A, 0))-INDEX('UA-normalized'!$E:$E, MATCH($A113, 'UA-normalized'!$A:$A, 0))&gt;0, -(10*INDEX('UA-normalized'!$D:$D, MATCH($A113, 'UA-normalized'!$A:$A, 0))-INDEX('UA-normalized'!$E:$E, MATCH($A113, 'UA-normalized'!$A:$A, 0))), 0), 0))+(IFERROR(IF(10*INDEX('KZ-normalized'!$D:$D, MATCH($A113, 'KZ-normalized'!$A:$A, 0))-INDEX('KZ-normalized'!$E:$E, MATCH($A113, 'KZ-normalized'!$A:$A, 0))&gt;0, -(10*INDEX('KZ-normalized'!$D:$D, MATCH($A113, 'KZ-normalized'!$A:$A, 0))-INDEX('KZ-normalized'!$E:$E, MATCH($A113, 'KZ-normalized'!$A:$A, 0))), 0), 0))+(IFERROR(IF(10*INDEX('UZ-normalized'!$D:$D, MATCH($A113, 'UZ-normalized'!$A:$A, 0))-INDEX('UZ-normalized'!$E:$E, MATCH($A113, 'UZ-normalized'!$A:$A, 0))&gt;0, -(10*INDEX('UZ-normalized'!$D:$D, MATCH($A113, 'UZ-normalized'!$A:$A, 0))-INDEX('UZ-normalized'!$E:$E, MATCH($A113, 'UZ-normalized'!$A:$A, 0))), 0), 0)))</f>
        <v>-810</v>
      </c>
      <c r="Y113" s="6">
        <f>MIN(0, N113+(IFERROR(IF(11*INDEX('UA-normalized'!$D:$D, MATCH($A113, 'UA-normalized'!$A:$A, 0))-INDEX('UA-normalized'!$E:$E, MATCH($A113, 'UA-normalized'!$A:$A, 0))&gt;0, -(11*INDEX('UA-normalized'!$D:$D, MATCH($A113, 'UA-normalized'!$A:$A, 0))-INDEX('UA-normalized'!$E:$E, MATCH($A113, 'UA-normalized'!$A:$A, 0))), 0), 0))+(IFERROR(IF(11*INDEX('KZ-normalized'!$D:$D, MATCH($A113, 'KZ-normalized'!$A:$A, 0))-INDEX('KZ-normalized'!$E:$E, MATCH($A113, 'KZ-normalized'!$A:$A, 0))&gt;0, -(11*INDEX('KZ-normalized'!$D:$D, MATCH($A113, 'KZ-normalized'!$A:$A, 0))-INDEX('KZ-normalized'!$E:$E, MATCH($A113, 'KZ-normalized'!$A:$A, 0))), 0), 0))+(IFERROR(IF(11*INDEX('UZ-normalized'!$D:$D, MATCH($A113, 'UZ-normalized'!$A:$A, 0))-INDEX('UZ-normalized'!$E:$E, MATCH($A113, 'UZ-normalized'!$A:$A, 0))&gt;0, -(11*INDEX('UZ-normalized'!$D:$D, MATCH($A113, 'UZ-normalized'!$A:$A, 0))-INDEX('UZ-normalized'!$E:$E, MATCH($A113, 'UZ-normalized'!$A:$A, 0))), 0), 0)))</f>
        <v>-952</v>
      </c>
      <c r="Z113" s="6">
        <f>MIN(0, N113+(IFERROR(IF(12*INDEX('UA-normalized'!$D:$D, MATCH($A113, 'UA-normalized'!$A:$A, 0))-INDEX('UA-normalized'!$E:$E, MATCH($A113, 'UA-normalized'!$A:$A, 0))&gt;0, -(12*INDEX('UA-normalized'!$D:$D, MATCH($A113, 'UA-normalized'!$A:$A, 0))-INDEX('UA-normalized'!$E:$E, MATCH($A113, 'UA-normalized'!$A:$A, 0))), 0), 0))+(IFERROR(IF(12*INDEX('KZ-normalized'!$D:$D, MATCH($A113, 'KZ-normalized'!$A:$A, 0))-INDEX('KZ-normalized'!$E:$E, MATCH($A113, 'KZ-normalized'!$A:$A, 0))&gt;0, -(12*INDEX('KZ-normalized'!$D:$D, MATCH($A113, 'KZ-normalized'!$A:$A, 0))-INDEX('KZ-normalized'!$E:$E, MATCH($A113, 'KZ-normalized'!$A:$A, 0))), 0), 0))+(IFERROR(IF(12*INDEX('UZ-normalized'!$D:$D, MATCH($A113, 'UZ-normalized'!$A:$A, 0))-INDEX('UZ-normalized'!$E:$E, MATCH($A113, 'UZ-normalized'!$A:$A, 0))&gt;0, -(12*INDEX('UZ-normalized'!$D:$D, MATCH($A113, 'UZ-normalized'!$A:$A, 0))-INDEX('UZ-normalized'!$E:$E, MATCH($A113, 'UZ-normalized'!$A:$A, 0))), 0), 0)))</f>
        <v>-1094</v>
      </c>
      <c r="AA113" s="6">
        <f>MIN(0, N113+(IFERROR(IF(13*INDEX('UA-normalized'!$D:$D, MATCH($A113, 'UA-normalized'!$A:$A, 0))-INDEX('UA-normalized'!$E:$E, MATCH($A113, 'UA-normalized'!$A:$A, 0))&gt;0, -(13*INDEX('UA-normalized'!$D:$D, MATCH($A113, 'UA-normalized'!$A:$A, 0))-INDEX('UA-normalized'!$E:$E, MATCH($A113, 'UA-normalized'!$A:$A, 0))), 0), 0))+(IFERROR(IF(13*INDEX('KZ-normalized'!$D:$D, MATCH($A113, 'KZ-normalized'!$A:$A, 0))-INDEX('KZ-normalized'!$E:$E, MATCH($A113, 'KZ-normalized'!$A:$A, 0))&gt;0, -(13*INDEX('KZ-normalized'!$D:$D, MATCH($A113, 'KZ-normalized'!$A:$A, 0))-INDEX('KZ-normalized'!$E:$E, MATCH($A113, 'KZ-normalized'!$A:$A, 0))), 0), 0))+(IFERROR(IF(13*INDEX('UZ-normalized'!$D:$D, MATCH($A113, 'UZ-normalized'!$A:$A, 0))-INDEX('UZ-normalized'!$E:$E, MATCH($A113, 'UZ-normalized'!$A:$A, 0))&gt;0, -(13*INDEX('UZ-normalized'!$D:$D, MATCH($A113, 'UZ-normalized'!$A:$A, 0))-INDEX('UZ-normalized'!$E:$E, MATCH($A113, 'UZ-normalized'!$A:$A, 0))), 0), 0)))</f>
        <v>-1236</v>
      </c>
      <c r="AB113" s="6">
        <f>MIN(0, N113+(IFERROR(IF(14*INDEX('UA-normalized'!$D:$D, MATCH($A113, 'UA-normalized'!$A:$A, 0))-INDEX('UA-normalized'!$E:$E, MATCH($A113, 'UA-normalized'!$A:$A, 0))&gt;0, -(14*INDEX('UA-normalized'!$D:$D, MATCH($A113, 'UA-normalized'!$A:$A, 0))-INDEX('UA-normalized'!$E:$E, MATCH($A113, 'UA-normalized'!$A:$A, 0))), 0), 0))+(IFERROR(IF(14*INDEX('KZ-normalized'!$D:$D, MATCH($A113, 'KZ-normalized'!$A:$A, 0))-INDEX('KZ-normalized'!$E:$E, MATCH($A113, 'KZ-normalized'!$A:$A, 0))&gt;0, -(14*INDEX('KZ-normalized'!$D:$D, MATCH($A113, 'KZ-normalized'!$A:$A, 0))-INDEX('KZ-normalized'!$E:$E, MATCH($A113, 'KZ-normalized'!$A:$A, 0))), 0), 0))+(IFERROR(IF(14*INDEX('UZ-normalized'!$D:$D, MATCH($A113, 'UZ-normalized'!$A:$A, 0))-INDEX('UZ-normalized'!$E:$E, MATCH($A113, 'UZ-normalized'!$A:$A, 0))&gt;0, -(14*INDEX('UZ-normalized'!$D:$D, MATCH($A113, 'UZ-normalized'!$A:$A, 0))-INDEX('UZ-normalized'!$E:$E, MATCH($A113, 'UZ-normalized'!$A:$A, 0))), 0), 0)))</f>
        <v>-1378</v>
      </c>
      <c r="AC113" s="6">
        <f>MIN(0, N113+(IFERROR(IF(15*INDEX('UA-normalized'!$D:$D, MATCH($A113, 'UA-normalized'!$A:$A, 0))-INDEX('UA-normalized'!$E:$E, MATCH($A113, 'UA-normalized'!$A:$A, 0))&gt;0, -(15*INDEX('UA-normalized'!$D:$D, MATCH($A113, 'UA-normalized'!$A:$A, 0))-INDEX('UA-normalized'!$E:$E, MATCH($A113, 'UA-normalized'!$A:$A, 0))), 0), 0))+(IFERROR(IF(15*INDEX('KZ-normalized'!$D:$D, MATCH($A113, 'KZ-normalized'!$A:$A, 0))-INDEX('KZ-normalized'!$E:$E, MATCH($A113, 'KZ-normalized'!$A:$A, 0))&gt;0, -(15*INDEX('KZ-normalized'!$D:$D, MATCH($A113, 'KZ-normalized'!$A:$A, 0))-INDEX('KZ-normalized'!$E:$E, MATCH($A113, 'KZ-normalized'!$A:$A, 0))), 0), 0))+(IFERROR(IF(15*INDEX('UZ-normalized'!$D:$D, MATCH($A113, 'UZ-normalized'!$A:$A, 0))-INDEX('UZ-normalized'!$E:$E, MATCH($A113, 'UZ-normalized'!$A:$A, 0))&gt;0, -(15*INDEX('UZ-normalized'!$D:$D, MATCH($A113, 'UZ-normalized'!$A:$A, 0))-INDEX('UZ-normalized'!$E:$E, MATCH($A113, 'UZ-normalized'!$A:$A, 0))), 0), 0)))</f>
        <v>-1520</v>
      </c>
      <c r="AD113" s="6">
        <f>MIN(0, N113+(IFERROR(IF(16*INDEX('UA-normalized'!$D:$D, MATCH($A113, 'UA-normalized'!$A:$A, 0))-INDEX('UA-normalized'!$E:$E, MATCH($A113, 'UA-normalized'!$A:$A, 0))&gt;0, -(16*INDEX('UA-normalized'!$D:$D, MATCH($A113, 'UA-normalized'!$A:$A, 0))-INDEX('UA-normalized'!$E:$E, MATCH($A113, 'UA-normalized'!$A:$A, 0))), 0), 0))+(IFERROR(IF(16*INDEX('KZ-normalized'!$D:$D, MATCH($A113, 'KZ-normalized'!$A:$A, 0))-INDEX('KZ-normalized'!$E:$E, MATCH($A113, 'KZ-normalized'!$A:$A, 0))&gt;0, -(16*INDEX('KZ-normalized'!$D:$D, MATCH($A113, 'KZ-normalized'!$A:$A, 0))-INDEX('KZ-normalized'!$E:$E, MATCH($A113, 'KZ-normalized'!$A:$A, 0))), 0), 0))+(IFERROR(IF(16*INDEX('UZ-normalized'!$D:$D, MATCH($A113, 'UZ-normalized'!$A:$A, 0))-INDEX('UZ-normalized'!$E:$E, MATCH($A113, 'UZ-normalized'!$A:$A, 0))&gt;0, -(16*INDEX('UZ-normalized'!$D:$D, MATCH($A113, 'UZ-normalized'!$A:$A, 0))-INDEX('UZ-normalized'!$E:$E, MATCH($A113, 'UZ-normalized'!$A:$A, 0))), 0), 0)))</f>
        <v>-1662</v>
      </c>
      <c r="AE113" s="6">
        <f>MIN(0, N113+(IFERROR(IF(17*INDEX('UA-normalized'!$D:$D, MATCH($A113, 'UA-normalized'!$A:$A, 0))-INDEX('UA-normalized'!$E:$E, MATCH($A113, 'UA-normalized'!$A:$A, 0))&gt;0, -(17*INDEX('UA-normalized'!$D:$D, MATCH($A113, 'UA-normalized'!$A:$A, 0))-INDEX('UA-normalized'!$E:$E, MATCH($A113, 'UA-normalized'!$A:$A, 0))), 0), 0))+(IFERROR(IF(17*INDEX('KZ-normalized'!$D:$D, MATCH($A113, 'KZ-normalized'!$A:$A, 0))-INDEX('KZ-normalized'!$E:$E, MATCH($A113, 'KZ-normalized'!$A:$A, 0))&gt;0, -(17*INDEX('KZ-normalized'!$D:$D, MATCH($A113, 'KZ-normalized'!$A:$A, 0))-INDEX('KZ-normalized'!$E:$E, MATCH($A113, 'KZ-normalized'!$A:$A, 0))), 0), 0))+(IFERROR(IF(17*INDEX('UZ-normalized'!$D:$D, MATCH($A113, 'UZ-normalized'!$A:$A, 0))-INDEX('UZ-normalized'!$E:$E, MATCH($A113, 'UZ-normalized'!$A:$A, 0))&gt;0, -(17*INDEX('UZ-normalized'!$D:$D, MATCH($A113, 'UZ-normalized'!$A:$A, 0))-INDEX('UZ-normalized'!$E:$E, MATCH($A113, 'UZ-normalized'!$A:$A, 0))), 0), 0)))</f>
        <v>-1804</v>
      </c>
      <c r="AF113" s="6">
        <f>MIN(0, N113+(IFERROR(IF(18*INDEX('UA-normalized'!$D:$D, MATCH($A113, 'UA-normalized'!$A:$A, 0))-INDEX('UA-normalized'!$E:$E, MATCH($A113, 'UA-normalized'!$A:$A, 0))&gt;0, -(18*INDEX('UA-normalized'!$D:$D, MATCH($A113, 'UA-normalized'!$A:$A, 0))-INDEX('UA-normalized'!$E:$E, MATCH($A113, 'UA-normalized'!$A:$A, 0))), 0), 0))+(IFERROR(IF(18*INDEX('KZ-normalized'!$D:$D, MATCH($A113, 'KZ-normalized'!$A:$A, 0))-INDEX('KZ-normalized'!$E:$E, MATCH($A113, 'KZ-normalized'!$A:$A, 0))&gt;0, -(18*INDEX('KZ-normalized'!$D:$D, MATCH($A113, 'KZ-normalized'!$A:$A, 0))-INDEX('KZ-normalized'!$E:$E, MATCH($A113, 'KZ-normalized'!$A:$A, 0))), 0), 0))+(IFERROR(IF(18*INDEX('UZ-normalized'!$D:$D, MATCH($A113, 'UZ-normalized'!$A:$A, 0))-INDEX('UZ-normalized'!$E:$E, MATCH($A113, 'UZ-normalized'!$A:$A, 0))&gt;0, -(18*INDEX('UZ-normalized'!$D:$D, MATCH($A113, 'UZ-normalized'!$A:$A, 0))-INDEX('UZ-normalized'!$E:$E, MATCH($A113, 'UZ-normalized'!$A:$A, 0))), 0), 0)))</f>
        <v>-1946</v>
      </c>
      <c r="AG113" s="6">
        <f>MIN(0, N113+(IFERROR(IF(19*INDEX('UA-normalized'!$D:$D, MATCH($A113, 'UA-normalized'!$A:$A, 0))-INDEX('UA-normalized'!$E:$E, MATCH($A113, 'UA-normalized'!$A:$A, 0))&gt;0, -(19*INDEX('UA-normalized'!$D:$D, MATCH($A113, 'UA-normalized'!$A:$A, 0))-INDEX('UA-normalized'!$E:$E, MATCH($A113, 'UA-normalized'!$A:$A, 0))), 0), 0))+(IFERROR(IF(19*INDEX('KZ-normalized'!$D:$D, MATCH($A113, 'KZ-normalized'!$A:$A, 0))-INDEX('KZ-normalized'!$E:$E, MATCH($A113, 'KZ-normalized'!$A:$A, 0))&gt;0, -(19*INDEX('KZ-normalized'!$D:$D, MATCH($A113, 'KZ-normalized'!$A:$A, 0))-INDEX('KZ-normalized'!$E:$E, MATCH($A113, 'KZ-normalized'!$A:$A, 0))), 0), 0))+(IFERROR(IF(19*INDEX('UZ-normalized'!$D:$D, MATCH($A113, 'UZ-normalized'!$A:$A, 0))-INDEX('UZ-normalized'!$E:$E, MATCH($A113, 'UZ-normalized'!$A:$A, 0))&gt;0, -(19*INDEX('UZ-normalized'!$D:$D, MATCH($A113, 'UZ-normalized'!$A:$A, 0))-INDEX('UZ-normalized'!$E:$E, MATCH($A113, 'UZ-normalized'!$A:$A, 0))), 0), 0)))</f>
        <v>-2088</v>
      </c>
      <c r="AH113" s="6">
        <f>MIN(0, N113+(IFERROR(IF(20*INDEX('UA-normalized'!$D:$D, MATCH($A113, 'UA-normalized'!$A:$A, 0))-INDEX('UA-normalized'!$E:$E, MATCH($A113, 'UA-normalized'!$A:$A, 0))&gt;0, -(20*INDEX('UA-normalized'!$D:$D, MATCH($A113, 'UA-normalized'!$A:$A, 0))-INDEX('UA-normalized'!$E:$E, MATCH($A113, 'UA-normalized'!$A:$A, 0))), 0), 0))+(IFERROR(IF(20*INDEX('KZ-normalized'!$D:$D, MATCH($A113, 'KZ-normalized'!$A:$A, 0))-INDEX('KZ-normalized'!$E:$E, MATCH($A113, 'KZ-normalized'!$A:$A, 0))&gt;0, -(20*INDEX('KZ-normalized'!$D:$D, MATCH($A113, 'KZ-normalized'!$A:$A, 0))-INDEX('KZ-normalized'!$E:$E, MATCH($A113, 'KZ-normalized'!$A:$A, 0))), 0), 0))+(IFERROR(IF(20*INDEX('UZ-normalized'!$D:$D, MATCH($A113, 'UZ-normalized'!$A:$A, 0))-INDEX('UZ-normalized'!$E:$E, MATCH($A113, 'UZ-normalized'!$A:$A, 0))&gt;0, -(20*INDEX('UZ-normalized'!$D:$D, MATCH($A113, 'UZ-normalized'!$A:$A, 0))-INDEX('UZ-normalized'!$E:$E, MATCH($A113, 'UZ-normalized'!$A:$A, 0))), 0), 0)))</f>
        <v>-2230</v>
      </c>
      <c r="AI113" s="6">
        <f>MIN(0, N113+(IFERROR(IF(21*INDEX('UA-normalized'!$D:$D, MATCH($A113, 'UA-normalized'!$A:$A, 0))-INDEX('UA-normalized'!$E:$E, MATCH($A113, 'UA-normalized'!$A:$A, 0))&gt;0, -(21*INDEX('UA-normalized'!$D:$D, MATCH($A113, 'UA-normalized'!$A:$A, 0))-INDEX('UA-normalized'!$E:$E, MATCH($A113, 'UA-normalized'!$A:$A, 0))), 0), 0))+(IFERROR(IF(21*INDEX('KZ-normalized'!$D:$D, MATCH($A113, 'KZ-normalized'!$A:$A, 0))-INDEX('KZ-normalized'!$E:$E, MATCH($A113, 'KZ-normalized'!$A:$A, 0))&gt;0, -(21*INDEX('KZ-normalized'!$D:$D, MATCH($A113, 'KZ-normalized'!$A:$A, 0))-INDEX('KZ-normalized'!$E:$E, MATCH($A113, 'KZ-normalized'!$A:$A, 0))), 0), 0))+(IFERROR(IF(21*INDEX('UZ-normalized'!$D:$D, MATCH($A113, 'UZ-normalized'!$A:$A, 0))-INDEX('UZ-normalized'!$E:$E, MATCH($A113, 'UZ-normalized'!$A:$A, 0))&gt;0, -(21*INDEX('UZ-normalized'!$D:$D, MATCH($A113, 'UZ-normalized'!$A:$A, 0))-INDEX('UZ-normalized'!$E:$E, MATCH($A113, 'UZ-normalized'!$A:$A, 0))), 0), 0)))</f>
        <v>-2372</v>
      </c>
      <c r="AJ113" s="6">
        <f>MIN(0, N113+(IFERROR(IF(22*INDEX('UA-normalized'!$D:$D, MATCH($A113, 'UA-normalized'!$A:$A, 0))-INDEX('UA-normalized'!$E:$E, MATCH($A113, 'UA-normalized'!$A:$A, 0))&gt;0, -(22*INDEX('UA-normalized'!$D:$D, MATCH($A113, 'UA-normalized'!$A:$A, 0))-INDEX('UA-normalized'!$E:$E, MATCH($A113, 'UA-normalized'!$A:$A, 0))), 0), 0))+(IFERROR(IF(22*INDEX('KZ-normalized'!$D:$D, MATCH($A113, 'KZ-normalized'!$A:$A, 0))-INDEX('KZ-normalized'!$E:$E, MATCH($A113, 'KZ-normalized'!$A:$A, 0))&gt;0, -(22*INDEX('KZ-normalized'!$D:$D, MATCH($A113, 'KZ-normalized'!$A:$A, 0))-INDEX('KZ-normalized'!$E:$E, MATCH($A113, 'KZ-normalized'!$A:$A, 0))), 0), 0))+(IFERROR(IF(22*INDEX('UZ-normalized'!$D:$D, MATCH($A113, 'UZ-normalized'!$A:$A, 0))-INDEX('UZ-normalized'!$E:$E, MATCH($A113, 'UZ-normalized'!$A:$A, 0))&gt;0, -(22*INDEX('UZ-normalized'!$D:$D, MATCH($A113, 'UZ-normalized'!$A:$A, 0))-INDEX('UZ-normalized'!$E:$E, MATCH($A113, 'UZ-normalized'!$A:$A, 0))), 0), 0)))</f>
        <v>-2514</v>
      </c>
      <c r="AK113" s="6">
        <f>MIN(0, N113+(IFERROR(IF(23*INDEX('UA-normalized'!$D:$D, MATCH($A113, 'UA-normalized'!$A:$A, 0))-INDEX('UA-normalized'!$E:$E, MATCH($A113, 'UA-normalized'!$A:$A, 0))&gt;0, -(23*INDEX('UA-normalized'!$D:$D, MATCH($A113, 'UA-normalized'!$A:$A, 0))-INDEX('UA-normalized'!$E:$E, MATCH($A113, 'UA-normalized'!$A:$A, 0))), 0), 0))+(IFERROR(IF(23*INDEX('KZ-normalized'!$D:$D, MATCH($A113, 'KZ-normalized'!$A:$A, 0))-INDEX('KZ-normalized'!$E:$E, MATCH($A113, 'KZ-normalized'!$A:$A, 0))&gt;0, -(23*INDEX('KZ-normalized'!$D:$D, MATCH($A113, 'KZ-normalized'!$A:$A, 0))-INDEX('KZ-normalized'!$E:$E, MATCH($A113, 'KZ-normalized'!$A:$A, 0))), 0), 0))+(IFERROR(IF(23*INDEX('UZ-normalized'!$D:$D, MATCH($A113, 'UZ-normalized'!$A:$A, 0))-INDEX('UZ-normalized'!$E:$E, MATCH($A113, 'UZ-normalized'!$A:$A, 0))&gt;0, -(23*INDEX('UZ-normalized'!$D:$D, MATCH($A113, 'UZ-normalized'!$A:$A, 0))-INDEX('UZ-normalized'!$E:$E, MATCH($A113, 'UZ-normalized'!$A:$A, 0))), 0), 0)))</f>
        <v>-2656</v>
      </c>
      <c r="AL113" s="6">
        <f>MIN(0, N113+(IFERROR(IF(24*INDEX('UA-normalized'!$D:$D, MATCH($A113, 'UA-normalized'!$A:$A, 0))-INDEX('UA-normalized'!$E:$E, MATCH($A113, 'UA-normalized'!$A:$A, 0))&gt;0, -(24*INDEX('UA-normalized'!$D:$D, MATCH($A113, 'UA-normalized'!$A:$A, 0))-INDEX('UA-normalized'!$E:$E, MATCH($A113, 'UA-normalized'!$A:$A, 0))), 0), 0))+(IFERROR(IF(24*INDEX('KZ-normalized'!$D:$D, MATCH($A113, 'KZ-normalized'!$A:$A, 0))-INDEX('KZ-normalized'!$E:$E, MATCH($A113, 'KZ-normalized'!$A:$A, 0))&gt;0, -(24*INDEX('KZ-normalized'!$D:$D, MATCH($A113, 'KZ-normalized'!$A:$A, 0))-INDEX('KZ-normalized'!$E:$E, MATCH($A113, 'KZ-normalized'!$A:$A, 0))), 0), 0))+(IFERROR(IF(24*INDEX('UZ-normalized'!$D:$D, MATCH($A113, 'UZ-normalized'!$A:$A, 0))-INDEX('UZ-normalized'!$E:$E, MATCH($A113, 'UZ-normalized'!$A:$A, 0))&gt;0, -(24*INDEX('UZ-normalized'!$D:$D, MATCH($A113, 'UZ-normalized'!$A:$A, 0))-INDEX('UZ-normalized'!$E:$E, MATCH($A113, 'UZ-normalized'!$A:$A, 0))), 0), 0)))</f>
        <v>-2798</v>
      </c>
      <c r="AM113" s="6">
        <f>MIN(0, N113+(IFERROR(IF(25*INDEX('UA-normalized'!$D:$D, MATCH($A113, 'UA-normalized'!$A:$A, 0))-INDEX('UA-normalized'!$E:$E, MATCH($A113, 'UA-normalized'!$A:$A, 0))&gt;0, -(25*INDEX('UA-normalized'!$D:$D, MATCH($A113, 'UA-normalized'!$A:$A, 0))-INDEX('UA-normalized'!$E:$E, MATCH($A113, 'UA-normalized'!$A:$A, 0))), 0), 0))+(IFERROR(IF(25*INDEX('KZ-normalized'!$D:$D, MATCH($A113, 'KZ-normalized'!$A:$A, 0))-INDEX('KZ-normalized'!$E:$E, MATCH($A113, 'KZ-normalized'!$A:$A, 0))&gt;0, -(25*INDEX('KZ-normalized'!$D:$D, MATCH($A113, 'KZ-normalized'!$A:$A, 0))-INDEX('KZ-normalized'!$E:$E, MATCH($A113, 'KZ-normalized'!$A:$A, 0))), 0), 0))+(IFERROR(IF(25*INDEX('UZ-normalized'!$D:$D, MATCH($A113, 'UZ-normalized'!$A:$A, 0))-INDEX('UZ-normalized'!$E:$E, MATCH($A113, 'UZ-normalized'!$A:$A, 0))&gt;0, -(25*INDEX('UZ-normalized'!$D:$D, MATCH($A113, 'UZ-normalized'!$A:$A, 0))-INDEX('UZ-normalized'!$E:$E, MATCH($A113, 'UZ-normalized'!$A:$A, 0))), 0), 0)))</f>
        <v>-2940</v>
      </c>
      <c r="AN113" s="6">
        <f>MIN(0, N113+(IFERROR(IF(26*INDEX('UA-normalized'!$D:$D, MATCH($A113, 'UA-normalized'!$A:$A, 0))-INDEX('UA-normalized'!$E:$E, MATCH($A113, 'UA-normalized'!$A:$A, 0))&gt;0, -(26*INDEX('UA-normalized'!$D:$D, MATCH($A113, 'UA-normalized'!$A:$A, 0))-INDEX('UA-normalized'!$E:$E, MATCH($A113, 'UA-normalized'!$A:$A, 0))), 0), 0))+(IFERROR(IF(26*INDEX('KZ-normalized'!$D:$D, MATCH($A113, 'KZ-normalized'!$A:$A, 0))-INDEX('KZ-normalized'!$E:$E, MATCH($A113, 'KZ-normalized'!$A:$A, 0))&gt;0, -(26*INDEX('KZ-normalized'!$D:$D, MATCH($A113, 'KZ-normalized'!$A:$A, 0))-INDEX('KZ-normalized'!$E:$E, MATCH($A113, 'KZ-normalized'!$A:$A, 0))), 0), 0))+(IFERROR(IF(26*INDEX('UZ-normalized'!$D:$D, MATCH($A113, 'UZ-normalized'!$A:$A, 0))-INDEX('UZ-normalized'!$E:$E, MATCH($A113, 'UZ-normalized'!$A:$A, 0))&gt;0, -(26*INDEX('UZ-normalized'!$D:$D, MATCH($A113, 'UZ-normalized'!$A:$A, 0))-INDEX('UZ-normalized'!$E:$E, MATCH($A113, 'UZ-normalized'!$A:$A, 0))), 0), 0)))</f>
        <v>-3082</v>
      </c>
      <c r="AO113" s="6">
        <f>MIN(0, N113+(IFERROR(IF(27*INDEX('UA-normalized'!$D:$D, MATCH($A113, 'UA-normalized'!$A:$A, 0))-INDEX('UA-normalized'!$E:$E, MATCH($A113, 'UA-normalized'!$A:$A, 0))&gt;0, -(27*INDEX('UA-normalized'!$D:$D, MATCH($A113, 'UA-normalized'!$A:$A, 0))-INDEX('UA-normalized'!$E:$E, MATCH($A113, 'UA-normalized'!$A:$A, 0))), 0), 0))+(IFERROR(IF(27*INDEX('KZ-normalized'!$D:$D, MATCH($A113, 'KZ-normalized'!$A:$A, 0))-INDEX('KZ-normalized'!$E:$E, MATCH($A113, 'KZ-normalized'!$A:$A, 0))&gt;0, -(27*INDEX('KZ-normalized'!$D:$D, MATCH($A113, 'KZ-normalized'!$A:$A, 0))-INDEX('KZ-normalized'!$E:$E, MATCH($A113, 'KZ-normalized'!$A:$A, 0))), 0), 0))+(IFERROR(IF(27*INDEX('UZ-normalized'!$D:$D, MATCH($A113, 'UZ-normalized'!$A:$A, 0))-INDEX('UZ-normalized'!$E:$E, MATCH($A113, 'UZ-normalized'!$A:$A, 0))&gt;0, -(27*INDEX('UZ-normalized'!$D:$D, MATCH($A113, 'UZ-normalized'!$A:$A, 0))-INDEX('UZ-normalized'!$E:$E, MATCH($A113, 'UZ-normalized'!$A:$A, 0))), 0), 0)))</f>
        <v>-3224</v>
      </c>
      <c r="AP113" s="6">
        <f>MIN(0, N113+(IFERROR(IF(28*INDEX('UA-normalized'!$D:$D, MATCH($A113, 'UA-normalized'!$A:$A, 0))-INDEX('UA-normalized'!$E:$E, MATCH($A113, 'UA-normalized'!$A:$A, 0))&gt;0, -(28*INDEX('UA-normalized'!$D:$D, MATCH($A113, 'UA-normalized'!$A:$A, 0))-INDEX('UA-normalized'!$E:$E, MATCH($A113, 'UA-normalized'!$A:$A, 0))), 0), 0))+(IFERROR(IF(28*INDEX('KZ-normalized'!$D:$D, MATCH($A113, 'KZ-normalized'!$A:$A, 0))-INDEX('KZ-normalized'!$E:$E, MATCH($A113, 'KZ-normalized'!$A:$A, 0))&gt;0, -(28*INDEX('KZ-normalized'!$D:$D, MATCH($A113, 'KZ-normalized'!$A:$A, 0))-INDEX('KZ-normalized'!$E:$E, MATCH($A113, 'KZ-normalized'!$A:$A, 0))), 0), 0))+(IFERROR(IF(28*INDEX('UZ-normalized'!$D:$D, MATCH($A113, 'UZ-normalized'!$A:$A, 0))-INDEX('UZ-normalized'!$E:$E, MATCH($A113, 'UZ-normalized'!$A:$A, 0))&gt;0, -(28*INDEX('UZ-normalized'!$D:$D, MATCH($A113, 'UZ-normalized'!$A:$A, 0))-INDEX('UZ-normalized'!$E:$E, MATCH($A113, 'UZ-normalized'!$A:$A, 0))), 0), 0)))</f>
        <v>-3366</v>
      </c>
      <c r="AQ113" s="6">
        <f>MIN(0, N113+(IFERROR(IF(29*INDEX('UA-normalized'!$D:$D, MATCH($A113, 'UA-normalized'!$A:$A, 0))-INDEX('UA-normalized'!$E:$E, MATCH($A113, 'UA-normalized'!$A:$A, 0))&gt;0, -(29*INDEX('UA-normalized'!$D:$D, MATCH($A113, 'UA-normalized'!$A:$A, 0))-INDEX('UA-normalized'!$E:$E, MATCH($A113, 'UA-normalized'!$A:$A, 0))), 0), 0))+(IFERROR(IF(29*INDEX('KZ-normalized'!$D:$D, MATCH($A113, 'KZ-normalized'!$A:$A, 0))-INDEX('KZ-normalized'!$E:$E, MATCH($A113, 'KZ-normalized'!$A:$A, 0))&gt;0, -(29*INDEX('KZ-normalized'!$D:$D, MATCH($A113, 'KZ-normalized'!$A:$A, 0))-INDEX('KZ-normalized'!$E:$E, MATCH($A113, 'KZ-normalized'!$A:$A, 0))), 0), 0))+(IFERROR(IF(29*INDEX('UZ-normalized'!$D:$D, MATCH($A113, 'UZ-normalized'!$A:$A, 0))-INDEX('UZ-normalized'!$E:$E, MATCH($A113, 'UZ-normalized'!$A:$A, 0))&gt;0, -(29*INDEX('UZ-normalized'!$D:$D, MATCH($A113, 'UZ-normalized'!$A:$A, 0))-INDEX('UZ-normalized'!$E:$E, MATCH($A113, 'UZ-normalized'!$A:$A, 0))), 0), 0)))</f>
        <v>-3508</v>
      </c>
      <c r="AR113" s="6">
        <f>MIN(0, N113+(IFERROR(IF(30*INDEX('UA-normalized'!$D:$D, MATCH($A113, 'UA-normalized'!$A:$A, 0))-INDEX('UA-normalized'!$E:$E, MATCH($A113, 'UA-normalized'!$A:$A, 0))&gt;0, -(30*INDEX('UA-normalized'!$D:$D, MATCH($A113, 'UA-normalized'!$A:$A, 0))-INDEX('UA-normalized'!$E:$E, MATCH($A113, 'UA-normalized'!$A:$A, 0))), 0), 0))+(IFERROR(IF(30*INDEX('KZ-normalized'!$D:$D, MATCH($A113, 'KZ-normalized'!$A:$A, 0))-INDEX('KZ-normalized'!$E:$E, MATCH($A113, 'KZ-normalized'!$A:$A, 0))&gt;0, -(30*INDEX('KZ-normalized'!$D:$D, MATCH($A113, 'KZ-normalized'!$A:$A, 0))-INDEX('KZ-normalized'!$E:$E, MATCH($A113, 'KZ-normalized'!$A:$A, 0))), 0), 0))+(IFERROR(IF(30*INDEX('UZ-normalized'!$D:$D, MATCH($A113, 'UZ-normalized'!$A:$A, 0))-INDEX('UZ-normalized'!$E:$E, MATCH($A113, 'UZ-normalized'!$A:$A, 0))&gt;0, -(30*INDEX('UZ-normalized'!$D:$D, MATCH($A113, 'UZ-normalized'!$A:$A, 0))-INDEX('UZ-normalized'!$E:$E, MATCH($A113, 'UZ-normalized'!$A:$A, 0))), 0), 0)))</f>
        <v>-3650</v>
      </c>
    </row>
    <row r="114" spans="1:44" x14ac:dyDescent="0.25">
      <c r="A114" s="8" t="s">
        <v>280</v>
      </c>
      <c r="B114" s="8" t="s">
        <v>180</v>
      </c>
      <c r="C114" s="8" t="s">
        <v>281</v>
      </c>
      <c r="D114" s="8" t="s">
        <v>282</v>
      </c>
      <c r="F114">
        <v>13</v>
      </c>
      <c r="G114">
        <v>-20</v>
      </c>
      <c r="N114">
        <f t="shared" si="1"/>
        <v>-7</v>
      </c>
      <c r="O114" s="6">
        <f>MIN(0, N114+(IFERROR(IF(1*INDEX('UA-normalized'!$D:$D, MATCH($A114, 'UA-normalized'!$A:$A, 0))-INDEX('UA-normalized'!$E:$E, MATCH($A114, 'UA-normalized'!$A:$A, 0))&gt;0, -(1*INDEX('UA-normalized'!$D:$D, MATCH($A114, 'UA-normalized'!$A:$A, 0))-INDEX('UA-normalized'!$E:$E, MATCH($A114, 'UA-normalized'!$A:$A, 0))), 0), 0))+(IFERROR(IF(1*INDEX('KZ-normalized'!$D:$D, MATCH($A114, 'KZ-normalized'!$A:$A, 0))-INDEX('KZ-normalized'!$E:$E, MATCH($A114, 'KZ-normalized'!$A:$A, 0))&gt;0, -(1*INDEX('KZ-normalized'!$D:$D, MATCH($A114, 'KZ-normalized'!$A:$A, 0))-INDEX('KZ-normalized'!$E:$E, MATCH($A114, 'KZ-normalized'!$A:$A, 0))), 0), 0))+(IFERROR(IF(1*INDEX('UZ-normalized'!$D:$D, MATCH($A114, 'UZ-normalized'!$A:$A, 0))-INDEX('UZ-normalized'!$E:$E, MATCH($A114, 'UZ-normalized'!$A:$A, 0))&gt;0, -(1*INDEX('UZ-normalized'!$D:$D, MATCH($A114, 'UZ-normalized'!$A:$A, 0))-INDEX('UZ-normalized'!$E:$E, MATCH($A114, 'UZ-normalized'!$A:$A, 0))), 0), 0)))</f>
        <v>-8.3000000000000007</v>
      </c>
      <c r="P114" s="6">
        <f>MIN(0, N114+(IFERROR(IF(2*INDEX('UA-normalized'!$D:$D, MATCH($A114, 'UA-normalized'!$A:$A, 0))-INDEX('UA-normalized'!$E:$E, MATCH($A114, 'UA-normalized'!$A:$A, 0))&gt;0, -(2*INDEX('UA-normalized'!$D:$D, MATCH($A114, 'UA-normalized'!$A:$A, 0))-INDEX('UA-normalized'!$E:$E, MATCH($A114, 'UA-normalized'!$A:$A, 0))), 0), 0))+(IFERROR(IF(2*INDEX('KZ-normalized'!$D:$D, MATCH($A114, 'KZ-normalized'!$A:$A, 0))-INDEX('KZ-normalized'!$E:$E, MATCH($A114, 'KZ-normalized'!$A:$A, 0))&gt;0, -(2*INDEX('KZ-normalized'!$D:$D, MATCH($A114, 'KZ-normalized'!$A:$A, 0))-INDEX('KZ-normalized'!$E:$E, MATCH($A114, 'KZ-normalized'!$A:$A, 0))), 0), 0))+(IFERROR(IF(2*INDEX('UZ-normalized'!$D:$D, MATCH($A114, 'UZ-normalized'!$A:$A, 0))-INDEX('UZ-normalized'!$E:$E, MATCH($A114, 'UZ-normalized'!$A:$A, 0))&gt;0, -(2*INDEX('UZ-normalized'!$D:$D, MATCH($A114, 'UZ-normalized'!$A:$A, 0))-INDEX('UZ-normalized'!$E:$E, MATCH($A114, 'UZ-normalized'!$A:$A, 0))), 0), 0)))</f>
        <v>-9.6</v>
      </c>
      <c r="Q114" s="6">
        <f>MIN(0, N114+(IFERROR(IF(3*INDEX('UA-normalized'!$D:$D, MATCH($A114, 'UA-normalized'!$A:$A, 0))-INDEX('UA-normalized'!$E:$E, MATCH($A114, 'UA-normalized'!$A:$A, 0))&gt;0, -(3*INDEX('UA-normalized'!$D:$D, MATCH($A114, 'UA-normalized'!$A:$A, 0))-INDEX('UA-normalized'!$E:$E, MATCH($A114, 'UA-normalized'!$A:$A, 0))), 0), 0))+(IFERROR(IF(3*INDEX('KZ-normalized'!$D:$D, MATCH($A114, 'KZ-normalized'!$A:$A, 0))-INDEX('KZ-normalized'!$E:$E, MATCH($A114, 'KZ-normalized'!$A:$A, 0))&gt;0, -(3*INDEX('KZ-normalized'!$D:$D, MATCH($A114, 'KZ-normalized'!$A:$A, 0))-INDEX('KZ-normalized'!$E:$E, MATCH($A114, 'KZ-normalized'!$A:$A, 0))), 0), 0))+(IFERROR(IF(3*INDEX('UZ-normalized'!$D:$D, MATCH($A114, 'UZ-normalized'!$A:$A, 0))-INDEX('UZ-normalized'!$E:$E, MATCH($A114, 'UZ-normalized'!$A:$A, 0))&gt;0, -(3*INDEX('UZ-normalized'!$D:$D, MATCH($A114, 'UZ-normalized'!$A:$A, 0))-INDEX('UZ-normalized'!$E:$E, MATCH($A114, 'UZ-normalized'!$A:$A, 0))), 0), 0)))</f>
        <v>-10.9</v>
      </c>
      <c r="R114" s="6">
        <f>MIN(0, N114+(IFERROR(IF(4*INDEX('UA-normalized'!$D:$D, MATCH($A114, 'UA-normalized'!$A:$A, 0))-INDEX('UA-normalized'!$E:$E, MATCH($A114, 'UA-normalized'!$A:$A, 0))&gt;0, -(4*INDEX('UA-normalized'!$D:$D, MATCH($A114, 'UA-normalized'!$A:$A, 0))-INDEX('UA-normalized'!$E:$E, MATCH($A114, 'UA-normalized'!$A:$A, 0))), 0), 0))+(IFERROR(IF(4*INDEX('KZ-normalized'!$D:$D, MATCH($A114, 'KZ-normalized'!$A:$A, 0))-INDEX('KZ-normalized'!$E:$E, MATCH($A114, 'KZ-normalized'!$A:$A, 0))&gt;0, -(4*INDEX('KZ-normalized'!$D:$D, MATCH($A114, 'KZ-normalized'!$A:$A, 0))-INDEX('KZ-normalized'!$E:$E, MATCH($A114, 'KZ-normalized'!$A:$A, 0))), 0), 0))+(IFERROR(IF(4*INDEX('UZ-normalized'!$D:$D, MATCH($A114, 'UZ-normalized'!$A:$A, 0))-INDEX('UZ-normalized'!$E:$E, MATCH($A114, 'UZ-normalized'!$A:$A, 0))&gt;0, -(4*INDEX('UZ-normalized'!$D:$D, MATCH($A114, 'UZ-normalized'!$A:$A, 0))-INDEX('UZ-normalized'!$E:$E, MATCH($A114, 'UZ-normalized'!$A:$A, 0))), 0), 0)))</f>
        <v>-12.2</v>
      </c>
      <c r="S114" s="6">
        <f>MIN(0, N114+(IFERROR(IF(5*INDEX('UA-normalized'!$D:$D, MATCH($A114, 'UA-normalized'!$A:$A, 0))-INDEX('UA-normalized'!$E:$E, MATCH($A114, 'UA-normalized'!$A:$A, 0))&gt;0, -(5*INDEX('UA-normalized'!$D:$D, MATCH($A114, 'UA-normalized'!$A:$A, 0))-INDEX('UA-normalized'!$E:$E, MATCH($A114, 'UA-normalized'!$A:$A, 0))), 0), 0))+(IFERROR(IF(5*INDEX('KZ-normalized'!$D:$D, MATCH($A114, 'KZ-normalized'!$A:$A, 0))-INDEX('KZ-normalized'!$E:$E, MATCH($A114, 'KZ-normalized'!$A:$A, 0))&gt;0, -(5*INDEX('KZ-normalized'!$D:$D, MATCH($A114, 'KZ-normalized'!$A:$A, 0))-INDEX('KZ-normalized'!$E:$E, MATCH($A114, 'KZ-normalized'!$A:$A, 0))), 0), 0))+(IFERROR(IF(5*INDEX('UZ-normalized'!$D:$D, MATCH($A114, 'UZ-normalized'!$A:$A, 0))-INDEX('UZ-normalized'!$E:$E, MATCH($A114, 'UZ-normalized'!$A:$A, 0))&gt;0, -(5*INDEX('UZ-normalized'!$D:$D, MATCH($A114, 'UZ-normalized'!$A:$A, 0))-INDEX('UZ-normalized'!$E:$E, MATCH($A114, 'UZ-normalized'!$A:$A, 0))), 0), 0)))</f>
        <v>-13.5</v>
      </c>
      <c r="T114" s="6">
        <f>MIN(0, N114+(IFERROR(IF(6*INDEX('UA-normalized'!$D:$D, MATCH($A114, 'UA-normalized'!$A:$A, 0))-INDEX('UA-normalized'!$E:$E, MATCH($A114, 'UA-normalized'!$A:$A, 0))&gt;0, -(6*INDEX('UA-normalized'!$D:$D, MATCH($A114, 'UA-normalized'!$A:$A, 0))-INDEX('UA-normalized'!$E:$E, MATCH($A114, 'UA-normalized'!$A:$A, 0))), 0), 0))+(IFERROR(IF(6*INDEX('KZ-normalized'!$D:$D, MATCH($A114, 'KZ-normalized'!$A:$A, 0))-INDEX('KZ-normalized'!$E:$E, MATCH($A114, 'KZ-normalized'!$A:$A, 0))&gt;0, -(6*INDEX('KZ-normalized'!$D:$D, MATCH($A114, 'KZ-normalized'!$A:$A, 0))-INDEX('KZ-normalized'!$E:$E, MATCH($A114, 'KZ-normalized'!$A:$A, 0))), 0), 0))+(IFERROR(IF(6*INDEX('UZ-normalized'!$D:$D, MATCH($A114, 'UZ-normalized'!$A:$A, 0))-INDEX('UZ-normalized'!$E:$E, MATCH($A114, 'UZ-normalized'!$A:$A, 0))&gt;0, -(6*INDEX('UZ-normalized'!$D:$D, MATCH($A114, 'UZ-normalized'!$A:$A, 0))-INDEX('UZ-normalized'!$E:$E, MATCH($A114, 'UZ-normalized'!$A:$A, 0))), 0), 0)))</f>
        <v>-14.8</v>
      </c>
      <c r="U114" s="6">
        <f>MIN(0, N114+(IFERROR(IF(7*INDEX('UA-normalized'!$D:$D, MATCH($A114, 'UA-normalized'!$A:$A, 0))-INDEX('UA-normalized'!$E:$E, MATCH($A114, 'UA-normalized'!$A:$A, 0))&gt;0, -(7*INDEX('UA-normalized'!$D:$D, MATCH($A114, 'UA-normalized'!$A:$A, 0))-INDEX('UA-normalized'!$E:$E, MATCH($A114, 'UA-normalized'!$A:$A, 0))), 0), 0))+(IFERROR(IF(7*INDEX('KZ-normalized'!$D:$D, MATCH($A114, 'KZ-normalized'!$A:$A, 0))-INDEX('KZ-normalized'!$E:$E, MATCH($A114, 'KZ-normalized'!$A:$A, 0))&gt;0, -(7*INDEX('KZ-normalized'!$D:$D, MATCH($A114, 'KZ-normalized'!$A:$A, 0))-INDEX('KZ-normalized'!$E:$E, MATCH($A114, 'KZ-normalized'!$A:$A, 0))), 0), 0))+(IFERROR(IF(7*INDEX('UZ-normalized'!$D:$D, MATCH($A114, 'UZ-normalized'!$A:$A, 0))-INDEX('UZ-normalized'!$E:$E, MATCH($A114, 'UZ-normalized'!$A:$A, 0))&gt;0, -(7*INDEX('UZ-normalized'!$D:$D, MATCH($A114, 'UZ-normalized'!$A:$A, 0))-INDEX('UZ-normalized'!$E:$E, MATCH($A114, 'UZ-normalized'!$A:$A, 0))), 0), 0)))</f>
        <v>-27.299999999999997</v>
      </c>
      <c r="V114" s="6">
        <f>MIN(0, N114+(IFERROR(IF(8*INDEX('UA-normalized'!$D:$D, MATCH($A114, 'UA-normalized'!$A:$A, 0))-INDEX('UA-normalized'!$E:$E, MATCH($A114, 'UA-normalized'!$A:$A, 0))&gt;0, -(8*INDEX('UA-normalized'!$D:$D, MATCH($A114, 'UA-normalized'!$A:$A, 0))-INDEX('UA-normalized'!$E:$E, MATCH($A114, 'UA-normalized'!$A:$A, 0))), 0), 0))+(IFERROR(IF(8*INDEX('KZ-normalized'!$D:$D, MATCH($A114, 'KZ-normalized'!$A:$A, 0))-INDEX('KZ-normalized'!$E:$E, MATCH($A114, 'KZ-normalized'!$A:$A, 0))&gt;0, -(8*INDEX('KZ-normalized'!$D:$D, MATCH($A114, 'KZ-normalized'!$A:$A, 0))-INDEX('KZ-normalized'!$E:$E, MATCH($A114, 'KZ-normalized'!$A:$A, 0))), 0), 0))+(IFERROR(IF(8*INDEX('UZ-normalized'!$D:$D, MATCH($A114, 'UZ-normalized'!$A:$A, 0))-INDEX('UZ-normalized'!$E:$E, MATCH($A114, 'UZ-normalized'!$A:$A, 0))&gt;0, -(8*INDEX('UZ-normalized'!$D:$D, MATCH($A114, 'UZ-normalized'!$A:$A, 0))-INDEX('UZ-normalized'!$E:$E, MATCH($A114, 'UZ-normalized'!$A:$A, 0))), 0), 0)))</f>
        <v>-45.199999999999996</v>
      </c>
      <c r="W114" s="6">
        <f>MIN(0, N114+(IFERROR(IF(9*INDEX('UA-normalized'!$D:$D, MATCH($A114, 'UA-normalized'!$A:$A, 0))-INDEX('UA-normalized'!$E:$E, MATCH($A114, 'UA-normalized'!$A:$A, 0))&gt;0, -(9*INDEX('UA-normalized'!$D:$D, MATCH($A114, 'UA-normalized'!$A:$A, 0))-INDEX('UA-normalized'!$E:$E, MATCH($A114, 'UA-normalized'!$A:$A, 0))), 0), 0))+(IFERROR(IF(9*INDEX('KZ-normalized'!$D:$D, MATCH($A114, 'KZ-normalized'!$A:$A, 0))-INDEX('KZ-normalized'!$E:$E, MATCH($A114, 'KZ-normalized'!$A:$A, 0))&gt;0, -(9*INDEX('KZ-normalized'!$D:$D, MATCH($A114, 'KZ-normalized'!$A:$A, 0))-INDEX('KZ-normalized'!$E:$E, MATCH($A114, 'KZ-normalized'!$A:$A, 0))), 0), 0))+(IFERROR(IF(9*INDEX('UZ-normalized'!$D:$D, MATCH($A114, 'UZ-normalized'!$A:$A, 0))-INDEX('UZ-normalized'!$E:$E, MATCH($A114, 'UZ-normalized'!$A:$A, 0))&gt;0, -(9*INDEX('UZ-normalized'!$D:$D, MATCH($A114, 'UZ-normalized'!$A:$A, 0))-INDEX('UZ-normalized'!$E:$E, MATCH($A114, 'UZ-normalized'!$A:$A, 0))), 0), 0)))</f>
        <v>-63.099999999999994</v>
      </c>
      <c r="X114" s="6">
        <f>MIN(0, N114+(IFERROR(IF(10*INDEX('UA-normalized'!$D:$D, MATCH($A114, 'UA-normalized'!$A:$A, 0))-INDEX('UA-normalized'!$E:$E, MATCH($A114, 'UA-normalized'!$A:$A, 0))&gt;0, -(10*INDEX('UA-normalized'!$D:$D, MATCH($A114, 'UA-normalized'!$A:$A, 0))-INDEX('UA-normalized'!$E:$E, MATCH($A114, 'UA-normalized'!$A:$A, 0))), 0), 0))+(IFERROR(IF(10*INDEX('KZ-normalized'!$D:$D, MATCH($A114, 'KZ-normalized'!$A:$A, 0))-INDEX('KZ-normalized'!$E:$E, MATCH($A114, 'KZ-normalized'!$A:$A, 0))&gt;0, -(10*INDEX('KZ-normalized'!$D:$D, MATCH($A114, 'KZ-normalized'!$A:$A, 0))-INDEX('KZ-normalized'!$E:$E, MATCH($A114, 'KZ-normalized'!$A:$A, 0))), 0), 0))+(IFERROR(IF(10*INDEX('UZ-normalized'!$D:$D, MATCH($A114, 'UZ-normalized'!$A:$A, 0))-INDEX('UZ-normalized'!$E:$E, MATCH($A114, 'UZ-normalized'!$A:$A, 0))&gt;0, -(10*INDEX('UZ-normalized'!$D:$D, MATCH($A114, 'UZ-normalized'!$A:$A, 0))-INDEX('UZ-normalized'!$E:$E, MATCH($A114, 'UZ-normalized'!$A:$A, 0))), 0), 0)))</f>
        <v>-81</v>
      </c>
      <c r="Y114" s="6">
        <f>MIN(0, N114+(IFERROR(IF(11*INDEX('UA-normalized'!$D:$D, MATCH($A114, 'UA-normalized'!$A:$A, 0))-INDEX('UA-normalized'!$E:$E, MATCH($A114, 'UA-normalized'!$A:$A, 0))&gt;0, -(11*INDEX('UA-normalized'!$D:$D, MATCH($A114, 'UA-normalized'!$A:$A, 0))-INDEX('UA-normalized'!$E:$E, MATCH($A114, 'UA-normalized'!$A:$A, 0))), 0), 0))+(IFERROR(IF(11*INDEX('KZ-normalized'!$D:$D, MATCH($A114, 'KZ-normalized'!$A:$A, 0))-INDEX('KZ-normalized'!$E:$E, MATCH($A114, 'KZ-normalized'!$A:$A, 0))&gt;0, -(11*INDEX('KZ-normalized'!$D:$D, MATCH($A114, 'KZ-normalized'!$A:$A, 0))-INDEX('KZ-normalized'!$E:$E, MATCH($A114, 'KZ-normalized'!$A:$A, 0))), 0), 0))+(IFERROR(IF(11*INDEX('UZ-normalized'!$D:$D, MATCH($A114, 'UZ-normalized'!$A:$A, 0))-INDEX('UZ-normalized'!$E:$E, MATCH($A114, 'UZ-normalized'!$A:$A, 0))&gt;0, -(11*INDEX('UZ-normalized'!$D:$D, MATCH($A114, 'UZ-normalized'!$A:$A, 0))-INDEX('UZ-normalized'!$E:$E, MATCH($A114, 'UZ-normalized'!$A:$A, 0))), 0), 0)))</f>
        <v>-98.899999999999991</v>
      </c>
      <c r="Z114" s="6">
        <f>MIN(0, N114+(IFERROR(IF(12*INDEX('UA-normalized'!$D:$D, MATCH($A114, 'UA-normalized'!$A:$A, 0))-INDEX('UA-normalized'!$E:$E, MATCH($A114, 'UA-normalized'!$A:$A, 0))&gt;0, -(12*INDEX('UA-normalized'!$D:$D, MATCH($A114, 'UA-normalized'!$A:$A, 0))-INDEX('UA-normalized'!$E:$E, MATCH($A114, 'UA-normalized'!$A:$A, 0))), 0), 0))+(IFERROR(IF(12*INDEX('KZ-normalized'!$D:$D, MATCH($A114, 'KZ-normalized'!$A:$A, 0))-INDEX('KZ-normalized'!$E:$E, MATCH($A114, 'KZ-normalized'!$A:$A, 0))&gt;0, -(12*INDEX('KZ-normalized'!$D:$D, MATCH($A114, 'KZ-normalized'!$A:$A, 0))-INDEX('KZ-normalized'!$E:$E, MATCH($A114, 'KZ-normalized'!$A:$A, 0))), 0), 0))+(IFERROR(IF(12*INDEX('UZ-normalized'!$D:$D, MATCH($A114, 'UZ-normalized'!$A:$A, 0))-INDEX('UZ-normalized'!$E:$E, MATCH($A114, 'UZ-normalized'!$A:$A, 0))&gt;0, -(12*INDEX('UZ-normalized'!$D:$D, MATCH($A114, 'UZ-normalized'!$A:$A, 0))-INDEX('UZ-normalized'!$E:$E, MATCH($A114, 'UZ-normalized'!$A:$A, 0))), 0), 0)))</f>
        <v>-116.79999999999998</v>
      </c>
      <c r="AA114" s="6">
        <f>MIN(0, N114+(IFERROR(IF(13*INDEX('UA-normalized'!$D:$D, MATCH($A114, 'UA-normalized'!$A:$A, 0))-INDEX('UA-normalized'!$E:$E, MATCH($A114, 'UA-normalized'!$A:$A, 0))&gt;0, -(13*INDEX('UA-normalized'!$D:$D, MATCH($A114, 'UA-normalized'!$A:$A, 0))-INDEX('UA-normalized'!$E:$E, MATCH($A114, 'UA-normalized'!$A:$A, 0))), 0), 0))+(IFERROR(IF(13*INDEX('KZ-normalized'!$D:$D, MATCH($A114, 'KZ-normalized'!$A:$A, 0))-INDEX('KZ-normalized'!$E:$E, MATCH($A114, 'KZ-normalized'!$A:$A, 0))&gt;0, -(13*INDEX('KZ-normalized'!$D:$D, MATCH($A114, 'KZ-normalized'!$A:$A, 0))-INDEX('KZ-normalized'!$E:$E, MATCH($A114, 'KZ-normalized'!$A:$A, 0))), 0), 0))+(IFERROR(IF(13*INDEX('UZ-normalized'!$D:$D, MATCH($A114, 'UZ-normalized'!$A:$A, 0))-INDEX('UZ-normalized'!$E:$E, MATCH($A114, 'UZ-normalized'!$A:$A, 0))&gt;0, -(13*INDEX('UZ-normalized'!$D:$D, MATCH($A114, 'UZ-normalized'!$A:$A, 0))-INDEX('UZ-normalized'!$E:$E, MATCH($A114, 'UZ-normalized'!$A:$A, 0))), 0), 0)))</f>
        <v>-134.69999999999999</v>
      </c>
      <c r="AB114" s="6">
        <f>MIN(0, N114+(IFERROR(IF(14*INDEX('UA-normalized'!$D:$D, MATCH($A114, 'UA-normalized'!$A:$A, 0))-INDEX('UA-normalized'!$E:$E, MATCH($A114, 'UA-normalized'!$A:$A, 0))&gt;0, -(14*INDEX('UA-normalized'!$D:$D, MATCH($A114, 'UA-normalized'!$A:$A, 0))-INDEX('UA-normalized'!$E:$E, MATCH($A114, 'UA-normalized'!$A:$A, 0))), 0), 0))+(IFERROR(IF(14*INDEX('KZ-normalized'!$D:$D, MATCH($A114, 'KZ-normalized'!$A:$A, 0))-INDEX('KZ-normalized'!$E:$E, MATCH($A114, 'KZ-normalized'!$A:$A, 0))&gt;0, -(14*INDEX('KZ-normalized'!$D:$D, MATCH($A114, 'KZ-normalized'!$A:$A, 0))-INDEX('KZ-normalized'!$E:$E, MATCH($A114, 'KZ-normalized'!$A:$A, 0))), 0), 0))+(IFERROR(IF(14*INDEX('UZ-normalized'!$D:$D, MATCH($A114, 'UZ-normalized'!$A:$A, 0))-INDEX('UZ-normalized'!$E:$E, MATCH($A114, 'UZ-normalized'!$A:$A, 0))&gt;0, -(14*INDEX('UZ-normalized'!$D:$D, MATCH($A114, 'UZ-normalized'!$A:$A, 0))-INDEX('UZ-normalized'!$E:$E, MATCH($A114, 'UZ-normalized'!$A:$A, 0))), 0), 0)))</f>
        <v>-152.59999999999997</v>
      </c>
      <c r="AC114" s="6">
        <f>MIN(0, N114+(IFERROR(IF(15*INDEX('UA-normalized'!$D:$D, MATCH($A114, 'UA-normalized'!$A:$A, 0))-INDEX('UA-normalized'!$E:$E, MATCH($A114, 'UA-normalized'!$A:$A, 0))&gt;0, -(15*INDEX('UA-normalized'!$D:$D, MATCH($A114, 'UA-normalized'!$A:$A, 0))-INDEX('UA-normalized'!$E:$E, MATCH($A114, 'UA-normalized'!$A:$A, 0))), 0), 0))+(IFERROR(IF(15*INDEX('KZ-normalized'!$D:$D, MATCH($A114, 'KZ-normalized'!$A:$A, 0))-INDEX('KZ-normalized'!$E:$E, MATCH($A114, 'KZ-normalized'!$A:$A, 0))&gt;0, -(15*INDEX('KZ-normalized'!$D:$D, MATCH($A114, 'KZ-normalized'!$A:$A, 0))-INDEX('KZ-normalized'!$E:$E, MATCH($A114, 'KZ-normalized'!$A:$A, 0))), 0), 0))+(IFERROR(IF(15*INDEX('UZ-normalized'!$D:$D, MATCH($A114, 'UZ-normalized'!$A:$A, 0))-INDEX('UZ-normalized'!$E:$E, MATCH($A114, 'UZ-normalized'!$A:$A, 0))&gt;0, -(15*INDEX('UZ-normalized'!$D:$D, MATCH($A114, 'UZ-normalized'!$A:$A, 0))-INDEX('UZ-normalized'!$E:$E, MATCH($A114, 'UZ-normalized'!$A:$A, 0))), 0), 0)))</f>
        <v>-170.5</v>
      </c>
      <c r="AD114" s="6">
        <f>MIN(0, N114+(IFERROR(IF(16*INDEX('UA-normalized'!$D:$D, MATCH($A114, 'UA-normalized'!$A:$A, 0))-INDEX('UA-normalized'!$E:$E, MATCH($A114, 'UA-normalized'!$A:$A, 0))&gt;0, -(16*INDEX('UA-normalized'!$D:$D, MATCH($A114, 'UA-normalized'!$A:$A, 0))-INDEX('UA-normalized'!$E:$E, MATCH($A114, 'UA-normalized'!$A:$A, 0))), 0), 0))+(IFERROR(IF(16*INDEX('KZ-normalized'!$D:$D, MATCH($A114, 'KZ-normalized'!$A:$A, 0))-INDEX('KZ-normalized'!$E:$E, MATCH($A114, 'KZ-normalized'!$A:$A, 0))&gt;0, -(16*INDEX('KZ-normalized'!$D:$D, MATCH($A114, 'KZ-normalized'!$A:$A, 0))-INDEX('KZ-normalized'!$E:$E, MATCH($A114, 'KZ-normalized'!$A:$A, 0))), 0), 0))+(IFERROR(IF(16*INDEX('UZ-normalized'!$D:$D, MATCH($A114, 'UZ-normalized'!$A:$A, 0))-INDEX('UZ-normalized'!$E:$E, MATCH($A114, 'UZ-normalized'!$A:$A, 0))&gt;0, -(16*INDEX('UZ-normalized'!$D:$D, MATCH($A114, 'UZ-normalized'!$A:$A, 0))-INDEX('UZ-normalized'!$E:$E, MATCH($A114, 'UZ-normalized'!$A:$A, 0))), 0), 0)))</f>
        <v>-188.4</v>
      </c>
      <c r="AE114" s="6">
        <f>MIN(0, N114+(IFERROR(IF(17*INDEX('UA-normalized'!$D:$D, MATCH($A114, 'UA-normalized'!$A:$A, 0))-INDEX('UA-normalized'!$E:$E, MATCH($A114, 'UA-normalized'!$A:$A, 0))&gt;0, -(17*INDEX('UA-normalized'!$D:$D, MATCH($A114, 'UA-normalized'!$A:$A, 0))-INDEX('UA-normalized'!$E:$E, MATCH($A114, 'UA-normalized'!$A:$A, 0))), 0), 0))+(IFERROR(IF(17*INDEX('KZ-normalized'!$D:$D, MATCH($A114, 'KZ-normalized'!$A:$A, 0))-INDEX('KZ-normalized'!$E:$E, MATCH($A114, 'KZ-normalized'!$A:$A, 0))&gt;0, -(17*INDEX('KZ-normalized'!$D:$D, MATCH($A114, 'KZ-normalized'!$A:$A, 0))-INDEX('KZ-normalized'!$E:$E, MATCH($A114, 'KZ-normalized'!$A:$A, 0))), 0), 0))+(IFERROR(IF(17*INDEX('UZ-normalized'!$D:$D, MATCH($A114, 'UZ-normalized'!$A:$A, 0))-INDEX('UZ-normalized'!$E:$E, MATCH($A114, 'UZ-normalized'!$A:$A, 0))&gt;0, -(17*INDEX('UZ-normalized'!$D:$D, MATCH($A114, 'UZ-normalized'!$A:$A, 0))-INDEX('UZ-normalized'!$E:$E, MATCH($A114, 'UZ-normalized'!$A:$A, 0))), 0), 0)))</f>
        <v>-206.29999999999998</v>
      </c>
      <c r="AF114" s="6">
        <f>MIN(0, N114+(IFERROR(IF(18*INDEX('UA-normalized'!$D:$D, MATCH($A114, 'UA-normalized'!$A:$A, 0))-INDEX('UA-normalized'!$E:$E, MATCH($A114, 'UA-normalized'!$A:$A, 0))&gt;0, -(18*INDEX('UA-normalized'!$D:$D, MATCH($A114, 'UA-normalized'!$A:$A, 0))-INDEX('UA-normalized'!$E:$E, MATCH($A114, 'UA-normalized'!$A:$A, 0))), 0), 0))+(IFERROR(IF(18*INDEX('KZ-normalized'!$D:$D, MATCH($A114, 'KZ-normalized'!$A:$A, 0))-INDEX('KZ-normalized'!$E:$E, MATCH($A114, 'KZ-normalized'!$A:$A, 0))&gt;0, -(18*INDEX('KZ-normalized'!$D:$D, MATCH($A114, 'KZ-normalized'!$A:$A, 0))-INDEX('KZ-normalized'!$E:$E, MATCH($A114, 'KZ-normalized'!$A:$A, 0))), 0), 0))+(IFERROR(IF(18*INDEX('UZ-normalized'!$D:$D, MATCH($A114, 'UZ-normalized'!$A:$A, 0))-INDEX('UZ-normalized'!$E:$E, MATCH($A114, 'UZ-normalized'!$A:$A, 0))&gt;0, -(18*INDEX('UZ-normalized'!$D:$D, MATCH($A114, 'UZ-normalized'!$A:$A, 0))-INDEX('UZ-normalized'!$E:$E, MATCH($A114, 'UZ-normalized'!$A:$A, 0))), 0), 0)))</f>
        <v>-224.2</v>
      </c>
      <c r="AG114" s="6">
        <f>MIN(0, N114+(IFERROR(IF(19*INDEX('UA-normalized'!$D:$D, MATCH($A114, 'UA-normalized'!$A:$A, 0))-INDEX('UA-normalized'!$E:$E, MATCH($A114, 'UA-normalized'!$A:$A, 0))&gt;0, -(19*INDEX('UA-normalized'!$D:$D, MATCH($A114, 'UA-normalized'!$A:$A, 0))-INDEX('UA-normalized'!$E:$E, MATCH($A114, 'UA-normalized'!$A:$A, 0))), 0), 0))+(IFERROR(IF(19*INDEX('KZ-normalized'!$D:$D, MATCH($A114, 'KZ-normalized'!$A:$A, 0))-INDEX('KZ-normalized'!$E:$E, MATCH($A114, 'KZ-normalized'!$A:$A, 0))&gt;0, -(19*INDEX('KZ-normalized'!$D:$D, MATCH($A114, 'KZ-normalized'!$A:$A, 0))-INDEX('KZ-normalized'!$E:$E, MATCH($A114, 'KZ-normalized'!$A:$A, 0))), 0), 0))+(IFERROR(IF(19*INDEX('UZ-normalized'!$D:$D, MATCH($A114, 'UZ-normalized'!$A:$A, 0))-INDEX('UZ-normalized'!$E:$E, MATCH($A114, 'UZ-normalized'!$A:$A, 0))&gt;0, -(19*INDEX('UZ-normalized'!$D:$D, MATCH($A114, 'UZ-normalized'!$A:$A, 0))-INDEX('UZ-normalized'!$E:$E, MATCH($A114, 'UZ-normalized'!$A:$A, 0))), 0), 0)))</f>
        <v>-242.1</v>
      </c>
      <c r="AH114" s="6">
        <f>MIN(0, N114+(IFERROR(IF(20*INDEX('UA-normalized'!$D:$D, MATCH($A114, 'UA-normalized'!$A:$A, 0))-INDEX('UA-normalized'!$E:$E, MATCH($A114, 'UA-normalized'!$A:$A, 0))&gt;0, -(20*INDEX('UA-normalized'!$D:$D, MATCH($A114, 'UA-normalized'!$A:$A, 0))-INDEX('UA-normalized'!$E:$E, MATCH($A114, 'UA-normalized'!$A:$A, 0))), 0), 0))+(IFERROR(IF(20*INDEX('KZ-normalized'!$D:$D, MATCH($A114, 'KZ-normalized'!$A:$A, 0))-INDEX('KZ-normalized'!$E:$E, MATCH($A114, 'KZ-normalized'!$A:$A, 0))&gt;0, -(20*INDEX('KZ-normalized'!$D:$D, MATCH($A114, 'KZ-normalized'!$A:$A, 0))-INDEX('KZ-normalized'!$E:$E, MATCH($A114, 'KZ-normalized'!$A:$A, 0))), 0), 0))+(IFERROR(IF(20*INDEX('UZ-normalized'!$D:$D, MATCH($A114, 'UZ-normalized'!$A:$A, 0))-INDEX('UZ-normalized'!$E:$E, MATCH($A114, 'UZ-normalized'!$A:$A, 0))&gt;0, -(20*INDEX('UZ-normalized'!$D:$D, MATCH($A114, 'UZ-normalized'!$A:$A, 0))-INDEX('UZ-normalized'!$E:$E, MATCH($A114, 'UZ-normalized'!$A:$A, 0))), 0), 0)))</f>
        <v>-260</v>
      </c>
      <c r="AI114" s="6">
        <f>MIN(0, N114+(IFERROR(IF(21*INDEX('UA-normalized'!$D:$D, MATCH($A114, 'UA-normalized'!$A:$A, 0))-INDEX('UA-normalized'!$E:$E, MATCH($A114, 'UA-normalized'!$A:$A, 0))&gt;0, -(21*INDEX('UA-normalized'!$D:$D, MATCH($A114, 'UA-normalized'!$A:$A, 0))-INDEX('UA-normalized'!$E:$E, MATCH($A114, 'UA-normalized'!$A:$A, 0))), 0), 0))+(IFERROR(IF(21*INDEX('KZ-normalized'!$D:$D, MATCH($A114, 'KZ-normalized'!$A:$A, 0))-INDEX('KZ-normalized'!$E:$E, MATCH($A114, 'KZ-normalized'!$A:$A, 0))&gt;0, -(21*INDEX('KZ-normalized'!$D:$D, MATCH($A114, 'KZ-normalized'!$A:$A, 0))-INDEX('KZ-normalized'!$E:$E, MATCH($A114, 'KZ-normalized'!$A:$A, 0))), 0), 0))+(IFERROR(IF(21*INDEX('UZ-normalized'!$D:$D, MATCH($A114, 'UZ-normalized'!$A:$A, 0))-INDEX('UZ-normalized'!$E:$E, MATCH($A114, 'UZ-normalized'!$A:$A, 0))&gt;0, -(21*INDEX('UZ-normalized'!$D:$D, MATCH($A114, 'UZ-normalized'!$A:$A, 0))-INDEX('UZ-normalized'!$E:$E, MATCH($A114, 'UZ-normalized'!$A:$A, 0))), 0), 0)))</f>
        <v>-277.89999999999998</v>
      </c>
      <c r="AJ114" s="6">
        <f>MIN(0, N114+(IFERROR(IF(22*INDEX('UA-normalized'!$D:$D, MATCH($A114, 'UA-normalized'!$A:$A, 0))-INDEX('UA-normalized'!$E:$E, MATCH($A114, 'UA-normalized'!$A:$A, 0))&gt;0, -(22*INDEX('UA-normalized'!$D:$D, MATCH($A114, 'UA-normalized'!$A:$A, 0))-INDEX('UA-normalized'!$E:$E, MATCH($A114, 'UA-normalized'!$A:$A, 0))), 0), 0))+(IFERROR(IF(22*INDEX('KZ-normalized'!$D:$D, MATCH($A114, 'KZ-normalized'!$A:$A, 0))-INDEX('KZ-normalized'!$E:$E, MATCH($A114, 'KZ-normalized'!$A:$A, 0))&gt;0, -(22*INDEX('KZ-normalized'!$D:$D, MATCH($A114, 'KZ-normalized'!$A:$A, 0))-INDEX('KZ-normalized'!$E:$E, MATCH($A114, 'KZ-normalized'!$A:$A, 0))), 0), 0))+(IFERROR(IF(22*INDEX('UZ-normalized'!$D:$D, MATCH($A114, 'UZ-normalized'!$A:$A, 0))-INDEX('UZ-normalized'!$E:$E, MATCH($A114, 'UZ-normalized'!$A:$A, 0))&gt;0, -(22*INDEX('UZ-normalized'!$D:$D, MATCH($A114, 'UZ-normalized'!$A:$A, 0))-INDEX('UZ-normalized'!$E:$E, MATCH($A114, 'UZ-normalized'!$A:$A, 0))), 0), 0)))</f>
        <v>-295.8</v>
      </c>
      <c r="AK114" s="6">
        <f>MIN(0, N114+(IFERROR(IF(23*INDEX('UA-normalized'!$D:$D, MATCH($A114, 'UA-normalized'!$A:$A, 0))-INDEX('UA-normalized'!$E:$E, MATCH($A114, 'UA-normalized'!$A:$A, 0))&gt;0, -(23*INDEX('UA-normalized'!$D:$D, MATCH($A114, 'UA-normalized'!$A:$A, 0))-INDEX('UA-normalized'!$E:$E, MATCH($A114, 'UA-normalized'!$A:$A, 0))), 0), 0))+(IFERROR(IF(23*INDEX('KZ-normalized'!$D:$D, MATCH($A114, 'KZ-normalized'!$A:$A, 0))-INDEX('KZ-normalized'!$E:$E, MATCH($A114, 'KZ-normalized'!$A:$A, 0))&gt;0, -(23*INDEX('KZ-normalized'!$D:$D, MATCH($A114, 'KZ-normalized'!$A:$A, 0))-INDEX('KZ-normalized'!$E:$E, MATCH($A114, 'KZ-normalized'!$A:$A, 0))), 0), 0))+(IFERROR(IF(23*INDEX('UZ-normalized'!$D:$D, MATCH($A114, 'UZ-normalized'!$A:$A, 0))-INDEX('UZ-normalized'!$E:$E, MATCH($A114, 'UZ-normalized'!$A:$A, 0))&gt;0, -(23*INDEX('UZ-normalized'!$D:$D, MATCH($A114, 'UZ-normalized'!$A:$A, 0))-INDEX('UZ-normalized'!$E:$E, MATCH($A114, 'UZ-normalized'!$A:$A, 0))), 0), 0)))</f>
        <v>-313.69999999999993</v>
      </c>
      <c r="AL114" s="6">
        <f>MIN(0, N114+(IFERROR(IF(24*INDEX('UA-normalized'!$D:$D, MATCH($A114, 'UA-normalized'!$A:$A, 0))-INDEX('UA-normalized'!$E:$E, MATCH($A114, 'UA-normalized'!$A:$A, 0))&gt;0, -(24*INDEX('UA-normalized'!$D:$D, MATCH($A114, 'UA-normalized'!$A:$A, 0))-INDEX('UA-normalized'!$E:$E, MATCH($A114, 'UA-normalized'!$A:$A, 0))), 0), 0))+(IFERROR(IF(24*INDEX('KZ-normalized'!$D:$D, MATCH($A114, 'KZ-normalized'!$A:$A, 0))-INDEX('KZ-normalized'!$E:$E, MATCH($A114, 'KZ-normalized'!$A:$A, 0))&gt;0, -(24*INDEX('KZ-normalized'!$D:$D, MATCH($A114, 'KZ-normalized'!$A:$A, 0))-INDEX('KZ-normalized'!$E:$E, MATCH($A114, 'KZ-normalized'!$A:$A, 0))), 0), 0))+(IFERROR(IF(24*INDEX('UZ-normalized'!$D:$D, MATCH($A114, 'UZ-normalized'!$A:$A, 0))-INDEX('UZ-normalized'!$E:$E, MATCH($A114, 'UZ-normalized'!$A:$A, 0))&gt;0, -(24*INDEX('UZ-normalized'!$D:$D, MATCH($A114, 'UZ-normalized'!$A:$A, 0))-INDEX('UZ-normalized'!$E:$E, MATCH($A114, 'UZ-normalized'!$A:$A, 0))), 0), 0)))</f>
        <v>-331.59999999999997</v>
      </c>
      <c r="AM114" s="6">
        <f>MIN(0, N114+(IFERROR(IF(25*INDEX('UA-normalized'!$D:$D, MATCH($A114, 'UA-normalized'!$A:$A, 0))-INDEX('UA-normalized'!$E:$E, MATCH($A114, 'UA-normalized'!$A:$A, 0))&gt;0, -(25*INDEX('UA-normalized'!$D:$D, MATCH($A114, 'UA-normalized'!$A:$A, 0))-INDEX('UA-normalized'!$E:$E, MATCH($A114, 'UA-normalized'!$A:$A, 0))), 0), 0))+(IFERROR(IF(25*INDEX('KZ-normalized'!$D:$D, MATCH($A114, 'KZ-normalized'!$A:$A, 0))-INDEX('KZ-normalized'!$E:$E, MATCH($A114, 'KZ-normalized'!$A:$A, 0))&gt;0, -(25*INDEX('KZ-normalized'!$D:$D, MATCH($A114, 'KZ-normalized'!$A:$A, 0))-INDEX('KZ-normalized'!$E:$E, MATCH($A114, 'KZ-normalized'!$A:$A, 0))), 0), 0))+(IFERROR(IF(25*INDEX('UZ-normalized'!$D:$D, MATCH($A114, 'UZ-normalized'!$A:$A, 0))-INDEX('UZ-normalized'!$E:$E, MATCH($A114, 'UZ-normalized'!$A:$A, 0))&gt;0, -(25*INDEX('UZ-normalized'!$D:$D, MATCH($A114, 'UZ-normalized'!$A:$A, 0))-INDEX('UZ-normalized'!$E:$E, MATCH($A114, 'UZ-normalized'!$A:$A, 0))), 0), 0)))</f>
        <v>-349.5</v>
      </c>
      <c r="AN114" s="6">
        <f>MIN(0, N114+(IFERROR(IF(26*INDEX('UA-normalized'!$D:$D, MATCH($A114, 'UA-normalized'!$A:$A, 0))-INDEX('UA-normalized'!$E:$E, MATCH($A114, 'UA-normalized'!$A:$A, 0))&gt;0, -(26*INDEX('UA-normalized'!$D:$D, MATCH($A114, 'UA-normalized'!$A:$A, 0))-INDEX('UA-normalized'!$E:$E, MATCH($A114, 'UA-normalized'!$A:$A, 0))), 0), 0))+(IFERROR(IF(26*INDEX('KZ-normalized'!$D:$D, MATCH($A114, 'KZ-normalized'!$A:$A, 0))-INDEX('KZ-normalized'!$E:$E, MATCH($A114, 'KZ-normalized'!$A:$A, 0))&gt;0, -(26*INDEX('KZ-normalized'!$D:$D, MATCH($A114, 'KZ-normalized'!$A:$A, 0))-INDEX('KZ-normalized'!$E:$E, MATCH($A114, 'KZ-normalized'!$A:$A, 0))), 0), 0))+(IFERROR(IF(26*INDEX('UZ-normalized'!$D:$D, MATCH($A114, 'UZ-normalized'!$A:$A, 0))-INDEX('UZ-normalized'!$E:$E, MATCH($A114, 'UZ-normalized'!$A:$A, 0))&gt;0, -(26*INDEX('UZ-normalized'!$D:$D, MATCH($A114, 'UZ-normalized'!$A:$A, 0))-INDEX('UZ-normalized'!$E:$E, MATCH($A114, 'UZ-normalized'!$A:$A, 0))), 0), 0)))</f>
        <v>-367.40000000000003</v>
      </c>
      <c r="AO114" s="6">
        <f>MIN(0, N114+(IFERROR(IF(27*INDEX('UA-normalized'!$D:$D, MATCH($A114, 'UA-normalized'!$A:$A, 0))-INDEX('UA-normalized'!$E:$E, MATCH($A114, 'UA-normalized'!$A:$A, 0))&gt;0, -(27*INDEX('UA-normalized'!$D:$D, MATCH($A114, 'UA-normalized'!$A:$A, 0))-INDEX('UA-normalized'!$E:$E, MATCH($A114, 'UA-normalized'!$A:$A, 0))), 0), 0))+(IFERROR(IF(27*INDEX('KZ-normalized'!$D:$D, MATCH($A114, 'KZ-normalized'!$A:$A, 0))-INDEX('KZ-normalized'!$E:$E, MATCH($A114, 'KZ-normalized'!$A:$A, 0))&gt;0, -(27*INDEX('KZ-normalized'!$D:$D, MATCH($A114, 'KZ-normalized'!$A:$A, 0))-INDEX('KZ-normalized'!$E:$E, MATCH($A114, 'KZ-normalized'!$A:$A, 0))), 0), 0))+(IFERROR(IF(27*INDEX('UZ-normalized'!$D:$D, MATCH($A114, 'UZ-normalized'!$A:$A, 0))-INDEX('UZ-normalized'!$E:$E, MATCH($A114, 'UZ-normalized'!$A:$A, 0))&gt;0, -(27*INDEX('UZ-normalized'!$D:$D, MATCH($A114, 'UZ-normalized'!$A:$A, 0))-INDEX('UZ-normalized'!$E:$E, MATCH($A114, 'UZ-normalized'!$A:$A, 0))), 0), 0)))</f>
        <v>-385.3</v>
      </c>
      <c r="AP114" s="6">
        <f>MIN(0, N114+(IFERROR(IF(28*INDEX('UA-normalized'!$D:$D, MATCH($A114, 'UA-normalized'!$A:$A, 0))-INDEX('UA-normalized'!$E:$E, MATCH($A114, 'UA-normalized'!$A:$A, 0))&gt;0, -(28*INDEX('UA-normalized'!$D:$D, MATCH($A114, 'UA-normalized'!$A:$A, 0))-INDEX('UA-normalized'!$E:$E, MATCH($A114, 'UA-normalized'!$A:$A, 0))), 0), 0))+(IFERROR(IF(28*INDEX('KZ-normalized'!$D:$D, MATCH($A114, 'KZ-normalized'!$A:$A, 0))-INDEX('KZ-normalized'!$E:$E, MATCH($A114, 'KZ-normalized'!$A:$A, 0))&gt;0, -(28*INDEX('KZ-normalized'!$D:$D, MATCH($A114, 'KZ-normalized'!$A:$A, 0))-INDEX('KZ-normalized'!$E:$E, MATCH($A114, 'KZ-normalized'!$A:$A, 0))), 0), 0))+(IFERROR(IF(28*INDEX('UZ-normalized'!$D:$D, MATCH($A114, 'UZ-normalized'!$A:$A, 0))-INDEX('UZ-normalized'!$E:$E, MATCH($A114, 'UZ-normalized'!$A:$A, 0))&gt;0, -(28*INDEX('UZ-normalized'!$D:$D, MATCH($A114, 'UZ-normalized'!$A:$A, 0))-INDEX('UZ-normalized'!$E:$E, MATCH($A114, 'UZ-normalized'!$A:$A, 0))), 0), 0)))</f>
        <v>-403.19999999999993</v>
      </c>
      <c r="AQ114" s="6">
        <f>MIN(0, N114+(IFERROR(IF(29*INDEX('UA-normalized'!$D:$D, MATCH($A114, 'UA-normalized'!$A:$A, 0))-INDEX('UA-normalized'!$E:$E, MATCH($A114, 'UA-normalized'!$A:$A, 0))&gt;0, -(29*INDEX('UA-normalized'!$D:$D, MATCH($A114, 'UA-normalized'!$A:$A, 0))-INDEX('UA-normalized'!$E:$E, MATCH($A114, 'UA-normalized'!$A:$A, 0))), 0), 0))+(IFERROR(IF(29*INDEX('KZ-normalized'!$D:$D, MATCH($A114, 'KZ-normalized'!$A:$A, 0))-INDEX('KZ-normalized'!$E:$E, MATCH($A114, 'KZ-normalized'!$A:$A, 0))&gt;0, -(29*INDEX('KZ-normalized'!$D:$D, MATCH($A114, 'KZ-normalized'!$A:$A, 0))-INDEX('KZ-normalized'!$E:$E, MATCH($A114, 'KZ-normalized'!$A:$A, 0))), 0), 0))+(IFERROR(IF(29*INDEX('UZ-normalized'!$D:$D, MATCH($A114, 'UZ-normalized'!$A:$A, 0))-INDEX('UZ-normalized'!$E:$E, MATCH($A114, 'UZ-normalized'!$A:$A, 0))&gt;0, -(29*INDEX('UZ-normalized'!$D:$D, MATCH($A114, 'UZ-normalized'!$A:$A, 0))-INDEX('UZ-normalized'!$E:$E, MATCH($A114, 'UZ-normalized'!$A:$A, 0))), 0), 0)))</f>
        <v>-421.09999999999997</v>
      </c>
      <c r="AR114" s="6">
        <f>MIN(0, N114+(IFERROR(IF(30*INDEX('UA-normalized'!$D:$D, MATCH($A114, 'UA-normalized'!$A:$A, 0))-INDEX('UA-normalized'!$E:$E, MATCH($A114, 'UA-normalized'!$A:$A, 0))&gt;0, -(30*INDEX('UA-normalized'!$D:$D, MATCH($A114, 'UA-normalized'!$A:$A, 0))-INDEX('UA-normalized'!$E:$E, MATCH($A114, 'UA-normalized'!$A:$A, 0))), 0), 0))+(IFERROR(IF(30*INDEX('KZ-normalized'!$D:$D, MATCH($A114, 'KZ-normalized'!$A:$A, 0))-INDEX('KZ-normalized'!$E:$E, MATCH($A114, 'KZ-normalized'!$A:$A, 0))&gt;0, -(30*INDEX('KZ-normalized'!$D:$D, MATCH($A114, 'KZ-normalized'!$A:$A, 0))-INDEX('KZ-normalized'!$E:$E, MATCH($A114, 'KZ-normalized'!$A:$A, 0))), 0), 0))+(IFERROR(IF(30*INDEX('UZ-normalized'!$D:$D, MATCH($A114, 'UZ-normalized'!$A:$A, 0))-INDEX('UZ-normalized'!$E:$E, MATCH($A114, 'UZ-normalized'!$A:$A, 0))&gt;0, -(30*INDEX('UZ-normalized'!$D:$D, MATCH($A114, 'UZ-normalized'!$A:$A, 0))-INDEX('UZ-normalized'!$E:$E, MATCH($A114, 'UZ-normalized'!$A:$A, 0))), 0), 0)))</f>
        <v>-439</v>
      </c>
    </row>
    <row r="115" spans="1:44" x14ac:dyDescent="0.25">
      <c r="A115" s="8" t="s">
        <v>283</v>
      </c>
      <c r="B115" s="8" t="s">
        <v>180</v>
      </c>
      <c r="C115" s="8" t="s">
        <v>281</v>
      </c>
      <c r="D115" s="8" t="s">
        <v>284</v>
      </c>
      <c r="N115">
        <f t="shared" si="1"/>
        <v>0</v>
      </c>
      <c r="O115" s="6">
        <f>MIN(0, N115+(IFERROR(IF(1*INDEX('UA-normalized'!$D:$D, MATCH($A115, 'UA-normalized'!$A:$A, 0))-INDEX('UA-normalized'!$E:$E, MATCH($A115, 'UA-normalized'!$A:$A, 0))&gt;0, -(1*INDEX('UA-normalized'!$D:$D, MATCH($A115, 'UA-normalized'!$A:$A, 0))-INDEX('UA-normalized'!$E:$E, MATCH($A115, 'UA-normalized'!$A:$A, 0))), 0), 0))+(IFERROR(IF(1*INDEX('KZ-normalized'!$D:$D, MATCH($A115, 'KZ-normalized'!$A:$A, 0))-INDEX('KZ-normalized'!$E:$E, MATCH($A115, 'KZ-normalized'!$A:$A, 0))&gt;0, -(1*INDEX('KZ-normalized'!$D:$D, MATCH($A115, 'KZ-normalized'!$A:$A, 0))-INDEX('KZ-normalized'!$E:$E, MATCH($A115, 'KZ-normalized'!$A:$A, 0))), 0), 0))+(IFERROR(IF(1*INDEX('UZ-normalized'!$D:$D, MATCH($A115, 'UZ-normalized'!$A:$A, 0))-INDEX('UZ-normalized'!$E:$E, MATCH($A115, 'UZ-normalized'!$A:$A, 0))&gt;0, -(1*INDEX('UZ-normalized'!$D:$D, MATCH($A115, 'UZ-normalized'!$A:$A, 0))-INDEX('UZ-normalized'!$E:$E, MATCH($A115, 'UZ-normalized'!$A:$A, 0))), 0), 0)))</f>
        <v>0</v>
      </c>
      <c r="P115" s="6">
        <f>MIN(0, N115+(IFERROR(IF(2*INDEX('UA-normalized'!$D:$D, MATCH($A115, 'UA-normalized'!$A:$A, 0))-INDEX('UA-normalized'!$E:$E, MATCH($A115, 'UA-normalized'!$A:$A, 0))&gt;0, -(2*INDEX('UA-normalized'!$D:$D, MATCH($A115, 'UA-normalized'!$A:$A, 0))-INDEX('UA-normalized'!$E:$E, MATCH($A115, 'UA-normalized'!$A:$A, 0))), 0), 0))+(IFERROR(IF(2*INDEX('KZ-normalized'!$D:$D, MATCH($A115, 'KZ-normalized'!$A:$A, 0))-INDEX('KZ-normalized'!$E:$E, MATCH($A115, 'KZ-normalized'!$A:$A, 0))&gt;0, -(2*INDEX('KZ-normalized'!$D:$D, MATCH($A115, 'KZ-normalized'!$A:$A, 0))-INDEX('KZ-normalized'!$E:$E, MATCH($A115, 'KZ-normalized'!$A:$A, 0))), 0), 0))+(IFERROR(IF(2*INDEX('UZ-normalized'!$D:$D, MATCH($A115, 'UZ-normalized'!$A:$A, 0))-INDEX('UZ-normalized'!$E:$E, MATCH($A115, 'UZ-normalized'!$A:$A, 0))&gt;0, -(2*INDEX('UZ-normalized'!$D:$D, MATCH($A115, 'UZ-normalized'!$A:$A, 0))-INDEX('UZ-normalized'!$E:$E, MATCH($A115, 'UZ-normalized'!$A:$A, 0))), 0), 0)))</f>
        <v>0</v>
      </c>
      <c r="Q115" s="6">
        <f>MIN(0, N115+(IFERROR(IF(3*INDEX('UA-normalized'!$D:$D, MATCH($A115, 'UA-normalized'!$A:$A, 0))-INDEX('UA-normalized'!$E:$E, MATCH($A115, 'UA-normalized'!$A:$A, 0))&gt;0, -(3*INDEX('UA-normalized'!$D:$D, MATCH($A115, 'UA-normalized'!$A:$A, 0))-INDEX('UA-normalized'!$E:$E, MATCH($A115, 'UA-normalized'!$A:$A, 0))), 0), 0))+(IFERROR(IF(3*INDEX('KZ-normalized'!$D:$D, MATCH($A115, 'KZ-normalized'!$A:$A, 0))-INDEX('KZ-normalized'!$E:$E, MATCH($A115, 'KZ-normalized'!$A:$A, 0))&gt;0, -(3*INDEX('KZ-normalized'!$D:$D, MATCH($A115, 'KZ-normalized'!$A:$A, 0))-INDEX('KZ-normalized'!$E:$E, MATCH($A115, 'KZ-normalized'!$A:$A, 0))), 0), 0))+(IFERROR(IF(3*INDEX('UZ-normalized'!$D:$D, MATCH($A115, 'UZ-normalized'!$A:$A, 0))-INDEX('UZ-normalized'!$E:$E, MATCH($A115, 'UZ-normalized'!$A:$A, 0))&gt;0, -(3*INDEX('UZ-normalized'!$D:$D, MATCH($A115, 'UZ-normalized'!$A:$A, 0))-INDEX('UZ-normalized'!$E:$E, MATCH($A115, 'UZ-normalized'!$A:$A, 0))), 0), 0)))</f>
        <v>0</v>
      </c>
      <c r="R115" s="6">
        <f>MIN(0, N115+(IFERROR(IF(4*INDEX('UA-normalized'!$D:$D, MATCH($A115, 'UA-normalized'!$A:$A, 0))-INDEX('UA-normalized'!$E:$E, MATCH($A115, 'UA-normalized'!$A:$A, 0))&gt;0, -(4*INDEX('UA-normalized'!$D:$D, MATCH($A115, 'UA-normalized'!$A:$A, 0))-INDEX('UA-normalized'!$E:$E, MATCH($A115, 'UA-normalized'!$A:$A, 0))), 0), 0))+(IFERROR(IF(4*INDEX('KZ-normalized'!$D:$D, MATCH($A115, 'KZ-normalized'!$A:$A, 0))-INDEX('KZ-normalized'!$E:$E, MATCH($A115, 'KZ-normalized'!$A:$A, 0))&gt;0, -(4*INDEX('KZ-normalized'!$D:$D, MATCH($A115, 'KZ-normalized'!$A:$A, 0))-INDEX('KZ-normalized'!$E:$E, MATCH($A115, 'KZ-normalized'!$A:$A, 0))), 0), 0))+(IFERROR(IF(4*INDEX('UZ-normalized'!$D:$D, MATCH($A115, 'UZ-normalized'!$A:$A, 0))-INDEX('UZ-normalized'!$E:$E, MATCH($A115, 'UZ-normalized'!$A:$A, 0))&gt;0, -(4*INDEX('UZ-normalized'!$D:$D, MATCH($A115, 'UZ-normalized'!$A:$A, 0))-INDEX('UZ-normalized'!$E:$E, MATCH($A115, 'UZ-normalized'!$A:$A, 0))), 0), 0)))</f>
        <v>-4.1999999999999993</v>
      </c>
      <c r="S115" s="6">
        <f>MIN(0, N115+(IFERROR(IF(5*INDEX('UA-normalized'!$D:$D, MATCH($A115, 'UA-normalized'!$A:$A, 0))-INDEX('UA-normalized'!$E:$E, MATCH($A115, 'UA-normalized'!$A:$A, 0))&gt;0, -(5*INDEX('UA-normalized'!$D:$D, MATCH($A115, 'UA-normalized'!$A:$A, 0))-INDEX('UA-normalized'!$E:$E, MATCH($A115, 'UA-normalized'!$A:$A, 0))), 0), 0))+(IFERROR(IF(5*INDEX('KZ-normalized'!$D:$D, MATCH($A115, 'KZ-normalized'!$A:$A, 0))-INDEX('KZ-normalized'!$E:$E, MATCH($A115, 'KZ-normalized'!$A:$A, 0))&gt;0, -(5*INDEX('KZ-normalized'!$D:$D, MATCH($A115, 'KZ-normalized'!$A:$A, 0))-INDEX('KZ-normalized'!$E:$E, MATCH($A115, 'KZ-normalized'!$A:$A, 0))), 0), 0))+(IFERROR(IF(5*INDEX('UZ-normalized'!$D:$D, MATCH($A115, 'UZ-normalized'!$A:$A, 0))-INDEX('UZ-normalized'!$E:$E, MATCH($A115, 'UZ-normalized'!$A:$A, 0))&gt;0, -(5*INDEX('UZ-normalized'!$D:$D, MATCH($A115, 'UZ-normalized'!$A:$A, 0))-INDEX('UZ-normalized'!$E:$E, MATCH($A115, 'UZ-normalized'!$A:$A, 0))), 0), 0)))</f>
        <v>-14</v>
      </c>
      <c r="T115" s="6">
        <f>MIN(0, N115+(IFERROR(IF(6*INDEX('UA-normalized'!$D:$D, MATCH($A115, 'UA-normalized'!$A:$A, 0))-INDEX('UA-normalized'!$E:$E, MATCH($A115, 'UA-normalized'!$A:$A, 0))&gt;0, -(6*INDEX('UA-normalized'!$D:$D, MATCH($A115, 'UA-normalized'!$A:$A, 0))-INDEX('UA-normalized'!$E:$E, MATCH($A115, 'UA-normalized'!$A:$A, 0))), 0), 0))+(IFERROR(IF(6*INDEX('KZ-normalized'!$D:$D, MATCH($A115, 'KZ-normalized'!$A:$A, 0))-INDEX('KZ-normalized'!$E:$E, MATCH($A115, 'KZ-normalized'!$A:$A, 0))&gt;0, -(6*INDEX('KZ-normalized'!$D:$D, MATCH($A115, 'KZ-normalized'!$A:$A, 0))-INDEX('KZ-normalized'!$E:$E, MATCH($A115, 'KZ-normalized'!$A:$A, 0))), 0), 0))+(IFERROR(IF(6*INDEX('UZ-normalized'!$D:$D, MATCH($A115, 'UZ-normalized'!$A:$A, 0))-INDEX('UZ-normalized'!$E:$E, MATCH($A115, 'UZ-normalized'!$A:$A, 0))&gt;0, -(6*INDEX('UZ-normalized'!$D:$D, MATCH($A115, 'UZ-normalized'!$A:$A, 0))-INDEX('UZ-normalized'!$E:$E, MATCH($A115, 'UZ-normalized'!$A:$A, 0))), 0), 0)))</f>
        <v>-23.799999999999997</v>
      </c>
      <c r="U115" s="6">
        <f>MIN(0, N115+(IFERROR(IF(7*INDEX('UA-normalized'!$D:$D, MATCH($A115, 'UA-normalized'!$A:$A, 0))-INDEX('UA-normalized'!$E:$E, MATCH($A115, 'UA-normalized'!$A:$A, 0))&gt;0, -(7*INDEX('UA-normalized'!$D:$D, MATCH($A115, 'UA-normalized'!$A:$A, 0))-INDEX('UA-normalized'!$E:$E, MATCH($A115, 'UA-normalized'!$A:$A, 0))), 0), 0))+(IFERROR(IF(7*INDEX('KZ-normalized'!$D:$D, MATCH($A115, 'KZ-normalized'!$A:$A, 0))-INDEX('KZ-normalized'!$E:$E, MATCH($A115, 'KZ-normalized'!$A:$A, 0))&gt;0, -(7*INDEX('KZ-normalized'!$D:$D, MATCH($A115, 'KZ-normalized'!$A:$A, 0))-INDEX('KZ-normalized'!$E:$E, MATCH($A115, 'KZ-normalized'!$A:$A, 0))), 0), 0))+(IFERROR(IF(7*INDEX('UZ-normalized'!$D:$D, MATCH($A115, 'UZ-normalized'!$A:$A, 0))-INDEX('UZ-normalized'!$E:$E, MATCH($A115, 'UZ-normalized'!$A:$A, 0))&gt;0, -(7*INDEX('UZ-normalized'!$D:$D, MATCH($A115, 'UZ-normalized'!$A:$A, 0))-INDEX('UZ-normalized'!$E:$E, MATCH($A115, 'UZ-normalized'!$A:$A, 0))), 0), 0)))</f>
        <v>-33.6</v>
      </c>
      <c r="V115" s="6">
        <f>MIN(0, N115+(IFERROR(IF(8*INDEX('UA-normalized'!$D:$D, MATCH($A115, 'UA-normalized'!$A:$A, 0))-INDEX('UA-normalized'!$E:$E, MATCH($A115, 'UA-normalized'!$A:$A, 0))&gt;0, -(8*INDEX('UA-normalized'!$D:$D, MATCH($A115, 'UA-normalized'!$A:$A, 0))-INDEX('UA-normalized'!$E:$E, MATCH($A115, 'UA-normalized'!$A:$A, 0))), 0), 0))+(IFERROR(IF(8*INDEX('KZ-normalized'!$D:$D, MATCH($A115, 'KZ-normalized'!$A:$A, 0))-INDEX('KZ-normalized'!$E:$E, MATCH($A115, 'KZ-normalized'!$A:$A, 0))&gt;0, -(8*INDEX('KZ-normalized'!$D:$D, MATCH($A115, 'KZ-normalized'!$A:$A, 0))-INDEX('KZ-normalized'!$E:$E, MATCH($A115, 'KZ-normalized'!$A:$A, 0))), 0), 0))+(IFERROR(IF(8*INDEX('UZ-normalized'!$D:$D, MATCH($A115, 'UZ-normalized'!$A:$A, 0))-INDEX('UZ-normalized'!$E:$E, MATCH($A115, 'UZ-normalized'!$A:$A, 0))&gt;0, -(8*INDEX('UZ-normalized'!$D:$D, MATCH($A115, 'UZ-normalized'!$A:$A, 0))-INDEX('UZ-normalized'!$E:$E, MATCH($A115, 'UZ-normalized'!$A:$A, 0))), 0), 0)))</f>
        <v>-43.4</v>
      </c>
      <c r="W115" s="6">
        <f>MIN(0, N115+(IFERROR(IF(9*INDEX('UA-normalized'!$D:$D, MATCH($A115, 'UA-normalized'!$A:$A, 0))-INDEX('UA-normalized'!$E:$E, MATCH($A115, 'UA-normalized'!$A:$A, 0))&gt;0, -(9*INDEX('UA-normalized'!$D:$D, MATCH($A115, 'UA-normalized'!$A:$A, 0))-INDEX('UA-normalized'!$E:$E, MATCH($A115, 'UA-normalized'!$A:$A, 0))), 0), 0))+(IFERROR(IF(9*INDEX('KZ-normalized'!$D:$D, MATCH($A115, 'KZ-normalized'!$A:$A, 0))-INDEX('KZ-normalized'!$E:$E, MATCH($A115, 'KZ-normalized'!$A:$A, 0))&gt;0, -(9*INDEX('KZ-normalized'!$D:$D, MATCH($A115, 'KZ-normalized'!$A:$A, 0))-INDEX('KZ-normalized'!$E:$E, MATCH($A115, 'KZ-normalized'!$A:$A, 0))), 0), 0))+(IFERROR(IF(9*INDEX('UZ-normalized'!$D:$D, MATCH($A115, 'UZ-normalized'!$A:$A, 0))-INDEX('UZ-normalized'!$E:$E, MATCH($A115, 'UZ-normalized'!$A:$A, 0))&gt;0, -(9*INDEX('UZ-normalized'!$D:$D, MATCH($A115, 'UZ-normalized'!$A:$A, 0))-INDEX('UZ-normalized'!$E:$E, MATCH($A115, 'UZ-normalized'!$A:$A, 0))), 0), 0)))</f>
        <v>-53.199999999999996</v>
      </c>
      <c r="X115" s="6">
        <f>MIN(0, N115+(IFERROR(IF(10*INDEX('UA-normalized'!$D:$D, MATCH($A115, 'UA-normalized'!$A:$A, 0))-INDEX('UA-normalized'!$E:$E, MATCH($A115, 'UA-normalized'!$A:$A, 0))&gt;0, -(10*INDEX('UA-normalized'!$D:$D, MATCH($A115, 'UA-normalized'!$A:$A, 0))-INDEX('UA-normalized'!$E:$E, MATCH($A115, 'UA-normalized'!$A:$A, 0))), 0), 0))+(IFERROR(IF(10*INDEX('KZ-normalized'!$D:$D, MATCH($A115, 'KZ-normalized'!$A:$A, 0))-INDEX('KZ-normalized'!$E:$E, MATCH($A115, 'KZ-normalized'!$A:$A, 0))&gt;0, -(10*INDEX('KZ-normalized'!$D:$D, MATCH($A115, 'KZ-normalized'!$A:$A, 0))-INDEX('KZ-normalized'!$E:$E, MATCH($A115, 'KZ-normalized'!$A:$A, 0))), 0), 0))+(IFERROR(IF(10*INDEX('UZ-normalized'!$D:$D, MATCH($A115, 'UZ-normalized'!$A:$A, 0))-INDEX('UZ-normalized'!$E:$E, MATCH($A115, 'UZ-normalized'!$A:$A, 0))&gt;0, -(10*INDEX('UZ-normalized'!$D:$D, MATCH($A115, 'UZ-normalized'!$A:$A, 0))-INDEX('UZ-normalized'!$E:$E, MATCH($A115, 'UZ-normalized'!$A:$A, 0))), 0), 0)))</f>
        <v>-63</v>
      </c>
      <c r="Y115" s="6">
        <f>MIN(0, N115+(IFERROR(IF(11*INDEX('UA-normalized'!$D:$D, MATCH($A115, 'UA-normalized'!$A:$A, 0))-INDEX('UA-normalized'!$E:$E, MATCH($A115, 'UA-normalized'!$A:$A, 0))&gt;0, -(11*INDEX('UA-normalized'!$D:$D, MATCH($A115, 'UA-normalized'!$A:$A, 0))-INDEX('UA-normalized'!$E:$E, MATCH($A115, 'UA-normalized'!$A:$A, 0))), 0), 0))+(IFERROR(IF(11*INDEX('KZ-normalized'!$D:$D, MATCH($A115, 'KZ-normalized'!$A:$A, 0))-INDEX('KZ-normalized'!$E:$E, MATCH($A115, 'KZ-normalized'!$A:$A, 0))&gt;0, -(11*INDEX('KZ-normalized'!$D:$D, MATCH($A115, 'KZ-normalized'!$A:$A, 0))-INDEX('KZ-normalized'!$E:$E, MATCH($A115, 'KZ-normalized'!$A:$A, 0))), 0), 0))+(IFERROR(IF(11*INDEX('UZ-normalized'!$D:$D, MATCH($A115, 'UZ-normalized'!$A:$A, 0))-INDEX('UZ-normalized'!$E:$E, MATCH($A115, 'UZ-normalized'!$A:$A, 0))&gt;0, -(11*INDEX('UZ-normalized'!$D:$D, MATCH($A115, 'UZ-normalized'!$A:$A, 0))-INDEX('UZ-normalized'!$E:$E, MATCH($A115, 'UZ-normalized'!$A:$A, 0))), 0), 0)))</f>
        <v>-72.8</v>
      </c>
      <c r="Z115" s="6">
        <f>MIN(0, N115+(IFERROR(IF(12*INDEX('UA-normalized'!$D:$D, MATCH($A115, 'UA-normalized'!$A:$A, 0))-INDEX('UA-normalized'!$E:$E, MATCH($A115, 'UA-normalized'!$A:$A, 0))&gt;0, -(12*INDEX('UA-normalized'!$D:$D, MATCH($A115, 'UA-normalized'!$A:$A, 0))-INDEX('UA-normalized'!$E:$E, MATCH($A115, 'UA-normalized'!$A:$A, 0))), 0), 0))+(IFERROR(IF(12*INDEX('KZ-normalized'!$D:$D, MATCH($A115, 'KZ-normalized'!$A:$A, 0))-INDEX('KZ-normalized'!$E:$E, MATCH($A115, 'KZ-normalized'!$A:$A, 0))&gt;0, -(12*INDEX('KZ-normalized'!$D:$D, MATCH($A115, 'KZ-normalized'!$A:$A, 0))-INDEX('KZ-normalized'!$E:$E, MATCH($A115, 'KZ-normalized'!$A:$A, 0))), 0), 0))+(IFERROR(IF(12*INDEX('UZ-normalized'!$D:$D, MATCH($A115, 'UZ-normalized'!$A:$A, 0))-INDEX('UZ-normalized'!$E:$E, MATCH($A115, 'UZ-normalized'!$A:$A, 0))&gt;0, -(12*INDEX('UZ-normalized'!$D:$D, MATCH($A115, 'UZ-normalized'!$A:$A, 0))-INDEX('UZ-normalized'!$E:$E, MATCH($A115, 'UZ-normalized'!$A:$A, 0))), 0), 0)))</f>
        <v>-82.6</v>
      </c>
      <c r="AA115" s="6">
        <f>MIN(0, N115+(IFERROR(IF(13*INDEX('UA-normalized'!$D:$D, MATCH($A115, 'UA-normalized'!$A:$A, 0))-INDEX('UA-normalized'!$E:$E, MATCH($A115, 'UA-normalized'!$A:$A, 0))&gt;0, -(13*INDEX('UA-normalized'!$D:$D, MATCH($A115, 'UA-normalized'!$A:$A, 0))-INDEX('UA-normalized'!$E:$E, MATCH($A115, 'UA-normalized'!$A:$A, 0))), 0), 0))+(IFERROR(IF(13*INDEX('KZ-normalized'!$D:$D, MATCH($A115, 'KZ-normalized'!$A:$A, 0))-INDEX('KZ-normalized'!$E:$E, MATCH($A115, 'KZ-normalized'!$A:$A, 0))&gt;0, -(13*INDEX('KZ-normalized'!$D:$D, MATCH($A115, 'KZ-normalized'!$A:$A, 0))-INDEX('KZ-normalized'!$E:$E, MATCH($A115, 'KZ-normalized'!$A:$A, 0))), 0), 0))+(IFERROR(IF(13*INDEX('UZ-normalized'!$D:$D, MATCH($A115, 'UZ-normalized'!$A:$A, 0))-INDEX('UZ-normalized'!$E:$E, MATCH($A115, 'UZ-normalized'!$A:$A, 0))&gt;0, -(13*INDEX('UZ-normalized'!$D:$D, MATCH($A115, 'UZ-normalized'!$A:$A, 0))-INDEX('UZ-normalized'!$E:$E, MATCH($A115, 'UZ-normalized'!$A:$A, 0))), 0), 0)))</f>
        <v>-92.399999999999991</v>
      </c>
      <c r="AB115" s="6">
        <f>MIN(0, N115+(IFERROR(IF(14*INDEX('UA-normalized'!$D:$D, MATCH($A115, 'UA-normalized'!$A:$A, 0))-INDEX('UA-normalized'!$E:$E, MATCH($A115, 'UA-normalized'!$A:$A, 0))&gt;0, -(14*INDEX('UA-normalized'!$D:$D, MATCH($A115, 'UA-normalized'!$A:$A, 0))-INDEX('UA-normalized'!$E:$E, MATCH($A115, 'UA-normalized'!$A:$A, 0))), 0), 0))+(IFERROR(IF(14*INDEX('KZ-normalized'!$D:$D, MATCH($A115, 'KZ-normalized'!$A:$A, 0))-INDEX('KZ-normalized'!$E:$E, MATCH($A115, 'KZ-normalized'!$A:$A, 0))&gt;0, -(14*INDEX('KZ-normalized'!$D:$D, MATCH($A115, 'KZ-normalized'!$A:$A, 0))-INDEX('KZ-normalized'!$E:$E, MATCH($A115, 'KZ-normalized'!$A:$A, 0))), 0), 0))+(IFERROR(IF(14*INDEX('UZ-normalized'!$D:$D, MATCH($A115, 'UZ-normalized'!$A:$A, 0))-INDEX('UZ-normalized'!$E:$E, MATCH($A115, 'UZ-normalized'!$A:$A, 0))&gt;0, -(14*INDEX('UZ-normalized'!$D:$D, MATCH($A115, 'UZ-normalized'!$A:$A, 0))-INDEX('UZ-normalized'!$E:$E, MATCH($A115, 'UZ-normalized'!$A:$A, 0))), 0), 0)))</f>
        <v>-102.2</v>
      </c>
      <c r="AC115" s="6">
        <f>MIN(0, N115+(IFERROR(IF(15*INDEX('UA-normalized'!$D:$D, MATCH($A115, 'UA-normalized'!$A:$A, 0))-INDEX('UA-normalized'!$E:$E, MATCH($A115, 'UA-normalized'!$A:$A, 0))&gt;0, -(15*INDEX('UA-normalized'!$D:$D, MATCH($A115, 'UA-normalized'!$A:$A, 0))-INDEX('UA-normalized'!$E:$E, MATCH($A115, 'UA-normalized'!$A:$A, 0))), 0), 0))+(IFERROR(IF(15*INDEX('KZ-normalized'!$D:$D, MATCH($A115, 'KZ-normalized'!$A:$A, 0))-INDEX('KZ-normalized'!$E:$E, MATCH($A115, 'KZ-normalized'!$A:$A, 0))&gt;0, -(15*INDEX('KZ-normalized'!$D:$D, MATCH($A115, 'KZ-normalized'!$A:$A, 0))-INDEX('KZ-normalized'!$E:$E, MATCH($A115, 'KZ-normalized'!$A:$A, 0))), 0), 0))+(IFERROR(IF(15*INDEX('UZ-normalized'!$D:$D, MATCH($A115, 'UZ-normalized'!$A:$A, 0))-INDEX('UZ-normalized'!$E:$E, MATCH($A115, 'UZ-normalized'!$A:$A, 0))&gt;0, -(15*INDEX('UZ-normalized'!$D:$D, MATCH($A115, 'UZ-normalized'!$A:$A, 0))-INDEX('UZ-normalized'!$E:$E, MATCH($A115, 'UZ-normalized'!$A:$A, 0))), 0), 0)))</f>
        <v>-112</v>
      </c>
      <c r="AD115" s="6">
        <f>MIN(0, N115+(IFERROR(IF(16*INDEX('UA-normalized'!$D:$D, MATCH($A115, 'UA-normalized'!$A:$A, 0))-INDEX('UA-normalized'!$E:$E, MATCH($A115, 'UA-normalized'!$A:$A, 0))&gt;0, -(16*INDEX('UA-normalized'!$D:$D, MATCH($A115, 'UA-normalized'!$A:$A, 0))-INDEX('UA-normalized'!$E:$E, MATCH($A115, 'UA-normalized'!$A:$A, 0))), 0), 0))+(IFERROR(IF(16*INDEX('KZ-normalized'!$D:$D, MATCH($A115, 'KZ-normalized'!$A:$A, 0))-INDEX('KZ-normalized'!$E:$E, MATCH($A115, 'KZ-normalized'!$A:$A, 0))&gt;0, -(16*INDEX('KZ-normalized'!$D:$D, MATCH($A115, 'KZ-normalized'!$A:$A, 0))-INDEX('KZ-normalized'!$E:$E, MATCH($A115, 'KZ-normalized'!$A:$A, 0))), 0), 0))+(IFERROR(IF(16*INDEX('UZ-normalized'!$D:$D, MATCH($A115, 'UZ-normalized'!$A:$A, 0))-INDEX('UZ-normalized'!$E:$E, MATCH($A115, 'UZ-normalized'!$A:$A, 0))&gt;0, -(16*INDEX('UZ-normalized'!$D:$D, MATCH($A115, 'UZ-normalized'!$A:$A, 0))-INDEX('UZ-normalized'!$E:$E, MATCH($A115, 'UZ-normalized'!$A:$A, 0))), 0), 0)))</f>
        <v>-123.6</v>
      </c>
      <c r="AE115" s="6">
        <f>MIN(0, N115+(IFERROR(IF(17*INDEX('UA-normalized'!$D:$D, MATCH($A115, 'UA-normalized'!$A:$A, 0))-INDEX('UA-normalized'!$E:$E, MATCH($A115, 'UA-normalized'!$A:$A, 0))&gt;0, -(17*INDEX('UA-normalized'!$D:$D, MATCH($A115, 'UA-normalized'!$A:$A, 0))-INDEX('UA-normalized'!$E:$E, MATCH($A115, 'UA-normalized'!$A:$A, 0))), 0), 0))+(IFERROR(IF(17*INDEX('KZ-normalized'!$D:$D, MATCH($A115, 'KZ-normalized'!$A:$A, 0))-INDEX('KZ-normalized'!$E:$E, MATCH($A115, 'KZ-normalized'!$A:$A, 0))&gt;0, -(17*INDEX('KZ-normalized'!$D:$D, MATCH($A115, 'KZ-normalized'!$A:$A, 0))-INDEX('KZ-normalized'!$E:$E, MATCH($A115, 'KZ-normalized'!$A:$A, 0))), 0), 0))+(IFERROR(IF(17*INDEX('UZ-normalized'!$D:$D, MATCH($A115, 'UZ-normalized'!$A:$A, 0))-INDEX('UZ-normalized'!$E:$E, MATCH($A115, 'UZ-normalized'!$A:$A, 0))&gt;0, -(17*INDEX('UZ-normalized'!$D:$D, MATCH($A115, 'UZ-normalized'!$A:$A, 0))-INDEX('UZ-normalized'!$E:$E, MATCH($A115, 'UZ-normalized'!$A:$A, 0))), 0), 0)))</f>
        <v>-135.69999999999999</v>
      </c>
      <c r="AF115" s="6">
        <f>MIN(0, N115+(IFERROR(IF(18*INDEX('UA-normalized'!$D:$D, MATCH($A115, 'UA-normalized'!$A:$A, 0))-INDEX('UA-normalized'!$E:$E, MATCH($A115, 'UA-normalized'!$A:$A, 0))&gt;0, -(18*INDEX('UA-normalized'!$D:$D, MATCH($A115, 'UA-normalized'!$A:$A, 0))-INDEX('UA-normalized'!$E:$E, MATCH($A115, 'UA-normalized'!$A:$A, 0))), 0), 0))+(IFERROR(IF(18*INDEX('KZ-normalized'!$D:$D, MATCH($A115, 'KZ-normalized'!$A:$A, 0))-INDEX('KZ-normalized'!$E:$E, MATCH($A115, 'KZ-normalized'!$A:$A, 0))&gt;0, -(18*INDEX('KZ-normalized'!$D:$D, MATCH($A115, 'KZ-normalized'!$A:$A, 0))-INDEX('KZ-normalized'!$E:$E, MATCH($A115, 'KZ-normalized'!$A:$A, 0))), 0), 0))+(IFERROR(IF(18*INDEX('UZ-normalized'!$D:$D, MATCH($A115, 'UZ-normalized'!$A:$A, 0))-INDEX('UZ-normalized'!$E:$E, MATCH($A115, 'UZ-normalized'!$A:$A, 0))&gt;0, -(18*INDEX('UZ-normalized'!$D:$D, MATCH($A115, 'UZ-normalized'!$A:$A, 0))-INDEX('UZ-normalized'!$E:$E, MATCH($A115, 'UZ-normalized'!$A:$A, 0))), 0), 0)))</f>
        <v>-147.79999999999998</v>
      </c>
      <c r="AG115" s="6">
        <f>MIN(0, N115+(IFERROR(IF(19*INDEX('UA-normalized'!$D:$D, MATCH($A115, 'UA-normalized'!$A:$A, 0))-INDEX('UA-normalized'!$E:$E, MATCH($A115, 'UA-normalized'!$A:$A, 0))&gt;0, -(19*INDEX('UA-normalized'!$D:$D, MATCH($A115, 'UA-normalized'!$A:$A, 0))-INDEX('UA-normalized'!$E:$E, MATCH($A115, 'UA-normalized'!$A:$A, 0))), 0), 0))+(IFERROR(IF(19*INDEX('KZ-normalized'!$D:$D, MATCH($A115, 'KZ-normalized'!$A:$A, 0))-INDEX('KZ-normalized'!$E:$E, MATCH($A115, 'KZ-normalized'!$A:$A, 0))&gt;0, -(19*INDEX('KZ-normalized'!$D:$D, MATCH($A115, 'KZ-normalized'!$A:$A, 0))-INDEX('KZ-normalized'!$E:$E, MATCH($A115, 'KZ-normalized'!$A:$A, 0))), 0), 0))+(IFERROR(IF(19*INDEX('UZ-normalized'!$D:$D, MATCH($A115, 'UZ-normalized'!$A:$A, 0))-INDEX('UZ-normalized'!$E:$E, MATCH($A115, 'UZ-normalized'!$A:$A, 0))&gt;0, -(19*INDEX('UZ-normalized'!$D:$D, MATCH($A115, 'UZ-normalized'!$A:$A, 0))-INDEX('UZ-normalized'!$E:$E, MATCH($A115, 'UZ-normalized'!$A:$A, 0))), 0), 0)))</f>
        <v>-159.89999999999998</v>
      </c>
      <c r="AH115" s="6">
        <f>MIN(0, N115+(IFERROR(IF(20*INDEX('UA-normalized'!$D:$D, MATCH($A115, 'UA-normalized'!$A:$A, 0))-INDEX('UA-normalized'!$E:$E, MATCH($A115, 'UA-normalized'!$A:$A, 0))&gt;0, -(20*INDEX('UA-normalized'!$D:$D, MATCH($A115, 'UA-normalized'!$A:$A, 0))-INDEX('UA-normalized'!$E:$E, MATCH($A115, 'UA-normalized'!$A:$A, 0))), 0), 0))+(IFERROR(IF(20*INDEX('KZ-normalized'!$D:$D, MATCH($A115, 'KZ-normalized'!$A:$A, 0))-INDEX('KZ-normalized'!$E:$E, MATCH($A115, 'KZ-normalized'!$A:$A, 0))&gt;0, -(20*INDEX('KZ-normalized'!$D:$D, MATCH($A115, 'KZ-normalized'!$A:$A, 0))-INDEX('KZ-normalized'!$E:$E, MATCH($A115, 'KZ-normalized'!$A:$A, 0))), 0), 0))+(IFERROR(IF(20*INDEX('UZ-normalized'!$D:$D, MATCH($A115, 'UZ-normalized'!$A:$A, 0))-INDEX('UZ-normalized'!$E:$E, MATCH($A115, 'UZ-normalized'!$A:$A, 0))&gt;0, -(20*INDEX('UZ-normalized'!$D:$D, MATCH($A115, 'UZ-normalized'!$A:$A, 0))-INDEX('UZ-normalized'!$E:$E, MATCH($A115, 'UZ-normalized'!$A:$A, 0))), 0), 0)))</f>
        <v>-172</v>
      </c>
      <c r="AI115" s="6">
        <f>MIN(0, N115+(IFERROR(IF(21*INDEX('UA-normalized'!$D:$D, MATCH($A115, 'UA-normalized'!$A:$A, 0))-INDEX('UA-normalized'!$E:$E, MATCH($A115, 'UA-normalized'!$A:$A, 0))&gt;0, -(21*INDEX('UA-normalized'!$D:$D, MATCH($A115, 'UA-normalized'!$A:$A, 0))-INDEX('UA-normalized'!$E:$E, MATCH($A115, 'UA-normalized'!$A:$A, 0))), 0), 0))+(IFERROR(IF(21*INDEX('KZ-normalized'!$D:$D, MATCH($A115, 'KZ-normalized'!$A:$A, 0))-INDEX('KZ-normalized'!$E:$E, MATCH($A115, 'KZ-normalized'!$A:$A, 0))&gt;0, -(21*INDEX('KZ-normalized'!$D:$D, MATCH($A115, 'KZ-normalized'!$A:$A, 0))-INDEX('KZ-normalized'!$E:$E, MATCH($A115, 'KZ-normalized'!$A:$A, 0))), 0), 0))+(IFERROR(IF(21*INDEX('UZ-normalized'!$D:$D, MATCH($A115, 'UZ-normalized'!$A:$A, 0))-INDEX('UZ-normalized'!$E:$E, MATCH($A115, 'UZ-normalized'!$A:$A, 0))&gt;0, -(21*INDEX('UZ-normalized'!$D:$D, MATCH($A115, 'UZ-normalized'!$A:$A, 0))-INDEX('UZ-normalized'!$E:$E, MATCH($A115, 'UZ-normalized'!$A:$A, 0))), 0), 0)))</f>
        <v>-184.09999999999997</v>
      </c>
      <c r="AJ115" s="6">
        <f>MIN(0, N115+(IFERROR(IF(22*INDEX('UA-normalized'!$D:$D, MATCH($A115, 'UA-normalized'!$A:$A, 0))-INDEX('UA-normalized'!$E:$E, MATCH($A115, 'UA-normalized'!$A:$A, 0))&gt;0, -(22*INDEX('UA-normalized'!$D:$D, MATCH($A115, 'UA-normalized'!$A:$A, 0))-INDEX('UA-normalized'!$E:$E, MATCH($A115, 'UA-normalized'!$A:$A, 0))), 0), 0))+(IFERROR(IF(22*INDEX('KZ-normalized'!$D:$D, MATCH($A115, 'KZ-normalized'!$A:$A, 0))-INDEX('KZ-normalized'!$E:$E, MATCH($A115, 'KZ-normalized'!$A:$A, 0))&gt;0, -(22*INDEX('KZ-normalized'!$D:$D, MATCH($A115, 'KZ-normalized'!$A:$A, 0))-INDEX('KZ-normalized'!$E:$E, MATCH($A115, 'KZ-normalized'!$A:$A, 0))), 0), 0))+(IFERROR(IF(22*INDEX('UZ-normalized'!$D:$D, MATCH($A115, 'UZ-normalized'!$A:$A, 0))-INDEX('UZ-normalized'!$E:$E, MATCH($A115, 'UZ-normalized'!$A:$A, 0))&gt;0, -(22*INDEX('UZ-normalized'!$D:$D, MATCH($A115, 'UZ-normalized'!$A:$A, 0))-INDEX('UZ-normalized'!$E:$E, MATCH($A115, 'UZ-normalized'!$A:$A, 0))), 0), 0)))</f>
        <v>-196.2</v>
      </c>
      <c r="AK115" s="6">
        <f>MIN(0, N115+(IFERROR(IF(23*INDEX('UA-normalized'!$D:$D, MATCH($A115, 'UA-normalized'!$A:$A, 0))-INDEX('UA-normalized'!$E:$E, MATCH($A115, 'UA-normalized'!$A:$A, 0))&gt;0, -(23*INDEX('UA-normalized'!$D:$D, MATCH($A115, 'UA-normalized'!$A:$A, 0))-INDEX('UA-normalized'!$E:$E, MATCH($A115, 'UA-normalized'!$A:$A, 0))), 0), 0))+(IFERROR(IF(23*INDEX('KZ-normalized'!$D:$D, MATCH($A115, 'KZ-normalized'!$A:$A, 0))-INDEX('KZ-normalized'!$E:$E, MATCH($A115, 'KZ-normalized'!$A:$A, 0))&gt;0, -(23*INDEX('KZ-normalized'!$D:$D, MATCH($A115, 'KZ-normalized'!$A:$A, 0))-INDEX('KZ-normalized'!$E:$E, MATCH($A115, 'KZ-normalized'!$A:$A, 0))), 0), 0))+(IFERROR(IF(23*INDEX('UZ-normalized'!$D:$D, MATCH($A115, 'UZ-normalized'!$A:$A, 0))-INDEX('UZ-normalized'!$E:$E, MATCH($A115, 'UZ-normalized'!$A:$A, 0))&gt;0, -(23*INDEX('UZ-normalized'!$D:$D, MATCH($A115, 'UZ-normalized'!$A:$A, 0))-INDEX('UZ-normalized'!$E:$E, MATCH($A115, 'UZ-normalized'!$A:$A, 0))), 0), 0)))</f>
        <v>-208.3</v>
      </c>
      <c r="AL115" s="6">
        <f>MIN(0, N115+(IFERROR(IF(24*INDEX('UA-normalized'!$D:$D, MATCH($A115, 'UA-normalized'!$A:$A, 0))-INDEX('UA-normalized'!$E:$E, MATCH($A115, 'UA-normalized'!$A:$A, 0))&gt;0, -(24*INDEX('UA-normalized'!$D:$D, MATCH($A115, 'UA-normalized'!$A:$A, 0))-INDEX('UA-normalized'!$E:$E, MATCH($A115, 'UA-normalized'!$A:$A, 0))), 0), 0))+(IFERROR(IF(24*INDEX('KZ-normalized'!$D:$D, MATCH($A115, 'KZ-normalized'!$A:$A, 0))-INDEX('KZ-normalized'!$E:$E, MATCH($A115, 'KZ-normalized'!$A:$A, 0))&gt;0, -(24*INDEX('KZ-normalized'!$D:$D, MATCH($A115, 'KZ-normalized'!$A:$A, 0))-INDEX('KZ-normalized'!$E:$E, MATCH($A115, 'KZ-normalized'!$A:$A, 0))), 0), 0))+(IFERROR(IF(24*INDEX('UZ-normalized'!$D:$D, MATCH($A115, 'UZ-normalized'!$A:$A, 0))-INDEX('UZ-normalized'!$E:$E, MATCH($A115, 'UZ-normalized'!$A:$A, 0))&gt;0, -(24*INDEX('UZ-normalized'!$D:$D, MATCH($A115, 'UZ-normalized'!$A:$A, 0))-INDEX('UZ-normalized'!$E:$E, MATCH($A115, 'UZ-normalized'!$A:$A, 0))), 0), 0)))</f>
        <v>-220.39999999999998</v>
      </c>
      <c r="AM115" s="6">
        <f>MIN(0, N115+(IFERROR(IF(25*INDEX('UA-normalized'!$D:$D, MATCH($A115, 'UA-normalized'!$A:$A, 0))-INDEX('UA-normalized'!$E:$E, MATCH($A115, 'UA-normalized'!$A:$A, 0))&gt;0, -(25*INDEX('UA-normalized'!$D:$D, MATCH($A115, 'UA-normalized'!$A:$A, 0))-INDEX('UA-normalized'!$E:$E, MATCH($A115, 'UA-normalized'!$A:$A, 0))), 0), 0))+(IFERROR(IF(25*INDEX('KZ-normalized'!$D:$D, MATCH($A115, 'KZ-normalized'!$A:$A, 0))-INDEX('KZ-normalized'!$E:$E, MATCH($A115, 'KZ-normalized'!$A:$A, 0))&gt;0, -(25*INDEX('KZ-normalized'!$D:$D, MATCH($A115, 'KZ-normalized'!$A:$A, 0))-INDEX('KZ-normalized'!$E:$E, MATCH($A115, 'KZ-normalized'!$A:$A, 0))), 0), 0))+(IFERROR(IF(25*INDEX('UZ-normalized'!$D:$D, MATCH($A115, 'UZ-normalized'!$A:$A, 0))-INDEX('UZ-normalized'!$E:$E, MATCH($A115, 'UZ-normalized'!$A:$A, 0))&gt;0, -(25*INDEX('UZ-normalized'!$D:$D, MATCH($A115, 'UZ-normalized'!$A:$A, 0))-INDEX('UZ-normalized'!$E:$E, MATCH($A115, 'UZ-normalized'!$A:$A, 0))), 0), 0)))</f>
        <v>-232.5</v>
      </c>
      <c r="AN115" s="6">
        <f>MIN(0, N115+(IFERROR(IF(26*INDEX('UA-normalized'!$D:$D, MATCH($A115, 'UA-normalized'!$A:$A, 0))-INDEX('UA-normalized'!$E:$E, MATCH($A115, 'UA-normalized'!$A:$A, 0))&gt;0, -(26*INDEX('UA-normalized'!$D:$D, MATCH($A115, 'UA-normalized'!$A:$A, 0))-INDEX('UA-normalized'!$E:$E, MATCH($A115, 'UA-normalized'!$A:$A, 0))), 0), 0))+(IFERROR(IF(26*INDEX('KZ-normalized'!$D:$D, MATCH($A115, 'KZ-normalized'!$A:$A, 0))-INDEX('KZ-normalized'!$E:$E, MATCH($A115, 'KZ-normalized'!$A:$A, 0))&gt;0, -(26*INDEX('KZ-normalized'!$D:$D, MATCH($A115, 'KZ-normalized'!$A:$A, 0))-INDEX('KZ-normalized'!$E:$E, MATCH($A115, 'KZ-normalized'!$A:$A, 0))), 0), 0))+(IFERROR(IF(26*INDEX('UZ-normalized'!$D:$D, MATCH($A115, 'UZ-normalized'!$A:$A, 0))-INDEX('UZ-normalized'!$E:$E, MATCH($A115, 'UZ-normalized'!$A:$A, 0))&gt;0, -(26*INDEX('UZ-normalized'!$D:$D, MATCH($A115, 'UZ-normalized'!$A:$A, 0))-INDEX('UZ-normalized'!$E:$E, MATCH($A115, 'UZ-normalized'!$A:$A, 0))), 0), 0)))</f>
        <v>-244.59999999999997</v>
      </c>
      <c r="AO115" s="6">
        <f>MIN(0, N115+(IFERROR(IF(27*INDEX('UA-normalized'!$D:$D, MATCH($A115, 'UA-normalized'!$A:$A, 0))-INDEX('UA-normalized'!$E:$E, MATCH($A115, 'UA-normalized'!$A:$A, 0))&gt;0, -(27*INDEX('UA-normalized'!$D:$D, MATCH($A115, 'UA-normalized'!$A:$A, 0))-INDEX('UA-normalized'!$E:$E, MATCH($A115, 'UA-normalized'!$A:$A, 0))), 0), 0))+(IFERROR(IF(27*INDEX('KZ-normalized'!$D:$D, MATCH($A115, 'KZ-normalized'!$A:$A, 0))-INDEX('KZ-normalized'!$E:$E, MATCH($A115, 'KZ-normalized'!$A:$A, 0))&gt;0, -(27*INDEX('KZ-normalized'!$D:$D, MATCH($A115, 'KZ-normalized'!$A:$A, 0))-INDEX('KZ-normalized'!$E:$E, MATCH($A115, 'KZ-normalized'!$A:$A, 0))), 0), 0))+(IFERROR(IF(27*INDEX('UZ-normalized'!$D:$D, MATCH($A115, 'UZ-normalized'!$A:$A, 0))-INDEX('UZ-normalized'!$E:$E, MATCH($A115, 'UZ-normalized'!$A:$A, 0))&gt;0, -(27*INDEX('UZ-normalized'!$D:$D, MATCH($A115, 'UZ-normalized'!$A:$A, 0))-INDEX('UZ-normalized'!$E:$E, MATCH($A115, 'UZ-normalized'!$A:$A, 0))), 0), 0)))</f>
        <v>-256.7</v>
      </c>
      <c r="AP115" s="6">
        <f>MIN(0, N115+(IFERROR(IF(28*INDEX('UA-normalized'!$D:$D, MATCH($A115, 'UA-normalized'!$A:$A, 0))-INDEX('UA-normalized'!$E:$E, MATCH($A115, 'UA-normalized'!$A:$A, 0))&gt;0, -(28*INDEX('UA-normalized'!$D:$D, MATCH($A115, 'UA-normalized'!$A:$A, 0))-INDEX('UA-normalized'!$E:$E, MATCH($A115, 'UA-normalized'!$A:$A, 0))), 0), 0))+(IFERROR(IF(28*INDEX('KZ-normalized'!$D:$D, MATCH($A115, 'KZ-normalized'!$A:$A, 0))-INDEX('KZ-normalized'!$E:$E, MATCH($A115, 'KZ-normalized'!$A:$A, 0))&gt;0, -(28*INDEX('KZ-normalized'!$D:$D, MATCH($A115, 'KZ-normalized'!$A:$A, 0))-INDEX('KZ-normalized'!$E:$E, MATCH($A115, 'KZ-normalized'!$A:$A, 0))), 0), 0))+(IFERROR(IF(28*INDEX('UZ-normalized'!$D:$D, MATCH($A115, 'UZ-normalized'!$A:$A, 0))-INDEX('UZ-normalized'!$E:$E, MATCH($A115, 'UZ-normalized'!$A:$A, 0))&gt;0, -(28*INDEX('UZ-normalized'!$D:$D, MATCH($A115, 'UZ-normalized'!$A:$A, 0))-INDEX('UZ-normalized'!$E:$E, MATCH($A115, 'UZ-normalized'!$A:$A, 0))), 0), 0)))</f>
        <v>-268.8</v>
      </c>
      <c r="AQ115" s="6">
        <f>MIN(0, N115+(IFERROR(IF(29*INDEX('UA-normalized'!$D:$D, MATCH($A115, 'UA-normalized'!$A:$A, 0))-INDEX('UA-normalized'!$E:$E, MATCH($A115, 'UA-normalized'!$A:$A, 0))&gt;0, -(29*INDEX('UA-normalized'!$D:$D, MATCH($A115, 'UA-normalized'!$A:$A, 0))-INDEX('UA-normalized'!$E:$E, MATCH($A115, 'UA-normalized'!$A:$A, 0))), 0), 0))+(IFERROR(IF(29*INDEX('KZ-normalized'!$D:$D, MATCH($A115, 'KZ-normalized'!$A:$A, 0))-INDEX('KZ-normalized'!$E:$E, MATCH($A115, 'KZ-normalized'!$A:$A, 0))&gt;0, -(29*INDEX('KZ-normalized'!$D:$D, MATCH($A115, 'KZ-normalized'!$A:$A, 0))-INDEX('KZ-normalized'!$E:$E, MATCH($A115, 'KZ-normalized'!$A:$A, 0))), 0), 0))+(IFERROR(IF(29*INDEX('UZ-normalized'!$D:$D, MATCH($A115, 'UZ-normalized'!$A:$A, 0))-INDEX('UZ-normalized'!$E:$E, MATCH($A115, 'UZ-normalized'!$A:$A, 0))&gt;0, -(29*INDEX('UZ-normalized'!$D:$D, MATCH($A115, 'UZ-normalized'!$A:$A, 0))-INDEX('UZ-normalized'!$E:$E, MATCH($A115, 'UZ-normalized'!$A:$A, 0))), 0), 0)))</f>
        <v>-280.89999999999998</v>
      </c>
      <c r="AR115" s="6">
        <f>MIN(0, N115+(IFERROR(IF(30*INDEX('UA-normalized'!$D:$D, MATCH($A115, 'UA-normalized'!$A:$A, 0))-INDEX('UA-normalized'!$E:$E, MATCH($A115, 'UA-normalized'!$A:$A, 0))&gt;0, -(30*INDEX('UA-normalized'!$D:$D, MATCH($A115, 'UA-normalized'!$A:$A, 0))-INDEX('UA-normalized'!$E:$E, MATCH($A115, 'UA-normalized'!$A:$A, 0))), 0), 0))+(IFERROR(IF(30*INDEX('KZ-normalized'!$D:$D, MATCH($A115, 'KZ-normalized'!$A:$A, 0))-INDEX('KZ-normalized'!$E:$E, MATCH($A115, 'KZ-normalized'!$A:$A, 0))&gt;0, -(30*INDEX('KZ-normalized'!$D:$D, MATCH($A115, 'KZ-normalized'!$A:$A, 0))-INDEX('KZ-normalized'!$E:$E, MATCH($A115, 'KZ-normalized'!$A:$A, 0))), 0), 0))+(IFERROR(IF(30*INDEX('UZ-normalized'!$D:$D, MATCH($A115, 'UZ-normalized'!$A:$A, 0))-INDEX('UZ-normalized'!$E:$E, MATCH($A115, 'UZ-normalized'!$A:$A, 0))&gt;0, -(30*INDEX('UZ-normalized'!$D:$D, MATCH($A115, 'UZ-normalized'!$A:$A, 0))-INDEX('UZ-normalized'!$E:$E, MATCH($A115, 'UZ-normalized'!$A:$A, 0))), 0), 0)))</f>
        <v>-293</v>
      </c>
    </row>
    <row r="116" spans="1:44" x14ac:dyDescent="0.25">
      <c r="A116" s="8" t="s">
        <v>285</v>
      </c>
      <c r="B116" s="8" t="s">
        <v>180</v>
      </c>
      <c r="C116" s="8" t="s">
        <v>281</v>
      </c>
      <c r="D116" s="8" t="s">
        <v>286</v>
      </c>
      <c r="N116">
        <f t="shared" si="1"/>
        <v>0</v>
      </c>
      <c r="O116" s="6">
        <f>MIN(0, N116+(IFERROR(IF(1*INDEX('UA-normalized'!$D:$D, MATCH($A116, 'UA-normalized'!$A:$A, 0))-INDEX('UA-normalized'!$E:$E, MATCH($A116, 'UA-normalized'!$A:$A, 0))&gt;0, -(1*INDEX('UA-normalized'!$D:$D, MATCH($A116, 'UA-normalized'!$A:$A, 0))-INDEX('UA-normalized'!$E:$E, MATCH($A116, 'UA-normalized'!$A:$A, 0))), 0), 0))+(IFERROR(IF(1*INDEX('KZ-normalized'!$D:$D, MATCH($A116, 'KZ-normalized'!$A:$A, 0))-INDEX('KZ-normalized'!$E:$E, MATCH($A116, 'KZ-normalized'!$A:$A, 0))&gt;0, -(1*INDEX('KZ-normalized'!$D:$D, MATCH($A116, 'KZ-normalized'!$A:$A, 0))-INDEX('KZ-normalized'!$E:$E, MATCH($A116, 'KZ-normalized'!$A:$A, 0))), 0), 0))+(IFERROR(IF(1*INDEX('UZ-normalized'!$D:$D, MATCH($A116, 'UZ-normalized'!$A:$A, 0))-INDEX('UZ-normalized'!$E:$E, MATCH($A116, 'UZ-normalized'!$A:$A, 0))&gt;0, -(1*INDEX('UZ-normalized'!$D:$D, MATCH($A116, 'UZ-normalized'!$A:$A, 0))-INDEX('UZ-normalized'!$E:$E, MATCH($A116, 'UZ-normalized'!$A:$A, 0))), 0), 0)))</f>
        <v>0</v>
      </c>
      <c r="P116" s="6">
        <f>MIN(0, N116+(IFERROR(IF(2*INDEX('UA-normalized'!$D:$D, MATCH($A116, 'UA-normalized'!$A:$A, 0))-INDEX('UA-normalized'!$E:$E, MATCH($A116, 'UA-normalized'!$A:$A, 0))&gt;0, -(2*INDEX('UA-normalized'!$D:$D, MATCH($A116, 'UA-normalized'!$A:$A, 0))-INDEX('UA-normalized'!$E:$E, MATCH($A116, 'UA-normalized'!$A:$A, 0))), 0), 0))+(IFERROR(IF(2*INDEX('KZ-normalized'!$D:$D, MATCH($A116, 'KZ-normalized'!$A:$A, 0))-INDEX('KZ-normalized'!$E:$E, MATCH($A116, 'KZ-normalized'!$A:$A, 0))&gt;0, -(2*INDEX('KZ-normalized'!$D:$D, MATCH($A116, 'KZ-normalized'!$A:$A, 0))-INDEX('KZ-normalized'!$E:$E, MATCH($A116, 'KZ-normalized'!$A:$A, 0))), 0), 0))+(IFERROR(IF(2*INDEX('UZ-normalized'!$D:$D, MATCH($A116, 'UZ-normalized'!$A:$A, 0))-INDEX('UZ-normalized'!$E:$E, MATCH($A116, 'UZ-normalized'!$A:$A, 0))&gt;0, -(2*INDEX('UZ-normalized'!$D:$D, MATCH($A116, 'UZ-normalized'!$A:$A, 0))-INDEX('UZ-normalized'!$E:$E, MATCH($A116, 'UZ-normalized'!$A:$A, 0))), 0), 0)))</f>
        <v>0</v>
      </c>
      <c r="Q116" s="6">
        <f>MIN(0, N116+(IFERROR(IF(3*INDEX('UA-normalized'!$D:$D, MATCH($A116, 'UA-normalized'!$A:$A, 0))-INDEX('UA-normalized'!$E:$E, MATCH($A116, 'UA-normalized'!$A:$A, 0))&gt;0, -(3*INDEX('UA-normalized'!$D:$D, MATCH($A116, 'UA-normalized'!$A:$A, 0))-INDEX('UA-normalized'!$E:$E, MATCH($A116, 'UA-normalized'!$A:$A, 0))), 0), 0))+(IFERROR(IF(3*INDEX('KZ-normalized'!$D:$D, MATCH($A116, 'KZ-normalized'!$A:$A, 0))-INDEX('KZ-normalized'!$E:$E, MATCH($A116, 'KZ-normalized'!$A:$A, 0))&gt;0, -(3*INDEX('KZ-normalized'!$D:$D, MATCH($A116, 'KZ-normalized'!$A:$A, 0))-INDEX('KZ-normalized'!$E:$E, MATCH($A116, 'KZ-normalized'!$A:$A, 0))), 0), 0))+(IFERROR(IF(3*INDEX('UZ-normalized'!$D:$D, MATCH($A116, 'UZ-normalized'!$A:$A, 0))-INDEX('UZ-normalized'!$E:$E, MATCH($A116, 'UZ-normalized'!$A:$A, 0))&gt;0, -(3*INDEX('UZ-normalized'!$D:$D, MATCH($A116, 'UZ-normalized'!$A:$A, 0))-INDEX('UZ-normalized'!$E:$E, MATCH($A116, 'UZ-normalized'!$A:$A, 0))), 0), 0)))</f>
        <v>0</v>
      </c>
      <c r="R116" s="6">
        <f>MIN(0, N116+(IFERROR(IF(4*INDEX('UA-normalized'!$D:$D, MATCH($A116, 'UA-normalized'!$A:$A, 0))-INDEX('UA-normalized'!$E:$E, MATCH($A116, 'UA-normalized'!$A:$A, 0))&gt;0, -(4*INDEX('UA-normalized'!$D:$D, MATCH($A116, 'UA-normalized'!$A:$A, 0))-INDEX('UA-normalized'!$E:$E, MATCH($A116, 'UA-normalized'!$A:$A, 0))), 0), 0))+(IFERROR(IF(4*INDEX('KZ-normalized'!$D:$D, MATCH($A116, 'KZ-normalized'!$A:$A, 0))-INDEX('KZ-normalized'!$E:$E, MATCH($A116, 'KZ-normalized'!$A:$A, 0))&gt;0, -(4*INDEX('KZ-normalized'!$D:$D, MATCH($A116, 'KZ-normalized'!$A:$A, 0))-INDEX('KZ-normalized'!$E:$E, MATCH($A116, 'KZ-normalized'!$A:$A, 0))), 0), 0))+(IFERROR(IF(4*INDEX('UZ-normalized'!$D:$D, MATCH($A116, 'UZ-normalized'!$A:$A, 0))-INDEX('UZ-normalized'!$E:$E, MATCH($A116, 'UZ-normalized'!$A:$A, 0))&gt;0, -(4*INDEX('UZ-normalized'!$D:$D, MATCH($A116, 'UZ-normalized'!$A:$A, 0))-INDEX('UZ-normalized'!$E:$E, MATCH($A116, 'UZ-normalized'!$A:$A, 0))), 0), 0)))</f>
        <v>0</v>
      </c>
      <c r="S116" s="6">
        <f>MIN(0, N116+(IFERROR(IF(5*INDEX('UA-normalized'!$D:$D, MATCH($A116, 'UA-normalized'!$A:$A, 0))-INDEX('UA-normalized'!$E:$E, MATCH($A116, 'UA-normalized'!$A:$A, 0))&gt;0, -(5*INDEX('UA-normalized'!$D:$D, MATCH($A116, 'UA-normalized'!$A:$A, 0))-INDEX('UA-normalized'!$E:$E, MATCH($A116, 'UA-normalized'!$A:$A, 0))), 0), 0))+(IFERROR(IF(5*INDEX('KZ-normalized'!$D:$D, MATCH($A116, 'KZ-normalized'!$A:$A, 0))-INDEX('KZ-normalized'!$E:$E, MATCH($A116, 'KZ-normalized'!$A:$A, 0))&gt;0, -(5*INDEX('KZ-normalized'!$D:$D, MATCH($A116, 'KZ-normalized'!$A:$A, 0))-INDEX('KZ-normalized'!$E:$E, MATCH($A116, 'KZ-normalized'!$A:$A, 0))), 0), 0))+(IFERROR(IF(5*INDEX('UZ-normalized'!$D:$D, MATCH($A116, 'UZ-normalized'!$A:$A, 0))-INDEX('UZ-normalized'!$E:$E, MATCH($A116, 'UZ-normalized'!$A:$A, 0))&gt;0, -(5*INDEX('UZ-normalized'!$D:$D, MATCH($A116, 'UZ-normalized'!$A:$A, 0))-INDEX('UZ-normalized'!$E:$E, MATCH($A116, 'UZ-normalized'!$A:$A, 0))), 0), 0)))</f>
        <v>0</v>
      </c>
      <c r="T116" s="6">
        <f>MIN(0, N116+(IFERROR(IF(6*INDEX('UA-normalized'!$D:$D, MATCH($A116, 'UA-normalized'!$A:$A, 0))-INDEX('UA-normalized'!$E:$E, MATCH($A116, 'UA-normalized'!$A:$A, 0))&gt;0, -(6*INDEX('UA-normalized'!$D:$D, MATCH($A116, 'UA-normalized'!$A:$A, 0))-INDEX('UA-normalized'!$E:$E, MATCH($A116, 'UA-normalized'!$A:$A, 0))), 0), 0))+(IFERROR(IF(6*INDEX('KZ-normalized'!$D:$D, MATCH($A116, 'KZ-normalized'!$A:$A, 0))-INDEX('KZ-normalized'!$E:$E, MATCH($A116, 'KZ-normalized'!$A:$A, 0))&gt;0, -(6*INDEX('KZ-normalized'!$D:$D, MATCH($A116, 'KZ-normalized'!$A:$A, 0))-INDEX('KZ-normalized'!$E:$E, MATCH($A116, 'KZ-normalized'!$A:$A, 0))), 0), 0))+(IFERROR(IF(6*INDEX('UZ-normalized'!$D:$D, MATCH($A116, 'UZ-normalized'!$A:$A, 0))-INDEX('UZ-normalized'!$E:$E, MATCH($A116, 'UZ-normalized'!$A:$A, 0))&gt;0, -(6*INDEX('UZ-normalized'!$D:$D, MATCH($A116, 'UZ-normalized'!$A:$A, 0))-INDEX('UZ-normalized'!$E:$E, MATCH($A116, 'UZ-normalized'!$A:$A, 0))), 0), 0)))</f>
        <v>0</v>
      </c>
      <c r="U116" s="6">
        <f>MIN(0, N116+(IFERROR(IF(7*INDEX('UA-normalized'!$D:$D, MATCH($A116, 'UA-normalized'!$A:$A, 0))-INDEX('UA-normalized'!$E:$E, MATCH($A116, 'UA-normalized'!$A:$A, 0))&gt;0, -(7*INDEX('UA-normalized'!$D:$D, MATCH($A116, 'UA-normalized'!$A:$A, 0))-INDEX('UA-normalized'!$E:$E, MATCH($A116, 'UA-normalized'!$A:$A, 0))), 0), 0))+(IFERROR(IF(7*INDEX('KZ-normalized'!$D:$D, MATCH($A116, 'KZ-normalized'!$A:$A, 0))-INDEX('KZ-normalized'!$E:$E, MATCH($A116, 'KZ-normalized'!$A:$A, 0))&gt;0, -(7*INDEX('KZ-normalized'!$D:$D, MATCH($A116, 'KZ-normalized'!$A:$A, 0))-INDEX('KZ-normalized'!$E:$E, MATCH($A116, 'KZ-normalized'!$A:$A, 0))), 0), 0))+(IFERROR(IF(7*INDEX('UZ-normalized'!$D:$D, MATCH($A116, 'UZ-normalized'!$A:$A, 0))-INDEX('UZ-normalized'!$E:$E, MATCH($A116, 'UZ-normalized'!$A:$A, 0))&gt;0, -(7*INDEX('UZ-normalized'!$D:$D, MATCH($A116, 'UZ-normalized'!$A:$A, 0))-INDEX('UZ-normalized'!$E:$E, MATCH($A116, 'UZ-normalized'!$A:$A, 0))), 0), 0)))</f>
        <v>0</v>
      </c>
      <c r="V116" s="6">
        <f>MIN(0, N116+(IFERROR(IF(8*INDEX('UA-normalized'!$D:$D, MATCH($A116, 'UA-normalized'!$A:$A, 0))-INDEX('UA-normalized'!$E:$E, MATCH($A116, 'UA-normalized'!$A:$A, 0))&gt;0, -(8*INDEX('UA-normalized'!$D:$D, MATCH($A116, 'UA-normalized'!$A:$A, 0))-INDEX('UA-normalized'!$E:$E, MATCH($A116, 'UA-normalized'!$A:$A, 0))), 0), 0))+(IFERROR(IF(8*INDEX('KZ-normalized'!$D:$D, MATCH($A116, 'KZ-normalized'!$A:$A, 0))-INDEX('KZ-normalized'!$E:$E, MATCH($A116, 'KZ-normalized'!$A:$A, 0))&gt;0, -(8*INDEX('KZ-normalized'!$D:$D, MATCH($A116, 'KZ-normalized'!$A:$A, 0))-INDEX('KZ-normalized'!$E:$E, MATCH($A116, 'KZ-normalized'!$A:$A, 0))), 0), 0))+(IFERROR(IF(8*INDEX('UZ-normalized'!$D:$D, MATCH($A116, 'UZ-normalized'!$A:$A, 0))-INDEX('UZ-normalized'!$E:$E, MATCH($A116, 'UZ-normalized'!$A:$A, 0))&gt;0, -(8*INDEX('UZ-normalized'!$D:$D, MATCH($A116, 'UZ-normalized'!$A:$A, 0))-INDEX('UZ-normalized'!$E:$E, MATCH($A116, 'UZ-normalized'!$A:$A, 0))), 0), 0)))</f>
        <v>0</v>
      </c>
      <c r="W116" s="6">
        <f>MIN(0, N116+(IFERROR(IF(9*INDEX('UA-normalized'!$D:$D, MATCH($A116, 'UA-normalized'!$A:$A, 0))-INDEX('UA-normalized'!$E:$E, MATCH($A116, 'UA-normalized'!$A:$A, 0))&gt;0, -(9*INDEX('UA-normalized'!$D:$D, MATCH($A116, 'UA-normalized'!$A:$A, 0))-INDEX('UA-normalized'!$E:$E, MATCH($A116, 'UA-normalized'!$A:$A, 0))), 0), 0))+(IFERROR(IF(9*INDEX('KZ-normalized'!$D:$D, MATCH($A116, 'KZ-normalized'!$A:$A, 0))-INDEX('KZ-normalized'!$E:$E, MATCH($A116, 'KZ-normalized'!$A:$A, 0))&gt;0, -(9*INDEX('KZ-normalized'!$D:$D, MATCH($A116, 'KZ-normalized'!$A:$A, 0))-INDEX('KZ-normalized'!$E:$E, MATCH($A116, 'KZ-normalized'!$A:$A, 0))), 0), 0))+(IFERROR(IF(9*INDEX('UZ-normalized'!$D:$D, MATCH($A116, 'UZ-normalized'!$A:$A, 0))-INDEX('UZ-normalized'!$E:$E, MATCH($A116, 'UZ-normalized'!$A:$A, 0))&gt;0, -(9*INDEX('UZ-normalized'!$D:$D, MATCH($A116, 'UZ-normalized'!$A:$A, 0))-INDEX('UZ-normalized'!$E:$E, MATCH($A116, 'UZ-normalized'!$A:$A, 0))), 0), 0)))</f>
        <v>0</v>
      </c>
      <c r="X116" s="6">
        <f>MIN(0, N116+(IFERROR(IF(10*INDEX('UA-normalized'!$D:$D, MATCH($A116, 'UA-normalized'!$A:$A, 0))-INDEX('UA-normalized'!$E:$E, MATCH($A116, 'UA-normalized'!$A:$A, 0))&gt;0, -(10*INDEX('UA-normalized'!$D:$D, MATCH($A116, 'UA-normalized'!$A:$A, 0))-INDEX('UA-normalized'!$E:$E, MATCH($A116, 'UA-normalized'!$A:$A, 0))), 0), 0))+(IFERROR(IF(10*INDEX('KZ-normalized'!$D:$D, MATCH($A116, 'KZ-normalized'!$A:$A, 0))-INDEX('KZ-normalized'!$E:$E, MATCH($A116, 'KZ-normalized'!$A:$A, 0))&gt;0, -(10*INDEX('KZ-normalized'!$D:$D, MATCH($A116, 'KZ-normalized'!$A:$A, 0))-INDEX('KZ-normalized'!$E:$E, MATCH($A116, 'KZ-normalized'!$A:$A, 0))), 0), 0))+(IFERROR(IF(10*INDEX('UZ-normalized'!$D:$D, MATCH($A116, 'UZ-normalized'!$A:$A, 0))-INDEX('UZ-normalized'!$E:$E, MATCH($A116, 'UZ-normalized'!$A:$A, 0))&gt;0, -(10*INDEX('UZ-normalized'!$D:$D, MATCH($A116, 'UZ-normalized'!$A:$A, 0))-INDEX('UZ-normalized'!$E:$E, MATCH($A116, 'UZ-normalized'!$A:$A, 0))), 0), 0)))</f>
        <v>0</v>
      </c>
      <c r="Y116" s="6">
        <f>MIN(0, N116+(IFERROR(IF(11*INDEX('UA-normalized'!$D:$D, MATCH($A116, 'UA-normalized'!$A:$A, 0))-INDEX('UA-normalized'!$E:$E, MATCH($A116, 'UA-normalized'!$A:$A, 0))&gt;0, -(11*INDEX('UA-normalized'!$D:$D, MATCH($A116, 'UA-normalized'!$A:$A, 0))-INDEX('UA-normalized'!$E:$E, MATCH($A116, 'UA-normalized'!$A:$A, 0))), 0), 0))+(IFERROR(IF(11*INDEX('KZ-normalized'!$D:$D, MATCH($A116, 'KZ-normalized'!$A:$A, 0))-INDEX('KZ-normalized'!$E:$E, MATCH($A116, 'KZ-normalized'!$A:$A, 0))&gt;0, -(11*INDEX('KZ-normalized'!$D:$D, MATCH($A116, 'KZ-normalized'!$A:$A, 0))-INDEX('KZ-normalized'!$E:$E, MATCH($A116, 'KZ-normalized'!$A:$A, 0))), 0), 0))+(IFERROR(IF(11*INDEX('UZ-normalized'!$D:$D, MATCH($A116, 'UZ-normalized'!$A:$A, 0))-INDEX('UZ-normalized'!$E:$E, MATCH($A116, 'UZ-normalized'!$A:$A, 0))&gt;0, -(11*INDEX('UZ-normalized'!$D:$D, MATCH($A116, 'UZ-normalized'!$A:$A, 0))-INDEX('UZ-normalized'!$E:$E, MATCH($A116, 'UZ-normalized'!$A:$A, 0))), 0), 0)))</f>
        <v>0</v>
      </c>
      <c r="Z116" s="6">
        <f>MIN(0, N116+(IFERROR(IF(12*INDEX('UA-normalized'!$D:$D, MATCH($A116, 'UA-normalized'!$A:$A, 0))-INDEX('UA-normalized'!$E:$E, MATCH($A116, 'UA-normalized'!$A:$A, 0))&gt;0, -(12*INDEX('UA-normalized'!$D:$D, MATCH($A116, 'UA-normalized'!$A:$A, 0))-INDEX('UA-normalized'!$E:$E, MATCH($A116, 'UA-normalized'!$A:$A, 0))), 0), 0))+(IFERROR(IF(12*INDEX('KZ-normalized'!$D:$D, MATCH($A116, 'KZ-normalized'!$A:$A, 0))-INDEX('KZ-normalized'!$E:$E, MATCH($A116, 'KZ-normalized'!$A:$A, 0))&gt;0, -(12*INDEX('KZ-normalized'!$D:$D, MATCH($A116, 'KZ-normalized'!$A:$A, 0))-INDEX('KZ-normalized'!$E:$E, MATCH($A116, 'KZ-normalized'!$A:$A, 0))), 0), 0))+(IFERROR(IF(12*INDEX('UZ-normalized'!$D:$D, MATCH($A116, 'UZ-normalized'!$A:$A, 0))-INDEX('UZ-normalized'!$E:$E, MATCH($A116, 'UZ-normalized'!$A:$A, 0))&gt;0, -(12*INDEX('UZ-normalized'!$D:$D, MATCH($A116, 'UZ-normalized'!$A:$A, 0))-INDEX('UZ-normalized'!$E:$E, MATCH($A116, 'UZ-normalized'!$A:$A, 0))), 0), 0)))</f>
        <v>0</v>
      </c>
      <c r="AA116" s="6">
        <f>MIN(0, N116+(IFERROR(IF(13*INDEX('UA-normalized'!$D:$D, MATCH($A116, 'UA-normalized'!$A:$A, 0))-INDEX('UA-normalized'!$E:$E, MATCH($A116, 'UA-normalized'!$A:$A, 0))&gt;0, -(13*INDEX('UA-normalized'!$D:$D, MATCH($A116, 'UA-normalized'!$A:$A, 0))-INDEX('UA-normalized'!$E:$E, MATCH($A116, 'UA-normalized'!$A:$A, 0))), 0), 0))+(IFERROR(IF(13*INDEX('KZ-normalized'!$D:$D, MATCH($A116, 'KZ-normalized'!$A:$A, 0))-INDEX('KZ-normalized'!$E:$E, MATCH($A116, 'KZ-normalized'!$A:$A, 0))&gt;0, -(13*INDEX('KZ-normalized'!$D:$D, MATCH($A116, 'KZ-normalized'!$A:$A, 0))-INDEX('KZ-normalized'!$E:$E, MATCH($A116, 'KZ-normalized'!$A:$A, 0))), 0), 0))+(IFERROR(IF(13*INDEX('UZ-normalized'!$D:$D, MATCH($A116, 'UZ-normalized'!$A:$A, 0))-INDEX('UZ-normalized'!$E:$E, MATCH($A116, 'UZ-normalized'!$A:$A, 0))&gt;0, -(13*INDEX('UZ-normalized'!$D:$D, MATCH($A116, 'UZ-normalized'!$A:$A, 0))-INDEX('UZ-normalized'!$E:$E, MATCH($A116, 'UZ-normalized'!$A:$A, 0))), 0), 0)))</f>
        <v>0</v>
      </c>
      <c r="AB116" s="6">
        <f>MIN(0, N116+(IFERROR(IF(14*INDEX('UA-normalized'!$D:$D, MATCH($A116, 'UA-normalized'!$A:$A, 0))-INDEX('UA-normalized'!$E:$E, MATCH($A116, 'UA-normalized'!$A:$A, 0))&gt;0, -(14*INDEX('UA-normalized'!$D:$D, MATCH($A116, 'UA-normalized'!$A:$A, 0))-INDEX('UA-normalized'!$E:$E, MATCH($A116, 'UA-normalized'!$A:$A, 0))), 0), 0))+(IFERROR(IF(14*INDEX('KZ-normalized'!$D:$D, MATCH($A116, 'KZ-normalized'!$A:$A, 0))-INDEX('KZ-normalized'!$E:$E, MATCH($A116, 'KZ-normalized'!$A:$A, 0))&gt;0, -(14*INDEX('KZ-normalized'!$D:$D, MATCH($A116, 'KZ-normalized'!$A:$A, 0))-INDEX('KZ-normalized'!$E:$E, MATCH($A116, 'KZ-normalized'!$A:$A, 0))), 0), 0))+(IFERROR(IF(14*INDEX('UZ-normalized'!$D:$D, MATCH($A116, 'UZ-normalized'!$A:$A, 0))-INDEX('UZ-normalized'!$E:$E, MATCH($A116, 'UZ-normalized'!$A:$A, 0))&gt;0, -(14*INDEX('UZ-normalized'!$D:$D, MATCH($A116, 'UZ-normalized'!$A:$A, 0))-INDEX('UZ-normalized'!$E:$E, MATCH($A116, 'UZ-normalized'!$A:$A, 0))), 0), 0)))</f>
        <v>0</v>
      </c>
      <c r="AC116" s="6">
        <f>MIN(0, N116+(IFERROR(IF(15*INDEX('UA-normalized'!$D:$D, MATCH($A116, 'UA-normalized'!$A:$A, 0))-INDEX('UA-normalized'!$E:$E, MATCH($A116, 'UA-normalized'!$A:$A, 0))&gt;0, -(15*INDEX('UA-normalized'!$D:$D, MATCH($A116, 'UA-normalized'!$A:$A, 0))-INDEX('UA-normalized'!$E:$E, MATCH($A116, 'UA-normalized'!$A:$A, 0))), 0), 0))+(IFERROR(IF(15*INDEX('KZ-normalized'!$D:$D, MATCH($A116, 'KZ-normalized'!$A:$A, 0))-INDEX('KZ-normalized'!$E:$E, MATCH($A116, 'KZ-normalized'!$A:$A, 0))&gt;0, -(15*INDEX('KZ-normalized'!$D:$D, MATCH($A116, 'KZ-normalized'!$A:$A, 0))-INDEX('KZ-normalized'!$E:$E, MATCH($A116, 'KZ-normalized'!$A:$A, 0))), 0), 0))+(IFERROR(IF(15*INDEX('UZ-normalized'!$D:$D, MATCH($A116, 'UZ-normalized'!$A:$A, 0))-INDEX('UZ-normalized'!$E:$E, MATCH($A116, 'UZ-normalized'!$A:$A, 0))&gt;0, -(15*INDEX('UZ-normalized'!$D:$D, MATCH($A116, 'UZ-normalized'!$A:$A, 0))-INDEX('UZ-normalized'!$E:$E, MATCH($A116, 'UZ-normalized'!$A:$A, 0))), 0), 0)))</f>
        <v>0</v>
      </c>
      <c r="AD116" s="6">
        <f>MIN(0, N116+(IFERROR(IF(16*INDEX('UA-normalized'!$D:$D, MATCH($A116, 'UA-normalized'!$A:$A, 0))-INDEX('UA-normalized'!$E:$E, MATCH($A116, 'UA-normalized'!$A:$A, 0))&gt;0, -(16*INDEX('UA-normalized'!$D:$D, MATCH($A116, 'UA-normalized'!$A:$A, 0))-INDEX('UA-normalized'!$E:$E, MATCH($A116, 'UA-normalized'!$A:$A, 0))), 0), 0))+(IFERROR(IF(16*INDEX('KZ-normalized'!$D:$D, MATCH($A116, 'KZ-normalized'!$A:$A, 0))-INDEX('KZ-normalized'!$E:$E, MATCH($A116, 'KZ-normalized'!$A:$A, 0))&gt;0, -(16*INDEX('KZ-normalized'!$D:$D, MATCH($A116, 'KZ-normalized'!$A:$A, 0))-INDEX('KZ-normalized'!$E:$E, MATCH($A116, 'KZ-normalized'!$A:$A, 0))), 0), 0))+(IFERROR(IF(16*INDEX('UZ-normalized'!$D:$D, MATCH($A116, 'UZ-normalized'!$A:$A, 0))-INDEX('UZ-normalized'!$E:$E, MATCH($A116, 'UZ-normalized'!$A:$A, 0))&gt;0, -(16*INDEX('UZ-normalized'!$D:$D, MATCH($A116, 'UZ-normalized'!$A:$A, 0))-INDEX('UZ-normalized'!$E:$E, MATCH($A116, 'UZ-normalized'!$A:$A, 0))), 0), 0)))</f>
        <v>0</v>
      </c>
      <c r="AE116" s="6">
        <f>MIN(0, N116+(IFERROR(IF(17*INDEX('UA-normalized'!$D:$D, MATCH($A116, 'UA-normalized'!$A:$A, 0))-INDEX('UA-normalized'!$E:$E, MATCH($A116, 'UA-normalized'!$A:$A, 0))&gt;0, -(17*INDEX('UA-normalized'!$D:$D, MATCH($A116, 'UA-normalized'!$A:$A, 0))-INDEX('UA-normalized'!$E:$E, MATCH($A116, 'UA-normalized'!$A:$A, 0))), 0), 0))+(IFERROR(IF(17*INDEX('KZ-normalized'!$D:$D, MATCH($A116, 'KZ-normalized'!$A:$A, 0))-INDEX('KZ-normalized'!$E:$E, MATCH($A116, 'KZ-normalized'!$A:$A, 0))&gt;0, -(17*INDEX('KZ-normalized'!$D:$D, MATCH($A116, 'KZ-normalized'!$A:$A, 0))-INDEX('KZ-normalized'!$E:$E, MATCH($A116, 'KZ-normalized'!$A:$A, 0))), 0), 0))+(IFERROR(IF(17*INDEX('UZ-normalized'!$D:$D, MATCH($A116, 'UZ-normalized'!$A:$A, 0))-INDEX('UZ-normalized'!$E:$E, MATCH($A116, 'UZ-normalized'!$A:$A, 0))&gt;0, -(17*INDEX('UZ-normalized'!$D:$D, MATCH($A116, 'UZ-normalized'!$A:$A, 0))-INDEX('UZ-normalized'!$E:$E, MATCH($A116, 'UZ-normalized'!$A:$A, 0))), 0), 0)))</f>
        <v>0</v>
      </c>
      <c r="AF116" s="6">
        <f>MIN(0, N116+(IFERROR(IF(18*INDEX('UA-normalized'!$D:$D, MATCH($A116, 'UA-normalized'!$A:$A, 0))-INDEX('UA-normalized'!$E:$E, MATCH($A116, 'UA-normalized'!$A:$A, 0))&gt;0, -(18*INDEX('UA-normalized'!$D:$D, MATCH($A116, 'UA-normalized'!$A:$A, 0))-INDEX('UA-normalized'!$E:$E, MATCH($A116, 'UA-normalized'!$A:$A, 0))), 0), 0))+(IFERROR(IF(18*INDEX('KZ-normalized'!$D:$D, MATCH($A116, 'KZ-normalized'!$A:$A, 0))-INDEX('KZ-normalized'!$E:$E, MATCH($A116, 'KZ-normalized'!$A:$A, 0))&gt;0, -(18*INDEX('KZ-normalized'!$D:$D, MATCH($A116, 'KZ-normalized'!$A:$A, 0))-INDEX('KZ-normalized'!$E:$E, MATCH($A116, 'KZ-normalized'!$A:$A, 0))), 0), 0))+(IFERROR(IF(18*INDEX('UZ-normalized'!$D:$D, MATCH($A116, 'UZ-normalized'!$A:$A, 0))-INDEX('UZ-normalized'!$E:$E, MATCH($A116, 'UZ-normalized'!$A:$A, 0))&gt;0, -(18*INDEX('UZ-normalized'!$D:$D, MATCH($A116, 'UZ-normalized'!$A:$A, 0))-INDEX('UZ-normalized'!$E:$E, MATCH($A116, 'UZ-normalized'!$A:$A, 0))), 0), 0)))</f>
        <v>0</v>
      </c>
      <c r="AG116" s="6">
        <f>MIN(0, N116+(IFERROR(IF(19*INDEX('UA-normalized'!$D:$D, MATCH($A116, 'UA-normalized'!$A:$A, 0))-INDEX('UA-normalized'!$E:$E, MATCH($A116, 'UA-normalized'!$A:$A, 0))&gt;0, -(19*INDEX('UA-normalized'!$D:$D, MATCH($A116, 'UA-normalized'!$A:$A, 0))-INDEX('UA-normalized'!$E:$E, MATCH($A116, 'UA-normalized'!$A:$A, 0))), 0), 0))+(IFERROR(IF(19*INDEX('KZ-normalized'!$D:$D, MATCH($A116, 'KZ-normalized'!$A:$A, 0))-INDEX('KZ-normalized'!$E:$E, MATCH($A116, 'KZ-normalized'!$A:$A, 0))&gt;0, -(19*INDEX('KZ-normalized'!$D:$D, MATCH($A116, 'KZ-normalized'!$A:$A, 0))-INDEX('KZ-normalized'!$E:$E, MATCH($A116, 'KZ-normalized'!$A:$A, 0))), 0), 0))+(IFERROR(IF(19*INDEX('UZ-normalized'!$D:$D, MATCH($A116, 'UZ-normalized'!$A:$A, 0))-INDEX('UZ-normalized'!$E:$E, MATCH($A116, 'UZ-normalized'!$A:$A, 0))&gt;0, -(19*INDEX('UZ-normalized'!$D:$D, MATCH($A116, 'UZ-normalized'!$A:$A, 0))-INDEX('UZ-normalized'!$E:$E, MATCH($A116, 'UZ-normalized'!$A:$A, 0))), 0), 0)))</f>
        <v>0</v>
      </c>
      <c r="AH116" s="6">
        <f>MIN(0, N116+(IFERROR(IF(20*INDEX('UA-normalized'!$D:$D, MATCH($A116, 'UA-normalized'!$A:$A, 0))-INDEX('UA-normalized'!$E:$E, MATCH($A116, 'UA-normalized'!$A:$A, 0))&gt;0, -(20*INDEX('UA-normalized'!$D:$D, MATCH($A116, 'UA-normalized'!$A:$A, 0))-INDEX('UA-normalized'!$E:$E, MATCH($A116, 'UA-normalized'!$A:$A, 0))), 0), 0))+(IFERROR(IF(20*INDEX('KZ-normalized'!$D:$D, MATCH($A116, 'KZ-normalized'!$A:$A, 0))-INDEX('KZ-normalized'!$E:$E, MATCH($A116, 'KZ-normalized'!$A:$A, 0))&gt;0, -(20*INDEX('KZ-normalized'!$D:$D, MATCH($A116, 'KZ-normalized'!$A:$A, 0))-INDEX('KZ-normalized'!$E:$E, MATCH($A116, 'KZ-normalized'!$A:$A, 0))), 0), 0))+(IFERROR(IF(20*INDEX('UZ-normalized'!$D:$D, MATCH($A116, 'UZ-normalized'!$A:$A, 0))-INDEX('UZ-normalized'!$E:$E, MATCH($A116, 'UZ-normalized'!$A:$A, 0))&gt;0, -(20*INDEX('UZ-normalized'!$D:$D, MATCH($A116, 'UZ-normalized'!$A:$A, 0))-INDEX('UZ-normalized'!$E:$E, MATCH($A116, 'UZ-normalized'!$A:$A, 0))), 0), 0)))</f>
        <v>0</v>
      </c>
      <c r="AI116" s="6">
        <f>MIN(0, N116+(IFERROR(IF(21*INDEX('UA-normalized'!$D:$D, MATCH($A116, 'UA-normalized'!$A:$A, 0))-INDEX('UA-normalized'!$E:$E, MATCH($A116, 'UA-normalized'!$A:$A, 0))&gt;0, -(21*INDEX('UA-normalized'!$D:$D, MATCH($A116, 'UA-normalized'!$A:$A, 0))-INDEX('UA-normalized'!$E:$E, MATCH($A116, 'UA-normalized'!$A:$A, 0))), 0), 0))+(IFERROR(IF(21*INDEX('KZ-normalized'!$D:$D, MATCH($A116, 'KZ-normalized'!$A:$A, 0))-INDEX('KZ-normalized'!$E:$E, MATCH($A116, 'KZ-normalized'!$A:$A, 0))&gt;0, -(21*INDEX('KZ-normalized'!$D:$D, MATCH($A116, 'KZ-normalized'!$A:$A, 0))-INDEX('KZ-normalized'!$E:$E, MATCH($A116, 'KZ-normalized'!$A:$A, 0))), 0), 0))+(IFERROR(IF(21*INDEX('UZ-normalized'!$D:$D, MATCH($A116, 'UZ-normalized'!$A:$A, 0))-INDEX('UZ-normalized'!$E:$E, MATCH($A116, 'UZ-normalized'!$A:$A, 0))&gt;0, -(21*INDEX('UZ-normalized'!$D:$D, MATCH($A116, 'UZ-normalized'!$A:$A, 0))-INDEX('UZ-normalized'!$E:$E, MATCH($A116, 'UZ-normalized'!$A:$A, 0))), 0), 0)))</f>
        <v>0</v>
      </c>
      <c r="AJ116" s="6">
        <f>MIN(0, N116+(IFERROR(IF(22*INDEX('UA-normalized'!$D:$D, MATCH($A116, 'UA-normalized'!$A:$A, 0))-INDEX('UA-normalized'!$E:$E, MATCH($A116, 'UA-normalized'!$A:$A, 0))&gt;0, -(22*INDEX('UA-normalized'!$D:$D, MATCH($A116, 'UA-normalized'!$A:$A, 0))-INDEX('UA-normalized'!$E:$E, MATCH($A116, 'UA-normalized'!$A:$A, 0))), 0), 0))+(IFERROR(IF(22*INDEX('KZ-normalized'!$D:$D, MATCH($A116, 'KZ-normalized'!$A:$A, 0))-INDEX('KZ-normalized'!$E:$E, MATCH($A116, 'KZ-normalized'!$A:$A, 0))&gt;0, -(22*INDEX('KZ-normalized'!$D:$D, MATCH($A116, 'KZ-normalized'!$A:$A, 0))-INDEX('KZ-normalized'!$E:$E, MATCH($A116, 'KZ-normalized'!$A:$A, 0))), 0), 0))+(IFERROR(IF(22*INDEX('UZ-normalized'!$D:$D, MATCH($A116, 'UZ-normalized'!$A:$A, 0))-INDEX('UZ-normalized'!$E:$E, MATCH($A116, 'UZ-normalized'!$A:$A, 0))&gt;0, -(22*INDEX('UZ-normalized'!$D:$D, MATCH($A116, 'UZ-normalized'!$A:$A, 0))-INDEX('UZ-normalized'!$E:$E, MATCH($A116, 'UZ-normalized'!$A:$A, 0))), 0), 0)))</f>
        <v>0</v>
      </c>
      <c r="AK116" s="6">
        <f>MIN(0, N116+(IFERROR(IF(23*INDEX('UA-normalized'!$D:$D, MATCH($A116, 'UA-normalized'!$A:$A, 0))-INDEX('UA-normalized'!$E:$E, MATCH($A116, 'UA-normalized'!$A:$A, 0))&gt;0, -(23*INDEX('UA-normalized'!$D:$D, MATCH($A116, 'UA-normalized'!$A:$A, 0))-INDEX('UA-normalized'!$E:$E, MATCH($A116, 'UA-normalized'!$A:$A, 0))), 0), 0))+(IFERROR(IF(23*INDEX('KZ-normalized'!$D:$D, MATCH($A116, 'KZ-normalized'!$A:$A, 0))-INDEX('KZ-normalized'!$E:$E, MATCH($A116, 'KZ-normalized'!$A:$A, 0))&gt;0, -(23*INDEX('KZ-normalized'!$D:$D, MATCH($A116, 'KZ-normalized'!$A:$A, 0))-INDEX('KZ-normalized'!$E:$E, MATCH($A116, 'KZ-normalized'!$A:$A, 0))), 0), 0))+(IFERROR(IF(23*INDEX('UZ-normalized'!$D:$D, MATCH($A116, 'UZ-normalized'!$A:$A, 0))-INDEX('UZ-normalized'!$E:$E, MATCH($A116, 'UZ-normalized'!$A:$A, 0))&gt;0, -(23*INDEX('UZ-normalized'!$D:$D, MATCH($A116, 'UZ-normalized'!$A:$A, 0))-INDEX('UZ-normalized'!$E:$E, MATCH($A116, 'UZ-normalized'!$A:$A, 0))), 0), 0)))</f>
        <v>0</v>
      </c>
      <c r="AL116" s="6">
        <f>MIN(0, N116+(IFERROR(IF(24*INDEX('UA-normalized'!$D:$D, MATCH($A116, 'UA-normalized'!$A:$A, 0))-INDEX('UA-normalized'!$E:$E, MATCH($A116, 'UA-normalized'!$A:$A, 0))&gt;0, -(24*INDEX('UA-normalized'!$D:$D, MATCH($A116, 'UA-normalized'!$A:$A, 0))-INDEX('UA-normalized'!$E:$E, MATCH($A116, 'UA-normalized'!$A:$A, 0))), 0), 0))+(IFERROR(IF(24*INDEX('KZ-normalized'!$D:$D, MATCH($A116, 'KZ-normalized'!$A:$A, 0))-INDEX('KZ-normalized'!$E:$E, MATCH($A116, 'KZ-normalized'!$A:$A, 0))&gt;0, -(24*INDEX('KZ-normalized'!$D:$D, MATCH($A116, 'KZ-normalized'!$A:$A, 0))-INDEX('KZ-normalized'!$E:$E, MATCH($A116, 'KZ-normalized'!$A:$A, 0))), 0), 0))+(IFERROR(IF(24*INDEX('UZ-normalized'!$D:$D, MATCH($A116, 'UZ-normalized'!$A:$A, 0))-INDEX('UZ-normalized'!$E:$E, MATCH($A116, 'UZ-normalized'!$A:$A, 0))&gt;0, -(24*INDEX('UZ-normalized'!$D:$D, MATCH($A116, 'UZ-normalized'!$A:$A, 0))-INDEX('UZ-normalized'!$E:$E, MATCH($A116, 'UZ-normalized'!$A:$A, 0))), 0), 0)))</f>
        <v>0</v>
      </c>
      <c r="AM116" s="6">
        <f>MIN(0, N116+(IFERROR(IF(25*INDEX('UA-normalized'!$D:$D, MATCH($A116, 'UA-normalized'!$A:$A, 0))-INDEX('UA-normalized'!$E:$E, MATCH($A116, 'UA-normalized'!$A:$A, 0))&gt;0, -(25*INDEX('UA-normalized'!$D:$D, MATCH($A116, 'UA-normalized'!$A:$A, 0))-INDEX('UA-normalized'!$E:$E, MATCH($A116, 'UA-normalized'!$A:$A, 0))), 0), 0))+(IFERROR(IF(25*INDEX('KZ-normalized'!$D:$D, MATCH($A116, 'KZ-normalized'!$A:$A, 0))-INDEX('KZ-normalized'!$E:$E, MATCH($A116, 'KZ-normalized'!$A:$A, 0))&gt;0, -(25*INDEX('KZ-normalized'!$D:$D, MATCH($A116, 'KZ-normalized'!$A:$A, 0))-INDEX('KZ-normalized'!$E:$E, MATCH($A116, 'KZ-normalized'!$A:$A, 0))), 0), 0))+(IFERROR(IF(25*INDEX('UZ-normalized'!$D:$D, MATCH($A116, 'UZ-normalized'!$A:$A, 0))-INDEX('UZ-normalized'!$E:$E, MATCH($A116, 'UZ-normalized'!$A:$A, 0))&gt;0, -(25*INDEX('UZ-normalized'!$D:$D, MATCH($A116, 'UZ-normalized'!$A:$A, 0))-INDEX('UZ-normalized'!$E:$E, MATCH($A116, 'UZ-normalized'!$A:$A, 0))), 0), 0)))</f>
        <v>0</v>
      </c>
      <c r="AN116" s="6">
        <f>MIN(0, N116+(IFERROR(IF(26*INDEX('UA-normalized'!$D:$D, MATCH($A116, 'UA-normalized'!$A:$A, 0))-INDEX('UA-normalized'!$E:$E, MATCH($A116, 'UA-normalized'!$A:$A, 0))&gt;0, -(26*INDEX('UA-normalized'!$D:$D, MATCH($A116, 'UA-normalized'!$A:$A, 0))-INDEX('UA-normalized'!$E:$E, MATCH($A116, 'UA-normalized'!$A:$A, 0))), 0), 0))+(IFERROR(IF(26*INDEX('KZ-normalized'!$D:$D, MATCH($A116, 'KZ-normalized'!$A:$A, 0))-INDEX('KZ-normalized'!$E:$E, MATCH($A116, 'KZ-normalized'!$A:$A, 0))&gt;0, -(26*INDEX('KZ-normalized'!$D:$D, MATCH($A116, 'KZ-normalized'!$A:$A, 0))-INDEX('KZ-normalized'!$E:$E, MATCH($A116, 'KZ-normalized'!$A:$A, 0))), 0), 0))+(IFERROR(IF(26*INDEX('UZ-normalized'!$D:$D, MATCH($A116, 'UZ-normalized'!$A:$A, 0))-INDEX('UZ-normalized'!$E:$E, MATCH($A116, 'UZ-normalized'!$A:$A, 0))&gt;0, -(26*INDEX('UZ-normalized'!$D:$D, MATCH($A116, 'UZ-normalized'!$A:$A, 0))-INDEX('UZ-normalized'!$E:$E, MATCH($A116, 'UZ-normalized'!$A:$A, 0))), 0), 0)))</f>
        <v>0</v>
      </c>
      <c r="AO116" s="6">
        <f>MIN(0, N116+(IFERROR(IF(27*INDEX('UA-normalized'!$D:$D, MATCH($A116, 'UA-normalized'!$A:$A, 0))-INDEX('UA-normalized'!$E:$E, MATCH($A116, 'UA-normalized'!$A:$A, 0))&gt;0, -(27*INDEX('UA-normalized'!$D:$D, MATCH($A116, 'UA-normalized'!$A:$A, 0))-INDEX('UA-normalized'!$E:$E, MATCH($A116, 'UA-normalized'!$A:$A, 0))), 0), 0))+(IFERROR(IF(27*INDEX('KZ-normalized'!$D:$D, MATCH($A116, 'KZ-normalized'!$A:$A, 0))-INDEX('KZ-normalized'!$E:$E, MATCH($A116, 'KZ-normalized'!$A:$A, 0))&gt;0, -(27*INDEX('KZ-normalized'!$D:$D, MATCH($A116, 'KZ-normalized'!$A:$A, 0))-INDEX('KZ-normalized'!$E:$E, MATCH($A116, 'KZ-normalized'!$A:$A, 0))), 0), 0))+(IFERROR(IF(27*INDEX('UZ-normalized'!$D:$D, MATCH($A116, 'UZ-normalized'!$A:$A, 0))-INDEX('UZ-normalized'!$E:$E, MATCH($A116, 'UZ-normalized'!$A:$A, 0))&gt;0, -(27*INDEX('UZ-normalized'!$D:$D, MATCH($A116, 'UZ-normalized'!$A:$A, 0))-INDEX('UZ-normalized'!$E:$E, MATCH($A116, 'UZ-normalized'!$A:$A, 0))), 0), 0)))</f>
        <v>-0.25</v>
      </c>
      <c r="AP116" s="6">
        <f>MIN(0, N116+(IFERROR(IF(28*INDEX('UA-normalized'!$D:$D, MATCH($A116, 'UA-normalized'!$A:$A, 0))-INDEX('UA-normalized'!$E:$E, MATCH($A116, 'UA-normalized'!$A:$A, 0))&gt;0, -(28*INDEX('UA-normalized'!$D:$D, MATCH($A116, 'UA-normalized'!$A:$A, 0))-INDEX('UA-normalized'!$E:$E, MATCH($A116, 'UA-normalized'!$A:$A, 0))), 0), 0))+(IFERROR(IF(28*INDEX('KZ-normalized'!$D:$D, MATCH($A116, 'KZ-normalized'!$A:$A, 0))-INDEX('KZ-normalized'!$E:$E, MATCH($A116, 'KZ-normalized'!$A:$A, 0))&gt;0, -(28*INDEX('KZ-normalized'!$D:$D, MATCH($A116, 'KZ-normalized'!$A:$A, 0))-INDEX('KZ-normalized'!$E:$E, MATCH($A116, 'KZ-normalized'!$A:$A, 0))), 0), 0))+(IFERROR(IF(28*INDEX('UZ-normalized'!$D:$D, MATCH($A116, 'UZ-normalized'!$A:$A, 0))-INDEX('UZ-normalized'!$E:$E, MATCH($A116, 'UZ-normalized'!$A:$A, 0))&gt;0, -(28*INDEX('UZ-normalized'!$D:$D, MATCH($A116, 'UZ-normalized'!$A:$A, 0))-INDEX('UZ-normalized'!$E:$E, MATCH($A116, 'UZ-normalized'!$A:$A, 0))), 0), 0)))</f>
        <v>-1</v>
      </c>
      <c r="AQ116" s="6">
        <f>MIN(0, N116+(IFERROR(IF(29*INDEX('UA-normalized'!$D:$D, MATCH($A116, 'UA-normalized'!$A:$A, 0))-INDEX('UA-normalized'!$E:$E, MATCH($A116, 'UA-normalized'!$A:$A, 0))&gt;0, -(29*INDEX('UA-normalized'!$D:$D, MATCH($A116, 'UA-normalized'!$A:$A, 0))-INDEX('UA-normalized'!$E:$E, MATCH($A116, 'UA-normalized'!$A:$A, 0))), 0), 0))+(IFERROR(IF(29*INDEX('KZ-normalized'!$D:$D, MATCH($A116, 'KZ-normalized'!$A:$A, 0))-INDEX('KZ-normalized'!$E:$E, MATCH($A116, 'KZ-normalized'!$A:$A, 0))&gt;0, -(29*INDEX('KZ-normalized'!$D:$D, MATCH($A116, 'KZ-normalized'!$A:$A, 0))-INDEX('KZ-normalized'!$E:$E, MATCH($A116, 'KZ-normalized'!$A:$A, 0))), 0), 0))+(IFERROR(IF(29*INDEX('UZ-normalized'!$D:$D, MATCH($A116, 'UZ-normalized'!$A:$A, 0))-INDEX('UZ-normalized'!$E:$E, MATCH($A116, 'UZ-normalized'!$A:$A, 0))&gt;0, -(29*INDEX('UZ-normalized'!$D:$D, MATCH($A116, 'UZ-normalized'!$A:$A, 0))-INDEX('UZ-normalized'!$E:$E, MATCH($A116, 'UZ-normalized'!$A:$A, 0))), 0), 0)))</f>
        <v>-1.75</v>
      </c>
      <c r="AR116" s="6">
        <f>MIN(0, N116+(IFERROR(IF(30*INDEX('UA-normalized'!$D:$D, MATCH($A116, 'UA-normalized'!$A:$A, 0))-INDEX('UA-normalized'!$E:$E, MATCH($A116, 'UA-normalized'!$A:$A, 0))&gt;0, -(30*INDEX('UA-normalized'!$D:$D, MATCH($A116, 'UA-normalized'!$A:$A, 0))-INDEX('UA-normalized'!$E:$E, MATCH($A116, 'UA-normalized'!$A:$A, 0))), 0), 0))+(IFERROR(IF(30*INDEX('KZ-normalized'!$D:$D, MATCH($A116, 'KZ-normalized'!$A:$A, 0))-INDEX('KZ-normalized'!$E:$E, MATCH($A116, 'KZ-normalized'!$A:$A, 0))&gt;0, -(30*INDEX('KZ-normalized'!$D:$D, MATCH($A116, 'KZ-normalized'!$A:$A, 0))-INDEX('KZ-normalized'!$E:$E, MATCH($A116, 'KZ-normalized'!$A:$A, 0))), 0), 0))+(IFERROR(IF(30*INDEX('UZ-normalized'!$D:$D, MATCH($A116, 'UZ-normalized'!$A:$A, 0))-INDEX('UZ-normalized'!$E:$E, MATCH($A116, 'UZ-normalized'!$A:$A, 0))&gt;0, -(30*INDEX('UZ-normalized'!$D:$D, MATCH($A116, 'UZ-normalized'!$A:$A, 0))-INDEX('UZ-normalized'!$E:$E, MATCH($A116, 'UZ-normalized'!$A:$A, 0))), 0), 0)))</f>
        <v>-2.5</v>
      </c>
    </row>
    <row r="117" spans="1:44" x14ac:dyDescent="0.25">
      <c r="A117" s="8" t="s">
        <v>287</v>
      </c>
      <c r="B117" s="8" t="s">
        <v>180</v>
      </c>
      <c r="C117" s="8" t="s">
        <v>281</v>
      </c>
      <c r="D117" s="8" t="s">
        <v>288</v>
      </c>
      <c r="N117">
        <f t="shared" si="1"/>
        <v>0</v>
      </c>
      <c r="O117" s="6">
        <f>MIN(0, N117+(IFERROR(IF(1*INDEX('UA-normalized'!$D:$D, MATCH($A117, 'UA-normalized'!$A:$A, 0))-INDEX('UA-normalized'!$E:$E, MATCH($A117, 'UA-normalized'!$A:$A, 0))&gt;0, -(1*INDEX('UA-normalized'!$D:$D, MATCH($A117, 'UA-normalized'!$A:$A, 0))-INDEX('UA-normalized'!$E:$E, MATCH($A117, 'UA-normalized'!$A:$A, 0))), 0), 0))+(IFERROR(IF(1*INDEX('KZ-normalized'!$D:$D, MATCH($A117, 'KZ-normalized'!$A:$A, 0))-INDEX('KZ-normalized'!$E:$E, MATCH($A117, 'KZ-normalized'!$A:$A, 0))&gt;0, -(1*INDEX('KZ-normalized'!$D:$D, MATCH($A117, 'KZ-normalized'!$A:$A, 0))-INDEX('KZ-normalized'!$E:$E, MATCH($A117, 'KZ-normalized'!$A:$A, 0))), 0), 0))+(IFERROR(IF(1*INDEX('UZ-normalized'!$D:$D, MATCH($A117, 'UZ-normalized'!$A:$A, 0))-INDEX('UZ-normalized'!$E:$E, MATCH($A117, 'UZ-normalized'!$A:$A, 0))&gt;0, -(1*INDEX('UZ-normalized'!$D:$D, MATCH($A117, 'UZ-normalized'!$A:$A, 0))-INDEX('UZ-normalized'!$E:$E, MATCH($A117, 'UZ-normalized'!$A:$A, 0))), 0), 0)))</f>
        <v>0</v>
      </c>
      <c r="P117" s="6">
        <f>MIN(0, N117+(IFERROR(IF(2*INDEX('UA-normalized'!$D:$D, MATCH($A117, 'UA-normalized'!$A:$A, 0))-INDEX('UA-normalized'!$E:$E, MATCH($A117, 'UA-normalized'!$A:$A, 0))&gt;0, -(2*INDEX('UA-normalized'!$D:$D, MATCH($A117, 'UA-normalized'!$A:$A, 0))-INDEX('UA-normalized'!$E:$E, MATCH($A117, 'UA-normalized'!$A:$A, 0))), 0), 0))+(IFERROR(IF(2*INDEX('KZ-normalized'!$D:$D, MATCH($A117, 'KZ-normalized'!$A:$A, 0))-INDEX('KZ-normalized'!$E:$E, MATCH($A117, 'KZ-normalized'!$A:$A, 0))&gt;0, -(2*INDEX('KZ-normalized'!$D:$D, MATCH($A117, 'KZ-normalized'!$A:$A, 0))-INDEX('KZ-normalized'!$E:$E, MATCH($A117, 'KZ-normalized'!$A:$A, 0))), 0), 0))+(IFERROR(IF(2*INDEX('UZ-normalized'!$D:$D, MATCH($A117, 'UZ-normalized'!$A:$A, 0))-INDEX('UZ-normalized'!$E:$E, MATCH($A117, 'UZ-normalized'!$A:$A, 0))&gt;0, -(2*INDEX('UZ-normalized'!$D:$D, MATCH($A117, 'UZ-normalized'!$A:$A, 0))-INDEX('UZ-normalized'!$E:$E, MATCH($A117, 'UZ-normalized'!$A:$A, 0))), 0), 0)))</f>
        <v>0</v>
      </c>
      <c r="Q117" s="6">
        <f>MIN(0, N117+(IFERROR(IF(3*INDEX('UA-normalized'!$D:$D, MATCH($A117, 'UA-normalized'!$A:$A, 0))-INDEX('UA-normalized'!$E:$E, MATCH($A117, 'UA-normalized'!$A:$A, 0))&gt;0, -(3*INDEX('UA-normalized'!$D:$D, MATCH($A117, 'UA-normalized'!$A:$A, 0))-INDEX('UA-normalized'!$E:$E, MATCH($A117, 'UA-normalized'!$A:$A, 0))), 0), 0))+(IFERROR(IF(3*INDEX('KZ-normalized'!$D:$D, MATCH($A117, 'KZ-normalized'!$A:$A, 0))-INDEX('KZ-normalized'!$E:$E, MATCH($A117, 'KZ-normalized'!$A:$A, 0))&gt;0, -(3*INDEX('KZ-normalized'!$D:$D, MATCH($A117, 'KZ-normalized'!$A:$A, 0))-INDEX('KZ-normalized'!$E:$E, MATCH($A117, 'KZ-normalized'!$A:$A, 0))), 0), 0))+(IFERROR(IF(3*INDEX('UZ-normalized'!$D:$D, MATCH($A117, 'UZ-normalized'!$A:$A, 0))-INDEX('UZ-normalized'!$E:$E, MATCH($A117, 'UZ-normalized'!$A:$A, 0))&gt;0, -(3*INDEX('UZ-normalized'!$D:$D, MATCH($A117, 'UZ-normalized'!$A:$A, 0))-INDEX('UZ-normalized'!$E:$E, MATCH($A117, 'UZ-normalized'!$A:$A, 0))), 0), 0)))</f>
        <v>0</v>
      </c>
      <c r="R117" s="6">
        <f>MIN(0, N117+(IFERROR(IF(4*INDEX('UA-normalized'!$D:$D, MATCH($A117, 'UA-normalized'!$A:$A, 0))-INDEX('UA-normalized'!$E:$E, MATCH($A117, 'UA-normalized'!$A:$A, 0))&gt;0, -(4*INDEX('UA-normalized'!$D:$D, MATCH($A117, 'UA-normalized'!$A:$A, 0))-INDEX('UA-normalized'!$E:$E, MATCH($A117, 'UA-normalized'!$A:$A, 0))), 0), 0))+(IFERROR(IF(4*INDEX('KZ-normalized'!$D:$D, MATCH($A117, 'KZ-normalized'!$A:$A, 0))-INDEX('KZ-normalized'!$E:$E, MATCH($A117, 'KZ-normalized'!$A:$A, 0))&gt;0, -(4*INDEX('KZ-normalized'!$D:$D, MATCH($A117, 'KZ-normalized'!$A:$A, 0))-INDEX('KZ-normalized'!$E:$E, MATCH($A117, 'KZ-normalized'!$A:$A, 0))), 0), 0))+(IFERROR(IF(4*INDEX('UZ-normalized'!$D:$D, MATCH($A117, 'UZ-normalized'!$A:$A, 0))-INDEX('UZ-normalized'!$E:$E, MATCH($A117, 'UZ-normalized'!$A:$A, 0))&gt;0, -(4*INDEX('UZ-normalized'!$D:$D, MATCH($A117, 'UZ-normalized'!$A:$A, 0))-INDEX('UZ-normalized'!$E:$E, MATCH($A117, 'UZ-normalized'!$A:$A, 0))), 0), 0)))</f>
        <v>0</v>
      </c>
      <c r="S117" s="6">
        <f>MIN(0, N117+(IFERROR(IF(5*INDEX('UA-normalized'!$D:$D, MATCH($A117, 'UA-normalized'!$A:$A, 0))-INDEX('UA-normalized'!$E:$E, MATCH($A117, 'UA-normalized'!$A:$A, 0))&gt;0, -(5*INDEX('UA-normalized'!$D:$D, MATCH($A117, 'UA-normalized'!$A:$A, 0))-INDEX('UA-normalized'!$E:$E, MATCH($A117, 'UA-normalized'!$A:$A, 0))), 0), 0))+(IFERROR(IF(5*INDEX('KZ-normalized'!$D:$D, MATCH($A117, 'KZ-normalized'!$A:$A, 0))-INDEX('KZ-normalized'!$E:$E, MATCH($A117, 'KZ-normalized'!$A:$A, 0))&gt;0, -(5*INDEX('KZ-normalized'!$D:$D, MATCH($A117, 'KZ-normalized'!$A:$A, 0))-INDEX('KZ-normalized'!$E:$E, MATCH($A117, 'KZ-normalized'!$A:$A, 0))), 0), 0))+(IFERROR(IF(5*INDEX('UZ-normalized'!$D:$D, MATCH($A117, 'UZ-normalized'!$A:$A, 0))-INDEX('UZ-normalized'!$E:$E, MATCH($A117, 'UZ-normalized'!$A:$A, 0))&gt;0, -(5*INDEX('UZ-normalized'!$D:$D, MATCH($A117, 'UZ-normalized'!$A:$A, 0))-INDEX('UZ-normalized'!$E:$E, MATCH($A117, 'UZ-normalized'!$A:$A, 0))), 0), 0)))</f>
        <v>0</v>
      </c>
      <c r="T117" s="6">
        <f>MIN(0, N117+(IFERROR(IF(6*INDEX('UA-normalized'!$D:$D, MATCH($A117, 'UA-normalized'!$A:$A, 0))-INDEX('UA-normalized'!$E:$E, MATCH($A117, 'UA-normalized'!$A:$A, 0))&gt;0, -(6*INDEX('UA-normalized'!$D:$D, MATCH($A117, 'UA-normalized'!$A:$A, 0))-INDEX('UA-normalized'!$E:$E, MATCH($A117, 'UA-normalized'!$A:$A, 0))), 0), 0))+(IFERROR(IF(6*INDEX('KZ-normalized'!$D:$D, MATCH($A117, 'KZ-normalized'!$A:$A, 0))-INDEX('KZ-normalized'!$E:$E, MATCH($A117, 'KZ-normalized'!$A:$A, 0))&gt;0, -(6*INDEX('KZ-normalized'!$D:$D, MATCH($A117, 'KZ-normalized'!$A:$A, 0))-INDEX('KZ-normalized'!$E:$E, MATCH($A117, 'KZ-normalized'!$A:$A, 0))), 0), 0))+(IFERROR(IF(6*INDEX('UZ-normalized'!$D:$D, MATCH($A117, 'UZ-normalized'!$A:$A, 0))-INDEX('UZ-normalized'!$E:$E, MATCH($A117, 'UZ-normalized'!$A:$A, 0))&gt;0, -(6*INDEX('UZ-normalized'!$D:$D, MATCH($A117, 'UZ-normalized'!$A:$A, 0))-INDEX('UZ-normalized'!$E:$E, MATCH($A117, 'UZ-normalized'!$A:$A, 0))), 0), 0)))</f>
        <v>0</v>
      </c>
      <c r="U117" s="6">
        <f>MIN(0, N117+(IFERROR(IF(7*INDEX('UA-normalized'!$D:$D, MATCH($A117, 'UA-normalized'!$A:$A, 0))-INDEX('UA-normalized'!$E:$E, MATCH($A117, 'UA-normalized'!$A:$A, 0))&gt;0, -(7*INDEX('UA-normalized'!$D:$D, MATCH($A117, 'UA-normalized'!$A:$A, 0))-INDEX('UA-normalized'!$E:$E, MATCH($A117, 'UA-normalized'!$A:$A, 0))), 0), 0))+(IFERROR(IF(7*INDEX('KZ-normalized'!$D:$D, MATCH($A117, 'KZ-normalized'!$A:$A, 0))-INDEX('KZ-normalized'!$E:$E, MATCH($A117, 'KZ-normalized'!$A:$A, 0))&gt;0, -(7*INDEX('KZ-normalized'!$D:$D, MATCH($A117, 'KZ-normalized'!$A:$A, 0))-INDEX('KZ-normalized'!$E:$E, MATCH($A117, 'KZ-normalized'!$A:$A, 0))), 0), 0))+(IFERROR(IF(7*INDEX('UZ-normalized'!$D:$D, MATCH($A117, 'UZ-normalized'!$A:$A, 0))-INDEX('UZ-normalized'!$E:$E, MATCH($A117, 'UZ-normalized'!$A:$A, 0))&gt;0, -(7*INDEX('UZ-normalized'!$D:$D, MATCH($A117, 'UZ-normalized'!$A:$A, 0))-INDEX('UZ-normalized'!$E:$E, MATCH($A117, 'UZ-normalized'!$A:$A, 0))), 0), 0)))</f>
        <v>0</v>
      </c>
      <c r="V117" s="6">
        <f>MIN(0, N117+(IFERROR(IF(8*INDEX('UA-normalized'!$D:$D, MATCH($A117, 'UA-normalized'!$A:$A, 0))-INDEX('UA-normalized'!$E:$E, MATCH($A117, 'UA-normalized'!$A:$A, 0))&gt;0, -(8*INDEX('UA-normalized'!$D:$D, MATCH($A117, 'UA-normalized'!$A:$A, 0))-INDEX('UA-normalized'!$E:$E, MATCH($A117, 'UA-normalized'!$A:$A, 0))), 0), 0))+(IFERROR(IF(8*INDEX('KZ-normalized'!$D:$D, MATCH($A117, 'KZ-normalized'!$A:$A, 0))-INDEX('KZ-normalized'!$E:$E, MATCH($A117, 'KZ-normalized'!$A:$A, 0))&gt;0, -(8*INDEX('KZ-normalized'!$D:$D, MATCH($A117, 'KZ-normalized'!$A:$A, 0))-INDEX('KZ-normalized'!$E:$E, MATCH($A117, 'KZ-normalized'!$A:$A, 0))), 0), 0))+(IFERROR(IF(8*INDEX('UZ-normalized'!$D:$D, MATCH($A117, 'UZ-normalized'!$A:$A, 0))-INDEX('UZ-normalized'!$E:$E, MATCH($A117, 'UZ-normalized'!$A:$A, 0))&gt;0, -(8*INDEX('UZ-normalized'!$D:$D, MATCH($A117, 'UZ-normalized'!$A:$A, 0))-INDEX('UZ-normalized'!$E:$E, MATCH($A117, 'UZ-normalized'!$A:$A, 0))), 0), 0)))</f>
        <v>0</v>
      </c>
      <c r="W117" s="6">
        <f>MIN(0, N117+(IFERROR(IF(9*INDEX('UA-normalized'!$D:$D, MATCH($A117, 'UA-normalized'!$A:$A, 0))-INDEX('UA-normalized'!$E:$E, MATCH($A117, 'UA-normalized'!$A:$A, 0))&gt;0, -(9*INDEX('UA-normalized'!$D:$D, MATCH($A117, 'UA-normalized'!$A:$A, 0))-INDEX('UA-normalized'!$E:$E, MATCH($A117, 'UA-normalized'!$A:$A, 0))), 0), 0))+(IFERROR(IF(9*INDEX('KZ-normalized'!$D:$D, MATCH($A117, 'KZ-normalized'!$A:$A, 0))-INDEX('KZ-normalized'!$E:$E, MATCH($A117, 'KZ-normalized'!$A:$A, 0))&gt;0, -(9*INDEX('KZ-normalized'!$D:$D, MATCH($A117, 'KZ-normalized'!$A:$A, 0))-INDEX('KZ-normalized'!$E:$E, MATCH($A117, 'KZ-normalized'!$A:$A, 0))), 0), 0))+(IFERROR(IF(9*INDEX('UZ-normalized'!$D:$D, MATCH($A117, 'UZ-normalized'!$A:$A, 0))-INDEX('UZ-normalized'!$E:$E, MATCH($A117, 'UZ-normalized'!$A:$A, 0))&gt;0, -(9*INDEX('UZ-normalized'!$D:$D, MATCH($A117, 'UZ-normalized'!$A:$A, 0))-INDEX('UZ-normalized'!$E:$E, MATCH($A117, 'UZ-normalized'!$A:$A, 0))), 0), 0)))</f>
        <v>0</v>
      </c>
      <c r="X117" s="6">
        <f>MIN(0, N117+(IFERROR(IF(10*INDEX('UA-normalized'!$D:$D, MATCH($A117, 'UA-normalized'!$A:$A, 0))-INDEX('UA-normalized'!$E:$E, MATCH($A117, 'UA-normalized'!$A:$A, 0))&gt;0, -(10*INDEX('UA-normalized'!$D:$D, MATCH($A117, 'UA-normalized'!$A:$A, 0))-INDEX('UA-normalized'!$E:$E, MATCH($A117, 'UA-normalized'!$A:$A, 0))), 0), 0))+(IFERROR(IF(10*INDEX('KZ-normalized'!$D:$D, MATCH($A117, 'KZ-normalized'!$A:$A, 0))-INDEX('KZ-normalized'!$E:$E, MATCH($A117, 'KZ-normalized'!$A:$A, 0))&gt;0, -(10*INDEX('KZ-normalized'!$D:$D, MATCH($A117, 'KZ-normalized'!$A:$A, 0))-INDEX('KZ-normalized'!$E:$E, MATCH($A117, 'KZ-normalized'!$A:$A, 0))), 0), 0))+(IFERROR(IF(10*INDEX('UZ-normalized'!$D:$D, MATCH($A117, 'UZ-normalized'!$A:$A, 0))-INDEX('UZ-normalized'!$E:$E, MATCH($A117, 'UZ-normalized'!$A:$A, 0))&gt;0, -(10*INDEX('UZ-normalized'!$D:$D, MATCH($A117, 'UZ-normalized'!$A:$A, 0))-INDEX('UZ-normalized'!$E:$E, MATCH($A117, 'UZ-normalized'!$A:$A, 0))), 0), 0)))</f>
        <v>0</v>
      </c>
      <c r="Y117" s="6">
        <f>MIN(0, N117+(IFERROR(IF(11*INDEX('UA-normalized'!$D:$D, MATCH($A117, 'UA-normalized'!$A:$A, 0))-INDEX('UA-normalized'!$E:$E, MATCH($A117, 'UA-normalized'!$A:$A, 0))&gt;0, -(11*INDEX('UA-normalized'!$D:$D, MATCH($A117, 'UA-normalized'!$A:$A, 0))-INDEX('UA-normalized'!$E:$E, MATCH($A117, 'UA-normalized'!$A:$A, 0))), 0), 0))+(IFERROR(IF(11*INDEX('KZ-normalized'!$D:$D, MATCH($A117, 'KZ-normalized'!$A:$A, 0))-INDEX('KZ-normalized'!$E:$E, MATCH($A117, 'KZ-normalized'!$A:$A, 0))&gt;0, -(11*INDEX('KZ-normalized'!$D:$D, MATCH($A117, 'KZ-normalized'!$A:$A, 0))-INDEX('KZ-normalized'!$E:$E, MATCH($A117, 'KZ-normalized'!$A:$A, 0))), 0), 0))+(IFERROR(IF(11*INDEX('UZ-normalized'!$D:$D, MATCH($A117, 'UZ-normalized'!$A:$A, 0))-INDEX('UZ-normalized'!$E:$E, MATCH($A117, 'UZ-normalized'!$A:$A, 0))&gt;0, -(11*INDEX('UZ-normalized'!$D:$D, MATCH($A117, 'UZ-normalized'!$A:$A, 0))-INDEX('UZ-normalized'!$E:$E, MATCH($A117, 'UZ-normalized'!$A:$A, 0))), 0), 0)))</f>
        <v>0</v>
      </c>
      <c r="Z117" s="6">
        <f>MIN(0, N117+(IFERROR(IF(12*INDEX('UA-normalized'!$D:$D, MATCH($A117, 'UA-normalized'!$A:$A, 0))-INDEX('UA-normalized'!$E:$E, MATCH($A117, 'UA-normalized'!$A:$A, 0))&gt;0, -(12*INDEX('UA-normalized'!$D:$D, MATCH($A117, 'UA-normalized'!$A:$A, 0))-INDEX('UA-normalized'!$E:$E, MATCH($A117, 'UA-normalized'!$A:$A, 0))), 0), 0))+(IFERROR(IF(12*INDEX('KZ-normalized'!$D:$D, MATCH($A117, 'KZ-normalized'!$A:$A, 0))-INDEX('KZ-normalized'!$E:$E, MATCH($A117, 'KZ-normalized'!$A:$A, 0))&gt;0, -(12*INDEX('KZ-normalized'!$D:$D, MATCH($A117, 'KZ-normalized'!$A:$A, 0))-INDEX('KZ-normalized'!$E:$E, MATCH($A117, 'KZ-normalized'!$A:$A, 0))), 0), 0))+(IFERROR(IF(12*INDEX('UZ-normalized'!$D:$D, MATCH($A117, 'UZ-normalized'!$A:$A, 0))-INDEX('UZ-normalized'!$E:$E, MATCH($A117, 'UZ-normalized'!$A:$A, 0))&gt;0, -(12*INDEX('UZ-normalized'!$D:$D, MATCH($A117, 'UZ-normalized'!$A:$A, 0))-INDEX('UZ-normalized'!$E:$E, MATCH($A117, 'UZ-normalized'!$A:$A, 0))), 0), 0)))</f>
        <v>0</v>
      </c>
      <c r="AA117" s="6">
        <f>MIN(0, N117+(IFERROR(IF(13*INDEX('UA-normalized'!$D:$D, MATCH($A117, 'UA-normalized'!$A:$A, 0))-INDEX('UA-normalized'!$E:$E, MATCH($A117, 'UA-normalized'!$A:$A, 0))&gt;0, -(13*INDEX('UA-normalized'!$D:$D, MATCH($A117, 'UA-normalized'!$A:$A, 0))-INDEX('UA-normalized'!$E:$E, MATCH($A117, 'UA-normalized'!$A:$A, 0))), 0), 0))+(IFERROR(IF(13*INDEX('KZ-normalized'!$D:$D, MATCH($A117, 'KZ-normalized'!$A:$A, 0))-INDEX('KZ-normalized'!$E:$E, MATCH($A117, 'KZ-normalized'!$A:$A, 0))&gt;0, -(13*INDEX('KZ-normalized'!$D:$D, MATCH($A117, 'KZ-normalized'!$A:$A, 0))-INDEX('KZ-normalized'!$E:$E, MATCH($A117, 'KZ-normalized'!$A:$A, 0))), 0), 0))+(IFERROR(IF(13*INDEX('UZ-normalized'!$D:$D, MATCH($A117, 'UZ-normalized'!$A:$A, 0))-INDEX('UZ-normalized'!$E:$E, MATCH($A117, 'UZ-normalized'!$A:$A, 0))&gt;0, -(13*INDEX('UZ-normalized'!$D:$D, MATCH($A117, 'UZ-normalized'!$A:$A, 0))-INDEX('UZ-normalized'!$E:$E, MATCH($A117, 'UZ-normalized'!$A:$A, 0))), 0), 0)))</f>
        <v>0</v>
      </c>
      <c r="AB117" s="6">
        <f>MIN(0, N117+(IFERROR(IF(14*INDEX('UA-normalized'!$D:$D, MATCH($A117, 'UA-normalized'!$A:$A, 0))-INDEX('UA-normalized'!$E:$E, MATCH($A117, 'UA-normalized'!$A:$A, 0))&gt;0, -(14*INDEX('UA-normalized'!$D:$D, MATCH($A117, 'UA-normalized'!$A:$A, 0))-INDEX('UA-normalized'!$E:$E, MATCH($A117, 'UA-normalized'!$A:$A, 0))), 0), 0))+(IFERROR(IF(14*INDEX('KZ-normalized'!$D:$D, MATCH($A117, 'KZ-normalized'!$A:$A, 0))-INDEX('KZ-normalized'!$E:$E, MATCH($A117, 'KZ-normalized'!$A:$A, 0))&gt;0, -(14*INDEX('KZ-normalized'!$D:$D, MATCH($A117, 'KZ-normalized'!$A:$A, 0))-INDEX('KZ-normalized'!$E:$E, MATCH($A117, 'KZ-normalized'!$A:$A, 0))), 0), 0))+(IFERROR(IF(14*INDEX('UZ-normalized'!$D:$D, MATCH($A117, 'UZ-normalized'!$A:$A, 0))-INDEX('UZ-normalized'!$E:$E, MATCH($A117, 'UZ-normalized'!$A:$A, 0))&gt;0, -(14*INDEX('UZ-normalized'!$D:$D, MATCH($A117, 'UZ-normalized'!$A:$A, 0))-INDEX('UZ-normalized'!$E:$E, MATCH($A117, 'UZ-normalized'!$A:$A, 0))), 0), 0)))</f>
        <v>0</v>
      </c>
      <c r="AC117" s="6">
        <f>MIN(0, N117+(IFERROR(IF(15*INDEX('UA-normalized'!$D:$D, MATCH($A117, 'UA-normalized'!$A:$A, 0))-INDEX('UA-normalized'!$E:$E, MATCH($A117, 'UA-normalized'!$A:$A, 0))&gt;0, -(15*INDEX('UA-normalized'!$D:$D, MATCH($A117, 'UA-normalized'!$A:$A, 0))-INDEX('UA-normalized'!$E:$E, MATCH($A117, 'UA-normalized'!$A:$A, 0))), 0), 0))+(IFERROR(IF(15*INDEX('KZ-normalized'!$D:$D, MATCH($A117, 'KZ-normalized'!$A:$A, 0))-INDEX('KZ-normalized'!$E:$E, MATCH($A117, 'KZ-normalized'!$A:$A, 0))&gt;0, -(15*INDEX('KZ-normalized'!$D:$D, MATCH($A117, 'KZ-normalized'!$A:$A, 0))-INDEX('KZ-normalized'!$E:$E, MATCH($A117, 'KZ-normalized'!$A:$A, 0))), 0), 0))+(IFERROR(IF(15*INDEX('UZ-normalized'!$D:$D, MATCH($A117, 'UZ-normalized'!$A:$A, 0))-INDEX('UZ-normalized'!$E:$E, MATCH($A117, 'UZ-normalized'!$A:$A, 0))&gt;0, -(15*INDEX('UZ-normalized'!$D:$D, MATCH($A117, 'UZ-normalized'!$A:$A, 0))-INDEX('UZ-normalized'!$E:$E, MATCH($A117, 'UZ-normalized'!$A:$A, 0))), 0), 0)))</f>
        <v>0</v>
      </c>
      <c r="AD117" s="6">
        <f>MIN(0, N117+(IFERROR(IF(16*INDEX('UA-normalized'!$D:$D, MATCH($A117, 'UA-normalized'!$A:$A, 0))-INDEX('UA-normalized'!$E:$E, MATCH($A117, 'UA-normalized'!$A:$A, 0))&gt;0, -(16*INDEX('UA-normalized'!$D:$D, MATCH($A117, 'UA-normalized'!$A:$A, 0))-INDEX('UA-normalized'!$E:$E, MATCH($A117, 'UA-normalized'!$A:$A, 0))), 0), 0))+(IFERROR(IF(16*INDEX('KZ-normalized'!$D:$D, MATCH($A117, 'KZ-normalized'!$A:$A, 0))-INDEX('KZ-normalized'!$E:$E, MATCH($A117, 'KZ-normalized'!$A:$A, 0))&gt;0, -(16*INDEX('KZ-normalized'!$D:$D, MATCH($A117, 'KZ-normalized'!$A:$A, 0))-INDEX('KZ-normalized'!$E:$E, MATCH($A117, 'KZ-normalized'!$A:$A, 0))), 0), 0))+(IFERROR(IF(16*INDEX('UZ-normalized'!$D:$D, MATCH($A117, 'UZ-normalized'!$A:$A, 0))-INDEX('UZ-normalized'!$E:$E, MATCH($A117, 'UZ-normalized'!$A:$A, 0))&gt;0, -(16*INDEX('UZ-normalized'!$D:$D, MATCH($A117, 'UZ-normalized'!$A:$A, 0))-INDEX('UZ-normalized'!$E:$E, MATCH($A117, 'UZ-normalized'!$A:$A, 0))), 0), 0)))</f>
        <v>0</v>
      </c>
      <c r="AE117" s="6">
        <f>MIN(0, N117+(IFERROR(IF(17*INDEX('UA-normalized'!$D:$D, MATCH($A117, 'UA-normalized'!$A:$A, 0))-INDEX('UA-normalized'!$E:$E, MATCH($A117, 'UA-normalized'!$A:$A, 0))&gt;0, -(17*INDEX('UA-normalized'!$D:$D, MATCH($A117, 'UA-normalized'!$A:$A, 0))-INDEX('UA-normalized'!$E:$E, MATCH($A117, 'UA-normalized'!$A:$A, 0))), 0), 0))+(IFERROR(IF(17*INDEX('KZ-normalized'!$D:$D, MATCH($A117, 'KZ-normalized'!$A:$A, 0))-INDEX('KZ-normalized'!$E:$E, MATCH($A117, 'KZ-normalized'!$A:$A, 0))&gt;0, -(17*INDEX('KZ-normalized'!$D:$D, MATCH($A117, 'KZ-normalized'!$A:$A, 0))-INDEX('KZ-normalized'!$E:$E, MATCH($A117, 'KZ-normalized'!$A:$A, 0))), 0), 0))+(IFERROR(IF(17*INDEX('UZ-normalized'!$D:$D, MATCH($A117, 'UZ-normalized'!$A:$A, 0))-INDEX('UZ-normalized'!$E:$E, MATCH($A117, 'UZ-normalized'!$A:$A, 0))&gt;0, -(17*INDEX('UZ-normalized'!$D:$D, MATCH($A117, 'UZ-normalized'!$A:$A, 0))-INDEX('UZ-normalized'!$E:$E, MATCH($A117, 'UZ-normalized'!$A:$A, 0))), 0), 0)))</f>
        <v>0</v>
      </c>
      <c r="AF117" s="6">
        <f>MIN(0, N117+(IFERROR(IF(18*INDEX('UA-normalized'!$D:$D, MATCH($A117, 'UA-normalized'!$A:$A, 0))-INDEX('UA-normalized'!$E:$E, MATCH($A117, 'UA-normalized'!$A:$A, 0))&gt;0, -(18*INDEX('UA-normalized'!$D:$D, MATCH($A117, 'UA-normalized'!$A:$A, 0))-INDEX('UA-normalized'!$E:$E, MATCH($A117, 'UA-normalized'!$A:$A, 0))), 0), 0))+(IFERROR(IF(18*INDEX('KZ-normalized'!$D:$D, MATCH($A117, 'KZ-normalized'!$A:$A, 0))-INDEX('KZ-normalized'!$E:$E, MATCH($A117, 'KZ-normalized'!$A:$A, 0))&gt;0, -(18*INDEX('KZ-normalized'!$D:$D, MATCH($A117, 'KZ-normalized'!$A:$A, 0))-INDEX('KZ-normalized'!$E:$E, MATCH($A117, 'KZ-normalized'!$A:$A, 0))), 0), 0))+(IFERROR(IF(18*INDEX('UZ-normalized'!$D:$D, MATCH($A117, 'UZ-normalized'!$A:$A, 0))-INDEX('UZ-normalized'!$E:$E, MATCH($A117, 'UZ-normalized'!$A:$A, 0))&gt;0, -(18*INDEX('UZ-normalized'!$D:$D, MATCH($A117, 'UZ-normalized'!$A:$A, 0))-INDEX('UZ-normalized'!$E:$E, MATCH($A117, 'UZ-normalized'!$A:$A, 0))), 0), 0)))</f>
        <v>0</v>
      </c>
      <c r="AG117" s="6">
        <f>MIN(0, N117+(IFERROR(IF(19*INDEX('UA-normalized'!$D:$D, MATCH($A117, 'UA-normalized'!$A:$A, 0))-INDEX('UA-normalized'!$E:$E, MATCH($A117, 'UA-normalized'!$A:$A, 0))&gt;0, -(19*INDEX('UA-normalized'!$D:$D, MATCH($A117, 'UA-normalized'!$A:$A, 0))-INDEX('UA-normalized'!$E:$E, MATCH($A117, 'UA-normalized'!$A:$A, 0))), 0), 0))+(IFERROR(IF(19*INDEX('KZ-normalized'!$D:$D, MATCH($A117, 'KZ-normalized'!$A:$A, 0))-INDEX('KZ-normalized'!$E:$E, MATCH($A117, 'KZ-normalized'!$A:$A, 0))&gt;0, -(19*INDEX('KZ-normalized'!$D:$D, MATCH($A117, 'KZ-normalized'!$A:$A, 0))-INDEX('KZ-normalized'!$E:$E, MATCH($A117, 'KZ-normalized'!$A:$A, 0))), 0), 0))+(IFERROR(IF(19*INDEX('UZ-normalized'!$D:$D, MATCH($A117, 'UZ-normalized'!$A:$A, 0))-INDEX('UZ-normalized'!$E:$E, MATCH($A117, 'UZ-normalized'!$A:$A, 0))&gt;0, -(19*INDEX('UZ-normalized'!$D:$D, MATCH($A117, 'UZ-normalized'!$A:$A, 0))-INDEX('UZ-normalized'!$E:$E, MATCH($A117, 'UZ-normalized'!$A:$A, 0))), 0), 0)))</f>
        <v>0</v>
      </c>
      <c r="AH117" s="6">
        <f>MIN(0, N117+(IFERROR(IF(20*INDEX('UA-normalized'!$D:$D, MATCH($A117, 'UA-normalized'!$A:$A, 0))-INDEX('UA-normalized'!$E:$E, MATCH($A117, 'UA-normalized'!$A:$A, 0))&gt;0, -(20*INDEX('UA-normalized'!$D:$D, MATCH($A117, 'UA-normalized'!$A:$A, 0))-INDEX('UA-normalized'!$E:$E, MATCH($A117, 'UA-normalized'!$A:$A, 0))), 0), 0))+(IFERROR(IF(20*INDEX('KZ-normalized'!$D:$D, MATCH($A117, 'KZ-normalized'!$A:$A, 0))-INDEX('KZ-normalized'!$E:$E, MATCH($A117, 'KZ-normalized'!$A:$A, 0))&gt;0, -(20*INDEX('KZ-normalized'!$D:$D, MATCH($A117, 'KZ-normalized'!$A:$A, 0))-INDEX('KZ-normalized'!$E:$E, MATCH($A117, 'KZ-normalized'!$A:$A, 0))), 0), 0))+(IFERROR(IF(20*INDEX('UZ-normalized'!$D:$D, MATCH($A117, 'UZ-normalized'!$A:$A, 0))-INDEX('UZ-normalized'!$E:$E, MATCH($A117, 'UZ-normalized'!$A:$A, 0))&gt;0, -(20*INDEX('UZ-normalized'!$D:$D, MATCH($A117, 'UZ-normalized'!$A:$A, 0))-INDEX('UZ-normalized'!$E:$E, MATCH($A117, 'UZ-normalized'!$A:$A, 0))), 0), 0)))</f>
        <v>0</v>
      </c>
      <c r="AI117" s="6">
        <f>MIN(0, N117+(IFERROR(IF(21*INDEX('UA-normalized'!$D:$D, MATCH($A117, 'UA-normalized'!$A:$A, 0))-INDEX('UA-normalized'!$E:$E, MATCH($A117, 'UA-normalized'!$A:$A, 0))&gt;0, -(21*INDEX('UA-normalized'!$D:$D, MATCH($A117, 'UA-normalized'!$A:$A, 0))-INDEX('UA-normalized'!$E:$E, MATCH($A117, 'UA-normalized'!$A:$A, 0))), 0), 0))+(IFERROR(IF(21*INDEX('KZ-normalized'!$D:$D, MATCH($A117, 'KZ-normalized'!$A:$A, 0))-INDEX('KZ-normalized'!$E:$E, MATCH($A117, 'KZ-normalized'!$A:$A, 0))&gt;0, -(21*INDEX('KZ-normalized'!$D:$D, MATCH($A117, 'KZ-normalized'!$A:$A, 0))-INDEX('KZ-normalized'!$E:$E, MATCH($A117, 'KZ-normalized'!$A:$A, 0))), 0), 0))+(IFERROR(IF(21*INDEX('UZ-normalized'!$D:$D, MATCH($A117, 'UZ-normalized'!$A:$A, 0))-INDEX('UZ-normalized'!$E:$E, MATCH($A117, 'UZ-normalized'!$A:$A, 0))&gt;0, -(21*INDEX('UZ-normalized'!$D:$D, MATCH($A117, 'UZ-normalized'!$A:$A, 0))-INDEX('UZ-normalized'!$E:$E, MATCH($A117, 'UZ-normalized'!$A:$A, 0))), 0), 0)))</f>
        <v>0</v>
      </c>
      <c r="AJ117" s="6">
        <f>MIN(0, N117+(IFERROR(IF(22*INDEX('UA-normalized'!$D:$D, MATCH($A117, 'UA-normalized'!$A:$A, 0))-INDEX('UA-normalized'!$E:$E, MATCH($A117, 'UA-normalized'!$A:$A, 0))&gt;0, -(22*INDEX('UA-normalized'!$D:$D, MATCH($A117, 'UA-normalized'!$A:$A, 0))-INDEX('UA-normalized'!$E:$E, MATCH($A117, 'UA-normalized'!$A:$A, 0))), 0), 0))+(IFERROR(IF(22*INDEX('KZ-normalized'!$D:$D, MATCH($A117, 'KZ-normalized'!$A:$A, 0))-INDEX('KZ-normalized'!$E:$E, MATCH($A117, 'KZ-normalized'!$A:$A, 0))&gt;0, -(22*INDEX('KZ-normalized'!$D:$D, MATCH($A117, 'KZ-normalized'!$A:$A, 0))-INDEX('KZ-normalized'!$E:$E, MATCH($A117, 'KZ-normalized'!$A:$A, 0))), 0), 0))+(IFERROR(IF(22*INDEX('UZ-normalized'!$D:$D, MATCH($A117, 'UZ-normalized'!$A:$A, 0))-INDEX('UZ-normalized'!$E:$E, MATCH($A117, 'UZ-normalized'!$A:$A, 0))&gt;0, -(22*INDEX('UZ-normalized'!$D:$D, MATCH($A117, 'UZ-normalized'!$A:$A, 0))-INDEX('UZ-normalized'!$E:$E, MATCH($A117, 'UZ-normalized'!$A:$A, 0))), 0), 0)))</f>
        <v>0</v>
      </c>
      <c r="AK117" s="6">
        <f>MIN(0, N117+(IFERROR(IF(23*INDEX('UA-normalized'!$D:$D, MATCH($A117, 'UA-normalized'!$A:$A, 0))-INDEX('UA-normalized'!$E:$E, MATCH($A117, 'UA-normalized'!$A:$A, 0))&gt;0, -(23*INDEX('UA-normalized'!$D:$D, MATCH($A117, 'UA-normalized'!$A:$A, 0))-INDEX('UA-normalized'!$E:$E, MATCH($A117, 'UA-normalized'!$A:$A, 0))), 0), 0))+(IFERROR(IF(23*INDEX('KZ-normalized'!$D:$D, MATCH($A117, 'KZ-normalized'!$A:$A, 0))-INDEX('KZ-normalized'!$E:$E, MATCH($A117, 'KZ-normalized'!$A:$A, 0))&gt;0, -(23*INDEX('KZ-normalized'!$D:$D, MATCH($A117, 'KZ-normalized'!$A:$A, 0))-INDEX('KZ-normalized'!$E:$E, MATCH($A117, 'KZ-normalized'!$A:$A, 0))), 0), 0))+(IFERROR(IF(23*INDEX('UZ-normalized'!$D:$D, MATCH($A117, 'UZ-normalized'!$A:$A, 0))-INDEX('UZ-normalized'!$E:$E, MATCH($A117, 'UZ-normalized'!$A:$A, 0))&gt;0, -(23*INDEX('UZ-normalized'!$D:$D, MATCH($A117, 'UZ-normalized'!$A:$A, 0))-INDEX('UZ-normalized'!$E:$E, MATCH($A117, 'UZ-normalized'!$A:$A, 0))), 0), 0)))</f>
        <v>0</v>
      </c>
      <c r="AL117" s="6">
        <f>MIN(0, N117+(IFERROR(IF(24*INDEX('UA-normalized'!$D:$D, MATCH($A117, 'UA-normalized'!$A:$A, 0))-INDEX('UA-normalized'!$E:$E, MATCH($A117, 'UA-normalized'!$A:$A, 0))&gt;0, -(24*INDEX('UA-normalized'!$D:$D, MATCH($A117, 'UA-normalized'!$A:$A, 0))-INDEX('UA-normalized'!$E:$E, MATCH($A117, 'UA-normalized'!$A:$A, 0))), 0), 0))+(IFERROR(IF(24*INDEX('KZ-normalized'!$D:$D, MATCH($A117, 'KZ-normalized'!$A:$A, 0))-INDEX('KZ-normalized'!$E:$E, MATCH($A117, 'KZ-normalized'!$A:$A, 0))&gt;0, -(24*INDEX('KZ-normalized'!$D:$D, MATCH($A117, 'KZ-normalized'!$A:$A, 0))-INDEX('KZ-normalized'!$E:$E, MATCH($A117, 'KZ-normalized'!$A:$A, 0))), 0), 0))+(IFERROR(IF(24*INDEX('UZ-normalized'!$D:$D, MATCH($A117, 'UZ-normalized'!$A:$A, 0))-INDEX('UZ-normalized'!$E:$E, MATCH($A117, 'UZ-normalized'!$A:$A, 0))&gt;0, -(24*INDEX('UZ-normalized'!$D:$D, MATCH($A117, 'UZ-normalized'!$A:$A, 0))-INDEX('UZ-normalized'!$E:$E, MATCH($A117, 'UZ-normalized'!$A:$A, 0))), 0), 0)))</f>
        <v>0</v>
      </c>
      <c r="AM117" s="6">
        <f>MIN(0, N117+(IFERROR(IF(25*INDEX('UA-normalized'!$D:$D, MATCH($A117, 'UA-normalized'!$A:$A, 0))-INDEX('UA-normalized'!$E:$E, MATCH($A117, 'UA-normalized'!$A:$A, 0))&gt;0, -(25*INDEX('UA-normalized'!$D:$D, MATCH($A117, 'UA-normalized'!$A:$A, 0))-INDEX('UA-normalized'!$E:$E, MATCH($A117, 'UA-normalized'!$A:$A, 0))), 0), 0))+(IFERROR(IF(25*INDEX('KZ-normalized'!$D:$D, MATCH($A117, 'KZ-normalized'!$A:$A, 0))-INDEX('KZ-normalized'!$E:$E, MATCH($A117, 'KZ-normalized'!$A:$A, 0))&gt;0, -(25*INDEX('KZ-normalized'!$D:$D, MATCH($A117, 'KZ-normalized'!$A:$A, 0))-INDEX('KZ-normalized'!$E:$E, MATCH($A117, 'KZ-normalized'!$A:$A, 0))), 0), 0))+(IFERROR(IF(25*INDEX('UZ-normalized'!$D:$D, MATCH($A117, 'UZ-normalized'!$A:$A, 0))-INDEX('UZ-normalized'!$E:$E, MATCH($A117, 'UZ-normalized'!$A:$A, 0))&gt;0, -(25*INDEX('UZ-normalized'!$D:$D, MATCH($A117, 'UZ-normalized'!$A:$A, 0))-INDEX('UZ-normalized'!$E:$E, MATCH($A117, 'UZ-normalized'!$A:$A, 0))), 0), 0)))</f>
        <v>0</v>
      </c>
      <c r="AN117" s="6">
        <f>MIN(0, N117+(IFERROR(IF(26*INDEX('UA-normalized'!$D:$D, MATCH($A117, 'UA-normalized'!$A:$A, 0))-INDEX('UA-normalized'!$E:$E, MATCH($A117, 'UA-normalized'!$A:$A, 0))&gt;0, -(26*INDEX('UA-normalized'!$D:$D, MATCH($A117, 'UA-normalized'!$A:$A, 0))-INDEX('UA-normalized'!$E:$E, MATCH($A117, 'UA-normalized'!$A:$A, 0))), 0), 0))+(IFERROR(IF(26*INDEX('KZ-normalized'!$D:$D, MATCH($A117, 'KZ-normalized'!$A:$A, 0))-INDEX('KZ-normalized'!$E:$E, MATCH($A117, 'KZ-normalized'!$A:$A, 0))&gt;0, -(26*INDEX('KZ-normalized'!$D:$D, MATCH($A117, 'KZ-normalized'!$A:$A, 0))-INDEX('KZ-normalized'!$E:$E, MATCH($A117, 'KZ-normalized'!$A:$A, 0))), 0), 0))+(IFERROR(IF(26*INDEX('UZ-normalized'!$D:$D, MATCH($A117, 'UZ-normalized'!$A:$A, 0))-INDEX('UZ-normalized'!$E:$E, MATCH($A117, 'UZ-normalized'!$A:$A, 0))&gt;0, -(26*INDEX('UZ-normalized'!$D:$D, MATCH($A117, 'UZ-normalized'!$A:$A, 0))-INDEX('UZ-normalized'!$E:$E, MATCH($A117, 'UZ-normalized'!$A:$A, 0))), 0), 0)))</f>
        <v>0</v>
      </c>
      <c r="AO117" s="6">
        <f>MIN(0, N117+(IFERROR(IF(27*INDEX('UA-normalized'!$D:$D, MATCH($A117, 'UA-normalized'!$A:$A, 0))-INDEX('UA-normalized'!$E:$E, MATCH($A117, 'UA-normalized'!$A:$A, 0))&gt;0, -(27*INDEX('UA-normalized'!$D:$D, MATCH($A117, 'UA-normalized'!$A:$A, 0))-INDEX('UA-normalized'!$E:$E, MATCH($A117, 'UA-normalized'!$A:$A, 0))), 0), 0))+(IFERROR(IF(27*INDEX('KZ-normalized'!$D:$D, MATCH($A117, 'KZ-normalized'!$A:$A, 0))-INDEX('KZ-normalized'!$E:$E, MATCH($A117, 'KZ-normalized'!$A:$A, 0))&gt;0, -(27*INDEX('KZ-normalized'!$D:$D, MATCH($A117, 'KZ-normalized'!$A:$A, 0))-INDEX('KZ-normalized'!$E:$E, MATCH($A117, 'KZ-normalized'!$A:$A, 0))), 0), 0))+(IFERROR(IF(27*INDEX('UZ-normalized'!$D:$D, MATCH($A117, 'UZ-normalized'!$A:$A, 0))-INDEX('UZ-normalized'!$E:$E, MATCH($A117, 'UZ-normalized'!$A:$A, 0))&gt;0, -(27*INDEX('UZ-normalized'!$D:$D, MATCH($A117, 'UZ-normalized'!$A:$A, 0))-INDEX('UZ-normalized'!$E:$E, MATCH($A117, 'UZ-normalized'!$A:$A, 0))), 0), 0)))</f>
        <v>0</v>
      </c>
      <c r="AP117" s="6">
        <f>MIN(0, N117+(IFERROR(IF(28*INDEX('UA-normalized'!$D:$D, MATCH($A117, 'UA-normalized'!$A:$A, 0))-INDEX('UA-normalized'!$E:$E, MATCH($A117, 'UA-normalized'!$A:$A, 0))&gt;0, -(28*INDEX('UA-normalized'!$D:$D, MATCH($A117, 'UA-normalized'!$A:$A, 0))-INDEX('UA-normalized'!$E:$E, MATCH($A117, 'UA-normalized'!$A:$A, 0))), 0), 0))+(IFERROR(IF(28*INDEX('KZ-normalized'!$D:$D, MATCH($A117, 'KZ-normalized'!$A:$A, 0))-INDEX('KZ-normalized'!$E:$E, MATCH($A117, 'KZ-normalized'!$A:$A, 0))&gt;0, -(28*INDEX('KZ-normalized'!$D:$D, MATCH($A117, 'KZ-normalized'!$A:$A, 0))-INDEX('KZ-normalized'!$E:$E, MATCH($A117, 'KZ-normalized'!$A:$A, 0))), 0), 0))+(IFERROR(IF(28*INDEX('UZ-normalized'!$D:$D, MATCH($A117, 'UZ-normalized'!$A:$A, 0))-INDEX('UZ-normalized'!$E:$E, MATCH($A117, 'UZ-normalized'!$A:$A, 0))&gt;0, -(28*INDEX('UZ-normalized'!$D:$D, MATCH($A117, 'UZ-normalized'!$A:$A, 0))-INDEX('UZ-normalized'!$E:$E, MATCH($A117, 'UZ-normalized'!$A:$A, 0))), 0), 0)))</f>
        <v>0</v>
      </c>
      <c r="AQ117" s="6">
        <f>MIN(0, N117+(IFERROR(IF(29*INDEX('UA-normalized'!$D:$D, MATCH($A117, 'UA-normalized'!$A:$A, 0))-INDEX('UA-normalized'!$E:$E, MATCH($A117, 'UA-normalized'!$A:$A, 0))&gt;0, -(29*INDEX('UA-normalized'!$D:$D, MATCH($A117, 'UA-normalized'!$A:$A, 0))-INDEX('UA-normalized'!$E:$E, MATCH($A117, 'UA-normalized'!$A:$A, 0))), 0), 0))+(IFERROR(IF(29*INDEX('KZ-normalized'!$D:$D, MATCH($A117, 'KZ-normalized'!$A:$A, 0))-INDEX('KZ-normalized'!$E:$E, MATCH($A117, 'KZ-normalized'!$A:$A, 0))&gt;0, -(29*INDEX('KZ-normalized'!$D:$D, MATCH($A117, 'KZ-normalized'!$A:$A, 0))-INDEX('KZ-normalized'!$E:$E, MATCH($A117, 'KZ-normalized'!$A:$A, 0))), 0), 0))+(IFERROR(IF(29*INDEX('UZ-normalized'!$D:$D, MATCH($A117, 'UZ-normalized'!$A:$A, 0))-INDEX('UZ-normalized'!$E:$E, MATCH($A117, 'UZ-normalized'!$A:$A, 0))&gt;0, -(29*INDEX('UZ-normalized'!$D:$D, MATCH($A117, 'UZ-normalized'!$A:$A, 0))-INDEX('UZ-normalized'!$E:$E, MATCH($A117, 'UZ-normalized'!$A:$A, 0))), 0), 0)))</f>
        <v>0</v>
      </c>
      <c r="AR117" s="6">
        <f>MIN(0, N117+(IFERROR(IF(30*INDEX('UA-normalized'!$D:$D, MATCH($A117, 'UA-normalized'!$A:$A, 0))-INDEX('UA-normalized'!$E:$E, MATCH($A117, 'UA-normalized'!$A:$A, 0))&gt;0, -(30*INDEX('UA-normalized'!$D:$D, MATCH($A117, 'UA-normalized'!$A:$A, 0))-INDEX('UA-normalized'!$E:$E, MATCH($A117, 'UA-normalized'!$A:$A, 0))), 0), 0))+(IFERROR(IF(30*INDEX('KZ-normalized'!$D:$D, MATCH($A117, 'KZ-normalized'!$A:$A, 0))-INDEX('KZ-normalized'!$E:$E, MATCH($A117, 'KZ-normalized'!$A:$A, 0))&gt;0, -(30*INDEX('KZ-normalized'!$D:$D, MATCH($A117, 'KZ-normalized'!$A:$A, 0))-INDEX('KZ-normalized'!$E:$E, MATCH($A117, 'KZ-normalized'!$A:$A, 0))), 0), 0))+(IFERROR(IF(30*INDEX('UZ-normalized'!$D:$D, MATCH($A117, 'UZ-normalized'!$A:$A, 0))-INDEX('UZ-normalized'!$E:$E, MATCH($A117, 'UZ-normalized'!$A:$A, 0))&gt;0, -(30*INDEX('UZ-normalized'!$D:$D, MATCH($A117, 'UZ-normalized'!$A:$A, 0))-INDEX('UZ-normalized'!$E:$E, MATCH($A117, 'UZ-normalized'!$A:$A, 0))), 0), 0)))</f>
        <v>0</v>
      </c>
    </row>
    <row r="118" spans="1:44" x14ac:dyDescent="0.25">
      <c r="A118" s="8" t="s">
        <v>289</v>
      </c>
      <c r="B118" s="8" t="s">
        <v>180</v>
      </c>
      <c r="C118" s="8" t="s">
        <v>281</v>
      </c>
      <c r="D118" s="8" t="s">
        <v>290</v>
      </c>
      <c r="N118">
        <f t="shared" si="1"/>
        <v>0</v>
      </c>
      <c r="O118" s="6">
        <f>MIN(0, N118+(IFERROR(IF(1*INDEX('UA-normalized'!$D:$D, MATCH($A118, 'UA-normalized'!$A:$A, 0))-INDEX('UA-normalized'!$E:$E, MATCH($A118, 'UA-normalized'!$A:$A, 0))&gt;0, -(1*INDEX('UA-normalized'!$D:$D, MATCH($A118, 'UA-normalized'!$A:$A, 0))-INDEX('UA-normalized'!$E:$E, MATCH($A118, 'UA-normalized'!$A:$A, 0))), 0), 0))+(IFERROR(IF(1*INDEX('KZ-normalized'!$D:$D, MATCH($A118, 'KZ-normalized'!$A:$A, 0))-INDEX('KZ-normalized'!$E:$E, MATCH($A118, 'KZ-normalized'!$A:$A, 0))&gt;0, -(1*INDEX('KZ-normalized'!$D:$D, MATCH($A118, 'KZ-normalized'!$A:$A, 0))-INDEX('KZ-normalized'!$E:$E, MATCH($A118, 'KZ-normalized'!$A:$A, 0))), 0), 0))+(IFERROR(IF(1*INDEX('UZ-normalized'!$D:$D, MATCH($A118, 'UZ-normalized'!$A:$A, 0))-INDEX('UZ-normalized'!$E:$E, MATCH($A118, 'UZ-normalized'!$A:$A, 0))&gt;0, -(1*INDEX('UZ-normalized'!$D:$D, MATCH($A118, 'UZ-normalized'!$A:$A, 0))-INDEX('UZ-normalized'!$E:$E, MATCH($A118, 'UZ-normalized'!$A:$A, 0))), 0), 0)))</f>
        <v>0</v>
      </c>
      <c r="P118" s="6">
        <f>MIN(0, N118+(IFERROR(IF(2*INDEX('UA-normalized'!$D:$D, MATCH($A118, 'UA-normalized'!$A:$A, 0))-INDEX('UA-normalized'!$E:$E, MATCH($A118, 'UA-normalized'!$A:$A, 0))&gt;0, -(2*INDEX('UA-normalized'!$D:$D, MATCH($A118, 'UA-normalized'!$A:$A, 0))-INDEX('UA-normalized'!$E:$E, MATCH($A118, 'UA-normalized'!$A:$A, 0))), 0), 0))+(IFERROR(IF(2*INDEX('KZ-normalized'!$D:$D, MATCH($A118, 'KZ-normalized'!$A:$A, 0))-INDEX('KZ-normalized'!$E:$E, MATCH($A118, 'KZ-normalized'!$A:$A, 0))&gt;0, -(2*INDEX('KZ-normalized'!$D:$D, MATCH($A118, 'KZ-normalized'!$A:$A, 0))-INDEX('KZ-normalized'!$E:$E, MATCH($A118, 'KZ-normalized'!$A:$A, 0))), 0), 0))+(IFERROR(IF(2*INDEX('UZ-normalized'!$D:$D, MATCH($A118, 'UZ-normalized'!$A:$A, 0))-INDEX('UZ-normalized'!$E:$E, MATCH($A118, 'UZ-normalized'!$A:$A, 0))&gt;0, -(2*INDEX('UZ-normalized'!$D:$D, MATCH($A118, 'UZ-normalized'!$A:$A, 0))-INDEX('UZ-normalized'!$E:$E, MATCH($A118, 'UZ-normalized'!$A:$A, 0))), 0), 0)))</f>
        <v>0</v>
      </c>
      <c r="Q118" s="6">
        <f>MIN(0, N118+(IFERROR(IF(3*INDEX('UA-normalized'!$D:$D, MATCH($A118, 'UA-normalized'!$A:$A, 0))-INDEX('UA-normalized'!$E:$E, MATCH($A118, 'UA-normalized'!$A:$A, 0))&gt;0, -(3*INDEX('UA-normalized'!$D:$D, MATCH($A118, 'UA-normalized'!$A:$A, 0))-INDEX('UA-normalized'!$E:$E, MATCH($A118, 'UA-normalized'!$A:$A, 0))), 0), 0))+(IFERROR(IF(3*INDEX('KZ-normalized'!$D:$D, MATCH($A118, 'KZ-normalized'!$A:$A, 0))-INDEX('KZ-normalized'!$E:$E, MATCH($A118, 'KZ-normalized'!$A:$A, 0))&gt;0, -(3*INDEX('KZ-normalized'!$D:$D, MATCH($A118, 'KZ-normalized'!$A:$A, 0))-INDEX('KZ-normalized'!$E:$E, MATCH($A118, 'KZ-normalized'!$A:$A, 0))), 0), 0))+(IFERROR(IF(3*INDEX('UZ-normalized'!$D:$D, MATCH($A118, 'UZ-normalized'!$A:$A, 0))-INDEX('UZ-normalized'!$E:$E, MATCH($A118, 'UZ-normalized'!$A:$A, 0))&gt;0, -(3*INDEX('UZ-normalized'!$D:$D, MATCH($A118, 'UZ-normalized'!$A:$A, 0))-INDEX('UZ-normalized'!$E:$E, MATCH($A118, 'UZ-normalized'!$A:$A, 0))), 0), 0)))</f>
        <v>0</v>
      </c>
      <c r="R118" s="6">
        <f>MIN(0, N118+(IFERROR(IF(4*INDEX('UA-normalized'!$D:$D, MATCH($A118, 'UA-normalized'!$A:$A, 0))-INDEX('UA-normalized'!$E:$E, MATCH($A118, 'UA-normalized'!$A:$A, 0))&gt;0, -(4*INDEX('UA-normalized'!$D:$D, MATCH($A118, 'UA-normalized'!$A:$A, 0))-INDEX('UA-normalized'!$E:$E, MATCH($A118, 'UA-normalized'!$A:$A, 0))), 0), 0))+(IFERROR(IF(4*INDEX('KZ-normalized'!$D:$D, MATCH($A118, 'KZ-normalized'!$A:$A, 0))-INDEX('KZ-normalized'!$E:$E, MATCH($A118, 'KZ-normalized'!$A:$A, 0))&gt;0, -(4*INDEX('KZ-normalized'!$D:$D, MATCH($A118, 'KZ-normalized'!$A:$A, 0))-INDEX('KZ-normalized'!$E:$E, MATCH($A118, 'KZ-normalized'!$A:$A, 0))), 0), 0))+(IFERROR(IF(4*INDEX('UZ-normalized'!$D:$D, MATCH($A118, 'UZ-normalized'!$A:$A, 0))-INDEX('UZ-normalized'!$E:$E, MATCH($A118, 'UZ-normalized'!$A:$A, 0))&gt;0, -(4*INDEX('UZ-normalized'!$D:$D, MATCH($A118, 'UZ-normalized'!$A:$A, 0))-INDEX('UZ-normalized'!$E:$E, MATCH($A118, 'UZ-normalized'!$A:$A, 0))), 0), 0)))</f>
        <v>0</v>
      </c>
      <c r="S118" s="6">
        <f>MIN(0, N118+(IFERROR(IF(5*INDEX('UA-normalized'!$D:$D, MATCH($A118, 'UA-normalized'!$A:$A, 0))-INDEX('UA-normalized'!$E:$E, MATCH($A118, 'UA-normalized'!$A:$A, 0))&gt;0, -(5*INDEX('UA-normalized'!$D:$D, MATCH($A118, 'UA-normalized'!$A:$A, 0))-INDEX('UA-normalized'!$E:$E, MATCH($A118, 'UA-normalized'!$A:$A, 0))), 0), 0))+(IFERROR(IF(5*INDEX('KZ-normalized'!$D:$D, MATCH($A118, 'KZ-normalized'!$A:$A, 0))-INDEX('KZ-normalized'!$E:$E, MATCH($A118, 'KZ-normalized'!$A:$A, 0))&gt;0, -(5*INDEX('KZ-normalized'!$D:$D, MATCH($A118, 'KZ-normalized'!$A:$A, 0))-INDEX('KZ-normalized'!$E:$E, MATCH($A118, 'KZ-normalized'!$A:$A, 0))), 0), 0))+(IFERROR(IF(5*INDEX('UZ-normalized'!$D:$D, MATCH($A118, 'UZ-normalized'!$A:$A, 0))-INDEX('UZ-normalized'!$E:$E, MATCH($A118, 'UZ-normalized'!$A:$A, 0))&gt;0, -(5*INDEX('UZ-normalized'!$D:$D, MATCH($A118, 'UZ-normalized'!$A:$A, 0))-INDEX('UZ-normalized'!$E:$E, MATCH($A118, 'UZ-normalized'!$A:$A, 0))), 0), 0)))</f>
        <v>0</v>
      </c>
      <c r="T118" s="6">
        <f>MIN(0, N118+(IFERROR(IF(6*INDEX('UA-normalized'!$D:$D, MATCH($A118, 'UA-normalized'!$A:$A, 0))-INDEX('UA-normalized'!$E:$E, MATCH($A118, 'UA-normalized'!$A:$A, 0))&gt;0, -(6*INDEX('UA-normalized'!$D:$D, MATCH($A118, 'UA-normalized'!$A:$A, 0))-INDEX('UA-normalized'!$E:$E, MATCH($A118, 'UA-normalized'!$A:$A, 0))), 0), 0))+(IFERROR(IF(6*INDEX('KZ-normalized'!$D:$D, MATCH($A118, 'KZ-normalized'!$A:$A, 0))-INDEX('KZ-normalized'!$E:$E, MATCH($A118, 'KZ-normalized'!$A:$A, 0))&gt;0, -(6*INDEX('KZ-normalized'!$D:$D, MATCH($A118, 'KZ-normalized'!$A:$A, 0))-INDEX('KZ-normalized'!$E:$E, MATCH($A118, 'KZ-normalized'!$A:$A, 0))), 0), 0))+(IFERROR(IF(6*INDEX('UZ-normalized'!$D:$D, MATCH($A118, 'UZ-normalized'!$A:$A, 0))-INDEX('UZ-normalized'!$E:$E, MATCH($A118, 'UZ-normalized'!$A:$A, 0))&gt;0, -(6*INDEX('UZ-normalized'!$D:$D, MATCH($A118, 'UZ-normalized'!$A:$A, 0))-INDEX('UZ-normalized'!$E:$E, MATCH($A118, 'UZ-normalized'!$A:$A, 0))), 0), 0)))</f>
        <v>0</v>
      </c>
      <c r="U118" s="6">
        <f>MIN(0, N118+(IFERROR(IF(7*INDEX('UA-normalized'!$D:$D, MATCH($A118, 'UA-normalized'!$A:$A, 0))-INDEX('UA-normalized'!$E:$E, MATCH($A118, 'UA-normalized'!$A:$A, 0))&gt;0, -(7*INDEX('UA-normalized'!$D:$D, MATCH($A118, 'UA-normalized'!$A:$A, 0))-INDEX('UA-normalized'!$E:$E, MATCH($A118, 'UA-normalized'!$A:$A, 0))), 0), 0))+(IFERROR(IF(7*INDEX('KZ-normalized'!$D:$D, MATCH($A118, 'KZ-normalized'!$A:$A, 0))-INDEX('KZ-normalized'!$E:$E, MATCH($A118, 'KZ-normalized'!$A:$A, 0))&gt;0, -(7*INDEX('KZ-normalized'!$D:$D, MATCH($A118, 'KZ-normalized'!$A:$A, 0))-INDEX('KZ-normalized'!$E:$E, MATCH($A118, 'KZ-normalized'!$A:$A, 0))), 0), 0))+(IFERROR(IF(7*INDEX('UZ-normalized'!$D:$D, MATCH($A118, 'UZ-normalized'!$A:$A, 0))-INDEX('UZ-normalized'!$E:$E, MATCH($A118, 'UZ-normalized'!$A:$A, 0))&gt;0, -(7*INDEX('UZ-normalized'!$D:$D, MATCH($A118, 'UZ-normalized'!$A:$A, 0))-INDEX('UZ-normalized'!$E:$E, MATCH($A118, 'UZ-normalized'!$A:$A, 0))), 0), 0)))</f>
        <v>0</v>
      </c>
      <c r="V118" s="6">
        <f>MIN(0, N118+(IFERROR(IF(8*INDEX('UA-normalized'!$D:$D, MATCH($A118, 'UA-normalized'!$A:$A, 0))-INDEX('UA-normalized'!$E:$E, MATCH($A118, 'UA-normalized'!$A:$A, 0))&gt;0, -(8*INDEX('UA-normalized'!$D:$D, MATCH($A118, 'UA-normalized'!$A:$A, 0))-INDEX('UA-normalized'!$E:$E, MATCH($A118, 'UA-normalized'!$A:$A, 0))), 0), 0))+(IFERROR(IF(8*INDEX('KZ-normalized'!$D:$D, MATCH($A118, 'KZ-normalized'!$A:$A, 0))-INDEX('KZ-normalized'!$E:$E, MATCH($A118, 'KZ-normalized'!$A:$A, 0))&gt;0, -(8*INDEX('KZ-normalized'!$D:$D, MATCH($A118, 'KZ-normalized'!$A:$A, 0))-INDEX('KZ-normalized'!$E:$E, MATCH($A118, 'KZ-normalized'!$A:$A, 0))), 0), 0))+(IFERROR(IF(8*INDEX('UZ-normalized'!$D:$D, MATCH($A118, 'UZ-normalized'!$A:$A, 0))-INDEX('UZ-normalized'!$E:$E, MATCH($A118, 'UZ-normalized'!$A:$A, 0))&gt;0, -(8*INDEX('UZ-normalized'!$D:$D, MATCH($A118, 'UZ-normalized'!$A:$A, 0))-INDEX('UZ-normalized'!$E:$E, MATCH($A118, 'UZ-normalized'!$A:$A, 0))), 0), 0)))</f>
        <v>0</v>
      </c>
      <c r="W118" s="6">
        <f>MIN(0, N118+(IFERROR(IF(9*INDEX('UA-normalized'!$D:$D, MATCH($A118, 'UA-normalized'!$A:$A, 0))-INDEX('UA-normalized'!$E:$E, MATCH($A118, 'UA-normalized'!$A:$A, 0))&gt;0, -(9*INDEX('UA-normalized'!$D:$D, MATCH($A118, 'UA-normalized'!$A:$A, 0))-INDEX('UA-normalized'!$E:$E, MATCH($A118, 'UA-normalized'!$A:$A, 0))), 0), 0))+(IFERROR(IF(9*INDEX('KZ-normalized'!$D:$D, MATCH($A118, 'KZ-normalized'!$A:$A, 0))-INDEX('KZ-normalized'!$E:$E, MATCH($A118, 'KZ-normalized'!$A:$A, 0))&gt;0, -(9*INDEX('KZ-normalized'!$D:$D, MATCH($A118, 'KZ-normalized'!$A:$A, 0))-INDEX('KZ-normalized'!$E:$E, MATCH($A118, 'KZ-normalized'!$A:$A, 0))), 0), 0))+(IFERROR(IF(9*INDEX('UZ-normalized'!$D:$D, MATCH($A118, 'UZ-normalized'!$A:$A, 0))-INDEX('UZ-normalized'!$E:$E, MATCH($A118, 'UZ-normalized'!$A:$A, 0))&gt;0, -(9*INDEX('UZ-normalized'!$D:$D, MATCH($A118, 'UZ-normalized'!$A:$A, 0))-INDEX('UZ-normalized'!$E:$E, MATCH($A118, 'UZ-normalized'!$A:$A, 0))), 0), 0)))</f>
        <v>0</v>
      </c>
      <c r="X118" s="6">
        <f>MIN(0, N118+(IFERROR(IF(10*INDEX('UA-normalized'!$D:$D, MATCH($A118, 'UA-normalized'!$A:$A, 0))-INDEX('UA-normalized'!$E:$E, MATCH($A118, 'UA-normalized'!$A:$A, 0))&gt;0, -(10*INDEX('UA-normalized'!$D:$D, MATCH($A118, 'UA-normalized'!$A:$A, 0))-INDEX('UA-normalized'!$E:$E, MATCH($A118, 'UA-normalized'!$A:$A, 0))), 0), 0))+(IFERROR(IF(10*INDEX('KZ-normalized'!$D:$D, MATCH($A118, 'KZ-normalized'!$A:$A, 0))-INDEX('KZ-normalized'!$E:$E, MATCH($A118, 'KZ-normalized'!$A:$A, 0))&gt;0, -(10*INDEX('KZ-normalized'!$D:$D, MATCH($A118, 'KZ-normalized'!$A:$A, 0))-INDEX('KZ-normalized'!$E:$E, MATCH($A118, 'KZ-normalized'!$A:$A, 0))), 0), 0))+(IFERROR(IF(10*INDEX('UZ-normalized'!$D:$D, MATCH($A118, 'UZ-normalized'!$A:$A, 0))-INDEX('UZ-normalized'!$E:$E, MATCH($A118, 'UZ-normalized'!$A:$A, 0))&gt;0, -(10*INDEX('UZ-normalized'!$D:$D, MATCH($A118, 'UZ-normalized'!$A:$A, 0))-INDEX('UZ-normalized'!$E:$E, MATCH($A118, 'UZ-normalized'!$A:$A, 0))), 0), 0)))</f>
        <v>0</v>
      </c>
      <c r="Y118" s="6">
        <f>MIN(0, N118+(IFERROR(IF(11*INDEX('UA-normalized'!$D:$D, MATCH($A118, 'UA-normalized'!$A:$A, 0))-INDEX('UA-normalized'!$E:$E, MATCH($A118, 'UA-normalized'!$A:$A, 0))&gt;0, -(11*INDEX('UA-normalized'!$D:$D, MATCH($A118, 'UA-normalized'!$A:$A, 0))-INDEX('UA-normalized'!$E:$E, MATCH($A118, 'UA-normalized'!$A:$A, 0))), 0), 0))+(IFERROR(IF(11*INDEX('KZ-normalized'!$D:$D, MATCH($A118, 'KZ-normalized'!$A:$A, 0))-INDEX('KZ-normalized'!$E:$E, MATCH($A118, 'KZ-normalized'!$A:$A, 0))&gt;0, -(11*INDEX('KZ-normalized'!$D:$D, MATCH($A118, 'KZ-normalized'!$A:$A, 0))-INDEX('KZ-normalized'!$E:$E, MATCH($A118, 'KZ-normalized'!$A:$A, 0))), 0), 0))+(IFERROR(IF(11*INDEX('UZ-normalized'!$D:$D, MATCH($A118, 'UZ-normalized'!$A:$A, 0))-INDEX('UZ-normalized'!$E:$E, MATCH($A118, 'UZ-normalized'!$A:$A, 0))&gt;0, -(11*INDEX('UZ-normalized'!$D:$D, MATCH($A118, 'UZ-normalized'!$A:$A, 0))-INDEX('UZ-normalized'!$E:$E, MATCH($A118, 'UZ-normalized'!$A:$A, 0))), 0), 0)))</f>
        <v>0</v>
      </c>
      <c r="Z118" s="6">
        <f>MIN(0, N118+(IFERROR(IF(12*INDEX('UA-normalized'!$D:$D, MATCH($A118, 'UA-normalized'!$A:$A, 0))-INDEX('UA-normalized'!$E:$E, MATCH($A118, 'UA-normalized'!$A:$A, 0))&gt;0, -(12*INDEX('UA-normalized'!$D:$D, MATCH($A118, 'UA-normalized'!$A:$A, 0))-INDEX('UA-normalized'!$E:$E, MATCH($A118, 'UA-normalized'!$A:$A, 0))), 0), 0))+(IFERROR(IF(12*INDEX('KZ-normalized'!$D:$D, MATCH($A118, 'KZ-normalized'!$A:$A, 0))-INDEX('KZ-normalized'!$E:$E, MATCH($A118, 'KZ-normalized'!$A:$A, 0))&gt;0, -(12*INDEX('KZ-normalized'!$D:$D, MATCH($A118, 'KZ-normalized'!$A:$A, 0))-INDEX('KZ-normalized'!$E:$E, MATCH($A118, 'KZ-normalized'!$A:$A, 0))), 0), 0))+(IFERROR(IF(12*INDEX('UZ-normalized'!$D:$D, MATCH($A118, 'UZ-normalized'!$A:$A, 0))-INDEX('UZ-normalized'!$E:$E, MATCH($A118, 'UZ-normalized'!$A:$A, 0))&gt;0, -(12*INDEX('UZ-normalized'!$D:$D, MATCH($A118, 'UZ-normalized'!$A:$A, 0))-INDEX('UZ-normalized'!$E:$E, MATCH($A118, 'UZ-normalized'!$A:$A, 0))), 0), 0)))</f>
        <v>0</v>
      </c>
      <c r="AA118" s="6">
        <f>MIN(0, N118+(IFERROR(IF(13*INDEX('UA-normalized'!$D:$D, MATCH($A118, 'UA-normalized'!$A:$A, 0))-INDEX('UA-normalized'!$E:$E, MATCH($A118, 'UA-normalized'!$A:$A, 0))&gt;0, -(13*INDEX('UA-normalized'!$D:$D, MATCH($A118, 'UA-normalized'!$A:$A, 0))-INDEX('UA-normalized'!$E:$E, MATCH($A118, 'UA-normalized'!$A:$A, 0))), 0), 0))+(IFERROR(IF(13*INDEX('KZ-normalized'!$D:$D, MATCH($A118, 'KZ-normalized'!$A:$A, 0))-INDEX('KZ-normalized'!$E:$E, MATCH($A118, 'KZ-normalized'!$A:$A, 0))&gt;0, -(13*INDEX('KZ-normalized'!$D:$D, MATCH($A118, 'KZ-normalized'!$A:$A, 0))-INDEX('KZ-normalized'!$E:$E, MATCH($A118, 'KZ-normalized'!$A:$A, 0))), 0), 0))+(IFERROR(IF(13*INDEX('UZ-normalized'!$D:$D, MATCH($A118, 'UZ-normalized'!$A:$A, 0))-INDEX('UZ-normalized'!$E:$E, MATCH($A118, 'UZ-normalized'!$A:$A, 0))&gt;0, -(13*INDEX('UZ-normalized'!$D:$D, MATCH($A118, 'UZ-normalized'!$A:$A, 0))-INDEX('UZ-normalized'!$E:$E, MATCH($A118, 'UZ-normalized'!$A:$A, 0))), 0), 0)))</f>
        <v>0</v>
      </c>
      <c r="AB118" s="6">
        <f>MIN(0, N118+(IFERROR(IF(14*INDEX('UA-normalized'!$D:$D, MATCH($A118, 'UA-normalized'!$A:$A, 0))-INDEX('UA-normalized'!$E:$E, MATCH($A118, 'UA-normalized'!$A:$A, 0))&gt;0, -(14*INDEX('UA-normalized'!$D:$D, MATCH($A118, 'UA-normalized'!$A:$A, 0))-INDEX('UA-normalized'!$E:$E, MATCH($A118, 'UA-normalized'!$A:$A, 0))), 0), 0))+(IFERROR(IF(14*INDEX('KZ-normalized'!$D:$D, MATCH($A118, 'KZ-normalized'!$A:$A, 0))-INDEX('KZ-normalized'!$E:$E, MATCH($A118, 'KZ-normalized'!$A:$A, 0))&gt;0, -(14*INDEX('KZ-normalized'!$D:$D, MATCH($A118, 'KZ-normalized'!$A:$A, 0))-INDEX('KZ-normalized'!$E:$E, MATCH($A118, 'KZ-normalized'!$A:$A, 0))), 0), 0))+(IFERROR(IF(14*INDEX('UZ-normalized'!$D:$D, MATCH($A118, 'UZ-normalized'!$A:$A, 0))-INDEX('UZ-normalized'!$E:$E, MATCH($A118, 'UZ-normalized'!$A:$A, 0))&gt;0, -(14*INDEX('UZ-normalized'!$D:$D, MATCH($A118, 'UZ-normalized'!$A:$A, 0))-INDEX('UZ-normalized'!$E:$E, MATCH($A118, 'UZ-normalized'!$A:$A, 0))), 0), 0)))</f>
        <v>0</v>
      </c>
      <c r="AC118" s="6">
        <f>MIN(0, N118+(IFERROR(IF(15*INDEX('UA-normalized'!$D:$D, MATCH($A118, 'UA-normalized'!$A:$A, 0))-INDEX('UA-normalized'!$E:$E, MATCH($A118, 'UA-normalized'!$A:$A, 0))&gt;0, -(15*INDEX('UA-normalized'!$D:$D, MATCH($A118, 'UA-normalized'!$A:$A, 0))-INDEX('UA-normalized'!$E:$E, MATCH($A118, 'UA-normalized'!$A:$A, 0))), 0), 0))+(IFERROR(IF(15*INDEX('KZ-normalized'!$D:$D, MATCH($A118, 'KZ-normalized'!$A:$A, 0))-INDEX('KZ-normalized'!$E:$E, MATCH($A118, 'KZ-normalized'!$A:$A, 0))&gt;0, -(15*INDEX('KZ-normalized'!$D:$D, MATCH($A118, 'KZ-normalized'!$A:$A, 0))-INDEX('KZ-normalized'!$E:$E, MATCH($A118, 'KZ-normalized'!$A:$A, 0))), 0), 0))+(IFERROR(IF(15*INDEX('UZ-normalized'!$D:$D, MATCH($A118, 'UZ-normalized'!$A:$A, 0))-INDEX('UZ-normalized'!$E:$E, MATCH($A118, 'UZ-normalized'!$A:$A, 0))&gt;0, -(15*INDEX('UZ-normalized'!$D:$D, MATCH($A118, 'UZ-normalized'!$A:$A, 0))-INDEX('UZ-normalized'!$E:$E, MATCH($A118, 'UZ-normalized'!$A:$A, 0))), 0), 0)))</f>
        <v>0</v>
      </c>
      <c r="AD118" s="6">
        <f>MIN(0, N118+(IFERROR(IF(16*INDEX('UA-normalized'!$D:$D, MATCH($A118, 'UA-normalized'!$A:$A, 0))-INDEX('UA-normalized'!$E:$E, MATCH($A118, 'UA-normalized'!$A:$A, 0))&gt;0, -(16*INDEX('UA-normalized'!$D:$D, MATCH($A118, 'UA-normalized'!$A:$A, 0))-INDEX('UA-normalized'!$E:$E, MATCH($A118, 'UA-normalized'!$A:$A, 0))), 0), 0))+(IFERROR(IF(16*INDEX('KZ-normalized'!$D:$D, MATCH($A118, 'KZ-normalized'!$A:$A, 0))-INDEX('KZ-normalized'!$E:$E, MATCH($A118, 'KZ-normalized'!$A:$A, 0))&gt;0, -(16*INDEX('KZ-normalized'!$D:$D, MATCH($A118, 'KZ-normalized'!$A:$A, 0))-INDEX('KZ-normalized'!$E:$E, MATCH($A118, 'KZ-normalized'!$A:$A, 0))), 0), 0))+(IFERROR(IF(16*INDEX('UZ-normalized'!$D:$D, MATCH($A118, 'UZ-normalized'!$A:$A, 0))-INDEX('UZ-normalized'!$E:$E, MATCH($A118, 'UZ-normalized'!$A:$A, 0))&gt;0, -(16*INDEX('UZ-normalized'!$D:$D, MATCH($A118, 'UZ-normalized'!$A:$A, 0))-INDEX('UZ-normalized'!$E:$E, MATCH($A118, 'UZ-normalized'!$A:$A, 0))), 0), 0)))</f>
        <v>0</v>
      </c>
      <c r="AE118" s="6">
        <f>MIN(0, N118+(IFERROR(IF(17*INDEX('UA-normalized'!$D:$D, MATCH($A118, 'UA-normalized'!$A:$A, 0))-INDEX('UA-normalized'!$E:$E, MATCH($A118, 'UA-normalized'!$A:$A, 0))&gt;0, -(17*INDEX('UA-normalized'!$D:$D, MATCH($A118, 'UA-normalized'!$A:$A, 0))-INDEX('UA-normalized'!$E:$E, MATCH($A118, 'UA-normalized'!$A:$A, 0))), 0), 0))+(IFERROR(IF(17*INDEX('KZ-normalized'!$D:$D, MATCH($A118, 'KZ-normalized'!$A:$A, 0))-INDEX('KZ-normalized'!$E:$E, MATCH($A118, 'KZ-normalized'!$A:$A, 0))&gt;0, -(17*INDEX('KZ-normalized'!$D:$D, MATCH($A118, 'KZ-normalized'!$A:$A, 0))-INDEX('KZ-normalized'!$E:$E, MATCH($A118, 'KZ-normalized'!$A:$A, 0))), 0), 0))+(IFERROR(IF(17*INDEX('UZ-normalized'!$D:$D, MATCH($A118, 'UZ-normalized'!$A:$A, 0))-INDEX('UZ-normalized'!$E:$E, MATCH($A118, 'UZ-normalized'!$A:$A, 0))&gt;0, -(17*INDEX('UZ-normalized'!$D:$D, MATCH($A118, 'UZ-normalized'!$A:$A, 0))-INDEX('UZ-normalized'!$E:$E, MATCH($A118, 'UZ-normalized'!$A:$A, 0))), 0), 0)))</f>
        <v>0</v>
      </c>
      <c r="AF118" s="6">
        <f>MIN(0, N118+(IFERROR(IF(18*INDEX('UA-normalized'!$D:$D, MATCH($A118, 'UA-normalized'!$A:$A, 0))-INDEX('UA-normalized'!$E:$E, MATCH($A118, 'UA-normalized'!$A:$A, 0))&gt;0, -(18*INDEX('UA-normalized'!$D:$D, MATCH($A118, 'UA-normalized'!$A:$A, 0))-INDEX('UA-normalized'!$E:$E, MATCH($A118, 'UA-normalized'!$A:$A, 0))), 0), 0))+(IFERROR(IF(18*INDEX('KZ-normalized'!$D:$D, MATCH($A118, 'KZ-normalized'!$A:$A, 0))-INDEX('KZ-normalized'!$E:$E, MATCH($A118, 'KZ-normalized'!$A:$A, 0))&gt;0, -(18*INDEX('KZ-normalized'!$D:$D, MATCH($A118, 'KZ-normalized'!$A:$A, 0))-INDEX('KZ-normalized'!$E:$E, MATCH($A118, 'KZ-normalized'!$A:$A, 0))), 0), 0))+(IFERROR(IF(18*INDEX('UZ-normalized'!$D:$D, MATCH($A118, 'UZ-normalized'!$A:$A, 0))-INDEX('UZ-normalized'!$E:$E, MATCH($A118, 'UZ-normalized'!$A:$A, 0))&gt;0, -(18*INDEX('UZ-normalized'!$D:$D, MATCH($A118, 'UZ-normalized'!$A:$A, 0))-INDEX('UZ-normalized'!$E:$E, MATCH($A118, 'UZ-normalized'!$A:$A, 0))), 0), 0)))</f>
        <v>0</v>
      </c>
      <c r="AG118" s="6">
        <f>MIN(0, N118+(IFERROR(IF(19*INDEX('UA-normalized'!$D:$D, MATCH($A118, 'UA-normalized'!$A:$A, 0))-INDEX('UA-normalized'!$E:$E, MATCH($A118, 'UA-normalized'!$A:$A, 0))&gt;0, -(19*INDEX('UA-normalized'!$D:$D, MATCH($A118, 'UA-normalized'!$A:$A, 0))-INDEX('UA-normalized'!$E:$E, MATCH($A118, 'UA-normalized'!$A:$A, 0))), 0), 0))+(IFERROR(IF(19*INDEX('KZ-normalized'!$D:$D, MATCH($A118, 'KZ-normalized'!$A:$A, 0))-INDEX('KZ-normalized'!$E:$E, MATCH($A118, 'KZ-normalized'!$A:$A, 0))&gt;0, -(19*INDEX('KZ-normalized'!$D:$D, MATCH($A118, 'KZ-normalized'!$A:$A, 0))-INDEX('KZ-normalized'!$E:$E, MATCH($A118, 'KZ-normalized'!$A:$A, 0))), 0), 0))+(IFERROR(IF(19*INDEX('UZ-normalized'!$D:$D, MATCH($A118, 'UZ-normalized'!$A:$A, 0))-INDEX('UZ-normalized'!$E:$E, MATCH($A118, 'UZ-normalized'!$A:$A, 0))&gt;0, -(19*INDEX('UZ-normalized'!$D:$D, MATCH($A118, 'UZ-normalized'!$A:$A, 0))-INDEX('UZ-normalized'!$E:$E, MATCH($A118, 'UZ-normalized'!$A:$A, 0))), 0), 0)))</f>
        <v>0</v>
      </c>
      <c r="AH118" s="6">
        <f>MIN(0, N118+(IFERROR(IF(20*INDEX('UA-normalized'!$D:$D, MATCH($A118, 'UA-normalized'!$A:$A, 0))-INDEX('UA-normalized'!$E:$E, MATCH($A118, 'UA-normalized'!$A:$A, 0))&gt;0, -(20*INDEX('UA-normalized'!$D:$D, MATCH($A118, 'UA-normalized'!$A:$A, 0))-INDEX('UA-normalized'!$E:$E, MATCH($A118, 'UA-normalized'!$A:$A, 0))), 0), 0))+(IFERROR(IF(20*INDEX('KZ-normalized'!$D:$D, MATCH($A118, 'KZ-normalized'!$A:$A, 0))-INDEX('KZ-normalized'!$E:$E, MATCH($A118, 'KZ-normalized'!$A:$A, 0))&gt;0, -(20*INDEX('KZ-normalized'!$D:$D, MATCH($A118, 'KZ-normalized'!$A:$A, 0))-INDEX('KZ-normalized'!$E:$E, MATCH($A118, 'KZ-normalized'!$A:$A, 0))), 0), 0))+(IFERROR(IF(20*INDEX('UZ-normalized'!$D:$D, MATCH($A118, 'UZ-normalized'!$A:$A, 0))-INDEX('UZ-normalized'!$E:$E, MATCH($A118, 'UZ-normalized'!$A:$A, 0))&gt;0, -(20*INDEX('UZ-normalized'!$D:$D, MATCH($A118, 'UZ-normalized'!$A:$A, 0))-INDEX('UZ-normalized'!$E:$E, MATCH($A118, 'UZ-normalized'!$A:$A, 0))), 0), 0)))</f>
        <v>0</v>
      </c>
      <c r="AI118" s="6">
        <f>MIN(0, N118+(IFERROR(IF(21*INDEX('UA-normalized'!$D:$D, MATCH($A118, 'UA-normalized'!$A:$A, 0))-INDEX('UA-normalized'!$E:$E, MATCH($A118, 'UA-normalized'!$A:$A, 0))&gt;0, -(21*INDEX('UA-normalized'!$D:$D, MATCH($A118, 'UA-normalized'!$A:$A, 0))-INDEX('UA-normalized'!$E:$E, MATCH($A118, 'UA-normalized'!$A:$A, 0))), 0), 0))+(IFERROR(IF(21*INDEX('KZ-normalized'!$D:$D, MATCH($A118, 'KZ-normalized'!$A:$A, 0))-INDEX('KZ-normalized'!$E:$E, MATCH($A118, 'KZ-normalized'!$A:$A, 0))&gt;0, -(21*INDEX('KZ-normalized'!$D:$D, MATCH($A118, 'KZ-normalized'!$A:$A, 0))-INDEX('KZ-normalized'!$E:$E, MATCH($A118, 'KZ-normalized'!$A:$A, 0))), 0), 0))+(IFERROR(IF(21*INDEX('UZ-normalized'!$D:$D, MATCH($A118, 'UZ-normalized'!$A:$A, 0))-INDEX('UZ-normalized'!$E:$E, MATCH($A118, 'UZ-normalized'!$A:$A, 0))&gt;0, -(21*INDEX('UZ-normalized'!$D:$D, MATCH($A118, 'UZ-normalized'!$A:$A, 0))-INDEX('UZ-normalized'!$E:$E, MATCH($A118, 'UZ-normalized'!$A:$A, 0))), 0), 0)))</f>
        <v>0</v>
      </c>
      <c r="AJ118" s="6">
        <f>MIN(0, N118+(IFERROR(IF(22*INDEX('UA-normalized'!$D:$D, MATCH($A118, 'UA-normalized'!$A:$A, 0))-INDEX('UA-normalized'!$E:$E, MATCH($A118, 'UA-normalized'!$A:$A, 0))&gt;0, -(22*INDEX('UA-normalized'!$D:$D, MATCH($A118, 'UA-normalized'!$A:$A, 0))-INDEX('UA-normalized'!$E:$E, MATCH($A118, 'UA-normalized'!$A:$A, 0))), 0), 0))+(IFERROR(IF(22*INDEX('KZ-normalized'!$D:$D, MATCH($A118, 'KZ-normalized'!$A:$A, 0))-INDEX('KZ-normalized'!$E:$E, MATCH($A118, 'KZ-normalized'!$A:$A, 0))&gt;0, -(22*INDEX('KZ-normalized'!$D:$D, MATCH($A118, 'KZ-normalized'!$A:$A, 0))-INDEX('KZ-normalized'!$E:$E, MATCH($A118, 'KZ-normalized'!$A:$A, 0))), 0), 0))+(IFERROR(IF(22*INDEX('UZ-normalized'!$D:$D, MATCH($A118, 'UZ-normalized'!$A:$A, 0))-INDEX('UZ-normalized'!$E:$E, MATCH($A118, 'UZ-normalized'!$A:$A, 0))&gt;0, -(22*INDEX('UZ-normalized'!$D:$D, MATCH($A118, 'UZ-normalized'!$A:$A, 0))-INDEX('UZ-normalized'!$E:$E, MATCH($A118, 'UZ-normalized'!$A:$A, 0))), 0), 0)))</f>
        <v>0</v>
      </c>
      <c r="AK118" s="6">
        <f>MIN(0, N118+(IFERROR(IF(23*INDEX('UA-normalized'!$D:$D, MATCH($A118, 'UA-normalized'!$A:$A, 0))-INDEX('UA-normalized'!$E:$E, MATCH($A118, 'UA-normalized'!$A:$A, 0))&gt;0, -(23*INDEX('UA-normalized'!$D:$D, MATCH($A118, 'UA-normalized'!$A:$A, 0))-INDEX('UA-normalized'!$E:$E, MATCH($A118, 'UA-normalized'!$A:$A, 0))), 0), 0))+(IFERROR(IF(23*INDEX('KZ-normalized'!$D:$D, MATCH($A118, 'KZ-normalized'!$A:$A, 0))-INDEX('KZ-normalized'!$E:$E, MATCH($A118, 'KZ-normalized'!$A:$A, 0))&gt;0, -(23*INDEX('KZ-normalized'!$D:$D, MATCH($A118, 'KZ-normalized'!$A:$A, 0))-INDEX('KZ-normalized'!$E:$E, MATCH($A118, 'KZ-normalized'!$A:$A, 0))), 0), 0))+(IFERROR(IF(23*INDEX('UZ-normalized'!$D:$D, MATCH($A118, 'UZ-normalized'!$A:$A, 0))-INDEX('UZ-normalized'!$E:$E, MATCH($A118, 'UZ-normalized'!$A:$A, 0))&gt;0, -(23*INDEX('UZ-normalized'!$D:$D, MATCH($A118, 'UZ-normalized'!$A:$A, 0))-INDEX('UZ-normalized'!$E:$E, MATCH($A118, 'UZ-normalized'!$A:$A, 0))), 0), 0)))</f>
        <v>0</v>
      </c>
      <c r="AL118" s="6">
        <f>MIN(0, N118+(IFERROR(IF(24*INDEX('UA-normalized'!$D:$D, MATCH($A118, 'UA-normalized'!$A:$A, 0))-INDEX('UA-normalized'!$E:$E, MATCH($A118, 'UA-normalized'!$A:$A, 0))&gt;0, -(24*INDEX('UA-normalized'!$D:$D, MATCH($A118, 'UA-normalized'!$A:$A, 0))-INDEX('UA-normalized'!$E:$E, MATCH($A118, 'UA-normalized'!$A:$A, 0))), 0), 0))+(IFERROR(IF(24*INDEX('KZ-normalized'!$D:$D, MATCH($A118, 'KZ-normalized'!$A:$A, 0))-INDEX('KZ-normalized'!$E:$E, MATCH($A118, 'KZ-normalized'!$A:$A, 0))&gt;0, -(24*INDEX('KZ-normalized'!$D:$D, MATCH($A118, 'KZ-normalized'!$A:$A, 0))-INDEX('KZ-normalized'!$E:$E, MATCH($A118, 'KZ-normalized'!$A:$A, 0))), 0), 0))+(IFERROR(IF(24*INDEX('UZ-normalized'!$D:$D, MATCH($A118, 'UZ-normalized'!$A:$A, 0))-INDEX('UZ-normalized'!$E:$E, MATCH($A118, 'UZ-normalized'!$A:$A, 0))&gt;0, -(24*INDEX('UZ-normalized'!$D:$D, MATCH($A118, 'UZ-normalized'!$A:$A, 0))-INDEX('UZ-normalized'!$E:$E, MATCH($A118, 'UZ-normalized'!$A:$A, 0))), 0), 0)))</f>
        <v>0</v>
      </c>
      <c r="AM118" s="6">
        <f>MIN(0, N118+(IFERROR(IF(25*INDEX('UA-normalized'!$D:$D, MATCH($A118, 'UA-normalized'!$A:$A, 0))-INDEX('UA-normalized'!$E:$E, MATCH($A118, 'UA-normalized'!$A:$A, 0))&gt;0, -(25*INDEX('UA-normalized'!$D:$D, MATCH($A118, 'UA-normalized'!$A:$A, 0))-INDEX('UA-normalized'!$E:$E, MATCH($A118, 'UA-normalized'!$A:$A, 0))), 0), 0))+(IFERROR(IF(25*INDEX('KZ-normalized'!$D:$D, MATCH($A118, 'KZ-normalized'!$A:$A, 0))-INDEX('KZ-normalized'!$E:$E, MATCH($A118, 'KZ-normalized'!$A:$A, 0))&gt;0, -(25*INDEX('KZ-normalized'!$D:$D, MATCH($A118, 'KZ-normalized'!$A:$A, 0))-INDEX('KZ-normalized'!$E:$E, MATCH($A118, 'KZ-normalized'!$A:$A, 0))), 0), 0))+(IFERROR(IF(25*INDEX('UZ-normalized'!$D:$D, MATCH($A118, 'UZ-normalized'!$A:$A, 0))-INDEX('UZ-normalized'!$E:$E, MATCH($A118, 'UZ-normalized'!$A:$A, 0))&gt;0, -(25*INDEX('UZ-normalized'!$D:$D, MATCH($A118, 'UZ-normalized'!$A:$A, 0))-INDEX('UZ-normalized'!$E:$E, MATCH($A118, 'UZ-normalized'!$A:$A, 0))), 0), 0)))</f>
        <v>0</v>
      </c>
      <c r="AN118" s="6">
        <f>MIN(0, N118+(IFERROR(IF(26*INDEX('UA-normalized'!$D:$D, MATCH($A118, 'UA-normalized'!$A:$A, 0))-INDEX('UA-normalized'!$E:$E, MATCH($A118, 'UA-normalized'!$A:$A, 0))&gt;0, -(26*INDEX('UA-normalized'!$D:$D, MATCH($A118, 'UA-normalized'!$A:$A, 0))-INDEX('UA-normalized'!$E:$E, MATCH($A118, 'UA-normalized'!$A:$A, 0))), 0), 0))+(IFERROR(IF(26*INDEX('KZ-normalized'!$D:$D, MATCH($A118, 'KZ-normalized'!$A:$A, 0))-INDEX('KZ-normalized'!$E:$E, MATCH($A118, 'KZ-normalized'!$A:$A, 0))&gt;0, -(26*INDEX('KZ-normalized'!$D:$D, MATCH($A118, 'KZ-normalized'!$A:$A, 0))-INDEX('KZ-normalized'!$E:$E, MATCH($A118, 'KZ-normalized'!$A:$A, 0))), 0), 0))+(IFERROR(IF(26*INDEX('UZ-normalized'!$D:$D, MATCH($A118, 'UZ-normalized'!$A:$A, 0))-INDEX('UZ-normalized'!$E:$E, MATCH($A118, 'UZ-normalized'!$A:$A, 0))&gt;0, -(26*INDEX('UZ-normalized'!$D:$D, MATCH($A118, 'UZ-normalized'!$A:$A, 0))-INDEX('UZ-normalized'!$E:$E, MATCH($A118, 'UZ-normalized'!$A:$A, 0))), 0), 0)))</f>
        <v>0</v>
      </c>
      <c r="AO118" s="6">
        <f>MIN(0, N118+(IFERROR(IF(27*INDEX('UA-normalized'!$D:$D, MATCH($A118, 'UA-normalized'!$A:$A, 0))-INDEX('UA-normalized'!$E:$E, MATCH($A118, 'UA-normalized'!$A:$A, 0))&gt;0, -(27*INDEX('UA-normalized'!$D:$D, MATCH($A118, 'UA-normalized'!$A:$A, 0))-INDEX('UA-normalized'!$E:$E, MATCH($A118, 'UA-normalized'!$A:$A, 0))), 0), 0))+(IFERROR(IF(27*INDEX('KZ-normalized'!$D:$D, MATCH($A118, 'KZ-normalized'!$A:$A, 0))-INDEX('KZ-normalized'!$E:$E, MATCH($A118, 'KZ-normalized'!$A:$A, 0))&gt;0, -(27*INDEX('KZ-normalized'!$D:$D, MATCH($A118, 'KZ-normalized'!$A:$A, 0))-INDEX('KZ-normalized'!$E:$E, MATCH($A118, 'KZ-normalized'!$A:$A, 0))), 0), 0))+(IFERROR(IF(27*INDEX('UZ-normalized'!$D:$D, MATCH($A118, 'UZ-normalized'!$A:$A, 0))-INDEX('UZ-normalized'!$E:$E, MATCH($A118, 'UZ-normalized'!$A:$A, 0))&gt;0, -(27*INDEX('UZ-normalized'!$D:$D, MATCH($A118, 'UZ-normalized'!$A:$A, 0))-INDEX('UZ-normalized'!$E:$E, MATCH($A118, 'UZ-normalized'!$A:$A, 0))), 0), 0)))</f>
        <v>0</v>
      </c>
      <c r="AP118" s="6">
        <f>MIN(0, N118+(IFERROR(IF(28*INDEX('UA-normalized'!$D:$D, MATCH($A118, 'UA-normalized'!$A:$A, 0))-INDEX('UA-normalized'!$E:$E, MATCH($A118, 'UA-normalized'!$A:$A, 0))&gt;0, -(28*INDEX('UA-normalized'!$D:$D, MATCH($A118, 'UA-normalized'!$A:$A, 0))-INDEX('UA-normalized'!$E:$E, MATCH($A118, 'UA-normalized'!$A:$A, 0))), 0), 0))+(IFERROR(IF(28*INDEX('KZ-normalized'!$D:$D, MATCH($A118, 'KZ-normalized'!$A:$A, 0))-INDEX('KZ-normalized'!$E:$E, MATCH($A118, 'KZ-normalized'!$A:$A, 0))&gt;0, -(28*INDEX('KZ-normalized'!$D:$D, MATCH($A118, 'KZ-normalized'!$A:$A, 0))-INDEX('KZ-normalized'!$E:$E, MATCH($A118, 'KZ-normalized'!$A:$A, 0))), 0), 0))+(IFERROR(IF(28*INDEX('UZ-normalized'!$D:$D, MATCH($A118, 'UZ-normalized'!$A:$A, 0))-INDEX('UZ-normalized'!$E:$E, MATCH($A118, 'UZ-normalized'!$A:$A, 0))&gt;0, -(28*INDEX('UZ-normalized'!$D:$D, MATCH($A118, 'UZ-normalized'!$A:$A, 0))-INDEX('UZ-normalized'!$E:$E, MATCH($A118, 'UZ-normalized'!$A:$A, 0))), 0), 0)))</f>
        <v>0</v>
      </c>
      <c r="AQ118" s="6">
        <f>MIN(0, N118+(IFERROR(IF(29*INDEX('UA-normalized'!$D:$D, MATCH($A118, 'UA-normalized'!$A:$A, 0))-INDEX('UA-normalized'!$E:$E, MATCH($A118, 'UA-normalized'!$A:$A, 0))&gt;0, -(29*INDEX('UA-normalized'!$D:$D, MATCH($A118, 'UA-normalized'!$A:$A, 0))-INDEX('UA-normalized'!$E:$E, MATCH($A118, 'UA-normalized'!$A:$A, 0))), 0), 0))+(IFERROR(IF(29*INDEX('KZ-normalized'!$D:$D, MATCH($A118, 'KZ-normalized'!$A:$A, 0))-INDEX('KZ-normalized'!$E:$E, MATCH($A118, 'KZ-normalized'!$A:$A, 0))&gt;0, -(29*INDEX('KZ-normalized'!$D:$D, MATCH($A118, 'KZ-normalized'!$A:$A, 0))-INDEX('KZ-normalized'!$E:$E, MATCH($A118, 'KZ-normalized'!$A:$A, 0))), 0), 0))+(IFERROR(IF(29*INDEX('UZ-normalized'!$D:$D, MATCH($A118, 'UZ-normalized'!$A:$A, 0))-INDEX('UZ-normalized'!$E:$E, MATCH($A118, 'UZ-normalized'!$A:$A, 0))&gt;0, -(29*INDEX('UZ-normalized'!$D:$D, MATCH($A118, 'UZ-normalized'!$A:$A, 0))-INDEX('UZ-normalized'!$E:$E, MATCH($A118, 'UZ-normalized'!$A:$A, 0))), 0), 0)))</f>
        <v>0</v>
      </c>
      <c r="AR118" s="6">
        <f>MIN(0, N118+(IFERROR(IF(30*INDEX('UA-normalized'!$D:$D, MATCH($A118, 'UA-normalized'!$A:$A, 0))-INDEX('UA-normalized'!$E:$E, MATCH($A118, 'UA-normalized'!$A:$A, 0))&gt;0, -(30*INDEX('UA-normalized'!$D:$D, MATCH($A118, 'UA-normalized'!$A:$A, 0))-INDEX('UA-normalized'!$E:$E, MATCH($A118, 'UA-normalized'!$A:$A, 0))), 0), 0))+(IFERROR(IF(30*INDEX('KZ-normalized'!$D:$D, MATCH($A118, 'KZ-normalized'!$A:$A, 0))-INDEX('KZ-normalized'!$E:$E, MATCH($A118, 'KZ-normalized'!$A:$A, 0))&gt;0, -(30*INDEX('KZ-normalized'!$D:$D, MATCH($A118, 'KZ-normalized'!$A:$A, 0))-INDEX('KZ-normalized'!$E:$E, MATCH($A118, 'KZ-normalized'!$A:$A, 0))), 0), 0))+(IFERROR(IF(30*INDEX('UZ-normalized'!$D:$D, MATCH($A118, 'UZ-normalized'!$A:$A, 0))-INDEX('UZ-normalized'!$E:$E, MATCH($A118, 'UZ-normalized'!$A:$A, 0))&gt;0, -(30*INDEX('UZ-normalized'!$D:$D, MATCH($A118, 'UZ-normalized'!$A:$A, 0))-INDEX('UZ-normalized'!$E:$E, MATCH($A118, 'UZ-normalized'!$A:$A, 0))), 0), 0)))</f>
        <v>0</v>
      </c>
    </row>
    <row r="119" spans="1:44" x14ac:dyDescent="0.25">
      <c r="A119" s="8" t="s">
        <v>291</v>
      </c>
      <c r="B119" s="8" t="s">
        <v>180</v>
      </c>
      <c r="C119" s="8" t="s">
        <v>281</v>
      </c>
      <c r="D119" s="8" t="s">
        <v>292</v>
      </c>
      <c r="N119">
        <f t="shared" si="1"/>
        <v>0</v>
      </c>
      <c r="O119" s="6">
        <f>MIN(0, N119+(IFERROR(IF(1*INDEX('UA-normalized'!$D:$D, MATCH($A119, 'UA-normalized'!$A:$A, 0))-INDEX('UA-normalized'!$E:$E, MATCH($A119, 'UA-normalized'!$A:$A, 0))&gt;0, -(1*INDEX('UA-normalized'!$D:$D, MATCH($A119, 'UA-normalized'!$A:$A, 0))-INDEX('UA-normalized'!$E:$E, MATCH($A119, 'UA-normalized'!$A:$A, 0))), 0), 0))+(IFERROR(IF(1*INDEX('KZ-normalized'!$D:$D, MATCH($A119, 'KZ-normalized'!$A:$A, 0))-INDEX('KZ-normalized'!$E:$E, MATCH($A119, 'KZ-normalized'!$A:$A, 0))&gt;0, -(1*INDEX('KZ-normalized'!$D:$D, MATCH($A119, 'KZ-normalized'!$A:$A, 0))-INDEX('KZ-normalized'!$E:$E, MATCH($A119, 'KZ-normalized'!$A:$A, 0))), 0), 0))+(IFERROR(IF(1*INDEX('UZ-normalized'!$D:$D, MATCH($A119, 'UZ-normalized'!$A:$A, 0))-INDEX('UZ-normalized'!$E:$E, MATCH($A119, 'UZ-normalized'!$A:$A, 0))&gt;0, -(1*INDEX('UZ-normalized'!$D:$D, MATCH($A119, 'UZ-normalized'!$A:$A, 0))-INDEX('UZ-normalized'!$E:$E, MATCH($A119, 'UZ-normalized'!$A:$A, 0))), 0), 0)))</f>
        <v>0</v>
      </c>
      <c r="P119" s="6">
        <f>MIN(0, N119+(IFERROR(IF(2*INDEX('UA-normalized'!$D:$D, MATCH($A119, 'UA-normalized'!$A:$A, 0))-INDEX('UA-normalized'!$E:$E, MATCH($A119, 'UA-normalized'!$A:$A, 0))&gt;0, -(2*INDEX('UA-normalized'!$D:$D, MATCH($A119, 'UA-normalized'!$A:$A, 0))-INDEX('UA-normalized'!$E:$E, MATCH($A119, 'UA-normalized'!$A:$A, 0))), 0), 0))+(IFERROR(IF(2*INDEX('KZ-normalized'!$D:$D, MATCH($A119, 'KZ-normalized'!$A:$A, 0))-INDEX('KZ-normalized'!$E:$E, MATCH($A119, 'KZ-normalized'!$A:$A, 0))&gt;0, -(2*INDEX('KZ-normalized'!$D:$D, MATCH($A119, 'KZ-normalized'!$A:$A, 0))-INDEX('KZ-normalized'!$E:$E, MATCH($A119, 'KZ-normalized'!$A:$A, 0))), 0), 0))+(IFERROR(IF(2*INDEX('UZ-normalized'!$D:$D, MATCH($A119, 'UZ-normalized'!$A:$A, 0))-INDEX('UZ-normalized'!$E:$E, MATCH($A119, 'UZ-normalized'!$A:$A, 0))&gt;0, -(2*INDEX('UZ-normalized'!$D:$D, MATCH($A119, 'UZ-normalized'!$A:$A, 0))-INDEX('UZ-normalized'!$E:$E, MATCH($A119, 'UZ-normalized'!$A:$A, 0))), 0), 0)))</f>
        <v>0</v>
      </c>
      <c r="Q119" s="6">
        <f>MIN(0, N119+(IFERROR(IF(3*INDEX('UA-normalized'!$D:$D, MATCH($A119, 'UA-normalized'!$A:$A, 0))-INDEX('UA-normalized'!$E:$E, MATCH($A119, 'UA-normalized'!$A:$A, 0))&gt;0, -(3*INDEX('UA-normalized'!$D:$D, MATCH($A119, 'UA-normalized'!$A:$A, 0))-INDEX('UA-normalized'!$E:$E, MATCH($A119, 'UA-normalized'!$A:$A, 0))), 0), 0))+(IFERROR(IF(3*INDEX('KZ-normalized'!$D:$D, MATCH($A119, 'KZ-normalized'!$A:$A, 0))-INDEX('KZ-normalized'!$E:$E, MATCH($A119, 'KZ-normalized'!$A:$A, 0))&gt;0, -(3*INDEX('KZ-normalized'!$D:$D, MATCH($A119, 'KZ-normalized'!$A:$A, 0))-INDEX('KZ-normalized'!$E:$E, MATCH($A119, 'KZ-normalized'!$A:$A, 0))), 0), 0))+(IFERROR(IF(3*INDEX('UZ-normalized'!$D:$D, MATCH($A119, 'UZ-normalized'!$A:$A, 0))-INDEX('UZ-normalized'!$E:$E, MATCH($A119, 'UZ-normalized'!$A:$A, 0))&gt;0, -(3*INDEX('UZ-normalized'!$D:$D, MATCH($A119, 'UZ-normalized'!$A:$A, 0))-INDEX('UZ-normalized'!$E:$E, MATCH($A119, 'UZ-normalized'!$A:$A, 0))), 0), 0)))</f>
        <v>0</v>
      </c>
      <c r="R119" s="6">
        <f>MIN(0, N119+(IFERROR(IF(4*INDEX('UA-normalized'!$D:$D, MATCH($A119, 'UA-normalized'!$A:$A, 0))-INDEX('UA-normalized'!$E:$E, MATCH($A119, 'UA-normalized'!$A:$A, 0))&gt;0, -(4*INDEX('UA-normalized'!$D:$D, MATCH($A119, 'UA-normalized'!$A:$A, 0))-INDEX('UA-normalized'!$E:$E, MATCH($A119, 'UA-normalized'!$A:$A, 0))), 0), 0))+(IFERROR(IF(4*INDEX('KZ-normalized'!$D:$D, MATCH($A119, 'KZ-normalized'!$A:$A, 0))-INDEX('KZ-normalized'!$E:$E, MATCH($A119, 'KZ-normalized'!$A:$A, 0))&gt;0, -(4*INDEX('KZ-normalized'!$D:$D, MATCH($A119, 'KZ-normalized'!$A:$A, 0))-INDEX('KZ-normalized'!$E:$E, MATCH($A119, 'KZ-normalized'!$A:$A, 0))), 0), 0))+(IFERROR(IF(4*INDEX('UZ-normalized'!$D:$D, MATCH($A119, 'UZ-normalized'!$A:$A, 0))-INDEX('UZ-normalized'!$E:$E, MATCH($A119, 'UZ-normalized'!$A:$A, 0))&gt;0, -(4*INDEX('UZ-normalized'!$D:$D, MATCH($A119, 'UZ-normalized'!$A:$A, 0))-INDEX('UZ-normalized'!$E:$E, MATCH($A119, 'UZ-normalized'!$A:$A, 0))), 0), 0)))</f>
        <v>0</v>
      </c>
      <c r="S119" s="6">
        <f>MIN(0, N119+(IFERROR(IF(5*INDEX('UA-normalized'!$D:$D, MATCH($A119, 'UA-normalized'!$A:$A, 0))-INDEX('UA-normalized'!$E:$E, MATCH($A119, 'UA-normalized'!$A:$A, 0))&gt;0, -(5*INDEX('UA-normalized'!$D:$D, MATCH($A119, 'UA-normalized'!$A:$A, 0))-INDEX('UA-normalized'!$E:$E, MATCH($A119, 'UA-normalized'!$A:$A, 0))), 0), 0))+(IFERROR(IF(5*INDEX('KZ-normalized'!$D:$D, MATCH($A119, 'KZ-normalized'!$A:$A, 0))-INDEX('KZ-normalized'!$E:$E, MATCH($A119, 'KZ-normalized'!$A:$A, 0))&gt;0, -(5*INDEX('KZ-normalized'!$D:$D, MATCH($A119, 'KZ-normalized'!$A:$A, 0))-INDEX('KZ-normalized'!$E:$E, MATCH($A119, 'KZ-normalized'!$A:$A, 0))), 0), 0))+(IFERROR(IF(5*INDEX('UZ-normalized'!$D:$D, MATCH($A119, 'UZ-normalized'!$A:$A, 0))-INDEX('UZ-normalized'!$E:$E, MATCH($A119, 'UZ-normalized'!$A:$A, 0))&gt;0, -(5*INDEX('UZ-normalized'!$D:$D, MATCH($A119, 'UZ-normalized'!$A:$A, 0))-INDEX('UZ-normalized'!$E:$E, MATCH($A119, 'UZ-normalized'!$A:$A, 0))), 0), 0)))</f>
        <v>0</v>
      </c>
      <c r="T119" s="6">
        <f>MIN(0, N119+(IFERROR(IF(6*INDEX('UA-normalized'!$D:$D, MATCH($A119, 'UA-normalized'!$A:$A, 0))-INDEX('UA-normalized'!$E:$E, MATCH($A119, 'UA-normalized'!$A:$A, 0))&gt;0, -(6*INDEX('UA-normalized'!$D:$D, MATCH($A119, 'UA-normalized'!$A:$A, 0))-INDEX('UA-normalized'!$E:$E, MATCH($A119, 'UA-normalized'!$A:$A, 0))), 0), 0))+(IFERROR(IF(6*INDEX('KZ-normalized'!$D:$D, MATCH($A119, 'KZ-normalized'!$A:$A, 0))-INDEX('KZ-normalized'!$E:$E, MATCH($A119, 'KZ-normalized'!$A:$A, 0))&gt;0, -(6*INDEX('KZ-normalized'!$D:$D, MATCH($A119, 'KZ-normalized'!$A:$A, 0))-INDEX('KZ-normalized'!$E:$E, MATCH($A119, 'KZ-normalized'!$A:$A, 0))), 0), 0))+(IFERROR(IF(6*INDEX('UZ-normalized'!$D:$D, MATCH($A119, 'UZ-normalized'!$A:$A, 0))-INDEX('UZ-normalized'!$E:$E, MATCH($A119, 'UZ-normalized'!$A:$A, 0))&gt;0, -(6*INDEX('UZ-normalized'!$D:$D, MATCH($A119, 'UZ-normalized'!$A:$A, 0))-INDEX('UZ-normalized'!$E:$E, MATCH($A119, 'UZ-normalized'!$A:$A, 0))), 0), 0)))</f>
        <v>0</v>
      </c>
      <c r="U119" s="6">
        <f>MIN(0, N119+(IFERROR(IF(7*INDEX('UA-normalized'!$D:$D, MATCH($A119, 'UA-normalized'!$A:$A, 0))-INDEX('UA-normalized'!$E:$E, MATCH($A119, 'UA-normalized'!$A:$A, 0))&gt;0, -(7*INDEX('UA-normalized'!$D:$D, MATCH($A119, 'UA-normalized'!$A:$A, 0))-INDEX('UA-normalized'!$E:$E, MATCH($A119, 'UA-normalized'!$A:$A, 0))), 0), 0))+(IFERROR(IF(7*INDEX('KZ-normalized'!$D:$D, MATCH($A119, 'KZ-normalized'!$A:$A, 0))-INDEX('KZ-normalized'!$E:$E, MATCH($A119, 'KZ-normalized'!$A:$A, 0))&gt;0, -(7*INDEX('KZ-normalized'!$D:$D, MATCH($A119, 'KZ-normalized'!$A:$A, 0))-INDEX('KZ-normalized'!$E:$E, MATCH($A119, 'KZ-normalized'!$A:$A, 0))), 0), 0))+(IFERROR(IF(7*INDEX('UZ-normalized'!$D:$D, MATCH($A119, 'UZ-normalized'!$A:$A, 0))-INDEX('UZ-normalized'!$E:$E, MATCH($A119, 'UZ-normalized'!$A:$A, 0))&gt;0, -(7*INDEX('UZ-normalized'!$D:$D, MATCH($A119, 'UZ-normalized'!$A:$A, 0))-INDEX('UZ-normalized'!$E:$E, MATCH($A119, 'UZ-normalized'!$A:$A, 0))), 0), 0)))</f>
        <v>0</v>
      </c>
      <c r="V119" s="6">
        <f>MIN(0, N119+(IFERROR(IF(8*INDEX('UA-normalized'!$D:$D, MATCH($A119, 'UA-normalized'!$A:$A, 0))-INDEX('UA-normalized'!$E:$E, MATCH($A119, 'UA-normalized'!$A:$A, 0))&gt;0, -(8*INDEX('UA-normalized'!$D:$D, MATCH($A119, 'UA-normalized'!$A:$A, 0))-INDEX('UA-normalized'!$E:$E, MATCH($A119, 'UA-normalized'!$A:$A, 0))), 0), 0))+(IFERROR(IF(8*INDEX('KZ-normalized'!$D:$D, MATCH($A119, 'KZ-normalized'!$A:$A, 0))-INDEX('KZ-normalized'!$E:$E, MATCH($A119, 'KZ-normalized'!$A:$A, 0))&gt;0, -(8*INDEX('KZ-normalized'!$D:$D, MATCH($A119, 'KZ-normalized'!$A:$A, 0))-INDEX('KZ-normalized'!$E:$E, MATCH($A119, 'KZ-normalized'!$A:$A, 0))), 0), 0))+(IFERROR(IF(8*INDEX('UZ-normalized'!$D:$D, MATCH($A119, 'UZ-normalized'!$A:$A, 0))-INDEX('UZ-normalized'!$E:$E, MATCH($A119, 'UZ-normalized'!$A:$A, 0))&gt;0, -(8*INDEX('UZ-normalized'!$D:$D, MATCH($A119, 'UZ-normalized'!$A:$A, 0))-INDEX('UZ-normalized'!$E:$E, MATCH($A119, 'UZ-normalized'!$A:$A, 0))), 0), 0)))</f>
        <v>0</v>
      </c>
      <c r="W119" s="6">
        <f>MIN(0, N119+(IFERROR(IF(9*INDEX('UA-normalized'!$D:$D, MATCH($A119, 'UA-normalized'!$A:$A, 0))-INDEX('UA-normalized'!$E:$E, MATCH($A119, 'UA-normalized'!$A:$A, 0))&gt;0, -(9*INDEX('UA-normalized'!$D:$D, MATCH($A119, 'UA-normalized'!$A:$A, 0))-INDEX('UA-normalized'!$E:$E, MATCH($A119, 'UA-normalized'!$A:$A, 0))), 0), 0))+(IFERROR(IF(9*INDEX('KZ-normalized'!$D:$D, MATCH($A119, 'KZ-normalized'!$A:$A, 0))-INDEX('KZ-normalized'!$E:$E, MATCH($A119, 'KZ-normalized'!$A:$A, 0))&gt;0, -(9*INDEX('KZ-normalized'!$D:$D, MATCH($A119, 'KZ-normalized'!$A:$A, 0))-INDEX('KZ-normalized'!$E:$E, MATCH($A119, 'KZ-normalized'!$A:$A, 0))), 0), 0))+(IFERROR(IF(9*INDEX('UZ-normalized'!$D:$D, MATCH($A119, 'UZ-normalized'!$A:$A, 0))-INDEX('UZ-normalized'!$E:$E, MATCH($A119, 'UZ-normalized'!$A:$A, 0))&gt;0, -(9*INDEX('UZ-normalized'!$D:$D, MATCH($A119, 'UZ-normalized'!$A:$A, 0))-INDEX('UZ-normalized'!$E:$E, MATCH($A119, 'UZ-normalized'!$A:$A, 0))), 0), 0)))</f>
        <v>0</v>
      </c>
      <c r="X119" s="6">
        <f>MIN(0, N119+(IFERROR(IF(10*INDEX('UA-normalized'!$D:$D, MATCH($A119, 'UA-normalized'!$A:$A, 0))-INDEX('UA-normalized'!$E:$E, MATCH($A119, 'UA-normalized'!$A:$A, 0))&gt;0, -(10*INDEX('UA-normalized'!$D:$D, MATCH($A119, 'UA-normalized'!$A:$A, 0))-INDEX('UA-normalized'!$E:$E, MATCH($A119, 'UA-normalized'!$A:$A, 0))), 0), 0))+(IFERROR(IF(10*INDEX('KZ-normalized'!$D:$D, MATCH($A119, 'KZ-normalized'!$A:$A, 0))-INDEX('KZ-normalized'!$E:$E, MATCH($A119, 'KZ-normalized'!$A:$A, 0))&gt;0, -(10*INDEX('KZ-normalized'!$D:$D, MATCH($A119, 'KZ-normalized'!$A:$A, 0))-INDEX('KZ-normalized'!$E:$E, MATCH($A119, 'KZ-normalized'!$A:$A, 0))), 0), 0))+(IFERROR(IF(10*INDEX('UZ-normalized'!$D:$D, MATCH($A119, 'UZ-normalized'!$A:$A, 0))-INDEX('UZ-normalized'!$E:$E, MATCH($A119, 'UZ-normalized'!$A:$A, 0))&gt;0, -(10*INDEX('UZ-normalized'!$D:$D, MATCH($A119, 'UZ-normalized'!$A:$A, 0))-INDEX('UZ-normalized'!$E:$E, MATCH($A119, 'UZ-normalized'!$A:$A, 0))), 0), 0)))</f>
        <v>0</v>
      </c>
      <c r="Y119" s="6">
        <f>MIN(0, N119+(IFERROR(IF(11*INDEX('UA-normalized'!$D:$D, MATCH($A119, 'UA-normalized'!$A:$A, 0))-INDEX('UA-normalized'!$E:$E, MATCH($A119, 'UA-normalized'!$A:$A, 0))&gt;0, -(11*INDEX('UA-normalized'!$D:$D, MATCH($A119, 'UA-normalized'!$A:$A, 0))-INDEX('UA-normalized'!$E:$E, MATCH($A119, 'UA-normalized'!$A:$A, 0))), 0), 0))+(IFERROR(IF(11*INDEX('KZ-normalized'!$D:$D, MATCH($A119, 'KZ-normalized'!$A:$A, 0))-INDEX('KZ-normalized'!$E:$E, MATCH($A119, 'KZ-normalized'!$A:$A, 0))&gt;0, -(11*INDEX('KZ-normalized'!$D:$D, MATCH($A119, 'KZ-normalized'!$A:$A, 0))-INDEX('KZ-normalized'!$E:$E, MATCH($A119, 'KZ-normalized'!$A:$A, 0))), 0), 0))+(IFERROR(IF(11*INDEX('UZ-normalized'!$D:$D, MATCH($A119, 'UZ-normalized'!$A:$A, 0))-INDEX('UZ-normalized'!$E:$E, MATCH($A119, 'UZ-normalized'!$A:$A, 0))&gt;0, -(11*INDEX('UZ-normalized'!$D:$D, MATCH($A119, 'UZ-normalized'!$A:$A, 0))-INDEX('UZ-normalized'!$E:$E, MATCH($A119, 'UZ-normalized'!$A:$A, 0))), 0), 0)))</f>
        <v>0</v>
      </c>
      <c r="Z119" s="6">
        <f>MIN(0, N119+(IFERROR(IF(12*INDEX('UA-normalized'!$D:$D, MATCH($A119, 'UA-normalized'!$A:$A, 0))-INDEX('UA-normalized'!$E:$E, MATCH($A119, 'UA-normalized'!$A:$A, 0))&gt;0, -(12*INDEX('UA-normalized'!$D:$D, MATCH($A119, 'UA-normalized'!$A:$A, 0))-INDEX('UA-normalized'!$E:$E, MATCH($A119, 'UA-normalized'!$A:$A, 0))), 0), 0))+(IFERROR(IF(12*INDEX('KZ-normalized'!$D:$D, MATCH($A119, 'KZ-normalized'!$A:$A, 0))-INDEX('KZ-normalized'!$E:$E, MATCH($A119, 'KZ-normalized'!$A:$A, 0))&gt;0, -(12*INDEX('KZ-normalized'!$D:$D, MATCH($A119, 'KZ-normalized'!$A:$A, 0))-INDEX('KZ-normalized'!$E:$E, MATCH($A119, 'KZ-normalized'!$A:$A, 0))), 0), 0))+(IFERROR(IF(12*INDEX('UZ-normalized'!$D:$D, MATCH($A119, 'UZ-normalized'!$A:$A, 0))-INDEX('UZ-normalized'!$E:$E, MATCH($A119, 'UZ-normalized'!$A:$A, 0))&gt;0, -(12*INDEX('UZ-normalized'!$D:$D, MATCH($A119, 'UZ-normalized'!$A:$A, 0))-INDEX('UZ-normalized'!$E:$E, MATCH($A119, 'UZ-normalized'!$A:$A, 0))), 0), 0)))</f>
        <v>0</v>
      </c>
      <c r="AA119" s="6">
        <f>MIN(0, N119+(IFERROR(IF(13*INDEX('UA-normalized'!$D:$D, MATCH($A119, 'UA-normalized'!$A:$A, 0))-INDEX('UA-normalized'!$E:$E, MATCH($A119, 'UA-normalized'!$A:$A, 0))&gt;0, -(13*INDEX('UA-normalized'!$D:$D, MATCH($A119, 'UA-normalized'!$A:$A, 0))-INDEX('UA-normalized'!$E:$E, MATCH($A119, 'UA-normalized'!$A:$A, 0))), 0), 0))+(IFERROR(IF(13*INDEX('KZ-normalized'!$D:$D, MATCH($A119, 'KZ-normalized'!$A:$A, 0))-INDEX('KZ-normalized'!$E:$E, MATCH($A119, 'KZ-normalized'!$A:$A, 0))&gt;0, -(13*INDEX('KZ-normalized'!$D:$D, MATCH($A119, 'KZ-normalized'!$A:$A, 0))-INDEX('KZ-normalized'!$E:$E, MATCH($A119, 'KZ-normalized'!$A:$A, 0))), 0), 0))+(IFERROR(IF(13*INDEX('UZ-normalized'!$D:$D, MATCH($A119, 'UZ-normalized'!$A:$A, 0))-INDEX('UZ-normalized'!$E:$E, MATCH($A119, 'UZ-normalized'!$A:$A, 0))&gt;0, -(13*INDEX('UZ-normalized'!$D:$D, MATCH($A119, 'UZ-normalized'!$A:$A, 0))-INDEX('UZ-normalized'!$E:$E, MATCH($A119, 'UZ-normalized'!$A:$A, 0))), 0), 0)))</f>
        <v>0</v>
      </c>
      <c r="AB119" s="6">
        <f>MIN(0, N119+(IFERROR(IF(14*INDEX('UA-normalized'!$D:$D, MATCH($A119, 'UA-normalized'!$A:$A, 0))-INDEX('UA-normalized'!$E:$E, MATCH($A119, 'UA-normalized'!$A:$A, 0))&gt;0, -(14*INDEX('UA-normalized'!$D:$D, MATCH($A119, 'UA-normalized'!$A:$A, 0))-INDEX('UA-normalized'!$E:$E, MATCH($A119, 'UA-normalized'!$A:$A, 0))), 0), 0))+(IFERROR(IF(14*INDEX('KZ-normalized'!$D:$D, MATCH($A119, 'KZ-normalized'!$A:$A, 0))-INDEX('KZ-normalized'!$E:$E, MATCH($A119, 'KZ-normalized'!$A:$A, 0))&gt;0, -(14*INDEX('KZ-normalized'!$D:$D, MATCH($A119, 'KZ-normalized'!$A:$A, 0))-INDEX('KZ-normalized'!$E:$E, MATCH($A119, 'KZ-normalized'!$A:$A, 0))), 0), 0))+(IFERROR(IF(14*INDEX('UZ-normalized'!$D:$D, MATCH($A119, 'UZ-normalized'!$A:$A, 0))-INDEX('UZ-normalized'!$E:$E, MATCH($A119, 'UZ-normalized'!$A:$A, 0))&gt;0, -(14*INDEX('UZ-normalized'!$D:$D, MATCH($A119, 'UZ-normalized'!$A:$A, 0))-INDEX('UZ-normalized'!$E:$E, MATCH($A119, 'UZ-normalized'!$A:$A, 0))), 0), 0)))</f>
        <v>0</v>
      </c>
      <c r="AC119" s="6">
        <f>MIN(0, N119+(IFERROR(IF(15*INDEX('UA-normalized'!$D:$D, MATCH($A119, 'UA-normalized'!$A:$A, 0))-INDEX('UA-normalized'!$E:$E, MATCH($A119, 'UA-normalized'!$A:$A, 0))&gt;0, -(15*INDEX('UA-normalized'!$D:$D, MATCH($A119, 'UA-normalized'!$A:$A, 0))-INDEX('UA-normalized'!$E:$E, MATCH($A119, 'UA-normalized'!$A:$A, 0))), 0), 0))+(IFERROR(IF(15*INDEX('KZ-normalized'!$D:$D, MATCH($A119, 'KZ-normalized'!$A:$A, 0))-INDEX('KZ-normalized'!$E:$E, MATCH($A119, 'KZ-normalized'!$A:$A, 0))&gt;0, -(15*INDEX('KZ-normalized'!$D:$D, MATCH($A119, 'KZ-normalized'!$A:$A, 0))-INDEX('KZ-normalized'!$E:$E, MATCH($A119, 'KZ-normalized'!$A:$A, 0))), 0), 0))+(IFERROR(IF(15*INDEX('UZ-normalized'!$D:$D, MATCH($A119, 'UZ-normalized'!$A:$A, 0))-INDEX('UZ-normalized'!$E:$E, MATCH($A119, 'UZ-normalized'!$A:$A, 0))&gt;0, -(15*INDEX('UZ-normalized'!$D:$D, MATCH($A119, 'UZ-normalized'!$A:$A, 0))-INDEX('UZ-normalized'!$E:$E, MATCH($A119, 'UZ-normalized'!$A:$A, 0))), 0), 0)))</f>
        <v>0</v>
      </c>
      <c r="AD119" s="6">
        <f>MIN(0, N119+(IFERROR(IF(16*INDEX('UA-normalized'!$D:$D, MATCH($A119, 'UA-normalized'!$A:$A, 0))-INDEX('UA-normalized'!$E:$E, MATCH($A119, 'UA-normalized'!$A:$A, 0))&gt;0, -(16*INDEX('UA-normalized'!$D:$D, MATCH($A119, 'UA-normalized'!$A:$A, 0))-INDEX('UA-normalized'!$E:$E, MATCH($A119, 'UA-normalized'!$A:$A, 0))), 0), 0))+(IFERROR(IF(16*INDEX('KZ-normalized'!$D:$D, MATCH($A119, 'KZ-normalized'!$A:$A, 0))-INDEX('KZ-normalized'!$E:$E, MATCH($A119, 'KZ-normalized'!$A:$A, 0))&gt;0, -(16*INDEX('KZ-normalized'!$D:$D, MATCH($A119, 'KZ-normalized'!$A:$A, 0))-INDEX('KZ-normalized'!$E:$E, MATCH($A119, 'KZ-normalized'!$A:$A, 0))), 0), 0))+(IFERROR(IF(16*INDEX('UZ-normalized'!$D:$D, MATCH($A119, 'UZ-normalized'!$A:$A, 0))-INDEX('UZ-normalized'!$E:$E, MATCH($A119, 'UZ-normalized'!$A:$A, 0))&gt;0, -(16*INDEX('UZ-normalized'!$D:$D, MATCH($A119, 'UZ-normalized'!$A:$A, 0))-INDEX('UZ-normalized'!$E:$E, MATCH($A119, 'UZ-normalized'!$A:$A, 0))), 0), 0)))</f>
        <v>0</v>
      </c>
      <c r="AE119" s="6">
        <f>MIN(0, N119+(IFERROR(IF(17*INDEX('UA-normalized'!$D:$D, MATCH($A119, 'UA-normalized'!$A:$A, 0))-INDEX('UA-normalized'!$E:$E, MATCH($A119, 'UA-normalized'!$A:$A, 0))&gt;0, -(17*INDEX('UA-normalized'!$D:$D, MATCH($A119, 'UA-normalized'!$A:$A, 0))-INDEX('UA-normalized'!$E:$E, MATCH($A119, 'UA-normalized'!$A:$A, 0))), 0), 0))+(IFERROR(IF(17*INDEX('KZ-normalized'!$D:$D, MATCH($A119, 'KZ-normalized'!$A:$A, 0))-INDEX('KZ-normalized'!$E:$E, MATCH($A119, 'KZ-normalized'!$A:$A, 0))&gt;0, -(17*INDEX('KZ-normalized'!$D:$D, MATCH($A119, 'KZ-normalized'!$A:$A, 0))-INDEX('KZ-normalized'!$E:$E, MATCH($A119, 'KZ-normalized'!$A:$A, 0))), 0), 0))+(IFERROR(IF(17*INDEX('UZ-normalized'!$D:$D, MATCH($A119, 'UZ-normalized'!$A:$A, 0))-INDEX('UZ-normalized'!$E:$E, MATCH($A119, 'UZ-normalized'!$A:$A, 0))&gt;0, -(17*INDEX('UZ-normalized'!$D:$D, MATCH($A119, 'UZ-normalized'!$A:$A, 0))-INDEX('UZ-normalized'!$E:$E, MATCH($A119, 'UZ-normalized'!$A:$A, 0))), 0), 0)))</f>
        <v>0</v>
      </c>
      <c r="AF119" s="6">
        <f>MIN(0, N119+(IFERROR(IF(18*INDEX('UA-normalized'!$D:$D, MATCH($A119, 'UA-normalized'!$A:$A, 0))-INDEX('UA-normalized'!$E:$E, MATCH($A119, 'UA-normalized'!$A:$A, 0))&gt;0, -(18*INDEX('UA-normalized'!$D:$D, MATCH($A119, 'UA-normalized'!$A:$A, 0))-INDEX('UA-normalized'!$E:$E, MATCH($A119, 'UA-normalized'!$A:$A, 0))), 0), 0))+(IFERROR(IF(18*INDEX('KZ-normalized'!$D:$D, MATCH($A119, 'KZ-normalized'!$A:$A, 0))-INDEX('KZ-normalized'!$E:$E, MATCH($A119, 'KZ-normalized'!$A:$A, 0))&gt;0, -(18*INDEX('KZ-normalized'!$D:$D, MATCH($A119, 'KZ-normalized'!$A:$A, 0))-INDEX('KZ-normalized'!$E:$E, MATCH($A119, 'KZ-normalized'!$A:$A, 0))), 0), 0))+(IFERROR(IF(18*INDEX('UZ-normalized'!$D:$D, MATCH($A119, 'UZ-normalized'!$A:$A, 0))-INDEX('UZ-normalized'!$E:$E, MATCH($A119, 'UZ-normalized'!$A:$A, 0))&gt;0, -(18*INDEX('UZ-normalized'!$D:$D, MATCH($A119, 'UZ-normalized'!$A:$A, 0))-INDEX('UZ-normalized'!$E:$E, MATCH($A119, 'UZ-normalized'!$A:$A, 0))), 0), 0)))</f>
        <v>0</v>
      </c>
      <c r="AG119" s="6">
        <f>MIN(0, N119+(IFERROR(IF(19*INDEX('UA-normalized'!$D:$D, MATCH($A119, 'UA-normalized'!$A:$A, 0))-INDEX('UA-normalized'!$E:$E, MATCH($A119, 'UA-normalized'!$A:$A, 0))&gt;0, -(19*INDEX('UA-normalized'!$D:$D, MATCH($A119, 'UA-normalized'!$A:$A, 0))-INDEX('UA-normalized'!$E:$E, MATCH($A119, 'UA-normalized'!$A:$A, 0))), 0), 0))+(IFERROR(IF(19*INDEX('KZ-normalized'!$D:$D, MATCH($A119, 'KZ-normalized'!$A:$A, 0))-INDEX('KZ-normalized'!$E:$E, MATCH($A119, 'KZ-normalized'!$A:$A, 0))&gt;0, -(19*INDEX('KZ-normalized'!$D:$D, MATCH($A119, 'KZ-normalized'!$A:$A, 0))-INDEX('KZ-normalized'!$E:$E, MATCH($A119, 'KZ-normalized'!$A:$A, 0))), 0), 0))+(IFERROR(IF(19*INDEX('UZ-normalized'!$D:$D, MATCH($A119, 'UZ-normalized'!$A:$A, 0))-INDEX('UZ-normalized'!$E:$E, MATCH($A119, 'UZ-normalized'!$A:$A, 0))&gt;0, -(19*INDEX('UZ-normalized'!$D:$D, MATCH($A119, 'UZ-normalized'!$A:$A, 0))-INDEX('UZ-normalized'!$E:$E, MATCH($A119, 'UZ-normalized'!$A:$A, 0))), 0), 0)))</f>
        <v>0</v>
      </c>
      <c r="AH119" s="6">
        <f>MIN(0, N119+(IFERROR(IF(20*INDEX('UA-normalized'!$D:$D, MATCH($A119, 'UA-normalized'!$A:$A, 0))-INDEX('UA-normalized'!$E:$E, MATCH($A119, 'UA-normalized'!$A:$A, 0))&gt;0, -(20*INDEX('UA-normalized'!$D:$D, MATCH($A119, 'UA-normalized'!$A:$A, 0))-INDEX('UA-normalized'!$E:$E, MATCH($A119, 'UA-normalized'!$A:$A, 0))), 0), 0))+(IFERROR(IF(20*INDEX('KZ-normalized'!$D:$D, MATCH($A119, 'KZ-normalized'!$A:$A, 0))-INDEX('KZ-normalized'!$E:$E, MATCH($A119, 'KZ-normalized'!$A:$A, 0))&gt;0, -(20*INDEX('KZ-normalized'!$D:$D, MATCH($A119, 'KZ-normalized'!$A:$A, 0))-INDEX('KZ-normalized'!$E:$E, MATCH($A119, 'KZ-normalized'!$A:$A, 0))), 0), 0))+(IFERROR(IF(20*INDEX('UZ-normalized'!$D:$D, MATCH($A119, 'UZ-normalized'!$A:$A, 0))-INDEX('UZ-normalized'!$E:$E, MATCH($A119, 'UZ-normalized'!$A:$A, 0))&gt;0, -(20*INDEX('UZ-normalized'!$D:$D, MATCH($A119, 'UZ-normalized'!$A:$A, 0))-INDEX('UZ-normalized'!$E:$E, MATCH($A119, 'UZ-normalized'!$A:$A, 0))), 0), 0)))</f>
        <v>0</v>
      </c>
      <c r="AI119" s="6">
        <f>MIN(0, N119+(IFERROR(IF(21*INDEX('UA-normalized'!$D:$D, MATCH($A119, 'UA-normalized'!$A:$A, 0))-INDEX('UA-normalized'!$E:$E, MATCH($A119, 'UA-normalized'!$A:$A, 0))&gt;0, -(21*INDEX('UA-normalized'!$D:$D, MATCH($A119, 'UA-normalized'!$A:$A, 0))-INDEX('UA-normalized'!$E:$E, MATCH($A119, 'UA-normalized'!$A:$A, 0))), 0), 0))+(IFERROR(IF(21*INDEX('KZ-normalized'!$D:$D, MATCH($A119, 'KZ-normalized'!$A:$A, 0))-INDEX('KZ-normalized'!$E:$E, MATCH($A119, 'KZ-normalized'!$A:$A, 0))&gt;0, -(21*INDEX('KZ-normalized'!$D:$D, MATCH($A119, 'KZ-normalized'!$A:$A, 0))-INDEX('KZ-normalized'!$E:$E, MATCH($A119, 'KZ-normalized'!$A:$A, 0))), 0), 0))+(IFERROR(IF(21*INDEX('UZ-normalized'!$D:$D, MATCH($A119, 'UZ-normalized'!$A:$A, 0))-INDEX('UZ-normalized'!$E:$E, MATCH($A119, 'UZ-normalized'!$A:$A, 0))&gt;0, -(21*INDEX('UZ-normalized'!$D:$D, MATCH($A119, 'UZ-normalized'!$A:$A, 0))-INDEX('UZ-normalized'!$E:$E, MATCH($A119, 'UZ-normalized'!$A:$A, 0))), 0), 0)))</f>
        <v>0</v>
      </c>
      <c r="AJ119" s="6">
        <f>MIN(0, N119+(IFERROR(IF(22*INDEX('UA-normalized'!$D:$D, MATCH($A119, 'UA-normalized'!$A:$A, 0))-INDEX('UA-normalized'!$E:$E, MATCH($A119, 'UA-normalized'!$A:$A, 0))&gt;0, -(22*INDEX('UA-normalized'!$D:$D, MATCH($A119, 'UA-normalized'!$A:$A, 0))-INDEX('UA-normalized'!$E:$E, MATCH($A119, 'UA-normalized'!$A:$A, 0))), 0), 0))+(IFERROR(IF(22*INDEX('KZ-normalized'!$D:$D, MATCH($A119, 'KZ-normalized'!$A:$A, 0))-INDEX('KZ-normalized'!$E:$E, MATCH($A119, 'KZ-normalized'!$A:$A, 0))&gt;0, -(22*INDEX('KZ-normalized'!$D:$D, MATCH($A119, 'KZ-normalized'!$A:$A, 0))-INDEX('KZ-normalized'!$E:$E, MATCH($A119, 'KZ-normalized'!$A:$A, 0))), 0), 0))+(IFERROR(IF(22*INDEX('UZ-normalized'!$D:$D, MATCH($A119, 'UZ-normalized'!$A:$A, 0))-INDEX('UZ-normalized'!$E:$E, MATCH($A119, 'UZ-normalized'!$A:$A, 0))&gt;0, -(22*INDEX('UZ-normalized'!$D:$D, MATCH($A119, 'UZ-normalized'!$A:$A, 0))-INDEX('UZ-normalized'!$E:$E, MATCH($A119, 'UZ-normalized'!$A:$A, 0))), 0), 0)))</f>
        <v>0</v>
      </c>
      <c r="AK119" s="6">
        <f>MIN(0, N119+(IFERROR(IF(23*INDEX('UA-normalized'!$D:$D, MATCH($A119, 'UA-normalized'!$A:$A, 0))-INDEX('UA-normalized'!$E:$E, MATCH($A119, 'UA-normalized'!$A:$A, 0))&gt;0, -(23*INDEX('UA-normalized'!$D:$D, MATCH($A119, 'UA-normalized'!$A:$A, 0))-INDEX('UA-normalized'!$E:$E, MATCH($A119, 'UA-normalized'!$A:$A, 0))), 0), 0))+(IFERROR(IF(23*INDEX('KZ-normalized'!$D:$D, MATCH($A119, 'KZ-normalized'!$A:$A, 0))-INDEX('KZ-normalized'!$E:$E, MATCH($A119, 'KZ-normalized'!$A:$A, 0))&gt;0, -(23*INDEX('KZ-normalized'!$D:$D, MATCH($A119, 'KZ-normalized'!$A:$A, 0))-INDEX('KZ-normalized'!$E:$E, MATCH($A119, 'KZ-normalized'!$A:$A, 0))), 0), 0))+(IFERROR(IF(23*INDEX('UZ-normalized'!$D:$D, MATCH($A119, 'UZ-normalized'!$A:$A, 0))-INDEX('UZ-normalized'!$E:$E, MATCH($A119, 'UZ-normalized'!$A:$A, 0))&gt;0, -(23*INDEX('UZ-normalized'!$D:$D, MATCH($A119, 'UZ-normalized'!$A:$A, 0))-INDEX('UZ-normalized'!$E:$E, MATCH($A119, 'UZ-normalized'!$A:$A, 0))), 0), 0)))</f>
        <v>0</v>
      </c>
      <c r="AL119" s="6">
        <f>MIN(0, N119+(IFERROR(IF(24*INDEX('UA-normalized'!$D:$D, MATCH($A119, 'UA-normalized'!$A:$A, 0))-INDEX('UA-normalized'!$E:$E, MATCH($A119, 'UA-normalized'!$A:$A, 0))&gt;0, -(24*INDEX('UA-normalized'!$D:$D, MATCH($A119, 'UA-normalized'!$A:$A, 0))-INDEX('UA-normalized'!$E:$E, MATCH($A119, 'UA-normalized'!$A:$A, 0))), 0), 0))+(IFERROR(IF(24*INDEX('KZ-normalized'!$D:$D, MATCH($A119, 'KZ-normalized'!$A:$A, 0))-INDEX('KZ-normalized'!$E:$E, MATCH($A119, 'KZ-normalized'!$A:$A, 0))&gt;0, -(24*INDEX('KZ-normalized'!$D:$D, MATCH($A119, 'KZ-normalized'!$A:$A, 0))-INDEX('KZ-normalized'!$E:$E, MATCH($A119, 'KZ-normalized'!$A:$A, 0))), 0), 0))+(IFERROR(IF(24*INDEX('UZ-normalized'!$D:$D, MATCH($A119, 'UZ-normalized'!$A:$A, 0))-INDEX('UZ-normalized'!$E:$E, MATCH($A119, 'UZ-normalized'!$A:$A, 0))&gt;0, -(24*INDEX('UZ-normalized'!$D:$D, MATCH($A119, 'UZ-normalized'!$A:$A, 0))-INDEX('UZ-normalized'!$E:$E, MATCH($A119, 'UZ-normalized'!$A:$A, 0))), 0), 0)))</f>
        <v>0</v>
      </c>
      <c r="AM119" s="6">
        <f>MIN(0, N119+(IFERROR(IF(25*INDEX('UA-normalized'!$D:$D, MATCH($A119, 'UA-normalized'!$A:$A, 0))-INDEX('UA-normalized'!$E:$E, MATCH($A119, 'UA-normalized'!$A:$A, 0))&gt;0, -(25*INDEX('UA-normalized'!$D:$D, MATCH($A119, 'UA-normalized'!$A:$A, 0))-INDEX('UA-normalized'!$E:$E, MATCH($A119, 'UA-normalized'!$A:$A, 0))), 0), 0))+(IFERROR(IF(25*INDEX('KZ-normalized'!$D:$D, MATCH($A119, 'KZ-normalized'!$A:$A, 0))-INDEX('KZ-normalized'!$E:$E, MATCH($A119, 'KZ-normalized'!$A:$A, 0))&gt;0, -(25*INDEX('KZ-normalized'!$D:$D, MATCH($A119, 'KZ-normalized'!$A:$A, 0))-INDEX('KZ-normalized'!$E:$E, MATCH($A119, 'KZ-normalized'!$A:$A, 0))), 0), 0))+(IFERROR(IF(25*INDEX('UZ-normalized'!$D:$D, MATCH($A119, 'UZ-normalized'!$A:$A, 0))-INDEX('UZ-normalized'!$E:$E, MATCH($A119, 'UZ-normalized'!$A:$A, 0))&gt;0, -(25*INDEX('UZ-normalized'!$D:$D, MATCH($A119, 'UZ-normalized'!$A:$A, 0))-INDEX('UZ-normalized'!$E:$E, MATCH($A119, 'UZ-normalized'!$A:$A, 0))), 0), 0)))</f>
        <v>0</v>
      </c>
      <c r="AN119" s="6">
        <f>MIN(0, N119+(IFERROR(IF(26*INDEX('UA-normalized'!$D:$D, MATCH($A119, 'UA-normalized'!$A:$A, 0))-INDEX('UA-normalized'!$E:$E, MATCH($A119, 'UA-normalized'!$A:$A, 0))&gt;0, -(26*INDEX('UA-normalized'!$D:$D, MATCH($A119, 'UA-normalized'!$A:$A, 0))-INDEX('UA-normalized'!$E:$E, MATCH($A119, 'UA-normalized'!$A:$A, 0))), 0), 0))+(IFERROR(IF(26*INDEX('KZ-normalized'!$D:$D, MATCH($A119, 'KZ-normalized'!$A:$A, 0))-INDEX('KZ-normalized'!$E:$E, MATCH($A119, 'KZ-normalized'!$A:$A, 0))&gt;0, -(26*INDEX('KZ-normalized'!$D:$D, MATCH($A119, 'KZ-normalized'!$A:$A, 0))-INDEX('KZ-normalized'!$E:$E, MATCH($A119, 'KZ-normalized'!$A:$A, 0))), 0), 0))+(IFERROR(IF(26*INDEX('UZ-normalized'!$D:$D, MATCH($A119, 'UZ-normalized'!$A:$A, 0))-INDEX('UZ-normalized'!$E:$E, MATCH($A119, 'UZ-normalized'!$A:$A, 0))&gt;0, -(26*INDEX('UZ-normalized'!$D:$D, MATCH($A119, 'UZ-normalized'!$A:$A, 0))-INDEX('UZ-normalized'!$E:$E, MATCH($A119, 'UZ-normalized'!$A:$A, 0))), 0), 0)))</f>
        <v>0</v>
      </c>
      <c r="AO119" s="6">
        <f>MIN(0, N119+(IFERROR(IF(27*INDEX('UA-normalized'!$D:$D, MATCH($A119, 'UA-normalized'!$A:$A, 0))-INDEX('UA-normalized'!$E:$E, MATCH($A119, 'UA-normalized'!$A:$A, 0))&gt;0, -(27*INDEX('UA-normalized'!$D:$D, MATCH($A119, 'UA-normalized'!$A:$A, 0))-INDEX('UA-normalized'!$E:$E, MATCH($A119, 'UA-normalized'!$A:$A, 0))), 0), 0))+(IFERROR(IF(27*INDEX('KZ-normalized'!$D:$D, MATCH($A119, 'KZ-normalized'!$A:$A, 0))-INDEX('KZ-normalized'!$E:$E, MATCH($A119, 'KZ-normalized'!$A:$A, 0))&gt;0, -(27*INDEX('KZ-normalized'!$D:$D, MATCH($A119, 'KZ-normalized'!$A:$A, 0))-INDEX('KZ-normalized'!$E:$E, MATCH($A119, 'KZ-normalized'!$A:$A, 0))), 0), 0))+(IFERROR(IF(27*INDEX('UZ-normalized'!$D:$D, MATCH($A119, 'UZ-normalized'!$A:$A, 0))-INDEX('UZ-normalized'!$E:$E, MATCH($A119, 'UZ-normalized'!$A:$A, 0))&gt;0, -(27*INDEX('UZ-normalized'!$D:$D, MATCH($A119, 'UZ-normalized'!$A:$A, 0))-INDEX('UZ-normalized'!$E:$E, MATCH($A119, 'UZ-normalized'!$A:$A, 0))), 0), 0)))</f>
        <v>0</v>
      </c>
      <c r="AP119" s="6">
        <f>MIN(0, N119+(IFERROR(IF(28*INDEX('UA-normalized'!$D:$D, MATCH($A119, 'UA-normalized'!$A:$A, 0))-INDEX('UA-normalized'!$E:$E, MATCH($A119, 'UA-normalized'!$A:$A, 0))&gt;0, -(28*INDEX('UA-normalized'!$D:$D, MATCH($A119, 'UA-normalized'!$A:$A, 0))-INDEX('UA-normalized'!$E:$E, MATCH($A119, 'UA-normalized'!$A:$A, 0))), 0), 0))+(IFERROR(IF(28*INDEX('KZ-normalized'!$D:$D, MATCH($A119, 'KZ-normalized'!$A:$A, 0))-INDEX('KZ-normalized'!$E:$E, MATCH($A119, 'KZ-normalized'!$A:$A, 0))&gt;0, -(28*INDEX('KZ-normalized'!$D:$D, MATCH($A119, 'KZ-normalized'!$A:$A, 0))-INDEX('KZ-normalized'!$E:$E, MATCH($A119, 'KZ-normalized'!$A:$A, 0))), 0), 0))+(IFERROR(IF(28*INDEX('UZ-normalized'!$D:$D, MATCH($A119, 'UZ-normalized'!$A:$A, 0))-INDEX('UZ-normalized'!$E:$E, MATCH($A119, 'UZ-normalized'!$A:$A, 0))&gt;0, -(28*INDEX('UZ-normalized'!$D:$D, MATCH($A119, 'UZ-normalized'!$A:$A, 0))-INDEX('UZ-normalized'!$E:$E, MATCH($A119, 'UZ-normalized'!$A:$A, 0))), 0), 0)))</f>
        <v>0</v>
      </c>
      <c r="AQ119" s="6">
        <f>MIN(0, N119+(IFERROR(IF(29*INDEX('UA-normalized'!$D:$D, MATCH($A119, 'UA-normalized'!$A:$A, 0))-INDEX('UA-normalized'!$E:$E, MATCH($A119, 'UA-normalized'!$A:$A, 0))&gt;0, -(29*INDEX('UA-normalized'!$D:$D, MATCH($A119, 'UA-normalized'!$A:$A, 0))-INDEX('UA-normalized'!$E:$E, MATCH($A119, 'UA-normalized'!$A:$A, 0))), 0), 0))+(IFERROR(IF(29*INDEX('KZ-normalized'!$D:$D, MATCH($A119, 'KZ-normalized'!$A:$A, 0))-INDEX('KZ-normalized'!$E:$E, MATCH($A119, 'KZ-normalized'!$A:$A, 0))&gt;0, -(29*INDEX('KZ-normalized'!$D:$D, MATCH($A119, 'KZ-normalized'!$A:$A, 0))-INDEX('KZ-normalized'!$E:$E, MATCH($A119, 'KZ-normalized'!$A:$A, 0))), 0), 0))+(IFERROR(IF(29*INDEX('UZ-normalized'!$D:$D, MATCH($A119, 'UZ-normalized'!$A:$A, 0))-INDEX('UZ-normalized'!$E:$E, MATCH($A119, 'UZ-normalized'!$A:$A, 0))&gt;0, -(29*INDEX('UZ-normalized'!$D:$D, MATCH($A119, 'UZ-normalized'!$A:$A, 0))-INDEX('UZ-normalized'!$E:$E, MATCH($A119, 'UZ-normalized'!$A:$A, 0))), 0), 0)))</f>
        <v>0</v>
      </c>
      <c r="AR119" s="6">
        <f>MIN(0, N119+(IFERROR(IF(30*INDEX('UA-normalized'!$D:$D, MATCH($A119, 'UA-normalized'!$A:$A, 0))-INDEX('UA-normalized'!$E:$E, MATCH($A119, 'UA-normalized'!$A:$A, 0))&gt;0, -(30*INDEX('UA-normalized'!$D:$D, MATCH($A119, 'UA-normalized'!$A:$A, 0))-INDEX('UA-normalized'!$E:$E, MATCH($A119, 'UA-normalized'!$A:$A, 0))), 0), 0))+(IFERROR(IF(30*INDEX('KZ-normalized'!$D:$D, MATCH($A119, 'KZ-normalized'!$A:$A, 0))-INDEX('KZ-normalized'!$E:$E, MATCH($A119, 'KZ-normalized'!$A:$A, 0))&gt;0, -(30*INDEX('KZ-normalized'!$D:$D, MATCH($A119, 'KZ-normalized'!$A:$A, 0))-INDEX('KZ-normalized'!$E:$E, MATCH($A119, 'KZ-normalized'!$A:$A, 0))), 0), 0))+(IFERROR(IF(30*INDEX('UZ-normalized'!$D:$D, MATCH($A119, 'UZ-normalized'!$A:$A, 0))-INDEX('UZ-normalized'!$E:$E, MATCH($A119, 'UZ-normalized'!$A:$A, 0))&gt;0, -(30*INDEX('UZ-normalized'!$D:$D, MATCH($A119, 'UZ-normalized'!$A:$A, 0))-INDEX('UZ-normalized'!$E:$E, MATCH($A119, 'UZ-normalized'!$A:$A, 0))), 0), 0)))</f>
        <v>0</v>
      </c>
    </row>
    <row r="120" spans="1:44" x14ac:dyDescent="0.25">
      <c r="A120" s="8" t="s">
        <v>293</v>
      </c>
      <c r="B120" s="8" t="s">
        <v>294</v>
      </c>
      <c r="C120" s="8" t="s">
        <v>295</v>
      </c>
      <c r="D120" s="8" t="s">
        <v>296</v>
      </c>
      <c r="G120">
        <v>-10</v>
      </c>
      <c r="N120">
        <f t="shared" si="1"/>
        <v>-10</v>
      </c>
      <c r="O120" s="6">
        <f>MIN(0, N120+(IFERROR(IF(1*INDEX('UA-normalized'!$D:$D, MATCH($A120, 'UA-normalized'!$A:$A, 0))-INDEX('UA-normalized'!$E:$E, MATCH($A120, 'UA-normalized'!$A:$A, 0))&gt;0, -(1*INDEX('UA-normalized'!$D:$D, MATCH($A120, 'UA-normalized'!$A:$A, 0))-INDEX('UA-normalized'!$E:$E, MATCH($A120, 'UA-normalized'!$A:$A, 0))), 0), 0))+(IFERROR(IF(1*INDEX('KZ-normalized'!$D:$D, MATCH($A120, 'KZ-normalized'!$A:$A, 0))-INDEX('KZ-normalized'!$E:$E, MATCH($A120, 'KZ-normalized'!$A:$A, 0))&gt;0, -(1*INDEX('KZ-normalized'!$D:$D, MATCH($A120, 'KZ-normalized'!$A:$A, 0))-INDEX('KZ-normalized'!$E:$E, MATCH($A120, 'KZ-normalized'!$A:$A, 0))), 0), 0))+(IFERROR(IF(1*INDEX('UZ-normalized'!$D:$D, MATCH($A120, 'UZ-normalized'!$A:$A, 0))-INDEX('UZ-normalized'!$E:$E, MATCH($A120, 'UZ-normalized'!$A:$A, 0))&gt;0, -(1*INDEX('UZ-normalized'!$D:$D, MATCH($A120, 'UZ-normalized'!$A:$A, 0))-INDEX('UZ-normalized'!$E:$E, MATCH($A120, 'UZ-normalized'!$A:$A, 0))), 0), 0)))</f>
        <v>-10</v>
      </c>
      <c r="P120" s="6">
        <f>MIN(0, N120+(IFERROR(IF(2*INDEX('UA-normalized'!$D:$D, MATCH($A120, 'UA-normalized'!$A:$A, 0))-INDEX('UA-normalized'!$E:$E, MATCH($A120, 'UA-normalized'!$A:$A, 0))&gt;0, -(2*INDEX('UA-normalized'!$D:$D, MATCH($A120, 'UA-normalized'!$A:$A, 0))-INDEX('UA-normalized'!$E:$E, MATCH($A120, 'UA-normalized'!$A:$A, 0))), 0), 0))+(IFERROR(IF(2*INDEX('KZ-normalized'!$D:$D, MATCH($A120, 'KZ-normalized'!$A:$A, 0))-INDEX('KZ-normalized'!$E:$E, MATCH($A120, 'KZ-normalized'!$A:$A, 0))&gt;0, -(2*INDEX('KZ-normalized'!$D:$D, MATCH($A120, 'KZ-normalized'!$A:$A, 0))-INDEX('KZ-normalized'!$E:$E, MATCH($A120, 'KZ-normalized'!$A:$A, 0))), 0), 0))+(IFERROR(IF(2*INDEX('UZ-normalized'!$D:$D, MATCH($A120, 'UZ-normalized'!$A:$A, 0))-INDEX('UZ-normalized'!$E:$E, MATCH($A120, 'UZ-normalized'!$A:$A, 0))&gt;0, -(2*INDEX('UZ-normalized'!$D:$D, MATCH($A120, 'UZ-normalized'!$A:$A, 0))-INDEX('UZ-normalized'!$E:$E, MATCH($A120, 'UZ-normalized'!$A:$A, 0))), 0), 0)))</f>
        <v>-10</v>
      </c>
      <c r="Q120" s="6">
        <f>MIN(0, N120+(IFERROR(IF(3*INDEX('UA-normalized'!$D:$D, MATCH($A120, 'UA-normalized'!$A:$A, 0))-INDEX('UA-normalized'!$E:$E, MATCH($A120, 'UA-normalized'!$A:$A, 0))&gt;0, -(3*INDEX('UA-normalized'!$D:$D, MATCH($A120, 'UA-normalized'!$A:$A, 0))-INDEX('UA-normalized'!$E:$E, MATCH($A120, 'UA-normalized'!$A:$A, 0))), 0), 0))+(IFERROR(IF(3*INDEX('KZ-normalized'!$D:$D, MATCH($A120, 'KZ-normalized'!$A:$A, 0))-INDEX('KZ-normalized'!$E:$E, MATCH($A120, 'KZ-normalized'!$A:$A, 0))&gt;0, -(3*INDEX('KZ-normalized'!$D:$D, MATCH($A120, 'KZ-normalized'!$A:$A, 0))-INDEX('KZ-normalized'!$E:$E, MATCH($A120, 'KZ-normalized'!$A:$A, 0))), 0), 0))+(IFERROR(IF(3*INDEX('UZ-normalized'!$D:$D, MATCH($A120, 'UZ-normalized'!$A:$A, 0))-INDEX('UZ-normalized'!$E:$E, MATCH($A120, 'UZ-normalized'!$A:$A, 0))&gt;0, -(3*INDEX('UZ-normalized'!$D:$D, MATCH($A120, 'UZ-normalized'!$A:$A, 0))-INDEX('UZ-normalized'!$E:$E, MATCH($A120, 'UZ-normalized'!$A:$A, 0))), 0), 0)))</f>
        <v>-10</v>
      </c>
      <c r="R120" s="6">
        <f>MIN(0, N120+(IFERROR(IF(4*INDEX('UA-normalized'!$D:$D, MATCH($A120, 'UA-normalized'!$A:$A, 0))-INDEX('UA-normalized'!$E:$E, MATCH($A120, 'UA-normalized'!$A:$A, 0))&gt;0, -(4*INDEX('UA-normalized'!$D:$D, MATCH($A120, 'UA-normalized'!$A:$A, 0))-INDEX('UA-normalized'!$E:$E, MATCH($A120, 'UA-normalized'!$A:$A, 0))), 0), 0))+(IFERROR(IF(4*INDEX('KZ-normalized'!$D:$D, MATCH($A120, 'KZ-normalized'!$A:$A, 0))-INDEX('KZ-normalized'!$E:$E, MATCH($A120, 'KZ-normalized'!$A:$A, 0))&gt;0, -(4*INDEX('KZ-normalized'!$D:$D, MATCH($A120, 'KZ-normalized'!$A:$A, 0))-INDEX('KZ-normalized'!$E:$E, MATCH($A120, 'KZ-normalized'!$A:$A, 0))), 0), 0))+(IFERROR(IF(4*INDEX('UZ-normalized'!$D:$D, MATCH($A120, 'UZ-normalized'!$A:$A, 0))-INDEX('UZ-normalized'!$E:$E, MATCH($A120, 'UZ-normalized'!$A:$A, 0))&gt;0, -(4*INDEX('UZ-normalized'!$D:$D, MATCH($A120, 'UZ-normalized'!$A:$A, 0))-INDEX('UZ-normalized'!$E:$E, MATCH($A120, 'UZ-normalized'!$A:$A, 0))), 0), 0)))</f>
        <v>-16.200000000000003</v>
      </c>
      <c r="S120" s="6">
        <f>MIN(0, N120+(IFERROR(IF(5*INDEX('UA-normalized'!$D:$D, MATCH($A120, 'UA-normalized'!$A:$A, 0))-INDEX('UA-normalized'!$E:$E, MATCH($A120, 'UA-normalized'!$A:$A, 0))&gt;0, -(5*INDEX('UA-normalized'!$D:$D, MATCH($A120, 'UA-normalized'!$A:$A, 0))-INDEX('UA-normalized'!$E:$E, MATCH($A120, 'UA-normalized'!$A:$A, 0))), 0), 0))+(IFERROR(IF(5*INDEX('KZ-normalized'!$D:$D, MATCH($A120, 'KZ-normalized'!$A:$A, 0))-INDEX('KZ-normalized'!$E:$E, MATCH($A120, 'KZ-normalized'!$A:$A, 0))&gt;0, -(5*INDEX('KZ-normalized'!$D:$D, MATCH($A120, 'KZ-normalized'!$A:$A, 0))-INDEX('KZ-normalized'!$E:$E, MATCH($A120, 'KZ-normalized'!$A:$A, 0))), 0), 0))+(IFERROR(IF(5*INDEX('UZ-normalized'!$D:$D, MATCH($A120, 'UZ-normalized'!$A:$A, 0))-INDEX('UZ-normalized'!$E:$E, MATCH($A120, 'UZ-normalized'!$A:$A, 0))&gt;0, -(5*INDEX('UZ-normalized'!$D:$D, MATCH($A120, 'UZ-normalized'!$A:$A, 0))-INDEX('UZ-normalized'!$E:$E, MATCH($A120, 'UZ-normalized'!$A:$A, 0))), 0), 0)))</f>
        <v>-48.5</v>
      </c>
      <c r="T120" s="6">
        <f>MIN(0, N120+(IFERROR(IF(6*INDEX('UA-normalized'!$D:$D, MATCH($A120, 'UA-normalized'!$A:$A, 0))-INDEX('UA-normalized'!$E:$E, MATCH($A120, 'UA-normalized'!$A:$A, 0))&gt;0, -(6*INDEX('UA-normalized'!$D:$D, MATCH($A120, 'UA-normalized'!$A:$A, 0))-INDEX('UA-normalized'!$E:$E, MATCH($A120, 'UA-normalized'!$A:$A, 0))), 0), 0))+(IFERROR(IF(6*INDEX('KZ-normalized'!$D:$D, MATCH($A120, 'KZ-normalized'!$A:$A, 0))-INDEX('KZ-normalized'!$E:$E, MATCH($A120, 'KZ-normalized'!$A:$A, 0))&gt;0, -(6*INDEX('KZ-normalized'!$D:$D, MATCH($A120, 'KZ-normalized'!$A:$A, 0))-INDEX('KZ-normalized'!$E:$E, MATCH($A120, 'KZ-normalized'!$A:$A, 0))), 0), 0))+(IFERROR(IF(6*INDEX('UZ-normalized'!$D:$D, MATCH($A120, 'UZ-normalized'!$A:$A, 0))-INDEX('UZ-normalized'!$E:$E, MATCH($A120, 'UZ-normalized'!$A:$A, 0))&gt;0, -(6*INDEX('UZ-normalized'!$D:$D, MATCH($A120, 'UZ-normalized'!$A:$A, 0))-INDEX('UZ-normalized'!$E:$E, MATCH($A120, 'UZ-normalized'!$A:$A, 0))), 0), 0)))</f>
        <v>-93</v>
      </c>
      <c r="U120" s="6">
        <f>MIN(0, N120+(IFERROR(IF(7*INDEX('UA-normalized'!$D:$D, MATCH($A120, 'UA-normalized'!$A:$A, 0))-INDEX('UA-normalized'!$E:$E, MATCH($A120, 'UA-normalized'!$A:$A, 0))&gt;0, -(7*INDEX('UA-normalized'!$D:$D, MATCH($A120, 'UA-normalized'!$A:$A, 0))-INDEX('UA-normalized'!$E:$E, MATCH($A120, 'UA-normalized'!$A:$A, 0))), 0), 0))+(IFERROR(IF(7*INDEX('KZ-normalized'!$D:$D, MATCH($A120, 'KZ-normalized'!$A:$A, 0))-INDEX('KZ-normalized'!$E:$E, MATCH($A120, 'KZ-normalized'!$A:$A, 0))&gt;0, -(7*INDEX('KZ-normalized'!$D:$D, MATCH($A120, 'KZ-normalized'!$A:$A, 0))-INDEX('KZ-normalized'!$E:$E, MATCH($A120, 'KZ-normalized'!$A:$A, 0))), 0), 0))+(IFERROR(IF(7*INDEX('UZ-normalized'!$D:$D, MATCH($A120, 'UZ-normalized'!$A:$A, 0))-INDEX('UZ-normalized'!$E:$E, MATCH($A120, 'UZ-normalized'!$A:$A, 0))&gt;0, -(7*INDEX('UZ-normalized'!$D:$D, MATCH($A120, 'UZ-normalized'!$A:$A, 0))-INDEX('UZ-normalized'!$E:$E, MATCH($A120, 'UZ-normalized'!$A:$A, 0))), 0), 0)))</f>
        <v>-144.5</v>
      </c>
      <c r="V120" s="6">
        <f>MIN(0, N120+(IFERROR(IF(8*INDEX('UA-normalized'!$D:$D, MATCH($A120, 'UA-normalized'!$A:$A, 0))-INDEX('UA-normalized'!$E:$E, MATCH($A120, 'UA-normalized'!$A:$A, 0))&gt;0, -(8*INDEX('UA-normalized'!$D:$D, MATCH($A120, 'UA-normalized'!$A:$A, 0))-INDEX('UA-normalized'!$E:$E, MATCH($A120, 'UA-normalized'!$A:$A, 0))), 0), 0))+(IFERROR(IF(8*INDEX('KZ-normalized'!$D:$D, MATCH($A120, 'KZ-normalized'!$A:$A, 0))-INDEX('KZ-normalized'!$E:$E, MATCH($A120, 'KZ-normalized'!$A:$A, 0))&gt;0, -(8*INDEX('KZ-normalized'!$D:$D, MATCH($A120, 'KZ-normalized'!$A:$A, 0))-INDEX('KZ-normalized'!$E:$E, MATCH($A120, 'KZ-normalized'!$A:$A, 0))), 0), 0))+(IFERROR(IF(8*INDEX('UZ-normalized'!$D:$D, MATCH($A120, 'UZ-normalized'!$A:$A, 0))-INDEX('UZ-normalized'!$E:$E, MATCH($A120, 'UZ-normalized'!$A:$A, 0))&gt;0, -(8*INDEX('UZ-normalized'!$D:$D, MATCH($A120, 'UZ-normalized'!$A:$A, 0))-INDEX('UZ-normalized'!$E:$E, MATCH($A120, 'UZ-normalized'!$A:$A, 0))), 0), 0)))</f>
        <v>-196</v>
      </c>
      <c r="W120" s="6">
        <f>MIN(0, N120+(IFERROR(IF(9*INDEX('UA-normalized'!$D:$D, MATCH($A120, 'UA-normalized'!$A:$A, 0))-INDEX('UA-normalized'!$E:$E, MATCH($A120, 'UA-normalized'!$A:$A, 0))&gt;0, -(9*INDEX('UA-normalized'!$D:$D, MATCH($A120, 'UA-normalized'!$A:$A, 0))-INDEX('UA-normalized'!$E:$E, MATCH($A120, 'UA-normalized'!$A:$A, 0))), 0), 0))+(IFERROR(IF(9*INDEX('KZ-normalized'!$D:$D, MATCH($A120, 'KZ-normalized'!$A:$A, 0))-INDEX('KZ-normalized'!$E:$E, MATCH($A120, 'KZ-normalized'!$A:$A, 0))&gt;0, -(9*INDEX('KZ-normalized'!$D:$D, MATCH($A120, 'KZ-normalized'!$A:$A, 0))-INDEX('KZ-normalized'!$E:$E, MATCH($A120, 'KZ-normalized'!$A:$A, 0))), 0), 0))+(IFERROR(IF(9*INDEX('UZ-normalized'!$D:$D, MATCH($A120, 'UZ-normalized'!$A:$A, 0))-INDEX('UZ-normalized'!$E:$E, MATCH($A120, 'UZ-normalized'!$A:$A, 0))&gt;0, -(9*INDEX('UZ-normalized'!$D:$D, MATCH($A120, 'UZ-normalized'!$A:$A, 0))-INDEX('UZ-normalized'!$E:$E, MATCH($A120, 'UZ-normalized'!$A:$A, 0))), 0), 0)))</f>
        <v>-247.5</v>
      </c>
      <c r="X120" s="6">
        <f>MIN(0, N120+(IFERROR(IF(10*INDEX('UA-normalized'!$D:$D, MATCH($A120, 'UA-normalized'!$A:$A, 0))-INDEX('UA-normalized'!$E:$E, MATCH($A120, 'UA-normalized'!$A:$A, 0))&gt;0, -(10*INDEX('UA-normalized'!$D:$D, MATCH($A120, 'UA-normalized'!$A:$A, 0))-INDEX('UA-normalized'!$E:$E, MATCH($A120, 'UA-normalized'!$A:$A, 0))), 0), 0))+(IFERROR(IF(10*INDEX('KZ-normalized'!$D:$D, MATCH($A120, 'KZ-normalized'!$A:$A, 0))-INDEX('KZ-normalized'!$E:$E, MATCH($A120, 'KZ-normalized'!$A:$A, 0))&gt;0, -(10*INDEX('KZ-normalized'!$D:$D, MATCH($A120, 'KZ-normalized'!$A:$A, 0))-INDEX('KZ-normalized'!$E:$E, MATCH($A120, 'KZ-normalized'!$A:$A, 0))), 0), 0))+(IFERROR(IF(10*INDEX('UZ-normalized'!$D:$D, MATCH($A120, 'UZ-normalized'!$A:$A, 0))-INDEX('UZ-normalized'!$E:$E, MATCH($A120, 'UZ-normalized'!$A:$A, 0))&gt;0, -(10*INDEX('UZ-normalized'!$D:$D, MATCH($A120, 'UZ-normalized'!$A:$A, 0))-INDEX('UZ-normalized'!$E:$E, MATCH($A120, 'UZ-normalized'!$A:$A, 0))), 0), 0)))</f>
        <v>-299</v>
      </c>
      <c r="Y120" s="6">
        <f>MIN(0, N120+(IFERROR(IF(11*INDEX('UA-normalized'!$D:$D, MATCH($A120, 'UA-normalized'!$A:$A, 0))-INDEX('UA-normalized'!$E:$E, MATCH($A120, 'UA-normalized'!$A:$A, 0))&gt;0, -(11*INDEX('UA-normalized'!$D:$D, MATCH($A120, 'UA-normalized'!$A:$A, 0))-INDEX('UA-normalized'!$E:$E, MATCH($A120, 'UA-normalized'!$A:$A, 0))), 0), 0))+(IFERROR(IF(11*INDEX('KZ-normalized'!$D:$D, MATCH($A120, 'KZ-normalized'!$A:$A, 0))-INDEX('KZ-normalized'!$E:$E, MATCH($A120, 'KZ-normalized'!$A:$A, 0))&gt;0, -(11*INDEX('KZ-normalized'!$D:$D, MATCH($A120, 'KZ-normalized'!$A:$A, 0))-INDEX('KZ-normalized'!$E:$E, MATCH($A120, 'KZ-normalized'!$A:$A, 0))), 0), 0))+(IFERROR(IF(11*INDEX('UZ-normalized'!$D:$D, MATCH($A120, 'UZ-normalized'!$A:$A, 0))-INDEX('UZ-normalized'!$E:$E, MATCH($A120, 'UZ-normalized'!$A:$A, 0))&gt;0, -(11*INDEX('UZ-normalized'!$D:$D, MATCH($A120, 'UZ-normalized'!$A:$A, 0))-INDEX('UZ-normalized'!$E:$E, MATCH($A120, 'UZ-normalized'!$A:$A, 0))), 0), 0)))</f>
        <v>-350.5</v>
      </c>
      <c r="Z120" s="6">
        <f>MIN(0, N120+(IFERROR(IF(12*INDEX('UA-normalized'!$D:$D, MATCH($A120, 'UA-normalized'!$A:$A, 0))-INDEX('UA-normalized'!$E:$E, MATCH($A120, 'UA-normalized'!$A:$A, 0))&gt;0, -(12*INDEX('UA-normalized'!$D:$D, MATCH($A120, 'UA-normalized'!$A:$A, 0))-INDEX('UA-normalized'!$E:$E, MATCH($A120, 'UA-normalized'!$A:$A, 0))), 0), 0))+(IFERROR(IF(12*INDEX('KZ-normalized'!$D:$D, MATCH($A120, 'KZ-normalized'!$A:$A, 0))-INDEX('KZ-normalized'!$E:$E, MATCH($A120, 'KZ-normalized'!$A:$A, 0))&gt;0, -(12*INDEX('KZ-normalized'!$D:$D, MATCH($A120, 'KZ-normalized'!$A:$A, 0))-INDEX('KZ-normalized'!$E:$E, MATCH($A120, 'KZ-normalized'!$A:$A, 0))), 0), 0))+(IFERROR(IF(12*INDEX('UZ-normalized'!$D:$D, MATCH($A120, 'UZ-normalized'!$A:$A, 0))-INDEX('UZ-normalized'!$E:$E, MATCH($A120, 'UZ-normalized'!$A:$A, 0))&gt;0, -(12*INDEX('UZ-normalized'!$D:$D, MATCH($A120, 'UZ-normalized'!$A:$A, 0))-INDEX('UZ-normalized'!$E:$E, MATCH($A120, 'UZ-normalized'!$A:$A, 0))), 0), 0)))</f>
        <v>-402</v>
      </c>
      <c r="AA120" s="6">
        <f>MIN(0, N120+(IFERROR(IF(13*INDEX('UA-normalized'!$D:$D, MATCH($A120, 'UA-normalized'!$A:$A, 0))-INDEX('UA-normalized'!$E:$E, MATCH($A120, 'UA-normalized'!$A:$A, 0))&gt;0, -(13*INDEX('UA-normalized'!$D:$D, MATCH($A120, 'UA-normalized'!$A:$A, 0))-INDEX('UA-normalized'!$E:$E, MATCH($A120, 'UA-normalized'!$A:$A, 0))), 0), 0))+(IFERROR(IF(13*INDEX('KZ-normalized'!$D:$D, MATCH($A120, 'KZ-normalized'!$A:$A, 0))-INDEX('KZ-normalized'!$E:$E, MATCH($A120, 'KZ-normalized'!$A:$A, 0))&gt;0, -(13*INDEX('KZ-normalized'!$D:$D, MATCH($A120, 'KZ-normalized'!$A:$A, 0))-INDEX('KZ-normalized'!$E:$E, MATCH($A120, 'KZ-normalized'!$A:$A, 0))), 0), 0))+(IFERROR(IF(13*INDEX('UZ-normalized'!$D:$D, MATCH($A120, 'UZ-normalized'!$A:$A, 0))-INDEX('UZ-normalized'!$E:$E, MATCH($A120, 'UZ-normalized'!$A:$A, 0))&gt;0, -(13*INDEX('UZ-normalized'!$D:$D, MATCH($A120, 'UZ-normalized'!$A:$A, 0))-INDEX('UZ-normalized'!$E:$E, MATCH($A120, 'UZ-normalized'!$A:$A, 0))), 0), 0)))</f>
        <v>-453.5</v>
      </c>
      <c r="AB120" s="6">
        <f>MIN(0, N120+(IFERROR(IF(14*INDEX('UA-normalized'!$D:$D, MATCH($A120, 'UA-normalized'!$A:$A, 0))-INDEX('UA-normalized'!$E:$E, MATCH($A120, 'UA-normalized'!$A:$A, 0))&gt;0, -(14*INDEX('UA-normalized'!$D:$D, MATCH($A120, 'UA-normalized'!$A:$A, 0))-INDEX('UA-normalized'!$E:$E, MATCH($A120, 'UA-normalized'!$A:$A, 0))), 0), 0))+(IFERROR(IF(14*INDEX('KZ-normalized'!$D:$D, MATCH($A120, 'KZ-normalized'!$A:$A, 0))-INDEX('KZ-normalized'!$E:$E, MATCH($A120, 'KZ-normalized'!$A:$A, 0))&gt;0, -(14*INDEX('KZ-normalized'!$D:$D, MATCH($A120, 'KZ-normalized'!$A:$A, 0))-INDEX('KZ-normalized'!$E:$E, MATCH($A120, 'KZ-normalized'!$A:$A, 0))), 0), 0))+(IFERROR(IF(14*INDEX('UZ-normalized'!$D:$D, MATCH($A120, 'UZ-normalized'!$A:$A, 0))-INDEX('UZ-normalized'!$E:$E, MATCH($A120, 'UZ-normalized'!$A:$A, 0))&gt;0, -(14*INDEX('UZ-normalized'!$D:$D, MATCH($A120, 'UZ-normalized'!$A:$A, 0))-INDEX('UZ-normalized'!$E:$E, MATCH($A120, 'UZ-normalized'!$A:$A, 0))), 0), 0)))</f>
        <v>-505</v>
      </c>
      <c r="AC120" s="6">
        <f>MIN(0, N120+(IFERROR(IF(15*INDEX('UA-normalized'!$D:$D, MATCH($A120, 'UA-normalized'!$A:$A, 0))-INDEX('UA-normalized'!$E:$E, MATCH($A120, 'UA-normalized'!$A:$A, 0))&gt;0, -(15*INDEX('UA-normalized'!$D:$D, MATCH($A120, 'UA-normalized'!$A:$A, 0))-INDEX('UA-normalized'!$E:$E, MATCH($A120, 'UA-normalized'!$A:$A, 0))), 0), 0))+(IFERROR(IF(15*INDEX('KZ-normalized'!$D:$D, MATCH($A120, 'KZ-normalized'!$A:$A, 0))-INDEX('KZ-normalized'!$E:$E, MATCH($A120, 'KZ-normalized'!$A:$A, 0))&gt;0, -(15*INDEX('KZ-normalized'!$D:$D, MATCH($A120, 'KZ-normalized'!$A:$A, 0))-INDEX('KZ-normalized'!$E:$E, MATCH($A120, 'KZ-normalized'!$A:$A, 0))), 0), 0))+(IFERROR(IF(15*INDEX('UZ-normalized'!$D:$D, MATCH($A120, 'UZ-normalized'!$A:$A, 0))-INDEX('UZ-normalized'!$E:$E, MATCH($A120, 'UZ-normalized'!$A:$A, 0))&gt;0, -(15*INDEX('UZ-normalized'!$D:$D, MATCH($A120, 'UZ-normalized'!$A:$A, 0))-INDEX('UZ-normalized'!$E:$E, MATCH($A120, 'UZ-normalized'!$A:$A, 0))), 0), 0)))</f>
        <v>-556.5</v>
      </c>
      <c r="AD120" s="6">
        <f>MIN(0, N120+(IFERROR(IF(16*INDEX('UA-normalized'!$D:$D, MATCH($A120, 'UA-normalized'!$A:$A, 0))-INDEX('UA-normalized'!$E:$E, MATCH($A120, 'UA-normalized'!$A:$A, 0))&gt;0, -(16*INDEX('UA-normalized'!$D:$D, MATCH($A120, 'UA-normalized'!$A:$A, 0))-INDEX('UA-normalized'!$E:$E, MATCH($A120, 'UA-normalized'!$A:$A, 0))), 0), 0))+(IFERROR(IF(16*INDEX('KZ-normalized'!$D:$D, MATCH($A120, 'KZ-normalized'!$A:$A, 0))-INDEX('KZ-normalized'!$E:$E, MATCH($A120, 'KZ-normalized'!$A:$A, 0))&gt;0, -(16*INDEX('KZ-normalized'!$D:$D, MATCH($A120, 'KZ-normalized'!$A:$A, 0))-INDEX('KZ-normalized'!$E:$E, MATCH($A120, 'KZ-normalized'!$A:$A, 0))), 0), 0))+(IFERROR(IF(16*INDEX('UZ-normalized'!$D:$D, MATCH($A120, 'UZ-normalized'!$A:$A, 0))-INDEX('UZ-normalized'!$E:$E, MATCH($A120, 'UZ-normalized'!$A:$A, 0))&gt;0, -(16*INDEX('UZ-normalized'!$D:$D, MATCH($A120, 'UZ-normalized'!$A:$A, 0))-INDEX('UZ-normalized'!$E:$E, MATCH($A120, 'UZ-normalized'!$A:$A, 0))), 0), 0)))</f>
        <v>-608</v>
      </c>
      <c r="AE120" s="6">
        <f>MIN(0, N120+(IFERROR(IF(17*INDEX('UA-normalized'!$D:$D, MATCH($A120, 'UA-normalized'!$A:$A, 0))-INDEX('UA-normalized'!$E:$E, MATCH($A120, 'UA-normalized'!$A:$A, 0))&gt;0, -(17*INDEX('UA-normalized'!$D:$D, MATCH($A120, 'UA-normalized'!$A:$A, 0))-INDEX('UA-normalized'!$E:$E, MATCH($A120, 'UA-normalized'!$A:$A, 0))), 0), 0))+(IFERROR(IF(17*INDEX('KZ-normalized'!$D:$D, MATCH($A120, 'KZ-normalized'!$A:$A, 0))-INDEX('KZ-normalized'!$E:$E, MATCH($A120, 'KZ-normalized'!$A:$A, 0))&gt;0, -(17*INDEX('KZ-normalized'!$D:$D, MATCH($A120, 'KZ-normalized'!$A:$A, 0))-INDEX('KZ-normalized'!$E:$E, MATCH($A120, 'KZ-normalized'!$A:$A, 0))), 0), 0))+(IFERROR(IF(17*INDEX('UZ-normalized'!$D:$D, MATCH($A120, 'UZ-normalized'!$A:$A, 0))-INDEX('UZ-normalized'!$E:$E, MATCH($A120, 'UZ-normalized'!$A:$A, 0))&gt;0, -(17*INDEX('UZ-normalized'!$D:$D, MATCH($A120, 'UZ-normalized'!$A:$A, 0))-INDEX('UZ-normalized'!$E:$E, MATCH($A120, 'UZ-normalized'!$A:$A, 0))), 0), 0)))</f>
        <v>-659.5</v>
      </c>
      <c r="AF120" s="6">
        <f>MIN(0, N120+(IFERROR(IF(18*INDEX('UA-normalized'!$D:$D, MATCH($A120, 'UA-normalized'!$A:$A, 0))-INDEX('UA-normalized'!$E:$E, MATCH($A120, 'UA-normalized'!$A:$A, 0))&gt;0, -(18*INDEX('UA-normalized'!$D:$D, MATCH($A120, 'UA-normalized'!$A:$A, 0))-INDEX('UA-normalized'!$E:$E, MATCH($A120, 'UA-normalized'!$A:$A, 0))), 0), 0))+(IFERROR(IF(18*INDEX('KZ-normalized'!$D:$D, MATCH($A120, 'KZ-normalized'!$A:$A, 0))-INDEX('KZ-normalized'!$E:$E, MATCH($A120, 'KZ-normalized'!$A:$A, 0))&gt;0, -(18*INDEX('KZ-normalized'!$D:$D, MATCH($A120, 'KZ-normalized'!$A:$A, 0))-INDEX('KZ-normalized'!$E:$E, MATCH($A120, 'KZ-normalized'!$A:$A, 0))), 0), 0))+(IFERROR(IF(18*INDEX('UZ-normalized'!$D:$D, MATCH($A120, 'UZ-normalized'!$A:$A, 0))-INDEX('UZ-normalized'!$E:$E, MATCH($A120, 'UZ-normalized'!$A:$A, 0))&gt;0, -(18*INDEX('UZ-normalized'!$D:$D, MATCH($A120, 'UZ-normalized'!$A:$A, 0))-INDEX('UZ-normalized'!$E:$E, MATCH($A120, 'UZ-normalized'!$A:$A, 0))), 0), 0)))</f>
        <v>-711</v>
      </c>
      <c r="AG120" s="6">
        <f>MIN(0, N120+(IFERROR(IF(19*INDEX('UA-normalized'!$D:$D, MATCH($A120, 'UA-normalized'!$A:$A, 0))-INDEX('UA-normalized'!$E:$E, MATCH($A120, 'UA-normalized'!$A:$A, 0))&gt;0, -(19*INDEX('UA-normalized'!$D:$D, MATCH($A120, 'UA-normalized'!$A:$A, 0))-INDEX('UA-normalized'!$E:$E, MATCH($A120, 'UA-normalized'!$A:$A, 0))), 0), 0))+(IFERROR(IF(19*INDEX('KZ-normalized'!$D:$D, MATCH($A120, 'KZ-normalized'!$A:$A, 0))-INDEX('KZ-normalized'!$E:$E, MATCH($A120, 'KZ-normalized'!$A:$A, 0))&gt;0, -(19*INDEX('KZ-normalized'!$D:$D, MATCH($A120, 'KZ-normalized'!$A:$A, 0))-INDEX('KZ-normalized'!$E:$E, MATCH($A120, 'KZ-normalized'!$A:$A, 0))), 0), 0))+(IFERROR(IF(19*INDEX('UZ-normalized'!$D:$D, MATCH($A120, 'UZ-normalized'!$A:$A, 0))-INDEX('UZ-normalized'!$E:$E, MATCH($A120, 'UZ-normalized'!$A:$A, 0))&gt;0, -(19*INDEX('UZ-normalized'!$D:$D, MATCH($A120, 'UZ-normalized'!$A:$A, 0))-INDEX('UZ-normalized'!$E:$E, MATCH($A120, 'UZ-normalized'!$A:$A, 0))), 0), 0)))</f>
        <v>-762.5</v>
      </c>
      <c r="AH120" s="6">
        <f>MIN(0, N120+(IFERROR(IF(20*INDEX('UA-normalized'!$D:$D, MATCH($A120, 'UA-normalized'!$A:$A, 0))-INDEX('UA-normalized'!$E:$E, MATCH($A120, 'UA-normalized'!$A:$A, 0))&gt;0, -(20*INDEX('UA-normalized'!$D:$D, MATCH($A120, 'UA-normalized'!$A:$A, 0))-INDEX('UA-normalized'!$E:$E, MATCH($A120, 'UA-normalized'!$A:$A, 0))), 0), 0))+(IFERROR(IF(20*INDEX('KZ-normalized'!$D:$D, MATCH($A120, 'KZ-normalized'!$A:$A, 0))-INDEX('KZ-normalized'!$E:$E, MATCH($A120, 'KZ-normalized'!$A:$A, 0))&gt;0, -(20*INDEX('KZ-normalized'!$D:$D, MATCH($A120, 'KZ-normalized'!$A:$A, 0))-INDEX('KZ-normalized'!$E:$E, MATCH($A120, 'KZ-normalized'!$A:$A, 0))), 0), 0))+(IFERROR(IF(20*INDEX('UZ-normalized'!$D:$D, MATCH($A120, 'UZ-normalized'!$A:$A, 0))-INDEX('UZ-normalized'!$E:$E, MATCH($A120, 'UZ-normalized'!$A:$A, 0))&gt;0, -(20*INDEX('UZ-normalized'!$D:$D, MATCH($A120, 'UZ-normalized'!$A:$A, 0))-INDEX('UZ-normalized'!$E:$E, MATCH($A120, 'UZ-normalized'!$A:$A, 0))), 0), 0)))</f>
        <v>-814</v>
      </c>
      <c r="AI120" s="6">
        <f>MIN(0, N120+(IFERROR(IF(21*INDEX('UA-normalized'!$D:$D, MATCH($A120, 'UA-normalized'!$A:$A, 0))-INDEX('UA-normalized'!$E:$E, MATCH($A120, 'UA-normalized'!$A:$A, 0))&gt;0, -(21*INDEX('UA-normalized'!$D:$D, MATCH($A120, 'UA-normalized'!$A:$A, 0))-INDEX('UA-normalized'!$E:$E, MATCH($A120, 'UA-normalized'!$A:$A, 0))), 0), 0))+(IFERROR(IF(21*INDEX('KZ-normalized'!$D:$D, MATCH($A120, 'KZ-normalized'!$A:$A, 0))-INDEX('KZ-normalized'!$E:$E, MATCH($A120, 'KZ-normalized'!$A:$A, 0))&gt;0, -(21*INDEX('KZ-normalized'!$D:$D, MATCH($A120, 'KZ-normalized'!$A:$A, 0))-INDEX('KZ-normalized'!$E:$E, MATCH($A120, 'KZ-normalized'!$A:$A, 0))), 0), 0))+(IFERROR(IF(21*INDEX('UZ-normalized'!$D:$D, MATCH($A120, 'UZ-normalized'!$A:$A, 0))-INDEX('UZ-normalized'!$E:$E, MATCH($A120, 'UZ-normalized'!$A:$A, 0))&gt;0, -(21*INDEX('UZ-normalized'!$D:$D, MATCH($A120, 'UZ-normalized'!$A:$A, 0))-INDEX('UZ-normalized'!$E:$E, MATCH($A120, 'UZ-normalized'!$A:$A, 0))), 0), 0)))</f>
        <v>-865.5</v>
      </c>
      <c r="AJ120" s="6">
        <f>MIN(0, N120+(IFERROR(IF(22*INDEX('UA-normalized'!$D:$D, MATCH($A120, 'UA-normalized'!$A:$A, 0))-INDEX('UA-normalized'!$E:$E, MATCH($A120, 'UA-normalized'!$A:$A, 0))&gt;0, -(22*INDEX('UA-normalized'!$D:$D, MATCH($A120, 'UA-normalized'!$A:$A, 0))-INDEX('UA-normalized'!$E:$E, MATCH($A120, 'UA-normalized'!$A:$A, 0))), 0), 0))+(IFERROR(IF(22*INDEX('KZ-normalized'!$D:$D, MATCH($A120, 'KZ-normalized'!$A:$A, 0))-INDEX('KZ-normalized'!$E:$E, MATCH($A120, 'KZ-normalized'!$A:$A, 0))&gt;0, -(22*INDEX('KZ-normalized'!$D:$D, MATCH($A120, 'KZ-normalized'!$A:$A, 0))-INDEX('KZ-normalized'!$E:$E, MATCH($A120, 'KZ-normalized'!$A:$A, 0))), 0), 0))+(IFERROR(IF(22*INDEX('UZ-normalized'!$D:$D, MATCH($A120, 'UZ-normalized'!$A:$A, 0))-INDEX('UZ-normalized'!$E:$E, MATCH($A120, 'UZ-normalized'!$A:$A, 0))&gt;0, -(22*INDEX('UZ-normalized'!$D:$D, MATCH($A120, 'UZ-normalized'!$A:$A, 0))-INDEX('UZ-normalized'!$E:$E, MATCH($A120, 'UZ-normalized'!$A:$A, 0))), 0), 0)))</f>
        <v>-917</v>
      </c>
      <c r="AK120" s="6">
        <f>MIN(0, N120+(IFERROR(IF(23*INDEX('UA-normalized'!$D:$D, MATCH($A120, 'UA-normalized'!$A:$A, 0))-INDEX('UA-normalized'!$E:$E, MATCH($A120, 'UA-normalized'!$A:$A, 0))&gt;0, -(23*INDEX('UA-normalized'!$D:$D, MATCH($A120, 'UA-normalized'!$A:$A, 0))-INDEX('UA-normalized'!$E:$E, MATCH($A120, 'UA-normalized'!$A:$A, 0))), 0), 0))+(IFERROR(IF(23*INDEX('KZ-normalized'!$D:$D, MATCH($A120, 'KZ-normalized'!$A:$A, 0))-INDEX('KZ-normalized'!$E:$E, MATCH($A120, 'KZ-normalized'!$A:$A, 0))&gt;0, -(23*INDEX('KZ-normalized'!$D:$D, MATCH($A120, 'KZ-normalized'!$A:$A, 0))-INDEX('KZ-normalized'!$E:$E, MATCH($A120, 'KZ-normalized'!$A:$A, 0))), 0), 0))+(IFERROR(IF(23*INDEX('UZ-normalized'!$D:$D, MATCH($A120, 'UZ-normalized'!$A:$A, 0))-INDEX('UZ-normalized'!$E:$E, MATCH($A120, 'UZ-normalized'!$A:$A, 0))&gt;0, -(23*INDEX('UZ-normalized'!$D:$D, MATCH($A120, 'UZ-normalized'!$A:$A, 0))-INDEX('UZ-normalized'!$E:$E, MATCH($A120, 'UZ-normalized'!$A:$A, 0))), 0), 0)))</f>
        <v>-968.5</v>
      </c>
      <c r="AL120" s="6">
        <f>MIN(0, N120+(IFERROR(IF(24*INDEX('UA-normalized'!$D:$D, MATCH($A120, 'UA-normalized'!$A:$A, 0))-INDEX('UA-normalized'!$E:$E, MATCH($A120, 'UA-normalized'!$A:$A, 0))&gt;0, -(24*INDEX('UA-normalized'!$D:$D, MATCH($A120, 'UA-normalized'!$A:$A, 0))-INDEX('UA-normalized'!$E:$E, MATCH($A120, 'UA-normalized'!$A:$A, 0))), 0), 0))+(IFERROR(IF(24*INDEX('KZ-normalized'!$D:$D, MATCH($A120, 'KZ-normalized'!$A:$A, 0))-INDEX('KZ-normalized'!$E:$E, MATCH($A120, 'KZ-normalized'!$A:$A, 0))&gt;0, -(24*INDEX('KZ-normalized'!$D:$D, MATCH($A120, 'KZ-normalized'!$A:$A, 0))-INDEX('KZ-normalized'!$E:$E, MATCH($A120, 'KZ-normalized'!$A:$A, 0))), 0), 0))+(IFERROR(IF(24*INDEX('UZ-normalized'!$D:$D, MATCH($A120, 'UZ-normalized'!$A:$A, 0))-INDEX('UZ-normalized'!$E:$E, MATCH($A120, 'UZ-normalized'!$A:$A, 0))&gt;0, -(24*INDEX('UZ-normalized'!$D:$D, MATCH($A120, 'UZ-normalized'!$A:$A, 0))-INDEX('UZ-normalized'!$E:$E, MATCH($A120, 'UZ-normalized'!$A:$A, 0))), 0), 0)))</f>
        <v>-1020</v>
      </c>
      <c r="AM120" s="6">
        <f>MIN(0, N120+(IFERROR(IF(25*INDEX('UA-normalized'!$D:$D, MATCH($A120, 'UA-normalized'!$A:$A, 0))-INDEX('UA-normalized'!$E:$E, MATCH($A120, 'UA-normalized'!$A:$A, 0))&gt;0, -(25*INDEX('UA-normalized'!$D:$D, MATCH($A120, 'UA-normalized'!$A:$A, 0))-INDEX('UA-normalized'!$E:$E, MATCH($A120, 'UA-normalized'!$A:$A, 0))), 0), 0))+(IFERROR(IF(25*INDEX('KZ-normalized'!$D:$D, MATCH($A120, 'KZ-normalized'!$A:$A, 0))-INDEX('KZ-normalized'!$E:$E, MATCH($A120, 'KZ-normalized'!$A:$A, 0))&gt;0, -(25*INDEX('KZ-normalized'!$D:$D, MATCH($A120, 'KZ-normalized'!$A:$A, 0))-INDEX('KZ-normalized'!$E:$E, MATCH($A120, 'KZ-normalized'!$A:$A, 0))), 0), 0))+(IFERROR(IF(25*INDEX('UZ-normalized'!$D:$D, MATCH($A120, 'UZ-normalized'!$A:$A, 0))-INDEX('UZ-normalized'!$E:$E, MATCH($A120, 'UZ-normalized'!$A:$A, 0))&gt;0, -(25*INDEX('UZ-normalized'!$D:$D, MATCH($A120, 'UZ-normalized'!$A:$A, 0))-INDEX('UZ-normalized'!$E:$E, MATCH($A120, 'UZ-normalized'!$A:$A, 0))), 0), 0)))</f>
        <v>-1071.5</v>
      </c>
      <c r="AN120" s="6">
        <f>MIN(0, N120+(IFERROR(IF(26*INDEX('UA-normalized'!$D:$D, MATCH($A120, 'UA-normalized'!$A:$A, 0))-INDEX('UA-normalized'!$E:$E, MATCH($A120, 'UA-normalized'!$A:$A, 0))&gt;0, -(26*INDEX('UA-normalized'!$D:$D, MATCH($A120, 'UA-normalized'!$A:$A, 0))-INDEX('UA-normalized'!$E:$E, MATCH($A120, 'UA-normalized'!$A:$A, 0))), 0), 0))+(IFERROR(IF(26*INDEX('KZ-normalized'!$D:$D, MATCH($A120, 'KZ-normalized'!$A:$A, 0))-INDEX('KZ-normalized'!$E:$E, MATCH($A120, 'KZ-normalized'!$A:$A, 0))&gt;0, -(26*INDEX('KZ-normalized'!$D:$D, MATCH($A120, 'KZ-normalized'!$A:$A, 0))-INDEX('KZ-normalized'!$E:$E, MATCH($A120, 'KZ-normalized'!$A:$A, 0))), 0), 0))+(IFERROR(IF(26*INDEX('UZ-normalized'!$D:$D, MATCH($A120, 'UZ-normalized'!$A:$A, 0))-INDEX('UZ-normalized'!$E:$E, MATCH($A120, 'UZ-normalized'!$A:$A, 0))&gt;0, -(26*INDEX('UZ-normalized'!$D:$D, MATCH($A120, 'UZ-normalized'!$A:$A, 0))-INDEX('UZ-normalized'!$E:$E, MATCH($A120, 'UZ-normalized'!$A:$A, 0))), 0), 0)))</f>
        <v>-1123</v>
      </c>
      <c r="AO120" s="6">
        <f>MIN(0, N120+(IFERROR(IF(27*INDEX('UA-normalized'!$D:$D, MATCH($A120, 'UA-normalized'!$A:$A, 0))-INDEX('UA-normalized'!$E:$E, MATCH($A120, 'UA-normalized'!$A:$A, 0))&gt;0, -(27*INDEX('UA-normalized'!$D:$D, MATCH($A120, 'UA-normalized'!$A:$A, 0))-INDEX('UA-normalized'!$E:$E, MATCH($A120, 'UA-normalized'!$A:$A, 0))), 0), 0))+(IFERROR(IF(27*INDEX('KZ-normalized'!$D:$D, MATCH($A120, 'KZ-normalized'!$A:$A, 0))-INDEX('KZ-normalized'!$E:$E, MATCH($A120, 'KZ-normalized'!$A:$A, 0))&gt;0, -(27*INDEX('KZ-normalized'!$D:$D, MATCH($A120, 'KZ-normalized'!$A:$A, 0))-INDEX('KZ-normalized'!$E:$E, MATCH($A120, 'KZ-normalized'!$A:$A, 0))), 0), 0))+(IFERROR(IF(27*INDEX('UZ-normalized'!$D:$D, MATCH($A120, 'UZ-normalized'!$A:$A, 0))-INDEX('UZ-normalized'!$E:$E, MATCH($A120, 'UZ-normalized'!$A:$A, 0))&gt;0, -(27*INDEX('UZ-normalized'!$D:$D, MATCH($A120, 'UZ-normalized'!$A:$A, 0))-INDEX('UZ-normalized'!$E:$E, MATCH($A120, 'UZ-normalized'!$A:$A, 0))), 0), 0)))</f>
        <v>-1174.5</v>
      </c>
      <c r="AP120" s="6">
        <f>MIN(0, N120+(IFERROR(IF(28*INDEX('UA-normalized'!$D:$D, MATCH($A120, 'UA-normalized'!$A:$A, 0))-INDEX('UA-normalized'!$E:$E, MATCH($A120, 'UA-normalized'!$A:$A, 0))&gt;0, -(28*INDEX('UA-normalized'!$D:$D, MATCH($A120, 'UA-normalized'!$A:$A, 0))-INDEX('UA-normalized'!$E:$E, MATCH($A120, 'UA-normalized'!$A:$A, 0))), 0), 0))+(IFERROR(IF(28*INDEX('KZ-normalized'!$D:$D, MATCH($A120, 'KZ-normalized'!$A:$A, 0))-INDEX('KZ-normalized'!$E:$E, MATCH($A120, 'KZ-normalized'!$A:$A, 0))&gt;0, -(28*INDEX('KZ-normalized'!$D:$D, MATCH($A120, 'KZ-normalized'!$A:$A, 0))-INDEX('KZ-normalized'!$E:$E, MATCH($A120, 'KZ-normalized'!$A:$A, 0))), 0), 0))+(IFERROR(IF(28*INDEX('UZ-normalized'!$D:$D, MATCH($A120, 'UZ-normalized'!$A:$A, 0))-INDEX('UZ-normalized'!$E:$E, MATCH($A120, 'UZ-normalized'!$A:$A, 0))&gt;0, -(28*INDEX('UZ-normalized'!$D:$D, MATCH($A120, 'UZ-normalized'!$A:$A, 0))-INDEX('UZ-normalized'!$E:$E, MATCH($A120, 'UZ-normalized'!$A:$A, 0))), 0), 0)))</f>
        <v>-1226</v>
      </c>
      <c r="AQ120" s="6">
        <f>MIN(0, N120+(IFERROR(IF(29*INDEX('UA-normalized'!$D:$D, MATCH($A120, 'UA-normalized'!$A:$A, 0))-INDEX('UA-normalized'!$E:$E, MATCH($A120, 'UA-normalized'!$A:$A, 0))&gt;0, -(29*INDEX('UA-normalized'!$D:$D, MATCH($A120, 'UA-normalized'!$A:$A, 0))-INDEX('UA-normalized'!$E:$E, MATCH($A120, 'UA-normalized'!$A:$A, 0))), 0), 0))+(IFERROR(IF(29*INDEX('KZ-normalized'!$D:$D, MATCH($A120, 'KZ-normalized'!$A:$A, 0))-INDEX('KZ-normalized'!$E:$E, MATCH($A120, 'KZ-normalized'!$A:$A, 0))&gt;0, -(29*INDEX('KZ-normalized'!$D:$D, MATCH($A120, 'KZ-normalized'!$A:$A, 0))-INDEX('KZ-normalized'!$E:$E, MATCH($A120, 'KZ-normalized'!$A:$A, 0))), 0), 0))+(IFERROR(IF(29*INDEX('UZ-normalized'!$D:$D, MATCH($A120, 'UZ-normalized'!$A:$A, 0))-INDEX('UZ-normalized'!$E:$E, MATCH($A120, 'UZ-normalized'!$A:$A, 0))&gt;0, -(29*INDEX('UZ-normalized'!$D:$D, MATCH($A120, 'UZ-normalized'!$A:$A, 0))-INDEX('UZ-normalized'!$E:$E, MATCH($A120, 'UZ-normalized'!$A:$A, 0))), 0), 0)))</f>
        <v>-1277.5</v>
      </c>
      <c r="AR120" s="6">
        <f>MIN(0, N120+(IFERROR(IF(30*INDEX('UA-normalized'!$D:$D, MATCH($A120, 'UA-normalized'!$A:$A, 0))-INDEX('UA-normalized'!$E:$E, MATCH($A120, 'UA-normalized'!$A:$A, 0))&gt;0, -(30*INDEX('UA-normalized'!$D:$D, MATCH($A120, 'UA-normalized'!$A:$A, 0))-INDEX('UA-normalized'!$E:$E, MATCH($A120, 'UA-normalized'!$A:$A, 0))), 0), 0))+(IFERROR(IF(30*INDEX('KZ-normalized'!$D:$D, MATCH($A120, 'KZ-normalized'!$A:$A, 0))-INDEX('KZ-normalized'!$E:$E, MATCH($A120, 'KZ-normalized'!$A:$A, 0))&gt;0, -(30*INDEX('KZ-normalized'!$D:$D, MATCH($A120, 'KZ-normalized'!$A:$A, 0))-INDEX('KZ-normalized'!$E:$E, MATCH($A120, 'KZ-normalized'!$A:$A, 0))), 0), 0))+(IFERROR(IF(30*INDEX('UZ-normalized'!$D:$D, MATCH($A120, 'UZ-normalized'!$A:$A, 0))-INDEX('UZ-normalized'!$E:$E, MATCH($A120, 'UZ-normalized'!$A:$A, 0))&gt;0, -(30*INDEX('UZ-normalized'!$D:$D, MATCH($A120, 'UZ-normalized'!$A:$A, 0))-INDEX('UZ-normalized'!$E:$E, MATCH($A120, 'UZ-normalized'!$A:$A, 0))), 0), 0)))</f>
        <v>-1329</v>
      </c>
    </row>
    <row r="121" spans="1:44" x14ac:dyDescent="0.25">
      <c r="A121" s="8" t="s">
        <v>297</v>
      </c>
      <c r="B121" s="8" t="s">
        <v>294</v>
      </c>
      <c r="C121" s="8" t="s">
        <v>295</v>
      </c>
      <c r="D121" s="8" t="s">
        <v>298</v>
      </c>
      <c r="N121">
        <f t="shared" si="1"/>
        <v>0</v>
      </c>
      <c r="O121" s="6">
        <f>MIN(0, N121+(IFERROR(IF(1*INDEX('UA-normalized'!$D:$D, MATCH($A121, 'UA-normalized'!$A:$A, 0))-INDEX('UA-normalized'!$E:$E, MATCH($A121, 'UA-normalized'!$A:$A, 0))&gt;0, -(1*INDEX('UA-normalized'!$D:$D, MATCH($A121, 'UA-normalized'!$A:$A, 0))-INDEX('UA-normalized'!$E:$E, MATCH($A121, 'UA-normalized'!$A:$A, 0))), 0), 0))+(IFERROR(IF(1*INDEX('KZ-normalized'!$D:$D, MATCH($A121, 'KZ-normalized'!$A:$A, 0))-INDEX('KZ-normalized'!$E:$E, MATCH($A121, 'KZ-normalized'!$A:$A, 0))&gt;0, -(1*INDEX('KZ-normalized'!$D:$D, MATCH($A121, 'KZ-normalized'!$A:$A, 0))-INDEX('KZ-normalized'!$E:$E, MATCH($A121, 'KZ-normalized'!$A:$A, 0))), 0), 0))+(IFERROR(IF(1*INDEX('UZ-normalized'!$D:$D, MATCH($A121, 'UZ-normalized'!$A:$A, 0))-INDEX('UZ-normalized'!$E:$E, MATCH($A121, 'UZ-normalized'!$A:$A, 0))&gt;0, -(1*INDEX('UZ-normalized'!$D:$D, MATCH($A121, 'UZ-normalized'!$A:$A, 0))-INDEX('UZ-normalized'!$E:$E, MATCH($A121, 'UZ-normalized'!$A:$A, 0))), 0), 0)))</f>
        <v>0</v>
      </c>
      <c r="P121" s="6">
        <f>MIN(0, N121+(IFERROR(IF(2*INDEX('UA-normalized'!$D:$D, MATCH($A121, 'UA-normalized'!$A:$A, 0))-INDEX('UA-normalized'!$E:$E, MATCH($A121, 'UA-normalized'!$A:$A, 0))&gt;0, -(2*INDEX('UA-normalized'!$D:$D, MATCH($A121, 'UA-normalized'!$A:$A, 0))-INDEX('UA-normalized'!$E:$E, MATCH($A121, 'UA-normalized'!$A:$A, 0))), 0), 0))+(IFERROR(IF(2*INDEX('KZ-normalized'!$D:$D, MATCH($A121, 'KZ-normalized'!$A:$A, 0))-INDEX('KZ-normalized'!$E:$E, MATCH($A121, 'KZ-normalized'!$A:$A, 0))&gt;0, -(2*INDEX('KZ-normalized'!$D:$D, MATCH($A121, 'KZ-normalized'!$A:$A, 0))-INDEX('KZ-normalized'!$E:$E, MATCH($A121, 'KZ-normalized'!$A:$A, 0))), 0), 0))+(IFERROR(IF(2*INDEX('UZ-normalized'!$D:$D, MATCH($A121, 'UZ-normalized'!$A:$A, 0))-INDEX('UZ-normalized'!$E:$E, MATCH($A121, 'UZ-normalized'!$A:$A, 0))&gt;0, -(2*INDEX('UZ-normalized'!$D:$D, MATCH($A121, 'UZ-normalized'!$A:$A, 0))-INDEX('UZ-normalized'!$E:$E, MATCH($A121, 'UZ-normalized'!$A:$A, 0))), 0), 0)))</f>
        <v>0</v>
      </c>
      <c r="Q121" s="6">
        <f>MIN(0, N121+(IFERROR(IF(3*INDEX('UA-normalized'!$D:$D, MATCH($A121, 'UA-normalized'!$A:$A, 0))-INDEX('UA-normalized'!$E:$E, MATCH($A121, 'UA-normalized'!$A:$A, 0))&gt;0, -(3*INDEX('UA-normalized'!$D:$D, MATCH($A121, 'UA-normalized'!$A:$A, 0))-INDEX('UA-normalized'!$E:$E, MATCH($A121, 'UA-normalized'!$A:$A, 0))), 0), 0))+(IFERROR(IF(3*INDEX('KZ-normalized'!$D:$D, MATCH($A121, 'KZ-normalized'!$A:$A, 0))-INDEX('KZ-normalized'!$E:$E, MATCH($A121, 'KZ-normalized'!$A:$A, 0))&gt;0, -(3*INDEX('KZ-normalized'!$D:$D, MATCH($A121, 'KZ-normalized'!$A:$A, 0))-INDEX('KZ-normalized'!$E:$E, MATCH($A121, 'KZ-normalized'!$A:$A, 0))), 0), 0))+(IFERROR(IF(3*INDEX('UZ-normalized'!$D:$D, MATCH($A121, 'UZ-normalized'!$A:$A, 0))-INDEX('UZ-normalized'!$E:$E, MATCH($A121, 'UZ-normalized'!$A:$A, 0))&gt;0, -(3*INDEX('UZ-normalized'!$D:$D, MATCH($A121, 'UZ-normalized'!$A:$A, 0))-INDEX('UZ-normalized'!$E:$E, MATCH($A121, 'UZ-normalized'!$A:$A, 0))), 0), 0)))</f>
        <v>0</v>
      </c>
      <c r="R121" s="6">
        <f>MIN(0, N121+(IFERROR(IF(4*INDEX('UA-normalized'!$D:$D, MATCH($A121, 'UA-normalized'!$A:$A, 0))-INDEX('UA-normalized'!$E:$E, MATCH($A121, 'UA-normalized'!$A:$A, 0))&gt;0, -(4*INDEX('UA-normalized'!$D:$D, MATCH($A121, 'UA-normalized'!$A:$A, 0))-INDEX('UA-normalized'!$E:$E, MATCH($A121, 'UA-normalized'!$A:$A, 0))), 0), 0))+(IFERROR(IF(4*INDEX('KZ-normalized'!$D:$D, MATCH($A121, 'KZ-normalized'!$A:$A, 0))-INDEX('KZ-normalized'!$E:$E, MATCH($A121, 'KZ-normalized'!$A:$A, 0))&gt;0, -(4*INDEX('KZ-normalized'!$D:$D, MATCH($A121, 'KZ-normalized'!$A:$A, 0))-INDEX('KZ-normalized'!$E:$E, MATCH($A121, 'KZ-normalized'!$A:$A, 0))), 0), 0))+(IFERROR(IF(4*INDEX('UZ-normalized'!$D:$D, MATCH($A121, 'UZ-normalized'!$A:$A, 0))-INDEX('UZ-normalized'!$E:$E, MATCH($A121, 'UZ-normalized'!$A:$A, 0))&gt;0, -(4*INDEX('UZ-normalized'!$D:$D, MATCH($A121, 'UZ-normalized'!$A:$A, 0))-INDEX('UZ-normalized'!$E:$E, MATCH($A121, 'UZ-normalized'!$A:$A, 0))), 0), 0)))</f>
        <v>0</v>
      </c>
      <c r="S121" s="6">
        <f>MIN(0, N121+(IFERROR(IF(5*INDEX('UA-normalized'!$D:$D, MATCH($A121, 'UA-normalized'!$A:$A, 0))-INDEX('UA-normalized'!$E:$E, MATCH($A121, 'UA-normalized'!$A:$A, 0))&gt;0, -(5*INDEX('UA-normalized'!$D:$D, MATCH($A121, 'UA-normalized'!$A:$A, 0))-INDEX('UA-normalized'!$E:$E, MATCH($A121, 'UA-normalized'!$A:$A, 0))), 0), 0))+(IFERROR(IF(5*INDEX('KZ-normalized'!$D:$D, MATCH($A121, 'KZ-normalized'!$A:$A, 0))-INDEX('KZ-normalized'!$E:$E, MATCH($A121, 'KZ-normalized'!$A:$A, 0))&gt;0, -(5*INDEX('KZ-normalized'!$D:$D, MATCH($A121, 'KZ-normalized'!$A:$A, 0))-INDEX('KZ-normalized'!$E:$E, MATCH($A121, 'KZ-normalized'!$A:$A, 0))), 0), 0))+(IFERROR(IF(5*INDEX('UZ-normalized'!$D:$D, MATCH($A121, 'UZ-normalized'!$A:$A, 0))-INDEX('UZ-normalized'!$E:$E, MATCH($A121, 'UZ-normalized'!$A:$A, 0))&gt;0, -(5*INDEX('UZ-normalized'!$D:$D, MATCH($A121, 'UZ-normalized'!$A:$A, 0))-INDEX('UZ-normalized'!$E:$E, MATCH($A121, 'UZ-normalized'!$A:$A, 0))), 0), 0)))</f>
        <v>0</v>
      </c>
      <c r="T121" s="6">
        <f>MIN(0, N121+(IFERROR(IF(6*INDEX('UA-normalized'!$D:$D, MATCH($A121, 'UA-normalized'!$A:$A, 0))-INDEX('UA-normalized'!$E:$E, MATCH($A121, 'UA-normalized'!$A:$A, 0))&gt;0, -(6*INDEX('UA-normalized'!$D:$D, MATCH($A121, 'UA-normalized'!$A:$A, 0))-INDEX('UA-normalized'!$E:$E, MATCH($A121, 'UA-normalized'!$A:$A, 0))), 0), 0))+(IFERROR(IF(6*INDEX('KZ-normalized'!$D:$D, MATCH($A121, 'KZ-normalized'!$A:$A, 0))-INDEX('KZ-normalized'!$E:$E, MATCH($A121, 'KZ-normalized'!$A:$A, 0))&gt;0, -(6*INDEX('KZ-normalized'!$D:$D, MATCH($A121, 'KZ-normalized'!$A:$A, 0))-INDEX('KZ-normalized'!$E:$E, MATCH($A121, 'KZ-normalized'!$A:$A, 0))), 0), 0))+(IFERROR(IF(6*INDEX('UZ-normalized'!$D:$D, MATCH($A121, 'UZ-normalized'!$A:$A, 0))-INDEX('UZ-normalized'!$E:$E, MATCH($A121, 'UZ-normalized'!$A:$A, 0))&gt;0, -(6*INDEX('UZ-normalized'!$D:$D, MATCH($A121, 'UZ-normalized'!$A:$A, 0))-INDEX('UZ-normalized'!$E:$E, MATCH($A121, 'UZ-normalized'!$A:$A, 0))), 0), 0)))</f>
        <v>-63</v>
      </c>
      <c r="U121" s="6">
        <f>MIN(0, N121+(IFERROR(IF(7*INDEX('UA-normalized'!$D:$D, MATCH($A121, 'UA-normalized'!$A:$A, 0))-INDEX('UA-normalized'!$E:$E, MATCH($A121, 'UA-normalized'!$A:$A, 0))&gt;0, -(7*INDEX('UA-normalized'!$D:$D, MATCH($A121, 'UA-normalized'!$A:$A, 0))-INDEX('UA-normalized'!$E:$E, MATCH($A121, 'UA-normalized'!$A:$A, 0))), 0), 0))+(IFERROR(IF(7*INDEX('KZ-normalized'!$D:$D, MATCH($A121, 'KZ-normalized'!$A:$A, 0))-INDEX('KZ-normalized'!$E:$E, MATCH($A121, 'KZ-normalized'!$A:$A, 0))&gt;0, -(7*INDEX('KZ-normalized'!$D:$D, MATCH($A121, 'KZ-normalized'!$A:$A, 0))-INDEX('KZ-normalized'!$E:$E, MATCH($A121, 'KZ-normalized'!$A:$A, 0))), 0), 0))+(IFERROR(IF(7*INDEX('UZ-normalized'!$D:$D, MATCH($A121, 'UZ-normalized'!$A:$A, 0))-INDEX('UZ-normalized'!$E:$E, MATCH($A121, 'UZ-normalized'!$A:$A, 0))&gt;0, -(7*INDEX('UZ-normalized'!$D:$D, MATCH($A121, 'UZ-normalized'!$A:$A, 0))-INDEX('UZ-normalized'!$E:$E, MATCH($A121, 'UZ-normalized'!$A:$A, 0))), 0), 0)))</f>
        <v>-138</v>
      </c>
      <c r="V121" s="6">
        <f>MIN(0, N121+(IFERROR(IF(8*INDEX('UA-normalized'!$D:$D, MATCH($A121, 'UA-normalized'!$A:$A, 0))-INDEX('UA-normalized'!$E:$E, MATCH($A121, 'UA-normalized'!$A:$A, 0))&gt;0, -(8*INDEX('UA-normalized'!$D:$D, MATCH($A121, 'UA-normalized'!$A:$A, 0))-INDEX('UA-normalized'!$E:$E, MATCH($A121, 'UA-normalized'!$A:$A, 0))), 0), 0))+(IFERROR(IF(8*INDEX('KZ-normalized'!$D:$D, MATCH($A121, 'KZ-normalized'!$A:$A, 0))-INDEX('KZ-normalized'!$E:$E, MATCH($A121, 'KZ-normalized'!$A:$A, 0))&gt;0, -(8*INDEX('KZ-normalized'!$D:$D, MATCH($A121, 'KZ-normalized'!$A:$A, 0))-INDEX('KZ-normalized'!$E:$E, MATCH($A121, 'KZ-normalized'!$A:$A, 0))), 0), 0))+(IFERROR(IF(8*INDEX('UZ-normalized'!$D:$D, MATCH($A121, 'UZ-normalized'!$A:$A, 0))-INDEX('UZ-normalized'!$E:$E, MATCH($A121, 'UZ-normalized'!$A:$A, 0))&gt;0, -(8*INDEX('UZ-normalized'!$D:$D, MATCH($A121, 'UZ-normalized'!$A:$A, 0))-INDEX('UZ-normalized'!$E:$E, MATCH($A121, 'UZ-normalized'!$A:$A, 0))), 0), 0)))</f>
        <v>-213.6</v>
      </c>
      <c r="W121" s="6">
        <f>MIN(0, N121+(IFERROR(IF(9*INDEX('UA-normalized'!$D:$D, MATCH($A121, 'UA-normalized'!$A:$A, 0))-INDEX('UA-normalized'!$E:$E, MATCH($A121, 'UA-normalized'!$A:$A, 0))&gt;0, -(9*INDEX('UA-normalized'!$D:$D, MATCH($A121, 'UA-normalized'!$A:$A, 0))-INDEX('UA-normalized'!$E:$E, MATCH($A121, 'UA-normalized'!$A:$A, 0))), 0), 0))+(IFERROR(IF(9*INDEX('KZ-normalized'!$D:$D, MATCH($A121, 'KZ-normalized'!$A:$A, 0))-INDEX('KZ-normalized'!$E:$E, MATCH($A121, 'KZ-normalized'!$A:$A, 0))&gt;0, -(9*INDEX('KZ-normalized'!$D:$D, MATCH($A121, 'KZ-normalized'!$A:$A, 0))-INDEX('KZ-normalized'!$E:$E, MATCH($A121, 'KZ-normalized'!$A:$A, 0))), 0), 0))+(IFERROR(IF(9*INDEX('UZ-normalized'!$D:$D, MATCH($A121, 'UZ-normalized'!$A:$A, 0))-INDEX('UZ-normalized'!$E:$E, MATCH($A121, 'UZ-normalized'!$A:$A, 0))&gt;0, -(9*INDEX('UZ-normalized'!$D:$D, MATCH($A121, 'UZ-normalized'!$A:$A, 0))-INDEX('UZ-normalized'!$E:$E, MATCH($A121, 'UZ-normalized'!$A:$A, 0))), 0), 0)))</f>
        <v>-291.8</v>
      </c>
      <c r="X121" s="6">
        <f>MIN(0, N121+(IFERROR(IF(10*INDEX('UA-normalized'!$D:$D, MATCH($A121, 'UA-normalized'!$A:$A, 0))-INDEX('UA-normalized'!$E:$E, MATCH($A121, 'UA-normalized'!$A:$A, 0))&gt;0, -(10*INDEX('UA-normalized'!$D:$D, MATCH($A121, 'UA-normalized'!$A:$A, 0))-INDEX('UA-normalized'!$E:$E, MATCH($A121, 'UA-normalized'!$A:$A, 0))), 0), 0))+(IFERROR(IF(10*INDEX('KZ-normalized'!$D:$D, MATCH($A121, 'KZ-normalized'!$A:$A, 0))-INDEX('KZ-normalized'!$E:$E, MATCH($A121, 'KZ-normalized'!$A:$A, 0))&gt;0, -(10*INDEX('KZ-normalized'!$D:$D, MATCH($A121, 'KZ-normalized'!$A:$A, 0))-INDEX('KZ-normalized'!$E:$E, MATCH($A121, 'KZ-normalized'!$A:$A, 0))), 0), 0))+(IFERROR(IF(10*INDEX('UZ-normalized'!$D:$D, MATCH($A121, 'UZ-normalized'!$A:$A, 0))-INDEX('UZ-normalized'!$E:$E, MATCH($A121, 'UZ-normalized'!$A:$A, 0))&gt;0, -(10*INDEX('UZ-normalized'!$D:$D, MATCH($A121, 'UZ-normalized'!$A:$A, 0))-INDEX('UZ-normalized'!$E:$E, MATCH($A121, 'UZ-normalized'!$A:$A, 0))), 0), 0)))</f>
        <v>-371</v>
      </c>
      <c r="Y121" s="6">
        <f>MIN(0, N121+(IFERROR(IF(11*INDEX('UA-normalized'!$D:$D, MATCH($A121, 'UA-normalized'!$A:$A, 0))-INDEX('UA-normalized'!$E:$E, MATCH($A121, 'UA-normalized'!$A:$A, 0))&gt;0, -(11*INDEX('UA-normalized'!$D:$D, MATCH($A121, 'UA-normalized'!$A:$A, 0))-INDEX('UA-normalized'!$E:$E, MATCH($A121, 'UA-normalized'!$A:$A, 0))), 0), 0))+(IFERROR(IF(11*INDEX('KZ-normalized'!$D:$D, MATCH($A121, 'KZ-normalized'!$A:$A, 0))-INDEX('KZ-normalized'!$E:$E, MATCH($A121, 'KZ-normalized'!$A:$A, 0))&gt;0, -(11*INDEX('KZ-normalized'!$D:$D, MATCH($A121, 'KZ-normalized'!$A:$A, 0))-INDEX('KZ-normalized'!$E:$E, MATCH($A121, 'KZ-normalized'!$A:$A, 0))), 0), 0))+(IFERROR(IF(11*INDEX('UZ-normalized'!$D:$D, MATCH($A121, 'UZ-normalized'!$A:$A, 0))-INDEX('UZ-normalized'!$E:$E, MATCH($A121, 'UZ-normalized'!$A:$A, 0))&gt;0, -(11*INDEX('UZ-normalized'!$D:$D, MATCH($A121, 'UZ-normalized'!$A:$A, 0))-INDEX('UZ-normalized'!$E:$E, MATCH($A121, 'UZ-normalized'!$A:$A, 0))), 0), 0)))</f>
        <v>-450.7</v>
      </c>
      <c r="Z121" s="6">
        <f>MIN(0, N121+(IFERROR(IF(12*INDEX('UA-normalized'!$D:$D, MATCH($A121, 'UA-normalized'!$A:$A, 0))-INDEX('UA-normalized'!$E:$E, MATCH($A121, 'UA-normalized'!$A:$A, 0))&gt;0, -(12*INDEX('UA-normalized'!$D:$D, MATCH($A121, 'UA-normalized'!$A:$A, 0))-INDEX('UA-normalized'!$E:$E, MATCH($A121, 'UA-normalized'!$A:$A, 0))), 0), 0))+(IFERROR(IF(12*INDEX('KZ-normalized'!$D:$D, MATCH($A121, 'KZ-normalized'!$A:$A, 0))-INDEX('KZ-normalized'!$E:$E, MATCH($A121, 'KZ-normalized'!$A:$A, 0))&gt;0, -(12*INDEX('KZ-normalized'!$D:$D, MATCH($A121, 'KZ-normalized'!$A:$A, 0))-INDEX('KZ-normalized'!$E:$E, MATCH($A121, 'KZ-normalized'!$A:$A, 0))), 0), 0))+(IFERROR(IF(12*INDEX('UZ-normalized'!$D:$D, MATCH($A121, 'UZ-normalized'!$A:$A, 0))-INDEX('UZ-normalized'!$E:$E, MATCH($A121, 'UZ-normalized'!$A:$A, 0))&gt;0, -(12*INDEX('UZ-normalized'!$D:$D, MATCH($A121, 'UZ-normalized'!$A:$A, 0))-INDEX('UZ-normalized'!$E:$E, MATCH($A121, 'UZ-normalized'!$A:$A, 0))), 0), 0)))</f>
        <v>-530.4</v>
      </c>
      <c r="AA121" s="6">
        <f>MIN(0, N121+(IFERROR(IF(13*INDEX('UA-normalized'!$D:$D, MATCH($A121, 'UA-normalized'!$A:$A, 0))-INDEX('UA-normalized'!$E:$E, MATCH($A121, 'UA-normalized'!$A:$A, 0))&gt;0, -(13*INDEX('UA-normalized'!$D:$D, MATCH($A121, 'UA-normalized'!$A:$A, 0))-INDEX('UA-normalized'!$E:$E, MATCH($A121, 'UA-normalized'!$A:$A, 0))), 0), 0))+(IFERROR(IF(13*INDEX('KZ-normalized'!$D:$D, MATCH($A121, 'KZ-normalized'!$A:$A, 0))-INDEX('KZ-normalized'!$E:$E, MATCH($A121, 'KZ-normalized'!$A:$A, 0))&gt;0, -(13*INDEX('KZ-normalized'!$D:$D, MATCH($A121, 'KZ-normalized'!$A:$A, 0))-INDEX('KZ-normalized'!$E:$E, MATCH($A121, 'KZ-normalized'!$A:$A, 0))), 0), 0))+(IFERROR(IF(13*INDEX('UZ-normalized'!$D:$D, MATCH($A121, 'UZ-normalized'!$A:$A, 0))-INDEX('UZ-normalized'!$E:$E, MATCH($A121, 'UZ-normalized'!$A:$A, 0))&gt;0, -(13*INDEX('UZ-normalized'!$D:$D, MATCH($A121, 'UZ-normalized'!$A:$A, 0))-INDEX('UZ-normalized'!$E:$E, MATCH($A121, 'UZ-normalized'!$A:$A, 0))), 0), 0)))</f>
        <v>-610.1</v>
      </c>
      <c r="AB121" s="6">
        <f>MIN(0, N121+(IFERROR(IF(14*INDEX('UA-normalized'!$D:$D, MATCH($A121, 'UA-normalized'!$A:$A, 0))-INDEX('UA-normalized'!$E:$E, MATCH($A121, 'UA-normalized'!$A:$A, 0))&gt;0, -(14*INDEX('UA-normalized'!$D:$D, MATCH($A121, 'UA-normalized'!$A:$A, 0))-INDEX('UA-normalized'!$E:$E, MATCH($A121, 'UA-normalized'!$A:$A, 0))), 0), 0))+(IFERROR(IF(14*INDEX('KZ-normalized'!$D:$D, MATCH($A121, 'KZ-normalized'!$A:$A, 0))-INDEX('KZ-normalized'!$E:$E, MATCH($A121, 'KZ-normalized'!$A:$A, 0))&gt;0, -(14*INDEX('KZ-normalized'!$D:$D, MATCH($A121, 'KZ-normalized'!$A:$A, 0))-INDEX('KZ-normalized'!$E:$E, MATCH($A121, 'KZ-normalized'!$A:$A, 0))), 0), 0))+(IFERROR(IF(14*INDEX('UZ-normalized'!$D:$D, MATCH($A121, 'UZ-normalized'!$A:$A, 0))-INDEX('UZ-normalized'!$E:$E, MATCH($A121, 'UZ-normalized'!$A:$A, 0))&gt;0, -(14*INDEX('UZ-normalized'!$D:$D, MATCH($A121, 'UZ-normalized'!$A:$A, 0))-INDEX('UZ-normalized'!$E:$E, MATCH($A121, 'UZ-normalized'!$A:$A, 0))), 0), 0)))</f>
        <v>-689.8</v>
      </c>
      <c r="AC121" s="6">
        <f>MIN(0, N121+(IFERROR(IF(15*INDEX('UA-normalized'!$D:$D, MATCH($A121, 'UA-normalized'!$A:$A, 0))-INDEX('UA-normalized'!$E:$E, MATCH($A121, 'UA-normalized'!$A:$A, 0))&gt;0, -(15*INDEX('UA-normalized'!$D:$D, MATCH($A121, 'UA-normalized'!$A:$A, 0))-INDEX('UA-normalized'!$E:$E, MATCH($A121, 'UA-normalized'!$A:$A, 0))), 0), 0))+(IFERROR(IF(15*INDEX('KZ-normalized'!$D:$D, MATCH($A121, 'KZ-normalized'!$A:$A, 0))-INDEX('KZ-normalized'!$E:$E, MATCH($A121, 'KZ-normalized'!$A:$A, 0))&gt;0, -(15*INDEX('KZ-normalized'!$D:$D, MATCH($A121, 'KZ-normalized'!$A:$A, 0))-INDEX('KZ-normalized'!$E:$E, MATCH($A121, 'KZ-normalized'!$A:$A, 0))), 0), 0))+(IFERROR(IF(15*INDEX('UZ-normalized'!$D:$D, MATCH($A121, 'UZ-normalized'!$A:$A, 0))-INDEX('UZ-normalized'!$E:$E, MATCH($A121, 'UZ-normalized'!$A:$A, 0))&gt;0, -(15*INDEX('UZ-normalized'!$D:$D, MATCH($A121, 'UZ-normalized'!$A:$A, 0))-INDEX('UZ-normalized'!$E:$E, MATCH($A121, 'UZ-normalized'!$A:$A, 0))), 0), 0)))</f>
        <v>-769.5</v>
      </c>
      <c r="AD121" s="6">
        <f>MIN(0, N121+(IFERROR(IF(16*INDEX('UA-normalized'!$D:$D, MATCH($A121, 'UA-normalized'!$A:$A, 0))-INDEX('UA-normalized'!$E:$E, MATCH($A121, 'UA-normalized'!$A:$A, 0))&gt;0, -(16*INDEX('UA-normalized'!$D:$D, MATCH($A121, 'UA-normalized'!$A:$A, 0))-INDEX('UA-normalized'!$E:$E, MATCH($A121, 'UA-normalized'!$A:$A, 0))), 0), 0))+(IFERROR(IF(16*INDEX('KZ-normalized'!$D:$D, MATCH($A121, 'KZ-normalized'!$A:$A, 0))-INDEX('KZ-normalized'!$E:$E, MATCH($A121, 'KZ-normalized'!$A:$A, 0))&gt;0, -(16*INDEX('KZ-normalized'!$D:$D, MATCH($A121, 'KZ-normalized'!$A:$A, 0))-INDEX('KZ-normalized'!$E:$E, MATCH($A121, 'KZ-normalized'!$A:$A, 0))), 0), 0))+(IFERROR(IF(16*INDEX('UZ-normalized'!$D:$D, MATCH($A121, 'UZ-normalized'!$A:$A, 0))-INDEX('UZ-normalized'!$E:$E, MATCH($A121, 'UZ-normalized'!$A:$A, 0))&gt;0, -(16*INDEX('UZ-normalized'!$D:$D, MATCH($A121, 'UZ-normalized'!$A:$A, 0))-INDEX('UZ-normalized'!$E:$E, MATCH($A121, 'UZ-normalized'!$A:$A, 0))), 0), 0)))</f>
        <v>-849.2</v>
      </c>
      <c r="AE121" s="6">
        <f>MIN(0, N121+(IFERROR(IF(17*INDEX('UA-normalized'!$D:$D, MATCH($A121, 'UA-normalized'!$A:$A, 0))-INDEX('UA-normalized'!$E:$E, MATCH($A121, 'UA-normalized'!$A:$A, 0))&gt;0, -(17*INDEX('UA-normalized'!$D:$D, MATCH($A121, 'UA-normalized'!$A:$A, 0))-INDEX('UA-normalized'!$E:$E, MATCH($A121, 'UA-normalized'!$A:$A, 0))), 0), 0))+(IFERROR(IF(17*INDEX('KZ-normalized'!$D:$D, MATCH($A121, 'KZ-normalized'!$A:$A, 0))-INDEX('KZ-normalized'!$E:$E, MATCH($A121, 'KZ-normalized'!$A:$A, 0))&gt;0, -(17*INDEX('KZ-normalized'!$D:$D, MATCH($A121, 'KZ-normalized'!$A:$A, 0))-INDEX('KZ-normalized'!$E:$E, MATCH($A121, 'KZ-normalized'!$A:$A, 0))), 0), 0))+(IFERROR(IF(17*INDEX('UZ-normalized'!$D:$D, MATCH($A121, 'UZ-normalized'!$A:$A, 0))-INDEX('UZ-normalized'!$E:$E, MATCH($A121, 'UZ-normalized'!$A:$A, 0))&gt;0, -(17*INDEX('UZ-normalized'!$D:$D, MATCH($A121, 'UZ-normalized'!$A:$A, 0))-INDEX('UZ-normalized'!$E:$E, MATCH($A121, 'UZ-normalized'!$A:$A, 0))), 0), 0)))</f>
        <v>-928.9</v>
      </c>
      <c r="AF121" s="6">
        <f>MIN(0, N121+(IFERROR(IF(18*INDEX('UA-normalized'!$D:$D, MATCH($A121, 'UA-normalized'!$A:$A, 0))-INDEX('UA-normalized'!$E:$E, MATCH($A121, 'UA-normalized'!$A:$A, 0))&gt;0, -(18*INDEX('UA-normalized'!$D:$D, MATCH($A121, 'UA-normalized'!$A:$A, 0))-INDEX('UA-normalized'!$E:$E, MATCH($A121, 'UA-normalized'!$A:$A, 0))), 0), 0))+(IFERROR(IF(18*INDEX('KZ-normalized'!$D:$D, MATCH($A121, 'KZ-normalized'!$A:$A, 0))-INDEX('KZ-normalized'!$E:$E, MATCH($A121, 'KZ-normalized'!$A:$A, 0))&gt;0, -(18*INDEX('KZ-normalized'!$D:$D, MATCH($A121, 'KZ-normalized'!$A:$A, 0))-INDEX('KZ-normalized'!$E:$E, MATCH($A121, 'KZ-normalized'!$A:$A, 0))), 0), 0))+(IFERROR(IF(18*INDEX('UZ-normalized'!$D:$D, MATCH($A121, 'UZ-normalized'!$A:$A, 0))-INDEX('UZ-normalized'!$E:$E, MATCH($A121, 'UZ-normalized'!$A:$A, 0))&gt;0, -(18*INDEX('UZ-normalized'!$D:$D, MATCH($A121, 'UZ-normalized'!$A:$A, 0))-INDEX('UZ-normalized'!$E:$E, MATCH($A121, 'UZ-normalized'!$A:$A, 0))), 0), 0)))</f>
        <v>-1008.6</v>
      </c>
      <c r="AG121" s="6">
        <f>MIN(0, N121+(IFERROR(IF(19*INDEX('UA-normalized'!$D:$D, MATCH($A121, 'UA-normalized'!$A:$A, 0))-INDEX('UA-normalized'!$E:$E, MATCH($A121, 'UA-normalized'!$A:$A, 0))&gt;0, -(19*INDEX('UA-normalized'!$D:$D, MATCH($A121, 'UA-normalized'!$A:$A, 0))-INDEX('UA-normalized'!$E:$E, MATCH($A121, 'UA-normalized'!$A:$A, 0))), 0), 0))+(IFERROR(IF(19*INDEX('KZ-normalized'!$D:$D, MATCH($A121, 'KZ-normalized'!$A:$A, 0))-INDEX('KZ-normalized'!$E:$E, MATCH($A121, 'KZ-normalized'!$A:$A, 0))&gt;0, -(19*INDEX('KZ-normalized'!$D:$D, MATCH($A121, 'KZ-normalized'!$A:$A, 0))-INDEX('KZ-normalized'!$E:$E, MATCH($A121, 'KZ-normalized'!$A:$A, 0))), 0), 0))+(IFERROR(IF(19*INDEX('UZ-normalized'!$D:$D, MATCH($A121, 'UZ-normalized'!$A:$A, 0))-INDEX('UZ-normalized'!$E:$E, MATCH($A121, 'UZ-normalized'!$A:$A, 0))&gt;0, -(19*INDEX('UZ-normalized'!$D:$D, MATCH($A121, 'UZ-normalized'!$A:$A, 0))-INDEX('UZ-normalized'!$E:$E, MATCH($A121, 'UZ-normalized'!$A:$A, 0))), 0), 0)))</f>
        <v>-1088.3</v>
      </c>
      <c r="AH121" s="6">
        <f>MIN(0, N121+(IFERROR(IF(20*INDEX('UA-normalized'!$D:$D, MATCH($A121, 'UA-normalized'!$A:$A, 0))-INDEX('UA-normalized'!$E:$E, MATCH($A121, 'UA-normalized'!$A:$A, 0))&gt;0, -(20*INDEX('UA-normalized'!$D:$D, MATCH($A121, 'UA-normalized'!$A:$A, 0))-INDEX('UA-normalized'!$E:$E, MATCH($A121, 'UA-normalized'!$A:$A, 0))), 0), 0))+(IFERROR(IF(20*INDEX('KZ-normalized'!$D:$D, MATCH($A121, 'KZ-normalized'!$A:$A, 0))-INDEX('KZ-normalized'!$E:$E, MATCH($A121, 'KZ-normalized'!$A:$A, 0))&gt;0, -(20*INDEX('KZ-normalized'!$D:$D, MATCH($A121, 'KZ-normalized'!$A:$A, 0))-INDEX('KZ-normalized'!$E:$E, MATCH($A121, 'KZ-normalized'!$A:$A, 0))), 0), 0))+(IFERROR(IF(20*INDEX('UZ-normalized'!$D:$D, MATCH($A121, 'UZ-normalized'!$A:$A, 0))-INDEX('UZ-normalized'!$E:$E, MATCH($A121, 'UZ-normalized'!$A:$A, 0))&gt;0, -(20*INDEX('UZ-normalized'!$D:$D, MATCH($A121, 'UZ-normalized'!$A:$A, 0))-INDEX('UZ-normalized'!$E:$E, MATCH($A121, 'UZ-normalized'!$A:$A, 0))), 0), 0)))</f>
        <v>-1168</v>
      </c>
      <c r="AI121" s="6">
        <f>MIN(0, N121+(IFERROR(IF(21*INDEX('UA-normalized'!$D:$D, MATCH($A121, 'UA-normalized'!$A:$A, 0))-INDEX('UA-normalized'!$E:$E, MATCH($A121, 'UA-normalized'!$A:$A, 0))&gt;0, -(21*INDEX('UA-normalized'!$D:$D, MATCH($A121, 'UA-normalized'!$A:$A, 0))-INDEX('UA-normalized'!$E:$E, MATCH($A121, 'UA-normalized'!$A:$A, 0))), 0), 0))+(IFERROR(IF(21*INDEX('KZ-normalized'!$D:$D, MATCH($A121, 'KZ-normalized'!$A:$A, 0))-INDEX('KZ-normalized'!$E:$E, MATCH($A121, 'KZ-normalized'!$A:$A, 0))&gt;0, -(21*INDEX('KZ-normalized'!$D:$D, MATCH($A121, 'KZ-normalized'!$A:$A, 0))-INDEX('KZ-normalized'!$E:$E, MATCH($A121, 'KZ-normalized'!$A:$A, 0))), 0), 0))+(IFERROR(IF(21*INDEX('UZ-normalized'!$D:$D, MATCH($A121, 'UZ-normalized'!$A:$A, 0))-INDEX('UZ-normalized'!$E:$E, MATCH($A121, 'UZ-normalized'!$A:$A, 0))&gt;0, -(21*INDEX('UZ-normalized'!$D:$D, MATCH($A121, 'UZ-normalized'!$A:$A, 0))-INDEX('UZ-normalized'!$E:$E, MATCH($A121, 'UZ-normalized'!$A:$A, 0))), 0), 0)))</f>
        <v>-1247.7</v>
      </c>
      <c r="AJ121" s="6">
        <f>MIN(0, N121+(IFERROR(IF(22*INDEX('UA-normalized'!$D:$D, MATCH($A121, 'UA-normalized'!$A:$A, 0))-INDEX('UA-normalized'!$E:$E, MATCH($A121, 'UA-normalized'!$A:$A, 0))&gt;0, -(22*INDEX('UA-normalized'!$D:$D, MATCH($A121, 'UA-normalized'!$A:$A, 0))-INDEX('UA-normalized'!$E:$E, MATCH($A121, 'UA-normalized'!$A:$A, 0))), 0), 0))+(IFERROR(IF(22*INDEX('KZ-normalized'!$D:$D, MATCH($A121, 'KZ-normalized'!$A:$A, 0))-INDEX('KZ-normalized'!$E:$E, MATCH($A121, 'KZ-normalized'!$A:$A, 0))&gt;0, -(22*INDEX('KZ-normalized'!$D:$D, MATCH($A121, 'KZ-normalized'!$A:$A, 0))-INDEX('KZ-normalized'!$E:$E, MATCH($A121, 'KZ-normalized'!$A:$A, 0))), 0), 0))+(IFERROR(IF(22*INDEX('UZ-normalized'!$D:$D, MATCH($A121, 'UZ-normalized'!$A:$A, 0))-INDEX('UZ-normalized'!$E:$E, MATCH($A121, 'UZ-normalized'!$A:$A, 0))&gt;0, -(22*INDEX('UZ-normalized'!$D:$D, MATCH($A121, 'UZ-normalized'!$A:$A, 0))-INDEX('UZ-normalized'!$E:$E, MATCH($A121, 'UZ-normalized'!$A:$A, 0))), 0), 0)))</f>
        <v>-1327.4</v>
      </c>
      <c r="AK121" s="6">
        <f>MIN(0, N121+(IFERROR(IF(23*INDEX('UA-normalized'!$D:$D, MATCH($A121, 'UA-normalized'!$A:$A, 0))-INDEX('UA-normalized'!$E:$E, MATCH($A121, 'UA-normalized'!$A:$A, 0))&gt;0, -(23*INDEX('UA-normalized'!$D:$D, MATCH($A121, 'UA-normalized'!$A:$A, 0))-INDEX('UA-normalized'!$E:$E, MATCH($A121, 'UA-normalized'!$A:$A, 0))), 0), 0))+(IFERROR(IF(23*INDEX('KZ-normalized'!$D:$D, MATCH($A121, 'KZ-normalized'!$A:$A, 0))-INDEX('KZ-normalized'!$E:$E, MATCH($A121, 'KZ-normalized'!$A:$A, 0))&gt;0, -(23*INDEX('KZ-normalized'!$D:$D, MATCH($A121, 'KZ-normalized'!$A:$A, 0))-INDEX('KZ-normalized'!$E:$E, MATCH($A121, 'KZ-normalized'!$A:$A, 0))), 0), 0))+(IFERROR(IF(23*INDEX('UZ-normalized'!$D:$D, MATCH($A121, 'UZ-normalized'!$A:$A, 0))-INDEX('UZ-normalized'!$E:$E, MATCH($A121, 'UZ-normalized'!$A:$A, 0))&gt;0, -(23*INDEX('UZ-normalized'!$D:$D, MATCH($A121, 'UZ-normalized'!$A:$A, 0))-INDEX('UZ-normalized'!$E:$E, MATCH($A121, 'UZ-normalized'!$A:$A, 0))), 0), 0)))</f>
        <v>-1407.1</v>
      </c>
      <c r="AL121" s="6">
        <f>MIN(0, N121+(IFERROR(IF(24*INDEX('UA-normalized'!$D:$D, MATCH($A121, 'UA-normalized'!$A:$A, 0))-INDEX('UA-normalized'!$E:$E, MATCH($A121, 'UA-normalized'!$A:$A, 0))&gt;0, -(24*INDEX('UA-normalized'!$D:$D, MATCH($A121, 'UA-normalized'!$A:$A, 0))-INDEX('UA-normalized'!$E:$E, MATCH($A121, 'UA-normalized'!$A:$A, 0))), 0), 0))+(IFERROR(IF(24*INDEX('KZ-normalized'!$D:$D, MATCH($A121, 'KZ-normalized'!$A:$A, 0))-INDEX('KZ-normalized'!$E:$E, MATCH($A121, 'KZ-normalized'!$A:$A, 0))&gt;0, -(24*INDEX('KZ-normalized'!$D:$D, MATCH($A121, 'KZ-normalized'!$A:$A, 0))-INDEX('KZ-normalized'!$E:$E, MATCH($A121, 'KZ-normalized'!$A:$A, 0))), 0), 0))+(IFERROR(IF(24*INDEX('UZ-normalized'!$D:$D, MATCH($A121, 'UZ-normalized'!$A:$A, 0))-INDEX('UZ-normalized'!$E:$E, MATCH($A121, 'UZ-normalized'!$A:$A, 0))&gt;0, -(24*INDEX('UZ-normalized'!$D:$D, MATCH($A121, 'UZ-normalized'!$A:$A, 0))-INDEX('UZ-normalized'!$E:$E, MATCH($A121, 'UZ-normalized'!$A:$A, 0))), 0), 0)))</f>
        <v>-1486.8</v>
      </c>
      <c r="AM121" s="6">
        <f>MIN(0, N121+(IFERROR(IF(25*INDEX('UA-normalized'!$D:$D, MATCH($A121, 'UA-normalized'!$A:$A, 0))-INDEX('UA-normalized'!$E:$E, MATCH($A121, 'UA-normalized'!$A:$A, 0))&gt;0, -(25*INDEX('UA-normalized'!$D:$D, MATCH($A121, 'UA-normalized'!$A:$A, 0))-INDEX('UA-normalized'!$E:$E, MATCH($A121, 'UA-normalized'!$A:$A, 0))), 0), 0))+(IFERROR(IF(25*INDEX('KZ-normalized'!$D:$D, MATCH($A121, 'KZ-normalized'!$A:$A, 0))-INDEX('KZ-normalized'!$E:$E, MATCH($A121, 'KZ-normalized'!$A:$A, 0))&gt;0, -(25*INDEX('KZ-normalized'!$D:$D, MATCH($A121, 'KZ-normalized'!$A:$A, 0))-INDEX('KZ-normalized'!$E:$E, MATCH($A121, 'KZ-normalized'!$A:$A, 0))), 0), 0))+(IFERROR(IF(25*INDEX('UZ-normalized'!$D:$D, MATCH($A121, 'UZ-normalized'!$A:$A, 0))-INDEX('UZ-normalized'!$E:$E, MATCH($A121, 'UZ-normalized'!$A:$A, 0))&gt;0, -(25*INDEX('UZ-normalized'!$D:$D, MATCH($A121, 'UZ-normalized'!$A:$A, 0))-INDEX('UZ-normalized'!$E:$E, MATCH($A121, 'UZ-normalized'!$A:$A, 0))), 0), 0)))</f>
        <v>-1566.5</v>
      </c>
      <c r="AN121" s="6">
        <f>MIN(0, N121+(IFERROR(IF(26*INDEX('UA-normalized'!$D:$D, MATCH($A121, 'UA-normalized'!$A:$A, 0))-INDEX('UA-normalized'!$E:$E, MATCH($A121, 'UA-normalized'!$A:$A, 0))&gt;0, -(26*INDEX('UA-normalized'!$D:$D, MATCH($A121, 'UA-normalized'!$A:$A, 0))-INDEX('UA-normalized'!$E:$E, MATCH($A121, 'UA-normalized'!$A:$A, 0))), 0), 0))+(IFERROR(IF(26*INDEX('KZ-normalized'!$D:$D, MATCH($A121, 'KZ-normalized'!$A:$A, 0))-INDEX('KZ-normalized'!$E:$E, MATCH($A121, 'KZ-normalized'!$A:$A, 0))&gt;0, -(26*INDEX('KZ-normalized'!$D:$D, MATCH($A121, 'KZ-normalized'!$A:$A, 0))-INDEX('KZ-normalized'!$E:$E, MATCH($A121, 'KZ-normalized'!$A:$A, 0))), 0), 0))+(IFERROR(IF(26*INDEX('UZ-normalized'!$D:$D, MATCH($A121, 'UZ-normalized'!$A:$A, 0))-INDEX('UZ-normalized'!$E:$E, MATCH($A121, 'UZ-normalized'!$A:$A, 0))&gt;0, -(26*INDEX('UZ-normalized'!$D:$D, MATCH($A121, 'UZ-normalized'!$A:$A, 0))-INDEX('UZ-normalized'!$E:$E, MATCH($A121, 'UZ-normalized'!$A:$A, 0))), 0), 0)))</f>
        <v>-1646.2</v>
      </c>
      <c r="AO121" s="6">
        <f>MIN(0, N121+(IFERROR(IF(27*INDEX('UA-normalized'!$D:$D, MATCH($A121, 'UA-normalized'!$A:$A, 0))-INDEX('UA-normalized'!$E:$E, MATCH($A121, 'UA-normalized'!$A:$A, 0))&gt;0, -(27*INDEX('UA-normalized'!$D:$D, MATCH($A121, 'UA-normalized'!$A:$A, 0))-INDEX('UA-normalized'!$E:$E, MATCH($A121, 'UA-normalized'!$A:$A, 0))), 0), 0))+(IFERROR(IF(27*INDEX('KZ-normalized'!$D:$D, MATCH($A121, 'KZ-normalized'!$A:$A, 0))-INDEX('KZ-normalized'!$E:$E, MATCH($A121, 'KZ-normalized'!$A:$A, 0))&gt;0, -(27*INDEX('KZ-normalized'!$D:$D, MATCH($A121, 'KZ-normalized'!$A:$A, 0))-INDEX('KZ-normalized'!$E:$E, MATCH($A121, 'KZ-normalized'!$A:$A, 0))), 0), 0))+(IFERROR(IF(27*INDEX('UZ-normalized'!$D:$D, MATCH($A121, 'UZ-normalized'!$A:$A, 0))-INDEX('UZ-normalized'!$E:$E, MATCH($A121, 'UZ-normalized'!$A:$A, 0))&gt;0, -(27*INDEX('UZ-normalized'!$D:$D, MATCH($A121, 'UZ-normalized'!$A:$A, 0))-INDEX('UZ-normalized'!$E:$E, MATCH($A121, 'UZ-normalized'!$A:$A, 0))), 0), 0)))</f>
        <v>-1725.9</v>
      </c>
      <c r="AP121" s="6">
        <f>MIN(0, N121+(IFERROR(IF(28*INDEX('UA-normalized'!$D:$D, MATCH($A121, 'UA-normalized'!$A:$A, 0))-INDEX('UA-normalized'!$E:$E, MATCH($A121, 'UA-normalized'!$A:$A, 0))&gt;0, -(28*INDEX('UA-normalized'!$D:$D, MATCH($A121, 'UA-normalized'!$A:$A, 0))-INDEX('UA-normalized'!$E:$E, MATCH($A121, 'UA-normalized'!$A:$A, 0))), 0), 0))+(IFERROR(IF(28*INDEX('KZ-normalized'!$D:$D, MATCH($A121, 'KZ-normalized'!$A:$A, 0))-INDEX('KZ-normalized'!$E:$E, MATCH($A121, 'KZ-normalized'!$A:$A, 0))&gt;0, -(28*INDEX('KZ-normalized'!$D:$D, MATCH($A121, 'KZ-normalized'!$A:$A, 0))-INDEX('KZ-normalized'!$E:$E, MATCH($A121, 'KZ-normalized'!$A:$A, 0))), 0), 0))+(IFERROR(IF(28*INDEX('UZ-normalized'!$D:$D, MATCH($A121, 'UZ-normalized'!$A:$A, 0))-INDEX('UZ-normalized'!$E:$E, MATCH($A121, 'UZ-normalized'!$A:$A, 0))&gt;0, -(28*INDEX('UZ-normalized'!$D:$D, MATCH($A121, 'UZ-normalized'!$A:$A, 0))-INDEX('UZ-normalized'!$E:$E, MATCH($A121, 'UZ-normalized'!$A:$A, 0))), 0), 0)))</f>
        <v>-1805.6</v>
      </c>
      <c r="AQ121" s="6">
        <f>MIN(0, N121+(IFERROR(IF(29*INDEX('UA-normalized'!$D:$D, MATCH($A121, 'UA-normalized'!$A:$A, 0))-INDEX('UA-normalized'!$E:$E, MATCH($A121, 'UA-normalized'!$A:$A, 0))&gt;0, -(29*INDEX('UA-normalized'!$D:$D, MATCH($A121, 'UA-normalized'!$A:$A, 0))-INDEX('UA-normalized'!$E:$E, MATCH($A121, 'UA-normalized'!$A:$A, 0))), 0), 0))+(IFERROR(IF(29*INDEX('KZ-normalized'!$D:$D, MATCH($A121, 'KZ-normalized'!$A:$A, 0))-INDEX('KZ-normalized'!$E:$E, MATCH($A121, 'KZ-normalized'!$A:$A, 0))&gt;0, -(29*INDEX('KZ-normalized'!$D:$D, MATCH($A121, 'KZ-normalized'!$A:$A, 0))-INDEX('KZ-normalized'!$E:$E, MATCH($A121, 'KZ-normalized'!$A:$A, 0))), 0), 0))+(IFERROR(IF(29*INDEX('UZ-normalized'!$D:$D, MATCH($A121, 'UZ-normalized'!$A:$A, 0))-INDEX('UZ-normalized'!$E:$E, MATCH($A121, 'UZ-normalized'!$A:$A, 0))&gt;0, -(29*INDEX('UZ-normalized'!$D:$D, MATCH($A121, 'UZ-normalized'!$A:$A, 0))-INDEX('UZ-normalized'!$E:$E, MATCH($A121, 'UZ-normalized'!$A:$A, 0))), 0), 0)))</f>
        <v>-1885.3</v>
      </c>
      <c r="AR121" s="6">
        <f>MIN(0, N121+(IFERROR(IF(30*INDEX('UA-normalized'!$D:$D, MATCH($A121, 'UA-normalized'!$A:$A, 0))-INDEX('UA-normalized'!$E:$E, MATCH($A121, 'UA-normalized'!$A:$A, 0))&gt;0, -(30*INDEX('UA-normalized'!$D:$D, MATCH($A121, 'UA-normalized'!$A:$A, 0))-INDEX('UA-normalized'!$E:$E, MATCH($A121, 'UA-normalized'!$A:$A, 0))), 0), 0))+(IFERROR(IF(30*INDEX('KZ-normalized'!$D:$D, MATCH($A121, 'KZ-normalized'!$A:$A, 0))-INDEX('KZ-normalized'!$E:$E, MATCH($A121, 'KZ-normalized'!$A:$A, 0))&gt;0, -(30*INDEX('KZ-normalized'!$D:$D, MATCH($A121, 'KZ-normalized'!$A:$A, 0))-INDEX('KZ-normalized'!$E:$E, MATCH($A121, 'KZ-normalized'!$A:$A, 0))), 0), 0))+(IFERROR(IF(30*INDEX('UZ-normalized'!$D:$D, MATCH($A121, 'UZ-normalized'!$A:$A, 0))-INDEX('UZ-normalized'!$E:$E, MATCH($A121, 'UZ-normalized'!$A:$A, 0))&gt;0, -(30*INDEX('UZ-normalized'!$D:$D, MATCH($A121, 'UZ-normalized'!$A:$A, 0))-INDEX('UZ-normalized'!$E:$E, MATCH($A121, 'UZ-normalized'!$A:$A, 0))), 0), 0)))</f>
        <v>-1965</v>
      </c>
    </row>
    <row r="122" spans="1:44" x14ac:dyDescent="0.25">
      <c r="A122" s="8" t="s">
        <v>299</v>
      </c>
      <c r="B122" s="8" t="s">
        <v>294</v>
      </c>
      <c r="C122" s="8" t="s">
        <v>295</v>
      </c>
      <c r="D122" s="8" t="s">
        <v>300</v>
      </c>
      <c r="N122">
        <f t="shared" si="1"/>
        <v>0</v>
      </c>
      <c r="O122" s="6">
        <f>MIN(0, N122+(IFERROR(IF(1*INDEX('UA-normalized'!$D:$D, MATCH($A122, 'UA-normalized'!$A:$A, 0))-INDEX('UA-normalized'!$E:$E, MATCH($A122, 'UA-normalized'!$A:$A, 0))&gt;0, -(1*INDEX('UA-normalized'!$D:$D, MATCH($A122, 'UA-normalized'!$A:$A, 0))-INDEX('UA-normalized'!$E:$E, MATCH($A122, 'UA-normalized'!$A:$A, 0))), 0), 0))+(IFERROR(IF(1*INDEX('KZ-normalized'!$D:$D, MATCH($A122, 'KZ-normalized'!$A:$A, 0))-INDEX('KZ-normalized'!$E:$E, MATCH($A122, 'KZ-normalized'!$A:$A, 0))&gt;0, -(1*INDEX('KZ-normalized'!$D:$D, MATCH($A122, 'KZ-normalized'!$A:$A, 0))-INDEX('KZ-normalized'!$E:$E, MATCH($A122, 'KZ-normalized'!$A:$A, 0))), 0), 0))+(IFERROR(IF(1*INDEX('UZ-normalized'!$D:$D, MATCH($A122, 'UZ-normalized'!$A:$A, 0))-INDEX('UZ-normalized'!$E:$E, MATCH($A122, 'UZ-normalized'!$A:$A, 0))&gt;0, -(1*INDEX('UZ-normalized'!$D:$D, MATCH($A122, 'UZ-normalized'!$A:$A, 0))-INDEX('UZ-normalized'!$E:$E, MATCH($A122, 'UZ-normalized'!$A:$A, 0))), 0), 0)))</f>
        <v>0</v>
      </c>
      <c r="P122" s="6">
        <f>MIN(0, N122+(IFERROR(IF(2*INDEX('UA-normalized'!$D:$D, MATCH($A122, 'UA-normalized'!$A:$A, 0))-INDEX('UA-normalized'!$E:$E, MATCH($A122, 'UA-normalized'!$A:$A, 0))&gt;0, -(2*INDEX('UA-normalized'!$D:$D, MATCH($A122, 'UA-normalized'!$A:$A, 0))-INDEX('UA-normalized'!$E:$E, MATCH($A122, 'UA-normalized'!$A:$A, 0))), 0), 0))+(IFERROR(IF(2*INDEX('KZ-normalized'!$D:$D, MATCH($A122, 'KZ-normalized'!$A:$A, 0))-INDEX('KZ-normalized'!$E:$E, MATCH($A122, 'KZ-normalized'!$A:$A, 0))&gt;0, -(2*INDEX('KZ-normalized'!$D:$D, MATCH($A122, 'KZ-normalized'!$A:$A, 0))-INDEX('KZ-normalized'!$E:$E, MATCH($A122, 'KZ-normalized'!$A:$A, 0))), 0), 0))+(IFERROR(IF(2*INDEX('UZ-normalized'!$D:$D, MATCH($A122, 'UZ-normalized'!$A:$A, 0))-INDEX('UZ-normalized'!$E:$E, MATCH($A122, 'UZ-normalized'!$A:$A, 0))&gt;0, -(2*INDEX('UZ-normalized'!$D:$D, MATCH($A122, 'UZ-normalized'!$A:$A, 0))-INDEX('UZ-normalized'!$E:$E, MATCH($A122, 'UZ-normalized'!$A:$A, 0))), 0), 0)))</f>
        <v>0</v>
      </c>
      <c r="Q122" s="6">
        <f>MIN(0, N122+(IFERROR(IF(3*INDEX('UA-normalized'!$D:$D, MATCH($A122, 'UA-normalized'!$A:$A, 0))-INDEX('UA-normalized'!$E:$E, MATCH($A122, 'UA-normalized'!$A:$A, 0))&gt;0, -(3*INDEX('UA-normalized'!$D:$D, MATCH($A122, 'UA-normalized'!$A:$A, 0))-INDEX('UA-normalized'!$E:$E, MATCH($A122, 'UA-normalized'!$A:$A, 0))), 0), 0))+(IFERROR(IF(3*INDEX('KZ-normalized'!$D:$D, MATCH($A122, 'KZ-normalized'!$A:$A, 0))-INDEX('KZ-normalized'!$E:$E, MATCH($A122, 'KZ-normalized'!$A:$A, 0))&gt;0, -(3*INDEX('KZ-normalized'!$D:$D, MATCH($A122, 'KZ-normalized'!$A:$A, 0))-INDEX('KZ-normalized'!$E:$E, MATCH($A122, 'KZ-normalized'!$A:$A, 0))), 0), 0))+(IFERROR(IF(3*INDEX('UZ-normalized'!$D:$D, MATCH($A122, 'UZ-normalized'!$A:$A, 0))-INDEX('UZ-normalized'!$E:$E, MATCH($A122, 'UZ-normalized'!$A:$A, 0))&gt;0, -(3*INDEX('UZ-normalized'!$D:$D, MATCH($A122, 'UZ-normalized'!$A:$A, 0))-INDEX('UZ-normalized'!$E:$E, MATCH($A122, 'UZ-normalized'!$A:$A, 0))), 0), 0)))</f>
        <v>0</v>
      </c>
      <c r="R122" s="6">
        <f>MIN(0, N122+(IFERROR(IF(4*INDEX('UA-normalized'!$D:$D, MATCH($A122, 'UA-normalized'!$A:$A, 0))-INDEX('UA-normalized'!$E:$E, MATCH($A122, 'UA-normalized'!$A:$A, 0))&gt;0, -(4*INDEX('UA-normalized'!$D:$D, MATCH($A122, 'UA-normalized'!$A:$A, 0))-INDEX('UA-normalized'!$E:$E, MATCH($A122, 'UA-normalized'!$A:$A, 0))), 0), 0))+(IFERROR(IF(4*INDEX('KZ-normalized'!$D:$D, MATCH($A122, 'KZ-normalized'!$A:$A, 0))-INDEX('KZ-normalized'!$E:$E, MATCH($A122, 'KZ-normalized'!$A:$A, 0))&gt;0, -(4*INDEX('KZ-normalized'!$D:$D, MATCH($A122, 'KZ-normalized'!$A:$A, 0))-INDEX('KZ-normalized'!$E:$E, MATCH($A122, 'KZ-normalized'!$A:$A, 0))), 0), 0))+(IFERROR(IF(4*INDEX('UZ-normalized'!$D:$D, MATCH($A122, 'UZ-normalized'!$A:$A, 0))-INDEX('UZ-normalized'!$E:$E, MATCH($A122, 'UZ-normalized'!$A:$A, 0))&gt;0, -(4*INDEX('UZ-normalized'!$D:$D, MATCH($A122, 'UZ-normalized'!$A:$A, 0))-INDEX('UZ-normalized'!$E:$E, MATCH($A122, 'UZ-normalized'!$A:$A, 0))), 0), 0)))</f>
        <v>0</v>
      </c>
      <c r="S122" s="6">
        <f>MIN(0, N122+(IFERROR(IF(5*INDEX('UA-normalized'!$D:$D, MATCH($A122, 'UA-normalized'!$A:$A, 0))-INDEX('UA-normalized'!$E:$E, MATCH($A122, 'UA-normalized'!$A:$A, 0))&gt;0, -(5*INDEX('UA-normalized'!$D:$D, MATCH($A122, 'UA-normalized'!$A:$A, 0))-INDEX('UA-normalized'!$E:$E, MATCH($A122, 'UA-normalized'!$A:$A, 0))), 0), 0))+(IFERROR(IF(5*INDEX('KZ-normalized'!$D:$D, MATCH($A122, 'KZ-normalized'!$A:$A, 0))-INDEX('KZ-normalized'!$E:$E, MATCH($A122, 'KZ-normalized'!$A:$A, 0))&gt;0, -(5*INDEX('KZ-normalized'!$D:$D, MATCH($A122, 'KZ-normalized'!$A:$A, 0))-INDEX('KZ-normalized'!$E:$E, MATCH($A122, 'KZ-normalized'!$A:$A, 0))), 0), 0))+(IFERROR(IF(5*INDEX('UZ-normalized'!$D:$D, MATCH($A122, 'UZ-normalized'!$A:$A, 0))-INDEX('UZ-normalized'!$E:$E, MATCH($A122, 'UZ-normalized'!$A:$A, 0))&gt;0, -(5*INDEX('UZ-normalized'!$D:$D, MATCH($A122, 'UZ-normalized'!$A:$A, 0))-INDEX('UZ-normalized'!$E:$E, MATCH($A122, 'UZ-normalized'!$A:$A, 0))), 0), 0)))</f>
        <v>0</v>
      </c>
      <c r="T122" s="6">
        <f>MIN(0, N122+(IFERROR(IF(6*INDEX('UA-normalized'!$D:$D, MATCH($A122, 'UA-normalized'!$A:$A, 0))-INDEX('UA-normalized'!$E:$E, MATCH($A122, 'UA-normalized'!$A:$A, 0))&gt;0, -(6*INDEX('UA-normalized'!$D:$D, MATCH($A122, 'UA-normalized'!$A:$A, 0))-INDEX('UA-normalized'!$E:$E, MATCH($A122, 'UA-normalized'!$A:$A, 0))), 0), 0))+(IFERROR(IF(6*INDEX('KZ-normalized'!$D:$D, MATCH($A122, 'KZ-normalized'!$A:$A, 0))-INDEX('KZ-normalized'!$E:$E, MATCH($A122, 'KZ-normalized'!$A:$A, 0))&gt;0, -(6*INDEX('KZ-normalized'!$D:$D, MATCH($A122, 'KZ-normalized'!$A:$A, 0))-INDEX('KZ-normalized'!$E:$E, MATCH($A122, 'KZ-normalized'!$A:$A, 0))), 0), 0))+(IFERROR(IF(6*INDEX('UZ-normalized'!$D:$D, MATCH($A122, 'UZ-normalized'!$A:$A, 0))-INDEX('UZ-normalized'!$E:$E, MATCH($A122, 'UZ-normalized'!$A:$A, 0))&gt;0, -(6*INDEX('UZ-normalized'!$D:$D, MATCH($A122, 'UZ-normalized'!$A:$A, 0))-INDEX('UZ-normalized'!$E:$E, MATCH($A122, 'UZ-normalized'!$A:$A, 0))), 0), 0)))</f>
        <v>-11</v>
      </c>
      <c r="U122" s="6">
        <f>MIN(0, N122+(IFERROR(IF(7*INDEX('UA-normalized'!$D:$D, MATCH($A122, 'UA-normalized'!$A:$A, 0))-INDEX('UA-normalized'!$E:$E, MATCH($A122, 'UA-normalized'!$A:$A, 0))&gt;0, -(7*INDEX('UA-normalized'!$D:$D, MATCH($A122, 'UA-normalized'!$A:$A, 0))-INDEX('UA-normalized'!$E:$E, MATCH($A122, 'UA-normalized'!$A:$A, 0))), 0), 0))+(IFERROR(IF(7*INDEX('KZ-normalized'!$D:$D, MATCH($A122, 'KZ-normalized'!$A:$A, 0))-INDEX('KZ-normalized'!$E:$E, MATCH($A122, 'KZ-normalized'!$A:$A, 0))&gt;0, -(7*INDEX('KZ-normalized'!$D:$D, MATCH($A122, 'KZ-normalized'!$A:$A, 0))-INDEX('KZ-normalized'!$E:$E, MATCH($A122, 'KZ-normalized'!$A:$A, 0))), 0), 0))+(IFERROR(IF(7*INDEX('UZ-normalized'!$D:$D, MATCH($A122, 'UZ-normalized'!$A:$A, 0))-INDEX('UZ-normalized'!$E:$E, MATCH($A122, 'UZ-normalized'!$A:$A, 0))&gt;0, -(7*INDEX('UZ-normalized'!$D:$D, MATCH($A122, 'UZ-normalized'!$A:$A, 0))-INDEX('UZ-normalized'!$E:$E, MATCH($A122, 'UZ-normalized'!$A:$A, 0))), 0), 0)))</f>
        <v>-36</v>
      </c>
      <c r="V122" s="6">
        <f>MIN(0, N122+(IFERROR(IF(8*INDEX('UA-normalized'!$D:$D, MATCH($A122, 'UA-normalized'!$A:$A, 0))-INDEX('UA-normalized'!$E:$E, MATCH($A122, 'UA-normalized'!$A:$A, 0))&gt;0, -(8*INDEX('UA-normalized'!$D:$D, MATCH($A122, 'UA-normalized'!$A:$A, 0))-INDEX('UA-normalized'!$E:$E, MATCH($A122, 'UA-normalized'!$A:$A, 0))), 0), 0))+(IFERROR(IF(8*INDEX('KZ-normalized'!$D:$D, MATCH($A122, 'KZ-normalized'!$A:$A, 0))-INDEX('KZ-normalized'!$E:$E, MATCH($A122, 'KZ-normalized'!$A:$A, 0))&gt;0, -(8*INDEX('KZ-normalized'!$D:$D, MATCH($A122, 'KZ-normalized'!$A:$A, 0))-INDEX('KZ-normalized'!$E:$E, MATCH($A122, 'KZ-normalized'!$A:$A, 0))), 0), 0))+(IFERROR(IF(8*INDEX('UZ-normalized'!$D:$D, MATCH($A122, 'UZ-normalized'!$A:$A, 0))-INDEX('UZ-normalized'!$E:$E, MATCH($A122, 'UZ-normalized'!$A:$A, 0))&gt;0, -(8*INDEX('UZ-normalized'!$D:$D, MATCH($A122, 'UZ-normalized'!$A:$A, 0))-INDEX('UZ-normalized'!$E:$E, MATCH($A122, 'UZ-normalized'!$A:$A, 0))), 0), 0)))</f>
        <v>-61</v>
      </c>
      <c r="W122" s="6">
        <f>MIN(0, N122+(IFERROR(IF(9*INDEX('UA-normalized'!$D:$D, MATCH($A122, 'UA-normalized'!$A:$A, 0))-INDEX('UA-normalized'!$E:$E, MATCH($A122, 'UA-normalized'!$A:$A, 0))&gt;0, -(9*INDEX('UA-normalized'!$D:$D, MATCH($A122, 'UA-normalized'!$A:$A, 0))-INDEX('UA-normalized'!$E:$E, MATCH($A122, 'UA-normalized'!$A:$A, 0))), 0), 0))+(IFERROR(IF(9*INDEX('KZ-normalized'!$D:$D, MATCH($A122, 'KZ-normalized'!$A:$A, 0))-INDEX('KZ-normalized'!$E:$E, MATCH($A122, 'KZ-normalized'!$A:$A, 0))&gt;0, -(9*INDEX('KZ-normalized'!$D:$D, MATCH($A122, 'KZ-normalized'!$A:$A, 0))-INDEX('KZ-normalized'!$E:$E, MATCH($A122, 'KZ-normalized'!$A:$A, 0))), 0), 0))+(IFERROR(IF(9*INDEX('UZ-normalized'!$D:$D, MATCH($A122, 'UZ-normalized'!$A:$A, 0))-INDEX('UZ-normalized'!$E:$E, MATCH($A122, 'UZ-normalized'!$A:$A, 0))&gt;0, -(9*INDEX('UZ-normalized'!$D:$D, MATCH($A122, 'UZ-normalized'!$A:$A, 0))-INDEX('UZ-normalized'!$E:$E, MATCH($A122, 'UZ-normalized'!$A:$A, 0))), 0), 0)))</f>
        <v>-86</v>
      </c>
      <c r="X122" s="6">
        <f>MIN(0, N122+(IFERROR(IF(10*INDEX('UA-normalized'!$D:$D, MATCH($A122, 'UA-normalized'!$A:$A, 0))-INDEX('UA-normalized'!$E:$E, MATCH($A122, 'UA-normalized'!$A:$A, 0))&gt;0, -(10*INDEX('UA-normalized'!$D:$D, MATCH($A122, 'UA-normalized'!$A:$A, 0))-INDEX('UA-normalized'!$E:$E, MATCH($A122, 'UA-normalized'!$A:$A, 0))), 0), 0))+(IFERROR(IF(10*INDEX('KZ-normalized'!$D:$D, MATCH($A122, 'KZ-normalized'!$A:$A, 0))-INDEX('KZ-normalized'!$E:$E, MATCH($A122, 'KZ-normalized'!$A:$A, 0))&gt;0, -(10*INDEX('KZ-normalized'!$D:$D, MATCH($A122, 'KZ-normalized'!$A:$A, 0))-INDEX('KZ-normalized'!$E:$E, MATCH($A122, 'KZ-normalized'!$A:$A, 0))), 0), 0))+(IFERROR(IF(10*INDEX('UZ-normalized'!$D:$D, MATCH($A122, 'UZ-normalized'!$A:$A, 0))-INDEX('UZ-normalized'!$E:$E, MATCH($A122, 'UZ-normalized'!$A:$A, 0))&gt;0, -(10*INDEX('UZ-normalized'!$D:$D, MATCH($A122, 'UZ-normalized'!$A:$A, 0))-INDEX('UZ-normalized'!$E:$E, MATCH($A122, 'UZ-normalized'!$A:$A, 0))), 0), 0)))</f>
        <v>-111</v>
      </c>
      <c r="Y122" s="6">
        <f>MIN(0, N122+(IFERROR(IF(11*INDEX('UA-normalized'!$D:$D, MATCH($A122, 'UA-normalized'!$A:$A, 0))-INDEX('UA-normalized'!$E:$E, MATCH($A122, 'UA-normalized'!$A:$A, 0))&gt;0, -(11*INDEX('UA-normalized'!$D:$D, MATCH($A122, 'UA-normalized'!$A:$A, 0))-INDEX('UA-normalized'!$E:$E, MATCH($A122, 'UA-normalized'!$A:$A, 0))), 0), 0))+(IFERROR(IF(11*INDEX('KZ-normalized'!$D:$D, MATCH($A122, 'KZ-normalized'!$A:$A, 0))-INDEX('KZ-normalized'!$E:$E, MATCH($A122, 'KZ-normalized'!$A:$A, 0))&gt;0, -(11*INDEX('KZ-normalized'!$D:$D, MATCH($A122, 'KZ-normalized'!$A:$A, 0))-INDEX('KZ-normalized'!$E:$E, MATCH($A122, 'KZ-normalized'!$A:$A, 0))), 0), 0))+(IFERROR(IF(11*INDEX('UZ-normalized'!$D:$D, MATCH($A122, 'UZ-normalized'!$A:$A, 0))-INDEX('UZ-normalized'!$E:$E, MATCH($A122, 'UZ-normalized'!$A:$A, 0))&gt;0, -(11*INDEX('UZ-normalized'!$D:$D, MATCH($A122, 'UZ-normalized'!$A:$A, 0))-INDEX('UZ-normalized'!$E:$E, MATCH($A122, 'UZ-normalized'!$A:$A, 0))), 0), 0)))</f>
        <v>-136</v>
      </c>
      <c r="Z122" s="6">
        <f>MIN(0, N122+(IFERROR(IF(12*INDEX('UA-normalized'!$D:$D, MATCH($A122, 'UA-normalized'!$A:$A, 0))-INDEX('UA-normalized'!$E:$E, MATCH($A122, 'UA-normalized'!$A:$A, 0))&gt;0, -(12*INDEX('UA-normalized'!$D:$D, MATCH($A122, 'UA-normalized'!$A:$A, 0))-INDEX('UA-normalized'!$E:$E, MATCH($A122, 'UA-normalized'!$A:$A, 0))), 0), 0))+(IFERROR(IF(12*INDEX('KZ-normalized'!$D:$D, MATCH($A122, 'KZ-normalized'!$A:$A, 0))-INDEX('KZ-normalized'!$E:$E, MATCH($A122, 'KZ-normalized'!$A:$A, 0))&gt;0, -(12*INDEX('KZ-normalized'!$D:$D, MATCH($A122, 'KZ-normalized'!$A:$A, 0))-INDEX('KZ-normalized'!$E:$E, MATCH($A122, 'KZ-normalized'!$A:$A, 0))), 0), 0))+(IFERROR(IF(12*INDEX('UZ-normalized'!$D:$D, MATCH($A122, 'UZ-normalized'!$A:$A, 0))-INDEX('UZ-normalized'!$E:$E, MATCH($A122, 'UZ-normalized'!$A:$A, 0))&gt;0, -(12*INDEX('UZ-normalized'!$D:$D, MATCH($A122, 'UZ-normalized'!$A:$A, 0))-INDEX('UZ-normalized'!$E:$E, MATCH($A122, 'UZ-normalized'!$A:$A, 0))), 0), 0)))</f>
        <v>-161</v>
      </c>
      <c r="AA122" s="6">
        <f>MIN(0, N122+(IFERROR(IF(13*INDEX('UA-normalized'!$D:$D, MATCH($A122, 'UA-normalized'!$A:$A, 0))-INDEX('UA-normalized'!$E:$E, MATCH($A122, 'UA-normalized'!$A:$A, 0))&gt;0, -(13*INDEX('UA-normalized'!$D:$D, MATCH($A122, 'UA-normalized'!$A:$A, 0))-INDEX('UA-normalized'!$E:$E, MATCH($A122, 'UA-normalized'!$A:$A, 0))), 0), 0))+(IFERROR(IF(13*INDEX('KZ-normalized'!$D:$D, MATCH($A122, 'KZ-normalized'!$A:$A, 0))-INDEX('KZ-normalized'!$E:$E, MATCH($A122, 'KZ-normalized'!$A:$A, 0))&gt;0, -(13*INDEX('KZ-normalized'!$D:$D, MATCH($A122, 'KZ-normalized'!$A:$A, 0))-INDEX('KZ-normalized'!$E:$E, MATCH($A122, 'KZ-normalized'!$A:$A, 0))), 0), 0))+(IFERROR(IF(13*INDEX('UZ-normalized'!$D:$D, MATCH($A122, 'UZ-normalized'!$A:$A, 0))-INDEX('UZ-normalized'!$E:$E, MATCH($A122, 'UZ-normalized'!$A:$A, 0))&gt;0, -(13*INDEX('UZ-normalized'!$D:$D, MATCH($A122, 'UZ-normalized'!$A:$A, 0))-INDEX('UZ-normalized'!$E:$E, MATCH($A122, 'UZ-normalized'!$A:$A, 0))), 0), 0)))</f>
        <v>-186</v>
      </c>
      <c r="AB122" s="6">
        <f>MIN(0, N122+(IFERROR(IF(14*INDEX('UA-normalized'!$D:$D, MATCH($A122, 'UA-normalized'!$A:$A, 0))-INDEX('UA-normalized'!$E:$E, MATCH($A122, 'UA-normalized'!$A:$A, 0))&gt;0, -(14*INDEX('UA-normalized'!$D:$D, MATCH($A122, 'UA-normalized'!$A:$A, 0))-INDEX('UA-normalized'!$E:$E, MATCH($A122, 'UA-normalized'!$A:$A, 0))), 0), 0))+(IFERROR(IF(14*INDEX('KZ-normalized'!$D:$D, MATCH($A122, 'KZ-normalized'!$A:$A, 0))-INDEX('KZ-normalized'!$E:$E, MATCH($A122, 'KZ-normalized'!$A:$A, 0))&gt;0, -(14*INDEX('KZ-normalized'!$D:$D, MATCH($A122, 'KZ-normalized'!$A:$A, 0))-INDEX('KZ-normalized'!$E:$E, MATCH($A122, 'KZ-normalized'!$A:$A, 0))), 0), 0))+(IFERROR(IF(14*INDEX('UZ-normalized'!$D:$D, MATCH($A122, 'UZ-normalized'!$A:$A, 0))-INDEX('UZ-normalized'!$E:$E, MATCH($A122, 'UZ-normalized'!$A:$A, 0))&gt;0, -(14*INDEX('UZ-normalized'!$D:$D, MATCH($A122, 'UZ-normalized'!$A:$A, 0))-INDEX('UZ-normalized'!$E:$E, MATCH($A122, 'UZ-normalized'!$A:$A, 0))), 0), 0)))</f>
        <v>-211</v>
      </c>
      <c r="AC122" s="6">
        <f>MIN(0, N122+(IFERROR(IF(15*INDEX('UA-normalized'!$D:$D, MATCH($A122, 'UA-normalized'!$A:$A, 0))-INDEX('UA-normalized'!$E:$E, MATCH($A122, 'UA-normalized'!$A:$A, 0))&gt;0, -(15*INDEX('UA-normalized'!$D:$D, MATCH($A122, 'UA-normalized'!$A:$A, 0))-INDEX('UA-normalized'!$E:$E, MATCH($A122, 'UA-normalized'!$A:$A, 0))), 0), 0))+(IFERROR(IF(15*INDEX('KZ-normalized'!$D:$D, MATCH($A122, 'KZ-normalized'!$A:$A, 0))-INDEX('KZ-normalized'!$E:$E, MATCH($A122, 'KZ-normalized'!$A:$A, 0))&gt;0, -(15*INDEX('KZ-normalized'!$D:$D, MATCH($A122, 'KZ-normalized'!$A:$A, 0))-INDEX('KZ-normalized'!$E:$E, MATCH($A122, 'KZ-normalized'!$A:$A, 0))), 0), 0))+(IFERROR(IF(15*INDEX('UZ-normalized'!$D:$D, MATCH($A122, 'UZ-normalized'!$A:$A, 0))-INDEX('UZ-normalized'!$E:$E, MATCH($A122, 'UZ-normalized'!$A:$A, 0))&gt;0, -(15*INDEX('UZ-normalized'!$D:$D, MATCH($A122, 'UZ-normalized'!$A:$A, 0))-INDEX('UZ-normalized'!$E:$E, MATCH($A122, 'UZ-normalized'!$A:$A, 0))), 0), 0)))</f>
        <v>-236</v>
      </c>
      <c r="AD122" s="6">
        <f>MIN(0, N122+(IFERROR(IF(16*INDEX('UA-normalized'!$D:$D, MATCH($A122, 'UA-normalized'!$A:$A, 0))-INDEX('UA-normalized'!$E:$E, MATCH($A122, 'UA-normalized'!$A:$A, 0))&gt;0, -(16*INDEX('UA-normalized'!$D:$D, MATCH($A122, 'UA-normalized'!$A:$A, 0))-INDEX('UA-normalized'!$E:$E, MATCH($A122, 'UA-normalized'!$A:$A, 0))), 0), 0))+(IFERROR(IF(16*INDEX('KZ-normalized'!$D:$D, MATCH($A122, 'KZ-normalized'!$A:$A, 0))-INDEX('KZ-normalized'!$E:$E, MATCH($A122, 'KZ-normalized'!$A:$A, 0))&gt;0, -(16*INDEX('KZ-normalized'!$D:$D, MATCH($A122, 'KZ-normalized'!$A:$A, 0))-INDEX('KZ-normalized'!$E:$E, MATCH($A122, 'KZ-normalized'!$A:$A, 0))), 0), 0))+(IFERROR(IF(16*INDEX('UZ-normalized'!$D:$D, MATCH($A122, 'UZ-normalized'!$A:$A, 0))-INDEX('UZ-normalized'!$E:$E, MATCH($A122, 'UZ-normalized'!$A:$A, 0))&gt;0, -(16*INDEX('UZ-normalized'!$D:$D, MATCH($A122, 'UZ-normalized'!$A:$A, 0))-INDEX('UZ-normalized'!$E:$E, MATCH($A122, 'UZ-normalized'!$A:$A, 0))), 0), 0)))</f>
        <v>-261</v>
      </c>
      <c r="AE122" s="6">
        <f>MIN(0, N122+(IFERROR(IF(17*INDEX('UA-normalized'!$D:$D, MATCH($A122, 'UA-normalized'!$A:$A, 0))-INDEX('UA-normalized'!$E:$E, MATCH($A122, 'UA-normalized'!$A:$A, 0))&gt;0, -(17*INDEX('UA-normalized'!$D:$D, MATCH($A122, 'UA-normalized'!$A:$A, 0))-INDEX('UA-normalized'!$E:$E, MATCH($A122, 'UA-normalized'!$A:$A, 0))), 0), 0))+(IFERROR(IF(17*INDEX('KZ-normalized'!$D:$D, MATCH($A122, 'KZ-normalized'!$A:$A, 0))-INDEX('KZ-normalized'!$E:$E, MATCH($A122, 'KZ-normalized'!$A:$A, 0))&gt;0, -(17*INDEX('KZ-normalized'!$D:$D, MATCH($A122, 'KZ-normalized'!$A:$A, 0))-INDEX('KZ-normalized'!$E:$E, MATCH($A122, 'KZ-normalized'!$A:$A, 0))), 0), 0))+(IFERROR(IF(17*INDEX('UZ-normalized'!$D:$D, MATCH($A122, 'UZ-normalized'!$A:$A, 0))-INDEX('UZ-normalized'!$E:$E, MATCH($A122, 'UZ-normalized'!$A:$A, 0))&gt;0, -(17*INDEX('UZ-normalized'!$D:$D, MATCH($A122, 'UZ-normalized'!$A:$A, 0))-INDEX('UZ-normalized'!$E:$E, MATCH($A122, 'UZ-normalized'!$A:$A, 0))), 0), 0)))</f>
        <v>-286</v>
      </c>
      <c r="AF122" s="6">
        <f>MIN(0, N122+(IFERROR(IF(18*INDEX('UA-normalized'!$D:$D, MATCH($A122, 'UA-normalized'!$A:$A, 0))-INDEX('UA-normalized'!$E:$E, MATCH($A122, 'UA-normalized'!$A:$A, 0))&gt;0, -(18*INDEX('UA-normalized'!$D:$D, MATCH($A122, 'UA-normalized'!$A:$A, 0))-INDEX('UA-normalized'!$E:$E, MATCH($A122, 'UA-normalized'!$A:$A, 0))), 0), 0))+(IFERROR(IF(18*INDEX('KZ-normalized'!$D:$D, MATCH($A122, 'KZ-normalized'!$A:$A, 0))-INDEX('KZ-normalized'!$E:$E, MATCH($A122, 'KZ-normalized'!$A:$A, 0))&gt;0, -(18*INDEX('KZ-normalized'!$D:$D, MATCH($A122, 'KZ-normalized'!$A:$A, 0))-INDEX('KZ-normalized'!$E:$E, MATCH($A122, 'KZ-normalized'!$A:$A, 0))), 0), 0))+(IFERROR(IF(18*INDEX('UZ-normalized'!$D:$D, MATCH($A122, 'UZ-normalized'!$A:$A, 0))-INDEX('UZ-normalized'!$E:$E, MATCH($A122, 'UZ-normalized'!$A:$A, 0))&gt;0, -(18*INDEX('UZ-normalized'!$D:$D, MATCH($A122, 'UZ-normalized'!$A:$A, 0))-INDEX('UZ-normalized'!$E:$E, MATCH($A122, 'UZ-normalized'!$A:$A, 0))), 0), 0)))</f>
        <v>-311</v>
      </c>
      <c r="AG122" s="6">
        <f>MIN(0, N122+(IFERROR(IF(19*INDEX('UA-normalized'!$D:$D, MATCH($A122, 'UA-normalized'!$A:$A, 0))-INDEX('UA-normalized'!$E:$E, MATCH($A122, 'UA-normalized'!$A:$A, 0))&gt;0, -(19*INDEX('UA-normalized'!$D:$D, MATCH($A122, 'UA-normalized'!$A:$A, 0))-INDEX('UA-normalized'!$E:$E, MATCH($A122, 'UA-normalized'!$A:$A, 0))), 0), 0))+(IFERROR(IF(19*INDEX('KZ-normalized'!$D:$D, MATCH($A122, 'KZ-normalized'!$A:$A, 0))-INDEX('KZ-normalized'!$E:$E, MATCH($A122, 'KZ-normalized'!$A:$A, 0))&gt;0, -(19*INDEX('KZ-normalized'!$D:$D, MATCH($A122, 'KZ-normalized'!$A:$A, 0))-INDEX('KZ-normalized'!$E:$E, MATCH($A122, 'KZ-normalized'!$A:$A, 0))), 0), 0))+(IFERROR(IF(19*INDEX('UZ-normalized'!$D:$D, MATCH($A122, 'UZ-normalized'!$A:$A, 0))-INDEX('UZ-normalized'!$E:$E, MATCH($A122, 'UZ-normalized'!$A:$A, 0))&gt;0, -(19*INDEX('UZ-normalized'!$D:$D, MATCH($A122, 'UZ-normalized'!$A:$A, 0))-INDEX('UZ-normalized'!$E:$E, MATCH($A122, 'UZ-normalized'!$A:$A, 0))), 0), 0)))</f>
        <v>-336</v>
      </c>
      <c r="AH122" s="6">
        <f>MIN(0, N122+(IFERROR(IF(20*INDEX('UA-normalized'!$D:$D, MATCH($A122, 'UA-normalized'!$A:$A, 0))-INDEX('UA-normalized'!$E:$E, MATCH($A122, 'UA-normalized'!$A:$A, 0))&gt;0, -(20*INDEX('UA-normalized'!$D:$D, MATCH($A122, 'UA-normalized'!$A:$A, 0))-INDEX('UA-normalized'!$E:$E, MATCH($A122, 'UA-normalized'!$A:$A, 0))), 0), 0))+(IFERROR(IF(20*INDEX('KZ-normalized'!$D:$D, MATCH($A122, 'KZ-normalized'!$A:$A, 0))-INDEX('KZ-normalized'!$E:$E, MATCH($A122, 'KZ-normalized'!$A:$A, 0))&gt;0, -(20*INDEX('KZ-normalized'!$D:$D, MATCH($A122, 'KZ-normalized'!$A:$A, 0))-INDEX('KZ-normalized'!$E:$E, MATCH($A122, 'KZ-normalized'!$A:$A, 0))), 0), 0))+(IFERROR(IF(20*INDEX('UZ-normalized'!$D:$D, MATCH($A122, 'UZ-normalized'!$A:$A, 0))-INDEX('UZ-normalized'!$E:$E, MATCH($A122, 'UZ-normalized'!$A:$A, 0))&gt;0, -(20*INDEX('UZ-normalized'!$D:$D, MATCH($A122, 'UZ-normalized'!$A:$A, 0))-INDEX('UZ-normalized'!$E:$E, MATCH($A122, 'UZ-normalized'!$A:$A, 0))), 0), 0)))</f>
        <v>-361</v>
      </c>
      <c r="AI122" s="6">
        <f>MIN(0, N122+(IFERROR(IF(21*INDEX('UA-normalized'!$D:$D, MATCH($A122, 'UA-normalized'!$A:$A, 0))-INDEX('UA-normalized'!$E:$E, MATCH($A122, 'UA-normalized'!$A:$A, 0))&gt;0, -(21*INDEX('UA-normalized'!$D:$D, MATCH($A122, 'UA-normalized'!$A:$A, 0))-INDEX('UA-normalized'!$E:$E, MATCH($A122, 'UA-normalized'!$A:$A, 0))), 0), 0))+(IFERROR(IF(21*INDEX('KZ-normalized'!$D:$D, MATCH($A122, 'KZ-normalized'!$A:$A, 0))-INDEX('KZ-normalized'!$E:$E, MATCH($A122, 'KZ-normalized'!$A:$A, 0))&gt;0, -(21*INDEX('KZ-normalized'!$D:$D, MATCH($A122, 'KZ-normalized'!$A:$A, 0))-INDEX('KZ-normalized'!$E:$E, MATCH($A122, 'KZ-normalized'!$A:$A, 0))), 0), 0))+(IFERROR(IF(21*INDEX('UZ-normalized'!$D:$D, MATCH($A122, 'UZ-normalized'!$A:$A, 0))-INDEX('UZ-normalized'!$E:$E, MATCH($A122, 'UZ-normalized'!$A:$A, 0))&gt;0, -(21*INDEX('UZ-normalized'!$D:$D, MATCH($A122, 'UZ-normalized'!$A:$A, 0))-INDEX('UZ-normalized'!$E:$E, MATCH($A122, 'UZ-normalized'!$A:$A, 0))), 0), 0)))</f>
        <v>-386</v>
      </c>
      <c r="AJ122" s="6">
        <f>MIN(0, N122+(IFERROR(IF(22*INDEX('UA-normalized'!$D:$D, MATCH($A122, 'UA-normalized'!$A:$A, 0))-INDEX('UA-normalized'!$E:$E, MATCH($A122, 'UA-normalized'!$A:$A, 0))&gt;0, -(22*INDEX('UA-normalized'!$D:$D, MATCH($A122, 'UA-normalized'!$A:$A, 0))-INDEX('UA-normalized'!$E:$E, MATCH($A122, 'UA-normalized'!$A:$A, 0))), 0), 0))+(IFERROR(IF(22*INDEX('KZ-normalized'!$D:$D, MATCH($A122, 'KZ-normalized'!$A:$A, 0))-INDEX('KZ-normalized'!$E:$E, MATCH($A122, 'KZ-normalized'!$A:$A, 0))&gt;0, -(22*INDEX('KZ-normalized'!$D:$D, MATCH($A122, 'KZ-normalized'!$A:$A, 0))-INDEX('KZ-normalized'!$E:$E, MATCH($A122, 'KZ-normalized'!$A:$A, 0))), 0), 0))+(IFERROR(IF(22*INDEX('UZ-normalized'!$D:$D, MATCH($A122, 'UZ-normalized'!$A:$A, 0))-INDEX('UZ-normalized'!$E:$E, MATCH($A122, 'UZ-normalized'!$A:$A, 0))&gt;0, -(22*INDEX('UZ-normalized'!$D:$D, MATCH($A122, 'UZ-normalized'!$A:$A, 0))-INDEX('UZ-normalized'!$E:$E, MATCH($A122, 'UZ-normalized'!$A:$A, 0))), 0), 0)))</f>
        <v>-411</v>
      </c>
      <c r="AK122" s="6">
        <f>MIN(0, N122+(IFERROR(IF(23*INDEX('UA-normalized'!$D:$D, MATCH($A122, 'UA-normalized'!$A:$A, 0))-INDEX('UA-normalized'!$E:$E, MATCH($A122, 'UA-normalized'!$A:$A, 0))&gt;0, -(23*INDEX('UA-normalized'!$D:$D, MATCH($A122, 'UA-normalized'!$A:$A, 0))-INDEX('UA-normalized'!$E:$E, MATCH($A122, 'UA-normalized'!$A:$A, 0))), 0), 0))+(IFERROR(IF(23*INDEX('KZ-normalized'!$D:$D, MATCH($A122, 'KZ-normalized'!$A:$A, 0))-INDEX('KZ-normalized'!$E:$E, MATCH($A122, 'KZ-normalized'!$A:$A, 0))&gt;0, -(23*INDEX('KZ-normalized'!$D:$D, MATCH($A122, 'KZ-normalized'!$A:$A, 0))-INDEX('KZ-normalized'!$E:$E, MATCH($A122, 'KZ-normalized'!$A:$A, 0))), 0), 0))+(IFERROR(IF(23*INDEX('UZ-normalized'!$D:$D, MATCH($A122, 'UZ-normalized'!$A:$A, 0))-INDEX('UZ-normalized'!$E:$E, MATCH($A122, 'UZ-normalized'!$A:$A, 0))&gt;0, -(23*INDEX('UZ-normalized'!$D:$D, MATCH($A122, 'UZ-normalized'!$A:$A, 0))-INDEX('UZ-normalized'!$E:$E, MATCH($A122, 'UZ-normalized'!$A:$A, 0))), 0), 0)))</f>
        <v>-436</v>
      </c>
      <c r="AL122" s="6">
        <f>MIN(0, N122+(IFERROR(IF(24*INDEX('UA-normalized'!$D:$D, MATCH($A122, 'UA-normalized'!$A:$A, 0))-INDEX('UA-normalized'!$E:$E, MATCH($A122, 'UA-normalized'!$A:$A, 0))&gt;0, -(24*INDEX('UA-normalized'!$D:$D, MATCH($A122, 'UA-normalized'!$A:$A, 0))-INDEX('UA-normalized'!$E:$E, MATCH($A122, 'UA-normalized'!$A:$A, 0))), 0), 0))+(IFERROR(IF(24*INDEX('KZ-normalized'!$D:$D, MATCH($A122, 'KZ-normalized'!$A:$A, 0))-INDEX('KZ-normalized'!$E:$E, MATCH($A122, 'KZ-normalized'!$A:$A, 0))&gt;0, -(24*INDEX('KZ-normalized'!$D:$D, MATCH($A122, 'KZ-normalized'!$A:$A, 0))-INDEX('KZ-normalized'!$E:$E, MATCH($A122, 'KZ-normalized'!$A:$A, 0))), 0), 0))+(IFERROR(IF(24*INDEX('UZ-normalized'!$D:$D, MATCH($A122, 'UZ-normalized'!$A:$A, 0))-INDEX('UZ-normalized'!$E:$E, MATCH($A122, 'UZ-normalized'!$A:$A, 0))&gt;0, -(24*INDEX('UZ-normalized'!$D:$D, MATCH($A122, 'UZ-normalized'!$A:$A, 0))-INDEX('UZ-normalized'!$E:$E, MATCH($A122, 'UZ-normalized'!$A:$A, 0))), 0), 0)))</f>
        <v>-461</v>
      </c>
      <c r="AM122" s="6">
        <f>MIN(0, N122+(IFERROR(IF(25*INDEX('UA-normalized'!$D:$D, MATCH($A122, 'UA-normalized'!$A:$A, 0))-INDEX('UA-normalized'!$E:$E, MATCH($A122, 'UA-normalized'!$A:$A, 0))&gt;0, -(25*INDEX('UA-normalized'!$D:$D, MATCH($A122, 'UA-normalized'!$A:$A, 0))-INDEX('UA-normalized'!$E:$E, MATCH($A122, 'UA-normalized'!$A:$A, 0))), 0), 0))+(IFERROR(IF(25*INDEX('KZ-normalized'!$D:$D, MATCH($A122, 'KZ-normalized'!$A:$A, 0))-INDEX('KZ-normalized'!$E:$E, MATCH($A122, 'KZ-normalized'!$A:$A, 0))&gt;0, -(25*INDEX('KZ-normalized'!$D:$D, MATCH($A122, 'KZ-normalized'!$A:$A, 0))-INDEX('KZ-normalized'!$E:$E, MATCH($A122, 'KZ-normalized'!$A:$A, 0))), 0), 0))+(IFERROR(IF(25*INDEX('UZ-normalized'!$D:$D, MATCH($A122, 'UZ-normalized'!$A:$A, 0))-INDEX('UZ-normalized'!$E:$E, MATCH($A122, 'UZ-normalized'!$A:$A, 0))&gt;0, -(25*INDEX('UZ-normalized'!$D:$D, MATCH($A122, 'UZ-normalized'!$A:$A, 0))-INDEX('UZ-normalized'!$E:$E, MATCH($A122, 'UZ-normalized'!$A:$A, 0))), 0), 0)))</f>
        <v>-486</v>
      </c>
      <c r="AN122" s="6">
        <f>MIN(0, N122+(IFERROR(IF(26*INDEX('UA-normalized'!$D:$D, MATCH($A122, 'UA-normalized'!$A:$A, 0))-INDEX('UA-normalized'!$E:$E, MATCH($A122, 'UA-normalized'!$A:$A, 0))&gt;0, -(26*INDEX('UA-normalized'!$D:$D, MATCH($A122, 'UA-normalized'!$A:$A, 0))-INDEX('UA-normalized'!$E:$E, MATCH($A122, 'UA-normalized'!$A:$A, 0))), 0), 0))+(IFERROR(IF(26*INDEX('KZ-normalized'!$D:$D, MATCH($A122, 'KZ-normalized'!$A:$A, 0))-INDEX('KZ-normalized'!$E:$E, MATCH($A122, 'KZ-normalized'!$A:$A, 0))&gt;0, -(26*INDEX('KZ-normalized'!$D:$D, MATCH($A122, 'KZ-normalized'!$A:$A, 0))-INDEX('KZ-normalized'!$E:$E, MATCH($A122, 'KZ-normalized'!$A:$A, 0))), 0), 0))+(IFERROR(IF(26*INDEX('UZ-normalized'!$D:$D, MATCH($A122, 'UZ-normalized'!$A:$A, 0))-INDEX('UZ-normalized'!$E:$E, MATCH($A122, 'UZ-normalized'!$A:$A, 0))&gt;0, -(26*INDEX('UZ-normalized'!$D:$D, MATCH($A122, 'UZ-normalized'!$A:$A, 0))-INDEX('UZ-normalized'!$E:$E, MATCH($A122, 'UZ-normalized'!$A:$A, 0))), 0), 0)))</f>
        <v>-511</v>
      </c>
      <c r="AO122" s="6">
        <f>MIN(0, N122+(IFERROR(IF(27*INDEX('UA-normalized'!$D:$D, MATCH($A122, 'UA-normalized'!$A:$A, 0))-INDEX('UA-normalized'!$E:$E, MATCH($A122, 'UA-normalized'!$A:$A, 0))&gt;0, -(27*INDEX('UA-normalized'!$D:$D, MATCH($A122, 'UA-normalized'!$A:$A, 0))-INDEX('UA-normalized'!$E:$E, MATCH($A122, 'UA-normalized'!$A:$A, 0))), 0), 0))+(IFERROR(IF(27*INDEX('KZ-normalized'!$D:$D, MATCH($A122, 'KZ-normalized'!$A:$A, 0))-INDEX('KZ-normalized'!$E:$E, MATCH($A122, 'KZ-normalized'!$A:$A, 0))&gt;0, -(27*INDEX('KZ-normalized'!$D:$D, MATCH($A122, 'KZ-normalized'!$A:$A, 0))-INDEX('KZ-normalized'!$E:$E, MATCH($A122, 'KZ-normalized'!$A:$A, 0))), 0), 0))+(IFERROR(IF(27*INDEX('UZ-normalized'!$D:$D, MATCH($A122, 'UZ-normalized'!$A:$A, 0))-INDEX('UZ-normalized'!$E:$E, MATCH($A122, 'UZ-normalized'!$A:$A, 0))&gt;0, -(27*INDEX('UZ-normalized'!$D:$D, MATCH($A122, 'UZ-normalized'!$A:$A, 0))-INDEX('UZ-normalized'!$E:$E, MATCH($A122, 'UZ-normalized'!$A:$A, 0))), 0), 0)))</f>
        <v>-536</v>
      </c>
      <c r="AP122" s="6">
        <f>MIN(0, N122+(IFERROR(IF(28*INDEX('UA-normalized'!$D:$D, MATCH($A122, 'UA-normalized'!$A:$A, 0))-INDEX('UA-normalized'!$E:$E, MATCH($A122, 'UA-normalized'!$A:$A, 0))&gt;0, -(28*INDEX('UA-normalized'!$D:$D, MATCH($A122, 'UA-normalized'!$A:$A, 0))-INDEX('UA-normalized'!$E:$E, MATCH($A122, 'UA-normalized'!$A:$A, 0))), 0), 0))+(IFERROR(IF(28*INDEX('KZ-normalized'!$D:$D, MATCH($A122, 'KZ-normalized'!$A:$A, 0))-INDEX('KZ-normalized'!$E:$E, MATCH($A122, 'KZ-normalized'!$A:$A, 0))&gt;0, -(28*INDEX('KZ-normalized'!$D:$D, MATCH($A122, 'KZ-normalized'!$A:$A, 0))-INDEX('KZ-normalized'!$E:$E, MATCH($A122, 'KZ-normalized'!$A:$A, 0))), 0), 0))+(IFERROR(IF(28*INDEX('UZ-normalized'!$D:$D, MATCH($A122, 'UZ-normalized'!$A:$A, 0))-INDEX('UZ-normalized'!$E:$E, MATCH($A122, 'UZ-normalized'!$A:$A, 0))&gt;0, -(28*INDEX('UZ-normalized'!$D:$D, MATCH($A122, 'UZ-normalized'!$A:$A, 0))-INDEX('UZ-normalized'!$E:$E, MATCH($A122, 'UZ-normalized'!$A:$A, 0))), 0), 0)))</f>
        <v>-561</v>
      </c>
      <c r="AQ122" s="6">
        <f>MIN(0, N122+(IFERROR(IF(29*INDEX('UA-normalized'!$D:$D, MATCH($A122, 'UA-normalized'!$A:$A, 0))-INDEX('UA-normalized'!$E:$E, MATCH($A122, 'UA-normalized'!$A:$A, 0))&gt;0, -(29*INDEX('UA-normalized'!$D:$D, MATCH($A122, 'UA-normalized'!$A:$A, 0))-INDEX('UA-normalized'!$E:$E, MATCH($A122, 'UA-normalized'!$A:$A, 0))), 0), 0))+(IFERROR(IF(29*INDEX('KZ-normalized'!$D:$D, MATCH($A122, 'KZ-normalized'!$A:$A, 0))-INDEX('KZ-normalized'!$E:$E, MATCH($A122, 'KZ-normalized'!$A:$A, 0))&gt;0, -(29*INDEX('KZ-normalized'!$D:$D, MATCH($A122, 'KZ-normalized'!$A:$A, 0))-INDEX('KZ-normalized'!$E:$E, MATCH($A122, 'KZ-normalized'!$A:$A, 0))), 0), 0))+(IFERROR(IF(29*INDEX('UZ-normalized'!$D:$D, MATCH($A122, 'UZ-normalized'!$A:$A, 0))-INDEX('UZ-normalized'!$E:$E, MATCH($A122, 'UZ-normalized'!$A:$A, 0))&gt;0, -(29*INDEX('UZ-normalized'!$D:$D, MATCH($A122, 'UZ-normalized'!$A:$A, 0))-INDEX('UZ-normalized'!$E:$E, MATCH($A122, 'UZ-normalized'!$A:$A, 0))), 0), 0)))</f>
        <v>-586</v>
      </c>
      <c r="AR122" s="6">
        <f>MIN(0, N122+(IFERROR(IF(30*INDEX('UA-normalized'!$D:$D, MATCH($A122, 'UA-normalized'!$A:$A, 0))-INDEX('UA-normalized'!$E:$E, MATCH($A122, 'UA-normalized'!$A:$A, 0))&gt;0, -(30*INDEX('UA-normalized'!$D:$D, MATCH($A122, 'UA-normalized'!$A:$A, 0))-INDEX('UA-normalized'!$E:$E, MATCH($A122, 'UA-normalized'!$A:$A, 0))), 0), 0))+(IFERROR(IF(30*INDEX('KZ-normalized'!$D:$D, MATCH($A122, 'KZ-normalized'!$A:$A, 0))-INDEX('KZ-normalized'!$E:$E, MATCH($A122, 'KZ-normalized'!$A:$A, 0))&gt;0, -(30*INDEX('KZ-normalized'!$D:$D, MATCH($A122, 'KZ-normalized'!$A:$A, 0))-INDEX('KZ-normalized'!$E:$E, MATCH($A122, 'KZ-normalized'!$A:$A, 0))), 0), 0))+(IFERROR(IF(30*INDEX('UZ-normalized'!$D:$D, MATCH($A122, 'UZ-normalized'!$A:$A, 0))-INDEX('UZ-normalized'!$E:$E, MATCH($A122, 'UZ-normalized'!$A:$A, 0))&gt;0, -(30*INDEX('UZ-normalized'!$D:$D, MATCH($A122, 'UZ-normalized'!$A:$A, 0))-INDEX('UZ-normalized'!$E:$E, MATCH($A122, 'UZ-normalized'!$A:$A, 0))), 0), 0)))</f>
        <v>-611</v>
      </c>
    </row>
    <row r="123" spans="1:44" x14ac:dyDescent="0.25">
      <c r="A123" s="8" t="s">
        <v>301</v>
      </c>
      <c r="B123" s="8" t="s">
        <v>294</v>
      </c>
      <c r="C123" s="8" t="s">
        <v>295</v>
      </c>
      <c r="D123" s="8" t="s">
        <v>302</v>
      </c>
      <c r="N123">
        <f t="shared" si="1"/>
        <v>0</v>
      </c>
      <c r="O123" s="6">
        <f>MIN(0, N123+(IFERROR(IF(1*INDEX('UA-normalized'!$D:$D, MATCH($A123, 'UA-normalized'!$A:$A, 0))-INDEX('UA-normalized'!$E:$E, MATCH($A123, 'UA-normalized'!$A:$A, 0))&gt;0, -(1*INDEX('UA-normalized'!$D:$D, MATCH($A123, 'UA-normalized'!$A:$A, 0))-INDEX('UA-normalized'!$E:$E, MATCH($A123, 'UA-normalized'!$A:$A, 0))), 0), 0))+(IFERROR(IF(1*INDEX('KZ-normalized'!$D:$D, MATCH($A123, 'KZ-normalized'!$A:$A, 0))-INDEX('KZ-normalized'!$E:$E, MATCH($A123, 'KZ-normalized'!$A:$A, 0))&gt;0, -(1*INDEX('KZ-normalized'!$D:$D, MATCH($A123, 'KZ-normalized'!$A:$A, 0))-INDEX('KZ-normalized'!$E:$E, MATCH($A123, 'KZ-normalized'!$A:$A, 0))), 0), 0))+(IFERROR(IF(1*INDEX('UZ-normalized'!$D:$D, MATCH($A123, 'UZ-normalized'!$A:$A, 0))-INDEX('UZ-normalized'!$E:$E, MATCH($A123, 'UZ-normalized'!$A:$A, 0))&gt;0, -(1*INDEX('UZ-normalized'!$D:$D, MATCH($A123, 'UZ-normalized'!$A:$A, 0))-INDEX('UZ-normalized'!$E:$E, MATCH($A123, 'UZ-normalized'!$A:$A, 0))), 0), 0)))</f>
        <v>0</v>
      </c>
      <c r="P123" s="6">
        <f>MIN(0, N123+(IFERROR(IF(2*INDEX('UA-normalized'!$D:$D, MATCH($A123, 'UA-normalized'!$A:$A, 0))-INDEX('UA-normalized'!$E:$E, MATCH($A123, 'UA-normalized'!$A:$A, 0))&gt;0, -(2*INDEX('UA-normalized'!$D:$D, MATCH($A123, 'UA-normalized'!$A:$A, 0))-INDEX('UA-normalized'!$E:$E, MATCH($A123, 'UA-normalized'!$A:$A, 0))), 0), 0))+(IFERROR(IF(2*INDEX('KZ-normalized'!$D:$D, MATCH($A123, 'KZ-normalized'!$A:$A, 0))-INDEX('KZ-normalized'!$E:$E, MATCH($A123, 'KZ-normalized'!$A:$A, 0))&gt;0, -(2*INDEX('KZ-normalized'!$D:$D, MATCH($A123, 'KZ-normalized'!$A:$A, 0))-INDEX('KZ-normalized'!$E:$E, MATCH($A123, 'KZ-normalized'!$A:$A, 0))), 0), 0))+(IFERROR(IF(2*INDEX('UZ-normalized'!$D:$D, MATCH($A123, 'UZ-normalized'!$A:$A, 0))-INDEX('UZ-normalized'!$E:$E, MATCH($A123, 'UZ-normalized'!$A:$A, 0))&gt;0, -(2*INDEX('UZ-normalized'!$D:$D, MATCH($A123, 'UZ-normalized'!$A:$A, 0))-INDEX('UZ-normalized'!$E:$E, MATCH($A123, 'UZ-normalized'!$A:$A, 0))), 0), 0)))</f>
        <v>0</v>
      </c>
      <c r="Q123" s="6">
        <f>MIN(0, N123+(IFERROR(IF(3*INDEX('UA-normalized'!$D:$D, MATCH($A123, 'UA-normalized'!$A:$A, 0))-INDEX('UA-normalized'!$E:$E, MATCH($A123, 'UA-normalized'!$A:$A, 0))&gt;0, -(3*INDEX('UA-normalized'!$D:$D, MATCH($A123, 'UA-normalized'!$A:$A, 0))-INDEX('UA-normalized'!$E:$E, MATCH($A123, 'UA-normalized'!$A:$A, 0))), 0), 0))+(IFERROR(IF(3*INDEX('KZ-normalized'!$D:$D, MATCH($A123, 'KZ-normalized'!$A:$A, 0))-INDEX('KZ-normalized'!$E:$E, MATCH($A123, 'KZ-normalized'!$A:$A, 0))&gt;0, -(3*INDEX('KZ-normalized'!$D:$D, MATCH($A123, 'KZ-normalized'!$A:$A, 0))-INDEX('KZ-normalized'!$E:$E, MATCH($A123, 'KZ-normalized'!$A:$A, 0))), 0), 0))+(IFERROR(IF(3*INDEX('UZ-normalized'!$D:$D, MATCH($A123, 'UZ-normalized'!$A:$A, 0))-INDEX('UZ-normalized'!$E:$E, MATCH($A123, 'UZ-normalized'!$A:$A, 0))&gt;0, -(3*INDEX('UZ-normalized'!$D:$D, MATCH($A123, 'UZ-normalized'!$A:$A, 0))-INDEX('UZ-normalized'!$E:$E, MATCH($A123, 'UZ-normalized'!$A:$A, 0))), 0), 0)))</f>
        <v>0</v>
      </c>
      <c r="R123" s="6">
        <f>MIN(0, N123+(IFERROR(IF(4*INDEX('UA-normalized'!$D:$D, MATCH($A123, 'UA-normalized'!$A:$A, 0))-INDEX('UA-normalized'!$E:$E, MATCH($A123, 'UA-normalized'!$A:$A, 0))&gt;0, -(4*INDEX('UA-normalized'!$D:$D, MATCH($A123, 'UA-normalized'!$A:$A, 0))-INDEX('UA-normalized'!$E:$E, MATCH($A123, 'UA-normalized'!$A:$A, 0))), 0), 0))+(IFERROR(IF(4*INDEX('KZ-normalized'!$D:$D, MATCH($A123, 'KZ-normalized'!$A:$A, 0))-INDEX('KZ-normalized'!$E:$E, MATCH($A123, 'KZ-normalized'!$A:$A, 0))&gt;0, -(4*INDEX('KZ-normalized'!$D:$D, MATCH($A123, 'KZ-normalized'!$A:$A, 0))-INDEX('KZ-normalized'!$E:$E, MATCH($A123, 'KZ-normalized'!$A:$A, 0))), 0), 0))+(IFERROR(IF(4*INDEX('UZ-normalized'!$D:$D, MATCH($A123, 'UZ-normalized'!$A:$A, 0))-INDEX('UZ-normalized'!$E:$E, MATCH($A123, 'UZ-normalized'!$A:$A, 0))&gt;0, -(4*INDEX('UZ-normalized'!$D:$D, MATCH($A123, 'UZ-normalized'!$A:$A, 0))-INDEX('UZ-normalized'!$E:$E, MATCH($A123, 'UZ-normalized'!$A:$A, 0))), 0), 0)))</f>
        <v>0</v>
      </c>
      <c r="S123" s="6">
        <f>MIN(0, N123+(IFERROR(IF(5*INDEX('UA-normalized'!$D:$D, MATCH($A123, 'UA-normalized'!$A:$A, 0))-INDEX('UA-normalized'!$E:$E, MATCH($A123, 'UA-normalized'!$A:$A, 0))&gt;0, -(5*INDEX('UA-normalized'!$D:$D, MATCH($A123, 'UA-normalized'!$A:$A, 0))-INDEX('UA-normalized'!$E:$E, MATCH($A123, 'UA-normalized'!$A:$A, 0))), 0), 0))+(IFERROR(IF(5*INDEX('KZ-normalized'!$D:$D, MATCH($A123, 'KZ-normalized'!$A:$A, 0))-INDEX('KZ-normalized'!$E:$E, MATCH($A123, 'KZ-normalized'!$A:$A, 0))&gt;0, -(5*INDEX('KZ-normalized'!$D:$D, MATCH($A123, 'KZ-normalized'!$A:$A, 0))-INDEX('KZ-normalized'!$E:$E, MATCH($A123, 'KZ-normalized'!$A:$A, 0))), 0), 0))+(IFERROR(IF(5*INDEX('UZ-normalized'!$D:$D, MATCH($A123, 'UZ-normalized'!$A:$A, 0))-INDEX('UZ-normalized'!$E:$E, MATCH($A123, 'UZ-normalized'!$A:$A, 0))&gt;0, -(5*INDEX('UZ-normalized'!$D:$D, MATCH($A123, 'UZ-normalized'!$A:$A, 0))-INDEX('UZ-normalized'!$E:$E, MATCH($A123, 'UZ-normalized'!$A:$A, 0))), 0), 0)))</f>
        <v>0</v>
      </c>
      <c r="T123" s="6">
        <f>MIN(0, N123+(IFERROR(IF(6*INDEX('UA-normalized'!$D:$D, MATCH($A123, 'UA-normalized'!$A:$A, 0))-INDEX('UA-normalized'!$E:$E, MATCH($A123, 'UA-normalized'!$A:$A, 0))&gt;0, -(6*INDEX('UA-normalized'!$D:$D, MATCH($A123, 'UA-normalized'!$A:$A, 0))-INDEX('UA-normalized'!$E:$E, MATCH($A123, 'UA-normalized'!$A:$A, 0))), 0), 0))+(IFERROR(IF(6*INDEX('KZ-normalized'!$D:$D, MATCH($A123, 'KZ-normalized'!$A:$A, 0))-INDEX('KZ-normalized'!$E:$E, MATCH($A123, 'KZ-normalized'!$A:$A, 0))&gt;0, -(6*INDEX('KZ-normalized'!$D:$D, MATCH($A123, 'KZ-normalized'!$A:$A, 0))-INDEX('KZ-normalized'!$E:$E, MATCH($A123, 'KZ-normalized'!$A:$A, 0))), 0), 0))+(IFERROR(IF(6*INDEX('UZ-normalized'!$D:$D, MATCH($A123, 'UZ-normalized'!$A:$A, 0))-INDEX('UZ-normalized'!$E:$E, MATCH($A123, 'UZ-normalized'!$A:$A, 0))&gt;0, -(6*INDEX('UZ-normalized'!$D:$D, MATCH($A123, 'UZ-normalized'!$A:$A, 0))-INDEX('UZ-normalized'!$E:$E, MATCH($A123, 'UZ-normalized'!$A:$A, 0))), 0), 0)))</f>
        <v>0</v>
      </c>
      <c r="U123" s="6">
        <f>MIN(0, N123+(IFERROR(IF(7*INDEX('UA-normalized'!$D:$D, MATCH($A123, 'UA-normalized'!$A:$A, 0))-INDEX('UA-normalized'!$E:$E, MATCH($A123, 'UA-normalized'!$A:$A, 0))&gt;0, -(7*INDEX('UA-normalized'!$D:$D, MATCH($A123, 'UA-normalized'!$A:$A, 0))-INDEX('UA-normalized'!$E:$E, MATCH($A123, 'UA-normalized'!$A:$A, 0))), 0), 0))+(IFERROR(IF(7*INDEX('KZ-normalized'!$D:$D, MATCH($A123, 'KZ-normalized'!$A:$A, 0))-INDEX('KZ-normalized'!$E:$E, MATCH($A123, 'KZ-normalized'!$A:$A, 0))&gt;0, -(7*INDEX('KZ-normalized'!$D:$D, MATCH($A123, 'KZ-normalized'!$A:$A, 0))-INDEX('KZ-normalized'!$E:$E, MATCH($A123, 'KZ-normalized'!$A:$A, 0))), 0), 0))+(IFERROR(IF(7*INDEX('UZ-normalized'!$D:$D, MATCH($A123, 'UZ-normalized'!$A:$A, 0))-INDEX('UZ-normalized'!$E:$E, MATCH($A123, 'UZ-normalized'!$A:$A, 0))&gt;0, -(7*INDEX('UZ-normalized'!$D:$D, MATCH($A123, 'UZ-normalized'!$A:$A, 0))-INDEX('UZ-normalized'!$E:$E, MATCH($A123, 'UZ-normalized'!$A:$A, 0))), 0), 0)))</f>
        <v>0</v>
      </c>
      <c r="V123" s="6">
        <f>MIN(0, N123+(IFERROR(IF(8*INDEX('UA-normalized'!$D:$D, MATCH($A123, 'UA-normalized'!$A:$A, 0))-INDEX('UA-normalized'!$E:$E, MATCH($A123, 'UA-normalized'!$A:$A, 0))&gt;0, -(8*INDEX('UA-normalized'!$D:$D, MATCH($A123, 'UA-normalized'!$A:$A, 0))-INDEX('UA-normalized'!$E:$E, MATCH($A123, 'UA-normalized'!$A:$A, 0))), 0), 0))+(IFERROR(IF(8*INDEX('KZ-normalized'!$D:$D, MATCH($A123, 'KZ-normalized'!$A:$A, 0))-INDEX('KZ-normalized'!$E:$E, MATCH($A123, 'KZ-normalized'!$A:$A, 0))&gt;0, -(8*INDEX('KZ-normalized'!$D:$D, MATCH($A123, 'KZ-normalized'!$A:$A, 0))-INDEX('KZ-normalized'!$E:$E, MATCH($A123, 'KZ-normalized'!$A:$A, 0))), 0), 0))+(IFERROR(IF(8*INDEX('UZ-normalized'!$D:$D, MATCH($A123, 'UZ-normalized'!$A:$A, 0))-INDEX('UZ-normalized'!$E:$E, MATCH($A123, 'UZ-normalized'!$A:$A, 0))&gt;0, -(8*INDEX('UZ-normalized'!$D:$D, MATCH($A123, 'UZ-normalized'!$A:$A, 0))-INDEX('UZ-normalized'!$E:$E, MATCH($A123, 'UZ-normalized'!$A:$A, 0))), 0), 0)))</f>
        <v>0</v>
      </c>
      <c r="W123" s="6">
        <f>MIN(0, N123+(IFERROR(IF(9*INDEX('UA-normalized'!$D:$D, MATCH($A123, 'UA-normalized'!$A:$A, 0))-INDEX('UA-normalized'!$E:$E, MATCH($A123, 'UA-normalized'!$A:$A, 0))&gt;0, -(9*INDEX('UA-normalized'!$D:$D, MATCH($A123, 'UA-normalized'!$A:$A, 0))-INDEX('UA-normalized'!$E:$E, MATCH($A123, 'UA-normalized'!$A:$A, 0))), 0), 0))+(IFERROR(IF(9*INDEX('KZ-normalized'!$D:$D, MATCH($A123, 'KZ-normalized'!$A:$A, 0))-INDEX('KZ-normalized'!$E:$E, MATCH($A123, 'KZ-normalized'!$A:$A, 0))&gt;0, -(9*INDEX('KZ-normalized'!$D:$D, MATCH($A123, 'KZ-normalized'!$A:$A, 0))-INDEX('KZ-normalized'!$E:$E, MATCH($A123, 'KZ-normalized'!$A:$A, 0))), 0), 0))+(IFERROR(IF(9*INDEX('UZ-normalized'!$D:$D, MATCH($A123, 'UZ-normalized'!$A:$A, 0))-INDEX('UZ-normalized'!$E:$E, MATCH($A123, 'UZ-normalized'!$A:$A, 0))&gt;0, -(9*INDEX('UZ-normalized'!$D:$D, MATCH($A123, 'UZ-normalized'!$A:$A, 0))-INDEX('UZ-normalized'!$E:$E, MATCH($A123, 'UZ-normalized'!$A:$A, 0))), 0), 0)))</f>
        <v>0</v>
      </c>
      <c r="X123" s="6">
        <f>MIN(0, N123+(IFERROR(IF(10*INDEX('UA-normalized'!$D:$D, MATCH($A123, 'UA-normalized'!$A:$A, 0))-INDEX('UA-normalized'!$E:$E, MATCH($A123, 'UA-normalized'!$A:$A, 0))&gt;0, -(10*INDEX('UA-normalized'!$D:$D, MATCH($A123, 'UA-normalized'!$A:$A, 0))-INDEX('UA-normalized'!$E:$E, MATCH($A123, 'UA-normalized'!$A:$A, 0))), 0), 0))+(IFERROR(IF(10*INDEX('KZ-normalized'!$D:$D, MATCH($A123, 'KZ-normalized'!$A:$A, 0))-INDEX('KZ-normalized'!$E:$E, MATCH($A123, 'KZ-normalized'!$A:$A, 0))&gt;0, -(10*INDEX('KZ-normalized'!$D:$D, MATCH($A123, 'KZ-normalized'!$A:$A, 0))-INDEX('KZ-normalized'!$E:$E, MATCH($A123, 'KZ-normalized'!$A:$A, 0))), 0), 0))+(IFERROR(IF(10*INDEX('UZ-normalized'!$D:$D, MATCH($A123, 'UZ-normalized'!$A:$A, 0))-INDEX('UZ-normalized'!$E:$E, MATCH($A123, 'UZ-normalized'!$A:$A, 0))&gt;0, -(10*INDEX('UZ-normalized'!$D:$D, MATCH($A123, 'UZ-normalized'!$A:$A, 0))-INDEX('UZ-normalized'!$E:$E, MATCH($A123, 'UZ-normalized'!$A:$A, 0))), 0), 0)))</f>
        <v>0</v>
      </c>
      <c r="Y123" s="6">
        <f>MIN(0, N123+(IFERROR(IF(11*INDEX('UA-normalized'!$D:$D, MATCH($A123, 'UA-normalized'!$A:$A, 0))-INDEX('UA-normalized'!$E:$E, MATCH($A123, 'UA-normalized'!$A:$A, 0))&gt;0, -(11*INDEX('UA-normalized'!$D:$D, MATCH($A123, 'UA-normalized'!$A:$A, 0))-INDEX('UA-normalized'!$E:$E, MATCH($A123, 'UA-normalized'!$A:$A, 0))), 0), 0))+(IFERROR(IF(11*INDEX('KZ-normalized'!$D:$D, MATCH($A123, 'KZ-normalized'!$A:$A, 0))-INDEX('KZ-normalized'!$E:$E, MATCH($A123, 'KZ-normalized'!$A:$A, 0))&gt;0, -(11*INDEX('KZ-normalized'!$D:$D, MATCH($A123, 'KZ-normalized'!$A:$A, 0))-INDEX('KZ-normalized'!$E:$E, MATCH($A123, 'KZ-normalized'!$A:$A, 0))), 0), 0))+(IFERROR(IF(11*INDEX('UZ-normalized'!$D:$D, MATCH($A123, 'UZ-normalized'!$A:$A, 0))-INDEX('UZ-normalized'!$E:$E, MATCH($A123, 'UZ-normalized'!$A:$A, 0))&gt;0, -(11*INDEX('UZ-normalized'!$D:$D, MATCH($A123, 'UZ-normalized'!$A:$A, 0))-INDEX('UZ-normalized'!$E:$E, MATCH($A123, 'UZ-normalized'!$A:$A, 0))), 0), 0)))</f>
        <v>0</v>
      </c>
      <c r="Z123" s="6">
        <f>MIN(0, N123+(IFERROR(IF(12*INDEX('UA-normalized'!$D:$D, MATCH($A123, 'UA-normalized'!$A:$A, 0))-INDEX('UA-normalized'!$E:$E, MATCH($A123, 'UA-normalized'!$A:$A, 0))&gt;0, -(12*INDEX('UA-normalized'!$D:$D, MATCH($A123, 'UA-normalized'!$A:$A, 0))-INDEX('UA-normalized'!$E:$E, MATCH($A123, 'UA-normalized'!$A:$A, 0))), 0), 0))+(IFERROR(IF(12*INDEX('KZ-normalized'!$D:$D, MATCH($A123, 'KZ-normalized'!$A:$A, 0))-INDEX('KZ-normalized'!$E:$E, MATCH($A123, 'KZ-normalized'!$A:$A, 0))&gt;0, -(12*INDEX('KZ-normalized'!$D:$D, MATCH($A123, 'KZ-normalized'!$A:$A, 0))-INDEX('KZ-normalized'!$E:$E, MATCH($A123, 'KZ-normalized'!$A:$A, 0))), 0), 0))+(IFERROR(IF(12*INDEX('UZ-normalized'!$D:$D, MATCH($A123, 'UZ-normalized'!$A:$A, 0))-INDEX('UZ-normalized'!$E:$E, MATCH($A123, 'UZ-normalized'!$A:$A, 0))&gt;0, -(12*INDEX('UZ-normalized'!$D:$D, MATCH($A123, 'UZ-normalized'!$A:$A, 0))-INDEX('UZ-normalized'!$E:$E, MATCH($A123, 'UZ-normalized'!$A:$A, 0))), 0), 0)))</f>
        <v>0</v>
      </c>
      <c r="AA123" s="6">
        <f>MIN(0, N123+(IFERROR(IF(13*INDEX('UA-normalized'!$D:$D, MATCH($A123, 'UA-normalized'!$A:$A, 0))-INDEX('UA-normalized'!$E:$E, MATCH($A123, 'UA-normalized'!$A:$A, 0))&gt;0, -(13*INDEX('UA-normalized'!$D:$D, MATCH($A123, 'UA-normalized'!$A:$A, 0))-INDEX('UA-normalized'!$E:$E, MATCH($A123, 'UA-normalized'!$A:$A, 0))), 0), 0))+(IFERROR(IF(13*INDEX('KZ-normalized'!$D:$D, MATCH($A123, 'KZ-normalized'!$A:$A, 0))-INDEX('KZ-normalized'!$E:$E, MATCH($A123, 'KZ-normalized'!$A:$A, 0))&gt;0, -(13*INDEX('KZ-normalized'!$D:$D, MATCH($A123, 'KZ-normalized'!$A:$A, 0))-INDEX('KZ-normalized'!$E:$E, MATCH($A123, 'KZ-normalized'!$A:$A, 0))), 0), 0))+(IFERROR(IF(13*INDEX('UZ-normalized'!$D:$D, MATCH($A123, 'UZ-normalized'!$A:$A, 0))-INDEX('UZ-normalized'!$E:$E, MATCH($A123, 'UZ-normalized'!$A:$A, 0))&gt;0, -(13*INDEX('UZ-normalized'!$D:$D, MATCH($A123, 'UZ-normalized'!$A:$A, 0))-INDEX('UZ-normalized'!$E:$E, MATCH($A123, 'UZ-normalized'!$A:$A, 0))), 0), 0)))</f>
        <v>0</v>
      </c>
      <c r="AB123" s="6">
        <f>MIN(0, N123+(IFERROR(IF(14*INDEX('UA-normalized'!$D:$D, MATCH($A123, 'UA-normalized'!$A:$A, 0))-INDEX('UA-normalized'!$E:$E, MATCH($A123, 'UA-normalized'!$A:$A, 0))&gt;0, -(14*INDEX('UA-normalized'!$D:$D, MATCH($A123, 'UA-normalized'!$A:$A, 0))-INDEX('UA-normalized'!$E:$E, MATCH($A123, 'UA-normalized'!$A:$A, 0))), 0), 0))+(IFERROR(IF(14*INDEX('KZ-normalized'!$D:$D, MATCH($A123, 'KZ-normalized'!$A:$A, 0))-INDEX('KZ-normalized'!$E:$E, MATCH($A123, 'KZ-normalized'!$A:$A, 0))&gt;0, -(14*INDEX('KZ-normalized'!$D:$D, MATCH($A123, 'KZ-normalized'!$A:$A, 0))-INDEX('KZ-normalized'!$E:$E, MATCH($A123, 'KZ-normalized'!$A:$A, 0))), 0), 0))+(IFERROR(IF(14*INDEX('UZ-normalized'!$D:$D, MATCH($A123, 'UZ-normalized'!$A:$A, 0))-INDEX('UZ-normalized'!$E:$E, MATCH($A123, 'UZ-normalized'!$A:$A, 0))&gt;0, -(14*INDEX('UZ-normalized'!$D:$D, MATCH($A123, 'UZ-normalized'!$A:$A, 0))-INDEX('UZ-normalized'!$E:$E, MATCH($A123, 'UZ-normalized'!$A:$A, 0))), 0), 0)))</f>
        <v>0</v>
      </c>
      <c r="AC123" s="6">
        <f>MIN(0, N123+(IFERROR(IF(15*INDEX('UA-normalized'!$D:$D, MATCH($A123, 'UA-normalized'!$A:$A, 0))-INDEX('UA-normalized'!$E:$E, MATCH($A123, 'UA-normalized'!$A:$A, 0))&gt;0, -(15*INDEX('UA-normalized'!$D:$D, MATCH($A123, 'UA-normalized'!$A:$A, 0))-INDEX('UA-normalized'!$E:$E, MATCH($A123, 'UA-normalized'!$A:$A, 0))), 0), 0))+(IFERROR(IF(15*INDEX('KZ-normalized'!$D:$D, MATCH($A123, 'KZ-normalized'!$A:$A, 0))-INDEX('KZ-normalized'!$E:$E, MATCH($A123, 'KZ-normalized'!$A:$A, 0))&gt;0, -(15*INDEX('KZ-normalized'!$D:$D, MATCH($A123, 'KZ-normalized'!$A:$A, 0))-INDEX('KZ-normalized'!$E:$E, MATCH($A123, 'KZ-normalized'!$A:$A, 0))), 0), 0))+(IFERROR(IF(15*INDEX('UZ-normalized'!$D:$D, MATCH($A123, 'UZ-normalized'!$A:$A, 0))-INDEX('UZ-normalized'!$E:$E, MATCH($A123, 'UZ-normalized'!$A:$A, 0))&gt;0, -(15*INDEX('UZ-normalized'!$D:$D, MATCH($A123, 'UZ-normalized'!$A:$A, 0))-INDEX('UZ-normalized'!$E:$E, MATCH($A123, 'UZ-normalized'!$A:$A, 0))), 0), 0)))</f>
        <v>0</v>
      </c>
      <c r="AD123" s="6">
        <f>MIN(0, N123+(IFERROR(IF(16*INDEX('UA-normalized'!$D:$D, MATCH($A123, 'UA-normalized'!$A:$A, 0))-INDEX('UA-normalized'!$E:$E, MATCH($A123, 'UA-normalized'!$A:$A, 0))&gt;0, -(16*INDEX('UA-normalized'!$D:$D, MATCH($A123, 'UA-normalized'!$A:$A, 0))-INDEX('UA-normalized'!$E:$E, MATCH($A123, 'UA-normalized'!$A:$A, 0))), 0), 0))+(IFERROR(IF(16*INDEX('KZ-normalized'!$D:$D, MATCH($A123, 'KZ-normalized'!$A:$A, 0))-INDEX('KZ-normalized'!$E:$E, MATCH($A123, 'KZ-normalized'!$A:$A, 0))&gt;0, -(16*INDEX('KZ-normalized'!$D:$D, MATCH($A123, 'KZ-normalized'!$A:$A, 0))-INDEX('KZ-normalized'!$E:$E, MATCH($A123, 'KZ-normalized'!$A:$A, 0))), 0), 0))+(IFERROR(IF(16*INDEX('UZ-normalized'!$D:$D, MATCH($A123, 'UZ-normalized'!$A:$A, 0))-INDEX('UZ-normalized'!$E:$E, MATCH($A123, 'UZ-normalized'!$A:$A, 0))&gt;0, -(16*INDEX('UZ-normalized'!$D:$D, MATCH($A123, 'UZ-normalized'!$A:$A, 0))-INDEX('UZ-normalized'!$E:$E, MATCH($A123, 'UZ-normalized'!$A:$A, 0))), 0), 0)))</f>
        <v>0</v>
      </c>
      <c r="AE123" s="6">
        <f>MIN(0, N123+(IFERROR(IF(17*INDEX('UA-normalized'!$D:$D, MATCH($A123, 'UA-normalized'!$A:$A, 0))-INDEX('UA-normalized'!$E:$E, MATCH($A123, 'UA-normalized'!$A:$A, 0))&gt;0, -(17*INDEX('UA-normalized'!$D:$D, MATCH($A123, 'UA-normalized'!$A:$A, 0))-INDEX('UA-normalized'!$E:$E, MATCH($A123, 'UA-normalized'!$A:$A, 0))), 0), 0))+(IFERROR(IF(17*INDEX('KZ-normalized'!$D:$D, MATCH($A123, 'KZ-normalized'!$A:$A, 0))-INDEX('KZ-normalized'!$E:$E, MATCH($A123, 'KZ-normalized'!$A:$A, 0))&gt;0, -(17*INDEX('KZ-normalized'!$D:$D, MATCH($A123, 'KZ-normalized'!$A:$A, 0))-INDEX('KZ-normalized'!$E:$E, MATCH($A123, 'KZ-normalized'!$A:$A, 0))), 0), 0))+(IFERROR(IF(17*INDEX('UZ-normalized'!$D:$D, MATCH($A123, 'UZ-normalized'!$A:$A, 0))-INDEX('UZ-normalized'!$E:$E, MATCH($A123, 'UZ-normalized'!$A:$A, 0))&gt;0, -(17*INDEX('UZ-normalized'!$D:$D, MATCH($A123, 'UZ-normalized'!$A:$A, 0))-INDEX('UZ-normalized'!$E:$E, MATCH($A123, 'UZ-normalized'!$A:$A, 0))), 0), 0)))</f>
        <v>0</v>
      </c>
      <c r="AF123" s="6">
        <f>MIN(0, N123+(IFERROR(IF(18*INDEX('UA-normalized'!$D:$D, MATCH($A123, 'UA-normalized'!$A:$A, 0))-INDEX('UA-normalized'!$E:$E, MATCH($A123, 'UA-normalized'!$A:$A, 0))&gt;0, -(18*INDEX('UA-normalized'!$D:$D, MATCH($A123, 'UA-normalized'!$A:$A, 0))-INDEX('UA-normalized'!$E:$E, MATCH($A123, 'UA-normalized'!$A:$A, 0))), 0), 0))+(IFERROR(IF(18*INDEX('KZ-normalized'!$D:$D, MATCH($A123, 'KZ-normalized'!$A:$A, 0))-INDEX('KZ-normalized'!$E:$E, MATCH($A123, 'KZ-normalized'!$A:$A, 0))&gt;0, -(18*INDEX('KZ-normalized'!$D:$D, MATCH($A123, 'KZ-normalized'!$A:$A, 0))-INDEX('KZ-normalized'!$E:$E, MATCH($A123, 'KZ-normalized'!$A:$A, 0))), 0), 0))+(IFERROR(IF(18*INDEX('UZ-normalized'!$D:$D, MATCH($A123, 'UZ-normalized'!$A:$A, 0))-INDEX('UZ-normalized'!$E:$E, MATCH($A123, 'UZ-normalized'!$A:$A, 0))&gt;0, -(18*INDEX('UZ-normalized'!$D:$D, MATCH($A123, 'UZ-normalized'!$A:$A, 0))-INDEX('UZ-normalized'!$E:$E, MATCH($A123, 'UZ-normalized'!$A:$A, 0))), 0), 0)))</f>
        <v>0</v>
      </c>
      <c r="AG123" s="6">
        <f>MIN(0, N123+(IFERROR(IF(19*INDEX('UA-normalized'!$D:$D, MATCH($A123, 'UA-normalized'!$A:$A, 0))-INDEX('UA-normalized'!$E:$E, MATCH($A123, 'UA-normalized'!$A:$A, 0))&gt;0, -(19*INDEX('UA-normalized'!$D:$D, MATCH($A123, 'UA-normalized'!$A:$A, 0))-INDEX('UA-normalized'!$E:$E, MATCH($A123, 'UA-normalized'!$A:$A, 0))), 0), 0))+(IFERROR(IF(19*INDEX('KZ-normalized'!$D:$D, MATCH($A123, 'KZ-normalized'!$A:$A, 0))-INDEX('KZ-normalized'!$E:$E, MATCH($A123, 'KZ-normalized'!$A:$A, 0))&gt;0, -(19*INDEX('KZ-normalized'!$D:$D, MATCH($A123, 'KZ-normalized'!$A:$A, 0))-INDEX('KZ-normalized'!$E:$E, MATCH($A123, 'KZ-normalized'!$A:$A, 0))), 0), 0))+(IFERROR(IF(19*INDEX('UZ-normalized'!$D:$D, MATCH($A123, 'UZ-normalized'!$A:$A, 0))-INDEX('UZ-normalized'!$E:$E, MATCH($A123, 'UZ-normalized'!$A:$A, 0))&gt;0, -(19*INDEX('UZ-normalized'!$D:$D, MATCH($A123, 'UZ-normalized'!$A:$A, 0))-INDEX('UZ-normalized'!$E:$E, MATCH($A123, 'UZ-normalized'!$A:$A, 0))), 0), 0)))</f>
        <v>0</v>
      </c>
      <c r="AH123" s="6">
        <f>MIN(0, N123+(IFERROR(IF(20*INDEX('UA-normalized'!$D:$D, MATCH($A123, 'UA-normalized'!$A:$A, 0))-INDEX('UA-normalized'!$E:$E, MATCH($A123, 'UA-normalized'!$A:$A, 0))&gt;0, -(20*INDEX('UA-normalized'!$D:$D, MATCH($A123, 'UA-normalized'!$A:$A, 0))-INDEX('UA-normalized'!$E:$E, MATCH($A123, 'UA-normalized'!$A:$A, 0))), 0), 0))+(IFERROR(IF(20*INDEX('KZ-normalized'!$D:$D, MATCH($A123, 'KZ-normalized'!$A:$A, 0))-INDEX('KZ-normalized'!$E:$E, MATCH($A123, 'KZ-normalized'!$A:$A, 0))&gt;0, -(20*INDEX('KZ-normalized'!$D:$D, MATCH($A123, 'KZ-normalized'!$A:$A, 0))-INDEX('KZ-normalized'!$E:$E, MATCH($A123, 'KZ-normalized'!$A:$A, 0))), 0), 0))+(IFERROR(IF(20*INDEX('UZ-normalized'!$D:$D, MATCH($A123, 'UZ-normalized'!$A:$A, 0))-INDEX('UZ-normalized'!$E:$E, MATCH($A123, 'UZ-normalized'!$A:$A, 0))&gt;0, -(20*INDEX('UZ-normalized'!$D:$D, MATCH($A123, 'UZ-normalized'!$A:$A, 0))-INDEX('UZ-normalized'!$E:$E, MATCH($A123, 'UZ-normalized'!$A:$A, 0))), 0), 0)))</f>
        <v>0</v>
      </c>
      <c r="AI123" s="6">
        <f>MIN(0, N123+(IFERROR(IF(21*INDEX('UA-normalized'!$D:$D, MATCH($A123, 'UA-normalized'!$A:$A, 0))-INDEX('UA-normalized'!$E:$E, MATCH($A123, 'UA-normalized'!$A:$A, 0))&gt;0, -(21*INDEX('UA-normalized'!$D:$D, MATCH($A123, 'UA-normalized'!$A:$A, 0))-INDEX('UA-normalized'!$E:$E, MATCH($A123, 'UA-normalized'!$A:$A, 0))), 0), 0))+(IFERROR(IF(21*INDEX('KZ-normalized'!$D:$D, MATCH($A123, 'KZ-normalized'!$A:$A, 0))-INDEX('KZ-normalized'!$E:$E, MATCH($A123, 'KZ-normalized'!$A:$A, 0))&gt;0, -(21*INDEX('KZ-normalized'!$D:$D, MATCH($A123, 'KZ-normalized'!$A:$A, 0))-INDEX('KZ-normalized'!$E:$E, MATCH($A123, 'KZ-normalized'!$A:$A, 0))), 0), 0))+(IFERROR(IF(21*INDEX('UZ-normalized'!$D:$D, MATCH($A123, 'UZ-normalized'!$A:$A, 0))-INDEX('UZ-normalized'!$E:$E, MATCH($A123, 'UZ-normalized'!$A:$A, 0))&gt;0, -(21*INDEX('UZ-normalized'!$D:$D, MATCH($A123, 'UZ-normalized'!$A:$A, 0))-INDEX('UZ-normalized'!$E:$E, MATCH($A123, 'UZ-normalized'!$A:$A, 0))), 0), 0)))</f>
        <v>0</v>
      </c>
      <c r="AJ123" s="6">
        <f>MIN(0, N123+(IFERROR(IF(22*INDEX('UA-normalized'!$D:$D, MATCH($A123, 'UA-normalized'!$A:$A, 0))-INDEX('UA-normalized'!$E:$E, MATCH($A123, 'UA-normalized'!$A:$A, 0))&gt;0, -(22*INDEX('UA-normalized'!$D:$D, MATCH($A123, 'UA-normalized'!$A:$A, 0))-INDEX('UA-normalized'!$E:$E, MATCH($A123, 'UA-normalized'!$A:$A, 0))), 0), 0))+(IFERROR(IF(22*INDEX('KZ-normalized'!$D:$D, MATCH($A123, 'KZ-normalized'!$A:$A, 0))-INDEX('KZ-normalized'!$E:$E, MATCH($A123, 'KZ-normalized'!$A:$A, 0))&gt;0, -(22*INDEX('KZ-normalized'!$D:$D, MATCH($A123, 'KZ-normalized'!$A:$A, 0))-INDEX('KZ-normalized'!$E:$E, MATCH($A123, 'KZ-normalized'!$A:$A, 0))), 0), 0))+(IFERROR(IF(22*INDEX('UZ-normalized'!$D:$D, MATCH($A123, 'UZ-normalized'!$A:$A, 0))-INDEX('UZ-normalized'!$E:$E, MATCH($A123, 'UZ-normalized'!$A:$A, 0))&gt;0, -(22*INDEX('UZ-normalized'!$D:$D, MATCH($A123, 'UZ-normalized'!$A:$A, 0))-INDEX('UZ-normalized'!$E:$E, MATCH($A123, 'UZ-normalized'!$A:$A, 0))), 0), 0)))</f>
        <v>0</v>
      </c>
      <c r="AK123" s="6">
        <f>MIN(0, N123+(IFERROR(IF(23*INDEX('UA-normalized'!$D:$D, MATCH($A123, 'UA-normalized'!$A:$A, 0))-INDEX('UA-normalized'!$E:$E, MATCH($A123, 'UA-normalized'!$A:$A, 0))&gt;0, -(23*INDEX('UA-normalized'!$D:$D, MATCH($A123, 'UA-normalized'!$A:$A, 0))-INDEX('UA-normalized'!$E:$E, MATCH($A123, 'UA-normalized'!$A:$A, 0))), 0), 0))+(IFERROR(IF(23*INDEX('KZ-normalized'!$D:$D, MATCH($A123, 'KZ-normalized'!$A:$A, 0))-INDEX('KZ-normalized'!$E:$E, MATCH($A123, 'KZ-normalized'!$A:$A, 0))&gt;0, -(23*INDEX('KZ-normalized'!$D:$D, MATCH($A123, 'KZ-normalized'!$A:$A, 0))-INDEX('KZ-normalized'!$E:$E, MATCH($A123, 'KZ-normalized'!$A:$A, 0))), 0), 0))+(IFERROR(IF(23*INDEX('UZ-normalized'!$D:$D, MATCH($A123, 'UZ-normalized'!$A:$A, 0))-INDEX('UZ-normalized'!$E:$E, MATCH($A123, 'UZ-normalized'!$A:$A, 0))&gt;0, -(23*INDEX('UZ-normalized'!$D:$D, MATCH($A123, 'UZ-normalized'!$A:$A, 0))-INDEX('UZ-normalized'!$E:$E, MATCH($A123, 'UZ-normalized'!$A:$A, 0))), 0), 0)))</f>
        <v>0</v>
      </c>
      <c r="AL123" s="6">
        <f>MIN(0, N123+(IFERROR(IF(24*INDEX('UA-normalized'!$D:$D, MATCH($A123, 'UA-normalized'!$A:$A, 0))-INDEX('UA-normalized'!$E:$E, MATCH($A123, 'UA-normalized'!$A:$A, 0))&gt;0, -(24*INDEX('UA-normalized'!$D:$D, MATCH($A123, 'UA-normalized'!$A:$A, 0))-INDEX('UA-normalized'!$E:$E, MATCH($A123, 'UA-normalized'!$A:$A, 0))), 0), 0))+(IFERROR(IF(24*INDEX('KZ-normalized'!$D:$D, MATCH($A123, 'KZ-normalized'!$A:$A, 0))-INDEX('KZ-normalized'!$E:$E, MATCH($A123, 'KZ-normalized'!$A:$A, 0))&gt;0, -(24*INDEX('KZ-normalized'!$D:$D, MATCH($A123, 'KZ-normalized'!$A:$A, 0))-INDEX('KZ-normalized'!$E:$E, MATCH($A123, 'KZ-normalized'!$A:$A, 0))), 0), 0))+(IFERROR(IF(24*INDEX('UZ-normalized'!$D:$D, MATCH($A123, 'UZ-normalized'!$A:$A, 0))-INDEX('UZ-normalized'!$E:$E, MATCH($A123, 'UZ-normalized'!$A:$A, 0))&gt;0, -(24*INDEX('UZ-normalized'!$D:$D, MATCH($A123, 'UZ-normalized'!$A:$A, 0))-INDEX('UZ-normalized'!$E:$E, MATCH($A123, 'UZ-normalized'!$A:$A, 0))), 0), 0)))</f>
        <v>0</v>
      </c>
      <c r="AM123" s="6">
        <f>MIN(0, N123+(IFERROR(IF(25*INDEX('UA-normalized'!$D:$D, MATCH($A123, 'UA-normalized'!$A:$A, 0))-INDEX('UA-normalized'!$E:$E, MATCH($A123, 'UA-normalized'!$A:$A, 0))&gt;0, -(25*INDEX('UA-normalized'!$D:$D, MATCH($A123, 'UA-normalized'!$A:$A, 0))-INDEX('UA-normalized'!$E:$E, MATCH($A123, 'UA-normalized'!$A:$A, 0))), 0), 0))+(IFERROR(IF(25*INDEX('KZ-normalized'!$D:$D, MATCH($A123, 'KZ-normalized'!$A:$A, 0))-INDEX('KZ-normalized'!$E:$E, MATCH($A123, 'KZ-normalized'!$A:$A, 0))&gt;0, -(25*INDEX('KZ-normalized'!$D:$D, MATCH($A123, 'KZ-normalized'!$A:$A, 0))-INDEX('KZ-normalized'!$E:$E, MATCH($A123, 'KZ-normalized'!$A:$A, 0))), 0), 0))+(IFERROR(IF(25*INDEX('UZ-normalized'!$D:$D, MATCH($A123, 'UZ-normalized'!$A:$A, 0))-INDEX('UZ-normalized'!$E:$E, MATCH($A123, 'UZ-normalized'!$A:$A, 0))&gt;0, -(25*INDEX('UZ-normalized'!$D:$D, MATCH($A123, 'UZ-normalized'!$A:$A, 0))-INDEX('UZ-normalized'!$E:$E, MATCH($A123, 'UZ-normalized'!$A:$A, 0))), 0), 0)))</f>
        <v>0</v>
      </c>
      <c r="AN123" s="6">
        <f>MIN(0, N123+(IFERROR(IF(26*INDEX('UA-normalized'!$D:$D, MATCH($A123, 'UA-normalized'!$A:$A, 0))-INDEX('UA-normalized'!$E:$E, MATCH($A123, 'UA-normalized'!$A:$A, 0))&gt;0, -(26*INDEX('UA-normalized'!$D:$D, MATCH($A123, 'UA-normalized'!$A:$A, 0))-INDEX('UA-normalized'!$E:$E, MATCH($A123, 'UA-normalized'!$A:$A, 0))), 0), 0))+(IFERROR(IF(26*INDEX('KZ-normalized'!$D:$D, MATCH($A123, 'KZ-normalized'!$A:$A, 0))-INDEX('KZ-normalized'!$E:$E, MATCH($A123, 'KZ-normalized'!$A:$A, 0))&gt;0, -(26*INDEX('KZ-normalized'!$D:$D, MATCH($A123, 'KZ-normalized'!$A:$A, 0))-INDEX('KZ-normalized'!$E:$E, MATCH($A123, 'KZ-normalized'!$A:$A, 0))), 0), 0))+(IFERROR(IF(26*INDEX('UZ-normalized'!$D:$D, MATCH($A123, 'UZ-normalized'!$A:$A, 0))-INDEX('UZ-normalized'!$E:$E, MATCH($A123, 'UZ-normalized'!$A:$A, 0))&gt;0, -(26*INDEX('UZ-normalized'!$D:$D, MATCH($A123, 'UZ-normalized'!$A:$A, 0))-INDEX('UZ-normalized'!$E:$E, MATCH($A123, 'UZ-normalized'!$A:$A, 0))), 0), 0)))</f>
        <v>0</v>
      </c>
      <c r="AO123" s="6">
        <f>MIN(0, N123+(IFERROR(IF(27*INDEX('UA-normalized'!$D:$D, MATCH($A123, 'UA-normalized'!$A:$A, 0))-INDEX('UA-normalized'!$E:$E, MATCH($A123, 'UA-normalized'!$A:$A, 0))&gt;0, -(27*INDEX('UA-normalized'!$D:$D, MATCH($A123, 'UA-normalized'!$A:$A, 0))-INDEX('UA-normalized'!$E:$E, MATCH($A123, 'UA-normalized'!$A:$A, 0))), 0), 0))+(IFERROR(IF(27*INDEX('KZ-normalized'!$D:$D, MATCH($A123, 'KZ-normalized'!$A:$A, 0))-INDEX('KZ-normalized'!$E:$E, MATCH($A123, 'KZ-normalized'!$A:$A, 0))&gt;0, -(27*INDEX('KZ-normalized'!$D:$D, MATCH($A123, 'KZ-normalized'!$A:$A, 0))-INDEX('KZ-normalized'!$E:$E, MATCH($A123, 'KZ-normalized'!$A:$A, 0))), 0), 0))+(IFERROR(IF(27*INDEX('UZ-normalized'!$D:$D, MATCH($A123, 'UZ-normalized'!$A:$A, 0))-INDEX('UZ-normalized'!$E:$E, MATCH($A123, 'UZ-normalized'!$A:$A, 0))&gt;0, -(27*INDEX('UZ-normalized'!$D:$D, MATCH($A123, 'UZ-normalized'!$A:$A, 0))-INDEX('UZ-normalized'!$E:$E, MATCH($A123, 'UZ-normalized'!$A:$A, 0))), 0), 0)))</f>
        <v>0</v>
      </c>
      <c r="AP123" s="6">
        <f>MIN(0, N123+(IFERROR(IF(28*INDEX('UA-normalized'!$D:$D, MATCH($A123, 'UA-normalized'!$A:$A, 0))-INDEX('UA-normalized'!$E:$E, MATCH($A123, 'UA-normalized'!$A:$A, 0))&gt;0, -(28*INDEX('UA-normalized'!$D:$D, MATCH($A123, 'UA-normalized'!$A:$A, 0))-INDEX('UA-normalized'!$E:$E, MATCH($A123, 'UA-normalized'!$A:$A, 0))), 0), 0))+(IFERROR(IF(28*INDEX('KZ-normalized'!$D:$D, MATCH($A123, 'KZ-normalized'!$A:$A, 0))-INDEX('KZ-normalized'!$E:$E, MATCH($A123, 'KZ-normalized'!$A:$A, 0))&gt;0, -(28*INDEX('KZ-normalized'!$D:$D, MATCH($A123, 'KZ-normalized'!$A:$A, 0))-INDEX('KZ-normalized'!$E:$E, MATCH($A123, 'KZ-normalized'!$A:$A, 0))), 0), 0))+(IFERROR(IF(28*INDEX('UZ-normalized'!$D:$D, MATCH($A123, 'UZ-normalized'!$A:$A, 0))-INDEX('UZ-normalized'!$E:$E, MATCH($A123, 'UZ-normalized'!$A:$A, 0))&gt;0, -(28*INDEX('UZ-normalized'!$D:$D, MATCH($A123, 'UZ-normalized'!$A:$A, 0))-INDEX('UZ-normalized'!$E:$E, MATCH($A123, 'UZ-normalized'!$A:$A, 0))), 0), 0)))</f>
        <v>0</v>
      </c>
      <c r="AQ123" s="6">
        <f>MIN(0, N123+(IFERROR(IF(29*INDEX('UA-normalized'!$D:$D, MATCH($A123, 'UA-normalized'!$A:$A, 0))-INDEX('UA-normalized'!$E:$E, MATCH($A123, 'UA-normalized'!$A:$A, 0))&gt;0, -(29*INDEX('UA-normalized'!$D:$D, MATCH($A123, 'UA-normalized'!$A:$A, 0))-INDEX('UA-normalized'!$E:$E, MATCH($A123, 'UA-normalized'!$A:$A, 0))), 0), 0))+(IFERROR(IF(29*INDEX('KZ-normalized'!$D:$D, MATCH($A123, 'KZ-normalized'!$A:$A, 0))-INDEX('KZ-normalized'!$E:$E, MATCH($A123, 'KZ-normalized'!$A:$A, 0))&gt;0, -(29*INDEX('KZ-normalized'!$D:$D, MATCH($A123, 'KZ-normalized'!$A:$A, 0))-INDEX('KZ-normalized'!$E:$E, MATCH($A123, 'KZ-normalized'!$A:$A, 0))), 0), 0))+(IFERROR(IF(29*INDEX('UZ-normalized'!$D:$D, MATCH($A123, 'UZ-normalized'!$A:$A, 0))-INDEX('UZ-normalized'!$E:$E, MATCH($A123, 'UZ-normalized'!$A:$A, 0))&gt;0, -(29*INDEX('UZ-normalized'!$D:$D, MATCH($A123, 'UZ-normalized'!$A:$A, 0))-INDEX('UZ-normalized'!$E:$E, MATCH($A123, 'UZ-normalized'!$A:$A, 0))), 0), 0)))</f>
        <v>0</v>
      </c>
      <c r="AR123" s="6">
        <f>MIN(0, N123+(IFERROR(IF(30*INDEX('UA-normalized'!$D:$D, MATCH($A123, 'UA-normalized'!$A:$A, 0))-INDEX('UA-normalized'!$E:$E, MATCH($A123, 'UA-normalized'!$A:$A, 0))&gt;0, -(30*INDEX('UA-normalized'!$D:$D, MATCH($A123, 'UA-normalized'!$A:$A, 0))-INDEX('UA-normalized'!$E:$E, MATCH($A123, 'UA-normalized'!$A:$A, 0))), 0), 0))+(IFERROR(IF(30*INDEX('KZ-normalized'!$D:$D, MATCH($A123, 'KZ-normalized'!$A:$A, 0))-INDEX('KZ-normalized'!$E:$E, MATCH($A123, 'KZ-normalized'!$A:$A, 0))&gt;0, -(30*INDEX('KZ-normalized'!$D:$D, MATCH($A123, 'KZ-normalized'!$A:$A, 0))-INDEX('KZ-normalized'!$E:$E, MATCH($A123, 'KZ-normalized'!$A:$A, 0))), 0), 0))+(IFERROR(IF(30*INDEX('UZ-normalized'!$D:$D, MATCH($A123, 'UZ-normalized'!$A:$A, 0))-INDEX('UZ-normalized'!$E:$E, MATCH($A123, 'UZ-normalized'!$A:$A, 0))&gt;0, -(30*INDEX('UZ-normalized'!$D:$D, MATCH($A123, 'UZ-normalized'!$A:$A, 0))-INDEX('UZ-normalized'!$E:$E, MATCH($A123, 'UZ-normalized'!$A:$A, 0))), 0), 0)))</f>
        <v>0</v>
      </c>
    </row>
    <row r="124" spans="1:44" x14ac:dyDescent="0.25">
      <c r="A124" s="8" t="s">
        <v>303</v>
      </c>
      <c r="B124" s="8" t="s">
        <v>294</v>
      </c>
      <c r="C124" s="8" t="s">
        <v>295</v>
      </c>
      <c r="D124" s="8" t="s">
        <v>304</v>
      </c>
      <c r="N124">
        <f t="shared" si="1"/>
        <v>0</v>
      </c>
      <c r="O124" s="6">
        <f>MIN(0, N124+(IFERROR(IF(1*INDEX('UA-normalized'!$D:$D, MATCH($A124, 'UA-normalized'!$A:$A, 0))-INDEX('UA-normalized'!$E:$E, MATCH($A124, 'UA-normalized'!$A:$A, 0))&gt;0, -(1*INDEX('UA-normalized'!$D:$D, MATCH($A124, 'UA-normalized'!$A:$A, 0))-INDEX('UA-normalized'!$E:$E, MATCH($A124, 'UA-normalized'!$A:$A, 0))), 0), 0))+(IFERROR(IF(1*INDEX('KZ-normalized'!$D:$D, MATCH($A124, 'KZ-normalized'!$A:$A, 0))-INDEX('KZ-normalized'!$E:$E, MATCH($A124, 'KZ-normalized'!$A:$A, 0))&gt;0, -(1*INDEX('KZ-normalized'!$D:$D, MATCH($A124, 'KZ-normalized'!$A:$A, 0))-INDEX('KZ-normalized'!$E:$E, MATCH($A124, 'KZ-normalized'!$A:$A, 0))), 0), 0))+(IFERROR(IF(1*INDEX('UZ-normalized'!$D:$D, MATCH($A124, 'UZ-normalized'!$A:$A, 0))-INDEX('UZ-normalized'!$E:$E, MATCH($A124, 'UZ-normalized'!$A:$A, 0))&gt;0, -(1*INDEX('UZ-normalized'!$D:$D, MATCH($A124, 'UZ-normalized'!$A:$A, 0))-INDEX('UZ-normalized'!$E:$E, MATCH($A124, 'UZ-normalized'!$A:$A, 0))), 0), 0)))</f>
        <v>0</v>
      </c>
      <c r="P124" s="6">
        <f>MIN(0, N124+(IFERROR(IF(2*INDEX('UA-normalized'!$D:$D, MATCH($A124, 'UA-normalized'!$A:$A, 0))-INDEX('UA-normalized'!$E:$E, MATCH($A124, 'UA-normalized'!$A:$A, 0))&gt;0, -(2*INDEX('UA-normalized'!$D:$D, MATCH($A124, 'UA-normalized'!$A:$A, 0))-INDEX('UA-normalized'!$E:$E, MATCH($A124, 'UA-normalized'!$A:$A, 0))), 0), 0))+(IFERROR(IF(2*INDEX('KZ-normalized'!$D:$D, MATCH($A124, 'KZ-normalized'!$A:$A, 0))-INDEX('KZ-normalized'!$E:$E, MATCH($A124, 'KZ-normalized'!$A:$A, 0))&gt;0, -(2*INDEX('KZ-normalized'!$D:$D, MATCH($A124, 'KZ-normalized'!$A:$A, 0))-INDEX('KZ-normalized'!$E:$E, MATCH($A124, 'KZ-normalized'!$A:$A, 0))), 0), 0))+(IFERROR(IF(2*INDEX('UZ-normalized'!$D:$D, MATCH($A124, 'UZ-normalized'!$A:$A, 0))-INDEX('UZ-normalized'!$E:$E, MATCH($A124, 'UZ-normalized'!$A:$A, 0))&gt;0, -(2*INDEX('UZ-normalized'!$D:$D, MATCH($A124, 'UZ-normalized'!$A:$A, 0))-INDEX('UZ-normalized'!$E:$E, MATCH($A124, 'UZ-normalized'!$A:$A, 0))), 0), 0)))</f>
        <v>0</v>
      </c>
      <c r="Q124" s="6">
        <f>MIN(0, N124+(IFERROR(IF(3*INDEX('UA-normalized'!$D:$D, MATCH($A124, 'UA-normalized'!$A:$A, 0))-INDEX('UA-normalized'!$E:$E, MATCH($A124, 'UA-normalized'!$A:$A, 0))&gt;0, -(3*INDEX('UA-normalized'!$D:$D, MATCH($A124, 'UA-normalized'!$A:$A, 0))-INDEX('UA-normalized'!$E:$E, MATCH($A124, 'UA-normalized'!$A:$A, 0))), 0), 0))+(IFERROR(IF(3*INDEX('KZ-normalized'!$D:$D, MATCH($A124, 'KZ-normalized'!$A:$A, 0))-INDEX('KZ-normalized'!$E:$E, MATCH($A124, 'KZ-normalized'!$A:$A, 0))&gt;0, -(3*INDEX('KZ-normalized'!$D:$D, MATCH($A124, 'KZ-normalized'!$A:$A, 0))-INDEX('KZ-normalized'!$E:$E, MATCH($A124, 'KZ-normalized'!$A:$A, 0))), 0), 0))+(IFERROR(IF(3*INDEX('UZ-normalized'!$D:$D, MATCH($A124, 'UZ-normalized'!$A:$A, 0))-INDEX('UZ-normalized'!$E:$E, MATCH($A124, 'UZ-normalized'!$A:$A, 0))&gt;0, -(3*INDEX('UZ-normalized'!$D:$D, MATCH($A124, 'UZ-normalized'!$A:$A, 0))-INDEX('UZ-normalized'!$E:$E, MATCH($A124, 'UZ-normalized'!$A:$A, 0))), 0), 0)))</f>
        <v>0</v>
      </c>
      <c r="R124" s="6">
        <f>MIN(0, N124+(IFERROR(IF(4*INDEX('UA-normalized'!$D:$D, MATCH($A124, 'UA-normalized'!$A:$A, 0))-INDEX('UA-normalized'!$E:$E, MATCH($A124, 'UA-normalized'!$A:$A, 0))&gt;0, -(4*INDEX('UA-normalized'!$D:$D, MATCH($A124, 'UA-normalized'!$A:$A, 0))-INDEX('UA-normalized'!$E:$E, MATCH($A124, 'UA-normalized'!$A:$A, 0))), 0), 0))+(IFERROR(IF(4*INDEX('KZ-normalized'!$D:$D, MATCH($A124, 'KZ-normalized'!$A:$A, 0))-INDEX('KZ-normalized'!$E:$E, MATCH($A124, 'KZ-normalized'!$A:$A, 0))&gt;0, -(4*INDEX('KZ-normalized'!$D:$D, MATCH($A124, 'KZ-normalized'!$A:$A, 0))-INDEX('KZ-normalized'!$E:$E, MATCH($A124, 'KZ-normalized'!$A:$A, 0))), 0), 0))+(IFERROR(IF(4*INDEX('UZ-normalized'!$D:$D, MATCH($A124, 'UZ-normalized'!$A:$A, 0))-INDEX('UZ-normalized'!$E:$E, MATCH($A124, 'UZ-normalized'!$A:$A, 0))&gt;0, -(4*INDEX('UZ-normalized'!$D:$D, MATCH($A124, 'UZ-normalized'!$A:$A, 0))-INDEX('UZ-normalized'!$E:$E, MATCH($A124, 'UZ-normalized'!$A:$A, 0))), 0), 0)))</f>
        <v>0</v>
      </c>
      <c r="S124" s="6">
        <f>MIN(0, N124+(IFERROR(IF(5*INDEX('UA-normalized'!$D:$D, MATCH($A124, 'UA-normalized'!$A:$A, 0))-INDEX('UA-normalized'!$E:$E, MATCH($A124, 'UA-normalized'!$A:$A, 0))&gt;0, -(5*INDEX('UA-normalized'!$D:$D, MATCH($A124, 'UA-normalized'!$A:$A, 0))-INDEX('UA-normalized'!$E:$E, MATCH($A124, 'UA-normalized'!$A:$A, 0))), 0), 0))+(IFERROR(IF(5*INDEX('KZ-normalized'!$D:$D, MATCH($A124, 'KZ-normalized'!$A:$A, 0))-INDEX('KZ-normalized'!$E:$E, MATCH($A124, 'KZ-normalized'!$A:$A, 0))&gt;0, -(5*INDEX('KZ-normalized'!$D:$D, MATCH($A124, 'KZ-normalized'!$A:$A, 0))-INDEX('KZ-normalized'!$E:$E, MATCH($A124, 'KZ-normalized'!$A:$A, 0))), 0), 0))+(IFERROR(IF(5*INDEX('UZ-normalized'!$D:$D, MATCH($A124, 'UZ-normalized'!$A:$A, 0))-INDEX('UZ-normalized'!$E:$E, MATCH($A124, 'UZ-normalized'!$A:$A, 0))&gt;0, -(5*INDEX('UZ-normalized'!$D:$D, MATCH($A124, 'UZ-normalized'!$A:$A, 0))-INDEX('UZ-normalized'!$E:$E, MATCH($A124, 'UZ-normalized'!$A:$A, 0))), 0), 0)))</f>
        <v>0</v>
      </c>
      <c r="T124" s="6">
        <f>MIN(0, N124+(IFERROR(IF(6*INDEX('UA-normalized'!$D:$D, MATCH($A124, 'UA-normalized'!$A:$A, 0))-INDEX('UA-normalized'!$E:$E, MATCH($A124, 'UA-normalized'!$A:$A, 0))&gt;0, -(6*INDEX('UA-normalized'!$D:$D, MATCH($A124, 'UA-normalized'!$A:$A, 0))-INDEX('UA-normalized'!$E:$E, MATCH($A124, 'UA-normalized'!$A:$A, 0))), 0), 0))+(IFERROR(IF(6*INDEX('KZ-normalized'!$D:$D, MATCH($A124, 'KZ-normalized'!$A:$A, 0))-INDEX('KZ-normalized'!$E:$E, MATCH($A124, 'KZ-normalized'!$A:$A, 0))&gt;0, -(6*INDEX('KZ-normalized'!$D:$D, MATCH($A124, 'KZ-normalized'!$A:$A, 0))-INDEX('KZ-normalized'!$E:$E, MATCH($A124, 'KZ-normalized'!$A:$A, 0))), 0), 0))+(IFERROR(IF(6*INDEX('UZ-normalized'!$D:$D, MATCH($A124, 'UZ-normalized'!$A:$A, 0))-INDEX('UZ-normalized'!$E:$E, MATCH($A124, 'UZ-normalized'!$A:$A, 0))&gt;0, -(6*INDEX('UZ-normalized'!$D:$D, MATCH($A124, 'UZ-normalized'!$A:$A, 0))-INDEX('UZ-normalized'!$E:$E, MATCH($A124, 'UZ-normalized'!$A:$A, 0))), 0), 0)))</f>
        <v>0</v>
      </c>
      <c r="U124" s="6">
        <f>MIN(0, N124+(IFERROR(IF(7*INDEX('UA-normalized'!$D:$D, MATCH($A124, 'UA-normalized'!$A:$A, 0))-INDEX('UA-normalized'!$E:$E, MATCH($A124, 'UA-normalized'!$A:$A, 0))&gt;0, -(7*INDEX('UA-normalized'!$D:$D, MATCH($A124, 'UA-normalized'!$A:$A, 0))-INDEX('UA-normalized'!$E:$E, MATCH($A124, 'UA-normalized'!$A:$A, 0))), 0), 0))+(IFERROR(IF(7*INDEX('KZ-normalized'!$D:$D, MATCH($A124, 'KZ-normalized'!$A:$A, 0))-INDEX('KZ-normalized'!$E:$E, MATCH($A124, 'KZ-normalized'!$A:$A, 0))&gt;0, -(7*INDEX('KZ-normalized'!$D:$D, MATCH($A124, 'KZ-normalized'!$A:$A, 0))-INDEX('KZ-normalized'!$E:$E, MATCH($A124, 'KZ-normalized'!$A:$A, 0))), 0), 0))+(IFERROR(IF(7*INDEX('UZ-normalized'!$D:$D, MATCH($A124, 'UZ-normalized'!$A:$A, 0))-INDEX('UZ-normalized'!$E:$E, MATCH($A124, 'UZ-normalized'!$A:$A, 0))&gt;0, -(7*INDEX('UZ-normalized'!$D:$D, MATCH($A124, 'UZ-normalized'!$A:$A, 0))-INDEX('UZ-normalized'!$E:$E, MATCH($A124, 'UZ-normalized'!$A:$A, 0))), 0), 0)))</f>
        <v>0</v>
      </c>
      <c r="V124" s="6">
        <f>MIN(0, N124+(IFERROR(IF(8*INDEX('UA-normalized'!$D:$D, MATCH($A124, 'UA-normalized'!$A:$A, 0))-INDEX('UA-normalized'!$E:$E, MATCH($A124, 'UA-normalized'!$A:$A, 0))&gt;0, -(8*INDEX('UA-normalized'!$D:$D, MATCH($A124, 'UA-normalized'!$A:$A, 0))-INDEX('UA-normalized'!$E:$E, MATCH($A124, 'UA-normalized'!$A:$A, 0))), 0), 0))+(IFERROR(IF(8*INDEX('KZ-normalized'!$D:$D, MATCH($A124, 'KZ-normalized'!$A:$A, 0))-INDEX('KZ-normalized'!$E:$E, MATCH($A124, 'KZ-normalized'!$A:$A, 0))&gt;0, -(8*INDEX('KZ-normalized'!$D:$D, MATCH($A124, 'KZ-normalized'!$A:$A, 0))-INDEX('KZ-normalized'!$E:$E, MATCH($A124, 'KZ-normalized'!$A:$A, 0))), 0), 0))+(IFERROR(IF(8*INDEX('UZ-normalized'!$D:$D, MATCH($A124, 'UZ-normalized'!$A:$A, 0))-INDEX('UZ-normalized'!$E:$E, MATCH($A124, 'UZ-normalized'!$A:$A, 0))&gt;0, -(8*INDEX('UZ-normalized'!$D:$D, MATCH($A124, 'UZ-normalized'!$A:$A, 0))-INDEX('UZ-normalized'!$E:$E, MATCH($A124, 'UZ-normalized'!$A:$A, 0))), 0), 0)))</f>
        <v>0</v>
      </c>
      <c r="W124" s="6">
        <f>MIN(0, N124+(IFERROR(IF(9*INDEX('UA-normalized'!$D:$D, MATCH($A124, 'UA-normalized'!$A:$A, 0))-INDEX('UA-normalized'!$E:$E, MATCH($A124, 'UA-normalized'!$A:$A, 0))&gt;0, -(9*INDEX('UA-normalized'!$D:$D, MATCH($A124, 'UA-normalized'!$A:$A, 0))-INDEX('UA-normalized'!$E:$E, MATCH($A124, 'UA-normalized'!$A:$A, 0))), 0), 0))+(IFERROR(IF(9*INDEX('KZ-normalized'!$D:$D, MATCH($A124, 'KZ-normalized'!$A:$A, 0))-INDEX('KZ-normalized'!$E:$E, MATCH($A124, 'KZ-normalized'!$A:$A, 0))&gt;0, -(9*INDEX('KZ-normalized'!$D:$D, MATCH($A124, 'KZ-normalized'!$A:$A, 0))-INDEX('KZ-normalized'!$E:$E, MATCH($A124, 'KZ-normalized'!$A:$A, 0))), 0), 0))+(IFERROR(IF(9*INDEX('UZ-normalized'!$D:$D, MATCH($A124, 'UZ-normalized'!$A:$A, 0))-INDEX('UZ-normalized'!$E:$E, MATCH($A124, 'UZ-normalized'!$A:$A, 0))&gt;0, -(9*INDEX('UZ-normalized'!$D:$D, MATCH($A124, 'UZ-normalized'!$A:$A, 0))-INDEX('UZ-normalized'!$E:$E, MATCH($A124, 'UZ-normalized'!$A:$A, 0))), 0), 0)))</f>
        <v>0</v>
      </c>
      <c r="X124" s="6">
        <f>MIN(0, N124+(IFERROR(IF(10*INDEX('UA-normalized'!$D:$D, MATCH($A124, 'UA-normalized'!$A:$A, 0))-INDEX('UA-normalized'!$E:$E, MATCH($A124, 'UA-normalized'!$A:$A, 0))&gt;0, -(10*INDEX('UA-normalized'!$D:$D, MATCH($A124, 'UA-normalized'!$A:$A, 0))-INDEX('UA-normalized'!$E:$E, MATCH($A124, 'UA-normalized'!$A:$A, 0))), 0), 0))+(IFERROR(IF(10*INDEX('KZ-normalized'!$D:$D, MATCH($A124, 'KZ-normalized'!$A:$A, 0))-INDEX('KZ-normalized'!$E:$E, MATCH($A124, 'KZ-normalized'!$A:$A, 0))&gt;0, -(10*INDEX('KZ-normalized'!$D:$D, MATCH($A124, 'KZ-normalized'!$A:$A, 0))-INDEX('KZ-normalized'!$E:$E, MATCH($A124, 'KZ-normalized'!$A:$A, 0))), 0), 0))+(IFERROR(IF(10*INDEX('UZ-normalized'!$D:$D, MATCH($A124, 'UZ-normalized'!$A:$A, 0))-INDEX('UZ-normalized'!$E:$E, MATCH($A124, 'UZ-normalized'!$A:$A, 0))&gt;0, -(10*INDEX('UZ-normalized'!$D:$D, MATCH($A124, 'UZ-normalized'!$A:$A, 0))-INDEX('UZ-normalized'!$E:$E, MATCH($A124, 'UZ-normalized'!$A:$A, 0))), 0), 0)))</f>
        <v>0</v>
      </c>
      <c r="Y124" s="6">
        <f>MIN(0, N124+(IFERROR(IF(11*INDEX('UA-normalized'!$D:$D, MATCH($A124, 'UA-normalized'!$A:$A, 0))-INDEX('UA-normalized'!$E:$E, MATCH($A124, 'UA-normalized'!$A:$A, 0))&gt;0, -(11*INDEX('UA-normalized'!$D:$D, MATCH($A124, 'UA-normalized'!$A:$A, 0))-INDEX('UA-normalized'!$E:$E, MATCH($A124, 'UA-normalized'!$A:$A, 0))), 0), 0))+(IFERROR(IF(11*INDEX('KZ-normalized'!$D:$D, MATCH($A124, 'KZ-normalized'!$A:$A, 0))-INDEX('KZ-normalized'!$E:$E, MATCH($A124, 'KZ-normalized'!$A:$A, 0))&gt;0, -(11*INDEX('KZ-normalized'!$D:$D, MATCH($A124, 'KZ-normalized'!$A:$A, 0))-INDEX('KZ-normalized'!$E:$E, MATCH($A124, 'KZ-normalized'!$A:$A, 0))), 0), 0))+(IFERROR(IF(11*INDEX('UZ-normalized'!$D:$D, MATCH($A124, 'UZ-normalized'!$A:$A, 0))-INDEX('UZ-normalized'!$E:$E, MATCH($A124, 'UZ-normalized'!$A:$A, 0))&gt;0, -(11*INDEX('UZ-normalized'!$D:$D, MATCH($A124, 'UZ-normalized'!$A:$A, 0))-INDEX('UZ-normalized'!$E:$E, MATCH($A124, 'UZ-normalized'!$A:$A, 0))), 0), 0)))</f>
        <v>0</v>
      </c>
      <c r="Z124" s="6">
        <f>MIN(0, N124+(IFERROR(IF(12*INDEX('UA-normalized'!$D:$D, MATCH($A124, 'UA-normalized'!$A:$A, 0))-INDEX('UA-normalized'!$E:$E, MATCH($A124, 'UA-normalized'!$A:$A, 0))&gt;0, -(12*INDEX('UA-normalized'!$D:$D, MATCH($A124, 'UA-normalized'!$A:$A, 0))-INDEX('UA-normalized'!$E:$E, MATCH($A124, 'UA-normalized'!$A:$A, 0))), 0), 0))+(IFERROR(IF(12*INDEX('KZ-normalized'!$D:$D, MATCH($A124, 'KZ-normalized'!$A:$A, 0))-INDEX('KZ-normalized'!$E:$E, MATCH($A124, 'KZ-normalized'!$A:$A, 0))&gt;0, -(12*INDEX('KZ-normalized'!$D:$D, MATCH($A124, 'KZ-normalized'!$A:$A, 0))-INDEX('KZ-normalized'!$E:$E, MATCH($A124, 'KZ-normalized'!$A:$A, 0))), 0), 0))+(IFERROR(IF(12*INDEX('UZ-normalized'!$D:$D, MATCH($A124, 'UZ-normalized'!$A:$A, 0))-INDEX('UZ-normalized'!$E:$E, MATCH($A124, 'UZ-normalized'!$A:$A, 0))&gt;0, -(12*INDEX('UZ-normalized'!$D:$D, MATCH($A124, 'UZ-normalized'!$A:$A, 0))-INDEX('UZ-normalized'!$E:$E, MATCH($A124, 'UZ-normalized'!$A:$A, 0))), 0), 0)))</f>
        <v>0</v>
      </c>
      <c r="AA124" s="6">
        <f>MIN(0, N124+(IFERROR(IF(13*INDEX('UA-normalized'!$D:$D, MATCH($A124, 'UA-normalized'!$A:$A, 0))-INDEX('UA-normalized'!$E:$E, MATCH($A124, 'UA-normalized'!$A:$A, 0))&gt;0, -(13*INDEX('UA-normalized'!$D:$D, MATCH($A124, 'UA-normalized'!$A:$A, 0))-INDEX('UA-normalized'!$E:$E, MATCH($A124, 'UA-normalized'!$A:$A, 0))), 0), 0))+(IFERROR(IF(13*INDEX('KZ-normalized'!$D:$D, MATCH($A124, 'KZ-normalized'!$A:$A, 0))-INDEX('KZ-normalized'!$E:$E, MATCH($A124, 'KZ-normalized'!$A:$A, 0))&gt;0, -(13*INDEX('KZ-normalized'!$D:$D, MATCH($A124, 'KZ-normalized'!$A:$A, 0))-INDEX('KZ-normalized'!$E:$E, MATCH($A124, 'KZ-normalized'!$A:$A, 0))), 0), 0))+(IFERROR(IF(13*INDEX('UZ-normalized'!$D:$D, MATCH($A124, 'UZ-normalized'!$A:$A, 0))-INDEX('UZ-normalized'!$E:$E, MATCH($A124, 'UZ-normalized'!$A:$A, 0))&gt;0, -(13*INDEX('UZ-normalized'!$D:$D, MATCH($A124, 'UZ-normalized'!$A:$A, 0))-INDEX('UZ-normalized'!$E:$E, MATCH($A124, 'UZ-normalized'!$A:$A, 0))), 0), 0)))</f>
        <v>0</v>
      </c>
      <c r="AB124" s="6">
        <f>MIN(0, N124+(IFERROR(IF(14*INDEX('UA-normalized'!$D:$D, MATCH($A124, 'UA-normalized'!$A:$A, 0))-INDEX('UA-normalized'!$E:$E, MATCH($A124, 'UA-normalized'!$A:$A, 0))&gt;0, -(14*INDEX('UA-normalized'!$D:$D, MATCH($A124, 'UA-normalized'!$A:$A, 0))-INDEX('UA-normalized'!$E:$E, MATCH($A124, 'UA-normalized'!$A:$A, 0))), 0), 0))+(IFERROR(IF(14*INDEX('KZ-normalized'!$D:$D, MATCH($A124, 'KZ-normalized'!$A:$A, 0))-INDEX('KZ-normalized'!$E:$E, MATCH($A124, 'KZ-normalized'!$A:$A, 0))&gt;0, -(14*INDEX('KZ-normalized'!$D:$D, MATCH($A124, 'KZ-normalized'!$A:$A, 0))-INDEX('KZ-normalized'!$E:$E, MATCH($A124, 'KZ-normalized'!$A:$A, 0))), 0), 0))+(IFERROR(IF(14*INDEX('UZ-normalized'!$D:$D, MATCH($A124, 'UZ-normalized'!$A:$A, 0))-INDEX('UZ-normalized'!$E:$E, MATCH($A124, 'UZ-normalized'!$A:$A, 0))&gt;0, -(14*INDEX('UZ-normalized'!$D:$D, MATCH($A124, 'UZ-normalized'!$A:$A, 0))-INDEX('UZ-normalized'!$E:$E, MATCH($A124, 'UZ-normalized'!$A:$A, 0))), 0), 0)))</f>
        <v>0</v>
      </c>
      <c r="AC124" s="6">
        <f>MIN(0, N124+(IFERROR(IF(15*INDEX('UA-normalized'!$D:$D, MATCH($A124, 'UA-normalized'!$A:$A, 0))-INDEX('UA-normalized'!$E:$E, MATCH($A124, 'UA-normalized'!$A:$A, 0))&gt;0, -(15*INDEX('UA-normalized'!$D:$D, MATCH($A124, 'UA-normalized'!$A:$A, 0))-INDEX('UA-normalized'!$E:$E, MATCH($A124, 'UA-normalized'!$A:$A, 0))), 0), 0))+(IFERROR(IF(15*INDEX('KZ-normalized'!$D:$D, MATCH($A124, 'KZ-normalized'!$A:$A, 0))-INDEX('KZ-normalized'!$E:$E, MATCH($A124, 'KZ-normalized'!$A:$A, 0))&gt;0, -(15*INDEX('KZ-normalized'!$D:$D, MATCH($A124, 'KZ-normalized'!$A:$A, 0))-INDEX('KZ-normalized'!$E:$E, MATCH($A124, 'KZ-normalized'!$A:$A, 0))), 0), 0))+(IFERROR(IF(15*INDEX('UZ-normalized'!$D:$D, MATCH($A124, 'UZ-normalized'!$A:$A, 0))-INDEX('UZ-normalized'!$E:$E, MATCH($A124, 'UZ-normalized'!$A:$A, 0))&gt;0, -(15*INDEX('UZ-normalized'!$D:$D, MATCH($A124, 'UZ-normalized'!$A:$A, 0))-INDEX('UZ-normalized'!$E:$E, MATCH($A124, 'UZ-normalized'!$A:$A, 0))), 0), 0)))</f>
        <v>0</v>
      </c>
      <c r="AD124" s="6">
        <f>MIN(0, N124+(IFERROR(IF(16*INDEX('UA-normalized'!$D:$D, MATCH($A124, 'UA-normalized'!$A:$A, 0))-INDEX('UA-normalized'!$E:$E, MATCH($A124, 'UA-normalized'!$A:$A, 0))&gt;0, -(16*INDEX('UA-normalized'!$D:$D, MATCH($A124, 'UA-normalized'!$A:$A, 0))-INDEX('UA-normalized'!$E:$E, MATCH($A124, 'UA-normalized'!$A:$A, 0))), 0), 0))+(IFERROR(IF(16*INDEX('KZ-normalized'!$D:$D, MATCH($A124, 'KZ-normalized'!$A:$A, 0))-INDEX('KZ-normalized'!$E:$E, MATCH($A124, 'KZ-normalized'!$A:$A, 0))&gt;0, -(16*INDEX('KZ-normalized'!$D:$D, MATCH($A124, 'KZ-normalized'!$A:$A, 0))-INDEX('KZ-normalized'!$E:$E, MATCH($A124, 'KZ-normalized'!$A:$A, 0))), 0), 0))+(IFERROR(IF(16*INDEX('UZ-normalized'!$D:$D, MATCH($A124, 'UZ-normalized'!$A:$A, 0))-INDEX('UZ-normalized'!$E:$E, MATCH($A124, 'UZ-normalized'!$A:$A, 0))&gt;0, -(16*INDEX('UZ-normalized'!$D:$D, MATCH($A124, 'UZ-normalized'!$A:$A, 0))-INDEX('UZ-normalized'!$E:$E, MATCH($A124, 'UZ-normalized'!$A:$A, 0))), 0), 0)))</f>
        <v>0</v>
      </c>
      <c r="AE124" s="6">
        <f>MIN(0, N124+(IFERROR(IF(17*INDEX('UA-normalized'!$D:$D, MATCH($A124, 'UA-normalized'!$A:$A, 0))-INDEX('UA-normalized'!$E:$E, MATCH($A124, 'UA-normalized'!$A:$A, 0))&gt;0, -(17*INDEX('UA-normalized'!$D:$D, MATCH($A124, 'UA-normalized'!$A:$A, 0))-INDEX('UA-normalized'!$E:$E, MATCH($A124, 'UA-normalized'!$A:$A, 0))), 0), 0))+(IFERROR(IF(17*INDEX('KZ-normalized'!$D:$D, MATCH($A124, 'KZ-normalized'!$A:$A, 0))-INDEX('KZ-normalized'!$E:$E, MATCH($A124, 'KZ-normalized'!$A:$A, 0))&gt;0, -(17*INDEX('KZ-normalized'!$D:$D, MATCH($A124, 'KZ-normalized'!$A:$A, 0))-INDEX('KZ-normalized'!$E:$E, MATCH($A124, 'KZ-normalized'!$A:$A, 0))), 0), 0))+(IFERROR(IF(17*INDEX('UZ-normalized'!$D:$D, MATCH($A124, 'UZ-normalized'!$A:$A, 0))-INDEX('UZ-normalized'!$E:$E, MATCH($A124, 'UZ-normalized'!$A:$A, 0))&gt;0, -(17*INDEX('UZ-normalized'!$D:$D, MATCH($A124, 'UZ-normalized'!$A:$A, 0))-INDEX('UZ-normalized'!$E:$E, MATCH($A124, 'UZ-normalized'!$A:$A, 0))), 0), 0)))</f>
        <v>0</v>
      </c>
      <c r="AF124" s="6">
        <f>MIN(0, N124+(IFERROR(IF(18*INDEX('UA-normalized'!$D:$D, MATCH($A124, 'UA-normalized'!$A:$A, 0))-INDEX('UA-normalized'!$E:$E, MATCH($A124, 'UA-normalized'!$A:$A, 0))&gt;0, -(18*INDEX('UA-normalized'!$D:$D, MATCH($A124, 'UA-normalized'!$A:$A, 0))-INDEX('UA-normalized'!$E:$E, MATCH($A124, 'UA-normalized'!$A:$A, 0))), 0), 0))+(IFERROR(IF(18*INDEX('KZ-normalized'!$D:$D, MATCH($A124, 'KZ-normalized'!$A:$A, 0))-INDEX('KZ-normalized'!$E:$E, MATCH($A124, 'KZ-normalized'!$A:$A, 0))&gt;0, -(18*INDEX('KZ-normalized'!$D:$D, MATCH($A124, 'KZ-normalized'!$A:$A, 0))-INDEX('KZ-normalized'!$E:$E, MATCH($A124, 'KZ-normalized'!$A:$A, 0))), 0), 0))+(IFERROR(IF(18*INDEX('UZ-normalized'!$D:$D, MATCH($A124, 'UZ-normalized'!$A:$A, 0))-INDEX('UZ-normalized'!$E:$E, MATCH($A124, 'UZ-normalized'!$A:$A, 0))&gt;0, -(18*INDEX('UZ-normalized'!$D:$D, MATCH($A124, 'UZ-normalized'!$A:$A, 0))-INDEX('UZ-normalized'!$E:$E, MATCH($A124, 'UZ-normalized'!$A:$A, 0))), 0), 0)))</f>
        <v>0</v>
      </c>
      <c r="AG124" s="6">
        <f>MIN(0, N124+(IFERROR(IF(19*INDEX('UA-normalized'!$D:$D, MATCH($A124, 'UA-normalized'!$A:$A, 0))-INDEX('UA-normalized'!$E:$E, MATCH($A124, 'UA-normalized'!$A:$A, 0))&gt;0, -(19*INDEX('UA-normalized'!$D:$D, MATCH($A124, 'UA-normalized'!$A:$A, 0))-INDEX('UA-normalized'!$E:$E, MATCH($A124, 'UA-normalized'!$A:$A, 0))), 0), 0))+(IFERROR(IF(19*INDEX('KZ-normalized'!$D:$D, MATCH($A124, 'KZ-normalized'!$A:$A, 0))-INDEX('KZ-normalized'!$E:$E, MATCH($A124, 'KZ-normalized'!$A:$A, 0))&gt;0, -(19*INDEX('KZ-normalized'!$D:$D, MATCH($A124, 'KZ-normalized'!$A:$A, 0))-INDEX('KZ-normalized'!$E:$E, MATCH($A124, 'KZ-normalized'!$A:$A, 0))), 0), 0))+(IFERROR(IF(19*INDEX('UZ-normalized'!$D:$D, MATCH($A124, 'UZ-normalized'!$A:$A, 0))-INDEX('UZ-normalized'!$E:$E, MATCH($A124, 'UZ-normalized'!$A:$A, 0))&gt;0, -(19*INDEX('UZ-normalized'!$D:$D, MATCH($A124, 'UZ-normalized'!$A:$A, 0))-INDEX('UZ-normalized'!$E:$E, MATCH($A124, 'UZ-normalized'!$A:$A, 0))), 0), 0)))</f>
        <v>0</v>
      </c>
      <c r="AH124" s="6">
        <f>MIN(0, N124+(IFERROR(IF(20*INDEX('UA-normalized'!$D:$D, MATCH($A124, 'UA-normalized'!$A:$A, 0))-INDEX('UA-normalized'!$E:$E, MATCH($A124, 'UA-normalized'!$A:$A, 0))&gt;0, -(20*INDEX('UA-normalized'!$D:$D, MATCH($A124, 'UA-normalized'!$A:$A, 0))-INDEX('UA-normalized'!$E:$E, MATCH($A124, 'UA-normalized'!$A:$A, 0))), 0), 0))+(IFERROR(IF(20*INDEX('KZ-normalized'!$D:$D, MATCH($A124, 'KZ-normalized'!$A:$A, 0))-INDEX('KZ-normalized'!$E:$E, MATCH($A124, 'KZ-normalized'!$A:$A, 0))&gt;0, -(20*INDEX('KZ-normalized'!$D:$D, MATCH($A124, 'KZ-normalized'!$A:$A, 0))-INDEX('KZ-normalized'!$E:$E, MATCH($A124, 'KZ-normalized'!$A:$A, 0))), 0), 0))+(IFERROR(IF(20*INDEX('UZ-normalized'!$D:$D, MATCH($A124, 'UZ-normalized'!$A:$A, 0))-INDEX('UZ-normalized'!$E:$E, MATCH($A124, 'UZ-normalized'!$A:$A, 0))&gt;0, -(20*INDEX('UZ-normalized'!$D:$D, MATCH($A124, 'UZ-normalized'!$A:$A, 0))-INDEX('UZ-normalized'!$E:$E, MATCH($A124, 'UZ-normalized'!$A:$A, 0))), 0), 0)))</f>
        <v>0</v>
      </c>
      <c r="AI124" s="6">
        <f>MIN(0, N124+(IFERROR(IF(21*INDEX('UA-normalized'!$D:$D, MATCH($A124, 'UA-normalized'!$A:$A, 0))-INDEX('UA-normalized'!$E:$E, MATCH($A124, 'UA-normalized'!$A:$A, 0))&gt;0, -(21*INDEX('UA-normalized'!$D:$D, MATCH($A124, 'UA-normalized'!$A:$A, 0))-INDEX('UA-normalized'!$E:$E, MATCH($A124, 'UA-normalized'!$A:$A, 0))), 0), 0))+(IFERROR(IF(21*INDEX('KZ-normalized'!$D:$D, MATCH($A124, 'KZ-normalized'!$A:$A, 0))-INDEX('KZ-normalized'!$E:$E, MATCH($A124, 'KZ-normalized'!$A:$A, 0))&gt;0, -(21*INDEX('KZ-normalized'!$D:$D, MATCH($A124, 'KZ-normalized'!$A:$A, 0))-INDEX('KZ-normalized'!$E:$E, MATCH($A124, 'KZ-normalized'!$A:$A, 0))), 0), 0))+(IFERROR(IF(21*INDEX('UZ-normalized'!$D:$D, MATCH($A124, 'UZ-normalized'!$A:$A, 0))-INDEX('UZ-normalized'!$E:$E, MATCH($A124, 'UZ-normalized'!$A:$A, 0))&gt;0, -(21*INDEX('UZ-normalized'!$D:$D, MATCH($A124, 'UZ-normalized'!$A:$A, 0))-INDEX('UZ-normalized'!$E:$E, MATCH($A124, 'UZ-normalized'!$A:$A, 0))), 0), 0)))</f>
        <v>0</v>
      </c>
      <c r="AJ124" s="6">
        <f>MIN(0, N124+(IFERROR(IF(22*INDEX('UA-normalized'!$D:$D, MATCH($A124, 'UA-normalized'!$A:$A, 0))-INDEX('UA-normalized'!$E:$E, MATCH($A124, 'UA-normalized'!$A:$A, 0))&gt;0, -(22*INDEX('UA-normalized'!$D:$D, MATCH($A124, 'UA-normalized'!$A:$A, 0))-INDEX('UA-normalized'!$E:$E, MATCH($A124, 'UA-normalized'!$A:$A, 0))), 0), 0))+(IFERROR(IF(22*INDEX('KZ-normalized'!$D:$D, MATCH($A124, 'KZ-normalized'!$A:$A, 0))-INDEX('KZ-normalized'!$E:$E, MATCH($A124, 'KZ-normalized'!$A:$A, 0))&gt;0, -(22*INDEX('KZ-normalized'!$D:$D, MATCH($A124, 'KZ-normalized'!$A:$A, 0))-INDEX('KZ-normalized'!$E:$E, MATCH($A124, 'KZ-normalized'!$A:$A, 0))), 0), 0))+(IFERROR(IF(22*INDEX('UZ-normalized'!$D:$D, MATCH($A124, 'UZ-normalized'!$A:$A, 0))-INDEX('UZ-normalized'!$E:$E, MATCH($A124, 'UZ-normalized'!$A:$A, 0))&gt;0, -(22*INDEX('UZ-normalized'!$D:$D, MATCH($A124, 'UZ-normalized'!$A:$A, 0))-INDEX('UZ-normalized'!$E:$E, MATCH($A124, 'UZ-normalized'!$A:$A, 0))), 0), 0)))</f>
        <v>0</v>
      </c>
      <c r="AK124" s="6">
        <f>MIN(0, N124+(IFERROR(IF(23*INDEX('UA-normalized'!$D:$D, MATCH($A124, 'UA-normalized'!$A:$A, 0))-INDEX('UA-normalized'!$E:$E, MATCH($A124, 'UA-normalized'!$A:$A, 0))&gt;0, -(23*INDEX('UA-normalized'!$D:$D, MATCH($A124, 'UA-normalized'!$A:$A, 0))-INDEX('UA-normalized'!$E:$E, MATCH($A124, 'UA-normalized'!$A:$A, 0))), 0), 0))+(IFERROR(IF(23*INDEX('KZ-normalized'!$D:$D, MATCH($A124, 'KZ-normalized'!$A:$A, 0))-INDEX('KZ-normalized'!$E:$E, MATCH($A124, 'KZ-normalized'!$A:$A, 0))&gt;0, -(23*INDEX('KZ-normalized'!$D:$D, MATCH($A124, 'KZ-normalized'!$A:$A, 0))-INDEX('KZ-normalized'!$E:$E, MATCH($A124, 'KZ-normalized'!$A:$A, 0))), 0), 0))+(IFERROR(IF(23*INDEX('UZ-normalized'!$D:$D, MATCH($A124, 'UZ-normalized'!$A:$A, 0))-INDEX('UZ-normalized'!$E:$E, MATCH($A124, 'UZ-normalized'!$A:$A, 0))&gt;0, -(23*INDEX('UZ-normalized'!$D:$D, MATCH($A124, 'UZ-normalized'!$A:$A, 0))-INDEX('UZ-normalized'!$E:$E, MATCH($A124, 'UZ-normalized'!$A:$A, 0))), 0), 0)))</f>
        <v>0</v>
      </c>
      <c r="AL124" s="6">
        <f>MIN(0, N124+(IFERROR(IF(24*INDEX('UA-normalized'!$D:$D, MATCH($A124, 'UA-normalized'!$A:$A, 0))-INDEX('UA-normalized'!$E:$E, MATCH($A124, 'UA-normalized'!$A:$A, 0))&gt;0, -(24*INDEX('UA-normalized'!$D:$D, MATCH($A124, 'UA-normalized'!$A:$A, 0))-INDEX('UA-normalized'!$E:$E, MATCH($A124, 'UA-normalized'!$A:$A, 0))), 0), 0))+(IFERROR(IF(24*INDEX('KZ-normalized'!$D:$D, MATCH($A124, 'KZ-normalized'!$A:$A, 0))-INDEX('KZ-normalized'!$E:$E, MATCH($A124, 'KZ-normalized'!$A:$A, 0))&gt;0, -(24*INDEX('KZ-normalized'!$D:$D, MATCH($A124, 'KZ-normalized'!$A:$A, 0))-INDEX('KZ-normalized'!$E:$E, MATCH($A124, 'KZ-normalized'!$A:$A, 0))), 0), 0))+(IFERROR(IF(24*INDEX('UZ-normalized'!$D:$D, MATCH($A124, 'UZ-normalized'!$A:$A, 0))-INDEX('UZ-normalized'!$E:$E, MATCH($A124, 'UZ-normalized'!$A:$A, 0))&gt;0, -(24*INDEX('UZ-normalized'!$D:$D, MATCH($A124, 'UZ-normalized'!$A:$A, 0))-INDEX('UZ-normalized'!$E:$E, MATCH($A124, 'UZ-normalized'!$A:$A, 0))), 0), 0)))</f>
        <v>0</v>
      </c>
      <c r="AM124" s="6">
        <f>MIN(0, N124+(IFERROR(IF(25*INDEX('UA-normalized'!$D:$D, MATCH($A124, 'UA-normalized'!$A:$A, 0))-INDEX('UA-normalized'!$E:$E, MATCH($A124, 'UA-normalized'!$A:$A, 0))&gt;0, -(25*INDEX('UA-normalized'!$D:$D, MATCH($A124, 'UA-normalized'!$A:$A, 0))-INDEX('UA-normalized'!$E:$E, MATCH($A124, 'UA-normalized'!$A:$A, 0))), 0), 0))+(IFERROR(IF(25*INDEX('KZ-normalized'!$D:$D, MATCH($A124, 'KZ-normalized'!$A:$A, 0))-INDEX('KZ-normalized'!$E:$E, MATCH($A124, 'KZ-normalized'!$A:$A, 0))&gt;0, -(25*INDEX('KZ-normalized'!$D:$D, MATCH($A124, 'KZ-normalized'!$A:$A, 0))-INDEX('KZ-normalized'!$E:$E, MATCH($A124, 'KZ-normalized'!$A:$A, 0))), 0), 0))+(IFERROR(IF(25*INDEX('UZ-normalized'!$D:$D, MATCH($A124, 'UZ-normalized'!$A:$A, 0))-INDEX('UZ-normalized'!$E:$E, MATCH($A124, 'UZ-normalized'!$A:$A, 0))&gt;0, -(25*INDEX('UZ-normalized'!$D:$D, MATCH($A124, 'UZ-normalized'!$A:$A, 0))-INDEX('UZ-normalized'!$E:$E, MATCH($A124, 'UZ-normalized'!$A:$A, 0))), 0), 0)))</f>
        <v>0</v>
      </c>
      <c r="AN124" s="6">
        <f>MIN(0, N124+(IFERROR(IF(26*INDEX('UA-normalized'!$D:$D, MATCH($A124, 'UA-normalized'!$A:$A, 0))-INDEX('UA-normalized'!$E:$E, MATCH($A124, 'UA-normalized'!$A:$A, 0))&gt;0, -(26*INDEX('UA-normalized'!$D:$D, MATCH($A124, 'UA-normalized'!$A:$A, 0))-INDEX('UA-normalized'!$E:$E, MATCH($A124, 'UA-normalized'!$A:$A, 0))), 0), 0))+(IFERROR(IF(26*INDEX('KZ-normalized'!$D:$D, MATCH($A124, 'KZ-normalized'!$A:$A, 0))-INDEX('KZ-normalized'!$E:$E, MATCH($A124, 'KZ-normalized'!$A:$A, 0))&gt;0, -(26*INDEX('KZ-normalized'!$D:$D, MATCH($A124, 'KZ-normalized'!$A:$A, 0))-INDEX('KZ-normalized'!$E:$E, MATCH($A124, 'KZ-normalized'!$A:$A, 0))), 0), 0))+(IFERROR(IF(26*INDEX('UZ-normalized'!$D:$D, MATCH($A124, 'UZ-normalized'!$A:$A, 0))-INDEX('UZ-normalized'!$E:$E, MATCH($A124, 'UZ-normalized'!$A:$A, 0))&gt;0, -(26*INDEX('UZ-normalized'!$D:$D, MATCH($A124, 'UZ-normalized'!$A:$A, 0))-INDEX('UZ-normalized'!$E:$E, MATCH($A124, 'UZ-normalized'!$A:$A, 0))), 0), 0)))</f>
        <v>0</v>
      </c>
      <c r="AO124" s="6">
        <f>MIN(0, N124+(IFERROR(IF(27*INDEX('UA-normalized'!$D:$D, MATCH($A124, 'UA-normalized'!$A:$A, 0))-INDEX('UA-normalized'!$E:$E, MATCH($A124, 'UA-normalized'!$A:$A, 0))&gt;0, -(27*INDEX('UA-normalized'!$D:$D, MATCH($A124, 'UA-normalized'!$A:$A, 0))-INDEX('UA-normalized'!$E:$E, MATCH($A124, 'UA-normalized'!$A:$A, 0))), 0), 0))+(IFERROR(IF(27*INDEX('KZ-normalized'!$D:$D, MATCH($A124, 'KZ-normalized'!$A:$A, 0))-INDEX('KZ-normalized'!$E:$E, MATCH($A124, 'KZ-normalized'!$A:$A, 0))&gt;0, -(27*INDEX('KZ-normalized'!$D:$D, MATCH($A124, 'KZ-normalized'!$A:$A, 0))-INDEX('KZ-normalized'!$E:$E, MATCH($A124, 'KZ-normalized'!$A:$A, 0))), 0), 0))+(IFERROR(IF(27*INDEX('UZ-normalized'!$D:$D, MATCH($A124, 'UZ-normalized'!$A:$A, 0))-INDEX('UZ-normalized'!$E:$E, MATCH($A124, 'UZ-normalized'!$A:$A, 0))&gt;0, -(27*INDEX('UZ-normalized'!$D:$D, MATCH($A124, 'UZ-normalized'!$A:$A, 0))-INDEX('UZ-normalized'!$E:$E, MATCH($A124, 'UZ-normalized'!$A:$A, 0))), 0), 0)))</f>
        <v>0</v>
      </c>
      <c r="AP124" s="6">
        <f>MIN(0, N124+(IFERROR(IF(28*INDEX('UA-normalized'!$D:$D, MATCH($A124, 'UA-normalized'!$A:$A, 0))-INDEX('UA-normalized'!$E:$E, MATCH($A124, 'UA-normalized'!$A:$A, 0))&gt;0, -(28*INDEX('UA-normalized'!$D:$D, MATCH($A124, 'UA-normalized'!$A:$A, 0))-INDEX('UA-normalized'!$E:$E, MATCH($A124, 'UA-normalized'!$A:$A, 0))), 0), 0))+(IFERROR(IF(28*INDEX('KZ-normalized'!$D:$D, MATCH($A124, 'KZ-normalized'!$A:$A, 0))-INDEX('KZ-normalized'!$E:$E, MATCH($A124, 'KZ-normalized'!$A:$A, 0))&gt;0, -(28*INDEX('KZ-normalized'!$D:$D, MATCH($A124, 'KZ-normalized'!$A:$A, 0))-INDEX('KZ-normalized'!$E:$E, MATCH($A124, 'KZ-normalized'!$A:$A, 0))), 0), 0))+(IFERROR(IF(28*INDEX('UZ-normalized'!$D:$D, MATCH($A124, 'UZ-normalized'!$A:$A, 0))-INDEX('UZ-normalized'!$E:$E, MATCH($A124, 'UZ-normalized'!$A:$A, 0))&gt;0, -(28*INDEX('UZ-normalized'!$D:$D, MATCH($A124, 'UZ-normalized'!$A:$A, 0))-INDEX('UZ-normalized'!$E:$E, MATCH($A124, 'UZ-normalized'!$A:$A, 0))), 0), 0)))</f>
        <v>0</v>
      </c>
      <c r="AQ124" s="6">
        <f>MIN(0, N124+(IFERROR(IF(29*INDEX('UA-normalized'!$D:$D, MATCH($A124, 'UA-normalized'!$A:$A, 0))-INDEX('UA-normalized'!$E:$E, MATCH($A124, 'UA-normalized'!$A:$A, 0))&gt;0, -(29*INDEX('UA-normalized'!$D:$D, MATCH($A124, 'UA-normalized'!$A:$A, 0))-INDEX('UA-normalized'!$E:$E, MATCH($A124, 'UA-normalized'!$A:$A, 0))), 0), 0))+(IFERROR(IF(29*INDEX('KZ-normalized'!$D:$D, MATCH($A124, 'KZ-normalized'!$A:$A, 0))-INDEX('KZ-normalized'!$E:$E, MATCH($A124, 'KZ-normalized'!$A:$A, 0))&gt;0, -(29*INDEX('KZ-normalized'!$D:$D, MATCH($A124, 'KZ-normalized'!$A:$A, 0))-INDEX('KZ-normalized'!$E:$E, MATCH($A124, 'KZ-normalized'!$A:$A, 0))), 0), 0))+(IFERROR(IF(29*INDEX('UZ-normalized'!$D:$D, MATCH($A124, 'UZ-normalized'!$A:$A, 0))-INDEX('UZ-normalized'!$E:$E, MATCH($A124, 'UZ-normalized'!$A:$A, 0))&gt;0, -(29*INDEX('UZ-normalized'!$D:$D, MATCH($A124, 'UZ-normalized'!$A:$A, 0))-INDEX('UZ-normalized'!$E:$E, MATCH($A124, 'UZ-normalized'!$A:$A, 0))), 0), 0)))</f>
        <v>0</v>
      </c>
      <c r="AR124" s="6">
        <f>MIN(0, N124+(IFERROR(IF(30*INDEX('UA-normalized'!$D:$D, MATCH($A124, 'UA-normalized'!$A:$A, 0))-INDEX('UA-normalized'!$E:$E, MATCH($A124, 'UA-normalized'!$A:$A, 0))&gt;0, -(30*INDEX('UA-normalized'!$D:$D, MATCH($A124, 'UA-normalized'!$A:$A, 0))-INDEX('UA-normalized'!$E:$E, MATCH($A124, 'UA-normalized'!$A:$A, 0))), 0), 0))+(IFERROR(IF(30*INDEX('KZ-normalized'!$D:$D, MATCH($A124, 'KZ-normalized'!$A:$A, 0))-INDEX('KZ-normalized'!$E:$E, MATCH($A124, 'KZ-normalized'!$A:$A, 0))&gt;0, -(30*INDEX('KZ-normalized'!$D:$D, MATCH($A124, 'KZ-normalized'!$A:$A, 0))-INDEX('KZ-normalized'!$E:$E, MATCH($A124, 'KZ-normalized'!$A:$A, 0))), 0), 0))+(IFERROR(IF(30*INDEX('UZ-normalized'!$D:$D, MATCH($A124, 'UZ-normalized'!$A:$A, 0))-INDEX('UZ-normalized'!$E:$E, MATCH($A124, 'UZ-normalized'!$A:$A, 0))&gt;0, -(30*INDEX('UZ-normalized'!$D:$D, MATCH($A124, 'UZ-normalized'!$A:$A, 0))-INDEX('UZ-normalized'!$E:$E, MATCH($A124, 'UZ-normalized'!$A:$A, 0))), 0), 0)))</f>
        <v>0</v>
      </c>
    </row>
    <row r="125" spans="1:44" x14ac:dyDescent="0.25">
      <c r="A125" s="8" t="s">
        <v>305</v>
      </c>
      <c r="B125" s="8" t="s">
        <v>294</v>
      </c>
      <c r="C125" s="8" t="s">
        <v>295</v>
      </c>
      <c r="D125" s="8" t="s">
        <v>306</v>
      </c>
      <c r="N125">
        <f t="shared" si="1"/>
        <v>0</v>
      </c>
      <c r="O125" s="6">
        <f>MIN(0, N125+(IFERROR(IF(1*INDEX('UA-normalized'!$D:$D, MATCH($A125, 'UA-normalized'!$A:$A, 0))-INDEX('UA-normalized'!$E:$E, MATCH($A125, 'UA-normalized'!$A:$A, 0))&gt;0, -(1*INDEX('UA-normalized'!$D:$D, MATCH($A125, 'UA-normalized'!$A:$A, 0))-INDEX('UA-normalized'!$E:$E, MATCH($A125, 'UA-normalized'!$A:$A, 0))), 0), 0))+(IFERROR(IF(1*INDEX('KZ-normalized'!$D:$D, MATCH($A125, 'KZ-normalized'!$A:$A, 0))-INDEX('KZ-normalized'!$E:$E, MATCH($A125, 'KZ-normalized'!$A:$A, 0))&gt;0, -(1*INDEX('KZ-normalized'!$D:$D, MATCH($A125, 'KZ-normalized'!$A:$A, 0))-INDEX('KZ-normalized'!$E:$E, MATCH($A125, 'KZ-normalized'!$A:$A, 0))), 0), 0))+(IFERROR(IF(1*INDEX('UZ-normalized'!$D:$D, MATCH($A125, 'UZ-normalized'!$A:$A, 0))-INDEX('UZ-normalized'!$E:$E, MATCH($A125, 'UZ-normalized'!$A:$A, 0))&gt;0, -(1*INDEX('UZ-normalized'!$D:$D, MATCH($A125, 'UZ-normalized'!$A:$A, 0))-INDEX('UZ-normalized'!$E:$E, MATCH($A125, 'UZ-normalized'!$A:$A, 0))), 0), 0)))</f>
        <v>0</v>
      </c>
      <c r="P125" s="6">
        <f>MIN(0, N125+(IFERROR(IF(2*INDEX('UA-normalized'!$D:$D, MATCH($A125, 'UA-normalized'!$A:$A, 0))-INDEX('UA-normalized'!$E:$E, MATCH($A125, 'UA-normalized'!$A:$A, 0))&gt;0, -(2*INDEX('UA-normalized'!$D:$D, MATCH($A125, 'UA-normalized'!$A:$A, 0))-INDEX('UA-normalized'!$E:$E, MATCH($A125, 'UA-normalized'!$A:$A, 0))), 0), 0))+(IFERROR(IF(2*INDEX('KZ-normalized'!$D:$D, MATCH($A125, 'KZ-normalized'!$A:$A, 0))-INDEX('KZ-normalized'!$E:$E, MATCH($A125, 'KZ-normalized'!$A:$A, 0))&gt;0, -(2*INDEX('KZ-normalized'!$D:$D, MATCH($A125, 'KZ-normalized'!$A:$A, 0))-INDEX('KZ-normalized'!$E:$E, MATCH($A125, 'KZ-normalized'!$A:$A, 0))), 0), 0))+(IFERROR(IF(2*INDEX('UZ-normalized'!$D:$D, MATCH($A125, 'UZ-normalized'!$A:$A, 0))-INDEX('UZ-normalized'!$E:$E, MATCH($A125, 'UZ-normalized'!$A:$A, 0))&gt;0, -(2*INDEX('UZ-normalized'!$D:$D, MATCH($A125, 'UZ-normalized'!$A:$A, 0))-INDEX('UZ-normalized'!$E:$E, MATCH($A125, 'UZ-normalized'!$A:$A, 0))), 0), 0)))</f>
        <v>0</v>
      </c>
      <c r="Q125" s="6">
        <f>MIN(0, N125+(IFERROR(IF(3*INDEX('UA-normalized'!$D:$D, MATCH($A125, 'UA-normalized'!$A:$A, 0))-INDEX('UA-normalized'!$E:$E, MATCH($A125, 'UA-normalized'!$A:$A, 0))&gt;0, -(3*INDEX('UA-normalized'!$D:$D, MATCH($A125, 'UA-normalized'!$A:$A, 0))-INDEX('UA-normalized'!$E:$E, MATCH($A125, 'UA-normalized'!$A:$A, 0))), 0), 0))+(IFERROR(IF(3*INDEX('KZ-normalized'!$D:$D, MATCH($A125, 'KZ-normalized'!$A:$A, 0))-INDEX('KZ-normalized'!$E:$E, MATCH($A125, 'KZ-normalized'!$A:$A, 0))&gt;0, -(3*INDEX('KZ-normalized'!$D:$D, MATCH($A125, 'KZ-normalized'!$A:$A, 0))-INDEX('KZ-normalized'!$E:$E, MATCH($A125, 'KZ-normalized'!$A:$A, 0))), 0), 0))+(IFERROR(IF(3*INDEX('UZ-normalized'!$D:$D, MATCH($A125, 'UZ-normalized'!$A:$A, 0))-INDEX('UZ-normalized'!$E:$E, MATCH($A125, 'UZ-normalized'!$A:$A, 0))&gt;0, -(3*INDEX('UZ-normalized'!$D:$D, MATCH($A125, 'UZ-normalized'!$A:$A, 0))-INDEX('UZ-normalized'!$E:$E, MATCH($A125, 'UZ-normalized'!$A:$A, 0))), 0), 0)))</f>
        <v>0</v>
      </c>
      <c r="R125" s="6">
        <f>MIN(0, N125+(IFERROR(IF(4*INDEX('UA-normalized'!$D:$D, MATCH($A125, 'UA-normalized'!$A:$A, 0))-INDEX('UA-normalized'!$E:$E, MATCH($A125, 'UA-normalized'!$A:$A, 0))&gt;0, -(4*INDEX('UA-normalized'!$D:$D, MATCH($A125, 'UA-normalized'!$A:$A, 0))-INDEX('UA-normalized'!$E:$E, MATCH($A125, 'UA-normalized'!$A:$A, 0))), 0), 0))+(IFERROR(IF(4*INDEX('KZ-normalized'!$D:$D, MATCH($A125, 'KZ-normalized'!$A:$A, 0))-INDEX('KZ-normalized'!$E:$E, MATCH($A125, 'KZ-normalized'!$A:$A, 0))&gt;0, -(4*INDEX('KZ-normalized'!$D:$D, MATCH($A125, 'KZ-normalized'!$A:$A, 0))-INDEX('KZ-normalized'!$E:$E, MATCH($A125, 'KZ-normalized'!$A:$A, 0))), 0), 0))+(IFERROR(IF(4*INDEX('UZ-normalized'!$D:$D, MATCH($A125, 'UZ-normalized'!$A:$A, 0))-INDEX('UZ-normalized'!$E:$E, MATCH($A125, 'UZ-normalized'!$A:$A, 0))&gt;0, -(4*INDEX('UZ-normalized'!$D:$D, MATCH($A125, 'UZ-normalized'!$A:$A, 0))-INDEX('UZ-normalized'!$E:$E, MATCH($A125, 'UZ-normalized'!$A:$A, 0))), 0), 0)))</f>
        <v>0</v>
      </c>
      <c r="S125" s="6">
        <f>MIN(0, N125+(IFERROR(IF(5*INDEX('UA-normalized'!$D:$D, MATCH($A125, 'UA-normalized'!$A:$A, 0))-INDEX('UA-normalized'!$E:$E, MATCH($A125, 'UA-normalized'!$A:$A, 0))&gt;0, -(5*INDEX('UA-normalized'!$D:$D, MATCH($A125, 'UA-normalized'!$A:$A, 0))-INDEX('UA-normalized'!$E:$E, MATCH($A125, 'UA-normalized'!$A:$A, 0))), 0), 0))+(IFERROR(IF(5*INDEX('KZ-normalized'!$D:$D, MATCH($A125, 'KZ-normalized'!$A:$A, 0))-INDEX('KZ-normalized'!$E:$E, MATCH($A125, 'KZ-normalized'!$A:$A, 0))&gt;0, -(5*INDEX('KZ-normalized'!$D:$D, MATCH($A125, 'KZ-normalized'!$A:$A, 0))-INDEX('KZ-normalized'!$E:$E, MATCH($A125, 'KZ-normalized'!$A:$A, 0))), 0), 0))+(IFERROR(IF(5*INDEX('UZ-normalized'!$D:$D, MATCH($A125, 'UZ-normalized'!$A:$A, 0))-INDEX('UZ-normalized'!$E:$E, MATCH($A125, 'UZ-normalized'!$A:$A, 0))&gt;0, -(5*INDEX('UZ-normalized'!$D:$D, MATCH($A125, 'UZ-normalized'!$A:$A, 0))-INDEX('UZ-normalized'!$E:$E, MATCH($A125, 'UZ-normalized'!$A:$A, 0))), 0), 0)))</f>
        <v>0</v>
      </c>
      <c r="T125" s="6">
        <f>MIN(0, N125+(IFERROR(IF(6*INDEX('UA-normalized'!$D:$D, MATCH($A125, 'UA-normalized'!$A:$A, 0))-INDEX('UA-normalized'!$E:$E, MATCH($A125, 'UA-normalized'!$A:$A, 0))&gt;0, -(6*INDEX('UA-normalized'!$D:$D, MATCH($A125, 'UA-normalized'!$A:$A, 0))-INDEX('UA-normalized'!$E:$E, MATCH($A125, 'UA-normalized'!$A:$A, 0))), 0), 0))+(IFERROR(IF(6*INDEX('KZ-normalized'!$D:$D, MATCH($A125, 'KZ-normalized'!$A:$A, 0))-INDEX('KZ-normalized'!$E:$E, MATCH($A125, 'KZ-normalized'!$A:$A, 0))&gt;0, -(6*INDEX('KZ-normalized'!$D:$D, MATCH($A125, 'KZ-normalized'!$A:$A, 0))-INDEX('KZ-normalized'!$E:$E, MATCH($A125, 'KZ-normalized'!$A:$A, 0))), 0), 0))+(IFERROR(IF(6*INDEX('UZ-normalized'!$D:$D, MATCH($A125, 'UZ-normalized'!$A:$A, 0))-INDEX('UZ-normalized'!$E:$E, MATCH($A125, 'UZ-normalized'!$A:$A, 0))&gt;0, -(6*INDEX('UZ-normalized'!$D:$D, MATCH($A125, 'UZ-normalized'!$A:$A, 0))-INDEX('UZ-normalized'!$E:$E, MATCH($A125, 'UZ-normalized'!$A:$A, 0))), 0), 0)))</f>
        <v>0</v>
      </c>
      <c r="U125" s="6">
        <f>MIN(0, N125+(IFERROR(IF(7*INDEX('UA-normalized'!$D:$D, MATCH($A125, 'UA-normalized'!$A:$A, 0))-INDEX('UA-normalized'!$E:$E, MATCH($A125, 'UA-normalized'!$A:$A, 0))&gt;0, -(7*INDEX('UA-normalized'!$D:$D, MATCH($A125, 'UA-normalized'!$A:$A, 0))-INDEX('UA-normalized'!$E:$E, MATCH($A125, 'UA-normalized'!$A:$A, 0))), 0), 0))+(IFERROR(IF(7*INDEX('KZ-normalized'!$D:$D, MATCH($A125, 'KZ-normalized'!$A:$A, 0))-INDEX('KZ-normalized'!$E:$E, MATCH($A125, 'KZ-normalized'!$A:$A, 0))&gt;0, -(7*INDEX('KZ-normalized'!$D:$D, MATCH($A125, 'KZ-normalized'!$A:$A, 0))-INDEX('KZ-normalized'!$E:$E, MATCH($A125, 'KZ-normalized'!$A:$A, 0))), 0), 0))+(IFERROR(IF(7*INDEX('UZ-normalized'!$D:$D, MATCH($A125, 'UZ-normalized'!$A:$A, 0))-INDEX('UZ-normalized'!$E:$E, MATCH($A125, 'UZ-normalized'!$A:$A, 0))&gt;0, -(7*INDEX('UZ-normalized'!$D:$D, MATCH($A125, 'UZ-normalized'!$A:$A, 0))-INDEX('UZ-normalized'!$E:$E, MATCH($A125, 'UZ-normalized'!$A:$A, 0))), 0), 0)))</f>
        <v>0</v>
      </c>
      <c r="V125" s="6">
        <f>MIN(0, N125+(IFERROR(IF(8*INDEX('UA-normalized'!$D:$D, MATCH($A125, 'UA-normalized'!$A:$A, 0))-INDEX('UA-normalized'!$E:$E, MATCH($A125, 'UA-normalized'!$A:$A, 0))&gt;0, -(8*INDEX('UA-normalized'!$D:$D, MATCH($A125, 'UA-normalized'!$A:$A, 0))-INDEX('UA-normalized'!$E:$E, MATCH($A125, 'UA-normalized'!$A:$A, 0))), 0), 0))+(IFERROR(IF(8*INDEX('KZ-normalized'!$D:$D, MATCH($A125, 'KZ-normalized'!$A:$A, 0))-INDEX('KZ-normalized'!$E:$E, MATCH($A125, 'KZ-normalized'!$A:$A, 0))&gt;0, -(8*INDEX('KZ-normalized'!$D:$D, MATCH($A125, 'KZ-normalized'!$A:$A, 0))-INDEX('KZ-normalized'!$E:$E, MATCH($A125, 'KZ-normalized'!$A:$A, 0))), 0), 0))+(IFERROR(IF(8*INDEX('UZ-normalized'!$D:$D, MATCH($A125, 'UZ-normalized'!$A:$A, 0))-INDEX('UZ-normalized'!$E:$E, MATCH($A125, 'UZ-normalized'!$A:$A, 0))&gt;0, -(8*INDEX('UZ-normalized'!$D:$D, MATCH($A125, 'UZ-normalized'!$A:$A, 0))-INDEX('UZ-normalized'!$E:$E, MATCH($A125, 'UZ-normalized'!$A:$A, 0))), 0), 0)))</f>
        <v>0</v>
      </c>
      <c r="W125" s="6">
        <f>MIN(0, N125+(IFERROR(IF(9*INDEX('UA-normalized'!$D:$D, MATCH($A125, 'UA-normalized'!$A:$A, 0))-INDEX('UA-normalized'!$E:$E, MATCH($A125, 'UA-normalized'!$A:$A, 0))&gt;0, -(9*INDEX('UA-normalized'!$D:$D, MATCH($A125, 'UA-normalized'!$A:$A, 0))-INDEX('UA-normalized'!$E:$E, MATCH($A125, 'UA-normalized'!$A:$A, 0))), 0), 0))+(IFERROR(IF(9*INDEX('KZ-normalized'!$D:$D, MATCH($A125, 'KZ-normalized'!$A:$A, 0))-INDEX('KZ-normalized'!$E:$E, MATCH($A125, 'KZ-normalized'!$A:$A, 0))&gt;0, -(9*INDEX('KZ-normalized'!$D:$D, MATCH($A125, 'KZ-normalized'!$A:$A, 0))-INDEX('KZ-normalized'!$E:$E, MATCH($A125, 'KZ-normalized'!$A:$A, 0))), 0), 0))+(IFERROR(IF(9*INDEX('UZ-normalized'!$D:$D, MATCH($A125, 'UZ-normalized'!$A:$A, 0))-INDEX('UZ-normalized'!$E:$E, MATCH($A125, 'UZ-normalized'!$A:$A, 0))&gt;0, -(9*INDEX('UZ-normalized'!$D:$D, MATCH($A125, 'UZ-normalized'!$A:$A, 0))-INDEX('UZ-normalized'!$E:$E, MATCH($A125, 'UZ-normalized'!$A:$A, 0))), 0), 0)))</f>
        <v>0</v>
      </c>
      <c r="X125" s="6">
        <f>MIN(0, N125+(IFERROR(IF(10*INDEX('UA-normalized'!$D:$D, MATCH($A125, 'UA-normalized'!$A:$A, 0))-INDEX('UA-normalized'!$E:$E, MATCH($A125, 'UA-normalized'!$A:$A, 0))&gt;0, -(10*INDEX('UA-normalized'!$D:$D, MATCH($A125, 'UA-normalized'!$A:$A, 0))-INDEX('UA-normalized'!$E:$E, MATCH($A125, 'UA-normalized'!$A:$A, 0))), 0), 0))+(IFERROR(IF(10*INDEX('KZ-normalized'!$D:$D, MATCH($A125, 'KZ-normalized'!$A:$A, 0))-INDEX('KZ-normalized'!$E:$E, MATCH($A125, 'KZ-normalized'!$A:$A, 0))&gt;0, -(10*INDEX('KZ-normalized'!$D:$D, MATCH($A125, 'KZ-normalized'!$A:$A, 0))-INDEX('KZ-normalized'!$E:$E, MATCH($A125, 'KZ-normalized'!$A:$A, 0))), 0), 0))+(IFERROR(IF(10*INDEX('UZ-normalized'!$D:$D, MATCH($A125, 'UZ-normalized'!$A:$A, 0))-INDEX('UZ-normalized'!$E:$E, MATCH($A125, 'UZ-normalized'!$A:$A, 0))&gt;0, -(10*INDEX('UZ-normalized'!$D:$D, MATCH($A125, 'UZ-normalized'!$A:$A, 0))-INDEX('UZ-normalized'!$E:$E, MATCH($A125, 'UZ-normalized'!$A:$A, 0))), 0), 0)))</f>
        <v>0</v>
      </c>
      <c r="Y125" s="6">
        <f>MIN(0, N125+(IFERROR(IF(11*INDEX('UA-normalized'!$D:$D, MATCH($A125, 'UA-normalized'!$A:$A, 0))-INDEX('UA-normalized'!$E:$E, MATCH($A125, 'UA-normalized'!$A:$A, 0))&gt;0, -(11*INDEX('UA-normalized'!$D:$D, MATCH($A125, 'UA-normalized'!$A:$A, 0))-INDEX('UA-normalized'!$E:$E, MATCH($A125, 'UA-normalized'!$A:$A, 0))), 0), 0))+(IFERROR(IF(11*INDEX('KZ-normalized'!$D:$D, MATCH($A125, 'KZ-normalized'!$A:$A, 0))-INDEX('KZ-normalized'!$E:$E, MATCH($A125, 'KZ-normalized'!$A:$A, 0))&gt;0, -(11*INDEX('KZ-normalized'!$D:$D, MATCH($A125, 'KZ-normalized'!$A:$A, 0))-INDEX('KZ-normalized'!$E:$E, MATCH($A125, 'KZ-normalized'!$A:$A, 0))), 0), 0))+(IFERROR(IF(11*INDEX('UZ-normalized'!$D:$D, MATCH($A125, 'UZ-normalized'!$A:$A, 0))-INDEX('UZ-normalized'!$E:$E, MATCH($A125, 'UZ-normalized'!$A:$A, 0))&gt;0, -(11*INDEX('UZ-normalized'!$D:$D, MATCH($A125, 'UZ-normalized'!$A:$A, 0))-INDEX('UZ-normalized'!$E:$E, MATCH($A125, 'UZ-normalized'!$A:$A, 0))), 0), 0)))</f>
        <v>0</v>
      </c>
      <c r="Z125" s="6">
        <f>MIN(0, N125+(IFERROR(IF(12*INDEX('UA-normalized'!$D:$D, MATCH($A125, 'UA-normalized'!$A:$A, 0))-INDEX('UA-normalized'!$E:$E, MATCH($A125, 'UA-normalized'!$A:$A, 0))&gt;0, -(12*INDEX('UA-normalized'!$D:$D, MATCH($A125, 'UA-normalized'!$A:$A, 0))-INDEX('UA-normalized'!$E:$E, MATCH($A125, 'UA-normalized'!$A:$A, 0))), 0), 0))+(IFERROR(IF(12*INDEX('KZ-normalized'!$D:$D, MATCH($A125, 'KZ-normalized'!$A:$A, 0))-INDEX('KZ-normalized'!$E:$E, MATCH($A125, 'KZ-normalized'!$A:$A, 0))&gt;0, -(12*INDEX('KZ-normalized'!$D:$D, MATCH($A125, 'KZ-normalized'!$A:$A, 0))-INDEX('KZ-normalized'!$E:$E, MATCH($A125, 'KZ-normalized'!$A:$A, 0))), 0), 0))+(IFERROR(IF(12*INDEX('UZ-normalized'!$D:$D, MATCH($A125, 'UZ-normalized'!$A:$A, 0))-INDEX('UZ-normalized'!$E:$E, MATCH($A125, 'UZ-normalized'!$A:$A, 0))&gt;0, -(12*INDEX('UZ-normalized'!$D:$D, MATCH($A125, 'UZ-normalized'!$A:$A, 0))-INDEX('UZ-normalized'!$E:$E, MATCH($A125, 'UZ-normalized'!$A:$A, 0))), 0), 0)))</f>
        <v>0</v>
      </c>
      <c r="AA125" s="6">
        <f>MIN(0, N125+(IFERROR(IF(13*INDEX('UA-normalized'!$D:$D, MATCH($A125, 'UA-normalized'!$A:$A, 0))-INDEX('UA-normalized'!$E:$E, MATCH($A125, 'UA-normalized'!$A:$A, 0))&gt;0, -(13*INDEX('UA-normalized'!$D:$D, MATCH($A125, 'UA-normalized'!$A:$A, 0))-INDEX('UA-normalized'!$E:$E, MATCH($A125, 'UA-normalized'!$A:$A, 0))), 0), 0))+(IFERROR(IF(13*INDEX('KZ-normalized'!$D:$D, MATCH($A125, 'KZ-normalized'!$A:$A, 0))-INDEX('KZ-normalized'!$E:$E, MATCH($A125, 'KZ-normalized'!$A:$A, 0))&gt;0, -(13*INDEX('KZ-normalized'!$D:$D, MATCH($A125, 'KZ-normalized'!$A:$A, 0))-INDEX('KZ-normalized'!$E:$E, MATCH($A125, 'KZ-normalized'!$A:$A, 0))), 0), 0))+(IFERROR(IF(13*INDEX('UZ-normalized'!$D:$D, MATCH($A125, 'UZ-normalized'!$A:$A, 0))-INDEX('UZ-normalized'!$E:$E, MATCH($A125, 'UZ-normalized'!$A:$A, 0))&gt;0, -(13*INDEX('UZ-normalized'!$D:$D, MATCH($A125, 'UZ-normalized'!$A:$A, 0))-INDEX('UZ-normalized'!$E:$E, MATCH($A125, 'UZ-normalized'!$A:$A, 0))), 0), 0)))</f>
        <v>0</v>
      </c>
      <c r="AB125" s="6">
        <f>MIN(0, N125+(IFERROR(IF(14*INDEX('UA-normalized'!$D:$D, MATCH($A125, 'UA-normalized'!$A:$A, 0))-INDEX('UA-normalized'!$E:$E, MATCH($A125, 'UA-normalized'!$A:$A, 0))&gt;0, -(14*INDEX('UA-normalized'!$D:$D, MATCH($A125, 'UA-normalized'!$A:$A, 0))-INDEX('UA-normalized'!$E:$E, MATCH($A125, 'UA-normalized'!$A:$A, 0))), 0), 0))+(IFERROR(IF(14*INDEX('KZ-normalized'!$D:$D, MATCH($A125, 'KZ-normalized'!$A:$A, 0))-INDEX('KZ-normalized'!$E:$E, MATCH($A125, 'KZ-normalized'!$A:$A, 0))&gt;0, -(14*INDEX('KZ-normalized'!$D:$D, MATCH($A125, 'KZ-normalized'!$A:$A, 0))-INDEX('KZ-normalized'!$E:$E, MATCH($A125, 'KZ-normalized'!$A:$A, 0))), 0), 0))+(IFERROR(IF(14*INDEX('UZ-normalized'!$D:$D, MATCH($A125, 'UZ-normalized'!$A:$A, 0))-INDEX('UZ-normalized'!$E:$E, MATCH($A125, 'UZ-normalized'!$A:$A, 0))&gt;0, -(14*INDEX('UZ-normalized'!$D:$D, MATCH($A125, 'UZ-normalized'!$A:$A, 0))-INDEX('UZ-normalized'!$E:$E, MATCH($A125, 'UZ-normalized'!$A:$A, 0))), 0), 0)))</f>
        <v>0</v>
      </c>
      <c r="AC125" s="6">
        <f>MIN(0, N125+(IFERROR(IF(15*INDEX('UA-normalized'!$D:$D, MATCH($A125, 'UA-normalized'!$A:$A, 0))-INDEX('UA-normalized'!$E:$E, MATCH($A125, 'UA-normalized'!$A:$A, 0))&gt;0, -(15*INDEX('UA-normalized'!$D:$D, MATCH($A125, 'UA-normalized'!$A:$A, 0))-INDEX('UA-normalized'!$E:$E, MATCH($A125, 'UA-normalized'!$A:$A, 0))), 0), 0))+(IFERROR(IF(15*INDEX('KZ-normalized'!$D:$D, MATCH($A125, 'KZ-normalized'!$A:$A, 0))-INDEX('KZ-normalized'!$E:$E, MATCH($A125, 'KZ-normalized'!$A:$A, 0))&gt;0, -(15*INDEX('KZ-normalized'!$D:$D, MATCH($A125, 'KZ-normalized'!$A:$A, 0))-INDEX('KZ-normalized'!$E:$E, MATCH($A125, 'KZ-normalized'!$A:$A, 0))), 0), 0))+(IFERROR(IF(15*INDEX('UZ-normalized'!$D:$D, MATCH($A125, 'UZ-normalized'!$A:$A, 0))-INDEX('UZ-normalized'!$E:$E, MATCH($A125, 'UZ-normalized'!$A:$A, 0))&gt;0, -(15*INDEX('UZ-normalized'!$D:$D, MATCH($A125, 'UZ-normalized'!$A:$A, 0))-INDEX('UZ-normalized'!$E:$E, MATCH($A125, 'UZ-normalized'!$A:$A, 0))), 0), 0)))</f>
        <v>0</v>
      </c>
      <c r="AD125" s="6">
        <f>MIN(0, N125+(IFERROR(IF(16*INDEX('UA-normalized'!$D:$D, MATCH($A125, 'UA-normalized'!$A:$A, 0))-INDEX('UA-normalized'!$E:$E, MATCH($A125, 'UA-normalized'!$A:$A, 0))&gt;0, -(16*INDEX('UA-normalized'!$D:$D, MATCH($A125, 'UA-normalized'!$A:$A, 0))-INDEX('UA-normalized'!$E:$E, MATCH($A125, 'UA-normalized'!$A:$A, 0))), 0), 0))+(IFERROR(IF(16*INDEX('KZ-normalized'!$D:$D, MATCH($A125, 'KZ-normalized'!$A:$A, 0))-INDEX('KZ-normalized'!$E:$E, MATCH($A125, 'KZ-normalized'!$A:$A, 0))&gt;0, -(16*INDEX('KZ-normalized'!$D:$D, MATCH($A125, 'KZ-normalized'!$A:$A, 0))-INDEX('KZ-normalized'!$E:$E, MATCH($A125, 'KZ-normalized'!$A:$A, 0))), 0), 0))+(IFERROR(IF(16*INDEX('UZ-normalized'!$D:$D, MATCH($A125, 'UZ-normalized'!$A:$A, 0))-INDEX('UZ-normalized'!$E:$E, MATCH($A125, 'UZ-normalized'!$A:$A, 0))&gt;0, -(16*INDEX('UZ-normalized'!$D:$D, MATCH($A125, 'UZ-normalized'!$A:$A, 0))-INDEX('UZ-normalized'!$E:$E, MATCH($A125, 'UZ-normalized'!$A:$A, 0))), 0), 0)))</f>
        <v>0</v>
      </c>
      <c r="AE125" s="6">
        <f>MIN(0, N125+(IFERROR(IF(17*INDEX('UA-normalized'!$D:$D, MATCH($A125, 'UA-normalized'!$A:$A, 0))-INDEX('UA-normalized'!$E:$E, MATCH($A125, 'UA-normalized'!$A:$A, 0))&gt;0, -(17*INDEX('UA-normalized'!$D:$D, MATCH($A125, 'UA-normalized'!$A:$A, 0))-INDEX('UA-normalized'!$E:$E, MATCH($A125, 'UA-normalized'!$A:$A, 0))), 0), 0))+(IFERROR(IF(17*INDEX('KZ-normalized'!$D:$D, MATCH($A125, 'KZ-normalized'!$A:$A, 0))-INDEX('KZ-normalized'!$E:$E, MATCH($A125, 'KZ-normalized'!$A:$A, 0))&gt;0, -(17*INDEX('KZ-normalized'!$D:$D, MATCH($A125, 'KZ-normalized'!$A:$A, 0))-INDEX('KZ-normalized'!$E:$E, MATCH($A125, 'KZ-normalized'!$A:$A, 0))), 0), 0))+(IFERROR(IF(17*INDEX('UZ-normalized'!$D:$D, MATCH($A125, 'UZ-normalized'!$A:$A, 0))-INDEX('UZ-normalized'!$E:$E, MATCH($A125, 'UZ-normalized'!$A:$A, 0))&gt;0, -(17*INDEX('UZ-normalized'!$D:$D, MATCH($A125, 'UZ-normalized'!$A:$A, 0))-INDEX('UZ-normalized'!$E:$E, MATCH($A125, 'UZ-normalized'!$A:$A, 0))), 0), 0)))</f>
        <v>0</v>
      </c>
      <c r="AF125" s="6">
        <f>MIN(0, N125+(IFERROR(IF(18*INDEX('UA-normalized'!$D:$D, MATCH($A125, 'UA-normalized'!$A:$A, 0))-INDEX('UA-normalized'!$E:$E, MATCH($A125, 'UA-normalized'!$A:$A, 0))&gt;0, -(18*INDEX('UA-normalized'!$D:$D, MATCH($A125, 'UA-normalized'!$A:$A, 0))-INDEX('UA-normalized'!$E:$E, MATCH($A125, 'UA-normalized'!$A:$A, 0))), 0), 0))+(IFERROR(IF(18*INDEX('KZ-normalized'!$D:$D, MATCH($A125, 'KZ-normalized'!$A:$A, 0))-INDEX('KZ-normalized'!$E:$E, MATCH($A125, 'KZ-normalized'!$A:$A, 0))&gt;0, -(18*INDEX('KZ-normalized'!$D:$D, MATCH($A125, 'KZ-normalized'!$A:$A, 0))-INDEX('KZ-normalized'!$E:$E, MATCH($A125, 'KZ-normalized'!$A:$A, 0))), 0), 0))+(IFERROR(IF(18*INDEX('UZ-normalized'!$D:$D, MATCH($A125, 'UZ-normalized'!$A:$A, 0))-INDEX('UZ-normalized'!$E:$E, MATCH($A125, 'UZ-normalized'!$A:$A, 0))&gt;0, -(18*INDEX('UZ-normalized'!$D:$D, MATCH($A125, 'UZ-normalized'!$A:$A, 0))-INDEX('UZ-normalized'!$E:$E, MATCH($A125, 'UZ-normalized'!$A:$A, 0))), 0), 0)))</f>
        <v>0</v>
      </c>
      <c r="AG125" s="6">
        <f>MIN(0, N125+(IFERROR(IF(19*INDEX('UA-normalized'!$D:$D, MATCH($A125, 'UA-normalized'!$A:$A, 0))-INDEX('UA-normalized'!$E:$E, MATCH($A125, 'UA-normalized'!$A:$A, 0))&gt;0, -(19*INDEX('UA-normalized'!$D:$D, MATCH($A125, 'UA-normalized'!$A:$A, 0))-INDEX('UA-normalized'!$E:$E, MATCH($A125, 'UA-normalized'!$A:$A, 0))), 0), 0))+(IFERROR(IF(19*INDEX('KZ-normalized'!$D:$D, MATCH($A125, 'KZ-normalized'!$A:$A, 0))-INDEX('KZ-normalized'!$E:$E, MATCH($A125, 'KZ-normalized'!$A:$A, 0))&gt;0, -(19*INDEX('KZ-normalized'!$D:$D, MATCH($A125, 'KZ-normalized'!$A:$A, 0))-INDEX('KZ-normalized'!$E:$E, MATCH($A125, 'KZ-normalized'!$A:$A, 0))), 0), 0))+(IFERROR(IF(19*INDEX('UZ-normalized'!$D:$D, MATCH($A125, 'UZ-normalized'!$A:$A, 0))-INDEX('UZ-normalized'!$E:$E, MATCH($A125, 'UZ-normalized'!$A:$A, 0))&gt;0, -(19*INDEX('UZ-normalized'!$D:$D, MATCH($A125, 'UZ-normalized'!$A:$A, 0))-INDEX('UZ-normalized'!$E:$E, MATCH($A125, 'UZ-normalized'!$A:$A, 0))), 0), 0)))</f>
        <v>0</v>
      </c>
      <c r="AH125" s="6">
        <f>MIN(0, N125+(IFERROR(IF(20*INDEX('UA-normalized'!$D:$D, MATCH($A125, 'UA-normalized'!$A:$A, 0))-INDEX('UA-normalized'!$E:$E, MATCH($A125, 'UA-normalized'!$A:$A, 0))&gt;0, -(20*INDEX('UA-normalized'!$D:$D, MATCH($A125, 'UA-normalized'!$A:$A, 0))-INDEX('UA-normalized'!$E:$E, MATCH($A125, 'UA-normalized'!$A:$A, 0))), 0), 0))+(IFERROR(IF(20*INDEX('KZ-normalized'!$D:$D, MATCH($A125, 'KZ-normalized'!$A:$A, 0))-INDEX('KZ-normalized'!$E:$E, MATCH($A125, 'KZ-normalized'!$A:$A, 0))&gt;0, -(20*INDEX('KZ-normalized'!$D:$D, MATCH($A125, 'KZ-normalized'!$A:$A, 0))-INDEX('KZ-normalized'!$E:$E, MATCH($A125, 'KZ-normalized'!$A:$A, 0))), 0), 0))+(IFERROR(IF(20*INDEX('UZ-normalized'!$D:$D, MATCH($A125, 'UZ-normalized'!$A:$A, 0))-INDEX('UZ-normalized'!$E:$E, MATCH($A125, 'UZ-normalized'!$A:$A, 0))&gt;0, -(20*INDEX('UZ-normalized'!$D:$D, MATCH($A125, 'UZ-normalized'!$A:$A, 0))-INDEX('UZ-normalized'!$E:$E, MATCH($A125, 'UZ-normalized'!$A:$A, 0))), 0), 0)))</f>
        <v>0</v>
      </c>
      <c r="AI125" s="6">
        <f>MIN(0, N125+(IFERROR(IF(21*INDEX('UA-normalized'!$D:$D, MATCH($A125, 'UA-normalized'!$A:$A, 0))-INDEX('UA-normalized'!$E:$E, MATCH($A125, 'UA-normalized'!$A:$A, 0))&gt;0, -(21*INDEX('UA-normalized'!$D:$D, MATCH($A125, 'UA-normalized'!$A:$A, 0))-INDEX('UA-normalized'!$E:$E, MATCH($A125, 'UA-normalized'!$A:$A, 0))), 0), 0))+(IFERROR(IF(21*INDEX('KZ-normalized'!$D:$D, MATCH($A125, 'KZ-normalized'!$A:$A, 0))-INDEX('KZ-normalized'!$E:$E, MATCH($A125, 'KZ-normalized'!$A:$A, 0))&gt;0, -(21*INDEX('KZ-normalized'!$D:$D, MATCH($A125, 'KZ-normalized'!$A:$A, 0))-INDEX('KZ-normalized'!$E:$E, MATCH($A125, 'KZ-normalized'!$A:$A, 0))), 0), 0))+(IFERROR(IF(21*INDEX('UZ-normalized'!$D:$D, MATCH($A125, 'UZ-normalized'!$A:$A, 0))-INDEX('UZ-normalized'!$E:$E, MATCH($A125, 'UZ-normalized'!$A:$A, 0))&gt;0, -(21*INDEX('UZ-normalized'!$D:$D, MATCH($A125, 'UZ-normalized'!$A:$A, 0))-INDEX('UZ-normalized'!$E:$E, MATCH($A125, 'UZ-normalized'!$A:$A, 0))), 0), 0)))</f>
        <v>0</v>
      </c>
      <c r="AJ125" s="6">
        <f>MIN(0, N125+(IFERROR(IF(22*INDEX('UA-normalized'!$D:$D, MATCH($A125, 'UA-normalized'!$A:$A, 0))-INDEX('UA-normalized'!$E:$E, MATCH($A125, 'UA-normalized'!$A:$A, 0))&gt;0, -(22*INDEX('UA-normalized'!$D:$D, MATCH($A125, 'UA-normalized'!$A:$A, 0))-INDEX('UA-normalized'!$E:$E, MATCH($A125, 'UA-normalized'!$A:$A, 0))), 0), 0))+(IFERROR(IF(22*INDEX('KZ-normalized'!$D:$D, MATCH($A125, 'KZ-normalized'!$A:$A, 0))-INDEX('KZ-normalized'!$E:$E, MATCH($A125, 'KZ-normalized'!$A:$A, 0))&gt;0, -(22*INDEX('KZ-normalized'!$D:$D, MATCH($A125, 'KZ-normalized'!$A:$A, 0))-INDEX('KZ-normalized'!$E:$E, MATCH($A125, 'KZ-normalized'!$A:$A, 0))), 0), 0))+(IFERROR(IF(22*INDEX('UZ-normalized'!$D:$D, MATCH($A125, 'UZ-normalized'!$A:$A, 0))-INDEX('UZ-normalized'!$E:$E, MATCH($A125, 'UZ-normalized'!$A:$A, 0))&gt;0, -(22*INDEX('UZ-normalized'!$D:$D, MATCH($A125, 'UZ-normalized'!$A:$A, 0))-INDEX('UZ-normalized'!$E:$E, MATCH($A125, 'UZ-normalized'!$A:$A, 0))), 0), 0)))</f>
        <v>0</v>
      </c>
      <c r="AK125" s="6">
        <f>MIN(0, N125+(IFERROR(IF(23*INDEX('UA-normalized'!$D:$D, MATCH($A125, 'UA-normalized'!$A:$A, 0))-INDEX('UA-normalized'!$E:$E, MATCH($A125, 'UA-normalized'!$A:$A, 0))&gt;0, -(23*INDEX('UA-normalized'!$D:$D, MATCH($A125, 'UA-normalized'!$A:$A, 0))-INDEX('UA-normalized'!$E:$E, MATCH($A125, 'UA-normalized'!$A:$A, 0))), 0), 0))+(IFERROR(IF(23*INDEX('KZ-normalized'!$D:$D, MATCH($A125, 'KZ-normalized'!$A:$A, 0))-INDEX('KZ-normalized'!$E:$E, MATCH($A125, 'KZ-normalized'!$A:$A, 0))&gt;0, -(23*INDEX('KZ-normalized'!$D:$D, MATCH($A125, 'KZ-normalized'!$A:$A, 0))-INDEX('KZ-normalized'!$E:$E, MATCH($A125, 'KZ-normalized'!$A:$A, 0))), 0), 0))+(IFERROR(IF(23*INDEX('UZ-normalized'!$D:$D, MATCH($A125, 'UZ-normalized'!$A:$A, 0))-INDEX('UZ-normalized'!$E:$E, MATCH($A125, 'UZ-normalized'!$A:$A, 0))&gt;0, -(23*INDEX('UZ-normalized'!$D:$D, MATCH($A125, 'UZ-normalized'!$A:$A, 0))-INDEX('UZ-normalized'!$E:$E, MATCH($A125, 'UZ-normalized'!$A:$A, 0))), 0), 0)))</f>
        <v>0</v>
      </c>
      <c r="AL125" s="6">
        <f>MIN(0, N125+(IFERROR(IF(24*INDEX('UA-normalized'!$D:$D, MATCH($A125, 'UA-normalized'!$A:$A, 0))-INDEX('UA-normalized'!$E:$E, MATCH($A125, 'UA-normalized'!$A:$A, 0))&gt;0, -(24*INDEX('UA-normalized'!$D:$D, MATCH($A125, 'UA-normalized'!$A:$A, 0))-INDEX('UA-normalized'!$E:$E, MATCH($A125, 'UA-normalized'!$A:$A, 0))), 0), 0))+(IFERROR(IF(24*INDEX('KZ-normalized'!$D:$D, MATCH($A125, 'KZ-normalized'!$A:$A, 0))-INDEX('KZ-normalized'!$E:$E, MATCH($A125, 'KZ-normalized'!$A:$A, 0))&gt;0, -(24*INDEX('KZ-normalized'!$D:$D, MATCH($A125, 'KZ-normalized'!$A:$A, 0))-INDEX('KZ-normalized'!$E:$E, MATCH($A125, 'KZ-normalized'!$A:$A, 0))), 0), 0))+(IFERROR(IF(24*INDEX('UZ-normalized'!$D:$D, MATCH($A125, 'UZ-normalized'!$A:$A, 0))-INDEX('UZ-normalized'!$E:$E, MATCH($A125, 'UZ-normalized'!$A:$A, 0))&gt;0, -(24*INDEX('UZ-normalized'!$D:$D, MATCH($A125, 'UZ-normalized'!$A:$A, 0))-INDEX('UZ-normalized'!$E:$E, MATCH($A125, 'UZ-normalized'!$A:$A, 0))), 0), 0)))</f>
        <v>0</v>
      </c>
      <c r="AM125" s="6">
        <f>MIN(0, N125+(IFERROR(IF(25*INDEX('UA-normalized'!$D:$D, MATCH($A125, 'UA-normalized'!$A:$A, 0))-INDEX('UA-normalized'!$E:$E, MATCH($A125, 'UA-normalized'!$A:$A, 0))&gt;0, -(25*INDEX('UA-normalized'!$D:$D, MATCH($A125, 'UA-normalized'!$A:$A, 0))-INDEX('UA-normalized'!$E:$E, MATCH($A125, 'UA-normalized'!$A:$A, 0))), 0), 0))+(IFERROR(IF(25*INDEX('KZ-normalized'!$D:$D, MATCH($A125, 'KZ-normalized'!$A:$A, 0))-INDEX('KZ-normalized'!$E:$E, MATCH($A125, 'KZ-normalized'!$A:$A, 0))&gt;0, -(25*INDEX('KZ-normalized'!$D:$D, MATCH($A125, 'KZ-normalized'!$A:$A, 0))-INDEX('KZ-normalized'!$E:$E, MATCH($A125, 'KZ-normalized'!$A:$A, 0))), 0), 0))+(IFERROR(IF(25*INDEX('UZ-normalized'!$D:$D, MATCH($A125, 'UZ-normalized'!$A:$A, 0))-INDEX('UZ-normalized'!$E:$E, MATCH($A125, 'UZ-normalized'!$A:$A, 0))&gt;0, -(25*INDEX('UZ-normalized'!$D:$D, MATCH($A125, 'UZ-normalized'!$A:$A, 0))-INDEX('UZ-normalized'!$E:$E, MATCH($A125, 'UZ-normalized'!$A:$A, 0))), 0), 0)))</f>
        <v>0</v>
      </c>
      <c r="AN125" s="6">
        <f>MIN(0, N125+(IFERROR(IF(26*INDEX('UA-normalized'!$D:$D, MATCH($A125, 'UA-normalized'!$A:$A, 0))-INDEX('UA-normalized'!$E:$E, MATCH($A125, 'UA-normalized'!$A:$A, 0))&gt;0, -(26*INDEX('UA-normalized'!$D:$D, MATCH($A125, 'UA-normalized'!$A:$A, 0))-INDEX('UA-normalized'!$E:$E, MATCH($A125, 'UA-normalized'!$A:$A, 0))), 0), 0))+(IFERROR(IF(26*INDEX('KZ-normalized'!$D:$D, MATCH($A125, 'KZ-normalized'!$A:$A, 0))-INDEX('KZ-normalized'!$E:$E, MATCH($A125, 'KZ-normalized'!$A:$A, 0))&gt;0, -(26*INDEX('KZ-normalized'!$D:$D, MATCH($A125, 'KZ-normalized'!$A:$A, 0))-INDEX('KZ-normalized'!$E:$E, MATCH($A125, 'KZ-normalized'!$A:$A, 0))), 0), 0))+(IFERROR(IF(26*INDEX('UZ-normalized'!$D:$D, MATCH($A125, 'UZ-normalized'!$A:$A, 0))-INDEX('UZ-normalized'!$E:$E, MATCH($A125, 'UZ-normalized'!$A:$A, 0))&gt;0, -(26*INDEX('UZ-normalized'!$D:$D, MATCH($A125, 'UZ-normalized'!$A:$A, 0))-INDEX('UZ-normalized'!$E:$E, MATCH($A125, 'UZ-normalized'!$A:$A, 0))), 0), 0)))</f>
        <v>0</v>
      </c>
      <c r="AO125" s="6">
        <f>MIN(0, N125+(IFERROR(IF(27*INDEX('UA-normalized'!$D:$D, MATCH($A125, 'UA-normalized'!$A:$A, 0))-INDEX('UA-normalized'!$E:$E, MATCH($A125, 'UA-normalized'!$A:$A, 0))&gt;0, -(27*INDEX('UA-normalized'!$D:$D, MATCH($A125, 'UA-normalized'!$A:$A, 0))-INDEX('UA-normalized'!$E:$E, MATCH($A125, 'UA-normalized'!$A:$A, 0))), 0), 0))+(IFERROR(IF(27*INDEX('KZ-normalized'!$D:$D, MATCH($A125, 'KZ-normalized'!$A:$A, 0))-INDEX('KZ-normalized'!$E:$E, MATCH($A125, 'KZ-normalized'!$A:$A, 0))&gt;0, -(27*INDEX('KZ-normalized'!$D:$D, MATCH($A125, 'KZ-normalized'!$A:$A, 0))-INDEX('KZ-normalized'!$E:$E, MATCH($A125, 'KZ-normalized'!$A:$A, 0))), 0), 0))+(IFERROR(IF(27*INDEX('UZ-normalized'!$D:$D, MATCH($A125, 'UZ-normalized'!$A:$A, 0))-INDEX('UZ-normalized'!$E:$E, MATCH($A125, 'UZ-normalized'!$A:$A, 0))&gt;0, -(27*INDEX('UZ-normalized'!$D:$D, MATCH($A125, 'UZ-normalized'!$A:$A, 0))-INDEX('UZ-normalized'!$E:$E, MATCH($A125, 'UZ-normalized'!$A:$A, 0))), 0), 0)))</f>
        <v>0</v>
      </c>
      <c r="AP125" s="6">
        <f>MIN(0, N125+(IFERROR(IF(28*INDEX('UA-normalized'!$D:$D, MATCH($A125, 'UA-normalized'!$A:$A, 0))-INDEX('UA-normalized'!$E:$E, MATCH($A125, 'UA-normalized'!$A:$A, 0))&gt;0, -(28*INDEX('UA-normalized'!$D:$D, MATCH($A125, 'UA-normalized'!$A:$A, 0))-INDEX('UA-normalized'!$E:$E, MATCH($A125, 'UA-normalized'!$A:$A, 0))), 0), 0))+(IFERROR(IF(28*INDEX('KZ-normalized'!$D:$D, MATCH($A125, 'KZ-normalized'!$A:$A, 0))-INDEX('KZ-normalized'!$E:$E, MATCH($A125, 'KZ-normalized'!$A:$A, 0))&gt;0, -(28*INDEX('KZ-normalized'!$D:$D, MATCH($A125, 'KZ-normalized'!$A:$A, 0))-INDEX('KZ-normalized'!$E:$E, MATCH($A125, 'KZ-normalized'!$A:$A, 0))), 0), 0))+(IFERROR(IF(28*INDEX('UZ-normalized'!$D:$D, MATCH($A125, 'UZ-normalized'!$A:$A, 0))-INDEX('UZ-normalized'!$E:$E, MATCH($A125, 'UZ-normalized'!$A:$A, 0))&gt;0, -(28*INDEX('UZ-normalized'!$D:$D, MATCH($A125, 'UZ-normalized'!$A:$A, 0))-INDEX('UZ-normalized'!$E:$E, MATCH($A125, 'UZ-normalized'!$A:$A, 0))), 0), 0)))</f>
        <v>0</v>
      </c>
      <c r="AQ125" s="6">
        <f>MIN(0, N125+(IFERROR(IF(29*INDEX('UA-normalized'!$D:$D, MATCH($A125, 'UA-normalized'!$A:$A, 0))-INDEX('UA-normalized'!$E:$E, MATCH($A125, 'UA-normalized'!$A:$A, 0))&gt;0, -(29*INDEX('UA-normalized'!$D:$D, MATCH($A125, 'UA-normalized'!$A:$A, 0))-INDEX('UA-normalized'!$E:$E, MATCH($A125, 'UA-normalized'!$A:$A, 0))), 0), 0))+(IFERROR(IF(29*INDEX('KZ-normalized'!$D:$D, MATCH($A125, 'KZ-normalized'!$A:$A, 0))-INDEX('KZ-normalized'!$E:$E, MATCH($A125, 'KZ-normalized'!$A:$A, 0))&gt;0, -(29*INDEX('KZ-normalized'!$D:$D, MATCH($A125, 'KZ-normalized'!$A:$A, 0))-INDEX('KZ-normalized'!$E:$E, MATCH($A125, 'KZ-normalized'!$A:$A, 0))), 0), 0))+(IFERROR(IF(29*INDEX('UZ-normalized'!$D:$D, MATCH($A125, 'UZ-normalized'!$A:$A, 0))-INDEX('UZ-normalized'!$E:$E, MATCH($A125, 'UZ-normalized'!$A:$A, 0))&gt;0, -(29*INDEX('UZ-normalized'!$D:$D, MATCH($A125, 'UZ-normalized'!$A:$A, 0))-INDEX('UZ-normalized'!$E:$E, MATCH($A125, 'UZ-normalized'!$A:$A, 0))), 0), 0)))</f>
        <v>0</v>
      </c>
      <c r="AR125" s="6">
        <f>MIN(0, N125+(IFERROR(IF(30*INDEX('UA-normalized'!$D:$D, MATCH($A125, 'UA-normalized'!$A:$A, 0))-INDEX('UA-normalized'!$E:$E, MATCH($A125, 'UA-normalized'!$A:$A, 0))&gt;0, -(30*INDEX('UA-normalized'!$D:$D, MATCH($A125, 'UA-normalized'!$A:$A, 0))-INDEX('UA-normalized'!$E:$E, MATCH($A125, 'UA-normalized'!$A:$A, 0))), 0), 0))+(IFERROR(IF(30*INDEX('KZ-normalized'!$D:$D, MATCH($A125, 'KZ-normalized'!$A:$A, 0))-INDEX('KZ-normalized'!$E:$E, MATCH($A125, 'KZ-normalized'!$A:$A, 0))&gt;0, -(30*INDEX('KZ-normalized'!$D:$D, MATCH($A125, 'KZ-normalized'!$A:$A, 0))-INDEX('KZ-normalized'!$E:$E, MATCH($A125, 'KZ-normalized'!$A:$A, 0))), 0), 0))+(IFERROR(IF(30*INDEX('UZ-normalized'!$D:$D, MATCH($A125, 'UZ-normalized'!$A:$A, 0))-INDEX('UZ-normalized'!$E:$E, MATCH($A125, 'UZ-normalized'!$A:$A, 0))&gt;0, -(30*INDEX('UZ-normalized'!$D:$D, MATCH($A125, 'UZ-normalized'!$A:$A, 0))-INDEX('UZ-normalized'!$E:$E, MATCH($A125, 'UZ-normalized'!$A:$A, 0))), 0), 0)))</f>
        <v>0</v>
      </c>
    </row>
    <row r="126" spans="1:44" x14ac:dyDescent="0.25">
      <c r="A126" s="8" t="s">
        <v>307</v>
      </c>
      <c r="B126" s="8" t="s">
        <v>294</v>
      </c>
      <c r="C126" s="8" t="s">
        <v>308</v>
      </c>
      <c r="D126" s="8" t="s">
        <v>309</v>
      </c>
      <c r="N126">
        <f t="shared" si="1"/>
        <v>0</v>
      </c>
      <c r="O126" s="6">
        <f>MIN(0, N126+(IFERROR(IF(1*INDEX('UA-normalized'!$D:$D, MATCH($A126, 'UA-normalized'!$A:$A, 0))-INDEX('UA-normalized'!$E:$E, MATCH($A126, 'UA-normalized'!$A:$A, 0))&gt;0, -(1*INDEX('UA-normalized'!$D:$D, MATCH($A126, 'UA-normalized'!$A:$A, 0))-INDEX('UA-normalized'!$E:$E, MATCH($A126, 'UA-normalized'!$A:$A, 0))), 0), 0))+(IFERROR(IF(1*INDEX('KZ-normalized'!$D:$D, MATCH($A126, 'KZ-normalized'!$A:$A, 0))-INDEX('KZ-normalized'!$E:$E, MATCH($A126, 'KZ-normalized'!$A:$A, 0))&gt;0, -(1*INDEX('KZ-normalized'!$D:$D, MATCH($A126, 'KZ-normalized'!$A:$A, 0))-INDEX('KZ-normalized'!$E:$E, MATCH($A126, 'KZ-normalized'!$A:$A, 0))), 0), 0))+(IFERROR(IF(1*INDEX('UZ-normalized'!$D:$D, MATCH($A126, 'UZ-normalized'!$A:$A, 0))-INDEX('UZ-normalized'!$E:$E, MATCH($A126, 'UZ-normalized'!$A:$A, 0))&gt;0, -(1*INDEX('UZ-normalized'!$D:$D, MATCH($A126, 'UZ-normalized'!$A:$A, 0))-INDEX('UZ-normalized'!$E:$E, MATCH($A126, 'UZ-normalized'!$A:$A, 0))), 0), 0)))</f>
        <v>0</v>
      </c>
      <c r="P126" s="6">
        <f>MIN(0, N126+(IFERROR(IF(2*INDEX('UA-normalized'!$D:$D, MATCH($A126, 'UA-normalized'!$A:$A, 0))-INDEX('UA-normalized'!$E:$E, MATCH($A126, 'UA-normalized'!$A:$A, 0))&gt;0, -(2*INDEX('UA-normalized'!$D:$D, MATCH($A126, 'UA-normalized'!$A:$A, 0))-INDEX('UA-normalized'!$E:$E, MATCH($A126, 'UA-normalized'!$A:$A, 0))), 0), 0))+(IFERROR(IF(2*INDEX('KZ-normalized'!$D:$D, MATCH($A126, 'KZ-normalized'!$A:$A, 0))-INDEX('KZ-normalized'!$E:$E, MATCH($A126, 'KZ-normalized'!$A:$A, 0))&gt;0, -(2*INDEX('KZ-normalized'!$D:$D, MATCH($A126, 'KZ-normalized'!$A:$A, 0))-INDEX('KZ-normalized'!$E:$E, MATCH($A126, 'KZ-normalized'!$A:$A, 0))), 0), 0))+(IFERROR(IF(2*INDEX('UZ-normalized'!$D:$D, MATCH($A126, 'UZ-normalized'!$A:$A, 0))-INDEX('UZ-normalized'!$E:$E, MATCH($A126, 'UZ-normalized'!$A:$A, 0))&gt;0, -(2*INDEX('UZ-normalized'!$D:$D, MATCH($A126, 'UZ-normalized'!$A:$A, 0))-INDEX('UZ-normalized'!$E:$E, MATCH($A126, 'UZ-normalized'!$A:$A, 0))), 0), 0)))</f>
        <v>0</v>
      </c>
      <c r="Q126" s="6">
        <f>MIN(0, N126+(IFERROR(IF(3*INDEX('UA-normalized'!$D:$D, MATCH($A126, 'UA-normalized'!$A:$A, 0))-INDEX('UA-normalized'!$E:$E, MATCH($A126, 'UA-normalized'!$A:$A, 0))&gt;0, -(3*INDEX('UA-normalized'!$D:$D, MATCH($A126, 'UA-normalized'!$A:$A, 0))-INDEX('UA-normalized'!$E:$E, MATCH($A126, 'UA-normalized'!$A:$A, 0))), 0), 0))+(IFERROR(IF(3*INDEX('KZ-normalized'!$D:$D, MATCH($A126, 'KZ-normalized'!$A:$A, 0))-INDEX('KZ-normalized'!$E:$E, MATCH($A126, 'KZ-normalized'!$A:$A, 0))&gt;0, -(3*INDEX('KZ-normalized'!$D:$D, MATCH($A126, 'KZ-normalized'!$A:$A, 0))-INDEX('KZ-normalized'!$E:$E, MATCH($A126, 'KZ-normalized'!$A:$A, 0))), 0), 0))+(IFERROR(IF(3*INDEX('UZ-normalized'!$D:$D, MATCH($A126, 'UZ-normalized'!$A:$A, 0))-INDEX('UZ-normalized'!$E:$E, MATCH($A126, 'UZ-normalized'!$A:$A, 0))&gt;0, -(3*INDEX('UZ-normalized'!$D:$D, MATCH($A126, 'UZ-normalized'!$A:$A, 0))-INDEX('UZ-normalized'!$E:$E, MATCH($A126, 'UZ-normalized'!$A:$A, 0))), 0), 0)))</f>
        <v>0</v>
      </c>
      <c r="R126" s="6">
        <f>MIN(0, N126+(IFERROR(IF(4*INDEX('UA-normalized'!$D:$D, MATCH($A126, 'UA-normalized'!$A:$A, 0))-INDEX('UA-normalized'!$E:$E, MATCH($A126, 'UA-normalized'!$A:$A, 0))&gt;0, -(4*INDEX('UA-normalized'!$D:$D, MATCH($A126, 'UA-normalized'!$A:$A, 0))-INDEX('UA-normalized'!$E:$E, MATCH($A126, 'UA-normalized'!$A:$A, 0))), 0), 0))+(IFERROR(IF(4*INDEX('KZ-normalized'!$D:$D, MATCH($A126, 'KZ-normalized'!$A:$A, 0))-INDEX('KZ-normalized'!$E:$E, MATCH($A126, 'KZ-normalized'!$A:$A, 0))&gt;0, -(4*INDEX('KZ-normalized'!$D:$D, MATCH($A126, 'KZ-normalized'!$A:$A, 0))-INDEX('KZ-normalized'!$E:$E, MATCH($A126, 'KZ-normalized'!$A:$A, 0))), 0), 0))+(IFERROR(IF(4*INDEX('UZ-normalized'!$D:$D, MATCH($A126, 'UZ-normalized'!$A:$A, 0))-INDEX('UZ-normalized'!$E:$E, MATCH($A126, 'UZ-normalized'!$A:$A, 0))&gt;0, -(4*INDEX('UZ-normalized'!$D:$D, MATCH($A126, 'UZ-normalized'!$A:$A, 0))-INDEX('UZ-normalized'!$E:$E, MATCH($A126, 'UZ-normalized'!$A:$A, 0))), 0), 0)))</f>
        <v>0</v>
      </c>
      <c r="S126" s="6">
        <f>MIN(0, N126+(IFERROR(IF(5*INDEX('UA-normalized'!$D:$D, MATCH($A126, 'UA-normalized'!$A:$A, 0))-INDEX('UA-normalized'!$E:$E, MATCH($A126, 'UA-normalized'!$A:$A, 0))&gt;0, -(5*INDEX('UA-normalized'!$D:$D, MATCH($A126, 'UA-normalized'!$A:$A, 0))-INDEX('UA-normalized'!$E:$E, MATCH($A126, 'UA-normalized'!$A:$A, 0))), 0), 0))+(IFERROR(IF(5*INDEX('KZ-normalized'!$D:$D, MATCH($A126, 'KZ-normalized'!$A:$A, 0))-INDEX('KZ-normalized'!$E:$E, MATCH($A126, 'KZ-normalized'!$A:$A, 0))&gt;0, -(5*INDEX('KZ-normalized'!$D:$D, MATCH($A126, 'KZ-normalized'!$A:$A, 0))-INDEX('KZ-normalized'!$E:$E, MATCH($A126, 'KZ-normalized'!$A:$A, 0))), 0), 0))+(IFERROR(IF(5*INDEX('UZ-normalized'!$D:$D, MATCH($A126, 'UZ-normalized'!$A:$A, 0))-INDEX('UZ-normalized'!$E:$E, MATCH($A126, 'UZ-normalized'!$A:$A, 0))&gt;0, -(5*INDEX('UZ-normalized'!$D:$D, MATCH($A126, 'UZ-normalized'!$A:$A, 0))-INDEX('UZ-normalized'!$E:$E, MATCH($A126, 'UZ-normalized'!$A:$A, 0))), 0), 0)))</f>
        <v>0</v>
      </c>
      <c r="T126" s="6">
        <f>MIN(0, N126+(IFERROR(IF(6*INDEX('UA-normalized'!$D:$D, MATCH($A126, 'UA-normalized'!$A:$A, 0))-INDEX('UA-normalized'!$E:$E, MATCH($A126, 'UA-normalized'!$A:$A, 0))&gt;0, -(6*INDEX('UA-normalized'!$D:$D, MATCH($A126, 'UA-normalized'!$A:$A, 0))-INDEX('UA-normalized'!$E:$E, MATCH($A126, 'UA-normalized'!$A:$A, 0))), 0), 0))+(IFERROR(IF(6*INDEX('KZ-normalized'!$D:$D, MATCH($A126, 'KZ-normalized'!$A:$A, 0))-INDEX('KZ-normalized'!$E:$E, MATCH($A126, 'KZ-normalized'!$A:$A, 0))&gt;0, -(6*INDEX('KZ-normalized'!$D:$D, MATCH($A126, 'KZ-normalized'!$A:$A, 0))-INDEX('KZ-normalized'!$E:$E, MATCH($A126, 'KZ-normalized'!$A:$A, 0))), 0), 0))+(IFERROR(IF(6*INDEX('UZ-normalized'!$D:$D, MATCH($A126, 'UZ-normalized'!$A:$A, 0))-INDEX('UZ-normalized'!$E:$E, MATCH($A126, 'UZ-normalized'!$A:$A, 0))&gt;0, -(6*INDEX('UZ-normalized'!$D:$D, MATCH($A126, 'UZ-normalized'!$A:$A, 0))-INDEX('UZ-normalized'!$E:$E, MATCH($A126, 'UZ-normalized'!$A:$A, 0))), 0), 0)))</f>
        <v>-46</v>
      </c>
      <c r="U126" s="6">
        <f>MIN(0, N126+(IFERROR(IF(7*INDEX('UA-normalized'!$D:$D, MATCH($A126, 'UA-normalized'!$A:$A, 0))-INDEX('UA-normalized'!$E:$E, MATCH($A126, 'UA-normalized'!$A:$A, 0))&gt;0, -(7*INDEX('UA-normalized'!$D:$D, MATCH($A126, 'UA-normalized'!$A:$A, 0))-INDEX('UA-normalized'!$E:$E, MATCH($A126, 'UA-normalized'!$A:$A, 0))), 0), 0))+(IFERROR(IF(7*INDEX('KZ-normalized'!$D:$D, MATCH($A126, 'KZ-normalized'!$A:$A, 0))-INDEX('KZ-normalized'!$E:$E, MATCH($A126, 'KZ-normalized'!$A:$A, 0))&gt;0, -(7*INDEX('KZ-normalized'!$D:$D, MATCH($A126, 'KZ-normalized'!$A:$A, 0))-INDEX('KZ-normalized'!$E:$E, MATCH($A126, 'KZ-normalized'!$A:$A, 0))), 0), 0))+(IFERROR(IF(7*INDEX('UZ-normalized'!$D:$D, MATCH($A126, 'UZ-normalized'!$A:$A, 0))-INDEX('UZ-normalized'!$E:$E, MATCH($A126, 'UZ-normalized'!$A:$A, 0))&gt;0, -(7*INDEX('UZ-normalized'!$D:$D, MATCH($A126, 'UZ-normalized'!$A:$A, 0))-INDEX('UZ-normalized'!$E:$E, MATCH($A126, 'UZ-normalized'!$A:$A, 0))), 0), 0)))</f>
        <v>-104.5</v>
      </c>
      <c r="V126" s="6">
        <f>MIN(0, N126+(IFERROR(IF(8*INDEX('UA-normalized'!$D:$D, MATCH($A126, 'UA-normalized'!$A:$A, 0))-INDEX('UA-normalized'!$E:$E, MATCH($A126, 'UA-normalized'!$A:$A, 0))&gt;0, -(8*INDEX('UA-normalized'!$D:$D, MATCH($A126, 'UA-normalized'!$A:$A, 0))-INDEX('UA-normalized'!$E:$E, MATCH($A126, 'UA-normalized'!$A:$A, 0))), 0), 0))+(IFERROR(IF(8*INDEX('KZ-normalized'!$D:$D, MATCH($A126, 'KZ-normalized'!$A:$A, 0))-INDEX('KZ-normalized'!$E:$E, MATCH($A126, 'KZ-normalized'!$A:$A, 0))&gt;0, -(8*INDEX('KZ-normalized'!$D:$D, MATCH($A126, 'KZ-normalized'!$A:$A, 0))-INDEX('KZ-normalized'!$E:$E, MATCH($A126, 'KZ-normalized'!$A:$A, 0))), 0), 0))+(IFERROR(IF(8*INDEX('UZ-normalized'!$D:$D, MATCH($A126, 'UZ-normalized'!$A:$A, 0))-INDEX('UZ-normalized'!$E:$E, MATCH($A126, 'UZ-normalized'!$A:$A, 0))&gt;0, -(8*INDEX('UZ-normalized'!$D:$D, MATCH($A126, 'UZ-normalized'!$A:$A, 0))-INDEX('UZ-normalized'!$E:$E, MATCH($A126, 'UZ-normalized'!$A:$A, 0))), 0), 0)))</f>
        <v>-163</v>
      </c>
      <c r="W126" s="6">
        <f>MIN(0, N126+(IFERROR(IF(9*INDEX('UA-normalized'!$D:$D, MATCH($A126, 'UA-normalized'!$A:$A, 0))-INDEX('UA-normalized'!$E:$E, MATCH($A126, 'UA-normalized'!$A:$A, 0))&gt;0, -(9*INDEX('UA-normalized'!$D:$D, MATCH($A126, 'UA-normalized'!$A:$A, 0))-INDEX('UA-normalized'!$E:$E, MATCH($A126, 'UA-normalized'!$A:$A, 0))), 0), 0))+(IFERROR(IF(9*INDEX('KZ-normalized'!$D:$D, MATCH($A126, 'KZ-normalized'!$A:$A, 0))-INDEX('KZ-normalized'!$E:$E, MATCH($A126, 'KZ-normalized'!$A:$A, 0))&gt;0, -(9*INDEX('KZ-normalized'!$D:$D, MATCH($A126, 'KZ-normalized'!$A:$A, 0))-INDEX('KZ-normalized'!$E:$E, MATCH($A126, 'KZ-normalized'!$A:$A, 0))), 0), 0))+(IFERROR(IF(9*INDEX('UZ-normalized'!$D:$D, MATCH($A126, 'UZ-normalized'!$A:$A, 0))-INDEX('UZ-normalized'!$E:$E, MATCH($A126, 'UZ-normalized'!$A:$A, 0))&gt;0, -(9*INDEX('UZ-normalized'!$D:$D, MATCH($A126, 'UZ-normalized'!$A:$A, 0))-INDEX('UZ-normalized'!$E:$E, MATCH($A126, 'UZ-normalized'!$A:$A, 0))), 0), 0)))</f>
        <v>-221.5</v>
      </c>
      <c r="X126" s="6">
        <f>MIN(0, N126+(IFERROR(IF(10*INDEX('UA-normalized'!$D:$D, MATCH($A126, 'UA-normalized'!$A:$A, 0))-INDEX('UA-normalized'!$E:$E, MATCH($A126, 'UA-normalized'!$A:$A, 0))&gt;0, -(10*INDEX('UA-normalized'!$D:$D, MATCH($A126, 'UA-normalized'!$A:$A, 0))-INDEX('UA-normalized'!$E:$E, MATCH($A126, 'UA-normalized'!$A:$A, 0))), 0), 0))+(IFERROR(IF(10*INDEX('KZ-normalized'!$D:$D, MATCH($A126, 'KZ-normalized'!$A:$A, 0))-INDEX('KZ-normalized'!$E:$E, MATCH($A126, 'KZ-normalized'!$A:$A, 0))&gt;0, -(10*INDEX('KZ-normalized'!$D:$D, MATCH($A126, 'KZ-normalized'!$A:$A, 0))-INDEX('KZ-normalized'!$E:$E, MATCH($A126, 'KZ-normalized'!$A:$A, 0))), 0), 0))+(IFERROR(IF(10*INDEX('UZ-normalized'!$D:$D, MATCH($A126, 'UZ-normalized'!$A:$A, 0))-INDEX('UZ-normalized'!$E:$E, MATCH($A126, 'UZ-normalized'!$A:$A, 0))&gt;0, -(10*INDEX('UZ-normalized'!$D:$D, MATCH($A126, 'UZ-normalized'!$A:$A, 0))-INDEX('UZ-normalized'!$E:$E, MATCH($A126, 'UZ-normalized'!$A:$A, 0))), 0), 0)))</f>
        <v>-280</v>
      </c>
      <c r="Y126" s="6">
        <f>MIN(0, N126+(IFERROR(IF(11*INDEX('UA-normalized'!$D:$D, MATCH($A126, 'UA-normalized'!$A:$A, 0))-INDEX('UA-normalized'!$E:$E, MATCH($A126, 'UA-normalized'!$A:$A, 0))&gt;0, -(11*INDEX('UA-normalized'!$D:$D, MATCH($A126, 'UA-normalized'!$A:$A, 0))-INDEX('UA-normalized'!$E:$E, MATCH($A126, 'UA-normalized'!$A:$A, 0))), 0), 0))+(IFERROR(IF(11*INDEX('KZ-normalized'!$D:$D, MATCH($A126, 'KZ-normalized'!$A:$A, 0))-INDEX('KZ-normalized'!$E:$E, MATCH($A126, 'KZ-normalized'!$A:$A, 0))&gt;0, -(11*INDEX('KZ-normalized'!$D:$D, MATCH($A126, 'KZ-normalized'!$A:$A, 0))-INDEX('KZ-normalized'!$E:$E, MATCH($A126, 'KZ-normalized'!$A:$A, 0))), 0), 0))+(IFERROR(IF(11*INDEX('UZ-normalized'!$D:$D, MATCH($A126, 'UZ-normalized'!$A:$A, 0))-INDEX('UZ-normalized'!$E:$E, MATCH($A126, 'UZ-normalized'!$A:$A, 0))&gt;0, -(11*INDEX('UZ-normalized'!$D:$D, MATCH($A126, 'UZ-normalized'!$A:$A, 0))-INDEX('UZ-normalized'!$E:$E, MATCH($A126, 'UZ-normalized'!$A:$A, 0))), 0), 0)))</f>
        <v>-338.5</v>
      </c>
      <c r="Z126" s="6">
        <f>MIN(0, N126+(IFERROR(IF(12*INDEX('UA-normalized'!$D:$D, MATCH($A126, 'UA-normalized'!$A:$A, 0))-INDEX('UA-normalized'!$E:$E, MATCH($A126, 'UA-normalized'!$A:$A, 0))&gt;0, -(12*INDEX('UA-normalized'!$D:$D, MATCH($A126, 'UA-normalized'!$A:$A, 0))-INDEX('UA-normalized'!$E:$E, MATCH($A126, 'UA-normalized'!$A:$A, 0))), 0), 0))+(IFERROR(IF(12*INDEX('KZ-normalized'!$D:$D, MATCH($A126, 'KZ-normalized'!$A:$A, 0))-INDEX('KZ-normalized'!$E:$E, MATCH($A126, 'KZ-normalized'!$A:$A, 0))&gt;0, -(12*INDEX('KZ-normalized'!$D:$D, MATCH($A126, 'KZ-normalized'!$A:$A, 0))-INDEX('KZ-normalized'!$E:$E, MATCH($A126, 'KZ-normalized'!$A:$A, 0))), 0), 0))+(IFERROR(IF(12*INDEX('UZ-normalized'!$D:$D, MATCH($A126, 'UZ-normalized'!$A:$A, 0))-INDEX('UZ-normalized'!$E:$E, MATCH($A126, 'UZ-normalized'!$A:$A, 0))&gt;0, -(12*INDEX('UZ-normalized'!$D:$D, MATCH($A126, 'UZ-normalized'!$A:$A, 0))-INDEX('UZ-normalized'!$E:$E, MATCH($A126, 'UZ-normalized'!$A:$A, 0))), 0), 0)))</f>
        <v>-397</v>
      </c>
      <c r="AA126" s="6">
        <f>MIN(0, N126+(IFERROR(IF(13*INDEX('UA-normalized'!$D:$D, MATCH($A126, 'UA-normalized'!$A:$A, 0))-INDEX('UA-normalized'!$E:$E, MATCH($A126, 'UA-normalized'!$A:$A, 0))&gt;0, -(13*INDEX('UA-normalized'!$D:$D, MATCH($A126, 'UA-normalized'!$A:$A, 0))-INDEX('UA-normalized'!$E:$E, MATCH($A126, 'UA-normalized'!$A:$A, 0))), 0), 0))+(IFERROR(IF(13*INDEX('KZ-normalized'!$D:$D, MATCH($A126, 'KZ-normalized'!$A:$A, 0))-INDEX('KZ-normalized'!$E:$E, MATCH($A126, 'KZ-normalized'!$A:$A, 0))&gt;0, -(13*INDEX('KZ-normalized'!$D:$D, MATCH($A126, 'KZ-normalized'!$A:$A, 0))-INDEX('KZ-normalized'!$E:$E, MATCH($A126, 'KZ-normalized'!$A:$A, 0))), 0), 0))+(IFERROR(IF(13*INDEX('UZ-normalized'!$D:$D, MATCH($A126, 'UZ-normalized'!$A:$A, 0))-INDEX('UZ-normalized'!$E:$E, MATCH($A126, 'UZ-normalized'!$A:$A, 0))&gt;0, -(13*INDEX('UZ-normalized'!$D:$D, MATCH($A126, 'UZ-normalized'!$A:$A, 0))-INDEX('UZ-normalized'!$E:$E, MATCH($A126, 'UZ-normalized'!$A:$A, 0))), 0), 0)))</f>
        <v>-458.3</v>
      </c>
      <c r="AB126" s="6">
        <f>MIN(0, N126+(IFERROR(IF(14*INDEX('UA-normalized'!$D:$D, MATCH($A126, 'UA-normalized'!$A:$A, 0))-INDEX('UA-normalized'!$E:$E, MATCH($A126, 'UA-normalized'!$A:$A, 0))&gt;0, -(14*INDEX('UA-normalized'!$D:$D, MATCH($A126, 'UA-normalized'!$A:$A, 0))-INDEX('UA-normalized'!$E:$E, MATCH($A126, 'UA-normalized'!$A:$A, 0))), 0), 0))+(IFERROR(IF(14*INDEX('KZ-normalized'!$D:$D, MATCH($A126, 'KZ-normalized'!$A:$A, 0))-INDEX('KZ-normalized'!$E:$E, MATCH($A126, 'KZ-normalized'!$A:$A, 0))&gt;0, -(14*INDEX('KZ-normalized'!$D:$D, MATCH($A126, 'KZ-normalized'!$A:$A, 0))-INDEX('KZ-normalized'!$E:$E, MATCH($A126, 'KZ-normalized'!$A:$A, 0))), 0), 0))+(IFERROR(IF(14*INDEX('UZ-normalized'!$D:$D, MATCH($A126, 'UZ-normalized'!$A:$A, 0))-INDEX('UZ-normalized'!$E:$E, MATCH($A126, 'UZ-normalized'!$A:$A, 0))&gt;0, -(14*INDEX('UZ-normalized'!$D:$D, MATCH($A126, 'UZ-normalized'!$A:$A, 0))-INDEX('UZ-normalized'!$E:$E, MATCH($A126, 'UZ-normalized'!$A:$A, 0))), 0), 0)))</f>
        <v>-521.4</v>
      </c>
      <c r="AC126" s="6">
        <f>MIN(0, N126+(IFERROR(IF(15*INDEX('UA-normalized'!$D:$D, MATCH($A126, 'UA-normalized'!$A:$A, 0))-INDEX('UA-normalized'!$E:$E, MATCH($A126, 'UA-normalized'!$A:$A, 0))&gt;0, -(15*INDEX('UA-normalized'!$D:$D, MATCH($A126, 'UA-normalized'!$A:$A, 0))-INDEX('UA-normalized'!$E:$E, MATCH($A126, 'UA-normalized'!$A:$A, 0))), 0), 0))+(IFERROR(IF(15*INDEX('KZ-normalized'!$D:$D, MATCH($A126, 'KZ-normalized'!$A:$A, 0))-INDEX('KZ-normalized'!$E:$E, MATCH($A126, 'KZ-normalized'!$A:$A, 0))&gt;0, -(15*INDEX('KZ-normalized'!$D:$D, MATCH($A126, 'KZ-normalized'!$A:$A, 0))-INDEX('KZ-normalized'!$E:$E, MATCH($A126, 'KZ-normalized'!$A:$A, 0))), 0), 0))+(IFERROR(IF(15*INDEX('UZ-normalized'!$D:$D, MATCH($A126, 'UZ-normalized'!$A:$A, 0))-INDEX('UZ-normalized'!$E:$E, MATCH($A126, 'UZ-normalized'!$A:$A, 0))&gt;0, -(15*INDEX('UZ-normalized'!$D:$D, MATCH($A126, 'UZ-normalized'!$A:$A, 0))-INDEX('UZ-normalized'!$E:$E, MATCH($A126, 'UZ-normalized'!$A:$A, 0))), 0), 0)))</f>
        <v>-584.5</v>
      </c>
      <c r="AD126" s="6">
        <f>MIN(0, N126+(IFERROR(IF(16*INDEX('UA-normalized'!$D:$D, MATCH($A126, 'UA-normalized'!$A:$A, 0))-INDEX('UA-normalized'!$E:$E, MATCH($A126, 'UA-normalized'!$A:$A, 0))&gt;0, -(16*INDEX('UA-normalized'!$D:$D, MATCH($A126, 'UA-normalized'!$A:$A, 0))-INDEX('UA-normalized'!$E:$E, MATCH($A126, 'UA-normalized'!$A:$A, 0))), 0), 0))+(IFERROR(IF(16*INDEX('KZ-normalized'!$D:$D, MATCH($A126, 'KZ-normalized'!$A:$A, 0))-INDEX('KZ-normalized'!$E:$E, MATCH($A126, 'KZ-normalized'!$A:$A, 0))&gt;0, -(16*INDEX('KZ-normalized'!$D:$D, MATCH($A126, 'KZ-normalized'!$A:$A, 0))-INDEX('KZ-normalized'!$E:$E, MATCH($A126, 'KZ-normalized'!$A:$A, 0))), 0), 0))+(IFERROR(IF(16*INDEX('UZ-normalized'!$D:$D, MATCH($A126, 'UZ-normalized'!$A:$A, 0))-INDEX('UZ-normalized'!$E:$E, MATCH($A126, 'UZ-normalized'!$A:$A, 0))&gt;0, -(16*INDEX('UZ-normalized'!$D:$D, MATCH($A126, 'UZ-normalized'!$A:$A, 0))-INDEX('UZ-normalized'!$E:$E, MATCH($A126, 'UZ-normalized'!$A:$A, 0))), 0), 0)))</f>
        <v>-647.6</v>
      </c>
      <c r="AE126" s="6">
        <f>MIN(0, N126+(IFERROR(IF(17*INDEX('UA-normalized'!$D:$D, MATCH($A126, 'UA-normalized'!$A:$A, 0))-INDEX('UA-normalized'!$E:$E, MATCH($A126, 'UA-normalized'!$A:$A, 0))&gt;0, -(17*INDEX('UA-normalized'!$D:$D, MATCH($A126, 'UA-normalized'!$A:$A, 0))-INDEX('UA-normalized'!$E:$E, MATCH($A126, 'UA-normalized'!$A:$A, 0))), 0), 0))+(IFERROR(IF(17*INDEX('KZ-normalized'!$D:$D, MATCH($A126, 'KZ-normalized'!$A:$A, 0))-INDEX('KZ-normalized'!$E:$E, MATCH($A126, 'KZ-normalized'!$A:$A, 0))&gt;0, -(17*INDEX('KZ-normalized'!$D:$D, MATCH($A126, 'KZ-normalized'!$A:$A, 0))-INDEX('KZ-normalized'!$E:$E, MATCH($A126, 'KZ-normalized'!$A:$A, 0))), 0), 0))+(IFERROR(IF(17*INDEX('UZ-normalized'!$D:$D, MATCH($A126, 'UZ-normalized'!$A:$A, 0))-INDEX('UZ-normalized'!$E:$E, MATCH($A126, 'UZ-normalized'!$A:$A, 0))&gt;0, -(17*INDEX('UZ-normalized'!$D:$D, MATCH($A126, 'UZ-normalized'!$A:$A, 0))-INDEX('UZ-normalized'!$E:$E, MATCH($A126, 'UZ-normalized'!$A:$A, 0))), 0), 0)))</f>
        <v>-710.7</v>
      </c>
      <c r="AF126" s="6">
        <f>MIN(0, N126+(IFERROR(IF(18*INDEX('UA-normalized'!$D:$D, MATCH($A126, 'UA-normalized'!$A:$A, 0))-INDEX('UA-normalized'!$E:$E, MATCH($A126, 'UA-normalized'!$A:$A, 0))&gt;0, -(18*INDEX('UA-normalized'!$D:$D, MATCH($A126, 'UA-normalized'!$A:$A, 0))-INDEX('UA-normalized'!$E:$E, MATCH($A126, 'UA-normalized'!$A:$A, 0))), 0), 0))+(IFERROR(IF(18*INDEX('KZ-normalized'!$D:$D, MATCH($A126, 'KZ-normalized'!$A:$A, 0))-INDEX('KZ-normalized'!$E:$E, MATCH($A126, 'KZ-normalized'!$A:$A, 0))&gt;0, -(18*INDEX('KZ-normalized'!$D:$D, MATCH($A126, 'KZ-normalized'!$A:$A, 0))-INDEX('KZ-normalized'!$E:$E, MATCH($A126, 'KZ-normalized'!$A:$A, 0))), 0), 0))+(IFERROR(IF(18*INDEX('UZ-normalized'!$D:$D, MATCH($A126, 'UZ-normalized'!$A:$A, 0))-INDEX('UZ-normalized'!$E:$E, MATCH($A126, 'UZ-normalized'!$A:$A, 0))&gt;0, -(18*INDEX('UZ-normalized'!$D:$D, MATCH($A126, 'UZ-normalized'!$A:$A, 0))-INDEX('UZ-normalized'!$E:$E, MATCH($A126, 'UZ-normalized'!$A:$A, 0))), 0), 0)))</f>
        <v>-773.8</v>
      </c>
      <c r="AG126" s="6">
        <f>MIN(0, N126+(IFERROR(IF(19*INDEX('UA-normalized'!$D:$D, MATCH($A126, 'UA-normalized'!$A:$A, 0))-INDEX('UA-normalized'!$E:$E, MATCH($A126, 'UA-normalized'!$A:$A, 0))&gt;0, -(19*INDEX('UA-normalized'!$D:$D, MATCH($A126, 'UA-normalized'!$A:$A, 0))-INDEX('UA-normalized'!$E:$E, MATCH($A126, 'UA-normalized'!$A:$A, 0))), 0), 0))+(IFERROR(IF(19*INDEX('KZ-normalized'!$D:$D, MATCH($A126, 'KZ-normalized'!$A:$A, 0))-INDEX('KZ-normalized'!$E:$E, MATCH($A126, 'KZ-normalized'!$A:$A, 0))&gt;0, -(19*INDEX('KZ-normalized'!$D:$D, MATCH($A126, 'KZ-normalized'!$A:$A, 0))-INDEX('KZ-normalized'!$E:$E, MATCH($A126, 'KZ-normalized'!$A:$A, 0))), 0), 0))+(IFERROR(IF(19*INDEX('UZ-normalized'!$D:$D, MATCH($A126, 'UZ-normalized'!$A:$A, 0))-INDEX('UZ-normalized'!$E:$E, MATCH($A126, 'UZ-normalized'!$A:$A, 0))&gt;0, -(19*INDEX('UZ-normalized'!$D:$D, MATCH($A126, 'UZ-normalized'!$A:$A, 0))-INDEX('UZ-normalized'!$E:$E, MATCH($A126, 'UZ-normalized'!$A:$A, 0))), 0), 0)))</f>
        <v>-836.9</v>
      </c>
      <c r="AH126" s="6">
        <f>MIN(0, N126+(IFERROR(IF(20*INDEX('UA-normalized'!$D:$D, MATCH($A126, 'UA-normalized'!$A:$A, 0))-INDEX('UA-normalized'!$E:$E, MATCH($A126, 'UA-normalized'!$A:$A, 0))&gt;0, -(20*INDEX('UA-normalized'!$D:$D, MATCH($A126, 'UA-normalized'!$A:$A, 0))-INDEX('UA-normalized'!$E:$E, MATCH($A126, 'UA-normalized'!$A:$A, 0))), 0), 0))+(IFERROR(IF(20*INDEX('KZ-normalized'!$D:$D, MATCH($A126, 'KZ-normalized'!$A:$A, 0))-INDEX('KZ-normalized'!$E:$E, MATCH($A126, 'KZ-normalized'!$A:$A, 0))&gt;0, -(20*INDEX('KZ-normalized'!$D:$D, MATCH($A126, 'KZ-normalized'!$A:$A, 0))-INDEX('KZ-normalized'!$E:$E, MATCH($A126, 'KZ-normalized'!$A:$A, 0))), 0), 0))+(IFERROR(IF(20*INDEX('UZ-normalized'!$D:$D, MATCH($A126, 'UZ-normalized'!$A:$A, 0))-INDEX('UZ-normalized'!$E:$E, MATCH($A126, 'UZ-normalized'!$A:$A, 0))&gt;0, -(20*INDEX('UZ-normalized'!$D:$D, MATCH($A126, 'UZ-normalized'!$A:$A, 0))-INDEX('UZ-normalized'!$E:$E, MATCH($A126, 'UZ-normalized'!$A:$A, 0))), 0), 0)))</f>
        <v>-900</v>
      </c>
      <c r="AI126" s="6">
        <f>MIN(0, N126+(IFERROR(IF(21*INDEX('UA-normalized'!$D:$D, MATCH($A126, 'UA-normalized'!$A:$A, 0))-INDEX('UA-normalized'!$E:$E, MATCH($A126, 'UA-normalized'!$A:$A, 0))&gt;0, -(21*INDEX('UA-normalized'!$D:$D, MATCH($A126, 'UA-normalized'!$A:$A, 0))-INDEX('UA-normalized'!$E:$E, MATCH($A126, 'UA-normalized'!$A:$A, 0))), 0), 0))+(IFERROR(IF(21*INDEX('KZ-normalized'!$D:$D, MATCH($A126, 'KZ-normalized'!$A:$A, 0))-INDEX('KZ-normalized'!$E:$E, MATCH($A126, 'KZ-normalized'!$A:$A, 0))&gt;0, -(21*INDEX('KZ-normalized'!$D:$D, MATCH($A126, 'KZ-normalized'!$A:$A, 0))-INDEX('KZ-normalized'!$E:$E, MATCH($A126, 'KZ-normalized'!$A:$A, 0))), 0), 0))+(IFERROR(IF(21*INDEX('UZ-normalized'!$D:$D, MATCH($A126, 'UZ-normalized'!$A:$A, 0))-INDEX('UZ-normalized'!$E:$E, MATCH($A126, 'UZ-normalized'!$A:$A, 0))&gt;0, -(21*INDEX('UZ-normalized'!$D:$D, MATCH($A126, 'UZ-normalized'!$A:$A, 0))-INDEX('UZ-normalized'!$E:$E, MATCH($A126, 'UZ-normalized'!$A:$A, 0))), 0), 0)))</f>
        <v>-963.1</v>
      </c>
      <c r="AJ126" s="6">
        <f>MIN(0, N126+(IFERROR(IF(22*INDEX('UA-normalized'!$D:$D, MATCH($A126, 'UA-normalized'!$A:$A, 0))-INDEX('UA-normalized'!$E:$E, MATCH($A126, 'UA-normalized'!$A:$A, 0))&gt;0, -(22*INDEX('UA-normalized'!$D:$D, MATCH($A126, 'UA-normalized'!$A:$A, 0))-INDEX('UA-normalized'!$E:$E, MATCH($A126, 'UA-normalized'!$A:$A, 0))), 0), 0))+(IFERROR(IF(22*INDEX('KZ-normalized'!$D:$D, MATCH($A126, 'KZ-normalized'!$A:$A, 0))-INDEX('KZ-normalized'!$E:$E, MATCH($A126, 'KZ-normalized'!$A:$A, 0))&gt;0, -(22*INDEX('KZ-normalized'!$D:$D, MATCH($A126, 'KZ-normalized'!$A:$A, 0))-INDEX('KZ-normalized'!$E:$E, MATCH($A126, 'KZ-normalized'!$A:$A, 0))), 0), 0))+(IFERROR(IF(22*INDEX('UZ-normalized'!$D:$D, MATCH($A126, 'UZ-normalized'!$A:$A, 0))-INDEX('UZ-normalized'!$E:$E, MATCH($A126, 'UZ-normalized'!$A:$A, 0))&gt;0, -(22*INDEX('UZ-normalized'!$D:$D, MATCH($A126, 'UZ-normalized'!$A:$A, 0))-INDEX('UZ-normalized'!$E:$E, MATCH($A126, 'UZ-normalized'!$A:$A, 0))), 0), 0)))</f>
        <v>-1026.2</v>
      </c>
      <c r="AK126" s="6">
        <f>MIN(0, N126+(IFERROR(IF(23*INDEX('UA-normalized'!$D:$D, MATCH($A126, 'UA-normalized'!$A:$A, 0))-INDEX('UA-normalized'!$E:$E, MATCH($A126, 'UA-normalized'!$A:$A, 0))&gt;0, -(23*INDEX('UA-normalized'!$D:$D, MATCH($A126, 'UA-normalized'!$A:$A, 0))-INDEX('UA-normalized'!$E:$E, MATCH($A126, 'UA-normalized'!$A:$A, 0))), 0), 0))+(IFERROR(IF(23*INDEX('KZ-normalized'!$D:$D, MATCH($A126, 'KZ-normalized'!$A:$A, 0))-INDEX('KZ-normalized'!$E:$E, MATCH($A126, 'KZ-normalized'!$A:$A, 0))&gt;0, -(23*INDEX('KZ-normalized'!$D:$D, MATCH($A126, 'KZ-normalized'!$A:$A, 0))-INDEX('KZ-normalized'!$E:$E, MATCH($A126, 'KZ-normalized'!$A:$A, 0))), 0), 0))+(IFERROR(IF(23*INDEX('UZ-normalized'!$D:$D, MATCH($A126, 'UZ-normalized'!$A:$A, 0))-INDEX('UZ-normalized'!$E:$E, MATCH($A126, 'UZ-normalized'!$A:$A, 0))&gt;0, -(23*INDEX('UZ-normalized'!$D:$D, MATCH($A126, 'UZ-normalized'!$A:$A, 0))-INDEX('UZ-normalized'!$E:$E, MATCH($A126, 'UZ-normalized'!$A:$A, 0))), 0), 0)))</f>
        <v>-1089.3</v>
      </c>
      <c r="AL126" s="6">
        <f>MIN(0, N126+(IFERROR(IF(24*INDEX('UA-normalized'!$D:$D, MATCH($A126, 'UA-normalized'!$A:$A, 0))-INDEX('UA-normalized'!$E:$E, MATCH($A126, 'UA-normalized'!$A:$A, 0))&gt;0, -(24*INDEX('UA-normalized'!$D:$D, MATCH($A126, 'UA-normalized'!$A:$A, 0))-INDEX('UA-normalized'!$E:$E, MATCH($A126, 'UA-normalized'!$A:$A, 0))), 0), 0))+(IFERROR(IF(24*INDEX('KZ-normalized'!$D:$D, MATCH($A126, 'KZ-normalized'!$A:$A, 0))-INDEX('KZ-normalized'!$E:$E, MATCH($A126, 'KZ-normalized'!$A:$A, 0))&gt;0, -(24*INDEX('KZ-normalized'!$D:$D, MATCH($A126, 'KZ-normalized'!$A:$A, 0))-INDEX('KZ-normalized'!$E:$E, MATCH($A126, 'KZ-normalized'!$A:$A, 0))), 0), 0))+(IFERROR(IF(24*INDEX('UZ-normalized'!$D:$D, MATCH($A126, 'UZ-normalized'!$A:$A, 0))-INDEX('UZ-normalized'!$E:$E, MATCH($A126, 'UZ-normalized'!$A:$A, 0))&gt;0, -(24*INDEX('UZ-normalized'!$D:$D, MATCH($A126, 'UZ-normalized'!$A:$A, 0))-INDEX('UZ-normalized'!$E:$E, MATCH($A126, 'UZ-normalized'!$A:$A, 0))), 0), 0)))</f>
        <v>-1152.4000000000001</v>
      </c>
      <c r="AM126" s="6">
        <f>MIN(0, N126+(IFERROR(IF(25*INDEX('UA-normalized'!$D:$D, MATCH($A126, 'UA-normalized'!$A:$A, 0))-INDEX('UA-normalized'!$E:$E, MATCH($A126, 'UA-normalized'!$A:$A, 0))&gt;0, -(25*INDEX('UA-normalized'!$D:$D, MATCH($A126, 'UA-normalized'!$A:$A, 0))-INDEX('UA-normalized'!$E:$E, MATCH($A126, 'UA-normalized'!$A:$A, 0))), 0), 0))+(IFERROR(IF(25*INDEX('KZ-normalized'!$D:$D, MATCH($A126, 'KZ-normalized'!$A:$A, 0))-INDEX('KZ-normalized'!$E:$E, MATCH($A126, 'KZ-normalized'!$A:$A, 0))&gt;0, -(25*INDEX('KZ-normalized'!$D:$D, MATCH($A126, 'KZ-normalized'!$A:$A, 0))-INDEX('KZ-normalized'!$E:$E, MATCH($A126, 'KZ-normalized'!$A:$A, 0))), 0), 0))+(IFERROR(IF(25*INDEX('UZ-normalized'!$D:$D, MATCH($A126, 'UZ-normalized'!$A:$A, 0))-INDEX('UZ-normalized'!$E:$E, MATCH($A126, 'UZ-normalized'!$A:$A, 0))&gt;0, -(25*INDEX('UZ-normalized'!$D:$D, MATCH($A126, 'UZ-normalized'!$A:$A, 0))-INDEX('UZ-normalized'!$E:$E, MATCH($A126, 'UZ-normalized'!$A:$A, 0))), 0), 0)))</f>
        <v>-1215.5</v>
      </c>
      <c r="AN126" s="6">
        <f>MIN(0, N126+(IFERROR(IF(26*INDEX('UA-normalized'!$D:$D, MATCH($A126, 'UA-normalized'!$A:$A, 0))-INDEX('UA-normalized'!$E:$E, MATCH($A126, 'UA-normalized'!$A:$A, 0))&gt;0, -(26*INDEX('UA-normalized'!$D:$D, MATCH($A126, 'UA-normalized'!$A:$A, 0))-INDEX('UA-normalized'!$E:$E, MATCH($A126, 'UA-normalized'!$A:$A, 0))), 0), 0))+(IFERROR(IF(26*INDEX('KZ-normalized'!$D:$D, MATCH($A126, 'KZ-normalized'!$A:$A, 0))-INDEX('KZ-normalized'!$E:$E, MATCH($A126, 'KZ-normalized'!$A:$A, 0))&gt;0, -(26*INDEX('KZ-normalized'!$D:$D, MATCH($A126, 'KZ-normalized'!$A:$A, 0))-INDEX('KZ-normalized'!$E:$E, MATCH($A126, 'KZ-normalized'!$A:$A, 0))), 0), 0))+(IFERROR(IF(26*INDEX('UZ-normalized'!$D:$D, MATCH($A126, 'UZ-normalized'!$A:$A, 0))-INDEX('UZ-normalized'!$E:$E, MATCH($A126, 'UZ-normalized'!$A:$A, 0))&gt;0, -(26*INDEX('UZ-normalized'!$D:$D, MATCH($A126, 'UZ-normalized'!$A:$A, 0))-INDEX('UZ-normalized'!$E:$E, MATCH($A126, 'UZ-normalized'!$A:$A, 0))), 0), 0)))</f>
        <v>-1278.5999999999999</v>
      </c>
      <c r="AO126" s="6">
        <f>MIN(0, N126+(IFERROR(IF(27*INDEX('UA-normalized'!$D:$D, MATCH($A126, 'UA-normalized'!$A:$A, 0))-INDEX('UA-normalized'!$E:$E, MATCH($A126, 'UA-normalized'!$A:$A, 0))&gt;0, -(27*INDEX('UA-normalized'!$D:$D, MATCH($A126, 'UA-normalized'!$A:$A, 0))-INDEX('UA-normalized'!$E:$E, MATCH($A126, 'UA-normalized'!$A:$A, 0))), 0), 0))+(IFERROR(IF(27*INDEX('KZ-normalized'!$D:$D, MATCH($A126, 'KZ-normalized'!$A:$A, 0))-INDEX('KZ-normalized'!$E:$E, MATCH($A126, 'KZ-normalized'!$A:$A, 0))&gt;0, -(27*INDEX('KZ-normalized'!$D:$D, MATCH($A126, 'KZ-normalized'!$A:$A, 0))-INDEX('KZ-normalized'!$E:$E, MATCH($A126, 'KZ-normalized'!$A:$A, 0))), 0), 0))+(IFERROR(IF(27*INDEX('UZ-normalized'!$D:$D, MATCH($A126, 'UZ-normalized'!$A:$A, 0))-INDEX('UZ-normalized'!$E:$E, MATCH($A126, 'UZ-normalized'!$A:$A, 0))&gt;0, -(27*INDEX('UZ-normalized'!$D:$D, MATCH($A126, 'UZ-normalized'!$A:$A, 0))-INDEX('UZ-normalized'!$E:$E, MATCH($A126, 'UZ-normalized'!$A:$A, 0))), 0), 0)))</f>
        <v>-1341.7</v>
      </c>
      <c r="AP126" s="6">
        <f>MIN(0, N126+(IFERROR(IF(28*INDEX('UA-normalized'!$D:$D, MATCH($A126, 'UA-normalized'!$A:$A, 0))-INDEX('UA-normalized'!$E:$E, MATCH($A126, 'UA-normalized'!$A:$A, 0))&gt;0, -(28*INDEX('UA-normalized'!$D:$D, MATCH($A126, 'UA-normalized'!$A:$A, 0))-INDEX('UA-normalized'!$E:$E, MATCH($A126, 'UA-normalized'!$A:$A, 0))), 0), 0))+(IFERROR(IF(28*INDEX('KZ-normalized'!$D:$D, MATCH($A126, 'KZ-normalized'!$A:$A, 0))-INDEX('KZ-normalized'!$E:$E, MATCH($A126, 'KZ-normalized'!$A:$A, 0))&gt;0, -(28*INDEX('KZ-normalized'!$D:$D, MATCH($A126, 'KZ-normalized'!$A:$A, 0))-INDEX('KZ-normalized'!$E:$E, MATCH($A126, 'KZ-normalized'!$A:$A, 0))), 0), 0))+(IFERROR(IF(28*INDEX('UZ-normalized'!$D:$D, MATCH($A126, 'UZ-normalized'!$A:$A, 0))-INDEX('UZ-normalized'!$E:$E, MATCH($A126, 'UZ-normalized'!$A:$A, 0))&gt;0, -(28*INDEX('UZ-normalized'!$D:$D, MATCH($A126, 'UZ-normalized'!$A:$A, 0))-INDEX('UZ-normalized'!$E:$E, MATCH($A126, 'UZ-normalized'!$A:$A, 0))), 0), 0)))</f>
        <v>-1404.8</v>
      </c>
      <c r="AQ126" s="6">
        <f>MIN(0, N126+(IFERROR(IF(29*INDEX('UA-normalized'!$D:$D, MATCH($A126, 'UA-normalized'!$A:$A, 0))-INDEX('UA-normalized'!$E:$E, MATCH($A126, 'UA-normalized'!$A:$A, 0))&gt;0, -(29*INDEX('UA-normalized'!$D:$D, MATCH($A126, 'UA-normalized'!$A:$A, 0))-INDEX('UA-normalized'!$E:$E, MATCH($A126, 'UA-normalized'!$A:$A, 0))), 0), 0))+(IFERROR(IF(29*INDEX('KZ-normalized'!$D:$D, MATCH($A126, 'KZ-normalized'!$A:$A, 0))-INDEX('KZ-normalized'!$E:$E, MATCH($A126, 'KZ-normalized'!$A:$A, 0))&gt;0, -(29*INDEX('KZ-normalized'!$D:$D, MATCH($A126, 'KZ-normalized'!$A:$A, 0))-INDEX('KZ-normalized'!$E:$E, MATCH($A126, 'KZ-normalized'!$A:$A, 0))), 0), 0))+(IFERROR(IF(29*INDEX('UZ-normalized'!$D:$D, MATCH($A126, 'UZ-normalized'!$A:$A, 0))-INDEX('UZ-normalized'!$E:$E, MATCH($A126, 'UZ-normalized'!$A:$A, 0))&gt;0, -(29*INDEX('UZ-normalized'!$D:$D, MATCH($A126, 'UZ-normalized'!$A:$A, 0))-INDEX('UZ-normalized'!$E:$E, MATCH($A126, 'UZ-normalized'!$A:$A, 0))), 0), 0)))</f>
        <v>-1467.9</v>
      </c>
      <c r="AR126" s="6">
        <f>MIN(0, N126+(IFERROR(IF(30*INDEX('UA-normalized'!$D:$D, MATCH($A126, 'UA-normalized'!$A:$A, 0))-INDEX('UA-normalized'!$E:$E, MATCH($A126, 'UA-normalized'!$A:$A, 0))&gt;0, -(30*INDEX('UA-normalized'!$D:$D, MATCH($A126, 'UA-normalized'!$A:$A, 0))-INDEX('UA-normalized'!$E:$E, MATCH($A126, 'UA-normalized'!$A:$A, 0))), 0), 0))+(IFERROR(IF(30*INDEX('KZ-normalized'!$D:$D, MATCH($A126, 'KZ-normalized'!$A:$A, 0))-INDEX('KZ-normalized'!$E:$E, MATCH($A126, 'KZ-normalized'!$A:$A, 0))&gt;0, -(30*INDEX('KZ-normalized'!$D:$D, MATCH($A126, 'KZ-normalized'!$A:$A, 0))-INDEX('KZ-normalized'!$E:$E, MATCH($A126, 'KZ-normalized'!$A:$A, 0))), 0), 0))+(IFERROR(IF(30*INDEX('UZ-normalized'!$D:$D, MATCH($A126, 'UZ-normalized'!$A:$A, 0))-INDEX('UZ-normalized'!$E:$E, MATCH($A126, 'UZ-normalized'!$A:$A, 0))&gt;0, -(30*INDEX('UZ-normalized'!$D:$D, MATCH($A126, 'UZ-normalized'!$A:$A, 0))-INDEX('UZ-normalized'!$E:$E, MATCH($A126, 'UZ-normalized'!$A:$A, 0))), 0), 0)))</f>
        <v>-1531</v>
      </c>
    </row>
    <row r="127" spans="1:44" x14ac:dyDescent="0.25">
      <c r="A127" s="8" t="s">
        <v>310</v>
      </c>
      <c r="B127" s="8" t="s">
        <v>294</v>
      </c>
      <c r="C127" s="8" t="s">
        <v>308</v>
      </c>
      <c r="D127" s="8" t="s">
        <v>311</v>
      </c>
      <c r="F127">
        <v>424</v>
      </c>
      <c r="N127">
        <f t="shared" si="1"/>
        <v>424</v>
      </c>
      <c r="O127" s="6">
        <f>MIN(0, N127+(IFERROR(IF(1*INDEX('UA-normalized'!$D:$D, MATCH($A127, 'UA-normalized'!$A:$A, 0))-INDEX('UA-normalized'!$E:$E, MATCH($A127, 'UA-normalized'!$A:$A, 0))&gt;0, -(1*INDEX('UA-normalized'!$D:$D, MATCH($A127, 'UA-normalized'!$A:$A, 0))-INDEX('UA-normalized'!$E:$E, MATCH($A127, 'UA-normalized'!$A:$A, 0))), 0), 0))+(IFERROR(IF(1*INDEX('KZ-normalized'!$D:$D, MATCH($A127, 'KZ-normalized'!$A:$A, 0))-INDEX('KZ-normalized'!$E:$E, MATCH($A127, 'KZ-normalized'!$A:$A, 0))&gt;0, -(1*INDEX('KZ-normalized'!$D:$D, MATCH($A127, 'KZ-normalized'!$A:$A, 0))-INDEX('KZ-normalized'!$E:$E, MATCH($A127, 'KZ-normalized'!$A:$A, 0))), 0), 0))+(IFERROR(IF(1*INDEX('UZ-normalized'!$D:$D, MATCH($A127, 'UZ-normalized'!$A:$A, 0))-INDEX('UZ-normalized'!$E:$E, MATCH($A127, 'UZ-normalized'!$A:$A, 0))&gt;0, -(1*INDEX('UZ-normalized'!$D:$D, MATCH($A127, 'UZ-normalized'!$A:$A, 0))-INDEX('UZ-normalized'!$E:$E, MATCH($A127, 'UZ-normalized'!$A:$A, 0))), 0), 0)))</f>
        <v>0</v>
      </c>
      <c r="P127" s="6">
        <f>MIN(0, N127+(IFERROR(IF(2*INDEX('UA-normalized'!$D:$D, MATCH($A127, 'UA-normalized'!$A:$A, 0))-INDEX('UA-normalized'!$E:$E, MATCH($A127, 'UA-normalized'!$A:$A, 0))&gt;0, -(2*INDEX('UA-normalized'!$D:$D, MATCH($A127, 'UA-normalized'!$A:$A, 0))-INDEX('UA-normalized'!$E:$E, MATCH($A127, 'UA-normalized'!$A:$A, 0))), 0), 0))+(IFERROR(IF(2*INDEX('KZ-normalized'!$D:$D, MATCH($A127, 'KZ-normalized'!$A:$A, 0))-INDEX('KZ-normalized'!$E:$E, MATCH($A127, 'KZ-normalized'!$A:$A, 0))&gt;0, -(2*INDEX('KZ-normalized'!$D:$D, MATCH($A127, 'KZ-normalized'!$A:$A, 0))-INDEX('KZ-normalized'!$E:$E, MATCH($A127, 'KZ-normalized'!$A:$A, 0))), 0), 0))+(IFERROR(IF(2*INDEX('UZ-normalized'!$D:$D, MATCH($A127, 'UZ-normalized'!$A:$A, 0))-INDEX('UZ-normalized'!$E:$E, MATCH($A127, 'UZ-normalized'!$A:$A, 0))&gt;0, -(2*INDEX('UZ-normalized'!$D:$D, MATCH($A127, 'UZ-normalized'!$A:$A, 0))-INDEX('UZ-normalized'!$E:$E, MATCH($A127, 'UZ-normalized'!$A:$A, 0))), 0), 0)))</f>
        <v>0</v>
      </c>
      <c r="Q127" s="6">
        <f>MIN(0, N127+(IFERROR(IF(3*INDEX('UA-normalized'!$D:$D, MATCH($A127, 'UA-normalized'!$A:$A, 0))-INDEX('UA-normalized'!$E:$E, MATCH($A127, 'UA-normalized'!$A:$A, 0))&gt;0, -(3*INDEX('UA-normalized'!$D:$D, MATCH($A127, 'UA-normalized'!$A:$A, 0))-INDEX('UA-normalized'!$E:$E, MATCH($A127, 'UA-normalized'!$A:$A, 0))), 0), 0))+(IFERROR(IF(3*INDEX('KZ-normalized'!$D:$D, MATCH($A127, 'KZ-normalized'!$A:$A, 0))-INDEX('KZ-normalized'!$E:$E, MATCH($A127, 'KZ-normalized'!$A:$A, 0))&gt;0, -(3*INDEX('KZ-normalized'!$D:$D, MATCH($A127, 'KZ-normalized'!$A:$A, 0))-INDEX('KZ-normalized'!$E:$E, MATCH($A127, 'KZ-normalized'!$A:$A, 0))), 0), 0))+(IFERROR(IF(3*INDEX('UZ-normalized'!$D:$D, MATCH($A127, 'UZ-normalized'!$A:$A, 0))-INDEX('UZ-normalized'!$E:$E, MATCH($A127, 'UZ-normalized'!$A:$A, 0))&gt;0, -(3*INDEX('UZ-normalized'!$D:$D, MATCH($A127, 'UZ-normalized'!$A:$A, 0))-INDEX('UZ-normalized'!$E:$E, MATCH($A127, 'UZ-normalized'!$A:$A, 0))), 0), 0)))</f>
        <v>0</v>
      </c>
      <c r="R127" s="6">
        <f>MIN(0, N127+(IFERROR(IF(4*INDEX('UA-normalized'!$D:$D, MATCH($A127, 'UA-normalized'!$A:$A, 0))-INDEX('UA-normalized'!$E:$E, MATCH($A127, 'UA-normalized'!$A:$A, 0))&gt;0, -(4*INDEX('UA-normalized'!$D:$D, MATCH($A127, 'UA-normalized'!$A:$A, 0))-INDEX('UA-normalized'!$E:$E, MATCH($A127, 'UA-normalized'!$A:$A, 0))), 0), 0))+(IFERROR(IF(4*INDEX('KZ-normalized'!$D:$D, MATCH($A127, 'KZ-normalized'!$A:$A, 0))-INDEX('KZ-normalized'!$E:$E, MATCH($A127, 'KZ-normalized'!$A:$A, 0))&gt;0, -(4*INDEX('KZ-normalized'!$D:$D, MATCH($A127, 'KZ-normalized'!$A:$A, 0))-INDEX('KZ-normalized'!$E:$E, MATCH($A127, 'KZ-normalized'!$A:$A, 0))), 0), 0))+(IFERROR(IF(4*INDEX('UZ-normalized'!$D:$D, MATCH($A127, 'UZ-normalized'!$A:$A, 0))-INDEX('UZ-normalized'!$E:$E, MATCH($A127, 'UZ-normalized'!$A:$A, 0))&gt;0, -(4*INDEX('UZ-normalized'!$D:$D, MATCH($A127, 'UZ-normalized'!$A:$A, 0))-INDEX('UZ-normalized'!$E:$E, MATCH($A127, 'UZ-normalized'!$A:$A, 0))), 0), 0)))</f>
        <v>0</v>
      </c>
      <c r="S127" s="6">
        <f>MIN(0, N127+(IFERROR(IF(5*INDEX('UA-normalized'!$D:$D, MATCH($A127, 'UA-normalized'!$A:$A, 0))-INDEX('UA-normalized'!$E:$E, MATCH($A127, 'UA-normalized'!$A:$A, 0))&gt;0, -(5*INDEX('UA-normalized'!$D:$D, MATCH($A127, 'UA-normalized'!$A:$A, 0))-INDEX('UA-normalized'!$E:$E, MATCH($A127, 'UA-normalized'!$A:$A, 0))), 0), 0))+(IFERROR(IF(5*INDEX('KZ-normalized'!$D:$D, MATCH($A127, 'KZ-normalized'!$A:$A, 0))-INDEX('KZ-normalized'!$E:$E, MATCH($A127, 'KZ-normalized'!$A:$A, 0))&gt;0, -(5*INDEX('KZ-normalized'!$D:$D, MATCH($A127, 'KZ-normalized'!$A:$A, 0))-INDEX('KZ-normalized'!$E:$E, MATCH($A127, 'KZ-normalized'!$A:$A, 0))), 0), 0))+(IFERROR(IF(5*INDEX('UZ-normalized'!$D:$D, MATCH($A127, 'UZ-normalized'!$A:$A, 0))-INDEX('UZ-normalized'!$E:$E, MATCH($A127, 'UZ-normalized'!$A:$A, 0))&gt;0, -(5*INDEX('UZ-normalized'!$D:$D, MATCH($A127, 'UZ-normalized'!$A:$A, 0))-INDEX('UZ-normalized'!$E:$E, MATCH($A127, 'UZ-normalized'!$A:$A, 0))), 0), 0)))</f>
        <v>0</v>
      </c>
      <c r="T127" s="6">
        <f>MIN(0, N127+(IFERROR(IF(6*INDEX('UA-normalized'!$D:$D, MATCH($A127, 'UA-normalized'!$A:$A, 0))-INDEX('UA-normalized'!$E:$E, MATCH($A127, 'UA-normalized'!$A:$A, 0))&gt;0, -(6*INDEX('UA-normalized'!$D:$D, MATCH($A127, 'UA-normalized'!$A:$A, 0))-INDEX('UA-normalized'!$E:$E, MATCH($A127, 'UA-normalized'!$A:$A, 0))), 0), 0))+(IFERROR(IF(6*INDEX('KZ-normalized'!$D:$D, MATCH($A127, 'KZ-normalized'!$A:$A, 0))-INDEX('KZ-normalized'!$E:$E, MATCH($A127, 'KZ-normalized'!$A:$A, 0))&gt;0, -(6*INDEX('KZ-normalized'!$D:$D, MATCH($A127, 'KZ-normalized'!$A:$A, 0))-INDEX('KZ-normalized'!$E:$E, MATCH($A127, 'KZ-normalized'!$A:$A, 0))), 0), 0))+(IFERROR(IF(6*INDEX('UZ-normalized'!$D:$D, MATCH($A127, 'UZ-normalized'!$A:$A, 0))-INDEX('UZ-normalized'!$E:$E, MATCH($A127, 'UZ-normalized'!$A:$A, 0))&gt;0, -(6*INDEX('UZ-normalized'!$D:$D, MATCH($A127, 'UZ-normalized'!$A:$A, 0))-INDEX('UZ-normalized'!$E:$E, MATCH($A127, 'UZ-normalized'!$A:$A, 0))), 0), 0)))</f>
        <v>0</v>
      </c>
      <c r="U127" s="6">
        <f>MIN(0, N127+(IFERROR(IF(7*INDEX('UA-normalized'!$D:$D, MATCH($A127, 'UA-normalized'!$A:$A, 0))-INDEX('UA-normalized'!$E:$E, MATCH($A127, 'UA-normalized'!$A:$A, 0))&gt;0, -(7*INDEX('UA-normalized'!$D:$D, MATCH($A127, 'UA-normalized'!$A:$A, 0))-INDEX('UA-normalized'!$E:$E, MATCH($A127, 'UA-normalized'!$A:$A, 0))), 0), 0))+(IFERROR(IF(7*INDEX('KZ-normalized'!$D:$D, MATCH($A127, 'KZ-normalized'!$A:$A, 0))-INDEX('KZ-normalized'!$E:$E, MATCH($A127, 'KZ-normalized'!$A:$A, 0))&gt;0, -(7*INDEX('KZ-normalized'!$D:$D, MATCH($A127, 'KZ-normalized'!$A:$A, 0))-INDEX('KZ-normalized'!$E:$E, MATCH($A127, 'KZ-normalized'!$A:$A, 0))), 0), 0))+(IFERROR(IF(7*INDEX('UZ-normalized'!$D:$D, MATCH($A127, 'UZ-normalized'!$A:$A, 0))-INDEX('UZ-normalized'!$E:$E, MATCH($A127, 'UZ-normalized'!$A:$A, 0))&gt;0, -(7*INDEX('UZ-normalized'!$D:$D, MATCH($A127, 'UZ-normalized'!$A:$A, 0))-INDEX('UZ-normalized'!$E:$E, MATCH($A127, 'UZ-normalized'!$A:$A, 0))), 0), 0)))</f>
        <v>0</v>
      </c>
      <c r="V127" s="6">
        <f>MIN(0, N127+(IFERROR(IF(8*INDEX('UA-normalized'!$D:$D, MATCH($A127, 'UA-normalized'!$A:$A, 0))-INDEX('UA-normalized'!$E:$E, MATCH($A127, 'UA-normalized'!$A:$A, 0))&gt;0, -(8*INDEX('UA-normalized'!$D:$D, MATCH($A127, 'UA-normalized'!$A:$A, 0))-INDEX('UA-normalized'!$E:$E, MATCH($A127, 'UA-normalized'!$A:$A, 0))), 0), 0))+(IFERROR(IF(8*INDEX('KZ-normalized'!$D:$D, MATCH($A127, 'KZ-normalized'!$A:$A, 0))-INDEX('KZ-normalized'!$E:$E, MATCH($A127, 'KZ-normalized'!$A:$A, 0))&gt;0, -(8*INDEX('KZ-normalized'!$D:$D, MATCH($A127, 'KZ-normalized'!$A:$A, 0))-INDEX('KZ-normalized'!$E:$E, MATCH($A127, 'KZ-normalized'!$A:$A, 0))), 0), 0))+(IFERROR(IF(8*INDEX('UZ-normalized'!$D:$D, MATCH($A127, 'UZ-normalized'!$A:$A, 0))-INDEX('UZ-normalized'!$E:$E, MATCH($A127, 'UZ-normalized'!$A:$A, 0))&gt;0, -(8*INDEX('UZ-normalized'!$D:$D, MATCH($A127, 'UZ-normalized'!$A:$A, 0))-INDEX('UZ-normalized'!$E:$E, MATCH($A127, 'UZ-normalized'!$A:$A, 0))), 0), 0)))</f>
        <v>0</v>
      </c>
      <c r="W127" s="6">
        <f>MIN(0, N127+(IFERROR(IF(9*INDEX('UA-normalized'!$D:$D, MATCH($A127, 'UA-normalized'!$A:$A, 0))-INDEX('UA-normalized'!$E:$E, MATCH($A127, 'UA-normalized'!$A:$A, 0))&gt;0, -(9*INDEX('UA-normalized'!$D:$D, MATCH($A127, 'UA-normalized'!$A:$A, 0))-INDEX('UA-normalized'!$E:$E, MATCH($A127, 'UA-normalized'!$A:$A, 0))), 0), 0))+(IFERROR(IF(9*INDEX('KZ-normalized'!$D:$D, MATCH($A127, 'KZ-normalized'!$A:$A, 0))-INDEX('KZ-normalized'!$E:$E, MATCH($A127, 'KZ-normalized'!$A:$A, 0))&gt;0, -(9*INDEX('KZ-normalized'!$D:$D, MATCH($A127, 'KZ-normalized'!$A:$A, 0))-INDEX('KZ-normalized'!$E:$E, MATCH($A127, 'KZ-normalized'!$A:$A, 0))), 0), 0))+(IFERROR(IF(9*INDEX('UZ-normalized'!$D:$D, MATCH($A127, 'UZ-normalized'!$A:$A, 0))-INDEX('UZ-normalized'!$E:$E, MATCH($A127, 'UZ-normalized'!$A:$A, 0))&gt;0, -(9*INDEX('UZ-normalized'!$D:$D, MATCH($A127, 'UZ-normalized'!$A:$A, 0))-INDEX('UZ-normalized'!$E:$E, MATCH($A127, 'UZ-normalized'!$A:$A, 0))), 0), 0)))</f>
        <v>0</v>
      </c>
      <c r="X127" s="6">
        <f>MIN(0, N127+(IFERROR(IF(10*INDEX('UA-normalized'!$D:$D, MATCH($A127, 'UA-normalized'!$A:$A, 0))-INDEX('UA-normalized'!$E:$E, MATCH($A127, 'UA-normalized'!$A:$A, 0))&gt;0, -(10*INDEX('UA-normalized'!$D:$D, MATCH($A127, 'UA-normalized'!$A:$A, 0))-INDEX('UA-normalized'!$E:$E, MATCH($A127, 'UA-normalized'!$A:$A, 0))), 0), 0))+(IFERROR(IF(10*INDEX('KZ-normalized'!$D:$D, MATCH($A127, 'KZ-normalized'!$A:$A, 0))-INDEX('KZ-normalized'!$E:$E, MATCH($A127, 'KZ-normalized'!$A:$A, 0))&gt;0, -(10*INDEX('KZ-normalized'!$D:$D, MATCH($A127, 'KZ-normalized'!$A:$A, 0))-INDEX('KZ-normalized'!$E:$E, MATCH($A127, 'KZ-normalized'!$A:$A, 0))), 0), 0))+(IFERROR(IF(10*INDEX('UZ-normalized'!$D:$D, MATCH($A127, 'UZ-normalized'!$A:$A, 0))-INDEX('UZ-normalized'!$E:$E, MATCH($A127, 'UZ-normalized'!$A:$A, 0))&gt;0, -(10*INDEX('UZ-normalized'!$D:$D, MATCH($A127, 'UZ-normalized'!$A:$A, 0))-INDEX('UZ-normalized'!$E:$E, MATCH($A127, 'UZ-normalized'!$A:$A, 0))), 0), 0)))</f>
        <v>0</v>
      </c>
      <c r="Y127" s="6">
        <f>MIN(0, N127+(IFERROR(IF(11*INDEX('UA-normalized'!$D:$D, MATCH($A127, 'UA-normalized'!$A:$A, 0))-INDEX('UA-normalized'!$E:$E, MATCH($A127, 'UA-normalized'!$A:$A, 0))&gt;0, -(11*INDEX('UA-normalized'!$D:$D, MATCH($A127, 'UA-normalized'!$A:$A, 0))-INDEX('UA-normalized'!$E:$E, MATCH($A127, 'UA-normalized'!$A:$A, 0))), 0), 0))+(IFERROR(IF(11*INDEX('KZ-normalized'!$D:$D, MATCH($A127, 'KZ-normalized'!$A:$A, 0))-INDEX('KZ-normalized'!$E:$E, MATCH($A127, 'KZ-normalized'!$A:$A, 0))&gt;0, -(11*INDEX('KZ-normalized'!$D:$D, MATCH($A127, 'KZ-normalized'!$A:$A, 0))-INDEX('KZ-normalized'!$E:$E, MATCH($A127, 'KZ-normalized'!$A:$A, 0))), 0), 0))+(IFERROR(IF(11*INDEX('UZ-normalized'!$D:$D, MATCH($A127, 'UZ-normalized'!$A:$A, 0))-INDEX('UZ-normalized'!$E:$E, MATCH($A127, 'UZ-normalized'!$A:$A, 0))&gt;0, -(11*INDEX('UZ-normalized'!$D:$D, MATCH($A127, 'UZ-normalized'!$A:$A, 0))-INDEX('UZ-normalized'!$E:$E, MATCH($A127, 'UZ-normalized'!$A:$A, 0))), 0), 0)))</f>
        <v>0</v>
      </c>
      <c r="Z127" s="6">
        <f>MIN(0, N127+(IFERROR(IF(12*INDEX('UA-normalized'!$D:$D, MATCH($A127, 'UA-normalized'!$A:$A, 0))-INDEX('UA-normalized'!$E:$E, MATCH($A127, 'UA-normalized'!$A:$A, 0))&gt;0, -(12*INDEX('UA-normalized'!$D:$D, MATCH($A127, 'UA-normalized'!$A:$A, 0))-INDEX('UA-normalized'!$E:$E, MATCH($A127, 'UA-normalized'!$A:$A, 0))), 0), 0))+(IFERROR(IF(12*INDEX('KZ-normalized'!$D:$D, MATCH($A127, 'KZ-normalized'!$A:$A, 0))-INDEX('KZ-normalized'!$E:$E, MATCH($A127, 'KZ-normalized'!$A:$A, 0))&gt;0, -(12*INDEX('KZ-normalized'!$D:$D, MATCH($A127, 'KZ-normalized'!$A:$A, 0))-INDEX('KZ-normalized'!$E:$E, MATCH($A127, 'KZ-normalized'!$A:$A, 0))), 0), 0))+(IFERROR(IF(12*INDEX('UZ-normalized'!$D:$D, MATCH($A127, 'UZ-normalized'!$A:$A, 0))-INDEX('UZ-normalized'!$E:$E, MATCH($A127, 'UZ-normalized'!$A:$A, 0))&gt;0, -(12*INDEX('UZ-normalized'!$D:$D, MATCH($A127, 'UZ-normalized'!$A:$A, 0))-INDEX('UZ-normalized'!$E:$E, MATCH($A127, 'UZ-normalized'!$A:$A, 0))), 0), 0)))</f>
        <v>0</v>
      </c>
      <c r="AA127" s="6">
        <f>MIN(0, N127+(IFERROR(IF(13*INDEX('UA-normalized'!$D:$D, MATCH($A127, 'UA-normalized'!$A:$A, 0))-INDEX('UA-normalized'!$E:$E, MATCH($A127, 'UA-normalized'!$A:$A, 0))&gt;0, -(13*INDEX('UA-normalized'!$D:$D, MATCH($A127, 'UA-normalized'!$A:$A, 0))-INDEX('UA-normalized'!$E:$E, MATCH($A127, 'UA-normalized'!$A:$A, 0))), 0), 0))+(IFERROR(IF(13*INDEX('KZ-normalized'!$D:$D, MATCH($A127, 'KZ-normalized'!$A:$A, 0))-INDEX('KZ-normalized'!$E:$E, MATCH($A127, 'KZ-normalized'!$A:$A, 0))&gt;0, -(13*INDEX('KZ-normalized'!$D:$D, MATCH($A127, 'KZ-normalized'!$A:$A, 0))-INDEX('KZ-normalized'!$E:$E, MATCH($A127, 'KZ-normalized'!$A:$A, 0))), 0), 0))+(IFERROR(IF(13*INDEX('UZ-normalized'!$D:$D, MATCH($A127, 'UZ-normalized'!$A:$A, 0))-INDEX('UZ-normalized'!$E:$E, MATCH($A127, 'UZ-normalized'!$A:$A, 0))&gt;0, -(13*INDEX('UZ-normalized'!$D:$D, MATCH($A127, 'UZ-normalized'!$A:$A, 0))-INDEX('UZ-normalized'!$E:$E, MATCH($A127, 'UZ-normalized'!$A:$A, 0))), 0), 0)))</f>
        <v>0</v>
      </c>
      <c r="AB127" s="6">
        <f>MIN(0, N127+(IFERROR(IF(14*INDEX('UA-normalized'!$D:$D, MATCH($A127, 'UA-normalized'!$A:$A, 0))-INDEX('UA-normalized'!$E:$E, MATCH($A127, 'UA-normalized'!$A:$A, 0))&gt;0, -(14*INDEX('UA-normalized'!$D:$D, MATCH($A127, 'UA-normalized'!$A:$A, 0))-INDEX('UA-normalized'!$E:$E, MATCH($A127, 'UA-normalized'!$A:$A, 0))), 0), 0))+(IFERROR(IF(14*INDEX('KZ-normalized'!$D:$D, MATCH($A127, 'KZ-normalized'!$A:$A, 0))-INDEX('KZ-normalized'!$E:$E, MATCH($A127, 'KZ-normalized'!$A:$A, 0))&gt;0, -(14*INDEX('KZ-normalized'!$D:$D, MATCH($A127, 'KZ-normalized'!$A:$A, 0))-INDEX('KZ-normalized'!$E:$E, MATCH($A127, 'KZ-normalized'!$A:$A, 0))), 0), 0))+(IFERROR(IF(14*INDEX('UZ-normalized'!$D:$D, MATCH($A127, 'UZ-normalized'!$A:$A, 0))-INDEX('UZ-normalized'!$E:$E, MATCH($A127, 'UZ-normalized'!$A:$A, 0))&gt;0, -(14*INDEX('UZ-normalized'!$D:$D, MATCH($A127, 'UZ-normalized'!$A:$A, 0))-INDEX('UZ-normalized'!$E:$E, MATCH($A127, 'UZ-normalized'!$A:$A, 0))), 0), 0)))</f>
        <v>0</v>
      </c>
      <c r="AC127" s="6">
        <f>MIN(0, N127+(IFERROR(IF(15*INDEX('UA-normalized'!$D:$D, MATCH($A127, 'UA-normalized'!$A:$A, 0))-INDEX('UA-normalized'!$E:$E, MATCH($A127, 'UA-normalized'!$A:$A, 0))&gt;0, -(15*INDEX('UA-normalized'!$D:$D, MATCH($A127, 'UA-normalized'!$A:$A, 0))-INDEX('UA-normalized'!$E:$E, MATCH($A127, 'UA-normalized'!$A:$A, 0))), 0), 0))+(IFERROR(IF(15*INDEX('KZ-normalized'!$D:$D, MATCH($A127, 'KZ-normalized'!$A:$A, 0))-INDEX('KZ-normalized'!$E:$E, MATCH($A127, 'KZ-normalized'!$A:$A, 0))&gt;0, -(15*INDEX('KZ-normalized'!$D:$D, MATCH($A127, 'KZ-normalized'!$A:$A, 0))-INDEX('KZ-normalized'!$E:$E, MATCH($A127, 'KZ-normalized'!$A:$A, 0))), 0), 0))+(IFERROR(IF(15*INDEX('UZ-normalized'!$D:$D, MATCH($A127, 'UZ-normalized'!$A:$A, 0))-INDEX('UZ-normalized'!$E:$E, MATCH($A127, 'UZ-normalized'!$A:$A, 0))&gt;0, -(15*INDEX('UZ-normalized'!$D:$D, MATCH($A127, 'UZ-normalized'!$A:$A, 0))-INDEX('UZ-normalized'!$E:$E, MATCH($A127, 'UZ-normalized'!$A:$A, 0))), 0), 0)))</f>
        <v>0</v>
      </c>
      <c r="AD127" s="6">
        <f>MIN(0, N127+(IFERROR(IF(16*INDEX('UA-normalized'!$D:$D, MATCH($A127, 'UA-normalized'!$A:$A, 0))-INDEX('UA-normalized'!$E:$E, MATCH($A127, 'UA-normalized'!$A:$A, 0))&gt;0, -(16*INDEX('UA-normalized'!$D:$D, MATCH($A127, 'UA-normalized'!$A:$A, 0))-INDEX('UA-normalized'!$E:$E, MATCH($A127, 'UA-normalized'!$A:$A, 0))), 0), 0))+(IFERROR(IF(16*INDEX('KZ-normalized'!$D:$D, MATCH($A127, 'KZ-normalized'!$A:$A, 0))-INDEX('KZ-normalized'!$E:$E, MATCH($A127, 'KZ-normalized'!$A:$A, 0))&gt;0, -(16*INDEX('KZ-normalized'!$D:$D, MATCH($A127, 'KZ-normalized'!$A:$A, 0))-INDEX('KZ-normalized'!$E:$E, MATCH($A127, 'KZ-normalized'!$A:$A, 0))), 0), 0))+(IFERROR(IF(16*INDEX('UZ-normalized'!$D:$D, MATCH($A127, 'UZ-normalized'!$A:$A, 0))-INDEX('UZ-normalized'!$E:$E, MATCH($A127, 'UZ-normalized'!$A:$A, 0))&gt;0, -(16*INDEX('UZ-normalized'!$D:$D, MATCH($A127, 'UZ-normalized'!$A:$A, 0))-INDEX('UZ-normalized'!$E:$E, MATCH($A127, 'UZ-normalized'!$A:$A, 0))), 0), 0)))</f>
        <v>0</v>
      </c>
      <c r="AE127" s="6">
        <f>MIN(0, N127+(IFERROR(IF(17*INDEX('UA-normalized'!$D:$D, MATCH($A127, 'UA-normalized'!$A:$A, 0))-INDEX('UA-normalized'!$E:$E, MATCH($A127, 'UA-normalized'!$A:$A, 0))&gt;0, -(17*INDEX('UA-normalized'!$D:$D, MATCH($A127, 'UA-normalized'!$A:$A, 0))-INDEX('UA-normalized'!$E:$E, MATCH($A127, 'UA-normalized'!$A:$A, 0))), 0), 0))+(IFERROR(IF(17*INDEX('KZ-normalized'!$D:$D, MATCH($A127, 'KZ-normalized'!$A:$A, 0))-INDEX('KZ-normalized'!$E:$E, MATCH($A127, 'KZ-normalized'!$A:$A, 0))&gt;0, -(17*INDEX('KZ-normalized'!$D:$D, MATCH($A127, 'KZ-normalized'!$A:$A, 0))-INDEX('KZ-normalized'!$E:$E, MATCH($A127, 'KZ-normalized'!$A:$A, 0))), 0), 0))+(IFERROR(IF(17*INDEX('UZ-normalized'!$D:$D, MATCH($A127, 'UZ-normalized'!$A:$A, 0))-INDEX('UZ-normalized'!$E:$E, MATCH($A127, 'UZ-normalized'!$A:$A, 0))&gt;0, -(17*INDEX('UZ-normalized'!$D:$D, MATCH($A127, 'UZ-normalized'!$A:$A, 0))-INDEX('UZ-normalized'!$E:$E, MATCH($A127, 'UZ-normalized'!$A:$A, 0))), 0), 0)))</f>
        <v>0</v>
      </c>
      <c r="AF127" s="6">
        <f>MIN(0, N127+(IFERROR(IF(18*INDEX('UA-normalized'!$D:$D, MATCH($A127, 'UA-normalized'!$A:$A, 0))-INDEX('UA-normalized'!$E:$E, MATCH($A127, 'UA-normalized'!$A:$A, 0))&gt;0, -(18*INDEX('UA-normalized'!$D:$D, MATCH($A127, 'UA-normalized'!$A:$A, 0))-INDEX('UA-normalized'!$E:$E, MATCH($A127, 'UA-normalized'!$A:$A, 0))), 0), 0))+(IFERROR(IF(18*INDEX('KZ-normalized'!$D:$D, MATCH($A127, 'KZ-normalized'!$A:$A, 0))-INDEX('KZ-normalized'!$E:$E, MATCH($A127, 'KZ-normalized'!$A:$A, 0))&gt;0, -(18*INDEX('KZ-normalized'!$D:$D, MATCH($A127, 'KZ-normalized'!$A:$A, 0))-INDEX('KZ-normalized'!$E:$E, MATCH($A127, 'KZ-normalized'!$A:$A, 0))), 0), 0))+(IFERROR(IF(18*INDEX('UZ-normalized'!$D:$D, MATCH($A127, 'UZ-normalized'!$A:$A, 0))-INDEX('UZ-normalized'!$E:$E, MATCH($A127, 'UZ-normalized'!$A:$A, 0))&gt;0, -(18*INDEX('UZ-normalized'!$D:$D, MATCH($A127, 'UZ-normalized'!$A:$A, 0))-INDEX('UZ-normalized'!$E:$E, MATCH($A127, 'UZ-normalized'!$A:$A, 0))), 0), 0)))</f>
        <v>0</v>
      </c>
      <c r="AG127" s="6">
        <f>MIN(0, N127+(IFERROR(IF(19*INDEX('UA-normalized'!$D:$D, MATCH($A127, 'UA-normalized'!$A:$A, 0))-INDEX('UA-normalized'!$E:$E, MATCH($A127, 'UA-normalized'!$A:$A, 0))&gt;0, -(19*INDEX('UA-normalized'!$D:$D, MATCH($A127, 'UA-normalized'!$A:$A, 0))-INDEX('UA-normalized'!$E:$E, MATCH($A127, 'UA-normalized'!$A:$A, 0))), 0), 0))+(IFERROR(IF(19*INDEX('KZ-normalized'!$D:$D, MATCH($A127, 'KZ-normalized'!$A:$A, 0))-INDEX('KZ-normalized'!$E:$E, MATCH($A127, 'KZ-normalized'!$A:$A, 0))&gt;0, -(19*INDEX('KZ-normalized'!$D:$D, MATCH($A127, 'KZ-normalized'!$A:$A, 0))-INDEX('KZ-normalized'!$E:$E, MATCH($A127, 'KZ-normalized'!$A:$A, 0))), 0), 0))+(IFERROR(IF(19*INDEX('UZ-normalized'!$D:$D, MATCH($A127, 'UZ-normalized'!$A:$A, 0))-INDEX('UZ-normalized'!$E:$E, MATCH($A127, 'UZ-normalized'!$A:$A, 0))&gt;0, -(19*INDEX('UZ-normalized'!$D:$D, MATCH($A127, 'UZ-normalized'!$A:$A, 0))-INDEX('UZ-normalized'!$E:$E, MATCH($A127, 'UZ-normalized'!$A:$A, 0))), 0), 0)))</f>
        <v>0</v>
      </c>
      <c r="AH127" s="6">
        <f>MIN(0, N127+(IFERROR(IF(20*INDEX('UA-normalized'!$D:$D, MATCH($A127, 'UA-normalized'!$A:$A, 0))-INDEX('UA-normalized'!$E:$E, MATCH($A127, 'UA-normalized'!$A:$A, 0))&gt;0, -(20*INDEX('UA-normalized'!$D:$D, MATCH($A127, 'UA-normalized'!$A:$A, 0))-INDEX('UA-normalized'!$E:$E, MATCH($A127, 'UA-normalized'!$A:$A, 0))), 0), 0))+(IFERROR(IF(20*INDEX('KZ-normalized'!$D:$D, MATCH($A127, 'KZ-normalized'!$A:$A, 0))-INDEX('KZ-normalized'!$E:$E, MATCH($A127, 'KZ-normalized'!$A:$A, 0))&gt;0, -(20*INDEX('KZ-normalized'!$D:$D, MATCH($A127, 'KZ-normalized'!$A:$A, 0))-INDEX('KZ-normalized'!$E:$E, MATCH($A127, 'KZ-normalized'!$A:$A, 0))), 0), 0))+(IFERROR(IF(20*INDEX('UZ-normalized'!$D:$D, MATCH($A127, 'UZ-normalized'!$A:$A, 0))-INDEX('UZ-normalized'!$E:$E, MATCH($A127, 'UZ-normalized'!$A:$A, 0))&gt;0, -(20*INDEX('UZ-normalized'!$D:$D, MATCH($A127, 'UZ-normalized'!$A:$A, 0))-INDEX('UZ-normalized'!$E:$E, MATCH($A127, 'UZ-normalized'!$A:$A, 0))), 0), 0)))</f>
        <v>0</v>
      </c>
      <c r="AI127" s="6">
        <f>MIN(0, N127+(IFERROR(IF(21*INDEX('UA-normalized'!$D:$D, MATCH($A127, 'UA-normalized'!$A:$A, 0))-INDEX('UA-normalized'!$E:$E, MATCH($A127, 'UA-normalized'!$A:$A, 0))&gt;0, -(21*INDEX('UA-normalized'!$D:$D, MATCH($A127, 'UA-normalized'!$A:$A, 0))-INDEX('UA-normalized'!$E:$E, MATCH($A127, 'UA-normalized'!$A:$A, 0))), 0), 0))+(IFERROR(IF(21*INDEX('KZ-normalized'!$D:$D, MATCH($A127, 'KZ-normalized'!$A:$A, 0))-INDEX('KZ-normalized'!$E:$E, MATCH($A127, 'KZ-normalized'!$A:$A, 0))&gt;0, -(21*INDEX('KZ-normalized'!$D:$D, MATCH($A127, 'KZ-normalized'!$A:$A, 0))-INDEX('KZ-normalized'!$E:$E, MATCH($A127, 'KZ-normalized'!$A:$A, 0))), 0), 0))+(IFERROR(IF(21*INDEX('UZ-normalized'!$D:$D, MATCH($A127, 'UZ-normalized'!$A:$A, 0))-INDEX('UZ-normalized'!$E:$E, MATCH($A127, 'UZ-normalized'!$A:$A, 0))&gt;0, -(21*INDEX('UZ-normalized'!$D:$D, MATCH($A127, 'UZ-normalized'!$A:$A, 0))-INDEX('UZ-normalized'!$E:$E, MATCH($A127, 'UZ-normalized'!$A:$A, 0))), 0), 0)))</f>
        <v>0</v>
      </c>
      <c r="AJ127" s="6">
        <f>MIN(0, N127+(IFERROR(IF(22*INDEX('UA-normalized'!$D:$D, MATCH($A127, 'UA-normalized'!$A:$A, 0))-INDEX('UA-normalized'!$E:$E, MATCH($A127, 'UA-normalized'!$A:$A, 0))&gt;0, -(22*INDEX('UA-normalized'!$D:$D, MATCH($A127, 'UA-normalized'!$A:$A, 0))-INDEX('UA-normalized'!$E:$E, MATCH($A127, 'UA-normalized'!$A:$A, 0))), 0), 0))+(IFERROR(IF(22*INDEX('KZ-normalized'!$D:$D, MATCH($A127, 'KZ-normalized'!$A:$A, 0))-INDEX('KZ-normalized'!$E:$E, MATCH($A127, 'KZ-normalized'!$A:$A, 0))&gt;0, -(22*INDEX('KZ-normalized'!$D:$D, MATCH($A127, 'KZ-normalized'!$A:$A, 0))-INDEX('KZ-normalized'!$E:$E, MATCH($A127, 'KZ-normalized'!$A:$A, 0))), 0), 0))+(IFERROR(IF(22*INDEX('UZ-normalized'!$D:$D, MATCH($A127, 'UZ-normalized'!$A:$A, 0))-INDEX('UZ-normalized'!$E:$E, MATCH($A127, 'UZ-normalized'!$A:$A, 0))&gt;0, -(22*INDEX('UZ-normalized'!$D:$D, MATCH($A127, 'UZ-normalized'!$A:$A, 0))-INDEX('UZ-normalized'!$E:$E, MATCH($A127, 'UZ-normalized'!$A:$A, 0))), 0), 0)))</f>
        <v>0</v>
      </c>
      <c r="AK127" s="6">
        <f>MIN(0, N127+(IFERROR(IF(23*INDEX('UA-normalized'!$D:$D, MATCH($A127, 'UA-normalized'!$A:$A, 0))-INDEX('UA-normalized'!$E:$E, MATCH($A127, 'UA-normalized'!$A:$A, 0))&gt;0, -(23*INDEX('UA-normalized'!$D:$D, MATCH($A127, 'UA-normalized'!$A:$A, 0))-INDEX('UA-normalized'!$E:$E, MATCH($A127, 'UA-normalized'!$A:$A, 0))), 0), 0))+(IFERROR(IF(23*INDEX('KZ-normalized'!$D:$D, MATCH($A127, 'KZ-normalized'!$A:$A, 0))-INDEX('KZ-normalized'!$E:$E, MATCH($A127, 'KZ-normalized'!$A:$A, 0))&gt;0, -(23*INDEX('KZ-normalized'!$D:$D, MATCH($A127, 'KZ-normalized'!$A:$A, 0))-INDEX('KZ-normalized'!$E:$E, MATCH($A127, 'KZ-normalized'!$A:$A, 0))), 0), 0))+(IFERROR(IF(23*INDEX('UZ-normalized'!$D:$D, MATCH($A127, 'UZ-normalized'!$A:$A, 0))-INDEX('UZ-normalized'!$E:$E, MATCH($A127, 'UZ-normalized'!$A:$A, 0))&gt;0, -(23*INDEX('UZ-normalized'!$D:$D, MATCH($A127, 'UZ-normalized'!$A:$A, 0))-INDEX('UZ-normalized'!$E:$E, MATCH($A127, 'UZ-normalized'!$A:$A, 0))), 0), 0)))</f>
        <v>0</v>
      </c>
      <c r="AL127" s="6">
        <f>MIN(0, N127+(IFERROR(IF(24*INDEX('UA-normalized'!$D:$D, MATCH($A127, 'UA-normalized'!$A:$A, 0))-INDEX('UA-normalized'!$E:$E, MATCH($A127, 'UA-normalized'!$A:$A, 0))&gt;0, -(24*INDEX('UA-normalized'!$D:$D, MATCH($A127, 'UA-normalized'!$A:$A, 0))-INDEX('UA-normalized'!$E:$E, MATCH($A127, 'UA-normalized'!$A:$A, 0))), 0), 0))+(IFERROR(IF(24*INDEX('KZ-normalized'!$D:$D, MATCH($A127, 'KZ-normalized'!$A:$A, 0))-INDEX('KZ-normalized'!$E:$E, MATCH($A127, 'KZ-normalized'!$A:$A, 0))&gt;0, -(24*INDEX('KZ-normalized'!$D:$D, MATCH($A127, 'KZ-normalized'!$A:$A, 0))-INDEX('KZ-normalized'!$E:$E, MATCH($A127, 'KZ-normalized'!$A:$A, 0))), 0), 0))+(IFERROR(IF(24*INDEX('UZ-normalized'!$D:$D, MATCH($A127, 'UZ-normalized'!$A:$A, 0))-INDEX('UZ-normalized'!$E:$E, MATCH($A127, 'UZ-normalized'!$A:$A, 0))&gt;0, -(24*INDEX('UZ-normalized'!$D:$D, MATCH($A127, 'UZ-normalized'!$A:$A, 0))-INDEX('UZ-normalized'!$E:$E, MATCH($A127, 'UZ-normalized'!$A:$A, 0))), 0), 0)))</f>
        <v>0</v>
      </c>
      <c r="AM127" s="6">
        <f>MIN(0, N127+(IFERROR(IF(25*INDEX('UA-normalized'!$D:$D, MATCH($A127, 'UA-normalized'!$A:$A, 0))-INDEX('UA-normalized'!$E:$E, MATCH($A127, 'UA-normalized'!$A:$A, 0))&gt;0, -(25*INDEX('UA-normalized'!$D:$D, MATCH($A127, 'UA-normalized'!$A:$A, 0))-INDEX('UA-normalized'!$E:$E, MATCH($A127, 'UA-normalized'!$A:$A, 0))), 0), 0))+(IFERROR(IF(25*INDEX('KZ-normalized'!$D:$D, MATCH($A127, 'KZ-normalized'!$A:$A, 0))-INDEX('KZ-normalized'!$E:$E, MATCH($A127, 'KZ-normalized'!$A:$A, 0))&gt;0, -(25*INDEX('KZ-normalized'!$D:$D, MATCH($A127, 'KZ-normalized'!$A:$A, 0))-INDEX('KZ-normalized'!$E:$E, MATCH($A127, 'KZ-normalized'!$A:$A, 0))), 0), 0))+(IFERROR(IF(25*INDEX('UZ-normalized'!$D:$D, MATCH($A127, 'UZ-normalized'!$A:$A, 0))-INDEX('UZ-normalized'!$E:$E, MATCH($A127, 'UZ-normalized'!$A:$A, 0))&gt;0, -(25*INDEX('UZ-normalized'!$D:$D, MATCH($A127, 'UZ-normalized'!$A:$A, 0))-INDEX('UZ-normalized'!$E:$E, MATCH($A127, 'UZ-normalized'!$A:$A, 0))), 0), 0)))</f>
        <v>0</v>
      </c>
      <c r="AN127" s="6">
        <f>MIN(0, N127+(IFERROR(IF(26*INDEX('UA-normalized'!$D:$D, MATCH($A127, 'UA-normalized'!$A:$A, 0))-INDEX('UA-normalized'!$E:$E, MATCH($A127, 'UA-normalized'!$A:$A, 0))&gt;0, -(26*INDEX('UA-normalized'!$D:$D, MATCH($A127, 'UA-normalized'!$A:$A, 0))-INDEX('UA-normalized'!$E:$E, MATCH($A127, 'UA-normalized'!$A:$A, 0))), 0), 0))+(IFERROR(IF(26*INDEX('KZ-normalized'!$D:$D, MATCH($A127, 'KZ-normalized'!$A:$A, 0))-INDEX('KZ-normalized'!$E:$E, MATCH($A127, 'KZ-normalized'!$A:$A, 0))&gt;0, -(26*INDEX('KZ-normalized'!$D:$D, MATCH($A127, 'KZ-normalized'!$A:$A, 0))-INDEX('KZ-normalized'!$E:$E, MATCH($A127, 'KZ-normalized'!$A:$A, 0))), 0), 0))+(IFERROR(IF(26*INDEX('UZ-normalized'!$D:$D, MATCH($A127, 'UZ-normalized'!$A:$A, 0))-INDEX('UZ-normalized'!$E:$E, MATCH($A127, 'UZ-normalized'!$A:$A, 0))&gt;0, -(26*INDEX('UZ-normalized'!$D:$D, MATCH($A127, 'UZ-normalized'!$A:$A, 0))-INDEX('UZ-normalized'!$E:$E, MATCH($A127, 'UZ-normalized'!$A:$A, 0))), 0), 0)))</f>
        <v>0</v>
      </c>
      <c r="AO127" s="6">
        <f>MIN(0, N127+(IFERROR(IF(27*INDEX('UA-normalized'!$D:$D, MATCH($A127, 'UA-normalized'!$A:$A, 0))-INDEX('UA-normalized'!$E:$E, MATCH($A127, 'UA-normalized'!$A:$A, 0))&gt;0, -(27*INDEX('UA-normalized'!$D:$D, MATCH($A127, 'UA-normalized'!$A:$A, 0))-INDEX('UA-normalized'!$E:$E, MATCH($A127, 'UA-normalized'!$A:$A, 0))), 0), 0))+(IFERROR(IF(27*INDEX('KZ-normalized'!$D:$D, MATCH($A127, 'KZ-normalized'!$A:$A, 0))-INDEX('KZ-normalized'!$E:$E, MATCH($A127, 'KZ-normalized'!$A:$A, 0))&gt;0, -(27*INDEX('KZ-normalized'!$D:$D, MATCH($A127, 'KZ-normalized'!$A:$A, 0))-INDEX('KZ-normalized'!$E:$E, MATCH($A127, 'KZ-normalized'!$A:$A, 0))), 0), 0))+(IFERROR(IF(27*INDEX('UZ-normalized'!$D:$D, MATCH($A127, 'UZ-normalized'!$A:$A, 0))-INDEX('UZ-normalized'!$E:$E, MATCH($A127, 'UZ-normalized'!$A:$A, 0))&gt;0, -(27*INDEX('UZ-normalized'!$D:$D, MATCH($A127, 'UZ-normalized'!$A:$A, 0))-INDEX('UZ-normalized'!$E:$E, MATCH($A127, 'UZ-normalized'!$A:$A, 0))), 0), 0)))</f>
        <v>0</v>
      </c>
      <c r="AP127" s="6">
        <f>MIN(0, N127+(IFERROR(IF(28*INDEX('UA-normalized'!$D:$D, MATCH($A127, 'UA-normalized'!$A:$A, 0))-INDEX('UA-normalized'!$E:$E, MATCH($A127, 'UA-normalized'!$A:$A, 0))&gt;0, -(28*INDEX('UA-normalized'!$D:$D, MATCH($A127, 'UA-normalized'!$A:$A, 0))-INDEX('UA-normalized'!$E:$E, MATCH($A127, 'UA-normalized'!$A:$A, 0))), 0), 0))+(IFERROR(IF(28*INDEX('KZ-normalized'!$D:$D, MATCH($A127, 'KZ-normalized'!$A:$A, 0))-INDEX('KZ-normalized'!$E:$E, MATCH($A127, 'KZ-normalized'!$A:$A, 0))&gt;0, -(28*INDEX('KZ-normalized'!$D:$D, MATCH($A127, 'KZ-normalized'!$A:$A, 0))-INDEX('KZ-normalized'!$E:$E, MATCH($A127, 'KZ-normalized'!$A:$A, 0))), 0), 0))+(IFERROR(IF(28*INDEX('UZ-normalized'!$D:$D, MATCH($A127, 'UZ-normalized'!$A:$A, 0))-INDEX('UZ-normalized'!$E:$E, MATCH($A127, 'UZ-normalized'!$A:$A, 0))&gt;0, -(28*INDEX('UZ-normalized'!$D:$D, MATCH($A127, 'UZ-normalized'!$A:$A, 0))-INDEX('UZ-normalized'!$E:$E, MATCH($A127, 'UZ-normalized'!$A:$A, 0))), 0), 0)))</f>
        <v>0</v>
      </c>
      <c r="AQ127" s="6">
        <f>MIN(0, N127+(IFERROR(IF(29*INDEX('UA-normalized'!$D:$D, MATCH($A127, 'UA-normalized'!$A:$A, 0))-INDEX('UA-normalized'!$E:$E, MATCH($A127, 'UA-normalized'!$A:$A, 0))&gt;0, -(29*INDEX('UA-normalized'!$D:$D, MATCH($A127, 'UA-normalized'!$A:$A, 0))-INDEX('UA-normalized'!$E:$E, MATCH($A127, 'UA-normalized'!$A:$A, 0))), 0), 0))+(IFERROR(IF(29*INDEX('KZ-normalized'!$D:$D, MATCH($A127, 'KZ-normalized'!$A:$A, 0))-INDEX('KZ-normalized'!$E:$E, MATCH($A127, 'KZ-normalized'!$A:$A, 0))&gt;0, -(29*INDEX('KZ-normalized'!$D:$D, MATCH($A127, 'KZ-normalized'!$A:$A, 0))-INDEX('KZ-normalized'!$E:$E, MATCH($A127, 'KZ-normalized'!$A:$A, 0))), 0), 0))+(IFERROR(IF(29*INDEX('UZ-normalized'!$D:$D, MATCH($A127, 'UZ-normalized'!$A:$A, 0))-INDEX('UZ-normalized'!$E:$E, MATCH($A127, 'UZ-normalized'!$A:$A, 0))&gt;0, -(29*INDEX('UZ-normalized'!$D:$D, MATCH($A127, 'UZ-normalized'!$A:$A, 0))-INDEX('UZ-normalized'!$E:$E, MATCH($A127, 'UZ-normalized'!$A:$A, 0))), 0), 0)))</f>
        <v>0</v>
      </c>
      <c r="AR127" s="6">
        <f>MIN(0, N127+(IFERROR(IF(30*INDEX('UA-normalized'!$D:$D, MATCH($A127, 'UA-normalized'!$A:$A, 0))-INDEX('UA-normalized'!$E:$E, MATCH($A127, 'UA-normalized'!$A:$A, 0))&gt;0, -(30*INDEX('UA-normalized'!$D:$D, MATCH($A127, 'UA-normalized'!$A:$A, 0))-INDEX('UA-normalized'!$E:$E, MATCH($A127, 'UA-normalized'!$A:$A, 0))), 0), 0))+(IFERROR(IF(30*INDEX('KZ-normalized'!$D:$D, MATCH($A127, 'KZ-normalized'!$A:$A, 0))-INDEX('KZ-normalized'!$E:$E, MATCH($A127, 'KZ-normalized'!$A:$A, 0))&gt;0, -(30*INDEX('KZ-normalized'!$D:$D, MATCH($A127, 'KZ-normalized'!$A:$A, 0))-INDEX('KZ-normalized'!$E:$E, MATCH($A127, 'KZ-normalized'!$A:$A, 0))), 0), 0))+(IFERROR(IF(30*INDEX('UZ-normalized'!$D:$D, MATCH($A127, 'UZ-normalized'!$A:$A, 0))-INDEX('UZ-normalized'!$E:$E, MATCH($A127, 'UZ-normalized'!$A:$A, 0))&gt;0, -(30*INDEX('UZ-normalized'!$D:$D, MATCH($A127, 'UZ-normalized'!$A:$A, 0))-INDEX('UZ-normalized'!$E:$E, MATCH($A127, 'UZ-normalized'!$A:$A, 0))), 0), 0)))</f>
        <v>0</v>
      </c>
    </row>
    <row r="128" spans="1:44" x14ac:dyDescent="0.25">
      <c r="A128" s="8" t="s">
        <v>312</v>
      </c>
      <c r="B128" s="8" t="s">
        <v>294</v>
      </c>
      <c r="C128" s="8" t="s">
        <v>308</v>
      </c>
      <c r="D128" s="8" t="s">
        <v>313</v>
      </c>
      <c r="N128">
        <f t="shared" si="1"/>
        <v>0</v>
      </c>
      <c r="O128" s="6">
        <f>MIN(0, N128+(IFERROR(IF(1*INDEX('UA-normalized'!$D:$D, MATCH($A128, 'UA-normalized'!$A:$A, 0))-INDEX('UA-normalized'!$E:$E, MATCH($A128, 'UA-normalized'!$A:$A, 0))&gt;0, -(1*INDEX('UA-normalized'!$D:$D, MATCH($A128, 'UA-normalized'!$A:$A, 0))-INDEX('UA-normalized'!$E:$E, MATCH($A128, 'UA-normalized'!$A:$A, 0))), 0), 0))+(IFERROR(IF(1*INDEX('KZ-normalized'!$D:$D, MATCH($A128, 'KZ-normalized'!$A:$A, 0))-INDEX('KZ-normalized'!$E:$E, MATCH($A128, 'KZ-normalized'!$A:$A, 0))&gt;0, -(1*INDEX('KZ-normalized'!$D:$D, MATCH($A128, 'KZ-normalized'!$A:$A, 0))-INDEX('KZ-normalized'!$E:$E, MATCH($A128, 'KZ-normalized'!$A:$A, 0))), 0), 0))+(IFERROR(IF(1*INDEX('UZ-normalized'!$D:$D, MATCH($A128, 'UZ-normalized'!$A:$A, 0))-INDEX('UZ-normalized'!$E:$E, MATCH($A128, 'UZ-normalized'!$A:$A, 0))&gt;0, -(1*INDEX('UZ-normalized'!$D:$D, MATCH($A128, 'UZ-normalized'!$A:$A, 0))-INDEX('UZ-normalized'!$E:$E, MATCH($A128, 'UZ-normalized'!$A:$A, 0))), 0), 0)))</f>
        <v>0</v>
      </c>
      <c r="P128" s="6">
        <f>MIN(0, N128+(IFERROR(IF(2*INDEX('UA-normalized'!$D:$D, MATCH($A128, 'UA-normalized'!$A:$A, 0))-INDEX('UA-normalized'!$E:$E, MATCH($A128, 'UA-normalized'!$A:$A, 0))&gt;0, -(2*INDEX('UA-normalized'!$D:$D, MATCH($A128, 'UA-normalized'!$A:$A, 0))-INDEX('UA-normalized'!$E:$E, MATCH($A128, 'UA-normalized'!$A:$A, 0))), 0), 0))+(IFERROR(IF(2*INDEX('KZ-normalized'!$D:$D, MATCH($A128, 'KZ-normalized'!$A:$A, 0))-INDEX('KZ-normalized'!$E:$E, MATCH($A128, 'KZ-normalized'!$A:$A, 0))&gt;0, -(2*INDEX('KZ-normalized'!$D:$D, MATCH($A128, 'KZ-normalized'!$A:$A, 0))-INDEX('KZ-normalized'!$E:$E, MATCH($A128, 'KZ-normalized'!$A:$A, 0))), 0), 0))+(IFERROR(IF(2*INDEX('UZ-normalized'!$D:$D, MATCH($A128, 'UZ-normalized'!$A:$A, 0))-INDEX('UZ-normalized'!$E:$E, MATCH($A128, 'UZ-normalized'!$A:$A, 0))&gt;0, -(2*INDEX('UZ-normalized'!$D:$D, MATCH($A128, 'UZ-normalized'!$A:$A, 0))-INDEX('UZ-normalized'!$E:$E, MATCH($A128, 'UZ-normalized'!$A:$A, 0))), 0), 0)))</f>
        <v>0</v>
      </c>
      <c r="Q128" s="6">
        <f>MIN(0, N128+(IFERROR(IF(3*INDEX('UA-normalized'!$D:$D, MATCH($A128, 'UA-normalized'!$A:$A, 0))-INDEX('UA-normalized'!$E:$E, MATCH($A128, 'UA-normalized'!$A:$A, 0))&gt;0, -(3*INDEX('UA-normalized'!$D:$D, MATCH($A128, 'UA-normalized'!$A:$A, 0))-INDEX('UA-normalized'!$E:$E, MATCH($A128, 'UA-normalized'!$A:$A, 0))), 0), 0))+(IFERROR(IF(3*INDEX('KZ-normalized'!$D:$D, MATCH($A128, 'KZ-normalized'!$A:$A, 0))-INDEX('KZ-normalized'!$E:$E, MATCH($A128, 'KZ-normalized'!$A:$A, 0))&gt;0, -(3*INDEX('KZ-normalized'!$D:$D, MATCH($A128, 'KZ-normalized'!$A:$A, 0))-INDEX('KZ-normalized'!$E:$E, MATCH($A128, 'KZ-normalized'!$A:$A, 0))), 0), 0))+(IFERROR(IF(3*INDEX('UZ-normalized'!$D:$D, MATCH($A128, 'UZ-normalized'!$A:$A, 0))-INDEX('UZ-normalized'!$E:$E, MATCH($A128, 'UZ-normalized'!$A:$A, 0))&gt;0, -(3*INDEX('UZ-normalized'!$D:$D, MATCH($A128, 'UZ-normalized'!$A:$A, 0))-INDEX('UZ-normalized'!$E:$E, MATCH($A128, 'UZ-normalized'!$A:$A, 0))), 0), 0)))</f>
        <v>0</v>
      </c>
      <c r="R128" s="6">
        <f>MIN(0, N128+(IFERROR(IF(4*INDEX('UA-normalized'!$D:$D, MATCH($A128, 'UA-normalized'!$A:$A, 0))-INDEX('UA-normalized'!$E:$E, MATCH($A128, 'UA-normalized'!$A:$A, 0))&gt;0, -(4*INDEX('UA-normalized'!$D:$D, MATCH($A128, 'UA-normalized'!$A:$A, 0))-INDEX('UA-normalized'!$E:$E, MATCH($A128, 'UA-normalized'!$A:$A, 0))), 0), 0))+(IFERROR(IF(4*INDEX('KZ-normalized'!$D:$D, MATCH($A128, 'KZ-normalized'!$A:$A, 0))-INDEX('KZ-normalized'!$E:$E, MATCH($A128, 'KZ-normalized'!$A:$A, 0))&gt;0, -(4*INDEX('KZ-normalized'!$D:$D, MATCH($A128, 'KZ-normalized'!$A:$A, 0))-INDEX('KZ-normalized'!$E:$E, MATCH($A128, 'KZ-normalized'!$A:$A, 0))), 0), 0))+(IFERROR(IF(4*INDEX('UZ-normalized'!$D:$D, MATCH($A128, 'UZ-normalized'!$A:$A, 0))-INDEX('UZ-normalized'!$E:$E, MATCH($A128, 'UZ-normalized'!$A:$A, 0))&gt;0, -(4*INDEX('UZ-normalized'!$D:$D, MATCH($A128, 'UZ-normalized'!$A:$A, 0))-INDEX('UZ-normalized'!$E:$E, MATCH($A128, 'UZ-normalized'!$A:$A, 0))), 0), 0)))</f>
        <v>0</v>
      </c>
      <c r="S128" s="6">
        <f>MIN(0, N128+(IFERROR(IF(5*INDEX('UA-normalized'!$D:$D, MATCH($A128, 'UA-normalized'!$A:$A, 0))-INDEX('UA-normalized'!$E:$E, MATCH($A128, 'UA-normalized'!$A:$A, 0))&gt;0, -(5*INDEX('UA-normalized'!$D:$D, MATCH($A128, 'UA-normalized'!$A:$A, 0))-INDEX('UA-normalized'!$E:$E, MATCH($A128, 'UA-normalized'!$A:$A, 0))), 0), 0))+(IFERROR(IF(5*INDEX('KZ-normalized'!$D:$D, MATCH($A128, 'KZ-normalized'!$A:$A, 0))-INDEX('KZ-normalized'!$E:$E, MATCH($A128, 'KZ-normalized'!$A:$A, 0))&gt;0, -(5*INDEX('KZ-normalized'!$D:$D, MATCH($A128, 'KZ-normalized'!$A:$A, 0))-INDEX('KZ-normalized'!$E:$E, MATCH($A128, 'KZ-normalized'!$A:$A, 0))), 0), 0))+(IFERROR(IF(5*INDEX('UZ-normalized'!$D:$D, MATCH($A128, 'UZ-normalized'!$A:$A, 0))-INDEX('UZ-normalized'!$E:$E, MATCH($A128, 'UZ-normalized'!$A:$A, 0))&gt;0, -(5*INDEX('UZ-normalized'!$D:$D, MATCH($A128, 'UZ-normalized'!$A:$A, 0))-INDEX('UZ-normalized'!$E:$E, MATCH($A128, 'UZ-normalized'!$A:$A, 0))), 0), 0)))</f>
        <v>0</v>
      </c>
      <c r="T128" s="6">
        <f>MIN(0, N128+(IFERROR(IF(6*INDEX('UA-normalized'!$D:$D, MATCH($A128, 'UA-normalized'!$A:$A, 0))-INDEX('UA-normalized'!$E:$E, MATCH($A128, 'UA-normalized'!$A:$A, 0))&gt;0, -(6*INDEX('UA-normalized'!$D:$D, MATCH($A128, 'UA-normalized'!$A:$A, 0))-INDEX('UA-normalized'!$E:$E, MATCH($A128, 'UA-normalized'!$A:$A, 0))), 0), 0))+(IFERROR(IF(6*INDEX('KZ-normalized'!$D:$D, MATCH($A128, 'KZ-normalized'!$A:$A, 0))-INDEX('KZ-normalized'!$E:$E, MATCH($A128, 'KZ-normalized'!$A:$A, 0))&gt;0, -(6*INDEX('KZ-normalized'!$D:$D, MATCH($A128, 'KZ-normalized'!$A:$A, 0))-INDEX('KZ-normalized'!$E:$E, MATCH($A128, 'KZ-normalized'!$A:$A, 0))), 0), 0))+(IFERROR(IF(6*INDEX('UZ-normalized'!$D:$D, MATCH($A128, 'UZ-normalized'!$A:$A, 0))-INDEX('UZ-normalized'!$E:$E, MATCH($A128, 'UZ-normalized'!$A:$A, 0))&gt;0, -(6*INDEX('UZ-normalized'!$D:$D, MATCH($A128, 'UZ-normalized'!$A:$A, 0))-INDEX('UZ-normalized'!$E:$E, MATCH($A128, 'UZ-normalized'!$A:$A, 0))), 0), 0)))</f>
        <v>0</v>
      </c>
      <c r="U128" s="6">
        <f>MIN(0, N128+(IFERROR(IF(7*INDEX('UA-normalized'!$D:$D, MATCH($A128, 'UA-normalized'!$A:$A, 0))-INDEX('UA-normalized'!$E:$E, MATCH($A128, 'UA-normalized'!$A:$A, 0))&gt;0, -(7*INDEX('UA-normalized'!$D:$D, MATCH($A128, 'UA-normalized'!$A:$A, 0))-INDEX('UA-normalized'!$E:$E, MATCH($A128, 'UA-normalized'!$A:$A, 0))), 0), 0))+(IFERROR(IF(7*INDEX('KZ-normalized'!$D:$D, MATCH($A128, 'KZ-normalized'!$A:$A, 0))-INDEX('KZ-normalized'!$E:$E, MATCH($A128, 'KZ-normalized'!$A:$A, 0))&gt;0, -(7*INDEX('KZ-normalized'!$D:$D, MATCH($A128, 'KZ-normalized'!$A:$A, 0))-INDEX('KZ-normalized'!$E:$E, MATCH($A128, 'KZ-normalized'!$A:$A, 0))), 0), 0))+(IFERROR(IF(7*INDEX('UZ-normalized'!$D:$D, MATCH($A128, 'UZ-normalized'!$A:$A, 0))-INDEX('UZ-normalized'!$E:$E, MATCH($A128, 'UZ-normalized'!$A:$A, 0))&gt;0, -(7*INDEX('UZ-normalized'!$D:$D, MATCH($A128, 'UZ-normalized'!$A:$A, 0))-INDEX('UZ-normalized'!$E:$E, MATCH($A128, 'UZ-normalized'!$A:$A, 0))), 0), 0)))</f>
        <v>0</v>
      </c>
      <c r="V128" s="6">
        <f>MIN(0, N128+(IFERROR(IF(8*INDEX('UA-normalized'!$D:$D, MATCH($A128, 'UA-normalized'!$A:$A, 0))-INDEX('UA-normalized'!$E:$E, MATCH($A128, 'UA-normalized'!$A:$A, 0))&gt;0, -(8*INDEX('UA-normalized'!$D:$D, MATCH($A128, 'UA-normalized'!$A:$A, 0))-INDEX('UA-normalized'!$E:$E, MATCH($A128, 'UA-normalized'!$A:$A, 0))), 0), 0))+(IFERROR(IF(8*INDEX('KZ-normalized'!$D:$D, MATCH($A128, 'KZ-normalized'!$A:$A, 0))-INDEX('KZ-normalized'!$E:$E, MATCH($A128, 'KZ-normalized'!$A:$A, 0))&gt;0, -(8*INDEX('KZ-normalized'!$D:$D, MATCH($A128, 'KZ-normalized'!$A:$A, 0))-INDEX('KZ-normalized'!$E:$E, MATCH($A128, 'KZ-normalized'!$A:$A, 0))), 0), 0))+(IFERROR(IF(8*INDEX('UZ-normalized'!$D:$D, MATCH($A128, 'UZ-normalized'!$A:$A, 0))-INDEX('UZ-normalized'!$E:$E, MATCH($A128, 'UZ-normalized'!$A:$A, 0))&gt;0, -(8*INDEX('UZ-normalized'!$D:$D, MATCH($A128, 'UZ-normalized'!$A:$A, 0))-INDEX('UZ-normalized'!$E:$E, MATCH($A128, 'UZ-normalized'!$A:$A, 0))), 0), 0)))</f>
        <v>0</v>
      </c>
      <c r="W128" s="6">
        <f>MIN(0, N128+(IFERROR(IF(9*INDEX('UA-normalized'!$D:$D, MATCH($A128, 'UA-normalized'!$A:$A, 0))-INDEX('UA-normalized'!$E:$E, MATCH($A128, 'UA-normalized'!$A:$A, 0))&gt;0, -(9*INDEX('UA-normalized'!$D:$D, MATCH($A128, 'UA-normalized'!$A:$A, 0))-INDEX('UA-normalized'!$E:$E, MATCH($A128, 'UA-normalized'!$A:$A, 0))), 0), 0))+(IFERROR(IF(9*INDEX('KZ-normalized'!$D:$D, MATCH($A128, 'KZ-normalized'!$A:$A, 0))-INDEX('KZ-normalized'!$E:$E, MATCH($A128, 'KZ-normalized'!$A:$A, 0))&gt;0, -(9*INDEX('KZ-normalized'!$D:$D, MATCH($A128, 'KZ-normalized'!$A:$A, 0))-INDEX('KZ-normalized'!$E:$E, MATCH($A128, 'KZ-normalized'!$A:$A, 0))), 0), 0))+(IFERROR(IF(9*INDEX('UZ-normalized'!$D:$D, MATCH($A128, 'UZ-normalized'!$A:$A, 0))-INDEX('UZ-normalized'!$E:$E, MATCH($A128, 'UZ-normalized'!$A:$A, 0))&gt;0, -(9*INDEX('UZ-normalized'!$D:$D, MATCH($A128, 'UZ-normalized'!$A:$A, 0))-INDEX('UZ-normalized'!$E:$E, MATCH($A128, 'UZ-normalized'!$A:$A, 0))), 0), 0)))</f>
        <v>0</v>
      </c>
      <c r="X128" s="6">
        <f>MIN(0, N128+(IFERROR(IF(10*INDEX('UA-normalized'!$D:$D, MATCH($A128, 'UA-normalized'!$A:$A, 0))-INDEX('UA-normalized'!$E:$E, MATCH($A128, 'UA-normalized'!$A:$A, 0))&gt;0, -(10*INDEX('UA-normalized'!$D:$D, MATCH($A128, 'UA-normalized'!$A:$A, 0))-INDEX('UA-normalized'!$E:$E, MATCH($A128, 'UA-normalized'!$A:$A, 0))), 0), 0))+(IFERROR(IF(10*INDEX('KZ-normalized'!$D:$D, MATCH($A128, 'KZ-normalized'!$A:$A, 0))-INDEX('KZ-normalized'!$E:$E, MATCH($A128, 'KZ-normalized'!$A:$A, 0))&gt;0, -(10*INDEX('KZ-normalized'!$D:$D, MATCH($A128, 'KZ-normalized'!$A:$A, 0))-INDEX('KZ-normalized'!$E:$E, MATCH($A128, 'KZ-normalized'!$A:$A, 0))), 0), 0))+(IFERROR(IF(10*INDEX('UZ-normalized'!$D:$D, MATCH($A128, 'UZ-normalized'!$A:$A, 0))-INDEX('UZ-normalized'!$E:$E, MATCH($A128, 'UZ-normalized'!$A:$A, 0))&gt;0, -(10*INDEX('UZ-normalized'!$D:$D, MATCH($A128, 'UZ-normalized'!$A:$A, 0))-INDEX('UZ-normalized'!$E:$E, MATCH($A128, 'UZ-normalized'!$A:$A, 0))), 0), 0)))</f>
        <v>0</v>
      </c>
      <c r="Y128" s="6">
        <f>MIN(0, N128+(IFERROR(IF(11*INDEX('UA-normalized'!$D:$D, MATCH($A128, 'UA-normalized'!$A:$A, 0))-INDEX('UA-normalized'!$E:$E, MATCH($A128, 'UA-normalized'!$A:$A, 0))&gt;0, -(11*INDEX('UA-normalized'!$D:$D, MATCH($A128, 'UA-normalized'!$A:$A, 0))-INDEX('UA-normalized'!$E:$E, MATCH($A128, 'UA-normalized'!$A:$A, 0))), 0), 0))+(IFERROR(IF(11*INDEX('KZ-normalized'!$D:$D, MATCH($A128, 'KZ-normalized'!$A:$A, 0))-INDEX('KZ-normalized'!$E:$E, MATCH($A128, 'KZ-normalized'!$A:$A, 0))&gt;0, -(11*INDEX('KZ-normalized'!$D:$D, MATCH($A128, 'KZ-normalized'!$A:$A, 0))-INDEX('KZ-normalized'!$E:$E, MATCH($A128, 'KZ-normalized'!$A:$A, 0))), 0), 0))+(IFERROR(IF(11*INDEX('UZ-normalized'!$D:$D, MATCH($A128, 'UZ-normalized'!$A:$A, 0))-INDEX('UZ-normalized'!$E:$E, MATCH($A128, 'UZ-normalized'!$A:$A, 0))&gt;0, -(11*INDEX('UZ-normalized'!$D:$D, MATCH($A128, 'UZ-normalized'!$A:$A, 0))-INDEX('UZ-normalized'!$E:$E, MATCH($A128, 'UZ-normalized'!$A:$A, 0))), 0), 0)))</f>
        <v>0</v>
      </c>
      <c r="Z128" s="6">
        <f>MIN(0, N128+(IFERROR(IF(12*INDEX('UA-normalized'!$D:$D, MATCH($A128, 'UA-normalized'!$A:$A, 0))-INDEX('UA-normalized'!$E:$E, MATCH($A128, 'UA-normalized'!$A:$A, 0))&gt;0, -(12*INDEX('UA-normalized'!$D:$D, MATCH($A128, 'UA-normalized'!$A:$A, 0))-INDEX('UA-normalized'!$E:$E, MATCH($A128, 'UA-normalized'!$A:$A, 0))), 0), 0))+(IFERROR(IF(12*INDEX('KZ-normalized'!$D:$D, MATCH($A128, 'KZ-normalized'!$A:$A, 0))-INDEX('KZ-normalized'!$E:$E, MATCH($A128, 'KZ-normalized'!$A:$A, 0))&gt;0, -(12*INDEX('KZ-normalized'!$D:$D, MATCH($A128, 'KZ-normalized'!$A:$A, 0))-INDEX('KZ-normalized'!$E:$E, MATCH($A128, 'KZ-normalized'!$A:$A, 0))), 0), 0))+(IFERROR(IF(12*INDEX('UZ-normalized'!$D:$D, MATCH($A128, 'UZ-normalized'!$A:$A, 0))-INDEX('UZ-normalized'!$E:$E, MATCH($A128, 'UZ-normalized'!$A:$A, 0))&gt;0, -(12*INDEX('UZ-normalized'!$D:$D, MATCH($A128, 'UZ-normalized'!$A:$A, 0))-INDEX('UZ-normalized'!$E:$E, MATCH($A128, 'UZ-normalized'!$A:$A, 0))), 0), 0)))</f>
        <v>0</v>
      </c>
      <c r="AA128" s="6">
        <f>MIN(0, N128+(IFERROR(IF(13*INDEX('UA-normalized'!$D:$D, MATCH($A128, 'UA-normalized'!$A:$A, 0))-INDEX('UA-normalized'!$E:$E, MATCH($A128, 'UA-normalized'!$A:$A, 0))&gt;0, -(13*INDEX('UA-normalized'!$D:$D, MATCH($A128, 'UA-normalized'!$A:$A, 0))-INDEX('UA-normalized'!$E:$E, MATCH($A128, 'UA-normalized'!$A:$A, 0))), 0), 0))+(IFERROR(IF(13*INDEX('KZ-normalized'!$D:$D, MATCH($A128, 'KZ-normalized'!$A:$A, 0))-INDEX('KZ-normalized'!$E:$E, MATCH($A128, 'KZ-normalized'!$A:$A, 0))&gt;0, -(13*INDEX('KZ-normalized'!$D:$D, MATCH($A128, 'KZ-normalized'!$A:$A, 0))-INDEX('KZ-normalized'!$E:$E, MATCH($A128, 'KZ-normalized'!$A:$A, 0))), 0), 0))+(IFERROR(IF(13*INDEX('UZ-normalized'!$D:$D, MATCH($A128, 'UZ-normalized'!$A:$A, 0))-INDEX('UZ-normalized'!$E:$E, MATCH($A128, 'UZ-normalized'!$A:$A, 0))&gt;0, -(13*INDEX('UZ-normalized'!$D:$D, MATCH($A128, 'UZ-normalized'!$A:$A, 0))-INDEX('UZ-normalized'!$E:$E, MATCH($A128, 'UZ-normalized'!$A:$A, 0))), 0), 0)))</f>
        <v>0</v>
      </c>
      <c r="AB128" s="6">
        <f>MIN(0, N128+(IFERROR(IF(14*INDEX('UA-normalized'!$D:$D, MATCH($A128, 'UA-normalized'!$A:$A, 0))-INDEX('UA-normalized'!$E:$E, MATCH($A128, 'UA-normalized'!$A:$A, 0))&gt;0, -(14*INDEX('UA-normalized'!$D:$D, MATCH($A128, 'UA-normalized'!$A:$A, 0))-INDEX('UA-normalized'!$E:$E, MATCH($A128, 'UA-normalized'!$A:$A, 0))), 0), 0))+(IFERROR(IF(14*INDEX('KZ-normalized'!$D:$D, MATCH($A128, 'KZ-normalized'!$A:$A, 0))-INDEX('KZ-normalized'!$E:$E, MATCH($A128, 'KZ-normalized'!$A:$A, 0))&gt;0, -(14*INDEX('KZ-normalized'!$D:$D, MATCH($A128, 'KZ-normalized'!$A:$A, 0))-INDEX('KZ-normalized'!$E:$E, MATCH($A128, 'KZ-normalized'!$A:$A, 0))), 0), 0))+(IFERROR(IF(14*INDEX('UZ-normalized'!$D:$D, MATCH($A128, 'UZ-normalized'!$A:$A, 0))-INDEX('UZ-normalized'!$E:$E, MATCH($A128, 'UZ-normalized'!$A:$A, 0))&gt;0, -(14*INDEX('UZ-normalized'!$D:$D, MATCH($A128, 'UZ-normalized'!$A:$A, 0))-INDEX('UZ-normalized'!$E:$E, MATCH($A128, 'UZ-normalized'!$A:$A, 0))), 0), 0)))</f>
        <v>0</v>
      </c>
      <c r="AC128" s="6">
        <f>MIN(0, N128+(IFERROR(IF(15*INDEX('UA-normalized'!$D:$D, MATCH($A128, 'UA-normalized'!$A:$A, 0))-INDEX('UA-normalized'!$E:$E, MATCH($A128, 'UA-normalized'!$A:$A, 0))&gt;0, -(15*INDEX('UA-normalized'!$D:$D, MATCH($A128, 'UA-normalized'!$A:$A, 0))-INDEX('UA-normalized'!$E:$E, MATCH($A128, 'UA-normalized'!$A:$A, 0))), 0), 0))+(IFERROR(IF(15*INDEX('KZ-normalized'!$D:$D, MATCH($A128, 'KZ-normalized'!$A:$A, 0))-INDEX('KZ-normalized'!$E:$E, MATCH($A128, 'KZ-normalized'!$A:$A, 0))&gt;0, -(15*INDEX('KZ-normalized'!$D:$D, MATCH($A128, 'KZ-normalized'!$A:$A, 0))-INDEX('KZ-normalized'!$E:$E, MATCH($A128, 'KZ-normalized'!$A:$A, 0))), 0), 0))+(IFERROR(IF(15*INDEX('UZ-normalized'!$D:$D, MATCH($A128, 'UZ-normalized'!$A:$A, 0))-INDEX('UZ-normalized'!$E:$E, MATCH($A128, 'UZ-normalized'!$A:$A, 0))&gt;0, -(15*INDEX('UZ-normalized'!$D:$D, MATCH($A128, 'UZ-normalized'!$A:$A, 0))-INDEX('UZ-normalized'!$E:$E, MATCH($A128, 'UZ-normalized'!$A:$A, 0))), 0), 0)))</f>
        <v>0</v>
      </c>
      <c r="AD128" s="6">
        <f>MIN(0, N128+(IFERROR(IF(16*INDEX('UA-normalized'!$D:$D, MATCH($A128, 'UA-normalized'!$A:$A, 0))-INDEX('UA-normalized'!$E:$E, MATCH($A128, 'UA-normalized'!$A:$A, 0))&gt;0, -(16*INDEX('UA-normalized'!$D:$D, MATCH($A128, 'UA-normalized'!$A:$A, 0))-INDEX('UA-normalized'!$E:$E, MATCH($A128, 'UA-normalized'!$A:$A, 0))), 0), 0))+(IFERROR(IF(16*INDEX('KZ-normalized'!$D:$D, MATCH($A128, 'KZ-normalized'!$A:$A, 0))-INDEX('KZ-normalized'!$E:$E, MATCH($A128, 'KZ-normalized'!$A:$A, 0))&gt;0, -(16*INDEX('KZ-normalized'!$D:$D, MATCH($A128, 'KZ-normalized'!$A:$A, 0))-INDEX('KZ-normalized'!$E:$E, MATCH($A128, 'KZ-normalized'!$A:$A, 0))), 0), 0))+(IFERROR(IF(16*INDEX('UZ-normalized'!$D:$D, MATCH($A128, 'UZ-normalized'!$A:$A, 0))-INDEX('UZ-normalized'!$E:$E, MATCH($A128, 'UZ-normalized'!$A:$A, 0))&gt;0, -(16*INDEX('UZ-normalized'!$D:$D, MATCH($A128, 'UZ-normalized'!$A:$A, 0))-INDEX('UZ-normalized'!$E:$E, MATCH($A128, 'UZ-normalized'!$A:$A, 0))), 0), 0)))</f>
        <v>0</v>
      </c>
      <c r="AE128" s="6">
        <f>MIN(0, N128+(IFERROR(IF(17*INDEX('UA-normalized'!$D:$D, MATCH($A128, 'UA-normalized'!$A:$A, 0))-INDEX('UA-normalized'!$E:$E, MATCH($A128, 'UA-normalized'!$A:$A, 0))&gt;0, -(17*INDEX('UA-normalized'!$D:$D, MATCH($A128, 'UA-normalized'!$A:$A, 0))-INDEX('UA-normalized'!$E:$E, MATCH($A128, 'UA-normalized'!$A:$A, 0))), 0), 0))+(IFERROR(IF(17*INDEX('KZ-normalized'!$D:$D, MATCH($A128, 'KZ-normalized'!$A:$A, 0))-INDEX('KZ-normalized'!$E:$E, MATCH($A128, 'KZ-normalized'!$A:$A, 0))&gt;0, -(17*INDEX('KZ-normalized'!$D:$D, MATCH($A128, 'KZ-normalized'!$A:$A, 0))-INDEX('KZ-normalized'!$E:$E, MATCH($A128, 'KZ-normalized'!$A:$A, 0))), 0), 0))+(IFERROR(IF(17*INDEX('UZ-normalized'!$D:$D, MATCH($A128, 'UZ-normalized'!$A:$A, 0))-INDEX('UZ-normalized'!$E:$E, MATCH($A128, 'UZ-normalized'!$A:$A, 0))&gt;0, -(17*INDEX('UZ-normalized'!$D:$D, MATCH($A128, 'UZ-normalized'!$A:$A, 0))-INDEX('UZ-normalized'!$E:$E, MATCH($A128, 'UZ-normalized'!$A:$A, 0))), 0), 0)))</f>
        <v>0</v>
      </c>
      <c r="AF128" s="6">
        <f>MIN(0, N128+(IFERROR(IF(18*INDEX('UA-normalized'!$D:$D, MATCH($A128, 'UA-normalized'!$A:$A, 0))-INDEX('UA-normalized'!$E:$E, MATCH($A128, 'UA-normalized'!$A:$A, 0))&gt;0, -(18*INDEX('UA-normalized'!$D:$D, MATCH($A128, 'UA-normalized'!$A:$A, 0))-INDEX('UA-normalized'!$E:$E, MATCH($A128, 'UA-normalized'!$A:$A, 0))), 0), 0))+(IFERROR(IF(18*INDEX('KZ-normalized'!$D:$D, MATCH($A128, 'KZ-normalized'!$A:$A, 0))-INDEX('KZ-normalized'!$E:$E, MATCH($A128, 'KZ-normalized'!$A:$A, 0))&gt;0, -(18*INDEX('KZ-normalized'!$D:$D, MATCH($A128, 'KZ-normalized'!$A:$A, 0))-INDEX('KZ-normalized'!$E:$E, MATCH($A128, 'KZ-normalized'!$A:$A, 0))), 0), 0))+(IFERROR(IF(18*INDEX('UZ-normalized'!$D:$D, MATCH($A128, 'UZ-normalized'!$A:$A, 0))-INDEX('UZ-normalized'!$E:$E, MATCH($A128, 'UZ-normalized'!$A:$A, 0))&gt;0, -(18*INDEX('UZ-normalized'!$D:$D, MATCH($A128, 'UZ-normalized'!$A:$A, 0))-INDEX('UZ-normalized'!$E:$E, MATCH($A128, 'UZ-normalized'!$A:$A, 0))), 0), 0)))</f>
        <v>0</v>
      </c>
      <c r="AG128" s="6">
        <f>MIN(0, N128+(IFERROR(IF(19*INDEX('UA-normalized'!$D:$D, MATCH($A128, 'UA-normalized'!$A:$A, 0))-INDEX('UA-normalized'!$E:$E, MATCH($A128, 'UA-normalized'!$A:$A, 0))&gt;0, -(19*INDEX('UA-normalized'!$D:$D, MATCH($A128, 'UA-normalized'!$A:$A, 0))-INDEX('UA-normalized'!$E:$E, MATCH($A128, 'UA-normalized'!$A:$A, 0))), 0), 0))+(IFERROR(IF(19*INDEX('KZ-normalized'!$D:$D, MATCH($A128, 'KZ-normalized'!$A:$A, 0))-INDEX('KZ-normalized'!$E:$E, MATCH($A128, 'KZ-normalized'!$A:$A, 0))&gt;0, -(19*INDEX('KZ-normalized'!$D:$D, MATCH($A128, 'KZ-normalized'!$A:$A, 0))-INDEX('KZ-normalized'!$E:$E, MATCH($A128, 'KZ-normalized'!$A:$A, 0))), 0), 0))+(IFERROR(IF(19*INDEX('UZ-normalized'!$D:$D, MATCH($A128, 'UZ-normalized'!$A:$A, 0))-INDEX('UZ-normalized'!$E:$E, MATCH($A128, 'UZ-normalized'!$A:$A, 0))&gt;0, -(19*INDEX('UZ-normalized'!$D:$D, MATCH($A128, 'UZ-normalized'!$A:$A, 0))-INDEX('UZ-normalized'!$E:$E, MATCH($A128, 'UZ-normalized'!$A:$A, 0))), 0), 0)))</f>
        <v>0</v>
      </c>
      <c r="AH128" s="6">
        <f>MIN(0, N128+(IFERROR(IF(20*INDEX('UA-normalized'!$D:$D, MATCH($A128, 'UA-normalized'!$A:$A, 0))-INDEX('UA-normalized'!$E:$E, MATCH($A128, 'UA-normalized'!$A:$A, 0))&gt;0, -(20*INDEX('UA-normalized'!$D:$D, MATCH($A128, 'UA-normalized'!$A:$A, 0))-INDEX('UA-normalized'!$E:$E, MATCH($A128, 'UA-normalized'!$A:$A, 0))), 0), 0))+(IFERROR(IF(20*INDEX('KZ-normalized'!$D:$D, MATCH($A128, 'KZ-normalized'!$A:$A, 0))-INDEX('KZ-normalized'!$E:$E, MATCH($A128, 'KZ-normalized'!$A:$A, 0))&gt;0, -(20*INDEX('KZ-normalized'!$D:$D, MATCH($A128, 'KZ-normalized'!$A:$A, 0))-INDEX('KZ-normalized'!$E:$E, MATCH($A128, 'KZ-normalized'!$A:$A, 0))), 0), 0))+(IFERROR(IF(20*INDEX('UZ-normalized'!$D:$D, MATCH($A128, 'UZ-normalized'!$A:$A, 0))-INDEX('UZ-normalized'!$E:$E, MATCH($A128, 'UZ-normalized'!$A:$A, 0))&gt;0, -(20*INDEX('UZ-normalized'!$D:$D, MATCH($A128, 'UZ-normalized'!$A:$A, 0))-INDEX('UZ-normalized'!$E:$E, MATCH($A128, 'UZ-normalized'!$A:$A, 0))), 0), 0)))</f>
        <v>0</v>
      </c>
      <c r="AI128" s="6">
        <f>MIN(0, N128+(IFERROR(IF(21*INDEX('UA-normalized'!$D:$D, MATCH($A128, 'UA-normalized'!$A:$A, 0))-INDEX('UA-normalized'!$E:$E, MATCH($A128, 'UA-normalized'!$A:$A, 0))&gt;0, -(21*INDEX('UA-normalized'!$D:$D, MATCH($A128, 'UA-normalized'!$A:$A, 0))-INDEX('UA-normalized'!$E:$E, MATCH($A128, 'UA-normalized'!$A:$A, 0))), 0), 0))+(IFERROR(IF(21*INDEX('KZ-normalized'!$D:$D, MATCH($A128, 'KZ-normalized'!$A:$A, 0))-INDEX('KZ-normalized'!$E:$E, MATCH($A128, 'KZ-normalized'!$A:$A, 0))&gt;0, -(21*INDEX('KZ-normalized'!$D:$D, MATCH($A128, 'KZ-normalized'!$A:$A, 0))-INDEX('KZ-normalized'!$E:$E, MATCH($A128, 'KZ-normalized'!$A:$A, 0))), 0), 0))+(IFERROR(IF(21*INDEX('UZ-normalized'!$D:$D, MATCH($A128, 'UZ-normalized'!$A:$A, 0))-INDEX('UZ-normalized'!$E:$E, MATCH($A128, 'UZ-normalized'!$A:$A, 0))&gt;0, -(21*INDEX('UZ-normalized'!$D:$D, MATCH($A128, 'UZ-normalized'!$A:$A, 0))-INDEX('UZ-normalized'!$E:$E, MATCH($A128, 'UZ-normalized'!$A:$A, 0))), 0), 0)))</f>
        <v>0</v>
      </c>
      <c r="AJ128" s="6">
        <f>MIN(0, N128+(IFERROR(IF(22*INDEX('UA-normalized'!$D:$D, MATCH($A128, 'UA-normalized'!$A:$A, 0))-INDEX('UA-normalized'!$E:$E, MATCH($A128, 'UA-normalized'!$A:$A, 0))&gt;0, -(22*INDEX('UA-normalized'!$D:$D, MATCH($A128, 'UA-normalized'!$A:$A, 0))-INDEX('UA-normalized'!$E:$E, MATCH($A128, 'UA-normalized'!$A:$A, 0))), 0), 0))+(IFERROR(IF(22*INDEX('KZ-normalized'!$D:$D, MATCH($A128, 'KZ-normalized'!$A:$A, 0))-INDEX('KZ-normalized'!$E:$E, MATCH($A128, 'KZ-normalized'!$A:$A, 0))&gt;0, -(22*INDEX('KZ-normalized'!$D:$D, MATCH($A128, 'KZ-normalized'!$A:$A, 0))-INDEX('KZ-normalized'!$E:$E, MATCH($A128, 'KZ-normalized'!$A:$A, 0))), 0), 0))+(IFERROR(IF(22*INDEX('UZ-normalized'!$D:$D, MATCH($A128, 'UZ-normalized'!$A:$A, 0))-INDEX('UZ-normalized'!$E:$E, MATCH($A128, 'UZ-normalized'!$A:$A, 0))&gt;0, -(22*INDEX('UZ-normalized'!$D:$D, MATCH($A128, 'UZ-normalized'!$A:$A, 0))-INDEX('UZ-normalized'!$E:$E, MATCH($A128, 'UZ-normalized'!$A:$A, 0))), 0), 0)))</f>
        <v>0</v>
      </c>
      <c r="AK128" s="6">
        <f>MIN(0, N128+(IFERROR(IF(23*INDEX('UA-normalized'!$D:$D, MATCH($A128, 'UA-normalized'!$A:$A, 0))-INDEX('UA-normalized'!$E:$E, MATCH($A128, 'UA-normalized'!$A:$A, 0))&gt;0, -(23*INDEX('UA-normalized'!$D:$D, MATCH($A128, 'UA-normalized'!$A:$A, 0))-INDEX('UA-normalized'!$E:$E, MATCH($A128, 'UA-normalized'!$A:$A, 0))), 0), 0))+(IFERROR(IF(23*INDEX('KZ-normalized'!$D:$D, MATCH($A128, 'KZ-normalized'!$A:$A, 0))-INDEX('KZ-normalized'!$E:$E, MATCH($A128, 'KZ-normalized'!$A:$A, 0))&gt;0, -(23*INDEX('KZ-normalized'!$D:$D, MATCH($A128, 'KZ-normalized'!$A:$A, 0))-INDEX('KZ-normalized'!$E:$E, MATCH($A128, 'KZ-normalized'!$A:$A, 0))), 0), 0))+(IFERROR(IF(23*INDEX('UZ-normalized'!$D:$D, MATCH($A128, 'UZ-normalized'!$A:$A, 0))-INDEX('UZ-normalized'!$E:$E, MATCH($A128, 'UZ-normalized'!$A:$A, 0))&gt;0, -(23*INDEX('UZ-normalized'!$D:$D, MATCH($A128, 'UZ-normalized'!$A:$A, 0))-INDEX('UZ-normalized'!$E:$E, MATCH($A128, 'UZ-normalized'!$A:$A, 0))), 0), 0)))</f>
        <v>0</v>
      </c>
      <c r="AL128" s="6">
        <f>MIN(0, N128+(IFERROR(IF(24*INDEX('UA-normalized'!$D:$D, MATCH($A128, 'UA-normalized'!$A:$A, 0))-INDEX('UA-normalized'!$E:$E, MATCH($A128, 'UA-normalized'!$A:$A, 0))&gt;0, -(24*INDEX('UA-normalized'!$D:$D, MATCH($A128, 'UA-normalized'!$A:$A, 0))-INDEX('UA-normalized'!$E:$E, MATCH($A128, 'UA-normalized'!$A:$A, 0))), 0), 0))+(IFERROR(IF(24*INDEX('KZ-normalized'!$D:$D, MATCH($A128, 'KZ-normalized'!$A:$A, 0))-INDEX('KZ-normalized'!$E:$E, MATCH($A128, 'KZ-normalized'!$A:$A, 0))&gt;0, -(24*INDEX('KZ-normalized'!$D:$D, MATCH($A128, 'KZ-normalized'!$A:$A, 0))-INDEX('KZ-normalized'!$E:$E, MATCH($A128, 'KZ-normalized'!$A:$A, 0))), 0), 0))+(IFERROR(IF(24*INDEX('UZ-normalized'!$D:$D, MATCH($A128, 'UZ-normalized'!$A:$A, 0))-INDEX('UZ-normalized'!$E:$E, MATCH($A128, 'UZ-normalized'!$A:$A, 0))&gt;0, -(24*INDEX('UZ-normalized'!$D:$D, MATCH($A128, 'UZ-normalized'!$A:$A, 0))-INDEX('UZ-normalized'!$E:$E, MATCH($A128, 'UZ-normalized'!$A:$A, 0))), 0), 0)))</f>
        <v>0</v>
      </c>
      <c r="AM128" s="6">
        <f>MIN(0, N128+(IFERROR(IF(25*INDEX('UA-normalized'!$D:$D, MATCH($A128, 'UA-normalized'!$A:$A, 0))-INDEX('UA-normalized'!$E:$E, MATCH($A128, 'UA-normalized'!$A:$A, 0))&gt;0, -(25*INDEX('UA-normalized'!$D:$D, MATCH($A128, 'UA-normalized'!$A:$A, 0))-INDEX('UA-normalized'!$E:$E, MATCH($A128, 'UA-normalized'!$A:$A, 0))), 0), 0))+(IFERROR(IF(25*INDEX('KZ-normalized'!$D:$D, MATCH($A128, 'KZ-normalized'!$A:$A, 0))-INDEX('KZ-normalized'!$E:$E, MATCH($A128, 'KZ-normalized'!$A:$A, 0))&gt;0, -(25*INDEX('KZ-normalized'!$D:$D, MATCH($A128, 'KZ-normalized'!$A:$A, 0))-INDEX('KZ-normalized'!$E:$E, MATCH($A128, 'KZ-normalized'!$A:$A, 0))), 0), 0))+(IFERROR(IF(25*INDEX('UZ-normalized'!$D:$D, MATCH($A128, 'UZ-normalized'!$A:$A, 0))-INDEX('UZ-normalized'!$E:$E, MATCH($A128, 'UZ-normalized'!$A:$A, 0))&gt;0, -(25*INDEX('UZ-normalized'!$D:$D, MATCH($A128, 'UZ-normalized'!$A:$A, 0))-INDEX('UZ-normalized'!$E:$E, MATCH($A128, 'UZ-normalized'!$A:$A, 0))), 0), 0)))</f>
        <v>0</v>
      </c>
      <c r="AN128" s="6">
        <f>MIN(0, N128+(IFERROR(IF(26*INDEX('UA-normalized'!$D:$D, MATCH($A128, 'UA-normalized'!$A:$A, 0))-INDEX('UA-normalized'!$E:$E, MATCH($A128, 'UA-normalized'!$A:$A, 0))&gt;0, -(26*INDEX('UA-normalized'!$D:$D, MATCH($A128, 'UA-normalized'!$A:$A, 0))-INDEX('UA-normalized'!$E:$E, MATCH($A128, 'UA-normalized'!$A:$A, 0))), 0), 0))+(IFERROR(IF(26*INDEX('KZ-normalized'!$D:$D, MATCH($A128, 'KZ-normalized'!$A:$A, 0))-INDEX('KZ-normalized'!$E:$E, MATCH($A128, 'KZ-normalized'!$A:$A, 0))&gt;0, -(26*INDEX('KZ-normalized'!$D:$D, MATCH($A128, 'KZ-normalized'!$A:$A, 0))-INDEX('KZ-normalized'!$E:$E, MATCH($A128, 'KZ-normalized'!$A:$A, 0))), 0), 0))+(IFERROR(IF(26*INDEX('UZ-normalized'!$D:$D, MATCH($A128, 'UZ-normalized'!$A:$A, 0))-INDEX('UZ-normalized'!$E:$E, MATCH($A128, 'UZ-normalized'!$A:$A, 0))&gt;0, -(26*INDEX('UZ-normalized'!$D:$D, MATCH($A128, 'UZ-normalized'!$A:$A, 0))-INDEX('UZ-normalized'!$E:$E, MATCH($A128, 'UZ-normalized'!$A:$A, 0))), 0), 0)))</f>
        <v>0</v>
      </c>
      <c r="AO128" s="6">
        <f>MIN(0, N128+(IFERROR(IF(27*INDEX('UA-normalized'!$D:$D, MATCH($A128, 'UA-normalized'!$A:$A, 0))-INDEX('UA-normalized'!$E:$E, MATCH($A128, 'UA-normalized'!$A:$A, 0))&gt;0, -(27*INDEX('UA-normalized'!$D:$D, MATCH($A128, 'UA-normalized'!$A:$A, 0))-INDEX('UA-normalized'!$E:$E, MATCH($A128, 'UA-normalized'!$A:$A, 0))), 0), 0))+(IFERROR(IF(27*INDEX('KZ-normalized'!$D:$D, MATCH($A128, 'KZ-normalized'!$A:$A, 0))-INDEX('KZ-normalized'!$E:$E, MATCH($A128, 'KZ-normalized'!$A:$A, 0))&gt;0, -(27*INDEX('KZ-normalized'!$D:$D, MATCH($A128, 'KZ-normalized'!$A:$A, 0))-INDEX('KZ-normalized'!$E:$E, MATCH($A128, 'KZ-normalized'!$A:$A, 0))), 0), 0))+(IFERROR(IF(27*INDEX('UZ-normalized'!$D:$D, MATCH($A128, 'UZ-normalized'!$A:$A, 0))-INDEX('UZ-normalized'!$E:$E, MATCH($A128, 'UZ-normalized'!$A:$A, 0))&gt;0, -(27*INDEX('UZ-normalized'!$D:$D, MATCH($A128, 'UZ-normalized'!$A:$A, 0))-INDEX('UZ-normalized'!$E:$E, MATCH($A128, 'UZ-normalized'!$A:$A, 0))), 0), 0)))</f>
        <v>0</v>
      </c>
      <c r="AP128" s="6">
        <f>MIN(0, N128+(IFERROR(IF(28*INDEX('UA-normalized'!$D:$D, MATCH($A128, 'UA-normalized'!$A:$A, 0))-INDEX('UA-normalized'!$E:$E, MATCH($A128, 'UA-normalized'!$A:$A, 0))&gt;0, -(28*INDEX('UA-normalized'!$D:$D, MATCH($A128, 'UA-normalized'!$A:$A, 0))-INDEX('UA-normalized'!$E:$E, MATCH($A128, 'UA-normalized'!$A:$A, 0))), 0), 0))+(IFERROR(IF(28*INDEX('KZ-normalized'!$D:$D, MATCH($A128, 'KZ-normalized'!$A:$A, 0))-INDEX('KZ-normalized'!$E:$E, MATCH($A128, 'KZ-normalized'!$A:$A, 0))&gt;0, -(28*INDEX('KZ-normalized'!$D:$D, MATCH($A128, 'KZ-normalized'!$A:$A, 0))-INDEX('KZ-normalized'!$E:$E, MATCH($A128, 'KZ-normalized'!$A:$A, 0))), 0), 0))+(IFERROR(IF(28*INDEX('UZ-normalized'!$D:$D, MATCH($A128, 'UZ-normalized'!$A:$A, 0))-INDEX('UZ-normalized'!$E:$E, MATCH($A128, 'UZ-normalized'!$A:$A, 0))&gt;0, -(28*INDEX('UZ-normalized'!$D:$D, MATCH($A128, 'UZ-normalized'!$A:$A, 0))-INDEX('UZ-normalized'!$E:$E, MATCH($A128, 'UZ-normalized'!$A:$A, 0))), 0), 0)))</f>
        <v>0</v>
      </c>
      <c r="AQ128" s="6">
        <f>MIN(0, N128+(IFERROR(IF(29*INDEX('UA-normalized'!$D:$D, MATCH($A128, 'UA-normalized'!$A:$A, 0))-INDEX('UA-normalized'!$E:$E, MATCH($A128, 'UA-normalized'!$A:$A, 0))&gt;0, -(29*INDEX('UA-normalized'!$D:$D, MATCH($A128, 'UA-normalized'!$A:$A, 0))-INDEX('UA-normalized'!$E:$E, MATCH($A128, 'UA-normalized'!$A:$A, 0))), 0), 0))+(IFERROR(IF(29*INDEX('KZ-normalized'!$D:$D, MATCH($A128, 'KZ-normalized'!$A:$A, 0))-INDEX('KZ-normalized'!$E:$E, MATCH($A128, 'KZ-normalized'!$A:$A, 0))&gt;0, -(29*INDEX('KZ-normalized'!$D:$D, MATCH($A128, 'KZ-normalized'!$A:$A, 0))-INDEX('KZ-normalized'!$E:$E, MATCH($A128, 'KZ-normalized'!$A:$A, 0))), 0), 0))+(IFERROR(IF(29*INDEX('UZ-normalized'!$D:$D, MATCH($A128, 'UZ-normalized'!$A:$A, 0))-INDEX('UZ-normalized'!$E:$E, MATCH($A128, 'UZ-normalized'!$A:$A, 0))&gt;0, -(29*INDEX('UZ-normalized'!$D:$D, MATCH($A128, 'UZ-normalized'!$A:$A, 0))-INDEX('UZ-normalized'!$E:$E, MATCH($A128, 'UZ-normalized'!$A:$A, 0))), 0), 0)))</f>
        <v>0</v>
      </c>
      <c r="AR128" s="6">
        <f>MIN(0, N128+(IFERROR(IF(30*INDEX('UA-normalized'!$D:$D, MATCH($A128, 'UA-normalized'!$A:$A, 0))-INDEX('UA-normalized'!$E:$E, MATCH($A128, 'UA-normalized'!$A:$A, 0))&gt;0, -(30*INDEX('UA-normalized'!$D:$D, MATCH($A128, 'UA-normalized'!$A:$A, 0))-INDEX('UA-normalized'!$E:$E, MATCH($A128, 'UA-normalized'!$A:$A, 0))), 0), 0))+(IFERROR(IF(30*INDEX('KZ-normalized'!$D:$D, MATCH($A128, 'KZ-normalized'!$A:$A, 0))-INDEX('KZ-normalized'!$E:$E, MATCH($A128, 'KZ-normalized'!$A:$A, 0))&gt;0, -(30*INDEX('KZ-normalized'!$D:$D, MATCH($A128, 'KZ-normalized'!$A:$A, 0))-INDEX('KZ-normalized'!$E:$E, MATCH($A128, 'KZ-normalized'!$A:$A, 0))), 0), 0))+(IFERROR(IF(30*INDEX('UZ-normalized'!$D:$D, MATCH($A128, 'UZ-normalized'!$A:$A, 0))-INDEX('UZ-normalized'!$E:$E, MATCH($A128, 'UZ-normalized'!$A:$A, 0))&gt;0, -(30*INDEX('UZ-normalized'!$D:$D, MATCH($A128, 'UZ-normalized'!$A:$A, 0))-INDEX('UZ-normalized'!$E:$E, MATCH($A128, 'UZ-normalized'!$A:$A, 0))), 0), 0)))</f>
        <v>0</v>
      </c>
    </row>
    <row r="129" spans="1:44" x14ac:dyDescent="0.25">
      <c r="A129" s="8" t="s">
        <v>314</v>
      </c>
      <c r="B129" s="8" t="s">
        <v>294</v>
      </c>
      <c r="C129" s="8" t="s">
        <v>308</v>
      </c>
      <c r="D129" s="8" t="s">
        <v>315</v>
      </c>
      <c r="N129">
        <f t="shared" si="1"/>
        <v>0</v>
      </c>
      <c r="O129" s="6">
        <f>MIN(0, N129+(IFERROR(IF(1*INDEX('UA-normalized'!$D:$D, MATCH($A129, 'UA-normalized'!$A:$A, 0))-INDEX('UA-normalized'!$E:$E, MATCH($A129, 'UA-normalized'!$A:$A, 0))&gt;0, -(1*INDEX('UA-normalized'!$D:$D, MATCH($A129, 'UA-normalized'!$A:$A, 0))-INDEX('UA-normalized'!$E:$E, MATCH($A129, 'UA-normalized'!$A:$A, 0))), 0), 0))+(IFERROR(IF(1*INDEX('KZ-normalized'!$D:$D, MATCH($A129, 'KZ-normalized'!$A:$A, 0))-INDEX('KZ-normalized'!$E:$E, MATCH($A129, 'KZ-normalized'!$A:$A, 0))&gt;0, -(1*INDEX('KZ-normalized'!$D:$D, MATCH($A129, 'KZ-normalized'!$A:$A, 0))-INDEX('KZ-normalized'!$E:$E, MATCH($A129, 'KZ-normalized'!$A:$A, 0))), 0), 0))+(IFERROR(IF(1*INDEX('UZ-normalized'!$D:$D, MATCH($A129, 'UZ-normalized'!$A:$A, 0))-INDEX('UZ-normalized'!$E:$E, MATCH($A129, 'UZ-normalized'!$A:$A, 0))&gt;0, -(1*INDEX('UZ-normalized'!$D:$D, MATCH($A129, 'UZ-normalized'!$A:$A, 0))-INDEX('UZ-normalized'!$E:$E, MATCH($A129, 'UZ-normalized'!$A:$A, 0))), 0), 0)))</f>
        <v>0</v>
      </c>
      <c r="P129" s="6">
        <f>MIN(0, N129+(IFERROR(IF(2*INDEX('UA-normalized'!$D:$D, MATCH($A129, 'UA-normalized'!$A:$A, 0))-INDEX('UA-normalized'!$E:$E, MATCH($A129, 'UA-normalized'!$A:$A, 0))&gt;0, -(2*INDEX('UA-normalized'!$D:$D, MATCH($A129, 'UA-normalized'!$A:$A, 0))-INDEX('UA-normalized'!$E:$E, MATCH($A129, 'UA-normalized'!$A:$A, 0))), 0), 0))+(IFERROR(IF(2*INDEX('KZ-normalized'!$D:$D, MATCH($A129, 'KZ-normalized'!$A:$A, 0))-INDEX('KZ-normalized'!$E:$E, MATCH($A129, 'KZ-normalized'!$A:$A, 0))&gt;0, -(2*INDEX('KZ-normalized'!$D:$D, MATCH($A129, 'KZ-normalized'!$A:$A, 0))-INDEX('KZ-normalized'!$E:$E, MATCH($A129, 'KZ-normalized'!$A:$A, 0))), 0), 0))+(IFERROR(IF(2*INDEX('UZ-normalized'!$D:$D, MATCH($A129, 'UZ-normalized'!$A:$A, 0))-INDEX('UZ-normalized'!$E:$E, MATCH($A129, 'UZ-normalized'!$A:$A, 0))&gt;0, -(2*INDEX('UZ-normalized'!$D:$D, MATCH($A129, 'UZ-normalized'!$A:$A, 0))-INDEX('UZ-normalized'!$E:$E, MATCH($A129, 'UZ-normalized'!$A:$A, 0))), 0), 0)))</f>
        <v>0</v>
      </c>
      <c r="Q129" s="6">
        <f>MIN(0, N129+(IFERROR(IF(3*INDEX('UA-normalized'!$D:$D, MATCH($A129, 'UA-normalized'!$A:$A, 0))-INDEX('UA-normalized'!$E:$E, MATCH($A129, 'UA-normalized'!$A:$A, 0))&gt;0, -(3*INDEX('UA-normalized'!$D:$D, MATCH($A129, 'UA-normalized'!$A:$A, 0))-INDEX('UA-normalized'!$E:$E, MATCH($A129, 'UA-normalized'!$A:$A, 0))), 0), 0))+(IFERROR(IF(3*INDEX('KZ-normalized'!$D:$D, MATCH($A129, 'KZ-normalized'!$A:$A, 0))-INDEX('KZ-normalized'!$E:$E, MATCH($A129, 'KZ-normalized'!$A:$A, 0))&gt;0, -(3*INDEX('KZ-normalized'!$D:$D, MATCH($A129, 'KZ-normalized'!$A:$A, 0))-INDEX('KZ-normalized'!$E:$E, MATCH($A129, 'KZ-normalized'!$A:$A, 0))), 0), 0))+(IFERROR(IF(3*INDEX('UZ-normalized'!$D:$D, MATCH($A129, 'UZ-normalized'!$A:$A, 0))-INDEX('UZ-normalized'!$E:$E, MATCH($A129, 'UZ-normalized'!$A:$A, 0))&gt;0, -(3*INDEX('UZ-normalized'!$D:$D, MATCH($A129, 'UZ-normalized'!$A:$A, 0))-INDEX('UZ-normalized'!$E:$E, MATCH($A129, 'UZ-normalized'!$A:$A, 0))), 0), 0)))</f>
        <v>0</v>
      </c>
      <c r="R129" s="6">
        <f>MIN(0, N129+(IFERROR(IF(4*INDEX('UA-normalized'!$D:$D, MATCH($A129, 'UA-normalized'!$A:$A, 0))-INDEX('UA-normalized'!$E:$E, MATCH($A129, 'UA-normalized'!$A:$A, 0))&gt;0, -(4*INDEX('UA-normalized'!$D:$D, MATCH($A129, 'UA-normalized'!$A:$A, 0))-INDEX('UA-normalized'!$E:$E, MATCH($A129, 'UA-normalized'!$A:$A, 0))), 0), 0))+(IFERROR(IF(4*INDEX('KZ-normalized'!$D:$D, MATCH($A129, 'KZ-normalized'!$A:$A, 0))-INDEX('KZ-normalized'!$E:$E, MATCH($A129, 'KZ-normalized'!$A:$A, 0))&gt;0, -(4*INDEX('KZ-normalized'!$D:$D, MATCH($A129, 'KZ-normalized'!$A:$A, 0))-INDEX('KZ-normalized'!$E:$E, MATCH($A129, 'KZ-normalized'!$A:$A, 0))), 0), 0))+(IFERROR(IF(4*INDEX('UZ-normalized'!$D:$D, MATCH($A129, 'UZ-normalized'!$A:$A, 0))-INDEX('UZ-normalized'!$E:$E, MATCH($A129, 'UZ-normalized'!$A:$A, 0))&gt;0, -(4*INDEX('UZ-normalized'!$D:$D, MATCH($A129, 'UZ-normalized'!$A:$A, 0))-INDEX('UZ-normalized'!$E:$E, MATCH($A129, 'UZ-normalized'!$A:$A, 0))), 0), 0)))</f>
        <v>0</v>
      </c>
      <c r="S129" s="6">
        <f>MIN(0, N129+(IFERROR(IF(5*INDEX('UA-normalized'!$D:$D, MATCH($A129, 'UA-normalized'!$A:$A, 0))-INDEX('UA-normalized'!$E:$E, MATCH($A129, 'UA-normalized'!$A:$A, 0))&gt;0, -(5*INDEX('UA-normalized'!$D:$D, MATCH($A129, 'UA-normalized'!$A:$A, 0))-INDEX('UA-normalized'!$E:$E, MATCH($A129, 'UA-normalized'!$A:$A, 0))), 0), 0))+(IFERROR(IF(5*INDEX('KZ-normalized'!$D:$D, MATCH($A129, 'KZ-normalized'!$A:$A, 0))-INDEX('KZ-normalized'!$E:$E, MATCH($A129, 'KZ-normalized'!$A:$A, 0))&gt;0, -(5*INDEX('KZ-normalized'!$D:$D, MATCH($A129, 'KZ-normalized'!$A:$A, 0))-INDEX('KZ-normalized'!$E:$E, MATCH($A129, 'KZ-normalized'!$A:$A, 0))), 0), 0))+(IFERROR(IF(5*INDEX('UZ-normalized'!$D:$D, MATCH($A129, 'UZ-normalized'!$A:$A, 0))-INDEX('UZ-normalized'!$E:$E, MATCH($A129, 'UZ-normalized'!$A:$A, 0))&gt;0, -(5*INDEX('UZ-normalized'!$D:$D, MATCH($A129, 'UZ-normalized'!$A:$A, 0))-INDEX('UZ-normalized'!$E:$E, MATCH($A129, 'UZ-normalized'!$A:$A, 0))), 0), 0)))</f>
        <v>0</v>
      </c>
      <c r="T129" s="6">
        <f>MIN(0, N129+(IFERROR(IF(6*INDEX('UA-normalized'!$D:$D, MATCH($A129, 'UA-normalized'!$A:$A, 0))-INDEX('UA-normalized'!$E:$E, MATCH($A129, 'UA-normalized'!$A:$A, 0))&gt;0, -(6*INDEX('UA-normalized'!$D:$D, MATCH($A129, 'UA-normalized'!$A:$A, 0))-INDEX('UA-normalized'!$E:$E, MATCH($A129, 'UA-normalized'!$A:$A, 0))), 0), 0))+(IFERROR(IF(6*INDEX('KZ-normalized'!$D:$D, MATCH($A129, 'KZ-normalized'!$A:$A, 0))-INDEX('KZ-normalized'!$E:$E, MATCH($A129, 'KZ-normalized'!$A:$A, 0))&gt;0, -(6*INDEX('KZ-normalized'!$D:$D, MATCH($A129, 'KZ-normalized'!$A:$A, 0))-INDEX('KZ-normalized'!$E:$E, MATCH($A129, 'KZ-normalized'!$A:$A, 0))), 0), 0))+(IFERROR(IF(6*INDEX('UZ-normalized'!$D:$D, MATCH($A129, 'UZ-normalized'!$A:$A, 0))-INDEX('UZ-normalized'!$E:$E, MATCH($A129, 'UZ-normalized'!$A:$A, 0))&gt;0, -(6*INDEX('UZ-normalized'!$D:$D, MATCH($A129, 'UZ-normalized'!$A:$A, 0))-INDEX('UZ-normalized'!$E:$E, MATCH($A129, 'UZ-normalized'!$A:$A, 0))), 0), 0)))</f>
        <v>0</v>
      </c>
      <c r="U129" s="6">
        <f>MIN(0, N129+(IFERROR(IF(7*INDEX('UA-normalized'!$D:$D, MATCH($A129, 'UA-normalized'!$A:$A, 0))-INDEX('UA-normalized'!$E:$E, MATCH($A129, 'UA-normalized'!$A:$A, 0))&gt;0, -(7*INDEX('UA-normalized'!$D:$D, MATCH($A129, 'UA-normalized'!$A:$A, 0))-INDEX('UA-normalized'!$E:$E, MATCH($A129, 'UA-normalized'!$A:$A, 0))), 0), 0))+(IFERROR(IF(7*INDEX('KZ-normalized'!$D:$D, MATCH($A129, 'KZ-normalized'!$A:$A, 0))-INDEX('KZ-normalized'!$E:$E, MATCH($A129, 'KZ-normalized'!$A:$A, 0))&gt;0, -(7*INDEX('KZ-normalized'!$D:$D, MATCH($A129, 'KZ-normalized'!$A:$A, 0))-INDEX('KZ-normalized'!$E:$E, MATCH($A129, 'KZ-normalized'!$A:$A, 0))), 0), 0))+(IFERROR(IF(7*INDEX('UZ-normalized'!$D:$D, MATCH($A129, 'UZ-normalized'!$A:$A, 0))-INDEX('UZ-normalized'!$E:$E, MATCH($A129, 'UZ-normalized'!$A:$A, 0))&gt;0, -(7*INDEX('UZ-normalized'!$D:$D, MATCH($A129, 'UZ-normalized'!$A:$A, 0))-INDEX('UZ-normalized'!$E:$E, MATCH($A129, 'UZ-normalized'!$A:$A, 0))), 0), 0)))</f>
        <v>0</v>
      </c>
      <c r="V129" s="6">
        <f>MIN(0, N129+(IFERROR(IF(8*INDEX('UA-normalized'!$D:$D, MATCH($A129, 'UA-normalized'!$A:$A, 0))-INDEX('UA-normalized'!$E:$E, MATCH($A129, 'UA-normalized'!$A:$A, 0))&gt;0, -(8*INDEX('UA-normalized'!$D:$D, MATCH($A129, 'UA-normalized'!$A:$A, 0))-INDEX('UA-normalized'!$E:$E, MATCH($A129, 'UA-normalized'!$A:$A, 0))), 0), 0))+(IFERROR(IF(8*INDEX('KZ-normalized'!$D:$D, MATCH($A129, 'KZ-normalized'!$A:$A, 0))-INDEX('KZ-normalized'!$E:$E, MATCH($A129, 'KZ-normalized'!$A:$A, 0))&gt;0, -(8*INDEX('KZ-normalized'!$D:$D, MATCH($A129, 'KZ-normalized'!$A:$A, 0))-INDEX('KZ-normalized'!$E:$E, MATCH($A129, 'KZ-normalized'!$A:$A, 0))), 0), 0))+(IFERROR(IF(8*INDEX('UZ-normalized'!$D:$D, MATCH($A129, 'UZ-normalized'!$A:$A, 0))-INDEX('UZ-normalized'!$E:$E, MATCH($A129, 'UZ-normalized'!$A:$A, 0))&gt;0, -(8*INDEX('UZ-normalized'!$D:$D, MATCH($A129, 'UZ-normalized'!$A:$A, 0))-INDEX('UZ-normalized'!$E:$E, MATCH($A129, 'UZ-normalized'!$A:$A, 0))), 0), 0)))</f>
        <v>0</v>
      </c>
      <c r="W129" s="6">
        <f>MIN(0, N129+(IFERROR(IF(9*INDEX('UA-normalized'!$D:$D, MATCH($A129, 'UA-normalized'!$A:$A, 0))-INDEX('UA-normalized'!$E:$E, MATCH($A129, 'UA-normalized'!$A:$A, 0))&gt;0, -(9*INDEX('UA-normalized'!$D:$D, MATCH($A129, 'UA-normalized'!$A:$A, 0))-INDEX('UA-normalized'!$E:$E, MATCH($A129, 'UA-normalized'!$A:$A, 0))), 0), 0))+(IFERROR(IF(9*INDEX('KZ-normalized'!$D:$D, MATCH($A129, 'KZ-normalized'!$A:$A, 0))-INDEX('KZ-normalized'!$E:$E, MATCH($A129, 'KZ-normalized'!$A:$A, 0))&gt;0, -(9*INDEX('KZ-normalized'!$D:$D, MATCH($A129, 'KZ-normalized'!$A:$A, 0))-INDEX('KZ-normalized'!$E:$E, MATCH($A129, 'KZ-normalized'!$A:$A, 0))), 0), 0))+(IFERROR(IF(9*INDEX('UZ-normalized'!$D:$D, MATCH($A129, 'UZ-normalized'!$A:$A, 0))-INDEX('UZ-normalized'!$E:$E, MATCH($A129, 'UZ-normalized'!$A:$A, 0))&gt;0, -(9*INDEX('UZ-normalized'!$D:$D, MATCH($A129, 'UZ-normalized'!$A:$A, 0))-INDEX('UZ-normalized'!$E:$E, MATCH($A129, 'UZ-normalized'!$A:$A, 0))), 0), 0)))</f>
        <v>0</v>
      </c>
      <c r="X129" s="6">
        <f>MIN(0, N129+(IFERROR(IF(10*INDEX('UA-normalized'!$D:$D, MATCH($A129, 'UA-normalized'!$A:$A, 0))-INDEX('UA-normalized'!$E:$E, MATCH($A129, 'UA-normalized'!$A:$A, 0))&gt;0, -(10*INDEX('UA-normalized'!$D:$D, MATCH($A129, 'UA-normalized'!$A:$A, 0))-INDEX('UA-normalized'!$E:$E, MATCH($A129, 'UA-normalized'!$A:$A, 0))), 0), 0))+(IFERROR(IF(10*INDEX('KZ-normalized'!$D:$D, MATCH($A129, 'KZ-normalized'!$A:$A, 0))-INDEX('KZ-normalized'!$E:$E, MATCH($A129, 'KZ-normalized'!$A:$A, 0))&gt;0, -(10*INDEX('KZ-normalized'!$D:$D, MATCH($A129, 'KZ-normalized'!$A:$A, 0))-INDEX('KZ-normalized'!$E:$E, MATCH($A129, 'KZ-normalized'!$A:$A, 0))), 0), 0))+(IFERROR(IF(10*INDEX('UZ-normalized'!$D:$D, MATCH($A129, 'UZ-normalized'!$A:$A, 0))-INDEX('UZ-normalized'!$E:$E, MATCH($A129, 'UZ-normalized'!$A:$A, 0))&gt;0, -(10*INDEX('UZ-normalized'!$D:$D, MATCH($A129, 'UZ-normalized'!$A:$A, 0))-INDEX('UZ-normalized'!$E:$E, MATCH($A129, 'UZ-normalized'!$A:$A, 0))), 0), 0)))</f>
        <v>0</v>
      </c>
      <c r="Y129" s="6">
        <f>MIN(0, N129+(IFERROR(IF(11*INDEX('UA-normalized'!$D:$D, MATCH($A129, 'UA-normalized'!$A:$A, 0))-INDEX('UA-normalized'!$E:$E, MATCH($A129, 'UA-normalized'!$A:$A, 0))&gt;0, -(11*INDEX('UA-normalized'!$D:$D, MATCH($A129, 'UA-normalized'!$A:$A, 0))-INDEX('UA-normalized'!$E:$E, MATCH($A129, 'UA-normalized'!$A:$A, 0))), 0), 0))+(IFERROR(IF(11*INDEX('KZ-normalized'!$D:$D, MATCH($A129, 'KZ-normalized'!$A:$A, 0))-INDEX('KZ-normalized'!$E:$E, MATCH($A129, 'KZ-normalized'!$A:$A, 0))&gt;0, -(11*INDEX('KZ-normalized'!$D:$D, MATCH($A129, 'KZ-normalized'!$A:$A, 0))-INDEX('KZ-normalized'!$E:$E, MATCH($A129, 'KZ-normalized'!$A:$A, 0))), 0), 0))+(IFERROR(IF(11*INDEX('UZ-normalized'!$D:$D, MATCH($A129, 'UZ-normalized'!$A:$A, 0))-INDEX('UZ-normalized'!$E:$E, MATCH($A129, 'UZ-normalized'!$A:$A, 0))&gt;0, -(11*INDEX('UZ-normalized'!$D:$D, MATCH($A129, 'UZ-normalized'!$A:$A, 0))-INDEX('UZ-normalized'!$E:$E, MATCH($A129, 'UZ-normalized'!$A:$A, 0))), 0), 0)))</f>
        <v>0</v>
      </c>
      <c r="Z129" s="6">
        <f>MIN(0, N129+(IFERROR(IF(12*INDEX('UA-normalized'!$D:$D, MATCH($A129, 'UA-normalized'!$A:$A, 0))-INDEX('UA-normalized'!$E:$E, MATCH($A129, 'UA-normalized'!$A:$A, 0))&gt;0, -(12*INDEX('UA-normalized'!$D:$D, MATCH($A129, 'UA-normalized'!$A:$A, 0))-INDEX('UA-normalized'!$E:$E, MATCH($A129, 'UA-normalized'!$A:$A, 0))), 0), 0))+(IFERROR(IF(12*INDEX('KZ-normalized'!$D:$D, MATCH($A129, 'KZ-normalized'!$A:$A, 0))-INDEX('KZ-normalized'!$E:$E, MATCH($A129, 'KZ-normalized'!$A:$A, 0))&gt;0, -(12*INDEX('KZ-normalized'!$D:$D, MATCH($A129, 'KZ-normalized'!$A:$A, 0))-INDEX('KZ-normalized'!$E:$E, MATCH($A129, 'KZ-normalized'!$A:$A, 0))), 0), 0))+(IFERROR(IF(12*INDEX('UZ-normalized'!$D:$D, MATCH($A129, 'UZ-normalized'!$A:$A, 0))-INDEX('UZ-normalized'!$E:$E, MATCH($A129, 'UZ-normalized'!$A:$A, 0))&gt;0, -(12*INDEX('UZ-normalized'!$D:$D, MATCH($A129, 'UZ-normalized'!$A:$A, 0))-INDEX('UZ-normalized'!$E:$E, MATCH($A129, 'UZ-normalized'!$A:$A, 0))), 0), 0)))</f>
        <v>0</v>
      </c>
      <c r="AA129" s="6">
        <f>MIN(0, N129+(IFERROR(IF(13*INDEX('UA-normalized'!$D:$D, MATCH($A129, 'UA-normalized'!$A:$A, 0))-INDEX('UA-normalized'!$E:$E, MATCH($A129, 'UA-normalized'!$A:$A, 0))&gt;0, -(13*INDEX('UA-normalized'!$D:$D, MATCH($A129, 'UA-normalized'!$A:$A, 0))-INDEX('UA-normalized'!$E:$E, MATCH($A129, 'UA-normalized'!$A:$A, 0))), 0), 0))+(IFERROR(IF(13*INDEX('KZ-normalized'!$D:$D, MATCH($A129, 'KZ-normalized'!$A:$A, 0))-INDEX('KZ-normalized'!$E:$E, MATCH($A129, 'KZ-normalized'!$A:$A, 0))&gt;0, -(13*INDEX('KZ-normalized'!$D:$D, MATCH($A129, 'KZ-normalized'!$A:$A, 0))-INDEX('KZ-normalized'!$E:$E, MATCH($A129, 'KZ-normalized'!$A:$A, 0))), 0), 0))+(IFERROR(IF(13*INDEX('UZ-normalized'!$D:$D, MATCH($A129, 'UZ-normalized'!$A:$A, 0))-INDEX('UZ-normalized'!$E:$E, MATCH($A129, 'UZ-normalized'!$A:$A, 0))&gt;0, -(13*INDEX('UZ-normalized'!$D:$D, MATCH($A129, 'UZ-normalized'!$A:$A, 0))-INDEX('UZ-normalized'!$E:$E, MATCH($A129, 'UZ-normalized'!$A:$A, 0))), 0), 0)))</f>
        <v>0</v>
      </c>
      <c r="AB129" s="6">
        <f>MIN(0, N129+(IFERROR(IF(14*INDEX('UA-normalized'!$D:$D, MATCH($A129, 'UA-normalized'!$A:$A, 0))-INDEX('UA-normalized'!$E:$E, MATCH($A129, 'UA-normalized'!$A:$A, 0))&gt;0, -(14*INDEX('UA-normalized'!$D:$D, MATCH($A129, 'UA-normalized'!$A:$A, 0))-INDEX('UA-normalized'!$E:$E, MATCH($A129, 'UA-normalized'!$A:$A, 0))), 0), 0))+(IFERROR(IF(14*INDEX('KZ-normalized'!$D:$D, MATCH($A129, 'KZ-normalized'!$A:$A, 0))-INDEX('KZ-normalized'!$E:$E, MATCH($A129, 'KZ-normalized'!$A:$A, 0))&gt;0, -(14*INDEX('KZ-normalized'!$D:$D, MATCH($A129, 'KZ-normalized'!$A:$A, 0))-INDEX('KZ-normalized'!$E:$E, MATCH($A129, 'KZ-normalized'!$A:$A, 0))), 0), 0))+(IFERROR(IF(14*INDEX('UZ-normalized'!$D:$D, MATCH($A129, 'UZ-normalized'!$A:$A, 0))-INDEX('UZ-normalized'!$E:$E, MATCH($A129, 'UZ-normalized'!$A:$A, 0))&gt;0, -(14*INDEX('UZ-normalized'!$D:$D, MATCH($A129, 'UZ-normalized'!$A:$A, 0))-INDEX('UZ-normalized'!$E:$E, MATCH($A129, 'UZ-normalized'!$A:$A, 0))), 0), 0)))</f>
        <v>0</v>
      </c>
      <c r="AC129" s="6">
        <f>MIN(0, N129+(IFERROR(IF(15*INDEX('UA-normalized'!$D:$D, MATCH($A129, 'UA-normalized'!$A:$A, 0))-INDEX('UA-normalized'!$E:$E, MATCH($A129, 'UA-normalized'!$A:$A, 0))&gt;0, -(15*INDEX('UA-normalized'!$D:$D, MATCH($A129, 'UA-normalized'!$A:$A, 0))-INDEX('UA-normalized'!$E:$E, MATCH($A129, 'UA-normalized'!$A:$A, 0))), 0), 0))+(IFERROR(IF(15*INDEX('KZ-normalized'!$D:$D, MATCH($A129, 'KZ-normalized'!$A:$A, 0))-INDEX('KZ-normalized'!$E:$E, MATCH($A129, 'KZ-normalized'!$A:$A, 0))&gt;0, -(15*INDEX('KZ-normalized'!$D:$D, MATCH($A129, 'KZ-normalized'!$A:$A, 0))-INDEX('KZ-normalized'!$E:$E, MATCH($A129, 'KZ-normalized'!$A:$A, 0))), 0), 0))+(IFERROR(IF(15*INDEX('UZ-normalized'!$D:$D, MATCH($A129, 'UZ-normalized'!$A:$A, 0))-INDEX('UZ-normalized'!$E:$E, MATCH($A129, 'UZ-normalized'!$A:$A, 0))&gt;0, -(15*INDEX('UZ-normalized'!$D:$D, MATCH($A129, 'UZ-normalized'!$A:$A, 0))-INDEX('UZ-normalized'!$E:$E, MATCH($A129, 'UZ-normalized'!$A:$A, 0))), 0), 0)))</f>
        <v>0</v>
      </c>
      <c r="AD129" s="6">
        <f>MIN(0, N129+(IFERROR(IF(16*INDEX('UA-normalized'!$D:$D, MATCH($A129, 'UA-normalized'!$A:$A, 0))-INDEX('UA-normalized'!$E:$E, MATCH($A129, 'UA-normalized'!$A:$A, 0))&gt;0, -(16*INDEX('UA-normalized'!$D:$D, MATCH($A129, 'UA-normalized'!$A:$A, 0))-INDEX('UA-normalized'!$E:$E, MATCH($A129, 'UA-normalized'!$A:$A, 0))), 0), 0))+(IFERROR(IF(16*INDEX('KZ-normalized'!$D:$D, MATCH($A129, 'KZ-normalized'!$A:$A, 0))-INDEX('KZ-normalized'!$E:$E, MATCH($A129, 'KZ-normalized'!$A:$A, 0))&gt;0, -(16*INDEX('KZ-normalized'!$D:$D, MATCH($A129, 'KZ-normalized'!$A:$A, 0))-INDEX('KZ-normalized'!$E:$E, MATCH($A129, 'KZ-normalized'!$A:$A, 0))), 0), 0))+(IFERROR(IF(16*INDEX('UZ-normalized'!$D:$D, MATCH($A129, 'UZ-normalized'!$A:$A, 0))-INDEX('UZ-normalized'!$E:$E, MATCH($A129, 'UZ-normalized'!$A:$A, 0))&gt;0, -(16*INDEX('UZ-normalized'!$D:$D, MATCH($A129, 'UZ-normalized'!$A:$A, 0))-INDEX('UZ-normalized'!$E:$E, MATCH($A129, 'UZ-normalized'!$A:$A, 0))), 0), 0)))</f>
        <v>0</v>
      </c>
      <c r="AE129" s="6">
        <f>MIN(0, N129+(IFERROR(IF(17*INDEX('UA-normalized'!$D:$D, MATCH($A129, 'UA-normalized'!$A:$A, 0))-INDEX('UA-normalized'!$E:$E, MATCH($A129, 'UA-normalized'!$A:$A, 0))&gt;0, -(17*INDEX('UA-normalized'!$D:$D, MATCH($A129, 'UA-normalized'!$A:$A, 0))-INDEX('UA-normalized'!$E:$E, MATCH($A129, 'UA-normalized'!$A:$A, 0))), 0), 0))+(IFERROR(IF(17*INDEX('KZ-normalized'!$D:$D, MATCH($A129, 'KZ-normalized'!$A:$A, 0))-INDEX('KZ-normalized'!$E:$E, MATCH($A129, 'KZ-normalized'!$A:$A, 0))&gt;0, -(17*INDEX('KZ-normalized'!$D:$D, MATCH($A129, 'KZ-normalized'!$A:$A, 0))-INDEX('KZ-normalized'!$E:$E, MATCH($A129, 'KZ-normalized'!$A:$A, 0))), 0), 0))+(IFERROR(IF(17*INDEX('UZ-normalized'!$D:$D, MATCH($A129, 'UZ-normalized'!$A:$A, 0))-INDEX('UZ-normalized'!$E:$E, MATCH($A129, 'UZ-normalized'!$A:$A, 0))&gt;0, -(17*INDEX('UZ-normalized'!$D:$D, MATCH($A129, 'UZ-normalized'!$A:$A, 0))-INDEX('UZ-normalized'!$E:$E, MATCH($A129, 'UZ-normalized'!$A:$A, 0))), 0), 0)))</f>
        <v>0</v>
      </c>
      <c r="AF129" s="6">
        <f>MIN(0, N129+(IFERROR(IF(18*INDEX('UA-normalized'!$D:$D, MATCH($A129, 'UA-normalized'!$A:$A, 0))-INDEX('UA-normalized'!$E:$E, MATCH($A129, 'UA-normalized'!$A:$A, 0))&gt;0, -(18*INDEX('UA-normalized'!$D:$D, MATCH($A129, 'UA-normalized'!$A:$A, 0))-INDEX('UA-normalized'!$E:$E, MATCH($A129, 'UA-normalized'!$A:$A, 0))), 0), 0))+(IFERROR(IF(18*INDEX('KZ-normalized'!$D:$D, MATCH($A129, 'KZ-normalized'!$A:$A, 0))-INDEX('KZ-normalized'!$E:$E, MATCH($A129, 'KZ-normalized'!$A:$A, 0))&gt;0, -(18*INDEX('KZ-normalized'!$D:$D, MATCH($A129, 'KZ-normalized'!$A:$A, 0))-INDEX('KZ-normalized'!$E:$E, MATCH($A129, 'KZ-normalized'!$A:$A, 0))), 0), 0))+(IFERROR(IF(18*INDEX('UZ-normalized'!$D:$D, MATCH($A129, 'UZ-normalized'!$A:$A, 0))-INDEX('UZ-normalized'!$E:$E, MATCH($A129, 'UZ-normalized'!$A:$A, 0))&gt;0, -(18*INDEX('UZ-normalized'!$D:$D, MATCH($A129, 'UZ-normalized'!$A:$A, 0))-INDEX('UZ-normalized'!$E:$E, MATCH($A129, 'UZ-normalized'!$A:$A, 0))), 0), 0)))</f>
        <v>0</v>
      </c>
      <c r="AG129" s="6">
        <f>MIN(0, N129+(IFERROR(IF(19*INDEX('UA-normalized'!$D:$D, MATCH($A129, 'UA-normalized'!$A:$A, 0))-INDEX('UA-normalized'!$E:$E, MATCH($A129, 'UA-normalized'!$A:$A, 0))&gt;0, -(19*INDEX('UA-normalized'!$D:$D, MATCH($A129, 'UA-normalized'!$A:$A, 0))-INDEX('UA-normalized'!$E:$E, MATCH($A129, 'UA-normalized'!$A:$A, 0))), 0), 0))+(IFERROR(IF(19*INDEX('KZ-normalized'!$D:$D, MATCH($A129, 'KZ-normalized'!$A:$A, 0))-INDEX('KZ-normalized'!$E:$E, MATCH($A129, 'KZ-normalized'!$A:$A, 0))&gt;0, -(19*INDEX('KZ-normalized'!$D:$D, MATCH($A129, 'KZ-normalized'!$A:$A, 0))-INDEX('KZ-normalized'!$E:$E, MATCH($A129, 'KZ-normalized'!$A:$A, 0))), 0), 0))+(IFERROR(IF(19*INDEX('UZ-normalized'!$D:$D, MATCH($A129, 'UZ-normalized'!$A:$A, 0))-INDEX('UZ-normalized'!$E:$E, MATCH($A129, 'UZ-normalized'!$A:$A, 0))&gt;0, -(19*INDEX('UZ-normalized'!$D:$D, MATCH($A129, 'UZ-normalized'!$A:$A, 0))-INDEX('UZ-normalized'!$E:$E, MATCH($A129, 'UZ-normalized'!$A:$A, 0))), 0), 0)))</f>
        <v>0</v>
      </c>
      <c r="AH129" s="6">
        <f>MIN(0, N129+(IFERROR(IF(20*INDEX('UA-normalized'!$D:$D, MATCH($A129, 'UA-normalized'!$A:$A, 0))-INDEX('UA-normalized'!$E:$E, MATCH($A129, 'UA-normalized'!$A:$A, 0))&gt;0, -(20*INDEX('UA-normalized'!$D:$D, MATCH($A129, 'UA-normalized'!$A:$A, 0))-INDEX('UA-normalized'!$E:$E, MATCH($A129, 'UA-normalized'!$A:$A, 0))), 0), 0))+(IFERROR(IF(20*INDEX('KZ-normalized'!$D:$D, MATCH($A129, 'KZ-normalized'!$A:$A, 0))-INDEX('KZ-normalized'!$E:$E, MATCH($A129, 'KZ-normalized'!$A:$A, 0))&gt;0, -(20*INDEX('KZ-normalized'!$D:$D, MATCH($A129, 'KZ-normalized'!$A:$A, 0))-INDEX('KZ-normalized'!$E:$E, MATCH($A129, 'KZ-normalized'!$A:$A, 0))), 0), 0))+(IFERROR(IF(20*INDEX('UZ-normalized'!$D:$D, MATCH($A129, 'UZ-normalized'!$A:$A, 0))-INDEX('UZ-normalized'!$E:$E, MATCH($A129, 'UZ-normalized'!$A:$A, 0))&gt;0, -(20*INDEX('UZ-normalized'!$D:$D, MATCH($A129, 'UZ-normalized'!$A:$A, 0))-INDEX('UZ-normalized'!$E:$E, MATCH($A129, 'UZ-normalized'!$A:$A, 0))), 0), 0)))</f>
        <v>0</v>
      </c>
      <c r="AI129" s="6">
        <f>MIN(0, N129+(IFERROR(IF(21*INDEX('UA-normalized'!$D:$D, MATCH($A129, 'UA-normalized'!$A:$A, 0))-INDEX('UA-normalized'!$E:$E, MATCH($A129, 'UA-normalized'!$A:$A, 0))&gt;0, -(21*INDEX('UA-normalized'!$D:$D, MATCH($A129, 'UA-normalized'!$A:$A, 0))-INDEX('UA-normalized'!$E:$E, MATCH($A129, 'UA-normalized'!$A:$A, 0))), 0), 0))+(IFERROR(IF(21*INDEX('KZ-normalized'!$D:$D, MATCH($A129, 'KZ-normalized'!$A:$A, 0))-INDEX('KZ-normalized'!$E:$E, MATCH($A129, 'KZ-normalized'!$A:$A, 0))&gt;0, -(21*INDEX('KZ-normalized'!$D:$D, MATCH($A129, 'KZ-normalized'!$A:$A, 0))-INDEX('KZ-normalized'!$E:$E, MATCH($A129, 'KZ-normalized'!$A:$A, 0))), 0), 0))+(IFERROR(IF(21*INDEX('UZ-normalized'!$D:$D, MATCH($A129, 'UZ-normalized'!$A:$A, 0))-INDEX('UZ-normalized'!$E:$E, MATCH($A129, 'UZ-normalized'!$A:$A, 0))&gt;0, -(21*INDEX('UZ-normalized'!$D:$D, MATCH($A129, 'UZ-normalized'!$A:$A, 0))-INDEX('UZ-normalized'!$E:$E, MATCH($A129, 'UZ-normalized'!$A:$A, 0))), 0), 0)))</f>
        <v>0</v>
      </c>
      <c r="AJ129" s="6">
        <f>MIN(0, N129+(IFERROR(IF(22*INDEX('UA-normalized'!$D:$D, MATCH($A129, 'UA-normalized'!$A:$A, 0))-INDEX('UA-normalized'!$E:$E, MATCH($A129, 'UA-normalized'!$A:$A, 0))&gt;0, -(22*INDEX('UA-normalized'!$D:$D, MATCH($A129, 'UA-normalized'!$A:$A, 0))-INDEX('UA-normalized'!$E:$E, MATCH($A129, 'UA-normalized'!$A:$A, 0))), 0), 0))+(IFERROR(IF(22*INDEX('KZ-normalized'!$D:$D, MATCH($A129, 'KZ-normalized'!$A:$A, 0))-INDEX('KZ-normalized'!$E:$E, MATCH($A129, 'KZ-normalized'!$A:$A, 0))&gt;0, -(22*INDEX('KZ-normalized'!$D:$D, MATCH($A129, 'KZ-normalized'!$A:$A, 0))-INDEX('KZ-normalized'!$E:$E, MATCH($A129, 'KZ-normalized'!$A:$A, 0))), 0), 0))+(IFERROR(IF(22*INDEX('UZ-normalized'!$D:$D, MATCH($A129, 'UZ-normalized'!$A:$A, 0))-INDEX('UZ-normalized'!$E:$E, MATCH($A129, 'UZ-normalized'!$A:$A, 0))&gt;0, -(22*INDEX('UZ-normalized'!$D:$D, MATCH($A129, 'UZ-normalized'!$A:$A, 0))-INDEX('UZ-normalized'!$E:$E, MATCH($A129, 'UZ-normalized'!$A:$A, 0))), 0), 0)))</f>
        <v>0</v>
      </c>
      <c r="AK129" s="6">
        <f>MIN(0, N129+(IFERROR(IF(23*INDEX('UA-normalized'!$D:$D, MATCH($A129, 'UA-normalized'!$A:$A, 0))-INDEX('UA-normalized'!$E:$E, MATCH($A129, 'UA-normalized'!$A:$A, 0))&gt;0, -(23*INDEX('UA-normalized'!$D:$D, MATCH($A129, 'UA-normalized'!$A:$A, 0))-INDEX('UA-normalized'!$E:$E, MATCH($A129, 'UA-normalized'!$A:$A, 0))), 0), 0))+(IFERROR(IF(23*INDEX('KZ-normalized'!$D:$D, MATCH($A129, 'KZ-normalized'!$A:$A, 0))-INDEX('KZ-normalized'!$E:$E, MATCH($A129, 'KZ-normalized'!$A:$A, 0))&gt;0, -(23*INDEX('KZ-normalized'!$D:$D, MATCH($A129, 'KZ-normalized'!$A:$A, 0))-INDEX('KZ-normalized'!$E:$E, MATCH($A129, 'KZ-normalized'!$A:$A, 0))), 0), 0))+(IFERROR(IF(23*INDEX('UZ-normalized'!$D:$D, MATCH($A129, 'UZ-normalized'!$A:$A, 0))-INDEX('UZ-normalized'!$E:$E, MATCH($A129, 'UZ-normalized'!$A:$A, 0))&gt;0, -(23*INDEX('UZ-normalized'!$D:$D, MATCH($A129, 'UZ-normalized'!$A:$A, 0))-INDEX('UZ-normalized'!$E:$E, MATCH($A129, 'UZ-normalized'!$A:$A, 0))), 0), 0)))</f>
        <v>0</v>
      </c>
      <c r="AL129" s="6">
        <f>MIN(0, N129+(IFERROR(IF(24*INDEX('UA-normalized'!$D:$D, MATCH($A129, 'UA-normalized'!$A:$A, 0))-INDEX('UA-normalized'!$E:$E, MATCH($A129, 'UA-normalized'!$A:$A, 0))&gt;0, -(24*INDEX('UA-normalized'!$D:$D, MATCH($A129, 'UA-normalized'!$A:$A, 0))-INDEX('UA-normalized'!$E:$E, MATCH($A129, 'UA-normalized'!$A:$A, 0))), 0), 0))+(IFERROR(IF(24*INDEX('KZ-normalized'!$D:$D, MATCH($A129, 'KZ-normalized'!$A:$A, 0))-INDEX('KZ-normalized'!$E:$E, MATCH($A129, 'KZ-normalized'!$A:$A, 0))&gt;0, -(24*INDEX('KZ-normalized'!$D:$D, MATCH($A129, 'KZ-normalized'!$A:$A, 0))-INDEX('KZ-normalized'!$E:$E, MATCH($A129, 'KZ-normalized'!$A:$A, 0))), 0), 0))+(IFERROR(IF(24*INDEX('UZ-normalized'!$D:$D, MATCH($A129, 'UZ-normalized'!$A:$A, 0))-INDEX('UZ-normalized'!$E:$E, MATCH($A129, 'UZ-normalized'!$A:$A, 0))&gt;0, -(24*INDEX('UZ-normalized'!$D:$D, MATCH($A129, 'UZ-normalized'!$A:$A, 0))-INDEX('UZ-normalized'!$E:$E, MATCH($A129, 'UZ-normalized'!$A:$A, 0))), 0), 0)))</f>
        <v>0</v>
      </c>
      <c r="AM129" s="6">
        <f>MIN(0, N129+(IFERROR(IF(25*INDEX('UA-normalized'!$D:$D, MATCH($A129, 'UA-normalized'!$A:$A, 0))-INDEX('UA-normalized'!$E:$E, MATCH($A129, 'UA-normalized'!$A:$A, 0))&gt;0, -(25*INDEX('UA-normalized'!$D:$D, MATCH($A129, 'UA-normalized'!$A:$A, 0))-INDEX('UA-normalized'!$E:$E, MATCH($A129, 'UA-normalized'!$A:$A, 0))), 0), 0))+(IFERROR(IF(25*INDEX('KZ-normalized'!$D:$D, MATCH($A129, 'KZ-normalized'!$A:$A, 0))-INDEX('KZ-normalized'!$E:$E, MATCH($A129, 'KZ-normalized'!$A:$A, 0))&gt;0, -(25*INDEX('KZ-normalized'!$D:$D, MATCH($A129, 'KZ-normalized'!$A:$A, 0))-INDEX('KZ-normalized'!$E:$E, MATCH($A129, 'KZ-normalized'!$A:$A, 0))), 0), 0))+(IFERROR(IF(25*INDEX('UZ-normalized'!$D:$D, MATCH($A129, 'UZ-normalized'!$A:$A, 0))-INDEX('UZ-normalized'!$E:$E, MATCH($A129, 'UZ-normalized'!$A:$A, 0))&gt;0, -(25*INDEX('UZ-normalized'!$D:$D, MATCH($A129, 'UZ-normalized'!$A:$A, 0))-INDEX('UZ-normalized'!$E:$E, MATCH($A129, 'UZ-normalized'!$A:$A, 0))), 0), 0)))</f>
        <v>0</v>
      </c>
      <c r="AN129" s="6">
        <f>MIN(0, N129+(IFERROR(IF(26*INDEX('UA-normalized'!$D:$D, MATCH($A129, 'UA-normalized'!$A:$A, 0))-INDEX('UA-normalized'!$E:$E, MATCH($A129, 'UA-normalized'!$A:$A, 0))&gt;0, -(26*INDEX('UA-normalized'!$D:$D, MATCH($A129, 'UA-normalized'!$A:$A, 0))-INDEX('UA-normalized'!$E:$E, MATCH($A129, 'UA-normalized'!$A:$A, 0))), 0), 0))+(IFERROR(IF(26*INDEX('KZ-normalized'!$D:$D, MATCH($A129, 'KZ-normalized'!$A:$A, 0))-INDEX('KZ-normalized'!$E:$E, MATCH($A129, 'KZ-normalized'!$A:$A, 0))&gt;0, -(26*INDEX('KZ-normalized'!$D:$D, MATCH($A129, 'KZ-normalized'!$A:$A, 0))-INDEX('KZ-normalized'!$E:$E, MATCH($A129, 'KZ-normalized'!$A:$A, 0))), 0), 0))+(IFERROR(IF(26*INDEX('UZ-normalized'!$D:$D, MATCH($A129, 'UZ-normalized'!$A:$A, 0))-INDEX('UZ-normalized'!$E:$E, MATCH($A129, 'UZ-normalized'!$A:$A, 0))&gt;0, -(26*INDEX('UZ-normalized'!$D:$D, MATCH($A129, 'UZ-normalized'!$A:$A, 0))-INDEX('UZ-normalized'!$E:$E, MATCH($A129, 'UZ-normalized'!$A:$A, 0))), 0), 0)))</f>
        <v>0</v>
      </c>
      <c r="AO129" s="6">
        <f>MIN(0, N129+(IFERROR(IF(27*INDEX('UA-normalized'!$D:$D, MATCH($A129, 'UA-normalized'!$A:$A, 0))-INDEX('UA-normalized'!$E:$E, MATCH($A129, 'UA-normalized'!$A:$A, 0))&gt;0, -(27*INDEX('UA-normalized'!$D:$D, MATCH($A129, 'UA-normalized'!$A:$A, 0))-INDEX('UA-normalized'!$E:$E, MATCH($A129, 'UA-normalized'!$A:$A, 0))), 0), 0))+(IFERROR(IF(27*INDEX('KZ-normalized'!$D:$D, MATCH($A129, 'KZ-normalized'!$A:$A, 0))-INDEX('KZ-normalized'!$E:$E, MATCH($A129, 'KZ-normalized'!$A:$A, 0))&gt;0, -(27*INDEX('KZ-normalized'!$D:$D, MATCH($A129, 'KZ-normalized'!$A:$A, 0))-INDEX('KZ-normalized'!$E:$E, MATCH($A129, 'KZ-normalized'!$A:$A, 0))), 0), 0))+(IFERROR(IF(27*INDEX('UZ-normalized'!$D:$D, MATCH($A129, 'UZ-normalized'!$A:$A, 0))-INDEX('UZ-normalized'!$E:$E, MATCH($A129, 'UZ-normalized'!$A:$A, 0))&gt;0, -(27*INDEX('UZ-normalized'!$D:$D, MATCH($A129, 'UZ-normalized'!$A:$A, 0))-INDEX('UZ-normalized'!$E:$E, MATCH($A129, 'UZ-normalized'!$A:$A, 0))), 0), 0)))</f>
        <v>0</v>
      </c>
      <c r="AP129" s="6">
        <f>MIN(0, N129+(IFERROR(IF(28*INDEX('UA-normalized'!$D:$D, MATCH($A129, 'UA-normalized'!$A:$A, 0))-INDEX('UA-normalized'!$E:$E, MATCH($A129, 'UA-normalized'!$A:$A, 0))&gt;0, -(28*INDEX('UA-normalized'!$D:$D, MATCH($A129, 'UA-normalized'!$A:$A, 0))-INDEX('UA-normalized'!$E:$E, MATCH($A129, 'UA-normalized'!$A:$A, 0))), 0), 0))+(IFERROR(IF(28*INDEX('KZ-normalized'!$D:$D, MATCH($A129, 'KZ-normalized'!$A:$A, 0))-INDEX('KZ-normalized'!$E:$E, MATCH($A129, 'KZ-normalized'!$A:$A, 0))&gt;0, -(28*INDEX('KZ-normalized'!$D:$D, MATCH($A129, 'KZ-normalized'!$A:$A, 0))-INDEX('KZ-normalized'!$E:$E, MATCH($A129, 'KZ-normalized'!$A:$A, 0))), 0), 0))+(IFERROR(IF(28*INDEX('UZ-normalized'!$D:$D, MATCH($A129, 'UZ-normalized'!$A:$A, 0))-INDEX('UZ-normalized'!$E:$E, MATCH($A129, 'UZ-normalized'!$A:$A, 0))&gt;0, -(28*INDEX('UZ-normalized'!$D:$D, MATCH($A129, 'UZ-normalized'!$A:$A, 0))-INDEX('UZ-normalized'!$E:$E, MATCH($A129, 'UZ-normalized'!$A:$A, 0))), 0), 0)))</f>
        <v>0</v>
      </c>
      <c r="AQ129" s="6">
        <f>MIN(0, N129+(IFERROR(IF(29*INDEX('UA-normalized'!$D:$D, MATCH($A129, 'UA-normalized'!$A:$A, 0))-INDEX('UA-normalized'!$E:$E, MATCH($A129, 'UA-normalized'!$A:$A, 0))&gt;0, -(29*INDEX('UA-normalized'!$D:$D, MATCH($A129, 'UA-normalized'!$A:$A, 0))-INDEX('UA-normalized'!$E:$E, MATCH($A129, 'UA-normalized'!$A:$A, 0))), 0), 0))+(IFERROR(IF(29*INDEX('KZ-normalized'!$D:$D, MATCH($A129, 'KZ-normalized'!$A:$A, 0))-INDEX('KZ-normalized'!$E:$E, MATCH($A129, 'KZ-normalized'!$A:$A, 0))&gt;0, -(29*INDEX('KZ-normalized'!$D:$D, MATCH($A129, 'KZ-normalized'!$A:$A, 0))-INDEX('KZ-normalized'!$E:$E, MATCH($A129, 'KZ-normalized'!$A:$A, 0))), 0), 0))+(IFERROR(IF(29*INDEX('UZ-normalized'!$D:$D, MATCH($A129, 'UZ-normalized'!$A:$A, 0))-INDEX('UZ-normalized'!$E:$E, MATCH($A129, 'UZ-normalized'!$A:$A, 0))&gt;0, -(29*INDEX('UZ-normalized'!$D:$D, MATCH($A129, 'UZ-normalized'!$A:$A, 0))-INDEX('UZ-normalized'!$E:$E, MATCH($A129, 'UZ-normalized'!$A:$A, 0))), 0), 0)))</f>
        <v>0</v>
      </c>
      <c r="AR129" s="6">
        <f>MIN(0, N129+(IFERROR(IF(30*INDEX('UA-normalized'!$D:$D, MATCH($A129, 'UA-normalized'!$A:$A, 0))-INDEX('UA-normalized'!$E:$E, MATCH($A129, 'UA-normalized'!$A:$A, 0))&gt;0, -(30*INDEX('UA-normalized'!$D:$D, MATCH($A129, 'UA-normalized'!$A:$A, 0))-INDEX('UA-normalized'!$E:$E, MATCH($A129, 'UA-normalized'!$A:$A, 0))), 0), 0))+(IFERROR(IF(30*INDEX('KZ-normalized'!$D:$D, MATCH($A129, 'KZ-normalized'!$A:$A, 0))-INDEX('KZ-normalized'!$E:$E, MATCH($A129, 'KZ-normalized'!$A:$A, 0))&gt;0, -(30*INDEX('KZ-normalized'!$D:$D, MATCH($A129, 'KZ-normalized'!$A:$A, 0))-INDEX('KZ-normalized'!$E:$E, MATCH($A129, 'KZ-normalized'!$A:$A, 0))), 0), 0))+(IFERROR(IF(30*INDEX('UZ-normalized'!$D:$D, MATCH($A129, 'UZ-normalized'!$A:$A, 0))-INDEX('UZ-normalized'!$E:$E, MATCH($A129, 'UZ-normalized'!$A:$A, 0))&gt;0, -(30*INDEX('UZ-normalized'!$D:$D, MATCH($A129, 'UZ-normalized'!$A:$A, 0))-INDEX('UZ-normalized'!$E:$E, MATCH($A129, 'UZ-normalized'!$A:$A, 0))), 0), 0)))</f>
        <v>0</v>
      </c>
    </row>
    <row r="130" spans="1:44" x14ac:dyDescent="0.25">
      <c r="A130" s="8" t="s">
        <v>316</v>
      </c>
      <c r="B130" s="8" t="s">
        <v>317</v>
      </c>
      <c r="C130" s="8" t="s">
        <v>318</v>
      </c>
      <c r="D130" s="8" t="s">
        <v>319</v>
      </c>
      <c r="E130">
        <v>1440</v>
      </c>
      <c r="I130">
        <v>5000</v>
      </c>
      <c r="N130">
        <f t="shared" ref="N130:N193" si="2">SUM(E130:M130)</f>
        <v>6440</v>
      </c>
      <c r="O130" s="6">
        <f>MIN(0, N130+(IFERROR(IF(1*INDEX('UA-normalized'!$D:$D, MATCH($A130, 'UA-normalized'!$A:$A, 0))-INDEX('UA-normalized'!$E:$E, MATCH($A130, 'UA-normalized'!$A:$A, 0))&gt;0, -(1*INDEX('UA-normalized'!$D:$D, MATCH($A130, 'UA-normalized'!$A:$A, 0))-INDEX('UA-normalized'!$E:$E, MATCH($A130, 'UA-normalized'!$A:$A, 0))), 0), 0))+(IFERROR(IF(1*INDEX('KZ-normalized'!$D:$D, MATCH($A130, 'KZ-normalized'!$A:$A, 0))-INDEX('KZ-normalized'!$E:$E, MATCH($A130, 'KZ-normalized'!$A:$A, 0))&gt;0, -(1*INDEX('KZ-normalized'!$D:$D, MATCH($A130, 'KZ-normalized'!$A:$A, 0))-INDEX('KZ-normalized'!$E:$E, MATCH($A130, 'KZ-normalized'!$A:$A, 0))), 0), 0))+(IFERROR(IF(1*INDEX('UZ-normalized'!$D:$D, MATCH($A130, 'UZ-normalized'!$A:$A, 0))-INDEX('UZ-normalized'!$E:$E, MATCH($A130, 'UZ-normalized'!$A:$A, 0))&gt;0, -(1*INDEX('UZ-normalized'!$D:$D, MATCH($A130, 'UZ-normalized'!$A:$A, 0))-INDEX('UZ-normalized'!$E:$E, MATCH($A130, 'UZ-normalized'!$A:$A, 0))), 0), 0)))</f>
        <v>0</v>
      </c>
      <c r="P130" s="6">
        <f>MIN(0, N130+(IFERROR(IF(2*INDEX('UA-normalized'!$D:$D, MATCH($A130, 'UA-normalized'!$A:$A, 0))-INDEX('UA-normalized'!$E:$E, MATCH($A130, 'UA-normalized'!$A:$A, 0))&gt;0, -(2*INDEX('UA-normalized'!$D:$D, MATCH($A130, 'UA-normalized'!$A:$A, 0))-INDEX('UA-normalized'!$E:$E, MATCH($A130, 'UA-normalized'!$A:$A, 0))), 0), 0))+(IFERROR(IF(2*INDEX('KZ-normalized'!$D:$D, MATCH($A130, 'KZ-normalized'!$A:$A, 0))-INDEX('KZ-normalized'!$E:$E, MATCH($A130, 'KZ-normalized'!$A:$A, 0))&gt;0, -(2*INDEX('KZ-normalized'!$D:$D, MATCH($A130, 'KZ-normalized'!$A:$A, 0))-INDEX('KZ-normalized'!$E:$E, MATCH($A130, 'KZ-normalized'!$A:$A, 0))), 0), 0))+(IFERROR(IF(2*INDEX('UZ-normalized'!$D:$D, MATCH($A130, 'UZ-normalized'!$A:$A, 0))-INDEX('UZ-normalized'!$E:$E, MATCH($A130, 'UZ-normalized'!$A:$A, 0))&gt;0, -(2*INDEX('UZ-normalized'!$D:$D, MATCH($A130, 'UZ-normalized'!$A:$A, 0))-INDEX('UZ-normalized'!$E:$E, MATCH($A130, 'UZ-normalized'!$A:$A, 0))), 0), 0)))</f>
        <v>0</v>
      </c>
      <c r="Q130" s="6">
        <f>MIN(0, N130+(IFERROR(IF(3*INDEX('UA-normalized'!$D:$D, MATCH($A130, 'UA-normalized'!$A:$A, 0))-INDEX('UA-normalized'!$E:$E, MATCH($A130, 'UA-normalized'!$A:$A, 0))&gt;0, -(3*INDEX('UA-normalized'!$D:$D, MATCH($A130, 'UA-normalized'!$A:$A, 0))-INDEX('UA-normalized'!$E:$E, MATCH($A130, 'UA-normalized'!$A:$A, 0))), 0), 0))+(IFERROR(IF(3*INDEX('KZ-normalized'!$D:$D, MATCH($A130, 'KZ-normalized'!$A:$A, 0))-INDEX('KZ-normalized'!$E:$E, MATCH($A130, 'KZ-normalized'!$A:$A, 0))&gt;0, -(3*INDEX('KZ-normalized'!$D:$D, MATCH($A130, 'KZ-normalized'!$A:$A, 0))-INDEX('KZ-normalized'!$E:$E, MATCH($A130, 'KZ-normalized'!$A:$A, 0))), 0), 0))+(IFERROR(IF(3*INDEX('UZ-normalized'!$D:$D, MATCH($A130, 'UZ-normalized'!$A:$A, 0))-INDEX('UZ-normalized'!$E:$E, MATCH($A130, 'UZ-normalized'!$A:$A, 0))&gt;0, -(3*INDEX('UZ-normalized'!$D:$D, MATCH($A130, 'UZ-normalized'!$A:$A, 0))-INDEX('UZ-normalized'!$E:$E, MATCH($A130, 'UZ-normalized'!$A:$A, 0))), 0), 0)))</f>
        <v>0</v>
      </c>
      <c r="R130" s="6">
        <f>MIN(0, N130+(IFERROR(IF(4*INDEX('UA-normalized'!$D:$D, MATCH($A130, 'UA-normalized'!$A:$A, 0))-INDEX('UA-normalized'!$E:$E, MATCH($A130, 'UA-normalized'!$A:$A, 0))&gt;0, -(4*INDEX('UA-normalized'!$D:$D, MATCH($A130, 'UA-normalized'!$A:$A, 0))-INDEX('UA-normalized'!$E:$E, MATCH($A130, 'UA-normalized'!$A:$A, 0))), 0), 0))+(IFERROR(IF(4*INDEX('KZ-normalized'!$D:$D, MATCH($A130, 'KZ-normalized'!$A:$A, 0))-INDEX('KZ-normalized'!$E:$E, MATCH($A130, 'KZ-normalized'!$A:$A, 0))&gt;0, -(4*INDEX('KZ-normalized'!$D:$D, MATCH($A130, 'KZ-normalized'!$A:$A, 0))-INDEX('KZ-normalized'!$E:$E, MATCH($A130, 'KZ-normalized'!$A:$A, 0))), 0), 0))+(IFERROR(IF(4*INDEX('UZ-normalized'!$D:$D, MATCH($A130, 'UZ-normalized'!$A:$A, 0))-INDEX('UZ-normalized'!$E:$E, MATCH($A130, 'UZ-normalized'!$A:$A, 0))&gt;0, -(4*INDEX('UZ-normalized'!$D:$D, MATCH($A130, 'UZ-normalized'!$A:$A, 0))-INDEX('UZ-normalized'!$E:$E, MATCH($A130, 'UZ-normalized'!$A:$A, 0))), 0), 0)))</f>
        <v>0</v>
      </c>
      <c r="S130" s="6">
        <f>MIN(0, N130+(IFERROR(IF(5*INDEX('UA-normalized'!$D:$D, MATCH($A130, 'UA-normalized'!$A:$A, 0))-INDEX('UA-normalized'!$E:$E, MATCH($A130, 'UA-normalized'!$A:$A, 0))&gt;0, -(5*INDEX('UA-normalized'!$D:$D, MATCH($A130, 'UA-normalized'!$A:$A, 0))-INDEX('UA-normalized'!$E:$E, MATCH($A130, 'UA-normalized'!$A:$A, 0))), 0), 0))+(IFERROR(IF(5*INDEX('KZ-normalized'!$D:$D, MATCH($A130, 'KZ-normalized'!$A:$A, 0))-INDEX('KZ-normalized'!$E:$E, MATCH($A130, 'KZ-normalized'!$A:$A, 0))&gt;0, -(5*INDEX('KZ-normalized'!$D:$D, MATCH($A130, 'KZ-normalized'!$A:$A, 0))-INDEX('KZ-normalized'!$E:$E, MATCH($A130, 'KZ-normalized'!$A:$A, 0))), 0), 0))+(IFERROR(IF(5*INDEX('UZ-normalized'!$D:$D, MATCH($A130, 'UZ-normalized'!$A:$A, 0))-INDEX('UZ-normalized'!$E:$E, MATCH($A130, 'UZ-normalized'!$A:$A, 0))&gt;0, -(5*INDEX('UZ-normalized'!$D:$D, MATCH($A130, 'UZ-normalized'!$A:$A, 0))-INDEX('UZ-normalized'!$E:$E, MATCH($A130, 'UZ-normalized'!$A:$A, 0))), 0), 0)))</f>
        <v>0</v>
      </c>
      <c r="T130" s="6">
        <f>MIN(0, N130+(IFERROR(IF(6*INDEX('UA-normalized'!$D:$D, MATCH($A130, 'UA-normalized'!$A:$A, 0))-INDEX('UA-normalized'!$E:$E, MATCH($A130, 'UA-normalized'!$A:$A, 0))&gt;0, -(6*INDEX('UA-normalized'!$D:$D, MATCH($A130, 'UA-normalized'!$A:$A, 0))-INDEX('UA-normalized'!$E:$E, MATCH($A130, 'UA-normalized'!$A:$A, 0))), 0), 0))+(IFERROR(IF(6*INDEX('KZ-normalized'!$D:$D, MATCH($A130, 'KZ-normalized'!$A:$A, 0))-INDEX('KZ-normalized'!$E:$E, MATCH($A130, 'KZ-normalized'!$A:$A, 0))&gt;0, -(6*INDEX('KZ-normalized'!$D:$D, MATCH($A130, 'KZ-normalized'!$A:$A, 0))-INDEX('KZ-normalized'!$E:$E, MATCH($A130, 'KZ-normalized'!$A:$A, 0))), 0), 0))+(IFERROR(IF(6*INDEX('UZ-normalized'!$D:$D, MATCH($A130, 'UZ-normalized'!$A:$A, 0))-INDEX('UZ-normalized'!$E:$E, MATCH($A130, 'UZ-normalized'!$A:$A, 0))&gt;0, -(6*INDEX('UZ-normalized'!$D:$D, MATCH($A130, 'UZ-normalized'!$A:$A, 0))-INDEX('UZ-normalized'!$E:$E, MATCH($A130, 'UZ-normalized'!$A:$A, 0))), 0), 0)))</f>
        <v>0</v>
      </c>
      <c r="U130" s="6">
        <f>MIN(0, N130+(IFERROR(IF(7*INDEX('UA-normalized'!$D:$D, MATCH($A130, 'UA-normalized'!$A:$A, 0))-INDEX('UA-normalized'!$E:$E, MATCH($A130, 'UA-normalized'!$A:$A, 0))&gt;0, -(7*INDEX('UA-normalized'!$D:$D, MATCH($A130, 'UA-normalized'!$A:$A, 0))-INDEX('UA-normalized'!$E:$E, MATCH($A130, 'UA-normalized'!$A:$A, 0))), 0), 0))+(IFERROR(IF(7*INDEX('KZ-normalized'!$D:$D, MATCH($A130, 'KZ-normalized'!$A:$A, 0))-INDEX('KZ-normalized'!$E:$E, MATCH($A130, 'KZ-normalized'!$A:$A, 0))&gt;0, -(7*INDEX('KZ-normalized'!$D:$D, MATCH($A130, 'KZ-normalized'!$A:$A, 0))-INDEX('KZ-normalized'!$E:$E, MATCH($A130, 'KZ-normalized'!$A:$A, 0))), 0), 0))+(IFERROR(IF(7*INDEX('UZ-normalized'!$D:$D, MATCH($A130, 'UZ-normalized'!$A:$A, 0))-INDEX('UZ-normalized'!$E:$E, MATCH($A130, 'UZ-normalized'!$A:$A, 0))&gt;0, -(7*INDEX('UZ-normalized'!$D:$D, MATCH($A130, 'UZ-normalized'!$A:$A, 0))-INDEX('UZ-normalized'!$E:$E, MATCH($A130, 'UZ-normalized'!$A:$A, 0))), 0), 0)))</f>
        <v>0</v>
      </c>
      <c r="V130" s="6">
        <f>MIN(0, N130+(IFERROR(IF(8*INDEX('UA-normalized'!$D:$D, MATCH($A130, 'UA-normalized'!$A:$A, 0))-INDEX('UA-normalized'!$E:$E, MATCH($A130, 'UA-normalized'!$A:$A, 0))&gt;0, -(8*INDEX('UA-normalized'!$D:$D, MATCH($A130, 'UA-normalized'!$A:$A, 0))-INDEX('UA-normalized'!$E:$E, MATCH($A130, 'UA-normalized'!$A:$A, 0))), 0), 0))+(IFERROR(IF(8*INDEX('KZ-normalized'!$D:$D, MATCH($A130, 'KZ-normalized'!$A:$A, 0))-INDEX('KZ-normalized'!$E:$E, MATCH($A130, 'KZ-normalized'!$A:$A, 0))&gt;0, -(8*INDEX('KZ-normalized'!$D:$D, MATCH($A130, 'KZ-normalized'!$A:$A, 0))-INDEX('KZ-normalized'!$E:$E, MATCH($A130, 'KZ-normalized'!$A:$A, 0))), 0), 0))+(IFERROR(IF(8*INDEX('UZ-normalized'!$D:$D, MATCH($A130, 'UZ-normalized'!$A:$A, 0))-INDEX('UZ-normalized'!$E:$E, MATCH($A130, 'UZ-normalized'!$A:$A, 0))&gt;0, -(8*INDEX('UZ-normalized'!$D:$D, MATCH($A130, 'UZ-normalized'!$A:$A, 0))-INDEX('UZ-normalized'!$E:$E, MATCH($A130, 'UZ-normalized'!$A:$A, 0))), 0), 0)))</f>
        <v>0</v>
      </c>
      <c r="W130" s="6">
        <f>MIN(0, N130+(IFERROR(IF(9*INDEX('UA-normalized'!$D:$D, MATCH($A130, 'UA-normalized'!$A:$A, 0))-INDEX('UA-normalized'!$E:$E, MATCH($A130, 'UA-normalized'!$A:$A, 0))&gt;0, -(9*INDEX('UA-normalized'!$D:$D, MATCH($A130, 'UA-normalized'!$A:$A, 0))-INDEX('UA-normalized'!$E:$E, MATCH($A130, 'UA-normalized'!$A:$A, 0))), 0), 0))+(IFERROR(IF(9*INDEX('KZ-normalized'!$D:$D, MATCH($A130, 'KZ-normalized'!$A:$A, 0))-INDEX('KZ-normalized'!$E:$E, MATCH($A130, 'KZ-normalized'!$A:$A, 0))&gt;0, -(9*INDEX('KZ-normalized'!$D:$D, MATCH($A130, 'KZ-normalized'!$A:$A, 0))-INDEX('KZ-normalized'!$E:$E, MATCH($A130, 'KZ-normalized'!$A:$A, 0))), 0), 0))+(IFERROR(IF(9*INDEX('UZ-normalized'!$D:$D, MATCH($A130, 'UZ-normalized'!$A:$A, 0))-INDEX('UZ-normalized'!$E:$E, MATCH($A130, 'UZ-normalized'!$A:$A, 0))&gt;0, -(9*INDEX('UZ-normalized'!$D:$D, MATCH($A130, 'UZ-normalized'!$A:$A, 0))-INDEX('UZ-normalized'!$E:$E, MATCH($A130, 'UZ-normalized'!$A:$A, 0))), 0), 0)))</f>
        <v>0</v>
      </c>
      <c r="X130" s="6">
        <f>MIN(0, N130+(IFERROR(IF(10*INDEX('UA-normalized'!$D:$D, MATCH($A130, 'UA-normalized'!$A:$A, 0))-INDEX('UA-normalized'!$E:$E, MATCH($A130, 'UA-normalized'!$A:$A, 0))&gt;0, -(10*INDEX('UA-normalized'!$D:$D, MATCH($A130, 'UA-normalized'!$A:$A, 0))-INDEX('UA-normalized'!$E:$E, MATCH($A130, 'UA-normalized'!$A:$A, 0))), 0), 0))+(IFERROR(IF(10*INDEX('KZ-normalized'!$D:$D, MATCH($A130, 'KZ-normalized'!$A:$A, 0))-INDEX('KZ-normalized'!$E:$E, MATCH($A130, 'KZ-normalized'!$A:$A, 0))&gt;0, -(10*INDEX('KZ-normalized'!$D:$D, MATCH($A130, 'KZ-normalized'!$A:$A, 0))-INDEX('KZ-normalized'!$E:$E, MATCH($A130, 'KZ-normalized'!$A:$A, 0))), 0), 0))+(IFERROR(IF(10*INDEX('UZ-normalized'!$D:$D, MATCH($A130, 'UZ-normalized'!$A:$A, 0))-INDEX('UZ-normalized'!$E:$E, MATCH($A130, 'UZ-normalized'!$A:$A, 0))&gt;0, -(10*INDEX('UZ-normalized'!$D:$D, MATCH($A130, 'UZ-normalized'!$A:$A, 0))-INDEX('UZ-normalized'!$E:$E, MATCH($A130, 'UZ-normalized'!$A:$A, 0))), 0), 0)))</f>
        <v>0</v>
      </c>
      <c r="Y130" s="6">
        <f>MIN(0, N130+(IFERROR(IF(11*INDEX('UA-normalized'!$D:$D, MATCH($A130, 'UA-normalized'!$A:$A, 0))-INDEX('UA-normalized'!$E:$E, MATCH($A130, 'UA-normalized'!$A:$A, 0))&gt;0, -(11*INDEX('UA-normalized'!$D:$D, MATCH($A130, 'UA-normalized'!$A:$A, 0))-INDEX('UA-normalized'!$E:$E, MATCH($A130, 'UA-normalized'!$A:$A, 0))), 0), 0))+(IFERROR(IF(11*INDEX('KZ-normalized'!$D:$D, MATCH($A130, 'KZ-normalized'!$A:$A, 0))-INDEX('KZ-normalized'!$E:$E, MATCH($A130, 'KZ-normalized'!$A:$A, 0))&gt;0, -(11*INDEX('KZ-normalized'!$D:$D, MATCH($A130, 'KZ-normalized'!$A:$A, 0))-INDEX('KZ-normalized'!$E:$E, MATCH($A130, 'KZ-normalized'!$A:$A, 0))), 0), 0))+(IFERROR(IF(11*INDEX('UZ-normalized'!$D:$D, MATCH($A130, 'UZ-normalized'!$A:$A, 0))-INDEX('UZ-normalized'!$E:$E, MATCH($A130, 'UZ-normalized'!$A:$A, 0))&gt;0, -(11*INDEX('UZ-normalized'!$D:$D, MATCH($A130, 'UZ-normalized'!$A:$A, 0))-INDEX('UZ-normalized'!$E:$E, MATCH($A130, 'UZ-normalized'!$A:$A, 0))), 0), 0)))</f>
        <v>0</v>
      </c>
      <c r="Z130" s="6">
        <f>MIN(0, N130+(IFERROR(IF(12*INDEX('UA-normalized'!$D:$D, MATCH($A130, 'UA-normalized'!$A:$A, 0))-INDEX('UA-normalized'!$E:$E, MATCH($A130, 'UA-normalized'!$A:$A, 0))&gt;0, -(12*INDEX('UA-normalized'!$D:$D, MATCH($A130, 'UA-normalized'!$A:$A, 0))-INDEX('UA-normalized'!$E:$E, MATCH($A130, 'UA-normalized'!$A:$A, 0))), 0), 0))+(IFERROR(IF(12*INDEX('KZ-normalized'!$D:$D, MATCH($A130, 'KZ-normalized'!$A:$A, 0))-INDEX('KZ-normalized'!$E:$E, MATCH($A130, 'KZ-normalized'!$A:$A, 0))&gt;0, -(12*INDEX('KZ-normalized'!$D:$D, MATCH($A130, 'KZ-normalized'!$A:$A, 0))-INDEX('KZ-normalized'!$E:$E, MATCH($A130, 'KZ-normalized'!$A:$A, 0))), 0), 0))+(IFERROR(IF(12*INDEX('UZ-normalized'!$D:$D, MATCH($A130, 'UZ-normalized'!$A:$A, 0))-INDEX('UZ-normalized'!$E:$E, MATCH($A130, 'UZ-normalized'!$A:$A, 0))&gt;0, -(12*INDEX('UZ-normalized'!$D:$D, MATCH($A130, 'UZ-normalized'!$A:$A, 0))-INDEX('UZ-normalized'!$E:$E, MATCH($A130, 'UZ-normalized'!$A:$A, 0))), 0), 0)))</f>
        <v>0</v>
      </c>
      <c r="AA130" s="6">
        <f>MIN(0, N130+(IFERROR(IF(13*INDEX('UA-normalized'!$D:$D, MATCH($A130, 'UA-normalized'!$A:$A, 0))-INDEX('UA-normalized'!$E:$E, MATCH($A130, 'UA-normalized'!$A:$A, 0))&gt;0, -(13*INDEX('UA-normalized'!$D:$D, MATCH($A130, 'UA-normalized'!$A:$A, 0))-INDEX('UA-normalized'!$E:$E, MATCH($A130, 'UA-normalized'!$A:$A, 0))), 0), 0))+(IFERROR(IF(13*INDEX('KZ-normalized'!$D:$D, MATCH($A130, 'KZ-normalized'!$A:$A, 0))-INDEX('KZ-normalized'!$E:$E, MATCH($A130, 'KZ-normalized'!$A:$A, 0))&gt;0, -(13*INDEX('KZ-normalized'!$D:$D, MATCH($A130, 'KZ-normalized'!$A:$A, 0))-INDEX('KZ-normalized'!$E:$E, MATCH($A130, 'KZ-normalized'!$A:$A, 0))), 0), 0))+(IFERROR(IF(13*INDEX('UZ-normalized'!$D:$D, MATCH($A130, 'UZ-normalized'!$A:$A, 0))-INDEX('UZ-normalized'!$E:$E, MATCH($A130, 'UZ-normalized'!$A:$A, 0))&gt;0, -(13*INDEX('UZ-normalized'!$D:$D, MATCH($A130, 'UZ-normalized'!$A:$A, 0))-INDEX('UZ-normalized'!$E:$E, MATCH($A130, 'UZ-normalized'!$A:$A, 0))), 0), 0)))</f>
        <v>0</v>
      </c>
      <c r="AB130" s="6">
        <f>MIN(0, N130+(IFERROR(IF(14*INDEX('UA-normalized'!$D:$D, MATCH($A130, 'UA-normalized'!$A:$A, 0))-INDEX('UA-normalized'!$E:$E, MATCH($A130, 'UA-normalized'!$A:$A, 0))&gt;0, -(14*INDEX('UA-normalized'!$D:$D, MATCH($A130, 'UA-normalized'!$A:$A, 0))-INDEX('UA-normalized'!$E:$E, MATCH($A130, 'UA-normalized'!$A:$A, 0))), 0), 0))+(IFERROR(IF(14*INDEX('KZ-normalized'!$D:$D, MATCH($A130, 'KZ-normalized'!$A:$A, 0))-INDEX('KZ-normalized'!$E:$E, MATCH($A130, 'KZ-normalized'!$A:$A, 0))&gt;0, -(14*INDEX('KZ-normalized'!$D:$D, MATCH($A130, 'KZ-normalized'!$A:$A, 0))-INDEX('KZ-normalized'!$E:$E, MATCH($A130, 'KZ-normalized'!$A:$A, 0))), 0), 0))+(IFERROR(IF(14*INDEX('UZ-normalized'!$D:$D, MATCH($A130, 'UZ-normalized'!$A:$A, 0))-INDEX('UZ-normalized'!$E:$E, MATCH($A130, 'UZ-normalized'!$A:$A, 0))&gt;0, -(14*INDEX('UZ-normalized'!$D:$D, MATCH($A130, 'UZ-normalized'!$A:$A, 0))-INDEX('UZ-normalized'!$E:$E, MATCH($A130, 'UZ-normalized'!$A:$A, 0))), 0), 0)))</f>
        <v>0</v>
      </c>
      <c r="AC130" s="6">
        <f>MIN(0, N130+(IFERROR(IF(15*INDEX('UA-normalized'!$D:$D, MATCH($A130, 'UA-normalized'!$A:$A, 0))-INDEX('UA-normalized'!$E:$E, MATCH($A130, 'UA-normalized'!$A:$A, 0))&gt;0, -(15*INDEX('UA-normalized'!$D:$D, MATCH($A130, 'UA-normalized'!$A:$A, 0))-INDEX('UA-normalized'!$E:$E, MATCH($A130, 'UA-normalized'!$A:$A, 0))), 0), 0))+(IFERROR(IF(15*INDEX('KZ-normalized'!$D:$D, MATCH($A130, 'KZ-normalized'!$A:$A, 0))-INDEX('KZ-normalized'!$E:$E, MATCH($A130, 'KZ-normalized'!$A:$A, 0))&gt;0, -(15*INDEX('KZ-normalized'!$D:$D, MATCH($A130, 'KZ-normalized'!$A:$A, 0))-INDEX('KZ-normalized'!$E:$E, MATCH($A130, 'KZ-normalized'!$A:$A, 0))), 0), 0))+(IFERROR(IF(15*INDEX('UZ-normalized'!$D:$D, MATCH($A130, 'UZ-normalized'!$A:$A, 0))-INDEX('UZ-normalized'!$E:$E, MATCH($A130, 'UZ-normalized'!$A:$A, 0))&gt;0, -(15*INDEX('UZ-normalized'!$D:$D, MATCH($A130, 'UZ-normalized'!$A:$A, 0))-INDEX('UZ-normalized'!$E:$E, MATCH($A130, 'UZ-normalized'!$A:$A, 0))), 0), 0)))</f>
        <v>0</v>
      </c>
      <c r="AD130" s="6">
        <f>MIN(0, N130+(IFERROR(IF(16*INDEX('UA-normalized'!$D:$D, MATCH($A130, 'UA-normalized'!$A:$A, 0))-INDEX('UA-normalized'!$E:$E, MATCH($A130, 'UA-normalized'!$A:$A, 0))&gt;0, -(16*INDEX('UA-normalized'!$D:$D, MATCH($A130, 'UA-normalized'!$A:$A, 0))-INDEX('UA-normalized'!$E:$E, MATCH($A130, 'UA-normalized'!$A:$A, 0))), 0), 0))+(IFERROR(IF(16*INDEX('KZ-normalized'!$D:$D, MATCH($A130, 'KZ-normalized'!$A:$A, 0))-INDEX('KZ-normalized'!$E:$E, MATCH($A130, 'KZ-normalized'!$A:$A, 0))&gt;0, -(16*INDEX('KZ-normalized'!$D:$D, MATCH($A130, 'KZ-normalized'!$A:$A, 0))-INDEX('KZ-normalized'!$E:$E, MATCH($A130, 'KZ-normalized'!$A:$A, 0))), 0), 0))+(IFERROR(IF(16*INDEX('UZ-normalized'!$D:$D, MATCH($A130, 'UZ-normalized'!$A:$A, 0))-INDEX('UZ-normalized'!$E:$E, MATCH($A130, 'UZ-normalized'!$A:$A, 0))&gt;0, -(16*INDEX('UZ-normalized'!$D:$D, MATCH($A130, 'UZ-normalized'!$A:$A, 0))-INDEX('UZ-normalized'!$E:$E, MATCH($A130, 'UZ-normalized'!$A:$A, 0))), 0), 0)))</f>
        <v>0</v>
      </c>
      <c r="AE130" s="6">
        <f>MIN(0, N130+(IFERROR(IF(17*INDEX('UA-normalized'!$D:$D, MATCH($A130, 'UA-normalized'!$A:$A, 0))-INDEX('UA-normalized'!$E:$E, MATCH($A130, 'UA-normalized'!$A:$A, 0))&gt;0, -(17*INDEX('UA-normalized'!$D:$D, MATCH($A130, 'UA-normalized'!$A:$A, 0))-INDEX('UA-normalized'!$E:$E, MATCH($A130, 'UA-normalized'!$A:$A, 0))), 0), 0))+(IFERROR(IF(17*INDEX('KZ-normalized'!$D:$D, MATCH($A130, 'KZ-normalized'!$A:$A, 0))-INDEX('KZ-normalized'!$E:$E, MATCH($A130, 'KZ-normalized'!$A:$A, 0))&gt;0, -(17*INDEX('KZ-normalized'!$D:$D, MATCH($A130, 'KZ-normalized'!$A:$A, 0))-INDEX('KZ-normalized'!$E:$E, MATCH($A130, 'KZ-normalized'!$A:$A, 0))), 0), 0))+(IFERROR(IF(17*INDEX('UZ-normalized'!$D:$D, MATCH($A130, 'UZ-normalized'!$A:$A, 0))-INDEX('UZ-normalized'!$E:$E, MATCH($A130, 'UZ-normalized'!$A:$A, 0))&gt;0, -(17*INDEX('UZ-normalized'!$D:$D, MATCH($A130, 'UZ-normalized'!$A:$A, 0))-INDEX('UZ-normalized'!$E:$E, MATCH($A130, 'UZ-normalized'!$A:$A, 0))), 0), 0)))</f>
        <v>0</v>
      </c>
      <c r="AF130" s="6">
        <f>MIN(0, N130+(IFERROR(IF(18*INDEX('UA-normalized'!$D:$D, MATCH($A130, 'UA-normalized'!$A:$A, 0))-INDEX('UA-normalized'!$E:$E, MATCH($A130, 'UA-normalized'!$A:$A, 0))&gt;0, -(18*INDEX('UA-normalized'!$D:$D, MATCH($A130, 'UA-normalized'!$A:$A, 0))-INDEX('UA-normalized'!$E:$E, MATCH($A130, 'UA-normalized'!$A:$A, 0))), 0), 0))+(IFERROR(IF(18*INDEX('KZ-normalized'!$D:$D, MATCH($A130, 'KZ-normalized'!$A:$A, 0))-INDEX('KZ-normalized'!$E:$E, MATCH($A130, 'KZ-normalized'!$A:$A, 0))&gt;0, -(18*INDEX('KZ-normalized'!$D:$D, MATCH($A130, 'KZ-normalized'!$A:$A, 0))-INDEX('KZ-normalized'!$E:$E, MATCH($A130, 'KZ-normalized'!$A:$A, 0))), 0), 0))+(IFERROR(IF(18*INDEX('UZ-normalized'!$D:$D, MATCH($A130, 'UZ-normalized'!$A:$A, 0))-INDEX('UZ-normalized'!$E:$E, MATCH($A130, 'UZ-normalized'!$A:$A, 0))&gt;0, -(18*INDEX('UZ-normalized'!$D:$D, MATCH($A130, 'UZ-normalized'!$A:$A, 0))-INDEX('UZ-normalized'!$E:$E, MATCH($A130, 'UZ-normalized'!$A:$A, 0))), 0), 0)))</f>
        <v>0</v>
      </c>
      <c r="AG130" s="6">
        <f>MIN(0, N130+(IFERROR(IF(19*INDEX('UA-normalized'!$D:$D, MATCH($A130, 'UA-normalized'!$A:$A, 0))-INDEX('UA-normalized'!$E:$E, MATCH($A130, 'UA-normalized'!$A:$A, 0))&gt;0, -(19*INDEX('UA-normalized'!$D:$D, MATCH($A130, 'UA-normalized'!$A:$A, 0))-INDEX('UA-normalized'!$E:$E, MATCH($A130, 'UA-normalized'!$A:$A, 0))), 0), 0))+(IFERROR(IF(19*INDEX('KZ-normalized'!$D:$D, MATCH($A130, 'KZ-normalized'!$A:$A, 0))-INDEX('KZ-normalized'!$E:$E, MATCH($A130, 'KZ-normalized'!$A:$A, 0))&gt;0, -(19*INDEX('KZ-normalized'!$D:$D, MATCH($A130, 'KZ-normalized'!$A:$A, 0))-INDEX('KZ-normalized'!$E:$E, MATCH($A130, 'KZ-normalized'!$A:$A, 0))), 0), 0))+(IFERROR(IF(19*INDEX('UZ-normalized'!$D:$D, MATCH($A130, 'UZ-normalized'!$A:$A, 0))-INDEX('UZ-normalized'!$E:$E, MATCH($A130, 'UZ-normalized'!$A:$A, 0))&gt;0, -(19*INDEX('UZ-normalized'!$D:$D, MATCH($A130, 'UZ-normalized'!$A:$A, 0))-INDEX('UZ-normalized'!$E:$E, MATCH($A130, 'UZ-normalized'!$A:$A, 0))), 0), 0)))</f>
        <v>0</v>
      </c>
      <c r="AH130" s="6">
        <f>MIN(0, N130+(IFERROR(IF(20*INDEX('UA-normalized'!$D:$D, MATCH($A130, 'UA-normalized'!$A:$A, 0))-INDEX('UA-normalized'!$E:$E, MATCH($A130, 'UA-normalized'!$A:$A, 0))&gt;0, -(20*INDEX('UA-normalized'!$D:$D, MATCH($A130, 'UA-normalized'!$A:$A, 0))-INDEX('UA-normalized'!$E:$E, MATCH($A130, 'UA-normalized'!$A:$A, 0))), 0), 0))+(IFERROR(IF(20*INDEX('KZ-normalized'!$D:$D, MATCH($A130, 'KZ-normalized'!$A:$A, 0))-INDEX('KZ-normalized'!$E:$E, MATCH($A130, 'KZ-normalized'!$A:$A, 0))&gt;0, -(20*INDEX('KZ-normalized'!$D:$D, MATCH($A130, 'KZ-normalized'!$A:$A, 0))-INDEX('KZ-normalized'!$E:$E, MATCH($A130, 'KZ-normalized'!$A:$A, 0))), 0), 0))+(IFERROR(IF(20*INDEX('UZ-normalized'!$D:$D, MATCH($A130, 'UZ-normalized'!$A:$A, 0))-INDEX('UZ-normalized'!$E:$E, MATCH($A130, 'UZ-normalized'!$A:$A, 0))&gt;0, -(20*INDEX('UZ-normalized'!$D:$D, MATCH($A130, 'UZ-normalized'!$A:$A, 0))-INDEX('UZ-normalized'!$E:$E, MATCH($A130, 'UZ-normalized'!$A:$A, 0))), 0), 0)))</f>
        <v>0</v>
      </c>
      <c r="AI130" s="6">
        <f>MIN(0, N130+(IFERROR(IF(21*INDEX('UA-normalized'!$D:$D, MATCH($A130, 'UA-normalized'!$A:$A, 0))-INDEX('UA-normalized'!$E:$E, MATCH($A130, 'UA-normalized'!$A:$A, 0))&gt;0, -(21*INDEX('UA-normalized'!$D:$D, MATCH($A130, 'UA-normalized'!$A:$A, 0))-INDEX('UA-normalized'!$E:$E, MATCH($A130, 'UA-normalized'!$A:$A, 0))), 0), 0))+(IFERROR(IF(21*INDEX('KZ-normalized'!$D:$D, MATCH($A130, 'KZ-normalized'!$A:$A, 0))-INDEX('KZ-normalized'!$E:$E, MATCH($A130, 'KZ-normalized'!$A:$A, 0))&gt;0, -(21*INDEX('KZ-normalized'!$D:$D, MATCH($A130, 'KZ-normalized'!$A:$A, 0))-INDEX('KZ-normalized'!$E:$E, MATCH($A130, 'KZ-normalized'!$A:$A, 0))), 0), 0))+(IFERROR(IF(21*INDEX('UZ-normalized'!$D:$D, MATCH($A130, 'UZ-normalized'!$A:$A, 0))-INDEX('UZ-normalized'!$E:$E, MATCH($A130, 'UZ-normalized'!$A:$A, 0))&gt;0, -(21*INDEX('UZ-normalized'!$D:$D, MATCH($A130, 'UZ-normalized'!$A:$A, 0))-INDEX('UZ-normalized'!$E:$E, MATCH($A130, 'UZ-normalized'!$A:$A, 0))), 0), 0)))</f>
        <v>0</v>
      </c>
      <c r="AJ130" s="6">
        <f>MIN(0, N130+(IFERROR(IF(22*INDEX('UA-normalized'!$D:$D, MATCH($A130, 'UA-normalized'!$A:$A, 0))-INDEX('UA-normalized'!$E:$E, MATCH($A130, 'UA-normalized'!$A:$A, 0))&gt;0, -(22*INDEX('UA-normalized'!$D:$D, MATCH($A130, 'UA-normalized'!$A:$A, 0))-INDEX('UA-normalized'!$E:$E, MATCH($A130, 'UA-normalized'!$A:$A, 0))), 0), 0))+(IFERROR(IF(22*INDEX('KZ-normalized'!$D:$D, MATCH($A130, 'KZ-normalized'!$A:$A, 0))-INDEX('KZ-normalized'!$E:$E, MATCH($A130, 'KZ-normalized'!$A:$A, 0))&gt;0, -(22*INDEX('KZ-normalized'!$D:$D, MATCH($A130, 'KZ-normalized'!$A:$A, 0))-INDEX('KZ-normalized'!$E:$E, MATCH($A130, 'KZ-normalized'!$A:$A, 0))), 0), 0))+(IFERROR(IF(22*INDEX('UZ-normalized'!$D:$D, MATCH($A130, 'UZ-normalized'!$A:$A, 0))-INDEX('UZ-normalized'!$E:$E, MATCH($A130, 'UZ-normalized'!$A:$A, 0))&gt;0, -(22*INDEX('UZ-normalized'!$D:$D, MATCH($A130, 'UZ-normalized'!$A:$A, 0))-INDEX('UZ-normalized'!$E:$E, MATCH($A130, 'UZ-normalized'!$A:$A, 0))), 0), 0)))</f>
        <v>0</v>
      </c>
      <c r="AK130" s="6">
        <f>MIN(0, N130+(IFERROR(IF(23*INDEX('UA-normalized'!$D:$D, MATCH($A130, 'UA-normalized'!$A:$A, 0))-INDEX('UA-normalized'!$E:$E, MATCH($A130, 'UA-normalized'!$A:$A, 0))&gt;0, -(23*INDEX('UA-normalized'!$D:$D, MATCH($A130, 'UA-normalized'!$A:$A, 0))-INDEX('UA-normalized'!$E:$E, MATCH($A130, 'UA-normalized'!$A:$A, 0))), 0), 0))+(IFERROR(IF(23*INDEX('KZ-normalized'!$D:$D, MATCH($A130, 'KZ-normalized'!$A:$A, 0))-INDEX('KZ-normalized'!$E:$E, MATCH($A130, 'KZ-normalized'!$A:$A, 0))&gt;0, -(23*INDEX('KZ-normalized'!$D:$D, MATCH($A130, 'KZ-normalized'!$A:$A, 0))-INDEX('KZ-normalized'!$E:$E, MATCH($A130, 'KZ-normalized'!$A:$A, 0))), 0), 0))+(IFERROR(IF(23*INDEX('UZ-normalized'!$D:$D, MATCH($A130, 'UZ-normalized'!$A:$A, 0))-INDEX('UZ-normalized'!$E:$E, MATCH($A130, 'UZ-normalized'!$A:$A, 0))&gt;0, -(23*INDEX('UZ-normalized'!$D:$D, MATCH($A130, 'UZ-normalized'!$A:$A, 0))-INDEX('UZ-normalized'!$E:$E, MATCH($A130, 'UZ-normalized'!$A:$A, 0))), 0), 0)))</f>
        <v>0</v>
      </c>
      <c r="AL130" s="6">
        <f>MIN(0, N130+(IFERROR(IF(24*INDEX('UA-normalized'!$D:$D, MATCH($A130, 'UA-normalized'!$A:$A, 0))-INDEX('UA-normalized'!$E:$E, MATCH($A130, 'UA-normalized'!$A:$A, 0))&gt;0, -(24*INDEX('UA-normalized'!$D:$D, MATCH($A130, 'UA-normalized'!$A:$A, 0))-INDEX('UA-normalized'!$E:$E, MATCH($A130, 'UA-normalized'!$A:$A, 0))), 0), 0))+(IFERROR(IF(24*INDEX('KZ-normalized'!$D:$D, MATCH($A130, 'KZ-normalized'!$A:$A, 0))-INDEX('KZ-normalized'!$E:$E, MATCH($A130, 'KZ-normalized'!$A:$A, 0))&gt;0, -(24*INDEX('KZ-normalized'!$D:$D, MATCH($A130, 'KZ-normalized'!$A:$A, 0))-INDEX('KZ-normalized'!$E:$E, MATCH($A130, 'KZ-normalized'!$A:$A, 0))), 0), 0))+(IFERROR(IF(24*INDEX('UZ-normalized'!$D:$D, MATCH($A130, 'UZ-normalized'!$A:$A, 0))-INDEX('UZ-normalized'!$E:$E, MATCH($A130, 'UZ-normalized'!$A:$A, 0))&gt;0, -(24*INDEX('UZ-normalized'!$D:$D, MATCH($A130, 'UZ-normalized'!$A:$A, 0))-INDEX('UZ-normalized'!$E:$E, MATCH($A130, 'UZ-normalized'!$A:$A, 0))), 0), 0)))</f>
        <v>0</v>
      </c>
      <c r="AM130" s="6">
        <f>MIN(0, N130+(IFERROR(IF(25*INDEX('UA-normalized'!$D:$D, MATCH($A130, 'UA-normalized'!$A:$A, 0))-INDEX('UA-normalized'!$E:$E, MATCH($A130, 'UA-normalized'!$A:$A, 0))&gt;0, -(25*INDEX('UA-normalized'!$D:$D, MATCH($A130, 'UA-normalized'!$A:$A, 0))-INDEX('UA-normalized'!$E:$E, MATCH($A130, 'UA-normalized'!$A:$A, 0))), 0), 0))+(IFERROR(IF(25*INDEX('KZ-normalized'!$D:$D, MATCH($A130, 'KZ-normalized'!$A:$A, 0))-INDEX('KZ-normalized'!$E:$E, MATCH($A130, 'KZ-normalized'!$A:$A, 0))&gt;0, -(25*INDEX('KZ-normalized'!$D:$D, MATCH($A130, 'KZ-normalized'!$A:$A, 0))-INDEX('KZ-normalized'!$E:$E, MATCH($A130, 'KZ-normalized'!$A:$A, 0))), 0), 0))+(IFERROR(IF(25*INDEX('UZ-normalized'!$D:$D, MATCH($A130, 'UZ-normalized'!$A:$A, 0))-INDEX('UZ-normalized'!$E:$E, MATCH($A130, 'UZ-normalized'!$A:$A, 0))&gt;0, -(25*INDEX('UZ-normalized'!$D:$D, MATCH($A130, 'UZ-normalized'!$A:$A, 0))-INDEX('UZ-normalized'!$E:$E, MATCH($A130, 'UZ-normalized'!$A:$A, 0))), 0), 0)))</f>
        <v>0</v>
      </c>
      <c r="AN130" s="6">
        <f>MIN(0, N130+(IFERROR(IF(26*INDEX('UA-normalized'!$D:$D, MATCH($A130, 'UA-normalized'!$A:$A, 0))-INDEX('UA-normalized'!$E:$E, MATCH($A130, 'UA-normalized'!$A:$A, 0))&gt;0, -(26*INDEX('UA-normalized'!$D:$D, MATCH($A130, 'UA-normalized'!$A:$A, 0))-INDEX('UA-normalized'!$E:$E, MATCH($A130, 'UA-normalized'!$A:$A, 0))), 0), 0))+(IFERROR(IF(26*INDEX('KZ-normalized'!$D:$D, MATCH($A130, 'KZ-normalized'!$A:$A, 0))-INDEX('KZ-normalized'!$E:$E, MATCH($A130, 'KZ-normalized'!$A:$A, 0))&gt;0, -(26*INDEX('KZ-normalized'!$D:$D, MATCH($A130, 'KZ-normalized'!$A:$A, 0))-INDEX('KZ-normalized'!$E:$E, MATCH($A130, 'KZ-normalized'!$A:$A, 0))), 0), 0))+(IFERROR(IF(26*INDEX('UZ-normalized'!$D:$D, MATCH($A130, 'UZ-normalized'!$A:$A, 0))-INDEX('UZ-normalized'!$E:$E, MATCH($A130, 'UZ-normalized'!$A:$A, 0))&gt;0, -(26*INDEX('UZ-normalized'!$D:$D, MATCH($A130, 'UZ-normalized'!$A:$A, 0))-INDEX('UZ-normalized'!$E:$E, MATCH($A130, 'UZ-normalized'!$A:$A, 0))), 0), 0)))</f>
        <v>0</v>
      </c>
      <c r="AO130" s="6">
        <f>MIN(0, N130+(IFERROR(IF(27*INDEX('UA-normalized'!$D:$D, MATCH($A130, 'UA-normalized'!$A:$A, 0))-INDEX('UA-normalized'!$E:$E, MATCH($A130, 'UA-normalized'!$A:$A, 0))&gt;0, -(27*INDEX('UA-normalized'!$D:$D, MATCH($A130, 'UA-normalized'!$A:$A, 0))-INDEX('UA-normalized'!$E:$E, MATCH($A130, 'UA-normalized'!$A:$A, 0))), 0), 0))+(IFERROR(IF(27*INDEX('KZ-normalized'!$D:$D, MATCH($A130, 'KZ-normalized'!$A:$A, 0))-INDEX('KZ-normalized'!$E:$E, MATCH($A130, 'KZ-normalized'!$A:$A, 0))&gt;0, -(27*INDEX('KZ-normalized'!$D:$D, MATCH($A130, 'KZ-normalized'!$A:$A, 0))-INDEX('KZ-normalized'!$E:$E, MATCH($A130, 'KZ-normalized'!$A:$A, 0))), 0), 0))+(IFERROR(IF(27*INDEX('UZ-normalized'!$D:$D, MATCH($A130, 'UZ-normalized'!$A:$A, 0))-INDEX('UZ-normalized'!$E:$E, MATCH($A130, 'UZ-normalized'!$A:$A, 0))&gt;0, -(27*INDEX('UZ-normalized'!$D:$D, MATCH($A130, 'UZ-normalized'!$A:$A, 0))-INDEX('UZ-normalized'!$E:$E, MATCH($A130, 'UZ-normalized'!$A:$A, 0))), 0), 0)))</f>
        <v>0</v>
      </c>
      <c r="AP130" s="6">
        <f>MIN(0, N130+(IFERROR(IF(28*INDEX('UA-normalized'!$D:$D, MATCH($A130, 'UA-normalized'!$A:$A, 0))-INDEX('UA-normalized'!$E:$E, MATCH($A130, 'UA-normalized'!$A:$A, 0))&gt;0, -(28*INDEX('UA-normalized'!$D:$D, MATCH($A130, 'UA-normalized'!$A:$A, 0))-INDEX('UA-normalized'!$E:$E, MATCH($A130, 'UA-normalized'!$A:$A, 0))), 0), 0))+(IFERROR(IF(28*INDEX('KZ-normalized'!$D:$D, MATCH($A130, 'KZ-normalized'!$A:$A, 0))-INDEX('KZ-normalized'!$E:$E, MATCH($A130, 'KZ-normalized'!$A:$A, 0))&gt;0, -(28*INDEX('KZ-normalized'!$D:$D, MATCH($A130, 'KZ-normalized'!$A:$A, 0))-INDEX('KZ-normalized'!$E:$E, MATCH($A130, 'KZ-normalized'!$A:$A, 0))), 0), 0))+(IFERROR(IF(28*INDEX('UZ-normalized'!$D:$D, MATCH($A130, 'UZ-normalized'!$A:$A, 0))-INDEX('UZ-normalized'!$E:$E, MATCH($A130, 'UZ-normalized'!$A:$A, 0))&gt;0, -(28*INDEX('UZ-normalized'!$D:$D, MATCH($A130, 'UZ-normalized'!$A:$A, 0))-INDEX('UZ-normalized'!$E:$E, MATCH($A130, 'UZ-normalized'!$A:$A, 0))), 0), 0)))</f>
        <v>0</v>
      </c>
      <c r="AQ130" s="6">
        <f>MIN(0, N130+(IFERROR(IF(29*INDEX('UA-normalized'!$D:$D, MATCH($A130, 'UA-normalized'!$A:$A, 0))-INDEX('UA-normalized'!$E:$E, MATCH($A130, 'UA-normalized'!$A:$A, 0))&gt;0, -(29*INDEX('UA-normalized'!$D:$D, MATCH($A130, 'UA-normalized'!$A:$A, 0))-INDEX('UA-normalized'!$E:$E, MATCH($A130, 'UA-normalized'!$A:$A, 0))), 0), 0))+(IFERROR(IF(29*INDEX('KZ-normalized'!$D:$D, MATCH($A130, 'KZ-normalized'!$A:$A, 0))-INDEX('KZ-normalized'!$E:$E, MATCH($A130, 'KZ-normalized'!$A:$A, 0))&gt;0, -(29*INDEX('KZ-normalized'!$D:$D, MATCH($A130, 'KZ-normalized'!$A:$A, 0))-INDEX('KZ-normalized'!$E:$E, MATCH($A130, 'KZ-normalized'!$A:$A, 0))), 0), 0))+(IFERROR(IF(29*INDEX('UZ-normalized'!$D:$D, MATCH($A130, 'UZ-normalized'!$A:$A, 0))-INDEX('UZ-normalized'!$E:$E, MATCH($A130, 'UZ-normalized'!$A:$A, 0))&gt;0, -(29*INDEX('UZ-normalized'!$D:$D, MATCH($A130, 'UZ-normalized'!$A:$A, 0))-INDEX('UZ-normalized'!$E:$E, MATCH($A130, 'UZ-normalized'!$A:$A, 0))), 0), 0)))</f>
        <v>0</v>
      </c>
      <c r="AR130" s="6">
        <f>MIN(0, N130+(IFERROR(IF(30*INDEX('UA-normalized'!$D:$D, MATCH($A130, 'UA-normalized'!$A:$A, 0))-INDEX('UA-normalized'!$E:$E, MATCH($A130, 'UA-normalized'!$A:$A, 0))&gt;0, -(30*INDEX('UA-normalized'!$D:$D, MATCH($A130, 'UA-normalized'!$A:$A, 0))-INDEX('UA-normalized'!$E:$E, MATCH($A130, 'UA-normalized'!$A:$A, 0))), 0), 0))+(IFERROR(IF(30*INDEX('KZ-normalized'!$D:$D, MATCH($A130, 'KZ-normalized'!$A:$A, 0))-INDEX('KZ-normalized'!$E:$E, MATCH($A130, 'KZ-normalized'!$A:$A, 0))&gt;0, -(30*INDEX('KZ-normalized'!$D:$D, MATCH($A130, 'KZ-normalized'!$A:$A, 0))-INDEX('KZ-normalized'!$E:$E, MATCH($A130, 'KZ-normalized'!$A:$A, 0))), 0), 0))+(IFERROR(IF(30*INDEX('UZ-normalized'!$D:$D, MATCH($A130, 'UZ-normalized'!$A:$A, 0))-INDEX('UZ-normalized'!$E:$E, MATCH($A130, 'UZ-normalized'!$A:$A, 0))&gt;0, -(30*INDEX('UZ-normalized'!$D:$D, MATCH($A130, 'UZ-normalized'!$A:$A, 0))-INDEX('UZ-normalized'!$E:$E, MATCH($A130, 'UZ-normalized'!$A:$A, 0))), 0), 0)))</f>
        <v>0</v>
      </c>
    </row>
    <row r="131" spans="1:44" x14ac:dyDescent="0.25">
      <c r="A131" s="8" t="s">
        <v>320</v>
      </c>
      <c r="B131" s="8" t="s">
        <v>317</v>
      </c>
      <c r="C131" s="8" t="s">
        <v>318</v>
      </c>
      <c r="D131" s="8" t="s">
        <v>319</v>
      </c>
      <c r="N131">
        <f t="shared" si="2"/>
        <v>0</v>
      </c>
      <c r="O131" s="6">
        <f>MIN(0, N131+(IFERROR(IF(1*INDEX('UA-normalized'!$D:$D, MATCH($A131, 'UA-normalized'!$A:$A, 0))-INDEX('UA-normalized'!$E:$E, MATCH($A131, 'UA-normalized'!$A:$A, 0))&gt;0, -(1*INDEX('UA-normalized'!$D:$D, MATCH($A131, 'UA-normalized'!$A:$A, 0))-INDEX('UA-normalized'!$E:$E, MATCH($A131, 'UA-normalized'!$A:$A, 0))), 0), 0))+(IFERROR(IF(1*INDEX('KZ-normalized'!$D:$D, MATCH($A131, 'KZ-normalized'!$A:$A, 0))-INDEX('KZ-normalized'!$E:$E, MATCH($A131, 'KZ-normalized'!$A:$A, 0))&gt;0, -(1*INDEX('KZ-normalized'!$D:$D, MATCH($A131, 'KZ-normalized'!$A:$A, 0))-INDEX('KZ-normalized'!$E:$E, MATCH($A131, 'KZ-normalized'!$A:$A, 0))), 0), 0))+(IFERROR(IF(1*INDEX('UZ-normalized'!$D:$D, MATCH($A131, 'UZ-normalized'!$A:$A, 0))-INDEX('UZ-normalized'!$E:$E, MATCH($A131, 'UZ-normalized'!$A:$A, 0))&gt;0, -(1*INDEX('UZ-normalized'!$D:$D, MATCH($A131, 'UZ-normalized'!$A:$A, 0))-INDEX('UZ-normalized'!$E:$E, MATCH($A131, 'UZ-normalized'!$A:$A, 0))), 0), 0)))</f>
        <v>0</v>
      </c>
      <c r="P131" s="6">
        <f>MIN(0, N131+(IFERROR(IF(2*INDEX('UA-normalized'!$D:$D, MATCH($A131, 'UA-normalized'!$A:$A, 0))-INDEX('UA-normalized'!$E:$E, MATCH($A131, 'UA-normalized'!$A:$A, 0))&gt;0, -(2*INDEX('UA-normalized'!$D:$D, MATCH($A131, 'UA-normalized'!$A:$A, 0))-INDEX('UA-normalized'!$E:$E, MATCH($A131, 'UA-normalized'!$A:$A, 0))), 0), 0))+(IFERROR(IF(2*INDEX('KZ-normalized'!$D:$D, MATCH($A131, 'KZ-normalized'!$A:$A, 0))-INDEX('KZ-normalized'!$E:$E, MATCH($A131, 'KZ-normalized'!$A:$A, 0))&gt;0, -(2*INDEX('KZ-normalized'!$D:$D, MATCH($A131, 'KZ-normalized'!$A:$A, 0))-INDEX('KZ-normalized'!$E:$E, MATCH($A131, 'KZ-normalized'!$A:$A, 0))), 0), 0))+(IFERROR(IF(2*INDEX('UZ-normalized'!$D:$D, MATCH($A131, 'UZ-normalized'!$A:$A, 0))-INDEX('UZ-normalized'!$E:$E, MATCH($A131, 'UZ-normalized'!$A:$A, 0))&gt;0, -(2*INDEX('UZ-normalized'!$D:$D, MATCH($A131, 'UZ-normalized'!$A:$A, 0))-INDEX('UZ-normalized'!$E:$E, MATCH($A131, 'UZ-normalized'!$A:$A, 0))), 0), 0)))</f>
        <v>0</v>
      </c>
      <c r="Q131" s="6">
        <f>MIN(0, N131+(IFERROR(IF(3*INDEX('UA-normalized'!$D:$D, MATCH($A131, 'UA-normalized'!$A:$A, 0))-INDEX('UA-normalized'!$E:$E, MATCH($A131, 'UA-normalized'!$A:$A, 0))&gt;0, -(3*INDEX('UA-normalized'!$D:$D, MATCH($A131, 'UA-normalized'!$A:$A, 0))-INDEX('UA-normalized'!$E:$E, MATCH($A131, 'UA-normalized'!$A:$A, 0))), 0), 0))+(IFERROR(IF(3*INDEX('KZ-normalized'!$D:$D, MATCH($A131, 'KZ-normalized'!$A:$A, 0))-INDEX('KZ-normalized'!$E:$E, MATCH($A131, 'KZ-normalized'!$A:$A, 0))&gt;0, -(3*INDEX('KZ-normalized'!$D:$D, MATCH($A131, 'KZ-normalized'!$A:$A, 0))-INDEX('KZ-normalized'!$E:$E, MATCH($A131, 'KZ-normalized'!$A:$A, 0))), 0), 0))+(IFERROR(IF(3*INDEX('UZ-normalized'!$D:$D, MATCH($A131, 'UZ-normalized'!$A:$A, 0))-INDEX('UZ-normalized'!$E:$E, MATCH($A131, 'UZ-normalized'!$A:$A, 0))&gt;0, -(3*INDEX('UZ-normalized'!$D:$D, MATCH($A131, 'UZ-normalized'!$A:$A, 0))-INDEX('UZ-normalized'!$E:$E, MATCH($A131, 'UZ-normalized'!$A:$A, 0))), 0), 0)))</f>
        <v>0</v>
      </c>
      <c r="R131" s="6">
        <f>MIN(0, N131+(IFERROR(IF(4*INDEX('UA-normalized'!$D:$D, MATCH($A131, 'UA-normalized'!$A:$A, 0))-INDEX('UA-normalized'!$E:$E, MATCH($A131, 'UA-normalized'!$A:$A, 0))&gt;0, -(4*INDEX('UA-normalized'!$D:$D, MATCH($A131, 'UA-normalized'!$A:$A, 0))-INDEX('UA-normalized'!$E:$E, MATCH($A131, 'UA-normalized'!$A:$A, 0))), 0), 0))+(IFERROR(IF(4*INDEX('KZ-normalized'!$D:$D, MATCH($A131, 'KZ-normalized'!$A:$A, 0))-INDEX('KZ-normalized'!$E:$E, MATCH($A131, 'KZ-normalized'!$A:$A, 0))&gt;0, -(4*INDEX('KZ-normalized'!$D:$D, MATCH($A131, 'KZ-normalized'!$A:$A, 0))-INDEX('KZ-normalized'!$E:$E, MATCH($A131, 'KZ-normalized'!$A:$A, 0))), 0), 0))+(IFERROR(IF(4*INDEX('UZ-normalized'!$D:$D, MATCH($A131, 'UZ-normalized'!$A:$A, 0))-INDEX('UZ-normalized'!$E:$E, MATCH($A131, 'UZ-normalized'!$A:$A, 0))&gt;0, -(4*INDEX('UZ-normalized'!$D:$D, MATCH($A131, 'UZ-normalized'!$A:$A, 0))-INDEX('UZ-normalized'!$E:$E, MATCH($A131, 'UZ-normalized'!$A:$A, 0))), 0), 0)))</f>
        <v>0</v>
      </c>
      <c r="S131" s="6">
        <f>MIN(0, N131+(IFERROR(IF(5*INDEX('UA-normalized'!$D:$D, MATCH($A131, 'UA-normalized'!$A:$A, 0))-INDEX('UA-normalized'!$E:$E, MATCH($A131, 'UA-normalized'!$A:$A, 0))&gt;0, -(5*INDEX('UA-normalized'!$D:$D, MATCH($A131, 'UA-normalized'!$A:$A, 0))-INDEX('UA-normalized'!$E:$E, MATCH($A131, 'UA-normalized'!$A:$A, 0))), 0), 0))+(IFERROR(IF(5*INDEX('KZ-normalized'!$D:$D, MATCH($A131, 'KZ-normalized'!$A:$A, 0))-INDEX('KZ-normalized'!$E:$E, MATCH($A131, 'KZ-normalized'!$A:$A, 0))&gt;0, -(5*INDEX('KZ-normalized'!$D:$D, MATCH($A131, 'KZ-normalized'!$A:$A, 0))-INDEX('KZ-normalized'!$E:$E, MATCH($A131, 'KZ-normalized'!$A:$A, 0))), 0), 0))+(IFERROR(IF(5*INDEX('UZ-normalized'!$D:$D, MATCH($A131, 'UZ-normalized'!$A:$A, 0))-INDEX('UZ-normalized'!$E:$E, MATCH($A131, 'UZ-normalized'!$A:$A, 0))&gt;0, -(5*INDEX('UZ-normalized'!$D:$D, MATCH($A131, 'UZ-normalized'!$A:$A, 0))-INDEX('UZ-normalized'!$E:$E, MATCH($A131, 'UZ-normalized'!$A:$A, 0))), 0), 0)))</f>
        <v>0</v>
      </c>
      <c r="T131" s="6">
        <f>MIN(0, N131+(IFERROR(IF(6*INDEX('UA-normalized'!$D:$D, MATCH($A131, 'UA-normalized'!$A:$A, 0))-INDEX('UA-normalized'!$E:$E, MATCH($A131, 'UA-normalized'!$A:$A, 0))&gt;0, -(6*INDEX('UA-normalized'!$D:$D, MATCH($A131, 'UA-normalized'!$A:$A, 0))-INDEX('UA-normalized'!$E:$E, MATCH($A131, 'UA-normalized'!$A:$A, 0))), 0), 0))+(IFERROR(IF(6*INDEX('KZ-normalized'!$D:$D, MATCH($A131, 'KZ-normalized'!$A:$A, 0))-INDEX('KZ-normalized'!$E:$E, MATCH($A131, 'KZ-normalized'!$A:$A, 0))&gt;0, -(6*INDEX('KZ-normalized'!$D:$D, MATCH($A131, 'KZ-normalized'!$A:$A, 0))-INDEX('KZ-normalized'!$E:$E, MATCH($A131, 'KZ-normalized'!$A:$A, 0))), 0), 0))+(IFERROR(IF(6*INDEX('UZ-normalized'!$D:$D, MATCH($A131, 'UZ-normalized'!$A:$A, 0))-INDEX('UZ-normalized'!$E:$E, MATCH($A131, 'UZ-normalized'!$A:$A, 0))&gt;0, -(6*INDEX('UZ-normalized'!$D:$D, MATCH($A131, 'UZ-normalized'!$A:$A, 0))-INDEX('UZ-normalized'!$E:$E, MATCH($A131, 'UZ-normalized'!$A:$A, 0))), 0), 0)))</f>
        <v>0</v>
      </c>
      <c r="U131" s="6">
        <f>MIN(0, N131+(IFERROR(IF(7*INDEX('UA-normalized'!$D:$D, MATCH($A131, 'UA-normalized'!$A:$A, 0))-INDEX('UA-normalized'!$E:$E, MATCH($A131, 'UA-normalized'!$A:$A, 0))&gt;0, -(7*INDEX('UA-normalized'!$D:$D, MATCH($A131, 'UA-normalized'!$A:$A, 0))-INDEX('UA-normalized'!$E:$E, MATCH($A131, 'UA-normalized'!$A:$A, 0))), 0), 0))+(IFERROR(IF(7*INDEX('KZ-normalized'!$D:$D, MATCH($A131, 'KZ-normalized'!$A:$A, 0))-INDEX('KZ-normalized'!$E:$E, MATCH($A131, 'KZ-normalized'!$A:$A, 0))&gt;0, -(7*INDEX('KZ-normalized'!$D:$D, MATCH($A131, 'KZ-normalized'!$A:$A, 0))-INDEX('KZ-normalized'!$E:$E, MATCH($A131, 'KZ-normalized'!$A:$A, 0))), 0), 0))+(IFERROR(IF(7*INDEX('UZ-normalized'!$D:$D, MATCH($A131, 'UZ-normalized'!$A:$A, 0))-INDEX('UZ-normalized'!$E:$E, MATCH($A131, 'UZ-normalized'!$A:$A, 0))&gt;0, -(7*INDEX('UZ-normalized'!$D:$D, MATCH($A131, 'UZ-normalized'!$A:$A, 0))-INDEX('UZ-normalized'!$E:$E, MATCH($A131, 'UZ-normalized'!$A:$A, 0))), 0), 0)))</f>
        <v>-46</v>
      </c>
      <c r="V131" s="6">
        <f>MIN(0, N131+(IFERROR(IF(8*INDEX('UA-normalized'!$D:$D, MATCH($A131, 'UA-normalized'!$A:$A, 0))-INDEX('UA-normalized'!$E:$E, MATCH($A131, 'UA-normalized'!$A:$A, 0))&gt;0, -(8*INDEX('UA-normalized'!$D:$D, MATCH($A131, 'UA-normalized'!$A:$A, 0))-INDEX('UA-normalized'!$E:$E, MATCH($A131, 'UA-normalized'!$A:$A, 0))), 0), 0))+(IFERROR(IF(8*INDEX('KZ-normalized'!$D:$D, MATCH($A131, 'KZ-normalized'!$A:$A, 0))-INDEX('KZ-normalized'!$E:$E, MATCH($A131, 'KZ-normalized'!$A:$A, 0))&gt;0, -(8*INDEX('KZ-normalized'!$D:$D, MATCH($A131, 'KZ-normalized'!$A:$A, 0))-INDEX('KZ-normalized'!$E:$E, MATCH($A131, 'KZ-normalized'!$A:$A, 0))), 0), 0))+(IFERROR(IF(8*INDEX('UZ-normalized'!$D:$D, MATCH($A131, 'UZ-normalized'!$A:$A, 0))-INDEX('UZ-normalized'!$E:$E, MATCH($A131, 'UZ-normalized'!$A:$A, 0))&gt;0, -(8*INDEX('UZ-normalized'!$D:$D, MATCH($A131, 'UZ-normalized'!$A:$A, 0))-INDEX('UZ-normalized'!$E:$E, MATCH($A131, 'UZ-normalized'!$A:$A, 0))), 0), 0)))</f>
        <v>-96</v>
      </c>
      <c r="W131" s="6">
        <f>MIN(0, N131+(IFERROR(IF(9*INDEX('UA-normalized'!$D:$D, MATCH($A131, 'UA-normalized'!$A:$A, 0))-INDEX('UA-normalized'!$E:$E, MATCH($A131, 'UA-normalized'!$A:$A, 0))&gt;0, -(9*INDEX('UA-normalized'!$D:$D, MATCH($A131, 'UA-normalized'!$A:$A, 0))-INDEX('UA-normalized'!$E:$E, MATCH($A131, 'UA-normalized'!$A:$A, 0))), 0), 0))+(IFERROR(IF(9*INDEX('KZ-normalized'!$D:$D, MATCH($A131, 'KZ-normalized'!$A:$A, 0))-INDEX('KZ-normalized'!$E:$E, MATCH($A131, 'KZ-normalized'!$A:$A, 0))&gt;0, -(9*INDEX('KZ-normalized'!$D:$D, MATCH($A131, 'KZ-normalized'!$A:$A, 0))-INDEX('KZ-normalized'!$E:$E, MATCH($A131, 'KZ-normalized'!$A:$A, 0))), 0), 0))+(IFERROR(IF(9*INDEX('UZ-normalized'!$D:$D, MATCH($A131, 'UZ-normalized'!$A:$A, 0))-INDEX('UZ-normalized'!$E:$E, MATCH($A131, 'UZ-normalized'!$A:$A, 0))&gt;0, -(9*INDEX('UZ-normalized'!$D:$D, MATCH($A131, 'UZ-normalized'!$A:$A, 0))-INDEX('UZ-normalized'!$E:$E, MATCH($A131, 'UZ-normalized'!$A:$A, 0))), 0), 0)))</f>
        <v>-146</v>
      </c>
      <c r="X131" s="6">
        <f>MIN(0, N131+(IFERROR(IF(10*INDEX('UA-normalized'!$D:$D, MATCH($A131, 'UA-normalized'!$A:$A, 0))-INDEX('UA-normalized'!$E:$E, MATCH($A131, 'UA-normalized'!$A:$A, 0))&gt;0, -(10*INDEX('UA-normalized'!$D:$D, MATCH($A131, 'UA-normalized'!$A:$A, 0))-INDEX('UA-normalized'!$E:$E, MATCH($A131, 'UA-normalized'!$A:$A, 0))), 0), 0))+(IFERROR(IF(10*INDEX('KZ-normalized'!$D:$D, MATCH($A131, 'KZ-normalized'!$A:$A, 0))-INDEX('KZ-normalized'!$E:$E, MATCH($A131, 'KZ-normalized'!$A:$A, 0))&gt;0, -(10*INDEX('KZ-normalized'!$D:$D, MATCH($A131, 'KZ-normalized'!$A:$A, 0))-INDEX('KZ-normalized'!$E:$E, MATCH($A131, 'KZ-normalized'!$A:$A, 0))), 0), 0))+(IFERROR(IF(10*INDEX('UZ-normalized'!$D:$D, MATCH($A131, 'UZ-normalized'!$A:$A, 0))-INDEX('UZ-normalized'!$E:$E, MATCH($A131, 'UZ-normalized'!$A:$A, 0))&gt;0, -(10*INDEX('UZ-normalized'!$D:$D, MATCH($A131, 'UZ-normalized'!$A:$A, 0))-INDEX('UZ-normalized'!$E:$E, MATCH($A131, 'UZ-normalized'!$A:$A, 0))), 0), 0)))</f>
        <v>-196</v>
      </c>
      <c r="Y131" s="6">
        <f>MIN(0, N131+(IFERROR(IF(11*INDEX('UA-normalized'!$D:$D, MATCH($A131, 'UA-normalized'!$A:$A, 0))-INDEX('UA-normalized'!$E:$E, MATCH($A131, 'UA-normalized'!$A:$A, 0))&gt;0, -(11*INDEX('UA-normalized'!$D:$D, MATCH($A131, 'UA-normalized'!$A:$A, 0))-INDEX('UA-normalized'!$E:$E, MATCH($A131, 'UA-normalized'!$A:$A, 0))), 0), 0))+(IFERROR(IF(11*INDEX('KZ-normalized'!$D:$D, MATCH($A131, 'KZ-normalized'!$A:$A, 0))-INDEX('KZ-normalized'!$E:$E, MATCH($A131, 'KZ-normalized'!$A:$A, 0))&gt;0, -(11*INDEX('KZ-normalized'!$D:$D, MATCH($A131, 'KZ-normalized'!$A:$A, 0))-INDEX('KZ-normalized'!$E:$E, MATCH($A131, 'KZ-normalized'!$A:$A, 0))), 0), 0))+(IFERROR(IF(11*INDEX('UZ-normalized'!$D:$D, MATCH($A131, 'UZ-normalized'!$A:$A, 0))-INDEX('UZ-normalized'!$E:$E, MATCH($A131, 'UZ-normalized'!$A:$A, 0))&gt;0, -(11*INDEX('UZ-normalized'!$D:$D, MATCH($A131, 'UZ-normalized'!$A:$A, 0))-INDEX('UZ-normalized'!$E:$E, MATCH($A131, 'UZ-normalized'!$A:$A, 0))), 0), 0)))</f>
        <v>-246</v>
      </c>
      <c r="Z131" s="6">
        <f>MIN(0, N131+(IFERROR(IF(12*INDEX('UA-normalized'!$D:$D, MATCH($A131, 'UA-normalized'!$A:$A, 0))-INDEX('UA-normalized'!$E:$E, MATCH($A131, 'UA-normalized'!$A:$A, 0))&gt;0, -(12*INDEX('UA-normalized'!$D:$D, MATCH($A131, 'UA-normalized'!$A:$A, 0))-INDEX('UA-normalized'!$E:$E, MATCH($A131, 'UA-normalized'!$A:$A, 0))), 0), 0))+(IFERROR(IF(12*INDEX('KZ-normalized'!$D:$D, MATCH($A131, 'KZ-normalized'!$A:$A, 0))-INDEX('KZ-normalized'!$E:$E, MATCH($A131, 'KZ-normalized'!$A:$A, 0))&gt;0, -(12*INDEX('KZ-normalized'!$D:$D, MATCH($A131, 'KZ-normalized'!$A:$A, 0))-INDEX('KZ-normalized'!$E:$E, MATCH($A131, 'KZ-normalized'!$A:$A, 0))), 0), 0))+(IFERROR(IF(12*INDEX('UZ-normalized'!$D:$D, MATCH($A131, 'UZ-normalized'!$A:$A, 0))-INDEX('UZ-normalized'!$E:$E, MATCH($A131, 'UZ-normalized'!$A:$A, 0))&gt;0, -(12*INDEX('UZ-normalized'!$D:$D, MATCH($A131, 'UZ-normalized'!$A:$A, 0))-INDEX('UZ-normalized'!$E:$E, MATCH($A131, 'UZ-normalized'!$A:$A, 0))), 0), 0)))</f>
        <v>-296</v>
      </c>
      <c r="AA131" s="6">
        <f>MIN(0, N131+(IFERROR(IF(13*INDEX('UA-normalized'!$D:$D, MATCH($A131, 'UA-normalized'!$A:$A, 0))-INDEX('UA-normalized'!$E:$E, MATCH($A131, 'UA-normalized'!$A:$A, 0))&gt;0, -(13*INDEX('UA-normalized'!$D:$D, MATCH($A131, 'UA-normalized'!$A:$A, 0))-INDEX('UA-normalized'!$E:$E, MATCH($A131, 'UA-normalized'!$A:$A, 0))), 0), 0))+(IFERROR(IF(13*INDEX('KZ-normalized'!$D:$D, MATCH($A131, 'KZ-normalized'!$A:$A, 0))-INDEX('KZ-normalized'!$E:$E, MATCH($A131, 'KZ-normalized'!$A:$A, 0))&gt;0, -(13*INDEX('KZ-normalized'!$D:$D, MATCH($A131, 'KZ-normalized'!$A:$A, 0))-INDEX('KZ-normalized'!$E:$E, MATCH($A131, 'KZ-normalized'!$A:$A, 0))), 0), 0))+(IFERROR(IF(13*INDEX('UZ-normalized'!$D:$D, MATCH($A131, 'UZ-normalized'!$A:$A, 0))-INDEX('UZ-normalized'!$E:$E, MATCH($A131, 'UZ-normalized'!$A:$A, 0))&gt;0, -(13*INDEX('UZ-normalized'!$D:$D, MATCH($A131, 'UZ-normalized'!$A:$A, 0))-INDEX('UZ-normalized'!$E:$E, MATCH($A131, 'UZ-normalized'!$A:$A, 0))), 0), 0)))</f>
        <v>-346</v>
      </c>
      <c r="AB131" s="6">
        <f>MIN(0, N131+(IFERROR(IF(14*INDEX('UA-normalized'!$D:$D, MATCH($A131, 'UA-normalized'!$A:$A, 0))-INDEX('UA-normalized'!$E:$E, MATCH($A131, 'UA-normalized'!$A:$A, 0))&gt;0, -(14*INDEX('UA-normalized'!$D:$D, MATCH($A131, 'UA-normalized'!$A:$A, 0))-INDEX('UA-normalized'!$E:$E, MATCH($A131, 'UA-normalized'!$A:$A, 0))), 0), 0))+(IFERROR(IF(14*INDEX('KZ-normalized'!$D:$D, MATCH($A131, 'KZ-normalized'!$A:$A, 0))-INDEX('KZ-normalized'!$E:$E, MATCH($A131, 'KZ-normalized'!$A:$A, 0))&gt;0, -(14*INDEX('KZ-normalized'!$D:$D, MATCH($A131, 'KZ-normalized'!$A:$A, 0))-INDEX('KZ-normalized'!$E:$E, MATCH($A131, 'KZ-normalized'!$A:$A, 0))), 0), 0))+(IFERROR(IF(14*INDEX('UZ-normalized'!$D:$D, MATCH($A131, 'UZ-normalized'!$A:$A, 0))-INDEX('UZ-normalized'!$E:$E, MATCH($A131, 'UZ-normalized'!$A:$A, 0))&gt;0, -(14*INDEX('UZ-normalized'!$D:$D, MATCH($A131, 'UZ-normalized'!$A:$A, 0))-INDEX('UZ-normalized'!$E:$E, MATCH($A131, 'UZ-normalized'!$A:$A, 0))), 0), 0)))</f>
        <v>-396</v>
      </c>
      <c r="AC131" s="6">
        <f>MIN(0, N131+(IFERROR(IF(15*INDEX('UA-normalized'!$D:$D, MATCH($A131, 'UA-normalized'!$A:$A, 0))-INDEX('UA-normalized'!$E:$E, MATCH($A131, 'UA-normalized'!$A:$A, 0))&gt;0, -(15*INDEX('UA-normalized'!$D:$D, MATCH($A131, 'UA-normalized'!$A:$A, 0))-INDEX('UA-normalized'!$E:$E, MATCH($A131, 'UA-normalized'!$A:$A, 0))), 0), 0))+(IFERROR(IF(15*INDEX('KZ-normalized'!$D:$D, MATCH($A131, 'KZ-normalized'!$A:$A, 0))-INDEX('KZ-normalized'!$E:$E, MATCH($A131, 'KZ-normalized'!$A:$A, 0))&gt;0, -(15*INDEX('KZ-normalized'!$D:$D, MATCH($A131, 'KZ-normalized'!$A:$A, 0))-INDEX('KZ-normalized'!$E:$E, MATCH($A131, 'KZ-normalized'!$A:$A, 0))), 0), 0))+(IFERROR(IF(15*INDEX('UZ-normalized'!$D:$D, MATCH($A131, 'UZ-normalized'!$A:$A, 0))-INDEX('UZ-normalized'!$E:$E, MATCH($A131, 'UZ-normalized'!$A:$A, 0))&gt;0, -(15*INDEX('UZ-normalized'!$D:$D, MATCH($A131, 'UZ-normalized'!$A:$A, 0))-INDEX('UZ-normalized'!$E:$E, MATCH($A131, 'UZ-normalized'!$A:$A, 0))), 0), 0)))</f>
        <v>-446</v>
      </c>
      <c r="AD131" s="6">
        <f>MIN(0, N131+(IFERROR(IF(16*INDEX('UA-normalized'!$D:$D, MATCH($A131, 'UA-normalized'!$A:$A, 0))-INDEX('UA-normalized'!$E:$E, MATCH($A131, 'UA-normalized'!$A:$A, 0))&gt;0, -(16*INDEX('UA-normalized'!$D:$D, MATCH($A131, 'UA-normalized'!$A:$A, 0))-INDEX('UA-normalized'!$E:$E, MATCH($A131, 'UA-normalized'!$A:$A, 0))), 0), 0))+(IFERROR(IF(16*INDEX('KZ-normalized'!$D:$D, MATCH($A131, 'KZ-normalized'!$A:$A, 0))-INDEX('KZ-normalized'!$E:$E, MATCH($A131, 'KZ-normalized'!$A:$A, 0))&gt;0, -(16*INDEX('KZ-normalized'!$D:$D, MATCH($A131, 'KZ-normalized'!$A:$A, 0))-INDEX('KZ-normalized'!$E:$E, MATCH($A131, 'KZ-normalized'!$A:$A, 0))), 0), 0))+(IFERROR(IF(16*INDEX('UZ-normalized'!$D:$D, MATCH($A131, 'UZ-normalized'!$A:$A, 0))-INDEX('UZ-normalized'!$E:$E, MATCH($A131, 'UZ-normalized'!$A:$A, 0))&gt;0, -(16*INDEX('UZ-normalized'!$D:$D, MATCH($A131, 'UZ-normalized'!$A:$A, 0))-INDEX('UZ-normalized'!$E:$E, MATCH($A131, 'UZ-normalized'!$A:$A, 0))), 0), 0)))</f>
        <v>-496</v>
      </c>
      <c r="AE131" s="6">
        <f>MIN(0, N131+(IFERROR(IF(17*INDEX('UA-normalized'!$D:$D, MATCH($A131, 'UA-normalized'!$A:$A, 0))-INDEX('UA-normalized'!$E:$E, MATCH($A131, 'UA-normalized'!$A:$A, 0))&gt;0, -(17*INDEX('UA-normalized'!$D:$D, MATCH($A131, 'UA-normalized'!$A:$A, 0))-INDEX('UA-normalized'!$E:$E, MATCH($A131, 'UA-normalized'!$A:$A, 0))), 0), 0))+(IFERROR(IF(17*INDEX('KZ-normalized'!$D:$D, MATCH($A131, 'KZ-normalized'!$A:$A, 0))-INDEX('KZ-normalized'!$E:$E, MATCH($A131, 'KZ-normalized'!$A:$A, 0))&gt;0, -(17*INDEX('KZ-normalized'!$D:$D, MATCH($A131, 'KZ-normalized'!$A:$A, 0))-INDEX('KZ-normalized'!$E:$E, MATCH($A131, 'KZ-normalized'!$A:$A, 0))), 0), 0))+(IFERROR(IF(17*INDEX('UZ-normalized'!$D:$D, MATCH($A131, 'UZ-normalized'!$A:$A, 0))-INDEX('UZ-normalized'!$E:$E, MATCH($A131, 'UZ-normalized'!$A:$A, 0))&gt;0, -(17*INDEX('UZ-normalized'!$D:$D, MATCH($A131, 'UZ-normalized'!$A:$A, 0))-INDEX('UZ-normalized'!$E:$E, MATCH($A131, 'UZ-normalized'!$A:$A, 0))), 0), 0)))</f>
        <v>-546</v>
      </c>
      <c r="AF131" s="6">
        <f>MIN(0, N131+(IFERROR(IF(18*INDEX('UA-normalized'!$D:$D, MATCH($A131, 'UA-normalized'!$A:$A, 0))-INDEX('UA-normalized'!$E:$E, MATCH($A131, 'UA-normalized'!$A:$A, 0))&gt;0, -(18*INDEX('UA-normalized'!$D:$D, MATCH($A131, 'UA-normalized'!$A:$A, 0))-INDEX('UA-normalized'!$E:$E, MATCH($A131, 'UA-normalized'!$A:$A, 0))), 0), 0))+(IFERROR(IF(18*INDEX('KZ-normalized'!$D:$D, MATCH($A131, 'KZ-normalized'!$A:$A, 0))-INDEX('KZ-normalized'!$E:$E, MATCH($A131, 'KZ-normalized'!$A:$A, 0))&gt;0, -(18*INDEX('KZ-normalized'!$D:$D, MATCH($A131, 'KZ-normalized'!$A:$A, 0))-INDEX('KZ-normalized'!$E:$E, MATCH($A131, 'KZ-normalized'!$A:$A, 0))), 0), 0))+(IFERROR(IF(18*INDEX('UZ-normalized'!$D:$D, MATCH($A131, 'UZ-normalized'!$A:$A, 0))-INDEX('UZ-normalized'!$E:$E, MATCH($A131, 'UZ-normalized'!$A:$A, 0))&gt;0, -(18*INDEX('UZ-normalized'!$D:$D, MATCH($A131, 'UZ-normalized'!$A:$A, 0))-INDEX('UZ-normalized'!$E:$E, MATCH($A131, 'UZ-normalized'!$A:$A, 0))), 0), 0)))</f>
        <v>-596</v>
      </c>
      <c r="AG131" s="6">
        <f>MIN(0, N131+(IFERROR(IF(19*INDEX('UA-normalized'!$D:$D, MATCH($A131, 'UA-normalized'!$A:$A, 0))-INDEX('UA-normalized'!$E:$E, MATCH($A131, 'UA-normalized'!$A:$A, 0))&gt;0, -(19*INDEX('UA-normalized'!$D:$D, MATCH($A131, 'UA-normalized'!$A:$A, 0))-INDEX('UA-normalized'!$E:$E, MATCH($A131, 'UA-normalized'!$A:$A, 0))), 0), 0))+(IFERROR(IF(19*INDEX('KZ-normalized'!$D:$D, MATCH($A131, 'KZ-normalized'!$A:$A, 0))-INDEX('KZ-normalized'!$E:$E, MATCH($A131, 'KZ-normalized'!$A:$A, 0))&gt;0, -(19*INDEX('KZ-normalized'!$D:$D, MATCH($A131, 'KZ-normalized'!$A:$A, 0))-INDEX('KZ-normalized'!$E:$E, MATCH($A131, 'KZ-normalized'!$A:$A, 0))), 0), 0))+(IFERROR(IF(19*INDEX('UZ-normalized'!$D:$D, MATCH($A131, 'UZ-normalized'!$A:$A, 0))-INDEX('UZ-normalized'!$E:$E, MATCH($A131, 'UZ-normalized'!$A:$A, 0))&gt;0, -(19*INDEX('UZ-normalized'!$D:$D, MATCH($A131, 'UZ-normalized'!$A:$A, 0))-INDEX('UZ-normalized'!$E:$E, MATCH($A131, 'UZ-normalized'!$A:$A, 0))), 0), 0)))</f>
        <v>-646</v>
      </c>
      <c r="AH131" s="6">
        <f>MIN(0, N131+(IFERROR(IF(20*INDEX('UA-normalized'!$D:$D, MATCH($A131, 'UA-normalized'!$A:$A, 0))-INDEX('UA-normalized'!$E:$E, MATCH($A131, 'UA-normalized'!$A:$A, 0))&gt;0, -(20*INDEX('UA-normalized'!$D:$D, MATCH($A131, 'UA-normalized'!$A:$A, 0))-INDEX('UA-normalized'!$E:$E, MATCH($A131, 'UA-normalized'!$A:$A, 0))), 0), 0))+(IFERROR(IF(20*INDEX('KZ-normalized'!$D:$D, MATCH($A131, 'KZ-normalized'!$A:$A, 0))-INDEX('KZ-normalized'!$E:$E, MATCH($A131, 'KZ-normalized'!$A:$A, 0))&gt;0, -(20*INDEX('KZ-normalized'!$D:$D, MATCH($A131, 'KZ-normalized'!$A:$A, 0))-INDEX('KZ-normalized'!$E:$E, MATCH($A131, 'KZ-normalized'!$A:$A, 0))), 0), 0))+(IFERROR(IF(20*INDEX('UZ-normalized'!$D:$D, MATCH($A131, 'UZ-normalized'!$A:$A, 0))-INDEX('UZ-normalized'!$E:$E, MATCH($A131, 'UZ-normalized'!$A:$A, 0))&gt;0, -(20*INDEX('UZ-normalized'!$D:$D, MATCH($A131, 'UZ-normalized'!$A:$A, 0))-INDEX('UZ-normalized'!$E:$E, MATCH($A131, 'UZ-normalized'!$A:$A, 0))), 0), 0)))</f>
        <v>-696</v>
      </c>
      <c r="AI131" s="6">
        <f>MIN(0, N131+(IFERROR(IF(21*INDEX('UA-normalized'!$D:$D, MATCH($A131, 'UA-normalized'!$A:$A, 0))-INDEX('UA-normalized'!$E:$E, MATCH($A131, 'UA-normalized'!$A:$A, 0))&gt;0, -(21*INDEX('UA-normalized'!$D:$D, MATCH($A131, 'UA-normalized'!$A:$A, 0))-INDEX('UA-normalized'!$E:$E, MATCH($A131, 'UA-normalized'!$A:$A, 0))), 0), 0))+(IFERROR(IF(21*INDEX('KZ-normalized'!$D:$D, MATCH($A131, 'KZ-normalized'!$A:$A, 0))-INDEX('KZ-normalized'!$E:$E, MATCH($A131, 'KZ-normalized'!$A:$A, 0))&gt;0, -(21*INDEX('KZ-normalized'!$D:$D, MATCH($A131, 'KZ-normalized'!$A:$A, 0))-INDEX('KZ-normalized'!$E:$E, MATCH($A131, 'KZ-normalized'!$A:$A, 0))), 0), 0))+(IFERROR(IF(21*INDEX('UZ-normalized'!$D:$D, MATCH($A131, 'UZ-normalized'!$A:$A, 0))-INDEX('UZ-normalized'!$E:$E, MATCH($A131, 'UZ-normalized'!$A:$A, 0))&gt;0, -(21*INDEX('UZ-normalized'!$D:$D, MATCH($A131, 'UZ-normalized'!$A:$A, 0))-INDEX('UZ-normalized'!$E:$E, MATCH($A131, 'UZ-normalized'!$A:$A, 0))), 0), 0)))</f>
        <v>-746</v>
      </c>
      <c r="AJ131" s="6">
        <f>MIN(0, N131+(IFERROR(IF(22*INDEX('UA-normalized'!$D:$D, MATCH($A131, 'UA-normalized'!$A:$A, 0))-INDEX('UA-normalized'!$E:$E, MATCH($A131, 'UA-normalized'!$A:$A, 0))&gt;0, -(22*INDEX('UA-normalized'!$D:$D, MATCH($A131, 'UA-normalized'!$A:$A, 0))-INDEX('UA-normalized'!$E:$E, MATCH($A131, 'UA-normalized'!$A:$A, 0))), 0), 0))+(IFERROR(IF(22*INDEX('KZ-normalized'!$D:$D, MATCH($A131, 'KZ-normalized'!$A:$A, 0))-INDEX('KZ-normalized'!$E:$E, MATCH($A131, 'KZ-normalized'!$A:$A, 0))&gt;0, -(22*INDEX('KZ-normalized'!$D:$D, MATCH($A131, 'KZ-normalized'!$A:$A, 0))-INDEX('KZ-normalized'!$E:$E, MATCH($A131, 'KZ-normalized'!$A:$A, 0))), 0), 0))+(IFERROR(IF(22*INDEX('UZ-normalized'!$D:$D, MATCH($A131, 'UZ-normalized'!$A:$A, 0))-INDEX('UZ-normalized'!$E:$E, MATCH($A131, 'UZ-normalized'!$A:$A, 0))&gt;0, -(22*INDEX('UZ-normalized'!$D:$D, MATCH($A131, 'UZ-normalized'!$A:$A, 0))-INDEX('UZ-normalized'!$E:$E, MATCH($A131, 'UZ-normalized'!$A:$A, 0))), 0), 0)))</f>
        <v>-796</v>
      </c>
      <c r="AK131" s="6">
        <f>MIN(0, N131+(IFERROR(IF(23*INDEX('UA-normalized'!$D:$D, MATCH($A131, 'UA-normalized'!$A:$A, 0))-INDEX('UA-normalized'!$E:$E, MATCH($A131, 'UA-normalized'!$A:$A, 0))&gt;0, -(23*INDEX('UA-normalized'!$D:$D, MATCH($A131, 'UA-normalized'!$A:$A, 0))-INDEX('UA-normalized'!$E:$E, MATCH($A131, 'UA-normalized'!$A:$A, 0))), 0), 0))+(IFERROR(IF(23*INDEX('KZ-normalized'!$D:$D, MATCH($A131, 'KZ-normalized'!$A:$A, 0))-INDEX('KZ-normalized'!$E:$E, MATCH($A131, 'KZ-normalized'!$A:$A, 0))&gt;0, -(23*INDEX('KZ-normalized'!$D:$D, MATCH($A131, 'KZ-normalized'!$A:$A, 0))-INDEX('KZ-normalized'!$E:$E, MATCH($A131, 'KZ-normalized'!$A:$A, 0))), 0), 0))+(IFERROR(IF(23*INDEX('UZ-normalized'!$D:$D, MATCH($A131, 'UZ-normalized'!$A:$A, 0))-INDEX('UZ-normalized'!$E:$E, MATCH($A131, 'UZ-normalized'!$A:$A, 0))&gt;0, -(23*INDEX('UZ-normalized'!$D:$D, MATCH($A131, 'UZ-normalized'!$A:$A, 0))-INDEX('UZ-normalized'!$E:$E, MATCH($A131, 'UZ-normalized'!$A:$A, 0))), 0), 0)))</f>
        <v>-846</v>
      </c>
      <c r="AL131" s="6">
        <f>MIN(0, N131+(IFERROR(IF(24*INDEX('UA-normalized'!$D:$D, MATCH($A131, 'UA-normalized'!$A:$A, 0))-INDEX('UA-normalized'!$E:$E, MATCH($A131, 'UA-normalized'!$A:$A, 0))&gt;0, -(24*INDEX('UA-normalized'!$D:$D, MATCH($A131, 'UA-normalized'!$A:$A, 0))-INDEX('UA-normalized'!$E:$E, MATCH($A131, 'UA-normalized'!$A:$A, 0))), 0), 0))+(IFERROR(IF(24*INDEX('KZ-normalized'!$D:$D, MATCH($A131, 'KZ-normalized'!$A:$A, 0))-INDEX('KZ-normalized'!$E:$E, MATCH($A131, 'KZ-normalized'!$A:$A, 0))&gt;0, -(24*INDEX('KZ-normalized'!$D:$D, MATCH($A131, 'KZ-normalized'!$A:$A, 0))-INDEX('KZ-normalized'!$E:$E, MATCH($A131, 'KZ-normalized'!$A:$A, 0))), 0), 0))+(IFERROR(IF(24*INDEX('UZ-normalized'!$D:$D, MATCH($A131, 'UZ-normalized'!$A:$A, 0))-INDEX('UZ-normalized'!$E:$E, MATCH($A131, 'UZ-normalized'!$A:$A, 0))&gt;0, -(24*INDEX('UZ-normalized'!$D:$D, MATCH($A131, 'UZ-normalized'!$A:$A, 0))-INDEX('UZ-normalized'!$E:$E, MATCH($A131, 'UZ-normalized'!$A:$A, 0))), 0), 0)))</f>
        <v>-896</v>
      </c>
      <c r="AM131" s="6">
        <f>MIN(0, N131+(IFERROR(IF(25*INDEX('UA-normalized'!$D:$D, MATCH($A131, 'UA-normalized'!$A:$A, 0))-INDEX('UA-normalized'!$E:$E, MATCH($A131, 'UA-normalized'!$A:$A, 0))&gt;0, -(25*INDEX('UA-normalized'!$D:$D, MATCH($A131, 'UA-normalized'!$A:$A, 0))-INDEX('UA-normalized'!$E:$E, MATCH($A131, 'UA-normalized'!$A:$A, 0))), 0), 0))+(IFERROR(IF(25*INDEX('KZ-normalized'!$D:$D, MATCH($A131, 'KZ-normalized'!$A:$A, 0))-INDEX('KZ-normalized'!$E:$E, MATCH($A131, 'KZ-normalized'!$A:$A, 0))&gt;0, -(25*INDEX('KZ-normalized'!$D:$D, MATCH($A131, 'KZ-normalized'!$A:$A, 0))-INDEX('KZ-normalized'!$E:$E, MATCH($A131, 'KZ-normalized'!$A:$A, 0))), 0), 0))+(IFERROR(IF(25*INDEX('UZ-normalized'!$D:$D, MATCH($A131, 'UZ-normalized'!$A:$A, 0))-INDEX('UZ-normalized'!$E:$E, MATCH($A131, 'UZ-normalized'!$A:$A, 0))&gt;0, -(25*INDEX('UZ-normalized'!$D:$D, MATCH($A131, 'UZ-normalized'!$A:$A, 0))-INDEX('UZ-normalized'!$E:$E, MATCH($A131, 'UZ-normalized'!$A:$A, 0))), 0), 0)))</f>
        <v>-946</v>
      </c>
      <c r="AN131" s="6">
        <f>MIN(0, N131+(IFERROR(IF(26*INDEX('UA-normalized'!$D:$D, MATCH($A131, 'UA-normalized'!$A:$A, 0))-INDEX('UA-normalized'!$E:$E, MATCH($A131, 'UA-normalized'!$A:$A, 0))&gt;0, -(26*INDEX('UA-normalized'!$D:$D, MATCH($A131, 'UA-normalized'!$A:$A, 0))-INDEX('UA-normalized'!$E:$E, MATCH($A131, 'UA-normalized'!$A:$A, 0))), 0), 0))+(IFERROR(IF(26*INDEX('KZ-normalized'!$D:$D, MATCH($A131, 'KZ-normalized'!$A:$A, 0))-INDEX('KZ-normalized'!$E:$E, MATCH($A131, 'KZ-normalized'!$A:$A, 0))&gt;0, -(26*INDEX('KZ-normalized'!$D:$D, MATCH($A131, 'KZ-normalized'!$A:$A, 0))-INDEX('KZ-normalized'!$E:$E, MATCH($A131, 'KZ-normalized'!$A:$A, 0))), 0), 0))+(IFERROR(IF(26*INDEX('UZ-normalized'!$D:$D, MATCH($A131, 'UZ-normalized'!$A:$A, 0))-INDEX('UZ-normalized'!$E:$E, MATCH($A131, 'UZ-normalized'!$A:$A, 0))&gt;0, -(26*INDEX('UZ-normalized'!$D:$D, MATCH($A131, 'UZ-normalized'!$A:$A, 0))-INDEX('UZ-normalized'!$E:$E, MATCH($A131, 'UZ-normalized'!$A:$A, 0))), 0), 0)))</f>
        <v>-996</v>
      </c>
      <c r="AO131" s="6">
        <f>MIN(0, N131+(IFERROR(IF(27*INDEX('UA-normalized'!$D:$D, MATCH($A131, 'UA-normalized'!$A:$A, 0))-INDEX('UA-normalized'!$E:$E, MATCH($A131, 'UA-normalized'!$A:$A, 0))&gt;0, -(27*INDEX('UA-normalized'!$D:$D, MATCH($A131, 'UA-normalized'!$A:$A, 0))-INDEX('UA-normalized'!$E:$E, MATCH($A131, 'UA-normalized'!$A:$A, 0))), 0), 0))+(IFERROR(IF(27*INDEX('KZ-normalized'!$D:$D, MATCH($A131, 'KZ-normalized'!$A:$A, 0))-INDEX('KZ-normalized'!$E:$E, MATCH($A131, 'KZ-normalized'!$A:$A, 0))&gt;0, -(27*INDEX('KZ-normalized'!$D:$D, MATCH($A131, 'KZ-normalized'!$A:$A, 0))-INDEX('KZ-normalized'!$E:$E, MATCH($A131, 'KZ-normalized'!$A:$A, 0))), 0), 0))+(IFERROR(IF(27*INDEX('UZ-normalized'!$D:$D, MATCH($A131, 'UZ-normalized'!$A:$A, 0))-INDEX('UZ-normalized'!$E:$E, MATCH($A131, 'UZ-normalized'!$A:$A, 0))&gt;0, -(27*INDEX('UZ-normalized'!$D:$D, MATCH($A131, 'UZ-normalized'!$A:$A, 0))-INDEX('UZ-normalized'!$E:$E, MATCH($A131, 'UZ-normalized'!$A:$A, 0))), 0), 0)))</f>
        <v>-1046</v>
      </c>
      <c r="AP131" s="6">
        <f>MIN(0, N131+(IFERROR(IF(28*INDEX('UA-normalized'!$D:$D, MATCH($A131, 'UA-normalized'!$A:$A, 0))-INDEX('UA-normalized'!$E:$E, MATCH($A131, 'UA-normalized'!$A:$A, 0))&gt;0, -(28*INDEX('UA-normalized'!$D:$D, MATCH($A131, 'UA-normalized'!$A:$A, 0))-INDEX('UA-normalized'!$E:$E, MATCH($A131, 'UA-normalized'!$A:$A, 0))), 0), 0))+(IFERROR(IF(28*INDEX('KZ-normalized'!$D:$D, MATCH($A131, 'KZ-normalized'!$A:$A, 0))-INDEX('KZ-normalized'!$E:$E, MATCH($A131, 'KZ-normalized'!$A:$A, 0))&gt;0, -(28*INDEX('KZ-normalized'!$D:$D, MATCH($A131, 'KZ-normalized'!$A:$A, 0))-INDEX('KZ-normalized'!$E:$E, MATCH($A131, 'KZ-normalized'!$A:$A, 0))), 0), 0))+(IFERROR(IF(28*INDEX('UZ-normalized'!$D:$D, MATCH($A131, 'UZ-normalized'!$A:$A, 0))-INDEX('UZ-normalized'!$E:$E, MATCH($A131, 'UZ-normalized'!$A:$A, 0))&gt;0, -(28*INDEX('UZ-normalized'!$D:$D, MATCH($A131, 'UZ-normalized'!$A:$A, 0))-INDEX('UZ-normalized'!$E:$E, MATCH($A131, 'UZ-normalized'!$A:$A, 0))), 0), 0)))</f>
        <v>-1096</v>
      </c>
      <c r="AQ131" s="6">
        <f>MIN(0, N131+(IFERROR(IF(29*INDEX('UA-normalized'!$D:$D, MATCH($A131, 'UA-normalized'!$A:$A, 0))-INDEX('UA-normalized'!$E:$E, MATCH($A131, 'UA-normalized'!$A:$A, 0))&gt;0, -(29*INDEX('UA-normalized'!$D:$D, MATCH($A131, 'UA-normalized'!$A:$A, 0))-INDEX('UA-normalized'!$E:$E, MATCH($A131, 'UA-normalized'!$A:$A, 0))), 0), 0))+(IFERROR(IF(29*INDEX('KZ-normalized'!$D:$D, MATCH($A131, 'KZ-normalized'!$A:$A, 0))-INDEX('KZ-normalized'!$E:$E, MATCH($A131, 'KZ-normalized'!$A:$A, 0))&gt;0, -(29*INDEX('KZ-normalized'!$D:$D, MATCH($A131, 'KZ-normalized'!$A:$A, 0))-INDEX('KZ-normalized'!$E:$E, MATCH($A131, 'KZ-normalized'!$A:$A, 0))), 0), 0))+(IFERROR(IF(29*INDEX('UZ-normalized'!$D:$D, MATCH($A131, 'UZ-normalized'!$A:$A, 0))-INDEX('UZ-normalized'!$E:$E, MATCH($A131, 'UZ-normalized'!$A:$A, 0))&gt;0, -(29*INDEX('UZ-normalized'!$D:$D, MATCH($A131, 'UZ-normalized'!$A:$A, 0))-INDEX('UZ-normalized'!$E:$E, MATCH($A131, 'UZ-normalized'!$A:$A, 0))), 0), 0)))</f>
        <v>-1146</v>
      </c>
      <c r="AR131" s="6">
        <f>MIN(0, N131+(IFERROR(IF(30*INDEX('UA-normalized'!$D:$D, MATCH($A131, 'UA-normalized'!$A:$A, 0))-INDEX('UA-normalized'!$E:$E, MATCH($A131, 'UA-normalized'!$A:$A, 0))&gt;0, -(30*INDEX('UA-normalized'!$D:$D, MATCH($A131, 'UA-normalized'!$A:$A, 0))-INDEX('UA-normalized'!$E:$E, MATCH($A131, 'UA-normalized'!$A:$A, 0))), 0), 0))+(IFERROR(IF(30*INDEX('KZ-normalized'!$D:$D, MATCH($A131, 'KZ-normalized'!$A:$A, 0))-INDEX('KZ-normalized'!$E:$E, MATCH($A131, 'KZ-normalized'!$A:$A, 0))&gt;0, -(30*INDEX('KZ-normalized'!$D:$D, MATCH($A131, 'KZ-normalized'!$A:$A, 0))-INDEX('KZ-normalized'!$E:$E, MATCH($A131, 'KZ-normalized'!$A:$A, 0))), 0), 0))+(IFERROR(IF(30*INDEX('UZ-normalized'!$D:$D, MATCH($A131, 'UZ-normalized'!$A:$A, 0))-INDEX('UZ-normalized'!$E:$E, MATCH($A131, 'UZ-normalized'!$A:$A, 0))&gt;0, -(30*INDEX('UZ-normalized'!$D:$D, MATCH($A131, 'UZ-normalized'!$A:$A, 0))-INDEX('UZ-normalized'!$E:$E, MATCH($A131, 'UZ-normalized'!$A:$A, 0))), 0), 0)))</f>
        <v>-1196</v>
      </c>
    </row>
    <row r="132" spans="1:44" x14ac:dyDescent="0.25">
      <c r="A132" s="8" t="s">
        <v>321</v>
      </c>
      <c r="B132" s="8" t="s">
        <v>317</v>
      </c>
      <c r="C132" s="8" t="s">
        <v>318</v>
      </c>
      <c r="D132" s="8" t="s">
        <v>322</v>
      </c>
      <c r="N132">
        <f t="shared" si="2"/>
        <v>0</v>
      </c>
      <c r="O132" s="6">
        <f>MIN(0, N132+(IFERROR(IF(1*INDEX('UA-normalized'!$D:$D, MATCH($A132, 'UA-normalized'!$A:$A, 0))-INDEX('UA-normalized'!$E:$E, MATCH($A132, 'UA-normalized'!$A:$A, 0))&gt;0, -(1*INDEX('UA-normalized'!$D:$D, MATCH($A132, 'UA-normalized'!$A:$A, 0))-INDEX('UA-normalized'!$E:$E, MATCH($A132, 'UA-normalized'!$A:$A, 0))), 0), 0))+(IFERROR(IF(1*INDEX('KZ-normalized'!$D:$D, MATCH($A132, 'KZ-normalized'!$A:$A, 0))-INDEX('KZ-normalized'!$E:$E, MATCH($A132, 'KZ-normalized'!$A:$A, 0))&gt;0, -(1*INDEX('KZ-normalized'!$D:$D, MATCH($A132, 'KZ-normalized'!$A:$A, 0))-INDEX('KZ-normalized'!$E:$E, MATCH($A132, 'KZ-normalized'!$A:$A, 0))), 0), 0))+(IFERROR(IF(1*INDEX('UZ-normalized'!$D:$D, MATCH($A132, 'UZ-normalized'!$A:$A, 0))-INDEX('UZ-normalized'!$E:$E, MATCH($A132, 'UZ-normalized'!$A:$A, 0))&gt;0, -(1*INDEX('UZ-normalized'!$D:$D, MATCH($A132, 'UZ-normalized'!$A:$A, 0))-INDEX('UZ-normalized'!$E:$E, MATCH($A132, 'UZ-normalized'!$A:$A, 0))), 0), 0)))</f>
        <v>0</v>
      </c>
      <c r="P132" s="6">
        <f>MIN(0, N132+(IFERROR(IF(2*INDEX('UA-normalized'!$D:$D, MATCH($A132, 'UA-normalized'!$A:$A, 0))-INDEX('UA-normalized'!$E:$E, MATCH($A132, 'UA-normalized'!$A:$A, 0))&gt;0, -(2*INDEX('UA-normalized'!$D:$D, MATCH($A132, 'UA-normalized'!$A:$A, 0))-INDEX('UA-normalized'!$E:$E, MATCH($A132, 'UA-normalized'!$A:$A, 0))), 0), 0))+(IFERROR(IF(2*INDEX('KZ-normalized'!$D:$D, MATCH($A132, 'KZ-normalized'!$A:$A, 0))-INDEX('KZ-normalized'!$E:$E, MATCH($A132, 'KZ-normalized'!$A:$A, 0))&gt;0, -(2*INDEX('KZ-normalized'!$D:$D, MATCH($A132, 'KZ-normalized'!$A:$A, 0))-INDEX('KZ-normalized'!$E:$E, MATCH($A132, 'KZ-normalized'!$A:$A, 0))), 0), 0))+(IFERROR(IF(2*INDEX('UZ-normalized'!$D:$D, MATCH($A132, 'UZ-normalized'!$A:$A, 0))-INDEX('UZ-normalized'!$E:$E, MATCH($A132, 'UZ-normalized'!$A:$A, 0))&gt;0, -(2*INDEX('UZ-normalized'!$D:$D, MATCH($A132, 'UZ-normalized'!$A:$A, 0))-INDEX('UZ-normalized'!$E:$E, MATCH($A132, 'UZ-normalized'!$A:$A, 0))), 0), 0)))</f>
        <v>0</v>
      </c>
      <c r="Q132" s="6">
        <f>MIN(0, N132+(IFERROR(IF(3*INDEX('UA-normalized'!$D:$D, MATCH($A132, 'UA-normalized'!$A:$A, 0))-INDEX('UA-normalized'!$E:$E, MATCH($A132, 'UA-normalized'!$A:$A, 0))&gt;0, -(3*INDEX('UA-normalized'!$D:$D, MATCH($A132, 'UA-normalized'!$A:$A, 0))-INDEX('UA-normalized'!$E:$E, MATCH($A132, 'UA-normalized'!$A:$A, 0))), 0), 0))+(IFERROR(IF(3*INDEX('KZ-normalized'!$D:$D, MATCH($A132, 'KZ-normalized'!$A:$A, 0))-INDEX('KZ-normalized'!$E:$E, MATCH($A132, 'KZ-normalized'!$A:$A, 0))&gt;0, -(3*INDEX('KZ-normalized'!$D:$D, MATCH($A132, 'KZ-normalized'!$A:$A, 0))-INDEX('KZ-normalized'!$E:$E, MATCH($A132, 'KZ-normalized'!$A:$A, 0))), 0), 0))+(IFERROR(IF(3*INDEX('UZ-normalized'!$D:$D, MATCH($A132, 'UZ-normalized'!$A:$A, 0))-INDEX('UZ-normalized'!$E:$E, MATCH($A132, 'UZ-normalized'!$A:$A, 0))&gt;0, -(3*INDEX('UZ-normalized'!$D:$D, MATCH($A132, 'UZ-normalized'!$A:$A, 0))-INDEX('UZ-normalized'!$E:$E, MATCH($A132, 'UZ-normalized'!$A:$A, 0))), 0), 0)))</f>
        <v>0</v>
      </c>
      <c r="R132" s="6">
        <f>MIN(0, N132+(IFERROR(IF(4*INDEX('UA-normalized'!$D:$D, MATCH($A132, 'UA-normalized'!$A:$A, 0))-INDEX('UA-normalized'!$E:$E, MATCH($A132, 'UA-normalized'!$A:$A, 0))&gt;0, -(4*INDEX('UA-normalized'!$D:$D, MATCH($A132, 'UA-normalized'!$A:$A, 0))-INDEX('UA-normalized'!$E:$E, MATCH($A132, 'UA-normalized'!$A:$A, 0))), 0), 0))+(IFERROR(IF(4*INDEX('KZ-normalized'!$D:$D, MATCH($A132, 'KZ-normalized'!$A:$A, 0))-INDEX('KZ-normalized'!$E:$E, MATCH($A132, 'KZ-normalized'!$A:$A, 0))&gt;0, -(4*INDEX('KZ-normalized'!$D:$D, MATCH($A132, 'KZ-normalized'!$A:$A, 0))-INDEX('KZ-normalized'!$E:$E, MATCH($A132, 'KZ-normalized'!$A:$A, 0))), 0), 0))+(IFERROR(IF(4*INDEX('UZ-normalized'!$D:$D, MATCH($A132, 'UZ-normalized'!$A:$A, 0))-INDEX('UZ-normalized'!$E:$E, MATCH($A132, 'UZ-normalized'!$A:$A, 0))&gt;0, -(4*INDEX('UZ-normalized'!$D:$D, MATCH($A132, 'UZ-normalized'!$A:$A, 0))-INDEX('UZ-normalized'!$E:$E, MATCH($A132, 'UZ-normalized'!$A:$A, 0))), 0), 0)))</f>
        <v>0</v>
      </c>
      <c r="S132" s="6">
        <f>MIN(0, N132+(IFERROR(IF(5*INDEX('UA-normalized'!$D:$D, MATCH($A132, 'UA-normalized'!$A:$A, 0))-INDEX('UA-normalized'!$E:$E, MATCH($A132, 'UA-normalized'!$A:$A, 0))&gt;0, -(5*INDEX('UA-normalized'!$D:$D, MATCH($A132, 'UA-normalized'!$A:$A, 0))-INDEX('UA-normalized'!$E:$E, MATCH($A132, 'UA-normalized'!$A:$A, 0))), 0), 0))+(IFERROR(IF(5*INDEX('KZ-normalized'!$D:$D, MATCH($A132, 'KZ-normalized'!$A:$A, 0))-INDEX('KZ-normalized'!$E:$E, MATCH($A132, 'KZ-normalized'!$A:$A, 0))&gt;0, -(5*INDEX('KZ-normalized'!$D:$D, MATCH($A132, 'KZ-normalized'!$A:$A, 0))-INDEX('KZ-normalized'!$E:$E, MATCH($A132, 'KZ-normalized'!$A:$A, 0))), 0), 0))+(IFERROR(IF(5*INDEX('UZ-normalized'!$D:$D, MATCH($A132, 'UZ-normalized'!$A:$A, 0))-INDEX('UZ-normalized'!$E:$E, MATCH($A132, 'UZ-normalized'!$A:$A, 0))&gt;0, -(5*INDEX('UZ-normalized'!$D:$D, MATCH($A132, 'UZ-normalized'!$A:$A, 0))-INDEX('UZ-normalized'!$E:$E, MATCH($A132, 'UZ-normalized'!$A:$A, 0))), 0), 0)))</f>
        <v>0</v>
      </c>
      <c r="T132" s="6">
        <f>MIN(0, N132+(IFERROR(IF(6*INDEX('UA-normalized'!$D:$D, MATCH($A132, 'UA-normalized'!$A:$A, 0))-INDEX('UA-normalized'!$E:$E, MATCH($A132, 'UA-normalized'!$A:$A, 0))&gt;0, -(6*INDEX('UA-normalized'!$D:$D, MATCH($A132, 'UA-normalized'!$A:$A, 0))-INDEX('UA-normalized'!$E:$E, MATCH($A132, 'UA-normalized'!$A:$A, 0))), 0), 0))+(IFERROR(IF(6*INDEX('KZ-normalized'!$D:$D, MATCH($A132, 'KZ-normalized'!$A:$A, 0))-INDEX('KZ-normalized'!$E:$E, MATCH($A132, 'KZ-normalized'!$A:$A, 0))&gt;0, -(6*INDEX('KZ-normalized'!$D:$D, MATCH($A132, 'KZ-normalized'!$A:$A, 0))-INDEX('KZ-normalized'!$E:$E, MATCH($A132, 'KZ-normalized'!$A:$A, 0))), 0), 0))+(IFERROR(IF(6*INDEX('UZ-normalized'!$D:$D, MATCH($A132, 'UZ-normalized'!$A:$A, 0))-INDEX('UZ-normalized'!$E:$E, MATCH($A132, 'UZ-normalized'!$A:$A, 0))&gt;0, -(6*INDEX('UZ-normalized'!$D:$D, MATCH($A132, 'UZ-normalized'!$A:$A, 0))-INDEX('UZ-normalized'!$E:$E, MATCH($A132, 'UZ-normalized'!$A:$A, 0))), 0), 0)))</f>
        <v>0</v>
      </c>
      <c r="U132" s="6">
        <f>MIN(0, N132+(IFERROR(IF(7*INDEX('UA-normalized'!$D:$D, MATCH($A132, 'UA-normalized'!$A:$A, 0))-INDEX('UA-normalized'!$E:$E, MATCH($A132, 'UA-normalized'!$A:$A, 0))&gt;0, -(7*INDEX('UA-normalized'!$D:$D, MATCH($A132, 'UA-normalized'!$A:$A, 0))-INDEX('UA-normalized'!$E:$E, MATCH($A132, 'UA-normalized'!$A:$A, 0))), 0), 0))+(IFERROR(IF(7*INDEX('KZ-normalized'!$D:$D, MATCH($A132, 'KZ-normalized'!$A:$A, 0))-INDEX('KZ-normalized'!$E:$E, MATCH($A132, 'KZ-normalized'!$A:$A, 0))&gt;0, -(7*INDEX('KZ-normalized'!$D:$D, MATCH($A132, 'KZ-normalized'!$A:$A, 0))-INDEX('KZ-normalized'!$E:$E, MATCH($A132, 'KZ-normalized'!$A:$A, 0))), 0), 0))+(IFERROR(IF(7*INDEX('UZ-normalized'!$D:$D, MATCH($A132, 'UZ-normalized'!$A:$A, 0))-INDEX('UZ-normalized'!$E:$E, MATCH($A132, 'UZ-normalized'!$A:$A, 0))&gt;0, -(7*INDEX('UZ-normalized'!$D:$D, MATCH($A132, 'UZ-normalized'!$A:$A, 0))-INDEX('UZ-normalized'!$E:$E, MATCH($A132, 'UZ-normalized'!$A:$A, 0))), 0), 0)))</f>
        <v>0</v>
      </c>
      <c r="V132" s="6">
        <f>MIN(0, N132+(IFERROR(IF(8*INDEX('UA-normalized'!$D:$D, MATCH($A132, 'UA-normalized'!$A:$A, 0))-INDEX('UA-normalized'!$E:$E, MATCH($A132, 'UA-normalized'!$A:$A, 0))&gt;0, -(8*INDEX('UA-normalized'!$D:$D, MATCH($A132, 'UA-normalized'!$A:$A, 0))-INDEX('UA-normalized'!$E:$E, MATCH($A132, 'UA-normalized'!$A:$A, 0))), 0), 0))+(IFERROR(IF(8*INDEX('KZ-normalized'!$D:$D, MATCH($A132, 'KZ-normalized'!$A:$A, 0))-INDEX('KZ-normalized'!$E:$E, MATCH($A132, 'KZ-normalized'!$A:$A, 0))&gt;0, -(8*INDEX('KZ-normalized'!$D:$D, MATCH($A132, 'KZ-normalized'!$A:$A, 0))-INDEX('KZ-normalized'!$E:$E, MATCH($A132, 'KZ-normalized'!$A:$A, 0))), 0), 0))+(IFERROR(IF(8*INDEX('UZ-normalized'!$D:$D, MATCH($A132, 'UZ-normalized'!$A:$A, 0))-INDEX('UZ-normalized'!$E:$E, MATCH($A132, 'UZ-normalized'!$A:$A, 0))&gt;0, -(8*INDEX('UZ-normalized'!$D:$D, MATCH($A132, 'UZ-normalized'!$A:$A, 0))-INDEX('UZ-normalized'!$E:$E, MATCH($A132, 'UZ-normalized'!$A:$A, 0))), 0), 0)))</f>
        <v>0</v>
      </c>
      <c r="W132" s="6">
        <f>MIN(0, N132+(IFERROR(IF(9*INDEX('UA-normalized'!$D:$D, MATCH($A132, 'UA-normalized'!$A:$A, 0))-INDEX('UA-normalized'!$E:$E, MATCH($A132, 'UA-normalized'!$A:$A, 0))&gt;0, -(9*INDEX('UA-normalized'!$D:$D, MATCH($A132, 'UA-normalized'!$A:$A, 0))-INDEX('UA-normalized'!$E:$E, MATCH($A132, 'UA-normalized'!$A:$A, 0))), 0), 0))+(IFERROR(IF(9*INDEX('KZ-normalized'!$D:$D, MATCH($A132, 'KZ-normalized'!$A:$A, 0))-INDEX('KZ-normalized'!$E:$E, MATCH($A132, 'KZ-normalized'!$A:$A, 0))&gt;0, -(9*INDEX('KZ-normalized'!$D:$D, MATCH($A132, 'KZ-normalized'!$A:$A, 0))-INDEX('KZ-normalized'!$E:$E, MATCH($A132, 'KZ-normalized'!$A:$A, 0))), 0), 0))+(IFERROR(IF(9*INDEX('UZ-normalized'!$D:$D, MATCH($A132, 'UZ-normalized'!$A:$A, 0))-INDEX('UZ-normalized'!$E:$E, MATCH($A132, 'UZ-normalized'!$A:$A, 0))&gt;0, -(9*INDEX('UZ-normalized'!$D:$D, MATCH($A132, 'UZ-normalized'!$A:$A, 0))-INDEX('UZ-normalized'!$E:$E, MATCH($A132, 'UZ-normalized'!$A:$A, 0))), 0), 0)))</f>
        <v>0</v>
      </c>
      <c r="X132" s="6">
        <f>MIN(0, N132+(IFERROR(IF(10*INDEX('UA-normalized'!$D:$D, MATCH($A132, 'UA-normalized'!$A:$A, 0))-INDEX('UA-normalized'!$E:$E, MATCH($A132, 'UA-normalized'!$A:$A, 0))&gt;0, -(10*INDEX('UA-normalized'!$D:$D, MATCH($A132, 'UA-normalized'!$A:$A, 0))-INDEX('UA-normalized'!$E:$E, MATCH($A132, 'UA-normalized'!$A:$A, 0))), 0), 0))+(IFERROR(IF(10*INDEX('KZ-normalized'!$D:$D, MATCH($A132, 'KZ-normalized'!$A:$A, 0))-INDEX('KZ-normalized'!$E:$E, MATCH($A132, 'KZ-normalized'!$A:$A, 0))&gt;0, -(10*INDEX('KZ-normalized'!$D:$D, MATCH($A132, 'KZ-normalized'!$A:$A, 0))-INDEX('KZ-normalized'!$E:$E, MATCH($A132, 'KZ-normalized'!$A:$A, 0))), 0), 0))+(IFERROR(IF(10*INDEX('UZ-normalized'!$D:$D, MATCH($A132, 'UZ-normalized'!$A:$A, 0))-INDEX('UZ-normalized'!$E:$E, MATCH($A132, 'UZ-normalized'!$A:$A, 0))&gt;0, -(10*INDEX('UZ-normalized'!$D:$D, MATCH($A132, 'UZ-normalized'!$A:$A, 0))-INDEX('UZ-normalized'!$E:$E, MATCH($A132, 'UZ-normalized'!$A:$A, 0))), 0), 0)))</f>
        <v>0</v>
      </c>
      <c r="Y132" s="6">
        <f>MIN(0, N132+(IFERROR(IF(11*INDEX('UA-normalized'!$D:$D, MATCH($A132, 'UA-normalized'!$A:$A, 0))-INDEX('UA-normalized'!$E:$E, MATCH($A132, 'UA-normalized'!$A:$A, 0))&gt;0, -(11*INDEX('UA-normalized'!$D:$D, MATCH($A132, 'UA-normalized'!$A:$A, 0))-INDEX('UA-normalized'!$E:$E, MATCH($A132, 'UA-normalized'!$A:$A, 0))), 0), 0))+(IFERROR(IF(11*INDEX('KZ-normalized'!$D:$D, MATCH($A132, 'KZ-normalized'!$A:$A, 0))-INDEX('KZ-normalized'!$E:$E, MATCH($A132, 'KZ-normalized'!$A:$A, 0))&gt;0, -(11*INDEX('KZ-normalized'!$D:$D, MATCH($A132, 'KZ-normalized'!$A:$A, 0))-INDEX('KZ-normalized'!$E:$E, MATCH($A132, 'KZ-normalized'!$A:$A, 0))), 0), 0))+(IFERROR(IF(11*INDEX('UZ-normalized'!$D:$D, MATCH($A132, 'UZ-normalized'!$A:$A, 0))-INDEX('UZ-normalized'!$E:$E, MATCH($A132, 'UZ-normalized'!$A:$A, 0))&gt;0, -(11*INDEX('UZ-normalized'!$D:$D, MATCH($A132, 'UZ-normalized'!$A:$A, 0))-INDEX('UZ-normalized'!$E:$E, MATCH($A132, 'UZ-normalized'!$A:$A, 0))), 0), 0)))</f>
        <v>0</v>
      </c>
      <c r="Z132" s="6">
        <f>MIN(0, N132+(IFERROR(IF(12*INDEX('UA-normalized'!$D:$D, MATCH($A132, 'UA-normalized'!$A:$A, 0))-INDEX('UA-normalized'!$E:$E, MATCH($A132, 'UA-normalized'!$A:$A, 0))&gt;0, -(12*INDEX('UA-normalized'!$D:$D, MATCH($A132, 'UA-normalized'!$A:$A, 0))-INDEX('UA-normalized'!$E:$E, MATCH($A132, 'UA-normalized'!$A:$A, 0))), 0), 0))+(IFERROR(IF(12*INDEX('KZ-normalized'!$D:$D, MATCH($A132, 'KZ-normalized'!$A:$A, 0))-INDEX('KZ-normalized'!$E:$E, MATCH($A132, 'KZ-normalized'!$A:$A, 0))&gt;0, -(12*INDEX('KZ-normalized'!$D:$D, MATCH($A132, 'KZ-normalized'!$A:$A, 0))-INDEX('KZ-normalized'!$E:$E, MATCH($A132, 'KZ-normalized'!$A:$A, 0))), 0), 0))+(IFERROR(IF(12*INDEX('UZ-normalized'!$D:$D, MATCH($A132, 'UZ-normalized'!$A:$A, 0))-INDEX('UZ-normalized'!$E:$E, MATCH($A132, 'UZ-normalized'!$A:$A, 0))&gt;0, -(12*INDEX('UZ-normalized'!$D:$D, MATCH($A132, 'UZ-normalized'!$A:$A, 0))-INDEX('UZ-normalized'!$E:$E, MATCH($A132, 'UZ-normalized'!$A:$A, 0))), 0), 0)))</f>
        <v>0</v>
      </c>
      <c r="AA132" s="6">
        <f>MIN(0, N132+(IFERROR(IF(13*INDEX('UA-normalized'!$D:$D, MATCH($A132, 'UA-normalized'!$A:$A, 0))-INDEX('UA-normalized'!$E:$E, MATCH($A132, 'UA-normalized'!$A:$A, 0))&gt;0, -(13*INDEX('UA-normalized'!$D:$D, MATCH($A132, 'UA-normalized'!$A:$A, 0))-INDEX('UA-normalized'!$E:$E, MATCH($A132, 'UA-normalized'!$A:$A, 0))), 0), 0))+(IFERROR(IF(13*INDEX('KZ-normalized'!$D:$D, MATCH($A132, 'KZ-normalized'!$A:$A, 0))-INDEX('KZ-normalized'!$E:$E, MATCH($A132, 'KZ-normalized'!$A:$A, 0))&gt;0, -(13*INDEX('KZ-normalized'!$D:$D, MATCH($A132, 'KZ-normalized'!$A:$A, 0))-INDEX('KZ-normalized'!$E:$E, MATCH($A132, 'KZ-normalized'!$A:$A, 0))), 0), 0))+(IFERROR(IF(13*INDEX('UZ-normalized'!$D:$D, MATCH($A132, 'UZ-normalized'!$A:$A, 0))-INDEX('UZ-normalized'!$E:$E, MATCH($A132, 'UZ-normalized'!$A:$A, 0))&gt;0, -(13*INDEX('UZ-normalized'!$D:$D, MATCH($A132, 'UZ-normalized'!$A:$A, 0))-INDEX('UZ-normalized'!$E:$E, MATCH($A132, 'UZ-normalized'!$A:$A, 0))), 0), 0)))</f>
        <v>0</v>
      </c>
      <c r="AB132" s="6">
        <f>MIN(0, N132+(IFERROR(IF(14*INDEX('UA-normalized'!$D:$D, MATCH($A132, 'UA-normalized'!$A:$A, 0))-INDEX('UA-normalized'!$E:$E, MATCH($A132, 'UA-normalized'!$A:$A, 0))&gt;0, -(14*INDEX('UA-normalized'!$D:$D, MATCH($A132, 'UA-normalized'!$A:$A, 0))-INDEX('UA-normalized'!$E:$E, MATCH($A132, 'UA-normalized'!$A:$A, 0))), 0), 0))+(IFERROR(IF(14*INDEX('KZ-normalized'!$D:$D, MATCH($A132, 'KZ-normalized'!$A:$A, 0))-INDEX('KZ-normalized'!$E:$E, MATCH($A132, 'KZ-normalized'!$A:$A, 0))&gt;0, -(14*INDEX('KZ-normalized'!$D:$D, MATCH($A132, 'KZ-normalized'!$A:$A, 0))-INDEX('KZ-normalized'!$E:$E, MATCH($A132, 'KZ-normalized'!$A:$A, 0))), 0), 0))+(IFERROR(IF(14*INDEX('UZ-normalized'!$D:$D, MATCH($A132, 'UZ-normalized'!$A:$A, 0))-INDEX('UZ-normalized'!$E:$E, MATCH($A132, 'UZ-normalized'!$A:$A, 0))&gt;0, -(14*INDEX('UZ-normalized'!$D:$D, MATCH($A132, 'UZ-normalized'!$A:$A, 0))-INDEX('UZ-normalized'!$E:$E, MATCH($A132, 'UZ-normalized'!$A:$A, 0))), 0), 0)))</f>
        <v>0</v>
      </c>
      <c r="AC132" s="6">
        <f>MIN(0, N132+(IFERROR(IF(15*INDEX('UA-normalized'!$D:$D, MATCH($A132, 'UA-normalized'!$A:$A, 0))-INDEX('UA-normalized'!$E:$E, MATCH($A132, 'UA-normalized'!$A:$A, 0))&gt;0, -(15*INDEX('UA-normalized'!$D:$D, MATCH($A132, 'UA-normalized'!$A:$A, 0))-INDEX('UA-normalized'!$E:$E, MATCH($A132, 'UA-normalized'!$A:$A, 0))), 0), 0))+(IFERROR(IF(15*INDEX('KZ-normalized'!$D:$D, MATCH($A132, 'KZ-normalized'!$A:$A, 0))-INDEX('KZ-normalized'!$E:$E, MATCH($A132, 'KZ-normalized'!$A:$A, 0))&gt;0, -(15*INDEX('KZ-normalized'!$D:$D, MATCH($A132, 'KZ-normalized'!$A:$A, 0))-INDEX('KZ-normalized'!$E:$E, MATCH($A132, 'KZ-normalized'!$A:$A, 0))), 0), 0))+(IFERROR(IF(15*INDEX('UZ-normalized'!$D:$D, MATCH($A132, 'UZ-normalized'!$A:$A, 0))-INDEX('UZ-normalized'!$E:$E, MATCH($A132, 'UZ-normalized'!$A:$A, 0))&gt;0, -(15*INDEX('UZ-normalized'!$D:$D, MATCH($A132, 'UZ-normalized'!$A:$A, 0))-INDEX('UZ-normalized'!$E:$E, MATCH($A132, 'UZ-normalized'!$A:$A, 0))), 0), 0)))</f>
        <v>0</v>
      </c>
      <c r="AD132" s="6">
        <f>MIN(0, N132+(IFERROR(IF(16*INDEX('UA-normalized'!$D:$D, MATCH($A132, 'UA-normalized'!$A:$A, 0))-INDEX('UA-normalized'!$E:$E, MATCH($A132, 'UA-normalized'!$A:$A, 0))&gt;0, -(16*INDEX('UA-normalized'!$D:$D, MATCH($A132, 'UA-normalized'!$A:$A, 0))-INDEX('UA-normalized'!$E:$E, MATCH($A132, 'UA-normalized'!$A:$A, 0))), 0), 0))+(IFERROR(IF(16*INDEX('KZ-normalized'!$D:$D, MATCH($A132, 'KZ-normalized'!$A:$A, 0))-INDEX('KZ-normalized'!$E:$E, MATCH($A132, 'KZ-normalized'!$A:$A, 0))&gt;0, -(16*INDEX('KZ-normalized'!$D:$D, MATCH($A132, 'KZ-normalized'!$A:$A, 0))-INDEX('KZ-normalized'!$E:$E, MATCH($A132, 'KZ-normalized'!$A:$A, 0))), 0), 0))+(IFERROR(IF(16*INDEX('UZ-normalized'!$D:$D, MATCH($A132, 'UZ-normalized'!$A:$A, 0))-INDEX('UZ-normalized'!$E:$E, MATCH($A132, 'UZ-normalized'!$A:$A, 0))&gt;0, -(16*INDEX('UZ-normalized'!$D:$D, MATCH($A132, 'UZ-normalized'!$A:$A, 0))-INDEX('UZ-normalized'!$E:$E, MATCH($A132, 'UZ-normalized'!$A:$A, 0))), 0), 0)))</f>
        <v>0</v>
      </c>
      <c r="AE132" s="6">
        <f>MIN(0, N132+(IFERROR(IF(17*INDEX('UA-normalized'!$D:$D, MATCH($A132, 'UA-normalized'!$A:$A, 0))-INDEX('UA-normalized'!$E:$E, MATCH($A132, 'UA-normalized'!$A:$A, 0))&gt;0, -(17*INDEX('UA-normalized'!$D:$D, MATCH($A132, 'UA-normalized'!$A:$A, 0))-INDEX('UA-normalized'!$E:$E, MATCH($A132, 'UA-normalized'!$A:$A, 0))), 0), 0))+(IFERROR(IF(17*INDEX('KZ-normalized'!$D:$D, MATCH($A132, 'KZ-normalized'!$A:$A, 0))-INDEX('KZ-normalized'!$E:$E, MATCH($A132, 'KZ-normalized'!$A:$A, 0))&gt;0, -(17*INDEX('KZ-normalized'!$D:$D, MATCH($A132, 'KZ-normalized'!$A:$A, 0))-INDEX('KZ-normalized'!$E:$E, MATCH($A132, 'KZ-normalized'!$A:$A, 0))), 0), 0))+(IFERROR(IF(17*INDEX('UZ-normalized'!$D:$D, MATCH($A132, 'UZ-normalized'!$A:$A, 0))-INDEX('UZ-normalized'!$E:$E, MATCH($A132, 'UZ-normalized'!$A:$A, 0))&gt;0, -(17*INDEX('UZ-normalized'!$D:$D, MATCH($A132, 'UZ-normalized'!$A:$A, 0))-INDEX('UZ-normalized'!$E:$E, MATCH($A132, 'UZ-normalized'!$A:$A, 0))), 0), 0)))</f>
        <v>0</v>
      </c>
      <c r="AF132" s="6">
        <f>MIN(0, N132+(IFERROR(IF(18*INDEX('UA-normalized'!$D:$D, MATCH($A132, 'UA-normalized'!$A:$A, 0))-INDEX('UA-normalized'!$E:$E, MATCH($A132, 'UA-normalized'!$A:$A, 0))&gt;0, -(18*INDEX('UA-normalized'!$D:$D, MATCH($A132, 'UA-normalized'!$A:$A, 0))-INDEX('UA-normalized'!$E:$E, MATCH($A132, 'UA-normalized'!$A:$A, 0))), 0), 0))+(IFERROR(IF(18*INDEX('KZ-normalized'!$D:$D, MATCH($A132, 'KZ-normalized'!$A:$A, 0))-INDEX('KZ-normalized'!$E:$E, MATCH($A132, 'KZ-normalized'!$A:$A, 0))&gt;0, -(18*INDEX('KZ-normalized'!$D:$D, MATCH($A132, 'KZ-normalized'!$A:$A, 0))-INDEX('KZ-normalized'!$E:$E, MATCH($A132, 'KZ-normalized'!$A:$A, 0))), 0), 0))+(IFERROR(IF(18*INDEX('UZ-normalized'!$D:$D, MATCH($A132, 'UZ-normalized'!$A:$A, 0))-INDEX('UZ-normalized'!$E:$E, MATCH($A132, 'UZ-normalized'!$A:$A, 0))&gt;0, -(18*INDEX('UZ-normalized'!$D:$D, MATCH($A132, 'UZ-normalized'!$A:$A, 0))-INDEX('UZ-normalized'!$E:$E, MATCH($A132, 'UZ-normalized'!$A:$A, 0))), 0), 0)))</f>
        <v>0</v>
      </c>
      <c r="AG132" s="6">
        <f>MIN(0, N132+(IFERROR(IF(19*INDEX('UA-normalized'!$D:$D, MATCH($A132, 'UA-normalized'!$A:$A, 0))-INDEX('UA-normalized'!$E:$E, MATCH($A132, 'UA-normalized'!$A:$A, 0))&gt;0, -(19*INDEX('UA-normalized'!$D:$D, MATCH($A132, 'UA-normalized'!$A:$A, 0))-INDEX('UA-normalized'!$E:$E, MATCH($A132, 'UA-normalized'!$A:$A, 0))), 0), 0))+(IFERROR(IF(19*INDEX('KZ-normalized'!$D:$D, MATCH($A132, 'KZ-normalized'!$A:$A, 0))-INDEX('KZ-normalized'!$E:$E, MATCH($A132, 'KZ-normalized'!$A:$A, 0))&gt;0, -(19*INDEX('KZ-normalized'!$D:$D, MATCH($A132, 'KZ-normalized'!$A:$A, 0))-INDEX('KZ-normalized'!$E:$E, MATCH($A132, 'KZ-normalized'!$A:$A, 0))), 0), 0))+(IFERROR(IF(19*INDEX('UZ-normalized'!$D:$D, MATCH($A132, 'UZ-normalized'!$A:$A, 0))-INDEX('UZ-normalized'!$E:$E, MATCH($A132, 'UZ-normalized'!$A:$A, 0))&gt;0, -(19*INDEX('UZ-normalized'!$D:$D, MATCH($A132, 'UZ-normalized'!$A:$A, 0))-INDEX('UZ-normalized'!$E:$E, MATCH($A132, 'UZ-normalized'!$A:$A, 0))), 0), 0)))</f>
        <v>0</v>
      </c>
      <c r="AH132" s="6">
        <f>MIN(0, N132+(IFERROR(IF(20*INDEX('UA-normalized'!$D:$D, MATCH($A132, 'UA-normalized'!$A:$A, 0))-INDEX('UA-normalized'!$E:$E, MATCH($A132, 'UA-normalized'!$A:$A, 0))&gt;0, -(20*INDEX('UA-normalized'!$D:$D, MATCH($A132, 'UA-normalized'!$A:$A, 0))-INDEX('UA-normalized'!$E:$E, MATCH($A132, 'UA-normalized'!$A:$A, 0))), 0), 0))+(IFERROR(IF(20*INDEX('KZ-normalized'!$D:$D, MATCH($A132, 'KZ-normalized'!$A:$A, 0))-INDEX('KZ-normalized'!$E:$E, MATCH($A132, 'KZ-normalized'!$A:$A, 0))&gt;0, -(20*INDEX('KZ-normalized'!$D:$D, MATCH($A132, 'KZ-normalized'!$A:$A, 0))-INDEX('KZ-normalized'!$E:$E, MATCH($A132, 'KZ-normalized'!$A:$A, 0))), 0), 0))+(IFERROR(IF(20*INDEX('UZ-normalized'!$D:$D, MATCH($A132, 'UZ-normalized'!$A:$A, 0))-INDEX('UZ-normalized'!$E:$E, MATCH($A132, 'UZ-normalized'!$A:$A, 0))&gt;0, -(20*INDEX('UZ-normalized'!$D:$D, MATCH($A132, 'UZ-normalized'!$A:$A, 0))-INDEX('UZ-normalized'!$E:$E, MATCH($A132, 'UZ-normalized'!$A:$A, 0))), 0), 0)))</f>
        <v>0</v>
      </c>
      <c r="AI132" s="6">
        <f>MIN(0, N132+(IFERROR(IF(21*INDEX('UA-normalized'!$D:$D, MATCH($A132, 'UA-normalized'!$A:$A, 0))-INDEX('UA-normalized'!$E:$E, MATCH($A132, 'UA-normalized'!$A:$A, 0))&gt;0, -(21*INDEX('UA-normalized'!$D:$D, MATCH($A132, 'UA-normalized'!$A:$A, 0))-INDEX('UA-normalized'!$E:$E, MATCH($A132, 'UA-normalized'!$A:$A, 0))), 0), 0))+(IFERROR(IF(21*INDEX('KZ-normalized'!$D:$D, MATCH($A132, 'KZ-normalized'!$A:$A, 0))-INDEX('KZ-normalized'!$E:$E, MATCH($A132, 'KZ-normalized'!$A:$A, 0))&gt;0, -(21*INDEX('KZ-normalized'!$D:$D, MATCH($A132, 'KZ-normalized'!$A:$A, 0))-INDEX('KZ-normalized'!$E:$E, MATCH($A132, 'KZ-normalized'!$A:$A, 0))), 0), 0))+(IFERROR(IF(21*INDEX('UZ-normalized'!$D:$D, MATCH($A132, 'UZ-normalized'!$A:$A, 0))-INDEX('UZ-normalized'!$E:$E, MATCH($A132, 'UZ-normalized'!$A:$A, 0))&gt;0, -(21*INDEX('UZ-normalized'!$D:$D, MATCH($A132, 'UZ-normalized'!$A:$A, 0))-INDEX('UZ-normalized'!$E:$E, MATCH($A132, 'UZ-normalized'!$A:$A, 0))), 0), 0)))</f>
        <v>0</v>
      </c>
      <c r="AJ132" s="6">
        <f>MIN(0, N132+(IFERROR(IF(22*INDEX('UA-normalized'!$D:$D, MATCH($A132, 'UA-normalized'!$A:$A, 0))-INDEX('UA-normalized'!$E:$E, MATCH($A132, 'UA-normalized'!$A:$A, 0))&gt;0, -(22*INDEX('UA-normalized'!$D:$D, MATCH($A132, 'UA-normalized'!$A:$A, 0))-INDEX('UA-normalized'!$E:$E, MATCH($A132, 'UA-normalized'!$A:$A, 0))), 0), 0))+(IFERROR(IF(22*INDEX('KZ-normalized'!$D:$D, MATCH($A132, 'KZ-normalized'!$A:$A, 0))-INDEX('KZ-normalized'!$E:$E, MATCH($A132, 'KZ-normalized'!$A:$A, 0))&gt;0, -(22*INDEX('KZ-normalized'!$D:$D, MATCH($A132, 'KZ-normalized'!$A:$A, 0))-INDEX('KZ-normalized'!$E:$E, MATCH($A132, 'KZ-normalized'!$A:$A, 0))), 0), 0))+(IFERROR(IF(22*INDEX('UZ-normalized'!$D:$D, MATCH($A132, 'UZ-normalized'!$A:$A, 0))-INDEX('UZ-normalized'!$E:$E, MATCH($A132, 'UZ-normalized'!$A:$A, 0))&gt;0, -(22*INDEX('UZ-normalized'!$D:$D, MATCH($A132, 'UZ-normalized'!$A:$A, 0))-INDEX('UZ-normalized'!$E:$E, MATCH($A132, 'UZ-normalized'!$A:$A, 0))), 0), 0)))</f>
        <v>0</v>
      </c>
      <c r="AK132" s="6">
        <f>MIN(0, N132+(IFERROR(IF(23*INDEX('UA-normalized'!$D:$D, MATCH($A132, 'UA-normalized'!$A:$A, 0))-INDEX('UA-normalized'!$E:$E, MATCH($A132, 'UA-normalized'!$A:$A, 0))&gt;0, -(23*INDEX('UA-normalized'!$D:$D, MATCH($A132, 'UA-normalized'!$A:$A, 0))-INDEX('UA-normalized'!$E:$E, MATCH($A132, 'UA-normalized'!$A:$A, 0))), 0), 0))+(IFERROR(IF(23*INDEX('KZ-normalized'!$D:$D, MATCH($A132, 'KZ-normalized'!$A:$A, 0))-INDEX('KZ-normalized'!$E:$E, MATCH($A132, 'KZ-normalized'!$A:$A, 0))&gt;0, -(23*INDEX('KZ-normalized'!$D:$D, MATCH($A132, 'KZ-normalized'!$A:$A, 0))-INDEX('KZ-normalized'!$E:$E, MATCH($A132, 'KZ-normalized'!$A:$A, 0))), 0), 0))+(IFERROR(IF(23*INDEX('UZ-normalized'!$D:$D, MATCH($A132, 'UZ-normalized'!$A:$A, 0))-INDEX('UZ-normalized'!$E:$E, MATCH($A132, 'UZ-normalized'!$A:$A, 0))&gt;0, -(23*INDEX('UZ-normalized'!$D:$D, MATCH($A132, 'UZ-normalized'!$A:$A, 0))-INDEX('UZ-normalized'!$E:$E, MATCH($A132, 'UZ-normalized'!$A:$A, 0))), 0), 0)))</f>
        <v>0</v>
      </c>
      <c r="AL132" s="6">
        <f>MIN(0, N132+(IFERROR(IF(24*INDEX('UA-normalized'!$D:$D, MATCH($A132, 'UA-normalized'!$A:$A, 0))-INDEX('UA-normalized'!$E:$E, MATCH($A132, 'UA-normalized'!$A:$A, 0))&gt;0, -(24*INDEX('UA-normalized'!$D:$D, MATCH($A132, 'UA-normalized'!$A:$A, 0))-INDEX('UA-normalized'!$E:$E, MATCH($A132, 'UA-normalized'!$A:$A, 0))), 0), 0))+(IFERROR(IF(24*INDEX('KZ-normalized'!$D:$D, MATCH($A132, 'KZ-normalized'!$A:$A, 0))-INDEX('KZ-normalized'!$E:$E, MATCH($A132, 'KZ-normalized'!$A:$A, 0))&gt;0, -(24*INDEX('KZ-normalized'!$D:$D, MATCH($A132, 'KZ-normalized'!$A:$A, 0))-INDEX('KZ-normalized'!$E:$E, MATCH($A132, 'KZ-normalized'!$A:$A, 0))), 0), 0))+(IFERROR(IF(24*INDEX('UZ-normalized'!$D:$D, MATCH($A132, 'UZ-normalized'!$A:$A, 0))-INDEX('UZ-normalized'!$E:$E, MATCH($A132, 'UZ-normalized'!$A:$A, 0))&gt;0, -(24*INDEX('UZ-normalized'!$D:$D, MATCH($A132, 'UZ-normalized'!$A:$A, 0))-INDEX('UZ-normalized'!$E:$E, MATCH($A132, 'UZ-normalized'!$A:$A, 0))), 0), 0)))</f>
        <v>0</v>
      </c>
      <c r="AM132" s="6">
        <f>MIN(0, N132+(IFERROR(IF(25*INDEX('UA-normalized'!$D:$D, MATCH($A132, 'UA-normalized'!$A:$A, 0))-INDEX('UA-normalized'!$E:$E, MATCH($A132, 'UA-normalized'!$A:$A, 0))&gt;0, -(25*INDEX('UA-normalized'!$D:$D, MATCH($A132, 'UA-normalized'!$A:$A, 0))-INDEX('UA-normalized'!$E:$E, MATCH($A132, 'UA-normalized'!$A:$A, 0))), 0), 0))+(IFERROR(IF(25*INDEX('KZ-normalized'!$D:$D, MATCH($A132, 'KZ-normalized'!$A:$A, 0))-INDEX('KZ-normalized'!$E:$E, MATCH($A132, 'KZ-normalized'!$A:$A, 0))&gt;0, -(25*INDEX('KZ-normalized'!$D:$D, MATCH($A132, 'KZ-normalized'!$A:$A, 0))-INDEX('KZ-normalized'!$E:$E, MATCH($A132, 'KZ-normalized'!$A:$A, 0))), 0), 0))+(IFERROR(IF(25*INDEX('UZ-normalized'!$D:$D, MATCH($A132, 'UZ-normalized'!$A:$A, 0))-INDEX('UZ-normalized'!$E:$E, MATCH($A132, 'UZ-normalized'!$A:$A, 0))&gt;0, -(25*INDEX('UZ-normalized'!$D:$D, MATCH($A132, 'UZ-normalized'!$A:$A, 0))-INDEX('UZ-normalized'!$E:$E, MATCH($A132, 'UZ-normalized'!$A:$A, 0))), 0), 0)))</f>
        <v>0</v>
      </c>
      <c r="AN132" s="6">
        <f>MIN(0, N132+(IFERROR(IF(26*INDEX('UA-normalized'!$D:$D, MATCH($A132, 'UA-normalized'!$A:$A, 0))-INDEX('UA-normalized'!$E:$E, MATCH($A132, 'UA-normalized'!$A:$A, 0))&gt;0, -(26*INDEX('UA-normalized'!$D:$D, MATCH($A132, 'UA-normalized'!$A:$A, 0))-INDEX('UA-normalized'!$E:$E, MATCH($A132, 'UA-normalized'!$A:$A, 0))), 0), 0))+(IFERROR(IF(26*INDEX('KZ-normalized'!$D:$D, MATCH($A132, 'KZ-normalized'!$A:$A, 0))-INDEX('KZ-normalized'!$E:$E, MATCH($A132, 'KZ-normalized'!$A:$A, 0))&gt;0, -(26*INDEX('KZ-normalized'!$D:$D, MATCH($A132, 'KZ-normalized'!$A:$A, 0))-INDEX('KZ-normalized'!$E:$E, MATCH($A132, 'KZ-normalized'!$A:$A, 0))), 0), 0))+(IFERROR(IF(26*INDEX('UZ-normalized'!$D:$D, MATCH($A132, 'UZ-normalized'!$A:$A, 0))-INDEX('UZ-normalized'!$E:$E, MATCH($A132, 'UZ-normalized'!$A:$A, 0))&gt;0, -(26*INDEX('UZ-normalized'!$D:$D, MATCH($A132, 'UZ-normalized'!$A:$A, 0))-INDEX('UZ-normalized'!$E:$E, MATCH($A132, 'UZ-normalized'!$A:$A, 0))), 0), 0)))</f>
        <v>0</v>
      </c>
      <c r="AO132" s="6">
        <f>MIN(0, N132+(IFERROR(IF(27*INDEX('UA-normalized'!$D:$D, MATCH($A132, 'UA-normalized'!$A:$A, 0))-INDEX('UA-normalized'!$E:$E, MATCH($A132, 'UA-normalized'!$A:$A, 0))&gt;0, -(27*INDEX('UA-normalized'!$D:$D, MATCH($A132, 'UA-normalized'!$A:$A, 0))-INDEX('UA-normalized'!$E:$E, MATCH($A132, 'UA-normalized'!$A:$A, 0))), 0), 0))+(IFERROR(IF(27*INDEX('KZ-normalized'!$D:$D, MATCH($A132, 'KZ-normalized'!$A:$A, 0))-INDEX('KZ-normalized'!$E:$E, MATCH($A132, 'KZ-normalized'!$A:$A, 0))&gt;0, -(27*INDEX('KZ-normalized'!$D:$D, MATCH($A132, 'KZ-normalized'!$A:$A, 0))-INDEX('KZ-normalized'!$E:$E, MATCH($A132, 'KZ-normalized'!$A:$A, 0))), 0), 0))+(IFERROR(IF(27*INDEX('UZ-normalized'!$D:$D, MATCH($A132, 'UZ-normalized'!$A:$A, 0))-INDEX('UZ-normalized'!$E:$E, MATCH($A132, 'UZ-normalized'!$A:$A, 0))&gt;0, -(27*INDEX('UZ-normalized'!$D:$D, MATCH($A132, 'UZ-normalized'!$A:$A, 0))-INDEX('UZ-normalized'!$E:$E, MATCH($A132, 'UZ-normalized'!$A:$A, 0))), 0), 0)))</f>
        <v>0</v>
      </c>
      <c r="AP132" s="6">
        <f>MIN(0, N132+(IFERROR(IF(28*INDEX('UA-normalized'!$D:$D, MATCH($A132, 'UA-normalized'!$A:$A, 0))-INDEX('UA-normalized'!$E:$E, MATCH($A132, 'UA-normalized'!$A:$A, 0))&gt;0, -(28*INDEX('UA-normalized'!$D:$D, MATCH($A132, 'UA-normalized'!$A:$A, 0))-INDEX('UA-normalized'!$E:$E, MATCH($A132, 'UA-normalized'!$A:$A, 0))), 0), 0))+(IFERROR(IF(28*INDEX('KZ-normalized'!$D:$D, MATCH($A132, 'KZ-normalized'!$A:$A, 0))-INDEX('KZ-normalized'!$E:$E, MATCH($A132, 'KZ-normalized'!$A:$A, 0))&gt;0, -(28*INDEX('KZ-normalized'!$D:$D, MATCH($A132, 'KZ-normalized'!$A:$A, 0))-INDEX('KZ-normalized'!$E:$E, MATCH($A132, 'KZ-normalized'!$A:$A, 0))), 0), 0))+(IFERROR(IF(28*INDEX('UZ-normalized'!$D:$D, MATCH($A132, 'UZ-normalized'!$A:$A, 0))-INDEX('UZ-normalized'!$E:$E, MATCH($A132, 'UZ-normalized'!$A:$A, 0))&gt;0, -(28*INDEX('UZ-normalized'!$D:$D, MATCH($A132, 'UZ-normalized'!$A:$A, 0))-INDEX('UZ-normalized'!$E:$E, MATCH($A132, 'UZ-normalized'!$A:$A, 0))), 0), 0)))</f>
        <v>0</v>
      </c>
      <c r="AQ132" s="6">
        <f>MIN(0, N132+(IFERROR(IF(29*INDEX('UA-normalized'!$D:$D, MATCH($A132, 'UA-normalized'!$A:$A, 0))-INDEX('UA-normalized'!$E:$E, MATCH($A132, 'UA-normalized'!$A:$A, 0))&gt;0, -(29*INDEX('UA-normalized'!$D:$D, MATCH($A132, 'UA-normalized'!$A:$A, 0))-INDEX('UA-normalized'!$E:$E, MATCH($A132, 'UA-normalized'!$A:$A, 0))), 0), 0))+(IFERROR(IF(29*INDEX('KZ-normalized'!$D:$D, MATCH($A132, 'KZ-normalized'!$A:$A, 0))-INDEX('KZ-normalized'!$E:$E, MATCH($A132, 'KZ-normalized'!$A:$A, 0))&gt;0, -(29*INDEX('KZ-normalized'!$D:$D, MATCH($A132, 'KZ-normalized'!$A:$A, 0))-INDEX('KZ-normalized'!$E:$E, MATCH($A132, 'KZ-normalized'!$A:$A, 0))), 0), 0))+(IFERROR(IF(29*INDEX('UZ-normalized'!$D:$D, MATCH($A132, 'UZ-normalized'!$A:$A, 0))-INDEX('UZ-normalized'!$E:$E, MATCH($A132, 'UZ-normalized'!$A:$A, 0))&gt;0, -(29*INDEX('UZ-normalized'!$D:$D, MATCH($A132, 'UZ-normalized'!$A:$A, 0))-INDEX('UZ-normalized'!$E:$E, MATCH($A132, 'UZ-normalized'!$A:$A, 0))), 0), 0)))</f>
        <v>0</v>
      </c>
      <c r="AR132" s="6">
        <f>MIN(0, N132+(IFERROR(IF(30*INDEX('UA-normalized'!$D:$D, MATCH($A132, 'UA-normalized'!$A:$A, 0))-INDEX('UA-normalized'!$E:$E, MATCH($A132, 'UA-normalized'!$A:$A, 0))&gt;0, -(30*INDEX('UA-normalized'!$D:$D, MATCH($A132, 'UA-normalized'!$A:$A, 0))-INDEX('UA-normalized'!$E:$E, MATCH($A132, 'UA-normalized'!$A:$A, 0))), 0), 0))+(IFERROR(IF(30*INDEX('KZ-normalized'!$D:$D, MATCH($A132, 'KZ-normalized'!$A:$A, 0))-INDEX('KZ-normalized'!$E:$E, MATCH($A132, 'KZ-normalized'!$A:$A, 0))&gt;0, -(30*INDEX('KZ-normalized'!$D:$D, MATCH($A132, 'KZ-normalized'!$A:$A, 0))-INDEX('KZ-normalized'!$E:$E, MATCH($A132, 'KZ-normalized'!$A:$A, 0))), 0), 0))+(IFERROR(IF(30*INDEX('UZ-normalized'!$D:$D, MATCH($A132, 'UZ-normalized'!$A:$A, 0))-INDEX('UZ-normalized'!$E:$E, MATCH($A132, 'UZ-normalized'!$A:$A, 0))&gt;0, -(30*INDEX('UZ-normalized'!$D:$D, MATCH($A132, 'UZ-normalized'!$A:$A, 0))-INDEX('UZ-normalized'!$E:$E, MATCH($A132, 'UZ-normalized'!$A:$A, 0))), 0), 0)))</f>
        <v>0</v>
      </c>
    </row>
    <row r="133" spans="1:44" x14ac:dyDescent="0.25">
      <c r="A133" s="8" t="s">
        <v>323</v>
      </c>
      <c r="B133" s="8" t="s">
        <v>317</v>
      </c>
      <c r="C133" s="8" t="s">
        <v>318</v>
      </c>
      <c r="D133" s="8" t="s">
        <v>322</v>
      </c>
      <c r="N133">
        <f t="shared" si="2"/>
        <v>0</v>
      </c>
      <c r="O133" s="6">
        <f>MIN(0, N133+(IFERROR(IF(1*INDEX('UA-normalized'!$D:$D, MATCH($A133, 'UA-normalized'!$A:$A, 0))-INDEX('UA-normalized'!$E:$E, MATCH($A133, 'UA-normalized'!$A:$A, 0))&gt;0, -(1*INDEX('UA-normalized'!$D:$D, MATCH($A133, 'UA-normalized'!$A:$A, 0))-INDEX('UA-normalized'!$E:$E, MATCH($A133, 'UA-normalized'!$A:$A, 0))), 0), 0))+(IFERROR(IF(1*INDEX('KZ-normalized'!$D:$D, MATCH($A133, 'KZ-normalized'!$A:$A, 0))-INDEX('KZ-normalized'!$E:$E, MATCH($A133, 'KZ-normalized'!$A:$A, 0))&gt;0, -(1*INDEX('KZ-normalized'!$D:$D, MATCH($A133, 'KZ-normalized'!$A:$A, 0))-INDEX('KZ-normalized'!$E:$E, MATCH($A133, 'KZ-normalized'!$A:$A, 0))), 0), 0))+(IFERROR(IF(1*INDEX('UZ-normalized'!$D:$D, MATCH($A133, 'UZ-normalized'!$A:$A, 0))-INDEX('UZ-normalized'!$E:$E, MATCH($A133, 'UZ-normalized'!$A:$A, 0))&gt;0, -(1*INDEX('UZ-normalized'!$D:$D, MATCH($A133, 'UZ-normalized'!$A:$A, 0))-INDEX('UZ-normalized'!$E:$E, MATCH($A133, 'UZ-normalized'!$A:$A, 0))), 0), 0)))</f>
        <v>0</v>
      </c>
      <c r="P133" s="6">
        <f>MIN(0, N133+(IFERROR(IF(2*INDEX('UA-normalized'!$D:$D, MATCH($A133, 'UA-normalized'!$A:$A, 0))-INDEX('UA-normalized'!$E:$E, MATCH($A133, 'UA-normalized'!$A:$A, 0))&gt;0, -(2*INDEX('UA-normalized'!$D:$D, MATCH($A133, 'UA-normalized'!$A:$A, 0))-INDEX('UA-normalized'!$E:$E, MATCH($A133, 'UA-normalized'!$A:$A, 0))), 0), 0))+(IFERROR(IF(2*INDEX('KZ-normalized'!$D:$D, MATCH($A133, 'KZ-normalized'!$A:$A, 0))-INDEX('KZ-normalized'!$E:$E, MATCH($A133, 'KZ-normalized'!$A:$A, 0))&gt;0, -(2*INDEX('KZ-normalized'!$D:$D, MATCH($A133, 'KZ-normalized'!$A:$A, 0))-INDEX('KZ-normalized'!$E:$E, MATCH($A133, 'KZ-normalized'!$A:$A, 0))), 0), 0))+(IFERROR(IF(2*INDEX('UZ-normalized'!$D:$D, MATCH($A133, 'UZ-normalized'!$A:$A, 0))-INDEX('UZ-normalized'!$E:$E, MATCH($A133, 'UZ-normalized'!$A:$A, 0))&gt;0, -(2*INDEX('UZ-normalized'!$D:$D, MATCH($A133, 'UZ-normalized'!$A:$A, 0))-INDEX('UZ-normalized'!$E:$E, MATCH($A133, 'UZ-normalized'!$A:$A, 0))), 0), 0)))</f>
        <v>0</v>
      </c>
      <c r="Q133" s="6">
        <f>MIN(0, N133+(IFERROR(IF(3*INDEX('UA-normalized'!$D:$D, MATCH($A133, 'UA-normalized'!$A:$A, 0))-INDEX('UA-normalized'!$E:$E, MATCH($A133, 'UA-normalized'!$A:$A, 0))&gt;0, -(3*INDEX('UA-normalized'!$D:$D, MATCH($A133, 'UA-normalized'!$A:$A, 0))-INDEX('UA-normalized'!$E:$E, MATCH($A133, 'UA-normalized'!$A:$A, 0))), 0), 0))+(IFERROR(IF(3*INDEX('KZ-normalized'!$D:$D, MATCH($A133, 'KZ-normalized'!$A:$A, 0))-INDEX('KZ-normalized'!$E:$E, MATCH($A133, 'KZ-normalized'!$A:$A, 0))&gt;0, -(3*INDEX('KZ-normalized'!$D:$D, MATCH($A133, 'KZ-normalized'!$A:$A, 0))-INDEX('KZ-normalized'!$E:$E, MATCH($A133, 'KZ-normalized'!$A:$A, 0))), 0), 0))+(IFERROR(IF(3*INDEX('UZ-normalized'!$D:$D, MATCH($A133, 'UZ-normalized'!$A:$A, 0))-INDEX('UZ-normalized'!$E:$E, MATCH($A133, 'UZ-normalized'!$A:$A, 0))&gt;0, -(3*INDEX('UZ-normalized'!$D:$D, MATCH($A133, 'UZ-normalized'!$A:$A, 0))-INDEX('UZ-normalized'!$E:$E, MATCH($A133, 'UZ-normalized'!$A:$A, 0))), 0), 0)))</f>
        <v>0</v>
      </c>
      <c r="R133" s="6">
        <f>MIN(0, N133+(IFERROR(IF(4*INDEX('UA-normalized'!$D:$D, MATCH($A133, 'UA-normalized'!$A:$A, 0))-INDEX('UA-normalized'!$E:$E, MATCH($A133, 'UA-normalized'!$A:$A, 0))&gt;0, -(4*INDEX('UA-normalized'!$D:$D, MATCH($A133, 'UA-normalized'!$A:$A, 0))-INDEX('UA-normalized'!$E:$E, MATCH($A133, 'UA-normalized'!$A:$A, 0))), 0), 0))+(IFERROR(IF(4*INDEX('KZ-normalized'!$D:$D, MATCH($A133, 'KZ-normalized'!$A:$A, 0))-INDEX('KZ-normalized'!$E:$E, MATCH($A133, 'KZ-normalized'!$A:$A, 0))&gt;0, -(4*INDEX('KZ-normalized'!$D:$D, MATCH($A133, 'KZ-normalized'!$A:$A, 0))-INDEX('KZ-normalized'!$E:$E, MATCH($A133, 'KZ-normalized'!$A:$A, 0))), 0), 0))+(IFERROR(IF(4*INDEX('UZ-normalized'!$D:$D, MATCH($A133, 'UZ-normalized'!$A:$A, 0))-INDEX('UZ-normalized'!$E:$E, MATCH($A133, 'UZ-normalized'!$A:$A, 0))&gt;0, -(4*INDEX('UZ-normalized'!$D:$D, MATCH($A133, 'UZ-normalized'!$A:$A, 0))-INDEX('UZ-normalized'!$E:$E, MATCH($A133, 'UZ-normalized'!$A:$A, 0))), 0), 0)))</f>
        <v>0</v>
      </c>
      <c r="S133" s="6">
        <f>MIN(0, N133+(IFERROR(IF(5*INDEX('UA-normalized'!$D:$D, MATCH($A133, 'UA-normalized'!$A:$A, 0))-INDEX('UA-normalized'!$E:$E, MATCH($A133, 'UA-normalized'!$A:$A, 0))&gt;0, -(5*INDEX('UA-normalized'!$D:$D, MATCH($A133, 'UA-normalized'!$A:$A, 0))-INDEX('UA-normalized'!$E:$E, MATCH($A133, 'UA-normalized'!$A:$A, 0))), 0), 0))+(IFERROR(IF(5*INDEX('KZ-normalized'!$D:$D, MATCH($A133, 'KZ-normalized'!$A:$A, 0))-INDEX('KZ-normalized'!$E:$E, MATCH($A133, 'KZ-normalized'!$A:$A, 0))&gt;0, -(5*INDEX('KZ-normalized'!$D:$D, MATCH($A133, 'KZ-normalized'!$A:$A, 0))-INDEX('KZ-normalized'!$E:$E, MATCH($A133, 'KZ-normalized'!$A:$A, 0))), 0), 0))+(IFERROR(IF(5*INDEX('UZ-normalized'!$D:$D, MATCH($A133, 'UZ-normalized'!$A:$A, 0))-INDEX('UZ-normalized'!$E:$E, MATCH($A133, 'UZ-normalized'!$A:$A, 0))&gt;0, -(5*INDEX('UZ-normalized'!$D:$D, MATCH($A133, 'UZ-normalized'!$A:$A, 0))-INDEX('UZ-normalized'!$E:$E, MATCH($A133, 'UZ-normalized'!$A:$A, 0))), 0), 0)))</f>
        <v>0</v>
      </c>
      <c r="T133" s="6">
        <f>MIN(0, N133+(IFERROR(IF(6*INDEX('UA-normalized'!$D:$D, MATCH($A133, 'UA-normalized'!$A:$A, 0))-INDEX('UA-normalized'!$E:$E, MATCH($A133, 'UA-normalized'!$A:$A, 0))&gt;0, -(6*INDEX('UA-normalized'!$D:$D, MATCH($A133, 'UA-normalized'!$A:$A, 0))-INDEX('UA-normalized'!$E:$E, MATCH($A133, 'UA-normalized'!$A:$A, 0))), 0), 0))+(IFERROR(IF(6*INDEX('KZ-normalized'!$D:$D, MATCH($A133, 'KZ-normalized'!$A:$A, 0))-INDEX('KZ-normalized'!$E:$E, MATCH($A133, 'KZ-normalized'!$A:$A, 0))&gt;0, -(6*INDEX('KZ-normalized'!$D:$D, MATCH($A133, 'KZ-normalized'!$A:$A, 0))-INDEX('KZ-normalized'!$E:$E, MATCH($A133, 'KZ-normalized'!$A:$A, 0))), 0), 0))+(IFERROR(IF(6*INDEX('UZ-normalized'!$D:$D, MATCH($A133, 'UZ-normalized'!$A:$A, 0))-INDEX('UZ-normalized'!$E:$E, MATCH($A133, 'UZ-normalized'!$A:$A, 0))&gt;0, -(6*INDEX('UZ-normalized'!$D:$D, MATCH($A133, 'UZ-normalized'!$A:$A, 0))-INDEX('UZ-normalized'!$E:$E, MATCH($A133, 'UZ-normalized'!$A:$A, 0))), 0), 0)))</f>
        <v>0</v>
      </c>
      <c r="U133" s="6">
        <f>MIN(0, N133+(IFERROR(IF(7*INDEX('UA-normalized'!$D:$D, MATCH($A133, 'UA-normalized'!$A:$A, 0))-INDEX('UA-normalized'!$E:$E, MATCH($A133, 'UA-normalized'!$A:$A, 0))&gt;0, -(7*INDEX('UA-normalized'!$D:$D, MATCH($A133, 'UA-normalized'!$A:$A, 0))-INDEX('UA-normalized'!$E:$E, MATCH($A133, 'UA-normalized'!$A:$A, 0))), 0), 0))+(IFERROR(IF(7*INDEX('KZ-normalized'!$D:$D, MATCH($A133, 'KZ-normalized'!$A:$A, 0))-INDEX('KZ-normalized'!$E:$E, MATCH($A133, 'KZ-normalized'!$A:$A, 0))&gt;0, -(7*INDEX('KZ-normalized'!$D:$D, MATCH($A133, 'KZ-normalized'!$A:$A, 0))-INDEX('KZ-normalized'!$E:$E, MATCH($A133, 'KZ-normalized'!$A:$A, 0))), 0), 0))+(IFERROR(IF(7*INDEX('UZ-normalized'!$D:$D, MATCH($A133, 'UZ-normalized'!$A:$A, 0))-INDEX('UZ-normalized'!$E:$E, MATCH($A133, 'UZ-normalized'!$A:$A, 0))&gt;0, -(7*INDEX('UZ-normalized'!$D:$D, MATCH($A133, 'UZ-normalized'!$A:$A, 0))-INDEX('UZ-normalized'!$E:$E, MATCH($A133, 'UZ-normalized'!$A:$A, 0))), 0), 0)))</f>
        <v>0</v>
      </c>
      <c r="V133" s="6">
        <f>MIN(0, N133+(IFERROR(IF(8*INDEX('UA-normalized'!$D:$D, MATCH($A133, 'UA-normalized'!$A:$A, 0))-INDEX('UA-normalized'!$E:$E, MATCH($A133, 'UA-normalized'!$A:$A, 0))&gt;0, -(8*INDEX('UA-normalized'!$D:$D, MATCH($A133, 'UA-normalized'!$A:$A, 0))-INDEX('UA-normalized'!$E:$E, MATCH($A133, 'UA-normalized'!$A:$A, 0))), 0), 0))+(IFERROR(IF(8*INDEX('KZ-normalized'!$D:$D, MATCH($A133, 'KZ-normalized'!$A:$A, 0))-INDEX('KZ-normalized'!$E:$E, MATCH($A133, 'KZ-normalized'!$A:$A, 0))&gt;0, -(8*INDEX('KZ-normalized'!$D:$D, MATCH($A133, 'KZ-normalized'!$A:$A, 0))-INDEX('KZ-normalized'!$E:$E, MATCH($A133, 'KZ-normalized'!$A:$A, 0))), 0), 0))+(IFERROR(IF(8*INDEX('UZ-normalized'!$D:$D, MATCH($A133, 'UZ-normalized'!$A:$A, 0))-INDEX('UZ-normalized'!$E:$E, MATCH($A133, 'UZ-normalized'!$A:$A, 0))&gt;0, -(8*INDEX('UZ-normalized'!$D:$D, MATCH($A133, 'UZ-normalized'!$A:$A, 0))-INDEX('UZ-normalized'!$E:$E, MATCH($A133, 'UZ-normalized'!$A:$A, 0))), 0), 0)))</f>
        <v>0</v>
      </c>
      <c r="W133" s="6">
        <f>MIN(0, N133+(IFERROR(IF(9*INDEX('UA-normalized'!$D:$D, MATCH($A133, 'UA-normalized'!$A:$A, 0))-INDEX('UA-normalized'!$E:$E, MATCH($A133, 'UA-normalized'!$A:$A, 0))&gt;0, -(9*INDEX('UA-normalized'!$D:$D, MATCH($A133, 'UA-normalized'!$A:$A, 0))-INDEX('UA-normalized'!$E:$E, MATCH($A133, 'UA-normalized'!$A:$A, 0))), 0), 0))+(IFERROR(IF(9*INDEX('KZ-normalized'!$D:$D, MATCH($A133, 'KZ-normalized'!$A:$A, 0))-INDEX('KZ-normalized'!$E:$E, MATCH($A133, 'KZ-normalized'!$A:$A, 0))&gt;0, -(9*INDEX('KZ-normalized'!$D:$D, MATCH($A133, 'KZ-normalized'!$A:$A, 0))-INDEX('KZ-normalized'!$E:$E, MATCH($A133, 'KZ-normalized'!$A:$A, 0))), 0), 0))+(IFERROR(IF(9*INDEX('UZ-normalized'!$D:$D, MATCH($A133, 'UZ-normalized'!$A:$A, 0))-INDEX('UZ-normalized'!$E:$E, MATCH($A133, 'UZ-normalized'!$A:$A, 0))&gt;0, -(9*INDEX('UZ-normalized'!$D:$D, MATCH($A133, 'UZ-normalized'!$A:$A, 0))-INDEX('UZ-normalized'!$E:$E, MATCH($A133, 'UZ-normalized'!$A:$A, 0))), 0), 0)))</f>
        <v>0</v>
      </c>
      <c r="X133" s="6">
        <f>MIN(0, N133+(IFERROR(IF(10*INDEX('UA-normalized'!$D:$D, MATCH($A133, 'UA-normalized'!$A:$A, 0))-INDEX('UA-normalized'!$E:$E, MATCH($A133, 'UA-normalized'!$A:$A, 0))&gt;0, -(10*INDEX('UA-normalized'!$D:$D, MATCH($A133, 'UA-normalized'!$A:$A, 0))-INDEX('UA-normalized'!$E:$E, MATCH($A133, 'UA-normalized'!$A:$A, 0))), 0), 0))+(IFERROR(IF(10*INDEX('KZ-normalized'!$D:$D, MATCH($A133, 'KZ-normalized'!$A:$A, 0))-INDEX('KZ-normalized'!$E:$E, MATCH($A133, 'KZ-normalized'!$A:$A, 0))&gt;0, -(10*INDEX('KZ-normalized'!$D:$D, MATCH($A133, 'KZ-normalized'!$A:$A, 0))-INDEX('KZ-normalized'!$E:$E, MATCH($A133, 'KZ-normalized'!$A:$A, 0))), 0), 0))+(IFERROR(IF(10*INDEX('UZ-normalized'!$D:$D, MATCH($A133, 'UZ-normalized'!$A:$A, 0))-INDEX('UZ-normalized'!$E:$E, MATCH($A133, 'UZ-normalized'!$A:$A, 0))&gt;0, -(10*INDEX('UZ-normalized'!$D:$D, MATCH($A133, 'UZ-normalized'!$A:$A, 0))-INDEX('UZ-normalized'!$E:$E, MATCH($A133, 'UZ-normalized'!$A:$A, 0))), 0), 0)))</f>
        <v>0</v>
      </c>
      <c r="Y133" s="6">
        <f>MIN(0, N133+(IFERROR(IF(11*INDEX('UA-normalized'!$D:$D, MATCH($A133, 'UA-normalized'!$A:$A, 0))-INDEX('UA-normalized'!$E:$E, MATCH($A133, 'UA-normalized'!$A:$A, 0))&gt;0, -(11*INDEX('UA-normalized'!$D:$D, MATCH($A133, 'UA-normalized'!$A:$A, 0))-INDEX('UA-normalized'!$E:$E, MATCH($A133, 'UA-normalized'!$A:$A, 0))), 0), 0))+(IFERROR(IF(11*INDEX('KZ-normalized'!$D:$D, MATCH($A133, 'KZ-normalized'!$A:$A, 0))-INDEX('KZ-normalized'!$E:$E, MATCH($A133, 'KZ-normalized'!$A:$A, 0))&gt;0, -(11*INDEX('KZ-normalized'!$D:$D, MATCH($A133, 'KZ-normalized'!$A:$A, 0))-INDEX('KZ-normalized'!$E:$E, MATCH($A133, 'KZ-normalized'!$A:$A, 0))), 0), 0))+(IFERROR(IF(11*INDEX('UZ-normalized'!$D:$D, MATCH($A133, 'UZ-normalized'!$A:$A, 0))-INDEX('UZ-normalized'!$E:$E, MATCH($A133, 'UZ-normalized'!$A:$A, 0))&gt;0, -(11*INDEX('UZ-normalized'!$D:$D, MATCH($A133, 'UZ-normalized'!$A:$A, 0))-INDEX('UZ-normalized'!$E:$E, MATCH($A133, 'UZ-normalized'!$A:$A, 0))), 0), 0)))</f>
        <v>0</v>
      </c>
      <c r="Z133" s="6">
        <f>MIN(0, N133+(IFERROR(IF(12*INDEX('UA-normalized'!$D:$D, MATCH($A133, 'UA-normalized'!$A:$A, 0))-INDEX('UA-normalized'!$E:$E, MATCH($A133, 'UA-normalized'!$A:$A, 0))&gt;0, -(12*INDEX('UA-normalized'!$D:$D, MATCH($A133, 'UA-normalized'!$A:$A, 0))-INDEX('UA-normalized'!$E:$E, MATCH($A133, 'UA-normalized'!$A:$A, 0))), 0), 0))+(IFERROR(IF(12*INDEX('KZ-normalized'!$D:$D, MATCH($A133, 'KZ-normalized'!$A:$A, 0))-INDEX('KZ-normalized'!$E:$E, MATCH($A133, 'KZ-normalized'!$A:$A, 0))&gt;0, -(12*INDEX('KZ-normalized'!$D:$D, MATCH($A133, 'KZ-normalized'!$A:$A, 0))-INDEX('KZ-normalized'!$E:$E, MATCH($A133, 'KZ-normalized'!$A:$A, 0))), 0), 0))+(IFERROR(IF(12*INDEX('UZ-normalized'!$D:$D, MATCH($A133, 'UZ-normalized'!$A:$A, 0))-INDEX('UZ-normalized'!$E:$E, MATCH($A133, 'UZ-normalized'!$A:$A, 0))&gt;0, -(12*INDEX('UZ-normalized'!$D:$D, MATCH($A133, 'UZ-normalized'!$A:$A, 0))-INDEX('UZ-normalized'!$E:$E, MATCH($A133, 'UZ-normalized'!$A:$A, 0))), 0), 0)))</f>
        <v>0</v>
      </c>
      <c r="AA133" s="6">
        <f>MIN(0, N133+(IFERROR(IF(13*INDEX('UA-normalized'!$D:$D, MATCH($A133, 'UA-normalized'!$A:$A, 0))-INDEX('UA-normalized'!$E:$E, MATCH($A133, 'UA-normalized'!$A:$A, 0))&gt;0, -(13*INDEX('UA-normalized'!$D:$D, MATCH($A133, 'UA-normalized'!$A:$A, 0))-INDEX('UA-normalized'!$E:$E, MATCH($A133, 'UA-normalized'!$A:$A, 0))), 0), 0))+(IFERROR(IF(13*INDEX('KZ-normalized'!$D:$D, MATCH($A133, 'KZ-normalized'!$A:$A, 0))-INDEX('KZ-normalized'!$E:$E, MATCH($A133, 'KZ-normalized'!$A:$A, 0))&gt;0, -(13*INDEX('KZ-normalized'!$D:$D, MATCH($A133, 'KZ-normalized'!$A:$A, 0))-INDEX('KZ-normalized'!$E:$E, MATCH($A133, 'KZ-normalized'!$A:$A, 0))), 0), 0))+(IFERROR(IF(13*INDEX('UZ-normalized'!$D:$D, MATCH($A133, 'UZ-normalized'!$A:$A, 0))-INDEX('UZ-normalized'!$E:$E, MATCH($A133, 'UZ-normalized'!$A:$A, 0))&gt;0, -(13*INDEX('UZ-normalized'!$D:$D, MATCH($A133, 'UZ-normalized'!$A:$A, 0))-INDEX('UZ-normalized'!$E:$E, MATCH($A133, 'UZ-normalized'!$A:$A, 0))), 0), 0)))</f>
        <v>0</v>
      </c>
      <c r="AB133" s="6">
        <f>MIN(0, N133+(IFERROR(IF(14*INDEX('UA-normalized'!$D:$D, MATCH($A133, 'UA-normalized'!$A:$A, 0))-INDEX('UA-normalized'!$E:$E, MATCH($A133, 'UA-normalized'!$A:$A, 0))&gt;0, -(14*INDEX('UA-normalized'!$D:$D, MATCH($A133, 'UA-normalized'!$A:$A, 0))-INDEX('UA-normalized'!$E:$E, MATCH($A133, 'UA-normalized'!$A:$A, 0))), 0), 0))+(IFERROR(IF(14*INDEX('KZ-normalized'!$D:$D, MATCH($A133, 'KZ-normalized'!$A:$A, 0))-INDEX('KZ-normalized'!$E:$E, MATCH($A133, 'KZ-normalized'!$A:$A, 0))&gt;0, -(14*INDEX('KZ-normalized'!$D:$D, MATCH($A133, 'KZ-normalized'!$A:$A, 0))-INDEX('KZ-normalized'!$E:$E, MATCH($A133, 'KZ-normalized'!$A:$A, 0))), 0), 0))+(IFERROR(IF(14*INDEX('UZ-normalized'!$D:$D, MATCH($A133, 'UZ-normalized'!$A:$A, 0))-INDEX('UZ-normalized'!$E:$E, MATCH($A133, 'UZ-normalized'!$A:$A, 0))&gt;0, -(14*INDEX('UZ-normalized'!$D:$D, MATCH($A133, 'UZ-normalized'!$A:$A, 0))-INDEX('UZ-normalized'!$E:$E, MATCH($A133, 'UZ-normalized'!$A:$A, 0))), 0), 0)))</f>
        <v>0</v>
      </c>
      <c r="AC133" s="6">
        <f>MIN(0, N133+(IFERROR(IF(15*INDEX('UA-normalized'!$D:$D, MATCH($A133, 'UA-normalized'!$A:$A, 0))-INDEX('UA-normalized'!$E:$E, MATCH($A133, 'UA-normalized'!$A:$A, 0))&gt;0, -(15*INDEX('UA-normalized'!$D:$D, MATCH($A133, 'UA-normalized'!$A:$A, 0))-INDEX('UA-normalized'!$E:$E, MATCH($A133, 'UA-normalized'!$A:$A, 0))), 0), 0))+(IFERROR(IF(15*INDEX('KZ-normalized'!$D:$D, MATCH($A133, 'KZ-normalized'!$A:$A, 0))-INDEX('KZ-normalized'!$E:$E, MATCH($A133, 'KZ-normalized'!$A:$A, 0))&gt;0, -(15*INDEX('KZ-normalized'!$D:$D, MATCH($A133, 'KZ-normalized'!$A:$A, 0))-INDEX('KZ-normalized'!$E:$E, MATCH($A133, 'KZ-normalized'!$A:$A, 0))), 0), 0))+(IFERROR(IF(15*INDEX('UZ-normalized'!$D:$D, MATCH($A133, 'UZ-normalized'!$A:$A, 0))-INDEX('UZ-normalized'!$E:$E, MATCH($A133, 'UZ-normalized'!$A:$A, 0))&gt;0, -(15*INDEX('UZ-normalized'!$D:$D, MATCH($A133, 'UZ-normalized'!$A:$A, 0))-INDEX('UZ-normalized'!$E:$E, MATCH($A133, 'UZ-normalized'!$A:$A, 0))), 0), 0)))</f>
        <v>0</v>
      </c>
      <c r="AD133" s="6">
        <f>MIN(0, N133+(IFERROR(IF(16*INDEX('UA-normalized'!$D:$D, MATCH($A133, 'UA-normalized'!$A:$A, 0))-INDEX('UA-normalized'!$E:$E, MATCH($A133, 'UA-normalized'!$A:$A, 0))&gt;0, -(16*INDEX('UA-normalized'!$D:$D, MATCH($A133, 'UA-normalized'!$A:$A, 0))-INDEX('UA-normalized'!$E:$E, MATCH($A133, 'UA-normalized'!$A:$A, 0))), 0), 0))+(IFERROR(IF(16*INDEX('KZ-normalized'!$D:$D, MATCH($A133, 'KZ-normalized'!$A:$A, 0))-INDEX('KZ-normalized'!$E:$E, MATCH($A133, 'KZ-normalized'!$A:$A, 0))&gt;0, -(16*INDEX('KZ-normalized'!$D:$D, MATCH($A133, 'KZ-normalized'!$A:$A, 0))-INDEX('KZ-normalized'!$E:$E, MATCH($A133, 'KZ-normalized'!$A:$A, 0))), 0), 0))+(IFERROR(IF(16*INDEX('UZ-normalized'!$D:$D, MATCH($A133, 'UZ-normalized'!$A:$A, 0))-INDEX('UZ-normalized'!$E:$E, MATCH($A133, 'UZ-normalized'!$A:$A, 0))&gt;0, -(16*INDEX('UZ-normalized'!$D:$D, MATCH($A133, 'UZ-normalized'!$A:$A, 0))-INDEX('UZ-normalized'!$E:$E, MATCH($A133, 'UZ-normalized'!$A:$A, 0))), 0), 0)))</f>
        <v>0</v>
      </c>
      <c r="AE133" s="6">
        <f>MIN(0, N133+(IFERROR(IF(17*INDEX('UA-normalized'!$D:$D, MATCH($A133, 'UA-normalized'!$A:$A, 0))-INDEX('UA-normalized'!$E:$E, MATCH($A133, 'UA-normalized'!$A:$A, 0))&gt;0, -(17*INDEX('UA-normalized'!$D:$D, MATCH($A133, 'UA-normalized'!$A:$A, 0))-INDEX('UA-normalized'!$E:$E, MATCH($A133, 'UA-normalized'!$A:$A, 0))), 0), 0))+(IFERROR(IF(17*INDEX('KZ-normalized'!$D:$D, MATCH($A133, 'KZ-normalized'!$A:$A, 0))-INDEX('KZ-normalized'!$E:$E, MATCH($A133, 'KZ-normalized'!$A:$A, 0))&gt;0, -(17*INDEX('KZ-normalized'!$D:$D, MATCH($A133, 'KZ-normalized'!$A:$A, 0))-INDEX('KZ-normalized'!$E:$E, MATCH($A133, 'KZ-normalized'!$A:$A, 0))), 0), 0))+(IFERROR(IF(17*INDEX('UZ-normalized'!$D:$D, MATCH($A133, 'UZ-normalized'!$A:$A, 0))-INDEX('UZ-normalized'!$E:$E, MATCH($A133, 'UZ-normalized'!$A:$A, 0))&gt;0, -(17*INDEX('UZ-normalized'!$D:$D, MATCH($A133, 'UZ-normalized'!$A:$A, 0))-INDEX('UZ-normalized'!$E:$E, MATCH($A133, 'UZ-normalized'!$A:$A, 0))), 0), 0)))</f>
        <v>0</v>
      </c>
      <c r="AF133" s="6">
        <f>MIN(0, N133+(IFERROR(IF(18*INDEX('UA-normalized'!$D:$D, MATCH($A133, 'UA-normalized'!$A:$A, 0))-INDEX('UA-normalized'!$E:$E, MATCH($A133, 'UA-normalized'!$A:$A, 0))&gt;0, -(18*INDEX('UA-normalized'!$D:$D, MATCH($A133, 'UA-normalized'!$A:$A, 0))-INDEX('UA-normalized'!$E:$E, MATCH($A133, 'UA-normalized'!$A:$A, 0))), 0), 0))+(IFERROR(IF(18*INDEX('KZ-normalized'!$D:$D, MATCH($A133, 'KZ-normalized'!$A:$A, 0))-INDEX('KZ-normalized'!$E:$E, MATCH($A133, 'KZ-normalized'!$A:$A, 0))&gt;0, -(18*INDEX('KZ-normalized'!$D:$D, MATCH($A133, 'KZ-normalized'!$A:$A, 0))-INDEX('KZ-normalized'!$E:$E, MATCH($A133, 'KZ-normalized'!$A:$A, 0))), 0), 0))+(IFERROR(IF(18*INDEX('UZ-normalized'!$D:$D, MATCH($A133, 'UZ-normalized'!$A:$A, 0))-INDEX('UZ-normalized'!$E:$E, MATCH($A133, 'UZ-normalized'!$A:$A, 0))&gt;0, -(18*INDEX('UZ-normalized'!$D:$D, MATCH($A133, 'UZ-normalized'!$A:$A, 0))-INDEX('UZ-normalized'!$E:$E, MATCH($A133, 'UZ-normalized'!$A:$A, 0))), 0), 0)))</f>
        <v>0</v>
      </c>
      <c r="AG133" s="6">
        <f>MIN(0, N133+(IFERROR(IF(19*INDEX('UA-normalized'!$D:$D, MATCH($A133, 'UA-normalized'!$A:$A, 0))-INDEX('UA-normalized'!$E:$E, MATCH($A133, 'UA-normalized'!$A:$A, 0))&gt;0, -(19*INDEX('UA-normalized'!$D:$D, MATCH($A133, 'UA-normalized'!$A:$A, 0))-INDEX('UA-normalized'!$E:$E, MATCH($A133, 'UA-normalized'!$A:$A, 0))), 0), 0))+(IFERROR(IF(19*INDEX('KZ-normalized'!$D:$D, MATCH($A133, 'KZ-normalized'!$A:$A, 0))-INDEX('KZ-normalized'!$E:$E, MATCH($A133, 'KZ-normalized'!$A:$A, 0))&gt;0, -(19*INDEX('KZ-normalized'!$D:$D, MATCH($A133, 'KZ-normalized'!$A:$A, 0))-INDEX('KZ-normalized'!$E:$E, MATCH($A133, 'KZ-normalized'!$A:$A, 0))), 0), 0))+(IFERROR(IF(19*INDEX('UZ-normalized'!$D:$D, MATCH($A133, 'UZ-normalized'!$A:$A, 0))-INDEX('UZ-normalized'!$E:$E, MATCH($A133, 'UZ-normalized'!$A:$A, 0))&gt;0, -(19*INDEX('UZ-normalized'!$D:$D, MATCH($A133, 'UZ-normalized'!$A:$A, 0))-INDEX('UZ-normalized'!$E:$E, MATCH($A133, 'UZ-normalized'!$A:$A, 0))), 0), 0)))</f>
        <v>0</v>
      </c>
      <c r="AH133" s="6">
        <f>MIN(0, N133+(IFERROR(IF(20*INDEX('UA-normalized'!$D:$D, MATCH($A133, 'UA-normalized'!$A:$A, 0))-INDEX('UA-normalized'!$E:$E, MATCH($A133, 'UA-normalized'!$A:$A, 0))&gt;0, -(20*INDEX('UA-normalized'!$D:$D, MATCH($A133, 'UA-normalized'!$A:$A, 0))-INDEX('UA-normalized'!$E:$E, MATCH($A133, 'UA-normalized'!$A:$A, 0))), 0), 0))+(IFERROR(IF(20*INDEX('KZ-normalized'!$D:$D, MATCH($A133, 'KZ-normalized'!$A:$A, 0))-INDEX('KZ-normalized'!$E:$E, MATCH($A133, 'KZ-normalized'!$A:$A, 0))&gt;0, -(20*INDEX('KZ-normalized'!$D:$D, MATCH($A133, 'KZ-normalized'!$A:$A, 0))-INDEX('KZ-normalized'!$E:$E, MATCH($A133, 'KZ-normalized'!$A:$A, 0))), 0), 0))+(IFERROR(IF(20*INDEX('UZ-normalized'!$D:$D, MATCH($A133, 'UZ-normalized'!$A:$A, 0))-INDEX('UZ-normalized'!$E:$E, MATCH($A133, 'UZ-normalized'!$A:$A, 0))&gt;0, -(20*INDEX('UZ-normalized'!$D:$D, MATCH($A133, 'UZ-normalized'!$A:$A, 0))-INDEX('UZ-normalized'!$E:$E, MATCH($A133, 'UZ-normalized'!$A:$A, 0))), 0), 0)))</f>
        <v>0</v>
      </c>
      <c r="AI133" s="6">
        <f>MIN(0, N133+(IFERROR(IF(21*INDEX('UA-normalized'!$D:$D, MATCH($A133, 'UA-normalized'!$A:$A, 0))-INDEX('UA-normalized'!$E:$E, MATCH($A133, 'UA-normalized'!$A:$A, 0))&gt;0, -(21*INDEX('UA-normalized'!$D:$D, MATCH($A133, 'UA-normalized'!$A:$A, 0))-INDEX('UA-normalized'!$E:$E, MATCH($A133, 'UA-normalized'!$A:$A, 0))), 0), 0))+(IFERROR(IF(21*INDEX('KZ-normalized'!$D:$D, MATCH($A133, 'KZ-normalized'!$A:$A, 0))-INDEX('KZ-normalized'!$E:$E, MATCH($A133, 'KZ-normalized'!$A:$A, 0))&gt;0, -(21*INDEX('KZ-normalized'!$D:$D, MATCH($A133, 'KZ-normalized'!$A:$A, 0))-INDEX('KZ-normalized'!$E:$E, MATCH($A133, 'KZ-normalized'!$A:$A, 0))), 0), 0))+(IFERROR(IF(21*INDEX('UZ-normalized'!$D:$D, MATCH($A133, 'UZ-normalized'!$A:$A, 0))-INDEX('UZ-normalized'!$E:$E, MATCH($A133, 'UZ-normalized'!$A:$A, 0))&gt;0, -(21*INDEX('UZ-normalized'!$D:$D, MATCH($A133, 'UZ-normalized'!$A:$A, 0))-INDEX('UZ-normalized'!$E:$E, MATCH($A133, 'UZ-normalized'!$A:$A, 0))), 0), 0)))</f>
        <v>0</v>
      </c>
      <c r="AJ133" s="6">
        <f>MIN(0, N133+(IFERROR(IF(22*INDEX('UA-normalized'!$D:$D, MATCH($A133, 'UA-normalized'!$A:$A, 0))-INDEX('UA-normalized'!$E:$E, MATCH($A133, 'UA-normalized'!$A:$A, 0))&gt;0, -(22*INDEX('UA-normalized'!$D:$D, MATCH($A133, 'UA-normalized'!$A:$A, 0))-INDEX('UA-normalized'!$E:$E, MATCH($A133, 'UA-normalized'!$A:$A, 0))), 0), 0))+(IFERROR(IF(22*INDEX('KZ-normalized'!$D:$D, MATCH($A133, 'KZ-normalized'!$A:$A, 0))-INDEX('KZ-normalized'!$E:$E, MATCH($A133, 'KZ-normalized'!$A:$A, 0))&gt;0, -(22*INDEX('KZ-normalized'!$D:$D, MATCH($A133, 'KZ-normalized'!$A:$A, 0))-INDEX('KZ-normalized'!$E:$E, MATCH($A133, 'KZ-normalized'!$A:$A, 0))), 0), 0))+(IFERROR(IF(22*INDEX('UZ-normalized'!$D:$D, MATCH($A133, 'UZ-normalized'!$A:$A, 0))-INDEX('UZ-normalized'!$E:$E, MATCH($A133, 'UZ-normalized'!$A:$A, 0))&gt;0, -(22*INDEX('UZ-normalized'!$D:$D, MATCH($A133, 'UZ-normalized'!$A:$A, 0))-INDEX('UZ-normalized'!$E:$E, MATCH($A133, 'UZ-normalized'!$A:$A, 0))), 0), 0)))</f>
        <v>0</v>
      </c>
      <c r="AK133" s="6">
        <f>MIN(0, N133+(IFERROR(IF(23*INDEX('UA-normalized'!$D:$D, MATCH($A133, 'UA-normalized'!$A:$A, 0))-INDEX('UA-normalized'!$E:$E, MATCH($A133, 'UA-normalized'!$A:$A, 0))&gt;0, -(23*INDEX('UA-normalized'!$D:$D, MATCH($A133, 'UA-normalized'!$A:$A, 0))-INDEX('UA-normalized'!$E:$E, MATCH($A133, 'UA-normalized'!$A:$A, 0))), 0), 0))+(IFERROR(IF(23*INDEX('KZ-normalized'!$D:$D, MATCH($A133, 'KZ-normalized'!$A:$A, 0))-INDEX('KZ-normalized'!$E:$E, MATCH($A133, 'KZ-normalized'!$A:$A, 0))&gt;0, -(23*INDEX('KZ-normalized'!$D:$D, MATCH($A133, 'KZ-normalized'!$A:$A, 0))-INDEX('KZ-normalized'!$E:$E, MATCH($A133, 'KZ-normalized'!$A:$A, 0))), 0), 0))+(IFERROR(IF(23*INDEX('UZ-normalized'!$D:$D, MATCH($A133, 'UZ-normalized'!$A:$A, 0))-INDEX('UZ-normalized'!$E:$E, MATCH($A133, 'UZ-normalized'!$A:$A, 0))&gt;0, -(23*INDEX('UZ-normalized'!$D:$D, MATCH($A133, 'UZ-normalized'!$A:$A, 0))-INDEX('UZ-normalized'!$E:$E, MATCH($A133, 'UZ-normalized'!$A:$A, 0))), 0), 0)))</f>
        <v>0</v>
      </c>
      <c r="AL133" s="6">
        <f>MIN(0, N133+(IFERROR(IF(24*INDEX('UA-normalized'!$D:$D, MATCH($A133, 'UA-normalized'!$A:$A, 0))-INDEX('UA-normalized'!$E:$E, MATCH($A133, 'UA-normalized'!$A:$A, 0))&gt;0, -(24*INDEX('UA-normalized'!$D:$D, MATCH($A133, 'UA-normalized'!$A:$A, 0))-INDEX('UA-normalized'!$E:$E, MATCH($A133, 'UA-normalized'!$A:$A, 0))), 0), 0))+(IFERROR(IF(24*INDEX('KZ-normalized'!$D:$D, MATCH($A133, 'KZ-normalized'!$A:$A, 0))-INDEX('KZ-normalized'!$E:$E, MATCH($A133, 'KZ-normalized'!$A:$A, 0))&gt;0, -(24*INDEX('KZ-normalized'!$D:$D, MATCH($A133, 'KZ-normalized'!$A:$A, 0))-INDEX('KZ-normalized'!$E:$E, MATCH($A133, 'KZ-normalized'!$A:$A, 0))), 0), 0))+(IFERROR(IF(24*INDEX('UZ-normalized'!$D:$D, MATCH($A133, 'UZ-normalized'!$A:$A, 0))-INDEX('UZ-normalized'!$E:$E, MATCH($A133, 'UZ-normalized'!$A:$A, 0))&gt;0, -(24*INDEX('UZ-normalized'!$D:$D, MATCH($A133, 'UZ-normalized'!$A:$A, 0))-INDEX('UZ-normalized'!$E:$E, MATCH($A133, 'UZ-normalized'!$A:$A, 0))), 0), 0)))</f>
        <v>0</v>
      </c>
      <c r="AM133" s="6">
        <f>MIN(0, N133+(IFERROR(IF(25*INDEX('UA-normalized'!$D:$D, MATCH($A133, 'UA-normalized'!$A:$A, 0))-INDEX('UA-normalized'!$E:$E, MATCH($A133, 'UA-normalized'!$A:$A, 0))&gt;0, -(25*INDEX('UA-normalized'!$D:$D, MATCH($A133, 'UA-normalized'!$A:$A, 0))-INDEX('UA-normalized'!$E:$E, MATCH($A133, 'UA-normalized'!$A:$A, 0))), 0), 0))+(IFERROR(IF(25*INDEX('KZ-normalized'!$D:$D, MATCH($A133, 'KZ-normalized'!$A:$A, 0))-INDEX('KZ-normalized'!$E:$E, MATCH($A133, 'KZ-normalized'!$A:$A, 0))&gt;0, -(25*INDEX('KZ-normalized'!$D:$D, MATCH($A133, 'KZ-normalized'!$A:$A, 0))-INDEX('KZ-normalized'!$E:$E, MATCH($A133, 'KZ-normalized'!$A:$A, 0))), 0), 0))+(IFERROR(IF(25*INDEX('UZ-normalized'!$D:$D, MATCH($A133, 'UZ-normalized'!$A:$A, 0))-INDEX('UZ-normalized'!$E:$E, MATCH($A133, 'UZ-normalized'!$A:$A, 0))&gt;0, -(25*INDEX('UZ-normalized'!$D:$D, MATCH($A133, 'UZ-normalized'!$A:$A, 0))-INDEX('UZ-normalized'!$E:$E, MATCH($A133, 'UZ-normalized'!$A:$A, 0))), 0), 0)))</f>
        <v>0</v>
      </c>
      <c r="AN133" s="6">
        <f>MIN(0, N133+(IFERROR(IF(26*INDEX('UA-normalized'!$D:$D, MATCH($A133, 'UA-normalized'!$A:$A, 0))-INDEX('UA-normalized'!$E:$E, MATCH($A133, 'UA-normalized'!$A:$A, 0))&gt;0, -(26*INDEX('UA-normalized'!$D:$D, MATCH($A133, 'UA-normalized'!$A:$A, 0))-INDEX('UA-normalized'!$E:$E, MATCH($A133, 'UA-normalized'!$A:$A, 0))), 0), 0))+(IFERROR(IF(26*INDEX('KZ-normalized'!$D:$D, MATCH($A133, 'KZ-normalized'!$A:$A, 0))-INDEX('KZ-normalized'!$E:$E, MATCH($A133, 'KZ-normalized'!$A:$A, 0))&gt;0, -(26*INDEX('KZ-normalized'!$D:$D, MATCH($A133, 'KZ-normalized'!$A:$A, 0))-INDEX('KZ-normalized'!$E:$E, MATCH($A133, 'KZ-normalized'!$A:$A, 0))), 0), 0))+(IFERROR(IF(26*INDEX('UZ-normalized'!$D:$D, MATCH($A133, 'UZ-normalized'!$A:$A, 0))-INDEX('UZ-normalized'!$E:$E, MATCH($A133, 'UZ-normalized'!$A:$A, 0))&gt;0, -(26*INDEX('UZ-normalized'!$D:$D, MATCH($A133, 'UZ-normalized'!$A:$A, 0))-INDEX('UZ-normalized'!$E:$E, MATCH($A133, 'UZ-normalized'!$A:$A, 0))), 0), 0)))</f>
        <v>0</v>
      </c>
      <c r="AO133" s="6">
        <f>MIN(0, N133+(IFERROR(IF(27*INDEX('UA-normalized'!$D:$D, MATCH($A133, 'UA-normalized'!$A:$A, 0))-INDEX('UA-normalized'!$E:$E, MATCH($A133, 'UA-normalized'!$A:$A, 0))&gt;0, -(27*INDEX('UA-normalized'!$D:$D, MATCH($A133, 'UA-normalized'!$A:$A, 0))-INDEX('UA-normalized'!$E:$E, MATCH($A133, 'UA-normalized'!$A:$A, 0))), 0), 0))+(IFERROR(IF(27*INDEX('KZ-normalized'!$D:$D, MATCH($A133, 'KZ-normalized'!$A:$A, 0))-INDEX('KZ-normalized'!$E:$E, MATCH($A133, 'KZ-normalized'!$A:$A, 0))&gt;0, -(27*INDEX('KZ-normalized'!$D:$D, MATCH($A133, 'KZ-normalized'!$A:$A, 0))-INDEX('KZ-normalized'!$E:$E, MATCH($A133, 'KZ-normalized'!$A:$A, 0))), 0), 0))+(IFERROR(IF(27*INDEX('UZ-normalized'!$D:$D, MATCH($A133, 'UZ-normalized'!$A:$A, 0))-INDEX('UZ-normalized'!$E:$E, MATCH($A133, 'UZ-normalized'!$A:$A, 0))&gt;0, -(27*INDEX('UZ-normalized'!$D:$D, MATCH($A133, 'UZ-normalized'!$A:$A, 0))-INDEX('UZ-normalized'!$E:$E, MATCH($A133, 'UZ-normalized'!$A:$A, 0))), 0), 0)))</f>
        <v>0</v>
      </c>
      <c r="AP133" s="6">
        <f>MIN(0, N133+(IFERROR(IF(28*INDEX('UA-normalized'!$D:$D, MATCH($A133, 'UA-normalized'!$A:$A, 0))-INDEX('UA-normalized'!$E:$E, MATCH($A133, 'UA-normalized'!$A:$A, 0))&gt;0, -(28*INDEX('UA-normalized'!$D:$D, MATCH($A133, 'UA-normalized'!$A:$A, 0))-INDEX('UA-normalized'!$E:$E, MATCH($A133, 'UA-normalized'!$A:$A, 0))), 0), 0))+(IFERROR(IF(28*INDEX('KZ-normalized'!$D:$D, MATCH($A133, 'KZ-normalized'!$A:$A, 0))-INDEX('KZ-normalized'!$E:$E, MATCH($A133, 'KZ-normalized'!$A:$A, 0))&gt;0, -(28*INDEX('KZ-normalized'!$D:$D, MATCH($A133, 'KZ-normalized'!$A:$A, 0))-INDEX('KZ-normalized'!$E:$E, MATCH($A133, 'KZ-normalized'!$A:$A, 0))), 0), 0))+(IFERROR(IF(28*INDEX('UZ-normalized'!$D:$D, MATCH($A133, 'UZ-normalized'!$A:$A, 0))-INDEX('UZ-normalized'!$E:$E, MATCH($A133, 'UZ-normalized'!$A:$A, 0))&gt;0, -(28*INDEX('UZ-normalized'!$D:$D, MATCH($A133, 'UZ-normalized'!$A:$A, 0))-INDEX('UZ-normalized'!$E:$E, MATCH($A133, 'UZ-normalized'!$A:$A, 0))), 0), 0)))</f>
        <v>0</v>
      </c>
      <c r="AQ133" s="6">
        <f>MIN(0, N133+(IFERROR(IF(29*INDEX('UA-normalized'!$D:$D, MATCH($A133, 'UA-normalized'!$A:$A, 0))-INDEX('UA-normalized'!$E:$E, MATCH($A133, 'UA-normalized'!$A:$A, 0))&gt;0, -(29*INDEX('UA-normalized'!$D:$D, MATCH($A133, 'UA-normalized'!$A:$A, 0))-INDEX('UA-normalized'!$E:$E, MATCH($A133, 'UA-normalized'!$A:$A, 0))), 0), 0))+(IFERROR(IF(29*INDEX('KZ-normalized'!$D:$D, MATCH($A133, 'KZ-normalized'!$A:$A, 0))-INDEX('KZ-normalized'!$E:$E, MATCH($A133, 'KZ-normalized'!$A:$A, 0))&gt;0, -(29*INDEX('KZ-normalized'!$D:$D, MATCH($A133, 'KZ-normalized'!$A:$A, 0))-INDEX('KZ-normalized'!$E:$E, MATCH($A133, 'KZ-normalized'!$A:$A, 0))), 0), 0))+(IFERROR(IF(29*INDEX('UZ-normalized'!$D:$D, MATCH($A133, 'UZ-normalized'!$A:$A, 0))-INDEX('UZ-normalized'!$E:$E, MATCH($A133, 'UZ-normalized'!$A:$A, 0))&gt;0, -(29*INDEX('UZ-normalized'!$D:$D, MATCH($A133, 'UZ-normalized'!$A:$A, 0))-INDEX('UZ-normalized'!$E:$E, MATCH($A133, 'UZ-normalized'!$A:$A, 0))), 0), 0)))</f>
        <v>0</v>
      </c>
      <c r="AR133" s="6">
        <f>MIN(0, N133+(IFERROR(IF(30*INDEX('UA-normalized'!$D:$D, MATCH($A133, 'UA-normalized'!$A:$A, 0))-INDEX('UA-normalized'!$E:$E, MATCH($A133, 'UA-normalized'!$A:$A, 0))&gt;0, -(30*INDEX('UA-normalized'!$D:$D, MATCH($A133, 'UA-normalized'!$A:$A, 0))-INDEX('UA-normalized'!$E:$E, MATCH($A133, 'UA-normalized'!$A:$A, 0))), 0), 0))+(IFERROR(IF(30*INDEX('KZ-normalized'!$D:$D, MATCH($A133, 'KZ-normalized'!$A:$A, 0))-INDEX('KZ-normalized'!$E:$E, MATCH($A133, 'KZ-normalized'!$A:$A, 0))&gt;0, -(30*INDEX('KZ-normalized'!$D:$D, MATCH($A133, 'KZ-normalized'!$A:$A, 0))-INDEX('KZ-normalized'!$E:$E, MATCH($A133, 'KZ-normalized'!$A:$A, 0))), 0), 0))+(IFERROR(IF(30*INDEX('UZ-normalized'!$D:$D, MATCH($A133, 'UZ-normalized'!$A:$A, 0))-INDEX('UZ-normalized'!$E:$E, MATCH($A133, 'UZ-normalized'!$A:$A, 0))&gt;0, -(30*INDEX('UZ-normalized'!$D:$D, MATCH($A133, 'UZ-normalized'!$A:$A, 0))-INDEX('UZ-normalized'!$E:$E, MATCH($A133, 'UZ-normalized'!$A:$A, 0))), 0), 0)))</f>
        <v>0</v>
      </c>
    </row>
    <row r="134" spans="1:44" x14ac:dyDescent="0.25">
      <c r="A134" s="8" t="s">
        <v>324</v>
      </c>
      <c r="B134" s="8" t="s">
        <v>317</v>
      </c>
      <c r="C134" s="8" t="s">
        <v>325</v>
      </c>
      <c r="D134" s="8" t="s">
        <v>326</v>
      </c>
      <c r="N134">
        <f t="shared" si="2"/>
        <v>0</v>
      </c>
      <c r="O134" s="6">
        <f>MIN(0, N134+(IFERROR(IF(1*INDEX('UA-normalized'!$D:$D, MATCH($A134, 'UA-normalized'!$A:$A, 0))-INDEX('UA-normalized'!$E:$E, MATCH($A134, 'UA-normalized'!$A:$A, 0))&gt;0, -(1*INDEX('UA-normalized'!$D:$D, MATCH($A134, 'UA-normalized'!$A:$A, 0))-INDEX('UA-normalized'!$E:$E, MATCH($A134, 'UA-normalized'!$A:$A, 0))), 0), 0))+(IFERROR(IF(1*INDEX('KZ-normalized'!$D:$D, MATCH($A134, 'KZ-normalized'!$A:$A, 0))-INDEX('KZ-normalized'!$E:$E, MATCH($A134, 'KZ-normalized'!$A:$A, 0))&gt;0, -(1*INDEX('KZ-normalized'!$D:$D, MATCH($A134, 'KZ-normalized'!$A:$A, 0))-INDEX('KZ-normalized'!$E:$E, MATCH($A134, 'KZ-normalized'!$A:$A, 0))), 0), 0))+(IFERROR(IF(1*INDEX('UZ-normalized'!$D:$D, MATCH($A134, 'UZ-normalized'!$A:$A, 0))-INDEX('UZ-normalized'!$E:$E, MATCH($A134, 'UZ-normalized'!$A:$A, 0))&gt;0, -(1*INDEX('UZ-normalized'!$D:$D, MATCH($A134, 'UZ-normalized'!$A:$A, 0))-INDEX('UZ-normalized'!$E:$E, MATCH($A134, 'UZ-normalized'!$A:$A, 0))), 0), 0)))</f>
        <v>0</v>
      </c>
      <c r="P134" s="6">
        <f>MIN(0, N134+(IFERROR(IF(2*INDEX('UA-normalized'!$D:$D, MATCH($A134, 'UA-normalized'!$A:$A, 0))-INDEX('UA-normalized'!$E:$E, MATCH($A134, 'UA-normalized'!$A:$A, 0))&gt;0, -(2*INDEX('UA-normalized'!$D:$D, MATCH($A134, 'UA-normalized'!$A:$A, 0))-INDEX('UA-normalized'!$E:$E, MATCH($A134, 'UA-normalized'!$A:$A, 0))), 0), 0))+(IFERROR(IF(2*INDEX('KZ-normalized'!$D:$D, MATCH($A134, 'KZ-normalized'!$A:$A, 0))-INDEX('KZ-normalized'!$E:$E, MATCH($A134, 'KZ-normalized'!$A:$A, 0))&gt;0, -(2*INDEX('KZ-normalized'!$D:$D, MATCH($A134, 'KZ-normalized'!$A:$A, 0))-INDEX('KZ-normalized'!$E:$E, MATCH($A134, 'KZ-normalized'!$A:$A, 0))), 0), 0))+(IFERROR(IF(2*INDEX('UZ-normalized'!$D:$D, MATCH($A134, 'UZ-normalized'!$A:$A, 0))-INDEX('UZ-normalized'!$E:$E, MATCH($A134, 'UZ-normalized'!$A:$A, 0))&gt;0, -(2*INDEX('UZ-normalized'!$D:$D, MATCH($A134, 'UZ-normalized'!$A:$A, 0))-INDEX('UZ-normalized'!$E:$E, MATCH($A134, 'UZ-normalized'!$A:$A, 0))), 0), 0)))</f>
        <v>0</v>
      </c>
      <c r="Q134" s="6">
        <f>MIN(0, N134+(IFERROR(IF(3*INDEX('UA-normalized'!$D:$D, MATCH($A134, 'UA-normalized'!$A:$A, 0))-INDEX('UA-normalized'!$E:$E, MATCH($A134, 'UA-normalized'!$A:$A, 0))&gt;0, -(3*INDEX('UA-normalized'!$D:$D, MATCH($A134, 'UA-normalized'!$A:$A, 0))-INDEX('UA-normalized'!$E:$E, MATCH($A134, 'UA-normalized'!$A:$A, 0))), 0), 0))+(IFERROR(IF(3*INDEX('KZ-normalized'!$D:$D, MATCH($A134, 'KZ-normalized'!$A:$A, 0))-INDEX('KZ-normalized'!$E:$E, MATCH($A134, 'KZ-normalized'!$A:$A, 0))&gt;0, -(3*INDEX('KZ-normalized'!$D:$D, MATCH($A134, 'KZ-normalized'!$A:$A, 0))-INDEX('KZ-normalized'!$E:$E, MATCH($A134, 'KZ-normalized'!$A:$A, 0))), 0), 0))+(IFERROR(IF(3*INDEX('UZ-normalized'!$D:$D, MATCH($A134, 'UZ-normalized'!$A:$A, 0))-INDEX('UZ-normalized'!$E:$E, MATCH($A134, 'UZ-normalized'!$A:$A, 0))&gt;0, -(3*INDEX('UZ-normalized'!$D:$D, MATCH($A134, 'UZ-normalized'!$A:$A, 0))-INDEX('UZ-normalized'!$E:$E, MATCH($A134, 'UZ-normalized'!$A:$A, 0))), 0), 0)))</f>
        <v>0</v>
      </c>
      <c r="R134" s="6">
        <f>MIN(0, N134+(IFERROR(IF(4*INDEX('UA-normalized'!$D:$D, MATCH($A134, 'UA-normalized'!$A:$A, 0))-INDEX('UA-normalized'!$E:$E, MATCH($A134, 'UA-normalized'!$A:$A, 0))&gt;0, -(4*INDEX('UA-normalized'!$D:$D, MATCH($A134, 'UA-normalized'!$A:$A, 0))-INDEX('UA-normalized'!$E:$E, MATCH($A134, 'UA-normalized'!$A:$A, 0))), 0), 0))+(IFERROR(IF(4*INDEX('KZ-normalized'!$D:$D, MATCH($A134, 'KZ-normalized'!$A:$A, 0))-INDEX('KZ-normalized'!$E:$E, MATCH($A134, 'KZ-normalized'!$A:$A, 0))&gt;0, -(4*INDEX('KZ-normalized'!$D:$D, MATCH($A134, 'KZ-normalized'!$A:$A, 0))-INDEX('KZ-normalized'!$E:$E, MATCH($A134, 'KZ-normalized'!$A:$A, 0))), 0), 0))+(IFERROR(IF(4*INDEX('UZ-normalized'!$D:$D, MATCH($A134, 'UZ-normalized'!$A:$A, 0))-INDEX('UZ-normalized'!$E:$E, MATCH($A134, 'UZ-normalized'!$A:$A, 0))&gt;0, -(4*INDEX('UZ-normalized'!$D:$D, MATCH($A134, 'UZ-normalized'!$A:$A, 0))-INDEX('UZ-normalized'!$E:$E, MATCH($A134, 'UZ-normalized'!$A:$A, 0))), 0), 0)))</f>
        <v>0</v>
      </c>
      <c r="S134" s="6">
        <f>MIN(0, N134+(IFERROR(IF(5*INDEX('UA-normalized'!$D:$D, MATCH($A134, 'UA-normalized'!$A:$A, 0))-INDEX('UA-normalized'!$E:$E, MATCH($A134, 'UA-normalized'!$A:$A, 0))&gt;0, -(5*INDEX('UA-normalized'!$D:$D, MATCH($A134, 'UA-normalized'!$A:$A, 0))-INDEX('UA-normalized'!$E:$E, MATCH($A134, 'UA-normalized'!$A:$A, 0))), 0), 0))+(IFERROR(IF(5*INDEX('KZ-normalized'!$D:$D, MATCH($A134, 'KZ-normalized'!$A:$A, 0))-INDEX('KZ-normalized'!$E:$E, MATCH($A134, 'KZ-normalized'!$A:$A, 0))&gt;0, -(5*INDEX('KZ-normalized'!$D:$D, MATCH($A134, 'KZ-normalized'!$A:$A, 0))-INDEX('KZ-normalized'!$E:$E, MATCH($A134, 'KZ-normalized'!$A:$A, 0))), 0), 0))+(IFERROR(IF(5*INDEX('UZ-normalized'!$D:$D, MATCH($A134, 'UZ-normalized'!$A:$A, 0))-INDEX('UZ-normalized'!$E:$E, MATCH($A134, 'UZ-normalized'!$A:$A, 0))&gt;0, -(5*INDEX('UZ-normalized'!$D:$D, MATCH($A134, 'UZ-normalized'!$A:$A, 0))-INDEX('UZ-normalized'!$E:$E, MATCH($A134, 'UZ-normalized'!$A:$A, 0))), 0), 0)))</f>
        <v>0</v>
      </c>
      <c r="T134" s="6">
        <f>MIN(0, N134+(IFERROR(IF(6*INDEX('UA-normalized'!$D:$D, MATCH($A134, 'UA-normalized'!$A:$A, 0))-INDEX('UA-normalized'!$E:$E, MATCH($A134, 'UA-normalized'!$A:$A, 0))&gt;0, -(6*INDEX('UA-normalized'!$D:$D, MATCH($A134, 'UA-normalized'!$A:$A, 0))-INDEX('UA-normalized'!$E:$E, MATCH($A134, 'UA-normalized'!$A:$A, 0))), 0), 0))+(IFERROR(IF(6*INDEX('KZ-normalized'!$D:$D, MATCH($A134, 'KZ-normalized'!$A:$A, 0))-INDEX('KZ-normalized'!$E:$E, MATCH($A134, 'KZ-normalized'!$A:$A, 0))&gt;0, -(6*INDEX('KZ-normalized'!$D:$D, MATCH($A134, 'KZ-normalized'!$A:$A, 0))-INDEX('KZ-normalized'!$E:$E, MATCH($A134, 'KZ-normalized'!$A:$A, 0))), 0), 0))+(IFERROR(IF(6*INDEX('UZ-normalized'!$D:$D, MATCH($A134, 'UZ-normalized'!$A:$A, 0))-INDEX('UZ-normalized'!$E:$E, MATCH($A134, 'UZ-normalized'!$A:$A, 0))&gt;0, -(6*INDEX('UZ-normalized'!$D:$D, MATCH($A134, 'UZ-normalized'!$A:$A, 0))-INDEX('UZ-normalized'!$E:$E, MATCH($A134, 'UZ-normalized'!$A:$A, 0))), 0), 0)))</f>
        <v>0</v>
      </c>
      <c r="U134" s="6">
        <f>MIN(0, N134+(IFERROR(IF(7*INDEX('UA-normalized'!$D:$D, MATCH($A134, 'UA-normalized'!$A:$A, 0))-INDEX('UA-normalized'!$E:$E, MATCH($A134, 'UA-normalized'!$A:$A, 0))&gt;0, -(7*INDEX('UA-normalized'!$D:$D, MATCH($A134, 'UA-normalized'!$A:$A, 0))-INDEX('UA-normalized'!$E:$E, MATCH($A134, 'UA-normalized'!$A:$A, 0))), 0), 0))+(IFERROR(IF(7*INDEX('KZ-normalized'!$D:$D, MATCH($A134, 'KZ-normalized'!$A:$A, 0))-INDEX('KZ-normalized'!$E:$E, MATCH($A134, 'KZ-normalized'!$A:$A, 0))&gt;0, -(7*INDEX('KZ-normalized'!$D:$D, MATCH($A134, 'KZ-normalized'!$A:$A, 0))-INDEX('KZ-normalized'!$E:$E, MATCH($A134, 'KZ-normalized'!$A:$A, 0))), 0), 0))+(IFERROR(IF(7*INDEX('UZ-normalized'!$D:$D, MATCH($A134, 'UZ-normalized'!$A:$A, 0))-INDEX('UZ-normalized'!$E:$E, MATCH($A134, 'UZ-normalized'!$A:$A, 0))&gt;0, -(7*INDEX('UZ-normalized'!$D:$D, MATCH($A134, 'UZ-normalized'!$A:$A, 0))-INDEX('UZ-normalized'!$E:$E, MATCH($A134, 'UZ-normalized'!$A:$A, 0))), 0), 0)))</f>
        <v>0</v>
      </c>
      <c r="V134" s="6">
        <f>MIN(0, N134+(IFERROR(IF(8*INDEX('UA-normalized'!$D:$D, MATCH($A134, 'UA-normalized'!$A:$A, 0))-INDEX('UA-normalized'!$E:$E, MATCH($A134, 'UA-normalized'!$A:$A, 0))&gt;0, -(8*INDEX('UA-normalized'!$D:$D, MATCH($A134, 'UA-normalized'!$A:$A, 0))-INDEX('UA-normalized'!$E:$E, MATCH($A134, 'UA-normalized'!$A:$A, 0))), 0), 0))+(IFERROR(IF(8*INDEX('KZ-normalized'!$D:$D, MATCH($A134, 'KZ-normalized'!$A:$A, 0))-INDEX('KZ-normalized'!$E:$E, MATCH($A134, 'KZ-normalized'!$A:$A, 0))&gt;0, -(8*INDEX('KZ-normalized'!$D:$D, MATCH($A134, 'KZ-normalized'!$A:$A, 0))-INDEX('KZ-normalized'!$E:$E, MATCH($A134, 'KZ-normalized'!$A:$A, 0))), 0), 0))+(IFERROR(IF(8*INDEX('UZ-normalized'!$D:$D, MATCH($A134, 'UZ-normalized'!$A:$A, 0))-INDEX('UZ-normalized'!$E:$E, MATCH($A134, 'UZ-normalized'!$A:$A, 0))&gt;0, -(8*INDEX('UZ-normalized'!$D:$D, MATCH($A134, 'UZ-normalized'!$A:$A, 0))-INDEX('UZ-normalized'!$E:$E, MATCH($A134, 'UZ-normalized'!$A:$A, 0))), 0), 0)))</f>
        <v>0</v>
      </c>
      <c r="W134" s="6">
        <f>MIN(0, N134+(IFERROR(IF(9*INDEX('UA-normalized'!$D:$D, MATCH($A134, 'UA-normalized'!$A:$A, 0))-INDEX('UA-normalized'!$E:$E, MATCH($A134, 'UA-normalized'!$A:$A, 0))&gt;0, -(9*INDEX('UA-normalized'!$D:$D, MATCH($A134, 'UA-normalized'!$A:$A, 0))-INDEX('UA-normalized'!$E:$E, MATCH($A134, 'UA-normalized'!$A:$A, 0))), 0), 0))+(IFERROR(IF(9*INDEX('KZ-normalized'!$D:$D, MATCH($A134, 'KZ-normalized'!$A:$A, 0))-INDEX('KZ-normalized'!$E:$E, MATCH($A134, 'KZ-normalized'!$A:$A, 0))&gt;0, -(9*INDEX('KZ-normalized'!$D:$D, MATCH($A134, 'KZ-normalized'!$A:$A, 0))-INDEX('KZ-normalized'!$E:$E, MATCH($A134, 'KZ-normalized'!$A:$A, 0))), 0), 0))+(IFERROR(IF(9*INDEX('UZ-normalized'!$D:$D, MATCH($A134, 'UZ-normalized'!$A:$A, 0))-INDEX('UZ-normalized'!$E:$E, MATCH($A134, 'UZ-normalized'!$A:$A, 0))&gt;0, -(9*INDEX('UZ-normalized'!$D:$D, MATCH($A134, 'UZ-normalized'!$A:$A, 0))-INDEX('UZ-normalized'!$E:$E, MATCH($A134, 'UZ-normalized'!$A:$A, 0))), 0), 0)))</f>
        <v>0</v>
      </c>
      <c r="X134" s="6">
        <f>MIN(0, N134+(IFERROR(IF(10*INDEX('UA-normalized'!$D:$D, MATCH($A134, 'UA-normalized'!$A:$A, 0))-INDEX('UA-normalized'!$E:$E, MATCH($A134, 'UA-normalized'!$A:$A, 0))&gt;0, -(10*INDEX('UA-normalized'!$D:$D, MATCH($A134, 'UA-normalized'!$A:$A, 0))-INDEX('UA-normalized'!$E:$E, MATCH($A134, 'UA-normalized'!$A:$A, 0))), 0), 0))+(IFERROR(IF(10*INDEX('KZ-normalized'!$D:$D, MATCH($A134, 'KZ-normalized'!$A:$A, 0))-INDEX('KZ-normalized'!$E:$E, MATCH($A134, 'KZ-normalized'!$A:$A, 0))&gt;0, -(10*INDEX('KZ-normalized'!$D:$D, MATCH($A134, 'KZ-normalized'!$A:$A, 0))-INDEX('KZ-normalized'!$E:$E, MATCH($A134, 'KZ-normalized'!$A:$A, 0))), 0), 0))+(IFERROR(IF(10*INDEX('UZ-normalized'!$D:$D, MATCH($A134, 'UZ-normalized'!$A:$A, 0))-INDEX('UZ-normalized'!$E:$E, MATCH($A134, 'UZ-normalized'!$A:$A, 0))&gt;0, -(10*INDEX('UZ-normalized'!$D:$D, MATCH($A134, 'UZ-normalized'!$A:$A, 0))-INDEX('UZ-normalized'!$E:$E, MATCH($A134, 'UZ-normalized'!$A:$A, 0))), 0), 0)))</f>
        <v>0</v>
      </c>
      <c r="Y134" s="6">
        <f>MIN(0, N134+(IFERROR(IF(11*INDEX('UA-normalized'!$D:$D, MATCH($A134, 'UA-normalized'!$A:$A, 0))-INDEX('UA-normalized'!$E:$E, MATCH($A134, 'UA-normalized'!$A:$A, 0))&gt;0, -(11*INDEX('UA-normalized'!$D:$D, MATCH($A134, 'UA-normalized'!$A:$A, 0))-INDEX('UA-normalized'!$E:$E, MATCH($A134, 'UA-normalized'!$A:$A, 0))), 0), 0))+(IFERROR(IF(11*INDEX('KZ-normalized'!$D:$D, MATCH($A134, 'KZ-normalized'!$A:$A, 0))-INDEX('KZ-normalized'!$E:$E, MATCH($A134, 'KZ-normalized'!$A:$A, 0))&gt;0, -(11*INDEX('KZ-normalized'!$D:$D, MATCH($A134, 'KZ-normalized'!$A:$A, 0))-INDEX('KZ-normalized'!$E:$E, MATCH($A134, 'KZ-normalized'!$A:$A, 0))), 0), 0))+(IFERROR(IF(11*INDEX('UZ-normalized'!$D:$D, MATCH($A134, 'UZ-normalized'!$A:$A, 0))-INDEX('UZ-normalized'!$E:$E, MATCH($A134, 'UZ-normalized'!$A:$A, 0))&gt;0, -(11*INDEX('UZ-normalized'!$D:$D, MATCH($A134, 'UZ-normalized'!$A:$A, 0))-INDEX('UZ-normalized'!$E:$E, MATCH($A134, 'UZ-normalized'!$A:$A, 0))), 0), 0)))</f>
        <v>0</v>
      </c>
      <c r="Z134" s="6">
        <f>MIN(0, N134+(IFERROR(IF(12*INDEX('UA-normalized'!$D:$D, MATCH($A134, 'UA-normalized'!$A:$A, 0))-INDEX('UA-normalized'!$E:$E, MATCH($A134, 'UA-normalized'!$A:$A, 0))&gt;0, -(12*INDEX('UA-normalized'!$D:$D, MATCH($A134, 'UA-normalized'!$A:$A, 0))-INDEX('UA-normalized'!$E:$E, MATCH($A134, 'UA-normalized'!$A:$A, 0))), 0), 0))+(IFERROR(IF(12*INDEX('KZ-normalized'!$D:$D, MATCH($A134, 'KZ-normalized'!$A:$A, 0))-INDEX('KZ-normalized'!$E:$E, MATCH($A134, 'KZ-normalized'!$A:$A, 0))&gt;0, -(12*INDEX('KZ-normalized'!$D:$D, MATCH($A134, 'KZ-normalized'!$A:$A, 0))-INDEX('KZ-normalized'!$E:$E, MATCH($A134, 'KZ-normalized'!$A:$A, 0))), 0), 0))+(IFERROR(IF(12*INDEX('UZ-normalized'!$D:$D, MATCH($A134, 'UZ-normalized'!$A:$A, 0))-INDEX('UZ-normalized'!$E:$E, MATCH($A134, 'UZ-normalized'!$A:$A, 0))&gt;0, -(12*INDEX('UZ-normalized'!$D:$D, MATCH($A134, 'UZ-normalized'!$A:$A, 0))-INDEX('UZ-normalized'!$E:$E, MATCH($A134, 'UZ-normalized'!$A:$A, 0))), 0), 0)))</f>
        <v>-13</v>
      </c>
      <c r="AA134" s="6">
        <f>MIN(0, N134+(IFERROR(IF(13*INDEX('UA-normalized'!$D:$D, MATCH($A134, 'UA-normalized'!$A:$A, 0))-INDEX('UA-normalized'!$E:$E, MATCH($A134, 'UA-normalized'!$A:$A, 0))&gt;0, -(13*INDEX('UA-normalized'!$D:$D, MATCH($A134, 'UA-normalized'!$A:$A, 0))-INDEX('UA-normalized'!$E:$E, MATCH($A134, 'UA-normalized'!$A:$A, 0))), 0), 0))+(IFERROR(IF(13*INDEX('KZ-normalized'!$D:$D, MATCH($A134, 'KZ-normalized'!$A:$A, 0))-INDEX('KZ-normalized'!$E:$E, MATCH($A134, 'KZ-normalized'!$A:$A, 0))&gt;0, -(13*INDEX('KZ-normalized'!$D:$D, MATCH($A134, 'KZ-normalized'!$A:$A, 0))-INDEX('KZ-normalized'!$E:$E, MATCH($A134, 'KZ-normalized'!$A:$A, 0))), 0), 0))+(IFERROR(IF(13*INDEX('UZ-normalized'!$D:$D, MATCH($A134, 'UZ-normalized'!$A:$A, 0))-INDEX('UZ-normalized'!$E:$E, MATCH($A134, 'UZ-normalized'!$A:$A, 0))&gt;0, -(13*INDEX('UZ-normalized'!$D:$D, MATCH($A134, 'UZ-normalized'!$A:$A, 0))-INDEX('UZ-normalized'!$E:$E, MATCH($A134, 'UZ-normalized'!$A:$A, 0))), 0), 0)))</f>
        <v>-27.5</v>
      </c>
      <c r="AB134" s="6">
        <f>MIN(0, N134+(IFERROR(IF(14*INDEX('UA-normalized'!$D:$D, MATCH($A134, 'UA-normalized'!$A:$A, 0))-INDEX('UA-normalized'!$E:$E, MATCH($A134, 'UA-normalized'!$A:$A, 0))&gt;0, -(14*INDEX('UA-normalized'!$D:$D, MATCH($A134, 'UA-normalized'!$A:$A, 0))-INDEX('UA-normalized'!$E:$E, MATCH($A134, 'UA-normalized'!$A:$A, 0))), 0), 0))+(IFERROR(IF(14*INDEX('KZ-normalized'!$D:$D, MATCH($A134, 'KZ-normalized'!$A:$A, 0))-INDEX('KZ-normalized'!$E:$E, MATCH($A134, 'KZ-normalized'!$A:$A, 0))&gt;0, -(14*INDEX('KZ-normalized'!$D:$D, MATCH($A134, 'KZ-normalized'!$A:$A, 0))-INDEX('KZ-normalized'!$E:$E, MATCH($A134, 'KZ-normalized'!$A:$A, 0))), 0), 0))+(IFERROR(IF(14*INDEX('UZ-normalized'!$D:$D, MATCH($A134, 'UZ-normalized'!$A:$A, 0))-INDEX('UZ-normalized'!$E:$E, MATCH($A134, 'UZ-normalized'!$A:$A, 0))&gt;0, -(14*INDEX('UZ-normalized'!$D:$D, MATCH($A134, 'UZ-normalized'!$A:$A, 0))-INDEX('UZ-normalized'!$E:$E, MATCH($A134, 'UZ-normalized'!$A:$A, 0))), 0), 0)))</f>
        <v>-42</v>
      </c>
      <c r="AC134" s="6">
        <f>MIN(0, N134+(IFERROR(IF(15*INDEX('UA-normalized'!$D:$D, MATCH($A134, 'UA-normalized'!$A:$A, 0))-INDEX('UA-normalized'!$E:$E, MATCH($A134, 'UA-normalized'!$A:$A, 0))&gt;0, -(15*INDEX('UA-normalized'!$D:$D, MATCH($A134, 'UA-normalized'!$A:$A, 0))-INDEX('UA-normalized'!$E:$E, MATCH($A134, 'UA-normalized'!$A:$A, 0))), 0), 0))+(IFERROR(IF(15*INDEX('KZ-normalized'!$D:$D, MATCH($A134, 'KZ-normalized'!$A:$A, 0))-INDEX('KZ-normalized'!$E:$E, MATCH($A134, 'KZ-normalized'!$A:$A, 0))&gt;0, -(15*INDEX('KZ-normalized'!$D:$D, MATCH($A134, 'KZ-normalized'!$A:$A, 0))-INDEX('KZ-normalized'!$E:$E, MATCH($A134, 'KZ-normalized'!$A:$A, 0))), 0), 0))+(IFERROR(IF(15*INDEX('UZ-normalized'!$D:$D, MATCH($A134, 'UZ-normalized'!$A:$A, 0))-INDEX('UZ-normalized'!$E:$E, MATCH($A134, 'UZ-normalized'!$A:$A, 0))&gt;0, -(15*INDEX('UZ-normalized'!$D:$D, MATCH($A134, 'UZ-normalized'!$A:$A, 0))-INDEX('UZ-normalized'!$E:$E, MATCH($A134, 'UZ-normalized'!$A:$A, 0))), 0), 0)))</f>
        <v>-56.5</v>
      </c>
      <c r="AD134" s="6">
        <f>MIN(0, N134+(IFERROR(IF(16*INDEX('UA-normalized'!$D:$D, MATCH($A134, 'UA-normalized'!$A:$A, 0))-INDEX('UA-normalized'!$E:$E, MATCH($A134, 'UA-normalized'!$A:$A, 0))&gt;0, -(16*INDEX('UA-normalized'!$D:$D, MATCH($A134, 'UA-normalized'!$A:$A, 0))-INDEX('UA-normalized'!$E:$E, MATCH($A134, 'UA-normalized'!$A:$A, 0))), 0), 0))+(IFERROR(IF(16*INDEX('KZ-normalized'!$D:$D, MATCH($A134, 'KZ-normalized'!$A:$A, 0))-INDEX('KZ-normalized'!$E:$E, MATCH($A134, 'KZ-normalized'!$A:$A, 0))&gt;0, -(16*INDEX('KZ-normalized'!$D:$D, MATCH($A134, 'KZ-normalized'!$A:$A, 0))-INDEX('KZ-normalized'!$E:$E, MATCH($A134, 'KZ-normalized'!$A:$A, 0))), 0), 0))+(IFERROR(IF(16*INDEX('UZ-normalized'!$D:$D, MATCH($A134, 'UZ-normalized'!$A:$A, 0))-INDEX('UZ-normalized'!$E:$E, MATCH($A134, 'UZ-normalized'!$A:$A, 0))&gt;0, -(16*INDEX('UZ-normalized'!$D:$D, MATCH($A134, 'UZ-normalized'!$A:$A, 0))-INDEX('UZ-normalized'!$E:$E, MATCH($A134, 'UZ-normalized'!$A:$A, 0))), 0), 0)))</f>
        <v>-71</v>
      </c>
      <c r="AE134" s="6">
        <f>MIN(0, N134+(IFERROR(IF(17*INDEX('UA-normalized'!$D:$D, MATCH($A134, 'UA-normalized'!$A:$A, 0))-INDEX('UA-normalized'!$E:$E, MATCH($A134, 'UA-normalized'!$A:$A, 0))&gt;0, -(17*INDEX('UA-normalized'!$D:$D, MATCH($A134, 'UA-normalized'!$A:$A, 0))-INDEX('UA-normalized'!$E:$E, MATCH($A134, 'UA-normalized'!$A:$A, 0))), 0), 0))+(IFERROR(IF(17*INDEX('KZ-normalized'!$D:$D, MATCH($A134, 'KZ-normalized'!$A:$A, 0))-INDEX('KZ-normalized'!$E:$E, MATCH($A134, 'KZ-normalized'!$A:$A, 0))&gt;0, -(17*INDEX('KZ-normalized'!$D:$D, MATCH($A134, 'KZ-normalized'!$A:$A, 0))-INDEX('KZ-normalized'!$E:$E, MATCH($A134, 'KZ-normalized'!$A:$A, 0))), 0), 0))+(IFERROR(IF(17*INDEX('UZ-normalized'!$D:$D, MATCH($A134, 'UZ-normalized'!$A:$A, 0))-INDEX('UZ-normalized'!$E:$E, MATCH($A134, 'UZ-normalized'!$A:$A, 0))&gt;0, -(17*INDEX('UZ-normalized'!$D:$D, MATCH($A134, 'UZ-normalized'!$A:$A, 0))-INDEX('UZ-normalized'!$E:$E, MATCH($A134, 'UZ-normalized'!$A:$A, 0))), 0), 0)))</f>
        <v>-85.5</v>
      </c>
      <c r="AF134" s="6">
        <f>MIN(0, N134+(IFERROR(IF(18*INDEX('UA-normalized'!$D:$D, MATCH($A134, 'UA-normalized'!$A:$A, 0))-INDEX('UA-normalized'!$E:$E, MATCH($A134, 'UA-normalized'!$A:$A, 0))&gt;0, -(18*INDEX('UA-normalized'!$D:$D, MATCH($A134, 'UA-normalized'!$A:$A, 0))-INDEX('UA-normalized'!$E:$E, MATCH($A134, 'UA-normalized'!$A:$A, 0))), 0), 0))+(IFERROR(IF(18*INDEX('KZ-normalized'!$D:$D, MATCH($A134, 'KZ-normalized'!$A:$A, 0))-INDEX('KZ-normalized'!$E:$E, MATCH($A134, 'KZ-normalized'!$A:$A, 0))&gt;0, -(18*INDEX('KZ-normalized'!$D:$D, MATCH($A134, 'KZ-normalized'!$A:$A, 0))-INDEX('KZ-normalized'!$E:$E, MATCH($A134, 'KZ-normalized'!$A:$A, 0))), 0), 0))+(IFERROR(IF(18*INDEX('UZ-normalized'!$D:$D, MATCH($A134, 'UZ-normalized'!$A:$A, 0))-INDEX('UZ-normalized'!$E:$E, MATCH($A134, 'UZ-normalized'!$A:$A, 0))&gt;0, -(18*INDEX('UZ-normalized'!$D:$D, MATCH($A134, 'UZ-normalized'!$A:$A, 0))-INDEX('UZ-normalized'!$E:$E, MATCH($A134, 'UZ-normalized'!$A:$A, 0))), 0), 0)))</f>
        <v>-100</v>
      </c>
      <c r="AG134" s="6">
        <f>MIN(0, N134+(IFERROR(IF(19*INDEX('UA-normalized'!$D:$D, MATCH($A134, 'UA-normalized'!$A:$A, 0))-INDEX('UA-normalized'!$E:$E, MATCH($A134, 'UA-normalized'!$A:$A, 0))&gt;0, -(19*INDEX('UA-normalized'!$D:$D, MATCH($A134, 'UA-normalized'!$A:$A, 0))-INDEX('UA-normalized'!$E:$E, MATCH($A134, 'UA-normalized'!$A:$A, 0))), 0), 0))+(IFERROR(IF(19*INDEX('KZ-normalized'!$D:$D, MATCH($A134, 'KZ-normalized'!$A:$A, 0))-INDEX('KZ-normalized'!$E:$E, MATCH($A134, 'KZ-normalized'!$A:$A, 0))&gt;0, -(19*INDEX('KZ-normalized'!$D:$D, MATCH($A134, 'KZ-normalized'!$A:$A, 0))-INDEX('KZ-normalized'!$E:$E, MATCH($A134, 'KZ-normalized'!$A:$A, 0))), 0), 0))+(IFERROR(IF(19*INDEX('UZ-normalized'!$D:$D, MATCH($A134, 'UZ-normalized'!$A:$A, 0))-INDEX('UZ-normalized'!$E:$E, MATCH($A134, 'UZ-normalized'!$A:$A, 0))&gt;0, -(19*INDEX('UZ-normalized'!$D:$D, MATCH($A134, 'UZ-normalized'!$A:$A, 0))-INDEX('UZ-normalized'!$E:$E, MATCH($A134, 'UZ-normalized'!$A:$A, 0))), 0), 0)))</f>
        <v>-114.5</v>
      </c>
      <c r="AH134" s="6">
        <f>MIN(0, N134+(IFERROR(IF(20*INDEX('UA-normalized'!$D:$D, MATCH($A134, 'UA-normalized'!$A:$A, 0))-INDEX('UA-normalized'!$E:$E, MATCH($A134, 'UA-normalized'!$A:$A, 0))&gt;0, -(20*INDEX('UA-normalized'!$D:$D, MATCH($A134, 'UA-normalized'!$A:$A, 0))-INDEX('UA-normalized'!$E:$E, MATCH($A134, 'UA-normalized'!$A:$A, 0))), 0), 0))+(IFERROR(IF(20*INDEX('KZ-normalized'!$D:$D, MATCH($A134, 'KZ-normalized'!$A:$A, 0))-INDEX('KZ-normalized'!$E:$E, MATCH($A134, 'KZ-normalized'!$A:$A, 0))&gt;0, -(20*INDEX('KZ-normalized'!$D:$D, MATCH($A134, 'KZ-normalized'!$A:$A, 0))-INDEX('KZ-normalized'!$E:$E, MATCH($A134, 'KZ-normalized'!$A:$A, 0))), 0), 0))+(IFERROR(IF(20*INDEX('UZ-normalized'!$D:$D, MATCH($A134, 'UZ-normalized'!$A:$A, 0))-INDEX('UZ-normalized'!$E:$E, MATCH($A134, 'UZ-normalized'!$A:$A, 0))&gt;0, -(20*INDEX('UZ-normalized'!$D:$D, MATCH($A134, 'UZ-normalized'!$A:$A, 0))-INDEX('UZ-normalized'!$E:$E, MATCH($A134, 'UZ-normalized'!$A:$A, 0))), 0), 0)))</f>
        <v>-129</v>
      </c>
      <c r="AI134" s="6">
        <f>MIN(0, N134+(IFERROR(IF(21*INDEX('UA-normalized'!$D:$D, MATCH($A134, 'UA-normalized'!$A:$A, 0))-INDEX('UA-normalized'!$E:$E, MATCH($A134, 'UA-normalized'!$A:$A, 0))&gt;0, -(21*INDEX('UA-normalized'!$D:$D, MATCH($A134, 'UA-normalized'!$A:$A, 0))-INDEX('UA-normalized'!$E:$E, MATCH($A134, 'UA-normalized'!$A:$A, 0))), 0), 0))+(IFERROR(IF(21*INDEX('KZ-normalized'!$D:$D, MATCH($A134, 'KZ-normalized'!$A:$A, 0))-INDEX('KZ-normalized'!$E:$E, MATCH($A134, 'KZ-normalized'!$A:$A, 0))&gt;0, -(21*INDEX('KZ-normalized'!$D:$D, MATCH($A134, 'KZ-normalized'!$A:$A, 0))-INDEX('KZ-normalized'!$E:$E, MATCH($A134, 'KZ-normalized'!$A:$A, 0))), 0), 0))+(IFERROR(IF(21*INDEX('UZ-normalized'!$D:$D, MATCH($A134, 'UZ-normalized'!$A:$A, 0))-INDEX('UZ-normalized'!$E:$E, MATCH($A134, 'UZ-normalized'!$A:$A, 0))&gt;0, -(21*INDEX('UZ-normalized'!$D:$D, MATCH($A134, 'UZ-normalized'!$A:$A, 0))-INDEX('UZ-normalized'!$E:$E, MATCH($A134, 'UZ-normalized'!$A:$A, 0))), 0), 0)))</f>
        <v>-143.5</v>
      </c>
      <c r="AJ134" s="6">
        <f>MIN(0, N134+(IFERROR(IF(22*INDEX('UA-normalized'!$D:$D, MATCH($A134, 'UA-normalized'!$A:$A, 0))-INDEX('UA-normalized'!$E:$E, MATCH($A134, 'UA-normalized'!$A:$A, 0))&gt;0, -(22*INDEX('UA-normalized'!$D:$D, MATCH($A134, 'UA-normalized'!$A:$A, 0))-INDEX('UA-normalized'!$E:$E, MATCH($A134, 'UA-normalized'!$A:$A, 0))), 0), 0))+(IFERROR(IF(22*INDEX('KZ-normalized'!$D:$D, MATCH($A134, 'KZ-normalized'!$A:$A, 0))-INDEX('KZ-normalized'!$E:$E, MATCH($A134, 'KZ-normalized'!$A:$A, 0))&gt;0, -(22*INDEX('KZ-normalized'!$D:$D, MATCH($A134, 'KZ-normalized'!$A:$A, 0))-INDEX('KZ-normalized'!$E:$E, MATCH($A134, 'KZ-normalized'!$A:$A, 0))), 0), 0))+(IFERROR(IF(22*INDEX('UZ-normalized'!$D:$D, MATCH($A134, 'UZ-normalized'!$A:$A, 0))-INDEX('UZ-normalized'!$E:$E, MATCH($A134, 'UZ-normalized'!$A:$A, 0))&gt;0, -(22*INDEX('UZ-normalized'!$D:$D, MATCH($A134, 'UZ-normalized'!$A:$A, 0))-INDEX('UZ-normalized'!$E:$E, MATCH($A134, 'UZ-normalized'!$A:$A, 0))), 0), 0)))</f>
        <v>-158</v>
      </c>
      <c r="AK134" s="6">
        <f>MIN(0, N134+(IFERROR(IF(23*INDEX('UA-normalized'!$D:$D, MATCH($A134, 'UA-normalized'!$A:$A, 0))-INDEX('UA-normalized'!$E:$E, MATCH($A134, 'UA-normalized'!$A:$A, 0))&gt;0, -(23*INDEX('UA-normalized'!$D:$D, MATCH($A134, 'UA-normalized'!$A:$A, 0))-INDEX('UA-normalized'!$E:$E, MATCH($A134, 'UA-normalized'!$A:$A, 0))), 0), 0))+(IFERROR(IF(23*INDEX('KZ-normalized'!$D:$D, MATCH($A134, 'KZ-normalized'!$A:$A, 0))-INDEX('KZ-normalized'!$E:$E, MATCH($A134, 'KZ-normalized'!$A:$A, 0))&gt;0, -(23*INDEX('KZ-normalized'!$D:$D, MATCH($A134, 'KZ-normalized'!$A:$A, 0))-INDEX('KZ-normalized'!$E:$E, MATCH($A134, 'KZ-normalized'!$A:$A, 0))), 0), 0))+(IFERROR(IF(23*INDEX('UZ-normalized'!$D:$D, MATCH($A134, 'UZ-normalized'!$A:$A, 0))-INDEX('UZ-normalized'!$E:$E, MATCH($A134, 'UZ-normalized'!$A:$A, 0))&gt;0, -(23*INDEX('UZ-normalized'!$D:$D, MATCH($A134, 'UZ-normalized'!$A:$A, 0))-INDEX('UZ-normalized'!$E:$E, MATCH($A134, 'UZ-normalized'!$A:$A, 0))), 0), 0)))</f>
        <v>-172.5</v>
      </c>
      <c r="AL134" s="6">
        <f>MIN(0, N134+(IFERROR(IF(24*INDEX('UA-normalized'!$D:$D, MATCH($A134, 'UA-normalized'!$A:$A, 0))-INDEX('UA-normalized'!$E:$E, MATCH($A134, 'UA-normalized'!$A:$A, 0))&gt;0, -(24*INDEX('UA-normalized'!$D:$D, MATCH($A134, 'UA-normalized'!$A:$A, 0))-INDEX('UA-normalized'!$E:$E, MATCH($A134, 'UA-normalized'!$A:$A, 0))), 0), 0))+(IFERROR(IF(24*INDEX('KZ-normalized'!$D:$D, MATCH($A134, 'KZ-normalized'!$A:$A, 0))-INDEX('KZ-normalized'!$E:$E, MATCH($A134, 'KZ-normalized'!$A:$A, 0))&gt;0, -(24*INDEX('KZ-normalized'!$D:$D, MATCH($A134, 'KZ-normalized'!$A:$A, 0))-INDEX('KZ-normalized'!$E:$E, MATCH($A134, 'KZ-normalized'!$A:$A, 0))), 0), 0))+(IFERROR(IF(24*INDEX('UZ-normalized'!$D:$D, MATCH($A134, 'UZ-normalized'!$A:$A, 0))-INDEX('UZ-normalized'!$E:$E, MATCH($A134, 'UZ-normalized'!$A:$A, 0))&gt;0, -(24*INDEX('UZ-normalized'!$D:$D, MATCH($A134, 'UZ-normalized'!$A:$A, 0))-INDEX('UZ-normalized'!$E:$E, MATCH($A134, 'UZ-normalized'!$A:$A, 0))), 0), 0)))</f>
        <v>-187</v>
      </c>
      <c r="AM134" s="6">
        <f>MIN(0, N134+(IFERROR(IF(25*INDEX('UA-normalized'!$D:$D, MATCH($A134, 'UA-normalized'!$A:$A, 0))-INDEX('UA-normalized'!$E:$E, MATCH($A134, 'UA-normalized'!$A:$A, 0))&gt;0, -(25*INDEX('UA-normalized'!$D:$D, MATCH($A134, 'UA-normalized'!$A:$A, 0))-INDEX('UA-normalized'!$E:$E, MATCH($A134, 'UA-normalized'!$A:$A, 0))), 0), 0))+(IFERROR(IF(25*INDEX('KZ-normalized'!$D:$D, MATCH($A134, 'KZ-normalized'!$A:$A, 0))-INDEX('KZ-normalized'!$E:$E, MATCH($A134, 'KZ-normalized'!$A:$A, 0))&gt;0, -(25*INDEX('KZ-normalized'!$D:$D, MATCH($A134, 'KZ-normalized'!$A:$A, 0))-INDEX('KZ-normalized'!$E:$E, MATCH($A134, 'KZ-normalized'!$A:$A, 0))), 0), 0))+(IFERROR(IF(25*INDEX('UZ-normalized'!$D:$D, MATCH($A134, 'UZ-normalized'!$A:$A, 0))-INDEX('UZ-normalized'!$E:$E, MATCH($A134, 'UZ-normalized'!$A:$A, 0))&gt;0, -(25*INDEX('UZ-normalized'!$D:$D, MATCH($A134, 'UZ-normalized'!$A:$A, 0))-INDEX('UZ-normalized'!$E:$E, MATCH($A134, 'UZ-normalized'!$A:$A, 0))), 0), 0)))</f>
        <v>-201.5</v>
      </c>
      <c r="AN134" s="6">
        <f>MIN(0, N134+(IFERROR(IF(26*INDEX('UA-normalized'!$D:$D, MATCH($A134, 'UA-normalized'!$A:$A, 0))-INDEX('UA-normalized'!$E:$E, MATCH($A134, 'UA-normalized'!$A:$A, 0))&gt;0, -(26*INDEX('UA-normalized'!$D:$D, MATCH($A134, 'UA-normalized'!$A:$A, 0))-INDEX('UA-normalized'!$E:$E, MATCH($A134, 'UA-normalized'!$A:$A, 0))), 0), 0))+(IFERROR(IF(26*INDEX('KZ-normalized'!$D:$D, MATCH($A134, 'KZ-normalized'!$A:$A, 0))-INDEX('KZ-normalized'!$E:$E, MATCH($A134, 'KZ-normalized'!$A:$A, 0))&gt;0, -(26*INDEX('KZ-normalized'!$D:$D, MATCH($A134, 'KZ-normalized'!$A:$A, 0))-INDEX('KZ-normalized'!$E:$E, MATCH($A134, 'KZ-normalized'!$A:$A, 0))), 0), 0))+(IFERROR(IF(26*INDEX('UZ-normalized'!$D:$D, MATCH($A134, 'UZ-normalized'!$A:$A, 0))-INDEX('UZ-normalized'!$E:$E, MATCH($A134, 'UZ-normalized'!$A:$A, 0))&gt;0, -(26*INDEX('UZ-normalized'!$D:$D, MATCH($A134, 'UZ-normalized'!$A:$A, 0))-INDEX('UZ-normalized'!$E:$E, MATCH($A134, 'UZ-normalized'!$A:$A, 0))), 0), 0)))</f>
        <v>-216</v>
      </c>
      <c r="AO134" s="6">
        <f>MIN(0, N134+(IFERROR(IF(27*INDEX('UA-normalized'!$D:$D, MATCH($A134, 'UA-normalized'!$A:$A, 0))-INDEX('UA-normalized'!$E:$E, MATCH($A134, 'UA-normalized'!$A:$A, 0))&gt;0, -(27*INDEX('UA-normalized'!$D:$D, MATCH($A134, 'UA-normalized'!$A:$A, 0))-INDEX('UA-normalized'!$E:$E, MATCH($A134, 'UA-normalized'!$A:$A, 0))), 0), 0))+(IFERROR(IF(27*INDEX('KZ-normalized'!$D:$D, MATCH($A134, 'KZ-normalized'!$A:$A, 0))-INDEX('KZ-normalized'!$E:$E, MATCH($A134, 'KZ-normalized'!$A:$A, 0))&gt;0, -(27*INDEX('KZ-normalized'!$D:$D, MATCH($A134, 'KZ-normalized'!$A:$A, 0))-INDEX('KZ-normalized'!$E:$E, MATCH($A134, 'KZ-normalized'!$A:$A, 0))), 0), 0))+(IFERROR(IF(27*INDEX('UZ-normalized'!$D:$D, MATCH($A134, 'UZ-normalized'!$A:$A, 0))-INDEX('UZ-normalized'!$E:$E, MATCH($A134, 'UZ-normalized'!$A:$A, 0))&gt;0, -(27*INDEX('UZ-normalized'!$D:$D, MATCH($A134, 'UZ-normalized'!$A:$A, 0))-INDEX('UZ-normalized'!$E:$E, MATCH($A134, 'UZ-normalized'!$A:$A, 0))), 0), 0)))</f>
        <v>-230.5</v>
      </c>
      <c r="AP134" s="6">
        <f>MIN(0, N134+(IFERROR(IF(28*INDEX('UA-normalized'!$D:$D, MATCH($A134, 'UA-normalized'!$A:$A, 0))-INDEX('UA-normalized'!$E:$E, MATCH($A134, 'UA-normalized'!$A:$A, 0))&gt;0, -(28*INDEX('UA-normalized'!$D:$D, MATCH($A134, 'UA-normalized'!$A:$A, 0))-INDEX('UA-normalized'!$E:$E, MATCH($A134, 'UA-normalized'!$A:$A, 0))), 0), 0))+(IFERROR(IF(28*INDEX('KZ-normalized'!$D:$D, MATCH($A134, 'KZ-normalized'!$A:$A, 0))-INDEX('KZ-normalized'!$E:$E, MATCH($A134, 'KZ-normalized'!$A:$A, 0))&gt;0, -(28*INDEX('KZ-normalized'!$D:$D, MATCH($A134, 'KZ-normalized'!$A:$A, 0))-INDEX('KZ-normalized'!$E:$E, MATCH($A134, 'KZ-normalized'!$A:$A, 0))), 0), 0))+(IFERROR(IF(28*INDEX('UZ-normalized'!$D:$D, MATCH($A134, 'UZ-normalized'!$A:$A, 0))-INDEX('UZ-normalized'!$E:$E, MATCH($A134, 'UZ-normalized'!$A:$A, 0))&gt;0, -(28*INDEX('UZ-normalized'!$D:$D, MATCH($A134, 'UZ-normalized'!$A:$A, 0))-INDEX('UZ-normalized'!$E:$E, MATCH($A134, 'UZ-normalized'!$A:$A, 0))), 0), 0)))</f>
        <v>-245</v>
      </c>
      <c r="AQ134" s="6">
        <f>MIN(0, N134+(IFERROR(IF(29*INDEX('UA-normalized'!$D:$D, MATCH($A134, 'UA-normalized'!$A:$A, 0))-INDEX('UA-normalized'!$E:$E, MATCH($A134, 'UA-normalized'!$A:$A, 0))&gt;0, -(29*INDEX('UA-normalized'!$D:$D, MATCH($A134, 'UA-normalized'!$A:$A, 0))-INDEX('UA-normalized'!$E:$E, MATCH($A134, 'UA-normalized'!$A:$A, 0))), 0), 0))+(IFERROR(IF(29*INDEX('KZ-normalized'!$D:$D, MATCH($A134, 'KZ-normalized'!$A:$A, 0))-INDEX('KZ-normalized'!$E:$E, MATCH($A134, 'KZ-normalized'!$A:$A, 0))&gt;0, -(29*INDEX('KZ-normalized'!$D:$D, MATCH($A134, 'KZ-normalized'!$A:$A, 0))-INDEX('KZ-normalized'!$E:$E, MATCH($A134, 'KZ-normalized'!$A:$A, 0))), 0), 0))+(IFERROR(IF(29*INDEX('UZ-normalized'!$D:$D, MATCH($A134, 'UZ-normalized'!$A:$A, 0))-INDEX('UZ-normalized'!$E:$E, MATCH($A134, 'UZ-normalized'!$A:$A, 0))&gt;0, -(29*INDEX('UZ-normalized'!$D:$D, MATCH($A134, 'UZ-normalized'!$A:$A, 0))-INDEX('UZ-normalized'!$E:$E, MATCH($A134, 'UZ-normalized'!$A:$A, 0))), 0), 0)))</f>
        <v>-259.5</v>
      </c>
      <c r="AR134" s="6">
        <f>MIN(0, N134+(IFERROR(IF(30*INDEX('UA-normalized'!$D:$D, MATCH($A134, 'UA-normalized'!$A:$A, 0))-INDEX('UA-normalized'!$E:$E, MATCH($A134, 'UA-normalized'!$A:$A, 0))&gt;0, -(30*INDEX('UA-normalized'!$D:$D, MATCH($A134, 'UA-normalized'!$A:$A, 0))-INDEX('UA-normalized'!$E:$E, MATCH($A134, 'UA-normalized'!$A:$A, 0))), 0), 0))+(IFERROR(IF(30*INDEX('KZ-normalized'!$D:$D, MATCH($A134, 'KZ-normalized'!$A:$A, 0))-INDEX('KZ-normalized'!$E:$E, MATCH($A134, 'KZ-normalized'!$A:$A, 0))&gt;0, -(30*INDEX('KZ-normalized'!$D:$D, MATCH($A134, 'KZ-normalized'!$A:$A, 0))-INDEX('KZ-normalized'!$E:$E, MATCH($A134, 'KZ-normalized'!$A:$A, 0))), 0), 0))+(IFERROR(IF(30*INDEX('UZ-normalized'!$D:$D, MATCH($A134, 'UZ-normalized'!$A:$A, 0))-INDEX('UZ-normalized'!$E:$E, MATCH($A134, 'UZ-normalized'!$A:$A, 0))&gt;0, -(30*INDEX('UZ-normalized'!$D:$D, MATCH($A134, 'UZ-normalized'!$A:$A, 0))-INDEX('UZ-normalized'!$E:$E, MATCH($A134, 'UZ-normalized'!$A:$A, 0))), 0), 0)))</f>
        <v>-274</v>
      </c>
    </row>
    <row r="135" spans="1:44" x14ac:dyDescent="0.25">
      <c r="A135" s="8" t="s">
        <v>327</v>
      </c>
      <c r="B135" s="8" t="s">
        <v>317</v>
      </c>
      <c r="C135" s="8" t="s">
        <v>325</v>
      </c>
      <c r="D135" s="8" t="s">
        <v>328</v>
      </c>
      <c r="N135">
        <f t="shared" si="2"/>
        <v>0</v>
      </c>
      <c r="O135" s="6">
        <f>MIN(0, N135+(IFERROR(IF(1*INDEX('UA-normalized'!$D:$D, MATCH($A135, 'UA-normalized'!$A:$A, 0))-INDEX('UA-normalized'!$E:$E, MATCH($A135, 'UA-normalized'!$A:$A, 0))&gt;0, -(1*INDEX('UA-normalized'!$D:$D, MATCH($A135, 'UA-normalized'!$A:$A, 0))-INDEX('UA-normalized'!$E:$E, MATCH($A135, 'UA-normalized'!$A:$A, 0))), 0), 0))+(IFERROR(IF(1*INDEX('KZ-normalized'!$D:$D, MATCH($A135, 'KZ-normalized'!$A:$A, 0))-INDEX('KZ-normalized'!$E:$E, MATCH($A135, 'KZ-normalized'!$A:$A, 0))&gt;0, -(1*INDEX('KZ-normalized'!$D:$D, MATCH($A135, 'KZ-normalized'!$A:$A, 0))-INDEX('KZ-normalized'!$E:$E, MATCH($A135, 'KZ-normalized'!$A:$A, 0))), 0), 0))+(IFERROR(IF(1*INDEX('UZ-normalized'!$D:$D, MATCH($A135, 'UZ-normalized'!$A:$A, 0))-INDEX('UZ-normalized'!$E:$E, MATCH($A135, 'UZ-normalized'!$A:$A, 0))&gt;0, -(1*INDEX('UZ-normalized'!$D:$D, MATCH($A135, 'UZ-normalized'!$A:$A, 0))-INDEX('UZ-normalized'!$E:$E, MATCH($A135, 'UZ-normalized'!$A:$A, 0))), 0), 0)))</f>
        <v>0</v>
      </c>
      <c r="P135" s="6">
        <f>MIN(0, N135+(IFERROR(IF(2*INDEX('UA-normalized'!$D:$D, MATCH($A135, 'UA-normalized'!$A:$A, 0))-INDEX('UA-normalized'!$E:$E, MATCH($A135, 'UA-normalized'!$A:$A, 0))&gt;0, -(2*INDEX('UA-normalized'!$D:$D, MATCH($A135, 'UA-normalized'!$A:$A, 0))-INDEX('UA-normalized'!$E:$E, MATCH($A135, 'UA-normalized'!$A:$A, 0))), 0), 0))+(IFERROR(IF(2*INDEX('KZ-normalized'!$D:$D, MATCH($A135, 'KZ-normalized'!$A:$A, 0))-INDEX('KZ-normalized'!$E:$E, MATCH($A135, 'KZ-normalized'!$A:$A, 0))&gt;0, -(2*INDEX('KZ-normalized'!$D:$D, MATCH($A135, 'KZ-normalized'!$A:$A, 0))-INDEX('KZ-normalized'!$E:$E, MATCH($A135, 'KZ-normalized'!$A:$A, 0))), 0), 0))+(IFERROR(IF(2*INDEX('UZ-normalized'!$D:$D, MATCH($A135, 'UZ-normalized'!$A:$A, 0))-INDEX('UZ-normalized'!$E:$E, MATCH($A135, 'UZ-normalized'!$A:$A, 0))&gt;0, -(2*INDEX('UZ-normalized'!$D:$D, MATCH($A135, 'UZ-normalized'!$A:$A, 0))-INDEX('UZ-normalized'!$E:$E, MATCH($A135, 'UZ-normalized'!$A:$A, 0))), 0), 0)))</f>
        <v>0</v>
      </c>
      <c r="Q135" s="6">
        <f>MIN(0, N135+(IFERROR(IF(3*INDEX('UA-normalized'!$D:$D, MATCH($A135, 'UA-normalized'!$A:$A, 0))-INDEX('UA-normalized'!$E:$E, MATCH($A135, 'UA-normalized'!$A:$A, 0))&gt;0, -(3*INDEX('UA-normalized'!$D:$D, MATCH($A135, 'UA-normalized'!$A:$A, 0))-INDEX('UA-normalized'!$E:$E, MATCH($A135, 'UA-normalized'!$A:$A, 0))), 0), 0))+(IFERROR(IF(3*INDEX('KZ-normalized'!$D:$D, MATCH($A135, 'KZ-normalized'!$A:$A, 0))-INDEX('KZ-normalized'!$E:$E, MATCH($A135, 'KZ-normalized'!$A:$A, 0))&gt;0, -(3*INDEX('KZ-normalized'!$D:$D, MATCH($A135, 'KZ-normalized'!$A:$A, 0))-INDEX('KZ-normalized'!$E:$E, MATCH($A135, 'KZ-normalized'!$A:$A, 0))), 0), 0))+(IFERROR(IF(3*INDEX('UZ-normalized'!$D:$D, MATCH($A135, 'UZ-normalized'!$A:$A, 0))-INDEX('UZ-normalized'!$E:$E, MATCH($A135, 'UZ-normalized'!$A:$A, 0))&gt;0, -(3*INDEX('UZ-normalized'!$D:$D, MATCH($A135, 'UZ-normalized'!$A:$A, 0))-INDEX('UZ-normalized'!$E:$E, MATCH($A135, 'UZ-normalized'!$A:$A, 0))), 0), 0)))</f>
        <v>0</v>
      </c>
      <c r="R135" s="6">
        <f>MIN(0, N135+(IFERROR(IF(4*INDEX('UA-normalized'!$D:$D, MATCH($A135, 'UA-normalized'!$A:$A, 0))-INDEX('UA-normalized'!$E:$E, MATCH($A135, 'UA-normalized'!$A:$A, 0))&gt;0, -(4*INDEX('UA-normalized'!$D:$D, MATCH($A135, 'UA-normalized'!$A:$A, 0))-INDEX('UA-normalized'!$E:$E, MATCH($A135, 'UA-normalized'!$A:$A, 0))), 0), 0))+(IFERROR(IF(4*INDEX('KZ-normalized'!$D:$D, MATCH($A135, 'KZ-normalized'!$A:$A, 0))-INDEX('KZ-normalized'!$E:$E, MATCH($A135, 'KZ-normalized'!$A:$A, 0))&gt;0, -(4*INDEX('KZ-normalized'!$D:$D, MATCH($A135, 'KZ-normalized'!$A:$A, 0))-INDEX('KZ-normalized'!$E:$E, MATCH($A135, 'KZ-normalized'!$A:$A, 0))), 0), 0))+(IFERROR(IF(4*INDEX('UZ-normalized'!$D:$D, MATCH($A135, 'UZ-normalized'!$A:$A, 0))-INDEX('UZ-normalized'!$E:$E, MATCH($A135, 'UZ-normalized'!$A:$A, 0))&gt;0, -(4*INDEX('UZ-normalized'!$D:$D, MATCH($A135, 'UZ-normalized'!$A:$A, 0))-INDEX('UZ-normalized'!$E:$E, MATCH($A135, 'UZ-normalized'!$A:$A, 0))), 0), 0)))</f>
        <v>0</v>
      </c>
      <c r="S135" s="6">
        <f>MIN(0, N135+(IFERROR(IF(5*INDEX('UA-normalized'!$D:$D, MATCH($A135, 'UA-normalized'!$A:$A, 0))-INDEX('UA-normalized'!$E:$E, MATCH($A135, 'UA-normalized'!$A:$A, 0))&gt;0, -(5*INDEX('UA-normalized'!$D:$D, MATCH($A135, 'UA-normalized'!$A:$A, 0))-INDEX('UA-normalized'!$E:$E, MATCH($A135, 'UA-normalized'!$A:$A, 0))), 0), 0))+(IFERROR(IF(5*INDEX('KZ-normalized'!$D:$D, MATCH($A135, 'KZ-normalized'!$A:$A, 0))-INDEX('KZ-normalized'!$E:$E, MATCH($A135, 'KZ-normalized'!$A:$A, 0))&gt;0, -(5*INDEX('KZ-normalized'!$D:$D, MATCH($A135, 'KZ-normalized'!$A:$A, 0))-INDEX('KZ-normalized'!$E:$E, MATCH($A135, 'KZ-normalized'!$A:$A, 0))), 0), 0))+(IFERROR(IF(5*INDEX('UZ-normalized'!$D:$D, MATCH($A135, 'UZ-normalized'!$A:$A, 0))-INDEX('UZ-normalized'!$E:$E, MATCH($A135, 'UZ-normalized'!$A:$A, 0))&gt;0, -(5*INDEX('UZ-normalized'!$D:$D, MATCH($A135, 'UZ-normalized'!$A:$A, 0))-INDEX('UZ-normalized'!$E:$E, MATCH($A135, 'UZ-normalized'!$A:$A, 0))), 0), 0)))</f>
        <v>0</v>
      </c>
      <c r="T135" s="6">
        <f>MIN(0, N135+(IFERROR(IF(6*INDEX('UA-normalized'!$D:$D, MATCH($A135, 'UA-normalized'!$A:$A, 0))-INDEX('UA-normalized'!$E:$E, MATCH($A135, 'UA-normalized'!$A:$A, 0))&gt;0, -(6*INDEX('UA-normalized'!$D:$D, MATCH($A135, 'UA-normalized'!$A:$A, 0))-INDEX('UA-normalized'!$E:$E, MATCH($A135, 'UA-normalized'!$A:$A, 0))), 0), 0))+(IFERROR(IF(6*INDEX('KZ-normalized'!$D:$D, MATCH($A135, 'KZ-normalized'!$A:$A, 0))-INDEX('KZ-normalized'!$E:$E, MATCH($A135, 'KZ-normalized'!$A:$A, 0))&gt;0, -(6*INDEX('KZ-normalized'!$D:$D, MATCH($A135, 'KZ-normalized'!$A:$A, 0))-INDEX('KZ-normalized'!$E:$E, MATCH($A135, 'KZ-normalized'!$A:$A, 0))), 0), 0))+(IFERROR(IF(6*INDEX('UZ-normalized'!$D:$D, MATCH($A135, 'UZ-normalized'!$A:$A, 0))-INDEX('UZ-normalized'!$E:$E, MATCH($A135, 'UZ-normalized'!$A:$A, 0))&gt;0, -(6*INDEX('UZ-normalized'!$D:$D, MATCH($A135, 'UZ-normalized'!$A:$A, 0))-INDEX('UZ-normalized'!$E:$E, MATCH($A135, 'UZ-normalized'!$A:$A, 0))), 0), 0)))</f>
        <v>0</v>
      </c>
      <c r="U135" s="6">
        <f>MIN(0, N135+(IFERROR(IF(7*INDEX('UA-normalized'!$D:$D, MATCH($A135, 'UA-normalized'!$A:$A, 0))-INDEX('UA-normalized'!$E:$E, MATCH($A135, 'UA-normalized'!$A:$A, 0))&gt;0, -(7*INDEX('UA-normalized'!$D:$D, MATCH($A135, 'UA-normalized'!$A:$A, 0))-INDEX('UA-normalized'!$E:$E, MATCH($A135, 'UA-normalized'!$A:$A, 0))), 0), 0))+(IFERROR(IF(7*INDEX('KZ-normalized'!$D:$D, MATCH($A135, 'KZ-normalized'!$A:$A, 0))-INDEX('KZ-normalized'!$E:$E, MATCH($A135, 'KZ-normalized'!$A:$A, 0))&gt;0, -(7*INDEX('KZ-normalized'!$D:$D, MATCH($A135, 'KZ-normalized'!$A:$A, 0))-INDEX('KZ-normalized'!$E:$E, MATCH($A135, 'KZ-normalized'!$A:$A, 0))), 0), 0))+(IFERROR(IF(7*INDEX('UZ-normalized'!$D:$D, MATCH($A135, 'UZ-normalized'!$A:$A, 0))-INDEX('UZ-normalized'!$E:$E, MATCH($A135, 'UZ-normalized'!$A:$A, 0))&gt;0, -(7*INDEX('UZ-normalized'!$D:$D, MATCH($A135, 'UZ-normalized'!$A:$A, 0))-INDEX('UZ-normalized'!$E:$E, MATCH($A135, 'UZ-normalized'!$A:$A, 0))), 0), 0)))</f>
        <v>0</v>
      </c>
      <c r="V135" s="6">
        <f>MIN(0, N135+(IFERROR(IF(8*INDEX('UA-normalized'!$D:$D, MATCH($A135, 'UA-normalized'!$A:$A, 0))-INDEX('UA-normalized'!$E:$E, MATCH($A135, 'UA-normalized'!$A:$A, 0))&gt;0, -(8*INDEX('UA-normalized'!$D:$D, MATCH($A135, 'UA-normalized'!$A:$A, 0))-INDEX('UA-normalized'!$E:$E, MATCH($A135, 'UA-normalized'!$A:$A, 0))), 0), 0))+(IFERROR(IF(8*INDEX('KZ-normalized'!$D:$D, MATCH($A135, 'KZ-normalized'!$A:$A, 0))-INDEX('KZ-normalized'!$E:$E, MATCH($A135, 'KZ-normalized'!$A:$A, 0))&gt;0, -(8*INDEX('KZ-normalized'!$D:$D, MATCH($A135, 'KZ-normalized'!$A:$A, 0))-INDEX('KZ-normalized'!$E:$E, MATCH($A135, 'KZ-normalized'!$A:$A, 0))), 0), 0))+(IFERROR(IF(8*INDEX('UZ-normalized'!$D:$D, MATCH($A135, 'UZ-normalized'!$A:$A, 0))-INDEX('UZ-normalized'!$E:$E, MATCH($A135, 'UZ-normalized'!$A:$A, 0))&gt;0, -(8*INDEX('UZ-normalized'!$D:$D, MATCH($A135, 'UZ-normalized'!$A:$A, 0))-INDEX('UZ-normalized'!$E:$E, MATCH($A135, 'UZ-normalized'!$A:$A, 0))), 0), 0)))</f>
        <v>0</v>
      </c>
      <c r="W135" s="6">
        <f>MIN(0, N135+(IFERROR(IF(9*INDEX('UA-normalized'!$D:$D, MATCH($A135, 'UA-normalized'!$A:$A, 0))-INDEX('UA-normalized'!$E:$E, MATCH($A135, 'UA-normalized'!$A:$A, 0))&gt;0, -(9*INDEX('UA-normalized'!$D:$D, MATCH($A135, 'UA-normalized'!$A:$A, 0))-INDEX('UA-normalized'!$E:$E, MATCH($A135, 'UA-normalized'!$A:$A, 0))), 0), 0))+(IFERROR(IF(9*INDEX('KZ-normalized'!$D:$D, MATCH($A135, 'KZ-normalized'!$A:$A, 0))-INDEX('KZ-normalized'!$E:$E, MATCH($A135, 'KZ-normalized'!$A:$A, 0))&gt;0, -(9*INDEX('KZ-normalized'!$D:$D, MATCH($A135, 'KZ-normalized'!$A:$A, 0))-INDEX('KZ-normalized'!$E:$E, MATCH($A135, 'KZ-normalized'!$A:$A, 0))), 0), 0))+(IFERROR(IF(9*INDEX('UZ-normalized'!$D:$D, MATCH($A135, 'UZ-normalized'!$A:$A, 0))-INDEX('UZ-normalized'!$E:$E, MATCH($A135, 'UZ-normalized'!$A:$A, 0))&gt;0, -(9*INDEX('UZ-normalized'!$D:$D, MATCH($A135, 'UZ-normalized'!$A:$A, 0))-INDEX('UZ-normalized'!$E:$E, MATCH($A135, 'UZ-normalized'!$A:$A, 0))), 0), 0)))</f>
        <v>0</v>
      </c>
      <c r="X135" s="6">
        <f>MIN(0, N135+(IFERROR(IF(10*INDEX('UA-normalized'!$D:$D, MATCH($A135, 'UA-normalized'!$A:$A, 0))-INDEX('UA-normalized'!$E:$E, MATCH($A135, 'UA-normalized'!$A:$A, 0))&gt;0, -(10*INDEX('UA-normalized'!$D:$D, MATCH($A135, 'UA-normalized'!$A:$A, 0))-INDEX('UA-normalized'!$E:$E, MATCH($A135, 'UA-normalized'!$A:$A, 0))), 0), 0))+(IFERROR(IF(10*INDEX('KZ-normalized'!$D:$D, MATCH($A135, 'KZ-normalized'!$A:$A, 0))-INDEX('KZ-normalized'!$E:$E, MATCH($A135, 'KZ-normalized'!$A:$A, 0))&gt;0, -(10*INDEX('KZ-normalized'!$D:$D, MATCH($A135, 'KZ-normalized'!$A:$A, 0))-INDEX('KZ-normalized'!$E:$E, MATCH($A135, 'KZ-normalized'!$A:$A, 0))), 0), 0))+(IFERROR(IF(10*INDEX('UZ-normalized'!$D:$D, MATCH($A135, 'UZ-normalized'!$A:$A, 0))-INDEX('UZ-normalized'!$E:$E, MATCH($A135, 'UZ-normalized'!$A:$A, 0))&gt;0, -(10*INDEX('UZ-normalized'!$D:$D, MATCH($A135, 'UZ-normalized'!$A:$A, 0))-INDEX('UZ-normalized'!$E:$E, MATCH($A135, 'UZ-normalized'!$A:$A, 0))), 0), 0)))</f>
        <v>0</v>
      </c>
      <c r="Y135" s="6">
        <f>MIN(0, N135+(IFERROR(IF(11*INDEX('UA-normalized'!$D:$D, MATCH($A135, 'UA-normalized'!$A:$A, 0))-INDEX('UA-normalized'!$E:$E, MATCH($A135, 'UA-normalized'!$A:$A, 0))&gt;0, -(11*INDEX('UA-normalized'!$D:$D, MATCH($A135, 'UA-normalized'!$A:$A, 0))-INDEX('UA-normalized'!$E:$E, MATCH($A135, 'UA-normalized'!$A:$A, 0))), 0), 0))+(IFERROR(IF(11*INDEX('KZ-normalized'!$D:$D, MATCH($A135, 'KZ-normalized'!$A:$A, 0))-INDEX('KZ-normalized'!$E:$E, MATCH($A135, 'KZ-normalized'!$A:$A, 0))&gt;0, -(11*INDEX('KZ-normalized'!$D:$D, MATCH($A135, 'KZ-normalized'!$A:$A, 0))-INDEX('KZ-normalized'!$E:$E, MATCH($A135, 'KZ-normalized'!$A:$A, 0))), 0), 0))+(IFERROR(IF(11*INDEX('UZ-normalized'!$D:$D, MATCH($A135, 'UZ-normalized'!$A:$A, 0))-INDEX('UZ-normalized'!$E:$E, MATCH($A135, 'UZ-normalized'!$A:$A, 0))&gt;0, -(11*INDEX('UZ-normalized'!$D:$D, MATCH($A135, 'UZ-normalized'!$A:$A, 0))-INDEX('UZ-normalized'!$E:$E, MATCH($A135, 'UZ-normalized'!$A:$A, 0))), 0), 0)))</f>
        <v>0</v>
      </c>
      <c r="Z135" s="6">
        <f>MIN(0, N135+(IFERROR(IF(12*INDEX('UA-normalized'!$D:$D, MATCH($A135, 'UA-normalized'!$A:$A, 0))-INDEX('UA-normalized'!$E:$E, MATCH($A135, 'UA-normalized'!$A:$A, 0))&gt;0, -(12*INDEX('UA-normalized'!$D:$D, MATCH($A135, 'UA-normalized'!$A:$A, 0))-INDEX('UA-normalized'!$E:$E, MATCH($A135, 'UA-normalized'!$A:$A, 0))), 0), 0))+(IFERROR(IF(12*INDEX('KZ-normalized'!$D:$D, MATCH($A135, 'KZ-normalized'!$A:$A, 0))-INDEX('KZ-normalized'!$E:$E, MATCH($A135, 'KZ-normalized'!$A:$A, 0))&gt;0, -(12*INDEX('KZ-normalized'!$D:$D, MATCH($A135, 'KZ-normalized'!$A:$A, 0))-INDEX('KZ-normalized'!$E:$E, MATCH($A135, 'KZ-normalized'!$A:$A, 0))), 0), 0))+(IFERROR(IF(12*INDEX('UZ-normalized'!$D:$D, MATCH($A135, 'UZ-normalized'!$A:$A, 0))-INDEX('UZ-normalized'!$E:$E, MATCH($A135, 'UZ-normalized'!$A:$A, 0))&gt;0, -(12*INDEX('UZ-normalized'!$D:$D, MATCH($A135, 'UZ-normalized'!$A:$A, 0))-INDEX('UZ-normalized'!$E:$E, MATCH($A135, 'UZ-normalized'!$A:$A, 0))), 0), 0)))</f>
        <v>0</v>
      </c>
      <c r="AA135" s="6">
        <f>MIN(0, N135+(IFERROR(IF(13*INDEX('UA-normalized'!$D:$D, MATCH($A135, 'UA-normalized'!$A:$A, 0))-INDEX('UA-normalized'!$E:$E, MATCH($A135, 'UA-normalized'!$A:$A, 0))&gt;0, -(13*INDEX('UA-normalized'!$D:$D, MATCH($A135, 'UA-normalized'!$A:$A, 0))-INDEX('UA-normalized'!$E:$E, MATCH($A135, 'UA-normalized'!$A:$A, 0))), 0), 0))+(IFERROR(IF(13*INDEX('KZ-normalized'!$D:$D, MATCH($A135, 'KZ-normalized'!$A:$A, 0))-INDEX('KZ-normalized'!$E:$E, MATCH($A135, 'KZ-normalized'!$A:$A, 0))&gt;0, -(13*INDEX('KZ-normalized'!$D:$D, MATCH($A135, 'KZ-normalized'!$A:$A, 0))-INDEX('KZ-normalized'!$E:$E, MATCH($A135, 'KZ-normalized'!$A:$A, 0))), 0), 0))+(IFERROR(IF(13*INDEX('UZ-normalized'!$D:$D, MATCH($A135, 'UZ-normalized'!$A:$A, 0))-INDEX('UZ-normalized'!$E:$E, MATCH($A135, 'UZ-normalized'!$A:$A, 0))&gt;0, -(13*INDEX('UZ-normalized'!$D:$D, MATCH($A135, 'UZ-normalized'!$A:$A, 0))-INDEX('UZ-normalized'!$E:$E, MATCH($A135, 'UZ-normalized'!$A:$A, 0))), 0), 0)))</f>
        <v>0</v>
      </c>
      <c r="AB135" s="6">
        <f>MIN(0, N135+(IFERROR(IF(14*INDEX('UA-normalized'!$D:$D, MATCH($A135, 'UA-normalized'!$A:$A, 0))-INDEX('UA-normalized'!$E:$E, MATCH($A135, 'UA-normalized'!$A:$A, 0))&gt;0, -(14*INDEX('UA-normalized'!$D:$D, MATCH($A135, 'UA-normalized'!$A:$A, 0))-INDEX('UA-normalized'!$E:$E, MATCH($A135, 'UA-normalized'!$A:$A, 0))), 0), 0))+(IFERROR(IF(14*INDEX('KZ-normalized'!$D:$D, MATCH($A135, 'KZ-normalized'!$A:$A, 0))-INDEX('KZ-normalized'!$E:$E, MATCH($A135, 'KZ-normalized'!$A:$A, 0))&gt;0, -(14*INDEX('KZ-normalized'!$D:$D, MATCH($A135, 'KZ-normalized'!$A:$A, 0))-INDEX('KZ-normalized'!$E:$E, MATCH($A135, 'KZ-normalized'!$A:$A, 0))), 0), 0))+(IFERROR(IF(14*INDEX('UZ-normalized'!$D:$D, MATCH($A135, 'UZ-normalized'!$A:$A, 0))-INDEX('UZ-normalized'!$E:$E, MATCH($A135, 'UZ-normalized'!$A:$A, 0))&gt;0, -(14*INDEX('UZ-normalized'!$D:$D, MATCH($A135, 'UZ-normalized'!$A:$A, 0))-INDEX('UZ-normalized'!$E:$E, MATCH($A135, 'UZ-normalized'!$A:$A, 0))), 0), 0)))</f>
        <v>0</v>
      </c>
      <c r="AC135" s="6">
        <f>MIN(0, N135+(IFERROR(IF(15*INDEX('UA-normalized'!$D:$D, MATCH($A135, 'UA-normalized'!$A:$A, 0))-INDEX('UA-normalized'!$E:$E, MATCH($A135, 'UA-normalized'!$A:$A, 0))&gt;0, -(15*INDEX('UA-normalized'!$D:$D, MATCH($A135, 'UA-normalized'!$A:$A, 0))-INDEX('UA-normalized'!$E:$E, MATCH($A135, 'UA-normalized'!$A:$A, 0))), 0), 0))+(IFERROR(IF(15*INDEX('KZ-normalized'!$D:$D, MATCH($A135, 'KZ-normalized'!$A:$A, 0))-INDEX('KZ-normalized'!$E:$E, MATCH($A135, 'KZ-normalized'!$A:$A, 0))&gt;0, -(15*INDEX('KZ-normalized'!$D:$D, MATCH($A135, 'KZ-normalized'!$A:$A, 0))-INDEX('KZ-normalized'!$E:$E, MATCH($A135, 'KZ-normalized'!$A:$A, 0))), 0), 0))+(IFERROR(IF(15*INDEX('UZ-normalized'!$D:$D, MATCH($A135, 'UZ-normalized'!$A:$A, 0))-INDEX('UZ-normalized'!$E:$E, MATCH($A135, 'UZ-normalized'!$A:$A, 0))&gt;0, -(15*INDEX('UZ-normalized'!$D:$D, MATCH($A135, 'UZ-normalized'!$A:$A, 0))-INDEX('UZ-normalized'!$E:$E, MATCH($A135, 'UZ-normalized'!$A:$A, 0))), 0), 0)))</f>
        <v>0</v>
      </c>
      <c r="AD135" s="6">
        <f>MIN(0, N135+(IFERROR(IF(16*INDEX('UA-normalized'!$D:$D, MATCH($A135, 'UA-normalized'!$A:$A, 0))-INDEX('UA-normalized'!$E:$E, MATCH($A135, 'UA-normalized'!$A:$A, 0))&gt;0, -(16*INDEX('UA-normalized'!$D:$D, MATCH($A135, 'UA-normalized'!$A:$A, 0))-INDEX('UA-normalized'!$E:$E, MATCH($A135, 'UA-normalized'!$A:$A, 0))), 0), 0))+(IFERROR(IF(16*INDEX('KZ-normalized'!$D:$D, MATCH($A135, 'KZ-normalized'!$A:$A, 0))-INDEX('KZ-normalized'!$E:$E, MATCH($A135, 'KZ-normalized'!$A:$A, 0))&gt;0, -(16*INDEX('KZ-normalized'!$D:$D, MATCH($A135, 'KZ-normalized'!$A:$A, 0))-INDEX('KZ-normalized'!$E:$E, MATCH($A135, 'KZ-normalized'!$A:$A, 0))), 0), 0))+(IFERROR(IF(16*INDEX('UZ-normalized'!$D:$D, MATCH($A135, 'UZ-normalized'!$A:$A, 0))-INDEX('UZ-normalized'!$E:$E, MATCH($A135, 'UZ-normalized'!$A:$A, 0))&gt;0, -(16*INDEX('UZ-normalized'!$D:$D, MATCH($A135, 'UZ-normalized'!$A:$A, 0))-INDEX('UZ-normalized'!$E:$E, MATCH($A135, 'UZ-normalized'!$A:$A, 0))), 0), 0)))</f>
        <v>0</v>
      </c>
      <c r="AE135" s="6">
        <f>MIN(0, N135+(IFERROR(IF(17*INDEX('UA-normalized'!$D:$D, MATCH($A135, 'UA-normalized'!$A:$A, 0))-INDEX('UA-normalized'!$E:$E, MATCH($A135, 'UA-normalized'!$A:$A, 0))&gt;0, -(17*INDEX('UA-normalized'!$D:$D, MATCH($A135, 'UA-normalized'!$A:$A, 0))-INDEX('UA-normalized'!$E:$E, MATCH($A135, 'UA-normalized'!$A:$A, 0))), 0), 0))+(IFERROR(IF(17*INDEX('KZ-normalized'!$D:$D, MATCH($A135, 'KZ-normalized'!$A:$A, 0))-INDEX('KZ-normalized'!$E:$E, MATCH($A135, 'KZ-normalized'!$A:$A, 0))&gt;0, -(17*INDEX('KZ-normalized'!$D:$D, MATCH($A135, 'KZ-normalized'!$A:$A, 0))-INDEX('KZ-normalized'!$E:$E, MATCH($A135, 'KZ-normalized'!$A:$A, 0))), 0), 0))+(IFERROR(IF(17*INDEX('UZ-normalized'!$D:$D, MATCH($A135, 'UZ-normalized'!$A:$A, 0))-INDEX('UZ-normalized'!$E:$E, MATCH($A135, 'UZ-normalized'!$A:$A, 0))&gt;0, -(17*INDEX('UZ-normalized'!$D:$D, MATCH($A135, 'UZ-normalized'!$A:$A, 0))-INDEX('UZ-normalized'!$E:$E, MATCH($A135, 'UZ-normalized'!$A:$A, 0))), 0), 0)))</f>
        <v>0</v>
      </c>
      <c r="AF135" s="6">
        <f>MIN(0, N135+(IFERROR(IF(18*INDEX('UA-normalized'!$D:$D, MATCH($A135, 'UA-normalized'!$A:$A, 0))-INDEX('UA-normalized'!$E:$E, MATCH($A135, 'UA-normalized'!$A:$A, 0))&gt;0, -(18*INDEX('UA-normalized'!$D:$D, MATCH($A135, 'UA-normalized'!$A:$A, 0))-INDEX('UA-normalized'!$E:$E, MATCH($A135, 'UA-normalized'!$A:$A, 0))), 0), 0))+(IFERROR(IF(18*INDEX('KZ-normalized'!$D:$D, MATCH($A135, 'KZ-normalized'!$A:$A, 0))-INDEX('KZ-normalized'!$E:$E, MATCH($A135, 'KZ-normalized'!$A:$A, 0))&gt;0, -(18*INDEX('KZ-normalized'!$D:$D, MATCH($A135, 'KZ-normalized'!$A:$A, 0))-INDEX('KZ-normalized'!$E:$E, MATCH($A135, 'KZ-normalized'!$A:$A, 0))), 0), 0))+(IFERROR(IF(18*INDEX('UZ-normalized'!$D:$D, MATCH($A135, 'UZ-normalized'!$A:$A, 0))-INDEX('UZ-normalized'!$E:$E, MATCH($A135, 'UZ-normalized'!$A:$A, 0))&gt;0, -(18*INDEX('UZ-normalized'!$D:$D, MATCH($A135, 'UZ-normalized'!$A:$A, 0))-INDEX('UZ-normalized'!$E:$E, MATCH($A135, 'UZ-normalized'!$A:$A, 0))), 0), 0)))</f>
        <v>0</v>
      </c>
      <c r="AG135" s="6">
        <f>MIN(0, N135+(IFERROR(IF(19*INDEX('UA-normalized'!$D:$D, MATCH($A135, 'UA-normalized'!$A:$A, 0))-INDEX('UA-normalized'!$E:$E, MATCH($A135, 'UA-normalized'!$A:$A, 0))&gt;0, -(19*INDEX('UA-normalized'!$D:$D, MATCH($A135, 'UA-normalized'!$A:$A, 0))-INDEX('UA-normalized'!$E:$E, MATCH($A135, 'UA-normalized'!$A:$A, 0))), 0), 0))+(IFERROR(IF(19*INDEX('KZ-normalized'!$D:$D, MATCH($A135, 'KZ-normalized'!$A:$A, 0))-INDEX('KZ-normalized'!$E:$E, MATCH($A135, 'KZ-normalized'!$A:$A, 0))&gt;0, -(19*INDEX('KZ-normalized'!$D:$D, MATCH($A135, 'KZ-normalized'!$A:$A, 0))-INDEX('KZ-normalized'!$E:$E, MATCH($A135, 'KZ-normalized'!$A:$A, 0))), 0), 0))+(IFERROR(IF(19*INDEX('UZ-normalized'!$D:$D, MATCH($A135, 'UZ-normalized'!$A:$A, 0))-INDEX('UZ-normalized'!$E:$E, MATCH($A135, 'UZ-normalized'!$A:$A, 0))&gt;0, -(19*INDEX('UZ-normalized'!$D:$D, MATCH($A135, 'UZ-normalized'!$A:$A, 0))-INDEX('UZ-normalized'!$E:$E, MATCH($A135, 'UZ-normalized'!$A:$A, 0))), 0), 0)))</f>
        <v>0</v>
      </c>
      <c r="AH135" s="6">
        <f>MIN(0, N135+(IFERROR(IF(20*INDEX('UA-normalized'!$D:$D, MATCH($A135, 'UA-normalized'!$A:$A, 0))-INDEX('UA-normalized'!$E:$E, MATCH($A135, 'UA-normalized'!$A:$A, 0))&gt;0, -(20*INDEX('UA-normalized'!$D:$D, MATCH($A135, 'UA-normalized'!$A:$A, 0))-INDEX('UA-normalized'!$E:$E, MATCH($A135, 'UA-normalized'!$A:$A, 0))), 0), 0))+(IFERROR(IF(20*INDEX('KZ-normalized'!$D:$D, MATCH($A135, 'KZ-normalized'!$A:$A, 0))-INDEX('KZ-normalized'!$E:$E, MATCH($A135, 'KZ-normalized'!$A:$A, 0))&gt;0, -(20*INDEX('KZ-normalized'!$D:$D, MATCH($A135, 'KZ-normalized'!$A:$A, 0))-INDEX('KZ-normalized'!$E:$E, MATCH($A135, 'KZ-normalized'!$A:$A, 0))), 0), 0))+(IFERROR(IF(20*INDEX('UZ-normalized'!$D:$D, MATCH($A135, 'UZ-normalized'!$A:$A, 0))-INDEX('UZ-normalized'!$E:$E, MATCH($A135, 'UZ-normalized'!$A:$A, 0))&gt;0, -(20*INDEX('UZ-normalized'!$D:$D, MATCH($A135, 'UZ-normalized'!$A:$A, 0))-INDEX('UZ-normalized'!$E:$E, MATCH($A135, 'UZ-normalized'!$A:$A, 0))), 0), 0)))</f>
        <v>0</v>
      </c>
      <c r="AI135" s="6">
        <f>MIN(0, N135+(IFERROR(IF(21*INDEX('UA-normalized'!$D:$D, MATCH($A135, 'UA-normalized'!$A:$A, 0))-INDEX('UA-normalized'!$E:$E, MATCH($A135, 'UA-normalized'!$A:$A, 0))&gt;0, -(21*INDEX('UA-normalized'!$D:$D, MATCH($A135, 'UA-normalized'!$A:$A, 0))-INDEX('UA-normalized'!$E:$E, MATCH($A135, 'UA-normalized'!$A:$A, 0))), 0), 0))+(IFERROR(IF(21*INDEX('KZ-normalized'!$D:$D, MATCH($A135, 'KZ-normalized'!$A:$A, 0))-INDEX('KZ-normalized'!$E:$E, MATCH($A135, 'KZ-normalized'!$A:$A, 0))&gt;0, -(21*INDEX('KZ-normalized'!$D:$D, MATCH($A135, 'KZ-normalized'!$A:$A, 0))-INDEX('KZ-normalized'!$E:$E, MATCH($A135, 'KZ-normalized'!$A:$A, 0))), 0), 0))+(IFERROR(IF(21*INDEX('UZ-normalized'!$D:$D, MATCH($A135, 'UZ-normalized'!$A:$A, 0))-INDEX('UZ-normalized'!$E:$E, MATCH($A135, 'UZ-normalized'!$A:$A, 0))&gt;0, -(21*INDEX('UZ-normalized'!$D:$D, MATCH($A135, 'UZ-normalized'!$A:$A, 0))-INDEX('UZ-normalized'!$E:$E, MATCH($A135, 'UZ-normalized'!$A:$A, 0))), 0), 0)))</f>
        <v>0</v>
      </c>
      <c r="AJ135" s="6">
        <f>MIN(0, N135+(IFERROR(IF(22*INDEX('UA-normalized'!$D:$D, MATCH($A135, 'UA-normalized'!$A:$A, 0))-INDEX('UA-normalized'!$E:$E, MATCH($A135, 'UA-normalized'!$A:$A, 0))&gt;0, -(22*INDEX('UA-normalized'!$D:$D, MATCH($A135, 'UA-normalized'!$A:$A, 0))-INDEX('UA-normalized'!$E:$E, MATCH($A135, 'UA-normalized'!$A:$A, 0))), 0), 0))+(IFERROR(IF(22*INDEX('KZ-normalized'!$D:$D, MATCH($A135, 'KZ-normalized'!$A:$A, 0))-INDEX('KZ-normalized'!$E:$E, MATCH($A135, 'KZ-normalized'!$A:$A, 0))&gt;0, -(22*INDEX('KZ-normalized'!$D:$D, MATCH($A135, 'KZ-normalized'!$A:$A, 0))-INDEX('KZ-normalized'!$E:$E, MATCH($A135, 'KZ-normalized'!$A:$A, 0))), 0), 0))+(IFERROR(IF(22*INDEX('UZ-normalized'!$D:$D, MATCH($A135, 'UZ-normalized'!$A:$A, 0))-INDEX('UZ-normalized'!$E:$E, MATCH($A135, 'UZ-normalized'!$A:$A, 0))&gt;0, -(22*INDEX('UZ-normalized'!$D:$D, MATCH($A135, 'UZ-normalized'!$A:$A, 0))-INDEX('UZ-normalized'!$E:$E, MATCH($A135, 'UZ-normalized'!$A:$A, 0))), 0), 0)))</f>
        <v>0</v>
      </c>
      <c r="AK135" s="6">
        <f>MIN(0, N135+(IFERROR(IF(23*INDEX('UA-normalized'!$D:$D, MATCH($A135, 'UA-normalized'!$A:$A, 0))-INDEX('UA-normalized'!$E:$E, MATCH($A135, 'UA-normalized'!$A:$A, 0))&gt;0, -(23*INDEX('UA-normalized'!$D:$D, MATCH($A135, 'UA-normalized'!$A:$A, 0))-INDEX('UA-normalized'!$E:$E, MATCH($A135, 'UA-normalized'!$A:$A, 0))), 0), 0))+(IFERROR(IF(23*INDEX('KZ-normalized'!$D:$D, MATCH($A135, 'KZ-normalized'!$A:$A, 0))-INDEX('KZ-normalized'!$E:$E, MATCH($A135, 'KZ-normalized'!$A:$A, 0))&gt;0, -(23*INDEX('KZ-normalized'!$D:$D, MATCH($A135, 'KZ-normalized'!$A:$A, 0))-INDEX('KZ-normalized'!$E:$E, MATCH($A135, 'KZ-normalized'!$A:$A, 0))), 0), 0))+(IFERROR(IF(23*INDEX('UZ-normalized'!$D:$D, MATCH($A135, 'UZ-normalized'!$A:$A, 0))-INDEX('UZ-normalized'!$E:$E, MATCH($A135, 'UZ-normalized'!$A:$A, 0))&gt;0, -(23*INDEX('UZ-normalized'!$D:$D, MATCH($A135, 'UZ-normalized'!$A:$A, 0))-INDEX('UZ-normalized'!$E:$E, MATCH($A135, 'UZ-normalized'!$A:$A, 0))), 0), 0)))</f>
        <v>0</v>
      </c>
      <c r="AL135" s="6">
        <f>MIN(0, N135+(IFERROR(IF(24*INDEX('UA-normalized'!$D:$D, MATCH($A135, 'UA-normalized'!$A:$A, 0))-INDEX('UA-normalized'!$E:$E, MATCH($A135, 'UA-normalized'!$A:$A, 0))&gt;0, -(24*INDEX('UA-normalized'!$D:$D, MATCH($A135, 'UA-normalized'!$A:$A, 0))-INDEX('UA-normalized'!$E:$E, MATCH($A135, 'UA-normalized'!$A:$A, 0))), 0), 0))+(IFERROR(IF(24*INDEX('KZ-normalized'!$D:$D, MATCH($A135, 'KZ-normalized'!$A:$A, 0))-INDEX('KZ-normalized'!$E:$E, MATCH($A135, 'KZ-normalized'!$A:$A, 0))&gt;0, -(24*INDEX('KZ-normalized'!$D:$D, MATCH($A135, 'KZ-normalized'!$A:$A, 0))-INDEX('KZ-normalized'!$E:$E, MATCH($A135, 'KZ-normalized'!$A:$A, 0))), 0), 0))+(IFERROR(IF(24*INDEX('UZ-normalized'!$D:$D, MATCH($A135, 'UZ-normalized'!$A:$A, 0))-INDEX('UZ-normalized'!$E:$E, MATCH($A135, 'UZ-normalized'!$A:$A, 0))&gt;0, -(24*INDEX('UZ-normalized'!$D:$D, MATCH($A135, 'UZ-normalized'!$A:$A, 0))-INDEX('UZ-normalized'!$E:$E, MATCH($A135, 'UZ-normalized'!$A:$A, 0))), 0), 0)))</f>
        <v>0</v>
      </c>
      <c r="AM135" s="6">
        <f>MIN(0, N135+(IFERROR(IF(25*INDEX('UA-normalized'!$D:$D, MATCH($A135, 'UA-normalized'!$A:$A, 0))-INDEX('UA-normalized'!$E:$E, MATCH($A135, 'UA-normalized'!$A:$A, 0))&gt;0, -(25*INDEX('UA-normalized'!$D:$D, MATCH($A135, 'UA-normalized'!$A:$A, 0))-INDEX('UA-normalized'!$E:$E, MATCH($A135, 'UA-normalized'!$A:$A, 0))), 0), 0))+(IFERROR(IF(25*INDEX('KZ-normalized'!$D:$D, MATCH($A135, 'KZ-normalized'!$A:$A, 0))-INDEX('KZ-normalized'!$E:$E, MATCH($A135, 'KZ-normalized'!$A:$A, 0))&gt;0, -(25*INDEX('KZ-normalized'!$D:$D, MATCH($A135, 'KZ-normalized'!$A:$A, 0))-INDEX('KZ-normalized'!$E:$E, MATCH($A135, 'KZ-normalized'!$A:$A, 0))), 0), 0))+(IFERROR(IF(25*INDEX('UZ-normalized'!$D:$D, MATCH($A135, 'UZ-normalized'!$A:$A, 0))-INDEX('UZ-normalized'!$E:$E, MATCH($A135, 'UZ-normalized'!$A:$A, 0))&gt;0, -(25*INDEX('UZ-normalized'!$D:$D, MATCH($A135, 'UZ-normalized'!$A:$A, 0))-INDEX('UZ-normalized'!$E:$E, MATCH($A135, 'UZ-normalized'!$A:$A, 0))), 0), 0)))</f>
        <v>0</v>
      </c>
      <c r="AN135" s="6">
        <f>MIN(0, N135+(IFERROR(IF(26*INDEX('UA-normalized'!$D:$D, MATCH($A135, 'UA-normalized'!$A:$A, 0))-INDEX('UA-normalized'!$E:$E, MATCH($A135, 'UA-normalized'!$A:$A, 0))&gt;0, -(26*INDEX('UA-normalized'!$D:$D, MATCH($A135, 'UA-normalized'!$A:$A, 0))-INDEX('UA-normalized'!$E:$E, MATCH($A135, 'UA-normalized'!$A:$A, 0))), 0), 0))+(IFERROR(IF(26*INDEX('KZ-normalized'!$D:$D, MATCH($A135, 'KZ-normalized'!$A:$A, 0))-INDEX('KZ-normalized'!$E:$E, MATCH($A135, 'KZ-normalized'!$A:$A, 0))&gt;0, -(26*INDEX('KZ-normalized'!$D:$D, MATCH($A135, 'KZ-normalized'!$A:$A, 0))-INDEX('KZ-normalized'!$E:$E, MATCH($A135, 'KZ-normalized'!$A:$A, 0))), 0), 0))+(IFERROR(IF(26*INDEX('UZ-normalized'!$D:$D, MATCH($A135, 'UZ-normalized'!$A:$A, 0))-INDEX('UZ-normalized'!$E:$E, MATCH($A135, 'UZ-normalized'!$A:$A, 0))&gt;0, -(26*INDEX('UZ-normalized'!$D:$D, MATCH($A135, 'UZ-normalized'!$A:$A, 0))-INDEX('UZ-normalized'!$E:$E, MATCH($A135, 'UZ-normalized'!$A:$A, 0))), 0), 0)))</f>
        <v>0</v>
      </c>
      <c r="AO135" s="6">
        <f>MIN(0, N135+(IFERROR(IF(27*INDEX('UA-normalized'!$D:$D, MATCH($A135, 'UA-normalized'!$A:$A, 0))-INDEX('UA-normalized'!$E:$E, MATCH($A135, 'UA-normalized'!$A:$A, 0))&gt;0, -(27*INDEX('UA-normalized'!$D:$D, MATCH($A135, 'UA-normalized'!$A:$A, 0))-INDEX('UA-normalized'!$E:$E, MATCH($A135, 'UA-normalized'!$A:$A, 0))), 0), 0))+(IFERROR(IF(27*INDEX('KZ-normalized'!$D:$D, MATCH($A135, 'KZ-normalized'!$A:$A, 0))-INDEX('KZ-normalized'!$E:$E, MATCH($A135, 'KZ-normalized'!$A:$A, 0))&gt;0, -(27*INDEX('KZ-normalized'!$D:$D, MATCH($A135, 'KZ-normalized'!$A:$A, 0))-INDEX('KZ-normalized'!$E:$E, MATCH($A135, 'KZ-normalized'!$A:$A, 0))), 0), 0))+(IFERROR(IF(27*INDEX('UZ-normalized'!$D:$D, MATCH($A135, 'UZ-normalized'!$A:$A, 0))-INDEX('UZ-normalized'!$E:$E, MATCH($A135, 'UZ-normalized'!$A:$A, 0))&gt;0, -(27*INDEX('UZ-normalized'!$D:$D, MATCH($A135, 'UZ-normalized'!$A:$A, 0))-INDEX('UZ-normalized'!$E:$E, MATCH($A135, 'UZ-normalized'!$A:$A, 0))), 0), 0)))</f>
        <v>0</v>
      </c>
      <c r="AP135" s="6">
        <f>MIN(0, N135+(IFERROR(IF(28*INDEX('UA-normalized'!$D:$D, MATCH($A135, 'UA-normalized'!$A:$A, 0))-INDEX('UA-normalized'!$E:$E, MATCH($A135, 'UA-normalized'!$A:$A, 0))&gt;0, -(28*INDEX('UA-normalized'!$D:$D, MATCH($A135, 'UA-normalized'!$A:$A, 0))-INDEX('UA-normalized'!$E:$E, MATCH($A135, 'UA-normalized'!$A:$A, 0))), 0), 0))+(IFERROR(IF(28*INDEX('KZ-normalized'!$D:$D, MATCH($A135, 'KZ-normalized'!$A:$A, 0))-INDEX('KZ-normalized'!$E:$E, MATCH($A135, 'KZ-normalized'!$A:$A, 0))&gt;0, -(28*INDEX('KZ-normalized'!$D:$D, MATCH($A135, 'KZ-normalized'!$A:$A, 0))-INDEX('KZ-normalized'!$E:$E, MATCH($A135, 'KZ-normalized'!$A:$A, 0))), 0), 0))+(IFERROR(IF(28*INDEX('UZ-normalized'!$D:$D, MATCH($A135, 'UZ-normalized'!$A:$A, 0))-INDEX('UZ-normalized'!$E:$E, MATCH($A135, 'UZ-normalized'!$A:$A, 0))&gt;0, -(28*INDEX('UZ-normalized'!$D:$D, MATCH($A135, 'UZ-normalized'!$A:$A, 0))-INDEX('UZ-normalized'!$E:$E, MATCH($A135, 'UZ-normalized'!$A:$A, 0))), 0), 0)))</f>
        <v>0</v>
      </c>
      <c r="AQ135" s="6">
        <f>MIN(0, N135+(IFERROR(IF(29*INDEX('UA-normalized'!$D:$D, MATCH($A135, 'UA-normalized'!$A:$A, 0))-INDEX('UA-normalized'!$E:$E, MATCH($A135, 'UA-normalized'!$A:$A, 0))&gt;0, -(29*INDEX('UA-normalized'!$D:$D, MATCH($A135, 'UA-normalized'!$A:$A, 0))-INDEX('UA-normalized'!$E:$E, MATCH($A135, 'UA-normalized'!$A:$A, 0))), 0), 0))+(IFERROR(IF(29*INDEX('KZ-normalized'!$D:$D, MATCH($A135, 'KZ-normalized'!$A:$A, 0))-INDEX('KZ-normalized'!$E:$E, MATCH($A135, 'KZ-normalized'!$A:$A, 0))&gt;0, -(29*INDEX('KZ-normalized'!$D:$D, MATCH($A135, 'KZ-normalized'!$A:$A, 0))-INDEX('KZ-normalized'!$E:$E, MATCH($A135, 'KZ-normalized'!$A:$A, 0))), 0), 0))+(IFERROR(IF(29*INDEX('UZ-normalized'!$D:$D, MATCH($A135, 'UZ-normalized'!$A:$A, 0))-INDEX('UZ-normalized'!$E:$E, MATCH($A135, 'UZ-normalized'!$A:$A, 0))&gt;0, -(29*INDEX('UZ-normalized'!$D:$D, MATCH($A135, 'UZ-normalized'!$A:$A, 0))-INDEX('UZ-normalized'!$E:$E, MATCH($A135, 'UZ-normalized'!$A:$A, 0))), 0), 0)))</f>
        <v>0</v>
      </c>
      <c r="AR135" s="6">
        <f>MIN(0, N135+(IFERROR(IF(30*INDEX('UA-normalized'!$D:$D, MATCH($A135, 'UA-normalized'!$A:$A, 0))-INDEX('UA-normalized'!$E:$E, MATCH($A135, 'UA-normalized'!$A:$A, 0))&gt;0, -(30*INDEX('UA-normalized'!$D:$D, MATCH($A135, 'UA-normalized'!$A:$A, 0))-INDEX('UA-normalized'!$E:$E, MATCH($A135, 'UA-normalized'!$A:$A, 0))), 0), 0))+(IFERROR(IF(30*INDEX('KZ-normalized'!$D:$D, MATCH($A135, 'KZ-normalized'!$A:$A, 0))-INDEX('KZ-normalized'!$E:$E, MATCH($A135, 'KZ-normalized'!$A:$A, 0))&gt;0, -(30*INDEX('KZ-normalized'!$D:$D, MATCH($A135, 'KZ-normalized'!$A:$A, 0))-INDEX('KZ-normalized'!$E:$E, MATCH($A135, 'KZ-normalized'!$A:$A, 0))), 0), 0))+(IFERROR(IF(30*INDEX('UZ-normalized'!$D:$D, MATCH($A135, 'UZ-normalized'!$A:$A, 0))-INDEX('UZ-normalized'!$E:$E, MATCH($A135, 'UZ-normalized'!$A:$A, 0))&gt;0, -(30*INDEX('UZ-normalized'!$D:$D, MATCH($A135, 'UZ-normalized'!$A:$A, 0))-INDEX('UZ-normalized'!$E:$E, MATCH($A135, 'UZ-normalized'!$A:$A, 0))), 0), 0)))</f>
        <v>0</v>
      </c>
    </row>
    <row r="136" spans="1:44" x14ac:dyDescent="0.25">
      <c r="A136" s="8" t="s">
        <v>329</v>
      </c>
      <c r="B136" s="8" t="s">
        <v>317</v>
      </c>
      <c r="C136" s="8" t="s">
        <v>330</v>
      </c>
      <c r="D136" s="8" t="s">
        <v>331</v>
      </c>
      <c r="I136">
        <v>500</v>
      </c>
      <c r="N136">
        <f t="shared" si="2"/>
        <v>500</v>
      </c>
      <c r="O136" s="6">
        <f>MIN(0, N136+(IFERROR(IF(1*INDEX('UA-normalized'!$D:$D, MATCH($A136, 'UA-normalized'!$A:$A, 0))-INDEX('UA-normalized'!$E:$E, MATCH($A136, 'UA-normalized'!$A:$A, 0))&gt;0, -(1*INDEX('UA-normalized'!$D:$D, MATCH($A136, 'UA-normalized'!$A:$A, 0))-INDEX('UA-normalized'!$E:$E, MATCH($A136, 'UA-normalized'!$A:$A, 0))), 0), 0))+(IFERROR(IF(1*INDEX('KZ-normalized'!$D:$D, MATCH($A136, 'KZ-normalized'!$A:$A, 0))-INDEX('KZ-normalized'!$E:$E, MATCH($A136, 'KZ-normalized'!$A:$A, 0))&gt;0, -(1*INDEX('KZ-normalized'!$D:$D, MATCH($A136, 'KZ-normalized'!$A:$A, 0))-INDEX('KZ-normalized'!$E:$E, MATCH($A136, 'KZ-normalized'!$A:$A, 0))), 0), 0))+(IFERROR(IF(1*INDEX('UZ-normalized'!$D:$D, MATCH($A136, 'UZ-normalized'!$A:$A, 0))-INDEX('UZ-normalized'!$E:$E, MATCH($A136, 'UZ-normalized'!$A:$A, 0))&gt;0, -(1*INDEX('UZ-normalized'!$D:$D, MATCH($A136, 'UZ-normalized'!$A:$A, 0))-INDEX('UZ-normalized'!$E:$E, MATCH($A136, 'UZ-normalized'!$A:$A, 0))), 0), 0)))</f>
        <v>0</v>
      </c>
      <c r="P136" s="6">
        <f>MIN(0, N136+(IFERROR(IF(2*INDEX('UA-normalized'!$D:$D, MATCH($A136, 'UA-normalized'!$A:$A, 0))-INDEX('UA-normalized'!$E:$E, MATCH($A136, 'UA-normalized'!$A:$A, 0))&gt;0, -(2*INDEX('UA-normalized'!$D:$D, MATCH($A136, 'UA-normalized'!$A:$A, 0))-INDEX('UA-normalized'!$E:$E, MATCH($A136, 'UA-normalized'!$A:$A, 0))), 0), 0))+(IFERROR(IF(2*INDEX('KZ-normalized'!$D:$D, MATCH($A136, 'KZ-normalized'!$A:$A, 0))-INDEX('KZ-normalized'!$E:$E, MATCH($A136, 'KZ-normalized'!$A:$A, 0))&gt;0, -(2*INDEX('KZ-normalized'!$D:$D, MATCH($A136, 'KZ-normalized'!$A:$A, 0))-INDEX('KZ-normalized'!$E:$E, MATCH($A136, 'KZ-normalized'!$A:$A, 0))), 0), 0))+(IFERROR(IF(2*INDEX('UZ-normalized'!$D:$D, MATCH($A136, 'UZ-normalized'!$A:$A, 0))-INDEX('UZ-normalized'!$E:$E, MATCH($A136, 'UZ-normalized'!$A:$A, 0))&gt;0, -(2*INDEX('UZ-normalized'!$D:$D, MATCH($A136, 'UZ-normalized'!$A:$A, 0))-INDEX('UZ-normalized'!$E:$E, MATCH($A136, 'UZ-normalized'!$A:$A, 0))), 0), 0)))</f>
        <v>0</v>
      </c>
      <c r="Q136" s="6">
        <f>MIN(0, N136+(IFERROR(IF(3*INDEX('UA-normalized'!$D:$D, MATCH($A136, 'UA-normalized'!$A:$A, 0))-INDEX('UA-normalized'!$E:$E, MATCH($A136, 'UA-normalized'!$A:$A, 0))&gt;0, -(3*INDEX('UA-normalized'!$D:$D, MATCH($A136, 'UA-normalized'!$A:$A, 0))-INDEX('UA-normalized'!$E:$E, MATCH($A136, 'UA-normalized'!$A:$A, 0))), 0), 0))+(IFERROR(IF(3*INDEX('KZ-normalized'!$D:$D, MATCH($A136, 'KZ-normalized'!$A:$A, 0))-INDEX('KZ-normalized'!$E:$E, MATCH($A136, 'KZ-normalized'!$A:$A, 0))&gt;0, -(3*INDEX('KZ-normalized'!$D:$D, MATCH($A136, 'KZ-normalized'!$A:$A, 0))-INDEX('KZ-normalized'!$E:$E, MATCH($A136, 'KZ-normalized'!$A:$A, 0))), 0), 0))+(IFERROR(IF(3*INDEX('UZ-normalized'!$D:$D, MATCH($A136, 'UZ-normalized'!$A:$A, 0))-INDEX('UZ-normalized'!$E:$E, MATCH($A136, 'UZ-normalized'!$A:$A, 0))&gt;0, -(3*INDEX('UZ-normalized'!$D:$D, MATCH($A136, 'UZ-normalized'!$A:$A, 0))-INDEX('UZ-normalized'!$E:$E, MATCH($A136, 'UZ-normalized'!$A:$A, 0))), 0), 0)))</f>
        <v>0</v>
      </c>
      <c r="R136" s="6">
        <f>MIN(0, N136+(IFERROR(IF(4*INDEX('UA-normalized'!$D:$D, MATCH($A136, 'UA-normalized'!$A:$A, 0))-INDEX('UA-normalized'!$E:$E, MATCH($A136, 'UA-normalized'!$A:$A, 0))&gt;0, -(4*INDEX('UA-normalized'!$D:$D, MATCH($A136, 'UA-normalized'!$A:$A, 0))-INDEX('UA-normalized'!$E:$E, MATCH($A136, 'UA-normalized'!$A:$A, 0))), 0), 0))+(IFERROR(IF(4*INDEX('KZ-normalized'!$D:$D, MATCH($A136, 'KZ-normalized'!$A:$A, 0))-INDEX('KZ-normalized'!$E:$E, MATCH($A136, 'KZ-normalized'!$A:$A, 0))&gt;0, -(4*INDEX('KZ-normalized'!$D:$D, MATCH($A136, 'KZ-normalized'!$A:$A, 0))-INDEX('KZ-normalized'!$E:$E, MATCH($A136, 'KZ-normalized'!$A:$A, 0))), 0), 0))+(IFERROR(IF(4*INDEX('UZ-normalized'!$D:$D, MATCH($A136, 'UZ-normalized'!$A:$A, 0))-INDEX('UZ-normalized'!$E:$E, MATCH($A136, 'UZ-normalized'!$A:$A, 0))&gt;0, -(4*INDEX('UZ-normalized'!$D:$D, MATCH($A136, 'UZ-normalized'!$A:$A, 0))-INDEX('UZ-normalized'!$E:$E, MATCH($A136, 'UZ-normalized'!$A:$A, 0))), 0), 0)))</f>
        <v>0</v>
      </c>
      <c r="S136" s="6">
        <f>MIN(0, N136+(IFERROR(IF(5*INDEX('UA-normalized'!$D:$D, MATCH($A136, 'UA-normalized'!$A:$A, 0))-INDEX('UA-normalized'!$E:$E, MATCH($A136, 'UA-normalized'!$A:$A, 0))&gt;0, -(5*INDEX('UA-normalized'!$D:$D, MATCH($A136, 'UA-normalized'!$A:$A, 0))-INDEX('UA-normalized'!$E:$E, MATCH($A136, 'UA-normalized'!$A:$A, 0))), 0), 0))+(IFERROR(IF(5*INDEX('KZ-normalized'!$D:$D, MATCH($A136, 'KZ-normalized'!$A:$A, 0))-INDEX('KZ-normalized'!$E:$E, MATCH($A136, 'KZ-normalized'!$A:$A, 0))&gt;0, -(5*INDEX('KZ-normalized'!$D:$D, MATCH($A136, 'KZ-normalized'!$A:$A, 0))-INDEX('KZ-normalized'!$E:$E, MATCH($A136, 'KZ-normalized'!$A:$A, 0))), 0), 0))+(IFERROR(IF(5*INDEX('UZ-normalized'!$D:$D, MATCH($A136, 'UZ-normalized'!$A:$A, 0))-INDEX('UZ-normalized'!$E:$E, MATCH($A136, 'UZ-normalized'!$A:$A, 0))&gt;0, -(5*INDEX('UZ-normalized'!$D:$D, MATCH($A136, 'UZ-normalized'!$A:$A, 0))-INDEX('UZ-normalized'!$E:$E, MATCH($A136, 'UZ-normalized'!$A:$A, 0))), 0), 0)))</f>
        <v>0</v>
      </c>
      <c r="T136" s="6">
        <f>MIN(0, N136+(IFERROR(IF(6*INDEX('UA-normalized'!$D:$D, MATCH($A136, 'UA-normalized'!$A:$A, 0))-INDEX('UA-normalized'!$E:$E, MATCH($A136, 'UA-normalized'!$A:$A, 0))&gt;0, -(6*INDEX('UA-normalized'!$D:$D, MATCH($A136, 'UA-normalized'!$A:$A, 0))-INDEX('UA-normalized'!$E:$E, MATCH($A136, 'UA-normalized'!$A:$A, 0))), 0), 0))+(IFERROR(IF(6*INDEX('KZ-normalized'!$D:$D, MATCH($A136, 'KZ-normalized'!$A:$A, 0))-INDEX('KZ-normalized'!$E:$E, MATCH($A136, 'KZ-normalized'!$A:$A, 0))&gt;0, -(6*INDEX('KZ-normalized'!$D:$D, MATCH($A136, 'KZ-normalized'!$A:$A, 0))-INDEX('KZ-normalized'!$E:$E, MATCH($A136, 'KZ-normalized'!$A:$A, 0))), 0), 0))+(IFERROR(IF(6*INDEX('UZ-normalized'!$D:$D, MATCH($A136, 'UZ-normalized'!$A:$A, 0))-INDEX('UZ-normalized'!$E:$E, MATCH($A136, 'UZ-normalized'!$A:$A, 0))&gt;0, -(6*INDEX('UZ-normalized'!$D:$D, MATCH($A136, 'UZ-normalized'!$A:$A, 0))-INDEX('UZ-normalized'!$E:$E, MATCH($A136, 'UZ-normalized'!$A:$A, 0))), 0), 0)))</f>
        <v>0</v>
      </c>
      <c r="U136" s="6">
        <f>MIN(0, N136+(IFERROR(IF(7*INDEX('UA-normalized'!$D:$D, MATCH($A136, 'UA-normalized'!$A:$A, 0))-INDEX('UA-normalized'!$E:$E, MATCH($A136, 'UA-normalized'!$A:$A, 0))&gt;0, -(7*INDEX('UA-normalized'!$D:$D, MATCH($A136, 'UA-normalized'!$A:$A, 0))-INDEX('UA-normalized'!$E:$E, MATCH($A136, 'UA-normalized'!$A:$A, 0))), 0), 0))+(IFERROR(IF(7*INDEX('KZ-normalized'!$D:$D, MATCH($A136, 'KZ-normalized'!$A:$A, 0))-INDEX('KZ-normalized'!$E:$E, MATCH($A136, 'KZ-normalized'!$A:$A, 0))&gt;0, -(7*INDEX('KZ-normalized'!$D:$D, MATCH($A136, 'KZ-normalized'!$A:$A, 0))-INDEX('KZ-normalized'!$E:$E, MATCH($A136, 'KZ-normalized'!$A:$A, 0))), 0), 0))+(IFERROR(IF(7*INDEX('UZ-normalized'!$D:$D, MATCH($A136, 'UZ-normalized'!$A:$A, 0))-INDEX('UZ-normalized'!$E:$E, MATCH($A136, 'UZ-normalized'!$A:$A, 0))&gt;0, -(7*INDEX('UZ-normalized'!$D:$D, MATCH($A136, 'UZ-normalized'!$A:$A, 0))-INDEX('UZ-normalized'!$E:$E, MATCH($A136, 'UZ-normalized'!$A:$A, 0))), 0), 0)))</f>
        <v>0</v>
      </c>
      <c r="V136" s="6">
        <f>MIN(0, N136+(IFERROR(IF(8*INDEX('UA-normalized'!$D:$D, MATCH($A136, 'UA-normalized'!$A:$A, 0))-INDEX('UA-normalized'!$E:$E, MATCH($A136, 'UA-normalized'!$A:$A, 0))&gt;0, -(8*INDEX('UA-normalized'!$D:$D, MATCH($A136, 'UA-normalized'!$A:$A, 0))-INDEX('UA-normalized'!$E:$E, MATCH($A136, 'UA-normalized'!$A:$A, 0))), 0), 0))+(IFERROR(IF(8*INDEX('KZ-normalized'!$D:$D, MATCH($A136, 'KZ-normalized'!$A:$A, 0))-INDEX('KZ-normalized'!$E:$E, MATCH($A136, 'KZ-normalized'!$A:$A, 0))&gt;0, -(8*INDEX('KZ-normalized'!$D:$D, MATCH($A136, 'KZ-normalized'!$A:$A, 0))-INDEX('KZ-normalized'!$E:$E, MATCH($A136, 'KZ-normalized'!$A:$A, 0))), 0), 0))+(IFERROR(IF(8*INDEX('UZ-normalized'!$D:$D, MATCH($A136, 'UZ-normalized'!$A:$A, 0))-INDEX('UZ-normalized'!$E:$E, MATCH($A136, 'UZ-normalized'!$A:$A, 0))&gt;0, -(8*INDEX('UZ-normalized'!$D:$D, MATCH($A136, 'UZ-normalized'!$A:$A, 0))-INDEX('UZ-normalized'!$E:$E, MATCH($A136, 'UZ-normalized'!$A:$A, 0))), 0), 0)))</f>
        <v>0</v>
      </c>
      <c r="W136" s="6">
        <f>MIN(0, N136+(IFERROR(IF(9*INDEX('UA-normalized'!$D:$D, MATCH($A136, 'UA-normalized'!$A:$A, 0))-INDEX('UA-normalized'!$E:$E, MATCH($A136, 'UA-normalized'!$A:$A, 0))&gt;0, -(9*INDEX('UA-normalized'!$D:$D, MATCH($A136, 'UA-normalized'!$A:$A, 0))-INDEX('UA-normalized'!$E:$E, MATCH($A136, 'UA-normalized'!$A:$A, 0))), 0), 0))+(IFERROR(IF(9*INDEX('KZ-normalized'!$D:$D, MATCH($A136, 'KZ-normalized'!$A:$A, 0))-INDEX('KZ-normalized'!$E:$E, MATCH($A136, 'KZ-normalized'!$A:$A, 0))&gt;0, -(9*INDEX('KZ-normalized'!$D:$D, MATCH($A136, 'KZ-normalized'!$A:$A, 0))-INDEX('KZ-normalized'!$E:$E, MATCH($A136, 'KZ-normalized'!$A:$A, 0))), 0), 0))+(IFERROR(IF(9*INDEX('UZ-normalized'!$D:$D, MATCH($A136, 'UZ-normalized'!$A:$A, 0))-INDEX('UZ-normalized'!$E:$E, MATCH($A136, 'UZ-normalized'!$A:$A, 0))&gt;0, -(9*INDEX('UZ-normalized'!$D:$D, MATCH($A136, 'UZ-normalized'!$A:$A, 0))-INDEX('UZ-normalized'!$E:$E, MATCH($A136, 'UZ-normalized'!$A:$A, 0))), 0), 0)))</f>
        <v>0</v>
      </c>
      <c r="X136" s="6">
        <f>MIN(0, N136+(IFERROR(IF(10*INDEX('UA-normalized'!$D:$D, MATCH($A136, 'UA-normalized'!$A:$A, 0))-INDEX('UA-normalized'!$E:$E, MATCH($A136, 'UA-normalized'!$A:$A, 0))&gt;0, -(10*INDEX('UA-normalized'!$D:$D, MATCH($A136, 'UA-normalized'!$A:$A, 0))-INDEX('UA-normalized'!$E:$E, MATCH($A136, 'UA-normalized'!$A:$A, 0))), 0), 0))+(IFERROR(IF(10*INDEX('KZ-normalized'!$D:$D, MATCH($A136, 'KZ-normalized'!$A:$A, 0))-INDEX('KZ-normalized'!$E:$E, MATCH($A136, 'KZ-normalized'!$A:$A, 0))&gt;0, -(10*INDEX('KZ-normalized'!$D:$D, MATCH($A136, 'KZ-normalized'!$A:$A, 0))-INDEX('KZ-normalized'!$E:$E, MATCH($A136, 'KZ-normalized'!$A:$A, 0))), 0), 0))+(IFERROR(IF(10*INDEX('UZ-normalized'!$D:$D, MATCH($A136, 'UZ-normalized'!$A:$A, 0))-INDEX('UZ-normalized'!$E:$E, MATCH($A136, 'UZ-normalized'!$A:$A, 0))&gt;0, -(10*INDEX('UZ-normalized'!$D:$D, MATCH($A136, 'UZ-normalized'!$A:$A, 0))-INDEX('UZ-normalized'!$E:$E, MATCH($A136, 'UZ-normalized'!$A:$A, 0))), 0), 0)))</f>
        <v>0</v>
      </c>
      <c r="Y136" s="6">
        <f>MIN(0, N136+(IFERROR(IF(11*INDEX('UA-normalized'!$D:$D, MATCH($A136, 'UA-normalized'!$A:$A, 0))-INDEX('UA-normalized'!$E:$E, MATCH($A136, 'UA-normalized'!$A:$A, 0))&gt;0, -(11*INDEX('UA-normalized'!$D:$D, MATCH($A136, 'UA-normalized'!$A:$A, 0))-INDEX('UA-normalized'!$E:$E, MATCH($A136, 'UA-normalized'!$A:$A, 0))), 0), 0))+(IFERROR(IF(11*INDEX('KZ-normalized'!$D:$D, MATCH($A136, 'KZ-normalized'!$A:$A, 0))-INDEX('KZ-normalized'!$E:$E, MATCH($A136, 'KZ-normalized'!$A:$A, 0))&gt;0, -(11*INDEX('KZ-normalized'!$D:$D, MATCH($A136, 'KZ-normalized'!$A:$A, 0))-INDEX('KZ-normalized'!$E:$E, MATCH($A136, 'KZ-normalized'!$A:$A, 0))), 0), 0))+(IFERROR(IF(11*INDEX('UZ-normalized'!$D:$D, MATCH($A136, 'UZ-normalized'!$A:$A, 0))-INDEX('UZ-normalized'!$E:$E, MATCH($A136, 'UZ-normalized'!$A:$A, 0))&gt;0, -(11*INDEX('UZ-normalized'!$D:$D, MATCH($A136, 'UZ-normalized'!$A:$A, 0))-INDEX('UZ-normalized'!$E:$E, MATCH($A136, 'UZ-normalized'!$A:$A, 0))), 0), 0)))</f>
        <v>0</v>
      </c>
      <c r="Z136" s="6">
        <f>MIN(0, N136+(IFERROR(IF(12*INDEX('UA-normalized'!$D:$D, MATCH($A136, 'UA-normalized'!$A:$A, 0))-INDEX('UA-normalized'!$E:$E, MATCH($A136, 'UA-normalized'!$A:$A, 0))&gt;0, -(12*INDEX('UA-normalized'!$D:$D, MATCH($A136, 'UA-normalized'!$A:$A, 0))-INDEX('UA-normalized'!$E:$E, MATCH($A136, 'UA-normalized'!$A:$A, 0))), 0), 0))+(IFERROR(IF(12*INDEX('KZ-normalized'!$D:$D, MATCH($A136, 'KZ-normalized'!$A:$A, 0))-INDEX('KZ-normalized'!$E:$E, MATCH($A136, 'KZ-normalized'!$A:$A, 0))&gt;0, -(12*INDEX('KZ-normalized'!$D:$D, MATCH($A136, 'KZ-normalized'!$A:$A, 0))-INDEX('KZ-normalized'!$E:$E, MATCH($A136, 'KZ-normalized'!$A:$A, 0))), 0), 0))+(IFERROR(IF(12*INDEX('UZ-normalized'!$D:$D, MATCH($A136, 'UZ-normalized'!$A:$A, 0))-INDEX('UZ-normalized'!$E:$E, MATCH($A136, 'UZ-normalized'!$A:$A, 0))&gt;0, -(12*INDEX('UZ-normalized'!$D:$D, MATCH($A136, 'UZ-normalized'!$A:$A, 0))-INDEX('UZ-normalized'!$E:$E, MATCH($A136, 'UZ-normalized'!$A:$A, 0))), 0), 0)))</f>
        <v>0</v>
      </c>
      <c r="AA136" s="6">
        <f>MIN(0, N136+(IFERROR(IF(13*INDEX('UA-normalized'!$D:$D, MATCH($A136, 'UA-normalized'!$A:$A, 0))-INDEX('UA-normalized'!$E:$E, MATCH($A136, 'UA-normalized'!$A:$A, 0))&gt;0, -(13*INDEX('UA-normalized'!$D:$D, MATCH($A136, 'UA-normalized'!$A:$A, 0))-INDEX('UA-normalized'!$E:$E, MATCH($A136, 'UA-normalized'!$A:$A, 0))), 0), 0))+(IFERROR(IF(13*INDEX('KZ-normalized'!$D:$D, MATCH($A136, 'KZ-normalized'!$A:$A, 0))-INDEX('KZ-normalized'!$E:$E, MATCH($A136, 'KZ-normalized'!$A:$A, 0))&gt;0, -(13*INDEX('KZ-normalized'!$D:$D, MATCH($A136, 'KZ-normalized'!$A:$A, 0))-INDEX('KZ-normalized'!$E:$E, MATCH($A136, 'KZ-normalized'!$A:$A, 0))), 0), 0))+(IFERROR(IF(13*INDEX('UZ-normalized'!$D:$D, MATCH($A136, 'UZ-normalized'!$A:$A, 0))-INDEX('UZ-normalized'!$E:$E, MATCH($A136, 'UZ-normalized'!$A:$A, 0))&gt;0, -(13*INDEX('UZ-normalized'!$D:$D, MATCH($A136, 'UZ-normalized'!$A:$A, 0))-INDEX('UZ-normalized'!$E:$E, MATCH($A136, 'UZ-normalized'!$A:$A, 0))), 0), 0)))</f>
        <v>0</v>
      </c>
      <c r="AB136" s="6">
        <f>MIN(0, N136+(IFERROR(IF(14*INDEX('UA-normalized'!$D:$D, MATCH($A136, 'UA-normalized'!$A:$A, 0))-INDEX('UA-normalized'!$E:$E, MATCH($A136, 'UA-normalized'!$A:$A, 0))&gt;0, -(14*INDEX('UA-normalized'!$D:$D, MATCH($A136, 'UA-normalized'!$A:$A, 0))-INDEX('UA-normalized'!$E:$E, MATCH($A136, 'UA-normalized'!$A:$A, 0))), 0), 0))+(IFERROR(IF(14*INDEX('KZ-normalized'!$D:$D, MATCH($A136, 'KZ-normalized'!$A:$A, 0))-INDEX('KZ-normalized'!$E:$E, MATCH($A136, 'KZ-normalized'!$A:$A, 0))&gt;0, -(14*INDEX('KZ-normalized'!$D:$D, MATCH($A136, 'KZ-normalized'!$A:$A, 0))-INDEX('KZ-normalized'!$E:$E, MATCH($A136, 'KZ-normalized'!$A:$A, 0))), 0), 0))+(IFERROR(IF(14*INDEX('UZ-normalized'!$D:$D, MATCH($A136, 'UZ-normalized'!$A:$A, 0))-INDEX('UZ-normalized'!$E:$E, MATCH($A136, 'UZ-normalized'!$A:$A, 0))&gt;0, -(14*INDEX('UZ-normalized'!$D:$D, MATCH($A136, 'UZ-normalized'!$A:$A, 0))-INDEX('UZ-normalized'!$E:$E, MATCH($A136, 'UZ-normalized'!$A:$A, 0))), 0), 0)))</f>
        <v>0</v>
      </c>
      <c r="AC136" s="6">
        <f>MIN(0, N136+(IFERROR(IF(15*INDEX('UA-normalized'!$D:$D, MATCH($A136, 'UA-normalized'!$A:$A, 0))-INDEX('UA-normalized'!$E:$E, MATCH($A136, 'UA-normalized'!$A:$A, 0))&gt;0, -(15*INDEX('UA-normalized'!$D:$D, MATCH($A136, 'UA-normalized'!$A:$A, 0))-INDEX('UA-normalized'!$E:$E, MATCH($A136, 'UA-normalized'!$A:$A, 0))), 0), 0))+(IFERROR(IF(15*INDEX('KZ-normalized'!$D:$D, MATCH($A136, 'KZ-normalized'!$A:$A, 0))-INDEX('KZ-normalized'!$E:$E, MATCH($A136, 'KZ-normalized'!$A:$A, 0))&gt;0, -(15*INDEX('KZ-normalized'!$D:$D, MATCH($A136, 'KZ-normalized'!$A:$A, 0))-INDEX('KZ-normalized'!$E:$E, MATCH($A136, 'KZ-normalized'!$A:$A, 0))), 0), 0))+(IFERROR(IF(15*INDEX('UZ-normalized'!$D:$D, MATCH($A136, 'UZ-normalized'!$A:$A, 0))-INDEX('UZ-normalized'!$E:$E, MATCH($A136, 'UZ-normalized'!$A:$A, 0))&gt;0, -(15*INDEX('UZ-normalized'!$D:$D, MATCH($A136, 'UZ-normalized'!$A:$A, 0))-INDEX('UZ-normalized'!$E:$E, MATCH($A136, 'UZ-normalized'!$A:$A, 0))), 0), 0)))</f>
        <v>0</v>
      </c>
      <c r="AD136" s="6">
        <f>MIN(0, N136+(IFERROR(IF(16*INDEX('UA-normalized'!$D:$D, MATCH($A136, 'UA-normalized'!$A:$A, 0))-INDEX('UA-normalized'!$E:$E, MATCH($A136, 'UA-normalized'!$A:$A, 0))&gt;0, -(16*INDEX('UA-normalized'!$D:$D, MATCH($A136, 'UA-normalized'!$A:$A, 0))-INDEX('UA-normalized'!$E:$E, MATCH($A136, 'UA-normalized'!$A:$A, 0))), 0), 0))+(IFERROR(IF(16*INDEX('KZ-normalized'!$D:$D, MATCH($A136, 'KZ-normalized'!$A:$A, 0))-INDEX('KZ-normalized'!$E:$E, MATCH($A136, 'KZ-normalized'!$A:$A, 0))&gt;0, -(16*INDEX('KZ-normalized'!$D:$D, MATCH($A136, 'KZ-normalized'!$A:$A, 0))-INDEX('KZ-normalized'!$E:$E, MATCH($A136, 'KZ-normalized'!$A:$A, 0))), 0), 0))+(IFERROR(IF(16*INDEX('UZ-normalized'!$D:$D, MATCH($A136, 'UZ-normalized'!$A:$A, 0))-INDEX('UZ-normalized'!$E:$E, MATCH($A136, 'UZ-normalized'!$A:$A, 0))&gt;0, -(16*INDEX('UZ-normalized'!$D:$D, MATCH($A136, 'UZ-normalized'!$A:$A, 0))-INDEX('UZ-normalized'!$E:$E, MATCH($A136, 'UZ-normalized'!$A:$A, 0))), 0), 0)))</f>
        <v>0</v>
      </c>
      <c r="AE136" s="6">
        <f>MIN(0, N136+(IFERROR(IF(17*INDEX('UA-normalized'!$D:$D, MATCH($A136, 'UA-normalized'!$A:$A, 0))-INDEX('UA-normalized'!$E:$E, MATCH($A136, 'UA-normalized'!$A:$A, 0))&gt;0, -(17*INDEX('UA-normalized'!$D:$D, MATCH($A136, 'UA-normalized'!$A:$A, 0))-INDEX('UA-normalized'!$E:$E, MATCH($A136, 'UA-normalized'!$A:$A, 0))), 0), 0))+(IFERROR(IF(17*INDEX('KZ-normalized'!$D:$D, MATCH($A136, 'KZ-normalized'!$A:$A, 0))-INDEX('KZ-normalized'!$E:$E, MATCH($A136, 'KZ-normalized'!$A:$A, 0))&gt;0, -(17*INDEX('KZ-normalized'!$D:$D, MATCH($A136, 'KZ-normalized'!$A:$A, 0))-INDEX('KZ-normalized'!$E:$E, MATCH($A136, 'KZ-normalized'!$A:$A, 0))), 0), 0))+(IFERROR(IF(17*INDEX('UZ-normalized'!$D:$D, MATCH($A136, 'UZ-normalized'!$A:$A, 0))-INDEX('UZ-normalized'!$E:$E, MATCH($A136, 'UZ-normalized'!$A:$A, 0))&gt;0, -(17*INDEX('UZ-normalized'!$D:$D, MATCH($A136, 'UZ-normalized'!$A:$A, 0))-INDEX('UZ-normalized'!$E:$E, MATCH($A136, 'UZ-normalized'!$A:$A, 0))), 0), 0)))</f>
        <v>0</v>
      </c>
      <c r="AF136" s="6">
        <f>MIN(0, N136+(IFERROR(IF(18*INDEX('UA-normalized'!$D:$D, MATCH($A136, 'UA-normalized'!$A:$A, 0))-INDEX('UA-normalized'!$E:$E, MATCH($A136, 'UA-normalized'!$A:$A, 0))&gt;0, -(18*INDEX('UA-normalized'!$D:$D, MATCH($A136, 'UA-normalized'!$A:$A, 0))-INDEX('UA-normalized'!$E:$E, MATCH($A136, 'UA-normalized'!$A:$A, 0))), 0), 0))+(IFERROR(IF(18*INDEX('KZ-normalized'!$D:$D, MATCH($A136, 'KZ-normalized'!$A:$A, 0))-INDEX('KZ-normalized'!$E:$E, MATCH($A136, 'KZ-normalized'!$A:$A, 0))&gt;0, -(18*INDEX('KZ-normalized'!$D:$D, MATCH($A136, 'KZ-normalized'!$A:$A, 0))-INDEX('KZ-normalized'!$E:$E, MATCH($A136, 'KZ-normalized'!$A:$A, 0))), 0), 0))+(IFERROR(IF(18*INDEX('UZ-normalized'!$D:$D, MATCH($A136, 'UZ-normalized'!$A:$A, 0))-INDEX('UZ-normalized'!$E:$E, MATCH($A136, 'UZ-normalized'!$A:$A, 0))&gt;0, -(18*INDEX('UZ-normalized'!$D:$D, MATCH($A136, 'UZ-normalized'!$A:$A, 0))-INDEX('UZ-normalized'!$E:$E, MATCH($A136, 'UZ-normalized'!$A:$A, 0))), 0), 0)))</f>
        <v>0</v>
      </c>
      <c r="AG136" s="6">
        <f>MIN(0, N136+(IFERROR(IF(19*INDEX('UA-normalized'!$D:$D, MATCH($A136, 'UA-normalized'!$A:$A, 0))-INDEX('UA-normalized'!$E:$E, MATCH($A136, 'UA-normalized'!$A:$A, 0))&gt;0, -(19*INDEX('UA-normalized'!$D:$D, MATCH($A136, 'UA-normalized'!$A:$A, 0))-INDEX('UA-normalized'!$E:$E, MATCH($A136, 'UA-normalized'!$A:$A, 0))), 0), 0))+(IFERROR(IF(19*INDEX('KZ-normalized'!$D:$D, MATCH($A136, 'KZ-normalized'!$A:$A, 0))-INDEX('KZ-normalized'!$E:$E, MATCH($A136, 'KZ-normalized'!$A:$A, 0))&gt;0, -(19*INDEX('KZ-normalized'!$D:$D, MATCH($A136, 'KZ-normalized'!$A:$A, 0))-INDEX('KZ-normalized'!$E:$E, MATCH($A136, 'KZ-normalized'!$A:$A, 0))), 0), 0))+(IFERROR(IF(19*INDEX('UZ-normalized'!$D:$D, MATCH($A136, 'UZ-normalized'!$A:$A, 0))-INDEX('UZ-normalized'!$E:$E, MATCH($A136, 'UZ-normalized'!$A:$A, 0))&gt;0, -(19*INDEX('UZ-normalized'!$D:$D, MATCH($A136, 'UZ-normalized'!$A:$A, 0))-INDEX('UZ-normalized'!$E:$E, MATCH($A136, 'UZ-normalized'!$A:$A, 0))), 0), 0)))</f>
        <v>0</v>
      </c>
      <c r="AH136" s="6">
        <f>MIN(0, N136+(IFERROR(IF(20*INDEX('UA-normalized'!$D:$D, MATCH($A136, 'UA-normalized'!$A:$A, 0))-INDEX('UA-normalized'!$E:$E, MATCH($A136, 'UA-normalized'!$A:$A, 0))&gt;0, -(20*INDEX('UA-normalized'!$D:$D, MATCH($A136, 'UA-normalized'!$A:$A, 0))-INDEX('UA-normalized'!$E:$E, MATCH($A136, 'UA-normalized'!$A:$A, 0))), 0), 0))+(IFERROR(IF(20*INDEX('KZ-normalized'!$D:$D, MATCH($A136, 'KZ-normalized'!$A:$A, 0))-INDEX('KZ-normalized'!$E:$E, MATCH($A136, 'KZ-normalized'!$A:$A, 0))&gt;0, -(20*INDEX('KZ-normalized'!$D:$D, MATCH($A136, 'KZ-normalized'!$A:$A, 0))-INDEX('KZ-normalized'!$E:$E, MATCH($A136, 'KZ-normalized'!$A:$A, 0))), 0), 0))+(IFERROR(IF(20*INDEX('UZ-normalized'!$D:$D, MATCH($A136, 'UZ-normalized'!$A:$A, 0))-INDEX('UZ-normalized'!$E:$E, MATCH($A136, 'UZ-normalized'!$A:$A, 0))&gt;0, -(20*INDEX('UZ-normalized'!$D:$D, MATCH($A136, 'UZ-normalized'!$A:$A, 0))-INDEX('UZ-normalized'!$E:$E, MATCH($A136, 'UZ-normalized'!$A:$A, 0))), 0), 0)))</f>
        <v>0</v>
      </c>
      <c r="AI136" s="6">
        <f>MIN(0, N136+(IFERROR(IF(21*INDEX('UA-normalized'!$D:$D, MATCH($A136, 'UA-normalized'!$A:$A, 0))-INDEX('UA-normalized'!$E:$E, MATCH($A136, 'UA-normalized'!$A:$A, 0))&gt;0, -(21*INDEX('UA-normalized'!$D:$D, MATCH($A136, 'UA-normalized'!$A:$A, 0))-INDEX('UA-normalized'!$E:$E, MATCH($A136, 'UA-normalized'!$A:$A, 0))), 0), 0))+(IFERROR(IF(21*INDEX('KZ-normalized'!$D:$D, MATCH($A136, 'KZ-normalized'!$A:$A, 0))-INDEX('KZ-normalized'!$E:$E, MATCH($A136, 'KZ-normalized'!$A:$A, 0))&gt;0, -(21*INDEX('KZ-normalized'!$D:$D, MATCH($A136, 'KZ-normalized'!$A:$A, 0))-INDEX('KZ-normalized'!$E:$E, MATCH($A136, 'KZ-normalized'!$A:$A, 0))), 0), 0))+(IFERROR(IF(21*INDEX('UZ-normalized'!$D:$D, MATCH($A136, 'UZ-normalized'!$A:$A, 0))-INDEX('UZ-normalized'!$E:$E, MATCH($A136, 'UZ-normalized'!$A:$A, 0))&gt;0, -(21*INDEX('UZ-normalized'!$D:$D, MATCH($A136, 'UZ-normalized'!$A:$A, 0))-INDEX('UZ-normalized'!$E:$E, MATCH($A136, 'UZ-normalized'!$A:$A, 0))), 0), 0)))</f>
        <v>0</v>
      </c>
      <c r="AJ136" s="6">
        <f>MIN(0, N136+(IFERROR(IF(22*INDEX('UA-normalized'!$D:$D, MATCH($A136, 'UA-normalized'!$A:$A, 0))-INDEX('UA-normalized'!$E:$E, MATCH($A136, 'UA-normalized'!$A:$A, 0))&gt;0, -(22*INDEX('UA-normalized'!$D:$D, MATCH($A136, 'UA-normalized'!$A:$A, 0))-INDEX('UA-normalized'!$E:$E, MATCH($A136, 'UA-normalized'!$A:$A, 0))), 0), 0))+(IFERROR(IF(22*INDEX('KZ-normalized'!$D:$D, MATCH($A136, 'KZ-normalized'!$A:$A, 0))-INDEX('KZ-normalized'!$E:$E, MATCH($A136, 'KZ-normalized'!$A:$A, 0))&gt;0, -(22*INDEX('KZ-normalized'!$D:$D, MATCH($A136, 'KZ-normalized'!$A:$A, 0))-INDEX('KZ-normalized'!$E:$E, MATCH($A136, 'KZ-normalized'!$A:$A, 0))), 0), 0))+(IFERROR(IF(22*INDEX('UZ-normalized'!$D:$D, MATCH($A136, 'UZ-normalized'!$A:$A, 0))-INDEX('UZ-normalized'!$E:$E, MATCH($A136, 'UZ-normalized'!$A:$A, 0))&gt;0, -(22*INDEX('UZ-normalized'!$D:$D, MATCH($A136, 'UZ-normalized'!$A:$A, 0))-INDEX('UZ-normalized'!$E:$E, MATCH($A136, 'UZ-normalized'!$A:$A, 0))), 0), 0)))</f>
        <v>0</v>
      </c>
      <c r="AK136" s="6">
        <f>MIN(0, N136+(IFERROR(IF(23*INDEX('UA-normalized'!$D:$D, MATCH($A136, 'UA-normalized'!$A:$A, 0))-INDEX('UA-normalized'!$E:$E, MATCH($A136, 'UA-normalized'!$A:$A, 0))&gt;0, -(23*INDEX('UA-normalized'!$D:$D, MATCH($A136, 'UA-normalized'!$A:$A, 0))-INDEX('UA-normalized'!$E:$E, MATCH($A136, 'UA-normalized'!$A:$A, 0))), 0), 0))+(IFERROR(IF(23*INDEX('KZ-normalized'!$D:$D, MATCH($A136, 'KZ-normalized'!$A:$A, 0))-INDEX('KZ-normalized'!$E:$E, MATCH($A136, 'KZ-normalized'!$A:$A, 0))&gt;0, -(23*INDEX('KZ-normalized'!$D:$D, MATCH($A136, 'KZ-normalized'!$A:$A, 0))-INDEX('KZ-normalized'!$E:$E, MATCH($A136, 'KZ-normalized'!$A:$A, 0))), 0), 0))+(IFERROR(IF(23*INDEX('UZ-normalized'!$D:$D, MATCH($A136, 'UZ-normalized'!$A:$A, 0))-INDEX('UZ-normalized'!$E:$E, MATCH($A136, 'UZ-normalized'!$A:$A, 0))&gt;0, -(23*INDEX('UZ-normalized'!$D:$D, MATCH($A136, 'UZ-normalized'!$A:$A, 0))-INDEX('UZ-normalized'!$E:$E, MATCH($A136, 'UZ-normalized'!$A:$A, 0))), 0), 0)))</f>
        <v>0</v>
      </c>
      <c r="AL136" s="6">
        <f>MIN(0, N136+(IFERROR(IF(24*INDEX('UA-normalized'!$D:$D, MATCH($A136, 'UA-normalized'!$A:$A, 0))-INDEX('UA-normalized'!$E:$E, MATCH($A136, 'UA-normalized'!$A:$A, 0))&gt;0, -(24*INDEX('UA-normalized'!$D:$D, MATCH($A136, 'UA-normalized'!$A:$A, 0))-INDEX('UA-normalized'!$E:$E, MATCH($A136, 'UA-normalized'!$A:$A, 0))), 0), 0))+(IFERROR(IF(24*INDEX('KZ-normalized'!$D:$D, MATCH($A136, 'KZ-normalized'!$A:$A, 0))-INDEX('KZ-normalized'!$E:$E, MATCH($A136, 'KZ-normalized'!$A:$A, 0))&gt;0, -(24*INDEX('KZ-normalized'!$D:$D, MATCH($A136, 'KZ-normalized'!$A:$A, 0))-INDEX('KZ-normalized'!$E:$E, MATCH($A136, 'KZ-normalized'!$A:$A, 0))), 0), 0))+(IFERROR(IF(24*INDEX('UZ-normalized'!$D:$D, MATCH($A136, 'UZ-normalized'!$A:$A, 0))-INDEX('UZ-normalized'!$E:$E, MATCH($A136, 'UZ-normalized'!$A:$A, 0))&gt;0, -(24*INDEX('UZ-normalized'!$D:$D, MATCH($A136, 'UZ-normalized'!$A:$A, 0))-INDEX('UZ-normalized'!$E:$E, MATCH($A136, 'UZ-normalized'!$A:$A, 0))), 0), 0)))</f>
        <v>0</v>
      </c>
      <c r="AM136" s="6">
        <f>MIN(0, N136+(IFERROR(IF(25*INDEX('UA-normalized'!$D:$D, MATCH($A136, 'UA-normalized'!$A:$A, 0))-INDEX('UA-normalized'!$E:$E, MATCH($A136, 'UA-normalized'!$A:$A, 0))&gt;0, -(25*INDEX('UA-normalized'!$D:$D, MATCH($A136, 'UA-normalized'!$A:$A, 0))-INDEX('UA-normalized'!$E:$E, MATCH($A136, 'UA-normalized'!$A:$A, 0))), 0), 0))+(IFERROR(IF(25*INDEX('KZ-normalized'!$D:$D, MATCH($A136, 'KZ-normalized'!$A:$A, 0))-INDEX('KZ-normalized'!$E:$E, MATCH($A136, 'KZ-normalized'!$A:$A, 0))&gt;0, -(25*INDEX('KZ-normalized'!$D:$D, MATCH($A136, 'KZ-normalized'!$A:$A, 0))-INDEX('KZ-normalized'!$E:$E, MATCH($A136, 'KZ-normalized'!$A:$A, 0))), 0), 0))+(IFERROR(IF(25*INDEX('UZ-normalized'!$D:$D, MATCH($A136, 'UZ-normalized'!$A:$A, 0))-INDEX('UZ-normalized'!$E:$E, MATCH($A136, 'UZ-normalized'!$A:$A, 0))&gt;0, -(25*INDEX('UZ-normalized'!$D:$D, MATCH($A136, 'UZ-normalized'!$A:$A, 0))-INDEX('UZ-normalized'!$E:$E, MATCH($A136, 'UZ-normalized'!$A:$A, 0))), 0), 0)))</f>
        <v>0</v>
      </c>
      <c r="AN136" s="6">
        <f>MIN(0, N136+(IFERROR(IF(26*INDEX('UA-normalized'!$D:$D, MATCH($A136, 'UA-normalized'!$A:$A, 0))-INDEX('UA-normalized'!$E:$E, MATCH($A136, 'UA-normalized'!$A:$A, 0))&gt;0, -(26*INDEX('UA-normalized'!$D:$D, MATCH($A136, 'UA-normalized'!$A:$A, 0))-INDEX('UA-normalized'!$E:$E, MATCH($A136, 'UA-normalized'!$A:$A, 0))), 0), 0))+(IFERROR(IF(26*INDEX('KZ-normalized'!$D:$D, MATCH($A136, 'KZ-normalized'!$A:$A, 0))-INDEX('KZ-normalized'!$E:$E, MATCH($A136, 'KZ-normalized'!$A:$A, 0))&gt;0, -(26*INDEX('KZ-normalized'!$D:$D, MATCH($A136, 'KZ-normalized'!$A:$A, 0))-INDEX('KZ-normalized'!$E:$E, MATCH($A136, 'KZ-normalized'!$A:$A, 0))), 0), 0))+(IFERROR(IF(26*INDEX('UZ-normalized'!$D:$D, MATCH($A136, 'UZ-normalized'!$A:$A, 0))-INDEX('UZ-normalized'!$E:$E, MATCH($A136, 'UZ-normalized'!$A:$A, 0))&gt;0, -(26*INDEX('UZ-normalized'!$D:$D, MATCH($A136, 'UZ-normalized'!$A:$A, 0))-INDEX('UZ-normalized'!$E:$E, MATCH($A136, 'UZ-normalized'!$A:$A, 0))), 0), 0)))</f>
        <v>0</v>
      </c>
      <c r="AO136" s="6">
        <f>MIN(0, N136+(IFERROR(IF(27*INDEX('UA-normalized'!$D:$D, MATCH($A136, 'UA-normalized'!$A:$A, 0))-INDEX('UA-normalized'!$E:$E, MATCH($A136, 'UA-normalized'!$A:$A, 0))&gt;0, -(27*INDEX('UA-normalized'!$D:$D, MATCH($A136, 'UA-normalized'!$A:$A, 0))-INDEX('UA-normalized'!$E:$E, MATCH($A136, 'UA-normalized'!$A:$A, 0))), 0), 0))+(IFERROR(IF(27*INDEX('KZ-normalized'!$D:$D, MATCH($A136, 'KZ-normalized'!$A:$A, 0))-INDEX('KZ-normalized'!$E:$E, MATCH($A136, 'KZ-normalized'!$A:$A, 0))&gt;0, -(27*INDEX('KZ-normalized'!$D:$D, MATCH($A136, 'KZ-normalized'!$A:$A, 0))-INDEX('KZ-normalized'!$E:$E, MATCH($A136, 'KZ-normalized'!$A:$A, 0))), 0), 0))+(IFERROR(IF(27*INDEX('UZ-normalized'!$D:$D, MATCH($A136, 'UZ-normalized'!$A:$A, 0))-INDEX('UZ-normalized'!$E:$E, MATCH($A136, 'UZ-normalized'!$A:$A, 0))&gt;0, -(27*INDEX('UZ-normalized'!$D:$D, MATCH($A136, 'UZ-normalized'!$A:$A, 0))-INDEX('UZ-normalized'!$E:$E, MATCH($A136, 'UZ-normalized'!$A:$A, 0))), 0), 0)))</f>
        <v>0</v>
      </c>
      <c r="AP136" s="6">
        <f>MIN(0, N136+(IFERROR(IF(28*INDEX('UA-normalized'!$D:$D, MATCH($A136, 'UA-normalized'!$A:$A, 0))-INDEX('UA-normalized'!$E:$E, MATCH($A136, 'UA-normalized'!$A:$A, 0))&gt;0, -(28*INDEX('UA-normalized'!$D:$D, MATCH($A136, 'UA-normalized'!$A:$A, 0))-INDEX('UA-normalized'!$E:$E, MATCH($A136, 'UA-normalized'!$A:$A, 0))), 0), 0))+(IFERROR(IF(28*INDEX('KZ-normalized'!$D:$D, MATCH($A136, 'KZ-normalized'!$A:$A, 0))-INDEX('KZ-normalized'!$E:$E, MATCH($A136, 'KZ-normalized'!$A:$A, 0))&gt;0, -(28*INDEX('KZ-normalized'!$D:$D, MATCH($A136, 'KZ-normalized'!$A:$A, 0))-INDEX('KZ-normalized'!$E:$E, MATCH($A136, 'KZ-normalized'!$A:$A, 0))), 0), 0))+(IFERROR(IF(28*INDEX('UZ-normalized'!$D:$D, MATCH($A136, 'UZ-normalized'!$A:$A, 0))-INDEX('UZ-normalized'!$E:$E, MATCH($A136, 'UZ-normalized'!$A:$A, 0))&gt;0, -(28*INDEX('UZ-normalized'!$D:$D, MATCH($A136, 'UZ-normalized'!$A:$A, 0))-INDEX('UZ-normalized'!$E:$E, MATCH($A136, 'UZ-normalized'!$A:$A, 0))), 0), 0)))</f>
        <v>0</v>
      </c>
      <c r="AQ136" s="6">
        <f>MIN(0, N136+(IFERROR(IF(29*INDEX('UA-normalized'!$D:$D, MATCH($A136, 'UA-normalized'!$A:$A, 0))-INDEX('UA-normalized'!$E:$E, MATCH($A136, 'UA-normalized'!$A:$A, 0))&gt;0, -(29*INDEX('UA-normalized'!$D:$D, MATCH($A136, 'UA-normalized'!$A:$A, 0))-INDEX('UA-normalized'!$E:$E, MATCH($A136, 'UA-normalized'!$A:$A, 0))), 0), 0))+(IFERROR(IF(29*INDEX('KZ-normalized'!$D:$D, MATCH($A136, 'KZ-normalized'!$A:$A, 0))-INDEX('KZ-normalized'!$E:$E, MATCH($A136, 'KZ-normalized'!$A:$A, 0))&gt;0, -(29*INDEX('KZ-normalized'!$D:$D, MATCH($A136, 'KZ-normalized'!$A:$A, 0))-INDEX('KZ-normalized'!$E:$E, MATCH($A136, 'KZ-normalized'!$A:$A, 0))), 0), 0))+(IFERROR(IF(29*INDEX('UZ-normalized'!$D:$D, MATCH($A136, 'UZ-normalized'!$A:$A, 0))-INDEX('UZ-normalized'!$E:$E, MATCH($A136, 'UZ-normalized'!$A:$A, 0))&gt;0, -(29*INDEX('UZ-normalized'!$D:$D, MATCH($A136, 'UZ-normalized'!$A:$A, 0))-INDEX('UZ-normalized'!$E:$E, MATCH($A136, 'UZ-normalized'!$A:$A, 0))), 0), 0)))</f>
        <v>0</v>
      </c>
      <c r="AR136" s="6">
        <f>MIN(0, N136+(IFERROR(IF(30*INDEX('UA-normalized'!$D:$D, MATCH($A136, 'UA-normalized'!$A:$A, 0))-INDEX('UA-normalized'!$E:$E, MATCH($A136, 'UA-normalized'!$A:$A, 0))&gt;0, -(30*INDEX('UA-normalized'!$D:$D, MATCH($A136, 'UA-normalized'!$A:$A, 0))-INDEX('UA-normalized'!$E:$E, MATCH($A136, 'UA-normalized'!$A:$A, 0))), 0), 0))+(IFERROR(IF(30*INDEX('KZ-normalized'!$D:$D, MATCH($A136, 'KZ-normalized'!$A:$A, 0))-INDEX('KZ-normalized'!$E:$E, MATCH($A136, 'KZ-normalized'!$A:$A, 0))&gt;0, -(30*INDEX('KZ-normalized'!$D:$D, MATCH($A136, 'KZ-normalized'!$A:$A, 0))-INDEX('KZ-normalized'!$E:$E, MATCH($A136, 'KZ-normalized'!$A:$A, 0))), 0), 0))+(IFERROR(IF(30*INDEX('UZ-normalized'!$D:$D, MATCH($A136, 'UZ-normalized'!$A:$A, 0))-INDEX('UZ-normalized'!$E:$E, MATCH($A136, 'UZ-normalized'!$A:$A, 0))&gt;0, -(30*INDEX('UZ-normalized'!$D:$D, MATCH($A136, 'UZ-normalized'!$A:$A, 0))-INDEX('UZ-normalized'!$E:$E, MATCH($A136, 'UZ-normalized'!$A:$A, 0))), 0), 0)))</f>
        <v>0</v>
      </c>
    </row>
    <row r="137" spans="1:44" x14ac:dyDescent="0.25">
      <c r="A137" s="8" t="s">
        <v>332</v>
      </c>
      <c r="B137" s="8" t="s">
        <v>317</v>
      </c>
      <c r="C137" s="8" t="s">
        <v>333</v>
      </c>
      <c r="D137" s="8" t="s">
        <v>334</v>
      </c>
      <c r="I137">
        <v>750</v>
      </c>
      <c r="N137">
        <f t="shared" si="2"/>
        <v>750</v>
      </c>
      <c r="O137" s="6">
        <f>MIN(0, N137+(IFERROR(IF(1*INDEX('UA-normalized'!$D:$D, MATCH($A137, 'UA-normalized'!$A:$A, 0))-INDEX('UA-normalized'!$E:$E, MATCH($A137, 'UA-normalized'!$A:$A, 0))&gt;0, -(1*INDEX('UA-normalized'!$D:$D, MATCH($A137, 'UA-normalized'!$A:$A, 0))-INDEX('UA-normalized'!$E:$E, MATCH($A137, 'UA-normalized'!$A:$A, 0))), 0), 0))+(IFERROR(IF(1*INDEX('KZ-normalized'!$D:$D, MATCH($A137, 'KZ-normalized'!$A:$A, 0))-INDEX('KZ-normalized'!$E:$E, MATCH($A137, 'KZ-normalized'!$A:$A, 0))&gt;0, -(1*INDEX('KZ-normalized'!$D:$D, MATCH($A137, 'KZ-normalized'!$A:$A, 0))-INDEX('KZ-normalized'!$E:$E, MATCH($A137, 'KZ-normalized'!$A:$A, 0))), 0), 0))+(IFERROR(IF(1*INDEX('UZ-normalized'!$D:$D, MATCH($A137, 'UZ-normalized'!$A:$A, 0))-INDEX('UZ-normalized'!$E:$E, MATCH($A137, 'UZ-normalized'!$A:$A, 0))&gt;0, -(1*INDEX('UZ-normalized'!$D:$D, MATCH($A137, 'UZ-normalized'!$A:$A, 0))-INDEX('UZ-normalized'!$E:$E, MATCH($A137, 'UZ-normalized'!$A:$A, 0))), 0), 0)))</f>
        <v>0</v>
      </c>
      <c r="P137" s="6">
        <f>MIN(0, N137+(IFERROR(IF(2*INDEX('UA-normalized'!$D:$D, MATCH($A137, 'UA-normalized'!$A:$A, 0))-INDEX('UA-normalized'!$E:$E, MATCH($A137, 'UA-normalized'!$A:$A, 0))&gt;0, -(2*INDEX('UA-normalized'!$D:$D, MATCH($A137, 'UA-normalized'!$A:$A, 0))-INDEX('UA-normalized'!$E:$E, MATCH($A137, 'UA-normalized'!$A:$A, 0))), 0), 0))+(IFERROR(IF(2*INDEX('KZ-normalized'!$D:$D, MATCH($A137, 'KZ-normalized'!$A:$A, 0))-INDEX('KZ-normalized'!$E:$E, MATCH($A137, 'KZ-normalized'!$A:$A, 0))&gt;0, -(2*INDEX('KZ-normalized'!$D:$D, MATCH($A137, 'KZ-normalized'!$A:$A, 0))-INDEX('KZ-normalized'!$E:$E, MATCH($A137, 'KZ-normalized'!$A:$A, 0))), 0), 0))+(IFERROR(IF(2*INDEX('UZ-normalized'!$D:$D, MATCH($A137, 'UZ-normalized'!$A:$A, 0))-INDEX('UZ-normalized'!$E:$E, MATCH($A137, 'UZ-normalized'!$A:$A, 0))&gt;0, -(2*INDEX('UZ-normalized'!$D:$D, MATCH($A137, 'UZ-normalized'!$A:$A, 0))-INDEX('UZ-normalized'!$E:$E, MATCH($A137, 'UZ-normalized'!$A:$A, 0))), 0), 0)))</f>
        <v>0</v>
      </c>
      <c r="Q137" s="6">
        <f>MIN(0, N137+(IFERROR(IF(3*INDEX('UA-normalized'!$D:$D, MATCH($A137, 'UA-normalized'!$A:$A, 0))-INDEX('UA-normalized'!$E:$E, MATCH($A137, 'UA-normalized'!$A:$A, 0))&gt;0, -(3*INDEX('UA-normalized'!$D:$D, MATCH($A137, 'UA-normalized'!$A:$A, 0))-INDEX('UA-normalized'!$E:$E, MATCH($A137, 'UA-normalized'!$A:$A, 0))), 0), 0))+(IFERROR(IF(3*INDEX('KZ-normalized'!$D:$D, MATCH($A137, 'KZ-normalized'!$A:$A, 0))-INDEX('KZ-normalized'!$E:$E, MATCH($A137, 'KZ-normalized'!$A:$A, 0))&gt;0, -(3*INDEX('KZ-normalized'!$D:$D, MATCH($A137, 'KZ-normalized'!$A:$A, 0))-INDEX('KZ-normalized'!$E:$E, MATCH($A137, 'KZ-normalized'!$A:$A, 0))), 0), 0))+(IFERROR(IF(3*INDEX('UZ-normalized'!$D:$D, MATCH($A137, 'UZ-normalized'!$A:$A, 0))-INDEX('UZ-normalized'!$E:$E, MATCH($A137, 'UZ-normalized'!$A:$A, 0))&gt;0, -(3*INDEX('UZ-normalized'!$D:$D, MATCH($A137, 'UZ-normalized'!$A:$A, 0))-INDEX('UZ-normalized'!$E:$E, MATCH($A137, 'UZ-normalized'!$A:$A, 0))), 0), 0)))</f>
        <v>0</v>
      </c>
      <c r="R137" s="6">
        <f>MIN(0, N137+(IFERROR(IF(4*INDEX('UA-normalized'!$D:$D, MATCH($A137, 'UA-normalized'!$A:$A, 0))-INDEX('UA-normalized'!$E:$E, MATCH($A137, 'UA-normalized'!$A:$A, 0))&gt;0, -(4*INDEX('UA-normalized'!$D:$D, MATCH($A137, 'UA-normalized'!$A:$A, 0))-INDEX('UA-normalized'!$E:$E, MATCH($A137, 'UA-normalized'!$A:$A, 0))), 0), 0))+(IFERROR(IF(4*INDEX('KZ-normalized'!$D:$D, MATCH($A137, 'KZ-normalized'!$A:$A, 0))-INDEX('KZ-normalized'!$E:$E, MATCH($A137, 'KZ-normalized'!$A:$A, 0))&gt;0, -(4*INDEX('KZ-normalized'!$D:$D, MATCH($A137, 'KZ-normalized'!$A:$A, 0))-INDEX('KZ-normalized'!$E:$E, MATCH($A137, 'KZ-normalized'!$A:$A, 0))), 0), 0))+(IFERROR(IF(4*INDEX('UZ-normalized'!$D:$D, MATCH($A137, 'UZ-normalized'!$A:$A, 0))-INDEX('UZ-normalized'!$E:$E, MATCH($A137, 'UZ-normalized'!$A:$A, 0))&gt;0, -(4*INDEX('UZ-normalized'!$D:$D, MATCH($A137, 'UZ-normalized'!$A:$A, 0))-INDEX('UZ-normalized'!$E:$E, MATCH($A137, 'UZ-normalized'!$A:$A, 0))), 0), 0)))</f>
        <v>0</v>
      </c>
      <c r="S137" s="6">
        <f>MIN(0, N137+(IFERROR(IF(5*INDEX('UA-normalized'!$D:$D, MATCH($A137, 'UA-normalized'!$A:$A, 0))-INDEX('UA-normalized'!$E:$E, MATCH($A137, 'UA-normalized'!$A:$A, 0))&gt;0, -(5*INDEX('UA-normalized'!$D:$D, MATCH($A137, 'UA-normalized'!$A:$A, 0))-INDEX('UA-normalized'!$E:$E, MATCH($A137, 'UA-normalized'!$A:$A, 0))), 0), 0))+(IFERROR(IF(5*INDEX('KZ-normalized'!$D:$D, MATCH($A137, 'KZ-normalized'!$A:$A, 0))-INDEX('KZ-normalized'!$E:$E, MATCH($A137, 'KZ-normalized'!$A:$A, 0))&gt;0, -(5*INDEX('KZ-normalized'!$D:$D, MATCH($A137, 'KZ-normalized'!$A:$A, 0))-INDEX('KZ-normalized'!$E:$E, MATCH($A137, 'KZ-normalized'!$A:$A, 0))), 0), 0))+(IFERROR(IF(5*INDEX('UZ-normalized'!$D:$D, MATCH($A137, 'UZ-normalized'!$A:$A, 0))-INDEX('UZ-normalized'!$E:$E, MATCH($A137, 'UZ-normalized'!$A:$A, 0))&gt;0, -(5*INDEX('UZ-normalized'!$D:$D, MATCH($A137, 'UZ-normalized'!$A:$A, 0))-INDEX('UZ-normalized'!$E:$E, MATCH($A137, 'UZ-normalized'!$A:$A, 0))), 0), 0)))</f>
        <v>0</v>
      </c>
      <c r="T137" s="6">
        <f>MIN(0, N137+(IFERROR(IF(6*INDEX('UA-normalized'!$D:$D, MATCH($A137, 'UA-normalized'!$A:$A, 0))-INDEX('UA-normalized'!$E:$E, MATCH($A137, 'UA-normalized'!$A:$A, 0))&gt;0, -(6*INDEX('UA-normalized'!$D:$D, MATCH($A137, 'UA-normalized'!$A:$A, 0))-INDEX('UA-normalized'!$E:$E, MATCH($A137, 'UA-normalized'!$A:$A, 0))), 0), 0))+(IFERROR(IF(6*INDEX('KZ-normalized'!$D:$D, MATCH($A137, 'KZ-normalized'!$A:$A, 0))-INDEX('KZ-normalized'!$E:$E, MATCH($A137, 'KZ-normalized'!$A:$A, 0))&gt;0, -(6*INDEX('KZ-normalized'!$D:$D, MATCH($A137, 'KZ-normalized'!$A:$A, 0))-INDEX('KZ-normalized'!$E:$E, MATCH($A137, 'KZ-normalized'!$A:$A, 0))), 0), 0))+(IFERROR(IF(6*INDEX('UZ-normalized'!$D:$D, MATCH($A137, 'UZ-normalized'!$A:$A, 0))-INDEX('UZ-normalized'!$E:$E, MATCH($A137, 'UZ-normalized'!$A:$A, 0))&gt;0, -(6*INDEX('UZ-normalized'!$D:$D, MATCH($A137, 'UZ-normalized'!$A:$A, 0))-INDEX('UZ-normalized'!$E:$E, MATCH($A137, 'UZ-normalized'!$A:$A, 0))), 0), 0)))</f>
        <v>0</v>
      </c>
      <c r="U137" s="6">
        <f>MIN(0, N137+(IFERROR(IF(7*INDEX('UA-normalized'!$D:$D, MATCH($A137, 'UA-normalized'!$A:$A, 0))-INDEX('UA-normalized'!$E:$E, MATCH($A137, 'UA-normalized'!$A:$A, 0))&gt;0, -(7*INDEX('UA-normalized'!$D:$D, MATCH($A137, 'UA-normalized'!$A:$A, 0))-INDEX('UA-normalized'!$E:$E, MATCH($A137, 'UA-normalized'!$A:$A, 0))), 0), 0))+(IFERROR(IF(7*INDEX('KZ-normalized'!$D:$D, MATCH($A137, 'KZ-normalized'!$A:$A, 0))-INDEX('KZ-normalized'!$E:$E, MATCH($A137, 'KZ-normalized'!$A:$A, 0))&gt;0, -(7*INDEX('KZ-normalized'!$D:$D, MATCH($A137, 'KZ-normalized'!$A:$A, 0))-INDEX('KZ-normalized'!$E:$E, MATCH($A137, 'KZ-normalized'!$A:$A, 0))), 0), 0))+(IFERROR(IF(7*INDEX('UZ-normalized'!$D:$D, MATCH($A137, 'UZ-normalized'!$A:$A, 0))-INDEX('UZ-normalized'!$E:$E, MATCH($A137, 'UZ-normalized'!$A:$A, 0))&gt;0, -(7*INDEX('UZ-normalized'!$D:$D, MATCH($A137, 'UZ-normalized'!$A:$A, 0))-INDEX('UZ-normalized'!$E:$E, MATCH($A137, 'UZ-normalized'!$A:$A, 0))), 0), 0)))</f>
        <v>0</v>
      </c>
      <c r="V137" s="6">
        <f>MIN(0, N137+(IFERROR(IF(8*INDEX('UA-normalized'!$D:$D, MATCH($A137, 'UA-normalized'!$A:$A, 0))-INDEX('UA-normalized'!$E:$E, MATCH($A137, 'UA-normalized'!$A:$A, 0))&gt;0, -(8*INDEX('UA-normalized'!$D:$D, MATCH($A137, 'UA-normalized'!$A:$A, 0))-INDEX('UA-normalized'!$E:$E, MATCH($A137, 'UA-normalized'!$A:$A, 0))), 0), 0))+(IFERROR(IF(8*INDEX('KZ-normalized'!$D:$D, MATCH($A137, 'KZ-normalized'!$A:$A, 0))-INDEX('KZ-normalized'!$E:$E, MATCH($A137, 'KZ-normalized'!$A:$A, 0))&gt;0, -(8*INDEX('KZ-normalized'!$D:$D, MATCH($A137, 'KZ-normalized'!$A:$A, 0))-INDEX('KZ-normalized'!$E:$E, MATCH($A137, 'KZ-normalized'!$A:$A, 0))), 0), 0))+(IFERROR(IF(8*INDEX('UZ-normalized'!$D:$D, MATCH($A137, 'UZ-normalized'!$A:$A, 0))-INDEX('UZ-normalized'!$E:$E, MATCH($A137, 'UZ-normalized'!$A:$A, 0))&gt;0, -(8*INDEX('UZ-normalized'!$D:$D, MATCH($A137, 'UZ-normalized'!$A:$A, 0))-INDEX('UZ-normalized'!$E:$E, MATCH($A137, 'UZ-normalized'!$A:$A, 0))), 0), 0)))</f>
        <v>0</v>
      </c>
      <c r="W137" s="6">
        <f>MIN(0, N137+(IFERROR(IF(9*INDEX('UA-normalized'!$D:$D, MATCH($A137, 'UA-normalized'!$A:$A, 0))-INDEX('UA-normalized'!$E:$E, MATCH($A137, 'UA-normalized'!$A:$A, 0))&gt;0, -(9*INDEX('UA-normalized'!$D:$D, MATCH($A137, 'UA-normalized'!$A:$A, 0))-INDEX('UA-normalized'!$E:$E, MATCH($A137, 'UA-normalized'!$A:$A, 0))), 0), 0))+(IFERROR(IF(9*INDEX('KZ-normalized'!$D:$D, MATCH($A137, 'KZ-normalized'!$A:$A, 0))-INDEX('KZ-normalized'!$E:$E, MATCH($A137, 'KZ-normalized'!$A:$A, 0))&gt;0, -(9*INDEX('KZ-normalized'!$D:$D, MATCH($A137, 'KZ-normalized'!$A:$A, 0))-INDEX('KZ-normalized'!$E:$E, MATCH($A137, 'KZ-normalized'!$A:$A, 0))), 0), 0))+(IFERROR(IF(9*INDEX('UZ-normalized'!$D:$D, MATCH($A137, 'UZ-normalized'!$A:$A, 0))-INDEX('UZ-normalized'!$E:$E, MATCH($A137, 'UZ-normalized'!$A:$A, 0))&gt;0, -(9*INDEX('UZ-normalized'!$D:$D, MATCH($A137, 'UZ-normalized'!$A:$A, 0))-INDEX('UZ-normalized'!$E:$E, MATCH($A137, 'UZ-normalized'!$A:$A, 0))), 0), 0)))</f>
        <v>0</v>
      </c>
      <c r="X137" s="6">
        <f>MIN(0, N137+(IFERROR(IF(10*INDEX('UA-normalized'!$D:$D, MATCH($A137, 'UA-normalized'!$A:$A, 0))-INDEX('UA-normalized'!$E:$E, MATCH($A137, 'UA-normalized'!$A:$A, 0))&gt;0, -(10*INDEX('UA-normalized'!$D:$D, MATCH($A137, 'UA-normalized'!$A:$A, 0))-INDEX('UA-normalized'!$E:$E, MATCH($A137, 'UA-normalized'!$A:$A, 0))), 0), 0))+(IFERROR(IF(10*INDEX('KZ-normalized'!$D:$D, MATCH($A137, 'KZ-normalized'!$A:$A, 0))-INDEX('KZ-normalized'!$E:$E, MATCH($A137, 'KZ-normalized'!$A:$A, 0))&gt;0, -(10*INDEX('KZ-normalized'!$D:$D, MATCH($A137, 'KZ-normalized'!$A:$A, 0))-INDEX('KZ-normalized'!$E:$E, MATCH($A137, 'KZ-normalized'!$A:$A, 0))), 0), 0))+(IFERROR(IF(10*INDEX('UZ-normalized'!$D:$D, MATCH($A137, 'UZ-normalized'!$A:$A, 0))-INDEX('UZ-normalized'!$E:$E, MATCH($A137, 'UZ-normalized'!$A:$A, 0))&gt;0, -(10*INDEX('UZ-normalized'!$D:$D, MATCH($A137, 'UZ-normalized'!$A:$A, 0))-INDEX('UZ-normalized'!$E:$E, MATCH($A137, 'UZ-normalized'!$A:$A, 0))), 0), 0)))</f>
        <v>0</v>
      </c>
      <c r="Y137" s="6">
        <f>MIN(0, N137+(IFERROR(IF(11*INDEX('UA-normalized'!$D:$D, MATCH($A137, 'UA-normalized'!$A:$A, 0))-INDEX('UA-normalized'!$E:$E, MATCH($A137, 'UA-normalized'!$A:$A, 0))&gt;0, -(11*INDEX('UA-normalized'!$D:$D, MATCH($A137, 'UA-normalized'!$A:$A, 0))-INDEX('UA-normalized'!$E:$E, MATCH($A137, 'UA-normalized'!$A:$A, 0))), 0), 0))+(IFERROR(IF(11*INDEX('KZ-normalized'!$D:$D, MATCH($A137, 'KZ-normalized'!$A:$A, 0))-INDEX('KZ-normalized'!$E:$E, MATCH($A137, 'KZ-normalized'!$A:$A, 0))&gt;0, -(11*INDEX('KZ-normalized'!$D:$D, MATCH($A137, 'KZ-normalized'!$A:$A, 0))-INDEX('KZ-normalized'!$E:$E, MATCH($A137, 'KZ-normalized'!$A:$A, 0))), 0), 0))+(IFERROR(IF(11*INDEX('UZ-normalized'!$D:$D, MATCH($A137, 'UZ-normalized'!$A:$A, 0))-INDEX('UZ-normalized'!$E:$E, MATCH($A137, 'UZ-normalized'!$A:$A, 0))&gt;0, -(11*INDEX('UZ-normalized'!$D:$D, MATCH($A137, 'UZ-normalized'!$A:$A, 0))-INDEX('UZ-normalized'!$E:$E, MATCH($A137, 'UZ-normalized'!$A:$A, 0))), 0), 0)))</f>
        <v>0</v>
      </c>
      <c r="Z137" s="6">
        <f>MIN(0, N137+(IFERROR(IF(12*INDEX('UA-normalized'!$D:$D, MATCH($A137, 'UA-normalized'!$A:$A, 0))-INDEX('UA-normalized'!$E:$E, MATCH($A137, 'UA-normalized'!$A:$A, 0))&gt;0, -(12*INDEX('UA-normalized'!$D:$D, MATCH($A137, 'UA-normalized'!$A:$A, 0))-INDEX('UA-normalized'!$E:$E, MATCH($A137, 'UA-normalized'!$A:$A, 0))), 0), 0))+(IFERROR(IF(12*INDEX('KZ-normalized'!$D:$D, MATCH($A137, 'KZ-normalized'!$A:$A, 0))-INDEX('KZ-normalized'!$E:$E, MATCH($A137, 'KZ-normalized'!$A:$A, 0))&gt;0, -(12*INDEX('KZ-normalized'!$D:$D, MATCH($A137, 'KZ-normalized'!$A:$A, 0))-INDEX('KZ-normalized'!$E:$E, MATCH($A137, 'KZ-normalized'!$A:$A, 0))), 0), 0))+(IFERROR(IF(12*INDEX('UZ-normalized'!$D:$D, MATCH($A137, 'UZ-normalized'!$A:$A, 0))-INDEX('UZ-normalized'!$E:$E, MATCH($A137, 'UZ-normalized'!$A:$A, 0))&gt;0, -(12*INDEX('UZ-normalized'!$D:$D, MATCH($A137, 'UZ-normalized'!$A:$A, 0))-INDEX('UZ-normalized'!$E:$E, MATCH($A137, 'UZ-normalized'!$A:$A, 0))), 0), 0)))</f>
        <v>0</v>
      </c>
      <c r="AA137" s="6">
        <f>MIN(0, N137+(IFERROR(IF(13*INDEX('UA-normalized'!$D:$D, MATCH($A137, 'UA-normalized'!$A:$A, 0))-INDEX('UA-normalized'!$E:$E, MATCH($A137, 'UA-normalized'!$A:$A, 0))&gt;0, -(13*INDEX('UA-normalized'!$D:$D, MATCH($A137, 'UA-normalized'!$A:$A, 0))-INDEX('UA-normalized'!$E:$E, MATCH($A137, 'UA-normalized'!$A:$A, 0))), 0), 0))+(IFERROR(IF(13*INDEX('KZ-normalized'!$D:$D, MATCH($A137, 'KZ-normalized'!$A:$A, 0))-INDEX('KZ-normalized'!$E:$E, MATCH($A137, 'KZ-normalized'!$A:$A, 0))&gt;0, -(13*INDEX('KZ-normalized'!$D:$D, MATCH($A137, 'KZ-normalized'!$A:$A, 0))-INDEX('KZ-normalized'!$E:$E, MATCH($A137, 'KZ-normalized'!$A:$A, 0))), 0), 0))+(IFERROR(IF(13*INDEX('UZ-normalized'!$D:$D, MATCH($A137, 'UZ-normalized'!$A:$A, 0))-INDEX('UZ-normalized'!$E:$E, MATCH($A137, 'UZ-normalized'!$A:$A, 0))&gt;0, -(13*INDEX('UZ-normalized'!$D:$D, MATCH($A137, 'UZ-normalized'!$A:$A, 0))-INDEX('UZ-normalized'!$E:$E, MATCH($A137, 'UZ-normalized'!$A:$A, 0))), 0), 0)))</f>
        <v>0</v>
      </c>
      <c r="AB137" s="6">
        <f>MIN(0, N137+(IFERROR(IF(14*INDEX('UA-normalized'!$D:$D, MATCH($A137, 'UA-normalized'!$A:$A, 0))-INDEX('UA-normalized'!$E:$E, MATCH($A137, 'UA-normalized'!$A:$A, 0))&gt;0, -(14*INDEX('UA-normalized'!$D:$D, MATCH($A137, 'UA-normalized'!$A:$A, 0))-INDEX('UA-normalized'!$E:$E, MATCH($A137, 'UA-normalized'!$A:$A, 0))), 0), 0))+(IFERROR(IF(14*INDEX('KZ-normalized'!$D:$D, MATCH($A137, 'KZ-normalized'!$A:$A, 0))-INDEX('KZ-normalized'!$E:$E, MATCH($A137, 'KZ-normalized'!$A:$A, 0))&gt;0, -(14*INDEX('KZ-normalized'!$D:$D, MATCH($A137, 'KZ-normalized'!$A:$A, 0))-INDEX('KZ-normalized'!$E:$E, MATCH($A137, 'KZ-normalized'!$A:$A, 0))), 0), 0))+(IFERROR(IF(14*INDEX('UZ-normalized'!$D:$D, MATCH($A137, 'UZ-normalized'!$A:$A, 0))-INDEX('UZ-normalized'!$E:$E, MATCH($A137, 'UZ-normalized'!$A:$A, 0))&gt;0, -(14*INDEX('UZ-normalized'!$D:$D, MATCH($A137, 'UZ-normalized'!$A:$A, 0))-INDEX('UZ-normalized'!$E:$E, MATCH($A137, 'UZ-normalized'!$A:$A, 0))), 0), 0)))</f>
        <v>0</v>
      </c>
      <c r="AC137" s="6">
        <f>MIN(0, N137+(IFERROR(IF(15*INDEX('UA-normalized'!$D:$D, MATCH($A137, 'UA-normalized'!$A:$A, 0))-INDEX('UA-normalized'!$E:$E, MATCH($A137, 'UA-normalized'!$A:$A, 0))&gt;0, -(15*INDEX('UA-normalized'!$D:$D, MATCH($A137, 'UA-normalized'!$A:$A, 0))-INDEX('UA-normalized'!$E:$E, MATCH($A137, 'UA-normalized'!$A:$A, 0))), 0), 0))+(IFERROR(IF(15*INDEX('KZ-normalized'!$D:$D, MATCH($A137, 'KZ-normalized'!$A:$A, 0))-INDEX('KZ-normalized'!$E:$E, MATCH($A137, 'KZ-normalized'!$A:$A, 0))&gt;0, -(15*INDEX('KZ-normalized'!$D:$D, MATCH($A137, 'KZ-normalized'!$A:$A, 0))-INDEX('KZ-normalized'!$E:$E, MATCH($A137, 'KZ-normalized'!$A:$A, 0))), 0), 0))+(IFERROR(IF(15*INDEX('UZ-normalized'!$D:$D, MATCH($A137, 'UZ-normalized'!$A:$A, 0))-INDEX('UZ-normalized'!$E:$E, MATCH($A137, 'UZ-normalized'!$A:$A, 0))&gt;0, -(15*INDEX('UZ-normalized'!$D:$D, MATCH($A137, 'UZ-normalized'!$A:$A, 0))-INDEX('UZ-normalized'!$E:$E, MATCH($A137, 'UZ-normalized'!$A:$A, 0))), 0), 0)))</f>
        <v>0</v>
      </c>
      <c r="AD137" s="6">
        <f>MIN(0, N137+(IFERROR(IF(16*INDEX('UA-normalized'!$D:$D, MATCH($A137, 'UA-normalized'!$A:$A, 0))-INDEX('UA-normalized'!$E:$E, MATCH($A137, 'UA-normalized'!$A:$A, 0))&gt;0, -(16*INDEX('UA-normalized'!$D:$D, MATCH($A137, 'UA-normalized'!$A:$A, 0))-INDEX('UA-normalized'!$E:$E, MATCH($A137, 'UA-normalized'!$A:$A, 0))), 0), 0))+(IFERROR(IF(16*INDEX('KZ-normalized'!$D:$D, MATCH($A137, 'KZ-normalized'!$A:$A, 0))-INDEX('KZ-normalized'!$E:$E, MATCH($A137, 'KZ-normalized'!$A:$A, 0))&gt;0, -(16*INDEX('KZ-normalized'!$D:$D, MATCH($A137, 'KZ-normalized'!$A:$A, 0))-INDEX('KZ-normalized'!$E:$E, MATCH($A137, 'KZ-normalized'!$A:$A, 0))), 0), 0))+(IFERROR(IF(16*INDEX('UZ-normalized'!$D:$D, MATCH($A137, 'UZ-normalized'!$A:$A, 0))-INDEX('UZ-normalized'!$E:$E, MATCH($A137, 'UZ-normalized'!$A:$A, 0))&gt;0, -(16*INDEX('UZ-normalized'!$D:$D, MATCH($A137, 'UZ-normalized'!$A:$A, 0))-INDEX('UZ-normalized'!$E:$E, MATCH($A137, 'UZ-normalized'!$A:$A, 0))), 0), 0)))</f>
        <v>0</v>
      </c>
      <c r="AE137" s="6">
        <f>MIN(0, N137+(IFERROR(IF(17*INDEX('UA-normalized'!$D:$D, MATCH($A137, 'UA-normalized'!$A:$A, 0))-INDEX('UA-normalized'!$E:$E, MATCH($A137, 'UA-normalized'!$A:$A, 0))&gt;0, -(17*INDEX('UA-normalized'!$D:$D, MATCH($A137, 'UA-normalized'!$A:$A, 0))-INDEX('UA-normalized'!$E:$E, MATCH($A137, 'UA-normalized'!$A:$A, 0))), 0), 0))+(IFERROR(IF(17*INDEX('KZ-normalized'!$D:$D, MATCH($A137, 'KZ-normalized'!$A:$A, 0))-INDEX('KZ-normalized'!$E:$E, MATCH($A137, 'KZ-normalized'!$A:$A, 0))&gt;0, -(17*INDEX('KZ-normalized'!$D:$D, MATCH($A137, 'KZ-normalized'!$A:$A, 0))-INDEX('KZ-normalized'!$E:$E, MATCH($A137, 'KZ-normalized'!$A:$A, 0))), 0), 0))+(IFERROR(IF(17*INDEX('UZ-normalized'!$D:$D, MATCH($A137, 'UZ-normalized'!$A:$A, 0))-INDEX('UZ-normalized'!$E:$E, MATCH($A137, 'UZ-normalized'!$A:$A, 0))&gt;0, -(17*INDEX('UZ-normalized'!$D:$D, MATCH($A137, 'UZ-normalized'!$A:$A, 0))-INDEX('UZ-normalized'!$E:$E, MATCH($A137, 'UZ-normalized'!$A:$A, 0))), 0), 0)))</f>
        <v>0</v>
      </c>
      <c r="AF137" s="6">
        <f>MIN(0, N137+(IFERROR(IF(18*INDEX('UA-normalized'!$D:$D, MATCH($A137, 'UA-normalized'!$A:$A, 0))-INDEX('UA-normalized'!$E:$E, MATCH($A137, 'UA-normalized'!$A:$A, 0))&gt;0, -(18*INDEX('UA-normalized'!$D:$D, MATCH($A137, 'UA-normalized'!$A:$A, 0))-INDEX('UA-normalized'!$E:$E, MATCH($A137, 'UA-normalized'!$A:$A, 0))), 0), 0))+(IFERROR(IF(18*INDEX('KZ-normalized'!$D:$D, MATCH($A137, 'KZ-normalized'!$A:$A, 0))-INDEX('KZ-normalized'!$E:$E, MATCH($A137, 'KZ-normalized'!$A:$A, 0))&gt;0, -(18*INDEX('KZ-normalized'!$D:$D, MATCH($A137, 'KZ-normalized'!$A:$A, 0))-INDEX('KZ-normalized'!$E:$E, MATCH($A137, 'KZ-normalized'!$A:$A, 0))), 0), 0))+(IFERROR(IF(18*INDEX('UZ-normalized'!$D:$D, MATCH($A137, 'UZ-normalized'!$A:$A, 0))-INDEX('UZ-normalized'!$E:$E, MATCH($A137, 'UZ-normalized'!$A:$A, 0))&gt;0, -(18*INDEX('UZ-normalized'!$D:$D, MATCH($A137, 'UZ-normalized'!$A:$A, 0))-INDEX('UZ-normalized'!$E:$E, MATCH($A137, 'UZ-normalized'!$A:$A, 0))), 0), 0)))</f>
        <v>0</v>
      </c>
      <c r="AG137" s="6">
        <f>MIN(0, N137+(IFERROR(IF(19*INDEX('UA-normalized'!$D:$D, MATCH($A137, 'UA-normalized'!$A:$A, 0))-INDEX('UA-normalized'!$E:$E, MATCH($A137, 'UA-normalized'!$A:$A, 0))&gt;0, -(19*INDEX('UA-normalized'!$D:$D, MATCH($A137, 'UA-normalized'!$A:$A, 0))-INDEX('UA-normalized'!$E:$E, MATCH($A137, 'UA-normalized'!$A:$A, 0))), 0), 0))+(IFERROR(IF(19*INDEX('KZ-normalized'!$D:$D, MATCH($A137, 'KZ-normalized'!$A:$A, 0))-INDEX('KZ-normalized'!$E:$E, MATCH($A137, 'KZ-normalized'!$A:$A, 0))&gt;0, -(19*INDEX('KZ-normalized'!$D:$D, MATCH($A137, 'KZ-normalized'!$A:$A, 0))-INDEX('KZ-normalized'!$E:$E, MATCH($A137, 'KZ-normalized'!$A:$A, 0))), 0), 0))+(IFERROR(IF(19*INDEX('UZ-normalized'!$D:$D, MATCH($A137, 'UZ-normalized'!$A:$A, 0))-INDEX('UZ-normalized'!$E:$E, MATCH($A137, 'UZ-normalized'!$A:$A, 0))&gt;0, -(19*INDEX('UZ-normalized'!$D:$D, MATCH($A137, 'UZ-normalized'!$A:$A, 0))-INDEX('UZ-normalized'!$E:$E, MATCH($A137, 'UZ-normalized'!$A:$A, 0))), 0), 0)))</f>
        <v>0</v>
      </c>
      <c r="AH137" s="6">
        <f>MIN(0, N137+(IFERROR(IF(20*INDEX('UA-normalized'!$D:$D, MATCH($A137, 'UA-normalized'!$A:$A, 0))-INDEX('UA-normalized'!$E:$E, MATCH($A137, 'UA-normalized'!$A:$A, 0))&gt;0, -(20*INDEX('UA-normalized'!$D:$D, MATCH($A137, 'UA-normalized'!$A:$A, 0))-INDEX('UA-normalized'!$E:$E, MATCH($A137, 'UA-normalized'!$A:$A, 0))), 0), 0))+(IFERROR(IF(20*INDEX('KZ-normalized'!$D:$D, MATCH($A137, 'KZ-normalized'!$A:$A, 0))-INDEX('KZ-normalized'!$E:$E, MATCH($A137, 'KZ-normalized'!$A:$A, 0))&gt;0, -(20*INDEX('KZ-normalized'!$D:$D, MATCH($A137, 'KZ-normalized'!$A:$A, 0))-INDEX('KZ-normalized'!$E:$E, MATCH($A137, 'KZ-normalized'!$A:$A, 0))), 0), 0))+(IFERROR(IF(20*INDEX('UZ-normalized'!$D:$D, MATCH($A137, 'UZ-normalized'!$A:$A, 0))-INDEX('UZ-normalized'!$E:$E, MATCH($A137, 'UZ-normalized'!$A:$A, 0))&gt;0, -(20*INDEX('UZ-normalized'!$D:$D, MATCH($A137, 'UZ-normalized'!$A:$A, 0))-INDEX('UZ-normalized'!$E:$E, MATCH($A137, 'UZ-normalized'!$A:$A, 0))), 0), 0)))</f>
        <v>0</v>
      </c>
      <c r="AI137" s="6">
        <f>MIN(0, N137+(IFERROR(IF(21*INDEX('UA-normalized'!$D:$D, MATCH($A137, 'UA-normalized'!$A:$A, 0))-INDEX('UA-normalized'!$E:$E, MATCH($A137, 'UA-normalized'!$A:$A, 0))&gt;0, -(21*INDEX('UA-normalized'!$D:$D, MATCH($A137, 'UA-normalized'!$A:$A, 0))-INDEX('UA-normalized'!$E:$E, MATCH($A137, 'UA-normalized'!$A:$A, 0))), 0), 0))+(IFERROR(IF(21*INDEX('KZ-normalized'!$D:$D, MATCH($A137, 'KZ-normalized'!$A:$A, 0))-INDEX('KZ-normalized'!$E:$E, MATCH($A137, 'KZ-normalized'!$A:$A, 0))&gt;0, -(21*INDEX('KZ-normalized'!$D:$D, MATCH($A137, 'KZ-normalized'!$A:$A, 0))-INDEX('KZ-normalized'!$E:$E, MATCH($A137, 'KZ-normalized'!$A:$A, 0))), 0), 0))+(IFERROR(IF(21*INDEX('UZ-normalized'!$D:$D, MATCH($A137, 'UZ-normalized'!$A:$A, 0))-INDEX('UZ-normalized'!$E:$E, MATCH($A137, 'UZ-normalized'!$A:$A, 0))&gt;0, -(21*INDEX('UZ-normalized'!$D:$D, MATCH($A137, 'UZ-normalized'!$A:$A, 0))-INDEX('UZ-normalized'!$E:$E, MATCH($A137, 'UZ-normalized'!$A:$A, 0))), 0), 0)))</f>
        <v>0</v>
      </c>
      <c r="AJ137" s="6">
        <f>MIN(0, N137+(IFERROR(IF(22*INDEX('UA-normalized'!$D:$D, MATCH($A137, 'UA-normalized'!$A:$A, 0))-INDEX('UA-normalized'!$E:$E, MATCH($A137, 'UA-normalized'!$A:$A, 0))&gt;0, -(22*INDEX('UA-normalized'!$D:$D, MATCH($A137, 'UA-normalized'!$A:$A, 0))-INDEX('UA-normalized'!$E:$E, MATCH($A137, 'UA-normalized'!$A:$A, 0))), 0), 0))+(IFERROR(IF(22*INDEX('KZ-normalized'!$D:$D, MATCH($A137, 'KZ-normalized'!$A:$A, 0))-INDEX('KZ-normalized'!$E:$E, MATCH($A137, 'KZ-normalized'!$A:$A, 0))&gt;0, -(22*INDEX('KZ-normalized'!$D:$D, MATCH($A137, 'KZ-normalized'!$A:$A, 0))-INDEX('KZ-normalized'!$E:$E, MATCH($A137, 'KZ-normalized'!$A:$A, 0))), 0), 0))+(IFERROR(IF(22*INDEX('UZ-normalized'!$D:$D, MATCH($A137, 'UZ-normalized'!$A:$A, 0))-INDEX('UZ-normalized'!$E:$E, MATCH($A137, 'UZ-normalized'!$A:$A, 0))&gt;0, -(22*INDEX('UZ-normalized'!$D:$D, MATCH($A137, 'UZ-normalized'!$A:$A, 0))-INDEX('UZ-normalized'!$E:$E, MATCH($A137, 'UZ-normalized'!$A:$A, 0))), 0), 0)))</f>
        <v>0</v>
      </c>
      <c r="AK137" s="6">
        <f>MIN(0, N137+(IFERROR(IF(23*INDEX('UA-normalized'!$D:$D, MATCH($A137, 'UA-normalized'!$A:$A, 0))-INDEX('UA-normalized'!$E:$E, MATCH($A137, 'UA-normalized'!$A:$A, 0))&gt;0, -(23*INDEX('UA-normalized'!$D:$D, MATCH($A137, 'UA-normalized'!$A:$A, 0))-INDEX('UA-normalized'!$E:$E, MATCH($A137, 'UA-normalized'!$A:$A, 0))), 0), 0))+(IFERROR(IF(23*INDEX('KZ-normalized'!$D:$D, MATCH($A137, 'KZ-normalized'!$A:$A, 0))-INDEX('KZ-normalized'!$E:$E, MATCH($A137, 'KZ-normalized'!$A:$A, 0))&gt;0, -(23*INDEX('KZ-normalized'!$D:$D, MATCH($A137, 'KZ-normalized'!$A:$A, 0))-INDEX('KZ-normalized'!$E:$E, MATCH($A137, 'KZ-normalized'!$A:$A, 0))), 0), 0))+(IFERROR(IF(23*INDEX('UZ-normalized'!$D:$D, MATCH($A137, 'UZ-normalized'!$A:$A, 0))-INDEX('UZ-normalized'!$E:$E, MATCH($A137, 'UZ-normalized'!$A:$A, 0))&gt;0, -(23*INDEX('UZ-normalized'!$D:$D, MATCH($A137, 'UZ-normalized'!$A:$A, 0))-INDEX('UZ-normalized'!$E:$E, MATCH($A137, 'UZ-normalized'!$A:$A, 0))), 0), 0)))</f>
        <v>0</v>
      </c>
      <c r="AL137" s="6">
        <f>MIN(0, N137+(IFERROR(IF(24*INDEX('UA-normalized'!$D:$D, MATCH($A137, 'UA-normalized'!$A:$A, 0))-INDEX('UA-normalized'!$E:$E, MATCH($A137, 'UA-normalized'!$A:$A, 0))&gt;0, -(24*INDEX('UA-normalized'!$D:$D, MATCH($A137, 'UA-normalized'!$A:$A, 0))-INDEX('UA-normalized'!$E:$E, MATCH($A137, 'UA-normalized'!$A:$A, 0))), 0), 0))+(IFERROR(IF(24*INDEX('KZ-normalized'!$D:$D, MATCH($A137, 'KZ-normalized'!$A:$A, 0))-INDEX('KZ-normalized'!$E:$E, MATCH($A137, 'KZ-normalized'!$A:$A, 0))&gt;0, -(24*INDEX('KZ-normalized'!$D:$D, MATCH($A137, 'KZ-normalized'!$A:$A, 0))-INDEX('KZ-normalized'!$E:$E, MATCH($A137, 'KZ-normalized'!$A:$A, 0))), 0), 0))+(IFERROR(IF(24*INDEX('UZ-normalized'!$D:$D, MATCH($A137, 'UZ-normalized'!$A:$A, 0))-INDEX('UZ-normalized'!$E:$E, MATCH($A137, 'UZ-normalized'!$A:$A, 0))&gt;0, -(24*INDEX('UZ-normalized'!$D:$D, MATCH($A137, 'UZ-normalized'!$A:$A, 0))-INDEX('UZ-normalized'!$E:$E, MATCH($A137, 'UZ-normalized'!$A:$A, 0))), 0), 0)))</f>
        <v>0</v>
      </c>
      <c r="AM137" s="6">
        <f>MIN(0, N137+(IFERROR(IF(25*INDEX('UA-normalized'!$D:$D, MATCH($A137, 'UA-normalized'!$A:$A, 0))-INDEX('UA-normalized'!$E:$E, MATCH($A137, 'UA-normalized'!$A:$A, 0))&gt;0, -(25*INDEX('UA-normalized'!$D:$D, MATCH($A137, 'UA-normalized'!$A:$A, 0))-INDEX('UA-normalized'!$E:$E, MATCH($A137, 'UA-normalized'!$A:$A, 0))), 0), 0))+(IFERROR(IF(25*INDEX('KZ-normalized'!$D:$D, MATCH($A137, 'KZ-normalized'!$A:$A, 0))-INDEX('KZ-normalized'!$E:$E, MATCH($A137, 'KZ-normalized'!$A:$A, 0))&gt;0, -(25*INDEX('KZ-normalized'!$D:$D, MATCH($A137, 'KZ-normalized'!$A:$A, 0))-INDEX('KZ-normalized'!$E:$E, MATCH($A137, 'KZ-normalized'!$A:$A, 0))), 0), 0))+(IFERROR(IF(25*INDEX('UZ-normalized'!$D:$D, MATCH($A137, 'UZ-normalized'!$A:$A, 0))-INDEX('UZ-normalized'!$E:$E, MATCH($A137, 'UZ-normalized'!$A:$A, 0))&gt;0, -(25*INDEX('UZ-normalized'!$D:$D, MATCH($A137, 'UZ-normalized'!$A:$A, 0))-INDEX('UZ-normalized'!$E:$E, MATCH($A137, 'UZ-normalized'!$A:$A, 0))), 0), 0)))</f>
        <v>0</v>
      </c>
      <c r="AN137" s="6">
        <f>MIN(0, N137+(IFERROR(IF(26*INDEX('UA-normalized'!$D:$D, MATCH($A137, 'UA-normalized'!$A:$A, 0))-INDEX('UA-normalized'!$E:$E, MATCH($A137, 'UA-normalized'!$A:$A, 0))&gt;0, -(26*INDEX('UA-normalized'!$D:$D, MATCH($A137, 'UA-normalized'!$A:$A, 0))-INDEX('UA-normalized'!$E:$E, MATCH($A137, 'UA-normalized'!$A:$A, 0))), 0), 0))+(IFERROR(IF(26*INDEX('KZ-normalized'!$D:$D, MATCH($A137, 'KZ-normalized'!$A:$A, 0))-INDEX('KZ-normalized'!$E:$E, MATCH($A137, 'KZ-normalized'!$A:$A, 0))&gt;0, -(26*INDEX('KZ-normalized'!$D:$D, MATCH($A137, 'KZ-normalized'!$A:$A, 0))-INDEX('KZ-normalized'!$E:$E, MATCH($A137, 'KZ-normalized'!$A:$A, 0))), 0), 0))+(IFERROR(IF(26*INDEX('UZ-normalized'!$D:$D, MATCH($A137, 'UZ-normalized'!$A:$A, 0))-INDEX('UZ-normalized'!$E:$E, MATCH($A137, 'UZ-normalized'!$A:$A, 0))&gt;0, -(26*INDEX('UZ-normalized'!$D:$D, MATCH($A137, 'UZ-normalized'!$A:$A, 0))-INDEX('UZ-normalized'!$E:$E, MATCH($A137, 'UZ-normalized'!$A:$A, 0))), 0), 0)))</f>
        <v>0</v>
      </c>
      <c r="AO137" s="6">
        <f>MIN(0, N137+(IFERROR(IF(27*INDEX('UA-normalized'!$D:$D, MATCH($A137, 'UA-normalized'!$A:$A, 0))-INDEX('UA-normalized'!$E:$E, MATCH($A137, 'UA-normalized'!$A:$A, 0))&gt;0, -(27*INDEX('UA-normalized'!$D:$D, MATCH($A137, 'UA-normalized'!$A:$A, 0))-INDEX('UA-normalized'!$E:$E, MATCH($A137, 'UA-normalized'!$A:$A, 0))), 0), 0))+(IFERROR(IF(27*INDEX('KZ-normalized'!$D:$D, MATCH($A137, 'KZ-normalized'!$A:$A, 0))-INDEX('KZ-normalized'!$E:$E, MATCH($A137, 'KZ-normalized'!$A:$A, 0))&gt;0, -(27*INDEX('KZ-normalized'!$D:$D, MATCH($A137, 'KZ-normalized'!$A:$A, 0))-INDEX('KZ-normalized'!$E:$E, MATCH($A137, 'KZ-normalized'!$A:$A, 0))), 0), 0))+(IFERROR(IF(27*INDEX('UZ-normalized'!$D:$D, MATCH($A137, 'UZ-normalized'!$A:$A, 0))-INDEX('UZ-normalized'!$E:$E, MATCH($A137, 'UZ-normalized'!$A:$A, 0))&gt;0, -(27*INDEX('UZ-normalized'!$D:$D, MATCH($A137, 'UZ-normalized'!$A:$A, 0))-INDEX('UZ-normalized'!$E:$E, MATCH($A137, 'UZ-normalized'!$A:$A, 0))), 0), 0)))</f>
        <v>0</v>
      </c>
      <c r="AP137" s="6">
        <f>MIN(0, N137+(IFERROR(IF(28*INDEX('UA-normalized'!$D:$D, MATCH($A137, 'UA-normalized'!$A:$A, 0))-INDEX('UA-normalized'!$E:$E, MATCH($A137, 'UA-normalized'!$A:$A, 0))&gt;0, -(28*INDEX('UA-normalized'!$D:$D, MATCH($A137, 'UA-normalized'!$A:$A, 0))-INDEX('UA-normalized'!$E:$E, MATCH($A137, 'UA-normalized'!$A:$A, 0))), 0), 0))+(IFERROR(IF(28*INDEX('KZ-normalized'!$D:$D, MATCH($A137, 'KZ-normalized'!$A:$A, 0))-INDEX('KZ-normalized'!$E:$E, MATCH($A137, 'KZ-normalized'!$A:$A, 0))&gt;0, -(28*INDEX('KZ-normalized'!$D:$D, MATCH($A137, 'KZ-normalized'!$A:$A, 0))-INDEX('KZ-normalized'!$E:$E, MATCH($A137, 'KZ-normalized'!$A:$A, 0))), 0), 0))+(IFERROR(IF(28*INDEX('UZ-normalized'!$D:$D, MATCH($A137, 'UZ-normalized'!$A:$A, 0))-INDEX('UZ-normalized'!$E:$E, MATCH($A137, 'UZ-normalized'!$A:$A, 0))&gt;0, -(28*INDEX('UZ-normalized'!$D:$D, MATCH($A137, 'UZ-normalized'!$A:$A, 0))-INDEX('UZ-normalized'!$E:$E, MATCH($A137, 'UZ-normalized'!$A:$A, 0))), 0), 0)))</f>
        <v>0</v>
      </c>
      <c r="AQ137" s="6">
        <f>MIN(0, N137+(IFERROR(IF(29*INDEX('UA-normalized'!$D:$D, MATCH($A137, 'UA-normalized'!$A:$A, 0))-INDEX('UA-normalized'!$E:$E, MATCH($A137, 'UA-normalized'!$A:$A, 0))&gt;0, -(29*INDEX('UA-normalized'!$D:$D, MATCH($A137, 'UA-normalized'!$A:$A, 0))-INDEX('UA-normalized'!$E:$E, MATCH($A137, 'UA-normalized'!$A:$A, 0))), 0), 0))+(IFERROR(IF(29*INDEX('KZ-normalized'!$D:$D, MATCH($A137, 'KZ-normalized'!$A:$A, 0))-INDEX('KZ-normalized'!$E:$E, MATCH($A137, 'KZ-normalized'!$A:$A, 0))&gt;0, -(29*INDEX('KZ-normalized'!$D:$D, MATCH($A137, 'KZ-normalized'!$A:$A, 0))-INDEX('KZ-normalized'!$E:$E, MATCH($A137, 'KZ-normalized'!$A:$A, 0))), 0), 0))+(IFERROR(IF(29*INDEX('UZ-normalized'!$D:$D, MATCH($A137, 'UZ-normalized'!$A:$A, 0))-INDEX('UZ-normalized'!$E:$E, MATCH($A137, 'UZ-normalized'!$A:$A, 0))&gt;0, -(29*INDEX('UZ-normalized'!$D:$D, MATCH($A137, 'UZ-normalized'!$A:$A, 0))-INDEX('UZ-normalized'!$E:$E, MATCH($A137, 'UZ-normalized'!$A:$A, 0))), 0), 0)))</f>
        <v>0</v>
      </c>
      <c r="AR137" s="6">
        <f>MIN(0, N137+(IFERROR(IF(30*INDEX('UA-normalized'!$D:$D, MATCH($A137, 'UA-normalized'!$A:$A, 0))-INDEX('UA-normalized'!$E:$E, MATCH($A137, 'UA-normalized'!$A:$A, 0))&gt;0, -(30*INDEX('UA-normalized'!$D:$D, MATCH($A137, 'UA-normalized'!$A:$A, 0))-INDEX('UA-normalized'!$E:$E, MATCH($A137, 'UA-normalized'!$A:$A, 0))), 0), 0))+(IFERROR(IF(30*INDEX('KZ-normalized'!$D:$D, MATCH($A137, 'KZ-normalized'!$A:$A, 0))-INDEX('KZ-normalized'!$E:$E, MATCH($A137, 'KZ-normalized'!$A:$A, 0))&gt;0, -(30*INDEX('KZ-normalized'!$D:$D, MATCH($A137, 'KZ-normalized'!$A:$A, 0))-INDEX('KZ-normalized'!$E:$E, MATCH($A137, 'KZ-normalized'!$A:$A, 0))), 0), 0))+(IFERROR(IF(30*INDEX('UZ-normalized'!$D:$D, MATCH($A137, 'UZ-normalized'!$A:$A, 0))-INDEX('UZ-normalized'!$E:$E, MATCH($A137, 'UZ-normalized'!$A:$A, 0))&gt;0, -(30*INDEX('UZ-normalized'!$D:$D, MATCH($A137, 'UZ-normalized'!$A:$A, 0))-INDEX('UZ-normalized'!$E:$E, MATCH($A137, 'UZ-normalized'!$A:$A, 0))), 0), 0)))</f>
        <v>0</v>
      </c>
    </row>
    <row r="138" spans="1:44" x14ac:dyDescent="0.25">
      <c r="A138" s="8" t="s">
        <v>335</v>
      </c>
      <c r="B138" s="8" t="s">
        <v>336</v>
      </c>
      <c r="C138" s="8" t="s">
        <v>337</v>
      </c>
      <c r="D138" s="8" t="s">
        <v>338</v>
      </c>
      <c r="N138">
        <f t="shared" si="2"/>
        <v>0</v>
      </c>
      <c r="O138" s="6">
        <f>MIN(0, N138+(IFERROR(IF(1*INDEX('UA-normalized'!$D:$D, MATCH($A138, 'UA-normalized'!$A:$A, 0))-INDEX('UA-normalized'!$E:$E, MATCH($A138, 'UA-normalized'!$A:$A, 0))&gt;0, -(1*INDEX('UA-normalized'!$D:$D, MATCH($A138, 'UA-normalized'!$A:$A, 0))-INDEX('UA-normalized'!$E:$E, MATCH($A138, 'UA-normalized'!$A:$A, 0))), 0), 0))+(IFERROR(IF(1*INDEX('KZ-normalized'!$D:$D, MATCH($A138, 'KZ-normalized'!$A:$A, 0))-INDEX('KZ-normalized'!$E:$E, MATCH($A138, 'KZ-normalized'!$A:$A, 0))&gt;0, -(1*INDEX('KZ-normalized'!$D:$D, MATCH($A138, 'KZ-normalized'!$A:$A, 0))-INDEX('KZ-normalized'!$E:$E, MATCH($A138, 'KZ-normalized'!$A:$A, 0))), 0), 0))+(IFERROR(IF(1*INDEX('UZ-normalized'!$D:$D, MATCH($A138, 'UZ-normalized'!$A:$A, 0))-INDEX('UZ-normalized'!$E:$E, MATCH($A138, 'UZ-normalized'!$A:$A, 0))&gt;0, -(1*INDEX('UZ-normalized'!$D:$D, MATCH($A138, 'UZ-normalized'!$A:$A, 0))-INDEX('UZ-normalized'!$E:$E, MATCH($A138, 'UZ-normalized'!$A:$A, 0))), 0), 0)))</f>
        <v>0</v>
      </c>
      <c r="P138" s="6">
        <f>MIN(0, N138+(IFERROR(IF(2*INDEX('UA-normalized'!$D:$D, MATCH($A138, 'UA-normalized'!$A:$A, 0))-INDEX('UA-normalized'!$E:$E, MATCH($A138, 'UA-normalized'!$A:$A, 0))&gt;0, -(2*INDEX('UA-normalized'!$D:$D, MATCH($A138, 'UA-normalized'!$A:$A, 0))-INDEX('UA-normalized'!$E:$E, MATCH($A138, 'UA-normalized'!$A:$A, 0))), 0), 0))+(IFERROR(IF(2*INDEX('KZ-normalized'!$D:$D, MATCH($A138, 'KZ-normalized'!$A:$A, 0))-INDEX('KZ-normalized'!$E:$E, MATCH($A138, 'KZ-normalized'!$A:$A, 0))&gt;0, -(2*INDEX('KZ-normalized'!$D:$D, MATCH($A138, 'KZ-normalized'!$A:$A, 0))-INDEX('KZ-normalized'!$E:$E, MATCH($A138, 'KZ-normalized'!$A:$A, 0))), 0), 0))+(IFERROR(IF(2*INDEX('UZ-normalized'!$D:$D, MATCH($A138, 'UZ-normalized'!$A:$A, 0))-INDEX('UZ-normalized'!$E:$E, MATCH($A138, 'UZ-normalized'!$A:$A, 0))&gt;0, -(2*INDEX('UZ-normalized'!$D:$D, MATCH($A138, 'UZ-normalized'!$A:$A, 0))-INDEX('UZ-normalized'!$E:$E, MATCH($A138, 'UZ-normalized'!$A:$A, 0))), 0), 0)))</f>
        <v>0</v>
      </c>
      <c r="Q138" s="6">
        <f>MIN(0, N138+(IFERROR(IF(3*INDEX('UA-normalized'!$D:$D, MATCH($A138, 'UA-normalized'!$A:$A, 0))-INDEX('UA-normalized'!$E:$E, MATCH($A138, 'UA-normalized'!$A:$A, 0))&gt;0, -(3*INDEX('UA-normalized'!$D:$D, MATCH($A138, 'UA-normalized'!$A:$A, 0))-INDEX('UA-normalized'!$E:$E, MATCH($A138, 'UA-normalized'!$A:$A, 0))), 0), 0))+(IFERROR(IF(3*INDEX('KZ-normalized'!$D:$D, MATCH($A138, 'KZ-normalized'!$A:$A, 0))-INDEX('KZ-normalized'!$E:$E, MATCH($A138, 'KZ-normalized'!$A:$A, 0))&gt;0, -(3*INDEX('KZ-normalized'!$D:$D, MATCH($A138, 'KZ-normalized'!$A:$A, 0))-INDEX('KZ-normalized'!$E:$E, MATCH($A138, 'KZ-normalized'!$A:$A, 0))), 0), 0))+(IFERROR(IF(3*INDEX('UZ-normalized'!$D:$D, MATCH($A138, 'UZ-normalized'!$A:$A, 0))-INDEX('UZ-normalized'!$E:$E, MATCH($A138, 'UZ-normalized'!$A:$A, 0))&gt;0, -(3*INDEX('UZ-normalized'!$D:$D, MATCH($A138, 'UZ-normalized'!$A:$A, 0))-INDEX('UZ-normalized'!$E:$E, MATCH($A138, 'UZ-normalized'!$A:$A, 0))), 0), 0)))</f>
        <v>0</v>
      </c>
      <c r="R138" s="6">
        <f>MIN(0, N138+(IFERROR(IF(4*INDEX('UA-normalized'!$D:$D, MATCH($A138, 'UA-normalized'!$A:$A, 0))-INDEX('UA-normalized'!$E:$E, MATCH($A138, 'UA-normalized'!$A:$A, 0))&gt;0, -(4*INDEX('UA-normalized'!$D:$D, MATCH($A138, 'UA-normalized'!$A:$A, 0))-INDEX('UA-normalized'!$E:$E, MATCH($A138, 'UA-normalized'!$A:$A, 0))), 0), 0))+(IFERROR(IF(4*INDEX('KZ-normalized'!$D:$D, MATCH($A138, 'KZ-normalized'!$A:$A, 0))-INDEX('KZ-normalized'!$E:$E, MATCH($A138, 'KZ-normalized'!$A:$A, 0))&gt;0, -(4*INDEX('KZ-normalized'!$D:$D, MATCH($A138, 'KZ-normalized'!$A:$A, 0))-INDEX('KZ-normalized'!$E:$E, MATCH($A138, 'KZ-normalized'!$A:$A, 0))), 0), 0))+(IFERROR(IF(4*INDEX('UZ-normalized'!$D:$D, MATCH($A138, 'UZ-normalized'!$A:$A, 0))-INDEX('UZ-normalized'!$E:$E, MATCH($A138, 'UZ-normalized'!$A:$A, 0))&gt;0, -(4*INDEX('UZ-normalized'!$D:$D, MATCH($A138, 'UZ-normalized'!$A:$A, 0))-INDEX('UZ-normalized'!$E:$E, MATCH($A138, 'UZ-normalized'!$A:$A, 0))), 0), 0)))</f>
        <v>0</v>
      </c>
      <c r="S138" s="6">
        <f>MIN(0, N138+(IFERROR(IF(5*INDEX('UA-normalized'!$D:$D, MATCH($A138, 'UA-normalized'!$A:$A, 0))-INDEX('UA-normalized'!$E:$E, MATCH($A138, 'UA-normalized'!$A:$A, 0))&gt;0, -(5*INDEX('UA-normalized'!$D:$D, MATCH($A138, 'UA-normalized'!$A:$A, 0))-INDEX('UA-normalized'!$E:$E, MATCH($A138, 'UA-normalized'!$A:$A, 0))), 0), 0))+(IFERROR(IF(5*INDEX('KZ-normalized'!$D:$D, MATCH($A138, 'KZ-normalized'!$A:$A, 0))-INDEX('KZ-normalized'!$E:$E, MATCH($A138, 'KZ-normalized'!$A:$A, 0))&gt;0, -(5*INDEX('KZ-normalized'!$D:$D, MATCH($A138, 'KZ-normalized'!$A:$A, 0))-INDEX('KZ-normalized'!$E:$E, MATCH($A138, 'KZ-normalized'!$A:$A, 0))), 0), 0))+(IFERROR(IF(5*INDEX('UZ-normalized'!$D:$D, MATCH($A138, 'UZ-normalized'!$A:$A, 0))-INDEX('UZ-normalized'!$E:$E, MATCH($A138, 'UZ-normalized'!$A:$A, 0))&gt;0, -(5*INDEX('UZ-normalized'!$D:$D, MATCH($A138, 'UZ-normalized'!$A:$A, 0))-INDEX('UZ-normalized'!$E:$E, MATCH($A138, 'UZ-normalized'!$A:$A, 0))), 0), 0)))</f>
        <v>0</v>
      </c>
      <c r="T138" s="6">
        <f>MIN(0, N138+(IFERROR(IF(6*INDEX('UA-normalized'!$D:$D, MATCH($A138, 'UA-normalized'!$A:$A, 0))-INDEX('UA-normalized'!$E:$E, MATCH($A138, 'UA-normalized'!$A:$A, 0))&gt;0, -(6*INDEX('UA-normalized'!$D:$D, MATCH($A138, 'UA-normalized'!$A:$A, 0))-INDEX('UA-normalized'!$E:$E, MATCH($A138, 'UA-normalized'!$A:$A, 0))), 0), 0))+(IFERROR(IF(6*INDEX('KZ-normalized'!$D:$D, MATCH($A138, 'KZ-normalized'!$A:$A, 0))-INDEX('KZ-normalized'!$E:$E, MATCH($A138, 'KZ-normalized'!$A:$A, 0))&gt;0, -(6*INDEX('KZ-normalized'!$D:$D, MATCH($A138, 'KZ-normalized'!$A:$A, 0))-INDEX('KZ-normalized'!$E:$E, MATCH($A138, 'KZ-normalized'!$A:$A, 0))), 0), 0))+(IFERROR(IF(6*INDEX('UZ-normalized'!$D:$D, MATCH($A138, 'UZ-normalized'!$A:$A, 0))-INDEX('UZ-normalized'!$E:$E, MATCH($A138, 'UZ-normalized'!$A:$A, 0))&gt;0, -(6*INDEX('UZ-normalized'!$D:$D, MATCH($A138, 'UZ-normalized'!$A:$A, 0))-INDEX('UZ-normalized'!$E:$E, MATCH($A138, 'UZ-normalized'!$A:$A, 0))), 0), 0)))</f>
        <v>0</v>
      </c>
      <c r="U138" s="6">
        <f>MIN(0, N138+(IFERROR(IF(7*INDEX('UA-normalized'!$D:$D, MATCH($A138, 'UA-normalized'!$A:$A, 0))-INDEX('UA-normalized'!$E:$E, MATCH($A138, 'UA-normalized'!$A:$A, 0))&gt;0, -(7*INDEX('UA-normalized'!$D:$D, MATCH($A138, 'UA-normalized'!$A:$A, 0))-INDEX('UA-normalized'!$E:$E, MATCH($A138, 'UA-normalized'!$A:$A, 0))), 0), 0))+(IFERROR(IF(7*INDEX('KZ-normalized'!$D:$D, MATCH($A138, 'KZ-normalized'!$A:$A, 0))-INDEX('KZ-normalized'!$E:$E, MATCH($A138, 'KZ-normalized'!$A:$A, 0))&gt;0, -(7*INDEX('KZ-normalized'!$D:$D, MATCH($A138, 'KZ-normalized'!$A:$A, 0))-INDEX('KZ-normalized'!$E:$E, MATCH($A138, 'KZ-normalized'!$A:$A, 0))), 0), 0))+(IFERROR(IF(7*INDEX('UZ-normalized'!$D:$D, MATCH($A138, 'UZ-normalized'!$A:$A, 0))-INDEX('UZ-normalized'!$E:$E, MATCH($A138, 'UZ-normalized'!$A:$A, 0))&gt;0, -(7*INDEX('UZ-normalized'!$D:$D, MATCH($A138, 'UZ-normalized'!$A:$A, 0))-INDEX('UZ-normalized'!$E:$E, MATCH($A138, 'UZ-normalized'!$A:$A, 0))), 0), 0)))</f>
        <v>0</v>
      </c>
      <c r="V138" s="6">
        <f>MIN(0, N138+(IFERROR(IF(8*INDEX('UA-normalized'!$D:$D, MATCH($A138, 'UA-normalized'!$A:$A, 0))-INDEX('UA-normalized'!$E:$E, MATCH($A138, 'UA-normalized'!$A:$A, 0))&gt;0, -(8*INDEX('UA-normalized'!$D:$D, MATCH($A138, 'UA-normalized'!$A:$A, 0))-INDEX('UA-normalized'!$E:$E, MATCH($A138, 'UA-normalized'!$A:$A, 0))), 0), 0))+(IFERROR(IF(8*INDEX('KZ-normalized'!$D:$D, MATCH($A138, 'KZ-normalized'!$A:$A, 0))-INDEX('KZ-normalized'!$E:$E, MATCH($A138, 'KZ-normalized'!$A:$A, 0))&gt;0, -(8*INDEX('KZ-normalized'!$D:$D, MATCH($A138, 'KZ-normalized'!$A:$A, 0))-INDEX('KZ-normalized'!$E:$E, MATCH($A138, 'KZ-normalized'!$A:$A, 0))), 0), 0))+(IFERROR(IF(8*INDEX('UZ-normalized'!$D:$D, MATCH($A138, 'UZ-normalized'!$A:$A, 0))-INDEX('UZ-normalized'!$E:$E, MATCH($A138, 'UZ-normalized'!$A:$A, 0))&gt;0, -(8*INDEX('UZ-normalized'!$D:$D, MATCH($A138, 'UZ-normalized'!$A:$A, 0))-INDEX('UZ-normalized'!$E:$E, MATCH($A138, 'UZ-normalized'!$A:$A, 0))), 0), 0)))</f>
        <v>0</v>
      </c>
      <c r="W138" s="6">
        <f>MIN(0, N138+(IFERROR(IF(9*INDEX('UA-normalized'!$D:$D, MATCH($A138, 'UA-normalized'!$A:$A, 0))-INDEX('UA-normalized'!$E:$E, MATCH($A138, 'UA-normalized'!$A:$A, 0))&gt;0, -(9*INDEX('UA-normalized'!$D:$D, MATCH($A138, 'UA-normalized'!$A:$A, 0))-INDEX('UA-normalized'!$E:$E, MATCH($A138, 'UA-normalized'!$A:$A, 0))), 0), 0))+(IFERROR(IF(9*INDEX('KZ-normalized'!$D:$D, MATCH($A138, 'KZ-normalized'!$A:$A, 0))-INDEX('KZ-normalized'!$E:$E, MATCH($A138, 'KZ-normalized'!$A:$A, 0))&gt;0, -(9*INDEX('KZ-normalized'!$D:$D, MATCH($A138, 'KZ-normalized'!$A:$A, 0))-INDEX('KZ-normalized'!$E:$E, MATCH($A138, 'KZ-normalized'!$A:$A, 0))), 0), 0))+(IFERROR(IF(9*INDEX('UZ-normalized'!$D:$D, MATCH($A138, 'UZ-normalized'!$A:$A, 0))-INDEX('UZ-normalized'!$E:$E, MATCH($A138, 'UZ-normalized'!$A:$A, 0))&gt;0, -(9*INDEX('UZ-normalized'!$D:$D, MATCH($A138, 'UZ-normalized'!$A:$A, 0))-INDEX('UZ-normalized'!$E:$E, MATCH($A138, 'UZ-normalized'!$A:$A, 0))), 0), 0)))</f>
        <v>0</v>
      </c>
      <c r="X138" s="6">
        <f>MIN(0, N138+(IFERROR(IF(10*INDEX('UA-normalized'!$D:$D, MATCH($A138, 'UA-normalized'!$A:$A, 0))-INDEX('UA-normalized'!$E:$E, MATCH($A138, 'UA-normalized'!$A:$A, 0))&gt;0, -(10*INDEX('UA-normalized'!$D:$D, MATCH($A138, 'UA-normalized'!$A:$A, 0))-INDEX('UA-normalized'!$E:$E, MATCH($A138, 'UA-normalized'!$A:$A, 0))), 0), 0))+(IFERROR(IF(10*INDEX('KZ-normalized'!$D:$D, MATCH($A138, 'KZ-normalized'!$A:$A, 0))-INDEX('KZ-normalized'!$E:$E, MATCH($A138, 'KZ-normalized'!$A:$A, 0))&gt;0, -(10*INDEX('KZ-normalized'!$D:$D, MATCH($A138, 'KZ-normalized'!$A:$A, 0))-INDEX('KZ-normalized'!$E:$E, MATCH($A138, 'KZ-normalized'!$A:$A, 0))), 0), 0))+(IFERROR(IF(10*INDEX('UZ-normalized'!$D:$D, MATCH($A138, 'UZ-normalized'!$A:$A, 0))-INDEX('UZ-normalized'!$E:$E, MATCH($A138, 'UZ-normalized'!$A:$A, 0))&gt;0, -(10*INDEX('UZ-normalized'!$D:$D, MATCH($A138, 'UZ-normalized'!$A:$A, 0))-INDEX('UZ-normalized'!$E:$E, MATCH($A138, 'UZ-normalized'!$A:$A, 0))), 0), 0)))</f>
        <v>0</v>
      </c>
      <c r="Y138" s="6">
        <f>MIN(0, N138+(IFERROR(IF(11*INDEX('UA-normalized'!$D:$D, MATCH($A138, 'UA-normalized'!$A:$A, 0))-INDEX('UA-normalized'!$E:$E, MATCH($A138, 'UA-normalized'!$A:$A, 0))&gt;0, -(11*INDEX('UA-normalized'!$D:$D, MATCH($A138, 'UA-normalized'!$A:$A, 0))-INDEX('UA-normalized'!$E:$E, MATCH($A138, 'UA-normalized'!$A:$A, 0))), 0), 0))+(IFERROR(IF(11*INDEX('KZ-normalized'!$D:$D, MATCH($A138, 'KZ-normalized'!$A:$A, 0))-INDEX('KZ-normalized'!$E:$E, MATCH($A138, 'KZ-normalized'!$A:$A, 0))&gt;0, -(11*INDEX('KZ-normalized'!$D:$D, MATCH($A138, 'KZ-normalized'!$A:$A, 0))-INDEX('KZ-normalized'!$E:$E, MATCH($A138, 'KZ-normalized'!$A:$A, 0))), 0), 0))+(IFERROR(IF(11*INDEX('UZ-normalized'!$D:$D, MATCH($A138, 'UZ-normalized'!$A:$A, 0))-INDEX('UZ-normalized'!$E:$E, MATCH($A138, 'UZ-normalized'!$A:$A, 0))&gt;0, -(11*INDEX('UZ-normalized'!$D:$D, MATCH($A138, 'UZ-normalized'!$A:$A, 0))-INDEX('UZ-normalized'!$E:$E, MATCH($A138, 'UZ-normalized'!$A:$A, 0))), 0), 0)))</f>
        <v>0</v>
      </c>
      <c r="Z138" s="6">
        <f>MIN(0, N138+(IFERROR(IF(12*INDEX('UA-normalized'!$D:$D, MATCH($A138, 'UA-normalized'!$A:$A, 0))-INDEX('UA-normalized'!$E:$E, MATCH($A138, 'UA-normalized'!$A:$A, 0))&gt;0, -(12*INDEX('UA-normalized'!$D:$D, MATCH($A138, 'UA-normalized'!$A:$A, 0))-INDEX('UA-normalized'!$E:$E, MATCH($A138, 'UA-normalized'!$A:$A, 0))), 0), 0))+(IFERROR(IF(12*INDEX('KZ-normalized'!$D:$D, MATCH($A138, 'KZ-normalized'!$A:$A, 0))-INDEX('KZ-normalized'!$E:$E, MATCH($A138, 'KZ-normalized'!$A:$A, 0))&gt;0, -(12*INDEX('KZ-normalized'!$D:$D, MATCH($A138, 'KZ-normalized'!$A:$A, 0))-INDEX('KZ-normalized'!$E:$E, MATCH($A138, 'KZ-normalized'!$A:$A, 0))), 0), 0))+(IFERROR(IF(12*INDEX('UZ-normalized'!$D:$D, MATCH($A138, 'UZ-normalized'!$A:$A, 0))-INDEX('UZ-normalized'!$E:$E, MATCH($A138, 'UZ-normalized'!$A:$A, 0))&gt;0, -(12*INDEX('UZ-normalized'!$D:$D, MATCH($A138, 'UZ-normalized'!$A:$A, 0))-INDEX('UZ-normalized'!$E:$E, MATCH($A138, 'UZ-normalized'!$A:$A, 0))), 0), 0)))</f>
        <v>0</v>
      </c>
      <c r="AA138" s="6">
        <f>MIN(0, N138+(IFERROR(IF(13*INDEX('UA-normalized'!$D:$D, MATCH($A138, 'UA-normalized'!$A:$A, 0))-INDEX('UA-normalized'!$E:$E, MATCH($A138, 'UA-normalized'!$A:$A, 0))&gt;0, -(13*INDEX('UA-normalized'!$D:$D, MATCH($A138, 'UA-normalized'!$A:$A, 0))-INDEX('UA-normalized'!$E:$E, MATCH($A138, 'UA-normalized'!$A:$A, 0))), 0), 0))+(IFERROR(IF(13*INDEX('KZ-normalized'!$D:$D, MATCH($A138, 'KZ-normalized'!$A:$A, 0))-INDEX('KZ-normalized'!$E:$E, MATCH($A138, 'KZ-normalized'!$A:$A, 0))&gt;0, -(13*INDEX('KZ-normalized'!$D:$D, MATCH($A138, 'KZ-normalized'!$A:$A, 0))-INDEX('KZ-normalized'!$E:$E, MATCH($A138, 'KZ-normalized'!$A:$A, 0))), 0), 0))+(IFERROR(IF(13*INDEX('UZ-normalized'!$D:$D, MATCH($A138, 'UZ-normalized'!$A:$A, 0))-INDEX('UZ-normalized'!$E:$E, MATCH($A138, 'UZ-normalized'!$A:$A, 0))&gt;0, -(13*INDEX('UZ-normalized'!$D:$D, MATCH($A138, 'UZ-normalized'!$A:$A, 0))-INDEX('UZ-normalized'!$E:$E, MATCH($A138, 'UZ-normalized'!$A:$A, 0))), 0), 0)))</f>
        <v>0</v>
      </c>
      <c r="AB138" s="6">
        <f>MIN(0, N138+(IFERROR(IF(14*INDEX('UA-normalized'!$D:$D, MATCH($A138, 'UA-normalized'!$A:$A, 0))-INDEX('UA-normalized'!$E:$E, MATCH($A138, 'UA-normalized'!$A:$A, 0))&gt;0, -(14*INDEX('UA-normalized'!$D:$D, MATCH($A138, 'UA-normalized'!$A:$A, 0))-INDEX('UA-normalized'!$E:$E, MATCH($A138, 'UA-normalized'!$A:$A, 0))), 0), 0))+(IFERROR(IF(14*INDEX('KZ-normalized'!$D:$D, MATCH($A138, 'KZ-normalized'!$A:$A, 0))-INDEX('KZ-normalized'!$E:$E, MATCH($A138, 'KZ-normalized'!$A:$A, 0))&gt;0, -(14*INDEX('KZ-normalized'!$D:$D, MATCH($A138, 'KZ-normalized'!$A:$A, 0))-INDEX('KZ-normalized'!$E:$E, MATCH($A138, 'KZ-normalized'!$A:$A, 0))), 0), 0))+(IFERROR(IF(14*INDEX('UZ-normalized'!$D:$D, MATCH($A138, 'UZ-normalized'!$A:$A, 0))-INDEX('UZ-normalized'!$E:$E, MATCH($A138, 'UZ-normalized'!$A:$A, 0))&gt;0, -(14*INDEX('UZ-normalized'!$D:$D, MATCH($A138, 'UZ-normalized'!$A:$A, 0))-INDEX('UZ-normalized'!$E:$E, MATCH($A138, 'UZ-normalized'!$A:$A, 0))), 0), 0)))</f>
        <v>0</v>
      </c>
      <c r="AC138" s="6">
        <f>MIN(0, N138+(IFERROR(IF(15*INDEX('UA-normalized'!$D:$D, MATCH($A138, 'UA-normalized'!$A:$A, 0))-INDEX('UA-normalized'!$E:$E, MATCH($A138, 'UA-normalized'!$A:$A, 0))&gt;0, -(15*INDEX('UA-normalized'!$D:$D, MATCH($A138, 'UA-normalized'!$A:$A, 0))-INDEX('UA-normalized'!$E:$E, MATCH($A138, 'UA-normalized'!$A:$A, 0))), 0), 0))+(IFERROR(IF(15*INDEX('KZ-normalized'!$D:$D, MATCH($A138, 'KZ-normalized'!$A:$A, 0))-INDEX('KZ-normalized'!$E:$E, MATCH($A138, 'KZ-normalized'!$A:$A, 0))&gt;0, -(15*INDEX('KZ-normalized'!$D:$D, MATCH($A138, 'KZ-normalized'!$A:$A, 0))-INDEX('KZ-normalized'!$E:$E, MATCH($A138, 'KZ-normalized'!$A:$A, 0))), 0), 0))+(IFERROR(IF(15*INDEX('UZ-normalized'!$D:$D, MATCH($A138, 'UZ-normalized'!$A:$A, 0))-INDEX('UZ-normalized'!$E:$E, MATCH($A138, 'UZ-normalized'!$A:$A, 0))&gt;0, -(15*INDEX('UZ-normalized'!$D:$D, MATCH($A138, 'UZ-normalized'!$A:$A, 0))-INDEX('UZ-normalized'!$E:$E, MATCH($A138, 'UZ-normalized'!$A:$A, 0))), 0), 0)))</f>
        <v>0</v>
      </c>
      <c r="AD138" s="6">
        <f>MIN(0, N138+(IFERROR(IF(16*INDEX('UA-normalized'!$D:$D, MATCH($A138, 'UA-normalized'!$A:$A, 0))-INDEX('UA-normalized'!$E:$E, MATCH($A138, 'UA-normalized'!$A:$A, 0))&gt;0, -(16*INDEX('UA-normalized'!$D:$D, MATCH($A138, 'UA-normalized'!$A:$A, 0))-INDEX('UA-normalized'!$E:$E, MATCH($A138, 'UA-normalized'!$A:$A, 0))), 0), 0))+(IFERROR(IF(16*INDEX('KZ-normalized'!$D:$D, MATCH($A138, 'KZ-normalized'!$A:$A, 0))-INDEX('KZ-normalized'!$E:$E, MATCH($A138, 'KZ-normalized'!$A:$A, 0))&gt;0, -(16*INDEX('KZ-normalized'!$D:$D, MATCH($A138, 'KZ-normalized'!$A:$A, 0))-INDEX('KZ-normalized'!$E:$E, MATCH($A138, 'KZ-normalized'!$A:$A, 0))), 0), 0))+(IFERROR(IF(16*INDEX('UZ-normalized'!$D:$D, MATCH($A138, 'UZ-normalized'!$A:$A, 0))-INDEX('UZ-normalized'!$E:$E, MATCH($A138, 'UZ-normalized'!$A:$A, 0))&gt;0, -(16*INDEX('UZ-normalized'!$D:$D, MATCH($A138, 'UZ-normalized'!$A:$A, 0))-INDEX('UZ-normalized'!$E:$E, MATCH($A138, 'UZ-normalized'!$A:$A, 0))), 0), 0)))</f>
        <v>0</v>
      </c>
      <c r="AE138" s="6">
        <f>MIN(0, N138+(IFERROR(IF(17*INDEX('UA-normalized'!$D:$D, MATCH($A138, 'UA-normalized'!$A:$A, 0))-INDEX('UA-normalized'!$E:$E, MATCH($A138, 'UA-normalized'!$A:$A, 0))&gt;0, -(17*INDEX('UA-normalized'!$D:$D, MATCH($A138, 'UA-normalized'!$A:$A, 0))-INDEX('UA-normalized'!$E:$E, MATCH($A138, 'UA-normalized'!$A:$A, 0))), 0), 0))+(IFERROR(IF(17*INDEX('KZ-normalized'!$D:$D, MATCH($A138, 'KZ-normalized'!$A:$A, 0))-INDEX('KZ-normalized'!$E:$E, MATCH($A138, 'KZ-normalized'!$A:$A, 0))&gt;0, -(17*INDEX('KZ-normalized'!$D:$D, MATCH($A138, 'KZ-normalized'!$A:$A, 0))-INDEX('KZ-normalized'!$E:$E, MATCH($A138, 'KZ-normalized'!$A:$A, 0))), 0), 0))+(IFERROR(IF(17*INDEX('UZ-normalized'!$D:$D, MATCH($A138, 'UZ-normalized'!$A:$A, 0))-INDEX('UZ-normalized'!$E:$E, MATCH($A138, 'UZ-normalized'!$A:$A, 0))&gt;0, -(17*INDEX('UZ-normalized'!$D:$D, MATCH($A138, 'UZ-normalized'!$A:$A, 0))-INDEX('UZ-normalized'!$E:$E, MATCH($A138, 'UZ-normalized'!$A:$A, 0))), 0), 0)))</f>
        <v>0</v>
      </c>
      <c r="AF138" s="6">
        <f>MIN(0, N138+(IFERROR(IF(18*INDEX('UA-normalized'!$D:$D, MATCH($A138, 'UA-normalized'!$A:$A, 0))-INDEX('UA-normalized'!$E:$E, MATCH($A138, 'UA-normalized'!$A:$A, 0))&gt;0, -(18*INDEX('UA-normalized'!$D:$D, MATCH($A138, 'UA-normalized'!$A:$A, 0))-INDEX('UA-normalized'!$E:$E, MATCH($A138, 'UA-normalized'!$A:$A, 0))), 0), 0))+(IFERROR(IF(18*INDEX('KZ-normalized'!$D:$D, MATCH($A138, 'KZ-normalized'!$A:$A, 0))-INDEX('KZ-normalized'!$E:$E, MATCH($A138, 'KZ-normalized'!$A:$A, 0))&gt;0, -(18*INDEX('KZ-normalized'!$D:$D, MATCH($A138, 'KZ-normalized'!$A:$A, 0))-INDEX('KZ-normalized'!$E:$E, MATCH($A138, 'KZ-normalized'!$A:$A, 0))), 0), 0))+(IFERROR(IF(18*INDEX('UZ-normalized'!$D:$D, MATCH($A138, 'UZ-normalized'!$A:$A, 0))-INDEX('UZ-normalized'!$E:$E, MATCH($A138, 'UZ-normalized'!$A:$A, 0))&gt;0, -(18*INDEX('UZ-normalized'!$D:$D, MATCH($A138, 'UZ-normalized'!$A:$A, 0))-INDEX('UZ-normalized'!$E:$E, MATCH($A138, 'UZ-normalized'!$A:$A, 0))), 0), 0)))</f>
        <v>0</v>
      </c>
      <c r="AG138" s="6">
        <f>MIN(0, N138+(IFERROR(IF(19*INDEX('UA-normalized'!$D:$D, MATCH($A138, 'UA-normalized'!$A:$A, 0))-INDEX('UA-normalized'!$E:$E, MATCH($A138, 'UA-normalized'!$A:$A, 0))&gt;0, -(19*INDEX('UA-normalized'!$D:$D, MATCH($A138, 'UA-normalized'!$A:$A, 0))-INDEX('UA-normalized'!$E:$E, MATCH($A138, 'UA-normalized'!$A:$A, 0))), 0), 0))+(IFERROR(IF(19*INDEX('KZ-normalized'!$D:$D, MATCH($A138, 'KZ-normalized'!$A:$A, 0))-INDEX('KZ-normalized'!$E:$E, MATCH($A138, 'KZ-normalized'!$A:$A, 0))&gt;0, -(19*INDEX('KZ-normalized'!$D:$D, MATCH($A138, 'KZ-normalized'!$A:$A, 0))-INDEX('KZ-normalized'!$E:$E, MATCH($A138, 'KZ-normalized'!$A:$A, 0))), 0), 0))+(IFERROR(IF(19*INDEX('UZ-normalized'!$D:$D, MATCH($A138, 'UZ-normalized'!$A:$A, 0))-INDEX('UZ-normalized'!$E:$E, MATCH($A138, 'UZ-normalized'!$A:$A, 0))&gt;0, -(19*INDEX('UZ-normalized'!$D:$D, MATCH($A138, 'UZ-normalized'!$A:$A, 0))-INDEX('UZ-normalized'!$E:$E, MATCH($A138, 'UZ-normalized'!$A:$A, 0))), 0), 0)))</f>
        <v>0</v>
      </c>
      <c r="AH138" s="6">
        <f>MIN(0, N138+(IFERROR(IF(20*INDEX('UA-normalized'!$D:$D, MATCH($A138, 'UA-normalized'!$A:$A, 0))-INDEX('UA-normalized'!$E:$E, MATCH($A138, 'UA-normalized'!$A:$A, 0))&gt;0, -(20*INDEX('UA-normalized'!$D:$D, MATCH($A138, 'UA-normalized'!$A:$A, 0))-INDEX('UA-normalized'!$E:$E, MATCH($A138, 'UA-normalized'!$A:$A, 0))), 0), 0))+(IFERROR(IF(20*INDEX('KZ-normalized'!$D:$D, MATCH($A138, 'KZ-normalized'!$A:$A, 0))-INDEX('KZ-normalized'!$E:$E, MATCH($A138, 'KZ-normalized'!$A:$A, 0))&gt;0, -(20*INDEX('KZ-normalized'!$D:$D, MATCH($A138, 'KZ-normalized'!$A:$A, 0))-INDEX('KZ-normalized'!$E:$E, MATCH($A138, 'KZ-normalized'!$A:$A, 0))), 0), 0))+(IFERROR(IF(20*INDEX('UZ-normalized'!$D:$D, MATCH($A138, 'UZ-normalized'!$A:$A, 0))-INDEX('UZ-normalized'!$E:$E, MATCH($A138, 'UZ-normalized'!$A:$A, 0))&gt;0, -(20*INDEX('UZ-normalized'!$D:$D, MATCH($A138, 'UZ-normalized'!$A:$A, 0))-INDEX('UZ-normalized'!$E:$E, MATCH($A138, 'UZ-normalized'!$A:$A, 0))), 0), 0)))</f>
        <v>0</v>
      </c>
      <c r="AI138" s="6">
        <f>MIN(0, N138+(IFERROR(IF(21*INDEX('UA-normalized'!$D:$D, MATCH($A138, 'UA-normalized'!$A:$A, 0))-INDEX('UA-normalized'!$E:$E, MATCH($A138, 'UA-normalized'!$A:$A, 0))&gt;0, -(21*INDEX('UA-normalized'!$D:$D, MATCH($A138, 'UA-normalized'!$A:$A, 0))-INDEX('UA-normalized'!$E:$E, MATCH($A138, 'UA-normalized'!$A:$A, 0))), 0), 0))+(IFERROR(IF(21*INDEX('KZ-normalized'!$D:$D, MATCH($A138, 'KZ-normalized'!$A:$A, 0))-INDEX('KZ-normalized'!$E:$E, MATCH($A138, 'KZ-normalized'!$A:$A, 0))&gt;0, -(21*INDEX('KZ-normalized'!$D:$D, MATCH($A138, 'KZ-normalized'!$A:$A, 0))-INDEX('KZ-normalized'!$E:$E, MATCH($A138, 'KZ-normalized'!$A:$A, 0))), 0), 0))+(IFERROR(IF(21*INDEX('UZ-normalized'!$D:$D, MATCH($A138, 'UZ-normalized'!$A:$A, 0))-INDEX('UZ-normalized'!$E:$E, MATCH($A138, 'UZ-normalized'!$A:$A, 0))&gt;0, -(21*INDEX('UZ-normalized'!$D:$D, MATCH($A138, 'UZ-normalized'!$A:$A, 0))-INDEX('UZ-normalized'!$E:$E, MATCH($A138, 'UZ-normalized'!$A:$A, 0))), 0), 0)))</f>
        <v>0</v>
      </c>
      <c r="AJ138" s="6">
        <f>MIN(0, N138+(IFERROR(IF(22*INDEX('UA-normalized'!$D:$D, MATCH($A138, 'UA-normalized'!$A:$A, 0))-INDEX('UA-normalized'!$E:$E, MATCH($A138, 'UA-normalized'!$A:$A, 0))&gt;0, -(22*INDEX('UA-normalized'!$D:$D, MATCH($A138, 'UA-normalized'!$A:$A, 0))-INDEX('UA-normalized'!$E:$E, MATCH($A138, 'UA-normalized'!$A:$A, 0))), 0), 0))+(IFERROR(IF(22*INDEX('KZ-normalized'!$D:$D, MATCH($A138, 'KZ-normalized'!$A:$A, 0))-INDEX('KZ-normalized'!$E:$E, MATCH($A138, 'KZ-normalized'!$A:$A, 0))&gt;0, -(22*INDEX('KZ-normalized'!$D:$D, MATCH($A138, 'KZ-normalized'!$A:$A, 0))-INDEX('KZ-normalized'!$E:$E, MATCH($A138, 'KZ-normalized'!$A:$A, 0))), 0), 0))+(IFERROR(IF(22*INDEX('UZ-normalized'!$D:$D, MATCH($A138, 'UZ-normalized'!$A:$A, 0))-INDEX('UZ-normalized'!$E:$E, MATCH($A138, 'UZ-normalized'!$A:$A, 0))&gt;0, -(22*INDEX('UZ-normalized'!$D:$D, MATCH($A138, 'UZ-normalized'!$A:$A, 0))-INDEX('UZ-normalized'!$E:$E, MATCH($A138, 'UZ-normalized'!$A:$A, 0))), 0), 0)))</f>
        <v>0</v>
      </c>
      <c r="AK138" s="6">
        <f>MIN(0, N138+(IFERROR(IF(23*INDEX('UA-normalized'!$D:$D, MATCH($A138, 'UA-normalized'!$A:$A, 0))-INDEX('UA-normalized'!$E:$E, MATCH($A138, 'UA-normalized'!$A:$A, 0))&gt;0, -(23*INDEX('UA-normalized'!$D:$D, MATCH($A138, 'UA-normalized'!$A:$A, 0))-INDEX('UA-normalized'!$E:$E, MATCH($A138, 'UA-normalized'!$A:$A, 0))), 0), 0))+(IFERROR(IF(23*INDEX('KZ-normalized'!$D:$D, MATCH($A138, 'KZ-normalized'!$A:$A, 0))-INDEX('KZ-normalized'!$E:$E, MATCH($A138, 'KZ-normalized'!$A:$A, 0))&gt;0, -(23*INDEX('KZ-normalized'!$D:$D, MATCH($A138, 'KZ-normalized'!$A:$A, 0))-INDEX('KZ-normalized'!$E:$E, MATCH($A138, 'KZ-normalized'!$A:$A, 0))), 0), 0))+(IFERROR(IF(23*INDEX('UZ-normalized'!$D:$D, MATCH($A138, 'UZ-normalized'!$A:$A, 0))-INDEX('UZ-normalized'!$E:$E, MATCH($A138, 'UZ-normalized'!$A:$A, 0))&gt;0, -(23*INDEX('UZ-normalized'!$D:$D, MATCH($A138, 'UZ-normalized'!$A:$A, 0))-INDEX('UZ-normalized'!$E:$E, MATCH($A138, 'UZ-normalized'!$A:$A, 0))), 0), 0)))</f>
        <v>0</v>
      </c>
      <c r="AL138" s="6">
        <f>MIN(0, N138+(IFERROR(IF(24*INDEX('UA-normalized'!$D:$D, MATCH($A138, 'UA-normalized'!$A:$A, 0))-INDEX('UA-normalized'!$E:$E, MATCH($A138, 'UA-normalized'!$A:$A, 0))&gt;0, -(24*INDEX('UA-normalized'!$D:$D, MATCH($A138, 'UA-normalized'!$A:$A, 0))-INDEX('UA-normalized'!$E:$E, MATCH($A138, 'UA-normalized'!$A:$A, 0))), 0), 0))+(IFERROR(IF(24*INDEX('KZ-normalized'!$D:$D, MATCH($A138, 'KZ-normalized'!$A:$A, 0))-INDEX('KZ-normalized'!$E:$E, MATCH($A138, 'KZ-normalized'!$A:$A, 0))&gt;0, -(24*INDEX('KZ-normalized'!$D:$D, MATCH($A138, 'KZ-normalized'!$A:$A, 0))-INDEX('KZ-normalized'!$E:$E, MATCH($A138, 'KZ-normalized'!$A:$A, 0))), 0), 0))+(IFERROR(IF(24*INDEX('UZ-normalized'!$D:$D, MATCH($A138, 'UZ-normalized'!$A:$A, 0))-INDEX('UZ-normalized'!$E:$E, MATCH($A138, 'UZ-normalized'!$A:$A, 0))&gt;0, -(24*INDEX('UZ-normalized'!$D:$D, MATCH($A138, 'UZ-normalized'!$A:$A, 0))-INDEX('UZ-normalized'!$E:$E, MATCH($A138, 'UZ-normalized'!$A:$A, 0))), 0), 0)))</f>
        <v>0</v>
      </c>
      <c r="AM138" s="6">
        <f>MIN(0, N138+(IFERROR(IF(25*INDEX('UA-normalized'!$D:$D, MATCH($A138, 'UA-normalized'!$A:$A, 0))-INDEX('UA-normalized'!$E:$E, MATCH($A138, 'UA-normalized'!$A:$A, 0))&gt;0, -(25*INDEX('UA-normalized'!$D:$D, MATCH($A138, 'UA-normalized'!$A:$A, 0))-INDEX('UA-normalized'!$E:$E, MATCH($A138, 'UA-normalized'!$A:$A, 0))), 0), 0))+(IFERROR(IF(25*INDEX('KZ-normalized'!$D:$D, MATCH($A138, 'KZ-normalized'!$A:$A, 0))-INDEX('KZ-normalized'!$E:$E, MATCH($A138, 'KZ-normalized'!$A:$A, 0))&gt;0, -(25*INDEX('KZ-normalized'!$D:$D, MATCH($A138, 'KZ-normalized'!$A:$A, 0))-INDEX('KZ-normalized'!$E:$E, MATCH($A138, 'KZ-normalized'!$A:$A, 0))), 0), 0))+(IFERROR(IF(25*INDEX('UZ-normalized'!$D:$D, MATCH($A138, 'UZ-normalized'!$A:$A, 0))-INDEX('UZ-normalized'!$E:$E, MATCH($A138, 'UZ-normalized'!$A:$A, 0))&gt;0, -(25*INDEX('UZ-normalized'!$D:$D, MATCH($A138, 'UZ-normalized'!$A:$A, 0))-INDEX('UZ-normalized'!$E:$E, MATCH($A138, 'UZ-normalized'!$A:$A, 0))), 0), 0)))</f>
        <v>0</v>
      </c>
      <c r="AN138" s="6">
        <f>MIN(0, N138+(IFERROR(IF(26*INDEX('UA-normalized'!$D:$D, MATCH($A138, 'UA-normalized'!$A:$A, 0))-INDEX('UA-normalized'!$E:$E, MATCH($A138, 'UA-normalized'!$A:$A, 0))&gt;0, -(26*INDEX('UA-normalized'!$D:$D, MATCH($A138, 'UA-normalized'!$A:$A, 0))-INDEX('UA-normalized'!$E:$E, MATCH($A138, 'UA-normalized'!$A:$A, 0))), 0), 0))+(IFERROR(IF(26*INDEX('KZ-normalized'!$D:$D, MATCH($A138, 'KZ-normalized'!$A:$A, 0))-INDEX('KZ-normalized'!$E:$E, MATCH($A138, 'KZ-normalized'!$A:$A, 0))&gt;0, -(26*INDEX('KZ-normalized'!$D:$D, MATCH($A138, 'KZ-normalized'!$A:$A, 0))-INDEX('KZ-normalized'!$E:$E, MATCH($A138, 'KZ-normalized'!$A:$A, 0))), 0), 0))+(IFERROR(IF(26*INDEX('UZ-normalized'!$D:$D, MATCH($A138, 'UZ-normalized'!$A:$A, 0))-INDEX('UZ-normalized'!$E:$E, MATCH($A138, 'UZ-normalized'!$A:$A, 0))&gt;0, -(26*INDEX('UZ-normalized'!$D:$D, MATCH($A138, 'UZ-normalized'!$A:$A, 0))-INDEX('UZ-normalized'!$E:$E, MATCH($A138, 'UZ-normalized'!$A:$A, 0))), 0), 0)))</f>
        <v>0</v>
      </c>
      <c r="AO138" s="6">
        <f>MIN(0, N138+(IFERROR(IF(27*INDEX('UA-normalized'!$D:$D, MATCH($A138, 'UA-normalized'!$A:$A, 0))-INDEX('UA-normalized'!$E:$E, MATCH($A138, 'UA-normalized'!$A:$A, 0))&gt;0, -(27*INDEX('UA-normalized'!$D:$D, MATCH($A138, 'UA-normalized'!$A:$A, 0))-INDEX('UA-normalized'!$E:$E, MATCH($A138, 'UA-normalized'!$A:$A, 0))), 0), 0))+(IFERROR(IF(27*INDEX('KZ-normalized'!$D:$D, MATCH($A138, 'KZ-normalized'!$A:$A, 0))-INDEX('KZ-normalized'!$E:$E, MATCH($A138, 'KZ-normalized'!$A:$A, 0))&gt;0, -(27*INDEX('KZ-normalized'!$D:$D, MATCH($A138, 'KZ-normalized'!$A:$A, 0))-INDEX('KZ-normalized'!$E:$E, MATCH($A138, 'KZ-normalized'!$A:$A, 0))), 0), 0))+(IFERROR(IF(27*INDEX('UZ-normalized'!$D:$D, MATCH($A138, 'UZ-normalized'!$A:$A, 0))-INDEX('UZ-normalized'!$E:$E, MATCH($A138, 'UZ-normalized'!$A:$A, 0))&gt;0, -(27*INDEX('UZ-normalized'!$D:$D, MATCH($A138, 'UZ-normalized'!$A:$A, 0))-INDEX('UZ-normalized'!$E:$E, MATCH($A138, 'UZ-normalized'!$A:$A, 0))), 0), 0)))</f>
        <v>0</v>
      </c>
      <c r="AP138" s="6">
        <f>MIN(0, N138+(IFERROR(IF(28*INDEX('UA-normalized'!$D:$D, MATCH($A138, 'UA-normalized'!$A:$A, 0))-INDEX('UA-normalized'!$E:$E, MATCH($A138, 'UA-normalized'!$A:$A, 0))&gt;0, -(28*INDEX('UA-normalized'!$D:$D, MATCH($A138, 'UA-normalized'!$A:$A, 0))-INDEX('UA-normalized'!$E:$E, MATCH($A138, 'UA-normalized'!$A:$A, 0))), 0), 0))+(IFERROR(IF(28*INDEX('KZ-normalized'!$D:$D, MATCH($A138, 'KZ-normalized'!$A:$A, 0))-INDEX('KZ-normalized'!$E:$E, MATCH($A138, 'KZ-normalized'!$A:$A, 0))&gt;0, -(28*INDEX('KZ-normalized'!$D:$D, MATCH($A138, 'KZ-normalized'!$A:$A, 0))-INDEX('KZ-normalized'!$E:$E, MATCH($A138, 'KZ-normalized'!$A:$A, 0))), 0), 0))+(IFERROR(IF(28*INDEX('UZ-normalized'!$D:$D, MATCH($A138, 'UZ-normalized'!$A:$A, 0))-INDEX('UZ-normalized'!$E:$E, MATCH($A138, 'UZ-normalized'!$A:$A, 0))&gt;0, -(28*INDEX('UZ-normalized'!$D:$D, MATCH($A138, 'UZ-normalized'!$A:$A, 0))-INDEX('UZ-normalized'!$E:$E, MATCH($A138, 'UZ-normalized'!$A:$A, 0))), 0), 0)))</f>
        <v>0</v>
      </c>
      <c r="AQ138" s="6">
        <f>MIN(0, N138+(IFERROR(IF(29*INDEX('UA-normalized'!$D:$D, MATCH($A138, 'UA-normalized'!$A:$A, 0))-INDEX('UA-normalized'!$E:$E, MATCH($A138, 'UA-normalized'!$A:$A, 0))&gt;0, -(29*INDEX('UA-normalized'!$D:$D, MATCH($A138, 'UA-normalized'!$A:$A, 0))-INDEX('UA-normalized'!$E:$E, MATCH($A138, 'UA-normalized'!$A:$A, 0))), 0), 0))+(IFERROR(IF(29*INDEX('KZ-normalized'!$D:$D, MATCH($A138, 'KZ-normalized'!$A:$A, 0))-INDEX('KZ-normalized'!$E:$E, MATCH($A138, 'KZ-normalized'!$A:$A, 0))&gt;0, -(29*INDEX('KZ-normalized'!$D:$D, MATCH($A138, 'KZ-normalized'!$A:$A, 0))-INDEX('KZ-normalized'!$E:$E, MATCH($A138, 'KZ-normalized'!$A:$A, 0))), 0), 0))+(IFERROR(IF(29*INDEX('UZ-normalized'!$D:$D, MATCH($A138, 'UZ-normalized'!$A:$A, 0))-INDEX('UZ-normalized'!$E:$E, MATCH($A138, 'UZ-normalized'!$A:$A, 0))&gt;0, -(29*INDEX('UZ-normalized'!$D:$D, MATCH($A138, 'UZ-normalized'!$A:$A, 0))-INDEX('UZ-normalized'!$E:$E, MATCH($A138, 'UZ-normalized'!$A:$A, 0))), 0), 0)))</f>
        <v>0</v>
      </c>
      <c r="AR138" s="6">
        <f>MIN(0, N138+(IFERROR(IF(30*INDEX('UA-normalized'!$D:$D, MATCH($A138, 'UA-normalized'!$A:$A, 0))-INDEX('UA-normalized'!$E:$E, MATCH($A138, 'UA-normalized'!$A:$A, 0))&gt;0, -(30*INDEX('UA-normalized'!$D:$D, MATCH($A138, 'UA-normalized'!$A:$A, 0))-INDEX('UA-normalized'!$E:$E, MATCH($A138, 'UA-normalized'!$A:$A, 0))), 0), 0))+(IFERROR(IF(30*INDEX('KZ-normalized'!$D:$D, MATCH($A138, 'KZ-normalized'!$A:$A, 0))-INDEX('KZ-normalized'!$E:$E, MATCH($A138, 'KZ-normalized'!$A:$A, 0))&gt;0, -(30*INDEX('KZ-normalized'!$D:$D, MATCH($A138, 'KZ-normalized'!$A:$A, 0))-INDEX('KZ-normalized'!$E:$E, MATCH($A138, 'KZ-normalized'!$A:$A, 0))), 0), 0))+(IFERROR(IF(30*INDEX('UZ-normalized'!$D:$D, MATCH($A138, 'UZ-normalized'!$A:$A, 0))-INDEX('UZ-normalized'!$E:$E, MATCH($A138, 'UZ-normalized'!$A:$A, 0))&gt;0, -(30*INDEX('UZ-normalized'!$D:$D, MATCH($A138, 'UZ-normalized'!$A:$A, 0))-INDEX('UZ-normalized'!$E:$E, MATCH($A138, 'UZ-normalized'!$A:$A, 0))), 0), 0)))</f>
        <v>0</v>
      </c>
    </row>
    <row r="139" spans="1:44" x14ac:dyDescent="0.25">
      <c r="A139" s="8" t="s">
        <v>339</v>
      </c>
      <c r="B139" s="8" t="s">
        <v>336</v>
      </c>
      <c r="C139" s="8" t="s">
        <v>337</v>
      </c>
      <c r="D139" s="8" t="s">
        <v>340</v>
      </c>
      <c r="N139">
        <f t="shared" si="2"/>
        <v>0</v>
      </c>
      <c r="O139" s="6">
        <f>MIN(0, N139+(IFERROR(IF(1*INDEX('UA-normalized'!$D:$D, MATCH($A139, 'UA-normalized'!$A:$A, 0))-INDEX('UA-normalized'!$E:$E, MATCH($A139, 'UA-normalized'!$A:$A, 0))&gt;0, -(1*INDEX('UA-normalized'!$D:$D, MATCH($A139, 'UA-normalized'!$A:$A, 0))-INDEX('UA-normalized'!$E:$E, MATCH($A139, 'UA-normalized'!$A:$A, 0))), 0), 0))+(IFERROR(IF(1*INDEX('KZ-normalized'!$D:$D, MATCH($A139, 'KZ-normalized'!$A:$A, 0))-INDEX('KZ-normalized'!$E:$E, MATCH($A139, 'KZ-normalized'!$A:$A, 0))&gt;0, -(1*INDEX('KZ-normalized'!$D:$D, MATCH($A139, 'KZ-normalized'!$A:$A, 0))-INDEX('KZ-normalized'!$E:$E, MATCH($A139, 'KZ-normalized'!$A:$A, 0))), 0), 0))+(IFERROR(IF(1*INDEX('UZ-normalized'!$D:$D, MATCH($A139, 'UZ-normalized'!$A:$A, 0))-INDEX('UZ-normalized'!$E:$E, MATCH($A139, 'UZ-normalized'!$A:$A, 0))&gt;0, -(1*INDEX('UZ-normalized'!$D:$D, MATCH($A139, 'UZ-normalized'!$A:$A, 0))-INDEX('UZ-normalized'!$E:$E, MATCH($A139, 'UZ-normalized'!$A:$A, 0))), 0), 0)))</f>
        <v>0</v>
      </c>
      <c r="P139" s="6">
        <f>MIN(0, N139+(IFERROR(IF(2*INDEX('UA-normalized'!$D:$D, MATCH($A139, 'UA-normalized'!$A:$A, 0))-INDEX('UA-normalized'!$E:$E, MATCH($A139, 'UA-normalized'!$A:$A, 0))&gt;0, -(2*INDEX('UA-normalized'!$D:$D, MATCH($A139, 'UA-normalized'!$A:$A, 0))-INDEX('UA-normalized'!$E:$E, MATCH($A139, 'UA-normalized'!$A:$A, 0))), 0), 0))+(IFERROR(IF(2*INDEX('KZ-normalized'!$D:$D, MATCH($A139, 'KZ-normalized'!$A:$A, 0))-INDEX('KZ-normalized'!$E:$E, MATCH($A139, 'KZ-normalized'!$A:$A, 0))&gt;0, -(2*INDEX('KZ-normalized'!$D:$D, MATCH($A139, 'KZ-normalized'!$A:$A, 0))-INDEX('KZ-normalized'!$E:$E, MATCH($A139, 'KZ-normalized'!$A:$A, 0))), 0), 0))+(IFERROR(IF(2*INDEX('UZ-normalized'!$D:$D, MATCH($A139, 'UZ-normalized'!$A:$A, 0))-INDEX('UZ-normalized'!$E:$E, MATCH($A139, 'UZ-normalized'!$A:$A, 0))&gt;0, -(2*INDEX('UZ-normalized'!$D:$D, MATCH($A139, 'UZ-normalized'!$A:$A, 0))-INDEX('UZ-normalized'!$E:$E, MATCH($A139, 'UZ-normalized'!$A:$A, 0))), 0), 0)))</f>
        <v>0</v>
      </c>
      <c r="Q139" s="6">
        <f>MIN(0, N139+(IFERROR(IF(3*INDEX('UA-normalized'!$D:$D, MATCH($A139, 'UA-normalized'!$A:$A, 0))-INDEX('UA-normalized'!$E:$E, MATCH($A139, 'UA-normalized'!$A:$A, 0))&gt;0, -(3*INDEX('UA-normalized'!$D:$D, MATCH($A139, 'UA-normalized'!$A:$A, 0))-INDEX('UA-normalized'!$E:$E, MATCH($A139, 'UA-normalized'!$A:$A, 0))), 0), 0))+(IFERROR(IF(3*INDEX('KZ-normalized'!$D:$D, MATCH($A139, 'KZ-normalized'!$A:$A, 0))-INDEX('KZ-normalized'!$E:$E, MATCH($A139, 'KZ-normalized'!$A:$A, 0))&gt;0, -(3*INDEX('KZ-normalized'!$D:$D, MATCH($A139, 'KZ-normalized'!$A:$A, 0))-INDEX('KZ-normalized'!$E:$E, MATCH($A139, 'KZ-normalized'!$A:$A, 0))), 0), 0))+(IFERROR(IF(3*INDEX('UZ-normalized'!$D:$D, MATCH($A139, 'UZ-normalized'!$A:$A, 0))-INDEX('UZ-normalized'!$E:$E, MATCH($A139, 'UZ-normalized'!$A:$A, 0))&gt;0, -(3*INDEX('UZ-normalized'!$D:$D, MATCH($A139, 'UZ-normalized'!$A:$A, 0))-INDEX('UZ-normalized'!$E:$E, MATCH($A139, 'UZ-normalized'!$A:$A, 0))), 0), 0)))</f>
        <v>0</v>
      </c>
      <c r="R139" s="6">
        <f>MIN(0, N139+(IFERROR(IF(4*INDEX('UA-normalized'!$D:$D, MATCH($A139, 'UA-normalized'!$A:$A, 0))-INDEX('UA-normalized'!$E:$E, MATCH($A139, 'UA-normalized'!$A:$A, 0))&gt;0, -(4*INDEX('UA-normalized'!$D:$D, MATCH($A139, 'UA-normalized'!$A:$A, 0))-INDEX('UA-normalized'!$E:$E, MATCH($A139, 'UA-normalized'!$A:$A, 0))), 0), 0))+(IFERROR(IF(4*INDEX('KZ-normalized'!$D:$D, MATCH($A139, 'KZ-normalized'!$A:$A, 0))-INDEX('KZ-normalized'!$E:$E, MATCH($A139, 'KZ-normalized'!$A:$A, 0))&gt;0, -(4*INDEX('KZ-normalized'!$D:$D, MATCH($A139, 'KZ-normalized'!$A:$A, 0))-INDEX('KZ-normalized'!$E:$E, MATCH($A139, 'KZ-normalized'!$A:$A, 0))), 0), 0))+(IFERROR(IF(4*INDEX('UZ-normalized'!$D:$D, MATCH($A139, 'UZ-normalized'!$A:$A, 0))-INDEX('UZ-normalized'!$E:$E, MATCH($A139, 'UZ-normalized'!$A:$A, 0))&gt;0, -(4*INDEX('UZ-normalized'!$D:$D, MATCH($A139, 'UZ-normalized'!$A:$A, 0))-INDEX('UZ-normalized'!$E:$E, MATCH($A139, 'UZ-normalized'!$A:$A, 0))), 0), 0)))</f>
        <v>0</v>
      </c>
      <c r="S139" s="6">
        <f>MIN(0, N139+(IFERROR(IF(5*INDEX('UA-normalized'!$D:$D, MATCH($A139, 'UA-normalized'!$A:$A, 0))-INDEX('UA-normalized'!$E:$E, MATCH($A139, 'UA-normalized'!$A:$A, 0))&gt;0, -(5*INDEX('UA-normalized'!$D:$D, MATCH($A139, 'UA-normalized'!$A:$A, 0))-INDEX('UA-normalized'!$E:$E, MATCH($A139, 'UA-normalized'!$A:$A, 0))), 0), 0))+(IFERROR(IF(5*INDEX('KZ-normalized'!$D:$D, MATCH($A139, 'KZ-normalized'!$A:$A, 0))-INDEX('KZ-normalized'!$E:$E, MATCH($A139, 'KZ-normalized'!$A:$A, 0))&gt;0, -(5*INDEX('KZ-normalized'!$D:$D, MATCH($A139, 'KZ-normalized'!$A:$A, 0))-INDEX('KZ-normalized'!$E:$E, MATCH($A139, 'KZ-normalized'!$A:$A, 0))), 0), 0))+(IFERROR(IF(5*INDEX('UZ-normalized'!$D:$D, MATCH($A139, 'UZ-normalized'!$A:$A, 0))-INDEX('UZ-normalized'!$E:$E, MATCH($A139, 'UZ-normalized'!$A:$A, 0))&gt;0, -(5*INDEX('UZ-normalized'!$D:$D, MATCH($A139, 'UZ-normalized'!$A:$A, 0))-INDEX('UZ-normalized'!$E:$E, MATCH($A139, 'UZ-normalized'!$A:$A, 0))), 0), 0)))</f>
        <v>0</v>
      </c>
      <c r="T139" s="6">
        <f>MIN(0, N139+(IFERROR(IF(6*INDEX('UA-normalized'!$D:$D, MATCH($A139, 'UA-normalized'!$A:$A, 0))-INDEX('UA-normalized'!$E:$E, MATCH($A139, 'UA-normalized'!$A:$A, 0))&gt;0, -(6*INDEX('UA-normalized'!$D:$D, MATCH($A139, 'UA-normalized'!$A:$A, 0))-INDEX('UA-normalized'!$E:$E, MATCH($A139, 'UA-normalized'!$A:$A, 0))), 0), 0))+(IFERROR(IF(6*INDEX('KZ-normalized'!$D:$D, MATCH($A139, 'KZ-normalized'!$A:$A, 0))-INDEX('KZ-normalized'!$E:$E, MATCH($A139, 'KZ-normalized'!$A:$A, 0))&gt;0, -(6*INDEX('KZ-normalized'!$D:$D, MATCH($A139, 'KZ-normalized'!$A:$A, 0))-INDEX('KZ-normalized'!$E:$E, MATCH($A139, 'KZ-normalized'!$A:$A, 0))), 0), 0))+(IFERROR(IF(6*INDEX('UZ-normalized'!$D:$D, MATCH($A139, 'UZ-normalized'!$A:$A, 0))-INDEX('UZ-normalized'!$E:$E, MATCH($A139, 'UZ-normalized'!$A:$A, 0))&gt;0, -(6*INDEX('UZ-normalized'!$D:$D, MATCH($A139, 'UZ-normalized'!$A:$A, 0))-INDEX('UZ-normalized'!$E:$E, MATCH($A139, 'UZ-normalized'!$A:$A, 0))), 0), 0)))</f>
        <v>0</v>
      </c>
      <c r="U139" s="6">
        <f>MIN(0, N139+(IFERROR(IF(7*INDEX('UA-normalized'!$D:$D, MATCH($A139, 'UA-normalized'!$A:$A, 0))-INDEX('UA-normalized'!$E:$E, MATCH($A139, 'UA-normalized'!$A:$A, 0))&gt;0, -(7*INDEX('UA-normalized'!$D:$D, MATCH($A139, 'UA-normalized'!$A:$A, 0))-INDEX('UA-normalized'!$E:$E, MATCH($A139, 'UA-normalized'!$A:$A, 0))), 0), 0))+(IFERROR(IF(7*INDEX('KZ-normalized'!$D:$D, MATCH($A139, 'KZ-normalized'!$A:$A, 0))-INDEX('KZ-normalized'!$E:$E, MATCH($A139, 'KZ-normalized'!$A:$A, 0))&gt;0, -(7*INDEX('KZ-normalized'!$D:$D, MATCH($A139, 'KZ-normalized'!$A:$A, 0))-INDEX('KZ-normalized'!$E:$E, MATCH($A139, 'KZ-normalized'!$A:$A, 0))), 0), 0))+(IFERROR(IF(7*INDEX('UZ-normalized'!$D:$D, MATCH($A139, 'UZ-normalized'!$A:$A, 0))-INDEX('UZ-normalized'!$E:$E, MATCH($A139, 'UZ-normalized'!$A:$A, 0))&gt;0, -(7*INDEX('UZ-normalized'!$D:$D, MATCH($A139, 'UZ-normalized'!$A:$A, 0))-INDEX('UZ-normalized'!$E:$E, MATCH($A139, 'UZ-normalized'!$A:$A, 0))), 0), 0)))</f>
        <v>0</v>
      </c>
      <c r="V139" s="6">
        <f>MIN(0, N139+(IFERROR(IF(8*INDEX('UA-normalized'!$D:$D, MATCH($A139, 'UA-normalized'!$A:$A, 0))-INDEX('UA-normalized'!$E:$E, MATCH($A139, 'UA-normalized'!$A:$A, 0))&gt;0, -(8*INDEX('UA-normalized'!$D:$D, MATCH($A139, 'UA-normalized'!$A:$A, 0))-INDEX('UA-normalized'!$E:$E, MATCH($A139, 'UA-normalized'!$A:$A, 0))), 0), 0))+(IFERROR(IF(8*INDEX('KZ-normalized'!$D:$D, MATCH($A139, 'KZ-normalized'!$A:$A, 0))-INDEX('KZ-normalized'!$E:$E, MATCH($A139, 'KZ-normalized'!$A:$A, 0))&gt;0, -(8*INDEX('KZ-normalized'!$D:$D, MATCH($A139, 'KZ-normalized'!$A:$A, 0))-INDEX('KZ-normalized'!$E:$E, MATCH($A139, 'KZ-normalized'!$A:$A, 0))), 0), 0))+(IFERROR(IF(8*INDEX('UZ-normalized'!$D:$D, MATCH($A139, 'UZ-normalized'!$A:$A, 0))-INDEX('UZ-normalized'!$E:$E, MATCH($A139, 'UZ-normalized'!$A:$A, 0))&gt;0, -(8*INDEX('UZ-normalized'!$D:$D, MATCH($A139, 'UZ-normalized'!$A:$A, 0))-INDEX('UZ-normalized'!$E:$E, MATCH($A139, 'UZ-normalized'!$A:$A, 0))), 0), 0)))</f>
        <v>0</v>
      </c>
      <c r="W139" s="6">
        <f>MIN(0, N139+(IFERROR(IF(9*INDEX('UA-normalized'!$D:$D, MATCH($A139, 'UA-normalized'!$A:$A, 0))-INDEX('UA-normalized'!$E:$E, MATCH($A139, 'UA-normalized'!$A:$A, 0))&gt;0, -(9*INDEX('UA-normalized'!$D:$D, MATCH($A139, 'UA-normalized'!$A:$A, 0))-INDEX('UA-normalized'!$E:$E, MATCH($A139, 'UA-normalized'!$A:$A, 0))), 0), 0))+(IFERROR(IF(9*INDEX('KZ-normalized'!$D:$D, MATCH($A139, 'KZ-normalized'!$A:$A, 0))-INDEX('KZ-normalized'!$E:$E, MATCH($A139, 'KZ-normalized'!$A:$A, 0))&gt;0, -(9*INDEX('KZ-normalized'!$D:$D, MATCH($A139, 'KZ-normalized'!$A:$A, 0))-INDEX('KZ-normalized'!$E:$E, MATCH($A139, 'KZ-normalized'!$A:$A, 0))), 0), 0))+(IFERROR(IF(9*INDEX('UZ-normalized'!$D:$D, MATCH($A139, 'UZ-normalized'!$A:$A, 0))-INDEX('UZ-normalized'!$E:$E, MATCH($A139, 'UZ-normalized'!$A:$A, 0))&gt;0, -(9*INDEX('UZ-normalized'!$D:$D, MATCH($A139, 'UZ-normalized'!$A:$A, 0))-INDEX('UZ-normalized'!$E:$E, MATCH($A139, 'UZ-normalized'!$A:$A, 0))), 0), 0)))</f>
        <v>0</v>
      </c>
      <c r="X139" s="6">
        <f>MIN(0, N139+(IFERROR(IF(10*INDEX('UA-normalized'!$D:$D, MATCH($A139, 'UA-normalized'!$A:$A, 0))-INDEX('UA-normalized'!$E:$E, MATCH($A139, 'UA-normalized'!$A:$A, 0))&gt;0, -(10*INDEX('UA-normalized'!$D:$D, MATCH($A139, 'UA-normalized'!$A:$A, 0))-INDEX('UA-normalized'!$E:$E, MATCH($A139, 'UA-normalized'!$A:$A, 0))), 0), 0))+(IFERROR(IF(10*INDEX('KZ-normalized'!$D:$D, MATCH($A139, 'KZ-normalized'!$A:$A, 0))-INDEX('KZ-normalized'!$E:$E, MATCH($A139, 'KZ-normalized'!$A:$A, 0))&gt;0, -(10*INDEX('KZ-normalized'!$D:$D, MATCH($A139, 'KZ-normalized'!$A:$A, 0))-INDEX('KZ-normalized'!$E:$E, MATCH($A139, 'KZ-normalized'!$A:$A, 0))), 0), 0))+(IFERROR(IF(10*INDEX('UZ-normalized'!$D:$D, MATCH($A139, 'UZ-normalized'!$A:$A, 0))-INDEX('UZ-normalized'!$E:$E, MATCH($A139, 'UZ-normalized'!$A:$A, 0))&gt;0, -(10*INDEX('UZ-normalized'!$D:$D, MATCH($A139, 'UZ-normalized'!$A:$A, 0))-INDEX('UZ-normalized'!$E:$E, MATCH($A139, 'UZ-normalized'!$A:$A, 0))), 0), 0)))</f>
        <v>0</v>
      </c>
      <c r="Y139" s="6">
        <f>MIN(0, N139+(IFERROR(IF(11*INDEX('UA-normalized'!$D:$D, MATCH($A139, 'UA-normalized'!$A:$A, 0))-INDEX('UA-normalized'!$E:$E, MATCH($A139, 'UA-normalized'!$A:$A, 0))&gt;0, -(11*INDEX('UA-normalized'!$D:$D, MATCH($A139, 'UA-normalized'!$A:$A, 0))-INDEX('UA-normalized'!$E:$E, MATCH($A139, 'UA-normalized'!$A:$A, 0))), 0), 0))+(IFERROR(IF(11*INDEX('KZ-normalized'!$D:$D, MATCH($A139, 'KZ-normalized'!$A:$A, 0))-INDEX('KZ-normalized'!$E:$E, MATCH($A139, 'KZ-normalized'!$A:$A, 0))&gt;0, -(11*INDEX('KZ-normalized'!$D:$D, MATCH($A139, 'KZ-normalized'!$A:$A, 0))-INDEX('KZ-normalized'!$E:$E, MATCH($A139, 'KZ-normalized'!$A:$A, 0))), 0), 0))+(IFERROR(IF(11*INDEX('UZ-normalized'!$D:$D, MATCH($A139, 'UZ-normalized'!$A:$A, 0))-INDEX('UZ-normalized'!$E:$E, MATCH($A139, 'UZ-normalized'!$A:$A, 0))&gt;0, -(11*INDEX('UZ-normalized'!$D:$D, MATCH($A139, 'UZ-normalized'!$A:$A, 0))-INDEX('UZ-normalized'!$E:$E, MATCH($A139, 'UZ-normalized'!$A:$A, 0))), 0), 0)))</f>
        <v>0</v>
      </c>
      <c r="Z139" s="6">
        <f>MIN(0, N139+(IFERROR(IF(12*INDEX('UA-normalized'!$D:$D, MATCH($A139, 'UA-normalized'!$A:$A, 0))-INDEX('UA-normalized'!$E:$E, MATCH($A139, 'UA-normalized'!$A:$A, 0))&gt;0, -(12*INDEX('UA-normalized'!$D:$D, MATCH($A139, 'UA-normalized'!$A:$A, 0))-INDEX('UA-normalized'!$E:$E, MATCH($A139, 'UA-normalized'!$A:$A, 0))), 0), 0))+(IFERROR(IF(12*INDEX('KZ-normalized'!$D:$D, MATCH($A139, 'KZ-normalized'!$A:$A, 0))-INDEX('KZ-normalized'!$E:$E, MATCH($A139, 'KZ-normalized'!$A:$A, 0))&gt;0, -(12*INDEX('KZ-normalized'!$D:$D, MATCH($A139, 'KZ-normalized'!$A:$A, 0))-INDEX('KZ-normalized'!$E:$E, MATCH($A139, 'KZ-normalized'!$A:$A, 0))), 0), 0))+(IFERROR(IF(12*INDEX('UZ-normalized'!$D:$D, MATCH($A139, 'UZ-normalized'!$A:$A, 0))-INDEX('UZ-normalized'!$E:$E, MATCH($A139, 'UZ-normalized'!$A:$A, 0))&gt;0, -(12*INDEX('UZ-normalized'!$D:$D, MATCH($A139, 'UZ-normalized'!$A:$A, 0))-INDEX('UZ-normalized'!$E:$E, MATCH($A139, 'UZ-normalized'!$A:$A, 0))), 0), 0)))</f>
        <v>0</v>
      </c>
      <c r="AA139" s="6">
        <f>MIN(0, N139+(IFERROR(IF(13*INDEX('UA-normalized'!$D:$D, MATCH($A139, 'UA-normalized'!$A:$A, 0))-INDEX('UA-normalized'!$E:$E, MATCH($A139, 'UA-normalized'!$A:$A, 0))&gt;0, -(13*INDEX('UA-normalized'!$D:$D, MATCH($A139, 'UA-normalized'!$A:$A, 0))-INDEX('UA-normalized'!$E:$E, MATCH($A139, 'UA-normalized'!$A:$A, 0))), 0), 0))+(IFERROR(IF(13*INDEX('KZ-normalized'!$D:$D, MATCH($A139, 'KZ-normalized'!$A:$A, 0))-INDEX('KZ-normalized'!$E:$E, MATCH($A139, 'KZ-normalized'!$A:$A, 0))&gt;0, -(13*INDEX('KZ-normalized'!$D:$D, MATCH($A139, 'KZ-normalized'!$A:$A, 0))-INDEX('KZ-normalized'!$E:$E, MATCH($A139, 'KZ-normalized'!$A:$A, 0))), 0), 0))+(IFERROR(IF(13*INDEX('UZ-normalized'!$D:$D, MATCH($A139, 'UZ-normalized'!$A:$A, 0))-INDEX('UZ-normalized'!$E:$E, MATCH($A139, 'UZ-normalized'!$A:$A, 0))&gt;0, -(13*INDEX('UZ-normalized'!$D:$D, MATCH($A139, 'UZ-normalized'!$A:$A, 0))-INDEX('UZ-normalized'!$E:$E, MATCH($A139, 'UZ-normalized'!$A:$A, 0))), 0), 0)))</f>
        <v>0</v>
      </c>
      <c r="AB139" s="6">
        <f>MIN(0, N139+(IFERROR(IF(14*INDEX('UA-normalized'!$D:$D, MATCH($A139, 'UA-normalized'!$A:$A, 0))-INDEX('UA-normalized'!$E:$E, MATCH($A139, 'UA-normalized'!$A:$A, 0))&gt;0, -(14*INDEX('UA-normalized'!$D:$D, MATCH($A139, 'UA-normalized'!$A:$A, 0))-INDEX('UA-normalized'!$E:$E, MATCH($A139, 'UA-normalized'!$A:$A, 0))), 0), 0))+(IFERROR(IF(14*INDEX('KZ-normalized'!$D:$D, MATCH($A139, 'KZ-normalized'!$A:$A, 0))-INDEX('KZ-normalized'!$E:$E, MATCH($A139, 'KZ-normalized'!$A:$A, 0))&gt;0, -(14*INDEX('KZ-normalized'!$D:$D, MATCH($A139, 'KZ-normalized'!$A:$A, 0))-INDEX('KZ-normalized'!$E:$E, MATCH($A139, 'KZ-normalized'!$A:$A, 0))), 0), 0))+(IFERROR(IF(14*INDEX('UZ-normalized'!$D:$D, MATCH($A139, 'UZ-normalized'!$A:$A, 0))-INDEX('UZ-normalized'!$E:$E, MATCH($A139, 'UZ-normalized'!$A:$A, 0))&gt;0, -(14*INDEX('UZ-normalized'!$D:$D, MATCH($A139, 'UZ-normalized'!$A:$A, 0))-INDEX('UZ-normalized'!$E:$E, MATCH($A139, 'UZ-normalized'!$A:$A, 0))), 0), 0)))</f>
        <v>0</v>
      </c>
      <c r="AC139" s="6">
        <f>MIN(0, N139+(IFERROR(IF(15*INDEX('UA-normalized'!$D:$D, MATCH($A139, 'UA-normalized'!$A:$A, 0))-INDEX('UA-normalized'!$E:$E, MATCH($A139, 'UA-normalized'!$A:$A, 0))&gt;0, -(15*INDEX('UA-normalized'!$D:$D, MATCH($A139, 'UA-normalized'!$A:$A, 0))-INDEX('UA-normalized'!$E:$E, MATCH($A139, 'UA-normalized'!$A:$A, 0))), 0), 0))+(IFERROR(IF(15*INDEX('KZ-normalized'!$D:$D, MATCH($A139, 'KZ-normalized'!$A:$A, 0))-INDEX('KZ-normalized'!$E:$E, MATCH($A139, 'KZ-normalized'!$A:$A, 0))&gt;0, -(15*INDEX('KZ-normalized'!$D:$D, MATCH($A139, 'KZ-normalized'!$A:$A, 0))-INDEX('KZ-normalized'!$E:$E, MATCH($A139, 'KZ-normalized'!$A:$A, 0))), 0), 0))+(IFERROR(IF(15*INDEX('UZ-normalized'!$D:$D, MATCH($A139, 'UZ-normalized'!$A:$A, 0))-INDEX('UZ-normalized'!$E:$E, MATCH($A139, 'UZ-normalized'!$A:$A, 0))&gt;0, -(15*INDEX('UZ-normalized'!$D:$D, MATCH($A139, 'UZ-normalized'!$A:$A, 0))-INDEX('UZ-normalized'!$E:$E, MATCH($A139, 'UZ-normalized'!$A:$A, 0))), 0), 0)))</f>
        <v>0</v>
      </c>
      <c r="AD139" s="6">
        <f>MIN(0, N139+(IFERROR(IF(16*INDEX('UA-normalized'!$D:$D, MATCH($A139, 'UA-normalized'!$A:$A, 0))-INDEX('UA-normalized'!$E:$E, MATCH($A139, 'UA-normalized'!$A:$A, 0))&gt;0, -(16*INDEX('UA-normalized'!$D:$D, MATCH($A139, 'UA-normalized'!$A:$A, 0))-INDEX('UA-normalized'!$E:$E, MATCH($A139, 'UA-normalized'!$A:$A, 0))), 0), 0))+(IFERROR(IF(16*INDEX('KZ-normalized'!$D:$D, MATCH($A139, 'KZ-normalized'!$A:$A, 0))-INDEX('KZ-normalized'!$E:$E, MATCH($A139, 'KZ-normalized'!$A:$A, 0))&gt;0, -(16*INDEX('KZ-normalized'!$D:$D, MATCH($A139, 'KZ-normalized'!$A:$A, 0))-INDEX('KZ-normalized'!$E:$E, MATCH($A139, 'KZ-normalized'!$A:$A, 0))), 0), 0))+(IFERROR(IF(16*INDEX('UZ-normalized'!$D:$D, MATCH($A139, 'UZ-normalized'!$A:$A, 0))-INDEX('UZ-normalized'!$E:$E, MATCH($A139, 'UZ-normalized'!$A:$A, 0))&gt;0, -(16*INDEX('UZ-normalized'!$D:$D, MATCH($A139, 'UZ-normalized'!$A:$A, 0))-INDEX('UZ-normalized'!$E:$E, MATCH($A139, 'UZ-normalized'!$A:$A, 0))), 0), 0)))</f>
        <v>0</v>
      </c>
      <c r="AE139" s="6">
        <f>MIN(0, N139+(IFERROR(IF(17*INDEX('UA-normalized'!$D:$D, MATCH($A139, 'UA-normalized'!$A:$A, 0))-INDEX('UA-normalized'!$E:$E, MATCH($A139, 'UA-normalized'!$A:$A, 0))&gt;0, -(17*INDEX('UA-normalized'!$D:$D, MATCH($A139, 'UA-normalized'!$A:$A, 0))-INDEX('UA-normalized'!$E:$E, MATCH($A139, 'UA-normalized'!$A:$A, 0))), 0), 0))+(IFERROR(IF(17*INDEX('KZ-normalized'!$D:$D, MATCH($A139, 'KZ-normalized'!$A:$A, 0))-INDEX('KZ-normalized'!$E:$E, MATCH($A139, 'KZ-normalized'!$A:$A, 0))&gt;0, -(17*INDEX('KZ-normalized'!$D:$D, MATCH($A139, 'KZ-normalized'!$A:$A, 0))-INDEX('KZ-normalized'!$E:$E, MATCH($A139, 'KZ-normalized'!$A:$A, 0))), 0), 0))+(IFERROR(IF(17*INDEX('UZ-normalized'!$D:$D, MATCH($A139, 'UZ-normalized'!$A:$A, 0))-INDEX('UZ-normalized'!$E:$E, MATCH($A139, 'UZ-normalized'!$A:$A, 0))&gt;0, -(17*INDEX('UZ-normalized'!$D:$D, MATCH($A139, 'UZ-normalized'!$A:$A, 0))-INDEX('UZ-normalized'!$E:$E, MATCH($A139, 'UZ-normalized'!$A:$A, 0))), 0), 0)))</f>
        <v>0</v>
      </c>
      <c r="AF139" s="6">
        <f>MIN(0, N139+(IFERROR(IF(18*INDEX('UA-normalized'!$D:$D, MATCH($A139, 'UA-normalized'!$A:$A, 0))-INDEX('UA-normalized'!$E:$E, MATCH($A139, 'UA-normalized'!$A:$A, 0))&gt;0, -(18*INDEX('UA-normalized'!$D:$D, MATCH($A139, 'UA-normalized'!$A:$A, 0))-INDEX('UA-normalized'!$E:$E, MATCH($A139, 'UA-normalized'!$A:$A, 0))), 0), 0))+(IFERROR(IF(18*INDEX('KZ-normalized'!$D:$D, MATCH($A139, 'KZ-normalized'!$A:$A, 0))-INDEX('KZ-normalized'!$E:$E, MATCH($A139, 'KZ-normalized'!$A:$A, 0))&gt;0, -(18*INDEX('KZ-normalized'!$D:$D, MATCH($A139, 'KZ-normalized'!$A:$A, 0))-INDEX('KZ-normalized'!$E:$E, MATCH($A139, 'KZ-normalized'!$A:$A, 0))), 0), 0))+(IFERROR(IF(18*INDEX('UZ-normalized'!$D:$D, MATCH($A139, 'UZ-normalized'!$A:$A, 0))-INDEX('UZ-normalized'!$E:$E, MATCH($A139, 'UZ-normalized'!$A:$A, 0))&gt;0, -(18*INDEX('UZ-normalized'!$D:$D, MATCH($A139, 'UZ-normalized'!$A:$A, 0))-INDEX('UZ-normalized'!$E:$E, MATCH($A139, 'UZ-normalized'!$A:$A, 0))), 0), 0)))</f>
        <v>0</v>
      </c>
      <c r="AG139" s="6">
        <f>MIN(0, N139+(IFERROR(IF(19*INDEX('UA-normalized'!$D:$D, MATCH($A139, 'UA-normalized'!$A:$A, 0))-INDEX('UA-normalized'!$E:$E, MATCH($A139, 'UA-normalized'!$A:$A, 0))&gt;0, -(19*INDEX('UA-normalized'!$D:$D, MATCH($A139, 'UA-normalized'!$A:$A, 0))-INDEX('UA-normalized'!$E:$E, MATCH($A139, 'UA-normalized'!$A:$A, 0))), 0), 0))+(IFERROR(IF(19*INDEX('KZ-normalized'!$D:$D, MATCH($A139, 'KZ-normalized'!$A:$A, 0))-INDEX('KZ-normalized'!$E:$E, MATCH($A139, 'KZ-normalized'!$A:$A, 0))&gt;0, -(19*INDEX('KZ-normalized'!$D:$D, MATCH($A139, 'KZ-normalized'!$A:$A, 0))-INDEX('KZ-normalized'!$E:$E, MATCH($A139, 'KZ-normalized'!$A:$A, 0))), 0), 0))+(IFERROR(IF(19*INDEX('UZ-normalized'!$D:$D, MATCH($A139, 'UZ-normalized'!$A:$A, 0))-INDEX('UZ-normalized'!$E:$E, MATCH($A139, 'UZ-normalized'!$A:$A, 0))&gt;0, -(19*INDEX('UZ-normalized'!$D:$D, MATCH($A139, 'UZ-normalized'!$A:$A, 0))-INDEX('UZ-normalized'!$E:$E, MATCH($A139, 'UZ-normalized'!$A:$A, 0))), 0), 0)))</f>
        <v>0</v>
      </c>
      <c r="AH139" s="6">
        <f>MIN(0, N139+(IFERROR(IF(20*INDEX('UA-normalized'!$D:$D, MATCH($A139, 'UA-normalized'!$A:$A, 0))-INDEX('UA-normalized'!$E:$E, MATCH($A139, 'UA-normalized'!$A:$A, 0))&gt;0, -(20*INDEX('UA-normalized'!$D:$D, MATCH($A139, 'UA-normalized'!$A:$A, 0))-INDEX('UA-normalized'!$E:$E, MATCH($A139, 'UA-normalized'!$A:$A, 0))), 0), 0))+(IFERROR(IF(20*INDEX('KZ-normalized'!$D:$D, MATCH($A139, 'KZ-normalized'!$A:$A, 0))-INDEX('KZ-normalized'!$E:$E, MATCH($A139, 'KZ-normalized'!$A:$A, 0))&gt;0, -(20*INDEX('KZ-normalized'!$D:$D, MATCH($A139, 'KZ-normalized'!$A:$A, 0))-INDEX('KZ-normalized'!$E:$E, MATCH($A139, 'KZ-normalized'!$A:$A, 0))), 0), 0))+(IFERROR(IF(20*INDEX('UZ-normalized'!$D:$D, MATCH($A139, 'UZ-normalized'!$A:$A, 0))-INDEX('UZ-normalized'!$E:$E, MATCH($A139, 'UZ-normalized'!$A:$A, 0))&gt;0, -(20*INDEX('UZ-normalized'!$D:$D, MATCH($A139, 'UZ-normalized'!$A:$A, 0))-INDEX('UZ-normalized'!$E:$E, MATCH($A139, 'UZ-normalized'!$A:$A, 0))), 0), 0)))</f>
        <v>0</v>
      </c>
      <c r="AI139" s="6">
        <f>MIN(0, N139+(IFERROR(IF(21*INDEX('UA-normalized'!$D:$D, MATCH($A139, 'UA-normalized'!$A:$A, 0))-INDEX('UA-normalized'!$E:$E, MATCH($A139, 'UA-normalized'!$A:$A, 0))&gt;0, -(21*INDEX('UA-normalized'!$D:$D, MATCH($A139, 'UA-normalized'!$A:$A, 0))-INDEX('UA-normalized'!$E:$E, MATCH($A139, 'UA-normalized'!$A:$A, 0))), 0), 0))+(IFERROR(IF(21*INDEX('KZ-normalized'!$D:$D, MATCH($A139, 'KZ-normalized'!$A:$A, 0))-INDEX('KZ-normalized'!$E:$E, MATCH($A139, 'KZ-normalized'!$A:$A, 0))&gt;0, -(21*INDEX('KZ-normalized'!$D:$D, MATCH($A139, 'KZ-normalized'!$A:$A, 0))-INDEX('KZ-normalized'!$E:$E, MATCH($A139, 'KZ-normalized'!$A:$A, 0))), 0), 0))+(IFERROR(IF(21*INDEX('UZ-normalized'!$D:$D, MATCH($A139, 'UZ-normalized'!$A:$A, 0))-INDEX('UZ-normalized'!$E:$E, MATCH($A139, 'UZ-normalized'!$A:$A, 0))&gt;0, -(21*INDEX('UZ-normalized'!$D:$D, MATCH($A139, 'UZ-normalized'!$A:$A, 0))-INDEX('UZ-normalized'!$E:$E, MATCH($A139, 'UZ-normalized'!$A:$A, 0))), 0), 0)))</f>
        <v>0</v>
      </c>
      <c r="AJ139" s="6">
        <f>MIN(0, N139+(IFERROR(IF(22*INDEX('UA-normalized'!$D:$D, MATCH($A139, 'UA-normalized'!$A:$A, 0))-INDEX('UA-normalized'!$E:$E, MATCH($A139, 'UA-normalized'!$A:$A, 0))&gt;0, -(22*INDEX('UA-normalized'!$D:$D, MATCH($A139, 'UA-normalized'!$A:$A, 0))-INDEX('UA-normalized'!$E:$E, MATCH($A139, 'UA-normalized'!$A:$A, 0))), 0), 0))+(IFERROR(IF(22*INDEX('KZ-normalized'!$D:$D, MATCH($A139, 'KZ-normalized'!$A:$A, 0))-INDEX('KZ-normalized'!$E:$E, MATCH($A139, 'KZ-normalized'!$A:$A, 0))&gt;0, -(22*INDEX('KZ-normalized'!$D:$D, MATCH($A139, 'KZ-normalized'!$A:$A, 0))-INDEX('KZ-normalized'!$E:$E, MATCH($A139, 'KZ-normalized'!$A:$A, 0))), 0), 0))+(IFERROR(IF(22*INDEX('UZ-normalized'!$D:$D, MATCH($A139, 'UZ-normalized'!$A:$A, 0))-INDEX('UZ-normalized'!$E:$E, MATCH($A139, 'UZ-normalized'!$A:$A, 0))&gt;0, -(22*INDEX('UZ-normalized'!$D:$D, MATCH($A139, 'UZ-normalized'!$A:$A, 0))-INDEX('UZ-normalized'!$E:$E, MATCH($A139, 'UZ-normalized'!$A:$A, 0))), 0), 0)))</f>
        <v>0</v>
      </c>
      <c r="AK139" s="6">
        <f>MIN(0, N139+(IFERROR(IF(23*INDEX('UA-normalized'!$D:$D, MATCH($A139, 'UA-normalized'!$A:$A, 0))-INDEX('UA-normalized'!$E:$E, MATCH($A139, 'UA-normalized'!$A:$A, 0))&gt;0, -(23*INDEX('UA-normalized'!$D:$D, MATCH($A139, 'UA-normalized'!$A:$A, 0))-INDEX('UA-normalized'!$E:$E, MATCH($A139, 'UA-normalized'!$A:$A, 0))), 0), 0))+(IFERROR(IF(23*INDEX('KZ-normalized'!$D:$D, MATCH($A139, 'KZ-normalized'!$A:$A, 0))-INDEX('KZ-normalized'!$E:$E, MATCH($A139, 'KZ-normalized'!$A:$A, 0))&gt;0, -(23*INDEX('KZ-normalized'!$D:$D, MATCH($A139, 'KZ-normalized'!$A:$A, 0))-INDEX('KZ-normalized'!$E:$E, MATCH($A139, 'KZ-normalized'!$A:$A, 0))), 0), 0))+(IFERROR(IF(23*INDEX('UZ-normalized'!$D:$D, MATCH($A139, 'UZ-normalized'!$A:$A, 0))-INDEX('UZ-normalized'!$E:$E, MATCH($A139, 'UZ-normalized'!$A:$A, 0))&gt;0, -(23*INDEX('UZ-normalized'!$D:$D, MATCH($A139, 'UZ-normalized'!$A:$A, 0))-INDEX('UZ-normalized'!$E:$E, MATCH($A139, 'UZ-normalized'!$A:$A, 0))), 0), 0)))</f>
        <v>0</v>
      </c>
      <c r="AL139" s="6">
        <f>MIN(0, N139+(IFERROR(IF(24*INDEX('UA-normalized'!$D:$D, MATCH($A139, 'UA-normalized'!$A:$A, 0))-INDEX('UA-normalized'!$E:$E, MATCH($A139, 'UA-normalized'!$A:$A, 0))&gt;0, -(24*INDEX('UA-normalized'!$D:$D, MATCH($A139, 'UA-normalized'!$A:$A, 0))-INDEX('UA-normalized'!$E:$E, MATCH($A139, 'UA-normalized'!$A:$A, 0))), 0), 0))+(IFERROR(IF(24*INDEX('KZ-normalized'!$D:$D, MATCH($A139, 'KZ-normalized'!$A:$A, 0))-INDEX('KZ-normalized'!$E:$E, MATCH($A139, 'KZ-normalized'!$A:$A, 0))&gt;0, -(24*INDEX('KZ-normalized'!$D:$D, MATCH($A139, 'KZ-normalized'!$A:$A, 0))-INDEX('KZ-normalized'!$E:$E, MATCH($A139, 'KZ-normalized'!$A:$A, 0))), 0), 0))+(IFERROR(IF(24*INDEX('UZ-normalized'!$D:$D, MATCH($A139, 'UZ-normalized'!$A:$A, 0))-INDEX('UZ-normalized'!$E:$E, MATCH($A139, 'UZ-normalized'!$A:$A, 0))&gt;0, -(24*INDEX('UZ-normalized'!$D:$D, MATCH($A139, 'UZ-normalized'!$A:$A, 0))-INDEX('UZ-normalized'!$E:$E, MATCH($A139, 'UZ-normalized'!$A:$A, 0))), 0), 0)))</f>
        <v>0</v>
      </c>
      <c r="AM139" s="6">
        <f>MIN(0, N139+(IFERROR(IF(25*INDEX('UA-normalized'!$D:$D, MATCH($A139, 'UA-normalized'!$A:$A, 0))-INDEX('UA-normalized'!$E:$E, MATCH($A139, 'UA-normalized'!$A:$A, 0))&gt;0, -(25*INDEX('UA-normalized'!$D:$D, MATCH($A139, 'UA-normalized'!$A:$A, 0))-INDEX('UA-normalized'!$E:$E, MATCH($A139, 'UA-normalized'!$A:$A, 0))), 0), 0))+(IFERROR(IF(25*INDEX('KZ-normalized'!$D:$D, MATCH($A139, 'KZ-normalized'!$A:$A, 0))-INDEX('KZ-normalized'!$E:$E, MATCH($A139, 'KZ-normalized'!$A:$A, 0))&gt;0, -(25*INDEX('KZ-normalized'!$D:$D, MATCH($A139, 'KZ-normalized'!$A:$A, 0))-INDEX('KZ-normalized'!$E:$E, MATCH($A139, 'KZ-normalized'!$A:$A, 0))), 0), 0))+(IFERROR(IF(25*INDEX('UZ-normalized'!$D:$D, MATCH($A139, 'UZ-normalized'!$A:$A, 0))-INDEX('UZ-normalized'!$E:$E, MATCH($A139, 'UZ-normalized'!$A:$A, 0))&gt;0, -(25*INDEX('UZ-normalized'!$D:$D, MATCH($A139, 'UZ-normalized'!$A:$A, 0))-INDEX('UZ-normalized'!$E:$E, MATCH($A139, 'UZ-normalized'!$A:$A, 0))), 0), 0)))</f>
        <v>0</v>
      </c>
      <c r="AN139" s="6">
        <f>MIN(0, N139+(IFERROR(IF(26*INDEX('UA-normalized'!$D:$D, MATCH($A139, 'UA-normalized'!$A:$A, 0))-INDEX('UA-normalized'!$E:$E, MATCH($A139, 'UA-normalized'!$A:$A, 0))&gt;0, -(26*INDEX('UA-normalized'!$D:$D, MATCH($A139, 'UA-normalized'!$A:$A, 0))-INDEX('UA-normalized'!$E:$E, MATCH($A139, 'UA-normalized'!$A:$A, 0))), 0), 0))+(IFERROR(IF(26*INDEX('KZ-normalized'!$D:$D, MATCH($A139, 'KZ-normalized'!$A:$A, 0))-INDEX('KZ-normalized'!$E:$E, MATCH($A139, 'KZ-normalized'!$A:$A, 0))&gt;0, -(26*INDEX('KZ-normalized'!$D:$D, MATCH($A139, 'KZ-normalized'!$A:$A, 0))-INDEX('KZ-normalized'!$E:$E, MATCH($A139, 'KZ-normalized'!$A:$A, 0))), 0), 0))+(IFERROR(IF(26*INDEX('UZ-normalized'!$D:$D, MATCH($A139, 'UZ-normalized'!$A:$A, 0))-INDEX('UZ-normalized'!$E:$E, MATCH($A139, 'UZ-normalized'!$A:$A, 0))&gt;0, -(26*INDEX('UZ-normalized'!$D:$D, MATCH($A139, 'UZ-normalized'!$A:$A, 0))-INDEX('UZ-normalized'!$E:$E, MATCH($A139, 'UZ-normalized'!$A:$A, 0))), 0), 0)))</f>
        <v>0</v>
      </c>
      <c r="AO139" s="6">
        <f>MIN(0, N139+(IFERROR(IF(27*INDEX('UA-normalized'!$D:$D, MATCH($A139, 'UA-normalized'!$A:$A, 0))-INDEX('UA-normalized'!$E:$E, MATCH($A139, 'UA-normalized'!$A:$A, 0))&gt;0, -(27*INDEX('UA-normalized'!$D:$D, MATCH($A139, 'UA-normalized'!$A:$A, 0))-INDEX('UA-normalized'!$E:$E, MATCH($A139, 'UA-normalized'!$A:$A, 0))), 0), 0))+(IFERROR(IF(27*INDEX('KZ-normalized'!$D:$D, MATCH($A139, 'KZ-normalized'!$A:$A, 0))-INDEX('KZ-normalized'!$E:$E, MATCH($A139, 'KZ-normalized'!$A:$A, 0))&gt;0, -(27*INDEX('KZ-normalized'!$D:$D, MATCH($A139, 'KZ-normalized'!$A:$A, 0))-INDEX('KZ-normalized'!$E:$E, MATCH($A139, 'KZ-normalized'!$A:$A, 0))), 0), 0))+(IFERROR(IF(27*INDEX('UZ-normalized'!$D:$D, MATCH($A139, 'UZ-normalized'!$A:$A, 0))-INDEX('UZ-normalized'!$E:$E, MATCH($A139, 'UZ-normalized'!$A:$A, 0))&gt;0, -(27*INDEX('UZ-normalized'!$D:$D, MATCH($A139, 'UZ-normalized'!$A:$A, 0))-INDEX('UZ-normalized'!$E:$E, MATCH($A139, 'UZ-normalized'!$A:$A, 0))), 0), 0)))</f>
        <v>0</v>
      </c>
      <c r="AP139" s="6">
        <f>MIN(0, N139+(IFERROR(IF(28*INDEX('UA-normalized'!$D:$D, MATCH($A139, 'UA-normalized'!$A:$A, 0))-INDEX('UA-normalized'!$E:$E, MATCH($A139, 'UA-normalized'!$A:$A, 0))&gt;0, -(28*INDEX('UA-normalized'!$D:$D, MATCH($A139, 'UA-normalized'!$A:$A, 0))-INDEX('UA-normalized'!$E:$E, MATCH($A139, 'UA-normalized'!$A:$A, 0))), 0), 0))+(IFERROR(IF(28*INDEX('KZ-normalized'!$D:$D, MATCH($A139, 'KZ-normalized'!$A:$A, 0))-INDEX('KZ-normalized'!$E:$E, MATCH($A139, 'KZ-normalized'!$A:$A, 0))&gt;0, -(28*INDEX('KZ-normalized'!$D:$D, MATCH($A139, 'KZ-normalized'!$A:$A, 0))-INDEX('KZ-normalized'!$E:$E, MATCH($A139, 'KZ-normalized'!$A:$A, 0))), 0), 0))+(IFERROR(IF(28*INDEX('UZ-normalized'!$D:$D, MATCH($A139, 'UZ-normalized'!$A:$A, 0))-INDEX('UZ-normalized'!$E:$E, MATCH($A139, 'UZ-normalized'!$A:$A, 0))&gt;0, -(28*INDEX('UZ-normalized'!$D:$D, MATCH($A139, 'UZ-normalized'!$A:$A, 0))-INDEX('UZ-normalized'!$E:$E, MATCH($A139, 'UZ-normalized'!$A:$A, 0))), 0), 0)))</f>
        <v>0</v>
      </c>
      <c r="AQ139" s="6">
        <f>MIN(0, N139+(IFERROR(IF(29*INDEX('UA-normalized'!$D:$D, MATCH($A139, 'UA-normalized'!$A:$A, 0))-INDEX('UA-normalized'!$E:$E, MATCH($A139, 'UA-normalized'!$A:$A, 0))&gt;0, -(29*INDEX('UA-normalized'!$D:$D, MATCH($A139, 'UA-normalized'!$A:$A, 0))-INDEX('UA-normalized'!$E:$E, MATCH($A139, 'UA-normalized'!$A:$A, 0))), 0), 0))+(IFERROR(IF(29*INDEX('KZ-normalized'!$D:$D, MATCH($A139, 'KZ-normalized'!$A:$A, 0))-INDEX('KZ-normalized'!$E:$E, MATCH($A139, 'KZ-normalized'!$A:$A, 0))&gt;0, -(29*INDEX('KZ-normalized'!$D:$D, MATCH($A139, 'KZ-normalized'!$A:$A, 0))-INDEX('KZ-normalized'!$E:$E, MATCH($A139, 'KZ-normalized'!$A:$A, 0))), 0), 0))+(IFERROR(IF(29*INDEX('UZ-normalized'!$D:$D, MATCH($A139, 'UZ-normalized'!$A:$A, 0))-INDEX('UZ-normalized'!$E:$E, MATCH($A139, 'UZ-normalized'!$A:$A, 0))&gt;0, -(29*INDEX('UZ-normalized'!$D:$D, MATCH($A139, 'UZ-normalized'!$A:$A, 0))-INDEX('UZ-normalized'!$E:$E, MATCH($A139, 'UZ-normalized'!$A:$A, 0))), 0), 0)))</f>
        <v>0</v>
      </c>
      <c r="AR139" s="6">
        <f>MIN(0, N139+(IFERROR(IF(30*INDEX('UA-normalized'!$D:$D, MATCH($A139, 'UA-normalized'!$A:$A, 0))-INDEX('UA-normalized'!$E:$E, MATCH($A139, 'UA-normalized'!$A:$A, 0))&gt;0, -(30*INDEX('UA-normalized'!$D:$D, MATCH($A139, 'UA-normalized'!$A:$A, 0))-INDEX('UA-normalized'!$E:$E, MATCH($A139, 'UA-normalized'!$A:$A, 0))), 0), 0))+(IFERROR(IF(30*INDEX('KZ-normalized'!$D:$D, MATCH($A139, 'KZ-normalized'!$A:$A, 0))-INDEX('KZ-normalized'!$E:$E, MATCH($A139, 'KZ-normalized'!$A:$A, 0))&gt;0, -(30*INDEX('KZ-normalized'!$D:$D, MATCH($A139, 'KZ-normalized'!$A:$A, 0))-INDEX('KZ-normalized'!$E:$E, MATCH($A139, 'KZ-normalized'!$A:$A, 0))), 0), 0))+(IFERROR(IF(30*INDEX('UZ-normalized'!$D:$D, MATCH($A139, 'UZ-normalized'!$A:$A, 0))-INDEX('UZ-normalized'!$E:$E, MATCH($A139, 'UZ-normalized'!$A:$A, 0))&gt;0, -(30*INDEX('UZ-normalized'!$D:$D, MATCH($A139, 'UZ-normalized'!$A:$A, 0))-INDEX('UZ-normalized'!$E:$E, MATCH($A139, 'UZ-normalized'!$A:$A, 0))), 0), 0)))</f>
        <v>0</v>
      </c>
    </row>
    <row r="140" spans="1:44" x14ac:dyDescent="0.25">
      <c r="A140" s="8" t="s">
        <v>341</v>
      </c>
      <c r="B140" s="8" t="s">
        <v>336</v>
      </c>
      <c r="C140" s="8" t="s">
        <v>337</v>
      </c>
      <c r="D140" s="8" t="s">
        <v>342</v>
      </c>
      <c r="N140">
        <f t="shared" si="2"/>
        <v>0</v>
      </c>
      <c r="O140" s="6">
        <f>MIN(0, N140+(IFERROR(IF(1*INDEX('UA-normalized'!$D:$D, MATCH($A140, 'UA-normalized'!$A:$A, 0))-INDEX('UA-normalized'!$E:$E, MATCH($A140, 'UA-normalized'!$A:$A, 0))&gt;0, -(1*INDEX('UA-normalized'!$D:$D, MATCH($A140, 'UA-normalized'!$A:$A, 0))-INDEX('UA-normalized'!$E:$E, MATCH($A140, 'UA-normalized'!$A:$A, 0))), 0), 0))+(IFERROR(IF(1*INDEX('KZ-normalized'!$D:$D, MATCH($A140, 'KZ-normalized'!$A:$A, 0))-INDEX('KZ-normalized'!$E:$E, MATCH($A140, 'KZ-normalized'!$A:$A, 0))&gt;0, -(1*INDEX('KZ-normalized'!$D:$D, MATCH($A140, 'KZ-normalized'!$A:$A, 0))-INDEX('KZ-normalized'!$E:$E, MATCH($A140, 'KZ-normalized'!$A:$A, 0))), 0), 0))+(IFERROR(IF(1*INDEX('UZ-normalized'!$D:$D, MATCH($A140, 'UZ-normalized'!$A:$A, 0))-INDEX('UZ-normalized'!$E:$E, MATCH($A140, 'UZ-normalized'!$A:$A, 0))&gt;0, -(1*INDEX('UZ-normalized'!$D:$D, MATCH($A140, 'UZ-normalized'!$A:$A, 0))-INDEX('UZ-normalized'!$E:$E, MATCH($A140, 'UZ-normalized'!$A:$A, 0))), 0), 0)))</f>
        <v>0</v>
      </c>
      <c r="P140" s="6">
        <f>MIN(0, N140+(IFERROR(IF(2*INDEX('UA-normalized'!$D:$D, MATCH($A140, 'UA-normalized'!$A:$A, 0))-INDEX('UA-normalized'!$E:$E, MATCH($A140, 'UA-normalized'!$A:$A, 0))&gt;0, -(2*INDEX('UA-normalized'!$D:$D, MATCH($A140, 'UA-normalized'!$A:$A, 0))-INDEX('UA-normalized'!$E:$E, MATCH($A140, 'UA-normalized'!$A:$A, 0))), 0), 0))+(IFERROR(IF(2*INDEX('KZ-normalized'!$D:$D, MATCH($A140, 'KZ-normalized'!$A:$A, 0))-INDEX('KZ-normalized'!$E:$E, MATCH($A140, 'KZ-normalized'!$A:$A, 0))&gt;0, -(2*INDEX('KZ-normalized'!$D:$D, MATCH($A140, 'KZ-normalized'!$A:$A, 0))-INDEX('KZ-normalized'!$E:$E, MATCH($A140, 'KZ-normalized'!$A:$A, 0))), 0), 0))+(IFERROR(IF(2*INDEX('UZ-normalized'!$D:$D, MATCH($A140, 'UZ-normalized'!$A:$A, 0))-INDEX('UZ-normalized'!$E:$E, MATCH($A140, 'UZ-normalized'!$A:$A, 0))&gt;0, -(2*INDEX('UZ-normalized'!$D:$D, MATCH($A140, 'UZ-normalized'!$A:$A, 0))-INDEX('UZ-normalized'!$E:$E, MATCH($A140, 'UZ-normalized'!$A:$A, 0))), 0), 0)))</f>
        <v>0</v>
      </c>
      <c r="Q140" s="6">
        <f>MIN(0, N140+(IFERROR(IF(3*INDEX('UA-normalized'!$D:$D, MATCH($A140, 'UA-normalized'!$A:$A, 0))-INDEX('UA-normalized'!$E:$E, MATCH($A140, 'UA-normalized'!$A:$A, 0))&gt;0, -(3*INDEX('UA-normalized'!$D:$D, MATCH($A140, 'UA-normalized'!$A:$A, 0))-INDEX('UA-normalized'!$E:$E, MATCH($A140, 'UA-normalized'!$A:$A, 0))), 0), 0))+(IFERROR(IF(3*INDEX('KZ-normalized'!$D:$D, MATCH($A140, 'KZ-normalized'!$A:$A, 0))-INDEX('KZ-normalized'!$E:$E, MATCH($A140, 'KZ-normalized'!$A:$A, 0))&gt;0, -(3*INDEX('KZ-normalized'!$D:$D, MATCH($A140, 'KZ-normalized'!$A:$A, 0))-INDEX('KZ-normalized'!$E:$E, MATCH($A140, 'KZ-normalized'!$A:$A, 0))), 0), 0))+(IFERROR(IF(3*INDEX('UZ-normalized'!$D:$D, MATCH($A140, 'UZ-normalized'!$A:$A, 0))-INDEX('UZ-normalized'!$E:$E, MATCH($A140, 'UZ-normalized'!$A:$A, 0))&gt;0, -(3*INDEX('UZ-normalized'!$D:$D, MATCH($A140, 'UZ-normalized'!$A:$A, 0))-INDEX('UZ-normalized'!$E:$E, MATCH($A140, 'UZ-normalized'!$A:$A, 0))), 0), 0)))</f>
        <v>0</v>
      </c>
      <c r="R140" s="6">
        <f>MIN(0, N140+(IFERROR(IF(4*INDEX('UA-normalized'!$D:$D, MATCH($A140, 'UA-normalized'!$A:$A, 0))-INDEX('UA-normalized'!$E:$E, MATCH($A140, 'UA-normalized'!$A:$A, 0))&gt;0, -(4*INDEX('UA-normalized'!$D:$D, MATCH($A140, 'UA-normalized'!$A:$A, 0))-INDEX('UA-normalized'!$E:$E, MATCH($A140, 'UA-normalized'!$A:$A, 0))), 0), 0))+(IFERROR(IF(4*INDEX('KZ-normalized'!$D:$D, MATCH($A140, 'KZ-normalized'!$A:$A, 0))-INDEX('KZ-normalized'!$E:$E, MATCH($A140, 'KZ-normalized'!$A:$A, 0))&gt;0, -(4*INDEX('KZ-normalized'!$D:$D, MATCH($A140, 'KZ-normalized'!$A:$A, 0))-INDEX('KZ-normalized'!$E:$E, MATCH($A140, 'KZ-normalized'!$A:$A, 0))), 0), 0))+(IFERROR(IF(4*INDEX('UZ-normalized'!$D:$D, MATCH($A140, 'UZ-normalized'!$A:$A, 0))-INDEX('UZ-normalized'!$E:$E, MATCH($A140, 'UZ-normalized'!$A:$A, 0))&gt;0, -(4*INDEX('UZ-normalized'!$D:$D, MATCH($A140, 'UZ-normalized'!$A:$A, 0))-INDEX('UZ-normalized'!$E:$E, MATCH($A140, 'UZ-normalized'!$A:$A, 0))), 0), 0)))</f>
        <v>0</v>
      </c>
      <c r="S140" s="6">
        <f>MIN(0, N140+(IFERROR(IF(5*INDEX('UA-normalized'!$D:$D, MATCH($A140, 'UA-normalized'!$A:$A, 0))-INDEX('UA-normalized'!$E:$E, MATCH($A140, 'UA-normalized'!$A:$A, 0))&gt;0, -(5*INDEX('UA-normalized'!$D:$D, MATCH($A140, 'UA-normalized'!$A:$A, 0))-INDEX('UA-normalized'!$E:$E, MATCH($A140, 'UA-normalized'!$A:$A, 0))), 0), 0))+(IFERROR(IF(5*INDEX('KZ-normalized'!$D:$D, MATCH($A140, 'KZ-normalized'!$A:$A, 0))-INDEX('KZ-normalized'!$E:$E, MATCH($A140, 'KZ-normalized'!$A:$A, 0))&gt;0, -(5*INDEX('KZ-normalized'!$D:$D, MATCH($A140, 'KZ-normalized'!$A:$A, 0))-INDEX('KZ-normalized'!$E:$E, MATCH($A140, 'KZ-normalized'!$A:$A, 0))), 0), 0))+(IFERROR(IF(5*INDEX('UZ-normalized'!$D:$D, MATCH($A140, 'UZ-normalized'!$A:$A, 0))-INDEX('UZ-normalized'!$E:$E, MATCH($A140, 'UZ-normalized'!$A:$A, 0))&gt;0, -(5*INDEX('UZ-normalized'!$D:$D, MATCH($A140, 'UZ-normalized'!$A:$A, 0))-INDEX('UZ-normalized'!$E:$E, MATCH($A140, 'UZ-normalized'!$A:$A, 0))), 0), 0)))</f>
        <v>0</v>
      </c>
      <c r="T140" s="6">
        <f>MIN(0, N140+(IFERROR(IF(6*INDEX('UA-normalized'!$D:$D, MATCH($A140, 'UA-normalized'!$A:$A, 0))-INDEX('UA-normalized'!$E:$E, MATCH($A140, 'UA-normalized'!$A:$A, 0))&gt;0, -(6*INDEX('UA-normalized'!$D:$D, MATCH($A140, 'UA-normalized'!$A:$A, 0))-INDEX('UA-normalized'!$E:$E, MATCH($A140, 'UA-normalized'!$A:$A, 0))), 0), 0))+(IFERROR(IF(6*INDEX('KZ-normalized'!$D:$D, MATCH($A140, 'KZ-normalized'!$A:$A, 0))-INDEX('KZ-normalized'!$E:$E, MATCH($A140, 'KZ-normalized'!$A:$A, 0))&gt;0, -(6*INDEX('KZ-normalized'!$D:$D, MATCH($A140, 'KZ-normalized'!$A:$A, 0))-INDEX('KZ-normalized'!$E:$E, MATCH($A140, 'KZ-normalized'!$A:$A, 0))), 0), 0))+(IFERROR(IF(6*INDEX('UZ-normalized'!$D:$D, MATCH($A140, 'UZ-normalized'!$A:$A, 0))-INDEX('UZ-normalized'!$E:$E, MATCH($A140, 'UZ-normalized'!$A:$A, 0))&gt;0, -(6*INDEX('UZ-normalized'!$D:$D, MATCH($A140, 'UZ-normalized'!$A:$A, 0))-INDEX('UZ-normalized'!$E:$E, MATCH($A140, 'UZ-normalized'!$A:$A, 0))), 0), 0)))</f>
        <v>0</v>
      </c>
      <c r="U140" s="6">
        <f>MIN(0, N140+(IFERROR(IF(7*INDEX('UA-normalized'!$D:$D, MATCH($A140, 'UA-normalized'!$A:$A, 0))-INDEX('UA-normalized'!$E:$E, MATCH($A140, 'UA-normalized'!$A:$A, 0))&gt;0, -(7*INDEX('UA-normalized'!$D:$D, MATCH($A140, 'UA-normalized'!$A:$A, 0))-INDEX('UA-normalized'!$E:$E, MATCH($A140, 'UA-normalized'!$A:$A, 0))), 0), 0))+(IFERROR(IF(7*INDEX('KZ-normalized'!$D:$D, MATCH($A140, 'KZ-normalized'!$A:$A, 0))-INDEX('KZ-normalized'!$E:$E, MATCH($A140, 'KZ-normalized'!$A:$A, 0))&gt;0, -(7*INDEX('KZ-normalized'!$D:$D, MATCH($A140, 'KZ-normalized'!$A:$A, 0))-INDEX('KZ-normalized'!$E:$E, MATCH($A140, 'KZ-normalized'!$A:$A, 0))), 0), 0))+(IFERROR(IF(7*INDEX('UZ-normalized'!$D:$D, MATCH($A140, 'UZ-normalized'!$A:$A, 0))-INDEX('UZ-normalized'!$E:$E, MATCH($A140, 'UZ-normalized'!$A:$A, 0))&gt;0, -(7*INDEX('UZ-normalized'!$D:$D, MATCH($A140, 'UZ-normalized'!$A:$A, 0))-INDEX('UZ-normalized'!$E:$E, MATCH($A140, 'UZ-normalized'!$A:$A, 0))), 0), 0)))</f>
        <v>0</v>
      </c>
      <c r="V140" s="6">
        <f>MIN(0, N140+(IFERROR(IF(8*INDEX('UA-normalized'!$D:$D, MATCH($A140, 'UA-normalized'!$A:$A, 0))-INDEX('UA-normalized'!$E:$E, MATCH($A140, 'UA-normalized'!$A:$A, 0))&gt;0, -(8*INDEX('UA-normalized'!$D:$D, MATCH($A140, 'UA-normalized'!$A:$A, 0))-INDEX('UA-normalized'!$E:$E, MATCH($A140, 'UA-normalized'!$A:$A, 0))), 0), 0))+(IFERROR(IF(8*INDEX('KZ-normalized'!$D:$D, MATCH($A140, 'KZ-normalized'!$A:$A, 0))-INDEX('KZ-normalized'!$E:$E, MATCH($A140, 'KZ-normalized'!$A:$A, 0))&gt;0, -(8*INDEX('KZ-normalized'!$D:$D, MATCH($A140, 'KZ-normalized'!$A:$A, 0))-INDEX('KZ-normalized'!$E:$E, MATCH($A140, 'KZ-normalized'!$A:$A, 0))), 0), 0))+(IFERROR(IF(8*INDEX('UZ-normalized'!$D:$D, MATCH($A140, 'UZ-normalized'!$A:$A, 0))-INDEX('UZ-normalized'!$E:$E, MATCH($A140, 'UZ-normalized'!$A:$A, 0))&gt;0, -(8*INDEX('UZ-normalized'!$D:$D, MATCH($A140, 'UZ-normalized'!$A:$A, 0))-INDEX('UZ-normalized'!$E:$E, MATCH($A140, 'UZ-normalized'!$A:$A, 0))), 0), 0)))</f>
        <v>0</v>
      </c>
      <c r="W140" s="6">
        <f>MIN(0, N140+(IFERROR(IF(9*INDEX('UA-normalized'!$D:$D, MATCH($A140, 'UA-normalized'!$A:$A, 0))-INDEX('UA-normalized'!$E:$E, MATCH($A140, 'UA-normalized'!$A:$A, 0))&gt;0, -(9*INDEX('UA-normalized'!$D:$D, MATCH($A140, 'UA-normalized'!$A:$A, 0))-INDEX('UA-normalized'!$E:$E, MATCH($A140, 'UA-normalized'!$A:$A, 0))), 0), 0))+(IFERROR(IF(9*INDEX('KZ-normalized'!$D:$D, MATCH($A140, 'KZ-normalized'!$A:$A, 0))-INDEX('KZ-normalized'!$E:$E, MATCH($A140, 'KZ-normalized'!$A:$A, 0))&gt;0, -(9*INDEX('KZ-normalized'!$D:$D, MATCH($A140, 'KZ-normalized'!$A:$A, 0))-INDEX('KZ-normalized'!$E:$E, MATCH($A140, 'KZ-normalized'!$A:$A, 0))), 0), 0))+(IFERROR(IF(9*INDEX('UZ-normalized'!$D:$D, MATCH($A140, 'UZ-normalized'!$A:$A, 0))-INDEX('UZ-normalized'!$E:$E, MATCH($A140, 'UZ-normalized'!$A:$A, 0))&gt;0, -(9*INDEX('UZ-normalized'!$D:$D, MATCH($A140, 'UZ-normalized'!$A:$A, 0))-INDEX('UZ-normalized'!$E:$E, MATCH($A140, 'UZ-normalized'!$A:$A, 0))), 0), 0)))</f>
        <v>0</v>
      </c>
      <c r="X140" s="6">
        <f>MIN(0, N140+(IFERROR(IF(10*INDEX('UA-normalized'!$D:$D, MATCH($A140, 'UA-normalized'!$A:$A, 0))-INDEX('UA-normalized'!$E:$E, MATCH($A140, 'UA-normalized'!$A:$A, 0))&gt;0, -(10*INDEX('UA-normalized'!$D:$D, MATCH($A140, 'UA-normalized'!$A:$A, 0))-INDEX('UA-normalized'!$E:$E, MATCH($A140, 'UA-normalized'!$A:$A, 0))), 0), 0))+(IFERROR(IF(10*INDEX('KZ-normalized'!$D:$D, MATCH($A140, 'KZ-normalized'!$A:$A, 0))-INDEX('KZ-normalized'!$E:$E, MATCH($A140, 'KZ-normalized'!$A:$A, 0))&gt;0, -(10*INDEX('KZ-normalized'!$D:$D, MATCH($A140, 'KZ-normalized'!$A:$A, 0))-INDEX('KZ-normalized'!$E:$E, MATCH($A140, 'KZ-normalized'!$A:$A, 0))), 0), 0))+(IFERROR(IF(10*INDEX('UZ-normalized'!$D:$D, MATCH($A140, 'UZ-normalized'!$A:$A, 0))-INDEX('UZ-normalized'!$E:$E, MATCH($A140, 'UZ-normalized'!$A:$A, 0))&gt;0, -(10*INDEX('UZ-normalized'!$D:$D, MATCH($A140, 'UZ-normalized'!$A:$A, 0))-INDEX('UZ-normalized'!$E:$E, MATCH($A140, 'UZ-normalized'!$A:$A, 0))), 0), 0)))</f>
        <v>0</v>
      </c>
      <c r="Y140" s="6">
        <f>MIN(0, N140+(IFERROR(IF(11*INDEX('UA-normalized'!$D:$D, MATCH($A140, 'UA-normalized'!$A:$A, 0))-INDEX('UA-normalized'!$E:$E, MATCH($A140, 'UA-normalized'!$A:$A, 0))&gt;0, -(11*INDEX('UA-normalized'!$D:$D, MATCH($A140, 'UA-normalized'!$A:$A, 0))-INDEX('UA-normalized'!$E:$E, MATCH($A140, 'UA-normalized'!$A:$A, 0))), 0), 0))+(IFERROR(IF(11*INDEX('KZ-normalized'!$D:$D, MATCH($A140, 'KZ-normalized'!$A:$A, 0))-INDEX('KZ-normalized'!$E:$E, MATCH($A140, 'KZ-normalized'!$A:$A, 0))&gt;0, -(11*INDEX('KZ-normalized'!$D:$D, MATCH($A140, 'KZ-normalized'!$A:$A, 0))-INDEX('KZ-normalized'!$E:$E, MATCH($A140, 'KZ-normalized'!$A:$A, 0))), 0), 0))+(IFERROR(IF(11*INDEX('UZ-normalized'!$D:$D, MATCH($A140, 'UZ-normalized'!$A:$A, 0))-INDEX('UZ-normalized'!$E:$E, MATCH($A140, 'UZ-normalized'!$A:$A, 0))&gt;0, -(11*INDEX('UZ-normalized'!$D:$D, MATCH($A140, 'UZ-normalized'!$A:$A, 0))-INDEX('UZ-normalized'!$E:$E, MATCH($A140, 'UZ-normalized'!$A:$A, 0))), 0), 0)))</f>
        <v>0</v>
      </c>
      <c r="Z140" s="6">
        <f>MIN(0, N140+(IFERROR(IF(12*INDEX('UA-normalized'!$D:$D, MATCH($A140, 'UA-normalized'!$A:$A, 0))-INDEX('UA-normalized'!$E:$E, MATCH($A140, 'UA-normalized'!$A:$A, 0))&gt;0, -(12*INDEX('UA-normalized'!$D:$D, MATCH($A140, 'UA-normalized'!$A:$A, 0))-INDEX('UA-normalized'!$E:$E, MATCH($A140, 'UA-normalized'!$A:$A, 0))), 0), 0))+(IFERROR(IF(12*INDEX('KZ-normalized'!$D:$D, MATCH($A140, 'KZ-normalized'!$A:$A, 0))-INDEX('KZ-normalized'!$E:$E, MATCH($A140, 'KZ-normalized'!$A:$A, 0))&gt;0, -(12*INDEX('KZ-normalized'!$D:$D, MATCH($A140, 'KZ-normalized'!$A:$A, 0))-INDEX('KZ-normalized'!$E:$E, MATCH($A140, 'KZ-normalized'!$A:$A, 0))), 0), 0))+(IFERROR(IF(12*INDEX('UZ-normalized'!$D:$D, MATCH($A140, 'UZ-normalized'!$A:$A, 0))-INDEX('UZ-normalized'!$E:$E, MATCH($A140, 'UZ-normalized'!$A:$A, 0))&gt;0, -(12*INDEX('UZ-normalized'!$D:$D, MATCH($A140, 'UZ-normalized'!$A:$A, 0))-INDEX('UZ-normalized'!$E:$E, MATCH($A140, 'UZ-normalized'!$A:$A, 0))), 0), 0)))</f>
        <v>0</v>
      </c>
      <c r="AA140" s="6">
        <f>MIN(0, N140+(IFERROR(IF(13*INDEX('UA-normalized'!$D:$D, MATCH($A140, 'UA-normalized'!$A:$A, 0))-INDEX('UA-normalized'!$E:$E, MATCH($A140, 'UA-normalized'!$A:$A, 0))&gt;0, -(13*INDEX('UA-normalized'!$D:$D, MATCH($A140, 'UA-normalized'!$A:$A, 0))-INDEX('UA-normalized'!$E:$E, MATCH($A140, 'UA-normalized'!$A:$A, 0))), 0), 0))+(IFERROR(IF(13*INDEX('KZ-normalized'!$D:$D, MATCH($A140, 'KZ-normalized'!$A:$A, 0))-INDEX('KZ-normalized'!$E:$E, MATCH($A140, 'KZ-normalized'!$A:$A, 0))&gt;0, -(13*INDEX('KZ-normalized'!$D:$D, MATCH($A140, 'KZ-normalized'!$A:$A, 0))-INDEX('KZ-normalized'!$E:$E, MATCH($A140, 'KZ-normalized'!$A:$A, 0))), 0), 0))+(IFERROR(IF(13*INDEX('UZ-normalized'!$D:$D, MATCH($A140, 'UZ-normalized'!$A:$A, 0))-INDEX('UZ-normalized'!$E:$E, MATCH($A140, 'UZ-normalized'!$A:$A, 0))&gt;0, -(13*INDEX('UZ-normalized'!$D:$D, MATCH($A140, 'UZ-normalized'!$A:$A, 0))-INDEX('UZ-normalized'!$E:$E, MATCH($A140, 'UZ-normalized'!$A:$A, 0))), 0), 0)))</f>
        <v>-1</v>
      </c>
      <c r="AB140" s="6">
        <f>MIN(0, N140+(IFERROR(IF(14*INDEX('UA-normalized'!$D:$D, MATCH($A140, 'UA-normalized'!$A:$A, 0))-INDEX('UA-normalized'!$E:$E, MATCH($A140, 'UA-normalized'!$A:$A, 0))&gt;0, -(14*INDEX('UA-normalized'!$D:$D, MATCH($A140, 'UA-normalized'!$A:$A, 0))-INDEX('UA-normalized'!$E:$E, MATCH($A140, 'UA-normalized'!$A:$A, 0))), 0), 0))+(IFERROR(IF(14*INDEX('KZ-normalized'!$D:$D, MATCH($A140, 'KZ-normalized'!$A:$A, 0))-INDEX('KZ-normalized'!$E:$E, MATCH($A140, 'KZ-normalized'!$A:$A, 0))&gt;0, -(14*INDEX('KZ-normalized'!$D:$D, MATCH($A140, 'KZ-normalized'!$A:$A, 0))-INDEX('KZ-normalized'!$E:$E, MATCH($A140, 'KZ-normalized'!$A:$A, 0))), 0), 0))+(IFERROR(IF(14*INDEX('UZ-normalized'!$D:$D, MATCH($A140, 'UZ-normalized'!$A:$A, 0))-INDEX('UZ-normalized'!$E:$E, MATCH($A140, 'UZ-normalized'!$A:$A, 0))&gt;0, -(14*INDEX('UZ-normalized'!$D:$D, MATCH($A140, 'UZ-normalized'!$A:$A, 0))-INDEX('UZ-normalized'!$E:$E, MATCH($A140, 'UZ-normalized'!$A:$A, 0))), 0), 0)))</f>
        <v>-2</v>
      </c>
      <c r="AC140" s="6">
        <f>MIN(0, N140+(IFERROR(IF(15*INDEX('UA-normalized'!$D:$D, MATCH($A140, 'UA-normalized'!$A:$A, 0))-INDEX('UA-normalized'!$E:$E, MATCH($A140, 'UA-normalized'!$A:$A, 0))&gt;0, -(15*INDEX('UA-normalized'!$D:$D, MATCH($A140, 'UA-normalized'!$A:$A, 0))-INDEX('UA-normalized'!$E:$E, MATCH($A140, 'UA-normalized'!$A:$A, 0))), 0), 0))+(IFERROR(IF(15*INDEX('KZ-normalized'!$D:$D, MATCH($A140, 'KZ-normalized'!$A:$A, 0))-INDEX('KZ-normalized'!$E:$E, MATCH($A140, 'KZ-normalized'!$A:$A, 0))&gt;0, -(15*INDEX('KZ-normalized'!$D:$D, MATCH($A140, 'KZ-normalized'!$A:$A, 0))-INDEX('KZ-normalized'!$E:$E, MATCH($A140, 'KZ-normalized'!$A:$A, 0))), 0), 0))+(IFERROR(IF(15*INDEX('UZ-normalized'!$D:$D, MATCH($A140, 'UZ-normalized'!$A:$A, 0))-INDEX('UZ-normalized'!$E:$E, MATCH($A140, 'UZ-normalized'!$A:$A, 0))&gt;0, -(15*INDEX('UZ-normalized'!$D:$D, MATCH($A140, 'UZ-normalized'!$A:$A, 0))-INDEX('UZ-normalized'!$E:$E, MATCH($A140, 'UZ-normalized'!$A:$A, 0))), 0), 0)))</f>
        <v>-3</v>
      </c>
      <c r="AD140" s="6">
        <f>MIN(0, N140+(IFERROR(IF(16*INDEX('UA-normalized'!$D:$D, MATCH($A140, 'UA-normalized'!$A:$A, 0))-INDEX('UA-normalized'!$E:$E, MATCH($A140, 'UA-normalized'!$A:$A, 0))&gt;0, -(16*INDEX('UA-normalized'!$D:$D, MATCH($A140, 'UA-normalized'!$A:$A, 0))-INDEX('UA-normalized'!$E:$E, MATCH($A140, 'UA-normalized'!$A:$A, 0))), 0), 0))+(IFERROR(IF(16*INDEX('KZ-normalized'!$D:$D, MATCH($A140, 'KZ-normalized'!$A:$A, 0))-INDEX('KZ-normalized'!$E:$E, MATCH($A140, 'KZ-normalized'!$A:$A, 0))&gt;0, -(16*INDEX('KZ-normalized'!$D:$D, MATCH($A140, 'KZ-normalized'!$A:$A, 0))-INDEX('KZ-normalized'!$E:$E, MATCH($A140, 'KZ-normalized'!$A:$A, 0))), 0), 0))+(IFERROR(IF(16*INDEX('UZ-normalized'!$D:$D, MATCH($A140, 'UZ-normalized'!$A:$A, 0))-INDEX('UZ-normalized'!$E:$E, MATCH($A140, 'UZ-normalized'!$A:$A, 0))&gt;0, -(16*INDEX('UZ-normalized'!$D:$D, MATCH($A140, 'UZ-normalized'!$A:$A, 0))-INDEX('UZ-normalized'!$E:$E, MATCH($A140, 'UZ-normalized'!$A:$A, 0))), 0), 0)))</f>
        <v>-4</v>
      </c>
      <c r="AE140" s="6">
        <f>MIN(0, N140+(IFERROR(IF(17*INDEX('UA-normalized'!$D:$D, MATCH($A140, 'UA-normalized'!$A:$A, 0))-INDEX('UA-normalized'!$E:$E, MATCH($A140, 'UA-normalized'!$A:$A, 0))&gt;0, -(17*INDEX('UA-normalized'!$D:$D, MATCH($A140, 'UA-normalized'!$A:$A, 0))-INDEX('UA-normalized'!$E:$E, MATCH($A140, 'UA-normalized'!$A:$A, 0))), 0), 0))+(IFERROR(IF(17*INDEX('KZ-normalized'!$D:$D, MATCH($A140, 'KZ-normalized'!$A:$A, 0))-INDEX('KZ-normalized'!$E:$E, MATCH($A140, 'KZ-normalized'!$A:$A, 0))&gt;0, -(17*INDEX('KZ-normalized'!$D:$D, MATCH($A140, 'KZ-normalized'!$A:$A, 0))-INDEX('KZ-normalized'!$E:$E, MATCH($A140, 'KZ-normalized'!$A:$A, 0))), 0), 0))+(IFERROR(IF(17*INDEX('UZ-normalized'!$D:$D, MATCH($A140, 'UZ-normalized'!$A:$A, 0))-INDEX('UZ-normalized'!$E:$E, MATCH($A140, 'UZ-normalized'!$A:$A, 0))&gt;0, -(17*INDEX('UZ-normalized'!$D:$D, MATCH($A140, 'UZ-normalized'!$A:$A, 0))-INDEX('UZ-normalized'!$E:$E, MATCH($A140, 'UZ-normalized'!$A:$A, 0))), 0), 0)))</f>
        <v>-5</v>
      </c>
      <c r="AF140" s="6">
        <f>MIN(0, N140+(IFERROR(IF(18*INDEX('UA-normalized'!$D:$D, MATCH($A140, 'UA-normalized'!$A:$A, 0))-INDEX('UA-normalized'!$E:$E, MATCH($A140, 'UA-normalized'!$A:$A, 0))&gt;0, -(18*INDEX('UA-normalized'!$D:$D, MATCH($A140, 'UA-normalized'!$A:$A, 0))-INDEX('UA-normalized'!$E:$E, MATCH($A140, 'UA-normalized'!$A:$A, 0))), 0), 0))+(IFERROR(IF(18*INDEX('KZ-normalized'!$D:$D, MATCH($A140, 'KZ-normalized'!$A:$A, 0))-INDEX('KZ-normalized'!$E:$E, MATCH($A140, 'KZ-normalized'!$A:$A, 0))&gt;0, -(18*INDEX('KZ-normalized'!$D:$D, MATCH($A140, 'KZ-normalized'!$A:$A, 0))-INDEX('KZ-normalized'!$E:$E, MATCH($A140, 'KZ-normalized'!$A:$A, 0))), 0), 0))+(IFERROR(IF(18*INDEX('UZ-normalized'!$D:$D, MATCH($A140, 'UZ-normalized'!$A:$A, 0))-INDEX('UZ-normalized'!$E:$E, MATCH($A140, 'UZ-normalized'!$A:$A, 0))&gt;0, -(18*INDEX('UZ-normalized'!$D:$D, MATCH($A140, 'UZ-normalized'!$A:$A, 0))-INDEX('UZ-normalized'!$E:$E, MATCH($A140, 'UZ-normalized'!$A:$A, 0))), 0), 0)))</f>
        <v>-6</v>
      </c>
      <c r="AG140" s="6">
        <f>MIN(0, N140+(IFERROR(IF(19*INDEX('UA-normalized'!$D:$D, MATCH($A140, 'UA-normalized'!$A:$A, 0))-INDEX('UA-normalized'!$E:$E, MATCH($A140, 'UA-normalized'!$A:$A, 0))&gt;0, -(19*INDEX('UA-normalized'!$D:$D, MATCH($A140, 'UA-normalized'!$A:$A, 0))-INDEX('UA-normalized'!$E:$E, MATCH($A140, 'UA-normalized'!$A:$A, 0))), 0), 0))+(IFERROR(IF(19*INDEX('KZ-normalized'!$D:$D, MATCH($A140, 'KZ-normalized'!$A:$A, 0))-INDEX('KZ-normalized'!$E:$E, MATCH($A140, 'KZ-normalized'!$A:$A, 0))&gt;0, -(19*INDEX('KZ-normalized'!$D:$D, MATCH($A140, 'KZ-normalized'!$A:$A, 0))-INDEX('KZ-normalized'!$E:$E, MATCH($A140, 'KZ-normalized'!$A:$A, 0))), 0), 0))+(IFERROR(IF(19*INDEX('UZ-normalized'!$D:$D, MATCH($A140, 'UZ-normalized'!$A:$A, 0))-INDEX('UZ-normalized'!$E:$E, MATCH($A140, 'UZ-normalized'!$A:$A, 0))&gt;0, -(19*INDEX('UZ-normalized'!$D:$D, MATCH($A140, 'UZ-normalized'!$A:$A, 0))-INDEX('UZ-normalized'!$E:$E, MATCH($A140, 'UZ-normalized'!$A:$A, 0))), 0), 0)))</f>
        <v>-7</v>
      </c>
      <c r="AH140" s="6">
        <f>MIN(0, N140+(IFERROR(IF(20*INDEX('UA-normalized'!$D:$D, MATCH($A140, 'UA-normalized'!$A:$A, 0))-INDEX('UA-normalized'!$E:$E, MATCH($A140, 'UA-normalized'!$A:$A, 0))&gt;0, -(20*INDEX('UA-normalized'!$D:$D, MATCH($A140, 'UA-normalized'!$A:$A, 0))-INDEX('UA-normalized'!$E:$E, MATCH($A140, 'UA-normalized'!$A:$A, 0))), 0), 0))+(IFERROR(IF(20*INDEX('KZ-normalized'!$D:$D, MATCH($A140, 'KZ-normalized'!$A:$A, 0))-INDEX('KZ-normalized'!$E:$E, MATCH($A140, 'KZ-normalized'!$A:$A, 0))&gt;0, -(20*INDEX('KZ-normalized'!$D:$D, MATCH($A140, 'KZ-normalized'!$A:$A, 0))-INDEX('KZ-normalized'!$E:$E, MATCH($A140, 'KZ-normalized'!$A:$A, 0))), 0), 0))+(IFERROR(IF(20*INDEX('UZ-normalized'!$D:$D, MATCH($A140, 'UZ-normalized'!$A:$A, 0))-INDEX('UZ-normalized'!$E:$E, MATCH($A140, 'UZ-normalized'!$A:$A, 0))&gt;0, -(20*INDEX('UZ-normalized'!$D:$D, MATCH($A140, 'UZ-normalized'!$A:$A, 0))-INDEX('UZ-normalized'!$E:$E, MATCH($A140, 'UZ-normalized'!$A:$A, 0))), 0), 0)))</f>
        <v>-8</v>
      </c>
      <c r="AI140" s="6">
        <f>MIN(0, N140+(IFERROR(IF(21*INDEX('UA-normalized'!$D:$D, MATCH($A140, 'UA-normalized'!$A:$A, 0))-INDEX('UA-normalized'!$E:$E, MATCH($A140, 'UA-normalized'!$A:$A, 0))&gt;0, -(21*INDEX('UA-normalized'!$D:$D, MATCH($A140, 'UA-normalized'!$A:$A, 0))-INDEX('UA-normalized'!$E:$E, MATCH($A140, 'UA-normalized'!$A:$A, 0))), 0), 0))+(IFERROR(IF(21*INDEX('KZ-normalized'!$D:$D, MATCH($A140, 'KZ-normalized'!$A:$A, 0))-INDEX('KZ-normalized'!$E:$E, MATCH($A140, 'KZ-normalized'!$A:$A, 0))&gt;0, -(21*INDEX('KZ-normalized'!$D:$D, MATCH($A140, 'KZ-normalized'!$A:$A, 0))-INDEX('KZ-normalized'!$E:$E, MATCH($A140, 'KZ-normalized'!$A:$A, 0))), 0), 0))+(IFERROR(IF(21*INDEX('UZ-normalized'!$D:$D, MATCH($A140, 'UZ-normalized'!$A:$A, 0))-INDEX('UZ-normalized'!$E:$E, MATCH($A140, 'UZ-normalized'!$A:$A, 0))&gt;0, -(21*INDEX('UZ-normalized'!$D:$D, MATCH($A140, 'UZ-normalized'!$A:$A, 0))-INDEX('UZ-normalized'!$E:$E, MATCH($A140, 'UZ-normalized'!$A:$A, 0))), 0), 0)))</f>
        <v>-9</v>
      </c>
      <c r="AJ140" s="6">
        <f>MIN(0, N140+(IFERROR(IF(22*INDEX('UA-normalized'!$D:$D, MATCH($A140, 'UA-normalized'!$A:$A, 0))-INDEX('UA-normalized'!$E:$E, MATCH($A140, 'UA-normalized'!$A:$A, 0))&gt;0, -(22*INDEX('UA-normalized'!$D:$D, MATCH($A140, 'UA-normalized'!$A:$A, 0))-INDEX('UA-normalized'!$E:$E, MATCH($A140, 'UA-normalized'!$A:$A, 0))), 0), 0))+(IFERROR(IF(22*INDEX('KZ-normalized'!$D:$D, MATCH($A140, 'KZ-normalized'!$A:$A, 0))-INDEX('KZ-normalized'!$E:$E, MATCH($A140, 'KZ-normalized'!$A:$A, 0))&gt;0, -(22*INDEX('KZ-normalized'!$D:$D, MATCH($A140, 'KZ-normalized'!$A:$A, 0))-INDEX('KZ-normalized'!$E:$E, MATCH($A140, 'KZ-normalized'!$A:$A, 0))), 0), 0))+(IFERROR(IF(22*INDEX('UZ-normalized'!$D:$D, MATCH($A140, 'UZ-normalized'!$A:$A, 0))-INDEX('UZ-normalized'!$E:$E, MATCH($A140, 'UZ-normalized'!$A:$A, 0))&gt;0, -(22*INDEX('UZ-normalized'!$D:$D, MATCH($A140, 'UZ-normalized'!$A:$A, 0))-INDEX('UZ-normalized'!$E:$E, MATCH($A140, 'UZ-normalized'!$A:$A, 0))), 0), 0)))</f>
        <v>-10</v>
      </c>
      <c r="AK140" s="6">
        <f>MIN(0, N140+(IFERROR(IF(23*INDEX('UA-normalized'!$D:$D, MATCH($A140, 'UA-normalized'!$A:$A, 0))-INDEX('UA-normalized'!$E:$E, MATCH($A140, 'UA-normalized'!$A:$A, 0))&gt;0, -(23*INDEX('UA-normalized'!$D:$D, MATCH($A140, 'UA-normalized'!$A:$A, 0))-INDEX('UA-normalized'!$E:$E, MATCH($A140, 'UA-normalized'!$A:$A, 0))), 0), 0))+(IFERROR(IF(23*INDEX('KZ-normalized'!$D:$D, MATCH($A140, 'KZ-normalized'!$A:$A, 0))-INDEX('KZ-normalized'!$E:$E, MATCH($A140, 'KZ-normalized'!$A:$A, 0))&gt;0, -(23*INDEX('KZ-normalized'!$D:$D, MATCH($A140, 'KZ-normalized'!$A:$A, 0))-INDEX('KZ-normalized'!$E:$E, MATCH($A140, 'KZ-normalized'!$A:$A, 0))), 0), 0))+(IFERROR(IF(23*INDEX('UZ-normalized'!$D:$D, MATCH($A140, 'UZ-normalized'!$A:$A, 0))-INDEX('UZ-normalized'!$E:$E, MATCH($A140, 'UZ-normalized'!$A:$A, 0))&gt;0, -(23*INDEX('UZ-normalized'!$D:$D, MATCH($A140, 'UZ-normalized'!$A:$A, 0))-INDEX('UZ-normalized'!$E:$E, MATCH($A140, 'UZ-normalized'!$A:$A, 0))), 0), 0)))</f>
        <v>-11</v>
      </c>
      <c r="AL140" s="6">
        <f>MIN(0, N140+(IFERROR(IF(24*INDEX('UA-normalized'!$D:$D, MATCH($A140, 'UA-normalized'!$A:$A, 0))-INDEX('UA-normalized'!$E:$E, MATCH($A140, 'UA-normalized'!$A:$A, 0))&gt;0, -(24*INDEX('UA-normalized'!$D:$D, MATCH($A140, 'UA-normalized'!$A:$A, 0))-INDEX('UA-normalized'!$E:$E, MATCH($A140, 'UA-normalized'!$A:$A, 0))), 0), 0))+(IFERROR(IF(24*INDEX('KZ-normalized'!$D:$D, MATCH($A140, 'KZ-normalized'!$A:$A, 0))-INDEX('KZ-normalized'!$E:$E, MATCH($A140, 'KZ-normalized'!$A:$A, 0))&gt;0, -(24*INDEX('KZ-normalized'!$D:$D, MATCH($A140, 'KZ-normalized'!$A:$A, 0))-INDEX('KZ-normalized'!$E:$E, MATCH($A140, 'KZ-normalized'!$A:$A, 0))), 0), 0))+(IFERROR(IF(24*INDEX('UZ-normalized'!$D:$D, MATCH($A140, 'UZ-normalized'!$A:$A, 0))-INDEX('UZ-normalized'!$E:$E, MATCH($A140, 'UZ-normalized'!$A:$A, 0))&gt;0, -(24*INDEX('UZ-normalized'!$D:$D, MATCH($A140, 'UZ-normalized'!$A:$A, 0))-INDEX('UZ-normalized'!$E:$E, MATCH($A140, 'UZ-normalized'!$A:$A, 0))), 0), 0)))</f>
        <v>-12</v>
      </c>
      <c r="AM140" s="6">
        <f>MIN(0, N140+(IFERROR(IF(25*INDEX('UA-normalized'!$D:$D, MATCH($A140, 'UA-normalized'!$A:$A, 0))-INDEX('UA-normalized'!$E:$E, MATCH($A140, 'UA-normalized'!$A:$A, 0))&gt;0, -(25*INDEX('UA-normalized'!$D:$D, MATCH($A140, 'UA-normalized'!$A:$A, 0))-INDEX('UA-normalized'!$E:$E, MATCH($A140, 'UA-normalized'!$A:$A, 0))), 0), 0))+(IFERROR(IF(25*INDEX('KZ-normalized'!$D:$D, MATCH($A140, 'KZ-normalized'!$A:$A, 0))-INDEX('KZ-normalized'!$E:$E, MATCH($A140, 'KZ-normalized'!$A:$A, 0))&gt;0, -(25*INDEX('KZ-normalized'!$D:$D, MATCH($A140, 'KZ-normalized'!$A:$A, 0))-INDEX('KZ-normalized'!$E:$E, MATCH($A140, 'KZ-normalized'!$A:$A, 0))), 0), 0))+(IFERROR(IF(25*INDEX('UZ-normalized'!$D:$D, MATCH($A140, 'UZ-normalized'!$A:$A, 0))-INDEX('UZ-normalized'!$E:$E, MATCH($A140, 'UZ-normalized'!$A:$A, 0))&gt;0, -(25*INDEX('UZ-normalized'!$D:$D, MATCH($A140, 'UZ-normalized'!$A:$A, 0))-INDEX('UZ-normalized'!$E:$E, MATCH($A140, 'UZ-normalized'!$A:$A, 0))), 0), 0)))</f>
        <v>-13</v>
      </c>
      <c r="AN140" s="6">
        <f>MIN(0, N140+(IFERROR(IF(26*INDEX('UA-normalized'!$D:$D, MATCH($A140, 'UA-normalized'!$A:$A, 0))-INDEX('UA-normalized'!$E:$E, MATCH($A140, 'UA-normalized'!$A:$A, 0))&gt;0, -(26*INDEX('UA-normalized'!$D:$D, MATCH($A140, 'UA-normalized'!$A:$A, 0))-INDEX('UA-normalized'!$E:$E, MATCH($A140, 'UA-normalized'!$A:$A, 0))), 0), 0))+(IFERROR(IF(26*INDEX('KZ-normalized'!$D:$D, MATCH($A140, 'KZ-normalized'!$A:$A, 0))-INDEX('KZ-normalized'!$E:$E, MATCH($A140, 'KZ-normalized'!$A:$A, 0))&gt;0, -(26*INDEX('KZ-normalized'!$D:$D, MATCH($A140, 'KZ-normalized'!$A:$A, 0))-INDEX('KZ-normalized'!$E:$E, MATCH($A140, 'KZ-normalized'!$A:$A, 0))), 0), 0))+(IFERROR(IF(26*INDEX('UZ-normalized'!$D:$D, MATCH($A140, 'UZ-normalized'!$A:$A, 0))-INDEX('UZ-normalized'!$E:$E, MATCH($A140, 'UZ-normalized'!$A:$A, 0))&gt;0, -(26*INDEX('UZ-normalized'!$D:$D, MATCH($A140, 'UZ-normalized'!$A:$A, 0))-INDEX('UZ-normalized'!$E:$E, MATCH($A140, 'UZ-normalized'!$A:$A, 0))), 0), 0)))</f>
        <v>-14</v>
      </c>
      <c r="AO140" s="6">
        <f>MIN(0, N140+(IFERROR(IF(27*INDEX('UA-normalized'!$D:$D, MATCH($A140, 'UA-normalized'!$A:$A, 0))-INDEX('UA-normalized'!$E:$E, MATCH($A140, 'UA-normalized'!$A:$A, 0))&gt;0, -(27*INDEX('UA-normalized'!$D:$D, MATCH($A140, 'UA-normalized'!$A:$A, 0))-INDEX('UA-normalized'!$E:$E, MATCH($A140, 'UA-normalized'!$A:$A, 0))), 0), 0))+(IFERROR(IF(27*INDEX('KZ-normalized'!$D:$D, MATCH($A140, 'KZ-normalized'!$A:$A, 0))-INDEX('KZ-normalized'!$E:$E, MATCH($A140, 'KZ-normalized'!$A:$A, 0))&gt;0, -(27*INDEX('KZ-normalized'!$D:$D, MATCH($A140, 'KZ-normalized'!$A:$A, 0))-INDEX('KZ-normalized'!$E:$E, MATCH($A140, 'KZ-normalized'!$A:$A, 0))), 0), 0))+(IFERROR(IF(27*INDEX('UZ-normalized'!$D:$D, MATCH($A140, 'UZ-normalized'!$A:$A, 0))-INDEX('UZ-normalized'!$E:$E, MATCH($A140, 'UZ-normalized'!$A:$A, 0))&gt;0, -(27*INDEX('UZ-normalized'!$D:$D, MATCH($A140, 'UZ-normalized'!$A:$A, 0))-INDEX('UZ-normalized'!$E:$E, MATCH($A140, 'UZ-normalized'!$A:$A, 0))), 0), 0)))</f>
        <v>-15</v>
      </c>
      <c r="AP140" s="6">
        <f>MIN(0, N140+(IFERROR(IF(28*INDEX('UA-normalized'!$D:$D, MATCH($A140, 'UA-normalized'!$A:$A, 0))-INDEX('UA-normalized'!$E:$E, MATCH($A140, 'UA-normalized'!$A:$A, 0))&gt;0, -(28*INDEX('UA-normalized'!$D:$D, MATCH($A140, 'UA-normalized'!$A:$A, 0))-INDEX('UA-normalized'!$E:$E, MATCH($A140, 'UA-normalized'!$A:$A, 0))), 0), 0))+(IFERROR(IF(28*INDEX('KZ-normalized'!$D:$D, MATCH($A140, 'KZ-normalized'!$A:$A, 0))-INDEX('KZ-normalized'!$E:$E, MATCH($A140, 'KZ-normalized'!$A:$A, 0))&gt;0, -(28*INDEX('KZ-normalized'!$D:$D, MATCH($A140, 'KZ-normalized'!$A:$A, 0))-INDEX('KZ-normalized'!$E:$E, MATCH($A140, 'KZ-normalized'!$A:$A, 0))), 0), 0))+(IFERROR(IF(28*INDEX('UZ-normalized'!$D:$D, MATCH($A140, 'UZ-normalized'!$A:$A, 0))-INDEX('UZ-normalized'!$E:$E, MATCH($A140, 'UZ-normalized'!$A:$A, 0))&gt;0, -(28*INDEX('UZ-normalized'!$D:$D, MATCH($A140, 'UZ-normalized'!$A:$A, 0))-INDEX('UZ-normalized'!$E:$E, MATCH($A140, 'UZ-normalized'!$A:$A, 0))), 0), 0)))</f>
        <v>-16</v>
      </c>
      <c r="AQ140" s="6">
        <f>MIN(0, N140+(IFERROR(IF(29*INDEX('UA-normalized'!$D:$D, MATCH($A140, 'UA-normalized'!$A:$A, 0))-INDEX('UA-normalized'!$E:$E, MATCH($A140, 'UA-normalized'!$A:$A, 0))&gt;0, -(29*INDEX('UA-normalized'!$D:$D, MATCH($A140, 'UA-normalized'!$A:$A, 0))-INDEX('UA-normalized'!$E:$E, MATCH($A140, 'UA-normalized'!$A:$A, 0))), 0), 0))+(IFERROR(IF(29*INDEX('KZ-normalized'!$D:$D, MATCH($A140, 'KZ-normalized'!$A:$A, 0))-INDEX('KZ-normalized'!$E:$E, MATCH($A140, 'KZ-normalized'!$A:$A, 0))&gt;0, -(29*INDEX('KZ-normalized'!$D:$D, MATCH($A140, 'KZ-normalized'!$A:$A, 0))-INDEX('KZ-normalized'!$E:$E, MATCH($A140, 'KZ-normalized'!$A:$A, 0))), 0), 0))+(IFERROR(IF(29*INDEX('UZ-normalized'!$D:$D, MATCH($A140, 'UZ-normalized'!$A:$A, 0))-INDEX('UZ-normalized'!$E:$E, MATCH($A140, 'UZ-normalized'!$A:$A, 0))&gt;0, -(29*INDEX('UZ-normalized'!$D:$D, MATCH($A140, 'UZ-normalized'!$A:$A, 0))-INDEX('UZ-normalized'!$E:$E, MATCH($A140, 'UZ-normalized'!$A:$A, 0))), 0), 0)))</f>
        <v>-17</v>
      </c>
      <c r="AR140" s="6">
        <f>MIN(0, N140+(IFERROR(IF(30*INDEX('UA-normalized'!$D:$D, MATCH($A140, 'UA-normalized'!$A:$A, 0))-INDEX('UA-normalized'!$E:$E, MATCH($A140, 'UA-normalized'!$A:$A, 0))&gt;0, -(30*INDEX('UA-normalized'!$D:$D, MATCH($A140, 'UA-normalized'!$A:$A, 0))-INDEX('UA-normalized'!$E:$E, MATCH($A140, 'UA-normalized'!$A:$A, 0))), 0), 0))+(IFERROR(IF(30*INDEX('KZ-normalized'!$D:$D, MATCH($A140, 'KZ-normalized'!$A:$A, 0))-INDEX('KZ-normalized'!$E:$E, MATCH($A140, 'KZ-normalized'!$A:$A, 0))&gt;0, -(30*INDEX('KZ-normalized'!$D:$D, MATCH($A140, 'KZ-normalized'!$A:$A, 0))-INDEX('KZ-normalized'!$E:$E, MATCH($A140, 'KZ-normalized'!$A:$A, 0))), 0), 0))+(IFERROR(IF(30*INDEX('UZ-normalized'!$D:$D, MATCH($A140, 'UZ-normalized'!$A:$A, 0))-INDEX('UZ-normalized'!$E:$E, MATCH($A140, 'UZ-normalized'!$A:$A, 0))&gt;0, -(30*INDEX('UZ-normalized'!$D:$D, MATCH($A140, 'UZ-normalized'!$A:$A, 0))-INDEX('UZ-normalized'!$E:$E, MATCH($A140, 'UZ-normalized'!$A:$A, 0))), 0), 0)))</f>
        <v>-18</v>
      </c>
    </row>
    <row r="141" spans="1:44" x14ac:dyDescent="0.25">
      <c r="A141" s="8" t="s">
        <v>343</v>
      </c>
      <c r="B141" s="8" t="s">
        <v>336</v>
      </c>
      <c r="C141" s="8" t="s">
        <v>337</v>
      </c>
      <c r="D141" s="8" t="s">
        <v>344</v>
      </c>
      <c r="N141">
        <f t="shared" si="2"/>
        <v>0</v>
      </c>
      <c r="O141" s="6">
        <f>MIN(0, N141+(IFERROR(IF(1*INDEX('UA-normalized'!$D:$D, MATCH($A141, 'UA-normalized'!$A:$A, 0))-INDEX('UA-normalized'!$E:$E, MATCH($A141, 'UA-normalized'!$A:$A, 0))&gt;0, -(1*INDEX('UA-normalized'!$D:$D, MATCH($A141, 'UA-normalized'!$A:$A, 0))-INDEX('UA-normalized'!$E:$E, MATCH($A141, 'UA-normalized'!$A:$A, 0))), 0), 0))+(IFERROR(IF(1*INDEX('KZ-normalized'!$D:$D, MATCH($A141, 'KZ-normalized'!$A:$A, 0))-INDEX('KZ-normalized'!$E:$E, MATCH($A141, 'KZ-normalized'!$A:$A, 0))&gt;0, -(1*INDEX('KZ-normalized'!$D:$D, MATCH($A141, 'KZ-normalized'!$A:$A, 0))-INDEX('KZ-normalized'!$E:$E, MATCH($A141, 'KZ-normalized'!$A:$A, 0))), 0), 0))+(IFERROR(IF(1*INDEX('UZ-normalized'!$D:$D, MATCH($A141, 'UZ-normalized'!$A:$A, 0))-INDEX('UZ-normalized'!$E:$E, MATCH($A141, 'UZ-normalized'!$A:$A, 0))&gt;0, -(1*INDEX('UZ-normalized'!$D:$D, MATCH($A141, 'UZ-normalized'!$A:$A, 0))-INDEX('UZ-normalized'!$E:$E, MATCH($A141, 'UZ-normalized'!$A:$A, 0))), 0), 0)))</f>
        <v>0</v>
      </c>
      <c r="P141" s="6">
        <f>MIN(0, N141+(IFERROR(IF(2*INDEX('UA-normalized'!$D:$D, MATCH($A141, 'UA-normalized'!$A:$A, 0))-INDEX('UA-normalized'!$E:$E, MATCH($A141, 'UA-normalized'!$A:$A, 0))&gt;0, -(2*INDEX('UA-normalized'!$D:$D, MATCH($A141, 'UA-normalized'!$A:$A, 0))-INDEX('UA-normalized'!$E:$E, MATCH($A141, 'UA-normalized'!$A:$A, 0))), 0), 0))+(IFERROR(IF(2*INDEX('KZ-normalized'!$D:$D, MATCH($A141, 'KZ-normalized'!$A:$A, 0))-INDEX('KZ-normalized'!$E:$E, MATCH($A141, 'KZ-normalized'!$A:$A, 0))&gt;0, -(2*INDEX('KZ-normalized'!$D:$D, MATCH($A141, 'KZ-normalized'!$A:$A, 0))-INDEX('KZ-normalized'!$E:$E, MATCH($A141, 'KZ-normalized'!$A:$A, 0))), 0), 0))+(IFERROR(IF(2*INDEX('UZ-normalized'!$D:$D, MATCH($A141, 'UZ-normalized'!$A:$A, 0))-INDEX('UZ-normalized'!$E:$E, MATCH($A141, 'UZ-normalized'!$A:$A, 0))&gt;0, -(2*INDEX('UZ-normalized'!$D:$D, MATCH($A141, 'UZ-normalized'!$A:$A, 0))-INDEX('UZ-normalized'!$E:$E, MATCH($A141, 'UZ-normalized'!$A:$A, 0))), 0), 0)))</f>
        <v>0</v>
      </c>
      <c r="Q141" s="6">
        <f>MIN(0, N141+(IFERROR(IF(3*INDEX('UA-normalized'!$D:$D, MATCH($A141, 'UA-normalized'!$A:$A, 0))-INDEX('UA-normalized'!$E:$E, MATCH($A141, 'UA-normalized'!$A:$A, 0))&gt;0, -(3*INDEX('UA-normalized'!$D:$D, MATCH($A141, 'UA-normalized'!$A:$A, 0))-INDEX('UA-normalized'!$E:$E, MATCH($A141, 'UA-normalized'!$A:$A, 0))), 0), 0))+(IFERROR(IF(3*INDEX('KZ-normalized'!$D:$D, MATCH($A141, 'KZ-normalized'!$A:$A, 0))-INDEX('KZ-normalized'!$E:$E, MATCH($A141, 'KZ-normalized'!$A:$A, 0))&gt;0, -(3*INDEX('KZ-normalized'!$D:$D, MATCH($A141, 'KZ-normalized'!$A:$A, 0))-INDEX('KZ-normalized'!$E:$E, MATCH($A141, 'KZ-normalized'!$A:$A, 0))), 0), 0))+(IFERROR(IF(3*INDEX('UZ-normalized'!$D:$D, MATCH($A141, 'UZ-normalized'!$A:$A, 0))-INDEX('UZ-normalized'!$E:$E, MATCH($A141, 'UZ-normalized'!$A:$A, 0))&gt;0, -(3*INDEX('UZ-normalized'!$D:$D, MATCH($A141, 'UZ-normalized'!$A:$A, 0))-INDEX('UZ-normalized'!$E:$E, MATCH($A141, 'UZ-normalized'!$A:$A, 0))), 0), 0)))</f>
        <v>0</v>
      </c>
      <c r="R141" s="6">
        <f>MIN(0, N141+(IFERROR(IF(4*INDEX('UA-normalized'!$D:$D, MATCH($A141, 'UA-normalized'!$A:$A, 0))-INDEX('UA-normalized'!$E:$E, MATCH($A141, 'UA-normalized'!$A:$A, 0))&gt;0, -(4*INDEX('UA-normalized'!$D:$D, MATCH($A141, 'UA-normalized'!$A:$A, 0))-INDEX('UA-normalized'!$E:$E, MATCH($A141, 'UA-normalized'!$A:$A, 0))), 0), 0))+(IFERROR(IF(4*INDEX('KZ-normalized'!$D:$D, MATCH($A141, 'KZ-normalized'!$A:$A, 0))-INDEX('KZ-normalized'!$E:$E, MATCH($A141, 'KZ-normalized'!$A:$A, 0))&gt;0, -(4*INDEX('KZ-normalized'!$D:$D, MATCH($A141, 'KZ-normalized'!$A:$A, 0))-INDEX('KZ-normalized'!$E:$E, MATCH($A141, 'KZ-normalized'!$A:$A, 0))), 0), 0))+(IFERROR(IF(4*INDEX('UZ-normalized'!$D:$D, MATCH($A141, 'UZ-normalized'!$A:$A, 0))-INDEX('UZ-normalized'!$E:$E, MATCH($A141, 'UZ-normalized'!$A:$A, 0))&gt;0, -(4*INDEX('UZ-normalized'!$D:$D, MATCH($A141, 'UZ-normalized'!$A:$A, 0))-INDEX('UZ-normalized'!$E:$E, MATCH($A141, 'UZ-normalized'!$A:$A, 0))), 0), 0)))</f>
        <v>-23</v>
      </c>
      <c r="S141" s="6">
        <f>MIN(0, N141+(IFERROR(IF(5*INDEX('UA-normalized'!$D:$D, MATCH($A141, 'UA-normalized'!$A:$A, 0))-INDEX('UA-normalized'!$E:$E, MATCH($A141, 'UA-normalized'!$A:$A, 0))&gt;0, -(5*INDEX('UA-normalized'!$D:$D, MATCH($A141, 'UA-normalized'!$A:$A, 0))-INDEX('UA-normalized'!$E:$E, MATCH($A141, 'UA-normalized'!$A:$A, 0))), 0), 0))+(IFERROR(IF(5*INDEX('KZ-normalized'!$D:$D, MATCH($A141, 'KZ-normalized'!$A:$A, 0))-INDEX('KZ-normalized'!$E:$E, MATCH($A141, 'KZ-normalized'!$A:$A, 0))&gt;0, -(5*INDEX('KZ-normalized'!$D:$D, MATCH($A141, 'KZ-normalized'!$A:$A, 0))-INDEX('KZ-normalized'!$E:$E, MATCH($A141, 'KZ-normalized'!$A:$A, 0))), 0), 0))+(IFERROR(IF(5*INDEX('UZ-normalized'!$D:$D, MATCH($A141, 'UZ-normalized'!$A:$A, 0))-INDEX('UZ-normalized'!$E:$E, MATCH($A141, 'UZ-normalized'!$A:$A, 0))&gt;0, -(5*INDEX('UZ-normalized'!$D:$D, MATCH($A141, 'UZ-normalized'!$A:$A, 0))-INDEX('UZ-normalized'!$E:$E, MATCH($A141, 'UZ-normalized'!$A:$A, 0))), 0), 0)))</f>
        <v>-155</v>
      </c>
      <c r="T141" s="6">
        <f>MIN(0, N141+(IFERROR(IF(6*INDEX('UA-normalized'!$D:$D, MATCH($A141, 'UA-normalized'!$A:$A, 0))-INDEX('UA-normalized'!$E:$E, MATCH($A141, 'UA-normalized'!$A:$A, 0))&gt;0, -(6*INDEX('UA-normalized'!$D:$D, MATCH($A141, 'UA-normalized'!$A:$A, 0))-INDEX('UA-normalized'!$E:$E, MATCH($A141, 'UA-normalized'!$A:$A, 0))), 0), 0))+(IFERROR(IF(6*INDEX('KZ-normalized'!$D:$D, MATCH($A141, 'KZ-normalized'!$A:$A, 0))-INDEX('KZ-normalized'!$E:$E, MATCH($A141, 'KZ-normalized'!$A:$A, 0))&gt;0, -(6*INDEX('KZ-normalized'!$D:$D, MATCH($A141, 'KZ-normalized'!$A:$A, 0))-INDEX('KZ-normalized'!$E:$E, MATCH($A141, 'KZ-normalized'!$A:$A, 0))), 0), 0))+(IFERROR(IF(6*INDEX('UZ-normalized'!$D:$D, MATCH($A141, 'UZ-normalized'!$A:$A, 0))-INDEX('UZ-normalized'!$E:$E, MATCH($A141, 'UZ-normalized'!$A:$A, 0))&gt;0, -(6*INDEX('UZ-normalized'!$D:$D, MATCH($A141, 'UZ-normalized'!$A:$A, 0))-INDEX('UZ-normalized'!$E:$E, MATCH($A141, 'UZ-normalized'!$A:$A, 0))), 0), 0)))</f>
        <v>-287</v>
      </c>
      <c r="U141" s="6">
        <f>MIN(0, N141+(IFERROR(IF(7*INDEX('UA-normalized'!$D:$D, MATCH($A141, 'UA-normalized'!$A:$A, 0))-INDEX('UA-normalized'!$E:$E, MATCH($A141, 'UA-normalized'!$A:$A, 0))&gt;0, -(7*INDEX('UA-normalized'!$D:$D, MATCH($A141, 'UA-normalized'!$A:$A, 0))-INDEX('UA-normalized'!$E:$E, MATCH($A141, 'UA-normalized'!$A:$A, 0))), 0), 0))+(IFERROR(IF(7*INDEX('KZ-normalized'!$D:$D, MATCH($A141, 'KZ-normalized'!$A:$A, 0))-INDEX('KZ-normalized'!$E:$E, MATCH($A141, 'KZ-normalized'!$A:$A, 0))&gt;0, -(7*INDEX('KZ-normalized'!$D:$D, MATCH($A141, 'KZ-normalized'!$A:$A, 0))-INDEX('KZ-normalized'!$E:$E, MATCH($A141, 'KZ-normalized'!$A:$A, 0))), 0), 0))+(IFERROR(IF(7*INDEX('UZ-normalized'!$D:$D, MATCH($A141, 'UZ-normalized'!$A:$A, 0))-INDEX('UZ-normalized'!$E:$E, MATCH($A141, 'UZ-normalized'!$A:$A, 0))&gt;0, -(7*INDEX('UZ-normalized'!$D:$D, MATCH($A141, 'UZ-normalized'!$A:$A, 0))-INDEX('UZ-normalized'!$E:$E, MATCH($A141, 'UZ-normalized'!$A:$A, 0))), 0), 0)))</f>
        <v>-419</v>
      </c>
      <c r="V141" s="6">
        <f>MIN(0, N141+(IFERROR(IF(8*INDEX('UA-normalized'!$D:$D, MATCH($A141, 'UA-normalized'!$A:$A, 0))-INDEX('UA-normalized'!$E:$E, MATCH($A141, 'UA-normalized'!$A:$A, 0))&gt;0, -(8*INDEX('UA-normalized'!$D:$D, MATCH($A141, 'UA-normalized'!$A:$A, 0))-INDEX('UA-normalized'!$E:$E, MATCH($A141, 'UA-normalized'!$A:$A, 0))), 0), 0))+(IFERROR(IF(8*INDEX('KZ-normalized'!$D:$D, MATCH($A141, 'KZ-normalized'!$A:$A, 0))-INDEX('KZ-normalized'!$E:$E, MATCH($A141, 'KZ-normalized'!$A:$A, 0))&gt;0, -(8*INDEX('KZ-normalized'!$D:$D, MATCH($A141, 'KZ-normalized'!$A:$A, 0))-INDEX('KZ-normalized'!$E:$E, MATCH($A141, 'KZ-normalized'!$A:$A, 0))), 0), 0))+(IFERROR(IF(8*INDEX('UZ-normalized'!$D:$D, MATCH($A141, 'UZ-normalized'!$A:$A, 0))-INDEX('UZ-normalized'!$E:$E, MATCH($A141, 'UZ-normalized'!$A:$A, 0))&gt;0, -(8*INDEX('UZ-normalized'!$D:$D, MATCH($A141, 'UZ-normalized'!$A:$A, 0))-INDEX('UZ-normalized'!$E:$E, MATCH($A141, 'UZ-normalized'!$A:$A, 0))), 0), 0)))</f>
        <v>-551</v>
      </c>
      <c r="W141" s="6">
        <f>MIN(0, N141+(IFERROR(IF(9*INDEX('UA-normalized'!$D:$D, MATCH($A141, 'UA-normalized'!$A:$A, 0))-INDEX('UA-normalized'!$E:$E, MATCH($A141, 'UA-normalized'!$A:$A, 0))&gt;0, -(9*INDEX('UA-normalized'!$D:$D, MATCH($A141, 'UA-normalized'!$A:$A, 0))-INDEX('UA-normalized'!$E:$E, MATCH($A141, 'UA-normalized'!$A:$A, 0))), 0), 0))+(IFERROR(IF(9*INDEX('KZ-normalized'!$D:$D, MATCH($A141, 'KZ-normalized'!$A:$A, 0))-INDEX('KZ-normalized'!$E:$E, MATCH($A141, 'KZ-normalized'!$A:$A, 0))&gt;0, -(9*INDEX('KZ-normalized'!$D:$D, MATCH($A141, 'KZ-normalized'!$A:$A, 0))-INDEX('KZ-normalized'!$E:$E, MATCH($A141, 'KZ-normalized'!$A:$A, 0))), 0), 0))+(IFERROR(IF(9*INDEX('UZ-normalized'!$D:$D, MATCH($A141, 'UZ-normalized'!$A:$A, 0))-INDEX('UZ-normalized'!$E:$E, MATCH($A141, 'UZ-normalized'!$A:$A, 0))&gt;0, -(9*INDEX('UZ-normalized'!$D:$D, MATCH($A141, 'UZ-normalized'!$A:$A, 0))-INDEX('UZ-normalized'!$E:$E, MATCH($A141, 'UZ-normalized'!$A:$A, 0))), 0), 0)))</f>
        <v>-683</v>
      </c>
      <c r="X141" s="6">
        <f>MIN(0, N141+(IFERROR(IF(10*INDEX('UA-normalized'!$D:$D, MATCH($A141, 'UA-normalized'!$A:$A, 0))-INDEX('UA-normalized'!$E:$E, MATCH($A141, 'UA-normalized'!$A:$A, 0))&gt;0, -(10*INDEX('UA-normalized'!$D:$D, MATCH($A141, 'UA-normalized'!$A:$A, 0))-INDEX('UA-normalized'!$E:$E, MATCH($A141, 'UA-normalized'!$A:$A, 0))), 0), 0))+(IFERROR(IF(10*INDEX('KZ-normalized'!$D:$D, MATCH($A141, 'KZ-normalized'!$A:$A, 0))-INDEX('KZ-normalized'!$E:$E, MATCH($A141, 'KZ-normalized'!$A:$A, 0))&gt;0, -(10*INDEX('KZ-normalized'!$D:$D, MATCH($A141, 'KZ-normalized'!$A:$A, 0))-INDEX('KZ-normalized'!$E:$E, MATCH($A141, 'KZ-normalized'!$A:$A, 0))), 0), 0))+(IFERROR(IF(10*INDEX('UZ-normalized'!$D:$D, MATCH($A141, 'UZ-normalized'!$A:$A, 0))-INDEX('UZ-normalized'!$E:$E, MATCH($A141, 'UZ-normalized'!$A:$A, 0))&gt;0, -(10*INDEX('UZ-normalized'!$D:$D, MATCH($A141, 'UZ-normalized'!$A:$A, 0))-INDEX('UZ-normalized'!$E:$E, MATCH($A141, 'UZ-normalized'!$A:$A, 0))), 0), 0)))</f>
        <v>-815</v>
      </c>
      <c r="Y141" s="6">
        <f>MIN(0, N141+(IFERROR(IF(11*INDEX('UA-normalized'!$D:$D, MATCH($A141, 'UA-normalized'!$A:$A, 0))-INDEX('UA-normalized'!$E:$E, MATCH($A141, 'UA-normalized'!$A:$A, 0))&gt;0, -(11*INDEX('UA-normalized'!$D:$D, MATCH($A141, 'UA-normalized'!$A:$A, 0))-INDEX('UA-normalized'!$E:$E, MATCH($A141, 'UA-normalized'!$A:$A, 0))), 0), 0))+(IFERROR(IF(11*INDEX('KZ-normalized'!$D:$D, MATCH($A141, 'KZ-normalized'!$A:$A, 0))-INDEX('KZ-normalized'!$E:$E, MATCH($A141, 'KZ-normalized'!$A:$A, 0))&gt;0, -(11*INDEX('KZ-normalized'!$D:$D, MATCH($A141, 'KZ-normalized'!$A:$A, 0))-INDEX('KZ-normalized'!$E:$E, MATCH($A141, 'KZ-normalized'!$A:$A, 0))), 0), 0))+(IFERROR(IF(11*INDEX('UZ-normalized'!$D:$D, MATCH($A141, 'UZ-normalized'!$A:$A, 0))-INDEX('UZ-normalized'!$E:$E, MATCH($A141, 'UZ-normalized'!$A:$A, 0))&gt;0, -(11*INDEX('UZ-normalized'!$D:$D, MATCH($A141, 'UZ-normalized'!$A:$A, 0))-INDEX('UZ-normalized'!$E:$E, MATCH($A141, 'UZ-normalized'!$A:$A, 0))), 0), 0)))</f>
        <v>-947</v>
      </c>
      <c r="Z141" s="6">
        <f>MIN(0, N141+(IFERROR(IF(12*INDEX('UA-normalized'!$D:$D, MATCH($A141, 'UA-normalized'!$A:$A, 0))-INDEX('UA-normalized'!$E:$E, MATCH($A141, 'UA-normalized'!$A:$A, 0))&gt;0, -(12*INDEX('UA-normalized'!$D:$D, MATCH($A141, 'UA-normalized'!$A:$A, 0))-INDEX('UA-normalized'!$E:$E, MATCH($A141, 'UA-normalized'!$A:$A, 0))), 0), 0))+(IFERROR(IF(12*INDEX('KZ-normalized'!$D:$D, MATCH($A141, 'KZ-normalized'!$A:$A, 0))-INDEX('KZ-normalized'!$E:$E, MATCH($A141, 'KZ-normalized'!$A:$A, 0))&gt;0, -(12*INDEX('KZ-normalized'!$D:$D, MATCH($A141, 'KZ-normalized'!$A:$A, 0))-INDEX('KZ-normalized'!$E:$E, MATCH($A141, 'KZ-normalized'!$A:$A, 0))), 0), 0))+(IFERROR(IF(12*INDEX('UZ-normalized'!$D:$D, MATCH($A141, 'UZ-normalized'!$A:$A, 0))-INDEX('UZ-normalized'!$E:$E, MATCH($A141, 'UZ-normalized'!$A:$A, 0))&gt;0, -(12*INDEX('UZ-normalized'!$D:$D, MATCH($A141, 'UZ-normalized'!$A:$A, 0))-INDEX('UZ-normalized'!$E:$E, MATCH($A141, 'UZ-normalized'!$A:$A, 0))), 0), 0)))</f>
        <v>-1079</v>
      </c>
      <c r="AA141" s="6">
        <f>MIN(0, N141+(IFERROR(IF(13*INDEX('UA-normalized'!$D:$D, MATCH($A141, 'UA-normalized'!$A:$A, 0))-INDEX('UA-normalized'!$E:$E, MATCH($A141, 'UA-normalized'!$A:$A, 0))&gt;0, -(13*INDEX('UA-normalized'!$D:$D, MATCH($A141, 'UA-normalized'!$A:$A, 0))-INDEX('UA-normalized'!$E:$E, MATCH($A141, 'UA-normalized'!$A:$A, 0))), 0), 0))+(IFERROR(IF(13*INDEX('KZ-normalized'!$D:$D, MATCH($A141, 'KZ-normalized'!$A:$A, 0))-INDEX('KZ-normalized'!$E:$E, MATCH($A141, 'KZ-normalized'!$A:$A, 0))&gt;0, -(13*INDEX('KZ-normalized'!$D:$D, MATCH($A141, 'KZ-normalized'!$A:$A, 0))-INDEX('KZ-normalized'!$E:$E, MATCH($A141, 'KZ-normalized'!$A:$A, 0))), 0), 0))+(IFERROR(IF(13*INDEX('UZ-normalized'!$D:$D, MATCH($A141, 'UZ-normalized'!$A:$A, 0))-INDEX('UZ-normalized'!$E:$E, MATCH($A141, 'UZ-normalized'!$A:$A, 0))&gt;0, -(13*INDEX('UZ-normalized'!$D:$D, MATCH($A141, 'UZ-normalized'!$A:$A, 0))-INDEX('UZ-normalized'!$E:$E, MATCH($A141, 'UZ-normalized'!$A:$A, 0))), 0), 0)))</f>
        <v>-1211</v>
      </c>
      <c r="AB141" s="6">
        <f>MIN(0, N141+(IFERROR(IF(14*INDEX('UA-normalized'!$D:$D, MATCH($A141, 'UA-normalized'!$A:$A, 0))-INDEX('UA-normalized'!$E:$E, MATCH($A141, 'UA-normalized'!$A:$A, 0))&gt;0, -(14*INDEX('UA-normalized'!$D:$D, MATCH($A141, 'UA-normalized'!$A:$A, 0))-INDEX('UA-normalized'!$E:$E, MATCH($A141, 'UA-normalized'!$A:$A, 0))), 0), 0))+(IFERROR(IF(14*INDEX('KZ-normalized'!$D:$D, MATCH($A141, 'KZ-normalized'!$A:$A, 0))-INDEX('KZ-normalized'!$E:$E, MATCH($A141, 'KZ-normalized'!$A:$A, 0))&gt;0, -(14*INDEX('KZ-normalized'!$D:$D, MATCH($A141, 'KZ-normalized'!$A:$A, 0))-INDEX('KZ-normalized'!$E:$E, MATCH($A141, 'KZ-normalized'!$A:$A, 0))), 0), 0))+(IFERROR(IF(14*INDEX('UZ-normalized'!$D:$D, MATCH($A141, 'UZ-normalized'!$A:$A, 0))-INDEX('UZ-normalized'!$E:$E, MATCH($A141, 'UZ-normalized'!$A:$A, 0))&gt;0, -(14*INDEX('UZ-normalized'!$D:$D, MATCH($A141, 'UZ-normalized'!$A:$A, 0))-INDEX('UZ-normalized'!$E:$E, MATCH($A141, 'UZ-normalized'!$A:$A, 0))), 0), 0)))</f>
        <v>-1343</v>
      </c>
      <c r="AC141" s="6">
        <f>MIN(0, N141+(IFERROR(IF(15*INDEX('UA-normalized'!$D:$D, MATCH($A141, 'UA-normalized'!$A:$A, 0))-INDEX('UA-normalized'!$E:$E, MATCH($A141, 'UA-normalized'!$A:$A, 0))&gt;0, -(15*INDEX('UA-normalized'!$D:$D, MATCH($A141, 'UA-normalized'!$A:$A, 0))-INDEX('UA-normalized'!$E:$E, MATCH($A141, 'UA-normalized'!$A:$A, 0))), 0), 0))+(IFERROR(IF(15*INDEX('KZ-normalized'!$D:$D, MATCH($A141, 'KZ-normalized'!$A:$A, 0))-INDEX('KZ-normalized'!$E:$E, MATCH($A141, 'KZ-normalized'!$A:$A, 0))&gt;0, -(15*INDEX('KZ-normalized'!$D:$D, MATCH($A141, 'KZ-normalized'!$A:$A, 0))-INDEX('KZ-normalized'!$E:$E, MATCH($A141, 'KZ-normalized'!$A:$A, 0))), 0), 0))+(IFERROR(IF(15*INDEX('UZ-normalized'!$D:$D, MATCH($A141, 'UZ-normalized'!$A:$A, 0))-INDEX('UZ-normalized'!$E:$E, MATCH($A141, 'UZ-normalized'!$A:$A, 0))&gt;0, -(15*INDEX('UZ-normalized'!$D:$D, MATCH($A141, 'UZ-normalized'!$A:$A, 0))-INDEX('UZ-normalized'!$E:$E, MATCH($A141, 'UZ-normalized'!$A:$A, 0))), 0), 0)))</f>
        <v>-1475</v>
      </c>
      <c r="AD141" s="6">
        <f>MIN(0, N141+(IFERROR(IF(16*INDEX('UA-normalized'!$D:$D, MATCH($A141, 'UA-normalized'!$A:$A, 0))-INDEX('UA-normalized'!$E:$E, MATCH($A141, 'UA-normalized'!$A:$A, 0))&gt;0, -(16*INDEX('UA-normalized'!$D:$D, MATCH($A141, 'UA-normalized'!$A:$A, 0))-INDEX('UA-normalized'!$E:$E, MATCH($A141, 'UA-normalized'!$A:$A, 0))), 0), 0))+(IFERROR(IF(16*INDEX('KZ-normalized'!$D:$D, MATCH($A141, 'KZ-normalized'!$A:$A, 0))-INDEX('KZ-normalized'!$E:$E, MATCH($A141, 'KZ-normalized'!$A:$A, 0))&gt;0, -(16*INDEX('KZ-normalized'!$D:$D, MATCH($A141, 'KZ-normalized'!$A:$A, 0))-INDEX('KZ-normalized'!$E:$E, MATCH($A141, 'KZ-normalized'!$A:$A, 0))), 0), 0))+(IFERROR(IF(16*INDEX('UZ-normalized'!$D:$D, MATCH($A141, 'UZ-normalized'!$A:$A, 0))-INDEX('UZ-normalized'!$E:$E, MATCH($A141, 'UZ-normalized'!$A:$A, 0))&gt;0, -(16*INDEX('UZ-normalized'!$D:$D, MATCH($A141, 'UZ-normalized'!$A:$A, 0))-INDEX('UZ-normalized'!$E:$E, MATCH($A141, 'UZ-normalized'!$A:$A, 0))), 0), 0)))</f>
        <v>-1607</v>
      </c>
      <c r="AE141" s="6">
        <f>MIN(0, N141+(IFERROR(IF(17*INDEX('UA-normalized'!$D:$D, MATCH($A141, 'UA-normalized'!$A:$A, 0))-INDEX('UA-normalized'!$E:$E, MATCH($A141, 'UA-normalized'!$A:$A, 0))&gt;0, -(17*INDEX('UA-normalized'!$D:$D, MATCH($A141, 'UA-normalized'!$A:$A, 0))-INDEX('UA-normalized'!$E:$E, MATCH($A141, 'UA-normalized'!$A:$A, 0))), 0), 0))+(IFERROR(IF(17*INDEX('KZ-normalized'!$D:$D, MATCH($A141, 'KZ-normalized'!$A:$A, 0))-INDEX('KZ-normalized'!$E:$E, MATCH($A141, 'KZ-normalized'!$A:$A, 0))&gt;0, -(17*INDEX('KZ-normalized'!$D:$D, MATCH($A141, 'KZ-normalized'!$A:$A, 0))-INDEX('KZ-normalized'!$E:$E, MATCH($A141, 'KZ-normalized'!$A:$A, 0))), 0), 0))+(IFERROR(IF(17*INDEX('UZ-normalized'!$D:$D, MATCH($A141, 'UZ-normalized'!$A:$A, 0))-INDEX('UZ-normalized'!$E:$E, MATCH($A141, 'UZ-normalized'!$A:$A, 0))&gt;0, -(17*INDEX('UZ-normalized'!$D:$D, MATCH($A141, 'UZ-normalized'!$A:$A, 0))-INDEX('UZ-normalized'!$E:$E, MATCH($A141, 'UZ-normalized'!$A:$A, 0))), 0), 0)))</f>
        <v>-1739</v>
      </c>
      <c r="AF141" s="6">
        <f>MIN(0, N141+(IFERROR(IF(18*INDEX('UA-normalized'!$D:$D, MATCH($A141, 'UA-normalized'!$A:$A, 0))-INDEX('UA-normalized'!$E:$E, MATCH($A141, 'UA-normalized'!$A:$A, 0))&gt;0, -(18*INDEX('UA-normalized'!$D:$D, MATCH($A141, 'UA-normalized'!$A:$A, 0))-INDEX('UA-normalized'!$E:$E, MATCH($A141, 'UA-normalized'!$A:$A, 0))), 0), 0))+(IFERROR(IF(18*INDEX('KZ-normalized'!$D:$D, MATCH($A141, 'KZ-normalized'!$A:$A, 0))-INDEX('KZ-normalized'!$E:$E, MATCH($A141, 'KZ-normalized'!$A:$A, 0))&gt;0, -(18*INDEX('KZ-normalized'!$D:$D, MATCH($A141, 'KZ-normalized'!$A:$A, 0))-INDEX('KZ-normalized'!$E:$E, MATCH($A141, 'KZ-normalized'!$A:$A, 0))), 0), 0))+(IFERROR(IF(18*INDEX('UZ-normalized'!$D:$D, MATCH($A141, 'UZ-normalized'!$A:$A, 0))-INDEX('UZ-normalized'!$E:$E, MATCH($A141, 'UZ-normalized'!$A:$A, 0))&gt;0, -(18*INDEX('UZ-normalized'!$D:$D, MATCH($A141, 'UZ-normalized'!$A:$A, 0))-INDEX('UZ-normalized'!$E:$E, MATCH($A141, 'UZ-normalized'!$A:$A, 0))), 0), 0)))</f>
        <v>-1871</v>
      </c>
      <c r="AG141" s="6">
        <f>MIN(0, N141+(IFERROR(IF(19*INDEX('UA-normalized'!$D:$D, MATCH($A141, 'UA-normalized'!$A:$A, 0))-INDEX('UA-normalized'!$E:$E, MATCH($A141, 'UA-normalized'!$A:$A, 0))&gt;0, -(19*INDEX('UA-normalized'!$D:$D, MATCH($A141, 'UA-normalized'!$A:$A, 0))-INDEX('UA-normalized'!$E:$E, MATCH($A141, 'UA-normalized'!$A:$A, 0))), 0), 0))+(IFERROR(IF(19*INDEX('KZ-normalized'!$D:$D, MATCH($A141, 'KZ-normalized'!$A:$A, 0))-INDEX('KZ-normalized'!$E:$E, MATCH($A141, 'KZ-normalized'!$A:$A, 0))&gt;0, -(19*INDEX('KZ-normalized'!$D:$D, MATCH($A141, 'KZ-normalized'!$A:$A, 0))-INDEX('KZ-normalized'!$E:$E, MATCH($A141, 'KZ-normalized'!$A:$A, 0))), 0), 0))+(IFERROR(IF(19*INDEX('UZ-normalized'!$D:$D, MATCH($A141, 'UZ-normalized'!$A:$A, 0))-INDEX('UZ-normalized'!$E:$E, MATCH($A141, 'UZ-normalized'!$A:$A, 0))&gt;0, -(19*INDEX('UZ-normalized'!$D:$D, MATCH($A141, 'UZ-normalized'!$A:$A, 0))-INDEX('UZ-normalized'!$E:$E, MATCH($A141, 'UZ-normalized'!$A:$A, 0))), 0), 0)))</f>
        <v>-2003</v>
      </c>
      <c r="AH141" s="6">
        <f>MIN(0, N141+(IFERROR(IF(20*INDEX('UA-normalized'!$D:$D, MATCH($A141, 'UA-normalized'!$A:$A, 0))-INDEX('UA-normalized'!$E:$E, MATCH($A141, 'UA-normalized'!$A:$A, 0))&gt;0, -(20*INDEX('UA-normalized'!$D:$D, MATCH($A141, 'UA-normalized'!$A:$A, 0))-INDEX('UA-normalized'!$E:$E, MATCH($A141, 'UA-normalized'!$A:$A, 0))), 0), 0))+(IFERROR(IF(20*INDEX('KZ-normalized'!$D:$D, MATCH($A141, 'KZ-normalized'!$A:$A, 0))-INDEX('KZ-normalized'!$E:$E, MATCH($A141, 'KZ-normalized'!$A:$A, 0))&gt;0, -(20*INDEX('KZ-normalized'!$D:$D, MATCH($A141, 'KZ-normalized'!$A:$A, 0))-INDEX('KZ-normalized'!$E:$E, MATCH($A141, 'KZ-normalized'!$A:$A, 0))), 0), 0))+(IFERROR(IF(20*INDEX('UZ-normalized'!$D:$D, MATCH($A141, 'UZ-normalized'!$A:$A, 0))-INDEX('UZ-normalized'!$E:$E, MATCH($A141, 'UZ-normalized'!$A:$A, 0))&gt;0, -(20*INDEX('UZ-normalized'!$D:$D, MATCH($A141, 'UZ-normalized'!$A:$A, 0))-INDEX('UZ-normalized'!$E:$E, MATCH($A141, 'UZ-normalized'!$A:$A, 0))), 0), 0)))</f>
        <v>-2135</v>
      </c>
      <c r="AI141" s="6">
        <f>MIN(0, N141+(IFERROR(IF(21*INDEX('UA-normalized'!$D:$D, MATCH($A141, 'UA-normalized'!$A:$A, 0))-INDEX('UA-normalized'!$E:$E, MATCH($A141, 'UA-normalized'!$A:$A, 0))&gt;0, -(21*INDEX('UA-normalized'!$D:$D, MATCH($A141, 'UA-normalized'!$A:$A, 0))-INDEX('UA-normalized'!$E:$E, MATCH($A141, 'UA-normalized'!$A:$A, 0))), 0), 0))+(IFERROR(IF(21*INDEX('KZ-normalized'!$D:$D, MATCH($A141, 'KZ-normalized'!$A:$A, 0))-INDEX('KZ-normalized'!$E:$E, MATCH($A141, 'KZ-normalized'!$A:$A, 0))&gt;0, -(21*INDEX('KZ-normalized'!$D:$D, MATCH($A141, 'KZ-normalized'!$A:$A, 0))-INDEX('KZ-normalized'!$E:$E, MATCH($A141, 'KZ-normalized'!$A:$A, 0))), 0), 0))+(IFERROR(IF(21*INDEX('UZ-normalized'!$D:$D, MATCH($A141, 'UZ-normalized'!$A:$A, 0))-INDEX('UZ-normalized'!$E:$E, MATCH($A141, 'UZ-normalized'!$A:$A, 0))&gt;0, -(21*INDEX('UZ-normalized'!$D:$D, MATCH($A141, 'UZ-normalized'!$A:$A, 0))-INDEX('UZ-normalized'!$E:$E, MATCH($A141, 'UZ-normalized'!$A:$A, 0))), 0), 0)))</f>
        <v>-2267</v>
      </c>
      <c r="AJ141" s="6">
        <f>MIN(0, N141+(IFERROR(IF(22*INDEX('UA-normalized'!$D:$D, MATCH($A141, 'UA-normalized'!$A:$A, 0))-INDEX('UA-normalized'!$E:$E, MATCH($A141, 'UA-normalized'!$A:$A, 0))&gt;0, -(22*INDEX('UA-normalized'!$D:$D, MATCH($A141, 'UA-normalized'!$A:$A, 0))-INDEX('UA-normalized'!$E:$E, MATCH($A141, 'UA-normalized'!$A:$A, 0))), 0), 0))+(IFERROR(IF(22*INDEX('KZ-normalized'!$D:$D, MATCH($A141, 'KZ-normalized'!$A:$A, 0))-INDEX('KZ-normalized'!$E:$E, MATCH($A141, 'KZ-normalized'!$A:$A, 0))&gt;0, -(22*INDEX('KZ-normalized'!$D:$D, MATCH($A141, 'KZ-normalized'!$A:$A, 0))-INDEX('KZ-normalized'!$E:$E, MATCH($A141, 'KZ-normalized'!$A:$A, 0))), 0), 0))+(IFERROR(IF(22*INDEX('UZ-normalized'!$D:$D, MATCH($A141, 'UZ-normalized'!$A:$A, 0))-INDEX('UZ-normalized'!$E:$E, MATCH($A141, 'UZ-normalized'!$A:$A, 0))&gt;0, -(22*INDEX('UZ-normalized'!$D:$D, MATCH($A141, 'UZ-normalized'!$A:$A, 0))-INDEX('UZ-normalized'!$E:$E, MATCH($A141, 'UZ-normalized'!$A:$A, 0))), 0), 0)))</f>
        <v>-2399</v>
      </c>
      <c r="AK141" s="6">
        <f>MIN(0, N141+(IFERROR(IF(23*INDEX('UA-normalized'!$D:$D, MATCH($A141, 'UA-normalized'!$A:$A, 0))-INDEX('UA-normalized'!$E:$E, MATCH($A141, 'UA-normalized'!$A:$A, 0))&gt;0, -(23*INDEX('UA-normalized'!$D:$D, MATCH($A141, 'UA-normalized'!$A:$A, 0))-INDEX('UA-normalized'!$E:$E, MATCH($A141, 'UA-normalized'!$A:$A, 0))), 0), 0))+(IFERROR(IF(23*INDEX('KZ-normalized'!$D:$D, MATCH($A141, 'KZ-normalized'!$A:$A, 0))-INDEX('KZ-normalized'!$E:$E, MATCH($A141, 'KZ-normalized'!$A:$A, 0))&gt;0, -(23*INDEX('KZ-normalized'!$D:$D, MATCH($A141, 'KZ-normalized'!$A:$A, 0))-INDEX('KZ-normalized'!$E:$E, MATCH($A141, 'KZ-normalized'!$A:$A, 0))), 0), 0))+(IFERROR(IF(23*INDEX('UZ-normalized'!$D:$D, MATCH($A141, 'UZ-normalized'!$A:$A, 0))-INDEX('UZ-normalized'!$E:$E, MATCH($A141, 'UZ-normalized'!$A:$A, 0))&gt;0, -(23*INDEX('UZ-normalized'!$D:$D, MATCH($A141, 'UZ-normalized'!$A:$A, 0))-INDEX('UZ-normalized'!$E:$E, MATCH($A141, 'UZ-normalized'!$A:$A, 0))), 0), 0)))</f>
        <v>-2531</v>
      </c>
      <c r="AL141" s="6">
        <f>MIN(0, N141+(IFERROR(IF(24*INDEX('UA-normalized'!$D:$D, MATCH($A141, 'UA-normalized'!$A:$A, 0))-INDEX('UA-normalized'!$E:$E, MATCH($A141, 'UA-normalized'!$A:$A, 0))&gt;0, -(24*INDEX('UA-normalized'!$D:$D, MATCH($A141, 'UA-normalized'!$A:$A, 0))-INDEX('UA-normalized'!$E:$E, MATCH($A141, 'UA-normalized'!$A:$A, 0))), 0), 0))+(IFERROR(IF(24*INDEX('KZ-normalized'!$D:$D, MATCH($A141, 'KZ-normalized'!$A:$A, 0))-INDEX('KZ-normalized'!$E:$E, MATCH($A141, 'KZ-normalized'!$A:$A, 0))&gt;0, -(24*INDEX('KZ-normalized'!$D:$D, MATCH($A141, 'KZ-normalized'!$A:$A, 0))-INDEX('KZ-normalized'!$E:$E, MATCH($A141, 'KZ-normalized'!$A:$A, 0))), 0), 0))+(IFERROR(IF(24*INDEX('UZ-normalized'!$D:$D, MATCH($A141, 'UZ-normalized'!$A:$A, 0))-INDEX('UZ-normalized'!$E:$E, MATCH($A141, 'UZ-normalized'!$A:$A, 0))&gt;0, -(24*INDEX('UZ-normalized'!$D:$D, MATCH($A141, 'UZ-normalized'!$A:$A, 0))-INDEX('UZ-normalized'!$E:$E, MATCH($A141, 'UZ-normalized'!$A:$A, 0))), 0), 0)))</f>
        <v>-2663</v>
      </c>
      <c r="AM141" s="6">
        <f>MIN(0, N141+(IFERROR(IF(25*INDEX('UA-normalized'!$D:$D, MATCH($A141, 'UA-normalized'!$A:$A, 0))-INDEX('UA-normalized'!$E:$E, MATCH($A141, 'UA-normalized'!$A:$A, 0))&gt;0, -(25*INDEX('UA-normalized'!$D:$D, MATCH($A141, 'UA-normalized'!$A:$A, 0))-INDEX('UA-normalized'!$E:$E, MATCH($A141, 'UA-normalized'!$A:$A, 0))), 0), 0))+(IFERROR(IF(25*INDEX('KZ-normalized'!$D:$D, MATCH($A141, 'KZ-normalized'!$A:$A, 0))-INDEX('KZ-normalized'!$E:$E, MATCH($A141, 'KZ-normalized'!$A:$A, 0))&gt;0, -(25*INDEX('KZ-normalized'!$D:$D, MATCH($A141, 'KZ-normalized'!$A:$A, 0))-INDEX('KZ-normalized'!$E:$E, MATCH($A141, 'KZ-normalized'!$A:$A, 0))), 0), 0))+(IFERROR(IF(25*INDEX('UZ-normalized'!$D:$D, MATCH($A141, 'UZ-normalized'!$A:$A, 0))-INDEX('UZ-normalized'!$E:$E, MATCH($A141, 'UZ-normalized'!$A:$A, 0))&gt;0, -(25*INDEX('UZ-normalized'!$D:$D, MATCH($A141, 'UZ-normalized'!$A:$A, 0))-INDEX('UZ-normalized'!$E:$E, MATCH($A141, 'UZ-normalized'!$A:$A, 0))), 0), 0)))</f>
        <v>-2795</v>
      </c>
      <c r="AN141" s="6">
        <f>MIN(0, N141+(IFERROR(IF(26*INDEX('UA-normalized'!$D:$D, MATCH($A141, 'UA-normalized'!$A:$A, 0))-INDEX('UA-normalized'!$E:$E, MATCH($A141, 'UA-normalized'!$A:$A, 0))&gt;0, -(26*INDEX('UA-normalized'!$D:$D, MATCH($A141, 'UA-normalized'!$A:$A, 0))-INDEX('UA-normalized'!$E:$E, MATCH($A141, 'UA-normalized'!$A:$A, 0))), 0), 0))+(IFERROR(IF(26*INDEX('KZ-normalized'!$D:$D, MATCH($A141, 'KZ-normalized'!$A:$A, 0))-INDEX('KZ-normalized'!$E:$E, MATCH($A141, 'KZ-normalized'!$A:$A, 0))&gt;0, -(26*INDEX('KZ-normalized'!$D:$D, MATCH($A141, 'KZ-normalized'!$A:$A, 0))-INDEX('KZ-normalized'!$E:$E, MATCH($A141, 'KZ-normalized'!$A:$A, 0))), 0), 0))+(IFERROR(IF(26*INDEX('UZ-normalized'!$D:$D, MATCH($A141, 'UZ-normalized'!$A:$A, 0))-INDEX('UZ-normalized'!$E:$E, MATCH($A141, 'UZ-normalized'!$A:$A, 0))&gt;0, -(26*INDEX('UZ-normalized'!$D:$D, MATCH($A141, 'UZ-normalized'!$A:$A, 0))-INDEX('UZ-normalized'!$E:$E, MATCH($A141, 'UZ-normalized'!$A:$A, 0))), 0), 0)))</f>
        <v>-2927</v>
      </c>
      <c r="AO141" s="6">
        <f>MIN(0, N141+(IFERROR(IF(27*INDEX('UA-normalized'!$D:$D, MATCH($A141, 'UA-normalized'!$A:$A, 0))-INDEX('UA-normalized'!$E:$E, MATCH($A141, 'UA-normalized'!$A:$A, 0))&gt;0, -(27*INDEX('UA-normalized'!$D:$D, MATCH($A141, 'UA-normalized'!$A:$A, 0))-INDEX('UA-normalized'!$E:$E, MATCH($A141, 'UA-normalized'!$A:$A, 0))), 0), 0))+(IFERROR(IF(27*INDEX('KZ-normalized'!$D:$D, MATCH($A141, 'KZ-normalized'!$A:$A, 0))-INDEX('KZ-normalized'!$E:$E, MATCH($A141, 'KZ-normalized'!$A:$A, 0))&gt;0, -(27*INDEX('KZ-normalized'!$D:$D, MATCH($A141, 'KZ-normalized'!$A:$A, 0))-INDEX('KZ-normalized'!$E:$E, MATCH($A141, 'KZ-normalized'!$A:$A, 0))), 0), 0))+(IFERROR(IF(27*INDEX('UZ-normalized'!$D:$D, MATCH($A141, 'UZ-normalized'!$A:$A, 0))-INDEX('UZ-normalized'!$E:$E, MATCH($A141, 'UZ-normalized'!$A:$A, 0))&gt;0, -(27*INDEX('UZ-normalized'!$D:$D, MATCH($A141, 'UZ-normalized'!$A:$A, 0))-INDEX('UZ-normalized'!$E:$E, MATCH($A141, 'UZ-normalized'!$A:$A, 0))), 0), 0)))</f>
        <v>-3059</v>
      </c>
      <c r="AP141" s="6">
        <f>MIN(0, N141+(IFERROR(IF(28*INDEX('UA-normalized'!$D:$D, MATCH($A141, 'UA-normalized'!$A:$A, 0))-INDEX('UA-normalized'!$E:$E, MATCH($A141, 'UA-normalized'!$A:$A, 0))&gt;0, -(28*INDEX('UA-normalized'!$D:$D, MATCH($A141, 'UA-normalized'!$A:$A, 0))-INDEX('UA-normalized'!$E:$E, MATCH($A141, 'UA-normalized'!$A:$A, 0))), 0), 0))+(IFERROR(IF(28*INDEX('KZ-normalized'!$D:$D, MATCH($A141, 'KZ-normalized'!$A:$A, 0))-INDEX('KZ-normalized'!$E:$E, MATCH($A141, 'KZ-normalized'!$A:$A, 0))&gt;0, -(28*INDEX('KZ-normalized'!$D:$D, MATCH($A141, 'KZ-normalized'!$A:$A, 0))-INDEX('KZ-normalized'!$E:$E, MATCH($A141, 'KZ-normalized'!$A:$A, 0))), 0), 0))+(IFERROR(IF(28*INDEX('UZ-normalized'!$D:$D, MATCH($A141, 'UZ-normalized'!$A:$A, 0))-INDEX('UZ-normalized'!$E:$E, MATCH($A141, 'UZ-normalized'!$A:$A, 0))&gt;0, -(28*INDEX('UZ-normalized'!$D:$D, MATCH($A141, 'UZ-normalized'!$A:$A, 0))-INDEX('UZ-normalized'!$E:$E, MATCH($A141, 'UZ-normalized'!$A:$A, 0))), 0), 0)))</f>
        <v>-3191</v>
      </c>
      <c r="AQ141" s="6">
        <f>MIN(0, N141+(IFERROR(IF(29*INDEX('UA-normalized'!$D:$D, MATCH($A141, 'UA-normalized'!$A:$A, 0))-INDEX('UA-normalized'!$E:$E, MATCH($A141, 'UA-normalized'!$A:$A, 0))&gt;0, -(29*INDEX('UA-normalized'!$D:$D, MATCH($A141, 'UA-normalized'!$A:$A, 0))-INDEX('UA-normalized'!$E:$E, MATCH($A141, 'UA-normalized'!$A:$A, 0))), 0), 0))+(IFERROR(IF(29*INDEX('KZ-normalized'!$D:$D, MATCH($A141, 'KZ-normalized'!$A:$A, 0))-INDEX('KZ-normalized'!$E:$E, MATCH($A141, 'KZ-normalized'!$A:$A, 0))&gt;0, -(29*INDEX('KZ-normalized'!$D:$D, MATCH($A141, 'KZ-normalized'!$A:$A, 0))-INDEX('KZ-normalized'!$E:$E, MATCH($A141, 'KZ-normalized'!$A:$A, 0))), 0), 0))+(IFERROR(IF(29*INDEX('UZ-normalized'!$D:$D, MATCH($A141, 'UZ-normalized'!$A:$A, 0))-INDEX('UZ-normalized'!$E:$E, MATCH($A141, 'UZ-normalized'!$A:$A, 0))&gt;0, -(29*INDEX('UZ-normalized'!$D:$D, MATCH($A141, 'UZ-normalized'!$A:$A, 0))-INDEX('UZ-normalized'!$E:$E, MATCH($A141, 'UZ-normalized'!$A:$A, 0))), 0), 0)))</f>
        <v>-3323</v>
      </c>
      <c r="AR141" s="6">
        <f>MIN(0, N141+(IFERROR(IF(30*INDEX('UA-normalized'!$D:$D, MATCH($A141, 'UA-normalized'!$A:$A, 0))-INDEX('UA-normalized'!$E:$E, MATCH($A141, 'UA-normalized'!$A:$A, 0))&gt;0, -(30*INDEX('UA-normalized'!$D:$D, MATCH($A141, 'UA-normalized'!$A:$A, 0))-INDEX('UA-normalized'!$E:$E, MATCH($A141, 'UA-normalized'!$A:$A, 0))), 0), 0))+(IFERROR(IF(30*INDEX('KZ-normalized'!$D:$D, MATCH($A141, 'KZ-normalized'!$A:$A, 0))-INDEX('KZ-normalized'!$E:$E, MATCH($A141, 'KZ-normalized'!$A:$A, 0))&gt;0, -(30*INDEX('KZ-normalized'!$D:$D, MATCH($A141, 'KZ-normalized'!$A:$A, 0))-INDEX('KZ-normalized'!$E:$E, MATCH($A141, 'KZ-normalized'!$A:$A, 0))), 0), 0))+(IFERROR(IF(30*INDEX('UZ-normalized'!$D:$D, MATCH($A141, 'UZ-normalized'!$A:$A, 0))-INDEX('UZ-normalized'!$E:$E, MATCH($A141, 'UZ-normalized'!$A:$A, 0))&gt;0, -(30*INDEX('UZ-normalized'!$D:$D, MATCH($A141, 'UZ-normalized'!$A:$A, 0))-INDEX('UZ-normalized'!$E:$E, MATCH($A141, 'UZ-normalized'!$A:$A, 0))), 0), 0)))</f>
        <v>-3455</v>
      </c>
    </row>
    <row r="142" spans="1:44" x14ac:dyDescent="0.25">
      <c r="A142" s="8" t="s">
        <v>345</v>
      </c>
      <c r="B142" s="8" t="s">
        <v>336</v>
      </c>
      <c r="C142" s="8" t="s">
        <v>337</v>
      </c>
      <c r="D142" s="8" t="s">
        <v>346</v>
      </c>
      <c r="N142">
        <f t="shared" si="2"/>
        <v>0</v>
      </c>
      <c r="O142" s="6">
        <f>MIN(0, N142+(IFERROR(IF(1*INDEX('UA-normalized'!$D:$D, MATCH($A142, 'UA-normalized'!$A:$A, 0))-INDEX('UA-normalized'!$E:$E, MATCH($A142, 'UA-normalized'!$A:$A, 0))&gt;0, -(1*INDEX('UA-normalized'!$D:$D, MATCH($A142, 'UA-normalized'!$A:$A, 0))-INDEX('UA-normalized'!$E:$E, MATCH($A142, 'UA-normalized'!$A:$A, 0))), 0), 0))+(IFERROR(IF(1*INDEX('KZ-normalized'!$D:$D, MATCH($A142, 'KZ-normalized'!$A:$A, 0))-INDEX('KZ-normalized'!$E:$E, MATCH($A142, 'KZ-normalized'!$A:$A, 0))&gt;0, -(1*INDEX('KZ-normalized'!$D:$D, MATCH($A142, 'KZ-normalized'!$A:$A, 0))-INDEX('KZ-normalized'!$E:$E, MATCH($A142, 'KZ-normalized'!$A:$A, 0))), 0), 0))+(IFERROR(IF(1*INDEX('UZ-normalized'!$D:$D, MATCH($A142, 'UZ-normalized'!$A:$A, 0))-INDEX('UZ-normalized'!$E:$E, MATCH($A142, 'UZ-normalized'!$A:$A, 0))&gt;0, -(1*INDEX('UZ-normalized'!$D:$D, MATCH($A142, 'UZ-normalized'!$A:$A, 0))-INDEX('UZ-normalized'!$E:$E, MATCH($A142, 'UZ-normalized'!$A:$A, 0))), 0), 0)))</f>
        <v>0</v>
      </c>
      <c r="P142" s="6">
        <f>MIN(0, N142+(IFERROR(IF(2*INDEX('UA-normalized'!$D:$D, MATCH($A142, 'UA-normalized'!$A:$A, 0))-INDEX('UA-normalized'!$E:$E, MATCH($A142, 'UA-normalized'!$A:$A, 0))&gt;0, -(2*INDEX('UA-normalized'!$D:$D, MATCH($A142, 'UA-normalized'!$A:$A, 0))-INDEX('UA-normalized'!$E:$E, MATCH($A142, 'UA-normalized'!$A:$A, 0))), 0), 0))+(IFERROR(IF(2*INDEX('KZ-normalized'!$D:$D, MATCH($A142, 'KZ-normalized'!$A:$A, 0))-INDEX('KZ-normalized'!$E:$E, MATCH($A142, 'KZ-normalized'!$A:$A, 0))&gt;0, -(2*INDEX('KZ-normalized'!$D:$D, MATCH($A142, 'KZ-normalized'!$A:$A, 0))-INDEX('KZ-normalized'!$E:$E, MATCH($A142, 'KZ-normalized'!$A:$A, 0))), 0), 0))+(IFERROR(IF(2*INDEX('UZ-normalized'!$D:$D, MATCH($A142, 'UZ-normalized'!$A:$A, 0))-INDEX('UZ-normalized'!$E:$E, MATCH($A142, 'UZ-normalized'!$A:$A, 0))&gt;0, -(2*INDEX('UZ-normalized'!$D:$D, MATCH($A142, 'UZ-normalized'!$A:$A, 0))-INDEX('UZ-normalized'!$E:$E, MATCH($A142, 'UZ-normalized'!$A:$A, 0))), 0), 0)))</f>
        <v>0</v>
      </c>
      <c r="Q142" s="6">
        <f>MIN(0, N142+(IFERROR(IF(3*INDEX('UA-normalized'!$D:$D, MATCH($A142, 'UA-normalized'!$A:$A, 0))-INDEX('UA-normalized'!$E:$E, MATCH($A142, 'UA-normalized'!$A:$A, 0))&gt;0, -(3*INDEX('UA-normalized'!$D:$D, MATCH($A142, 'UA-normalized'!$A:$A, 0))-INDEX('UA-normalized'!$E:$E, MATCH($A142, 'UA-normalized'!$A:$A, 0))), 0), 0))+(IFERROR(IF(3*INDEX('KZ-normalized'!$D:$D, MATCH($A142, 'KZ-normalized'!$A:$A, 0))-INDEX('KZ-normalized'!$E:$E, MATCH($A142, 'KZ-normalized'!$A:$A, 0))&gt;0, -(3*INDEX('KZ-normalized'!$D:$D, MATCH($A142, 'KZ-normalized'!$A:$A, 0))-INDEX('KZ-normalized'!$E:$E, MATCH($A142, 'KZ-normalized'!$A:$A, 0))), 0), 0))+(IFERROR(IF(3*INDEX('UZ-normalized'!$D:$D, MATCH($A142, 'UZ-normalized'!$A:$A, 0))-INDEX('UZ-normalized'!$E:$E, MATCH($A142, 'UZ-normalized'!$A:$A, 0))&gt;0, -(3*INDEX('UZ-normalized'!$D:$D, MATCH($A142, 'UZ-normalized'!$A:$A, 0))-INDEX('UZ-normalized'!$E:$E, MATCH($A142, 'UZ-normalized'!$A:$A, 0))), 0), 0)))</f>
        <v>0</v>
      </c>
      <c r="R142" s="6">
        <f>MIN(0, N142+(IFERROR(IF(4*INDEX('UA-normalized'!$D:$D, MATCH($A142, 'UA-normalized'!$A:$A, 0))-INDEX('UA-normalized'!$E:$E, MATCH($A142, 'UA-normalized'!$A:$A, 0))&gt;0, -(4*INDEX('UA-normalized'!$D:$D, MATCH($A142, 'UA-normalized'!$A:$A, 0))-INDEX('UA-normalized'!$E:$E, MATCH($A142, 'UA-normalized'!$A:$A, 0))), 0), 0))+(IFERROR(IF(4*INDEX('KZ-normalized'!$D:$D, MATCH($A142, 'KZ-normalized'!$A:$A, 0))-INDEX('KZ-normalized'!$E:$E, MATCH($A142, 'KZ-normalized'!$A:$A, 0))&gt;0, -(4*INDEX('KZ-normalized'!$D:$D, MATCH($A142, 'KZ-normalized'!$A:$A, 0))-INDEX('KZ-normalized'!$E:$E, MATCH($A142, 'KZ-normalized'!$A:$A, 0))), 0), 0))+(IFERROR(IF(4*INDEX('UZ-normalized'!$D:$D, MATCH($A142, 'UZ-normalized'!$A:$A, 0))-INDEX('UZ-normalized'!$E:$E, MATCH($A142, 'UZ-normalized'!$A:$A, 0))&gt;0, -(4*INDEX('UZ-normalized'!$D:$D, MATCH($A142, 'UZ-normalized'!$A:$A, 0))-INDEX('UZ-normalized'!$E:$E, MATCH($A142, 'UZ-normalized'!$A:$A, 0))), 0), 0)))</f>
        <v>0</v>
      </c>
      <c r="S142" s="6">
        <f>MIN(0, N142+(IFERROR(IF(5*INDEX('UA-normalized'!$D:$D, MATCH($A142, 'UA-normalized'!$A:$A, 0))-INDEX('UA-normalized'!$E:$E, MATCH($A142, 'UA-normalized'!$A:$A, 0))&gt;0, -(5*INDEX('UA-normalized'!$D:$D, MATCH($A142, 'UA-normalized'!$A:$A, 0))-INDEX('UA-normalized'!$E:$E, MATCH($A142, 'UA-normalized'!$A:$A, 0))), 0), 0))+(IFERROR(IF(5*INDEX('KZ-normalized'!$D:$D, MATCH($A142, 'KZ-normalized'!$A:$A, 0))-INDEX('KZ-normalized'!$E:$E, MATCH($A142, 'KZ-normalized'!$A:$A, 0))&gt;0, -(5*INDEX('KZ-normalized'!$D:$D, MATCH($A142, 'KZ-normalized'!$A:$A, 0))-INDEX('KZ-normalized'!$E:$E, MATCH($A142, 'KZ-normalized'!$A:$A, 0))), 0), 0))+(IFERROR(IF(5*INDEX('UZ-normalized'!$D:$D, MATCH($A142, 'UZ-normalized'!$A:$A, 0))-INDEX('UZ-normalized'!$E:$E, MATCH($A142, 'UZ-normalized'!$A:$A, 0))&gt;0, -(5*INDEX('UZ-normalized'!$D:$D, MATCH($A142, 'UZ-normalized'!$A:$A, 0))-INDEX('UZ-normalized'!$E:$E, MATCH($A142, 'UZ-normalized'!$A:$A, 0))), 0), 0)))</f>
        <v>0</v>
      </c>
      <c r="T142" s="6">
        <f>MIN(0, N142+(IFERROR(IF(6*INDEX('UA-normalized'!$D:$D, MATCH($A142, 'UA-normalized'!$A:$A, 0))-INDEX('UA-normalized'!$E:$E, MATCH($A142, 'UA-normalized'!$A:$A, 0))&gt;0, -(6*INDEX('UA-normalized'!$D:$D, MATCH($A142, 'UA-normalized'!$A:$A, 0))-INDEX('UA-normalized'!$E:$E, MATCH($A142, 'UA-normalized'!$A:$A, 0))), 0), 0))+(IFERROR(IF(6*INDEX('KZ-normalized'!$D:$D, MATCH($A142, 'KZ-normalized'!$A:$A, 0))-INDEX('KZ-normalized'!$E:$E, MATCH($A142, 'KZ-normalized'!$A:$A, 0))&gt;0, -(6*INDEX('KZ-normalized'!$D:$D, MATCH($A142, 'KZ-normalized'!$A:$A, 0))-INDEX('KZ-normalized'!$E:$E, MATCH($A142, 'KZ-normalized'!$A:$A, 0))), 0), 0))+(IFERROR(IF(6*INDEX('UZ-normalized'!$D:$D, MATCH($A142, 'UZ-normalized'!$A:$A, 0))-INDEX('UZ-normalized'!$E:$E, MATCH($A142, 'UZ-normalized'!$A:$A, 0))&gt;0, -(6*INDEX('UZ-normalized'!$D:$D, MATCH($A142, 'UZ-normalized'!$A:$A, 0))-INDEX('UZ-normalized'!$E:$E, MATCH($A142, 'UZ-normalized'!$A:$A, 0))), 0), 0)))</f>
        <v>0</v>
      </c>
      <c r="U142" s="6">
        <f>MIN(0, N142+(IFERROR(IF(7*INDEX('UA-normalized'!$D:$D, MATCH($A142, 'UA-normalized'!$A:$A, 0))-INDEX('UA-normalized'!$E:$E, MATCH($A142, 'UA-normalized'!$A:$A, 0))&gt;0, -(7*INDEX('UA-normalized'!$D:$D, MATCH($A142, 'UA-normalized'!$A:$A, 0))-INDEX('UA-normalized'!$E:$E, MATCH($A142, 'UA-normalized'!$A:$A, 0))), 0), 0))+(IFERROR(IF(7*INDEX('KZ-normalized'!$D:$D, MATCH($A142, 'KZ-normalized'!$A:$A, 0))-INDEX('KZ-normalized'!$E:$E, MATCH($A142, 'KZ-normalized'!$A:$A, 0))&gt;0, -(7*INDEX('KZ-normalized'!$D:$D, MATCH($A142, 'KZ-normalized'!$A:$A, 0))-INDEX('KZ-normalized'!$E:$E, MATCH($A142, 'KZ-normalized'!$A:$A, 0))), 0), 0))+(IFERROR(IF(7*INDEX('UZ-normalized'!$D:$D, MATCH($A142, 'UZ-normalized'!$A:$A, 0))-INDEX('UZ-normalized'!$E:$E, MATCH($A142, 'UZ-normalized'!$A:$A, 0))&gt;0, -(7*INDEX('UZ-normalized'!$D:$D, MATCH($A142, 'UZ-normalized'!$A:$A, 0))-INDEX('UZ-normalized'!$E:$E, MATCH($A142, 'UZ-normalized'!$A:$A, 0))), 0), 0)))</f>
        <v>-31</v>
      </c>
      <c r="V142" s="6">
        <f>MIN(0, N142+(IFERROR(IF(8*INDEX('UA-normalized'!$D:$D, MATCH($A142, 'UA-normalized'!$A:$A, 0))-INDEX('UA-normalized'!$E:$E, MATCH($A142, 'UA-normalized'!$A:$A, 0))&gt;0, -(8*INDEX('UA-normalized'!$D:$D, MATCH($A142, 'UA-normalized'!$A:$A, 0))-INDEX('UA-normalized'!$E:$E, MATCH($A142, 'UA-normalized'!$A:$A, 0))), 0), 0))+(IFERROR(IF(8*INDEX('KZ-normalized'!$D:$D, MATCH($A142, 'KZ-normalized'!$A:$A, 0))-INDEX('KZ-normalized'!$E:$E, MATCH($A142, 'KZ-normalized'!$A:$A, 0))&gt;0, -(8*INDEX('KZ-normalized'!$D:$D, MATCH($A142, 'KZ-normalized'!$A:$A, 0))-INDEX('KZ-normalized'!$E:$E, MATCH($A142, 'KZ-normalized'!$A:$A, 0))), 0), 0))+(IFERROR(IF(8*INDEX('UZ-normalized'!$D:$D, MATCH($A142, 'UZ-normalized'!$A:$A, 0))-INDEX('UZ-normalized'!$E:$E, MATCH($A142, 'UZ-normalized'!$A:$A, 0))&gt;0, -(8*INDEX('UZ-normalized'!$D:$D, MATCH($A142, 'UZ-normalized'!$A:$A, 0))-INDEX('UZ-normalized'!$E:$E, MATCH($A142, 'UZ-normalized'!$A:$A, 0))), 0), 0)))</f>
        <v>-111</v>
      </c>
      <c r="W142" s="6">
        <f>MIN(0, N142+(IFERROR(IF(9*INDEX('UA-normalized'!$D:$D, MATCH($A142, 'UA-normalized'!$A:$A, 0))-INDEX('UA-normalized'!$E:$E, MATCH($A142, 'UA-normalized'!$A:$A, 0))&gt;0, -(9*INDEX('UA-normalized'!$D:$D, MATCH($A142, 'UA-normalized'!$A:$A, 0))-INDEX('UA-normalized'!$E:$E, MATCH($A142, 'UA-normalized'!$A:$A, 0))), 0), 0))+(IFERROR(IF(9*INDEX('KZ-normalized'!$D:$D, MATCH($A142, 'KZ-normalized'!$A:$A, 0))-INDEX('KZ-normalized'!$E:$E, MATCH($A142, 'KZ-normalized'!$A:$A, 0))&gt;0, -(9*INDEX('KZ-normalized'!$D:$D, MATCH($A142, 'KZ-normalized'!$A:$A, 0))-INDEX('KZ-normalized'!$E:$E, MATCH($A142, 'KZ-normalized'!$A:$A, 0))), 0), 0))+(IFERROR(IF(9*INDEX('UZ-normalized'!$D:$D, MATCH($A142, 'UZ-normalized'!$A:$A, 0))-INDEX('UZ-normalized'!$E:$E, MATCH($A142, 'UZ-normalized'!$A:$A, 0))&gt;0, -(9*INDEX('UZ-normalized'!$D:$D, MATCH($A142, 'UZ-normalized'!$A:$A, 0))-INDEX('UZ-normalized'!$E:$E, MATCH($A142, 'UZ-normalized'!$A:$A, 0))), 0), 0)))</f>
        <v>-191</v>
      </c>
      <c r="X142" s="6">
        <f>MIN(0, N142+(IFERROR(IF(10*INDEX('UA-normalized'!$D:$D, MATCH($A142, 'UA-normalized'!$A:$A, 0))-INDEX('UA-normalized'!$E:$E, MATCH($A142, 'UA-normalized'!$A:$A, 0))&gt;0, -(10*INDEX('UA-normalized'!$D:$D, MATCH($A142, 'UA-normalized'!$A:$A, 0))-INDEX('UA-normalized'!$E:$E, MATCH($A142, 'UA-normalized'!$A:$A, 0))), 0), 0))+(IFERROR(IF(10*INDEX('KZ-normalized'!$D:$D, MATCH($A142, 'KZ-normalized'!$A:$A, 0))-INDEX('KZ-normalized'!$E:$E, MATCH($A142, 'KZ-normalized'!$A:$A, 0))&gt;0, -(10*INDEX('KZ-normalized'!$D:$D, MATCH($A142, 'KZ-normalized'!$A:$A, 0))-INDEX('KZ-normalized'!$E:$E, MATCH($A142, 'KZ-normalized'!$A:$A, 0))), 0), 0))+(IFERROR(IF(10*INDEX('UZ-normalized'!$D:$D, MATCH($A142, 'UZ-normalized'!$A:$A, 0))-INDEX('UZ-normalized'!$E:$E, MATCH($A142, 'UZ-normalized'!$A:$A, 0))&gt;0, -(10*INDEX('UZ-normalized'!$D:$D, MATCH($A142, 'UZ-normalized'!$A:$A, 0))-INDEX('UZ-normalized'!$E:$E, MATCH($A142, 'UZ-normalized'!$A:$A, 0))), 0), 0)))</f>
        <v>-271</v>
      </c>
      <c r="Y142" s="6">
        <f>MIN(0, N142+(IFERROR(IF(11*INDEX('UA-normalized'!$D:$D, MATCH($A142, 'UA-normalized'!$A:$A, 0))-INDEX('UA-normalized'!$E:$E, MATCH($A142, 'UA-normalized'!$A:$A, 0))&gt;0, -(11*INDEX('UA-normalized'!$D:$D, MATCH($A142, 'UA-normalized'!$A:$A, 0))-INDEX('UA-normalized'!$E:$E, MATCH($A142, 'UA-normalized'!$A:$A, 0))), 0), 0))+(IFERROR(IF(11*INDEX('KZ-normalized'!$D:$D, MATCH($A142, 'KZ-normalized'!$A:$A, 0))-INDEX('KZ-normalized'!$E:$E, MATCH($A142, 'KZ-normalized'!$A:$A, 0))&gt;0, -(11*INDEX('KZ-normalized'!$D:$D, MATCH($A142, 'KZ-normalized'!$A:$A, 0))-INDEX('KZ-normalized'!$E:$E, MATCH($A142, 'KZ-normalized'!$A:$A, 0))), 0), 0))+(IFERROR(IF(11*INDEX('UZ-normalized'!$D:$D, MATCH($A142, 'UZ-normalized'!$A:$A, 0))-INDEX('UZ-normalized'!$E:$E, MATCH($A142, 'UZ-normalized'!$A:$A, 0))&gt;0, -(11*INDEX('UZ-normalized'!$D:$D, MATCH($A142, 'UZ-normalized'!$A:$A, 0))-INDEX('UZ-normalized'!$E:$E, MATCH($A142, 'UZ-normalized'!$A:$A, 0))), 0), 0)))</f>
        <v>-351</v>
      </c>
      <c r="Z142" s="6">
        <f>MIN(0, N142+(IFERROR(IF(12*INDEX('UA-normalized'!$D:$D, MATCH($A142, 'UA-normalized'!$A:$A, 0))-INDEX('UA-normalized'!$E:$E, MATCH($A142, 'UA-normalized'!$A:$A, 0))&gt;0, -(12*INDEX('UA-normalized'!$D:$D, MATCH($A142, 'UA-normalized'!$A:$A, 0))-INDEX('UA-normalized'!$E:$E, MATCH($A142, 'UA-normalized'!$A:$A, 0))), 0), 0))+(IFERROR(IF(12*INDEX('KZ-normalized'!$D:$D, MATCH($A142, 'KZ-normalized'!$A:$A, 0))-INDEX('KZ-normalized'!$E:$E, MATCH($A142, 'KZ-normalized'!$A:$A, 0))&gt;0, -(12*INDEX('KZ-normalized'!$D:$D, MATCH($A142, 'KZ-normalized'!$A:$A, 0))-INDEX('KZ-normalized'!$E:$E, MATCH($A142, 'KZ-normalized'!$A:$A, 0))), 0), 0))+(IFERROR(IF(12*INDEX('UZ-normalized'!$D:$D, MATCH($A142, 'UZ-normalized'!$A:$A, 0))-INDEX('UZ-normalized'!$E:$E, MATCH($A142, 'UZ-normalized'!$A:$A, 0))&gt;0, -(12*INDEX('UZ-normalized'!$D:$D, MATCH($A142, 'UZ-normalized'!$A:$A, 0))-INDEX('UZ-normalized'!$E:$E, MATCH($A142, 'UZ-normalized'!$A:$A, 0))), 0), 0)))</f>
        <v>-431</v>
      </c>
      <c r="AA142" s="6">
        <f>MIN(0, N142+(IFERROR(IF(13*INDEX('UA-normalized'!$D:$D, MATCH($A142, 'UA-normalized'!$A:$A, 0))-INDEX('UA-normalized'!$E:$E, MATCH($A142, 'UA-normalized'!$A:$A, 0))&gt;0, -(13*INDEX('UA-normalized'!$D:$D, MATCH($A142, 'UA-normalized'!$A:$A, 0))-INDEX('UA-normalized'!$E:$E, MATCH($A142, 'UA-normalized'!$A:$A, 0))), 0), 0))+(IFERROR(IF(13*INDEX('KZ-normalized'!$D:$D, MATCH($A142, 'KZ-normalized'!$A:$A, 0))-INDEX('KZ-normalized'!$E:$E, MATCH($A142, 'KZ-normalized'!$A:$A, 0))&gt;0, -(13*INDEX('KZ-normalized'!$D:$D, MATCH($A142, 'KZ-normalized'!$A:$A, 0))-INDEX('KZ-normalized'!$E:$E, MATCH($A142, 'KZ-normalized'!$A:$A, 0))), 0), 0))+(IFERROR(IF(13*INDEX('UZ-normalized'!$D:$D, MATCH($A142, 'UZ-normalized'!$A:$A, 0))-INDEX('UZ-normalized'!$E:$E, MATCH($A142, 'UZ-normalized'!$A:$A, 0))&gt;0, -(13*INDEX('UZ-normalized'!$D:$D, MATCH($A142, 'UZ-normalized'!$A:$A, 0))-INDEX('UZ-normalized'!$E:$E, MATCH($A142, 'UZ-normalized'!$A:$A, 0))), 0), 0)))</f>
        <v>-511</v>
      </c>
      <c r="AB142" s="6">
        <f>MIN(0, N142+(IFERROR(IF(14*INDEX('UA-normalized'!$D:$D, MATCH($A142, 'UA-normalized'!$A:$A, 0))-INDEX('UA-normalized'!$E:$E, MATCH($A142, 'UA-normalized'!$A:$A, 0))&gt;0, -(14*INDEX('UA-normalized'!$D:$D, MATCH($A142, 'UA-normalized'!$A:$A, 0))-INDEX('UA-normalized'!$E:$E, MATCH($A142, 'UA-normalized'!$A:$A, 0))), 0), 0))+(IFERROR(IF(14*INDEX('KZ-normalized'!$D:$D, MATCH($A142, 'KZ-normalized'!$A:$A, 0))-INDEX('KZ-normalized'!$E:$E, MATCH($A142, 'KZ-normalized'!$A:$A, 0))&gt;0, -(14*INDEX('KZ-normalized'!$D:$D, MATCH($A142, 'KZ-normalized'!$A:$A, 0))-INDEX('KZ-normalized'!$E:$E, MATCH($A142, 'KZ-normalized'!$A:$A, 0))), 0), 0))+(IFERROR(IF(14*INDEX('UZ-normalized'!$D:$D, MATCH($A142, 'UZ-normalized'!$A:$A, 0))-INDEX('UZ-normalized'!$E:$E, MATCH($A142, 'UZ-normalized'!$A:$A, 0))&gt;0, -(14*INDEX('UZ-normalized'!$D:$D, MATCH($A142, 'UZ-normalized'!$A:$A, 0))-INDEX('UZ-normalized'!$E:$E, MATCH($A142, 'UZ-normalized'!$A:$A, 0))), 0), 0)))</f>
        <v>-591</v>
      </c>
      <c r="AC142" s="6">
        <f>MIN(0, N142+(IFERROR(IF(15*INDEX('UA-normalized'!$D:$D, MATCH($A142, 'UA-normalized'!$A:$A, 0))-INDEX('UA-normalized'!$E:$E, MATCH($A142, 'UA-normalized'!$A:$A, 0))&gt;0, -(15*INDEX('UA-normalized'!$D:$D, MATCH($A142, 'UA-normalized'!$A:$A, 0))-INDEX('UA-normalized'!$E:$E, MATCH($A142, 'UA-normalized'!$A:$A, 0))), 0), 0))+(IFERROR(IF(15*INDEX('KZ-normalized'!$D:$D, MATCH($A142, 'KZ-normalized'!$A:$A, 0))-INDEX('KZ-normalized'!$E:$E, MATCH($A142, 'KZ-normalized'!$A:$A, 0))&gt;0, -(15*INDEX('KZ-normalized'!$D:$D, MATCH($A142, 'KZ-normalized'!$A:$A, 0))-INDEX('KZ-normalized'!$E:$E, MATCH($A142, 'KZ-normalized'!$A:$A, 0))), 0), 0))+(IFERROR(IF(15*INDEX('UZ-normalized'!$D:$D, MATCH($A142, 'UZ-normalized'!$A:$A, 0))-INDEX('UZ-normalized'!$E:$E, MATCH($A142, 'UZ-normalized'!$A:$A, 0))&gt;0, -(15*INDEX('UZ-normalized'!$D:$D, MATCH($A142, 'UZ-normalized'!$A:$A, 0))-INDEX('UZ-normalized'!$E:$E, MATCH($A142, 'UZ-normalized'!$A:$A, 0))), 0), 0)))</f>
        <v>-671</v>
      </c>
      <c r="AD142" s="6">
        <f>MIN(0, N142+(IFERROR(IF(16*INDEX('UA-normalized'!$D:$D, MATCH($A142, 'UA-normalized'!$A:$A, 0))-INDEX('UA-normalized'!$E:$E, MATCH($A142, 'UA-normalized'!$A:$A, 0))&gt;0, -(16*INDEX('UA-normalized'!$D:$D, MATCH($A142, 'UA-normalized'!$A:$A, 0))-INDEX('UA-normalized'!$E:$E, MATCH($A142, 'UA-normalized'!$A:$A, 0))), 0), 0))+(IFERROR(IF(16*INDEX('KZ-normalized'!$D:$D, MATCH($A142, 'KZ-normalized'!$A:$A, 0))-INDEX('KZ-normalized'!$E:$E, MATCH($A142, 'KZ-normalized'!$A:$A, 0))&gt;0, -(16*INDEX('KZ-normalized'!$D:$D, MATCH($A142, 'KZ-normalized'!$A:$A, 0))-INDEX('KZ-normalized'!$E:$E, MATCH($A142, 'KZ-normalized'!$A:$A, 0))), 0), 0))+(IFERROR(IF(16*INDEX('UZ-normalized'!$D:$D, MATCH($A142, 'UZ-normalized'!$A:$A, 0))-INDEX('UZ-normalized'!$E:$E, MATCH($A142, 'UZ-normalized'!$A:$A, 0))&gt;0, -(16*INDEX('UZ-normalized'!$D:$D, MATCH($A142, 'UZ-normalized'!$A:$A, 0))-INDEX('UZ-normalized'!$E:$E, MATCH($A142, 'UZ-normalized'!$A:$A, 0))), 0), 0)))</f>
        <v>-751</v>
      </c>
      <c r="AE142" s="6">
        <f>MIN(0, N142+(IFERROR(IF(17*INDEX('UA-normalized'!$D:$D, MATCH($A142, 'UA-normalized'!$A:$A, 0))-INDEX('UA-normalized'!$E:$E, MATCH($A142, 'UA-normalized'!$A:$A, 0))&gt;0, -(17*INDEX('UA-normalized'!$D:$D, MATCH($A142, 'UA-normalized'!$A:$A, 0))-INDEX('UA-normalized'!$E:$E, MATCH($A142, 'UA-normalized'!$A:$A, 0))), 0), 0))+(IFERROR(IF(17*INDEX('KZ-normalized'!$D:$D, MATCH($A142, 'KZ-normalized'!$A:$A, 0))-INDEX('KZ-normalized'!$E:$E, MATCH($A142, 'KZ-normalized'!$A:$A, 0))&gt;0, -(17*INDEX('KZ-normalized'!$D:$D, MATCH($A142, 'KZ-normalized'!$A:$A, 0))-INDEX('KZ-normalized'!$E:$E, MATCH($A142, 'KZ-normalized'!$A:$A, 0))), 0), 0))+(IFERROR(IF(17*INDEX('UZ-normalized'!$D:$D, MATCH($A142, 'UZ-normalized'!$A:$A, 0))-INDEX('UZ-normalized'!$E:$E, MATCH($A142, 'UZ-normalized'!$A:$A, 0))&gt;0, -(17*INDEX('UZ-normalized'!$D:$D, MATCH($A142, 'UZ-normalized'!$A:$A, 0))-INDEX('UZ-normalized'!$E:$E, MATCH($A142, 'UZ-normalized'!$A:$A, 0))), 0), 0)))</f>
        <v>-831</v>
      </c>
      <c r="AF142" s="6">
        <f>MIN(0, N142+(IFERROR(IF(18*INDEX('UA-normalized'!$D:$D, MATCH($A142, 'UA-normalized'!$A:$A, 0))-INDEX('UA-normalized'!$E:$E, MATCH($A142, 'UA-normalized'!$A:$A, 0))&gt;0, -(18*INDEX('UA-normalized'!$D:$D, MATCH($A142, 'UA-normalized'!$A:$A, 0))-INDEX('UA-normalized'!$E:$E, MATCH($A142, 'UA-normalized'!$A:$A, 0))), 0), 0))+(IFERROR(IF(18*INDEX('KZ-normalized'!$D:$D, MATCH($A142, 'KZ-normalized'!$A:$A, 0))-INDEX('KZ-normalized'!$E:$E, MATCH($A142, 'KZ-normalized'!$A:$A, 0))&gt;0, -(18*INDEX('KZ-normalized'!$D:$D, MATCH($A142, 'KZ-normalized'!$A:$A, 0))-INDEX('KZ-normalized'!$E:$E, MATCH($A142, 'KZ-normalized'!$A:$A, 0))), 0), 0))+(IFERROR(IF(18*INDEX('UZ-normalized'!$D:$D, MATCH($A142, 'UZ-normalized'!$A:$A, 0))-INDEX('UZ-normalized'!$E:$E, MATCH($A142, 'UZ-normalized'!$A:$A, 0))&gt;0, -(18*INDEX('UZ-normalized'!$D:$D, MATCH($A142, 'UZ-normalized'!$A:$A, 0))-INDEX('UZ-normalized'!$E:$E, MATCH($A142, 'UZ-normalized'!$A:$A, 0))), 0), 0)))</f>
        <v>-911</v>
      </c>
      <c r="AG142" s="6">
        <f>MIN(0, N142+(IFERROR(IF(19*INDEX('UA-normalized'!$D:$D, MATCH($A142, 'UA-normalized'!$A:$A, 0))-INDEX('UA-normalized'!$E:$E, MATCH($A142, 'UA-normalized'!$A:$A, 0))&gt;0, -(19*INDEX('UA-normalized'!$D:$D, MATCH($A142, 'UA-normalized'!$A:$A, 0))-INDEX('UA-normalized'!$E:$E, MATCH($A142, 'UA-normalized'!$A:$A, 0))), 0), 0))+(IFERROR(IF(19*INDEX('KZ-normalized'!$D:$D, MATCH($A142, 'KZ-normalized'!$A:$A, 0))-INDEX('KZ-normalized'!$E:$E, MATCH($A142, 'KZ-normalized'!$A:$A, 0))&gt;0, -(19*INDEX('KZ-normalized'!$D:$D, MATCH($A142, 'KZ-normalized'!$A:$A, 0))-INDEX('KZ-normalized'!$E:$E, MATCH($A142, 'KZ-normalized'!$A:$A, 0))), 0), 0))+(IFERROR(IF(19*INDEX('UZ-normalized'!$D:$D, MATCH($A142, 'UZ-normalized'!$A:$A, 0))-INDEX('UZ-normalized'!$E:$E, MATCH($A142, 'UZ-normalized'!$A:$A, 0))&gt;0, -(19*INDEX('UZ-normalized'!$D:$D, MATCH($A142, 'UZ-normalized'!$A:$A, 0))-INDEX('UZ-normalized'!$E:$E, MATCH($A142, 'UZ-normalized'!$A:$A, 0))), 0), 0)))</f>
        <v>-991</v>
      </c>
      <c r="AH142" s="6">
        <f>MIN(0, N142+(IFERROR(IF(20*INDEX('UA-normalized'!$D:$D, MATCH($A142, 'UA-normalized'!$A:$A, 0))-INDEX('UA-normalized'!$E:$E, MATCH($A142, 'UA-normalized'!$A:$A, 0))&gt;0, -(20*INDEX('UA-normalized'!$D:$D, MATCH($A142, 'UA-normalized'!$A:$A, 0))-INDEX('UA-normalized'!$E:$E, MATCH($A142, 'UA-normalized'!$A:$A, 0))), 0), 0))+(IFERROR(IF(20*INDEX('KZ-normalized'!$D:$D, MATCH($A142, 'KZ-normalized'!$A:$A, 0))-INDEX('KZ-normalized'!$E:$E, MATCH($A142, 'KZ-normalized'!$A:$A, 0))&gt;0, -(20*INDEX('KZ-normalized'!$D:$D, MATCH($A142, 'KZ-normalized'!$A:$A, 0))-INDEX('KZ-normalized'!$E:$E, MATCH($A142, 'KZ-normalized'!$A:$A, 0))), 0), 0))+(IFERROR(IF(20*INDEX('UZ-normalized'!$D:$D, MATCH($A142, 'UZ-normalized'!$A:$A, 0))-INDEX('UZ-normalized'!$E:$E, MATCH($A142, 'UZ-normalized'!$A:$A, 0))&gt;0, -(20*INDEX('UZ-normalized'!$D:$D, MATCH($A142, 'UZ-normalized'!$A:$A, 0))-INDEX('UZ-normalized'!$E:$E, MATCH($A142, 'UZ-normalized'!$A:$A, 0))), 0), 0)))</f>
        <v>-1071</v>
      </c>
      <c r="AI142" s="6">
        <f>MIN(0, N142+(IFERROR(IF(21*INDEX('UA-normalized'!$D:$D, MATCH($A142, 'UA-normalized'!$A:$A, 0))-INDEX('UA-normalized'!$E:$E, MATCH($A142, 'UA-normalized'!$A:$A, 0))&gt;0, -(21*INDEX('UA-normalized'!$D:$D, MATCH($A142, 'UA-normalized'!$A:$A, 0))-INDEX('UA-normalized'!$E:$E, MATCH($A142, 'UA-normalized'!$A:$A, 0))), 0), 0))+(IFERROR(IF(21*INDEX('KZ-normalized'!$D:$D, MATCH($A142, 'KZ-normalized'!$A:$A, 0))-INDEX('KZ-normalized'!$E:$E, MATCH($A142, 'KZ-normalized'!$A:$A, 0))&gt;0, -(21*INDEX('KZ-normalized'!$D:$D, MATCH($A142, 'KZ-normalized'!$A:$A, 0))-INDEX('KZ-normalized'!$E:$E, MATCH($A142, 'KZ-normalized'!$A:$A, 0))), 0), 0))+(IFERROR(IF(21*INDEX('UZ-normalized'!$D:$D, MATCH($A142, 'UZ-normalized'!$A:$A, 0))-INDEX('UZ-normalized'!$E:$E, MATCH($A142, 'UZ-normalized'!$A:$A, 0))&gt;0, -(21*INDEX('UZ-normalized'!$D:$D, MATCH($A142, 'UZ-normalized'!$A:$A, 0))-INDEX('UZ-normalized'!$E:$E, MATCH($A142, 'UZ-normalized'!$A:$A, 0))), 0), 0)))</f>
        <v>-1151</v>
      </c>
      <c r="AJ142" s="6">
        <f>MIN(0, N142+(IFERROR(IF(22*INDEX('UA-normalized'!$D:$D, MATCH($A142, 'UA-normalized'!$A:$A, 0))-INDEX('UA-normalized'!$E:$E, MATCH($A142, 'UA-normalized'!$A:$A, 0))&gt;0, -(22*INDEX('UA-normalized'!$D:$D, MATCH($A142, 'UA-normalized'!$A:$A, 0))-INDEX('UA-normalized'!$E:$E, MATCH($A142, 'UA-normalized'!$A:$A, 0))), 0), 0))+(IFERROR(IF(22*INDEX('KZ-normalized'!$D:$D, MATCH($A142, 'KZ-normalized'!$A:$A, 0))-INDEX('KZ-normalized'!$E:$E, MATCH($A142, 'KZ-normalized'!$A:$A, 0))&gt;0, -(22*INDEX('KZ-normalized'!$D:$D, MATCH($A142, 'KZ-normalized'!$A:$A, 0))-INDEX('KZ-normalized'!$E:$E, MATCH($A142, 'KZ-normalized'!$A:$A, 0))), 0), 0))+(IFERROR(IF(22*INDEX('UZ-normalized'!$D:$D, MATCH($A142, 'UZ-normalized'!$A:$A, 0))-INDEX('UZ-normalized'!$E:$E, MATCH($A142, 'UZ-normalized'!$A:$A, 0))&gt;0, -(22*INDEX('UZ-normalized'!$D:$D, MATCH($A142, 'UZ-normalized'!$A:$A, 0))-INDEX('UZ-normalized'!$E:$E, MATCH($A142, 'UZ-normalized'!$A:$A, 0))), 0), 0)))</f>
        <v>-1231</v>
      </c>
      <c r="AK142" s="6">
        <f>MIN(0, N142+(IFERROR(IF(23*INDEX('UA-normalized'!$D:$D, MATCH($A142, 'UA-normalized'!$A:$A, 0))-INDEX('UA-normalized'!$E:$E, MATCH($A142, 'UA-normalized'!$A:$A, 0))&gt;0, -(23*INDEX('UA-normalized'!$D:$D, MATCH($A142, 'UA-normalized'!$A:$A, 0))-INDEX('UA-normalized'!$E:$E, MATCH($A142, 'UA-normalized'!$A:$A, 0))), 0), 0))+(IFERROR(IF(23*INDEX('KZ-normalized'!$D:$D, MATCH($A142, 'KZ-normalized'!$A:$A, 0))-INDEX('KZ-normalized'!$E:$E, MATCH($A142, 'KZ-normalized'!$A:$A, 0))&gt;0, -(23*INDEX('KZ-normalized'!$D:$D, MATCH($A142, 'KZ-normalized'!$A:$A, 0))-INDEX('KZ-normalized'!$E:$E, MATCH($A142, 'KZ-normalized'!$A:$A, 0))), 0), 0))+(IFERROR(IF(23*INDEX('UZ-normalized'!$D:$D, MATCH($A142, 'UZ-normalized'!$A:$A, 0))-INDEX('UZ-normalized'!$E:$E, MATCH($A142, 'UZ-normalized'!$A:$A, 0))&gt;0, -(23*INDEX('UZ-normalized'!$D:$D, MATCH($A142, 'UZ-normalized'!$A:$A, 0))-INDEX('UZ-normalized'!$E:$E, MATCH($A142, 'UZ-normalized'!$A:$A, 0))), 0), 0)))</f>
        <v>-1311</v>
      </c>
      <c r="AL142" s="6">
        <f>MIN(0, N142+(IFERROR(IF(24*INDEX('UA-normalized'!$D:$D, MATCH($A142, 'UA-normalized'!$A:$A, 0))-INDEX('UA-normalized'!$E:$E, MATCH($A142, 'UA-normalized'!$A:$A, 0))&gt;0, -(24*INDEX('UA-normalized'!$D:$D, MATCH($A142, 'UA-normalized'!$A:$A, 0))-INDEX('UA-normalized'!$E:$E, MATCH($A142, 'UA-normalized'!$A:$A, 0))), 0), 0))+(IFERROR(IF(24*INDEX('KZ-normalized'!$D:$D, MATCH($A142, 'KZ-normalized'!$A:$A, 0))-INDEX('KZ-normalized'!$E:$E, MATCH($A142, 'KZ-normalized'!$A:$A, 0))&gt;0, -(24*INDEX('KZ-normalized'!$D:$D, MATCH($A142, 'KZ-normalized'!$A:$A, 0))-INDEX('KZ-normalized'!$E:$E, MATCH($A142, 'KZ-normalized'!$A:$A, 0))), 0), 0))+(IFERROR(IF(24*INDEX('UZ-normalized'!$D:$D, MATCH($A142, 'UZ-normalized'!$A:$A, 0))-INDEX('UZ-normalized'!$E:$E, MATCH($A142, 'UZ-normalized'!$A:$A, 0))&gt;0, -(24*INDEX('UZ-normalized'!$D:$D, MATCH($A142, 'UZ-normalized'!$A:$A, 0))-INDEX('UZ-normalized'!$E:$E, MATCH($A142, 'UZ-normalized'!$A:$A, 0))), 0), 0)))</f>
        <v>-1391</v>
      </c>
      <c r="AM142" s="6">
        <f>MIN(0, N142+(IFERROR(IF(25*INDEX('UA-normalized'!$D:$D, MATCH($A142, 'UA-normalized'!$A:$A, 0))-INDEX('UA-normalized'!$E:$E, MATCH($A142, 'UA-normalized'!$A:$A, 0))&gt;0, -(25*INDEX('UA-normalized'!$D:$D, MATCH($A142, 'UA-normalized'!$A:$A, 0))-INDEX('UA-normalized'!$E:$E, MATCH($A142, 'UA-normalized'!$A:$A, 0))), 0), 0))+(IFERROR(IF(25*INDEX('KZ-normalized'!$D:$D, MATCH($A142, 'KZ-normalized'!$A:$A, 0))-INDEX('KZ-normalized'!$E:$E, MATCH($A142, 'KZ-normalized'!$A:$A, 0))&gt;0, -(25*INDEX('KZ-normalized'!$D:$D, MATCH($A142, 'KZ-normalized'!$A:$A, 0))-INDEX('KZ-normalized'!$E:$E, MATCH($A142, 'KZ-normalized'!$A:$A, 0))), 0), 0))+(IFERROR(IF(25*INDEX('UZ-normalized'!$D:$D, MATCH($A142, 'UZ-normalized'!$A:$A, 0))-INDEX('UZ-normalized'!$E:$E, MATCH($A142, 'UZ-normalized'!$A:$A, 0))&gt;0, -(25*INDEX('UZ-normalized'!$D:$D, MATCH($A142, 'UZ-normalized'!$A:$A, 0))-INDEX('UZ-normalized'!$E:$E, MATCH($A142, 'UZ-normalized'!$A:$A, 0))), 0), 0)))</f>
        <v>-1471</v>
      </c>
      <c r="AN142" s="6">
        <f>MIN(0, N142+(IFERROR(IF(26*INDEX('UA-normalized'!$D:$D, MATCH($A142, 'UA-normalized'!$A:$A, 0))-INDEX('UA-normalized'!$E:$E, MATCH($A142, 'UA-normalized'!$A:$A, 0))&gt;0, -(26*INDEX('UA-normalized'!$D:$D, MATCH($A142, 'UA-normalized'!$A:$A, 0))-INDEX('UA-normalized'!$E:$E, MATCH($A142, 'UA-normalized'!$A:$A, 0))), 0), 0))+(IFERROR(IF(26*INDEX('KZ-normalized'!$D:$D, MATCH($A142, 'KZ-normalized'!$A:$A, 0))-INDEX('KZ-normalized'!$E:$E, MATCH($A142, 'KZ-normalized'!$A:$A, 0))&gt;0, -(26*INDEX('KZ-normalized'!$D:$D, MATCH($A142, 'KZ-normalized'!$A:$A, 0))-INDEX('KZ-normalized'!$E:$E, MATCH($A142, 'KZ-normalized'!$A:$A, 0))), 0), 0))+(IFERROR(IF(26*INDEX('UZ-normalized'!$D:$D, MATCH($A142, 'UZ-normalized'!$A:$A, 0))-INDEX('UZ-normalized'!$E:$E, MATCH($A142, 'UZ-normalized'!$A:$A, 0))&gt;0, -(26*INDEX('UZ-normalized'!$D:$D, MATCH($A142, 'UZ-normalized'!$A:$A, 0))-INDEX('UZ-normalized'!$E:$E, MATCH($A142, 'UZ-normalized'!$A:$A, 0))), 0), 0)))</f>
        <v>-1551</v>
      </c>
      <c r="AO142" s="6">
        <f>MIN(0, N142+(IFERROR(IF(27*INDEX('UA-normalized'!$D:$D, MATCH($A142, 'UA-normalized'!$A:$A, 0))-INDEX('UA-normalized'!$E:$E, MATCH($A142, 'UA-normalized'!$A:$A, 0))&gt;0, -(27*INDEX('UA-normalized'!$D:$D, MATCH($A142, 'UA-normalized'!$A:$A, 0))-INDEX('UA-normalized'!$E:$E, MATCH($A142, 'UA-normalized'!$A:$A, 0))), 0), 0))+(IFERROR(IF(27*INDEX('KZ-normalized'!$D:$D, MATCH($A142, 'KZ-normalized'!$A:$A, 0))-INDEX('KZ-normalized'!$E:$E, MATCH($A142, 'KZ-normalized'!$A:$A, 0))&gt;0, -(27*INDEX('KZ-normalized'!$D:$D, MATCH($A142, 'KZ-normalized'!$A:$A, 0))-INDEX('KZ-normalized'!$E:$E, MATCH($A142, 'KZ-normalized'!$A:$A, 0))), 0), 0))+(IFERROR(IF(27*INDEX('UZ-normalized'!$D:$D, MATCH($A142, 'UZ-normalized'!$A:$A, 0))-INDEX('UZ-normalized'!$E:$E, MATCH($A142, 'UZ-normalized'!$A:$A, 0))&gt;0, -(27*INDEX('UZ-normalized'!$D:$D, MATCH($A142, 'UZ-normalized'!$A:$A, 0))-INDEX('UZ-normalized'!$E:$E, MATCH($A142, 'UZ-normalized'!$A:$A, 0))), 0), 0)))</f>
        <v>-1631</v>
      </c>
      <c r="AP142" s="6">
        <f>MIN(0, N142+(IFERROR(IF(28*INDEX('UA-normalized'!$D:$D, MATCH($A142, 'UA-normalized'!$A:$A, 0))-INDEX('UA-normalized'!$E:$E, MATCH($A142, 'UA-normalized'!$A:$A, 0))&gt;0, -(28*INDEX('UA-normalized'!$D:$D, MATCH($A142, 'UA-normalized'!$A:$A, 0))-INDEX('UA-normalized'!$E:$E, MATCH($A142, 'UA-normalized'!$A:$A, 0))), 0), 0))+(IFERROR(IF(28*INDEX('KZ-normalized'!$D:$D, MATCH($A142, 'KZ-normalized'!$A:$A, 0))-INDEX('KZ-normalized'!$E:$E, MATCH($A142, 'KZ-normalized'!$A:$A, 0))&gt;0, -(28*INDEX('KZ-normalized'!$D:$D, MATCH($A142, 'KZ-normalized'!$A:$A, 0))-INDEX('KZ-normalized'!$E:$E, MATCH($A142, 'KZ-normalized'!$A:$A, 0))), 0), 0))+(IFERROR(IF(28*INDEX('UZ-normalized'!$D:$D, MATCH($A142, 'UZ-normalized'!$A:$A, 0))-INDEX('UZ-normalized'!$E:$E, MATCH($A142, 'UZ-normalized'!$A:$A, 0))&gt;0, -(28*INDEX('UZ-normalized'!$D:$D, MATCH($A142, 'UZ-normalized'!$A:$A, 0))-INDEX('UZ-normalized'!$E:$E, MATCH($A142, 'UZ-normalized'!$A:$A, 0))), 0), 0)))</f>
        <v>-1711</v>
      </c>
      <c r="AQ142" s="6">
        <f>MIN(0, N142+(IFERROR(IF(29*INDEX('UA-normalized'!$D:$D, MATCH($A142, 'UA-normalized'!$A:$A, 0))-INDEX('UA-normalized'!$E:$E, MATCH($A142, 'UA-normalized'!$A:$A, 0))&gt;0, -(29*INDEX('UA-normalized'!$D:$D, MATCH($A142, 'UA-normalized'!$A:$A, 0))-INDEX('UA-normalized'!$E:$E, MATCH($A142, 'UA-normalized'!$A:$A, 0))), 0), 0))+(IFERROR(IF(29*INDEX('KZ-normalized'!$D:$D, MATCH($A142, 'KZ-normalized'!$A:$A, 0))-INDEX('KZ-normalized'!$E:$E, MATCH($A142, 'KZ-normalized'!$A:$A, 0))&gt;0, -(29*INDEX('KZ-normalized'!$D:$D, MATCH($A142, 'KZ-normalized'!$A:$A, 0))-INDEX('KZ-normalized'!$E:$E, MATCH($A142, 'KZ-normalized'!$A:$A, 0))), 0), 0))+(IFERROR(IF(29*INDEX('UZ-normalized'!$D:$D, MATCH($A142, 'UZ-normalized'!$A:$A, 0))-INDEX('UZ-normalized'!$E:$E, MATCH($A142, 'UZ-normalized'!$A:$A, 0))&gt;0, -(29*INDEX('UZ-normalized'!$D:$D, MATCH($A142, 'UZ-normalized'!$A:$A, 0))-INDEX('UZ-normalized'!$E:$E, MATCH($A142, 'UZ-normalized'!$A:$A, 0))), 0), 0)))</f>
        <v>-1791</v>
      </c>
      <c r="AR142" s="6">
        <f>MIN(0, N142+(IFERROR(IF(30*INDEX('UA-normalized'!$D:$D, MATCH($A142, 'UA-normalized'!$A:$A, 0))-INDEX('UA-normalized'!$E:$E, MATCH($A142, 'UA-normalized'!$A:$A, 0))&gt;0, -(30*INDEX('UA-normalized'!$D:$D, MATCH($A142, 'UA-normalized'!$A:$A, 0))-INDEX('UA-normalized'!$E:$E, MATCH($A142, 'UA-normalized'!$A:$A, 0))), 0), 0))+(IFERROR(IF(30*INDEX('KZ-normalized'!$D:$D, MATCH($A142, 'KZ-normalized'!$A:$A, 0))-INDEX('KZ-normalized'!$E:$E, MATCH($A142, 'KZ-normalized'!$A:$A, 0))&gt;0, -(30*INDEX('KZ-normalized'!$D:$D, MATCH($A142, 'KZ-normalized'!$A:$A, 0))-INDEX('KZ-normalized'!$E:$E, MATCH($A142, 'KZ-normalized'!$A:$A, 0))), 0), 0))+(IFERROR(IF(30*INDEX('UZ-normalized'!$D:$D, MATCH($A142, 'UZ-normalized'!$A:$A, 0))-INDEX('UZ-normalized'!$E:$E, MATCH($A142, 'UZ-normalized'!$A:$A, 0))&gt;0, -(30*INDEX('UZ-normalized'!$D:$D, MATCH($A142, 'UZ-normalized'!$A:$A, 0))-INDEX('UZ-normalized'!$E:$E, MATCH($A142, 'UZ-normalized'!$A:$A, 0))), 0), 0)))</f>
        <v>-1871</v>
      </c>
    </row>
    <row r="143" spans="1:44" x14ac:dyDescent="0.25">
      <c r="A143" s="8" t="s">
        <v>347</v>
      </c>
      <c r="B143" s="8" t="s">
        <v>336</v>
      </c>
      <c r="C143" s="8" t="s">
        <v>337</v>
      </c>
      <c r="D143" s="8" t="s">
        <v>348</v>
      </c>
      <c r="E143">
        <v>500</v>
      </c>
      <c r="N143">
        <f t="shared" si="2"/>
        <v>500</v>
      </c>
      <c r="O143" s="6">
        <f>MIN(0, N143+(IFERROR(IF(1*INDEX('UA-normalized'!$D:$D, MATCH($A143, 'UA-normalized'!$A:$A, 0))-INDEX('UA-normalized'!$E:$E, MATCH($A143, 'UA-normalized'!$A:$A, 0))&gt;0, -(1*INDEX('UA-normalized'!$D:$D, MATCH($A143, 'UA-normalized'!$A:$A, 0))-INDEX('UA-normalized'!$E:$E, MATCH($A143, 'UA-normalized'!$A:$A, 0))), 0), 0))+(IFERROR(IF(1*INDEX('KZ-normalized'!$D:$D, MATCH($A143, 'KZ-normalized'!$A:$A, 0))-INDEX('KZ-normalized'!$E:$E, MATCH($A143, 'KZ-normalized'!$A:$A, 0))&gt;0, -(1*INDEX('KZ-normalized'!$D:$D, MATCH($A143, 'KZ-normalized'!$A:$A, 0))-INDEX('KZ-normalized'!$E:$E, MATCH($A143, 'KZ-normalized'!$A:$A, 0))), 0), 0))+(IFERROR(IF(1*INDEX('UZ-normalized'!$D:$D, MATCH($A143, 'UZ-normalized'!$A:$A, 0))-INDEX('UZ-normalized'!$E:$E, MATCH($A143, 'UZ-normalized'!$A:$A, 0))&gt;0, -(1*INDEX('UZ-normalized'!$D:$D, MATCH($A143, 'UZ-normalized'!$A:$A, 0))-INDEX('UZ-normalized'!$E:$E, MATCH($A143, 'UZ-normalized'!$A:$A, 0))), 0), 0)))</f>
        <v>0</v>
      </c>
      <c r="P143" s="6">
        <f>MIN(0, N143+(IFERROR(IF(2*INDEX('UA-normalized'!$D:$D, MATCH($A143, 'UA-normalized'!$A:$A, 0))-INDEX('UA-normalized'!$E:$E, MATCH($A143, 'UA-normalized'!$A:$A, 0))&gt;0, -(2*INDEX('UA-normalized'!$D:$D, MATCH($A143, 'UA-normalized'!$A:$A, 0))-INDEX('UA-normalized'!$E:$E, MATCH($A143, 'UA-normalized'!$A:$A, 0))), 0), 0))+(IFERROR(IF(2*INDEX('KZ-normalized'!$D:$D, MATCH($A143, 'KZ-normalized'!$A:$A, 0))-INDEX('KZ-normalized'!$E:$E, MATCH($A143, 'KZ-normalized'!$A:$A, 0))&gt;0, -(2*INDEX('KZ-normalized'!$D:$D, MATCH($A143, 'KZ-normalized'!$A:$A, 0))-INDEX('KZ-normalized'!$E:$E, MATCH($A143, 'KZ-normalized'!$A:$A, 0))), 0), 0))+(IFERROR(IF(2*INDEX('UZ-normalized'!$D:$D, MATCH($A143, 'UZ-normalized'!$A:$A, 0))-INDEX('UZ-normalized'!$E:$E, MATCH($A143, 'UZ-normalized'!$A:$A, 0))&gt;0, -(2*INDEX('UZ-normalized'!$D:$D, MATCH($A143, 'UZ-normalized'!$A:$A, 0))-INDEX('UZ-normalized'!$E:$E, MATCH($A143, 'UZ-normalized'!$A:$A, 0))), 0), 0)))</f>
        <v>0</v>
      </c>
      <c r="Q143" s="6">
        <f>MIN(0, N143+(IFERROR(IF(3*INDEX('UA-normalized'!$D:$D, MATCH($A143, 'UA-normalized'!$A:$A, 0))-INDEX('UA-normalized'!$E:$E, MATCH($A143, 'UA-normalized'!$A:$A, 0))&gt;0, -(3*INDEX('UA-normalized'!$D:$D, MATCH($A143, 'UA-normalized'!$A:$A, 0))-INDEX('UA-normalized'!$E:$E, MATCH($A143, 'UA-normalized'!$A:$A, 0))), 0), 0))+(IFERROR(IF(3*INDEX('KZ-normalized'!$D:$D, MATCH($A143, 'KZ-normalized'!$A:$A, 0))-INDEX('KZ-normalized'!$E:$E, MATCH($A143, 'KZ-normalized'!$A:$A, 0))&gt;0, -(3*INDEX('KZ-normalized'!$D:$D, MATCH($A143, 'KZ-normalized'!$A:$A, 0))-INDEX('KZ-normalized'!$E:$E, MATCH($A143, 'KZ-normalized'!$A:$A, 0))), 0), 0))+(IFERROR(IF(3*INDEX('UZ-normalized'!$D:$D, MATCH($A143, 'UZ-normalized'!$A:$A, 0))-INDEX('UZ-normalized'!$E:$E, MATCH($A143, 'UZ-normalized'!$A:$A, 0))&gt;0, -(3*INDEX('UZ-normalized'!$D:$D, MATCH($A143, 'UZ-normalized'!$A:$A, 0))-INDEX('UZ-normalized'!$E:$E, MATCH($A143, 'UZ-normalized'!$A:$A, 0))), 0), 0)))</f>
        <v>0</v>
      </c>
      <c r="R143" s="6">
        <f>MIN(0, N143+(IFERROR(IF(4*INDEX('UA-normalized'!$D:$D, MATCH($A143, 'UA-normalized'!$A:$A, 0))-INDEX('UA-normalized'!$E:$E, MATCH($A143, 'UA-normalized'!$A:$A, 0))&gt;0, -(4*INDEX('UA-normalized'!$D:$D, MATCH($A143, 'UA-normalized'!$A:$A, 0))-INDEX('UA-normalized'!$E:$E, MATCH($A143, 'UA-normalized'!$A:$A, 0))), 0), 0))+(IFERROR(IF(4*INDEX('KZ-normalized'!$D:$D, MATCH($A143, 'KZ-normalized'!$A:$A, 0))-INDEX('KZ-normalized'!$E:$E, MATCH($A143, 'KZ-normalized'!$A:$A, 0))&gt;0, -(4*INDEX('KZ-normalized'!$D:$D, MATCH($A143, 'KZ-normalized'!$A:$A, 0))-INDEX('KZ-normalized'!$E:$E, MATCH($A143, 'KZ-normalized'!$A:$A, 0))), 0), 0))+(IFERROR(IF(4*INDEX('UZ-normalized'!$D:$D, MATCH($A143, 'UZ-normalized'!$A:$A, 0))-INDEX('UZ-normalized'!$E:$E, MATCH($A143, 'UZ-normalized'!$A:$A, 0))&gt;0, -(4*INDEX('UZ-normalized'!$D:$D, MATCH($A143, 'UZ-normalized'!$A:$A, 0))-INDEX('UZ-normalized'!$E:$E, MATCH($A143, 'UZ-normalized'!$A:$A, 0))), 0), 0)))</f>
        <v>0</v>
      </c>
      <c r="S143" s="6">
        <f>MIN(0, N143+(IFERROR(IF(5*INDEX('UA-normalized'!$D:$D, MATCH($A143, 'UA-normalized'!$A:$A, 0))-INDEX('UA-normalized'!$E:$E, MATCH($A143, 'UA-normalized'!$A:$A, 0))&gt;0, -(5*INDEX('UA-normalized'!$D:$D, MATCH($A143, 'UA-normalized'!$A:$A, 0))-INDEX('UA-normalized'!$E:$E, MATCH($A143, 'UA-normalized'!$A:$A, 0))), 0), 0))+(IFERROR(IF(5*INDEX('KZ-normalized'!$D:$D, MATCH($A143, 'KZ-normalized'!$A:$A, 0))-INDEX('KZ-normalized'!$E:$E, MATCH($A143, 'KZ-normalized'!$A:$A, 0))&gt;0, -(5*INDEX('KZ-normalized'!$D:$D, MATCH($A143, 'KZ-normalized'!$A:$A, 0))-INDEX('KZ-normalized'!$E:$E, MATCH($A143, 'KZ-normalized'!$A:$A, 0))), 0), 0))+(IFERROR(IF(5*INDEX('UZ-normalized'!$D:$D, MATCH($A143, 'UZ-normalized'!$A:$A, 0))-INDEX('UZ-normalized'!$E:$E, MATCH($A143, 'UZ-normalized'!$A:$A, 0))&gt;0, -(5*INDEX('UZ-normalized'!$D:$D, MATCH($A143, 'UZ-normalized'!$A:$A, 0))-INDEX('UZ-normalized'!$E:$E, MATCH($A143, 'UZ-normalized'!$A:$A, 0))), 0), 0)))</f>
        <v>0</v>
      </c>
      <c r="T143" s="6">
        <f>MIN(0, N143+(IFERROR(IF(6*INDEX('UA-normalized'!$D:$D, MATCH($A143, 'UA-normalized'!$A:$A, 0))-INDEX('UA-normalized'!$E:$E, MATCH($A143, 'UA-normalized'!$A:$A, 0))&gt;0, -(6*INDEX('UA-normalized'!$D:$D, MATCH($A143, 'UA-normalized'!$A:$A, 0))-INDEX('UA-normalized'!$E:$E, MATCH($A143, 'UA-normalized'!$A:$A, 0))), 0), 0))+(IFERROR(IF(6*INDEX('KZ-normalized'!$D:$D, MATCH($A143, 'KZ-normalized'!$A:$A, 0))-INDEX('KZ-normalized'!$E:$E, MATCH($A143, 'KZ-normalized'!$A:$A, 0))&gt;0, -(6*INDEX('KZ-normalized'!$D:$D, MATCH($A143, 'KZ-normalized'!$A:$A, 0))-INDEX('KZ-normalized'!$E:$E, MATCH($A143, 'KZ-normalized'!$A:$A, 0))), 0), 0))+(IFERROR(IF(6*INDEX('UZ-normalized'!$D:$D, MATCH($A143, 'UZ-normalized'!$A:$A, 0))-INDEX('UZ-normalized'!$E:$E, MATCH($A143, 'UZ-normalized'!$A:$A, 0))&gt;0, -(6*INDEX('UZ-normalized'!$D:$D, MATCH($A143, 'UZ-normalized'!$A:$A, 0))-INDEX('UZ-normalized'!$E:$E, MATCH($A143, 'UZ-normalized'!$A:$A, 0))), 0), 0)))</f>
        <v>0</v>
      </c>
      <c r="U143" s="6">
        <f>MIN(0, N143+(IFERROR(IF(7*INDEX('UA-normalized'!$D:$D, MATCH($A143, 'UA-normalized'!$A:$A, 0))-INDEX('UA-normalized'!$E:$E, MATCH($A143, 'UA-normalized'!$A:$A, 0))&gt;0, -(7*INDEX('UA-normalized'!$D:$D, MATCH($A143, 'UA-normalized'!$A:$A, 0))-INDEX('UA-normalized'!$E:$E, MATCH($A143, 'UA-normalized'!$A:$A, 0))), 0), 0))+(IFERROR(IF(7*INDEX('KZ-normalized'!$D:$D, MATCH($A143, 'KZ-normalized'!$A:$A, 0))-INDEX('KZ-normalized'!$E:$E, MATCH($A143, 'KZ-normalized'!$A:$A, 0))&gt;0, -(7*INDEX('KZ-normalized'!$D:$D, MATCH($A143, 'KZ-normalized'!$A:$A, 0))-INDEX('KZ-normalized'!$E:$E, MATCH($A143, 'KZ-normalized'!$A:$A, 0))), 0), 0))+(IFERROR(IF(7*INDEX('UZ-normalized'!$D:$D, MATCH($A143, 'UZ-normalized'!$A:$A, 0))-INDEX('UZ-normalized'!$E:$E, MATCH($A143, 'UZ-normalized'!$A:$A, 0))&gt;0, -(7*INDEX('UZ-normalized'!$D:$D, MATCH($A143, 'UZ-normalized'!$A:$A, 0))-INDEX('UZ-normalized'!$E:$E, MATCH($A143, 'UZ-normalized'!$A:$A, 0))), 0), 0)))</f>
        <v>0</v>
      </c>
      <c r="V143" s="6">
        <f>MIN(0, N143+(IFERROR(IF(8*INDEX('UA-normalized'!$D:$D, MATCH($A143, 'UA-normalized'!$A:$A, 0))-INDEX('UA-normalized'!$E:$E, MATCH($A143, 'UA-normalized'!$A:$A, 0))&gt;0, -(8*INDEX('UA-normalized'!$D:$D, MATCH($A143, 'UA-normalized'!$A:$A, 0))-INDEX('UA-normalized'!$E:$E, MATCH($A143, 'UA-normalized'!$A:$A, 0))), 0), 0))+(IFERROR(IF(8*INDEX('KZ-normalized'!$D:$D, MATCH($A143, 'KZ-normalized'!$A:$A, 0))-INDEX('KZ-normalized'!$E:$E, MATCH($A143, 'KZ-normalized'!$A:$A, 0))&gt;0, -(8*INDEX('KZ-normalized'!$D:$D, MATCH($A143, 'KZ-normalized'!$A:$A, 0))-INDEX('KZ-normalized'!$E:$E, MATCH($A143, 'KZ-normalized'!$A:$A, 0))), 0), 0))+(IFERROR(IF(8*INDEX('UZ-normalized'!$D:$D, MATCH($A143, 'UZ-normalized'!$A:$A, 0))-INDEX('UZ-normalized'!$E:$E, MATCH($A143, 'UZ-normalized'!$A:$A, 0))&gt;0, -(8*INDEX('UZ-normalized'!$D:$D, MATCH($A143, 'UZ-normalized'!$A:$A, 0))-INDEX('UZ-normalized'!$E:$E, MATCH($A143, 'UZ-normalized'!$A:$A, 0))), 0), 0)))</f>
        <v>0</v>
      </c>
      <c r="W143" s="6">
        <f>MIN(0, N143+(IFERROR(IF(9*INDEX('UA-normalized'!$D:$D, MATCH($A143, 'UA-normalized'!$A:$A, 0))-INDEX('UA-normalized'!$E:$E, MATCH($A143, 'UA-normalized'!$A:$A, 0))&gt;0, -(9*INDEX('UA-normalized'!$D:$D, MATCH($A143, 'UA-normalized'!$A:$A, 0))-INDEX('UA-normalized'!$E:$E, MATCH($A143, 'UA-normalized'!$A:$A, 0))), 0), 0))+(IFERROR(IF(9*INDEX('KZ-normalized'!$D:$D, MATCH($A143, 'KZ-normalized'!$A:$A, 0))-INDEX('KZ-normalized'!$E:$E, MATCH($A143, 'KZ-normalized'!$A:$A, 0))&gt;0, -(9*INDEX('KZ-normalized'!$D:$D, MATCH($A143, 'KZ-normalized'!$A:$A, 0))-INDEX('KZ-normalized'!$E:$E, MATCH($A143, 'KZ-normalized'!$A:$A, 0))), 0), 0))+(IFERROR(IF(9*INDEX('UZ-normalized'!$D:$D, MATCH($A143, 'UZ-normalized'!$A:$A, 0))-INDEX('UZ-normalized'!$E:$E, MATCH($A143, 'UZ-normalized'!$A:$A, 0))&gt;0, -(9*INDEX('UZ-normalized'!$D:$D, MATCH($A143, 'UZ-normalized'!$A:$A, 0))-INDEX('UZ-normalized'!$E:$E, MATCH($A143, 'UZ-normalized'!$A:$A, 0))), 0), 0)))</f>
        <v>0</v>
      </c>
      <c r="X143" s="6">
        <f>MIN(0, N143+(IFERROR(IF(10*INDEX('UA-normalized'!$D:$D, MATCH($A143, 'UA-normalized'!$A:$A, 0))-INDEX('UA-normalized'!$E:$E, MATCH($A143, 'UA-normalized'!$A:$A, 0))&gt;0, -(10*INDEX('UA-normalized'!$D:$D, MATCH($A143, 'UA-normalized'!$A:$A, 0))-INDEX('UA-normalized'!$E:$E, MATCH($A143, 'UA-normalized'!$A:$A, 0))), 0), 0))+(IFERROR(IF(10*INDEX('KZ-normalized'!$D:$D, MATCH($A143, 'KZ-normalized'!$A:$A, 0))-INDEX('KZ-normalized'!$E:$E, MATCH($A143, 'KZ-normalized'!$A:$A, 0))&gt;0, -(10*INDEX('KZ-normalized'!$D:$D, MATCH($A143, 'KZ-normalized'!$A:$A, 0))-INDEX('KZ-normalized'!$E:$E, MATCH($A143, 'KZ-normalized'!$A:$A, 0))), 0), 0))+(IFERROR(IF(10*INDEX('UZ-normalized'!$D:$D, MATCH($A143, 'UZ-normalized'!$A:$A, 0))-INDEX('UZ-normalized'!$E:$E, MATCH($A143, 'UZ-normalized'!$A:$A, 0))&gt;0, -(10*INDEX('UZ-normalized'!$D:$D, MATCH($A143, 'UZ-normalized'!$A:$A, 0))-INDEX('UZ-normalized'!$E:$E, MATCH($A143, 'UZ-normalized'!$A:$A, 0))), 0), 0)))</f>
        <v>0</v>
      </c>
      <c r="Y143" s="6">
        <f>MIN(0, N143+(IFERROR(IF(11*INDEX('UA-normalized'!$D:$D, MATCH($A143, 'UA-normalized'!$A:$A, 0))-INDEX('UA-normalized'!$E:$E, MATCH($A143, 'UA-normalized'!$A:$A, 0))&gt;0, -(11*INDEX('UA-normalized'!$D:$D, MATCH($A143, 'UA-normalized'!$A:$A, 0))-INDEX('UA-normalized'!$E:$E, MATCH($A143, 'UA-normalized'!$A:$A, 0))), 0), 0))+(IFERROR(IF(11*INDEX('KZ-normalized'!$D:$D, MATCH($A143, 'KZ-normalized'!$A:$A, 0))-INDEX('KZ-normalized'!$E:$E, MATCH($A143, 'KZ-normalized'!$A:$A, 0))&gt;0, -(11*INDEX('KZ-normalized'!$D:$D, MATCH($A143, 'KZ-normalized'!$A:$A, 0))-INDEX('KZ-normalized'!$E:$E, MATCH($A143, 'KZ-normalized'!$A:$A, 0))), 0), 0))+(IFERROR(IF(11*INDEX('UZ-normalized'!$D:$D, MATCH($A143, 'UZ-normalized'!$A:$A, 0))-INDEX('UZ-normalized'!$E:$E, MATCH($A143, 'UZ-normalized'!$A:$A, 0))&gt;0, -(11*INDEX('UZ-normalized'!$D:$D, MATCH($A143, 'UZ-normalized'!$A:$A, 0))-INDEX('UZ-normalized'!$E:$E, MATCH($A143, 'UZ-normalized'!$A:$A, 0))), 0), 0)))</f>
        <v>-39</v>
      </c>
      <c r="Z143" s="6">
        <f>MIN(0, N143+(IFERROR(IF(12*INDEX('UA-normalized'!$D:$D, MATCH($A143, 'UA-normalized'!$A:$A, 0))-INDEX('UA-normalized'!$E:$E, MATCH($A143, 'UA-normalized'!$A:$A, 0))&gt;0, -(12*INDEX('UA-normalized'!$D:$D, MATCH($A143, 'UA-normalized'!$A:$A, 0))-INDEX('UA-normalized'!$E:$E, MATCH($A143, 'UA-normalized'!$A:$A, 0))), 0), 0))+(IFERROR(IF(12*INDEX('KZ-normalized'!$D:$D, MATCH($A143, 'KZ-normalized'!$A:$A, 0))-INDEX('KZ-normalized'!$E:$E, MATCH($A143, 'KZ-normalized'!$A:$A, 0))&gt;0, -(12*INDEX('KZ-normalized'!$D:$D, MATCH($A143, 'KZ-normalized'!$A:$A, 0))-INDEX('KZ-normalized'!$E:$E, MATCH($A143, 'KZ-normalized'!$A:$A, 0))), 0), 0))+(IFERROR(IF(12*INDEX('UZ-normalized'!$D:$D, MATCH($A143, 'UZ-normalized'!$A:$A, 0))-INDEX('UZ-normalized'!$E:$E, MATCH($A143, 'UZ-normalized'!$A:$A, 0))&gt;0, -(12*INDEX('UZ-normalized'!$D:$D, MATCH($A143, 'UZ-normalized'!$A:$A, 0))-INDEX('UZ-normalized'!$E:$E, MATCH($A143, 'UZ-normalized'!$A:$A, 0))), 0), 0)))</f>
        <v>-119</v>
      </c>
      <c r="AA143" s="6">
        <f>MIN(0, N143+(IFERROR(IF(13*INDEX('UA-normalized'!$D:$D, MATCH($A143, 'UA-normalized'!$A:$A, 0))-INDEX('UA-normalized'!$E:$E, MATCH($A143, 'UA-normalized'!$A:$A, 0))&gt;0, -(13*INDEX('UA-normalized'!$D:$D, MATCH($A143, 'UA-normalized'!$A:$A, 0))-INDEX('UA-normalized'!$E:$E, MATCH($A143, 'UA-normalized'!$A:$A, 0))), 0), 0))+(IFERROR(IF(13*INDEX('KZ-normalized'!$D:$D, MATCH($A143, 'KZ-normalized'!$A:$A, 0))-INDEX('KZ-normalized'!$E:$E, MATCH($A143, 'KZ-normalized'!$A:$A, 0))&gt;0, -(13*INDEX('KZ-normalized'!$D:$D, MATCH($A143, 'KZ-normalized'!$A:$A, 0))-INDEX('KZ-normalized'!$E:$E, MATCH($A143, 'KZ-normalized'!$A:$A, 0))), 0), 0))+(IFERROR(IF(13*INDEX('UZ-normalized'!$D:$D, MATCH($A143, 'UZ-normalized'!$A:$A, 0))-INDEX('UZ-normalized'!$E:$E, MATCH($A143, 'UZ-normalized'!$A:$A, 0))&gt;0, -(13*INDEX('UZ-normalized'!$D:$D, MATCH($A143, 'UZ-normalized'!$A:$A, 0))-INDEX('UZ-normalized'!$E:$E, MATCH($A143, 'UZ-normalized'!$A:$A, 0))), 0), 0)))</f>
        <v>-199</v>
      </c>
      <c r="AB143" s="6">
        <f>MIN(0, N143+(IFERROR(IF(14*INDEX('UA-normalized'!$D:$D, MATCH($A143, 'UA-normalized'!$A:$A, 0))-INDEX('UA-normalized'!$E:$E, MATCH($A143, 'UA-normalized'!$A:$A, 0))&gt;0, -(14*INDEX('UA-normalized'!$D:$D, MATCH($A143, 'UA-normalized'!$A:$A, 0))-INDEX('UA-normalized'!$E:$E, MATCH($A143, 'UA-normalized'!$A:$A, 0))), 0), 0))+(IFERROR(IF(14*INDEX('KZ-normalized'!$D:$D, MATCH($A143, 'KZ-normalized'!$A:$A, 0))-INDEX('KZ-normalized'!$E:$E, MATCH($A143, 'KZ-normalized'!$A:$A, 0))&gt;0, -(14*INDEX('KZ-normalized'!$D:$D, MATCH($A143, 'KZ-normalized'!$A:$A, 0))-INDEX('KZ-normalized'!$E:$E, MATCH($A143, 'KZ-normalized'!$A:$A, 0))), 0), 0))+(IFERROR(IF(14*INDEX('UZ-normalized'!$D:$D, MATCH($A143, 'UZ-normalized'!$A:$A, 0))-INDEX('UZ-normalized'!$E:$E, MATCH($A143, 'UZ-normalized'!$A:$A, 0))&gt;0, -(14*INDEX('UZ-normalized'!$D:$D, MATCH($A143, 'UZ-normalized'!$A:$A, 0))-INDEX('UZ-normalized'!$E:$E, MATCH($A143, 'UZ-normalized'!$A:$A, 0))), 0), 0)))</f>
        <v>-279</v>
      </c>
      <c r="AC143" s="6">
        <f>MIN(0, N143+(IFERROR(IF(15*INDEX('UA-normalized'!$D:$D, MATCH($A143, 'UA-normalized'!$A:$A, 0))-INDEX('UA-normalized'!$E:$E, MATCH($A143, 'UA-normalized'!$A:$A, 0))&gt;0, -(15*INDEX('UA-normalized'!$D:$D, MATCH($A143, 'UA-normalized'!$A:$A, 0))-INDEX('UA-normalized'!$E:$E, MATCH($A143, 'UA-normalized'!$A:$A, 0))), 0), 0))+(IFERROR(IF(15*INDEX('KZ-normalized'!$D:$D, MATCH($A143, 'KZ-normalized'!$A:$A, 0))-INDEX('KZ-normalized'!$E:$E, MATCH($A143, 'KZ-normalized'!$A:$A, 0))&gt;0, -(15*INDEX('KZ-normalized'!$D:$D, MATCH($A143, 'KZ-normalized'!$A:$A, 0))-INDEX('KZ-normalized'!$E:$E, MATCH($A143, 'KZ-normalized'!$A:$A, 0))), 0), 0))+(IFERROR(IF(15*INDEX('UZ-normalized'!$D:$D, MATCH($A143, 'UZ-normalized'!$A:$A, 0))-INDEX('UZ-normalized'!$E:$E, MATCH($A143, 'UZ-normalized'!$A:$A, 0))&gt;0, -(15*INDEX('UZ-normalized'!$D:$D, MATCH($A143, 'UZ-normalized'!$A:$A, 0))-INDEX('UZ-normalized'!$E:$E, MATCH($A143, 'UZ-normalized'!$A:$A, 0))), 0), 0)))</f>
        <v>-359</v>
      </c>
      <c r="AD143" s="6">
        <f>MIN(0, N143+(IFERROR(IF(16*INDEX('UA-normalized'!$D:$D, MATCH($A143, 'UA-normalized'!$A:$A, 0))-INDEX('UA-normalized'!$E:$E, MATCH($A143, 'UA-normalized'!$A:$A, 0))&gt;0, -(16*INDEX('UA-normalized'!$D:$D, MATCH($A143, 'UA-normalized'!$A:$A, 0))-INDEX('UA-normalized'!$E:$E, MATCH($A143, 'UA-normalized'!$A:$A, 0))), 0), 0))+(IFERROR(IF(16*INDEX('KZ-normalized'!$D:$D, MATCH($A143, 'KZ-normalized'!$A:$A, 0))-INDEX('KZ-normalized'!$E:$E, MATCH($A143, 'KZ-normalized'!$A:$A, 0))&gt;0, -(16*INDEX('KZ-normalized'!$D:$D, MATCH($A143, 'KZ-normalized'!$A:$A, 0))-INDEX('KZ-normalized'!$E:$E, MATCH($A143, 'KZ-normalized'!$A:$A, 0))), 0), 0))+(IFERROR(IF(16*INDEX('UZ-normalized'!$D:$D, MATCH($A143, 'UZ-normalized'!$A:$A, 0))-INDEX('UZ-normalized'!$E:$E, MATCH($A143, 'UZ-normalized'!$A:$A, 0))&gt;0, -(16*INDEX('UZ-normalized'!$D:$D, MATCH($A143, 'UZ-normalized'!$A:$A, 0))-INDEX('UZ-normalized'!$E:$E, MATCH($A143, 'UZ-normalized'!$A:$A, 0))), 0), 0)))</f>
        <v>-439</v>
      </c>
      <c r="AE143" s="6">
        <f>MIN(0, N143+(IFERROR(IF(17*INDEX('UA-normalized'!$D:$D, MATCH($A143, 'UA-normalized'!$A:$A, 0))-INDEX('UA-normalized'!$E:$E, MATCH($A143, 'UA-normalized'!$A:$A, 0))&gt;0, -(17*INDEX('UA-normalized'!$D:$D, MATCH($A143, 'UA-normalized'!$A:$A, 0))-INDEX('UA-normalized'!$E:$E, MATCH($A143, 'UA-normalized'!$A:$A, 0))), 0), 0))+(IFERROR(IF(17*INDEX('KZ-normalized'!$D:$D, MATCH($A143, 'KZ-normalized'!$A:$A, 0))-INDEX('KZ-normalized'!$E:$E, MATCH($A143, 'KZ-normalized'!$A:$A, 0))&gt;0, -(17*INDEX('KZ-normalized'!$D:$D, MATCH($A143, 'KZ-normalized'!$A:$A, 0))-INDEX('KZ-normalized'!$E:$E, MATCH($A143, 'KZ-normalized'!$A:$A, 0))), 0), 0))+(IFERROR(IF(17*INDEX('UZ-normalized'!$D:$D, MATCH($A143, 'UZ-normalized'!$A:$A, 0))-INDEX('UZ-normalized'!$E:$E, MATCH($A143, 'UZ-normalized'!$A:$A, 0))&gt;0, -(17*INDEX('UZ-normalized'!$D:$D, MATCH($A143, 'UZ-normalized'!$A:$A, 0))-INDEX('UZ-normalized'!$E:$E, MATCH($A143, 'UZ-normalized'!$A:$A, 0))), 0), 0)))</f>
        <v>-519</v>
      </c>
      <c r="AF143" s="6">
        <f>MIN(0, N143+(IFERROR(IF(18*INDEX('UA-normalized'!$D:$D, MATCH($A143, 'UA-normalized'!$A:$A, 0))-INDEX('UA-normalized'!$E:$E, MATCH($A143, 'UA-normalized'!$A:$A, 0))&gt;0, -(18*INDEX('UA-normalized'!$D:$D, MATCH($A143, 'UA-normalized'!$A:$A, 0))-INDEX('UA-normalized'!$E:$E, MATCH($A143, 'UA-normalized'!$A:$A, 0))), 0), 0))+(IFERROR(IF(18*INDEX('KZ-normalized'!$D:$D, MATCH($A143, 'KZ-normalized'!$A:$A, 0))-INDEX('KZ-normalized'!$E:$E, MATCH($A143, 'KZ-normalized'!$A:$A, 0))&gt;0, -(18*INDEX('KZ-normalized'!$D:$D, MATCH($A143, 'KZ-normalized'!$A:$A, 0))-INDEX('KZ-normalized'!$E:$E, MATCH($A143, 'KZ-normalized'!$A:$A, 0))), 0), 0))+(IFERROR(IF(18*INDEX('UZ-normalized'!$D:$D, MATCH($A143, 'UZ-normalized'!$A:$A, 0))-INDEX('UZ-normalized'!$E:$E, MATCH($A143, 'UZ-normalized'!$A:$A, 0))&gt;0, -(18*INDEX('UZ-normalized'!$D:$D, MATCH($A143, 'UZ-normalized'!$A:$A, 0))-INDEX('UZ-normalized'!$E:$E, MATCH($A143, 'UZ-normalized'!$A:$A, 0))), 0), 0)))</f>
        <v>-599</v>
      </c>
      <c r="AG143" s="6">
        <f>MIN(0, N143+(IFERROR(IF(19*INDEX('UA-normalized'!$D:$D, MATCH($A143, 'UA-normalized'!$A:$A, 0))-INDEX('UA-normalized'!$E:$E, MATCH($A143, 'UA-normalized'!$A:$A, 0))&gt;0, -(19*INDEX('UA-normalized'!$D:$D, MATCH($A143, 'UA-normalized'!$A:$A, 0))-INDEX('UA-normalized'!$E:$E, MATCH($A143, 'UA-normalized'!$A:$A, 0))), 0), 0))+(IFERROR(IF(19*INDEX('KZ-normalized'!$D:$D, MATCH($A143, 'KZ-normalized'!$A:$A, 0))-INDEX('KZ-normalized'!$E:$E, MATCH($A143, 'KZ-normalized'!$A:$A, 0))&gt;0, -(19*INDEX('KZ-normalized'!$D:$D, MATCH($A143, 'KZ-normalized'!$A:$A, 0))-INDEX('KZ-normalized'!$E:$E, MATCH($A143, 'KZ-normalized'!$A:$A, 0))), 0), 0))+(IFERROR(IF(19*INDEX('UZ-normalized'!$D:$D, MATCH($A143, 'UZ-normalized'!$A:$A, 0))-INDEX('UZ-normalized'!$E:$E, MATCH($A143, 'UZ-normalized'!$A:$A, 0))&gt;0, -(19*INDEX('UZ-normalized'!$D:$D, MATCH($A143, 'UZ-normalized'!$A:$A, 0))-INDEX('UZ-normalized'!$E:$E, MATCH($A143, 'UZ-normalized'!$A:$A, 0))), 0), 0)))</f>
        <v>-679</v>
      </c>
      <c r="AH143" s="6">
        <f>MIN(0, N143+(IFERROR(IF(20*INDEX('UA-normalized'!$D:$D, MATCH($A143, 'UA-normalized'!$A:$A, 0))-INDEX('UA-normalized'!$E:$E, MATCH($A143, 'UA-normalized'!$A:$A, 0))&gt;0, -(20*INDEX('UA-normalized'!$D:$D, MATCH($A143, 'UA-normalized'!$A:$A, 0))-INDEX('UA-normalized'!$E:$E, MATCH($A143, 'UA-normalized'!$A:$A, 0))), 0), 0))+(IFERROR(IF(20*INDEX('KZ-normalized'!$D:$D, MATCH($A143, 'KZ-normalized'!$A:$A, 0))-INDEX('KZ-normalized'!$E:$E, MATCH($A143, 'KZ-normalized'!$A:$A, 0))&gt;0, -(20*INDEX('KZ-normalized'!$D:$D, MATCH($A143, 'KZ-normalized'!$A:$A, 0))-INDEX('KZ-normalized'!$E:$E, MATCH($A143, 'KZ-normalized'!$A:$A, 0))), 0), 0))+(IFERROR(IF(20*INDEX('UZ-normalized'!$D:$D, MATCH($A143, 'UZ-normalized'!$A:$A, 0))-INDEX('UZ-normalized'!$E:$E, MATCH($A143, 'UZ-normalized'!$A:$A, 0))&gt;0, -(20*INDEX('UZ-normalized'!$D:$D, MATCH($A143, 'UZ-normalized'!$A:$A, 0))-INDEX('UZ-normalized'!$E:$E, MATCH($A143, 'UZ-normalized'!$A:$A, 0))), 0), 0)))</f>
        <v>-759</v>
      </c>
      <c r="AI143" s="6">
        <f>MIN(0, N143+(IFERROR(IF(21*INDEX('UA-normalized'!$D:$D, MATCH($A143, 'UA-normalized'!$A:$A, 0))-INDEX('UA-normalized'!$E:$E, MATCH($A143, 'UA-normalized'!$A:$A, 0))&gt;0, -(21*INDEX('UA-normalized'!$D:$D, MATCH($A143, 'UA-normalized'!$A:$A, 0))-INDEX('UA-normalized'!$E:$E, MATCH($A143, 'UA-normalized'!$A:$A, 0))), 0), 0))+(IFERROR(IF(21*INDEX('KZ-normalized'!$D:$D, MATCH($A143, 'KZ-normalized'!$A:$A, 0))-INDEX('KZ-normalized'!$E:$E, MATCH($A143, 'KZ-normalized'!$A:$A, 0))&gt;0, -(21*INDEX('KZ-normalized'!$D:$D, MATCH($A143, 'KZ-normalized'!$A:$A, 0))-INDEX('KZ-normalized'!$E:$E, MATCH($A143, 'KZ-normalized'!$A:$A, 0))), 0), 0))+(IFERROR(IF(21*INDEX('UZ-normalized'!$D:$D, MATCH($A143, 'UZ-normalized'!$A:$A, 0))-INDEX('UZ-normalized'!$E:$E, MATCH($A143, 'UZ-normalized'!$A:$A, 0))&gt;0, -(21*INDEX('UZ-normalized'!$D:$D, MATCH($A143, 'UZ-normalized'!$A:$A, 0))-INDEX('UZ-normalized'!$E:$E, MATCH($A143, 'UZ-normalized'!$A:$A, 0))), 0), 0)))</f>
        <v>-839</v>
      </c>
      <c r="AJ143" s="6">
        <f>MIN(0, N143+(IFERROR(IF(22*INDEX('UA-normalized'!$D:$D, MATCH($A143, 'UA-normalized'!$A:$A, 0))-INDEX('UA-normalized'!$E:$E, MATCH($A143, 'UA-normalized'!$A:$A, 0))&gt;0, -(22*INDEX('UA-normalized'!$D:$D, MATCH($A143, 'UA-normalized'!$A:$A, 0))-INDEX('UA-normalized'!$E:$E, MATCH($A143, 'UA-normalized'!$A:$A, 0))), 0), 0))+(IFERROR(IF(22*INDEX('KZ-normalized'!$D:$D, MATCH($A143, 'KZ-normalized'!$A:$A, 0))-INDEX('KZ-normalized'!$E:$E, MATCH($A143, 'KZ-normalized'!$A:$A, 0))&gt;0, -(22*INDEX('KZ-normalized'!$D:$D, MATCH($A143, 'KZ-normalized'!$A:$A, 0))-INDEX('KZ-normalized'!$E:$E, MATCH($A143, 'KZ-normalized'!$A:$A, 0))), 0), 0))+(IFERROR(IF(22*INDEX('UZ-normalized'!$D:$D, MATCH($A143, 'UZ-normalized'!$A:$A, 0))-INDEX('UZ-normalized'!$E:$E, MATCH($A143, 'UZ-normalized'!$A:$A, 0))&gt;0, -(22*INDEX('UZ-normalized'!$D:$D, MATCH($A143, 'UZ-normalized'!$A:$A, 0))-INDEX('UZ-normalized'!$E:$E, MATCH($A143, 'UZ-normalized'!$A:$A, 0))), 0), 0)))</f>
        <v>-919</v>
      </c>
      <c r="AK143" s="6">
        <f>MIN(0, N143+(IFERROR(IF(23*INDEX('UA-normalized'!$D:$D, MATCH($A143, 'UA-normalized'!$A:$A, 0))-INDEX('UA-normalized'!$E:$E, MATCH($A143, 'UA-normalized'!$A:$A, 0))&gt;0, -(23*INDEX('UA-normalized'!$D:$D, MATCH($A143, 'UA-normalized'!$A:$A, 0))-INDEX('UA-normalized'!$E:$E, MATCH($A143, 'UA-normalized'!$A:$A, 0))), 0), 0))+(IFERROR(IF(23*INDEX('KZ-normalized'!$D:$D, MATCH($A143, 'KZ-normalized'!$A:$A, 0))-INDEX('KZ-normalized'!$E:$E, MATCH($A143, 'KZ-normalized'!$A:$A, 0))&gt;0, -(23*INDEX('KZ-normalized'!$D:$D, MATCH($A143, 'KZ-normalized'!$A:$A, 0))-INDEX('KZ-normalized'!$E:$E, MATCH($A143, 'KZ-normalized'!$A:$A, 0))), 0), 0))+(IFERROR(IF(23*INDEX('UZ-normalized'!$D:$D, MATCH($A143, 'UZ-normalized'!$A:$A, 0))-INDEX('UZ-normalized'!$E:$E, MATCH($A143, 'UZ-normalized'!$A:$A, 0))&gt;0, -(23*INDEX('UZ-normalized'!$D:$D, MATCH($A143, 'UZ-normalized'!$A:$A, 0))-INDEX('UZ-normalized'!$E:$E, MATCH($A143, 'UZ-normalized'!$A:$A, 0))), 0), 0)))</f>
        <v>-999</v>
      </c>
      <c r="AL143" s="6">
        <f>MIN(0, N143+(IFERROR(IF(24*INDEX('UA-normalized'!$D:$D, MATCH($A143, 'UA-normalized'!$A:$A, 0))-INDEX('UA-normalized'!$E:$E, MATCH($A143, 'UA-normalized'!$A:$A, 0))&gt;0, -(24*INDEX('UA-normalized'!$D:$D, MATCH($A143, 'UA-normalized'!$A:$A, 0))-INDEX('UA-normalized'!$E:$E, MATCH($A143, 'UA-normalized'!$A:$A, 0))), 0), 0))+(IFERROR(IF(24*INDEX('KZ-normalized'!$D:$D, MATCH($A143, 'KZ-normalized'!$A:$A, 0))-INDEX('KZ-normalized'!$E:$E, MATCH($A143, 'KZ-normalized'!$A:$A, 0))&gt;0, -(24*INDEX('KZ-normalized'!$D:$D, MATCH($A143, 'KZ-normalized'!$A:$A, 0))-INDEX('KZ-normalized'!$E:$E, MATCH($A143, 'KZ-normalized'!$A:$A, 0))), 0), 0))+(IFERROR(IF(24*INDEX('UZ-normalized'!$D:$D, MATCH($A143, 'UZ-normalized'!$A:$A, 0))-INDEX('UZ-normalized'!$E:$E, MATCH($A143, 'UZ-normalized'!$A:$A, 0))&gt;0, -(24*INDEX('UZ-normalized'!$D:$D, MATCH($A143, 'UZ-normalized'!$A:$A, 0))-INDEX('UZ-normalized'!$E:$E, MATCH($A143, 'UZ-normalized'!$A:$A, 0))), 0), 0)))</f>
        <v>-1079</v>
      </c>
      <c r="AM143" s="6">
        <f>MIN(0, N143+(IFERROR(IF(25*INDEX('UA-normalized'!$D:$D, MATCH($A143, 'UA-normalized'!$A:$A, 0))-INDEX('UA-normalized'!$E:$E, MATCH($A143, 'UA-normalized'!$A:$A, 0))&gt;0, -(25*INDEX('UA-normalized'!$D:$D, MATCH($A143, 'UA-normalized'!$A:$A, 0))-INDEX('UA-normalized'!$E:$E, MATCH($A143, 'UA-normalized'!$A:$A, 0))), 0), 0))+(IFERROR(IF(25*INDEX('KZ-normalized'!$D:$D, MATCH($A143, 'KZ-normalized'!$A:$A, 0))-INDEX('KZ-normalized'!$E:$E, MATCH($A143, 'KZ-normalized'!$A:$A, 0))&gt;0, -(25*INDEX('KZ-normalized'!$D:$D, MATCH($A143, 'KZ-normalized'!$A:$A, 0))-INDEX('KZ-normalized'!$E:$E, MATCH($A143, 'KZ-normalized'!$A:$A, 0))), 0), 0))+(IFERROR(IF(25*INDEX('UZ-normalized'!$D:$D, MATCH($A143, 'UZ-normalized'!$A:$A, 0))-INDEX('UZ-normalized'!$E:$E, MATCH($A143, 'UZ-normalized'!$A:$A, 0))&gt;0, -(25*INDEX('UZ-normalized'!$D:$D, MATCH($A143, 'UZ-normalized'!$A:$A, 0))-INDEX('UZ-normalized'!$E:$E, MATCH($A143, 'UZ-normalized'!$A:$A, 0))), 0), 0)))</f>
        <v>-1159</v>
      </c>
      <c r="AN143" s="6">
        <f>MIN(0, N143+(IFERROR(IF(26*INDEX('UA-normalized'!$D:$D, MATCH($A143, 'UA-normalized'!$A:$A, 0))-INDEX('UA-normalized'!$E:$E, MATCH($A143, 'UA-normalized'!$A:$A, 0))&gt;0, -(26*INDEX('UA-normalized'!$D:$D, MATCH($A143, 'UA-normalized'!$A:$A, 0))-INDEX('UA-normalized'!$E:$E, MATCH($A143, 'UA-normalized'!$A:$A, 0))), 0), 0))+(IFERROR(IF(26*INDEX('KZ-normalized'!$D:$D, MATCH($A143, 'KZ-normalized'!$A:$A, 0))-INDEX('KZ-normalized'!$E:$E, MATCH($A143, 'KZ-normalized'!$A:$A, 0))&gt;0, -(26*INDEX('KZ-normalized'!$D:$D, MATCH($A143, 'KZ-normalized'!$A:$A, 0))-INDEX('KZ-normalized'!$E:$E, MATCH($A143, 'KZ-normalized'!$A:$A, 0))), 0), 0))+(IFERROR(IF(26*INDEX('UZ-normalized'!$D:$D, MATCH($A143, 'UZ-normalized'!$A:$A, 0))-INDEX('UZ-normalized'!$E:$E, MATCH($A143, 'UZ-normalized'!$A:$A, 0))&gt;0, -(26*INDEX('UZ-normalized'!$D:$D, MATCH($A143, 'UZ-normalized'!$A:$A, 0))-INDEX('UZ-normalized'!$E:$E, MATCH($A143, 'UZ-normalized'!$A:$A, 0))), 0), 0)))</f>
        <v>-1239</v>
      </c>
      <c r="AO143" s="6">
        <f>MIN(0, N143+(IFERROR(IF(27*INDEX('UA-normalized'!$D:$D, MATCH($A143, 'UA-normalized'!$A:$A, 0))-INDEX('UA-normalized'!$E:$E, MATCH($A143, 'UA-normalized'!$A:$A, 0))&gt;0, -(27*INDEX('UA-normalized'!$D:$D, MATCH($A143, 'UA-normalized'!$A:$A, 0))-INDEX('UA-normalized'!$E:$E, MATCH($A143, 'UA-normalized'!$A:$A, 0))), 0), 0))+(IFERROR(IF(27*INDEX('KZ-normalized'!$D:$D, MATCH($A143, 'KZ-normalized'!$A:$A, 0))-INDEX('KZ-normalized'!$E:$E, MATCH($A143, 'KZ-normalized'!$A:$A, 0))&gt;0, -(27*INDEX('KZ-normalized'!$D:$D, MATCH($A143, 'KZ-normalized'!$A:$A, 0))-INDEX('KZ-normalized'!$E:$E, MATCH($A143, 'KZ-normalized'!$A:$A, 0))), 0), 0))+(IFERROR(IF(27*INDEX('UZ-normalized'!$D:$D, MATCH($A143, 'UZ-normalized'!$A:$A, 0))-INDEX('UZ-normalized'!$E:$E, MATCH($A143, 'UZ-normalized'!$A:$A, 0))&gt;0, -(27*INDEX('UZ-normalized'!$D:$D, MATCH($A143, 'UZ-normalized'!$A:$A, 0))-INDEX('UZ-normalized'!$E:$E, MATCH($A143, 'UZ-normalized'!$A:$A, 0))), 0), 0)))</f>
        <v>-1319</v>
      </c>
      <c r="AP143" s="6">
        <f>MIN(0, N143+(IFERROR(IF(28*INDEX('UA-normalized'!$D:$D, MATCH($A143, 'UA-normalized'!$A:$A, 0))-INDEX('UA-normalized'!$E:$E, MATCH($A143, 'UA-normalized'!$A:$A, 0))&gt;0, -(28*INDEX('UA-normalized'!$D:$D, MATCH($A143, 'UA-normalized'!$A:$A, 0))-INDEX('UA-normalized'!$E:$E, MATCH($A143, 'UA-normalized'!$A:$A, 0))), 0), 0))+(IFERROR(IF(28*INDEX('KZ-normalized'!$D:$D, MATCH($A143, 'KZ-normalized'!$A:$A, 0))-INDEX('KZ-normalized'!$E:$E, MATCH($A143, 'KZ-normalized'!$A:$A, 0))&gt;0, -(28*INDEX('KZ-normalized'!$D:$D, MATCH($A143, 'KZ-normalized'!$A:$A, 0))-INDEX('KZ-normalized'!$E:$E, MATCH($A143, 'KZ-normalized'!$A:$A, 0))), 0), 0))+(IFERROR(IF(28*INDEX('UZ-normalized'!$D:$D, MATCH($A143, 'UZ-normalized'!$A:$A, 0))-INDEX('UZ-normalized'!$E:$E, MATCH($A143, 'UZ-normalized'!$A:$A, 0))&gt;0, -(28*INDEX('UZ-normalized'!$D:$D, MATCH($A143, 'UZ-normalized'!$A:$A, 0))-INDEX('UZ-normalized'!$E:$E, MATCH($A143, 'UZ-normalized'!$A:$A, 0))), 0), 0)))</f>
        <v>-1399</v>
      </c>
      <c r="AQ143" s="6">
        <f>MIN(0, N143+(IFERROR(IF(29*INDEX('UA-normalized'!$D:$D, MATCH($A143, 'UA-normalized'!$A:$A, 0))-INDEX('UA-normalized'!$E:$E, MATCH($A143, 'UA-normalized'!$A:$A, 0))&gt;0, -(29*INDEX('UA-normalized'!$D:$D, MATCH($A143, 'UA-normalized'!$A:$A, 0))-INDEX('UA-normalized'!$E:$E, MATCH($A143, 'UA-normalized'!$A:$A, 0))), 0), 0))+(IFERROR(IF(29*INDEX('KZ-normalized'!$D:$D, MATCH($A143, 'KZ-normalized'!$A:$A, 0))-INDEX('KZ-normalized'!$E:$E, MATCH($A143, 'KZ-normalized'!$A:$A, 0))&gt;0, -(29*INDEX('KZ-normalized'!$D:$D, MATCH($A143, 'KZ-normalized'!$A:$A, 0))-INDEX('KZ-normalized'!$E:$E, MATCH($A143, 'KZ-normalized'!$A:$A, 0))), 0), 0))+(IFERROR(IF(29*INDEX('UZ-normalized'!$D:$D, MATCH($A143, 'UZ-normalized'!$A:$A, 0))-INDEX('UZ-normalized'!$E:$E, MATCH($A143, 'UZ-normalized'!$A:$A, 0))&gt;0, -(29*INDEX('UZ-normalized'!$D:$D, MATCH($A143, 'UZ-normalized'!$A:$A, 0))-INDEX('UZ-normalized'!$E:$E, MATCH($A143, 'UZ-normalized'!$A:$A, 0))), 0), 0)))</f>
        <v>-1479</v>
      </c>
      <c r="AR143" s="6">
        <f>MIN(0, N143+(IFERROR(IF(30*INDEX('UA-normalized'!$D:$D, MATCH($A143, 'UA-normalized'!$A:$A, 0))-INDEX('UA-normalized'!$E:$E, MATCH($A143, 'UA-normalized'!$A:$A, 0))&gt;0, -(30*INDEX('UA-normalized'!$D:$D, MATCH($A143, 'UA-normalized'!$A:$A, 0))-INDEX('UA-normalized'!$E:$E, MATCH($A143, 'UA-normalized'!$A:$A, 0))), 0), 0))+(IFERROR(IF(30*INDEX('KZ-normalized'!$D:$D, MATCH($A143, 'KZ-normalized'!$A:$A, 0))-INDEX('KZ-normalized'!$E:$E, MATCH($A143, 'KZ-normalized'!$A:$A, 0))&gt;0, -(30*INDEX('KZ-normalized'!$D:$D, MATCH($A143, 'KZ-normalized'!$A:$A, 0))-INDEX('KZ-normalized'!$E:$E, MATCH($A143, 'KZ-normalized'!$A:$A, 0))), 0), 0))+(IFERROR(IF(30*INDEX('UZ-normalized'!$D:$D, MATCH($A143, 'UZ-normalized'!$A:$A, 0))-INDEX('UZ-normalized'!$E:$E, MATCH($A143, 'UZ-normalized'!$A:$A, 0))&gt;0, -(30*INDEX('UZ-normalized'!$D:$D, MATCH($A143, 'UZ-normalized'!$A:$A, 0))-INDEX('UZ-normalized'!$E:$E, MATCH($A143, 'UZ-normalized'!$A:$A, 0))), 0), 0)))</f>
        <v>-1559</v>
      </c>
    </row>
    <row r="144" spans="1:44" x14ac:dyDescent="0.25">
      <c r="A144" s="8" t="s">
        <v>349</v>
      </c>
      <c r="B144" s="8" t="s">
        <v>336</v>
      </c>
      <c r="C144" s="8" t="s">
        <v>350</v>
      </c>
      <c r="D144" s="8" t="s">
        <v>351</v>
      </c>
      <c r="N144">
        <f t="shared" si="2"/>
        <v>0</v>
      </c>
      <c r="O144" s="6">
        <f>MIN(0, N144+(IFERROR(IF(1*INDEX('UA-normalized'!$D:$D, MATCH($A144, 'UA-normalized'!$A:$A, 0))-INDEX('UA-normalized'!$E:$E, MATCH($A144, 'UA-normalized'!$A:$A, 0))&gt;0, -(1*INDEX('UA-normalized'!$D:$D, MATCH($A144, 'UA-normalized'!$A:$A, 0))-INDEX('UA-normalized'!$E:$E, MATCH($A144, 'UA-normalized'!$A:$A, 0))), 0), 0))+(IFERROR(IF(1*INDEX('KZ-normalized'!$D:$D, MATCH($A144, 'KZ-normalized'!$A:$A, 0))-INDEX('KZ-normalized'!$E:$E, MATCH($A144, 'KZ-normalized'!$A:$A, 0))&gt;0, -(1*INDEX('KZ-normalized'!$D:$D, MATCH($A144, 'KZ-normalized'!$A:$A, 0))-INDEX('KZ-normalized'!$E:$E, MATCH($A144, 'KZ-normalized'!$A:$A, 0))), 0), 0))+(IFERROR(IF(1*INDEX('UZ-normalized'!$D:$D, MATCH($A144, 'UZ-normalized'!$A:$A, 0))-INDEX('UZ-normalized'!$E:$E, MATCH($A144, 'UZ-normalized'!$A:$A, 0))&gt;0, -(1*INDEX('UZ-normalized'!$D:$D, MATCH($A144, 'UZ-normalized'!$A:$A, 0))-INDEX('UZ-normalized'!$E:$E, MATCH($A144, 'UZ-normalized'!$A:$A, 0))), 0), 0)))</f>
        <v>0</v>
      </c>
      <c r="P144" s="6">
        <f>MIN(0, N144+(IFERROR(IF(2*INDEX('UA-normalized'!$D:$D, MATCH($A144, 'UA-normalized'!$A:$A, 0))-INDEX('UA-normalized'!$E:$E, MATCH($A144, 'UA-normalized'!$A:$A, 0))&gt;0, -(2*INDEX('UA-normalized'!$D:$D, MATCH($A144, 'UA-normalized'!$A:$A, 0))-INDEX('UA-normalized'!$E:$E, MATCH($A144, 'UA-normalized'!$A:$A, 0))), 0), 0))+(IFERROR(IF(2*INDEX('KZ-normalized'!$D:$D, MATCH($A144, 'KZ-normalized'!$A:$A, 0))-INDEX('KZ-normalized'!$E:$E, MATCH($A144, 'KZ-normalized'!$A:$A, 0))&gt;0, -(2*INDEX('KZ-normalized'!$D:$D, MATCH($A144, 'KZ-normalized'!$A:$A, 0))-INDEX('KZ-normalized'!$E:$E, MATCH($A144, 'KZ-normalized'!$A:$A, 0))), 0), 0))+(IFERROR(IF(2*INDEX('UZ-normalized'!$D:$D, MATCH($A144, 'UZ-normalized'!$A:$A, 0))-INDEX('UZ-normalized'!$E:$E, MATCH($A144, 'UZ-normalized'!$A:$A, 0))&gt;0, -(2*INDEX('UZ-normalized'!$D:$D, MATCH($A144, 'UZ-normalized'!$A:$A, 0))-INDEX('UZ-normalized'!$E:$E, MATCH($A144, 'UZ-normalized'!$A:$A, 0))), 0), 0)))</f>
        <v>0</v>
      </c>
      <c r="Q144" s="6">
        <f>MIN(0, N144+(IFERROR(IF(3*INDEX('UA-normalized'!$D:$D, MATCH($A144, 'UA-normalized'!$A:$A, 0))-INDEX('UA-normalized'!$E:$E, MATCH($A144, 'UA-normalized'!$A:$A, 0))&gt;0, -(3*INDEX('UA-normalized'!$D:$D, MATCH($A144, 'UA-normalized'!$A:$A, 0))-INDEX('UA-normalized'!$E:$E, MATCH($A144, 'UA-normalized'!$A:$A, 0))), 0), 0))+(IFERROR(IF(3*INDEX('KZ-normalized'!$D:$D, MATCH($A144, 'KZ-normalized'!$A:$A, 0))-INDEX('KZ-normalized'!$E:$E, MATCH($A144, 'KZ-normalized'!$A:$A, 0))&gt;0, -(3*INDEX('KZ-normalized'!$D:$D, MATCH($A144, 'KZ-normalized'!$A:$A, 0))-INDEX('KZ-normalized'!$E:$E, MATCH($A144, 'KZ-normalized'!$A:$A, 0))), 0), 0))+(IFERROR(IF(3*INDEX('UZ-normalized'!$D:$D, MATCH($A144, 'UZ-normalized'!$A:$A, 0))-INDEX('UZ-normalized'!$E:$E, MATCH($A144, 'UZ-normalized'!$A:$A, 0))&gt;0, -(3*INDEX('UZ-normalized'!$D:$D, MATCH($A144, 'UZ-normalized'!$A:$A, 0))-INDEX('UZ-normalized'!$E:$E, MATCH($A144, 'UZ-normalized'!$A:$A, 0))), 0), 0)))</f>
        <v>0</v>
      </c>
      <c r="R144" s="6">
        <f>MIN(0, N144+(IFERROR(IF(4*INDEX('UA-normalized'!$D:$D, MATCH($A144, 'UA-normalized'!$A:$A, 0))-INDEX('UA-normalized'!$E:$E, MATCH($A144, 'UA-normalized'!$A:$A, 0))&gt;0, -(4*INDEX('UA-normalized'!$D:$D, MATCH($A144, 'UA-normalized'!$A:$A, 0))-INDEX('UA-normalized'!$E:$E, MATCH($A144, 'UA-normalized'!$A:$A, 0))), 0), 0))+(IFERROR(IF(4*INDEX('KZ-normalized'!$D:$D, MATCH($A144, 'KZ-normalized'!$A:$A, 0))-INDEX('KZ-normalized'!$E:$E, MATCH($A144, 'KZ-normalized'!$A:$A, 0))&gt;0, -(4*INDEX('KZ-normalized'!$D:$D, MATCH($A144, 'KZ-normalized'!$A:$A, 0))-INDEX('KZ-normalized'!$E:$E, MATCH($A144, 'KZ-normalized'!$A:$A, 0))), 0), 0))+(IFERROR(IF(4*INDEX('UZ-normalized'!$D:$D, MATCH($A144, 'UZ-normalized'!$A:$A, 0))-INDEX('UZ-normalized'!$E:$E, MATCH($A144, 'UZ-normalized'!$A:$A, 0))&gt;0, -(4*INDEX('UZ-normalized'!$D:$D, MATCH($A144, 'UZ-normalized'!$A:$A, 0))-INDEX('UZ-normalized'!$E:$E, MATCH($A144, 'UZ-normalized'!$A:$A, 0))), 0), 0)))</f>
        <v>0</v>
      </c>
      <c r="S144" s="6">
        <f>MIN(0, N144+(IFERROR(IF(5*INDEX('UA-normalized'!$D:$D, MATCH($A144, 'UA-normalized'!$A:$A, 0))-INDEX('UA-normalized'!$E:$E, MATCH($A144, 'UA-normalized'!$A:$A, 0))&gt;0, -(5*INDEX('UA-normalized'!$D:$D, MATCH($A144, 'UA-normalized'!$A:$A, 0))-INDEX('UA-normalized'!$E:$E, MATCH($A144, 'UA-normalized'!$A:$A, 0))), 0), 0))+(IFERROR(IF(5*INDEX('KZ-normalized'!$D:$D, MATCH($A144, 'KZ-normalized'!$A:$A, 0))-INDEX('KZ-normalized'!$E:$E, MATCH($A144, 'KZ-normalized'!$A:$A, 0))&gt;0, -(5*INDEX('KZ-normalized'!$D:$D, MATCH($A144, 'KZ-normalized'!$A:$A, 0))-INDEX('KZ-normalized'!$E:$E, MATCH($A144, 'KZ-normalized'!$A:$A, 0))), 0), 0))+(IFERROR(IF(5*INDEX('UZ-normalized'!$D:$D, MATCH($A144, 'UZ-normalized'!$A:$A, 0))-INDEX('UZ-normalized'!$E:$E, MATCH($A144, 'UZ-normalized'!$A:$A, 0))&gt;0, -(5*INDEX('UZ-normalized'!$D:$D, MATCH($A144, 'UZ-normalized'!$A:$A, 0))-INDEX('UZ-normalized'!$E:$E, MATCH($A144, 'UZ-normalized'!$A:$A, 0))), 0), 0)))</f>
        <v>0</v>
      </c>
      <c r="T144" s="6">
        <f>MIN(0, N144+(IFERROR(IF(6*INDEX('UA-normalized'!$D:$D, MATCH($A144, 'UA-normalized'!$A:$A, 0))-INDEX('UA-normalized'!$E:$E, MATCH($A144, 'UA-normalized'!$A:$A, 0))&gt;0, -(6*INDEX('UA-normalized'!$D:$D, MATCH($A144, 'UA-normalized'!$A:$A, 0))-INDEX('UA-normalized'!$E:$E, MATCH($A144, 'UA-normalized'!$A:$A, 0))), 0), 0))+(IFERROR(IF(6*INDEX('KZ-normalized'!$D:$D, MATCH($A144, 'KZ-normalized'!$A:$A, 0))-INDEX('KZ-normalized'!$E:$E, MATCH($A144, 'KZ-normalized'!$A:$A, 0))&gt;0, -(6*INDEX('KZ-normalized'!$D:$D, MATCH($A144, 'KZ-normalized'!$A:$A, 0))-INDEX('KZ-normalized'!$E:$E, MATCH($A144, 'KZ-normalized'!$A:$A, 0))), 0), 0))+(IFERROR(IF(6*INDEX('UZ-normalized'!$D:$D, MATCH($A144, 'UZ-normalized'!$A:$A, 0))-INDEX('UZ-normalized'!$E:$E, MATCH($A144, 'UZ-normalized'!$A:$A, 0))&gt;0, -(6*INDEX('UZ-normalized'!$D:$D, MATCH($A144, 'UZ-normalized'!$A:$A, 0))-INDEX('UZ-normalized'!$E:$E, MATCH($A144, 'UZ-normalized'!$A:$A, 0))), 0), 0)))</f>
        <v>0</v>
      </c>
      <c r="U144" s="6">
        <f>MIN(0, N144+(IFERROR(IF(7*INDEX('UA-normalized'!$D:$D, MATCH($A144, 'UA-normalized'!$A:$A, 0))-INDEX('UA-normalized'!$E:$E, MATCH($A144, 'UA-normalized'!$A:$A, 0))&gt;0, -(7*INDEX('UA-normalized'!$D:$D, MATCH($A144, 'UA-normalized'!$A:$A, 0))-INDEX('UA-normalized'!$E:$E, MATCH($A144, 'UA-normalized'!$A:$A, 0))), 0), 0))+(IFERROR(IF(7*INDEX('KZ-normalized'!$D:$D, MATCH($A144, 'KZ-normalized'!$A:$A, 0))-INDEX('KZ-normalized'!$E:$E, MATCH($A144, 'KZ-normalized'!$A:$A, 0))&gt;0, -(7*INDEX('KZ-normalized'!$D:$D, MATCH($A144, 'KZ-normalized'!$A:$A, 0))-INDEX('KZ-normalized'!$E:$E, MATCH($A144, 'KZ-normalized'!$A:$A, 0))), 0), 0))+(IFERROR(IF(7*INDEX('UZ-normalized'!$D:$D, MATCH($A144, 'UZ-normalized'!$A:$A, 0))-INDEX('UZ-normalized'!$E:$E, MATCH($A144, 'UZ-normalized'!$A:$A, 0))&gt;0, -(7*INDEX('UZ-normalized'!$D:$D, MATCH($A144, 'UZ-normalized'!$A:$A, 0))-INDEX('UZ-normalized'!$E:$E, MATCH($A144, 'UZ-normalized'!$A:$A, 0))), 0), 0)))</f>
        <v>0</v>
      </c>
      <c r="V144" s="6">
        <f>MIN(0, N144+(IFERROR(IF(8*INDEX('UA-normalized'!$D:$D, MATCH($A144, 'UA-normalized'!$A:$A, 0))-INDEX('UA-normalized'!$E:$E, MATCH($A144, 'UA-normalized'!$A:$A, 0))&gt;0, -(8*INDEX('UA-normalized'!$D:$D, MATCH($A144, 'UA-normalized'!$A:$A, 0))-INDEX('UA-normalized'!$E:$E, MATCH($A144, 'UA-normalized'!$A:$A, 0))), 0), 0))+(IFERROR(IF(8*INDEX('KZ-normalized'!$D:$D, MATCH($A144, 'KZ-normalized'!$A:$A, 0))-INDEX('KZ-normalized'!$E:$E, MATCH($A144, 'KZ-normalized'!$A:$A, 0))&gt;0, -(8*INDEX('KZ-normalized'!$D:$D, MATCH($A144, 'KZ-normalized'!$A:$A, 0))-INDEX('KZ-normalized'!$E:$E, MATCH($A144, 'KZ-normalized'!$A:$A, 0))), 0), 0))+(IFERROR(IF(8*INDEX('UZ-normalized'!$D:$D, MATCH($A144, 'UZ-normalized'!$A:$A, 0))-INDEX('UZ-normalized'!$E:$E, MATCH($A144, 'UZ-normalized'!$A:$A, 0))&gt;0, -(8*INDEX('UZ-normalized'!$D:$D, MATCH($A144, 'UZ-normalized'!$A:$A, 0))-INDEX('UZ-normalized'!$E:$E, MATCH($A144, 'UZ-normalized'!$A:$A, 0))), 0), 0)))</f>
        <v>0</v>
      </c>
      <c r="W144" s="6">
        <f>MIN(0, N144+(IFERROR(IF(9*INDEX('UA-normalized'!$D:$D, MATCH($A144, 'UA-normalized'!$A:$A, 0))-INDEX('UA-normalized'!$E:$E, MATCH($A144, 'UA-normalized'!$A:$A, 0))&gt;0, -(9*INDEX('UA-normalized'!$D:$D, MATCH($A144, 'UA-normalized'!$A:$A, 0))-INDEX('UA-normalized'!$E:$E, MATCH($A144, 'UA-normalized'!$A:$A, 0))), 0), 0))+(IFERROR(IF(9*INDEX('KZ-normalized'!$D:$D, MATCH($A144, 'KZ-normalized'!$A:$A, 0))-INDEX('KZ-normalized'!$E:$E, MATCH($A144, 'KZ-normalized'!$A:$A, 0))&gt;0, -(9*INDEX('KZ-normalized'!$D:$D, MATCH($A144, 'KZ-normalized'!$A:$A, 0))-INDEX('KZ-normalized'!$E:$E, MATCH($A144, 'KZ-normalized'!$A:$A, 0))), 0), 0))+(IFERROR(IF(9*INDEX('UZ-normalized'!$D:$D, MATCH($A144, 'UZ-normalized'!$A:$A, 0))-INDEX('UZ-normalized'!$E:$E, MATCH($A144, 'UZ-normalized'!$A:$A, 0))&gt;0, -(9*INDEX('UZ-normalized'!$D:$D, MATCH($A144, 'UZ-normalized'!$A:$A, 0))-INDEX('UZ-normalized'!$E:$E, MATCH($A144, 'UZ-normalized'!$A:$A, 0))), 0), 0)))</f>
        <v>0</v>
      </c>
      <c r="X144" s="6">
        <f>MIN(0, N144+(IFERROR(IF(10*INDEX('UA-normalized'!$D:$D, MATCH($A144, 'UA-normalized'!$A:$A, 0))-INDEX('UA-normalized'!$E:$E, MATCH($A144, 'UA-normalized'!$A:$A, 0))&gt;0, -(10*INDEX('UA-normalized'!$D:$D, MATCH($A144, 'UA-normalized'!$A:$A, 0))-INDEX('UA-normalized'!$E:$E, MATCH($A144, 'UA-normalized'!$A:$A, 0))), 0), 0))+(IFERROR(IF(10*INDEX('KZ-normalized'!$D:$D, MATCH($A144, 'KZ-normalized'!$A:$A, 0))-INDEX('KZ-normalized'!$E:$E, MATCH($A144, 'KZ-normalized'!$A:$A, 0))&gt;0, -(10*INDEX('KZ-normalized'!$D:$D, MATCH($A144, 'KZ-normalized'!$A:$A, 0))-INDEX('KZ-normalized'!$E:$E, MATCH($A144, 'KZ-normalized'!$A:$A, 0))), 0), 0))+(IFERROR(IF(10*INDEX('UZ-normalized'!$D:$D, MATCH($A144, 'UZ-normalized'!$A:$A, 0))-INDEX('UZ-normalized'!$E:$E, MATCH($A144, 'UZ-normalized'!$A:$A, 0))&gt;0, -(10*INDEX('UZ-normalized'!$D:$D, MATCH($A144, 'UZ-normalized'!$A:$A, 0))-INDEX('UZ-normalized'!$E:$E, MATCH($A144, 'UZ-normalized'!$A:$A, 0))), 0), 0)))</f>
        <v>0</v>
      </c>
      <c r="Y144" s="6">
        <f>MIN(0, N144+(IFERROR(IF(11*INDEX('UA-normalized'!$D:$D, MATCH($A144, 'UA-normalized'!$A:$A, 0))-INDEX('UA-normalized'!$E:$E, MATCH($A144, 'UA-normalized'!$A:$A, 0))&gt;0, -(11*INDEX('UA-normalized'!$D:$D, MATCH($A144, 'UA-normalized'!$A:$A, 0))-INDEX('UA-normalized'!$E:$E, MATCH($A144, 'UA-normalized'!$A:$A, 0))), 0), 0))+(IFERROR(IF(11*INDEX('KZ-normalized'!$D:$D, MATCH($A144, 'KZ-normalized'!$A:$A, 0))-INDEX('KZ-normalized'!$E:$E, MATCH($A144, 'KZ-normalized'!$A:$A, 0))&gt;0, -(11*INDEX('KZ-normalized'!$D:$D, MATCH($A144, 'KZ-normalized'!$A:$A, 0))-INDEX('KZ-normalized'!$E:$E, MATCH($A144, 'KZ-normalized'!$A:$A, 0))), 0), 0))+(IFERROR(IF(11*INDEX('UZ-normalized'!$D:$D, MATCH($A144, 'UZ-normalized'!$A:$A, 0))-INDEX('UZ-normalized'!$E:$E, MATCH($A144, 'UZ-normalized'!$A:$A, 0))&gt;0, -(11*INDEX('UZ-normalized'!$D:$D, MATCH($A144, 'UZ-normalized'!$A:$A, 0))-INDEX('UZ-normalized'!$E:$E, MATCH($A144, 'UZ-normalized'!$A:$A, 0))), 0), 0)))</f>
        <v>0</v>
      </c>
      <c r="Z144" s="6">
        <f>MIN(0, N144+(IFERROR(IF(12*INDEX('UA-normalized'!$D:$D, MATCH($A144, 'UA-normalized'!$A:$A, 0))-INDEX('UA-normalized'!$E:$E, MATCH($A144, 'UA-normalized'!$A:$A, 0))&gt;0, -(12*INDEX('UA-normalized'!$D:$D, MATCH($A144, 'UA-normalized'!$A:$A, 0))-INDEX('UA-normalized'!$E:$E, MATCH($A144, 'UA-normalized'!$A:$A, 0))), 0), 0))+(IFERROR(IF(12*INDEX('KZ-normalized'!$D:$D, MATCH($A144, 'KZ-normalized'!$A:$A, 0))-INDEX('KZ-normalized'!$E:$E, MATCH($A144, 'KZ-normalized'!$A:$A, 0))&gt;0, -(12*INDEX('KZ-normalized'!$D:$D, MATCH($A144, 'KZ-normalized'!$A:$A, 0))-INDEX('KZ-normalized'!$E:$E, MATCH($A144, 'KZ-normalized'!$A:$A, 0))), 0), 0))+(IFERROR(IF(12*INDEX('UZ-normalized'!$D:$D, MATCH($A144, 'UZ-normalized'!$A:$A, 0))-INDEX('UZ-normalized'!$E:$E, MATCH($A144, 'UZ-normalized'!$A:$A, 0))&gt;0, -(12*INDEX('UZ-normalized'!$D:$D, MATCH($A144, 'UZ-normalized'!$A:$A, 0))-INDEX('UZ-normalized'!$E:$E, MATCH($A144, 'UZ-normalized'!$A:$A, 0))), 0), 0)))</f>
        <v>0</v>
      </c>
      <c r="AA144" s="6">
        <f>MIN(0, N144+(IFERROR(IF(13*INDEX('UA-normalized'!$D:$D, MATCH($A144, 'UA-normalized'!$A:$A, 0))-INDEX('UA-normalized'!$E:$E, MATCH($A144, 'UA-normalized'!$A:$A, 0))&gt;0, -(13*INDEX('UA-normalized'!$D:$D, MATCH($A144, 'UA-normalized'!$A:$A, 0))-INDEX('UA-normalized'!$E:$E, MATCH($A144, 'UA-normalized'!$A:$A, 0))), 0), 0))+(IFERROR(IF(13*INDEX('KZ-normalized'!$D:$D, MATCH($A144, 'KZ-normalized'!$A:$A, 0))-INDEX('KZ-normalized'!$E:$E, MATCH($A144, 'KZ-normalized'!$A:$A, 0))&gt;0, -(13*INDEX('KZ-normalized'!$D:$D, MATCH($A144, 'KZ-normalized'!$A:$A, 0))-INDEX('KZ-normalized'!$E:$E, MATCH($A144, 'KZ-normalized'!$A:$A, 0))), 0), 0))+(IFERROR(IF(13*INDEX('UZ-normalized'!$D:$D, MATCH($A144, 'UZ-normalized'!$A:$A, 0))-INDEX('UZ-normalized'!$E:$E, MATCH($A144, 'UZ-normalized'!$A:$A, 0))&gt;0, -(13*INDEX('UZ-normalized'!$D:$D, MATCH($A144, 'UZ-normalized'!$A:$A, 0))-INDEX('UZ-normalized'!$E:$E, MATCH($A144, 'UZ-normalized'!$A:$A, 0))), 0), 0)))</f>
        <v>0</v>
      </c>
      <c r="AB144" s="6">
        <f>MIN(0, N144+(IFERROR(IF(14*INDEX('UA-normalized'!$D:$D, MATCH($A144, 'UA-normalized'!$A:$A, 0))-INDEX('UA-normalized'!$E:$E, MATCH($A144, 'UA-normalized'!$A:$A, 0))&gt;0, -(14*INDEX('UA-normalized'!$D:$D, MATCH($A144, 'UA-normalized'!$A:$A, 0))-INDEX('UA-normalized'!$E:$E, MATCH($A144, 'UA-normalized'!$A:$A, 0))), 0), 0))+(IFERROR(IF(14*INDEX('KZ-normalized'!$D:$D, MATCH($A144, 'KZ-normalized'!$A:$A, 0))-INDEX('KZ-normalized'!$E:$E, MATCH($A144, 'KZ-normalized'!$A:$A, 0))&gt;0, -(14*INDEX('KZ-normalized'!$D:$D, MATCH($A144, 'KZ-normalized'!$A:$A, 0))-INDEX('KZ-normalized'!$E:$E, MATCH($A144, 'KZ-normalized'!$A:$A, 0))), 0), 0))+(IFERROR(IF(14*INDEX('UZ-normalized'!$D:$D, MATCH($A144, 'UZ-normalized'!$A:$A, 0))-INDEX('UZ-normalized'!$E:$E, MATCH($A144, 'UZ-normalized'!$A:$A, 0))&gt;0, -(14*INDEX('UZ-normalized'!$D:$D, MATCH($A144, 'UZ-normalized'!$A:$A, 0))-INDEX('UZ-normalized'!$E:$E, MATCH($A144, 'UZ-normalized'!$A:$A, 0))), 0), 0)))</f>
        <v>0</v>
      </c>
      <c r="AC144" s="6">
        <f>MIN(0, N144+(IFERROR(IF(15*INDEX('UA-normalized'!$D:$D, MATCH($A144, 'UA-normalized'!$A:$A, 0))-INDEX('UA-normalized'!$E:$E, MATCH($A144, 'UA-normalized'!$A:$A, 0))&gt;0, -(15*INDEX('UA-normalized'!$D:$D, MATCH($A144, 'UA-normalized'!$A:$A, 0))-INDEX('UA-normalized'!$E:$E, MATCH($A144, 'UA-normalized'!$A:$A, 0))), 0), 0))+(IFERROR(IF(15*INDEX('KZ-normalized'!$D:$D, MATCH($A144, 'KZ-normalized'!$A:$A, 0))-INDEX('KZ-normalized'!$E:$E, MATCH($A144, 'KZ-normalized'!$A:$A, 0))&gt;0, -(15*INDEX('KZ-normalized'!$D:$D, MATCH($A144, 'KZ-normalized'!$A:$A, 0))-INDEX('KZ-normalized'!$E:$E, MATCH($A144, 'KZ-normalized'!$A:$A, 0))), 0), 0))+(IFERROR(IF(15*INDEX('UZ-normalized'!$D:$D, MATCH($A144, 'UZ-normalized'!$A:$A, 0))-INDEX('UZ-normalized'!$E:$E, MATCH($A144, 'UZ-normalized'!$A:$A, 0))&gt;0, -(15*INDEX('UZ-normalized'!$D:$D, MATCH($A144, 'UZ-normalized'!$A:$A, 0))-INDEX('UZ-normalized'!$E:$E, MATCH($A144, 'UZ-normalized'!$A:$A, 0))), 0), 0)))</f>
        <v>0</v>
      </c>
      <c r="AD144" s="6">
        <f>MIN(0, N144+(IFERROR(IF(16*INDEX('UA-normalized'!$D:$D, MATCH($A144, 'UA-normalized'!$A:$A, 0))-INDEX('UA-normalized'!$E:$E, MATCH($A144, 'UA-normalized'!$A:$A, 0))&gt;0, -(16*INDEX('UA-normalized'!$D:$D, MATCH($A144, 'UA-normalized'!$A:$A, 0))-INDEX('UA-normalized'!$E:$E, MATCH($A144, 'UA-normalized'!$A:$A, 0))), 0), 0))+(IFERROR(IF(16*INDEX('KZ-normalized'!$D:$D, MATCH($A144, 'KZ-normalized'!$A:$A, 0))-INDEX('KZ-normalized'!$E:$E, MATCH($A144, 'KZ-normalized'!$A:$A, 0))&gt;0, -(16*INDEX('KZ-normalized'!$D:$D, MATCH($A144, 'KZ-normalized'!$A:$A, 0))-INDEX('KZ-normalized'!$E:$E, MATCH($A144, 'KZ-normalized'!$A:$A, 0))), 0), 0))+(IFERROR(IF(16*INDEX('UZ-normalized'!$D:$D, MATCH($A144, 'UZ-normalized'!$A:$A, 0))-INDEX('UZ-normalized'!$E:$E, MATCH($A144, 'UZ-normalized'!$A:$A, 0))&gt;0, -(16*INDEX('UZ-normalized'!$D:$D, MATCH($A144, 'UZ-normalized'!$A:$A, 0))-INDEX('UZ-normalized'!$E:$E, MATCH($A144, 'UZ-normalized'!$A:$A, 0))), 0), 0)))</f>
        <v>0</v>
      </c>
      <c r="AE144" s="6">
        <f>MIN(0, N144+(IFERROR(IF(17*INDEX('UA-normalized'!$D:$D, MATCH($A144, 'UA-normalized'!$A:$A, 0))-INDEX('UA-normalized'!$E:$E, MATCH($A144, 'UA-normalized'!$A:$A, 0))&gt;0, -(17*INDEX('UA-normalized'!$D:$D, MATCH($A144, 'UA-normalized'!$A:$A, 0))-INDEX('UA-normalized'!$E:$E, MATCH($A144, 'UA-normalized'!$A:$A, 0))), 0), 0))+(IFERROR(IF(17*INDEX('KZ-normalized'!$D:$D, MATCH($A144, 'KZ-normalized'!$A:$A, 0))-INDEX('KZ-normalized'!$E:$E, MATCH($A144, 'KZ-normalized'!$A:$A, 0))&gt;0, -(17*INDEX('KZ-normalized'!$D:$D, MATCH($A144, 'KZ-normalized'!$A:$A, 0))-INDEX('KZ-normalized'!$E:$E, MATCH($A144, 'KZ-normalized'!$A:$A, 0))), 0), 0))+(IFERROR(IF(17*INDEX('UZ-normalized'!$D:$D, MATCH($A144, 'UZ-normalized'!$A:$A, 0))-INDEX('UZ-normalized'!$E:$E, MATCH($A144, 'UZ-normalized'!$A:$A, 0))&gt;0, -(17*INDEX('UZ-normalized'!$D:$D, MATCH($A144, 'UZ-normalized'!$A:$A, 0))-INDEX('UZ-normalized'!$E:$E, MATCH($A144, 'UZ-normalized'!$A:$A, 0))), 0), 0)))</f>
        <v>0</v>
      </c>
      <c r="AF144" s="6">
        <f>MIN(0, N144+(IFERROR(IF(18*INDEX('UA-normalized'!$D:$D, MATCH($A144, 'UA-normalized'!$A:$A, 0))-INDEX('UA-normalized'!$E:$E, MATCH($A144, 'UA-normalized'!$A:$A, 0))&gt;0, -(18*INDEX('UA-normalized'!$D:$D, MATCH($A144, 'UA-normalized'!$A:$A, 0))-INDEX('UA-normalized'!$E:$E, MATCH($A144, 'UA-normalized'!$A:$A, 0))), 0), 0))+(IFERROR(IF(18*INDEX('KZ-normalized'!$D:$D, MATCH($A144, 'KZ-normalized'!$A:$A, 0))-INDEX('KZ-normalized'!$E:$E, MATCH($A144, 'KZ-normalized'!$A:$A, 0))&gt;0, -(18*INDEX('KZ-normalized'!$D:$D, MATCH($A144, 'KZ-normalized'!$A:$A, 0))-INDEX('KZ-normalized'!$E:$E, MATCH($A144, 'KZ-normalized'!$A:$A, 0))), 0), 0))+(IFERROR(IF(18*INDEX('UZ-normalized'!$D:$D, MATCH($A144, 'UZ-normalized'!$A:$A, 0))-INDEX('UZ-normalized'!$E:$E, MATCH($A144, 'UZ-normalized'!$A:$A, 0))&gt;0, -(18*INDEX('UZ-normalized'!$D:$D, MATCH($A144, 'UZ-normalized'!$A:$A, 0))-INDEX('UZ-normalized'!$E:$E, MATCH($A144, 'UZ-normalized'!$A:$A, 0))), 0), 0)))</f>
        <v>0</v>
      </c>
      <c r="AG144" s="6">
        <f>MIN(0, N144+(IFERROR(IF(19*INDEX('UA-normalized'!$D:$D, MATCH($A144, 'UA-normalized'!$A:$A, 0))-INDEX('UA-normalized'!$E:$E, MATCH($A144, 'UA-normalized'!$A:$A, 0))&gt;0, -(19*INDEX('UA-normalized'!$D:$D, MATCH($A144, 'UA-normalized'!$A:$A, 0))-INDEX('UA-normalized'!$E:$E, MATCH($A144, 'UA-normalized'!$A:$A, 0))), 0), 0))+(IFERROR(IF(19*INDEX('KZ-normalized'!$D:$D, MATCH($A144, 'KZ-normalized'!$A:$A, 0))-INDEX('KZ-normalized'!$E:$E, MATCH($A144, 'KZ-normalized'!$A:$A, 0))&gt;0, -(19*INDEX('KZ-normalized'!$D:$D, MATCH($A144, 'KZ-normalized'!$A:$A, 0))-INDEX('KZ-normalized'!$E:$E, MATCH($A144, 'KZ-normalized'!$A:$A, 0))), 0), 0))+(IFERROR(IF(19*INDEX('UZ-normalized'!$D:$D, MATCH($A144, 'UZ-normalized'!$A:$A, 0))-INDEX('UZ-normalized'!$E:$E, MATCH($A144, 'UZ-normalized'!$A:$A, 0))&gt;0, -(19*INDEX('UZ-normalized'!$D:$D, MATCH($A144, 'UZ-normalized'!$A:$A, 0))-INDEX('UZ-normalized'!$E:$E, MATCH($A144, 'UZ-normalized'!$A:$A, 0))), 0), 0)))</f>
        <v>0</v>
      </c>
      <c r="AH144" s="6">
        <f>MIN(0, N144+(IFERROR(IF(20*INDEX('UA-normalized'!$D:$D, MATCH($A144, 'UA-normalized'!$A:$A, 0))-INDEX('UA-normalized'!$E:$E, MATCH($A144, 'UA-normalized'!$A:$A, 0))&gt;0, -(20*INDEX('UA-normalized'!$D:$D, MATCH($A144, 'UA-normalized'!$A:$A, 0))-INDEX('UA-normalized'!$E:$E, MATCH($A144, 'UA-normalized'!$A:$A, 0))), 0), 0))+(IFERROR(IF(20*INDEX('KZ-normalized'!$D:$D, MATCH($A144, 'KZ-normalized'!$A:$A, 0))-INDEX('KZ-normalized'!$E:$E, MATCH($A144, 'KZ-normalized'!$A:$A, 0))&gt;0, -(20*INDEX('KZ-normalized'!$D:$D, MATCH($A144, 'KZ-normalized'!$A:$A, 0))-INDEX('KZ-normalized'!$E:$E, MATCH($A144, 'KZ-normalized'!$A:$A, 0))), 0), 0))+(IFERROR(IF(20*INDEX('UZ-normalized'!$D:$D, MATCH($A144, 'UZ-normalized'!$A:$A, 0))-INDEX('UZ-normalized'!$E:$E, MATCH($A144, 'UZ-normalized'!$A:$A, 0))&gt;0, -(20*INDEX('UZ-normalized'!$D:$D, MATCH($A144, 'UZ-normalized'!$A:$A, 0))-INDEX('UZ-normalized'!$E:$E, MATCH($A144, 'UZ-normalized'!$A:$A, 0))), 0), 0)))</f>
        <v>0</v>
      </c>
      <c r="AI144" s="6">
        <f>MIN(0, N144+(IFERROR(IF(21*INDEX('UA-normalized'!$D:$D, MATCH($A144, 'UA-normalized'!$A:$A, 0))-INDEX('UA-normalized'!$E:$E, MATCH($A144, 'UA-normalized'!$A:$A, 0))&gt;0, -(21*INDEX('UA-normalized'!$D:$D, MATCH($A144, 'UA-normalized'!$A:$A, 0))-INDEX('UA-normalized'!$E:$E, MATCH($A144, 'UA-normalized'!$A:$A, 0))), 0), 0))+(IFERROR(IF(21*INDEX('KZ-normalized'!$D:$D, MATCH($A144, 'KZ-normalized'!$A:$A, 0))-INDEX('KZ-normalized'!$E:$E, MATCH($A144, 'KZ-normalized'!$A:$A, 0))&gt;0, -(21*INDEX('KZ-normalized'!$D:$D, MATCH($A144, 'KZ-normalized'!$A:$A, 0))-INDEX('KZ-normalized'!$E:$E, MATCH($A144, 'KZ-normalized'!$A:$A, 0))), 0), 0))+(IFERROR(IF(21*INDEX('UZ-normalized'!$D:$D, MATCH($A144, 'UZ-normalized'!$A:$A, 0))-INDEX('UZ-normalized'!$E:$E, MATCH($A144, 'UZ-normalized'!$A:$A, 0))&gt;0, -(21*INDEX('UZ-normalized'!$D:$D, MATCH($A144, 'UZ-normalized'!$A:$A, 0))-INDEX('UZ-normalized'!$E:$E, MATCH($A144, 'UZ-normalized'!$A:$A, 0))), 0), 0)))</f>
        <v>0</v>
      </c>
      <c r="AJ144" s="6">
        <f>MIN(0, N144+(IFERROR(IF(22*INDEX('UA-normalized'!$D:$D, MATCH($A144, 'UA-normalized'!$A:$A, 0))-INDEX('UA-normalized'!$E:$E, MATCH($A144, 'UA-normalized'!$A:$A, 0))&gt;0, -(22*INDEX('UA-normalized'!$D:$D, MATCH($A144, 'UA-normalized'!$A:$A, 0))-INDEX('UA-normalized'!$E:$E, MATCH($A144, 'UA-normalized'!$A:$A, 0))), 0), 0))+(IFERROR(IF(22*INDEX('KZ-normalized'!$D:$D, MATCH($A144, 'KZ-normalized'!$A:$A, 0))-INDEX('KZ-normalized'!$E:$E, MATCH($A144, 'KZ-normalized'!$A:$A, 0))&gt;0, -(22*INDEX('KZ-normalized'!$D:$D, MATCH($A144, 'KZ-normalized'!$A:$A, 0))-INDEX('KZ-normalized'!$E:$E, MATCH($A144, 'KZ-normalized'!$A:$A, 0))), 0), 0))+(IFERROR(IF(22*INDEX('UZ-normalized'!$D:$D, MATCH($A144, 'UZ-normalized'!$A:$A, 0))-INDEX('UZ-normalized'!$E:$E, MATCH($A144, 'UZ-normalized'!$A:$A, 0))&gt;0, -(22*INDEX('UZ-normalized'!$D:$D, MATCH($A144, 'UZ-normalized'!$A:$A, 0))-INDEX('UZ-normalized'!$E:$E, MATCH($A144, 'UZ-normalized'!$A:$A, 0))), 0), 0)))</f>
        <v>0</v>
      </c>
      <c r="AK144" s="6">
        <f>MIN(0, N144+(IFERROR(IF(23*INDEX('UA-normalized'!$D:$D, MATCH($A144, 'UA-normalized'!$A:$A, 0))-INDEX('UA-normalized'!$E:$E, MATCH($A144, 'UA-normalized'!$A:$A, 0))&gt;0, -(23*INDEX('UA-normalized'!$D:$D, MATCH($A144, 'UA-normalized'!$A:$A, 0))-INDEX('UA-normalized'!$E:$E, MATCH($A144, 'UA-normalized'!$A:$A, 0))), 0), 0))+(IFERROR(IF(23*INDEX('KZ-normalized'!$D:$D, MATCH($A144, 'KZ-normalized'!$A:$A, 0))-INDEX('KZ-normalized'!$E:$E, MATCH($A144, 'KZ-normalized'!$A:$A, 0))&gt;0, -(23*INDEX('KZ-normalized'!$D:$D, MATCH($A144, 'KZ-normalized'!$A:$A, 0))-INDEX('KZ-normalized'!$E:$E, MATCH($A144, 'KZ-normalized'!$A:$A, 0))), 0), 0))+(IFERROR(IF(23*INDEX('UZ-normalized'!$D:$D, MATCH($A144, 'UZ-normalized'!$A:$A, 0))-INDEX('UZ-normalized'!$E:$E, MATCH($A144, 'UZ-normalized'!$A:$A, 0))&gt;0, -(23*INDEX('UZ-normalized'!$D:$D, MATCH($A144, 'UZ-normalized'!$A:$A, 0))-INDEX('UZ-normalized'!$E:$E, MATCH($A144, 'UZ-normalized'!$A:$A, 0))), 0), 0)))</f>
        <v>0</v>
      </c>
      <c r="AL144" s="6">
        <f>MIN(0, N144+(IFERROR(IF(24*INDEX('UA-normalized'!$D:$D, MATCH($A144, 'UA-normalized'!$A:$A, 0))-INDEX('UA-normalized'!$E:$E, MATCH($A144, 'UA-normalized'!$A:$A, 0))&gt;0, -(24*INDEX('UA-normalized'!$D:$D, MATCH($A144, 'UA-normalized'!$A:$A, 0))-INDEX('UA-normalized'!$E:$E, MATCH($A144, 'UA-normalized'!$A:$A, 0))), 0), 0))+(IFERROR(IF(24*INDEX('KZ-normalized'!$D:$D, MATCH($A144, 'KZ-normalized'!$A:$A, 0))-INDEX('KZ-normalized'!$E:$E, MATCH($A144, 'KZ-normalized'!$A:$A, 0))&gt;0, -(24*INDEX('KZ-normalized'!$D:$D, MATCH($A144, 'KZ-normalized'!$A:$A, 0))-INDEX('KZ-normalized'!$E:$E, MATCH($A144, 'KZ-normalized'!$A:$A, 0))), 0), 0))+(IFERROR(IF(24*INDEX('UZ-normalized'!$D:$D, MATCH($A144, 'UZ-normalized'!$A:$A, 0))-INDEX('UZ-normalized'!$E:$E, MATCH($A144, 'UZ-normalized'!$A:$A, 0))&gt;0, -(24*INDEX('UZ-normalized'!$D:$D, MATCH($A144, 'UZ-normalized'!$A:$A, 0))-INDEX('UZ-normalized'!$E:$E, MATCH($A144, 'UZ-normalized'!$A:$A, 0))), 0), 0)))</f>
        <v>0</v>
      </c>
      <c r="AM144" s="6">
        <f>MIN(0, N144+(IFERROR(IF(25*INDEX('UA-normalized'!$D:$D, MATCH($A144, 'UA-normalized'!$A:$A, 0))-INDEX('UA-normalized'!$E:$E, MATCH($A144, 'UA-normalized'!$A:$A, 0))&gt;0, -(25*INDEX('UA-normalized'!$D:$D, MATCH($A144, 'UA-normalized'!$A:$A, 0))-INDEX('UA-normalized'!$E:$E, MATCH($A144, 'UA-normalized'!$A:$A, 0))), 0), 0))+(IFERROR(IF(25*INDEX('KZ-normalized'!$D:$D, MATCH($A144, 'KZ-normalized'!$A:$A, 0))-INDEX('KZ-normalized'!$E:$E, MATCH($A144, 'KZ-normalized'!$A:$A, 0))&gt;0, -(25*INDEX('KZ-normalized'!$D:$D, MATCH($A144, 'KZ-normalized'!$A:$A, 0))-INDEX('KZ-normalized'!$E:$E, MATCH($A144, 'KZ-normalized'!$A:$A, 0))), 0), 0))+(IFERROR(IF(25*INDEX('UZ-normalized'!$D:$D, MATCH($A144, 'UZ-normalized'!$A:$A, 0))-INDEX('UZ-normalized'!$E:$E, MATCH($A144, 'UZ-normalized'!$A:$A, 0))&gt;0, -(25*INDEX('UZ-normalized'!$D:$D, MATCH($A144, 'UZ-normalized'!$A:$A, 0))-INDEX('UZ-normalized'!$E:$E, MATCH($A144, 'UZ-normalized'!$A:$A, 0))), 0), 0)))</f>
        <v>0</v>
      </c>
      <c r="AN144" s="6">
        <f>MIN(0, N144+(IFERROR(IF(26*INDEX('UA-normalized'!$D:$D, MATCH($A144, 'UA-normalized'!$A:$A, 0))-INDEX('UA-normalized'!$E:$E, MATCH($A144, 'UA-normalized'!$A:$A, 0))&gt;0, -(26*INDEX('UA-normalized'!$D:$D, MATCH($A144, 'UA-normalized'!$A:$A, 0))-INDEX('UA-normalized'!$E:$E, MATCH($A144, 'UA-normalized'!$A:$A, 0))), 0), 0))+(IFERROR(IF(26*INDEX('KZ-normalized'!$D:$D, MATCH($A144, 'KZ-normalized'!$A:$A, 0))-INDEX('KZ-normalized'!$E:$E, MATCH($A144, 'KZ-normalized'!$A:$A, 0))&gt;0, -(26*INDEX('KZ-normalized'!$D:$D, MATCH($A144, 'KZ-normalized'!$A:$A, 0))-INDEX('KZ-normalized'!$E:$E, MATCH($A144, 'KZ-normalized'!$A:$A, 0))), 0), 0))+(IFERROR(IF(26*INDEX('UZ-normalized'!$D:$D, MATCH($A144, 'UZ-normalized'!$A:$A, 0))-INDEX('UZ-normalized'!$E:$E, MATCH($A144, 'UZ-normalized'!$A:$A, 0))&gt;0, -(26*INDEX('UZ-normalized'!$D:$D, MATCH($A144, 'UZ-normalized'!$A:$A, 0))-INDEX('UZ-normalized'!$E:$E, MATCH($A144, 'UZ-normalized'!$A:$A, 0))), 0), 0)))</f>
        <v>0</v>
      </c>
      <c r="AO144" s="6">
        <f>MIN(0, N144+(IFERROR(IF(27*INDEX('UA-normalized'!$D:$D, MATCH($A144, 'UA-normalized'!$A:$A, 0))-INDEX('UA-normalized'!$E:$E, MATCH($A144, 'UA-normalized'!$A:$A, 0))&gt;0, -(27*INDEX('UA-normalized'!$D:$D, MATCH($A144, 'UA-normalized'!$A:$A, 0))-INDEX('UA-normalized'!$E:$E, MATCH($A144, 'UA-normalized'!$A:$A, 0))), 0), 0))+(IFERROR(IF(27*INDEX('KZ-normalized'!$D:$D, MATCH($A144, 'KZ-normalized'!$A:$A, 0))-INDEX('KZ-normalized'!$E:$E, MATCH($A144, 'KZ-normalized'!$A:$A, 0))&gt;0, -(27*INDEX('KZ-normalized'!$D:$D, MATCH($A144, 'KZ-normalized'!$A:$A, 0))-INDEX('KZ-normalized'!$E:$E, MATCH($A144, 'KZ-normalized'!$A:$A, 0))), 0), 0))+(IFERROR(IF(27*INDEX('UZ-normalized'!$D:$D, MATCH($A144, 'UZ-normalized'!$A:$A, 0))-INDEX('UZ-normalized'!$E:$E, MATCH($A144, 'UZ-normalized'!$A:$A, 0))&gt;0, -(27*INDEX('UZ-normalized'!$D:$D, MATCH($A144, 'UZ-normalized'!$A:$A, 0))-INDEX('UZ-normalized'!$E:$E, MATCH($A144, 'UZ-normalized'!$A:$A, 0))), 0), 0)))</f>
        <v>0</v>
      </c>
      <c r="AP144" s="6">
        <f>MIN(0, N144+(IFERROR(IF(28*INDEX('UA-normalized'!$D:$D, MATCH($A144, 'UA-normalized'!$A:$A, 0))-INDEX('UA-normalized'!$E:$E, MATCH($A144, 'UA-normalized'!$A:$A, 0))&gt;0, -(28*INDEX('UA-normalized'!$D:$D, MATCH($A144, 'UA-normalized'!$A:$A, 0))-INDEX('UA-normalized'!$E:$E, MATCH($A144, 'UA-normalized'!$A:$A, 0))), 0), 0))+(IFERROR(IF(28*INDEX('KZ-normalized'!$D:$D, MATCH($A144, 'KZ-normalized'!$A:$A, 0))-INDEX('KZ-normalized'!$E:$E, MATCH($A144, 'KZ-normalized'!$A:$A, 0))&gt;0, -(28*INDEX('KZ-normalized'!$D:$D, MATCH($A144, 'KZ-normalized'!$A:$A, 0))-INDEX('KZ-normalized'!$E:$E, MATCH($A144, 'KZ-normalized'!$A:$A, 0))), 0), 0))+(IFERROR(IF(28*INDEX('UZ-normalized'!$D:$D, MATCH($A144, 'UZ-normalized'!$A:$A, 0))-INDEX('UZ-normalized'!$E:$E, MATCH($A144, 'UZ-normalized'!$A:$A, 0))&gt;0, -(28*INDEX('UZ-normalized'!$D:$D, MATCH($A144, 'UZ-normalized'!$A:$A, 0))-INDEX('UZ-normalized'!$E:$E, MATCH($A144, 'UZ-normalized'!$A:$A, 0))), 0), 0)))</f>
        <v>0</v>
      </c>
      <c r="AQ144" s="6">
        <f>MIN(0, N144+(IFERROR(IF(29*INDEX('UA-normalized'!$D:$D, MATCH($A144, 'UA-normalized'!$A:$A, 0))-INDEX('UA-normalized'!$E:$E, MATCH($A144, 'UA-normalized'!$A:$A, 0))&gt;0, -(29*INDEX('UA-normalized'!$D:$D, MATCH($A144, 'UA-normalized'!$A:$A, 0))-INDEX('UA-normalized'!$E:$E, MATCH($A144, 'UA-normalized'!$A:$A, 0))), 0), 0))+(IFERROR(IF(29*INDEX('KZ-normalized'!$D:$D, MATCH($A144, 'KZ-normalized'!$A:$A, 0))-INDEX('KZ-normalized'!$E:$E, MATCH($A144, 'KZ-normalized'!$A:$A, 0))&gt;0, -(29*INDEX('KZ-normalized'!$D:$D, MATCH($A144, 'KZ-normalized'!$A:$A, 0))-INDEX('KZ-normalized'!$E:$E, MATCH($A144, 'KZ-normalized'!$A:$A, 0))), 0), 0))+(IFERROR(IF(29*INDEX('UZ-normalized'!$D:$D, MATCH($A144, 'UZ-normalized'!$A:$A, 0))-INDEX('UZ-normalized'!$E:$E, MATCH($A144, 'UZ-normalized'!$A:$A, 0))&gt;0, -(29*INDEX('UZ-normalized'!$D:$D, MATCH($A144, 'UZ-normalized'!$A:$A, 0))-INDEX('UZ-normalized'!$E:$E, MATCH($A144, 'UZ-normalized'!$A:$A, 0))), 0), 0)))</f>
        <v>0</v>
      </c>
      <c r="AR144" s="6">
        <f>MIN(0, N144+(IFERROR(IF(30*INDEX('UA-normalized'!$D:$D, MATCH($A144, 'UA-normalized'!$A:$A, 0))-INDEX('UA-normalized'!$E:$E, MATCH($A144, 'UA-normalized'!$A:$A, 0))&gt;0, -(30*INDEX('UA-normalized'!$D:$D, MATCH($A144, 'UA-normalized'!$A:$A, 0))-INDEX('UA-normalized'!$E:$E, MATCH($A144, 'UA-normalized'!$A:$A, 0))), 0), 0))+(IFERROR(IF(30*INDEX('KZ-normalized'!$D:$D, MATCH($A144, 'KZ-normalized'!$A:$A, 0))-INDEX('KZ-normalized'!$E:$E, MATCH($A144, 'KZ-normalized'!$A:$A, 0))&gt;0, -(30*INDEX('KZ-normalized'!$D:$D, MATCH($A144, 'KZ-normalized'!$A:$A, 0))-INDEX('KZ-normalized'!$E:$E, MATCH($A144, 'KZ-normalized'!$A:$A, 0))), 0), 0))+(IFERROR(IF(30*INDEX('UZ-normalized'!$D:$D, MATCH($A144, 'UZ-normalized'!$A:$A, 0))-INDEX('UZ-normalized'!$E:$E, MATCH($A144, 'UZ-normalized'!$A:$A, 0))&gt;0, -(30*INDEX('UZ-normalized'!$D:$D, MATCH($A144, 'UZ-normalized'!$A:$A, 0))-INDEX('UZ-normalized'!$E:$E, MATCH($A144, 'UZ-normalized'!$A:$A, 0))), 0), 0)))</f>
        <v>0</v>
      </c>
    </row>
    <row r="145" spans="1:44" x14ac:dyDescent="0.25">
      <c r="A145" s="8" t="s">
        <v>352</v>
      </c>
      <c r="B145" s="8" t="s">
        <v>336</v>
      </c>
      <c r="C145" s="8" t="s">
        <v>350</v>
      </c>
      <c r="D145" s="8" t="s">
        <v>353</v>
      </c>
      <c r="N145">
        <f t="shared" si="2"/>
        <v>0</v>
      </c>
      <c r="O145" s="6">
        <f>MIN(0, N145+(IFERROR(IF(1*INDEX('UA-normalized'!$D:$D, MATCH($A145, 'UA-normalized'!$A:$A, 0))-INDEX('UA-normalized'!$E:$E, MATCH($A145, 'UA-normalized'!$A:$A, 0))&gt;0, -(1*INDEX('UA-normalized'!$D:$D, MATCH($A145, 'UA-normalized'!$A:$A, 0))-INDEX('UA-normalized'!$E:$E, MATCH($A145, 'UA-normalized'!$A:$A, 0))), 0), 0))+(IFERROR(IF(1*INDEX('KZ-normalized'!$D:$D, MATCH($A145, 'KZ-normalized'!$A:$A, 0))-INDEX('KZ-normalized'!$E:$E, MATCH($A145, 'KZ-normalized'!$A:$A, 0))&gt;0, -(1*INDEX('KZ-normalized'!$D:$D, MATCH($A145, 'KZ-normalized'!$A:$A, 0))-INDEX('KZ-normalized'!$E:$E, MATCH($A145, 'KZ-normalized'!$A:$A, 0))), 0), 0))+(IFERROR(IF(1*INDEX('UZ-normalized'!$D:$D, MATCH($A145, 'UZ-normalized'!$A:$A, 0))-INDEX('UZ-normalized'!$E:$E, MATCH($A145, 'UZ-normalized'!$A:$A, 0))&gt;0, -(1*INDEX('UZ-normalized'!$D:$D, MATCH($A145, 'UZ-normalized'!$A:$A, 0))-INDEX('UZ-normalized'!$E:$E, MATCH($A145, 'UZ-normalized'!$A:$A, 0))), 0), 0)))</f>
        <v>0</v>
      </c>
      <c r="P145" s="6">
        <f>MIN(0, N145+(IFERROR(IF(2*INDEX('UA-normalized'!$D:$D, MATCH($A145, 'UA-normalized'!$A:$A, 0))-INDEX('UA-normalized'!$E:$E, MATCH($A145, 'UA-normalized'!$A:$A, 0))&gt;0, -(2*INDEX('UA-normalized'!$D:$D, MATCH($A145, 'UA-normalized'!$A:$A, 0))-INDEX('UA-normalized'!$E:$E, MATCH($A145, 'UA-normalized'!$A:$A, 0))), 0), 0))+(IFERROR(IF(2*INDEX('KZ-normalized'!$D:$D, MATCH($A145, 'KZ-normalized'!$A:$A, 0))-INDEX('KZ-normalized'!$E:$E, MATCH($A145, 'KZ-normalized'!$A:$A, 0))&gt;0, -(2*INDEX('KZ-normalized'!$D:$D, MATCH($A145, 'KZ-normalized'!$A:$A, 0))-INDEX('KZ-normalized'!$E:$E, MATCH($A145, 'KZ-normalized'!$A:$A, 0))), 0), 0))+(IFERROR(IF(2*INDEX('UZ-normalized'!$D:$D, MATCH($A145, 'UZ-normalized'!$A:$A, 0))-INDEX('UZ-normalized'!$E:$E, MATCH($A145, 'UZ-normalized'!$A:$A, 0))&gt;0, -(2*INDEX('UZ-normalized'!$D:$D, MATCH($A145, 'UZ-normalized'!$A:$A, 0))-INDEX('UZ-normalized'!$E:$E, MATCH($A145, 'UZ-normalized'!$A:$A, 0))), 0), 0)))</f>
        <v>0</v>
      </c>
      <c r="Q145" s="6">
        <f>MIN(0, N145+(IFERROR(IF(3*INDEX('UA-normalized'!$D:$D, MATCH($A145, 'UA-normalized'!$A:$A, 0))-INDEX('UA-normalized'!$E:$E, MATCH($A145, 'UA-normalized'!$A:$A, 0))&gt;0, -(3*INDEX('UA-normalized'!$D:$D, MATCH($A145, 'UA-normalized'!$A:$A, 0))-INDEX('UA-normalized'!$E:$E, MATCH($A145, 'UA-normalized'!$A:$A, 0))), 0), 0))+(IFERROR(IF(3*INDEX('KZ-normalized'!$D:$D, MATCH($A145, 'KZ-normalized'!$A:$A, 0))-INDEX('KZ-normalized'!$E:$E, MATCH($A145, 'KZ-normalized'!$A:$A, 0))&gt;0, -(3*INDEX('KZ-normalized'!$D:$D, MATCH($A145, 'KZ-normalized'!$A:$A, 0))-INDEX('KZ-normalized'!$E:$E, MATCH($A145, 'KZ-normalized'!$A:$A, 0))), 0), 0))+(IFERROR(IF(3*INDEX('UZ-normalized'!$D:$D, MATCH($A145, 'UZ-normalized'!$A:$A, 0))-INDEX('UZ-normalized'!$E:$E, MATCH($A145, 'UZ-normalized'!$A:$A, 0))&gt;0, -(3*INDEX('UZ-normalized'!$D:$D, MATCH($A145, 'UZ-normalized'!$A:$A, 0))-INDEX('UZ-normalized'!$E:$E, MATCH($A145, 'UZ-normalized'!$A:$A, 0))), 0), 0)))</f>
        <v>0</v>
      </c>
      <c r="R145" s="6">
        <f>MIN(0, N145+(IFERROR(IF(4*INDEX('UA-normalized'!$D:$D, MATCH($A145, 'UA-normalized'!$A:$A, 0))-INDEX('UA-normalized'!$E:$E, MATCH($A145, 'UA-normalized'!$A:$A, 0))&gt;0, -(4*INDEX('UA-normalized'!$D:$D, MATCH($A145, 'UA-normalized'!$A:$A, 0))-INDEX('UA-normalized'!$E:$E, MATCH($A145, 'UA-normalized'!$A:$A, 0))), 0), 0))+(IFERROR(IF(4*INDEX('KZ-normalized'!$D:$D, MATCH($A145, 'KZ-normalized'!$A:$A, 0))-INDEX('KZ-normalized'!$E:$E, MATCH($A145, 'KZ-normalized'!$A:$A, 0))&gt;0, -(4*INDEX('KZ-normalized'!$D:$D, MATCH($A145, 'KZ-normalized'!$A:$A, 0))-INDEX('KZ-normalized'!$E:$E, MATCH($A145, 'KZ-normalized'!$A:$A, 0))), 0), 0))+(IFERROR(IF(4*INDEX('UZ-normalized'!$D:$D, MATCH($A145, 'UZ-normalized'!$A:$A, 0))-INDEX('UZ-normalized'!$E:$E, MATCH($A145, 'UZ-normalized'!$A:$A, 0))&gt;0, -(4*INDEX('UZ-normalized'!$D:$D, MATCH($A145, 'UZ-normalized'!$A:$A, 0))-INDEX('UZ-normalized'!$E:$E, MATCH($A145, 'UZ-normalized'!$A:$A, 0))), 0), 0)))</f>
        <v>0</v>
      </c>
      <c r="S145" s="6">
        <f>MIN(0, N145+(IFERROR(IF(5*INDEX('UA-normalized'!$D:$D, MATCH($A145, 'UA-normalized'!$A:$A, 0))-INDEX('UA-normalized'!$E:$E, MATCH($A145, 'UA-normalized'!$A:$A, 0))&gt;0, -(5*INDEX('UA-normalized'!$D:$D, MATCH($A145, 'UA-normalized'!$A:$A, 0))-INDEX('UA-normalized'!$E:$E, MATCH($A145, 'UA-normalized'!$A:$A, 0))), 0), 0))+(IFERROR(IF(5*INDEX('KZ-normalized'!$D:$D, MATCH($A145, 'KZ-normalized'!$A:$A, 0))-INDEX('KZ-normalized'!$E:$E, MATCH($A145, 'KZ-normalized'!$A:$A, 0))&gt;0, -(5*INDEX('KZ-normalized'!$D:$D, MATCH($A145, 'KZ-normalized'!$A:$A, 0))-INDEX('KZ-normalized'!$E:$E, MATCH($A145, 'KZ-normalized'!$A:$A, 0))), 0), 0))+(IFERROR(IF(5*INDEX('UZ-normalized'!$D:$D, MATCH($A145, 'UZ-normalized'!$A:$A, 0))-INDEX('UZ-normalized'!$E:$E, MATCH($A145, 'UZ-normalized'!$A:$A, 0))&gt;0, -(5*INDEX('UZ-normalized'!$D:$D, MATCH($A145, 'UZ-normalized'!$A:$A, 0))-INDEX('UZ-normalized'!$E:$E, MATCH($A145, 'UZ-normalized'!$A:$A, 0))), 0), 0)))</f>
        <v>0</v>
      </c>
      <c r="T145" s="6">
        <f>MIN(0, N145+(IFERROR(IF(6*INDEX('UA-normalized'!$D:$D, MATCH($A145, 'UA-normalized'!$A:$A, 0))-INDEX('UA-normalized'!$E:$E, MATCH($A145, 'UA-normalized'!$A:$A, 0))&gt;0, -(6*INDEX('UA-normalized'!$D:$D, MATCH($A145, 'UA-normalized'!$A:$A, 0))-INDEX('UA-normalized'!$E:$E, MATCH($A145, 'UA-normalized'!$A:$A, 0))), 0), 0))+(IFERROR(IF(6*INDEX('KZ-normalized'!$D:$D, MATCH($A145, 'KZ-normalized'!$A:$A, 0))-INDEX('KZ-normalized'!$E:$E, MATCH($A145, 'KZ-normalized'!$A:$A, 0))&gt;0, -(6*INDEX('KZ-normalized'!$D:$D, MATCH($A145, 'KZ-normalized'!$A:$A, 0))-INDEX('KZ-normalized'!$E:$E, MATCH($A145, 'KZ-normalized'!$A:$A, 0))), 0), 0))+(IFERROR(IF(6*INDEX('UZ-normalized'!$D:$D, MATCH($A145, 'UZ-normalized'!$A:$A, 0))-INDEX('UZ-normalized'!$E:$E, MATCH($A145, 'UZ-normalized'!$A:$A, 0))&gt;0, -(6*INDEX('UZ-normalized'!$D:$D, MATCH($A145, 'UZ-normalized'!$A:$A, 0))-INDEX('UZ-normalized'!$E:$E, MATCH($A145, 'UZ-normalized'!$A:$A, 0))), 0), 0)))</f>
        <v>0</v>
      </c>
      <c r="U145" s="6">
        <f>MIN(0, N145+(IFERROR(IF(7*INDEX('UA-normalized'!$D:$D, MATCH($A145, 'UA-normalized'!$A:$A, 0))-INDEX('UA-normalized'!$E:$E, MATCH($A145, 'UA-normalized'!$A:$A, 0))&gt;0, -(7*INDEX('UA-normalized'!$D:$D, MATCH($A145, 'UA-normalized'!$A:$A, 0))-INDEX('UA-normalized'!$E:$E, MATCH($A145, 'UA-normalized'!$A:$A, 0))), 0), 0))+(IFERROR(IF(7*INDEX('KZ-normalized'!$D:$D, MATCH($A145, 'KZ-normalized'!$A:$A, 0))-INDEX('KZ-normalized'!$E:$E, MATCH($A145, 'KZ-normalized'!$A:$A, 0))&gt;0, -(7*INDEX('KZ-normalized'!$D:$D, MATCH($A145, 'KZ-normalized'!$A:$A, 0))-INDEX('KZ-normalized'!$E:$E, MATCH($A145, 'KZ-normalized'!$A:$A, 0))), 0), 0))+(IFERROR(IF(7*INDEX('UZ-normalized'!$D:$D, MATCH($A145, 'UZ-normalized'!$A:$A, 0))-INDEX('UZ-normalized'!$E:$E, MATCH($A145, 'UZ-normalized'!$A:$A, 0))&gt;0, -(7*INDEX('UZ-normalized'!$D:$D, MATCH($A145, 'UZ-normalized'!$A:$A, 0))-INDEX('UZ-normalized'!$E:$E, MATCH($A145, 'UZ-normalized'!$A:$A, 0))), 0), 0)))</f>
        <v>0</v>
      </c>
      <c r="V145" s="6">
        <f>MIN(0, N145+(IFERROR(IF(8*INDEX('UA-normalized'!$D:$D, MATCH($A145, 'UA-normalized'!$A:$A, 0))-INDEX('UA-normalized'!$E:$E, MATCH($A145, 'UA-normalized'!$A:$A, 0))&gt;0, -(8*INDEX('UA-normalized'!$D:$D, MATCH($A145, 'UA-normalized'!$A:$A, 0))-INDEX('UA-normalized'!$E:$E, MATCH($A145, 'UA-normalized'!$A:$A, 0))), 0), 0))+(IFERROR(IF(8*INDEX('KZ-normalized'!$D:$D, MATCH($A145, 'KZ-normalized'!$A:$A, 0))-INDEX('KZ-normalized'!$E:$E, MATCH($A145, 'KZ-normalized'!$A:$A, 0))&gt;0, -(8*INDEX('KZ-normalized'!$D:$D, MATCH($A145, 'KZ-normalized'!$A:$A, 0))-INDEX('KZ-normalized'!$E:$E, MATCH($A145, 'KZ-normalized'!$A:$A, 0))), 0), 0))+(IFERROR(IF(8*INDEX('UZ-normalized'!$D:$D, MATCH($A145, 'UZ-normalized'!$A:$A, 0))-INDEX('UZ-normalized'!$E:$E, MATCH($A145, 'UZ-normalized'!$A:$A, 0))&gt;0, -(8*INDEX('UZ-normalized'!$D:$D, MATCH($A145, 'UZ-normalized'!$A:$A, 0))-INDEX('UZ-normalized'!$E:$E, MATCH($A145, 'UZ-normalized'!$A:$A, 0))), 0), 0)))</f>
        <v>0</v>
      </c>
      <c r="W145" s="6">
        <f>MIN(0, N145+(IFERROR(IF(9*INDEX('UA-normalized'!$D:$D, MATCH($A145, 'UA-normalized'!$A:$A, 0))-INDEX('UA-normalized'!$E:$E, MATCH($A145, 'UA-normalized'!$A:$A, 0))&gt;0, -(9*INDEX('UA-normalized'!$D:$D, MATCH($A145, 'UA-normalized'!$A:$A, 0))-INDEX('UA-normalized'!$E:$E, MATCH($A145, 'UA-normalized'!$A:$A, 0))), 0), 0))+(IFERROR(IF(9*INDEX('KZ-normalized'!$D:$D, MATCH($A145, 'KZ-normalized'!$A:$A, 0))-INDEX('KZ-normalized'!$E:$E, MATCH($A145, 'KZ-normalized'!$A:$A, 0))&gt;0, -(9*INDEX('KZ-normalized'!$D:$D, MATCH($A145, 'KZ-normalized'!$A:$A, 0))-INDEX('KZ-normalized'!$E:$E, MATCH($A145, 'KZ-normalized'!$A:$A, 0))), 0), 0))+(IFERROR(IF(9*INDEX('UZ-normalized'!$D:$D, MATCH($A145, 'UZ-normalized'!$A:$A, 0))-INDEX('UZ-normalized'!$E:$E, MATCH($A145, 'UZ-normalized'!$A:$A, 0))&gt;0, -(9*INDEX('UZ-normalized'!$D:$D, MATCH($A145, 'UZ-normalized'!$A:$A, 0))-INDEX('UZ-normalized'!$E:$E, MATCH($A145, 'UZ-normalized'!$A:$A, 0))), 0), 0)))</f>
        <v>0</v>
      </c>
      <c r="X145" s="6">
        <f>MIN(0, N145+(IFERROR(IF(10*INDEX('UA-normalized'!$D:$D, MATCH($A145, 'UA-normalized'!$A:$A, 0))-INDEX('UA-normalized'!$E:$E, MATCH($A145, 'UA-normalized'!$A:$A, 0))&gt;0, -(10*INDEX('UA-normalized'!$D:$D, MATCH($A145, 'UA-normalized'!$A:$A, 0))-INDEX('UA-normalized'!$E:$E, MATCH($A145, 'UA-normalized'!$A:$A, 0))), 0), 0))+(IFERROR(IF(10*INDEX('KZ-normalized'!$D:$D, MATCH($A145, 'KZ-normalized'!$A:$A, 0))-INDEX('KZ-normalized'!$E:$E, MATCH($A145, 'KZ-normalized'!$A:$A, 0))&gt;0, -(10*INDEX('KZ-normalized'!$D:$D, MATCH($A145, 'KZ-normalized'!$A:$A, 0))-INDEX('KZ-normalized'!$E:$E, MATCH($A145, 'KZ-normalized'!$A:$A, 0))), 0), 0))+(IFERROR(IF(10*INDEX('UZ-normalized'!$D:$D, MATCH($A145, 'UZ-normalized'!$A:$A, 0))-INDEX('UZ-normalized'!$E:$E, MATCH($A145, 'UZ-normalized'!$A:$A, 0))&gt;0, -(10*INDEX('UZ-normalized'!$D:$D, MATCH($A145, 'UZ-normalized'!$A:$A, 0))-INDEX('UZ-normalized'!$E:$E, MATCH($A145, 'UZ-normalized'!$A:$A, 0))), 0), 0)))</f>
        <v>0</v>
      </c>
      <c r="Y145" s="6">
        <f>MIN(0, N145+(IFERROR(IF(11*INDEX('UA-normalized'!$D:$D, MATCH($A145, 'UA-normalized'!$A:$A, 0))-INDEX('UA-normalized'!$E:$E, MATCH($A145, 'UA-normalized'!$A:$A, 0))&gt;0, -(11*INDEX('UA-normalized'!$D:$D, MATCH($A145, 'UA-normalized'!$A:$A, 0))-INDEX('UA-normalized'!$E:$E, MATCH($A145, 'UA-normalized'!$A:$A, 0))), 0), 0))+(IFERROR(IF(11*INDEX('KZ-normalized'!$D:$D, MATCH($A145, 'KZ-normalized'!$A:$A, 0))-INDEX('KZ-normalized'!$E:$E, MATCH($A145, 'KZ-normalized'!$A:$A, 0))&gt;0, -(11*INDEX('KZ-normalized'!$D:$D, MATCH($A145, 'KZ-normalized'!$A:$A, 0))-INDEX('KZ-normalized'!$E:$E, MATCH($A145, 'KZ-normalized'!$A:$A, 0))), 0), 0))+(IFERROR(IF(11*INDEX('UZ-normalized'!$D:$D, MATCH($A145, 'UZ-normalized'!$A:$A, 0))-INDEX('UZ-normalized'!$E:$E, MATCH($A145, 'UZ-normalized'!$A:$A, 0))&gt;0, -(11*INDEX('UZ-normalized'!$D:$D, MATCH($A145, 'UZ-normalized'!$A:$A, 0))-INDEX('UZ-normalized'!$E:$E, MATCH($A145, 'UZ-normalized'!$A:$A, 0))), 0), 0)))</f>
        <v>0</v>
      </c>
      <c r="Z145" s="6">
        <f>MIN(0, N145+(IFERROR(IF(12*INDEX('UA-normalized'!$D:$D, MATCH($A145, 'UA-normalized'!$A:$A, 0))-INDEX('UA-normalized'!$E:$E, MATCH($A145, 'UA-normalized'!$A:$A, 0))&gt;0, -(12*INDEX('UA-normalized'!$D:$D, MATCH($A145, 'UA-normalized'!$A:$A, 0))-INDEX('UA-normalized'!$E:$E, MATCH($A145, 'UA-normalized'!$A:$A, 0))), 0), 0))+(IFERROR(IF(12*INDEX('KZ-normalized'!$D:$D, MATCH($A145, 'KZ-normalized'!$A:$A, 0))-INDEX('KZ-normalized'!$E:$E, MATCH($A145, 'KZ-normalized'!$A:$A, 0))&gt;0, -(12*INDEX('KZ-normalized'!$D:$D, MATCH($A145, 'KZ-normalized'!$A:$A, 0))-INDEX('KZ-normalized'!$E:$E, MATCH($A145, 'KZ-normalized'!$A:$A, 0))), 0), 0))+(IFERROR(IF(12*INDEX('UZ-normalized'!$D:$D, MATCH($A145, 'UZ-normalized'!$A:$A, 0))-INDEX('UZ-normalized'!$E:$E, MATCH($A145, 'UZ-normalized'!$A:$A, 0))&gt;0, -(12*INDEX('UZ-normalized'!$D:$D, MATCH($A145, 'UZ-normalized'!$A:$A, 0))-INDEX('UZ-normalized'!$E:$E, MATCH($A145, 'UZ-normalized'!$A:$A, 0))), 0), 0)))</f>
        <v>0</v>
      </c>
      <c r="AA145" s="6">
        <f>MIN(0, N145+(IFERROR(IF(13*INDEX('UA-normalized'!$D:$D, MATCH($A145, 'UA-normalized'!$A:$A, 0))-INDEX('UA-normalized'!$E:$E, MATCH($A145, 'UA-normalized'!$A:$A, 0))&gt;0, -(13*INDEX('UA-normalized'!$D:$D, MATCH($A145, 'UA-normalized'!$A:$A, 0))-INDEX('UA-normalized'!$E:$E, MATCH($A145, 'UA-normalized'!$A:$A, 0))), 0), 0))+(IFERROR(IF(13*INDEX('KZ-normalized'!$D:$D, MATCH($A145, 'KZ-normalized'!$A:$A, 0))-INDEX('KZ-normalized'!$E:$E, MATCH($A145, 'KZ-normalized'!$A:$A, 0))&gt;0, -(13*INDEX('KZ-normalized'!$D:$D, MATCH($A145, 'KZ-normalized'!$A:$A, 0))-INDEX('KZ-normalized'!$E:$E, MATCH($A145, 'KZ-normalized'!$A:$A, 0))), 0), 0))+(IFERROR(IF(13*INDEX('UZ-normalized'!$D:$D, MATCH($A145, 'UZ-normalized'!$A:$A, 0))-INDEX('UZ-normalized'!$E:$E, MATCH($A145, 'UZ-normalized'!$A:$A, 0))&gt;0, -(13*INDEX('UZ-normalized'!$D:$D, MATCH($A145, 'UZ-normalized'!$A:$A, 0))-INDEX('UZ-normalized'!$E:$E, MATCH($A145, 'UZ-normalized'!$A:$A, 0))), 0), 0)))</f>
        <v>0</v>
      </c>
      <c r="AB145" s="6">
        <f>MIN(0, N145+(IFERROR(IF(14*INDEX('UA-normalized'!$D:$D, MATCH($A145, 'UA-normalized'!$A:$A, 0))-INDEX('UA-normalized'!$E:$E, MATCH($A145, 'UA-normalized'!$A:$A, 0))&gt;0, -(14*INDEX('UA-normalized'!$D:$D, MATCH($A145, 'UA-normalized'!$A:$A, 0))-INDEX('UA-normalized'!$E:$E, MATCH($A145, 'UA-normalized'!$A:$A, 0))), 0), 0))+(IFERROR(IF(14*INDEX('KZ-normalized'!$D:$D, MATCH($A145, 'KZ-normalized'!$A:$A, 0))-INDEX('KZ-normalized'!$E:$E, MATCH($A145, 'KZ-normalized'!$A:$A, 0))&gt;0, -(14*INDEX('KZ-normalized'!$D:$D, MATCH($A145, 'KZ-normalized'!$A:$A, 0))-INDEX('KZ-normalized'!$E:$E, MATCH($A145, 'KZ-normalized'!$A:$A, 0))), 0), 0))+(IFERROR(IF(14*INDEX('UZ-normalized'!$D:$D, MATCH($A145, 'UZ-normalized'!$A:$A, 0))-INDEX('UZ-normalized'!$E:$E, MATCH($A145, 'UZ-normalized'!$A:$A, 0))&gt;0, -(14*INDEX('UZ-normalized'!$D:$D, MATCH($A145, 'UZ-normalized'!$A:$A, 0))-INDEX('UZ-normalized'!$E:$E, MATCH($A145, 'UZ-normalized'!$A:$A, 0))), 0), 0)))</f>
        <v>0</v>
      </c>
      <c r="AC145" s="6">
        <f>MIN(0, N145+(IFERROR(IF(15*INDEX('UA-normalized'!$D:$D, MATCH($A145, 'UA-normalized'!$A:$A, 0))-INDEX('UA-normalized'!$E:$E, MATCH($A145, 'UA-normalized'!$A:$A, 0))&gt;0, -(15*INDEX('UA-normalized'!$D:$D, MATCH($A145, 'UA-normalized'!$A:$A, 0))-INDEX('UA-normalized'!$E:$E, MATCH($A145, 'UA-normalized'!$A:$A, 0))), 0), 0))+(IFERROR(IF(15*INDEX('KZ-normalized'!$D:$D, MATCH($A145, 'KZ-normalized'!$A:$A, 0))-INDEX('KZ-normalized'!$E:$E, MATCH($A145, 'KZ-normalized'!$A:$A, 0))&gt;0, -(15*INDEX('KZ-normalized'!$D:$D, MATCH($A145, 'KZ-normalized'!$A:$A, 0))-INDEX('KZ-normalized'!$E:$E, MATCH($A145, 'KZ-normalized'!$A:$A, 0))), 0), 0))+(IFERROR(IF(15*INDEX('UZ-normalized'!$D:$D, MATCH($A145, 'UZ-normalized'!$A:$A, 0))-INDEX('UZ-normalized'!$E:$E, MATCH($A145, 'UZ-normalized'!$A:$A, 0))&gt;0, -(15*INDEX('UZ-normalized'!$D:$D, MATCH($A145, 'UZ-normalized'!$A:$A, 0))-INDEX('UZ-normalized'!$E:$E, MATCH($A145, 'UZ-normalized'!$A:$A, 0))), 0), 0)))</f>
        <v>0</v>
      </c>
      <c r="AD145" s="6">
        <f>MIN(0, N145+(IFERROR(IF(16*INDEX('UA-normalized'!$D:$D, MATCH($A145, 'UA-normalized'!$A:$A, 0))-INDEX('UA-normalized'!$E:$E, MATCH($A145, 'UA-normalized'!$A:$A, 0))&gt;0, -(16*INDEX('UA-normalized'!$D:$D, MATCH($A145, 'UA-normalized'!$A:$A, 0))-INDEX('UA-normalized'!$E:$E, MATCH($A145, 'UA-normalized'!$A:$A, 0))), 0), 0))+(IFERROR(IF(16*INDEX('KZ-normalized'!$D:$D, MATCH($A145, 'KZ-normalized'!$A:$A, 0))-INDEX('KZ-normalized'!$E:$E, MATCH($A145, 'KZ-normalized'!$A:$A, 0))&gt;0, -(16*INDEX('KZ-normalized'!$D:$D, MATCH($A145, 'KZ-normalized'!$A:$A, 0))-INDEX('KZ-normalized'!$E:$E, MATCH($A145, 'KZ-normalized'!$A:$A, 0))), 0), 0))+(IFERROR(IF(16*INDEX('UZ-normalized'!$D:$D, MATCH($A145, 'UZ-normalized'!$A:$A, 0))-INDEX('UZ-normalized'!$E:$E, MATCH($A145, 'UZ-normalized'!$A:$A, 0))&gt;0, -(16*INDEX('UZ-normalized'!$D:$D, MATCH($A145, 'UZ-normalized'!$A:$A, 0))-INDEX('UZ-normalized'!$E:$E, MATCH($A145, 'UZ-normalized'!$A:$A, 0))), 0), 0)))</f>
        <v>0</v>
      </c>
      <c r="AE145" s="6">
        <f>MIN(0, N145+(IFERROR(IF(17*INDEX('UA-normalized'!$D:$D, MATCH($A145, 'UA-normalized'!$A:$A, 0))-INDEX('UA-normalized'!$E:$E, MATCH($A145, 'UA-normalized'!$A:$A, 0))&gt;0, -(17*INDEX('UA-normalized'!$D:$D, MATCH($A145, 'UA-normalized'!$A:$A, 0))-INDEX('UA-normalized'!$E:$E, MATCH($A145, 'UA-normalized'!$A:$A, 0))), 0), 0))+(IFERROR(IF(17*INDEX('KZ-normalized'!$D:$D, MATCH($A145, 'KZ-normalized'!$A:$A, 0))-INDEX('KZ-normalized'!$E:$E, MATCH($A145, 'KZ-normalized'!$A:$A, 0))&gt;0, -(17*INDEX('KZ-normalized'!$D:$D, MATCH($A145, 'KZ-normalized'!$A:$A, 0))-INDEX('KZ-normalized'!$E:$E, MATCH($A145, 'KZ-normalized'!$A:$A, 0))), 0), 0))+(IFERROR(IF(17*INDEX('UZ-normalized'!$D:$D, MATCH($A145, 'UZ-normalized'!$A:$A, 0))-INDEX('UZ-normalized'!$E:$E, MATCH($A145, 'UZ-normalized'!$A:$A, 0))&gt;0, -(17*INDEX('UZ-normalized'!$D:$D, MATCH($A145, 'UZ-normalized'!$A:$A, 0))-INDEX('UZ-normalized'!$E:$E, MATCH($A145, 'UZ-normalized'!$A:$A, 0))), 0), 0)))</f>
        <v>0</v>
      </c>
      <c r="AF145" s="6">
        <f>MIN(0, N145+(IFERROR(IF(18*INDEX('UA-normalized'!$D:$D, MATCH($A145, 'UA-normalized'!$A:$A, 0))-INDEX('UA-normalized'!$E:$E, MATCH($A145, 'UA-normalized'!$A:$A, 0))&gt;0, -(18*INDEX('UA-normalized'!$D:$D, MATCH($A145, 'UA-normalized'!$A:$A, 0))-INDEX('UA-normalized'!$E:$E, MATCH($A145, 'UA-normalized'!$A:$A, 0))), 0), 0))+(IFERROR(IF(18*INDEX('KZ-normalized'!$D:$D, MATCH($A145, 'KZ-normalized'!$A:$A, 0))-INDEX('KZ-normalized'!$E:$E, MATCH($A145, 'KZ-normalized'!$A:$A, 0))&gt;0, -(18*INDEX('KZ-normalized'!$D:$D, MATCH($A145, 'KZ-normalized'!$A:$A, 0))-INDEX('KZ-normalized'!$E:$E, MATCH($A145, 'KZ-normalized'!$A:$A, 0))), 0), 0))+(IFERROR(IF(18*INDEX('UZ-normalized'!$D:$D, MATCH($A145, 'UZ-normalized'!$A:$A, 0))-INDEX('UZ-normalized'!$E:$E, MATCH($A145, 'UZ-normalized'!$A:$A, 0))&gt;0, -(18*INDEX('UZ-normalized'!$D:$D, MATCH($A145, 'UZ-normalized'!$A:$A, 0))-INDEX('UZ-normalized'!$E:$E, MATCH($A145, 'UZ-normalized'!$A:$A, 0))), 0), 0)))</f>
        <v>0</v>
      </c>
      <c r="AG145" s="6">
        <f>MIN(0, N145+(IFERROR(IF(19*INDEX('UA-normalized'!$D:$D, MATCH($A145, 'UA-normalized'!$A:$A, 0))-INDEX('UA-normalized'!$E:$E, MATCH($A145, 'UA-normalized'!$A:$A, 0))&gt;0, -(19*INDEX('UA-normalized'!$D:$D, MATCH($A145, 'UA-normalized'!$A:$A, 0))-INDEX('UA-normalized'!$E:$E, MATCH($A145, 'UA-normalized'!$A:$A, 0))), 0), 0))+(IFERROR(IF(19*INDEX('KZ-normalized'!$D:$D, MATCH($A145, 'KZ-normalized'!$A:$A, 0))-INDEX('KZ-normalized'!$E:$E, MATCH($A145, 'KZ-normalized'!$A:$A, 0))&gt;0, -(19*INDEX('KZ-normalized'!$D:$D, MATCH($A145, 'KZ-normalized'!$A:$A, 0))-INDEX('KZ-normalized'!$E:$E, MATCH($A145, 'KZ-normalized'!$A:$A, 0))), 0), 0))+(IFERROR(IF(19*INDEX('UZ-normalized'!$D:$D, MATCH($A145, 'UZ-normalized'!$A:$A, 0))-INDEX('UZ-normalized'!$E:$E, MATCH($A145, 'UZ-normalized'!$A:$A, 0))&gt;0, -(19*INDEX('UZ-normalized'!$D:$D, MATCH($A145, 'UZ-normalized'!$A:$A, 0))-INDEX('UZ-normalized'!$E:$E, MATCH($A145, 'UZ-normalized'!$A:$A, 0))), 0), 0)))</f>
        <v>0</v>
      </c>
      <c r="AH145" s="6">
        <f>MIN(0, N145+(IFERROR(IF(20*INDEX('UA-normalized'!$D:$D, MATCH($A145, 'UA-normalized'!$A:$A, 0))-INDEX('UA-normalized'!$E:$E, MATCH($A145, 'UA-normalized'!$A:$A, 0))&gt;0, -(20*INDEX('UA-normalized'!$D:$D, MATCH($A145, 'UA-normalized'!$A:$A, 0))-INDEX('UA-normalized'!$E:$E, MATCH($A145, 'UA-normalized'!$A:$A, 0))), 0), 0))+(IFERROR(IF(20*INDEX('KZ-normalized'!$D:$D, MATCH($A145, 'KZ-normalized'!$A:$A, 0))-INDEX('KZ-normalized'!$E:$E, MATCH($A145, 'KZ-normalized'!$A:$A, 0))&gt;0, -(20*INDEX('KZ-normalized'!$D:$D, MATCH($A145, 'KZ-normalized'!$A:$A, 0))-INDEX('KZ-normalized'!$E:$E, MATCH($A145, 'KZ-normalized'!$A:$A, 0))), 0), 0))+(IFERROR(IF(20*INDEX('UZ-normalized'!$D:$D, MATCH($A145, 'UZ-normalized'!$A:$A, 0))-INDEX('UZ-normalized'!$E:$E, MATCH($A145, 'UZ-normalized'!$A:$A, 0))&gt;0, -(20*INDEX('UZ-normalized'!$D:$D, MATCH($A145, 'UZ-normalized'!$A:$A, 0))-INDEX('UZ-normalized'!$E:$E, MATCH($A145, 'UZ-normalized'!$A:$A, 0))), 0), 0)))</f>
        <v>0</v>
      </c>
      <c r="AI145" s="6">
        <f>MIN(0, N145+(IFERROR(IF(21*INDEX('UA-normalized'!$D:$D, MATCH($A145, 'UA-normalized'!$A:$A, 0))-INDEX('UA-normalized'!$E:$E, MATCH($A145, 'UA-normalized'!$A:$A, 0))&gt;0, -(21*INDEX('UA-normalized'!$D:$D, MATCH($A145, 'UA-normalized'!$A:$A, 0))-INDEX('UA-normalized'!$E:$E, MATCH($A145, 'UA-normalized'!$A:$A, 0))), 0), 0))+(IFERROR(IF(21*INDEX('KZ-normalized'!$D:$D, MATCH($A145, 'KZ-normalized'!$A:$A, 0))-INDEX('KZ-normalized'!$E:$E, MATCH($A145, 'KZ-normalized'!$A:$A, 0))&gt;0, -(21*INDEX('KZ-normalized'!$D:$D, MATCH($A145, 'KZ-normalized'!$A:$A, 0))-INDEX('KZ-normalized'!$E:$E, MATCH($A145, 'KZ-normalized'!$A:$A, 0))), 0), 0))+(IFERROR(IF(21*INDEX('UZ-normalized'!$D:$D, MATCH($A145, 'UZ-normalized'!$A:$A, 0))-INDEX('UZ-normalized'!$E:$E, MATCH($A145, 'UZ-normalized'!$A:$A, 0))&gt;0, -(21*INDEX('UZ-normalized'!$D:$D, MATCH($A145, 'UZ-normalized'!$A:$A, 0))-INDEX('UZ-normalized'!$E:$E, MATCH($A145, 'UZ-normalized'!$A:$A, 0))), 0), 0)))</f>
        <v>0</v>
      </c>
      <c r="AJ145" s="6">
        <f>MIN(0, N145+(IFERROR(IF(22*INDEX('UA-normalized'!$D:$D, MATCH($A145, 'UA-normalized'!$A:$A, 0))-INDEX('UA-normalized'!$E:$E, MATCH($A145, 'UA-normalized'!$A:$A, 0))&gt;0, -(22*INDEX('UA-normalized'!$D:$D, MATCH($A145, 'UA-normalized'!$A:$A, 0))-INDEX('UA-normalized'!$E:$E, MATCH($A145, 'UA-normalized'!$A:$A, 0))), 0), 0))+(IFERROR(IF(22*INDEX('KZ-normalized'!$D:$D, MATCH($A145, 'KZ-normalized'!$A:$A, 0))-INDEX('KZ-normalized'!$E:$E, MATCH($A145, 'KZ-normalized'!$A:$A, 0))&gt;0, -(22*INDEX('KZ-normalized'!$D:$D, MATCH($A145, 'KZ-normalized'!$A:$A, 0))-INDEX('KZ-normalized'!$E:$E, MATCH($A145, 'KZ-normalized'!$A:$A, 0))), 0), 0))+(IFERROR(IF(22*INDEX('UZ-normalized'!$D:$D, MATCH($A145, 'UZ-normalized'!$A:$A, 0))-INDEX('UZ-normalized'!$E:$E, MATCH($A145, 'UZ-normalized'!$A:$A, 0))&gt;0, -(22*INDEX('UZ-normalized'!$D:$D, MATCH($A145, 'UZ-normalized'!$A:$A, 0))-INDEX('UZ-normalized'!$E:$E, MATCH($A145, 'UZ-normalized'!$A:$A, 0))), 0), 0)))</f>
        <v>0</v>
      </c>
      <c r="AK145" s="6">
        <f>MIN(0, N145+(IFERROR(IF(23*INDEX('UA-normalized'!$D:$D, MATCH($A145, 'UA-normalized'!$A:$A, 0))-INDEX('UA-normalized'!$E:$E, MATCH($A145, 'UA-normalized'!$A:$A, 0))&gt;0, -(23*INDEX('UA-normalized'!$D:$D, MATCH($A145, 'UA-normalized'!$A:$A, 0))-INDEX('UA-normalized'!$E:$E, MATCH($A145, 'UA-normalized'!$A:$A, 0))), 0), 0))+(IFERROR(IF(23*INDEX('KZ-normalized'!$D:$D, MATCH($A145, 'KZ-normalized'!$A:$A, 0))-INDEX('KZ-normalized'!$E:$E, MATCH($A145, 'KZ-normalized'!$A:$A, 0))&gt;0, -(23*INDEX('KZ-normalized'!$D:$D, MATCH($A145, 'KZ-normalized'!$A:$A, 0))-INDEX('KZ-normalized'!$E:$E, MATCH($A145, 'KZ-normalized'!$A:$A, 0))), 0), 0))+(IFERROR(IF(23*INDEX('UZ-normalized'!$D:$D, MATCH($A145, 'UZ-normalized'!$A:$A, 0))-INDEX('UZ-normalized'!$E:$E, MATCH($A145, 'UZ-normalized'!$A:$A, 0))&gt;0, -(23*INDEX('UZ-normalized'!$D:$D, MATCH($A145, 'UZ-normalized'!$A:$A, 0))-INDEX('UZ-normalized'!$E:$E, MATCH($A145, 'UZ-normalized'!$A:$A, 0))), 0), 0)))</f>
        <v>0</v>
      </c>
      <c r="AL145" s="6">
        <f>MIN(0, N145+(IFERROR(IF(24*INDEX('UA-normalized'!$D:$D, MATCH($A145, 'UA-normalized'!$A:$A, 0))-INDEX('UA-normalized'!$E:$E, MATCH($A145, 'UA-normalized'!$A:$A, 0))&gt;0, -(24*INDEX('UA-normalized'!$D:$D, MATCH($A145, 'UA-normalized'!$A:$A, 0))-INDEX('UA-normalized'!$E:$E, MATCH($A145, 'UA-normalized'!$A:$A, 0))), 0), 0))+(IFERROR(IF(24*INDEX('KZ-normalized'!$D:$D, MATCH($A145, 'KZ-normalized'!$A:$A, 0))-INDEX('KZ-normalized'!$E:$E, MATCH($A145, 'KZ-normalized'!$A:$A, 0))&gt;0, -(24*INDEX('KZ-normalized'!$D:$D, MATCH($A145, 'KZ-normalized'!$A:$A, 0))-INDEX('KZ-normalized'!$E:$E, MATCH($A145, 'KZ-normalized'!$A:$A, 0))), 0), 0))+(IFERROR(IF(24*INDEX('UZ-normalized'!$D:$D, MATCH($A145, 'UZ-normalized'!$A:$A, 0))-INDEX('UZ-normalized'!$E:$E, MATCH($A145, 'UZ-normalized'!$A:$A, 0))&gt;0, -(24*INDEX('UZ-normalized'!$D:$D, MATCH($A145, 'UZ-normalized'!$A:$A, 0))-INDEX('UZ-normalized'!$E:$E, MATCH($A145, 'UZ-normalized'!$A:$A, 0))), 0), 0)))</f>
        <v>0</v>
      </c>
      <c r="AM145" s="6">
        <f>MIN(0, N145+(IFERROR(IF(25*INDEX('UA-normalized'!$D:$D, MATCH($A145, 'UA-normalized'!$A:$A, 0))-INDEX('UA-normalized'!$E:$E, MATCH($A145, 'UA-normalized'!$A:$A, 0))&gt;0, -(25*INDEX('UA-normalized'!$D:$D, MATCH($A145, 'UA-normalized'!$A:$A, 0))-INDEX('UA-normalized'!$E:$E, MATCH($A145, 'UA-normalized'!$A:$A, 0))), 0), 0))+(IFERROR(IF(25*INDEX('KZ-normalized'!$D:$D, MATCH($A145, 'KZ-normalized'!$A:$A, 0))-INDEX('KZ-normalized'!$E:$E, MATCH($A145, 'KZ-normalized'!$A:$A, 0))&gt;0, -(25*INDEX('KZ-normalized'!$D:$D, MATCH($A145, 'KZ-normalized'!$A:$A, 0))-INDEX('KZ-normalized'!$E:$E, MATCH($A145, 'KZ-normalized'!$A:$A, 0))), 0), 0))+(IFERROR(IF(25*INDEX('UZ-normalized'!$D:$D, MATCH($A145, 'UZ-normalized'!$A:$A, 0))-INDEX('UZ-normalized'!$E:$E, MATCH($A145, 'UZ-normalized'!$A:$A, 0))&gt;0, -(25*INDEX('UZ-normalized'!$D:$D, MATCH($A145, 'UZ-normalized'!$A:$A, 0))-INDEX('UZ-normalized'!$E:$E, MATCH($A145, 'UZ-normalized'!$A:$A, 0))), 0), 0)))</f>
        <v>0</v>
      </c>
      <c r="AN145" s="6">
        <f>MIN(0, N145+(IFERROR(IF(26*INDEX('UA-normalized'!$D:$D, MATCH($A145, 'UA-normalized'!$A:$A, 0))-INDEX('UA-normalized'!$E:$E, MATCH($A145, 'UA-normalized'!$A:$A, 0))&gt;0, -(26*INDEX('UA-normalized'!$D:$D, MATCH($A145, 'UA-normalized'!$A:$A, 0))-INDEX('UA-normalized'!$E:$E, MATCH($A145, 'UA-normalized'!$A:$A, 0))), 0), 0))+(IFERROR(IF(26*INDEX('KZ-normalized'!$D:$D, MATCH($A145, 'KZ-normalized'!$A:$A, 0))-INDEX('KZ-normalized'!$E:$E, MATCH($A145, 'KZ-normalized'!$A:$A, 0))&gt;0, -(26*INDEX('KZ-normalized'!$D:$D, MATCH($A145, 'KZ-normalized'!$A:$A, 0))-INDEX('KZ-normalized'!$E:$E, MATCH($A145, 'KZ-normalized'!$A:$A, 0))), 0), 0))+(IFERROR(IF(26*INDEX('UZ-normalized'!$D:$D, MATCH($A145, 'UZ-normalized'!$A:$A, 0))-INDEX('UZ-normalized'!$E:$E, MATCH($A145, 'UZ-normalized'!$A:$A, 0))&gt;0, -(26*INDEX('UZ-normalized'!$D:$D, MATCH($A145, 'UZ-normalized'!$A:$A, 0))-INDEX('UZ-normalized'!$E:$E, MATCH($A145, 'UZ-normalized'!$A:$A, 0))), 0), 0)))</f>
        <v>0</v>
      </c>
      <c r="AO145" s="6">
        <f>MIN(0, N145+(IFERROR(IF(27*INDEX('UA-normalized'!$D:$D, MATCH($A145, 'UA-normalized'!$A:$A, 0))-INDEX('UA-normalized'!$E:$E, MATCH($A145, 'UA-normalized'!$A:$A, 0))&gt;0, -(27*INDEX('UA-normalized'!$D:$D, MATCH($A145, 'UA-normalized'!$A:$A, 0))-INDEX('UA-normalized'!$E:$E, MATCH($A145, 'UA-normalized'!$A:$A, 0))), 0), 0))+(IFERROR(IF(27*INDEX('KZ-normalized'!$D:$D, MATCH($A145, 'KZ-normalized'!$A:$A, 0))-INDEX('KZ-normalized'!$E:$E, MATCH($A145, 'KZ-normalized'!$A:$A, 0))&gt;0, -(27*INDEX('KZ-normalized'!$D:$D, MATCH($A145, 'KZ-normalized'!$A:$A, 0))-INDEX('KZ-normalized'!$E:$E, MATCH($A145, 'KZ-normalized'!$A:$A, 0))), 0), 0))+(IFERROR(IF(27*INDEX('UZ-normalized'!$D:$D, MATCH($A145, 'UZ-normalized'!$A:$A, 0))-INDEX('UZ-normalized'!$E:$E, MATCH($A145, 'UZ-normalized'!$A:$A, 0))&gt;0, -(27*INDEX('UZ-normalized'!$D:$D, MATCH($A145, 'UZ-normalized'!$A:$A, 0))-INDEX('UZ-normalized'!$E:$E, MATCH($A145, 'UZ-normalized'!$A:$A, 0))), 0), 0)))</f>
        <v>0</v>
      </c>
      <c r="AP145" s="6">
        <f>MIN(0, N145+(IFERROR(IF(28*INDEX('UA-normalized'!$D:$D, MATCH($A145, 'UA-normalized'!$A:$A, 0))-INDEX('UA-normalized'!$E:$E, MATCH($A145, 'UA-normalized'!$A:$A, 0))&gt;0, -(28*INDEX('UA-normalized'!$D:$D, MATCH($A145, 'UA-normalized'!$A:$A, 0))-INDEX('UA-normalized'!$E:$E, MATCH($A145, 'UA-normalized'!$A:$A, 0))), 0), 0))+(IFERROR(IF(28*INDEX('KZ-normalized'!$D:$D, MATCH($A145, 'KZ-normalized'!$A:$A, 0))-INDEX('KZ-normalized'!$E:$E, MATCH($A145, 'KZ-normalized'!$A:$A, 0))&gt;0, -(28*INDEX('KZ-normalized'!$D:$D, MATCH($A145, 'KZ-normalized'!$A:$A, 0))-INDEX('KZ-normalized'!$E:$E, MATCH($A145, 'KZ-normalized'!$A:$A, 0))), 0), 0))+(IFERROR(IF(28*INDEX('UZ-normalized'!$D:$D, MATCH($A145, 'UZ-normalized'!$A:$A, 0))-INDEX('UZ-normalized'!$E:$E, MATCH($A145, 'UZ-normalized'!$A:$A, 0))&gt;0, -(28*INDEX('UZ-normalized'!$D:$D, MATCH($A145, 'UZ-normalized'!$A:$A, 0))-INDEX('UZ-normalized'!$E:$E, MATCH($A145, 'UZ-normalized'!$A:$A, 0))), 0), 0)))</f>
        <v>0</v>
      </c>
      <c r="AQ145" s="6">
        <f>MIN(0, N145+(IFERROR(IF(29*INDEX('UA-normalized'!$D:$D, MATCH($A145, 'UA-normalized'!$A:$A, 0))-INDEX('UA-normalized'!$E:$E, MATCH($A145, 'UA-normalized'!$A:$A, 0))&gt;0, -(29*INDEX('UA-normalized'!$D:$D, MATCH($A145, 'UA-normalized'!$A:$A, 0))-INDEX('UA-normalized'!$E:$E, MATCH($A145, 'UA-normalized'!$A:$A, 0))), 0), 0))+(IFERROR(IF(29*INDEX('KZ-normalized'!$D:$D, MATCH($A145, 'KZ-normalized'!$A:$A, 0))-INDEX('KZ-normalized'!$E:$E, MATCH($A145, 'KZ-normalized'!$A:$A, 0))&gt;0, -(29*INDEX('KZ-normalized'!$D:$D, MATCH($A145, 'KZ-normalized'!$A:$A, 0))-INDEX('KZ-normalized'!$E:$E, MATCH($A145, 'KZ-normalized'!$A:$A, 0))), 0), 0))+(IFERROR(IF(29*INDEX('UZ-normalized'!$D:$D, MATCH($A145, 'UZ-normalized'!$A:$A, 0))-INDEX('UZ-normalized'!$E:$E, MATCH($A145, 'UZ-normalized'!$A:$A, 0))&gt;0, -(29*INDEX('UZ-normalized'!$D:$D, MATCH($A145, 'UZ-normalized'!$A:$A, 0))-INDEX('UZ-normalized'!$E:$E, MATCH($A145, 'UZ-normalized'!$A:$A, 0))), 0), 0)))</f>
        <v>0</v>
      </c>
      <c r="AR145" s="6">
        <f>MIN(0, N145+(IFERROR(IF(30*INDEX('UA-normalized'!$D:$D, MATCH($A145, 'UA-normalized'!$A:$A, 0))-INDEX('UA-normalized'!$E:$E, MATCH($A145, 'UA-normalized'!$A:$A, 0))&gt;0, -(30*INDEX('UA-normalized'!$D:$D, MATCH($A145, 'UA-normalized'!$A:$A, 0))-INDEX('UA-normalized'!$E:$E, MATCH($A145, 'UA-normalized'!$A:$A, 0))), 0), 0))+(IFERROR(IF(30*INDEX('KZ-normalized'!$D:$D, MATCH($A145, 'KZ-normalized'!$A:$A, 0))-INDEX('KZ-normalized'!$E:$E, MATCH($A145, 'KZ-normalized'!$A:$A, 0))&gt;0, -(30*INDEX('KZ-normalized'!$D:$D, MATCH($A145, 'KZ-normalized'!$A:$A, 0))-INDEX('KZ-normalized'!$E:$E, MATCH($A145, 'KZ-normalized'!$A:$A, 0))), 0), 0))+(IFERROR(IF(30*INDEX('UZ-normalized'!$D:$D, MATCH($A145, 'UZ-normalized'!$A:$A, 0))-INDEX('UZ-normalized'!$E:$E, MATCH($A145, 'UZ-normalized'!$A:$A, 0))&gt;0, -(30*INDEX('UZ-normalized'!$D:$D, MATCH($A145, 'UZ-normalized'!$A:$A, 0))-INDEX('UZ-normalized'!$E:$E, MATCH($A145, 'UZ-normalized'!$A:$A, 0))), 0), 0)))</f>
        <v>0</v>
      </c>
    </row>
    <row r="146" spans="1:44" x14ac:dyDescent="0.25">
      <c r="A146" s="8" t="s">
        <v>354</v>
      </c>
      <c r="B146" s="8" t="s">
        <v>336</v>
      </c>
      <c r="C146" s="8" t="s">
        <v>350</v>
      </c>
      <c r="D146" s="8" t="s">
        <v>355</v>
      </c>
      <c r="N146">
        <f t="shared" si="2"/>
        <v>0</v>
      </c>
      <c r="O146" s="6">
        <f>MIN(0, N146+(IFERROR(IF(1*INDEX('UA-normalized'!$D:$D, MATCH($A146, 'UA-normalized'!$A:$A, 0))-INDEX('UA-normalized'!$E:$E, MATCH($A146, 'UA-normalized'!$A:$A, 0))&gt;0, -(1*INDEX('UA-normalized'!$D:$D, MATCH($A146, 'UA-normalized'!$A:$A, 0))-INDEX('UA-normalized'!$E:$E, MATCH($A146, 'UA-normalized'!$A:$A, 0))), 0), 0))+(IFERROR(IF(1*INDEX('KZ-normalized'!$D:$D, MATCH($A146, 'KZ-normalized'!$A:$A, 0))-INDEX('KZ-normalized'!$E:$E, MATCH($A146, 'KZ-normalized'!$A:$A, 0))&gt;0, -(1*INDEX('KZ-normalized'!$D:$D, MATCH($A146, 'KZ-normalized'!$A:$A, 0))-INDEX('KZ-normalized'!$E:$E, MATCH($A146, 'KZ-normalized'!$A:$A, 0))), 0), 0))+(IFERROR(IF(1*INDEX('UZ-normalized'!$D:$D, MATCH($A146, 'UZ-normalized'!$A:$A, 0))-INDEX('UZ-normalized'!$E:$E, MATCH($A146, 'UZ-normalized'!$A:$A, 0))&gt;0, -(1*INDEX('UZ-normalized'!$D:$D, MATCH($A146, 'UZ-normalized'!$A:$A, 0))-INDEX('UZ-normalized'!$E:$E, MATCH($A146, 'UZ-normalized'!$A:$A, 0))), 0), 0)))</f>
        <v>0</v>
      </c>
      <c r="P146" s="6">
        <f>MIN(0, N146+(IFERROR(IF(2*INDEX('UA-normalized'!$D:$D, MATCH($A146, 'UA-normalized'!$A:$A, 0))-INDEX('UA-normalized'!$E:$E, MATCH($A146, 'UA-normalized'!$A:$A, 0))&gt;0, -(2*INDEX('UA-normalized'!$D:$D, MATCH($A146, 'UA-normalized'!$A:$A, 0))-INDEX('UA-normalized'!$E:$E, MATCH($A146, 'UA-normalized'!$A:$A, 0))), 0), 0))+(IFERROR(IF(2*INDEX('KZ-normalized'!$D:$D, MATCH($A146, 'KZ-normalized'!$A:$A, 0))-INDEX('KZ-normalized'!$E:$E, MATCH($A146, 'KZ-normalized'!$A:$A, 0))&gt;0, -(2*INDEX('KZ-normalized'!$D:$D, MATCH($A146, 'KZ-normalized'!$A:$A, 0))-INDEX('KZ-normalized'!$E:$E, MATCH($A146, 'KZ-normalized'!$A:$A, 0))), 0), 0))+(IFERROR(IF(2*INDEX('UZ-normalized'!$D:$D, MATCH($A146, 'UZ-normalized'!$A:$A, 0))-INDEX('UZ-normalized'!$E:$E, MATCH($A146, 'UZ-normalized'!$A:$A, 0))&gt;0, -(2*INDEX('UZ-normalized'!$D:$D, MATCH($A146, 'UZ-normalized'!$A:$A, 0))-INDEX('UZ-normalized'!$E:$E, MATCH($A146, 'UZ-normalized'!$A:$A, 0))), 0), 0)))</f>
        <v>0</v>
      </c>
      <c r="Q146" s="6">
        <f>MIN(0, N146+(IFERROR(IF(3*INDEX('UA-normalized'!$D:$D, MATCH($A146, 'UA-normalized'!$A:$A, 0))-INDEX('UA-normalized'!$E:$E, MATCH($A146, 'UA-normalized'!$A:$A, 0))&gt;0, -(3*INDEX('UA-normalized'!$D:$D, MATCH($A146, 'UA-normalized'!$A:$A, 0))-INDEX('UA-normalized'!$E:$E, MATCH($A146, 'UA-normalized'!$A:$A, 0))), 0), 0))+(IFERROR(IF(3*INDEX('KZ-normalized'!$D:$D, MATCH($A146, 'KZ-normalized'!$A:$A, 0))-INDEX('KZ-normalized'!$E:$E, MATCH($A146, 'KZ-normalized'!$A:$A, 0))&gt;0, -(3*INDEX('KZ-normalized'!$D:$D, MATCH($A146, 'KZ-normalized'!$A:$A, 0))-INDEX('KZ-normalized'!$E:$E, MATCH($A146, 'KZ-normalized'!$A:$A, 0))), 0), 0))+(IFERROR(IF(3*INDEX('UZ-normalized'!$D:$D, MATCH($A146, 'UZ-normalized'!$A:$A, 0))-INDEX('UZ-normalized'!$E:$E, MATCH($A146, 'UZ-normalized'!$A:$A, 0))&gt;0, -(3*INDEX('UZ-normalized'!$D:$D, MATCH($A146, 'UZ-normalized'!$A:$A, 0))-INDEX('UZ-normalized'!$E:$E, MATCH($A146, 'UZ-normalized'!$A:$A, 0))), 0), 0)))</f>
        <v>0</v>
      </c>
      <c r="R146" s="6">
        <f>MIN(0, N146+(IFERROR(IF(4*INDEX('UA-normalized'!$D:$D, MATCH($A146, 'UA-normalized'!$A:$A, 0))-INDEX('UA-normalized'!$E:$E, MATCH($A146, 'UA-normalized'!$A:$A, 0))&gt;0, -(4*INDEX('UA-normalized'!$D:$D, MATCH($A146, 'UA-normalized'!$A:$A, 0))-INDEX('UA-normalized'!$E:$E, MATCH($A146, 'UA-normalized'!$A:$A, 0))), 0), 0))+(IFERROR(IF(4*INDEX('KZ-normalized'!$D:$D, MATCH($A146, 'KZ-normalized'!$A:$A, 0))-INDEX('KZ-normalized'!$E:$E, MATCH($A146, 'KZ-normalized'!$A:$A, 0))&gt;0, -(4*INDEX('KZ-normalized'!$D:$D, MATCH($A146, 'KZ-normalized'!$A:$A, 0))-INDEX('KZ-normalized'!$E:$E, MATCH($A146, 'KZ-normalized'!$A:$A, 0))), 0), 0))+(IFERROR(IF(4*INDEX('UZ-normalized'!$D:$D, MATCH($A146, 'UZ-normalized'!$A:$A, 0))-INDEX('UZ-normalized'!$E:$E, MATCH($A146, 'UZ-normalized'!$A:$A, 0))&gt;0, -(4*INDEX('UZ-normalized'!$D:$D, MATCH($A146, 'UZ-normalized'!$A:$A, 0))-INDEX('UZ-normalized'!$E:$E, MATCH($A146, 'UZ-normalized'!$A:$A, 0))), 0), 0)))</f>
        <v>0</v>
      </c>
      <c r="S146" s="6">
        <f>MIN(0, N146+(IFERROR(IF(5*INDEX('UA-normalized'!$D:$D, MATCH($A146, 'UA-normalized'!$A:$A, 0))-INDEX('UA-normalized'!$E:$E, MATCH($A146, 'UA-normalized'!$A:$A, 0))&gt;0, -(5*INDEX('UA-normalized'!$D:$D, MATCH($A146, 'UA-normalized'!$A:$A, 0))-INDEX('UA-normalized'!$E:$E, MATCH($A146, 'UA-normalized'!$A:$A, 0))), 0), 0))+(IFERROR(IF(5*INDEX('KZ-normalized'!$D:$D, MATCH($A146, 'KZ-normalized'!$A:$A, 0))-INDEX('KZ-normalized'!$E:$E, MATCH($A146, 'KZ-normalized'!$A:$A, 0))&gt;0, -(5*INDEX('KZ-normalized'!$D:$D, MATCH($A146, 'KZ-normalized'!$A:$A, 0))-INDEX('KZ-normalized'!$E:$E, MATCH($A146, 'KZ-normalized'!$A:$A, 0))), 0), 0))+(IFERROR(IF(5*INDEX('UZ-normalized'!$D:$D, MATCH($A146, 'UZ-normalized'!$A:$A, 0))-INDEX('UZ-normalized'!$E:$E, MATCH($A146, 'UZ-normalized'!$A:$A, 0))&gt;0, -(5*INDEX('UZ-normalized'!$D:$D, MATCH($A146, 'UZ-normalized'!$A:$A, 0))-INDEX('UZ-normalized'!$E:$E, MATCH($A146, 'UZ-normalized'!$A:$A, 0))), 0), 0)))</f>
        <v>0</v>
      </c>
      <c r="T146" s="6">
        <f>MIN(0, N146+(IFERROR(IF(6*INDEX('UA-normalized'!$D:$D, MATCH($A146, 'UA-normalized'!$A:$A, 0))-INDEX('UA-normalized'!$E:$E, MATCH($A146, 'UA-normalized'!$A:$A, 0))&gt;0, -(6*INDEX('UA-normalized'!$D:$D, MATCH($A146, 'UA-normalized'!$A:$A, 0))-INDEX('UA-normalized'!$E:$E, MATCH($A146, 'UA-normalized'!$A:$A, 0))), 0), 0))+(IFERROR(IF(6*INDEX('KZ-normalized'!$D:$D, MATCH($A146, 'KZ-normalized'!$A:$A, 0))-INDEX('KZ-normalized'!$E:$E, MATCH($A146, 'KZ-normalized'!$A:$A, 0))&gt;0, -(6*INDEX('KZ-normalized'!$D:$D, MATCH($A146, 'KZ-normalized'!$A:$A, 0))-INDEX('KZ-normalized'!$E:$E, MATCH($A146, 'KZ-normalized'!$A:$A, 0))), 0), 0))+(IFERROR(IF(6*INDEX('UZ-normalized'!$D:$D, MATCH($A146, 'UZ-normalized'!$A:$A, 0))-INDEX('UZ-normalized'!$E:$E, MATCH($A146, 'UZ-normalized'!$A:$A, 0))&gt;0, -(6*INDEX('UZ-normalized'!$D:$D, MATCH($A146, 'UZ-normalized'!$A:$A, 0))-INDEX('UZ-normalized'!$E:$E, MATCH($A146, 'UZ-normalized'!$A:$A, 0))), 0), 0)))</f>
        <v>0</v>
      </c>
      <c r="U146" s="6">
        <f>MIN(0, N146+(IFERROR(IF(7*INDEX('UA-normalized'!$D:$D, MATCH($A146, 'UA-normalized'!$A:$A, 0))-INDEX('UA-normalized'!$E:$E, MATCH($A146, 'UA-normalized'!$A:$A, 0))&gt;0, -(7*INDEX('UA-normalized'!$D:$D, MATCH($A146, 'UA-normalized'!$A:$A, 0))-INDEX('UA-normalized'!$E:$E, MATCH($A146, 'UA-normalized'!$A:$A, 0))), 0), 0))+(IFERROR(IF(7*INDEX('KZ-normalized'!$D:$D, MATCH($A146, 'KZ-normalized'!$A:$A, 0))-INDEX('KZ-normalized'!$E:$E, MATCH($A146, 'KZ-normalized'!$A:$A, 0))&gt;0, -(7*INDEX('KZ-normalized'!$D:$D, MATCH($A146, 'KZ-normalized'!$A:$A, 0))-INDEX('KZ-normalized'!$E:$E, MATCH($A146, 'KZ-normalized'!$A:$A, 0))), 0), 0))+(IFERROR(IF(7*INDEX('UZ-normalized'!$D:$D, MATCH($A146, 'UZ-normalized'!$A:$A, 0))-INDEX('UZ-normalized'!$E:$E, MATCH($A146, 'UZ-normalized'!$A:$A, 0))&gt;0, -(7*INDEX('UZ-normalized'!$D:$D, MATCH($A146, 'UZ-normalized'!$A:$A, 0))-INDEX('UZ-normalized'!$E:$E, MATCH($A146, 'UZ-normalized'!$A:$A, 0))), 0), 0)))</f>
        <v>0</v>
      </c>
      <c r="V146" s="6">
        <f>MIN(0, N146+(IFERROR(IF(8*INDEX('UA-normalized'!$D:$D, MATCH($A146, 'UA-normalized'!$A:$A, 0))-INDEX('UA-normalized'!$E:$E, MATCH($A146, 'UA-normalized'!$A:$A, 0))&gt;0, -(8*INDEX('UA-normalized'!$D:$D, MATCH($A146, 'UA-normalized'!$A:$A, 0))-INDEX('UA-normalized'!$E:$E, MATCH($A146, 'UA-normalized'!$A:$A, 0))), 0), 0))+(IFERROR(IF(8*INDEX('KZ-normalized'!$D:$D, MATCH($A146, 'KZ-normalized'!$A:$A, 0))-INDEX('KZ-normalized'!$E:$E, MATCH($A146, 'KZ-normalized'!$A:$A, 0))&gt;0, -(8*INDEX('KZ-normalized'!$D:$D, MATCH($A146, 'KZ-normalized'!$A:$A, 0))-INDEX('KZ-normalized'!$E:$E, MATCH($A146, 'KZ-normalized'!$A:$A, 0))), 0), 0))+(IFERROR(IF(8*INDEX('UZ-normalized'!$D:$D, MATCH($A146, 'UZ-normalized'!$A:$A, 0))-INDEX('UZ-normalized'!$E:$E, MATCH($A146, 'UZ-normalized'!$A:$A, 0))&gt;0, -(8*INDEX('UZ-normalized'!$D:$D, MATCH($A146, 'UZ-normalized'!$A:$A, 0))-INDEX('UZ-normalized'!$E:$E, MATCH($A146, 'UZ-normalized'!$A:$A, 0))), 0), 0)))</f>
        <v>0</v>
      </c>
      <c r="W146" s="6">
        <f>MIN(0, N146+(IFERROR(IF(9*INDEX('UA-normalized'!$D:$D, MATCH($A146, 'UA-normalized'!$A:$A, 0))-INDEX('UA-normalized'!$E:$E, MATCH($A146, 'UA-normalized'!$A:$A, 0))&gt;0, -(9*INDEX('UA-normalized'!$D:$D, MATCH($A146, 'UA-normalized'!$A:$A, 0))-INDEX('UA-normalized'!$E:$E, MATCH($A146, 'UA-normalized'!$A:$A, 0))), 0), 0))+(IFERROR(IF(9*INDEX('KZ-normalized'!$D:$D, MATCH($A146, 'KZ-normalized'!$A:$A, 0))-INDEX('KZ-normalized'!$E:$E, MATCH($A146, 'KZ-normalized'!$A:$A, 0))&gt;0, -(9*INDEX('KZ-normalized'!$D:$D, MATCH($A146, 'KZ-normalized'!$A:$A, 0))-INDEX('KZ-normalized'!$E:$E, MATCH($A146, 'KZ-normalized'!$A:$A, 0))), 0), 0))+(IFERROR(IF(9*INDEX('UZ-normalized'!$D:$D, MATCH($A146, 'UZ-normalized'!$A:$A, 0))-INDEX('UZ-normalized'!$E:$E, MATCH($A146, 'UZ-normalized'!$A:$A, 0))&gt;0, -(9*INDEX('UZ-normalized'!$D:$D, MATCH($A146, 'UZ-normalized'!$A:$A, 0))-INDEX('UZ-normalized'!$E:$E, MATCH($A146, 'UZ-normalized'!$A:$A, 0))), 0), 0)))</f>
        <v>0</v>
      </c>
      <c r="X146" s="6">
        <f>MIN(0, N146+(IFERROR(IF(10*INDEX('UA-normalized'!$D:$D, MATCH($A146, 'UA-normalized'!$A:$A, 0))-INDEX('UA-normalized'!$E:$E, MATCH($A146, 'UA-normalized'!$A:$A, 0))&gt;0, -(10*INDEX('UA-normalized'!$D:$D, MATCH($A146, 'UA-normalized'!$A:$A, 0))-INDEX('UA-normalized'!$E:$E, MATCH($A146, 'UA-normalized'!$A:$A, 0))), 0), 0))+(IFERROR(IF(10*INDEX('KZ-normalized'!$D:$D, MATCH($A146, 'KZ-normalized'!$A:$A, 0))-INDEX('KZ-normalized'!$E:$E, MATCH($A146, 'KZ-normalized'!$A:$A, 0))&gt;0, -(10*INDEX('KZ-normalized'!$D:$D, MATCH($A146, 'KZ-normalized'!$A:$A, 0))-INDEX('KZ-normalized'!$E:$E, MATCH($A146, 'KZ-normalized'!$A:$A, 0))), 0), 0))+(IFERROR(IF(10*INDEX('UZ-normalized'!$D:$D, MATCH($A146, 'UZ-normalized'!$A:$A, 0))-INDEX('UZ-normalized'!$E:$E, MATCH($A146, 'UZ-normalized'!$A:$A, 0))&gt;0, -(10*INDEX('UZ-normalized'!$D:$D, MATCH($A146, 'UZ-normalized'!$A:$A, 0))-INDEX('UZ-normalized'!$E:$E, MATCH($A146, 'UZ-normalized'!$A:$A, 0))), 0), 0)))</f>
        <v>0</v>
      </c>
      <c r="Y146" s="6">
        <f>MIN(0, N146+(IFERROR(IF(11*INDEX('UA-normalized'!$D:$D, MATCH($A146, 'UA-normalized'!$A:$A, 0))-INDEX('UA-normalized'!$E:$E, MATCH($A146, 'UA-normalized'!$A:$A, 0))&gt;0, -(11*INDEX('UA-normalized'!$D:$D, MATCH($A146, 'UA-normalized'!$A:$A, 0))-INDEX('UA-normalized'!$E:$E, MATCH($A146, 'UA-normalized'!$A:$A, 0))), 0), 0))+(IFERROR(IF(11*INDEX('KZ-normalized'!$D:$D, MATCH($A146, 'KZ-normalized'!$A:$A, 0))-INDEX('KZ-normalized'!$E:$E, MATCH($A146, 'KZ-normalized'!$A:$A, 0))&gt;0, -(11*INDEX('KZ-normalized'!$D:$D, MATCH($A146, 'KZ-normalized'!$A:$A, 0))-INDEX('KZ-normalized'!$E:$E, MATCH($A146, 'KZ-normalized'!$A:$A, 0))), 0), 0))+(IFERROR(IF(11*INDEX('UZ-normalized'!$D:$D, MATCH($A146, 'UZ-normalized'!$A:$A, 0))-INDEX('UZ-normalized'!$E:$E, MATCH($A146, 'UZ-normalized'!$A:$A, 0))&gt;0, -(11*INDEX('UZ-normalized'!$D:$D, MATCH($A146, 'UZ-normalized'!$A:$A, 0))-INDEX('UZ-normalized'!$E:$E, MATCH($A146, 'UZ-normalized'!$A:$A, 0))), 0), 0)))</f>
        <v>0</v>
      </c>
      <c r="Z146" s="6">
        <f>MIN(0, N146+(IFERROR(IF(12*INDEX('UA-normalized'!$D:$D, MATCH($A146, 'UA-normalized'!$A:$A, 0))-INDEX('UA-normalized'!$E:$E, MATCH($A146, 'UA-normalized'!$A:$A, 0))&gt;0, -(12*INDEX('UA-normalized'!$D:$D, MATCH($A146, 'UA-normalized'!$A:$A, 0))-INDEX('UA-normalized'!$E:$E, MATCH($A146, 'UA-normalized'!$A:$A, 0))), 0), 0))+(IFERROR(IF(12*INDEX('KZ-normalized'!$D:$D, MATCH($A146, 'KZ-normalized'!$A:$A, 0))-INDEX('KZ-normalized'!$E:$E, MATCH($A146, 'KZ-normalized'!$A:$A, 0))&gt;0, -(12*INDEX('KZ-normalized'!$D:$D, MATCH($A146, 'KZ-normalized'!$A:$A, 0))-INDEX('KZ-normalized'!$E:$E, MATCH($A146, 'KZ-normalized'!$A:$A, 0))), 0), 0))+(IFERROR(IF(12*INDEX('UZ-normalized'!$D:$D, MATCH($A146, 'UZ-normalized'!$A:$A, 0))-INDEX('UZ-normalized'!$E:$E, MATCH($A146, 'UZ-normalized'!$A:$A, 0))&gt;0, -(12*INDEX('UZ-normalized'!$D:$D, MATCH($A146, 'UZ-normalized'!$A:$A, 0))-INDEX('UZ-normalized'!$E:$E, MATCH($A146, 'UZ-normalized'!$A:$A, 0))), 0), 0)))</f>
        <v>0</v>
      </c>
      <c r="AA146" s="6">
        <f>MIN(0, N146+(IFERROR(IF(13*INDEX('UA-normalized'!$D:$D, MATCH($A146, 'UA-normalized'!$A:$A, 0))-INDEX('UA-normalized'!$E:$E, MATCH($A146, 'UA-normalized'!$A:$A, 0))&gt;0, -(13*INDEX('UA-normalized'!$D:$D, MATCH($A146, 'UA-normalized'!$A:$A, 0))-INDEX('UA-normalized'!$E:$E, MATCH($A146, 'UA-normalized'!$A:$A, 0))), 0), 0))+(IFERROR(IF(13*INDEX('KZ-normalized'!$D:$D, MATCH($A146, 'KZ-normalized'!$A:$A, 0))-INDEX('KZ-normalized'!$E:$E, MATCH($A146, 'KZ-normalized'!$A:$A, 0))&gt;0, -(13*INDEX('KZ-normalized'!$D:$D, MATCH($A146, 'KZ-normalized'!$A:$A, 0))-INDEX('KZ-normalized'!$E:$E, MATCH($A146, 'KZ-normalized'!$A:$A, 0))), 0), 0))+(IFERROR(IF(13*INDEX('UZ-normalized'!$D:$D, MATCH($A146, 'UZ-normalized'!$A:$A, 0))-INDEX('UZ-normalized'!$E:$E, MATCH($A146, 'UZ-normalized'!$A:$A, 0))&gt;0, -(13*INDEX('UZ-normalized'!$D:$D, MATCH($A146, 'UZ-normalized'!$A:$A, 0))-INDEX('UZ-normalized'!$E:$E, MATCH($A146, 'UZ-normalized'!$A:$A, 0))), 0), 0)))</f>
        <v>0</v>
      </c>
      <c r="AB146" s="6">
        <f>MIN(0, N146+(IFERROR(IF(14*INDEX('UA-normalized'!$D:$D, MATCH($A146, 'UA-normalized'!$A:$A, 0))-INDEX('UA-normalized'!$E:$E, MATCH($A146, 'UA-normalized'!$A:$A, 0))&gt;0, -(14*INDEX('UA-normalized'!$D:$D, MATCH($A146, 'UA-normalized'!$A:$A, 0))-INDEX('UA-normalized'!$E:$E, MATCH($A146, 'UA-normalized'!$A:$A, 0))), 0), 0))+(IFERROR(IF(14*INDEX('KZ-normalized'!$D:$D, MATCH($A146, 'KZ-normalized'!$A:$A, 0))-INDEX('KZ-normalized'!$E:$E, MATCH($A146, 'KZ-normalized'!$A:$A, 0))&gt;0, -(14*INDEX('KZ-normalized'!$D:$D, MATCH($A146, 'KZ-normalized'!$A:$A, 0))-INDEX('KZ-normalized'!$E:$E, MATCH($A146, 'KZ-normalized'!$A:$A, 0))), 0), 0))+(IFERROR(IF(14*INDEX('UZ-normalized'!$D:$D, MATCH($A146, 'UZ-normalized'!$A:$A, 0))-INDEX('UZ-normalized'!$E:$E, MATCH($A146, 'UZ-normalized'!$A:$A, 0))&gt;0, -(14*INDEX('UZ-normalized'!$D:$D, MATCH($A146, 'UZ-normalized'!$A:$A, 0))-INDEX('UZ-normalized'!$E:$E, MATCH($A146, 'UZ-normalized'!$A:$A, 0))), 0), 0)))</f>
        <v>0</v>
      </c>
      <c r="AC146" s="6">
        <f>MIN(0, N146+(IFERROR(IF(15*INDEX('UA-normalized'!$D:$D, MATCH($A146, 'UA-normalized'!$A:$A, 0))-INDEX('UA-normalized'!$E:$E, MATCH($A146, 'UA-normalized'!$A:$A, 0))&gt;0, -(15*INDEX('UA-normalized'!$D:$D, MATCH($A146, 'UA-normalized'!$A:$A, 0))-INDEX('UA-normalized'!$E:$E, MATCH($A146, 'UA-normalized'!$A:$A, 0))), 0), 0))+(IFERROR(IF(15*INDEX('KZ-normalized'!$D:$D, MATCH($A146, 'KZ-normalized'!$A:$A, 0))-INDEX('KZ-normalized'!$E:$E, MATCH($A146, 'KZ-normalized'!$A:$A, 0))&gt;0, -(15*INDEX('KZ-normalized'!$D:$D, MATCH($A146, 'KZ-normalized'!$A:$A, 0))-INDEX('KZ-normalized'!$E:$E, MATCH($A146, 'KZ-normalized'!$A:$A, 0))), 0), 0))+(IFERROR(IF(15*INDEX('UZ-normalized'!$D:$D, MATCH($A146, 'UZ-normalized'!$A:$A, 0))-INDEX('UZ-normalized'!$E:$E, MATCH($A146, 'UZ-normalized'!$A:$A, 0))&gt;0, -(15*INDEX('UZ-normalized'!$D:$D, MATCH($A146, 'UZ-normalized'!$A:$A, 0))-INDEX('UZ-normalized'!$E:$E, MATCH($A146, 'UZ-normalized'!$A:$A, 0))), 0), 0)))</f>
        <v>0</v>
      </c>
      <c r="AD146" s="6">
        <f>MIN(0, N146+(IFERROR(IF(16*INDEX('UA-normalized'!$D:$D, MATCH($A146, 'UA-normalized'!$A:$A, 0))-INDEX('UA-normalized'!$E:$E, MATCH($A146, 'UA-normalized'!$A:$A, 0))&gt;0, -(16*INDEX('UA-normalized'!$D:$D, MATCH($A146, 'UA-normalized'!$A:$A, 0))-INDEX('UA-normalized'!$E:$E, MATCH($A146, 'UA-normalized'!$A:$A, 0))), 0), 0))+(IFERROR(IF(16*INDEX('KZ-normalized'!$D:$D, MATCH($A146, 'KZ-normalized'!$A:$A, 0))-INDEX('KZ-normalized'!$E:$E, MATCH($A146, 'KZ-normalized'!$A:$A, 0))&gt;0, -(16*INDEX('KZ-normalized'!$D:$D, MATCH($A146, 'KZ-normalized'!$A:$A, 0))-INDEX('KZ-normalized'!$E:$E, MATCH($A146, 'KZ-normalized'!$A:$A, 0))), 0), 0))+(IFERROR(IF(16*INDEX('UZ-normalized'!$D:$D, MATCH($A146, 'UZ-normalized'!$A:$A, 0))-INDEX('UZ-normalized'!$E:$E, MATCH($A146, 'UZ-normalized'!$A:$A, 0))&gt;0, -(16*INDEX('UZ-normalized'!$D:$D, MATCH($A146, 'UZ-normalized'!$A:$A, 0))-INDEX('UZ-normalized'!$E:$E, MATCH($A146, 'UZ-normalized'!$A:$A, 0))), 0), 0)))</f>
        <v>0</v>
      </c>
      <c r="AE146" s="6">
        <f>MIN(0, N146+(IFERROR(IF(17*INDEX('UA-normalized'!$D:$D, MATCH($A146, 'UA-normalized'!$A:$A, 0))-INDEX('UA-normalized'!$E:$E, MATCH($A146, 'UA-normalized'!$A:$A, 0))&gt;0, -(17*INDEX('UA-normalized'!$D:$D, MATCH($A146, 'UA-normalized'!$A:$A, 0))-INDEX('UA-normalized'!$E:$E, MATCH($A146, 'UA-normalized'!$A:$A, 0))), 0), 0))+(IFERROR(IF(17*INDEX('KZ-normalized'!$D:$D, MATCH($A146, 'KZ-normalized'!$A:$A, 0))-INDEX('KZ-normalized'!$E:$E, MATCH($A146, 'KZ-normalized'!$A:$A, 0))&gt;0, -(17*INDEX('KZ-normalized'!$D:$D, MATCH($A146, 'KZ-normalized'!$A:$A, 0))-INDEX('KZ-normalized'!$E:$E, MATCH($A146, 'KZ-normalized'!$A:$A, 0))), 0), 0))+(IFERROR(IF(17*INDEX('UZ-normalized'!$D:$D, MATCH($A146, 'UZ-normalized'!$A:$A, 0))-INDEX('UZ-normalized'!$E:$E, MATCH($A146, 'UZ-normalized'!$A:$A, 0))&gt;0, -(17*INDEX('UZ-normalized'!$D:$D, MATCH($A146, 'UZ-normalized'!$A:$A, 0))-INDEX('UZ-normalized'!$E:$E, MATCH($A146, 'UZ-normalized'!$A:$A, 0))), 0), 0)))</f>
        <v>0</v>
      </c>
      <c r="AF146" s="6">
        <f>MIN(0, N146+(IFERROR(IF(18*INDEX('UA-normalized'!$D:$D, MATCH($A146, 'UA-normalized'!$A:$A, 0))-INDEX('UA-normalized'!$E:$E, MATCH($A146, 'UA-normalized'!$A:$A, 0))&gt;0, -(18*INDEX('UA-normalized'!$D:$D, MATCH($A146, 'UA-normalized'!$A:$A, 0))-INDEX('UA-normalized'!$E:$E, MATCH($A146, 'UA-normalized'!$A:$A, 0))), 0), 0))+(IFERROR(IF(18*INDEX('KZ-normalized'!$D:$D, MATCH($A146, 'KZ-normalized'!$A:$A, 0))-INDEX('KZ-normalized'!$E:$E, MATCH($A146, 'KZ-normalized'!$A:$A, 0))&gt;0, -(18*INDEX('KZ-normalized'!$D:$D, MATCH($A146, 'KZ-normalized'!$A:$A, 0))-INDEX('KZ-normalized'!$E:$E, MATCH($A146, 'KZ-normalized'!$A:$A, 0))), 0), 0))+(IFERROR(IF(18*INDEX('UZ-normalized'!$D:$D, MATCH($A146, 'UZ-normalized'!$A:$A, 0))-INDEX('UZ-normalized'!$E:$E, MATCH($A146, 'UZ-normalized'!$A:$A, 0))&gt;0, -(18*INDEX('UZ-normalized'!$D:$D, MATCH($A146, 'UZ-normalized'!$A:$A, 0))-INDEX('UZ-normalized'!$E:$E, MATCH($A146, 'UZ-normalized'!$A:$A, 0))), 0), 0)))</f>
        <v>0</v>
      </c>
      <c r="AG146" s="6">
        <f>MIN(0, N146+(IFERROR(IF(19*INDEX('UA-normalized'!$D:$D, MATCH($A146, 'UA-normalized'!$A:$A, 0))-INDEX('UA-normalized'!$E:$E, MATCH($A146, 'UA-normalized'!$A:$A, 0))&gt;0, -(19*INDEX('UA-normalized'!$D:$D, MATCH($A146, 'UA-normalized'!$A:$A, 0))-INDEX('UA-normalized'!$E:$E, MATCH($A146, 'UA-normalized'!$A:$A, 0))), 0), 0))+(IFERROR(IF(19*INDEX('KZ-normalized'!$D:$D, MATCH($A146, 'KZ-normalized'!$A:$A, 0))-INDEX('KZ-normalized'!$E:$E, MATCH($A146, 'KZ-normalized'!$A:$A, 0))&gt;0, -(19*INDEX('KZ-normalized'!$D:$D, MATCH($A146, 'KZ-normalized'!$A:$A, 0))-INDEX('KZ-normalized'!$E:$E, MATCH($A146, 'KZ-normalized'!$A:$A, 0))), 0), 0))+(IFERROR(IF(19*INDEX('UZ-normalized'!$D:$D, MATCH($A146, 'UZ-normalized'!$A:$A, 0))-INDEX('UZ-normalized'!$E:$E, MATCH($A146, 'UZ-normalized'!$A:$A, 0))&gt;0, -(19*INDEX('UZ-normalized'!$D:$D, MATCH($A146, 'UZ-normalized'!$A:$A, 0))-INDEX('UZ-normalized'!$E:$E, MATCH($A146, 'UZ-normalized'!$A:$A, 0))), 0), 0)))</f>
        <v>0</v>
      </c>
      <c r="AH146" s="6">
        <f>MIN(0, N146+(IFERROR(IF(20*INDEX('UA-normalized'!$D:$D, MATCH($A146, 'UA-normalized'!$A:$A, 0))-INDEX('UA-normalized'!$E:$E, MATCH($A146, 'UA-normalized'!$A:$A, 0))&gt;0, -(20*INDEX('UA-normalized'!$D:$D, MATCH($A146, 'UA-normalized'!$A:$A, 0))-INDEX('UA-normalized'!$E:$E, MATCH($A146, 'UA-normalized'!$A:$A, 0))), 0), 0))+(IFERROR(IF(20*INDEX('KZ-normalized'!$D:$D, MATCH($A146, 'KZ-normalized'!$A:$A, 0))-INDEX('KZ-normalized'!$E:$E, MATCH($A146, 'KZ-normalized'!$A:$A, 0))&gt;0, -(20*INDEX('KZ-normalized'!$D:$D, MATCH($A146, 'KZ-normalized'!$A:$A, 0))-INDEX('KZ-normalized'!$E:$E, MATCH($A146, 'KZ-normalized'!$A:$A, 0))), 0), 0))+(IFERROR(IF(20*INDEX('UZ-normalized'!$D:$D, MATCH($A146, 'UZ-normalized'!$A:$A, 0))-INDEX('UZ-normalized'!$E:$E, MATCH($A146, 'UZ-normalized'!$A:$A, 0))&gt;0, -(20*INDEX('UZ-normalized'!$D:$D, MATCH($A146, 'UZ-normalized'!$A:$A, 0))-INDEX('UZ-normalized'!$E:$E, MATCH($A146, 'UZ-normalized'!$A:$A, 0))), 0), 0)))</f>
        <v>0</v>
      </c>
      <c r="AI146" s="6">
        <f>MIN(0, N146+(IFERROR(IF(21*INDEX('UA-normalized'!$D:$D, MATCH($A146, 'UA-normalized'!$A:$A, 0))-INDEX('UA-normalized'!$E:$E, MATCH($A146, 'UA-normalized'!$A:$A, 0))&gt;0, -(21*INDEX('UA-normalized'!$D:$D, MATCH($A146, 'UA-normalized'!$A:$A, 0))-INDEX('UA-normalized'!$E:$E, MATCH($A146, 'UA-normalized'!$A:$A, 0))), 0), 0))+(IFERROR(IF(21*INDEX('KZ-normalized'!$D:$D, MATCH($A146, 'KZ-normalized'!$A:$A, 0))-INDEX('KZ-normalized'!$E:$E, MATCH($A146, 'KZ-normalized'!$A:$A, 0))&gt;0, -(21*INDEX('KZ-normalized'!$D:$D, MATCH($A146, 'KZ-normalized'!$A:$A, 0))-INDEX('KZ-normalized'!$E:$E, MATCH($A146, 'KZ-normalized'!$A:$A, 0))), 0), 0))+(IFERROR(IF(21*INDEX('UZ-normalized'!$D:$D, MATCH($A146, 'UZ-normalized'!$A:$A, 0))-INDEX('UZ-normalized'!$E:$E, MATCH($A146, 'UZ-normalized'!$A:$A, 0))&gt;0, -(21*INDEX('UZ-normalized'!$D:$D, MATCH($A146, 'UZ-normalized'!$A:$A, 0))-INDEX('UZ-normalized'!$E:$E, MATCH($A146, 'UZ-normalized'!$A:$A, 0))), 0), 0)))</f>
        <v>0</v>
      </c>
      <c r="AJ146" s="6">
        <f>MIN(0, N146+(IFERROR(IF(22*INDEX('UA-normalized'!$D:$D, MATCH($A146, 'UA-normalized'!$A:$A, 0))-INDEX('UA-normalized'!$E:$E, MATCH($A146, 'UA-normalized'!$A:$A, 0))&gt;0, -(22*INDEX('UA-normalized'!$D:$D, MATCH($A146, 'UA-normalized'!$A:$A, 0))-INDEX('UA-normalized'!$E:$E, MATCH($A146, 'UA-normalized'!$A:$A, 0))), 0), 0))+(IFERROR(IF(22*INDEX('KZ-normalized'!$D:$D, MATCH($A146, 'KZ-normalized'!$A:$A, 0))-INDEX('KZ-normalized'!$E:$E, MATCH($A146, 'KZ-normalized'!$A:$A, 0))&gt;0, -(22*INDEX('KZ-normalized'!$D:$D, MATCH($A146, 'KZ-normalized'!$A:$A, 0))-INDEX('KZ-normalized'!$E:$E, MATCH($A146, 'KZ-normalized'!$A:$A, 0))), 0), 0))+(IFERROR(IF(22*INDEX('UZ-normalized'!$D:$D, MATCH($A146, 'UZ-normalized'!$A:$A, 0))-INDEX('UZ-normalized'!$E:$E, MATCH($A146, 'UZ-normalized'!$A:$A, 0))&gt;0, -(22*INDEX('UZ-normalized'!$D:$D, MATCH($A146, 'UZ-normalized'!$A:$A, 0))-INDEX('UZ-normalized'!$E:$E, MATCH($A146, 'UZ-normalized'!$A:$A, 0))), 0), 0)))</f>
        <v>0</v>
      </c>
      <c r="AK146" s="6">
        <f>MIN(0, N146+(IFERROR(IF(23*INDEX('UA-normalized'!$D:$D, MATCH($A146, 'UA-normalized'!$A:$A, 0))-INDEX('UA-normalized'!$E:$E, MATCH($A146, 'UA-normalized'!$A:$A, 0))&gt;0, -(23*INDEX('UA-normalized'!$D:$D, MATCH($A146, 'UA-normalized'!$A:$A, 0))-INDEX('UA-normalized'!$E:$E, MATCH($A146, 'UA-normalized'!$A:$A, 0))), 0), 0))+(IFERROR(IF(23*INDEX('KZ-normalized'!$D:$D, MATCH($A146, 'KZ-normalized'!$A:$A, 0))-INDEX('KZ-normalized'!$E:$E, MATCH($A146, 'KZ-normalized'!$A:$A, 0))&gt;0, -(23*INDEX('KZ-normalized'!$D:$D, MATCH($A146, 'KZ-normalized'!$A:$A, 0))-INDEX('KZ-normalized'!$E:$E, MATCH($A146, 'KZ-normalized'!$A:$A, 0))), 0), 0))+(IFERROR(IF(23*INDEX('UZ-normalized'!$D:$D, MATCH($A146, 'UZ-normalized'!$A:$A, 0))-INDEX('UZ-normalized'!$E:$E, MATCH($A146, 'UZ-normalized'!$A:$A, 0))&gt;0, -(23*INDEX('UZ-normalized'!$D:$D, MATCH($A146, 'UZ-normalized'!$A:$A, 0))-INDEX('UZ-normalized'!$E:$E, MATCH($A146, 'UZ-normalized'!$A:$A, 0))), 0), 0)))</f>
        <v>0</v>
      </c>
      <c r="AL146" s="6">
        <f>MIN(0, N146+(IFERROR(IF(24*INDEX('UA-normalized'!$D:$D, MATCH($A146, 'UA-normalized'!$A:$A, 0))-INDEX('UA-normalized'!$E:$E, MATCH($A146, 'UA-normalized'!$A:$A, 0))&gt;0, -(24*INDEX('UA-normalized'!$D:$D, MATCH($A146, 'UA-normalized'!$A:$A, 0))-INDEX('UA-normalized'!$E:$E, MATCH($A146, 'UA-normalized'!$A:$A, 0))), 0), 0))+(IFERROR(IF(24*INDEX('KZ-normalized'!$D:$D, MATCH($A146, 'KZ-normalized'!$A:$A, 0))-INDEX('KZ-normalized'!$E:$E, MATCH($A146, 'KZ-normalized'!$A:$A, 0))&gt;0, -(24*INDEX('KZ-normalized'!$D:$D, MATCH($A146, 'KZ-normalized'!$A:$A, 0))-INDEX('KZ-normalized'!$E:$E, MATCH($A146, 'KZ-normalized'!$A:$A, 0))), 0), 0))+(IFERROR(IF(24*INDEX('UZ-normalized'!$D:$D, MATCH($A146, 'UZ-normalized'!$A:$A, 0))-INDEX('UZ-normalized'!$E:$E, MATCH($A146, 'UZ-normalized'!$A:$A, 0))&gt;0, -(24*INDEX('UZ-normalized'!$D:$D, MATCH($A146, 'UZ-normalized'!$A:$A, 0))-INDEX('UZ-normalized'!$E:$E, MATCH($A146, 'UZ-normalized'!$A:$A, 0))), 0), 0)))</f>
        <v>0</v>
      </c>
      <c r="AM146" s="6">
        <f>MIN(0, N146+(IFERROR(IF(25*INDEX('UA-normalized'!$D:$D, MATCH($A146, 'UA-normalized'!$A:$A, 0))-INDEX('UA-normalized'!$E:$E, MATCH($A146, 'UA-normalized'!$A:$A, 0))&gt;0, -(25*INDEX('UA-normalized'!$D:$D, MATCH($A146, 'UA-normalized'!$A:$A, 0))-INDEX('UA-normalized'!$E:$E, MATCH($A146, 'UA-normalized'!$A:$A, 0))), 0), 0))+(IFERROR(IF(25*INDEX('KZ-normalized'!$D:$D, MATCH($A146, 'KZ-normalized'!$A:$A, 0))-INDEX('KZ-normalized'!$E:$E, MATCH($A146, 'KZ-normalized'!$A:$A, 0))&gt;0, -(25*INDEX('KZ-normalized'!$D:$D, MATCH($A146, 'KZ-normalized'!$A:$A, 0))-INDEX('KZ-normalized'!$E:$E, MATCH($A146, 'KZ-normalized'!$A:$A, 0))), 0), 0))+(IFERROR(IF(25*INDEX('UZ-normalized'!$D:$D, MATCH($A146, 'UZ-normalized'!$A:$A, 0))-INDEX('UZ-normalized'!$E:$E, MATCH($A146, 'UZ-normalized'!$A:$A, 0))&gt;0, -(25*INDEX('UZ-normalized'!$D:$D, MATCH($A146, 'UZ-normalized'!$A:$A, 0))-INDEX('UZ-normalized'!$E:$E, MATCH($A146, 'UZ-normalized'!$A:$A, 0))), 0), 0)))</f>
        <v>0</v>
      </c>
      <c r="AN146" s="6">
        <f>MIN(0, N146+(IFERROR(IF(26*INDEX('UA-normalized'!$D:$D, MATCH($A146, 'UA-normalized'!$A:$A, 0))-INDEX('UA-normalized'!$E:$E, MATCH($A146, 'UA-normalized'!$A:$A, 0))&gt;0, -(26*INDEX('UA-normalized'!$D:$D, MATCH($A146, 'UA-normalized'!$A:$A, 0))-INDEX('UA-normalized'!$E:$E, MATCH($A146, 'UA-normalized'!$A:$A, 0))), 0), 0))+(IFERROR(IF(26*INDEX('KZ-normalized'!$D:$D, MATCH($A146, 'KZ-normalized'!$A:$A, 0))-INDEX('KZ-normalized'!$E:$E, MATCH($A146, 'KZ-normalized'!$A:$A, 0))&gt;0, -(26*INDEX('KZ-normalized'!$D:$D, MATCH($A146, 'KZ-normalized'!$A:$A, 0))-INDEX('KZ-normalized'!$E:$E, MATCH($A146, 'KZ-normalized'!$A:$A, 0))), 0), 0))+(IFERROR(IF(26*INDEX('UZ-normalized'!$D:$D, MATCH($A146, 'UZ-normalized'!$A:$A, 0))-INDEX('UZ-normalized'!$E:$E, MATCH($A146, 'UZ-normalized'!$A:$A, 0))&gt;0, -(26*INDEX('UZ-normalized'!$D:$D, MATCH($A146, 'UZ-normalized'!$A:$A, 0))-INDEX('UZ-normalized'!$E:$E, MATCH($A146, 'UZ-normalized'!$A:$A, 0))), 0), 0)))</f>
        <v>0</v>
      </c>
      <c r="AO146" s="6">
        <f>MIN(0, N146+(IFERROR(IF(27*INDEX('UA-normalized'!$D:$D, MATCH($A146, 'UA-normalized'!$A:$A, 0))-INDEX('UA-normalized'!$E:$E, MATCH($A146, 'UA-normalized'!$A:$A, 0))&gt;0, -(27*INDEX('UA-normalized'!$D:$D, MATCH($A146, 'UA-normalized'!$A:$A, 0))-INDEX('UA-normalized'!$E:$E, MATCH($A146, 'UA-normalized'!$A:$A, 0))), 0), 0))+(IFERROR(IF(27*INDEX('KZ-normalized'!$D:$D, MATCH($A146, 'KZ-normalized'!$A:$A, 0))-INDEX('KZ-normalized'!$E:$E, MATCH($A146, 'KZ-normalized'!$A:$A, 0))&gt;0, -(27*INDEX('KZ-normalized'!$D:$D, MATCH($A146, 'KZ-normalized'!$A:$A, 0))-INDEX('KZ-normalized'!$E:$E, MATCH($A146, 'KZ-normalized'!$A:$A, 0))), 0), 0))+(IFERROR(IF(27*INDEX('UZ-normalized'!$D:$D, MATCH($A146, 'UZ-normalized'!$A:$A, 0))-INDEX('UZ-normalized'!$E:$E, MATCH($A146, 'UZ-normalized'!$A:$A, 0))&gt;0, -(27*INDEX('UZ-normalized'!$D:$D, MATCH($A146, 'UZ-normalized'!$A:$A, 0))-INDEX('UZ-normalized'!$E:$E, MATCH($A146, 'UZ-normalized'!$A:$A, 0))), 0), 0)))</f>
        <v>-3</v>
      </c>
      <c r="AP146" s="6">
        <f>MIN(0, N146+(IFERROR(IF(28*INDEX('UA-normalized'!$D:$D, MATCH($A146, 'UA-normalized'!$A:$A, 0))-INDEX('UA-normalized'!$E:$E, MATCH($A146, 'UA-normalized'!$A:$A, 0))&gt;0, -(28*INDEX('UA-normalized'!$D:$D, MATCH($A146, 'UA-normalized'!$A:$A, 0))-INDEX('UA-normalized'!$E:$E, MATCH($A146, 'UA-normalized'!$A:$A, 0))), 0), 0))+(IFERROR(IF(28*INDEX('KZ-normalized'!$D:$D, MATCH($A146, 'KZ-normalized'!$A:$A, 0))-INDEX('KZ-normalized'!$E:$E, MATCH($A146, 'KZ-normalized'!$A:$A, 0))&gt;0, -(28*INDEX('KZ-normalized'!$D:$D, MATCH($A146, 'KZ-normalized'!$A:$A, 0))-INDEX('KZ-normalized'!$E:$E, MATCH($A146, 'KZ-normalized'!$A:$A, 0))), 0), 0))+(IFERROR(IF(28*INDEX('UZ-normalized'!$D:$D, MATCH($A146, 'UZ-normalized'!$A:$A, 0))-INDEX('UZ-normalized'!$E:$E, MATCH($A146, 'UZ-normalized'!$A:$A, 0))&gt;0, -(28*INDEX('UZ-normalized'!$D:$D, MATCH($A146, 'UZ-normalized'!$A:$A, 0))-INDEX('UZ-normalized'!$E:$E, MATCH($A146, 'UZ-normalized'!$A:$A, 0))), 0), 0)))</f>
        <v>-8</v>
      </c>
      <c r="AQ146" s="6">
        <f>MIN(0, N146+(IFERROR(IF(29*INDEX('UA-normalized'!$D:$D, MATCH($A146, 'UA-normalized'!$A:$A, 0))-INDEX('UA-normalized'!$E:$E, MATCH($A146, 'UA-normalized'!$A:$A, 0))&gt;0, -(29*INDEX('UA-normalized'!$D:$D, MATCH($A146, 'UA-normalized'!$A:$A, 0))-INDEX('UA-normalized'!$E:$E, MATCH($A146, 'UA-normalized'!$A:$A, 0))), 0), 0))+(IFERROR(IF(29*INDEX('KZ-normalized'!$D:$D, MATCH($A146, 'KZ-normalized'!$A:$A, 0))-INDEX('KZ-normalized'!$E:$E, MATCH($A146, 'KZ-normalized'!$A:$A, 0))&gt;0, -(29*INDEX('KZ-normalized'!$D:$D, MATCH($A146, 'KZ-normalized'!$A:$A, 0))-INDEX('KZ-normalized'!$E:$E, MATCH($A146, 'KZ-normalized'!$A:$A, 0))), 0), 0))+(IFERROR(IF(29*INDEX('UZ-normalized'!$D:$D, MATCH($A146, 'UZ-normalized'!$A:$A, 0))-INDEX('UZ-normalized'!$E:$E, MATCH($A146, 'UZ-normalized'!$A:$A, 0))&gt;0, -(29*INDEX('UZ-normalized'!$D:$D, MATCH($A146, 'UZ-normalized'!$A:$A, 0))-INDEX('UZ-normalized'!$E:$E, MATCH($A146, 'UZ-normalized'!$A:$A, 0))), 0), 0)))</f>
        <v>-13</v>
      </c>
      <c r="AR146" s="6">
        <f>MIN(0, N146+(IFERROR(IF(30*INDEX('UA-normalized'!$D:$D, MATCH($A146, 'UA-normalized'!$A:$A, 0))-INDEX('UA-normalized'!$E:$E, MATCH($A146, 'UA-normalized'!$A:$A, 0))&gt;0, -(30*INDEX('UA-normalized'!$D:$D, MATCH($A146, 'UA-normalized'!$A:$A, 0))-INDEX('UA-normalized'!$E:$E, MATCH($A146, 'UA-normalized'!$A:$A, 0))), 0), 0))+(IFERROR(IF(30*INDEX('KZ-normalized'!$D:$D, MATCH($A146, 'KZ-normalized'!$A:$A, 0))-INDEX('KZ-normalized'!$E:$E, MATCH($A146, 'KZ-normalized'!$A:$A, 0))&gt;0, -(30*INDEX('KZ-normalized'!$D:$D, MATCH($A146, 'KZ-normalized'!$A:$A, 0))-INDEX('KZ-normalized'!$E:$E, MATCH($A146, 'KZ-normalized'!$A:$A, 0))), 0), 0))+(IFERROR(IF(30*INDEX('UZ-normalized'!$D:$D, MATCH($A146, 'UZ-normalized'!$A:$A, 0))-INDEX('UZ-normalized'!$E:$E, MATCH($A146, 'UZ-normalized'!$A:$A, 0))&gt;0, -(30*INDEX('UZ-normalized'!$D:$D, MATCH($A146, 'UZ-normalized'!$A:$A, 0))-INDEX('UZ-normalized'!$E:$E, MATCH($A146, 'UZ-normalized'!$A:$A, 0))), 0), 0)))</f>
        <v>-18</v>
      </c>
    </row>
    <row r="147" spans="1:44" x14ac:dyDescent="0.25">
      <c r="A147" s="8" t="s">
        <v>356</v>
      </c>
      <c r="B147" s="8" t="s">
        <v>336</v>
      </c>
      <c r="C147" s="8" t="s">
        <v>350</v>
      </c>
      <c r="D147" s="8" t="s">
        <v>357</v>
      </c>
      <c r="E147">
        <v>5400</v>
      </c>
      <c r="J147">
        <v>5400</v>
      </c>
      <c r="N147">
        <f t="shared" si="2"/>
        <v>10800</v>
      </c>
      <c r="O147" s="6">
        <f>MIN(0, N147+(IFERROR(IF(1*INDEX('UA-normalized'!$D:$D, MATCH($A147, 'UA-normalized'!$A:$A, 0))-INDEX('UA-normalized'!$E:$E, MATCH($A147, 'UA-normalized'!$A:$A, 0))&gt;0, -(1*INDEX('UA-normalized'!$D:$D, MATCH($A147, 'UA-normalized'!$A:$A, 0))-INDEX('UA-normalized'!$E:$E, MATCH($A147, 'UA-normalized'!$A:$A, 0))), 0), 0))+(IFERROR(IF(1*INDEX('KZ-normalized'!$D:$D, MATCH($A147, 'KZ-normalized'!$A:$A, 0))-INDEX('KZ-normalized'!$E:$E, MATCH($A147, 'KZ-normalized'!$A:$A, 0))&gt;0, -(1*INDEX('KZ-normalized'!$D:$D, MATCH($A147, 'KZ-normalized'!$A:$A, 0))-INDEX('KZ-normalized'!$E:$E, MATCH($A147, 'KZ-normalized'!$A:$A, 0))), 0), 0))+(IFERROR(IF(1*INDEX('UZ-normalized'!$D:$D, MATCH($A147, 'UZ-normalized'!$A:$A, 0))-INDEX('UZ-normalized'!$E:$E, MATCH($A147, 'UZ-normalized'!$A:$A, 0))&gt;0, -(1*INDEX('UZ-normalized'!$D:$D, MATCH($A147, 'UZ-normalized'!$A:$A, 0))-INDEX('UZ-normalized'!$E:$E, MATCH($A147, 'UZ-normalized'!$A:$A, 0))), 0), 0)))</f>
        <v>0</v>
      </c>
      <c r="P147" s="6">
        <f>MIN(0, N147+(IFERROR(IF(2*INDEX('UA-normalized'!$D:$D, MATCH($A147, 'UA-normalized'!$A:$A, 0))-INDEX('UA-normalized'!$E:$E, MATCH($A147, 'UA-normalized'!$A:$A, 0))&gt;0, -(2*INDEX('UA-normalized'!$D:$D, MATCH($A147, 'UA-normalized'!$A:$A, 0))-INDEX('UA-normalized'!$E:$E, MATCH($A147, 'UA-normalized'!$A:$A, 0))), 0), 0))+(IFERROR(IF(2*INDEX('KZ-normalized'!$D:$D, MATCH($A147, 'KZ-normalized'!$A:$A, 0))-INDEX('KZ-normalized'!$E:$E, MATCH($A147, 'KZ-normalized'!$A:$A, 0))&gt;0, -(2*INDEX('KZ-normalized'!$D:$D, MATCH($A147, 'KZ-normalized'!$A:$A, 0))-INDEX('KZ-normalized'!$E:$E, MATCH($A147, 'KZ-normalized'!$A:$A, 0))), 0), 0))+(IFERROR(IF(2*INDEX('UZ-normalized'!$D:$D, MATCH($A147, 'UZ-normalized'!$A:$A, 0))-INDEX('UZ-normalized'!$E:$E, MATCH($A147, 'UZ-normalized'!$A:$A, 0))&gt;0, -(2*INDEX('UZ-normalized'!$D:$D, MATCH($A147, 'UZ-normalized'!$A:$A, 0))-INDEX('UZ-normalized'!$E:$E, MATCH($A147, 'UZ-normalized'!$A:$A, 0))), 0), 0)))</f>
        <v>0</v>
      </c>
      <c r="Q147" s="6">
        <f>MIN(0, N147+(IFERROR(IF(3*INDEX('UA-normalized'!$D:$D, MATCH($A147, 'UA-normalized'!$A:$A, 0))-INDEX('UA-normalized'!$E:$E, MATCH($A147, 'UA-normalized'!$A:$A, 0))&gt;0, -(3*INDEX('UA-normalized'!$D:$D, MATCH($A147, 'UA-normalized'!$A:$A, 0))-INDEX('UA-normalized'!$E:$E, MATCH($A147, 'UA-normalized'!$A:$A, 0))), 0), 0))+(IFERROR(IF(3*INDEX('KZ-normalized'!$D:$D, MATCH($A147, 'KZ-normalized'!$A:$A, 0))-INDEX('KZ-normalized'!$E:$E, MATCH($A147, 'KZ-normalized'!$A:$A, 0))&gt;0, -(3*INDEX('KZ-normalized'!$D:$D, MATCH($A147, 'KZ-normalized'!$A:$A, 0))-INDEX('KZ-normalized'!$E:$E, MATCH($A147, 'KZ-normalized'!$A:$A, 0))), 0), 0))+(IFERROR(IF(3*INDEX('UZ-normalized'!$D:$D, MATCH($A147, 'UZ-normalized'!$A:$A, 0))-INDEX('UZ-normalized'!$E:$E, MATCH($A147, 'UZ-normalized'!$A:$A, 0))&gt;0, -(3*INDEX('UZ-normalized'!$D:$D, MATCH($A147, 'UZ-normalized'!$A:$A, 0))-INDEX('UZ-normalized'!$E:$E, MATCH($A147, 'UZ-normalized'!$A:$A, 0))), 0), 0)))</f>
        <v>0</v>
      </c>
      <c r="R147" s="6">
        <f>MIN(0, N147+(IFERROR(IF(4*INDEX('UA-normalized'!$D:$D, MATCH($A147, 'UA-normalized'!$A:$A, 0))-INDEX('UA-normalized'!$E:$E, MATCH($A147, 'UA-normalized'!$A:$A, 0))&gt;0, -(4*INDEX('UA-normalized'!$D:$D, MATCH($A147, 'UA-normalized'!$A:$A, 0))-INDEX('UA-normalized'!$E:$E, MATCH($A147, 'UA-normalized'!$A:$A, 0))), 0), 0))+(IFERROR(IF(4*INDEX('KZ-normalized'!$D:$D, MATCH($A147, 'KZ-normalized'!$A:$A, 0))-INDEX('KZ-normalized'!$E:$E, MATCH($A147, 'KZ-normalized'!$A:$A, 0))&gt;0, -(4*INDEX('KZ-normalized'!$D:$D, MATCH($A147, 'KZ-normalized'!$A:$A, 0))-INDEX('KZ-normalized'!$E:$E, MATCH($A147, 'KZ-normalized'!$A:$A, 0))), 0), 0))+(IFERROR(IF(4*INDEX('UZ-normalized'!$D:$D, MATCH($A147, 'UZ-normalized'!$A:$A, 0))-INDEX('UZ-normalized'!$E:$E, MATCH($A147, 'UZ-normalized'!$A:$A, 0))&gt;0, -(4*INDEX('UZ-normalized'!$D:$D, MATCH($A147, 'UZ-normalized'!$A:$A, 0))-INDEX('UZ-normalized'!$E:$E, MATCH($A147, 'UZ-normalized'!$A:$A, 0))), 0), 0)))</f>
        <v>0</v>
      </c>
      <c r="S147" s="6">
        <f>MIN(0, N147+(IFERROR(IF(5*INDEX('UA-normalized'!$D:$D, MATCH($A147, 'UA-normalized'!$A:$A, 0))-INDEX('UA-normalized'!$E:$E, MATCH($A147, 'UA-normalized'!$A:$A, 0))&gt;0, -(5*INDEX('UA-normalized'!$D:$D, MATCH($A147, 'UA-normalized'!$A:$A, 0))-INDEX('UA-normalized'!$E:$E, MATCH($A147, 'UA-normalized'!$A:$A, 0))), 0), 0))+(IFERROR(IF(5*INDEX('KZ-normalized'!$D:$D, MATCH($A147, 'KZ-normalized'!$A:$A, 0))-INDEX('KZ-normalized'!$E:$E, MATCH($A147, 'KZ-normalized'!$A:$A, 0))&gt;0, -(5*INDEX('KZ-normalized'!$D:$D, MATCH($A147, 'KZ-normalized'!$A:$A, 0))-INDEX('KZ-normalized'!$E:$E, MATCH($A147, 'KZ-normalized'!$A:$A, 0))), 0), 0))+(IFERROR(IF(5*INDEX('UZ-normalized'!$D:$D, MATCH($A147, 'UZ-normalized'!$A:$A, 0))-INDEX('UZ-normalized'!$E:$E, MATCH($A147, 'UZ-normalized'!$A:$A, 0))&gt;0, -(5*INDEX('UZ-normalized'!$D:$D, MATCH($A147, 'UZ-normalized'!$A:$A, 0))-INDEX('UZ-normalized'!$E:$E, MATCH($A147, 'UZ-normalized'!$A:$A, 0))), 0), 0)))</f>
        <v>0</v>
      </c>
      <c r="T147" s="6">
        <f>MIN(0, N147+(IFERROR(IF(6*INDEX('UA-normalized'!$D:$D, MATCH($A147, 'UA-normalized'!$A:$A, 0))-INDEX('UA-normalized'!$E:$E, MATCH($A147, 'UA-normalized'!$A:$A, 0))&gt;0, -(6*INDEX('UA-normalized'!$D:$D, MATCH($A147, 'UA-normalized'!$A:$A, 0))-INDEX('UA-normalized'!$E:$E, MATCH($A147, 'UA-normalized'!$A:$A, 0))), 0), 0))+(IFERROR(IF(6*INDEX('KZ-normalized'!$D:$D, MATCH($A147, 'KZ-normalized'!$A:$A, 0))-INDEX('KZ-normalized'!$E:$E, MATCH($A147, 'KZ-normalized'!$A:$A, 0))&gt;0, -(6*INDEX('KZ-normalized'!$D:$D, MATCH($A147, 'KZ-normalized'!$A:$A, 0))-INDEX('KZ-normalized'!$E:$E, MATCH($A147, 'KZ-normalized'!$A:$A, 0))), 0), 0))+(IFERROR(IF(6*INDEX('UZ-normalized'!$D:$D, MATCH($A147, 'UZ-normalized'!$A:$A, 0))-INDEX('UZ-normalized'!$E:$E, MATCH($A147, 'UZ-normalized'!$A:$A, 0))&gt;0, -(6*INDEX('UZ-normalized'!$D:$D, MATCH($A147, 'UZ-normalized'!$A:$A, 0))-INDEX('UZ-normalized'!$E:$E, MATCH($A147, 'UZ-normalized'!$A:$A, 0))), 0), 0)))</f>
        <v>0</v>
      </c>
      <c r="U147" s="6">
        <f>MIN(0, N147+(IFERROR(IF(7*INDEX('UA-normalized'!$D:$D, MATCH($A147, 'UA-normalized'!$A:$A, 0))-INDEX('UA-normalized'!$E:$E, MATCH($A147, 'UA-normalized'!$A:$A, 0))&gt;0, -(7*INDEX('UA-normalized'!$D:$D, MATCH($A147, 'UA-normalized'!$A:$A, 0))-INDEX('UA-normalized'!$E:$E, MATCH($A147, 'UA-normalized'!$A:$A, 0))), 0), 0))+(IFERROR(IF(7*INDEX('KZ-normalized'!$D:$D, MATCH($A147, 'KZ-normalized'!$A:$A, 0))-INDEX('KZ-normalized'!$E:$E, MATCH($A147, 'KZ-normalized'!$A:$A, 0))&gt;0, -(7*INDEX('KZ-normalized'!$D:$D, MATCH($A147, 'KZ-normalized'!$A:$A, 0))-INDEX('KZ-normalized'!$E:$E, MATCH($A147, 'KZ-normalized'!$A:$A, 0))), 0), 0))+(IFERROR(IF(7*INDEX('UZ-normalized'!$D:$D, MATCH($A147, 'UZ-normalized'!$A:$A, 0))-INDEX('UZ-normalized'!$E:$E, MATCH($A147, 'UZ-normalized'!$A:$A, 0))&gt;0, -(7*INDEX('UZ-normalized'!$D:$D, MATCH($A147, 'UZ-normalized'!$A:$A, 0))-INDEX('UZ-normalized'!$E:$E, MATCH($A147, 'UZ-normalized'!$A:$A, 0))), 0), 0)))</f>
        <v>0</v>
      </c>
      <c r="V147" s="6">
        <f>MIN(0, N147+(IFERROR(IF(8*INDEX('UA-normalized'!$D:$D, MATCH($A147, 'UA-normalized'!$A:$A, 0))-INDEX('UA-normalized'!$E:$E, MATCH($A147, 'UA-normalized'!$A:$A, 0))&gt;0, -(8*INDEX('UA-normalized'!$D:$D, MATCH($A147, 'UA-normalized'!$A:$A, 0))-INDEX('UA-normalized'!$E:$E, MATCH($A147, 'UA-normalized'!$A:$A, 0))), 0), 0))+(IFERROR(IF(8*INDEX('KZ-normalized'!$D:$D, MATCH($A147, 'KZ-normalized'!$A:$A, 0))-INDEX('KZ-normalized'!$E:$E, MATCH($A147, 'KZ-normalized'!$A:$A, 0))&gt;0, -(8*INDEX('KZ-normalized'!$D:$D, MATCH($A147, 'KZ-normalized'!$A:$A, 0))-INDEX('KZ-normalized'!$E:$E, MATCH($A147, 'KZ-normalized'!$A:$A, 0))), 0), 0))+(IFERROR(IF(8*INDEX('UZ-normalized'!$D:$D, MATCH($A147, 'UZ-normalized'!$A:$A, 0))-INDEX('UZ-normalized'!$E:$E, MATCH($A147, 'UZ-normalized'!$A:$A, 0))&gt;0, -(8*INDEX('UZ-normalized'!$D:$D, MATCH($A147, 'UZ-normalized'!$A:$A, 0))-INDEX('UZ-normalized'!$E:$E, MATCH($A147, 'UZ-normalized'!$A:$A, 0))), 0), 0)))</f>
        <v>0</v>
      </c>
      <c r="W147" s="6">
        <f>MIN(0, N147+(IFERROR(IF(9*INDEX('UA-normalized'!$D:$D, MATCH($A147, 'UA-normalized'!$A:$A, 0))-INDEX('UA-normalized'!$E:$E, MATCH($A147, 'UA-normalized'!$A:$A, 0))&gt;0, -(9*INDEX('UA-normalized'!$D:$D, MATCH($A147, 'UA-normalized'!$A:$A, 0))-INDEX('UA-normalized'!$E:$E, MATCH($A147, 'UA-normalized'!$A:$A, 0))), 0), 0))+(IFERROR(IF(9*INDEX('KZ-normalized'!$D:$D, MATCH($A147, 'KZ-normalized'!$A:$A, 0))-INDEX('KZ-normalized'!$E:$E, MATCH($A147, 'KZ-normalized'!$A:$A, 0))&gt;0, -(9*INDEX('KZ-normalized'!$D:$D, MATCH($A147, 'KZ-normalized'!$A:$A, 0))-INDEX('KZ-normalized'!$E:$E, MATCH($A147, 'KZ-normalized'!$A:$A, 0))), 0), 0))+(IFERROR(IF(9*INDEX('UZ-normalized'!$D:$D, MATCH($A147, 'UZ-normalized'!$A:$A, 0))-INDEX('UZ-normalized'!$E:$E, MATCH($A147, 'UZ-normalized'!$A:$A, 0))&gt;0, -(9*INDEX('UZ-normalized'!$D:$D, MATCH($A147, 'UZ-normalized'!$A:$A, 0))-INDEX('UZ-normalized'!$E:$E, MATCH($A147, 'UZ-normalized'!$A:$A, 0))), 0), 0)))</f>
        <v>0</v>
      </c>
      <c r="X147" s="6">
        <f>MIN(0, N147+(IFERROR(IF(10*INDEX('UA-normalized'!$D:$D, MATCH($A147, 'UA-normalized'!$A:$A, 0))-INDEX('UA-normalized'!$E:$E, MATCH($A147, 'UA-normalized'!$A:$A, 0))&gt;0, -(10*INDEX('UA-normalized'!$D:$D, MATCH($A147, 'UA-normalized'!$A:$A, 0))-INDEX('UA-normalized'!$E:$E, MATCH($A147, 'UA-normalized'!$A:$A, 0))), 0), 0))+(IFERROR(IF(10*INDEX('KZ-normalized'!$D:$D, MATCH($A147, 'KZ-normalized'!$A:$A, 0))-INDEX('KZ-normalized'!$E:$E, MATCH($A147, 'KZ-normalized'!$A:$A, 0))&gt;0, -(10*INDEX('KZ-normalized'!$D:$D, MATCH($A147, 'KZ-normalized'!$A:$A, 0))-INDEX('KZ-normalized'!$E:$E, MATCH($A147, 'KZ-normalized'!$A:$A, 0))), 0), 0))+(IFERROR(IF(10*INDEX('UZ-normalized'!$D:$D, MATCH($A147, 'UZ-normalized'!$A:$A, 0))-INDEX('UZ-normalized'!$E:$E, MATCH($A147, 'UZ-normalized'!$A:$A, 0))&gt;0, -(10*INDEX('UZ-normalized'!$D:$D, MATCH($A147, 'UZ-normalized'!$A:$A, 0))-INDEX('UZ-normalized'!$E:$E, MATCH($A147, 'UZ-normalized'!$A:$A, 0))), 0), 0)))</f>
        <v>0</v>
      </c>
      <c r="Y147" s="6">
        <f>MIN(0, N147+(IFERROR(IF(11*INDEX('UA-normalized'!$D:$D, MATCH($A147, 'UA-normalized'!$A:$A, 0))-INDEX('UA-normalized'!$E:$E, MATCH($A147, 'UA-normalized'!$A:$A, 0))&gt;0, -(11*INDEX('UA-normalized'!$D:$D, MATCH($A147, 'UA-normalized'!$A:$A, 0))-INDEX('UA-normalized'!$E:$E, MATCH($A147, 'UA-normalized'!$A:$A, 0))), 0), 0))+(IFERROR(IF(11*INDEX('KZ-normalized'!$D:$D, MATCH($A147, 'KZ-normalized'!$A:$A, 0))-INDEX('KZ-normalized'!$E:$E, MATCH($A147, 'KZ-normalized'!$A:$A, 0))&gt;0, -(11*INDEX('KZ-normalized'!$D:$D, MATCH($A147, 'KZ-normalized'!$A:$A, 0))-INDEX('KZ-normalized'!$E:$E, MATCH($A147, 'KZ-normalized'!$A:$A, 0))), 0), 0))+(IFERROR(IF(11*INDEX('UZ-normalized'!$D:$D, MATCH($A147, 'UZ-normalized'!$A:$A, 0))-INDEX('UZ-normalized'!$E:$E, MATCH($A147, 'UZ-normalized'!$A:$A, 0))&gt;0, -(11*INDEX('UZ-normalized'!$D:$D, MATCH($A147, 'UZ-normalized'!$A:$A, 0))-INDEX('UZ-normalized'!$E:$E, MATCH($A147, 'UZ-normalized'!$A:$A, 0))), 0), 0)))</f>
        <v>0</v>
      </c>
      <c r="Z147" s="6">
        <f>MIN(0, N147+(IFERROR(IF(12*INDEX('UA-normalized'!$D:$D, MATCH($A147, 'UA-normalized'!$A:$A, 0))-INDEX('UA-normalized'!$E:$E, MATCH($A147, 'UA-normalized'!$A:$A, 0))&gt;0, -(12*INDEX('UA-normalized'!$D:$D, MATCH($A147, 'UA-normalized'!$A:$A, 0))-INDEX('UA-normalized'!$E:$E, MATCH($A147, 'UA-normalized'!$A:$A, 0))), 0), 0))+(IFERROR(IF(12*INDEX('KZ-normalized'!$D:$D, MATCH($A147, 'KZ-normalized'!$A:$A, 0))-INDEX('KZ-normalized'!$E:$E, MATCH($A147, 'KZ-normalized'!$A:$A, 0))&gt;0, -(12*INDEX('KZ-normalized'!$D:$D, MATCH($A147, 'KZ-normalized'!$A:$A, 0))-INDEX('KZ-normalized'!$E:$E, MATCH($A147, 'KZ-normalized'!$A:$A, 0))), 0), 0))+(IFERROR(IF(12*INDEX('UZ-normalized'!$D:$D, MATCH($A147, 'UZ-normalized'!$A:$A, 0))-INDEX('UZ-normalized'!$E:$E, MATCH($A147, 'UZ-normalized'!$A:$A, 0))&gt;0, -(12*INDEX('UZ-normalized'!$D:$D, MATCH($A147, 'UZ-normalized'!$A:$A, 0))-INDEX('UZ-normalized'!$E:$E, MATCH($A147, 'UZ-normalized'!$A:$A, 0))), 0), 0)))</f>
        <v>0</v>
      </c>
      <c r="AA147" s="6">
        <f>MIN(0, N147+(IFERROR(IF(13*INDEX('UA-normalized'!$D:$D, MATCH($A147, 'UA-normalized'!$A:$A, 0))-INDEX('UA-normalized'!$E:$E, MATCH($A147, 'UA-normalized'!$A:$A, 0))&gt;0, -(13*INDEX('UA-normalized'!$D:$D, MATCH($A147, 'UA-normalized'!$A:$A, 0))-INDEX('UA-normalized'!$E:$E, MATCH($A147, 'UA-normalized'!$A:$A, 0))), 0), 0))+(IFERROR(IF(13*INDEX('KZ-normalized'!$D:$D, MATCH($A147, 'KZ-normalized'!$A:$A, 0))-INDEX('KZ-normalized'!$E:$E, MATCH($A147, 'KZ-normalized'!$A:$A, 0))&gt;0, -(13*INDEX('KZ-normalized'!$D:$D, MATCH($A147, 'KZ-normalized'!$A:$A, 0))-INDEX('KZ-normalized'!$E:$E, MATCH($A147, 'KZ-normalized'!$A:$A, 0))), 0), 0))+(IFERROR(IF(13*INDEX('UZ-normalized'!$D:$D, MATCH($A147, 'UZ-normalized'!$A:$A, 0))-INDEX('UZ-normalized'!$E:$E, MATCH($A147, 'UZ-normalized'!$A:$A, 0))&gt;0, -(13*INDEX('UZ-normalized'!$D:$D, MATCH($A147, 'UZ-normalized'!$A:$A, 0))-INDEX('UZ-normalized'!$E:$E, MATCH($A147, 'UZ-normalized'!$A:$A, 0))), 0), 0)))</f>
        <v>0</v>
      </c>
      <c r="AB147" s="6">
        <f>MIN(0, N147+(IFERROR(IF(14*INDEX('UA-normalized'!$D:$D, MATCH($A147, 'UA-normalized'!$A:$A, 0))-INDEX('UA-normalized'!$E:$E, MATCH($A147, 'UA-normalized'!$A:$A, 0))&gt;0, -(14*INDEX('UA-normalized'!$D:$D, MATCH($A147, 'UA-normalized'!$A:$A, 0))-INDEX('UA-normalized'!$E:$E, MATCH($A147, 'UA-normalized'!$A:$A, 0))), 0), 0))+(IFERROR(IF(14*INDEX('KZ-normalized'!$D:$D, MATCH($A147, 'KZ-normalized'!$A:$A, 0))-INDEX('KZ-normalized'!$E:$E, MATCH($A147, 'KZ-normalized'!$A:$A, 0))&gt;0, -(14*INDEX('KZ-normalized'!$D:$D, MATCH($A147, 'KZ-normalized'!$A:$A, 0))-INDEX('KZ-normalized'!$E:$E, MATCH($A147, 'KZ-normalized'!$A:$A, 0))), 0), 0))+(IFERROR(IF(14*INDEX('UZ-normalized'!$D:$D, MATCH($A147, 'UZ-normalized'!$A:$A, 0))-INDEX('UZ-normalized'!$E:$E, MATCH($A147, 'UZ-normalized'!$A:$A, 0))&gt;0, -(14*INDEX('UZ-normalized'!$D:$D, MATCH($A147, 'UZ-normalized'!$A:$A, 0))-INDEX('UZ-normalized'!$E:$E, MATCH($A147, 'UZ-normalized'!$A:$A, 0))), 0), 0)))</f>
        <v>0</v>
      </c>
      <c r="AC147" s="6">
        <f>MIN(0, N147+(IFERROR(IF(15*INDEX('UA-normalized'!$D:$D, MATCH($A147, 'UA-normalized'!$A:$A, 0))-INDEX('UA-normalized'!$E:$E, MATCH($A147, 'UA-normalized'!$A:$A, 0))&gt;0, -(15*INDEX('UA-normalized'!$D:$D, MATCH($A147, 'UA-normalized'!$A:$A, 0))-INDEX('UA-normalized'!$E:$E, MATCH($A147, 'UA-normalized'!$A:$A, 0))), 0), 0))+(IFERROR(IF(15*INDEX('KZ-normalized'!$D:$D, MATCH($A147, 'KZ-normalized'!$A:$A, 0))-INDEX('KZ-normalized'!$E:$E, MATCH($A147, 'KZ-normalized'!$A:$A, 0))&gt;0, -(15*INDEX('KZ-normalized'!$D:$D, MATCH($A147, 'KZ-normalized'!$A:$A, 0))-INDEX('KZ-normalized'!$E:$E, MATCH($A147, 'KZ-normalized'!$A:$A, 0))), 0), 0))+(IFERROR(IF(15*INDEX('UZ-normalized'!$D:$D, MATCH($A147, 'UZ-normalized'!$A:$A, 0))-INDEX('UZ-normalized'!$E:$E, MATCH($A147, 'UZ-normalized'!$A:$A, 0))&gt;0, -(15*INDEX('UZ-normalized'!$D:$D, MATCH($A147, 'UZ-normalized'!$A:$A, 0))-INDEX('UZ-normalized'!$E:$E, MATCH($A147, 'UZ-normalized'!$A:$A, 0))), 0), 0)))</f>
        <v>0</v>
      </c>
      <c r="AD147" s="6">
        <f>MIN(0, N147+(IFERROR(IF(16*INDEX('UA-normalized'!$D:$D, MATCH($A147, 'UA-normalized'!$A:$A, 0))-INDEX('UA-normalized'!$E:$E, MATCH($A147, 'UA-normalized'!$A:$A, 0))&gt;0, -(16*INDEX('UA-normalized'!$D:$D, MATCH($A147, 'UA-normalized'!$A:$A, 0))-INDEX('UA-normalized'!$E:$E, MATCH($A147, 'UA-normalized'!$A:$A, 0))), 0), 0))+(IFERROR(IF(16*INDEX('KZ-normalized'!$D:$D, MATCH($A147, 'KZ-normalized'!$A:$A, 0))-INDEX('KZ-normalized'!$E:$E, MATCH($A147, 'KZ-normalized'!$A:$A, 0))&gt;0, -(16*INDEX('KZ-normalized'!$D:$D, MATCH($A147, 'KZ-normalized'!$A:$A, 0))-INDEX('KZ-normalized'!$E:$E, MATCH($A147, 'KZ-normalized'!$A:$A, 0))), 0), 0))+(IFERROR(IF(16*INDEX('UZ-normalized'!$D:$D, MATCH($A147, 'UZ-normalized'!$A:$A, 0))-INDEX('UZ-normalized'!$E:$E, MATCH($A147, 'UZ-normalized'!$A:$A, 0))&gt;0, -(16*INDEX('UZ-normalized'!$D:$D, MATCH($A147, 'UZ-normalized'!$A:$A, 0))-INDEX('UZ-normalized'!$E:$E, MATCH($A147, 'UZ-normalized'!$A:$A, 0))), 0), 0)))</f>
        <v>0</v>
      </c>
      <c r="AE147" s="6">
        <f>MIN(0, N147+(IFERROR(IF(17*INDEX('UA-normalized'!$D:$D, MATCH($A147, 'UA-normalized'!$A:$A, 0))-INDEX('UA-normalized'!$E:$E, MATCH($A147, 'UA-normalized'!$A:$A, 0))&gt;0, -(17*INDEX('UA-normalized'!$D:$D, MATCH($A147, 'UA-normalized'!$A:$A, 0))-INDEX('UA-normalized'!$E:$E, MATCH($A147, 'UA-normalized'!$A:$A, 0))), 0), 0))+(IFERROR(IF(17*INDEX('KZ-normalized'!$D:$D, MATCH($A147, 'KZ-normalized'!$A:$A, 0))-INDEX('KZ-normalized'!$E:$E, MATCH($A147, 'KZ-normalized'!$A:$A, 0))&gt;0, -(17*INDEX('KZ-normalized'!$D:$D, MATCH($A147, 'KZ-normalized'!$A:$A, 0))-INDEX('KZ-normalized'!$E:$E, MATCH($A147, 'KZ-normalized'!$A:$A, 0))), 0), 0))+(IFERROR(IF(17*INDEX('UZ-normalized'!$D:$D, MATCH($A147, 'UZ-normalized'!$A:$A, 0))-INDEX('UZ-normalized'!$E:$E, MATCH($A147, 'UZ-normalized'!$A:$A, 0))&gt;0, -(17*INDEX('UZ-normalized'!$D:$D, MATCH($A147, 'UZ-normalized'!$A:$A, 0))-INDEX('UZ-normalized'!$E:$E, MATCH($A147, 'UZ-normalized'!$A:$A, 0))), 0), 0)))</f>
        <v>0</v>
      </c>
      <c r="AF147" s="6">
        <f>MIN(0, N147+(IFERROR(IF(18*INDEX('UA-normalized'!$D:$D, MATCH($A147, 'UA-normalized'!$A:$A, 0))-INDEX('UA-normalized'!$E:$E, MATCH($A147, 'UA-normalized'!$A:$A, 0))&gt;0, -(18*INDEX('UA-normalized'!$D:$D, MATCH($A147, 'UA-normalized'!$A:$A, 0))-INDEX('UA-normalized'!$E:$E, MATCH($A147, 'UA-normalized'!$A:$A, 0))), 0), 0))+(IFERROR(IF(18*INDEX('KZ-normalized'!$D:$D, MATCH($A147, 'KZ-normalized'!$A:$A, 0))-INDEX('KZ-normalized'!$E:$E, MATCH($A147, 'KZ-normalized'!$A:$A, 0))&gt;0, -(18*INDEX('KZ-normalized'!$D:$D, MATCH($A147, 'KZ-normalized'!$A:$A, 0))-INDEX('KZ-normalized'!$E:$E, MATCH($A147, 'KZ-normalized'!$A:$A, 0))), 0), 0))+(IFERROR(IF(18*INDEX('UZ-normalized'!$D:$D, MATCH($A147, 'UZ-normalized'!$A:$A, 0))-INDEX('UZ-normalized'!$E:$E, MATCH($A147, 'UZ-normalized'!$A:$A, 0))&gt;0, -(18*INDEX('UZ-normalized'!$D:$D, MATCH($A147, 'UZ-normalized'!$A:$A, 0))-INDEX('UZ-normalized'!$E:$E, MATCH($A147, 'UZ-normalized'!$A:$A, 0))), 0), 0)))</f>
        <v>0</v>
      </c>
      <c r="AG147" s="6">
        <f>MIN(0, N147+(IFERROR(IF(19*INDEX('UA-normalized'!$D:$D, MATCH($A147, 'UA-normalized'!$A:$A, 0))-INDEX('UA-normalized'!$E:$E, MATCH($A147, 'UA-normalized'!$A:$A, 0))&gt;0, -(19*INDEX('UA-normalized'!$D:$D, MATCH($A147, 'UA-normalized'!$A:$A, 0))-INDEX('UA-normalized'!$E:$E, MATCH($A147, 'UA-normalized'!$A:$A, 0))), 0), 0))+(IFERROR(IF(19*INDEX('KZ-normalized'!$D:$D, MATCH($A147, 'KZ-normalized'!$A:$A, 0))-INDEX('KZ-normalized'!$E:$E, MATCH($A147, 'KZ-normalized'!$A:$A, 0))&gt;0, -(19*INDEX('KZ-normalized'!$D:$D, MATCH($A147, 'KZ-normalized'!$A:$A, 0))-INDEX('KZ-normalized'!$E:$E, MATCH($A147, 'KZ-normalized'!$A:$A, 0))), 0), 0))+(IFERROR(IF(19*INDEX('UZ-normalized'!$D:$D, MATCH($A147, 'UZ-normalized'!$A:$A, 0))-INDEX('UZ-normalized'!$E:$E, MATCH($A147, 'UZ-normalized'!$A:$A, 0))&gt;0, -(19*INDEX('UZ-normalized'!$D:$D, MATCH($A147, 'UZ-normalized'!$A:$A, 0))-INDEX('UZ-normalized'!$E:$E, MATCH($A147, 'UZ-normalized'!$A:$A, 0))), 0), 0)))</f>
        <v>0</v>
      </c>
      <c r="AH147" s="6">
        <f>MIN(0, N147+(IFERROR(IF(20*INDEX('UA-normalized'!$D:$D, MATCH($A147, 'UA-normalized'!$A:$A, 0))-INDEX('UA-normalized'!$E:$E, MATCH($A147, 'UA-normalized'!$A:$A, 0))&gt;0, -(20*INDEX('UA-normalized'!$D:$D, MATCH($A147, 'UA-normalized'!$A:$A, 0))-INDEX('UA-normalized'!$E:$E, MATCH($A147, 'UA-normalized'!$A:$A, 0))), 0), 0))+(IFERROR(IF(20*INDEX('KZ-normalized'!$D:$D, MATCH($A147, 'KZ-normalized'!$A:$A, 0))-INDEX('KZ-normalized'!$E:$E, MATCH($A147, 'KZ-normalized'!$A:$A, 0))&gt;0, -(20*INDEX('KZ-normalized'!$D:$D, MATCH($A147, 'KZ-normalized'!$A:$A, 0))-INDEX('KZ-normalized'!$E:$E, MATCH($A147, 'KZ-normalized'!$A:$A, 0))), 0), 0))+(IFERROR(IF(20*INDEX('UZ-normalized'!$D:$D, MATCH($A147, 'UZ-normalized'!$A:$A, 0))-INDEX('UZ-normalized'!$E:$E, MATCH($A147, 'UZ-normalized'!$A:$A, 0))&gt;0, -(20*INDEX('UZ-normalized'!$D:$D, MATCH($A147, 'UZ-normalized'!$A:$A, 0))-INDEX('UZ-normalized'!$E:$E, MATCH($A147, 'UZ-normalized'!$A:$A, 0))), 0), 0)))</f>
        <v>0</v>
      </c>
      <c r="AI147" s="6">
        <f>MIN(0, N147+(IFERROR(IF(21*INDEX('UA-normalized'!$D:$D, MATCH($A147, 'UA-normalized'!$A:$A, 0))-INDEX('UA-normalized'!$E:$E, MATCH($A147, 'UA-normalized'!$A:$A, 0))&gt;0, -(21*INDEX('UA-normalized'!$D:$D, MATCH($A147, 'UA-normalized'!$A:$A, 0))-INDEX('UA-normalized'!$E:$E, MATCH($A147, 'UA-normalized'!$A:$A, 0))), 0), 0))+(IFERROR(IF(21*INDEX('KZ-normalized'!$D:$D, MATCH($A147, 'KZ-normalized'!$A:$A, 0))-INDEX('KZ-normalized'!$E:$E, MATCH($A147, 'KZ-normalized'!$A:$A, 0))&gt;0, -(21*INDEX('KZ-normalized'!$D:$D, MATCH($A147, 'KZ-normalized'!$A:$A, 0))-INDEX('KZ-normalized'!$E:$E, MATCH($A147, 'KZ-normalized'!$A:$A, 0))), 0), 0))+(IFERROR(IF(21*INDEX('UZ-normalized'!$D:$D, MATCH($A147, 'UZ-normalized'!$A:$A, 0))-INDEX('UZ-normalized'!$E:$E, MATCH($A147, 'UZ-normalized'!$A:$A, 0))&gt;0, -(21*INDEX('UZ-normalized'!$D:$D, MATCH($A147, 'UZ-normalized'!$A:$A, 0))-INDEX('UZ-normalized'!$E:$E, MATCH($A147, 'UZ-normalized'!$A:$A, 0))), 0), 0)))</f>
        <v>0</v>
      </c>
      <c r="AJ147" s="6">
        <f>MIN(0, N147+(IFERROR(IF(22*INDEX('UA-normalized'!$D:$D, MATCH($A147, 'UA-normalized'!$A:$A, 0))-INDEX('UA-normalized'!$E:$E, MATCH($A147, 'UA-normalized'!$A:$A, 0))&gt;0, -(22*INDEX('UA-normalized'!$D:$D, MATCH($A147, 'UA-normalized'!$A:$A, 0))-INDEX('UA-normalized'!$E:$E, MATCH($A147, 'UA-normalized'!$A:$A, 0))), 0), 0))+(IFERROR(IF(22*INDEX('KZ-normalized'!$D:$D, MATCH($A147, 'KZ-normalized'!$A:$A, 0))-INDEX('KZ-normalized'!$E:$E, MATCH($A147, 'KZ-normalized'!$A:$A, 0))&gt;0, -(22*INDEX('KZ-normalized'!$D:$D, MATCH($A147, 'KZ-normalized'!$A:$A, 0))-INDEX('KZ-normalized'!$E:$E, MATCH($A147, 'KZ-normalized'!$A:$A, 0))), 0), 0))+(IFERROR(IF(22*INDEX('UZ-normalized'!$D:$D, MATCH($A147, 'UZ-normalized'!$A:$A, 0))-INDEX('UZ-normalized'!$E:$E, MATCH($A147, 'UZ-normalized'!$A:$A, 0))&gt;0, -(22*INDEX('UZ-normalized'!$D:$D, MATCH($A147, 'UZ-normalized'!$A:$A, 0))-INDEX('UZ-normalized'!$E:$E, MATCH($A147, 'UZ-normalized'!$A:$A, 0))), 0), 0)))</f>
        <v>-30</v>
      </c>
      <c r="AK147" s="6">
        <f>MIN(0, N147+(IFERROR(IF(23*INDEX('UA-normalized'!$D:$D, MATCH($A147, 'UA-normalized'!$A:$A, 0))-INDEX('UA-normalized'!$E:$E, MATCH($A147, 'UA-normalized'!$A:$A, 0))&gt;0, -(23*INDEX('UA-normalized'!$D:$D, MATCH($A147, 'UA-normalized'!$A:$A, 0))-INDEX('UA-normalized'!$E:$E, MATCH($A147, 'UA-normalized'!$A:$A, 0))), 0), 0))+(IFERROR(IF(23*INDEX('KZ-normalized'!$D:$D, MATCH($A147, 'KZ-normalized'!$A:$A, 0))-INDEX('KZ-normalized'!$E:$E, MATCH($A147, 'KZ-normalized'!$A:$A, 0))&gt;0, -(23*INDEX('KZ-normalized'!$D:$D, MATCH($A147, 'KZ-normalized'!$A:$A, 0))-INDEX('KZ-normalized'!$E:$E, MATCH($A147, 'KZ-normalized'!$A:$A, 0))), 0), 0))+(IFERROR(IF(23*INDEX('UZ-normalized'!$D:$D, MATCH($A147, 'UZ-normalized'!$A:$A, 0))-INDEX('UZ-normalized'!$E:$E, MATCH($A147, 'UZ-normalized'!$A:$A, 0))&gt;0, -(23*INDEX('UZ-normalized'!$D:$D, MATCH($A147, 'UZ-normalized'!$A:$A, 0))-INDEX('UZ-normalized'!$E:$E, MATCH($A147, 'UZ-normalized'!$A:$A, 0))), 0), 0)))</f>
        <v>-690</v>
      </c>
      <c r="AL147" s="6">
        <f>MIN(0, N147+(IFERROR(IF(24*INDEX('UA-normalized'!$D:$D, MATCH($A147, 'UA-normalized'!$A:$A, 0))-INDEX('UA-normalized'!$E:$E, MATCH($A147, 'UA-normalized'!$A:$A, 0))&gt;0, -(24*INDEX('UA-normalized'!$D:$D, MATCH($A147, 'UA-normalized'!$A:$A, 0))-INDEX('UA-normalized'!$E:$E, MATCH($A147, 'UA-normalized'!$A:$A, 0))), 0), 0))+(IFERROR(IF(24*INDEX('KZ-normalized'!$D:$D, MATCH($A147, 'KZ-normalized'!$A:$A, 0))-INDEX('KZ-normalized'!$E:$E, MATCH($A147, 'KZ-normalized'!$A:$A, 0))&gt;0, -(24*INDEX('KZ-normalized'!$D:$D, MATCH($A147, 'KZ-normalized'!$A:$A, 0))-INDEX('KZ-normalized'!$E:$E, MATCH($A147, 'KZ-normalized'!$A:$A, 0))), 0), 0))+(IFERROR(IF(24*INDEX('UZ-normalized'!$D:$D, MATCH($A147, 'UZ-normalized'!$A:$A, 0))-INDEX('UZ-normalized'!$E:$E, MATCH($A147, 'UZ-normalized'!$A:$A, 0))&gt;0, -(24*INDEX('UZ-normalized'!$D:$D, MATCH($A147, 'UZ-normalized'!$A:$A, 0))-INDEX('UZ-normalized'!$E:$E, MATCH($A147, 'UZ-normalized'!$A:$A, 0))), 0), 0)))</f>
        <v>-1350</v>
      </c>
      <c r="AM147" s="6">
        <f>MIN(0, N147+(IFERROR(IF(25*INDEX('UA-normalized'!$D:$D, MATCH($A147, 'UA-normalized'!$A:$A, 0))-INDEX('UA-normalized'!$E:$E, MATCH($A147, 'UA-normalized'!$A:$A, 0))&gt;0, -(25*INDEX('UA-normalized'!$D:$D, MATCH($A147, 'UA-normalized'!$A:$A, 0))-INDEX('UA-normalized'!$E:$E, MATCH($A147, 'UA-normalized'!$A:$A, 0))), 0), 0))+(IFERROR(IF(25*INDEX('KZ-normalized'!$D:$D, MATCH($A147, 'KZ-normalized'!$A:$A, 0))-INDEX('KZ-normalized'!$E:$E, MATCH($A147, 'KZ-normalized'!$A:$A, 0))&gt;0, -(25*INDEX('KZ-normalized'!$D:$D, MATCH($A147, 'KZ-normalized'!$A:$A, 0))-INDEX('KZ-normalized'!$E:$E, MATCH($A147, 'KZ-normalized'!$A:$A, 0))), 0), 0))+(IFERROR(IF(25*INDEX('UZ-normalized'!$D:$D, MATCH($A147, 'UZ-normalized'!$A:$A, 0))-INDEX('UZ-normalized'!$E:$E, MATCH($A147, 'UZ-normalized'!$A:$A, 0))&gt;0, -(25*INDEX('UZ-normalized'!$D:$D, MATCH($A147, 'UZ-normalized'!$A:$A, 0))-INDEX('UZ-normalized'!$E:$E, MATCH($A147, 'UZ-normalized'!$A:$A, 0))), 0), 0)))</f>
        <v>-2010</v>
      </c>
      <c r="AN147" s="6">
        <f>MIN(0, N147+(IFERROR(IF(26*INDEX('UA-normalized'!$D:$D, MATCH($A147, 'UA-normalized'!$A:$A, 0))-INDEX('UA-normalized'!$E:$E, MATCH($A147, 'UA-normalized'!$A:$A, 0))&gt;0, -(26*INDEX('UA-normalized'!$D:$D, MATCH($A147, 'UA-normalized'!$A:$A, 0))-INDEX('UA-normalized'!$E:$E, MATCH($A147, 'UA-normalized'!$A:$A, 0))), 0), 0))+(IFERROR(IF(26*INDEX('KZ-normalized'!$D:$D, MATCH($A147, 'KZ-normalized'!$A:$A, 0))-INDEX('KZ-normalized'!$E:$E, MATCH($A147, 'KZ-normalized'!$A:$A, 0))&gt;0, -(26*INDEX('KZ-normalized'!$D:$D, MATCH($A147, 'KZ-normalized'!$A:$A, 0))-INDEX('KZ-normalized'!$E:$E, MATCH($A147, 'KZ-normalized'!$A:$A, 0))), 0), 0))+(IFERROR(IF(26*INDEX('UZ-normalized'!$D:$D, MATCH($A147, 'UZ-normalized'!$A:$A, 0))-INDEX('UZ-normalized'!$E:$E, MATCH($A147, 'UZ-normalized'!$A:$A, 0))&gt;0, -(26*INDEX('UZ-normalized'!$D:$D, MATCH($A147, 'UZ-normalized'!$A:$A, 0))-INDEX('UZ-normalized'!$E:$E, MATCH($A147, 'UZ-normalized'!$A:$A, 0))), 0), 0)))</f>
        <v>-2670</v>
      </c>
      <c r="AO147" s="6">
        <f>MIN(0, N147+(IFERROR(IF(27*INDEX('UA-normalized'!$D:$D, MATCH($A147, 'UA-normalized'!$A:$A, 0))-INDEX('UA-normalized'!$E:$E, MATCH($A147, 'UA-normalized'!$A:$A, 0))&gt;0, -(27*INDEX('UA-normalized'!$D:$D, MATCH($A147, 'UA-normalized'!$A:$A, 0))-INDEX('UA-normalized'!$E:$E, MATCH($A147, 'UA-normalized'!$A:$A, 0))), 0), 0))+(IFERROR(IF(27*INDEX('KZ-normalized'!$D:$D, MATCH($A147, 'KZ-normalized'!$A:$A, 0))-INDEX('KZ-normalized'!$E:$E, MATCH($A147, 'KZ-normalized'!$A:$A, 0))&gt;0, -(27*INDEX('KZ-normalized'!$D:$D, MATCH($A147, 'KZ-normalized'!$A:$A, 0))-INDEX('KZ-normalized'!$E:$E, MATCH($A147, 'KZ-normalized'!$A:$A, 0))), 0), 0))+(IFERROR(IF(27*INDEX('UZ-normalized'!$D:$D, MATCH($A147, 'UZ-normalized'!$A:$A, 0))-INDEX('UZ-normalized'!$E:$E, MATCH($A147, 'UZ-normalized'!$A:$A, 0))&gt;0, -(27*INDEX('UZ-normalized'!$D:$D, MATCH($A147, 'UZ-normalized'!$A:$A, 0))-INDEX('UZ-normalized'!$E:$E, MATCH($A147, 'UZ-normalized'!$A:$A, 0))), 0), 0)))</f>
        <v>-3330</v>
      </c>
      <c r="AP147" s="6">
        <f>MIN(0, N147+(IFERROR(IF(28*INDEX('UA-normalized'!$D:$D, MATCH($A147, 'UA-normalized'!$A:$A, 0))-INDEX('UA-normalized'!$E:$E, MATCH($A147, 'UA-normalized'!$A:$A, 0))&gt;0, -(28*INDEX('UA-normalized'!$D:$D, MATCH($A147, 'UA-normalized'!$A:$A, 0))-INDEX('UA-normalized'!$E:$E, MATCH($A147, 'UA-normalized'!$A:$A, 0))), 0), 0))+(IFERROR(IF(28*INDEX('KZ-normalized'!$D:$D, MATCH($A147, 'KZ-normalized'!$A:$A, 0))-INDEX('KZ-normalized'!$E:$E, MATCH($A147, 'KZ-normalized'!$A:$A, 0))&gt;0, -(28*INDEX('KZ-normalized'!$D:$D, MATCH($A147, 'KZ-normalized'!$A:$A, 0))-INDEX('KZ-normalized'!$E:$E, MATCH($A147, 'KZ-normalized'!$A:$A, 0))), 0), 0))+(IFERROR(IF(28*INDEX('UZ-normalized'!$D:$D, MATCH($A147, 'UZ-normalized'!$A:$A, 0))-INDEX('UZ-normalized'!$E:$E, MATCH($A147, 'UZ-normalized'!$A:$A, 0))&gt;0, -(28*INDEX('UZ-normalized'!$D:$D, MATCH($A147, 'UZ-normalized'!$A:$A, 0))-INDEX('UZ-normalized'!$E:$E, MATCH($A147, 'UZ-normalized'!$A:$A, 0))), 0), 0)))</f>
        <v>-3990</v>
      </c>
      <c r="AQ147" s="6">
        <f>MIN(0, N147+(IFERROR(IF(29*INDEX('UA-normalized'!$D:$D, MATCH($A147, 'UA-normalized'!$A:$A, 0))-INDEX('UA-normalized'!$E:$E, MATCH($A147, 'UA-normalized'!$A:$A, 0))&gt;0, -(29*INDEX('UA-normalized'!$D:$D, MATCH($A147, 'UA-normalized'!$A:$A, 0))-INDEX('UA-normalized'!$E:$E, MATCH($A147, 'UA-normalized'!$A:$A, 0))), 0), 0))+(IFERROR(IF(29*INDEX('KZ-normalized'!$D:$D, MATCH($A147, 'KZ-normalized'!$A:$A, 0))-INDEX('KZ-normalized'!$E:$E, MATCH($A147, 'KZ-normalized'!$A:$A, 0))&gt;0, -(29*INDEX('KZ-normalized'!$D:$D, MATCH($A147, 'KZ-normalized'!$A:$A, 0))-INDEX('KZ-normalized'!$E:$E, MATCH($A147, 'KZ-normalized'!$A:$A, 0))), 0), 0))+(IFERROR(IF(29*INDEX('UZ-normalized'!$D:$D, MATCH($A147, 'UZ-normalized'!$A:$A, 0))-INDEX('UZ-normalized'!$E:$E, MATCH($A147, 'UZ-normalized'!$A:$A, 0))&gt;0, -(29*INDEX('UZ-normalized'!$D:$D, MATCH($A147, 'UZ-normalized'!$A:$A, 0))-INDEX('UZ-normalized'!$E:$E, MATCH($A147, 'UZ-normalized'!$A:$A, 0))), 0), 0)))</f>
        <v>-4650</v>
      </c>
      <c r="AR147" s="6">
        <f>MIN(0, N147+(IFERROR(IF(30*INDEX('UA-normalized'!$D:$D, MATCH($A147, 'UA-normalized'!$A:$A, 0))-INDEX('UA-normalized'!$E:$E, MATCH($A147, 'UA-normalized'!$A:$A, 0))&gt;0, -(30*INDEX('UA-normalized'!$D:$D, MATCH($A147, 'UA-normalized'!$A:$A, 0))-INDEX('UA-normalized'!$E:$E, MATCH($A147, 'UA-normalized'!$A:$A, 0))), 0), 0))+(IFERROR(IF(30*INDEX('KZ-normalized'!$D:$D, MATCH($A147, 'KZ-normalized'!$A:$A, 0))-INDEX('KZ-normalized'!$E:$E, MATCH($A147, 'KZ-normalized'!$A:$A, 0))&gt;0, -(30*INDEX('KZ-normalized'!$D:$D, MATCH($A147, 'KZ-normalized'!$A:$A, 0))-INDEX('KZ-normalized'!$E:$E, MATCH($A147, 'KZ-normalized'!$A:$A, 0))), 0), 0))+(IFERROR(IF(30*INDEX('UZ-normalized'!$D:$D, MATCH($A147, 'UZ-normalized'!$A:$A, 0))-INDEX('UZ-normalized'!$E:$E, MATCH($A147, 'UZ-normalized'!$A:$A, 0))&gt;0, -(30*INDEX('UZ-normalized'!$D:$D, MATCH($A147, 'UZ-normalized'!$A:$A, 0))-INDEX('UZ-normalized'!$E:$E, MATCH($A147, 'UZ-normalized'!$A:$A, 0))), 0), 0)))</f>
        <v>-5310</v>
      </c>
    </row>
    <row r="148" spans="1:44" x14ac:dyDescent="0.25">
      <c r="A148" s="8" t="s">
        <v>358</v>
      </c>
      <c r="B148" s="8" t="s">
        <v>336</v>
      </c>
      <c r="C148" s="8" t="s">
        <v>350</v>
      </c>
      <c r="D148" s="8" t="s">
        <v>359</v>
      </c>
      <c r="E148">
        <v>3850</v>
      </c>
      <c r="J148">
        <v>3850</v>
      </c>
      <c r="N148">
        <f t="shared" si="2"/>
        <v>7700</v>
      </c>
      <c r="O148" s="6">
        <f>MIN(0, N148+(IFERROR(IF(1*INDEX('UA-normalized'!$D:$D, MATCH($A148, 'UA-normalized'!$A:$A, 0))-INDEX('UA-normalized'!$E:$E, MATCH($A148, 'UA-normalized'!$A:$A, 0))&gt;0, -(1*INDEX('UA-normalized'!$D:$D, MATCH($A148, 'UA-normalized'!$A:$A, 0))-INDEX('UA-normalized'!$E:$E, MATCH($A148, 'UA-normalized'!$A:$A, 0))), 0), 0))+(IFERROR(IF(1*INDEX('KZ-normalized'!$D:$D, MATCH($A148, 'KZ-normalized'!$A:$A, 0))-INDEX('KZ-normalized'!$E:$E, MATCH($A148, 'KZ-normalized'!$A:$A, 0))&gt;0, -(1*INDEX('KZ-normalized'!$D:$D, MATCH($A148, 'KZ-normalized'!$A:$A, 0))-INDEX('KZ-normalized'!$E:$E, MATCH($A148, 'KZ-normalized'!$A:$A, 0))), 0), 0))+(IFERROR(IF(1*INDEX('UZ-normalized'!$D:$D, MATCH($A148, 'UZ-normalized'!$A:$A, 0))-INDEX('UZ-normalized'!$E:$E, MATCH($A148, 'UZ-normalized'!$A:$A, 0))&gt;0, -(1*INDEX('UZ-normalized'!$D:$D, MATCH($A148, 'UZ-normalized'!$A:$A, 0))-INDEX('UZ-normalized'!$E:$E, MATCH($A148, 'UZ-normalized'!$A:$A, 0))), 0), 0)))</f>
        <v>0</v>
      </c>
      <c r="P148" s="6">
        <f>MIN(0, N148+(IFERROR(IF(2*INDEX('UA-normalized'!$D:$D, MATCH($A148, 'UA-normalized'!$A:$A, 0))-INDEX('UA-normalized'!$E:$E, MATCH($A148, 'UA-normalized'!$A:$A, 0))&gt;0, -(2*INDEX('UA-normalized'!$D:$D, MATCH($A148, 'UA-normalized'!$A:$A, 0))-INDEX('UA-normalized'!$E:$E, MATCH($A148, 'UA-normalized'!$A:$A, 0))), 0), 0))+(IFERROR(IF(2*INDEX('KZ-normalized'!$D:$D, MATCH($A148, 'KZ-normalized'!$A:$A, 0))-INDEX('KZ-normalized'!$E:$E, MATCH($A148, 'KZ-normalized'!$A:$A, 0))&gt;0, -(2*INDEX('KZ-normalized'!$D:$D, MATCH($A148, 'KZ-normalized'!$A:$A, 0))-INDEX('KZ-normalized'!$E:$E, MATCH($A148, 'KZ-normalized'!$A:$A, 0))), 0), 0))+(IFERROR(IF(2*INDEX('UZ-normalized'!$D:$D, MATCH($A148, 'UZ-normalized'!$A:$A, 0))-INDEX('UZ-normalized'!$E:$E, MATCH($A148, 'UZ-normalized'!$A:$A, 0))&gt;0, -(2*INDEX('UZ-normalized'!$D:$D, MATCH($A148, 'UZ-normalized'!$A:$A, 0))-INDEX('UZ-normalized'!$E:$E, MATCH($A148, 'UZ-normalized'!$A:$A, 0))), 0), 0)))</f>
        <v>0</v>
      </c>
      <c r="Q148" s="6">
        <f>MIN(0, N148+(IFERROR(IF(3*INDEX('UA-normalized'!$D:$D, MATCH($A148, 'UA-normalized'!$A:$A, 0))-INDEX('UA-normalized'!$E:$E, MATCH($A148, 'UA-normalized'!$A:$A, 0))&gt;0, -(3*INDEX('UA-normalized'!$D:$D, MATCH($A148, 'UA-normalized'!$A:$A, 0))-INDEX('UA-normalized'!$E:$E, MATCH($A148, 'UA-normalized'!$A:$A, 0))), 0), 0))+(IFERROR(IF(3*INDEX('KZ-normalized'!$D:$D, MATCH($A148, 'KZ-normalized'!$A:$A, 0))-INDEX('KZ-normalized'!$E:$E, MATCH($A148, 'KZ-normalized'!$A:$A, 0))&gt;0, -(3*INDEX('KZ-normalized'!$D:$D, MATCH($A148, 'KZ-normalized'!$A:$A, 0))-INDEX('KZ-normalized'!$E:$E, MATCH($A148, 'KZ-normalized'!$A:$A, 0))), 0), 0))+(IFERROR(IF(3*INDEX('UZ-normalized'!$D:$D, MATCH($A148, 'UZ-normalized'!$A:$A, 0))-INDEX('UZ-normalized'!$E:$E, MATCH($A148, 'UZ-normalized'!$A:$A, 0))&gt;0, -(3*INDEX('UZ-normalized'!$D:$D, MATCH($A148, 'UZ-normalized'!$A:$A, 0))-INDEX('UZ-normalized'!$E:$E, MATCH($A148, 'UZ-normalized'!$A:$A, 0))), 0), 0)))</f>
        <v>0</v>
      </c>
      <c r="R148" s="6">
        <f>MIN(0, N148+(IFERROR(IF(4*INDEX('UA-normalized'!$D:$D, MATCH($A148, 'UA-normalized'!$A:$A, 0))-INDEX('UA-normalized'!$E:$E, MATCH($A148, 'UA-normalized'!$A:$A, 0))&gt;0, -(4*INDEX('UA-normalized'!$D:$D, MATCH($A148, 'UA-normalized'!$A:$A, 0))-INDEX('UA-normalized'!$E:$E, MATCH($A148, 'UA-normalized'!$A:$A, 0))), 0), 0))+(IFERROR(IF(4*INDEX('KZ-normalized'!$D:$D, MATCH($A148, 'KZ-normalized'!$A:$A, 0))-INDEX('KZ-normalized'!$E:$E, MATCH($A148, 'KZ-normalized'!$A:$A, 0))&gt;0, -(4*INDEX('KZ-normalized'!$D:$D, MATCH($A148, 'KZ-normalized'!$A:$A, 0))-INDEX('KZ-normalized'!$E:$E, MATCH($A148, 'KZ-normalized'!$A:$A, 0))), 0), 0))+(IFERROR(IF(4*INDEX('UZ-normalized'!$D:$D, MATCH($A148, 'UZ-normalized'!$A:$A, 0))-INDEX('UZ-normalized'!$E:$E, MATCH($A148, 'UZ-normalized'!$A:$A, 0))&gt;0, -(4*INDEX('UZ-normalized'!$D:$D, MATCH($A148, 'UZ-normalized'!$A:$A, 0))-INDEX('UZ-normalized'!$E:$E, MATCH($A148, 'UZ-normalized'!$A:$A, 0))), 0), 0)))</f>
        <v>0</v>
      </c>
      <c r="S148" s="6">
        <f>MIN(0, N148+(IFERROR(IF(5*INDEX('UA-normalized'!$D:$D, MATCH($A148, 'UA-normalized'!$A:$A, 0))-INDEX('UA-normalized'!$E:$E, MATCH($A148, 'UA-normalized'!$A:$A, 0))&gt;0, -(5*INDEX('UA-normalized'!$D:$D, MATCH($A148, 'UA-normalized'!$A:$A, 0))-INDEX('UA-normalized'!$E:$E, MATCH($A148, 'UA-normalized'!$A:$A, 0))), 0), 0))+(IFERROR(IF(5*INDEX('KZ-normalized'!$D:$D, MATCH($A148, 'KZ-normalized'!$A:$A, 0))-INDEX('KZ-normalized'!$E:$E, MATCH($A148, 'KZ-normalized'!$A:$A, 0))&gt;0, -(5*INDEX('KZ-normalized'!$D:$D, MATCH($A148, 'KZ-normalized'!$A:$A, 0))-INDEX('KZ-normalized'!$E:$E, MATCH($A148, 'KZ-normalized'!$A:$A, 0))), 0), 0))+(IFERROR(IF(5*INDEX('UZ-normalized'!$D:$D, MATCH($A148, 'UZ-normalized'!$A:$A, 0))-INDEX('UZ-normalized'!$E:$E, MATCH($A148, 'UZ-normalized'!$A:$A, 0))&gt;0, -(5*INDEX('UZ-normalized'!$D:$D, MATCH($A148, 'UZ-normalized'!$A:$A, 0))-INDEX('UZ-normalized'!$E:$E, MATCH($A148, 'UZ-normalized'!$A:$A, 0))), 0), 0)))</f>
        <v>0</v>
      </c>
      <c r="T148" s="6">
        <f>MIN(0, N148+(IFERROR(IF(6*INDEX('UA-normalized'!$D:$D, MATCH($A148, 'UA-normalized'!$A:$A, 0))-INDEX('UA-normalized'!$E:$E, MATCH($A148, 'UA-normalized'!$A:$A, 0))&gt;0, -(6*INDEX('UA-normalized'!$D:$D, MATCH($A148, 'UA-normalized'!$A:$A, 0))-INDEX('UA-normalized'!$E:$E, MATCH($A148, 'UA-normalized'!$A:$A, 0))), 0), 0))+(IFERROR(IF(6*INDEX('KZ-normalized'!$D:$D, MATCH($A148, 'KZ-normalized'!$A:$A, 0))-INDEX('KZ-normalized'!$E:$E, MATCH($A148, 'KZ-normalized'!$A:$A, 0))&gt;0, -(6*INDEX('KZ-normalized'!$D:$D, MATCH($A148, 'KZ-normalized'!$A:$A, 0))-INDEX('KZ-normalized'!$E:$E, MATCH($A148, 'KZ-normalized'!$A:$A, 0))), 0), 0))+(IFERROR(IF(6*INDEX('UZ-normalized'!$D:$D, MATCH($A148, 'UZ-normalized'!$A:$A, 0))-INDEX('UZ-normalized'!$E:$E, MATCH($A148, 'UZ-normalized'!$A:$A, 0))&gt;0, -(6*INDEX('UZ-normalized'!$D:$D, MATCH($A148, 'UZ-normalized'!$A:$A, 0))-INDEX('UZ-normalized'!$E:$E, MATCH($A148, 'UZ-normalized'!$A:$A, 0))), 0), 0)))</f>
        <v>0</v>
      </c>
      <c r="U148" s="6">
        <f>MIN(0, N148+(IFERROR(IF(7*INDEX('UA-normalized'!$D:$D, MATCH($A148, 'UA-normalized'!$A:$A, 0))-INDEX('UA-normalized'!$E:$E, MATCH($A148, 'UA-normalized'!$A:$A, 0))&gt;0, -(7*INDEX('UA-normalized'!$D:$D, MATCH($A148, 'UA-normalized'!$A:$A, 0))-INDEX('UA-normalized'!$E:$E, MATCH($A148, 'UA-normalized'!$A:$A, 0))), 0), 0))+(IFERROR(IF(7*INDEX('KZ-normalized'!$D:$D, MATCH($A148, 'KZ-normalized'!$A:$A, 0))-INDEX('KZ-normalized'!$E:$E, MATCH($A148, 'KZ-normalized'!$A:$A, 0))&gt;0, -(7*INDEX('KZ-normalized'!$D:$D, MATCH($A148, 'KZ-normalized'!$A:$A, 0))-INDEX('KZ-normalized'!$E:$E, MATCH($A148, 'KZ-normalized'!$A:$A, 0))), 0), 0))+(IFERROR(IF(7*INDEX('UZ-normalized'!$D:$D, MATCH($A148, 'UZ-normalized'!$A:$A, 0))-INDEX('UZ-normalized'!$E:$E, MATCH($A148, 'UZ-normalized'!$A:$A, 0))&gt;0, -(7*INDEX('UZ-normalized'!$D:$D, MATCH($A148, 'UZ-normalized'!$A:$A, 0))-INDEX('UZ-normalized'!$E:$E, MATCH($A148, 'UZ-normalized'!$A:$A, 0))), 0), 0)))</f>
        <v>0</v>
      </c>
      <c r="V148" s="6">
        <f>MIN(0, N148+(IFERROR(IF(8*INDEX('UA-normalized'!$D:$D, MATCH($A148, 'UA-normalized'!$A:$A, 0))-INDEX('UA-normalized'!$E:$E, MATCH($A148, 'UA-normalized'!$A:$A, 0))&gt;0, -(8*INDEX('UA-normalized'!$D:$D, MATCH($A148, 'UA-normalized'!$A:$A, 0))-INDEX('UA-normalized'!$E:$E, MATCH($A148, 'UA-normalized'!$A:$A, 0))), 0), 0))+(IFERROR(IF(8*INDEX('KZ-normalized'!$D:$D, MATCH($A148, 'KZ-normalized'!$A:$A, 0))-INDEX('KZ-normalized'!$E:$E, MATCH($A148, 'KZ-normalized'!$A:$A, 0))&gt;0, -(8*INDEX('KZ-normalized'!$D:$D, MATCH($A148, 'KZ-normalized'!$A:$A, 0))-INDEX('KZ-normalized'!$E:$E, MATCH($A148, 'KZ-normalized'!$A:$A, 0))), 0), 0))+(IFERROR(IF(8*INDEX('UZ-normalized'!$D:$D, MATCH($A148, 'UZ-normalized'!$A:$A, 0))-INDEX('UZ-normalized'!$E:$E, MATCH($A148, 'UZ-normalized'!$A:$A, 0))&gt;0, -(8*INDEX('UZ-normalized'!$D:$D, MATCH($A148, 'UZ-normalized'!$A:$A, 0))-INDEX('UZ-normalized'!$E:$E, MATCH($A148, 'UZ-normalized'!$A:$A, 0))), 0), 0)))</f>
        <v>0</v>
      </c>
      <c r="W148" s="6">
        <f>MIN(0, N148+(IFERROR(IF(9*INDEX('UA-normalized'!$D:$D, MATCH($A148, 'UA-normalized'!$A:$A, 0))-INDEX('UA-normalized'!$E:$E, MATCH($A148, 'UA-normalized'!$A:$A, 0))&gt;0, -(9*INDEX('UA-normalized'!$D:$D, MATCH($A148, 'UA-normalized'!$A:$A, 0))-INDEX('UA-normalized'!$E:$E, MATCH($A148, 'UA-normalized'!$A:$A, 0))), 0), 0))+(IFERROR(IF(9*INDEX('KZ-normalized'!$D:$D, MATCH($A148, 'KZ-normalized'!$A:$A, 0))-INDEX('KZ-normalized'!$E:$E, MATCH($A148, 'KZ-normalized'!$A:$A, 0))&gt;0, -(9*INDEX('KZ-normalized'!$D:$D, MATCH($A148, 'KZ-normalized'!$A:$A, 0))-INDEX('KZ-normalized'!$E:$E, MATCH($A148, 'KZ-normalized'!$A:$A, 0))), 0), 0))+(IFERROR(IF(9*INDEX('UZ-normalized'!$D:$D, MATCH($A148, 'UZ-normalized'!$A:$A, 0))-INDEX('UZ-normalized'!$E:$E, MATCH($A148, 'UZ-normalized'!$A:$A, 0))&gt;0, -(9*INDEX('UZ-normalized'!$D:$D, MATCH($A148, 'UZ-normalized'!$A:$A, 0))-INDEX('UZ-normalized'!$E:$E, MATCH($A148, 'UZ-normalized'!$A:$A, 0))), 0), 0)))</f>
        <v>0</v>
      </c>
      <c r="X148" s="6">
        <f>MIN(0, N148+(IFERROR(IF(10*INDEX('UA-normalized'!$D:$D, MATCH($A148, 'UA-normalized'!$A:$A, 0))-INDEX('UA-normalized'!$E:$E, MATCH($A148, 'UA-normalized'!$A:$A, 0))&gt;0, -(10*INDEX('UA-normalized'!$D:$D, MATCH($A148, 'UA-normalized'!$A:$A, 0))-INDEX('UA-normalized'!$E:$E, MATCH($A148, 'UA-normalized'!$A:$A, 0))), 0), 0))+(IFERROR(IF(10*INDEX('KZ-normalized'!$D:$D, MATCH($A148, 'KZ-normalized'!$A:$A, 0))-INDEX('KZ-normalized'!$E:$E, MATCH($A148, 'KZ-normalized'!$A:$A, 0))&gt;0, -(10*INDEX('KZ-normalized'!$D:$D, MATCH($A148, 'KZ-normalized'!$A:$A, 0))-INDEX('KZ-normalized'!$E:$E, MATCH($A148, 'KZ-normalized'!$A:$A, 0))), 0), 0))+(IFERROR(IF(10*INDEX('UZ-normalized'!$D:$D, MATCH($A148, 'UZ-normalized'!$A:$A, 0))-INDEX('UZ-normalized'!$E:$E, MATCH($A148, 'UZ-normalized'!$A:$A, 0))&gt;0, -(10*INDEX('UZ-normalized'!$D:$D, MATCH($A148, 'UZ-normalized'!$A:$A, 0))-INDEX('UZ-normalized'!$E:$E, MATCH($A148, 'UZ-normalized'!$A:$A, 0))), 0), 0)))</f>
        <v>0</v>
      </c>
      <c r="Y148" s="6">
        <f>MIN(0, N148+(IFERROR(IF(11*INDEX('UA-normalized'!$D:$D, MATCH($A148, 'UA-normalized'!$A:$A, 0))-INDEX('UA-normalized'!$E:$E, MATCH($A148, 'UA-normalized'!$A:$A, 0))&gt;0, -(11*INDEX('UA-normalized'!$D:$D, MATCH($A148, 'UA-normalized'!$A:$A, 0))-INDEX('UA-normalized'!$E:$E, MATCH($A148, 'UA-normalized'!$A:$A, 0))), 0), 0))+(IFERROR(IF(11*INDEX('KZ-normalized'!$D:$D, MATCH($A148, 'KZ-normalized'!$A:$A, 0))-INDEX('KZ-normalized'!$E:$E, MATCH($A148, 'KZ-normalized'!$A:$A, 0))&gt;0, -(11*INDEX('KZ-normalized'!$D:$D, MATCH($A148, 'KZ-normalized'!$A:$A, 0))-INDEX('KZ-normalized'!$E:$E, MATCH($A148, 'KZ-normalized'!$A:$A, 0))), 0), 0))+(IFERROR(IF(11*INDEX('UZ-normalized'!$D:$D, MATCH($A148, 'UZ-normalized'!$A:$A, 0))-INDEX('UZ-normalized'!$E:$E, MATCH($A148, 'UZ-normalized'!$A:$A, 0))&gt;0, -(11*INDEX('UZ-normalized'!$D:$D, MATCH($A148, 'UZ-normalized'!$A:$A, 0))-INDEX('UZ-normalized'!$E:$E, MATCH($A148, 'UZ-normalized'!$A:$A, 0))), 0), 0)))</f>
        <v>0</v>
      </c>
      <c r="Z148" s="6">
        <f>MIN(0, N148+(IFERROR(IF(12*INDEX('UA-normalized'!$D:$D, MATCH($A148, 'UA-normalized'!$A:$A, 0))-INDEX('UA-normalized'!$E:$E, MATCH($A148, 'UA-normalized'!$A:$A, 0))&gt;0, -(12*INDEX('UA-normalized'!$D:$D, MATCH($A148, 'UA-normalized'!$A:$A, 0))-INDEX('UA-normalized'!$E:$E, MATCH($A148, 'UA-normalized'!$A:$A, 0))), 0), 0))+(IFERROR(IF(12*INDEX('KZ-normalized'!$D:$D, MATCH($A148, 'KZ-normalized'!$A:$A, 0))-INDEX('KZ-normalized'!$E:$E, MATCH($A148, 'KZ-normalized'!$A:$A, 0))&gt;0, -(12*INDEX('KZ-normalized'!$D:$D, MATCH($A148, 'KZ-normalized'!$A:$A, 0))-INDEX('KZ-normalized'!$E:$E, MATCH($A148, 'KZ-normalized'!$A:$A, 0))), 0), 0))+(IFERROR(IF(12*INDEX('UZ-normalized'!$D:$D, MATCH($A148, 'UZ-normalized'!$A:$A, 0))-INDEX('UZ-normalized'!$E:$E, MATCH($A148, 'UZ-normalized'!$A:$A, 0))&gt;0, -(12*INDEX('UZ-normalized'!$D:$D, MATCH($A148, 'UZ-normalized'!$A:$A, 0))-INDEX('UZ-normalized'!$E:$E, MATCH($A148, 'UZ-normalized'!$A:$A, 0))), 0), 0)))</f>
        <v>0</v>
      </c>
      <c r="AA148" s="6">
        <f>MIN(0, N148+(IFERROR(IF(13*INDEX('UA-normalized'!$D:$D, MATCH($A148, 'UA-normalized'!$A:$A, 0))-INDEX('UA-normalized'!$E:$E, MATCH($A148, 'UA-normalized'!$A:$A, 0))&gt;0, -(13*INDEX('UA-normalized'!$D:$D, MATCH($A148, 'UA-normalized'!$A:$A, 0))-INDEX('UA-normalized'!$E:$E, MATCH($A148, 'UA-normalized'!$A:$A, 0))), 0), 0))+(IFERROR(IF(13*INDEX('KZ-normalized'!$D:$D, MATCH($A148, 'KZ-normalized'!$A:$A, 0))-INDEX('KZ-normalized'!$E:$E, MATCH($A148, 'KZ-normalized'!$A:$A, 0))&gt;0, -(13*INDEX('KZ-normalized'!$D:$D, MATCH($A148, 'KZ-normalized'!$A:$A, 0))-INDEX('KZ-normalized'!$E:$E, MATCH($A148, 'KZ-normalized'!$A:$A, 0))), 0), 0))+(IFERROR(IF(13*INDEX('UZ-normalized'!$D:$D, MATCH($A148, 'UZ-normalized'!$A:$A, 0))-INDEX('UZ-normalized'!$E:$E, MATCH($A148, 'UZ-normalized'!$A:$A, 0))&gt;0, -(13*INDEX('UZ-normalized'!$D:$D, MATCH($A148, 'UZ-normalized'!$A:$A, 0))-INDEX('UZ-normalized'!$E:$E, MATCH($A148, 'UZ-normalized'!$A:$A, 0))), 0), 0)))</f>
        <v>0</v>
      </c>
      <c r="AB148" s="6">
        <f>MIN(0, N148+(IFERROR(IF(14*INDEX('UA-normalized'!$D:$D, MATCH($A148, 'UA-normalized'!$A:$A, 0))-INDEX('UA-normalized'!$E:$E, MATCH($A148, 'UA-normalized'!$A:$A, 0))&gt;0, -(14*INDEX('UA-normalized'!$D:$D, MATCH($A148, 'UA-normalized'!$A:$A, 0))-INDEX('UA-normalized'!$E:$E, MATCH($A148, 'UA-normalized'!$A:$A, 0))), 0), 0))+(IFERROR(IF(14*INDEX('KZ-normalized'!$D:$D, MATCH($A148, 'KZ-normalized'!$A:$A, 0))-INDEX('KZ-normalized'!$E:$E, MATCH($A148, 'KZ-normalized'!$A:$A, 0))&gt;0, -(14*INDEX('KZ-normalized'!$D:$D, MATCH($A148, 'KZ-normalized'!$A:$A, 0))-INDEX('KZ-normalized'!$E:$E, MATCH($A148, 'KZ-normalized'!$A:$A, 0))), 0), 0))+(IFERROR(IF(14*INDEX('UZ-normalized'!$D:$D, MATCH($A148, 'UZ-normalized'!$A:$A, 0))-INDEX('UZ-normalized'!$E:$E, MATCH($A148, 'UZ-normalized'!$A:$A, 0))&gt;0, -(14*INDEX('UZ-normalized'!$D:$D, MATCH($A148, 'UZ-normalized'!$A:$A, 0))-INDEX('UZ-normalized'!$E:$E, MATCH($A148, 'UZ-normalized'!$A:$A, 0))), 0), 0)))</f>
        <v>0</v>
      </c>
      <c r="AC148" s="6">
        <f>MIN(0, N148+(IFERROR(IF(15*INDEX('UA-normalized'!$D:$D, MATCH($A148, 'UA-normalized'!$A:$A, 0))-INDEX('UA-normalized'!$E:$E, MATCH($A148, 'UA-normalized'!$A:$A, 0))&gt;0, -(15*INDEX('UA-normalized'!$D:$D, MATCH($A148, 'UA-normalized'!$A:$A, 0))-INDEX('UA-normalized'!$E:$E, MATCH($A148, 'UA-normalized'!$A:$A, 0))), 0), 0))+(IFERROR(IF(15*INDEX('KZ-normalized'!$D:$D, MATCH($A148, 'KZ-normalized'!$A:$A, 0))-INDEX('KZ-normalized'!$E:$E, MATCH($A148, 'KZ-normalized'!$A:$A, 0))&gt;0, -(15*INDEX('KZ-normalized'!$D:$D, MATCH($A148, 'KZ-normalized'!$A:$A, 0))-INDEX('KZ-normalized'!$E:$E, MATCH($A148, 'KZ-normalized'!$A:$A, 0))), 0), 0))+(IFERROR(IF(15*INDEX('UZ-normalized'!$D:$D, MATCH($A148, 'UZ-normalized'!$A:$A, 0))-INDEX('UZ-normalized'!$E:$E, MATCH($A148, 'UZ-normalized'!$A:$A, 0))&gt;0, -(15*INDEX('UZ-normalized'!$D:$D, MATCH($A148, 'UZ-normalized'!$A:$A, 0))-INDEX('UZ-normalized'!$E:$E, MATCH($A148, 'UZ-normalized'!$A:$A, 0))), 0), 0)))</f>
        <v>0</v>
      </c>
      <c r="AD148" s="6">
        <f>MIN(0, N148+(IFERROR(IF(16*INDEX('UA-normalized'!$D:$D, MATCH($A148, 'UA-normalized'!$A:$A, 0))-INDEX('UA-normalized'!$E:$E, MATCH($A148, 'UA-normalized'!$A:$A, 0))&gt;0, -(16*INDEX('UA-normalized'!$D:$D, MATCH($A148, 'UA-normalized'!$A:$A, 0))-INDEX('UA-normalized'!$E:$E, MATCH($A148, 'UA-normalized'!$A:$A, 0))), 0), 0))+(IFERROR(IF(16*INDEX('KZ-normalized'!$D:$D, MATCH($A148, 'KZ-normalized'!$A:$A, 0))-INDEX('KZ-normalized'!$E:$E, MATCH($A148, 'KZ-normalized'!$A:$A, 0))&gt;0, -(16*INDEX('KZ-normalized'!$D:$D, MATCH($A148, 'KZ-normalized'!$A:$A, 0))-INDEX('KZ-normalized'!$E:$E, MATCH($A148, 'KZ-normalized'!$A:$A, 0))), 0), 0))+(IFERROR(IF(16*INDEX('UZ-normalized'!$D:$D, MATCH($A148, 'UZ-normalized'!$A:$A, 0))-INDEX('UZ-normalized'!$E:$E, MATCH($A148, 'UZ-normalized'!$A:$A, 0))&gt;0, -(16*INDEX('UZ-normalized'!$D:$D, MATCH($A148, 'UZ-normalized'!$A:$A, 0))-INDEX('UZ-normalized'!$E:$E, MATCH($A148, 'UZ-normalized'!$A:$A, 0))), 0), 0)))</f>
        <v>0</v>
      </c>
      <c r="AE148" s="6">
        <f>MIN(0, N148+(IFERROR(IF(17*INDEX('UA-normalized'!$D:$D, MATCH($A148, 'UA-normalized'!$A:$A, 0))-INDEX('UA-normalized'!$E:$E, MATCH($A148, 'UA-normalized'!$A:$A, 0))&gt;0, -(17*INDEX('UA-normalized'!$D:$D, MATCH($A148, 'UA-normalized'!$A:$A, 0))-INDEX('UA-normalized'!$E:$E, MATCH($A148, 'UA-normalized'!$A:$A, 0))), 0), 0))+(IFERROR(IF(17*INDEX('KZ-normalized'!$D:$D, MATCH($A148, 'KZ-normalized'!$A:$A, 0))-INDEX('KZ-normalized'!$E:$E, MATCH($A148, 'KZ-normalized'!$A:$A, 0))&gt;0, -(17*INDEX('KZ-normalized'!$D:$D, MATCH($A148, 'KZ-normalized'!$A:$A, 0))-INDEX('KZ-normalized'!$E:$E, MATCH($A148, 'KZ-normalized'!$A:$A, 0))), 0), 0))+(IFERROR(IF(17*INDEX('UZ-normalized'!$D:$D, MATCH($A148, 'UZ-normalized'!$A:$A, 0))-INDEX('UZ-normalized'!$E:$E, MATCH($A148, 'UZ-normalized'!$A:$A, 0))&gt;0, -(17*INDEX('UZ-normalized'!$D:$D, MATCH($A148, 'UZ-normalized'!$A:$A, 0))-INDEX('UZ-normalized'!$E:$E, MATCH($A148, 'UZ-normalized'!$A:$A, 0))), 0), 0)))</f>
        <v>0</v>
      </c>
      <c r="AF148" s="6">
        <f>MIN(0, N148+(IFERROR(IF(18*INDEX('UA-normalized'!$D:$D, MATCH($A148, 'UA-normalized'!$A:$A, 0))-INDEX('UA-normalized'!$E:$E, MATCH($A148, 'UA-normalized'!$A:$A, 0))&gt;0, -(18*INDEX('UA-normalized'!$D:$D, MATCH($A148, 'UA-normalized'!$A:$A, 0))-INDEX('UA-normalized'!$E:$E, MATCH($A148, 'UA-normalized'!$A:$A, 0))), 0), 0))+(IFERROR(IF(18*INDEX('KZ-normalized'!$D:$D, MATCH($A148, 'KZ-normalized'!$A:$A, 0))-INDEX('KZ-normalized'!$E:$E, MATCH($A148, 'KZ-normalized'!$A:$A, 0))&gt;0, -(18*INDEX('KZ-normalized'!$D:$D, MATCH($A148, 'KZ-normalized'!$A:$A, 0))-INDEX('KZ-normalized'!$E:$E, MATCH($A148, 'KZ-normalized'!$A:$A, 0))), 0), 0))+(IFERROR(IF(18*INDEX('UZ-normalized'!$D:$D, MATCH($A148, 'UZ-normalized'!$A:$A, 0))-INDEX('UZ-normalized'!$E:$E, MATCH($A148, 'UZ-normalized'!$A:$A, 0))&gt;0, -(18*INDEX('UZ-normalized'!$D:$D, MATCH($A148, 'UZ-normalized'!$A:$A, 0))-INDEX('UZ-normalized'!$E:$E, MATCH($A148, 'UZ-normalized'!$A:$A, 0))), 0), 0)))</f>
        <v>0</v>
      </c>
      <c r="AG148" s="6">
        <f>MIN(0, N148+(IFERROR(IF(19*INDEX('UA-normalized'!$D:$D, MATCH($A148, 'UA-normalized'!$A:$A, 0))-INDEX('UA-normalized'!$E:$E, MATCH($A148, 'UA-normalized'!$A:$A, 0))&gt;0, -(19*INDEX('UA-normalized'!$D:$D, MATCH($A148, 'UA-normalized'!$A:$A, 0))-INDEX('UA-normalized'!$E:$E, MATCH($A148, 'UA-normalized'!$A:$A, 0))), 0), 0))+(IFERROR(IF(19*INDEX('KZ-normalized'!$D:$D, MATCH($A148, 'KZ-normalized'!$A:$A, 0))-INDEX('KZ-normalized'!$E:$E, MATCH($A148, 'KZ-normalized'!$A:$A, 0))&gt;0, -(19*INDEX('KZ-normalized'!$D:$D, MATCH($A148, 'KZ-normalized'!$A:$A, 0))-INDEX('KZ-normalized'!$E:$E, MATCH($A148, 'KZ-normalized'!$A:$A, 0))), 0), 0))+(IFERROR(IF(19*INDEX('UZ-normalized'!$D:$D, MATCH($A148, 'UZ-normalized'!$A:$A, 0))-INDEX('UZ-normalized'!$E:$E, MATCH($A148, 'UZ-normalized'!$A:$A, 0))&gt;0, -(19*INDEX('UZ-normalized'!$D:$D, MATCH($A148, 'UZ-normalized'!$A:$A, 0))-INDEX('UZ-normalized'!$E:$E, MATCH($A148, 'UZ-normalized'!$A:$A, 0))), 0), 0)))</f>
        <v>0</v>
      </c>
      <c r="AH148" s="6">
        <f>MIN(0, N148+(IFERROR(IF(20*INDEX('UA-normalized'!$D:$D, MATCH($A148, 'UA-normalized'!$A:$A, 0))-INDEX('UA-normalized'!$E:$E, MATCH($A148, 'UA-normalized'!$A:$A, 0))&gt;0, -(20*INDEX('UA-normalized'!$D:$D, MATCH($A148, 'UA-normalized'!$A:$A, 0))-INDEX('UA-normalized'!$E:$E, MATCH($A148, 'UA-normalized'!$A:$A, 0))), 0), 0))+(IFERROR(IF(20*INDEX('KZ-normalized'!$D:$D, MATCH($A148, 'KZ-normalized'!$A:$A, 0))-INDEX('KZ-normalized'!$E:$E, MATCH($A148, 'KZ-normalized'!$A:$A, 0))&gt;0, -(20*INDEX('KZ-normalized'!$D:$D, MATCH($A148, 'KZ-normalized'!$A:$A, 0))-INDEX('KZ-normalized'!$E:$E, MATCH($A148, 'KZ-normalized'!$A:$A, 0))), 0), 0))+(IFERROR(IF(20*INDEX('UZ-normalized'!$D:$D, MATCH($A148, 'UZ-normalized'!$A:$A, 0))-INDEX('UZ-normalized'!$E:$E, MATCH($A148, 'UZ-normalized'!$A:$A, 0))&gt;0, -(20*INDEX('UZ-normalized'!$D:$D, MATCH($A148, 'UZ-normalized'!$A:$A, 0))-INDEX('UZ-normalized'!$E:$E, MATCH($A148, 'UZ-normalized'!$A:$A, 0))), 0), 0)))</f>
        <v>0</v>
      </c>
      <c r="AI148" s="6">
        <f>MIN(0, N148+(IFERROR(IF(21*INDEX('UA-normalized'!$D:$D, MATCH($A148, 'UA-normalized'!$A:$A, 0))-INDEX('UA-normalized'!$E:$E, MATCH($A148, 'UA-normalized'!$A:$A, 0))&gt;0, -(21*INDEX('UA-normalized'!$D:$D, MATCH($A148, 'UA-normalized'!$A:$A, 0))-INDEX('UA-normalized'!$E:$E, MATCH($A148, 'UA-normalized'!$A:$A, 0))), 0), 0))+(IFERROR(IF(21*INDEX('KZ-normalized'!$D:$D, MATCH($A148, 'KZ-normalized'!$A:$A, 0))-INDEX('KZ-normalized'!$E:$E, MATCH($A148, 'KZ-normalized'!$A:$A, 0))&gt;0, -(21*INDEX('KZ-normalized'!$D:$D, MATCH($A148, 'KZ-normalized'!$A:$A, 0))-INDEX('KZ-normalized'!$E:$E, MATCH($A148, 'KZ-normalized'!$A:$A, 0))), 0), 0))+(IFERROR(IF(21*INDEX('UZ-normalized'!$D:$D, MATCH($A148, 'UZ-normalized'!$A:$A, 0))-INDEX('UZ-normalized'!$E:$E, MATCH($A148, 'UZ-normalized'!$A:$A, 0))&gt;0, -(21*INDEX('UZ-normalized'!$D:$D, MATCH($A148, 'UZ-normalized'!$A:$A, 0))-INDEX('UZ-normalized'!$E:$E, MATCH($A148, 'UZ-normalized'!$A:$A, 0))), 0), 0)))</f>
        <v>0</v>
      </c>
      <c r="AJ148" s="6">
        <f>MIN(0, N148+(IFERROR(IF(22*INDEX('UA-normalized'!$D:$D, MATCH($A148, 'UA-normalized'!$A:$A, 0))-INDEX('UA-normalized'!$E:$E, MATCH($A148, 'UA-normalized'!$A:$A, 0))&gt;0, -(22*INDEX('UA-normalized'!$D:$D, MATCH($A148, 'UA-normalized'!$A:$A, 0))-INDEX('UA-normalized'!$E:$E, MATCH($A148, 'UA-normalized'!$A:$A, 0))), 0), 0))+(IFERROR(IF(22*INDEX('KZ-normalized'!$D:$D, MATCH($A148, 'KZ-normalized'!$A:$A, 0))-INDEX('KZ-normalized'!$E:$E, MATCH($A148, 'KZ-normalized'!$A:$A, 0))&gt;0, -(22*INDEX('KZ-normalized'!$D:$D, MATCH($A148, 'KZ-normalized'!$A:$A, 0))-INDEX('KZ-normalized'!$E:$E, MATCH($A148, 'KZ-normalized'!$A:$A, 0))), 0), 0))+(IFERROR(IF(22*INDEX('UZ-normalized'!$D:$D, MATCH($A148, 'UZ-normalized'!$A:$A, 0))-INDEX('UZ-normalized'!$E:$E, MATCH($A148, 'UZ-normalized'!$A:$A, 0))&gt;0, -(22*INDEX('UZ-normalized'!$D:$D, MATCH($A148, 'UZ-normalized'!$A:$A, 0))-INDEX('UZ-normalized'!$E:$E, MATCH($A148, 'UZ-normalized'!$A:$A, 0))), 0), 0)))</f>
        <v>0</v>
      </c>
      <c r="AK148" s="6">
        <f>MIN(0, N148+(IFERROR(IF(23*INDEX('UA-normalized'!$D:$D, MATCH($A148, 'UA-normalized'!$A:$A, 0))-INDEX('UA-normalized'!$E:$E, MATCH($A148, 'UA-normalized'!$A:$A, 0))&gt;0, -(23*INDEX('UA-normalized'!$D:$D, MATCH($A148, 'UA-normalized'!$A:$A, 0))-INDEX('UA-normalized'!$E:$E, MATCH($A148, 'UA-normalized'!$A:$A, 0))), 0), 0))+(IFERROR(IF(23*INDEX('KZ-normalized'!$D:$D, MATCH($A148, 'KZ-normalized'!$A:$A, 0))-INDEX('KZ-normalized'!$E:$E, MATCH($A148, 'KZ-normalized'!$A:$A, 0))&gt;0, -(23*INDEX('KZ-normalized'!$D:$D, MATCH($A148, 'KZ-normalized'!$A:$A, 0))-INDEX('KZ-normalized'!$E:$E, MATCH($A148, 'KZ-normalized'!$A:$A, 0))), 0), 0))+(IFERROR(IF(23*INDEX('UZ-normalized'!$D:$D, MATCH($A148, 'UZ-normalized'!$A:$A, 0))-INDEX('UZ-normalized'!$E:$E, MATCH($A148, 'UZ-normalized'!$A:$A, 0))&gt;0, -(23*INDEX('UZ-normalized'!$D:$D, MATCH($A148, 'UZ-normalized'!$A:$A, 0))-INDEX('UZ-normalized'!$E:$E, MATCH($A148, 'UZ-normalized'!$A:$A, 0))), 0), 0)))</f>
        <v>-394</v>
      </c>
      <c r="AL148" s="6">
        <f>MIN(0, N148+(IFERROR(IF(24*INDEX('UA-normalized'!$D:$D, MATCH($A148, 'UA-normalized'!$A:$A, 0))-INDEX('UA-normalized'!$E:$E, MATCH($A148, 'UA-normalized'!$A:$A, 0))&gt;0, -(24*INDEX('UA-normalized'!$D:$D, MATCH($A148, 'UA-normalized'!$A:$A, 0))-INDEX('UA-normalized'!$E:$E, MATCH($A148, 'UA-normalized'!$A:$A, 0))), 0), 0))+(IFERROR(IF(24*INDEX('KZ-normalized'!$D:$D, MATCH($A148, 'KZ-normalized'!$A:$A, 0))-INDEX('KZ-normalized'!$E:$E, MATCH($A148, 'KZ-normalized'!$A:$A, 0))&gt;0, -(24*INDEX('KZ-normalized'!$D:$D, MATCH($A148, 'KZ-normalized'!$A:$A, 0))-INDEX('KZ-normalized'!$E:$E, MATCH($A148, 'KZ-normalized'!$A:$A, 0))), 0), 0))+(IFERROR(IF(24*INDEX('UZ-normalized'!$D:$D, MATCH($A148, 'UZ-normalized'!$A:$A, 0))-INDEX('UZ-normalized'!$E:$E, MATCH($A148, 'UZ-normalized'!$A:$A, 0))&gt;0, -(24*INDEX('UZ-normalized'!$D:$D, MATCH($A148, 'UZ-normalized'!$A:$A, 0))-INDEX('UZ-normalized'!$E:$E, MATCH($A148, 'UZ-normalized'!$A:$A, 0))), 0), 0)))</f>
        <v>-809</v>
      </c>
      <c r="AM148" s="6">
        <f>MIN(0, N148+(IFERROR(IF(25*INDEX('UA-normalized'!$D:$D, MATCH($A148, 'UA-normalized'!$A:$A, 0))-INDEX('UA-normalized'!$E:$E, MATCH($A148, 'UA-normalized'!$A:$A, 0))&gt;0, -(25*INDEX('UA-normalized'!$D:$D, MATCH($A148, 'UA-normalized'!$A:$A, 0))-INDEX('UA-normalized'!$E:$E, MATCH($A148, 'UA-normalized'!$A:$A, 0))), 0), 0))+(IFERROR(IF(25*INDEX('KZ-normalized'!$D:$D, MATCH($A148, 'KZ-normalized'!$A:$A, 0))-INDEX('KZ-normalized'!$E:$E, MATCH($A148, 'KZ-normalized'!$A:$A, 0))&gt;0, -(25*INDEX('KZ-normalized'!$D:$D, MATCH($A148, 'KZ-normalized'!$A:$A, 0))-INDEX('KZ-normalized'!$E:$E, MATCH($A148, 'KZ-normalized'!$A:$A, 0))), 0), 0))+(IFERROR(IF(25*INDEX('UZ-normalized'!$D:$D, MATCH($A148, 'UZ-normalized'!$A:$A, 0))-INDEX('UZ-normalized'!$E:$E, MATCH($A148, 'UZ-normalized'!$A:$A, 0))&gt;0, -(25*INDEX('UZ-normalized'!$D:$D, MATCH($A148, 'UZ-normalized'!$A:$A, 0))-INDEX('UZ-normalized'!$E:$E, MATCH($A148, 'UZ-normalized'!$A:$A, 0))), 0), 0)))</f>
        <v>-1224</v>
      </c>
      <c r="AN148" s="6">
        <f>MIN(0, N148+(IFERROR(IF(26*INDEX('UA-normalized'!$D:$D, MATCH($A148, 'UA-normalized'!$A:$A, 0))-INDEX('UA-normalized'!$E:$E, MATCH($A148, 'UA-normalized'!$A:$A, 0))&gt;0, -(26*INDEX('UA-normalized'!$D:$D, MATCH($A148, 'UA-normalized'!$A:$A, 0))-INDEX('UA-normalized'!$E:$E, MATCH($A148, 'UA-normalized'!$A:$A, 0))), 0), 0))+(IFERROR(IF(26*INDEX('KZ-normalized'!$D:$D, MATCH($A148, 'KZ-normalized'!$A:$A, 0))-INDEX('KZ-normalized'!$E:$E, MATCH($A148, 'KZ-normalized'!$A:$A, 0))&gt;0, -(26*INDEX('KZ-normalized'!$D:$D, MATCH($A148, 'KZ-normalized'!$A:$A, 0))-INDEX('KZ-normalized'!$E:$E, MATCH($A148, 'KZ-normalized'!$A:$A, 0))), 0), 0))+(IFERROR(IF(26*INDEX('UZ-normalized'!$D:$D, MATCH($A148, 'UZ-normalized'!$A:$A, 0))-INDEX('UZ-normalized'!$E:$E, MATCH($A148, 'UZ-normalized'!$A:$A, 0))&gt;0, -(26*INDEX('UZ-normalized'!$D:$D, MATCH($A148, 'UZ-normalized'!$A:$A, 0))-INDEX('UZ-normalized'!$E:$E, MATCH($A148, 'UZ-normalized'!$A:$A, 0))), 0), 0)))</f>
        <v>-1639</v>
      </c>
      <c r="AO148" s="6">
        <f>MIN(0, N148+(IFERROR(IF(27*INDEX('UA-normalized'!$D:$D, MATCH($A148, 'UA-normalized'!$A:$A, 0))-INDEX('UA-normalized'!$E:$E, MATCH($A148, 'UA-normalized'!$A:$A, 0))&gt;0, -(27*INDEX('UA-normalized'!$D:$D, MATCH($A148, 'UA-normalized'!$A:$A, 0))-INDEX('UA-normalized'!$E:$E, MATCH($A148, 'UA-normalized'!$A:$A, 0))), 0), 0))+(IFERROR(IF(27*INDEX('KZ-normalized'!$D:$D, MATCH($A148, 'KZ-normalized'!$A:$A, 0))-INDEX('KZ-normalized'!$E:$E, MATCH($A148, 'KZ-normalized'!$A:$A, 0))&gt;0, -(27*INDEX('KZ-normalized'!$D:$D, MATCH($A148, 'KZ-normalized'!$A:$A, 0))-INDEX('KZ-normalized'!$E:$E, MATCH($A148, 'KZ-normalized'!$A:$A, 0))), 0), 0))+(IFERROR(IF(27*INDEX('UZ-normalized'!$D:$D, MATCH($A148, 'UZ-normalized'!$A:$A, 0))-INDEX('UZ-normalized'!$E:$E, MATCH($A148, 'UZ-normalized'!$A:$A, 0))&gt;0, -(27*INDEX('UZ-normalized'!$D:$D, MATCH($A148, 'UZ-normalized'!$A:$A, 0))-INDEX('UZ-normalized'!$E:$E, MATCH($A148, 'UZ-normalized'!$A:$A, 0))), 0), 0)))</f>
        <v>-2054</v>
      </c>
      <c r="AP148" s="6">
        <f>MIN(0, N148+(IFERROR(IF(28*INDEX('UA-normalized'!$D:$D, MATCH($A148, 'UA-normalized'!$A:$A, 0))-INDEX('UA-normalized'!$E:$E, MATCH($A148, 'UA-normalized'!$A:$A, 0))&gt;0, -(28*INDEX('UA-normalized'!$D:$D, MATCH($A148, 'UA-normalized'!$A:$A, 0))-INDEX('UA-normalized'!$E:$E, MATCH($A148, 'UA-normalized'!$A:$A, 0))), 0), 0))+(IFERROR(IF(28*INDEX('KZ-normalized'!$D:$D, MATCH($A148, 'KZ-normalized'!$A:$A, 0))-INDEX('KZ-normalized'!$E:$E, MATCH($A148, 'KZ-normalized'!$A:$A, 0))&gt;0, -(28*INDEX('KZ-normalized'!$D:$D, MATCH($A148, 'KZ-normalized'!$A:$A, 0))-INDEX('KZ-normalized'!$E:$E, MATCH($A148, 'KZ-normalized'!$A:$A, 0))), 0), 0))+(IFERROR(IF(28*INDEX('UZ-normalized'!$D:$D, MATCH($A148, 'UZ-normalized'!$A:$A, 0))-INDEX('UZ-normalized'!$E:$E, MATCH($A148, 'UZ-normalized'!$A:$A, 0))&gt;0, -(28*INDEX('UZ-normalized'!$D:$D, MATCH($A148, 'UZ-normalized'!$A:$A, 0))-INDEX('UZ-normalized'!$E:$E, MATCH($A148, 'UZ-normalized'!$A:$A, 0))), 0), 0)))</f>
        <v>-2469</v>
      </c>
      <c r="AQ148" s="6">
        <f>MIN(0, N148+(IFERROR(IF(29*INDEX('UA-normalized'!$D:$D, MATCH($A148, 'UA-normalized'!$A:$A, 0))-INDEX('UA-normalized'!$E:$E, MATCH($A148, 'UA-normalized'!$A:$A, 0))&gt;0, -(29*INDEX('UA-normalized'!$D:$D, MATCH($A148, 'UA-normalized'!$A:$A, 0))-INDEX('UA-normalized'!$E:$E, MATCH($A148, 'UA-normalized'!$A:$A, 0))), 0), 0))+(IFERROR(IF(29*INDEX('KZ-normalized'!$D:$D, MATCH($A148, 'KZ-normalized'!$A:$A, 0))-INDEX('KZ-normalized'!$E:$E, MATCH($A148, 'KZ-normalized'!$A:$A, 0))&gt;0, -(29*INDEX('KZ-normalized'!$D:$D, MATCH($A148, 'KZ-normalized'!$A:$A, 0))-INDEX('KZ-normalized'!$E:$E, MATCH($A148, 'KZ-normalized'!$A:$A, 0))), 0), 0))+(IFERROR(IF(29*INDEX('UZ-normalized'!$D:$D, MATCH($A148, 'UZ-normalized'!$A:$A, 0))-INDEX('UZ-normalized'!$E:$E, MATCH($A148, 'UZ-normalized'!$A:$A, 0))&gt;0, -(29*INDEX('UZ-normalized'!$D:$D, MATCH($A148, 'UZ-normalized'!$A:$A, 0))-INDEX('UZ-normalized'!$E:$E, MATCH($A148, 'UZ-normalized'!$A:$A, 0))), 0), 0)))</f>
        <v>-2884</v>
      </c>
      <c r="AR148" s="6">
        <f>MIN(0, N148+(IFERROR(IF(30*INDEX('UA-normalized'!$D:$D, MATCH($A148, 'UA-normalized'!$A:$A, 0))-INDEX('UA-normalized'!$E:$E, MATCH($A148, 'UA-normalized'!$A:$A, 0))&gt;0, -(30*INDEX('UA-normalized'!$D:$D, MATCH($A148, 'UA-normalized'!$A:$A, 0))-INDEX('UA-normalized'!$E:$E, MATCH($A148, 'UA-normalized'!$A:$A, 0))), 0), 0))+(IFERROR(IF(30*INDEX('KZ-normalized'!$D:$D, MATCH($A148, 'KZ-normalized'!$A:$A, 0))-INDEX('KZ-normalized'!$E:$E, MATCH($A148, 'KZ-normalized'!$A:$A, 0))&gt;0, -(30*INDEX('KZ-normalized'!$D:$D, MATCH($A148, 'KZ-normalized'!$A:$A, 0))-INDEX('KZ-normalized'!$E:$E, MATCH($A148, 'KZ-normalized'!$A:$A, 0))), 0), 0))+(IFERROR(IF(30*INDEX('UZ-normalized'!$D:$D, MATCH($A148, 'UZ-normalized'!$A:$A, 0))-INDEX('UZ-normalized'!$E:$E, MATCH($A148, 'UZ-normalized'!$A:$A, 0))&gt;0, -(30*INDEX('UZ-normalized'!$D:$D, MATCH($A148, 'UZ-normalized'!$A:$A, 0))-INDEX('UZ-normalized'!$E:$E, MATCH($A148, 'UZ-normalized'!$A:$A, 0))), 0), 0)))</f>
        <v>-3299</v>
      </c>
    </row>
    <row r="149" spans="1:44" x14ac:dyDescent="0.25">
      <c r="A149" s="8" t="s">
        <v>360</v>
      </c>
      <c r="B149" s="8" t="s">
        <v>336</v>
      </c>
      <c r="C149" s="8" t="s">
        <v>350</v>
      </c>
      <c r="D149" s="8" t="s">
        <v>361</v>
      </c>
      <c r="E149">
        <v>750</v>
      </c>
      <c r="J149">
        <v>750</v>
      </c>
      <c r="N149">
        <f t="shared" si="2"/>
        <v>1500</v>
      </c>
      <c r="O149" s="6">
        <f>MIN(0, N149+(IFERROR(IF(1*INDEX('UA-normalized'!$D:$D, MATCH($A149, 'UA-normalized'!$A:$A, 0))-INDEX('UA-normalized'!$E:$E, MATCH($A149, 'UA-normalized'!$A:$A, 0))&gt;0, -(1*INDEX('UA-normalized'!$D:$D, MATCH($A149, 'UA-normalized'!$A:$A, 0))-INDEX('UA-normalized'!$E:$E, MATCH($A149, 'UA-normalized'!$A:$A, 0))), 0), 0))+(IFERROR(IF(1*INDEX('KZ-normalized'!$D:$D, MATCH($A149, 'KZ-normalized'!$A:$A, 0))-INDEX('KZ-normalized'!$E:$E, MATCH($A149, 'KZ-normalized'!$A:$A, 0))&gt;0, -(1*INDEX('KZ-normalized'!$D:$D, MATCH($A149, 'KZ-normalized'!$A:$A, 0))-INDEX('KZ-normalized'!$E:$E, MATCH($A149, 'KZ-normalized'!$A:$A, 0))), 0), 0))+(IFERROR(IF(1*INDEX('UZ-normalized'!$D:$D, MATCH($A149, 'UZ-normalized'!$A:$A, 0))-INDEX('UZ-normalized'!$E:$E, MATCH($A149, 'UZ-normalized'!$A:$A, 0))&gt;0, -(1*INDEX('UZ-normalized'!$D:$D, MATCH($A149, 'UZ-normalized'!$A:$A, 0))-INDEX('UZ-normalized'!$E:$E, MATCH($A149, 'UZ-normalized'!$A:$A, 0))), 0), 0)))</f>
        <v>0</v>
      </c>
      <c r="P149" s="6">
        <f>MIN(0, N149+(IFERROR(IF(2*INDEX('UA-normalized'!$D:$D, MATCH($A149, 'UA-normalized'!$A:$A, 0))-INDEX('UA-normalized'!$E:$E, MATCH($A149, 'UA-normalized'!$A:$A, 0))&gt;0, -(2*INDEX('UA-normalized'!$D:$D, MATCH($A149, 'UA-normalized'!$A:$A, 0))-INDEX('UA-normalized'!$E:$E, MATCH($A149, 'UA-normalized'!$A:$A, 0))), 0), 0))+(IFERROR(IF(2*INDEX('KZ-normalized'!$D:$D, MATCH($A149, 'KZ-normalized'!$A:$A, 0))-INDEX('KZ-normalized'!$E:$E, MATCH($A149, 'KZ-normalized'!$A:$A, 0))&gt;0, -(2*INDEX('KZ-normalized'!$D:$D, MATCH($A149, 'KZ-normalized'!$A:$A, 0))-INDEX('KZ-normalized'!$E:$E, MATCH($A149, 'KZ-normalized'!$A:$A, 0))), 0), 0))+(IFERROR(IF(2*INDEX('UZ-normalized'!$D:$D, MATCH($A149, 'UZ-normalized'!$A:$A, 0))-INDEX('UZ-normalized'!$E:$E, MATCH($A149, 'UZ-normalized'!$A:$A, 0))&gt;0, -(2*INDEX('UZ-normalized'!$D:$D, MATCH($A149, 'UZ-normalized'!$A:$A, 0))-INDEX('UZ-normalized'!$E:$E, MATCH($A149, 'UZ-normalized'!$A:$A, 0))), 0), 0)))</f>
        <v>0</v>
      </c>
      <c r="Q149" s="6">
        <f>MIN(0, N149+(IFERROR(IF(3*INDEX('UA-normalized'!$D:$D, MATCH($A149, 'UA-normalized'!$A:$A, 0))-INDEX('UA-normalized'!$E:$E, MATCH($A149, 'UA-normalized'!$A:$A, 0))&gt;0, -(3*INDEX('UA-normalized'!$D:$D, MATCH($A149, 'UA-normalized'!$A:$A, 0))-INDEX('UA-normalized'!$E:$E, MATCH($A149, 'UA-normalized'!$A:$A, 0))), 0), 0))+(IFERROR(IF(3*INDEX('KZ-normalized'!$D:$D, MATCH($A149, 'KZ-normalized'!$A:$A, 0))-INDEX('KZ-normalized'!$E:$E, MATCH($A149, 'KZ-normalized'!$A:$A, 0))&gt;0, -(3*INDEX('KZ-normalized'!$D:$D, MATCH($A149, 'KZ-normalized'!$A:$A, 0))-INDEX('KZ-normalized'!$E:$E, MATCH($A149, 'KZ-normalized'!$A:$A, 0))), 0), 0))+(IFERROR(IF(3*INDEX('UZ-normalized'!$D:$D, MATCH($A149, 'UZ-normalized'!$A:$A, 0))-INDEX('UZ-normalized'!$E:$E, MATCH($A149, 'UZ-normalized'!$A:$A, 0))&gt;0, -(3*INDEX('UZ-normalized'!$D:$D, MATCH($A149, 'UZ-normalized'!$A:$A, 0))-INDEX('UZ-normalized'!$E:$E, MATCH($A149, 'UZ-normalized'!$A:$A, 0))), 0), 0)))</f>
        <v>0</v>
      </c>
      <c r="R149" s="6">
        <f>MIN(0, N149+(IFERROR(IF(4*INDEX('UA-normalized'!$D:$D, MATCH($A149, 'UA-normalized'!$A:$A, 0))-INDEX('UA-normalized'!$E:$E, MATCH($A149, 'UA-normalized'!$A:$A, 0))&gt;0, -(4*INDEX('UA-normalized'!$D:$D, MATCH($A149, 'UA-normalized'!$A:$A, 0))-INDEX('UA-normalized'!$E:$E, MATCH($A149, 'UA-normalized'!$A:$A, 0))), 0), 0))+(IFERROR(IF(4*INDEX('KZ-normalized'!$D:$D, MATCH($A149, 'KZ-normalized'!$A:$A, 0))-INDEX('KZ-normalized'!$E:$E, MATCH($A149, 'KZ-normalized'!$A:$A, 0))&gt;0, -(4*INDEX('KZ-normalized'!$D:$D, MATCH($A149, 'KZ-normalized'!$A:$A, 0))-INDEX('KZ-normalized'!$E:$E, MATCH($A149, 'KZ-normalized'!$A:$A, 0))), 0), 0))+(IFERROR(IF(4*INDEX('UZ-normalized'!$D:$D, MATCH($A149, 'UZ-normalized'!$A:$A, 0))-INDEX('UZ-normalized'!$E:$E, MATCH($A149, 'UZ-normalized'!$A:$A, 0))&gt;0, -(4*INDEX('UZ-normalized'!$D:$D, MATCH($A149, 'UZ-normalized'!$A:$A, 0))-INDEX('UZ-normalized'!$E:$E, MATCH($A149, 'UZ-normalized'!$A:$A, 0))), 0), 0)))</f>
        <v>0</v>
      </c>
      <c r="S149" s="6">
        <f>MIN(0, N149+(IFERROR(IF(5*INDEX('UA-normalized'!$D:$D, MATCH($A149, 'UA-normalized'!$A:$A, 0))-INDEX('UA-normalized'!$E:$E, MATCH($A149, 'UA-normalized'!$A:$A, 0))&gt;0, -(5*INDEX('UA-normalized'!$D:$D, MATCH($A149, 'UA-normalized'!$A:$A, 0))-INDEX('UA-normalized'!$E:$E, MATCH($A149, 'UA-normalized'!$A:$A, 0))), 0), 0))+(IFERROR(IF(5*INDEX('KZ-normalized'!$D:$D, MATCH($A149, 'KZ-normalized'!$A:$A, 0))-INDEX('KZ-normalized'!$E:$E, MATCH($A149, 'KZ-normalized'!$A:$A, 0))&gt;0, -(5*INDEX('KZ-normalized'!$D:$D, MATCH($A149, 'KZ-normalized'!$A:$A, 0))-INDEX('KZ-normalized'!$E:$E, MATCH($A149, 'KZ-normalized'!$A:$A, 0))), 0), 0))+(IFERROR(IF(5*INDEX('UZ-normalized'!$D:$D, MATCH($A149, 'UZ-normalized'!$A:$A, 0))-INDEX('UZ-normalized'!$E:$E, MATCH($A149, 'UZ-normalized'!$A:$A, 0))&gt;0, -(5*INDEX('UZ-normalized'!$D:$D, MATCH($A149, 'UZ-normalized'!$A:$A, 0))-INDEX('UZ-normalized'!$E:$E, MATCH($A149, 'UZ-normalized'!$A:$A, 0))), 0), 0)))</f>
        <v>0</v>
      </c>
      <c r="T149" s="6">
        <f>MIN(0, N149+(IFERROR(IF(6*INDEX('UA-normalized'!$D:$D, MATCH($A149, 'UA-normalized'!$A:$A, 0))-INDEX('UA-normalized'!$E:$E, MATCH($A149, 'UA-normalized'!$A:$A, 0))&gt;0, -(6*INDEX('UA-normalized'!$D:$D, MATCH($A149, 'UA-normalized'!$A:$A, 0))-INDEX('UA-normalized'!$E:$E, MATCH($A149, 'UA-normalized'!$A:$A, 0))), 0), 0))+(IFERROR(IF(6*INDEX('KZ-normalized'!$D:$D, MATCH($A149, 'KZ-normalized'!$A:$A, 0))-INDEX('KZ-normalized'!$E:$E, MATCH($A149, 'KZ-normalized'!$A:$A, 0))&gt;0, -(6*INDEX('KZ-normalized'!$D:$D, MATCH($A149, 'KZ-normalized'!$A:$A, 0))-INDEX('KZ-normalized'!$E:$E, MATCH($A149, 'KZ-normalized'!$A:$A, 0))), 0), 0))+(IFERROR(IF(6*INDEX('UZ-normalized'!$D:$D, MATCH($A149, 'UZ-normalized'!$A:$A, 0))-INDEX('UZ-normalized'!$E:$E, MATCH($A149, 'UZ-normalized'!$A:$A, 0))&gt;0, -(6*INDEX('UZ-normalized'!$D:$D, MATCH($A149, 'UZ-normalized'!$A:$A, 0))-INDEX('UZ-normalized'!$E:$E, MATCH($A149, 'UZ-normalized'!$A:$A, 0))), 0), 0)))</f>
        <v>0</v>
      </c>
      <c r="U149" s="6">
        <f>MIN(0, N149+(IFERROR(IF(7*INDEX('UA-normalized'!$D:$D, MATCH($A149, 'UA-normalized'!$A:$A, 0))-INDEX('UA-normalized'!$E:$E, MATCH($A149, 'UA-normalized'!$A:$A, 0))&gt;0, -(7*INDEX('UA-normalized'!$D:$D, MATCH($A149, 'UA-normalized'!$A:$A, 0))-INDEX('UA-normalized'!$E:$E, MATCH($A149, 'UA-normalized'!$A:$A, 0))), 0), 0))+(IFERROR(IF(7*INDEX('KZ-normalized'!$D:$D, MATCH($A149, 'KZ-normalized'!$A:$A, 0))-INDEX('KZ-normalized'!$E:$E, MATCH($A149, 'KZ-normalized'!$A:$A, 0))&gt;0, -(7*INDEX('KZ-normalized'!$D:$D, MATCH($A149, 'KZ-normalized'!$A:$A, 0))-INDEX('KZ-normalized'!$E:$E, MATCH($A149, 'KZ-normalized'!$A:$A, 0))), 0), 0))+(IFERROR(IF(7*INDEX('UZ-normalized'!$D:$D, MATCH($A149, 'UZ-normalized'!$A:$A, 0))-INDEX('UZ-normalized'!$E:$E, MATCH($A149, 'UZ-normalized'!$A:$A, 0))&gt;0, -(7*INDEX('UZ-normalized'!$D:$D, MATCH($A149, 'UZ-normalized'!$A:$A, 0))-INDEX('UZ-normalized'!$E:$E, MATCH($A149, 'UZ-normalized'!$A:$A, 0))), 0), 0)))</f>
        <v>0</v>
      </c>
      <c r="V149" s="6">
        <f>MIN(0, N149+(IFERROR(IF(8*INDEX('UA-normalized'!$D:$D, MATCH($A149, 'UA-normalized'!$A:$A, 0))-INDEX('UA-normalized'!$E:$E, MATCH($A149, 'UA-normalized'!$A:$A, 0))&gt;0, -(8*INDEX('UA-normalized'!$D:$D, MATCH($A149, 'UA-normalized'!$A:$A, 0))-INDEX('UA-normalized'!$E:$E, MATCH($A149, 'UA-normalized'!$A:$A, 0))), 0), 0))+(IFERROR(IF(8*INDEX('KZ-normalized'!$D:$D, MATCH($A149, 'KZ-normalized'!$A:$A, 0))-INDEX('KZ-normalized'!$E:$E, MATCH($A149, 'KZ-normalized'!$A:$A, 0))&gt;0, -(8*INDEX('KZ-normalized'!$D:$D, MATCH($A149, 'KZ-normalized'!$A:$A, 0))-INDEX('KZ-normalized'!$E:$E, MATCH($A149, 'KZ-normalized'!$A:$A, 0))), 0), 0))+(IFERROR(IF(8*INDEX('UZ-normalized'!$D:$D, MATCH($A149, 'UZ-normalized'!$A:$A, 0))-INDEX('UZ-normalized'!$E:$E, MATCH($A149, 'UZ-normalized'!$A:$A, 0))&gt;0, -(8*INDEX('UZ-normalized'!$D:$D, MATCH($A149, 'UZ-normalized'!$A:$A, 0))-INDEX('UZ-normalized'!$E:$E, MATCH($A149, 'UZ-normalized'!$A:$A, 0))), 0), 0)))</f>
        <v>0</v>
      </c>
      <c r="W149" s="6">
        <f>MIN(0, N149+(IFERROR(IF(9*INDEX('UA-normalized'!$D:$D, MATCH($A149, 'UA-normalized'!$A:$A, 0))-INDEX('UA-normalized'!$E:$E, MATCH($A149, 'UA-normalized'!$A:$A, 0))&gt;0, -(9*INDEX('UA-normalized'!$D:$D, MATCH($A149, 'UA-normalized'!$A:$A, 0))-INDEX('UA-normalized'!$E:$E, MATCH($A149, 'UA-normalized'!$A:$A, 0))), 0), 0))+(IFERROR(IF(9*INDEX('KZ-normalized'!$D:$D, MATCH($A149, 'KZ-normalized'!$A:$A, 0))-INDEX('KZ-normalized'!$E:$E, MATCH($A149, 'KZ-normalized'!$A:$A, 0))&gt;0, -(9*INDEX('KZ-normalized'!$D:$D, MATCH($A149, 'KZ-normalized'!$A:$A, 0))-INDEX('KZ-normalized'!$E:$E, MATCH($A149, 'KZ-normalized'!$A:$A, 0))), 0), 0))+(IFERROR(IF(9*INDEX('UZ-normalized'!$D:$D, MATCH($A149, 'UZ-normalized'!$A:$A, 0))-INDEX('UZ-normalized'!$E:$E, MATCH($A149, 'UZ-normalized'!$A:$A, 0))&gt;0, -(9*INDEX('UZ-normalized'!$D:$D, MATCH($A149, 'UZ-normalized'!$A:$A, 0))-INDEX('UZ-normalized'!$E:$E, MATCH($A149, 'UZ-normalized'!$A:$A, 0))), 0), 0)))</f>
        <v>0</v>
      </c>
      <c r="X149" s="6">
        <f>MIN(0, N149+(IFERROR(IF(10*INDEX('UA-normalized'!$D:$D, MATCH($A149, 'UA-normalized'!$A:$A, 0))-INDEX('UA-normalized'!$E:$E, MATCH($A149, 'UA-normalized'!$A:$A, 0))&gt;0, -(10*INDEX('UA-normalized'!$D:$D, MATCH($A149, 'UA-normalized'!$A:$A, 0))-INDEX('UA-normalized'!$E:$E, MATCH($A149, 'UA-normalized'!$A:$A, 0))), 0), 0))+(IFERROR(IF(10*INDEX('KZ-normalized'!$D:$D, MATCH($A149, 'KZ-normalized'!$A:$A, 0))-INDEX('KZ-normalized'!$E:$E, MATCH($A149, 'KZ-normalized'!$A:$A, 0))&gt;0, -(10*INDEX('KZ-normalized'!$D:$D, MATCH($A149, 'KZ-normalized'!$A:$A, 0))-INDEX('KZ-normalized'!$E:$E, MATCH($A149, 'KZ-normalized'!$A:$A, 0))), 0), 0))+(IFERROR(IF(10*INDEX('UZ-normalized'!$D:$D, MATCH($A149, 'UZ-normalized'!$A:$A, 0))-INDEX('UZ-normalized'!$E:$E, MATCH($A149, 'UZ-normalized'!$A:$A, 0))&gt;0, -(10*INDEX('UZ-normalized'!$D:$D, MATCH($A149, 'UZ-normalized'!$A:$A, 0))-INDEX('UZ-normalized'!$E:$E, MATCH($A149, 'UZ-normalized'!$A:$A, 0))), 0), 0)))</f>
        <v>0</v>
      </c>
      <c r="Y149" s="6">
        <f>MIN(0, N149+(IFERROR(IF(11*INDEX('UA-normalized'!$D:$D, MATCH($A149, 'UA-normalized'!$A:$A, 0))-INDEX('UA-normalized'!$E:$E, MATCH($A149, 'UA-normalized'!$A:$A, 0))&gt;0, -(11*INDEX('UA-normalized'!$D:$D, MATCH($A149, 'UA-normalized'!$A:$A, 0))-INDEX('UA-normalized'!$E:$E, MATCH($A149, 'UA-normalized'!$A:$A, 0))), 0), 0))+(IFERROR(IF(11*INDEX('KZ-normalized'!$D:$D, MATCH($A149, 'KZ-normalized'!$A:$A, 0))-INDEX('KZ-normalized'!$E:$E, MATCH($A149, 'KZ-normalized'!$A:$A, 0))&gt;0, -(11*INDEX('KZ-normalized'!$D:$D, MATCH($A149, 'KZ-normalized'!$A:$A, 0))-INDEX('KZ-normalized'!$E:$E, MATCH($A149, 'KZ-normalized'!$A:$A, 0))), 0), 0))+(IFERROR(IF(11*INDEX('UZ-normalized'!$D:$D, MATCH($A149, 'UZ-normalized'!$A:$A, 0))-INDEX('UZ-normalized'!$E:$E, MATCH($A149, 'UZ-normalized'!$A:$A, 0))&gt;0, -(11*INDEX('UZ-normalized'!$D:$D, MATCH($A149, 'UZ-normalized'!$A:$A, 0))-INDEX('UZ-normalized'!$E:$E, MATCH($A149, 'UZ-normalized'!$A:$A, 0))), 0), 0)))</f>
        <v>0</v>
      </c>
      <c r="Z149" s="6">
        <f>MIN(0, N149+(IFERROR(IF(12*INDEX('UA-normalized'!$D:$D, MATCH($A149, 'UA-normalized'!$A:$A, 0))-INDEX('UA-normalized'!$E:$E, MATCH($A149, 'UA-normalized'!$A:$A, 0))&gt;0, -(12*INDEX('UA-normalized'!$D:$D, MATCH($A149, 'UA-normalized'!$A:$A, 0))-INDEX('UA-normalized'!$E:$E, MATCH($A149, 'UA-normalized'!$A:$A, 0))), 0), 0))+(IFERROR(IF(12*INDEX('KZ-normalized'!$D:$D, MATCH($A149, 'KZ-normalized'!$A:$A, 0))-INDEX('KZ-normalized'!$E:$E, MATCH($A149, 'KZ-normalized'!$A:$A, 0))&gt;0, -(12*INDEX('KZ-normalized'!$D:$D, MATCH($A149, 'KZ-normalized'!$A:$A, 0))-INDEX('KZ-normalized'!$E:$E, MATCH($A149, 'KZ-normalized'!$A:$A, 0))), 0), 0))+(IFERROR(IF(12*INDEX('UZ-normalized'!$D:$D, MATCH($A149, 'UZ-normalized'!$A:$A, 0))-INDEX('UZ-normalized'!$E:$E, MATCH($A149, 'UZ-normalized'!$A:$A, 0))&gt;0, -(12*INDEX('UZ-normalized'!$D:$D, MATCH($A149, 'UZ-normalized'!$A:$A, 0))-INDEX('UZ-normalized'!$E:$E, MATCH($A149, 'UZ-normalized'!$A:$A, 0))), 0), 0)))</f>
        <v>0</v>
      </c>
      <c r="AA149" s="6">
        <f>MIN(0, N149+(IFERROR(IF(13*INDEX('UA-normalized'!$D:$D, MATCH($A149, 'UA-normalized'!$A:$A, 0))-INDEX('UA-normalized'!$E:$E, MATCH($A149, 'UA-normalized'!$A:$A, 0))&gt;0, -(13*INDEX('UA-normalized'!$D:$D, MATCH($A149, 'UA-normalized'!$A:$A, 0))-INDEX('UA-normalized'!$E:$E, MATCH($A149, 'UA-normalized'!$A:$A, 0))), 0), 0))+(IFERROR(IF(13*INDEX('KZ-normalized'!$D:$D, MATCH($A149, 'KZ-normalized'!$A:$A, 0))-INDEX('KZ-normalized'!$E:$E, MATCH($A149, 'KZ-normalized'!$A:$A, 0))&gt;0, -(13*INDEX('KZ-normalized'!$D:$D, MATCH($A149, 'KZ-normalized'!$A:$A, 0))-INDEX('KZ-normalized'!$E:$E, MATCH($A149, 'KZ-normalized'!$A:$A, 0))), 0), 0))+(IFERROR(IF(13*INDEX('UZ-normalized'!$D:$D, MATCH($A149, 'UZ-normalized'!$A:$A, 0))-INDEX('UZ-normalized'!$E:$E, MATCH($A149, 'UZ-normalized'!$A:$A, 0))&gt;0, -(13*INDEX('UZ-normalized'!$D:$D, MATCH($A149, 'UZ-normalized'!$A:$A, 0))-INDEX('UZ-normalized'!$E:$E, MATCH($A149, 'UZ-normalized'!$A:$A, 0))), 0), 0)))</f>
        <v>-142</v>
      </c>
      <c r="AB149" s="6">
        <f>MIN(0, N149+(IFERROR(IF(14*INDEX('UA-normalized'!$D:$D, MATCH($A149, 'UA-normalized'!$A:$A, 0))-INDEX('UA-normalized'!$E:$E, MATCH($A149, 'UA-normalized'!$A:$A, 0))&gt;0, -(14*INDEX('UA-normalized'!$D:$D, MATCH($A149, 'UA-normalized'!$A:$A, 0))-INDEX('UA-normalized'!$E:$E, MATCH($A149, 'UA-normalized'!$A:$A, 0))), 0), 0))+(IFERROR(IF(14*INDEX('KZ-normalized'!$D:$D, MATCH($A149, 'KZ-normalized'!$A:$A, 0))-INDEX('KZ-normalized'!$E:$E, MATCH($A149, 'KZ-normalized'!$A:$A, 0))&gt;0, -(14*INDEX('KZ-normalized'!$D:$D, MATCH($A149, 'KZ-normalized'!$A:$A, 0))-INDEX('KZ-normalized'!$E:$E, MATCH($A149, 'KZ-normalized'!$A:$A, 0))), 0), 0))+(IFERROR(IF(14*INDEX('UZ-normalized'!$D:$D, MATCH($A149, 'UZ-normalized'!$A:$A, 0))-INDEX('UZ-normalized'!$E:$E, MATCH($A149, 'UZ-normalized'!$A:$A, 0))&gt;0, -(14*INDEX('UZ-normalized'!$D:$D, MATCH($A149, 'UZ-normalized'!$A:$A, 0))-INDEX('UZ-normalized'!$E:$E, MATCH($A149, 'UZ-normalized'!$A:$A, 0))), 0), 0)))</f>
        <v>-342</v>
      </c>
      <c r="AC149" s="6">
        <f>MIN(0, N149+(IFERROR(IF(15*INDEX('UA-normalized'!$D:$D, MATCH($A149, 'UA-normalized'!$A:$A, 0))-INDEX('UA-normalized'!$E:$E, MATCH($A149, 'UA-normalized'!$A:$A, 0))&gt;0, -(15*INDEX('UA-normalized'!$D:$D, MATCH($A149, 'UA-normalized'!$A:$A, 0))-INDEX('UA-normalized'!$E:$E, MATCH($A149, 'UA-normalized'!$A:$A, 0))), 0), 0))+(IFERROR(IF(15*INDEX('KZ-normalized'!$D:$D, MATCH($A149, 'KZ-normalized'!$A:$A, 0))-INDEX('KZ-normalized'!$E:$E, MATCH($A149, 'KZ-normalized'!$A:$A, 0))&gt;0, -(15*INDEX('KZ-normalized'!$D:$D, MATCH($A149, 'KZ-normalized'!$A:$A, 0))-INDEX('KZ-normalized'!$E:$E, MATCH($A149, 'KZ-normalized'!$A:$A, 0))), 0), 0))+(IFERROR(IF(15*INDEX('UZ-normalized'!$D:$D, MATCH($A149, 'UZ-normalized'!$A:$A, 0))-INDEX('UZ-normalized'!$E:$E, MATCH($A149, 'UZ-normalized'!$A:$A, 0))&gt;0, -(15*INDEX('UZ-normalized'!$D:$D, MATCH($A149, 'UZ-normalized'!$A:$A, 0))-INDEX('UZ-normalized'!$E:$E, MATCH($A149, 'UZ-normalized'!$A:$A, 0))), 0), 0)))</f>
        <v>-542</v>
      </c>
      <c r="AD149" s="6">
        <f>MIN(0, N149+(IFERROR(IF(16*INDEX('UA-normalized'!$D:$D, MATCH($A149, 'UA-normalized'!$A:$A, 0))-INDEX('UA-normalized'!$E:$E, MATCH($A149, 'UA-normalized'!$A:$A, 0))&gt;0, -(16*INDEX('UA-normalized'!$D:$D, MATCH($A149, 'UA-normalized'!$A:$A, 0))-INDEX('UA-normalized'!$E:$E, MATCH($A149, 'UA-normalized'!$A:$A, 0))), 0), 0))+(IFERROR(IF(16*INDEX('KZ-normalized'!$D:$D, MATCH($A149, 'KZ-normalized'!$A:$A, 0))-INDEX('KZ-normalized'!$E:$E, MATCH($A149, 'KZ-normalized'!$A:$A, 0))&gt;0, -(16*INDEX('KZ-normalized'!$D:$D, MATCH($A149, 'KZ-normalized'!$A:$A, 0))-INDEX('KZ-normalized'!$E:$E, MATCH($A149, 'KZ-normalized'!$A:$A, 0))), 0), 0))+(IFERROR(IF(16*INDEX('UZ-normalized'!$D:$D, MATCH($A149, 'UZ-normalized'!$A:$A, 0))-INDEX('UZ-normalized'!$E:$E, MATCH($A149, 'UZ-normalized'!$A:$A, 0))&gt;0, -(16*INDEX('UZ-normalized'!$D:$D, MATCH($A149, 'UZ-normalized'!$A:$A, 0))-INDEX('UZ-normalized'!$E:$E, MATCH($A149, 'UZ-normalized'!$A:$A, 0))), 0), 0)))</f>
        <v>-742</v>
      </c>
      <c r="AE149" s="6">
        <f>MIN(0, N149+(IFERROR(IF(17*INDEX('UA-normalized'!$D:$D, MATCH($A149, 'UA-normalized'!$A:$A, 0))-INDEX('UA-normalized'!$E:$E, MATCH($A149, 'UA-normalized'!$A:$A, 0))&gt;0, -(17*INDEX('UA-normalized'!$D:$D, MATCH($A149, 'UA-normalized'!$A:$A, 0))-INDEX('UA-normalized'!$E:$E, MATCH($A149, 'UA-normalized'!$A:$A, 0))), 0), 0))+(IFERROR(IF(17*INDEX('KZ-normalized'!$D:$D, MATCH($A149, 'KZ-normalized'!$A:$A, 0))-INDEX('KZ-normalized'!$E:$E, MATCH($A149, 'KZ-normalized'!$A:$A, 0))&gt;0, -(17*INDEX('KZ-normalized'!$D:$D, MATCH($A149, 'KZ-normalized'!$A:$A, 0))-INDEX('KZ-normalized'!$E:$E, MATCH($A149, 'KZ-normalized'!$A:$A, 0))), 0), 0))+(IFERROR(IF(17*INDEX('UZ-normalized'!$D:$D, MATCH($A149, 'UZ-normalized'!$A:$A, 0))-INDEX('UZ-normalized'!$E:$E, MATCH($A149, 'UZ-normalized'!$A:$A, 0))&gt;0, -(17*INDEX('UZ-normalized'!$D:$D, MATCH($A149, 'UZ-normalized'!$A:$A, 0))-INDEX('UZ-normalized'!$E:$E, MATCH($A149, 'UZ-normalized'!$A:$A, 0))), 0), 0)))</f>
        <v>-942</v>
      </c>
      <c r="AF149" s="6">
        <f>MIN(0, N149+(IFERROR(IF(18*INDEX('UA-normalized'!$D:$D, MATCH($A149, 'UA-normalized'!$A:$A, 0))-INDEX('UA-normalized'!$E:$E, MATCH($A149, 'UA-normalized'!$A:$A, 0))&gt;0, -(18*INDEX('UA-normalized'!$D:$D, MATCH($A149, 'UA-normalized'!$A:$A, 0))-INDEX('UA-normalized'!$E:$E, MATCH($A149, 'UA-normalized'!$A:$A, 0))), 0), 0))+(IFERROR(IF(18*INDEX('KZ-normalized'!$D:$D, MATCH($A149, 'KZ-normalized'!$A:$A, 0))-INDEX('KZ-normalized'!$E:$E, MATCH($A149, 'KZ-normalized'!$A:$A, 0))&gt;0, -(18*INDEX('KZ-normalized'!$D:$D, MATCH($A149, 'KZ-normalized'!$A:$A, 0))-INDEX('KZ-normalized'!$E:$E, MATCH($A149, 'KZ-normalized'!$A:$A, 0))), 0), 0))+(IFERROR(IF(18*INDEX('UZ-normalized'!$D:$D, MATCH($A149, 'UZ-normalized'!$A:$A, 0))-INDEX('UZ-normalized'!$E:$E, MATCH($A149, 'UZ-normalized'!$A:$A, 0))&gt;0, -(18*INDEX('UZ-normalized'!$D:$D, MATCH($A149, 'UZ-normalized'!$A:$A, 0))-INDEX('UZ-normalized'!$E:$E, MATCH($A149, 'UZ-normalized'!$A:$A, 0))), 0), 0)))</f>
        <v>-1143</v>
      </c>
      <c r="AG149" s="6">
        <f>MIN(0, N149+(IFERROR(IF(19*INDEX('UA-normalized'!$D:$D, MATCH($A149, 'UA-normalized'!$A:$A, 0))-INDEX('UA-normalized'!$E:$E, MATCH($A149, 'UA-normalized'!$A:$A, 0))&gt;0, -(19*INDEX('UA-normalized'!$D:$D, MATCH($A149, 'UA-normalized'!$A:$A, 0))-INDEX('UA-normalized'!$E:$E, MATCH($A149, 'UA-normalized'!$A:$A, 0))), 0), 0))+(IFERROR(IF(19*INDEX('KZ-normalized'!$D:$D, MATCH($A149, 'KZ-normalized'!$A:$A, 0))-INDEX('KZ-normalized'!$E:$E, MATCH($A149, 'KZ-normalized'!$A:$A, 0))&gt;0, -(19*INDEX('KZ-normalized'!$D:$D, MATCH($A149, 'KZ-normalized'!$A:$A, 0))-INDEX('KZ-normalized'!$E:$E, MATCH($A149, 'KZ-normalized'!$A:$A, 0))), 0), 0))+(IFERROR(IF(19*INDEX('UZ-normalized'!$D:$D, MATCH($A149, 'UZ-normalized'!$A:$A, 0))-INDEX('UZ-normalized'!$E:$E, MATCH($A149, 'UZ-normalized'!$A:$A, 0))&gt;0, -(19*INDEX('UZ-normalized'!$D:$D, MATCH($A149, 'UZ-normalized'!$A:$A, 0))-INDEX('UZ-normalized'!$E:$E, MATCH($A149, 'UZ-normalized'!$A:$A, 0))), 0), 0)))</f>
        <v>-1344</v>
      </c>
      <c r="AH149" s="6">
        <f>MIN(0, N149+(IFERROR(IF(20*INDEX('UA-normalized'!$D:$D, MATCH($A149, 'UA-normalized'!$A:$A, 0))-INDEX('UA-normalized'!$E:$E, MATCH($A149, 'UA-normalized'!$A:$A, 0))&gt;0, -(20*INDEX('UA-normalized'!$D:$D, MATCH($A149, 'UA-normalized'!$A:$A, 0))-INDEX('UA-normalized'!$E:$E, MATCH($A149, 'UA-normalized'!$A:$A, 0))), 0), 0))+(IFERROR(IF(20*INDEX('KZ-normalized'!$D:$D, MATCH($A149, 'KZ-normalized'!$A:$A, 0))-INDEX('KZ-normalized'!$E:$E, MATCH($A149, 'KZ-normalized'!$A:$A, 0))&gt;0, -(20*INDEX('KZ-normalized'!$D:$D, MATCH($A149, 'KZ-normalized'!$A:$A, 0))-INDEX('KZ-normalized'!$E:$E, MATCH($A149, 'KZ-normalized'!$A:$A, 0))), 0), 0))+(IFERROR(IF(20*INDEX('UZ-normalized'!$D:$D, MATCH($A149, 'UZ-normalized'!$A:$A, 0))-INDEX('UZ-normalized'!$E:$E, MATCH($A149, 'UZ-normalized'!$A:$A, 0))&gt;0, -(20*INDEX('UZ-normalized'!$D:$D, MATCH($A149, 'UZ-normalized'!$A:$A, 0))-INDEX('UZ-normalized'!$E:$E, MATCH($A149, 'UZ-normalized'!$A:$A, 0))), 0), 0)))</f>
        <v>-1545</v>
      </c>
      <c r="AI149" s="6">
        <f>MIN(0, N149+(IFERROR(IF(21*INDEX('UA-normalized'!$D:$D, MATCH($A149, 'UA-normalized'!$A:$A, 0))-INDEX('UA-normalized'!$E:$E, MATCH($A149, 'UA-normalized'!$A:$A, 0))&gt;0, -(21*INDEX('UA-normalized'!$D:$D, MATCH($A149, 'UA-normalized'!$A:$A, 0))-INDEX('UA-normalized'!$E:$E, MATCH($A149, 'UA-normalized'!$A:$A, 0))), 0), 0))+(IFERROR(IF(21*INDEX('KZ-normalized'!$D:$D, MATCH($A149, 'KZ-normalized'!$A:$A, 0))-INDEX('KZ-normalized'!$E:$E, MATCH($A149, 'KZ-normalized'!$A:$A, 0))&gt;0, -(21*INDEX('KZ-normalized'!$D:$D, MATCH($A149, 'KZ-normalized'!$A:$A, 0))-INDEX('KZ-normalized'!$E:$E, MATCH($A149, 'KZ-normalized'!$A:$A, 0))), 0), 0))+(IFERROR(IF(21*INDEX('UZ-normalized'!$D:$D, MATCH($A149, 'UZ-normalized'!$A:$A, 0))-INDEX('UZ-normalized'!$E:$E, MATCH($A149, 'UZ-normalized'!$A:$A, 0))&gt;0, -(21*INDEX('UZ-normalized'!$D:$D, MATCH($A149, 'UZ-normalized'!$A:$A, 0))-INDEX('UZ-normalized'!$E:$E, MATCH($A149, 'UZ-normalized'!$A:$A, 0))), 0), 0)))</f>
        <v>-1746</v>
      </c>
      <c r="AJ149" s="6">
        <f>MIN(0, N149+(IFERROR(IF(22*INDEX('UA-normalized'!$D:$D, MATCH($A149, 'UA-normalized'!$A:$A, 0))-INDEX('UA-normalized'!$E:$E, MATCH($A149, 'UA-normalized'!$A:$A, 0))&gt;0, -(22*INDEX('UA-normalized'!$D:$D, MATCH($A149, 'UA-normalized'!$A:$A, 0))-INDEX('UA-normalized'!$E:$E, MATCH($A149, 'UA-normalized'!$A:$A, 0))), 0), 0))+(IFERROR(IF(22*INDEX('KZ-normalized'!$D:$D, MATCH($A149, 'KZ-normalized'!$A:$A, 0))-INDEX('KZ-normalized'!$E:$E, MATCH($A149, 'KZ-normalized'!$A:$A, 0))&gt;0, -(22*INDEX('KZ-normalized'!$D:$D, MATCH($A149, 'KZ-normalized'!$A:$A, 0))-INDEX('KZ-normalized'!$E:$E, MATCH($A149, 'KZ-normalized'!$A:$A, 0))), 0), 0))+(IFERROR(IF(22*INDEX('UZ-normalized'!$D:$D, MATCH($A149, 'UZ-normalized'!$A:$A, 0))-INDEX('UZ-normalized'!$E:$E, MATCH($A149, 'UZ-normalized'!$A:$A, 0))&gt;0, -(22*INDEX('UZ-normalized'!$D:$D, MATCH($A149, 'UZ-normalized'!$A:$A, 0))-INDEX('UZ-normalized'!$E:$E, MATCH($A149, 'UZ-normalized'!$A:$A, 0))), 0), 0)))</f>
        <v>-1947</v>
      </c>
      <c r="AK149" s="6">
        <f>MIN(0, N149+(IFERROR(IF(23*INDEX('UA-normalized'!$D:$D, MATCH($A149, 'UA-normalized'!$A:$A, 0))-INDEX('UA-normalized'!$E:$E, MATCH($A149, 'UA-normalized'!$A:$A, 0))&gt;0, -(23*INDEX('UA-normalized'!$D:$D, MATCH($A149, 'UA-normalized'!$A:$A, 0))-INDEX('UA-normalized'!$E:$E, MATCH($A149, 'UA-normalized'!$A:$A, 0))), 0), 0))+(IFERROR(IF(23*INDEX('KZ-normalized'!$D:$D, MATCH($A149, 'KZ-normalized'!$A:$A, 0))-INDEX('KZ-normalized'!$E:$E, MATCH($A149, 'KZ-normalized'!$A:$A, 0))&gt;0, -(23*INDEX('KZ-normalized'!$D:$D, MATCH($A149, 'KZ-normalized'!$A:$A, 0))-INDEX('KZ-normalized'!$E:$E, MATCH($A149, 'KZ-normalized'!$A:$A, 0))), 0), 0))+(IFERROR(IF(23*INDEX('UZ-normalized'!$D:$D, MATCH($A149, 'UZ-normalized'!$A:$A, 0))-INDEX('UZ-normalized'!$E:$E, MATCH($A149, 'UZ-normalized'!$A:$A, 0))&gt;0, -(23*INDEX('UZ-normalized'!$D:$D, MATCH($A149, 'UZ-normalized'!$A:$A, 0))-INDEX('UZ-normalized'!$E:$E, MATCH($A149, 'UZ-normalized'!$A:$A, 0))), 0), 0)))</f>
        <v>-2148</v>
      </c>
      <c r="AL149" s="6">
        <f>MIN(0, N149+(IFERROR(IF(24*INDEX('UA-normalized'!$D:$D, MATCH($A149, 'UA-normalized'!$A:$A, 0))-INDEX('UA-normalized'!$E:$E, MATCH($A149, 'UA-normalized'!$A:$A, 0))&gt;0, -(24*INDEX('UA-normalized'!$D:$D, MATCH($A149, 'UA-normalized'!$A:$A, 0))-INDEX('UA-normalized'!$E:$E, MATCH($A149, 'UA-normalized'!$A:$A, 0))), 0), 0))+(IFERROR(IF(24*INDEX('KZ-normalized'!$D:$D, MATCH($A149, 'KZ-normalized'!$A:$A, 0))-INDEX('KZ-normalized'!$E:$E, MATCH($A149, 'KZ-normalized'!$A:$A, 0))&gt;0, -(24*INDEX('KZ-normalized'!$D:$D, MATCH($A149, 'KZ-normalized'!$A:$A, 0))-INDEX('KZ-normalized'!$E:$E, MATCH($A149, 'KZ-normalized'!$A:$A, 0))), 0), 0))+(IFERROR(IF(24*INDEX('UZ-normalized'!$D:$D, MATCH($A149, 'UZ-normalized'!$A:$A, 0))-INDEX('UZ-normalized'!$E:$E, MATCH($A149, 'UZ-normalized'!$A:$A, 0))&gt;0, -(24*INDEX('UZ-normalized'!$D:$D, MATCH($A149, 'UZ-normalized'!$A:$A, 0))-INDEX('UZ-normalized'!$E:$E, MATCH($A149, 'UZ-normalized'!$A:$A, 0))), 0), 0)))</f>
        <v>-2349</v>
      </c>
      <c r="AM149" s="6">
        <f>MIN(0, N149+(IFERROR(IF(25*INDEX('UA-normalized'!$D:$D, MATCH($A149, 'UA-normalized'!$A:$A, 0))-INDEX('UA-normalized'!$E:$E, MATCH($A149, 'UA-normalized'!$A:$A, 0))&gt;0, -(25*INDEX('UA-normalized'!$D:$D, MATCH($A149, 'UA-normalized'!$A:$A, 0))-INDEX('UA-normalized'!$E:$E, MATCH($A149, 'UA-normalized'!$A:$A, 0))), 0), 0))+(IFERROR(IF(25*INDEX('KZ-normalized'!$D:$D, MATCH($A149, 'KZ-normalized'!$A:$A, 0))-INDEX('KZ-normalized'!$E:$E, MATCH($A149, 'KZ-normalized'!$A:$A, 0))&gt;0, -(25*INDEX('KZ-normalized'!$D:$D, MATCH($A149, 'KZ-normalized'!$A:$A, 0))-INDEX('KZ-normalized'!$E:$E, MATCH($A149, 'KZ-normalized'!$A:$A, 0))), 0), 0))+(IFERROR(IF(25*INDEX('UZ-normalized'!$D:$D, MATCH($A149, 'UZ-normalized'!$A:$A, 0))-INDEX('UZ-normalized'!$E:$E, MATCH($A149, 'UZ-normalized'!$A:$A, 0))&gt;0, -(25*INDEX('UZ-normalized'!$D:$D, MATCH($A149, 'UZ-normalized'!$A:$A, 0))-INDEX('UZ-normalized'!$E:$E, MATCH($A149, 'UZ-normalized'!$A:$A, 0))), 0), 0)))</f>
        <v>-2550</v>
      </c>
      <c r="AN149" s="6">
        <f>MIN(0, N149+(IFERROR(IF(26*INDEX('UA-normalized'!$D:$D, MATCH($A149, 'UA-normalized'!$A:$A, 0))-INDEX('UA-normalized'!$E:$E, MATCH($A149, 'UA-normalized'!$A:$A, 0))&gt;0, -(26*INDEX('UA-normalized'!$D:$D, MATCH($A149, 'UA-normalized'!$A:$A, 0))-INDEX('UA-normalized'!$E:$E, MATCH($A149, 'UA-normalized'!$A:$A, 0))), 0), 0))+(IFERROR(IF(26*INDEX('KZ-normalized'!$D:$D, MATCH($A149, 'KZ-normalized'!$A:$A, 0))-INDEX('KZ-normalized'!$E:$E, MATCH($A149, 'KZ-normalized'!$A:$A, 0))&gt;0, -(26*INDEX('KZ-normalized'!$D:$D, MATCH($A149, 'KZ-normalized'!$A:$A, 0))-INDEX('KZ-normalized'!$E:$E, MATCH($A149, 'KZ-normalized'!$A:$A, 0))), 0), 0))+(IFERROR(IF(26*INDEX('UZ-normalized'!$D:$D, MATCH($A149, 'UZ-normalized'!$A:$A, 0))-INDEX('UZ-normalized'!$E:$E, MATCH($A149, 'UZ-normalized'!$A:$A, 0))&gt;0, -(26*INDEX('UZ-normalized'!$D:$D, MATCH($A149, 'UZ-normalized'!$A:$A, 0))-INDEX('UZ-normalized'!$E:$E, MATCH($A149, 'UZ-normalized'!$A:$A, 0))), 0), 0)))</f>
        <v>-2751</v>
      </c>
      <c r="AO149" s="6">
        <f>MIN(0, N149+(IFERROR(IF(27*INDEX('UA-normalized'!$D:$D, MATCH($A149, 'UA-normalized'!$A:$A, 0))-INDEX('UA-normalized'!$E:$E, MATCH($A149, 'UA-normalized'!$A:$A, 0))&gt;0, -(27*INDEX('UA-normalized'!$D:$D, MATCH($A149, 'UA-normalized'!$A:$A, 0))-INDEX('UA-normalized'!$E:$E, MATCH($A149, 'UA-normalized'!$A:$A, 0))), 0), 0))+(IFERROR(IF(27*INDEX('KZ-normalized'!$D:$D, MATCH($A149, 'KZ-normalized'!$A:$A, 0))-INDEX('KZ-normalized'!$E:$E, MATCH($A149, 'KZ-normalized'!$A:$A, 0))&gt;0, -(27*INDEX('KZ-normalized'!$D:$D, MATCH($A149, 'KZ-normalized'!$A:$A, 0))-INDEX('KZ-normalized'!$E:$E, MATCH($A149, 'KZ-normalized'!$A:$A, 0))), 0), 0))+(IFERROR(IF(27*INDEX('UZ-normalized'!$D:$D, MATCH($A149, 'UZ-normalized'!$A:$A, 0))-INDEX('UZ-normalized'!$E:$E, MATCH($A149, 'UZ-normalized'!$A:$A, 0))&gt;0, -(27*INDEX('UZ-normalized'!$D:$D, MATCH($A149, 'UZ-normalized'!$A:$A, 0))-INDEX('UZ-normalized'!$E:$E, MATCH($A149, 'UZ-normalized'!$A:$A, 0))), 0), 0)))</f>
        <v>-2952</v>
      </c>
      <c r="AP149" s="6">
        <f>MIN(0, N149+(IFERROR(IF(28*INDEX('UA-normalized'!$D:$D, MATCH($A149, 'UA-normalized'!$A:$A, 0))-INDEX('UA-normalized'!$E:$E, MATCH($A149, 'UA-normalized'!$A:$A, 0))&gt;0, -(28*INDEX('UA-normalized'!$D:$D, MATCH($A149, 'UA-normalized'!$A:$A, 0))-INDEX('UA-normalized'!$E:$E, MATCH($A149, 'UA-normalized'!$A:$A, 0))), 0), 0))+(IFERROR(IF(28*INDEX('KZ-normalized'!$D:$D, MATCH($A149, 'KZ-normalized'!$A:$A, 0))-INDEX('KZ-normalized'!$E:$E, MATCH($A149, 'KZ-normalized'!$A:$A, 0))&gt;0, -(28*INDEX('KZ-normalized'!$D:$D, MATCH($A149, 'KZ-normalized'!$A:$A, 0))-INDEX('KZ-normalized'!$E:$E, MATCH($A149, 'KZ-normalized'!$A:$A, 0))), 0), 0))+(IFERROR(IF(28*INDEX('UZ-normalized'!$D:$D, MATCH($A149, 'UZ-normalized'!$A:$A, 0))-INDEX('UZ-normalized'!$E:$E, MATCH($A149, 'UZ-normalized'!$A:$A, 0))&gt;0, -(28*INDEX('UZ-normalized'!$D:$D, MATCH($A149, 'UZ-normalized'!$A:$A, 0))-INDEX('UZ-normalized'!$E:$E, MATCH($A149, 'UZ-normalized'!$A:$A, 0))), 0), 0)))</f>
        <v>-3153</v>
      </c>
      <c r="AQ149" s="6">
        <f>MIN(0, N149+(IFERROR(IF(29*INDEX('UA-normalized'!$D:$D, MATCH($A149, 'UA-normalized'!$A:$A, 0))-INDEX('UA-normalized'!$E:$E, MATCH($A149, 'UA-normalized'!$A:$A, 0))&gt;0, -(29*INDEX('UA-normalized'!$D:$D, MATCH($A149, 'UA-normalized'!$A:$A, 0))-INDEX('UA-normalized'!$E:$E, MATCH($A149, 'UA-normalized'!$A:$A, 0))), 0), 0))+(IFERROR(IF(29*INDEX('KZ-normalized'!$D:$D, MATCH($A149, 'KZ-normalized'!$A:$A, 0))-INDEX('KZ-normalized'!$E:$E, MATCH($A149, 'KZ-normalized'!$A:$A, 0))&gt;0, -(29*INDEX('KZ-normalized'!$D:$D, MATCH($A149, 'KZ-normalized'!$A:$A, 0))-INDEX('KZ-normalized'!$E:$E, MATCH($A149, 'KZ-normalized'!$A:$A, 0))), 0), 0))+(IFERROR(IF(29*INDEX('UZ-normalized'!$D:$D, MATCH($A149, 'UZ-normalized'!$A:$A, 0))-INDEX('UZ-normalized'!$E:$E, MATCH($A149, 'UZ-normalized'!$A:$A, 0))&gt;0, -(29*INDEX('UZ-normalized'!$D:$D, MATCH($A149, 'UZ-normalized'!$A:$A, 0))-INDEX('UZ-normalized'!$E:$E, MATCH($A149, 'UZ-normalized'!$A:$A, 0))), 0), 0)))</f>
        <v>-3354</v>
      </c>
      <c r="AR149" s="6">
        <f>MIN(0, N149+(IFERROR(IF(30*INDEX('UA-normalized'!$D:$D, MATCH($A149, 'UA-normalized'!$A:$A, 0))-INDEX('UA-normalized'!$E:$E, MATCH($A149, 'UA-normalized'!$A:$A, 0))&gt;0, -(30*INDEX('UA-normalized'!$D:$D, MATCH($A149, 'UA-normalized'!$A:$A, 0))-INDEX('UA-normalized'!$E:$E, MATCH($A149, 'UA-normalized'!$A:$A, 0))), 0), 0))+(IFERROR(IF(30*INDEX('KZ-normalized'!$D:$D, MATCH($A149, 'KZ-normalized'!$A:$A, 0))-INDEX('KZ-normalized'!$E:$E, MATCH($A149, 'KZ-normalized'!$A:$A, 0))&gt;0, -(30*INDEX('KZ-normalized'!$D:$D, MATCH($A149, 'KZ-normalized'!$A:$A, 0))-INDEX('KZ-normalized'!$E:$E, MATCH($A149, 'KZ-normalized'!$A:$A, 0))), 0), 0))+(IFERROR(IF(30*INDEX('UZ-normalized'!$D:$D, MATCH($A149, 'UZ-normalized'!$A:$A, 0))-INDEX('UZ-normalized'!$E:$E, MATCH($A149, 'UZ-normalized'!$A:$A, 0))&gt;0, -(30*INDEX('UZ-normalized'!$D:$D, MATCH($A149, 'UZ-normalized'!$A:$A, 0))-INDEX('UZ-normalized'!$E:$E, MATCH($A149, 'UZ-normalized'!$A:$A, 0))), 0), 0)))</f>
        <v>-3555</v>
      </c>
    </row>
    <row r="150" spans="1:44" x14ac:dyDescent="0.25">
      <c r="A150" s="8" t="s">
        <v>362</v>
      </c>
      <c r="B150" s="8" t="s">
        <v>363</v>
      </c>
      <c r="C150" s="8" t="s">
        <v>364</v>
      </c>
      <c r="D150" s="8" t="s">
        <v>365</v>
      </c>
      <c r="G150">
        <v>-50</v>
      </c>
      <c r="N150">
        <f t="shared" si="2"/>
        <v>-50</v>
      </c>
      <c r="O150" s="6">
        <f>MIN(0, N150+(IFERROR(IF(1*INDEX('UA-normalized'!$D:$D, MATCH($A150, 'UA-normalized'!$A:$A, 0))-INDEX('UA-normalized'!$E:$E, MATCH($A150, 'UA-normalized'!$A:$A, 0))&gt;0, -(1*INDEX('UA-normalized'!$D:$D, MATCH($A150, 'UA-normalized'!$A:$A, 0))-INDEX('UA-normalized'!$E:$E, MATCH($A150, 'UA-normalized'!$A:$A, 0))), 0), 0))+(IFERROR(IF(1*INDEX('KZ-normalized'!$D:$D, MATCH($A150, 'KZ-normalized'!$A:$A, 0))-INDEX('KZ-normalized'!$E:$E, MATCH($A150, 'KZ-normalized'!$A:$A, 0))&gt;0, -(1*INDEX('KZ-normalized'!$D:$D, MATCH($A150, 'KZ-normalized'!$A:$A, 0))-INDEX('KZ-normalized'!$E:$E, MATCH($A150, 'KZ-normalized'!$A:$A, 0))), 0), 0))+(IFERROR(IF(1*INDEX('UZ-normalized'!$D:$D, MATCH($A150, 'UZ-normalized'!$A:$A, 0))-INDEX('UZ-normalized'!$E:$E, MATCH($A150, 'UZ-normalized'!$A:$A, 0))&gt;0, -(1*INDEX('UZ-normalized'!$D:$D, MATCH($A150, 'UZ-normalized'!$A:$A, 0))-INDEX('UZ-normalized'!$E:$E, MATCH($A150, 'UZ-normalized'!$A:$A, 0))), 0), 0)))</f>
        <v>-50</v>
      </c>
      <c r="P150" s="6">
        <f>MIN(0, N150+(IFERROR(IF(2*INDEX('UA-normalized'!$D:$D, MATCH($A150, 'UA-normalized'!$A:$A, 0))-INDEX('UA-normalized'!$E:$E, MATCH($A150, 'UA-normalized'!$A:$A, 0))&gt;0, -(2*INDEX('UA-normalized'!$D:$D, MATCH($A150, 'UA-normalized'!$A:$A, 0))-INDEX('UA-normalized'!$E:$E, MATCH($A150, 'UA-normalized'!$A:$A, 0))), 0), 0))+(IFERROR(IF(2*INDEX('KZ-normalized'!$D:$D, MATCH($A150, 'KZ-normalized'!$A:$A, 0))-INDEX('KZ-normalized'!$E:$E, MATCH($A150, 'KZ-normalized'!$A:$A, 0))&gt;0, -(2*INDEX('KZ-normalized'!$D:$D, MATCH($A150, 'KZ-normalized'!$A:$A, 0))-INDEX('KZ-normalized'!$E:$E, MATCH($A150, 'KZ-normalized'!$A:$A, 0))), 0), 0))+(IFERROR(IF(2*INDEX('UZ-normalized'!$D:$D, MATCH($A150, 'UZ-normalized'!$A:$A, 0))-INDEX('UZ-normalized'!$E:$E, MATCH($A150, 'UZ-normalized'!$A:$A, 0))&gt;0, -(2*INDEX('UZ-normalized'!$D:$D, MATCH($A150, 'UZ-normalized'!$A:$A, 0))-INDEX('UZ-normalized'!$E:$E, MATCH($A150, 'UZ-normalized'!$A:$A, 0))), 0), 0)))</f>
        <v>-50</v>
      </c>
      <c r="Q150" s="6">
        <f>MIN(0, N150+(IFERROR(IF(3*INDEX('UA-normalized'!$D:$D, MATCH($A150, 'UA-normalized'!$A:$A, 0))-INDEX('UA-normalized'!$E:$E, MATCH($A150, 'UA-normalized'!$A:$A, 0))&gt;0, -(3*INDEX('UA-normalized'!$D:$D, MATCH($A150, 'UA-normalized'!$A:$A, 0))-INDEX('UA-normalized'!$E:$E, MATCH($A150, 'UA-normalized'!$A:$A, 0))), 0), 0))+(IFERROR(IF(3*INDEX('KZ-normalized'!$D:$D, MATCH($A150, 'KZ-normalized'!$A:$A, 0))-INDEX('KZ-normalized'!$E:$E, MATCH($A150, 'KZ-normalized'!$A:$A, 0))&gt;0, -(3*INDEX('KZ-normalized'!$D:$D, MATCH($A150, 'KZ-normalized'!$A:$A, 0))-INDEX('KZ-normalized'!$E:$E, MATCH($A150, 'KZ-normalized'!$A:$A, 0))), 0), 0))+(IFERROR(IF(3*INDEX('UZ-normalized'!$D:$D, MATCH($A150, 'UZ-normalized'!$A:$A, 0))-INDEX('UZ-normalized'!$E:$E, MATCH($A150, 'UZ-normalized'!$A:$A, 0))&gt;0, -(3*INDEX('UZ-normalized'!$D:$D, MATCH($A150, 'UZ-normalized'!$A:$A, 0))-INDEX('UZ-normalized'!$E:$E, MATCH($A150, 'UZ-normalized'!$A:$A, 0))), 0), 0)))</f>
        <v>-50</v>
      </c>
      <c r="R150" s="6">
        <f>MIN(0, N150+(IFERROR(IF(4*INDEX('UA-normalized'!$D:$D, MATCH($A150, 'UA-normalized'!$A:$A, 0))-INDEX('UA-normalized'!$E:$E, MATCH($A150, 'UA-normalized'!$A:$A, 0))&gt;0, -(4*INDEX('UA-normalized'!$D:$D, MATCH($A150, 'UA-normalized'!$A:$A, 0))-INDEX('UA-normalized'!$E:$E, MATCH($A150, 'UA-normalized'!$A:$A, 0))), 0), 0))+(IFERROR(IF(4*INDEX('KZ-normalized'!$D:$D, MATCH($A150, 'KZ-normalized'!$A:$A, 0))-INDEX('KZ-normalized'!$E:$E, MATCH($A150, 'KZ-normalized'!$A:$A, 0))&gt;0, -(4*INDEX('KZ-normalized'!$D:$D, MATCH($A150, 'KZ-normalized'!$A:$A, 0))-INDEX('KZ-normalized'!$E:$E, MATCH($A150, 'KZ-normalized'!$A:$A, 0))), 0), 0))+(IFERROR(IF(4*INDEX('UZ-normalized'!$D:$D, MATCH($A150, 'UZ-normalized'!$A:$A, 0))-INDEX('UZ-normalized'!$E:$E, MATCH($A150, 'UZ-normalized'!$A:$A, 0))&gt;0, -(4*INDEX('UZ-normalized'!$D:$D, MATCH($A150, 'UZ-normalized'!$A:$A, 0))-INDEX('UZ-normalized'!$E:$E, MATCH($A150, 'UZ-normalized'!$A:$A, 0))), 0), 0)))</f>
        <v>-50</v>
      </c>
      <c r="S150" s="6">
        <f>MIN(0, N150+(IFERROR(IF(5*INDEX('UA-normalized'!$D:$D, MATCH($A150, 'UA-normalized'!$A:$A, 0))-INDEX('UA-normalized'!$E:$E, MATCH($A150, 'UA-normalized'!$A:$A, 0))&gt;0, -(5*INDEX('UA-normalized'!$D:$D, MATCH($A150, 'UA-normalized'!$A:$A, 0))-INDEX('UA-normalized'!$E:$E, MATCH($A150, 'UA-normalized'!$A:$A, 0))), 0), 0))+(IFERROR(IF(5*INDEX('KZ-normalized'!$D:$D, MATCH($A150, 'KZ-normalized'!$A:$A, 0))-INDEX('KZ-normalized'!$E:$E, MATCH($A150, 'KZ-normalized'!$A:$A, 0))&gt;0, -(5*INDEX('KZ-normalized'!$D:$D, MATCH($A150, 'KZ-normalized'!$A:$A, 0))-INDEX('KZ-normalized'!$E:$E, MATCH($A150, 'KZ-normalized'!$A:$A, 0))), 0), 0))+(IFERROR(IF(5*INDEX('UZ-normalized'!$D:$D, MATCH($A150, 'UZ-normalized'!$A:$A, 0))-INDEX('UZ-normalized'!$E:$E, MATCH($A150, 'UZ-normalized'!$A:$A, 0))&gt;0, -(5*INDEX('UZ-normalized'!$D:$D, MATCH($A150, 'UZ-normalized'!$A:$A, 0))-INDEX('UZ-normalized'!$E:$E, MATCH($A150, 'UZ-normalized'!$A:$A, 0))), 0), 0)))</f>
        <v>-50</v>
      </c>
      <c r="T150" s="6">
        <f>MIN(0, N150+(IFERROR(IF(6*INDEX('UA-normalized'!$D:$D, MATCH($A150, 'UA-normalized'!$A:$A, 0))-INDEX('UA-normalized'!$E:$E, MATCH($A150, 'UA-normalized'!$A:$A, 0))&gt;0, -(6*INDEX('UA-normalized'!$D:$D, MATCH($A150, 'UA-normalized'!$A:$A, 0))-INDEX('UA-normalized'!$E:$E, MATCH($A150, 'UA-normalized'!$A:$A, 0))), 0), 0))+(IFERROR(IF(6*INDEX('KZ-normalized'!$D:$D, MATCH($A150, 'KZ-normalized'!$A:$A, 0))-INDEX('KZ-normalized'!$E:$E, MATCH($A150, 'KZ-normalized'!$A:$A, 0))&gt;0, -(6*INDEX('KZ-normalized'!$D:$D, MATCH($A150, 'KZ-normalized'!$A:$A, 0))-INDEX('KZ-normalized'!$E:$E, MATCH($A150, 'KZ-normalized'!$A:$A, 0))), 0), 0))+(IFERROR(IF(6*INDEX('UZ-normalized'!$D:$D, MATCH($A150, 'UZ-normalized'!$A:$A, 0))-INDEX('UZ-normalized'!$E:$E, MATCH($A150, 'UZ-normalized'!$A:$A, 0))&gt;0, -(6*INDEX('UZ-normalized'!$D:$D, MATCH($A150, 'UZ-normalized'!$A:$A, 0))-INDEX('UZ-normalized'!$E:$E, MATCH($A150, 'UZ-normalized'!$A:$A, 0))), 0), 0)))</f>
        <v>-59.200000000000045</v>
      </c>
      <c r="U150" s="6">
        <f>MIN(0, N150+(IFERROR(IF(7*INDEX('UA-normalized'!$D:$D, MATCH($A150, 'UA-normalized'!$A:$A, 0))-INDEX('UA-normalized'!$E:$E, MATCH($A150, 'UA-normalized'!$A:$A, 0))&gt;0, -(7*INDEX('UA-normalized'!$D:$D, MATCH($A150, 'UA-normalized'!$A:$A, 0))-INDEX('UA-normalized'!$E:$E, MATCH($A150, 'UA-normalized'!$A:$A, 0))), 0), 0))+(IFERROR(IF(7*INDEX('KZ-normalized'!$D:$D, MATCH($A150, 'KZ-normalized'!$A:$A, 0))-INDEX('KZ-normalized'!$E:$E, MATCH($A150, 'KZ-normalized'!$A:$A, 0))&gt;0, -(7*INDEX('KZ-normalized'!$D:$D, MATCH($A150, 'KZ-normalized'!$A:$A, 0))-INDEX('KZ-normalized'!$E:$E, MATCH($A150, 'KZ-normalized'!$A:$A, 0))), 0), 0))+(IFERROR(IF(7*INDEX('UZ-normalized'!$D:$D, MATCH($A150, 'UZ-normalized'!$A:$A, 0))-INDEX('UZ-normalized'!$E:$E, MATCH($A150, 'UZ-normalized'!$A:$A, 0))&gt;0, -(7*INDEX('UZ-normalized'!$D:$D, MATCH($A150, 'UZ-normalized'!$A:$A, 0))-INDEX('UZ-normalized'!$E:$E, MATCH($A150, 'UZ-normalized'!$A:$A, 0))), 0), 0)))</f>
        <v>-113.40000000000003</v>
      </c>
      <c r="V150" s="6">
        <f>MIN(0, N150+(IFERROR(IF(8*INDEX('UA-normalized'!$D:$D, MATCH($A150, 'UA-normalized'!$A:$A, 0))-INDEX('UA-normalized'!$E:$E, MATCH($A150, 'UA-normalized'!$A:$A, 0))&gt;0, -(8*INDEX('UA-normalized'!$D:$D, MATCH($A150, 'UA-normalized'!$A:$A, 0))-INDEX('UA-normalized'!$E:$E, MATCH($A150, 'UA-normalized'!$A:$A, 0))), 0), 0))+(IFERROR(IF(8*INDEX('KZ-normalized'!$D:$D, MATCH($A150, 'KZ-normalized'!$A:$A, 0))-INDEX('KZ-normalized'!$E:$E, MATCH($A150, 'KZ-normalized'!$A:$A, 0))&gt;0, -(8*INDEX('KZ-normalized'!$D:$D, MATCH($A150, 'KZ-normalized'!$A:$A, 0))-INDEX('KZ-normalized'!$E:$E, MATCH($A150, 'KZ-normalized'!$A:$A, 0))), 0), 0))+(IFERROR(IF(8*INDEX('UZ-normalized'!$D:$D, MATCH($A150, 'UZ-normalized'!$A:$A, 0))-INDEX('UZ-normalized'!$E:$E, MATCH($A150, 'UZ-normalized'!$A:$A, 0))&gt;0, -(8*INDEX('UZ-normalized'!$D:$D, MATCH($A150, 'UZ-normalized'!$A:$A, 0))-INDEX('UZ-normalized'!$E:$E, MATCH($A150, 'UZ-normalized'!$A:$A, 0))), 0), 0)))</f>
        <v>-167.60000000000002</v>
      </c>
      <c r="W150" s="6">
        <f>MIN(0, N150+(IFERROR(IF(9*INDEX('UA-normalized'!$D:$D, MATCH($A150, 'UA-normalized'!$A:$A, 0))-INDEX('UA-normalized'!$E:$E, MATCH($A150, 'UA-normalized'!$A:$A, 0))&gt;0, -(9*INDEX('UA-normalized'!$D:$D, MATCH($A150, 'UA-normalized'!$A:$A, 0))-INDEX('UA-normalized'!$E:$E, MATCH($A150, 'UA-normalized'!$A:$A, 0))), 0), 0))+(IFERROR(IF(9*INDEX('KZ-normalized'!$D:$D, MATCH($A150, 'KZ-normalized'!$A:$A, 0))-INDEX('KZ-normalized'!$E:$E, MATCH($A150, 'KZ-normalized'!$A:$A, 0))&gt;0, -(9*INDEX('KZ-normalized'!$D:$D, MATCH($A150, 'KZ-normalized'!$A:$A, 0))-INDEX('KZ-normalized'!$E:$E, MATCH($A150, 'KZ-normalized'!$A:$A, 0))), 0), 0))+(IFERROR(IF(9*INDEX('UZ-normalized'!$D:$D, MATCH($A150, 'UZ-normalized'!$A:$A, 0))-INDEX('UZ-normalized'!$E:$E, MATCH($A150, 'UZ-normalized'!$A:$A, 0))&gt;0, -(9*INDEX('UZ-normalized'!$D:$D, MATCH($A150, 'UZ-normalized'!$A:$A, 0))-INDEX('UZ-normalized'!$E:$E, MATCH($A150, 'UZ-normalized'!$A:$A, 0))), 0), 0)))</f>
        <v>-225.8</v>
      </c>
      <c r="X150" s="6">
        <f>MIN(0, N150+(IFERROR(IF(10*INDEX('UA-normalized'!$D:$D, MATCH($A150, 'UA-normalized'!$A:$A, 0))-INDEX('UA-normalized'!$E:$E, MATCH($A150, 'UA-normalized'!$A:$A, 0))&gt;0, -(10*INDEX('UA-normalized'!$D:$D, MATCH($A150, 'UA-normalized'!$A:$A, 0))-INDEX('UA-normalized'!$E:$E, MATCH($A150, 'UA-normalized'!$A:$A, 0))), 0), 0))+(IFERROR(IF(10*INDEX('KZ-normalized'!$D:$D, MATCH($A150, 'KZ-normalized'!$A:$A, 0))-INDEX('KZ-normalized'!$E:$E, MATCH($A150, 'KZ-normalized'!$A:$A, 0))&gt;0, -(10*INDEX('KZ-normalized'!$D:$D, MATCH($A150, 'KZ-normalized'!$A:$A, 0))-INDEX('KZ-normalized'!$E:$E, MATCH($A150, 'KZ-normalized'!$A:$A, 0))), 0), 0))+(IFERROR(IF(10*INDEX('UZ-normalized'!$D:$D, MATCH($A150, 'UZ-normalized'!$A:$A, 0))-INDEX('UZ-normalized'!$E:$E, MATCH($A150, 'UZ-normalized'!$A:$A, 0))&gt;0, -(10*INDEX('UZ-normalized'!$D:$D, MATCH($A150, 'UZ-normalized'!$A:$A, 0))-INDEX('UZ-normalized'!$E:$E, MATCH($A150, 'UZ-normalized'!$A:$A, 0))), 0), 0)))</f>
        <v>-286</v>
      </c>
      <c r="Y150" s="6">
        <f>MIN(0, N150+(IFERROR(IF(11*INDEX('UA-normalized'!$D:$D, MATCH($A150, 'UA-normalized'!$A:$A, 0))-INDEX('UA-normalized'!$E:$E, MATCH($A150, 'UA-normalized'!$A:$A, 0))&gt;0, -(11*INDEX('UA-normalized'!$D:$D, MATCH($A150, 'UA-normalized'!$A:$A, 0))-INDEX('UA-normalized'!$E:$E, MATCH($A150, 'UA-normalized'!$A:$A, 0))), 0), 0))+(IFERROR(IF(11*INDEX('KZ-normalized'!$D:$D, MATCH($A150, 'KZ-normalized'!$A:$A, 0))-INDEX('KZ-normalized'!$E:$E, MATCH($A150, 'KZ-normalized'!$A:$A, 0))&gt;0, -(11*INDEX('KZ-normalized'!$D:$D, MATCH($A150, 'KZ-normalized'!$A:$A, 0))-INDEX('KZ-normalized'!$E:$E, MATCH($A150, 'KZ-normalized'!$A:$A, 0))), 0), 0))+(IFERROR(IF(11*INDEX('UZ-normalized'!$D:$D, MATCH($A150, 'UZ-normalized'!$A:$A, 0))-INDEX('UZ-normalized'!$E:$E, MATCH($A150, 'UZ-normalized'!$A:$A, 0))&gt;0, -(11*INDEX('UZ-normalized'!$D:$D, MATCH($A150, 'UZ-normalized'!$A:$A, 0))-INDEX('UZ-normalized'!$E:$E, MATCH($A150, 'UZ-normalized'!$A:$A, 0))), 0), 0)))</f>
        <v>-346.20000000000005</v>
      </c>
      <c r="Z150" s="6">
        <f>MIN(0, N150+(IFERROR(IF(12*INDEX('UA-normalized'!$D:$D, MATCH($A150, 'UA-normalized'!$A:$A, 0))-INDEX('UA-normalized'!$E:$E, MATCH($A150, 'UA-normalized'!$A:$A, 0))&gt;0, -(12*INDEX('UA-normalized'!$D:$D, MATCH($A150, 'UA-normalized'!$A:$A, 0))-INDEX('UA-normalized'!$E:$E, MATCH($A150, 'UA-normalized'!$A:$A, 0))), 0), 0))+(IFERROR(IF(12*INDEX('KZ-normalized'!$D:$D, MATCH($A150, 'KZ-normalized'!$A:$A, 0))-INDEX('KZ-normalized'!$E:$E, MATCH($A150, 'KZ-normalized'!$A:$A, 0))&gt;0, -(12*INDEX('KZ-normalized'!$D:$D, MATCH($A150, 'KZ-normalized'!$A:$A, 0))-INDEX('KZ-normalized'!$E:$E, MATCH($A150, 'KZ-normalized'!$A:$A, 0))), 0), 0))+(IFERROR(IF(12*INDEX('UZ-normalized'!$D:$D, MATCH($A150, 'UZ-normalized'!$A:$A, 0))-INDEX('UZ-normalized'!$E:$E, MATCH($A150, 'UZ-normalized'!$A:$A, 0))&gt;0, -(12*INDEX('UZ-normalized'!$D:$D, MATCH($A150, 'UZ-normalized'!$A:$A, 0))-INDEX('UZ-normalized'!$E:$E, MATCH($A150, 'UZ-normalized'!$A:$A, 0))), 0), 0)))</f>
        <v>-406.40000000000009</v>
      </c>
      <c r="AA150" s="6">
        <f>MIN(0, N150+(IFERROR(IF(13*INDEX('UA-normalized'!$D:$D, MATCH($A150, 'UA-normalized'!$A:$A, 0))-INDEX('UA-normalized'!$E:$E, MATCH($A150, 'UA-normalized'!$A:$A, 0))&gt;0, -(13*INDEX('UA-normalized'!$D:$D, MATCH($A150, 'UA-normalized'!$A:$A, 0))-INDEX('UA-normalized'!$E:$E, MATCH($A150, 'UA-normalized'!$A:$A, 0))), 0), 0))+(IFERROR(IF(13*INDEX('KZ-normalized'!$D:$D, MATCH($A150, 'KZ-normalized'!$A:$A, 0))-INDEX('KZ-normalized'!$E:$E, MATCH($A150, 'KZ-normalized'!$A:$A, 0))&gt;0, -(13*INDEX('KZ-normalized'!$D:$D, MATCH($A150, 'KZ-normalized'!$A:$A, 0))-INDEX('KZ-normalized'!$E:$E, MATCH($A150, 'KZ-normalized'!$A:$A, 0))), 0), 0))+(IFERROR(IF(13*INDEX('UZ-normalized'!$D:$D, MATCH($A150, 'UZ-normalized'!$A:$A, 0))-INDEX('UZ-normalized'!$E:$E, MATCH($A150, 'UZ-normalized'!$A:$A, 0))&gt;0, -(13*INDEX('UZ-normalized'!$D:$D, MATCH($A150, 'UZ-normalized'!$A:$A, 0))-INDEX('UZ-normalized'!$E:$E, MATCH($A150, 'UZ-normalized'!$A:$A, 0))), 0), 0)))</f>
        <v>-466.6</v>
      </c>
      <c r="AB150" s="6">
        <f>MIN(0, N150+(IFERROR(IF(14*INDEX('UA-normalized'!$D:$D, MATCH($A150, 'UA-normalized'!$A:$A, 0))-INDEX('UA-normalized'!$E:$E, MATCH($A150, 'UA-normalized'!$A:$A, 0))&gt;0, -(14*INDEX('UA-normalized'!$D:$D, MATCH($A150, 'UA-normalized'!$A:$A, 0))-INDEX('UA-normalized'!$E:$E, MATCH($A150, 'UA-normalized'!$A:$A, 0))), 0), 0))+(IFERROR(IF(14*INDEX('KZ-normalized'!$D:$D, MATCH($A150, 'KZ-normalized'!$A:$A, 0))-INDEX('KZ-normalized'!$E:$E, MATCH($A150, 'KZ-normalized'!$A:$A, 0))&gt;0, -(14*INDEX('KZ-normalized'!$D:$D, MATCH($A150, 'KZ-normalized'!$A:$A, 0))-INDEX('KZ-normalized'!$E:$E, MATCH($A150, 'KZ-normalized'!$A:$A, 0))), 0), 0))+(IFERROR(IF(14*INDEX('UZ-normalized'!$D:$D, MATCH($A150, 'UZ-normalized'!$A:$A, 0))-INDEX('UZ-normalized'!$E:$E, MATCH($A150, 'UZ-normalized'!$A:$A, 0))&gt;0, -(14*INDEX('UZ-normalized'!$D:$D, MATCH($A150, 'UZ-normalized'!$A:$A, 0))-INDEX('UZ-normalized'!$E:$E, MATCH($A150, 'UZ-normalized'!$A:$A, 0))), 0), 0)))</f>
        <v>-526.80000000000007</v>
      </c>
      <c r="AC150" s="6">
        <f>MIN(0, N150+(IFERROR(IF(15*INDEX('UA-normalized'!$D:$D, MATCH($A150, 'UA-normalized'!$A:$A, 0))-INDEX('UA-normalized'!$E:$E, MATCH($A150, 'UA-normalized'!$A:$A, 0))&gt;0, -(15*INDEX('UA-normalized'!$D:$D, MATCH($A150, 'UA-normalized'!$A:$A, 0))-INDEX('UA-normalized'!$E:$E, MATCH($A150, 'UA-normalized'!$A:$A, 0))), 0), 0))+(IFERROR(IF(15*INDEX('KZ-normalized'!$D:$D, MATCH($A150, 'KZ-normalized'!$A:$A, 0))-INDEX('KZ-normalized'!$E:$E, MATCH($A150, 'KZ-normalized'!$A:$A, 0))&gt;0, -(15*INDEX('KZ-normalized'!$D:$D, MATCH($A150, 'KZ-normalized'!$A:$A, 0))-INDEX('KZ-normalized'!$E:$E, MATCH($A150, 'KZ-normalized'!$A:$A, 0))), 0), 0))+(IFERROR(IF(15*INDEX('UZ-normalized'!$D:$D, MATCH($A150, 'UZ-normalized'!$A:$A, 0))-INDEX('UZ-normalized'!$E:$E, MATCH($A150, 'UZ-normalized'!$A:$A, 0))&gt;0, -(15*INDEX('UZ-normalized'!$D:$D, MATCH($A150, 'UZ-normalized'!$A:$A, 0))-INDEX('UZ-normalized'!$E:$E, MATCH($A150, 'UZ-normalized'!$A:$A, 0))), 0), 0)))</f>
        <v>-587</v>
      </c>
      <c r="AD150" s="6">
        <f>MIN(0, N150+(IFERROR(IF(16*INDEX('UA-normalized'!$D:$D, MATCH($A150, 'UA-normalized'!$A:$A, 0))-INDEX('UA-normalized'!$E:$E, MATCH($A150, 'UA-normalized'!$A:$A, 0))&gt;0, -(16*INDEX('UA-normalized'!$D:$D, MATCH($A150, 'UA-normalized'!$A:$A, 0))-INDEX('UA-normalized'!$E:$E, MATCH($A150, 'UA-normalized'!$A:$A, 0))), 0), 0))+(IFERROR(IF(16*INDEX('KZ-normalized'!$D:$D, MATCH($A150, 'KZ-normalized'!$A:$A, 0))-INDEX('KZ-normalized'!$E:$E, MATCH($A150, 'KZ-normalized'!$A:$A, 0))&gt;0, -(16*INDEX('KZ-normalized'!$D:$D, MATCH($A150, 'KZ-normalized'!$A:$A, 0))-INDEX('KZ-normalized'!$E:$E, MATCH($A150, 'KZ-normalized'!$A:$A, 0))), 0), 0))+(IFERROR(IF(16*INDEX('UZ-normalized'!$D:$D, MATCH($A150, 'UZ-normalized'!$A:$A, 0))-INDEX('UZ-normalized'!$E:$E, MATCH($A150, 'UZ-normalized'!$A:$A, 0))&gt;0, -(16*INDEX('UZ-normalized'!$D:$D, MATCH($A150, 'UZ-normalized'!$A:$A, 0))-INDEX('UZ-normalized'!$E:$E, MATCH($A150, 'UZ-normalized'!$A:$A, 0))), 0), 0)))</f>
        <v>-647.20000000000005</v>
      </c>
      <c r="AE150" s="6">
        <f>MIN(0, N150+(IFERROR(IF(17*INDEX('UA-normalized'!$D:$D, MATCH($A150, 'UA-normalized'!$A:$A, 0))-INDEX('UA-normalized'!$E:$E, MATCH($A150, 'UA-normalized'!$A:$A, 0))&gt;0, -(17*INDEX('UA-normalized'!$D:$D, MATCH($A150, 'UA-normalized'!$A:$A, 0))-INDEX('UA-normalized'!$E:$E, MATCH($A150, 'UA-normalized'!$A:$A, 0))), 0), 0))+(IFERROR(IF(17*INDEX('KZ-normalized'!$D:$D, MATCH($A150, 'KZ-normalized'!$A:$A, 0))-INDEX('KZ-normalized'!$E:$E, MATCH($A150, 'KZ-normalized'!$A:$A, 0))&gt;0, -(17*INDEX('KZ-normalized'!$D:$D, MATCH($A150, 'KZ-normalized'!$A:$A, 0))-INDEX('KZ-normalized'!$E:$E, MATCH($A150, 'KZ-normalized'!$A:$A, 0))), 0), 0))+(IFERROR(IF(17*INDEX('UZ-normalized'!$D:$D, MATCH($A150, 'UZ-normalized'!$A:$A, 0))-INDEX('UZ-normalized'!$E:$E, MATCH($A150, 'UZ-normalized'!$A:$A, 0))&gt;0, -(17*INDEX('UZ-normalized'!$D:$D, MATCH($A150, 'UZ-normalized'!$A:$A, 0))-INDEX('UZ-normalized'!$E:$E, MATCH($A150, 'UZ-normalized'!$A:$A, 0))), 0), 0)))</f>
        <v>-707.90000000000009</v>
      </c>
      <c r="AF150" s="6">
        <f>MIN(0, N150+(IFERROR(IF(18*INDEX('UA-normalized'!$D:$D, MATCH($A150, 'UA-normalized'!$A:$A, 0))-INDEX('UA-normalized'!$E:$E, MATCH($A150, 'UA-normalized'!$A:$A, 0))&gt;0, -(18*INDEX('UA-normalized'!$D:$D, MATCH($A150, 'UA-normalized'!$A:$A, 0))-INDEX('UA-normalized'!$E:$E, MATCH($A150, 'UA-normalized'!$A:$A, 0))), 0), 0))+(IFERROR(IF(18*INDEX('KZ-normalized'!$D:$D, MATCH($A150, 'KZ-normalized'!$A:$A, 0))-INDEX('KZ-normalized'!$E:$E, MATCH($A150, 'KZ-normalized'!$A:$A, 0))&gt;0, -(18*INDEX('KZ-normalized'!$D:$D, MATCH($A150, 'KZ-normalized'!$A:$A, 0))-INDEX('KZ-normalized'!$E:$E, MATCH($A150, 'KZ-normalized'!$A:$A, 0))), 0), 0))+(IFERROR(IF(18*INDEX('UZ-normalized'!$D:$D, MATCH($A150, 'UZ-normalized'!$A:$A, 0))-INDEX('UZ-normalized'!$E:$E, MATCH($A150, 'UZ-normalized'!$A:$A, 0))&gt;0, -(18*INDEX('UZ-normalized'!$D:$D, MATCH($A150, 'UZ-normalized'!$A:$A, 0))-INDEX('UZ-normalized'!$E:$E, MATCH($A150, 'UZ-normalized'!$A:$A, 0))), 0), 0)))</f>
        <v>-768.6</v>
      </c>
      <c r="AG150" s="6">
        <f>MIN(0, N150+(IFERROR(IF(19*INDEX('UA-normalized'!$D:$D, MATCH($A150, 'UA-normalized'!$A:$A, 0))-INDEX('UA-normalized'!$E:$E, MATCH($A150, 'UA-normalized'!$A:$A, 0))&gt;0, -(19*INDEX('UA-normalized'!$D:$D, MATCH($A150, 'UA-normalized'!$A:$A, 0))-INDEX('UA-normalized'!$E:$E, MATCH($A150, 'UA-normalized'!$A:$A, 0))), 0), 0))+(IFERROR(IF(19*INDEX('KZ-normalized'!$D:$D, MATCH($A150, 'KZ-normalized'!$A:$A, 0))-INDEX('KZ-normalized'!$E:$E, MATCH($A150, 'KZ-normalized'!$A:$A, 0))&gt;0, -(19*INDEX('KZ-normalized'!$D:$D, MATCH($A150, 'KZ-normalized'!$A:$A, 0))-INDEX('KZ-normalized'!$E:$E, MATCH($A150, 'KZ-normalized'!$A:$A, 0))), 0), 0))+(IFERROR(IF(19*INDEX('UZ-normalized'!$D:$D, MATCH($A150, 'UZ-normalized'!$A:$A, 0))-INDEX('UZ-normalized'!$E:$E, MATCH($A150, 'UZ-normalized'!$A:$A, 0))&gt;0, -(19*INDEX('UZ-normalized'!$D:$D, MATCH($A150, 'UZ-normalized'!$A:$A, 0))-INDEX('UZ-normalized'!$E:$E, MATCH($A150, 'UZ-normalized'!$A:$A, 0))), 0), 0)))</f>
        <v>-829.3</v>
      </c>
      <c r="AH150" s="6">
        <f>MIN(0, N150+(IFERROR(IF(20*INDEX('UA-normalized'!$D:$D, MATCH($A150, 'UA-normalized'!$A:$A, 0))-INDEX('UA-normalized'!$E:$E, MATCH($A150, 'UA-normalized'!$A:$A, 0))&gt;0, -(20*INDEX('UA-normalized'!$D:$D, MATCH($A150, 'UA-normalized'!$A:$A, 0))-INDEX('UA-normalized'!$E:$E, MATCH($A150, 'UA-normalized'!$A:$A, 0))), 0), 0))+(IFERROR(IF(20*INDEX('KZ-normalized'!$D:$D, MATCH($A150, 'KZ-normalized'!$A:$A, 0))-INDEX('KZ-normalized'!$E:$E, MATCH($A150, 'KZ-normalized'!$A:$A, 0))&gt;0, -(20*INDEX('KZ-normalized'!$D:$D, MATCH($A150, 'KZ-normalized'!$A:$A, 0))-INDEX('KZ-normalized'!$E:$E, MATCH($A150, 'KZ-normalized'!$A:$A, 0))), 0), 0))+(IFERROR(IF(20*INDEX('UZ-normalized'!$D:$D, MATCH($A150, 'UZ-normalized'!$A:$A, 0))-INDEX('UZ-normalized'!$E:$E, MATCH($A150, 'UZ-normalized'!$A:$A, 0))&gt;0, -(20*INDEX('UZ-normalized'!$D:$D, MATCH($A150, 'UZ-normalized'!$A:$A, 0))-INDEX('UZ-normalized'!$E:$E, MATCH($A150, 'UZ-normalized'!$A:$A, 0))), 0), 0)))</f>
        <v>-890</v>
      </c>
      <c r="AI150" s="6">
        <f>MIN(0, N150+(IFERROR(IF(21*INDEX('UA-normalized'!$D:$D, MATCH($A150, 'UA-normalized'!$A:$A, 0))-INDEX('UA-normalized'!$E:$E, MATCH($A150, 'UA-normalized'!$A:$A, 0))&gt;0, -(21*INDEX('UA-normalized'!$D:$D, MATCH($A150, 'UA-normalized'!$A:$A, 0))-INDEX('UA-normalized'!$E:$E, MATCH($A150, 'UA-normalized'!$A:$A, 0))), 0), 0))+(IFERROR(IF(21*INDEX('KZ-normalized'!$D:$D, MATCH($A150, 'KZ-normalized'!$A:$A, 0))-INDEX('KZ-normalized'!$E:$E, MATCH($A150, 'KZ-normalized'!$A:$A, 0))&gt;0, -(21*INDEX('KZ-normalized'!$D:$D, MATCH($A150, 'KZ-normalized'!$A:$A, 0))-INDEX('KZ-normalized'!$E:$E, MATCH($A150, 'KZ-normalized'!$A:$A, 0))), 0), 0))+(IFERROR(IF(21*INDEX('UZ-normalized'!$D:$D, MATCH($A150, 'UZ-normalized'!$A:$A, 0))-INDEX('UZ-normalized'!$E:$E, MATCH($A150, 'UZ-normalized'!$A:$A, 0))&gt;0, -(21*INDEX('UZ-normalized'!$D:$D, MATCH($A150, 'UZ-normalized'!$A:$A, 0))-INDEX('UZ-normalized'!$E:$E, MATCH($A150, 'UZ-normalized'!$A:$A, 0))), 0), 0)))</f>
        <v>-950.7</v>
      </c>
      <c r="AJ150" s="6">
        <f>MIN(0, N150+(IFERROR(IF(22*INDEX('UA-normalized'!$D:$D, MATCH($A150, 'UA-normalized'!$A:$A, 0))-INDEX('UA-normalized'!$E:$E, MATCH($A150, 'UA-normalized'!$A:$A, 0))&gt;0, -(22*INDEX('UA-normalized'!$D:$D, MATCH($A150, 'UA-normalized'!$A:$A, 0))-INDEX('UA-normalized'!$E:$E, MATCH($A150, 'UA-normalized'!$A:$A, 0))), 0), 0))+(IFERROR(IF(22*INDEX('KZ-normalized'!$D:$D, MATCH($A150, 'KZ-normalized'!$A:$A, 0))-INDEX('KZ-normalized'!$E:$E, MATCH($A150, 'KZ-normalized'!$A:$A, 0))&gt;0, -(22*INDEX('KZ-normalized'!$D:$D, MATCH($A150, 'KZ-normalized'!$A:$A, 0))-INDEX('KZ-normalized'!$E:$E, MATCH($A150, 'KZ-normalized'!$A:$A, 0))), 0), 0))+(IFERROR(IF(22*INDEX('UZ-normalized'!$D:$D, MATCH($A150, 'UZ-normalized'!$A:$A, 0))-INDEX('UZ-normalized'!$E:$E, MATCH($A150, 'UZ-normalized'!$A:$A, 0))&gt;0, -(22*INDEX('UZ-normalized'!$D:$D, MATCH($A150, 'UZ-normalized'!$A:$A, 0))-INDEX('UZ-normalized'!$E:$E, MATCH($A150, 'UZ-normalized'!$A:$A, 0))), 0), 0)))</f>
        <v>-1011.4000000000001</v>
      </c>
      <c r="AK150" s="6">
        <f>MIN(0, N150+(IFERROR(IF(23*INDEX('UA-normalized'!$D:$D, MATCH($A150, 'UA-normalized'!$A:$A, 0))-INDEX('UA-normalized'!$E:$E, MATCH($A150, 'UA-normalized'!$A:$A, 0))&gt;0, -(23*INDEX('UA-normalized'!$D:$D, MATCH($A150, 'UA-normalized'!$A:$A, 0))-INDEX('UA-normalized'!$E:$E, MATCH($A150, 'UA-normalized'!$A:$A, 0))), 0), 0))+(IFERROR(IF(23*INDEX('KZ-normalized'!$D:$D, MATCH($A150, 'KZ-normalized'!$A:$A, 0))-INDEX('KZ-normalized'!$E:$E, MATCH($A150, 'KZ-normalized'!$A:$A, 0))&gt;0, -(23*INDEX('KZ-normalized'!$D:$D, MATCH($A150, 'KZ-normalized'!$A:$A, 0))-INDEX('KZ-normalized'!$E:$E, MATCH($A150, 'KZ-normalized'!$A:$A, 0))), 0), 0))+(IFERROR(IF(23*INDEX('UZ-normalized'!$D:$D, MATCH($A150, 'UZ-normalized'!$A:$A, 0))-INDEX('UZ-normalized'!$E:$E, MATCH($A150, 'UZ-normalized'!$A:$A, 0))&gt;0, -(23*INDEX('UZ-normalized'!$D:$D, MATCH($A150, 'UZ-normalized'!$A:$A, 0))-INDEX('UZ-normalized'!$E:$E, MATCH($A150, 'UZ-normalized'!$A:$A, 0))), 0), 0)))</f>
        <v>-1072.1000000000001</v>
      </c>
      <c r="AL150" s="6">
        <f>MIN(0, N150+(IFERROR(IF(24*INDEX('UA-normalized'!$D:$D, MATCH($A150, 'UA-normalized'!$A:$A, 0))-INDEX('UA-normalized'!$E:$E, MATCH($A150, 'UA-normalized'!$A:$A, 0))&gt;0, -(24*INDEX('UA-normalized'!$D:$D, MATCH($A150, 'UA-normalized'!$A:$A, 0))-INDEX('UA-normalized'!$E:$E, MATCH($A150, 'UA-normalized'!$A:$A, 0))), 0), 0))+(IFERROR(IF(24*INDEX('KZ-normalized'!$D:$D, MATCH($A150, 'KZ-normalized'!$A:$A, 0))-INDEX('KZ-normalized'!$E:$E, MATCH($A150, 'KZ-normalized'!$A:$A, 0))&gt;0, -(24*INDEX('KZ-normalized'!$D:$D, MATCH($A150, 'KZ-normalized'!$A:$A, 0))-INDEX('KZ-normalized'!$E:$E, MATCH($A150, 'KZ-normalized'!$A:$A, 0))), 0), 0))+(IFERROR(IF(24*INDEX('UZ-normalized'!$D:$D, MATCH($A150, 'UZ-normalized'!$A:$A, 0))-INDEX('UZ-normalized'!$E:$E, MATCH($A150, 'UZ-normalized'!$A:$A, 0))&gt;0, -(24*INDEX('UZ-normalized'!$D:$D, MATCH($A150, 'UZ-normalized'!$A:$A, 0))-INDEX('UZ-normalized'!$E:$E, MATCH($A150, 'UZ-normalized'!$A:$A, 0))), 0), 0)))</f>
        <v>-1132.8000000000002</v>
      </c>
      <c r="AM150" s="6">
        <f>MIN(0, N150+(IFERROR(IF(25*INDEX('UA-normalized'!$D:$D, MATCH($A150, 'UA-normalized'!$A:$A, 0))-INDEX('UA-normalized'!$E:$E, MATCH($A150, 'UA-normalized'!$A:$A, 0))&gt;0, -(25*INDEX('UA-normalized'!$D:$D, MATCH($A150, 'UA-normalized'!$A:$A, 0))-INDEX('UA-normalized'!$E:$E, MATCH($A150, 'UA-normalized'!$A:$A, 0))), 0), 0))+(IFERROR(IF(25*INDEX('KZ-normalized'!$D:$D, MATCH($A150, 'KZ-normalized'!$A:$A, 0))-INDEX('KZ-normalized'!$E:$E, MATCH($A150, 'KZ-normalized'!$A:$A, 0))&gt;0, -(25*INDEX('KZ-normalized'!$D:$D, MATCH($A150, 'KZ-normalized'!$A:$A, 0))-INDEX('KZ-normalized'!$E:$E, MATCH($A150, 'KZ-normalized'!$A:$A, 0))), 0), 0))+(IFERROR(IF(25*INDEX('UZ-normalized'!$D:$D, MATCH($A150, 'UZ-normalized'!$A:$A, 0))-INDEX('UZ-normalized'!$E:$E, MATCH($A150, 'UZ-normalized'!$A:$A, 0))&gt;0, -(25*INDEX('UZ-normalized'!$D:$D, MATCH($A150, 'UZ-normalized'!$A:$A, 0))-INDEX('UZ-normalized'!$E:$E, MATCH($A150, 'UZ-normalized'!$A:$A, 0))), 0), 0)))</f>
        <v>-1193.5</v>
      </c>
      <c r="AN150" s="6">
        <f>MIN(0, N150+(IFERROR(IF(26*INDEX('UA-normalized'!$D:$D, MATCH($A150, 'UA-normalized'!$A:$A, 0))-INDEX('UA-normalized'!$E:$E, MATCH($A150, 'UA-normalized'!$A:$A, 0))&gt;0, -(26*INDEX('UA-normalized'!$D:$D, MATCH($A150, 'UA-normalized'!$A:$A, 0))-INDEX('UA-normalized'!$E:$E, MATCH($A150, 'UA-normalized'!$A:$A, 0))), 0), 0))+(IFERROR(IF(26*INDEX('KZ-normalized'!$D:$D, MATCH($A150, 'KZ-normalized'!$A:$A, 0))-INDEX('KZ-normalized'!$E:$E, MATCH($A150, 'KZ-normalized'!$A:$A, 0))&gt;0, -(26*INDEX('KZ-normalized'!$D:$D, MATCH($A150, 'KZ-normalized'!$A:$A, 0))-INDEX('KZ-normalized'!$E:$E, MATCH($A150, 'KZ-normalized'!$A:$A, 0))), 0), 0))+(IFERROR(IF(26*INDEX('UZ-normalized'!$D:$D, MATCH($A150, 'UZ-normalized'!$A:$A, 0))-INDEX('UZ-normalized'!$E:$E, MATCH($A150, 'UZ-normalized'!$A:$A, 0))&gt;0, -(26*INDEX('UZ-normalized'!$D:$D, MATCH($A150, 'UZ-normalized'!$A:$A, 0))-INDEX('UZ-normalized'!$E:$E, MATCH($A150, 'UZ-normalized'!$A:$A, 0))), 0), 0)))</f>
        <v>-1254.2</v>
      </c>
      <c r="AO150" s="6">
        <f>MIN(0, N150+(IFERROR(IF(27*INDEX('UA-normalized'!$D:$D, MATCH($A150, 'UA-normalized'!$A:$A, 0))-INDEX('UA-normalized'!$E:$E, MATCH($A150, 'UA-normalized'!$A:$A, 0))&gt;0, -(27*INDEX('UA-normalized'!$D:$D, MATCH($A150, 'UA-normalized'!$A:$A, 0))-INDEX('UA-normalized'!$E:$E, MATCH($A150, 'UA-normalized'!$A:$A, 0))), 0), 0))+(IFERROR(IF(27*INDEX('KZ-normalized'!$D:$D, MATCH($A150, 'KZ-normalized'!$A:$A, 0))-INDEX('KZ-normalized'!$E:$E, MATCH($A150, 'KZ-normalized'!$A:$A, 0))&gt;0, -(27*INDEX('KZ-normalized'!$D:$D, MATCH($A150, 'KZ-normalized'!$A:$A, 0))-INDEX('KZ-normalized'!$E:$E, MATCH($A150, 'KZ-normalized'!$A:$A, 0))), 0), 0))+(IFERROR(IF(27*INDEX('UZ-normalized'!$D:$D, MATCH($A150, 'UZ-normalized'!$A:$A, 0))-INDEX('UZ-normalized'!$E:$E, MATCH($A150, 'UZ-normalized'!$A:$A, 0))&gt;0, -(27*INDEX('UZ-normalized'!$D:$D, MATCH($A150, 'UZ-normalized'!$A:$A, 0))-INDEX('UZ-normalized'!$E:$E, MATCH($A150, 'UZ-normalized'!$A:$A, 0))), 0), 0)))</f>
        <v>-1314.9</v>
      </c>
      <c r="AP150" s="6">
        <f>MIN(0, N150+(IFERROR(IF(28*INDEX('UA-normalized'!$D:$D, MATCH($A150, 'UA-normalized'!$A:$A, 0))-INDEX('UA-normalized'!$E:$E, MATCH($A150, 'UA-normalized'!$A:$A, 0))&gt;0, -(28*INDEX('UA-normalized'!$D:$D, MATCH($A150, 'UA-normalized'!$A:$A, 0))-INDEX('UA-normalized'!$E:$E, MATCH($A150, 'UA-normalized'!$A:$A, 0))), 0), 0))+(IFERROR(IF(28*INDEX('KZ-normalized'!$D:$D, MATCH($A150, 'KZ-normalized'!$A:$A, 0))-INDEX('KZ-normalized'!$E:$E, MATCH($A150, 'KZ-normalized'!$A:$A, 0))&gt;0, -(28*INDEX('KZ-normalized'!$D:$D, MATCH($A150, 'KZ-normalized'!$A:$A, 0))-INDEX('KZ-normalized'!$E:$E, MATCH($A150, 'KZ-normalized'!$A:$A, 0))), 0), 0))+(IFERROR(IF(28*INDEX('UZ-normalized'!$D:$D, MATCH($A150, 'UZ-normalized'!$A:$A, 0))-INDEX('UZ-normalized'!$E:$E, MATCH($A150, 'UZ-normalized'!$A:$A, 0))&gt;0, -(28*INDEX('UZ-normalized'!$D:$D, MATCH($A150, 'UZ-normalized'!$A:$A, 0))-INDEX('UZ-normalized'!$E:$E, MATCH($A150, 'UZ-normalized'!$A:$A, 0))), 0), 0)))</f>
        <v>-1375.6000000000001</v>
      </c>
      <c r="AQ150" s="6">
        <f>MIN(0, N150+(IFERROR(IF(29*INDEX('UA-normalized'!$D:$D, MATCH($A150, 'UA-normalized'!$A:$A, 0))-INDEX('UA-normalized'!$E:$E, MATCH($A150, 'UA-normalized'!$A:$A, 0))&gt;0, -(29*INDEX('UA-normalized'!$D:$D, MATCH($A150, 'UA-normalized'!$A:$A, 0))-INDEX('UA-normalized'!$E:$E, MATCH($A150, 'UA-normalized'!$A:$A, 0))), 0), 0))+(IFERROR(IF(29*INDEX('KZ-normalized'!$D:$D, MATCH($A150, 'KZ-normalized'!$A:$A, 0))-INDEX('KZ-normalized'!$E:$E, MATCH($A150, 'KZ-normalized'!$A:$A, 0))&gt;0, -(29*INDEX('KZ-normalized'!$D:$D, MATCH($A150, 'KZ-normalized'!$A:$A, 0))-INDEX('KZ-normalized'!$E:$E, MATCH($A150, 'KZ-normalized'!$A:$A, 0))), 0), 0))+(IFERROR(IF(29*INDEX('UZ-normalized'!$D:$D, MATCH($A150, 'UZ-normalized'!$A:$A, 0))-INDEX('UZ-normalized'!$E:$E, MATCH($A150, 'UZ-normalized'!$A:$A, 0))&gt;0, -(29*INDEX('UZ-normalized'!$D:$D, MATCH($A150, 'UZ-normalized'!$A:$A, 0))-INDEX('UZ-normalized'!$E:$E, MATCH($A150, 'UZ-normalized'!$A:$A, 0))), 0), 0)))</f>
        <v>-1436.3000000000002</v>
      </c>
      <c r="AR150" s="6">
        <f>MIN(0, N150+(IFERROR(IF(30*INDEX('UA-normalized'!$D:$D, MATCH($A150, 'UA-normalized'!$A:$A, 0))-INDEX('UA-normalized'!$E:$E, MATCH($A150, 'UA-normalized'!$A:$A, 0))&gt;0, -(30*INDEX('UA-normalized'!$D:$D, MATCH($A150, 'UA-normalized'!$A:$A, 0))-INDEX('UA-normalized'!$E:$E, MATCH($A150, 'UA-normalized'!$A:$A, 0))), 0), 0))+(IFERROR(IF(30*INDEX('KZ-normalized'!$D:$D, MATCH($A150, 'KZ-normalized'!$A:$A, 0))-INDEX('KZ-normalized'!$E:$E, MATCH($A150, 'KZ-normalized'!$A:$A, 0))&gt;0, -(30*INDEX('KZ-normalized'!$D:$D, MATCH($A150, 'KZ-normalized'!$A:$A, 0))-INDEX('KZ-normalized'!$E:$E, MATCH($A150, 'KZ-normalized'!$A:$A, 0))), 0), 0))+(IFERROR(IF(30*INDEX('UZ-normalized'!$D:$D, MATCH($A150, 'UZ-normalized'!$A:$A, 0))-INDEX('UZ-normalized'!$E:$E, MATCH($A150, 'UZ-normalized'!$A:$A, 0))&gt;0, -(30*INDEX('UZ-normalized'!$D:$D, MATCH($A150, 'UZ-normalized'!$A:$A, 0))-INDEX('UZ-normalized'!$E:$E, MATCH($A150, 'UZ-normalized'!$A:$A, 0))), 0), 0)))</f>
        <v>-1497</v>
      </c>
    </row>
    <row r="151" spans="1:44" x14ac:dyDescent="0.25">
      <c r="A151" s="8" t="s">
        <v>366</v>
      </c>
      <c r="B151" s="8" t="s">
        <v>363</v>
      </c>
      <c r="C151" s="8" t="s">
        <v>364</v>
      </c>
      <c r="D151" s="8" t="s">
        <v>367</v>
      </c>
      <c r="N151">
        <f t="shared" si="2"/>
        <v>0</v>
      </c>
      <c r="O151" s="6">
        <f>MIN(0, N151+(IFERROR(IF(1*INDEX('UA-normalized'!$D:$D, MATCH($A151, 'UA-normalized'!$A:$A, 0))-INDEX('UA-normalized'!$E:$E, MATCH($A151, 'UA-normalized'!$A:$A, 0))&gt;0, -(1*INDEX('UA-normalized'!$D:$D, MATCH($A151, 'UA-normalized'!$A:$A, 0))-INDEX('UA-normalized'!$E:$E, MATCH($A151, 'UA-normalized'!$A:$A, 0))), 0), 0))+(IFERROR(IF(1*INDEX('KZ-normalized'!$D:$D, MATCH($A151, 'KZ-normalized'!$A:$A, 0))-INDEX('KZ-normalized'!$E:$E, MATCH($A151, 'KZ-normalized'!$A:$A, 0))&gt;0, -(1*INDEX('KZ-normalized'!$D:$D, MATCH($A151, 'KZ-normalized'!$A:$A, 0))-INDEX('KZ-normalized'!$E:$E, MATCH($A151, 'KZ-normalized'!$A:$A, 0))), 0), 0))+(IFERROR(IF(1*INDEX('UZ-normalized'!$D:$D, MATCH($A151, 'UZ-normalized'!$A:$A, 0))-INDEX('UZ-normalized'!$E:$E, MATCH($A151, 'UZ-normalized'!$A:$A, 0))&gt;0, -(1*INDEX('UZ-normalized'!$D:$D, MATCH($A151, 'UZ-normalized'!$A:$A, 0))-INDEX('UZ-normalized'!$E:$E, MATCH($A151, 'UZ-normalized'!$A:$A, 0))), 0), 0)))</f>
        <v>-2</v>
      </c>
      <c r="P151" s="6">
        <f>MIN(0, N151+(IFERROR(IF(2*INDEX('UA-normalized'!$D:$D, MATCH($A151, 'UA-normalized'!$A:$A, 0))-INDEX('UA-normalized'!$E:$E, MATCH($A151, 'UA-normalized'!$A:$A, 0))&gt;0, -(2*INDEX('UA-normalized'!$D:$D, MATCH($A151, 'UA-normalized'!$A:$A, 0))-INDEX('UA-normalized'!$E:$E, MATCH($A151, 'UA-normalized'!$A:$A, 0))), 0), 0))+(IFERROR(IF(2*INDEX('KZ-normalized'!$D:$D, MATCH($A151, 'KZ-normalized'!$A:$A, 0))-INDEX('KZ-normalized'!$E:$E, MATCH($A151, 'KZ-normalized'!$A:$A, 0))&gt;0, -(2*INDEX('KZ-normalized'!$D:$D, MATCH($A151, 'KZ-normalized'!$A:$A, 0))-INDEX('KZ-normalized'!$E:$E, MATCH($A151, 'KZ-normalized'!$A:$A, 0))), 0), 0))+(IFERROR(IF(2*INDEX('UZ-normalized'!$D:$D, MATCH($A151, 'UZ-normalized'!$A:$A, 0))-INDEX('UZ-normalized'!$E:$E, MATCH($A151, 'UZ-normalized'!$A:$A, 0))&gt;0, -(2*INDEX('UZ-normalized'!$D:$D, MATCH($A151, 'UZ-normalized'!$A:$A, 0))-INDEX('UZ-normalized'!$E:$E, MATCH($A151, 'UZ-normalized'!$A:$A, 0))), 0), 0)))</f>
        <v>-7</v>
      </c>
      <c r="Q151" s="6">
        <f>MIN(0, N151+(IFERROR(IF(3*INDEX('UA-normalized'!$D:$D, MATCH($A151, 'UA-normalized'!$A:$A, 0))-INDEX('UA-normalized'!$E:$E, MATCH($A151, 'UA-normalized'!$A:$A, 0))&gt;0, -(3*INDEX('UA-normalized'!$D:$D, MATCH($A151, 'UA-normalized'!$A:$A, 0))-INDEX('UA-normalized'!$E:$E, MATCH($A151, 'UA-normalized'!$A:$A, 0))), 0), 0))+(IFERROR(IF(3*INDEX('KZ-normalized'!$D:$D, MATCH($A151, 'KZ-normalized'!$A:$A, 0))-INDEX('KZ-normalized'!$E:$E, MATCH($A151, 'KZ-normalized'!$A:$A, 0))&gt;0, -(3*INDEX('KZ-normalized'!$D:$D, MATCH($A151, 'KZ-normalized'!$A:$A, 0))-INDEX('KZ-normalized'!$E:$E, MATCH($A151, 'KZ-normalized'!$A:$A, 0))), 0), 0))+(IFERROR(IF(3*INDEX('UZ-normalized'!$D:$D, MATCH($A151, 'UZ-normalized'!$A:$A, 0))-INDEX('UZ-normalized'!$E:$E, MATCH($A151, 'UZ-normalized'!$A:$A, 0))&gt;0, -(3*INDEX('UZ-normalized'!$D:$D, MATCH($A151, 'UZ-normalized'!$A:$A, 0))-INDEX('UZ-normalized'!$E:$E, MATCH($A151, 'UZ-normalized'!$A:$A, 0))), 0), 0)))</f>
        <v>-12</v>
      </c>
      <c r="R151" s="6">
        <f>MIN(0, N151+(IFERROR(IF(4*INDEX('UA-normalized'!$D:$D, MATCH($A151, 'UA-normalized'!$A:$A, 0))-INDEX('UA-normalized'!$E:$E, MATCH($A151, 'UA-normalized'!$A:$A, 0))&gt;0, -(4*INDEX('UA-normalized'!$D:$D, MATCH($A151, 'UA-normalized'!$A:$A, 0))-INDEX('UA-normalized'!$E:$E, MATCH($A151, 'UA-normalized'!$A:$A, 0))), 0), 0))+(IFERROR(IF(4*INDEX('KZ-normalized'!$D:$D, MATCH($A151, 'KZ-normalized'!$A:$A, 0))-INDEX('KZ-normalized'!$E:$E, MATCH($A151, 'KZ-normalized'!$A:$A, 0))&gt;0, -(4*INDEX('KZ-normalized'!$D:$D, MATCH($A151, 'KZ-normalized'!$A:$A, 0))-INDEX('KZ-normalized'!$E:$E, MATCH($A151, 'KZ-normalized'!$A:$A, 0))), 0), 0))+(IFERROR(IF(4*INDEX('UZ-normalized'!$D:$D, MATCH($A151, 'UZ-normalized'!$A:$A, 0))-INDEX('UZ-normalized'!$E:$E, MATCH($A151, 'UZ-normalized'!$A:$A, 0))&gt;0, -(4*INDEX('UZ-normalized'!$D:$D, MATCH($A151, 'UZ-normalized'!$A:$A, 0))-INDEX('UZ-normalized'!$E:$E, MATCH($A151, 'UZ-normalized'!$A:$A, 0))), 0), 0)))</f>
        <v>-17</v>
      </c>
      <c r="S151" s="6">
        <f>MIN(0, N151+(IFERROR(IF(5*INDEX('UA-normalized'!$D:$D, MATCH($A151, 'UA-normalized'!$A:$A, 0))-INDEX('UA-normalized'!$E:$E, MATCH($A151, 'UA-normalized'!$A:$A, 0))&gt;0, -(5*INDEX('UA-normalized'!$D:$D, MATCH($A151, 'UA-normalized'!$A:$A, 0))-INDEX('UA-normalized'!$E:$E, MATCH($A151, 'UA-normalized'!$A:$A, 0))), 0), 0))+(IFERROR(IF(5*INDEX('KZ-normalized'!$D:$D, MATCH($A151, 'KZ-normalized'!$A:$A, 0))-INDEX('KZ-normalized'!$E:$E, MATCH($A151, 'KZ-normalized'!$A:$A, 0))&gt;0, -(5*INDEX('KZ-normalized'!$D:$D, MATCH($A151, 'KZ-normalized'!$A:$A, 0))-INDEX('KZ-normalized'!$E:$E, MATCH($A151, 'KZ-normalized'!$A:$A, 0))), 0), 0))+(IFERROR(IF(5*INDEX('UZ-normalized'!$D:$D, MATCH($A151, 'UZ-normalized'!$A:$A, 0))-INDEX('UZ-normalized'!$E:$E, MATCH($A151, 'UZ-normalized'!$A:$A, 0))&gt;0, -(5*INDEX('UZ-normalized'!$D:$D, MATCH($A151, 'UZ-normalized'!$A:$A, 0))-INDEX('UZ-normalized'!$E:$E, MATCH($A151, 'UZ-normalized'!$A:$A, 0))), 0), 0)))</f>
        <v>-22</v>
      </c>
      <c r="T151" s="6">
        <f>MIN(0, N151+(IFERROR(IF(6*INDEX('UA-normalized'!$D:$D, MATCH($A151, 'UA-normalized'!$A:$A, 0))-INDEX('UA-normalized'!$E:$E, MATCH($A151, 'UA-normalized'!$A:$A, 0))&gt;0, -(6*INDEX('UA-normalized'!$D:$D, MATCH($A151, 'UA-normalized'!$A:$A, 0))-INDEX('UA-normalized'!$E:$E, MATCH($A151, 'UA-normalized'!$A:$A, 0))), 0), 0))+(IFERROR(IF(6*INDEX('KZ-normalized'!$D:$D, MATCH($A151, 'KZ-normalized'!$A:$A, 0))-INDEX('KZ-normalized'!$E:$E, MATCH($A151, 'KZ-normalized'!$A:$A, 0))&gt;0, -(6*INDEX('KZ-normalized'!$D:$D, MATCH($A151, 'KZ-normalized'!$A:$A, 0))-INDEX('KZ-normalized'!$E:$E, MATCH($A151, 'KZ-normalized'!$A:$A, 0))), 0), 0))+(IFERROR(IF(6*INDEX('UZ-normalized'!$D:$D, MATCH($A151, 'UZ-normalized'!$A:$A, 0))-INDEX('UZ-normalized'!$E:$E, MATCH($A151, 'UZ-normalized'!$A:$A, 0))&gt;0, -(6*INDEX('UZ-normalized'!$D:$D, MATCH($A151, 'UZ-normalized'!$A:$A, 0))-INDEX('UZ-normalized'!$E:$E, MATCH($A151, 'UZ-normalized'!$A:$A, 0))), 0), 0)))</f>
        <v>-27</v>
      </c>
      <c r="U151" s="6">
        <f>MIN(0, N151+(IFERROR(IF(7*INDEX('UA-normalized'!$D:$D, MATCH($A151, 'UA-normalized'!$A:$A, 0))-INDEX('UA-normalized'!$E:$E, MATCH($A151, 'UA-normalized'!$A:$A, 0))&gt;0, -(7*INDEX('UA-normalized'!$D:$D, MATCH($A151, 'UA-normalized'!$A:$A, 0))-INDEX('UA-normalized'!$E:$E, MATCH($A151, 'UA-normalized'!$A:$A, 0))), 0), 0))+(IFERROR(IF(7*INDEX('KZ-normalized'!$D:$D, MATCH($A151, 'KZ-normalized'!$A:$A, 0))-INDEX('KZ-normalized'!$E:$E, MATCH($A151, 'KZ-normalized'!$A:$A, 0))&gt;0, -(7*INDEX('KZ-normalized'!$D:$D, MATCH($A151, 'KZ-normalized'!$A:$A, 0))-INDEX('KZ-normalized'!$E:$E, MATCH($A151, 'KZ-normalized'!$A:$A, 0))), 0), 0))+(IFERROR(IF(7*INDEX('UZ-normalized'!$D:$D, MATCH($A151, 'UZ-normalized'!$A:$A, 0))-INDEX('UZ-normalized'!$E:$E, MATCH($A151, 'UZ-normalized'!$A:$A, 0))&gt;0, -(7*INDEX('UZ-normalized'!$D:$D, MATCH($A151, 'UZ-normalized'!$A:$A, 0))-INDEX('UZ-normalized'!$E:$E, MATCH($A151, 'UZ-normalized'!$A:$A, 0))), 0), 0)))</f>
        <v>-32</v>
      </c>
      <c r="V151" s="6">
        <f>MIN(0, N151+(IFERROR(IF(8*INDEX('UA-normalized'!$D:$D, MATCH($A151, 'UA-normalized'!$A:$A, 0))-INDEX('UA-normalized'!$E:$E, MATCH($A151, 'UA-normalized'!$A:$A, 0))&gt;0, -(8*INDEX('UA-normalized'!$D:$D, MATCH($A151, 'UA-normalized'!$A:$A, 0))-INDEX('UA-normalized'!$E:$E, MATCH($A151, 'UA-normalized'!$A:$A, 0))), 0), 0))+(IFERROR(IF(8*INDEX('KZ-normalized'!$D:$D, MATCH($A151, 'KZ-normalized'!$A:$A, 0))-INDEX('KZ-normalized'!$E:$E, MATCH($A151, 'KZ-normalized'!$A:$A, 0))&gt;0, -(8*INDEX('KZ-normalized'!$D:$D, MATCH($A151, 'KZ-normalized'!$A:$A, 0))-INDEX('KZ-normalized'!$E:$E, MATCH($A151, 'KZ-normalized'!$A:$A, 0))), 0), 0))+(IFERROR(IF(8*INDEX('UZ-normalized'!$D:$D, MATCH($A151, 'UZ-normalized'!$A:$A, 0))-INDEX('UZ-normalized'!$E:$E, MATCH($A151, 'UZ-normalized'!$A:$A, 0))&gt;0, -(8*INDEX('UZ-normalized'!$D:$D, MATCH($A151, 'UZ-normalized'!$A:$A, 0))-INDEX('UZ-normalized'!$E:$E, MATCH($A151, 'UZ-normalized'!$A:$A, 0))), 0), 0)))</f>
        <v>-37</v>
      </c>
      <c r="W151" s="6">
        <f>MIN(0, N151+(IFERROR(IF(9*INDEX('UA-normalized'!$D:$D, MATCH($A151, 'UA-normalized'!$A:$A, 0))-INDEX('UA-normalized'!$E:$E, MATCH($A151, 'UA-normalized'!$A:$A, 0))&gt;0, -(9*INDEX('UA-normalized'!$D:$D, MATCH($A151, 'UA-normalized'!$A:$A, 0))-INDEX('UA-normalized'!$E:$E, MATCH($A151, 'UA-normalized'!$A:$A, 0))), 0), 0))+(IFERROR(IF(9*INDEX('KZ-normalized'!$D:$D, MATCH($A151, 'KZ-normalized'!$A:$A, 0))-INDEX('KZ-normalized'!$E:$E, MATCH($A151, 'KZ-normalized'!$A:$A, 0))&gt;0, -(9*INDEX('KZ-normalized'!$D:$D, MATCH($A151, 'KZ-normalized'!$A:$A, 0))-INDEX('KZ-normalized'!$E:$E, MATCH($A151, 'KZ-normalized'!$A:$A, 0))), 0), 0))+(IFERROR(IF(9*INDEX('UZ-normalized'!$D:$D, MATCH($A151, 'UZ-normalized'!$A:$A, 0))-INDEX('UZ-normalized'!$E:$E, MATCH($A151, 'UZ-normalized'!$A:$A, 0))&gt;0, -(9*INDEX('UZ-normalized'!$D:$D, MATCH($A151, 'UZ-normalized'!$A:$A, 0))-INDEX('UZ-normalized'!$E:$E, MATCH($A151, 'UZ-normalized'!$A:$A, 0))), 0), 0)))</f>
        <v>-42</v>
      </c>
      <c r="X151" s="6">
        <f>MIN(0, N151+(IFERROR(IF(10*INDEX('UA-normalized'!$D:$D, MATCH($A151, 'UA-normalized'!$A:$A, 0))-INDEX('UA-normalized'!$E:$E, MATCH($A151, 'UA-normalized'!$A:$A, 0))&gt;0, -(10*INDEX('UA-normalized'!$D:$D, MATCH($A151, 'UA-normalized'!$A:$A, 0))-INDEX('UA-normalized'!$E:$E, MATCH($A151, 'UA-normalized'!$A:$A, 0))), 0), 0))+(IFERROR(IF(10*INDEX('KZ-normalized'!$D:$D, MATCH($A151, 'KZ-normalized'!$A:$A, 0))-INDEX('KZ-normalized'!$E:$E, MATCH($A151, 'KZ-normalized'!$A:$A, 0))&gt;0, -(10*INDEX('KZ-normalized'!$D:$D, MATCH($A151, 'KZ-normalized'!$A:$A, 0))-INDEX('KZ-normalized'!$E:$E, MATCH($A151, 'KZ-normalized'!$A:$A, 0))), 0), 0))+(IFERROR(IF(10*INDEX('UZ-normalized'!$D:$D, MATCH($A151, 'UZ-normalized'!$A:$A, 0))-INDEX('UZ-normalized'!$E:$E, MATCH($A151, 'UZ-normalized'!$A:$A, 0))&gt;0, -(10*INDEX('UZ-normalized'!$D:$D, MATCH($A151, 'UZ-normalized'!$A:$A, 0))-INDEX('UZ-normalized'!$E:$E, MATCH($A151, 'UZ-normalized'!$A:$A, 0))), 0), 0)))</f>
        <v>-47</v>
      </c>
      <c r="Y151" s="6">
        <f>MIN(0, N151+(IFERROR(IF(11*INDEX('UA-normalized'!$D:$D, MATCH($A151, 'UA-normalized'!$A:$A, 0))-INDEX('UA-normalized'!$E:$E, MATCH($A151, 'UA-normalized'!$A:$A, 0))&gt;0, -(11*INDEX('UA-normalized'!$D:$D, MATCH($A151, 'UA-normalized'!$A:$A, 0))-INDEX('UA-normalized'!$E:$E, MATCH($A151, 'UA-normalized'!$A:$A, 0))), 0), 0))+(IFERROR(IF(11*INDEX('KZ-normalized'!$D:$D, MATCH($A151, 'KZ-normalized'!$A:$A, 0))-INDEX('KZ-normalized'!$E:$E, MATCH($A151, 'KZ-normalized'!$A:$A, 0))&gt;0, -(11*INDEX('KZ-normalized'!$D:$D, MATCH($A151, 'KZ-normalized'!$A:$A, 0))-INDEX('KZ-normalized'!$E:$E, MATCH($A151, 'KZ-normalized'!$A:$A, 0))), 0), 0))+(IFERROR(IF(11*INDEX('UZ-normalized'!$D:$D, MATCH($A151, 'UZ-normalized'!$A:$A, 0))-INDEX('UZ-normalized'!$E:$E, MATCH($A151, 'UZ-normalized'!$A:$A, 0))&gt;0, -(11*INDEX('UZ-normalized'!$D:$D, MATCH($A151, 'UZ-normalized'!$A:$A, 0))-INDEX('UZ-normalized'!$E:$E, MATCH($A151, 'UZ-normalized'!$A:$A, 0))), 0), 0)))</f>
        <v>-52</v>
      </c>
      <c r="Z151" s="6">
        <f>MIN(0, N151+(IFERROR(IF(12*INDEX('UA-normalized'!$D:$D, MATCH($A151, 'UA-normalized'!$A:$A, 0))-INDEX('UA-normalized'!$E:$E, MATCH($A151, 'UA-normalized'!$A:$A, 0))&gt;0, -(12*INDEX('UA-normalized'!$D:$D, MATCH($A151, 'UA-normalized'!$A:$A, 0))-INDEX('UA-normalized'!$E:$E, MATCH($A151, 'UA-normalized'!$A:$A, 0))), 0), 0))+(IFERROR(IF(12*INDEX('KZ-normalized'!$D:$D, MATCH($A151, 'KZ-normalized'!$A:$A, 0))-INDEX('KZ-normalized'!$E:$E, MATCH($A151, 'KZ-normalized'!$A:$A, 0))&gt;0, -(12*INDEX('KZ-normalized'!$D:$D, MATCH($A151, 'KZ-normalized'!$A:$A, 0))-INDEX('KZ-normalized'!$E:$E, MATCH($A151, 'KZ-normalized'!$A:$A, 0))), 0), 0))+(IFERROR(IF(12*INDEX('UZ-normalized'!$D:$D, MATCH($A151, 'UZ-normalized'!$A:$A, 0))-INDEX('UZ-normalized'!$E:$E, MATCH($A151, 'UZ-normalized'!$A:$A, 0))&gt;0, -(12*INDEX('UZ-normalized'!$D:$D, MATCH($A151, 'UZ-normalized'!$A:$A, 0))-INDEX('UZ-normalized'!$E:$E, MATCH($A151, 'UZ-normalized'!$A:$A, 0))), 0), 0)))</f>
        <v>-57</v>
      </c>
      <c r="AA151" s="6">
        <f>MIN(0, N151+(IFERROR(IF(13*INDEX('UA-normalized'!$D:$D, MATCH($A151, 'UA-normalized'!$A:$A, 0))-INDEX('UA-normalized'!$E:$E, MATCH($A151, 'UA-normalized'!$A:$A, 0))&gt;0, -(13*INDEX('UA-normalized'!$D:$D, MATCH($A151, 'UA-normalized'!$A:$A, 0))-INDEX('UA-normalized'!$E:$E, MATCH($A151, 'UA-normalized'!$A:$A, 0))), 0), 0))+(IFERROR(IF(13*INDEX('KZ-normalized'!$D:$D, MATCH($A151, 'KZ-normalized'!$A:$A, 0))-INDEX('KZ-normalized'!$E:$E, MATCH($A151, 'KZ-normalized'!$A:$A, 0))&gt;0, -(13*INDEX('KZ-normalized'!$D:$D, MATCH($A151, 'KZ-normalized'!$A:$A, 0))-INDEX('KZ-normalized'!$E:$E, MATCH($A151, 'KZ-normalized'!$A:$A, 0))), 0), 0))+(IFERROR(IF(13*INDEX('UZ-normalized'!$D:$D, MATCH($A151, 'UZ-normalized'!$A:$A, 0))-INDEX('UZ-normalized'!$E:$E, MATCH($A151, 'UZ-normalized'!$A:$A, 0))&gt;0, -(13*INDEX('UZ-normalized'!$D:$D, MATCH($A151, 'UZ-normalized'!$A:$A, 0))-INDEX('UZ-normalized'!$E:$E, MATCH($A151, 'UZ-normalized'!$A:$A, 0))), 0), 0)))</f>
        <v>-62</v>
      </c>
      <c r="AB151" s="6">
        <f>MIN(0, N151+(IFERROR(IF(14*INDEX('UA-normalized'!$D:$D, MATCH($A151, 'UA-normalized'!$A:$A, 0))-INDEX('UA-normalized'!$E:$E, MATCH($A151, 'UA-normalized'!$A:$A, 0))&gt;0, -(14*INDEX('UA-normalized'!$D:$D, MATCH($A151, 'UA-normalized'!$A:$A, 0))-INDEX('UA-normalized'!$E:$E, MATCH($A151, 'UA-normalized'!$A:$A, 0))), 0), 0))+(IFERROR(IF(14*INDEX('KZ-normalized'!$D:$D, MATCH($A151, 'KZ-normalized'!$A:$A, 0))-INDEX('KZ-normalized'!$E:$E, MATCH($A151, 'KZ-normalized'!$A:$A, 0))&gt;0, -(14*INDEX('KZ-normalized'!$D:$D, MATCH($A151, 'KZ-normalized'!$A:$A, 0))-INDEX('KZ-normalized'!$E:$E, MATCH($A151, 'KZ-normalized'!$A:$A, 0))), 0), 0))+(IFERROR(IF(14*INDEX('UZ-normalized'!$D:$D, MATCH($A151, 'UZ-normalized'!$A:$A, 0))-INDEX('UZ-normalized'!$E:$E, MATCH($A151, 'UZ-normalized'!$A:$A, 0))&gt;0, -(14*INDEX('UZ-normalized'!$D:$D, MATCH($A151, 'UZ-normalized'!$A:$A, 0))-INDEX('UZ-normalized'!$E:$E, MATCH($A151, 'UZ-normalized'!$A:$A, 0))), 0), 0)))</f>
        <v>-67</v>
      </c>
      <c r="AC151" s="6">
        <f>MIN(0, N151+(IFERROR(IF(15*INDEX('UA-normalized'!$D:$D, MATCH($A151, 'UA-normalized'!$A:$A, 0))-INDEX('UA-normalized'!$E:$E, MATCH($A151, 'UA-normalized'!$A:$A, 0))&gt;0, -(15*INDEX('UA-normalized'!$D:$D, MATCH($A151, 'UA-normalized'!$A:$A, 0))-INDEX('UA-normalized'!$E:$E, MATCH($A151, 'UA-normalized'!$A:$A, 0))), 0), 0))+(IFERROR(IF(15*INDEX('KZ-normalized'!$D:$D, MATCH($A151, 'KZ-normalized'!$A:$A, 0))-INDEX('KZ-normalized'!$E:$E, MATCH($A151, 'KZ-normalized'!$A:$A, 0))&gt;0, -(15*INDEX('KZ-normalized'!$D:$D, MATCH($A151, 'KZ-normalized'!$A:$A, 0))-INDEX('KZ-normalized'!$E:$E, MATCH($A151, 'KZ-normalized'!$A:$A, 0))), 0), 0))+(IFERROR(IF(15*INDEX('UZ-normalized'!$D:$D, MATCH($A151, 'UZ-normalized'!$A:$A, 0))-INDEX('UZ-normalized'!$E:$E, MATCH($A151, 'UZ-normalized'!$A:$A, 0))&gt;0, -(15*INDEX('UZ-normalized'!$D:$D, MATCH($A151, 'UZ-normalized'!$A:$A, 0))-INDEX('UZ-normalized'!$E:$E, MATCH($A151, 'UZ-normalized'!$A:$A, 0))), 0), 0)))</f>
        <v>-72</v>
      </c>
      <c r="AD151" s="6">
        <f>MIN(0, N151+(IFERROR(IF(16*INDEX('UA-normalized'!$D:$D, MATCH($A151, 'UA-normalized'!$A:$A, 0))-INDEX('UA-normalized'!$E:$E, MATCH($A151, 'UA-normalized'!$A:$A, 0))&gt;0, -(16*INDEX('UA-normalized'!$D:$D, MATCH($A151, 'UA-normalized'!$A:$A, 0))-INDEX('UA-normalized'!$E:$E, MATCH($A151, 'UA-normalized'!$A:$A, 0))), 0), 0))+(IFERROR(IF(16*INDEX('KZ-normalized'!$D:$D, MATCH($A151, 'KZ-normalized'!$A:$A, 0))-INDEX('KZ-normalized'!$E:$E, MATCH($A151, 'KZ-normalized'!$A:$A, 0))&gt;0, -(16*INDEX('KZ-normalized'!$D:$D, MATCH($A151, 'KZ-normalized'!$A:$A, 0))-INDEX('KZ-normalized'!$E:$E, MATCH($A151, 'KZ-normalized'!$A:$A, 0))), 0), 0))+(IFERROR(IF(16*INDEX('UZ-normalized'!$D:$D, MATCH($A151, 'UZ-normalized'!$A:$A, 0))-INDEX('UZ-normalized'!$E:$E, MATCH($A151, 'UZ-normalized'!$A:$A, 0))&gt;0, -(16*INDEX('UZ-normalized'!$D:$D, MATCH($A151, 'UZ-normalized'!$A:$A, 0))-INDEX('UZ-normalized'!$E:$E, MATCH($A151, 'UZ-normalized'!$A:$A, 0))), 0), 0)))</f>
        <v>-77.2</v>
      </c>
      <c r="AE151" s="6">
        <f>MIN(0, N151+(IFERROR(IF(17*INDEX('UA-normalized'!$D:$D, MATCH($A151, 'UA-normalized'!$A:$A, 0))-INDEX('UA-normalized'!$E:$E, MATCH($A151, 'UA-normalized'!$A:$A, 0))&gt;0, -(17*INDEX('UA-normalized'!$D:$D, MATCH($A151, 'UA-normalized'!$A:$A, 0))-INDEX('UA-normalized'!$E:$E, MATCH($A151, 'UA-normalized'!$A:$A, 0))), 0), 0))+(IFERROR(IF(17*INDEX('KZ-normalized'!$D:$D, MATCH($A151, 'KZ-normalized'!$A:$A, 0))-INDEX('KZ-normalized'!$E:$E, MATCH($A151, 'KZ-normalized'!$A:$A, 0))&gt;0, -(17*INDEX('KZ-normalized'!$D:$D, MATCH($A151, 'KZ-normalized'!$A:$A, 0))-INDEX('KZ-normalized'!$E:$E, MATCH($A151, 'KZ-normalized'!$A:$A, 0))), 0), 0))+(IFERROR(IF(17*INDEX('UZ-normalized'!$D:$D, MATCH($A151, 'UZ-normalized'!$A:$A, 0))-INDEX('UZ-normalized'!$E:$E, MATCH($A151, 'UZ-normalized'!$A:$A, 0))&gt;0, -(17*INDEX('UZ-normalized'!$D:$D, MATCH($A151, 'UZ-normalized'!$A:$A, 0))-INDEX('UZ-normalized'!$E:$E, MATCH($A151, 'UZ-normalized'!$A:$A, 0))), 0), 0)))</f>
        <v>-82.4</v>
      </c>
      <c r="AF151" s="6">
        <f>MIN(0, N151+(IFERROR(IF(18*INDEX('UA-normalized'!$D:$D, MATCH($A151, 'UA-normalized'!$A:$A, 0))-INDEX('UA-normalized'!$E:$E, MATCH($A151, 'UA-normalized'!$A:$A, 0))&gt;0, -(18*INDEX('UA-normalized'!$D:$D, MATCH($A151, 'UA-normalized'!$A:$A, 0))-INDEX('UA-normalized'!$E:$E, MATCH($A151, 'UA-normalized'!$A:$A, 0))), 0), 0))+(IFERROR(IF(18*INDEX('KZ-normalized'!$D:$D, MATCH($A151, 'KZ-normalized'!$A:$A, 0))-INDEX('KZ-normalized'!$E:$E, MATCH($A151, 'KZ-normalized'!$A:$A, 0))&gt;0, -(18*INDEX('KZ-normalized'!$D:$D, MATCH($A151, 'KZ-normalized'!$A:$A, 0))-INDEX('KZ-normalized'!$E:$E, MATCH($A151, 'KZ-normalized'!$A:$A, 0))), 0), 0))+(IFERROR(IF(18*INDEX('UZ-normalized'!$D:$D, MATCH($A151, 'UZ-normalized'!$A:$A, 0))-INDEX('UZ-normalized'!$E:$E, MATCH($A151, 'UZ-normalized'!$A:$A, 0))&gt;0, -(18*INDEX('UZ-normalized'!$D:$D, MATCH($A151, 'UZ-normalized'!$A:$A, 0))-INDEX('UZ-normalized'!$E:$E, MATCH($A151, 'UZ-normalized'!$A:$A, 0))), 0), 0)))</f>
        <v>-87.6</v>
      </c>
      <c r="AG151" s="6">
        <f>MIN(0, N151+(IFERROR(IF(19*INDEX('UA-normalized'!$D:$D, MATCH($A151, 'UA-normalized'!$A:$A, 0))-INDEX('UA-normalized'!$E:$E, MATCH($A151, 'UA-normalized'!$A:$A, 0))&gt;0, -(19*INDEX('UA-normalized'!$D:$D, MATCH($A151, 'UA-normalized'!$A:$A, 0))-INDEX('UA-normalized'!$E:$E, MATCH($A151, 'UA-normalized'!$A:$A, 0))), 0), 0))+(IFERROR(IF(19*INDEX('KZ-normalized'!$D:$D, MATCH($A151, 'KZ-normalized'!$A:$A, 0))-INDEX('KZ-normalized'!$E:$E, MATCH($A151, 'KZ-normalized'!$A:$A, 0))&gt;0, -(19*INDEX('KZ-normalized'!$D:$D, MATCH($A151, 'KZ-normalized'!$A:$A, 0))-INDEX('KZ-normalized'!$E:$E, MATCH($A151, 'KZ-normalized'!$A:$A, 0))), 0), 0))+(IFERROR(IF(19*INDEX('UZ-normalized'!$D:$D, MATCH($A151, 'UZ-normalized'!$A:$A, 0))-INDEX('UZ-normalized'!$E:$E, MATCH($A151, 'UZ-normalized'!$A:$A, 0))&gt;0, -(19*INDEX('UZ-normalized'!$D:$D, MATCH($A151, 'UZ-normalized'!$A:$A, 0))-INDEX('UZ-normalized'!$E:$E, MATCH($A151, 'UZ-normalized'!$A:$A, 0))), 0), 0)))</f>
        <v>-92.8</v>
      </c>
      <c r="AH151" s="6">
        <f>MIN(0, N151+(IFERROR(IF(20*INDEX('UA-normalized'!$D:$D, MATCH($A151, 'UA-normalized'!$A:$A, 0))-INDEX('UA-normalized'!$E:$E, MATCH($A151, 'UA-normalized'!$A:$A, 0))&gt;0, -(20*INDEX('UA-normalized'!$D:$D, MATCH($A151, 'UA-normalized'!$A:$A, 0))-INDEX('UA-normalized'!$E:$E, MATCH($A151, 'UA-normalized'!$A:$A, 0))), 0), 0))+(IFERROR(IF(20*INDEX('KZ-normalized'!$D:$D, MATCH($A151, 'KZ-normalized'!$A:$A, 0))-INDEX('KZ-normalized'!$E:$E, MATCH($A151, 'KZ-normalized'!$A:$A, 0))&gt;0, -(20*INDEX('KZ-normalized'!$D:$D, MATCH($A151, 'KZ-normalized'!$A:$A, 0))-INDEX('KZ-normalized'!$E:$E, MATCH($A151, 'KZ-normalized'!$A:$A, 0))), 0), 0))+(IFERROR(IF(20*INDEX('UZ-normalized'!$D:$D, MATCH($A151, 'UZ-normalized'!$A:$A, 0))-INDEX('UZ-normalized'!$E:$E, MATCH($A151, 'UZ-normalized'!$A:$A, 0))&gt;0, -(20*INDEX('UZ-normalized'!$D:$D, MATCH($A151, 'UZ-normalized'!$A:$A, 0))-INDEX('UZ-normalized'!$E:$E, MATCH($A151, 'UZ-normalized'!$A:$A, 0))), 0), 0)))</f>
        <v>-98</v>
      </c>
      <c r="AI151" s="6">
        <f>MIN(0, N151+(IFERROR(IF(21*INDEX('UA-normalized'!$D:$D, MATCH($A151, 'UA-normalized'!$A:$A, 0))-INDEX('UA-normalized'!$E:$E, MATCH($A151, 'UA-normalized'!$A:$A, 0))&gt;0, -(21*INDEX('UA-normalized'!$D:$D, MATCH($A151, 'UA-normalized'!$A:$A, 0))-INDEX('UA-normalized'!$E:$E, MATCH($A151, 'UA-normalized'!$A:$A, 0))), 0), 0))+(IFERROR(IF(21*INDEX('KZ-normalized'!$D:$D, MATCH($A151, 'KZ-normalized'!$A:$A, 0))-INDEX('KZ-normalized'!$E:$E, MATCH($A151, 'KZ-normalized'!$A:$A, 0))&gt;0, -(21*INDEX('KZ-normalized'!$D:$D, MATCH($A151, 'KZ-normalized'!$A:$A, 0))-INDEX('KZ-normalized'!$E:$E, MATCH($A151, 'KZ-normalized'!$A:$A, 0))), 0), 0))+(IFERROR(IF(21*INDEX('UZ-normalized'!$D:$D, MATCH($A151, 'UZ-normalized'!$A:$A, 0))-INDEX('UZ-normalized'!$E:$E, MATCH($A151, 'UZ-normalized'!$A:$A, 0))&gt;0, -(21*INDEX('UZ-normalized'!$D:$D, MATCH($A151, 'UZ-normalized'!$A:$A, 0))-INDEX('UZ-normalized'!$E:$E, MATCH($A151, 'UZ-normalized'!$A:$A, 0))), 0), 0)))</f>
        <v>-103.2</v>
      </c>
      <c r="AJ151" s="6">
        <f>MIN(0, N151+(IFERROR(IF(22*INDEX('UA-normalized'!$D:$D, MATCH($A151, 'UA-normalized'!$A:$A, 0))-INDEX('UA-normalized'!$E:$E, MATCH($A151, 'UA-normalized'!$A:$A, 0))&gt;0, -(22*INDEX('UA-normalized'!$D:$D, MATCH($A151, 'UA-normalized'!$A:$A, 0))-INDEX('UA-normalized'!$E:$E, MATCH($A151, 'UA-normalized'!$A:$A, 0))), 0), 0))+(IFERROR(IF(22*INDEX('KZ-normalized'!$D:$D, MATCH($A151, 'KZ-normalized'!$A:$A, 0))-INDEX('KZ-normalized'!$E:$E, MATCH($A151, 'KZ-normalized'!$A:$A, 0))&gt;0, -(22*INDEX('KZ-normalized'!$D:$D, MATCH($A151, 'KZ-normalized'!$A:$A, 0))-INDEX('KZ-normalized'!$E:$E, MATCH($A151, 'KZ-normalized'!$A:$A, 0))), 0), 0))+(IFERROR(IF(22*INDEX('UZ-normalized'!$D:$D, MATCH($A151, 'UZ-normalized'!$A:$A, 0))-INDEX('UZ-normalized'!$E:$E, MATCH($A151, 'UZ-normalized'!$A:$A, 0))&gt;0, -(22*INDEX('UZ-normalized'!$D:$D, MATCH($A151, 'UZ-normalized'!$A:$A, 0))-INDEX('UZ-normalized'!$E:$E, MATCH($A151, 'UZ-normalized'!$A:$A, 0))), 0), 0)))</f>
        <v>-108.4</v>
      </c>
      <c r="AK151" s="6">
        <f>MIN(0, N151+(IFERROR(IF(23*INDEX('UA-normalized'!$D:$D, MATCH($A151, 'UA-normalized'!$A:$A, 0))-INDEX('UA-normalized'!$E:$E, MATCH($A151, 'UA-normalized'!$A:$A, 0))&gt;0, -(23*INDEX('UA-normalized'!$D:$D, MATCH($A151, 'UA-normalized'!$A:$A, 0))-INDEX('UA-normalized'!$E:$E, MATCH($A151, 'UA-normalized'!$A:$A, 0))), 0), 0))+(IFERROR(IF(23*INDEX('KZ-normalized'!$D:$D, MATCH($A151, 'KZ-normalized'!$A:$A, 0))-INDEX('KZ-normalized'!$E:$E, MATCH($A151, 'KZ-normalized'!$A:$A, 0))&gt;0, -(23*INDEX('KZ-normalized'!$D:$D, MATCH($A151, 'KZ-normalized'!$A:$A, 0))-INDEX('KZ-normalized'!$E:$E, MATCH($A151, 'KZ-normalized'!$A:$A, 0))), 0), 0))+(IFERROR(IF(23*INDEX('UZ-normalized'!$D:$D, MATCH($A151, 'UZ-normalized'!$A:$A, 0))-INDEX('UZ-normalized'!$E:$E, MATCH($A151, 'UZ-normalized'!$A:$A, 0))&gt;0, -(23*INDEX('UZ-normalized'!$D:$D, MATCH($A151, 'UZ-normalized'!$A:$A, 0))-INDEX('UZ-normalized'!$E:$E, MATCH($A151, 'UZ-normalized'!$A:$A, 0))), 0), 0)))</f>
        <v>-113.6</v>
      </c>
      <c r="AL151" s="6">
        <f>MIN(0, N151+(IFERROR(IF(24*INDEX('UA-normalized'!$D:$D, MATCH($A151, 'UA-normalized'!$A:$A, 0))-INDEX('UA-normalized'!$E:$E, MATCH($A151, 'UA-normalized'!$A:$A, 0))&gt;0, -(24*INDEX('UA-normalized'!$D:$D, MATCH($A151, 'UA-normalized'!$A:$A, 0))-INDEX('UA-normalized'!$E:$E, MATCH($A151, 'UA-normalized'!$A:$A, 0))), 0), 0))+(IFERROR(IF(24*INDEX('KZ-normalized'!$D:$D, MATCH($A151, 'KZ-normalized'!$A:$A, 0))-INDEX('KZ-normalized'!$E:$E, MATCH($A151, 'KZ-normalized'!$A:$A, 0))&gt;0, -(24*INDEX('KZ-normalized'!$D:$D, MATCH($A151, 'KZ-normalized'!$A:$A, 0))-INDEX('KZ-normalized'!$E:$E, MATCH($A151, 'KZ-normalized'!$A:$A, 0))), 0), 0))+(IFERROR(IF(24*INDEX('UZ-normalized'!$D:$D, MATCH($A151, 'UZ-normalized'!$A:$A, 0))-INDEX('UZ-normalized'!$E:$E, MATCH($A151, 'UZ-normalized'!$A:$A, 0))&gt;0, -(24*INDEX('UZ-normalized'!$D:$D, MATCH($A151, 'UZ-normalized'!$A:$A, 0))-INDEX('UZ-normalized'!$E:$E, MATCH($A151, 'UZ-normalized'!$A:$A, 0))), 0), 0)))</f>
        <v>-118.8</v>
      </c>
      <c r="AM151" s="6">
        <f>MIN(0, N151+(IFERROR(IF(25*INDEX('UA-normalized'!$D:$D, MATCH($A151, 'UA-normalized'!$A:$A, 0))-INDEX('UA-normalized'!$E:$E, MATCH($A151, 'UA-normalized'!$A:$A, 0))&gt;0, -(25*INDEX('UA-normalized'!$D:$D, MATCH($A151, 'UA-normalized'!$A:$A, 0))-INDEX('UA-normalized'!$E:$E, MATCH($A151, 'UA-normalized'!$A:$A, 0))), 0), 0))+(IFERROR(IF(25*INDEX('KZ-normalized'!$D:$D, MATCH($A151, 'KZ-normalized'!$A:$A, 0))-INDEX('KZ-normalized'!$E:$E, MATCH($A151, 'KZ-normalized'!$A:$A, 0))&gt;0, -(25*INDEX('KZ-normalized'!$D:$D, MATCH($A151, 'KZ-normalized'!$A:$A, 0))-INDEX('KZ-normalized'!$E:$E, MATCH($A151, 'KZ-normalized'!$A:$A, 0))), 0), 0))+(IFERROR(IF(25*INDEX('UZ-normalized'!$D:$D, MATCH($A151, 'UZ-normalized'!$A:$A, 0))-INDEX('UZ-normalized'!$E:$E, MATCH($A151, 'UZ-normalized'!$A:$A, 0))&gt;0, -(25*INDEX('UZ-normalized'!$D:$D, MATCH($A151, 'UZ-normalized'!$A:$A, 0))-INDEX('UZ-normalized'!$E:$E, MATCH($A151, 'UZ-normalized'!$A:$A, 0))), 0), 0)))</f>
        <v>-124</v>
      </c>
      <c r="AN151" s="6">
        <f>MIN(0, N151+(IFERROR(IF(26*INDEX('UA-normalized'!$D:$D, MATCH($A151, 'UA-normalized'!$A:$A, 0))-INDEX('UA-normalized'!$E:$E, MATCH($A151, 'UA-normalized'!$A:$A, 0))&gt;0, -(26*INDEX('UA-normalized'!$D:$D, MATCH($A151, 'UA-normalized'!$A:$A, 0))-INDEX('UA-normalized'!$E:$E, MATCH($A151, 'UA-normalized'!$A:$A, 0))), 0), 0))+(IFERROR(IF(26*INDEX('KZ-normalized'!$D:$D, MATCH($A151, 'KZ-normalized'!$A:$A, 0))-INDEX('KZ-normalized'!$E:$E, MATCH($A151, 'KZ-normalized'!$A:$A, 0))&gt;0, -(26*INDEX('KZ-normalized'!$D:$D, MATCH($A151, 'KZ-normalized'!$A:$A, 0))-INDEX('KZ-normalized'!$E:$E, MATCH($A151, 'KZ-normalized'!$A:$A, 0))), 0), 0))+(IFERROR(IF(26*INDEX('UZ-normalized'!$D:$D, MATCH($A151, 'UZ-normalized'!$A:$A, 0))-INDEX('UZ-normalized'!$E:$E, MATCH($A151, 'UZ-normalized'!$A:$A, 0))&gt;0, -(26*INDEX('UZ-normalized'!$D:$D, MATCH($A151, 'UZ-normalized'!$A:$A, 0))-INDEX('UZ-normalized'!$E:$E, MATCH($A151, 'UZ-normalized'!$A:$A, 0))), 0), 0)))</f>
        <v>-129.19999999999999</v>
      </c>
      <c r="AO151" s="6">
        <f>MIN(0, N151+(IFERROR(IF(27*INDEX('UA-normalized'!$D:$D, MATCH($A151, 'UA-normalized'!$A:$A, 0))-INDEX('UA-normalized'!$E:$E, MATCH($A151, 'UA-normalized'!$A:$A, 0))&gt;0, -(27*INDEX('UA-normalized'!$D:$D, MATCH($A151, 'UA-normalized'!$A:$A, 0))-INDEX('UA-normalized'!$E:$E, MATCH($A151, 'UA-normalized'!$A:$A, 0))), 0), 0))+(IFERROR(IF(27*INDEX('KZ-normalized'!$D:$D, MATCH($A151, 'KZ-normalized'!$A:$A, 0))-INDEX('KZ-normalized'!$E:$E, MATCH($A151, 'KZ-normalized'!$A:$A, 0))&gt;0, -(27*INDEX('KZ-normalized'!$D:$D, MATCH($A151, 'KZ-normalized'!$A:$A, 0))-INDEX('KZ-normalized'!$E:$E, MATCH($A151, 'KZ-normalized'!$A:$A, 0))), 0), 0))+(IFERROR(IF(27*INDEX('UZ-normalized'!$D:$D, MATCH($A151, 'UZ-normalized'!$A:$A, 0))-INDEX('UZ-normalized'!$E:$E, MATCH($A151, 'UZ-normalized'!$A:$A, 0))&gt;0, -(27*INDEX('UZ-normalized'!$D:$D, MATCH($A151, 'UZ-normalized'!$A:$A, 0))-INDEX('UZ-normalized'!$E:$E, MATCH($A151, 'UZ-normalized'!$A:$A, 0))), 0), 0)))</f>
        <v>-134.4</v>
      </c>
      <c r="AP151" s="6">
        <f>MIN(0, N151+(IFERROR(IF(28*INDEX('UA-normalized'!$D:$D, MATCH($A151, 'UA-normalized'!$A:$A, 0))-INDEX('UA-normalized'!$E:$E, MATCH($A151, 'UA-normalized'!$A:$A, 0))&gt;0, -(28*INDEX('UA-normalized'!$D:$D, MATCH($A151, 'UA-normalized'!$A:$A, 0))-INDEX('UA-normalized'!$E:$E, MATCH($A151, 'UA-normalized'!$A:$A, 0))), 0), 0))+(IFERROR(IF(28*INDEX('KZ-normalized'!$D:$D, MATCH($A151, 'KZ-normalized'!$A:$A, 0))-INDEX('KZ-normalized'!$E:$E, MATCH($A151, 'KZ-normalized'!$A:$A, 0))&gt;0, -(28*INDEX('KZ-normalized'!$D:$D, MATCH($A151, 'KZ-normalized'!$A:$A, 0))-INDEX('KZ-normalized'!$E:$E, MATCH($A151, 'KZ-normalized'!$A:$A, 0))), 0), 0))+(IFERROR(IF(28*INDEX('UZ-normalized'!$D:$D, MATCH($A151, 'UZ-normalized'!$A:$A, 0))-INDEX('UZ-normalized'!$E:$E, MATCH($A151, 'UZ-normalized'!$A:$A, 0))&gt;0, -(28*INDEX('UZ-normalized'!$D:$D, MATCH($A151, 'UZ-normalized'!$A:$A, 0))-INDEX('UZ-normalized'!$E:$E, MATCH($A151, 'UZ-normalized'!$A:$A, 0))), 0), 0)))</f>
        <v>-139.6</v>
      </c>
      <c r="AQ151" s="6">
        <f>MIN(0, N151+(IFERROR(IF(29*INDEX('UA-normalized'!$D:$D, MATCH($A151, 'UA-normalized'!$A:$A, 0))-INDEX('UA-normalized'!$E:$E, MATCH($A151, 'UA-normalized'!$A:$A, 0))&gt;0, -(29*INDEX('UA-normalized'!$D:$D, MATCH($A151, 'UA-normalized'!$A:$A, 0))-INDEX('UA-normalized'!$E:$E, MATCH($A151, 'UA-normalized'!$A:$A, 0))), 0), 0))+(IFERROR(IF(29*INDEX('KZ-normalized'!$D:$D, MATCH($A151, 'KZ-normalized'!$A:$A, 0))-INDEX('KZ-normalized'!$E:$E, MATCH($A151, 'KZ-normalized'!$A:$A, 0))&gt;0, -(29*INDEX('KZ-normalized'!$D:$D, MATCH($A151, 'KZ-normalized'!$A:$A, 0))-INDEX('KZ-normalized'!$E:$E, MATCH($A151, 'KZ-normalized'!$A:$A, 0))), 0), 0))+(IFERROR(IF(29*INDEX('UZ-normalized'!$D:$D, MATCH($A151, 'UZ-normalized'!$A:$A, 0))-INDEX('UZ-normalized'!$E:$E, MATCH($A151, 'UZ-normalized'!$A:$A, 0))&gt;0, -(29*INDEX('UZ-normalized'!$D:$D, MATCH($A151, 'UZ-normalized'!$A:$A, 0))-INDEX('UZ-normalized'!$E:$E, MATCH($A151, 'UZ-normalized'!$A:$A, 0))), 0), 0)))</f>
        <v>-144.80000000000001</v>
      </c>
      <c r="AR151" s="6">
        <f>MIN(0, N151+(IFERROR(IF(30*INDEX('UA-normalized'!$D:$D, MATCH($A151, 'UA-normalized'!$A:$A, 0))-INDEX('UA-normalized'!$E:$E, MATCH($A151, 'UA-normalized'!$A:$A, 0))&gt;0, -(30*INDEX('UA-normalized'!$D:$D, MATCH($A151, 'UA-normalized'!$A:$A, 0))-INDEX('UA-normalized'!$E:$E, MATCH($A151, 'UA-normalized'!$A:$A, 0))), 0), 0))+(IFERROR(IF(30*INDEX('KZ-normalized'!$D:$D, MATCH($A151, 'KZ-normalized'!$A:$A, 0))-INDEX('KZ-normalized'!$E:$E, MATCH($A151, 'KZ-normalized'!$A:$A, 0))&gt;0, -(30*INDEX('KZ-normalized'!$D:$D, MATCH($A151, 'KZ-normalized'!$A:$A, 0))-INDEX('KZ-normalized'!$E:$E, MATCH($A151, 'KZ-normalized'!$A:$A, 0))), 0), 0))+(IFERROR(IF(30*INDEX('UZ-normalized'!$D:$D, MATCH($A151, 'UZ-normalized'!$A:$A, 0))-INDEX('UZ-normalized'!$E:$E, MATCH($A151, 'UZ-normalized'!$A:$A, 0))&gt;0, -(30*INDEX('UZ-normalized'!$D:$D, MATCH($A151, 'UZ-normalized'!$A:$A, 0))-INDEX('UZ-normalized'!$E:$E, MATCH($A151, 'UZ-normalized'!$A:$A, 0))), 0), 0)))</f>
        <v>-150</v>
      </c>
    </row>
    <row r="152" spans="1:44" x14ac:dyDescent="0.25">
      <c r="A152" s="8" t="s">
        <v>368</v>
      </c>
      <c r="B152" s="8" t="s">
        <v>363</v>
      </c>
      <c r="C152" s="8" t="s">
        <v>364</v>
      </c>
      <c r="D152" s="8" t="s">
        <v>369</v>
      </c>
      <c r="G152">
        <v>-50</v>
      </c>
      <c r="N152">
        <f t="shared" si="2"/>
        <v>-50</v>
      </c>
      <c r="O152" s="6">
        <f>MIN(0, N152+(IFERROR(IF(1*INDEX('UA-normalized'!$D:$D, MATCH($A152, 'UA-normalized'!$A:$A, 0))-INDEX('UA-normalized'!$E:$E, MATCH($A152, 'UA-normalized'!$A:$A, 0))&gt;0, -(1*INDEX('UA-normalized'!$D:$D, MATCH($A152, 'UA-normalized'!$A:$A, 0))-INDEX('UA-normalized'!$E:$E, MATCH($A152, 'UA-normalized'!$A:$A, 0))), 0), 0))+(IFERROR(IF(1*INDEX('KZ-normalized'!$D:$D, MATCH($A152, 'KZ-normalized'!$A:$A, 0))-INDEX('KZ-normalized'!$E:$E, MATCH($A152, 'KZ-normalized'!$A:$A, 0))&gt;0, -(1*INDEX('KZ-normalized'!$D:$D, MATCH($A152, 'KZ-normalized'!$A:$A, 0))-INDEX('KZ-normalized'!$E:$E, MATCH($A152, 'KZ-normalized'!$A:$A, 0))), 0), 0))+(IFERROR(IF(1*INDEX('UZ-normalized'!$D:$D, MATCH($A152, 'UZ-normalized'!$A:$A, 0))-INDEX('UZ-normalized'!$E:$E, MATCH($A152, 'UZ-normalized'!$A:$A, 0))&gt;0, -(1*INDEX('UZ-normalized'!$D:$D, MATCH($A152, 'UZ-normalized'!$A:$A, 0))-INDEX('UZ-normalized'!$E:$E, MATCH($A152, 'UZ-normalized'!$A:$A, 0))), 0), 0)))</f>
        <v>-50</v>
      </c>
      <c r="P152" s="6">
        <f>MIN(0, N152+(IFERROR(IF(2*INDEX('UA-normalized'!$D:$D, MATCH($A152, 'UA-normalized'!$A:$A, 0))-INDEX('UA-normalized'!$E:$E, MATCH($A152, 'UA-normalized'!$A:$A, 0))&gt;0, -(2*INDEX('UA-normalized'!$D:$D, MATCH($A152, 'UA-normalized'!$A:$A, 0))-INDEX('UA-normalized'!$E:$E, MATCH($A152, 'UA-normalized'!$A:$A, 0))), 0), 0))+(IFERROR(IF(2*INDEX('KZ-normalized'!$D:$D, MATCH($A152, 'KZ-normalized'!$A:$A, 0))-INDEX('KZ-normalized'!$E:$E, MATCH($A152, 'KZ-normalized'!$A:$A, 0))&gt;0, -(2*INDEX('KZ-normalized'!$D:$D, MATCH($A152, 'KZ-normalized'!$A:$A, 0))-INDEX('KZ-normalized'!$E:$E, MATCH($A152, 'KZ-normalized'!$A:$A, 0))), 0), 0))+(IFERROR(IF(2*INDEX('UZ-normalized'!$D:$D, MATCH($A152, 'UZ-normalized'!$A:$A, 0))-INDEX('UZ-normalized'!$E:$E, MATCH($A152, 'UZ-normalized'!$A:$A, 0))&gt;0, -(2*INDEX('UZ-normalized'!$D:$D, MATCH($A152, 'UZ-normalized'!$A:$A, 0))-INDEX('UZ-normalized'!$E:$E, MATCH($A152, 'UZ-normalized'!$A:$A, 0))), 0), 0)))</f>
        <v>-50</v>
      </c>
      <c r="Q152" s="6">
        <f>MIN(0, N152+(IFERROR(IF(3*INDEX('UA-normalized'!$D:$D, MATCH($A152, 'UA-normalized'!$A:$A, 0))-INDEX('UA-normalized'!$E:$E, MATCH($A152, 'UA-normalized'!$A:$A, 0))&gt;0, -(3*INDEX('UA-normalized'!$D:$D, MATCH($A152, 'UA-normalized'!$A:$A, 0))-INDEX('UA-normalized'!$E:$E, MATCH($A152, 'UA-normalized'!$A:$A, 0))), 0), 0))+(IFERROR(IF(3*INDEX('KZ-normalized'!$D:$D, MATCH($A152, 'KZ-normalized'!$A:$A, 0))-INDEX('KZ-normalized'!$E:$E, MATCH($A152, 'KZ-normalized'!$A:$A, 0))&gt;0, -(3*INDEX('KZ-normalized'!$D:$D, MATCH($A152, 'KZ-normalized'!$A:$A, 0))-INDEX('KZ-normalized'!$E:$E, MATCH($A152, 'KZ-normalized'!$A:$A, 0))), 0), 0))+(IFERROR(IF(3*INDEX('UZ-normalized'!$D:$D, MATCH($A152, 'UZ-normalized'!$A:$A, 0))-INDEX('UZ-normalized'!$E:$E, MATCH($A152, 'UZ-normalized'!$A:$A, 0))&gt;0, -(3*INDEX('UZ-normalized'!$D:$D, MATCH($A152, 'UZ-normalized'!$A:$A, 0))-INDEX('UZ-normalized'!$E:$E, MATCH($A152, 'UZ-normalized'!$A:$A, 0))), 0), 0)))</f>
        <v>-50</v>
      </c>
      <c r="R152" s="6">
        <f>MIN(0, N152+(IFERROR(IF(4*INDEX('UA-normalized'!$D:$D, MATCH($A152, 'UA-normalized'!$A:$A, 0))-INDEX('UA-normalized'!$E:$E, MATCH($A152, 'UA-normalized'!$A:$A, 0))&gt;0, -(4*INDEX('UA-normalized'!$D:$D, MATCH($A152, 'UA-normalized'!$A:$A, 0))-INDEX('UA-normalized'!$E:$E, MATCH($A152, 'UA-normalized'!$A:$A, 0))), 0), 0))+(IFERROR(IF(4*INDEX('KZ-normalized'!$D:$D, MATCH($A152, 'KZ-normalized'!$A:$A, 0))-INDEX('KZ-normalized'!$E:$E, MATCH($A152, 'KZ-normalized'!$A:$A, 0))&gt;0, -(4*INDEX('KZ-normalized'!$D:$D, MATCH($A152, 'KZ-normalized'!$A:$A, 0))-INDEX('KZ-normalized'!$E:$E, MATCH($A152, 'KZ-normalized'!$A:$A, 0))), 0), 0))+(IFERROR(IF(4*INDEX('UZ-normalized'!$D:$D, MATCH($A152, 'UZ-normalized'!$A:$A, 0))-INDEX('UZ-normalized'!$E:$E, MATCH($A152, 'UZ-normalized'!$A:$A, 0))&gt;0, -(4*INDEX('UZ-normalized'!$D:$D, MATCH($A152, 'UZ-normalized'!$A:$A, 0))-INDEX('UZ-normalized'!$E:$E, MATCH($A152, 'UZ-normalized'!$A:$A, 0))), 0), 0)))</f>
        <v>-50</v>
      </c>
      <c r="S152" s="6">
        <f>MIN(0, N152+(IFERROR(IF(5*INDEX('UA-normalized'!$D:$D, MATCH($A152, 'UA-normalized'!$A:$A, 0))-INDEX('UA-normalized'!$E:$E, MATCH($A152, 'UA-normalized'!$A:$A, 0))&gt;0, -(5*INDEX('UA-normalized'!$D:$D, MATCH($A152, 'UA-normalized'!$A:$A, 0))-INDEX('UA-normalized'!$E:$E, MATCH($A152, 'UA-normalized'!$A:$A, 0))), 0), 0))+(IFERROR(IF(5*INDEX('KZ-normalized'!$D:$D, MATCH($A152, 'KZ-normalized'!$A:$A, 0))-INDEX('KZ-normalized'!$E:$E, MATCH($A152, 'KZ-normalized'!$A:$A, 0))&gt;0, -(5*INDEX('KZ-normalized'!$D:$D, MATCH($A152, 'KZ-normalized'!$A:$A, 0))-INDEX('KZ-normalized'!$E:$E, MATCH($A152, 'KZ-normalized'!$A:$A, 0))), 0), 0))+(IFERROR(IF(5*INDEX('UZ-normalized'!$D:$D, MATCH($A152, 'UZ-normalized'!$A:$A, 0))-INDEX('UZ-normalized'!$E:$E, MATCH($A152, 'UZ-normalized'!$A:$A, 0))&gt;0, -(5*INDEX('UZ-normalized'!$D:$D, MATCH($A152, 'UZ-normalized'!$A:$A, 0))-INDEX('UZ-normalized'!$E:$E, MATCH($A152, 'UZ-normalized'!$A:$A, 0))), 0), 0)))</f>
        <v>-51</v>
      </c>
      <c r="T152" s="6">
        <f>MIN(0, N152+(IFERROR(IF(6*INDEX('UA-normalized'!$D:$D, MATCH($A152, 'UA-normalized'!$A:$A, 0))-INDEX('UA-normalized'!$E:$E, MATCH($A152, 'UA-normalized'!$A:$A, 0))&gt;0, -(6*INDEX('UA-normalized'!$D:$D, MATCH($A152, 'UA-normalized'!$A:$A, 0))-INDEX('UA-normalized'!$E:$E, MATCH($A152, 'UA-normalized'!$A:$A, 0))), 0), 0))+(IFERROR(IF(6*INDEX('KZ-normalized'!$D:$D, MATCH($A152, 'KZ-normalized'!$A:$A, 0))-INDEX('KZ-normalized'!$E:$E, MATCH($A152, 'KZ-normalized'!$A:$A, 0))&gt;0, -(6*INDEX('KZ-normalized'!$D:$D, MATCH($A152, 'KZ-normalized'!$A:$A, 0))-INDEX('KZ-normalized'!$E:$E, MATCH($A152, 'KZ-normalized'!$A:$A, 0))), 0), 0))+(IFERROR(IF(6*INDEX('UZ-normalized'!$D:$D, MATCH($A152, 'UZ-normalized'!$A:$A, 0))-INDEX('UZ-normalized'!$E:$E, MATCH($A152, 'UZ-normalized'!$A:$A, 0))&gt;0, -(6*INDEX('UZ-normalized'!$D:$D, MATCH($A152, 'UZ-normalized'!$A:$A, 0))-INDEX('UZ-normalized'!$E:$E, MATCH($A152, 'UZ-normalized'!$A:$A, 0))), 0), 0)))</f>
        <v>-115</v>
      </c>
      <c r="U152" s="6">
        <f>MIN(0, N152+(IFERROR(IF(7*INDEX('UA-normalized'!$D:$D, MATCH($A152, 'UA-normalized'!$A:$A, 0))-INDEX('UA-normalized'!$E:$E, MATCH($A152, 'UA-normalized'!$A:$A, 0))&gt;0, -(7*INDEX('UA-normalized'!$D:$D, MATCH($A152, 'UA-normalized'!$A:$A, 0))-INDEX('UA-normalized'!$E:$E, MATCH($A152, 'UA-normalized'!$A:$A, 0))), 0), 0))+(IFERROR(IF(7*INDEX('KZ-normalized'!$D:$D, MATCH($A152, 'KZ-normalized'!$A:$A, 0))-INDEX('KZ-normalized'!$E:$E, MATCH($A152, 'KZ-normalized'!$A:$A, 0))&gt;0, -(7*INDEX('KZ-normalized'!$D:$D, MATCH($A152, 'KZ-normalized'!$A:$A, 0))-INDEX('KZ-normalized'!$E:$E, MATCH($A152, 'KZ-normalized'!$A:$A, 0))), 0), 0))+(IFERROR(IF(7*INDEX('UZ-normalized'!$D:$D, MATCH($A152, 'UZ-normalized'!$A:$A, 0))-INDEX('UZ-normalized'!$E:$E, MATCH($A152, 'UZ-normalized'!$A:$A, 0))&gt;0, -(7*INDEX('UZ-normalized'!$D:$D, MATCH($A152, 'UZ-normalized'!$A:$A, 0))-INDEX('UZ-normalized'!$E:$E, MATCH($A152, 'UZ-normalized'!$A:$A, 0))), 0), 0)))</f>
        <v>-179</v>
      </c>
      <c r="V152" s="6">
        <f>MIN(0, N152+(IFERROR(IF(8*INDEX('UA-normalized'!$D:$D, MATCH($A152, 'UA-normalized'!$A:$A, 0))-INDEX('UA-normalized'!$E:$E, MATCH($A152, 'UA-normalized'!$A:$A, 0))&gt;0, -(8*INDEX('UA-normalized'!$D:$D, MATCH($A152, 'UA-normalized'!$A:$A, 0))-INDEX('UA-normalized'!$E:$E, MATCH($A152, 'UA-normalized'!$A:$A, 0))), 0), 0))+(IFERROR(IF(8*INDEX('KZ-normalized'!$D:$D, MATCH($A152, 'KZ-normalized'!$A:$A, 0))-INDEX('KZ-normalized'!$E:$E, MATCH($A152, 'KZ-normalized'!$A:$A, 0))&gt;0, -(8*INDEX('KZ-normalized'!$D:$D, MATCH($A152, 'KZ-normalized'!$A:$A, 0))-INDEX('KZ-normalized'!$E:$E, MATCH($A152, 'KZ-normalized'!$A:$A, 0))), 0), 0))+(IFERROR(IF(8*INDEX('UZ-normalized'!$D:$D, MATCH($A152, 'UZ-normalized'!$A:$A, 0))-INDEX('UZ-normalized'!$E:$E, MATCH($A152, 'UZ-normalized'!$A:$A, 0))&gt;0, -(8*INDEX('UZ-normalized'!$D:$D, MATCH($A152, 'UZ-normalized'!$A:$A, 0))-INDEX('UZ-normalized'!$E:$E, MATCH($A152, 'UZ-normalized'!$A:$A, 0))), 0), 0)))</f>
        <v>-245</v>
      </c>
      <c r="W152" s="6">
        <f>MIN(0, N152+(IFERROR(IF(9*INDEX('UA-normalized'!$D:$D, MATCH($A152, 'UA-normalized'!$A:$A, 0))-INDEX('UA-normalized'!$E:$E, MATCH($A152, 'UA-normalized'!$A:$A, 0))&gt;0, -(9*INDEX('UA-normalized'!$D:$D, MATCH($A152, 'UA-normalized'!$A:$A, 0))-INDEX('UA-normalized'!$E:$E, MATCH($A152, 'UA-normalized'!$A:$A, 0))), 0), 0))+(IFERROR(IF(9*INDEX('KZ-normalized'!$D:$D, MATCH($A152, 'KZ-normalized'!$A:$A, 0))-INDEX('KZ-normalized'!$E:$E, MATCH($A152, 'KZ-normalized'!$A:$A, 0))&gt;0, -(9*INDEX('KZ-normalized'!$D:$D, MATCH($A152, 'KZ-normalized'!$A:$A, 0))-INDEX('KZ-normalized'!$E:$E, MATCH($A152, 'KZ-normalized'!$A:$A, 0))), 0), 0))+(IFERROR(IF(9*INDEX('UZ-normalized'!$D:$D, MATCH($A152, 'UZ-normalized'!$A:$A, 0))-INDEX('UZ-normalized'!$E:$E, MATCH($A152, 'UZ-normalized'!$A:$A, 0))&gt;0, -(9*INDEX('UZ-normalized'!$D:$D, MATCH($A152, 'UZ-normalized'!$A:$A, 0))-INDEX('UZ-normalized'!$E:$E, MATCH($A152, 'UZ-normalized'!$A:$A, 0))), 0), 0)))</f>
        <v>-312</v>
      </c>
      <c r="X152" s="6">
        <f>MIN(0, N152+(IFERROR(IF(10*INDEX('UA-normalized'!$D:$D, MATCH($A152, 'UA-normalized'!$A:$A, 0))-INDEX('UA-normalized'!$E:$E, MATCH($A152, 'UA-normalized'!$A:$A, 0))&gt;0, -(10*INDEX('UA-normalized'!$D:$D, MATCH($A152, 'UA-normalized'!$A:$A, 0))-INDEX('UA-normalized'!$E:$E, MATCH($A152, 'UA-normalized'!$A:$A, 0))), 0), 0))+(IFERROR(IF(10*INDEX('KZ-normalized'!$D:$D, MATCH($A152, 'KZ-normalized'!$A:$A, 0))-INDEX('KZ-normalized'!$E:$E, MATCH($A152, 'KZ-normalized'!$A:$A, 0))&gt;0, -(10*INDEX('KZ-normalized'!$D:$D, MATCH($A152, 'KZ-normalized'!$A:$A, 0))-INDEX('KZ-normalized'!$E:$E, MATCH($A152, 'KZ-normalized'!$A:$A, 0))), 0), 0))+(IFERROR(IF(10*INDEX('UZ-normalized'!$D:$D, MATCH($A152, 'UZ-normalized'!$A:$A, 0))-INDEX('UZ-normalized'!$E:$E, MATCH($A152, 'UZ-normalized'!$A:$A, 0))&gt;0, -(10*INDEX('UZ-normalized'!$D:$D, MATCH($A152, 'UZ-normalized'!$A:$A, 0))-INDEX('UZ-normalized'!$E:$E, MATCH($A152, 'UZ-normalized'!$A:$A, 0))), 0), 0)))</f>
        <v>-379</v>
      </c>
      <c r="Y152" s="6">
        <f>MIN(0, N152+(IFERROR(IF(11*INDEX('UA-normalized'!$D:$D, MATCH($A152, 'UA-normalized'!$A:$A, 0))-INDEX('UA-normalized'!$E:$E, MATCH($A152, 'UA-normalized'!$A:$A, 0))&gt;0, -(11*INDEX('UA-normalized'!$D:$D, MATCH($A152, 'UA-normalized'!$A:$A, 0))-INDEX('UA-normalized'!$E:$E, MATCH($A152, 'UA-normalized'!$A:$A, 0))), 0), 0))+(IFERROR(IF(11*INDEX('KZ-normalized'!$D:$D, MATCH($A152, 'KZ-normalized'!$A:$A, 0))-INDEX('KZ-normalized'!$E:$E, MATCH($A152, 'KZ-normalized'!$A:$A, 0))&gt;0, -(11*INDEX('KZ-normalized'!$D:$D, MATCH($A152, 'KZ-normalized'!$A:$A, 0))-INDEX('KZ-normalized'!$E:$E, MATCH($A152, 'KZ-normalized'!$A:$A, 0))), 0), 0))+(IFERROR(IF(11*INDEX('UZ-normalized'!$D:$D, MATCH($A152, 'UZ-normalized'!$A:$A, 0))-INDEX('UZ-normalized'!$E:$E, MATCH($A152, 'UZ-normalized'!$A:$A, 0))&gt;0, -(11*INDEX('UZ-normalized'!$D:$D, MATCH($A152, 'UZ-normalized'!$A:$A, 0))-INDEX('UZ-normalized'!$E:$E, MATCH($A152, 'UZ-normalized'!$A:$A, 0))), 0), 0)))</f>
        <v>-446</v>
      </c>
      <c r="Z152" s="6">
        <f>MIN(0, N152+(IFERROR(IF(12*INDEX('UA-normalized'!$D:$D, MATCH($A152, 'UA-normalized'!$A:$A, 0))-INDEX('UA-normalized'!$E:$E, MATCH($A152, 'UA-normalized'!$A:$A, 0))&gt;0, -(12*INDEX('UA-normalized'!$D:$D, MATCH($A152, 'UA-normalized'!$A:$A, 0))-INDEX('UA-normalized'!$E:$E, MATCH($A152, 'UA-normalized'!$A:$A, 0))), 0), 0))+(IFERROR(IF(12*INDEX('KZ-normalized'!$D:$D, MATCH($A152, 'KZ-normalized'!$A:$A, 0))-INDEX('KZ-normalized'!$E:$E, MATCH($A152, 'KZ-normalized'!$A:$A, 0))&gt;0, -(12*INDEX('KZ-normalized'!$D:$D, MATCH($A152, 'KZ-normalized'!$A:$A, 0))-INDEX('KZ-normalized'!$E:$E, MATCH($A152, 'KZ-normalized'!$A:$A, 0))), 0), 0))+(IFERROR(IF(12*INDEX('UZ-normalized'!$D:$D, MATCH($A152, 'UZ-normalized'!$A:$A, 0))-INDEX('UZ-normalized'!$E:$E, MATCH($A152, 'UZ-normalized'!$A:$A, 0))&gt;0, -(12*INDEX('UZ-normalized'!$D:$D, MATCH($A152, 'UZ-normalized'!$A:$A, 0))-INDEX('UZ-normalized'!$E:$E, MATCH($A152, 'UZ-normalized'!$A:$A, 0))), 0), 0)))</f>
        <v>-513</v>
      </c>
      <c r="AA152" s="6">
        <f>MIN(0, N152+(IFERROR(IF(13*INDEX('UA-normalized'!$D:$D, MATCH($A152, 'UA-normalized'!$A:$A, 0))-INDEX('UA-normalized'!$E:$E, MATCH($A152, 'UA-normalized'!$A:$A, 0))&gt;0, -(13*INDEX('UA-normalized'!$D:$D, MATCH($A152, 'UA-normalized'!$A:$A, 0))-INDEX('UA-normalized'!$E:$E, MATCH($A152, 'UA-normalized'!$A:$A, 0))), 0), 0))+(IFERROR(IF(13*INDEX('KZ-normalized'!$D:$D, MATCH($A152, 'KZ-normalized'!$A:$A, 0))-INDEX('KZ-normalized'!$E:$E, MATCH($A152, 'KZ-normalized'!$A:$A, 0))&gt;0, -(13*INDEX('KZ-normalized'!$D:$D, MATCH($A152, 'KZ-normalized'!$A:$A, 0))-INDEX('KZ-normalized'!$E:$E, MATCH($A152, 'KZ-normalized'!$A:$A, 0))), 0), 0))+(IFERROR(IF(13*INDEX('UZ-normalized'!$D:$D, MATCH($A152, 'UZ-normalized'!$A:$A, 0))-INDEX('UZ-normalized'!$E:$E, MATCH($A152, 'UZ-normalized'!$A:$A, 0))&gt;0, -(13*INDEX('UZ-normalized'!$D:$D, MATCH($A152, 'UZ-normalized'!$A:$A, 0))-INDEX('UZ-normalized'!$E:$E, MATCH($A152, 'UZ-normalized'!$A:$A, 0))), 0), 0)))</f>
        <v>-580</v>
      </c>
      <c r="AB152" s="6">
        <f>MIN(0, N152+(IFERROR(IF(14*INDEX('UA-normalized'!$D:$D, MATCH($A152, 'UA-normalized'!$A:$A, 0))-INDEX('UA-normalized'!$E:$E, MATCH($A152, 'UA-normalized'!$A:$A, 0))&gt;0, -(14*INDEX('UA-normalized'!$D:$D, MATCH($A152, 'UA-normalized'!$A:$A, 0))-INDEX('UA-normalized'!$E:$E, MATCH($A152, 'UA-normalized'!$A:$A, 0))), 0), 0))+(IFERROR(IF(14*INDEX('KZ-normalized'!$D:$D, MATCH($A152, 'KZ-normalized'!$A:$A, 0))-INDEX('KZ-normalized'!$E:$E, MATCH($A152, 'KZ-normalized'!$A:$A, 0))&gt;0, -(14*INDEX('KZ-normalized'!$D:$D, MATCH($A152, 'KZ-normalized'!$A:$A, 0))-INDEX('KZ-normalized'!$E:$E, MATCH($A152, 'KZ-normalized'!$A:$A, 0))), 0), 0))+(IFERROR(IF(14*INDEX('UZ-normalized'!$D:$D, MATCH($A152, 'UZ-normalized'!$A:$A, 0))-INDEX('UZ-normalized'!$E:$E, MATCH($A152, 'UZ-normalized'!$A:$A, 0))&gt;0, -(14*INDEX('UZ-normalized'!$D:$D, MATCH($A152, 'UZ-normalized'!$A:$A, 0))-INDEX('UZ-normalized'!$E:$E, MATCH($A152, 'UZ-normalized'!$A:$A, 0))), 0), 0)))</f>
        <v>-647</v>
      </c>
      <c r="AC152" s="6">
        <f>MIN(0, N152+(IFERROR(IF(15*INDEX('UA-normalized'!$D:$D, MATCH($A152, 'UA-normalized'!$A:$A, 0))-INDEX('UA-normalized'!$E:$E, MATCH($A152, 'UA-normalized'!$A:$A, 0))&gt;0, -(15*INDEX('UA-normalized'!$D:$D, MATCH($A152, 'UA-normalized'!$A:$A, 0))-INDEX('UA-normalized'!$E:$E, MATCH($A152, 'UA-normalized'!$A:$A, 0))), 0), 0))+(IFERROR(IF(15*INDEX('KZ-normalized'!$D:$D, MATCH($A152, 'KZ-normalized'!$A:$A, 0))-INDEX('KZ-normalized'!$E:$E, MATCH($A152, 'KZ-normalized'!$A:$A, 0))&gt;0, -(15*INDEX('KZ-normalized'!$D:$D, MATCH($A152, 'KZ-normalized'!$A:$A, 0))-INDEX('KZ-normalized'!$E:$E, MATCH($A152, 'KZ-normalized'!$A:$A, 0))), 0), 0))+(IFERROR(IF(15*INDEX('UZ-normalized'!$D:$D, MATCH($A152, 'UZ-normalized'!$A:$A, 0))-INDEX('UZ-normalized'!$E:$E, MATCH($A152, 'UZ-normalized'!$A:$A, 0))&gt;0, -(15*INDEX('UZ-normalized'!$D:$D, MATCH($A152, 'UZ-normalized'!$A:$A, 0))-INDEX('UZ-normalized'!$E:$E, MATCH($A152, 'UZ-normalized'!$A:$A, 0))), 0), 0)))</f>
        <v>-714</v>
      </c>
      <c r="AD152" s="6">
        <f>MIN(0, N152+(IFERROR(IF(16*INDEX('UA-normalized'!$D:$D, MATCH($A152, 'UA-normalized'!$A:$A, 0))-INDEX('UA-normalized'!$E:$E, MATCH($A152, 'UA-normalized'!$A:$A, 0))&gt;0, -(16*INDEX('UA-normalized'!$D:$D, MATCH($A152, 'UA-normalized'!$A:$A, 0))-INDEX('UA-normalized'!$E:$E, MATCH($A152, 'UA-normalized'!$A:$A, 0))), 0), 0))+(IFERROR(IF(16*INDEX('KZ-normalized'!$D:$D, MATCH($A152, 'KZ-normalized'!$A:$A, 0))-INDEX('KZ-normalized'!$E:$E, MATCH($A152, 'KZ-normalized'!$A:$A, 0))&gt;0, -(16*INDEX('KZ-normalized'!$D:$D, MATCH($A152, 'KZ-normalized'!$A:$A, 0))-INDEX('KZ-normalized'!$E:$E, MATCH($A152, 'KZ-normalized'!$A:$A, 0))), 0), 0))+(IFERROR(IF(16*INDEX('UZ-normalized'!$D:$D, MATCH($A152, 'UZ-normalized'!$A:$A, 0))-INDEX('UZ-normalized'!$E:$E, MATCH($A152, 'UZ-normalized'!$A:$A, 0))&gt;0, -(16*INDEX('UZ-normalized'!$D:$D, MATCH($A152, 'UZ-normalized'!$A:$A, 0))-INDEX('UZ-normalized'!$E:$E, MATCH($A152, 'UZ-normalized'!$A:$A, 0))), 0), 0)))</f>
        <v>-781</v>
      </c>
      <c r="AE152" s="6">
        <f>MIN(0, N152+(IFERROR(IF(17*INDEX('UA-normalized'!$D:$D, MATCH($A152, 'UA-normalized'!$A:$A, 0))-INDEX('UA-normalized'!$E:$E, MATCH($A152, 'UA-normalized'!$A:$A, 0))&gt;0, -(17*INDEX('UA-normalized'!$D:$D, MATCH($A152, 'UA-normalized'!$A:$A, 0))-INDEX('UA-normalized'!$E:$E, MATCH($A152, 'UA-normalized'!$A:$A, 0))), 0), 0))+(IFERROR(IF(17*INDEX('KZ-normalized'!$D:$D, MATCH($A152, 'KZ-normalized'!$A:$A, 0))-INDEX('KZ-normalized'!$E:$E, MATCH($A152, 'KZ-normalized'!$A:$A, 0))&gt;0, -(17*INDEX('KZ-normalized'!$D:$D, MATCH($A152, 'KZ-normalized'!$A:$A, 0))-INDEX('KZ-normalized'!$E:$E, MATCH($A152, 'KZ-normalized'!$A:$A, 0))), 0), 0))+(IFERROR(IF(17*INDEX('UZ-normalized'!$D:$D, MATCH($A152, 'UZ-normalized'!$A:$A, 0))-INDEX('UZ-normalized'!$E:$E, MATCH($A152, 'UZ-normalized'!$A:$A, 0))&gt;0, -(17*INDEX('UZ-normalized'!$D:$D, MATCH($A152, 'UZ-normalized'!$A:$A, 0))-INDEX('UZ-normalized'!$E:$E, MATCH($A152, 'UZ-normalized'!$A:$A, 0))), 0), 0)))</f>
        <v>-848</v>
      </c>
      <c r="AF152" s="6">
        <f>MIN(0, N152+(IFERROR(IF(18*INDEX('UA-normalized'!$D:$D, MATCH($A152, 'UA-normalized'!$A:$A, 0))-INDEX('UA-normalized'!$E:$E, MATCH($A152, 'UA-normalized'!$A:$A, 0))&gt;0, -(18*INDEX('UA-normalized'!$D:$D, MATCH($A152, 'UA-normalized'!$A:$A, 0))-INDEX('UA-normalized'!$E:$E, MATCH($A152, 'UA-normalized'!$A:$A, 0))), 0), 0))+(IFERROR(IF(18*INDEX('KZ-normalized'!$D:$D, MATCH($A152, 'KZ-normalized'!$A:$A, 0))-INDEX('KZ-normalized'!$E:$E, MATCH($A152, 'KZ-normalized'!$A:$A, 0))&gt;0, -(18*INDEX('KZ-normalized'!$D:$D, MATCH($A152, 'KZ-normalized'!$A:$A, 0))-INDEX('KZ-normalized'!$E:$E, MATCH($A152, 'KZ-normalized'!$A:$A, 0))), 0), 0))+(IFERROR(IF(18*INDEX('UZ-normalized'!$D:$D, MATCH($A152, 'UZ-normalized'!$A:$A, 0))-INDEX('UZ-normalized'!$E:$E, MATCH($A152, 'UZ-normalized'!$A:$A, 0))&gt;0, -(18*INDEX('UZ-normalized'!$D:$D, MATCH($A152, 'UZ-normalized'!$A:$A, 0))-INDEX('UZ-normalized'!$E:$E, MATCH($A152, 'UZ-normalized'!$A:$A, 0))), 0), 0)))</f>
        <v>-915</v>
      </c>
      <c r="AG152" s="6">
        <f>MIN(0, N152+(IFERROR(IF(19*INDEX('UA-normalized'!$D:$D, MATCH($A152, 'UA-normalized'!$A:$A, 0))-INDEX('UA-normalized'!$E:$E, MATCH($A152, 'UA-normalized'!$A:$A, 0))&gt;0, -(19*INDEX('UA-normalized'!$D:$D, MATCH($A152, 'UA-normalized'!$A:$A, 0))-INDEX('UA-normalized'!$E:$E, MATCH($A152, 'UA-normalized'!$A:$A, 0))), 0), 0))+(IFERROR(IF(19*INDEX('KZ-normalized'!$D:$D, MATCH($A152, 'KZ-normalized'!$A:$A, 0))-INDEX('KZ-normalized'!$E:$E, MATCH($A152, 'KZ-normalized'!$A:$A, 0))&gt;0, -(19*INDEX('KZ-normalized'!$D:$D, MATCH($A152, 'KZ-normalized'!$A:$A, 0))-INDEX('KZ-normalized'!$E:$E, MATCH($A152, 'KZ-normalized'!$A:$A, 0))), 0), 0))+(IFERROR(IF(19*INDEX('UZ-normalized'!$D:$D, MATCH($A152, 'UZ-normalized'!$A:$A, 0))-INDEX('UZ-normalized'!$E:$E, MATCH($A152, 'UZ-normalized'!$A:$A, 0))&gt;0, -(19*INDEX('UZ-normalized'!$D:$D, MATCH($A152, 'UZ-normalized'!$A:$A, 0))-INDEX('UZ-normalized'!$E:$E, MATCH($A152, 'UZ-normalized'!$A:$A, 0))), 0), 0)))</f>
        <v>-982</v>
      </c>
      <c r="AH152" s="6">
        <f>MIN(0, N152+(IFERROR(IF(20*INDEX('UA-normalized'!$D:$D, MATCH($A152, 'UA-normalized'!$A:$A, 0))-INDEX('UA-normalized'!$E:$E, MATCH($A152, 'UA-normalized'!$A:$A, 0))&gt;0, -(20*INDEX('UA-normalized'!$D:$D, MATCH($A152, 'UA-normalized'!$A:$A, 0))-INDEX('UA-normalized'!$E:$E, MATCH($A152, 'UA-normalized'!$A:$A, 0))), 0), 0))+(IFERROR(IF(20*INDEX('KZ-normalized'!$D:$D, MATCH($A152, 'KZ-normalized'!$A:$A, 0))-INDEX('KZ-normalized'!$E:$E, MATCH($A152, 'KZ-normalized'!$A:$A, 0))&gt;0, -(20*INDEX('KZ-normalized'!$D:$D, MATCH($A152, 'KZ-normalized'!$A:$A, 0))-INDEX('KZ-normalized'!$E:$E, MATCH($A152, 'KZ-normalized'!$A:$A, 0))), 0), 0))+(IFERROR(IF(20*INDEX('UZ-normalized'!$D:$D, MATCH($A152, 'UZ-normalized'!$A:$A, 0))-INDEX('UZ-normalized'!$E:$E, MATCH($A152, 'UZ-normalized'!$A:$A, 0))&gt;0, -(20*INDEX('UZ-normalized'!$D:$D, MATCH($A152, 'UZ-normalized'!$A:$A, 0))-INDEX('UZ-normalized'!$E:$E, MATCH($A152, 'UZ-normalized'!$A:$A, 0))), 0), 0)))</f>
        <v>-1049</v>
      </c>
      <c r="AI152" s="6">
        <f>MIN(0, N152+(IFERROR(IF(21*INDEX('UA-normalized'!$D:$D, MATCH($A152, 'UA-normalized'!$A:$A, 0))-INDEX('UA-normalized'!$E:$E, MATCH($A152, 'UA-normalized'!$A:$A, 0))&gt;0, -(21*INDEX('UA-normalized'!$D:$D, MATCH($A152, 'UA-normalized'!$A:$A, 0))-INDEX('UA-normalized'!$E:$E, MATCH($A152, 'UA-normalized'!$A:$A, 0))), 0), 0))+(IFERROR(IF(21*INDEX('KZ-normalized'!$D:$D, MATCH($A152, 'KZ-normalized'!$A:$A, 0))-INDEX('KZ-normalized'!$E:$E, MATCH($A152, 'KZ-normalized'!$A:$A, 0))&gt;0, -(21*INDEX('KZ-normalized'!$D:$D, MATCH($A152, 'KZ-normalized'!$A:$A, 0))-INDEX('KZ-normalized'!$E:$E, MATCH($A152, 'KZ-normalized'!$A:$A, 0))), 0), 0))+(IFERROR(IF(21*INDEX('UZ-normalized'!$D:$D, MATCH($A152, 'UZ-normalized'!$A:$A, 0))-INDEX('UZ-normalized'!$E:$E, MATCH($A152, 'UZ-normalized'!$A:$A, 0))&gt;0, -(21*INDEX('UZ-normalized'!$D:$D, MATCH($A152, 'UZ-normalized'!$A:$A, 0))-INDEX('UZ-normalized'!$E:$E, MATCH($A152, 'UZ-normalized'!$A:$A, 0))), 0), 0)))</f>
        <v>-1116</v>
      </c>
      <c r="AJ152" s="6">
        <f>MIN(0, N152+(IFERROR(IF(22*INDEX('UA-normalized'!$D:$D, MATCH($A152, 'UA-normalized'!$A:$A, 0))-INDEX('UA-normalized'!$E:$E, MATCH($A152, 'UA-normalized'!$A:$A, 0))&gt;0, -(22*INDEX('UA-normalized'!$D:$D, MATCH($A152, 'UA-normalized'!$A:$A, 0))-INDEX('UA-normalized'!$E:$E, MATCH($A152, 'UA-normalized'!$A:$A, 0))), 0), 0))+(IFERROR(IF(22*INDEX('KZ-normalized'!$D:$D, MATCH($A152, 'KZ-normalized'!$A:$A, 0))-INDEX('KZ-normalized'!$E:$E, MATCH($A152, 'KZ-normalized'!$A:$A, 0))&gt;0, -(22*INDEX('KZ-normalized'!$D:$D, MATCH($A152, 'KZ-normalized'!$A:$A, 0))-INDEX('KZ-normalized'!$E:$E, MATCH($A152, 'KZ-normalized'!$A:$A, 0))), 0), 0))+(IFERROR(IF(22*INDEX('UZ-normalized'!$D:$D, MATCH($A152, 'UZ-normalized'!$A:$A, 0))-INDEX('UZ-normalized'!$E:$E, MATCH($A152, 'UZ-normalized'!$A:$A, 0))&gt;0, -(22*INDEX('UZ-normalized'!$D:$D, MATCH($A152, 'UZ-normalized'!$A:$A, 0))-INDEX('UZ-normalized'!$E:$E, MATCH($A152, 'UZ-normalized'!$A:$A, 0))), 0), 0)))</f>
        <v>-1183</v>
      </c>
      <c r="AK152" s="6">
        <f>MIN(0, N152+(IFERROR(IF(23*INDEX('UA-normalized'!$D:$D, MATCH($A152, 'UA-normalized'!$A:$A, 0))-INDEX('UA-normalized'!$E:$E, MATCH($A152, 'UA-normalized'!$A:$A, 0))&gt;0, -(23*INDEX('UA-normalized'!$D:$D, MATCH($A152, 'UA-normalized'!$A:$A, 0))-INDEX('UA-normalized'!$E:$E, MATCH($A152, 'UA-normalized'!$A:$A, 0))), 0), 0))+(IFERROR(IF(23*INDEX('KZ-normalized'!$D:$D, MATCH($A152, 'KZ-normalized'!$A:$A, 0))-INDEX('KZ-normalized'!$E:$E, MATCH($A152, 'KZ-normalized'!$A:$A, 0))&gt;0, -(23*INDEX('KZ-normalized'!$D:$D, MATCH($A152, 'KZ-normalized'!$A:$A, 0))-INDEX('KZ-normalized'!$E:$E, MATCH($A152, 'KZ-normalized'!$A:$A, 0))), 0), 0))+(IFERROR(IF(23*INDEX('UZ-normalized'!$D:$D, MATCH($A152, 'UZ-normalized'!$A:$A, 0))-INDEX('UZ-normalized'!$E:$E, MATCH($A152, 'UZ-normalized'!$A:$A, 0))&gt;0, -(23*INDEX('UZ-normalized'!$D:$D, MATCH($A152, 'UZ-normalized'!$A:$A, 0))-INDEX('UZ-normalized'!$E:$E, MATCH($A152, 'UZ-normalized'!$A:$A, 0))), 0), 0)))</f>
        <v>-1250</v>
      </c>
      <c r="AL152" s="6">
        <f>MIN(0, N152+(IFERROR(IF(24*INDEX('UA-normalized'!$D:$D, MATCH($A152, 'UA-normalized'!$A:$A, 0))-INDEX('UA-normalized'!$E:$E, MATCH($A152, 'UA-normalized'!$A:$A, 0))&gt;0, -(24*INDEX('UA-normalized'!$D:$D, MATCH($A152, 'UA-normalized'!$A:$A, 0))-INDEX('UA-normalized'!$E:$E, MATCH($A152, 'UA-normalized'!$A:$A, 0))), 0), 0))+(IFERROR(IF(24*INDEX('KZ-normalized'!$D:$D, MATCH($A152, 'KZ-normalized'!$A:$A, 0))-INDEX('KZ-normalized'!$E:$E, MATCH($A152, 'KZ-normalized'!$A:$A, 0))&gt;0, -(24*INDEX('KZ-normalized'!$D:$D, MATCH($A152, 'KZ-normalized'!$A:$A, 0))-INDEX('KZ-normalized'!$E:$E, MATCH($A152, 'KZ-normalized'!$A:$A, 0))), 0), 0))+(IFERROR(IF(24*INDEX('UZ-normalized'!$D:$D, MATCH($A152, 'UZ-normalized'!$A:$A, 0))-INDEX('UZ-normalized'!$E:$E, MATCH($A152, 'UZ-normalized'!$A:$A, 0))&gt;0, -(24*INDEX('UZ-normalized'!$D:$D, MATCH($A152, 'UZ-normalized'!$A:$A, 0))-INDEX('UZ-normalized'!$E:$E, MATCH($A152, 'UZ-normalized'!$A:$A, 0))), 0), 0)))</f>
        <v>-1317</v>
      </c>
      <c r="AM152" s="6">
        <f>MIN(0, N152+(IFERROR(IF(25*INDEX('UA-normalized'!$D:$D, MATCH($A152, 'UA-normalized'!$A:$A, 0))-INDEX('UA-normalized'!$E:$E, MATCH($A152, 'UA-normalized'!$A:$A, 0))&gt;0, -(25*INDEX('UA-normalized'!$D:$D, MATCH($A152, 'UA-normalized'!$A:$A, 0))-INDEX('UA-normalized'!$E:$E, MATCH($A152, 'UA-normalized'!$A:$A, 0))), 0), 0))+(IFERROR(IF(25*INDEX('KZ-normalized'!$D:$D, MATCH($A152, 'KZ-normalized'!$A:$A, 0))-INDEX('KZ-normalized'!$E:$E, MATCH($A152, 'KZ-normalized'!$A:$A, 0))&gt;0, -(25*INDEX('KZ-normalized'!$D:$D, MATCH($A152, 'KZ-normalized'!$A:$A, 0))-INDEX('KZ-normalized'!$E:$E, MATCH($A152, 'KZ-normalized'!$A:$A, 0))), 0), 0))+(IFERROR(IF(25*INDEX('UZ-normalized'!$D:$D, MATCH($A152, 'UZ-normalized'!$A:$A, 0))-INDEX('UZ-normalized'!$E:$E, MATCH($A152, 'UZ-normalized'!$A:$A, 0))&gt;0, -(25*INDEX('UZ-normalized'!$D:$D, MATCH($A152, 'UZ-normalized'!$A:$A, 0))-INDEX('UZ-normalized'!$E:$E, MATCH($A152, 'UZ-normalized'!$A:$A, 0))), 0), 0)))</f>
        <v>-1384.75</v>
      </c>
      <c r="AN152" s="6">
        <f>MIN(0, N152+(IFERROR(IF(26*INDEX('UA-normalized'!$D:$D, MATCH($A152, 'UA-normalized'!$A:$A, 0))-INDEX('UA-normalized'!$E:$E, MATCH($A152, 'UA-normalized'!$A:$A, 0))&gt;0, -(26*INDEX('UA-normalized'!$D:$D, MATCH($A152, 'UA-normalized'!$A:$A, 0))-INDEX('UA-normalized'!$E:$E, MATCH($A152, 'UA-normalized'!$A:$A, 0))), 0), 0))+(IFERROR(IF(26*INDEX('KZ-normalized'!$D:$D, MATCH($A152, 'KZ-normalized'!$A:$A, 0))-INDEX('KZ-normalized'!$E:$E, MATCH($A152, 'KZ-normalized'!$A:$A, 0))&gt;0, -(26*INDEX('KZ-normalized'!$D:$D, MATCH($A152, 'KZ-normalized'!$A:$A, 0))-INDEX('KZ-normalized'!$E:$E, MATCH($A152, 'KZ-normalized'!$A:$A, 0))), 0), 0))+(IFERROR(IF(26*INDEX('UZ-normalized'!$D:$D, MATCH($A152, 'UZ-normalized'!$A:$A, 0))-INDEX('UZ-normalized'!$E:$E, MATCH($A152, 'UZ-normalized'!$A:$A, 0))&gt;0, -(26*INDEX('UZ-normalized'!$D:$D, MATCH($A152, 'UZ-normalized'!$A:$A, 0))-INDEX('UZ-normalized'!$E:$E, MATCH($A152, 'UZ-normalized'!$A:$A, 0))), 0), 0)))</f>
        <v>-1452.5</v>
      </c>
      <c r="AO152" s="6">
        <f>MIN(0, N152+(IFERROR(IF(27*INDEX('UA-normalized'!$D:$D, MATCH($A152, 'UA-normalized'!$A:$A, 0))-INDEX('UA-normalized'!$E:$E, MATCH($A152, 'UA-normalized'!$A:$A, 0))&gt;0, -(27*INDEX('UA-normalized'!$D:$D, MATCH($A152, 'UA-normalized'!$A:$A, 0))-INDEX('UA-normalized'!$E:$E, MATCH($A152, 'UA-normalized'!$A:$A, 0))), 0), 0))+(IFERROR(IF(27*INDEX('KZ-normalized'!$D:$D, MATCH($A152, 'KZ-normalized'!$A:$A, 0))-INDEX('KZ-normalized'!$E:$E, MATCH($A152, 'KZ-normalized'!$A:$A, 0))&gt;0, -(27*INDEX('KZ-normalized'!$D:$D, MATCH($A152, 'KZ-normalized'!$A:$A, 0))-INDEX('KZ-normalized'!$E:$E, MATCH($A152, 'KZ-normalized'!$A:$A, 0))), 0), 0))+(IFERROR(IF(27*INDEX('UZ-normalized'!$D:$D, MATCH($A152, 'UZ-normalized'!$A:$A, 0))-INDEX('UZ-normalized'!$E:$E, MATCH($A152, 'UZ-normalized'!$A:$A, 0))&gt;0, -(27*INDEX('UZ-normalized'!$D:$D, MATCH($A152, 'UZ-normalized'!$A:$A, 0))-INDEX('UZ-normalized'!$E:$E, MATCH($A152, 'UZ-normalized'!$A:$A, 0))), 0), 0)))</f>
        <v>-1520.25</v>
      </c>
      <c r="AP152" s="6">
        <f>MIN(0, N152+(IFERROR(IF(28*INDEX('UA-normalized'!$D:$D, MATCH($A152, 'UA-normalized'!$A:$A, 0))-INDEX('UA-normalized'!$E:$E, MATCH($A152, 'UA-normalized'!$A:$A, 0))&gt;0, -(28*INDEX('UA-normalized'!$D:$D, MATCH($A152, 'UA-normalized'!$A:$A, 0))-INDEX('UA-normalized'!$E:$E, MATCH($A152, 'UA-normalized'!$A:$A, 0))), 0), 0))+(IFERROR(IF(28*INDEX('KZ-normalized'!$D:$D, MATCH($A152, 'KZ-normalized'!$A:$A, 0))-INDEX('KZ-normalized'!$E:$E, MATCH($A152, 'KZ-normalized'!$A:$A, 0))&gt;0, -(28*INDEX('KZ-normalized'!$D:$D, MATCH($A152, 'KZ-normalized'!$A:$A, 0))-INDEX('KZ-normalized'!$E:$E, MATCH($A152, 'KZ-normalized'!$A:$A, 0))), 0), 0))+(IFERROR(IF(28*INDEX('UZ-normalized'!$D:$D, MATCH($A152, 'UZ-normalized'!$A:$A, 0))-INDEX('UZ-normalized'!$E:$E, MATCH($A152, 'UZ-normalized'!$A:$A, 0))&gt;0, -(28*INDEX('UZ-normalized'!$D:$D, MATCH($A152, 'UZ-normalized'!$A:$A, 0))-INDEX('UZ-normalized'!$E:$E, MATCH($A152, 'UZ-normalized'!$A:$A, 0))), 0), 0)))</f>
        <v>-1588</v>
      </c>
      <c r="AQ152" s="6">
        <f>MIN(0, N152+(IFERROR(IF(29*INDEX('UA-normalized'!$D:$D, MATCH($A152, 'UA-normalized'!$A:$A, 0))-INDEX('UA-normalized'!$E:$E, MATCH($A152, 'UA-normalized'!$A:$A, 0))&gt;0, -(29*INDEX('UA-normalized'!$D:$D, MATCH($A152, 'UA-normalized'!$A:$A, 0))-INDEX('UA-normalized'!$E:$E, MATCH($A152, 'UA-normalized'!$A:$A, 0))), 0), 0))+(IFERROR(IF(29*INDEX('KZ-normalized'!$D:$D, MATCH($A152, 'KZ-normalized'!$A:$A, 0))-INDEX('KZ-normalized'!$E:$E, MATCH($A152, 'KZ-normalized'!$A:$A, 0))&gt;0, -(29*INDEX('KZ-normalized'!$D:$D, MATCH($A152, 'KZ-normalized'!$A:$A, 0))-INDEX('KZ-normalized'!$E:$E, MATCH($A152, 'KZ-normalized'!$A:$A, 0))), 0), 0))+(IFERROR(IF(29*INDEX('UZ-normalized'!$D:$D, MATCH($A152, 'UZ-normalized'!$A:$A, 0))-INDEX('UZ-normalized'!$E:$E, MATCH($A152, 'UZ-normalized'!$A:$A, 0))&gt;0, -(29*INDEX('UZ-normalized'!$D:$D, MATCH($A152, 'UZ-normalized'!$A:$A, 0))-INDEX('UZ-normalized'!$E:$E, MATCH($A152, 'UZ-normalized'!$A:$A, 0))), 0), 0)))</f>
        <v>-1655.75</v>
      </c>
      <c r="AR152" s="6">
        <f>MIN(0, N152+(IFERROR(IF(30*INDEX('UA-normalized'!$D:$D, MATCH($A152, 'UA-normalized'!$A:$A, 0))-INDEX('UA-normalized'!$E:$E, MATCH($A152, 'UA-normalized'!$A:$A, 0))&gt;0, -(30*INDEX('UA-normalized'!$D:$D, MATCH($A152, 'UA-normalized'!$A:$A, 0))-INDEX('UA-normalized'!$E:$E, MATCH($A152, 'UA-normalized'!$A:$A, 0))), 0), 0))+(IFERROR(IF(30*INDEX('KZ-normalized'!$D:$D, MATCH($A152, 'KZ-normalized'!$A:$A, 0))-INDEX('KZ-normalized'!$E:$E, MATCH($A152, 'KZ-normalized'!$A:$A, 0))&gt;0, -(30*INDEX('KZ-normalized'!$D:$D, MATCH($A152, 'KZ-normalized'!$A:$A, 0))-INDEX('KZ-normalized'!$E:$E, MATCH($A152, 'KZ-normalized'!$A:$A, 0))), 0), 0))+(IFERROR(IF(30*INDEX('UZ-normalized'!$D:$D, MATCH($A152, 'UZ-normalized'!$A:$A, 0))-INDEX('UZ-normalized'!$E:$E, MATCH($A152, 'UZ-normalized'!$A:$A, 0))&gt;0, -(30*INDEX('UZ-normalized'!$D:$D, MATCH($A152, 'UZ-normalized'!$A:$A, 0))-INDEX('UZ-normalized'!$E:$E, MATCH($A152, 'UZ-normalized'!$A:$A, 0))), 0), 0)))</f>
        <v>-1723.5</v>
      </c>
    </row>
    <row r="153" spans="1:44" x14ac:dyDescent="0.25">
      <c r="A153" s="8" t="s">
        <v>370</v>
      </c>
      <c r="B153" s="8" t="s">
        <v>363</v>
      </c>
      <c r="C153" s="8" t="s">
        <v>364</v>
      </c>
      <c r="D153" s="8" t="s">
        <v>371</v>
      </c>
      <c r="N153">
        <f t="shared" si="2"/>
        <v>0</v>
      </c>
      <c r="O153" s="6">
        <f>MIN(0, N153+(IFERROR(IF(1*INDEX('UA-normalized'!$D:$D, MATCH($A153, 'UA-normalized'!$A:$A, 0))-INDEX('UA-normalized'!$E:$E, MATCH($A153, 'UA-normalized'!$A:$A, 0))&gt;0, -(1*INDEX('UA-normalized'!$D:$D, MATCH($A153, 'UA-normalized'!$A:$A, 0))-INDEX('UA-normalized'!$E:$E, MATCH($A153, 'UA-normalized'!$A:$A, 0))), 0), 0))+(IFERROR(IF(1*INDEX('KZ-normalized'!$D:$D, MATCH($A153, 'KZ-normalized'!$A:$A, 0))-INDEX('KZ-normalized'!$E:$E, MATCH($A153, 'KZ-normalized'!$A:$A, 0))&gt;0, -(1*INDEX('KZ-normalized'!$D:$D, MATCH($A153, 'KZ-normalized'!$A:$A, 0))-INDEX('KZ-normalized'!$E:$E, MATCH($A153, 'KZ-normalized'!$A:$A, 0))), 0), 0))+(IFERROR(IF(1*INDEX('UZ-normalized'!$D:$D, MATCH($A153, 'UZ-normalized'!$A:$A, 0))-INDEX('UZ-normalized'!$E:$E, MATCH($A153, 'UZ-normalized'!$A:$A, 0))&gt;0, -(1*INDEX('UZ-normalized'!$D:$D, MATCH($A153, 'UZ-normalized'!$A:$A, 0))-INDEX('UZ-normalized'!$E:$E, MATCH($A153, 'UZ-normalized'!$A:$A, 0))), 0), 0)))</f>
        <v>0</v>
      </c>
      <c r="P153" s="6">
        <f>MIN(0, N153+(IFERROR(IF(2*INDEX('UA-normalized'!$D:$D, MATCH($A153, 'UA-normalized'!$A:$A, 0))-INDEX('UA-normalized'!$E:$E, MATCH($A153, 'UA-normalized'!$A:$A, 0))&gt;0, -(2*INDEX('UA-normalized'!$D:$D, MATCH($A153, 'UA-normalized'!$A:$A, 0))-INDEX('UA-normalized'!$E:$E, MATCH($A153, 'UA-normalized'!$A:$A, 0))), 0), 0))+(IFERROR(IF(2*INDEX('KZ-normalized'!$D:$D, MATCH($A153, 'KZ-normalized'!$A:$A, 0))-INDEX('KZ-normalized'!$E:$E, MATCH($A153, 'KZ-normalized'!$A:$A, 0))&gt;0, -(2*INDEX('KZ-normalized'!$D:$D, MATCH($A153, 'KZ-normalized'!$A:$A, 0))-INDEX('KZ-normalized'!$E:$E, MATCH($A153, 'KZ-normalized'!$A:$A, 0))), 0), 0))+(IFERROR(IF(2*INDEX('UZ-normalized'!$D:$D, MATCH($A153, 'UZ-normalized'!$A:$A, 0))-INDEX('UZ-normalized'!$E:$E, MATCH($A153, 'UZ-normalized'!$A:$A, 0))&gt;0, -(2*INDEX('UZ-normalized'!$D:$D, MATCH($A153, 'UZ-normalized'!$A:$A, 0))-INDEX('UZ-normalized'!$E:$E, MATCH($A153, 'UZ-normalized'!$A:$A, 0))), 0), 0)))</f>
        <v>0</v>
      </c>
      <c r="Q153" s="6">
        <f>MIN(0, N153+(IFERROR(IF(3*INDEX('UA-normalized'!$D:$D, MATCH($A153, 'UA-normalized'!$A:$A, 0))-INDEX('UA-normalized'!$E:$E, MATCH($A153, 'UA-normalized'!$A:$A, 0))&gt;0, -(3*INDEX('UA-normalized'!$D:$D, MATCH($A153, 'UA-normalized'!$A:$A, 0))-INDEX('UA-normalized'!$E:$E, MATCH($A153, 'UA-normalized'!$A:$A, 0))), 0), 0))+(IFERROR(IF(3*INDEX('KZ-normalized'!$D:$D, MATCH($A153, 'KZ-normalized'!$A:$A, 0))-INDEX('KZ-normalized'!$E:$E, MATCH($A153, 'KZ-normalized'!$A:$A, 0))&gt;0, -(3*INDEX('KZ-normalized'!$D:$D, MATCH($A153, 'KZ-normalized'!$A:$A, 0))-INDEX('KZ-normalized'!$E:$E, MATCH($A153, 'KZ-normalized'!$A:$A, 0))), 0), 0))+(IFERROR(IF(3*INDEX('UZ-normalized'!$D:$D, MATCH($A153, 'UZ-normalized'!$A:$A, 0))-INDEX('UZ-normalized'!$E:$E, MATCH($A153, 'UZ-normalized'!$A:$A, 0))&gt;0, -(3*INDEX('UZ-normalized'!$D:$D, MATCH($A153, 'UZ-normalized'!$A:$A, 0))-INDEX('UZ-normalized'!$E:$E, MATCH($A153, 'UZ-normalized'!$A:$A, 0))), 0), 0)))</f>
        <v>0</v>
      </c>
      <c r="R153" s="6">
        <f>MIN(0, N153+(IFERROR(IF(4*INDEX('UA-normalized'!$D:$D, MATCH($A153, 'UA-normalized'!$A:$A, 0))-INDEX('UA-normalized'!$E:$E, MATCH($A153, 'UA-normalized'!$A:$A, 0))&gt;0, -(4*INDEX('UA-normalized'!$D:$D, MATCH($A153, 'UA-normalized'!$A:$A, 0))-INDEX('UA-normalized'!$E:$E, MATCH($A153, 'UA-normalized'!$A:$A, 0))), 0), 0))+(IFERROR(IF(4*INDEX('KZ-normalized'!$D:$D, MATCH($A153, 'KZ-normalized'!$A:$A, 0))-INDEX('KZ-normalized'!$E:$E, MATCH($A153, 'KZ-normalized'!$A:$A, 0))&gt;0, -(4*INDEX('KZ-normalized'!$D:$D, MATCH($A153, 'KZ-normalized'!$A:$A, 0))-INDEX('KZ-normalized'!$E:$E, MATCH($A153, 'KZ-normalized'!$A:$A, 0))), 0), 0))+(IFERROR(IF(4*INDEX('UZ-normalized'!$D:$D, MATCH($A153, 'UZ-normalized'!$A:$A, 0))-INDEX('UZ-normalized'!$E:$E, MATCH($A153, 'UZ-normalized'!$A:$A, 0))&gt;0, -(4*INDEX('UZ-normalized'!$D:$D, MATCH($A153, 'UZ-normalized'!$A:$A, 0))-INDEX('UZ-normalized'!$E:$E, MATCH($A153, 'UZ-normalized'!$A:$A, 0))), 0), 0)))</f>
        <v>0</v>
      </c>
      <c r="S153" s="6">
        <f>MIN(0, N153+(IFERROR(IF(5*INDEX('UA-normalized'!$D:$D, MATCH($A153, 'UA-normalized'!$A:$A, 0))-INDEX('UA-normalized'!$E:$E, MATCH($A153, 'UA-normalized'!$A:$A, 0))&gt;0, -(5*INDEX('UA-normalized'!$D:$D, MATCH($A153, 'UA-normalized'!$A:$A, 0))-INDEX('UA-normalized'!$E:$E, MATCH($A153, 'UA-normalized'!$A:$A, 0))), 0), 0))+(IFERROR(IF(5*INDEX('KZ-normalized'!$D:$D, MATCH($A153, 'KZ-normalized'!$A:$A, 0))-INDEX('KZ-normalized'!$E:$E, MATCH($A153, 'KZ-normalized'!$A:$A, 0))&gt;0, -(5*INDEX('KZ-normalized'!$D:$D, MATCH($A153, 'KZ-normalized'!$A:$A, 0))-INDEX('KZ-normalized'!$E:$E, MATCH($A153, 'KZ-normalized'!$A:$A, 0))), 0), 0))+(IFERROR(IF(5*INDEX('UZ-normalized'!$D:$D, MATCH($A153, 'UZ-normalized'!$A:$A, 0))-INDEX('UZ-normalized'!$E:$E, MATCH($A153, 'UZ-normalized'!$A:$A, 0))&gt;0, -(5*INDEX('UZ-normalized'!$D:$D, MATCH($A153, 'UZ-normalized'!$A:$A, 0))-INDEX('UZ-normalized'!$E:$E, MATCH($A153, 'UZ-normalized'!$A:$A, 0))), 0), 0)))</f>
        <v>0</v>
      </c>
      <c r="T153" s="6">
        <f>MIN(0, N153+(IFERROR(IF(6*INDEX('UA-normalized'!$D:$D, MATCH($A153, 'UA-normalized'!$A:$A, 0))-INDEX('UA-normalized'!$E:$E, MATCH($A153, 'UA-normalized'!$A:$A, 0))&gt;0, -(6*INDEX('UA-normalized'!$D:$D, MATCH($A153, 'UA-normalized'!$A:$A, 0))-INDEX('UA-normalized'!$E:$E, MATCH($A153, 'UA-normalized'!$A:$A, 0))), 0), 0))+(IFERROR(IF(6*INDEX('KZ-normalized'!$D:$D, MATCH($A153, 'KZ-normalized'!$A:$A, 0))-INDEX('KZ-normalized'!$E:$E, MATCH($A153, 'KZ-normalized'!$A:$A, 0))&gt;0, -(6*INDEX('KZ-normalized'!$D:$D, MATCH($A153, 'KZ-normalized'!$A:$A, 0))-INDEX('KZ-normalized'!$E:$E, MATCH($A153, 'KZ-normalized'!$A:$A, 0))), 0), 0))+(IFERROR(IF(6*INDEX('UZ-normalized'!$D:$D, MATCH($A153, 'UZ-normalized'!$A:$A, 0))-INDEX('UZ-normalized'!$E:$E, MATCH($A153, 'UZ-normalized'!$A:$A, 0))&gt;0, -(6*INDEX('UZ-normalized'!$D:$D, MATCH($A153, 'UZ-normalized'!$A:$A, 0))-INDEX('UZ-normalized'!$E:$E, MATCH($A153, 'UZ-normalized'!$A:$A, 0))), 0), 0)))</f>
        <v>0</v>
      </c>
      <c r="U153" s="6">
        <f>MIN(0, N153+(IFERROR(IF(7*INDEX('UA-normalized'!$D:$D, MATCH($A153, 'UA-normalized'!$A:$A, 0))-INDEX('UA-normalized'!$E:$E, MATCH($A153, 'UA-normalized'!$A:$A, 0))&gt;0, -(7*INDEX('UA-normalized'!$D:$D, MATCH($A153, 'UA-normalized'!$A:$A, 0))-INDEX('UA-normalized'!$E:$E, MATCH($A153, 'UA-normalized'!$A:$A, 0))), 0), 0))+(IFERROR(IF(7*INDEX('KZ-normalized'!$D:$D, MATCH($A153, 'KZ-normalized'!$A:$A, 0))-INDEX('KZ-normalized'!$E:$E, MATCH($A153, 'KZ-normalized'!$A:$A, 0))&gt;0, -(7*INDEX('KZ-normalized'!$D:$D, MATCH($A153, 'KZ-normalized'!$A:$A, 0))-INDEX('KZ-normalized'!$E:$E, MATCH($A153, 'KZ-normalized'!$A:$A, 0))), 0), 0))+(IFERROR(IF(7*INDEX('UZ-normalized'!$D:$D, MATCH($A153, 'UZ-normalized'!$A:$A, 0))-INDEX('UZ-normalized'!$E:$E, MATCH($A153, 'UZ-normalized'!$A:$A, 0))&gt;0, -(7*INDEX('UZ-normalized'!$D:$D, MATCH($A153, 'UZ-normalized'!$A:$A, 0))-INDEX('UZ-normalized'!$E:$E, MATCH($A153, 'UZ-normalized'!$A:$A, 0))), 0), 0)))</f>
        <v>0</v>
      </c>
      <c r="V153" s="6">
        <f>MIN(0, N153+(IFERROR(IF(8*INDEX('UA-normalized'!$D:$D, MATCH($A153, 'UA-normalized'!$A:$A, 0))-INDEX('UA-normalized'!$E:$E, MATCH($A153, 'UA-normalized'!$A:$A, 0))&gt;0, -(8*INDEX('UA-normalized'!$D:$D, MATCH($A153, 'UA-normalized'!$A:$A, 0))-INDEX('UA-normalized'!$E:$E, MATCH($A153, 'UA-normalized'!$A:$A, 0))), 0), 0))+(IFERROR(IF(8*INDEX('KZ-normalized'!$D:$D, MATCH($A153, 'KZ-normalized'!$A:$A, 0))-INDEX('KZ-normalized'!$E:$E, MATCH($A153, 'KZ-normalized'!$A:$A, 0))&gt;0, -(8*INDEX('KZ-normalized'!$D:$D, MATCH($A153, 'KZ-normalized'!$A:$A, 0))-INDEX('KZ-normalized'!$E:$E, MATCH($A153, 'KZ-normalized'!$A:$A, 0))), 0), 0))+(IFERROR(IF(8*INDEX('UZ-normalized'!$D:$D, MATCH($A153, 'UZ-normalized'!$A:$A, 0))-INDEX('UZ-normalized'!$E:$E, MATCH($A153, 'UZ-normalized'!$A:$A, 0))&gt;0, -(8*INDEX('UZ-normalized'!$D:$D, MATCH($A153, 'UZ-normalized'!$A:$A, 0))-INDEX('UZ-normalized'!$E:$E, MATCH($A153, 'UZ-normalized'!$A:$A, 0))), 0), 0)))</f>
        <v>0</v>
      </c>
      <c r="W153" s="6">
        <f>MIN(0, N153+(IFERROR(IF(9*INDEX('UA-normalized'!$D:$D, MATCH($A153, 'UA-normalized'!$A:$A, 0))-INDEX('UA-normalized'!$E:$E, MATCH($A153, 'UA-normalized'!$A:$A, 0))&gt;0, -(9*INDEX('UA-normalized'!$D:$D, MATCH($A153, 'UA-normalized'!$A:$A, 0))-INDEX('UA-normalized'!$E:$E, MATCH($A153, 'UA-normalized'!$A:$A, 0))), 0), 0))+(IFERROR(IF(9*INDEX('KZ-normalized'!$D:$D, MATCH($A153, 'KZ-normalized'!$A:$A, 0))-INDEX('KZ-normalized'!$E:$E, MATCH($A153, 'KZ-normalized'!$A:$A, 0))&gt;0, -(9*INDEX('KZ-normalized'!$D:$D, MATCH($A153, 'KZ-normalized'!$A:$A, 0))-INDEX('KZ-normalized'!$E:$E, MATCH($A153, 'KZ-normalized'!$A:$A, 0))), 0), 0))+(IFERROR(IF(9*INDEX('UZ-normalized'!$D:$D, MATCH($A153, 'UZ-normalized'!$A:$A, 0))-INDEX('UZ-normalized'!$E:$E, MATCH($A153, 'UZ-normalized'!$A:$A, 0))&gt;0, -(9*INDEX('UZ-normalized'!$D:$D, MATCH($A153, 'UZ-normalized'!$A:$A, 0))-INDEX('UZ-normalized'!$E:$E, MATCH($A153, 'UZ-normalized'!$A:$A, 0))), 0), 0)))</f>
        <v>0</v>
      </c>
      <c r="X153" s="6">
        <f>MIN(0, N153+(IFERROR(IF(10*INDEX('UA-normalized'!$D:$D, MATCH($A153, 'UA-normalized'!$A:$A, 0))-INDEX('UA-normalized'!$E:$E, MATCH($A153, 'UA-normalized'!$A:$A, 0))&gt;0, -(10*INDEX('UA-normalized'!$D:$D, MATCH($A153, 'UA-normalized'!$A:$A, 0))-INDEX('UA-normalized'!$E:$E, MATCH($A153, 'UA-normalized'!$A:$A, 0))), 0), 0))+(IFERROR(IF(10*INDEX('KZ-normalized'!$D:$D, MATCH($A153, 'KZ-normalized'!$A:$A, 0))-INDEX('KZ-normalized'!$E:$E, MATCH($A153, 'KZ-normalized'!$A:$A, 0))&gt;0, -(10*INDEX('KZ-normalized'!$D:$D, MATCH($A153, 'KZ-normalized'!$A:$A, 0))-INDEX('KZ-normalized'!$E:$E, MATCH($A153, 'KZ-normalized'!$A:$A, 0))), 0), 0))+(IFERROR(IF(10*INDEX('UZ-normalized'!$D:$D, MATCH($A153, 'UZ-normalized'!$A:$A, 0))-INDEX('UZ-normalized'!$E:$E, MATCH($A153, 'UZ-normalized'!$A:$A, 0))&gt;0, -(10*INDEX('UZ-normalized'!$D:$D, MATCH($A153, 'UZ-normalized'!$A:$A, 0))-INDEX('UZ-normalized'!$E:$E, MATCH($A153, 'UZ-normalized'!$A:$A, 0))), 0), 0)))</f>
        <v>0</v>
      </c>
      <c r="Y153" s="6">
        <f>MIN(0, N153+(IFERROR(IF(11*INDEX('UA-normalized'!$D:$D, MATCH($A153, 'UA-normalized'!$A:$A, 0))-INDEX('UA-normalized'!$E:$E, MATCH($A153, 'UA-normalized'!$A:$A, 0))&gt;0, -(11*INDEX('UA-normalized'!$D:$D, MATCH($A153, 'UA-normalized'!$A:$A, 0))-INDEX('UA-normalized'!$E:$E, MATCH($A153, 'UA-normalized'!$A:$A, 0))), 0), 0))+(IFERROR(IF(11*INDEX('KZ-normalized'!$D:$D, MATCH($A153, 'KZ-normalized'!$A:$A, 0))-INDEX('KZ-normalized'!$E:$E, MATCH($A153, 'KZ-normalized'!$A:$A, 0))&gt;0, -(11*INDEX('KZ-normalized'!$D:$D, MATCH($A153, 'KZ-normalized'!$A:$A, 0))-INDEX('KZ-normalized'!$E:$E, MATCH($A153, 'KZ-normalized'!$A:$A, 0))), 0), 0))+(IFERROR(IF(11*INDEX('UZ-normalized'!$D:$D, MATCH($A153, 'UZ-normalized'!$A:$A, 0))-INDEX('UZ-normalized'!$E:$E, MATCH($A153, 'UZ-normalized'!$A:$A, 0))&gt;0, -(11*INDEX('UZ-normalized'!$D:$D, MATCH($A153, 'UZ-normalized'!$A:$A, 0))-INDEX('UZ-normalized'!$E:$E, MATCH($A153, 'UZ-normalized'!$A:$A, 0))), 0), 0)))</f>
        <v>0</v>
      </c>
      <c r="Z153" s="6">
        <f>MIN(0, N153+(IFERROR(IF(12*INDEX('UA-normalized'!$D:$D, MATCH($A153, 'UA-normalized'!$A:$A, 0))-INDEX('UA-normalized'!$E:$E, MATCH($A153, 'UA-normalized'!$A:$A, 0))&gt;0, -(12*INDEX('UA-normalized'!$D:$D, MATCH($A153, 'UA-normalized'!$A:$A, 0))-INDEX('UA-normalized'!$E:$E, MATCH($A153, 'UA-normalized'!$A:$A, 0))), 0), 0))+(IFERROR(IF(12*INDEX('KZ-normalized'!$D:$D, MATCH($A153, 'KZ-normalized'!$A:$A, 0))-INDEX('KZ-normalized'!$E:$E, MATCH($A153, 'KZ-normalized'!$A:$A, 0))&gt;0, -(12*INDEX('KZ-normalized'!$D:$D, MATCH($A153, 'KZ-normalized'!$A:$A, 0))-INDEX('KZ-normalized'!$E:$E, MATCH($A153, 'KZ-normalized'!$A:$A, 0))), 0), 0))+(IFERROR(IF(12*INDEX('UZ-normalized'!$D:$D, MATCH($A153, 'UZ-normalized'!$A:$A, 0))-INDEX('UZ-normalized'!$E:$E, MATCH($A153, 'UZ-normalized'!$A:$A, 0))&gt;0, -(12*INDEX('UZ-normalized'!$D:$D, MATCH($A153, 'UZ-normalized'!$A:$A, 0))-INDEX('UZ-normalized'!$E:$E, MATCH($A153, 'UZ-normalized'!$A:$A, 0))), 0), 0)))</f>
        <v>0</v>
      </c>
      <c r="AA153" s="6">
        <f>MIN(0, N153+(IFERROR(IF(13*INDEX('UA-normalized'!$D:$D, MATCH($A153, 'UA-normalized'!$A:$A, 0))-INDEX('UA-normalized'!$E:$E, MATCH($A153, 'UA-normalized'!$A:$A, 0))&gt;0, -(13*INDEX('UA-normalized'!$D:$D, MATCH($A153, 'UA-normalized'!$A:$A, 0))-INDEX('UA-normalized'!$E:$E, MATCH($A153, 'UA-normalized'!$A:$A, 0))), 0), 0))+(IFERROR(IF(13*INDEX('KZ-normalized'!$D:$D, MATCH($A153, 'KZ-normalized'!$A:$A, 0))-INDEX('KZ-normalized'!$E:$E, MATCH($A153, 'KZ-normalized'!$A:$A, 0))&gt;0, -(13*INDEX('KZ-normalized'!$D:$D, MATCH($A153, 'KZ-normalized'!$A:$A, 0))-INDEX('KZ-normalized'!$E:$E, MATCH($A153, 'KZ-normalized'!$A:$A, 0))), 0), 0))+(IFERROR(IF(13*INDEX('UZ-normalized'!$D:$D, MATCH($A153, 'UZ-normalized'!$A:$A, 0))-INDEX('UZ-normalized'!$E:$E, MATCH($A153, 'UZ-normalized'!$A:$A, 0))&gt;0, -(13*INDEX('UZ-normalized'!$D:$D, MATCH($A153, 'UZ-normalized'!$A:$A, 0))-INDEX('UZ-normalized'!$E:$E, MATCH($A153, 'UZ-normalized'!$A:$A, 0))), 0), 0)))</f>
        <v>0</v>
      </c>
      <c r="AB153" s="6">
        <f>MIN(0, N153+(IFERROR(IF(14*INDEX('UA-normalized'!$D:$D, MATCH($A153, 'UA-normalized'!$A:$A, 0))-INDEX('UA-normalized'!$E:$E, MATCH($A153, 'UA-normalized'!$A:$A, 0))&gt;0, -(14*INDEX('UA-normalized'!$D:$D, MATCH($A153, 'UA-normalized'!$A:$A, 0))-INDEX('UA-normalized'!$E:$E, MATCH($A153, 'UA-normalized'!$A:$A, 0))), 0), 0))+(IFERROR(IF(14*INDEX('KZ-normalized'!$D:$D, MATCH($A153, 'KZ-normalized'!$A:$A, 0))-INDEX('KZ-normalized'!$E:$E, MATCH($A153, 'KZ-normalized'!$A:$A, 0))&gt;0, -(14*INDEX('KZ-normalized'!$D:$D, MATCH($A153, 'KZ-normalized'!$A:$A, 0))-INDEX('KZ-normalized'!$E:$E, MATCH($A153, 'KZ-normalized'!$A:$A, 0))), 0), 0))+(IFERROR(IF(14*INDEX('UZ-normalized'!$D:$D, MATCH($A153, 'UZ-normalized'!$A:$A, 0))-INDEX('UZ-normalized'!$E:$E, MATCH($A153, 'UZ-normalized'!$A:$A, 0))&gt;0, -(14*INDEX('UZ-normalized'!$D:$D, MATCH($A153, 'UZ-normalized'!$A:$A, 0))-INDEX('UZ-normalized'!$E:$E, MATCH($A153, 'UZ-normalized'!$A:$A, 0))), 0), 0)))</f>
        <v>0</v>
      </c>
      <c r="AC153" s="6">
        <f>MIN(0, N153+(IFERROR(IF(15*INDEX('UA-normalized'!$D:$D, MATCH($A153, 'UA-normalized'!$A:$A, 0))-INDEX('UA-normalized'!$E:$E, MATCH($A153, 'UA-normalized'!$A:$A, 0))&gt;0, -(15*INDEX('UA-normalized'!$D:$D, MATCH($A153, 'UA-normalized'!$A:$A, 0))-INDEX('UA-normalized'!$E:$E, MATCH($A153, 'UA-normalized'!$A:$A, 0))), 0), 0))+(IFERROR(IF(15*INDEX('KZ-normalized'!$D:$D, MATCH($A153, 'KZ-normalized'!$A:$A, 0))-INDEX('KZ-normalized'!$E:$E, MATCH($A153, 'KZ-normalized'!$A:$A, 0))&gt;0, -(15*INDEX('KZ-normalized'!$D:$D, MATCH($A153, 'KZ-normalized'!$A:$A, 0))-INDEX('KZ-normalized'!$E:$E, MATCH($A153, 'KZ-normalized'!$A:$A, 0))), 0), 0))+(IFERROR(IF(15*INDEX('UZ-normalized'!$D:$D, MATCH($A153, 'UZ-normalized'!$A:$A, 0))-INDEX('UZ-normalized'!$E:$E, MATCH($A153, 'UZ-normalized'!$A:$A, 0))&gt;0, -(15*INDEX('UZ-normalized'!$D:$D, MATCH($A153, 'UZ-normalized'!$A:$A, 0))-INDEX('UZ-normalized'!$E:$E, MATCH($A153, 'UZ-normalized'!$A:$A, 0))), 0), 0)))</f>
        <v>0</v>
      </c>
      <c r="AD153" s="6">
        <f>MIN(0, N153+(IFERROR(IF(16*INDEX('UA-normalized'!$D:$D, MATCH($A153, 'UA-normalized'!$A:$A, 0))-INDEX('UA-normalized'!$E:$E, MATCH($A153, 'UA-normalized'!$A:$A, 0))&gt;0, -(16*INDEX('UA-normalized'!$D:$D, MATCH($A153, 'UA-normalized'!$A:$A, 0))-INDEX('UA-normalized'!$E:$E, MATCH($A153, 'UA-normalized'!$A:$A, 0))), 0), 0))+(IFERROR(IF(16*INDEX('KZ-normalized'!$D:$D, MATCH($A153, 'KZ-normalized'!$A:$A, 0))-INDEX('KZ-normalized'!$E:$E, MATCH($A153, 'KZ-normalized'!$A:$A, 0))&gt;0, -(16*INDEX('KZ-normalized'!$D:$D, MATCH($A153, 'KZ-normalized'!$A:$A, 0))-INDEX('KZ-normalized'!$E:$E, MATCH($A153, 'KZ-normalized'!$A:$A, 0))), 0), 0))+(IFERROR(IF(16*INDEX('UZ-normalized'!$D:$D, MATCH($A153, 'UZ-normalized'!$A:$A, 0))-INDEX('UZ-normalized'!$E:$E, MATCH($A153, 'UZ-normalized'!$A:$A, 0))&gt;0, -(16*INDEX('UZ-normalized'!$D:$D, MATCH($A153, 'UZ-normalized'!$A:$A, 0))-INDEX('UZ-normalized'!$E:$E, MATCH($A153, 'UZ-normalized'!$A:$A, 0))), 0), 0)))</f>
        <v>0</v>
      </c>
      <c r="AE153" s="6">
        <f>MIN(0, N153+(IFERROR(IF(17*INDEX('UA-normalized'!$D:$D, MATCH($A153, 'UA-normalized'!$A:$A, 0))-INDEX('UA-normalized'!$E:$E, MATCH($A153, 'UA-normalized'!$A:$A, 0))&gt;0, -(17*INDEX('UA-normalized'!$D:$D, MATCH($A153, 'UA-normalized'!$A:$A, 0))-INDEX('UA-normalized'!$E:$E, MATCH($A153, 'UA-normalized'!$A:$A, 0))), 0), 0))+(IFERROR(IF(17*INDEX('KZ-normalized'!$D:$D, MATCH($A153, 'KZ-normalized'!$A:$A, 0))-INDEX('KZ-normalized'!$E:$E, MATCH($A153, 'KZ-normalized'!$A:$A, 0))&gt;0, -(17*INDEX('KZ-normalized'!$D:$D, MATCH($A153, 'KZ-normalized'!$A:$A, 0))-INDEX('KZ-normalized'!$E:$E, MATCH($A153, 'KZ-normalized'!$A:$A, 0))), 0), 0))+(IFERROR(IF(17*INDEX('UZ-normalized'!$D:$D, MATCH($A153, 'UZ-normalized'!$A:$A, 0))-INDEX('UZ-normalized'!$E:$E, MATCH($A153, 'UZ-normalized'!$A:$A, 0))&gt;0, -(17*INDEX('UZ-normalized'!$D:$D, MATCH($A153, 'UZ-normalized'!$A:$A, 0))-INDEX('UZ-normalized'!$E:$E, MATCH($A153, 'UZ-normalized'!$A:$A, 0))), 0), 0)))</f>
        <v>0</v>
      </c>
      <c r="AF153" s="6">
        <f>MIN(0, N153+(IFERROR(IF(18*INDEX('UA-normalized'!$D:$D, MATCH($A153, 'UA-normalized'!$A:$A, 0))-INDEX('UA-normalized'!$E:$E, MATCH($A153, 'UA-normalized'!$A:$A, 0))&gt;0, -(18*INDEX('UA-normalized'!$D:$D, MATCH($A153, 'UA-normalized'!$A:$A, 0))-INDEX('UA-normalized'!$E:$E, MATCH($A153, 'UA-normalized'!$A:$A, 0))), 0), 0))+(IFERROR(IF(18*INDEX('KZ-normalized'!$D:$D, MATCH($A153, 'KZ-normalized'!$A:$A, 0))-INDEX('KZ-normalized'!$E:$E, MATCH($A153, 'KZ-normalized'!$A:$A, 0))&gt;0, -(18*INDEX('KZ-normalized'!$D:$D, MATCH($A153, 'KZ-normalized'!$A:$A, 0))-INDEX('KZ-normalized'!$E:$E, MATCH($A153, 'KZ-normalized'!$A:$A, 0))), 0), 0))+(IFERROR(IF(18*INDEX('UZ-normalized'!$D:$D, MATCH($A153, 'UZ-normalized'!$A:$A, 0))-INDEX('UZ-normalized'!$E:$E, MATCH($A153, 'UZ-normalized'!$A:$A, 0))&gt;0, -(18*INDEX('UZ-normalized'!$D:$D, MATCH($A153, 'UZ-normalized'!$A:$A, 0))-INDEX('UZ-normalized'!$E:$E, MATCH($A153, 'UZ-normalized'!$A:$A, 0))), 0), 0)))</f>
        <v>0</v>
      </c>
      <c r="AG153" s="6">
        <f>MIN(0, N153+(IFERROR(IF(19*INDEX('UA-normalized'!$D:$D, MATCH($A153, 'UA-normalized'!$A:$A, 0))-INDEX('UA-normalized'!$E:$E, MATCH($A153, 'UA-normalized'!$A:$A, 0))&gt;0, -(19*INDEX('UA-normalized'!$D:$D, MATCH($A153, 'UA-normalized'!$A:$A, 0))-INDEX('UA-normalized'!$E:$E, MATCH($A153, 'UA-normalized'!$A:$A, 0))), 0), 0))+(IFERROR(IF(19*INDEX('KZ-normalized'!$D:$D, MATCH($A153, 'KZ-normalized'!$A:$A, 0))-INDEX('KZ-normalized'!$E:$E, MATCH($A153, 'KZ-normalized'!$A:$A, 0))&gt;0, -(19*INDEX('KZ-normalized'!$D:$D, MATCH($A153, 'KZ-normalized'!$A:$A, 0))-INDEX('KZ-normalized'!$E:$E, MATCH($A153, 'KZ-normalized'!$A:$A, 0))), 0), 0))+(IFERROR(IF(19*INDEX('UZ-normalized'!$D:$D, MATCH($A153, 'UZ-normalized'!$A:$A, 0))-INDEX('UZ-normalized'!$E:$E, MATCH($A153, 'UZ-normalized'!$A:$A, 0))&gt;0, -(19*INDEX('UZ-normalized'!$D:$D, MATCH($A153, 'UZ-normalized'!$A:$A, 0))-INDEX('UZ-normalized'!$E:$E, MATCH($A153, 'UZ-normalized'!$A:$A, 0))), 0), 0)))</f>
        <v>0</v>
      </c>
      <c r="AH153" s="6">
        <f>MIN(0, N153+(IFERROR(IF(20*INDEX('UA-normalized'!$D:$D, MATCH($A153, 'UA-normalized'!$A:$A, 0))-INDEX('UA-normalized'!$E:$E, MATCH($A153, 'UA-normalized'!$A:$A, 0))&gt;0, -(20*INDEX('UA-normalized'!$D:$D, MATCH($A153, 'UA-normalized'!$A:$A, 0))-INDEX('UA-normalized'!$E:$E, MATCH($A153, 'UA-normalized'!$A:$A, 0))), 0), 0))+(IFERROR(IF(20*INDEX('KZ-normalized'!$D:$D, MATCH($A153, 'KZ-normalized'!$A:$A, 0))-INDEX('KZ-normalized'!$E:$E, MATCH($A153, 'KZ-normalized'!$A:$A, 0))&gt;0, -(20*INDEX('KZ-normalized'!$D:$D, MATCH($A153, 'KZ-normalized'!$A:$A, 0))-INDEX('KZ-normalized'!$E:$E, MATCH($A153, 'KZ-normalized'!$A:$A, 0))), 0), 0))+(IFERROR(IF(20*INDEX('UZ-normalized'!$D:$D, MATCH($A153, 'UZ-normalized'!$A:$A, 0))-INDEX('UZ-normalized'!$E:$E, MATCH($A153, 'UZ-normalized'!$A:$A, 0))&gt;0, -(20*INDEX('UZ-normalized'!$D:$D, MATCH($A153, 'UZ-normalized'!$A:$A, 0))-INDEX('UZ-normalized'!$E:$E, MATCH($A153, 'UZ-normalized'!$A:$A, 0))), 0), 0)))</f>
        <v>0</v>
      </c>
      <c r="AI153" s="6">
        <f>MIN(0, N153+(IFERROR(IF(21*INDEX('UA-normalized'!$D:$D, MATCH($A153, 'UA-normalized'!$A:$A, 0))-INDEX('UA-normalized'!$E:$E, MATCH($A153, 'UA-normalized'!$A:$A, 0))&gt;0, -(21*INDEX('UA-normalized'!$D:$D, MATCH($A153, 'UA-normalized'!$A:$A, 0))-INDEX('UA-normalized'!$E:$E, MATCH($A153, 'UA-normalized'!$A:$A, 0))), 0), 0))+(IFERROR(IF(21*INDEX('KZ-normalized'!$D:$D, MATCH($A153, 'KZ-normalized'!$A:$A, 0))-INDEX('KZ-normalized'!$E:$E, MATCH($A153, 'KZ-normalized'!$A:$A, 0))&gt;0, -(21*INDEX('KZ-normalized'!$D:$D, MATCH($A153, 'KZ-normalized'!$A:$A, 0))-INDEX('KZ-normalized'!$E:$E, MATCH($A153, 'KZ-normalized'!$A:$A, 0))), 0), 0))+(IFERROR(IF(21*INDEX('UZ-normalized'!$D:$D, MATCH($A153, 'UZ-normalized'!$A:$A, 0))-INDEX('UZ-normalized'!$E:$E, MATCH($A153, 'UZ-normalized'!$A:$A, 0))&gt;0, -(21*INDEX('UZ-normalized'!$D:$D, MATCH($A153, 'UZ-normalized'!$A:$A, 0))-INDEX('UZ-normalized'!$E:$E, MATCH($A153, 'UZ-normalized'!$A:$A, 0))), 0), 0)))</f>
        <v>0</v>
      </c>
      <c r="AJ153" s="6">
        <f>MIN(0, N153+(IFERROR(IF(22*INDEX('UA-normalized'!$D:$D, MATCH($A153, 'UA-normalized'!$A:$A, 0))-INDEX('UA-normalized'!$E:$E, MATCH($A153, 'UA-normalized'!$A:$A, 0))&gt;0, -(22*INDEX('UA-normalized'!$D:$D, MATCH($A153, 'UA-normalized'!$A:$A, 0))-INDEX('UA-normalized'!$E:$E, MATCH($A153, 'UA-normalized'!$A:$A, 0))), 0), 0))+(IFERROR(IF(22*INDEX('KZ-normalized'!$D:$D, MATCH($A153, 'KZ-normalized'!$A:$A, 0))-INDEX('KZ-normalized'!$E:$E, MATCH($A153, 'KZ-normalized'!$A:$A, 0))&gt;0, -(22*INDEX('KZ-normalized'!$D:$D, MATCH($A153, 'KZ-normalized'!$A:$A, 0))-INDEX('KZ-normalized'!$E:$E, MATCH($A153, 'KZ-normalized'!$A:$A, 0))), 0), 0))+(IFERROR(IF(22*INDEX('UZ-normalized'!$D:$D, MATCH($A153, 'UZ-normalized'!$A:$A, 0))-INDEX('UZ-normalized'!$E:$E, MATCH($A153, 'UZ-normalized'!$A:$A, 0))&gt;0, -(22*INDEX('UZ-normalized'!$D:$D, MATCH($A153, 'UZ-normalized'!$A:$A, 0))-INDEX('UZ-normalized'!$E:$E, MATCH($A153, 'UZ-normalized'!$A:$A, 0))), 0), 0)))</f>
        <v>0</v>
      </c>
      <c r="AK153" s="6">
        <f>MIN(0, N153+(IFERROR(IF(23*INDEX('UA-normalized'!$D:$D, MATCH($A153, 'UA-normalized'!$A:$A, 0))-INDEX('UA-normalized'!$E:$E, MATCH($A153, 'UA-normalized'!$A:$A, 0))&gt;0, -(23*INDEX('UA-normalized'!$D:$D, MATCH($A153, 'UA-normalized'!$A:$A, 0))-INDEX('UA-normalized'!$E:$E, MATCH($A153, 'UA-normalized'!$A:$A, 0))), 0), 0))+(IFERROR(IF(23*INDEX('KZ-normalized'!$D:$D, MATCH($A153, 'KZ-normalized'!$A:$A, 0))-INDEX('KZ-normalized'!$E:$E, MATCH($A153, 'KZ-normalized'!$A:$A, 0))&gt;0, -(23*INDEX('KZ-normalized'!$D:$D, MATCH($A153, 'KZ-normalized'!$A:$A, 0))-INDEX('KZ-normalized'!$E:$E, MATCH($A153, 'KZ-normalized'!$A:$A, 0))), 0), 0))+(IFERROR(IF(23*INDEX('UZ-normalized'!$D:$D, MATCH($A153, 'UZ-normalized'!$A:$A, 0))-INDEX('UZ-normalized'!$E:$E, MATCH($A153, 'UZ-normalized'!$A:$A, 0))&gt;0, -(23*INDEX('UZ-normalized'!$D:$D, MATCH($A153, 'UZ-normalized'!$A:$A, 0))-INDEX('UZ-normalized'!$E:$E, MATCH($A153, 'UZ-normalized'!$A:$A, 0))), 0), 0)))</f>
        <v>0</v>
      </c>
      <c r="AL153" s="6">
        <f>MIN(0, N153+(IFERROR(IF(24*INDEX('UA-normalized'!$D:$D, MATCH($A153, 'UA-normalized'!$A:$A, 0))-INDEX('UA-normalized'!$E:$E, MATCH($A153, 'UA-normalized'!$A:$A, 0))&gt;0, -(24*INDEX('UA-normalized'!$D:$D, MATCH($A153, 'UA-normalized'!$A:$A, 0))-INDEX('UA-normalized'!$E:$E, MATCH($A153, 'UA-normalized'!$A:$A, 0))), 0), 0))+(IFERROR(IF(24*INDEX('KZ-normalized'!$D:$D, MATCH($A153, 'KZ-normalized'!$A:$A, 0))-INDEX('KZ-normalized'!$E:$E, MATCH($A153, 'KZ-normalized'!$A:$A, 0))&gt;0, -(24*INDEX('KZ-normalized'!$D:$D, MATCH($A153, 'KZ-normalized'!$A:$A, 0))-INDEX('KZ-normalized'!$E:$E, MATCH($A153, 'KZ-normalized'!$A:$A, 0))), 0), 0))+(IFERROR(IF(24*INDEX('UZ-normalized'!$D:$D, MATCH($A153, 'UZ-normalized'!$A:$A, 0))-INDEX('UZ-normalized'!$E:$E, MATCH($A153, 'UZ-normalized'!$A:$A, 0))&gt;0, -(24*INDEX('UZ-normalized'!$D:$D, MATCH($A153, 'UZ-normalized'!$A:$A, 0))-INDEX('UZ-normalized'!$E:$E, MATCH($A153, 'UZ-normalized'!$A:$A, 0))), 0), 0)))</f>
        <v>0</v>
      </c>
      <c r="AM153" s="6">
        <f>MIN(0, N153+(IFERROR(IF(25*INDEX('UA-normalized'!$D:$D, MATCH($A153, 'UA-normalized'!$A:$A, 0))-INDEX('UA-normalized'!$E:$E, MATCH($A153, 'UA-normalized'!$A:$A, 0))&gt;0, -(25*INDEX('UA-normalized'!$D:$D, MATCH($A153, 'UA-normalized'!$A:$A, 0))-INDEX('UA-normalized'!$E:$E, MATCH($A153, 'UA-normalized'!$A:$A, 0))), 0), 0))+(IFERROR(IF(25*INDEX('KZ-normalized'!$D:$D, MATCH($A153, 'KZ-normalized'!$A:$A, 0))-INDEX('KZ-normalized'!$E:$E, MATCH($A153, 'KZ-normalized'!$A:$A, 0))&gt;0, -(25*INDEX('KZ-normalized'!$D:$D, MATCH($A153, 'KZ-normalized'!$A:$A, 0))-INDEX('KZ-normalized'!$E:$E, MATCH($A153, 'KZ-normalized'!$A:$A, 0))), 0), 0))+(IFERROR(IF(25*INDEX('UZ-normalized'!$D:$D, MATCH($A153, 'UZ-normalized'!$A:$A, 0))-INDEX('UZ-normalized'!$E:$E, MATCH($A153, 'UZ-normalized'!$A:$A, 0))&gt;0, -(25*INDEX('UZ-normalized'!$D:$D, MATCH($A153, 'UZ-normalized'!$A:$A, 0))-INDEX('UZ-normalized'!$E:$E, MATCH($A153, 'UZ-normalized'!$A:$A, 0))), 0), 0)))</f>
        <v>0</v>
      </c>
      <c r="AN153" s="6">
        <f>MIN(0, N153+(IFERROR(IF(26*INDEX('UA-normalized'!$D:$D, MATCH($A153, 'UA-normalized'!$A:$A, 0))-INDEX('UA-normalized'!$E:$E, MATCH($A153, 'UA-normalized'!$A:$A, 0))&gt;0, -(26*INDEX('UA-normalized'!$D:$D, MATCH($A153, 'UA-normalized'!$A:$A, 0))-INDEX('UA-normalized'!$E:$E, MATCH($A153, 'UA-normalized'!$A:$A, 0))), 0), 0))+(IFERROR(IF(26*INDEX('KZ-normalized'!$D:$D, MATCH($A153, 'KZ-normalized'!$A:$A, 0))-INDEX('KZ-normalized'!$E:$E, MATCH($A153, 'KZ-normalized'!$A:$A, 0))&gt;0, -(26*INDEX('KZ-normalized'!$D:$D, MATCH($A153, 'KZ-normalized'!$A:$A, 0))-INDEX('KZ-normalized'!$E:$E, MATCH($A153, 'KZ-normalized'!$A:$A, 0))), 0), 0))+(IFERROR(IF(26*INDEX('UZ-normalized'!$D:$D, MATCH($A153, 'UZ-normalized'!$A:$A, 0))-INDEX('UZ-normalized'!$E:$E, MATCH($A153, 'UZ-normalized'!$A:$A, 0))&gt;0, -(26*INDEX('UZ-normalized'!$D:$D, MATCH($A153, 'UZ-normalized'!$A:$A, 0))-INDEX('UZ-normalized'!$E:$E, MATCH($A153, 'UZ-normalized'!$A:$A, 0))), 0), 0)))</f>
        <v>0</v>
      </c>
      <c r="AO153" s="6">
        <f>MIN(0, N153+(IFERROR(IF(27*INDEX('UA-normalized'!$D:$D, MATCH($A153, 'UA-normalized'!$A:$A, 0))-INDEX('UA-normalized'!$E:$E, MATCH($A153, 'UA-normalized'!$A:$A, 0))&gt;0, -(27*INDEX('UA-normalized'!$D:$D, MATCH($A153, 'UA-normalized'!$A:$A, 0))-INDEX('UA-normalized'!$E:$E, MATCH($A153, 'UA-normalized'!$A:$A, 0))), 0), 0))+(IFERROR(IF(27*INDEX('KZ-normalized'!$D:$D, MATCH($A153, 'KZ-normalized'!$A:$A, 0))-INDEX('KZ-normalized'!$E:$E, MATCH($A153, 'KZ-normalized'!$A:$A, 0))&gt;0, -(27*INDEX('KZ-normalized'!$D:$D, MATCH($A153, 'KZ-normalized'!$A:$A, 0))-INDEX('KZ-normalized'!$E:$E, MATCH($A153, 'KZ-normalized'!$A:$A, 0))), 0), 0))+(IFERROR(IF(27*INDEX('UZ-normalized'!$D:$D, MATCH($A153, 'UZ-normalized'!$A:$A, 0))-INDEX('UZ-normalized'!$E:$E, MATCH($A153, 'UZ-normalized'!$A:$A, 0))&gt;0, -(27*INDEX('UZ-normalized'!$D:$D, MATCH($A153, 'UZ-normalized'!$A:$A, 0))-INDEX('UZ-normalized'!$E:$E, MATCH($A153, 'UZ-normalized'!$A:$A, 0))), 0), 0)))</f>
        <v>0</v>
      </c>
      <c r="AP153" s="6">
        <f>MIN(0, N153+(IFERROR(IF(28*INDEX('UA-normalized'!$D:$D, MATCH($A153, 'UA-normalized'!$A:$A, 0))-INDEX('UA-normalized'!$E:$E, MATCH($A153, 'UA-normalized'!$A:$A, 0))&gt;0, -(28*INDEX('UA-normalized'!$D:$D, MATCH($A153, 'UA-normalized'!$A:$A, 0))-INDEX('UA-normalized'!$E:$E, MATCH($A153, 'UA-normalized'!$A:$A, 0))), 0), 0))+(IFERROR(IF(28*INDEX('KZ-normalized'!$D:$D, MATCH($A153, 'KZ-normalized'!$A:$A, 0))-INDEX('KZ-normalized'!$E:$E, MATCH($A153, 'KZ-normalized'!$A:$A, 0))&gt;0, -(28*INDEX('KZ-normalized'!$D:$D, MATCH($A153, 'KZ-normalized'!$A:$A, 0))-INDEX('KZ-normalized'!$E:$E, MATCH($A153, 'KZ-normalized'!$A:$A, 0))), 0), 0))+(IFERROR(IF(28*INDEX('UZ-normalized'!$D:$D, MATCH($A153, 'UZ-normalized'!$A:$A, 0))-INDEX('UZ-normalized'!$E:$E, MATCH($A153, 'UZ-normalized'!$A:$A, 0))&gt;0, -(28*INDEX('UZ-normalized'!$D:$D, MATCH($A153, 'UZ-normalized'!$A:$A, 0))-INDEX('UZ-normalized'!$E:$E, MATCH($A153, 'UZ-normalized'!$A:$A, 0))), 0), 0)))</f>
        <v>0</v>
      </c>
      <c r="AQ153" s="6">
        <f>MIN(0, N153+(IFERROR(IF(29*INDEX('UA-normalized'!$D:$D, MATCH($A153, 'UA-normalized'!$A:$A, 0))-INDEX('UA-normalized'!$E:$E, MATCH($A153, 'UA-normalized'!$A:$A, 0))&gt;0, -(29*INDEX('UA-normalized'!$D:$D, MATCH($A153, 'UA-normalized'!$A:$A, 0))-INDEX('UA-normalized'!$E:$E, MATCH($A153, 'UA-normalized'!$A:$A, 0))), 0), 0))+(IFERROR(IF(29*INDEX('KZ-normalized'!$D:$D, MATCH($A153, 'KZ-normalized'!$A:$A, 0))-INDEX('KZ-normalized'!$E:$E, MATCH($A153, 'KZ-normalized'!$A:$A, 0))&gt;0, -(29*INDEX('KZ-normalized'!$D:$D, MATCH($A153, 'KZ-normalized'!$A:$A, 0))-INDEX('KZ-normalized'!$E:$E, MATCH($A153, 'KZ-normalized'!$A:$A, 0))), 0), 0))+(IFERROR(IF(29*INDEX('UZ-normalized'!$D:$D, MATCH($A153, 'UZ-normalized'!$A:$A, 0))-INDEX('UZ-normalized'!$E:$E, MATCH($A153, 'UZ-normalized'!$A:$A, 0))&gt;0, -(29*INDEX('UZ-normalized'!$D:$D, MATCH($A153, 'UZ-normalized'!$A:$A, 0))-INDEX('UZ-normalized'!$E:$E, MATCH($A153, 'UZ-normalized'!$A:$A, 0))), 0), 0)))</f>
        <v>0</v>
      </c>
      <c r="AR153" s="6">
        <f>MIN(0, N153+(IFERROR(IF(30*INDEX('UA-normalized'!$D:$D, MATCH($A153, 'UA-normalized'!$A:$A, 0))-INDEX('UA-normalized'!$E:$E, MATCH($A153, 'UA-normalized'!$A:$A, 0))&gt;0, -(30*INDEX('UA-normalized'!$D:$D, MATCH($A153, 'UA-normalized'!$A:$A, 0))-INDEX('UA-normalized'!$E:$E, MATCH($A153, 'UA-normalized'!$A:$A, 0))), 0), 0))+(IFERROR(IF(30*INDEX('KZ-normalized'!$D:$D, MATCH($A153, 'KZ-normalized'!$A:$A, 0))-INDEX('KZ-normalized'!$E:$E, MATCH($A153, 'KZ-normalized'!$A:$A, 0))&gt;0, -(30*INDEX('KZ-normalized'!$D:$D, MATCH($A153, 'KZ-normalized'!$A:$A, 0))-INDEX('KZ-normalized'!$E:$E, MATCH($A153, 'KZ-normalized'!$A:$A, 0))), 0), 0))+(IFERROR(IF(30*INDEX('UZ-normalized'!$D:$D, MATCH($A153, 'UZ-normalized'!$A:$A, 0))-INDEX('UZ-normalized'!$E:$E, MATCH($A153, 'UZ-normalized'!$A:$A, 0))&gt;0, -(30*INDEX('UZ-normalized'!$D:$D, MATCH($A153, 'UZ-normalized'!$A:$A, 0))-INDEX('UZ-normalized'!$E:$E, MATCH($A153, 'UZ-normalized'!$A:$A, 0))), 0), 0)))</f>
        <v>0</v>
      </c>
    </row>
    <row r="154" spans="1:44" x14ac:dyDescent="0.25">
      <c r="A154" s="8" t="s">
        <v>372</v>
      </c>
      <c r="B154" s="8" t="s">
        <v>363</v>
      </c>
      <c r="C154" s="8" t="s">
        <v>364</v>
      </c>
      <c r="D154" s="8" t="s">
        <v>373</v>
      </c>
      <c r="N154">
        <f t="shared" si="2"/>
        <v>0</v>
      </c>
      <c r="O154" s="6">
        <f>MIN(0, N154+(IFERROR(IF(1*INDEX('UA-normalized'!$D:$D, MATCH($A154, 'UA-normalized'!$A:$A, 0))-INDEX('UA-normalized'!$E:$E, MATCH($A154, 'UA-normalized'!$A:$A, 0))&gt;0, -(1*INDEX('UA-normalized'!$D:$D, MATCH($A154, 'UA-normalized'!$A:$A, 0))-INDEX('UA-normalized'!$E:$E, MATCH($A154, 'UA-normalized'!$A:$A, 0))), 0), 0))+(IFERROR(IF(1*INDEX('KZ-normalized'!$D:$D, MATCH($A154, 'KZ-normalized'!$A:$A, 0))-INDEX('KZ-normalized'!$E:$E, MATCH($A154, 'KZ-normalized'!$A:$A, 0))&gt;0, -(1*INDEX('KZ-normalized'!$D:$D, MATCH($A154, 'KZ-normalized'!$A:$A, 0))-INDEX('KZ-normalized'!$E:$E, MATCH($A154, 'KZ-normalized'!$A:$A, 0))), 0), 0))+(IFERROR(IF(1*INDEX('UZ-normalized'!$D:$D, MATCH($A154, 'UZ-normalized'!$A:$A, 0))-INDEX('UZ-normalized'!$E:$E, MATCH($A154, 'UZ-normalized'!$A:$A, 0))&gt;0, -(1*INDEX('UZ-normalized'!$D:$D, MATCH($A154, 'UZ-normalized'!$A:$A, 0))-INDEX('UZ-normalized'!$E:$E, MATCH($A154, 'UZ-normalized'!$A:$A, 0))), 0), 0)))</f>
        <v>0</v>
      </c>
      <c r="P154" s="6">
        <f>MIN(0, N154+(IFERROR(IF(2*INDEX('UA-normalized'!$D:$D, MATCH($A154, 'UA-normalized'!$A:$A, 0))-INDEX('UA-normalized'!$E:$E, MATCH($A154, 'UA-normalized'!$A:$A, 0))&gt;0, -(2*INDEX('UA-normalized'!$D:$D, MATCH($A154, 'UA-normalized'!$A:$A, 0))-INDEX('UA-normalized'!$E:$E, MATCH($A154, 'UA-normalized'!$A:$A, 0))), 0), 0))+(IFERROR(IF(2*INDEX('KZ-normalized'!$D:$D, MATCH($A154, 'KZ-normalized'!$A:$A, 0))-INDEX('KZ-normalized'!$E:$E, MATCH($A154, 'KZ-normalized'!$A:$A, 0))&gt;0, -(2*INDEX('KZ-normalized'!$D:$D, MATCH($A154, 'KZ-normalized'!$A:$A, 0))-INDEX('KZ-normalized'!$E:$E, MATCH($A154, 'KZ-normalized'!$A:$A, 0))), 0), 0))+(IFERROR(IF(2*INDEX('UZ-normalized'!$D:$D, MATCH($A154, 'UZ-normalized'!$A:$A, 0))-INDEX('UZ-normalized'!$E:$E, MATCH($A154, 'UZ-normalized'!$A:$A, 0))&gt;0, -(2*INDEX('UZ-normalized'!$D:$D, MATCH($A154, 'UZ-normalized'!$A:$A, 0))-INDEX('UZ-normalized'!$E:$E, MATCH($A154, 'UZ-normalized'!$A:$A, 0))), 0), 0)))</f>
        <v>0</v>
      </c>
      <c r="Q154" s="6">
        <f>MIN(0, N154+(IFERROR(IF(3*INDEX('UA-normalized'!$D:$D, MATCH($A154, 'UA-normalized'!$A:$A, 0))-INDEX('UA-normalized'!$E:$E, MATCH($A154, 'UA-normalized'!$A:$A, 0))&gt;0, -(3*INDEX('UA-normalized'!$D:$D, MATCH($A154, 'UA-normalized'!$A:$A, 0))-INDEX('UA-normalized'!$E:$E, MATCH($A154, 'UA-normalized'!$A:$A, 0))), 0), 0))+(IFERROR(IF(3*INDEX('KZ-normalized'!$D:$D, MATCH($A154, 'KZ-normalized'!$A:$A, 0))-INDEX('KZ-normalized'!$E:$E, MATCH($A154, 'KZ-normalized'!$A:$A, 0))&gt;0, -(3*INDEX('KZ-normalized'!$D:$D, MATCH($A154, 'KZ-normalized'!$A:$A, 0))-INDEX('KZ-normalized'!$E:$E, MATCH($A154, 'KZ-normalized'!$A:$A, 0))), 0), 0))+(IFERROR(IF(3*INDEX('UZ-normalized'!$D:$D, MATCH($A154, 'UZ-normalized'!$A:$A, 0))-INDEX('UZ-normalized'!$E:$E, MATCH($A154, 'UZ-normalized'!$A:$A, 0))&gt;0, -(3*INDEX('UZ-normalized'!$D:$D, MATCH($A154, 'UZ-normalized'!$A:$A, 0))-INDEX('UZ-normalized'!$E:$E, MATCH($A154, 'UZ-normalized'!$A:$A, 0))), 0), 0)))</f>
        <v>0</v>
      </c>
      <c r="R154" s="6">
        <f>MIN(0, N154+(IFERROR(IF(4*INDEX('UA-normalized'!$D:$D, MATCH($A154, 'UA-normalized'!$A:$A, 0))-INDEX('UA-normalized'!$E:$E, MATCH($A154, 'UA-normalized'!$A:$A, 0))&gt;0, -(4*INDEX('UA-normalized'!$D:$D, MATCH($A154, 'UA-normalized'!$A:$A, 0))-INDEX('UA-normalized'!$E:$E, MATCH($A154, 'UA-normalized'!$A:$A, 0))), 0), 0))+(IFERROR(IF(4*INDEX('KZ-normalized'!$D:$D, MATCH($A154, 'KZ-normalized'!$A:$A, 0))-INDEX('KZ-normalized'!$E:$E, MATCH($A154, 'KZ-normalized'!$A:$A, 0))&gt;0, -(4*INDEX('KZ-normalized'!$D:$D, MATCH($A154, 'KZ-normalized'!$A:$A, 0))-INDEX('KZ-normalized'!$E:$E, MATCH($A154, 'KZ-normalized'!$A:$A, 0))), 0), 0))+(IFERROR(IF(4*INDEX('UZ-normalized'!$D:$D, MATCH($A154, 'UZ-normalized'!$A:$A, 0))-INDEX('UZ-normalized'!$E:$E, MATCH($A154, 'UZ-normalized'!$A:$A, 0))&gt;0, -(4*INDEX('UZ-normalized'!$D:$D, MATCH($A154, 'UZ-normalized'!$A:$A, 0))-INDEX('UZ-normalized'!$E:$E, MATCH($A154, 'UZ-normalized'!$A:$A, 0))), 0), 0)))</f>
        <v>0</v>
      </c>
      <c r="S154" s="6">
        <f>MIN(0, N154+(IFERROR(IF(5*INDEX('UA-normalized'!$D:$D, MATCH($A154, 'UA-normalized'!$A:$A, 0))-INDEX('UA-normalized'!$E:$E, MATCH($A154, 'UA-normalized'!$A:$A, 0))&gt;0, -(5*INDEX('UA-normalized'!$D:$D, MATCH($A154, 'UA-normalized'!$A:$A, 0))-INDEX('UA-normalized'!$E:$E, MATCH($A154, 'UA-normalized'!$A:$A, 0))), 0), 0))+(IFERROR(IF(5*INDEX('KZ-normalized'!$D:$D, MATCH($A154, 'KZ-normalized'!$A:$A, 0))-INDEX('KZ-normalized'!$E:$E, MATCH($A154, 'KZ-normalized'!$A:$A, 0))&gt;0, -(5*INDEX('KZ-normalized'!$D:$D, MATCH($A154, 'KZ-normalized'!$A:$A, 0))-INDEX('KZ-normalized'!$E:$E, MATCH($A154, 'KZ-normalized'!$A:$A, 0))), 0), 0))+(IFERROR(IF(5*INDEX('UZ-normalized'!$D:$D, MATCH($A154, 'UZ-normalized'!$A:$A, 0))-INDEX('UZ-normalized'!$E:$E, MATCH($A154, 'UZ-normalized'!$A:$A, 0))&gt;0, -(5*INDEX('UZ-normalized'!$D:$D, MATCH($A154, 'UZ-normalized'!$A:$A, 0))-INDEX('UZ-normalized'!$E:$E, MATCH($A154, 'UZ-normalized'!$A:$A, 0))), 0), 0)))</f>
        <v>0</v>
      </c>
      <c r="T154" s="6">
        <f>MIN(0, N154+(IFERROR(IF(6*INDEX('UA-normalized'!$D:$D, MATCH($A154, 'UA-normalized'!$A:$A, 0))-INDEX('UA-normalized'!$E:$E, MATCH($A154, 'UA-normalized'!$A:$A, 0))&gt;0, -(6*INDEX('UA-normalized'!$D:$D, MATCH($A154, 'UA-normalized'!$A:$A, 0))-INDEX('UA-normalized'!$E:$E, MATCH($A154, 'UA-normalized'!$A:$A, 0))), 0), 0))+(IFERROR(IF(6*INDEX('KZ-normalized'!$D:$D, MATCH($A154, 'KZ-normalized'!$A:$A, 0))-INDEX('KZ-normalized'!$E:$E, MATCH($A154, 'KZ-normalized'!$A:$A, 0))&gt;0, -(6*INDEX('KZ-normalized'!$D:$D, MATCH($A154, 'KZ-normalized'!$A:$A, 0))-INDEX('KZ-normalized'!$E:$E, MATCH($A154, 'KZ-normalized'!$A:$A, 0))), 0), 0))+(IFERROR(IF(6*INDEX('UZ-normalized'!$D:$D, MATCH($A154, 'UZ-normalized'!$A:$A, 0))-INDEX('UZ-normalized'!$E:$E, MATCH($A154, 'UZ-normalized'!$A:$A, 0))&gt;0, -(6*INDEX('UZ-normalized'!$D:$D, MATCH($A154, 'UZ-normalized'!$A:$A, 0))-INDEX('UZ-normalized'!$E:$E, MATCH($A154, 'UZ-normalized'!$A:$A, 0))), 0), 0)))</f>
        <v>0</v>
      </c>
      <c r="U154" s="6">
        <f>MIN(0, N154+(IFERROR(IF(7*INDEX('UA-normalized'!$D:$D, MATCH($A154, 'UA-normalized'!$A:$A, 0))-INDEX('UA-normalized'!$E:$E, MATCH($A154, 'UA-normalized'!$A:$A, 0))&gt;0, -(7*INDEX('UA-normalized'!$D:$D, MATCH($A154, 'UA-normalized'!$A:$A, 0))-INDEX('UA-normalized'!$E:$E, MATCH($A154, 'UA-normalized'!$A:$A, 0))), 0), 0))+(IFERROR(IF(7*INDEX('KZ-normalized'!$D:$D, MATCH($A154, 'KZ-normalized'!$A:$A, 0))-INDEX('KZ-normalized'!$E:$E, MATCH($A154, 'KZ-normalized'!$A:$A, 0))&gt;0, -(7*INDEX('KZ-normalized'!$D:$D, MATCH($A154, 'KZ-normalized'!$A:$A, 0))-INDEX('KZ-normalized'!$E:$E, MATCH($A154, 'KZ-normalized'!$A:$A, 0))), 0), 0))+(IFERROR(IF(7*INDEX('UZ-normalized'!$D:$D, MATCH($A154, 'UZ-normalized'!$A:$A, 0))-INDEX('UZ-normalized'!$E:$E, MATCH($A154, 'UZ-normalized'!$A:$A, 0))&gt;0, -(7*INDEX('UZ-normalized'!$D:$D, MATCH($A154, 'UZ-normalized'!$A:$A, 0))-INDEX('UZ-normalized'!$E:$E, MATCH($A154, 'UZ-normalized'!$A:$A, 0))), 0), 0)))</f>
        <v>0</v>
      </c>
      <c r="V154" s="6">
        <f>MIN(0, N154+(IFERROR(IF(8*INDEX('UA-normalized'!$D:$D, MATCH($A154, 'UA-normalized'!$A:$A, 0))-INDEX('UA-normalized'!$E:$E, MATCH($A154, 'UA-normalized'!$A:$A, 0))&gt;0, -(8*INDEX('UA-normalized'!$D:$D, MATCH($A154, 'UA-normalized'!$A:$A, 0))-INDEX('UA-normalized'!$E:$E, MATCH($A154, 'UA-normalized'!$A:$A, 0))), 0), 0))+(IFERROR(IF(8*INDEX('KZ-normalized'!$D:$D, MATCH($A154, 'KZ-normalized'!$A:$A, 0))-INDEX('KZ-normalized'!$E:$E, MATCH($A154, 'KZ-normalized'!$A:$A, 0))&gt;0, -(8*INDEX('KZ-normalized'!$D:$D, MATCH($A154, 'KZ-normalized'!$A:$A, 0))-INDEX('KZ-normalized'!$E:$E, MATCH($A154, 'KZ-normalized'!$A:$A, 0))), 0), 0))+(IFERROR(IF(8*INDEX('UZ-normalized'!$D:$D, MATCH($A154, 'UZ-normalized'!$A:$A, 0))-INDEX('UZ-normalized'!$E:$E, MATCH($A154, 'UZ-normalized'!$A:$A, 0))&gt;0, -(8*INDEX('UZ-normalized'!$D:$D, MATCH($A154, 'UZ-normalized'!$A:$A, 0))-INDEX('UZ-normalized'!$E:$E, MATCH($A154, 'UZ-normalized'!$A:$A, 0))), 0), 0)))</f>
        <v>0</v>
      </c>
      <c r="W154" s="6">
        <f>MIN(0, N154+(IFERROR(IF(9*INDEX('UA-normalized'!$D:$D, MATCH($A154, 'UA-normalized'!$A:$A, 0))-INDEX('UA-normalized'!$E:$E, MATCH($A154, 'UA-normalized'!$A:$A, 0))&gt;0, -(9*INDEX('UA-normalized'!$D:$D, MATCH($A154, 'UA-normalized'!$A:$A, 0))-INDEX('UA-normalized'!$E:$E, MATCH($A154, 'UA-normalized'!$A:$A, 0))), 0), 0))+(IFERROR(IF(9*INDEX('KZ-normalized'!$D:$D, MATCH($A154, 'KZ-normalized'!$A:$A, 0))-INDEX('KZ-normalized'!$E:$E, MATCH($A154, 'KZ-normalized'!$A:$A, 0))&gt;0, -(9*INDEX('KZ-normalized'!$D:$D, MATCH($A154, 'KZ-normalized'!$A:$A, 0))-INDEX('KZ-normalized'!$E:$E, MATCH($A154, 'KZ-normalized'!$A:$A, 0))), 0), 0))+(IFERROR(IF(9*INDEX('UZ-normalized'!$D:$D, MATCH($A154, 'UZ-normalized'!$A:$A, 0))-INDEX('UZ-normalized'!$E:$E, MATCH($A154, 'UZ-normalized'!$A:$A, 0))&gt;0, -(9*INDEX('UZ-normalized'!$D:$D, MATCH($A154, 'UZ-normalized'!$A:$A, 0))-INDEX('UZ-normalized'!$E:$E, MATCH($A154, 'UZ-normalized'!$A:$A, 0))), 0), 0)))</f>
        <v>0</v>
      </c>
      <c r="X154" s="6">
        <f>MIN(0, N154+(IFERROR(IF(10*INDEX('UA-normalized'!$D:$D, MATCH($A154, 'UA-normalized'!$A:$A, 0))-INDEX('UA-normalized'!$E:$E, MATCH($A154, 'UA-normalized'!$A:$A, 0))&gt;0, -(10*INDEX('UA-normalized'!$D:$D, MATCH($A154, 'UA-normalized'!$A:$A, 0))-INDEX('UA-normalized'!$E:$E, MATCH($A154, 'UA-normalized'!$A:$A, 0))), 0), 0))+(IFERROR(IF(10*INDEX('KZ-normalized'!$D:$D, MATCH($A154, 'KZ-normalized'!$A:$A, 0))-INDEX('KZ-normalized'!$E:$E, MATCH($A154, 'KZ-normalized'!$A:$A, 0))&gt;0, -(10*INDEX('KZ-normalized'!$D:$D, MATCH($A154, 'KZ-normalized'!$A:$A, 0))-INDEX('KZ-normalized'!$E:$E, MATCH($A154, 'KZ-normalized'!$A:$A, 0))), 0), 0))+(IFERROR(IF(10*INDEX('UZ-normalized'!$D:$D, MATCH($A154, 'UZ-normalized'!$A:$A, 0))-INDEX('UZ-normalized'!$E:$E, MATCH($A154, 'UZ-normalized'!$A:$A, 0))&gt;0, -(10*INDEX('UZ-normalized'!$D:$D, MATCH($A154, 'UZ-normalized'!$A:$A, 0))-INDEX('UZ-normalized'!$E:$E, MATCH($A154, 'UZ-normalized'!$A:$A, 0))), 0), 0)))</f>
        <v>0</v>
      </c>
      <c r="Y154" s="6">
        <f>MIN(0, N154+(IFERROR(IF(11*INDEX('UA-normalized'!$D:$D, MATCH($A154, 'UA-normalized'!$A:$A, 0))-INDEX('UA-normalized'!$E:$E, MATCH($A154, 'UA-normalized'!$A:$A, 0))&gt;0, -(11*INDEX('UA-normalized'!$D:$D, MATCH($A154, 'UA-normalized'!$A:$A, 0))-INDEX('UA-normalized'!$E:$E, MATCH($A154, 'UA-normalized'!$A:$A, 0))), 0), 0))+(IFERROR(IF(11*INDEX('KZ-normalized'!$D:$D, MATCH($A154, 'KZ-normalized'!$A:$A, 0))-INDEX('KZ-normalized'!$E:$E, MATCH($A154, 'KZ-normalized'!$A:$A, 0))&gt;0, -(11*INDEX('KZ-normalized'!$D:$D, MATCH($A154, 'KZ-normalized'!$A:$A, 0))-INDEX('KZ-normalized'!$E:$E, MATCH($A154, 'KZ-normalized'!$A:$A, 0))), 0), 0))+(IFERROR(IF(11*INDEX('UZ-normalized'!$D:$D, MATCH($A154, 'UZ-normalized'!$A:$A, 0))-INDEX('UZ-normalized'!$E:$E, MATCH($A154, 'UZ-normalized'!$A:$A, 0))&gt;0, -(11*INDEX('UZ-normalized'!$D:$D, MATCH($A154, 'UZ-normalized'!$A:$A, 0))-INDEX('UZ-normalized'!$E:$E, MATCH($A154, 'UZ-normalized'!$A:$A, 0))), 0), 0)))</f>
        <v>0</v>
      </c>
      <c r="Z154" s="6">
        <f>MIN(0, N154+(IFERROR(IF(12*INDEX('UA-normalized'!$D:$D, MATCH($A154, 'UA-normalized'!$A:$A, 0))-INDEX('UA-normalized'!$E:$E, MATCH($A154, 'UA-normalized'!$A:$A, 0))&gt;0, -(12*INDEX('UA-normalized'!$D:$D, MATCH($A154, 'UA-normalized'!$A:$A, 0))-INDEX('UA-normalized'!$E:$E, MATCH($A154, 'UA-normalized'!$A:$A, 0))), 0), 0))+(IFERROR(IF(12*INDEX('KZ-normalized'!$D:$D, MATCH($A154, 'KZ-normalized'!$A:$A, 0))-INDEX('KZ-normalized'!$E:$E, MATCH($A154, 'KZ-normalized'!$A:$A, 0))&gt;0, -(12*INDEX('KZ-normalized'!$D:$D, MATCH($A154, 'KZ-normalized'!$A:$A, 0))-INDEX('KZ-normalized'!$E:$E, MATCH($A154, 'KZ-normalized'!$A:$A, 0))), 0), 0))+(IFERROR(IF(12*INDEX('UZ-normalized'!$D:$D, MATCH($A154, 'UZ-normalized'!$A:$A, 0))-INDEX('UZ-normalized'!$E:$E, MATCH($A154, 'UZ-normalized'!$A:$A, 0))&gt;0, -(12*INDEX('UZ-normalized'!$D:$D, MATCH($A154, 'UZ-normalized'!$A:$A, 0))-INDEX('UZ-normalized'!$E:$E, MATCH($A154, 'UZ-normalized'!$A:$A, 0))), 0), 0)))</f>
        <v>-0.40000000000000036</v>
      </c>
      <c r="AA154" s="6">
        <f>MIN(0, N154+(IFERROR(IF(13*INDEX('UA-normalized'!$D:$D, MATCH($A154, 'UA-normalized'!$A:$A, 0))-INDEX('UA-normalized'!$E:$E, MATCH($A154, 'UA-normalized'!$A:$A, 0))&gt;0, -(13*INDEX('UA-normalized'!$D:$D, MATCH($A154, 'UA-normalized'!$A:$A, 0))-INDEX('UA-normalized'!$E:$E, MATCH($A154, 'UA-normalized'!$A:$A, 0))), 0), 0))+(IFERROR(IF(13*INDEX('KZ-normalized'!$D:$D, MATCH($A154, 'KZ-normalized'!$A:$A, 0))-INDEX('KZ-normalized'!$E:$E, MATCH($A154, 'KZ-normalized'!$A:$A, 0))&gt;0, -(13*INDEX('KZ-normalized'!$D:$D, MATCH($A154, 'KZ-normalized'!$A:$A, 0))-INDEX('KZ-normalized'!$E:$E, MATCH($A154, 'KZ-normalized'!$A:$A, 0))), 0), 0))+(IFERROR(IF(13*INDEX('UZ-normalized'!$D:$D, MATCH($A154, 'UZ-normalized'!$A:$A, 0))-INDEX('UZ-normalized'!$E:$E, MATCH($A154, 'UZ-normalized'!$A:$A, 0))&gt;0, -(13*INDEX('UZ-normalized'!$D:$D, MATCH($A154, 'UZ-normalized'!$A:$A, 0))-INDEX('UZ-normalized'!$E:$E, MATCH($A154, 'UZ-normalized'!$A:$A, 0))), 0), 0)))</f>
        <v>-0.85000000000000053</v>
      </c>
      <c r="AB154" s="6">
        <f>MIN(0, N154+(IFERROR(IF(14*INDEX('UA-normalized'!$D:$D, MATCH($A154, 'UA-normalized'!$A:$A, 0))-INDEX('UA-normalized'!$E:$E, MATCH($A154, 'UA-normalized'!$A:$A, 0))&gt;0, -(14*INDEX('UA-normalized'!$D:$D, MATCH($A154, 'UA-normalized'!$A:$A, 0))-INDEX('UA-normalized'!$E:$E, MATCH($A154, 'UA-normalized'!$A:$A, 0))), 0), 0))+(IFERROR(IF(14*INDEX('KZ-normalized'!$D:$D, MATCH($A154, 'KZ-normalized'!$A:$A, 0))-INDEX('KZ-normalized'!$E:$E, MATCH($A154, 'KZ-normalized'!$A:$A, 0))&gt;0, -(14*INDEX('KZ-normalized'!$D:$D, MATCH($A154, 'KZ-normalized'!$A:$A, 0))-INDEX('KZ-normalized'!$E:$E, MATCH($A154, 'KZ-normalized'!$A:$A, 0))), 0), 0))+(IFERROR(IF(14*INDEX('UZ-normalized'!$D:$D, MATCH($A154, 'UZ-normalized'!$A:$A, 0))-INDEX('UZ-normalized'!$E:$E, MATCH($A154, 'UZ-normalized'!$A:$A, 0))&gt;0, -(14*INDEX('UZ-normalized'!$D:$D, MATCH($A154, 'UZ-normalized'!$A:$A, 0))-INDEX('UZ-normalized'!$E:$E, MATCH($A154, 'UZ-normalized'!$A:$A, 0))), 0), 0)))</f>
        <v>-1.2999999999999998</v>
      </c>
      <c r="AC154" s="6">
        <f>MIN(0, N154+(IFERROR(IF(15*INDEX('UA-normalized'!$D:$D, MATCH($A154, 'UA-normalized'!$A:$A, 0))-INDEX('UA-normalized'!$E:$E, MATCH($A154, 'UA-normalized'!$A:$A, 0))&gt;0, -(15*INDEX('UA-normalized'!$D:$D, MATCH($A154, 'UA-normalized'!$A:$A, 0))-INDEX('UA-normalized'!$E:$E, MATCH($A154, 'UA-normalized'!$A:$A, 0))), 0), 0))+(IFERROR(IF(15*INDEX('KZ-normalized'!$D:$D, MATCH($A154, 'KZ-normalized'!$A:$A, 0))-INDEX('KZ-normalized'!$E:$E, MATCH($A154, 'KZ-normalized'!$A:$A, 0))&gt;0, -(15*INDEX('KZ-normalized'!$D:$D, MATCH($A154, 'KZ-normalized'!$A:$A, 0))-INDEX('KZ-normalized'!$E:$E, MATCH($A154, 'KZ-normalized'!$A:$A, 0))), 0), 0))+(IFERROR(IF(15*INDEX('UZ-normalized'!$D:$D, MATCH($A154, 'UZ-normalized'!$A:$A, 0))-INDEX('UZ-normalized'!$E:$E, MATCH($A154, 'UZ-normalized'!$A:$A, 0))&gt;0, -(15*INDEX('UZ-normalized'!$D:$D, MATCH($A154, 'UZ-normalized'!$A:$A, 0))-INDEX('UZ-normalized'!$E:$E, MATCH($A154, 'UZ-normalized'!$A:$A, 0))), 0), 0)))</f>
        <v>-1.75</v>
      </c>
      <c r="AD154" s="6">
        <f>MIN(0, N154+(IFERROR(IF(16*INDEX('UA-normalized'!$D:$D, MATCH($A154, 'UA-normalized'!$A:$A, 0))-INDEX('UA-normalized'!$E:$E, MATCH($A154, 'UA-normalized'!$A:$A, 0))&gt;0, -(16*INDEX('UA-normalized'!$D:$D, MATCH($A154, 'UA-normalized'!$A:$A, 0))-INDEX('UA-normalized'!$E:$E, MATCH($A154, 'UA-normalized'!$A:$A, 0))), 0), 0))+(IFERROR(IF(16*INDEX('KZ-normalized'!$D:$D, MATCH($A154, 'KZ-normalized'!$A:$A, 0))-INDEX('KZ-normalized'!$E:$E, MATCH($A154, 'KZ-normalized'!$A:$A, 0))&gt;0, -(16*INDEX('KZ-normalized'!$D:$D, MATCH($A154, 'KZ-normalized'!$A:$A, 0))-INDEX('KZ-normalized'!$E:$E, MATCH($A154, 'KZ-normalized'!$A:$A, 0))), 0), 0))+(IFERROR(IF(16*INDEX('UZ-normalized'!$D:$D, MATCH($A154, 'UZ-normalized'!$A:$A, 0))-INDEX('UZ-normalized'!$E:$E, MATCH($A154, 'UZ-normalized'!$A:$A, 0))&gt;0, -(16*INDEX('UZ-normalized'!$D:$D, MATCH($A154, 'UZ-normalized'!$A:$A, 0))-INDEX('UZ-normalized'!$E:$E, MATCH($A154, 'UZ-normalized'!$A:$A, 0))), 0), 0)))</f>
        <v>-2.2000000000000002</v>
      </c>
      <c r="AE154" s="6">
        <f>MIN(0, N154+(IFERROR(IF(17*INDEX('UA-normalized'!$D:$D, MATCH($A154, 'UA-normalized'!$A:$A, 0))-INDEX('UA-normalized'!$E:$E, MATCH($A154, 'UA-normalized'!$A:$A, 0))&gt;0, -(17*INDEX('UA-normalized'!$D:$D, MATCH($A154, 'UA-normalized'!$A:$A, 0))-INDEX('UA-normalized'!$E:$E, MATCH($A154, 'UA-normalized'!$A:$A, 0))), 0), 0))+(IFERROR(IF(17*INDEX('KZ-normalized'!$D:$D, MATCH($A154, 'KZ-normalized'!$A:$A, 0))-INDEX('KZ-normalized'!$E:$E, MATCH($A154, 'KZ-normalized'!$A:$A, 0))&gt;0, -(17*INDEX('KZ-normalized'!$D:$D, MATCH($A154, 'KZ-normalized'!$A:$A, 0))-INDEX('KZ-normalized'!$E:$E, MATCH($A154, 'KZ-normalized'!$A:$A, 0))), 0), 0))+(IFERROR(IF(17*INDEX('UZ-normalized'!$D:$D, MATCH($A154, 'UZ-normalized'!$A:$A, 0))-INDEX('UZ-normalized'!$E:$E, MATCH($A154, 'UZ-normalized'!$A:$A, 0))&gt;0, -(17*INDEX('UZ-normalized'!$D:$D, MATCH($A154, 'UZ-normalized'!$A:$A, 0))-INDEX('UZ-normalized'!$E:$E, MATCH($A154, 'UZ-normalized'!$A:$A, 0))), 0), 0)))</f>
        <v>-2.6500000000000004</v>
      </c>
      <c r="AF154" s="6">
        <f>MIN(0, N154+(IFERROR(IF(18*INDEX('UA-normalized'!$D:$D, MATCH($A154, 'UA-normalized'!$A:$A, 0))-INDEX('UA-normalized'!$E:$E, MATCH($A154, 'UA-normalized'!$A:$A, 0))&gt;0, -(18*INDEX('UA-normalized'!$D:$D, MATCH($A154, 'UA-normalized'!$A:$A, 0))-INDEX('UA-normalized'!$E:$E, MATCH($A154, 'UA-normalized'!$A:$A, 0))), 0), 0))+(IFERROR(IF(18*INDEX('KZ-normalized'!$D:$D, MATCH($A154, 'KZ-normalized'!$A:$A, 0))-INDEX('KZ-normalized'!$E:$E, MATCH($A154, 'KZ-normalized'!$A:$A, 0))&gt;0, -(18*INDEX('KZ-normalized'!$D:$D, MATCH($A154, 'KZ-normalized'!$A:$A, 0))-INDEX('KZ-normalized'!$E:$E, MATCH($A154, 'KZ-normalized'!$A:$A, 0))), 0), 0))+(IFERROR(IF(18*INDEX('UZ-normalized'!$D:$D, MATCH($A154, 'UZ-normalized'!$A:$A, 0))-INDEX('UZ-normalized'!$E:$E, MATCH($A154, 'UZ-normalized'!$A:$A, 0))&gt;0, -(18*INDEX('UZ-normalized'!$D:$D, MATCH($A154, 'UZ-normalized'!$A:$A, 0))-INDEX('UZ-normalized'!$E:$E, MATCH($A154, 'UZ-normalized'!$A:$A, 0))), 0), 0)))</f>
        <v>-3.0999999999999996</v>
      </c>
      <c r="AG154" s="6">
        <f>MIN(0, N154+(IFERROR(IF(19*INDEX('UA-normalized'!$D:$D, MATCH($A154, 'UA-normalized'!$A:$A, 0))-INDEX('UA-normalized'!$E:$E, MATCH($A154, 'UA-normalized'!$A:$A, 0))&gt;0, -(19*INDEX('UA-normalized'!$D:$D, MATCH($A154, 'UA-normalized'!$A:$A, 0))-INDEX('UA-normalized'!$E:$E, MATCH($A154, 'UA-normalized'!$A:$A, 0))), 0), 0))+(IFERROR(IF(19*INDEX('KZ-normalized'!$D:$D, MATCH($A154, 'KZ-normalized'!$A:$A, 0))-INDEX('KZ-normalized'!$E:$E, MATCH($A154, 'KZ-normalized'!$A:$A, 0))&gt;0, -(19*INDEX('KZ-normalized'!$D:$D, MATCH($A154, 'KZ-normalized'!$A:$A, 0))-INDEX('KZ-normalized'!$E:$E, MATCH($A154, 'KZ-normalized'!$A:$A, 0))), 0), 0))+(IFERROR(IF(19*INDEX('UZ-normalized'!$D:$D, MATCH($A154, 'UZ-normalized'!$A:$A, 0))-INDEX('UZ-normalized'!$E:$E, MATCH($A154, 'UZ-normalized'!$A:$A, 0))&gt;0, -(19*INDEX('UZ-normalized'!$D:$D, MATCH($A154, 'UZ-normalized'!$A:$A, 0))-INDEX('UZ-normalized'!$E:$E, MATCH($A154, 'UZ-normalized'!$A:$A, 0))), 0), 0)))</f>
        <v>-3.5500000000000007</v>
      </c>
      <c r="AH154" s="6">
        <f>MIN(0, N154+(IFERROR(IF(20*INDEX('UA-normalized'!$D:$D, MATCH($A154, 'UA-normalized'!$A:$A, 0))-INDEX('UA-normalized'!$E:$E, MATCH($A154, 'UA-normalized'!$A:$A, 0))&gt;0, -(20*INDEX('UA-normalized'!$D:$D, MATCH($A154, 'UA-normalized'!$A:$A, 0))-INDEX('UA-normalized'!$E:$E, MATCH($A154, 'UA-normalized'!$A:$A, 0))), 0), 0))+(IFERROR(IF(20*INDEX('KZ-normalized'!$D:$D, MATCH($A154, 'KZ-normalized'!$A:$A, 0))-INDEX('KZ-normalized'!$E:$E, MATCH($A154, 'KZ-normalized'!$A:$A, 0))&gt;0, -(20*INDEX('KZ-normalized'!$D:$D, MATCH($A154, 'KZ-normalized'!$A:$A, 0))-INDEX('KZ-normalized'!$E:$E, MATCH($A154, 'KZ-normalized'!$A:$A, 0))), 0), 0))+(IFERROR(IF(20*INDEX('UZ-normalized'!$D:$D, MATCH($A154, 'UZ-normalized'!$A:$A, 0))-INDEX('UZ-normalized'!$E:$E, MATCH($A154, 'UZ-normalized'!$A:$A, 0))&gt;0, -(20*INDEX('UZ-normalized'!$D:$D, MATCH($A154, 'UZ-normalized'!$A:$A, 0))-INDEX('UZ-normalized'!$E:$E, MATCH($A154, 'UZ-normalized'!$A:$A, 0))), 0), 0)))</f>
        <v>-4</v>
      </c>
      <c r="AI154" s="6">
        <f>MIN(0, N154+(IFERROR(IF(21*INDEX('UA-normalized'!$D:$D, MATCH($A154, 'UA-normalized'!$A:$A, 0))-INDEX('UA-normalized'!$E:$E, MATCH($A154, 'UA-normalized'!$A:$A, 0))&gt;0, -(21*INDEX('UA-normalized'!$D:$D, MATCH($A154, 'UA-normalized'!$A:$A, 0))-INDEX('UA-normalized'!$E:$E, MATCH($A154, 'UA-normalized'!$A:$A, 0))), 0), 0))+(IFERROR(IF(21*INDEX('KZ-normalized'!$D:$D, MATCH($A154, 'KZ-normalized'!$A:$A, 0))-INDEX('KZ-normalized'!$E:$E, MATCH($A154, 'KZ-normalized'!$A:$A, 0))&gt;0, -(21*INDEX('KZ-normalized'!$D:$D, MATCH($A154, 'KZ-normalized'!$A:$A, 0))-INDEX('KZ-normalized'!$E:$E, MATCH($A154, 'KZ-normalized'!$A:$A, 0))), 0), 0))+(IFERROR(IF(21*INDEX('UZ-normalized'!$D:$D, MATCH($A154, 'UZ-normalized'!$A:$A, 0))-INDEX('UZ-normalized'!$E:$E, MATCH($A154, 'UZ-normalized'!$A:$A, 0))&gt;0, -(21*INDEX('UZ-normalized'!$D:$D, MATCH($A154, 'UZ-normalized'!$A:$A, 0))-INDEX('UZ-normalized'!$E:$E, MATCH($A154, 'UZ-normalized'!$A:$A, 0))), 0), 0)))</f>
        <v>-7.4500000000000011</v>
      </c>
      <c r="AJ154" s="6">
        <f>MIN(0, N154+(IFERROR(IF(22*INDEX('UA-normalized'!$D:$D, MATCH($A154, 'UA-normalized'!$A:$A, 0))-INDEX('UA-normalized'!$E:$E, MATCH($A154, 'UA-normalized'!$A:$A, 0))&gt;0, -(22*INDEX('UA-normalized'!$D:$D, MATCH($A154, 'UA-normalized'!$A:$A, 0))-INDEX('UA-normalized'!$E:$E, MATCH($A154, 'UA-normalized'!$A:$A, 0))), 0), 0))+(IFERROR(IF(22*INDEX('KZ-normalized'!$D:$D, MATCH($A154, 'KZ-normalized'!$A:$A, 0))-INDEX('KZ-normalized'!$E:$E, MATCH($A154, 'KZ-normalized'!$A:$A, 0))&gt;0, -(22*INDEX('KZ-normalized'!$D:$D, MATCH($A154, 'KZ-normalized'!$A:$A, 0))-INDEX('KZ-normalized'!$E:$E, MATCH($A154, 'KZ-normalized'!$A:$A, 0))), 0), 0))+(IFERROR(IF(22*INDEX('UZ-normalized'!$D:$D, MATCH($A154, 'UZ-normalized'!$A:$A, 0))-INDEX('UZ-normalized'!$E:$E, MATCH($A154, 'UZ-normalized'!$A:$A, 0))&gt;0, -(22*INDEX('UZ-normalized'!$D:$D, MATCH($A154, 'UZ-normalized'!$A:$A, 0))-INDEX('UZ-normalized'!$E:$E, MATCH($A154, 'UZ-normalized'!$A:$A, 0))), 0), 0)))</f>
        <v>-10.9</v>
      </c>
      <c r="AK154" s="6">
        <f>MIN(0, N154+(IFERROR(IF(23*INDEX('UA-normalized'!$D:$D, MATCH($A154, 'UA-normalized'!$A:$A, 0))-INDEX('UA-normalized'!$E:$E, MATCH($A154, 'UA-normalized'!$A:$A, 0))&gt;0, -(23*INDEX('UA-normalized'!$D:$D, MATCH($A154, 'UA-normalized'!$A:$A, 0))-INDEX('UA-normalized'!$E:$E, MATCH($A154, 'UA-normalized'!$A:$A, 0))), 0), 0))+(IFERROR(IF(23*INDEX('KZ-normalized'!$D:$D, MATCH($A154, 'KZ-normalized'!$A:$A, 0))-INDEX('KZ-normalized'!$E:$E, MATCH($A154, 'KZ-normalized'!$A:$A, 0))&gt;0, -(23*INDEX('KZ-normalized'!$D:$D, MATCH($A154, 'KZ-normalized'!$A:$A, 0))-INDEX('KZ-normalized'!$E:$E, MATCH($A154, 'KZ-normalized'!$A:$A, 0))), 0), 0))+(IFERROR(IF(23*INDEX('UZ-normalized'!$D:$D, MATCH($A154, 'UZ-normalized'!$A:$A, 0))-INDEX('UZ-normalized'!$E:$E, MATCH($A154, 'UZ-normalized'!$A:$A, 0))&gt;0, -(23*INDEX('UZ-normalized'!$D:$D, MATCH($A154, 'UZ-normalized'!$A:$A, 0))-INDEX('UZ-normalized'!$E:$E, MATCH($A154, 'UZ-normalized'!$A:$A, 0))), 0), 0)))</f>
        <v>-14.35</v>
      </c>
      <c r="AL154" s="6">
        <f>MIN(0, N154+(IFERROR(IF(24*INDEX('UA-normalized'!$D:$D, MATCH($A154, 'UA-normalized'!$A:$A, 0))-INDEX('UA-normalized'!$E:$E, MATCH($A154, 'UA-normalized'!$A:$A, 0))&gt;0, -(24*INDEX('UA-normalized'!$D:$D, MATCH($A154, 'UA-normalized'!$A:$A, 0))-INDEX('UA-normalized'!$E:$E, MATCH($A154, 'UA-normalized'!$A:$A, 0))), 0), 0))+(IFERROR(IF(24*INDEX('KZ-normalized'!$D:$D, MATCH($A154, 'KZ-normalized'!$A:$A, 0))-INDEX('KZ-normalized'!$E:$E, MATCH($A154, 'KZ-normalized'!$A:$A, 0))&gt;0, -(24*INDEX('KZ-normalized'!$D:$D, MATCH($A154, 'KZ-normalized'!$A:$A, 0))-INDEX('KZ-normalized'!$E:$E, MATCH($A154, 'KZ-normalized'!$A:$A, 0))), 0), 0))+(IFERROR(IF(24*INDEX('UZ-normalized'!$D:$D, MATCH($A154, 'UZ-normalized'!$A:$A, 0))-INDEX('UZ-normalized'!$E:$E, MATCH($A154, 'UZ-normalized'!$A:$A, 0))&gt;0, -(24*INDEX('UZ-normalized'!$D:$D, MATCH($A154, 'UZ-normalized'!$A:$A, 0))-INDEX('UZ-normalized'!$E:$E, MATCH($A154, 'UZ-normalized'!$A:$A, 0))), 0), 0)))</f>
        <v>-17.8</v>
      </c>
      <c r="AM154" s="6">
        <f>MIN(0, N154+(IFERROR(IF(25*INDEX('UA-normalized'!$D:$D, MATCH($A154, 'UA-normalized'!$A:$A, 0))-INDEX('UA-normalized'!$E:$E, MATCH($A154, 'UA-normalized'!$A:$A, 0))&gt;0, -(25*INDEX('UA-normalized'!$D:$D, MATCH($A154, 'UA-normalized'!$A:$A, 0))-INDEX('UA-normalized'!$E:$E, MATCH($A154, 'UA-normalized'!$A:$A, 0))), 0), 0))+(IFERROR(IF(25*INDEX('KZ-normalized'!$D:$D, MATCH($A154, 'KZ-normalized'!$A:$A, 0))-INDEX('KZ-normalized'!$E:$E, MATCH($A154, 'KZ-normalized'!$A:$A, 0))&gt;0, -(25*INDEX('KZ-normalized'!$D:$D, MATCH($A154, 'KZ-normalized'!$A:$A, 0))-INDEX('KZ-normalized'!$E:$E, MATCH($A154, 'KZ-normalized'!$A:$A, 0))), 0), 0))+(IFERROR(IF(25*INDEX('UZ-normalized'!$D:$D, MATCH($A154, 'UZ-normalized'!$A:$A, 0))-INDEX('UZ-normalized'!$E:$E, MATCH($A154, 'UZ-normalized'!$A:$A, 0))&gt;0, -(25*INDEX('UZ-normalized'!$D:$D, MATCH($A154, 'UZ-normalized'!$A:$A, 0))-INDEX('UZ-normalized'!$E:$E, MATCH($A154, 'UZ-normalized'!$A:$A, 0))), 0), 0)))</f>
        <v>-21.25</v>
      </c>
      <c r="AN154" s="6">
        <f>MIN(0, N154+(IFERROR(IF(26*INDEX('UA-normalized'!$D:$D, MATCH($A154, 'UA-normalized'!$A:$A, 0))-INDEX('UA-normalized'!$E:$E, MATCH($A154, 'UA-normalized'!$A:$A, 0))&gt;0, -(26*INDEX('UA-normalized'!$D:$D, MATCH($A154, 'UA-normalized'!$A:$A, 0))-INDEX('UA-normalized'!$E:$E, MATCH($A154, 'UA-normalized'!$A:$A, 0))), 0), 0))+(IFERROR(IF(26*INDEX('KZ-normalized'!$D:$D, MATCH($A154, 'KZ-normalized'!$A:$A, 0))-INDEX('KZ-normalized'!$E:$E, MATCH($A154, 'KZ-normalized'!$A:$A, 0))&gt;0, -(26*INDEX('KZ-normalized'!$D:$D, MATCH($A154, 'KZ-normalized'!$A:$A, 0))-INDEX('KZ-normalized'!$E:$E, MATCH($A154, 'KZ-normalized'!$A:$A, 0))), 0), 0))+(IFERROR(IF(26*INDEX('UZ-normalized'!$D:$D, MATCH($A154, 'UZ-normalized'!$A:$A, 0))-INDEX('UZ-normalized'!$E:$E, MATCH($A154, 'UZ-normalized'!$A:$A, 0))&gt;0, -(26*INDEX('UZ-normalized'!$D:$D, MATCH($A154, 'UZ-normalized'!$A:$A, 0))-INDEX('UZ-normalized'!$E:$E, MATCH($A154, 'UZ-normalized'!$A:$A, 0))), 0), 0)))</f>
        <v>-24.700000000000003</v>
      </c>
      <c r="AO154" s="6">
        <f>MIN(0, N154+(IFERROR(IF(27*INDEX('UA-normalized'!$D:$D, MATCH($A154, 'UA-normalized'!$A:$A, 0))-INDEX('UA-normalized'!$E:$E, MATCH($A154, 'UA-normalized'!$A:$A, 0))&gt;0, -(27*INDEX('UA-normalized'!$D:$D, MATCH($A154, 'UA-normalized'!$A:$A, 0))-INDEX('UA-normalized'!$E:$E, MATCH($A154, 'UA-normalized'!$A:$A, 0))), 0), 0))+(IFERROR(IF(27*INDEX('KZ-normalized'!$D:$D, MATCH($A154, 'KZ-normalized'!$A:$A, 0))-INDEX('KZ-normalized'!$E:$E, MATCH($A154, 'KZ-normalized'!$A:$A, 0))&gt;0, -(27*INDEX('KZ-normalized'!$D:$D, MATCH($A154, 'KZ-normalized'!$A:$A, 0))-INDEX('KZ-normalized'!$E:$E, MATCH($A154, 'KZ-normalized'!$A:$A, 0))), 0), 0))+(IFERROR(IF(27*INDEX('UZ-normalized'!$D:$D, MATCH($A154, 'UZ-normalized'!$A:$A, 0))-INDEX('UZ-normalized'!$E:$E, MATCH($A154, 'UZ-normalized'!$A:$A, 0))&gt;0, -(27*INDEX('UZ-normalized'!$D:$D, MATCH($A154, 'UZ-normalized'!$A:$A, 0))-INDEX('UZ-normalized'!$E:$E, MATCH($A154, 'UZ-normalized'!$A:$A, 0))), 0), 0)))</f>
        <v>-28.15</v>
      </c>
      <c r="AP154" s="6">
        <f>MIN(0, N154+(IFERROR(IF(28*INDEX('UA-normalized'!$D:$D, MATCH($A154, 'UA-normalized'!$A:$A, 0))-INDEX('UA-normalized'!$E:$E, MATCH($A154, 'UA-normalized'!$A:$A, 0))&gt;0, -(28*INDEX('UA-normalized'!$D:$D, MATCH($A154, 'UA-normalized'!$A:$A, 0))-INDEX('UA-normalized'!$E:$E, MATCH($A154, 'UA-normalized'!$A:$A, 0))), 0), 0))+(IFERROR(IF(28*INDEX('KZ-normalized'!$D:$D, MATCH($A154, 'KZ-normalized'!$A:$A, 0))-INDEX('KZ-normalized'!$E:$E, MATCH($A154, 'KZ-normalized'!$A:$A, 0))&gt;0, -(28*INDEX('KZ-normalized'!$D:$D, MATCH($A154, 'KZ-normalized'!$A:$A, 0))-INDEX('KZ-normalized'!$E:$E, MATCH($A154, 'KZ-normalized'!$A:$A, 0))), 0), 0))+(IFERROR(IF(28*INDEX('UZ-normalized'!$D:$D, MATCH($A154, 'UZ-normalized'!$A:$A, 0))-INDEX('UZ-normalized'!$E:$E, MATCH($A154, 'UZ-normalized'!$A:$A, 0))&gt;0, -(28*INDEX('UZ-normalized'!$D:$D, MATCH($A154, 'UZ-normalized'!$A:$A, 0))-INDEX('UZ-normalized'!$E:$E, MATCH($A154, 'UZ-normalized'!$A:$A, 0))), 0), 0)))</f>
        <v>-31.6</v>
      </c>
      <c r="AQ154" s="6">
        <f>MIN(0, N154+(IFERROR(IF(29*INDEX('UA-normalized'!$D:$D, MATCH($A154, 'UA-normalized'!$A:$A, 0))-INDEX('UA-normalized'!$E:$E, MATCH($A154, 'UA-normalized'!$A:$A, 0))&gt;0, -(29*INDEX('UA-normalized'!$D:$D, MATCH($A154, 'UA-normalized'!$A:$A, 0))-INDEX('UA-normalized'!$E:$E, MATCH($A154, 'UA-normalized'!$A:$A, 0))), 0), 0))+(IFERROR(IF(29*INDEX('KZ-normalized'!$D:$D, MATCH($A154, 'KZ-normalized'!$A:$A, 0))-INDEX('KZ-normalized'!$E:$E, MATCH($A154, 'KZ-normalized'!$A:$A, 0))&gt;0, -(29*INDEX('KZ-normalized'!$D:$D, MATCH($A154, 'KZ-normalized'!$A:$A, 0))-INDEX('KZ-normalized'!$E:$E, MATCH($A154, 'KZ-normalized'!$A:$A, 0))), 0), 0))+(IFERROR(IF(29*INDEX('UZ-normalized'!$D:$D, MATCH($A154, 'UZ-normalized'!$A:$A, 0))-INDEX('UZ-normalized'!$E:$E, MATCH($A154, 'UZ-normalized'!$A:$A, 0))&gt;0, -(29*INDEX('UZ-normalized'!$D:$D, MATCH($A154, 'UZ-normalized'!$A:$A, 0))-INDEX('UZ-normalized'!$E:$E, MATCH($A154, 'UZ-normalized'!$A:$A, 0))), 0), 0)))</f>
        <v>-35.049999999999997</v>
      </c>
      <c r="AR154" s="6">
        <f>MIN(0, N154+(IFERROR(IF(30*INDEX('UA-normalized'!$D:$D, MATCH($A154, 'UA-normalized'!$A:$A, 0))-INDEX('UA-normalized'!$E:$E, MATCH($A154, 'UA-normalized'!$A:$A, 0))&gt;0, -(30*INDEX('UA-normalized'!$D:$D, MATCH($A154, 'UA-normalized'!$A:$A, 0))-INDEX('UA-normalized'!$E:$E, MATCH($A154, 'UA-normalized'!$A:$A, 0))), 0), 0))+(IFERROR(IF(30*INDEX('KZ-normalized'!$D:$D, MATCH($A154, 'KZ-normalized'!$A:$A, 0))-INDEX('KZ-normalized'!$E:$E, MATCH($A154, 'KZ-normalized'!$A:$A, 0))&gt;0, -(30*INDEX('KZ-normalized'!$D:$D, MATCH($A154, 'KZ-normalized'!$A:$A, 0))-INDEX('KZ-normalized'!$E:$E, MATCH($A154, 'KZ-normalized'!$A:$A, 0))), 0), 0))+(IFERROR(IF(30*INDEX('UZ-normalized'!$D:$D, MATCH($A154, 'UZ-normalized'!$A:$A, 0))-INDEX('UZ-normalized'!$E:$E, MATCH($A154, 'UZ-normalized'!$A:$A, 0))&gt;0, -(30*INDEX('UZ-normalized'!$D:$D, MATCH($A154, 'UZ-normalized'!$A:$A, 0))-INDEX('UZ-normalized'!$E:$E, MATCH($A154, 'UZ-normalized'!$A:$A, 0))), 0), 0)))</f>
        <v>-38.5</v>
      </c>
    </row>
    <row r="155" spans="1:44" x14ac:dyDescent="0.25">
      <c r="A155" s="8" t="s">
        <v>374</v>
      </c>
      <c r="B155" s="8" t="s">
        <v>363</v>
      </c>
      <c r="C155" s="8" t="s">
        <v>364</v>
      </c>
      <c r="D155" s="8" t="s">
        <v>375</v>
      </c>
      <c r="N155">
        <f t="shared" si="2"/>
        <v>0</v>
      </c>
      <c r="O155" s="6">
        <f>MIN(0, N155+(IFERROR(IF(1*INDEX('UA-normalized'!$D:$D, MATCH($A155, 'UA-normalized'!$A:$A, 0))-INDEX('UA-normalized'!$E:$E, MATCH($A155, 'UA-normalized'!$A:$A, 0))&gt;0, -(1*INDEX('UA-normalized'!$D:$D, MATCH($A155, 'UA-normalized'!$A:$A, 0))-INDEX('UA-normalized'!$E:$E, MATCH($A155, 'UA-normalized'!$A:$A, 0))), 0), 0))+(IFERROR(IF(1*INDEX('KZ-normalized'!$D:$D, MATCH($A155, 'KZ-normalized'!$A:$A, 0))-INDEX('KZ-normalized'!$E:$E, MATCH($A155, 'KZ-normalized'!$A:$A, 0))&gt;0, -(1*INDEX('KZ-normalized'!$D:$D, MATCH($A155, 'KZ-normalized'!$A:$A, 0))-INDEX('KZ-normalized'!$E:$E, MATCH($A155, 'KZ-normalized'!$A:$A, 0))), 0), 0))+(IFERROR(IF(1*INDEX('UZ-normalized'!$D:$D, MATCH($A155, 'UZ-normalized'!$A:$A, 0))-INDEX('UZ-normalized'!$E:$E, MATCH($A155, 'UZ-normalized'!$A:$A, 0))&gt;0, -(1*INDEX('UZ-normalized'!$D:$D, MATCH($A155, 'UZ-normalized'!$A:$A, 0))-INDEX('UZ-normalized'!$E:$E, MATCH($A155, 'UZ-normalized'!$A:$A, 0))), 0), 0)))</f>
        <v>0</v>
      </c>
      <c r="P155" s="6">
        <f>MIN(0, N155+(IFERROR(IF(2*INDEX('UA-normalized'!$D:$D, MATCH($A155, 'UA-normalized'!$A:$A, 0))-INDEX('UA-normalized'!$E:$E, MATCH($A155, 'UA-normalized'!$A:$A, 0))&gt;0, -(2*INDEX('UA-normalized'!$D:$D, MATCH($A155, 'UA-normalized'!$A:$A, 0))-INDEX('UA-normalized'!$E:$E, MATCH($A155, 'UA-normalized'!$A:$A, 0))), 0), 0))+(IFERROR(IF(2*INDEX('KZ-normalized'!$D:$D, MATCH($A155, 'KZ-normalized'!$A:$A, 0))-INDEX('KZ-normalized'!$E:$E, MATCH($A155, 'KZ-normalized'!$A:$A, 0))&gt;0, -(2*INDEX('KZ-normalized'!$D:$D, MATCH($A155, 'KZ-normalized'!$A:$A, 0))-INDEX('KZ-normalized'!$E:$E, MATCH($A155, 'KZ-normalized'!$A:$A, 0))), 0), 0))+(IFERROR(IF(2*INDEX('UZ-normalized'!$D:$D, MATCH($A155, 'UZ-normalized'!$A:$A, 0))-INDEX('UZ-normalized'!$E:$E, MATCH($A155, 'UZ-normalized'!$A:$A, 0))&gt;0, -(2*INDEX('UZ-normalized'!$D:$D, MATCH($A155, 'UZ-normalized'!$A:$A, 0))-INDEX('UZ-normalized'!$E:$E, MATCH($A155, 'UZ-normalized'!$A:$A, 0))), 0), 0)))</f>
        <v>0</v>
      </c>
      <c r="Q155" s="6">
        <f>MIN(0, N155+(IFERROR(IF(3*INDEX('UA-normalized'!$D:$D, MATCH($A155, 'UA-normalized'!$A:$A, 0))-INDEX('UA-normalized'!$E:$E, MATCH($A155, 'UA-normalized'!$A:$A, 0))&gt;0, -(3*INDEX('UA-normalized'!$D:$D, MATCH($A155, 'UA-normalized'!$A:$A, 0))-INDEX('UA-normalized'!$E:$E, MATCH($A155, 'UA-normalized'!$A:$A, 0))), 0), 0))+(IFERROR(IF(3*INDEX('KZ-normalized'!$D:$D, MATCH($A155, 'KZ-normalized'!$A:$A, 0))-INDEX('KZ-normalized'!$E:$E, MATCH($A155, 'KZ-normalized'!$A:$A, 0))&gt;0, -(3*INDEX('KZ-normalized'!$D:$D, MATCH($A155, 'KZ-normalized'!$A:$A, 0))-INDEX('KZ-normalized'!$E:$E, MATCH($A155, 'KZ-normalized'!$A:$A, 0))), 0), 0))+(IFERROR(IF(3*INDEX('UZ-normalized'!$D:$D, MATCH($A155, 'UZ-normalized'!$A:$A, 0))-INDEX('UZ-normalized'!$E:$E, MATCH($A155, 'UZ-normalized'!$A:$A, 0))&gt;0, -(3*INDEX('UZ-normalized'!$D:$D, MATCH($A155, 'UZ-normalized'!$A:$A, 0))-INDEX('UZ-normalized'!$E:$E, MATCH($A155, 'UZ-normalized'!$A:$A, 0))), 0), 0)))</f>
        <v>0</v>
      </c>
      <c r="R155" s="6">
        <f>MIN(0, N155+(IFERROR(IF(4*INDEX('UA-normalized'!$D:$D, MATCH($A155, 'UA-normalized'!$A:$A, 0))-INDEX('UA-normalized'!$E:$E, MATCH($A155, 'UA-normalized'!$A:$A, 0))&gt;0, -(4*INDEX('UA-normalized'!$D:$D, MATCH($A155, 'UA-normalized'!$A:$A, 0))-INDEX('UA-normalized'!$E:$E, MATCH($A155, 'UA-normalized'!$A:$A, 0))), 0), 0))+(IFERROR(IF(4*INDEX('KZ-normalized'!$D:$D, MATCH($A155, 'KZ-normalized'!$A:$A, 0))-INDEX('KZ-normalized'!$E:$E, MATCH($A155, 'KZ-normalized'!$A:$A, 0))&gt;0, -(4*INDEX('KZ-normalized'!$D:$D, MATCH($A155, 'KZ-normalized'!$A:$A, 0))-INDEX('KZ-normalized'!$E:$E, MATCH($A155, 'KZ-normalized'!$A:$A, 0))), 0), 0))+(IFERROR(IF(4*INDEX('UZ-normalized'!$D:$D, MATCH($A155, 'UZ-normalized'!$A:$A, 0))-INDEX('UZ-normalized'!$E:$E, MATCH($A155, 'UZ-normalized'!$A:$A, 0))&gt;0, -(4*INDEX('UZ-normalized'!$D:$D, MATCH($A155, 'UZ-normalized'!$A:$A, 0))-INDEX('UZ-normalized'!$E:$E, MATCH($A155, 'UZ-normalized'!$A:$A, 0))), 0), 0)))</f>
        <v>0</v>
      </c>
      <c r="S155" s="6">
        <f>MIN(0, N155+(IFERROR(IF(5*INDEX('UA-normalized'!$D:$D, MATCH($A155, 'UA-normalized'!$A:$A, 0))-INDEX('UA-normalized'!$E:$E, MATCH($A155, 'UA-normalized'!$A:$A, 0))&gt;0, -(5*INDEX('UA-normalized'!$D:$D, MATCH($A155, 'UA-normalized'!$A:$A, 0))-INDEX('UA-normalized'!$E:$E, MATCH($A155, 'UA-normalized'!$A:$A, 0))), 0), 0))+(IFERROR(IF(5*INDEX('KZ-normalized'!$D:$D, MATCH($A155, 'KZ-normalized'!$A:$A, 0))-INDEX('KZ-normalized'!$E:$E, MATCH($A155, 'KZ-normalized'!$A:$A, 0))&gt;0, -(5*INDEX('KZ-normalized'!$D:$D, MATCH($A155, 'KZ-normalized'!$A:$A, 0))-INDEX('KZ-normalized'!$E:$E, MATCH($A155, 'KZ-normalized'!$A:$A, 0))), 0), 0))+(IFERROR(IF(5*INDEX('UZ-normalized'!$D:$D, MATCH($A155, 'UZ-normalized'!$A:$A, 0))-INDEX('UZ-normalized'!$E:$E, MATCH($A155, 'UZ-normalized'!$A:$A, 0))&gt;0, -(5*INDEX('UZ-normalized'!$D:$D, MATCH($A155, 'UZ-normalized'!$A:$A, 0))-INDEX('UZ-normalized'!$E:$E, MATCH($A155, 'UZ-normalized'!$A:$A, 0))), 0), 0)))</f>
        <v>0</v>
      </c>
      <c r="T155" s="6">
        <f>MIN(0, N155+(IFERROR(IF(6*INDEX('UA-normalized'!$D:$D, MATCH($A155, 'UA-normalized'!$A:$A, 0))-INDEX('UA-normalized'!$E:$E, MATCH($A155, 'UA-normalized'!$A:$A, 0))&gt;0, -(6*INDEX('UA-normalized'!$D:$D, MATCH($A155, 'UA-normalized'!$A:$A, 0))-INDEX('UA-normalized'!$E:$E, MATCH($A155, 'UA-normalized'!$A:$A, 0))), 0), 0))+(IFERROR(IF(6*INDEX('KZ-normalized'!$D:$D, MATCH($A155, 'KZ-normalized'!$A:$A, 0))-INDEX('KZ-normalized'!$E:$E, MATCH($A155, 'KZ-normalized'!$A:$A, 0))&gt;0, -(6*INDEX('KZ-normalized'!$D:$D, MATCH($A155, 'KZ-normalized'!$A:$A, 0))-INDEX('KZ-normalized'!$E:$E, MATCH($A155, 'KZ-normalized'!$A:$A, 0))), 0), 0))+(IFERROR(IF(6*INDEX('UZ-normalized'!$D:$D, MATCH($A155, 'UZ-normalized'!$A:$A, 0))-INDEX('UZ-normalized'!$E:$E, MATCH($A155, 'UZ-normalized'!$A:$A, 0))&gt;0, -(6*INDEX('UZ-normalized'!$D:$D, MATCH($A155, 'UZ-normalized'!$A:$A, 0))-INDEX('UZ-normalized'!$E:$E, MATCH($A155, 'UZ-normalized'!$A:$A, 0))), 0), 0)))</f>
        <v>0</v>
      </c>
      <c r="U155" s="6">
        <f>MIN(0, N155+(IFERROR(IF(7*INDEX('UA-normalized'!$D:$D, MATCH($A155, 'UA-normalized'!$A:$A, 0))-INDEX('UA-normalized'!$E:$E, MATCH($A155, 'UA-normalized'!$A:$A, 0))&gt;0, -(7*INDEX('UA-normalized'!$D:$D, MATCH($A155, 'UA-normalized'!$A:$A, 0))-INDEX('UA-normalized'!$E:$E, MATCH($A155, 'UA-normalized'!$A:$A, 0))), 0), 0))+(IFERROR(IF(7*INDEX('KZ-normalized'!$D:$D, MATCH($A155, 'KZ-normalized'!$A:$A, 0))-INDEX('KZ-normalized'!$E:$E, MATCH($A155, 'KZ-normalized'!$A:$A, 0))&gt;0, -(7*INDEX('KZ-normalized'!$D:$D, MATCH($A155, 'KZ-normalized'!$A:$A, 0))-INDEX('KZ-normalized'!$E:$E, MATCH($A155, 'KZ-normalized'!$A:$A, 0))), 0), 0))+(IFERROR(IF(7*INDEX('UZ-normalized'!$D:$D, MATCH($A155, 'UZ-normalized'!$A:$A, 0))-INDEX('UZ-normalized'!$E:$E, MATCH($A155, 'UZ-normalized'!$A:$A, 0))&gt;0, -(7*INDEX('UZ-normalized'!$D:$D, MATCH($A155, 'UZ-normalized'!$A:$A, 0))-INDEX('UZ-normalized'!$E:$E, MATCH($A155, 'UZ-normalized'!$A:$A, 0))), 0), 0)))</f>
        <v>0</v>
      </c>
      <c r="V155" s="6">
        <f>MIN(0, N155+(IFERROR(IF(8*INDEX('UA-normalized'!$D:$D, MATCH($A155, 'UA-normalized'!$A:$A, 0))-INDEX('UA-normalized'!$E:$E, MATCH($A155, 'UA-normalized'!$A:$A, 0))&gt;0, -(8*INDEX('UA-normalized'!$D:$D, MATCH($A155, 'UA-normalized'!$A:$A, 0))-INDEX('UA-normalized'!$E:$E, MATCH($A155, 'UA-normalized'!$A:$A, 0))), 0), 0))+(IFERROR(IF(8*INDEX('KZ-normalized'!$D:$D, MATCH($A155, 'KZ-normalized'!$A:$A, 0))-INDEX('KZ-normalized'!$E:$E, MATCH($A155, 'KZ-normalized'!$A:$A, 0))&gt;0, -(8*INDEX('KZ-normalized'!$D:$D, MATCH($A155, 'KZ-normalized'!$A:$A, 0))-INDEX('KZ-normalized'!$E:$E, MATCH($A155, 'KZ-normalized'!$A:$A, 0))), 0), 0))+(IFERROR(IF(8*INDEX('UZ-normalized'!$D:$D, MATCH($A155, 'UZ-normalized'!$A:$A, 0))-INDEX('UZ-normalized'!$E:$E, MATCH($A155, 'UZ-normalized'!$A:$A, 0))&gt;0, -(8*INDEX('UZ-normalized'!$D:$D, MATCH($A155, 'UZ-normalized'!$A:$A, 0))-INDEX('UZ-normalized'!$E:$E, MATCH($A155, 'UZ-normalized'!$A:$A, 0))), 0), 0)))</f>
        <v>0</v>
      </c>
      <c r="W155" s="6">
        <f>MIN(0, N155+(IFERROR(IF(9*INDEX('UA-normalized'!$D:$D, MATCH($A155, 'UA-normalized'!$A:$A, 0))-INDEX('UA-normalized'!$E:$E, MATCH($A155, 'UA-normalized'!$A:$A, 0))&gt;0, -(9*INDEX('UA-normalized'!$D:$D, MATCH($A155, 'UA-normalized'!$A:$A, 0))-INDEX('UA-normalized'!$E:$E, MATCH($A155, 'UA-normalized'!$A:$A, 0))), 0), 0))+(IFERROR(IF(9*INDEX('KZ-normalized'!$D:$D, MATCH($A155, 'KZ-normalized'!$A:$A, 0))-INDEX('KZ-normalized'!$E:$E, MATCH($A155, 'KZ-normalized'!$A:$A, 0))&gt;0, -(9*INDEX('KZ-normalized'!$D:$D, MATCH($A155, 'KZ-normalized'!$A:$A, 0))-INDEX('KZ-normalized'!$E:$E, MATCH($A155, 'KZ-normalized'!$A:$A, 0))), 0), 0))+(IFERROR(IF(9*INDEX('UZ-normalized'!$D:$D, MATCH($A155, 'UZ-normalized'!$A:$A, 0))-INDEX('UZ-normalized'!$E:$E, MATCH($A155, 'UZ-normalized'!$A:$A, 0))&gt;0, -(9*INDEX('UZ-normalized'!$D:$D, MATCH($A155, 'UZ-normalized'!$A:$A, 0))-INDEX('UZ-normalized'!$E:$E, MATCH($A155, 'UZ-normalized'!$A:$A, 0))), 0), 0)))</f>
        <v>0</v>
      </c>
      <c r="X155" s="6">
        <f>MIN(0, N155+(IFERROR(IF(10*INDEX('UA-normalized'!$D:$D, MATCH($A155, 'UA-normalized'!$A:$A, 0))-INDEX('UA-normalized'!$E:$E, MATCH($A155, 'UA-normalized'!$A:$A, 0))&gt;0, -(10*INDEX('UA-normalized'!$D:$D, MATCH($A155, 'UA-normalized'!$A:$A, 0))-INDEX('UA-normalized'!$E:$E, MATCH($A155, 'UA-normalized'!$A:$A, 0))), 0), 0))+(IFERROR(IF(10*INDEX('KZ-normalized'!$D:$D, MATCH($A155, 'KZ-normalized'!$A:$A, 0))-INDEX('KZ-normalized'!$E:$E, MATCH($A155, 'KZ-normalized'!$A:$A, 0))&gt;0, -(10*INDEX('KZ-normalized'!$D:$D, MATCH($A155, 'KZ-normalized'!$A:$A, 0))-INDEX('KZ-normalized'!$E:$E, MATCH($A155, 'KZ-normalized'!$A:$A, 0))), 0), 0))+(IFERROR(IF(10*INDEX('UZ-normalized'!$D:$D, MATCH($A155, 'UZ-normalized'!$A:$A, 0))-INDEX('UZ-normalized'!$E:$E, MATCH($A155, 'UZ-normalized'!$A:$A, 0))&gt;0, -(10*INDEX('UZ-normalized'!$D:$D, MATCH($A155, 'UZ-normalized'!$A:$A, 0))-INDEX('UZ-normalized'!$E:$E, MATCH($A155, 'UZ-normalized'!$A:$A, 0))), 0), 0)))</f>
        <v>0</v>
      </c>
      <c r="Y155" s="6">
        <f>MIN(0, N155+(IFERROR(IF(11*INDEX('UA-normalized'!$D:$D, MATCH($A155, 'UA-normalized'!$A:$A, 0))-INDEX('UA-normalized'!$E:$E, MATCH($A155, 'UA-normalized'!$A:$A, 0))&gt;0, -(11*INDEX('UA-normalized'!$D:$D, MATCH($A155, 'UA-normalized'!$A:$A, 0))-INDEX('UA-normalized'!$E:$E, MATCH($A155, 'UA-normalized'!$A:$A, 0))), 0), 0))+(IFERROR(IF(11*INDEX('KZ-normalized'!$D:$D, MATCH($A155, 'KZ-normalized'!$A:$A, 0))-INDEX('KZ-normalized'!$E:$E, MATCH($A155, 'KZ-normalized'!$A:$A, 0))&gt;0, -(11*INDEX('KZ-normalized'!$D:$D, MATCH($A155, 'KZ-normalized'!$A:$A, 0))-INDEX('KZ-normalized'!$E:$E, MATCH($A155, 'KZ-normalized'!$A:$A, 0))), 0), 0))+(IFERROR(IF(11*INDEX('UZ-normalized'!$D:$D, MATCH($A155, 'UZ-normalized'!$A:$A, 0))-INDEX('UZ-normalized'!$E:$E, MATCH($A155, 'UZ-normalized'!$A:$A, 0))&gt;0, -(11*INDEX('UZ-normalized'!$D:$D, MATCH($A155, 'UZ-normalized'!$A:$A, 0))-INDEX('UZ-normalized'!$E:$E, MATCH($A155, 'UZ-normalized'!$A:$A, 0))), 0), 0)))</f>
        <v>0</v>
      </c>
      <c r="Z155" s="6">
        <f>MIN(0, N155+(IFERROR(IF(12*INDEX('UA-normalized'!$D:$D, MATCH($A155, 'UA-normalized'!$A:$A, 0))-INDEX('UA-normalized'!$E:$E, MATCH($A155, 'UA-normalized'!$A:$A, 0))&gt;0, -(12*INDEX('UA-normalized'!$D:$D, MATCH($A155, 'UA-normalized'!$A:$A, 0))-INDEX('UA-normalized'!$E:$E, MATCH($A155, 'UA-normalized'!$A:$A, 0))), 0), 0))+(IFERROR(IF(12*INDEX('KZ-normalized'!$D:$D, MATCH($A155, 'KZ-normalized'!$A:$A, 0))-INDEX('KZ-normalized'!$E:$E, MATCH($A155, 'KZ-normalized'!$A:$A, 0))&gt;0, -(12*INDEX('KZ-normalized'!$D:$D, MATCH($A155, 'KZ-normalized'!$A:$A, 0))-INDEX('KZ-normalized'!$E:$E, MATCH($A155, 'KZ-normalized'!$A:$A, 0))), 0), 0))+(IFERROR(IF(12*INDEX('UZ-normalized'!$D:$D, MATCH($A155, 'UZ-normalized'!$A:$A, 0))-INDEX('UZ-normalized'!$E:$E, MATCH($A155, 'UZ-normalized'!$A:$A, 0))&gt;0, -(12*INDEX('UZ-normalized'!$D:$D, MATCH($A155, 'UZ-normalized'!$A:$A, 0))-INDEX('UZ-normalized'!$E:$E, MATCH($A155, 'UZ-normalized'!$A:$A, 0))), 0), 0)))</f>
        <v>0</v>
      </c>
      <c r="AA155" s="6">
        <f>MIN(0, N155+(IFERROR(IF(13*INDEX('UA-normalized'!$D:$D, MATCH($A155, 'UA-normalized'!$A:$A, 0))-INDEX('UA-normalized'!$E:$E, MATCH($A155, 'UA-normalized'!$A:$A, 0))&gt;0, -(13*INDEX('UA-normalized'!$D:$D, MATCH($A155, 'UA-normalized'!$A:$A, 0))-INDEX('UA-normalized'!$E:$E, MATCH($A155, 'UA-normalized'!$A:$A, 0))), 0), 0))+(IFERROR(IF(13*INDEX('KZ-normalized'!$D:$D, MATCH($A155, 'KZ-normalized'!$A:$A, 0))-INDEX('KZ-normalized'!$E:$E, MATCH($A155, 'KZ-normalized'!$A:$A, 0))&gt;0, -(13*INDEX('KZ-normalized'!$D:$D, MATCH($A155, 'KZ-normalized'!$A:$A, 0))-INDEX('KZ-normalized'!$E:$E, MATCH($A155, 'KZ-normalized'!$A:$A, 0))), 0), 0))+(IFERROR(IF(13*INDEX('UZ-normalized'!$D:$D, MATCH($A155, 'UZ-normalized'!$A:$A, 0))-INDEX('UZ-normalized'!$E:$E, MATCH($A155, 'UZ-normalized'!$A:$A, 0))&gt;0, -(13*INDEX('UZ-normalized'!$D:$D, MATCH($A155, 'UZ-normalized'!$A:$A, 0))-INDEX('UZ-normalized'!$E:$E, MATCH($A155, 'UZ-normalized'!$A:$A, 0))), 0), 0)))</f>
        <v>-3</v>
      </c>
      <c r="AB155" s="6">
        <f>MIN(0, N155+(IFERROR(IF(14*INDEX('UA-normalized'!$D:$D, MATCH($A155, 'UA-normalized'!$A:$A, 0))-INDEX('UA-normalized'!$E:$E, MATCH($A155, 'UA-normalized'!$A:$A, 0))&gt;0, -(14*INDEX('UA-normalized'!$D:$D, MATCH($A155, 'UA-normalized'!$A:$A, 0))-INDEX('UA-normalized'!$E:$E, MATCH($A155, 'UA-normalized'!$A:$A, 0))), 0), 0))+(IFERROR(IF(14*INDEX('KZ-normalized'!$D:$D, MATCH($A155, 'KZ-normalized'!$A:$A, 0))-INDEX('KZ-normalized'!$E:$E, MATCH($A155, 'KZ-normalized'!$A:$A, 0))&gt;0, -(14*INDEX('KZ-normalized'!$D:$D, MATCH($A155, 'KZ-normalized'!$A:$A, 0))-INDEX('KZ-normalized'!$E:$E, MATCH($A155, 'KZ-normalized'!$A:$A, 0))), 0), 0))+(IFERROR(IF(14*INDEX('UZ-normalized'!$D:$D, MATCH($A155, 'UZ-normalized'!$A:$A, 0))-INDEX('UZ-normalized'!$E:$E, MATCH($A155, 'UZ-normalized'!$A:$A, 0))&gt;0, -(14*INDEX('UZ-normalized'!$D:$D, MATCH($A155, 'UZ-normalized'!$A:$A, 0))-INDEX('UZ-normalized'!$E:$E, MATCH($A155, 'UZ-normalized'!$A:$A, 0))), 0), 0)))</f>
        <v>-8</v>
      </c>
      <c r="AC155" s="6">
        <f>MIN(0, N155+(IFERROR(IF(15*INDEX('UA-normalized'!$D:$D, MATCH($A155, 'UA-normalized'!$A:$A, 0))-INDEX('UA-normalized'!$E:$E, MATCH($A155, 'UA-normalized'!$A:$A, 0))&gt;0, -(15*INDEX('UA-normalized'!$D:$D, MATCH($A155, 'UA-normalized'!$A:$A, 0))-INDEX('UA-normalized'!$E:$E, MATCH($A155, 'UA-normalized'!$A:$A, 0))), 0), 0))+(IFERROR(IF(15*INDEX('KZ-normalized'!$D:$D, MATCH($A155, 'KZ-normalized'!$A:$A, 0))-INDEX('KZ-normalized'!$E:$E, MATCH($A155, 'KZ-normalized'!$A:$A, 0))&gt;0, -(15*INDEX('KZ-normalized'!$D:$D, MATCH($A155, 'KZ-normalized'!$A:$A, 0))-INDEX('KZ-normalized'!$E:$E, MATCH($A155, 'KZ-normalized'!$A:$A, 0))), 0), 0))+(IFERROR(IF(15*INDEX('UZ-normalized'!$D:$D, MATCH($A155, 'UZ-normalized'!$A:$A, 0))-INDEX('UZ-normalized'!$E:$E, MATCH($A155, 'UZ-normalized'!$A:$A, 0))&gt;0, -(15*INDEX('UZ-normalized'!$D:$D, MATCH($A155, 'UZ-normalized'!$A:$A, 0))-INDEX('UZ-normalized'!$E:$E, MATCH($A155, 'UZ-normalized'!$A:$A, 0))), 0), 0)))</f>
        <v>-13</v>
      </c>
      <c r="AD155" s="6">
        <f>MIN(0, N155+(IFERROR(IF(16*INDEX('UA-normalized'!$D:$D, MATCH($A155, 'UA-normalized'!$A:$A, 0))-INDEX('UA-normalized'!$E:$E, MATCH($A155, 'UA-normalized'!$A:$A, 0))&gt;0, -(16*INDEX('UA-normalized'!$D:$D, MATCH($A155, 'UA-normalized'!$A:$A, 0))-INDEX('UA-normalized'!$E:$E, MATCH($A155, 'UA-normalized'!$A:$A, 0))), 0), 0))+(IFERROR(IF(16*INDEX('KZ-normalized'!$D:$D, MATCH($A155, 'KZ-normalized'!$A:$A, 0))-INDEX('KZ-normalized'!$E:$E, MATCH($A155, 'KZ-normalized'!$A:$A, 0))&gt;0, -(16*INDEX('KZ-normalized'!$D:$D, MATCH($A155, 'KZ-normalized'!$A:$A, 0))-INDEX('KZ-normalized'!$E:$E, MATCH($A155, 'KZ-normalized'!$A:$A, 0))), 0), 0))+(IFERROR(IF(16*INDEX('UZ-normalized'!$D:$D, MATCH($A155, 'UZ-normalized'!$A:$A, 0))-INDEX('UZ-normalized'!$E:$E, MATCH($A155, 'UZ-normalized'!$A:$A, 0))&gt;0, -(16*INDEX('UZ-normalized'!$D:$D, MATCH($A155, 'UZ-normalized'!$A:$A, 0))-INDEX('UZ-normalized'!$E:$E, MATCH($A155, 'UZ-normalized'!$A:$A, 0))), 0), 0)))</f>
        <v>-18</v>
      </c>
      <c r="AE155" s="6">
        <f>MIN(0, N155+(IFERROR(IF(17*INDEX('UA-normalized'!$D:$D, MATCH($A155, 'UA-normalized'!$A:$A, 0))-INDEX('UA-normalized'!$E:$E, MATCH($A155, 'UA-normalized'!$A:$A, 0))&gt;0, -(17*INDEX('UA-normalized'!$D:$D, MATCH($A155, 'UA-normalized'!$A:$A, 0))-INDEX('UA-normalized'!$E:$E, MATCH($A155, 'UA-normalized'!$A:$A, 0))), 0), 0))+(IFERROR(IF(17*INDEX('KZ-normalized'!$D:$D, MATCH($A155, 'KZ-normalized'!$A:$A, 0))-INDEX('KZ-normalized'!$E:$E, MATCH($A155, 'KZ-normalized'!$A:$A, 0))&gt;0, -(17*INDEX('KZ-normalized'!$D:$D, MATCH($A155, 'KZ-normalized'!$A:$A, 0))-INDEX('KZ-normalized'!$E:$E, MATCH($A155, 'KZ-normalized'!$A:$A, 0))), 0), 0))+(IFERROR(IF(17*INDEX('UZ-normalized'!$D:$D, MATCH($A155, 'UZ-normalized'!$A:$A, 0))-INDEX('UZ-normalized'!$E:$E, MATCH($A155, 'UZ-normalized'!$A:$A, 0))&gt;0, -(17*INDEX('UZ-normalized'!$D:$D, MATCH($A155, 'UZ-normalized'!$A:$A, 0))-INDEX('UZ-normalized'!$E:$E, MATCH($A155, 'UZ-normalized'!$A:$A, 0))), 0), 0)))</f>
        <v>-23</v>
      </c>
      <c r="AF155" s="6">
        <f>MIN(0, N155+(IFERROR(IF(18*INDEX('UA-normalized'!$D:$D, MATCH($A155, 'UA-normalized'!$A:$A, 0))-INDEX('UA-normalized'!$E:$E, MATCH($A155, 'UA-normalized'!$A:$A, 0))&gt;0, -(18*INDEX('UA-normalized'!$D:$D, MATCH($A155, 'UA-normalized'!$A:$A, 0))-INDEX('UA-normalized'!$E:$E, MATCH($A155, 'UA-normalized'!$A:$A, 0))), 0), 0))+(IFERROR(IF(18*INDEX('KZ-normalized'!$D:$D, MATCH($A155, 'KZ-normalized'!$A:$A, 0))-INDEX('KZ-normalized'!$E:$E, MATCH($A155, 'KZ-normalized'!$A:$A, 0))&gt;0, -(18*INDEX('KZ-normalized'!$D:$D, MATCH($A155, 'KZ-normalized'!$A:$A, 0))-INDEX('KZ-normalized'!$E:$E, MATCH($A155, 'KZ-normalized'!$A:$A, 0))), 0), 0))+(IFERROR(IF(18*INDEX('UZ-normalized'!$D:$D, MATCH($A155, 'UZ-normalized'!$A:$A, 0))-INDEX('UZ-normalized'!$E:$E, MATCH($A155, 'UZ-normalized'!$A:$A, 0))&gt;0, -(18*INDEX('UZ-normalized'!$D:$D, MATCH($A155, 'UZ-normalized'!$A:$A, 0))-INDEX('UZ-normalized'!$E:$E, MATCH($A155, 'UZ-normalized'!$A:$A, 0))), 0), 0)))</f>
        <v>-28</v>
      </c>
      <c r="AG155" s="6">
        <f>MIN(0, N155+(IFERROR(IF(19*INDEX('UA-normalized'!$D:$D, MATCH($A155, 'UA-normalized'!$A:$A, 0))-INDEX('UA-normalized'!$E:$E, MATCH($A155, 'UA-normalized'!$A:$A, 0))&gt;0, -(19*INDEX('UA-normalized'!$D:$D, MATCH($A155, 'UA-normalized'!$A:$A, 0))-INDEX('UA-normalized'!$E:$E, MATCH($A155, 'UA-normalized'!$A:$A, 0))), 0), 0))+(IFERROR(IF(19*INDEX('KZ-normalized'!$D:$D, MATCH($A155, 'KZ-normalized'!$A:$A, 0))-INDEX('KZ-normalized'!$E:$E, MATCH($A155, 'KZ-normalized'!$A:$A, 0))&gt;0, -(19*INDEX('KZ-normalized'!$D:$D, MATCH($A155, 'KZ-normalized'!$A:$A, 0))-INDEX('KZ-normalized'!$E:$E, MATCH($A155, 'KZ-normalized'!$A:$A, 0))), 0), 0))+(IFERROR(IF(19*INDEX('UZ-normalized'!$D:$D, MATCH($A155, 'UZ-normalized'!$A:$A, 0))-INDEX('UZ-normalized'!$E:$E, MATCH($A155, 'UZ-normalized'!$A:$A, 0))&gt;0, -(19*INDEX('UZ-normalized'!$D:$D, MATCH($A155, 'UZ-normalized'!$A:$A, 0))-INDEX('UZ-normalized'!$E:$E, MATCH($A155, 'UZ-normalized'!$A:$A, 0))), 0), 0)))</f>
        <v>-33</v>
      </c>
      <c r="AH155" s="6">
        <f>MIN(0, N155+(IFERROR(IF(20*INDEX('UA-normalized'!$D:$D, MATCH($A155, 'UA-normalized'!$A:$A, 0))-INDEX('UA-normalized'!$E:$E, MATCH($A155, 'UA-normalized'!$A:$A, 0))&gt;0, -(20*INDEX('UA-normalized'!$D:$D, MATCH($A155, 'UA-normalized'!$A:$A, 0))-INDEX('UA-normalized'!$E:$E, MATCH($A155, 'UA-normalized'!$A:$A, 0))), 0), 0))+(IFERROR(IF(20*INDEX('KZ-normalized'!$D:$D, MATCH($A155, 'KZ-normalized'!$A:$A, 0))-INDEX('KZ-normalized'!$E:$E, MATCH($A155, 'KZ-normalized'!$A:$A, 0))&gt;0, -(20*INDEX('KZ-normalized'!$D:$D, MATCH($A155, 'KZ-normalized'!$A:$A, 0))-INDEX('KZ-normalized'!$E:$E, MATCH($A155, 'KZ-normalized'!$A:$A, 0))), 0), 0))+(IFERROR(IF(20*INDEX('UZ-normalized'!$D:$D, MATCH($A155, 'UZ-normalized'!$A:$A, 0))-INDEX('UZ-normalized'!$E:$E, MATCH($A155, 'UZ-normalized'!$A:$A, 0))&gt;0, -(20*INDEX('UZ-normalized'!$D:$D, MATCH($A155, 'UZ-normalized'!$A:$A, 0))-INDEX('UZ-normalized'!$E:$E, MATCH($A155, 'UZ-normalized'!$A:$A, 0))), 0), 0)))</f>
        <v>-38</v>
      </c>
      <c r="AI155" s="6">
        <f>MIN(0, N155+(IFERROR(IF(21*INDEX('UA-normalized'!$D:$D, MATCH($A155, 'UA-normalized'!$A:$A, 0))-INDEX('UA-normalized'!$E:$E, MATCH($A155, 'UA-normalized'!$A:$A, 0))&gt;0, -(21*INDEX('UA-normalized'!$D:$D, MATCH($A155, 'UA-normalized'!$A:$A, 0))-INDEX('UA-normalized'!$E:$E, MATCH($A155, 'UA-normalized'!$A:$A, 0))), 0), 0))+(IFERROR(IF(21*INDEX('KZ-normalized'!$D:$D, MATCH($A155, 'KZ-normalized'!$A:$A, 0))-INDEX('KZ-normalized'!$E:$E, MATCH($A155, 'KZ-normalized'!$A:$A, 0))&gt;0, -(21*INDEX('KZ-normalized'!$D:$D, MATCH($A155, 'KZ-normalized'!$A:$A, 0))-INDEX('KZ-normalized'!$E:$E, MATCH($A155, 'KZ-normalized'!$A:$A, 0))), 0), 0))+(IFERROR(IF(21*INDEX('UZ-normalized'!$D:$D, MATCH($A155, 'UZ-normalized'!$A:$A, 0))-INDEX('UZ-normalized'!$E:$E, MATCH($A155, 'UZ-normalized'!$A:$A, 0))&gt;0, -(21*INDEX('UZ-normalized'!$D:$D, MATCH($A155, 'UZ-normalized'!$A:$A, 0))-INDEX('UZ-normalized'!$E:$E, MATCH($A155, 'UZ-normalized'!$A:$A, 0))), 0), 0)))</f>
        <v>-43</v>
      </c>
      <c r="AJ155" s="6">
        <f>MIN(0, N155+(IFERROR(IF(22*INDEX('UA-normalized'!$D:$D, MATCH($A155, 'UA-normalized'!$A:$A, 0))-INDEX('UA-normalized'!$E:$E, MATCH($A155, 'UA-normalized'!$A:$A, 0))&gt;0, -(22*INDEX('UA-normalized'!$D:$D, MATCH($A155, 'UA-normalized'!$A:$A, 0))-INDEX('UA-normalized'!$E:$E, MATCH($A155, 'UA-normalized'!$A:$A, 0))), 0), 0))+(IFERROR(IF(22*INDEX('KZ-normalized'!$D:$D, MATCH($A155, 'KZ-normalized'!$A:$A, 0))-INDEX('KZ-normalized'!$E:$E, MATCH($A155, 'KZ-normalized'!$A:$A, 0))&gt;0, -(22*INDEX('KZ-normalized'!$D:$D, MATCH($A155, 'KZ-normalized'!$A:$A, 0))-INDEX('KZ-normalized'!$E:$E, MATCH($A155, 'KZ-normalized'!$A:$A, 0))), 0), 0))+(IFERROR(IF(22*INDEX('UZ-normalized'!$D:$D, MATCH($A155, 'UZ-normalized'!$A:$A, 0))-INDEX('UZ-normalized'!$E:$E, MATCH($A155, 'UZ-normalized'!$A:$A, 0))&gt;0, -(22*INDEX('UZ-normalized'!$D:$D, MATCH($A155, 'UZ-normalized'!$A:$A, 0))-INDEX('UZ-normalized'!$E:$E, MATCH($A155, 'UZ-normalized'!$A:$A, 0))), 0), 0)))</f>
        <v>-48</v>
      </c>
      <c r="AK155" s="6">
        <f>MIN(0, N155+(IFERROR(IF(23*INDEX('UA-normalized'!$D:$D, MATCH($A155, 'UA-normalized'!$A:$A, 0))-INDEX('UA-normalized'!$E:$E, MATCH($A155, 'UA-normalized'!$A:$A, 0))&gt;0, -(23*INDEX('UA-normalized'!$D:$D, MATCH($A155, 'UA-normalized'!$A:$A, 0))-INDEX('UA-normalized'!$E:$E, MATCH($A155, 'UA-normalized'!$A:$A, 0))), 0), 0))+(IFERROR(IF(23*INDEX('KZ-normalized'!$D:$D, MATCH($A155, 'KZ-normalized'!$A:$A, 0))-INDEX('KZ-normalized'!$E:$E, MATCH($A155, 'KZ-normalized'!$A:$A, 0))&gt;0, -(23*INDEX('KZ-normalized'!$D:$D, MATCH($A155, 'KZ-normalized'!$A:$A, 0))-INDEX('KZ-normalized'!$E:$E, MATCH($A155, 'KZ-normalized'!$A:$A, 0))), 0), 0))+(IFERROR(IF(23*INDEX('UZ-normalized'!$D:$D, MATCH($A155, 'UZ-normalized'!$A:$A, 0))-INDEX('UZ-normalized'!$E:$E, MATCH($A155, 'UZ-normalized'!$A:$A, 0))&gt;0, -(23*INDEX('UZ-normalized'!$D:$D, MATCH($A155, 'UZ-normalized'!$A:$A, 0))-INDEX('UZ-normalized'!$E:$E, MATCH($A155, 'UZ-normalized'!$A:$A, 0))), 0), 0)))</f>
        <v>-53</v>
      </c>
      <c r="AL155" s="6">
        <f>MIN(0, N155+(IFERROR(IF(24*INDEX('UA-normalized'!$D:$D, MATCH($A155, 'UA-normalized'!$A:$A, 0))-INDEX('UA-normalized'!$E:$E, MATCH($A155, 'UA-normalized'!$A:$A, 0))&gt;0, -(24*INDEX('UA-normalized'!$D:$D, MATCH($A155, 'UA-normalized'!$A:$A, 0))-INDEX('UA-normalized'!$E:$E, MATCH($A155, 'UA-normalized'!$A:$A, 0))), 0), 0))+(IFERROR(IF(24*INDEX('KZ-normalized'!$D:$D, MATCH($A155, 'KZ-normalized'!$A:$A, 0))-INDEX('KZ-normalized'!$E:$E, MATCH($A155, 'KZ-normalized'!$A:$A, 0))&gt;0, -(24*INDEX('KZ-normalized'!$D:$D, MATCH($A155, 'KZ-normalized'!$A:$A, 0))-INDEX('KZ-normalized'!$E:$E, MATCH($A155, 'KZ-normalized'!$A:$A, 0))), 0), 0))+(IFERROR(IF(24*INDEX('UZ-normalized'!$D:$D, MATCH($A155, 'UZ-normalized'!$A:$A, 0))-INDEX('UZ-normalized'!$E:$E, MATCH($A155, 'UZ-normalized'!$A:$A, 0))&gt;0, -(24*INDEX('UZ-normalized'!$D:$D, MATCH($A155, 'UZ-normalized'!$A:$A, 0))-INDEX('UZ-normalized'!$E:$E, MATCH($A155, 'UZ-normalized'!$A:$A, 0))), 0), 0)))</f>
        <v>-58</v>
      </c>
      <c r="AM155" s="6">
        <f>MIN(0, N155+(IFERROR(IF(25*INDEX('UA-normalized'!$D:$D, MATCH($A155, 'UA-normalized'!$A:$A, 0))-INDEX('UA-normalized'!$E:$E, MATCH($A155, 'UA-normalized'!$A:$A, 0))&gt;0, -(25*INDEX('UA-normalized'!$D:$D, MATCH($A155, 'UA-normalized'!$A:$A, 0))-INDEX('UA-normalized'!$E:$E, MATCH($A155, 'UA-normalized'!$A:$A, 0))), 0), 0))+(IFERROR(IF(25*INDEX('KZ-normalized'!$D:$D, MATCH($A155, 'KZ-normalized'!$A:$A, 0))-INDEX('KZ-normalized'!$E:$E, MATCH($A155, 'KZ-normalized'!$A:$A, 0))&gt;0, -(25*INDEX('KZ-normalized'!$D:$D, MATCH($A155, 'KZ-normalized'!$A:$A, 0))-INDEX('KZ-normalized'!$E:$E, MATCH($A155, 'KZ-normalized'!$A:$A, 0))), 0), 0))+(IFERROR(IF(25*INDEX('UZ-normalized'!$D:$D, MATCH($A155, 'UZ-normalized'!$A:$A, 0))-INDEX('UZ-normalized'!$E:$E, MATCH($A155, 'UZ-normalized'!$A:$A, 0))&gt;0, -(25*INDEX('UZ-normalized'!$D:$D, MATCH($A155, 'UZ-normalized'!$A:$A, 0))-INDEX('UZ-normalized'!$E:$E, MATCH($A155, 'UZ-normalized'!$A:$A, 0))), 0), 0)))</f>
        <v>-63</v>
      </c>
      <c r="AN155" s="6">
        <f>MIN(0, N155+(IFERROR(IF(26*INDEX('UA-normalized'!$D:$D, MATCH($A155, 'UA-normalized'!$A:$A, 0))-INDEX('UA-normalized'!$E:$E, MATCH($A155, 'UA-normalized'!$A:$A, 0))&gt;0, -(26*INDEX('UA-normalized'!$D:$D, MATCH($A155, 'UA-normalized'!$A:$A, 0))-INDEX('UA-normalized'!$E:$E, MATCH($A155, 'UA-normalized'!$A:$A, 0))), 0), 0))+(IFERROR(IF(26*INDEX('KZ-normalized'!$D:$D, MATCH($A155, 'KZ-normalized'!$A:$A, 0))-INDEX('KZ-normalized'!$E:$E, MATCH($A155, 'KZ-normalized'!$A:$A, 0))&gt;0, -(26*INDEX('KZ-normalized'!$D:$D, MATCH($A155, 'KZ-normalized'!$A:$A, 0))-INDEX('KZ-normalized'!$E:$E, MATCH($A155, 'KZ-normalized'!$A:$A, 0))), 0), 0))+(IFERROR(IF(26*INDEX('UZ-normalized'!$D:$D, MATCH($A155, 'UZ-normalized'!$A:$A, 0))-INDEX('UZ-normalized'!$E:$E, MATCH($A155, 'UZ-normalized'!$A:$A, 0))&gt;0, -(26*INDEX('UZ-normalized'!$D:$D, MATCH($A155, 'UZ-normalized'!$A:$A, 0))-INDEX('UZ-normalized'!$E:$E, MATCH($A155, 'UZ-normalized'!$A:$A, 0))), 0), 0)))</f>
        <v>-68</v>
      </c>
      <c r="AO155" s="6">
        <f>MIN(0, N155+(IFERROR(IF(27*INDEX('UA-normalized'!$D:$D, MATCH($A155, 'UA-normalized'!$A:$A, 0))-INDEX('UA-normalized'!$E:$E, MATCH($A155, 'UA-normalized'!$A:$A, 0))&gt;0, -(27*INDEX('UA-normalized'!$D:$D, MATCH($A155, 'UA-normalized'!$A:$A, 0))-INDEX('UA-normalized'!$E:$E, MATCH($A155, 'UA-normalized'!$A:$A, 0))), 0), 0))+(IFERROR(IF(27*INDEX('KZ-normalized'!$D:$D, MATCH($A155, 'KZ-normalized'!$A:$A, 0))-INDEX('KZ-normalized'!$E:$E, MATCH($A155, 'KZ-normalized'!$A:$A, 0))&gt;0, -(27*INDEX('KZ-normalized'!$D:$D, MATCH($A155, 'KZ-normalized'!$A:$A, 0))-INDEX('KZ-normalized'!$E:$E, MATCH($A155, 'KZ-normalized'!$A:$A, 0))), 0), 0))+(IFERROR(IF(27*INDEX('UZ-normalized'!$D:$D, MATCH($A155, 'UZ-normalized'!$A:$A, 0))-INDEX('UZ-normalized'!$E:$E, MATCH($A155, 'UZ-normalized'!$A:$A, 0))&gt;0, -(27*INDEX('UZ-normalized'!$D:$D, MATCH($A155, 'UZ-normalized'!$A:$A, 0))-INDEX('UZ-normalized'!$E:$E, MATCH($A155, 'UZ-normalized'!$A:$A, 0))), 0), 0)))</f>
        <v>-73</v>
      </c>
      <c r="AP155" s="6">
        <f>MIN(0, N155+(IFERROR(IF(28*INDEX('UA-normalized'!$D:$D, MATCH($A155, 'UA-normalized'!$A:$A, 0))-INDEX('UA-normalized'!$E:$E, MATCH($A155, 'UA-normalized'!$A:$A, 0))&gt;0, -(28*INDEX('UA-normalized'!$D:$D, MATCH($A155, 'UA-normalized'!$A:$A, 0))-INDEX('UA-normalized'!$E:$E, MATCH($A155, 'UA-normalized'!$A:$A, 0))), 0), 0))+(IFERROR(IF(28*INDEX('KZ-normalized'!$D:$D, MATCH($A155, 'KZ-normalized'!$A:$A, 0))-INDEX('KZ-normalized'!$E:$E, MATCH($A155, 'KZ-normalized'!$A:$A, 0))&gt;0, -(28*INDEX('KZ-normalized'!$D:$D, MATCH($A155, 'KZ-normalized'!$A:$A, 0))-INDEX('KZ-normalized'!$E:$E, MATCH($A155, 'KZ-normalized'!$A:$A, 0))), 0), 0))+(IFERROR(IF(28*INDEX('UZ-normalized'!$D:$D, MATCH($A155, 'UZ-normalized'!$A:$A, 0))-INDEX('UZ-normalized'!$E:$E, MATCH($A155, 'UZ-normalized'!$A:$A, 0))&gt;0, -(28*INDEX('UZ-normalized'!$D:$D, MATCH($A155, 'UZ-normalized'!$A:$A, 0))-INDEX('UZ-normalized'!$E:$E, MATCH($A155, 'UZ-normalized'!$A:$A, 0))), 0), 0)))</f>
        <v>-78</v>
      </c>
      <c r="AQ155" s="6">
        <f>MIN(0, N155+(IFERROR(IF(29*INDEX('UA-normalized'!$D:$D, MATCH($A155, 'UA-normalized'!$A:$A, 0))-INDEX('UA-normalized'!$E:$E, MATCH($A155, 'UA-normalized'!$A:$A, 0))&gt;0, -(29*INDEX('UA-normalized'!$D:$D, MATCH($A155, 'UA-normalized'!$A:$A, 0))-INDEX('UA-normalized'!$E:$E, MATCH($A155, 'UA-normalized'!$A:$A, 0))), 0), 0))+(IFERROR(IF(29*INDEX('KZ-normalized'!$D:$D, MATCH($A155, 'KZ-normalized'!$A:$A, 0))-INDEX('KZ-normalized'!$E:$E, MATCH($A155, 'KZ-normalized'!$A:$A, 0))&gt;0, -(29*INDEX('KZ-normalized'!$D:$D, MATCH($A155, 'KZ-normalized'!$A:$A, 0))-INDEX('KZ-normalized'!$E:$E, MATCH($A155, 'KZ-normalized'!$A:$A, 0))), 0), 0))+(IFERROR(IF(29*INDEX('UZ-normalized'!$D:$D, MATCH($A155, 'UZ-normalized'!$A:$A, 0))-INDEX('UZ-normalized'!$E:$E, MATCH($A155, 'UZ-normalized'!$A:$A, 0))&gt;0, -(29*INDEX('UZ-normalized'!$D:$D, MATCH($A155, 'UZ-normalized'!$A:$A, 0))-INDEX('UZ-normalized'!$E:$E, MATCH($A155, 'UZ-normalized'!$A:$A, 0))), 0), 0)))</f>
        <v>-83</v>
      </c>
      <c r="AR155" s="6">
        <f>MIN(0, N155+(IFERROR(IF(30*INDEX('UA-normalized'!$D:$D, MATCH($A155, 'UA-normalized'!$A:$A, 0))-INDEX('UA-normalized'!$E:$E, MATCH($A155, 'UA-normalized'!$A:$A, 0))&gt;0, -(30*INDEX('UA-normalized'!$D:$D, MATCH($A155, 'UA-normalized'!$A:$A, 0))-INDEX('UA-normalized'!$E:$E, MATCH($A155, 'UA-normalized'!$A:$A, 0))), 0), 0))+(IFERROR(IF(30*INDEX('KZ-normalized'!$D:$D, MATCH($A155, 'KZ-normalized'!$A:$A, 0))-INDEX('KZ-normalized'!$E:$E, MATCH($A155, 'KZ-normalized'!$A:$A, 0))&gt;0, -(30*INDEX('KZ-normalized'!$D:$D, MATCH($A155, 'KZ-normalized'!$A:$A, 0))-INDEX('KZ-normalized'!$E:$E, MATCH($A155, 'KZ-normalized'!$A:$A, 0))), 0), 0))+(IFERROR(IF(30*INDEX('UZ-normalized'!$D:$D, MATCH($A155, 'UZ-normalized'!$A:$A, 0))-INDEX('UZ-normalized'!$E:$E, MATCH($A155, 'UZ-normalized'!$A:$A, 0))&gt;0, -(30*INDEX('UZ-normalized'!$D:$D, MATCH($A155, 'UZ-normalized'!$A:$A, 0))-INDEX('UZ-normalized'!$E:$E, MATCH($A155, 'UZ-normalized'!$A:$A, 0))), 0), 0)))</f>
        <v>-88</v>
      </c>
    </row>
    <row r="156" spans="1:44" x14ac:dyDescent="0.25">
      <c r="A156" s="8" t="s">
        <v>376</v>
      </c>
      <c r="B156" s="8" t="s">
        <v>363</v>
      </c>
      <c r="C156" s="8" t="s">
        <v>364</v>
      </c>
      <c r="D156" s="8" t="s">
        <v>377</v>
      </c>
      <c r="N156">
        <f t="shared" si="2"/>
        <v>0</v>
      </c>
      <c r="O156" s="6">
        <f>MIN(0, N156+(IFERROR(IF(1*INDEX('UA-normalized'!$D:$D, MATCH($A156, 'UA-normalized'!$A:$A, 0))-INDEX('UA-normalized'!$E:$E, MATCH($A156, 'UA-normalized'!$A:$A, 0))&gt;0, -(1*INDEX('UA-normalized'!$D:$D, MATCH($A156, 'UA-normalized'!$A:$A, 0))-INDEX('UA-normalized'!$E:$E, MATCH($A156, 'UA-normalized'!$A:$A, 0))), 0), 0))+(IFERROR(IF(1*INDEX('KZ-normalized'!$D:$D, MATCH($A156, 'KZ-normalized'!$A:$A, 0))-INDEX('KZ-normalized'!$E:$E, MATCH($A156, 'KZ-normalized'!$A:$A, 0))&gt;0, -(1*INDEX('KZ-normalized'!$D:$D, MATCH($A156, 'KZ-normalized'!$A:$A, 0))-INDEX('KZ-normalized'!$E:$E, MATCH($A156, 'KZ-normalized'!$A:$A, 0))), 0), 0))+(IFERROR(IF(1*INDEX('UZ-normalized'!$D:$D, MATCH($A156, 'UZ-normalized'!$A:$A, 0))-INDEX('UZ-normalized'!$E:$E, MATCH($A156, 'UZ-normalized'!$A:$A, 0))&gt;0, -(1*INDEX('UZ-normalized'!$D:$D, MATCH($A156, 'UZ-normalized'!$A:$A, 0))-INDEX('UZ-normalized'!$E:$E, MATCH($A156, 'UZ-normalized'!$A:$A, 0))), 0), 0)))</f>
        <v>0</v>
      </c>
      <c r="P156" s="6">
        <f>MIN(0, N156+(IFERROR(IF(2*INDEX('UA-normalized'!$D:$D, MATCH($A156, 'UA-normalized'!$A:$A, 0))-INDEX('UA-normalized'!$E:$E, MATCH($A156, 'UA-normalized'!$A:$A, 0))&gt;0, -(2*INDEX('UA-normalized'!$D:$D, MATCH($A156, 'UA-normalized'!$A:$A, 0))-INDEX('UA-normalized'!$E:$E, MATCH($A156, 'UA-normalized'!$A:$A, 0))), 0), 0))+(IFERROR(IF(2*INDEX('KZ-normalized'!$D:$D, MATCH($A156, 'KZ-normalized'!$A:$A, 0))-INDEX('KZ-normalized'!$E:$E, MATCH($A156, 'KZ-normalized'!$A:$A, 0))&gt;0, -(2*INDEX('KZ-normalized'!$D:$D, MATCH($A156, 'KZ-normalized'!$A:$A, 0))-INDEX('KZ-normalized'!$E:$E, MATCH($A156, 'KZ-normalized'!$A:$A, 0))), 0), 0))+(IFERROR(IF(2*INDEX('UZ-normalized'!$D:$D, MATCH($A156, 'UZ-normalized'!$A:$A, 0))-INDEX('UZ-normalized'!$E:$E, MATCH($A156, 'UZ-normalized'!$A:$A, 0))&gt;0, -(2*INDEX('UZ-normalized'!$D:$D, MATCH($A156, 'UZ-normalized'!$A:$A, 0))-INDEX('UZ-normalized'!$E:$E, MATCH($A156, 'UZ-normalized'!$A:$A, 0))), 0), 0)))</f>
        <v>0</v>
      </c>
      <c r="Q156" s="6">
        <f>MIN(0, N156+(IFERROR(IF(3*INDEX('UA-normalized'!$D:$D, MATCH($A156, 'UA-normalized'!$A:$A, 0))-INDEX('UA-normalized'!$E:$E, MATCH($A156, 'UA-normalized'!$A:$A, 0))&gt;0, -(3*INDEX('UA-normalized'!$D:$D, MATCH($A156, 'UA-normalized'!$A:$A, 0))-INDEX('UA-normalized'!$E:$E, MATCH($A156, 'UA-normalized'!$A:$A, 0))), 0), 0))+(IFERROR(IF(3*INDEX('KZ-normalized'!$D:$D, MATCH($A156, 'KZ-normalized'!$A:$A, 0))-INDEX('KZ-normalized'!$E:$E, MATCH($A156, 'KZ-normalized'!$A:$A, 0))&gt;0, -(3*INDEX('KZ-normalized'!$D:$D, MATCH($A156, 'KZ-normalized'!$A:$A, 0))-INDEX('KZ-normalized'!$E:$E, MATCH($A156, 'KZ-normalized'!$A:$A, 0))), 0), 0))+(IFERROR(IF(3*INDEX('UZ-normalized'!$D:$D, MATCH($A156, 'UZ-normalized'!$A:$A, 0))-INDEX('UZ-normalized'!$E:$E, MATCH($A156, 'UZ-normalized'!$A:$A, 0))&gt;0, -(3*INDEX('UZ-normalized'!$D:$D, MATCH($A156, 'UZ-normalized'!$A:$A, 0))-INDEX('UZ-normalized'!$E:$E, MATCH($A156, 'UZ-normalized'!$A:$A, 0))), 0), 0)))</f>
        <v>0</v>
      </c>
      <c r="R156" s="6">
        <f>MIN(0, N156+(IFERROR(IF(4*INDEX('UA-normalized'!$D:$D, MATCH($A156, 'UA-normalized'!$A:$A, 0))-INDEX('UA-normalized'!$E:$E, MATCH($A156, 'UA-normalized'!$A:$A, 0))&gt;0, -(4*INDEX('UA-normalized'!$D:$D, MATCH($A156, 'UA-normalized'!$A:$A, 0))-INDEX('UA-normalized'!$E:$E, MATCH($A156, 'UA-normalized'!$A:$A, 0))), 0), 0))+(IFERROR(IF(4*INDEX('KZ-normalized'!$D:$D, MATCH($A156, 'KZ-normalized'!$A:$A, 0))-INDEX('KZ-normalized'!$E:$E, MATCH($A156, 'KZ-normalized'!$A:$A, 0))&gt;0, -(4*INDEX('KZ-normalized'!$D:$D, MATCH($A156, 'KZ-normalized'!$A:$A, 0))-INDEX('KZ-normalized'!$E:$E, MATCH($A156, 'KZ-normalized'!$A:$A, 0))), 0), 0))+(IFERROR(IF(4*INDEX('UZ-normalized'!$D:$D, MATCH($A156, 'UZ-normalized'!$A:$A, 0))-INDEX('UZ-normalized'!$E:$E, MATCH($A156, 'UZ-normalized'!$A:$A, 0))&gt;0, -(4*INDEX('UZ-normalized'!$D:$D, MATCH($A156, 'UZ-normalized'!$A:$A, 0))-INDEX('UZ-normalized'!$E:$E, MATCH($A156, 'UZ-normalized'!$A:$A, 0))), 0), 0)))</f>
        <v>0</v>
      </c>
      <c r="S156" s="6">
        <f>MIN(0, N156+(IFERROR(IF(5*INDEX('UA-normalized'!$D:$D, MATCH($A156, 'UA-normalized'!$A:$A, 0))-INDEX('UA-normalized'!$E:$E, MATCH($A156, 'UA-normalized'!$A:$A, 0))&gt;0, -(5*INDEX('UA-normalized'!$D:$D, MATCH($A156, 'UA-normalized'!$A:$A, 0))-INDEX('UA-normalized'!$E:$E, MATCH($A156, 'UA-normalized'!$A:$A, 0))), 0), 0))+(IFERROR(IF(5*INDEX('KZ-normalized'!$D:$D, MATCH($A156, 'KZ-normalized'!$A:$A, 0))-INDEX('KZ-normalized'!$E:$E, MATCH($A156, 'KZ-normalized'!$A:$A, 0))&gt;0, -(5*INDEX('KZ-normalized'!$D:$D, MATCH($A156, 'KZ-normalized'!$A:$A, 0))-INDEX('KZ-normalized'!$E:$E, MATCH($A156, 'KZ-normalized'!$A:$A, 0))), 0), 0))+(IFERROR(IF(5*INDEX('UZ-normalized'!$D:$D, MATCH($A156, 'UZ-normalized'!$A:$A, 0))-INDEX('UZ-normalized'!$E:$E, MATCH($A156, 'UZ-normalized'!$A:$A, 0))&gt;0, -(5*INDEX('UZ-normalized'!$D:$D, MATCH($A156, 'UZ-normalized'!$A:$A, 0))-INDEX('UZ-normalized'!$E:$E, MATCH($A156, 'UZ-normalized'!$A:$A, 0))), 0), 0)))</f>
        <v>0</v>
      </c>
      <c r="T156" s="6">
        <f>MIN(0, N156+(IFERROR(IF(6*INDEX('UA-normalized'!$D:$D, MATCH($A156, 'UA-normalized'!$A:$A, 0))-INDEX('UA-normalized'!$E:$E, MATCH($A156, 'UA-normalized'!$A:$A, 0))&gt;0, -(6*INDEX('UA-normalized'!$D:$D, MATCH($A156, 'UA-normalized'!$A:$A, 0))-INDEX('UA-normalized'!$E:$E, MATCH($A156, 'UA-normalized'!$A:$A, 0))), 0), 0))+(IFERROR(IF(6*INDEX('KZ-normalized'!$D:$D, MATCH($A156, 'KZ-normalized'!$A:$A, 0))-INDEX('KZ-normalized'!$E:$E, MATCH($A156, 'KZ-normalized'!$A:$A, 0))&gt;0, -(6*INDEX('KZ-normalized'!$D:$D, MATCH($A156, 'KZ-normalized'!$A:$A, 0))-INDEX('KZ-normalized'!$E:$E, MATCH($A156, 'KZ-normalized'!$A:$A, 0))), 0), 0))+(IFERROR(IF(6*INDEX('UZ-normalized'!$D:$D, MATCH($A156, 'UZ-normalized'!$A:$A, 0))-INDEX('UZ-normalized'!$E:$E, MATCH($A156, 'UZ-normalized'!$A:$A, 0))&gt;0, -(6*INDEX('UZ-normalized'!$D:$D, MATCH($A156, 'UZ-normalized'!$A:$A, 0))-INDEX('UZ-normalized'!$E:$E, MATCH($A156, 'UZ-normalized'!$A:$A, 0))), 0), 0)))</f>
        <v>0</v>
      </c>
      <c r="U156" s="6">
        <f>MIN(0, N156+(IFERROR(IF(7*INDEX('UA-normalized'!$D:$D, MATCH($A156, 'UA-normalized'!$A:$A, 0))-INDEX('UA-normalized'!$E:$E, MATCH($A156, 'UA-normalized'!$A:$A, 0))&gt;0, -(7*INDEX('UA-normalized'!$D:$D, MATCH($A156, 'UA-normalized'!$A:$A, 0))-INDEX('UA-normalized'!$E:$E, MATCH($A156, 'UA-normalized'!$A:$A, 0))), 0), 0))+(IFERROR(IF(7*INDEX('KZ-normalized'!$D:$D, MATCH($A156, 'KZ-normalized'!$A:$A, 0))-INDEX('KZ-normalized'!$E:$E, MATCH($A156, 'KZ-normalized'!$A:$A, 0))&gt;0, -(7*INDEX('KZ-normalized'!$D:$D, MATCH($A156, 'KZ-normalized'!$A:$A, 0))-INDEX('KZ-normalized'!$E:$E, MATCH($A156, 'KZ-normalized'!$A:$A, 0))), 0), 0))+(IFERROR(IF(7*INDEX('UZ-normalized'!$D:$D, MATCH($A156, 'UZ-normalized'!$A:$A, 0))-INDEX('UZ-normalized'!$E:$E, MATCH($A156, 'UZ-normalized'!$A:$A, 0))&gt;0, -(7*INDEX('UZ-normalized'!$D:$D, MATCH($A156, 'UZ-normalized'!$A:$A, 0))-INDEX('UZ-normalized'!$E:$E, MATCH($A156, 'UZ-normalized'!$A:$A, 0))), 0), 0)))</f>
        <v>0</v>
      </c>
      <c r="V156" s="6">
        <f>MIN(0, N156+(IFERROR(IF(8*INDEX('UA-normalized'!$D:$D, MATCH($A156, 'UA-normalized'!$A:$A, 0))-INDEX('UA-normalized'!$E:$E, MATCH($A156, 'UA-normalized'!$A:$A, 0))&gt;0, -(8*INDEX('UA-normalized'!$D:$D, MATCH($A156, 'UA-normalized'!$A:$A, 0))-INDEX('UA-normalized'!$E:$E, MATCH($A156, 'UA-normalized'!$A:$A, 0))), 0), 0))+(IFERROR(IF(8*INDEX('KZ-normalized'!$D:$D, MATCH($A156, 'KZ-normalized'!$A:$A, 0))-INDEX('KZ-normalized'!$E:$E, MATCH($A156, 'KZ-normalized'!$A:$A, 0))&gt;0, -(8*INDEX('KZ-normalized'!$D:$D, MATCH($A156, 'KZ-normalized'!$A:$A, 0))-INDEX('KZ-normalized'!$E:$E, MATCH($A156, 'KZ-normalized'!$A:$A, 0))), 0), 0))+(IFERROR(IF(8*INDEX('UZ-normalized'!$D:$D, MATCH($A156, 'UZ-normalized'!$A:$A, 0))-INDEX('UZ-normalized'!$E:$E, MATCH($A156, 'UZ-normalized'!$A:$A, 0))&gt;0, -(8*INDEX('UZ-normalized'!$D:$D, MATCH($A156, 'UZ-normalized'!$A:$A, 0))-INDEX('UZ-normalized'!$E:$E, MATCH($A156, 'UZ-normalized'!$A:$A, 0))), 0), 0)))</f>
        <v>0</v>
      </c>
      <c r="W156" s="6">
        <f>MIN(0, N156+(IFERROR(IF(9*INDEX('UA-normalized'!$D:$D, MATCH($A156, 'UA-normalized'!$A:$A, 0))-INDEX('UA-normalized'!$E:$E, MATCH($A156, 'UA-normalized'!$A:$A, 0))&gt;0, -(9*INDEX('UA-normalized'!$D:$D, MATCH($A156, 'UA-normalized'!$A:$A, 0))-INDEX('UA-normalized'!$E:$E, MATCH($A156, 'UA-normalized'!$A:$A, 0))), 0), 0))+(IFERROR(IF(9*INDEX('KZ-normalized'!$D:$D, MATCH($A156, 'KZ-normalized'!$A:$A, 0))-INDEX('KZ-normalized'!$E:$E, MATCH($A156, 'KZ-normalized'!$A:$A, 0))&gt;0, -(9*INDEX('KZ-normalized'!$D:$D, MATCH($A156, 'KZ-normalized'!$A:$A, 0))-INDEX('KZ-normalized'!$E:$E, MATCH($A156, 'KZ-normalized'!$A:$A, 0))), 0), 0))+(IFERROR(IF(9*INDEX('UZ-normalized'!$D:$D, MATCH($A156, 'UZ-normalized'!$A:$A, 0))-INDEX('UZ-normalized'!$E:$E, MATCH($A156, 'UZ-normalized'!$A:$A, 0))&gt;0, -(9*INDEX('UZ-normalized'!$D:$D, MATCH($A156, 'UZ-normalized'!$A:$A, 0))-INDEX('UZ-normalized'!$E:$E, MATCH($A156, 'UZ-normalized'!$A:$A, 0))), 0), 0)))</f>
        <v>0</v>
      </c>
      <c r="X156" s="6">
        <f>MIN(0, N156+(IFERROR(IF(10*INDEX('UA-normalized'!$D:$D, MATCH($A156, 'UA-normalized'!$A:$A, 0))-INDEX('UA-normalized'!$E:$E, MATCH($A156, 'UA-normalized'!$A:$A, 0))&gt;0, -(10*INDEX('UA-normalized'!$D:$D, MATCH($A156, 'UA-normalized'!$A:$A, 0))-INDEX('UA-normalized'!$E:$E, MATCH($A156, 'UA-normalized'!$A:$A, 0))), 0), 0))+(IFERROR(IF(10*INDEX('KZ-normalized'!$D:$D, MATCH($A156, 'KZ-normalized'!$A:$A, 0))-INDEX('KZ-normalized'!$E:$E, MATCH($A156, 'KZ-normalized'!$A:$A, 0))&gt;0, -(10*INDEX('KZ-normalized'!$D:$D, MATCH($A156, 'KZ-normalized'!$A:$A, 0))-INDEX('KZ-normalized'!$E:$E, MATCH($A156, 'KZ-normalized'!$A:$A, 0))), 0), 0))+(IFERROR(IF(10*INDEX('UZ-normalized'!$D:$D, MATCH($A156, 'UZ-normalized'!$A:$A, 0))-INDEX('UZ-normalized'!$E:$E, MATCH($A156, 'UZ-normalized'!$A:$A, 0))&gt;0, -(10*INDEX('UZ-normalized'!$D:$D, MATCH($A156, 'UZ-normalized'!$A:$A, 0))-INDEX('UZ-normalized'!$E:$E, MATCH($A156, 'UZ-normalized'!$A:$A, 0))), 0), 0)))</f>
        <v>0</v>
      </c>
      <c r="Y156" s="6">
        <f>MIN(0, N156+(IFERROR(IF(11*INDEX('UA-normalized'!$D:$D, MATCH($A156, 'UA-normalized'!$A:$A, 0))-INDEX('UA-normalized'!$E:$E, MATCH($A156, 'UA-normalized'!$A:$A, 0))&gt;0, -(11*INDEX('UA-normalized'!$D:$D, MATCH($A156, 'UA-normalized'!$A:$A, 0))-INDEX('UA-normalized'!$E:$E, MATCH($A156, 'UA-normalized'!$A:$A, 0))), 0), 0))+(IFERROR(IF(11*INDEX('KZ-normalized'!$D:$D, MATCH($A156, 'KZ-normalized'!$A:$A, 0))-INDEX('KZ-normalized'!$E:$E, MATCH($A156, 'KZ-normalized'!$A:$A, 0))&gt;0, -(11*INDEX('KZ-normalized'!$D:$D, MATCH($A156, 'KZ-normalized'!$A:$A, 0))-INDEX('KZ-normalized'!$E:$E, MATCH($A156, 'KZ-normalized'!$A:$A, 0))), 0), 0))+(IFERROR(IF(11*INDEX('UZ-normalized'!$D:$D, MATCH($A156, 'UZ-normalized'!$A:$A, 0))-INDEX('UZ-normalized'!$E:$E, MATCH($A156, 'UZ-normalized'!$A:$A, 0))&gt;0, -(11*INDEX('UZ-normalized'!$D:$D, MATCH($A156, 'UZ-normalized'!$A:$A, 0))-INDEX('UZ-normalized'!$E:$E, MATCH($A156, 'UZ-normalized'!$A:$A, 0))), 0), 0)))</f>
        <v>0</v>
      </c>
      <c r="Z156" s="6">
        <f>MIN(0, N156+(IFERROR(IF(12*INDEX('UA-normalized'!$D:$D, MATCH($A156, 'UA-normalized'!$A:$A, 0))-INDEX('UA-normalized'!$E:$E, MATCH($A156, 'UA-normalized'!$A:$A, 0))&gt;0, -(12*INDEX('UA-normalized'!$D:$D, MATCH($A156, 'UA-normalized'!$A:$A, 0))-INDEX('UA-normalized'!$E:$E, MATCH($A156, 'UA-normalized'!$A:$A, 0))), 0), 0))+(IFERROR(IF(12*INDEX('KZ-normalized'!$D:$D, MATCH($A156, 'KZ-normalized'!$A:$A, 0))-INDEX('KZ-normalized'!$E:$E, MATCH($A156, 'KZ-normalized'!$A:$A, 0))&gt;0, -(12*INDEX('KZ-normalized'!$D:$D, MATCH($A156, 'KZ-normalized'!$A:$A, 0))-INDEX('KZ-normalized'!$E:$E, MATCH($A156, 'KZ-normalized'!$A:$A, 0))), 0), 0))+(IFERROR(IF(12*INDEX('UZ-normalized'!$D:$D, MATCH($A156, 'UZ-normalized'!$A:$A, 0))-INDEX('UZ-normalized'!$E:$E, MATCH($A156, 'UZ-normalized'!$A:$A, 0))&gt;0, -(12*INDEX('UZ-normalized'!$D:$D, MATCH($A156, 'UZ-normalized'!$A:$A, 0))-INDEX('UZ-normalized'!$E:$E, MATCH($A156, 'UZ-normalized'!$A:$A, 0))), 0), 0)))</f>
        <v>0</v>
      </c>
      <c r="AA156" s="6">
        <f>MIN(0, N156+(IFERROR(IF(13*INDEX('UA-normalized'!$D:$D, MATCH($A156, 'UA-normalized'!$A:$A, 0))-INDEX('UA-normalized'!$E:$E, MATCH($A156, 'UA-normalized'!$A:$A, 0))&gt;0, -(13*INDEX('UA-normalized'!$D:$D, MATCH($A156, 'UA-normalized'!$A:$A, 0))-INDEX('UA-normalized'!$E:$E, MATCH($A156, 'UA-normalized'!$A:$A, 0))), 0), 0))+(IFERROR(IF(13*INDEX('KZ-normalized'!$D:$D, MATCH($A156, 'KZ-normalized'!$A:$A, 0))-INDEX('KZ-normalized'!$E:$E, MATCH($A156, 'KZ-normalized'!$A:$A, 0))&gt;0, -(13*INDEX('KZ-normalized'!$D:$D, MATCH($A156, 'KZ-normalized'!$A:$A, 0))-INDEX('KZ-normalized'!$E:$E, MATCH($A156, 'KZ-normalized'!$A:$A, 0))), 0), 0))+(IFERROR(IF(13*INDEX('UZ-normalized'!$D:$D, MATCH($A156, 'UZ-normalized'!$A:$A, 0))-INDEX('UZ-normalized'!$E:$E, MATCH($A156, 'UZ-normalized'!$A:$A, 0))&gt;0, -(13*INDEX('UZ-normalized'!$D:$D, MATCH($A156, 'UZ-normalized'!$A:$A, 0))-INDEX('UZ-normalized'!$E:$E, MATCH($A156, 'UZ-normalized'!$A:$A, 0))), 0), 0)))</f>
        <v>0</v>
      </c>
      <c r="AB156" s="6">
        <f>MIN(0, N156+(IFERROR(IF(14*INDEX('UA-normalized'!$D:$D, MATCH($A156, 'UA-normalized'!$A:$A, 0))-INDEX('UA-normalized'!$E:$E, MATCH($A156, 'UA-normalized'!$A:$A, 0))&gt;0, -(14*INDEX('UA-normalized'!$D:$D, MATCH($A156, 'UA-normalized'!$A:$A, 0))-INDEX('UA-normalized'!$E:$E, MATCH($A156, 'UA-normalized'!$A:$A, 0))), 0), 0))+(IFERROR(IF(14*INDEX('KZ-normalized'!$D:$D, MATCH($A156, 'KZ-normalized'!$A:$A, 0))-INDEX('KZ-normalized'!$E:$E, MATCH($A156, 'KZ-normalized'!$A:$A, 0))&gt;0, -(14*INDEX('KZ-normalized'!$D:$D, MATCH($A156, 'KZ-normalized'!$A:$A, 0))-INDEX('KZ-normalized'!$E:$E, MATCH($A156, 'KZ-normalized'!$A:$A, 0))), 0), 0))+(IFERROR(IF(14*INDEX('UZ-normalized'!$D:$D, MATCH($A156, 'UZ-normalized'!$A:$A, 0))-INDEX('UZ-normalized'!$E:$E, MATCH($A156, 'UZ-normalized'!$A:$A, 0))&gt;0, -(14*INDEX('UZ-normalized'!$D:$D, MATCH($A156, 'UZ-normalized'!$A:$A, 0))-INDEX('UZ-normalized'!$E:$E, MATCH($A156, 'UZ-normalized'!$A:$A, 0))), 0), 0)))</f>
        <v>0</v>
      </c>
      <c r="AC156" s="6">
        <f>MIN(0, N156+(IFERROR(IF(15*INDEX('UA-normalized'!$D:$D, MATCH($A156, 'UA-normalized'!$A:$A, 0))-INDEX('UA-normalized'!$E:$E, MATCH($A156, 'UA-normalized'!$A:$A, 0))&gt;0, -(15*INDEX('UA-normalized'!$D:$D, MATCH($A156, 'UA-normalized'!$A:$A, 0))-INDEX('UA-normalized'!$E:$E, MATCH($A156, 'UA-normalized'!$A:$A, 0))), 0), 0))+(IFERROR(IF(15*INDEX('KZ-normalized'!$D:$D, MATCH($A156, 'KZ-normalized'!$A:$A, 0))-INDEX('KZ-normalized'!$E:$E, MATCH($A156, 'KZ-normalized'!$A:$A, 0))&gt;0, -(15*INDEX('KZ-normalized'!$D:$D, MATCH($A156, 'KZ-normalized'!$A:$A, 0))-INDEX('KZ-normalized'!$E:$E, MATCH($A156, 'KZ-normalized'!$A:$A, 0))), 0), 0))+(IFERROR(IF(15*INDEX('UZ-normalized'!$D:$D, MATCH($A156, 'UZ-normalized'!$A:$A, 0))-INDEX('UZ-normalized'!$E:$E, MATCH($A156, 'UZ-normalized'!$A:$A, 0))&gt;0, -(15*INDEX('UZ-normalized'!$D:$D, MATCH($A156, 'UZ-normalized'!$A:$A, 0))-INDEX('UZ-normalized'!$E:$E, MATCH($A156, 'UZ-normalized'!$A:$A, 0))), 0), 0)))</f>
        <v>0</v>
      </c>
      <c r="AD156" s="6">
        <f>MIN(0, N156+(IFERROR(IF(16*INDEX('UA-normalized'!$D:$D, MATCH($A156, 'UA-normalized'!$A:$A, 0))-INDEX('UA-normalized'!$E:$E, MATCH($A156, 'UA-normalized'!$A:$A, 0))&gt;0, -(16*INDEX('UA-normalized'!$D:$D, MATCH($A156, 'UA-normalized'!$A:$A, 0))-INDEX('UA-normalized'!$E:$E, MATCH($A156, 'UA-normalized'!$A:$A, 0))), 0), 0))+(IFERROR(IF(16*INDEX('KZ-normalized'!$D:$D, MATCH($A156, 'KZ-normalized'!$A:$A, 0))-INDEX('KZ-normalized'!$E:$E, MATCH($A156, 'KZ-normalized'!$A:$A, 0))&gt;0, -(16*INDEX('KZ-normalized'!$D:$D, MATCH($A156, 'KZ-normalized'!$A:$A, 0))-INDEX('KZ-normalized'!$E:$E, MATCH($A156, 'KZ-normalized'!$A:$A, 0))), 0), 0))+(IFERROR(IF(16*INDEX('UZ-normalized'!$D:$D, MATCH($A156, 'UZ-normalized'!$A:$A, 0))-INDEX('UZ-normalized'!$E:$E, MATCH($A156, 'UZ-normalized'!$A:$A, 0))&gt;0, -(16*INDEX('UZ-normalized'!$D:$D, MATCH($A156, 'UZ-normalized'!$A:$A, 0))-INDEX('UZ-normalized'!$E:$E, MATCH($A156, 'UZ-normalized'!$A:$A, 0))), 0), 0)))</f>
        <v>0</v>
      </c>
      <c r="AE156" s="6">
        <f>MIN(0, N156+(IFERROR(IF(17*INDEX('UA-normalized'!$D:$D, MATCH($A156, 'UA-normalized'!$A:$A, 0))-INDEX('UA-normalized'!$E:$E, MATCH($A156, 'UA-normalized'!$A:$A, 0))&gt;0, -(17*INDEX('UA-normalized'!$D:$D, MATCH($A156, 'UA-normalized'!$A:$A, 0))-INDEX('UA-normalized'!$E:$E, MATCH($A156, 'UA-normalized'!$A:$A, 0))), 0), 0))+(IFERROR(IF(17*INDEX('KZ-normalized'!$D:$D, MATCH($A156, 'KZ-normalized'!$A:$A, 0))-INDEX('KZ-normalized'!$E:$E, MATCH($A156, 'KZ-normalized'!$A:$A, 0))&gt;0, -(17*INDEX('KZ-normalized'!$D:$D, MATCH($A156, 'KZ-normalized'!$A:$A, 0))-INDEX('KZ-normalized'!$E:$E, MATCH($A156, 'KZ-normalized'!$A:$A, 0))), 0), 0))+(IFERROR(IF(17*INDEX('UZ-normalized'!$D:$D, MATCH($A156, 'UZ-normalized'!$A:$A, 0))-INDEX('UZ-normalized'!$E:$E, MATCH($A156, 'UZ-normalized'!$A:$A, 0))&gt;0, -(17*INDEX('UZ-normalized'!$D:$D, MATCH($A156, 'UZ-normalized'!$A:$A, 0))-INDEX('UZ-normalized'!$E:$E, MATCH($A156, 'UZ-normalized'!$A:$A, 0))), 0), 0)))</f>
        <v>0</v>
      </c>
      <c r="AF156" s="6">
        <f>MIN(0, N156+(IFERROR(IF(18*INDEX('UA-normalized'!$D:$D, MATCH($A156, 'UA-normalized'!$A:$A, 0))-INDEX('UA-normalized'!$E:$E, MATCH($A156, 'UA-normalized'!$A:$A, 0))&gt;0, -(18*INDEX('UA-normalized'!$D:$D, MATCH($A156, 'UA-normalized'!$A:$A, 0))-INDEX('UA-normalized'!$E:$E, MATCH($A156, 'UA-normalized'!$A:$A, 0))), 0), 0))+(IFERROR(IF(18*INDEX('KZ-normalized'!$D:$D, MATCH($A156, 'KZ-normalized'!$A:$A, 0))-INDEX('KZ-normalized'!$E:$E, MATCH($A156, 'KZ-normalized'!$A:$A, 0))&gt;0, -(18*INDEX('KZ-normalized'!$D:$D, MATCH($A156, 'KZ-normalized'!$A:$A, 0))-INDEX('KZ-normalized'!$E:$E, MATCH($A156, 'KZ-normalized'!$A:$A, 0))), 0), 0))+(IFERROR(IF(18*INDEX('UZ-normalized'!$D:$D, MATCH($A156, 'UZ-normalized'!$A:$A, 0))-INDEX('UZ-normalized'!$E:$E, MATCH($A156, 'UZ-normalized'!$A:$A, 0))&gt;0, -(18*INDEX('UZ-normalized'!$D:$D, MATCH($A156, 'UZ-normalized'!$A:$A, 0))-INDEX('UZ-normalized'!$E:$E, MATCH($A156, 'UZ-normalized'!$A:$A, 0))), 0), 0)))</f>
        <v>0</v>
      </c>
      <c r="AG156" s="6">
        <f>MIN(0, N156+(IFERROR(IF(19*INDEX('UA-normalized'!$D:$D, MATCH($A156, 'UA-normalized'!$A:$A, 0))-INDEX('UA-normalized'!$E:$E, MATCH($A156, 'UA-normalized'!$A:$A, 0))&gt;0, -(19*INDEX('UA-normalized'!$D:$D, MATCH($A156, 'UA-normalized'!$A:$A, 0))-INDEX('UA-normalized'!$E:$E, MATCH($A156, 'UA-normalized'!$A:$A, 0))), 0), 0))+(IFERROR(IF(19*INDEX('KZ-normalized'!$D:$D, MATCH($A156, 'KZ-normalized'!$A:$A, 0))-INDEX('KZ-normalized'!$E:$E, MATCH($A156, 'KZ-normalized'!$A:$A, 0))&gt;0, -(19*INDEX('KZ-normalized'!$D:$D, MATCH($A156, 'KZ-normalized'!$A:$A, 0))-INDEX('KZ-normalized'!$E:$E, MATCH($A156, 'KZ-normalized'!$A:$A, 0))), 0), 0))+(IFERROR(IF(19*INDEX('UZ-normalized'!$D:$D, MATCH($A156, 'UZ-normalized'!$A:$A, 0))-INDEX('UZ-normalized'!$E:$E, MATCH($A156, 'UZ-normalized'!$A:$A, 0))&gt;0, -(19*INDEX('UZ-normalized'!$D:$D, MATCH($A156, 'UZ-normalized'!$A:$A, 0))-INDEX('UZ-normalized'!$E:$E, MATCH($A156, 'UZ-normalized'!$A:$A, 0))), 0), 0)))</f>
        <v>0</v>
      </c>
      <c r="AH156" s="6">
        <f>MIN(0, N156+(IFERROR(IF(20*INDEX('UA-normalized'!$D:$D, MATCH($A156, 'UA-normalized'!$A:$A, 0))-INDEX('UA-normalized'!$E:$E, MATCH($A156, 'UA-normalized'!$A:$A, 0))&gt;0, -(20*INDEX('UA-normalized'!$D:$D, MATCH($A156, 'UA-normalized'!$A:$A, 0))-INDEX('UA-normalized'!$E:$E, MATCH($A156, 'UA-normalized'!$A:$A, 0))), 0), 0))+(IFERROR(IF(20*INDEX('KZ-normalized'!$D:$D, MATCH($A156, 'KZ-normalized'!$A:$A, 0))-INDEX('KZ-normalized'!$E:$E, MATCH($A156, 'KZ-normalized'!$A:$A, 0))&gt;0, -(20*INDEX('KZ-normalized'!$D:$D, MATCH($A156, 'KZ-normalized'!$A:$A, 0))-INDEX('KZ-normalized'!$E:$E, MATCH($A156, 'KZ-normalized'!$A:$A, 0))), 0), 0))+(IFERROR(IF(20*INDEX('UZ-normalized'!$D:$D, MATCH($A156, 'UZ-normalized'!$A:$A, 0))-INDEX('UZ-normalized'!$E:$E, MATCH($A156, 'UZ-normalized'!$A:$A, 0))&gt;0, -(20*INDEX('UZ-normalized'!$D:$D, MATCH($A156, 'UZ-normalized'!$A:$A, 0))-INDEX('UZ-normalized'!$E:$E, MATCH($A156, 'UZ-normalized'!$A:$A, 0))), 0), 0)))</f>
        <v>0</v>
      </c>
      <c r="AI156" s="6">
        <f>MIN(0, N156+(IFERROR(IF(21*INDEX('UA-normalized'!$D:$D, MATCH($A156, 'UA-normalized'!$A:$A, 0))-INDEX('UA-normalized'!$E:$E, MATCH($A156, 'UA-normalized'!$A:$A, 0))&gt;0, -(21*INDEX('UA-normalized'!$D:$D, MATCH($A156, 'UA-normalized'!$A:$A, 0))-INDEX('UA-normalized'!$E:$E, MATCH($A156, 'UA-normalized'!$A:$A, 0))), 0), 0))+(IFERROR(IF(21*INDEX('KZ-normalized'!$D:$D, MATCH($A156, 'KZ-normalized'!$A:$A, 0))-INDEX('KZ-normalized'!$E:$E, MATCH($A156, 'KZ-normalized'!$A:$A, 0))&gt;0, -(21*INDEX('KZ-normalized'!$D:$D, MATCH($A156, 'KZ-normalized'!$A:$A, 0))-INDEX('KZ-normalized'!$E:$E, MATCH($A156, 'KZ-normalized'!$A:$A, 0))), 0), 0))+(IFERROR(IF(21*INDEX('UZ-normalized'!$D:$D, MATCH($A156, 'UZ-normalized'!$A:$A, 0))-INDEX('UZ-normalized'!$E:$E, MATCH($A156, 'UZ-normalized'!$A:$A, 0))&gt;0, -(21*INDEX('UZ-normalized'!$D:$D, MATCH($A156, 'UZ-normalized'!$A:$A, 0))-INDEX('UZ-normalized'!$E:$E, MATCH($A156, 'UZ-normalized'!$A:$A, 0))), 0), 0)))</f>
        <v>0</v>
      </c>
      <c r="AJ156" s="6">
        <f>MIN(0, N156+(IFERROR(IF(22*INDEX('UA-normalized'!$D:$D, MATCH($A156, 'UA-normalized'!$A:$A, 0))-INDEX('UA-normalized'!$E:$E, MATCH($A156, 'UA-normalized'!$A:$A, 0))&gt;0, -(22*INDEX('UA-normalized'!$D:$D, MATCH($A156, 'UA-normalized'!$A:$A, 0))-INDEX('UA-normalized'!$E:$E, MATCH($A156, 'UA-normalized'!$A:$A, 0))), 0), 0))+(IFERROR(IF(22*INDEX('KZ-normalized'!$D:$D, MATCH($A156, 'KZ-normalized'!$A:$A, 0))-INDEX('KZ-normalized'!$E:$E, MATCH($A156, 'KZ-normalized'!$A:$A, 0))&gt;0, -(22*INDEX('KZ-normalized'!$D:$D, MATCH($A156, 'KZ-normalized'!$A:$A, 0))-INDEX('KZ-normalized'!$E:$E, MATCH($A156, 'KZ-normalized'!$A:$A, 0))), 0), 0))+(IFERROR(IF(22*INDEX('UZ-normalized'!$D:$D, MATCH($A156, 'UZ-normalized'!$A:$A, 0))-INDEX('UZ-normalized'!$E:$E, MATCH($A156, 'UZ-normalized'!$A:$A, 0))&gt;0, -(22*INDEX('UZ-normalized'!$D:$D, MATCH($A156, 'UZ-normalized'!$A:$A, 0))-INDEX('UZ-normalized'!$E:$E, MATCH($A156, 'UZ-normalized'!$A:$A, 0))), 0), 0)))</f>
        <v>0</v>
      </c>
      <c r="AK156" s="6">
        <f>MIN(0, N156+(IFERROR(IF(23*INDEX('UA-normalized'!$D:$D, MATCH($A156, 'UA-normalized'!$A:$A, 0))-INDEX('UA-normalized'!$E:$E, MATCH($A156, 'UA-normalized'!$A:$A, 0))&gt;0, -(23*INDEX('UA-normalized'!$D:$D, MATCH($A156, 'UA-normalized'!$A:$A, 0))-INDEX('UA-normalized'!$E:$E, MATCH($A156, 'UA-normalized'!$A:$A, 0))), 0), 0))+(IFERROR(IF(23*INDEX('KZ-normalized'!$D:$D, MATCH($A156, 'KZ-normalized'!$A:$A, 0))-INDEX('KZ-normalized'!$E:$E, MATCH($A156, 'KZ-normalized'!$A:$A, 0))&gt;0, -(23*INDEX('KZ-normalized'!$D:$D, MATCH($A156, 'KZ-normalized'!$A:$A, 0))-INDEX('KZ-normalized'!$E:$E, MATCH($A156, 'KZ-normalized'!$A:$A, 0))), 0), 0))+(IFERROR(IF(23*INDEX('UZ-normalized'!$D:$D, MATCH($A156, 'UZ-normalized'!$A:$A, 0))-INDEX('UZ-normalized'!$E:$E, MATCH($A156, 'UZ-normalized'!$A:$A, 0))&gt;0, -(23*INDEX('UZ-normalized'!$D:$D, MATCH($A156, 'UZ-normalized'!$A:$A, 0))-INDEX('UZ-normalized'!$E:$E, MATCH($A156, 'UZ-normalized'!$A:$A, 0))), 0), 0)))</f>
        <v>0</v>
      </c>
      <c r="AL156" s="6">
        <f>MIN(0, N156+(IFERROR(IF(24*INDEX('UA-normalized'!$D:$D, MATCH($A156, 'UA-normalized'!$A:$A, 0))-INDEX('UA-normalized'!$E:$E, MATCH($A156, 'UA-normalized'!$A:$A, 0))&gt;0, -(24*INDEX('UA-normalized'!$D:$D, MATCH($A156, 'UA-normalized'!$A:$A, 0))-INDEX('UA-normalized'!$E:$E, MATCH($A156, 'UA-normalized'!$A:$A, 0))), 0), 0))+(IFERROR(IF(24*INDEX('KZ-normalized'!$D:$D, MATCH($A156, 'KZ-normalized'!$A:$A, 0))-INDEX('KZ-normalized'!$E:$E, MATCH($A156, 'KZ-normalized'!$A:$A, 0))&gt;0, -(24*INDEX('KZ-normalized'!$D:$D, MATCH($A156, 'KZ-normalized'!$A:$A, 0))-INDEX('KZ-normalized'!$E:$E, MATCH($A156, 'KZ-normalized'!$A:$A, 0))), 0), 0))+(IFERROR(IF(24*INDEX('UZ-normalized'!$D:$D, MATCH($A156, 'UZ-normalized'!$A:$A, 0))-INDEX('UZ-normalized'!$E:$E, MATCH($A156, 'UZ-normalized'!$A:$A, 0))&gt;0, -(24*INDEX('UZ-normalized'!$D:$D, MATCH($A156, 'UZ-normalized'!$A:$A, 0))-INDEX('UZ-normalized'!$E:$E, MATCH($A156, 'UZ-normalized'!$A:$A, 0))), 0), 0)))</f>
        <v>0</v>
      </c>
      <c r="AM156" s="6">
        <f>MIN(0, N156+(IFERROR(IF(25*INDEX('UA-normalized'!$D:$D, MATCH($A156, 'UA-normalized'!$A:$A, 0))-INDEX('UA-normalized'!$E:$E, MATCH($A156, 'UA-normalized'!$A:$A, 0))&gt;0, -(25*INDEX('UA-normalized'!$D:$D, MATCH($A156, 'UA-normalized'!$A:$A, 0))-INDEX('UA-normalized'!$E:$E, MATCH($A156, 'UA-normalized'!$A:$A, 0))), 0), 0))+(IFERROR(IF(25*INDEX('KZ-normalized'!$D:$D, MATCH($A156, 'KZ-normalized'!$A:$A, 0))-INDEX('KZ-normalized'!$E:$E, MATCH($A156, 'KZ-normalized'!$A:$A, 0))&gt;0, -(25*INDEX('KZ-normalized'!$D:$D, MATCH($A156, 'KZ-normalized'!$A:$A, 0))-INDEX('KZ-normalized'!$E:$E, MATCH($A156, 'KZ-normalized'!$A:$A, 0))), 0), 0))+(IFERROR(IF(25*INDEX('UZ-normalized'!$D:$D, MATCH($A156, 'UZ-normalized'!$A:$A, 0))-INDEX('UZ-normalized'!$E:$E, MATCH($A156, 'UZ-normalized'!$A:$A, 0))&gt;0, -(25*INDEX('UZ-normalized'!$D:$D, MATCH($A156, 'UZ-normalized'!$A:$A, 0))-INDEX('UZ-normalized'!$E:$E, MATCH($A156, 'UZ-normalized'!$A:$A, 0))), 0), 0)))</f>
        <v>0</v>
      </c>
      <c r="AN156" s="6">
        <f>MIN(0, N156+(IFERROR(IF(26*INDEX('UA-normalized'!$D:$D, MATCH($A156, 'UA-normalized'!$A:$A, 0))-INDEX('UA-normalized'!$E:$E, MATCH($A156, 'UA-normalized'!$A:$A, 0))&gt;0, -(26*INDEX('UA-normalized'!$D:$D, MATCH($A156, 'UA-normalized'!$A:$A, 0))-INDEX('UA-normalized'!$E:$E, MATCH($A156, 'UA-normalized'!$A:$A, 0))), 0), 0))+(IFERROR(IF(26*INDEX('KZ-normalized'!$D:$D, MATCH($A156, 'KZ-normalized'!$A:$A, 0))-INDEX('KZ-normalized'!$E:$E, MATCH($A156, 'KZ-normalized'!$A:$A, 0))&gt;0, -(26*INDEX('KZ-normalized'!$D:$D, MATCH($A156, 'KZ-normalized'!$A:$A, 0))-INDEX('KZ-normalized'!$E:$E, MATCH($A156, 'KZ-normalized'!$A:$A, 0))), 0), 0))+(IFERROR(IF(26*INDEX('UZ-normalized'!$D:$D, MATCH($A156, 'UZ-normalized'!$A:$A, 0))-INDEX('UZ-normalized'!$E:$E, MATCH($A156, 'UZ-normalized'!$A:$A, 0))&gt;0, -(26*INDEX('UZ-normalized'!$D:$D, MATCH($A156, 'UZ-normalized'!$A:$A, 0))-INDEX('UZ-normalized'!$E:$E, MATCH($A156, 'UZ-normalized'!$A:$A, 0))), 0), 0)))</f>
        <v>0</v>
      </c>
      <c r="AO156" s="6">
        <f>MIN(0, N156+(IFERROR(IF(27*INDEX('UA-normalized'!$D:$D, MATCH($A156, 'UA-normalized'!$A:$A, 0))-INDEX('UA-normalized'!$E:$E, MATCH($A156, 'UA-normalized'!$A:$A, 0))&gt;0, -(27*INDEX('UA-normalized'!$D:$D, MATCH($A156, 'UA-normalized'!$A:$A, 0))-INDEX('UA-normalized'!$E:$E, MATCH($A156, 'UA-normalized'!$A:$A, 0))), 0), 0))+(IFERROR(IF(27*INDEX('KZ-normalized'!$D:$D, MATCH($A156, 'KZ-normalized'!$A:$A, 0))-INDEX('KZ-normalized'!$E:$E, MATCH($A156, 'KZ-normalized'!$A:$A, 0))&gt;0, -(27*INDEX('KZ-normalized'!$D:$D, MATCH($A156, 'KZ-normalized'!$A:$A, 0))-INDEX('KZ-normalized'!$E:$E, MATCH($A156, 'KZ-normalized'!$A:$A, 0))), 0), 0))+(IFERROR(IF(27*INDEX('UZ-normalized'!$D:$D, MATCH($A156, 'UZ-normalized'!$A:$A, 0))-INDEX('UZ-normalized'!$E:$E, MATCH($A156, 'UZ-normalized'!$A:$A, 0))&gt;0, -(27*INDEX('UZ-normalized'!$D:$D, MATCH($A156, 'UZ-normalized'!$A:$A, 0))-INDEX('UZ-normalized'!$E:$E, MATCH($A156, 'UZ-normalized'!$A:$A, 0))), 0), 0)))</f>
        <v>0</v>
      </c>
      <c r="AP156" s="6">
        <f>MIN(0, N156+(IFERROR(IF(28*INDEX('UA-normalized'!$D:$D, MATCH($A156, 'UA-normalized'!$A:$A, 0))-INDEX('UA-normalized'!$E:$E, MATCH($A156, 'UA-normalized'!$A:$A, 0))&gt;0, -(28*INDEX('UA-normalized'!$D:$D, MATCH($A156, 'UA-normalized'!$A:$A, 0))-INDEX('UA-normalized'!$E:$E, MATCH($A156, 'UA-normalized'!$A:$A, 0))), 0), 0))+(IFERROR(IF(28*INDEX('KZ-normalized'!$D:$D, MATCH($A156, 'KZ-normalized'!$A:$A, 0))-INDEX('KZ-normalized'!$E:$E, MATCH($A156, 'KZ-normalized'!$A:$A, 0))&gt;0, -(28*INDEX('KZ-normalized'!$D:$D, MATCH($A156, 'KZ-normalized'!$A:$A, 0))-INDEX('KZ-normalized'!$E:$E, MATCH($A156, 'KZ-normalized'!$A:$A, 0))), 0), 0))+(IFERROR(IF(28*INDEX('UZ-normalized'!$D:$D, MATCH($A156, 'UZ-normalized'!$A:$A, 0))-INDEX('UZ-normalized'!$E:$E, MATCH($A156, 'UZ-normalized'!$A:$A, 0))&gt;0, -(28*INDEX('UZ-normalized'!$D:$D, MATCH($A156, 'UZ-normalized'!$A:$A, 0))-INDEX('UZ-normalized'!$E:$E, MATCH($A156, 'UZ-normalized'!$A:$A, 0))), 0), 0)))</f>
        <v>0</v>
      </c>
      <c r="AQ156" s="6">
        <f>MIN(0, N156+(IFERROR(IF(29*INDEX('UA-normalized'!$D:$D, MATCH($A156, 'UA-normalized'!$A:$A, 0))-INDEX('UA-normalized'!$E:$E, MATCH($A156, 'UA-normalized'!$A:$A, 0))&gt;0, -(29*INDEX('UA-normalized'!$D:$D, MATCH($A156, 'UA-normalized'!$A:$A, 0))-INDEX('UA-normalized'!$E:$E, MATCH($A156, 'UA-normalized'!$A:$A, 0))), 0), 0))+(IFERROR(IF(29*INDEX('KZ-normalized'!$D:$D, MATCH($A156, 'KZ-normalized'!$A:$A, 0))-INDEX('KZ-normalized'!$E:$E, MATCH($A156, 'KZ-normalized'!$A:$A, 0))&gt;0, -(29*INDEX('KZ-normalized'!$D:$D, MATCH($A156, 'KZ-normalized'!$A:$A, 0))-INDEX('KZ-normalized'!$E:$E, MATCH($A156, 'KZ-normalized'!$A:$A, 0))), 0), 0))+(IFERROR(IF(29*INDEX('UZ-normalized'!$D:$D, MATCH($A156, 'UZ-normalized'!$A:$A, 0))-INDEX('UZ-normalized'!$E:$E, MATCH($A156, 'UZ-normalized'!$A:$A, 0))&gt;0, -(29*INDEX('UZ-normalized'!$D:$D, MATCH($A156, 'UZ-normalized'!$A:$A, 0))-INDEX('UZ-normalized'!$E:$E, MATCH($A156, 'UZ-normalized'!$A:$A, 0))), 0), 0)))</f>
        <v>0</v>
      </c>
      <c r="AR156" s="6">
        <f>MIN(0, N156+(IFERROR(IF(30*INDEX('UA-normalized'!$D:$D, MATCH($A156, 'UA-normalized'!$A:$A, 0))-INDEX('UA-normalized'!$E:$E, MATCH($A156, 'UA-normalized'!$A:$A, 0))&gt;0, -(30*INDEX('UA-normalized'!$D:$D, MATCH($A156, 'UA-normalized'!$A:$A, 0))-INDEX('UA-normalized'!$E:$E, MATCH($A156, 'UA-normalized'!$A:$A, 0))), 0), 0))+(IFERROR(IF(30*INDEX('KZ-normalized'!$D:$D, MATCH($A156, 'KZ-normalized'!$A:$A, 0))-INDEX('KZ-normalized'!$E:$E, MATCH($A156, 'KZ-normalized'!$A:$A, 0))&gt;0, -(30*INDEX('KZ-normalized'!$D:$D, MATCH($A156, 'KZ-normalized'!$A:$A, 0))-INDEX('KZ-normalized'!$E:$E, MATCH($A156, 'KZ-normalized'!$A:$A, 0))), 0), 0))+(IFERROR(IF(30*INDEX('UZ-normalized'!$D:$D, MATCH($A156, 'UZ-normalized'!$A:$A, 0))-INDEX('UZ-normalized'!$E:$E, MATCH($A156, 'UZ-normalized'!$A:$A, 0))&gt;0, -(30*INDEX('UZ-normalized'!$D:$D, MATCH($A156, 'UZ-normalized'!$A:$A, 0))-INDEX('UZ-normalized'!$E:$E, MATCH($A156, 'UZ-normalized'!$A:$A, 0))), 0), 0)))</f>
        <v>0</v>
      </c>
    </row>
    <row r="157" spans="1:44" x14ac:dyDescent="0.25">
      <c r="A157" s="8" t="s">
        <v>378</v>
      </c>
      <c r="B157" s="8" t="s">
        <v>363</v>
      </c>
      <c r="C157" s="8" t="s">
        <v>364</v>
      </c>
      <c r="D157" s="8" t="s">
        <v>379</v>
      </c>
      <c r="N157">
        <f t="shared" si="2"/>
        <v>0</v>
      </c>
      <c r="O157" s="6">
        <f>MIN(0, N157+(IFERROR(IF(1*INDEX('UA-normalized'!$D:$D, MATCH($A157, 'UA-normalized'!$A:$A, 0))-INDEX('UA-normalized'!$E:$E, MATCH($A157, 'UA-normalized'!$A:$A, 0))&gt;0, -(1*INDEX('UA-normalized'!$D:$D, MATCH($A157, 'UA-normalized'!$A:$A, 0))-INDEX('UA-normalized'!$E:$E, MATCH($A157, 'UA-normalized'!$A:$A, 0))), 0), 0))+(IFERROR(IF(1*INDEX('KZ-normalized'!$D:$D, MATCH($A157, 'KZ-normalized'!$A:$A, 0))-INDEX('KZ-normalized'!$E:$E, MATCH($A157, 'KZ-normalized'!$A:$A, 0))&gt;0, -(1*INDEX('KZ-normalized'!$D:$D, MATCH($A157, 'KZ-normalized'!$A:$A, 0))-INDEX('KZ-normalized'!$E:$E, MATCH($A157, 'KZ-normalized'!$A:$A, 0))), 0), 0))+(IFERROR(IF(1*INDEX('UZ-normalized'!$D:$D, MATCH($A157, 'UZ-normalized'!$A:$A, 0))-INDEX('UZ-normalized'!$E:$E, MATCH($A157, 'UZ-normalized'!$A:$A, 0))&gt;0, -(1*INDEX('UZ-normalized'!$D:$D, MATCH($A157, 'UZ-normalized'!$A:$A, 0))-INDEX('UZ-normalized'!$E:$E, MATCH($A157, 'UZ-normalized'!$A:$A, 0))), 0), 0)))</f>
        <v>0</v>
      </c>
      <c r="P157" s="6">
        <f>MIN(0, N157+(IFERROR(IF(2*INDEX('UA-normalized'!$D:$D, MATCH($A157, 'UA-normalized'!$A:$A, 0))-INDEX('UA-normalized'!$E:$E, MATCH($A157, 'UA-normalized'!$A:$A, 0))&gt;0, -(2*INDEX('UA-normalized'!$D:$D, MATCH($A157, 'UA-normalized'!$A:$A, 0))-INDEX('UA-normalized'!$E:$E, MATCH($A157, 'UA-normalized'!$A:$A, 0))), 0), 0))+(IFERROR(IF(2*INDEX('KZ-normalized'!$D:$D, MATCH($A157, 'KZ-normalized'!$A:$A, 0))-INDEX('KZ-normalized'!$E:$E, MATCH($A157, 'KZ-normalized'!$A:$A, 0))&gt;0, -(2*INDEX('KZ-normalized'!$D:$D, MATCH($A157, 'KZ-normalized'!$A:$A, 0))-INDEX('KZ-normalized'!$E:$E, MATCH($A157, 'KZ-normalized'!$A:$A, 0))), 0), 0))+(IFERROR(IF(2*INDEX('UZ-normalized'!$D:$D, MATCH($A157, 'UZ-normalized'!$A:$A, 0))-INDEX('UZ-normalized'!$E:$E, MATCH($A157, 'UZ-normalized'!$A:$A, 0))&gt;0, -(2*INDEX('UZ-normalized'!$D:$D, MATCH($A157, 'UZ-normalized'!$A:$A, 0))-INDEX('UZ-normalized'!$E:$E, MATCH($A157, 'UZ-normalized'!$A:$A, 0))), 0), 0)))</f>
        <v>0</v>
      </c>
      <c r="Q157" s="6">
        <f>MIN(0, N157+(IFERROR(IF(3*INDEX('UA-normalized'!$D:$D, MATCH($A157, 'UA-normalized'!$A:$A, 0))-INDEX('UA-normalized'!$E:$E, MATCH($A157, 'UA-normalized'!$A:$A, 0))&gt;0, -(3*INDEX('UA-normalized'!$D:$D, MATCH($A157, 'UA-normalized'!$A:$A, 0))-INDEX('UA-normalized'!$E:$E, MATCH($A157, 'UA-normalized'!$A:$A, 0))), 0), 0))+(IFERROR(IF(3*INDEX('KZ-normalized'!$D:$D, MATCH($A157, 'KZ-normalized'!$A:$A, 0))-INDEX('KZ-normalized'!$E:$E, MATCH($A157, 'KZ-normalized'!$A:$A, 0))&gt;0, -(3*INDEX('KZ-normalized'!$D:$D, MATCH($A157, 'KZ-normalized'!$A:$A, 0))-INDEX('KZ-normalized'!$E:$E, MATCH($A157, 'KZ-normalized'!$A:$A, 0))), 0), 0))+(IFERROR(IF(3*INDEX('UZ-normalized'!$D:$D, MATCH($A157, 'UZ-normalized'!$A:$A, 0))-INDEX('UZ-normalized'!$E:$E, MATCH($A157, 'UZ-normalized'!$A:$A, 0))&gt;0, -(3*INDEX('UZ-normalized'!$D:$D, MATCH($A157, 'UZ-normalized'!$A:$A, 0))-INDEX('UZ-normalized'!$E:$E, MATCH($A157, 'UZ-normalized'!$A:$A, 0))), 0), 0)))</f>
        <v>0</v>
      </c>
      <c r="R157" s="6">
        <f>MIN(0, N157+(IFERROR(IF(4*INDEX('UA-normalized'!$D:$D, MATCH($A157, 'UA-normalized'!$A:$A, 0))-INDEX('UA-normalized'!$E:$E, MATCH($A157, 'UA-normalized'!$A:$A, 0))&gt;0, -(4*INDEX('UA-normalized'!$D:$D, MATCH($A157, 'UA-normalized'!$A:$A, 0))-INDEX('UA-normalized'!$E:$E, MATCH($A157, 'UA-normalized'!$A:$A, 0))), 0), 0))+(IFERROR(IF(4*INDEX('KZ-normalized'!$D:$D, MATCH($A157, 'KZ-normalized'!$A:$A, 0))-INDEX('KZ-normalized'!$E:$E, MATCH($A157, 'KZ-normalized'!$A:$A, 0))&gt;0, -(4*INDEX('KZ-normalized'!$D:$D, MATCH($A157, 'KZ-normalized'!$A:$A, 0))-INDEX('KZ-normalized'!$E:$E, MATCH($A157, 'KZ-normalized'!$A:$A, 0))), 0), 0))+(IFERROR(IF(4*INDEX('UZ-normalized'!$D:$D, MATCH($A157, 'UZ-normalized'!$A:$A, 0))-INDEX('UZ-normalized'!$E:$E, MATCH($A157, 'UZ-normalized'!$A:$A, 0))&gt;0, -(4*INDEX('UZ-normalized'!$D:$D, MATCH($A157, 'UZ-normalized'!$A:$A, 0))-INDEX('UZ-normalized'!$E:$E, MATCH($A157, 'UZ-normalized'!$A:$A, 0))), 0), 0)))</f>
        <v>0</v>
      </c>
      <c r="S157" s="6">
        <f>MIN(0, N157+(IFERROR(IF(5*INDEX('UA-normalized'!$D:$D, MATCH($A157, 'UA-normalized'!$A:$A, 0))-INDEX('UA-normalized'!$E:$E, MATCH($A157, 'UA-normalized'!$A:$A, 0))&gt;0, -(5*INDEX('UA-normalized'!$D:$D, MATCH($A157, 'UA-normalized'!$A:$A, 0))-INDEX('UA-normalized'!$E:$E, MATCH($A157, 'UA-normalized'!$A:$A, 0))), 0), 0))+(IFERROR(IF(5*INDEX('KZ-normalized'!$D:$D, MATCH($A157, 'KZ-normalized'!$A:$A, 0))-INDEX('KZ-normalized'!$E:$E, MATCH($A157, 'KZ-normalized'!$A:$A, 0))&gt;0, -(5*INDEX('KZ-normalized'!$D:$D, MATCH($A157, 'KZ-normalized'!$A:$A, 0))-INDEX('KZ-normalized'!$E:$E, MATCH($A157, 'KZ-normalized'!$A:$A, 0))), 0), 0))+(IFERROR(IF(5*INDEX('UZ-normalized'!$D:$D, MATCH($A157, 'UZ-normalized'!$A:$A, 0))-INDEX('UZ-normalized'!$E:$E, MATCH($A157, 'UZ-normalized'!$A:$A, 0))&gt;0, -(5*INDEX('UZ-normalized'!$D:$D, MATCH($A157, 'UZ-normalized'!$A:$A, 0))-INDEX('UZ-normalized'!$E:$E, MATCH($A157, 'UZ-normalized'!$A:$A, 0))), 0), 0)))</f>
        <v>0</v>
      </c>
      <c r="T157" s="6">
        <f>MIN(0, N157+(IFERROR(IF(6*INDEX('UA-normalized'!$D:$D, MATCH($A157, 'UA-normalized'!$A:$A, 0))-INDEX('UA-normalized'!$E:$E, MATCH($A157, 'UA-normalized'!$A:$A, 0))&gt;0, -(6*INDEX('UA-normalized'!$D:$D, MATCH($A157, 'UA-normalized'!$A:$A, 0))-INDEX('UA-normalized'!$E:$E, MATCH($A157, 'UA-normalized'!$A:$A, 0))), 0), 0))+(IFERROR(IF(6*INDEX('KZ-normalized'!$D:$D, MATCH($A157, 'KZ-normalized'!$A:$A, 0))-INDEX('KZ-normalized'!$E:$E, MATCH($A157, 'KZ-normalized'!$A:$A, 0))&gt;0, -(6*INDEX('KZ-normalized'!$D:$D, MATCH($A157, 'KZ-normalized'!$A:$A, 0))-INDEX('KZ-normalized'!$E:$E, MATCH($A157, 'KZ-normalized'!$A:$A, 0))), 0), 0))+(IFERROR(IF(6*INDEX('UZ-normalized'!$D:$D, MATCH($A157, 'UZ-normalized'!$A:$A, 0))-INDEX('UZ-normalized'!$E:$E, MATCH($A157, 'UZ-normalized'!$A:$A, 0))&gt;0, -(6*INDEX('UZ-normalized'!$D:$D, MATCH($A157, 'UZ-normalized'!$A:$A, 0))-INDEX('UZ-normalized'!$E:$E, MATCH($A157, 'UZ-normalized'!$A:$A, 0))), 0), 0)))</f>
        <v>0</v>
      </c>
      <c r="U157" s="6">
        <f>MIN(0, N157+(IFERROR(IF(7*INDEX('UA-normalized'!$D:$D, MATCH($A157, 'UA-normalized'!$A:$A, 0))-INDEX('UA-normalized'!$E:$E, MATCH($A157, 'UA-normalized'!$A:$A, 0))&gt;0, -(7*INDEX('UA-normalized'!$D:$D, MATCH($A157, 'UA-normalized'!$A:$A, 0))-INDEX('UA-normalized'!$E:$E, MATCH($A157, 'UA-normalized'!$A:$A, 0))), 0), 0))+(IFERROR(IF(7*INDEX('KZ-normalized'!$D:$D, MATCH($A157, 'KZ-normalized'!$A:$A, 0))-INDEX('KZ-normalized'!$E:$E, MATCH($A157, 'KZ-normalized'!$A:$A, 0))&gt;0, -(7*INDEX('KZ-normalized'!$D:$D, MATCH($A157, 'KZ-normalized'!$A:$A, 0))-INDEX('KZ-normalized'!$E:$E, MATCH($A157, 'KZ-normalized'!$A:$A, 0))), 0), 0))+(IFERROR(IF(7*INDEX('UZ-normalized'!$D:$D, MATCH($A157, 'UZ-normalized'!$A:$A, 0))-INDEX('UZ-normalized'!$E:$E, MATCH($A157, 'UZ-normalized'!$A:$A, 0))&gt;0, -(7*INDEX('UZ-normalized'!$D:$D, MATCH($A157, 'UZ-normalized'!$A:$A, 0))-INDEX('UZ-normalized'!$E:$E, MATCH($A157, 'UZ-normalized'!$A:$A, 0))), 0), 0)))</f>
        <v>0</v>
      </c>
      <c r="V157" s="6">
        <f>MIN(0, N157+(IFERROR(IF(8*INDEX('UA-normalized'!$D:$D, MATCH($A157, 'UA-normalized'!$A:$A, 0))-INDEX('UA-normalized'!$E:$E, MATCH($A157, 'UA-normalized'!$A:$A, 0))&gt;0, -(8*INDEX('UA-normalized'!$D:$D, MATCH($A157, 'UA-normalized'!$A:$A, 0))-INDEX('UA-normalized'!$E:$E, MATCH($A157, 'UA-normalized'!$A:$A, 0))), 0), 0))+(IFERROR(IF(8*INDEX('KZ-normalized'!$D:$D, MATCH($A157, 'KZ-normalized'!$A:$A, 0))-INDEX('KZ-normalized'!$E:$E, MATCH($A157, 'KZ-normalized'!$A:$A, 0))&gt;0, -(8*INDEX('KZ-normalized'!$D:$D, MATCH($A157, 'KZ-normalized'!$A:$A, 0))-INDEX('KZ-normalized'!$E:$E, MATCH($A157, 'KZ-normalized'!$A:$A, 0))), 0), 0))+(IFERROR(IF(8*INDEX('UZ-normalized'!$D:$D, MATCH($A157, 'UZ-normalized'!$A:$A, 0))-INDEX('UZ-normalized'!$E:$E, MATCH($A157, 'UZ-normalized'!$A:$A, 0))&gt;0, -(8*INDEX('UZ-normalized'!$D:$D, MATCH($A157, 'UZ-normalized'!$A:$A, 0))-INDEX('UZ-normalized'!$E:$E, MATCH($A157, 'UZ-normalized'!$A:$A, 0))), 0), 0)))</f>
        <v>0</v>
      </c>
      <c r="W157" s="6">
        <f>MIN(0, N157+(IFERROR(IF(9*INDEX('UA-normalized'!$D:$D, MATCH($A157, 'UA-normalized'!$A:$A, 0))-INDEX('UA-normalized'!$E:$E, MATCH($A157, 'UA-normalized'!$A:$A, 0))&gt;0, -(9*INDEX('UA-normalized'!$D:$D, MATCH($A157, 'UA-normalized'!$A:$A, 0))-INDEX('UA-normalized'!$E:$E, MATCH($A157, 'UA-normalized'!$A:$A, 0))), 0), 0))+(IFERROR(IF(9*INDEX('KZ-normalized'!$D:$D, MATCH($A157, 'KZ-normalized'!$A:$A, 0))-INDEX('KZ-normalized'!$E:$E, MATCH($A157, 'KZ-normalized'!$A:$A, 0))&gt;0, -(9*INDEX('KZ-normalized'!$D:$D, MATCH($A157, 'KZ-normalized'!$A:$A, 0))-INDEX('KZ-normalized'!$E:$E, MATCH($A157, 'KZ-normalized'!$A:$A, 0))), 0), 0))+(IFERROR(IF(9*INDEX('UZ-normalized'!$D:$D, MATCH($A157, 'UZ-normalized'!$A:$A, 0))-INDEX('UZ-normalized'!$E:$E, MATCH($A157, 'UZ-normalized'!$A:$A, 0))&gt;0, -(9*INDEX('UZ-normalized'!$D:$D, MATCH($A157, 'UZ-normalized'!$A:$A, 0))-INDEX('UZ-normalized'!$E:$E, MATCH($A157, 'UZ-normalized'!$A:$A, 0))), 0), 0)))</f>
        <v>0</v>
      </c>
      <c r="X157" s="6">
        <f>MIN(0, N157+(IFERROR(IF(10*INDEX('UA-normalized'!$D:$D, MATCH($A157, 'UA-normalized'!$A:$A, 0))-INDEX('UA-normalized'!$E:$E, MATCH($A157, 'UA-normalized'!$A:$A, 0))&gt;0, -(10*INDEX('UA-normalized'!$D:$D, MATCH($A157, 'UA-normalized'!$A:$A, 0))-INDEX('UA-normalized'!$E:$E, MATCH($A157, 'UA-normalized'!$A:$A, 0))), 0), 0))+(IFERROR(IF(10*INDEX('KZ-normalized'!$D:$D, MATCH($A157, 'KZ-normalized'!$A:$A, 0))-INDEX('KZ-normalized'!$E:$E, MATCH($A157, 'KZ-normalized'!$A:$A, 0))&gt;0, -(10*INDEX('KZ-normalized'!$D:$D, MATCH($A157, 'KZ-normalized'!$A:$A, 0))-INDEX('KZ-normalized'!$E:$E, MATCH($A157, 'KZ-normalized'!$A:$A, 0))), 0), 0))+(IFERROR(IF(10*INDEX('UZ-normalized'!$D:$D, MATCH($A157, 'UZ-normalized'!$A:$A, 0))-INDEX('UZ-normalized'!$E:$E, MATCH($A157, 'UZ-normalized'!$A:$A, 0))&gt;0, -(10*INDEX('UZ-normalized'!$D:$D, MATCH($A157, 'UZ-normalized'!$A:$A, 0))-INDEX('UZ-normalized'!$E:$E, MATCH($A157, 'UZ-normalized'!$A:$A, 0))), 0), 0)))</f>
        <v>0</v>
      </c>
      <c r="Y157" s="6">
        <f>MIN(0, N157+(IFERROR(IF(11*INDEX('UA-normalized'!$D:$D, MATCH($A157, 'UA-normalized'!$A:$A, 0))-INDEX('UA-normalized'!$E:$E, MATCH($A157, 'UA-normalized'!$A:$A, 0))&gt;0, -(11*INDEX('UA-normalized'!$D:$D, MATCH($A157, 'UA-normalized'!$A:$A, 0))-INDEX('UA-normalized'!$E:$E, MATCH($A157, 'UA-normalized'!$A:$A, 0))), 0), 0))+(IFERROR(IF(11*INDEX('KZ-normalized'!$D:$D, MATCH($A157, 'KZ-normalized'!$A:$A, 0))-INDEX('KZ-normalized'!$E:$E, MATCH($A157, 'KZ-normalized'!$A:$A, 0))&gt;0, -(11*INDEX('KZ-normalized'!$D:$D, MATCH($A157, 'KZ-normalized'!$A:$A, 0))-INDEX('KZ-normalized'!$E:$E, MATCH($A157, 'KZ-normalized'!$A:$A, 0))), 0), 0))+(IFERROR(IF(11*INDEX('UZ-normalized'!$D:$D, MATCH($A157, 'UZ-normalized'!$A:$A, 0))-INDEX('UZ-normalized'!$E:$E, MATCH($A157, 'UZ-normalized'!$A:$A, 0))&gt;0, -(11*INDEX('UZ-normalized'!$D:$D, MATCH($A157, 'UZ-normalized'!$A:$A, 0))-INDEX('UZ-normalized'!$E:$E, MATCH($A157, 'UZ-normalized'!$A:$A, 0))), 0), 0)))</f>
        <v>0</v>
      </c>
      <c r="Z157" s="6">
        <f>MIN(0, N157+(IFERROR(IF(12*INDEX('UA-normalized'!$D:$D, MATCH($A157, 'UA-normalized'!$A:$A, 0))-INDEX('UA-normalized'!$E:$E, MATCH($A157, 'UA-normalized'!$A:$A, 0))&gt;0, -(12*INDEX('UA-normalized'!$D:$D, MATCH($A157, 'UA-normalized'!$A:$A, 0))-INDEX('UA-normalized'!$E:$E, MATCH($A157, 'UA-normalized'!$A:$A, 0))), 0), 0))+(IFERROR(IF(12*INDEX('KZ-normalized'!$D:$D, MATCH($A157, 'KZ-normalized'!$A:$A, 0))-INDEX('KZ-normalized'!$E:$E, MATCH($A157, 'KZ-normalized'!$A:$A, 0))&gt;0, -(12*INDEX('KZ-normalized'!$D:$D, MATCH($A157, 'KZ-normalized'!$A:$A, 0))-INDEX('KZ-normalized'!$E:$E, MATCH($A157, 'KZ-normalized'!$A:$A, 0))), 0), 0))+(IFERROR(IF(12*INDEX('UZ-normalized'!$D:$D, MATCH($A157, 'UZ-normalized'!$A:$A, 0))-INDEX('UZ-normalized'!$E:$E, MATCH($A157, 'UZ-normalized'!$A:$A, 0))&gt;0, -(12*INDEX('UZ-normalized'!$D:$D, MATCH($A157, 'UZ-normalized'!$A:$A, 0))-INDEX('UZ-normalized'!$E:$E, MATCH($A157, 'UZ-normalized'!$A:$A, 0))), 0), 0)))</f>
        <v>0</v>
      </c>
      <c r="AA157" s="6">
        <f>MIN(0, N157+(IFERROR(IF(13*INDEX('UA-normalized'!$D:$D, MATCH($A157, 'UA-normalized'!$A:$A, 0))-INDEX('UA-normalized'!$E:$E, MATCH($A157, 'UA-normalized'!$A:$A, 0))&gt;0, -(13*INDEX('UA-normalized'!$D:$D, MATCH($A157, 'UA-normalized'!$A:$A, 0))-INDEX('UA-normalized'!$E:$E, MATCH($A157, 'UA-normalized'!$A:$A, 0))), 0), 0))+(IFERROR(IF(13*INDEX('KZ-normalized'!$D:$D, MATCH($A157, 'KZ-normalized'!$A:$A, 0))-INDEX('KZ-normalized'!$E:$E, MATCH($A157, 'KZ-normalized'!$A:$A, 0))&gt;0, -(13*INDEX('KZ-normalized'!$D:$D, MATCH($A157, 'KZ-normalized'!$A:$A, 0))-INDEX('KZ-normalized'!$E:$E, MATCH($A157, 'KZ-normalized'!$A:$A, 0))), 0), 0))+(IFERROR(IF(13*INDEX('UZ-normalized'!$D:$D, MATCH($A157, 'UZ-normalized'!$A:$A, 0))-INDEX('UZ-normalized'!$E:$E, MATCH($A157, 'UZ-normalized'!$A:$A, 0))&gt;0, -(13*INDEX('UZ-normalized'!$D:$D, MATCH($A157, 'UZ-normalized'!$A:$A, 0))-INDEX('UZ-normalized'!$E:$E, MATCH($A157, 'UZ-normalized'!$A:$A, 0))), 0), 0)))</f>
        <v>0</v>
      </c>
      <c r="AB157" s="6">
        <f>MIN(0, N157+(IFERROR(IF(14*INDEX('UA-normalized'!$D:$D, MATCH($A157, 'UA-normalized'!$A:$A, 0))-INDEX('UA-normalized'!$E:$E, MATCH($A157, 'UA-normalized'!$A:$A, 0))&gt;0, -(14*INDEX('UA-normalized'!$D:$D, MATCH($A157, 'UA-normalized'!$A:$A, 0))-INDEX('UA-normalized'!$E:$E, MATCH($A157, 'UA-normalized'!$A:$A, 0))), 0), 0))+(IFERROR(IF(14*INDEX('KZ-normalized'!$D:$D, MATCH($A157, 'KZ-normalized'!$A:$A, 0))-INDEX('KZ-normalized'!$E:$E, MATCH($A157, 'KZ-normalized'!$A:$A, 0))&gt;0, -(14*INDEX('KZ-normalized'!$D:$D, MATCH($A157, 'KZ-normalized'!$A:$A, 0))-INDEX('KZ-normalized'!$E:$E, MATCH($A157, 'KZ-normalized'!$A:$A, 0))), 0), 0))+(IFERROR(IF(14*INDEX('UZ-normalized'!$D:$D, MATCH($A157, 'UZ-normalized'!$A:$A, 0))-INDEX('UZ-normalized'!$E:$E, MATCH($A157, 'UZ-normalized'!$A:$A, 0))&gt;0, -(14*INDEX('UZ-normalized'!$D:$D, MATCH($A157, 'UZ-normalized'!$A:$A, 0))-INDEX('UZ-normalized'!$E:$E, MATCH($A157, 'UZ-normalized'!$A:$A, 0))), 0), 0)))</f>
        <v>0</v>
      </c>
      <c r="AC157" s="6">
        <f>MIN(0, N157+(IFERROR(IF(15*INDEX('UA-normalized'!$D:$D, MATCH($A157, 'UA-normalized'!$A:$A, 0))-INDEX('UA-normalized'!$E:$E, MATCH($A157, 'UA-normalized'!$A:$A, 0))&gt;0, -(15*INDEX('UA-normalized'!$D:$D, MATCH($A157, 'UA-normalized'!$A:$A, 0))-INDEX('UA-normalized'!$E:$E, MATCH($A157, 'UA-normalized'!$A:$A, 0))), 0), 0))+(IFERROR(IF(15*INDEX('KZ-normalized'!$D:$D, MATCH($A157, 'KZ-normalized'!$A:$A, 0))-INDEX('KZ-normalized'!$E:$E, MATCH($A157, 'KZ-normalized'!$A:$A, 0))&gt;0, -(15*INDEX('KZ-normalized'!$D:$D, MATCH($A157, 'KZ-normalized'!$A:$A, 0))-INDEX('KZ-normalized'!$E:$E, MATCH($A157, 'KZ-normalized'!$A:$A, 0))), 0), 0))+(IFERROR(IF(15*INDEX('UZ-normalized'!$D:$D, MATCH($A157, 'UZ-normalized'!$A:$A, 0))-INDEX('UZ-normalized'!$E:$E, MATCH($A157, 'UZ-normalized'!$A:$A, 0))&gt;0, -(15*INDEX('UZ-normalized'!$D:$D, MATCH($A157, 'UZ-normalized'!$A:$A, 0))-INDEX('UZ-normalized'!$E:$E, MATCH($A157, 'UZ-normalized'!$A:$A, 0))), 0), 0)))</f>
        <v>0</v>
      </c>
      <c r="AD157" s="6">
        <f>MIN(0, N157+(IFERROR(IF(16*INDEX('UA-normalized'!$D:$D, MATCH($A157, 'UA-normalized'!$A:$A, 0))-INDEX('UA-normalized'!$E:$E, MATCH($A157, 'UA-normalized'!$A:$A, 0))&gt;0, -(16*INDEX('UA-normalized'!$D:$D, MATCH($A157, 'UA-normalized'!$A:$A, 0))-INDEX('UA-normalized'!$E:$E, MATCH($A157, 'UA-normalized'!$A:$A, 0))), 0), 0))+(IFERROR(IF(16*INDEX('KZ-normalized'!$D:$D, MATCH($A157, 'KZ-normalized'!$A:$A, 0))-INDEX('KZ-normalized'!$E:$E, MATCH($A157, 'KZ-normalized'!$A:$A, 0))&gt;0, -(16*INDEX('KZ-normalized'!$D:$D, MATCH($A157, 'KZ-normalized'!$A:$A, 0))-INDEX('KZ-normalized'!$E:$E, MATCH($A157, 'KZ-normalized'!$A:$A, 0))), 0), 0))+(IFERROR(IF(16*INDEX('UZ-normalized'!$D:$D, MATCH($A157, 'UZ-normalized'!$A:$A, 0))-INDEX('UZ-normalized'!$E:$E, MATCH($A157, 'UZ-normalized'!$A:$A, 0))&gt;0, -(16*INDEX('UZ-normalized'!$D:$D, MATCH($A157, 'UZ-normalized'!$A:$A, 0))-INDEX('UZ-normalized'!$E:$E, MATCH($A157, 'UZ-normalized'!$A:$A, 0))), 0), 0)))</f>
        <v>0</v>
      </c>
      <c r="AE157" s="6">
        <f>MIN(0, N157+(IFERROR(IF(17*INDEX('UA-normalized'!$D:$D, MATCH($A157, 'UA-normalized'!$A:$A, 0))-INDEX('UA-normalized'!$E:$E, MATCH($A157, 'UA-normalized'!$A:$A, 0))&gt;0, -(17*INDEX('UA-normalized'!$D:$D, MATCH($A157, 'UA-normalized'!$A:$A, 0))-INDEX('UA-normalized'!$E:$E, MATCH($A157, 'UA-normalized'!$A:$A, 0))), 0), 0))+(IFERROR(IF(17*INDEX('KZ-normalized'!$D:$D, MATCH($A157, 'KZ-normalized'!$A:$A, 0))-INDEX('KZ-normalized'!$E:$E, MATCH($A157, 'KZ-normalized'!$A:$A, 0))&gt;0, -(17*INDEX('KZ-normalized'!$D:$D, MATCH($A157, 'KZ-normalized'!$A:$A, 0))-INDEX('KZ-normalized'!$E:$E, MATCH($A157, 'KZ-normalized'!$A:$A, 0))), 0), 0))+(IFERROR(IF(17*INDEX('UZ-normalized'!$D:$D, MATCH($A157, 'UZ-normalized'!$A:$A, 0))-INDEX('UZ-normalized'!$E:$E, MATCH($A157, 'UZ-normalized'!$A:$A, 0))&gt;0, -(17*INDEX('UZ-normalized'!$D:$D, MATCH($A157, 'UZ-normalized'!$A:$A, 0))-INDEX('UZ-normalized'!$E:$E, MATCH($A157, 'UZ-normalized'!$A:$A, 0))), 0), 0)))</f>
        <v>0</v>
      </c>
      <c r="AF157" s="6">
        <f>MIN(0, N157+(IFERROR(IF(18*INDEX('UA-normalized'!$D:$D, MATCH($A157, 'UA-normalized'!$A:$A, 0))-INDEX('UA-normalized'!$E:$E, MATCH($A157, 'UA-normalized'!$A:$A, 0))&gt;0, -(18*INDEX('UA-normalized'!$D:$D, MATCH($A157, 'UA-normalized'!$A:$A, 0))-INDEX('UA-normalized'!$E:$E, MATCH($A157, 'UA-normalized'!$A:$A, 0))), 0), 0))+(IFERROR(IF(18*INDEX('KZ-normalized'!$D:$D, MATCH($A157, 'KZ-normalized'!$A:$A, 0))-INDEX('KZ-normalized'!$E:$E, MATCH($A157, 'KZ-normalized'!$A:$A, 0))&gt;0, -(18*INDEX('KZ-normalized'!$D:$D, MATCH($A157, 'KZ-normalized'!$A:$A, 0))-INDEX('KZ-normalized'!$E:$E, MATCH($A157, 'KZ-normalized'!$A:$A, 0))), 0), 0))+(IFERROR(IF(18*INDEX('UZ-normalized'!$D:$D, MATCH($A157, 'UZ-normalized'!$A:$A, 0))-INDEX('UZ-normalized'!$E:$E, MATCH($A157, 'UZ-normalized'!$A:$A, 0))&gt;0, -(18*INDEX('UZ-normalized'!$D:$D, MATCH($A157, 'UZ-normalized'!$A:$A, 0))-INDEX('UZ-normalized'!$E:$E, MATCH($A157, 'UZ-normalized'!$A:$A, 0))), 0), 0)))</f>
        <v>0</v>
      </c>
      <c r="AG157" s="6">
        <f>MIN(0, N157+(IFERROR(IF(19*INDEX('UA-normalized'!$D:$D, MATCH($A157, 'UA-normalized'!$A:$A, 0))-INDEX('UA-normalized'!$E:$E, MATCH($A157, 'UA-normalized'!$A:$A, 0))&gt;0, -(19*INDEX('UA-normalized'!$D:$D, MATCH($A157, 'UA-normalized'!$A:$A, 0))-INDEX('UA-normalized'!$E:$E, MATCH($A157, 'UA-normalized'!$A:$A, 0))), 0), 0))+(IFERROR(IF(19*INDEX('KZ-normalized'!$D:$D, MATCH($A157, 'KZ-normalized'!$A:$A, 0))-INDEX('KZ-normalized'!$E:$E, MATCH($A157, 'KZ-normalized'!$A:$A, 0))&gt;0, -(19*INDEX('KZ-normalized'!$D:$D, MATCH($A157, 'KZ-normalized'!$A:$A, 0))-INDEX('KZ-normalized'!$E:$E, MATCH($A157, 'KZ-normalized'!$A:$A, 0))), 0), 0))+(IFERROR(IF(19*INDEX('UZ-normalized'!$D:$D, MATCH($A157, 'UZ-normalized'!$A:$A, 0))-INDEX('UZ-normalized'!$E:$E, MATCH($A157, 'UZ-normalized'!$A:$A, 0))&gt;0, -(19*INDEX('UZ-normalized'!$D:$D, MATCH($A157, 'UZ-normalized'!$A:$A, 0))-INDEX('UZ-normalized'!$E:$E, MATCH($A157, 'UZ-normalized'!$A:$A, 0))), 0), 0)))</f>
        <v>0</v>
      </c>
      <c r="AH157" s="6">
        <f>MIN(0, N157+(IFERROR(IF(20*INDEX('UA-normalized'!$D:$D, MATCH($A157, 'UA-normalized'!$A:$A, 0))-INDEX('UA-normalized'!$E:$E, MATCH($A157, 'UA-normalized'!$A:$A, 0))&gt;0, -(20*INDEX('UA-normalized'!$D:$D, MATCH($A157, 'UA-normalized'!$A:$A, 0))-INDEX('UA-normalized'!$E:$E, MATCH($A157, 'UA-normalized'!$A:$A, 0))), 0), 0))+(IFERROR(IF(20*INDEX('KZ-normalized'!$D:$D, MATCH($A157, 'KZ-normalized'!$A:$A, 0))-INDEX('KZ-normalized'!$E:$E, MATCH($A157, 'KZ-normalized'!$A:$A, 0))&gt;0, -(20*INDEX('KZ-normalized'!$D:$D, MATCH($A157, 'KZ-normalized'!$A:$A, 0))-INDEX('KZ-normalized'!$E:$E, MATCH($A157, 'KZ-normalized'!$A:$A, 0))), 0), 0))+(IFERROR(IF(20*INDEX('UZ-normalized'!$D:$D, MATCH($A157, 'UZ-normalized'!$A:$A, 0))-INDEX('UZ-normalized'!$E:$E, MATCH($A157, 'UZ-normalized'!$A:$A, 0))&gt;0, -(20*INDEX('UZ-normalized'!$D:$D, MATCH($A157, 'UZ-normalized'!$A:$A, 0))-INDEX('UZ-normalized'!$E:$E, MATCH($A157, 'UZ-normalized'!$A:$A, 0))), 0), 0)))</f>
        <v>0</v>
      </c>
      <c r="AI157" s="6">
        <f>MIN(0, N157+(IFERROR(IF(21*INDEX('UA-normalized'!$D:$D, MATCH($A157, 'UA-normalized'!$A:$A, 0))-INDEX('UA-normalized'!$E:$E, MATCH($A157, 'UA-normalized'!$A:$A, 0))&gt;0, -(21*INDEX('UA-normalized'!$D:$D, MATCH($A157, 'UA-normalized'!$A:$A, 0))-INDEX('UA-normalized'!$E:$E, MATCH($A157, 'UA-normalized'!$A:$A, 0))), 0), 0))+(IFERROR(IF(21*INDEX('KZ-normalized'!$D:$D, MATCH($A157, 'KZ-normalized'!$A:$A, 0))-INDEX('KZ-normalized'!$E:$E, MATCH($A157, 'KZ-normalized'!$A:$A, 0))&gt;0, -(21*INDEX('KZ-normalized'!$D:$D, MATCH($A157, 'KZ-normalized'!$A:$A, 0))-INDEX('KZ-normalized'!$E:$E, MATCH($A157, 'KZ-normalized'!$A:$A, 0))), 0), 0))+(IFERROR(IF(21*INDEX('UZ-normalized'!$D:$D, MATCH($A157, 'UZ-normalized'!$A:$A, 0))-INDEX('UZ-normalized'!$E:$E, MATCH($A157, 'UZ-normalized'!$A:$A, 0))&gt;0, -(21*INDEX('UZ-normalized'!$D:$D, MATCH($A157, 'UZ-normalized'!$A:$A, 0))-INDEX('UZ-normalized'!$E:$E, MATCH($A157, 'UZ-normalized'!$A:$A, 0))), 0), 0)))</f>
        <v>0</v>
      </c>
      <c r="AJ157" s="6">
        <f>MIN(0, N157+(IFERROR(IF(22*INDEX('UA-normalized'!$D:$D, MATCH($A157, 'UA-normalized'!$A:$A, 0))-INDEX('UA-normalized'!$E:$E, MATCH($A157, 'UA-normalized'!$A:$A, 0))&gt;0, -(22*INDEX('UA-normalized'!$D:$D, MATCH($A157, 'UA-normalized'!$A:$A, 0))-INDEX('UA-normalized'!$E:$E, MATCH($A157, 'UA-normalized'!$A:$A, 0))), 0), 0))+(IFERROR(IF(22*INDEX('KZ-normalized'!$D:$D, MATCH($A157, 'KZ-normalized'!$A:$A, 0))-INDEX('KZ-normalized'!$E:$E, MATCH($A157, 'KZ-normalized'!$A:$A, 0))&gt;0, -(22*INDEX('KZ-normalized'!$D:$D, MATCH($A157, 'KZ-normalized'!$A:$A, 0))-INDEX('KZ-normalized'!$E:$E, MATCH($A157, 'KZ-normalized'!$A:$A, 0))), 0), 0))+(IFERROR(IF(22*INDEX('UZ-normalized'!$D:$D, MATCH($A157, 'UZ-normalized'!$A:$A, 0))-INDEX('UZ-normalized'!$E:$E, MATCH($A157, 'UZ-normalized'!$A:$A, 0))&gt;0, -(22*INDEX('UZ-normalized'!$D:$D, MATCH($A157, 'UZ-normalized'!$A:$A, 0))-INDEX('UZ-normalized'!$E:$E, MATCH($A157, 'UZ-normalized'!$A:$A, 0))), 0), 0)))</f>
        <v>0</v>
      </c>
      <c r="AK157" s="6">
        <f>MIN(0, N157+(IFERROR(IF(23*INDEX('UA-normalized'!$D:$D, MATCH($A157, 'UA-normalized'!$A:$A, 0))-INDEX('UA-normalized'!$E:$E, MATCH($A157, 'UA-normalized'!$A:$A, 0))&gt;0, -(23*INDEX('UA-normalized'!$D:$D, MATCH($A157, 'UA-normalized'!$A:$A, 0))-INDEX('UA-normalized'!$E:$E, MATCH($A157, 'UA-normalized'!$A:$A, 0))), 0), 0))+(IFERROR(IF(23*INDEX('KZ-normalized'!$D:$D, MATCH($A157, 'KZ-normalized'!$A:$A, 0))-INDEX('KZ-normalized'!$E:$E, MATCH($A157, 'KZ-normalized'!$A:$A, 0))&gt;0, -(23*INDEX('KZ-normalized'!$D:$D, MATCH($A157, 'KZ-normalized'!$A:$A, 0))-INDEX('KZ-normalized'!$E:$E, MATCH($A157, 'KZ-normalized'!$A:$A, 0))), 0), 0))+(IFERROR(IF(23*INDEX('UZ-normalized'!$D:$D, MATCH($A157, 'UZ-normalized'!$A:$A, 0))-INDEX('UZ-normalized'!$E:$E, MATCH($A157, 'UZ-normalized'!$A:$A, 0))&gt;0, -(23*INDEX('UZ-normalized'!$D:$D, MATCH($A157, 'UZ-normalized'!$A:$A, 0))-INDEX('UZ-normalized'!$E:$E, MATCH($A157, 'UZ-normalized'!$A:$A, 0))), 0), 0)))</f>
        <v>0</v>
      </c>
      <c r="AL157" s="6">
        <f>MIN(0, N157+(IFERROR(IF(24*INDEX('UA-normalized'!$D:$D, MATCH($A157, 'UA-normalized'!$A:$A, 0))-INDEX('UA-normalized'!$E:$E, MATCH($A157, 'UA-normalized'!$A:$A, 0))&gt;0, -(24*INDEX('UA-normalized'!$D:$D, MATCH($A157, 'UA-normalized'!$A:$A, 0))-INDEX('UA-normalized'!$E:$E, MATCH($A157, 'UA-normalized'!$A:$A, 0))), 0), 0))+(IFERROR(IF(24*INDEX('KZ-normalized'!$D:$D, MATCH($A157, 'KZ-normalized'!$A:$A, 0))-INDEX('KZ-normalized'!$E:$E, MATCH($A157, 'KZ-normalized'!$A:$A, 0))&gt;0, -(24*INDEX('KZ-normalized'!$D:$D, MATCH($A157, 'KZ-normalized'!$A:$A, 0))-INDEX('KZ-normalized'!$E:$E, MATCH($A157, 'KZ-normalized'!$A:$A, 0))), 0), 0))+(IFERROR(IF(24*INDEX('UZ-normalized'!$D:$D, MATCH($A157, 'UZ-normalized'!$A:$A, 0))-INDEX('UZ-normalized'!$E:$E, MATCH($A157, 'UZ-normalized'!$A:$A, 0))&gt;0, -(24*INDEX('UZ-normalized'!$D:$D, MATCH($A157, 'UZ-normalized'!$A:$A, 0))-INDEX('UZ-normalized'!$E:$E, MATCH($A157, 'UZ-normalized'!$A:$A, 0))), 0), 0)))</f>
        <v>-4</v>
      </c>
      <c r="AM157" s="6">
        <f>MIN(0, N157+(IFERROR(IF(25*INDEX('UA-normalized'!$D:$D, MATCH($A157, 'UA-normalized'!$A:$A, 0))-INDEX('UA-normalized'!$E:$E, MATCH($A157, 'UA-normalized'!$A:$A, 0))&gt;0, -(25*INDEX('UA-normalized'!$D:$D, MATCH($A157, 'UA-normalized'!$A:$A, 0))-INDEX('UA-normalized'!$E:$E, MATCH($A157, 'UA-normalized'!$A:$A, 0))), 0), 0))+(IFERROR(IF(25*INDEX('KZ-normalized'!$D:$D, MATCH($A157, 'KZ-normalized'!$A:$A, 0))-INDEX('KZ-normalized'!$E:$E, MATCH($A157, 'KZ-normalized'!$A:$A, 0))&gt;0, -(25*INDEX('KZ-normalized'!$D:$D, MATCH($A157, 'KZ-normalized'!$A:$A, 0))-INDEX('KZ-normalized'!$E:$E, MATCH($A157, 'KZ-normalized'!$A:$A, 0))), 0), 0))+(IFERROR(IF(25*INDEX('UZ-normalized'!$D:$D, MATCH($A157, 'UZ-normalized'!$A:$A, 0))-INDEX('UZ-normalized'!$E:$E, MATCH($A157, 'UZ-normalized'!$A:$A, 0))&gt;0, -(25*INDEX('UZ-normalized'!$D:$D, MATCH($A157, 'UZ-normalized'!$A:$A, 0))-INDEX('UZ-normalized'!$E:$E, MATCH($A157, 'UZ-normalized'!$A:$A, 0))), 0), 0)))</f>
        <v>-9</v>
      </c>
      <c r="AN157" s="6">
        <f>MIN(0, N157+(IFERROR(IF(26*INDEX('UA-normalized'!$D:$D, MATCH($A157, 'UA-normalized'!$A:$A, 0))-INDEX('UA-normalized'!$E:$E, MATCH($A157, 'UA-normalized'!$A:$A, 0))&gt;0, -(26*INDEX('UA-normalized'!$D:$D, MATCH($A157, 'UA-normalized'!$A:$A, 0))-INDEX('UA-normalized'!$E:$E, MATCH($A157, 'UA-normalized'!$A:$A, 0))), 0), 0))+(IFERROR(IF(26*INDEX('KZ-normalized'!$D:$D, MATCH($A157, 'KZ-normalized'!$A:$A, 0))-INDEX('KZ-normalized'!$E:$E, MATCH($A157, 'KZ-normalized'!$A:$A, 0))&gt;0, -(26*INDEX('KZ-normalized'!$D:$D, MATCH($A157, 'KZ-normalized'!$A:$A, 0))-INDEX('KZ-normalized'!$E:$E, MATCH($A157, 'KZ-normalized'!$A:$A, 0))), 0), 0))+(IFERROR(IF(26*INDEX('UZ-normalized'!$D:$D, MATCH($A157, 'UZ-normalized'!$A:$A, 0))-INDEX('UZ-normalized'!$E:$E, MATCH($A157, 'UZ-normalized'!$A:$A, 0))&gt;0, -(26*INDEX('UZ-normalized'!$D:$D, MATCH($A157, 'UZ-normalized'!$A:$A, 0))-INDEX('UZ-normalized'!$E:$E, MATCH($A157, 'UZ-normalized'!$A:$A, 0))), 0), 0)))</f>
        <v>-14</v>
      </c>
      <c r="AO157" s="6">
        <f>MIN(0, N157+(IFERROR(IF(27*INDEX('UA-normalized'!$D:$D, MATCH($A157, 'UA-normalized'!$A:$A, 0))-INDEX('UA-normalized'!$E:$E, MATCH($A157, 'UA-normalized'!$A:$A, 0))&gt;0, -(27*INDEX('UA-normalized'!$D:$D, MATCH($A157, 'UA-normalized'!$A:$A, 0))-INDEX('UA-normalized'!$E:$E, MATCH($A157, 'UA-normalized'!$A:$A, 0))), 0), 0))+(IFERROR(IF(27*INDEX('KZ-normalized'!$D:$D, MATCH($A157, 'KZ-normalized'!$A:$A, 0))-INDEX('KZ-normalized'!$E:$E, MATCH($A157, 'KZ-normalized'!$A:$A, 0))&gt;0, -(27*INDEX('KZ-normalized'!$D:$D, MATCH($A157, 'KZ-normalized'!$A:$A, 0))-INDEX('KZ-normalized'!$E:$E, MATCH($A157, 'KZ-normalized'!$A:$A, 0))), 0), 0))+(IFERROR(IF(27*INDEX('UZ-normalized'!$D:$D, MATCH($A157, 'UZ-normalized'!$A:$A, 0))-INDEX('UZ-normalized'!$E:$E, MATCH($A157, 'UZ-normalized'!$A:$A, 0))&gt;0, -(27*INDEX('UZ-normalized'!$D:$D, MATCH($A157, 'UZ-normalized'!$A:$A, 0))-INDEX('UZ-normalized'!$E:$E, MATCH($A157, 'UZ-normalized'!$A:$A, 0))), 0), 0)))</f>
        <v>-19</v>
      </c>
      <c r="AP157" s="6">
        <f>MIN(0, N157+(IFERROR(IF(28*INDEX('UA-normalized'!$D:$D, MATCH($A157, 'UA-normalized'!$A:$A, 0))-INDEX('UA-normalized'!$E:$E, MATCH($A157, 'UA-normalized'!$A:$A, 0))&gt;0, -(28*INDEX('UA-normalized'!$D:$D, MATCH($A157, 'UA-normalized'!$A:$A, 0))-INDEX('UA-normalized'!$E:$E, MATCH($A157, 'UA-normalized'!$A:$A, 0))), 0), 0))+(IFERROR(IF(28*INDEX('KZ-normalized'!$D:$D, MATCH($A157, 'KZ-normalized'!$A:$A, 0))-INDEX('KZ-normalized'!$E:$E, MATCH($A157, 'KZ-normalized'!$A:$A, 0))&gt;0, -(28*INDEX('KZ-normalized'!$D:$D, MATCH($A157, 'KZ-normalized'!$A:$A, 0))-INDEX('KZ-normalized'!$E:$E, MATCH($A157, 'KZ-normalized'!$A:$A, 0))), 0), 0))+(IFERROR(IF(28*INDEX('UZ-normalized'!$D:$D, MATCH($A157, 'UZ-normalized'!$A:$A, 0))-INDEX('UZ-normalized'!$E:$E, MATCH($A157, 'UZ-normalized'!$A:$A, 0))&gt;0, -(28*INDEX('UZ-normalized'!$D:$D, MATCH($A157, 'UZ-normalized'!$A:$A, 0))-INDEX('UZ-normalized'!$E:$E, MATCH($A157, 'UZ-normalized'!$A:$A, 0))), 0), 0)))</f>
        <v>-24</v>
      </c>
      <c r="AQ157" s="6">
        <f>MIN(0, N157+(IFERROR(IF(29*INDEX('UA-normalized'!$D:$D, MATCH($A157, 'UA-normalized'!$A:$A, 0))-INDEX('UA-normalized'!$E:$E, MATCH($A157, 'UA-normalized'!$A:$A, 0))&gt;0, -(29*INDEX('UA-normalized'!$D:$D, MATCH($A157, 'UA-normalized'!$A:$A, 0))-INDEX('UA-normalized'!$E:$E, MATCH($A157, 'UA-normalized'!$A:$A, 0))), 0), 0))+(IFERROR(IF(29*INDEX('KZ-normalized'!$D:$D, MATCH($A157, 'KZ-normalized'!$A:$A, 0))-INDEX('KZ-normalized'!$E:$E, MATCH($A157, 'KZ-normalized'!$A:$A, 0))&gt;0, -(29*INDEX('KZ-normalized'!$D:$D, MATCH($A157, 'KZ-normalized'!$A:$A, 0))-INDEX('KZ-normalized'!$E:$E, MATCH($A157, 'KZ-normalized'!$A:$A, 0))), 0), 0))+(IFERROR(IF(29*INDEX('UZ-normalized'!$D:$D, MATCH($A157, 'UZ-normalized'!$A:$A, 0))-INDEX('UZ-normalized'!$E:$E, MATCH($A157, 'UZ-normalized'!$A:$A, 0))&gt;0, -(29*INDEX('UZ-normalized'!$D:$D, MATCH($A157, 'UZ-normalized'!$A:$A, 0))-INDEX('UZ-normalized'!$E:$E, MATCH($A157, 'UZ-normalized'!$A:$A, 0))), 0), 0)))</f>
        <v>-29</v>
      </c>
      <c r="AR157" s="6">
        <f>MIN(0, N157+(IFERROR(IF(30*INDEX('UA-normalized'!$D:$D, MATCH($A157, 'UA-normalized'!$A:$A, 0))-INDEX('UA-normalized'!$E:$E, MATCH($A157, 'UA-normalized'!$A:$A, 0))&gt;0, -(30*INDEX('UA-normalized'!$D:$D, MATCH($A157, 'UA-normalized'!$A:$A, 0))-INDEX('UA-normalized'!$E:$E, MATCH($A157, 'UA-normalized'!$A:$A, 0))), 0), 0))+(IFERROR(IF(30*INDEX('KZ-normalized'!$D:$D, MATCH($A157, 'KZ-normalized'!$A:$A, 0))-INDEX('KZ-normalized'!$E:$E, MATCH($A157, 'KZ-normalized'!$A:$A, 0))&gt;0, -(30*INDEX('KZ-normalized'!$D:$D, MATCH($A157, 'KZ-normalized'!$A:$A, 0))-INDEX('KZ-normalized'!$E:$E, MATCH($A157, 'KZ-normalized'!$A:$A, 0))), 0), 0))+(IFERROR(IF(30*INDEX('UZ-normalized'!$D:$D, MATCH($A157, 'UZ-normalized'!$A:$A, 0))-INDEX('UZ-normalized'!$E:$E, MATCH($A157, 'UZ-normalized'!$A:$A, 0))&gt;0, -(30*INDEX('UZ-normalized'!$D:$D, MATCH($A157, 'UZ-normalized'!$A:$A, 0))-INDEX('UZ-normalized'!$E:$E, MATCH($A157, 'UZ-normalized'!$A:$A, 0))), 0), 0)))</f>
        <v>-34</v>
      </c>
    </row>
    <row r="158" spans="1:44" x14ac:dyDescent="0.25">
      <c r="A158" s="8" t="s">
        <v>380</v>
      </c>
      <c r="B158" s="8" t="s">
        <v>363</v>
      </c>
      <c r="C158" s="8" t="s">
        <v>364</v>
      </c>
      <c r="D158" s="8" t="s">
        <v>381</v>
      </c>
      <c r="N158">
        <f t="shared" si="2"/>
        <v>0</v>
      </c>
      <c r="O158" s="6">
        <f>MIN(0, N158+(IFERROR(IF(1*INDEX('UA-normalized'!$D:$D, MATCH($A158, 'UA-normalized'!$A:$A, 0))-INDEX('UA-normalized'!$E:$E, MATCH($A158, 'UA-normalized'!$A:$A, 0))&gt;0, -(1*INDEX('UA-normalized'!$D:$D, MATCH($A158, 'UA-normalized'!$A:$A, 0))-INDEX('UA-normalized'!$E:$E, MATCH($A158, 'UA-normalized'!$A:$A, 0))), 0), 0))+(IFERROR(IF(1*INDEX('KZ-normalized'!$D:$D, MATCH($A158, 'KZ-normalized'!$A:$A, 0))-INDEX('KZ-normalized'!$E:$E, MATCH($A158, 'KZ-normalized'!$A:$A, 0))&gt;0, -(1*INDEX('KZ-normalized'!$D:$D, MATCH($A158, 'KZ-normalized'!$A:$A, 0))-INDEX('KZ-normalized'!$E:$E, MATCH($A158, 'KZ-normalized'!$A:$A, 0))), 0), 0))+(IFERROR(IF(1*INDEX('UZ-normalized'!$D:$D, MATCH($A158, 'UZ-normalized'!$A:$A, 0))-INDEX('UZ-normalized'!$E:$E, MATCH($A158, 'UZ-normalized'!$A:$A, 0))&gt;0, -(1*INDEX('UZ-normalized'!$D:$D, MATCH($A158, 'UZ-normalized'!$A:$A, 0))-INDEX('UZ-normalized'!$E:$E, MATCH($A158, 'UZ-normalized'!$A:$A, 0))), 0), 0)))</f>
        <v>0</v>
      </c>
      <c r="P158" s="6">
        <f>MIN(0, N158+(IFERROR(IF(2*INDEX('UA-normalized'!$D:$D, MATCH($A158, 'UA-normalized'!$A:$A, 0))-INDEX('UA-normalized'!$E:$E, MATCH($A158, 'UA-normalized'!$A:$A, 0))&gt;0, -(2*INDEX('UA-normalized'!$D:$D, MATCH($A158, 'UA-normalized'!$A:$A, 0))-INDEX('UA-normalized'!$E:$E, MATCH($A158, 'UA-normalized'!$A:$A, 0))), 0), 0))+(IFERROR(IF(2*INDEX('KZ-normalized'!$D:$D, MATCH($A158, 'KZ-normalized'!$A:$A, 0))-INDEX('KZ-normalized'!$E:$E, MATCH($A158, 'KZ-normalized'!$A:$A, 0))&gt;0, -(2*INDEX('KZ-normalized'!$D:$D, MATCH($A158, 'KZ-normalized'!$A:$A, 0))-INDEX('KZ-normalized'!$E:$E, MATCH($A158, 'KZ-normalized'!$A:$A, 0))), 0), 0))+(IFERROR(IF(2*INDEX('UZ-normalized'!$D:$D, MATCH($A158, 'UZ-normalized'!$A:$A, 0))-INDEX('UZ-normalized'!$E:$E, MATCH($A158, 'UZ-normalized'!$A:$A, 0))&gt;0, -(2*INDEX('UZ-normalized'!$D:$D, MATCH($A158, 'UZ-normalized'!$A:$A, 0))-INDEX('UZ-normalized'!$E:$E, MATCH($A158, 'UZ-normalized'!$A:$A, 0))), 0), 0)))</f>
        <v>0</v>
      </c>
      <c r="Q158" s="6">
        <f>MIN(0, N158+(IFERROR(IF(3*INDEX('UA-normalized'!$D:$D, MATCH($A158, 'UA-normalized'!$A:$A, 0))-INDEX('UA-normalized'!$E:$E, MATCH($A158, 'UA-normalized'!$A:$A, 0))&gt;0, -(3*INDEX('UA-normalized'!$D:$D, MATCH($A158, 'UA-normalized'!$A:$A, 0))-INDEX('UA-normalized'!$E:$E, MATCH($A158, 'UA-normalized'!$A:$A, 0))), 0), 0))+(IFERROR(IF(3*INDEX('KZ-normalized'!$D:$D, MATCH($A158, 'KZ-normalized'!$A:$A, 0))-INDEX('KZ-normalized'!$E:$E, MATCH($A158, 'KZ-normalized'!$A:$A, 0))&gt;0, -(3*INDEX('KZ-normalized'!$D:$D, MATCH($A158, 'KZ-normalized'!$A:$A, 0))-INDEX('KZ-normalized'!$E:$E, MATCH($A158, 'KZ-normalized'!$A:$A, 0))), 0), 0))+(IFERROR(IF(3*INDEX('UZ-normalized'!$D:$D, MATCH($A158, 'UZ-normalized'!$A:$A, 0))-INDEX('UZ-normalized'!$E:$E, MATCH($A158, 'UZ-normalized'!$A:$A, 0))&gt;0, -(3*INDEX('UZ-normalized'!$D:$D, MATCH($A158, 'UZ-normalized'!$A:$A, 0))-INDEX('UZ-normalized'!$E:$E, MATCH($A158, 'UZ-normalized'!$A:$A, 0))), 0), 0)))</f>
        <v>0</v>
      </c>
      <c r="R158" s="6">
        <f>MIN(0, N158+(IFERROR(IF(4*INDEX('UA-normalized'!$D:$D, MATCH($A158, 'UA-normalized'!$A:$A, 0))-INDEX('UA-normalized'!$E:$E, MATCH($A158, 'UA-normalized'!$A:$A, 0))&gt;0, -(4*INDEX('UA-normalized'!$D:$D, MATCH($A158, 'UA-normalized'!$A:$A, 0))-INDEX('UA-normalized'!$E:$E, MATCH($A158, 'UA-normalized'!$A:$A, 0))), 0), 0))+(IFERROR(IF(4*INDEX('KZ-normalized'!$D:$D, MATCH($A158, 'KZ-normalized'!$A:$A, 0))-INDEX('KZ-normalized'!$E:$E, MATCH($A158, 'KZ-normalized'!$A:$A, 0))&gt;0, -(4*INDEX('KZ-normalized'!$D:$D, MATCH($A158, 'KZ-normalized'!$A:$A, 0))-INDEX('KZ-normalized'!$E:$E, MATCH($A158, 'KZ-normalized'!$A:$A, 0))), 0), 0))+(IFERROR(IF(4*INDEX('UZ-normalized'!$D:$D, MATCH($A158, 'UZ-normalized'!$A:$A, 0))-INDEX('UZ-normalized'!$E:$E, MATCH($A158, 'UZ-normalized'!$A:$A, 0))&gt;0, -(4*INDEX('UZ-normalized'!$D:$D, MATCH($A158, 'UZ-normalized'!$A:$A, 0))-INDEX('UZ-normalized'!$E:$E, MATCH($A158, 'UZ-normalized'!$A:$A, 0))), 0), 0)))</f>
        <v>0</v>
      </c>
      <c r="S158" s="6">
        <f>MIN(0, N158+(IFERROR(IF(5*INDEX('UA-normalized'!$D:$D, MATCH($A158, 'UA-normalized'!$A:$A, 0))-INDEX('UA-normalized'!$E:$E, MATCH($A158, 'UA-normalized'!$A:$A, 0))&gt;0, -(5*INDEX('UA-normalized'!$D:$D, MATCH($A158, 'UA-normalized'!$A:$A, 0))-INDEX('UA-normalized'!$E:$E, MATCH($A158, 'UA-normalized'!$A:$A, 0))), 0), 0))+(IFERROR(IF(5*INDEX('KZ-normalized'!$D:$D, MATCH($A158, 'KZ-normalized'!$A:$A, 0))-INDEX('KZ-normalized'!$E:$E, MATCH($A158, 'KZ-normalized'!$A:$A, 0))&gt;0, -(5*INDEX('KZ-normalized'!$D:$D, MATCH($A158, 'KZ-normalized'!$A:$A, 0))-INDEX('KZ-normalized'!$E:$E, MATCH($A158, 'KZ-normalized'!$A:$A, 0))), 0), 0))+(IFERROR(IF(5*INDEX('UZ-normalized'!$D:$D, MATCH($A158, 'UZ-normalized'!$A:$A, 0))-INDEX('UZ-normalized'!$E:$E, MATCH($A158, 'UZ-normalized'!$A:$A, 0))&gt;0, -(5*INDEX('UZ-normalized'!$D:$D, MATCH($A158, 'UZ-normalized'!$A:$A, 0))-INDEX('UZ-normalized'!$E:$E, MATCH($A158, 'UZ-normalized'!$A:$A, 0))), 0), 0)))</f>
        <v>0</v>
      </c>
      <c r="T158" s="6">
        <f>MIN(0, N158+(IFERROR(IF(6*INDEX('UA-normalized'!$D:$D, MATCH($A158, 'UA-normalized'!$A:$A, 0))-INDEX('UA-normalized'!$E:$E, MATCH($A158, 'UA-normalized'!$A:$A, 0))&gt;0, -(6*INDEX('UA-normalized'!$D:$D, MATCH($A158, 'UA-normalized'!$A:$A, 0))-INDEX('UA-normalized'!$E:$E, MATCH($A158, 'UA-normalized'!$A:$A, 0))), 0), 0))+(IFERROR(IF(6*INDEX('KZ-normalized'!$D:$D, MATCH($A158, 'KZ-normalized'!$A:$A, 0))-INDEX('KZ-normalized'!$E:$E, MATCH($A158, 'KZ-normalized'!$A:$A, 0))&gt;0, -(6*INDEX('KZ-normalized'!$D:$D, MATCH($A158, 'KZ-normalized'!$A:$A, 0))-INDEX('KZ-normalized'!$E:$E, MATCH($A158, 'KZ-normalized'!$A:$A, 0))), 0), 0))+(IFERROR(IF(6*INDEX('UZ-normalized'!$D:$D, MATCH($A158, 'UZ-normalized'!$A:$A, 0))-INDEX('UZ-normalized'!$E:$E, MATCH($A158, 'UZ-normalized'!$A:$A, 0))&gt;0, -(6*INDEX('UZ-normalized'!$D:$D, MATCH($A158, 'UZ-normalized'!$A:$A, 0))-INDEX('UZ-normalized'!$E:$E, MATCH($A158, 'UZ-normalized'!$A:$A, 0))), 0), 0)))</f>
        <v>0</v>
      </c>
      <c r="U158" s="6">
        <f>MIN(0, N158+(IFERROR(IF(7*INDEX('UA-normalized'!$D:$D, MATCH($A158, 'UA-normalized'!$A:$A, 0))-INDEX('UA-normalized'!$E:$E, MATCH($A158, 'UA-normalized'!$A:$A, 0))&gt;0, -(7*INDEX('UA-normalized'!$D:$D, MATCH($A158, 'UA-normalized'!$A:$A, 0))-INDEX('UA-normalized'!$E:$E, MATCH($A158, 'UA-normalized'!$A:$A, 0))), 0), 0))+(IFERROR(IF(7*INDEX('KZ-normalized'!$D:$D, MATCH($A158, 'KZ-normalized'!$A:$A, 0))-INDEX('KZ-normalized'!$E:$E, MATCH($A158, 'KZ-normalized'!$A:$A, 0))&gt;0, -(7*INDEX('KZ-normalized'!$D:$D, MATCH($A158, 'KZ-normalized'!$A:$A, 0))-INDEX('KZ-normalized'!$E:$E, MATCH($A158, 'KZ-normalized'!$A:$A, 0))), 0), 0))+(IFERROR(IF(7*INDEX('UZ-normalized'!$D:$D, MATCH($A158, 'UZ-normalized'!$A:$A, 0))-INDEX('UZ-normalized'!$E:$E, MATCH($A158, 'UZ-normalized'!$A:$A, 0))&gt;0, -(7*INDEX('UZ-normalized'!$D:$D, MATCH($A158, 'UZ-normalized'!$A:$A, 0))-INDEX('UZ-normalized'!$E:$E, MATCH($A158, 'UZ-normalized'!$A:$A, 0))), 0), 0)))</f>
        <v>0</v>
      </c>
      <c r="V158" s="6">
        <f>MIN(0, N158+(IFERROR(IF(8*INDEX('UA-normalized'!$D:$D, MATCH($A158, 'UA-normalized'!$A:$A, 0))-INDEX('UA-normalized'!$E:$E, MATCH($A158, 'UA-normalized'!$A:$A, 0))&gt;0, -(8*INDEX('UA-normalized'!$D:$D, MATCH($A158, 'UA-normalized'!$A:$A, 0))-INDEX('UA-normalized'!$E:$E, MATCH($A158, 'UA-normalized'!$A:$A, 0))), 0), 0))+(IFERROR(IF(8*INDEX('KZ-normalized'!$D:$D, MATCH($A158, 'KZ-normalized'!$A:$A, 0))-INDEX('KZ-normalized'!$E:$E, MATCH($A158, 'KZ-normalized'!$A:$A, 0))&gt;0, -(8*INDEX('KZ-normalized'!$D:$D, MATCH($A158, 'KZ-normalized'!$A:$A, 0))-INDEX('KZ-normalized'!$E:$E, MATCH($A158, 'KZ-normalized'!$A:$A, 0))), 0), 0))+(IFERROR(IF(8*INDEX('UZ-normalized'!$D:$D, MATCH($A158, 'UZ-normalized'!$A:$A, 0))-INDEX('UZ-normalized'!$E:$E, MATCH($A158, 'UZ-normalized'!$A:$A, 0))&gt;0, -(8*INDEX('UZ-normalized'!$D:$D, MATCH($A158, 'UZ-normalized'!$A:$A, 0))-INDEX('UZ-normalized'!$E:$E, MATCH($A158, 'UZ-normalized'!$A:$A, 0))), 0), 0)))</f>
        <v>0</v>
      </c>
      <c r="W158" s="6">
        <f>MIN(0, N158+(IFERROR(IF(9*INDEX('UA-normalized'!$D:$D, MATCH($A158, 'UA-normalized'!$A:$A, 0))-INDEX('UA-normalized'!$E:$E, MATCH($A158, 'UA-normalized'!$A:$A, 0))&gt;0, -(9*INDEX('UA-normalized'!$D:$D, MATCH($A158, 'UA-normalized'!$A:$A, 0))-INDEX('UA-normalized'!$E:$E, MATCH($A158, 'UA-normalized'!$A:$A, 0))), 0), 0))+(IFERROR(IF(9*INDEX('KZ-normalized'!$D:$D, MATCH($A158, 'KZ-normalized'!$A:$A, 0))-INDEX('KZ-normalized'!$E:$E, MATCH($A158, 'KZ-normalized'!$A:$A, 0))&gt;0, -(9*INDEX('KZ-normalized'!$D:$D, MATCH($A158, 'KZ-normalized'!$A:$A, 0))-INDEX('KZ-normalized'!$E:$E, MATCH($A158, 'KZ-normalized'!$A:$A, 0))), 0), 0))+(IFERROR(IF(9*INDEX('UZ-normalized'!$D:$D, MATCH($A158, 'UZ-normalized'!$A:$A, 0))-INDEX('UZ-normalized'!$E:$E, MATCH($A158, 'UZ-normalized'!$A:$A, 0))&gt;0, -(9*INDEX('UZ-normalized'!$D:$D, MATCH($A158, 'UZ-normalized'!$A:$A, 0))-INDEX('UZ-normalized'!$E:$E, MATCH($A158, 'UZ-normalized'!$A:$A, 0))), 0), 0)))</f>
        <v>0</v>
      </c>
      <c r="X158" s="6">
        <f>MIN(0, N158+(IFERROR(IF(10*INDEX('UA-normalized'!$D:$D, MATCH($A158, 'UA-normalized'!$A:$A, 0))-INDEX('UA-normalized'!$E:$E, MATCH($A158, 'UA-normalized'!$A:$A, 0))&gt;0, -(10*INDEX('UA-normalized'!$D:$D, MATCH($A158, 'UA-normalized'!$A:$A, 0))-INDEX('UA-normalized'!$E:$E, MATCH($A158, 'UA-normalized'!$A:$A, 0))), 0), 0))+(IFERROR(IF(10*INDEX('KZ-normalized'!$D:$D, MATCH($A158, 'KZ-normalized'!$A:$A, 0))-INDEX('KZ-normalized'!$E:$E, MATCH($A158, 'KZ-normalized'!$A:$A, 0))&gt;0, -(10*INDEX('KZ-normalized'!$D:$D, MATCH($A158, 'KZ-normalized'!$A:$A, 0))-INDEX('KZ-normalized'!$E:$E, MATCH($A158, 'KZ-normalized'!$A:$A, 0))), 0), 0))+(IFERROR(IF(10*INDEX('UZ-normalized'!$D:$D, MATCH($A158, 'UZ-normalized'!$A:$A, 0))-INDEX('UZ-normalized'!$E:$E, MATCH($A158, 'UZ-normalized'!$A:$A, 0))&gt;0, -(10*INDEX('UZ-normalized'!$D:$D, MATCH($A158, 'UZ-normalized'!$A:$A, 0))-INDEX('UZ-normalized'!$E:$E, MATCH($A158, 'UZ-normalized'!$A:$A, 0))), 0), 0)))</f>
        <v>0</v>
      </c>
      <c r="Y158" s="6">
        <f>MIN(0, N158+(IFERROR(IF(11*INDEX('UA-normalized'!$D:$D, MATCH($A158, 'UA-normalized'!$A:$A, 0))-INDEX('UA-normalized'!$E:$E, MATCH($A158, 'UA-normalized'!$A:$A, 0))&gt;0, -(11*INDEX('UA-normalized'!$D:$D, MATCH($A158, 'UA-normalized'!$A:$A, 0))-INDEX('UA-normalized'!$E:$E, MATCH($A158, 'UA-normalized'!$A:$A, 0))), 0), 0))+(IFERROR(IF(11*INDEX('KZ-normalized'!$D:$D, MATCH($A158, 'KZ-normalized'!$A:$A, 0))-INDEX('KZ-normalized'!$E:$E, MATCH($A158, 'KZ-normalized'!$A:$A, 0))&gt;0, -(11*INDEX('KZ-normalized'!$D:$D, MATCH($A158, 'KZ-normalized'!$A:$A, 0))-INDEX('KZ-normalized'!$E:$E, MATCH($A158, 'KZ-normalized'!$A:$A, 0))), 0), 0))+(IFERROR(IF(11*INDEX('UZ-normalized'!$D:$D, MATCH($A158, 'UZ-normalized'!$A:$A, 0))-INDEX('UZ-normalized'!$E:$E, MATCH($A158, 'UZ-normalized'!$A:$A, 0))&gt;0, -(11*INDEX('UZ-normalized'!$D:$D, MATCH($A158, 'UZ-normalized'!$A:$A, 0))-INDEX('UZ-normalized'!$E:$E, MATCH($A158, 'UZ-normalized'!$A:$A, 0))), 0), 0)))</f>
        <v>0</v>
      </c>
      <c r="Z158" s="6">
        <f>MIN(0, N158+(IFERROR(IF(12*INDEX('UA-normalized'!$D:$D, MATCH($A158, 'UA-normalized'!$A:$A, 0))-INDEX('UA-normalized'!$E:$E, MATCH($A158, 'UA-normalized'!$A:$A, 0))&gt;0, -(12*INDEX('UA-normalized'!$D:$D, MATCH($A158, 'UA-normalized'!$A:$A, 0))-INDEX('UA-normalized'!$E:$E, MATCH($A158, 'UA-normalized'!$A:$A, 0))), 0), 0))+(IFERROR(IF(12*INDEX('KZ-normalized'!$D:$D, MATCH($A158, 'KZ-normalized'!$A:$A, 0))-INDEX('KZ-normalized'!$E:$E, MATCH($A158, 'KZ-normalized'!$A:$A, 0))&gt;0, -(12*INDEX('KZ-normalized'!$D:$D, MATCH($A158, 'KZ-normalized'!$A:$A, 0))-INDEX('KZ-normalized'!$E:$E, MATCH($A158, 'KZ-normalized'!$A:$A, 0))), 0), 0))+(IFERROR(IF(12*INDEX('UZ-normalized'!$D:$D, MATCH($A158, 'UZ-normalized'!$A:$A, 0))-INDEX('UZ-normalized'!$E:$E, MATCH($A158, 'UZ-normalized'!$A:$A, 0))&gt;0, -(12*INDEX('UZ-normalized'!$D:$D, MATCH($A158, 'UZ-normalized'!$A:$A, 0))-INDEX('UZ-normalized'!$E:$E, MATCH($A158, 'UZ-normalized'!$A:$A, 0))), 0), 0)))</f>
        <v>0</v>
      </c>
      <c r="AA158" s="6">
        <f>MIN(0, N158+(IFERROR(IF(13*INDEX('UA-normalized'!$D:$D, MATCH($A158, 'UA-normalized'!$A:$A, 0))-INDEX('UA-normalized'!$E:$E, MATCH($A158, 'UA-normalized'!$A:$A, 0))&gt;0, -(13*INDEX('UA-normalized'!$D:$D, MATCH($A158, 'UA-normalized'!$A:$A, 0))-INDEX('UA-normalized'!$E:$E, MATCH($A158, 'UA-normalized'!$A:$A, 0))), 0), 0))+(IFERROR(IF(13*INDEX('KZ-normalized'!$D:$D, MATCH($A158, 'KZ-normalized'!$A:$A, 0))-INDEX('KZ-normalized'!$E:$E, MATCH($A158, 'KZ-normalized'!$A:$A, 0))&gt;0, -(13*INDEX('KZ-normalized'!$D:$D, MATCH($A158, 'KZ-normalized'!$A:$A, 0))-INDEX('KZ-normalized'!$E:$E, MATCH($A158, 'KZ-normalized'!$A:$A, 0))), 0), 0))+(IFERROR(IF(13*INDEX('UZ-normalized'!$D:$D, MATCH($A158, 'UZ-normalized'!$A:$A, 0))-INDEX('UZ-normalized'!$E:$E, MATCH($A158, 'UZ-normalized'!$A:$A, 0))&gt;0, -(13*INDEX('UZ-normalized'!$D:$D, MATCH($A158, 'UZ-normalized'!$A:$A, 0))-INDEX('UZ-normalized'!$E:$E, MATCH($A158, 'UZ-normalized'!$A:$A, 0))), 0), 0)))</f>
        <v>0</v>
      </c>
      <c r="AB158" s="6">
        <f>MIN(0, N158+(IFERROR(IF(14*INDEX('UA-normalized'!$D:$D, MATCH($A158, 'UA-normalized'!$A:$A, 0))-INDEX('UA-normalized'!$E:$E, MATCH($A158, 'UA-normalized'!$A:$A, 0))&gt;0, -(14*INDEX('UA-normalized'!$D:$D, MATCH($A158, 'UA-normalized'!$A:$A, 0))-INDEX('UA-normalized'!$E:$E, MATCH($A158, 'UA-normalized'!$A:$A, 0))), 0), 0))+(IFERROR(IF(14*INDEX('KZ-normalized'!$D:$D, MATCH($A158, 'KZ-normalized'!$A:$A, 0))-INDEX('KZ-normalized'!$E:$E, MATCH($A158, 'KZ-normalized'!$A:$A, 0))&gt;0, -(14*INDEX('KZ-normalized'!$D:$D, MATCH($A158, 'KZ-normalized'!$A:$A, 0))-INDEX('KZ-normalized'!$E:$E, MATCH($A158, 'KZ-normalized'!$A:$A, 0))), 0), 0))+(IFERROR(IF(14*INDEX('UZ-normalized'!$D:$D, MATCH($A158, 'UZ-normalized'!$A:$A, 0))-INDEX('UZ-normalized'!$E:$E, MATCH($A158, 'UZ-normalized'!$A:$A, 0))&gt;0, -(14*INDEX('UZ-normalized'!$D:$D, MATCH($A158, 'UZ-normalized'!$A:$A, 0))-INDEX('UZ-normalized'!$E:$E, MATCH($A158, 'UZ-normalized'!$A:$A, 0))), 0), 0)))</f>
        <v>0</v>
      </c>
      <c r="AC158" s="6">
        <f>MIN(0, N158+(IFERROR(IF(15*INDEX('UA-normalized'!$D:$D, MATCH($A158, 'UA-normalized'!$A:$A, 0))-INDEX('UA-normalized'!$E:$E, MATCH($A158, 'UA-normalized'!$A:$A, 0))&gt;0, -(15*INDEX('UA-normalized'!$D:$D, MATCH($A158, 'UA-normalized'!$A:$A, 0))-INDEX('UA-normalized'!$E:$E, MATCH($A158, 'UA-normalized'!$A:$A, 0))), 0), 0))+(IFERROR(IF(15*INDEX('KZ-normalized'!$D:$D, MATCH($A158, 'KZ-normalized'!$A:$A, 0))-INDEX('KZ-normalized'!$E:$E, MATCH($A158, 'KZ-normalized'!$A:$A, 0))&gt;0, -(15*INDEX('KZ-normalized'!$D:$D, MATCH($A158, 'KZ-normalized'!$A:$A, 0))-INDEX('KZ-normalized'!$E:$E, MATCH($A158, 'KZ-normalized'!$A:$A, 0))), 0), 0))+(IFERROR(IF(15*INDEX('UZ-normalized'!$D:$D, MATCH($A158, 'UZ-normalized'!$A:$A, 0))-INDEX('UZ-normalized'!$E:$E, MATCH($A158, 'UZ-normalized'!$A:$A, 0))&gt;0, -(15*INDEX('UZ-normalized'!$D:$D, MATCH($A158, 'UZ-normalized'!$A:$A, 0))-INDEX('UZ-normalized'!$E:$E, MATCH($A158, 'UZ-normalized'!$A:$A, 0))), 0), 0)))</f>
        <v>0</v>
      </c>
      <c r="AD158" s="6">
        <f>MIN(0, N158+(IFERROR(IF(16*INDEX('UA-normalized'!$D:$D, MATCH($A158, 'UA-normalized'!$A:$A, 0))-INDEX('UA-normalized'!$E:$E, MATCH($A158, 'UA-normalized'!$A:$A, 0))&gt;0, -(16*INDEX('UA-normalized'!$D:$D, MATCH($A158, 'UA-normalized'!$A:$A, 0))-INDEX('UA-normalized'!$E:$E, MATCH($A158, 'UA-normalized'!$A:$A, 0))), 0), 0))+(IFERROR(IF(16*INDEX('KZ-normalized'!$D:$D, MATCH($A158, 'KZ-normalized'!$A:$A, 0))-INDEX('KZ-normalized'!$E:$E, MATCH($A158, 'KZ-normalized'!$A:$A, 0))&gt;0, -(16*INDEX('KZ-normalized'!$D:$D, MATCH($A158, 'KZ-normalized'!$A:$A, 0))-INDEX('KZ-normalized'!$E:$E, MATCH($A158, 'KZ-normalized'!$A:$A, 0))), 0), 0))+(IFERROR(IF(16*INDEX('UZ-normalized'!$D:$D, MATCH($A158, 'UZ-normalized'!$A:$A, 0))-INDEX('UZ-normalized'!$E:$E, MATCH($A158, 'UZ-normalized'!$A:$A, 0))&gt;0, -(16*INDEX('UZ-normalized'!$D:$D, MATCH($A158, 'UZ-normalized'!$A:$A, 0))-INDEX('UZ-normalized'!$E:$E, MATCH($A158, 'UZ-normalized'!$A:$A, 0))), 0), 0)))</f>
        <v>0</v>
      </c>
      <c r="AE158" s="6">
        <f>MIN(0, N158+(IFERROR(IF(17*INDEX('UA-normalized'!$D:$D, MATCH($A158, 'UA-normalized'!$A:$A, 0))-INDEX('UA-normalized'!$E:$E, MATCH($A158, 'UA-normalized'!$A:$A, 0))&gt;0, -(17*INDEX('UA-normalized'!$D:$D, MATCH($A158, 'UA-normalized'!$A:$A, 0))-INDEX('UA-normalized'!$E:$E, MATCH($A158, 'UA-normalized'!$A:$A, 0))), 0), 0))+(IFERROR(IF(17*INDEX('KZ-normalized'!$D:$D, MATCH($A158, 'KZ-normalized'!$A:$A, 0))-INDEX('KZ-normalized'!$E:$E, MATCH($A158, 'KZ-normalized'!$A:$A, 0))&gt;0, -(17*INDEX('KZ-normalized'!$D:$D, MATCH($A158, 'KZ-normalized'!$A:$A, 0))-INDEX('KZ-normalized'!$E:$E, MATCH($A158, 'KZ-normalized'!$A:$A, 0))), 0), 0))+(IFERROR(IF(17*INDEX('UZ-normalized'!$D:$D, MATCH($A158, 'UZ-normalized'!$A:$A, 0))-INDEX('UZ-normalized'!$E:$E, MATCH($A158, 'UZ-normalized'!$A:$A, 0))&gt;0, -(17*INDEX('UZ-normalized'!$D:$D, MATCH($A158, 'UZ-normalized'!$A:$A, 0))-INDEX('UZ-normalized'!$E:$E, MATCH($A158, 'UZ-normalized'!$A:$A, 0))), 0), 0)))</f>
        <v>0</v>
      </c>
      <c r="AF158" s="6">
        <f>MIN(0, N158+(IFERROR(IF(18*INDEX('UA-normalized'!$D:$D, MATCH($A158, 'UA-normalized'!$A:$A, 0))-INDEX('UA-normalized'!$E:$E, MATCH($A158, 'UA-normalized'!$A:$A, 0))&gt;0, -(18*INDEX('UA-normalized'!$D:$D, MATCH($A158, 'UA-normalized'!$A:$A, 0))-INDEX('UA-normalized'!$E:$E, MATCH($A158, 'UA-normalized'!$A:$A, 0))), 0), 0))+(IFERROR(IF(18*INDEX('KZ-normalized'!$D:$D, MATCH($A158, 'KZ-normalized'!$A:$A, 0))-INDEX('KZ-normalized'!$E:$E, MATCH($A158, 'KZ-normalized'!$A:$A, 0))&gt;0, -(18*INDEX('KZ-normalized'!$D:$D, MATCH($A158, 'KZ-normalized'!$A:$A, 0))-INDEX('KZ-normalized'!$E:$E, MATCH($A158, 'KZ-normalized'!$A:$A, 0))), 0), 0))+(IFERROR(IF(18*INDEX('UZ-normalized'!$D:$D, MATCH($A158, 'UZ-normalized'!$A:$A, 0))-INDEX('UZ-normalized'!$E:$E, MATCH($A158, 'UZ-normalized'!$A:$A, 0))&gt;0, -(18*INDEX('UZ-normalized'!$D:$D, MATCH($A158, 'UZ-normalized'!$A:$A, 0))-INDEX('UZ-normalized'!$E:$E, MATCH($A158, 'UZ-normalized'!$A:$A, 0))), 0), 0)))</f>
        <v>0</v>
      </c>
      <c r="AG158" s="6">
        <f>MIN(0, N158+(IFERROR(IF(19*INDEX('UA-normalized'!$D:$D, MATCH($A158, 'UA-normalized'!$A:$A, 0))-INDEX('UA-normalized'!$E:$E, MATCH($A158, 'UA-normalized'!$A:$A, 0))&gt;0, -(19*INDEX('UA-normalized'!$D:$D, MATCH($A158, 'UA-normalized'!$A:$A, 0))-INDEX('UA-normalized'!$E:$E, MATCH($A158, 'UA-normalized'!$A:$A, 0))), 0), 0))+(IFERROR(IF(19*INDEX('KZ-normalized'!$D:$D, MATCH($A158, 'KZ-normalized'!$A:$A, 0))-INDEX('KZ-normalized'!$E:$E, MATCH($A158, 'KZ-normalized'!$A:$A, 0))&gt;0, -(19*INDEX('KZ-normalized'!$D:$D, MATCH($A158, 'KZ-normalized'!$A:$A, 0))-INDEX('KZ-normalized'!$E:$E, MATCH($A158, 'KZ-normalized'!$A:$A, 0))), 0), 0))+(IFERROR(IF(19*INDEX('UZ-normalized'!$D:$D, MATCH($A158, 'UZ-normalized'!$A:$A, 0))-INDEX('UZ-normalized'!$E:$E, MATCH($A158, 'UZ-normalized'!$A:$A, 0))&gt;0, -(19*INDEX('UZ-normalized'!$D:$D, MATCH($A158, 'UZ-normalized'!$A:$A, 0))-INDEX('UZ-normalized'!$E:$E, MATCH($A158, 'UZ-normalized'!$A:$A, 0))), 0), 0)))</f>
        <v>0</v>
      </c>
      <c r="AH158" s="6">
        <f>MIN(0, N158+(IFERROR(IF(20*INDEX('UA-normalized'!$D:$D, MATCH($A158, 'UA-normalized'!$A:$A, 0))-INDEX('UA-normalized'!$E:$E, MATCH($A158, 'UA-normalized'!$A:$A, 0))&gt;0, -(20*INDEX('UA-normalized'!$D:$D, MATCH($A158, 'UA-normalized'!$A:$A, 0))-INDEX('UA-normalized'!$E:$E, MATCH($A158, 'UA-normalized'!$A:$A, 0))), 0), 0))+(IFERROR(IF(20*INDEX('KZ-normalized'!$D:$D, MATCH($A158, 'KZ-normalized'!$A:$A, 0))-INDEX('KZ-normalized'!$E:$E, MATCH($A158, 'KZ-normalized'!$A:$A, 0))&gt;0, -(20*INDEX('KZ-normalized'!$D:$D, MATCH($A158, 'KZ-normalized'!$A:$A, 0))-INDEX('KZ-normalized'!$E:$E, MATCH($A158, 'KZ-normalized'!$A:$A, 0))), 0), 0))+(IFERROR(IF(20*INDEX('UZ-normalized'!$D:$D, MATCH($A158, 'UZ-normalized'!$A:$A, 0))-INDEX('UZ-normalized'!$E:$E, MATCH($A158, 'UZ-normalized'!$A:$A, 0))&gt;0, -(20*INDEX('UZ-normalized'!$D:$D, MATCH($A158, 'UZ-normalized'!$A:$A, 0))-INDEX('UZ-normalized'!$E:$E, MATCH($A158, 'UZ-normalized'!$A:$A, 0))), 0), 0)))</f>
        <v>0</v>
      </c>
      <c r="AI158" s="6">
        <f>MIN(0, N158+(IFERROR(IF(21*INDEX('UA-normalized'!$D:$D, MATCH($A158, 'UA-normalized'!$A:$A, 0))-INDEX('UA-normalized'!$E:$E, MATCH($A158, 'UA-normalized'!$A:$A, 0))&gt;0, -(21*INDEX('UA-normalized'!$D:$D, MATCH($A158, 'UA-normalized'!$A:$A, 0))-INDEX('UA-normalized'!$E:$E, MATCH($A158, 'UA-normalized'!$A:$A, 0))), 0), 0))+(IFERROR(IF(21*INDEX('KZ-normalized'!$D:$D, MATCH($A158, 'KZ-normalized'!$A:$A, 0))-INDEX('KZ-normalized'!$E:$E, MATCH($A158, 'KZ-normalized'!$A:$A, 0))&gt;0, -(21*INDEX('KZ-normalized'!$D:$D, MATCH($A158, 'KZ-normalized'!$A:$A, 0))-INDEX('KZ-normalized'!$E:$E, MATCH($A158, 'KZ-normalized'!$A:$A, 0))), 0), 0))+(IFERROR(IF(21*INDEX('UZ-normalized'!$D:$D, MATCH($A158, 'UZ-normalized'!$A:$A, 0))-INDEX('UZ-normalized'!$E:$E, MATCH($A158, 'UZ-normalized'!$A:$A, 0))&gt;0, -(21*INDEX('UZ-normalized'!$D:$D, MATCH($A158, 'UZ-normalized'!$A:$A, 0))-INDEX('UZ-normalized'!$E:$E, MATCH($A158, 'UZ-normalized'!$A:$A, 0))), 0), 0)))</f>
        <v>0</v>
      </c>
      <c r="AJ158" s="6">
        <f>MIN(0, N158+(IFERROR(IF(22*INDEX('UA-normalized'!$D:$D, MATCH($A158, 'UA-normalized'!$A:$A, 0))-INDEX('UA-normalized'!$E:$E, MATCH($A158, 'UA-normalized'!$A:$A, 0))&gt;0, -(22*INDEX('UA-normalized'!$D:$D, MATCH($A158, 'UA-normalized'!$A:$A, 0))-INDEX('UA-normalized'!$E:$E, MATCH($A158, 'UA-normalized'!$A:$A, 0))), 0), 0))+(IFERROR(IF(22*INDEX('KZ-normalized'!$D:$D, MATCH($A158, 'KZ-normalized'!$A:$A, 0))-INDEX('KZ-normalized'!$E:$E, MATCH($A158, 'KZ-normalized'!$A:$A, 0))&gt;0, -(22*INDEX('KZ-normalized'!$D:$D, MATCH($A158, 'KZ-normalized'!$A:$A, 0))-INDEX('KZ-normalized'!$E:$E, MATCH($A158, 'KZ-normalized'!$A:$A, 0))), 0), 0))+(IFERROR(IF(22*INDEX('UZ-normalized'!$D:$D, MATCH($A158, 'UZ-normalized'!$A:$A, 0))-INDEX('UZ-normalized'!$E:$E, MATCH($A158, 'UZ-normalized'!$A:$A, 0))&gt;0, -(22*INDEX('UZ-normalized'!$D:$D, MATCH($A158, 'UZ-normalized'!$A:$A, 0))-INDEX('UZ-normalized'!$E:$E, MATCH($A158, 'UZ-normalized'!$A:$A, 0))), 0), 0)))</f>
        <v>0</v>
      </c>
      <c r="AK158" s="6">
        <f>MIN(0, N158+(IFERROR(IF(23*INDEX('UA-normalized'!$D:$D, MATCH($A158, 'UA-normalized'!$A:$A, 0))-INDEX('UA-normalized'!$E:$E, MATCH($A158, 'UA-normalized'!$A:$A, 0))&gt;0, -(23*INDEX('UA-normalized'!$D:$D, MATCH($A158, 'UA-normalized'!$A:$A, 0))-INDEX('UA-normalized'!$E:$E, MATCH($A158, 'UA-normalized'!$A:$A, 0))), 0), 0))+(IFERROR(IF(23*INDEX('KZ-normalized'!$D:$D, MATCH($A158, 'KZ-normalized'!$A:$A, 0))-INDEX('KZ-normalized'!$E:$E, MATCH($A158, 'KZ-normalized'!$A:$A, 0))&gt;0, -(23*INDEX('KZ-normalized'!$D:$D, MATCH($A158, 'KZ-normalized'!$A:$A, 0))-INDEX('KZ-normalized'!$E:$E, MATCH($A158, 'KZ-normalized'!$A:$A, 0))), 0), 0))+(IFERROR(IF(23*INDEX('UZ-normalized'!$D:$D, MATCH($A158, 'UZ-normalized'!$A:$A, 0))-INDEX('UZ-normalized'!$E:$E, MATCH($A158, 'UZ-normalized'!$A:$A, 0))&gt;0, -(23*INDEX('UZ-normalized'!$D:$D, MATCH($A158, 'UZ-normalized'!$A:$A, 0))-INDEX('UZ-normalized'!$E:$E, MATCH($A158, 'UZ-normalized'!$A:$A, 0))), 0), 0)))</f>
        <v>0</v>
      </c>
      <c r="AL158" s="6">
        <f>MIN(0, N158+(IFERROR(IF(24*INDEX('UA-normalized'!$D:$D, MATCH($A158, 'UA-normalized'!$A:$A, 0))-INDEX('UA-normalized'!$E:$E, MATCH($A158, 'UA-normalized'!$A:$A, 0))&gt;0, -(24*INDEX('UA-normalized'!$D:$D, MATCH($A158, 'UA-normalized'!$A:$A, 0))-INDEX('UA-normalized'!$E:$E, MATCH($A158, 'UA-normalized'!$A:$A, 0))), 0), 0))+(IFERROR(IF(24*INDEX('KZ-normalized'!$D:$D, MATCH($A158, 'KZ-normalized'!$A:$A, 0))-INDEX('KZ-normalized'!$E:$E, MATCH($A158, 'KZ-normalized'!$A:$A, 0))&gt;0, -(24*INDEX('KZ-normalized'!$D:$D, MATCH($A158, 'KZ-normalized'!$A:$A, 0))-INDEX('KZ-normalized'!$E:$E, MATCH($A158, 'KZ-normalized'!$A:$A, 0))), 0), 0))+(IFERROR(IF(24*INDEX('UZ-normalized'!$D:$D, MATCH($A158, 'UZ-normalized'!$A:$A, 0))-INDEX('UZ-normalized'!$E:$E, MATCH($A158, 'UZ-normalized'!$A:$A, 0))&gt;0, -(24*INDEX('UZ-normalized'!$D:$D, MATCH($A158, 'UZ-normalized'!$A:$A, 0))-INDEX('UZ-normalized'!$E:$E, MATCH($A158, 'UZ-normalized'!$A:$A, 0))), 0), 0)))</f>
        <v>0</v>
      </c>
      <c r="AM158" s="6">
        <f>MIN(0, N158+(IFERROR(IF(25*INDEX('UA-normalized'!$D:$D, MATCH($A158, 'UA-normalized'!$A:$A, 0))-INDEX('UA-normalized'!$E:$E, MATCH($A158, 'UA-normalized'!$A:$A, 0))&gt;0, -(25*INDEX('UA-normalized'!$D:$D, MATCH($A158, 'UA-normalized'!$A:$A, 0))-INDEX('UA-normalized'!$E:$E, MATCH($A158, 'UA-normalized'!$A:$A, 0))), 0), 0))+(IFERROR(IF(25*INDEX('KZ-normalized'!$D:$D, MATCH($A158, 'KZ-normalized'!$A:$A, 0))-INDEX('KZ-normalized'!$E:$E, MATCH($A158, 'KZ-normalized'!$A:$A, 0))&gt;0, -(25*INDEX('KZ-normalized'!$D:$D, MATCH($A158, 'KZ-normalized'!$A:$A, 0))-INDEX('KZ-normalized'!$E:$E, MATCH($A158, 'KZ-normalized'!$A:$A, 0))), 0), 0))+(IFERROR(IF(25*INDEX('UZ-normalized'!$D:$D, MATCH($A158, 'UZ-normalized'!$A:$A, 0))-INDEX('UZ-normalized'!$E:$E, MATCH($A158, 'UZ-normalized'!$A:$A, 0))&gt;0, -(25*INDEX('UZ-normalized'!$D:$D, MATCH($A158, 'UZ-normalized'!$A:$A, 0))-INDEX('UZ-normalized'!$E:$E, MATCH($A158, 'UZ-normalized'!$A:$A, 0))), 0), 0)))</f>
        <v>0</v>
      </c>
      <c r="AN158" s="6">
        <f>MIN(0, N158+(IFERROR(IF(26*INDEX('UA-normalized'!$D:$D, MATCH($A158, 'UA-normalized'!$A:$A, 0))-INDEX('UA-normalized'!$E:$E, MATCH($A158, 'UA-normalized'!$A:$A, 0))&gt;0, -(26*INDEX('UA-normalized'!$D:$D, MATCH($A158, 'UA-normalized'!$A:$A, 0))-INDEX('UA-normalized'!$E:$E, MATCH($A158, 'UA-normalized'!$A:$A, 0))), 0), 0))+(IFERROR(IF(26*INDEX('KZ-normalized'!$D:$D, MATCH($A158, 'KZ-normalized'!$A:$A, 0))-INDEX('KZ-normalized'!$E:$E, MATCH($A158, 'KZ-normalized'!$A:$A, 0))&gt;0, -(26*INDEX('KZ-normalized'!$D:$D, MATCH($A158, 'KZ-normalized'!$A:$A, 0))-INDEX('KZ-normalized'!$E:$E, MATCH($A158, 'KZ-normalized'!$A:$A, 0))), 0), 0))+(IFERROR(IF(26*INDEX('UZ-normalized'!$D:$D, MATCH($A158, 'UZ-normalized'!$A:$A, 0))-INDEX('UZ-normalized'!$E:$E, MATCH($A158, 'UZ-normalized'!$A:$A, 0))&gt;0, -(26*INDEX('UZ-normalized'!$D:$D, MATCH($A158, 'UZ-normalized'!$A:$A, 0))-INDEX('UZ-normalized'!$E:$E, MATCH($A158, 'UZ-normalized'!$A:$A, 0))), 0), 0)))</f>
        <v>0</v>
      </c>
      <c r="AO158" s="6">
        <f>MIN(0, N158+(IFERROR(IF(27*INDEX('UA-normalized'!$D:$D, MATCH($A158, 'UA-normalized'!$A:$A, 0))-INDEX('UA-normalized'!$E:$E, MATCH($A158, 'UA-normalized'!$A:$A, 0))&gt;0, -(27*INDEX('UA-normalized'!$D:$D, MATCH($A158, 'UA-normalized'!$A:$A, 0))-INDEX('UA-normalized'!$E:$E, MATCH($A158, 'UA-normalized'!$A:$A, 0))), 0), 0))+(IFERROR(IF(27*INDEX('KZ-normalized'!$D:$D, MATCH($A158, 'KZ-normalized'!$A:$A, 0))-INDEX('KZ-normalized'!$E:$E, MATCH($A158, 'KZ-normalized'!$A:$A, 0))&gt;0, -(27*INDEX('KZ-normalized'!$D:$D, MATCH($A158, 'KZ-normalized'!$A:$A, 0))-INDEX('KZ-normalized'!$E:$E, MATCH($A158, 'KZ-normalized'!$A:$A, 0))), 0), 0))+(IFERROR(IF(27*INDEX('UZ-normalized'!$D:$D, MATCH($A158, 'UZ-normalized'!$A:$A, 0))-INDEX('UZ-normalized'!$E:$E, MATCH($A158, 'UZ-normalized'!$A:$A, 0))&gt;0, -(27*INDEX('UZ-normalized'!$D:$D, MATCH($A158, 'UZ-normalized'!$A:$A, 0))-INDEX('UZ-normalized'!$E:$E, MATCH($A158, 'UZ-normalized'!$A:$A, 0))), 0), 0)))</f>
        <v>0</v>
      </c>
      <c r="AP158" s="6">
        <f>MIN(0, N158+(IFERROR(IF(28*INDEX('UA-normalized'!$D:$D, MATCH($A158, 'UA-normalized'!$A:$A, 0))-INDEX('UA-normalized'!$E:$E, MATCH($A158, 'UA-normalized'!$A:$A, 0))&gt;0, -(28*INDEX('UA-normalized'!$D:$D, MATCH($A158, 'UA-normalized'!$A:$A, 0))-INDEX('UA-normalized'!$E:$E, MATCH($A158, 'UA-normalized'!$A:$A, 0))), 0), 0))+(IFERROR(IF(28*INDEX('KZ-normalized'!$D:$D, MATCH($A158, 'KZ-normalized'!$A:$A, 0))-INDEX('KZ-normalized'!$E:$E, MATCH($A158, 'KZ-normalized'!$A:$A, 0))&gt;0, -(28*INDEX('KZ-normalized'!$D:$D, MATCH($A158, 'KZ-normalized'!$A:$A, 0))-INDEX('KZ-normalized'!$E:$E, MATCH($A158, 'KZ-normalized'!$A:$A, 0))), 0), 0))+(IFERROR(IF(28*INDEX('UZ-normalized'!$D:$D, MATCH($A158, 'UZ-normalized'!$A:$A, 0))-INDEX('UZ-normalized'!$E:$E, MATCH($A158, 'UZ-normalized'!$A:$A, 0))&gt;0, -(28*INDEX('UZ-normalized'!$D:$D, MATCH($A158, 'UZ-normalized'!$A:$A, 0))-INDEX('UZ-normalized'!$E:$E, MATCH($A158, 'UZ-normalized'!$A:$A, 0))), 0), 0)))</f>
        <v>0</v>
      </c>
      <c r="AQ158" s="6">
        <f>MIN(0, N158+(IFERROR(IF(29*INDEX('UA-normalized'!$D:$D, MATCH($A158, 'UA-normalized'!$A:$A, 0))-INDEX('UA-normalized'!$E:$E, MATCH($A158, 'UA-normalized'!$A:$A, 0))&gt;0, -(29*INDEX('UA-normalized'!$D:$D, MATCH($A158, 'UA-normalized'!$A:$A, 0))-INDEX('UA-normalized'!$E:$E, MATCH($A158, 'UA-normalized'!$A:$A, 0))), 0), 0))+(IFERROR(IF(29*INDEX('KZ-normalized'!$D:$D, MATCH($A158, 'KZ-normalized'!$A:$A, 0))-INDEX('KZ-normalized'!$E:$E, MATCH($A158, 'KZ-normalized'!$A:$A, 0))&gt;0, -(29*INDEX('KZ-normalized'!$D:$D, MATCH($A158, 'KZ-normalized'!$A:$A, 0))-INDEX('KZ-normalized'!$E:$E, MATCH($A158, 'KZ-normalized'!$A:$A, 0))), 0), 0))+(IFERROR(IF(29*INDEX('UZ-normalized'!$D:$D, MATCH($A158, 'UZ-normalized'!$A:$A, 0))-INDEX('UZ-normalized'!$E:$E, MATCH($A158, 'UZ-normalized'!$A:$A, 0))&gt;0, -(29*INDEX('UZ-normalized'!$D:$D, MATCH($A158, 'UZ-normalized'!$A:$A, 0))-INDEX('UZ-normalized'!$E:$E, MATCH($A158, 'UZ-normalized'!$A:$A, 0))), 0), 0)))</f>
        <v>0</v>
      </c>
      <c r="AR158" s="6">
        <f>MIN(0, N158+(IFERROR(IF(30*INDEX('UA-normalized'!$D:$D, MATCH($A158, 'UA-normalized'!$A:$A, 0))-INDEX('UA-normalized'!$E:$E, MATCH($A158, 'UA-normalized'!$A:$A, 0))&gt;0, -(30*INDEX('UA-normalized'!$D:$D, MATCH($A158, 'UA-normalized'!$A:$A, 0))-INDEX('UA-normalized'!$E:$E, MATCH($A158, 'UA-normalized'!$A:$A, 0))), 0), 0))+(IFERROR(IF(30*INDEX('KZ-normalized'!$D:$D, MATCH($A158, 'KZ-normalized'!$A:$A, 0))-INDEX('KZ-normalized'!$E:$E, MATCH($A158, 'KZ-normalized'!$A:$A, 0))&gt;0, -(30*INDEX('KZ-normalized'!$D:$D, MATCH($A158, 'KZ-normalized'!$A:$A, 0))-INDEX('KZ-normalized'!$E:$E, MATCH($A158, 'KZ-normalized'!$A:$A, 0))), 0), 0))+(IFERROR(IF(30*INDEX('UZ-normalized'!$D:$D, MATCH($A158, 'UZ-normalized'!$A:$A, 0))-INDEX('UZ-normalized'!$E:$E, MATCH($A158, 'UZ-normalized'!$A:$A, 0))&gt;0, -(30*INDEX('UZ-normalized'!$D:$D, MATCH($A158, 'UZ-normalized'!$A:$A, 0))-INDEX('UZ-normalized'!$E:$E, MATCH($A158, 'UZ-normalized'!$A:$A, 0))), 0), 0)))</f>
        <v>0</v>
      </c>
    </row>
    <row r="159" spans="1:44" x14ac:dyDescent="0.25">
      <c r="A159" s="8" t="s">
        <v>382</v>
      </c>
      <c r="B159" s="8" t="s">
        <v>363</v>
      </c>
      <c r="C159" s="8" t="s">
        <v>364</v>
      </c>
      <c r="D159" s="8" t="s">
        <v>383</v>
      </c>
      <c r="E159">
        <v>500</v>
      </c>
      <c r="G159">
        <v>-50</v>
      </c>
      <c r="N159">
        <f t="shared" si="2"/>
        <v>450</v>
      </c>
      <c r="O159" s="6">
        <f>MIN(0, N159+(IFERROR(IF(1*INDEX('UA-normalized'!$D:$D, MATCH($A159, 'UA-normalized'!$A:$A, 0))-INDEX('UA-normalized'!$E:$E, MATCH($A159, 'UA-normalized'!$A:$A, 0))&gt;0, -(1*INDEX('UA-normalized'!$D:$D, MATCH($A159, 'UA-normalized'!$A:$A, 0))-INDEX('UA-normalized'!$E:$E, MATCH($A159, 'UA-normalized'!$A:$A, 0))), 0), 0))+(IFERROR(IF(1*INDEX('KZ-normalized'!$D:$D, MATCH($A159, 'KZ-normalized'!$A:$A, 0))-INDEX('KZ-normalized'!$E:$E, MATCH($A159, 'KZ-normalized'!$A:$A, 0))&gt;0, -(1*INDEX('KZ-normalized'!$D:$D, MATCH($A159, 'KZ-normalized'!$A:$A, 0))-INDEX('KZ-normalized'!$E:$E, MATCH($A159, 'KZ-normalized'!$A:$A, 0))), 0), 0))+(IFERROR(IF(1*INDEX('UZ-normalized'!$D:$D, MATCH($A159, 'UZ-normalized'!$A:$A, 0))-INDEX('UZ-normalized'!$E:$E, MATCH($A159, 'UZ-normalized'!$A:$A, 0))&gt;0, -(1*INDEX('UZ-normalized'!$D:$D, MATCH($A159, 'UZ-normalized'!$A:$A, 0))-INDEX('UZ-normalized'!$E:$E, MATCH($A159, 'UZ-normalized'!$A:$A, 0))), 0), 0)))</f>
        <v>0</v>
      </c>
      <c r="P159" s="6">
        <f>MIN(0, N159+(IFERROR(IF(2*INDEX('UA-normalized'!$D:$D, MATCH($A159, 'UA-normalized'!$A:$A, 0))-INDEX('UA-normalized'!$E:$E, MATCH($A159, 'UA-normalized'!$A:$A, 0))&gt;0, -(2*INDEX('UA-normalized'!$D:$D, MATCH($A159, 'UA-normalized'!$A:$A, 0))-INDEX('UA-normalized'!$E:$E, MATCH($A159, 'UA-normalized'!$A:$A, 0))), 0), 0))+(IFERROR(IF(2*INDEX('KZ-normalized'!$D:$D, MATCH($A159, 'KZ-normalized'!$A:$A, 0))-INDEX('KZ-normalized'!$E:$E, MATCH($A159, 'KZ-normalized'!$A:$A, 0))&gt;0, -(2*INDEX('KZ-normalized'!$D:$D, MATCH($A159, 'KZ-normalized'!$A:$A, 0))-INDEX('KZ-normalized'!$E:$E, MATCH($A159, 'KZ-normalized'!$A:$A, 0))), 0), 0))+(IFERROR(IF(2*INDEX('UZ-normalized'!$D:$D, MATCH($A159, 'UZ-normalized'!$A:$A, 0))-INDEX('UZ-normalized'!$E:$E, MATCH($A159, 'UZ-normalized'!$A:$A, 0))&gt;0, -(2*INDEX('UZ-normalized'!$D:$D, MATCH($A159, 'UZ-normalized'!$A:$A, 0))-INDEX('UZ-normalized'!$E:$E, MATCH($A159, 'UZ-normalized'!$A:$A, 0))), 0), 0)))</f>
        <v>0</v>
      </c>
      <c r="Q159" s="6">
        <f>MIN(0, N159+(IFERROR(IF(3*INDEX('UA-normalized'!$D:$D, MATCH($A159, 'UA-normalized'!$A:$A, 0))-INDEX('UA-normalized'!$E:$E, MATCH($A159, 'UA-normalized'!$A:$A, 0))&gt;0, -(3*INDEX('UA-normalized'!$D:$D, MATCH($A159, 'UA-normalized'!$A:$A, 0))-INDEX('UA-normalized'!$E:$E, MATCH($A159, 'UA-normalized'!$A:$A, 0))), 0), 0))+(IFERROR(IF(3*INDEX('KZ-normalized'!$D:$D, MATCH($A159, 'KZ-normalized'!$A:$A, 0))-INDEX('KZ-normalized'!$E:$E, MATCH($A159, 'KZ-normalized'!$A:$A, 0))&gt;0, -(3*INDEX('KZ-normalized'!$D:$D, MATCH($A159, 'KZ-normalized'!$A:$A, 0))-INDEX('KZ-normalized'!$E:$E, MATCH($A159, 'KZ-normalized'!$A:$A, 0))), 0), 0))+(IFERROR(IF(3*INDEX('UZ-normalized'!$D:$D, MATCH($A159, 'UZ-normalized'!$A:$A, 0))-INDEX('UZ-normalized'!$E:$E, MATCH($A159, 'UZ-normalized'!$A:$A, 0))&gt;0, -(3*INDEX('UZ-normalized'!$D:$D, MATCH($A159, 'UZ-normalized'!$A:$A, 0))-INDEX('UZ-normalized'!$E:$E, MATCH($A159, 'UZ-normalized'!$A:$A, 0))), 0), 0)))</f>
        <v>0</v>
      </c>
      <c r="R159" s="6">
        <f>MIN(0, N159+(IFERROR(IF(4*INDEX('UA-normalized'!$D:$D, MATCH($A159, 'UA-normalized'!$A:$A, 0))-INDEX('UA-normalized'!$E:$E, MATCH($A159, 'UA-normalized'!$A:$A, 0))&gt;0, -(4*INDEX('UA-normalized'!$D:$D, MATCH($A159, 'UA-normalized'!$A:$A, 0))-INDEX('UA-normalized'!$E:$E, MATCH($A159, 'UA-normalized'!$A:$A, 0))), 0), 0))+(IFERROR(IF(4*INDEX('KZ-normalized'!$D:$D, MATCH($A159, 'KZ-normalized'!$A:$A, 0))-INDEX('KZ-normalized'!$E:$E, MATCH($A159, 'KZ-normalized'!$A:$A, 0))&gt;0, -(4*INDEX('KZ-normalized'!$D:$D, MATCH($A159, 'KZ-normalized'!$A:$A, 0))-INDEX('KZ-normalized'!$E:$E, MATCH($A159, 'KZ-normalized'!$A:$A, 0))), 0), 0))+(IFERROR(IF(4*INDEX('UZ-normalized'!$D:$D, MATCH($A159, 'UZ-normalized'!$A:$A, 0))-INDEX('UZ-normalized'!$E:$E, MATCH($A159, 'UZ-normalized'!$A:$A, 0))&gt;0, -(4*INDEX('UZ-normalized'!$D:$D, MATCH($A159, 'UZ-normalized'!$A:$A, 0))-INDEX('UZ-normalized'!$E:$E, MATCH($A159, 'UZ-normalized'!$A:$A, 0))), 0), 0)))</f>
        <v>0</v>
      </c>
      <c r="S159" s="6">
        <f>MIN(0, N159+(IFERROR(IF(5*INDEX('UA-normalized'!$D:$D, MATCH($A159, 'UA-normalized'!$A:$A, 0))-INDEX('UA-normalized'!$E:$E, MATCH($A159, 'UA-normalized'!$A:$A, 0))&gt;0, -(5*INDEX('UA-normalized'!$D:$D, MATCH($A159, 'UA-normalized'!$A:$A, 0))-INDEX('UA-normalized'!$E:$E, MATCH($A159, 'UA-normalized'!$A:$A, 0))), 0), 0))+(IFERROR(IF(5*INDEX('KZ-normalized'!$D:$D, MATCH($A159, 'KZ-normalized'!$A:$A, 0))-INDEX('KZ-normalized'!$E:$E, MATCH($A159, 'KZ-normalized'!$A:$A, 0))&gt;0, -(5*INDEX('KZ-normalized'!$D:$D, MATCH($A159, 'KZ-normalized'!$A:$A, 0))-INDEX('KZ-normalized'!$E:$E, MATCH($A159, 'KZ-normalized'!$A:$A, 0))), 0), 0))+(IFERROR(IF(5*INDEX('UZ-normalized'!$D:$D, MATCH($A159, 'UZ-normalized'!$A:$A, 0))-INDEX('UZ-normalized'!$E:$E, MATCH($A159, 'UZ-normalized'!$A:$A, 0))&gt;0, -(5*INDEX('UZ-normalized'!$D:$D, MATCH($A159, 'UZ-normalized'!$A:$A, 0))-INDEX('UZ-normalized'!$E:$E, MATCH($A159, 'UZ-normalized'!$A:$A, 0))), 0), 0)))</f>
        <v>0</v>
      </c>
      <c r="T159" s="6">
        <f>MIN(0, N159+(IFERROR(IF(6*INDEX('UA-normalized'!$D:$D, MATCH($A159, 'UA-normalized'!$A:$A, 0))-INDEX('UA-normalized'!$E:$E, MATCH($A159, 'UA-normalized'!$A:$A, 0))&gt;0, -(6*INDEX('UA-normalized'!$D:$D, MATCH($A159, 'UA-normalized'!$A:$A, 0))-INDEX('UA-normalized'!$E:$E, MATCH($A159, 'UA-normalized'!$A:$A, 0))), 0), 0))+(IFERROR(IF(6*INDEX('KZ-normalized'!$D:$D, MATCH($A159, 'KZ-normalized'!$A:$A, 0))-INDEX('KZ-normalized'!$E:$E, MATCH($A159, 'KZ-normalized'!$A:$A, 0))&gt;0, -(6*INDEX('KZ-normalized'!$D:$D, MATCH($A159, 'KZ-normalized'!$A:$A, 0))-INDEX('KZ-normalized'!$E:$E, MATCH($A159, 'KZ-normalized'!$A:$A, 0))), 0), 0))+(IFERROR(IF(6*INDEX('UZ-normalized'!$D:$D, MATCH($A159, 'UZ-normalized'!$A:$A, 0))-INDEX('UZ-normalized'!$E:$E, MATCH($A159, 'UZ-normalized'!$A:$A, 0))&gt;0, -(6*INDEX('UZ-normalized'!$D:$D, MATCH($A159, 'UZ-normalized'!$A:$A, 0))-INDEX('UZ-normalized'!$E:$E, MATCH($A159, 'UZ-normalized'!$A:$A, 0))), 0), 0)))</f>
        <v>0</v>
      </c>
      <c r="U159" s="6">
        <f>MIN(0, N159+(IFERROR(IF(7*INDEX('UA-normalized'!$D:$D, MATCH($A159, 'UA-normalized'!$A:$A, 0))-INDEX('UA-normalized'!$E:$E, MATCH($A159, 'UA-normalized'!$A:$A, 0))&gt;0, -(7*INDEX('UA-normalized'!$D:$D, MATCH($A159, 'UA-normalized'!$A:$A, 0))-INDEX('UA-normalized'!$E:$E, MATCH($A159, 'UA-normalized'!$A:$A, 0))), 0), 0))+(IFERROR(IF(7*INDEX('KZ-normalized'!$D:$D, MATCH($A159, 'KZ-normalized'!$A:$A, 0))-INDEX('KZ-normalized'!$E:$E, MATCH($A159, 'KZ-normalized'!$A:$A, 0))&gt;0, -(7*INDEX('KZ-normalized'!$D:$D, MATCH($A159, 'KZ-normalized'!$A:$A, 0))-INDEX('KZ-normalized'!$E:$E, MATCH($A159, 'KZ-normalized'!$A:$A, 0))), 0), 0))+(IFERROR(IF(7*INDEX('UZ-normalized'!$D:$D, MATCH($A159, 'UZ-normalized'!$A:$A, 0))-INDEX('UZ-normalized'!$E:$E, MATCH($A159, 'UZ-normalized'!$A:$A, 0))&gt;0, -(7*INDEX('UZ-normalized'!$D:$D, MATCH($A159, 'UZ-normalized'!$A:$A, 0))-INDEX('UZ-normalized'!$E:$E, MATCH($A159, 'UZ-normalized'!$A:$A, 0))), 0), 0)))</f>
        <v>0</v>
      </c>
      <c r="V159" s="6">
        <f>MIN(0, N159+(IFERROR(IF(8*INDEX('UA-normalized'!$D:$D, MATCH($A159, 'UA-normalized'!$A:$A, 0))-INDEX('UA-normalized'!$E:$E, MATCH($A159, 'UA-normalized'!$A:$A, 0))&gt;0, -(8*INDEX('UA-normalized'!$D:$D, MATCH($A159, 'UA-normalized'!$A:$A, 0))-INDEX('UA-normalized'!$E:$E, MATCH($A159, 'UA-normalized'!$A:$A, 0))), 0), 0))+(IFERROR(IF(8*INDEX('KZ-normalized'!$D:$D, MATCH($A159, 'KZ-normalized'!$A:$A, 0))-INDEX('KZ-normalized'!$E:$E, MATCH($A159, 'KZ-normalized'!$A:$A, 0))&gt;0, -(8*INDEX('KZ-normalized'!$D:$D, MATCH($A159, 'KZ-normalized'!$A:$A, 0))-INDEX('KZ-normalized'!$E:$E, MATCH($A159, 'KZ-normalized'!$A:$A, 0))), 0), 0))+(IFERROR(IF(8*INDEX('UZ-normalized'!$D:$D, MATCH($A159, 'UZ-normalized'!$A:$A, 0))-INDEX('UZ-normalized'!$E:$E, MATCH($A159, 'UZ-normalized'!$A:$A, 0))&gt;0, -(8*INDEX('UZ-normalized'!$D:$D, MATCH($A159, 'UZ-normalized'!$A:$A, 0))-INDEX('UZ-normalized'!$E:$E, MATCH($A159, 'UZ-normalized'!$A:$A, 0))), 0), 0)))</f>
        <v>0</v>
      </c>
      <c r="W159" s="6">
        <f>MIN(0, N159+(IFERROR(IF(9*INDEX('UA-normalized'!$D:$D, MATCH($A159, 'UA-normalized'!$A:$A, 0))-INDEX('UA-normalized'!$E:$E, MATCH($A159, 'UA-normalized'!$A:$A, 0))&gt;0, -(9*INDEX('UA-normalized'!$D:$D, MATCH($A159, 'UA-normalized'!$A:$A, 0))-INDEX('UA-normalized'!$E:$E, MATCH($A159, 'UA-normalized'!$A:$A, 0))), 0), 0))+(IFERROR(IF(9*INDEX('KZ-normalized'!$D:$D, MATCH($A159, 'KZ-normalized'!$A:$A, 0))-INDEX('KZ-normalized'!$E:$E, MATCH($A159, 'KZ-normalized'!$A:$A, 0))&gt;0, -(9*INDEX('KZ-normalized'!$D:$D, MATCH($A159, 'KZ-normalized'!$A:$A, 0))-INDEX('KZ-normalized'!$E:$E, MATCH($A159, 'KZ-normalized'!$A:$A, 0))), 0), 0))+(IFERROR(IF(9*INDEX('UZ-normalized'!$D:$D, MATCH($A159, 'UZ-normalized'!$A:$A, 0))-INDEX('UZ-normalized'!$E:$E, MATCH($A159, 'UZ-normalized'!$A:$A, 0))&gt;0, -(9*INDEX('UZ-normalized'!$D:$D, MATCH($A159, 'UZ-normalized'!$A:$A, 0))-INDEX('UZ-normalized'!$E:$E, MATCH($A159, 'UZ-normalized'!$A:$A, 0))), 0), 0)))</f>
        <v>0</v>
      </c>
      <c r="X159" s="6">
        <f>MIN(0, N159+(IFERROR(IF(10*INDEX('UA-normalized'!$D:$D, MATCH($A159, 'UA-normalized'!$A:$A, 0))-INDEX('UA-normalized'!$E:$E, MATCH($A159, 'UA-normalized'!$A:$A, 0))&gt;0, -(10*INDEX('UA-normalized'!$D:$D, MATCH($A159, 'UA-normalized'!$A:$A, 0))-INDEX('UA-normalized'!$E:$E, MATCH($A159, 'UA-normalized'!$A:$A, 0))), 0), 0))+(IFERROR(IF(10*INDEX('KZ-normalized'!$D:$D, MATCH($A159, 'KZ-normalized'!$A:$A, 0))-INDEX('KZ-normalized'!$E:$E, MATCH($A159, 'KZ-normalized'!$A:$A, 0))&gt;0, -(10*INDEX('KZ-normalized'!$D:$D, MATCH($A159, 'KZ-normalized'!$A:$A, 0))-INDEX('KZ-normalized'!$E:$E, MATCH($A159, 'KZ-normalized'!$A:$A, 0))), 0), 0))+(IFERROR(IF(10*INDEX('UZ-normalized'!$D:$D, MATCH($A159, 'UZ-normalized'!$A:$A, 0))-INDEX('UZ-normalized'!$E:$E, MATCH($A159, 'UZ-normalized'!$A:$A, 0))&gt;0, -(10*INDEX('UZ-normalized'!$D:$D, MATCH($A159, 'UZ-normalized'!$A:$A, 0))-INDEX('UZ-normalized'!$E:$E, MATCH($A159, 'UZ-normalized'!$A:$A, 0))), 0), 0)))</f>
        <v>0</v>
      </c>
      <c r="Y159" s="6">
        <f>MIN(0, N159+(IFERROR(IF(11*INDEX('UA-normalized'!$D:$D, MATCH($A159, 'UA-normalized'!$A:$A, 0))-INDEX('UA-normalized'!$E:$E, MATCH($A159, 'UA-normalized'!$A:$A, 0))&gt;0, -(11*INDEX('UA-normalized'!$D:$D, MATCH($A159, 'UA-normalized'!$A:$A, 0))-INDEX('UA-normalized'!$E:$E, MATCH($A159, 'UA-normalized'!$A:$A, 0))), 0), 0))+(IFERROR(IF(11*INDEX('KZ-normalized'!$D:$D, MATCH($A159, 'KZ-normalized'!$A:$A, 0))-INDEX('KZ-normalized'!$E:$E, MATCH($A159, 'KZ-normalized'!$A:$A, 0))&gt;0, -(11*INDEX('KZ-normalized'!$D:$D, MATCH($A159, 'KZ-normalized'!$A:$A, 0))-INDEX('KZ-normalized'!$E:$E, MATCH($A159, 'KZ-normalized'!$A:$A, 0))), 0), 0))+(IFERROR(IF(11*INDEX('UZ-normalized'!$D:$D, MATCH($A159, 'UZ-normalized'!$A:$A, 0))-INDEX('UZ-normalized'!$E:$E, MATCH($A159, 'UZ-normalized'!$A:$A, 0))&gt;0, -(11*INDEX('UZ-normalized'!$D:$D, MATCH($A159, 'UZ-normalized'!$A:$A, 0))-INDEX('UZ-normalized'!$E:$E, MATCH($A159, 'UZ-normalized'!$A:$A, 0))), 0), 0)))</f>
        <v>0</v>
      </c>
      <c r="Z159" s="6">
        <f>MIN(0, N159+(IFERROR(IF(12*INDEX('UA-normalized'!$D:$D, MATCH($A159, 'UA-normalized'!$A:$A, 0))-INDEX('UA-normalized'!$E:$E, MATCH($A159, 'UA-normalized'!$A:$A, 0))&gt;0, -(12*INDEX('UA-normalized'!$D:$D, MATCH($A159, 'UA-normalized'!$A:$A, 0))-INDEX('UA-normalized'!$E:$E, MATCH($A159, 'UA-normalized'!$A:$A, 0))), 0), 0))+(IFERROR(IF(12*INDEX('KZ-normalized'!$D:$D, MATCH($A159, 'KZ-normalized'!$A:$A, 0))-INDEX('KZ-normalized'!$E:$E, MATCH($A159, 'KZ-normalized'!$A:$A, 0))&gt;0, -(12*INDEX('KZ-normalized'!$D:$D, MATCH($A159, 'KZ-normalized'!$A:$A, 0))-INDEX('KZ-normalized'!$E:$E, MATCH($A159, 'KZ-normalized'!$A:$A, 0))), 0), 0))+(IFERROR(IF(12*INDEX('UZ-normalized'!$D:$D, MATCH($A159, 'UZ-normalized'!$A:$A, 0))-INDEX('UZ-normalized'!$E:$E, MATCH($A159, 'UZ-normalized'!$A:$A, 0))&gt;0, -(12*INDEX('UZ-normalized'!$D:$D, MATCH($A159, 'UZ-normalized'!$A:$A, 0))-INDEX('UZ-normalized'!$E:$E, MATCH($A159, 'UZ-normalized'!$A:$A, 0))), 0), 0)))</f>
        <v>0</v>
      </c>
      <c r="AA159" s="6">
        <f>MIN(0, N159+(IFERROR(IF(13*INDEX('UA-normalized'!$D:$D, MATCH($A159, 'UA-normalized'!$A:$A, 0))-INDEX('UA-normalized'!$E:$E, MATCH($A159, 'UA-normalized'!$A:$A, 0))&gt;0, -(13*INDEX('UA-normalized'!$D:$D, MATCH($A159, 'UA-normalized'!$A:$A, 0))-INDEX('UA-normalized'!$E:$E, MATCH($A159, 'UA-normalized'!$A:$A, 0))), 0), 0))+(IFERROR(IF(13*INDEX('KZ-normalized'!$D:$D, MATCH($A159, 'KZ-normalized'!$A:$A, 0))-INDEX('KZ-normalized'!$E:$E, MATCH($A159, 'KZ-normalized'!$A:$A, 0))&gt;0, -(13*INDEX('KZ-normalized'!$D:$D, MATCH($A159, 'KZ-normalized'!$A:$A, 0))-INDEX('KZ-normalized'!$E:$E, MATCH($A159, 'KZ-normalized'!$A:$A, 0))), 0), 0))+(IFERROR(IF(13*INDEX('UZ-normalized'!$D:$D, MATCH($A159, 'UZ-normalized'!$A:$A, 0))-INDEX('UZ-normalized'!$E:$E, MATCH($A159, 'UZ-normalized'!$A:$A, 0))&gt;0, -(13*INDEX('UZ-normalized'!$D:$D, MATCH($A159, 'UZ-normalized'!$A:$A, 0))-INDEX('UZ-normalized'!$E:$E, MATCH($A159, 'UZ-normalized'!$A:$A, 0))), 0), 0)))</f>
        <v>0</v>
      </c>
      <c r="AB159" s="6">
        <f>MIN(0, N159+(IFERROR(IF(14*INDEX('UA-normalized'!$D:$D, MATCH($A159, 'UA-normalized'!$A:$A, 0))-INDEX('UA-normalized'!$E:$E, MATCH($A159, 'UA-normalized'!$A:$A, 0))&gt;0, -(14*INDEX('UA-normalized'!$D:$D, MATCH($A159, 'UA-normalized'!$A:$A, 0))-INDEX('UA-normalized'!$E:$E, MATCH($A159, 'UA-normalized'!$A:$A, 0))), 0), 0))+(IFERROR(IF(14*INDEX('KZ-normalized'!$D:$D, MATCH($A159, 'KZ-normalized'!$A:$A, 0))-INDEX('KZ-normalized'!$E:$E, MATCH($A159, 'KZ-normalized'!$A:$A, 0))&gt;0, -(14*INDEX('KZ-normalized'!$D:$D, MATCH($A159, 'KZ-normalized'!$A:$A, 0))-INDEX('KZ-normalized'!$E:$E, MATCH($A159, 'KZ-normalized'!$A:$A, 0))), 0), 0))+(IFERROR(IF(14*INDEX('UZ-normalized'!$D:$D, MATCH($A159, 'UZ-normalized'!$A:$A, 0))-INDEX('UZ-normalized'!$E:$E, MATCH($A159, 'UZ-normalized'!$A:$A, 0))&gt;0, -(14*INDEX('UZ-normalized'!$D:$D, MATCH($A159, 'UZ-normalized'!$A:$A, 0))-INDEX('UZ-normalized'!$E:$E, MATCH($A159, 'UZ-normalized'!$A:$A, 0))), 0), 0)))</f>
        <v>0</v>
      </c>
      <c r="AC159" s="6">
        <f>MIN(0, N159+(IFERROR(IF(15*INDEX('UA-normalized'!$D:$D, MATCH($A159, 'UA-normalized'!$A:$A, 0))-INDEX('UA-normalized'!$E:$E, MATCH($A159, 'UA-normalized'!$A:$A, 0))&gt;0, -(15*INDEX('UA-normalized'!$D:$D, MATCH($A159, 'UA-normalized'!$A:$A, 0))-INDEX('UA-normalized'!$E:$E, MATCH($A159, 'UA-normalized'!$A:$A, 0))), 0), 0))+(IFERROR(IF(15*INDEX('KZ-normalized'!$D:$D, MATCH($A159, 'KZ-normalized'!$A:$A, 0))-INDEX('KZ-normalized'!$E:$E, MATCH($A159, 'KZ-normalized'!$A:$A, 0))&gt;0, -(15*INDEX('KZ-normalized'!$D:$D, MATCH($A159, 'KZ-normalized'!$A:$A, 0))-INDEX('KZ-normalized'!$E:$E, MATCH($A159, 'KZ-normalized'!$A:$A, 0))), 0), 0))+(IFERROR(IF(15*INDEX('UZ-normalized'!$D:$D, MATCH($A159, 'UZ-normalized'!$A:$A, 0))-INDEX('UZ-normalized'!$E:$E, MATCH($A159, 'UZ-normalized'!$A:$A, 0))&gt;0, -(15*INDEX('UZ-normalized'!$D:$D, MATCH($A159, 'UZ-normalized'!$A:$A, 0))-INDEX('UZ-normalized'!$E:$E, MATCH($A159, 'UZ-normalized'!$A:$A, 0))), 0), 0)))</f>
        <v>0</v>
      </c>
      <c r="AD159" s="6">
        <f>MIN(0, N159+(IFERROR(IF(16*INDEX('UA-normalized'!$D:$D, MATCH($A159, 'UA-normalized'!$A:$A, 0))-INDEX('UA-normalized'!$E:$E, MATCH($A159, 'UA-normalized'!$A:$A, 0))&gt;0, -(16*INDEX('UA-normalized'!$D:$D, MATCH($A159, 'UA-normalized'!$A:$A, 0))-INDEX('UA-normalized'!$E:$E, MATCH($A159, 'UA-normalized'!$A:$A, 0))), 0), 0))+(IFERROR(IF(16*INDEX('KZ-normalized'!$D:$D, MATCH($A159, 'KZ-normalized'!$A:$A, 0))-INDEX('KZ-normalized'!$E:$E, MATCH($A159, 'KZ-normalized'!$A:$A, 0))&gt;0, -(16*INDEX('KZ-normalized'!$D:$D, MATCH($A159, 'KZ-normalized'!$A:$A, 0))-INDEX('KZ-normalized'!$E:$E, MATCH($A159, 'KZ-normalized'!$A:$A, 0))), 0), 0))+(IFERROR(IF(16*INDEX('UZ-normalized'!$D:$D, MATCH($A159, 'UZ-normalized'!$A:$A, 0))-INDEX('UZ-normalized'!$E:$E, MATCH($A159, 'UZ-normalized'!$A:$A, 0))&gt;0, -(16*INDEX('UZ-normalized'!$D:$D, MATCH($A159, 'UZ-normalized'!$A:$A, 0))-INDEX('UZ-normalized'!$E:$E, MATCH($A159, 'UZ-normalized'!$A:$A, 0))), 0), 0)))</f>
        <v>0</v>
      </c>
      <c r="AE159" s="6">
        <f>MIN(0, N159+(IFERROR(IF(17*INDEX('UA-normalized'!$D:$D, MATCH($A159, 'UA-normalized'!$A:$A, 0))-INDEX('UA-normalized'!$E:$E, MATCH($A159, 'UA-normalized'!$A:$A, 0))&gt;0, -(17*INDEX('UA-normalized'!$D:$D, MATCH($A159, 'UA-normalized'!$A:$A, 0))-INDEX('UA-normalized'!$E:$E, MATCH($A159, 'UA-normalized'!$A:$A, 0))), 0), 0))+(IFERROR(IF(17*INDEX('KZ-normalized'!$D:$D, MATCH($A159, 'KZ-normalized'!$A:$A, 0))-INDEX('KZ-normalized'!$E:$E, MATCH($A159, 'KZ-normalized'!$A:$A, 0))&gt;0, -(17*INDEX('KZ-normalized'!$D:$D, MATCH($A159, 'KZ-normalized'!$A:$A, 0))-INDEX('KZ-normalized'!$E:$E, MATCH($A159, 'KZ-normalized'!$A:$A, 0))), 0), 0))+(IFERROR(IF(17*INDEX('UZ-normalized'!$D:$D, MATCH($A159, 'UZ-normalized'!$A:$A, 0))-INDEX('UZ-normalized'!$E:$E, MATCH($A159, 'UZ-normalized'!$A:$A, 0))&gt;0, -(17*INDEX('UZ-normalized'!$D:$D, MATCH($A159, 'UZ-normalized'!$A:$A, 0))-INDEX('UZ-normalized'!$E:$E, MATCH($A159, 'UZ-normalized'!$A:$A, 0))), 0), 0)))</f>
        <v>0</v>
      </c>
      <c r="AF159" s="6">
        <f>MIN(0, N159+(IFERROR(IF(18*INDEX('UA-normalized'!$D:$D, MATCH($A159, 'UA-normalized'!$A:$A, 0))-INDEX('UA-normalized'!$E:$E, MATCH($A159, 'UA-normalized'!$A:$A, 0))&gt;0, -(18*INDEX('UA-normalized'!$D:$D, MATCH($A159, 'UA-normalized'!$A:$A, 0))-INDEX('UA-normalized'!$E:$E, MATCH($A159, 'UA-normalized'!$A:$A, 0))), 0), 0))+(IFERROR(IF(18*INDEX('KZ-normalized'!$D:$D, MATCH($A159, 'KZ-normalized'!$A:$A, 0))-INDEX('KZ-normalized'!$E:$E, MATCH($A159, 'KZ-normalized'!$A:$A, 0))&gt;0, -(18*INDEX('KZ-normalized'!$D:$D, MATCH($A159, 'KZ-normalized'!$A:$A, 0))-INDEX('KZ-normalized'!$E:$E, MATCH($A159, 'KZ-normalized'!$A:$A, 0))), 0), 0))+(IFERROR(IF(18*INDEX('UZ-normalized'!$D:$D, MATCH($A159, 'UZ-normalized'!$A:$A, 0))-INDEX('UZ-normalized'!$E:$E, MATCH($A159, 'UZ-normalized'!$A:$A, 0))&gt;0, -(18*INDEX('UZ-normalized'!$D:$D, MATCH($A159, 'UZ-normalized'!$A:$A, 0))-INDEX('UZ-normalized'!$E:$E, MATCH($A159, 'UZ-normalized'!$A:$A, 0))), 0), 0)))</f>
        <v>0</v>
      </c>
      <c r="AG159" s="6">
        <f>MIN(0, N159+(IFERROR(IF(19*INDEX('UA-normalized'!$D:$D, MATCH($A159, 'UA-normalized'!$A:$A, 0))-INDEX('UA-normalized'!$E:$E, MATCH($A159, 'UA-normalized'!$A:$A, 0))&gt;0, -(19*INDEX('UA-normalized'!$D:$D, MATCH($A159, 'UA-normalized'!$A:$A, 0))-INDEX('UA-normalized'!$E:$E, MATCH($A159, 'UA-normalized'!$A:$A, 0))), 0), 0))+(IFERROR(IF(19*INDEX('KZ-normalized'!$D:$D, MATCH($A159, 'KZ-normalized'!$A:$A, 0))-INDEX('KZ-normalized'!$E:$E, MATCH($A159, 'KZ-normalized'!$A:$A, 0))&gt;0, -(19*INDEX('KZ-normalized'!$D:$D, MATCH($A159, 'KZ-normalized'!$A:$A, 0))-INDEX('KZ-normalized'!$E:$E, MATCH($A159, 'KZ-normalized'!$A:$A, 0))), 0), 0))+(IFERROR(IF(19*INDEX('UZ-normalized'!$D:$D, MATCH($A159, 'UZ-normalized'!$A:$A, 0))-INDEX('UZ-normalized'!$E:$E, MATCH($A159, 'UZ-normalized'!$A:$A, 0))&gt;0, -(19*INDEX('UZ-normalized'!$D:$D, MATCH($A159, 'UZ-normalized'!$A:$A, 0))-INDEX('UZ-normalized'!$E:$E, MATCH($A159, 'UZ-normalized'!$A:$A, 0))), 0), 0)))</f>
        <v>0</v>
      </c>
      <c r="AH159" s="6">
        <f>MIN(0, N159+(IFERROR(IF(20*INDEX('UA-normalized'!$D:$D, MATCH($A159, 'UA-normalized'!$A:$A, 0))-INDEX('UA-normalized'!$E:$E, MATCH($A159, 'UA-normalized'!$A:$A, 0))&gt;0, -(20*INDEX('UA-normalized'!$D:$D, MATCH($A159, 'UA-normalized'!$A:$A, 0))-INDEX('UA-normalized'!$E:$E, MATCH($A159, 'UA-normalized'!$A:$A, 0))), 0), 0))+(IFERROR(IF(20*INDEX('KZ-normalized'!$D:$D, MATCH($A159, 'KZ-normalized'!$A:$A, 0))-INDEX('KZ-normalized'!$E:$E, MATCH($A159, 'KZ-normalized'!$A:$A, 0))&gt;0, -(20*INDEX('KZ-normalized'!$D:$D, MATCH($A159, 'KZ-normalized'!$A:$A, 0))-INDEX('KZ-normalized'!$E:$E, MATCH($A159, 'KZ-normalized'!$A:$A, 0))), 0), 0))+(IFERROR(IF(20*INDEX('UZ-normalized'!$D:$D, MATCH($A159, 'UZ-normalized'!$A:$A, 0))-INDEX('UZ-normalized'!$E:$E, MATCH($A159, 'UZ-normalized'!$A:$A, 0))&gt;0, -(20*INDEX('UZ-normalized'!$D:$D, MATCH($A159, 'UZ-normalized'!$A:$A, 0))-INDEX('UZ-normalized'!$E:$E, MATCH($A159, 'UZ-normalized'!$A:$A, 0))), 0), 0)))</f>
        <v>0</v>
      </c>
      <c r="AI159" s="6">
        <f>MIN(0, N159+(IFERROR(IF(21*INDEX('UA-normalized'!$D:$D, MATCH($A159, 'UA-normalized'!$A:$A, 0))-INDEX('UA-normalized'!$E:$E, MATCH($A159, 'UA-normalized'!$A:$A, 0))&gt;0, -(21*INDEX('UA-normalized'!$D:$D, MATCH($A159, 'UA-normalized'!$A:$A, 0))-INDEX('UA-normalized'!$E:$E, MATCH($A159, 'UA-normalized'!$A:$A, 0))), 0), 0))+(IFERROR(IF(21*INDEX('KZ-normalized'!$D:$D, MATCH($A159, 'KZ-normalized'!$A:$A, 0))-INDEX('KZ-normalized'!$E:$E, MATCH($A159, 'KZ-normalized'!$A:$A, 0))&gt;0, -(21*INDEX('KZ-normalized'!$D:$D, MATCH($A159, 'KZ-normalized'!$A:$A, 0))-INDEX('KZ-normalized'!$E:$E, MATCH($A159, 'KZ-normalized'!$A:$A, 0))), 0), 0))+(IFERROR(IF(21*INDEX('UZ-normalized'!$D:$D, MATCH($A159, 'UZ-normalized'!$A:$A, 0))-INDEX('UZ-normalized'!$E:$E, MATCH($A159, 'UZ-normalized'!$A:$A, 0))&gt;0, -(21*INDEX('UZ-normalized'!$D:$D, MATCH($A159, 'UZ-normalized'!$A:$A, 0))-INDEX('UZ-normalized'!$E:$E, MATCH($A159, 'UZ-normalized'!$A:$A, 0))), 0), 0)))</f>
        <v>0</v>
      </c>
      <c r="AJ159" s="6">
        <f>MIN(0, N159+(IFERROR(IF(22*INDEX('UA-normalized'!$D:$D, MATCH($A159, 'UA-normalized'!$A:$A, 0))-INDEX('UA-normalized'!$E:$E, MATCH($A159, 'UA-normalized'!$A:$A, 0))&gt;0, -(22*INDEX('UA-normalized'!$D:$D, MATCH($A159, 'UA-normalized'!$A:$A, 0))-INDEX('UA-normalized'!$E:$E, MATCH($A159, 'UA-normalized'!$A:$A, 0))), 0), 0))+(IFERROR(IF(22*INDEX('KZ-normalized'!$D:$D, MATCH($A159, 'KZ-normalized'!$A:$A, 0))-INDEX('KZ-normalized'!$E:$E, MATCH($A159, 'KZ-normalized'!$A:$A, 0))&gt;0, -(22*INDEX('KZ-normalized'!$D:$D, MATCH($A159, 'KZ-normalized'!$A:$A, 0))-INDEX('KZ-normalized'!$E:$E, MATCH($A159, 'KZ-normalized'!$A:$A, 0))), 0), 0))+(IFERROR(IF(22*INDEX('UZ-normalized'!$D:$D, MATCH($A159, 'UZ-normalized'!$A:$A, 0))-INDEX('UZ-normalized'!$E:$E, MATCH($A159, 'UZ-normalized'!$A:$A, 0))&gt;0, -(22*INDEX('UZ-normalized'!$D:$D, MATCH($A159, 'UZ-normalized'!$A:$A, 0))-INDEX('UZ-normalized'!$E:$E, MATCH($A159, 'UZ-normalized'!$A:$A, 0))), 0), 0)))</f>
        <v>0</v>
      </c>
      <c r="AK159" s="6">
        <f>MIN(0, N159+(IFERROR(IF(23*INDEX('UA-normalized'!$D:$D, MATCH($A159, 'UA-normalized'!$A:$A, 0))-INDEX('UA-normalized'!$E:$E, MATCH($A159, 'UA-normalized'!$A:$A, 0))&gt;0, -(23*INDEX('UA-normalized'!$D:$D, MATCH($A159, 'UA-normalized'!$A:$A, 0))-INDEX('UA-normalized'!$E:$E, MATCH($A159, 'UA-normalized'!$A:$A, 0))), 0), 0))+(IFERROR(IF(23*INDEX('KZ-normalized'!$D:$D, MATCH($A159, 'KZ-normalized'!$A:$A, 0))-INDEX('KZ-normalized'!$E:$E, MATCH($A159, 'KZ-normalized'!$A:$A, 0))&gt;0, -(23*INDEX('KZ-normalized'!$D:$D, MATCH($A159, 'KZ-normalized'!$A:$A, 0))-INDEX('KZ-normalized'!$E:$E, MATCH($A159, 'KZ-normalized'!$A:$A, 0))), 0), 0))+(IFERROR(IF(23*INDEX('UZ-normalized'!$D:$D, MATCH($A159, 'UZ-normalized'!$A:$A, 0))-INDEX('UZ-normalized'!$E:$E, MATCH($A159, 'UZ-normalized'!$A:$A, 0))&gt;0, -(23*INDEX('UZ-normalized'!$D:$D, MATCH($A159, 'UZ-normalized'!$A:$A, 0))-INDEX('UZ-normalized'!$E:$E, MATCH($A159, 'UZ-normalized'!$A:$A, 0))), 0), 0)))</f>
        <v>0</v>
      </c>
      <c r="AL159" s="6">
        <f>MIN(0, N159+(IFERROR(IF(24*INDEX('UA-normalized'!$D:$D, MATCH($A159, 'UA-normalized'!$A:$A, 0))-INDEX('UA-normalized'!$E:$E, MATCH($A159, 'UA-normalized'!$A:$A, 0))&gt;0, -(24*INDEX('UA-normalized'!$D:$D, MATCH($A159, 'UA-normalized'!$A:$A, 0))-INDEX('UA-normalized'!$E:$E, MATCH($A159, 'UA-normalized'!$A:$A, 0))), 0), 0))+(IFERROR(IF(24*INDEX('KZ-normalized'!$D:$D, MATCH($A159, 'KZ-normalized'!$A:$A, 0))-INDEX('KZ-normalized'!$E:$E, MATCH($A159, 'KZ-normalized'!$A:$A, 0))&gt;0, -(24*INDEX('KZ-normalized'!$D:$D, MATCH($A159, 'KZ-normalized'!$A:$A, 0))-INDEX('KZ-normalized'!$E:$E, MATCH($A159, 'KZ-normalized'!$A:$A, 0))), 0), 0))+(IFERROR(IF(24*INDEX('UZ-normalized'!$D:$D, MATCH($A159, 'UZ-normalized'!$A:$A, 0))-INDEX('UZ-normalized'!$E:$E, MATCH($A159, 'UZ-normalized'!$A:$A, 0))&gt;0, -(24*INDEX('UZ-normalized'!$D:$D, MATCH($A159, 'UZ-normalized'!$A:$A, 0))-INDEX('UZ-normalized'!$E:$E, MATCH($A159, 'UZ-normalized'!$A:$A, 0))), 0), 0)))</f>
        <v>0</v>
      </c>
      <c r="AM159" s="6">
        <f>MIN(0, N159+(IFERROR(IF(25*INDEX('UA-normalized'!$D:$D, MATCH($A159, 'UA-normalized'!$A:$A, 0))-INDEX('UA-normalized'!$E:$E, MATCH($A159, 'UA-normalized'!$A:$A, 0))&gt;0, -(25*INDEX('UA-normalized'!$D:$D, MATCH($A159, 'UA-normalized'!$A:$A, 0))-INDEX('UA-normalized'!$E:$E, MATCH($A159, 'UA-normalized'!$A:$A, 0))), 0), 0))+(IFERROR(IF(25*INDEX('KZ-normalized'!$D:$D, MATCH($A159, 'KZ-normalized'!$A:$A, 0))-INDEX('KZ-normalized'!$E:$E, MATCH($A159, 'KZ-normalized'!$A:$A, 0))&gt;0, -(25*INDEX('KZ-normalized'!$D:$D, MATCH($A159, 'KZ-normalized'!$A:$A, 0))-INDEX('KZ-normalized'!$E:$E, MATCH($A159, 'KZ-normalized'!$A:$A, 0))), 0), 0))+(IFERROR(IF(25*INDEX('UZ-normalized'!$D:$D, MATCH($A159, 'UZ-normalized'!$A:$A, 0))-INDEX('UZ-normalized'!$E:$E, MATCH($A159, 'UZ-normalized'!$A:$A, 0))&gt;0, -(25*INDEX('UZ-normalized'!$D:$D, MATCH($A159, 'UZ-normalized'!$A:$A, 0))-INDEX('UZ-normalized'!$E:$E, MATCH($A159, 'UZ-normalized'!$A:$A, 0))), 0), 0)))</f>
        <v>0</v>
      </c>
      <c r="AN159" s="6">
        <f>MIN(0, N159+(IFERROR(IF(26*INDEX('UA-normalized'!$D:$D, MATCH($A159, 'UA-normalized'!$A:$A, 0))-INDEX('UA-normalized'!$E:$E, MATCH($A159, 'UA-normalized'!$A:$A, 0))&gt;0, -(26*INDEX('UA-normalized'!$D:$D, MATCH($A159, 'UA-normalized'!$A:$A, 0))-INDEX('UA-normalized'!$E:$E, MATCH($A159, 'UA-normalized'!$A:$A, 0))), 0), 0))+(IFERROR(IF(26*INDEX('KZ-normalized'!$D:$D, MATCH($A159, 'KZ-normalized'!$A:$A, 0))-INDEX('KZ-normalized'!$E:$E, MATCH($A159, 'KZ-normalized'!$A:$A, 0))&gt;0, -(26*INDEX('KZ-normalized'!$D:$D, MATCH($A159, 'KZ-normalized'!$A:$A, 0))-INDEX('KZ-normalized'!$E:$E, MATCH($A159, 'KZ-normalized'!$A:$A, 0))), 0), 0))+(IFERROR(IF(26*INDEX('UZ-normalized'!$D:$D, MATCH($A159, 'UZ-normalized'!$A:$A, 0))-INDEX('UZ-normalized'!$E:$E, MATCH($A159, 'UZ-normalized'!$A:$A, 0))&gt;0, -(26*INDEX('UZ-normalized'!$D:$D, MATCH($A159, 'UZ-normalized'!$A:$A, 0))-INDEX('UZ-normalized'!$E:$E, MATCH($A159, 'UZ-normalized'!$A:$A, 0))), 0), 0)))</f>
        <v>0</v>
      </c>
      <c r="AO159" s="6">
        <f>MIN(0, N159+(IFERROR(IF(27*INDEX('UA-normalized'!$D:$D, MATCH($A159, 'UA-normalized'!$A:$A, 0))-INDEX('UA-normalized'!$E:$E, MATCH($A159, 'UA-normalized'!$A:$A, 0))&gt;0, -(27*INDEX('UA-normalized'!$D:$D, MATCH($A159, 'UA-normalized'!$A:$A, 0))-INDEX('UA-normalized'!$E:$E, MATCH($A159, 'UA-normalized'!$A:$A, 0))), 0), 0))+(IFERROR(IF(27*INDEX('KZ-normalized'!$D:$D, MATCH($A159, 'KZ-normalized'!$A:$A, 0))-INDEX('KZ-normalized'!$E:$E, MATCH($A159, 'KZ-normalized'!$A:$A, 0))&gt;0, -(27*INDEX('KZ-normalized'!$D:$D, MATCH($A159, 'KZ-normalized'!$A:$A, 0))-INDEX('KZ-normalized'!$E:$E, MATCH($A159, 'KZ-normalized'!$A:$A, 0))), 0), 0))+(IFERROR(IF(27*INDEX('UZ-normalized'!$D:$D, MATCH($A159, 'UZ-normalized'!$A:$A, 0))-INDEX('UZ-normalized'!$E:$E, MATCH($A159, 'UZ-normalized'!$A:$A, 0))&gt;0, -(27*INDEX('UZ-normalized'!$D:$D, MATCH($A159, 'UZ-normalized'!$A:$A, 0))-INDEX('UZ-normalized'!$E:$E, MATCH($A159, 'UZ-normalized'!$A:$A, 0))), 0), 0)))</f>
        <v>0</v>
      </c>
      <c r="AP159" s="6">
        <f>MIN(0, N159+(IFERROR(IF(28*INDEX('UA-normalized'!$D:$D, MATCH($A159, 'UA-normalized'!$A:$A, 0))-INDEX('UA-normalized'!$E:$E, MATCH($A159, 'UA-normalized'!$A:$A, 0))&gt;0, -(28*INDEX('UA-normalized'!$D:$D, MATCH($A159, 'UA-normalized'!$A:$A, 0))-INDEX('UA-normalized'!$E:$E, MATCH($A159, 'UA-normalized'!$A:$A, 0))), 0), 0))+(IFERROR(IF(28*INDEX('KZ-normalized'!$D:$D, MATCH($A159, 'KZ-normalized'!$A:$A, 0))-INDEX('KZ-normalized'!$E:$E, MATCH($A159, 'KZ-normalized'!$A:$A, 0))&gt;0, -(28*INDEX('KZ-normalized'!$D:$D, MATCH($A159, 'KZ-normalized'!$A:$A, 0))-INDEX('KZ-normalized'!$E:$E, MATCH($A159, 'KZ-normalized'!$A:$A, 0))), 0), 0))+(IFERROR(IF(28*INDEX('UZ-normalized'!$D:$D, MATCH($A159, 'UZ-normalized'!$A:$A, 0))-INDEX('UZ-normalized'!$E:$E, MATCH($A159, 'UZ-normalized'!$A:$A, 0))&gt;0, -(28*INDEX('UZ-normalized'!$D:$D, MATCH($A159, 'UZ-normalized'!$A:$A, 0))-INDEX('UZ-normalized'!$E:$E, MATCH($A159, 'UZ-normalized'!$A:$A, 0))), 0), 0)))</f>
        <v>0</v>
      </c>
      <c r="AQ159" s="6">
        <f>MIN(0, N159+(IFERROR(IF(29*INDEX('UA-normalized'!$D:$D, MATCH($A159, 'UA-normalized'!$A:$A, 0))-INDEX('UA-normalized'!$E:$E, MATCH($A159, 'UA-normalized'!$A:$A, 0))&gt;0, -(29*INDEX('UA-normalized'!$D:$D, MATCH($A159, 'UA-normalized'!$A:$A, 0))-INDEX('UA-normalized'!$E:$E, MATCH($A159, 'UA-normalized'!$A:$A, 0))), 0), 0))+(IFERROR(IF(29*INDEX('KZ-normalized'!$D:$D, MATCH($A159, 'KZ-normalized'!$A:$A, 0))-INDEX('KZ-normalized'!$E:$E, MATCH($A159, 'KZ-normalized'!$A:$A, 0))&gt;0, -(29*INDEX('KZ-normalized'!$D:$D, MATCH($A159, 'KZ-normalized'!$A:$A, 0))-INDEX('KZ-normalized'!$E:$E, MATCH($A159, 'KZ-normalized'!$A:$A, 0))), 0), 0))+(IFERROR(IF(29*INDEX('UZ-normalized'!$D:$D, MATCH($A159, 'UZ-normalized'!$A:$A, 0))-INDEX('UZ-normalized'!$E:$E, MATCH($A159, 'UZ-normalized'!$A:$A, 0))&gt;0, -(29*INDEX('UZ-normalized'!$D:$D, MATCH($A159, 'UZ-normalized'!$A:$A, 0))-INDEX('UZ-normalized'!$E:$E, MATCH($A159, 'UZ-normalized'!$A:$A, 0))), 0), 0)))</f>
        <v>0</v>
      </c>
      <c r="AR159" s="6">
        <f>MIN(0, N159+(IFERROR(IF(30*INDEX('UA-normalized'!$D:$D, MATCH($A159, 'UA-normalized'!$A:$A, 0))-INDEX('UA-normalized'!$E:$E, MATCH($A159, 'UA-normalized'!$A:$A, 0))&gt;0, -(30*INDEX('UA-normalized'!$D:$D, MATCH($A159, 'UA-normalized'!$A:$A, 0))-INDEX('UA-normalized'!$E:$E, MATCH($A159, 'UA-normalized'!$A:$A, 0))), 0), 0))+(IFERROR(IF(30*INDEX('KZ-normalized'!$D:$D, MATCH($A159, 'KZ-normalized'!$A:$A, 0))-INDEX('KZ-normalized'!$E:$E, MATCH($A159, 'KZ-normalized'!$A:$A, 0))&gt;0, -(30*INDEX('KZ-normalized'!$D:$D, MATCH($A159, 'KZ-normalized'!$A:$A, 0))-INDEX('KZ-normalized'!$E:$E, MATCH($A159, 'KZ-normalized'!$A:$A, 0))), 0), 0))+(IFERROR(IF(30*INDEX('UZ-normalized'!$D:$D, MATCH($A159, 'UZ-normalized'!$A:$A, 0))-INDEX('UZ-normalized'!$E:$E, MATCH($A159, 'UZ-normalized'!$A:$A, 0))&gt;0, -(30*INDEX('UZ-normalized'!$D:$D, MATCH($A159, 'UZ-normalized'!$A:$A, 0))-INDEX('UZ-normalized'!$E:$E, MATCH($A159, 'UZ-normalized'!$A:$A, 0))), 0), 0)))</f>
        <v>0</v>
      </c>
    </row>
    <row r="160" spans="1:44" x14ac:dyDescent="0.25">
      <c r="A160" s="8" t="s">
        <v>384</v>
      </c>
      <c r="B160" s="8" t="s">
        <v>363</v>
      </c>
      <c r="C160" s="8" t="s">
        <v>364</v>
      </c>
      <c r="D160" s="8" t="s">
        <v>385</v>
      </c>
      <c r="N160">
        <f t="shared" si="2"/>
        <v>0</v>
      </c>
      <c r="O160" s="6">
        <f>MIN(0, N160+(IFERROR(IF(1*INDEX('UA-normalized'!$D:$D, MATCH($A160, 'UA-normalized'!$A:$A, 0))-INDEX('UA-normalized'!$E:$E, MATCH($A160, 'UA-normalized'!$A:$A, 0))&gt;0, -(1*INDEX('UA-normalized'!$D:$D, MATCH($A160, 'UA-normalized'!$A:$A, 0))-INDEX('UA-normalized'!$E:$E, MATCH($A160, 'UA-normalized'!$A:$A, 0))), 0), 0))+(IFERROR(IF(1*INDEX('KZ-normalized'!$D:$D, MATCH($A160, 'KZ-normalized'!$A:$A, 0))-INDEX('KZ-normalized'!$E:$E, MATCH($A160, 'KZ-normalized'!$A:$A, 0))&gt;0, -(1*INDEX('KZ-normalized'!$D:$D, MATCH($A160, 'KZ-normalized'!$A:$A, 0))-INDEX('KZ-normalized'!$E:$E, MATCH($A160, 'KZ-normalized'!$A:$A, 0))), 0), 0))+(IFERROR(IF(1*INDEX('UZ-normalized'!$D:$D, MATCH($A160, 'UZ-normalized'!$A:$A, 0))-INDEX('UZ-normalized'!$E:$E, MATCH($A160, 'UZ-normalized'!$A:$A, 0))&gt;0, -(1*INDEX('UZ-normalized'!$D:$D, MATCH($A160, 'UZ-normalized'!$A:$A, 0))-INDEX('UZ-normalized'!$E:$E, MATCH($A160, 'UZ-normalized'!$A:$A, 0))), 0), 0)))</f>
        <v>0</v>
      </c>
      <c r="P160" s="6">
        <f>MIN(0, N160+(IFERROR(IF(2*INDEX('UA-normalized'!$D:$D, MATCH($A160, 'UA-normalized'!$A:$A, 0))-INDEX('UA-normalized'!$E:$E, MATCH($A160, 'UA-normalized'!$A:$A, 0))&gt;0, -(2*INDEX('UA-normalized'!$D:$D, MATCH($A160, 'UA-normalized'!$A:$A, 0))-INDEX('UA-normalized'!$E:$E, MATCH($A160, 'UA-normalized'!$A:$A, 0))), 0), 0))+(IFERROR(IF(2*INDEX('KZ-normalized'!$D:$D, MATCH($A160, 'KZ-normalized'!$A:$A, 0))-INDEX('KZ-normalized'!$E:$E, MATCH($A160, 'KZ-normalized'!$A:$A, 0))&gt;0, -(2*INDEX('KZ-normalized'!$D:$D, MATCH($A160, 'KZ-normalized'!$A:$A, 0))-INDEX('KZ-normalized'!$E:$E, MATCH($A160, 'KZ-normalized'!$A:$A, 0))), 0), 0))+(IFERROR(IF(2*INDEX('UZ-normalized'!$D:$D, MATCH($A160, 'UZ-normalized'!$A:$A, 0))-INDEX('UZ-normalized'!$E:$E, MATCH($A160, 'UZ-normalized'!$A:$A, 0))&gt;0, -(2*INDEX('UZ-normalized'!$D:$D, MATCH($A160, 'UZ-normalized'!$A:$A, 0))-INDEX('UZ-normalized'!$E:$E, MATCH($A160, 'UZ-normalized'!$A:$A, 0))), 0), 0)))</f>
        <v>0</v>
      </c>
      <c r="Q160" s="6">
        <f>MIN(0, N160+(IFERROR(IF(3*INDEX('UA-normalized'!$D:$D, MATCH($A160, 'UA-normalized'!$A:$A, 0))-INDEX('UA-normalized'!$E:$E, MATCH($A160, 'UA-normalized'!$A:$A, 0))&gt;0, -(3*INDEX('UA-normalized'!$D:$D, MATCH($A160, 'UA-normalized'!$A:$A, 0))-INDEX('UA-normalized'!$E:$E, MATCH($A160, 'UA-normalized'!$A:$A, 0))), 0), 0))+(IFERROR(IF(3*INDEX('KZ-normalized'!$D:$D, MATCH($A160, 'KZ-normalized'!$A:$A, 0))-INDEX('KZ-normalized'!$E:$E, MATCH($A160, 'KZ-normalized'!$A:$A, 0))&gt;0, -(3*INDEX('KZ-normalized'!$D:$D, MATCH($A160, 'KZ-normalized'!$A:$A, 0))-INDEX('KZ-normalized'!$E:$E, MATCH($A160, 'KZ-normalized'!$A:$A, 0))), 0), 0))+(IFERROR(IF(3*INDEX('UZ-normalized'!$D:$D, MATCH($A160, 'UZ-normalized'!$A:$A, 0))-INDEX('UZ-normalized'!$E:$E, MATCH($A160, 'UZ-normalized'!$A:$A, 0))&gt;0, -(3*INDEX('UZ-normalized'!$D:$D, MATCH($A160, 'UZ-normalized'!$A:$A, 0))-INDEX('UZ-normalized'!$E:$E, MATCH($A160, 'UZ-normalized'!$A:$A, 0))), 0), 0)))</f>
        <v>0</v>
      </c>
      <c r="R160" s="6">
        <f>MIN(0, N160+(IFERROR(IF(4*INDEX('UA-normalized'!$D:$D, MATCH($A160, 'UA-normalized'!$A:$A, 0))-INDEX('UA-normalized'!$E:$E, MATCH($A160, 'UA-normalized'!$A:$A, 0))&gt;0, -(4*INDEX('UA-normalized'!$D:$D, MATCH($A160, 'UA-normalized'!$A:$A, 0))-INDEX('UA-normalized'!$E:$E, MATCH($A160, 'UA-normalized'!$A:$A, 0))), 0), 0))+(IFERROR(IF(4*INDEX('KZ-normalized'!$D:$D, MATCH($A160, 'KZ-normalized'!$A:$A, 0))-INDEX('KZ-normalized'!$E:$E, MATCH($A160, 'KZ-normalized'!$A:$A, 0))&gt;0, -(4*INDEX('KZ-normalized'!$D:$D, MATCH($A160, 'KZ-normalized'!$A:$A, 0))-INDEX('KZ-normalized'!$E:$E, MATCH($A160, 'KZ-normalized'!$A:$A, 0))), 0), 0))+(IFERROR(IF(4*INDEX('UZ-normalized'!$D:$D, MATCH($A160, 'UZ-normalized'!$A:$A, 0))-INDEX('UZ-normalized'!$E:$E, MATCH($A160, 'UZ-normalized'!$A:$A, 0))&gt;0, -(4*INDEX('UZ-normalized'!$D:$D, MATCH($A160, 'UZ-normalized'!$A:$A, 0))-INDEX('UZ-normalized'!$E:$E, MATCH($A160, 'UZ-normalized'!$A:$A, 0))), 0), 0)))</f>
        <v>0</v>
      </c>
      <c r="S160" s="6">
        <f>MIN(0, N160+(IFERROR(IF(5*INDEX('UA-normalized'!$D:$D, MATCH($A160, 'UA-normalized'!$A:$A, 0))-INDEX('UA-normalized'!$E:$E, MATCH($A160, 'UA-normalized'!$A:$A, 0))&gt;0, -(5*INDEX('UA-normalized'!$D:$D, MATCH($A160, 'UA-normalized'!$A:$A, 0))-INDEX('UA-normalized'!$E:$E, MATCH($A160, 'UA-normalized'!$A:$A, 0))), 0), 0))+(IFERROR(IF(5*INDEX('KZ-normalized'!$D:$D, MATCH($A160, 'KZ-normalized'!$A:$A, 0))-INDEX('KZ-normalized'!$E:$E, MATCH($A160, 'KZ-normalized'!$A:$A, 0))&gt;0, -(5*INDEX('KZ-normalized'!$D:$D, MATCH($A160, 'KZ-normalized'!$A:$A, 0))-INDEX('KZ-normalized'!$E:$E, MATCH($A160, 'KZ-normalized'!$A:$A, 0))), 0), 0))+(IFERROR(IF(5*INDEX('UZ-normalized'!$D:$D, MATCH($A160, 'UZ-normalized'!$A:$A, 0))-INDEX('UZ-normalized'!$E:$E, MATCH($A160, 'UZ-normalized'!$A:$A, 0))&gt;0, -(5*INDEX('UZ-normalized'!$D:$D, MATCH($A160, 'UZ-normalized'!$A:$A, 0))-INDEX('UZ-normalized'!$E:$E, MATCH($A160, 'UZ-normalized'!$A:$A, 0))), 0), 0)))</f>
        <v>0</v>
      </c>
      <c r="T160" s="6">
        <f>MIN(0, N160+(IFERROR(IF(6*INDEX('UA-normalized'!$D:$D, MATCH($A160, 'UA-normalized'!$A:$A, 0))-INDEX('UA-normalized'!$E:$E, MATCH($A160, 'UA-normalized'!$A:$A, 0))&gt;0, -(6*INDEX('UA-normalized'!$D:$D, MATCH($A160, 'UA-normalized'!$A:$A, 0))-INDEX('UA-normalized'!$E:$E, MATCH($A160, 'UA-normalized'!$A:$A, 0))), 0), 0))+(IFERROR(IF(6*INDEX('KZ-normalized'!$D:$D, MATCH($A160, 'KZ-normalized'!$A:$A, 0))-INDEX('KZ-normalized'!$E:$E, MATCH($A160, 'KZ-normalized'!$A:$A, 0))&gt;0, -(6*INDEX('KZ-normalized'!$D:$D, MATCH($A160, 'KZ-normalized'!$A:$A, 0))-INDEX('KZ-normalized'!$E:$E, MATCH($A160, 'KZ-normalized'!$A:$A, 0))), 0), 0))+(IFERROR(IF(6*INDEX('UZ-normalized'!$D:$D, MATCH($A160, 'UZ-normalized'!$A:$A, 0))-INDEX('UZ-normalized'!$E:$E, MATCH($A160, 'UZ-normalized'!$A:$A, 0))&gt;0, -(6*INDEX('UZ-normalized'!$D:$D, MATCH($A160, 'UZ-normalized'!$A:$A, 0))-INDEX('UZ-normalized'!$E:$E, MATCH($A160, 'UZ-normalized'!$A:$A, 0))), 0), 0)))</f>
        <v>0</v>
      </c>
      <c r="U160" s="6">
        <f>MIN(0, N160+(IFERROR(IF(7*INDEX('UA-normalized'!$D:$D, MATCH($A160, 'UA-normalized'!$A:$A, 0))-INDEX('UA-normalized'!$E:$E, MATCH($A160, 'UA-normalized'!$A:$A, 0))&gt;0, -(7*INDEX('UA-normalized'!$D:$D, MATCH($A160, 'UA-normalized'!$A:$A, 0))-INDEX('UA-normalized'!$E:$E, MATCH($A160, 'UA-normalized'!$A:$A, 0))), 0), 0))+(IFERROR(IF(7*INDEX('KZ-normalized'!$D:$D, MATCH($A160, 'KZ-normalized'!$A:$A, 0))-INDEX('KZ-normalized'!$E:$E, MATCH($A160, 'KZ-normalized'!$A:$A, 0))&gt;0, -(7*INDEX('KZ-normalized'!$D:$D, MATCH($A160, 'KZ-normalized'!$A:$A, 0))-INDEX('KZ-normalized'!$E:$E, MATCH($A160, 'KZ-normalized'!$A:$A, 0))), 0), 0))+(IFERROR(IF(7*INDEX('UZ-normalized'!$D:$D, MATCH($A160, 'UZ-normalized'!$A:$A, 0))-INDEX('UZ-normalized'!$E:$E, MATCH($A160, 'UZ-normalized'!$A:$A, 0))&gt;0, -(7*INDEX('UZ-normalized'!$D:$D, MATCH($A160, 'UZ-normalized'!$A:$A, 0))-INDEX('UZ-normalized'!$E:$E, MATCH($A160, 'UZ-normalized'!$A:$A, 0))), 0), 0)))</f>
        <v>0</v>
      </c>
      <c r="V160" s="6">
        <f>MIN(0, N160+(IFERROR(IF(8*INDEX('UA-normalized'!$D:$D, MATCH($A160, 'UA-normalized'!$A:$A, 0))-INDEX('UA-normalized'!$E:$E, MATCH($A160, 'UA-normalized'!$A:$A, 0))&gt;0, -(8*INDEX('UA-normalized'!$D:$D, MATCH($A160, 'UA-normalized'!$A:$A, 0))-INDEX('UA-normalized'!$E:$E, MATCH($A160, 'UA-normalized'!$A:$A, 0))), 0), 0))+(IFERROR(IF(8*INDEX('KZ-normalized'!$D:$D, MATCH($A160, 'KZ-normalized'!$A:$A, 0))-INDEX('KZ-normalized'!$E:$E, MATCH($A160, 'KZ-normalized'!$A:$A, 0))&gt;0, -(8*INDEX('KZ-normalized'!$D:$D, MATCH($A160, 'KZ-normalized'!$A:$A, 0))-INDEX('KZ-normalized'!$E:$E, MATCH($A160, 'KZ-normalized'!$A:$A, 0))), 0), 0))+(IFERROR(IF(8*INDEX('UZ-normalized'!$D:$D, MATCH($A160, 'UZ-normalized'!$A:$A, 0))-INDEX('UZ-normalized'!$E:$E, MATCH($A160, 'UZ-normalized'!$A:$A, 0))&gt;0, -(8*INDEX('UZ-normalized'!$D:$D, MATCH($A160, 'UZ-normalized'!$A:$A, 0))-INDEX('UZ-normalized'!$E:$E, MATCH($A160, 'UZ-normalized'!$A:$A, 0))), 0), 0)))</f>
        <v>0</v>
      </c>
      <c r="W160" s="6">
        <f>MIN(0, N160+(IFERROR(IF(9*INDEX('UA-normalized'!$D:$D, MATCH($A160, 'UA-normalized'!$A:$A, 0))-INDEX('UA-normalized'!$E:$E, MATCH($A160, 'UA-normalized'!$A:$A, 0))&gt;0, -(9*INDEX('UA-normalized'!$D:$D, MATCH($A160, 'UA-normalized'!$A:$A, 0))-INDEX('UA-normalized'!$E:$E, MATCH($A160, 'UA-normalized'!$A:$A, 0))), 0), 0))+(IFERROR(IF(9*INDEX('KZ-normalized'!$D:$D, MATCH($A160, 'KZ-normalized'!$A:$A, 0))-INDEX('KZ-normalized'!$E:$E, MATCH($A160, 'KZ-normalized'!$A:$A, 0))&gt;0, -(9*INDEX('KZ-normalized'!$D:$D, MATCH($A160, 'KZ-normalized'!$A:$A, 0))-INDEX('KZ-normalized'!$E:$E, MATCH($A160, 'KZ-normalized'!$A:$A, 0))), 0), 0))+(IFERROR(IF(9*INDEX('UZ-normalized'!$D:$D, MATCH($A160, 'UZ-normalized'!$A:$A, 0))-INDEX('UZ-normalized'!$E:$E, MATCH($A160, 'UZ-normalized'!$A:$A, 0))&gt;0, -(9*INDEX('UZ-normalized'!$D:$D, MATCH($A160, 'UZ-normalized'!$A:$A, 0))-INDEX('UZ-normalized'!$E:$E, MATCH($A160, 'UZ-normalized'!$A:$A, 0))), 0), 0)))</f>
        <v>0</v>
      </c>
      <c r="X160" s="6">
        <f>MIN(0, N160+(IFERROR(IF(10*INDEX('UA-normalized'!$D:$D, MATCH($A160, 'UA-normalized'!$A:$A, 0))-INDEX('UA-normalized'!$E:$E, MATCH($A160, 'UA-normalized'!$A:$A, 0))&gt;0, -(10*INDEX('UA-normalized'!$D:$D, MATCH($A160, 'UA-normalized'!$A:$A, 0))-INDEX('UA-normalized'!$E:$E, MATCH($A160, 'UA-normalized'!$A:$A, 0))), 0), 0))+(IFERROR(IF(10*INDEX('KZ-normalized'!$D:$D, MATCH($A160, 'KZ-normalized'!$A:$A, 0))-INDEX('KZ-normalized'!$E:$E, MATCH($A160, 'KZ-normalized'!$A:$A, 0))&gt;0, -(10*INDEX('KZ-normalized'!$D:$D, MATCH($A160, 'KZ-normalized'!$A:$A, 0))-INDEX('KZ-normalized'!$E:$E, MATCH($A160, 'KZ-normalized'!$A:$A, 0))), 0), 0))+(IFERROR(IF(10*INDEX('UZ-normalized'!$D:$D, MATCH($A160, 'UZ-normalized'!$A:$A, 0))-INDEX('UZ-normalized'!$E:$E, MATCH($A160, 'UZ-normalized'!$A:$A, 0))&gt;0, -(10*INDEX('UZ-normalized'!$D:$D, MATCH($A160, 'UZ-normalized'!$A:$A, 0))-INDEX('UZ-normalized'!$E:$E, MATCH($A160, 'UZ-normalized'!$A:$A, 0))), 0), 0)))</f>
        <v>0</v>
      </c>
      <c r="Y160" s="6">
        <f>MIN(0, N160+(IFERROR(IF(11*INDEX('UA-normalized'!$D:$D, MATCH($A160, 'UA-normalized'!$A:$A, 0))-INDEX('UA-normalized'!$E:$E, MATCH($A160, 'UA-normalized'!$A:$A, 0))&gt;0, -(11*INDEX('UA-normalized'!$D:$D, MATCH($A160, 'UA-normalized'!$A:$A, 0))-INDEX('UA-normalized'!$E:$E, MATCH($A160, 'UA-normalized'!$A:$A, 0))), 0), 0))+(IFERROR(IF(11*INDEX('KZ-normalized'!$D:$D, MATCH($A160, 'KZ-normalized'!$A:$A, 0))-INDEX('KZ-normalized'!$E:$E, MATCH($A160, 'KZ-normalized'!$A:$A, 0))&gt;0, -(11*INDEX('KZ-normalized'!$D:$D, MATCH($A160, 'KZ-normalized'!$A:$A, 0))-INDEX('KZ-normalized'!$E:$E, MATCH($A160, 'KZ-normalized'!$A:$A, 0))), 0), 0))+(IFERROR(IF(11*INDEX('UZ-normalized'!$D:$D, MATCH($A160, 'UZ-normalized'!$A:$A, 0))-INDEX('UZ-normalized'!$E:$E, MATCH($A160, 'UZ-normalized'!$A:$A, 0))&gt;0, -(11*INDEX('UZ-normalized'!$D:$D, MATCH($A160, 'UZ-normalized'!$A:$A, 0))-INDEX('UZ-normalized'!$E:$E, MATCH($A160, 'UZ-normalized'!$A:$A, 0))), 0), 0)))</f>
        <v>0</v>
      </c>
      <c r="Z160" s="6">
        <f>MIN(0, N160+(IFERROR(IF(12*INDEX('UA-normalized'!$D:$D, MATCH($A160, 'UA-normalized'!$A:$A, 0))-INDEX('UA-normalized'!$E:$E, MATCH($A160, 'UA-normalized'!$A:$A, 0))&gt;0, -(12*INDEX('UA-normalized'!$D:$D, MATCH($A160, 'UA-normalized'!$A:$A, 0))-INDEX('UA-normalized'!$E:$E, MATCH($A160, 'UA-normalized'!$A:$A, 0))), 0), 0))+(IFERROR(IF(12*INDEX('KZ-normalized'!$D:$D, MATCH($A160, 'KZ-normalized'!$A:$A, 0))-INDEX('KZ-normalized'!$E:$E, MATCH($A160, 'KZ-normalized'!$A:$A, 0))&gt;0, -(12*INDEX('KZ-normalized'!$D:$D, MATCH($A160, 'KZ-normalized'!$A:$A, 0))-INDEX('KZ-normalized'!$E:$E, MATCH($A160, 'KZ-normalized'!$A:$A, 0))), 0), 0))+(IFERROR(IF(12*INDEX('UZ-normalized'!$D:$D, MATCH($A160, 'UZ-normalized'!$A:$A, 0))-INDEX('UZ-normalized'!$E:$E, MATCH($A160, 'UZ-normalized'!$A:$A, 0))&gt;0, -(12*INDEX('UZ-normalized'!$D:$D, MATCH($A160, 'UZ-normalized'!$A:$A, 0))-INDEX('UZ-normalized'!$E:$E, MATCH($A160, 'UZ-normalized'!$A:$A, 0))), 0), 0)))</f>
        <v>0</v>
      </c>
      <c r="AA160" s="6">
        <f>MIN(0, N160+(IFERROR(IF(13*INDEX('UA-normalized'!$D:$D, MATCH($A160, 'UA-normalized'!$A:$A, 0))-INDEX('UA-normalized'!$E:$E, MATCH($A160, 'UA-normalized'!$A:$A, 0))&gt;0, -(13*INDEX('UA-normalized'!$D:$D, MATCH($A160, 'UA-normalized'!$A:$A, 0))-INDEX('UA-normalized'!$E:$E, MATCH($A160, 'UA-normalized'!$A:$A, 0))), 0), 0))+(IFERROR(IF(13*INDEX('KZ-normalized'!$D:$D, MATCH($A160, 'KZ-normalized'!$A:$A, 0))-INDEX('KZ-normalized'!$E:$E, MATCH($A160, 'KZ-normalized'!$A:$A, 0))&gt;0, -(13*INDEX('KZ-normalized'!$D:$D, MATCH($A160, 'KZ-normalized'!$A:$A, 0))-INDEX('KZ-normalized'!$E:$E, MATCH($A160, 'KZ-normalized'!$A:$A, 0))), 0), 0))+(IFERROR(IF(13*INDEX('UZ-normalized'!$D:$D, MATCH($A160, 'UZ-normalized'!$A:$A, 0))-INDEX('UZ-normalized'!$E:$E, MATCH($A160, 'UZ-normalized'!$A:$A, 0))&gt;0, -(13*INDEX('UZ-normalized'!$D:$D, MATCH($A160, 'UZ-normalized'!$A:$A, 0))-INDEX('UZ-normalized'!$E:$E, MATCH($A160, 'UZ-normalized'!$A:$A, 0))), 0), 0)))</f>
        <v>0</v>
      </c>
      <c r="AB160" s="6">
        <f>MIN(0, N160+(IFERROR(IF(14*INDEX('UA-normalized'!$D:$D, MATCH($A160, 'UA-normalized'!$A:$A, 0))-INDEX('UA-normalized'!$E:$E, MATCH($A160, 'UA-normalized'!$A:$A, 0))&gt;0, -(14*INDEX('UA-normalized'!$D:$D, MATCH($A160, 'UA-normalized'!$A:$A, 0))-INDEX('UA-normalized'!$E:$E, MATCH($A160, 'UA-normalized'!$A:$A, 0))), 0), 0))+(IFERROR(IF(14*INDEX('KZ-normalized'!$D:$D, MATCH($A160, 'KZ-normalized'!$A:$A, 0))-INDEX('KZ-normalized'!$E:$E, MATCH($A160, 'KZ-normalized'!$A:$A, 0))&gt;0, -(14*INDEX('KZ-normalized'!$D:$D, MATCH($A160, 'KZ-normalized'!$A:$A, 0))-INDEX('KZ-normalized'!$E:$E, MATCH($A160, 'KZ-normalized'!$A:$A, 0))), 0), 0))+(IFERROR(IF(14*INDEX('UZ-normalized'!$D:$D, MATCH($A160, 'UZ-normalized'!$A:$A, 0))-INDEX('UZ-normalized'!$E:$E, MATCH($A160, 'UZ-normalized'!$A:$A, 0))&gt;0, -(14*INDEX('UZ-normalized'!$D:$D, MATCH($A160, 'UZ-normalized'!$A:$A, 0))-INDEX('UZ-normalized'!$E:$E, MATCH($A160, 'UZ-normalized'!$A:$A, 0))), 0), 0)))</f>
        <v>0</v>
      </c>
      <c r="AC160" s="6">
        <f>MIN(0, N160+(IFERROR(IF(15*INDEX('UA-normalized'!$D:$D, MATCH($A160, 'UA-normalized'!$A:$A, 0))-INDEX('UA-normalized'!$E:$E, MATCH($A160, 'UA-normalized'!$A:$A, 0))&gt;0, -(15*INDEX('UA-normalized'!$D:$D, MATCH($A160, 'UA-normalized'!$A:$A, 0))-INDEX('UA-normalized'!$E:$E, MATCH($A160, 'UA-normalized'!$A:$A, 0))), 0), 0))+(IFERROR(IF(15*INDEX('KZ-normalized'!$D:$D, MATCH($A160, 'KZ-normalized'!$A:$A, 0))-INDEX('KZ-normalized'!$E:$E, MATCH($A160, 'KZ-normalized'!$A:$A, 0))&gt;0, -(15*INDEX('KZ-normalized'!$D:$D, MATCH($A160, 'KZ-normalized'!$A:$A, 0))-INDEX('KZ-normalized'!$E:$E, MATCH($A160, 'KZ-normalized'!$A:$A, 0))), 0), 0))+(IFERROR(IF(15*INDEX('UZ-normalized'!$D:$D, MATCH($A160, 'UZ-normalized'!$A:$A, 0))-INDEX('UZ-normalized'!$E:$E, MATCH($A160, 'UZ-normalized'!$A:$A, 0))&gt;0, -(15*INDEX('UZ-normalized'!$D:$D, MATCH($A160, 'UZ-normalized'!$A:$A, 0))-INDEX('UZ-normalized'!$E:$E, MATCH($A160, 'UZ-normalized'!$A:$A, 0))), 0), 0)))</f>
        <v>0</v>
      </c>
      <c r="AD160" s="6">
        <f>MIN(0, N160+(IFERROR(IF(16*INDEX('UA-normalized'!$D:$D, MATCH($A160, 'UA-normalized'!$A:$A, 0))-INDEX('UA-normalized'!$E:$E, MATCH($A160, 'UA-normalized'!$A:$A, 0))&gt;0, -(16*INDEX('UA-normalized'!$D:$D, MATCH($A160, 'UA-normalized'!$A:$A, 0))-INDEX('UA-normalized'!$E:$E, MATCH($A160, 'UA-normalized'!$A:$A, 0))), 0), 0))+(IFERROR(IF(16*INDEX('KZ-normalized'!$D:$D, MATCH($A160, 'KZ-normalized'!$A:$A, 0))-INDEX('KZ-normalized'!$E:$E, MATCH($A160, 'KZ-normalized'!$A:$A, 0))&gt;0, -(16*INDEX('KZ-normalized'!$D:$D, MATCH($A160, 'KZ-normalized'!$A:$A, 0))-INDEX('KZ-normalized'!$E:$E, MATCH($A160, 'KZ-normalized'!$A:$A, 0))), 0), 0))+(IFERROR(IF(16*INDEX('UZ-normalized'!$D:$D, MATCH($A160, 'UZ-normalized'!$A:$A, 0))-INDEX('UZ-normalized'!$E:$E, MATCH($A160, 'UZ-normalized'!$A:$A, 0))&gt;0, -(16*INDEX('UZ-normalized'!$D:$D, MATCH($A160, 'UZ-normalized'!$A:$A, 0))-INDEX('UZ-normalized'!$E:$E, MATCH($A160, 'UZ-normalized'!$A:$A, 0))), 0), 0)))</f>
        <v>0</v>
      </c>
      <c r="AE160" s="6">
        <f>MIN(0, N160+(IFERROR(IF(17*INDEX('UA-normalized'!$D:$D, MATCH($A160, 'UA-normalized'!$A:$A, 0))-INDEX('UA-normalized'!$E:$E, MATCH($A160, 'UA-normalized'!$A:$A, 0))&gt;0, -(17*INDEX('UA-normalized'!$D:$D, MATCH($A160, 'UA-normalized'!$A:$A, 0))-INDEX('UA-normalized'!$E:$E, MATCH($A160, 'UA-normalized'!$A:$A, 0))), 0), 0))+(IFERROR(IF(17*INDEX('KZ-normalized'!$D:$D, MATCH($A160, 'KZ-normalized'!$A:$A, 0))-INDEX('KZ-normalized'!$E:$E, MATCH($A160, 'KZ-normalized'!$A:$A, 0))&gt;0, -(17*INDEX('KZ-normalized'!$D:$D, MATCH($A160, 'KZ-normalized'!$A:$A, 0))-INDEX('KZ-normalized'!$E:$E, MATCH($A160, 'KZ-normalized'!$A:$A, 0))), 0), 0))+(IFERROR(IF(17*INDEX('UZ-normalized'!$D:$D, MATCH($A160, 'UZ-normalized'!$A:$A, 0))-INDEX('UZ-normalized'!$E:$E, MATCH($A160, 'UZ-normalized'!$A:$A, 0))&gt;0, -(17*INDEX('UZ-normalized'!$D:$D, MATCH($A160, 'UZ-normalized'!$A:$A, 0))-INDEX('UZ-normalized'!$E:$E, MATCH($A160, 'UZ-normalized'!$A:$A, 0))), 0), 0)))</f>
        <v>0</v>
      </c>
      <c r="AF160" s="6">
        <f>MIN(0, N160+(IFERROR(IF(18*INDEX('UA-normalized'!$D:$D, MATCH($A160, 'UA-normalized'!$A:$A, 0))-INDEX('UA-normalized'!$E:$E, MATCH($A160, 'UA-normalized'!$A:$A, 0))&gt;0, -(18*INDEX('UA-normalized'!$D:$D, MATCH($A160, 'UA-normalized'!$A:$A, 0))-INDEX('UA-normalized'!$E:$E, MATCH($A160, 'UA-normalized'!$A:$A, 0))), 0), 0))+(IFERROR(IF(18*INDEX('KZ-normalized'!$D:$D, MATCH($A160, 'KZ-normalized'!$A:$A, 0))-INDEX('KZ-normalized'!$E:$E, MATCH($A160, 'KZ-normalized'!$A:$A, 0))&gt;0, -(18*INDEX('KZ-normalized'!$D:$D, MATCH($A160, 'KZ-normalized'!$A:$A, 0))-INDEX('KZ-normalized'!$E:$E, MATCH($A160, 'KZ-normalized'!$A:$A, 0))), 0), 0))+(IFERROR(IF(18*INDEX('UZ-normalized'!$D:$D, MATCH($A160, 'UZ-normalized'!$A:$A, 0))-INDEX('UZ-normalized'!$E:$E, MATCH($A160, 'UZ-normalized'!$A:$A, 0))&gt;0, -(18*INDEX('UZ-normalized'!$D:$D, MATCH($A160, 'UZ-normalized'!$A:$A, 0))-INDEX('UZ-normalized'!$E:$E, MATCH($A160, 'UZ-normalized'!$A:$A, 0))), 0), 0)))</f>
        <v>0</v>
      </c>
      <c r="AG160" s="6">
        <f>MIN(0, N160+(IFERROR(IF(19*INDEX('UA-normalized'!$D:$D, MATCH($A160, 'UA-normalized'!$A:$A, 0))-INDEX('UA-normalized'!$E:$E, MATCH($A160, 'UA-normalized'!$A:$A, 0))&gt;0, -(19*INDEX('UA-normalized'!$D:$D, MATCH($A160, 'UA-normalized'!$A:$A, 0))-INDEX('UA-normalized'!$E:$E, MATCH($A160, 'UA-normalized'!$A:$A, 0))), 0), 0))+(IFERROR(IF(19*INDEX('KZ-normalized'!$D:$D, MATCH($A160, 'KZ-normalized'!$A:$A, 0))-INDEX('KZ-normalized'!$E:$E, MATCH($A160, 'KZ-normalized'!$A:$A, 0))&gt;0, -(19*INDEX('KZ-normalized'!$D:$D, MATCH($A160, 'KZ-normalized'!$A:$A, 0))-INDEX('KZ-normalized'!$E:$E, MATCH($A160, 'KZ-normalized'!$A:$A, 0))), 0), 0))+(IFERROR(IF(19*INDEX('UZ-normalized'!$D:$D, MATCH($A160, 'UZ-normalized'!$A:$A, 0))-INDEX('UZ-normalized'!$E:$E, MATCH($A160, 'UZ-normalized'!$A:$A, 0))&gt;0, -(19*INDEX('UZ-normalized'!$D:$D, MATCH($A160, 'UZ-normalized'!$A:$A, 0))-INDEX('UZ-normalized'!$E:$E, MATCH($A160, 'UZ-normalized'!$A:$A, 0))), 0), 0)))</f>
        <v>0</v>
      </c>
      <c r="AH160" s="6">
        <f>MIN(0, N160+(IFERROR(IF(20*INDEX('UA-normalized'!$D:$D, MATCH($A160, 'UA-normalized'!$A:$A, 0))-INDEX('UA-normalized'!$E:$E, MATCH($A160, 'UA-normalized'!$A:$A, 0))&gt;0, -(20*INDEX('UA-normalized'!$D:$D, MATCH($A160, 'UA-normalized'!$A:$A, 0))-INDEX('UA-normalized'!$E:$E, MATCH($A160, 'UA-normalized'!$A:$A, 0))), 0), 0))+(IFERROR(IF(20*INDEX('KZ-normalized'!$D:$D, MATCH($A160, 'KZ-normalized'!$A:$A, 0))-INDEX('KZ-normalized'!$E:$E, MATCH($A160, 'KZ-normalized'!$A:$A, 0))&gt;0, -(20*INDEX('KZ-normalized'!$D:$D, MATCH($A160, 'KZ-normalized'!$A:$A, 0))-INDEX('KZ-normalized'!$E:$E, MATCH($A160, 'KZ-normalized'!$A:$A, 0))), 0), 0))+(IFERROR(IF(20*INDEX('UZ-normalized'!$D:$D, MATCH($A160, 'UZ-normalized'!$A:$A, 0))-INDEX('UZ-normalized'!$E:$E, MATCH($A160, 'UZ-normalized'!$A:$A, 0))&gt;0, -(20*INDEX('UZ-normalized'!$D:$D, MATCH($A160, 'UZ-normalized'!$A:$A, 0))-INDEX('UZ-normalized'!$E:$E, MATCH($A160, 'UZ-normalized'!$A:$A, 0))), 0), 0)))</f>
        <v>0</v>
      </c>
      <c r="AI160" s="6">
        <f>MIN(0, N160+(IFERROR(IF(21*INDEX('UA-normalized'!$D:$D, MATCH($A160, 'UA-normalized'!$A:$A, 0))-INDEX('UA-normalized'!$E:$E, MATCH($A160, 'UA-normalized'!$A:$A, 0))&gt;0, -(21*INDEX('UA-normalized'!$D:$D, MATCH($A160, 'UA-normalized'!$A:$A, 0))-INDEX('UA-normalized'!$E:$E, MATCH($A160, 'UA-normalized'!$A:$A, 0))), 0), 0))+(IFERROR(IF(21*INDEX('KZ-normalized'!$D:$D, MATCH($A160, 'KZ-normalized'!$A:$A, 0))-INDEX('KZ-normalized'!$E:$E, MATCH($A160, 'KZ-normalized'!$A:$A, 0))&gt;0, -(21*INDEX('KZ-normalized'!$D:$D, MATCH($A160, 'KZ-normalized'!$A:$A, 0))-INDEX('KZ-normalized'!$E:$E, MATCH($A160, 'KZ-normalized'!$A:$A, 0))), 0), 0))+(IFERROR(IF(21*INDEX('UZ-normalized'!$D:$D, MATCH($A160, 'UZ-normalized'!$A:$A, 0))-INDEX('UZ-normalized'!$E:$E, MATCH($A160, 'UZ-normalized'!$A:$A, 0))&gt;0, -(21*INDEX('UZ-normalized'!$D:$D, MATCH($A160, 'UZ-normalized'!$A:$A, 0))-INDEX('UZ-normalized'!$E:$E, MATCH($A160, 'UZ-normalized'!$A:$A, 0))), 0), 0)))</f>
        <v>0</v>
      </c>
      <c r="AJ160" s="6">
        <f>MIN(0, N160+(IFERROR(IF(22*INDEX('UA-normalized'!$D:$D, MATCH($A160, 'UA-normalized'!$A:$A, 0))-INDEX('UA-normalized'!$E:$E, MATCH($A160, 'UA-normalized'!$A:$A, 0))&gt;0, -(22*INDEX('UA-normalized'!$D:$D, MATCH($A160, 'UA-normalized'!$A:$A, 0))-INDEX('UA-normalized'!$E:$E, MATCH($A160, 'UA-normalized'!$A:$A, 0))), 0), 0))+(IFERROR(IF(22*INDEX('KZ-normalized'!$D:$D, MATCH($A160, 'KZ-normalized'!$A:$A, 0))-INDEX('KZ-normalized'!$E:$E, MATCH($A160, 'KZ-normalized'!$A:$A, 0))&gt;0, -(22*INDEX('KZ-normalized'!$D:$D, MATCH($A160, 'KZ-normalized'!$A:$A, 0))-INDEX('KZ-normalized'!$E:$E, MATCH($A160, 'KZ-normalized'!$A:$A, 0))), 0), 0))+(IFERROR(IF(22*INDEX('UZ-normalized'!$D:$D, MATCH($A160, 'UZ-normalized'!$A:$A, 0))-INDEX('UZ-normalized'!$E:$E, MATCH($A160, 'UZ-normalized'!$A:$A, 0))&gt;0, -(22*INDEX('UZ-normalized'!$D:$D, MATCH($A160, 'UZ-normalized'!$A:$A, 0))-INDEX('UZ-normalized'!$E:$E, MATCH($A160, 'UZ-normalized'!$A:$A, 0))), 0), 0)))</f>
        <v>0</v>
      </c>
      <c r="AK160" s="6">
        <f>MIN(0, N160+(IFERROR(IF(23*INDEX('UA-normalized'!$D:$D, MATCH($A160, 'UA-normalized'!$A:$A, 0))-INDEX('UA-normalized'!$E:$E, MATCH($A160, 'UA-normalized'!$A:$A, 0))&gt;0, -(23*INDEX('UA-normalized'!$D:$D, MATCH($A160, 'UA-normalized'!$A:$A, 0))-INDEX('UA-normalized'!$E:$E, MATCH($A160, 'UA-normalized'!$A:$A, 0))), 0), 0))+(IFERROR(IF(23*INDEX('KZ-normalized'!$D:$D, MATCH($A160, 'KZ-normalized'!$A:$A, 0))-INDEX('KZ-normalized'!$E:$E, MATCH($A160, 'KZ-normalized'!$A:$A, 0))&gt;0, -(23*INDEX('KZ-normalized'!$D:$D, MATCH($A160, 'KZ-normalized'!$A:$A, 0))-INDEX('KZ-normalized'!$E:$E, MATCH($A160, 'KZ-normalized'!$A:$A, 0))), 0), 0))+(IFERROR(IF(23*INDEX('UZ-normalized'!$D:$D, MATCH($A160, 'UZ-normalized'!$A:$A, 0))-INDEX('UZ-normalized'!$E:$E, MATCH($A160, 'UZ-normalized'!$A:$A, 0))&gt;0, -(23*INDEX('UZ-normalized'!$D:$D, MATCH($A160, 'UZ-normalized'!$A:$A, 0))-INDEX('UZ-normalized'!$E:$E, MATCH($A160, 'UZ-normalized'!$A:$A, 0))), 0), 0)))</f>
        <v>0</v>
      </c>
      <c r="AL160" s="6">
        <f>MIN(0, N160+(IFERROR(IF(24*INDEX('UA-normalized'!$D:$D, MATCH($A160, 'UA-normalized'!$A:$A, 0))-INDEX('UA-normalized'!$E:$E, MATCH($A160, 'UA-normalized'!$A:$A, 0))&gt;0, -(24*INDEX('UA-normalized'!$D:$D, MATCH($A160, 'UA-normalized'!$A:$A, 0))-INDEX('UA-normalized'!$E:$E, MATCH($A160, 'UA-normalized'!$A:$A, 0))), 0), 0))+(IFERROR(IF(24*INDEX('KZ-normalized'!$D:$D, MATCH($A160, 'KZ-normalized'!$A:$A, 0))-INDEX('KZ-normalized'!$E:$E, MATCH($A160, 'KZ-normalized'!$A:$A, 0))&gt;0, -(24*INDEX('KZ-normalized'!$D:$D, MATCH($A160, 'KZ-normalized'!$A:$A, 0))-INDEX('KZ-normalized'!$E:$E, MATCH($A160, 'KZ-normalized'!$A:$A, 0))), 0), 0))+(IFERROR(IF(24*INDEX('UZ-normalized'!$D:$D, MATCH($A160, 'UZ-normalized'!$A:$A, 0))-INDEX('UZ-normalized'!$E:$E, MATCH($A160, 'UZ-normalized'!$A:$A, 0))&gt;0, -(24*INDEX('UZ-normalized'!$D:$D, MATCH($A160, 'UZ-normalized'!$A:$A, 0))-INDEX('UZ-normalized'!$E:$E, MATCH($A160, 'UZ-normalized'!$A:$A, 0))), 0), 0)))</f>
        <v>0</v>
      </c>
      <c r="AM160" s="6">
        <f>MIN(0, N160+(IFERROR(IF(25*INDEX('UA-normalized'!$D:$D, MATCH($A160, 'UA-normalized'!$A:$A, 0))-INDEX('UA-normalized'!$E:$E, MATCH($A160, 'UA-normalized'!$A:$A, 0))&gt;0, -(25*INDEX('UA-normalized'!$D:$D, MATCH($A160, 'UA-normalized'!$A:$A, 0))-INDEX('UA-normalized'!$E:$E, MATCH($A160, 'UA-normalized'!$A:$A, 0))), 0), 0))+(IFERROR(IF(25*INDEX('KZ-normalized'!$D:$D, MATCH($A160, 'KZ-normalized'!$A:$A, 0))-INDEX('KZ-normalized'!$E:$E, MATCH($A160, 'KZ-normalized'!$A:$A, 0))&gt;0, -(25*INDEX('KZ-normalized'!$D:$D, MATCH($A160, 'KZ-normalized'!$A:$A, 0))-INDEX('KZ-normalized'!$E:$E, MATCH($A160, 'KZ-normalized'!$A:$A, 0))), 0), 0))+(IFERROR(IF(25*INDEX('UZ-normalized'!$D:$D, MATCH($A160, 'UZ-normalized'!$A:$A, 0))-INDEX('UZ-normalized'!$E:$E, MATCH($A160, 'UZ-normalized'!$A:$A, 0))&gt;0, -(25*INDEX('UZ-normalized'!$D:$D, MATCH($A160, 'UZ-normalized'!$A:$A, 0))-INDEX('UZ-normalized'!$E:$E, MATCH($A160, 'UZ-normalized'!$A:$A, 0))), 0), 0)))</f>
        <v>0</v>
      </c>
      <c r="AN160" s="6">
        <f>MIN(0, N160+(IFERROR(IF(26*INDEX('UA-normalized'!$D:$D, MATCH($A160, 'UA-normalized'!$A:$A, 0))-INDEX('UA-normalized'!$E:$E, MATCH($A160, 'UA-normalized'!$A:$A, 0))&gt;0, -(26*INDEX('UA-normalized'!$D:$D, MATCH($A160, 'UA-normalized'!$A:$A, 0))-INDEX('UA-normalized'!$E:$E, MATCH($A160, 'UA-normalized'!$A:$A, 0))), 0), 0))+(IFERROR(IF(26*INDEX('KZ-normalized'!$D:$D, MATCH($A160, 'KZ-normalized'!$A:$A, 0))-INDEX('KZ-normalized'!$E:$E, MATCH($A160, 'KZ-normalized'!$A:$A, 0))&gt;0, -(26*INDEX('KZ-normalized'!$D:$D, MATCH($A160, 'KZ-normalized'!$A:$A, 0))-INDEX('KZ-normalized'!$E:$E, MATCH($A160, 'KZ-normalized'!$A:$A, 0))), 0), 0))+(IFERROR(IF(26*INDEX('UZ-normalized'!$D:$D, MATCH($A160, 'UZ-normalized'!$A:$A, 0))-INDEX('UZ-normalized'!$E:$E, MATCH($A160, 'UZ-normalized'!$A:$A, 0))&gt;0, -(26*INDEX('UZ-normalized'!$D:$D, MATCH($A160, 'UZ-normalized'!$A:$A, 0))-INDEX('UZ-normalized'!$E:$E, MATCH($A160, 'UZ-normalized'!$A:$A, 0))), 0), 0)))</f>
        <v>0</v>
      </c>
      <c r="AO160" s="6">
        <f>MIN(0, N160+(IFERROR(IF(27*INDEX('UA-normalized'!$D:$D, MATCH($A160, 'UA-normalized'!$A:$A, 0))-INDEX('UA-normalized'!$E:$E, MATCH($A160, 'UA-normalized'!$A:$A, 0))&gt;0, -(27*INDEX('UA-normalized'!$D:$D, MATCH($A160, 'UA-normalized'!$A:$A, 0))-INDEX('UA-normalized'!$E:$E, MATCH($A160, 'UA-normalized'!$A:$A, 0))), 0), 0))+(IFERROR(IF(27*INDEX('KZ-normalized'!$D:$D, MATCH($A160, 'KZ-normalized'!$A:$A, 0))-INDEX('KZ-normalized'!$E:$E, MATCH($A160, 'KZ-normalized'!$A:$A, 0))&gt;0, -(27*INDEX('KZ-normalized'!$D:$D, MATCH($A160, 'KZ-normalized'!$A:$A, 0))-INDEX('KZ-normalized'!$E:$E, MATCH($A160, 'KZ-normalized'!$A:$A, 0))), 0), 0))+(IFERROR(IF(27*INDEX('UZ-normalized'!$D:$D, MATCH($A160, 'UZ-normalized'!$A:$A, 0))-INDEX('UZ-normalized'!$E:$E, MATCH($A160, 'UZ-normalized'!$A:$A, 0))&gt;0, -(27*INDEX('UZ-normalized'!$D:$D, MATCH($A160, 'UZ-normalized'!$A:$A, 0))-INDEX('UZ-normalized'!$E:$E, MATCH($A160, 'UZ-normalized'!$A:$A, 0))), 0), 0)))</f>
        <v>0</v>
      </c>
      <c r="AP160" s="6">
        <f>MIN(0, N160+(IFERROR(IF(28*INDEX('UA-normalized'!$D:$D, MATCH($A160, 'UA-normalized'!$A:$A, 0))-INDEX('UA-normalized'!$E:$E, MATCH($A160, 'UA-normalized'!$A:$A, 0))&gt;0, -(28*INDEX('UA-normalized'!$D:$D, MATCH($A160, 'UA-normalized'!$A:$A, 0))-INDEX('UA-normalized'!$E:$E, MATCH($A160, 'UA-normalized'!$A:$A, 0))), 0), 0))+(IFERROR(IF(28*INDEX('KZ-normalized'!$D:$D, MATCH($A160, 'KZ-normalized'!$A:$A, 0))-INDEX('KZ-normalized'!$E:$E, MATCH($A160, 'KZ-normalized'!$A:$A, 0))&gt;0, -(28*INDEX('KZ-normalized'!$D:$D, MATCH($A160, 'KZ-normalized'!$A:$A, 0))-INDEX('KZ-normalized'!$E:$E, MATCH($A160, 'KZ-normalized'!$A:$A, 0))), 0), 0))+(IFERROR(IF(28*INDEX('UZ-normalized'!$D:$D, MATCH($A160, 'UZ-normalized'!$A:$A, 0))-INDEX('UZ-normalized'!$E:$E, MATCH($A160, 'UZ-normalized'!$A:$A, 0))&gt;0, -(28*INDEX('UZ-normalized'!$D:$D, MATCH($A160, 'UZ-normalized'!$A:$A, 0))-INDEX('UZ-normalized'!$E:$E, MATCH($A160, 'UZ-normalized'!$A:$A, 0))), 0), 0)))</f>
        <v>0</v>
      </c>
      <c r="AQ160" s="6">
        <f>MIN(0, N160+(IFERROR(IF(29*INDEX('UA-normalized'!$D:$D, MATCH($A160, 'UA-normalized'!$A:$A, 0))-INDEX('UA-normalized'!$E:$E, MATCH($A160, 'UA-normalized'!$A:$A, 0))&gt;0, -(29*INDEX('UA-normalized'!$D:$D, MATCH($A160, 'UA-normalized'!$A:$A, 0))-INDEX('UA-normalized'!$E:$E, MATCH($A160, 'UA-normalized'!$A:$A, 0))), 0), 0))+(IFERROR(IF(29*INDEX('KZ-normalized'!$D:$D, MATCH($A160, 'KZ-normalized'!$A:$A, 0))-INDEX('KZ-normalized'!$E:$E, MATCH($A160, 'KZ-normalized'!$A:$A, 0))&gt;0, -(29*INDEX('KZ-normalized'!$D:$D, MATCH($A160, 'KZ-normalized'!$A:$A, 0))-INDEX('KZ-normalized'!$E:$E, MATCH($A160, 'KZ-normalized'!$A:$A, 0))), 0), 0))+(IFERROR(IF(29*INDEX('UZ-normalized'!$D:$D, MATCH($A160, 'UZ-normalized'!$A:$A, 0))-INDEX('UZ-normalized'!$E:$E, MATCH($A160, 'UZ-normalized'!$A:$A, 0))&gt;0, -(29*INDEX('UZ-normalized'!$D:$D, MATCH($A160, 'UZ-normalized'!$A:$A, 0))-INDEX('UZ-normalized'!$E:$E, MATCH($A160, 'UZ-normalized'!$A:$A, 0))), 0), 0)))</f>
        <v>0</v>
      </c>
      <c r="AR160" s="6">
        <f>MIN(0, N160+(IFERROR(IF(30*INDEX('UA-normalized'!$D:$D, MATCH($A160, 'UA-normalized'!$A:$A, 0))-INDEX('UA-normalized'!$E:$E, MATCH($A160, 'UA-normalized'!$A:$A, 0))&gt;0, -(30*INDEX('UA-normalized'!$D:$D, MATCH($A160, 'UA-normalized'!$A:$A, 0))-INDEX('UA-normalized'!$E:$E, MATCH($A160, 'UA-normalized'!$A:$A, 0))), 0), 0))+(IFERROR(IF(30*INDEX('KZ-normalized'!$D:$D, MATCH($A160, 'KZ-normalized'!$A:$A, 0))-INDEX('KZ-normalized'!$E:$E, MATCH($A160, 'KZ-normalized'!$A:$A, 0))&gt;0, -(30*INDEX('KZ-normalized'!$D:$D, MATCH($A160, 'KZ-normalized'!$A:$A, 0))-INDEX('KZ-normalized'!$E:$E, MATCH($A160, 'KZ-normalized'!$A:$A, 0))), 0), 0))+(IFERROR(IF(30*INDEX('UZ-normalized'!$D:$D, MATCH($A160, 'UZ-normalized'!$A:$A, 0))-INDEX('UZ-normalized'!$E:$E, MATCH($A160, 'UZ-normalized'!$A:$A, 0))&gt;0, -(30*INDEX('UZ-normalized'!$D:$D, MATCH($A160, 'UZ-normalized'!$A:$A, 0))-INDEX('UZ-normalized'!$E:$E, MATCH($A160, 'UZ-normalized'!$A:$A, 0))), 0), 0)))</f>
        <v>0</v>
      </c>
    </row>
    <row r="161" spans="1:44" x14ac:dyDescent="0.25">
      <c r="A161" s="8" t="s">
        <v>386</v>
      </c>
      <c r="B161" s="8" t="s">
        <v>363</v>
      </c>
      <c r="C161" s="8" t="s">
        <v>364</v>
      </c>
      <c r="D161" s="8" t="s">
        <v>387</v>
      </c>
      <c r="E161">
        <v>1100</v>
      </c>
      <c r="G161">
        <v>-50</v>
      </c>
      <c r="N161">
        <f t="shared" si="2"/>
        <v>1050</v>
      </c>
      <c r="O161" s="6">
        <f>MIN(0, N161+(IFERROR(IF(1*INDEX('UA-normalized'!$D:$D, MATCH($A161, 'UA-normalized'!$A:$A, 0))-INDEX('UA-normalized'!$E:$E, MATCH($A161, 'UA-normalized'!$A:$A, 0))&gt;0, -(1*INDEX('UA-normalized'!$D:$D, MATCH($A161, 'UA-normalized'!$A:$A, 0))-INDEX('UA-normalized'!$E:$E, MATCH($A161, 'UA-normalized'!$A:$A, 0))), 0), 0))+(IFERROR(IF(1*INDEX('KZ-normalized'!$D:$D, MATCH($A161, 'KZ-normalized'!$A:$A, 0))-INDEX('KZ-normalized'!$E:$E, MATCH($A161, 'KZ-normalized'!$A:$A, 0))&gt;0, -(1*INDEX('KZ-normalized'!$D:$D, MATCH($A161, 'KZ-normalized'!$A:$A, 0))-INDEX('KZ-normalized'!$E:$E, MATCH($A161, 'KZ-normalized'!$A:$A, 0))), 0), 0))+(IFERROR(IF(1*INDEX('UZ-normalized'!$D:$D, MATCH($A161, 'UZ-normalized'!$A:$A, 0))-INDEX('UZ-normalized'!$E:$E, MATCH($A161, 'UZ-normalized'!$A:$A, 0))&gt;0, -(1*INDEX('UZ-normalized'!$D:$D, MATCH($A161, 'UZ-normalized'!$A:$A, 0))-INDEX('UZ-normalized'!$E:$E, MATCH($A161, 'UZ-normalized'!$A:$A, 0))), 0), 0)))</f>
        <v>0</v>
      </c>
      <c r="P161" s="6">
        <f>MIN(0, N161+(IFERROR(IF(2*INDEX('UA-normalized'!$D:$D, MATCH($A161, 'UA-normalized'!$A:$A, 0))-INDEX('UA-normalized'!$E:$E, MATCH($A161, 'UA-normalized'!$A:$A, 0))&gt;0, -(2*INDEX('UA-normalized'!$D:$D, MATCH($A161, 'UA-normalized'!$A:$A, 0))-INDEX('UA-normalized'!$E:$E, MATCH($A161, 'UA-normalized'!$A:$A, 0))), 0), 0))+(IFERROR(IF(2*INDEX('KZ-normalized'!$D:$D, MATCH($A161, 'KZ-normalized'!$A:$A, 0))-INDEX('KZ-normalized'!$E:$E, MATCH($A161, 'KZ-normalized'!$A:$A, 0))&gt;0, -(2*INDEX('KZ-normalized'!$D:$D, MATCH($A161, 'KZ-normalized'!$A:$A, 0))-INDEX('KZ-normalized'!$E:$E, MATCH($A161, 'KZ-normalized'!$A:$A, 0))), 0), 0))+(IFERROR(IF(2*INDEX('UZ-normalized'!$D:$D, MATCH($A161, 'UZ-normalized'!$A:$A, 0))-INDEX('UZ-normalized'!$E:$E, MATCH($A161, 'UZ-normalized'!$A:$A, 0))&gt;0, -(2*INDEX('UZ-normalized'!$D:$D, MATCH($A161, 'UZ-normalized'!$A:$A, 0))-INDEX('UZ-normalized'!$E:$E, MATCH($A161, 'UZ-normalized'!$A:$A, 0))), 0), 0)))</f>
        <v>0</v>
      </c>
      <c r="Q161" s="6">
        <f>MIN(0, N161+(IFERROR(IF(3*INDEX('UA-normalized'!$D:$D, MATCH($A161, 'UA-normalized'!$A:$A, 0))-INDEX('UA-normalized'!$E:$E, MATCH($A161, 'UA-normalized'!$A:$A, 0))&gt;0, -(3*INDEX('UA-normalized'!$D:$D, MATCH($A161, 'UA-normalized'!$A:$A, 0))-INDEX('UA-normalized'!$E:$E, MATCH($A161, 'UA-normalized'!$A:$A, 0))), 0), 0))+(IFERROR(IF(3*INDEX('KZ-normalized'!$D:$D, MATCH($A161, 'KZ-normalized'!$A:$A, 0))-INDEX('KZ-normalized'!$E:$E, MATCH($A161, 'KZ-normalized'!$A:$A, 0))&gt;0, -(3*INDEX('KZ-normalized'!$D:$D, MATCH($A161, 'KZ-normalized'!$A:$A, 0))-INDEX('KZ-normalized'!$E:$E, MATCH($A161, 'KZ-normalized'!$A:$A, 0))), 0), 0))+(IFERROR(IF(3*INDEX('UZ-normalized'!$D:$D, MATCH($A161, 'UZ-normalized'!$A:$A, 0))-INDEX('UZ-normalized'!$E:$E, MATCH($A161, 'UZ-normalized'!$A:$A, 0))&gt;0, -(3*INDEX('UZ-normalized'!$D:$D, MATCH($A161, 'UZ-normalized'!$A:$A, 0))-INDEX('UZ-normalized'!$E:$E, MATCH($A161, 'UZ-normalized'!$A:$A, 0))), 0), 0)))</f>
        <v>0</v>
      </c>
      <c r="R161" s="6">
        <f>MIN(0, N161+(IFERROR(IF(4*INDEX('UA-normalized'!$D:$D, MATCH($A161, 'UA-normalized'!$A:$A, 0))-INDEX('UA-normalized'!$E:$E, MATCH($A161, 'UA-normalized'!$A:$A, 0))&gt;0, -(4*INDEX('UA-normalized'!$D:$D, MATCH($A161, 'UA-normalized'!$A:$A, 0))-INDEX('UA-normalized'!$E:$E, MATCH($A161, 'UA-normalized'!$A:$A, 0))), 0), 0))+(IFERROR(IF(4*INDEX('KZ-normalized'!$D:$D, MATCH($A161, 'KZ-normalized'!$A:$A, 0))-INDEX('KZ-normalized'!$E:$E, MATCH($A161, 'KZ-normalized'!$A:$A, 0))&gt;0, -(4*INDEX('KZ-normalized'!$D:$D, MATCH($A161, 'KZ-normalized'!$A:$A, 0))-INDEX('KZ-normalized'!$E:$E, MATCH($A161, 'KZ-normalized'!$A:$A, 0))), 0), 0))+(IFERROR(IF(4*INDEX('UZ-normalized'!$D:$D, MATCH($A161, 'UZ-normalized'!$A:$A, 0))-INDEX('UZ-normalized'!$E:$E, MATCH($A161, 'UZ-normalized'!$A:$A, 0))&gt;0, -(4*INDEX('UZ-normalized'!$D:$D, MATCH($A161, 'UZ-normalized'!$A:$A, 0))-INDEX('UZ-normalized'!$E:$E, MATCH($A161, 'UZ-normalized'!$A:$A, 0))), 0), 0)))</f>
        <v>0</v>
      </c>
      <c r="S161" s="6">
        <f>MIN(0, N161+(IFERROR(IF(5*INDEX('UA-normalized'!$D:$D, MATCH($A161, 'UA-normalized'!$A:$A, 0))-INDEX('UA-normalized'!$E:$E, MATCH($A161, 'UA-normalized'!$A:$A, 0))&gt;0, -(5*INDEX('UA-normalized'!$D:$D, MATCH($A161, 'UA-normalized'!$A:$A, 0))-INDEX('UA-normalized'!$E:$E, MATCH($A161, 'UA-normalized'!$A:$A, 0))), 0), 0))+(IFERROR(IF(5*INDEX('KZ-normalized'!$D:$D, MATCH($A161, 'KZ-normalized'!$A:$A, 0))-INDEX('KZ-normalized'!$E:$E, MATCH($A161, 'KZ-normalized'!$A:$A, 0))&gt;0, -(5*INDEX('KZ-normalized'!$D:$D, MATCH($A161, 'KZ-normalized'!$A:$A, 0))-INDEX('KZ-normalized'!$E:$E, MATCH($A161, 'KZ-normalized'!$A:$A, 0))), 0), 0))+(IFERROR(IF(5*INDEX('UZ-normalized'!$D:$D, MATCH($A161, 'UZ-normalized'!$A:$A, 0))-INDEX('UZ-normalized'!$E:$E, MATCH($A161, 'UZ-normalized'!$A:$A, 0))&gt;0, -(5*INDEX('UZ-normalized'!$D:$D, MATCH($A161, 'UZ-normalized'!$A:$A, 0))-INDEX('UZ-normalized'!$E:$E, MATCH($A161, 'UZ-normalized'!$A:$A, 0))), 0), 0)))</f>
        <v>0</v>
      </c>
      <c r="T161" s="6">
        <f>MIN(0, N161+(IFERROR(IF(6*INDEX('UA-normalized'!$D:$D, MATCH($A161, 'UA-normalized'!$A:$A, 0))-INDEX('UA-normalized'!$E:$E, MATCH($A161, 'UA-normalized'!$A:$A, 0))&gt;0, -(6*INDEX('UA-normalized'!$D:$D, MATCH($A161, 'UA-normalized'!$A:$A, 0))-INDEX('UA-normalized'!$E:$E, MATCH($A161, 'UA-normalized'!$A:$A, 0))), 0), 0))+(IFERROR(IF(6*INDEX('KZ-normalized'!$D:$D, MATCH($A161, 'KZ-normalized'!$A:$A, 0))-INDEX('KZ-normalized'!$E:$E, MATCH($A161, 'KZ-normalized'!$A:$A, 0))&gt;0, -(6*INDEX('KZ-normalized'!$D:$D, MATCH($A161, 'KZ-normalized'!$A:$A, 0))-INDEX('KZ-normalized'!$E:$E, MATCH($A161, 'KZ-normalized'!$A:$A, 0))), 0), 0))+(IFERROR(IF(6*INDEX('UZ-normalized'!$D:$D, MATCH($A161, 'UZ-normalized'!$A:$A, 0))-INDEX('UZ-normalized'!$E:$E, MATCH($A161, 'UZ-normalized'!$A:$A, 0))&gt;0, -(6*INDEX('UZ-normalized'!$D:$D, MATCH($A161, 'UZ-normalized'!$A:$A, 0))-INDEX('UZ-normalized'!$E:$E, MATCH($A161, 'UZ-normalized'!$A:$A, 0))), 0), 0)))</f>
        <v>0</v>
      </c>
      <c r="U161" s="6">
        <f>MIN(0, N161+(IFERROR(IF(7*INDEX('UA-normalized'!$D:$D, MATCH($A161, 'UA-normalized'!$A:$A, 0))-INDEX('UA-normalized'!$E:$E, MATCH($A161, 'UA-normalized'!$A:$A, 0))&gt;0, -(7*INDEX('UA-normalized'!$D:$D, MATCH($A161, 'UA-normalized'!$A:$A, 0))-INDEX('UA-normalized'!$E:$E, MATCH($A161, 'UA-normalized'!$A:$A, 0))), 0), 0))+(IFERROR(IF(7*INDEX('KZ-normalized'!$D:$D, MATCH($A161, 'KZ-normalized'!$A:$A, 0))-INDEX('KZ-normalized'!$E:$E, MATCH($A161, 'KZ-normalized'!$A:$A, 0))&gt;0, -(7*INDEX('KZ-normalized'!$D:$D, MATCH($A161, 'KZ-normalized'!$A:$A, 0))-INDEX('KZ-normalized'!$E:$E, MATCH($A161, 'KZ-normalized'!$A:$A, 0))), 0), 0))+(IFERROR(IF(7*INDEX('UZ-normalized'!$D:$D, MATCH($A161, 'UZ-normalized'!$A:$A, 0))-INDEX('UZ-normalized'!$E:$E, MATCH($A161, 'UZ-normalized'!$A:$A, 0))&gt;0, -(7*INDEX('UZ-normalized'!$D:$D, MATCH($A161, 'UZ-normalized'!$A:$A, 0))-INDEX('UZ-normalized'!$E:$E, MATCH($A161, 'UZ-normalized'!$A:$A, 0))), 0), 0)))</f>
        <v>0</v>
      </c>
      <c r="V161" s="6">
        <f>MIN(0, N161+(IFERROR(IF(8*INDEX('UA-normalized'!$D:$D, MATCH($A161, 'UA-normalized'!$A:$A, 0))-INDEX('UA-normalized'!$E:$E, MATCH($A161, 'UA-normalized'!$A:$A, 0))&gt;0, -(8*INDEX('UA-normalized'!$D:$D, MATCH($A161, 'UA-normalized'!$A:$A, 0))-INDEX('UA-normalized'!$E:$E, MATCH($A161, 'UA-normalized'!$A:$A, 0))), 0), 0))+(IFERROR(IF(8*INDEX('KZ-normalized'!$D:$D, MATCH($A161, 'KZ-normalized'!$A:$A, 0))-INDEX('KZ-normalized'!$E:$E, MATCH($A161, 'KZ-normalized'!$A:$A, 0))&gt;0, -(8*INDEX('KZ-normalized'!$D:$D, MATCH($A161, 'KZ-normalized'!$A:$A, 0))-INDEX('KZ-normalized'!$E:$E, MATCH($A161, 'KZ-normalized'!$A:$A, 0))), 0), 0))+(IFERROR(IF(8*INDEX('UZ-normalized'!$D:$D, MATCH($A161, 'UZ-normalized'!$A:$A, 0))-INDEX('UZ-normalized'!$E:$E, MATCH($A161, 'UZ-normalized'!$A:$A, 0))&gt;0, -(8*INDEX('UZ-normalized'!$D:$D, MATCH($A161, 'UZ-normalized'!$A:$A, 0))-INDEX('UZ-normalized'!$E:$E, MATCH($A161, 'UZ-normalized'!$A:$A, 0))), 0), 0)))</f>
        <v>0</v>
      </c>
      <c r="W161" s="6">
        <f>MIN(0, N161+(IFERROR(IF(9*INDEX('UA-normalized'!$D:$D, MATCH($A161, 'UA-normalized'!$A:$A, 0))-INDEX('UA-normalized'!$E:$E, MATCH($A161, 'UA-normalized'!$A:$A, 0))&gt;0, -(9*INDEX('UA-normalized'!$D:$D, MATCH($A161, 'UA-normalized'!$A:$A, 0))-INDEX('UA-normalized'!$E:$E, MATCH($A161, 'UA-normalized'!$A:$A, 0))), 0), 0))+(IFERROR(IF(9*INDEX('KZ-normalized'!$D:$D, MATCH($A161, 'KZ-normalized'!$A:$A, 0))-INDEX('KZ-normalized'!$E:$E, MATCH($A161, 'KZ-normalized'!$A:$A, 0))&gt;0, -(9*INDEX('KZ-normalized'!$D:$D, MATCH($A161, 'KZ-normalized'!$A:$A, 0))-INDEX('KZ-normalized'!$E:$E, MATCH($A161, 'KZ-normalized'!$A:$A, 0))), 0), 0))+(IFERROR(IF(9*INDEX('UZ-normalized'!$D:$D, MATCH($A161, 'UZ-normalized'!$A:$A, 0))-INDEX('UZ-normalized'!$E:$E, MATCH($A161, 'UZ-normalized'!$A:$A, 0))&gt;0, -(9*INDEX('UZ-normalized'!$D:$D, MATCH($A161, 'UZ-normalized'!$A:$A, 0))-INDEX('UZ-normalized'!$E:$E, MATCH($A161, 'UZ-normalized'!$A:$A, 0))), 0), 0)))</f>
        <v>0</v>
      </c>
      <c r="X161" s="6">
        <f>MIN(0, N161+(IFERROR(IF(10*INDEX('UA-normalized'!$D:$D, MATCH($A161, 'UA-normalized'!$A:$A, 0))-INDEX('UA-normalized'!$E:$E, MATCH($A161, 'UA-normalized'!$A:$A, 0))&gt;0, -(10*INDEX('UA-normalized'!$D:$D, MATCH($A161, 'UA-normalized'!$A:$A, 0))-INDEX('UA-normalized'!$E:$E, MATCH($A161, 'UA-normalized'!$A:$A, 0))), 0), 0))+(IFERROR(IF(10*INDEX('KZ-normalized'!$D:$D, MATCH($A161, 'KZ-normalized'!$A:$A, 0))-INDEX('KZ-normalized'!$E:$E, MATCH($A161, 'KZ-normalized'!$A:$A, 0))&gt;0, -(10*INDEX('KZ-normalized'!$D:$D, MATCH($A161, 'KZ-normalized'!$A:$A, 0))-INDEX('KZ-normalized'!$E:$E, MATCH($A161, 'KZ-normalized'!$A:$A, 0))), 0), 0))+(IFERROR(IF(10*INDEX('UZ-normalized'!$D:$D, MATCH($A161, 'UZ-normalized'!$A:$A, 0))-INDEX('UZ-normalized'!$E:$E, MATCH($A161, 'UZ-normalized'!$A:$A, 0))&gt;0, -(10*INDEX('UZ-normalized'!$D:$D, MATCH($A161, 'UZ-normalized'!$A:$A, 0))-INDEX('UZ-normalized'!$E:$E, MATCH($A161, 'UZ-normalized'!$A:$A, 0))), 0), 0)))</f>
        <v>0</v>
      </c>
      <c r="Y161" s="6">
        <f>MIN(0, N161+(IFERROR(IF(11*INDEX('UA-normalized'!$D:$D, MATCH($A161, 'UA-normalized'!$A:$A, 0))-INDEX('UA-normalized'!$E:$E, MATCH($A161, 'UA-normalized'!$A:$A, 0))&gt;0, -(11*INDEX('UA-normalized'!$D:$D, MATCH($A161, 'UA-normalized'!$A:$A, 0))-INDEX('UA-normalized'!$E:$E, MATCH($A161, 'UA-normalized'!$A:$A, 0))), 0), 0))+(IFERROR(IF(11*INDEX('KZ-normalized'!$D:$D, MATCH($A161, 'KZ-normalized'!$A:$A, 0))-INDEX('KZ-normalized'!$E:$E, MATCH($A161, 'KZ-normalized'!$A:$A, 0))&gt;0, -(11*INDEX('KZ-normalized'!$D:$D, MATCH($A161, 'KZ-normalized'!$A:$A, 0))-INDEX('KZ-normalized'!$E:$E, MATCH($A161, 'KZ-normalized'!$A:$A, 0))), 0), 0))+(IFERROR(IF(11*INDEX('UZ-normalized'!$D:$D, MATCH($A161, 'UZ-normalized'!$A:$A, 0))-INDEX('UZ-normalized'!$E:$E, MATCH($A161, 'UZ-normalized'!$A:$A, 0))&gt;0, -(11*INDEX('UZ-normalized'!$D:$D, MATCH($A161, 'UZ-normalized'!$A:$A, 0))-INDEX('UZ-normalized'!$E:$E, MATCH($A161, 'UZ-normalized'!$A:$A, 0))), 0), 0)))</f>
        <v>0</v>
      </c>
      <c r="Z161" s="6">
        <f>MIN(0, N161+(IFERROR(IF(12*INDEX('UA-normalized'!$D:$D, MATCH($A161, 'UA-normalized'!$A:$A, 0))-INDEX('UA-normalized'!$E:$E, MATCH($A161, 'UA-normalized'!$A:$A, 0))&gt;0, -(12*INDEX('UA-normalized'!$D:$D, MATCH($A161, 'UA-normalized'!$A:$A, 0))-INDEX('UA-normalized'!$E:$E, MATCH($A161, 'UA-normalized'!$A:$A, 0))), 0), 0))+(IFERROR(IF(12*INDEX('KZ-normalized'!$D:$D, MATCH($A161, 'KZ-normalized'!$A:$A, 0))-INDEX('KZ-normalized'!$E:$E, MATCH($A161, 'KZ-normalized'!$A:$A, 0))&gt;0, -(12*INDEX('KZ-normalized'!$D:$D, MATCH($A161, 'KZ-normalized'!$A:$A, 0))-INDEX('KZ-normalized'!$E:$E, MATCH($A161, 'KZ-normalized'!$A:$A, 0))), 0), 0))+(IFERROR(IF(12*INDEX('UZ-normalized'!$D:$D, MATCH($A161, 'UZ-normalized'!$A:$A, 0))-INDEX('UZ-normalized'!$E:$E, MATCH($A161, 'UZ-normalized'!$A:$A, 0))&gt;0, -(12*INDEX('UZ-normalized'!$D:$D, MATCH($A161, 'UZ-normalized'!$A:$A, 0))-INDEX('UZ-normalized'!$E:$E, MATCH($A161, 'UZ-normalized'!$A:$A, 0))), 0), 0)))</f>
        <v>0</v>
      </c>
      <c r="AA161" s="6">
        <f>MIN(0, N161+(IFERROR(IF(13*INDEX('UA-normalized'!$D:$D, MATCH($A161, 'UA-normalized'!$A:$A, 0))-INDEX('UA-normalized'!$E:$E, MATCH($A161, 'UA-normalized'!$A:$A, 0))&gt;0, -(13*INDEX('UA-normalized'!$D:$D, MATCH($A161, 'UA-normalized'!$A:$A, 0))-INDEX('UA-normalized'!$E:$E, MATCH($A161, 'UA-normalized'!$A:$A, 0))), 0), 0))+(IFERROR(IF(13*INDEX('KZ-normalized'!$D:$D, MATCH($A161, 'KZ-normalized'!$A:$A, 0))-INDEX('KZ-normalized'!$E:$E, MATCH($A161, 'KZ-normalized'!$A:$A, 0))&gt;0, -(13*INDEX('KZ-normalized'!$D:$D, MATCH($A161, 'KZ-normalized'!$A:$A, 0))-INDEX('KZ-normalized'!$E:$E, MATCH($A161, 'KZ-normalized'!$A:$A, 0))), 0), 0))+(IFERROR(IF(13*INDEX('UZ-normalized'!$D:$D, MATCH($A161, 'UZ-normalized'!$A:$A, 0))-INDEX('UZ-normalized'!$E:$E, MATCH($A161, 'UZ-normalized'!$A:$A, 0))&gt;0, -(13*INDEX('UZ-normalized'!$D:$D, MATCH($A161, 'UZ-normalized'!$A:$A, 0))-INDEX('UZ-normalized'!$E:$E, MATCH($A161, 'UZ-normalized'!$A:$A, 0))), 0), 0)))</f>
        <v>0</v>
      </c>
      <c r="AB161" s="6">
        <f>MIN(0, N161+(IFERROR(IF(14*INDEX('UA-normalized'!$D:$D, MATCH($A161, 'UA-normalized'!$A:$A, 0))-INDEX('UA-normalized'!$E:$E, MATCH($A161, 'UA-normalized'!$A:$A, 0))&gt;0, -(14*INDEX('UA-normalized'!$D:$D, MATCH($A161, 'UA-normalized'!$A:$A, 0))-INDEX('UA-normalized'!$E:$E, MATCH($A161, 'UA-normalized'!$A:$A, 0))), 0), 0))+(IFERROR(IF(14*INDEX('KZ-normalized'!$D:$D, MATCH($A161, 'KZ-normalized'!$A:$A, 0))-INDEX('KZ-normalized'!$E:$E, MATCH($A161, 'KZ-normalized'!$A:$A, 0))&gt;0, -(14*INDEX('KZ-normalized'!$D:$D, MATCH($A161, 'KZ-normalized'!$A:$A, 0))-INDEX('KZ-normalized'!$E:$E, MATCH($A161, 'KZ-normalized'!$A:$A, 0))), 0), 0))+(IFERROR(IF(14*INDEX('UZ-normalized'!$D:$D, MATCH($A161, 'UZ-normalized'!$A:$A, 0))-INDEX('UZ-normalized'!$E:$E, MATCH($A161, 'UZ-normalized'!$A:$A, 0))&gt;0, -(14*INDEX('UZ-normalized'!$D:$D, MATCH($A161, 'UZ-normalized'!$A:$A, 0))-INDEX('UZ-normalized'!$E:$E, MATCH($A161, 'UZ-normalized'!$A:$A, 0))), 0), 0)))</f>
        <v>0</v>
      </c>
      <c r="AC161" s="6">
        <f>MIN(0, N161+(IFERROR(IF(15*INDEX('UA-normalized'!$D:$D, MATCH($A161, 'UA-normalized'!$A:$A, 0))-INDEX('UA-normalized'!$E:$E, MATCH($A161, 'UA-normalized'!$A:$A, 0))&gt;0, -(15*INDEX('UA-normalized'!$D:$D, MATCH($A161, 'UA-normalized'!$A:$A, 0))-INDEX('UA-normalized'!$E:$E, MATCH($A161, 'UA-normalized'!$A:$A, 0))), 0), 0))+(IFERROR(IF(15*INDEX('KZ-normalized'!$D:$D, MATCH($A161, 'KZ-normalized'!$A:$A, 0))-INDEX('KZ-normalized'!$E:$E, MATCH($A161, 'KZ-normalized'!$A:$A, 0))&gt;0, -(15*INDEX('KZ-normalized'!$D:$D, MATCH($A161, 'KZ-normalized'!$A:$A, 0))-INDEX('KZ-normalized'!$E:$E, MATCH($A161, 'KZ-normalized'!$A:$A, 0))), 0), 0))+(IFERROR(IF(15*INDEX('UZ-normalized'!$D:$D, MATCH($A161, 'UZ-normalized'!$A:$A, 0))-INDEX('UZ-normalized'!$E:$E, MATCH($A161, 'UZ-normalized'!$A:$A, 0))&gt;0, -(15*INDEX('UZ-normalized'!$D:$D, MATCH($A161, 'UZ-normalized'!$A:$A, 0))-INDEX('UZ-normalized'!$E:$E, MATCH($A161, 'UZ-normalized'!$A:$A, 0))), 0), 0)))</f>
        <v>0</v>
      </c>
      <c r="AD161" s="6">
        <f>MIN(0, N161+(IFERROR(IF(16*INDEX('UA-normalized'!$D:$D, MATCH($A161, 'UA-normalized'!$A:$A, 0))-INDEX('UA-normalized'!$E:$E, MATCH($A161, 'UA-normalized'!$A:$A, 0))&gt;0, -(16*INDEX('UA-normalized'!$D:$D, MATCH($A161, 'UA-normalized'!$A:$A, 0))-INDEX('UA-normalized'!$E:$E, MATCH($A161, 'UA-normalized'!$A:$A, 0))), 0), 0))+(IFERROR(IF(16*INDEX('KZ-normalized'!$D:$D, MATCH($A161, 'KZ-normalized'!$A:$A, 0))-INDEX('KZ-normalized'!$E:$E, MATCH($A161, 'KZ-normalized'!$A:$A, 0))&gt;0, -(16*INDEX('KZ-normalized'!$D:$D, MATCH($A161, 'KZ-normalized'!$A:$A, 0))-INDEX('KZ-normalized'!$E:$E, MATCH($A161, 'KZ-normalized'!$A:$A, 0))), 0), 0))+(IFERROR(IF(16*INDEX('UZ-normalized'!$D:$D, MATCH($A161, 'UZ-normalized'!$A:$A, 0))-INDEX('UZ-normalized'!$E:$E, MATCH($A161, 'UZ-normalized'!$A:$A, 0))&gt;0, -(16*INDEX('UZ-normalized'!$D:$D, MATCH($A161, 'UZ-normalized'!$A:$A, 0))-INDEX('UZ-normalized'!$E:$E, MATCH($A161, 'UZ-normalized'!$A:$A, 0))), 0), 0)))</f>
        <v>0</v>
      </c>
      <c r="AE161" s="6">
        <f>MIN(0, N161+(IFERROR(IF(17*INDEX('UA-normalized'!$D:$D, MATCH($A161, 'UA-normalized'!$A:$A, 0))-INDEX('UA-normalized'!$E:$E, MATCH($A161, 'UA-normalized'!$A:$A, 0))&gt;0, -(17*INDEX('UA-normalized'!$D:$D, MATCH($A161, 'UA-normalized'!$A:$A, 0))-INDEX('UA-normalized'!$E:$E, MATCH($A161, 'UA-normalized'!$A:$A, 0))), 0), 0))+(IFERROR(IF(17*INDEX('KZ-normalized'!$D:$D, MATCH($A161, 'KZ-normalized'!$A:$A, 0))-INDEX('KZ-normalized'!$E:$E, MATCH($A161, 'KZ-normalized'!$A:$A, 0))&gt;0, -(17*INDEX('KZ-normalized'!$D:$D, MATCH($A161, 'KZ-normalized'!$A:$A, 0))-INDEX('KZ-normalized'!$E:$E, MATCH($A161, 'KZ-normalized'!$A:$A, 0))), 0), 0))+(IFERROR(IF(17*INDEX('UZ-normalized'!$D:$D, MATCH($A161, 'UZ-normalized'!$A:$A, 0))-INDEX('UZ-normalized'!$E:$E, MATCH($A161, 'UZ-normalized'!$A:$A, 0))&gt;0, -(17*INDEX('UZ-normalized'!$D:$D, MATCH($A161, 'UZ-normalized'!$A:$A, 0))-INDEX('UZ-normalized'!$E:$E, MATCH($A161, 'UZ-normalized'!$A:$A, 0))), 0), 0)))</f>
        <v>0</v>
      </c>
      <c r="AF161" s="6">
        <f>MIN(0, N161+(IFERROR(IF(18*INDEX('UA-normalized'!$D:$D, MATCH($A161, 'UA-normalized'!$A:$A, 0))-INDEX('UA-normalized'!$E:$E, MATCH($A161, 'UA-normalized'!$A:$A, 0))&gt;0, -(18*INDEX('UA-normalized'!$D:$D, MATCH($A161, 'UA-normalized'!$A:$A, 0))-INDEX('UA-normalized'!$E:$E, MATCH($A161, 'UA-normalized'!$A:$A, 0))), 0), 0))+(IFERROR(IF(18*INDEX('KZ-normalized'!$D:$D, MATCH($A161, 'KZ-normalized'!$A:$A, 0))-INDEX('KZ-normalized'!$E:$E, MATCH($A161, 'KZ-normalized'!$A:$A, 0))&gt;0, -(18*INDEX('KZ-normalized'!$D:$D, MATCH($A161, 'KZ-normalized'!$A:$A, 0))-INDEX('KZ-normalized'!$E:$E, MATCH($A161, 'KZ-normalized'!$A:$A, 0))), 0), 0))+(IFERROR(IF(18*INDEX('UZ-normalized'!$D:$D, MATCH($A161, 'UZ-normalized'!$A:$A, 0))-INDEX('UZ-normalized'!$E:$E, MATCH($A161, 'UZ-normalized'!$A:$A, 0))&gt;0, -(18*INDEX('UZ-normalized'!$D:$D, MATCH($A161, 'UZ-normalized'!$A:$A, 0))-INDEX('UZ-normalized'!$E:$E, MATCH($A161, 'UZ-normalized'!$A:$A, 0))), 0), 0)))</f>
        <v>0</v>
      </c>
      <c r="AG161" s="6">
        <f>MIN(0, N161+(IFERROR(IF(19*INDEX('UA-normalized'!$D:$D, MATCH($A161, 'UA-normalized'!$A:$A, 0))-INDEX('UA-normalized'!$E:$E, MATCH($A161, 'UA-normalized'!$A:$A, 0))&gt;0, -(19*INDEX('UA-normalized'!$D:$D, MATCH($A161, 'UA-normalized'!$A:$A, 0))-INDEX('UA-normalized'!$E:$E, MATCH($A161, 'UA-normalized'!$A:$A, 0))), 0), 0))+(IFERROR(IF(19*INDEX('KZ-normalized'!$D:$D, MATCH($A161, 'KZ-normalized'!$A:$A, 0))-INDEX('KZ-normalized'!$E:$E, MATCH($A161, 'KZ-normalized'!$A:$A, 0))&gt;0, -(19*INDEX('KZ-normalized'!$D:$D, MATCH($A161, 'KZ-normalized'!$A:$A, 0))-INDEX('KZ-normalized'!$E:$E, MATCH($A161, 'KZ-normalized'!$A:$A, 0))), 0), 0))+(IFERROR(IF(19*INDEX('UZ-normalized'!$D:$D, MATCH($A161, 'UZ-normalized'!$A:$A, 0))-INDEX('UZ-normalized'!$E:$E, MATCH($A161, 'UZ-normalized'!$A:$A, 0))&gt;0, -(19*INDEX('UZ-normalized'!$D:$D, MATCH($A161, 'UZ-normalized'!$A:$A, 0))-INDEX('UZ-normalized'!$E:$E, MATCH($A161, 'UZ-normalized'!$A:$A, 0))), 0), 0)))</f>
        <v>0</v>
      </c>
      <c r="AH161" s="6">
        <f>MIN(0, N161+(IFERROR(IF(20*INDEX('UA-normalized'!$D:$D, MATCH($A161, 'UA-normalized'!$A:$A, 0))-INDEX('UA-normalized'!$E:$E, MATCH($A161, 'UA-normalized'!$A:$A, 0))&gt;0, -(20*INDEX('UA-normalized'!$D:$D, MATCH($A161, 'UA-normalized'!$A:$A, 0))-INDEX('UA-normalized'!$E:$E, MATCH($A161, 'UA-normalized'!$A:$A, 0))), 0), 0))+(IFERROR(IF(20*INDEX('KZ-normalized'!$D:$D, MATCH($A161, 'KZ-normalized'!$A:$A, 0))-INDEX('KZ-normalized'!$E:$E, MATCH($A161, 'KZ-normalized'!$A:$A, 0))&gt;0, -(20*INDEX('KZ-normalized'!$D:$D, MATCH($A161, 'KZ-normalized'!$A:$A, 0))-INDEX('KZ-normalized'!$E:$E, MATCH($A161, 'KZ-normalized'!$A:$A, 0))), 0), 0))+(IFERROR(IF(20*INDEX('UZ-normalized'!$D:$D, MATCH($A161, 'UZ-normalized'!$A:$A, 0))-INDEX('UZ-normalized'!$E:$E, MATCH($A161, 'UZ-normalized'!$A:$A, 0))&gt;0, -(20*INDEX('UZ-normalized'!$D:$D, MATCH($A161, 'UZ-normalized'!$A:$A, 0))-INDEX('UZ-normalized'!$E:$E, MATCH($A161, 'UZ-normalized'!$A:$A, 0))), 0), 0)))</f>
        <v>0</v>
      </c>
      <c r="AI161" s="6">
        <f>MIN(0, N161+(IFERROR(IF(21*INDEX('UA-normalized'!$D:$D, MATCH($A161, 'UA-normalized'!$A:$A, 0))-INDEX('UA-normalized'!$E:$E, MATCH($A161, 'UA-normalized'!$A:$A, 0))&gt;0, -(21*INDEX('UA-normalized'!$D:$D, MATCH($A161, 'UA-normalized'!$A:$A, 0))-INDEX('UA-normalized'!$E:$E, MATCH($A161, 'UA-normalized'!$A:$A, 0))), 0), 0))+(IFERROR(IF(21*INDEX('KZ-normalized'!$D:$D, MATCH($A161, 'KZ-normalized'!$A:$A, 0))-INDEX('KZ-normalized'!$E:$E, MATCH($A161, 'KZ-normalized'!$A:$A, 0))&gt;0, -(21*INDEX('KZ-normalized'!$D:$D, MATCH($A161, 'KZ-normalized'!$A:$A, 0))-INDEX('KZ-normalized'!$E:$E, MATCH($A161, 'KZ-normalized'!$A:$A, 0))), 0), 0))+(IFERROR(IF(21*INDEX('UZ-normalized'!$D:$D, MATCH($A161, 'UZ-normalized'!$A:$A, 0))-INDEX('UZ-normalized'!$E:$E, MATCH($A161, 'UZ-normalized'!$A:$A, 0))&gt;0, -(21*INDEX('UZ-normalized'!$D:$D, MATCH($A161, 'UZ-normalized'!$A:$A, 0))-INDEX('UZ-normalized'!$E:$E, MATCH($A161, 'UZ-normalized'!$A:$A, 0))), 0), 0)))</f>
        <v>0</v>
      </c>
      <c r="AJ161" s="6">
        <f>MIN(0, N161+(IFERROR(IF(22*INDEX('UA-normalized'!$D:$D, MATCH($A161, 'UA-normalized'!$A:$A, 0))-INDEX('UA-normalized'!$E:$E, MATCH($A161, 'UA-normalized'!$A:$A, 0))&gt;0, -(22*INDEX('UA-normalized'!$D:$D, MATCH($A161, 'UA-normalized'!$A:$A, 0))-INDEX('UA-normalized'!$E:$E, MATCH($A161, 'UA-normalized'!$A:$A, 0))), 0), 0))+(IFERROR(IF(22*INDEX('KZ-normalized'!$D:$D, MATCH($A161, 'KZ-normalized'!$A:$A, 0))-INDEX('KZ-normalized'!$E:$E, MATCH($A161, 'KZ-normalized'!$A:$A, 0))&gt;0, -(22*INDEX('KZ-normalized'!$D:$D, MATCH($A161, 'KZ-normalized'!$A:$A, 0))-INDEX('KZ-normalized'!$E:$E, MATCH($A161, 'KZ-normalized'!$A:$A, 0))), 0), 0))+(IFERROR(IF(22*INDEX('UZ-normalized'!$D:$D, MATCH($A161, 'UZ-normalized'!$A:$A, 0))-INDEX('UZ-normalized'!$E:$E, MATCH($A161, 'UZ-normalized'!$A:$A, 0))&gt;0, -(22*INDEX('UZ-normalized'!$D:$D, MATCH($A161, 'UZ-normalized'!$A:$A, 0))-INDEX('UZ-normalized'!$E:$E, MATCH($A161, 'UZ-normalized'!$A:$A, 0))), 0), 0)))</f>
        <v>0</v>
      </c>
      <c r="AK161" s="6">
        <f>MIN(0, N161+(IFERROR(IF(23*INDEX('UA-normalized'!$D:$D, MATCH($A161, 'UA-normalized'!$A:$A, 0))-INDEX('UA-normalized'!$E:$E, MATCH($A161, 'UA-normalized'!$A:$A, 0))&gt;0, -(23*INDEX('UA-normalized'!$D:$D, MATCH($A161, 'UA-normalized'!$A:$A, 0))-INDEX('UA-normalized'!$E:$E, MATCH($A161, 'UA-normalized'!$A:$A, 0))), 0), 0))+(IFERROR(IF(23*INDEX('KZ-normalized'!$D:$D, MATCH($A161, 'KZ-normalized'!$A:$A, 0))-INDEX('KZ-normalized'!$E:$E, MATCH($A161, 'KZ-normalized'!$A:$A, 0))&gt;0, -(23*INDEX('KZ-normalized'!$D:$D, MATCH($A161, 'KZ-normalized'!$A:$A, 0))-INDEX('KZ-normalized'!$E:$E, MATCH($A161, 'KZ-normalized'!$A:$A, 0))), 0), 0))+(IFERROR(IF(23*INDEX('UZ-normalized'!$D:$D, MATCH($A161, 'UZ-normalized'!$A:$A, 0))-INDEX('UZ-normalized'!$E:$E, MATCH($A161, 'UZ-normalized'!$A:$A, 0))&gt;0, -(23*INDEX('UZ-normalized'!$D:$D, MATCH($A161, 'UZ-normalized'!$A:$A, 0))-INDEX('UZ-normalized'!$E:$E, MATCH($A161, 'UZ-normalized'!$A:$A, 0))), 0), 0)))</f>
        <v>0</v>
      </c>
      <c r="AL161" s="6">
        <f>MIN(0, N161+(IFERROR(IF(24*INDEX('UA-normalized'!$D:$D, MATCH($A161, 'UA-normalized'!$A:$A, 0))-INDEX('UA-normalized'!$E:$E, MATCH($A161, 'UA-normalized'!$A:$A, 0))&gt;0, -(24*INDEX('UA-normalized'!$D:$D, MATCH($A161, 'UA-normalized'!$A:$A, 0))-INDEX('UA-normalized'!$E:$E, MATCH($A161, 'UA-normalized'!$A:$A, 0))), 0), 0))+(IFERROR(IF(24*INDEX('KZ-normalized'!$D:$D, MATCH($A161, 'KZ-normalized'!$A:$A, 0))-INDEX('KZ-normalized'!$E:$E, MATCH($A161, 'KZ-normalized'!$A:$A, 0))&gt;0, -(24*INDEX('KZ-normalized'!$D:$D, MATCH($A161, 'KZ-normalized'!$A:$A, 0))-INDEX('KZ-normalized'!$E:$E, MATCH($A161, 'KZ-normalized'!$A:$A, 0))), 0), 0))+(IFERROR(IF(24*INDEX('UZ-normalized'!$D:$D, MATCH($A161, 'UZ-normalized'!$A:$A, 0))-INDEX('UZ-normalized'!$E:$E, MATCH($A161, 'UZ-normalized'!$A:$A, 0))&gt;0, -(24*INDEX('UZ-normalized'!$D:$D, MATCH($A161, 'UZ-normalized'!$A:$A, 0))-INDEX('UZ-normalized'!$E:$E, MATCH($A161, 'UZ-normalized'!$A:$A, 0))), 0), 0)))</f>
        <v>0</v>
      </c>
      <c r="AM161" s="6">
        <f>MIN(0, N161+(IFERROR(IF(25*INDEX('UA-normalized'!$D:$D, MATCH($A161, 'UA-normalized'!$A:$A, 0))-INDEX('UA-normalized'!$E:$E, MATCH($A161, 'UA-normalized'!$A:$A, 0))&gt;0, -(25*INDEX('UA-normalized'!$D:$D, MATCH($A161, 'UA-normalized'!$A:$A, 0))-INDEX('UA-normalized'!$E:$E, MATCH($A161, 'UA-normalized'!$A:$A, 0))), 0), 0))+(IFERROR(IF(25*INDEX('KZ-normalized'!$D:$D, MATCH($A161, 'KZ-normalized'!$A:$A, 0))-INDEX('KZ-normalized'!$E:$E, MATCH($A161, 'KZ-normalized'!$A:$A, 0))&gt;0, -(25*INDEX('KZ-normalized'!$D:$D, MATCH($A161, 'KZ-normalized'!$A:$A, 0))-INDEX('KZ-normalized'!$E:$E, MATCH($A161, 'KZ-normalized'!$A:$A, 0))), 0), 0))+(IFERROR(IF(25*INDEX('UZ-normalized'!$D:$D, MATCH($A161, 'UZ-normalized'!$A:$A, 0))-INDEX('UZ-normalized'!$E:$E, MATCH($A161, 'UZ-normalized'!$A:$A, 0))&gt;0, -(25*INDEX('UZ-normalized'!$D:$D, MATCH($A161, 'UZ-normalized'!$A:$A, 0))-INDEX('UZ-normalized'!$E:$E, MATCH($A161, 'UZ-normalized'!$A:$A, 0))), 0), 0)))</f>
        <v>0</v>
      </c>
      <c r="AN161" s="6">
        <f>MIN(0, N161+(IFERROR(IF(26*INDEX('UA-normalized'!$D:$D, MATCH($A161, 'UA-normalized'!$A:$A, 0))-INDEX('UA-normalized'!$E:$E, MATCH($A161, 'UA-normalized'!$A:$A, 0))&gt;0, -(26*INDEX('UA-normalized'!$D:$D, MATCH($A161, 'UA-normalized'!$A:$A, 0))-INDEX('UA-normalized'!$E:$E, MATCH($A161, 'UA-normalized'!$A:$A, 0))), 0), 0))+(IFERROR(IF(26*INDEX('KZ-normalized'!$D:$D, MATCH($A161, 'KZ-normalized'!$A:$A, 0))-INDEX('KZ-normalized'!$E:$E, MATCH($A161, 'KZ-normalized'!$A:$A, 0))&gt;0, -(26*INDEX('KZ-normalized'!$D:$D, MATCH($A161, 'KZ-normalized'!$A:$A, 0))-INDEX('KZ-normalized'!$E:$E, MATCH($A161, 'KZ-normalized'!$A:$A, 0))), 0), 0))+(IFERROR(IF(26*INDEX('UZ-normalized'!$D:$D, MATCH($A161, 'UZ-normalized'!$A:$A, 0))-INDEX('UZ-normalized'!$E:$E, MATCH($A161, 'UZ-normalized'!$A:$A, 0))&gt;0, -(26*INDEX('UZ-normalized'!$D:$D, MATCH($A161, 'UZ-normalized'!$A:$A, 0))-INDEX('UZ-normalized'!$E:$E, MATCH($A161, 'UZ-normalized'!$A:$A, 0))), 0), 0)))</f>
        <v>0</v>
      </c>
      <c r="AO161" s="6">
        <f>MIN(0, N161+(IFERROR(IF(27*INDEX('UA-normalized'!$D:$D, MATCH($A161, 'UA-normalized'!$A:$A, 0))-INDEX('UA-normalized'!$E:$E, MATCH($A161, 'UA-normalized'!$A:$A, 0))&gt;0, -(27*INDEX('UA-normalized'!$D:$D, MATCH($A161, 'UA-normalized'!$A:$A, 0))-INDEX('UA-normalized'!$E:$E, MATCH($A161, 'UA-normalized'!$A:$A, 0))), 0), 0))+(IFERROR(IF(27*INDEX('KZ-normalized'!$D:$D, MATCH($A161, 'KZ-normalized'!$A:$A, 0))-INDEX('KZ-normalized'!$E:$E, MATCH($A161, 'KZ-normalized'!$A:$A, 0))&gt;0, -(27*INDEX('KZ-normalized'!$D:$D, MATCH($A161, 'KZ-normalized'!$A:$A, 0))-INDEX('KZ-normalized'!$E:$E, MATCH($A161, 'KZ-normalized'!$A:$A, 0))), 0), 0))+(IFERROR(IF(27*INDEX('UZ-normalized'!$D:$D, MATCH($A161, 'UZ-normalized'!$A:$A, 0))-INDEX('UZ-normalized'!$E:$E, MATCH($A161, 'UZ-normalized'!$A:$A, 0))&gt;0, -(27*INDEX('UZ-normalized'!$D:$D, MATCH($A161, 'UZ-normalized'!$A:$A, 0))-INDEX('UZ-normalized'!$E:$E, MATCH($A161, 'UZ-normalized'!$A:$A, 0))), 0), 0)))</f>
        <v>0</v>
      </c>
      <c r="AP161" s="6">
        <f>MIN(0, N161+(IFERROR(IF(28*INDEX('UA-normalized'!$D:$D, MATCH($A161, 'UA-normalized'!$A:$A, 0))-INDEX('UA-normalized'!$E:$E, MATCH($A161, 'UA-normalized'!$A:$A, 0))&gt;0, -(28*INDEX('UA-normalized'!$D:$D, MATCH($A161, 'UA-normalized'!$A:$A, 0))-INDEX('UA-normalized'!$E:$E, MATCH($A161, 'UA-normalized'!$A:$A, 0))), 0), 0))+(IFERROR(IF(28*INDEX('KZ-normalized'!$D:$D, MATCH($A161, 'KZ-normalized'!$A:$A, 0))-INDEX('KZ-normalized'!$E:$E, MATCH($A161, 'KZ-normalized'!$A:$A, 0))&gt;0, -(28*INDEX('KZ-normalized'!$D:$D, MATCH($A161, 'KZ-normalized'!$A:$A, 0))-INDEX('KZ-normalized'!$E:$E, MATCH($A161, 'KZ-normalized'!$A:$A, 0))), 0), 0))+(IFERROR(IF(28*INDEX('UZ-normalized'!$D:$D, MATCH($A161, 'UZ-normalized'!$A:$A, 0))-INDEX('UZ-normalized'!$E:$E, MATCH($A161, 'UZ-normalized'!$A:$A, 0))&gt;0, -(28*INDEX('UZ-normalized'!$D:$D, MATCH($A161, 'UZ-normalized'!$A:$A, 0))-INDEX('UZ-normalized'!$E:$E, MATCH($A161, 'UZ-normalized'!$A:$A, 0))), 0), 0)))</f>
        <v>0</v>
      </c>
      <c r="AQ161" s="6">
        <f>MIN(0, N161+(IFERROR(IF(29*INDEX('UA-normalized'!$D:$D, MATCH($A161, 'UA-normalized'!$A:$A, 0))-INDEX('UA-normalized'!$E:$E, MATCH($A161, 'UA-normalized'!$A:$A, 0))&gt;0, -(29*INDEX('UA-normalized'!$D:$D, MATCH($A161, 'UA-normalized'!$A:$A, 0))-INDEX('UA-normalized'!$E:$E, MATCH($A161, 'UA-normalized'!$A:$A, 0))), 0), 0))+(IFERROR(IF(29*INDEX('KZ-normalized'!$D:$D, MATCH($A161, 'KZ-normalized'!$A:$A, 0))-INDEX('KZ-normalized'!$E:$E, MATCH($A161, 'KZ-normalized'!$A:$A, 0))&gt;0, -(29*INDEX('KZ-normalized'!$D:$D, MATCH($A161, 'KZ-normalized'!$A:$A, 0))-INDEX('KZ-normalized'!$E:$E, MATCH($A161, 'KZ-normalized'!$A:$A, 0))), 0), 0))+(IFERROR(IF(29*INDEX('UZ-normalized'!$D:$D, MATCH($A161, 'UZ-normalized'!$A:$A, 0))-INDEX('UZ-normalized'!$E:$E, MATCH($A161, 'UZ-normalized'!$A:$A, 0))&gt;0, -(29*INDEX('UZ-normalized'!$D:$D, MATCH($A161, 'UZ-normalized'!$A:$A, 0))-INDEX('UZ-normalized'!$E:$E, MATCH($A161, 'UZ-normalized'!$A:$A, 0))), 0), 0)))</f>
        <v>0</v>
      </c>
      <c r="AR161" s="6">
        <f>MIN(0, N161+(IFERROR(IF(30*INDEX('UA-normalized'!$D:$D, MATCH($A161, 'UA-normalized'!$A:$A, 0))-INDEX('UA-normalized'!$E:$E, MATCH($A161, 'UA-normalized'!$A:$A, 0))&gt;0, -(30*INDEX('UA-normalized'!$D:$D, MATCH($A161, 'UA-normalized'!$A:$A, 0))-INDEX('UA-normalized'!$E:$E, MATCH($A161, 'UA-normalized'!$A:$A, 0))), 0), 0))+(IFERROR(IF(30*INDEX('KZ-normalized'!$D:$D, MATCH($A161, 'KZ-normalized'!$A:$A, 0))-INDEX('KZ-normalized'!$E:$E, MATCH($A161, 'KZ-normalized'!$A:$A, 0))&gt;0, -(30*INDEX('KZ-normalized'!$D:$D, MATCH($A161, 'KZ-normalized'!$A:$A, 0))-INDEX('KZ-normalized'!$E:$E, MATCH($A161, 'KZ-normalized'!$A:$A, 0))), 0), 0))+(IFERROR(IF(30*INDEX('UZ-normalized'!$D:$D, MATCH($A161, 'UZ-normalized'!$A:$A, 0))-INDEX('UZ-normalized'!$E:$E, MATCH($A161, 'UZ-normalized'!$A:$A, 0))&gt;0, -(30*INDEX('UZ-normalized'!$D:$D, MATCH($A161, 'UZ-normalized'!$A:$A, 0))-INDEX('UZ-normalized'!$E:$E, MATCH($A161, 'UZ-normalized'!$A:$A, 0))), 0), 0)))</f>
        <v>0</v>
      </c>
    </row>
    <row r="162" spans="1:44" x14ac:dyDescent="0.25">
      <c r="A162" s="8" t="s">
        <v>388</v>
      </c>
      <c r="B162" s="8" t="s">
        <v>363</v>
      </c>
      <c r="C162" s="8" t="s">
        <v>364</v>
      </c>
      <c r="D162" s="8" t="s">
        <v>389</v>
      </c>
      <c r="N162">
        <f t="shared" si="2"/>
        <v>0</v>
      </c>
      <c r="O162" s="6">
        <f>MIN(0, N162+(IFERROR(IF(1*INDEX('UA-normalized'!$D:$D, MATCH($A162, 'UA-normalized'!$A:$A, 0))-INDEX('UA-normalized'!$E:$E, MATCH($A162, 'UA-normalized'!$A:$A, 0))&gt;0, -(1*INDEX('UA-normalized'!$D:$D, MATCH($A162, 'UA-normalized'!$A:$A, 0))-INDEX('UA-normalized'!$E:$E, MATCH($A162, 'UA-normalized'!$A:$A, 0))), 0), 0))+(IFERROR(IF(1*INDEX('KZ-normalized'!$D:$D, MATCH($A162, 'KZ-normalized'!$A:$A, 0))-INDEX('KZ-normalized'!$E:$E, MATCH($A162, 'KZ-normalized'!$A:$A, 0))&gt;0, -(1*INDEX('KZ-normalized'!$D:$D, MATCH($A162, 'KZ-normalized'!$A:$A, 0))-INDEX('KZ-normalized'!$E:$E, MATCH($A162, 'KZ-normalized'!$A:$A, 0))), 0), 0))+(IFERROR(IF(1*INDEX('UZ-normalized'!$D:$D, MATCH($A162, 'UZ-normalized'!$A:$A, 0))-INDEX('UZ-normalized'!$E:$E, MATCH($A162, 'UZ-normalized'!$A:$A, 0))&gt;0, -(1*INDEX('UZ-normalized'!$D:$D, MATCH($A162, 'UZ-normalized'!$A:$A, 0))-INDEX('UZ-normalized'!$E:$E, MATCH($A162, 'UZ-normalized'!$A:$A, 0))), 0), 0)))</f>
        <v>0</v>
      </c>
      <c r="P162" s="6">
        <f>MIN(0, N162+(IFERROR(IF(2*INDEX('UA-normalized'!$D:$D, MATCH($A162, 'UA-normalized'!$A:$A, 0))-INDEX('UA-normalized'!$E:$E, MATCH($A162, 'UA-normalized'!$A:$A, 0))&gt;0, -(2*INDEX('UA-normalized'!$D:$D, MATCH($A162, 'UA-normalized'!$A:$A, 0))-INDEX('UA-normalized'!$E:$E, MATCH($A162, 'UA-normalized'!$A:$A, 0))), 0), 0))+(IFERROR(IF(2*INDEX('KZ-normalized'!$D:$D, MATCH($A162, 'KZ-normalized'!$A:$A, 0))-INDEX('KZ-normalized'!$E:$E, MATCH($A162, 'KZ-normalized'!$A:$A, 0))&gt;0, -(2*INDEX('KZ-normalized'!$D:$D, MATCH($A162, 'KZ-normalized'!$A:$A, 0))-INDEX('KZ-normalized'!$E:$E, MATCH($A162, 'KZ-normalized'!$A:$A, 0))), 0), 0))+(IFERROR(IF(2*INDEX('UZ-normalized'!$D:$D, MATCH($A162, 'UZ-normalized'!$A:$A, 0))-INDEX('UZ-normalized'!$E:$E, MATCH($A162, 'UZ-normalized'!$A:$A, 0))&gt;0, -(2*INDEX('UZ-normalized'!$D:$D, MATCH($A162, 'UZ-normalized'!$A:$A, 0))-INDEX('UZ-normalized'!$E:$E, MATCH($A162, 'UZ-normalized'!$A:$A, 0))), 0), 0)))</f>
        <v>0</v>
      </c>
      <c r="Q162" s="6">
        <f>MIN(0, N162+(IFERROR(IF(3*INDEX('UA-normalized'!$D:$D, MATCH($A162, 'UA-normalized'!$A:$A, 0))-INDEX('UA-normalized'!$E:$E, MATCH($A162, 'UA-normalized'!$A:$A, 0))&gt;0, -(3*INDEX('UA-normalized'!$D:$D, MATCH($A162, 'UA-normalized'!$A:$A, 0))-INDEX('UA-normalized'!$E:$E, MATCH($A162, 'UA-normalized'!$A:$A, 0))), 0), 0))+(IFERROR(IF(3*INDEX('KZ-normalized'!$D:$D, MATCH($A162, 'KZ-normalized'!$A:$A, 0))-INDEX('KZ-normalized'!$E:$E, MATCH($A162, 'KZ-normalized'!$A:$A, 0))&gt;0, -(3*INDEX('KZ-normalized'!$D:$D, MATCH($A162, 'KZ-normalized'!$A:$A, 0))-INDEX('KZ-normalized'!$E:$E, MATCH($A162, 'KZ-normalized'!$A:$A, 0))), 0), 0))+(IFERROR(IF(3*INDEX('UZ-normalized'!$D:$D, MATCH($A162, 'UZ-normalized'!$A:$A, 0))-INDEX('UZ-normalized'!$E:$E, MATCH($A162, 'UZ-normalized'!$A:$A, 0))&gt;0, -(3*INDEX('UZ-normalized'!$D:$D, MATCH($A162, 'UZ-normalized'!$A:$A, 0))-INDEX('UZ-normalized'!$E:$E, MATCH($A162, 'UZ-normalized'!$A:$A, 0))), 0), 0)))</f>
        <v>0</v>
      </c>
      <c r="R162" s="6">
        <f>MIN(0, N162+(IFERROR(IF(4*INDEX('UA-normalized'!$D:$D, MATCH($A162, 'UA-normalized'!$A:$A, 0))-INDEX('UA-normalized'!$E:$E, MATCH($A162, 'UA-normalized'!$A:$A, 0))&gt;0, -(4*INDEX('UA-normalized'!$D:$D, MATCH($A162, 'UA-normalized'!$A:$A, 0))-INDEX('UA-normalized'!$E:$E, MATCH($A162, 'UA-normalized'!$A:$A, 0))), 0), 0))+(IFERROR(IF(4*INDEX('KZ-normalized'!$D:$D, MATCH($A162, 'KZ-normalized'!$A:$A, 0))-INDEX('KZ-normalized'!$E:$E, MATCH($A162, 'KZ-normalized'!$A:$A, 0))&gt;0, -(4*INDEX('KZ-normalized'!$D:$D, MATCH($A162, 'KZ-normalized'!$A:$A, 0))-INDEX('KZ-normalized'!$E:$E, MATCH($A162, 'KZ-normalized'!$A:$A, 0))), 0), 0))+(IFERROR(IF(4*INDEX('UZ-normalized'!$D:$D, MATCH($A162, 'UZ-normalized'!$A:$A, 0))-INDEX('UZ-normalized'!$E:$E, MATCH($A162, 'UZ-normalized'!$A:$A, 0))&gt;0, -(4*INDEX('UZ-normalized'!$D:$D, MATCH($A162, 'UZ-normalized'!$A:$A, 0))-INDEX('UZ-normalized'!$E:$E, MATCH($A162, 'UZ-normalized'!$A:$A, 0))), 0), 0)))</f>
        <v>0</v>
      </c>
      <c r="S162" s="6">
        <f>MIN(0, N162+(IFERROR(IF(5*INDEX('UA-normalized'!$D:$D, MATCH($A162, 'UA-normalized'!$A:$A, 0))-INDEX('UA-normalized'!$E:$E, MATCH($A162, 'UA-normalized'!$A:$A, 0))&gt;0, -(5*INDEX('UA-normalized'!$D:$D, MATCH($A162, 'UA-normalized'!$A:$A, 0))-INDEX('UA-normalized'!$E:$E, MATCH($A162, 'UA-normalized'!$A:$A, 0))), 0), 0))+(IFERROR(IF(5*INDEX('KZ-normalized'!$D:$D, MATCH($A162, 'KZ-normalized'!$A:$A, 0))-INDEX('KZ-normalized'!$E:$E, MATCH($A162, 'KZ-normalized'!$A:$A, 0))&gt;0, -(5*INDEX('KZ-normalized'!$D:$D, MATCH($A162, 'KZ-normalized'!$A:$A, 0))-INDEX('KZ-normalized'!$E:$E, MATCH($A162, 'KZ-normalized'!$A:$A, 0))), 0), 0))+(IFERROR(IF(5*INDEX('UZ-normalized'!$D:$D, MATCH($A162, 'UZ-normalized'!$A:$A, 0))-INDEX('UZ-normalized'!$E:$E, MATCH($A162, 'UZ-normalized'!$A:$A, 0))&gt;0, -(5*INDEX('UZ-normalized'!$D:$D, MATCH($A162, 'UZ-normalized'!$A:$A, 0))-INDEX('UZ-normalized'!$E:$E, MATCH($A162, 'UZ-normalized'!$A:$A, 0))), 0), 0)))</f>
        <v>0</v>
      </c>
      <c r="T162" s="6">
        <f>MIN(0, N162+(IFERROR(IF(6*INDEX('UA-normalized'!$D:$D, MATCH($A162, 'UA-normalized'!$A:$A, 0))-INDEX('UA-normalized'!$E:$E, MATCH($A162, 'UA-normalized'!$A:$A, 0))&gt;0, -(6*INDEX('UA-normalized'!$D:$D, MATCH($A162, 'UA-normalized'!$A:$A, 0))-INDEX('UA-normalized'!$E:$E, MATCH($A162, 'UA-normalized'!$A:$A, 0))), 0), 0))+(IFERROR(IF(6*INDEX('KZ-normalized'!$D:$D, MATCH($A162, 'KZ-normalized'!$A:$A, 0))-INDEX('KZ-normalized'!$E:$E, MATCH($A162, 'KZ-normalized'!$A:$A, 0))&gt;0, -(6*INDEX('KZ-normalized'!$D:$D, MATCH($A162, 'KZ-normalized'!$A:$A, 0))-INDEX('KZ-normalized'!$E:$E, MATCH($A162, 'KZ-normalized'!$A:$A, 0))), 0), 0))+(IFERROR(IF(6*INDEX('UZ-normalized'!$D:$D, MATCH($A162, 'UZ-normalized'!$A:$A, 0))-INDEX('UZ-normalized'!$E:$E, MATCH($A162, 'UZ-normalized'!$A:$A, 0))&gt;0, -(6*INDEX('UZ-normalized'!$D:$D, MATCH($A162, 'UZ-normalized'!$A:$A, 0))-INDEX('UZ-normalized'!$E:$E, MATCH($A162, 'UZ-normalized'!$A:$A, 0))), 0), 0)))</f>
        <v>0</v>
      </c>
      <c r="U162" s="6">
        <f>MIN(0, N162+(IFERROR(IF(7*INDEX('UA-normalized'!$D:$D, MATCH($A162, 'UA-normalized'!$A:$A, 0))-INDEX('UA-normalized'!$E:$E, MATCH($A162, 'UA-normalized'!$A:$A, 0))&gt;0, -(7*INDEX('UA-normalized'!$D:$D, MATCH($A162, 'UA-normalized'!$A:$A, 0))-INDEX('UA-normalized'!$E:$E, MATCH($A162, 'UA-normalized'!$A:$A, 0))), 0), 0))+(IFERROR(IF(7*INDEX('KZ-normalized'!$D:$D, MATCH($A162, 'KZ-normalized'!$A:$A, 0))-INDEX('KZ-normalized'!$E:$E, MATCH($A162, 'KZ-normalized'!$A:$A, 0))&gt;0, -(7*INDEX('KZ-normalized'!$D:$D, MATCH($A162, 'KZ-normalized'!$A:$A, 0))-INDEX('KZ-normalized'!$E:$E, MATCH($A162, 'KZ-normalized'!$A:$A, 0))), 0), 0))+(IFERROR(IF(7*INDEX('UZ-normalized'!$D:$D, MATCH($A162, 'UZ-normalized'!$A:$A, 0))-INDEX('UZ-normalized'!$E:$E, MATCH($A162, 'UZ-normalized'!$A:$A, 0))&gt;0, -(7*INDEX('UZ-normalized'!$D:$D, MATCH($A162, 'UZ-normalized'!$A:$A, 0))-INDEX('UZ-normalized'!$E:$E, MATCH($A162, 'UZ-normalized'!$A:$A, 0))), 0), 0)))</f>
        <v>0</v>
      </c>
      <c r="V162" s="6">
        <f>MIN(0, N162+(IFERROR(IF(8*INDEX('UA-normalized'!$D:$D, MATCH($A162, 'UA-normalized'!$A:$A, 0))-INDEX('UA-normalized'!$E:$E, MATCH($A162, 'UA-normalized'!$A:$A, 0))&gt;0, -(8*INDEX('UA-normalized'!$D:$D, MATCH($A162, 'UA-normalized'!$A:$A, 0))-INDEX('UA-normalized'!$E:$E, MATCH($A162, 'UA-normalized'!$A:$A, 0))), 0), 0))+(IFERROR(IF(8*INDEX('KZ-normalized'!$D:$D, MATCH($A162, 'KZ-normalized'!$A:$A, 0))-INDEX('KZ-normalized'!$E:$E, MATCH($A162, 'KZ-normalized'!$A:$A, 0))&gt;0, -(8*INDEX('KZ-normalized'!$D:$D, MATCH($A162, 'KZ-normalized'!$A:$A, 0))-INDEX('KZ-normalized'!$E:$E, MATCH($A162, 'KZ-normalized'!$A:$A, 0))), 0), 0))+(IFERROR(IF(8*INDEX('UZ-normalized'!$D:$D, MATCH($A162, 'UZ-normalized'!$A:$A, 0))-INDEX('UZ-normalized'!$E:$E, MATCH($A162, 'UZ-normalized'!$A:$A, 0))&gt;0, -(8*INDEX('UZ-normalized'!$D:$D, MATCH($A162, 'UZ-normalized'!$A:$A, 0))-INDEX('UZ-normalized'!$E:$E, MATCH($A162, 'UZ-normalized'!$A:$A, 0))), 0), 0)))</f>
        <v>0</v>
      </c>
      <c r="W162" s="6">
        <f>MIN(0, N162+(IFERROR(IF(9*INDEX('UA-normalized'!$D:$D, MATCH($A162, 'UA-normalized'!$A:$A, 0))-INDEX('UA-normalized'!$E:$E, MATCH($A162, 'UA-normalized'!$A:$A, 0))&gt;0, -(9*INDEX('UA-normalized'!$D:$D, MATCH($A162, 'UA-normalized'!$A:$A, 0))-INDEX('UA-normalized'!$E:$E, MATCH($A162, 'UA-normalized'!$A:$A, 0))), 0), 0))+(IFERROR(IF(9*INDEX('KZ-normalized'!$D:$D, MATCH($A162, 'KZ-normalized'!$A:$A, 0))-INDEX('KZ-normalized'!$E:$E, MATCH($A162, 'KZ-normalized'!$A:$A, 0))&gt;0, -(9*INDEX('KZ-normalized'!$D:$D, MATCH($A162, 'KZ-normalized'!$A:$A, 0))-INDEX('KZ-normalized'!$E:$E, MATCH($A162, 'KZ-normalized'!$A:$A, 0))), 0), 0))+(IFERROR(IF(9*INDEX('UZ-normalized'!$D:$D, MATCH($A162, 'UZ-normalized'!$A:$A, 0))-INDEX('UZ-normalized'!$E:$E, MATCH($A162, 'UZ-normalized'!$A:$A, 0))&gt;0, -(9*INDEX('UZ-normalized'!$D:$D, MATCH($A162, 'UZ-normalized'!$A:$A, 0))-INDEX('UZ-normalized'!$E:$E, MATCH($A162, 'UZ-normalized'!$A:$A, 0))), 0), 0)))</f>
        <v>0</v>
      </c>
      <c r="X162" s="6">
        <f>MIN(0, N162+(IFERROR(IF(10*INDEX('UA-normalized'!$D:$D, MATCH($A162, 'UA-normalized'!$A:$A, 0))-INDEX('UA-normalized'!$E:$E, MATCH($A162, 'UA-normalized'!$A:$A, 0))&gt;0, -(10*INDEX('UA-normalized'!$D:$D, MATCH($A162, 'UA-normalized'!$A:$A, 0))-INDEX('UA-normalized'!$E:$E, MATCH($A162, 'UA-normalized'!$A:$A, 0))), 0), 0))+(IFERROR(IF(10*INDEX('KZ-normalized'!$D:$D, MATCH($A162, 'KZ-normalized'!$A:$A, 0))-INDEX('KZ-normalized'!$E:$E, MATCH($A162, 'KZ-normalized'!$A:$A, 0))&gt;0, -(10*INDEX('KZ-normalized'!$D:$D, MATCH($A162, 'KZ-normalized'!$A:$A, 0))-INDEX('KZ-normalized'!$E:$E, MATCH($A162, 'KZ-normalized'!$A:$A, 0))), 0), 0))+(IFERROR(IF(10*INDEX('UZ-normalized'!$D:$D, MATCH($A162, 'UZ-normalized'!$A:$A, 0))-INDEX('UZ-normalized'!$E:$E, MATCH($A162, 'UZ-normalized'!$A:$A, 0))&gt;0, -(10*INDEX('UZ-normalized'!$D:$D, MATCH($A162, 'UZ-normalized'!$A:$A, 0))-INDEX('UZ-normalized'!$E:$E, MATCH($A162, 'UZ-normalized'!$A:$A, 0))), 0), 0)))</f>
        <v>0</v>
      </c>
      <c r="Y162" s="6">
        <f>MIN(0, N162+(IFERROR(IF(11*INDEX('UA-normalized'!$D:$D, MATCH($A162, 'UA-normalized'!$A:$A, 0))-INDEX('UA-normalized'!$E:$E, MATCH($A162, 'UA-normalized'!$A:$A, 0))&gt;0, -(11*INDEX('UA-normalized'!$D:$D, MATCH($A162, 'UA-normalized'!$A:$A, 0))-INDEX('UA-normalized'!$E:$E, MATCH($A162, 'UA-normalized'!$A:$A, 0))), 0), 0))+(IFERROR(IF(11*INDEX('KZ-normalized'!$D:$D, MATCH($A162, 'KZ-normalized'!$A:$A, 0))-INDEX('KZ-normalized'!$E:$E, MATCH($A162, 'KZ-normalized'!$A:$A, 0))&gt;0, -(11*INDEX('KZ-normalized'!$D:$D, MATCH($A162, 'KZ-normalized'!$A:$A, 0))-INDEX('KZ-normalized'!$E:$E, MATCH($A162, 'KZ-normalized'!$A:$A, 0))), 0), 0))+(IFERROR(IF(11*INDEX('UZ-normalized'!$D:$D, MATCH($A162, 'UZ-normalized'!$A:$A, 0))-INDEX('UZ-normalized'!$E:$E, MATCH($A162, 'UZ-normalized'!$A:$A, 0))&gt;0, -(11*INDEX('UZ-normalized'!$D:$D, MATCH($A162, 'UZ-normalized'!$A:$A, 0))-INDEX('UZ-normalized'!$E:$E, MATCH($A162, 'UZ-normalized'!$A:$A, 0))), 0), 0)))</f>
        <v>0</v>
      </c>
      <c r="Z162" s="6">
        <f>MIN(0, N162+(IFERROR(IF(12*INDEX('UA-normalized'!$D:$D, MATCH($A162, 'UA-normalized'!$A:$A, 0))-INDEX('UA-normalized'!$E:$E, MATCH($A162, 'UA-normalized'!$A:$A, 0))&gt;0, -(12*INDEX('UA-normalized'!$D:$D, MATCH($A162, 'UA-normalized'!$A:$A, 0))-INDEX('UA-normalized'!$E:$E, MATCH($A162, 'UA-normalized'!$A:$A, 0))), 0), 0))+(IFERROR(IF(12*INDEX('KZ-normalized'!$D:$D, MATCH($A162, 'KZ-normalized'!$A:$A, 0))-INDEX('KZ-normalized'!$E:$E, MATCH($A162, 'KZ-normalized'!$A:$A, 0))&gt;0, -(12*INDEX('KZ-normalized'!$D:$D, MATCH($A162, 'KZ-normalized'!$A:$A, 0))-INDEX('KZ-normalized'!$E:$E, MATCH($A162, 'KZ-normalized'!$A:$A, 0))), 0), 0))+(IFERROR(IF(12*INDEX('UZ-normalized'!$D:$D, MATCH($A162, 'UZ-normalized'!$A:$A, 0))-INDEX('UZ-normalized'!$E:$E, MATCH($A162, 'UZ-normalized'!$A:$A, 0))&gt;0, -(12*INDEX('UZ-normalized'!$D:$D, MATCH($A162, 'UZ-normalized'!$A:$A, 0))-INDEX('UZ-normalized'!$E:$E, MATCH($A162, 'UZ-normalized'!$A:$A, 0))), 0), 0)))</f>
        <v>0</v>
      </c>
      <c r="AA162" s="6">
        <f>MIN(0, N162+(IFERROR(IF(13*INDEX('UA-normalized'!$D:$D, MATCH($A162, 'UA-normalized'!$A:$A, 0))-INDEX('UA-normalized'!$E:$E, MATCH($A162, 'UA-normalized'!$A:$A, 0))&gt;0, -(13*INDEX('UA-normalized'!$D:$D, MATCH($A162, 'UA-normalized'!$A:$A, 0))-INDEX('UA-normalized'!$E:$E, MATCH($A162, 'UA-normalized'!$A:$A, 0))), 0), 0))+(IFERROR(IF(13*INDEX('KZ-normalized'!$D:$D, MATCH($A162, 'KZ-normalized'!$A:$A, 0))-INDEX('KZ-normalized'!$E:$E, MATCH($A162, 'KZ-normalized'!$A:$A, 0))&gt;0, -(13*INDEX('KZ-normalized'!$D:$D, MATCH($A162, 'KZ-normalized'!$A:$A, 0))-INDEX('KZ-normalized'!$E:$E, MATCH($A162, 'KZ-normalized'!$A:$A, 0))), 0), 0))+(IFERROR(IF(13*INDEX('UZ-normalized'!$D:$D, MATCH($A162, 'UZ-normalized'!$A:$A, 0))-INDEX('UZ-normalized'!$E:$E, MATCH($A162, 'UZ-normalized'!$A:$A, 0))&gt;0, -(13*INDEX('UZ-normalized'!$D:$D, MATCH($A162, 'UZ-normalized'!$A:$A, 0))-INDEX('UZ-normalized'!$E:$E, MATCH($A162, 'UZ-normalized'!$A:$A, 0))), 0), 0)))</f>
        <v>0</v>
      </c>
      <c r="AB162" s="6">
        <f>MIN(0, N162+(IFERROR(IF(14*INDEX('UA-normalized'!$D:$D, MATCH($A162, 'UA-normalized'!$A:$A, 0))-INDEX('UA-normalized'!$E:$E, MATCH($A162, 'UA-normalized'!$A:$A, 0))&gt;0, -(14*INDEX('UA-normalized'!$D:$D, MATCH($A162, 'UA-normalized'!$A:$A, 0))-INDEX('UA-normalized'!$E:$E, MATCH($A162, 'UA-normalized'!$A:$A, 0))), 0), 0))+(IFERROR(IF(14*INDEX('KZ-normalized'!$D:$D, MATCH($A162, 'KZ-normalized'!$A:$A, 0))-INDEX('KZ-normalized'!$E:$E, MATCH($A162, 'KZ-normalized'!$A:$A, 0))&gt;0, -(14*INDEX('KZ-normalized'!$D:$D, MATCH($A162, 'KZ-normalized'!$A:$A, 0))-INDEX('KZ-normalized'!$E:$E, MATCH($A162, 'KZ-normalized'!$A:$A, 0))), 0), 0))+(IFERROR(IF(14*INDEX('UZ-normalized'!$D:$D, MATCH($A162, 'UZ-normalized'!$A:$A, 0))-INDEX('UZ-normalized'!$E:$E, MATCH($A162, 'UZ-normalized'!$A:$A, 0))&gt;0, -(14*INDEX('UZ-normalized'!$D:$D, MATCH($A162, 'UZ-normalized'!$A:$A, 0))-INDEX('UZ-normalized'!$E:$E, MATCH($A162, 'UZ-normalized'!$A:$A, 0))), 0), 0)))</f>
        <v>0</v>
      </c>
      <c r="AC162" s="6">
        <f>MIN(0, N162+(IFERROR(IF(15*INDEX('UA-normalized'!$D:$D, MATCH($A162, 'UA-normalized'!$A:$A, 0))-INDEX('UA-normalized'!$E:$E, MATCH($A162, 'UA-normalized'!$A:$A, 0))&gt;0, -(15*INDEX('UA-normalized'!$D:$D, MATCH($A162, 'UA-normalized'!$A:$A, 0))-INDEX('UA-normalized'!$E:$E, MATCH($A162, 'UA-normalized'!$A:$A, 0))), 0), 0))+(IFERROR(IF(15*INDEX('KZ-normalized'!$D:$D, MATCH($A162, 'KZ-normalized'!$A:$A, 0))-INDEX('KZ-normalized'!$E:$E, MATCH($A162, 'KZ-normalized'!$A:$A, 0))&gt;0, -(15*INDEX('KZ-normalized'!$D:$D, MATCH($A162, 'KZ-normalized'!$A:$A, 0))-INDEX('KZ-normalized'!$E:$E, MATCH($A162, 'KZ-normalized'!$A:$A, 0))), 0), 0))+(IFERROR(IF(15*INDEX('UZ-normalized'!$D:$D, MATCH($A162, 'UZ-normalized'!$A:$A, 0))-INDEX('UZ-normalized'!$E:$E, MATCH($A162, 'UZ-normalized'!$A:$A, 0))&gt;0, -(15*INDEX('UZ-normalized'!$D:$D, MATCH($A162, 'UZ-normalized'!$A:$A, 0))-INDEX('UZ-normalized'!$E:$E, MATCH($A162, 'UZ-normalized'!$A:$A, 0))), 0), 0)))</f>
        <v>0</v>
      </c>
      <c r="AD162" s="6">
        <f>MIN(0, N162+(IFERROR(IF(16*INDEX('UA-normalized'!$D:$D, MATCH($A162, 'UA-normalized'!$A:$A, 0))-INDEX('UA-normalized'!$E:$E, MATCH($A162, 'UA-normalized'!$A:$A, 0))&gt;0, -(16*INDEX('UA-normalized'!$D:$D, MATCH($A162, 'UA-normalized'!$A:$A, 0))-INDEX('UA-normalized'!$E:$E, MATCH($A162, 'UA-normalized'!$A:$A, 0))), 0), 0))+(IFERROR(IF(16*INDEX('KZ-normalized'!$D:$D, MATCH($A162, 'KZ-normalized'!$A:$A, 0))-INDEX('KZ-normalized'!$E:$E, MATCH($A162, 'KZ-normalized'!$A:$A, 0))&gt;0, -(16*INDEX('KZ-normalized'!$D:$D, MATCH($A162, 'KZ-normalized'!$A:$A, 0))-INDEX('KZ-normalized'!$E:$E, MATCH($A162, 'KZ-normalized'!$A:$A, 0))), 0), 0))+(IFERROR(IF(16*INDEX('UZ-normalized'!$D:$D, MATCH($A162, 'UZ-normalized'!$A:$A, 0))-INDEX('UZ-normalized'!$E:$E, MATCH($A162, 'UZ-normalized'!$A:$A, 0))&gt;0, -(16*INDEX('UZ-normalized'!$D:$D, MATCH($A162, 'UZ-normalized'!$A:$A, 0))-INDEX('UZ-normalized'!$E:$E, MATCH($A162, 'UZ-normalized'!$A:$A, 0))), 0), 0)))</f>
        <v>0</v>
      </c>
      <c r="AE162" s="6">
        <f>MIN(0, N162+(IFERROR(IF(17*INDEX('UA-normalized'!$D:$D, MATCH($A162, 'UA-normalized'!$A:$A, 0))-INDEX('UA-normalized'!$E:$E, MATCH($A162, 'UA-normalized'!$A:$A, 0))&gt;0, -(17*INDEX('UA-normalized'!$D:$D, MATCH($A162, 'UA-normalized'!$A:$A, 0))-INDEX('UA-normalized'!$E:$E, MATCH($A162, 'UA-normalized'!$A:$A, 0))), 0), 0))+(IFERROR(IF(17*INDEX('KZ-normalized'!$D:$D, MATCH($A162, 'KZ-normalized'!$A:$A, 0))-INDEX('KZ-normalized'!$E:$E, MATCH($A162, 'KZ-normalized'!$A:$A, 0))&gt;0, -(17*INDEX('KZ-normalized'!$D:$D, MATCH($A162, 'KZ-normalized'!$A:$A, 0))-INDEX('KZ-normalized'!$E:$E, MATCH($A162, 'KZ-normalized'!$A:$A, 0))), 0), 0))+(IFERROR(IF(17*INDEX('UZ-normalized'!$D:$D, MATCH($A162, 'UZ-normalized'!$A:$A, 0))-INDEX('UZ-normalized'!$E:$E, MATCH($A162, 'UZ-normalized'!$A:$A, 0))&gt;0, -(17*INDEX('UZ-normalized'!$D:$D, MATCH($A162, 'UZ-normalized'!$A:$A, 0))-INDEX('UZ-normalized'!$E:$E, MATCH($A162, 'UZ-normalized'!$A:$A, 0))), 0), 0)))</f>
        <v>0</v>
      </c>
      <c r="AF162" s="6">
        <f>MIN(0, N162+(IFERROR(IF(18*INDEX('UA-normalized'!$D:$D, MATCH($A162, 'UA-normalized'!$A:$A, 0))-INDEX('UA-normalized'!$E:$E, MATCH($A162, 'UA-normalized'!$A:$A, 0))&gt;0, -(18*INDEX('UA-normalized'!$D:$D, MATCH($A162, 'UA-normalized'!$A:$A, 0))-INDEX('UA-normalized'!$E:$E, MATCH($A162, 'UA-normalized'!$A:$A, 0))), 0), 0))+(IFERROR(IF(18*INDEX('KZ-normalized'!$D:$D, MATCH($A162, 'KZ-normalized'!$A:$A, 0))-INDEX('KZ-normalized'!$E:$E, MATCH($A162, 'KZ-normalized'!$A:$A, 0))&gt;0, -(18*INDEX('KZ-normalized'!$D:$D, MATCH($A162, 'KZ-normalized'!$A:$A, 0))-INDEX('KZ-normalized'!$E:$E, MATCH($A162, 'KZ-normalized'!$A:$A, 0))), 0), 0))+(IFERROR(IF(18*INDEX('UZ-normalized'!$D:$D, MATCH($A162, 'UZ-normalized'!$A:$A, 0))-INDEX('UZ-normalized'!$E:$E, MATCH($A162, 'UZ-normalized'!$A:$A, 0))&gt;0, -(18*INDEX('UZ-normalized'!$D:$D, MATCH($A162, 'UZ-normalized'!$A:$A, 0))-INDEX('UZ-normalized'!$E:$E, MATCH($A162, 'UZ-normalized'!$A:$A, 0))), 0), 0)))</f>
        <v>0</v>
      </c>
      <c r="AG162" s="6">
        <f>MIN(0, N162+(IFERROR(IF(19*INDEX('UA-normalized'!$D:$D, MATCH($A162, 'UA-normalized'!$A:$A, 0))-INDEX('UA-normalized'!$E:$E, MATCH($A162, 'UA-normalized'!$A:$A, 0))&gt;0, -(19*INDEX('UA-normalized'!$D:$D, MATCH($A162, 'UA-normalized'!$A:$A, 0))-INDEX('UA-normalized'!$E:$E, MATCH($A162, 'UA-normalized'!$A:$A, 0))), 0), 0))+(IFERROR(IF(19*INDEX('KZ-normalized'!$D:$D, MATCH($A162, 'KZ-normalized'!$A:$A, 0))-INDEX('KZ-normalized'!$E:$E, MATCH($A162, 'KZ-normalized'!$A:$A, 0))&gt;0, -(19*INDEX('KZ-normalized'!$D:$D, MATCH($A162, 'KZ-normalized'!$A:$A, 0))-INDEX('KZ-normalized'!$E:$E, MATCH($A162, 'KZ-normalized'!$A:$A, 0))), 0), 0))+(IFERROR(IF(19*INDEX('UZ-normalized'!$D:$D, MATCH($A162, 'UZ-normalized'!$A:$A, 0))-INDEX('UZ-normalized'!$E:$E, MATCH($A162, 'UZ-normalized'!$A:$A, 0))&gt;0, -(19*INDEX('UZ-normalized'!$D:$D, MATCH($A162, 'UZ-normalized'!$A:$A, 0))-INDEX('UZ-normalized'!$E:$E, MATCH($A162, 'UZ-normalized'!$A:$A, 0))), 0), 0)))</f>
        <v>0</v>
      </c>
      <c r="AH162" s="6">
        <f>MIN(0, N162+(IFERROR(IF(20*INDEX('UA-normalized'!$D:$D, MATCH($A162, 'UA-normalized'!$A:$A, 0))-INDEX('UA-normalized'!$E:$E, MATCH($A162, 'UA-normalized'!$A:$A, 0))&gt;0, -(20*INDEX('UA-normalized'!$D:$D, MATCH($A162, 'UA-normalized'!$A:$A, 0))-INDEX('UA-normalized'!$E:$E, MATCH($A162, 'UA-normalized'!$A:$A, 0))), 0), 0))+(IFERROR(IF(20*INDEX('KZ-normalized'!$D:$D, MATCH($A162, 'KZ-normalized'!$A:$A, 0))-INDEX('KZ-normalized'!$E:$E, MATCH($A162, 'KZ-normalized'!$A:$A, 0))&gt;0, -(20*INDEX('KZ-normalized'!$D:$D, MATCH($A162, 'KZ-normalized'!$A:$A, 0))-INDEX('KZ-normalized'!$E:$E, MATCH($A162, 'KZ-normalized'!$A:$A, 0))), 0), 0))+(IFERROR(IF(20*INDEX('UZ-normalized'!$D:$D, MATCH($A162, 'UZ-normalized'!$A:$A, 0))-INDEX('UZ-normalized'!$E:$E, MATCH($A162, 'UZ-normalized'!$A:$A, 0))&gt;0, -(20*INDEX('UZ-normalized'!$D:$D, MATCH($A162, 'UZ-normalized'!$A:$A, 0))-INDEX('UZ-normalized'!$E:$E, MATCH($A162, 'UZ-normalized'!$A:$A, 0))), 0), 0)))</f>
        <v>0</v>
      </c>
      <c r="AI162" s="6">
        <f>MIN(0, N162+(IFERROR(IF(21*INDEX('UA-normalized'!$D:$D, MATCH($A162, 'UA-normalized'!$A:$A, 0))-INDEX('UA-normalized'!$E:$E, MATCH($A162, 'UA-normalized'!$A:$A, 0))&gt;0, -(21*INDEX('UA-normalized'!$D:$D, MATCH($A162, 'UA-normalized'!$A:$A, 0))-INDEX('UA-normalized'!$E:$E, MATCH($A162, 'UA-normalized'!$A:$A, 0))), 0), 0))+(IFERROR(IF(21*INDEX('KZ-normalized'!$D:$D, MATCH($A162, 'KZ-normalized'!$A:$A, 0))-INDEX('KZ-normalized'!$E:$E, MATCH($A162, 'KZ-normalized'!$A:$A, 0))&gt;0, -(21*INDEX('KZ-normalized'!$D:$D, MATCH($A162, 'KZ-normalized'!$A:$A, 0))-INDEX('KZ-normalized'!$E:$E, MATCH($A162, 'KZ-normalized'!$A:$A, 0))), 0), 0))+(IFERROR(IF(21*INDEX('UZ-normalized'!$D:$D, MATCH($A162, 'UZ-normalized'!$A:$A, 0))-INDEX('UZ-normalized'!$E:$E, MATCH($A162, 'UZ-normalized'!$A:$A, 0))&gt;0, -(21*INDEX('UZ-normalized'!$D:$D, MATCH($A162, 'UZ-normalized'!$A:$A, 0))-INDEX('UZ-normalized'!$E:$E, MATCH($A162, 'UZ-normalized'!$A:$A, 0))), 0), 0)))</f>
        <v>0</v>
      </c>
      <c r="AJ162" s="6">
        <f>MIN(0, N162+(IFERROR(IF(22*INDEX('UA-normalized'!$D:$D, MATCH($A162, 'UA-normalized'!$A:$A, 0))-INDEX('UA-normalized'!$E:$E, MATCH($A162, 'UA-normalized'!$A:$A, 0))&gt;0, -(22*INDEX('UA-normalized'!$D:$D, MATCH($A162, 'UA-normalized'!$A:$A, 0))-INDEX('UA-normalized'!$E:$E, MATCH($A162, 'UA-normalized'!$A:$A, 0))), 0), 0))+(IFERROR(IF(22*INDEX('KZ-normalized'!$D:$D, MATCH($A162, 'KZ-normalized'!$A:$A, 0))-INDEX('KZ-normalized'!$E:$E, MATCH($A162, 'KZ-normalized'!$A:$A, 0))&gt;0, -(22*INDEX('KZ-normalized'!$D:$D, MATCH($A162, 'KZ-normalized'!$A:$A, 0))-INDEX('KZ-normalized'!$E:$E, MATCH($A162, 'KZ-normalized'!$A:$A, 0))), 0), 0))+(IFERROR(IF(22*INDEX('UZ-normalized'!$D:$D, MATCH($A162, 'UZ-normalized'!$A:$A, 0))-INDEX('UZ-normalized'!$E:$E, MATCH($A162, 'UZ-normalized'!$A:$A, 0))&gt;0, -(22*INDEX('UZ-normalized'!$D:$D, MATCH($A162, 'UZ-normalized'!$A:$A, 0))-INDEX('UZ-normalized'!$E:$E, MATCH($A162, 'UZ-normalized'!$A:$A, 0))), 0), 0)))</f>
        <v>0</v>
      </c>
      <c r="AK162" s="6">
        <f>MIN(0, N162+(IFERROR(IF(23*INDEX('UA-normalized'!$D:$D, MATCH($A162, 'UA-normalized'!$A:$A, 0))-INDEX('UA-normalized'!$E:$E, MATCH($A162, 'UA-normalized'!$A:$A, 0))&gt;0, -(23*INDEX('UA-normalized'!$D:$D, MATCH($A162, 'UA-normalized'!$A:$A, 0))-INDEX('UA-normalized'!$E:$E, MATCH($A162, 'UA-normalized'!$A:$A, 0))), 0), 0))+(IFERROR(IF(23*INDEX('KZ-normalized'!$D:$D, MATCH($A162, 'KZ-normalized'!$A:$A, 0))-INDEX('KZ-normalized'!$E:$E, MATCH($A162, 'KZ-normalized'!$A:$A, 0))&gt;0, -(23*INDEX('KZ-normalized'!$D:$D, MATCH($A162, 'KZ-normalized'!$A:$A, 0))-INDEX('KZ-normalized'!$E:$E, MATCH($A162, 'KZ-normalized'!$A:$A, 0))), 0), 0))+(IFERROR(IF(23*INDEX('UZ-normalized'!$D:$D, MATCH($A162, 'UZ-normalized'!$A:$A, 0))-INDEX('UZ-normalized'!$E:$E, MATCH($A162, 'UZ-normalized'!$A:$A, 0))&gt;0, -(23*INDEX('UZ-normalized'!$D:$D, MATCH($A162, 'UZ-normalized'!$A:$A, 0))-INDEX('UZ-normalized'!$E:$E, MATCH($A162, 'UZ-normalized'!$A:$A, 0))), 0), 0)))</f>
        <v>0</v>
      </c>
      <c r="AL162" s="6">
        <f>MIN(0, N162+(IFERROR(IF(24*INDEX('UA-normalized'!$D:$D, MATCH($A162, 'UA-normalized'!$A:$A, 0))-INDEX('UA-normalized'!$E:$E, MATCH($A162, 'UA-normalized'!$A:$A, 0))&gt;0, -(24*INDEX('UA-normalized'!$D:$D, MATCH($A162, 'UA-normalized'!$A:$A, 0))-INDEX('UA-normalized'!$E:$E, MATCH($A162, 'UA-normalized'!$A:$A, 0))), 0), 0))+(IFERROR(IF(24*INDEX('KZ-normalized'!$D:$D, MATCH($A162, 'KZ-normalized'!$A:$A, 0))-INDEX('KZ-normalized'!$E:$E, MATCH($A162, 'KZ-normalized'!$A:$A, 0))&gt;0, -(24*INDEX('KZ-normalized'!$D:$D, MATCH($A162, 'KZ-normalized'!$A:$A, 0))-INDEX('KZ-normalized'!$E:$E, MATCH($A162, 'KZ-normalized'!$A:$A, 0))), 0), 0))+(IFERROR(IF(24*INDEX('UZ-normalized'!$D:$D, MATCH($A162, 'UZ-normalized'!$A:$A, 0))-INDEX('UZ-normalized'!$E:$E, MATCH($A162, 'UZ-normalized'!$A:$A, 0))&gt;0, -(24*INDEX('UZ-normalized'!$D:$D, MATCH($A162, 'UZ-normalized'!$A:$A, 0))-INDEX('UZ-normalized'!$E:$E, MATCH($A162, 'UZ-normalized'!$A:$A, 0))), 0), 0)))</f>
        <v>0</v>
      </c>
      <c r="AM162" s="6">
        <f>MIN(0, N162+(IFERROR(IF(25*INDEX('UA-normalized'!$D:$D, MATCH($A162, 'UA-normalized'!$A:$A, 0))-INDEX('UA-normalized'!$E:$E, MATCH($A162, 'UA-normalized'!$A:$A, 0))&gt;0, -(25*INDEX('UA-normalized'!$D:$D, MATCH($A162, 'UA-normalized'!$A:$A, 0))-INDEX('UA-normalized'!$E:$E, MATCH($A162, 'UA-normalized'!$A:$A, 0))), 0), 0))+(IFERROR(IF(25*INDEX('KZ-normalized'!$D:$D, MATCH($A162, 'KZ-normalized'!$A:$A, 0))-INDEX('KZ-normalized'!$E:$E, MATCH($A162, 'KZ-normalized'!$A:$A, 0))&gt;0, -(25*INDEX('KZ-normalized'!$D:$D, MATCH($A162, 'KZ-normalized'!$A:$A, 0))-INDEX('KZ-normalized'!$E:$E, MATCH($A162, 'KZ-normalized'!$A:$A, 0))), 0), 0))+(IFERROR(IF(25*INDEX('UZ-normalized'!$D:$D, MATCH($A162, 'UZ-normalized'!$A:$A, 0))-INDEX('UZ-normalized'!$E:$E, MATCH($A162, 'UZ-normalized'!$A:$A, 0))&gt;0, -(25*INDEX('UZ-normalized'!$D:$D, MATCH($A162, 'UZ-normalized'!$A:$A, 0))-INDEX('UZ-normalized'!$E:$E, MATCH($A162, 'UZ-normalized'!$A:$A, 0))), 0), 0)))</f>
        <v>0</v>
      </c>
      <c r="AN162" s="6">
        <f>MIN(0, N162+(IFERROR(IF(26*INDEX('UA-normalized'!$D:$D, MATCH($A162, 'UA-normalized'!$A:$A, 0))-INDEX('UA-normalized'!$E:$E, MATCH($A162, 'UA-normalized'!$A:$A, 0))&gt;0, -(26*INDEX('UA-normalized'!$D:$D, MATCH($A162, 'UA-normalized'!$A:$A, 0))-INDEX('UA-normalized'!$E:$E, MATCH($A162, 'UA-normalized'!$A:$A, 0))), 0), 0))+(IFERROR(IF(26*INDEX('KZ-normalized'!$D:$D, MATCH($A162, 'KZ-normalized'!$A:$A, 0))-INDEX('KZ-normalized'!$E:$E, MATCH($A162, 'KZ-normalized'!$A:$A, 0))&gt;0, -(26*INDEX('KZ-normalized'!$D:$D, MATCH($A162, 'KZ-normalized'!$A:$A, 0))-INDEX('KZ-normalized'!$E:$E, MATCH($A162, 'KZ-normalized'!$A:$A, 0))), 0), 0))+(IFERROR(IF(26*INDEX('UZ-normalized'!$D:$D, MATCH($A162, 'UZ-normalized'!$A:$A, 0))-INDEX('UZ-normalized'!$E:$E, MATCH($A162, 'UZ-normalized'!$A:$A, 0))&gt;0, -(26*INDEX('UZ-normalized'!$D:$D, MATCH($A162, 'UZ-normalized'!$A:$A, 0))-INDEX('UZ-normalized'!$E:$E, MATCH($A162, 'UZ-normalized'!$A:$A, 0))), 0), 0)))</f>
        <v>0</v>
      </c>
      <c r="AO162" s="6">
        <f>MIN(0, N162+(IFERROR(IF(27*INDEX('UA-normalized'!$D:$D, MATCH($A162, 'UA-normalized'!$A:$A, 0))-INDEX('UA-normalized'!$E:$E, MATCH($A162, 'UA-normalized'!$A:$A, 0))&gt;0, -(27*INDEX('UA-normalized'!$D:$D, MATCH($A162, 'UA-normalized'!$A:$A, 0))-INDEX('UA-normalized'!$E:$E, MATCH($A162, 'UA-normalized'!$A:$A, 0))), 0), 0))+(IFERROR(IF(27*INDEX('KZ-normalized'!$D:$D, MATCH($A162, 'KZ-normalized'!$A:$A, 0))-INDEX('KZ-normalized'!$E:$E, MATCH($A162, 'KZ-normalized'!$A:$A, 0))&gt;0, -(27*INDEX('KZ-normalized'!$D:$D, MATCH($A162, 'KZ-normalized'!$A:$A, 0))-INDEX('KZ-normalized'!$E:$E, MATCH($A162, 'KZ-normalized'!$A:$A, 0))), 0), 0))+(IFERROR(IF(27*INDEX('UZ-normalized'!$D:$D, MATCH($A162, 'UZ-normalized'!$A:$A, 0))-INDEX('UZ-normalized'!$E:$E, MATCH($A162, 'UZ-normalized'!$A:$A, 0))&gt;0, -(27*INDEX('UZ-normalized'!$D:$D, MATCH($A162, 'UZ-normalized'!$A:$A, 0))-INDEX('UZ-normalized'!$E:$E, MATCH($A162, 'UZ-normalized'!$A:$A, 0))), 0), 0)))</f>
        <v>0</v>
      </c>
      <c r="AP162" s="6">
        <f>MIN(0, N162+(IFERROR(IF(28*INDEX('UA-normalized'!$D:$D, MATCH($A162, 'UA-normalized'!$A:$A, 0))-INDEX('UA-normalized'!$E:$E, MATCH($A162, 'UA-normalized'!$A:$A, 0))&gt;0, -(28*INDEX('UA-normalized'!$D:$D, MATCH($A162, 'UA-normalized'!$A:$A, 0))-INDEX('UA-normalized'!$E:$E, MATCH($A162, 'UA-normalized'!$A:$A, 0))), 0), 0))+(IFERROR(IF(28*INDEX('KZ-normalized'!$D:$D, MATCH($A162, 'KZ-normalized'!$A:$A, 0))-INDEX('KZ-normalized'!$E:$E, MATCH($A162, 'KZ-normalized'!$A:$A, 0))&gt;0, -(28*INDEX('KZ-normalized'!$D:$D, MATCH($A162, 'KZ-normalized'!$A:$A, 0))-INDEX('KZ-normalized'!$E:$E, MATCH($A162, 'KZ-normalized'!$A:$A, 0))), 0), 0))+(IFERROR(IF(28*INDEX('UZ-normalized'!$D:$D, MATCH($A162, 'UZ-normalized'!$A:$A, 0))-INDEX('UZ-normalized'!$E:$E, MATCH($A162, 'UZ-normalized'!$A:$A, 0))&gt;0, -(28*INDEX('UZ-normalized'!$D:$D, MATCH($A162, 'UZ-normalized'!$A:$A, 0))-INDEX('UZ-normalized'!$E:$E, MATCH($A162, 'UZ-normalized'!$A:$A, 0))), 0), 0)))</f>
        <v>0</v>
      </c>
      <c r="AQ162" s="6">
        <f>MIN(0, N162+(IFERROR(IF(29*INDEX('UA-normalized'!$D:$D, MATCH($A162, 'UA-normalized'!$A:$A, 0))-INDEX('UA-normalized'!$E:$E, MATCH($A162, 'UA-normalized'!$A:$A, 0))&gt;0, -(29*INDEX('UA-normalized'!$D:$D, MATCH($A162, 'UA-normalized'!$A:$A, 0))-INDEX('UA-normalized'!$E:$E, MATCH($A162, 'UA-normalized'!$A:$A, 0))), 0), 0))+(IFERROR(IF(29*INDEX('KZ-normalized'!$D:$D, MATCH($A162, 'KZ-normalized'!$A:$A, 0))-INDEX('KZ-normalized'!$E:$E, MATCH($A162, 'KZ-normalized'!$A:$A, 0))&gt;0, -(29*INDEX('KZ-normalized'!$D:$D, MATCH($A162, 'KZ-normalized'!$A:$A, 0))-INDEX('KZ-normalized'!$E:$E, MATCH($A162, 'KZ-normalized'!$A:$A, 0))), 0), 0))+(IFERROR(IF(29*INDEX('UZ-normalized'!$D:$D, MATCH($A162, 'UZ-normalized'!$A:$A, 0))-INDEX('UZ-normalized'!$E:$E, MATCH($A162, 'UZ-normalized'!$A:$A, 0))&gt;0, -(29*INDEX('UZ-normalized'!$D:$D, MATCH($A162, 'UZ-normalized'!$A:$A, 0))-INDEX('UZ-normalized'!$E:$E, MATCH($A162, 'UZ-normalized'!$A:$A, 0))), 0), 0)))</f>
        <v>0</v>
      </c>
      <c r="AR162" s="6">
        <f>MIN(0, N162+(IFERROR(IF(30*INDEX('UA-normalized'!$D:$D, MATCH($A162, 'UA-normalized'!$A:$A, 0))-INDEX('UA-normalized'!$E:$E, MATCH($A162, 'UA-normalized'!$A:$A, 0))&gt;0, -(30*INDEX('UA-normalized'!$D:$D, MATCH($A162, 'UA-normalized'!$A:$A, 0))-INDEX('UA-normalized'!$E:$E, MATCH($A162, 'UA-normalized'!$A:$A, 0))), 0), 0))+(IFERROR(IF(30*INDEX('KZ-normalized'!$D:$D, MATCH($A162, 'KZ-normalized'!$A:$A, 0))-INDEX('KZ-normalized'!$E:$E, MATCH($A162, 'KZ-normalized'!$A:$A, 0))&gt;0, -(30*INDEX('KZ-normalized'!$D:$D, MATCH($A162, 'KZ-normalized'!$A:$A, 0))-INDEX('KZ-normalized'!$E:$E, MATCH($A162, 'KZ-normalized'!$A:$A, 0))), 0), 0))+(IFERROR(IF(30*INDEX('UZ-normalized'!$D:$D, MATCH($A162, 'UZ-normalized'!$A:$A, 0))-INDEX('UZ-normalized'!$E:$E, MATCH($A162, 'UZ-normalized'!$A:$A, 0))&gt;0, -(30*INDEX('UZ-normalized'!$D:$D, MATCH($A162, 'UZ-normalized'!$A:$A, 0))-INDEX('UZ-normalized'!$E:$E, MATCH($A162, 'UZ-normalized'!$A:$A, 0))), 0), 0)))</f>
        <v>0</v>
      </c>
    </row>
    <row r="163" spans="1:44" x14ac:dyDescent="0.25">
      <c r="A163" s="8" t="s">
        <v>390</v>
      </c>
      <c r="B163" s="8" t="s">
        <v>363</v>
      </c>
      <c r="C163" s="8" t="s">
        <v>364</v>
      </c>
      <c r="D163" s="8" t="s">
        <v>391</v>
      </c>
      <c r="N163">
        <f t="shared" si="2"/>
        <v>0</v>
      </c>
      <c r="O163" s="6">
        <f>MIN(0, N163+(IFERROR(IF(1*INDEX('UA-normalized'!$D:$D, MATCH($A163, 'UA-normalized'!$A:$A, 0))-INDEX('UA-normalized'!$E:$E, MATCH($A163, 'UA-normalized'!$A:$A, 0))&gt;0, -(1*INDEX('UA-normalized'!$D:$D, MATCH($A163, 'UA-normalized'!$A:$A, 0))-INDEX('UA-normalized'!$E:$E, MATCH($A163, 'UA-normalized'!$A:$A, 0))), 0), 0))+(IFERROR(IF(1*INDEX('KZ-normalized'!$D:$D, MATCH($A163, 'KZ-normalized'!$A:$A, 0))-INDEX('KZ-normalized'!$E:$E, MATCH($A163, 'KZ-normalized'!$A:$A, 0))&gt;0, -(1*INDEX('KZ-normalized'!$D:$D, MATCH($A163, 'KZ-normalized'!$A:$A, 0))-INDEX('KZ-normalized'!$E:$E, MATCH($A163, 'KZ-normalized'!$A:$A, 0))), 0), 0))+(IFERROR(IF(1*INDEX('UZ-normalized'!$D:$D, MATCH($A163, 'UZ-normalized'!$A:$A, 0))-INDEX('UZ-normalized'!$E:$E, MATCH($A163, 'UZ-normalized'!$A:$A, 0))&gt;0, -(1*INDEX('UZ-normalized'!$D:$D, MATCH($A163, 'UZ-normalized'!$A:$A, 0))-INDEX('UZ-normalized'!$E:$E, MATCH($A163, 'UZ-normalized'!$A:$A, 0))), 0), 0)))</f>
        <v>0</v>
      </c>
      <c r="P163" s="6">
        <f>MIN(0, N163+(IFERROR(IF(2*INDEX('UA-normalized'!$D:$D, MATCH($A163, 'UA-normalized'!$A:$A, 0))-INDEX('UA-normalized'!$E:$E, MATCH($A163, 'UA-normalized'!$A:$A, 0))&gt;0, -(2*INDEX('UA-normalized'!$D:$D, MATCH($A163, 'UA-normalized'!$A:$A, 0))-INDEX('UA-normalized'!$E:$E, MATCH($A163, 'UA-normalized'!$A:$A, 0))), 0), 0))+(IFERROR(IF(2*INDEX('KZ-normalized'!$D:$D, MATCH($A163, 'KZ-normalized'!$A:$A, 0))-INDEX('KZ-normalized'!$E:$E, MATCH($A163, 'KZ-normalized'!$A:$A, 0))&gt;0, -(2*INDEX('KZ-normalized'!$D:$D, MATCH($A163, 'KZ-normalized'!$A:$A, 0))-INDEX('KZ-normalized'!$E:$E, MATCH($A163, 'KZ-normalized'!$A:$A, 0))), 0), 0))+(IFERROR(IF(2*INDEX('UZ-normalized'!$D:$D, MATCH($A163, 'UZ-normalized'!$A:$A, 0))-INDEX('UZ-normalized'!$E:$E, MATCH($A163, 'UZ-normalized'!$A:$A, 0))&gt;0, -(2*INDEX('UZ-normalized'!$D:$D, MATCH($A163, 'UZ-normalized'!$A:$A, 0))-INDEX('UZ-normalized'!$E:$E, MATCH($A163, 'UZ-normalized'!$A:$A, 0))), 0), 0)))</f>
        <v>0</v>
      </c>
      <c r="Q163" s="6">
        <f>MIN(0, N163+(IFERROR(IF(3*INDEX('UA-normalized'!$D:$D, MATCH($A163, 'UA-normalized'!$A:$A, 0))-INDEX('UA-normalized'!$E:$E, MATCH($A163, 'UA-normalized'!$A:$A, 0))&gt;0, -(3*INDEX('UA-normalized'!$D:$D, MATCH($A163, 'UA-normalized'!$A:$A, 0))-INDEX('UA-normalized'!$E:$E, MATCH($A163, 'UA-normalized'!$A:$A, 0))), 0), 0))+(IFERROR(IF(3*INDEX('KZ-normalized'!$D:$D, MATCH($A163, 'KZ-normalized'!$A:$A, 0))-INDEX('KZ-normalized'!$E:$E, MATCH($A163, 'KZ-normalized'!$A:$A, 0))&gt;0, -(3*INDEX('KZ-normalized'!$D:$D, MATCH($A163, 'KZ-normalized'!$A:$A, 0))-INDEX('KZ-normalized'!$E:$E, MATCH($A163, 'KZ-normalized'!$A:$A, 0))), 0), 0))+(IFERROR(IF(3*INDEX('UZ-normalized'!$D:$D, MATCH($A163, 'UZ-normalized'!$A:$A, 0))-INDEX('UZ-normalized'!$E:$E, MATCH($A163, 'UZ-normalized'!$A:$A, 0))&gt;0, -(3*INDEX('UZ-normalized'!$D:$D, MATCH($A163, 'UZ-normalized'!$A:$A, 0))-INDEX('UZ-normalized'!$E:$E, MATCH($A163, 'UZ-normalized'!$A:$A, 0))), 0), 0)))</f>
        <v>0</v>
      </c>
      <c r="R163" s="6">
        <f>MIN(0, N163+(IFERROR(IF(4*INDEX('UA-normalized'!$D:$D, MATCH($A163, 'UA-normalized'!$A:$A, 0))-INDEX('UA-normalized'!$E:$E, MATCH($A163, 'UA-normalized'!$A:$A, 0))&gt;0, -(4*INDEX('UA-normalized'!$D:$D, MATCH($A163, 'UA-normalized'!$A:$A, 0))-INDEX('UA-normalized'!$E:$E, MATCH($A163, 'UA-normalized'!$A:$A, 0))), 0), 0))+(IFERROR(IF(4*INDEX('KZ-normalized'!$D:$D, MATCH($A163, 'KZ-normalized'!$A:$A, 0))-INDEX('KZ-normalized'!$E:$E, MATCH($A163, 'KZ-normalized'!$A:$A, 0))&gt;0, -(4*INDEX('KZ-normalized'!$D:$D, MATCH($A163, 'KZ-normalized'!$A:$A, 0))-INDEX('KZ-normalized'!$E:$E, MATCH($A163, 'KZ-normalized'!$A:$A, 0))), 0), 0))+(IFERROR(IF(4*INDEX('UZ-normalized'!$D:$D, MATCH($A163, 'UZ-normalized'!$A:$A, 0))-INDEX('UZ-normalized'!$E:$E, MATCH($A163, 'UZ-normalized'!$A:$A, 0))&gt;0, -(4*INDEX('UZ-normalized'!$D:$D, MATCH($A163, 'UZ-normalized'!$A:$A, 0))-INDEX('UZ-normalized'!$E:$E, MATCH($A163, 'UZ-normalized'!$A:$A, 0))), 0), 0)))</f>
        <v>0</v>
      </c>
      <c r="S163" s="6">
        <f>MIN(0, N163+(IFERROR(IF(5*INDEX('UA-normalized'!$D:$D, MATCH($A163, 'UA-normalized'!$A:$A, 0))-INDEX('UA-normalized'!$E:$E, MATCH($A163, 'UA-normalized'!$A:$A, 0))&gt;0, -(5*INDEX('UA-normalized'!$D:$D, MATCH($A163, 'UA-normalized'!$A:$A, 0))-INDEX('UA-normalized'!$E:$E, MATCH($A163, 'UA-normalized'!$A:$A, 0))), 0), 0))+(IFERROR(IF(5*INDEX('KZ-normalized'!$D:$D, MATCH($A163, 'KZ-normalized'!$A:$A, 0))-INDEX('KZ-normalized'!$E:$E, MATCH($A163, 'KZ-normalized'!$A:$A, 0))&gt;0, -(5*INDEX('KZ-normalized'!$D:$D, MATCH($A163, 'KZ-normalized'!$A:$A, 0))-INDEX('KZ-normalized'!$E:$E, MATCH($A163, 'KZ-normalized'!$A:$A, 0))), 0), 0))+(IFERROR(IF(5*INDEX('UZ-normalized'!$D:$D, MATCH($A163, 'UZ-normalized'!$A:$A, 0))-INDEX('UZ-normalized'!$E:$E, MATCH($A163, 'UZ-normalized'!$A:$A, 0))&gt;0, -(5*INDEX('UZ-normalized'!$D:$D, MATCH($A163, 'UZ-normalized'!$A:$A, 0))-INDEX('UZ-normalized'!$E:$E, MATCH($A163, 'UZ-normalized'!$A:$A, 0))), 0), 0)))</f>
        <v>0</v>
      </c>
      <c r="T163" s="6">
        <f>MIN(0, N163+(IFERROR(IF(6*INDEX('UA-normalized'!$D:$D, MATCH($A163, 'UA-normalized'!$A:$A, 0))-INDEX('UA-normalized'!$E:$E, MATCH($A163, 'UA-normalized'!$A:$A, 0))&gt;0, -(6*INDEX('UA-normalized'!$D:$D, MATCH($A163, 'UA-normalized'!$A:$A, 0))-INDEX('UA-normalized'!$E:$E, MATCH($A163, 'UA-normalized'!$A:$A, 0))), 0), 0))+(IFERROR(IF(6*INDEX('KZ-normalized'!$D:$D, MATCH($A163, 'KZ-normalized'!$A:$A, 0))-INDEX('KZ-normalized'!$E:$E, MATCH($A163, 'KZ-normalized'!$A:$A, 0))&gt;0, -(6*INDEX('KZ-normalized'!$D:$D, MATCH($A163, 'KZ-normalized'!$A:$A, 0))-INDEX('KZ-normalized'!$E:$E, MATCH($A163, 'KZ-normalized'!$A:$A, 0))), 0), 0))+(IFERROR(IF(6*INDEX('UZ-normalized'!$D:$D, MATCH($A163, 'UZ-normalized'!$A:$A, 0))-INDEX('UZ-normalized'!$E:$E, MATCH($A163, 'UZ-normalized'!$A:$A, 0))&gt;0, -(6*INDEX('UZ-normalized'!$D:$D, MATCH($A163, 'UZ-normalized'!$A:$A, 0))-INDEX('UZ-normalized'!$E:$E, MATCH($A163, 'UZ-normalized'!$A:$A, 0))), 0), 0)))</f>
        <v>0</v>
      </c>
      <c r="U163" s="6">
        <f>MIN(0, N163+(IFERROR(IF(7*INDEX('UA-normalized'!$D:$D, MATCH($A163, 'UA-normalized'!$A:$A, 0))-INDEX('UA-normalized'!$E:$E, MATCH($A163, 'UA-normalized'!$A:$A, 0))&gt;0, -(7*INDEX('UA-normalized'!$D:$D, MATCH($A163, 'UA-normalized'!$A:$A, 0))-INDEX('UA-normalized'!$E:$E, MATCH($A163, 'UA-normalized'!$A:$A, 0))), 0), 0))+(IFERROR(IF(7*INDEX('KZ-normalized'!$D:$D, MATCH($A163, 'KZ-normalized'!$A:$A, 0))-INDEX('KZ-normalized'!$E:$E, MATCH($A163, 'KZ-normalized'!$A:$A, 0))&gt;0, -(7*INDEX('KZ-normalized'!$D:$D, MATCH($A163, 'KZ-normalized'!$A:$A, 0))-INDEX('KZ-normalized'!$E:$E, MATCH($A163, 'KZ-normalized'!$A:$A, 0))), 0), 0))+(IFERROR(IF(7*INDEX('UZ-normalized'!$D:$D, MATCH($A163, 'UZ-normalized'!$A:$A, 0))-INDEX('UZ-normalized'!$E:$E, MATCH($A163, 'UZ-normalized'!$A:$A, 0))&gt;0, -(7*INDEX('UZ-normalized'!$D:$D, MATCH($A163, 'UZ-normalized'!$A:$A, 0))-INDEX('UZ-normalized'!$E:$E, MATCH($A163, 'UZ-normalized'!$A:$A, 0))), 0), 0)))</f>
        <v>0</v>
      </c>
      <c r="V163" s="6">
        <f>MIN(0, N163+(IFERROR(IF(8*INDEX('UA-normalized'!$D:$D, MATCH($A163, 'UA-normalized'!$A:$A, 0))-INDEX('UA-normalized'!$E:$E, MATCH($A163, 'UA-normalized'!$A:$A, 0))&gt;0, -(8*INDEX('UA-normalized'!$D:$D, MATCH($A163, 'UA-normalized'!$A:$A, 0))-INDEX('UA-normalized'!$E:$E, MATCH($A163, 'UA-normalized'!$A:$A, 0))), 0), 0))+(IFERROR(IF(8*INDEX('KZ-normalized'!$D:$D, MATCH($A163, 'KZ-normalized'!$A:$A, 0))-INDEX('KZ-normalized'!$E:$E, MATCH($A163, 'KZ-normalized'!$A:$A, 0))&gt;0, -(8*INDEX('KZ-normalized'!$D:$D, MATCH($A163, 'KZ-normalized'!$A:$A, 0))-INDEX('KZ-normalized'!$E:$E, MATCH($A163, 'KZ-normalized'!$A:$A, 0))), 0), 0))+(IFERROR(IF(8*INDEX('UZ-normalized'!$D:$D, MATCH($A163, 'UZ-normalized'!$A:$A, 0))-INDEX('UZ-normalized'!$E:$E, MATCH($A163, 'UZ-normalized'!$A:$A, 0))&gt;0, -(8*INDEX('UZ-normalized'!$D:$D, MATCH($A163, 'UZ-normalized'!$A:$A, 0))-INDEX('UZ-normalized'!$E:$E, MATCH($A163, 'UZ-normalized'!$A:$A, 0))), 0), 0)))</f>
        <v>0</v>
      </c>
      <c r="W163" s="6">
        <f>MIN(0, N163+(IFERROR(IF(9*INDEX('UA-normalized'!$D:$D, MATCH($A163, 'UA-normalized'!$A:$A, 0))-INDEX('UA-normalized'!$E:$E, MATCH($A163, 'UA-normalized'!$A:$A, 0))&gt;0, -(9*INDEX('UA-normalized'!$D:$D, MATCH($A163, 'UA-normalized'!$A:$A, 0))-INDEX('UA-normalized'!$E:$E, MATCH($A163, 'UA-normalized'!$A:$A, 0))), 0), 0))+(IFERROR(IF(9*INDEX('KZ-normalized'!$D:$D, MATCH($A163, 'KZ-normalized'!$A:$A, 0))-INDEX('KZ-normalized'!$E:$E, MATCH($A163, 'KZ-normalized'!$A:$A, 0))&gt;0, -(9*INDEX('KZ-normalized'!$D:$D, MATCH($A163, 'KZ-normalized'!$A:$A, 0))-INDEX('KZ-normalized'!$E:$E, MATCH($A163, 'KZ-normalized'!$A:$A, 0))), 0), 0))+(IFERROR(IF(9*INDEX('UZ-normalized'!$D:$D, MATCH($A163, 'UZ-normalized'!$A:$A, 0))-INDEX('UZ-normalized'!$E:$E, MATCH($A163, 'UZ-normalized'!$A:$A, 0))&gt;0, -(9*INDEX('UZ-normalized'!$D:$D, MATCH($A163, 'UZ-normalized'!$A:$A, 0))-INDEX('UZ-normalized'!$E:$E, MATCH($A163, 'UZ-normalized'!$A:$A, 0))), 0), 0)))</f>
        <v>0</v>
      </c>
      <c r="X163" s="6">
        <f>MIN(0, N163+(IFERROR(IF(10*INDEX('UA-normalized'!$D:$D, MATCH($A163, 'UA-normalized'!$A:$A, 0))-INDEX('UA-normalized'!$E:$E, MATCH($A163, 'UA-normalized'!$A:$A, 0))&gt;0, -(10*INDEX('UA-normalized'!$D:$D, MATCH($A163, 'UA-normalized'!$A:$A, 0))-INDEX('UA-normalized'!$E:$E, MATCH($A163, 'UA-normalized'!$A:$A, 0))), 0), 0))+(IFERROR(IF(10*INDEX('KZ-normalized'!$D:$D, MATCH($A163, 'KZ-normalized'!$A:$A, 0))-INDEX('KZ-normalized'!$E:$E, MATCH($A163, 'KZ-normalized'!$A:$A, 0))&gt;0, -(10*INDEX('KZ-normalized'!$D:$D, MATCH($A163, 'KZ-normalized'!$A:$A, 0))-INDEX('KZ-normalized'!$E:$E, MATCH($A163, 'KZ-normalized'!$A:$A, 0))), 0), 0))+(IFERROR(IF(10*INDEX('UZ-normalized'!$D:$D, MATCH($A163, 'UZ-normalized'!$A:$A, 0))-INDEX('UZ-normalized'!$E:$E, MATCH($A163, 'UZ-normalized'!$A:$A, 0))&gt;0, -(10*INDEX('UZ-normalized'!$D:$D, MATCH($A163, 'UZ-normalized'!$A:$A, 0))-INDEX('UZ-normalized'!$E:$E, MATCH($A163, 'UZ-normalized'!$A:$A, 0))), 0), 0)))</f>
        <v>0</v>
      </c>
      <c r="Y163" s="6">
        <f>MIN(0, N163+(IFERROR(IF(11*INDEX('UA-normalized'!$D:$D, MATCH($A163, 'UA-normalized'!$A:$A, 0))-INDEX('UA-normalized'!$E:$E, MATCH($A163, 'UA-normalized'!$A:$A, 0))&gt;0, -(11*INDEX('UA-normalized'!$D:$D, MATCH($A163, 'UA-normalized'!$A:$A, 0))-INDEX('UA-normalized'!$E:$E, MATCH($A163, 'UA-normalized'!$A:$A, 0))), 0), 0))+(IFERROR(IF(11*INDEX('KZ-normalized'!$D:$D, MATCH($A163, 'KZ-normalized'!$A:$A, 0))-INDEX('KZ-normalized'!$E:$E, MATCH($A163, 'KZ-normalized'!$A:$A, 0))&gt;0, -(11*INDEX('KZ-normalized'!$D:$D, MATCH($A163, 'KZ-normalized'!$A:$A, 0))-INDEX('KZ-normalized'!$E:$E, MATCH($A163, 'KZ-normalized'!$A:$A, 0))), 0), 0))+(IFERROR(IF(11*INDEX('UZ-normalized'!$D:$D, MATCH($A163, 'UZ-normalized'!$A:$A, 0))-INDEX('UZ-normalized'!$E:$E, MATCH($A163, 'UZ-normalized'!$A:$A, 0))&gt;0, -(11*INDEX('UZ-normalized'!$D:$D, MATCH($A163, 'UZ-normalized'!$A:$A, 0))-INDEX('UZ-normalized'!$E:$E, MATCH($A163, 'UZ-normalized'!$A:$A, 0))), 0), 0)))</f>
        <v>0</v>
      </c>
      <c r="Z163" s="6">
        <f>MIN(0, N163+(IFERROR(IF(12*INDEX('UA-normalized'!$D:$D, MATCH($A163, 'UA-normalized'!$A:$A, 0))-INDEX('UA-normalized'!$E:$E, MATCH($A163, 'UA-normalized'!$A:$A, 0))&gt;0, -(12*INDEX('UA-normalized'!$D:$D, MATCH($A163, 'UA-normalized'!$A:$A, 0))-INDEX('UA-normalized'!$E:$E, MATCH($A163, 'UA-normalized'!$A:$A, 0))), 0), 0))+(IFERROR(IF(12*INDEX('KZ-normalized'!$D:$D, MATCH($A163, 'KZ-normalized'!$A:$A, 0))-INDEX('KZ-normalized'!$E:$E, MATCH($A163, 'KZ-normalized'!$A:$A, 0))&gt;0, -(12*INDEX('KZ-normalized'!$D:$D, MATCH($A163, 'KZ-normalized'!$A:$A, 0))-INDEX('KZ-normalized'!$E:$E, MATCH($A163, 'KZ-normalized'!$A:$A, 0))), 0), 0))+(IFERROR(IF(12*INDEX('UZ-normalized'!$D:$D, MATCH($A163, 'UZ-normalized'!$A:$A, 0))-INDEX('UZ-normalized'!$E:$E, MATCH($A163, 'UZ-normalized'!$A:$A, 0))&gt;0, -(12*INDEX('UZ-normalized'!$D:$D, MATCH($A163, 'UZ-normalized'!$A:$A, 0))-INDEX('UZ-normalized'!$E:$E, MATCH($A163, 'UZ-normalized'!$A:$A, 0))), 0), 0)))</f>
        <v>0</v>
      </c>
      <c r="AA163" s="6">
        <f>MIN(0, N163+(IFERROR(IF(13*INDEX('UA-normalized'!$D:$D, MATCH($A163, 'UA-normalized'!$A:$A, 0))-INDEX('UA-normalized'!$E:$E, MATCH($A163, 'UA-normalized'!$A:$A, 0))&gt;0, -(13*INDEX('UA-normalized'!$D:$D, MATCH($A163, 'UA-normalized'!$A:$A, 0))-INDEX('UA-normalized'!$E:$E, MATCH($A163, 'UA-normalized'!$A:$A, 0))), 0), 0))+(IFERROR(IF(13*INDEX('KZ-normalized'!$D:$D, MATCH($A163, 'KZ-normalized'!$A:$A, 0))-INDEX('KZ-normalized'!$E:$E, MATCH($A163, 'KZ-normalized'!$A:$A, 0))&gt;0, -(13*INDEX('KZ-normalized'!$D:$D, MATCH($A163, 'KZ-normalized'!$A:$A, 0))-INDEX('KZ-normalized'!$E:$E, MATCH($A163, 'KZ-normalized'!$A:$A, 0))), 0), 0))+(IFERROR(IF(13*INDEX('UZ-normalized'!$D:$D, MATCH($A163, 'UZ-normalized'!$A:$A, 0))-INDEX('UZ-normalized'!$E:$E, MATCH($A163, 'UZ-normalized'!$A:$A, 0))&gt;0, -(13*INDEX('UZ-normalized'!$D:$D, MATCH($A163, 'UZ-normalized'!$A:$A, 0))-INDEX('UZ-normalized'!$E:$E, MATCH($A163, 'UZ-normalized'!$A:$A, 0))), 0), 0)))</f>
        <v>0</v>
      </c>
      <c r="AB163" s="6">
        <f>MIN(0, N163+(IFERROR(IF(14*INDEX('UA-normalized'!$D:$D, MATCH($A163, 'UA-normalized'!$A:$A, 0))-INDEX('UA-normalized'!$E:$E, MATCH($A163, 'UA-normalized'!$A:$A, 0))&gt;0, -(14*INDEX('UA-normalized'!$D:$D, MATCH($A163, 'UA-normalized'!$A:$A, 0))-INDEX('UA-normalized'!$E:$E, MATCH($A163, 'UA-normalized'!$A:$A, 0))), 0), 0))+(IFERROR(IF(14*INDEX('KZ-normalized'!$D:$D, MATCH($A163, 'KZ-normalized'!$A:$A, 0))-INDEX('KZ-normalized'!$E:$E, MATCH($A163, 'KZ-normalized'!$A:$A, 0))&gt;0, -(14*INDEX('KZ-normalized'!$D:$D, MATCH($A163, 'KZ-normalized'!$A:$A, 0))-INDEX('KZ-normalized'!$E:$E, MATCH($A163, 'KZ-normalized'!$A:$A, 0))), 0), 0))+(IFERROR(IF(14*INDEX('UZ-normalized'!$D:$D, MATCH($A163, 'UZ-normalized'!$A:$A, 0))-INDEX('UZ-normalized'!$E:$E, MATCH($A163, 'UZ-normalized'!$A:$A, 0))&gt;0, -(14*INDEX('UZ-normalized'!$D:$D, MATCH($A163, 'UZ-normalized'!$A:$A, 0))-INDEX('UZ-normalized'!$E:$E, MATCH($A163, 'UZ-normalized'!$A:$A, 0))), 0), 0)))</f>
        <v>0</v>
      </c>
      <c r="AC163" s="6">
        <f>MIN(0, N163+(IFERROR(IF(15*INDEX('UA-normalized'!$D:$D, MATCH($A163, 'UA-normalized'!$A:$A, 0))-INDEX('UA-normalized'!$E:$E, MATCH($A163, 'UA-normalized'!$A:$A, 0))&gt;0, -(15*INDEX('UA-normalized'!$D:$D, MATCH($A163, 'UA-normalized'!$A:$A, 0))-INDEX('UA-normalized'!$E:$E, MATCH($A163, 'UA-normalized'!$A:$A, 0))), 0), 0))+(IFERROR(IF(15*INDEX('KZ-normalized'!$D:$D, MATCH($A163, 'KZ-normalized'!$A:$A, 0))-INDEX('KZ-normalized'!$E:$E, MATCH($A163, 'KZ-normalized'!$A:$A, 0))&gt;0, -(15*INDEX('KZ-normalized'!$D:$D, MATCH($A163, 'KZ-normalized'!$A:$A, 0))-INDEX('KZ-normalized'!$E:$E, MATCH($A163, 'KZ-normalized'!$A:$A, 0))), 0), 0))+(IFERROR(IF(15*INDEX('UZ-normalized'!$D:$D, MATCH($A163, 'UZ-normalized'!$A:$A, 0))-INDEX('UZ-normalized'!$E:$E, MATCH($A163, 'UZ-normalized'!$A:$A, 0))&gt;0, -(15*INDEX('UZ-normalized'!$D:$D, MATCH($A163, 'UZ-normalized'!$A:$A, 0))-INDEX('UZ-normalized'!$E:$E, MATCH($A163, 'UZ-normalized'!$A:$A, 0))), 0), 0)))</f>
        <v>0</v>
      </c>
      <c r="AD163" s="6">
        <f>MIN(0, N163+(IFERROR(IF(16*INDEX('UA-normalized'!$D:$D, MATCH($A163, 'UA-normalized'!$A:$A, 0))-INDEX('UA-normalized'!$E:$E, MATCH($A163, 'UA-normalized'!$A:$A, 0))&gt;0, -(16*INDEX('UA-normalized'!$D:$D, MATCH($A163, 'UA-normalized'!$A:$A, 0))-INDEX('UA-normalized'!$E:$E, MATCH($A163, 'UA-normalized'!$A:$A, 0))), 0), 0))+(IFERROR(IF(16*INDEX('KZ-normalized'!$D:$D, MATCH($A163, 'KZ-normalized'!$A:$A, 0))-INDEX('KZ-normalized'!$E:$E, MATCH($A163, 'KZ-normalized'!$A:$A, 0))&gt;0, -(16*INDEX('KZ-normalized'!$D:$D, MATCH($A163, 'KZ-normalized'!$A:$A, 0))-INDEX('KZ-normalized'!$E:$E, MATCH($A163, 'KZ-normalized'!$A:$A, 0))), 0), 0))+(IFERROR(IF(16*INDEX('UZ-normalized'!$D:$D, MATCH($A163, 'UZ-normalized'!$A:$A, 0))-INDEX('UZ-normalized'!$E:$E, MATCH($A163, 'UZ-normalized'!$A:$A, 0))&gt;0, -(16*INDEX('UZ-normalized'!$D:$D, MATCH($A163, 'UZ-normalized'!$A:$A, 0))-INDEX('UZ-normalized'!$E:$E, MATCH($A163, 'UZ-normalized'!$A:$A, 0))), 0), 0)))</f>
        <v>0</v>
      </c>
      <c r="AE163" s="6">
        <f>MIN(0, N163+(IFERROR(IF(17*INDEX('UA-normalized'!$D:$D, MATCH($A163, 'UA-normalized'!$A:$A, 0))-INDEX('UA-normalized'!$E:$E, MATCH($A163, 'UA-normalized'!$A:$A, 0))&gt;0, -(17*INDEX('UA-normalized'!$D:$D, MATCH($A163, 'UA-normalized'!$A:$A, 0))-INDEX('UA-normalized'!$E:$E, MATCH($A163, 'UA-normalized'!$A:$A, 0))), 0), 0))+(IFERROR(IF(17*INDEX('KZ-normalized'!$D:$D, MATCH($A163, 'KZ-normalized'!$A:$A, 0))-INDEX('KZ-normalized'!$E:$E, MATCH($A163, 'KZ-normalized'!$A:$A, 0))&gt;0, -(17*INDEX('KZ-normalized'!$D:$D, MATCH($A163, 'KZ-normalized'!$A:$A, 0))-INDEX('KZ-normalized'!$E:$E, MATCH($A163, 'KZ-normalized'!$A:$A, 0))), 0), 0))+(IFERROR(IF(17*INDEX('UZ-normalized'!$D:$D, MATCH($A163, 'UZ-normalized'!$A:$A, 0))-INDEX('UZ-normalized'!$E:$E, MATCH($A163, 'UZ-normalized'!$A:$A, 0))&gt;0, -(17*INDEX('UZ-normalized'!$D:$D, MATCH($A163, 'UZ-normalized'!$A:$A, 0))-INDEX('UZ-normalized'!$E:$E, MATCH($A163, 'UZ-normalized'!$A:$A, 0))), 0), 0)))</f>
        <v>0</v>
      </c>
      <c r="AF163" s="6">
        <f>MIN(0, N163+(IFERROR(IF(18*INDEX('UA-normalized'!$D:$D, MATCH($A163, 'UA-normalized'!$A:$A, 0))-INDEX('UA-normalized'!$E:$E, MATCH($A163, 'UA-normalized'!$A:$A, 0))&gt;0, -(18*INDEX('UA-normalized'!$D:$D, MATCH($A163, 'UA-normalized'!$A:$A, 0))-INDEX('UA-normalized'!$E:$E, MATCH($A163, 'UA-normalized'!$A:$A, 0))), 0), 0))+(IFERROR(IF(18*INDEX('KZ-normalized'!$D:$D, MATCH($A163, 'KZ-normalized'!$A:$A, 0))-INDEX('KZ-normalized'!$E:$E, MATCH($A163, 'KZ-normalized'!$A:$A, 0))&gt;0, -(18*INDEX('KZ-normalized'!$D:$D, MATCH($A163, 'KZ-normalized'!$A:$A, 0))-INDEX('KZ-normalized'!$E:$E, MATCH($A163, 'KZ-normalized'!$A:$A, 0))), 0), 0))+(IFERROR(IF(18*INDEX('UZ-normalized'!$D:$D, MATCH($A163, 'UZ-normalized'!$A:$A, 0))-INDEX('UZ-normalized'!$E:$E, MATCH($A163, 'UZ-normalized'!$A:$A, 0))&gt;0, -(18*INDEX('UZ-normalized'!$D:$D, MATCH($A163, 'UZ-normalized'!$A:$A, 0))-INDEX('UZ-normalized'!$E:$E, MATCH($A163, 'UZ-normalized'!$A:$A, 0))), 0), 0)))</f>
        <v>0</v>
      </c>
      <c r="AG163" s="6">
        <f>MIN(0, N163+(IFERROR(IF(19*INDEX('UA-normalized'!$D:$D, MATCH($A163, 'UA-normalized'!$A:$A, 0))-INDEX('UA-normalized'!$E:$E, MATCH($A163, 'UA-normalized'!$A:$A, 0))&gt;0, -(19*INDEX('UA-normalized'!$D:$D, MATCH($A163, 'UA-normalized'!$A:$A, 0))-INDEX('UA-normalized'!$E:$E, MATCH($A163, 'UA-normalized'!$A:$A, 0))), 0), 0))+(IFERROR(IF(19*INDEX('KZ-normalized'!$D:$D, MATCH($A163, 'KZ-normalized'!$A:$A, 0))-INDEX('KZ-normalized'!$E:$E, MATCH($A163, 'KZ-normalized'!$A:$A, 0))&gt;0, -(19*INDEX('KZ-normalized'!$D:$D, MATCH($A163, 'KZ-normalized'!$A:$A, 0))-INDEX('KZ-normalized'!$E:$E, MATCH($A163, 'KZ-normalized'!$A:$A, 0))), 0), 0))+(IFERROR(IF(19*INDEX('UZ-normalized'!$D:$D, MATCH($A163, 'UZ-normalized'!$A:$A, 0))-INDEX('UZ-normalized'!$E:$E, MATCH($A163, 'UZ-normalized'!$A:$A, 0))&gt;0, -(19*INDEX('UZ-normalized'!$D:$D, MATCH($A163, 'UZ-normalized'!$A:$A, 0))-INDEX('UZ-normalized'!$E:$E, MATCH($A163, 'UZ-normalized'!$A:$A, 0))), 0), 0)))</f>
        <v>0</v>
      </c>
      <c r="AH163" s="6">
        <f>MIN(0, N163+(IFERROR(IF(20*INDEX('UA-normalized'!$D:$D, MATCH($A163, 'UA-normalized'!$A:$A, 0))-INDEX('UA-normalized'!$E:$E, MATCH($A163, 'UA-normalized'!$A:$A, 0))&gt;0, -(20*INDEX('UA-normalized'!$D:$D, MATCH($A163, 'UA-normalized'!$A:$A, 0))-INDEX('UA-normalized'!$E:$E, MATCH($A163, 'UA-normalized'!$A:$A, 0))), 0), 0))+(IFERROR(IF(20*INDEX('KZ-normalized'!$D:$D, MATCH($A163, 'KZ-normalized'!$A:$A, 0))-INDEX('KZ-normalized'!$E:$E, MATCH($A163, 'KZ-normalized'!$A:$A, 0))&gt;0, -(20*INDEX('KZ-normalized'!$D:$D, MATCH($A163, 'KZ-normalized'!$A:$A, 0))-INDEX('KZ-normalized'!$E:$E, MATCH($A163, 'KZ-normalized'!$A:$A, 0))), 0), 0))+(IFERROR(IF(20*INDEX('UZ-normalized'!$D:$D, MATCH($A163, 'UZ-normalized'!$A:$A, 0))-INDEX('UZ-normalized'!$E:$E, MATCH($A163, 'UZ-normalized'!$A:$A, 0))&gt;0, -(20*INDEX('UZ-normalized'!$D:$D, MATCH($A163, 'UZ-normalized'!$A:$A, 0))-INDEX('UZ-normalized'!$E:$E, MATCH($A163, 'UZ-normalized'!$A:$A, 0))), 0), 0)))</f>
        <v>0</v>
      </c>
      <c r="AI163" s="6">
        <f>MIN(0, N163+(IFERROR(IF(21*INDEX('UA-normalized'!$D:$D, MATCH($A163, 'UA-normalized'!$A:$A, 0))-INDEX('UA-normalized'!$E:$E, MATCH($A163, 'UA-normalized'!$A:$A, 0))&gt;0, -(21*INDEX('UA-normalized'!$D:$D, MATCH($A163, 'UA-normalized'!$A:$A, 0))-INDEX('UA-normalized'!$E:$E, MATCH($A163, 'UA-normalized'!$A:$A, 0))), 0), 0))+(IFERROR(IF(21*INDEX('KZ-normalized'!$D:$D, MATCH($A163, 'KZ-normalized'!$A:$A, 0))-INDEX('KZ-normalized'!$E:$E, MATCH($A163, 'KZ-normalized'!$A:$A, 0))&gt;0, -(21*INDEX('KZ-normalized'!$D:$D, MATCH($A163, 'KZ-normalized'!$A:$A, 0))-INDEX('KZ-normalized'!$E:$E, MATCH($A163, 'KZ-normalized'!$A:$A, 0))), 0), 0))+(IFERROR(IF(21*INDEX('UZ-normalized'!$D:$D, MATCH($A163, 'UZ-normalized'!$A:$A, 0))-INDEX('UZ-normalized'!$E:$E, MATCH($A163, 'UZ-normalized'!$A:$A, 0))&gt;0, -(21*INDEX('UZ-normalized'!$D:$D, MATCH($A163, 'UZ-normalized'!$A:$A, 0))-INDEX('UZ-normalized'!$E:$E, MATCH($A163, 'UZ-normalized'!$A:$A, 0))), 0), 0)))</f>
        <v>0</v>
      </c>
      <c r="AJ163" s="6">
        <f>MIN(0, N163+(IFERROR(IF(22*INDEX('UA-normalized'!$D:$D, MATCH($A163, 'UA-normalized'!$A:$A, 0))-INDEX('UA-normalized'!$E:$E, MATCH($A163, 'UA-normalized'!$A:$A, 0))&gt;0, -(22*INDEX('UA-normalized'!$D:$D, MATCH($A163, 'UA-normalized'!$A:$A, 0))-INDEX('UA-normalized'!$E:$E, MATCH($A163, 'UA-normalized'!$A:$A, 0))), 0), 0))+(IFERROR(IF(22*INDEX('KZ-normalized'!$D:$D, MATCH($A163, 'KZ-normalized'!$A:$A, 0))-INDEX('KZ-normalized'!$E:$E, MATCH($A163, 'KZ-normalized'!$A:$A, 0))&gt;0, -(22*INDEX('KZ-normalized'!$D:$D, MATCH($A163, 'KZ-normalized'!$A:$A, 0))-INDEX('KZ-normalized'!$E:$E, MATCH($A163, 'KZ-normalized'!$A:$A, 0))), 0), 0))+(IFERROR(IF(22*INDEX('UZ-normalized'!$D:$D, MATCH($A163, 'UZ-normalized'!$A:$A, 0))-INDEX('UZ-normalized'!$E:$E, MATCH($A163, 'UZ-normalized'!$A:$A, 0))&gt;0, -(22*INDEX('UZ-normalized'!$D:$D, MATCH($A163, 'UZ-normalized'!$A:$A, 0))-INDEX('UZ-normalized'!$E:$E, MATCH($A163, 'UZ-normalized'!$A:$A, 0))), 0), 0)))</f>
        <v>0</v>
      </c>
      <c r="AK163" s="6">
        <f>MIN(0, N163+(IFERROR(IF(23*INDEX('UA-normalized'!$D:$D, MATCH($A163, 'UA-normalized'!$A:$A, 0))-INDEX('UA-normalized'!$E:$E, MATCH($A163, 'UA-normalized'!$A:$A, 0))&gt;0, -(23*INDEX('UA-normalized'!$D:$D, MATCH($A163, 'UA-normalized'!$A:$A, 0))-INDEX('UA-normalized'!$E:$E, MATCH($A163, 'UA-normalized'!$A:$A, 0))), 0), 0))+(IFERROR(IF(23*INDEX('KZ-normalized'!$D:$D, MATCH($A163, 'KZ-normalized'!$A:$A, 0))-INDEX('KZ-normalized'!$E:$E, MATCH($A163, 'KZ-normalized'!$A:$A, 0))&gt;0, -(23*INDEX('KZ-normalized'!$D:$D, MATCH($A163, 'KZ-normalized'!$A:$A, 0))-INDEX('KZ-normalized'!$E:$E, MATCH($A163, 'KZ-normalized'!$A:$A, 0))), 0), 0))+(IFERROR(IF(23*INDEX('UZ-normalized'!$D:$D, MATCH($A163, 'UZ-normalized'!$A:$A, 0))-INDEX('UZ-normalized'!$E:$E, MATCH($A163, 'UZ-normalized'!$A:$A, 0))&gt;0, -(23*INDEX('UZ-normalized'!$D:$D, MATCH($A163, 'UZ-normalized'!$A:$A, 0))-INDEX('UZ-normalized'!$E:$E, MATCH($A163, 'UZ-normalized'!$A:$A, 0))), 0), 0)))</f>
        <v>0</v>
      </c>
      <c r="AL163" s="6">
        <f>MIN(0, N163+(IFERROR(IF(24*INDEX('UA-normalized'!$D:$D, MATCH($A163, 'UA-normalized'!$A:$A, 0))-INDEX('UA-normalized'!$E:$E, MATCH($A163, 'UA-normalized'!$A:$A, 0))&gt;0, -(24*INDEX('UA-normalized'!$D:$D, MATCH($A163, 'UA-normalized'!$A:$A, 0))-INDEX('UA-normalized'!$E:$E, MATCH($A163, 'UA-normalized'!$A:$A, 0))), 0), 0))+(IFERROR(IF(24*INDEX('KZ-normalized'!$D:$D, MATCH($A163, 'KZ-normalized'!$A:$A, 0))-INDEX('KZ-normalized'!$E:$E, MATCH($A163, 'KZ-normalized'!$A:$A, 0))&gt;0, -(24*INDEX('KZ-normalized'!$D:$D, MATCH($A163, 'KZ-normalized'!$A:$A, 0))-INDEX('KZ-normalized'!$E:$E, MATCH($A163, 'KZ-normalized'!$A:$A, 0))), 0), 0))+(IFERROR(IF(24*INDEX('UZ-normalized'!$D:$D, MATCH($A163, 'UZ-normalized'!$A:$A, 0))-INDEX('UZ-normalized'!$E:$E, MATCH($A163, 'UZ-normalized'!$A:$A, 0))&gt;0, -(24*INDEX('UZ-normalized'!$D:$D, MATCH($A163, 'UZ-normalized'!$A:$A, 0))-INDEX('UZ-normalized'!$E:$E, MATCH($A163, 'UZ-normalized'!$A:$A, 0))), 0), 0)))</f>
        <v>0</v>
      </c>
      <c r="AM163" s="6">
        <f>MIN(0, N163+(IFERROR(IF(25*INDEX('UA-normalized'!$D:$D, MATCH($A163, 'UA-normalized'!$A:$A, 0))-INDEX('UA-normalized'!$E:$E, MATCH($A163, 'UA-normalized'!$A:$A, 0))&gt;0, -(25*INDEX('UA-normalized'!$D:$D, MATCH($A163, 'UA-normalized'!$A:$A, 0))-INDEX('UA-normalized'!$E:$E, MATCH($A163, 'UA-normalized'!$A:$A, 0))), 0), 0))+(IFERROR(IF(25*INDEX('KZ-normalized'!$D:$D, MATCH($A163, 'KZ-normalized'!$A:$A, 0))-INDEX('KZ-normalized'!$E:$E, MATCH($A163, 'KZ-normalized'!$A:$A, 0))&gt;0, -(25*INDEX('KZ-normalized'!$D:$D, MATCH($A163, 'KZ-normalized'!$A:$A, 0))-INDEX('KZ-normalized'!$E:$E, MATCH($A163, 'KZ-normalized'!$A:$A, 0))), 0), 0))+(IFERROR(IF(25*INDEX('UZ-normalized'!$D:$D, MATCH($A163, 'UZ-normalized'!$A:$A, 0))-INDEX('UZ-normalized'!$E:$E, MATCH($A163, 'UZ-normalized'!$A:$A, 0))&gt;0, -(25*INDEX('UZ-normalized'!$D:$D, MATCH($A163, 'UZ-normalized'!$A:$A, 0))-INDEX('UZ-normalized'!$E:$E, MATCH($A163, 'UZ-normalized'!$A:$A, 0))), 0), 0)))</f>
        <v>0</v>
      </c>
      <c r="AN163" s="6">
        <f>MIN(0, N163+(IFERROR(IF(26*INDEX('UA-normalized'!$D:$D, MATCH($A163, 'UA-normalized'!$A:$A, 0))-INDEX('UA-normalized'!$E:$E, MATCH($A163, 'UA-normalized'!$A:$A, 0))&gt;0, -(26*INDEX('UA-normalized'!$D:$D, MATCH($A163, 'UA-normalized'!$A:$A, 0))-INDEX('UA-normalized'!$E:$E, MATCH($A163, 'UA-normalized'!$A:$A, 0))), 0), 0))+(IFERROR(IF(26*INDEX('KZ-normalized'!$D:$D, MATCH($A163, 'KZ-normalized'!$A:$A, 0))-INDEX('KZ-normalized'!$E:$E, MATCH($A163, 'KZ-normalized'!$A:$A, 0))&gt;0, -(26*INDEX('KZ-normalized'!$D:$D, MATCH($A163, 'KZ-normalized'!$A:$A, 0))-INDEX('KZ-normalized'!$E:$E, MATCH($A163, 'KZ-normalized'!$A:$A, 0))), 0), 0))+(IFERROR(IF(26*INDEX('UZ-normalized'!$D:$D, MATCH($A163, 'UZ-normalized'!$A:$A, 0))-INDEX('UZ-normalized'!$E:$E, MATCH($A163, 'UZ-normalized'!$A:$A, 0))&gt;0, -(26*INDEX('UZ-normalized'!$D:$D, MATCH($A163, 'UZ-normalized'!$A:$A, 0))-INDEX('UZ-normalized'!$E:$E, MATCH($A163, 'UZ-normalized'!$A:$A, 0))), 0), 0)))</f>
        <v>0</v>
      </c>
      <c r="AO163" s="6">
        <f>MIN(0, N163+(IFERROR(IF(27*INDEX('UA-normalized'!$D:$D, MATCH($A163, 'UA-normalized'!$A:$A, 0))-INDEX('UA-normalized'!$E:$E, MATCH($A163, 'UA-normalized'!$A:$A, 0))&gt;0, -(27*INDEX('UA-normalized'!$D:$D, MATCH($A163, 'UA-normalized'!$A:$A, 0))-INDEX('UA-normalized'!$E:$E, MATCH($A163, 'UA-normalized'!$A:$A, 0))), 0), 0))+(IFERROR(IF(27*INDEX('KZ-normalized'!$D:$D, MATCH($A163, 'KZ-normalized'!$A:$A, 0))-INDEX('KZ-normalized'!$E:$E, MATCH($A163, 'KZ-normalized'!$A:$A, 0))&gt;0, -(27*INDEX('KZ-normalized'!$D:$D, MATCH($A163, 'KZ-normalized'!$A:$A, 0))-INDEX('KZ-normalized'!$E:$E, MATCH($A163, 'KZ-normalized'!$A:$A, 0))), 0), 0))+(IFERROR(IF(27*INDEX('UZ-normalized'!$D:$D, MATCH($A163, 'UZ-normalized'!$A:$A, 0))-INDEX('UZ-normalized'!$E:$E, MATCH($A163, 'UZ-normalized'!$A:$A, 0))&gt;0, -(27*INDEX('UZ-normalized'!$D:$D, MATCH($A163, 'UZ-normalized'!$A:$A, 0))-INDEX('UZ-normalized'!$E:$E, MATCH($A163, 'UZ-normalized'!$A:$A, 0))), 0), 0)))</f>
        <v>0</v>
      </c>
      <c r="AP163" s="6">
        <f>MIN(0, N163+(IFERROR(IF(28*INDEX('UA-normalized'!$D:$D, MATCH($A163, 'UA-normalized'!$A:$A, 0))-INDEX('UA-normalized'!$E:$E, MATCH($A163, 'UA-normalized'!$A:$A, 0))&gt;0, -(28*INDEX('UA-normalized'!$D:$D, MATCH($A163, 'UA-normalized'!$A:$A, 0))-INDEX('UA-normalized'!$E:$E, MATCH($A163, 'UA-normalized'!$A:$A, 0))), 0), 0))+(IFERROR(IF(28*INDEX('KZ-normalized'!$D:$D, MATCH($A163, 'KZ-normalized'!$A:$A, 0))-INDEX('KZ-normalized'!$E:$E, MATCH($A163, 'KZ-normalized'!$A:$A, 0))&gt;0, -(28*INDEX('KZ-normalized'!$D:$D, MATCH($A163, 'KZ-normalized'!$A:$A, 0))-INDEX('KZ-normalized'!$E:$E, MATCH($A163, 'KZ-normalized'!$A:$A, 0))), 0), 0))+(IFERROR(IF(28*INDEX('UZ-normalized'!$D:$D, MATCH($A163, 'UZ-normalized'!$A:$A, 0))-INDEX('UZ-normalized'!$E:$E, MATCH($A163, 'UZ-normalized'!$A:$A, 0))&gt;0, -(28*INDEX('UZ-normalized'!$D:$D, MATCH($A163, 'UZ-normalized'!$A:$A, 0))-INDEX('UZ-normalized'!$E:$E, MATCH($A163, 'UZ-normalized'!$A:$A, 0))), 0), 0)))</f>
        <v>0</v>
      </c>
      <c r="AQ163" s="6">
        <f>MIN(0, N163+(IFERROR(IF(29*INDEX('UA-normalized'!$D:$D, MATCH($A163, 'UA-normalized'!$A:$A, 0))-INDEX('UA-normalized'!$E:$E, MATCH($A163, 'UA-normalized'!$A:$A, 0))&gt;0, -(29*INDEX('UA-normalized'!$D:$D, MATCH($A163, 'UA-normalized'!$A:$A, 0))-INDEX('UA-normalized'!$E:$E, MATCH($A163, 'UA-normalized'!$A:$A, 0))), 0), 0))+(IFERROR(IF(29*INDEX('KZ-normalized'!$D:$D, MATCH($A163, 'KZ-normalized'!$A:$A, 0))-INDEX('KZ-normalized'!$E:$E, MATCH($A163, 'KZ-normalized'!$A:$A, 0))&gt;0, -(29*INDEX('KZ-normalized'!$D:$D, MATCH($A163, 'KZ-normalized'!$A:$A, 0))-INDEX('KZ-normalized'!$E:$E, MATCH($A163, 'KZ-normalized'!$A:$A, 0))), 0), 0))+(IFERROR(IF(29*INDEX('UZ-normalized'!$D:$D, MATCH($A163, 'UZ-normalized'!$A:$A, 0))-INDEX('UZ-normalized'!$E:$E, MATCH($A163, 'UZ-normalized'!$A:$A, 0))&gt;0, -(29*INDEX('UZ-normalized'!$D:$D, MATCH($A163, 'UZ-normalized'!$A:$A, 0))-INDEX('UZ-normalized'!$E:$E, MATCH($A163, 'UZ-normalized'!$A:$A, 0))), 0), 0)))</f>
        <v>0</v>
      </c>
      <c r="AR163" s="6">
        <f>MIN(0, N163+(IFERROR(IF(30*INDEX('UA-normalized'!$D:$D, MATCH($A163, 'UA-normalized'!$A:$A, 0))-INDEX('UA-normalized'!$E:$E, MATCH($A163, 'UA-normalized'!$A:$A, 0))&gt;0, -(30*INDEX('UA-normalized'!$D:$D, MATCH($A163, 'UA-normalized'!$A:$A, 0))-INDEX('UA-normalized'!$E:$E, MATCH($A163, 'UA-normalized'!$A:$A, 0))), 0), 0))+(IFERROR(IF(30*INDEX('KZ-normalized'!$D:$D, MATCH($A163, 'KZ-normalized'!$A:$A, 0))-INDEX('KZ-normalized'!$E:$E, MATCH($A163, 'KZ-normalized'!$A:$A, 0))&gt;0, -(30*INDEX('KZ-normalized'!$D:$D, MATCH($A163, 'KZ-normalized'!$A:$A, 0))-INDEX('KZ-normalized'!$E:$E, MATCH($A163, 'KZ-normalized'!$A:$A, 0))), 0), 0))+(IFERROR(IF(30*INDEX('UZ-normalized'!$D:$D, MATCH($A163, 'UZ-normalized'!$A:$A, 0))-INDEX('UZ-normalized'!$E:$E, MATCH($A163, 'UZ-normalized'!$A:$A, 0))&gt;0, -(30*INDEX('UZ-normalized'!$D:$D, MATCH($A163, 'UZ-normalized'!$A:$A, 0))-INDEX('UZ-normalized'!$E:$E, MATCH($A163, 'UZ-normalized'!$A:$A, 0))), 0), 0)))</f>
        <v>0</v>
      </c>
    </row>
    <row r="164" spans="1:44" x14ac:dyDescent="0.25">
      <c r="A164" s="8" t="s">
        <v>392</v>
      </c>
      <c r="B164" s="8" t="s">
        <v>393</v>
      </c>
      <c r="C164" s="8" t="s">
        <v>394</v>
      </c>
      <c r="D164" s="8" t="s">
        <v>395</v>
      </c>
      <c r="G164">
        <v>-50</v>
      </c>
      <c r="N164">
        <f t="shared" si="2"/>
        <v>-50</v>
      </c>
      <c r="O164" s="6">
        <f>MIN(0, N164+(IFERROR(IF(1*INDEX('UA-normalized'!$D:$D, MATCH($A164, 'UA-normalized'!$A:$A, 0))-INDEX('UA-normalized'!$E:$E, MATCH($A164, 'UA-normalized'!$A:$A, 0))&gt;0, -(1*INDEX('UA-normalized'!$D:$D, MATCH($A164, 'UA-normalized'!$A:$A, 0))-INDEX('UA-normalized'!$E:$E, MATCH($A164, 'UA-normalized'!$A:$A, 0))), 0), 0))+(IFERROR(IF(1*INDEX('KZ-normalized'!$D:$D, MATCH($A164, 'KZ-normalized'!$A:$A, 0))-INDEX('KZ-normalized'!$E:$E, MATCH($A164, 'KZ-normalized'!$A:$A, 0))&gt;0, -(1*INDEX('KZ-normalized'!$D:$D, MATCH($A164, 'KZ-normalized'!$A:$A, 0))-INDEX('KZ-normalized'!$E:$E, MATCH($A164, 'KZ-normalized'!$A:$A, 0))), 0), 0))+(IFERROR(IF(1*INDEX('UZ-normalized'!$D:$D, MATCH($A164, 'UZ-normalized'!$A:$A, 0))-INDEX('UZ-normalized'!$E:$E, MATCH($A164, 'UZ-normalized'!$A:$A, 0))&gt;0, -(1*INDEX('UZ-normalized'!$D:$D, MATCH($A164, 'UZ-normalized'!$A:$A, 0))-INDEX('UZ-normalized'!$E:$E, MATCH($A164, 'UZ-normalized'!$A:$A, 0))), 0), 0)))</f>
        <v>-50</v>
      </c>
      <c r="P164" s="6">
        <f>MIN(0, N164+(IFERROR(IF(2*INDEX('UA-normalized'!$D:$D, MATCH($A164, 'UA-normalized'!$A:$A, 0))-INDEX('UA-normalized'!$E:$E, MATCH($A164, 'UA-normalized'!$A:$A, 0))&gt;0, -(2*INDEX('UA-normalized'!$D:$D, MATCH($A164, 'UA-normalized'!$A:$A, 0))-INDEX('UA-normalized'!$E:$E, MATCH($A164, 'UA-normalized'!$A:$A, 0))), 0), 0))+(IFERROR(IF(2*INDEX('KZ-normalized'!$D:$D, MATCH($A164, 'KZ-normalized'!$A:$A, 0))-INDEX('KZ-normalized'!$E:$E, MATCH($A164, 'KZ-normalized'!$A:$A, 0))&gt;0, -(2*INDEX('KZ-normalized'!$D:$D, MATCH($A164, 'KZ-normalized'!$A:$A, 0))-INDEX('KZ-normalized'!$E:$E, MATCH($A164, 'KZ-normalized'!$A:$A, 0))), 0), 0))+(IFERROR(IF(2*INDEX('UZ-normalized'!$D:$D, MATCH($A164, 'UZ-normalized'!$A:$A, 0))-INDEX('UZ-normalized'!$E:$E, MATCH($A164, 'UZ-normalized'!$A:$A, 0))&gt;0, -(2*INDEX('UZ-normalized'!$D:$D, MATCH($A164, 'UZ-normalized'!$A:$A, 0))-INDEX('UZ-normalized'!$E:$E, MATCH($A164, 'UZ-normalized'!$A:$A, 0))), 0), 0)))</f>
        <v>-50</v>
      </c>
      <c r="Q164" s="6">
        <f>MIN(0, N164+(IFERROR(IF(3*INDEX('UA-normalized'!$D:$D, MATCH($A164, 'UA-normalized'!$A:$A, 0))-INDEX('UA-normalized'!$E:$E, MATCH($A164, 'UA-normalized'!$A:$A, 0))&gt;0, -(3*INDEX('UA-normalized'!$D:$D, MATCH($A164, 'UA-normalized'!$A:$A, 0))-INDEX('UA-normalized'!$E:$E, MATCH($A164, 'UA-normalized'!$A:$A, 0))), 0), 0))+(IFERROR(IF(3*INDEX('KZ-normalized'!$D:$D, MATCH($A164, 'KZ-normalized'!$A:$A, 0))-INDEX('KZ-normalized'!$E:$E, MATCH($A164, 'KZ-normalized'!$A:$A, 0))&gt;0, -(3*INDEX('KZ-normalized'!$D:$D, MATCH($A164, 'KZ-normalized'!$A:$A, 0))-INDEX('KZ-normalized'!$E:$E, MATCH($A164, 'KZ-normalized'!$A:$A, 0))), 0), 0))+(IFERROR(IF(3*INDEX('UZ-normalized'!$D:$D, MATCH($A164, 'UZ-normalized'!$A:$A, 0))-INDEX('UZ-normalized'!$E:$E, MATCH($A164, 'UZ-normalized'!$A:$A, 0))&gt;0, -(3*INDEX('UZ-normalized'!$D:$D, MATCH($A164, 'UZ-normalized'!$A:$A, 0))-INDEX('UZ-normalized'!$E:$E, MATCH($A164, 'UZ-normalized'!$A:$A, 0))), 0), 0)))</f>
        <v>-50</v>
      </c>
      <c r="R164" s="6">
        <f>MIN(0, N164+(IFERROR(IF(4*INDEX('UA-normalized'!$D:$D, MATCH($A164, 'UA-normalized'!$A:$A, 0))-INDEX('UA-normalized'!$E:$E, MATCH($A164, 'UA-normalized'!$A:$A, 0))&gt;0, -(4*INDEX('UA-normalized'!$D:$D, MATCH($A164, 'UA-normalized'!$A:$A, 0))-INDEX('UA-normalized'!$E:$E, MATCH($A164, 'UA-normalized'!$A:$A, 0))), 0), 0))+(IFERROR(IF(4*INDEX('KZ-normalized'!$D:$D, MATCH($A164, 'KZ-normalized'!$A:$A, 0))-INDEX('KZ-normalized'!$E:$E, MATCH($A164, 'KZ-normalized'!$A:$A, 0))&gt;0, -(4*INDEX('KZ-normalized'!$D:$D, MATCH($A164, 'KZ-normalized'!$A:$A, 0))-INDEX('KZ-normalized'!$E:$E, MATCH($A164, 'KZ-normalized'!$A:$A, 0))), 0), 0))+(IFERROR(IF(4*INDEX('UZ-normalized'!$D:$D, MATCH($A164, 'UZ-normalized'!$A:$A, 0))-INDEX('UZ-normalized'!$E:$E, MATCH($A164, 'UZ-normalized'!$A:$A, 0))&gt;0, -(4*INDEX('UZ-normalized'!$D:$D, MATCH($A164, 'UZ-normalized'!$A:$A, 0))-INDEX('UZ-normalized'!$E:$E, MATCH($A164, 'UZ-normalized'!$A:$A, 0))), 0), 0)))</f>
        <v>-65</v>
      </c>
      <c r="S164" s="6">
        <f>MIN(0, N164+(IFERROR(IF(5*INDEX('UA-normalized'!$D:$D, MATCH($A164, 'UA-normalized'!$A:$A, 0))-INDEX('UA-normalized'!$E:$E, MATCH($A164, 'UA-normalized'!$A:$A, 0))&gt;0, -(5*INDEX('UA-normalized'!$D:$D, MATCH($A164, 'UA-normalized'!$A:$A, 0))-INDEX('UA-normalized'!$E:$E, MATCH($A164, 'UA-normalized'!$A:$A, 0))), 0), 0))+(IFERROR(IF(5*INDEX('KZ-normalized'!$D:$D, MATCH($A164, 'KZ-normalized'!$A:$A, 0))-INDEX('KZ-normalized'!$E:$E, MATCH($A164, 'KZ-normalized'!$A:$A, 0))&gt;0, -(5*INDEX('KZ-normalized'!$D:$D, MATCH($A164, 'KZ-normalized'!$A:$A, 0))-INDEX('KZ-normalized'!$E:$E, MATCH($A164, 'KZ-normalized'!$A:$A, 0))), 0), 0))+(IFERROR(IF(5*INDEX('UZ-normalized'!$D:$D, MATCH($A164, 'UZ-normalized'!$A:$A, 0))-INDEX('UZ-normalized'!$E:$E, MATCH($A164, 'UZ-normalized'!$A:$A, 0))&gt;0, -(5*INDEX('UZ-normalized'!$D:$D, MATCH($A164, 'UZ-normalized'!$A:$A, 0))-INDEX('UZ-normalized'!$E:$E, MATCH($A164, 'UZ-normalized'!$A:$A, 0))), 0), 0)))</f>
        <v>-147</v>
      </c>
      <c r="T164" s="6">
        <f>MIN(0, N164+(IFERROR(IF(6*INDEX('UA-normalized'!$D:$D, MATCH($A164, 'UA-normalized'!$A:$A, 0))-INDEX('UA-normalized'!$E:$E, MATCH($A164, 'UA-normalized'!$A:$A, 0))&gt;0, -(6*INDEX('UA-normalized'!$D:$D, MATCH($A164, 'UA-normalized'!$A:$A, 0))-INDEX('UA-normalized'!$E:$E, MATCH($A164, 'UA-normalized'!$A:$A, 0))), 0), 0))+(IFERROR(IF(6*INDEX('KZ-normalized'!$D:$D, MATCH($A164, 'KZ-normalized'!$A:$A, 0))-INDEX('KZ-normalized'!$E:$E, MATCH($A164, 'KZ-normalized'!$A:$A, 0))&gt;0, -(6*INDEX('KZ-normalized'!$D:$D, MATCH($A164, 'KZ-normalized'!$A:$A, 0))-INDEX('KZ-normalized'!$E:$E, MATCH($A164, 'KZ-normalized'!$A:$A, 0))), 0), 0))+(IFERROR(IF(6*INDEX('UZ-normalized'!$D:$D, MATCH($A164, 'UZ-normalized'!$A:$A, 0))-INDEX('UZ-normalized'!$E:$E, MATCH($A164, 'UZ-normalized'!$A:$A, 0))&gt;0, -(6*INDEX('UZ-normalized'!$D:$D, MATCH($A164, 'UZ-normalized'!$A:$A, 0))-INDEX('UZ-normalized'!$E:$E, MATCH($A164, 'UZ-normalized'!$A:$A, 0))), 0), 0)))</f>
        <v>-229</v>
      </c>
      <c r="U164" s="6">
        <f>MIN(0, N164+(IFERROR(IF(7*INDEX('UA-normalized'!$D:$D, MATCH($A164, 'UA-normalized'!$A:$A, 0))-INDEX('UA-normalized'!$E:$E, MATCH($A164, 'UA-normalized'!$A:$A, 0))&gt;0, -(7*INDEX('UA-normalized'!$D:$D, MATCH($A164, 'UA-normalized'!$A:$A, 0))-INDEX('UA-normalized'!$E:$E, MATCH($A164, 'UA-normalized'!$A:$A, 0))), 0), 0))+(IFERROR(IF(7*INDEX('KZ-normalized'!$D:$D, MATCH($A164, 'KZ-normalized'!$A:$A, 0))-INDEX('KZ-normalized'!$E:$E, MATCH($A164, 'KZ-normalized'!$A:$A, 0))&gt;0, -(7*INDEX('KZ-normalized'!$D:$D, MATCH($A164, 'KZ-normalized'!$A:$A, 0))-INDEX('KZ-normalized'!$E:$E, MATCH($A164, 'KZ-normalized'!$A:$A, 0))), 0), 0))+(IFERROR(IF(7*INDEX('UZ-normalized'!$D:$D, MATCH($A164, 'UZ-normalized'!$A:$A, 0))-INDEX('UZ-normalized'!$E:$E, MATCH($A164, 'UZ-normalized'!$A:$A, 0))&gt;0, -(7*INDEX('UZ-normalized'!$D:$D, MATCH($A164, 'UZ-normalized'!$A:$A, 0))-INDEX('UZ-normalized'!$E:$E, MATCH($A164, 'UZ-normalized'!$A:$A, 0))), 0), 0)))</f>
        <v>-311</v>
      </c>
      <c r="V164" s="6">
        <f>MIN(0, N164+(IFERROR(IF(8*INDEX('UA-normalized'!$D:$D, MATCH($A164, 'UA-normalized'!$A:$A, 0))-INDEX('UA-normalized'!$E:$E, MATCH($A164, 'UA-normalized'!$A:$A, 0))&gt;0, -(8*INDEX('UA-normalized'!$D:$D, MATCH($A164, 'UA-normalized'!$A:$A, 0))-INDEX('UA-normalized'!$E:$E, MATCH($A164, 'UA-normalized'!$A:$A, 0))), 0), 0))+(IFERROR(IF(8*INDEX('KZ-normalized'!$D:$D, MATCH($A164, 'KZ-normalized'!$A:$A, 0))-INDEX('KZ-normalized'!$E:$E, MATCH($A164, 'KZ-normalized'!$A:$A, 0))&gt;0, -(8*INDEX('KZ-normalized'!$D:$D, MATCH($A164, 'KZ-normalized'!$A:$A, 0))-INDEX('KZ-normalized'!$E:$E, MATCH($A164, 'KZ-normalized'!$A:$A, 0))), 0), 0))+(IFERROR(IF(8*INDEX('UZ-normalized'!$D:$D, MATCH($A164, 'UZ-normalized'!$A:$A, 0))-INDEX('UZ-normalized'!$E:$E, MATCH($A164, 'UZ-normalized'!$A:$A, 0))&gt;0, -(8*INDEX('UZ-normalized'!$D:$D, MATCH($A164, 'UZ-normalized'!$A:$A, 0))-INDEX('UZ-normalized'!$E:$E, MATCH($A164, 'UZ-normalized'!$A:$A, 0))), 0), 0)))</f>
        <v>-393</v>
      </c>
      <c r="W164" s="6">
        <f>MIN(0, N164+(IFERROR(IF(9*INDEX('UA-normalized'!$D:$D, MATCH($A164, 'UA-normalized'!$A:$A, 0))-INDEX('UA-normalized'!$E:$E, MATCH($A164, 'UA-normalized'!$A:$A, 0))&gt;0, -(9*INDEX('UA-normalized'!$D:$D, MATCH($A164, 'UA-normalized'!$A:$A, 0))-INDEX('UA-normalized'!$E:$E, MATCH($A164, 'UA-normalized'!$A:$A, 0))), 0), 0))+(IFERROR(IF(9*INDEX('KZ-normalized'!$D:$D, MATCH($A164, 'KZ-normalized'!$A:$A, 0))-INDEX('KZ-normalized'!$E:$E, MATCH($A164, 'KZ-normalized'!$A:$A, 0))&gt;0, -(9*INDEX('KZ-normalized'!$D:$D, MATCH($A164, 'KZ-normalized'!$A:$A, 0))-INDEX('KZ-normalized'!$E:$E, MATCH($A164, 'KZ-normalized'!$A:$A, 0))), 0), 0))+(IFERROR(IF(9*INDEX('UZ-normalized'!$D:$D, MATCH($A164, 'UZ-normalized'!$A:$A, 0))-INDEX('UZ-normalized'!$E:$E, MATCH($A164, 'UZ-normalized'!$A:$A, 0))&gt;0, -(9*INDEX('UZ-normalized'!$D:$D, MATCH($A164, 'UZ-normalized'!$A:$A, 0))-INDEX('UZ-normalized'!$E:$E, MATCH($A164, 'UZ-normalized'!$A:$A, 0))), 0), 0)))</f>
        <v>-475</v>
      </c>
      <c r="X164" s="6">
        <f>MIN(0, N164+(IFERROR(IF(10*INDEX('UA-normalized'!$D:$D, MATCH($A164, 'UA-normalized'!$A:$A, 0))-INDEX('UA-normalized'!$E:$E, MATCH($A164, 'UA-normalized'!$A:$A, 0))&gt;0, -(10*INDEX('UA-normalized'!$D:$D, MATCH($A164, 'UA-normalized'!$A:$A, 0))-INDEX('UA-normalized'!$E:$E, MATCH($A164, 'UA-normalized'!$A:$A, 0))), 0), 0))+(IFERROR(IF(10*INDEX('KZ-normalized'!$D:$D, MATCH($A164, 'KZ-normalized'!$A:$A, 0))-INDEX('KZ-normalized'!$E:$E, MATCH($A164, 'KZ-normalized'!$A:$A, 0))&gt;0, -(10*INDEX('KZ-normalized'!$D:$D, MATCH($A164, 'KZ-normalized'!$A:$A, 0))-INDEX('KZ-normalized'!$E:$E, MATCH($A164, 'KZ-normalized'!$A:$A, 0))), 0), 0))+(IFERROR(IF(10*INDEX('UZ-normalized'!$D:$D, MATCH($A164, 'UZ-normalized'!$A:$A, 0))-INDEX('UZ-normalized'!$E:$E, MATCH($A164, 'UZ-normalized'!$A:$A, 0))&gt;0, -(10*INDEX('UZ-normalized'!$D:$D, MATCH($A164, 'UZ-normalized'!$A:$A, 0))-INDEX('UZ-normalized'!$E:$E, MATCH($A164, 'UZ-normalized'!$A:$A, 0))), 0), 0)))</f>
        <v>-557</v>
      </c>
      <c r="Y164" s="6">
        <f>MIN(0, N164+(IFERROR(IF(11*INDEX('UA-normalized'!$D:$D, MATCH($A164, 'UA-normalized'!$A:$A, 0))-INDEX('UA-normalized'!$E:$E, MATCH($A164, 'UA-normalized'!$A:$A, 0))&gt;0, -(11*INDEX('UA-normalized'!$D:$D, MATCH($A164, 'UA-normalized'!$A:$A, 0))-INDEX('UA-normalized'!$E:$E, MATCH($A164, 'UA-normalized'!$A:$A, 0))), 0), 0))+(IFERROR(IF(11*INDEX('KZ-normalized'!$D:$D, MATCH($A164, 'KZ-normalized'!$A:$A, 0))-INDEX('KZ-normalized'!$E:$E, MATCH($A164, 'KZ-normalized'!$A:$A, 0))&gt;0, -(11*INDEX('KZ-normalized'!$D:$D, MATCH($A164, 'KZ-normalized'!$A:$A, 0))-INDEX('KZ-normalized'!$E:$E, MATCH($A164, 'KZ-normalized'!$A:$A, 0))), 0), 0))+(IFERROR(IF(11*INDEX('UZ-normalized'!$D:$D, MATCH($A164, 'UZ-normalized'!$A:$A, 0))-INDEX('UZ-normalized'!$E:$E, MATCH($A164, 'UZ-normalized'!$A:$A, 0))&gt;0, -(11*INDEX('UZ-normalized'!$D:$D, MATCH($A164, 'UZ-normalized'!$A:$A, 0))-INDEX('UZ-normalized'!$E:$E, MATCH($A164, 'UZ-normalized'!$A:$A, 0))), 0), 0)))</f>
        <v>-639</v>
      </c>
      <c r="Z164" s="6">
        <f>MIN(0, N164+(IFERROR(IF(12*INDEX('UA-normalized'!$D:$D, MATCH($A164, 'UA-normalized'!$A:$A, 0))-INDEX('UA-normalized'!$E:$E, MATCH($A164, 'UA-normalized'!$A:$A, 0))&gt;0, -(12*INDEX('UA-normalized'!$D:$D, MATCH($A164, 'UA-normalized'!$A:$A, 0))-INDEX('UA-normalized'!$E:$E, MATCH($A164, 'UA-normalized'!$A:$A, 0))), 0), 0))+(IFERROR(IF(12*INDEX('KZ-normalized'!$D:$D, MATCH($A164, 'KZ-normalized'!$A:$A, 0))-INDEX('KZ-normalized'!$E:$E, MATCH($A164, 'KZ-normalized'!$A:$A, 0))&gt;0, -(12*INDEX('KZ-normalized'!$D:$D, MATCH($A164, 'KZ-normalized'!$A:$A, 0))-INDEX('KZ-normalized'!$E:$E, MATCH($A164, 'KZ-normalized'!$A:$A, 0))), 0), 0))+(IFERROR(IF(12*INDEX('UZ-normalized'!$D:$D, MATCH($A164, 'UZ-normalized'!$A:$A, 0))-INDEX('UZ-normalized'!$E:$E, MATCH($A164, 'UZ-normalized'!$A:$A, 0))&gt;0, -(12*INDEX('UZ-normalized'!$D:$D, MATCH($A164, 'UZ-normalized'!$A:$A, 0))-INDEX('UZ-normalized'!$E:$E, MATCH($A164, 'UZ-normalized'!$A:$A, 0))), 0), 0)))</f>
        <v>-721</v>
      </c>
      <c r="AA164" s="6">
        <f>MIN(0, N164+(IFERROR(IF(13*INDEX('UA-normalized'!$D:$D, MATCH($A164, 'UA-normalized'!$A:$A, 0))-INDEX('UA-normalized'!$E:$E, MATCH($A164, 'UA-normalized'!$A:$A, 0))&gt;0, -(13*INDEX('UA-normalized'!$D:$D, MATCH($A164, 'UA-normalized'!$A:$A, 0))-INDEX('UA-normalized'!$E:$E, MATCH($A164, 'UA-normalized'!$A:$A, 0))), 0), 0))+(IFERROR(IF(13*INDEX('KZ-normalized'!$D:$D, MATCH($A164, 'KZ-normalized'!$A:$A, 0))-INDEX('KZ-normalized'!$E:$E, MATCH($A164, 'KZ-normalized'!$A:$A, 0))&gt;0, -(13*INDEX('KZ-normalized'!$D:$D, MATCH($A164, 'KZ-normalized'!$A:$A, 0))-INDEX('KZ-normalized'!$E:$E, MATCH($A164, 'KZ-normalized'!$A:$A, 0))), 0), 0))+(IFERROR(IF(13*INDEX('UZ-normalized'!$D:$D, MATCH($A164, 'UZ-normalized'!$A:$A, 0))-INDEX('UZ-normalized'!$E:$E, MATCH($A164, 'UZ-normalized'!$A:$A, 0))&gt;0, -(13*INDEX('UZ-normalized'!$D:$D, MATCH($A164, 'UZ-normalized'!$A:$A, 0))-INDEX('UZ-normalized'!$E:$E, MATCH($A164, 'UZ-normalized'!$A:$A, 0))), 0), 0)))</f>
        <v>-803</v>
      </c>
      <c r="AB164" s="6">
        <f>MIN(0, N164+(IFERROR(IF(14*INDEX('UA-normalized'!$D:$D, MATCH($A164, 'UA-normalized'!$A:$A, 0))-INDEX('UA-normalized'!$E:$E, MATCH($A164, 'UA-normalized'!$A:$A, 0))&gt;0, -(14*INDEX('UA-normalized'!$D:$D, MATCH($A164, 'UA-normalized'!$A:$A, 0))-INDEX('UA-normalized'!$E:$E, MATCH($A164, 'UA-normalized'!$A:$A, 0))), 0), 0))+(IFERROR(IF(14*INDEX('KZ-normalized'!$D:$D, MATCH($A164, 'KZ-normalized'!$A:$A, 0))-INDEX('KZ-normalized'!$E:$E, MATCH($A164, 'KZ-normalized'!$A:$A, 0))&gt;0, -(14*INDEX('KZ-normalized'!$D:$D, MATCH($A164, 'KZ-normalized'!$A:$A, 0))-INDEX('KZ-normalized'!$E:$E, MATCH($A164, 'KZ-normalized'!$A:$A, 0))), 0), 0))+(IFERROR(IF(14*INDEX('UZ-normalized'!$D:$D, MATCH($A164, 'UZ-normalized'!$A:$A, 0))-INDEX('UZ-normalized'!$E:$E, MATCH($A164, 'UZ-normalized'!$A:$A, 0))&gt;0, -(14*INDEX('UZ-normalized'!$D:$D, MATCH($A164, 'UZ-normalized'!$A:$A, 0))-INDEX('UZ-normalized'!$E:$E, MATCH($A164, 'UZ-normalized'!$A:$A, 0))), 0), 0)))</f>
        <v>-885</v>
      </c>
      <c r="AC164" s="6">
        <f>MIN(0, N164+(IFERROR(IF(15*INDEX('UA-normalized'!$D:$D, MATCH($A164, 'UA-normalized'!$A:$A, 0))-INDEX('UA-normalized'!$E:$E, MATCH($A164, 'UA-normalized'!$A:$A, 0))&gt;0, -(15*INDEX('UA-normalized'!$D:$D, MATCH($A164, 'UA-normalized'!$A:$A, 0))-INDEX('UA-normalized'!$E:$E, MATCH($A164, 'UA-normalized'!$A:$A, 0))), 0), 0))+(IFERROR(IF(15*INDEX('KZ-normalized'!$D:$D, MATCH($A164, 'KZ-normalized'!$A:$A, 0))-INDEX('KZ-normalized'!$E:$E, MATCH($A164, 'KZ-normalized'!$A:$A, 0))&gt;0, -(15*INDEX('KZ-normalized'!$D:$D, MATCH($A164, 'KZ-normalized'!$A:$A, 0))-INDEX('KZ-normalized'!$E:$E, MATCH($A164, 'KZ-normalized'!$A:$A, 0))), 0), 0))+(IFERROR(IF(15*INDEX('UZ-normalized'!$D:$D, MATCH($A164, 'UZ-normalized'!$A:$A, 0))-INDEX('UZ-normalized'!$E:$E, MATCH($A164, 'UZ-normalized'!$A:$A, 0))&gt;0, -(15*INDEX('UZ-normalized'!$D:$D, MATCH($A164, 'UZ-normalized'!$A:$A, 0))-INDEX('UZ-normalized'!$E:$E, MATCH($A164, 'UZ-normalized'!$A:$A, 0))), 0), 0)))</f>
        <v>-967</v>
      </c>
      <c r="AD164" s="6">
        <f>MIN(0, N164+(IFERROR(IF(16*INDEX('UA-normalized'!$D:$D, MATCH($A164, 'UA-normalized'!$A:$A, 0))-INDEX('UA-normalized'!$E:$E, MATCH($A164, 'UA-normalized'!$A:$A, 0))&gt;0, -(16*INDEX('UA-normalized'!$D:$D, MATCH($A164, 'UA-normalized'!$A:$A, 0))-INDEX('UA-normalized'!$E:$E, MATCH($A164, 'UA-normalized'!$A:$A, 0))), 0), 0))+(IFERROR(IF(16*INDEX('KZ-normalized'!$D:$D, MATCH($A164, 'KZ-normalized'!$A:$A, 0))-INDEX('KZ-normalized'!$E:$E, MATCH($A164, 'KZ-normalized'!$A:$A, 0))&gt;0, -(16*INDEX('KZ-normalized'!$D:$D, MATCH($A164, 'KZ-normalized'!$A:$A, 0))-INDEX('KZ-normalized'!$E:$E, MATCH($A164, 'KZ-normalized'!$A:$A, 0))), 0), 0))+(IFERROR(IF(16*INDEX('UZ-normalized'!$D:$D, MATCH($A164, 'UZ-normalized'!$A:$A, 0))-INDEX('UZ-normalized'!$E:$E, MATCH($A164, 'UZ-normalized'!$A:$A, 0))&gt;0, -(16*INDEX('UZ-normalized'!$D:$D, MATCH($A164, 'UZ-normalized'!$A:$A, 0))-INDEX('UZ-normalized'!$E:$E, MATCH($A164, 'UZ-normalized'!$A:$A, 0))), 0), 0)))</f>
        <v>-1049</v>
      </c>
      <c r="AE164" s="6">
        <f>MIN(0, N164+(IFERROR(IF(17*INDEX('UA-normalized'!$D:$D, MATCH($A164, 'UA-normalized'!$A:$A, 0))-INDEX('UA-normalized'!$E:$E, MATCH($A164, 'UA-normalized'!$A:$A, 0))&gt;0, -(17*INDEX('UA-normalized'!$D:$D, MATCH($A164, 'UA-normalized'!$A:$A, 0))-INDEX('UA-normalized'!$E:$E, MATCH($A164, 'UA-normalized'!$A:$A, 0))), 0), 0))+(IFERROR(IF(17*INDEX('KZ-normalized'!$D:$D, MATCH($A164, 'KZ-normalized'!$A:$A, 0))-INDEX('KZ-normalized'!$E:$E, MATCH($A164, 'KZ-normalized'!$A:$A, 0))&gt;0, -(17*INDEX('KZ-normalized'!$D:$D, MATCH($A164, 'KZ-normalized'!$A:$A, 0))-INDEX('KZ-normalized'!$E:$E, MATCH($A164, 'KZ-normalized'!$A:$A, 0))), 0), 0))+(IFERROR(IF(17*INDEX('UZ-normalized'!$D:$D, MATCH($A164, 'UZ-normalized'!$A:$A, 0))-INDEX('UZ-normalized'!$E:$E, MATCH($A164, 'UZ-normalized'!$A:$A, 0))&gt;0, -(17*INDEX('UZ-normalized'!$D:$D, MATCH($A164, 'UZ-normalized'!$A:$A, 0))-INDEX('UZ-normalized'!$E:$E, MATCH($A164, 'UZ-normalized'!$A:$A, 0))), 0), 0)))</f>
        <v>-1131</v>
      </c>
      <c r="AF164" s="6">
        <f>MIN(0, N164+(IFERROR(IF(18*INDEX('UA-normalized'!$D:$D, MATCH($A164, 'UA-normalized'!$A:$A, 0))-INDEX('UA-normalized'!$E:$E, MATCH($A164, 'UA-normalized'!$A:$A, 0))&gt;0, -(18*INDEX('UA-normalized'!$D:$D, MATCH($A164, 'UA-normalized'!$A:$A, 0))-INDEX('UA-normalized'!$E:$E, MATCH($A164, 'UA-normalized'!$A:$A, 0))), 0), 0))+(IFERROR(IF(18*INDEX('KZ-normalized'!$D:$D, MATCH($A164, 'KZ-normalized'!$A:$A, 0))-INDEX('KZ-normalized'!$E:$E, MATCH($A164, 'KZ-normalized'!$A:$A, 0))&gt;0, -(18*INDEX('KZ-normalized'!$D:$D, MATCH($A164, 'KZ-normalized'!$A:$A, 0))-INDEX('KZ-normalized'!$E:$E, MATCH($A164, 'KZ-normalized'!$A:$A, 0))), 0), 0))+(IFERROR(IF(18*INDEX('UZ-normalized'!$D:$D, MATCH($A164, 'UZ-normalized'!$A:$A, 0))-INDEX('UZ-normalized'!$E:$E, MATCH($A164, 'UZ-normalized'!$A:$A, 0))&gt;0, -(18*INDEX('UZ-normalized'!$D:$D, MATCH($A164, 'UZ-normalized'!$A:$A, 0))-INDEX('UZ-normalized'!$E:$E, MATCH($A164, 'UZ-normalized'!$A:$A, 0))), 0), 0)))</f>
        <v>-1213</v>
      </c>
      <c r="AG164" s="6">
        <f>MIN(0, N164+(IFERROR(IF(19*INDEX('UA-normalized'!$D:$D, MATCH($A164, 'UA-normalized'!$A:$A, 0))-INDEX('UA-normalized'!$E:$E, MATCH($A164, 'UA-normalized'!$A:$A, 0))&gt;0, -(19*INDEX('UA-normalized'!$D:$D, MATCH($A164, 'UA-normalized'!$A:$A, 0))-INDEX('UA-normalized'!$E:$E, MATCH($A164, 'UA-normalized'!$A:$A, 0))), 0), 0))+(IFERROR(IF(19*INDEX('KZ-normalized'!$D:$D, MATCH($A164, 'KZ-normalized'!$A:$A, 0))-INDEX('KZ-normalized'!$E:$E, MATCH($A164, 'KZ-normalized'!$A:$A, 0))&gt;0, -(19*INDEX('KZ-normalized'!$D:$D, MATCH($A164, 'KZ-normalized'!$A:$A, 0))-INDEX('KZ-normalized'!$E:$E, MATCH($A164, 'KZ-normalized'!$A:$A, 0))), 0), 0))+(IFERROR(IF(19*INDEX('UZ-normalized'!$D:$D, MATCH($A164, 'UZ-normalized'!$A:$A, 0))-INDEX('UZ-normalized'!$E:$E, MATCH($A164, 'UZ-normalized'!$A:$A, 0))&gt;0, -(19*INDEX('UZ-normalized'!$D:$D, MATCH($A164, 'UZ-normalized'!$A:$A, 0))-INDEX('UZ-normalized'!$E:$E, MATCH($A164, 'UZ-normalized'!$A:$A, 0))), 0), 0)))</f>
        <v>-1295</v>
      </c>
      <c r="AH164" s="6">
        <f>MIN(0, N164+(IFERROR(IF(20*INDEX('UA-normalized'!$D:$D, MATCH($A164, 'UA-normalized'!$A:$A, 0))-INDEX('UA-normalized'!$E:$E, MATCH($A164, 'UA-normalized'!$A:$A, 0))&gt;0, -(20*INDEX('UA-normalized'!$D:$D, MATCH($A164, 'UA-normalized'!$A:$A, 0))-INDEX('UA-normalized'!$E:$E, MATCH($A164, 'UA-normalized'!$A:$A, 0))), 0), 0))+(IFERROR(IF(20*INDEX('KZ-normalized'!$D:$D, MATCH($A164, 'KZ-normalized'!$A:$A, 0))-INDEX('KZ-normalized'!$E:$E, MATCH($A164, 'KZ-normalized'!$A:$A, 0))&gt;0, -(20*INDEX('KZ-normalized'!$D:$D, MATCH($A164, 'KZ-normalized'!$A:$A, 0))-INDEX('KZ-normalized'!$E:$E, MATCH($A164, 'KZ-normalized'!$A:$A, 0))), 0), 0))+(IFERROR(IF(20*INDEX('UZ-normalized'!$D:$D, MATCH($A164, 'UZ-normalized'!$A:$A, 0))-INDEX('UZ-normalized'!$E:$E, MATCH($A164, 'UZ-normalized'!$A:$A, 0))&gt;0, -(20*INDEX('UZ-normalized'!$D:$D, MATCH($A164, 'UZ-normalized'!$A:$A, 0))-INDEX('UZ-normalized'!$E:$E, MATCH($A164, 'UZ-normalized'!$A:$A, 0))), 0), 0)))</f>
        <v>-1377</v>
      </c>
      <c r="AI164" s="6">
        <f>MIN(0, N164+(IFERROR(IF(21*INDEX('UA-normalized'!$D:$D, MATCH($A164, 'UA-normalized'!$A:$A, 0))-INDEX('UA-normalized'!$E:$E, MATCH($A164, 'UA-normalized'!$A:$A, 0))&gt;0, -(21*INDEX('UA-normalized'!$D:$D, MATCH($A164, 'UA-normalized'!$A:$A, 0))-INDEX('UA-normalized'!$E:$E, MATCH($A164, 'UA-normalized'!$A:$A, 0))), 0), 0))+(IFERROR(IF(21*INDEX('KZ-normalized'!$D:$D, MATCH($A164, 'KZ-normalized'!$A:$A, 0))-INDEX('KZ-normalized'!$E:$E, MATCH($A164, 'KZ-normalized'!$A:$A, 0))&gt;0, -(21*INDEX('KZ-normalized'!$D:$D, MATCH($A164, 'KZ-normalized'!$A:$A, 0))-INDEX('KZ-normalized'!$E:$E, MATCH($A164, 'KZ-normalized'!$A:$A, 0))), 0), 0))+(IFERROR(IF(21*INDEX('UZ-normalized'!$D:$D, MATCH($A164, 'UZ-normalized'!$A:$A, 0))-INDEX('UZ-normalized'!$E:$E, MATCH($A164, 'UZ-normalized'!$A:$A, 0))&gt;0, -(21*INDEX('UZ-normalized'!$D:$D, MATCH($A164, 'UZ-normalized'!$A:$A, 0))-INDEX('UZ-normalized'!$E:$E, MATCH($A164, 'UZ-normalized'!$A:$A, 0))), 0), 0)))</f>
        <v>-1459</v>
      </c>
      <c r="AJ164" s="6">
        <f>MIN(0, N164+(IFERROR(IF(22*INDEX('UA-normalized'!$D:$D, MATCH($A164, 'UA-normalized'!$A:$A, 0))-INDEX('UA-normalized'!$E:$E, MATCH($A164, 'UA-normalized'!$A:$A, 0))&gt;0, -(22*INDEX('UA-normalized'!$D:$D, MATCH($A164, 'UA-normalized'!$A:$A, 0))-INDEX('UA-normalized'!$E:$E, MATCH($A164, 'UA-normalized'!$A:$A, 0))), 0), 0))+(IFERROR(IF(22*INDEX('KZ-normalized'!$D:$D, MATCH($A164, 'KZ-normalized'!$A:$A, 0))-INDEX('KZ-normalized'!$E:$E, MATCH($A164, 'KZ-normalized'!$A:$A, 0))&gt;0, -(22*INDEX('KZ-normalized'!$D:$D, MATCH($A164, 'KZ-normalized'!$A:$A, 0))-INDEX('KZ-normalized'!$E:$E, MATCH($A164, 'KZ-normalized'!$A:$A, 0))), 0), 0))+(IFERROR(IF(22*INDEX('UZ-normalized'!$D:$D, MATCH($A164, 'UZ-normalized'!$A:$A, 0))-INDEX('UZ-normalized'!$E:$E, MATCH($A164, 'UZ-normalized'!$A:$A, 0))&gt;0, -(22*INDEX('UZ-normalized'!$D:$D, MATCH($A164, 'UZ-normalized'!$A:$A, 0))-INDEX('UZ-normalized'!$E:$E, MATCH($A164, 'UZ-normalized'!$A:$A, 0))), 0), 0)))</f>
        <v>-1541</v>
      </c>
      <c r="AK164" s="6">
        <f>MIN(0, N164+(IFERROR(IF(23*INDEX('UA-normalized'!$D:$D, MATCH($A164, 'UA-normalized'!$A:$A, 0))-INDEX('UA-normalized'!$E:$E, MATCH($A164, 'UA-normalized'!$A:$A, 0))&gt;0, -(23*INDEX('UA-normalized'!$D:$D, MATCH($A164, 'UA-normalized'!$A:$A, 0))-INDEX('UA-normalized'!$E:$E, MATCH($A164, 'UA-normalized'!$A:$A, 0))), 0), 0))+(IFERROR(IF(23*INDEX('KZ-normalized'!$D:$D, MATCH($A164, 'KZ-normalized'!$A:$A, 0))-INDEX('KZ-normalized'!$E:$E, MATCH($A164, 'KZ-normalized'!$A:$A, 0))&gt;0, -(23*INDEX('KZ-normalized'!$D:$D, MATCH($A164, 'KZ-normalized'!$A:$A, 0))-INDEX('KZ-normalized'!$E:$E, MATCH($A164, 'KZ-normalized'!$A:$A, 0))), 0), 0))+(IFERROR(IF(23*INDEX('UZ-normalized'!$D:$D, MATCH($A164, 'UZ-normalized'!$A:$A, 0))-INDEX('UZ-normalized'!$E:$E, MATCH($A164, 'UZ-normalized'!$A:$A, 0))&gt;0, -(23*INDEX('UZ-normalized'!$D:$D, MATCH($A164, 'UZ-normalized'!$A:$A, 0))-INDEX('UZ-normalized'!$E:$E, MATCH($A164, 'UZ-normalized'!$A:$A, 0))), 0), 0)))</f>
        <v>-1623</v>
      </c>
      <c r="AL164" s="6">
        <f>MIN(0, N164+(IFERROR(IF(24*INDEX('UA-normalized'!$D:$D, MATCH($A164, 'UA-normalized'!$A:$A, 0))-INDEX('UA-normalized'!$E:$E, MATCH($A164, 'UA-normalized'!$A:$A, 0))&gt;0, -(24*INDEX('UA-normalized'!$D:$D, MATCH($A164, 'UA-normalized'!$A:$A, 0))-INDEX('UA-normalized'!$E:$E, MATCH($A164, 'UA-normalized'!$A:$A, 0))), 0), 0))+(IFERROR(IF(24*INDEX('KZ-normalized'!$D:$D, MATCH($A164, 'KZ-normalized'!$A:$A, 0))-INDEX('KZ-normalized'!$E:$E, MATCH($A164, 'KZ-normalized'!$A:$A, 0))&gt;0, -(24*INDEX('KZ-normalized'!$D:$D, MATCH($A164, 'KZ-normalized'!$A:$A, 0))-INDEX('KZ-normalized'!$E:$E, MATCH($A164, 'KZ-normalized'!$A:$A, 0))), 0), 0))+(IFERROR(IF(24*INDEX('UZ-normalized'!$D:$D, MATCH($A164, 'UZ-normalized'!$A:$A, 0))-INDEX('UZ-normalized'!$E:$E, MATCH($A164, 'UZ-normalized'!$A:$A, 0))&gt;0, -(24*INDEX('UZ-normalized'!$D:$D, MATCH($A164, 'UZ-normalized'!$A:$A, 0))-INDEX('UZ-normalized'!$E:$E, MATCH($A164, 'UZ-normalized'!$A:$A, 0))), 0), 0)))</f>
        <v>-1705</v>
      </c>
      <c r="AM164" s="6">
        <f>MIN(0, N164+(IFERROR(IF(25*INDEX('UA-normalized'!$D:$D, MATCH($A164, 'UA-normalized'!$A:$A, 0))-INDEX('UA-normalized'!$E:$E, MATCH($A164, 'UA-normalized'!$A:$A, 0))&gt;0, -(25*INDEX('UA-normalized'!$D:$D, MATCH($A164, 'UA-normalized'!$A:$A, 0))-INDEX('UA-normalized'!$E:$E, MATCH($A164, 'UA-normalized'!$A:$A, 0))), 0), 0))+(IFERROR(IF(25*INDEX('KZ-normalized'!$D:$D, MATCH($A164, 'KZ-normalized'!$A:$A, 0))-INDEX('KZ-normalized'!$E:$E, MATCH($A164, 'KZ-normalized'!$A:$A, 0))&gt;0, -(25*INDEX('KZ-normalized'!$D:$D, MATCH($A164, 'KZ-normalized'!$A:$A, 0))-INDEX('KZ-normalized'!$E:$E, MATCH($A164, 'KZ-normalized'!$A:$A, 0))), 0), 0))+(IFERROR(IF(25*INDEX('UZ-normalized'!$D:$D, MATCH($A164, 'UZ-normalized'!$A:$A, 0))-INDEX('UZ-normalized'!$E:$E, MATCH($A164, 'UZ-normalized'!$A:$A, 0))&gt;0, -(25*INDEX('UZ-normalized'!$D:$D, MATCH($A164, 'UZ-normalized'!$A:$A, 0))-INDEX('UZ-normalized'!$E:$E, MATCH($A164, 'UZ-normalized'!$A:$A, 0))), 0), 0)))</f>
        <v>-1787</v>
      </c>
      <c r="AN164" s="6">
        <f>MIN(0, N164+(IFERROR(IF(26*INDEX('UA-normalized'!$D:$D, MATCH($A164, 'UA-normalized'!$A:$A, 0))-INDEX('UA-normalized'!$E:$E, MATCH($A164, 'UA-normalized'!$A:$A, 0))&gt;0, -(26*INDEX('UA-normalized'!$D:$D, MATCH($A164, 'UA-normalized'!$A:$A, 0))-INDEX('UA-normalized'!$E:$E, MATCH($A164, 'UA-normalized'!$A:$A, 0))), 0), 0))+(IFERROR(IF(26*INDEX('KZ-normalized'!$D:$D, MATCH($A164, 'KZ-normalized'!$A:$A, 0))-INDEX('KZ-normalized'!$E:$E, MATCH($A164, 'KZ-normalized'!$A:$A, 0))&gt;0, -(26*INDEX('KZ-normalized'!$D:$D, MATCH($A164, 'KZ-normalized'!$A:$A, 0))-INDEX('KZ-normalized'!$E:$E, MATCH($A164, 'KZ-normalized'!$A:$A, 0))), 0), 0))+(IFERROR(IF(26*INDEX('UZ-normalized'!$D:$D, MATCH($A164, 'UZ-normalized'!$A:$A, 0))-INDEX('UZ-normalized'!$E:$E, MATCH($A164, 'UZ-normalized'!$A:$A, 0))&gt;0, -(26*INDEX('UZ-normalized'!$D:$D, MATCH($A164, 'UZ-normalized'!$A:$A, 0))-INDEX('UZ-normalized'!$E:$E, MATCH($A164, 'UZ-normalized'!$A:$A, 0))), 0), 0)))</f>
        <v>-1869</v>
      </c>
      <c r="AO164" s="6">
        <f>MIN(0, N164+(IFERROR(IF(27*INDEX('UA-normalized'!$D:$D, MATCH($A164, 'UA-normalized'!$A:$A, 0))-INDEX('UA-normalized'!$E:$E, MATCH($A164, 'UA-normalized'!$A:$A, 0))&gt;0, -(27*INDEX('UA-normalized'!$D:$D, MATCH($A164, 'UA-normalized'!$A:$A, 0))-INDEX('UA-normalized'!$E:$E, MATCH($A164, 'UA-normalized'!$A:$A, 0))), 0), 0))+(IFERROR(IF(27*INDEX('KZ-normalized'!$D:$D, MATCH($A164, 'KZ-normalized'!$A:$A, 0))-INDEX('KZ-normalized'!$E:$E, MATCH($A164, 'KZ-normalized'!$A:$A, 0))&gt;0, -(27*INDEX('KZ-normalized'!$D:$D, MATCH($A164, 'KZ-normalized'!$A:$A, 0))-INDEX('KZ-normalized'!$E:$E, MATCH($A164, 'KZ-normalized'!$A:$A, 0))), 0), 0))+(IFERROR(IF(27*INDEX('UZ-normalized'!$D:$D, MATCH($A164, 'UZ-normalized'!$A:$A, 0))-INDEX('UZ-normalized'!$E:$E, MATCH($A164, 'UZ-normalized'!$A:$A, 0))&gt;0, -(27*INDEX('UZ-normalized'!$D:$D, MATCH($A164, 'UZ-normalized'!$A:$A, 0))-INDEX('UZ-normalized'!$E:$E, MATCH($A164, 'UZ-normalized'!$A:$A, 0))), 0), 0)))</f>
        <v>-1951</v>
      </c>
      <c r="AP164" s="6">
        <f>MIN(0, N164+(IFERROR(IF(28*INDEX('UA-normalized'!$D:$D, MATCH($A164, 'UA-normalized'!$A:$A, 0))-INDEX('UA-normalized'!$E:$E, MATCH($A164, 'UA-normalized'!$A:$A, 0))&gt;0, -(28*INDEX('UA-normalized'!$D:$D, MATCH($A164, 'UA-normalized'!$A:$A, 0))-INDEX('UA-normalized'!$E:$E, MATCH($A164, 'UA-normalized'!$A:$A, 0))), 0), 0))+(IFERROR(IF(28*INDEX('KZ-normalized'!$D:$D, MATCH($A164, 'KZ-normalized'!$A:$A, 0))-INDEX('KZ-normalized'!$E:$E, MATCH($A164, 'KZ-normalized'!$A:$A, 0))&gt;0, -(28*INDEX('KZ-normalized'!$D:$D, MATCH($A164, 'KZ-normalized'!$A:$A, 0))-INDEX('KZ-normalized'!$E:$E, MATCH($A164, 'KZ-normalized'!$A:$A, 0))), 0), 0))+(IFERROR(IF(28*INDEX('UZ-normalized'!$D:$D, MATCH($A164, 'UZ-normalized'!$A:$A, 0))-INDEX('UZ-normalized'!$E:$E, MATCH($A164, 'UZ-normalized'!$A:$A, 0))&gt;0, -(28*INDEX('UZ-normalized'!$D:$D, MATCH($A164, 'UZ-normalized'!$A:$A, 0))-INDEX('UZ-normalized'!$E:$E, MATCH($A164, 'UZ-normalized'!$A:$A, 0))), 0), 0)))</f>
        <v>-2033</v>
      </c>
      <c r="AQ164" s="6">
        <f>MIN(0, N164+(IFERROR(IF(29*INDEX('UA-normalized'!$D:$D, MATCH($A164, 'UA-normalized'!$A:$A, 0))-INDEX('UA-normalized'!$E:$E, MATCH($A164, 'UA-normalized'!$A:$A, 0))&gt;0, -(29*INDEX('UA-normalized'!$D:$D, MATCH($A164, 'UA-normalized'!$A:$A, 0))-INDEX('UA-normalized'!$E:$E, MATCH($A164, 'UA-normalized'!$A:$A, 0))), 0), 0))+(IFERROR(IF(29*INDEX('KZ-normalized'!$D:$D, MATCH($A164, 'KZ-normalized'!$A:$A, 0))-INDEX('KZ-normalized'!$E:$E, MATCH($A164, 'KZ-normalized'!$A:$A, 0))&gt;0, -(29*INDEX('KZ-normalized'!$D:$D, MATCH($A164, 'KZ-normalized'!$A:$A, 0))-INDEX('KZ-normalized'!$E:$E, MATCH($A164, 'KZ-normalized'!$A:$A, 0))), 0), 0))+(IFERROR(IF(29*INDEX('UZ-normalized'!$D:$D, MATCH($A164, 'UZ-normalized'!$A:$A, 0))-INDEX('UZ-normalized'!$E:$E, MATCH($A164, 'UZ-normalized'!$A:$A, 0))&gt;0, -(29*INDEX('UZ-normalized'!$D:$D, MATCH($A164, 'UZ-normalized'!$A:$A, 0))-INDEX('UZ-normalized'!$E:$E, MATCH($A164, 'UZ-normalized'!$A:$A, 0))), 0), 0)))</f>
        <v>-2115</v>
      </c>
      <c r="AR164" s="6">
        <f>MIN(0, N164+(IFERROR(IF(30*INDEX('UA-normalized'!$D:$D, MATCH($A164, 'UA-normalized'!$A:$A, 0))-INDEX('UA-normalized'!$E:$E, MATCH($A164, 'UA-normalized'!$A:$A, 0))&gt;0, -(30*INDEX('UA-normalized'!$D:$D, MATCH($A164, 'UA-normalized'!$A:$A, 0))-INDEX('UA-normalized'!$E:$E, MATCH($A164, 'UA-normalized'!$A:$A, 0))), 0), 0))+(IFERROR(IF(30*INDEX('KZ-normalized'!$D:$D, MATCH($A164, 'KZ-normalized'!$A:$A, 0))-INDEX('KZ-normalized'!$E:$E, MATCH($A164, 'KZ-normalized'!$A:$A, 0))&gt;0, -(30*INDEX('KZ-normalized'!$D:$D, MATCH($A164, 'KZ-normalized'!$A:$A, 0))-INDEX('KZ-normalized'!$E:$E, MATCH($A164, 'KZ-normalized'!$A:$A, 0))), 0), 0))+(IFERROR(IF(30*INDEX('UZ-normalized'!$D:$D, MATCH($A164, 'UZ-normalized'!$A:$A, 0))-INDEX('UZ-normalized'!$E:$E, MATCH($A164, 'UZ-normalized'!$A:$A, 0))&gt;0, -(30*INDEX('UZ-normalized'!$D:$D, MATCH($A164, 'UZ-normalized'!$A:$A, 0))-INDEX('UZ-normalized'!$E:$E, MATCH($A164, 'UZ-normalized'!$A:$A, 0))), 0), 0)))</f>
        <v>-2197</v>
      </c>
    </row>
    <row r="165" spans="1:44" x14ac:dyDescent="0.25">
      <c r="A165" s="8" t="s">
        <v>396</v>
      </c>
      <c r="B165" s="8" t="s">
        <v>393</v>
      </c>
      <c r="C165" s="8" t="s">
        <v>394</v>
      </c>
      <c r="D165" s="8" t="s">
        <v>397</v>
      </c>
      <c r="E165">
        <v>12.5</v>
      </c>
      <c r="N165">
        <f t="shared" si="2"/>
        <v>12.5</v>
      </c>
      <c r="O165" s="6">
        <f>MIN(0, N165+(IFERROR(IF(1*INDEX('UA-normalized'!$D:$D, MATCH($A165, 'UA-normalized'!$A:$A, 0))-INDEX('UA-normalized'!$E:$E, MATCH($A165, 'UA-normalized'!$A:$A, 0))&gt;0, -(1*INDEX('UA-normalized'!$D:$D, MATCH($A165, 'UA-normalized'!$A:$A, 0))-INDEX('UA-normalized'!$E:$E, MATCH($A165, 'UA-normalized'!$A:$A, 0))), 0), 0))+(IFERROR(IF(1*INDEX('KZ-normalized'!$D:$D, MATCH($A165, 'KZ-normalized'!$A:$A, 0))-INDEX('KZ-normalized'!$E:$E, MATCH($A165, 'KZ-normalized'!$A:$A, 0))&gt;0, -(1*INDEX('KZ-normalized'!$D:$D, MATCH($A165, 'KZ-normalized'!$A:$A, 0))-INDEX('KZ-normalized'!$E:$E, MATCH($A165, 'KZ-normalized'!$A:$A, 0))), 0), 0))+(IFERROR(IF(1*INDEX('UZ-normalized'!$D:$D, MATCH($A165, 'UZ-normalized'!$A:$A, 0))-INDEX('UZ-normalized'!$E:$E, MATCH($A165, 'UZ-normalized'!$A:$A, 0))&gt;0, -(1*INDEX('UZ-normalized'!$D:$D, MATCH($A165, 'UZ-normalized'!$A:$A, 0))-INDEX('UZ-normalized'!$E:$E, MATCH($A165, 'UZ-normalized'!$A:$A, 0))), 0), 0)))</f>
        <v>0</v>
      </c>
      <c r="P165" s="6">
        <f>MIN(0, N165+(IFERROR(IF(2*INDEX('UA-normalized'!$D:$D, MATCH($A165, 'UA-normalized'!$A:$A, 0))-INDEX('UA-normalized'!$E:$E, MATCH($A165, 'UA-normalized'!$A:$A, 0))&gt;0, -(2*INDEX('UA-normalized'!$D:$D, MATCH($A165, 'UA-normalized'!$A:$A, 0))-INDEX('UA-normalized'!$E:$E, MATCH($A165, 'UA-normalized'!$A:$A, 0))), 0), 0))+(IFERROR(IF(2*INDEX('KZ-normalized'!$D:$D, MATCH($A165, 'KZ-normalized'!$A:$A, 0))-INDEX('KZ-normalized'!$E:$E, MATCH($A165, 'KZ-normalized'!$A:$A, 0))&gt;0, -(2*INDEX('KZ-normalized'!$D:$D, MATCH($A165, 'KZ-normalized'!$A:$A, 0))-INDEX('KZ-normalized'!$E:$E, MATCH($A165, 'KZ-normalized'!$A:$A, 0))), 0), 0))+(IFERROR(IF(2*INDEX('UZ-normalized'!$D:$D, MATCH($A165, 'UZ-normalized'!$A:$A, 0))-INDEX('UZ-normalized'!$E:$E, MATCH($A165, 'UZ-normalized'!$A:$A, 0))&gt;0, -(2*INDEX('UZ-normalized'!$D:$D, MATCH($A165, 'UZ-normalized'!$A:$A, 0))-INDEX('UZ-normalized'!$E:$E, MATCH($A165, 'UZ-normalized'!$A:$A, 0))), 0), 0)))</f>
        <v>0</v>
      </c>
      <c r="Q165" s="6">
        <f>MIN(0, N165+(IFERROR(IF(3*INDEX('UA-normalized'!$D:$D, MATCH($A165, 'UA-normalized'!$A:$A, 0))-INDEX('UA-normalized'!$E:$E, MATCH($A165, 'UA-normalized'!$A:$A, 0))&gt;0, -(3*INDEX('UA-normalized'!$D:$D, MATCH($A165, 'UA-normalized'!$A:$A, 0))-INDEX('UA-normalized'!$E:$E, MATCH($A165, 'UA-normalized'!$A:$A, 0))), 0), 0))+(IFERROR(IF(3*INDEX('KZ-normalized'!$D:$D, MATCH($A165, 'KZ-normalized'!$A:$A, 0))-INDEX('KZ-normalized'!$E:$E, MATCH($A165, 'KZ-normalized'!$A:$A, 0))&gt;0, -(3*INDEX('KZ-normalized'!$D:$D, MATCH($A165, 'KZ-normalized'!$A:$A, 0))-INDEX('KZ-normalized'!$E:$E, MATCH($A165, 'KZ-normalized'!$A:$A, 0))), 0), 0))+(IFERROR(IF(3*INDEX('UZ-normalized'!$D:$D, MATCH($A165, 'UZ-normalized'!$A:$A, 0))-INDEX('UZ-normalized'!$E:$E, MATCH($A165, 'UZ-normalized'!$A:$A, 0))&gt;0, -(3*INDEX('UZ-normalized'!$D:$D, MATCH($A165, 'UZ-normalized'!$A:$A, 0))-INDEX('UZ-normalized'!$E:$E, MATCH($A165, 'UZ-normalized'!$A:$A, 0))), 0), 0)))</f>
        <v>0</v>
      </c>
      <c r="R165" s="6">
        <f>MIN(0, N165+(IFERROR(IF(4*INDEX('UA-normalized'!$D:$D, MATCH($A165, 'UA-normalized'!$A:$A, 0))-INDEX('UA-normalized'!$E:$E, MATCH($A165, 'UA-normalized'!$A:$A, 0))&gt;0, -(4*INDEX('UA-normalized'!$D:$D, MATCH($A165, 'UA-normalized'!$A:$A, 0))-INDEX('UA-normalized'!$E:$E, MATCH($A165, 'UA-normalized'!$A:$A, 0))), 0), 0))+(IFERROR(IF(4*INDEX('KZ-normalized'!$D:$D, MATCH($A165, 'KZ-normalized'!$A:$A, 0))-INDEX('KZ-normalized'!$E:$E, MATCH($A165, 'KZ-normalized'!$A:$A, 0))&gt;0, -(4*INDEX('KZ-normalized'!$D:$D, MATCH($A165, 'KZ-normalized'!$A:$A, 0))-INDEX('KZ-normalized'!$E:$E, MATCH($A165, 'KZ-normalized'!$A:$A, 0))), 0), 0))+(IFERROR(IF(4*INDEX('UZ-normalized'!$D:$D, MATCH($A165, 'UZ-normalized'!$A:$A, 0))-INDEX('UZ-normalized'!$E:$E, MATCH($A165, 'UZ-normalized'!$A:$A, 0))&gt;0, -(4*INDEX('UZ-normalized'!$D:$D, MATCH($A165, 'UZ-normalized'!$A:$A, 0))-INDEX('UZ-normalized'!$E:$E, MATCH($A165, 'UZ-normalized'!$A:$A, 0))), 0), 0)))</f>
        <v>0</v>
      </c>
      <c r="S165" s="6">
        <f>MIN(0, N165+(IFERROR(IF(5*INDEX('UA-normalized'!$D:$D, MATCH($A165, 'UA-normalized'!$A:$A, 0))-INDEX('UA-normalized'!$E:$E, MATCH($A165, 'UA-normalized'!$A:$A, 0))&gt;0, -(5*INDEX('UA-normalized'!$D:$D, MATCH($A165, 'UA-normalized'!$A:$A, 0))-INDEX('UA-normalized'!$E:$E, MATCH($A165, 'UA-normalized'!$A:$A, 0))), 0), 0))+(IFERROR(IF(5*INDEX('KZ-normalized'!$D:$D, MATCH($A165, 'KZ-normalized'!$A:$A, 0))-INDEX('KZ-normalized'!$E:$E, MATCH($A165, 'KZ-normalized'!$A:$A, 0))&gt;0, -(5*INDEX('KZ-normalized'!$D:$D, MATCH($A165, 'KZ-normalized'!$A:$A, 0))-INDEX('KZ-normalized'!$E:$E, MATCH($A165, 'KZ-normalized'!$A:$A, 0))), 0), 0))+(IFERROR(IF(5*INDEX('UZ-normalized'!$D:$D, MATCH($A165, 'UZ-normalized'!$A:$A, 0))-INDEX('UZ-normalized'!$E:$E, MATCH($A165, 'UZ-normalized'!$A:$A, 0))&gt;0, -(5*INDEX('UZ-normalized'!$D:$D, MATCH($A165, 'UZ-normalized'!$A:$A, 0))-INDEX('UZ-normalized'!$E:$E, MATCH($A165, 'UZ-normalized'!$A:$A, 0))), 0), 0)))</f>
        <v>-7</v>
      </c>
      <c r="T165" s="6">
        <f>MIN(0, N165+(IFERROR(IF(6*INDEX('UA-normalized'!$D:$D, MATCH($A165, 'UA-normalized'!$A:$A, 0))-INDEX('UA-normalized'!$E:$E, MATCH($A165, 'UA-normalized'!$A:$A, 0))&gt;0, -(6*INDEX('UA-normalized'!$D:$D, MATCH($A165, 'UA-normalized'!$A:$A, 0))-INDEX('UA-normalized'!$E:$E, MATCH($A165, 'UA-normalized'!$A:$A, 0))), 0), 0))+(IFERROR(IF(6*INDEX('KZ-normalized'!$D:$D, MATCH($A165, 'KZ-normalized'!$A:$A, 0))-INDEX('KZ-normalized'!$E:$E, MATCH($A165, 'KZ-normalized'!$A:$A, 0))&gt;0, -(6*INDEX('KZ-normalized'!$D:$D, MATCH($A165, 'KZ-normalized'!$A:$A, 0))-INDEX('KZ-normalized'!$E:$E, MATCH($A165, 'KZ-normalized'!$A:$A, 0))), 0), 0))+(IFERROR(IF(6*INDEX('UZ-normalized'!$D:$D, MATCH($A165, 'UZ-normalized'!$A:$A, 0))-INDEX('UZ-normalized'!$E:$E, MATCH($A165, 'UZ-normalized'!$A:$A, 0))&gt;0, -(6*INDEX('UZ-normalized'!$D:$D, MATCH($A165, 'UZ-normalized'!$A:$A, 0))-INDEX('UZ-normalized'!$E:$E, MATCH($A165, 'UZ-normalized'!$A:$A, 0))), 0), 0)))</f>
        <v>-27.5</v>
      </c>
      <c r="U165" s="6">
        <f>MIN(0, N165+(IFERROR(IF(7*INDEX('UA-normalized'!$D:$D, MATCH($A165, 'UA-normalized'!$A:$A, 0))-INDEX('UA-normalized'!$E:$E, MATCH($A165, 'UA-normalized'!$A:$A, 0))&gt;0, -(7*INDEX('UA-normalized'!$D:$D, MATCH($A165, 'UA-normalized'!$A:$A, 0))-INDEX('UA-normalized'!$E:$E, MATCH($A165, 'UA-normalized'!$A:$A, 0))), 0), 0))+(IFERROR(IF(7*INDEX('KZ-normalized'!$D:$D, MATCH($A165, 'KZ-normalized'!$A:$A, 0))-INDEX('KZ-normalized'!$E:$E, MATCH($A165, 'KZ-normalized'!$A:$A, 0))&gt;0, -(7*INDEX('KZ-normalized'!$D:$D, MATCH($A165, 'KZ-normalized'!$A:$A, 0))-INDEX('KZ-normalized'!$E:$E, MATCH($A165, 'KZ-normalized'!$A:$A, 0))), 0), 0))+(IFERROR(IF(7*INDEX('UZ-normalized'!$D:$D, MATCH($A165, 'UZ-normalized'!$A:$A, 0))-INDEX('UZ-normalized'!$E:$E, MATCH($A165, 'UZ-normalized'!$A:$A, 0))&gt;0, -(7*INDEX('UZ-normalized'!$D:$D, MATCH($A165, 'UZ-normalized'!$A:$A, 0))-INDEX('UZ-normalized'!$E:$E, MATCH($A165, 'UZ-normalized'!$A:$A, 0))), 0), 0)))</f>
        <v>-48</v>
      </c>
      <c r="V165" s="6">
        <f>MIN(0, N165+(IFERROR(IF(8*INDEX('UA-normalized'!$D:$D, MATCH($A165, 'UA-normalized'!$A:$A, 0))-INDEX('UA-normalized'!$E:$E, MATCH($A165, 'UA-normalized'!$A:$A, 0))&gt;0, -(8*INDEX('UA-normalized'!$D:$D, MATCH($A165, 'UA-normalized'!$A:$A, 0))-INDEX('UA-normalized'!$E:$E, MATCH($A165, 'UA-normalized'!$A:$A, 0))), 0), 0))+(IFERROR(IF(8*INDEX('KZ-normalized'!$D:$D, MATCH($A165, 'KZ-normalized'!$A:$A, 0))-INDEX('KZ-normalized'!$E:$E, MATCH($A165, 'KZ-normalized'!$A:$A, 0))&gt;0, -(8*INDEX('KZ-normalized'!$D:$D, MATCH($A165, 'KZ-normalized'!$A:$A, 0))-INDEX('KZ-normalized'!$E:$E, MATCH($A165, 'KZ-normalized'!$A:$A, 0))), 0), 0))+(IFERROR(IF(8*INDEX('UZ-normalized'!$D:$D, MATCH($A165, 'UZ-normalized'!$A:$A, 0))-INDEX('UZ-normalized'!$E:$E, MATCH($A165, 'UZ-normalized'!$A:$A, 0))&gt;0, -(8*INDEX('UZ-normalized'!$D:$D, MATCH($A165, 'UZ-normalized'!$A:$A, 0))-INDEX('UZ-normalized'!$E:$E, MATCH($A165, 'UZ-normalized'!$A:$A, 0))), 0), 0)))</f>
        <v>-68.5</v>
      </c>
      <c r="W165" s="6">
        <f>MIN(0, N165+(IFERROR(IF(9*INDEX('UA-normalized'!$D:$D, MATCH($A165, 'UA-normalized'!$A:$A, 0))-INDEX('UA-normalized'!$E:$E, MATCH($A165, 'UA-normalized'!$A:$A, 0))&gt;0, -(9*INDEX('UA-normalized'!$D:$D, MATCH($A165, 'UA-normalized'!$A:$A, 0))-INDEX('UA-normalized'!$E:$E, MATCH($A165, 'UA-normalized'!$A:$A, 0))), 0), 0))+(IFERROR(IF(9*INDEX('KZ-normalized'!$D:$D, MATCH($A165, 'KZ-normalized'!$A:$A, 0))-INDEX('KZ-normalized'!$E:$E, MATCH($A165, 'KZ-normalized'!$A:$A, 0))&gt;0, -(9*INDEX('KZ-normalized'!$D:$D, MATCH($A165, 'KZ-normalized'!$A:$A, 0))-INDEX('KZ-normalized'!$E:$E, MATCH($A165, 'KZ-normalized'!$A:$A, 0))), 0), 0))+(IFERROR(IF(9*INDEX('UZ-normalized'!$D:$D, MATCH($A165, 'UZ-normalized'!$A:$A, 0))-INDEX('UZ-normalized'!$E:$E, MATCH($A165, 'UZ-normalized'!$A:$A, 0))&gt;0, -(9*INDEX('UZ-normalized'!$D:$D, MATCH($A165, 'UZ-normalized'!$A:$A, 0))-INDEX('UZ-normalized'!$E:$E, MATCH($A165, 'UZ-normalized'!$A:$A, 0))), 0), 0)))</f>
        <v>-89</v>
      </c>
      <c r="X165" s="6">
        <f>MIN(0, N165+(IFERROR(IF(10*INDEX('UA-normalized'!$D:$D, MATCH($A165, 'UA-normalized'!$A:$A, 0))-INDEX('UA-normalized'!$E:$E, MATCH($A165, 'UA-normalized'!$A:$A, 0))&gt;0, -(10*INDEX('UA-normalized'!$D:$D, MATCH($A165, 'UA-normalized'!$A:$A, 0))-INDEX('UA-normalized'!$E:$E, MATCH($A165, 'UA-normalized'!$A:$A, 0))), 0), 0))+(IFERROR(IF(10*INDEX('KZ-normalized'!$D:$D, MATCH($A165, 'KZ-normalized'!$A:$A, 0))-INDEX('KZ-normalized'!$E:$E, MATCH($A165, 'KZ-normalized'!$A:$A, 0))&gt;0, -(10*INDEX('KZ-normalized'!$D:$D, MATCH($A165, 'KZ-normalized'!$A:$A, 0))-INDEX('KZ-normalized'!$E:$E, MATCH($A165, 'KZ-normalized'!$A:$A, 0))), 0), 0))+(IFERROR(IF(10*INDEX('UZ-normalized'!$D:$D, MATCH($A165, 'UZ-normalized'!$A:$A, 0))-INDEX('UZ-normalized'!$E:$E, MATCH($A165, 'UZ-normalized'!$A:$A, 0))&gt;0, -(10*INDEX('UZ-normalized'!$D:$D, MATCH($A165, 'UZ-normalized'!$A:$A, 0))-INDEX('UZ-normalized'!$E:$E, MATCH($A165, 'UZ-normalized'!$A:$A, 0))), 0), 0)))</f>
        <v>-109.5</v>
      </c>
      <c r="Y165" s="6">
        <f>MIN(0, N165+(IFERROR(IF(11*INDEX('UA-normalized'!$D:$D, MATCH($A165, 'UA-normalized'!$A:$A, 0))-INDEX('UA-normalized'!$E:$E, MATCH($A165, 'UA-normalized'!$A:$A, 0))&gt;0, -(11*INDEX('UA-normalized'!$D:$D, MATCH($A165, 'UA-normalized'!$A:$A, 0))-INDEX('UA-normalized'!$E:$E, MATCH($A165, 'UA-normalized'!$A:$A, 0))), 0), 0))+(IFERROR(IF(11*INDEX('KZ-normalized'!$D:$D, MATCH($A165, 'KZ-normalized'!$A:$A, 0))-INDEX('KZ-normalized'!$E:$E, MATCH($A165, 'KZ-normalized'!$A:$A, 0))&gt;0, -(11*INDEX('KZ-normalized'!$D:$D, MATCH($A165, 'KZ-normalized'!$A:$A, 0))-INDEX('KZ-normalized'!$E:$E, MATCH($A165, 'KZ-normalized'!$A:$A, 0))), 0), 0))+(IFERROR(IF(11*INDEX('UZ-normalized'!$D:$D, MATCH($A165, 'UZ-normalized'!$A:$A, 0))-INDEX('UZ-normalized'!$E:$E, MATCH($A165, 'UZ-normalized'!$A:$A, 0))&gt;0, -(11*INDEX('UZ-normalized'!$D:$D, MATCH($A165, 'UZ-normalized'!$A:$A, 0))-INDEX('UZ-normalized'!$E:$E, MATCH($A165, 'UZ-normalized'!$A:$A, 0))), 0), 0)))</f>
        <v>-130</v>
      </c>
      <c r="Z165" s="6">
        <f>MIN(0, N165+(IFERROR(IF(12*INDEX('UA-normalized'!$D:$D, MATCH($A165, 'UA-normalized'!$A:$A, 0))-INDEX('UA-normalized'!$E:$E, MATCH($A165, 'UA-normalized'!$A:$A, 0))&gt;0, -(12*INDEX('UA-normalized'!$D:$D, MATCH($A165, 'UA-normalized'!$A:$A, 0))-INDEX('UA-normalized'!$E:$E, MATCH($A165, 'UA-normalized'!$A:$A, 0))), 0), 0))+(IFERROR(IF(12*INDEX('KZ-normalized'!$D:$D, MATCH($A165, 'KZ-normalized'!$A:$A, 0))-INDEX('KZ-normalized'!$E:$E, MATCH($A165, 'KZ-normalized'!$A:$A, 0))&gt;0, -(12*INDEX('KZ-normalized'!$D:$D, MATCH($A165, 'KZ-normalized'!$A:$A, 0))-INDEX('KZ-normalized'!$E:$E, MATCH($A165, 'KZ-normalized'!$A:$A, 0))), 0), 0))+(IFERROR(IF(12*INDEX('UZ-normalized'!$D:$D, MATCH($A165, 'UZ-normalized'!$A:$A, 0))-INDEX('UZ-normalized'!$E:$E, MATCH($A165, 'UZ-normalized'!$A:$A, 0))&gt;0, -(12*INDEX('UZ-normalized'!$D:$D, MATCH($A165, 'UZ-normalized'!$A:$A, 0))-INDEX('UZ-normalized'!$E:$E, MATCH($A165, 'UZ-normalized'!$A:$A, 0))), 0), 0)))</f>
        <v>-150.5</v>
      </c>
      <c r="AA165" s="6">
        <f>MIN(0, N165+(IFERROR(IF(13*INDEX('UA-normalized'!$D:$D, MATCH($A165, 'UA-normalized'!$A:$A, 0))-INDEX('UA-normalized'!$E:$E, MATCH($A165, 'UA-normalized'!$A:$A, 0))&gt;0, -(13*INDEX('UA-normalized'!$D:$D, MATCH($A165, 'UA-normalized'!$A:$A, 0))-INDEX('UA-normalized'!$E:$E, MATCH($A165, 'UA-normalized'!$A:$A, 0))), 0), 0))+(IFERROR(IF(13*INDEX('KZ-normalized'!$D:$D, MATCH($A165, 'KZ-normalized'!$A:$A, 0))-INDEX('KZ-normalized'!$E:$E, MATCH($A165, 'KZ-normalized'!$A:$A, 0))&gt;0, -(13*INDEX('KZ-normalized'!$D:$D, MATCH($A165, 'KZ-normalized'!$A:$A, 0))-INDEX('KZ-normalized'!$E:$E, MATCH($A165, 'KZ-normalized'!$A:$A, 0))), 0), 0))+(IFERROR(IF(13*INDEX('UZ-normalized'!$D:$D, MATCH($A165, 'UZ-normalized'!$A:$A, 0))-INDEX('UZ-normalized'!$E:$E, MATCH($A165, 'UZ-normalized'!$A:$A, 0))&gt;0, -(13*INDEX('UZ-normalized'!$D:$D, MATCH($A165, 'UZ-normalized'!$A:$A, 0))-INDEX('UZ-normalized'!$E:$E, MATCH($A165, 'UZ-normalized'!$A:$A, 0))), 0), 0)))</f>
        <v>-171</v>
      </c>
      <c r="AB165" s="6">
        <f>MIN(0, N165+(IFERROR(IF(14*INDEX('UA-normalized'!$D:$D, MATCH($A165, 'UA-normalized'!$A:$A, 0))-INDEX('UA-normalized'!$E:$E, MATCH($A165, 'UA-normalized'!$A:$A, 0))&gt;0, -(14*INDEX('UA-normalized'!$D:$D, MATCH($A165, 'UA-normalized'!$A:$A, 0))-INDEX('UA-normalized'!$E:$E, MATCH($A165, 'UA-normalized'!$A:$A, 0))), 0), 0))+(IFERROR(IF(14*INDEX('KZ-normalized'!$D:$D, MATCH($A165, 'KZ-normalized'!$A:$A, 0))-INDEX('KZ-normalized'!$E:$E, MATCH($A165, 'KZ-normalized'!$A:$A, 0))&gt;0, -(14*INDEX('KZ-normalized'!$D:$D, MATCH($A165, 'KZ-normalized'!$A:$A, 0))-INDEX('KZ-normalized'!$E:$E, MATCH($A165, 'KZ-normalized'!$A:$A, 0))), 0), 0))+(IFERROR(IF(14*INDEX('UZ-normalized'!$D:$D, MATCH($A165, 'UZ-normalized'!$A:$A, 0))-INDEX('UZ-normalized'!$E:$E, MATCH($A165, 'UZ-normalized'!$A:$A, 0))&gt;0, -(14*INDEX('UZ-normalized'!$D:$D, MATCH($A165, 'UZ-normalized'!$A:$A, 0))-INDEX('UZ-normalized'!$E:$E, MATCH($A165, 'UZ-normalized'!$A:$A, 0))), 0), 0)))</f>
        <v>-191.5</v>
      </c>
      <c r="AC165" s="6">
        <f>MIN(0, N165+(IFERROR(IF(15*INDEX('UA-normalized'!$D:$D, MATCH($A165, 'UA-normalized'!$A:$A, 0))-INDEX('UA-normalized'!$E:$E, MATCH($A165, 'UA-normalized'!$A:$A, 0))&gt;0, -(15*INDEX('UA-normalized'!$D:$D, MATCH($A165, 'UA-normalized'!$A:$A, 0))-INDEX('UA-normalized'!$E:$E, MATCH($A165, 'UA-normalized'!$A:$A, 0))), 0), 0))+(IFERROR(IF(15*INDEX('KZ-normalized'!$D:$D, MATCH($A165, 'KZ-normalized'!$A:$A, 0))-INDEX('KZ-normalized'!$E:$E, MATCH($A165, 'KZ-normalized'!$A:$A, 0))&gt;0, -(15*INDEX('KZ-normalized'!$D:$D, MATCH($A165, 'KZ-normalized'!$A:$A, 0))-INDEX('KZ-normalized'!$E:$E, MATCH($A165, 'KZ-normalized'!$A:$A, 0))), 0), 0))+(IFERROR(IF(15*INDEX('UZ-normalized'!$D:$D, MATCH($A165, 'UZ-normalized'!$A:$A, 0))-INDEX('UZ-normalized'!$E:$E, MATCH($A165, 'UZ-normalized'!$A:$A, 0))&gt;0, -(15*INDEX('UZ-normalized'!$D:$D, MATCH($A165, 'UZ-normalized'!$A:$A, 0))-INDEX('UZ-normalized'!$E:$E, MATCH($A165, 'UZ-normalized'!$A:$A, 0))), 0), 0)))</f>
        <v>-212</v>
      </c>
      <c r="AD165" s="6">
        <f>MIN(0, N165+(IFERROR(IF(16*INDEX('UA-normalized'!$D:$D, MATCH($A165, 'UA-normalized'!$A:$A, 0))-INDEX('UA-normalized'!$E:$E, MATCH($A165, 'UA-normalized'!$A:$A, 0))&gt;0, -(16*INDEX('UA-normalized'!$D:$D, MATCH($A165, 'UA-normalized'!$A:$A, 0))-INDEX('UA-normalized'!$E:$E, MATCH($A165, 'UA-normalized'!$A:$A, 0))), 0), 0))+(IFERROR(IF(16*INDEX('KZ-normalized'!$D:$D, MATCH($A165, 'KZ-normalized'!$A:$A, 0))-INDEX('KZ-normalized'!$E:$E, MATCH($A165, 'KZ-normalized'!$A:$A, 0))&gt;0, -(16*INDEX('KZ-normalized'!$D:$D, MATCH($A165, 'KZ-normalized'!$A:$A, 0))-INDEX('KZ-normalized'!$E:$E, MATCH($A165, 'KZ-normalized'!$A:$A, 0))), 0), 0))+(IFERROR(IF(16*INDEX('UZ-normalized'!$D:$D, MATCH($A165, 'UZ-normalized'!$A:$A, 0))-INDEX('UZ-normalized'!$E:$E, MATCH($A165, 'UZ-normalized'!$A:$A, 0))&gt;0, -(16*INDEX('UZ-normalized'!$D:$D, MATCH($A165, 'UZ-normalized'!$A:$A, 0))-INDEX('UZ-normalized'!$E:$E, MATCH($A165, 'UZ-normalized'!$A:$A, 0))), 0), 0)))</f>
        <v>-232.5</v>
      </c>
      <c r="AE165" s="6">
        <f>MIN(0, N165+(IFERROR(IF(17*INDEX('UA-normalized'!$D:$D, MATCH($A165, 'UA-normalized'!$A:$A, 0))-INDEX('UA-normalized'!$E:$E, MATCH($A165, 'UA-normalized'!$A:$A, 0))&gt;0, -(17*INDEX('UA-normalized'!$D:$D, MATCH($A165, 'UA-normalized'!$A:$A, 0))-INDEX('UA-normalized'!$E:$E, MATCH($A165, 'UA-normalized'!$A:$A, 0))), 0), 0))+(IFERROR(IF(17*INDEX('KZ-normalized'!$D:$D, MATCH($A165, 'KZ-normalized'!$A:$A, 0))-INDEX('KZ-normalized'!$E:$E, MATCH($A165, 'KZ-normalized'!$A:$A, 0))&gt;0, -(17*INDEX('KZ-normalized'!$D:$D, MATCH($A165, 'KZ-normalized'!$A:$A, 0))-INDEX('KZ-normalized'!$E:$E, MATCH($A165, 'KZ-normalized'!$A:$A, 0))), 0), 0))+(IFERROR(IF(17*INDEX('UZ-normalized'!$D:$D, MATCH($A165, 'UZ-normalized'!$A:$A, 0))-INDEX('UZ-normalized'!$E:$E, MATCH($A165, 'UZ-normalized'!$A:$A, 0))&gt;0, -(17*INDEX('UZ-normalized'!$D:$D, MATCH($A165, 'UZ-normalized'!$A:$A, 0))-INDEX('UZ-normalized'!$E:$E, MATCH($A165, 'UZ-normalized'!$A:$A, 0))), 0), 0)))</f>
        <v>-253</v>
      </c>
      <c r="AF165" s="6">
        <f>MIN(0, N165+(IFERROR(IF(18*INDEX('UA-normalized'!$D:$D, MATCH($A165, 'UA-normalized'!$A:$A, 0))-INDEX('UA-normalized'!$E:$E, MATCH($A165, 'UA-normalized'!$A:$A, 0))&gt;0, -(18*INDEX('UA-normalized'!$D:$D, MATCH($A165, 'UA-normalized'!$A:$A, 0))-INDEX('UA-normalized'!$E:$E, MATCH($A165, 'UA-normalized'!$A:$A, 0))), 0), 0))+(IFERROR(IF(18*INDEX('KZ-normalized'!$D:$D, MATCH($A165, 'KZ-normalized'!$A:$A, 0))-INDEX('KZ-normalized'!$E:$E, MATCH($A165, 'KZ-normalized'!$A:$A, 0))&gt;0, -(18*INDEX('KZ-normalized'!$D:$D, MATCH($A165, 'KZ-normalized'!$A:$A, 0))-INDEX('KZ-normalized'!$E:$E, MATCH($A165, 'KZ-normalized'!$A:$A, 0))), 0), 0))+(IFERROR(IF(18*INDEX('UZ-normalized'!$D:$D, MATCH($A165, 'UZ-normalized'!$A:$A, 0))-INDEX('UZ-normalized'!$E:$E, MATCH($A165, 'UZ-normalized'!$A:$A, 0))&gt;0, -(18*INDEX('UZ-normalized'!$D:$D, MATCH($A165, 'UZ-normalized'!$A:$A, 0))-INDEX('UZ-normalized'!$E:$E, MATCH($A165, 'UZ-normalized'!$A:$A, 0))), 0), 0)))</f>
        <v>-273.5</v>
      </c>
      <c r="AG165" s="6">
        <f>MIN(0, N165+(IFERROR(IF(19*INDEX('UA-normalized'!$D:$D, MATCH($A165, 'UA-normalized'!$A:$A, 0))-INDEX('UA-normalized'!$E:$E, MATCH($A165, 'UA-normalized'!$A:$A, 0))&gt;0, -(19*INDEX('UA-normalized'!$D:$D, MATCH($A165, 'UA-normalized'!$A:$A, 0))-INDEX('UA-normalized'!$E:$E, MATCH($A165, 'UA-normalized'!$A:$A, 0))), 0), 0))+(IFERROR(IF(19*INDEX('KZ-normalized'!$D:$D, MATCH($A165, 'KZ-normalized'!$A:$A, 0))-INDEX('KZ-normalized'!$E:$E, MATCH($A165, 'KZ-normalized'!$A:$A, 0))&gt;0, -(19*INDEX('KZ-normalized'!$D:$D, MATCH($A165, 'KZ-normalized'!$A:$A, 0))-INDEX('KZ-normalized'!$E:$E, MATCH($A165, 'KZ-normalized'!$A:$A, 0))), 0), 0))+(IFERROR(IF(19*INDEX('UZ-normalized'!$D:$D, MATCH($A165, 'UZ-normalized'!$A:$A, 0))-INDEX('UZ-normalized'!$E:$E, MATCH($A165, 'UZ-normalized'!$A:$A, 0))&gt;0, -(19*INDEX('UZ-normalized'!$D:$D, MATCH($A165, 'UZ-normalized'!$A:$A, 0))-INDEX('UZ-normalized'!$E:$E, MATCH($A165, 'UZ-normalized'!$A:$A, 0))), 0), 0)))</f>
        <v>-294</v>
      </c>
      <c r="AH165" s="6">
        <f>MIN(0, N165+(IFERROR(IF(20*INDEX('UA-normalized'!$D:$D, MATCH($A165, 'UA-normalized'!$A:$A, 0))-INDEX('UA-normalized'!$E:$E, MATCH($A165, 'UA-normalized'!$A:$A, 0))&gt;0, -(20*INDEX('UA-normalized'!$D:$D, MATCH($A165, 'UA-normalized'!$A:$A, 0))-INDEX('UA-normalized'!$E:$E, MATCH($A165, 'UA-normalized'!$A:$A, 0))), 0), 0))+(IFERROR(IF(20*INDEX('KZ-normalized'!$D:$D, MATCH($A165, 'KZ-normalized'!$A:$A, 0))-INDEX('KZ-normalized'!$E:$E, MATCH($A165, 'KZ-normalized'!$A:$A, 0))&gt;0, -(20*INDEX('KZ-normalized'!$D:$D, MATCH($A165, 'KZ-normalized'!$A:$A, 0))-INDEX('KZ-normalized'!$E:$E, MATCH($A165, 'KZ-normalized'!$A:$A, 0))), 0), 0))+(IFERROR(IF(20*INDEX('UZ-normalized'!$D:$D, MATCH($A165, 'UZ-normalized'!$A:$A, 0))-INDEX('UZ-normalized'!$E:$E, MATCH($A165, 'UZ-normalized'!$A:$A, 0))&gt;0, -(20*INDEX('UZ-normalized'!$D:$D, MATCH($A165, 'UZ-normalized'!$A:$A, 0))-INDEX('UZ-normalized'!$E:$E, MATCH($A165, 'UZ-normalized'!$A:$A, 0))), 0), 0)))</f>
        <v>-314.5</v>
      </c>
      <c r="AI165" s="6">
        <f>MIN(0, N165+(IFERROR(IF(21*INDEX('UA-normalized'!$D:$D, MATCH($A165, 'UA-normalized'!$A:$A, 0))-INDEX('UA-normalized'!$E:$E, MATCH($A165, 'UA-normalized'!$A:$A, 0))&gt;0, -(21*INDEX('UA-normalized'!$D:$D, MATCH($A165, 'UA-normalized'!$A:$A, 0))-INDEX('UA-normalized'!$E:$E, MATCH($A165, 'UA-normalized'!$A:$A, 0))), 0), 0))+(IFERROR(IF(21*INDEX('KZ-normalized'!$D:$D, MATCH($A165, 'KZ-normalized'!$A:$A, 0))-INDEX('KZ-normalized'!$E:$E, MATCH($A165, 'KZ-normalized'!$A:$A, 0))&gt;0, -(21*INDEX('KZ-normalized'!$D:$D, MATCH($A165, 'KZ-normalized'!$A:$A, 0))-INDEX('KZ-normalized'!$E:$E, MATCH($A165, 'KZ-normalized'!$A:$A, 0))), 0), 0))+(IFERROR(IF(21*INDEX('UZ-normalized'!$D:$D, MATCH($A165, 'UZ-normalized'!$A:$A, 0))-INDEX('UZ-normalized'!$E:$E, MATCH($A165, 'UZ-normalized'!$A:$A, 0))&gt;0, -(21*INDEX('UZ-normalized'!$D:$D, MATCH($A165, 'UZ-normalized'!$A:$A, 0))-INDEX('UZ-normalized'!$E:$E, MATCH($A165, 'UZ-normalized'!$A:$A, 0))), 0), 0)))</f>
        <v>-335</v>
      </c>
      <c r="AJ165" s="6">
        <f>MIN(0, N165+(IFERROR(IF(22*INDEX('UA-normalized'!$D:$D, MATCH($A165, 'UA-normalized'!$A:$A, 0))-INDEX('UA-normalized'!$E:$E, MATCH($A165, 'UA-normalized'!$A:$A, 0))&gt;0, -(22*INDEX('UA-normalized'!$D:$D, MATCH($A165, 'UA-normalized'!$A:$A, 0))-INDEX('UA-normalized'!$E:$E, MATCH($A165, 'UA-normalized'!$A:$A, 0))), 0), 0))+(IFERROR(IF(22*INDEX('KZ-normalized'!$D:$D, MATCH($A165, 'KZ-normalized'!$A:$A, 0))-INDEX('KZ-normalized'!$E:$E, MATCH($A165, 'KZ-normalized'!$A:$A, 0))&gt;0, -(22*INDEX('KZ-normalized'!$D:$D, MATCH($A165, 'KZ-normalized'!$A:$A, 0))-INDEX('KZ-normalized'!$E:$E, MATCH($A165, 'KZ-normalized'!$A:$A, 0))), 0), 0))+(IFERROR(IF(22*INDEX('UZ-normalized'!$D:$D, MATCH($A165, 'UZ-normalized'!$A:$A, 0))-INDEX('UZ-normalized'!$E:$E, MATCH($A165, 'UZ-normalized'!$A:$A, 0))&gt;0, -(22*INDEX('UZ-normalized'!$D:$D, MATCH($A165, 'UZ-normalized'!$A:$A, 0))-INDEX('UZ-normalized'!$E:$E, MATCH($A165, 'UZ-normalized'!$A:$A, 0))), 0), 0)))</f>
        <v>-355.5</v>
      </c>
      <c r="AK165" s="6">
        <f>MIN(0, N165+(IFERROR(IF(23*INDEX('UA-normalized'!$D:$D, MATCH($A165, 'UA-normalized'!$A:$A, 0))-INDEX('UA-normalized'!$E:$E, MATCH($A165, 'UA-normalized'!$A:$A, 0))&gt;0, -(23*INDEX('UA-normalized'!$D:$D, MATCH($A165, 'UA-normalized'!$A:$A, 0))-INDEX('UA-normalized'!$E:$E, MATCH($A165, 'UA-normalized'!$A:$A, 0))), 0), 0))+(IFERROR(IF(23*INDEX('KZ-normalized'!$D:$D, MATCH($A165, 'KZ-normalized'!$A:$A, 0))-INDEX('KZ-normalized'!$E:$E, MATCH($A165, 'KZ-normalized'!$A:$A, 0))&gt;0, -(23*INDEX('KZ-normalized'!$D:$D, MATCH($A165, 'KZ-normalized'!$A:$A, 0))-INDEX('KZ-normalized'!$E:$E, MATCH($A165, 'KZ-normalized'!$A:$A, 0))), 0), 0))+(IFERROR(IF(23*INDEX('UZ-normalized'!$D:$D, MATCH($A165, 'UZ-normalized'!$A:$A, 0))-INDEX('UZ-normalized'!$E:$E, MATCH($A165, 'UZ-normalized'!$A:$A, 0))&gt;0, -(23*INDEX('UZ-normalized'!$D:$D, MATCH($A165, 'UZ-normalized'!$A:$A, 0))-INDEX('UZ-normalized'!$E:$E, MATCH($A165, 'UZ-normalized'!$A:$A, 0))), 0), 0)))</f>
        <v>-376</v>
      </c>
      <c r="AL165" s="6">
        <f>MIN(0, N165+(IFERROR(IF(24*INDEX('UA-normalized'!$D:$D, MATCH($A165, 'UA-normalized'!$A:$A, 0))-INDEX('UA-normalized'!$E:$E, MATCH($A165, 'UA-normalized'!$A:$A, 0))&gt;0, -(24*INDEX('UA-normalized'!$D:$D, MATCH($A165, 'UA-normalized'!$A:$A, 0))-INDEX('UA-normalized'!$E:$E, MATCH($A165, 'UA-normalized'!$A:$A, 0))), 0), 0))+(IFERROR(IF(24*INDEX('KZ-normalized'!$D:$D, MATCH($A165, 'KZ-normalized'!$A:$A, 0))-INDEX('KZ-normalized'!$E:$E, MATCH($A165, 'KZ-normalized'!$A:$A, 0))&gt;0, -(24*INDEX('KZ-normalized'!$D:$D, MATCH($A165, 'KZ-normalized'!$A:$A, 0))-INDEX('KZ-normalized'!$E:$E, MATCH($A165, 'KZ-normalized'!$A:$A, 0))), 0), 0))+(IFERROR(IF(24*INDEX('UZ-normalized'!$D:$D, MATCH($A165, 'UZ-normalized'!$A:$A, 0))-INDEX('UZ-normalized'!$E:$E, MATCH($A165, 'UZ-normalized'!$A:$A, 0))&gt;0, -(24*INDEX('UZ-normalized'!$D:$D, MATCH($A165, 'UZ-normalized'!$A:$A, 0))-INDEX('UZ-normalized'!$E:$E, MATCH($A165, 'UZ-normalized'!$A:$A, 0))), 0), 0)))</f>
        <v>-396.5</v>
      </c>
      <c r="AM165" s="6">
        <f>MIN(0, N165+(IFERROR(IF(25*INDEX('UA-normalized'!$D:$D, MATCH($A165, 'UA-normalized'!$A:$A, 0))-INDEX('UA-normalized'!$E:$E, MATCH($A165, 'UA-normalized'!$A:$A, 0))&gt;0, -(25*INDEX('UA-normalized'!$D:$D, MATCH($A165, 'UA-normalized'!$A:$A, 0))-INDEX('UA-normalized'!$E:$E, MATCH($A165, 'UA-normalized'!$A:$A, 0))), 0), 0))+(IFERROR(IF(25*INDEX('KZ-normalized'!$D:$D, MATCH($A165, 'KZ-normalized'!$A:$A, 0))-INDEX('KZ-normalized'!$E:$E, MATCH($A165, 'KZ-normalized'!$A:$A, 0))&gt;0, -(25*INDEX('KZ-normalized'!$D:$D, MATCH($A165, 'KZ-normalized'!$A:$A, 0))-INDEX('KZ-normalized'!$E:$E, MATCH($A165, 'KZ-normalized'!$A:$A, 0))), 0), 0))+(IFERROR(IF(25*INDEX('UZ-normalized'!$D:$D, MATCH($A165, 'UZ-normalized'!$A:$A, 0))-INDEX('UZ-normalized'!$E:$E, MATCH($A165, 'UZ-normalized'!$A:$A, 0))&gt;0, -(25*INDEX('UZ-normalized'!$D:$D, MATCH($A165, 'UZ-normalized'!$A:$A, 0))-INDEX('UZ-normalized'!$E:$E, MATCH($A165, 'UZ-normalized'!$A:$A, 0))), 0), 0)))</f>
        <v>-417</v>
      </c>
      <c r="AN165" s="6">
        <f>MIN(0, N165+(IFERROR(IF(26*INDEX('UA-normalized'!$D:$D, MATCH($A165, 'UA-normalized'!$A:$A, 0))-INDEX('UA-normalized'!$E:$E, MATCH($A165, 'UA-normalized'!$A:$A, 0))&gt;0, -(26*INDEX('UA-normalized'!$D:$D, MATCH($A165, 'UA-normalized'!$A:$A, 0))-INDEX('UA-normalized'!$E:$E, MATCH($A165, 'UA-normalized'!$A:$A, 0))), 0), 0))+(IFERROR(IF(26*INDEX('KZ-normalized'!$D:$D, MATCH($A165, 'KZ-normalized'!$A:$A, 0))-INDEX('KZ-normalized'!$E:$E, MATCH($A165, 'KZ-normalized'!$A:$A, 0))&gt;0, -(26*INDEX('KZ-normalized'!$D:$D, MATCH($A165, 'KZ-normalized'!$A:$A, 0))-INDEX('KZ-normalized'!$E:$E, MATCH($A165, 'KZ-normalized'!$A:$A, 0))), 0), 0))+(IFERROR(IF(26*INDEX('UZ-normalized'!$D:$D, MATCH($A165, 'UZ-normalized'!$A:$A, 0))-INDEX('UZ-normalized'!$E:$E, MATCH($A165, 'UZ-normalized'!$A:$A, 0))&gt;0, -(26*INDEX('UZ-normalized'!$D:$D, MATCH($A165, 'UZ-normalized'!$A:$A, 0))-INDEX('UZ-normalized'!$E:$E, MATCH($A165, 'UZ-normalized'!$A:$A, 0))), 0), 0)))</f>
        <v>-437.5</v>
      </c>
      <c r="AO165" s="6">
        <f>MIN(0, N165+(IFERROR(IF(27*INDEX('UA-normalized'!$D:$D, MATCH($A165, 'UA-normalized'!$A:$A, 0))-INDEX('UA-normalized'!$E:$E, MATCH($A165, 'UA-normalized'!$A:$A, 0))&gt;0, -(27*INDEX('UA-normalized'!$D:$D, MATCH($A165, 'UA-normalized'!$A:$A, 0))-INDEX('UA-normalized'!$E:$E, MATCH($A165, 'UA-normalized'!$A:$A, 0))), 0), 0))+(IFERROR(IF(27*INDEX('KZ-normalized'!$D:$D, MATCH($A165, 'KZ-normalized'!$A:$A, 0))-INDEX('KZ-normalized'!$E:$E, MATCH($A165, 'KZ-normalized'!$A:$A, 0))&gt;0, -(27*INDEX('KZ-normalized'!$D:$D, MATCH($A165, 'KZ-normalized'!$A:$A, 0))-INDEX('KZ-normalized'!$E:$E, MATCH($A165, 'KZ-normalized'!$A:$A, 0))), 0), 0))+(IFERROR(IF(27*INDEX('UZ-normalized'!$D:$D, MATCH($A165, 'UZ-normalized'!$A:$A, 0))-INDEX('UZ-normalized'!$E:$E, MATCH($A165, 'UZ-normalized'!$A:$A, 0))&gt;0, -(27*INDEX('UZ-normalized'!$D:$D, MATCH($A165, 'UZ-normalized'!$A:$A, 0))-INDEX('UZ-normalized'!$E:$E, MATCH($A165, 'UZ-normalized'!$A:$A, 0))), 0), 0)))</f>
        <v>-458</v>
      </c>
      <c r="AP165" s="6">
        <f>MIN(0, N165+(IFERROR(IF(28*INDEX('UA-normalized'!$D:$D, MATCH($A165, 'UA-normalized'!$A:$A, 0))-INDEX('UA-normalized'!$E:$E, MATCH($A165, 'UA-normalized'!$A:$A, 0))&gt;0, -(28*INDEX('UA-normalized'!$D:$D, MATCH($A165, 'UA-normalized'!$A:$A, 0))-INDEX('UA-normalized'!$E:$E, MATCH($A165, 'UA-normalized'!$A:$A, 0))), 0), 0))+(IFERROR(IF(28*INDEX('KZ-normalized'!$D:$D, MATCH($A165, 'KZ-normalized'!$A:$A, 0))-INDEX('KZ-normalized'!$E:$E, MATCH($A165, 'KZ-normalized'!$A:$A, 0))&gt;0, -(28*INDEX('KZ-normalized'!$D:$D, MATCH($A165, 'KZ-normalized'!$A:$A, 0))-INDEX('KZ-normalized'!$E:$E, MATCH($A165, 'KZ-normalized'!$A:$A, 0))), 0), 0))+(IFERROR(IF(28*INDEX('UZ-normalized'!$D:$D, MATCH($A165, 'UZ-normalized'!$A:$A, 0))-INDEX('UZ-normalized'!$E:$E, MATCH($A165, 'UZ-normalized'!$A:$A, 0))&gt;0, -(28*INDEX('UZ-normalized'!$D:$D, MATCH($A165, 'UZ-normalized'!$A:$A, 0))-INDEX('UZ-normalized'!$E:$E, MATCH($A165, 'UZ-normalized'!$A:$A, 0))), 0), 0)))</f>
        <v>-478.5</v>
      </c>
      <c r="AQ165" s="6">
        <f>MIN(0, N165+(IFERROR(IF(29*INDEX('UA-normalized'!$D:$D, MATCH($A165, 'UA-normalized'!$A:$A, 0))-INDEX('UA-normalized'!$E:$E, MATCH($A165, 'UA-normalized'!$A:$A, 0))&gt;0, -(29*INDEX('UA-normalized'!$D:$D, MATCH($A165, 'UA-normalized'!$A:$A, 0))-INDEX('UA-normalized'!$E:$E, MATCH($A165, 'UA-normalized'!$A:$A, 0))), 0), 0))+(IFERROR(IF(29*INDEX('KZ-normalized'!$D:$D, MATCH($A165, 'KZ-normalized'!$A:$A, 0))-INDEX('KZ-normalized'!$E:$E, MATCH($A165, 'KZ-normalized'!$A:$A, 0))&gt;0, -(29*INDEX('KZ-normalized'!$D:$D, MATCH($A165, 'KZ-normalized'!$A:$A, 0))-INDEX('KZ-normalized'!$E:$E, MATCH($A165, 'KZ-normalized'!$A:$A, 0))), 0), 0))+(IFERROR(IF(29*INDEX('UZ-normalized'!$D:$D, MATCH($A165, 'UZ-normalized'!$A:$A, 0))-INDEX('UZ-normalized'!$E:$E, MATCH($A165, 'UZ-normalized'!$A:$A, 0))&gt;0, -(29*INDEX('UZ-normalized'!$D:$D, MATCH($A165, 'UZ-normalized'!$A:$A, 0))-INDEX('UZ-normalized'!$E:$E, MATCH($A165, 'UZ-normalized'!$A:$A, 0))), 0), 0)))</f>
        <v>-499</v>
      </c>
      <c r="AR165" s="6">
        <f>MIN(0, N165+(IFERROR(IF(30*INDEX('UA-normalized'!$D:$D, MATCH($A165, 'UA-normalized'!$A:$A, 0))-INDEX('UA-normalized'!$E:$E, MATCH($A165, 'UA-normalized'!$A:$A, 0))&gt;0, -(30*INDEX('UA-normalized'!$D:$D, MATCH($A165, 'UA-normalized'!$A:$A, 0))-INDEX('UA-normalized'!$E:$E, MATCH($A165, 'UA-normalized'!$A:$A, 0))), 0), 0))+(IFERROR(IF(30*INDEX('KZ-normalized'!$D:$D, MATCH($A165, 'KZ-normalized'!$A:$A, 0))-INDEX('KZ-normalized'!$E:$E, MATCH($A165, 'KZ-normalized'!$A:$A, 0))&gt;0, -(30*INDEX('KZ-normalized'!$D:$D, MATCH($A165, 'KZ-normalized'!$A:$A, 0))-INDEX('KZ-normalized'!$E:$E, MATCH($A165, 'KZ-normalized'!$A:$A, 0))), 0), 0))+(IFERROR(IF(30*INDEX('UZ-normalized'!$D:$D, MATCH($A165, 'UZ-normalized'!$A:$A, 0))-INDEX('UZ-normalized'!$E:$E, MATCH($A165, 'UZ-normalized'!$A:$A, 0))&gt;0, -(30*INDEX('UZ-normalized'!$D:$D, MATCH($A165, 'UZ-normalized'!$A:$A, 0))-INDEX('UZ-normalized'!$E:$E, MATCH($A165, 'UZ-normalized'!$A:$A, 0))), 0), 0)))</f>
        <v>-519.5</v>
      </c>
    </row>
    <row r="166" spans="1:44" x14ac:dyDescent="0.25">
      <c r="A166" s="8" t="s">
        <v>398</v>
      </c>
      <c r="B166" s="8" t="s">
        <v>393</v>
      </c>
      <c r="C166" s="8" t="s">
        <v>394</v>
      </c>
      <c r="D166" s="8" t="s">
        <v>399</v>
      </c>
      <c r="N166">
        <f t="shared" si="2"/>
        <v>0</v>
      </c>
      <c r="O166" s="6">
        <f>MIN(0, N166+(IFERROR(IF(1*INDEX('UA-normalized'!$D:$D, MATCH($A166, 'UA-normalized'!$A:$A, 0))-INDEX('UA-normalized'!$E:$E, MATCH($A166, 'UA-normalized'!$A:$A, 0))&gt;0, -(1*INDEX('UA-normalized'!$D:$D, MATCH($A166, 'UA-normalized'!$A:$A, 0))-INDEX('UA-normalized'!$E:$E, MATCH($A166, 'UA-normalized'!$A:$A, 0))), 0), 0))+(IFERROR(IF(1*INDEX('KZ-normalized'!$D:$D, MATCH($A166, 'KZ-normalized'!$A:$A, 0))-INDEX('KZ-normalized'!$E:$E, MATCH($A166, 'KZ-normalized'!$A:$A, 0))&gt;0, -(1*INDEX('KZ-normalized'!$D:$D, MATCH($A166, 'KZ-normalized'!$A:$A, 0))-INDEX('KZ-normalized'!$E:$E, MATCH($A166, 'KZ-normalized'!$A:$A, 0))), 0), 0))+(IFERROR(IF(1*INDEX('UZ-normalized'!$D:$D, MATCH($A166, 'UZ-normalized'!$A:$A, 0))-INDEX('UZ-normalized'!$E:$E, MATCH($A166, 'UZ-normalized'!$A:$A, 0))&gt;0, -(1*INDEX('UZ-normalized'!$D:$D, MATCH($A166, 'UZ-normalized'!$A:$A, 0))-INDEX('UZ-normalized'!$E:$E, MATCH($A166, 'UZ-normalized'!$A:$A, 0))), 0), 0)))</f>
        <v>0</v>
      </c>
      <c r="P166" s="6">
        <f>MIN(0, N166+(IFERROR(IF(2*INDEX('UA-normalized'!$D:$D, MATCH($A166, 'UA-normalized'!$A:$A, 0))-INDEX('UA-normalized'!$E:$E, MATCH($A166, 'UA-normalized'!$A:$A, 0))&gt;0, -(2*INDEX('UA-normalized'!$D:$D, MATCH($A166, 'UA-normalized'!$A:$A, 0))-INDEX('UA-normalized'!$E:$E, MATCH($A166, 'UA-normalized'!$A:$A, 0))), 0), 0))+(IFERROR(IF(2*INDEX('KZ-normalized'!$D:$D, MATCH($A166, 'KZ-normalized'!$A:$A, 0))-INDEX('KZ-normalized'!$E:$E, MATCH($A166, 'KZ-normalized'!$A:$A, 0))&gt;0, -(2*INDEX('KZ-normalized'!$D:$D, MATCH($A166, 'KZ-normalized'!$A:$A, 0))-INDEX('KZ-normalized'!$E:$E, MATCH($A166, 'KZ-normalized'!$A:$A, 0))), 0), 0))+(IFERROR(IF(2*INDEX('UZ-normalized'!$D:$D, MATCH($A166, 'UZ-normalized'!$A:$A, 0))-INDEX('UZ-normalized'!$E:$E, MATCH($A166, 'UZ-normalized'!$A:$A, 0))&gt;0, -(2*INDEX('UZ-normalized'!$D:$D, MATCH($A166, 'UZ-normalized'!$A:$A, 0))-INDEX('UZ-normalized'!$E:$E, MATCH($A166, 'UZ-normalized'!$A:$A, 0))), 0), 0)))</f>
        <v>0</v>
      </c>
      <c r="Q166" s="6">
        <f>MIN(0, N166+(IFERROR(IF(3*INDEX('UA-normalized'!$D:$D, MATCH($A166, 'UA-normalized'!$A:$A, 0))-INDEX('UA-normalized'!$E:$E, MATCH($A166, 'UA-normalized'!$A:$A, 0))&gt;0, -(3*INDEX('UA-normalized'!$D:$D, MATCH($A166, 'UA-normalized'!$A:$A, 0))-INDEX('UA-normalized'!$E:$E, MATCH($A166, 'UA-normalized'!$A:$A, 0))), 0), 0))+(IFERROR(IF(3*INDEX('KZ-normalized'!$D:$D, MATCH($A166, 'KZ-normalized'!$A:$A, 0))-INDEX('KZ-normalized'!$E:$E, MATCH($A166, 'KZ-normalized'!$A:$A, 0))&gt;0, -(3*INDEX('KZ-normalized'!$D:$D, MATCH($A166, 'KZ-normalized'!$A:$A, 0))-INDEX('KZ-normalized'!$E:$E, MATCH($A166, 'KZ-normalized'!$A:$A, 0))), 0), 0))+(IFERROR(IF(3*INDEX('UZ-normalized'!$D:$D, MATCH($A166, 'UZ-normalized'!$A:$A, 0))-INDEX('UZ-normalized'!$E:$E, MATCH($A166, 'UZ-normalized'!$A:$A, 0))&gt;0, -(3*INDEX('UZ-normalized'!$D:$D, MATCH($A166, 'UZ-normalized'!$A:$A, 0))-INDEX('UZ-normalized'!$E:$E, MATCH($A166, 'UZ-normalized'!$A:$A, 0))), 0), 0)))</f>
        <v>0</v>
      </c>
      <c r="R166" s="6">
        <f>MIN(0, N166+(IFERROR(IF(4*INDEX('UA-normalized'!$D:$D, MATCH($A166, 'UA-normalized'!$A:$A, 0))-INDEX('UA-normalized'!$E:$E, MATCH($A166, 'UA-normalized'!$A:$A, 0))&gt;0, -(4*INDEX('UA-normalized'!$D:$D, MATCH($A166, 'UA-normalized'!$A:$A, 0))-INDEX('UA-normalized'!$E:$E, MATCH($A166, 'UA-normalized'!$A:$A, 0))), 0), 0))+(IFERROR(IF(4*INDEX('KZ-normalized'!$D:$D, MATCH($A166, 'KZ-normalized'!$A:$A, 0))-INDEX('KZ-normalized'!$E:$E, MATCH($A166, 'KZ-normalized'!$A:$A, 0))&gt;0, -(4*INDEX('KZ-normalized'!$D:$D, MATCH($A166, 'KZ-normalized'!$A:$A, 0))-INDEX('KZ-normalized'!$E:$E, MATCH($A166, 'KZ-normalized'!$A:$A, 0))), 0), 0))+(IFERROR(IF(4*INDEX('UZ-normalized'!$D:$D, MATCH($A166, 'UZ-normalized'!$A:$A, 0))-INDEX('UZ-normalized'!$E:$E, MATCH($A166, 'UZ-normalized'!$A:$A, 0))&gt;0, -(4*INDEX('UZ-normalized'!$D:$D, MATCH($A166, 'UZ-normalized'!$A:$A, 0))-INDEX('UZ-normalized'!$E:$E, MATCH($A166, 'UZ-normalized'!$A:$A, 0))), 0), 0)))</f>
        <v>0</v>
      </c>
      <c r="S166" s="6">
        <f>MIN(0, N166+(IFERROR(IF(5*INDEX('UA-normalized'!$D:$D, MATCH($A166, 'UA-normalized'!$A:$A, 0))-INDEX('UA-normalized'!$E:$E, MATCH($A166, 'UA-normalized'!$A:$A, 0))&gt;0, -(5*INDEX('UA-normalized'!$D:$D, MATCH($A166, 'UA-normalized'!$A:$A, 0))-INDEX('UA-normalized'!$E:$E, MATCH($A166, 'UA-normalized'!$A:$A, 0))), 0), 0))+(IFERROR(IF(5*INDEX('KZ-normalized'!$D:$D, MATCH($A166, 'KZ-normalized'!$A:$A, 0))-INDEX('KZ-normalized'!$E:$E, MATCH($A166, 'KZ-normalized'!$A:$A, 0))&gt;0, -(5*INDEX('KZ-normalized'!$D:$D, MATCH($A166, 'KZ-normalized'!$A:$A, 0))-INDEX('KZ-normalized'!$E:$E, MATCH($A166, 'KZ-normalized'!$A:$A, 0))), 0), 0))+(IFERROR(IF(5*INDEX('UZ-normalized'!$D:$D, MATCH($A166, 'UZ-normalized'!$A:$A, 0))-INDEX('UZ-normalized'!$E:$E, MATCH($A166, 'UZ-normalized'!$A:$A, 0))&gt;0, -(5*INDEX('UZ-normalized'!$D:$D, MATCH($A166, 'UZ-normalized'!$A:$A, 0))-INDEX('UZ-normalized'!$E:$E, MATCH($A166, 'UZ-normalized'!$A:$A, 0))), 0), 0)))</f>
        <v>-9</v>
      </c>
      <c r="T166" s="6">
        <f>MIN(0, N166+(IFERROR(IF(6*INDEX('UA-normalized'!$D:$D, MATCH($A166, 'UA-normalized'!$A:$A, 0))-INDEX('UA-normalized'!$E:$E, MATCH($A166, 'UA-normalized'!$A:$A, 0))&gt;0, -(6*INDEX('UA-normalized'!$D:$D, MATCH($A166, 'UA-normalized'!$A:$A, 0))-INDEX('UA-normalized'!$E:$E, MATCH($A166, 'UA-normalized'!$A:$A, 0))), 0), 0))+(IFERROR(IF(6*INDEX('KZ-normalized'!$D:$D, MATCH($A166, 'KZ-normalized'!$A:$A, 0))-INDEX('KZ-normalized'!$E:$E, MATCH($A166, 'KZ-normalized'!$A:$A, 0))&gt;0, -(6*INDEX('KZ-normalized'!$D:$D, MATCH($A166, 'KZ-normalized'!$A:$A, 0))-INDEX('KZ-normalized'!$E:$E, MATCH($A166, 'KZ-normalized'!$A:$A, 0))), 0), 0))+(IFERROR(IF(6*INDEX('UZ-normalized'!$D:$D, MATCH($A166, 'UZ-normalized'!$A:$A, 0))-INDEX('UZ-normalized'!$E:$E, MATCH($A166, 'UZ-normalized'!$A:$A, 0))&gt;0, -(6*INDEX('UZ-normalized'!$D:$D, MATCH($A166, 'UZ-normalized'!$A:$A, 0))-INDEX('UZ-normalized'!$E:$E, MATCH($A166, 'UZ-normalized'!$A:$A, 0))), 0), 0)))</f>
        <v>-51</v>
      </c>
      <c r="U166" s="6">
        <f>MIN(0, N166+(IFERROR(IF(7*INDEX('UA-normalized'!$D:$D, MATCH($A166, 'UA-normalized'!$A:$A, 0))-INDEX('UA-normalized'!$E:$E, MATCH($A166, 'UA-normalized'!$A:$A, 0))&gt;0, -(7*INDEX('UA-normalized'!$D:$D, MATCH($A166, 'UA-normalized'!$A:$A, 0))-INDEX('UA-normalized'!$E:$E, MATCH($A166, 'UA-normalized'!$A:$A, 0))), 0), 0))+(IFERROR(IF(7*INDEX('KZ-normalized'!$D:$D, MATCH($A166, 'KZ-normalized'!$A:$A, 0))-INDEX('KZ-normalized'!$E:$E, MATCH($A166, 'KZ-normalized'!$A:$A, 0))&gt;0, -(7*INDEX('KZ-normalized'!$D:$D, MATCH($A166, 'KZ-normalized'!$A:$A, 0))-INDEX('KZ-normalized'!$E:$E, MATCH($A166, 'KZ-normalized'!$A:$A, 0))), 0), 0))+(IFERROR(IF(7*INDEX('UZ-normalized'!$D:$D, MATCH($A166, 'UZ-normalized'!$A:$A, 0))-INDEX('UZ-normalized'!$E:$E, MATCH($A166, 'UZ-normalized'!$A:$A, 0))&gt;0, -(7*INDEX('UZ-normalized'!$D:$D, MATCH($A166, 'UZ-normalized'!$A:$A, 0))-INDEX('UZ-normalized'!$E:$E, MATCH($A166, 'UZ-normalized'!$A:$A, 0))), 0), 0)))</f>
        <v>-93</v>
      </c>
      <c r="V166" s="6">
        <f>MIN(0, N166+(IFERROR(IF(8*INDEX('UA-normalized'!$D:$D, MATCH($A166, 'UA-normalized'!$A:$A, 0))-INDEX('UA-normalized'!$E:$E, MATCH($A166, 'UA-normalized'!$A:$A, 0))&gt;0, -(8*INDEX('UA-normalized'!$D:$D, MATCH($A166, 'UA-normalized'!$A:$A, 0))-INDEX('UA-normalized'!$E:$E, MATCH($A166, 'UA-normalized'!$A:$A, 0))), 0), 0))+(IFERROR(IF(8*INDEX('KZ-normalized'!$D:$D, MATCH($A166, 'KZ-normalized'!$A:$A, 0))-INDEX('KZ-normalized'!$E:$E, MATCH($A166, 'KZ-normalized'!$A:$A, 0))&gt;0, -(8*INDEX('KZ-normalized'!$D:$D, MATCH($A166, 'KZ-normalized'!$A:$A, 0))-INDEX('KZ-normalized'!$E:$E, MATCH($A166, 'KZ-normalized'!$A:$A, 0))), 0), 0))+(IFERROR(IF(8*INDEX('UZ-normalized'!$D:$D, MATCH($A166, 'UZ-normalized'!$A:$A, 0))-INDEX('UZ-normalized'!$E:$E, MATCH($A166, 'UZ-normalized'!$A:$A, 0))&gt;0, -(8*INDEX('UZ-normalized'!$D:$D, MATCH($A166, 'UZ-normalized'!$A:$A, 0))-INDEX('UZ-normalized'!$E:$E, MATCH($A166, 'UZ-normalized'!$A:$A, 0))), 0), 0)))</f>
        <v>-135</v>
      </c>
      <c r="W166" s="6">
        <f>MIN(0, N166+(IFERROR(IF(9*INDEX('UA-normalized'!$D:$D, MATCH($A166, 'UA-normalized'!$A:$A, 0))-INDEX('UA-normalized'!$E:$E, MATCH($A166, 'UA-normalized'!$A:$A, 0))&gt;0, -(9*INDEX('UA-normalized'!$D:$D, MATCH($A166, 'UA-normalized'!$A:$A, 0))-INDEX('UA-normalized'!$E:$E, MATCH($A166, 'UA-normalized'!$A:$A, 0))), 0), 0))+(IFERROR(IF(9*INDEX('KZ-normalized'!$D:$D, MATCH($A166, 'KZ-normalized'!$A:$A, 0))-INDEX('KZ-normalized'!$E:$E, MATCH($A166, 'KZ-normalized'!$A:$A, 0))&gt;0, -(9*INDEX('KZ-normalized'!$D:$D, MATCH($A166, 'KZ-normalized'!$A:$A, 0))-INDEX('KZ-normalized'!$E:$E, MATCH($A166, 'KZ-normalized'!$A:$A, 0))), 0), 0))+(IFERROR(IF(9*INDEX('UZ-normalized'!$D:$D, MATCH($A166, 'UZ-normalized'!$A:$A, 0))-INDEX('UZ-normalized'!$E:$E, MATCH($A166, 'UZ-normalized'!$A:$A, 0))&gt;0, -(9*INDEX('UZ-normalized'!$D:$D, MATCH($A166, 'UZ-normalized'!$A:$A, 0))-INDEX('UZ-normalized'!$E:$E, MATCH($A166, 'UZ-normalized'!$A:$A, 0))), 0), 0)))</f>
        <v>-177</v>
      </c>
      <c r="X166" s="6">
        <f>MIN(0, N166+(IFERROR(IF(10*INDEX('UA-normalized'!$D:$D, MATCH($A166, 'UA-normalized'!$A:$A, 0))-INDEX('UA-normalized'!$E:$E, MATCH($A166, 'UA-normalized'!$A:$A, 0))&gt;0, -(10*INDEX('UA-normalized'!$D:$D, MATCH($A166, 'UA-normalized'!$A:$A, 0))-INDEX('UA-normalized'!$E:$E, MATCH($A166, 'UA-normalized'!$A:$A, 0))), 0), 0))+(IFERROR(IF(10*INDEX('KZ-normalized'!$D:$D, MATCH($A166, 'KZ-normalized'!$A:$A, 0))-INDEX('KZ-normalized'!$E:$E, MATCH($A166, 'KZ-normalized'!$A:$A, 0))&gt;0, -(10*INDEX('KZ-normalized'!$D:$D, MATCH($A166, 'KZ-normalized'!$A:$A, 0))-INDEX('KZ-normalized'!$E:$E, MATCH($A166, 'KZ-normalized'!$A:$A, 0))), 0), 0))+(IFERROR(IF(10*INDEX('UZ-normalized'!$D:$D, MATCH($A166, 'UZ-normalized'!$A:$A, 0))-INDEX('UZ-normalized'!$E:$E, MATCH($A166, 'UZ-normalized'!$A:$A, 0))&gt;0, -(10*INDEX('UZ-normalized'!$D:$D, MATCH($A166, 'UZ-normalized'!$A:$A, 0))-INDEX('UZ-normalized'!$E:$E, MATCH($A166, 'UZ-normalized'!$A:$A, 0))), 0), 0)))</f>
        <v>-219</v>
      </c>
      <c r="Y166" s="6">
        <f>MIN(0, N166+(IFERROR(IF(11*INDEX('UA-normalized'!$D:$D, MATCH($A166, 'UA-normalized'!$A:$A, 0))-INDEX('UA-normalized'!$E:$E, MATCH($A166, 'UA-normalized'!$A:$A, 0))&gt;0, -(11*INDEX('UA-normalized'!$D:$D, MATCH($A166, 'UA-normalized'!$A:$A, 0))-INDEX('UA-normalized'!$E:$E, MATCH($A166, 'UA-normalized'!$A:$A, 0))), 0), 0))+(IFERROR(IF(11*INDEX('KZ-normalized'!$D:$D, MATCH($A166, 'KZ-normalized'!$A:$A, 0))-INDEX('KZ-normalized'!$E:$E, MATCH($A166, 'KZ-normalized'!$A:$A, 0))&gt;0, -(11*INDEX('KZ-normalized'!$D:$D, MATCH($A166, 'KZ-normalized'!$A:$A, 0))-INDEX('KZ-normalized'!$E:$E, MATCH($A166, 'KZ-normalized'!$A:$A, 0))), 0), 0))+(IFERROR(IF(11*INDEX('UZ-normalized'!$D:$D, MATCH($A166, 'UZ-normalized'!$A:$A, 0))-INDEX('UZ-normalized'!$E:$E, MATCH($A166, 'UZ-normalized'!$A:$A, 0))&gt;0, -(11*INDEX('UZ-normalized'!$D:$D, MATCH($A166, 'UZ-normalized'!$A:$A, 0))-INDEX('UZ-normalized'!$E:$E, MATCH($A166, 'UZ-normalized'!$A:$A, 0))), 0), 0)))</f>
        <v>-261</v>
      </c>
      <c r="Z166" s="6">
        <f>MIN(0, N166+(IFERROR(IF(12*INDEX('UA-normalized'!$D:$D, MATCH($A166, 'UA-normalized'!$A:$A, 0))-INDEX('UA-normalized'!$E:$E, MATCH($A166, 'UA-normalized'!$A:$A, 0))&gt;0, -(12*INDEX('UA-normalized'!$D:$D, MATCH($A166, 'UA-normalized'!$A:$A, 0))-INDEX('UA-normalized'!$E:$E, MATCH($A166, 'UA-normalized'!$A:$A, 0))), 0), 0))+(IFERROR(IF(12*INDEX('KZ-normalized'!$D:$D, MATCH($A166, 'KZ-normalized'!$A:$A, 0))-INDEX('KZ-normalized'!$E:$E, MATCH($A166, 'KZ-normalized'!$A:$A, 0))&gt;0, -(12*INDEX('KZ-normalized'!$D:$D, MATCH($A166, 'KZ-normalized'!$A:$A, 0))-INDEX('KZ-normalized'!$E:$E, MATCH($A166, 'KZ-normalized'!$A:$A, 0))), 0), 0))+(IFERROR(IF(12*INDEX('UZ-normalized'!$D:$D, MATCH($A166, 'UZ-normalized'!$A:$A, 0))-INDEX('UZ-normalized'!$E:$E, MATCH($A166, 'UZ-normalized'!$A:$A, 0))&gt;0, -(12*INDEX('UZ-normalized'!$D:$D, MATCH($A166, 'UZ-normalized'!$A:$A, 0))-INDEX('UZ-normalized'!$E:$E, MATCH($A166, 'UZ-normalized'!$A:$A, 0))), 0), 0)))</f>
        <v>-303</v>
      </c>
      <c r="AA166" s="6">
        <f>MIN(0, N166+(IFERROR(IF(13*INDEX('UA-normalized'!$D:$D, MATCH($A166, 'UA-normalized'!$A:$A, 0))-INDEX('UA-normalized'!$E:$E, MATCH($A166, 'UA-normalized'!$A:$A, 0))&gt;0, -(13*INDEX('UA-normalized'!$D:$D, MATCH($A166, 'UA-normalized'!$A:$A, 0))-INDEX('UA-normalized'!$E:$E, MATCH($A166, 'UA-normalized'!$A:$A, 0))), 0), 0))+(IFERROR(IF(13*INDEX('KZ-normalized'!$D:$D, MATCH($A166, 'KZ-normalized'!$A:$A, 0))-INDEX('KZ-normalized'!$E:$E, MATCH($A166, 'KZ-normalized'!$A:$A, 0))&gt;0, -(13*INDEX('KZ-normalized'!$D:$D, MATCH($A166, 'KZ-normalized'!$A:$A, 0))-INDEX('KZ-normalized'!$E:$E, MATCH($A166, 'KZ-normalized'!$A:$A, 0))), 0), 0))+(IFERROR(IF(13*INDEX('UZ-normalized'!$D:$D, MATCH($A166, 'UZ-normalized'!$A:$A, 0))-INDEX('UZ-normalized'!$E:$E, MATCH($A166, 'UZ-normalized'!$A:$A, 0))&gt;0, -(13*INDEX('UZ-normalized'!$D:$D, MATCH($A166, 'UZ-normalized'!$A:$A, 0))-INDEX('UZ-normalized'!$E:$E, MATCH($A166, 'UZ-normalized'!$A:$A, 0))), 0), 0)))</f>
        <v>-345</v>
      </c>
      <c r="AB166" s="6">
        <f>MIN(0, N166+(IFERROR(IF(14*INDEX('UA-normalized'!$D:$D, MATCH($A166, 'UA-normalized'!$A:$A, 0))-INDEX('UA-normalized'!$E:$E, MATCH($A166, 'UA-normalized'!$A:$A, 0))&gt;0, -(14*INDEX('UA-normalized'!$D:$D, MATCH($A166, 'UA-normalized'!$A:$A, 0))-INDEX('UA-normalized'!$E:$E, MATCH($A166, 'UA-normalized'!$A:$A, 0))), 0), 0))+(IFERROR(IF(14*INDEX('KZ-normalized'!$D:$D, MATCH($A166, 'KZ-normalized'!$A:$A, 0))-INDEX('KZ-normalized'!$E:$E, MATCH($A166, 'KZ-normalized'!$A:$A, 0))&gt;0, -(14*INDEX('KZ-normalized'!$D:$D, MATCH($A166, 'KZ-normalized'!$A:$A, 0))-INDEX('KZ-normalized'!$E:$E, MATCH($A166, 'KZ-normalized'!$A:$A, 0))), 0), 0))+(IFERROR(IF(14*INDEX('UZ-normalized'!$D:$D, MATCH($A166, 'UZ-normalized'!$A:$A, 0))-INDEX('UZ-normalized'!$E:$E, MATCH($A166, 'UZ-normalized'!$A:$A, 0))&gt;0, -(14*INDEX('UZ-normalized'!$D:$D, MATCH($A166, 'UZ-normalized'!$A:$A, 0))-INDEX('UZ-normalized'!$E:$E, MATCH($A166, 'UZ-normalized'!$A:$A, 0))), 0), 0)))</f>
        <v>-387</v>
      </c>
      <c r="AC166" s="6">
        <f>MIN(0, N166+(IFERROR(IF(15*INDEX('UA-normalized'!$D:$D, MATCH($A166, 'UA-normalized'!$A:$A, 0))-INDEX('UA-normalized'!$E:$E, MATCH($A166, 'UA-normalized'!$A:$A, 0))&gt;0, -(15*INDEX('UA-normalized'!$D:$D, MATCH($A166, 'UA-normalized'!$A:$A, 0))-INDEX('UA-normalized'!$E:$E, MATCH($A166, 'UA-normalized'!$A:$A, 0))), 0), 0))+(IFERROR(IF(15*INDEX('KZ-normalized'!$D:$D, MATCH($A166, 'KZ-normalized'!$A:$A, 0))-INDEX('KZ-normalized'!$E:$E, MATCH($A166, 'KZ-normalized'!$A:$A, 0))&gt;0, -(15*INDEX('KZ-normalized'!$D:$D, MATCH($A166, 'KZ-normalized'!$A:$A, 0))-INDEX('KZ-normalized'!$E:$E, MATCH($A166, 'KZ-normalized'!$A:$A, 0))), 0), 0))+(IFERROR(IF(15*INDEX('UZ-normalized'!$D:$D, MATCH($A166, 'UZ-normalized'!$A:$A, 0))-INDEX('UZ-normalized'!$E:$E, MATCH($A166, 'UZ-normalized'!$A:$A, 0))&gt;0, -(15*INDEX('UZ-normalized'!$D:$D, MATCH($A166, 'UZ-normalized'!$A:$A, 0))-INDEX('UZ-normalized'!$E:$E, MATCH($A166, 'UZ-normalized'!$A:$A, 0))), 0), 0)))</f>
        <v>-429</v>
      </c>
      <c r="AD166" s="6">
        <f>MIN(0, N166+(IFERROR(IF(16*INDEX('UA-normalized'!$D:$D, MATCH($A166, 'UA-normalized'!$A:$A, 0))-INDEX('UA-normalized'!$E:$E, MATCH($A166, 'UA-normalized'!$A:$A, 0))&gt;0, -(16*INDEX('UA-normalized'!$D:$D, MATCH($A166, 'UA-normalized'!$A:$A, 0))-INDEX('UA-normalized'!$E:$E, MATCH($A166, 'UA-normalized'!$A:$A, 0))), 0), 0))+(IFERROR(IF(16*INDEX('KZ-normalized'!$D:$D, MATCH($A166, 'KZ-normalized'!$A:$A, 0))-INDEX('KZ-normalized'!$E:$E, MATCH($A166, 'KZ-normalized'!$A:$A, 0))&gt;0, -(16*INDEX('KZ-normalized'!$D:$D, MATCH($A166, 'KZ-normalized'!$A:$A, 0))-INDEX('KZ-normalized'!$E:$E, MATCH($A166, 'KZ-normalized'!$A:$A, 0))), 0), 0))+(IFERROR(IF(16*INDEX('UZ-normalized'!$D:$D, MATCH($A166, 'UZ-normalized'!$A:$A, 0))-INDEX('UZ-normalized'!$E:$E, MATCH($A166, 'UZ-normalized'!$A:$A, 0))&gt;0, -(16*INDEX('UZ-normalized'!$D:$D, MATCH($A166, 'UZ-normalized'!$A:$A, 0))-INDEX('UZ-normalized'!$E:$E, MATCH($A166, 'UZ-normalized'!$A:$A, 0))), 0), 0)))</f>
        <v>-471</v>
      </c>
      <c r="AE166" s="6">
        <f>MIN(0, N166+(IFERROR(IF(17*INDEX('UA-normalized'!$D:$D, MATCH($A166, 'UA-normalized'!$A:$A, 0))-INDEX('UA-normalized'!$E:$E, MATCH($A166, 'UA-normalized'!$A:$A, 0))&gt;0, -(17*INDEX('UA-normalized'!$D:$D, MATCH($A166, 'UA-normalized'!$A:$A, 0))-INDEX('UA-normalized'!$E:$E, MATCH($A166, 'UA-normalized'!$A:$A, 0))), 0), 0))+(IFERROR(IF(17*INDEX('KZ-normalized'!$D:$D, MATCH($A166, 'KZ-normalized'!$A:$A, 0))-INDEX('KZ-normalized'!$E:$E, MATCH($A166, 'KZ-normalized'!$A:$A, 0))&gt;0, -(17*INDEX('KZ-normalized'!$D:$D, MATCH($A166, 'KZ-normalized'!$A:$A, 0))-INDEX('KZ-normalized'!$E:$E, MATCH($A166, 'KZ-normalized'!$A:$A, 0))), 0), 0))+(IFERROR(IF(17*INDEX('UZ-normalized'!$D:$D, MATCH($A166, 'UZ-normalized'!$A:$A, 0))-INDEX('UZ-normalized'!$E:$E, MATCH($A166, 'UZ-normalized'!$A:$A, 0))&gt;0, -(17*INDEX('UZ-normalized'!$D:$D, MATCH($A166, 'UZ-normalized'!$A:$A, 0))-INDEX('UZ-normalized'!$E:$E, MATCH($A166, 'UZ-normalized'!$A:$A, 0))), 0), 0)))</f>
        <v>-513</v>
      </c>
      <c r="AF166" s="6">
        <f>MIN(0, N166+(IFERROR(IF(18*INDEX('UA-normalized'!$D:$D, MATCH($A166, 'UA-normalized'!$A:$A, 0))-INDEX('UA-normalized'!$E:$E, MATCH($A166, 'UA-normalized'!$A:$A, 0))&gt;0, -(18*INDEX('UA-normalized'!$D:$D, MATCH($A166, 'UA-normalized'!$A:$A, 0))-INDEX('UA-normalized'!$E:$E, MATCH($A166, 'UA-normalized'!$A:$A, 0))), 0), 0))+(IFERROR(IF(18*INDEX('KZ-normalized'!$D:$D, MATCH($A166, 'KZ-normalized'!$A:$A, 0))-INDEX('KZ-normalized'!$E:$E, MATCH($A166, 'KZ-normalized'!$A:$A, 0))&gt;0, -(18*INDEX('KZ-normalized'!$D:$D, MATCH($A166, 'KZ-normalized'!$A:$A, 0))-INDEX('KZ-normalized'!$E:$E, MATCH($A166, 'KZ-normalized'!$A:$A, 0))), 0), 0))+(IFERROR(IF(18*INDEX('UZ-normalized'!$D:$D, MATCH($A166, 'UZ-normalized'!$A:$A, 0))-INDEX('UZ-normalized'!$E:$E, MATCH($A166, 'UZ-normalized'!$A:$A, 0))&gt;0, -(18*INDEX('UZ-normalized'!$D:$D, MATCH($A166, 'UZ-normalized'!$A:$A, 0))-INDEX('UZ-normalized'!$E:$E, MATCH($A166, 'UZ-normalized'!$A:$A, 0))), 0), 0)))</f>
        <v>-555</v>
      </c>
      <c r="AG166" s="6">
        <f>MIN(0, N166+(IFERROR(IF(19*INDEX('UA-normalized'!$D:$D, MATCH($A166, 'UA-normalized'!$A:$A, 0))-INDEX('UA-normalized'!$E:$E, MATCH($A166, 'UA-normalized'!$A:$A, 0))&gt;0, -(19*INDEX('UA-normalized'!$D:$D, MATCH($A166, 'UA-normalized'!$A:$A, 0))-INDEX('UA-normalized'!$E:$E, MATCH($A166, 'UA-normalized'!$A:$A, 0))), 0), 0))+(IFERROR(IF(19*INDEX('KZ-normalized'!$D:$D, MATCH($A166, 'KZ-normalized'!$A:$A, 0))-INDEX('KZ-normalized'!$E:$E, MATCH($A166, 'KZ-normalized'!$A:$A, 0))&gt;0, -(19*INDEX('KZ-normalized'!$D:$D, MATCH($A166, 'KZ-normalized'!$A:$A, 0))-INDEX('KZ-normalized'!$E:$E, MATCH($A166, 'KZ-normalized'!$A:$A, 0))), 0), 0))+(IFERROR(IF(19*INDEX('UZ-normalized'!$D:$D, MATCH($A166, 'UZ-normalized'!$A:$A, 0))-INDEX('UZ-normalized'!$E:$E, MATCH($A166, 'UZ-normalized'!$A:$A, 0))&gt;0, -(19*INDEX('UZ-normalized'!$D:$D, MATCH($A166, 'UZ-normalized'!$A:$A, 0))-INDEX('UZ-normalized'!$E:$E, MATCH($A166, 'UZ-normalized'!$A:$A, 0))), 0), 0)))</f>
        <v>-597</v>
      </c>
      <c r="AH166" s="6">
        <f>MIN(0, N166+(IFERROR(IF(20*INDEX('UA-normalized'!$D:$D, MATCH($A166, 'UA-normalized'!$A:$A, 0))-INDEX('UA-normalized'!$E:$E, MATCH($A166, 'UA-normalized'!$A:$A, 0))&gt;0, -(20*INDEX('UA-normalized'!$D:$D, MATCH($A166, 'UA-normalized'!$A:$A, 0))-INDEX('UA-normalized'!$E:$E, MATCH($A166, 'UA-normalized'!$A:$A, 0))), 0), 0))+(IFERROR(IF(20*INDEX('KZ-normalized'!$D:$D, MATCH($A166, 'KZ-normalized'!$A:$A, 0))-INDEX('KZ-normalized'!$E:$E, MATCH($A166, 'KZ-normalized'!$A:$A, 0))&gt;0, -(20*INDEX('KZ-normalized'!$D:$D, MATCH($A166, 'KZ-normalized'!$A:$A, 0))-INDEX('KZ-normalized'!$E:$E, MATCH($A166, 'KZ-normalized'!$A:$A, 0))), 0), 0))+(IFERROR(IF(20*INDEX('UZ-normalized'!$D:$D, MATCH($A166, 'UZ-normalized'!$A:$A, 0))-INDEX('UZ-normalized'!$E:$E, MATCH($A166, 'UZ-normalized'!$A:$A, 0))&gt;0, -(20*INDEX('UZ-normalized'!$D:$D, MATCH($A166, 'UZ-normalized'!$A:$A, 0))-INDEX('UZ-normalized'!$E:$E, MATCH($A166, 'UZ-normalized'!$A:$A, 0))), 0), 0)))</f>
        <v>-639</v>
      </c>
      <c r="AI166" s="6">
        <f>MIN(0, N166+(IFERROR(IF(21*INDEX('UA-normalized'!$D:$D, MATCH($A166, 'UA-normalized'!$A:$A, 0))-INDEX('UA-normalized'!$E:$E, MATCH($A166, 'UA-normalized'!$A:$A, 0))&gt;0, -(21*INDEX('UA-normalized'!$D:$D, MATCH($A166, 'UA-normalized'!$A:$A, 0))-INDEX('UA-normalized'!$E:$E, MATCH($A166, 'UA-normalized'!$A:$A, 0))), 0), 0))+(IFERROR(IF(21*INDEX('KZ-normalized'!$D:$D, MATCH($A166, 'KZ-normalized'!$A:$A, 0))-INDEX('KZ-normalized'!$E:$E, MATCH($A166, 'KZ-normalized'!$A:$A, 0))&gt;0, -(21*INDEX('KZ-normalized'!$D:$D, MATCH($A166, 'KZ-normalized'!$A:$A, 0))-INDEX('KZ-normalized'!$E:$E, MATCH($A166, 'KZ-normalized'!$A:$A, 0))), 0), 0))+(IFERROR(IF(21*INDEX('UZ-normalized'!$D:$D, MATCH($A166, 'UZ-normalized'!$A:$A, 0))-INDEX('UZ-normalized'!$E:$E, MATCH($A166, 'UZ-normalized'!$A:$A, 0))&gt;0, -(21*INDEX('UZ-normalized'!$D:$D, MATCH($A166, 'UZ-normalized'!$A:$A, 0))-INDEX('UZ-normalized'!$E:$E, MATCH($A166, 'UZ-normalized'!$A:$A, 0))), 0), 0)))</f>
        <v>-681</v>
      </c>
      <c r="AJ166" s="6">
        <f>MIN(0, N166+(IFERROR(IF(22*INDEX('UA-normalized'!$D:$D, MATCH($A166, 'UA-normalized'!$A:$A, 0))-INDEX('UA-normalized'!$E:$E, MATCH($A166, 'UA-normalized'!$A:$A, 0))&gt;0, -(22*INDEX('UA-normalized'!$D:$D, MATCH($A166, 'UA-normalized'!$A:$A, 0))-INDEX('UA-normalized'!$E:$E, MATCH($A166, 'UA-normalized'!$A:$A, 0))), 0), 0))+(IFERROR(IF(22*INDEX('KZ-normalized'!$D:$D, MATCH($A166, 'KZ-normalized'!$A:$A, 0))-INDEX('KZ-normalized'!$E:$E, MATCH($A166, 'KZ-normalized'!$A:$A, 0))&gt;0, -(22*INDEX('KZ-normalized'!$D:$D, MATCH($A166, 'KZ-normalized'!$A:$A, 0))-INDEX('KZ-normalized'!$E:$E, MATCH($A166, 'KZ-normalized'!$A:$A, 0))), 0), 0))+(IFERROR(IF(22*INDEX('UZ-normalized'!$D:$D, MATCH($A166, 'UZ-normalized'!$A:$A, 0))-INDEX('UZ-normalized'!$E:$E, MATCH($A166, 'UZ-normalized'!$A:$A, 0))&gt;0, -(22*INDEX('UZ-normalized'!$D:$D, MATCH($A166, 'UZ-normalized'!$A:$A, 0))-INDEX('UZ-normalized'!$E:$E, MATCH($A166, 'UZ-normalized'!$A:$A, 0))), 0), 0)))</f>
        <v>-723</v>
      </c>
      <c r="AK166" s="6">
        <f>MIN(0, N166+(IFERROR(IF(23*INDEX('UA-normalized'!$D:$D, MATCH($A166, 'UA-normalized'!$A:$A, 0))-INDEX('UA-normalized'!$E:$E, MATCH($A166, 'UA-normalized'!$A:$A, 0))&gt;0, -(23*INDEX('UA-normalized'!$D:$D, MATCH($A166, 'UA-normalized'!$A:$A, 0))-INDEX('UA-normalized'!$E:$E, MATCH($A166, 'UA-normalized'!$A:$A, 0))), 0), 0))+(IFERROR(IF(23*INDEX('KZ-normalized'!$D:$D, MATCH($A166, 'KZ-normalized'!$A:$A, 0))-INDEX('KZ-normalized'!$E:$E, MATCH($A166, 'KZ-normalized'!$A:$A, 0))&gt;0, -(23*INDEX('KZ-normalized'!$D:$D, MATCH($A166, 'KZ-normalized'!$A:$A, 0))-INDEX('KZ-normalized'!$E:$E, MATCH($A166, 'KZ-normalized'!$A:$A, 0))), 0), 0))+(IFERROR(IF(23*INDEX('UZ-normalized'!$D:$D, MATCH($A166, 'UZ-normalized'!$A:$A, 0))-INDEX('UZ-normalized'!$E:$E, MATCH($A166, 'UZ-normalized'!$A:$A, 0))&gt;0, -(23*INDEX('UZ-normalized'!$D:$D, MATCH($A166, 'UZ-normalized'!$A:$A, 0))-INDEX('UZ-normalized'!$E:$E, MATCH($A166, 'UZ-normalized'!$A:$A, 0))), 0), 0)))</f>
        <v>-765</v>
      </c>
      <c r="AL166" s="6">
        <f>MIN(0, N166+(IFERROR(IF(24*INDEX('UA-normalized'!$D:$D, MATCH($A166, 'UA-normalized'!$A:$A, 0))-INDEX('UA-normalized'!$E:$E, MATCH($A166, 'UA-normalized'!$A:$A, 0))&gt;0, -(24*INDEX('UA-normalized'!$D:$D, MATCH($A166, 'UA-normalized'!$A:$A, 0))-INDEX('UA-normalized'!$E:$E, MATCH($A166, 'UA-normalized'!$A:$A, 0))), 0), 0))+(IFERROR(IF(24*INDEX('KZ-normalized'!$D:$D, MATCH($A166, 'KZ-normalized'!$A:$A, 0))-INDEX('KZ-normalized'!$E:$E, MATCH($A166, 'KZ-normalized'!$A:$A, 0))&gt;0, -(24*INDEX('KZ-normalized'!$D:$D, MATCH($A166, 'KZ-normalized'!$A:$A, 0))-INDEX('KZ-normalized'!$E:$E, MATCH($A166, 'KZ-normalized'!$A:$A, 0))), 0), 0))+(IFERROR(IF(24*INDEX('UZ-normalized'!$D:$D, MATCH($A166, 'UZ-normalized'!$A:$A, 0))-INDEX('UZ-normalized'!$E:$E, MATCH($A166, 'UZ-normalized'!$A:$A, 0))&gt;0, -(24*INDEX('UZ-normalized'!$D:$D, MATCH($A166, 'UZ-normalized'!$A:$A, 0))-INDEX('UZ-normalized'!$E:$E, MATCH($A166, 'UZ-normalized'!$A:$A, 0))), 0), 0)))</f>
        <v>-807</v>
      </c>
      <c r="AM166" s="6">
        <f>MIN(0, N166+(IFERROR(IF(25*INDEX('UA-normalized'!$D:$D, MATCH($A166, 'UA-normalized'!$A:$A, 0))-INDEX('UA-normalized'!$E:$E, MATCH($A166, 'UA-normalized'!$A:$A, 0))&gt;0, -(25*INDEX('UA-normalized'!$D:$D, MATCH($A166, 'UA-normalized'!$A:$A, 0))-INDEX('UA-normalized'!$E:$E, MATCH($A166, 'UA-normalized'!$A:$A, 0))), 0), 0))+(IFERROR(IF(25*INDEX('KZ-normalized'!$D:$D, MATCH($A166, 'KZ-normalized'!$A:$A, 0))-INDEX('KZ-normalized'!$E:$E, MATCH($A166, 'KZ-normalized'!$A:$A, 0))&gt;0, -(25*INDEX('KZ-normalized'!$D:$D, MATCH($A166, 'KZ-normalized'!$A:$A, 0))-INDEX('KZ-normalized'!$E:$E, MATCH($A166, 'KZ-normalized'!$A:$A, 0))), 0), 0))+(IFERROR(IF(25*INDEX('UZ-normalized'!$D:$D, MATCH($A166, 'UZ-normalized'!$A:$A, 0))-INDEX('UZ-normalized'!$E:$E, MATCH($A166, 'UZ-normalized'!$A:$A, 0))&gt;0, -(25*INDEX('UZ-normalized'!$D:$D, MATCH($A166, 'UZ-normalized'!$A:$A, 0))-INDEX('UZ-normalized'!$E:$E, MATCH($A166, 'UZ-normalized'!$A:$A, 0))), 0), 0)))</f>
        <v>-849</v>
      </c>
      <c r="AN166" s="6">
        <f>MIN(0, N166+(IFERROR(IF(26*INDEX('UA-normalized'!$D:$D, MATCH($A166, 'UA-normalized'!$A:$A, 0))-INDEX('UA-normalized'!$E:$E, MATCH($A166, 'UA-normalized'!$A:$A, 0))&gt;0, -(26*INDEX('UA-normalized'!$D:$D, MATCH($A166, 'UA-normalized'!$A:$A, 0))-INDEX('UA-normalized'!$E:$E, MATCH($A166, 'UA-normalized'!$A:$A, 0))), 0), 0))+(IFERROR(IF(26*INDEX('KZ-normalized'!$D:$D, MATCH($A166, 'KZ-normalized'!$A:$A, 0))-INDEX('KZ-normalized'!$E:$E, MATCH($A166, 'KZ-normalized'!$A:$A, 0))&gt;0, -(26*INDEX('KZ-normalized'!$D:$D, MATCH($A166, 'KZ-normalized'!$A:$A, 0))-INDEX('KZ-normalized'!$E:$E, MATCH($A166, 'KZ-normalized'!$A:$A, 0))), 0), 0))+(IFERROR(IF(26*INDEX('UZ-normalized'!$D:$D, MATCH($A166, 'UZ-normalized'!$A:$A, 0))-INDEX('UZ-normalized'!$E:$E, MATCH($A166, 'UZ-normalized'!$A:$A, 0))&gt;0, -(26*INDEX('UZ-normalized'!$D:$D, MATCH($A166, 'UZ-normalized'!$A:$A, 0))-INDEX('UZ-normalized'!$E:$E, MATCH($A166, 'UZ-normalized'!$A:$A, 0))), 0), 0)))</f>
        <v>-891</v>
      </c>
      <c r="AO166" s="6">
        <f>MIN(0, N166+(IFERROR(IF(27*INDEX('UA-normalized'!$D:$D, MATCH($A166, 'UA-normalized'!$A:$A, 0))-INDEX('UA-normalized'!$E:$E, MATCH($A166, 'UA-normalized'!$A:$A, 0))&gt;0, -(27*INDEX('UA-normalized'!$D:$D, MATCH($A166, 'UA-normalized'!$A:$A, 0))-INDEX('UA-normalized'!$E:$E, MATCH($A166, 'UA-normalized'!$A:$A, 0))), 0), 0))+(IFERROR(IF(27*INDEX('KZ-normalized'!$D:$D, MATCH($A166, 'KZ-normalized'!$A:$A, 0))-INDEX('KZ-normalized'!$E:$E, MATCH($A166, 'KZ-normalized'!$A:$A, 0))&gt;0, -(27*INDEX('KZ-normalized'!$D:$D, MATCH($A166, 'KZ-normalized'!$A:$A, 0))-INDEX('KZ-normalized'!$E:$E, MATCH($A166, 'KZ-normalized'!$A:$A, 0))), 0), 0))+(IFERROR(IF(27*INDEX('UZ-normalized'!$D:$D, MATCH($A166, 'UZ-normalized'!$A:$A, 0))-INDEX('UZ-normalized'!$E:$E, MATCH($A166, 'UZ-normalized'!$A:$A, 0))&gt;0, -(27*INDEX('UZ-normalized'!$D:$D, MATCH($A166, 'UZ-normalized'!$A:$A, 0))-INDEX('UZ-normalized'!$E:$E, MATCH($A166, 'UZ-normalized'!$A:$A, 0))), 0), 0)))</f>
        <v>-933</v>
      </c>
      <c r="AP166" s="6">
        <f>MIN(0, N166+(IFERROR(IF(28*INDEX('UA-normalized'!$D:$D, MATCH($A166, 'UA-normalized'!$A:$A, 0))-INDEX('UA-normalized'!$E:$E, MATCH($A166, 'UA-normalized'!$A:$A, 0))&gt;0, -(28*INDEX('UA-normalized'!$D:$D, MATCH($A166, 'UA-normalized'!$A:$A, 0))-INDEX('UA-normalized'!$E:$E, MATCH($A166, 'UA-normalized'!$A:$A, 0))), 0), 0))+(IFERROR(IF(28*INDEX('KZ-normalized'!$D:$D, MATCH($A166, 'KZ-normalized'!$A:$A, 0))-INDEX('KZ-normalized'!$E:$E, MATCH($A166, 'KZ-normalized'!$A:$A, 0))&gt;0, -(28*INDEX('KZ-normalized'!$D:$D, MATCH($A166, 'KZ-normalized'!$A:$A, 0))-INDEX('KZ-normalized'!$E:$E, MATCH($A166, 'KZ-normalized'!$A:$A, 0))), 0), 0))+(IFERROR(IF(28*INDEX('UZ-normalized'!$D:$D, MATCH($A166, 'UZ-normalized'!$A:$A, 0))-INDEX('UZ-normalized'!$E:$E, MATCH($A166, 'UZ-normalized'!$A:$A, 0))&gt;0, -(28*INDEX('UZ-normalized'!$D:$D, MATCH($A166, 'UZ-normalized'!$A:$A, 0))-INDEX('UZ-normalized'!$E:$E, MATCH($A166, 'UZ-normalized'!$A:$A, 0))), 0), 0)))</f>
        <v>-975</v>
      </c>
      <c r="AQ166" s="6">
        <f>MIN(0, N166+(IFERROR(IF(29*INDEX('UA-normalized'!$D:$D, MATCH($A166, 'UA-normalized'!$A:$A, 0))-INDEX('UA-normalized'!$E:$E, MATCH($A166, 'UA-normalized'!$A:$A, 0))&gt;0, -(29*INDEX('UA-normalized'!$D:$D, MATCH($A166, 'UA-normalized'!$A:$A, 0))-INDEX('UA-normalized'!$E:$E, MATCH($A166, 'UA-normalized'!$A:$A, 0))), 0), 0))+(IFERROR(IF(29*INDEX('KZ-normalized'!$D:$D, MATCH($A166, 'KZ-normalized'!$A:$A, 0))-INDEX('KZ-normalized'!$E:$E, MATCH($A166, 'KZ-normalized'!$A:$A, 0))&gt;0, -(29*INDEX('KZ-normalized'!$D:$D, MATCH($A166, 'KZ-normalized'!$A:$A, 0))-INDEX('KZ-normalized'!$E:$E, MATCH($A166, 'KZ-normalized'!$A:$A, 0))), 0), 0))+(IFERROR(IF(29*INDEX('UZ-normalized'!$D:$D, MATCH($A166, 'UZ-normalized'!$A:$A, 0))-INDEX('UZ-normalized'!$E:$E, MATCH($A166, 'UZ-normalized'!$A:$A, 0))&gt;0, -(29*INDEX('UZ-normalized'!$D:$D, MATCH($A166, 'UZ-normalized'!$A:$A, 0))-INDEX('UZ-normalized'!$E:$E, MATCH($A166, 'UZ-normalized'!$A:$A, 0))), 0), 0)))</f>
        <v>-1017</v>
      </c>
      <c r="AR166" s="6">
        <f>MIN(0, N166+(IFERROR(IF(30*INDEX('UA-normalized'!$D:$D, MATCH($A166, 'UA-normalized'!$A:$A, 0))-INDEX('UA-normalized'!$E:$E, MATCH($A166, 'UA-normalized'!$A:$A, 0))&gt;0, -(30*INDEX('UA-normalized'!$D:$D, MATCH($A166, 'UA-normalized'!$A:$A, 0))-INDEX('UA-normalized'!$E:$E, MATCH($A166, 'UA-normalized'!$A:$A, 0))), 0), 0))+(IFERROR(IF(30*INDEX('KZ-normalized'!$D:$D, MATCH($A166, 'KZ-normalized'!$A:$A, 0))-INDEX('KZ-normalized'!$E:$E, MATCH($A166, 'KZ-normalized'!$A:$A, 0))&gt;0, -(30*INDEX('KZ-normalized'!$D:$D, MATCH($A166, 'KZ-normalized'!$A:$A, 0))-INDEX('KZ-normalized'!$E:$E, MATCH($A166, 'KZ-normalized'!$A:$A, 0))), 0), 0))+(IFERROR(IF(30*INDEX('UZ-normalized'!$D:$D, MATCH($A166, 'UZ-normalized'!$A:$A, 0))-INDEX('UZ-normalized'!$E:$E, MATCH($A166, 'UZ-normalized'!$A:$A, 0))&gt;0, -(30*INDEX('UZ-normalized'!$D:$D, MATCH($A166, 'UZ-normalized'!$A:$A, 0))-INDEX('UZ-normalized'!$E:$E, MATCH($A166, 'UZ-normalized'!$A:$A, 0))), 0), 0)))</f>
        <v>-1059</v>
      </c>
    </row>
    <row r="167" spans="1:44" x14ac:dyDescent="0.25">
      <c r="A167" s="8" t="s">
        <v>400</v>
      </c>
      <c r="B167" s="8" t="s">
        <v>393</v>
      </c>
      <c r="C167" s="8" t="s">
        <v>394</v>
      </c>
      <c r="D167" s="8" t="s">
        <v>401</v>
      </c>
      <c r="E167">
        <v>400</v>
      </c>
      <c r="J167">
        <v>400</v>
      </c>
      <c r="N167">
        <f t="shared" si="2"/>
        <v>800</v>
      </c>
      <c r="O167" s="6">
        <f>MIN(0, N167+(IFERROR(IF(1*INDEX('UA-normalized'!$D:$D, MATCH($A167, 'UA-normalized'!$A:$A, 0))-INDEX('UA-normalized'!$E:$E, MATCH($A167, 'UA-normalized'!$A:$A, 0))&gt;0, -(1*INDEX('UA-normalized'!$D:$D, MATCH($A167, 'UA-normalized'!$A:$A, 0))-INDEX('UA-normalized'!$E:$E, MATCH($A167, 'UA-normalized'!$A:$A, 0))), 0), 0))+(IFERROR(IF(1*INDEX('KZ-normalized'!$D:$D, MATCH($A167, 'KZ-normalized'!$A:$A, 0))-INDEX('KZ-normalized'!$E:$E, MATCH($A167, 'KZ-normalized'!$A:$A, 0))&gt;0, -(1*INDEX('KZ-normalized'!$D:$D, MATCH($A167, 'KZ-normalized'!$A:$A, 0))-INDEX('KZ-normalized'!$E:$E, MATCH($A167, 'KZ-normalized'!$A:$A, 0))), 0), 0))+(IFERROR(IF(1*INDEX('UZ-normalized'!$D:$D, MATCH($A167, 'UZ-normalized'!$A:$A, 0))-INDEX('UZ-normalized'!$E:$E, MATCH($A167, 'UZ-normalized'!$A:$A, 0))&gt;0, -(1*INDEX('UZ-normalized'!$D:$D, MATCH($A167, 'UZ-normalized'!$A:$A, 0))-INDEX('UZ-normalized'!$E:$E, MATCH($A167, 'UZ-normalized'!$A:$A, 0))), 0), 0)))</f>
        <v>0</v>
      </c>
      <c r="P167" s="6">
        <f>MIN(0, N167+(IFERROR(IF(2*INDEX('UA-normalized'!$D:$D, MATCH($A167, 'UA-normalized'!$A:$A, 0))-INDEX('UA-normalized'!$E:$E, MATCH($A167, 'UA-normalized'!$A:$A, 0))&gt;0, -(2*INDEX('UA-normalized'!$D:$D, MATCH($A167, 'UA-normalized'!$A:$A, 0))-INDEX('UA-normalized'!$E:$E, MATCH($A167, 'UA-normalized'!$A:$A, 0))), 0), 0))+(IFERROR(IF(2*INDEX('KZ-normalized'!$D:$D, MATCH($A167, 'KZ-normalized'!$A:$A, 0))-INDEX('KZ-normalized'!$E:$E, MATCH($A167, 'KZ-normalized'!$A:$A, 0))&gt;0, -(2*INDEX('KZ-normalized'!$D:$D, MATCH($A167, 'KZ-normalized'!$A:$A, 0))-INDEX('KZ-normalized'!$E:$E, MATCH($A167, 'KZ-normalized'!$A:$A, 0))), 0), 0))+(IFERROR(IF(2*INDEX('UZ-normalized'!$D:$D, MATCH($A167, 'UZ-normalized'!$A:$A, 0))-INDEX('UZ-normalized'!$E:$E, MATCH($A167, 'UZ-normalized'!$A:$A, 0))&gt;0, -(2*INDEX('UZ-normalized'!$D:$D, MATCH($A167, 'UZ-normalized'!$A:$A, 0))-INDEX('UZ-normalized'!$E:$E, MATCH($A167, 'UZ-normalized'!$A:$A, 0))), 0), 0)))</f>
        <v>0</v>
      </c>
      <c r="Q167" s="6">
        <f>MIN(0, N167+(IFERROR(IF(3*INDEX('UA-normalized'!$D:$D, MATCH($A167, 'UA-normalized'!$A:$A, 0))-INDEX('UA-normalized'!$E:$E, MATCH($A167, 'UA-normalized'!$A:$A, 0))&gt;0, -(3*INDEX('UA-normalized'!$D:$D, MATCH($A167, 'UA-normalized'!$A:$A, 0))-INDEX('UA-normalized'!$E:$E, MATCH($A167, 'UA-normalized'!$A:$A, 0))), 0), 0))+(IFERROR(IF(3*INDEX('KZ-normalized'!$D:$D, MATCH($A167, 'KZ-normalized'!$A:$A, 0))-INDEX('KZ-normalized'!$E:$E, MATCH($A167, 'KZ-normalized'!$A:$A, 0))&gt;0, -(3*INDEX('KZ-normalized'!$D:$D, MATCH($A167, 'KZ-normalized'!$A:$A, 0))-INDEX('KZ-normalized'!$E:$E, MATCH($A167, 'KZ-normalized'!$A:$A, 0))), 0), 0))+(IFERROR(IF(3*INDEX('UZ-normalized'!$D:$D, MATCH($A167, 'UZ-normalized'!$A:$A, 0))-INDEX('UZ-normalized'!$E:$E, MATCH($A167, 'UZ-normalized'!$A:$A, 0))&gt;0, -(3*INDEX('UZ-normalized'!$D:$D, MATCH($A167, 'UZ-normalized'!$A:$A, 0))-INDEX('UZ-normalized'!$E:$E, MATCH($A167, 'UZ-normalized'!$A:$A, 0))), 0), 0)))</f>
        <v>0</v>
      </c>
      <c r="R167" s="6">
        <f>MIN(0, N167+(IFERROR(IF(4*INDEX('UA-normalized'!$D:$D, MATCH($A167, 'UA-normalized'!$A:$A, 0))-INDEX('UA-normalized'!$E:$E, MATCH($A167, 'UA-normalized'!$A:$A, 0))&gt;0, -(4*INDEX('UA-normalized'!$D:$D, MATCH($A167, 'UA-normalized'!$A:$A, 0))-INDEX('UA-normalized'!$E:$E, MATCH($A167, 'UA-normalized'!$A:$A, 0))), 0), 0))+(IFERROR(IF(4*INDEX('KZ-normalized'!$D:$D, MATCH($A167, 'KZ-normalized'!$A:$A, 0))-INDEX('KZ-normalized'!$E:$E, MATCH($A167, 'KZ-normalized'!$A:$A, 0))&gt;0, -(4*INDEX('KZ-normalized'!$D:$D, MATCH($A167, 'KZ-normalized'!$A:$A, 0))-INDEX('KZ-normalized'!$E:$E, MATCH($A167, 'KZ-normalized'!$A:$A, 0))), 0), 0))+(IFERROR(IF(4*INDEX('UZ-normalized'!$D:$D, MATCH($A167, 'UZ-normalized'!$A:$A, 0))-INDEX('UZ-normalized'!$E:$E, MATCH($A167, 'UZ-normalized'!$A:$A, 0))&gt;0, -(4*INDEX('UZ-normalized'!$D:$D, MATCH($A167, 'UZ-normalized'!$A:$A, 0))-INDEX('UZ-normalized'!$E:$E, MATCH($A167, 'UZ-normalized'!$A:$A, 0))), 0), 0)))</f>
        <v>0</v>
      </c>
      <c r="S167" s="6">
        <f>MIN(0, N167+(IFERROR(IF(5*INDEX('UA-normalized'!$D:$D, MATCH($A167, 'UA-normalized'!$A:$A, 0))-INDEX('UA-normalized'!$E:$E, MATCH($A167, 'UA-normalized'!$A:$A, 0))&gt;0, -(5*INDEX('UA-normalized'!$D:$D, MATCH($A167, 'UA-normalized'!$A:$A, 0))-INDEX('UA-normalized'!$E:$E, MATCH($A167, 'UA-normalized'!$A:$A, 0))), 0), 0))+(IFERROR(IF(5*INDEX('KZ-normalized'!$D:$D, MATCH($A167, 'KZ-normalized'!$A:$A, 0))-INDEX('KZ-normalized'!$E:$E, MATCH($A167, 'KZ-normalized'!$A:$A, 0))&gt;0, -(5*INDEX('KZ-normalized'!$D:$D, MATCH($A167, 'KZ-normalized'!$A:$A, 0))-INDEX('KZ-normalized'!$E:$E, MATCH($A167, 'KZ-normalized'!$A:$A, 0))), 0), 0))+(IFERROR(IF(5*INDEX('UZ-normalized'!$D:$D, MATCH($A167, 'UZ-normalized'!$A:$A, 0))-INDEX('UZ-normalized'!$E:$E, MATCH($A167, 'UZ-normalized'!$A:$A, 0))&gt;0, -(5*INDEX('UZ-normalized'!$D:$D, MATCH($A167, 'UZ-normalized'!$A:$A, 0))-INDEX('UZ-normalized'!$E:$E, MATCH($A167, 'UZ-normalized'!$A:$A, 0))), 0), 0)))</f>
        <v>0</v>
      </c>
      <c r="T167" s="6">
        <f>MIN(0, N167+(IFERROR(IF(6*INDEX('UA-normalized'!$D:$D, MATCH($A167, 'UA-normalized'!$A:$A, 0))-INDEX('UA-normalized'!$E:$E, MATCH($A167, 'UA-normalized'!$A:$A, 0))&gt;0, -(6*INDEX('UA-normalized'!$D:$D, MATCH($A167, 'UA-normalized'!$A:$A, 0))-INDEX('UA-normalized'!$E:$E, MATCH($A167, 'UA-normalized'!$A:$A, 0))), 0), 0))+(IFERROR(IF(6*INDEX('KZ-normalized'!$D:$D, MATCH($A167, 'KZ-normalized'!$A:$A, 0))-INDEX('KZ-normalized'!$E:$E, MATCH($A167, 'KZ-normalized'!$A:$A, 0))&gt;0, -(6*INDEX('KZ-normalized'!$D:$D, MATCH($A167, 'KZ-normalized'!$A:$A, 0))-INDEX('KZ-normalized'!$E:$E, MATCH($A167, 'KZ-normalized'!$A:$A, 0))), 0), 0))+(IFERROR(IF(6*INDEX('UZ-normalized'!$D:$D, MATCH($A167, 'UZ-normalized'!$A:$A, 0))-INDEX('UZ-normalized'!$E:$E, MATCH($A167, 'UZ-normalized'!$A:$A, 0))&gt;0, -(6*INDEX('UZ-normalized'!$D:$D, MATCH($A167, 'UZ-normalized'!$A:$A, 0))-INDEX('UZ-normalized'!$E:$E, MATCH($A167, 'UZ-normalized'!$A:$A, 0))), 0), 0)))</f>
        <v>0</v>
      </c>
      <c r="U167" s="6">
        <f>MIN(0, N167+(IFERROR(IF(7*INDEX('UA-normalized'!$D:$D, MATCH($A167, 'UA-normalized'!$A:$A, 0))-INDEX('UA-normalized'!$E:$E, MATCH($A167, 'UA-normalized'!$A:$A, 0))&gt;0, -(7*INDEX('UA-normalized'!$D:$D, MATCH($A167, 'UA-normalized'!$A:$A, 0))-INDEX('UA-normalized'!$E:$E, MATCH($A167, 'UA-normalized'!$A:$A, 0))), 0), 0))+(IFERROR(IF(7*INDEX('KZ-normalized'!$D:$D, MATCH($A167, 'KZ-normalized'!$A:$A, 0))-INDEX('KZ-normalized'!$E:$E, MATCH($A167, 'KZ-normalized'!$A:$A, 0))&gt;0, -(7*INDEX('KZ-normalized'!$D:$D, MATCH($A167, 'KZ-normalized'!$A:$A, 0))-INDEX('KZ-normalized'!$E:$E, MATCH($A167, 'KZ-normalized'!$A:$A, 0))), 0), 0))+(IFERROR(IF(7*INDEX('UZ-normalized'!$D:$D, MATCH($A167, 'UZ-normalized'!$A:$A, 0))-INDEX('UZ-normalized'!$E:$E, MATCH($A167, 'UZ-normalized'!$A:$A, 0))&gt;0, -(7*INDEX('UZ-normalized'!$D:$D, MATCH($A167, 'UZ-normalized'!$A:$A, 0))-INDEX('UZ-normalized'!$E:$E, MATCH($A167, 'UZ-normalized'!$A:$A, 0))), 0), 0)))</f>
        <v>0</v>
      </c>
      <c r="V167" s="6">
        <f>MIN(0, N167+(IFERROR(IF(8*INDEX('UA-normalized'!$D:$D, MATCH($A167, 'UA-normalized'!$A:$A, 0))-INDEX('UA-normalized'!$E:$E, MATCH($A167, 'UA-normalized'!$A:$A, 0))&gt;0, -(8*INDEX('UA-normalized'!$D:$D, MATCH($A167, 'UA-normalized'!$A:$A, 0))-INDEX('UA-normalized'!$E:$E, MATCH($A167, 'UA-normalized'!$A:$A, 0))), 0), 0))+(IFERROR(IF(8*INDEX('KZ-normalized'!$D:$D, MATCH($A167, 'KZ-normalized'!$A:$A, 0))-INDEX('KZ-normalized'!$E:$E, MATCH($A167, 'KZ-normalized'!$A:$A, 0))&gt;0, -(8*INDEX('KZ-normalized'!$D:$D, MATCH($A167, 'KZ-normalized'!$A:$A, 0))-INDEX('KZ-normalized'!$E:$E, MATCH($A167, 'KZ-normalized'!$A:$A, 0))), 0), 0))+(IFERROR(IF(8*INDEX('UZ-normalized'!$D:$D, MATCH($A167, 'UZ-normalized'!$A:$A, 0))-INDEX('UZ-normalized'!$E:$E, MATCH($A167, 'UZ-normalized'!$A:$A, 0))&gt;0, -(8*INDEX('UZ-normalized'!$D:$D, MATCH($A167, 'UZ-normalized'!$A:$A, 0))-INDEX('UZ-normalized'!$E:$E, MATCH($A167, 'UZ-normalized'!$A:$A, 0))), 0), 0)))</f>
        <v>0</v>
      </c>
      <c r="W167" s="6">
        <f>MIN(0, N167+(IFERROR(IF(9*INDEX('UA-normalized'!$D:$D, MATCH($A167, 'UA-normalized'!$A:$A, 0))-INDEX('UA-normalized'!$E:$E, MATCH($A167, 'UA-normalized'!$A:$A, 0))&gt;0, -(9*INDEX('UA-normalized'!$D:$D, MATCH($A167, 'UA-normalized'!$A:$A, 0))-INDEX('UA-normalized'!$E:$E, MATCH($A167, 'UA-normalized'!$A:$A, 0))), 0), 0))+(IFERROR(IF(9*INDEX('KZ-normalized'!$D:$D, MATCH($A167, 'KZ-normalized'!$A:$A, 0))-INDEX('KZ-normalized'!$E:$E, MATCH($A167, 'KZ-normalized'!$A:$A, 0))&gt;0, -(9*INDEX('KZ-normalized'!$D:$D, MATCH($A167, 'KZ-normalized'!$A:$A, 0))-INDEX('KZ-normalized'!$E:$E, MATCH($A167, 'KZ-normalized'!$A:$A, 0))), 0), 0))+(IFERROR(IF(9*INDEX('UZ-normalized'!$D:$D, MATCH($A167, 'UZ-normalized'!$A:$A, 0))-INDEX('UZ-normalized'!$E:$E, MATCH($A167, 'UZ-normalized'!$A:$A, 0))&gt;0, -(9*INDEX('UZ-normalized'!$D:$D, MATCH($A167, 'UZ-normalized'!$A:$A, 0))-INDEX('UZ-normalized'!$E:$E, MATCH($A167, 'UZ-normalized'!$A:$A, 0))), 0), 0)))</f>
        <v>0</v>
      </c>
      <c r="X167" s="6">
        <f>MIN(0, N167+(IFERROR(IF(10*INDEX('UA-normalized'!$D:$D, MATCH($A167, 'UA-normalized'!$A:$A, 0))-INDEX('UA-normalized'!$E:$E, MATCH($A167, 'UA-normalized'!$A:$A, 0))&gt;0, -(10*INDEX('UA-normalized'!$D:$D, MATCH($A167, 'UA-normalized'!$A:$A, 0))-INDEX('UA-normalized'!$E:$E, MATCH($A167, 'UA-normalized'!$A:$A, 0))), 0), 0))+(IFERROR(IF(10*INDEX('KZ-normalized'!$D:$D, MATCH($A167, 'KZ-normalized'!$A:$A, 0))-INDEX('KZ-normalized'!$E:$E, MATCH($A167, 'KZ-normalized'!$A:$A, 0))&gt;0, -(10*INDEX('KZ-normalized'!$D:$D, MATCH($A167, 'KZ-normalized'!$A:$A, 0))-INDEX('KZ-normalized'!$E:$E, MATCH($A167, 'KZ-normalized'!$A:$A, 0))), 0), 0))+(IFERROR(IF(10*INDEX('UZ-normalized'!$D:$D, MATCH($A167, 'UZ-normalized'!$A:$A, 0))-INDEX('UZ-normalized'!$E:$E, MATCH($A167, 'UZ-normalized'!$A:$A, 0))&gt;0, -(10*INDEX('UZ-normalized'!$D:$D, MATCH($A167, 'UZ-normalized'!$A:$A, 0))-INDEX('UZ-normalized'!$E:$E, MATCH($A167, 'UZ-normalized'!$A:$A, 0))), 0), 0)))</f>
        <v>0</v>
      </c>
      <c r="Y167" s="6">
        <f>MIN(0, N167+(IFERROR(IF(11*INDEX('UA-normalized'!$D:$D, MATCH($A167, 'UA-normalized'!$A:$A, 0))-INDEX('UA-normalized'!$E:$E, MATCH($A167, 'UA-normalized'!$A:$A, 0))&gt;0, -(11*INDEX('UA-normalized'!$D:$D, MATCH($A167, 'UA-normalized'!$A:$A, 0))-INDEX('UA-normalized'!$E:$E, MATCH($A167, 'UA-normalized'!$A:$A, 0))), 0), 0))+(IFERROR(IF(11*INDEX('KZ-normalized'!$D:$D, MATCH($A167, 'KZ-normalized'!$A:$A, 0))-INDEX('KZ-normalized'!$E:$E, MATCH($A167, 'KZ-normalized'!$A:$A, 0))&gt;0, -(11*INDEX('KZ-normalized'!$D:$D, MATCH($A167, 'KZ-normalized'!$A:$A, 0))-INDEX('KZ-normalized'!$E:$E, MATCH($A167, 'KZ-normalized'!$A:$A, 0))), 0), 0))+(IFERROR(IF(11*INDEX('UZ-normalized'!$D:$D, MATCH($A167, 'UZ-normalized'!$A:$A, 0))-INDEX('UZ-normalized'!$E:$E, MATCH($A167, 'UZ-normalized'!$A:$A, 0))&gt;0, -(11*INDEX('UZ-normalized'!$D:$D, MATCH($A167, 'UZ-normalized'!$A:$A, 0))-INDEX('UZ-normalized'!$E:$E, MATCH($A167, 'UZ-normalized'!$A:$A, 0))), 0), 0)))</f>
        <v>0</v>
      </c>
      <c r="Z167" s="6">
        <f>MIN(0, N167+(IFERROR(IF(12*INDEX('UA-normalized'!$D:$D, MATCH($A167, 'UA-normalized'!$A:$A, 0))-INDEX('UA-normalized'!$E:$E, MATCH($A167, 'UA-normalized'!$A:$A, 0))&gt;0, -(12*INDEX('UA-normalized'!$D:$D, MATCH($A167, 'UA-normalized'!$A:$A, 0))-INDEX('UA-normalized'!$E:$E, MATCH($A167, 'UA-normalized'!$A:$A, 0))), 0), 0))+(IFERROR(IF(12*INDEX('KZ-normalized'!$D:$D, MATCH($A167, 'KZ-normalized'!$A:$A, 0))-INDEX('KZ-normalized'!$E:$E, MATCH($A167, 'KZ-normalized'!$A:$A, 0))&gt;0, -(12*INDEX('KZ-normalized'!$D:$D, MATCH($A167, 'KZ-normalized'!$A:$A, 0))-INDEX('KZ-normalized'!$E:$E, MATCH($A167, 'KZ-normalized'!$A:$A, 0))), 0), 0))+(IFERROR(IF(12*INDEX('UZ-normalized'!$D:$D, MATCH($A167, 'UZ-normalized'!$A:$A, 0))-INDEX('UZ-normalized'!$E:$E, MATCH($A167, 'UZ-normalized'!$A:$A, 0))&gt;0, -(12*INDEX('UZ-normalized'!$D:$D, MATCH($A167, 'UZ-normalized'!$A:$A, 0))-INDEX('UZ-normalized'!$E:$E, MATCH($A167, 'UZ-normalized'!$A:$A, 0))), 0), 0)))</f>
        <v>0</v>
      </c>
      <c r="AA167" s="6">
        <f>MIN(0, N167+(IFERROR(IF(13*INDEX('UA-normalized'!$D:$D, MATCH($A167, 'UA-normalized'!$A:$A, 0))-INDEX('UA-normalized'!$E:$E, MATCH($A167, 'UA-normalized'!$A:$A, 0))&gt;0, -(13*INDEX('UA-normalized'!$D:$D, MATCH($A167, 'UA-normalized'!$A:$A, 0))-INDEX('UA-normalized'!$E:$E, MATCH($A167, 'UA-normalized'!$A:$A, 0))), 0), 0))+(IFERROR(IF(13*INDEX('KZ-normalized'!$D:$D, MATCH($A167, 'KZ-normalized'!$A:$A, 0))-INDEX('KZ-normalized'!$E:$E, MATCH($A167, 'KZ-normalized'!$A:$A, 0))&gt;0, -(13*INDEX('KZ-normalized'!$D:$D, MATCH($A167, 'KZ-normalized'!$A:$A, 0))-INDEX('KZ-normalized'!$E:$E, MATCH($A167, 'KZ-normalized'!$A:$A, 0))), 0), 0))+(IFERROR(IF(13*INDEX('UZ-normalized'!$D:$D, MATCH($A167, 'UZ-normalized'!$A:$A, 0))-INDEX('UZ-normalized'!$E:$E, MATCH($A167, 'UZ-normalized'!$A:$A, 0))&gt;0, -(13*INDEX('UZ-normalized'!$D:$D, MATCH($A167, 'UZ-normalized'!$A:$A, 0))-INDEX('UZ-normalized'!$E:$E, MATCH($A167, 'UZ-normalized'!$A:$A, 0))), 0), 0)))</f>
        <v>0</v>
      </c>
      <c r="AB167" s="6">
        <f>MIN(0, N167+(IFERROR(IF(14*INDEX('UA-normalized'!$D:$D, MATCH($A167, 'UA-normalized'!$A:$A, 0))-INDEX('UA-normalized'!$E:$E, MATCH($A167, 'UA-normalized'!$A:$A, 0))&gt;0, -(14*INDEX('UA-normalized'!$D:$D, MATCH($A167, 'UA-normalized'!$A:$A, 0))-INDEX('UA-normalized'!$E:$E, MATCH($A167, 'UA-normalized'!$A:$A, 0))), 0), 0))+(IFERROR(IF(14*INDEX('KZ-normalized'!$D:$D, MATCH($A167, 'KZ-normalized'!$A:$A, 0))-INDEX('KZ-normalized'!$E:$E, MATCH($A167, 'KZ-normalized'!$A:$A, 0))&gt;0, -(14*INDEX('KZ-normalized'!$D:$D, MATCH($A167, 'KZ-normalized'!$A:$A, 0))-INDEX('KZ-normalized'!$E:$E, MATCH($A167, 'KZ-normalized'!$A:$A, 0))), 0), 0))+(IFERROR(IF(14*INDEX('UZ-normalized'!$D:$D, MATCH($A167, 'UZ-normalized'!$A:$A, 0))-INDEX('UZ-normalized'!$E:$E, MATCH($A167, 'UZ-normalized'!$A:$A, 0))&gt;0, -(14*INDEX('UZ-normalized'!$D:$D, MATCH($A167, 'UZ-normalized'!$A:$A, 0))-INDEX('UZ-normalized'!$E:$E, MATCH($A167, 'UZ-normalized'!$A:$A, 0))), 0), 0)))</f>
        <v>0</v>
      </c>
      <c r="AC167" s="6">
        <f>MIN(0, N167+(IFERROR(IF(15*INDEX('UA-normalized'!$D:$D, MATCH($A167, 'UA-normalized'!$A:$A, 0))-INDEX('UA-normalized'!$E:$E, MATCH($A167, 'UA-normalized'!$A:$A, 0))&gt;0, -(15*INDEX('UA-normalized'!$D:$D, MATCH($A167, 'UA-normalized'!$A:$A, 0))-INDEX('UA-normalized'!$E:$E, MATCH($A167, 'UA-normalized'!$A:$A, 0))), 0), 0))+(IFERROR(IF(15*INDEX('KZ-normalized'!$D:$D, MATCH($A167, 'KZ-normalized'!$A:$A, 0))-INDEX('KZ-normalized'!$E:$E, MATCH($A167, 'KZ-normalized'!$A:$A, 0))&gt;0, -(15*INDEX('KZ-normalized'!$D:$D, MATCH($A167, 'KZ-normalized'!$A:$A, 0))-INDEX('KZ-normalized'!$E:$E, MATCH($A167, 'KZ-normalized'!$A:$A, 0))), 0), 0))+(IFERROR(IF(15*INDEX('UZ-normalized'!$D:$D, MATCH($A167, 'UZ-normalized'!$A:$A, 0))-INDEX('UZ-normalized'!$E:$E, MATCH($A167, 'UZ-normalized'!$A:$A, 0))&gt;0, -(15*INDEX('UZ-normalized'!$D:$D, MATCH($A167, 'UZ-normalized'!$A:$A, 0))-INDEX('UZ-normalized'!$E:$E, MATCH($A167, 'UZ-normalized'!$A:$A, 0))), 0), 0)))</f>
        <v>0</v>
      </c>
      <c r="AD167" s="6">
        <f>MIN(0, N167+(IFERROR(IF(16*INDEX('UA-normalized'!$D:$D, MATCH($A167, 'UA-normalized'!$A:$A, 0))-INDEX('UA-normalized'!$E:$E, MATCH($A167, 'UA-normalized'!$A:$A, 0))&gt;0, -(16*INDEX('UA-normalized'!$D:$D, MATCH($A167, 'UA-normalized'!$A:$A, 0))-INDEX('UA-normalized'!$E:$E, MATCH($A167, 'UA-normalized'!$A:$A, 0))), 0), 0))+(IFERROR(IF(16*INDEX('KZ-normalized'!$D:$D, MATCH($A167, 'KZ-normalized'!$A:$A, 0))-INDEX('KZ-normalized'!$E:$E, MATCH($A167, 'KZ-normalized'!$A:$A, 0))&gt;0, -(16*INDEX('KZ-normalized'!$D:$D, MATCH($A167, 'KZ-normalized'!$A:$A, 0))-INDEX('KZ-normalized'!$E:$E, MATCH($A167, 'KZ-normalized'!$A:$A, 0))), 0), 0))+(IFERROR(IF(16*INDEX('UZ-normalized'!$D:$D, MATCH($A167, 'UZ-normalized'!$A:$A, 0))-INDEX('UZ-normalized'!$E:$E, MATCH($A167, 'UZ-normalized'!$A:$A, 0))&gt;0, -(16*INDEX('UZ-normalized'!$D:$D, MATCH($A167, 'UZ-normalized'!$A:$A, 0))-INDEX('UZ-normalized'!$E:$E, MATCH($A167, 'UZ-normalized'!$A:$A, 0))), 0), 0)))</f>
        <v>0</v>
      </c>
      <c r="AE167" s="6">
        <f>MIN(0, N167+(IFERROR(IF(17*INDEX('UA-normalized'!$D:$D, MATCH($A167, 'UA-normalized'!$A:$A, 0))-INDEX('UA-normalized'!$E:$E, MATCH($A167, 'UA-normalized'!$A:$A, 0))&gt;0, -(17*INDEX('UA-normalized'!$D:$D, MATCH($A167, 'UA-normalized'!$A:$A, 0))-INDEX('UA-normalized'!$E:$E, MATCH($A167, 'UA-normalized'!$A:$A, 0))), 0), 0))+(IFERROR(IF(17*INDEX('KZ-normalized'!$D:$D, MATCH($A167, 'KZ-normalized'!$A:$A, 0))-INDEX('KZ-normalized'!$E:$E, MATCH($A167, 'KZ-normalized'!$A:$A, 0))&gt;0, -(17*INDEX('KZ-normalized'!$D:$D, MATCH($A167, 'KZ-normalized'!$A:$A, 0))-INDEX('KZ-normalized'!$E:$E, MATCH($A167, 'KZ-normalized'!$A:$A, 0))), 0), 0))+(IFERROR(IF(17*INDEX('UZ-normalized'!$D:$D, MATCH($A167, 'UZ-normalized'!$A:$A, 0))-INDEX('UZ-normalized'!$E:$E, MATCH($A167, 'UZ-normalized'!$A:$A, 0))&gt;0, -(17*INDEX('UZ-normalized'!$D:$D, MATCH($A167, 'UZ-normalized'!$A:$A, 0))-INDEX('UZ-normalized'!$E:$E, MATCH($A167, 'UZ-normalized'!$A:$A, 0))), 0), 0)))</f>
        <v>0</v>
      </c>
      <c r="AF167" s="6">
        <f>MIN(0, N167+(IFERROR(IF(18*INDEX('UA-normalized'!$D:$D, MATCH($A167, 'UA-normalized'!$A:$A, 0))-INDEX('UA-normalized'!$E:$E, MATCH($A167, 'UA-normalized'!$A:$A, 0))&gt;0, -(18*INDEX('UA-normalized'!$D:$D, MATCH($A167, 'UA-normalized'!$A:$A, 0))-INDEX('UA-normalized'!$E:$E, MATCH($A167, 'UA-normalized'!$A:$A, 0))), 0), 0))+(IFERROR(IF(18*INDEX('KZ-normalized'!$D:$D, MATCH($A167, 'KZ-normalized'!$A:$A, 0))-INDEX('KZ-normalized'!$E:$E, MATCH($A167, 'KZ-normalized'!$A:$A, 0))&gt;0, -(18*INDEX('KZ-normalized'!$D:$D, MATCH($A167, 'KZ-normalized'!$A:$A, 0))-INDEX('KZ-normalized'!$E:$E, MATCH($A167, 'KZ-normalized'!$A:$A, 0))), 0), 0))+(IFERROR(IF(18*INDEX('UZ-normalized'!$D:$D, MATCH($A167, 'UZ-normalized'!$A:$A, 0))-INDEX('UZ-normalized'!$E:$E, MATCH($A167, 'UZ-normalized'!$A:$A, 0))&gt;0, -(18*INDEX('UZ-normalized'!$D:$D, MATCH($A167, 'UZ-normalized'!$A:$A, 0))-INDEX('UZ-normalized'!$E:$E, MATCH($A167, 'UZ-normalized'!$A:$A, 0))), 0), 0)))</f>
        <v>0</v>
      </c>
      <c r="AG167" s="6">
        <f>MIN(0, N167+(IFERROR(IF(19*INDEX('UA-normalized'!$D:$D, MATCH($A167, 'UA-normalized'!$A:$A, 0))-INDEX('UA-normalized'!$E:$E, MATCH($A167, 'UA-normalized'!$A:$A, 0))&gt;0, -(19*INDEX('UA-normalized'!$D:$D, MATCH($A167, 'UA-normalized'!$A:$A, 0))-INDEX('UA-normalized'!$E:$E, MATCH($A167, 'UA-normalized'!$A:$A, 0))), 0), 0))+(IFERROR(IF(19*INDEX('KZ-normalized'!$D:$D, MATCH($A167, 'KZ-normalized'!$A:$A, 0))-INDEX('KZ-normalized'!$E:$E, MATCH($A167, 'KZ-normalized'!$A:$A, 0))&gt;0, -(19*INDEX('KZ-normalized'!$D:$D, MATCH($A167, 'KZ-normalized'!$A:$A, 0))-INDEX('KZ-normalized'!$E:$E, MATCH($A167, 'KZ-normalized'!$A:$A, 0))), 0), 0))+(IFERROR(IF(19*INDEX('UZ-normalized'!$D:$D, MATCH($A167, 'UZ-normalized'!$A:$A, 0))-INDEX('UZ-normalized'!$E:$E, MATCH($A167, 'UZ-normalized'!$A:$A, 0))&gt;0, -(19*INDEX('UZ-normalized'!$D:$D, MATCH($A167, 'UZ-normalized'!$A:$A, 0))-INDEX('UZ-normalized'!$E:$E, MATCH($A167, 'UZ-normalized'!$A:$A, 0))), 0), 0)))</f>
        <v>0</v>
      </c>
      <c r="AH167" s="6">
        <f>MIN(0, N167+(IFERROR(IF(20*INDEX('UA-normalized'!$D:$D, MATCH($A167, 'UA-normalized'!$A:$A, 0))-INDEX('UA-normalized'!$E:$E, MATCH($A167, 'UA-normalized'!$A:$A, 0))&gt;0, -(20*INDEX('UA-normalized'!$D:$D, MATCH($A167, 'UA-normalized'!$A:$A, 0))-INDEX('UA-normalized'!$E:$E, MATCH($A167, 'UA-normalized'!$A:$A, 0))), 0), 0))+(IFERROR(IF(20*INDEX('KZ-normalized'!$D:$D, MATCH($A167, 'KZ-normalized'!$A:$A, 0))-INDEX('KZ-normalized'!$E:$E, MATCH($A167, 'KZ-normalized'!$A:$A, 0))&gt;0, -(20*INDEX('KZ-normalized'!$D:$D, MATCH($A167, 'KZ-normalized'!$A:$A, 0))-INDEX('KZ-normalized'!$E:$E, MATCH($A167, 'KZ-normalized'!$A:$A, 0))), 0), 0))+(IFERROR(IF(20*INDEX('UZ-normalized'!$D:$D, MATCH($A167, 'UZ-normalized'!$A:$A, 0))-INDEX('UZ-normalized'!$E:$E, MATCH($A167, 'UZ-normalized'!$A:$A, 0))&gt;0, -(20*INDEX('UZ-normalized'!$D:$D, MATCH($A167, 'UZ-normalized'!$A:$A, 0))-INDEX('UZ-normalized'!$E:$E, MATCH($A167, 'UZ-normalized'!$A:$A, 0))), 0), 0)))</f>
        <v>0</v>
      </c>
      <c r="AI167" s="6">
        <f>MIN(0, N167+(IFERROR(IF(21*INDEX('UA-normalized'!$D:$D, MATCH($A167, 'UA-normalized'!$A:$A, 0))-INDEX('UA-normalized'!$E:$E, MATCH($A167, 'UA-normalized'!$A:$A, 0))&gt;0, -(21*INDEX('UA-normalized'!$D:$D, MATCH($A167, 'UA-normalized'!$A:$A, 0))-INDEX('UA-normalized'!$E:$E, MATCH($A167, 'UA-normalized'!$A:$A, 0))), 0), 0))+(IFERROR(IF(21*INDEX('KZ-normalized'!$D:$D, MATCH($A167, 'KZ-normalized'!$A:$A, 0))-INDEX('KZ-normalized'!$E:$E, MATCH($A167, 'KZ-normalized'!$A:$A, 0))&gt;0, -(21*INDEX('KZ-normalized'!$D:$D, MATCH($A167, 'KZ-normalized'!$A:$A, 0))-INDEX('KZ-normalized'!$E:$E, MATCH($A167, 'KZ-normalized'!$A:$A, 0))), 0), 0))+(IFERROR(IF(21*INDEX('UZ-normalized'!$D:$D, MATCH($A167, 'UZ-normalized'!$A:$A, 0))-INDEX('UZ-normalized'!$E:$E, MATCH($A167, 'UZ-normalized'!$A:$A, 0))&gt;0, -(21*INDEX('UZ-normalized'!$D:$D, MATCH($A167, 'UZ-normalized'!$A:$A, 0))-INDEX('UZ-normalized'!$E:$E, MATCH($A167, 'UZ-normalized'!$A:$A, 0))), 0), 0)))</f>
        <v>0</v>
      </c>
      <c r="AJ167" s="6">
        <f>MIN(0, N167+(IFERROR(IF(22*INDEX('UA-normalized'!$D:$D, MATCH($A167, 'UA-normalized'!$A:$A, 0))-INDEX('UA-normalized'!$E:$E, MATCH($A167, 'UA-normalized'!$A:$A, 0))&gt;0, -(22*INDEX('UA-normalized'!$D:$D, MATCH($A167, 'UA-normalized'!$A:$A, 0))-INDEX('UA-normalized'!$E:$E, MATCH($A167, 'UA-normalized'!$A:$A, 0))), 0), 0))+(IFERROR(IF(22*INDEX('KZ-normalized'!$D:$D, MATCH($A167, 'KZ-normalized'!$A:$A, 0))-INDEX('KZ-normalized'!$E:$E, MATCH($A167, 'KZ-normalized'!$A:$A, 0))&gt;0, -(22*INDEX('KZ-normalized'!$D:$D, MATCH($A167, 'KZ-normalized'!$A:$A, 0))-INDEX('KZ-normalized'!$E:$E, MATCH($A167, 'KZ-normalized'!$A:$A, 0))), 0), 0))+(IFERROR(IF(22*INDEX('UZ-normalized'!$D:$D, MATCH($A167, 'UZ-normalized'!$A:$A, 0))-INDEX('UZ-normalized'!$E:$E, MATCH($A167, 'UZ-normalized'!$A:$A, 0))&gt;0, -(22*INDEX('UZ-normalized'!$D:$D, MATCH($A167, 'UZ-normalized'!$A:$A, 0))-INDEX('UZ-normalized'!$E:$E, MATCH($A167, 'UZ-normalized'!$A:$A, 0))), 0), 0)))</f>
        <v>0</v>
      </c>
      <c r="AK167" s="6">
        <f>MIN(0, N167+(IFERROR(IF(23*INDEX('UA-normalized'!$D:$D, MATCH($A167, 'UA-normalized'!$A:$A, 0))-INDEX('UA-normalized'!$E:$E, MATCH($A167, 'UA-normalized'!$A:$A, 0))&gt;0, -(23*INDEX('UA-normalized'!$D:$D, MATCH($A167, 'UA-normalized'!$A:$A, 0))-INDEX('UA-normalized'!$E:$E, MATCH($A167, 'UA-normalized'!$A:$A, 0))), 0), 0))+(IFERROR(IF(23*INDEX('KZ-normalized'!$D:$D, MATCH($A167, 'KZ-normalized'!$A:$A, 0))-INDEX('KZ-normalized'!$E:$E, MATCH($A167, 'KZ-normalized'!$A:$A, 0))&gt;0, -(23*INDEX('KZ-normalized'!$D:$D, MATCH($A167, 'KZ-normalized'!$A:$A, 0))-INDEX('KZ-normalized'!$E:$E, MATCH($A167, 'KZ-normalized'!$A:$A, 0))), 0), 0))+(IFERROR(IF(23*INDEX('UZ-normalized'!$D:$D, MATCH($A167, 'UZ-normalized'!$A:$A, 0))-INDEX('UZ-normalized'!$E:$E, MATCH($A167, 'UZ-normalized'!$A:$A, 0))&gt;0, -(23*INDEX('UZ-normalized'!$D:$D, MATCH($A167, 'UZ-normalized'!$A:$A, 0))-INDEX('UZ-normalized'!$E:$E, MATCH($A167, 'UZ-normalized'!$A:$A, 0))), 0), 0)))</f>
        <v>0</v>
      </c>
      <c r="AL167" s="6">
        <f>MIN(0, N167+(IFERROR(IF(24*INDEX('UA-normalized'!$D:$D, MATCH($A167, 'UA-normalized'!$A:$A, 0))-INDEX('UA-normalized'!$E:$E, MATCH($A167, 'UA-normalized'!$A:$A, 0))&gt;0, -(24*INDEX('UA-normalized'!$D:$D, MATCH($A167, 'UA-normalized'!$A:$A, 0))-INDEX('UA-normalized'!$E:$E, MATCH($A167, 'UA-normalized'!$A:$A, 0))), 0), 0))+(IFERROR(IF(24*INDEX('KZ-normalized'!$D:$D, MATCH($A167, 'KZ-normalized'!$A:$A, 0))-INDEX('KZ-normalized'!$E:$E, MATCH($A167, 'KZ-normalized'!$A:$A, 0))&gt;0, -(24*INDEX('KZ-normalized'!$D:$D, MATCH($A167, 'KZ-normalized'!$A:$A, 0))-INDEX('KZ-normalized'!$E:$E, MATCH($A167, 'KZ-normalized'!$A:$A, 0))), 0), 0))+(IFERROR(IF(24*INDEX('UZ-normalized'!$D:$D, MATCH($A167, 'UZ-normalized'!$A:$A, 0))-INDEX('UZ-normalized'!$E:$E, MATCH($A167, 'UZ-normalized'!$A:$A, 0))&gt;0, -(24*INDEX('UZ-normalized'!$D:$D, MATCH($A167, 'UZ-normalized'!$A:$A, 0))-INDEX('UZ-normalized'!$E:$E, MATCH($A167, 'UZ-normalized'!$A:$A, 0))), 0), 0)))</f>
        <v>0</v>
      </c>
      <c r="AM167" s="6">
        <f>MIN(0, N167+(IFERROR(IF(25*INDEX('UA-normalized'!$D:$D, MATCH($A167, 'UA-normalized'!$A:$A, 0))-INDEX('UA-normalized'!$E:$E, MATCH($A167, 'UA-normalized'!$A:$A, 0))&gt;0, -(25*INDEX('UA-normalized'!$D:$D, MATCH($A167, 'UA-normalized'!$A:$A, 0))-INDEX('UA-normalized'!$E:$E, MATCH($A167, 'UA-normalized'!$A:$A, 0))), 0), 0))+(IFERROR(IF(25*INDEX('KZ-normalized'!$D:$D, MATCH($A167, 'KZ-normalized'!$A:$A, 0))-INDEX('KZ-normalized'!$E:$E, MATCH($A167, 'KZ-normalized'!$A:$A, 0))&gt;0, -(25*INDEX('KZ-normalized'!$D:$D, MATCH($A167, 'KZ-normalized'!$A:$A, 0))-INDEX('KZ-normalized'!$E:$E, MATCH($A167, 'KZ-normalized'!$A:$A, 0))), 0), 0))+(IFERROR(IF(25*INDEX('UZ-normalized'!$D:$D, MATCH($A167, 'UZ-normalized'!$A:$A, 0))-INDEX('UZ-normalized'!$E:$E, MATCH($A167, 'UZ-normalized'!$A:$A, 0))&gt;0, -(25*INDEX('UZ-normalized'!$D:$D, MATCH($A167, 'UZ-normalized'!$A:$A, 0))-INDEX('UZ-normalized'!$E:$E, MATCH($A167, 'UZ-normalized'!$A:$A, 0))), 0), 0)))</f>
        <v>0</v>
      </c>
      <c r="AN167" s="6">
        <f>MIN(0, N167+(IFERROR(IF(26*INDEX('UA-normalized'!$D:$D, MATCH($A167, 'UA-normalized'!$A:$A, 0))-INDEX('UA-normalized'!$E:$E, MATCH($A167, 'UA-normalized'!$A:$A, 0))&gt;0, -(26*INDEX('UA-normalized'!$D:$D, MATCH($A167, 'UA-normalized'!$A:$A, 0))-INDEX('UA-normalized'!$E:$E, MATCH($A167, 'UA-normalized'!$A:$A, 0))), 0), 0))+(IFERROR(IF(26*INDEX('KZ-normalized'!$D:$D, MATCH($A167, 'KZ-normalized'!$A:$A, 0))-INDEX('KZ-normalized'!$E:$E, MATCH($A167, 'KZ-normalized'!$A:$A, 0))&gt;0, -(26*INDEX('KZ-normalized'!$D:$D, MATCH($A167, 'KZ-normalized'!$A:$A, 0))-INDEX('KZ-normalized'!$E:$E, MATCH($A167, 'KZ-normalized'!$A:$A, 0))), 0), 0))+(IFERROR(IF(26*INDEX('UZ-normalized'!$D:$D, MATCH($A167, 'UZ-normalized'!$A:$A, 0))-INDEX('UZ-normalized'!$E:$E, MATCH($A167, 'UZ-normalized'!$A:$A, 0))&gt;0, -(26*INDEX('UZ-normalized'!$D:$D, MATCH($A167, 'UZ-normalized'!$A:$A, 0))-INDEX('UZ-normalized'!$E:$E, MATCH($A167, 'UZ-normalized'!$A:$A, 0))), 0), 0)))</f>
        <v>0</v>
      </c>
      <c r="AO167" s="6">
        <f>MIN(0, N167+(IFERROR(IF(27*INDEX('UA-normalized'!$D:$D, MATCH($A167, 'UA-normalized'!$A:$A, 0))-INDEX('UA-normalized'!$E:$E, MATCH($A167, 'UA-normalized'!$A:$A, 0))&gt;0, -(27*INDEX('UA-normalized'!$D:$D, MATCH($A167, 'UA-normalized'!$A:$A, 0))-INDEX('UA-normalized'!$E:$E, MATCH($A167, 'UA-normalized'!$A:$A, 0))), 0), 0))+(IFERROR(IF(27*INDEX('KZ-normalized'!$D:$D, MATCH($A167, 'KZ-normalized'!$A:$A, 0))-INDEX('KZ-normalized'!$E:$E, MATCH($A167, 'KZ-normalized'!$A:$A, 0))&gt;0, -(27*INDEX('KZ-normalized'!$D:$D, MATCH($A167, 'KZ-normalized'!$A:$A, 0))-INDEX('KZ-normalized'!$E:$E, MATCH($A167, 'KZ-normalized'!$A:$A, 0))), 0), 0))+(IFERROR(IF(27*INDEX('UZ-normalized'!$D:$D, MATCH($A167, 'UZ-normalized'!$A:$A, 0))-INDEX('UZ-normalized'!$E:$E, MATCH($A167, 'UZ-normalized'!$A:$A, 0))&gt;0, -(27*INDEX('UZ-normalized'!$D:$D, MATCH($A167, 'UZ-normalized'!$A:$A, 0))-INDEX('UZ-normalized'!$E:$E, MATCH($A167, 'UZ-normalized'!$A:$A, 0))), 0), 0)))</f>
        <v>0</v>
      </c>
      <c r="AP167" s="6">
        <f>MIN(0, N167+(IFERROR(IF(28*INDEX('UA-normalized'!$D:$D, MATCH($A167, 'UA-normalized'!$A:$A, 0))-INDEX('UA-normalized'!$E:$E, MATCH($A167, 'UA-normalized'!$A:$A, 0))&gt;0, -(28*INDEX('UA-normalized'!$D:$D, MATCH($A167, 'UA-normalized'!$A:$A, 0))-INDEX('UA-normalized'!$E:$E, MATCH($A167, 'UA-normalized'!$A:$A, 0))), 0), 0))+(IFERROR(IF(28*INDEX('KZ-normalized'!$D:$D, MATCH($A167, 'KZ-normalized'!$A:$A, 0))-INDEX('KZ-normalized'!$E:$E, MATCH($A167, 'KZ-normalized'!$A:$A, 0))&gt;0, -(28*INDEX('KZ-normalized'!$D:$D, MATCH($A167, 'KZ-normalized'!$A:$A, 0))-INDEX('KZ-normalized'!$E:$E, MATCH($A167, 'KZ-normalized'!$A:$A, 0))), 0), 0))+(IFERROR(IF(28*INDEX('UZ-normalized'!$D:$D, MATCH($A167, 'UZ-normalized'!$A:$A, 0))-INDEX('UZ-normalized'!$E:$E, MATCH($A167, 'UZ-normalized'!$A:$A, 0))&gt;0, -(28*INDEX('UZ-normalized'!$D:$D, MATCH($A167, 'UZ-normalized'!$A:$A, 0))-INDEX('UZ-normalized'!$E:$E, MATCH($A167, 'UZ-normalized'!$A:$A, 0))), 0), 0)))</f>
        <v>0</v>
      </c>
      <c r="AQ167" s="6">
        <f>MIN(0, N167+(IFERROR(IF(29*INDEX('UA-normalized'!$D:$D, MATCH($A167, 'UA-normalized'!$A:$A, 0))-INDEX('UA-normalized'!$E:$E, MATCH($A167, 'UA-normalized'!$A:$A, 0))&gt;0, -(29*INDEX('UA-normalized'!$D:$D, MATCH($A167, 'UA-normalized'!$A:$A, 0))-INDEX('UA-normalized'!$E:$E, MATCH($A167, 'UA-normalized'!$A:$A, 0))), 0), 0))+(IFERROR(IF(29*INDEX('KZ-normalized'!$D:$D, MATCH($A167, 'KZ-normalized'!$A:$A, 0))-INDEX('KZ-normalized'!$E:$E, MATCH($A167, 'KZ-normalized'!$A:$A, 0))&gt;0, -(29*INDEX('KZ-normalized'!$D:$D, MATCH($A167, 'KZ-normalized'!$A:$A, 0))-INDEX('KZ-normalized'!$E:$E, MATCH($A167, 'KZ-normalized'!$A:$A, 0))), 0), 0))+(IFERROR(IF(29*INDEX('UZ-normalized'!$D:$D, MATCH($A167, 'UZ-normalized'!$A:$A, 0))-INDEX('UZ-normalized'!$E:$E, MATCH($A167, 'UZ-normalized'!$A:$A, 0))&gt;0, -(29*INDEX('UZ-normalized'!$D:$D, MATCH($A167, 'UZ-normalized'!$A:$A, 0))-INDEX('UZ-normalized'!$E:$E, MATCH($A167, 'UZ-normalized'!$A:$A, 0))), 0), 0)))</f>
        <v>0</v>
      </c>
      <c r="AR167" s="6">
        <f>MIN(0, N167+(IFERROR(IF(30*INDEX('UA-normalized'!$D:$D, MATCH($A167, 'UA-normalized'!$A:$A, 0))-INDEX('UA-normalized'!$E:$E, MATCH($A167, 'UA-normalized'!$A:$A, 0))&gt;0, -(30*INDEX('UA-normalized'!$D:$D, MATCH($A167, 'UA-normalized'!$A:$A, 0))-INDEX('UA-normalized'!$E:$E, MATCH($A167, 'UA-normalized'!$A:$A, 0))), 0), 0))+(IFERROR(IF(30*INDEX('KZ-normalized'!$D:$D, MATCH($A167, 'KZ-normalized'!$A:$A, 0))-INDEX('KZ-normalized'!$E:$E, MATCH($A167, 'KZ-normalized'!$A:$A, 0))&gt;0, -(30*INDEX('KZ-normalized'!$D:$D, MATCH($A167, 'KZ-normalized'!$A:$A, 0))-INDEX('KZ-normalized'!$E:$E, MATCH($A167, 'KZ-normalized'!$A:$A, 0))), 0), 0))+(IFERROR(IF(30*INDEX('UZ-normalized'!$D:$D, MATCH($A167, 'UZ-normalized'!$A:$A, 0))-INDEX('UZ-normalized'!$E:$E, MATCH($A167, 'UZ-normalized'!$A:$A, 0))&gt;0, -(30*INDEX('UZ-normalized'!$D:$D, MATCH($A167, 'UZ-normalized'!$A:$A, 0))-INDEX('UZ-normalized'!$E:$E, MATCH($A167, 'UZ-normalized'!$A:$A, 0))), 0), 0)))</f>
        <v>0</v>
      </c>
    </row>
    <row r="168" spans="1:44" x14ac:dyDescent="0.25">
      <c r="A168" s="8" t="s">
        <v>402</v>
      </c>
      <c r="B168" s="8" t="s">
        <v>393</v>
      </c>
      <c r="C168" s="8" t="s">
        <v>394</v>
      </c>
      <c r="D168" s="8" t="s">
        <v>403</v>
      </c>
      <c r="N168">
        <f t="shared" si="2"/>
        <v>0</v>
      </c>
      <c r="O168" s="6">
        <f>MIN(0, N168+(IFERROR(IF(1*INDEX('UA-normalized'!$D:$D, MATCH($A168, 'UA-normalized'!$A:$A, 0))-INDEX('UA-normalized'!$E:$E, MATCH($A168, 'UA-normalized'!$A:$A, 0))&gt;0, -(1*INDEX('UA-normalized'!$D:$D, MATCH($A168, 'UA-normalized'!$A:$A, 0))-INDEX('UA-normalized'!$E:$E, MATCH($A168, 'UA-normalized'!$A:$A, 0))), 0), 0))+(IFERROR(IF(1*INDEX('KZ-normalized'!$D:$D, MATCH($A168, 'KZ-normalized'!$A:$A, 0))-INDEX('KZ-normalized'!$E:$E, MATCH($A168, 'KZ-normalized'!$A:$A, 0))&gt;0, -(1*INDEX('KZ-normalized'!$D:$D, MATCH($A168, 'KZ-normalized'!$A:$A, 0))-INDEX('KZ-normalized'!$E:$E, MATCH($A168, 'KZ-normalized'!$A:$A, 0))), 0), 0))+(IFERROR(IF(1*INDEX('UZ-normalized'!$D:$D, MATCH($A168, 'UZ-normalized'!$A:$A, 0))-INDEX('UZ-normalized'!$E:$E, MATCH($A168, 'UZ-normalized'!$A:$A, 0))&gt;0, -(1*INDEX('UZ-normalized'!$D:$D, MATCH($A168, 'UZ-normalized'!$A:$A, 0))-INDEX('UZ-normalized'!$E:$E, MATCH($A168, 'UZ-normalized'!$A:$A, 0))), 0), 0)))</f>
        <v>0</v>
      </c>
      <c r="P168" s="6">
        <f>MIN(0, N168+(IFERROR(IF(2*INDEX('UA-normalized'!$D:$D, MATCH($A168, 'UA-normalized'!$A:$A, 0))-INDEX('UA-normalized'!$E:$E, MATCH($A168, 'UA-normalized'!$A:$A, 0))&gt;0, -(2*INDEX('UA-normalized'!$D:$D, MATCH($A168, 'UA-normalized'!$A:$A, 0))-INDEX('UA-normalized'!$E:$E, MATCH($A168, 'UA-normalized'!$A:$A, 0))), 0), 0))+(IFERROR(IF(2*INDEX('KZ-normalized'!$D:$D, MATCH($A168, 'KZ-normalized'!$A:$A, 0))-INDEX('KZ-normalized'!$E:$E, MATCH($A168, 'KZ-normalized'!$A:$A, 0))&gt;0, -(2*INDEX('KZ-normalized'!$D:$D, MATCH($A168, 'KZ-normalized'!$A:$A, 0))-INDEX('KZ-normalized'!$E:$E, MATCH($A168, 'KZ-normalized'!$A:$A, 0))), 0), 0))+(IFERROR(IF(2*INDEX('UZ-normalized'!$D:$D, MATCH($A168, 'UZ-normalized'!$A:$A, 0))-INDEX('UZ-normalized'!$E:$E, MATCH($A168, 'UZ-normalized'!$A:$A, 0))&gt;0, -(2*INDEX('UZ-normalized'!$D:$D, MATCH($A168, 'UZ-normalized'!$A:$A, 0))-INDEX('UZ-normalized'!$E:$E, MATCH($A168, 'UZ-normalized'!$A:$A, 0))), 0), 0)))</f>
        <v>0</v>
      </c>
      <c r="Q168" s="6">
        <f>MIN(0, N168+(IFERROR(IF(3*INDEX('UA-normalized'!$D:$D, MATCH($A168, 'UA-normalized'!$A:$A, 0))-INDEX('UA-normalized'!$E:$E, MATCH($A168, 'UA-normalized'!$A:$A, 0))&gt;0, -(3*INDEX('UA-normalized'!$D:$D, MATCH($A168, 'UA-normalized'!$A:$A, 0))-INDEX('UA-normalized'!$E:$E, MATCH($A168, 'UA-normalized'!$A:$A, 0))), 0), 0))+(IFERROR(IF(3*INDEX('KZ-normalized'!$D:$D, MATCH($A168, 'KZ-normalized'!$A:$A, 0))-INDEX('KZ-normalized'!$E:$E, MATCH($A168, 'KZ-normalized'!$A:$A, 0))&gt;0, -(3*INDEX('KZ-normalized'!$D:$D, MATCH($A168, 'KZ-normalized'!$A:$A, 0))-INDEX('KZ-normalized'!$E:$E, MATCH($A168, 'KZ-normalized'!$A:$A, 0))), 0), 0))+(IFERROR(IF(3*INDEX('UZ-normalized'!$D:$D, MATCH($A168, 'UZ-normalized'!$A:$A, 0))-INDEX('UZ-normalized'!$E:$E, MATCH($A168, 'UZ-normalized'!$A:$A, 0))&gt;0, -(3*INDEX('UZ-normalized'!$D:$D, MATCH($A168, 'UZ-normalized'!$A:$A, 0))-INDEX('UZ-normalized'!$E:$E, MATCH($A168, 'UZ-normalized'!$A:$A, 0))), 0), 0)))</f>
        <v>0</v>
      </c>
      <c r="R168" s="6">
        <f>MIN(0, N168+(IFERROR(IF(4*INDEX('UA-normalized'!$D:$D, MATCH($A168, 'UA-normalized'!$A:$A, 0))-INDEX('UA-normalized'!$E:$E, MATCH($A168, 'UA-normalized'!$A:$A, 0))&gt;0, -(4*INDEX('UA-normalized'!$D:$D, MATCH($A168, 'UA-normalized'!$A:$A, 0))-INDEX('UA-normalized'!$E:$E, MATCH($A168, 'UA-normalized'!$A:$A, 0))), 0), 0))+(IFERROR(IF(4*INDEX('KZ-normalized'!$D:$D, MATCH($A168, 'KZ-normalized'!$A:$A, 0))-INDEX('KZ-normalized'!$E:$E, MATCH($A168, 'KZ-normalized'!$A:$A, 0))&gt;0, -(4*INDEX('KZ-normalized'!$D:$D, MATCH($A168, 'KZ-normalized'!$A:$A, 0))-INDEX('KZ-normalized'!$E:$E, MATCH($A168, 'KZ-normalized'!$A:$A, 0))), 0), 0))+(IFERROR(IF(4*INDEX('UZ-normalized'!$D:$D, MATCH($A168, 'UZ-normalized'!$A:$A, 0))-INDEX('UZ-normalized'!$E:$E, MATCH($A168, 'UZ-normalized'!$A:$A, 0))&gt;0, -(4*INDEX('UZ-normalized'!$D:$D, MATCH($A168, 'UZ-normalized'!$A:$A, 0))-INDEX('UZ-normalized'!$E:$E, MATCH($A168, 'UZ-normalized'!$A:$A, 0))), 0), 0)))</f>
        <v>0</v>
      </c>
      <c r="S168" s="6">
        <f>MIN(0, N168+(IFERROR(IF(5*INDEX('UA-normalized'!$D:$D, MATCH($A168, 'UA-normalized'!$A:$A, 0))-INDEX('UA-normalized'!$E:$E, MATCH($A168, 'UA-normalized'!$A:$A, 0))&gt;0, -(5*INDEX('UA-normalized'!$D:$D, MATCH($A168, 'UA-normalized'!$A:$A, 0))-INDEX('UA-normalized'!$E:$E, MATCH($A168, 'UA-normalized'!$A:$A, 0))), 0), 0))+(IFERROR(IF(5*INDEX('KZ-normalized'!$D:$D, MATCH($A168, 'KZ-normalized'!$A:$A, 0))-INDEX('KZ-normalized'!$E:$E, MATCH($A168, 'KZ-normalized'!$A:$A, 0))&gt;0, -(5*INDEX('KZ-normalized'!$D:$D, MATCH($A168, 'KZ-normalized'!$A:$A, 0))-INDEX('KZ-normalized'!$E:$E, MATCH($A168, 'KZ-normalized'!$A:$A, 0))), 0), 0))+(IFERROR(IF(5*INDEX('UZ-normalized'!$D:$D, MATCH($A168, 'UZ-normalized'!$A:$A, 0))-INDEX('UZ-normalized'!$E:$E, MATCH($A168, 'UZ-normalized'!$A:$A, 0))&gt;0, -(5*INDEX('UZ-normalized'!$D:$D, MATCH($A168, 'UZ-normalized'!$A:$A, 0))-INDEX('UZ-normalized'!$E:$E, MATCH($A168, 'UZ-normalized'!$A:$A, 0))), 0), 0)))</f>
        <v>0</v>
      </c>
      <c r="T168" s="6">
        <f>MIN(0, N168+(IFERROR(IF(6*INDEX('UA-normalized'!$D:$D, MATCH($A168, 'UA-normalized'!$A:$A, 0))-INDEX('UA-normalized'!$E:$E, MATCH($A168, 'UA-normalized'!$A:$A, 0))&gt;0, -(6*INDEX('UA-normalized'!$D:$D, MATCH($A168, 'UA-normalized'!$A:$A, 0))-INDEX('UA-normalized'!$E:$E, MATCH($A168, 'UA-normalized'!$A:$A, 0))), 0), 0))+(IFERROR(IF(6*INDEX('KZ-normalized'!$D:$D, MATCH($A168, 'KZ-normalized'!$A:$A, 0))-INDEX('KZ-normalized'!$E:$E, MATCH($A168, 'KZ-normalized'!$A:$A, 0))&gt;0, -(6*INDEX('KZ-normalized'!$D:$D, MATCH($A168, 'KZ-normalized'!$A:$A, 0))-INDEX('KZ-normalized'!$E:$E, MATCH($A168, 'KZ-normalized'!$A:$A, 0))), 0), 0))+(IFERROR(IF(6*INDEX('UZ-normalized'!$D:$D, MATCH($A168, 'UZ-normalized'!$A:$A, 0))-INDEX('UZ-normalized'!$E:$E, MATCH($A168, 'UZ-normalized'!$A:$A, 0))&gt;0, -(6*INDEX('UZ-normalized'!$D:$D, MATCH($A168, 'UZ-normalized'!$A:$A, 0))-INDEX('UZ-normalized'!$E:$E, MATCH($A168, 'UZ-normalized'!$A:$A, 0))), 0), 0)))</f>
        <v>0</v>
      </c>
      <c r="U168" s="6">
        <f>MIN(0, N168+(IFERROR(IF(7*INDEX('UA-normalized'!$D:$D, MATCH($A168, 'UA-normalized'!$A:$A, 0))-INDEX('UA-normalized'!$E:$E, MATCH($A168, 'UA-normalized'!$A:$A, 0))&gt;0, -(7*INDEX('UA-normalized'!$D:$D, MATCH($A168, 'UA-normalized'!$A:$A, 0))-INDEX('UA-normalized'!$E:$E, MATCH($A168, 'UA-normalized'!$A:$A, 0))), 0), 0))+(IFERROR(IF(7*INDEX('KZ-normalized'!$D:$D, MATCH($A168, 'KZ-normalized'!$A:$A, 0))-INDEX('KZ-normalized'!$E:$E, MATCH($A168, 'KZ-normalized'!$A:$A, 0))&gt;0, -(7*INDEX('KZ-normalized'!$D:$D, MATCH($A168, 'KZ-normalized'!$A:$A, 0))-INDEX('KZ-normalized'!$E:$E, MATCH($A168, 'KZ-normalized'!$A:$A, 0))), 0), 0))+(IFERROR(IF(7*INDEX('UZ-normalized'!$D:$D, MATCH($A168, 'UZ-normalized'!$A:$A, 0))-INDEX('UZ-normalized'!$E:$E, MATCH($A168, 'UZ-normalized'!$A:$A, 0))&gt;0, -(7*INDEX('UZ-normalized'!$D:$D, MATCH($A168, 'UZ-normalized'!$A:$A, 0))-INDEX('UZ-normalized'!$E:$E, MATCH($A168, 'UZ-normalized'!$A:$A, 0))), 0), 0)))</f>
        <v>0</v>
      </c>
      <c r="V168" s="6">
        <f>MIN(0, N168+(IFERROR(IF(8*INDEX('UA-normalized'!$D:$D, MATCH($A168, 'UA-normalized'!$A:$A, 0))-INDEX('UA-normalized'!$E:$E, MATCH($A168, 'UA-normalized'!$A:$A, 0))&gt;0, -(8*INDEX('UA-normalized'!$D:$D, MATCH($A168, 'UA-normalized'!$A:$A, 0))-INDEX('UA-normalized'!$E:$E, MATCH($A168, 'UA-normalized'!$A:$A, 0))), 0), 0))+(IFERROR(IF(8*INDEX('KZ-normalized'!$D:$D, MATCH($A168, 'KZ-normalized'!$A:$A, 0))-INDEX('KZ-normalized'!$E:$E, MATCH($A168, 'KZ-normalized'!$A:$A, 0))&gt;0, -(8*INDEX('KZ-normalized'!$D:$D, MATCH($A168, 'KZ-normalized'!$A:$A, 0))-INDEX('KZ-normalized'!$E:$E, MATCH($A168, 'KZ-normalized'!$A:$A, 0))), 0), 0))+(IFERROR(IF(8*INDEX('UZ-normalized'!$D:$D, MATCH($A168, 'UZ-normalized'!$A:$A, 0))-INDEX('UZ-normalized'!$E:$E, MATCH($A168, 'UZ-normalized'!$A:$A, 0))&gt;0, -(8*INDEX('UZ-normalized'!$D:$D, MATCH($A168, 'UZ-normalized'!$A:$A, 0))-INDEX('UZ-normalized'!$E:$E, MATCH($A168, 'UZ-normalized'!$A:$A, 0))), 0), 0)))</f>
        <v>0</v>
      </c>
      <c r="W168" s="6">
        <f>MIN(0, N168+(IFERROR(IF(9*INDEX('UA-normalized'!$D:$D, MATCH($A168, 'UA-normalized'!$A:$A, 0))-INDEX('UA-normalized'!$E:$E, MATCH($A168, 'UA-normalized'!$A:$A, 0))&gt;0, -(9*INDEX('UA-normalized'!$D:$D, MATCH($A168, 'UA-normalized'!$A:$A, 0))-INDEX('UA-normalized'!$E:$E, MATCH($A168, 'UA-normalized'!$A:$A, 0))), 0), 0))+(IFERROR(IF(9*INDEX('KZ-normalized'!$D:$D, MATCH($A168, 'KZ-normalized'!$A:$A, 0))-INDEX('KZ-normalized'!$E:$E, MATCH($A168, 'KZ-normalized'!$A:$A, 0))&gt;0, -(9*INDEX('KZ-normalized'!$D:$D, MATCH($A168, 'KZ-normalized'!$A:$A, 0))-INDEX('KZ-normalized'!$E:$E, MATCH($A168, 'KZ-normalized'!$A:$A, 0))), 0), 0))+(IFERROR(IF(9*INDEX('UZ-normalized'!$D:$D, MATCH($A168, 'UZ-normalized'!$A:$A, 0))-INDEX('UZ-normalized'!$E:$E, MATCH($A168, 'UZ-normalized'!$A:$A, 0))&gt;0, -(9*INDEX('UZ-normalized'!$D:$D, MATCH($A168, 'UZ-normalized'!$A:$A, 0))-INDEX('UZ-normalized'!$E:$E, MATCH($A168, 'UZ-normalized'!$A:$A, 0))), 0), 0)))</f>
        <v>-1.6500000000000021</v>
      </c>
      <c r="X168" s="6">
        <f>MIN(0, N168+(IFERROR(IF(10*INDEX('UA-normalized'!$D:$D, MATCH($A168, 'UA-normalized'!$A:$A, 0))-INDEX('UA-normalized'!$E:$E, MATCH($A168, 'UA-normalized'!$A:$A, 0))&gt;0, -(10*INDEX('UA-normalized'!$D:$D, MATCH($A168, 'UA-normalized'!$A:$A, 0))-INDEX('UA-normalized'!$E:$E, MATCH($A168, 'UA-normalized'!$A:$A, 0))), 0), 0))+(IFERROR(IF(10*INDEX('KZ-normalized'!$D:$D, MATCH($A168, 'KZ-normalized'!$A:$A, 0))-INDEX('KZ-normalized'!$E:$E, MATCH($A168, 'KZ-normalized'!$A:$A, 0))&gt;0, -(10*INDEX('KZ-normalized'!$D:$D, MATCH($A168, 'KZ-normalized'!$A:$A, 0))-INDEX('KZ-normalized'!$E:$E, MATCH($A168, 'KZ-normalized'!$A:$A, 0))), 0), 0))+(IFERROR(IF(10*INDEX('UZ-normalized'!$D:$D, MATCH($A168, 'UZ-normalized'!$A:$A, 0))-INDEX('UZ-normalized'!$E:$E, MATCH($A168, 'UZ-normalized'!$A:$A, 0))&gt;0, -(10*INDEX('UZ-normalized'!$D:$D, MATCH($A168, 'UZ-normalized'!$A:$A, 0))-INDEX('UZ-normalized'!$E:$E, MATCH($A168, 'UZ-normalized'!$A:$A, 0))), 0), 0)))</f>
        <v>-3.5</v>
      </c>
      <c r="Y168" s="6">
        <f>MIN(0, N168+(IFERROR(IF(11*INDEX('UA-normalized'!$D:$D, MATCH($A168, 'UA-normalized'!$A:$A, 0))-INDEX('UA-normalized'!$E:$E, MATCH($A168, 'UA-normalized'!$A:$A, 0))&gt;0, -(11*INDEX('UA-normalized'!$D:$D, MATCH($A168, 'UA-normalized'!$A:$A, 0))-INDEX('UA-normalized'!$E:$E, MATCH($A168, 'UA-normalized'!$A:$A, 0))), 0), 0))+(IFERROR(IF(11*INDEX('KZ-normalized'!$D:$D, MATCH($A168, 'KZ-normalized'!$A:$A, 0))-INDEX('KZ-normalized'!$E:$E, MATCH($A168, 'KZ-normalized'!$A:$A, 0))&gt;0, -(11*INDEX('KZ-normalized'!$D:$D, MATCH($A168, 'KZ-normalized'!$A:$A, 0))-INDEX('KZ-normalized'!$E:$E, MATCH($A168, 'KZ-normalized'!$A:$A, 0))), 0), 0))+(IFERROR(IF(11*INDEX('UZ-normalized'!$D:$D, MATCH($A168, 'UZ-normalized'!$A:$A, 0))-INDEX('UZ-normalized'!$E:$E, MATCH($A168, 'UZ-normalized'!$A:$A, 0))&gt;0, -(11*INDEX('UZ-normalized'!$D:$D, MATCH($A168, 'UZ-normalized'!$A:$A, 0))-INDEX('UZ-normalized'!$E:$E, MATCH($A168, 'UZ-normalized'!$A:$A, 0))), 0), 0)))</f>
        <v>-5.3500000000000014</v>
      </c>
      <c r="Z168" s="6">
        <f>MIN(0, N168+(IFERROR(IF(12*INDEX('UA-normalized'!$D:$D, MATCH($A168, 'UA-normalized'!$A:$A, 0))-INDEX('UA-normalized'!$E:$E, MATCH($A168, 'UA-normalized'!$A:$A, 0))&gt;0, -(12*INDEX('UA-normalized'!$D:$D, MATCH($A168, 'UA-normalized'!$A:$A, 0))-INDEX('UA-normalized'!$E:$E, MATCH($A168, 'UA-normalized'!$A:$A, 0))), 0), 0))+(IFERROR(IF(12*INDEX('KZ-normalized'!$D:$D, MATCH($A168, 'KZ-normalized'!$A:$A, 0))-INDEX('KZ-normalized'!$E:$E, MATCH($A168, 'KZ-normalized'!$A:$A, 0))&gt;0, -(12*INDEX('KZ-normalized'!$D:$D, MATCH($A168, 'KZ-normalized'!$A:$A, 0))-INDEX('KZ-normalized'!$E:$E, MATCH($A168, 'KZ-normalized'!$A:$A, 0))), 0), 0))+(IFERROR(IF(12*INDEX('UZ-normalized'!$D:$D, MATCH($A168, 'UZ-normalized'!$A:$A, 0))-INDEX('UZ-normalized'!$E:$E, MATCH($A168, 'UZ-normalized'!$A:$A, 0))&gt;0, -(12*INDEX('UZ-normalized'!$D:$D, MATCH($A168, 'UZ-normalized'!$A:$A, 0))-INDEX('UZ-normalized'!$E:$E, MATCH($A168, 'UZ-normalized'!$A:$A, 0))), 0), 0)))</f>
        <v>-7.2000000000000028</v>
      </c>
      <c r="AA168" s="6">
        <f>MIN(0, N168+(IFERROR(IF(13*INDEX('UA-normalized'!$D:$D, MATCH($A168, 'UA-normalized'!$A:$A, 0))-INDEX('UA-normalized'!$E:$E, MATCH($A168, 'UA-normalized'!$A:$A, 0))&gt;0, -(13*INDEX('UA-normalized'!$D:$D, MATCH($A168, 'UA-normalized'!$A:$A, 0))-INDEX('UA-normalized'!$E:$E, MATCH($A168, 'UA-normalized'!$A:$A, 0))), 0), 0))+(IFERROR(IF(13*INDEX('KZ-normalized'!$D:$D, MATCH($A168, 'KZ-normalized'!$A:$A, 0))-INDEX('KZ-normalized'!$E:$E, MATCH($A168, 'KZ-normalized'!$A:$A, 0))&gt;0, -(13*INDEX('KZ-normalized'!$D:$D, MATCH($A168, 'KZ-normalized'!$A:$A, 0))-INDEX('KZ-normalized'!$E:$E, MATCH($A168, 'KZ-normalized'!$A:$A, 0))), 0), 0))+(IFERROR(IF(13*INDEX('UZ-normalized'!$D:$D, MATCH($A168, 'UZ-normalized'!$A:$A, 0))-INDEX('UZ-normalized'!$E:$E, MATCH($A168, 'UZ-normalized'!$A:$A, 0))&gt;0, -(13*INDEX('UZ-normalized'!$D:$D, MATCH($A168, 'UZ-normalized'!$A:$A, 0))-INDEX('UZ-normalized'!$E:$E, MATCH($A168, 'UZ-normalized'!$A:$A, 0))), 0), 0)))</f>
        <v>-9.0500000000000007</v>
      </c>
      <c r="AB168" s="6">
        <f>MIN(0, N168+(IFERROR(IF(14*INDEX('UA-normalized'!$D:$D, MATCH($A168, 'UA-normalized'!$A:$A, 0))-INDEX('UA-normalized'!$E:$E, MATCH($A168, 'UA-normalized'!$A:$A, 0))&gt;0, -(14*INDEX('UA-normalized'!$D:$D, MATCH($A168, 'UA-normalized'!$A:$A, 0))-INDEX('UA-normalized'!$E:$E, MATCH($A168, 'UA-normalized'!$A:$A, 0))), 0), 0))+(IFERROR(IF(14*INDEX('KZ-normalized'!$D:$D, MATCH($A168, 'KZ-normalized'!$A:$A, 0))-INDEX('KZ-normalized'!$E:$E, MATCH($A168, 'KZ-normalized'!$A:$A, 0))&gt;0, -(14*INDEX('KZ-normalized'!$D:$D, MATCH($A168, 'KZ-normalized'!$A:$A, 0))-INDEX('KZ-normalized'!$E:$E, MATCH($A168, 'KZ-normalized'!$A:$A, 0))), 0), 0))+(IFERROR(IF(14*INDEX('UZ-normalized'!$D:$D, MATCH($A168, 'UZ-normalized'!$A:$A, 0))-INDEX('UZ-normalized'!$E:$E, MATCH($A168, 'UZ-normalized'!$A:$A, 0))&gt;0, -(14*INDEX('UZ-normalized'!$D:$D, MATCH($A168, 'UZ-normalized'!$A:$A, 0))-INDEX('UZ-normalized'!$E:$E, MATCH($A168, 'UZ-normalized'!$A:$A, 0))), 0), 0)))</f>
        <v>-10.900000000000002</v>
      </c>
      <c r="AC168" s="6">
        <f>MIN(0, N168+(IFERROR(IF(15*INDEX('UA-normalized'!$D:$D, MATCH($A168, 'UA-normalized'!$A:$A, 0))-INDEX('UA-normalized'!$E:$E, MATCH($A168, 'UA-normalized'!$A:$A, 0))&gt;0, -(15*INDEX('UA-normalized'!$D:$D, MATCH($A168, 'UA-normalized'!$A:$A, 0))-INDEX('UA-normalized'!$E:$E, MATCH($A168, 'UA-normalized'!$A:$A, 0))), 0), 0))+(IFERROR(IF(15*INDEX('KZ-normalized'!$D:$D, MATCH($A168, 'KZ-normalized'!$A:$A, 0))-INDEX('KZ-normalized'!$E:$E, MATCH($A168, 'KZ-normalized'!$A:$A, 0))&gt;0, -(15*INDEX('KZ-normalized'!$D:$D, MATCH($A168, 'KZ-normalized'!$A:$A, 0))-INDEX('KZ-normalized'!$E:$E, MATCH($A168, 'KZ-normalized'!$A:$A, 0))), 0), 0))+(IFERROR(IF(15*INDEX('UZ-normalized'!$D:$D, MATCH($A168, 'UZ-normalized'!$A:$A, 0))-INDEX('UZ-normalized'!$E:$E, MATCH($A168, 'UZ-normalized'!$A:$A, 0))&gt;0, -(15*INDEX('UZ-normalized'!$D:$D, MATCH($A168, 'UZ-normalized'!$A:$A, 0))-INDEX('UZ-normalized'!$E:$E, MATCH($A168, 'UZ-normalized'!$A:$A, 0))), 0), 0)))</f>
        <v>-12.75</v>
      </c>
      <c r="AD168" s="6">
        <f>MIN(0, N168+(IFERROR(IF(16*INDEX('UA-normalized'!$D:$D, MATCH($A168, 'UA-normalized'!$A:$A, 0))-INDEX('UA-normalized'!$E:$E, MATCH($A168, 'UA-normalized'!$A:$A, 0))&gt;0, -(16*INDEX('UA-normalized'!$D:$D, MATCH($A168, 'UA-normalized'!$A:$A, 0))-INDEX('UA-normalized'!$E:$E, MATCH($A168, 'UA-normalized'!$A:$A, 0))), 0), 0))+(IFERROR(IF(16*INDEX('KZ-normalized'!$D:$D, MATCH($A168, 'KZ-normalized'!$A:$A, 0))-INDEX('KZ-normalized'!$E:$E, MATCH($A168, 'KZ-normalized'!$A:$A, 0))&gt;0, -(16*INDEX('KZ-normalized'!$D:$D, MATCH($A168, 'KZ-normalized'!$A:$A, 0))-INDEX('KZ-normalized'!$E:$E, MATCH($A168, 'KZ-normalized'!$A:$A, 0))), 0), 0))+(IFERROR(IF(16*INDEX('UZ-normalized'!$D:$D, MATCH($A168, 'UZ-normalized'!$A:$A, 0))-INDEX('UZ-normalized'!$E:$E, MATCH($A168, 'UZ-normalized'!$A:$A, 0))&gt;0, -(16*INDEX('UZ-normalized'!$D:$D, MATCH($A168, 'UZ-normalized'!$A:$A, 0))-INDEX('UZ-normalized'!$E:$E, MATCH($A168, 'UZ-normalized'!$A:$A, 0))), 0), 0)))</f>
        <v>-14.600000000000001</v>
      </c>
      <c r="AE168" s="6">
        <f>MIN(0, N168+(IFERROR(IF(17*INDEX('UA-normalized'!$D:$D, MATCH($A168, 'UA-normalized'!$A:$A, 0))-INDEX('UA-normalized'!$E:$E, MATCH($A168, 'UA-normalized'!$A:$A, 0))&gt;0, -(17*INDEX('UA-normalized'!$D:$D, MATCH($A168, 'UA-normalized'!$A:$A, 0))-INDEX('UA-normalized'!$E:$E, MATCH($A168, 'UA-normalized'!$A:$A, 0))), 0), 0))+(IFERROR(IF(17*INDEX('KZ-normalized'!$D:$D, MATCH($A168, 'KZ-normalized'!$A:$A, 0))-INDEX('KZ-normalized'!$E:$E, MATCH($A168, 'KZ-normalized'!$A:$A, 0))&gt;0, -(17*INDEX('KZ-normalized'!$D:$D, MATCH($A168, 'KZ-normalized'!$A:$A, 0))-INDEX('KZ-normalized'!$E:$E, MATCH($A168, 'KZ-normalized'!$A:$A, 0))), 0), 0))+(IFERROR(IF(17*INDEX('UZ-normalized'!$D:$D, MATCH($A168, 'UZ-normalized'!$A:$A, 0))-INDEX('UZ-normalized'!$E:$E, MATCH($A168, 'UZ-normalized'!$A:$A, 0))&gt;0, -(17*INDEX('UZ-normalized'!$D:$D, MATCH($A168, 'UZ-normalized'!$A:$A, 0))-INDEX('UZ-normalized'!$E:$E, MATCH($A168, 'UZ-normalized'!$A:$A, 0))), 0), 0)))</f>
        <v>-16.450000000000003</v>
      </c>
      <c r="AF168" s="6">
        <f>MIN(0, N168+(IFERROR(IF(18*INDEX('UA-normalized'!$D:$D, MATCH($A168, 'UA-normalized'!$A:$A, 0))-INDEX('UA-normalized'!$E:$E, MATCH($A168, 'UA-normalized'!$A:$A, 0))&gt;0, -(18*INDEX('UA-normalized'!$D:$D, MATCH($A168, 'UA-normalized'!$A:$A, 0))-INDEX('UA-normalized'!$E:$E, MATCH($A168, 'UA-normalized'!$A:$A, 0))), 0), 0))+(IFERROR(IF(18*INDEX('KZ-normalized'!$D:$D, MATCH($A168, 'KZ-normalized'!$A:$A, 0))-INDEX('KZ-normalized'!$E:$E, MATCH($A168, 'KZ-normalized'!$A:$A, 0))&gt;0, -(18*INDEX('KZ-normalized'!$D:$D, MATCH($A168, 'KZ-normalized'!$A:$A, 0))-INDEX('KZ-normalized'!$E:$E, MATCH($A168, 'KZ-normalized'!$A:$A, 0))), 0), 0))+(IFERROR(IF(18*INDEX('UZ-normalized'!$D:$D, MATCH($A168, 'UZ-normalized'!$A:$A, 0))-INDEX('UZ-normalized'!$E:$E, MATCH($A168, 'UZ-normalized'!$A:$A, 0))&gt;0, -(18*INDEX('UZ-normalized'!$D:$D, MATCH($A168, 'UZ-normalized'!$A:$A, 0))-INDEX('UZ-normalized'!$E:$E, MATCH($A168, 'UZ-normalized'!$A:$A, 0))), 0), 0)))</f>
        <v>-18.300000000000004</v>
      </c>
      <c r="AG168" s="6">
        <f>MIN(0, N168+(IFERROR(IF(19*INDEX('UA-normalized'!$D:$D, MATCH($A168, 'UA-normalized'!$A:$A, 0))-INDEX('UA-normalized'!$E:$E, MATCH($A168, 'UA-normalized'!$A:$A, 0))&gt;0, -(19*INDEX('UA-normalized'!$D:$D, MATCH($A168, 'UA-normalized'!$A:$A, 0))-INDEX('UA-normalized'!$E:$E, MATCH($A168, 'UA-normalized'!$A:$A, 0))), 0), 0))+(IFERROR(IF(19*INDEX('KZ-normalized'!$D:$D, MATCH($A168, 'KZ-normalized'!$A:$A, 0))-INDEX('KZ-normalized'!$E:$E, MATCH($A168, 'KZ-normalized'!$A:$A, 0))&gt;0, -(19*INDEX('KZ-normalized'!$D:$D, MATCH($A168, 'KZ-normalized'!$A:$A, 0))-INDEX('KZ-normalized'!$E:$E, MATCH($A168, 'KZ-normalized'!$A:$A, 0))), 0), 0))+(IFERROR(IF(19*INDEX('UZ-normalized'!$D:$D, MATCH($A168, 'UZ-normalized'!$A:$A, 0))-INDEX('UZ-normalized'!$E:$E, MATCH($A168, 'UZ-normalized'!$A:$A, 0))&gt;0, -(19*INDEX('UZ-normalized'!$D:$D, MATCH($A168, 'UZ-normalized'!$A:$A, 0))-INDEX('UZ-normalized'!$E:$E, MATCH($A168, 'UZ-normalized'!$A:$A, 0))), 0), 0)))</f>
        <v>-20.149999999999999</v>
      </c>
      <c r="AH168" s="6">
        <f>MIN(0, N168+(IFERROR(IF(20*INDEX('UA-normalized'!$D:$D, MATCH($A168, 'UA-normalized'!$A:$A, 0))-INDEX('UA-normalized'!$E:$E, MATCH($A168, 'UA-normalized'!$A:$A, 0))&gt;0, -(20*INDEX('UA-normalized'!$D:$D, MATCH($A168, 'UA-normalized'!$A:$A, 0))-INDEX('UA-normalized'!$E:$E, MATCH($A168, 'UA-normalized'!$A:$A, 0))), 0), 0))+(IFERROR(IF(20*INDEX('KZ-normalized'!$D:$D, MATCH($A168, 'KZ-normalized'!$A:$A, 0))-INDEX('KZ-normalized'!$E:$E, MATCH($A168, 'KZ-normalized'!$A:$A, 0))&gt;0, -(20*INDEX('KZ-normalized'!$D:$D, MATCH($A168, 'KZ-normalized'!$A:$A, 0))-INDEX('KZ-normalized'!$E:$E, MATCH($A168, 'KZ-normalized'!$A:$A, 0))), 0), 0))+(IFERROR(IF(20*INDEX('UZ-normalized'!$D:$D, MATCH($A168, 'UZ-normalized'!$A:$A, 0))-INDEX('UZ-normalized'!$E:$E, MATCH($A168, 'UZ-normalized'!$A:$A, 0))&gt;0, -(20*INDEX('UZ-normalized'!$D:$D, MATCH($A168, 'UZ-normalized'!$A:$A, 0))-INDEX('UZ-normalized'!$E:$E, MATCH($A168, 'UZ-normalized'!$A:$A, 0))), 0), 0)))</f>
        <v>-22</v>
      </c>
      <c r="AI168" s="6">
        <f>MIN(0, N168+(IFERROR(IF(21*INDEX('UA-normalized'!$D:$D, MATCH($A168, 'UA-normalized'!$A:$A, 0))-INDEX('UA-normalized'!$E:$E, MATCH($A168, 'UA-normalized'!$A:$A, 0))&gt;0, -(21*INDEX('UA-normalized'!$D:$D, MATCH($A168, 'UA-normalized'!$A:$A, 0))-INDEX('UA-normalized'!$E:$E, MATCH($A168, 'UA-normalized'!$A:$A, 0))), 0), 0))+(IFERROR(IF(21*INDEX('KZ-normalized'!$D:$D, MATCH($A168, 'KZ-normalized'!$A:$A, 0))-INDEX('KZ-normalized'!$E:$E, MATCH($A168, 'KZ-normalized'!$A:$A, 0))&gt;0, -(21*INDEX('KZ-normalized'!$D:$D, MATCH($A168, 'KZ-normalized'!$A:$A, 0))-INDEX('KZ-normalized'!$E:$E, MATCH($A168, 'KZ-normalized'!$A:$A, 0))), 0), 0))+(IFERROR(IF(21*INDEX('UZ-normalized'!$D:$D, MATCH($A168, 'UZ-normalized'!$A:$A, 0))-INDEX('UZ-normalized'!$E:$E, MATCH($A168, 'UZ-normalized'!$A:$A, 0))&gt;0, -(21*INDEX('UZ-normalized'!$D:$D, MATCH($A168, 'UZ-normalized'!$A:$A, 0))-INDEX('UZ-normalized'!$E:$E, MATCH($A168, 'UZ-normalized'!$A:$A, 0))), 0), 0)))</f>
        <v>-23.85</v>
      </c>
      <c r="AJ168" s="6">
        <f>MIN(0, N168+(IFERROR(IF(22*INDEX('UA-normalized'!$D:$D, MATCH($A168, 'UA-normalized'!$A:$A, 0))-INDEX('UA-normalized'!$E:$E, MATCH($A168, 'UA-normalized'!$A:$A, 0))&gt;0, -(22*INDEX('UA-normalized'!$D:$D, MATCH($A168, 'UA-normalized'!$A:$A, 0))-INDEX('UA-normalized'!$E:$E, MATCH($A168, 'UA-normalized'!$A:$A, 0))), 0), 0))+(IFERROR(IF(22*INDEX('KZ-normalized'!$D:$D, MATCH($A168, 'KZ-normalized'!$A:$A, 0))-INDEX('KZ-normalized'!$E:$E, MATCH($A168, 'KZ-normalized'!$A:$A, 0))&gt;0, -(22*INDEX('KZ-normalized'!$D:$D, MATCH($A168, 'KZ-normalized'!$A:$A, 0))-INDEX('KZ-normalized'!$E:$E, MATCH($A168, 'KZ-normalized'!$A:$A, 0))), 0), 0))+(IFERROR(IF(22*INDEX('UZ-normalized'!$D:$D, MATCH($A168, 'UZ-normalized'!$A:$A, 0))-INDEX('UZ-normalized'!$E:$E, MATCH($A168, 'UZ-normalized'!$A:$A, 0))&gt;0, -(22*INDEX('UZ-normalized'!$D:$D, MATCH($A168, 'UZ-normalized'!$A:$A, 0))-INDEX('UZ-normalized'!$E:$E, MATCH($A168, 'UZ-normalized'!$A:$A, 0))), 0), 0)))</f>
        <v>-25.700000000000003</v>
      </c>
      <c r="AK168" s="6">
        <f>MIN(0, N168+(IFERROR(IF(23*INDEX('UA-normalized'!$D:$D, MATCH($A168, 'UA-normalized'!$A:$A, 0))-INDEX('UA-normalized'!$E:$E, MATCH($A168, 'UA-normalized'!$A:$A, 0))&gt;0, -(23*INDEX('UA-normalized'!$D:$D, MATCH($A168, 'UA-normalized'!$A:$A, 0))-INDEX('UA-normalized'!$E:$E, MATCH($A168, 'UA-normalized'!$A:$A, 0))), 0), 0))+(IFERROR(IF(23*INDEX('KZ-normalized'!$D:$D, MATCH($A168, 'KZ-normalized'!$A:$A, 0))-INDEX('KZ-normalized'!$E:$E, MATCH($A168, 'KZ-normalized'!$A:$A, 0))&gt;0, -(23*INDEX('KZ-normalized'!$D:$D, MATCH($A168, 'KZ-normalized'!$A:$A, 0))-INDEX('KZ-normalized'!$E:$E, MATCH($A168, 'KZ-normalized'!$A:$A, 0))), 0), 0))+(IFERROR(IF(23*INDEX('UZ-normalized'!$D:$D, MATCH($A168, 'UZ-normalized'!$A:$A, 0))-INDEX('UZ-normalized'!$E:$E, MATCH($A168, 'UZ-normalized'!$A:$A, 0))&gt;0, -(23*INDEX('UZ-normalized'!$D:$D, MATCH($A168, 'UZ-normalized'!$A:$A, 0))-INDEX('UZ-normalized'!$E:$E, MATCH($A168, 'UZ-normalized'!$A:$A, 0))), 0), 0)))</f>
        <v>-27.550000000000004</v>
      </c>
      <c r="AL168" s="6">
        <f>MIN(0, N168+(IFERROR(IF(24*INDEX('UA-normalized'!$D:$D, MATCH($A168, 'UA-normalized'!$A:$A, 0))-INDEX('UA-normalized'!$E:$E, MATCH($A168, 'UA-normalized'!$A:$A, 0))&gt;0, -(24*INDEX('UA-normalized'!$D:$D, MATCH($A168, 'UA-normalized'!$A:$A, 0))-INDEX('UA-normalized'!$E:$E, MATCH($A168, 'UA-normalized'!$A:$A, 0))), 0), 0))+(IFERROR(IF(24*INDEX('KZ-normalized'!$D:$D, MATCH($A168, 'KZ-normalized'!$A:$A, 0))-INDEX('KZ-normalized'!$E:$E, MATCH($A168, 'KZ-normalized'!$A:$A, 0))&gt;0, -(24*INDEX('KZ-normalized'!$D:$D, MATCH($A168, 'KZ-normalized'!$A:$A, 0))-INDEX('KZ-normalized'!$E:$E, MATCH($A168, 'KZ-normalized'!$A:$A, 0))), 0), 0))+(IFERROR(IF(24*INDEX('UZ-normalized'!$D:$D, MATCH($A168, 'UZ-normalized'!$A:$A, 0))-INDEX('UZ-normalized'!$E:$E, MATCH($A168, 'UZ-normalized'!$A:$A, 0))&gt;0, -(24*INDEX('UZ-normalized'!$D:$D, MATCH($A168, 'UZ-normalized'!$A:$A, 0))-INDEX('UZ-normalized'!$E:$E, MATCH($A168, 'UZ-normalized'!$A:$A, 0))), 0), 0)))</f>
        <v>-29.400000000000006</v>
      </c>
      <c r="AM168" s="6">
        <f>MIN(0, N168+(IFERROR(IF(25*INDEX('UA-normalized'!$D:$D, MATCH($A168, 'UA-normalized'!$A:$A, 0))-INDEX('UA-normalized'!$E:$E, MATCH($A168, 'UA-normalized'!$A:$A, 0))&gt;0, -(25*INDEX('UA-normalized'!$D:$D, MATCH($A168, 'UA-normalized'!$A:$A, 0))-INDEX('UA-normalized'!$E:$E, MATCH($A168, 'UA-normalized'!$A:$A, 0))), 0), 0))+(IFERROR(IF(25*INDEX('KZ-normalized'!$D:$D, MATCH($A168, 'KZ-normalized'!$A:$A, 0))-INDEX('KZ-normalized'!$E:$E, MATCH($A168, 'KZ-normalized'!$A:$A, 0))&gt;0, -(25*INDEX('KZ-normalized'!$D:$D, MATCH($A168, 'KZ-normalized'!$A:$A, 0))-INDEX('KZ-normalized'!$E:$E, MATCH($A168, 'KZ-normalized'!$A:$A, 0))), 0), 0))+(IFERROR(IF(25*INDEX('UZ-normalized'!$D:$D, MATCH($A168, 'UZ-normalized'!$A:$A, 0))-INDEX('UZ-normalized'!$E:$E, MATCH($A168, 'UZ-normalized'!$A:$A, 0))&gt;0, -(25*INDEX('UZ-normalized'!$D:$D, MATCH($A168, 'UZ-normalized'!$A:$A, 0))-INDEX('UZ-normalized'!$E:$E, MATCH($A168, 'UZ-normalized'!$A:$A, 0))), 0), 0)))</f>
        <v>-31.25</v>
      </c>
      <c r="AN168" s="6">
        <f>MIN(0, N168+(IFERROR(IF(26*INDEX('UA-normalized'!$D:$D, MATCH($A168, 'UA-normalized'!$A:$A, 0))-INDEX('UA-normalized'!$E:$E, MATCH($A168, 'UA-normalized'!$A:$A, 0))&gt;0, -(26*INDEX('UA-normalized'!$D:$D, MATCH($A168, 'UA-normalized'!$A:$A, 0))-INDEX('UA-normalized'!$E:$E, MATCH($A168, 'UA-normalized'!$A:$A, 0))), 0), 0))+(IFERROR(IF(26*INDEX('KZ-normalized'!$D:$D, MATCH($A168, 'KZ-normalized'!$A:$A, 0))-INDEX('KZ-normalized'!$E:$E, MATCH($A168, 'KZ-normalized'!$A:$A, 0))&gt;0, -(26*INDEX('KZ-normalized'!$D:$D, MATCH($A168, 'KZ-normalized'!$A:$A, 0))-INDEX('KZ-normalized'!$E:$E, MATCH($A168, 'KZ-normalized'!$A:$A, 0))), 0), 0))+(IFERROR(IF(26*INDEX('UZ-normalized'!$D:$D, MATCH($A168, 'UZ-normalized'!$A:$A, 0))-INDEX('UZ-normalized'!$E:$E, MATCH($A168, 'UZ-normalized'!$A:$A, 0))&gt;0, -(26*INDEX('UZ-normalized'!$D:$D, MATCH($A168, 'UZ-normalized'!$A:$A, 0))-INDEX('UZ-normalized'!$E:$E, MATCH($A168, 'UZ-normalized'!$A:$A, 0))), 0), 0)))</f>
        <v>-33.1</v>
      </c>
      <c r="AO168" s="6">
        <f>MIN(0, N168+(IFERROR(IF(27*INDEX('UA-normalized'!$D:$D, MATCH($A168, 'UA-normalized'!$A:$A, 0))-INDEX('UA-normalized'!$E:$E, MATCH($A168, 'UA-normalized'!$A:$A, 0))&gt;0, -(27*INDEX('UA-normalized'!$D:$D, MATCH($A168, 'UA-normalized'!$A:$A, 0))-INDEX('UA-normalized'!$E:$E, MATCH($A168, 'UA-normalized'!$A:$A, 0))), 0), 0))+(IFERROR(IF(27*INDEX('KZ-normalized'!$D:$D, MATCH($A168, 'KZ-normalized'!$A:$A, 0))-INDEX('KZ-normalized'!$E:$E, MATCH($A168, 'KZ-normalized'!$A:$A, 0))&gt;0, -(27*INDEX('KZ-normalized'!$D:$D, MATCH($A168, 'KZ-normalized'!$A:$A, 0))-INDEX('KZ-normalized'!$E:$E, MATCH($A168, 'KZ-normalized'!$A:$A, 0))), 0), 0))+(IFERROR(IF(27*INDEX('UZ-normalized'!$D:$D, MATCH($A168, 'UZ-normalized'!$A:$A, 0))-INDEX('UZ-normalized'!$E:$E, MATCH($A168, 'UZ-normalized'!$A:$A, 0))&gt;0, -(27*INDEX('UZ-normalized'!$D:$D, MATCH($A168, 'UZ-normalized'!$A:$A, 0))-INDEX('UZ-normalized'!$E:$E, MATCH($A168, 'UZ-normalized'!$A:$A, 0))), 0), 0)))</f>
        <v>-34.950000000000003</v>
      </c>
      <c r="AP168" s="6">
        <f>MIN(0, N168+(IFERROR(IF(28*INDEX('UA-normalized'!$D:$D, MATCH($A168, 'UA-normalized'!$A:$A, 0))-INDEX('UA-normalized'!$E:$E, MATCH($A168, 'UA-normalized'!$A:$A, 0))&gt;0, -(28*INDEX('UA-normalized'!$D:$D, MATCH($A168, 'UA-normalized'!$A:$A, 0))-INDEX('UA-normalized'!$E:$E, MATCH($A168, 'UA-normalized'!$A:$A, 0))), 0), 0))+(IFERROR(IF(28*INDEX('KZ-normalized'!$D:$D, MATCH($A168, 'KZ-normalized'!$A:$A, 0))-INDEX('KZ-normalized'!$E:$E, MATCH($A168, 'KZ-normalized'!$A:$A, 0))&gt;0, -(28*INDEX('KZ-normalized'!$D:$D, MATCH($A168, 'KZ-normalized'!$A:$A, 0))-INDEX('KZ-normalized'!$E:$E, MATCH($A168, 'KZ-normalized'!$A:$A, 0))), 0), 0))+(IFERROR(IF(28*INDEX('UZ-normalized'!$D:$D, MATCH($A168, 'UZ-normalized'!$A:$A, 0))-INDEX('UZ-normalized'!$E:$E, MATCH($A168, 'UZ-normalized'!$A:$A, 0))&gt;0, -(28*INDEX('UZ-normalized'!$D:$D, MATCH($A168, 'UZ-normalized'!$A:$A, 0))-INDEX('UZ-normalized'!$E:$E, MATCH($A168, 'UZ-normalized'!$A:$A, 0))), 0), 0)))</f>
        <v>-36.800000000000004</v>
      </c>
      <c r="AQ168" s="6">
        <f>MIN(0, N168+(IFERROR(IF(29*INDEX('UA-normalized'!$D:$D, MATCH($A168, 'UA-normalized'!$A:$A, 0))-INDEX('UA-normalized'!$E:$E, MATCH($A168, 'UA-normalized'!$A:$A, 0))&gt;0, -(29*INDEX('UA-normalized'!$D:$D, MATCH($A168, 'UA-normalized'!$A:$A, 0))-INDEX('UA-normalized'!$E:$E, MATCH($A168, 'UA-normalized'!$A:$A, 0))), 0), 0))+(IFERROR(IF(29*INDEX('KZ-normalized'!$D:$D, MATCH($A168, 'KZ-normalized'!$A:$A, 0))-INDEX('KZ-normalized'!$E:$E, MATCH($A168, 'KZ-normalized'!$A:$A, 0))&gt;0, -(29*INDEX('KZ-normalized'!$D:$D, MATCH($A168, 'KZ-normalized'!$A:$A, 0))-INDEX('KZ-normalized'!$E:$E, MATCH($A168, 'KZ-normalized'!$A:$A, 0))), 0), 0))+(IFERROR(IF(29*INDEX('UZ-normalized'!$D:$D, MATCH($A168, 'UZ-normalized'!$A:$A, 0))-INDEX('UZ-normalized'!$E:$E, MATCH($A168, 'UZ-normalized'!$A:$A, 0))&gt;0, -(29*INDEX('UZ-normalized'!$D:$D, MATCH($A168, 'UZ-normalized'!$A:$A, 0))-INDEX('UZ-normalized'!$E:$E, MATCH($A168, 'UZ-normalized'!$A:$A, 0))), 0), 0)))</f>
        <v>-38.650000000000006</v>
      </c>
      <c r="AR168" s="6">
        <f>MIN(0, N168+(IFERROR(IF(30*INDEX('UA-normalized'!$D:$D, MATCH($A168, 'UA-normalized'!$A:$A, 0))-INDEX('UA-normalized'!$E:$E, MATCH($A168, 'UA-normalized'!$A:$A, 0))&gt;0, -(30*INDEX('UA-normalized'!$D:$D, MATCH($A168, 'UA-normalized'!$A:$A, 0))-INDEX('UA-normalized'!$E:$E, MATCH($A168, 'UA-normalized'!$A:$A, 0))), 0), 0))+(IFERROR(IF(30*INDEX('KZ-normalized'!$D:$D, MATCH($A168, 'KZ-normalized'!$A:$A, 0))-INDEX('KZ-normalized'!$E:$E, MATCH($A168, 'KZ-normalized'!$A:$A, 0))&gt;0, -(30*INDEX('KZ-normalized'!$D:$D, MATCH($A168, 'KZ-normalized'!$A:$A, 0))-INDEX('KZ-normalized'!$E:$E, MATCH($A168, 'KZ-normalized'!$A:$A, 0))), 0), 0))+(IFERROR(IF(30*INDEX('UZ-normalized'!$D:$D, MATCH($A168, 'UZ-normalized'!$A:$A, 0))-INDEX('UZ-normalized'!$E:$E, MATCH($A168, 'UZ-normalized'!$A:$A, 0))&gt;0, -(30*INDEX('UZ-normalized'!$D:$D, MATCH($A168, 'UZ-normalized'!$A:$A, 0))-INDEX('UZ-normalized'!$E:$E, MATCH($A168, 'UZ-normalized'!$A:$A, 0))), 0), 0)))</f>
        <v>-40.5</v>
      </c>
    </row>
    <row r="169" spans="1:44" x14ac:dyDescent="0.25">
      <c r="A169" s="8" t="s">
        <v>404</v>
      </c>
      <c r="B169" s="8" t="s">
        <v>393</v>
      </c>
      <c r="C169" s="8" t="s">
        <v>394</v>
      </c>
      <c r="D169" s="8" t="s">
        <v>405</v>
      </c>
      <c r="G169">
        <v>-20</v>
      </c>
      <c r="N169">
        <f t="shared" si="2"/>
        <v>-20</v>
      </c>
      <c r="O169" s="6">
        <f>MIN(0, N169+(IFERROR(IF(1*INDEX('UA-normalized'!$D:$D, MATCH($A169, 'UA-normalized'!$A:$A, 0))-INDEX('UA-normalized'!$E:$E, MATCH($A169, 'UA-normalized'!$A:$A, 0))&gt;0, -(1*INDEX('UA-normalized'!$D:$D, MATCH($A169, 'UA-normalized'!$A:$A, 0))-INDEX('UA-normalized'!$E:$E, MATCH($A169, 'UA-normalized'!$A:$A, 0))), 0), 0))+(IFERROR(IF(1*INDEX('KZ-normalized'!$D:$D, MATCH($A169, 'KZ-normalized'!$A:$A, 0))-INDEX('KZ-normalized'!$E:$E, MATCH($A169, 'KZ-normalized'!$A:$A, 0))&gt;0, -(1*INDEX('KZ-normalized'!$D:$D, MATCH($A169, 'KZ-normalized'!$A:$A, 0))-INDEX('KZ-normalized'!$E:$E, MATCH($A169, 'KZ-normalized'!$A:$A, 0))), 0), 0))+(IFERROR(IF(1*INDEX('UZ-normalized'!$D:$D, MATCH($A169, 'UZ-normalized'!$A:$A, 0))-INDEX('UZ-normalized'!$E:$E, MATCH($A169, 'UZ-normalized'!$A:$A, 0))&gt;0, -(1*INDEX('UZ-normalized'!$D:$D, MATCH($A169, 'UZ-normalized'!$A:$A, 0))-INDEX('UZ-normalized'!$E:$E, MATCH($A169, 'UZ-normalized'!$A:$A, 0))), 0), 0)))</f>
        <v>-20</v>
      </c>
      <c r="P169" s="6">
        <f>MIN(0, N169+(IFERROR(IF(2*INDEX('UA-normalized'!$D:$D, MATCH($A169, 'UA-normalized'!$A:$A, 0))-INDEX('UA-normalized'!$E:$E, MATCH($A169, 'UA-normalized'!$A:$A, 0))&gt;0, -(2*INDEX('UA-normalized'!$D:$D, MATCH($A169, 'UA-normalized'!$A:$A, 0))-INDEX('UA-normalized'!$E:$E, MATCH($A169, 'UA-normalized'!$A:$A, 0))), 0), 0))+(IFERROR(IF(2*INDEX('KZ-normalized'!$D:$D, MATCH($A169, 'KZ-normalized'!$A:$A, 0))-INDEX('KZ-normalized'!$E:$E, MATCH($A169, 'KZ-normalized'!$A:$A, 0))&gt;0, -(2*INDEX('KZ-normalized'!$D:$D, MATCH($A169, 'KZ-normalized'!$A:$A, 0))-INDEX('KZ-normalized'!$E:$E, MATCH($A169, 'KZ-normalized'!$A:$A, 0))), 0), 0))+(IFERROR(IF(2*INDEX('UZ-normalized'!$D:$D, MATCH($A169, 'UZ-normalized'!$A:$A, 0))-INDEX('UZ-normalized'!$E:$E, MATCH($A169, 'UZ-normalized'!$A:$A, 0))&gt;0, -(2*INDEX('UZ-normalized'!$D:$D, MATCH($A169, 'UZ-normalized'!$A:$A, 0))-INDEX('UZ-normalized'!$E:$E, MATCH($A169, 'UZ-normalized'!$A:$A, 0))), 0), 0)))</f>
        <v>-20</v>
      </c>
      <c r="Q169" s="6">
        <f>MIN(0, N169+(IFERROR(IF(3*INDEX('UA-normalized'!$D:$D, MATCH($A169, 'UA-normalized'!$A:$A, 0))-INDEX('UA-normalized'!$E:$E, MATCH($A169, 'UA-normalized'!$A:$A, 0))&gt;0, -(3*INDEX('UA-normalized'!$D:$D, MATCH($A169, 'UA-normalized'!$A:$A, 0))-INDEX('UA-normalized'!$E:$E, MATCH($A169, 'UA-normalized'!$A:$A, 0))), 0), 0))+(IFERROR(IF(3*INDEX('KZ-normalized'!$D:$D, MATCH($A169, 'KZ-normalized'!$A:$A, 0))-INDEX('KZ-normalized'!$E:$E, MATCH($A169, 'KZ-normalized'!$A:$A, 0))&gt;0, -(3*INDEX('KZ-normalized'!$D:$D, MATCH($A169, 'KZ-normalized'!$A:$A, 0))-INDEX('KZ-normalized'!$E:$E, MATCH($A169, 'KZ-normalized'!$A:$A, 0))), 0), 0))+(IFERROR(IF(3*INDEX('UZ-normalized'!$D:$D, MATCH($A169, 'UZ-normalized'!$A:$A, 0))-INDEX('UZ-normalized'!$E:$E, MATCH($A169, 'UZ-normalized'!$A:$A, 0))&gt;0, -(3*INDEX('UZ-normalized'!$D:$D, MATCH($A169, 'UZ-normalized'!$A:$A, 0))-INDEX('UZ-normalized'!$E:$E, MATCH($A169, 'UZ-normalized'!$A:$A, 0))), 0), 0)))</f>
        <v>-20</v>
      </c>
      <c r="R169" s="6">
        <f>MIN(0, N169+(IFERROR(IF(4*INDEX('UA-normalized'!$D:$D, MATCH($A169, 'UA-normalized'!$A:$A, 0))-INDEX('UA-normalized'!$E:$E, MATCH($A169, 'UA-normalized'!$A:$A, 0))&gt;0, -(4*INDEX('UA-normalized'!$D:$D, MATCH($A169, 'UA-normalized'!$A:$A, 0))-INDEX('UA-normalized'!$E:$E, MATCH($A169, 'UA-normalized'!$A:$A, 0))), 0), 0))+(IFERROR(IF(4*INDEX('KZ-normalized'!$D:$D, MATCH($A169, 'KZ-normalized'!$A:$A, 0))-INDEX('KZ-normalized'!$E:$E, MATCH($A169, 'KZ-normalized'!$A:$A, 0))&gt;0, -(4*INDEX('KZ-normalized'!$D:$D, MATCH($A169, 'KZ-normalized'!$A:$A, 0))-INDEX('KZ-normalized'!$E:$E, MATCH($A169, 'KZ-normalized'!$A:$A, 0))), 0), 0))+(IFERROR(IF(4*INDEX('UZ-normalized'!$D:$D, MATCH($A169, 'UZ-normalized'!$A:$A, 0))-INDEX('UZ-normalized'!$E:$E, MATCH($A169, 'UZ-normalized'!$A:$A, 0))&gt;0, -(4*INDEX('UZ-normalized'!$D:$D, MATCH($A169, 'UZ-normalized'!$A:$A, 0))-INDEX('UZ-normalized'!$E:$E, MATCH($A169, 'UZ-normalized'!$A:$A, 0))), 0), 0)))</f>
        <v>-20</v>
      </c>
      <c r="S169" s="6">
        <f>MIN(0, N169+(IFERROR(IF(5*INDEX('UA-normalized'!$D:$D, MATCH($A169, 'UA-normalized'!$A:$A, 0))-INDEX('UA-normalized'!$E:$E, MATCH($A169, 'UA-normalized'!$A:$A, 0))&gt;0, -(5*INDEX('UA-normalized'!$D:$D, MATCH($A169, 'UA-normalized'!$A:$A, 0))-INDEX('UA-normalized'!$E:$E, MATCH($A169, 'UA-normalized'!$A:$A, 0))), 0), 0))+(IFERROR(IF(5*INDEX('KZ-normalized'!$D:$D, MATCH($A169, 'KZ-normalized'!$A:$A, 0))-INDEX('KZ-normalized'!$E:$E, MATCH($A169, 'KZ-normalized'!$A:$A, 0))&gt;0, -(5*INDEX('KZ-normalized'!$D:$D, MATCH($A169, 'KZ-normalized'!$A:$A, 0))-INDEX('KZ-normalized'!$E:$E, MATCH($A169, 'KZ-normalized'!$A:$A, 0))), 0), 0))+(IFERROR(IF(5*INDEX('UZ-normalized'!$D:$D, MATCH($A169, 'UZ-normalized'!$A:$A, 0))-INDEX('UZ-normalized'!$E:$E, MATCH($A169, 'UZ-normalized'!$A:$A, 0))&gt;0, -(5*INDEX('UZ-normalized'!$D:$D, MATCH($A169, 'UZ-normalized'!$A:$A, 0))-INDEX('UZ-normalized'!$E:$E, MATCH($A169, 'UZ-normalized'!$A:$A, 0))), 0), 0)))</f>
        <v>-20</v>
      </c>
      <c r="T169" s="6">
        <f>MIN(0, N169+(IFERROR(IF(6*INDEX('UA-normalized'!$D:$D, MATCH($A169, 'UA-normalized'!$A:$A, 0))-INDEX('UA-normalized'!$E:$E, MATCH($A169, 'UA-normalized'!$A:$A, 0))&gt;0, -(6*INDEX('UA-normalized'!$D:$D, MATCH($A169, 'UA-normalized'!$A:$A, 0))-INDEX('UA-normalized'!$E:$E, MATCH($A169, 'UA-normalized'!$A:$A, 0))), 0), 0))+(IFERROR(IF(6*INDEX('KZ-normalized'!$D:$D, MATCH($A169, 'KZ-normalized'!$A:$A, 0))-INDEX('KZ-normalized'!$E:$E, MATCH($A169, 'KZ-normalized'!$A:$A, 0))&gt;0, -(6*INDEX('KZ-normalized'!$D:$D, MATCH($A169, 'KZ-normalized'!$A:$A, 0))-INDEX('KZ-normalized'!$E:$E, MATCH($A169, 'KZ-normalized'!$A:$A, 0))), 0), 0))+(IFERROR(IF(6*INDEX('UZ-normalized'!$D:$D, MATCH($A169, 'UZ-normalized'!$A:$A, 0))-INDEX('UZ-normalized'!$E:$E, MATCH($A169, 'UZ-normalized'!$A:$A, 0))&gt;0, -(6*INDEX('UZ-normalized'!$D:$D, MATCH($A169, 'UZ-normalized'!$A:$A, 0))-INDEX('UZ-normalized'!$E:$E, MATCH($A169, 'UZ-normalized'!$A:$A, 0))), 0), 0)))</f>
        <v>-20.299999999999997</v>
      </c>
      <c r="U169" s="6">
        <f>MIN(0, N169+(IFERROR(IF(7*INDEX('UA-normalized'!$D:$D, MATCH($A169, 'UA-normalized'!$A:$A, 0))-INDEX('UA-normalized'!$E:$E, MATCH($A169, 'UA-normalized'!$A:$A, 0))&gt;0, -(7*INDEX('UA-normalized'!$D:$D, MATCH($A169, 'UA-normalized'!$A:$A, 0))-INDEX('UA-normalized'!$E:$E, MATCH($A169, 'UA-normalized'!$A:$A, 0))), 0), 0))+(IFERROR(IF(7*INDEX('KZ-normalized'!$D:$D, MATCH($A169, 'KZ-normalized'!$A:$A, 0))-INDEX('KZ-normalized'!$E:$E, MATCH($A169, 'KZ-normalized'!$A:$A, 0))&gt;0, -(7*INDEX('KZ-normalized'!$D:$D, MATCH($A169, 'KZ-normalized'!$A:$A, 0))-INDEX('KZ-normalized'!$E:$E, MATCH($A169, 'KZ-normalized'!$A:$A, 0))), 0), 0))+(IFERROR(IF(7*INDEX('UZ-normalized'!$D:$D, MATCH($A169, 'UZ-normalized'!$A:$A, 0))-INDEX('UZ-normalized'!$E:$E, MATCH($A169, 'UZ-normalized'!$A:$A, 0))&gt;0, -(7*INDEX('UZ-normalized'!$D:$D, MATCH($A169, 'UZ-normalized'!$A:$A, 0))-INDEX('UZ-normalized'!$E:$E, MATCH($A169, 'UZ-normalized'!$A:$A, 0))), 0), 0)))</f>
        <v>-24.849999999999998</v>
      </c>
      <c r="V169" s="6">
        <f>MIN(0, N169+(IFERROR(IF(8*INDEX('UA-normalized'!$D:$D, MATCH($A169, 'UA-normalized'!$A:$A, 0))-INDEX('UA-normalized'!$E:$E, MATCH($A169, 'UA-normalized'!$A:$A, 0))&gt;0, -(8*INDEX('UA-normalized'!$D:$D, MATCH($A169, 'UA-normalized'!$A:$A, 0))-INDEX('UA-normalized'!$E:$E, MATCH($A169, 'UA-normalized'!$A:$A, 0))), 0), 0))+(IFERROR(IF(8*INDEX('KZ-normalized'!$D:$D, MATCH($A169, 'KZ-normalized'!$A:$A, 0))-INDEX('KZ-normalized'!$E:$E, MATCH($A169, 'KZ-normalized'!$A:$A, 0))&gt;0, -(8*INDEX('KZ-normalized'!$D:$D, MATCH($A169, 'KZ-normalized'!$A:$A, 0))-INDEX('KZ-normalized'!$E:$E, MATCH($A169, 'KZ-normalized'!$A:$A, 0))), 0), 0))+(IFERROR(IF(8*INDEX('UZ-normalized'!$D:$D, MATCH($A169, 'UZ-normalized'!$A:$A, 0))-INDEX('UZ-normalized'!$E:$E, MATCH($A169, 'UZ-normalized'!$A:$A, 0))&gt;0, -(8*INDEX('UZ-normalized'!$D:$D, MATCH($A169, 'UZ-normalized'!$A:$A, 0))-INDEX('UZ-normalized'!$E:$E, MATCH($A169, 'UZ-normalized'!$A:$A, 0))), 0), 0)))</f>
        <v>-29.4</v>
      </c>
      <c r="W169" s="6">
        <f>MIN(0, N169+(IFERROR(IF(9*INDEX('UA-normalized'!$D:$D, MATCH($A169, 'UA-normalized'!$A:$A, 0))-INDEX('UA-normalized'!$E:$E, MATCH($A169, 'UA-normalized'!$A:$A, 0))&gt;0, -(9*INDEX('UA-normalized'!$D:$D, MATCH($A169, 'UA-normalized'!$A:$A, 0))-INDEX('UA-normalized'!$E:$E, MATCH($A169, 'UA-normalized'!$A:$A, 0))), 0), 0))+(IFERROR(IF(9*INDEX('KZ-normalized'!$D:$D, MATCH($A169, 'KZ-normalized'!$A:$A, 0))-INDEX('KZ-normalized'!$E:$E, MATCH($A169, 'KZ-normalized'!$A:$A, 0))&gt;0, -(9*INDEX('KZ-normalized'!$D:$D, MATCH($A169, 'KZ-normalized'!$A:$A, 0))-INDEX('KZ-normalized'!$E:$E, MATCH($A169, 'KZ-normalized'!$A:$A, 0))), 0), 0))+(IFERROR(IF(9*INDEX('UZ-normalized'!$D:$D, MATCH($A169, 'UZ-normalized'!$A:$A, 0))-INDEX('UZ-normalized'!$E:$E, MATCH($A169, 'UZ-normalized'!$A:$A, 0))&gt;0, -(9*INDEX('UZ-normalized'!$D:$D, MATCH($A169, 'UZ-normalized'!$A:$A, 0))-INDEX('UZ-normalized'!$E:$E, MATCH($A169, 'UZ-normalized'!$A:$A, 0))), 0), 0)))</f>
        <v>-33.949999999999996</v>
      </c>
      <c r="X169" s="6">
        <f>MIN(0, N169+(IFERROR(IF(10*INDEX('UA-normalized'!$D:$D, MATCH($A169, 'UA-normalized'!$A:$A, 0))-INDEX('UA-normalized'!$E:$E, MATCH($A169, 'UA-normalized'!$A:$A, 0))&gt;0, -(10*INDEX('UA-normalized'!$D:$D, MATCH($A169, 'UA-normalized'!$A:$A, 0))-INDEX('UA-normalized'!$E:$E, MATCH($A169, 'UA-normalized'!$A:$A, 0))), 0), 0))+(IFERROR(IF(10*INDEX('KZ-normalized'!$D:$D, MATCH($A169, 'KZ-normalized'!$A:$A, 0))-INDEX('KZ-normalized'!$E:$E, MATCH($A169, 'KZ-normalized'!$A:$A, 0))&gt;0, -(10*INDEX('KZ-normalized'!$D:$D, MATCH($A169, 'KZ-normalized'!$A:$A, 0))-INDEX('KZ-normalized'!$E:$E, MATCH($A169, 'KZ-normalized'!$A:$A, 0))), 0), 0))+(IFERROR(IF(10*INDEX('UZ-normalized'!$D:$D, MATCH($A169, 'UZ-normalized'!$A:$A, 0))-INDEX('UZ-normalized'!$E:$E, MATCH($A169, 'UZ-normalized'!$A:$A, 0))&gt;0, -(10*INDEX('UZ-normalized'!$D:$D, MATCH($A169, 'UZ-normalized'!$A:$A, 0))-INDEX('UZ-normalized'!$E:$E, MATCH($A169, 'UZ-normalized'!$A:$A, 0))), 0), 0)))</f>
        <v>-38.5</v>
      </c>
      <c r="Y169" s="6">
        <f>MIN(0, N169+(IFERROR(IF(11*INDEX('UA-normalized'!$D:$D, MATCH($A169, 'UA-normalized'!$A:$A, 0))-INDEX('UA-normalized'!$E:$E, MATCH($A169, 'UA-normalized'!$A:$A, 0))&gt;0, -(11*INDEX('UA-normalized'!$D:$D, MATCH($A169, 'UA-normalized'!$A:$A, 0))-INDEX('UA-normalized'!$E:$E, MATCH($A169, 'UA-normalized'!$A:$A, 0))), 0), 0))+(IFERROR(IF(11*INDEX('KZ-normalized'!$D:$D, MATCH($A169, 'KZ-normalized'!$A:$A, 0))-INDEX('KZ-normalized'!$E:$E, MATCH($A169, 'KZ-normalized'!$A:$A, 0))&gt;0, -(11*INDEX('KZ-normalized'!$D:$D, MATCH($A169, 'KZ-normalized'!$A:$A, 0))-INDEX('KZ-normalized'!$E:$E, MATCH($A169, 'KZ-normalized'!$A:$A, 0))), 0), 0))+(IFERROR(IF(11*INDEX('UZ-normalized'!$D:$D, MATCH($A169, 'UZ-normalized'!$A:$A, 0))-INDEX('UZ-normalized'!$E:$E, MATCH($A169, 'UZ-normalized'!$A:$A, 0))&gt;0, -(11*INDEX('UZ-normalized'!$D:$D, MATCH($A169, 'UZ-normalized'!$A:$A, 0))-INDEX('UZ-normalized'!$E:$E, MATCH($A169, 'UZ-normalized'!$A:$A, 0))), 0), 0)))</f>
        <v>-43.05</v>
      </c>
      <c r="Z169" s="6">
        <f>MIN(0, N169+(IFERROR(IF(12*INDEX('UA-normalized'!$D:$D, MATCH($A169, 'UA-normalized'!$A:$A, 0))-INDEX('UA-normalized'!$E:$E, MATCH($A169, 'UA-normalized'!$A:$A, 0))&gt;0, -(12*INDEX('UA-normalized'!$D:$D, MATCH($A169, 'UA-normalized'!$A:$A, 0))-INDEX('UA-normalized'!$E:$E, MATCH($A169, 'UA-normalized'!$A:$A, 0))), 0), 0))+(IFERROR(IF(12*INDEX('KZ-normalized'!$D:$D, MATCH($A169, 'KZ-normalized'!$A:$A, 0))-INDEX('KZ-normalized'!$E:$E, MATCH($A169, 'KZ-normalized'!$A:$A, 0))&gt;0, -(12*INDEX('KZ-normalized'!$D:$D, MATCH($A169, 'KZ-normalized'!$A:$A, 0))-INDEX('KZ-normalized'!$E:$E, MATCH($A169, 'KZ-normalized'!$A:$A, 0))), 0), 0))+(IFERROR(IF(12*INDEX('UZ-normalized'!$D:$D, MATCH($A169, 'UZ-normalized'!$A:$A, 0))-INDEX('UZ-normalized'!$E:$E, MATCH($A169, 'UZ-normalized'!$A:$A, 0))&gt;0, -(12*INDEX('UZ-normalized'!$D:$D, MATCH($A169, 'UZ-normalized'!$A:$A, 0))-INDEX('UZ-normalized'!$E:$E, MATCH($A169, 'UZ-normalized'!$A:$A, 0))), 0), 0)))</f>
        <v>-47.599999999999994</v>
      </c>
      <c r="AA169" s="6">
        <f>MIN(0, N169+(IFERROR(IF(13*INDEX('UA-normalized'!$D:$D, MATCH($A169, 'UA-normalized'!$A:$A, 0))-INDEX('UA-normalized'!$E:$E, MATCH($A169, 'UA-normalized'!$A:$A, 0))&gt;0, -(13*INDEX('UA-normalized'!$D:$D, MATCH($A169, 'UA-normalized'!$A:$A, 0))-INDEX('UA-normalized'!$E:$E, MATCH($A169, 'UA-normalized'!$A:$A, 0))), 0), 0))+(IFERROR(IF(13*INDEX('KZ-normalized'!$D:$D, MATCH($A169, 'KZ-normalized'!$A:$A, 0))-INDEX('KZ-normalized'!$E:$E, MATCH($A169, 'KZ-normalized'!$A:$A, 0))&gt;0, -(13*INDEX('KZ-normalized'!$D:$D, MATCH($A169, 'KZ-normalized'!$A:$A, 0))-INDEX('KZ-normalized'!$E:$E, MATCH($A169, 'KZ-normalized'!$A:$A, 0))), 0), 0))+(IFERROR(IF(13*INDEX('UZ-normalized'!$D:$D, MATCH($A169, 'UZ-normalized'!$A:$A, 0))-INDEX('UZ-normalized'!$E:$E, MATCH($A169, 'UZ-normalized'!$A:$A, 0))&gt;0, -(13*INDEX('UZ-normalized'!$D:$D, MATCH($A169, 'UZ-normalized'!$A:$A, 0))-INDEX('UZ-normalized'!$E:$E, MATCH($A169, 'UZ-normalized'!$A:$A, 0))), 0), 0)))</f>
        <v>-52.15</v>
      </c>
      <c r="AB169" s="6">
        <f>MIN(0, N169+(IFERROR(IF(14*INDEX('UA-normalized'!$D:$D, MATCH($A169, 'UA-normalized'!$A:$A, 0))-INDEX('UA-normalized'!$E:$E, MATCH($A169, 'UA-normalized'!$A:$A, 0))&gt;0, -(14*INDEX('UA-normalized'!$D:$D, MATCH($A169, 'UA-normalized'!$A:$A, 0))-INDEX('UA-normalized'!$E:$E, MATCH($A169, 'UA-normalized'!$A:$A, 0))), 0), 0))+(IFERROR(IF(14*INDEX('KZ-normalized'!$D:$D, MATCH($A169, 'KZ-normalized'!$A:$A, 0))-INDEX('KZ-normalized'!$E:$E, MATCH($A169, 'KZ-normalized'!$A:$A, 0))&gt;0, -(14*INDEX('KZ-normalized'!$D:$D, MATCH($A169, 'KZ-normalized'!$A:$A, 0))-INDEX('KZ-normalized'!$E:$E, MATCH($A169, 'KZ-normalized'!$A:$A, 0))), 0), 0))+(IFERROR(IF(14*INDEX('UZ-normalized'!$D:$D, MATCH($A169, 'UZ-normalized'!$A:$A, 0))-INDEX('UZ-normalized'!$E:$E, MATCH($A169, 'UZ-normalized'!$A:$A, 0))&gt;0, -(14*INDEX('UZ-normalized'!$D:$D, MATCH($A169, 'UZ-normalized'!$A:$A, 0))-INDEX('UZ-normalized'!$E:$E, MATCH($A169, 'UZ-normalized'!$A:$A, 0))), 0), 0)))</f>
        <v>-56.699999999999996</v>
      </c>
      <c r="AC169" s="6">
        <f>MIN(0, N169+(IFERROR(IF(15*INDEX('UA-normalized'!$D:$D, MATCH($A169, 'UA-normalized'!$A:$A, 0))-INDEX('UA-normalized'!$E:$E, MATCH($A169, 'UA-normalized'!$A:$A, 0))&gt;0, -(15*INDEX('UA-normalized'!$D:$D, MATCH($A169, 'UA-normalized'!$A:$A, 0))-INDEX('UA-normalized'!$E:$E, MATCH($A169, 'UA-normalized'!$A:$A, 0))), 0), 0))+(IFERROR(IF(15*INDEX('KZ-normalized'!$D:$D, MATCH($A169, 'KZ-normalized'!$A:$A, 0))-INDEX('KZ-normalized'!$E:$E, MATCH($A169, 'KZ-normalized'!$A:$A, 0))&gt;0, -(15*INDEX('KZ-normalized'!$D:$D, MATCH($A169, 'KZ-normalized'!$A:$A, 0))-INDEX('KZ-normalized'!$E:$E, MATCH($A169, 'KZ-normalized'!$A:$A, 0))), 0), 0))+(IFERROR(IF(15*INDEX('UZ-normalized'!$D:$D, MATCH($A169, 'UZ-normalized'!$A:$A, 0))-INDEX('UZ-normalized'!$E:$E, MATCH($A169, 'UZ-normalized'!$A:$A, 0))&gt;0, -(15*INDEX('UZ-normalized'!$D:$D, MATCH($A169, 'UZ-normalized'!$A:$A, 0))-INDEX('UZ-normalized'!$E:$E, MATCH($A169, 'UZ-normalized'!$A:$A, 0))), 0), 0)))</f>
        <v>-61.25</v>
      </c>
      <c r="AD169" s="6">
        <f>MIN(0, N169+(IFERROR(IF(16*INDEX('UA-normalized'!$D:$D, MATCH($A169, 'UA-normalized'!$A:$A, 0))-INDEX('UA-normalized'!$E:$E, MATCH($A169, 'UA-normalized'!$A:$A, 0))&gt;0, -(16*INDEX('UA-normalized'!$D:$D, MATCH($A169, 'UA-normalized'!$A:$A, 0))-INDEX('UA-normalized'!$E:$E, MATCH($A169, 'UA-normalized'!$A:$A, 0))), 0), 0))+(IFERROR(IF(16*INDEX('KZ-normalized'!$D:$D, MATCH($A169, 'KZ-normalized'!$A:$A, 0))-INDEX('KZ-normalized'!$E:$E, MATCH($A169, 'KZ-normalized'!$A:$A, 0))&gt;0, -(16*INDEX('KZ-normalized'!$D:$D, MATCH($A169, 'KZ-normalized'!$A:$A, 0))-INDEX('KZ-normalized'!$E:$E, MATCH($A169, 'KZ-normalized'!$A:$A, 0))), 0), 0))+(IFERROR(IF(16*INDEX('UZ-normalized'!$D:$D, MATCH($A169, 'UZ-normalized'!$A:$A, 0))-INDEX('UZ-normalized'!$E:$E, MATCH($A169, 'UZ-normalized'!$A:$A, 0))&gt;0, -(16*INDEX('UZ-normalized'!$D:$D, MATCH($A169, 'UZ-normalized'!$A:$A, 0))-INDEX('UZ-normalized'!$E:$E, MATCH($A169, 'UZ-normalized'!$A:$A, 0))), 0), 0)))</f>
        <v>-65.8</v>
      </c>
      <c r="AE169" s="6">
        <f>MIN(0, N169+(IFERROR(IF(17*INDEX('UA-normalized'!$D:$D, MATCH($A169, 'UA-normalized'!$A:$A, 0))-INDEX('UA-normalized'!$E:$E, MATCH($A169, 'UA-normalized'!$A:$A, 0))&gt;0, -(17*INDEX('UA-normalized'!$D:$D, MATCH($A169, 'UA-normalized'!$A:$A, 0))-INDEX('UA-normalized'!$E:$E, MATCH($A169, 'UA-normalized'!$A:$A, 0))), 0), 0))+(IFERROR(IF(17*INDEX('KZ-normalized'!$D:$D, MATCH($A169, 'KZ-normalized'!$A:$A, 0))-INDEX('KZ-normalized'!$E:$E, MATCH($A169, 'KZ-normalized'!$A:$A, 0))&gt;0, -(17*INDEX('KZ-normalized'!$D:$D, MATCH($A169, 'KZ-normalized'!$A:$A, 0))-INDEX('KZ-normalized'!$E:$E, MATCH($A169, 'KZ-normalized'!$A:$A, 0))), 0), 0))+(IFERROR(IF(17*INDEX('UZ-normalized'!$D:$D, MATCH($A169, 'UZ-normalized'!$A:$A, 0))-INDEX('UZ-normalized'!$E:$E, MATCH($A169, 'UZ-normalized'!$A:$A, 0))&gt;0, -(17*INDEX('UZ-normalized'!$D:$D, MATCH($A169, 'UZ-normalized'!$A:$A, 0))-INDEX('UZ-normalized'!$E:$E, MATCH($A169, 'UZ-normalized'!$A:$A, 0))), 0), 0)))</f>
        <v>-70.349999999999994</v>
      </c>
      <c r="AF169" s="6">
        <f>MIN(0, N169+(IFERROR(IF(18*INDEX('UA-normalized'!$D:$D, MATCH($A169, 'UA-normalized'!$A:$A, 0))-INDEX('UA-normalized'!$E:$E, MATCH($A169, 'UA-normalized'!$A:$A, 0))&gt;0, -(18*INDEX('UA-normalized'!$D:$D, MATCH($A169, 'UA-normalized'!$A:$A, 0))-INDEX('UA-normalized'!$E:$E, MATCH($A169, 'UA-normalized'!$A:$A, 0))), 0), 0))+(IFERROR(IF(18*INDEX('KZ-normalized'!$D:$D, MATCH($A169, 'KZ-normalized'!$A:$A, 0))-INDEX('KZ-normalized'!$E:$E, MATCH($A169, 'KZ-normalized'!$A:$A, 0))&gt;0, -(18*INDEX('KZ-normalized'!$D:$D, MATCH($A169, 'KZ-normalized'!$A:$A, 0))-INDEX('KZ-normalized'!$E:$E, MATCH($A169, 'KZ-normalized'!$A:$A, 0))), 0), 0))+(IFERROR(IF(18*INDEX('UZ-normalized'!$D:$D, MATCH($A169, 'UZ-normalized'!$A:$A, 0))-INDEX('UZ-normalized'!$E:$E, MATCH($A169, 'UZ-normalized'!$A:$A, 0))&gt;0, -(18*INDEX('UZ-normalized'!$D:$D, MATCH($A169, 'UZ-normalized'!$A:$A, 0))-INDEX('UZ-normalized'!$E:$E, MATCH($A169, 'UZ-normalized'!$A:$A, 0))), 0), 0)))</f>
        <v>-74.899999999999991</v>
      </c>
      <c r="AG169" s="6">
        <f>MIN(0, N169+(IFERROR(IF(19*INDEX('UA-normalized'!$D:$D, MATCH($A169, 'UA-normalized'!$A:$A, 0))-INDEX('UA-normalized'!$E:$E, MATCH($A169, 'UA-normalized'!$A:$A, 0))&gt;0, -(19*INDEX('UA-normalized'!$D:$D, MATCH($A169, 'UA-normalized'!$A:$A, 0))-INDEX('UA-normalized'!$E:$E, MATCH($A169, 'UA-normalized'!$A:$A, 0))), 0), 0))+(IFERROR(IF(19*INDEX('KZ-normalized'!$D:$D, MATCH($A169, 'KZ-normalized'!$A:$A, 0))-INDEX('KZ-normalized'!$E:$E, MATCH($A169, 'KZ-normalized'!$A:$A, 0))&gt;0, -(19*INDEX('KZ-normalized'!$D:$D, MATCH($A169, 'KZ-normalized'!$A:$A, 0))-INDEX('KZ-normalized'!$E:$E, MATCH($A169, 'KZ-normalized'!$A:$A, 0))), 0), 0))+(IFERROR(IF(19*INDEX('UZ-normalized'!$D:$D, MATCH($A169, 'UZ-normalized'!$A:$A, 0))-INDEX('UZ-normalized'!$E:$E, MATCH($A169, 'UZ-normalized'!$A:$A, 0))&gt;0, -(19*INDEX('UZ-normalized'!$D:$D, MATCH($A169, 'UZ-normalized'!$A:$A, 0))-INDEX('UZ-normalized'!$E:$E, MATCH($A169, 'UZ-normalized'!$A:$A, 0))), 0), 0)))</f>
        <v>-79.45</v>
      </c>
      <c r="AH169" s="6">
        <f>MIN(0, N169+(IFERROR(IF(20*INDEX('UA-normalized'!$D:$D, MATCH($A169, 'UA-normalized'!$A:$A, 0))-INDEX('UA-normalized'!$E:$E, MATCH($A169, 'UA-normalized'!$A:$A, 0))&gt;0, -(20*INDEX('UA-normalized'!$D:$D, MATCH($A169, 'UA-normalized'!$A:$A, 0))-INDEX('UA-normalized'!$E:$E, MATCH($A169, 'UA-normalized'!$A:$A, 0))), 0), 0))+(IFERROR(IF(20*INDEX('KZ-normalized'!$D:$D, MATCH($A169, 'KZ-normalized'!$A:$A, 0))-INDEX('KZ-normalized'!$E:$E, MATCH($A169, 'KZ-normalized'!$A:$A, 0))&gt;0, -(20*INDEX('KZ-normalized'!$D:$D, MATCH($A169, 'KZ-normalized'!$A:$A, 0))-INDEX('KZ-normalized'!$E:$E, MATCH($A169, 'KZ-normalized'!$A:$A, 0))), 0), 0))+(IFERROR(IF(20*INDEX('UZ-normalized'!$D:$D, MATCH($A169, 'UZ-normalized'!$A:$A, 0))-INDEX('UZ-normalized'!$E:$E, MATCH($A169, 'UZ-normalized'!$A:$A, 0))&gt;0, -(20*INDEX('UZ-normalized'!$D:$D, MATCH($A169, 'UZ-normalized'!$A:$A, 0))-INDEX('UZ-normalized'!$E:$E, MATCH($A169, 'UZ-normalized'!$A:$A, 0))), 0), 0)))</f>
        <v>-84</v>
      </c>
      <c r="AI169" s="6">
        <f>MIN(0, N169+(IFERROR(IF(21*INDEX('UA-normalized'!$D:$D, MATCH($A169, 'UA-normalized'!$A:$A, 0))-INDEX('UA-normalized'!$E:$E, MATCH($A169, 'UA-normalized'!$A:$A, 0))&gt;0, -(21*INDEX('UA-normalized'!$D:$D, MATCH($A169, 'UA-normalized'!$A:$A, 0))-INDEX('UA-normalized'!$E:$E, MATCH($A169, 'UA-normalized'!$A:$A, 0))), 0), 0))+(IFERROR(IF(21*INDEX('KZ-normalized'!$D:$D, MATCH($A169, 'KZ-normalized'!$A:$A, 0))-INDEX('KZ-normalized'!$E:$E, MATCH($A169, 'KZ-normalized'!$A:$A, 0))&gt;0, -(21*INDEX('KZ-normalized'!$D:$D, MATCH($A169, 'KZ-normalized'!$A:$A, 0))-INDEX('KZ-normalized'!$E:$E, MATCH($A169, 'KZ-normalized'!$A:$A, 0))), 0), 0))+(IFERROR(IF(21*INDEX('UZ-normalized'!$D:$D, MATCH($A169, 'UZ-normalized'!$A:$A, 0))-INDEX('UZ-normalized'!$E:$E, MATCH($A169, 'UZ-normalized'!$A:$A, 0))&gt;0, -(21*INDEX('UZ-normalized'!$D:$D, MATCH($A169, 'UZ-normalized'!$A:$A, 0))-INDEX('UZ-normalized'!$E:$E, MATCH($A169, 'UZ-normalized'!$A:$A, 0))), 0), 0)))</f>
        <v>-88.55</v>
      </c>
      <c r="AJ169" s="6">
        <f>MIN(0, N169+(IFERROR(IF(22*INDEX('UA-normalized'!$D:$D, MATCH($A169, 'UA-normalized'!$A:$A, 0))-INDEX('UA-normalized'!$E:$E, MATCH($A169, 'UA-normalized'!$A:$A, 0))&gt;0, -(22*INDEX('UA-normalized'!$D:$D, MATCH($A169, 'UA-normalized'!$A:$A, 0))-INDEX('UA-normalized'!$E:$E, MATCH($A169, 'UA-normalized'!$A:$A, 0))), 0), 0))+(IFERROR(IF(22*INDEX('KZ-normalized'!$D:$D, MATCH($A169, 'KZ-normalized'!$A:$A, 0))-INDEX('KZ-normalized'!$E:$E, MATCH($A169, 'KZ-normalized'!$A:$A, 0))&gt;0, -(22*INDEX('KZ-normalized'!$D:$D, MATCH($A169, 'KZ-normalized'!$A:$A, 0))-INDEX('KZ-normalized'!$E:$E, MATCH($A169, 'KZ-normalized'!$A:$A, 0))), 0), 0))+(IFERROR(IF(22*INDEX('UZ-normalized'!$D:$D, MATCH($A169, 'UZ-normalized'!$A:$A, 0))-INDEX('UZ-normalized'!$E:$E, MATCH($A169, 'UZ-normalized'!$A:$A, 0))&gt;0, -(22*INDEX('UZ-normalized'!$D:$D, MATCH($A169, 'UZ-normalized'!$A:$A, 0))-INDEX('UZ-normalized'!$E:$E, MATCH($A169, 'UZ-normalized'!$A:$A, 0))), 0), 0)))</f>
        <v>-93.1</v>
      </c>
      <c r="AK169" s="6">
        <f>MIN(0, N169+(IFERROR(IF(23*INDEX('UA-normalized'!$D:$D, MATCH($A169, 'UA-normalized'!$A:$A, 0))-INDEX('UA-normalized'!$E:$E, MATCH($A169, 'UA-normalized'!$A:$A, 0))&gt;0, -(23*INDEX('UA-normalized'!$D:$D, MATCH($A169, 'UA-normalized'!$A:$A, 0))-INDEX('UA-normalized'!$E:$E, MATCH($A169, 'UA-normalized'!$A:$A, 0))), 0), 0))+(IFERROR(IF(23*INDEX('KZ-normalized'!$D:$D, MATCH($A169, 'KZ-normalized'!$A:$A, 0))-INDEX('KZ-normalized'!$E:$E, MATCH($A169, 'KZ-normalized'!$A:$A, 0))&gt;0, -(23*INDEX('KZ-normalized'!$D:$D, MATCH($A169, 'KZ-normalized'!$A:$A, 0))-INDEX('KZ-normalized'!$E:$E, MATCH($A169, 'KZ-normalized'!$A:$A, 0))), 0), 0))+(IFERROR(IF(23*INDEX('UZ-normalized'!$D:$D, MATCH($A169, 'UZ-normalized'!$A:$A, 0))-INDEX('UZ-normalized'!$E:$E, MATCH($A169, 'UZ-normalized'!$A:$A, 0))&gt;0, -(23*INDEX('UZ-normalized'!$D:$D, MATCH($A169, 'UZ-normalized'!$A:$A, 0))-INDEX('UZ-normalized'!$E:$E, MATCH($A169, 'UZ-normalized'!$A:$A, 0))), 0), 0)))</f>
        <v>-97.649999999999991</v>
      </c>
      <c r="AL169" s="6">
        <f>MIN(0, N169+(IFERROR(IF(24*INDEX('UA-normalized'!$D:$D, MATCH($A169, 'UA-normalized'!$A:$A, 0))-INDEX('UA-normalized'!$E:$E, MATCH($A169, 'UA-normalized'!$A:$A, 0))&gt;0, -(24*INDEX('UA-normalized'!$D:$D, MATCH($A169, 'UA-normalized'!$A:$A, 0))-INDEX('UA-normalized'!$E:$E, MATCH($A169, 'UA-normalized'!$A:$A, 0))), 0), 0))+(IFERROR(IF(24*INDEX('KZ-normalized'!$D:$D, MATCH($A169, 'KZ-normalized'!$A:$A, 0))-INDEX('KZ-normalized'!$E:$E, MATCH($A169, 'KZ-normalized'!$A:$A, 0))&gt;0, -(24*INDEX('KZ-normalized'!$D:$D, MATCH($A169, 'KZ-normalized'!$A:$A, 0))-INDEX('KZ-normalized'!$E:$E, MATCH($A169, 'KZ-normalized'!$A:$A, 0))), 0), 0))+(IFERROR(IF(24*INDEX('UZ-normalized'!$D:$D, MATCH($A169, 'UZ-normalized'!$A:$A, 0))-INDEX('UZ-normalized'!$E:$E, MATCH($A169, 'UZ-normalized'!$A:$A, 0))&gt;0, -(24*INDEX('UZ-normalized'!$D:$D, MATCH($A169, 'UZ-normalized'!$A:$A, 0))-INDEX('UZ-normalized'!$E:$E, MATCH($A169, 'UZ-normalized'!$A:$A, 0))), 0), 0)))</f>
        <v>-102.19999999999999</v>
      </c>
      <c r="AM169" s="6">
        <f>MIN(0, N169+(IFERROR(IF(25*INDEX('UA-normalized'!$D:$D, MATCH($A169, 'UA-normalized'!$A:$A, 0))-INDEX('UA-normalized'!$E:$E, MATCH($A169, 'UA-normalized'!$A:$A, 0))&gt;0, -(25*INDEX('UA-normalized'!$D:$D, MATCH($A169, 'UA-normalized'!$A:$A, 0))-INDEX('UA-normalized'!$E:$E, MATCH($A169, 'UA-normalized'!$A:$A, 0))), 0), 0))+(IFERROR(IF(25*INDEX('KZ-normalized'!$D:$D, MATCH($A169, 'KZ-normalized'!$A:$A, 0))-INDEX('KZ-normalized'!$E:$E, MATCH($A169, 'KZ-normalized'!$A:$A, 0))&gt;0, -(25*INDEX('KZ-normalized'!$D:$D, MATCH($A169, 'KZ-normalized'!$A:$A, 0))-INDEX('KZ-normalized'!$E:$E, MATCH($A169, 'KZ-normalized'!$A:$A, 0))), 0), 0))+(IFERROR(IF(25*INDEX('UZ-normalized'!$D:$D, MATCH($A169, 'UZ-normalized'!$A:$A, 0))-INDEX('UZ-normalized'!$E:$E, MATCH($A169, 'UZ-normalized'!$A:$A, 0))&gt;0, -(25*INDEX('UZ-normalized'!$D:$D, MATCH($A169, 'UZ-normalized'!$A:$A, 0))-INDEX('UZ-normalized'!$E:$E, MATCH($A169, 'UZ-normalized'!$A:$A, 0))), 0), 0)))</f>
        <v>-106.75</v>
      </c>
      <c r="AN169" s="6">
        <f>MIN(0, N169+(IFERROR(IF(26*INDEX('UA-normalized'!$D:$D, MATCH($A169, 'UA-normalized'!$A:$A, 0))-INDEX('UA-normalized'!$E:$E, MATCH($A169, 'UA-normalized'!$A:$A, 0))&gt;0, -(26*INDEX('UA-normalized'!$D:$D, MATCH($A169, 'UA-normalized'!$A:$A, 0))-INDEX('UA-normalized'!$E:$E, MATCH($A169, 'UA-normalized'!$A:$A, 0))), 0), 0))+(IFERROR(IF(26*INDEX('KZ-normalized'!$D:$D, MATCH($A169, 'KZ-normalized'!$A:$A, 0))-INDEX('KZ-normalized'!$E:$E, MATCH($A169, 'KZ-normalized'!$A:$A, 0))&gt;0, -(26*INDEX('KZ-normalized'!$D:$D, MATCH($A169, 'KZ-normalized'!$A:$A, 0))-INDEX('KZ-normalized'!$E:$E, MATCH($A169, 'KZ-normalized'!$A:$A, 0))), 0), 0))+(IFERROR(IF(26*INDEX('UZ-normalized'!$D:$D, MATCH($A169, 'UZ-normalized'!$A:$A, 0))-INDEX('UZ-normalized'!$E:$E, MATCH($A169, 'UZ-normalized'!$A:$A, 0))&gt;0, -(26*INDEX('UZ-normalized'!$D:$D, MATCH($A169, 'UZ-normalized'!$A:$A, 0))-INDEX('UZ-normalized'!$E:$E, MATCH($A169, 'UZ-normalized'!$A:$A, 0))), 0), 0)))</f>
        <v>-111.3</v>
      </c>
      <c r="AO169" s="6">
        <f>MIN(0, N169+(IFERROR(IF(27*INDEX('UA-normalized'!$D:$D, MATCH($A169, 'UA-normalized'!$A:$A, 0))-INDEX('UA-normalized'!$E:$E, MATCH($A169, 'UA-normalized'!$A:$A, 0))&gt;0, -(27*INDEX('UA-normalized'!$D:$D, MATCH($A169, 'UA-normalized'!$A:$A, 0))-INDEX('UA-normalized'!$E:$E, MATCH($A169, 'UA-normalized'!$A:$A, 0))), 0), 0))+(IFERROR(IF(27*INDEX('KZ-normalized'!$D:$D, MATCH($A169, 'KZ-normalized'!$A:$A, 0))-INDEX('KZ-normalized'!$E:$E, MATCH($A169, 'KZ-normalized'!$A:$A, 0))&gt;0, -(27*INDEX('KZ-normalized'!$D:$D, MATCH($A169, 'KZ-normalized'!$A:$A, 0))-INDEX('KZ-normalized'!$E:$E, MATCH($A169, 'KZ-normalized'!$A:$A, 0))), 0), 0))+(IFERROR(IF(27*INDEX('UZ-normalized'!$D:$D, MATCH($A169, 'UZ-normalized'!$A:$A, 0))-INDEX('UZ-normalized'!$E:$E, MATCH($A169, 'UZ-normalized'!$A:$A, 0))&gt;0, -(27*INDEX('UZ-normalized'!$D:$D, MATCH($A169, 'UZ-normalized'!$A:$A, 0))-INDEX('UZ-normalized'!$E:$E, MATCH($A169, 'UZ-normalized'!$A:$A, 0))), 0), 0)))</f>
        <v>-115.85</v>
      </c>
      <c r="AP169" s="6">
        <f>MIN(0, N169+(IFERROR(IF(28*INDEX('UA-normalized'!$D:$D, MATCH($A169, 'UA-normalized'!$A:$A, 0))-INDEX('UA-normalized'!$E:$E, MATCH($A169, 'UA-normalized'!$A:$A, 0))&gt;0, -(28*INDEX('UA-normalized'!$D:$D, MATCH($A169, 'UA-normalized'!$A:$A, 0))-INDEX('UA-normalized'!$E:$E, MATCH($A169, 'UA-normalized'!$A:$A, 0))), 0), 0))+(IFERROR(IF(28*INDEX('KZ-normalized'!$D:$D, MATCH($A169, 'KZ-normalized'!$A:$A, 0))-INDEX('KZ-normalized'!$E:$E, MATCH($A169, 'KZ-normalized'!$A:$A, 0))&gt;0, -(28*INDEX('KZ-normalized'!$D:$D, MATCH($A169, 'KZ-normalized'!$A:$A, 0))-INDEX('KZ-normalized'!$E:$E, MATCH($A169, 'KZ-normalized'!$A:$A, 0))), 0), 0))+(IFERROR(IF(28*INDEX('UZ-normalized'!$D:$D, MATCH($A169, 'UZ-normalized'!$A:$A, 0))-INDEX('UZ-normalized'!$E:$E, MATCH($A169, 'UZ-normalized'!$A:$A, 0))&gt;0, -(28*INDEX('UZ-normalized'!$D:$D, MATCH($A169, 'UZ-normalized'!$A:$A, 0))-INDEX('UZ-normalized'!$E:$E, MATCH($A169, 'UZ-normalized'!$A:$A, 0))), 0), 0)))</f>
        <v>-120.39999999999999</v>
      </c>
      <c r="AQ169" s="6">
        <f>MIN(0, N169+(IFERROR(IF(29*INDEX('UA-normalized'!$D:$D, MATCH($A169, 'UA-normalized'!$A:$A, 0))-INDEX('UA-normalized'!$E:$E, MATCH($A169, 'UA-normalized'!$A:$A, 0))&gt;0, -(29*INDEX('UA-normalized'!$D:$D, MATCH($A169, 'UA-normalized'!$A:$A, 0))-INDEX('UA-normalized'!$E:$E, MATCH($A169, 'UA-normalized'!$A:$A, 0))), 0), 0))+(IFERROR(IF(29*INDEX('KZ-normalized'!$D:$D, MATCH($A169, 'KZ-normalized'!$A:$A, 0))-INDEX('KZ-normalized'!$E:$E, MATCH($A169, 'KZ-normalized'!$A:$A, 0))&gt;0, -(29*INDEX('KZ-normalized'!$D:$D, MATCH($A169, 'KZ-normalized'!$A:$A, 0))-INDEX('KZ-normalized'!$E:$E, MATCH($A169, 'KZ-normalized'!$A:$A, 0))), 0), 0))+(IFERROR(IF(29*INDEX('UZ-normalized'!$D:$D, MATCH($A169, 'UZ-normalized'!$A:$A, 0))-INDEX('UZ-normalized'!$E:$E, MATCH($A169, 'UZ-normalized'!$A:$A, 0))&gt;0, -(29*INDEX('UZ-normalized'!$D:$D, MATCH($A169, 'UZ-normalized'!$A:$A, 0))-INDEX('UZ-normalized'!$E:$E, MATCH($A169, 'UZ-normalized'!$A:$A, 0))), 0), 0)))</f>
        <v>-124.94999999999999</v>
      </c>
      <c r="AR169" s="6">
        <f>MIN(0, N169+(IFERROR(IF(30*INDEX('UA-normalized'!$D:$D, MATCH($A169, 'UA-normalized'!$A:$A, 0))-INDEX('UA-normalized'!$E:$E, MATCH($A169, 'UA-normalized'!$A:$A, 0))&gt;0, -(30*INDEX('UA-normalized'!$D:$D, MATCH($A169, 'UA-normalized'!$A:$A, 0))-INDEX('UA-normalized'!$E:$E, MATCH($A169, 'UA-normalized'!$A:$A, 0))), 0), 0))+(IFERROR(IF(30*INDEX('KZ-normalized'!$D:$D, MATCH($A169, 'KZ-normalized'!$A:$A, 0))-INDEX('KZ-normalized'!$E:$E, MATCH($A169, 'KZ-normalized'!$A:$A, 0))&gt;0, -(30*INDEX('KZ-normalized'!$D:$D, MATCH($A169, 'KZ-normalized'!$A:$A, 0))-INDEX('KZ-normalized'!$E:$E, MATCH($A169, 'KZ-normalized'!$A:$A, 0))), 0), 0))+(IFERROR(IF(30*INDEX('UZ-normalized'!$D:$D, MATCH($A169, 'UZ-normalized'!$A:$A, 0))-INDEX('UZ-normalized'!$E:$E, MATCH($A169, 'UZ-normalized'!$A:$A, 0))&gt;0, -(30*INDEX('UZ-normalized'!$D:$D, MATCH($A169, 'UZ-normalized'!$A:$A, 0))-INDEX('UZ-normalized'!$E:$E, MATCH($A169, 'UZ-normalized'!$A:$A, 0))), 0), 0)))</f>
        <v>-129.5</v>
      </c>
    </row>
    <row r="170" spans="1:44" x14ac:dyDescent="0.25">
      <c r="A170" s="8" t="s">
        <v>406</v>
      </c>
      <c r="B170" s="8" t="s">
        <v>393</v>
      </c>
      <c r="C170" s="8" t="s">
        <v>407</v>
      </c>
      <c r="D170" s="8" t="s">
        <v>408</v>
      </c>
      <c r="N170">
        <f t="shared" si="2"/>
        <v>0</v>
      </c>
      <c r="O170" s="6">
        <f>MIN(0, N170+(IFERROR(IF(1*INDEX('UA-normalized'!$D:$D, MATCH($A170, 'UA-normalized'!$A:$A, 0))-INDEX('UA-normalized'!$E:$E, MATCH($A170, 'UA-normalized'!$A:$A, 0))&gt;0, -(1*INDEX('UA-normalized'!$D:$D, MATCH($A170, 'UA-normalized'!$A:$A, 0))-INDEX('UA-normalized'!$E:$E, MATCH($A170, 'UA-normalized'!$A:$A, 0))), 0), 0))+(IFERROR(IF(1*INDEX('KZ-normalized'!$D:$D, MATCH($A170, 'KZ-normalized'!$A:$A, 0))-INDEX('KZ-normalized'!$E:$E, MATCH($A170, 'KZ-normalized'!$A:$A, 0))&gt;0, -(1*INDEX('KZ-normalized'!$D:$D, MATCH($A170, 'KZ-normalized'!$A:$A, 0))-INDEX('KZ-normalized'!$E:$E, MATCH($A170, 'KZ-normalized'!$A:$A, 0))), 0), 0))+(IFERROR(IF(1*INDEX('UZ-normalized'!$D:$D, MATCH($A170, 'UZ-normalized'!$A:$A, 0))-INDEX('UZ-normalized'!$E:$E, MATCH($A170, 'UZ-normalized'!$A:$A, 0))&gt;0, -(1*INDEX('UZ-normalized'!$D:$D, MATCH($A170, 'UZ-normalized'!$A:$A, 0))-INDEX('UZ-normalized'!$E:$E, MATCH($A170, 'UZ-normalized'!$A:$A, 0))), 0), 0)))</f>
        <v>0</v>
      </c>
      <c r="P170" s="6">
        <f>MIN(0, N170+(IFERROR(IF(2*INDEX('UA-normalized'!$D:$D, MATCH($A170, 'UA-normalized'!$A:$A, 0))-INDEX('UA-normalized'!$E:$E, MATCH($A170, 'UA-normalized'!$A:$A, 0))&gt;0, -(2*INDEX('UA-normalized'!$D:$D, MATCH($A170, 'UA-normalized'!$A:$A, 0))-INDEX('UA-normalized'!$E:$E, MATCH($A170, 'UA-normalized'!$A:$A, 0))), 0), 0))+(IFERROR(IF(2*INDEX('KZ-normalized'!$D:$D, MATCH($A170, 'KZ-normalized'!$A:$A, 0))-INDEX('KZ-normalized'!$E:$E, MATCH($A170, 'KZ-normalized'!$A:$A, 0))&gt;0, -(2*INDEX('KZ-normalized'!$D:$D, MATCH($A170, 'KZ-normalized'!$A:$A, 0))-INDEX('KZ-normalized'!$E:$E, MATCH($A170, 'KZ-normalized'!$A:$A, 0))), 0), 0))+(IFERROR(IF(2*INDEX('UZ-normalized'!$D:$D, MATCH($A170, 'UZ-normalized'!$A:$A, 0))-INDEX('UZ-normalized'!$E:$E, MATCH($A170, 'UZ-normalized'!$A:$A, 0))&gt;0, -(2*INDEX('UZ-normalized'!$D:$D, MATCH($A170, 'UZ-normalized'!$A:$A, 0))-INDEX('UZ-normalized'!$E:$E, MATCH($A170, 'UZ-normalized'!$A:$A, 0))), 0), 0)))</f>
        <v>0</v>
      </c>
      <c r="Q170" s="6">
        <f>MIN(0, N170+(IFERROR(IF(3*INDEX('UA-normalized'!$D:$D, MATCH($A170, 'UA-normalized'!$A:$A, 0))-INDEX('UA-normalized'!$E:$E, MATCH($A170, 'UA-normalized'!$A:$A, 0))&gt;0, -(3*INDEX('UA-normalized'!$D:$D, MATCH($A170, 'UA-normalized'!$A:$A, 0))-INDEX('UA-normalized'!$E:$E, MATCH($A170, 'UA-normalized'!$A:$A, 0))), 0), 0))+(IFERROR(IF(3*INDEX('KZ-normalized'!$D:$D, MATCH($A170, 'KZ-normalized'!$A:$A, 0))-INDEX('KZ-normalized'!$E:$E, MATCH($A170, 'KZ-normalized'!$A:$A, 0))&gt;0, -(3*INDEX('KZ-normalized'!$D:$D, MATCH($A170, 'KZ-normalized'!$A:$A, 0))-INDEX('KZ-normalized'!$E:$E, MATCH($A170, 'KZ-normalized'!$A:$A, 0))), 0), 0))+(IFERROR(IF(3*INDEX('UZ-normalized'!$D:$D, MATCH($A170, 'UZ-normalized'!$A:$A, 0))-INDEX('UZ-normalized'!$E:$E, MATCH($A170, 'UZ-normalized'!$A:$A, 0))&gt;0, -(3*INDEX('UZ-normalized'!$D:$D, MATCH($A170, 'UZ-normalized'!$A:$A, 0))-INDEX('UZ-normalized'!$E:$E, MATCH($A170, 'UZ-normalized'!$A:$A, 0))), 0), 0)))</f>
        <v>0</v>
      </c>
      <c r="R170" s="6">
        <f>MIN(0, N170+(IFERROR(IF(4*INDEX('UA-normalized'!$D:$D, MATCH($A170, 'UA-normalized'!$A:$A, 0))-INDEX('UA-normalized'!$E:$E, MATCH($A170, 'UA-normalized'!$A:$A, 0))&gt;0, -(4*INDEX('UA-normalized'!$D:$D, MATCH($A170, 'UA-normalized'!$A:$A, 0))-INDEX('UA-normalized'!$E:$E, MATCH($A170, 'UA-normalized'!$A:$A, 0))), 0), 0))+(IFERROR(IF(4*INDEX('KZ-normalized'!$D:$D, MATCH($A170, 'KZ-normalized'!$A:$A, 0))-INDEX('KZ-normalized'!$E:$E, MATCH($A170, 'KZ-normalized'!$A:$A, 0))&gt;0, -(4*INDEX('KZ-normalized'!$D:$D, MATCH($A170, 'KZ-normalized'!$A:$A, 0))-INDEX('KZ-normalized'!$E:$E, MATCH($A170, 'KZ-normalized'!$A:$A, 0))), 0), 0))+(IFERROR(IF(4*INDEX('UZ-normalized'!$D:$D, MATCH($A170, 'UZ-normalized'!$A:$A, 0))-INDEX('UZ-normalized'!$E:$E, MATCH($A170, 'UZ-normalized'!$A:$A, 0))&gt;0, -(4*INDEX('UZ-normalized'!$D:$D, MATCH($A170, 'UZ-normalized'!$A:$A, 0))-INDEX('UZ-normalized'!$E:$E, MATCH($A170, 'UZ-normalized'!$A:$A, 0))), 0), 0)))</f>
        <v>0</v>
      </c>
      <c r="S170" s="6">
        <f>MIN(0, N170+(IFERROR(IF(5*INDEX('UA-normalized'!$D:$D, MATCH($A170, 'UA-normalized'!$A:$A, 0))-INDEX('UA-normalized'!$E:$E, MATCH($A170, 'UA-normalized'!$A:$A, 0))&gt;0, -(5*INDEX('UA-normalized'!$D:$D, MATCH($A170, 'UA-normalized'!$A:$A, 0))-INDEX('UA-normalized'!$E:$E, MATCH($A170, 'UA-normalized'!$A:$A, 0))), 0), 0))+(IFERROR(IF(5*INDEX('KZ-normalized'!$D:$D, MATCH($A170, 'KZ-normalized'!$A:$A, 0))-INDEX('KZ-normalized'!$E:$E, MATCH($A170, 'KZ-normalized'!$A:$A, 0))&gt;0, -(5*INDEX('KZ-normalized'!$D:$D, MATCH($A170, 'KZ-normalized'!$A:$A, 0))-INDEX('KZ-normalized'!$E:$E, MATCH($A170, 'KZ-normalized'!$A:$A, 0))), 0), 0))+(IFERROR(IF(5*INDEX('UZ-normalized'!$D:$D, MATCH($A170, 'UZ-normalized'!$A:$A, 0))-INDEX('UZ-normalized'!$E:$E, MATCH($A170, 'UZ-normalized'!$A:$A, 0))&gt;0, -(5*INDEX('UZ-normalized'!$D:$D, MATCH($A170, 'UZ-normalized'!$A:$A, 0))-INDEX('UZ-normalized'!$E:$E, MATCH($A170, 'UZ-normalized'!$A:$A, 0))), 0), 0)))</f>
        <v>-7.5</v>
      </c>
      <c r="T170" s="6">
        <f>MIN(0, N170+(IFERROR(IF(6*INDEX('UA-normalized'!$D:$D, MATCH($A170, 'UA-normalized'!$A:$A, 0))-INDEX('UA-normalized'!$E:$E, MATCH($A170, 'UA-normalized'!$A:$A, 0))&gt;0, -(6*INDEX('UA-normalized'!$D:$D, MATCH($A170, 'UA-normalized'!$A:$A, 0))-INDEX('UA-normalized'!$E:$E, MATCH($A170, 'UA-normalized'!$A:$A, 0))), 0), 0))+(IFERROR(IF(6*INDEX('KZ-normalized'!$D:$D, MATCH($A170, 'KZ-normalized'!$A:$A, 0))-INDEX('KZ-normalized'!$E:$E, MATCH($A170, 'KZ-normalized'!$A:$A, 0))&gt;0, -(6*INDEX('KZ-normalized'!$D:$D, MATCH($A170, 'KZ-normalized'!$A:$A, 0))-INDEX('KZ-normalized'!$E:$E, MATCH($A170, 'KZ-normalized'!$A:$A, 0))), 0), 0))+(IFERROR(IF(6*INDEX('UZ-normalized'!$D:$D, MATCH($A170, 'UZ-normalized'!$A:$A, 0))-INDEX('UZ-normalized'!$E:$E, MATCH($A170, 'UZ-normalized'!$A:$A, 0))&gt;0, -(6*INDEX('UZ-normalized'!$D:$D, MATCH($A170, 'UZ-normalized'!$A:$A, 0))-INDEX('UZ-normalized'!$E:$E, MATCH($A170, 'UZ-normalized'!$A:$A, 0))), 0), 0)))</f>
        <v>-16</v>
      </c>
      <c r="U170" s="6">
        <f>MIN(0, N170+(IFERROR(IF(7*INDEX('UA-normalized'!$D:$D, MATCH($A170, 'UA-normalized'!$A:$A, 0))-INDEX('UA-normalized'!$E:$E, MATCH($A170, 'UA-normalized'!$A:$A, 0))&gt;0, -(7*INDEX('UA-normalized'!$D:$D, MATCH($A170, 'UA-normalized'!$A:$A, 0))-INDEX('UA-normalized'!$E:$E, MATCH($A170, 'UA-normalized'!$A:$A, 0))), 0), 0))+(IFERROR(IF(7*INDEX('KZ-normalized'!$D:$D, MATCH($A170, 'KZ-normalized'!$A:$A, 0))-INDEX('KZ-normalized'!$E:$E, MATCH($A170, 'KZ-normalized'!$A:$A, 0))&gt;0, -(7*INDEX('KZ-normalized'!$D:$D, MATCH($A170, 'KZ-normalized'!$A:$A, 0))-INDEX('KZ-normalized'!$E:$E, MATCH($A170, 'KZ-normalized'!$A:$A, 0))), 0), 0))+(IFERROR(IF(7*INDEX('UZ-normalized'!$D:$D, MATCH($A170, 'UZ-normalized'!$A:$A, 0))-INDEX('UZ-normalized'!$E:$E, MATCH($A170, 'UZ-normalized'!$A:$A, 0))&gt;0, -(7*INDEX('UZ-normalized'!$D:$D, MATCH($A170, 'UZ-normalized'!$A:$A, 0))-INDEX('UZ-normalized'!$E:$E, MATCH($A170, 'UZ-normalized'!$A:$A, 0))), 0), 0)))</f>
        <v>-24.5</v>
      </c>
      <c r="V170" s="6">
        <f>MIN(0, N170+(IFERROR(IF(8*INDEX('UA-normalized'!$D:$D, MATCH($A170, 'UA-normalized'!$A:$A, 0))-INDEX('UA-normalized'!$E:$E, MATCH($A170, 'UA-normalized'!$A:$A, 0))&gt;0, -(8*INDEX('UA-normalized'!$D:$D, MATCH($A170, 'UA-normalized'!$A:$A, 0))-INDEX('UA-normalized'!$E:$E, MATCH($A170, 'UA-normalized'!$A:$A, 0))), 0), 0))+(IFERROR(IF(8*INDEX('KZ-normalized'!$D:$D, MATCH($A170, 'KZ-normalized'!$A:$A, 0))-INDEX('KZ-normalized'!$E:$E, MATCH($A170, 'KZ-normalized'!$A:$A, 0))&gt;0, -(8*INDEX('KZ-normalized'!$D:$D, MATCH($A170, 'KZ-normalized'!$A:$A, 0))-INDEX('KZ-normalized'!$E:$E, MATCH($A170, 'KZ-normalized'!$A:$A, 0))), 0), 0))+(IFERROR(IF(8*INDEX('UZ-normalized'!$D:$D, MATCH($A170, 'UZ-normalized'!$A:$A, 0))-INDEX('UZ-normalized'!$E:$E, MATCH($A170, 'UZ-normalized'!$A:$A, 0))&gt;0, -(8*INDEX('UZ-normalized'!$D:$D, MATCH($A170, 'UZ-normalized'!$A:$A, 0))-INDEX('UZ-normalized'!$E:$E, MATCH($A170, 'UZ-normalized'!$A:$A, 0))), 0), 0)))</f>
        <v>-33</v>
      </c>
      <c r="W170" s="6">
        <f>MIN(0, N170+(IFERROR(IF(9*INDEX('UA-normalized'!$D:$D, MATCH($A170, 'UA-normalized'!$A:$A, 0))-INDEX('UA-normalized'!$E:$E, MATCH($A170, 'UA-normalized'!$A:$A, 0))&gt;0, -(9*INDEX('UA-normalized'!$D:$D, MATCH($A170, 'UA-normalized'!$A:$A, 0))-INDEX('UA-normalized'!$E:$E, MATCH($A170, 'UA-normalized'!$A:$A, 0))), 0), 0))+(IFERROR(IF(9*INDEX('KZ-normalized'!$D:$D, MATCH($A170, 'KZ-normalized'!$A:$A, 0))-INDEX('KZ-normalized'!$E:$E, MATCH($A170, 'KZ-normalized'!$A:$A, 0))&gt;0, -(9*INDEX('KZ-normalized'!$D:$D, MATCH($A170, 'KZ-normalized'!$A:$A, 0))-INDEX('KZ-normalized'!$E:$E, MATCH($A170, 'KZ-normalized'!$A:$A, 0))), 0), 0))+(IFERROR(IF(9*INDEX('UZ-normalized'!$D:$D, MATCH($A170, 'UZ-normalized'!$A:$A, 0))-INDEX('UZ-normalized'!$E:$E, MATCH($A170, 'UZ-normalized'!$A:$A, 0))&gt;0, -(9*INDEX('UZ-normalized'!$D:$D, MATCH($A170, 'UZ-normalized'!$A:$A, 0))-INDEX('UZ-normalized'!$E:$E, MATCH($A170, 'UZ-normalized'!$A:$A, 0))), 0), 0)))</f>
        <v>-41.5</v>
      </c>
      <c r="X170" s="6">
        <f>MIN(0, N170+(IFERROR(IF(10*INDEX('UA-normalized'!$D:$D, MATCH($A170, 'UA-normalized'!$A:$A, 0))-INDEX('UA-normalized'!$E:$E, MATCH($A170, 'UA-normalized'!$A:$A, 0))&gt;0, -(10*INDEX('UA-normalized'!$D:$D, MATCH($A170, 'UA-normalized'!$A:$A, 0))-INDEX('UA-normalized'!$E:$E, MATCH($A170, 'UA-normalized'!$A:$A, 0))), 0), 0))+(IFERROR(IF(10*INDEX('KZ-normalized'!$D:$D, MATCH($A170, 'KZ-normalized'!$A:$A, 0))-INDEX('KZ-normalized'!$E:$E, MATCH($A170, 'KZ-normalized'!$A:$A, 0))&gt;0, -(10*INDEX('KZ-normalized'!$D:$D, MATCH($A170, 'KZ-normalized'!$A:$A, 0))-INDEX('KZ-normalized'!$E:$E, MATCH($A170, 'KZ-normalized'!$A:$A, 0))), 0), 0))+(IFERROR(IF(10*INDEX('UZ-normalized'!$D:$D, MATCH($A170, 'UZ-normalized'!$A:$A, 0))-INDEX('UZ-normalized'!$E:$E, MATCH($A170, 'UZ-normalized'!$A:$A, 0))&gt;0, -(10*INDEX('UZ-normalized'!$D:$D, MATCH($A170, 'UZ-normalized'!$A:$A, 0))-INDEX('UZ-normalized'!$E:$E, MATCH($A170, 'UZ-normalized'!$A:$A, 0))), 0), 0)))</f>
        <v>-50</v>
      </c>
      <c r="Y170" s="6">
        <f>MIN(0, N170+(IFERROR(IF(11*INDEX('UA-normalized'!$D:$D, MATCH($A170, 'UA-normalized'!$A:$A, 0))-INDEX('UA-normalized'!$E:$E, MATCH($A170, 'UA-normalized'!$A:$A, 0))&gt;0, -(11*INDEX('UA-normalized'!$D:$D, MATCH($A170, 'UA-normalized'!$A:$A, 0))-INDEX('UA-normalized'!$E:$E, MATCH($A170, 'UA-normalized'!$A:$A, 0))), 0), 0))+(IFERROR(IF(11*INDEX('KZ-normalized'!$D:$D, MATCH($A170, 'KZ-normalized'!$A:$A, 0))-INDEX('KZ-normalized'!$E:$E, MATCH($A170, 'KZ-normalized'!$A:$A, 0))&gt;0, -(11*INDEX('KZ-normalized'!$D:$D, MATCH($A170, 'KZ-normalized'!$A:$A, 0))-INDEX('KZ-normalized'!$E:$E, MATCH($A170, 'KZ-normalized'!$A:$A, 0))), 0), 0))+(IFERROR(IF(11*INDEX('UZ-normalized'!$D:$D, MATCH($A170, 'UZ-normalized'!$A:$A, 0))-INDEX('UZ-normalized'!$E:$E, MATCH($A170, 'UZ-normalized'!$A:$A, 0))&gt;0, -(11*INDEX('UZ-normalized'!$D:$D, MATCH($A170, 'UZ-normalized'!$A:$A, 0))-INDEX('UZ-normalized'!$E:$E, MATCH($A170, 'UZ-normalized'!$A:$A, 0))), 0), 0)))</f>
        <v>-58.5</v>
      </c>
      <c r="Z170" s="6">
        <f>MIN(0, N170+(IFERROR(IF(12*INDEX('UA-normalized'!$D:$D, MATCH($A170, 'UA-normalized'!$A:$A, 0))-INDEX('UA-normalized'!$E:$E, MATCH($A170, 'UA-normalized'!$A:$A, 0))&gt;0, -(12*INDEX('UA-normalized'!$D:$D, MATCH($A170, 'UA-normalized'!$A:$A, 0))-INDEX('UA-normalized'!$E:$E, MATCH($A170, 'UA-normalized'!$A:$A, 0))), 0), 0))+(IFERROR(IF(12*INDEX('KZ-normalized'!$D:$D, MATCH($A170, 'KZ-normalized'!$A:$A, 0))-INDEX('KZ-normalized'!$E:$E, MATCH($A170, 'KZ-normalized'!$A:$A, 0))&gt;0, -(12*INDEX('KZ-normalized'!$D:$D, MATCH($A170, 'KZ-normalized'!$A:$A, 0))-INDEX('KZ-normalized'!$E:$E, MATCH($A170, 'KZ-normalized'!$A:$A, 0))), 0), 0))+(IFERROR(IF(12*INDEX('UZ-normalized'!$D:$D, MATCH($A170, 'UZ-normalized'!$A:$A, 0))-INDEX('UZ-normalized'!$E:$E, MATCH($A170, 'UZ-normalized'!$A:$A, 0))&gt;0, -(12*INDEX('UZ-normalized'!$D:$D, MATCH($A170, 'UZ-normalized'!$A:$A, 0))-INDEX('UZ-normalized'!$E:$E, MATCH($A170, 'UZ-normalized'!$A:$A, 0))), 0), 0)))</f>
        <v>-67</v>
      </c>
      <c r="AA170" s="6">
        <f>MIN(0, N170+(IFERROR(IF(13*INDEX('UA-normalized'!$D:$D, MATCH($A170, 'UA-normalized'!$A:$A, 0))-INDEX('UA-normalized'!$E:$E, MATCH($A170, 'UA-normalized'!$A:$A, 0))&gt;0, -(13*INDEX('UA-normalized'!$D:$D, MATCH($A170, 'UA-normalized'!$A:$A, 0))-INDEX('UA-normalized'!$E:$E, MATCH($A170, 'UA-normalized'!$A:$A, 0))), 0), 0))+(IFERROR(IF(13*INDEX('KZ-normalized'!$D:$D, MATCH($A170, 'KZ-normalized'!$A:$A, 0))-INDEX('KZ-normalized'!$E:$E, MATCH($A170, 'KZ-normalized'!$A:$A, 0))&gt;0, -(13*INDEX('KZ-normalized'!$D:$D, MATCH($A170, 'KZ-normalized'!$A:$A, 0))-INDEX('KZ-normalized'!$E:$E, MATCH($A170, 'KZ-normalized'!$A:$A, 0))), 0), 0))+(IFERROR(IF(13*INDEX('UZ-normalized'!$D:$D, MATCH($A170, 'UZ-normalized'!$A:$A, 0))-INDEX('UZ-normalized'!$E:$E, MATCH($A170, 'UZ-normalized'!$A:$A, 0))&gt;0, -(13*INDEX('UZ-normalized'!$D:$D, MATCH($A170, 'UZ-normalized'!$A:$A, 0))-INDEX('UZ-normalized'!$E:$E, MATCH($A170, 'UZ-normalized'!$A:$A, 0))), 0), 0)))</f>
        <v>-75.5</v>
      </c>
      <c r="AB170" s="6">
        <f>MIN(0, N170+(IFERROR(IF(14*INDEX('UA-normalized'!$D:$D, MATCH($A170, 'UA-normalized'!$A:$A, 0))-INDEX('UA-normalized'!$E:$E, MATCH($A170, 'UA-normalized'!$A:$A, 0))&gt;0, -(14*INDEX('UA-normalized'!$D:$D, MATCH($A170, 'UA-normalized'!$A:$A, 0))-INDEX('UA-normalized'!$E:$E, MATCH($A170, 'UA-normalized'!$A:$A, 0))), 0), 0))+(IFERROR(IF(14*INDEX('KZ-normalized'!$D:$D, MATCH($A170, 'KZ-normalized'!$A:$A, 0))-INDEX('KZ-normalized'!$E:$E, MATCH($A170, 'KZ-normalized'!$A:$A, 0))&gt;0, -(14*INDEX('KZ-normalized'!$D:$D, MATCH($A170, 'KZ-normalized'!$A:$A, 0))-INDEX('KZ-normalized'!$E:$E, MATCH($A170, 'KZ-normalized'!$A:$A, 0))), 0), 0))+(IFERROR(IF(14*INDEX('UZ-normalized'!$D:$D, MATCH($A170, 'UZ-normalized'!$A:$A, 0))-INDEX('UZ-normalized'!$E:$E, MATCH($A170, 'UZ-normalized'!$A:$A, 0))&gt;0, -(14*INDEX('UZ-normalized'!$D:$D, MATCH($A170, 'UZ-normalized'!$A:$A, 0))-INDEX('UZ-normalized'!$E:$E, MATCH($A170, 'UZ-normalized'!$A:$A, 0))), 0), 0)))</f>
        <v>-84</v>
      </c>
      <c r="AC170" s="6">
        <f>MIN(0, N170+(IFERROR(IF(15*INDEX('UA-normalized'!$D:$D, MATCH($A170, 'UA-normalized'!$A:$A, 0))-INDEX('UA-normalized'!$E:$E, MATCH($A170, 'UA-normalized'!$A:$A, 0))&gt;0, -(15*INDEX('UA-normalized'!$D:$D, MATCH($A170, 'UA-normalized'!$A:$A, 0))-INDEX('UA-normalized'!$E:$E, MATCH($A170, 'UA-normalized'!$A:$A, 0))), 0), 0))+(IFERROR(IF(15*INDEX('KZ-normalized'!$D:$D, MATCH($A170, 'KZ-normalized'!$A:$A, 0))-INDEX('KZ-normalized'!$E:$E, MATCH($A170, 'KZ-normalized'!$A:$A, 0))&gt;0, -(15*INDEX('KZ-normalized'!$D:$D, MATCH($A170, 'KZ-normalized'!$A:$A, 0))-INDEX('KZ-normalized'!$E:$E, MATCH($A170, 'KZ-normalized'!$A:$A, 0))), 0), 0))+(IFERROR(IF(15*INDEX('UZ-normalized'!$D:$D, MATCH($A170, 'UZ-normalized'!$A:$A, 0))-INDEX('UZ-normalized'!$E:$E, MATCH($A170, 'UZ-normalized'!$A:$A, 0))&gt;0, -(15*INDEX('UZ-normalized'!$D:$D, MATCH($A170, 'UZ-normalized'!$A:$A, 0))-INDEX('UZ-normalized'!$E:$E, MATCH($A170, 'UZ-normalized'!$A:$A, 0))), 0), 0)))</f>
        <v>-92.5</v>
      </c>
      <c r="AD170" s="6">
        <f>MIN(0, N170+(IFERROR(IF(16*INDEX('UA-normalized'!$D:$D, MATCH($A170, 'UA-normalized'!$A:$A, 0))-INDEX('UA-normalized'!$E:$E, MATCH($A170, 'UA-normalized'!$A:$A, 0))&gt;0, -(16*INDEX('UA-normalized'!$D:$D, MATCH($A170, 'UA-normalized'!$A:$A, 0))-INDEX('UA-normalized'!$E:$E, MATCH($A170, 'UA-normalized'!$A:$A, 0))), 0), 0))+(IFERROR(IF(16*INDEX('KZ-normalized'!$D:$D, MATCH($A170, 'KZ-normalized'!$A:$A, 0))-INDEX('KZ-normalized'!$E:$E, MATCH($A170, 'KZ-normalized'!$A:$A, 0))&gt;0, -(16*INDEX('KZ-normalized'!$D:$D, MATCH($A170, 'KZ-normalized'!$A:$A, 0))-INDEX('KZ-normalized'!$E:$E, MATCH($A170, 'KZ-normalized'!$A:$A, 0))), 0), 0))+(IFERROR(IF(16*INDEX('UZ-normalized'!$D:$D, MATCH($A170, 'UZ-normalized'!$A:$A, 0))-INDEX('UZ-normalized'!$E:$E, MATCH($A170, 'UZ-normalized'!$A:$A, 0))&gt;0, -(16*INDEX('UZ-normalized'!$D:$D, MATCH($A170, 'UZ-normalized'!$A:$A, 0))-INDEX('UZ-normalized'!$E:$E, MATCH($A170, 'UZ-normalized'!$A:$A, 0))), 0), 0)))</f>
        <v>-101</v>
      </c>
      <c r="AE170" s="6">
        <f>MIN(0, N170+(IFERROR(IF(17*INDEX('UA-normalized'!$D:$D, MATCH($A170, 'UA-normalized'!$A:$A, 0))-INDEX('UA-normalized'!$E:$E, MATCH($A170, 'UA-normalized'!$A:$A, 0))&gt;0, -(17*INDEX('UA-normalized'!$D:$D, MATCH($A170, 'UA-normalized'!$A:$A, 0))-INDEX('UA-normalized'!$E:$E, MATCH($A170, 'UA-normalized'!$A:$A, 0))), 0), 0))+(IFERROR(IF(17*INDEX('KZ-normalized'!$D:$D, MATCH($A170, 'KZ-normalized'!$A:$A, 0))-INDEX('KZ-normalized'!$E:$E, MATCH($A170, 'KZ-normalized'!$A:$A, 0))&gt;0, -(17*INDEX('KZ-normalized'!$D:$D, MATCH($A170, 'KZ-normalized'!$A:$A, 0))-INDEX('KZ-normalized'!$E:$E, MATCH($A170, 'KZ-normalized'!$A:$A, 0))), 0), 0))+(IFERROR(IF(17*INDEX('UZ-normalized'!$D:$D, MATCH($A170, 'UZ-normalized'!$A:$A, 0))-INDEX('UZ-normalized'!$E:$E, MATCH($A170, 'UZ-normalized'!$A:$A, 0))&gt;0, -(17*INDEX('UZ-normalized'!$D:$D, MATCH($A170, 'UZ-normalized'!$A:$A, 0))-INDEX('UZ-normalized'!$E:$E, MATCH($A170, 'UZ-normalized'!$A:$A, 0))), 0), 0)))</f>
        <v>-109.5</v>
      </c>
      <c r="AF170" s="6">
        <f>MIN(0, N170+(IFERROR(IF(18*INDEX('UA-normalized'!$D:$D, MATCH($A170, 'UA-normalized'!$A:$A, 0))-INDEX('UA-normalized'!$E:$E, MATCH($A170, 'UA-normalized'!$A:$A, 0))&gt;0, -(18*INDEX('UA-normalized'!$D:$D, MATCH($A170, 'UA-normalized'!$A:$A, 0))-INDEX('UA-normalized'!$E:$E, MATCH($A170, 'UA-normalized'!$A:$A, 0))), 0), 0))+(IFERROR(IF(18*INDEX('KZ-normalized'!$D:$D, MATCH($A170, 'KZ-normalized'!$A:$A, 0))-INDEX('KZ-normalized'!$E:$E, MATCH($A170, 'KZ-normalized'!$A:$A, 0))&gt;0, -(18*INDEX('KZ-normalized'!$D:$D, MATCH($A170, 'KZ-normalized'!$A:$A, 0))-INDEX('KZ-normalized'!$E:$E, MATCH($A170, 'KZ-normalized'!$A:$A, 0))), 0), 0))+(IFERROR(IF(18*INDEX('UZ-normalized'!$D:$D, MATCH($A170, 'UZ-normalized'!$A:$A, 0))-INDEX('UZ-normalized'!$E:$E, MATCH($A170, 'UZ-normalized'!$A:$A, 0))&gt;0, -(18*INDEX('UZ-normalized'!$D:$D, MATCH($A170, 'UZ-normalized'!$A:$A, 0))-INDEX('UZ-normalized'!$E:$E, MATCH($A170, 'UZ-normalized'!$A:$A, 0))), 0), 0)))</f>
        <v>-118</v>
      </c>
      <c r="AG170" s="6">
        <f>MIN(0, N170+(IFERROR(IF(19*INDEX('UA-normalized'!$D:$D, MATCH($A170, 'UA-normalized'!$A:$A, 0))-INDEX('UA-normalized'!$E:$E, MATCH($A170, 'UA-normalized'!$A:$A, 0))&gt;0, -(19*INDEX('UA-normalized'!$D:$D, MATCH($A170, 'UA-normalized'!$A:$A, 0))-INDEX('UA-normalized'!$E:$E, MATCH($A170, 'UA-normalized'!$A:$A, 0))), 0), 0))+(IFERROR(IF(19*INDEX('KZ-normalized'!$D:$D, MATCH($A170, 'KZ-normalized'!$A:$A, 0))-INDEX('KZ-normalized'!$E:$E, MATCH($A170, 'KZ-normalized'!$A:$A, 0))&gt;0, -(19*INDEX('KZ-normalized'!$D:$D, MATCH($A170, 'KZ-normalized'!$A:$A, 0))-INDEX('KZ-normalized'!$E:$E, MATCH($A170, 'KZ-normalized'!$A:$A, 0))), 0), 0))+(IFERROR(IF(19*INDEX('UZ-normalized'!$D:$D, MATCH($A170, 'UZ-normalized'!$A:$A, 0))-INDEX('UZ-normalized'!$E:$E, MATCH($A170, 'UZ-normalized'!$A:$A, 0))&gt;0, -(19*INDEX('UZ-normalized'!$D:$D, MATCH($A170, 'UZ-normalized'!$A:$A, 0))-INDEX('UZ-normalized'!$E:$E, MATCH($A170, 'UZ-normalized'!$A:$A, 0))), 0), 0)))</f>
        <v>-126.5</v>
      </c>
      <c r="AH170" s="6">
        <f>MIN(0, N170+(IFERROR(IF(20*INDEX('UA-normalized'!$D:$D, MATCH($A170, 'UA-normalized'!$A:$A, 0))-INDEX('UA-normalized'!$E:$E, MATCH($A170, 'UA-normalized'!$A:$A, 0))&gt;0, -(20*INDEX('UA-normalized'!$D:$D, MATCH($A170, 'UA-normalized'!$A:$A, 0))-INDEX('UA-normalized'!$E:$E, MATCH($A170, 'UA-normalized'!$A:$A, 0))), 0), 0))+(IFERROR(IF(20*INDEX('KZ-normalized'!$D:$D, MATCH($A170, 'KZ-normalized'!$A:$A, 0))-INDEX('KZ-normalized'!$E:$E, MATCH($A170, 'KZ-normalized'!$A:$A, 0))&gt;0, -(20*INDEX('KZ-normalized'!$D:$D, MATCH($A170, 'KZ-normalized'!$A:$A, 0))-INDEX('KZ-normalized'!$E:$E, MATCH($A170, 'KZ-normalized'!$A:$A, 0))), 0), 0))+(IFERROR(IF(20*INDEX('UZ-normalized'!$D:$D, MATCH($A170, 'UZ-normalized'!$A:$A, 0))-INDEX('UZ-normalized'!$E:$E, MATCH($A170, 'UZ-normalized'!$A:$A, 0))&gt;0, -(20*INDEX('UZ-normalized'!$D:$D, MATCH($A170, 'UZ-normalized'!$A:$A, 0))-INDEX('UZ-normalized'!$E:$E, MATCH($A170, 'UZ-normalized'!$A:$A, 0))), 0), 0)))</f>
        <v>-135</v>
      </c>
      <c r="AI170" s="6">
        <f>MIN(0, N170+(IFERROR(IF(21*INDEX('UA-normalized'!$D:$D, MATCH($A170, 'UA-normalized'!$A:$A, 0))-INDEX('UA-normalized'!$E:$E, MATCH($A170, 'UA-normalized'!$A:$A, 0))&gt;0, -(21*INDEX('UA-normalized'!$D:$D, MATCH($A170, 'UA-normalized'!$A:$A, 0))-INDEX('UA-normalized'!$E:$E, MATCH($A170, 'UA-normalized'!$A:$A, 0))), 0), 0))+(IFERROR(IF(21*INDEX('KZ-normalized'!$D:$D, MATCH($A170, 'KZ-normalized'!$A:$A, 0))-INDEX('KZ-normalized'!$E:$E, MATCH($A170, 'KZ-normalized'!$A:$A, 0))&gt;0, -(21*INDEX('KZ-normalized'!$D:$D, MATCH($A170, 'KZ-normalized'!$A:$A, 0))-INDEX('KZ-normalized'!$E:$E, MATCH($A170, 'KZ-normalized'!$A:$A, 0))), 0), 0))+(IFERROR(IF(21*INDEX('UZ-normalized'!$D:$D, MATCH($A170, 'UZ-normalized'!$A:$A, 0))-INDEX('UZ-normalized'!$E:$E, MATCH($A170, 'UZ-normalized'!$A:$A, 0))&gt;0, -(21*INDEX('UZ-normalized'!$D:$D, MATCH($A170, 'UZ-normalized'!$A:$A, 0))-INDEX('UZ-normalized'!$E:$E, MATCH($A170, 'UZ-normalized'!$A:$A, 0))), 0), 0)))</f>
        <v>-143.5</v>
      </c>
      <c r="AJ170" s="6">
        <f>MIN(0, N170+(IFERROR(IF(22*INDEX('UA-normalized'!$D:$D, MATCH($A170, 'UA-normalized'!$A:$A, 0))-INDEX('UA-normalized'!$E:$E, MATCH($A170, 'UA-normalized'!$A:$A, 0))&gt;0, -(22*INDEX('UA-normalized'!$D:$D, MATCH($A170, 'UA-normalized'!$A:$A, 0))-INDEX('UA-normalized'!$E:$E, MATCH($A170, 'UA-normalized'!$A:$A, 0))), 0), 0))+(IFERROR(IF(22*INDEX('KZ-normalized'!$D:$D, MATCH($A170, 'KZ-normalized'!$A:$A, 0))-INDEX('KZ-normalized'!$E:$E, MATCH($A170, 'KZ-normalized'!$A:$A, 0))&gt;0, -(22*INDEX('KZ-normalized'!$D:$D, MATCH($A170, 'KZ-normalized'!$A:$A, 0))-INDEX('KZ-normalized'!$E:$E, MATCH($A170, 'KZ-normalized'!$A:$A, 0))), 0), 0))+(IFERROR(IF(22*INDEX('UZ-normalized'!$D:$D, MATCH($A170, 'UZ-normalized'!$A:$A, 0))-INDEX('UZ-normalized'!$E:$E, MATCH($A170, 'UZ-normalized'!$A:$A, 0))&gt;0, -(22*INDEX('UZ-normalized'!$D:$D, MATCH($A170, 'UZ-normalized'!$A:$A, 0))-INDEX('UZ-normalized'!$E:$E, MATCH($A170, 'UZ-normalized'!$A:$A, 0))), 0), 0)))</f>
        <v>-152</v>
      </c>
      <c r="AK170" s="6">
        <f>MIN(0, N170+(IFERROR(IF(23*INDEX('UA-normalized'!$D:$D, MATCH($A170, 'UA-normalized'!$A:$A, 0))-INDEX('UA-normalized'!$E:$E, MATCH($A170, 'UA-normalized'!$A:$A, 0))&gt;0, -(23*INDEX('UA-normalized'!$D:$D, MATCH($A170, 'UA-normalized'!$A:$A, 0))-INDEX('UA-normalized'!$E:$E, MATCH($A170, 'UA-normalized'!$A:$A, 0))), 0), 0))+(IFERROR(IF(23*INDEX('KZ-normalized'!$D:$D, MATCH($A170, 'KZ-normalized'!$A:$A, 0))-INDEX('KZ-normalized'!$E:$E, MATCH($A170, 'KZ-normalized'!$A:$A, 0))&gt;0, -(23*INDEX('KZ-normalized'!$D:$D, MATCH($A170, 'KZ-normalized'!$A:$A, 0))-INDEX('KZ-normalized'!$E:$E, MATCH($A170, 'KZ-normalized'!$A:$A, 0))), 0), 0))+(IFERROR(IF(23*INDEX('UZ-normalized'!$D:$D, MATCH($A170, 'UZ-normalized'!$A:$A, 0))-INDEX('UZ-normalized'!$E:$E, MATCH($A170, 'UZ-normalized'!$A:$A, 0))&gt;0, -(23*INDEX('UZ-normalized'!$D:$D, MATCH($A170, 'UZ-normalized'!$A:$A, 0))-INDEX('UZ-normalized'!$E:$E, MATCH($A170, 'UZ-normalized'!$A:$A, 0))), 0), 0)))</f>
        <v>-160.5</v>
      </c>
      <c r="AL170" s="6">
        <f>MIN(0, N170+(IFERROR(IF(24*INDEX('UA-normalized'!$D:$D, MATCH($A170, 'UA-normalized'!$A:$A, 0))-INDEX('UA-normalized'!$E:$E, MATCH($A170, 'UA-normalized'!$A:$A, 0))&gt;0, -(24*INDEX('UA-normalized'!$D:$D, MATCH($A170, 'UA-normalized'!$A:$A, 0))-INDEX('UA-normalized'!$E:$E, MATCH($A170, 'UA-normalized'!$A:$A, 0))), 0), 0))+(IFERROR(IF(24*INDEX('KZ-normalized'!$D:$D, MATCH($A170, 'KZ-normalized'!$A:$A, 0))-INDEX('KZ-normalized'!$E:$E, MATCH($A170, 'KZ-normalized'!$A:$A, 0))&gt;0, -(24*INDEX('KZ-normalized'!$D:$D, MATCH($A170, 'KZ-normalized'!$A:$A, 0))-INDEX('KZ-normalized'!$E:$E, MATCH($A170, 'KZ-normalized'!$A:$A, 0))), 0), 0))+(IFERROR(IF(24*INDEX('UZ-normalized'!$D:$D, MATCH($A170, 'UZ-normalized'!$A:$A, 0))-INDEX('UZ-normalized'!$E:$E, MATCH($A170, 'UZ-normalized'!$A:$A, 0))&gt;0, -(24*INDEX('UZ-normalized'!$D:$D, MATCH($A170, 'UZ-normalized'!$A:$A, 0))-INDEX('UZ-normalized'!$E:$E, MATCH($A170, 'UZ-normalized'!$A:$A, 0))), 0), 0)))</f>
        <v>-169</v>
      </c>
      <c r="AM170" s="6">
        <f>MIN(0, N170+(IFERROR(IF(25*INDEX('UA-normalized'!$D:$D, MATCH($A170, 'UA-normalized'!$A:$A, 0))-INDEX('UA-normalized'!$E:$E, MATCH($A170, 'UA-normalized'!$A:$A, 0))&gt;0, -(25*INDEX('UA-normalized'!$D:$D, MATCH($A170, 'UA-normalized'!$A:$A, 0))-INDEX('UA-normalized'!$E:$E, MATCH($A170, 'UA-normalized'!$A:$A, 0))), 0), 0))+(IFERROR(IF(25*INDEX('KZ-normalized'!$D:$D, MATCH($A170, 'KZ-normalized'!$A:$A, 0))-INDEX('KZ-normalized'!$E:$E, MATCH($A170, 'KZ-normalized'!$A:$A, 0))&gt;0, -(25*INDEX('KZ-normalized'!$D:$D, MATCH($A170, 'KZ-normalized'!$A:$A, 0))-INDEX('KZ-normalized'!$E:$E, MATCH($A170, 'KZ-normalized'!$A:$A, 0))), 0), 0))+(IFERROR(IF(25*INDEX('UZ-normalized'!$D:$D, MATCH($A170, 'UZ-normalized'!$A:$A, 0))-INDEX('UZ-normalized'!$E:$E, MATCH($A170, 'UZ-normalized'!$A:$A, 0))&gt;0, -(25*INDEX('UZ-normalized'!$D:$D, MATCH($A170, 'UZ-normalized'!$A:$A, 0))-INDEX('UZ-normalized'!$E:$E, MATCH($A170, 'UZ-normalized'!$A:$A, 0))), 0), 0)))</f>
        <v>-177.5</v>
      </c>
      <c r="AN170" s="6">
        <f>MIN(0, N170+(IFERROR(IF(26*INDEX('UA-normalized'!$D:$D, MATCH($A170, 'UA-normalized'!$A:$A, 0))-INDEX('UA-normalized'!$E:$E, MATCH($A170, 'UA-normalized'!$A:$A, 0))&gt;0, -(26*INDEX('UA-normalized'!$D:$D, MATCH($A170, 'UA-normalized'!$A:$A, 0))-INDEX('UA-normalized'!$E:$E, MATCH($A170, 'UA-normalized'!$A:$A, 0))), 0), 0))+(IFERROR(IF(26*INDEX('KZ-normalized'!$D:$D, MATCH($A170, 'KZ-normalized'!$A:$A, 0))-INDEX('KZ-normalized'!$E:$E, MATCH($A170, 'KZ-normalized'!$A:$A, 0))&gt;0, -(26*INDEX('KZ-normalized'!$D:$D, MATCH($A170, 'KZ-normalized'!$A:$A, 0))-INDEX('KZ-normalized'!$E:$E, MATCH($A170, 'KZ-normalized'!$A:$A, 0))), 0), 0))+(IFERROR(IF(26*INDEX('UZ-normalized'!$D:$D, MATCH($A170, 'UZ-normalized'!$A:$A, 0))-INDEX('UZ-normalized'!$E:$E, MATCH($A170, 'UZ-normalized'!$A:$A, 0))&gt;0, -(26*INDEX('UZ-normalized'!$D:$D, MATCH($A170, 'UZ-normalized'!$A:$A, 0))-INDEX('UZ-normalized'!$E:$E, MATCH($A170, 'UZ-normalized'!$A:$A, 0))), 0), 0)))</f>
        <v>-186</v>
      </c>
      <c r="AO170" s="6">
        <f>MIN(0, N170+(IFERROR(IF(27*INDEX('UA-normalized'!$D:$D, MATCH($A170, 'UA-normalized'!$A:$A, 0))-INDEX('UA-normalized'!$E:$E, MATCH($A170, 'UA-normalized'!$A:$A, 0))&gt;0, -(27*INDEX('UA-normalized'!$D:$D, MATCH($A170, 'UA-normalized'!$A:$A, 0))-INDEX('UA-normalized'!$E:$E, MATCH($A170, 'UA-normalized'!$A:$A, 0))), 0), 0))+(IFERROR(IF(27*INDEX('KZ-normalized'!$D:$D, MATCH($A170, 'KZ-normalized'!$A:$A, 0))-INDEX('KZ-normalized'!$E:$E, MATCH($A170, 'KZ-normalized'!$A:$A, 0))&gt;0, -(27*INDEX('KZ-normalized'!$D:$D, MATCH($A170, 'KZ-normalized'!$A:$A, 0))-INDEX('KZ-normalized'!$E:$E, MATCH($A170, 'KZ-normalized'!$A:$A, 0))), 0), 0))+(IFERROR(IF(27*INDEX('UZ-normalized'!$D:$D, MATCH($A170, 'UZ-normalized'!$A:$A, 0))-INDEX('UZ-normalized'!$E:$E, MATCH($A170, 'UZ-normalized'!$A:$A, 0))&gt;0, -(27*INDEX('UZ-normalized'!$D:$D, MATCH($A170, 'UZ-normalized'!$A:$A, 0))-INDEX('UZ-normalized'!$E:$E, MATCH($A170, 'UZ-normalized'!$A:$A, 0))), 0), 0)))</f>
        <v>-194.5</v>
      </c>
      <c r="AP170" s="6">
        <f>MIN(0, N170+(IFERROR(IF(28*INDEX('UA-normalized'!$D:$D, MATCH($A170, 'UA-normalized'!$A:$A, 0))-INDEX('UA-normalized'!$E:$E, MATCH($A170, 'UA-normalized'!$A:$A, 0))&gt;0, -(28*INDEX('UA-normalized'!$D:$D, MATCH($A170, 'UA-normalized'!$A:$A, 0))-INDEX('UA-normalized'!$E:$E, MATCH($A170, 'UA-normalized'!$A:$A, 0))), 0), 0))+(IFERROR(IF(28*INDEX('KZ-normalized'!$D:$D, MATCH($A170, 'KZ-normalized'!$A:$A, 0))-INDEX('KZ-normalized'!$E:$E, MATCH($A170, 'KZ-normalized'!$A:$A, 0))&gt;0, -(28*INDEX('KZ-normalized'!$D:$D, MATCH($A170, 'KZ-normalized'!$A:$A, 0))-INDEX('KZ-normalized'!$E:$E, MATCH($A170, 'KZ-normalized'!$A:$A, 0))), 0), 0))+(IFERROR(IF(28*INDEX('UZ-normalized'!$D:$D, MATCH($A170, 'UZ-normalized'!$A:$A, 0))-INDEX('UZ-normalized'!$E:$E, MATCH($A170, 'UZ-normalized'!$A:$A, 0))&gt;0, -(28*INDEX('UZ-normalized'!$D:$D, MATCH($A170, 'UZ-normalized'!$A:$A, 0))-INDEX('UZ-normalized'!$E:$E, MATCH($A170, 'UZ-normalized'!$A:$A, 0))), 0), 0)))</f>
        <v>-203</v>
      </c>
      <c r="AQ170" s="6">
        <f>MIN(0, N170+(IFERROR(IF(29*INDEX('UA-normalized'!$D:$D, MATCH($A170, 'UA-normalized'!$A:$A, 0))-INDEX('UA-normalized'!$E:$E, MATCH($A170, 'UA-normalized'!$A:$A, 0))&gt;0, -(29*INDEX('UA-normalized'!$D:$D, MATCH($A170, 'UA-normalized'!$A:$A, 0))-INDEX('UA-normalized'!$E:$E, MATCH($A170, 'UA-normalized'!$A:$A, 0))), 0), 0))+(IFERROR(IF(29*INDEX('KZ-normalized'!$D:$D, MATCH($A170, 'KZ-normalized'!$A:$A, 0))-INDEX('KZ-normalized'!$E:$E, MATCH($A170, 'KZ-normalized'!$A:$A, 0))&gt;0, -(29*INDEX('KZ-normalized'!$D:$D, MATCH($A170, 'KZ-normalized'!$A:$A, 0))-INDEX('KZ-normalized'!$E:$E, MATCH($A170, 'KZ-normalized'!$A:$A, 0))), 0), 0))+(IFERROR(IF(29*INDEX('UZ-normalized'!$D:$D, MATCH($A170, 'UZ-normalized'!$A:$A, 0))-INDEX('UZ-normalized'!$E:$E, MATCH($A170, 'UZ-normalized'!$A:$A, 0))&gt;0, -(29*INDEX('UZ-normalized'!$D:$D, MATCH($A170, 'UZ-normalized'!$A:$A, 0))-INDEX('UZ-normalized'!$E:$E, MATCH($A170, 'UZ-normalized'!$A:$A, 0))), 0), 0)))</f>
        <v>-211.5</v>
      </c>
      <c r="AR170" s="6">
        <f>MIN(0, N170+(IFERROR(IF(30*INDEX('UA-normalized'!$D:$D, MATCH($A170, 'UA-normalized'!$A:$A, 0))-INDEX('UA-normalized'!$E:$E, MATCH($A170, 'UA-normalized'!$A:$A, 0))&gt;0, -(30*INDEX('UA-normalized'!$D:$D, MATCH($A170, 'UA-normalized'!$A:$A, 0))-INDEX('UA-normalized'!$E:$E, MATCH($A170, 'UA-normalized'!$A:$A, 0))), 0), 0))+(IFERROR(IF(30*INDEX('KZ-normalized'!$D:$D, MATCH($A170, 'KZ-normalized'!$A:$A, 0))-INDEX('KZ-normalized'!$E:$E, MATCH($A170, 'KZ-normalized'!$A:$A, 0))&gt;0, -(30*INDEX('KZ-normalized'!$D:$D, MATCH($A170, 'KZ-normalized'!$A:$A, 0))-INDEX('KZ-normalized'!$E:$E, MATCH($A170, 'KZ-normalized'!$A:$A, 0))), 0), 0))+(IFERROR(IF(30*INDEX('UZ-normalized'!$D:$D, MATCH($A170, 'UZ-normalized'!$A:$A, 0))-INDEX('UZ-normalized'!$E:$E, MATCH($A170, 'UZ-normalized'!$A:$A, 0))&gt;0, -(30*INDEX('UZ-normalized'!$D:$D, MATCH($A170, 'UZ-normalized'!$A:$A, 0))-INDEX('UZ-normalized'!$E:$E, MATCH($A170, 'UZ-normalized'!$A:$A, 0))), 0), 0)))</f>
        <v>-220</v>
      </c>
    </row>
    <row r="171" spans="1:44" x14ac:dyDescent="0.25">
      <c r="A171" s="8" t="s">
        <v>409</v>
      </c>
      <c r="B171" s="8" t="s">
        <v>393</v>
      </c>
      <c r="C171" s="8" t="s">
        <v>407</v>
      </c>
      <c r="D171" s="8" t="s">
        <v>410</v>
      </c>
      <c r="N171">
        <f t="shared" si="2"/>
        <v>0</v>
      </c>
      <c r="O171" s="6">
        <f>MIN(0, N171+(IFERROR(IF(1*INDEX('UA-normalized'!$D:$D, MATCH($A171, 'UA-normalized'!$A:$A, 0))-INDEX('UA-normalized'!$E:$E, MATCH($A171, 'UA-normalized'!$A:$A, 0))&gt;0, -(1*INDEX('UA-normalized'!$D:$D, MATCH($A171, 'UA-normalized'!$A:$A, 0))-INDEX('UA-normalized'!$E:$E, MATCH($A171, 'UA-normalized'!$A:$A, 0))), 0), 0))+(IFERROR(IF(1*INDEX('KZ-normalized'!$D:$D, MATCH($A171, 'KZ-normalized'!$A:$A, 0))-INDEX('KZ-normalized'!$E:$E, MATCH($A171, 'KZ-normalized'!$A:$A, 0))&gt;0, -(1*INDEX('KZ-normalized'!$D:$D, MATCH($A171, 'KZ-normalized'!$A:$A, 0))-INDEX('KZ-normalized'!$E:$E, MATCH($A171, 'KZ-normalized'!$A:$A, 0))), 0), 0))+(IFERROR(IF(1*INDEX('UZ-normalized'!$D:$D, MATCH($A171, 'UZ-normalized'!$A:$A, 0))-INDEX('UZ-normalized'!$E:$E, MATCH($A171, 'UZ-normalized'!$A:$A, 0))&gt;0, -(1*INDEX('UZ-normalized'!$D:$D, MATCH($A171, 'UZ-normalized'!$A:$A, 0))-INDEX('UZ-normalized'!$E:$E, MATCH($A171, 'UZ-normalized'!$A:$A, 0))), 0), 0)))</f>
        <v>0</v>
      </c>
      <c r="P171" s="6">
        <f>MIN(0, N171+(IFERROR(IF(2*INDEX('UA-normalized'!$D:$D, MATCH($A171, 'UA-normalized'!$A:$A, 0))-INDEX('UA-normalized'!$E:$E, MATCH($A171, 'UA-normalized'!$A:$A, 0))&gt;0, -(2*INDEX('UA-normalized'!$D:$D, MATCH($A171, 'UA-normalized'!$A:$A, 0))-INDEX('UA-normalized'!$E:$E, MATCH($A171, 'UA-normalized'!$A:$A, 0))), 0), 0))+(IFERROR(IF(2*INDEX('KZ-normalized'!$D:$D, MATCH($A171, 'KZ-normalized'!$A:$A, 0))-INDEX('KZ-normalized'!$E:$E, MATCH($A171, 'KZ-normalized'!$A:$A, 0))&gt;0, -(2*INDEX('KZ-normalized'!$D:$D, MATCH($A171, 'KZ-normalized'!$A:$A, 0))-INDEX('KZ-normalized'!$E:$E, MATCH($A171, 'KZ-normalized'!$A:$A, 0))), 0), 0))+(IFERROR(IF(2*INDEX('UZ-normalized'!$D:$D, MATCH($A171, 'UZ-normalized'!$A:$A, 0))-INDEX('UZ-normalized'!$E:$E, MATCH($A171, 'UZ-normalized'!$A:$A, 0))&gt;0, -(2*INDEX('UZ-normalized'!$D:$D, MATCH($A171, 'UZ-normalized'!$A:$A, 0))-INDEX('UZ-normalized'!$E:$E, MATCH($A171, 'UZ-normalized'!$A:$A, 0))), 0), 0)))</f>
        <v>0</v>
      </c>
      <c r="Q171" s="6">
        <f>MIN(0, N171+(IFERROR(IF(3*INDEX('UA-normalized'!$D:$D, MATCH($A171, 'UA-normalized'!$A:$A, 0))-INDEX('UA-normalized'!$E:$E, MATCH($A171, 'UA-normalized'!$A:$A, 0))&gt;0, -(3*INDEX('UA-normalized'!$D:$D, MATCH($A171, 'UA-normalized'!$A:$A, 0))-INDEX('UA-normalized'!$E:$E, MATCH($A171, 'UA-normalized'!$A:$A, 0))), 0), 0))+(IFERROR(IF(3*INDEX('KZ-normalized'!$D:$D, MATCH($A171, 'KZ-normalized'!$A:$A, 0))-INDEX('KZ-normalized'!$E:$E, MATCH($A171, 'KZ-normalized'!$A:$A, 0))&gt;0, -(3*INDEX('KZ-normalized'!$D:$D, MATCH($A171, 'KZ-normalized'!$A:$A, 0))-INDEX('KZ-normalized'!$E:$E, MATCH($A171, 'KZ-normalized'!$A:$A, 0))), 0), 0))+(IFERROR(IF(3*INDEX('UZ-normalized'!$D:$D, MATCH($A171, 'UZ-normalized'!$A:$A, 0))-INDEX('UZ-normalized'!$E:$E, MATCH($A171, 'UZ-normalized'!$A:$A, 0))&gt;0, -(3*INDEX('UZ-normalized'!$D:$D, MATCH($A171, 'UZ-normalized'!$A:$A, 0))-INDEX('UZ-normalized'!$E:$E, MATCH($A171, 'UZ-normalized'!$A:$A, 0))), 0), 0)))</f>
        <v>0</v>
      </c>
      <c r="R171" s="6">
        <f>MIN(0, N171+(IFERROR(IF(4*INDEX('UA-normalized'!$D:$D, MATCH($A171, 'UA-normalized'!$A:$A, 0))-INDEX('UA-normalized'!$E:$E, MATCH($A171, 'UA-normalized'!$A:$A, 0))&gt;0, -(4*INDEX('UA-normalized'!$D:$D, MATCH($A171, 'UA-normalized'!$A:$A, 0))-INDEX('UA-normalized'!$E:$E, MATCH($A171, 'UA-normalized'!$A:$A, 0))), 0), 0))+(IFERROR(IF(4*INDEX('KZ-normalized'!$D:$D, MATCH($A171, 'KZ-normalized'!$A:$A, 0))-INDEX('KZ-normalized'!$E:$E, MATCH($A171, 'KZ-normalized'!$A:$A, 0))&gt;0, -(4*INDEX('KZ-normalized'!$D:$D, MATCH($A171, 'KZ-normalized'!$A:$A, 0))-INDEX('KZ-normalized'!$E:$E, MATCH($A171, 'KZ-normalized'!$A:$A, 0))), 0), 0))+(IFERROR(IF(4*INDEX('UZ-normalized'!$D:$D, MATCH($A171, 'UZ-normalized'!$A:$A, 0))-INDEX('UZ-normalized'!$E:$E, MATCH($A171, 'UZ-normalized'!$A:$A, 0))&gt;0, -(4*INDEX('UZ-normalized'!$D:$D, MATCH($A171, 'UZ-normalized'!$A:$A, 0))-INDEX('UZ-normalized'!$E:$E, MATCH($A171, 'UZ-normalized'!$A:$A, 0))), 0), 0)))</f>
        <v>0</v>
      </c>
      <c r="S171" s="6">
        <f>MIN(0, N171+(IFERROR(IF(5*INDEX('UA-normalized'!$D:$D, MATCH($A171, 'UA-normalized'!$A:$A, 0))-INDEX('UA-normalized'!$E:$E, MATCH($A171, 'UA-normalized'!$A:$A, 0))&gt;0, -(5*INDEX('UA-normalized'!$D:$D, MATCH($A171, 'UA-normalized'!$A:$A, 0))-INDEX('UA-normalized'!$E:$E, MATCH($A171, 'UA-normalized'!$A:$A, 0))), 0), 0))+(IFERROR(IF(5*INDEX('KZ-normalized'!$D:$D, MATCH($A171, 'KZ-normalized'!$A:$A, 0))-INDEX('KZ-normalized'!$E:$E, MATCH($A171, 'KZ-normalized'!$A:$A, 0))&gt;0, -(5*INDEX('KZ-normalized'!$D:$D, MATCH($A171, 'KZ-normalized'!$A:$A, 0))-INDEX('KZ-normalized'!$E:$E, MATCH($A171, 'KZ-normalized'!$A:$A, 0))), 0), 0))+(IFERROR(IF(5*INDEX('UZ-normalized'!$D:$D, MATCH($A171, 'UZ-normalized'!$A:$A, 0))-INDEX('UZ-normalized'!$E:$E, MATCH($A171, 'UZ-normalized'!$A:$A, 0))&gt;0, -(5*INDEX('UZ-normalized'!$D:$D, MATCH($A171, 'UZ-normalized'!$A:$A, 0))-INDEX('UZ-normalized'!$E:$E, MATCH($A171, 'UZ-normalized'!$A:$A, 0))), 0), 0)))</f>
        <v>0</v>
      </c>
      <c r="T171" s="6">
        <f>MIN(0, N171+(IFERROR(IF(6*INDEX('UA-normalized'!$D:$D, MATCH($A171, 'UA-normalized'!$A:$A, 0))-INDEX('UA-normalized'!$E:$E, MATCH($A171, 'UA-normalized'!$A:$A, 0))&gt;0, -(6*INDEX('UA-normalized'!$D:$D, MATCH($A171, 'UA-normalized'!$A:$A, 0))-INDEX('UA-normalized'!$E:$E, MATCH($A171, 'UA-normalized'!$A:$A, 0))), 0), 0))+(IFERROR(IF(6*INDEX('KZ-normalized'!$D:$D, MATCH($A171, 'KZ-normalized'!$A:$A, 0))-INDEX('KZ-normalized'!$E:$E, MATCH($A171, 'KZ-normalized'!$A:$A, 0))&gt;0, -(6*INDEX('KZ-normalized'!$D:$D, MATCH($A171, 'KZ-normalized'!$A:$A, 0))-INDEX('KZ-normalized'!$E:$E, MATCH($A171, 'KZ-normalized'!$A:$A, 0))), 0), 0))+(IFERROR(IF(6*INDEX('UZ-normalized'!$D:$D, MATCH($A171, 'UZ-normalized'!$A:$A, 0))-INDEX('UZ-normalized'!$E:$E, MATCH($A171, 'UZ-normalized'!$A:$A, 0))&gt;0, -(6*INDEX('UZ-normalized'!$D:$D, MATCH($A171, 'UZ-normalized'!$A:$A, 0))-INDEX('UZ-normalized'!$E:$E, MATCH($A171, 'UZ-normalized'!$A:$A, 0))), 0), 0)))</f>
        <v>0</v>
      </c>
      <c r="U171" s="6">
        <f>MIN(0, N171+(IFERROR(IF(7*INDEX('UA-normalized'!$D:$D, MATCH($A171, 'UA-normalized'!$A:$A, 0))-INDEX('UA-normalized'!$E:$E, MATCH($A171, 'UA-normalized'!$A:$A, 0))&gt;0, -(7*INDEX('UA-normalized'!$D:$D, MATCH($A171, 'UA-normalized'!$A:$A, 0))-INDEX('UA-normalized'!$E:$E, MATCH($A171, 'UA-normalized'!$A:$A, 0))), 0), 0))+(IFERROR(IF(7*INDEX('KZ-normalized'!$D:$D, MATCH($A171, 'KZ-normalized'!$A:$A, 0))-INDEX('KZ-normalized'!$E:$E, MATCH($A171, 'KZ-normalized'!$A:$A, 0))&gt;0, -(7*INDEX('KZ-normalized'!$D:$D, MATCH($A171, 'KZ-normalized'!$A:$A, 0))-INDEX('KZ-normalized'!$E:$E, MATCH($A171, 'KZ-normalized'!$A:$A, 0))), 0), 0))+(IFERROR(IF(7*INDEX('UZ-normalized'!$D:$D, MATCH($A171, 'UZ-normalized'!$A:$A, 0))-INDEX('UZ-normalized'!$E:$E, MATCH($A171, 'UZ-normalized'!$A:$A, 0))&gt;0, -(7*INDEX('UZ-normalized'!$D:$D, MATCH($A171, 'UZ-normalized'!$A:$A, 0))-INDEX('UZ-normalized'!$E:$E, MATCH($A171, 'UZ-normalized'!$A:$A, 0))), 0), 0)))</f>
        <v>0</v>
      </c>
      <c r="V171" s="6">
        <f>MIN(0, N171+(IFERROR(IF(8*INDEX('UA-normalized'!$D:$D, MATCH($A171, 'UA-normalized'!$A:$A, 0))-INDEX('UA-normalized'!$E:$E, MATCH($A171, 'UA-normalized'!$A:$A, 0))&gt;0, -(8*INDEX('UA-normalized'!$D:$D, MATCH($A171, 'UA-normalized'!$A:$A, 0))-INDEX('UA-normalized'!$E:$E, MATCH($A171, 'UA-normalized'!$A:$A, 0))), 0), 0))+(IFERROR(IF(8*INDEX('KZ-normalized'!$D:$D, MATCH($A171, 'KZ-normalized'!$A:$A, 0))-INDEX('KZ-normalized'!$E:$E, MATCH($A171, 'KZ-normalized'!$A:$A, 0))&gt;0, -(8*INDEX('KZ-normalized'!$D:$D, MATCH($A171, 'KZ-normalized'!$A:$A, 0))-INDEX('KZ-normalized'!$E:$E, MATCH($A171, 'KZ-normalized'!$A:$A, 0))), 0), 0))+(IFERROR(IF(8*INDEX('UZ-normalized'!$D:$D, MATCH($A171, 'UZ-normalized'!$A:$A, 0))-INDEX('UZ-normalized'!$E:$E, MATCH($A171, 'UZ-normalized'!$A:$A, 0))&gt;0, -(8*INDEX('UZ-normalized'!$D:$D, MATCH($A171, 'UZ-normalized'!$A:$A, 0))-INDEX('UZ-normalized'!$E:$E, MATCH($A171, 'UZ-normalized'!$A:$A, 0))), 0), 0)))</f>
        <v>0</v>
      </c>
      <c r="W171" s="6">
        <f>MIN(0, N171+(IFERROR(IF(9*INDEX('UA-normalized'!$D:$D, MATCH($A171, 'UA-normalized'!$A:$A, 0))-INDEX('UA-normalized'!$E:$E, MATCH($A171, 'UA-normalized'!$A:$A, 0))&gt;0, -(9*INDEX('UA-normalized'!$D:$D, MATCH($A171, 'UA-normalized'!$A:$A, 0))-INDEX('UA-normalized'!$E:$E, MATCH($A171, 'UA-normalized'!$A:$A, 0))), 0), 0))+(IFERROR(IF(9*INDEX('KZ-normalized'!$D:$D, MATCH($A171, 'KZ-normalized'!$A:$A, 0))-INDEX('KZ-normalized'!$E:$E, MATCH($A171, 'KZ-normalized'!$A:$A, 0))&gt;0, -(9*INDEX('KZ-normalized'!$D:$D, MATCH($A171, 'KZ-normalized'!$A:$A, 0))-INDEX('KZ-normalized'!$E:$E, MATCH($A171, 'KZ-normalized'!$A:$A, 0))), 0), 0))+(IFERROR(IF(9*INDEX('UZ-normalized'!$D:$D, MATCH($A171, 'UZ-normalized'!$A:$A, 0))-INDEX('UZ-normalized'!$E:$E, MATCH($A171, 'UZ-normalized'!$A:$A, 0))&gt;0, -(9*INDEX('UZ-normalized'!$D:$D, MATCH($A171, 'UZ-normalized'!$A:$A, 0))-INDEX('UZ-normalized'!$E:$E, MATCH($A171, 'UZ-normalized'!$A:$A, 0))), 0), 0)))</f>
        <v>0</v>
      </c>
      <c r="X171" s="6">
        <f>MIN(0, N171+(IFERROR(IF(10*INDEX('UA-normalized'!$D:$D, MATCH($A171, 'UA-normalized'!$A:$A, 0))-INDEX('UA-normalized'!$E:$E, MATCH($A171, 'UA-normalized'!$A:$A, 0))&gt;0, -(10*INDEX('UA-normalized'!$D:$D, MATCH($A171, 'UA-normalized'!$A:$A, 0))-INDEX('UA-normalized'!$E:$E, MATCH($A171, 'UA-normalized'!$A:$A, 0))), 0), 0))+(IFERROR(IF(10*INDEX('KZ-normalized'!$D:$D, MATCH($A171, 'KZ-normalized'!$A:$A, 0))-INDEX('KZ-normalized'!$E:$E, MATCH($A171, 'KZ-normalized'!$A:$A, 0))&gt;0, -(10*INDEX('KZ-normalized'!$D:$D, MATCH($A171, 'KZ-normalized'!$A:$A, 0))-INDEX('KZ-normalized'!$E:$E, MATCH($A171, 'KZ-normalized'!$A:$A, 0))), 0), 0))+(IFERROR(IF(10*INDEX('UZ-normalized'!$D:$D, MATCH($A171, 'UZ-normalized'!$A:$A, 0))-INDEX('UZ-normalized'!$E:$E, MATCH($A171, 'UZ-normalized'!$A:$A, 0))&gt;0, -(10*INDEX('UZ-normalized'!$D:$D, MATCH($A171, 'UZ-normalized'!$A:$A, 0))-INDEX('UZ-normalized'!$E:$E, MATCH($A171, 'UZ-normalized'!$A:$A, 0))), 0), 0)))</f>
        <v>0</v>
      </c>
      <c r="Y171" s="6">
        <f>MIN(0, N171+(IFERROR(IF(11*INDEX('UA-normalized'!$D:$D, MATCH($A171, 'UA-normalized'!$A:$A, 0))-INDEX('UA-normalized'!$E:$E, MATCH($A171, 'UA-normalized'!$A:$A, 0))&gt;0, -(11*INDEX('UA-normalized'!$D:$D, MATCH($A171, 'UA-normalized'!$A:$A, 0))-INDEX('UA-normalized'!$E:$E, MATCH($A171, 'UA-normalized'!$A:$A, 0))), 0), 0))+(IFERROR(IF(11*INDEX('KZ-normalized'!$D:$D, MATCH($A171, 'KZ-normalized'!$A:$A, 0))-INDEX('KZ-normalized'!$E:$E, MATCH($A171, 'KZ-normalized'!$A:$A, 0))&gt;0, -(11*INDEX('KZ-normalized'!$D:$D, MATCH($A171, 'KZ-normalized'!$A:$A, 0))-INDEX('KZ-normalized'!$E:$E, MATCH($A171, 'KZ-normalized'!$A:$A, 0))), 0), 0))+(IFERROR(IF(11*INDEX('UZ-normalized'!$D:$D, MATCH($A171, 'UZ-normalized'!$A:$A, 0))-INDEX('UZ-normalized'!$E:$E, MATCH($A171, 'UZ-normalized'!$A:$A, 0))&gt;0, -(11*INDEX('UZ-normalized'!$D:$D, MATCH($A171, 'UZ-normalized'!$A:$A, 0))-INDEX('UZ-normalized'!$E:$E, MATCH($A171, 'UZ-normalized'!$A:$A, 0))), 0), 0)))</f>
        <v>0</v>
      </c>
      <c r="Z171" s="6">
        <f>MIN(0, N171+(IFERROR(IF(12*INDEX('UA-normalized'!$D:$D, MATCH($A171, 'UA-normalized'!$A:$A, 0))-INDEX('UA-normalized'!$E:$E, MATCH($A171, 'UA-normalized'!$A:$A, 0))&gt;0, -(12*INDEX('UA-normalized'!$D:$D, MATCH($A171, 'UA-normalized'!$A:$A, 0))-INDEX('UA-normalized'!$E:$E, MATCH($A171, 'UA-normalized'!$A:$A, 0))), 0), 0))+(IFERROR(IF(12*INDEX('KZ-normalized'!$D:$D, MATCH($A171, 'KZ-normalized'!$A:$A, 0))-INDEX('KZ-normalized'!$E:$E, MATCH($A171, 'KZ-normalized'!$A:$A, 0))&gt;0, -(12*INDEX('KZ-normalized'!$D:$D, MATCH($A171, 'KZ-normalized'!$A:$A, 0))-INDEX('KZ-normalized'!$E:$E, MATCH($A171, 'KZ-normalized'!$A:$A, 0))), 0), 0))+(IFERROR(IF(12*INDEX('UZ-normalized'!$D:$D, MATCH($A171, 'UZ-normalized'!$A:$A, 0))-INDEX('UZ-normalized'!$E:$E, MATCH($A171, 'UZ-normalized'!$A:$A, 0))&gt;0, -(12*INDEX('UZ-normalized'!$D:$D, MATCH($A171, 'UZ-normalized'!$A:$A, 0))-INDEX('UZ-normalized'!$E:$E, MATCH($A171, 'UZ-normalized'!$A:$A, 0))), 0), 0)))</f>
        <v>0</v>
      </c>
      <c r="AA171" s="6">
        <f>MIN(0, N171+(IFERROR(IF(13*INDEX('UA-normalized'!$D:$D, MATCH($A171, 'UA-normalized'!$A:$A, 0))-INDEX('UA-normalized'!$E:$E, MATCH($A171, 'UA-normalized'!$A:$A, 0))&gt;0, -(13*INDEX('UA-normalized'!$D:$D, MATCH($A171, 'UA-normalized'!$A:$A, 0))-INDEX('UA-normalized'!$E:$E, MATCH($A171, 'UA-normalized'!$A:$A, 0))), 0), 0))+(IFERROR(IF(13*INDEX('KZ-normalized'!$D:$D, MATCH($A171, 'KZ-normalized'!$A:$A, 0))-INDEX('KZ-normalized'!$E:$E, MATCH($A171, 'KZ-normalized'!$A:$A, 0))&gt;0, -(13*INDEX('KZ-normalized'!$D:$D, MATCH($A171, 'KZ-normalized'!$A:$A, 0))-INDEX('KZ-normalized'!$E:$E, MATCH($A171, 'KZ-normalized'!$A:$A, 0))), 0), 0))+(IFERROR(IF(13*INDEX('UZ-normalized'!$D:$D, MATCH($A171, 'UZ-normalized'!$A:$A, 0))-INDEX('UZ-normalized'!$E:$E, MATCH($A171, 'UZ-normalized'!$A:$A, 0))&gt;0, -(13*INDEX('UZ-normalized'!$D:$D, MATCH($A171, 'UZ-normalized'!$A:$A, 0))-INDEX('UZ-normalized'!$E:$E, MATCH($A171, 'UZ-normalized'!$A:$A, 0))), 0), 0)))</f>
        <v>0</v>
      </c>
      <c r="AB171" s="6">
        <f>MIN(0, N171+(IFERROR(IF(14*INDEX('UA-normalized'!$D:$D, MATCH($A171, 'UA-normalized'!$A:$A, 0))-INDEX('UA-normalized'!$E:$E, MATCH($A171, 'UA-normalized'!$A:$A, 0))&gt;0, -(14*INDEX('UA-normalized'!$D:$D, MATCH($A171, 'UA-normalized'!$A:$A, 0))-INDEX('UA-normalized'!$E:$E, MATCH($A171, 'UA-normalized'!$A:$A, 0))), 0), 0))+(IFERROR(IF(14*INDEX('KZ-normalized'!$D:$D, MATCH($A171, 'KZ-normalized'!$A:$A, 0))-INDEX('KZ-normalized'!$E:$E, MATCH($A171, 'KZ-normalized'!$A:$A, 0))&gt;0, -(14*INDEX('KZ-normalized'!$D:$D, MATCH($A171, 'KZ-normalized'!$A:$A, 0))-INDEX('KZ-normalized'!$E:$E, MATCH($A171, 'KZ-normalized'!$A:$A, 0))), 0), 0))+(IFERROR(IF(14*INDEX('UZ-normalized'!$D:$D, MATCH($A171, 'UZ-normalized'!$A:$A, 0))-INDEX('UZ-normalized'!$E:$E, MATCH($A171, 'UZ-normalized'!$A:$A, 0))&gt;0, -(14*INDEX('UZ-normalized'!$D:$D, MATCH($A171, 'UZ-normalized'!$A:$A, 0))-INDEX('UZ-normalized'!$E:$E, MATCH($A171, 'UZ-normalized'!$A:$A, 0))), 0), 0)))</f>
        <v>0</v>
      </c>
      <c r="AC171" s="6">
        <f>MIN(0, N171+(IFERROR(IF(15*INDEX('UA-normalized'!$D:$D, MATCH($A171, 'UA-normalized'!$A:$A, 0))-INDEX('UA-normalized'!$E:$E, MATCH($A171, 'UA-normalized'!$A:$A, 0))&gt;0, -(15*INDEX('UA-normalized'!$D:$D, MATCH($A171, 'UA-normalized'!$A:$A, 0))-INDEX('UA-normalized'!$E:$E, MATCH($A171, 'UA-normalized'!$A:$A, 0))), 0), 0))+(IFERROR(IF(15*INDEX('KZ-normalized'!$D:$D, MATCH($A171, 'KZ-normalized'!$A:$A, 0))-INDEX('KZ-normalized'!$E:$E, MATCH($A171, 'KZ-normalized'!$A:$A, 0))&gt;0, -(15*INDEX('KZ-normalized'!$D:$D, MATCH($A171, 'KZ-normalized'!$A:$A, 0))-INDEX('KZ-normalized'!$E:$E, MATCH($A171, 'KZ-normalized'!$A:$A, 0))), 0), 0))+(IFERROR(IF(15*INDEX('UZ-normalized'!$D:$D, MATCH($A171, 'UZ-normalized'!$A:$A, 0))-INDEX('UZ-normalized'!$E:$E, MATCH($A171, 'UZ-normalized'!$A:$A, 0))&gt;0, -(15*INDEX('UZ-normalized'!$D:$D, MATCH($A171, 'UZ-normalized'!$A:$A, 0))-INDEX('UZ-normalized'!$E:$E, MATCH($A171, 'UZ-normalized'!$A:$A, 0))), 0), 0)))</f>
        <v>0</v>
      </c>
      <c r="AD171" s="6">
        <f>MIN(0, N171+(IFERROR(IF(16*INDEX('UA-normalized'!$D:$D, MATCH($A171, 'UA-normalized'!$A:$A, 0))-INDEX('UA-normalized'!$E:$E, MATCH($A171, 'UA-normalized'!$A:$A, 0))&gt;0, -(16*INDEX('UA-normalized'!$D:$D, MATCH($A171, 'UA-normalized'!$A:$A, 0))-INDEX('UA-normalized'!$E:$E, MATCH($A171, 'UA-normalized'!$A:$A, 0))), 0), 0))+(IFERROR(IF(16*INDEX('KZ-normalized'!$D:$D, MATCH($A171, 'KZ-normalized'!$A:$A, 0))-INDEX('KZ-normalized'!$E:$E, MATCH($A171, 'KZ-normalized'!$A:$A, 0))&gt;0, -(16*INDEX('KZ-normalized'!$D:$D, MATCH($A171, 'KZ-normalized'!$A:$A, 0))-INDEX('KZ-normalized'!$E:$E, MATCH($A171, 'KZ-normalized'!$A:$A, 0))), 0), 0))+(IFERROR(IF(16*INDEX('UZ-normalized'!$D:$D, MATCH($A171, 'UZ-normalized'!$A:$A, 0))-INDEX('UZ-normalized'!$E:$E, MATCH($A171, 'UZ-normalized'!$A:$A, 0))&gt;0, -(16*INDEX('UZ-normalized'!$D:$D, MATCH($A171, 'UZ-normalized'!$A:$A, 0))-INDEX('UZ-normalized'!$E:$E, MATCH($A171, 'UZ-normalized'!$A:$A, 0))), 0), 0)))</f>
        <v>0</v>
      </c>
      <c r="AE171" s="6">
        <f>MIN(0, N171+(IFERROR(IF(17*INDEX('UA-normalized'!$D:$D, MATCH($A171, 'UA-normalized'!$A:$A, 0))-INDEX('UA-normalized'!$E:$E, MATCH($A171, 'UA-normalized'!$A:$A, 0))&gt;0, -(17*INDEX('UA-normalized'!$D:$D, MATCH($A171, 'UA-normalized'!$A:$A, 0))-INDEX('UA-normalized'!$E:$E, MATCH($A171, 'UA-normalized'!$A:$A, 0))), 0), 0))+(IFERROR(IF(17*INDEX('KZ-normalized'!$D:$D, MATCH($A171, 'KZ-normalized'!$A:$A, 0))-INDEX('KZ-normalized'!$E:$E, MATCH($A171, 'KZ-normalized'!$A:$A, 0))&gt;0, -(17*INDEX('KZ-normalized'!$D:$D, MATCH($A171, 'KZ-normalized'!$A:$A, 0))-INDEX('KZ-normalized'!$E:$E, MATCH($A171, 'KZ-normalized'!$A:$A, 0))), 0), 0))+(IFERROR(IF(17*INDEX('UZ-normalized'!$D:$D, MATCH($A171, 'UZ-normalized'!$A:$A, 0))-INDEX('UZ-normalized'!$E:$E, MATCH($A171, 'UZ-normalized'!$A:$A, 0))&gt;0, -(17*INDEX('UZ-normalized'!$D:$D, MATCH($A171, 'UZ-normalized'!$A:$A, 0))-INDEX('UZ-normalized'!$E:$E, MATCH($A171, 'UZ-normalized'!$A:$A, 0))), 0), 0)))</f>
        <v>0</v>
      </c>
      <c r="AF171" s="6">
        <f>MIN(0, N171+(IFERROR(IF(18*INDEX('UA-normalized'!$D:$D, MATCH($A171, 'UA-normalized'!$A:$A, 0))-INDEX('UA-normalized'!$E:$E, MATCH($A171, 'UA-normalized'!$A:$A, 0))&gt;0, -(18*INDEX('UA-normalized'!$D:$D, MATCH($A171, 'UA-normalized'!$A:$A, 0))-INDEX('UA-normalized'!$E:$E, MATCH($A171, 'UA-normalized'!$A:$A, 0))), 0), 0))+(IFERROR(IF(18*INDEX('KZ-normalized'!$D:$D, MATCH($A171, 'KZ-normalized'!$A:$A, 0))-INDEX('KZ-normalized'!$E:$E, MATCH($A171, 'KZ-normalized'!$A:$A, 0))&gt;0, -(18*INDEX('KZ-normalized'!$D:$D, MATCH($A171, 'KZ-normalized'!$A:$A, 0))-INDEX('KZ-normalized'!$E:$E, MATCH($A171, 'KZ-normalized'!$A:$A, 0))), 0), 0))+(IFERROR(IF(18*INDEX('UZ-normalized'!$D:$D, MATCH($A171, 'UZ-normalized'!$A:$A, 0))-INDEX('UZ-normalized'!$E:$E, MATCH($A171, 'UZ-normalized'!$A:$A, 0))&gt;0, -(18*INDEX('UZ-normalized'!$D:$D, MATCH($A171, 'UZ-normalized'!$A:$A, 0))-INDEX('UZ-normalized'!$E:$E, MATCH($A171, 'UZ-normalized'!$A:$A, 0))), 0), 0)))</f>
        <v>0</v>
      </c>
      <c r="AG171" s="6">
        <f>MIN(0, N171+(IFERROR(IF(19*INDEX('UA-normalized'!$D:$D, MATCH($A171, 'UA-normalized'!$A:$A, 0))-INDEX('UA-normalized'!$E:$E, MATCH($A171, 'UA-normalized'!$A:$A, 0))&gt;0, -(19*INDEX('UA-normalized'!$D:$D, MATCH($A171, 'UA-normalized'!$A:$A, 0))-INDEX('UA-normalized'!$E:$E, MATCH($A171, 'UA-normalized'!$A:$A, 0))), 0), 0))+(IFERROR(IF(19*INDEX('KZ-normalized'!$D:$D, MATCH($A171, 'KZ-normalized'!$A:$A, 0))-INDEX('KZ-normalized'!$E:$E, MATCH($A171, 'KZ-normalized'!$A:$A, 0))&gt;0, -(19*INDEX('KZ-normalized'!$D:$D, MATCH($A171, 'KZ-normalized'!$A:$A, 0))-INDEX('KZ-normalized'!$E:$E, MATCH($A171, 'KZ-normalized'!$A:$A, 0))), 0), 0))+(IFERROR(IF(19*INDEX('UZ-normalized'!$D:$D, MATCH($A171, 'UZ-normalized'!$A:$A, 0))-INDEX('UZ-normalized'!$E:$E, MATCH($A171, 'UZ-normalized'!$A:$A, 0))&gt;0, -(19*INDEX('UZ-normalized'!$D:$D, MATCH($A171, 'UZ-normalized'!$A:$A, 0))-INDEX('UZ-normalized'!$E:$E, MATCH($A171, 'UZ-normalized'!$A:$A, 0))), 0), 0)))</f>
        <v>0</v>
      </c>
      <c r="AH171" s="6">
        <f>MIN(0, N171+(IFERROR(IF(20*INDEX('UA-normalized'!$D:$D, MATCH($A171, 'UA-normalized'!$A:$A, 0))-INDEX('UA-normalized'!$E:$E, MATCH($A171, 'UA-normalized'!$A:$A, 0))&gt;0, -(20*INDEX('UA-normalized'!$D:$D, MATCH($A171, 'UA-normalized'!$A:$A, 0))-INDEX('UA-normalized'!$E:$E, MATCH($A171, 'UA-normalized'!$A:$A, 0))), 0), 0))+(IFERROR(IF(20*INDEX('KZ-normalized'!$D:$D, MATCH($A171, 'KZ-normalized'!$A:$A, 0))-INDEX('KZ-normalized'!$E:$E, MATCH($A171, 'KZ-normalized'!$A:$A, 0))&gt;0, -(20*INDEX('KZ-normalized'!$D:$D, MATCH($A171, 'KZ-normalized'!$A:$A, 0))-INDEX('KZ-normalized'!$E:$E, MATCH($A171, 'KZ-normalized'!$A:$A, 0))), 0), 0))+(IFERROR(IF(20*INDEX('UZ-normalized'!$D:$D, MATCH($A171, 'UZ-normalized'!$A:$A, 0))-INDEX('UZ-normalized'!$E:$E, MATCH($A171, 'UZ-normalized'!$A:$A, 0))&gt;0, -(20*INDEX('UZ-normalized'!$D:$D, MATCH($A171, 'UZ-normalized'!$A:$A, 0))-INDEX('UZ-normalized'!$E:$E, MATCH($A171, 'UZ-normalized'!$A:$A, 0))), 0), 0)))</f>
        <v>0</v>
      </c>
      <c r="AI171" s="6">
        <f>MIN(0, N171+(IFERROR(IF(21*INDEX('UA-normalized'!$D:$D, MATCH($A171, 'UA-normalized'!$A:$A, 0))-INDEX('UA-normalized'!$E:$E, MATCH($A171, 'UA-normalized'!$A:$A, 0))&gt;0, -(21*INDEX('UA-normalized'!$D:$D, MATCH($A171, 'UA-normalized'!$A:$A, 0))-INDEX('UA-normalized'!$E:$E, MATCH($A171, 'UA-normalized'!$A:$A, 0))), 0), 0))+(IFERROR(IF(21*INDEX('KZ-normalized'!$D:$D, MATCH($A171, 'KZ-normalized'!$A:$A, 0))-INDEX('KZ-normalized'!$E:$E, MATCH($A171, 'KZ-normalized'!$A:$A, 0))&gt;0, -(21*INDEX('KZ-normalized'!$D:$D, MATCH($A171, 'KZ-normalized'!$A:$A, 0))-INDEX('KZ-normalized'!$E:$E, MATCH($A171, 'KZ-normalized'!$A:$A, 0))), 0), 0))+(IFERROR(IF(21*INDEX('UZ-normalized'!$D:$D, MATCH($A171, 'UZ-normalized'!$A:$A, 0))-INDEX('UZ-normalized'!$E:$E, MATCH($A171, 'UZ-normalized'!$A:$A, 0))&gt;0, -(21*INDEX('UZ-normalized'!$D:$D, MATCH($A171, 'UZ-normalized'!$A:$A, 0))-INDEX('UZ-normalized'!$E:$E, MATCH($A171, 'UZ-normalized'!$A:$A, 0))), 0), 0)))</f>
        <v>0</v>
      </c>
      <c r="AJ171" s="6">
        <f>MIN(0, N171+(IFERROR(IF(22*INDEX('UA-normalized'!$D:$D, MATCH($A171, 'UA-normalized'!$A:$A, 0))-INDEX('UA-normalized'!$E:$E, MATCH($A171, 'UA-normalized'!$A:$A, 0))&gt;0, -(22*INDEX('UA-normalized'!$D:$D, MATCH($A171, 'UA-normalized'!$A:$A, 0))-INDEX('UA-normalized'!$E:$E, MATCH($A171, 'UA-normalized'!$A:$A, 0))), 0), 0))+(IFERROR(IF(22*INDEX('KZ-normalized'!$D:$D, MATCH($A171, 'KZ-normalized'!$A:$A, 0))-INDEX('KZ-normalized'!$E:$E, MATCH($A171, 'KZ-normalized'!$A:$A, 0))&gt;0, -(22*INDEX('KZ-normalized'!$D:$D, MATCH($A171, 'KZ-normalized'!$A:$A, 0))-INDEX('KZ-normalized'!$E:$E, MATCH($A171, 'KZ-normalized'!$A:$A, 0))), 0), 0))+(IFERROR(IF(22*INDEX('UZ-normalized'!$D:$D, MATCH($A171, 'UZ-normalized'!$A:$A, 0))-INDEX('UZ-normalized'!$E:$E, MATCH($A171, 'UZ-normalized'!$A:$A, 0))&gt;0, -(22*INDEX('UZ-normalized'!$D:$D, MATCH($A171, 'UZ-normalized'!$A:$A, 0))-INDEX('UZ-normalized'!$E:$E, MATCH($A171, 'UZ-normalized'!$A:$A, 0))), 0), 0)))</f>
        <v>-0.39999999999999858</v>
      </c>
      <c r="AK171" s="6">
        <f>MIN(0, N171+(IFERROR(IF(23*INDEX('UA-normalized'!$D:$D, MATCH($A171, 'UA-normalized'!$A:$A, 0))-INDEX('UA-normalized'!$E:$E, MATCH($A171, 'UA-normalized'!$A:$A, 0))&gt;0, -(23*INDEX('UA-normalized'!$D:$D, MATCH($A171, 'UA-normalized'!$A:$A, 0))-INDEX('UA-normalized'!$E:$E, MATCH($A171, 'UA-normalized'!$A:$A, 0))), 0), 0))+(IFERROR(IF(23*INDEX('KZ-normalized'!$D:$D, MATCH($A171, 'KZ-normalized'!$A:$A, 0))-INDEX('KZ-normalized'!$E:$E, MATCH($A171, 'KZ-normalized'!$A:$A, 0))&gt;0, -(23*INDEX('KZ-normalized'!$D:$D, MATCH($A171, 'KZ-normalized'!$A:$A, 0))-INDEX('KZ-normalized'!$E:$E, MATCH($A171, 'KZ-normalized'!$A:$A, 0))), 0), 0))+(IFERROR(IF(23*INDEX('UZ-normalized'!$D:$D, MATCH($A171, 'UZ-normalized'!$A:$A, 0))-INDEX('UZ-normalized'!$E:$E, MATCH($A171, 'UZ-normalized'!$A:$A, 0))&gt;0, -(23*INDEX('UZ-normalized'!$D:$D, MATCH($A171, 'UZ-normalized'!$A:$A, 0))-INDEX('UZ-normalized'!$E:$E, MATCH($A171, 'UZ-normalized'!$A:$A, 0))), 0), 0)))</f>
        <v>-1.0999999999999979</v>
      </c>
      <c r="AL171" s="6">
        <f>MIN(0, N171+(IFERROR(IF(24*INDEX('UA-normalized'!$D:$D, MATCH($A171, 'UA-normalized'!$A:$A, 0))-INDEX('UA-normalized'!$E:$E, MATCH($A171, 'UA-normalized'!$A:$A, 0))&gt;0, -(24*INDEX('UA-normalized'!$D:$D, MATCH($A171, 'UA-normalized'!$A:$A, 0))-INDEX('UA-normalized'!$E:$E, MATCH($A171, 'UA-normalized'!$A:$A, 0))), 0), 0))+(IFERROR(IF(24*INDEX('KZ-normalized'!$D:$D, MATCH($A171, 'KZ-normalized'!$A:$A, 0))-INDEX('KZ-normalized'!$E:$E, MATCH($A171, 'KZ-normalized'!$A:$A, 0))&gt;0, -(24*INDEX('KZ-normalized'!$D:$D, MATCH($A171, 'KZ-normalized'!$A:$A, 0))-INDEX('KZ-normalized'!$E:$E, MATCH($A171, 'KZ-normalized'!$A:$A, 0))), 0), 0))+(IFERROR(IF(24*INDEX('UZ-normalized'!$D:$D, MATCH($A171, 'UZ-normalized'!$A:$A, 0))-INDEX('UZ-normalized'!$E:$E, MATCH($A171, 'UZ-normalized'!$A:$A, 0))&gt;0, -(24*INDEX('UZ-normalized'!$D:$D, MATCH($A171, 'UZ-normalized'!$A:$A, 0))-INDEX('UZ-normalized'!$E:$E, MATCH($A171, 'UZ-normalized'!$A:$A, 0))), 0), 0)))</f>
        <v>-1.7999999999999972</v>
      </c>
      <c r="AM171" s="6">
        <f>MIN(0, N171+(IFERROR(IF(25*INDEX('UA-normalized'!$D:$D, MATCH($A171, 'UA-normalized'!$A:$A, 0))-INDEX('UA-normalized'!$E:$E, MATCH($A171, 'UA-normalized'!$A:$A, 0))&gt;0, -(25*INDEX('UA-normalized'!$D:$D, MATCH($A171, 'UA-normalized'!$A:$A, 0))-INDEX('UA-normalized'!$E:$E, MATCH($A171, 'UA-normalized'!$A:$A, 0))), 0), 0))+(IFERROR(IF(25*INDEX('KZ-normalized'!$D:$D, MATCH($A171, 'KZ-normalized'!$A:$A, 0))-INDEX('KZ-normalized'!$E:$E, MATCH($A171, 'KZ-normalized'!$A:$A, 0))&gt;0, -(25*INDEX('KZ-normalized'!$D:$D, MATCH($A171, 'KZ-normalized'!$A:$A, 0))-INDEX('KZ-normalized'!$E:$E, MATCH($A171, 'KZ-normalized'!$A:$A, 0))), 0), 0))+(IFERROR(IF(25*INDEX('UZ-normalized'!$D:$D, MATCH($A171, 'UZ-normalized'!$A:$A, 0))-INDEX('UZ-normalized'!$E:$E, MATCH($A171, 'UZ-normalized'!$A:$A, 0))&gt;0, -(25*INDEX('UZ-normalized'!$D:$D, MATCH($A171, 'UZ-normalized'!$A:$A, 0))-INDEX('UZ-normalized'!$E:$E, MATCH($A171, 'UZ-normalized'!$A:$A, 0))), 0), 0)))</f>
        <v>-2.5</v>
      </c>
      <c r="AN171" s="6">
        <f>MIN(0, N171+(IFERROR(IF(26*INDEX('UA-normalized'!$D:$D, MATCH($A171, 'UA-normalized'!$A:$A, 0))-INDEX('UA-normalized'!$E:$E, MATCH($A171, 'UA-normalized'!$A:$A, 0))&gt;0, -(26*INDEX('UA-normalized'!$D:$D, MATCH($A171, 'UA-normalized'!$A:$A, 0))-INDEX('UA-normalized'!$E:$E, MATCH($A171, 'UA-normalized'!$A:$A, 0))), 0), 0))+(IFERROR(IF(26*INDEX('KZ-normalized'!$D:$D, MATCH($A171, 'KZ-normalized'!$A:$A, 0))-INDEX('KZ-normalized'!$E:$E, MATCH($A171, 'KZ-normalized'!$A:$A, 0))&gt;0, -(26*INDEX('KZ-normalized'!$D:$D, MATCH($A171, 'KZ-normalized'!$A:$A, 0))-INDEX('KZ-normalized'!$E:$E, MATCH($A171, 'KZ-normalized'!$A:$A, 0))), 0), 0))+(IFERROR(IF(26*INDEX('UZ-normalized'!$D:$D, MATCH($A171, 'UZ-normalized'!$A:$A, 0))-INDEX('UZ-normalized'!$E:$E, MATCH($A171, 'UZ-normalized'!$A:$A, 0))&gt;0, -(26*INDEX('UZ-normalized'!$D:$D, MATCH($A171, 'UZ-normalized'!$A:$A, 0))-INDEX('UZ-normalized'!$E:$E, MATCH($A171, 'UZ-normalized'!$A:$A, 0))), 0), 0)))</f>
        <v>-3.1999999999999993</v>
      </c>
      <c r="AO171" s="6">
        <f>MIN(0, N171+(IFERROR(IF(27*INDEX('UA-normalized'!$D:$D, MATCH($A171, 'UA-normalized'!$A:$A, 0))-INDEX('UA-normalized'!$E:$E, MATCH($A171, 'UA-normalized'!$A:$A, 0))&gt;0, -(27*INDEX('UA-normalized'!$D:$D, MATCH($A171, 'UA-normalized'!$A:$A, 0))-INDEX('UA-normalized'!$E:$E, MATCH($A171, 'UA-normalized'!$A:$A, 0))), 0), 0))+(IFERROR(IF(27*INDEX('KZ-normalized'!$D:$D, MATCH($A171, 'KZ-normalized'!$A:$A, 0))-INDEX('KZ-normalized'!$E:$E, MATCH($A171, 'KZ-normalized'!$A:$A, 0))&gt;0, -(27*INDEX('KZ-normalized'!$D:$D, MATCH($A171, 'KZ-normalized'!$A:$A, 0))-INDEX('KZ-normalized'!$E:$E, MATCH($A171, 'KZ-normalized'!$A:$A, 0))), 0), 0))+(IFERROR(IF(27*INDEX('UZ-normalized'!$D:$D, MATCH($A171, 'UZ-normalized'!$A:$A, 0))-INDEX('UZ-normalized'!$E:$E, MATCH($A171, 'UZ-normalized'!$A:$A, 0))&gt;0, -(27*INDEX('UZ-normalized'!$D:$D, MATCH($A171, 'UZ-normalized'!$A:$A, 0))-INDEX('UZ-normalized'!$E:$E, MATCH($A171, 'UZ-normalized'!$A:$A, 0))), 0), 0)))</f>
        <v>-3.8999999999999986</v>
      </c>
      <c r="AP171" s="6">
        <f>MIN(0, N171+(IFERROR(IF(28*INDEX('UA-normalized'!$D:$D, MATCH($A171, 'UA-normalized'!$A:$A, 0))-INDEX('UA-normalized'!$E:$E, MATCH($A171, 'UA-normalized'!$A:$A, 0))&gt;0, -(28*INDEX('UA-normalized'!$D:$D, MATCH($A171, 'UA-normalized'!$A:$A, 0))-INDEX('UA-normalized'!$E:$E, MATCH($A171, 'UA-normalized'!$A:$A, 0))), 0), 0))+(IFERROR(IF(28*INDEX('KZ-normalized'!$D:$D, MATCH($A171, 'KZ-normalized'!$A:$A, 0))-INDEX('KZ-normalized'!$E:$E, MATCH($A171, 'KZ-normalized'!$A:$A, 0))&gt;0, -(28*INDEX('KZ-normalized'!$D:$D, MATCH($A171, 'KZ-normalized'!$A:$A, 0))-INDEX('KZ-normalized'!$E:$E, MATCH($A171, 'KZ-normalized'!$A:$A, 0))), 0), 0))+(IFERROR(IF(28*INDEX('UZ-normalized'!$D:$D, MATCH($A171, 'UZ-normalized'!$A:$A, 0))-INDEX('UZ-normalized'!$E:$E, MATCH($A171, 'UZ-normalized'!$A:$A, 0))&gt;0, -(28*INDEX('UZ-normalized'!$D:$D, MATCH($A171, 'UZ-normalized'!$A:$A, 0))-INDEX('UZ-normalized'!$E:$E, MATCH($A171, 'UZ-normalized'!$A:$A, 0))), 0), 0)))</f>
        <v>-4.5999999999999979</v>
      </c>
      <c r="AQ171" s="6">
        <f>MIN(0, N171+(IFERROR(IF(29*INDEX('UA-normalized'!$D:$D, MATCH($A171, 'UA-normalized'!$A:$A, 0))-INDEX('UA-normalized'!$E:$E, MATCH($A171, 'UA-normalized'!$A:$A, 0))&gt;0, -(29*INDEX('UA-normalized'!$D:$D, MATCH($A171, 'UA-normalized'!$A:$A, 0))-INDEX('UA-normalized'!$E:$E, MATCH($A171, 'UA-normalized'!$A:$A, 0))), 0), 0))+(IFERROR(IF(29*INDEX('KZ-normalized'!$D:$D, MATCH($A171, 'KZ-normalized'!$A:$A, 0))-INDEX('KZ-normalized'!$E:$E, MATCH($A171, 'KZ-normalized'!$A:$A, 0))&gt;0, -(29*INDEX('KZ-normalized'!$D:$D, MATCH($A171, 'KZ-normalized'!$A:$A, 0))-INDEX('KZ-normalized'!$E:$E, MATCH($A171, 'KZ-normalized'!$A:$A, 0))), 0), 0))+(IFERROR(IF(29*INDEX('UZ-normalized'!$D:$D, MATCH($A171, 'UZ-normalized'!$A:$A, 0))-INDEX('UZ-normalized'!$E:$E, MATCH($A171, 'UZ-normalized'!$A:$A, 0))&gt;0, -(29*INDEX('UZ-normalized'!$D:$D, MATCH($A171, 'UZ-normalized'!$A:$A, 0))-INDEX('UZ-normalized'!$E:$E, MATCH($A171, 'UZ-normalized'!$A:$A, 0))), 0), 0)))</f>
        <v>-5.2999999999999972</v>
      </c>
      <c r="AR171" s="6">
        <f>MIN(0, N171+(IFERROR(IF(30*INDEX('UA-normalized'!$D:$D, MATCH($A171, 'UA-normalized'!$A:$A, 0))-INDEX('UA-normalized'!$E:$E, MATCH($A171, 'UA-normalized'!$A:$A, 0))&gt;0, -(30*INDEX('UA-normalized'!$D:$D, MATCH($A171, 'UA-normalized'!$A:$A, 0))-INDEX('UA-normalized'!$E:$E, MATCH($A171, 'UA-normalized'!$A:$A, 0))), 0), 0))+(IFERROR(IF(30*INDEX('KZ-normalized'!$D:$D, MATCH($A171, 'KZ-normalized'!$A:$A, 0))-INDEX('KZ-normalized'!$E:$E, MATCH($A171, 'KZ-normalized'!$A:$A, 0))&gt;0, -(30*INDEX('KZ-normalized'!$D:$D, MATCH($A171, 'KZ-normalized'!$A:$A, 0))-INDEX('KZ-normalized'!$E:$E, MATCH($A171, 'KZ-normalized'!$A:$A, 0))), 0), 0))+(IFERROR(IF(30*INDEX('UZ-normalized'!$D:$D, MATCH($A171, 'UZ-normalized'!$A:$A, 0))-INDEX('UZ-normalized'!$E:$E, MATCH($A171, 'UZ-normalized'!$A:$A, 0))&gt;0, -(30*INDEX('UZ-normalized'!$D:$D, MATCH($A171, 'UZ-normalized'!$A:$A, 0))-INDEX('UZ-normalized'!$E:$E, MATCH($A171, 'UZ-normalized'!$A:$A, 0))), 0), 0)))</f>
        <v>-6</v>
      </c>
    </row>
    <row r="172" spans="1:44" x14ac:dyDescent="0.25">
      <c r="A172" s="8" t="s">
        <v>411</v>
      </c>
      <c r="B172" s="8" t="s">
        <v>393</v>
      </c>
      <c r="C172" s="8" t="s">
        <v>407</v>
      </c>
      <c r="D172" s="8" t="s">
        <v>412</v>
      </c>
      <c r="N172">
        <f t="shared" si="2"/>
        <v>0</v>
      </c>
      <c r="O172" s="6">
        <f>MIN(0, N172+(IFERROR(IF(1*INDEX('UA-normalized'!$D:$D, MATCH($A172, 'UA-normalized'!$A:$A, 0))-INDEX('UA-normalized'!$E:$E, MATCH($A172, 'UA-normalized'!$A:$A, 0))&gt;0, -(1*INDEX('UA-normalized'!$D:$D, MATCH($A172, 'UA-normalized'!$A:$A, 0))-INDEX('UA-normalized'!$E:$E, MATCH($A172, 'UA-normalized'!$A:$A, 0))), 0), 0))+(IFERROR(IF(1*INDEX('KZ-normalized'!$D:$D, MATCH($A172, 'KZ-normalized'!$A:$A, 0))-INDEX('KZ-normalized'!$E:$E, MATCH($A172, 'KZ-normalized'!$A:$A, 0))&gt;0, -(1*INDEX('KZ-normalized'!$D:$D, MATCH($A172, 'KZ-normalized'!$A:$A, 0))-INDEX('KZ-normalized'!$E:$E, MATCH($A172, 'KZ-normalized'!$A:$A, 0))), 0), 0))+(IFERROR(IF(1*INDEX('UZ-normalized'!$D:$D, MATCH($A172, 'UZ-normalized'!$A:$A, 0))-INDEX('UZ-normalized'!$E:$E, MATCH($A172, 'UZ-normalized'!$A:$A, 0))&gt;0, -(1*INDEX('UZ-normalized'!$D:$D, MATCH($A172, 'UZ-normalized'!$A:$A, 0))-INDEX('UZ-normalized'!$E:$E, MATCH($A172, 'UZ-normalized'!$A:$A, 0))), 0), 0)))</f>
        <v>0</v>
      </c>
      <c r="P172" s="6">
        <f>MIN(0, N172+(IFERROR(IF(2*INDEX('UA-normalized'!$D:$D, MATCH($A172, 'UA-normalized'!$A:$A, 0))-INDEX('UA-normalized'!$E:$E, MATCH($A172, 'UA-normalized'!$A:$A, 0))&gt;0, -(2*INDEX('UA-normalized'!$D:$D, MATCH($A172, 'UA-normalized'!$A:$A, 0))-INDEX('UA-normalized'!$E:$E, MATCH($A172, 'UA-normalized'!$A:$A, 0))), 0), 0))+(IFERROR(IF(2*INDEX('KZ-normalized'!$D:$D, MATCH($A172, 'KZ-normalized'!$A:$A, 0))-INDEX('KZ-normalized'!$E:$E, MATCH($A172, 'KZ-normalized'!$A:$A, 0))&gt;0, -(2*INDEX('KZ-normalized'!$D:$D, MATCH($A172, 'KZ-normalized'!$A:$A, 0))-INDEX('KZ-normalized'!$E:$E, MATCH($A172, 'KZ-normalized'!$A:$A, 0))), 0), 0))+(IFERROR(IF(2*INDEX('UZ-normalized'!$D:$D, MATCH($A172, 'UZ-normalized'!$A:$A, 0))-INDEX('UZ-normalized'!$E:$E, MATCH($A172, 'UZ-normalized'!$A:$A, 0))&gt;0, -(2*INDEX('UZ-normalized'!$D:$D, MATCH($A172, 'UZ-normalized'!$A:$A, 0))-INDEX('UZ-normalized'!$E:$E, MATCH($A172, 'UZ-normalized'!$A:$A, 0))), 0), 0)))</f>
        <v>0</v>
      </c>
      <c r="Q172" s="6">
        <f>MIN(0, N172+(IFERROR(IF(3*INDEX('UA-normalized'!$D:$D, MATCH($A172, 'UA-normalized'!$A:$A, 0))-INDEX('UA-normalized'!$E:$E, MATCH($A172, 'UA-normalized'!$A:$A, 0))&gt;0, -(3*INDEX('UA-normalized'!$D:$D, MATCH($A172, 'UA-normalized'!$A:$A, 0))-INDEX('UA-normalized'!$E:$E, MATCH($A172, 'UA-normalized'!$A:$A, 0))), 0), 0))+(IFERROR(IF(3*INDEX('KZ-normalized'!$D:$D, MATCH($A172, 'KZ-normalized'!$A:$A, 0))-INDEX('KZ-normalized'!$E:$E, MATCH($A172, 'KZ-normalized'!$A:$A, 0))&gt;0, -(3*INDEX('KZ-normalized'!$D:$D, MATCH($A172, 'KZ-normalized'!$A:$A, 0))-INDEX('KZ-normalized'!$E:$E, MATCH($A172, 'KZ-normalized'!$A:$A, 0))), 0), 0))+(IFERROR(IF(3*INDEX('UZ-normalized'!$D:$D, MATCH($A172, 'UZ-normalized'!$A:$A, 0))-INDEX('UZ-normalized'!$E:$E, MATCH($A172, 'UZ-normalized'!$A:$A, 0))&gt;0, -(3*INDEX('UZ-normalized'!$D:$D, MATCH($A172, 'UZ-normalized'!$A:$A, 0))-INDEX('UZ-normalized'!$E:$E, MATCH($A172, 'UZ-normalized'!$A:$A, 0))), 0), 0)))</f>
        <v>0</v>
      </c>
      <c r="R172" s="6">
        <f>MIN(0, N172+(IFERROR(IF(4*INDEX('UA-normalized'!$D:$D, MATCH($A172, 'UA-normalized'!$A:$A, 0))-INDEX('UA-normalized'!$E:$E, MATCH($A172, 'UA-normalized'!$A:$A, 0))&gt;0, -(4*INDEX('UA-normalized'!$D:$D, MATCH($A172, 'UA-normalized'!$A:$A, 0))-INDEX('UA-normalized'!$E:$E, MATCH($A172, 'UA-normalized'!$A:$A, 0))), 0), 0))+(IFERROR(IF(4*INDEX('KZ-normalized'!$D:$D, MATCH($A172, 'KZ-normalized'!$A:$A, 0))-INDEX('KZ-normalized'!$E:$E, MATCH($A172, 'KZ-normalized'!$A:$A, 0))&gt;0, -(4*INDEX('KZ-normalized'!$D:$D, MATCH($A172, 'KZ-normalized'!$A:$A, 0))-INDEX('KZ-normalized'!$E:$E, MATCH($A172, 'KZ-normalized'!$A:$A, 0))), 0), 0))+(IFERROR(IF(4*INDEX('UZ-normalized'!$D:$D, MATCH($A172, 'UZ-normalized'!$A:$A, 0))-INDEX('UZ-normalized'!$E:$E, MATCH($A172, 'UZ-normalized'!$A:$A, 0))&gt;0, -(4*INDEX('UZ-normalized'!$D:$D, MATCH($A172, 'UZ-normalized'!$A:$A, 0))-INDEX('UZ-normalized'!$E:$E, MATCH($A172, 'UZ-normalized'!$A:$A, 0))), 0), 0)))</f>
        <v>0</v>
      </c>
      <c r="S172" s="6">
        <f>MIN(0, N172+(IFERROR(IF(5*INDEX('UA-normalized'!$D:$D, MATCH($A172, 'UA-normalized'!$A:$A, 0))-INDEX('UA-normalized'!$E:$E, MATCH($A172, 'UA-normalized'!$A:$A, 0))&gt;0, -(5*INDEX('UA-normalized'!$D:$D, MATCH($A172, 'UA-normalized'!$A:$A, 0))-INDEX('UA-normalized'!$E:$E, MATCH($A172, 'UA-normalized'!$A:$A, 0))), 0), 0))+(IFERROR(IF(5*INDEX('KZ-normalized'!$D:$D, MATCH($A172, 'KZ-normalized'!$A:$A, 0))-INDEX('KZ-normalized'!$E:$E, MATCH($A172, 'KZ-normalized'!$A:$A, 0))&gt;0, -(5*INDEX('KZ-normalized'!$D:$D, MATCH($A172, 'KZ-normalized'!$A:$A, 0))-INDEX('KZ-normalized'!$E:$E, MATCH($A172, 'KZ-normalized'!$A:$A, 0))), 0), 0))+(IFERROR(IF(5*INDEX('UZ-normalized'!$D:$D, MATCH($A172, 'UZ-normalized'!$A:$A, 0))-INDEX('UZ-normalized'!$E:$E, MATCH($A172, 'UZ-normalized'!$A:$A, 0))&gt;0, -(5*INDEX('UZ-normalized'!$D:$D, MATCH($A172, 'UZ-normalized'!$A:$A, 0))-INDEX('UZ-normalized'!$E:$E, MATCH($A172, 'UZ-normalized'!$A:$A, 0))), 0), 0)))</f>
        <v>-3</v>
      </c>
      <c r="T172" s="6">
        <f>MIN(0, N172+(IFERROR(IF(6*INDEX('UA-normalized'!$D:$D, MATCH($A172, 'UA-normalized'!$A:$A, 0))-INDEX('UA-normalized'!$E:$E, MATCH($A172, 'UA-normalized'!$A:$A, 0))&gt;0, -(6*INDEX('UA-normalized'!$D:$D, MATCH($A172, 'UA-normalized'!$A:$A, 0))-INDEX('UA-normalized'!$E:$E, MATCH($A172, 'UA-normalized'!$A:$A, 0))), 0), 0))+(IFERROR(IF(6*INDEX('KZ-normalized'!$D:$D, MATCH($A172, 'KZ-normalized'!$A:$A, 0))-INDEX('KZ-normalized'!$E:$E, MATCH($A172, 'KZ-normalized'!$A:$A, 0))&gt;0, -(6*INDEX('KZ-normalized'!$D:$D, MATCH($A172, 'KZ-normalized'!$A:$A, 0))-INDEX('KZ-normalized'!$E:$E, MATCH($A172, 'KZ-normalized'!$A:$A, 0))), 0), 0))+(IFERROR(IF(6*INDEX('UZ-normalized'!$D:$D, MATCH($A172, 'UZ-normalized'!$A:$A, 0))-INDEX('UZ-normalized'!$E:$E, MATCH($A172, 'UZ-normalized'!$A:$A, 0))&gt;0, -(6*INDEX('UZ-normalized'!$D:$D, MATCH($A172, 'UZ-normalized'!$A:$A, 0))-INDEX('UZ-normalized'!$E:$E, MATCH($A172, 'UZ-normalized'!$A:$A, 0))), 0), 0)))</f>
        <v>-7.2000000000000028</v>
      </c>
      <c r="U172" s="6">
        <f>MIN(0, N172+(IFERROR(IF(7*INDEX('UA-normalized'!$D:$D, MATCH($A172, 'UA-normalized'!$A:$A, 0))-INDEX('UA-normalized'!$E:$E, MATCH($A172, 'UA-normalized'!$A:$A, 0))&gt;0, -(7*INDEX('UA-normalized'!$D:$D, MATCH($A172, 'UA-normalized'!$A:$A, 0))-INDEX('UA-normalized'!$E:$E, MATCH($A172, 'UA-normalized'!$A:$A, 0))), 0), 0))+(IFERROR(IF(7*INDEX('KZ-normalized'!$D:$D, MATCH($A172, 'KZ-normalized'!$A:$A, 0))-INDEX('KZ-normalized'!$E:$E, MATCH($A172, 'KZ-normalized'!$A:$A, 0))&gt;0, -(7*INDEX('KZ-normalized'!$D:$D, MATCH($A172, 'KZ-normalized'!$A:$A, 0))-INDEX('KZ-normalized'!$E:$E, MATCH($A172, 'KZ-normalized'!$A:$A, 0))), 0), 0))+(IFERROR(IF(7*INDEX('UZ-normalized'!$D:$D, MATCH($A172, 'UZ-normalized'!$A:$A, 0))-INDEX('UZ-normalized'!$E:$E, MATCH($A172, 'UZ-normalized'!$A:$A, 0))&gt;0, -(7*INDEX('UZ-normalized'!$D:$D, MATCH($A172, 'UZ-normalized'!$A:$A, 0))-INDEX('UZ-normalized'!$E:$E, MATCH($A172, 'UZ-normalized'!$A:$A, 0))), 0), 0)))</f>
        <v>-11.400000000000002</v>
      </c>
      <c r="V172" s="6">
        <f>MIN(0, N172+(IFERROR(IF(8*INDEX('UA-normalized'!$D:$D, MATCH($A172, 'UA-normalized'!$A:$A, 0))-INDEX('UA-normalized'!$E:$E, MATCH($A172, 'UA-normalized'!$A:$A, 0))&gt;0, -(8*INDEX('UA-normalized'!$D:$D, MATCH($A172, 'UA-normalized'!$A:$A, 0))-INDEX('UA-normalized'!$E:$E, MATCH($A172, 'UA-normalized'!$A:$A, 0))), 0), 0))+(IFERROR(IF(8*INDEX('KZ-normalized'!$D:$D, MATCH($A172, 'KZ-normalized'!$A:$A, 0))-INDEX('KZ-normalized'!$E:$E, MATCH($A172, 'KZ-normalized'!$A:$A, 0))&gt;0, -(8*INDEX('KZ-normalized'!$D:$D, MATCH($A172, 'KZ-normalized'!$A:$A, 0))-INDEX('KZ-normalized'!$E:$E, MATCH($A172, 'KZ-normalized'!$A:$A, 0))), 0), 0))+(IFERROR(IF(8*INDEX('UZ-normalized'!$D:$D, MATCH($A172, 'UZ-normalized'!$A:$A, 0))-INDEX('UZ-normalized'!$E:$E, MATCH($A172, 'UZ-normalized'!$A:$A, 0))&gt;0, -(8*INDEX('UZ-normalized'!$D:$D, MATCH($A172, 'UZ-normalized'!$A:$A, 0))-INDEX('UZ-normalized'!$E:$E, MATCH($A172, 'UZ-normalized'!$A:$A, 0))), 0), 0)))</f>
        <v>-15.600000000000001</v>
      </c>
      <c r="W172" s="6">
        <f>MIN(0, N172+(IFERROR(IF(9*INDEX('UA-normalized'!$D:$D, MATCH($A172, 'UA-normalized'!$A:$A, 0))-INDEX('UA-normalized'!$E:$E, MATCH($A172, 'UA-normalized'!$A:$A, 0))&gt;0, -(9*INDEX('UA-normalized'!$D:$D, MATCH($A172, 'UA-normalized'!$A:$A, 0))-INDEX('UA-normalized'!$E:$E, MATCH($A172, 'UA-normalized'!$A:$A, 0))), 0), 0))+(IFERROR(IF(9*INDEX('KZ-normalized'!$D:$D, MATCH($A172, 'KZ-normalized'!$A:$A, 0))-INDEX('KZ-normalized'!$E:$E, MATCH($A172, 'KZ-normalized'!$A:$A, 0))&gt;0, -(9*INDEX('KZ-normalized'!$D:$D, MATCH($A172, 'KZ-normalized'!$A:$A, 0))-INDEX('KZ-normalized'!$E:$E, MATCH($A172, 'KZ-normalized'!$A:$A, 0))), 0), 0))+(IFERROR(IF(9*INDEX('UZ-normalized'!$D:$D, MATCH($A172, 'UZ-normalized'!$A:$A, 0))-INDEX('UZ-normalized'!$E:$E, MATCH($A172, 'UZ-normalized'!$A:$A, 0))&gt;0, -(9*INDEX('UZ-normalized'!$D:$D, MATCH($A172, 'UZ-normalized'!$A:$A, 0))-INDEX('UZ-normalized'!$E:$E, MATCH($A172, 'UZ-normalized'!$A:$A, 0))), 0), 0)))</f>
        <v>-19.800000000000004</v>
      </c>
      <c r="X172" s="6">
        <f>MIN(0, N172+(IFERROR(IF(10*INDEX('UA-normalized'!$D:$D, MATCH($A172, 'UA-normalized'!$A:$A, 0))-INDEX('UA-normalized'!$E:$E, MATCH($A172, 'UA-normalized'!$A:$A, 0))&gt;0, -(10*INDEX('UA-normalized'!$D:$D, MATCH($A172, 'UA-normalized'!$A:$A, 0))-INDEX('UA-normalized'!$E:$E, MATCH($A172, 'UA-normalized'!$A:$A, 0))), 0), 0))+(IFERROR(IF(10*INDEX('KZ-normalized'!$D:$D, MATCH($A172, 'KZ-normalized'!$A:$A, 0))-INDEX('KZ-normalized'!$E:$E, MATCH($A172, 'KZ-normalized'!$A:$A, 0))&gt;0, -(10*INDEX('KZ-normalized'!$D:$D, MATCH($A172, 'KZ-normalized'!$A:$A, 0))-INDEX('KZ-normalized'!$E:$E, MATCH($A172, 'KZ-normalized'!$A:$A, 0))), 0), 0))+(IFERROR(IF(10*INDEX('UZ-normalized'!$D:$D, MATCH($A172, 'UZ-normalized'!$A:$A, 0))-INDEX('UZ-normalized'!$E:$E, MATCH($A172, 'UZ-normalized'!$A:$A, 0))&gt;0, -(10*INDEX('UZ-normalized'!$D:$D, MATCH($A172, 'UZ-normalized'!$A:$A, 0))-INDEX('UZ-normalized'!$E:$E, MATCH($A172, 'UZ-normalized'!$A:$A, 0))), 0), 0)))</f>
        <v>-24</v>
      </c>
      <c r="Y172" s="6">
        <f>MIN(0, N172+(IFERROR(IF(11*INDEX('UA-normalized'!$D:$D, MATCH($A172, 'UA-normalized'!$A:$A, 0))-INDEX('UA-normalized'!$E:$E, MATCH($A172, 'UA-normalized'!$A:$A, 0))&gt;0, -(11*INDEX('UA-normalized'!$D:$D, MATCH($A172, 'UA-normalized'!$A:$A, 0))-INDEX('UA-normalized'!$E:$E, MATCH($A172, 'UA-normalized'!$A:$A, 0))), 0), 0))+(IFERROR(IF(11*INDEX('KZ-normalized'!$D:$D, MATCH($A172, 'KZ-normalized'!$A:$A, 0))-INDEX('KZ-normalized'!$E:$E, MATCH($A172, 'KZ-normalized'!$A:$A, 0))&gt;0, -(11*INDEX('KZ-normalized'!$D:$D, MATCH($A172, 'KZ-normalized'!$A:$A, 0))-INDEX('KZ-normalized'!$E:$E, MATCH($A172, 'KZ-normalized'!$A:$A, 0))), 0), 0))+(IFERROR(IF(11*INDEX('UZ-normalized'!$D:$D, MATCH($A172, 'UZ-normalized'!$A:$A, 0))-INDEX('UZ-normalized'!$E:$E, MATCH($A172, 'UZ-normalized'!$A:$A, 0))&gt;0, -(11*INDEX('UZ-normalized'!$D:$D, MATCH($A172, 'UZ-normalized'!$A:$A, 0))-INDEX('UZ-normalized'!$E:$E, MATCH($A172, 'UZ-normalized'!$A:$A, 0))), 0), 0)))</f>
        <v>-28.200000000000003</v>
      </c>
      <c r="Z172" s="6">
        <f>MIN(0, N172+(IFERROR(IF(12*INDEX('UA-normalized'!$D:$D, MATCH($A172, 'UA-normalized'!$A:$A, 0))-INDEX('UA-normalized'!$E:$E, MATCH($A172, 'UA-normalized'!$A:$A, 0))&gt;0, -(12*INDEX('UA-normalized'!$D:$D, MATCH($A172, 'UA-normalized'!$A:$A, 0))-INDEX('UA-normalized'!$E:$E, MATCH($A172, 'UA-normalized'!$A:$A, 0))), 0), 0))+(IFERROR(IF(12*INDEX('KZ-normalized'!$D:$D, MATCH($A172, 'KZ-normalized'!$A:$A, 0))-INDEX('KZ-normalized'!$E:$E, MATCH($A172, 'KZ-normalized'!$A:$A, 0))&gt;0, -(12*INDEX('KZ-normalized'!$D:$D, MATCH($A172, 'KZ-normalized'!$A:$A, 0))-INDEX('KZ-normalized'!$E:$E, MATCH($A172, 'KZ-normalized'!$A:$A, 0))), 0), 0))+(IFERROR(IF(12*INDEX('UZ-normalized'!$D:$D, MATCH($A172, 'UZ-normalized'!$A:$A, 0))-INDEX('UZ-normalized'!$E:$E, MATCH($A172, 'UZ-normalized'!$A:$A, 0))&gt;0, -(12*INDEX('UZ-normalized'!$D:$D, MATCH($A172, 'UZ-normalized'!$A:$A, 0))-INDEX('UZ-normalized'!$E:$E, MATCH($A172, 'UZ-normalized'!$A:$A, 0))), 0), 0)))</f>
        <v>-32.400000000000006</v>
      </c>
      <c r="AA172" s="6">
        <f>MIN(0, N172+(IFERROR(IF(13*INDEX('UA-normalized'!$D:$D, MATCH($A172, 'UA-normalized'!$A:$A, 0))-INDEX('UA-normalized'!$E:$E, MATCH($A172, 'UA-normalized'!$A:$A, 0))&gt;0, -(13*INDEX('UA-normalized'!$D:$D, MATCH($A172, 'UA-normalized'!$A:$A, 0))-INDEX('UA-normalized'!$E:$E, MATCH($A172, 'UA-normalized'!$A:$A, 0))), 0), 0))+(IFERROR(IF(13*INDEX('KZ-normalized'!$D:$D, MATCH($A172, 'KZ-normalized'!$A:$A, 0))-INDEX('KZ-normalized'!$E:$E, MATCH($A172, 'KZ-normalized'!$A:$A, 0))&gt;0, -(13*INDEX('KZ-normalized'!$D:$D, MATCH($A172, 'KZ-normalized'!$A:$A, 0))-INDEX('KZ-normalized'!$E:$E, MATCH($A172, 'KZ-normalized'!$A:$A, 0))), 0), 0))+(IFERROR(IF(13*INDEX('UZ-normalized'!$D:$D, MATCH($A172, 'UZ-normalized'!$A:$A, 0))-INDEX('UZ-normalized'!$E:$E, MATCH($A172, 'UZ-normalized'!$A:$A, 0))&gt;0, -(13*INDEX('UZ-normalized'!$D:$D, MATCH($A172, 'UZ-normalized'!$A:$A, 0))-INDEX('UZ-normalized'!$E:$E, MATCH($A172, 'UZ-normalized'!$A:$A, 0))), 0), 0)))</f>
        <v>-36.6</v>
      </c>
      <c r="AB172" s="6">
        <f>MIN(0, N172+(IFERROR(IF(14*INDEX('UA-normalized'!$D:$D, MATCH($A172, 'UA-normalized'!$A:$A, 0))-INDEX('UA-normalized'!$E:$E, MATCH($A172, 'UA-normalized'!$A:$A, 0))&gt;0, -(14*INDEX('UA-normalized'!$D:$D, MATCH($A172, 'UA-normalized'!$A:$A, 0))-INDEX('UA-normalized'!$E:$E, MATCH($A172, 'UA-normalized'!$A:$A, 0))), 0), 0))+(IFERROR(IF(14*INDEX('KZ-normalized'!$D:$D, MATCH($A172, 'KZ-normalized'!$A:$A, 0))-INDEX('KZ-normalized'!$E:$E, MATCH($A172, 'KZ-normalized'!$A:$A, 0))&gt;0, -(14*INDEX('KZ-normalized'!$D:$D, MATCH($A172, 'KZ-normalized'!$A:$A, 0))-INDEX('KZ-normalized'!$E:$E, MATCH($A172, 'KZ-normalized'!$A:$A, 0))), 0), 0))+(IFERROR(IF(14*INDEX('UZ-normalized'!$D:$D, MATCH($A172, 'UZ-normalized'!$A:$A, 0))-INDEX('UZ-normalized'!$E:$E, MATCH($A172, 'UZ-normalized'!$A:$A, 0))&gt;0, -(14*INDEX('UZ-normalized'!$D:$D, MATCH($A172, 'UZ-normalized'!$A:$A, 0))-INDEX('UZ-normalized'!$E:$E, MATCH($A172, 'UZ-normalized'!$A:$A, 0))), 0), 0)))</f>
        <v>-40.800000000000004</v>
      </c>
      <c r="AC172" s="6">
        <f>MIN(0, N172+(IFERROR(IF(15*INDEX('UA-normalized'!$D:$D, MATCH($A172, 'UA-normalized'!$A:$A, 0))-INDEX('UA-normalized'!$E:$E, MATCH($A172, 'UA-normalized'!$A:$A, 0))&gt;0, -(15*INDEX('UA-normalized'!$D:$D, MATCH($A172, 'UA-normalized'!$A:$A, 0))-INDEX('UA-normalized'!$E:$E, MATCH($A172, 'UA-normalized'!$A:$A, 0))), 0), 0))+(IFERROR(IF(15*INDEX('KZ-normalized'!$D:$D, MATCH($A172, 'KZ-normalized'!$A:$A, 0))-INDEX('KZ-normalized'!$E:$E, MATCH($A172, 'KZ-normalized'!$A:$A, 0))&gt;0, -(15*INDEX('KZ-normalized'!$D:$D, MATCH($A172, 'KZ-normalized'!$A:$A, 0))-INDEX('KZ-normalized'!$E:$E, MATCH($A172, 'KZ-normalized'!$A:$A, 0))), 0), 0))+(IFERROR(IF(15*INDEX('UZ-normalized'!$D:$D, MATCH($A172, 'UZ-normalized'!$A:$A, 0))-INDEX('UZ-normalized'!$E:$E, MATCH($A172, 'UZ-normalized'!$A:$A, 0))&gt;0, -(15*INDEX('UZ-normalized'!$D:$D, MATCH($A172, 'UZ-normalized'!$A:$A, 0))-INDEX('UZ-normalized'!$E:$E, MATCH($A172, 'UZ-normalized'!$A:$A, 0))), 0), 0)))</f>
        <v>-45</v>
      </c>
      <c r="AD172" s="6">
        <f>MIN(0, N172+(IFERROR(IF(16*INDEX('UA-normalized'!$D:$D, MATCH($A172, 'UA-normalized'!$A:$A, 0))-INDEX('UA-normalized'!$E:$E, MATCH($A172, 'UA-normalized'!$A:$A, 0))&gt;0, -(16*INDEX('UA-normalized'!$D:$D, MATCH($A172, 'UA-normalized'!$A:$A, 0))-INDEX('UA-normalized'!$E:$E, MATCH($A172, 'UA-normalized'!$A:$A, 0))), 0), 0))+(IFERROR(IF(16*INDEX('KZ-normalized'!$D:$D, MATCH($A172, 'KZ-normalized'!$A:$A, 0))-INDEX('KZ-normalized'!$E:$E, MATCH($A172, 'KZ-normalized'!$A:$A, 0))&gt;0, -(16*INDEX('KZ-normalized'!$D:$D, MATCH($A172, 'KZ-normalized'!$A:$A, 0))-INDEX('KZ-normalized'!$E:$E, MATCH($A172, 'KZ-normalized'!$A:$A, 0))), 0), 0))+(IFERROR(IF(16*INDEX('UZ-normalized'!$D:$D, MATCH($A172, 'UZ-normalized'!$A:$A, 0))-INDEX('UZ-normalized'!$E:$E, MATCH($A172, 'UZ-normalized'!$A:$A, 0))&gt;0, -(16*INDEX('UZ-normalized'!$D:$D, MATCH($A172, 'UZ-normalized'!$A:$A, 0))-INDEX('UZ-normalized'!$E:$E, MATCH($A172, 'UZ-normalized'!$A:$A, 0))), 0), 0)))</f>
        <v>-49.2</v>
      </c>
      <c r="AE172" s="6">
        <f>MIN(0, N172+(IFERROR(IF(17*INDEX('UA-normalized'!$D:$D, MATCH($A172, 'UA-normalized'!$A:$A, 0))-INDEX('UA-normalized'!$E:$E, MATCH($A172, 'UA-normalized'!$A:$A, 0))&gt;0, -(17*INDEX('UA-normalized'!$D:$D, MATCH($A172, 'UA-normalized'!$A:$A, 0))-INDEX('UA-normalized'!$E:$E, MATCH($A172, 'UA-normalized'!$A:$A, 0))), 0), 0))+(IFERROR(IF(17*INDEX('KZ-normalized'!$D:$D, MATCH($A172, 'KZ-normalized'!$A:$A, 0))-INDEX('KZ-normalized'!$E:$E, MATCH($A172, 'KZ-normalized'!$A:$A, 0))&gt;0, -(17*INDEX('KZ-normalized'!$D:$D, MATCH($A172, 'KZ-normalized'!$A:$A, 0))-INDEX('KZ-normalized'!$E:$E, MATCH($A172, 'KZ-normalized'!$A:$A, 0))), 0), 0))+(IFERROR(IF(17*INDEX('UZ-normalized'!$D:$D, MATCH($A172, 'UZ-normalized'!$A:$A, 0))-INDEX('UZ-normalized'!$E:$E, MATCH($A172, 'UZ-normalized'!$A:$A, 0))&gt;0, -(17*INDEX('UZ-normalized'!$D:$D, MATCH($A172, 'UZ-normalized'!$A:$A, 0))-INDEX('UZ-normalized'!$E:$E, MATCH($A172, 'UZ-normalized'!$A:$A, 0))), 0), 0)))</f>
        <v>-53.400000000000006</v>
      </c>
      <c r="AF172" s="6">
        <f>MIN(0, N172+(IFERROR(IF(18*INDEX('UA-normalized'!$D:$D, MATCH($A172, 'UA-normalized'!$A:$A, 0))-INDEX('UA-normalized'!$E:$E, MATCH($A172, 'UA-normalized'!$A:$A, 0))&gt;0, -(18*INDEX('UA-normalized'!$D:$D, MATCH($A172, 'UA-normalized'!$A:$A, 0))-INDEX('UA-normalized'!$E:$E, MATCH($A172, 'UA-normalized'!$A:$A, 0))), 0), 0))+(IFERROR(IF(18*INDEX('KZ-normalized'!$D:$D, MATCH($A172, 'KZ-normalized'!$A:$A, 0))-INDEX('KZ-normalized'!$E:$E, MATCH($A172, 'KZ-normalized'!$A:$A, 0))&gt;0, -(18*INDEX('KZ-normalized'!$D:$D, MATCH($A172, 'KZ-normalized'!$A:$A, 0))-INDEX('KZ-normalized'!$E:$E, MATCH($A172, 'KZ-normalized'!$A:$A, 0))), 0), 0))+(IFERROR(IF(18*INDEX('UZ-normalized'!$D:$D, MATCH($A172, 'UZ-normalized'!$A:$A, 0))-INDEX('UZ-normalized'!$E:$E, MATCH($A172, 'UZ-normalized'!$A:$A, 0))&gt;0, -(18*INDEX('UZ-normalized'!$D:$D, MATCH($A172, 'UZ-normalized'!$A:$A, 0))-INDEX('UZ-normalized'!$E:$E, MATCH($A172, 'UZ-normalized'!$A:$A, 0))), 0), 0)))</f>
        <v>-57.600000000000009</v>
      </c>
      <c r="AG172" s="6">
        <f>MIN(0, N172+(IFERROR(IF(19*INDEX('UA-normalized'!$D:$D, MATCH($A172, 'UA-normalized'!$A:$A, 0))-INDEX('UA-normalized'!$E:$E, MATCH($A172, 'UA-normalized'!$A:$A, 0))&gt;0, -(19*INDEX('UA-normalized'!$D:$D, MATCH($A172, 'UA-normalized'!$A:$A, 0))-INDEX('UA-normalized'!$E:$E, MATCH($A172, 'UA-normalized'!$A:$A, 0))), 0), 0))+(IFERROR(IF(19*INDEX('KZ-normalized'!$D:$D, MATCH($A172, 'KZ-normalized'!$A:$A, 0))-INDEX('KZ-normalized'!$E:$E, MATCH($A172, 'KZ-normalized'!$A:$A, 0))&gt;0, -(19*INDEX('KZ-normalized'!$D:$D, MATCH($A172, 'KZ-normalized'!$A:$A, 0))-INDEX('KZ-normalized'!$E:$E, MATCH($A172, 'KZ-normalized'!$A:$A, 0))), 0), 0))+(IFERROR(IF(19*INDEX('UZ-normalized'!$D:$D, MATCH($A172, 'UZ-normalized'!$A:$A, 0))-INDEX('UZ-normalized'!$E:$E, MATCH($A172, 'UZ-normalized'!$A:$A, 0))&gt;0, -(19*INDEX('UZ-normalized'!$D:$D, MATCH($A172, 'UZ-normalized'!$A:$A, 0))-INDEX('UZ-normalized'!$E:$E, MATCH($A172, 'UZ-normalized'!$A:$A, 0))), 0), 0)))</f>
        <v>-61.8</v>
      </c>
      <c r="AH172" s="6">
        <f>MIN(0, N172+(IFERROR(IF(20*INDEX('UA-normalized'!$D:$D, MATCH($A172, 'UA-normalized'!$A:$A, 0))-INDEX('UA-normalized'!$E:$E, MATCH($A172, 'UA-normalized'!$A:$A, 0))&gt;0, -(20*INDEX('UA-normalized'!$D:$D, MATCH($A172, 'UA-normalized'!$A:$A, 0))-INDEX('UA-normalized'!$E:$E, MATCH($A172, 'UA-normalized'!$A:$A, 0))), 0), 0))+(IFERROR(IF(20*INDEX('KZ-normalized'!$D:$D, MATCH($A172, 'KZ-normalized'!$A:$A, 0))-INDEX('KZ-normalized'!$E:$E, MATCH($A172, 'KZ-normalized'!$A:$A, 0))&gt;0, -(20*INDEX('KZ-normalized'!$D:$D, MATCH($A172, 'KZ-normalized'!$A:$A, 0))-INDEX('KZ-normalized'!$E:$E, MATCH($A172, 'KZ-normalized'!$A:$A, 0))), 0), 0))+(IFERROR(IF(20*INDEX('UZ-normalized'!$D:$D, MATCH($A172, 'UZ-normalized'!$A:$A, 0))-INDEX('UZ-normalized'!$E:$E, MATCH($A172, 'UZ-normalized'!$A:$A, 0))&gt;0, -(20*INDEX('UZ-normalized'!$D:$D, MATCH($A172, 'UZ-normalized'!$A:$A, 0))-INDEX('UZ-normalized'!$E:$E, MATCH($A172, 'UZ-normalized'!$A:$A, 0))), 0), 0)))</f>
        <v>-66</v>
      </c>
      <c r="AI172" s="6">
        <f>MIN(0, N172+(IFERROR(IF(21*INDEX('UA-normalized'!$D:$D, MATCH($A172, 'UA-normalized'!$A:$A, 0))-INDEX('UA-normalized'!$E:$E, MATCH($A172, 'UA-normalized'!$A:$A, 0))&gt;0, -(21*INDEX('UA-normalized'!$D:$D, MATCH($A172, 'UA-normalized'!$A:$A, 0))-INDEX('UA-normalized'!$E:$E, MATCH($A172, 'UA-normalized'!$A:$A, 0))), 0), 0))+(IFERROR(IF(21*INDEX('KZ-normalized'!$D:$D, MATCH($A172, 'KZ-normalized'!$A:$A, 0))-INDEX('KZ-normalized'!$E:$E, MATCH($A172, 'KZ-normalized'!$A:$A, 0))&gt;0, -(21*INDEX('KZ-normalized'!$D:$D, MATCH($A172, 'KZ-normalized'!$A:$A, 0))-INDEX('KZ-normalized'!$E:$E, MATCH($A172, 'KZ-normalized'!$A:$A, 0))), 0), 0))+(IFERROR(IF(21*INDEX('UZ-normalized'!$D:$D, MATCH($A172, 'UZ-normalized'!$A:$A, 0))-INDEX('UZ-normalized'!$E:$E, MATCH($A172, 'UZ-normalized'!$A:$A, 0))&gt;0, -(21*INDEX('UZ-normalized'!$D:$D, MATCH($A172, 'UZ-normalized'!$A:$A, 0))-INDEX('UZ-normalized'!$E:$E, MATCH($A172, 'UZ-normalized'!$A:$A, 0))), 0), 0)))</f>
        <v>-70.2</v>
      </c>
      <c r="AJ172" s="6">
        <f>MIN(0, N172+(IFERROR(IF(22*INDEX('UA-normalized'!$D:$D, MATCH($A172, 'UA-normalized'!$A:$A, 0))-INDEX('UA-normalized'!$E:$E, MATCH($A172, 'UA-normalized'!$A:$A, 0))&gt;0, -(22*INDEX('UA-normalized'!$D:$D, MATCH($A172, 'UA-normalized'!$A:$A, 0))-INDEX('UA-normalized'!$E:$E, MATCH($A172, 'UA-normalized'!$A:$A, 0))), 0), 0))+(IFERROR(IF(22*INDEX('KZ-normalized'!$D:$D, MATCH($A172, 'KZ-normalized'!$A:$A, 0))-INDEX('KZ-normalized'!$E:$E, MATCH($A172, 'KZ-normalized'!$A:$A, 0))&gt;0, -(22*INDEX('KZ-normalized'!$D:$D, MATCH($A172, 'KZ-normalized'!$A:$A, 0))-INDEX('KZ-normalized'!$E:$E, MATCH($A172, 'KZ-normalized'!$A:$A, 0))), 0), 0))+(IFERROR(IF(22*INDEX('UZ-normalized'!$D:$D, MATCH($A172, 'UZ-normalized'!$A:$A, 0))-INDEX('UZ-normalized'!$E:$E, MATCH($A172, 'UZ-normalized'!$A:$A, 0))&gt;0, -(22*INDEX('UZ-normalized'!$D:$D, MATCH($A172, 'UZ-normalized'!$A:$A, 0))-INDEX('UZ-normalized'!$E:$E, MATCH($A172, 'UZ-normalized'!$A:$A, 0))), 0), 0)))</f>
        <v>-74.400000000000006</v>
      </c>
      <c r="AK172" s="6">
        <f>MIN(0, N172+(IFERROR(IF(23*INDEX('UA-normalized'!$D:$D, MATCH($A172, 'UA-normalized'!$A:$A, 0))-INDEX('UA-normalized'!$E:$E, MATCH($A172, 'UA-normalized'!$A:$A, 0))&gt;0, -(23*INDEX('UA-normalized'!$D:$D, MATCH($A172, 'UA-normalized'!$A:$A, 0))-INDEX('UA-normalized'!$E:$E, MATCH($A172, 'UA-normalized'!$A:$A, 0))), 0), 0))+(IFERROR(IF(23*INDEX('KZ-normalized'!$D:$D, MATCH($A172, 'KZ-normalized'!$A:$A, 0))-INDEX('KZ-normalized'!$E:$E, MATCH($A172, 'KZ-normalized'!$A:$A, 0))&gt;0, -(23*INDEX('KZ-normalized'!$D:$D, MATCH($A172, 'KZ-normalized'!$A:$A, 0))-INDEX('KZ-normalized'!$E:$E, MATCH($A172, 'KZ-normalized'!$A:$A, 0))), 0), 0))+(IFERROR(IF(23*INDEX('UZ-normalized'!$D:$D, MATCH($A172, 'UZ-normalized'!$A:$A, 0))-INDEX('UZ-normalized'!$E:$E, MATCH($A172, 'UZ-normalized'!$A:$A, 0))&gt;0, -(23*INDEX('UZ-normalized'!$D:$D, MATCH($A172, 'UZ-normalized'!$A:$A, 0))-INDEX('UZ-normalized'!$E:$E, MATCH($A172, 'UZ-normalized'!$A:$A, 0))), 0), 0)))</f>
        <v>-78.600000000000009</v>
      </c>
      <c r="AL172" s="6">
        <f>MIN(0, N172+(IFERROR(IF(24*INDEX('UA-normalized'!$D:$D, MATCH($A172, 'UA-normalized'!$A:$A, 0))-INDEX('UA-normalized'!$E:$E, MATCH($A172, 'UA-normalized'!$A:$A, 0))&gt;0, -(24*INDEX('UA-normalized'!$D:$D, MATCH($A172, 'UA-normalized'!$A:$A, 0))-INDEX('UA-normalized'!$E:$E, MATCH($A172, 'UA-normalized'!$A:$A, 0))), 0), 0))+(IFERROR(IF(24*INDEX('KZ-normalized'!$D:$D, MATCH($A172, 'KZ-normalized'!$A:$A, 0))-INDEX('KZ-normalized'!$E:$E, MATCH($A172, 'KZ-normalized'!$A:$A, 0))&gt;0, -(24*INDEX('KZ-normalized'!$D:$D, MATCH($A172, 'KZ-normalized'!$A:$A, 0))-INDEX('KZ-normalized'!$E:$E, MATCH($A172, 'KZ-normalized'!$A:$A, 0))), 0), 0))+(IFERROR(IF(24*INDEX('UZ-normalized'!$D:$D, MATCH($A172, 'UZ-normalized'!$A:$A, 0))-INDEX('UZ-normalized'!$E:$E, MATCH($A172, 'UZ-normalized'!$A:$A, 0))&gt;0, -(24*INDEX('UZ-normalized'!$D:$D, MATCH($A172, 'UZ-normalized'!$A:$A, 0))-INDEX('UZ-normalized'!$E:$E, MATCH($A172, 'UZ-normalized'!$A:$A, 0))), 0), 0)))</f>
        <v>-82.800000000000011</v>
      </c>
      <c r="AM172" s="6">
        <f>MIN(0, N172+(IFERROR(IF(25*INDEX('UA-normalized'!$D:$D, MATCH($A172, 'UA-normalized'!$A:$A, 0))-INDEX('UA-normalized'!$E:$E, MATCH($A172, 'UA-normalized'!$A:$A, 0))&gt;0, -(25*INDEX('UA-normalized'!$D:$D, MATCH($A172, 'UA-normalized'!$A:$A, 0))-INDEX('UA-normalized'!$E:$E, MATCH($A172, 'UA-normalized'!$A:$A, 0))), 0), 0))+(IFERROR(IF(25*INDEX('KZ-normalized'!$D:$D, MATCH($A172, 'KZ-normalized'!$A:$A, 0))-INDEX('KZ-normalized'!$E:$E, MATCH($A172, 'KZ-normalized'!$A:$A, 0))&gt;0, -(25*INDEX('KZ-normalized'!$D:$D, MATCH($A172, 'KZ-normalized'!$A:$A, 0))-INDEX('KZ-normalized'!$E:$E, MATCH($A172, 'KZ-normalized'!$A:$A, 0))), 0), 0))+(IFERROR(IF(25*INDEX('UZ-normalized'!$D:$D, MATCH($A172, 'UZ-normalized'!$A:$A, 0))-INDEX('UZ-normalized'!$E:$E, MATCH($A172, 'UZ-normalized'!$A:$A, 0))&gt;0, -(25*INDEX('UZ-normalized'!$D:$D, MATCH($A172, 'UZ-normalized'!$A:$A, 0))-INDEX('UZ-normalized'!$E:$E, MATCH($A172, 'UZ-normalized'!$A:$A, 0))), 0), 0)))</f>
        <v>-87</v>
      </c>
      <c r="AN172" s="6">
        <f>MIN(0, N172+(IFERROR(IF(26*INDEX('UA-normalized'!$D:$D, MATCH($A172, 'UA-normalized'!$A:$A, 0))-INDEX('UA-normalized'!$E:$E, MATCH($A172, 'UA-normalized'!$A:$A, 0))&gt;0, -(26*INDEX('UA-normalized'!$D:$D, MATCH($A172, 'UA-normalized'!$A:$A, 0))-INDEX('UA-normalized'!$E:$E, MATCH($A172, 'UA-normalized'!$A:$A, 0))), 0), 0))+(IFERROR(IF(26*INDEX('KZ-normalized'!$D:$D, MATCH($A172, 'KZ-normalized'!$A:$A, 0))-INDEX('KZ-normalized'!$E:$E, MATCH($A172, 'KZ-normalized'!$A:$A, 0))&gt;0, -(26*INDEX('KZ-normalized'!$D:$D, MATCH($A172, 'KZ-normalized'!$A:$A, 0))-INDEX('KZ-normalized'!$E:$E, MATCH($A172, 'KZ-normalized'!$A:$A, 0))), 0), 0))+(IFERROR(IF(26*INDEX('UZ-normalized'!$D:$D, MATCH($A172, 'UZ-normalized'!$A:$A, 0))-INDEX('UZ-normalized'!$E:$E, MATCH($A172, 'UZ-normalized'!$A:$A, 0))&gt;0, -(26*INDEX('UZ-normalized'!$D:$D, MATCH($A172, 'UZ-normalized'!$A:$A, 0))-INDEX('UZ-normalized'!$E:$E, MATCH($A172, 'UZ-normalized'!$A:$A, 0))), 0), 0)))</f>
        <v>-91.2</v>
      </c>
      <c r="AO172" s="6">
        <f>MIN(0, N172+(IFERROR(IF(27*INDEX('UA-normalized'!$D:$D, MATCH($A172, 'UA-normalized'!$A:$A, 0))-INDEX('UA-normalized'!$E:$E, MATCH($A172, 'UA-normalized'!$A:$A, 0))&gt;0, -(27*INDEX('UA-normalized'!$D:$D, MATCH($A172, 'UA-normalized'!$A:$A, 0))-INDEX('UA-normalized'!$E:$E, MATCH($A172, 'UA-normalized'!$A:$A, 0))), 0), 0))+(IFERROR(IF(27*INDEX('KZ-normalized'!$D:$D, MATCH($A172, 'KZ-normalized'!$A:$A, 0))-INDEX('KZ-normalized'!$E:$E, MATCH($A172, 'KZ-normalized'!$A:$A, 0))&gt;0, -(27*INDEX('KZ-normalized'!$D:$D, MATCH($A172, 'KZ-normalized'!$A:$A, 0))-INDEX('KZ-normalized'!$E:$E, MATCH($A172, 'KZ-normalized'!$A:$A, 0))), 0), 0))+(IFERROR(IF(27*INDEX('UZ-normalized'!$D:$D, MATCH($A172, 'UZ-normalized'!$A:$A, 0))-INDEX('UZ-normalized'!$E:$E, MATCH($A172, 'UZ-normalized'!$A:$A, 0))&gt;0, -(27*INDEX('UZ-normalized'!$D:$D, MATCH($A172, 'UZ-normalized'!$A:$A, 0))-INDEX('UZ-normalized'!$E:$E, MATCH($A172, 'UZ-normalized'!$A:$A, 0))), 0), 0)))</f>
        <v>-95.4</v>
      </c>
      <c r="AP172" s="6">
        <f>MIN(0, N172+(IFERROR(IF(28*INDEX('UA-normalized'!$D:$D, MATCH($A172, 'UA-normalized'!$A:$A, 0))-INDEX('UA-normalized'!$E:$E, MATCH($A172, 'UA-normalized'!$A:$A, 0))&gt;0, -(28*INDEX('UA-normalized'!$D:$D, MATCH($A172, 'UA-normalized'!$A:$A, 0))-INDEX('UA-normalized'!$E:$E, MATCH($A172, 'UA-normalized'!$A:$A, 0))), 0), 0))+(IFERROR(IF(28*INDEX('KZ-normalized'!$D:$D, MATCH($A172, 'KZ-normalized'!$A:$A, 0))-INDEX('KZ-normalized'!$E:$E, MATCH($A172, 'KZ-normalized'!$A:$A, 0))&gt;0, -(28*INDEX('KZ-normalized'!$D:$D, MATCH($A172, 'KZ-normalized'!$A:$A, 0))-INDEX('KZ-normalized'!$E:$E, MATCH($A172, 'KZ-normalized'!$A:$A, 0))), 0), 0))+(IFERROR(IF(28*INDEX('UZ-normalized'!$D:$D, MATCH($A172, 'UZ-normalized'!$A:$A, 0))-INDEX('UZ-normalized'!$E:$E, MATCH($A172, 'UZ-normalized'!$A:$A, 0))&gt;0, -(28*INDEX('UZ-normalized'!$D:$D, MATCH($A172, 'UZ-normalized'!$A:$A, 0))-INDEX('UZ-normalized'!$E:$E, MATCH($A172, 'UZ-normalized'!$A:$A, 0))), 0), 0)))</f>
        <v>-99.600000000000009</v>
      </c>
      <c r="AQ172" s="6">
        <f>MIN(0, N172+(IFERROR(IF(29*INDEX('UA-normalized'!$D:$D, MATCH($A172, 'UA-normalized'!$A:$A, 0))-INDEX('UA-normalized'!$E:$E, MATCH($A172, 'UA-normalized'!$A:$A, 0))&gt;0, -(29*INDEX('UA-normalized'!$D:$D, MATCH($A172, 'UA-normalized'!$A:$A, 0))-INDEX('UA-normalized'!$E:$E, MATCH($A172, 'UA-normalized'!$A:$A, 0))), 0), 0))+(IFERROR(IF(29*INDEX('KZ-normalized'!$D:$D, MATCH($A172, 'KZ-normalized'!$A:$A, 0))-INDEX('KZ-normalized'!$E:$E, MATCH($A172, 'KZ-normalized'!$A:$A, 0))&gt;0, -(29*INDEX('KZ-normalized'!$D:$D, MATCH($A172, 'KZ-normalized'!$A:$A, 0))-INDEX('KZ-normalized'!$E:$E, MATCH($A172, 'KZ-normalized'!$A:$A, 0))), 0), 0))+(IFERROR(IF(29*INDEX('UZ-normalized'!$D:$D, MATCH($A172, 'UZ-normalized'!$A:$A, 0))-INDEX('UZ-normalized'!$E:$E, MATCH($A172, 'UZ-normalized'!$A:$A, 0))&gt;0, -(29*INDEX('UZ-normalized'!$D:$D, MATCH($A172, 'UZ-normalized'!$A:$A, 0))-INDEX('UZ-normalized'!$E:$E, MATCH($A172, 'UZ-normalized'!$A:$A, 0))), 0), 0)))</f>
        <v>-103.80000000000001</v>
      </c>
      <c r="AR172" s="6">
        <f>MIN(0, N172+(IFERROR(IF(30*INDEX('UA-normalized'!$D:$D, MATCH($A172, 'UA-normalized'!$A:$A, 0))-INDEX('UA-normalized'!$E:$E, MATCH($A172, 'UA-normalized'!$A:$A, 0))&gt;0, -(30*INDEX('UA-normalized'!$D:$D, MATCH($A172, 'UA-normalized'!$A:$A, 0))-INDEX('UA-normalized'!$E:$E, MATCH($A172, 'UA-normalized'!$A:$A, 0))), 0), 0))+(IFERROR(IF(30*INDEX('KZ-normalized'!$D:$D, MATCH($A172, 'KZ-normalized'!$A:$A, 0))-INDEX('KZ-normalized'!$E:$E, MATCH($A172, 'KZ-normalized'!$A:$A, 0))&gt;0, -(30*INDEX('KZ-normalized'!$D:$D, MATCH($A172, 'KZ-normalized'!$A:$A, 0))-INDEX('KZ-normalized'!$E:$E, MATCH($A172, 'KZ-normalized'!$A:$A, 0))), 0), 0))+(IFERROR(IF(30*INDEX('UZ-normalized'!$D:$D, MATCH($A172, 'UZ-normalized'!$A:$A, 0))-INDEX('UZ-normalized'!$E:$E, MATCH($A172, 'UZ-normalized'!$A:$A, 0))&gt;0, -(30*INDEX('UZ-normalized'!$D:$D, MATCH($A172, 'UZ-normalized'!$A:$A, 0))-INDEX('UZ-normalized'!$E:$E, MATCH($A172, 'UZ-normalized'!$A:$A, 0))), 0), 0)))</f>
        <v>-108</v>
      </c>
    </row>
    <row r="173" spans="1:44" x14ac:dyDescent="0.25">
      <c r="A173" s="8" t="s">
        <v>413</v>
      </c>
      <c r="B173" s="8" t="s">
        <v>393</v>
      </c>
      <c r="C173" s="8" t="s">
        <v>407</v>
      </c>
      <c r="D173" s="8" t="s">
        <v>414</v>
      </c>
      <c r="N173">
        <f t="shared" si="2"/>
        <v>0</v>
      </c>
      <c r="O173" s="6">
        <f>MIN(0, N173+(IFERROR(IF(1*INDEX('UA-normalized'!$D:$D, MATCH($A173, 'UA-normalized'!$A:$A, 0))-INDEX('UA-normalized'!$E:$E, MATCH($A173, 'UA-normalized'!$A:$A, 0))&gt;0, -(1*INDEX('UA-normalized'!$D:$D, MATCH($A173, 'UA-normalized'!$A:$A, 0))-INDEX('UA-normalized'!$E:$E, MATCH($A173, 'UA-normalized'!$A:$A, 0))), 0), 0))+(IFERROR(IF(1*INDEX('KZ-normalized'!$D:$D, MATCH($A173, 'KZ-normalized'!$A:$A, 0))-INDEX('KZ-normalized'!$E:$E, MATCH($A173, 'KZ-normalized'!$A:$A, 0))&gt;0, -(1*INDEX('KZ-normalized'!$D:$D, MATCH($A173, 'KZ-normalized'!$A:$A, 0))-INDEX('KZ-normalized'!$E:$E, MATCH($A173, 'KZ-normalized'!$A:$A, 0))), 0), 0))+(IFERROR(IF(1*INDEX('UZ-normalized'!$D:$D, MATCH($A173, 'UZ-normalized'!$A:$A, 0))-INDEX('UZ-normalized'!$E:$E, MATCH($A173, 'UZ-normalized'!$A:$A, 0))&gt;0, -(1*INDEX('UZ-normalized'!$D:$D, MATCH($A173, 'UZ-normalized'!$A:$A, 0))-INDEX('UZ-normalized'!$E:$E, MATCH($A173, 'UZ-normalized'!$A:$A, 0))), 0), 0)))</f>
        <v>0</v>
      </c>
      <c r="P173" s="6">
        <f>MIN(0, N173+(IFERROR(IF(2*INDEX('UA-normalized'!$D:$D, MATCH($A173, 'UA-normalized'!$A:$A, 0))-INDEX('UA-normalized'!$E:$E, MATCH($A173, 'UA-normalized'!$A:$A, 0))&gt;0, -(2*INDEX('UA-normalized'!$D:$D, MATCH($A173, 'UA-normalized'!$A:$A, 0))-INDEX('UA-normalized'!$E:$E, MATCH($A173, 'UA-normalized'!$A:$A, 0))), 0), 0))+(IFERROR(IF(2*INDEX('KZ-normalized'!$D:$D, MATCH($A173, 'KZ-normalized'!$A:$A, 0))-INDEX('KZ-normalized'!$E:$E, MATCH($A173, 'KZ-normalized'!$A:$A, 0))&gt;0, -(2*INDEX('KZ-normalized'!$D:$D, MATCH($A173, 'KZ-normalized'!$A:$A, 0))-INDEX('KZ-normalized'!$E:$E, MATCH($A173, 'KZ-normalized'!$A:$A, 0))), 0), 0))+(IFERROR(IF(2*INDEX('UZ-normalized'!$D:$D, MATCH($A173, 'UZ-normalized'!$A:$A, 0))-INDEX('UZ-normalized'!$E:$E, MATCH($A173, 'UZ-normalized'!$A:$A, 0))&gt;0, -(2*INDEX('UZ-normalized'!$D:$D, MATCH($A173, 'UZ-normalized'!$A:$A, 0))-INDEX('UZ-normalized'!$E:$E, MATCH($A173, 'UZ-normalized'!$A:$A, 0))), 0), 0)))</f>
        <v>-1.6000000000000014</v>
      </c>
      <c r="Q173" s="6">
        <f>MIN(0, N173+(IFERROR(IF(3*INDEX('UA-normalized'!$D:$D, MATCH($A173, 'UA-normalized'!$A:$A, 0))-INDEX('UA-normalized'!$E:$E, MATCH($A173, 'UA-normalized'!$A:$A, 0))&gt;0, -(3*INDEX('UA-normalized'!$D:$D, MATCH($A173, 'UA-normalized'!$A:$A, 0))-INDEX('UA-normalized'!$E:$E, MATCH($A173, 'UA-normalized'!$A:$A, 0))), 0), 0))+(IFERROR(IF(3*INDEX('KZ-normalized'!$D:$D, MATCH($A173, 'KZ-normalized'!$A:$A, 0))-INDEX('KZ-normalized'!$E:$E, MATCH($A173, 'KZ-normalized'!$A:$A, 0))&gt;0, -(3*INDEX('KZ-normalized'!$D:$D, MATCH($A173, 'KZ-normalized'!$A:$A, 0))-INDEX('KZ-normalized'!$E:$E, MATCH($A173, 'KZ-normalized'!$A:$A, 0))), 0), 0))+(IFERROR(IF(3*INDEX('UZ-normalized'!$D:$D, MATCH($A173, 'UZ-normalized'!$A:$A, 0))-INDEX('UZ-normalized'!$E:$E, MATCH($A173, 'UZ-normalized'!$A:$A, 0))&gt;0, -(3*INDEX('UZ-normalized'!$D:$D, MATCH($A173, 'UZ-normalized'!$A:$A, 0))-INDEX('UZ-normalized'!$E:$E, MATCH($A173, 'UZ-normalized'!$A:$A, 0))), 0), 0)))</f>
        <v>-12.400000000000006</v>
      </c>
      <c r="R173" s="6">
        <f>MIN(0, N173+(IFERROR(IF(4*INDEX('UA-normalized'!$D:$D, MATCH($A173, 'UA-normalized'!$A:$A, 0))-INDEX('UA-normalized'!$E:$E, MATCH($A173, 'UA-normalized'!$A:$A, 0))&gt;0, -(4*INDEX('UA-normalized'!$D:$D, MATCH($A173, 'UA-normalized'!$A:$A, 0))-INDEX('UA-normalized'!$E:$E, MATCH($A173, 'UA-normalized'!$A:$A, 0))), 0), 0))+(IFERROR(IF(4*INDEX('KZ-normalized'!$D:$D, MATCH($A173, 'KZ-normalized'!$A:$A, 0))-INDEX('KZ-normalized'!$E:$E, MATCH($A173, 'KZ-normalized'!$A:$A, 0))&gt;0, -(4*INDEX('KZ-normalized'!$D:$D, MATCH($A173, 'KZ-normalized'!$A:$A, 0))-INDEX('KZ-normalized'!$E:$E, MATCH($A173, 'KZ-normalized'!$A:$A, 0))), 0), 0))+(IFERROR(IF(4*INDEX('UZ-normalized'!$D:$D, MATCH($A173, 'UZ-normalized'!$A:$A, 0))-INDEX('UZ-normalized'!$E:$E, MATCH($A173, 'UZ-normalized'!$A:$A, 0))&gt;0, -(4*INDEX('UZ-normalized'!$D:$D, MATCH($A173, 'UZ-normalized'!$A:$A, 0))-INDEX('UZ-normalized'!$E:$E, MATCH($A173, 'UZ-normalized'!$A:$A, 0))), 0), 0)))</f>
        <v>-23.200000000000003</v>
      </c>
      <c r="S173" s="6">
        <f>MIN(0, N173+(IFERROR(IF(5*INDEX('UA-normalized'!$D:$D, MATCH($A173, 'UA-normalized'!$A:$A, 0))-INDEX('UA-normalized'!$E:$E, MATCH($A173, 'UA-normalized'!$A:$A, 0))&gt;0, -(5*INDEX('UA-normalized'!$D:$D, MATCH($A173, 'UA-normalized'!$A:$A, 0))-INDEX('UA-normalized'!$E:$E, MATCH($A173, 'UA-normalized'!$A:$A, 0))), 0), 0))+(IFERROR(IF(5*INDEX('KZ-normalized'!$D:$D, MATCH($A173, 'KZ-normalized'!$A:$A, 0))-INDEX('KZ-normalized'!$E:$E, MATCH($A173, 'KZ-normalized'!$A:$A, 0))&gt;0, -(5*INDEX('KZ-normalized'!$D:$D, MATCH($A173, 'KZ-normalized'!$A:$A, 0))-INDEX('KZ-normalized'!$E:$E, MATCH($A173, 'KZ-normalized'!$A:$A, 0))), 0), 0))+(IFERROR(IF(5*INDEX('UZ-normalized'!$D:$D, MATCH($A173, 'UZ-normalized'!$A:$A, 0))-INDEX('UZ-normalized'!$E:$E, MATCH($A173, 'UZ-normalized'!$A:$A, 0))&gt;0, -(5*INDEX('UZ-normalized'!$D:$D, MATCH($A173, 'UZ-normalized'!$A:$A, 0))-INDEX('UZ-normalized'!$E:$E, MATCH($A173, 'UZ-normalized'!$A:$A, 0))), 0), 0)))</f>
        <v>-34</v>
      </c>
      <c r="T173" s="6">
        <f>MIN(0, N173+(IFERROR(IF(6*INDEX('UA-normalized'!$D:$D, MATCH($A173, 'UA-normalized'!$A:$A, 0))-INDEX('UA-normalized'!$E:$E, MATCH($A173, 'UA-normalized'!$A:$A, 0))&gt;0, -(6*INDEX('UA-normalized'!$D:$D, MATCH($A173, 'UA-normalized'!$A:$A, 0))-INDEX('UA-normalized'!$E:$E, MATCH($A173, 'UA-normalized'!$A:$A, 0))), 0), 0))+(IFERROR(IF(6*INDEX('KZ-normalized'!$D:$D, MATCH($A173, 'KZ-normalized'!$A:$A, 0))-INDEX('KZ-normalized'!$E:$E, MATCH($A173, 'KZ-normalized'!$A:$A, 0))&gt;0, -(6*INDEX('KZ-normalized'!$D:$D, MATCH($A173, 'KZ-normalized'!$A:$A, 0))-INDEX('KZ-normalized'!$E:$E, MATCH($A173, 'KZ-normalized'!$A:$A, 0))), 0), 0))+(IFERROR(IF(6*INDEX('UZ-normalized'!$D:$D, MATCH($A173, 'UZ-normalized'!$A:$A, 0))-INDEX('UZ-normalized'!$E:$E, MATCH($A173, 'UZ-normalized'!$A:$A, 0))&gt;0, -(6*INDEX('UZ-normalized'!$D:$D, MATCH($A173, 'UZ-normalized'!$A:$A, 0))-INDEX('UZ-normalized'!$E:$E, MATCH($A173, 'UZ-normalized'!$A:$A, 0))), 0), 0)))</f>
        <v>-44.800000000000011</v>
      </c>
      <c r="U173" s="6">
        <f>MIN(0, N173+(IFERROR(IF(7*INDEX('UA-normalized'!$D:$D, MATCH($A173, 'UA-normalized'!$A:$A, 0))-INDEX('UA-normalized'!$E:$E, MATCH($A173, 'UA-normalized'!$A:$A, 0))&gt;0, -(7*INDEX('UA-normalized'!$D:$D, MATCH($A173, 'UA-normalized'!$A:$A, 0))-INDEX('UA-normalized'!$E:$E, MATCH($A173, 'UA-normalized'!$A:$A, 0))), 0), 0))+(IFERROR(IF(7*INDEX('KZ-normalized'!$D:$D, MATCH($A173, 'KZ-normalized'!$A:$A, 0))-INDEX('KZ-normalized'!$E:$E, MATCH($A173, 'KZ-normalized'!$A:$A, 0))&gt;0, -(7*INDEX('KZ-normalized'!$D:$D, MATCH($A173, 'KZ-normalized'!$A:$A, 0))-INDEX('KZ-normalized'!$E:$E, MATCH($A173, 'KZ-normalized'!$A:$A, 0))), 0), 0))+(IFERROR(IF(7*INDEX('UZ-normalized'!$D:$D, MATCH($A173, 'UZ-normalized'!$A:$A, 0))-INDEX('UZ-normalized'!$E:$E, MATCH($A173, 'UZ-normalized'!$A:$A, 0))&gt;0, -(7*INDEX('UZ-normalized'!$D:$D, MATCH($A173, 'UZ-normalized'!$A:$A, 0))-INDEX('UZ-normalized'!$E:$E, MATCH($A173, 'UZ-normalized'!$A:$A, 0))), 0), 0)))</f>
        <v>-55.600000000000009</v>
      </c>
      <c r="V173" s="6">
        <f>MIN(0, N173+(IFERROR(IF(8*INDEX('UA-normalized'!$D:$D, MATCH($A173, 'UA-normalized'!$A:$A, 0))-INDEX('UA-normalized'!$E:$E, MATCH($A173, 'UA-normalized'!$A:$A, 0))&gt;0, -(8*INDEX('UA-normalized'!$D:$D, MATCH($A173, 'UA-normalized'!$A:$A, 0))-INDEX('UA-normalized'!$E:$E, MATCH($A173, 'UA-normalized'!$A:$A, 0))), 0), 0))+(IFERROR(IF(8*INDEX('KZ-normalized'!$D:$D, MATCH($A173, 'KZ-normalized'!$A:$A, 0))-INDEX('KZ-normalized'!$E:$E, MATCH($A173, 'KZ-normalized'!$A:$A, 0))&gt;0, -(8*INDEX('KZ-normalized'!$D:$D, MATCH($A173, 'KZ-normalized'!$A:$A, 0))-INDEX('KZ-normalized'!$E:$E, MATCH($A173, 'KZ-normalized'!$A:$A, 0))), 0), 0))+(IFERROR(IF(8*INDEX('UZ-normalized'!$D:$D, MATCH($A173, 'UZ-normalized'!$A:$A, 0))-INDEX('UZ-normalized'!$E:$E, MATCH($A173, 'UZ-normalized'!$A:$A, 0))&gt;0, -(8*INDEX('UZ-normalized'!$D:$D, MATCH($A173, 'UZ-normalized'!$A:$A, 0))-INDEX('UZ-normalized'!$E:$E, MATCH($A173, 'UZ-normalized'!$A:$A, 0))), 0), 0)))</f>
        <v>-66.400000000000006</v>
      </c>
      <c r="W173" s="6">
        <f>MIN(0, N173+(IFERROR(IF(9*INDEX('UA-normalized'!$D:$D, MATCH($A173, 'UA-normalized'!$A:$A, 0))-INDEX('UA-normalized'!$E:$E, MATCH($A173, 'UA-normalized'!$A:$A, 0))&gt;0, -(9*INDEX('UA-normalized'!$D:$D, MATCH($A173, 'UA-normalized'!$A:$A, 0))-INDEX('UA-normalized'!$E:$E, MATCH($A173, 'UA-normalized'!$A:$A, 0))), 0), 0))+(IFERROR(IF(9*INDEX('KZ-normalized'!$D:$D, MATCH($A173, 'KZ-normalized'!$A:$A, 0))-INDEX('KZ-normalized'!$E:$E, MATCH($A173, 'KZ-normalized'!$A:$A, 0))&gt;0, -(9*INDEX('KZ-normalized'!$D:$D, MATCH($A173, 'KZ-normalized'!$A:$A, 0))-INDEX('KZ-normalized'!$E:$E, MATCH($A173, 'KZ-normalized'!$A:$A, 0))), 0), 0))+(IFERROR(IF(9*INDEX('UZ-normalized'!$D:$D, MATCH($A173, 'UZ-normalized'!$A:$A, 0))-INDEX('UZ-normalized'!$E:$E, MATCH($A173, 'UZ-normalized'!$A:$A, 0))&gt;0, -(9*INDEX('UZ-normalized'!$D:$D, MATCH($A173, 'UZ-normalized'!$A:$A, 0))-INDEX('UZ-normalized'!$E:$E, MATCH($A173, 'UZ-normalized'!$A:$A, 0))), 0), 0)))</f>
        <v>-77.2</v>
      </c>
      <c r="X173" s="6">
        <f>MIN(0, N173+(IFERROR(IF(10*INDEX('UA-normalized'!$D:$D, MATCH($A173, 'UA-normalized'!$A:$A, 0))-INDEX('UA-normalized'!$E:$E, MATCH($A173, 'UA-normalized'!$A:$A, 0))&gt;0, -(10*INDEX('UA-normalized'!$D:$D, MATCH($A173, 'UA-normalized'!$A:$A, 0))-INDEX('UA-normalized'!$E:$E, MATCH($A173, 'UA-normalized'!$A:$A, 0))), 0), 0))+(IFERROR(IF(10*INDEX('KZ-normalized'!$D:$D, MATCH($A173, 'KZ-normalized'!$A:$A, 0))-INDEX('KZ-normalized'!$E:$E, MATCH($A173, 'KZ-normalized'!$A:$A, 0))&gt;0, -(10*INDEX('KZ-normalized'!$D:$D, MATCH($A173, 'KZ-normalized'!$A:$A, 0))-INDEX('KZ-normalized'!$E:$E, MATCH($A173, 'KZ-normalized'!$A:$A, 0))), 0), 0))+(IFERROR(IF(10*INDEX('UZ-normalized'!$D:$D, MATCH($A173, 'UZ-normalized'!$A:$A, 0))-INDEX('UZ-normalized'!$E:$E, MATCH($A173, 'UZ-normalized'!$A:$A, 0))&gt;0, -(10*INDEX('UZ-normalized'!$D:$D, MATCH($A173, 'UZ-normalized'!$A:$A, 0))-INDEX('UZ-normalized'!$E:$E, MATCH($A173, 'UZ-normalized'!$A:$A, 0))), 0), 0)))</f>
        <v>-88</v>
      </c>
      <c r="Y173" s="6">
        <f>MIN(0, N173+(IFERROR(IF(11*INDEX('UA-normalized'!$D:$D, MATCH($A173, 'UA-normalized'!$A:$A, 0))-INDEX('UA-normalized'!$E:$E, MATCH($A173, 'UA-normalized'!$A:$A, 0))&gt;0, -(11*INDEX('UA-normalized'!$D:$D, MATCH($A173, 'UA-normalized'!$A:$A, 0))-INDEX('UA-normalized'!$E:$E, MATCH($A173, 'UA-normalized'!$A:$A, 0))), 0), 0))+(IFERROR(IF(11*INDEX('KZ-normalized'!$D:$D, MATCH($A173, 'KZ-normalized'!$A:$A, 0))-INDEX('KZ-normalized'!$E:$E, MATCH($A173, 'KZ-normalized'!$A:$A, 0))&gt;0, -(11*INDEX('KZ-normalized'!$D:$D, MATCH($A173, 'KZ-normalized'!$A:$A, 0))-INDEX('KZ-normalized'!$E:$E, MATCH($A173, 'KZ-normalized'!$A:$A, 0))), 0), 0))+(IFERROR(IF(11*INDEX('UZ-normalized'!$D:$D, MATCH($A173, 'UZ-normalized'!$A:$A, 0))-INDEX('UZ-normalized'!$E:$E, MATCH($A173, 'UZ-normalized'!$A:$A, 0))&gt;0, -(11*INDEX('UZ-normalized'!$D:$D, MATCH($A173, 'UZ-normalized'!$A:$A, 0))-INDEX('UZ-normalized'!$E:$E, MATCH($A173, 'UZ-normalized'!$A:$A, 0))), 0), 0)))</f>
        <v>-98.800000000000011</v>
      </c>
      <c r="Z173" s="6">
        <f>MIN(0, N173+(IFERROR(IF(12*INDEX('UA-normalized'!$D:$D, MATCH($A173, 'UA-normalized'!$A:$A, 0))-INDEX('UA-normalized'!$E:$E, MATCH($A173, 'UA-normalized'!$A:$A, 0))&gt;0, -(12*INDEX('UA-normalized'!$D:$D, MATCH($A173, 'UA-normalized'!$A:$A, 0))-INDEX('UA-normalized'!$E:$E, MATCH($A173, 'UA-normalized'!$A:$A, 0))), 0), 0))+(IFERROR(IF(12*INDEX('KZ-normalized'!$D:$D, MATCH($A173, 'KZ-normalized'!$A:$A, 0))-INDEX('KZ-normalized'!$E:$E, MATCH($A173, 'KZ-normalized'!$A:$A, 0))&gt;0, -(12*INDEX('KZ-normalized'!$D:$D, MATCH($A173, 'KZ-normalized'!$A:$A, 0))-INDEX('KZ-normalized'!$E:$E, MATCH($A173, 'KZ-normalized'!$A:$A, 0))), 0), 0))+(IFERROR(IF(12*INDEX('UZ-normalized'!$D:$D, MATCH($A173, 'UZ-normalized'!$A:$A, 0))-INDEX('UZ-normalized'!$E:$E, MATCH($A173, 'UZ-normalized'!$A:$A, 0))&gt;0, -(12*INDEX('UZ-normalized'!$D:$D, MATCH($A173, 'UZ-normalized'!$A:$A, 0))-INDEX('UZ-normalized'!$E:$E, MATCH($A173, 'UZ-normalized'!$A:$A, 0))), 0), 0)))</f>
        <v>-109.60000000000002</v>
      </c>
      <c r="AA173" s="6">
        <f>MIN(0, N173+(IFERROR(IF(13*INDEX('UA-normalized'!$D:$D, MATCH($A173, 'UA-normalized'!$A:$A, 0))-INDEX('UA-normalized'!$E:$E, MATCH($A173, 'UA-normalized'!$A:$A, 0))&gt;0, -(13*INDEX('UA-normalized'!$D:$D, MATCH($A173, 'UA-normalized'!$A:$A, 0))-INDEX('UA-normalized'!$E:$E, MATCH($A173, 'UA-normalized'!$A:$A, 0))), 0), 0))+(IFERROR(IF(13*INDEX('KZ-normalized'!$D:$D, MATCH($A173, 'KZ-normalized'!$A:$A, 0))-INDEX('KZ-normalized'!$E:$E, MATCH($A173, 'KZ-normalized'!$A:$A, 0))&gt;0, -(13*INDEX('KZ-normalized'!$D:$D, MATCH($A173, 'KZ-normalized'!$A:$A, 0))-INDEX('KZ-normalized'!$E:$E, MATCH($A173, 'KZ-normalized'!$A:$A, 0))), 0), 0))+(IFERROR(IF(13*INDEX('UZ-normalized'!$D:$D, MATCH($A173, 'UZ-normalized'!$A:$A, 0))-INDEX('UZ-normalized'!$E:$E, MATCH($A173, 'UZ-normalized'!$A:$A, 0))&gt;0, -(13*INDEX('UZ-normalized'!$D:$D, MATCH($A173, 'UZ-normalized'!$A:$A, 0))-INDEX('UZ-normalized'!$E:$E, MATCH($A173, 'UZ-normalized'!$A:$A, 0))), 0), 0)))</f>
        <v>-120.4</v>
      </c>
      <c r="AB173" s="6">
        <f>MIN(0, N173+(IFERROR(IF(14*INDEX('UA-normalized'!$D:$D, MATCH($A173, 'UA-normalized'!$A:$A, 0))-INDEX('UA-normalized'!$E:$E, MATCH($A173, 'UA-normalized'!$A:$A, 0))&gt;0, -(14*INDEX('UA-normalized'!$D:$D, MATCH($A173, 'UA-normalized'!$A:$A, 0))-INDEX('UA-normalized'!$E:$E, MATCH($A173, 'UA-normalized'!$A:$A, 0))), 0), 0))+(IFERROR(IF(14*INDEX('KZ-normalized'!$D:$D, MATCH($A173, 'KZ-normalized'!$A:$A, 0))-INDEX('KZ-normalized'!$E:$E, MATCH($A173, 'KZ-normalized'!$A:$A, 0))&gt;0, -(14*INDEX('KZ-normalized'!$D:$D, MATCH($A173, 'KZ-normalized'!$A:$A, 0))-INDEX('KZ-normalized'!$E:$E, MATCH($A173, 'KZ-normalized'!$A:$A, 0))), 0), 0))+(IFERROR(IF(14*INDEX('UZ-normalized'!$D:$D, MATCH($A173, 'UZ-normalized'!$A:$A, 0))-INDEX('UZ-normalized'!$E:$E, MATCH($A173, 'UZ-normalized'!$A:$A, 0))&gt;0, -(14*INDEX('UZ-normalized'!$D:$D, MATCH($A173, 'UZ-normalized'!$A:$A, 0))-INDEX('UZ-normalized'!$E:$E, MATCH($A173, 'UZ-normalized'!$A:$A, 0))), 0), 0)))</f>
        <v>-131.20000000000002</v>
      </c>
      <c r="AC173" s="6">
        <f>MIN(0, N173+(IFERROR(IF(15*INDEX('UA-normalized'!$D:$D, MATCH($A173, 'UA-normalized'!$A:$A, 0))-INDEX('UA-normalized'!$E:$E, MATCH($A173, 'UA-normalized'!$A:$A, 0))&gt;0, -(15*INDEX('UA-normalized'!$D:$D, MATCH($A173, 'UA-normalized'!$A:$A, 0))-INDEX('UA-normalized'!$E:$E, MATCH($A173, 'UA-normalized'!$A:$A, 0))), 0), 0))+(IFERROR(IF(15*INDEX('KZ-normalized'!$D:$D, MATCH($A173, 'KZ-normalized'!$A:$A, 0))-INDEX('KZ-normalized'!$E:$E, MATCH($A173, 'KZ-normalized'!$A:$A, 0))&gt;0, -(15*INDEX('KZ-normalized'!$D:$D, MATCH($A173, 'KZ-normalized'!$A:$A, 0))-INDEX('KZ-normalized'!$E:$E, MATCH($A173, 'KZ-normalized'!$A:$A, 0))), 0), 0))+(IFERROR(IF(15*INDEX('UZ-normalized'!$D:$D, MATCH($A173, 'UZ-normalized'!$A:$A, 0))-INDEX('UZ-normalized'!$E:$E, MATCH($A173, 'UZ-normalized'!$A:$A, 0))&gt;0, -(15*INDEX('UZ-normalized'!$D:$D, MATCH($A173, 'UZ-normalized'!$A:$A, 0))-INDEX('UZ-normalized'!$E:$E, MATCH($A173, 'UZ-normalized'!$A:$A, 0))), 0), 0)))</f>
        <v>-142</v>
      </c>
      <c r="AD173" s="6">
        <f>MIN(0, N173+(IFERROR(IF(16*INDEX('UA-normalized'!$D:$D, MATCH($A173, 'UA-normalized'!$A:$A, 0))-INDEX('UA-normalized'!$E:$E, MATCH($A173, 'UA-normalized'!$A:$A, 0))&gt;0, -(16*INDEX('UA-normalized'!$D:$D, MATCH($A173, 'UA-normalized'!$A:$A, 0))-INDEX('UA-normalized'!$E:$E, MATCH($A173, 'UA-normalized'!$A:$A, 0))), 0), 0))+(IFERROR(IF(16*INDEX('KZ-normalized'!$D:$D, MATCH($A173, 'KZ-normalized'!$A:$A, 0))-INDEX('KZ-normalized'!$E:$E, MATCH($A173, 'KZ-normalized'!$A:$A, 0))&gt;0, -(16*INDEX('KZ-normalized'!$D:$D, MATCH($A173, 'KZ-normalized'!$A:$A, 0))-INDEX('KZ-normalized'!$E:$E, MATCH($A173, 'KZ-normalized'!$A:$A, 0))), 0), 0))+(IFERROR(IF(16*INDEX('UZ-normalized'!$D:$D, MATCH($A173, 'UZ-normalized'!$A:$A, 0))-INDEX('UZ-normalized'!$E:$E, MATCH($A173, 'UZ-normalized'!$A:$A, 0))&gt;0, -(16*INDEX('UZ-normalized'!$D:$D, MATCH($A173, 'UZ-normalized'!$A:$A, 0))-INDEX('UZ-normalized'!$E:$E, MATCH($A173, 'UZ-normalized'!$A:$A, 0))), 0), 0)))</f>
        <v>-152.80000000000001</v>
      </c>
      <c r="AE173" s="6">
        <f>MIN(0, N173+(IFERROR(IF(17*INDEX('UA-normalized'!$D:$D, MATCH($A173, 'UA-normalized'!$A:$A, 0))-INDEX('UA-normalized'!$E:$E, MATCH($A173, 'UA-normalized'!$A:$A, 0))&gt;0, -(17*INDEX('UA-normalized'!$D:$D, MATCH($A173, 'UA-normalized'!$A:$A, 0))-INDEX('UA-normalized'!$E:$E, MATCH($A173, 'UA-normalized'!$A:$A, 0))), 0), 0))+(IFERROR(IF(17*INDEX('KZ-normalized'!$D:$D, MATCH($A173, 'KZ-normalized'!$A:$A, 0))-INDEX('KZ-normalized'!$E:$E, MATCH($A173, 'KZ-normalized'!$A:$A, 0))&gt;0, -(17*INDEX('KZ-normalized'!$D:$D, MATCH($A173, 'KZ-normalized'!$A:$A, 0))-INDEX('KZ-normalized'!$E:$E, MATCH($A173, 'KZ-normalized'!$A:$A, 0))), 0), 0))+(IFERROR(IF(17*INDEX('UZ-normalized'!$D:$D, MATCH($A173, 'UZ-normalized'!$A:$A, 0))-INDEX('UZ-normalized'!$E:$E, MATCH($A173, 'UZ-normalized'!$A:$A, 0))&gt;0, -(17*INDEX('UZ-normalized'!$D:$D, MATCH($A173, 'UZ-normalized'!$A:$A, 0))-INDEX('UZ-normalized'!$E:$E, MATCH($A173, 'UZ-normalized'!$A:$A, 0))), 0), 0)))</f>
        <v>-163.60000000000002</v>
      </c>
      <c r="AF173" s="6">
        <f>MIN(0, N173+(IFERROR(IF(18*INDEX('UA-normalized'!$D:$D, MATCH($A173, 'UA-normalized'!$A:$A, 0))-INDEX('UA-normalized'!$E:$E, MATCH($A173, 'UA-normalized'!$A:$A, 0))&gt;0, -(18*INDEX('UA-normalized'!$D:$D, MATCH($A173, 'UA-normalized'!$A:$A, 0))-INDEX('UA-normalized'!$E:$E, MATCH($A173, 'UA-normalized'!$A:$A, 0))), 0), 0))+(IFERROR(IF(18*INDEX('KZ-normalized'!$D:$D, MATCH($A173, 'KZ-normalized'!$A:$A, 0))-INDEX('KZ-normalized'!$E:$E, MATCH($A173, 'KZ-normalized'!$A:$A, 0))&gt;0, -(18*INDEX('KZ-normalized'!$D:$D, MATCH($A173, 'KZ-normalized'!$A:$A, 0))-INDEX('KZ-normalized'!$E:$E, MATCH($A173, 'KZ-normalized'!$A:$A, 0))), 0), 0))+(IFERROR(IF(18*INDEX('UZ-normalized'!$D:$D, MATCH($A173, 'UZ-normalized'!$A:$A, 0))-INDEX('UZ-normalized'!$E:$E, MATCH($A173, 'UZ-normalized'!$A:$A, 0))&gt;0, -(18*INDEX('UZ-normalized'!$D:$D, MATCH($A173, 'UZ-normalized'!$A:$A, 0))-INDEX('UZ-normalized'!$E:$E, MATCH($A173, 'UZ-normalized'!$A:$A, 0))), 0), 0)))</f>
        <v>-174.4</v>
      </c>
      <c r="AG173" s="6">
        <f>MIN(0, N173+(IFERROR(IF(19*INDEX('UA-normalized'!$D:$D, MATCH($A173, 'UA-normalized'!$A:$A, 0))-INDEX('UA-normalized'!$E:$E, MATCH($A173, 'UA-normalized'!$A:$A, 0))&gt;0, -(19*INDEX('UA-normalized'!$D:$D, MATCH($A173, 'UA-normalized'!$A:$A, 0))-INDEX('UA-normalized'!$E:$E, MATCH($A173, 'UA-normalized'!$A:$A, 0))), 0), 0))+(IFERROR(IF(19*INDEX('KZ-normalized'!$D:$D, MATCH($A173, 'KZ-normalized'!$A:$A, 0))-INDEX('KZ-normalized'!$E:$E, MATCH($A173, 'KZ-normalized'!$A:$A, 0))&gt;0, -(19*INDEX('KZ-normalized'!$D:$D, MATCH($A173, 'KZ-normalized'!$A:$A, 0))-INDEX('KZ-normalized'!$E:$E, MATCH($A173, 'KZ-normalized'!$A:$A, 0))), 0), 0))+(IFERROR(IF(19*INDEX('UZ-normalized'!$D:$D, MATCH($A173, 'UZ-normalized'!$A:$A, 0))-INDEX('UZ-normalized'!$E:$E, MATCH($A173, 'UZ-normalized'!$A:$A, 0))&gt;0, -(19*INDEX('UZ-normalized'!$D:$D, MATCH($A173, 'UZ-normalized'!$A:$A, 0))-INDEX('UZ-normalized'!$E:$E, MATCH($A173, 'UZ-normalized'!$A:$A, 0))), 0), 0)))</f>
        <v>-185.20000000000002</v>
      </c>
      <c r="AH173" s="6">
        <f>MIN(0, N173+(IFERROR(IF(20*INDEX('UA-normalized'!$D:$D, MATCH($A173, 'UA-normalized'!$A:$A, 0))-INDEX('UA-normalized'!$E:$E, MATCH($A173, 'UA-normalized'!$A:$A, 0))&gt;0, -(20*INDEX('UA-normalized'!$D:$D, MATCH($A173, 'UA-normalized'!$A:$A, 0))-INDEX('UA-normalized'!$E:$E, MATCH($A173, 'UA-normalized'!$A:$A, 0))), 0), 0))+(IFERROR(IF(20*INDEX('KZ-normalized'!$D:$D, MATCH($A173, 'KZ-normalized'!$A:$A, 0))-INDEX('KZ-normalized'!$E:$E, MATCH($A173, 'KZ-normalized'!$A:$A, 0))&gt;0, -(20*INDEX('KZ-normalized'!$D:$D, MATCH($A173, 'KZ-normalized'!$A:$A, 0))-INDEX('KZ-normalized'!$E:$E, MATCH($A173, 'KZ-normalized'!$A:$A, 0))), 0), 0))+(IFERROR(IF(20*INDEX('UZ-normalized'!$D:$D, MATCH($A173, 'UZ-normalized'!$A:$A, 0))-INDEX('UZ-normalized'!$E:$E, MATCH($A173, 'UZ-normalized'!$A:$A, 0))&gt;0, -(20*INDEX('UZ-normalized'!$D:$D, MATCH($A173, 'UZ-normalized'!$A:$A, 0))-INDEX('UZ-normalized'!$E:$E, MATCH($A173, 'UZ-normalized'!$A:$A, 0))), 0), 0)))</f>
        <v>-196</v>
      </c>
      <c r="AI173" s="6">
        <f>MIN(0, N173+(IFERROR(IF(21*INDEX('UA-normalized'!$D:$D, MATCH($A173, 'UA-normalized'!$A:$A, 0))-INDEX('UA-normalized'!$E:$E, MATCH($A173, 'UA-normalized'!$A:$A, 0))&gt;0, -(21*INDEX('UA-normalized'!$D:$D, MATCH($A173, 'UA-normalized'!$A:$A, 0))-INDEX('UA-normalized'!$E:$E, MATCH($A173, 'UA-normalized'!$A:$A, 0))), 0), 0))+(IFERROR(IF(21*INDEX('KZ-normalized'!$D:$D, MATCH($A173, 'KZ-normalized'!$A:$A, 0))-INDEX('KZ-normalized'!$E:$E, MATCH($A173, 'KZ-normalized'!$A:$A, 0))&gt;0, -(21*INDEX('KZ-normalized'!$D:$D, MATCH($A173, 'KZ-normalized'!$A:$A, 0))-INDEX('KZ-normalized'!$E:$E, MATCH($A173, 'KZ-normalized'!$A:$A, 0))), 0), 0))+(IFERROR(IF(21*INDEX('UZ-normalized'!$D:$D, MATCH($A173, 'UZ-normalized'!$A:$A, 0))-INDEX('UZ-normalized'!$E:$E, MATCH($A173, 'UZ-normalized'!$A:$A, 0))&gt;0, -(21*INDEX('UZ-normalized'!$D:$D, MATCH($A173, 'UZ-normalized'!$A:$A, 0))-INDEX('UZ-normalized'!$E:$E, MATCH($A173, 'UZ-normalized'!$A:$A, 0))), 0), 0)))</f>
        <v>-206.8</v>
      </c>
      <c r="AJ173" s="6">
        <f>MIN(0, N173+(IFERROR(IF(22*INDEX('UA-normalized'!$D:$D, MATCH($A173, 'UA-normalized'!$A:$A, 0))-INDEX('UA-normalized'!$E:$E, MATCH($A173, 'UA-normalized'!$A:$A, 0))&gt;0, -(22*INDEX('UA-normalized'!$D:$D, MATCH($A173, 'UA-normalized'!$A:$A, 0))-INDEX('UA-normalized'!$E:$E, MATCH($A173, 'UA-normalized'!$A:$A, 0))), 0), 0))+(IFERROR(IF(22*INDEX('KZ-normalized'!$D:$D, MATCH($A173, 'KZ-normalized'!$A:$A, 0))-INDEX('KZ-normalized'!$E:$E, MATCH($A173, 'KZ-normalized'!$A:$A, 0))&gt;0, -(22*INDEX('KZ-normalized'!$D:$D, MATCH($A173, 'KZ-normalized'!$A:$A, 0))-INDEX('KZ-normalized'!$E:$E, MATCH($A173, 'KZ-normalized'!$A:$A, 0))), 0), 0))+(IFERROR(IF(22*INDEX('UZ-normalized'!$D:$D, MATCH($A173, 'UZ-normalized'!$A:$A, 0))-INDEX('UZ-normalized'!$E:$E, MATCH($A173, 'UZ-normalized'!$A:$A, 0))&gt;0, -(22*INDEX('UZ-normalized'!$D:$D, MATCH($A173, 'UZ-normalized'!$A:$A, 0))-INDEX('UZ-normalized'!$E:$E, MATCH($A173, 'UZ-normalized'!$A:$A, 0))), 0), 0)))</f>
        <v>-217.60000000000002</v>
      </c>
      <c r="AK173" s="6">
        <f>MIN(0, N173+(IFERROR(IF(23*INDEX('UA-normalized'!$D:$D, MATCH($A173, 'UA-normalized'!$A:$A, 0))-INDEX('UA-normalized'!$E:$E, MATCH($A173, 'UA-normalized'!$A:$A, 0))&gt;0, -(23*INDEX('UA-normalized'!$D:$D, MATCH($A173, 'UA-normalized'!$A:$A, 0))-INDEX('UA-normalized'!$E:$E, MATCH($A173, 'UA-normalized'!$A:$A, 0))), 0), 0))+(IFERROR(IF(23*INDEX('KZ-normalized'!$D:$D, MATCH($A173, 'KZ-normalized'!$A:$A, 0))-INDEX('KZ-normalized'!$E:$E, MATCH($A173, 'KZ-normalized'!$A:$A, 0))&gt;0, -(23*INDEX('KZ-normalized'!$D:$D, MATCH($A173, 'KZ-normalized'!$A:$A, 0))-INDEX('KZ-normalized'!$E:$E, MATCH($A173, 'KZ-normalized'!$A:$A, 0))), 0), 0))+(IFERROR(IF(23*INDEX('UZ-normalized'!$D:$D, MATCH($A173, 'UZ-normalized'!$A:$A, 0))-INDEX('UZ-normalized'!$E:$E, MATCH($A173, 'UZ-normalized'!$A:$A, 0))&gt;0, -(23*INDEX('UZ-normalized'!$D:$D, MATCH($A173, 'UZ-normalized'!$A:$A, 0))-INDEX('UZ-normalized'!$E:$E, MATCH($A173, 'UZ-normalized'!$A:$A, 0))), 0), 0)))</f>
        <v>-228.4</v>
      </c>
      <c r="AL173" s="6">
        <f>MIN(0, N173+(IFERROR(IF(24*INDEX('UA-normalized'!$D:$D, MATCH($A173, 'UA-normalized'!$A:$A, 0))-INDEX('UA-normalized'!$E:$E, MATCH($A173, 'UA-normalized'!$A:$A, 0))&gt;0, -(24*INDEX('UA-normalized'!$D:$D, MATCH($A173, 'UA-normalized'!$A:$A, 0))-INDEX('UA-normalized'!$E:$E, MATCH($A173, 'UA-normalized'!$A:$A, 0))), 0), 0))+(IFERROR(IF(24*INDEX('KZ-normalized'!$D:$D, MATCH($A173, 'KZ-normalized'!$A:$A, 0))-INDEX('KZ-normalized'!$E:$E, MATCH($A173, 'KZ-normalized'!$A:$A, 0))&gt;0, -(24*INDEX('KZ-normalized'!$D:$D, MATCH($A173, 'KZ-normalized'!$A:$A, 0))-INDEX('KZ-normalized'!$E:$E, MATCH($A173, 'KZ-normalized'!$A:$A, 0))), 0), 0))+(IFERROR(IF(24*INDEX('UZ-normalized'!$D:$D, MATCH($A173, 'UZ-normalized'!$A:$A, 0))-INDEX('UZ-normalized'!$E:$E, MATCH($A173, 'UZ-normalized'!$A:$A, 0))&gt;0, -(24*INDEX('UZ-normalized'!$D:$D, MATCH($A173, 'UZ-normalized'!$A:$A, 0))-INDEX('UZ-normalized'!$E:$E, MATCH($A173, 'UZ-normalized'!$A:$A, 0))), 0), 0)))</f>
        <v>-239.20000000000005</v>
      </c>
      <c r="AM173" s="6">
        <f>MIN(0, N173+(IFERROR(IF(25*INDEX('UA-normalized'!$D:$D, MATCH($A173, 'UA-normalized'!$A:$A, 0))-INDEX('UA-normalized'!$E:$E, MATCH($A173, 'UA-normalized'!$A:$A, 0))&gt;0, -(25*INDEX('UA-normalized'!$D:$D, MATCH($A173, 'UA-normalized'!$A:$A, 0))-INDEX('UA-normalized'!$E:$E, MATCH($A173, 'UA-normalized'!$A:$A, 0))), 0), 0))+(IFERROR(IF(25*INDEX('KZ-normalized'!$D:$D, MATCH($A173, 'KZ-normalized'!$A:$A, 0))-INDEX('KZ-normalized'!$E:$E, MATCH($A173, 'KZ-normalized'!$A:$A, 0))&gt;0, -(25*INDEX('KZ-normalized'!$D:$D, MATCH($A173, 'KZ-normalized'!$A:$A, 0))-INDEX('KZ-normalized'!$E:$E, MATCH($A173, 'KZ-normalized'!$A:$A, 0))), 0), 0))+(IFERROR(IF(25*INDEX('UZ-normalized'!$D:$D, MATCH($A173, 'UZ-normalized'!$A:$A, 0))-INDEX('UZ-normalized'!$E:$E, MATCH($A173, 'UZ-normalized'!$A:$A, 0))&gt;0, -(25*INDEX('UZ-normalized'!$D:$D, MATCH($A173, 'UZ-normalized'!$A:$A, 0))-INDEX('UZ-normalized'!$E:$E, MATCH($A173, 'UZ-normalized'!$A:$A, 0))), 0), 0)))</f>
        <v>-250</v>
      </c>
      <c r="AN173" s="6">
        <f>MIN(0, N173+(IFERROR(IF(26*INDEX('UA-normalized'!$D:$D, MATCH($A173, 'UA-normalized'!$A:$A, 0))-INDEX('UA-normalized'!$E:$E, MATCH($A173, 'UA-normalized'!$A:$A, 0))&gt;0, -(26*INDEX('UA-normalized'!$D:$D, MATCH($A173, 'UA-normalized'!$A:$A, 0))-INDEX('UA-normalized'!$E:$E, MATCH($A173, 'UA-normalized'!$A:$A, 0))), 0), 0))+(IFERROR(IF(26*INDEX('KZ-normalized'!$D:$D, MATCH($A173, 'KZ-normalized'!$A:$A, 0))-INDEX('KZ-normalized'!$E:$E, MATCH($A173, 'KZ-normalized'!$A:$A, 0))&gt;0, -(26*INDEX('KZ-normalized'!$D:$D, MATCH($A173, 'KZ-normalized'!$A:$A, 0))-INDEX('KZ-normalized'!$E:$E, MATCH($A173, 'KZ-normalized'!$A:$A, 0))), 0), 0))+(IFERROR(IF(26*INDEX('UZ-normalized'!$D:$D, MATCH($A173, 'UZ-normalized'!$A:$A, 0))-INDEX('UZ-normalized'!$E:$E, MATCH($A173, 'UZ-normalized'!$A:$A, 0))&gt;0, -(26*INDEX('UZ-normalized'!$D:$D, MATCH($A173, 'UZ-normalized'!$A:$A, 0))-INDEX('UZ-normalized'!$E:$E, MATCH($A173, 'UZ-normalized'!$A:$A, 0))), 0), 0)))</f>
        <v>-260.8</v>
      </c>
      <c r="AO173" s="6">
        <f>MIN(0, N173+(IFERROR(IF(27*INDEX('UA-normalized'!$D:$D, MATCH($A173, 'UA-normalized'!$A:$A, 0))-INDEX('UA-normalized'!$E:$E, MATCH($A173, 'UA-normalized'!$A:$A, 0))&gt;0, -(27*INDEX('UA-normalized'!$D:$D, MATCH($A173, 'UA-normalized'!$A:$A, 0))-INDEX('UA-normalized'!$E:$E, MATCH($A173, 'UA-normalized'!$A:$A, 0))), 0), 0))+(IFERROR(IF(27*INDEX('KZ-normalized'!$D:$D, MATCH($A173, 'KZ-normalized'!$A:$A, 0))-INDEX('KZ-normalized'!$E:$E, MATCH($A173, 'KZ-normalized'!$A:$A, 0))&gt;0, -(27*INDEX('KZ-normalized'!$D:$D, MATCH($A173, 'KZ-normalized'!$A:$A, 0))-INDEX('KZ-normalized'!$E:$E, MATCH($A173, 'KZ-normalized'!$A:$A, 0))), 0), 0))+(IFERROR(IF(27*INDEX('UZ-normalized'!$D:$D, MATCH($A173, 'UZ-normalized'!$A:$A, 0))-INDEX('UZ-normalized'!$E:$E, MATCH($A173, 'UZ-normalized'!$A:$A, 0))&gt;0, -(27*INDEX('UZ-normalized'!$D:$D, MATCH($A173, 'UZ-normalized'!$A:$A, 0))-INDEX('UZ-normalized'!$E:$E, MATCH($A173, 'UZ-normalized'!$A:$A, 0))), 0), 0)))</f>
        <v>-271.60000000000002</v>
      </c>
      <c r="AP173" s="6">
        <f>MIN(0, N173+(IFERROR(IF(28*INDEX('UA-normalized'!$D:$D, MATCH($A173, 'UA-normalized'!$A:$A, 0))-INDEX('UA-normalized'!$E:$E, MATCH($A173, 'UA-normalized'!$A:$A, 0))&gt;0, -(28*INDEX('UA-normalized'!$D:$D, MATCH($A173, 'UA-normalized'!$A:$A, 0))-INDEX('UA-normalized'!$E:$E, MATCH($A173, 'UA-normalized'!$A:$A, 0))), 0), 0))+(IFERROR(IF(28*INDEX('KZ-normalized'!$D:$D, MATCH($A173, 'KZ-normalized'!$A:$A, 0))-INDEX('KZ-normalized'!$E:$E, MATCH($A173, 'KZ-normalized'!$A:$A, 0))&gt;0, -(28*INDEX('KZ-normalized'!$D:$D, MATCH($A173, 'KZ-normalized'!$A:$A, 0))-INDEX('KZ-normalized'!$E:$E, MATCH($A173, 'KZ-normalized'!$A:$A, 0))), 0), 0))+(IFERROR(IF(28*INDEX('UZ-normalized'!$D:$D, MATCH($A173, 'UZ-normalized'!$A:$A, 0))-INDEX('UZ-normalized'!$E:$E, MATCH($A173, 'UZ-normalized'!$A:$A, 0))&gt;0, -(28*INDEX('UZ-normalized'!$D:$D, MATCH($A173, 'UZ-normalized'!$A:$A, 0))-INDEX('UZ-normalized'!$E:$E, MATCH($A173, 'UZ-normalized'!$A:$A, 0))), 0), 0)))</f>
        <v>-282.40000000000003</v>
      </c>
      <c r="AQ173" s="6">
        <f>MIN(0, N173+(IFERROR(IF(29*INDEX('UA-normalized'!$D:$D, MATCH($A173, 'UA-normalized'!$A:$A, 0))-INDEX('UA-normalized'!$E:$E, MATCH($A173, 'UA-normalized'!$A:$A, 0))&gt;0, -(29*INDEX('UA-normalized'!$D:$D, MATCH($A173, 'UA-normalized'!$A:$A, 0))-INDEX('UA-normalized'!$E:$E, MATCH($A173, 'UA-normalized'!$A:$A, 0))), 0), 0))+(IFERROR(IF(29*INDEX('KZ-normalized'!$D:$D, MATCH($A173, 'KZ-normalized'!$A:$A, 0))-INDEX('KZ-normalized'!$E:$E, MATCH($A173, 'KZ-normalized'!$A:$A, 0))&gt;0, -(29*INDEX('KZ-normalized'!$D:$D, MATCH($A173, 'KZ-normalized'!$A:$A, 0))-INDEX('KZ-normalized'!$E:$E, MATCH($A173, 'KZ-normalized'!$A:$A, 0))), 0), 0))+(IFERROR(IF(29*INDEX('UZ-normalized'!$D:$D, MATCH($A173, 'UZ-normalized'!$A:$A, 0))-INDEX('UZ-normalized'!$E:$E, MATCH($A173, 'UZ-normalized'!$A:$A, 0))&gt;0, -(29*INDEX('UZ-normalized'!$D:$D, MATCH($A173, 'UZ-normalized'!$A:$A, 0))-INDEX('UZ-normalized'!$E:$E, MATCH($A173, 'UZ-normalized'!$A:$A, 0))), 0), 0)))</f>
        <v>-293.20000000000005</v>
      </c>
      <c r="AR173" s="6">
        <f>MIN(0, N173+(IFERROR(IF(30*INDEX('UA-normalized'!$D:$D, MATCH($A173, 'UA-normalized'!$A:$A, 0))-INDEX('UA-normalized'!$E:$E, MATCH($A173, 'UA-normalized'!$A:$A, 0))&gt;0, -(30*INDEX('UA-normalized'!$D:$D, MATCH($A173, 'UA-normalized'!$A:$A, 0))-INDEX('UA-normalized'!$E:$E, MATCH($A173, 'UA-normalized'!$A:$A, 0))), 0), 0))+(IFERROR(IF(30*INDEX('KZ-normalized'!$D:$D, MATCH($A173, 'KZ-normalized'!$A:$A, 0))-INDEX('KZ-normalized'!$E:$E, MATCH($A173, 'KZ-normalized'!$A:$A, 0))&gt;0, -(30*INDEX('KZ-normalized'!$D:$D, MATCH($A173, 'KZ-normalized'!$A:$A, 0))-INDEX('KZ-normalized'!$E:$E, MATCH($A173, 'KZ-normalized'!$A:$A, 0))), 0), 0))+(IFERROR(IF(30*INDEX('UZ-normalized'!$D:$D, MATCH($A173, 'UZ-normalized'!$A:$A, 0))-INDEX('UZ-normalized'!$E:$E, MATCH($A173, 'UZ-normalized'!$A:$A, 0))&gt;0, -(30*INDEX('UZ-normalized'!$D:$D, MATCH($A173, 'UZ-normalized'!$A:$A, 0))-INDEX('UZ-normalized'!$E:$E, MATCH($A173, 'UZ-normalized'!$A:$A, 0))), 0), 0)))</f>
        <v>-304</v>
      </c>
    </row>
    <row r="174" spans="1:44" x14ac:dyDescent="0.25">
      <c r="A174" s="8" t="s">
        <v>415</v>
      </c>
      <c r="B174" s="8" t="s">
        <v>393</v>
      </c>
      <c r="C174" s="8" t="s">
        <v>407</v>
      </c>
      <c r="D174" s="8" t="s">
        <v>416</v>
      </c>
      <c r="N174">
        <f t="shared" si="2"/>
        <v>0</v>
      </c>
      <c r="O174" s="6">
        <f>MIN(0, N174+(IFERROR(IF(1*INDEX('UA-normalized'!$D:$D, MATCH($A174, 'UA-normalized'!$A:$A, 0))-INDEX('UA-normalized'!$E:$E, MATCH($A174, 'UA-normalized'!$A:$A, 0))&gt;0, -(1*INDEX('UA-normalized'!$D:$D, MATCH($A174, 'UA-normalized'!$A:$A, 0))-INDEX('UA-normalized'!$E:$E, MATCH($A174, 'UA-normalized'!$A:$A, 0))), 0), 0))+(IFERROR(IF(1*INDEX('KZ-normalized'!$D:$D, MATCH($A174, 'KZ-normalized'!$A:$A, 0))-INDEX('KZ-normalized'!$E:$E, MATCH($A174, 'KZ-normalized'!$A:$A, 0))&gt;0, -(1*INDEX('KZ-normalized'!$D:$D, MATCH($A174, 'KZ-normalized'!$A:$A, 0))-INDEX('KZ-normalized'!$E:$E, MATCH($A174, 'KZ-normalized'!$A:$A, 0))), 0), 0))+(IFERROR(IF(1*INDEX('UZ-normalized'!$D:$D, MATCH($A174, 'UZ-normalized'!$A:$A, 0))-INDEX('UZ-normalized'!$E:$E, MATCH($A174, 'UZ-normalized'!$A:$A, 0))&gt;0, -(1*INDEX('UZ-normalized'!$D:$D, MATCH($A174, 'UZ-normalized'!$A:$A, 0))-INDEX('UZ-normalized'!$E:$E, MATCH($A174, 'UZ-normalized'!$A:$A, 0))), 0), 0)))</f>
        <v>0</v>
      </c>
      <c r="P174" s="6">
        <f>MIN(0, N174+(IFERROR(IF(2*INDEX('UA-normalized'!$D:$D, MATCH($A174, 'UA-normalized'!$A:$A, 0))-INDEX('UA-normalized'!$E:$E, MATCH($A174, 'UA-normalized'!$A:$A, 0))&gt;0, -(2*INDEX('UA-normalized'!$D:$D, MATCH($A174, 'UA-normalized'!$A:$A, 0))-INDEX('UA-normalized'!$E:$E, MATCH($A174, 'UA-normalized'!$A:$A, 0))), 0), 0))+(IFERROR(IF(2*INDEX('KZ-normalized'!$D:$D, MATCH($A174, 'KZ-normalized'!$A:$A, 0))-INDEX('KZ-normalized'!$E:$E, MATCH($A174, 'KZ-normalized'!$A:$A, 0))&gt;0, -(2*INDEX('KZ-normalized'!$D:$D, MATCH($A174, 'KZ-normalized'!$A:$A, 0))-INDEX('KZ-normalized'!$E:$E, MATCH($A174, 'KZ-normalized'!$A:$A, 0))), 0), 0))+(IFERROR(IF(2*INDEX('UZ-normalized'!$D:$D, MATCH($A174, 'UZ-normalized'!$A:$A, 0))-INDEX('UZ-normalized'!$E:$E, MATCH($A174, 'UZ-normalized'!$A:$A, 0))&gt;0, -(2*INDEX('UZ-normalized'!$D:$D, MATCH($A174, 'UZ-normalized'!$A:$A, 0))-INDEX('UZ-normalized'!$E:$E, MATCH($A174, 'UZ-normalized'!$A:$A, 0))), 0), 0)))</f>
        <v>0</v>
      </c>
      <c r="Q174" s="6">
        <f>MIN(0, N174+(IFERROR(IF(3*INDEX('UA-normalized'!$D:$D, MATCH($A174, 'UA-normalized'!$A:$A, 0))-INDEX('UA-normalized'!$E:$E, MATCH($A174, 'UA-normalized'!$A:$A, 0))&gt;0, -(3*INDEX('UA-normalized'!$D:$D, MATCH($A174, 'UA-normalized'!$A:$A, 0))-INDEX('UA-normalized'!$E:$E, MATCH($A174, 'UA-normalized'!$A:$A, 0))), 0), 0))+(IFERROR(IF(3*INDEX('KZ-normalized'!$D:$D, MATCH($A174, 'KZ-normalized'!$A:$A, 0))-INDEX('KZ-normalized'!$E:$E, MATCH($A174, 'KZ-normalized'!$A:$A, 0))&gt;0, -(3*INDEX('KZ-normalized'!$D:$D, MATCH($A174, 'KZ-normalized'!$A:$A, 0))-INDEX('KZ-normalized'!$E:$E, MATCH($A174, 'KZ-normalized'!$A:$A, 0))), 0), 0))+(IFERROR(IF(3*INDEX('UZ-normalized'!$D:$D, MATCH($A174, 'UZ-normalized'!$A:$A, 0))-INDEX('UZ-normalized'!$E:$E, MATCH($A174, 'UZ-normalized'!$A:$A, 0))&gt;0, -(3*INDEX('UZ-normalized'!$D:$D, MATCH($A174, 'UZ-normalized'!$A:$A, 0))-INDEX('UZ-normalized'!$E:$E, MATCH($A174, 'UZ-normalized'!$A:$A, 0))), 0), 0)))</f>
        <v>0</v>
      </c>
      <c r="R174" s="6">
        <f>MIN(0, N174+(IFERROR(IF(4*INDEX('UA-normalized'!$D:$D, MATCH($A174, 'UA-normalized'!$A:$A, 0))-INDEX('UA-normalized'!$E:$E, MATCH($A174, 'UA-normalized'!$A:$A, 0))&gt;0, -(4*INDEX('UA-normalized'!$D:$D, MATCH($A174, 'UA-normalized'!$A:$A, 0))-INDEX('UA-normalized'!$E:$E, MATCH($A174, 'UA-normalized'!$A:$A, 0))), 0), 0))+(IFERROR(IF(4*INDEX('KZ-normalized'!$D:$D, MATCH($A174, 'KZ-normalized'!$A:$A, 0))-INDEX('KZ-normalized'!$E:$E, MATCH($A174, 'KZ-normalized'!$A:$A, 0))&gt;0, -(4*INDEX('KZ-normalized'!$D:$D, MATCH($A174, 'KZ-normalized'!$A:$A, 0))-INDEX('KZ-normalized'!$E:$E, MATCH($A174, 'KZ-normalized'!$A:$A, 0))), 0), 0))+(IFERROR(IF(4*INDEX('UZ-normalized'!$D:$D, MATCH($A174, 'UZ-normalized'!$A:$A, 0))-INDEX('UZ-normalized'!$E:$E, MATCH($A174, 'UZ-normalized'!$A:$A, 0))&gt;0, -(4*INDEX('UZ-normalized'!$D:$D, MATCH($A174, 'UZ-normalized'!$A:$A, 0))-INDEX('UZ-normalized'!$E:$E, MATCH($A174, 'UZ-normalized'!$A:$A, 0))), 0), 0)))</f>
        <v>0</v>
      </c>
      <c r="S174" s="6">
        <f>MIN(0, N174+(IFERROR(IF(5*INDEX('UA-normalized'!$D:$D, MATCH($A174, 'UA-normalized'!$A:$A, 0))-INDEX('UA-normalized'!$E:$E, MATCH($A174, 'UA-normalized'!$A:$A, 0))&gt;0, -(5*INDEX('UA-normalized'!$D:$D, MATCH($A174, 'UA-normalized'!$A:$A, 0))-INDEX('UA-normalized'!$E:$E, MATCH($A174, 'UA-normalized'!$A:$A, 0))), 0), 0))+(IFERROR(IF(5*INDEX('KZ-normalized'!$D:$D, MATCH($A174, 'KZ-normalized'!$A:$A, 0))-INDEX('KZ-normalized'!$E:$E, MATCH($A174, 'KZ-normalized'!$A:$A, 0))&gt;0, -(5*INDEX('KZ-normalized'!$D:$D, MATCH($A174, 'KZ-normalized'!$A:$A, 0))-INDEX('KZ-normalized'!$E:$E, MATCH($A174, 'KZ-normalized'!$A:$A, 0))), 0), 0))+(IFERROR(IF(5*INDEX('UZ-normalized'!$D:$D, MATCH($A174, 'UZ-normalized'!$A:$A, 0))-INDEX('UZ-normalized'!$E:$E, MATCH($A174, 'UZ-normalized'!$A:$A, 0))&gt;0, -(5*INDEX('UZ-normalized'!$D:$D, MATCH($A174, 'UZ-normalized'!$A:$A, 0))-INDEX('UZ-normalized'!$E:$E, MATCH($A174, 'UZ-normalized'!$A:$A, 0))), 0), 0)))</f>
        <v>0</v>
      </c>
      <c r="T174" s="6">
        <f>MIN(0, N174+(IFERROR(IF(6*INDEX('UA-normalized'!$D:$D, MATCH($A174, 'UA-normalized'!$A:$A, 0))-INDEX('UA-normalized'!$E:$E, MATCH($A174, 'UA-normalized'!$A:$A, 0))&gt;0, -(6*INDEX('UA-normalized'!$D:$D, MATCH($A174, 'UA-normalized'!$A:$A, 0))-INDEX('UA-normalized'!$E:$E, MATCH($A174, 'UA-normalized'!$A:$A, 0))), 0), 0))+(IFERROR(IF(6*INDEX('KZ-normalized'!$D:$D, MATCH($A174, 'KZ-normalized'!$A:$A, 0))-INDEX('KZ-normalized'!$E:$E, MATCH($A174, 'KZ-normalized'!$A:$A, 0))&gt;0, -(6*INDEX('KZ-normalized'!$D:$D, MATCH($A174, 'KZ-normalized'!$A:$A, 0))-INDEX('KZ-normalized'!$E:$E, MATCH($A174, 'KZ-normalized'!$A:$A, 0))), 0), 0))+(IFERROR(IF(6*INDEX('UZ-normalized'!$D:$D, MATCH($A174, 'UZ-normalized'!$A:$A, 0))-INDEX('UZ-normalized'!$E:$E, MATCH($A174, 'UZ-normalized'!$A:$A, 0))&gt;0, -(6*INDEX('UZ-normalized'!$D:$D, MATCH($A174, 'UZ-normalized'!$A:$A, 0))-INDEX('UZ-normalized'!$E:$E, MATCH($A174, 'UZ-normalized'!$A:$A, 0))), 0), 0)))</f>
        <v>0</v>
      </c>
      <c r="U174" s="6">
        <f>MIN(0, N174+(IFERROR(IF(7*INDEX('UA-normalized'!$D:$D, MATCH($A174, 'UA-normalized'!$A:$A, 0))-INDEX('UA-normalized'!$E:$E, MATCH($A174, 'UA-normalized'!$A:$A, 0))&gt;0, -(7*INDEX('UA-normalized'!$D:$D, MATCH($A174, 'UA-normalized'!$A:$A, 0))-INDEX('UA-normalized'!$E:$E, MATCH($A174, 'UA-normalized'!$A:$A, 0))), 0), 0))+(IFERROR(IF(7*INDEX('KZ-normalized'!$D:$D, MATCH($A174, 'KZ-normalized'!$A:$A, 0))-INDEX('KZ-normalized'!$E:$E, MATCH($A174, 'KZ-normalized'!$A:$A, 0))&gt;0, -(7*INDEX('KZ-normalized'!$D:$D, MATCH($A174, 'KZ-normalized'!$A:$A, 0))-INDEX('KZ-normalized'!$E:$E, MATCH($A174, 'KZ-normalized'!$A:$A, 0))), 0), 0))+(IFERROR(IF(7*INDEX('UZ-normalized'!$D:$D, MATCH($A174, 'UZ-normalized'!$A:$A, 0))-INDEX('UZ-normalized'!$E:$E, MATCH($A174, 'UZ-normalized'!$A:$A, 0))&gt;0, -(7*INDEX('UZ-normalized'!$D:$D, MATCH($A174, 'UZ-normalized'!$A:$A, 0))-INDEX('UZ-normalized'!$E:$E, MATCH($A174, 'UZ-normalized'!$A:$A, 0))), 0), 0)))</f>
        <v>0</v>
      </c>
      <c r="V174" s="6">
        <f>MIN(0, N174+(IFERROR(IF(8*INDEX('UA-normalized'!$D:$D, MATCH($A174, 'UA-normalized'!$A:$A, 0))-INDEX('UA-normalized'!$E:$E, MATCH($A174, 'UA-normalized'!$A:$A, 0))&gt;0, -(8*INDEX('UA-normalized'!$D:$D, MATCH($A174, 'UA-normalized'!$A:$A, 0))-INDEX('UA-normalized'!$E:$E, MATCH($A174, 'UA-normalized'!$A:$A, 0))), 0), 0))+(IFERROR(IF(8*INDEX('KZ-normalized'!$D:$D, MATCH($A174, 'KZ-normalized'!$A:$A, 0))-INDEX('KZ-normalized'!$E:$E, MATCH($A174, 'KZ-normalized'!$A:$A, 0))&gt;0, -(8*INDEX('KZ-normalized'!$D:$D, MATCH($A174, 'KZ-normalized'!$A:$A, 0))-INDEX('KZ-normalized'!$E:$E, MATCH($A174, 'KZ-normalized'!$A:$A, 0))), 0), 0))+(IFERROR(IF(8*INDEX('UZ-normalized'!$D:$D, MATCH($A174, 'UZ-normalized'!$A:$A, 0))-INDEX('UZ-normalized'!$E:$E, MATCH($A174, 'UZ-normalized'!$A:$A, 0))&gt;0, -(8*INDEX('UZ-normalized'!$D:$D, MATCH($A174, 'UZ-normalized'!$A:$A, 0))-INDEX('UZ-normalized'!$E:$E, MATCH($A174, 'UZ-normalized'!$A:$A, 0))), 0), 0)))</f>
        <v>0</v>
      </c>
      <c r="W174" s="6">
        <f>MIN(0, N174+(IFERROR(IF(9*INDEX('UA-normalized'!$D:$D, MATCH($A174, 'UA-normalized'!$A:$A, 0))-INDEX('UA-normalized'!$E:$E, MATCH($A174, 'UA-normalized'!$A:$A, 0))&gt;0, -(9*INDEX('UA-normalized'!$D:$D, MATCH($A174, 'UA-normalized'!$A:$A, 0))-INDEX('UA-normalized'!$E:$E, MATCH($A174, 'UA-normalized'!$A:$A, 0))), 0), 0))+(IFERROR(IF(9*INDEX('KZ-normalized'!$D:$D, MATCH($A174, 'KZ-normalized'!$A:$A, 0))-INDEX('KZ-normalized'!$E:$E, MATCH($A174, 'KZ-normalized'!$A:$A, 0))&gt;0, -(9*INDEX('KZ-normalized'!$D:$D, MATCH($A174, 'KZ-normalized'!$A:$A, 0))-INDEX('KZ-normalized'!$E:$E, MATCH($A174, 'KZ-normalized'!$A:$A, 0))), 0), 0))+(IFERROR(IF(9*INDEX('UZ-normalized'!$D:$D, MATCH($A174, 'UZ-normalized'!$A:$A, 0))-INDEX('UZ-normalized'!$E:$E, MATCH($A174, 'UZ-normalized'!$A:$A, 0))&gt;0, -(9*INDEX('UZ-normalized'!$D:$D, MATCH($A174, 'UZ-normalized'!$A:$A, 0))-INDEX('UZ-normalized'!$E:$E, MATCH($A174, 'UZ-normalized'!$A:$A, 0))), 0), 0)))</f>
        <v>-1.5</v>
      </c>
      <c r="X174" s="6">
        <f>MIN(0, N174+(IFERROR(IF(10*INDEX('UA-normalized'!$D:$D, MATCH($A174, 'UA-normalized'!$A:$A, 0))-INDEX('UA-normalized'!$E:$E, MATCH($A174, 'UA-normalized'!$A:$A, 0))&gt;0, -(10*INDEX('UA-normalized'!$D:$D, MATCH($A174, 'UA-normalized'!$A:$A, 0))-INDEX('UA-normalized'!$E:$E, MATCH($A174, 'UA-normalized'!$A:$A, 0))), 0), 0))+(IFERROR(IF(10*INDEX('KZ-normalized'!$D:$D, MATCH($A174, 'KZ-normalized'!$A:$A, 0))-INDEX('KZ-normalized'!$E:$E, MATCH($A174, 'KZ-normalized'!$A:$A, 0))&gt;0, -(10*INDEX('KZ-normalized'!$D:$D, MATCH($A174, 'KZ-normalized'!$A:$A, 0))-INDEX('KZ-normalized'!$E:$E, MATCH($A174, 'KZ-normalized'!$A:$A, 0))), 0), 0))+(IFERROR(IF(10*INDEX('UZ-normalized'!$D:$D, MATCH($A174, 'UZ-normalized'!$A:$A, 0))-INDEX('UZ-normalized'!$E:$E, MATCH($A174, 'UZ-normalized'!$A:$A, 0))&gt;0, -(10*INDEX('UZ-normalized'!$D:$D, MATCH($A174, 'UZ-normalized'!$A:$A, 0))-INDEX('UZ-normalized'!$E:$E, MATCH($A174, 'UZ-normalized'!$A:$A, 0))), 0), 0)))</f>
        <v>-4</v>
      </c>
      <c r="Y174" s="6">
        <f>MIN(0, N174+(IFERROR(IF(11*INDEX('UA-normalized'!$D:$D, MATCH($A174, 'UA-normalized'!$A:$A, 0))-INDEX('UA-normalized'!$E:$E, MATCH($A174, 'UA-normalized'!$A:$A, 0))&gt;0, -(11*INDEX('UA-normalized'!$D:$D, MATCH($A174, 'UA-normalized'!$A:$A, 0))-INDEX('UA-normalized'!$E:$E, MATCH($A174, 'UA-normalized'!$A:$A, 0))), 0), 0))+(IFERROR(IF(11*INDEX('KZ-normalized'!$D:$D, MATCH($A174, 'KZ-normalized'!$A:$A, 0))-INDEX('KZ-normalized'!$E:$E, MATCH($A174, 'KZ-normalized'!$A:$A, 0))&gt;0, -(11*INDEX('KZ-normalized'!$D:$D, MATCH($A174, 'KZ-normalized'!$A:$A, 0))-INDEX('KZ-normalized'!$E:$E, MATCH($A174, 'KZ-normalized'!$A:$A, 0))), 0), 0))+(IFERROR(IF(11*INDEX('UZ-normalized'!$D:$D, MATCH($A174, 'UZ-normalized'!$A:$A, 0))-INDEX('UZ-normalized'!$E:$E, MATCH($A174, 'UZ-normalized'!$A:$A, 0))&gt;0, -(11*INDEX('UZ-normalized'!$D:$D, MATCH($A174, 'UZ-normalized'!$A:$A, 0))-INDEX('UZ-normalized'!$E:$E, MATCH($A174, 'UZ-normalized'!$A:$A, 0))), 0), 0)))</f>
        <v>-6.5</v>
      </c>
      <c r="Z174" s="6">
        <f>MIN(0, N174+(IFERROR(IF(12*INDEX('UA-normalized'!$D:$D, MATCH($A174, 'UA-normalized'!$A:$A, 0))-INDEX('UA-normalized'!$E:$E, MATCH($A174, 'UA-normalized'!$A:$A, 0))&gt;0, -(12*INDEX('UA-normalized'!$D:$D, MATCH($A174, 'UA-normalized'!$A:$A, 0))-INDEX('UA-normalized'!$E:$E, MATCH($A174, 'UA-normalized'!$A:$A, 0))), 0), 0))+(IFERROR(IF(12*INDEX('KZ-normalized'!$D:$D, MATCH($A174, 'KZ-normalized'!$A:$A, 0))-INDEX('KZ-normalized'!$E:$E, MATCH($A174, 'KZ-normalized'!$A:$A, 0))&gt;0, -(12*INDEX('KZ-normalized'!$D:$D, MATCH($A174, 'KZ-normalized'!$A:$A, 0))-INDEX('KZ-normalized'!$E:$E, MATCH($A174, 'KZ-normalized'!$A:$A, 0))), 0), 0))+(IFERROR(IF(12*INDEX('UZ-normalized'!$D:$D, MATCH($A174, 'UZ-normalized'!$A:$A, 0))-INDEX('UZ-normalized'!$E:$E, MATCH($A174, 'UZ-normalized'!$A:$A, 0))&gt;0, -(12*INDEX('UZ-normalized'!$D:$D, MATCH($A174, 'UZ-normalized'!$A:$A, 0))-INDEX('UZ-normalized'!$E:$E, MATCH($A174, 'UZ-normalized'!$A:$A, 0))), 0), 0)))</f>
        <v>-9</v>
      </c>
      <c r="AA174" s="6">
        <f>MIN(0, N174+(IFERROR(IF(13*INDEX('UA-normalized'!$D:$D, MATCH($A174, 'UA-normalized'!$A:$A, 0))-INDEX('UA-normalized'!$E:$E, MATCH($A174, 'UA-normalized'!$A:$A, 0))&gt;0, -(13*INDEX('UA-normalized'!$D:$D, MATCH($A174, 'UA-normalized'!$A:$A, 0))-INDEX('UA-normalized'!$E:$E, MATCH($A174, 'UA-normalized'!$A:$A, 0))), 0), 0))+(IFERROR(IF(13*INDEX('KZ-normalized'!$D:$D, MATCH($A174, 'KZ-normalized'!$A:$A, 0))-INDEX('KZ-normalized'!$E:$E, MATCH($A174, 'KZ-normalized'!$A:$A, 0))&gt;0, -(13*INDEX('KZ-normalized'!$D:$D, MATCH($A174, 'KZ-normalized'!$A:$A, 0))-INDEX('KZ-normalized'!$E:$E, MATCH($A174, 'KZ-normalized'!$A:$A, 0))), 0), 0))+(IFERROR(IF(13*INDEX('UZ-normalized'!$D:$D, MATCH($A174, 'UZ-normalized'!$A:$A, 0))-INDEX('UZ-normalized'!$E:$E, MATCH($A174, 'UZ-normalized'!$A:$A, 0))&gt;0, -(13*INDEX('UZ-normalized'!$D:$D, MATCH($A174, 'UZ-normalized'!$A:$A, 0))-INDEX('UZ-normalized'!$E:$E, MATCH($A174, 'UZ-normalized'!$A:$A, 0))), 0), 0)))</f>
        <v>-11.5</v>
      </c>
      <c r="AB174" s="6">
        <f>MIN(0, N174+(IFERROR(IF(14*INDEX('UA-normalized'!$D:$D, MATCH($A174, 'UA-normalized'!$A:$A, 0))-INDEX('UA-normalized'!$E:$E, MATCH($A174, 'UA-normalized'!$A:$A, 0))&gt;0, -(14*INDEX('UA-normalized'!$D:$D, MATCH($A174, 'UA-normalized'!$A:$A, 0))-INDEX('UA-normalized'!$E:$E, MATCH($A174, 'UA-normalized'!$A:$A, 0))), 0), 0))+(IFERROR(IF(14*INDEX('KZ-normalized'!$D:$D, MATCH($A174, 'KZ-normalized'!$A:$A, 0))-INDEX('KZ-normalized'!$E:$E, MATCH($A174, 'KZ-normalized'!$A:$A, 0))&gt;0, -(14*INDEX('KZ-normalized'!$D:$D, MATCH($A174, 'KZ-normalized'!$A:$A, 0))-INDEX('KZ-normalized'!$E:$E, MATCH($A174, 'KZ-normalized'!$A:$A, 0))), 0), 0))+(IFERROR(IF(14*INDEX('UZ-normalized'!$D:$D, MATCH($A174, 'UZ-normalized'!$A:$A, 0))-INDEX('UZ-normalized'!$E:$E, MATCH($A174, 'UZ-normalized'!$A:$A, 0))&gt;0, -(14*INDEX('UZ-normalized'!$D:$D, MATCH($A174, 'UZ-normalized'!$A:$A, 0))-INDEX('UZ-normalized'!$E:$E, MATCH($A174, 'UZ-normalized'!$A:$A, 0))), 0), 0)))</f>
        <v>-14</v>
      </c>
      <c r="AC174" s="6">
        <f>MIN(0, N174+(IFERROR(IF(15*INDEX('UA-normalized'!$D:$D, MATCH($A174, 'UA-normalized'!$A:$A, 0))-INDEX('UA-normalized'!$E:$E, MATCH($A174, 'UA-normalized'!$A:$A, 0))&gt;0, -(15*INDEX('UA-normalized'!$D:$D, MATCH($A174, 'UA-normalized'!$A:$A, 0))-INDEX('UA-normalized'!$E:$E, MATCH($A174, 'UA-normalized'!$A:$A, 0))), 0), 0))+(IFERROR(IF(15*INDEX('KZ-normalized'!$D:$D, MATCH($A174, 'KZ-normalized'!$A:$A, 0))-INDEX('KZ-normalized'!$E:$E, MATCH($A174, 'KZ-normalized'!$A:$A, 0))&gt;0, -(15*INDEX('KZ-normalized'!$D:$D, MATCH($A174, 'KZ-normalized'!$A:$A, 0))-INDEX('KZ-normalized'!$E:$E, MATCH($A174, 'KZ-normalized'!$A:$A, 0))), 0), 0))+(IFERROR(IF(15*INDEX('UZ-normalized'!$D:$D, MATCH($A174, 'UZ-normalized'!$A:$A, 0))-INDEX('UZ-normalized'!$E:$E, MATCH($A174, 'UZ-normalized'!$A:$A, 0))&gt;0, -(15*INDEX('UZ-normalized'!$D:$D, MATCH($A174, 'UZ-normalized'!$A:$A, 0))-INDEX('UZ-normalized'!$E:$E, MATCH($A174, 'UZ-normalized'!$A:$A, 0))), 0), 0)))</f>
        <v>-16.5</v>
      </c>
      <c r="AD174" s="6">
        <f>MIN(0, N174+(IFERROR(IF(16*INDEX('UA-normalized'!$D:$D, MATCH($A174, 'UA-normalized'!$A:$A, 0))-INDEX('UA-normalized'!$E:$E, MATCH($A174, 'UA-normalized'!$A:$A, 0))&gt;0, -(16*INDEX('UA-normalized'!$D:$D, MATCH($A174, 'UA-normalized'!$A:$A, 0))-INDEX('UA-normalized'!$E:$E, MATCH($A174, 'UA-normalized'!$A:$A, 0))), 0), 0))+(IFERROR(IF(16*INDEX('KZ-normalized'!$D:$D, MATCH($A174, 'KZ-normalized'!$A:$A, 0))-INDEX('KZ-normalized'!$E:$E, MATCH($A174, 'KZ-normalized'!$A:$A, 0))&gt;0, -(16*INDEX('KZ-normalized'!$D:$D, MATCH($A174, 'KZ-normalized'!$A:$A, 0))-INDEX('KZ-normalized'!$E:$E, MATCH($A174, 'KZ-normalized'!$A:$A, 0))), 0), 0))+(IFERROR(IF(16*INDEX('UZ-normalized'!$D:$D, MATCH($A174, 'UZ-normalized'!$A:$A, 0))-INDEX('UZ-normalized'!$E:$E, MATCH($A174, 'UZ-normalized'!$A:$A, 0))&gt;0, -(16*INDEX('UZ-normalized'!$D:$D, MATCH($A174, 'UZ-normalized'!$A:$A, 0))-INDEX('UZ-normalized'!$E:$E, MATCH($A174, 'UZ-normalized'!$A:$A, 0))), 0), 0)))</f>
        <v>-19</v>
      </c>
      <c r="AE174" s="6">
        <f>MIN(0, N174+(IFERROR(IF(17*INDEX('UA-normalized'!$D:$D, MATCH($A174, 'UA-normalized'!$A:$A, 0))-INDEX('UA-normalized'!$E:$E, MATCH($A174, 'UA-normalized'!$A:$A, 0))&gt;0, -(17*INDEX('UA-normalized'!$D:$D, MATCH($A174, 'UA-normalized'!$A:$A, 0))-INDEX('UA-normalized'!$E:$E, MATCH($A174, 'UA-normalized'!$A:$A, 0))), 0), 0))+(IFERROR(IF(17*INDEX('KZ-normalized'!$D:$D, MATCH($A174, 'KZ-normalized'!$A:$A, 0))-INDEX('KZ-normalized'!$E:$E, MATCH($A174, 'KZ-normalized'!$A:$A, 0))&gt;0, -(17*INDEX('KZ-normalized'!$D:$D, MATCH($A174, 'KZ-normalized'!$A:$A, 0))-INDEX('KZ-normalized'!$E:$E, MATCH($A174, 'KZ-normalized'!$A:$A, 0))), 0), 0))+(IFERROR(IF(17*INDEX('UZ-normalized'!$D:$D, MATCH($A174, 'UZ-normalized'!$A:$A, 0))-INDEX('UZ-normalized'!$E:$E, MATCH($A174, 'UZ-normalized'!$A:$A, 0))&gt;0, -(17*INDEX('UZ-normalized'!$D:$D, MATCH($A174, 'UZ-normalized'!$A:$A, 0))-INDEX('UZ-normalized'!$E:$E, MATCH($A174, 'UZ-normalized'!$A:$A, 0))), 0), 0)))</f>
        <v>-21.5</v>
      </c>
      <c r="AF174" s="6">
        <f>MIN(0, N174+(IFERROR(IF(18*INDEX('UA-normalized'!$D:$D, MATCH($A174, 'UA-normalized'!$A:$A, 0))-INDEX('UA-normalized'!$E:$E, MATCH($A174, 'UA-normalized'!$A:$A, 0))&gt;0, -(18*INDEX('UA-normalized'!$D:$D, MATCH($A174, 'UA-normalized'!$A:$A, 0))-INDEX('UA-normalized'!$E:$E, MATCH($A174, 'UA-normalized'!$A:$A, 0))), 0), 0))+(IFERROR(IF(18*INDEX('KZ-normalized'!$D:$D, MATCH($A174, 'KZ-normalized'!$A:$A, 0))-INDEX('KZ-normalized'!$E:$E, MATCH($A174, 'KZ-normalized'!$A:$A, 0))&gt;0, -(18*INDEX('KZ-normalized'!$D:$D, MATCH($A174, 'KZ-normalized'!$A:$A, 0))-INDEX('KZ-normalized'!$E:$E, MATCH($A174, 'KZ-normalized'!$A:$A, 0))), 0), 0))+(IFERROR(IF(18*INDEX('UZ-normalized'!$D:$D, MATCH($A174, 'UZ-normalized'!$A:$A, 0))-INDEX('UZ-normalized'!$E:$E, MATCH($A174, 'UZ-normalized'!$A:$A, 0))&gt;0, -(18*INDEX('UZ-normalized'!$D:$D, MATCH($A174, 'UZ-normalized'!$A:$A, 0))-INDEX('UZ-normalized'!$E:$E, MATCH($A174, 'UZ-normalized'!$A:$A, 0))), 0), 0)))</f>
        <v>-24</v>
      </c>
      <c r="AG174" s="6">
        <f>MIN(0, N174+(IFERROR(IF(19*INDEX('UA-normalized'!$D:$D, MATCH($A174, 'UA-normalized'!$A:$A, 0))-INDEX('UA-normalized'!$E:$E, MATCH($A174, 'UA-normalized'!$A:$A, 0))&gt;0, -(19*INDEX('UA-normalized'!$D:$D, MATCH($A174, 'UA-normalized'!$A:$A, 0))-INDEX('UA-normalized'!$E:$E, MATCH($A174, 'UA-normalized'!$A:$A, 0))), 0), 0))+(IFERROR(IF(19*INDEX('KZ-normalized'!$D:$D, MATCH($A174, 'KZ-normalized'!$A:$A, 0))-INDEX('KZ-normalized'!$E:$E, MATCH($A174, 'KZ-normalized'!$A:$A, 0))&gt;0, -(19*INDEX('KZ-normalized'!$D:$D, MATCH($A174, 'KZ-normalized'!$A:$A, 0))-INDEX('KZ-normalized'!$E:$E, MATCH($A174, 'KZ-normalized'!$A:$A, 0))), 0), 0))+(IFERROR(IF(19*INDEX('UZ-normalized'!$D:$D, MATCH($A174, 'UZ-normalized'!$A:$A, 0))-INDEX('UZ-normalized'!$E:$E, MATCH($A174, 'UZ-normalized'!$A:$A, 0))&gt;0, -(19*INDEX('UZ-normalized'!$D:$D, MATCH($A174, 'UZ-normalized'!$A:$A, 0))-INDEX('UZ-normalized'!$E:$E, MATCH($A174, 'UZ-normalized'!$A:$A, 0))), 0), 0)))</f>
        <v>-26.5</v>
      </c>
      <c r="AH174" s="6">
        <f>MIN(0, N174+(IFERROR(IF(20*INDEX('UA-normalized'!$D:$D, MATCH($A174, 'UA-normalized'!$A:$A, 0))-INDEX('UA-normalized'!$E:$E, MATCH($A174, 'UA-normalized'!$A:$A, 0))&gt;0, -(20*INDEX('UA-normalized'!$D:$D, MATCH($A174, 'UA-normalized'!$A:$A, 0))-INDEX('UA-normalized'!$E:$E, MATCH($A174, 'UA-normalized'!$A:$A, 0))), 0), 0))+(IFERROR(IF(20*INDEX('KZ-normalized'!$D:$D, MATCH($A174, 'KZ-normalized'!$A:$A, 0))-INDEX('KZ-normalized'!$E:$E, MATCH($A174, 'KZ-normalized'!$A:$A, 0))&gt;0, -(20*INDEX('KZ-normalized'!$D:$D, MATCH($A174, 'KZ-normalized'!$A:$A, 0))-INDEX('KZ-normalized'!$E:$E, MATCH($A174, 'KZ-normalized'!$A:$A, 0))), 0), 0))+(IFERROR(IF(20*INDEX('UZ-normalized'!$D:$D, MATCH($A174, 'UZ-normalized'!$A:$A, 0))-INDEX('UZ-normalized'!$E:$E, MATCH($A174, 'UZ-normalized'!$A:$A, 0))&gt;0, -(20*INDEX('UZ-normalized'!$D:$D, MATCH($A174, 'UZ-normalized'!$A:$A, 0))-INDEX('UZ-normalized'!$E:$E, MATCH($A174, 'UZ-normalized'!$A:$A, 0))), 0), 0)))</f>
        <v>-29</v>
      </c>
      <c r="AI174" s="6">
        <f>MIN(0, N174+(IFERROR(IF(21*INDEX('UA-normalized'!$D:$D, MATCH($A174, 'UA-normalized'!$A:$A, 0))-INDEX('UA-normalized'!$E:$E, MATCH($A174, 'UA-normalized'!$A:$A, 0))&gt;0, -(21*INDEX('UA-normalized'!$D:$D, MATCH($A174, 'UA-normalized'!$A:$A, 0))-INDEX('UA-normalized'!$E:$E, MATCH($A174, 'UA-normalized'!$A:$A, 0))), 0), 0))+(IFERROR(IF(21*INDEX('KZ-normalized'!$D:$D, MATCH($A174, 'KZ-normalized'!$A:$A, 0))-INDEX('KZ-normalized'!$E:$E, MATCH($A174, 'KZ-normalized'!$A:$A, 0))&gt;0, -(21*INDEX('KZ-normalized'!$D:$D, MATCH($A174, 'KZ-normalized'!$A:$A, 0))-INDEX('KZ-normalized'!$E:$E, MATCH($A174, 'KZ-normalized'!$A:$A, 0))), 0), 0))+(IFERROR(IF(21*INDEX('UZ-normalized'!$D:$D, MATCH($A174, 'UZ-normalized'!$A:$A, 0))-INDEX('UZ-normalized'!$E:$E, MATCH($A174, 'UZ-normalized'!$A:$A, 0))&gt;0, -(21*INDEX('UZ-normalized'!$D:$D, MATCH($A174, 'UZ-normalized'!$A:$A, 0))-INDEX('UZ-normalized'!$E:$E, MATCH($A174, 'UZ-normalized'!$A:$A, 0))), 0), 0)))</f>
        <v>-31.5</v>
      </c>
      <c r="AJ174" s="6">
        <f>MIN(0, N174+(IFERROR(IF(22*INDEX('UA-normalized'!$D:$D, MATCH($A174, 'UA-normalized'!$A:$A, 0))-INDEX('UA-normalized'!$E:$E, MATCH($A174, 'UA-normalized'!$A:$A, 0))&gt;0, -(22*INDEX('UA-normalized'!$D:$D, MATCH($A174, 'UA-normalized'!$A:$A, 0))-INDEX('UA-normalized'!$E:$E, MATCH($A174, 'UA-normalized'!$A:$A, 0))), 0), 0))+(IFERROR(IF(22*INDEX('KZ-normalized'!$D:$D, MATCH($A174, 'KZ-normalized'!$A:$A, 0))-INDEX('KZ-normalized'!$E:$E, MATCH($A174, 'KZ-normalized'!$A:$A, 0))&gt;0, -(22*INDEX('KZ-normalized'!$D:$D, MATCH($A174, 'KZ-normalized'!$A:$A, 0))-INDEX('KZ-normalized'!$E:$E, MATCH($A174, 'KZ-normalized'!$A:$A, 0))), 0), 0))+(IFERROR(IF(22*INDEX('UZ-normalized'!$D:$D, MATCH($A174, 'UZ-normalized'!$A:$A, 0))-INDEX('UZ-normalized'!$E:$E, MATCH($A174, 'UZ-normalized'!$A:$A, 0))&gt;0, -(22*INDEX('UZ-normalized'!$D:$D, MATCH($A174, 'UZ-normalized'!$A:$A, 0))-INDEX('UZ-normalized'!$E:$E, MATCH($A174, 'UZ-normalized'!$A:$A, 0))), 0), 0)))</f>
        <v>-34</v>
      </c>
      <c r="AK174" s="6">
        <f>MIN(0, N174+(IFERROR(IF(23*INDEX('UA-normalized'!$D:$D, MATCH($A174, 'UA-normalized'!$A:$A, 0))-INDEX('UA-normalized'!$E:$E, MATCH($A174, 'UA-normalized'!$A:$A, 0))&gt;0, -(23*INDEX('UA-normalized'!$D:$D, MATCH($A174, 'UA-normalized'!$A:$A, 0))-INDEX('UA-normalized'!$E:$E, MATCH($A174, 'UA-normalized'!$A:$A, 0))), 0), 0))+(IFERROR(IF(23*INDEX('KZ-normalized'!$D:$D, MATCH($A174, 'KZ-normalized'!$A:$A, 0))-INDEX('KZ-normalized'!$E:$E, MATCH($A174, 'KZ-normalized'!$A:$A, 0))&gt;0, -(23*INDEX('KZ-normalized'!$D:$D, MATCH($A174, 'KZ-normalized'!$A:$A, 0))-INDEX('KZ-normalized'!$E:$E, MATCH($A174, 'KZ-normalized'!$A:$A, 0))), 0), 0))+(IFERROR(IF(23*INDEX('UZ-normalized'!$D:$D, MATCH($A174, 'UZ-normalized'!$A:$A, 0))-INDEX('UZ-normalized'!$E:$E, MATCH($A174, 'UZ-normalized'!$A:$A, 0))&gt;0, -(23*INDEX('UZ-normalized'!$D:$D, MATCH($A174, 'UZ-normalized'!$A:$A, 0))-INDEX('UZ-normalized'!$E:$E, MATCH($A174, 'UZ-normalized'!$A:$A, 0))), 0), 0)))</f>
        <v>-36.5</v>
      </c>
      <c r="AL174" s="6">
        <f>MIN(0, N174+(IFERROR(IF(24*INDEX('UA-normalized'!$D:$D, MATCH($A174, 'UA-normalized'!$A:$A, 0))-INDEX('UA-normalized'!$E:$E, MATCH($A174, 'UA-normalized'!$A:$A, 0))&gt;0, -(24*INDEX('UA-normalized'!$D:$D, MATCH($A174, 'UA-normalized'!$A:$A, 0))-INDEX('UA-normalized'!$E:$E, MATCH($A174, 'UA-normalized'!$A:$A, 0))), 0), 0))+(IFERROR(IF(24*INDEX('KZ-normalized'!$D:$D, MATCH($A174, 'KZ-normalized'!$A:$A, 0))-INDEX('KZ-normalized'!$E:$E, MATCH($A174, 'KZ-normalized'!$A:$A, 0))&gt;0, -(24*INDEX('KZ-normalized'!$D:$D, MATCH($A174, 'KZ-normalized'!$A:$A, 0))-INDEX('KZ-normalized'!$E:$E, MATCH($A174, 'KZ-normalized'!$A:$A, 0))), 0), 0))+(IFERROR(IF(24*INDEX('UZ-normalized'!$D:$D, MATCH($A174, 'UZ-normalized'!$A:$A, 0))-INDEX('UZ-normalized'!$E:$E, MATCH($A174, 'UZ-normalized'!$A:$A, 0))&gt;0, -(24*INDEX('UZ-normalized'!$D:$D, MATCH($A174, 'UZ-normalized'!$A:$A, 0))-INDEX('UZ-normalized'!$E:$E, MATCH($A174, 'UZ-normalized'!$A:$A, 0))), 0), 0)))</f>
        <v>-39</v>
      </c>
      <c r="AM174" s="6">
        <f>MIN(0, N174+(IFERROR(IF(25*INDEX('UA-normalized'!$D:$D, MATCH($A174, 'UA-normalized'!$A:$A, 0))-INDEX('UA-normalized'!$E:$E, MATCH($A174, 'UA-normalized'!$A:$A, 0))&gt;0, -(25*INDEX('UA-normalized'!$D:$D, MATCH($A174, 'UA-normalized'!$A:$A, 0))-INDEX('UA-normalized'!$E:$E, MATCH($A174, 'UA-normalized'!$A:$A, 0))), 0), 0))+(IFERROR(IF(25*INDEX('KZ-normalized'!$D:$D, MATCH($A174, 'KZ-normalized'!$A:$A, 0))-INDEX('KZ-normalized'!$E:$E, MATCH($A174, 'KZ-normalized'!$A:$A, 0))&gt;0, -(25*INDEX('KZ-normalized'!$D:$D, MATCH($A174, 'KZ-normalized'!$A:$A, 0))-INDEX('KZ-normalized'!$E:$E, MATCH($A174, 'KZ-normalized'!$A:$A, 0))), 0), 0))+(IFERROR(IF(25*INDEX('UZ-normalized'!$D:$D, MATCH($A174, 'UZ-normalized'!$A:$A, 0))-INDEX('UZ-normalized'!$E:$E, MATCH($A174, 'UZ-normalized'!$A:$A, 0))&gt;0, -(25*INDEX('UZ-normalized'!$D:$D, MATCH($A174, 'UZ-normalized'!$A:$A, 0))-INDEX('UZ-normalized'!$E:$E, MATCH($A174, 'UZ-normalized'!$A:$A, 0))), 0), 0)))</f>
        <v>-41.5</v>
      </c>
      <c r="AN174" s="6">
        <f>MIN(0, N174+(IFERROR(IF(26*INDEX('UA-normalized'!$D:$D, MATCH($A174, 'UA-normalized'!$A:$A, 0))-INDEX('UA-normalized'!$E:$E, MATCH($A174, 'UA-normalized'!$A:$A, 0))&gt;0, -(26*INDEX('UA-normalized'!$D:$D, MATCH($A174, 'UA-normalized'!$A:$A, 0))-INDEX('UA-normalized'!$E:$E, MATCH($A174, 'UA-normalized'!$A:$A, 0))), 0), 0))+(IFERROR(IF(26*INDEX('KZ-normalized'!$D:$D, MATCH($A174, 'KZ-normalized'!$A:$A, 0))-INDEX('KZ-normalized'!$E:$E, MATCH($A174, 'KZ-normalized'!$A:$A, 0))&gt;0, -(26*INDEX('KZ-normalized'!$D:$D, MATCH($A174, 'KZ-normalized'!$A:$A, 0))-INDEX('KZ-normalized'!$E:$E, MATCH($A174, 'KZ-normalized'!$A:$A, 0))), 0), 0))+(IFERROR(IF(26*INDEX('UZ-normalized'!$D:$D, MATCH($A174, 'UZ-normalized'!$A:$A, 0))-INDEX('UZ-normalized'!$E:$E, MATCH($A174, 'UZ-normalized'!$A:$A, 0))&gt;0, -(26*INDEX('UZ-normalized'!$D:$D, MATCH($A174, 'UZ-normalized'!$A:$A, 0))-INDEX('UZ-normalized'!$E:$E, MATCH($A174, 'UZ-normalized'!$A:$A, 0))), 0), 0)))</f>
        <v>-44</v>
      </c>
      <c r="AO174" s="6">
        <f>MIN(0, N174+(IFERROR(IF(27*INDEX('UA-normalized'!$D:$D, MATCH($A174, 'UA-normalized'!$A:$A, 0))-INDEX('UA-normalized'!$E:$E, MATCH($A174, 'UA-normalized'!$A:$A, 0))&gt;0, -(27*INDEX('UA-normalized'!$D:$D, MATCH($A174, 'UA-normalized'!$A:$A, 0))-INDEX('UA-normalized'!$E:$E, MATCH($A174, 'UA-normalized'!$A:$A, 0))), 0), 0))+(IFERROR(IF(27*INDEX('KZ-normalized'!$D:$D, MATCH($A174, 'KZ-normalized'!$A:$A, 0))-INDEX('KZ-normalized'!$E:$E, MATCH($A174, 'KZ-normalized'!$A:$A, 0))&gt;0, -(27*INDEX('KZ-normalized'!$D:$D, MATCH($A174, 'KZ-normalized'!$A:$A, 0))-INDEX('KZ-normalized'!$E:$E, MATCH($A174, 'KZ-normalized'!$A:$A, 0))), 0), 0))+(IFERROR(IF(27*INDEX('UZ-normalized'!$D:$D, MATCH($A174, 'UZ-normalized'!$A:$A, 0))-INDEX('UZ-normalized'!$E:$E, MATCH($A174, 'UZ-normalized'!$A:$A, 0))&gt;0, -(27*INDEX('UZ-normalized'!$D:$D, MATCH($A174, 'UZ-normalized'!$A:$A, 0))-INDEX('UZ-normalized'!$E:$E, MATCH($A174, 'UZ-normalized'!$A:$A, 0))), 0), 0)))</f>
        <v>-46.5</v>
      </c>
      <c r="AP174" s="6">
        <f>MIN(0, N174+(IFERROR(IF(28*INDEX('UA-normalized'!$D:$D, MATCH($A174, 'UA-normalized'!$A:$A, 0))-INDEX('UA-normalized'!$E:$E, MATCH($A174, 'UA-normalized'!$A:$A, 0))&gt;0, -(28*INDEX('UA-normalized'!$D:$D, MATCH($A174, 'UA-normalized'!$A:$A, 0))-INDEX('UA-normalized'!$E:$E, MATCH($A174, 'UA-normalized'!$A:$A, 0))), 0), 0))+(IFERROR(IF(28*INDEX('KZ-normalized'!$D:$D, MATCH($A174, 'KZ-normalized'!$A:$A, 0))-INDEX('KZ-normalized'!$E:$E, MATCH($A174, 'KZ-normalized'!$A:$A, 0))&gt;0, -(28*INDEX('KZ-normalized'!$D:$D, MATCH($A174, 'KZ-normalized'!$A:$A, 0))-INDEX('KZ-normalized'!$E:$E, MATCH($A174, 'KZ-normalized'!$A:$A, 0))), 0), 0))+(IFERROR(IF(28*INDEX('UZ-normalized'!$D:$D, MATCH($A174, 'UZ-normalized'!$A:$A, 0))-INDEX('UZ-normalized'!$E:$E, MATCH($A174, 'UZ-normalized'!$A:$A, 0))&gt;0, -(28*INDEX('UZ-normalized'!$D:$D, MATCH($A174, 'UZ-normalized'!$A:$A, 0))-INDEX('UZ-normalized'!$E:$E, MATCH($A174, 'UZ-normalized'!$A:$A, 0))), 0), 0)))</f>
        <v>-49</v>
      </c>
      <c r="AQ174" s="6">
        <f>MIN(0, N174+(IFERROR(IF(29*INDEX('UA-normalized'!$D:$D, MATCH($A174, 'UA-normalized'!$A:$A, 0))-INDEX('UA-normalized'!$E:$E, MATCH($A174, 'UA-normalized'!$A:$A, 0))&gt;0, -(29*INDEX('UA-normalized'!$D:$D, MATCH($A174, 'UA-normalized'!$A:$A, 0))-INDEX('UA-normalized'!$E:$E, MATCH($A174, 'UA-normalized'!$A:$A, 0))), 0), 0))+(IFERROR(IF(29*INDEX('KZ-normalized'!$D:$D, MATCH($A174, 'KZ-normalized'!$A:$A, 0))-INDEX('KZ-normalized'!$E:$E, MATCH($A174, 'KZ-normalized'!$A:$A, 0))&gt;0, -(29*INDEX('KZ-normalized'!$D:$D, MATCH($A174, 'KZ-normalized'!$A:$A, 0))-INDEX('KZ-normalized'!$E:$E, MATCH($A174, 'KZ-normalized'!$A:$A, 0))), 0), 0))+(IFERROR(IF(29*INDEX('UZ-normalized'!$D:$D, MATCH($A174, 'UZ-normalized'!$A:$A, 0))-INDEX('UZ-normalized'!$E:$E, MATCH($A174, 'UZ-normalized'!$A:$A, 0))&gt;0, -(29*INDEX('UZ-normalized'!$D:$D, MATCH($A174, 'UZ-normalized'!$A:$A, 0))-INDEX('UZ-normalized'!$E:$E, MATCH($A174, 'UZ-normalized'!$A:$A, 0))), 0), 0)))</f>
        <v>-51.5</v>
      </c>
      <c r="AR174" s="6">
        <f>MIN(0, N174+(IFERROR(IF(30*INDEX('UA-normalized'!$D:$D, MATCH($A174, 'UA-normalized'!$A:$A, 0))-INDEX('UA-normalized'!$E:$E, MATCH($A174, 'UA-normalized'!$A:$A, 0))&gt;0, -(30*INDEX('UA-normalized'!$D:$D, MATCH($A174, 'UA-normalized'!$A:$A, 0))-INDEX('UA-normalized'!$E:$E, MATCH($A174, 'UA-normalized'!$A:$A, 0))), 0), 0))+(IFERROR(IF(30*INDEX('KZ-normalized'!$D:$D, MATCH($A174, 'KZ-normalized'!$A:$A, 0))-INDEX('KZ-normalized'!$E:$E, MATCH($A174, 'KZ-normalized'!$A:$A, 0))&gt;0, -(30*INDEX('KZ-normalized'!$D:$D, MATCH($A174, 'KZ-normalized'!$A:$A, 0))-INDEX('KZ-normalized'!$E:$E, MATCH($A174, 'KZ-normalized'!$A:$A, 0))), 0), 0))+(IFERROR(IF(30*INDEX('UZ-normalized'!$D:$D, MATCH($A174, 'UZ-normalized'!$A:$A, 0))-INDEX('UZ-normalized'!$E:$E, MATCH($A174, 'UZ-normalized'!$A:$A, 0))&gt;0, -(30*INDEX('UZ-normalized'!$D:$D, MATCH($A174, 'UZ-normalized'!$A:$A, 0))-INDEX('UZ-normalized'!$E:$E, MATCH($A174, 'UZ-normalized'!$A:$A, 0))), 0), 0)))</f>
        <v>-54</v>
      </c>
    </row>
    <row r="175" spans="1:44" x14ac:dyDescent="0.25">
      <c r="A175" s="8" t="s">
        <v>417</v>
      </c>
      <c r="B175" s="8" t="s">
        <v>393</v>
      </c>
      <c r="C175" s="8" t="s">
        <v>407</v>
      </c>
      <c r="D175" s="8" t="s">
        <v>418</v>
      </c>
      <c r="G175">
        <v>-20</v>
      </c>
      <c r="N175">
        <f t="shared" si="2"/>
        <v>-20</v>
      </c>
      <c r="O175" s="6">
        <f>MIN(0, N175+(IFERROR(IF(1*INDEX('UA-normalized'!$D:$D, MATCH($A175, 'UA-normalized'!$A:$A, 0))-INDEX('UA-normalized'!$E:$E, MATCH($A175, 'UA-normalized'!$A:$A, 0))&gt;0, -(1*INDEX('UA-normalized'!$D:$D, MATCH($A175, 'UA-normalized'!$A:$A, 0))-INDEX('UA-normalized'!$E:$E, MATCH($A175, 'UA-normalized'!$A:$A, 0))), 0), 0))+(IFERROR(IF(1*INDEX('KZ-normalized'!$D:$D, MATCH($A175, 'KZ-normalized'!$A:$A, 0))-INDEX('KZ-normalized'!$E:$E, MATCH($A175, 'KZ-normalized'!$A:$A, 0))&gt;0, -(1*INDEX('KZ-normalized'!$D:$D, MATCH($A175, 'KZ-normalized'!$A:$A, 0))-INDEX('KZ-normalized'!$E:$E, MATCH($A175, 'KZ-normalized'!$A:$A, 0))), 0), 0))+(IFERROR(IF(1*INDEX('UZ-normalized'!$D:$D, MATCH($A175, 'UZ-normalized'!$A:$A, 0))-INDEX('UZ-normalized'!$E:$E, MATCH($A175, 'UZ-normalized'!$A:$A, 0))&gt;0, -(1*INDEX('UZ-normalized'!$D:$D, MATCH($A175, 'UZ-normalized'!$A:$A, 0))-INDEX('UZ-normalized'!$E:$E, MATCH($A175, 'UZ-normalized'!$A:$A, 0))), 0), 0)))</f>
        <v>-20</v>
      </c>
      <c r="P175" s="6">
        <f>MIN(0, N175+(IFERROR(IF(2*INDEX('UA-normalized'!$D:$D, MATCH($A175, 'UA-normalized'!$A:$A, 0))-INDEX('UA-normalized'!$E:$E, MATCH($A175, 'UA-normalized'!$A:$A, 0))&gt;0, -(2*INDEX('UA-normalized'!$D:$D, MATCH($A175, 'UA-normalized'!$A:$A, 0))-INDEX('UA-normalized'!$E:$E, MATCH($A175, 'UA-normalized'!$A:$A, 0))), 0), 0))+(IFERROR(IF(2*INDEX('KZ-normalized'!$D:$D, MATCH($A175, 'KZ-normalized'!$A:$A, 0))-INDEX('KZ-normalized'!$E:$E, MATCH($A175, 'KZ-normalized'!$A:$A, 0))&gt;0, -(2*INDEX('KZ-normalized'!$D:$D, MATCH($A175, 'KZ-normalized'!$A:$A, 0))-INDEX('KZ-normalized'!$E:$E, MATCH($A175, 'KZ-normalized'!$A:$A, 0))), 0), 0))+(IFERROR(IF(2*INDEX('UZ-normalized'!$D:$D, MATCH($A175, 'UZ-normalized'!$A:$A, 0))-INDEX('UZ-normalized'!$E:$E, MATCH($A175, 'UZ-normalized'!$A:$A, 0))&gt;0, -(2*INDEX('UZ-normalized'!$D:$D, MATCH($A175, 'UZ-normalized'!$A:$A, 0))-INDEX('UZ-normalized'!$E:$E, MATCH($A175, 'UZ-normalized'!$A:$A, 0))), 0), 0)))</f>
        <v>-20</v>
      </c>
      <c r="Q175" s="6">
        <f>MIN(0, N175+(IFERROR(IF(3*INDEX('UA-normalized'!$D:$D, MATCH($A175, 'UA-normalized'!$A:$A, 0))-INDEX('UA-normalized'!$E:$E, MATCH($A175, 'UA-normalized'!$A:$A, 0))&gt;0, -(3*INDEX('UA-normalized'!$D:$D, MATCH($A175, 'UA-normalized'!$A:$A, 0))-INDEX('UA-normalized'!$E:$E, MATCH($A175, 'UA-normalized'!$A:$A, 0))), 0), 0))+(IFERROR(IF(3*INDEX('KZ-normalized'!$D:$D, MATCH($A175, 'KZ-normalized'!$A:$A, 0))-INDEX('KZ-normalized'!$E:$E, MATCH($A175, 'KZ-normalized'!$A:$A, 0))&gt;0, -(3*INDEX('KZ-normalized'!$D:$D, MATCH($A175, 'KZ-normalized'!$A:$A, 0))-INDEX('KZ-normalized'!$E:$E, MATCH($A175, 'KZ-normalized'!$A:$A, 0))), 0), 0))+(IFERROR(IF(3*INDEX('UZ-normalized'!$D:$D, MATCH($A175, 'UZ-normalized'!$A:$A, 0))-INDEX('UZ-normalized'!$E:$E, MATCH($A175, 'UZ-normalized'!$A:$A, 0))&gt;0, -(3*INDEX('UZ-normalized'!$D:$D, MATCH($A175, 'UZ-normalized'!$A:$A, 0))-INDEX('UZ-normalized'!$E:$E, MATCH($A175, 'UZ-normalized'!$A:$A, 0))), 0), 0)))</f>
        <v>-20</v>
      </c>
      <c r="R175" s="6">
        <f>MIN(0, N175+(IFERROR(IF(4*INDEX('UA-normalized'!$D:$D, MATCH($A175, 'UA-normalized'!$A:$A, 0))-INDEX('UA-normalized'!$E:$E, MATCH($A175, 'UA-normalized'!$A:$A, 0))&gt;0, -(4*INDEX('UA-normalized'!$D:$D, MATCH($A175, 'UA-normalized'!$A:$A, 0))-INDEX('UA-normalized'!$E:$E, MATCH($A175, 'UA-normalized'!$A:$A, 0))), 0), 0))+(IFERROR(IF(4*INDEX('KZ-normalized'!$D:$D, MATCH($A175, 'KZ-normalized'!$A:$A, 0))-INDEX('KZ-normalized'!$E:$E, MATCH($A175, 'KZ-normalized'!$A:$A, 0))&gt;0, -(4*INDEX('KZ-normalized'!$D:$D, MATCH($A175, 'KZ-normalized'!$A:$A, 0))-INDEX('KZ-normalized'!$E:$E, MATCH($A175, 'KZ-normalized'!$A:$A, 0))), 0), 0))+(IFERROR(IF(4*INDEX('UZ-normalized'!$D:$D, MATCH($A175, 'UZ-normalized'!$A:$A, 0))-INDEX('UZ-normalized'!$E:$E, MATCH($A175, 'UZ-normalized'!$A:$A, 0))&gt;0, -(4*INDEX('UZ-normalized'!$D:$D, MATCH($A175, 'UZ-normalized'!$A:$A, 0))-INDEX('UZ-normalized'!$E:$E, MATCH($A175, 'UZ-normalized'!$A:$A, 0))), 0), 0)))</f>
        <v>-20</v>
      </c>
      <c r="S175" s="6">
        <f>MIN(0, N175+(IFERROR(IF(5*INDEX('UA-normalized'!$D:$D, MATCH($A175, 'UA-normalized'!$A:$A, 0))-INDEX('UA-normalized'!$E:$E, MATCH($A175, 'UA-normalized'!$A:$A, 0))&gt;0, -(5*INDEX('UA-normalized'!$D:$D, MATCH($A175, 'UA-normalized'!$A:$A, 0))-INDEX('UA-normalized'!$E:$E, MATCH($A175, 'UA-normalized'!$A:$A, 0))), 0), 0))+(IFERROR(IF(5*INDEX('KZ-normalized'!$D:$D, MATCH($A175, 'KZ-normalized'!$A:$A, 0))-INDEX('KZ-normalized'!$E:$E, MATCH($A175, 'KZ-normalized'!$A:$A, 0))&gt;0, -(5*INDEX('KZ-normalized'!$D:$D, MATCH($A175, 'KZ-normalized'!$A:$A, 0))-INDEX('KZ-normalized'!$E:$E, MATCH($A175, 'KZ-normalized'!$A:$A, 0))), 0), 0))+(IFERROR(IF(5*INDEX('UZ-normalized'!$D:$D, MATCH($A175, 'UZ-normalized'!$A:$A, 0))-INDEX('UZ-normalized'!$E:$E, MATCH($A175, 'UZ-normalized'!$A:$A, 0))&gt;0, -(5*INDEX('UZ-normalized'!$D:$D, MATCH($A175, 'UZ-normalized'!$A:$A, 0))-INDEX('UZ-normalized'!$E:$E, MATCH($A175, 'UZ-normalized'!$A:$A, 0))), 0), 0)))</f>
        <v>-24</v>
      </c>
      <c r="T175" s="6">
        <f>MIN(0, N175+(IFERROR(IF(6*INDEX('UA-normalized'!$D:$D, MATCH($A175, 'UA-normalized'!$A:$A, 0))-INDEX('UA-normalized'!$E:$E, MATCH($A175, 'UA-normalized'!$A:$A, 0))&gt;0, -(6*INDEX('UA-normalized'!$D:$D, MATCH($A175, 'UA-normalized'!$A:$A, 0))-INDEX('UA-normalized'!$E:$E, MATCH($A175, 'UA-normalized'!$A:$A, 0))), 0), 0))+(IFERROR(IF(6*INDEX('KZ-normalized'!$D:$D, MATCH($A175, 'KZ-normalized'!$A:$A, 0))-INDEX('KZ-normalized'!$E:$E, MATCH($A175, 'KZ-normalized'!$A:$A, 0))&gt;0, -(6*INDEX('KZ-normalized'!$D:$D, MATCH($A175, 'KZ-normalized'!$A:$A, 0))-INDEX('KZ-normalized'!$E:$E, MATCH($A175, 'KZ-normalized'!$A:$A, 0))), 0), 0))+(IFERROR(IF(6*INDEX('UZ-normalized'!$D:$D, MATCH($A175, 'UZ-normalized'!$A:$A, 0))-INDEX('UZ-normalized'!$E:$E, MATCH($A175, 'UZ-normalized'!$A:$A, 0))&gt;0, -(6*INDEX('UZ-normalized'!$D:$D, MATCH($A175, 'UZ-normalized'!$A:$A, 0))-INDEX('UZ-normalized'!$E:$E, MATCH($A175, 'UZ-normalized'!$A:$A, 0))), 0), 0)))</f>
        <v>-29</v>
      </c>
      <c r="U175" s="6">
        <f>MIN(0, N175+(IFERROR(IF(7*INDEX('UA-normalized'!$D:$D, MATCH($A175, 'UA-normalized'!$A:$A, 0))-INDEX('UA-normalized'!$E:$E, MATCH($A175, 'UA-normalized'!$A:$A, 0))&gt;0, -(7*INDEX('UA-normalized'!$D:$D, MATCH($A175, 'UA-normalized'!$A:$A, 0))-INDEX('UA-normalized'!$E:$E, MATCH($A175, 'UA-normalized'!$A:$A, 0))), 0), 0))+(IFERROR(IF(7*INDEX('KZ-normalized'!$D:$D, MATCH($A175, 'KZ-normalized'!$A:$A, 0))-INDEX('KZ-normalized'!$E:$E, MATCH($A175, 'KZ-normalized'!$A:$A, 0))&gt;0, -(7*INDEX('KZ-normalized'!$D:$D, MATCH($A175, 'KZ-normalized'!$A:$A, 0))-INDEX('KZ-normalized'!$E:$E, MATCH($A175, 'KZ-normalized'!$A:$A, 0))), 0), 0))+(IFERROR(IF(7*INDEX('UZ-normalized'!$D:$D, MATCH($A175, 'UZ-normalized'!$A:$A, 0))-INDEX('UZ-normalized'!$E:$E, MATCH($A175, 'UZ-normalized'!$A:$A, 0))&gt;0, -(7*INDEX('UZ-normalized'!$D:$D, MATCH($A175, 'UZ-normalized'!$A:$A, 0))-INDEX('UZ-normalized'!$E:$E, MATCH($A175, 'UZ-normalized'!$A:$A, 0))), 0), 0)))</f>
        <v>-34</v>
      </c>
      <c r="V175" s="6">
        <f>MIN(0, N175+(IFERROR(IF(8*INDEX('UA-normalized'!$D:$D, MATCH($A175, 'UA-normalized'!$A:$A, 0))-INDEX('UA-normalized'!$E:$E, MATCH($A175, 'UA-normalized'!$A:$A, 0))&gt;0, -(8*INDEX('UA-normalized'!$D:$D, MATCH($A175, 'UA-normalized'!$A:$A, 0))-INDEX('UA-normalized'!$E:$E, MATCH($A175, 'UA-normalized'!$A:$A, 0))), 0), 0))+(IFERROR(IF(8*INDEX('KZ-normalized'!$D:$D, MATCH($A175, 'KZ-normalized'!$A:$A, 0))-INDEX('KZ-normalized'!$E:$E, MATCH($A175, 'KZ-normalized'!$A:$A, 0))&gt;0, -(8*INDEX('KZ-normalized'!$D:$D, MATCH($A175, 'KZ-normalized'!$A:$A, 0))-INDEX('KZ-normalized'!$E:$E, MATCH($A175, 'KZ-normalized'!$A:$A, 0))), 0), 0))+(IFERROR(IF(8*INDEX('UZ-normalized'!$D:$D, MATCH($A175, 'UZ-normalized'!$A:$A, 0))-INDEX('UZ-normalized'!$E:$E, MATCH($A175, 'UZ-normalized'!$A:$A, 0))&gt;0, -(8*INDEX('UZ-normalized'!$D:$D, MATCH($A175, 'UZ-normalized'!$A:$A, 0))-INDEX('UZ-normalized'!$E:$E, MATCH($A175, 'UZ-normalized'!$A:$A, 0))), 0), 0)))</f>
        <v>-39</v>
      </c>
      <c r="W175" s="6">
        <f>MIN(0, N175+(IFERROR(IF(9*INDEX('UA-normalized'!$D:$D, MATCH($A175, 'UA-normalized'!$A:$A, 0))-INDEX('UA-normalized'!$E:$E, MATCH($A175, 'UA-normalized'!$A:$A, 0))&gt;0, -(9*INDEX('UA-normalized'!$D:$D, MATCH($A175, 'UA-normalized'!$A:$A, 0))-INDEX('UA-normalized'!$E:$E, MATCH($A175, 'UA-normalized'!$A:$A, 0))), 0), 0))+(IFERROR(IF(9*INDEX('KZ-normalized'!$D:$D, MATCH($A175, 'KZ-normalized'!$A:$A, 0))-INDEX('KZ-normalized'!$E:$E, MATCH($A175, 'KZ-normalized'!$A:$A, 0))&gt;0, -(9*INDEX('KZ-normalized'!$D:$D, MATCH($A175, 'KZ-normalized'!$A:$A, 0))-INDEX('KZ-normalized'!$E:$E, MATCH($A175, 'KZ-normalized'!$A:$A, 0))), 0), 0))+(IFERROR(IF(9*INDEX('UZ-normalized'!$D:$D, MATCH($A175, 'UZ-normalized'!$A:$A, 0))-INDEX('UZ-normalized'!$E:$E, MATCH($A175, 'UZ-normalized'!$A:$A, 0))&gt;0, -(9*INDEX('UZ-normalized'!$D:$D, MATCH($A175, 'UZ-normalized'!$A:$A, 0))-INDEX('UZ-normalized'!$E:$E, MATCH($A175, 'UZ-normalized'!$A:$A, 0))), 0), 0)))</f>
        <v>-44</v>
      </c>
      <c r="X175" s="6">
        <f>MIN(0, N175+(IFERROR(IF(10*INDEX('UA-normalized'!$D:$D, MATCH($A175, 'UA-normalized'!$A:$A, 0))-INDEX('UA-normalized'!$E:$E, MATCH($A175, 'UA-normalized'!$A:$A, 0))&gt;0, -(10*INDEX('UA-normalized'!$D:$D, MATCH($A175, 'UA-normalized'!$A:$A, 0))-INDEX('UA-normalized'!$E:$E, MATCH($A175, 'UA-normalized'!$A:$A, 0))), 0), 0))+(IFERROR(IF(10*INDEX('KZ-normalized'!$D:$D, MATCH($A175, 'KZ-normalized'!$A:$A, 0))-INDEX('KZ-normalized'!$E:$E, MATCH($A175, 'KZ-normalized'!$A:$A, 0))&gt;0, -(10*INDEX('KZ-normalized'!$D:$D, MATCH($A175, 'KZ-normalized'!$A:$A, 0))-INDEX('KZ-normalized'!$E:$E, MATCH($A175, 'KZ-normalized'!$A:$A, 0))), 0), 0))+(IFERROR(IF(10*INDEX('UZ-normalized'!$D:$D, MATCH($A175, 'UZ-normalized'!$A:$A, 0))-INDEX('UZ-normalized'!$E:$E, MATCH($A175, 'UZ-normalized'!$A:$A, 0))&gt;0, -(10*INDEX('UZ-normalized'!$D:$D, MATCH($A175, 'UZ-normalized'!$A:$A, 0))-INDEX('UZ-normalized'!$E:$E, MATCH($A175, 'UZ-normalized'!$A:$A, 0))), 0), 0)))</f>
        <v>-49</v>
      </c>
      <c r="Y175" s="6">
        <f>MIN(0, N175+(IFERROR(IF(11*INDEX('UA-normalized'!$D:$D, MATCH($A175, 'UA-normalized'!$A:$A, 0))-INDEX('UA-normalized'!$E:$E, MATCH($A175, 'UA-normalized'!$A:$A, 0))&gt;0, -(11*INDEX('UA-normalized'!$D:$D, MATCH($A175, 'UA-normalized'!$A:$A, 0))-INDEX('UA-normalized'!$E:$E, MATCH($A175, 'UA-normalized'!$A:$A, 0))), 0), 0))+(IFERROR(IF(11*INDEX('KZ-normalized'!$D:$D, MATCH($A175, 'KZ-normalized'!$A:$A, 0))-INDEX('KZ-normalized'!$E:$E, MATCH($A175, 'KZ-normalized'!$A:$A, 0))&gt;0, -(11*INDEX('KZ-normalized'!$D:$D, MATCH($A175, 'KZ-normalized'!$A:$A, 0))-INDEX('KZ-normalized'!$E:$E, MATCH($A175, 'KZ-normalized'!$A:$A, 0))), 0), 0))+(IFERROR(IF(11*INDEX('UZ-normalized'!$D:$D, MATCH($A175, 'UZ-normalized'!$A:$A, 0))-INDEX('UZ-normalized'!$E:$E, MATCH($A175, 'UZ-normalized'!$A:$A, 0))&gt;0, -(11*INDEX('UZ-normalized'!$D:$D, MATCH($A175, 'UZ-normalized'!$A:$A, 0))-INDEX('UZ-normalized'!$E:$E, MATCH($A175, 'UZ-normalized'!$A:$A, 0))), 0), 0)))</f>
        <v>-54</v>
      </c>
      <c r="Z175" s="6">
        <f>MIN(0, N175+(IFERROR(IF(12*INDEX('UA-normalized'!$D:$D, MATCH($A175, 'UA-normalized'!$A:$A, 0))-INDEX('UA-normalized'!$E:$E, MATCH($A175, 'UA-normalized'!$A:$A, 0))&gt;0, -(12*INDEX('UA-normalized'!$D:$D, MATCH($A175, 'UA-normalized'!$A:$A, 0))-INDEX('UA-normalized'!$E:$E, MATCH($A175, 'UA-normalized'!$A:$A, 0))), 0), 0))+(IFERROR(IF(12*INDEX('KZ-normalized'!$D:$D, MATCH($A175, 'KZ-normalized'!$A:$A, 0))-INDEX('KZ-normalized'!$E:$E, MATCH($A175, 'KZ-normalized'!$A:$A, 0))&gt;0, -(12*INDEX('KZ-normalized'!$D:$D, MATCH($A175, 'KZ-normalized'!$A:$A, 0))-INDEX('KZ-normalized'!$E:$E, MATCH($A175, 'KZ-normalized'!$A:$A, 0))), 0), 0))+(IFERROR(IF(12*INDEX('UZ-normalized'!$D:$D, MATCH($A175, 'UZ-normalized'!$A:$A, 0))-INDEX('UZ-normalized'!$E:$E, MATCH($A175, 'UZ-normalized'!$A:$A, 0))&gt;0, -(12*INDEX('UZ-normalized'!$D:$D, MATCH($A175, 'UZ-normalized'!$A:$A, 0))-INDEX('UZ-normalized'!$E:$E, MATCH($A175, 'UZ-normalized'!$A:$A, 0))), 0), 0)))</f>
        <v>-59</v>
      </c>
      <c r="AA175" s="6">
        <f>MIN(0, N175+(IFERROR(IF(13*INDEX('UA-normalized'!$D:$D, MATCH($A175, 'UA-normalized'!$A:$A, 0))-INDEX('UA-normalized'!$E:$E, MATCH($A175, 'UA-normalized'!$A:$A, 0))&gt;0, -(13*INDEX('UA-normalized'!$D:$D, MATCH($A175, 'UA-normalized'!$A:$A, 0))-INDEX('UA-normalized'!$E:$E, MATCH($A175, 'UA-normalized'!$A:$A, 0))), 0), 0))+(IFERROR(IF(13*INDEX('KZ-normalized'!$D:$D, MATCH($A175, 'KZ-normalized'!$A:$A, 0))-INDEX('KZ-normalized'!$E:$E, MATCH($A175, 'KZ-normalized'!$A:$A, 0))&gt;0, -(13*INDEX('KZ-normalized'!$D:$D, MATCH($A175, 'KZ-normalized'!$A:$A, 0))-INDEX('KZ-normalized'!$E:$E, MATCH($A175, 'KZ-normalized'!$A:$A, 0))), 0), 0))+(IFERROR(IF(13*INDEX('UZ-normalized'!$D:$D, MATCH($A175, 'UZ-normalized'!$A:$A, 0))-INDEX('UZ-normalized'!$E:$E, MATCH($A175, 'UZ-normalized'!$A:$A, 0))&gt;0, -(13*INDEX('UZ-normalized'!$D:$D, MATCH($A175, 'UZ-normalized'!$A:$A, 0))-INDEX('UZ-normalized'!$E:$E, MATCH($A175, 'UZ-normalized'!$A:$A, 0))), 0), 0)))</f>
        <v>-64</v>
      </c>
      <c r="AB175" s="6">
        <f>MIN(0, N175+(IFERROR(IF(14*INDEX('UA-normalized'!$D:$D, MATCH($A175, 'UA-normalized'!$A:$A, 0))-INDEX('UA-normalized'!$E:$E, MATCH($A175, 'UA-normalized'!$A:$A, 0))&gt;0, -(14*INDEX('UA-normalized'!$D:$D, MATCH($A175, 'UA-normalized'!$A:$A, 0))-INDEX('UA-normalized'!$E:$E, MATCH($A175, 'UA-normalized'!$A:$A, 0))), 0), 0))+(IFERROR(IF(14*INDEX('KZ-normalized'!$D:$D, MATCH($A175, 'KZ-normalized'!$A:$A, 0))-INDEX('KZ-normalized'!$E:$E, MATCH($A175, 'KZ-normalized'!$A:$A, 0))&gt;0, -(14*INDEX('KZ-normalized'!$D:$D, MATCH($A175, 'KZ-normalized'!$A:$A, 0))-INDEX('KZ-normalized'!$E:$E, MATCH($A175, 'KZ-normalized'!$A:$A, 0))), 0), 0))+(IFERROR(IF(14*INDEX('UZ-normalized'!$D:$D, MATCH($A175, 'UZ-normalized'!$A:$A, 0))-INDEX('UZ-normalized'!$E:$E, MATCH($A175, 'UZ-normalized'!$A:$A, 0))&gt;0, -(14*INDEX('UZ-normalized'!$D:$D, MATCH($A175, 'UZ-normalized'!$A:$A, 0))-INDEX('UZ-normalized'!$E:$E, MATCH($A175, 'UZ-normalized'!$A:$A, 0))), 0), 0)))</f>
        <v>-69</v>
      </c>
      <c r="AC175" s="6">
        <f>MIN(0, N175+(IFERROR(IF(15*INDEX('UA-normalized'!$D:$D, MATCH($A175, 'UA-normalized'!$A:$A, 0))-INDEX('UA-normalized'!$E:$E, MATCH($A175, 'UA-normalized'!$A:$A, 0))&gt;0, -(15*INDEX('UA-normalized'!$D:$D, MATCH($A175, 'UA-normalized'!$A:$A, 0))-INDEX('UA-normalized'!$E:$E, MATCH($A175, 'UA-normalized'!$A:$A, 0))), 0), 0))+(IFERROR(IF(15*INDEX('KZ-normalized'!$D:$D, MATCH($A175, 'KZ-normalized'!$A:$A, 0))-INDEX('KZ-normalized'!$E:$E, MATCH($A175, 'KZ-normalized'!$A:$A, 0))&gt;0, -(15*INDEX('KZ-normalized'!$D:$D, MATCH($A175, 'KZ-normalized'!$A:$A, 0))-INDEX('KZ-normalized'!$E:$E, MATCH($A175, 'KZ-normalized'!$A:$A, 0))), 0), 0))+(IFERROR(IF(15*INDEX('UZ-normalized'!$D:$D, MATCH($A175, 'UZ-normalized'!$A:$A, 0))-INDEX('UZ-normalized'!$E:$E, MATCH($A175, 'UZ-normalized'!$A:$A, 0))&gt;0, -(15*INDEX('UZ-normalized'!$D:$D, MATCH($A175, 'UZ-normalized'!$A:$A, 0))-INDEX('UZ-normalized'!$E:$E, MATCH($A175, 'UZ-normalized'!$A:$A, 0))), 0), 0)))</f>
        <v>-74</v>
      </c>
      <c r="AD175" s="6">
        <f>MIN(0, N175+(IFERROR(IF(16*INDEX('UA-normalized'!$D:$D, MATCH($A175, 'UA-normalized'!$A:$A, 0))-INDEX('UA-normalized'!$E:$E, MATCH($A175, 'UA-normalized'!$A:$A, 0))&gt;0, -(16*INDEX('UA-normalized'!$D:$D, MATCH($A175, 'UA-normalized'!$A:$A, 0))-INDEX('UA-normalized'!$E:$E, MATCH($A175, 'UA-normalized'!$A:$A, 0))), 0), 0))+(IFERROR(IF(16*INDEX('KZ-normalized'!$D:$D, MATCH($A175, 'KZ-normalized'!$A:$A, 0))-INDEX('KZ-normalized'!$E:$E, MATCH($A175, 'KZ-normalized'!$A:$A, 0))&gt;0, -(16*INDEX('KZ-normalized'!$D:$D, MATCH($A175, 'KZ-normalized'!$A:$A, 0))-INDEX('KZ-normalized'!$E:$E, MATCH($A175, 'KZ-normalized'!$A:$A, 0))), 0), 0))+(IFERROR(IF(16*INDEX('UZ-normalized'!$D:$D, MATCH($A175, 'UZ-normalized'!$A:$A, 0))-INDEX('UZ-normalized'!$E:$E, MATCH($A175, 'UZ-normalized'!$A:$A, 0))&gt;0, -(16*INDEX('UZ-normalized'!$D:$D, MATCH($A175, 'UZ-normalized'!$A:$A, 0))-INDEX('UZ-normalized'!$E:$E, MATCH($A175, 'UZ-normalized'!$A:$A, 0))), 0), 0)))</f>
        <v>-79</v>
      </c>
      <c r="AE175" s="6">
        <f>MIN(0, N175+(IFERROR(IF(17*INDEX('UA-normalized'!$D:$D, MATCH($A175, 'UA-normalized'!$A:$A, 0))-INDEX('UA-normalized'!$E:$E, MATCH($A175, 'UA-normalized'!$A:$A, 0))&gt;0, -(17*INDEX('UA-normalized'!$D:$D, MATCH($A175, 'UA-normalized'!$A:$A, 0))-INDEX('UA-normalized'!$E:$E, MATCH($A175, 'UA-normalized'!$A:$A, 0))), 0), 0))+(IFERROR(IF(17*INDEX('KZ-normalized'!$D:$D, MATCH($A175, 'KZ-normalized'!$A:$A, 0))-INDEX('KZ-normalized'!$E:$E, MATCH($A175, 'KZ-normalized'!$A:$A, 0))&gt;0, -(17*INDEX('KZ-normalized'!$D:$D, MATCH($A175, 'KZ-normalized'!$A:$A, 0))-INDEX('KZ-normalized'!$E:$E, MATCH($A175, 'KZ-normalized'!$A:$A, 0))), 0), 0))+(IFERROR(IF(17*INDEX('UZ-normalized'!$D:$D, MATCH($A175, 'UZ-normalized'!$A:$A, 0))-INDEX('UZ-normalized'!$E:$E, MATCH($A175, 'UZ-normalized'!$A:$A, 0))&gt;0, -(17*INDEX('UZ-normalized'!$D:$D, MATCH($A175, 'UZ-normalized'!$A:$A, 0))-INDEX('UZ-normalized'!$E:$E, MATCH($A175, 'UZ-normalized'!$A:$A, 0))), 0), 0)))</f>
        <v>-84</v>
      </c>
      <c r="AF175" s="6">
        <f>MIN(0, N175+(IFERROR(IF(18*INDEX('UA-normalized'!$D:$D, MATCH($A175, 'UA-normalized'!$A:$A, 0))-INDEX('UA-normalized'!$E:$E, MATCH($A175, 'UA-normalized'!$A:$A, 0))&gt;0, -(18*INDEX('UA-normalized'!$D:$D, MATCH($A175, 'UA-normalized'!$A:$A, 0))-INDEX('UA-normalized'!$E:$E, MATCH($A175, 'UA-normalized'!$A:$A, 0))), 0), 0))+(IFERROR(IF(18*INDEX('KZ-normalized'!$D:$D, MATCH($A175, 'KZ-normalized'!$A:$A, 0))-INDEX('KZ-normalized'!$E:$E, MATCH($A175, 'KZ-normalized'!$A:$A, 0))&gt;0, -(18*INDEX('KZ-normalized'!$D:$D, MATCH($A175, 'KZ-normalized'!$A:$A, 0))-INDEX('KZ-normalized'!$E:$E, MATCH($A175, 'KZ-normalized'!$A:$A, 0))), 0), 0))+(IFERROR(IF(18*INDEX('UZ-normalized'!$D:$D, MATCH($A175, 'UZ-normalized'!$A:$A, 0))-INDEX('UZ-normalized'!$E:$E, MATCH($A175, 'UZ-normalized'!$A:$A, 0))&gt;0, -(18*INDEX('UZ-normalized'!$D:$D, MATCH($A175, 'UZ-normalized'!$A:$A, 0))-INDEX('UZ-normalized'!$E:$E, MATCH($A175, 'UZ-normalized'!$A:$A, 0))), 0), 0)))</f>
        <v>-89</v>
      </c>
      <c r="AG175" s="6">
        <f>MIN(0, N175+(IFERROR(IF(19*INDEX('UA-normalized'!$D:$D, MATCH($A175, 'UA-normalized'!$A:$A, 0))-INDEX('UA-normalized'!$E:$E, MATCH($A175, 'UA-normalized'!$A:$A, 0))&gt;0, -(19*INDEX('UA-normalized'!$D:$D, MATCH($A175, 'UA-normalized'!$A:$A, 0))-INDEX('UA-normalized'!$E:$E, MATCH($A175, 'UA-normalized'!$A:$A, 0))), 0), 0))+(IFERROR(IF(19*INDEX('KZ-normalized'!$D:$D, MATCH($A175, 'KZ-normalized'!$A:$A, 0))-INDEX('KZ-normalized'!$E:$E, MATCH($A175, 'KZ-normalized'!$A:$A, 0))&gt;0, -(19*INDEX('KZ-normalized'!$D:$D, MATCH($A175, 'KZ-normalized'!$A:$A, 0))-INDEX('KZ-normalized'!$E:$E, MATCH($A175, 'KZ-normalized'!$A:$A, 0))), 0), 0))+(IFERROR(IF(19*INDEX('UZ-normalized'!$D:$D, MATCH($A175, 'UZ-normalized'!$A:$A, 0))-INDEX('UZ-normalized'!$E:$E, MATCH($A175, 'UZ-normalized'!$A:$A, 0))&gt;0, -(19*INDEX('UZ-normalized'!$D:$D, MATCH($A175, 'UZ-normalized'!$A:$A, 0))-INDEX('UZ-normalized'!$E:$E, MATCH($A175, 'UZ-normalized'!$A:$A, 0))), 0), 0)))</f>
        <v>-94</v>
      </c>
      <c r="AH175" s="6">
        <f>MIN(0, N175+(IFERROR(IF(20*INDEX('UA-normalized'!$D:$D, MATCH($A175, 'UA-normalized'!$A:$A, 0))-INDEX('UA-normalized'!$E:$E, MATCH($A175, 'UA-normalized'!$A:$A, 0))&gt;0, -(20*INDEX('UA-normalized'!$D:$D, MATCH($A175, 'UA-normalized'!$A:$A, 0))-INDEX('UA-normalized'!$E:$E, MATCH($A175, 'UA-normalized'!$A:$A, 0))), 0), 0))+(IFERROR(IF(20*INDEX('KZ-normalized'!$D:$D, MATCH($A175, 'KZ-normalized'!$A:$A, 0))-INDEX('KZ-normalized'!$E:$E, MATCH($A175, 'KZ-normalized'!$A:$A, 0))&gt;0, -(20*INDEX('KZ-normalized'!$D:$D, MATCH($A175, 'KZ-normalized'!$A:$A, 0))-INDEX('KZ-normalized'!$E:$E, MATCH($A175, 'KZ-normalized'!$A:$A, 0))), 0), 0))+(IFERROR(IF(20*INDEX('UZ-normalized'!$D:$D, MATCH($A175, 'UZ-normalized'!$A:$A, 0))-INDEX('UZ-normalized'!$E:$E, MATCH($A175, 'UZ-normalized'!$A:$A, 0))&gt;0, -(20*INDEX('UZ-normalized'!$D:$D, MATCH($A175, 'UZ-normalized'!$A:$A, 0))-INDEX('UZ-normalized'!$E:$E, MATCH($A175, 'UZ-normalized'!$A:$A, 0))), 0), 0)))</f>
        <v>-99</v>
      </c>
      <c r="AI175" s="6">
        <f>MIN(0, N175+(IFERROR(IF(21*INDEX('UA-normalized'!$D:$D, MATCH($A175, 'UA-normalized'!$A:$A, 0))-INDEX('UA-normalized'!$E:$E, MATCH($A175, 'UA-normalized'!$A:$A, 0))&gt;0, -(21*INDEX('UA-normalized'!$D:$D, MATCH($A175, 'UA-normalized'!$A:$A, 0))-INDEX('UA-normalized'!$E:$E, MATCH($A175, 'UA-normalized'!$A:$A, 0))), 0), 0))+(IFERROR(IF(21*INDEX('KZ-normalized'!$D:$D, MATCH($A175, 'KZ-normalized'!$A:$A, 0))-INDEX('KZ-normalized'!$E:$E, MATCH($A175, 'KZ-normalized'!$A:$A, 0))&gt;0, -(21*INDEX('KZ-normalized'!$D:$D, MATCH($A175, 'KZ-normalized'!$A:$A, 0))-INDEX('KZ-normalized'!$E:$E, MATCH($A175, 'KZ-normalized'!$A:$A, 0))), 0), 0))+(IFERROR(IF(21*INDEX('UZ-normalized'!$D:$D, MATCH($A175, 'UZ-normalized'!$A:$A, 0))-INDEX('UZ-normalized'!$E:$E, MATCH($A175, 'UZ-normalized'!$A:$A, 0))&gt;0, -(21*INDEX('UZ-normalized'!$D:$D, MATCH($A175, 'UZ-normalized'!$A:$A, 0))-INDEX('UZ-normalized'!$E:$E, MATCH($A175, 'UZ-normalized'!$A:$A, 0))), 0), 0)))</f>
        <v>-104</v>
      </c>
      <c r="AJ175" s="6">
        <f>MIN(0, N175+(IFERROR(IF(22*INDEX('UA-normalized'!$D:$D, MATCH($A175, 'UA-normalized'!$A:$A, 0))-INDEX('UA-normalized'!$E:$E, MATCH($A175, 'UA-normalized'!$A:$A, 0))&gt;0, -(22*INDEX('UA-normalized'!$D:$D, MATCH($A175, 'UA-normalized'!$A:$A, 0))-INDEX('UA-normalized'!$E:$E, MATCH($A175, 'UA-normalized'!$A:$A, 0))), 0), 0))+(IFERROR(IF(22*INDEX('KZ-normalized'!$D:$D, MATCH($A175, 'KZ-normalized'!$A:$A, 0))-INDEX('KZ-normalized'!$E:$E, MATCH($A175, 'KZ-normalized'!$A:$A, 0))&gt;0, -(22*INDEX('KZ-normalized'!$D:$D, MATCH($A175, 'KZ-normalized'!$A:$A, 0))-INDEX('KZ-normalized'!$E:$E, MATCH($A175, 'KZ-normalized'!$A:$A, 0))), 0), 0))+(IFERROR(IF(22*INDEX('UZ-normalized'!$D:$D, MATCH($A175, 'UZ-normalized'!$A:$A, 0))-INDEX('UZ-normalized'!$E:$E, MATCH($A175, 'UZ-normalized'!$A:$A, 0))&gt;0, -(22*INDEX('UZ-normalized'!$D:$D, MATCH($A175, 'UZ-normalized'!$A:$A, 0))-INDEX('UZ-normalized'!$E:$E, MATCH($A175, 'UZ-normalized'!$A:$A, 0))), 0), 0)))</f>
        <v>-109</v>
      </c>
      <c r="AK175" s="6">
        <f>MIN(0, N175+(IFERROR(IF(23*INDEX('UA-normalized'!$D:$D, MATCH($A175, 'UA-normalized'!$A:$A, 0))-INDEX('UA-normalized'!$E:$E, MATCH($A175, 'UA-normalized'!$A:$A, 0))&gt;0, -(23*INDEX('UA-normalized'!$D:$D, MATCH($A175, 'UA-normalized'!$A:$A, 0))-INDEX('UA-normalized'!$E:$E, MATCH($A175, 'UA-normalized'!$A:$A, 0))), 0), 0))+(IFERROR(IF(23*INDEX('KZ-normalized'!$D:$D, MATCH($A175, 'KZ-normalized'!$A:$A, 0))-INDEX('KZ-normalized'!$E:$E, MATCH($A175, 'KZ-normalized'!$A:$A, 0))&gt;0, -(23*INDEX('KZ-normalized'!$D:$D, MATCH($A175, 'KZ-normalized'!$A:$A, 0))-INDEX('KZ-normalized'!$E:$E, MATCH($A175, 'KZ-normalized'!$A:$A, 0))), 0), 0))+(IFERROR(IF(23*INDEX('UZ-normalized'!$D:$D, MATCH($A175, 'UZ-normalized'!$A:$A, 0))-INDEX('UZ-normalized'!$E:$E, MATCH($A175, 'UZ-normalized'!$A:$A, 0))&gt;0, -(23*INDEX('UZ-normalized'!$D:$D, MATCH($A175, 'UZ-normalized'!$A:$A, 0))-INDEX('UZ-normalized'!$E:$E, MATCH($A175, 'UZ-normalized'!$A:$A, 0))), 0), 0)))</f>
        <v>-114</v>
      </c>
      <c r="AL175" s="6">
        <f>MIN(0, N175+(IFERROR(IF(24*INDEX('UA-normalized'!$D:$D, MATCH($A175, 'UA-normalized'!$A:$A, 0))-INDEX('UA-normalized'!$E:$E, MATCH($A175, 'UA-normalized'!$A:$A, 0))&gt;0, -(24*INDEX('UA-normalized'!$D:$D, MATCH($A175, 'UA-normalized'!$A:$A, 0))-INDEX('UA-normalized'!$E:$E, MATCH($A175, 'UA-normalized'!$A:$A, 0))), 0), 0))+(IFERROR(IF(24*INDEX('KZ-normalized'!$D:$D, MATCH($A175, 'KZ-normalized'!$A:$A, 0))-INDEX('KZ-normalized'!$E:$E, MATCH($A175, 'KZ-normalized'!$A:$A, 0))&gt;0, -(24*INDEX('KZ-normalized'!$D:$D, MATCH($A175, 'KZ-normalized'!$A:$A, 0))-INDEX('KZ-normalized'!$E:$E, MATCH($A175, 'KZ-normalized'!$A:$A, 0))), 0), 0))+(IFERROR(IF(24*INDEX('UZ-normalized'!$D:$D, MATCH($A175, 'UZ-normalized'!$A:$A, 0))-INDEX('UZ-normalized'!$E:$E, MATCH($A175, 'UZ-normalized'!$A:$A, 0))&gt;0, -(24*INDEX('UZ-normalized'!$D:$D, MATCH($A175, 'UZ-normalized'!$A:$A, 0))-INDEX('UZ-normalized'!$E:$E, MATCH($A175, 'UZ-normalized'!$A:$A, 0))), 0), 0)))</f>
        <v>-119</v>
      </c>
      <c r="AM175" s="6">
        <f>MIN(0, N175+(IFERROR(IF(25*INDEX('UA-normalized'!$D:$D, MATCH($A175, 'UA-normalized'!$A:$A, 0))-INDEX('UA-normalized'!$E:$E, MATCH($A175, 'UA-normalized'!$A:$A, 0))&gt;0, -(25*INDEX('UA-normalized'!$D:$D, MATCH($A175, 'UA-normalized'!$A:$A, 0))-INDEX('UA-normalized'!$E:$E, MATCH($A175, 'UA-normalized'!$A:$A, 0))), 0), 0))+(IFERROR(IF(25*INDEX('KZ-normalized'!$D:$D, MATCH($A175, 'KZ-normalized'!$A:$A, 0))-INDEX('KZ-normalized'!$E:$E, MATCH($A175, 'KZ-normalized'!$A:$A, 0))&gt;0, -(25*INDEX('KZ-normalized'!$D:$D, MATCH($A175, 'KZ-normalized'!$A:$A, 0))-INDEX('KZ-normalized'!$E:$E, MATCH($A175, 'KZ-normalized'!$A:$A, 0))), 0), 0))+(IFERROR(IF(25*INDEX('UZ-normalized'!$D:$D, MATCH($A175, 'UZ-normalized'!$A:$A, 0))-INDEX('UZ-normalized'!$E:$E, MATCH($A175, 'UZ-normalized'!$A:$A, 0))&gt;0, -(25*INDEX('UZ-normalized'!$D:$D, MATCH($A175, 'UZ-normalized'!$A:$A, 0))-INDEX('UZ-normalized'!$E:$E, MATCH($A175, 'UZ-normalized'!$A:$A, 0))), 0), 0)))</f>
        <v>-124</v>
      </c>
      <c r="AN175" s="6">
        <f>MIN(0, N175+(IFERROR(IF(26*INDEX('UA-normalized'!$D:$D, MATCH($A175, 'UA-normalized'!$A:$A, 0))-INDEX('UA-normalized'!$E:$E, MATCH($A175, 'UA-normalized'!$A:$A, 0))&gt;0, -(26*INDEX('UA-normalized'!$D:$D, MATCH($A175, 'UA-normalized'!$A:$A, 0))-INDEX('UA-normalized'!$E:$E, MATCH($A175, 'UA-normalized'!$A:$A, 0))), 0), 0))+(IFERROR(IF(26*INDEX('KZ-normalized'!$D:$D, MATCH($A175, 'KZ-normalized'!$A:$A, 0))-INDEX('KZ-normalized'!$E:$E, MATCH($A175, 'KZ-normalized'!$A:$A, 0))&gt;0, -(26*INDEX('KZ-normalized'!$D:$D, MATCH($A175, 'KZ-normalized'!$A:$A, 0))-INDEX('KZ-normalized'!$E:$E, MATCH($A175, 'KZ-normalized'!$A:$A, 0))), 0), 0))+(IFERROR(IF(26*INDEX('UZ-normalized'!$D:$D, MATCH($A175, 'UZ-normalized'!$A:$A, 0))-INDEX('UZ-normalized'!$E:$E, MATCH($A175, 'UZ-normalized'!$A:$A, 0))&gt;0, -(26*INDEX('UZ-normalized'!$D:$D, MATCH($A175, 'UZ-normalized'!$A:$A, 0))-INDEX('UZ-normalized'!$E:$E, MATCH($A175, 'UZ-normalized'!$A:$A, 0))), 0), 0)))</f>
        <v>-129</v>
      </c>
      <c r="AO175" s="6">
        <f>MIN(0, N175+(IFERROR(IF(27*INDEX('UA-normalized'!$D:$D, MATCH($A175, 'UA-normalized'!$A:$A, 0))-INDEX('UA-normalized'!$E:$E, MATCH($A175, 'UA-normalized'!$A:$A, 0))&gt;0, -(27*INDEX('UA-normalized'!$D:$D, MATCH($A175, 'UA-normalized'!$A:$A, 0))-INDEX('UA-normalized'!$E:$E, MATCH($A175, 'UA-normalized'!$A:$A, 0))), 0), 0))+(IFERROR(IF(27*INDEX('KZ-normalized'!$D:$D, MATCH($A175, 'KZ-normalized'!$A:$A, 0))-INDEX('KZ-normalized'!$E:$E, MATCH($A175, 'KZ-normalized'!$A:$A, 0))&gt;0, -(27*INDEX('KZ-normalized'!$D:$D, MATCH($A175, 'KZ-normalized'!$A:$A, 0))-INDEX('KZ-normalized'!$E:$E, MATCH($A175, 'KZ-normalized'!$A:$A, 0))), 0), 0))+(IFERROR(IF(27*INDEX('UZ-normalized'!$D:$D, MATCH($A175, 'UZ-normalized'!$A:$A, 0))-INDEX('UZ-normalized'!$E:$E, MATCH($A175, 'UZ-normalized'!$A:$A, 0))&gt;0, -(27*INDEX('UZ-normalized'!$D:$D, MATCH($A175, 'UZ-normalized'!$A:$A, 0))-INDEX('UZ-normalized'!$E:$E, MATCH($A175, 'UZ-normalized'!$A:$A, 0))), 0), 0)))</f>
        <v>-134</v>
      </c>
      <c r="AP175" s="6">
        <f>MIN(0, N175+(IFERROR(IF(28*INDEX('UA-normalized'!$D:$D, MATCH($A175, 'UA-normalized'!$A:$A, 0))-INDEX('UA-normalized'!$E:$E, MATCH($A175, 'UA-normalized'!$A:$A, 0))&gt;0, -(28*INDEX('UA-normalized'!$D:$D, MATCH($A175, 'UA-normalized'!$A:$A, 0))-INDEX('UA-normalized'!$E:$E, MATCH($A175, 'UA-normalized'!$A:$A, 0))), 0), 0))+(IFERROR(IF(28*INDEX('KZ-normalized'!$D:$D, MATCH($A175, 'KZ-normalized'!$A:$A, 0))-INDEX('KZ-normalized'!$E:$E, MATCH($A175, 'KZ-normalized'!$A:$A, 0))&gt;0, -(28*INDEX('KZ-normalized'!$D:$D, MATCH($A175, 'KZ-normalized'!$A:$A, 0))-INDEX('KZ-normalized'!$E:$E, MATCH($A175, 'KZ-normalized'!$A:$A, 0))), 0), 0))+(IFERROR(IF(28*INDEX('UZ-normalized'!$D:$D, MATCH($A175, 'UZ-normalized'!$A:$A, 0))-INDEX('UZ-normalized'!$E:$E, MATCH($A175, 'UZ-normalized'!$A:$A, 0))&gt;0, -(28*INDEX('UZ-normalized'!$D:$D, MATCH($A175, 'UZ-normalized'!$A:$A, 0))-INDEX('UZ-normalized'!$E:$E, MATCH($A175, 'UZ-normalized'!$A:$A, 0))), 0), 0)))</f>
        <v>-139</v>
      </c>
      <c r="AQ175" s="6">
        <f>MIN(0, N175+(IFERROR(IF(29*INDEX('UA-normalized'!$D:$D, MATCH($A175, 'UA-normalized'!$A:$A, 0))-INDEX('UA-normalized'!$E:$E, MATCH($A175, 'UA-normalized'!$A:$A, 0))&gt;0, -(29*INDEX('UA-normalized'!$D:$D, MATCH($A175, 'UA-normalized'!$A:$A, 0))-INDEX('UA-normalized'!$E:$E, MATCH($A175, 'UA-normalized'!$A:$A, 0))), 0), 0))+(IFERROR(IF(29*INDEX('KZ-normalized'!$D:$D, MATCH($A175, 'KZ-normalized'!$A:$A, 0))-INDEX('KZ-normalized'!$E:$E, MATCH($A175, 'KZ-normalized'!$A:$A, 0))&gt;0, -(29*INDEX('KZ-normalized'!$D:$D, MATCH($A175, 'KZ-normalized'!$A:$A, 0))-INDEX('KZ-normalized'!$E:$E, MATCH($A175, 'KZ-normalized'!$A:$A, 0))), 0), 0))+(IFERROR(IF(29*INDEX('UZ-normalized'!$D:$D, MATCH($A175, 'UZ-normalized'!$A:$A, 0))-INDEX('UZ-normalized'!$E:$E, MATCH($A175, 'UZ-normalized'!$A:$A, 0))&gt;0, -(29*INDEX('UZ-normalized'!$D:$D, MATCH($A175, 'UZ-normalized'!$A:$A, 0))-INDEX('UZ-normalized'!$E:$E, MATCH($A175, 'UZ-normalized'!$A:$A, 0))), 0), 0)))</f>
        <v>-144</v>
      </c>
      <c r="AR175" s="6">
        <f>MIN(0, N175+(IFERROR(IF(30*INDEX('UA-normalized'!$D:$D, MATCH($A175, 'UA-normalized'!$A:$A, 0))-INDEX('UA-normalized'!$E:$E, MATCH($A175, 'UA-normalized'!$A:$A, 0))&gt;0, -(30*INDEX('UA-normalized'!$D:$D, MATCH($A175, 'UA-normalized'!$A:$A, 0))-INDEX('UA-normalized'!$E:$E, MATCH($A175, 'UA-normalized'!$A:$A, 0))), 0), 0))+(IFERROR(IF(30*INDEX('KZ-normalized'!$D:$D, MATCH($A175, 'KZ-normalized'!$A:$A, 0))-INDEX('KZ-normalized'!$E:$E, MATCH($A175, 'KZ-normalized'!$A:$A, 0))&gt;0, -(30*INDEX('KZ-normalized'!$D:$D, MATCH($A175, 'KZ-normalized'!$A:$A, 0))-INDEX('KZ-normalized'!$E:$E, MATCH($A175, 'KZ-normalized'!$A:$A, 0))), 0), 0))+(IFERROR(IF(30*INDEX('UZ-normalized'!$D:$D, MATCH($A175, 'UZ-normalized'!$A:$A, 0))-INDEX('UZ-normalized'!$E:$E, MATCH($A175, 'UZ-normalized'!$A:$A, 0))&gt;0, -(30*INDEX('UZ-normalized'!$D:$D, MATCH($A175, 'UZ-normalized'!$A:$A, 0))-INDEX('UZ-normalized'!$E:$E, MATCH($A175, 'UZ-normalized'!$A:$A, 0))), 0), 0)))</f>
        <v>-149</v>
      </c>
    </row>
    <row r="176" spans="1:44" x14ac:dyDescent="0.25">
      <c r="A176" s="8" t="s">
        <v>419</v>
      </c>
      <c r="B176" s="8" t="s">
        <v>420</v>
      </c>
      <c r="C176" s="8" t="s">
        <v>421</v>
      </c>
      <c r="D176" s="8" t="s">
        <v>422</v>
      </c>
      <c r="N176">
        <f t="shared" si="2"/>
        <v>0</v>
      </c>
      <c r="O176" s="6">
        <f>MIN(0, N176+(IFERROR(IF(1*INDEX('UA-normalized'!$D:$D, MATCH($A176, 'UA-normalized'!$A:$A, 0))-INDEX('UA-normalized'!$E:$E, MATCH($A176, 'UA-normalized'!$A:$A, 0))&gt;0, -(1*INDEX('UA-normalized'!$D:$D, MATCH($A176, 'UA-normalized'!$A:$A, 0))-INDEX('UA-normalized'!$E:$E, MATCH($A176, 'UA-normalized'!$A:$A, 0))), 0), 0))+(IFERROR(IF(1*INDEX('KZ-normalized'!$D:$D, MATCH($A176, 'KZ-normalized'!$A:$A, 0))-INDEX('KZ-normalized'!$E:$E, MATCH($A176, 'KZ-normalized'!$A:$A, 0))&gt;0, -(1*INDEX('KZ-normalized'!$D:$D, MATCH($A176, 'KZ-normalized'!$A:$A, 0))-INDEX('KZ-normalized'!$E:$E, MATCH($A176, 'KZ-normalized'!$A:$A, 0))), 0), 0))+(IFERROR(IF(1*INDEX('UZ-normalized'!$D:$D, MATCH($A176, 'UZ-normalized'!$A:$A, 0))-INDEX('UZ-normalized'!$E:$E, MATCH($A176, 'UZ-normalized'!$A:$A, 0))&gt;0, -(1*INDEX('UZ-normalized'!$D:$D, MATCH($A176, 'UZ-normalized'!$A:$A, 0))-INDEX('UZ-normalized'!$E:$E, MATCH($A176, 'UZ-normalized'!$A:$A, 0))), 0), 0)))</f>
        <v>0</v>
      </c>
      <c r="P176" s="6">
        <f>MIN(0, N176+(IFERROR(IF(2*INDEX('UA-normalized'!$D:$D, MATCH($A176, 'UA-normalized'!$A:$A, 0))-INDEX('UA-normalized'!$E:$E, MATCH($A176, 'UA-normalized'!$A:$A, 0))&gt;0, -(2*INDEX('UA-normalized'!$D:$D, MATCH($A176, 'UA-normalized'!$A:$A, 0))-INDEX('UA-normalized'!$E:$E, MATCH($A176, 'UA-normalized'!$A:$A, 0))), 0), 0))+(IFERROR(IF(2*INDEX('KZ-normalized'!$D:$D, MATCH($A176, 'KZ-normalized'!$A:$A, 0))-INDEX('KZ-normalized'!$E:$E, MATCH($A176, 'KZ-normalized'!$A:$A, 0))&gt;0, -(2*INDEX('KZ-normalized'!$D:$D, MATCH($A176, 'KZ-normalized'!$A:$A, 0))-INDEX('KZ-normalized'!$E:$E, MATCH($A176, 'KZ-normalized'!$A:$A, 0))), 0), 0))+(IFERROR(IF(2*INDEX('UZ-normalized'!$D:$D, MATCH($A176, 'UZ-normalized'!$A:$A, 0))-INDEX('UZ-normalized'!$E:$E, MATCH($A176, 'UZ-normalized'!$A:$A, 0))&gt;0, -(2*INDEX('UZ-normalized'!$D:$D, MATCH($A176, 'UZ-normalized'!$A:$A, 0))-INDEX('UZ-normalized'!$E:$E, MATCH($A176, 'UZ-normalized'!$A:$A, 0))), 0), 0)))</f>
        <v>0</v>
      </c>
      <c r="Q176" s="6">
        <f>MIN(0, N176+(IFERROR(IF(3*INDEX('UA-normalized'!$D:$D, MATCH($A176, 'UA-normalized'!$A:$A, 0))-INDEX('UA-normalized'!$E:$E, MATCH($A176, 'UA-normalized'!$A:$A, 0))&gt;0, -(3*INDEX('UA-normalized'!$D:$D, MATCH($A176, 'UA-normalized'!$A:$A, 0))-INDEX('UA-normalized'!$E:$E, MATCH($A176, 'UA-normalized'!$A:$A, 0))), 0), 0))+(IFERROR(IF(3*INDEX('KZ-normalized'!$D:$D, MATCH($A176, 'KZ-normalized'!$A:$A, 0))-INDEX('KZ-normalized'!$E:$E, MATCH($A176, 'KZ-normalized'!$A:$A, 0))&gt;0, -(3*INDEX('KZ-normalized'!$D:$D, MATCH($A176, 'KZ-normalized'!$A:$A, 0))-INDEX('KZ-normalized'!$E:$E, MATCH($A176, 'KZ-normalized'!$A:$A, 0))), 0), 0))+(IFERROR(IF(3*INDEX('UZ-normalized'!$D:$D, MATCH($A176, 'UZ-normalized'!$A:$A, 0))-INDEX('UZ-normalized'!$E:$E, MATCH($A176, 'UZ-normalized'!$A:$A, 0))&gt;0, -(3*INDEX('UZ-normalized'!$D:$D, MATCH($A176, 'UZ-normalized'!$A:$A, 0))-INDEX('UZ-normalized'!$E:$E, MATCH($A176, 'UZ-normalized'!$A:$A, 0))), 0), 0)))</f>
        <v>0</v>
      </c>
      <c r="R176" s="6">
        <f>MIN(0, N176+(IFERROR(IF(4*INDEX('UA-normalized'!$D:$D, MATCH($A176, 'UA-normalized'!$A:$A, 0))-INDEX('UA-normalized'!$E:$E, MATCH($A176, 'UA-normalized'!$A:$A, 0))&gt;0, -(4*INDEX('UA-normalized'!$D:$D, MATCH($A176, 'UA-normalized'!$A:$A, 0))-INDEX('UA-normalized'!$E:$E, MATCH($A176, 'UA-normalized'!$A:$A, 0))), 0), 0))+(IFERROR(IF(4*INDEX('KZ-normalized'!$D:$D, MATCH($A176, 'KZ-normalized'!$A:$A, 0))-INDEX('KZ-normalized'!$E:$E, MATCH($A176, 'KZ-normalized'!$A:$A, 0))&gt;0, -(4*INDEX('KZ-normalized'!$D:$D, MATCH($A176, 'KZ-normalized'!$A:$A, 0))-INDEX('KZ-normalized'!$E:$E, MATCH($A176, 'KZ-normalized'!$A:$A, 0))), 0), 0))+(IFERROR(IF(4*INDEX('UZ-normalized'!$D:$D, MATCH($A176, 'UZ-normalized'!$A:$A, 0))-INDEX('UZ-normalized'!$E:$E, MATCH($A176, 'UZ-normalized'!$A:$A, 0))&gt;0, -(4*INDEX('UZ-normalized'!$D:$D, MATCH($A176, 'UZ-normalized'!$A:$A, 0))-INDEX('UZ-normalized'!$E:$E, MATCH($A176, 'UZ-normalized'!$A:$A, 0))), 0), 0)))</f>
        <v>0</v>
      </c>
      <c r="S176" s="6">
        <f>MIN(0, N176+(IFERROR(IF(5*INDEX('UA-normalized'!$D:$D, MATCH($A176, 'UA-normalized'!$A:$A, 0))-INDEX('UA-normalized'!$E:$E, MATCH($A176, 'UA-normalized'!$A:$A, 0))&gt;0, -(5*INDEX('UA-normalized'!$D:$D, MATCH($A176, 'UA-normalized'!$A:$A, 0))-INDEX('UA-normalized'!$E:$E, MATCH($A176, 'UA-normalized'!$A:$A, 0))), 0), 0))+(IFERROR(IF(5*INDEX('KZ-normalized'!$D:$D, MATCH($A176, 'KZ-normalized'!$A:$A, 0))-INDEX('KZ-normalized'!$E:$E, MATCH($A176, 'KZ-normalized'!$A:$A, 0))&gt;0, -(5*INDEX('KZ-normalized'!$D:$D, MATCH($A176, 'KZ-normalized'!$A:$A, 0))-INDEX('KZ-normalized'!$E:$E, MATCH($A176, 'KZ-normalized'!$A:$A, 0))), 0), 0))+(IFERROR(IF(5*INDEX('UZ-normalized'!$D:$D, MATCH($A176, 'UZ-normalized'!$A:$A, 0))-INDEX('UZ-normalized'!$E:$E, MATCH($A176, 'UZ-normalized'!$A:$A, 0))&gt;0, -(5*INDEX('UZ-normalized'!$D:$D, MATCH($A176, 'UZ-normalized'!$A:$A, 0))-INDEX('UZ-normalized'!$E:$E, MATCH($A176, 'UZ-normalized'!$A:$A, 0))), 0), 0)))</f>
        <v>-1.5</v>
      </c>
      <c r="T176" s="6">
        <f>MIN(0, N176+(IFERROR(IF(6*INDEX('UA-normalized'!$D:$D, MATCH($A176, 'UA-normalized'!$A:$A, 0))-INDEX('UA-normalized'!$E:$E, MATCH($A176, 'UA-normalized'!$A:$A, 0))&gt;0, -(6*INDEX('UA-normalized'!$D:$D, MATCH($A176, 'UA-normalized'!$A:$A, 0))-INDEX('UA-normalized'!$E:$E, MATCH($A176, 'UA-normalized'!$A:$A, 0))), 0), 0))+(IFERROR(IF(6*INDEX('KZ-normalized'!$D:$D, MATCH($A176, 'KZ-normalized'!$A:$A, 0))-INDEX('KZ-normalized'!$E:$E, MATCH($A176, 'KZ-normalized'!$A:$A, 0))&gt;0, -(6*INDEX('KZ-normalized'!$D:$D, MATCH($A176, 'KZ-normalized'!$A:$A, 0))-INDEX('KZ-normalized'!$E:$E, MATCH($A176, 'KZ-normalized'!$A:$A, 0))), 0), 0))+(IFERROR(IF(6*INDEX('UZ-normalized'!$D:$D, MATCH($A176, 'UZ-normalized'!$A:$A, 0))-INDEX('UZ-normalized'!$E:$E, MATCH($A176, 'UZ-normalized'!$A:$A, 0))&gt;0, -(6*INDEX('UZ-normalized'!$D:$D, MATCH($A176, 'UZ-normalized'!$A:$A, 0))-INDEX('UZ-normalized'!$E:$E, MATCH($A176, 'UZ-normalized'!$A:$A, 0))), 0), 0)))</f>
        <v>-3.7999999999999989</v>
      </c>
      <c r="U176" s="6">
        <f>MIN(0, N176+(IFERROR(IF(7*INDEX('UA-normalized'!$D:$D, MATCH($A176, 'UA-normalized'!$A:$A, 0))-INDEX('UA-normalized'!$E:$E, MATCH($A176, 'UA-normalized'!$A:$A, 0))&gt;0, -(7*INDEX('UA-normalized'!$D:$D, MATCH($A176, 'UA-normalized'!$A:$A, 0))-INDEX('UA-normalized'!$E:$E, MATCH($A176, 'UA-normalized'!$A:$A, 0))), 0), 0))+(IFERROR(IF(7*INDEX('KZ-normalized'!$D:$D, MATCH($A176, 'KZ-normalized'!$A:$A, 0))-INDEX('KZ-normalized'!$E:$E, MATCH($A176, 'KZ-normalized'!$A:$A, 0))&gt;0, -(7*INDEX('KZ-normalized'!$D:$D, MATCH($A176, 'KZ-normalized'!$A:$A, 0))-INDEX('KZ-normalized'!$E:$E, MATCH($A176, 'KZ-normalized'!$A:$A, 0))), 0), 0))+(IFERROR(IF(7*INDEX('UZ-normalized'!$D:$D, MATCH($A176, 'UZ-normalized'!$A:$A, 0))-INDEX('UZ-normalized'!$E:$E, MATCH($A176, 'UZ-normalized'!$A:$A, 0))&gt;0, -(7*INDEX('UZ-normalized'!$D:$D, MATCH($A176, 'UZ-normalized'!$A:$A, 0))-INDEX('UZ-normalized'!$E:$E, MATCH($A176, 'UZ-normalized'!$A:$A, 0))), 0), 0)))</f>
        <v>-6.0999999999999979</v>
      </c>
      <c r="V176" s="6">
        <f>MIN(0, N176+(IFERROR(IF(8*INDEX('UA-normalized'!$D:$D, MATCH($A176, 'UA-normalized'!$A:$A, 0))-INDEX('UA-normalized'!$E:$E, MATCH($A176, 'UA-normalized'!$A:$A, 0))&gt;0, -(8*INDEX('UA-normalized'!$D:$D, MATCH($A176, 'UA-normalized'!$A:$A, 0))-INDEX('UA-normalized'!$E:$E, MATCH($A176, 'UA-normalized'!$A:$A, 0))), 0), 0))+(IFERROR(IF(8*INDEX('KZ-normalized'!$D:$D, MATCH($A176, 'KZ-normalized'!$A:$A, 0))-INDEX('KZ-normalized'!$E:$E, MATCH($A176, 'KZ-normalized'!$A:$A, 0))&gt;0, -(8*INDEX('KZ-normalized'!$D:$D, MATCH($A176, 'KZ-normalized'!$A:$A, 0))-INDEX('KZ-normalized'!$E:$E, MATCH($A176, 'KZ-normalized'!$A:$A, 0))), 0), 0))+(IFERROR(IF(8*INDEX('UZ-normalized'!$D:$D, MATCH($A176, 'UZ-normalized'!$A:$A, 0))-INDEX('UZ-normalized'!$E:$E, MATCH($A176, 'UZ-normalized'!$A:$A, 0))&gt;0, -(8*INDEX('UZ-normalized'!$D:$D, MATCH($A176, 'UZ-normalized'!$A:$A, 0))-INDEX('UZ-normalized'!$E:$E, MATCH($A176, 'UZ-normalized'!$A:$A, 0))), 0), 0)))</f>
        <v>-8.3999999999999986</v>
      </c>
      <c r="W176" s="6">
        <f>MIN(0, N176+(IFERROR(IF(9*INDEX('UA-normalized'!$D:$D, MATCH($A176, 'UA-normalized'!$A:$A, 0))-INDEX('UA-normalized'!$E:$E, MATCH($A176, 'UA-normalized'!$A:$A, 0))&gt;0, -(9*INDEX('UA-normalized'!$D:$D, MATCH($A176, 'UA-normalized'!$A:$A, 0))-INDEX('UA-normalized'!$E:$E, MATCH($A176, 'UA-normalized'!$A:$A, 0))), 0), 0))+(IFERROR(IF(9*INDEX('KZ-normalized'!$D:$D, MATCH($A176, 'KZ-normalized'!$A:$A, 0))-INDEX('KZ-normalized'!$E:$E, MATCH($A176, 'KZ-normalized'!$A:$A, 0))&gt;0, -(9*INDEX('KZ-normalized'!$D:$D, MATCH($A176, 'KZ-normalized'!$A:$A, 0))-INDEX('KZ-normalized'!$E:$E, MATCH($A176, 'KZ-normalized'!$A:$A, 0))), 0), 0))+(IFERROR(IF(9*INDEX('UZ-normalized'!$D:$D, MATCH($A176, 'UZ-normalized'!$A:$A, 0))-INDEX('UZ-normalized'!$E:$E, MATCH($A176, 'UZ-normalized'!$A:$A, 0))&gt;0, -(9*INDEX('UZ-normalized'!$D:$D, MATCH($A176, 'UZ-normalized'!$A:$A, 0))-INDEX('UZ-normalized'!$E:$E, MATCH($A176, 'UZ-normalized'!$A:$A, 0))), 0), 0)))</f>
        <v>-10.7</v>
      </c>
      <c r="X176" s="6">
        <f>MIN(0, N176+(IFERROR(IF(10*INDEX('UA-normalized'!$D:$D, MATCH($A176, 'UA-normalized'!$A:$A, 0))-INDEX('UA-normalized'!$E:$E, MATCH($A176, 'UA-normalized'!$A:$A, 0))&gt;0, -(10*INDEX('UA-normalized'!$D:$D, MATCH($A176, 'UA-normalized'!$A:$A, 0))-INDEX('UA-normalized'!$E:$E, MATCH($A176, 'UA-normalized'!$A:$A, 0))), 0), 0))+(IFERROR(IF(10*INDEX('KZ-normalized'!$D:$D, MATCH($A176, 'KZ-normalized'!$A:$A, 0))-INDEX('KZ-normalized'!$E:$E, MATCH($A176, 'KZ-normalized'!$A:$A, 0))&gt;0, -(10*INDEX('KZ-normalized'!$D:$D, MATCH($A176, 'KZ-normalized'!$A:$A, 0))-INDEX('KZ-normalized'!$E:$E, MATCH($A176, 'KZ-normalized'!$A:$A, 0))), 0), 0))+(IFERROR(IF(10*INDEX('UZ-normalized'!$D:$D, MATCH($A176, 'UZ-normalized'!$A:$A, 0))-INDEX('UZ-normalized'!$E:$E, MATCH($A176, 'UZ-normalized'!$A:$A, 0))&gt;0, -(10*INDEX('UZ-normalized'!$D:$D, MATCH($A176, 'UZ-normalized'!$A:$A, 0))-INDEX('UZ-normalized'!$E:$E, MATCH($A176, 'UZ-normalized'!$A:$A, 0))), 0), 0)))</f>
        <v>-13</v>
      </c>
      <c r="Y176" s="6">
        <f>MIN(0, N176+(IFERROR(IF(11*INDEX('UA-normalized'!$D:$D, MATCH($A176, 'UA-normalized'!$A:$A, 0))-INDEX('UA-normalized'!$E:$E, MATCH($A176, 'UA-normalized'!$A:$A, 0))&gt;0, -(11*INDEX('UA-normalized'!$D:$D, MATCH($A176, 'UA-normalized'!$A:$A, 0))-INDEX('UA-normalized'!$E:$E, MATCH($A176, 'UA-normalized'!$A:$A, 0))), 0), 0))+(IFERROR(IF(11*INDEX('KZ-normalized'!$D:$D, MATCH($A176, 'KZ-normalized'!$A:$A, 0))-INDEX('KZ-normalized'!$E:$E, MATCH($A176, 'KZ-normalized'!$A:$A, 0))&gt;0, -(11*INDEX('KZ-normalized'!$D:$D, MATCH($A176, 'KZ-normalized'!$A:$A, 0))-INDEX('KZ-normalized'!$E:$E, MATCH($A176, 'KZ-normalized'!$A:$A, 0))), 0), 0))+(IFERROR(IF(11*INDEX('UZ-normalized'!$D:$D, MATCH($A176, 'UZ-normalized'!$A:$A, 0))-INDEX('UZ-normalized'!$E:$E, MATCH($A176, 'UZ-normalized'!$A:$A, 0))&gt;0, -(11*INDEX('UZ-normalized'!$D:$D, MATCH($A176, 'UZ-normalized'!$A:$A, 0))-INDEX('UZ-normalized'!$E:$E, MATCH($A176, 'UZ-normalized'!$A:$A, 0))), 0), 0)))</f>
        <v>-15.299999999999997</v>
      </c>
      <c r="Z176" s="6">
        <f>MIN(0, N176+(IFERROR(IF(12*INDEX('UA-normalized'!$D:$D, MATCH($A176, 'UA-normalized'!$A:$A, 0))-INDEX('UA-normalized'!$E:$E, MATCH($A176, 'UA-normalized'!$A:$A, 0))&gt;0, -(12*INDEX('UA-normalized'!$D:$D, MATCH($A176, 'UA-normalized'!$A:$A, 0))-INDEX('UA-normalized'!$E:$E, MATCH($A176, 'UA-normalized'!$A:$A, 0))), 0), 0))+(IFERROR(IF(12*INDEX('KZ-normalized'!$D:$D, MATCH($A176, 'KZ-normalized'!$A:$A, 0))-INDEX('KZ-normalized'!$E:$E, MATCH($A176, 'KZ-normalized'!$A:$A, 0))&gt;0, -(12*INDEX('KZ-normalized'!$D:$D, MATCH($A176, 'KZ-normalized'!$A:$A, 0))-INDEX('KZ-normalized'!$E:$E, MATCH($A176, 'KZ-normalized'!$A:$A, 0))), 0), 0))+(IFERROR(IF(12*INDEX('UZ-normalized'!$D:$D, MATCH($A176, 'UZ-normalized'!$A:$A, 0))-INDEX('UZ-normalized'!$E:$E, MATCH($A176, 'UZ-normalized'!$A:$A, 0))&gt;0, -(12*INDEX('UZ-normalized'!$D:$D, MATCH($A176, 'UZ-normalized'!$A:$A, 0))-INDEX('UZ-normalized'!$E:$E, MATCH($A176, 'UZ-normalized'!$A:$A, 0))), 0), 0)))</f>
        <v>-17.599999999999998</v>
      </c>
      <c r="AA176" s="6">
        <f>MIN(0, N176+(IFERROR(IF(13*INDEX('UA-normalized'!$D:$D, MATCH($A176, 'UA-normalized'!$A:$A, 0))-INDEX('UA-normalized'!$E:$E, MATCH($A176, 'UA-normalized'!$A:$A, 0))&gt;0, -(13*INDEX('UA-normalized'!$D:$D, MATCH($A176, 'UA-normalized'!$A:$A, 0))-INDEX('UA-normalized'!$E:$E, MATCH($A176, 'UA-normalized'!$A:$A, 0))), 0), 0))+(IFERROR(IF(13*INDEX('KZ-normalized'!$D:$D, MATCH($A176, 'KZ-normalized'!$A:$A, 0))-INDEX('KZ-normalized'!$E:$E, MATCH($A176, 'KZ-normalized'!$A:$A, 0))&gt;0, -(13*INDEX('KZ-normalized'!$D:$D, MATCH($A176, 'KZ-normalized'!$A:$A, 0))-INDEX('KZ-normalized'!$E:$E, MATCH($A176, 'KZ-normalized'!$A:$A, 0))), 0), 0))+(IFERROR(IF(13*INDEX('UZ-normalized'!$D:$D, MATCH($A176, 'UZ-normalized'!$A:$A, 0))-INDEX('UZ-normalized'!$E:$E, MATCH($A176, 'UZ-normalized'!$A:$A, 0))&gt;0, -(13*INDEX('UZ-normalized'!$D:$D, MATCH($A176, 'UZ-normalized'!$A:$A, 0))-INDEX('UZ-normalized'!$E:$E, MATCH($A176, 'UZ-normalized'!$A:$A, 0))), 0), 0)))</f>
        <v>-19.899999999999999</v>
      </c>
      <c r="AB176" s="6">
        <f>MIN(0, N176+(IFERROR(IF(14*INDEX('UA-normalized'!$D:$D, MATCH($A176, 'UA-normalized'!$A:$A, 0))-INDEX('UA-normalized'!$E:$E, MATCH($A176, 'UA-normalized'!$A:$A, 0))&gt;0, -(14*INDEX('UA-normalized'!$D:$D, MATCH($A176, 'UA-normalized'!$A:$A, 0))-INDEX('UA-normalized'!$E:$E, MATCH($A176, 'UA-normalized'!$A:$A, 0))), 0), 0))+(IFERROR(IF(14*INDEX('KZ-normalized'!$D:$D, MATCH($A176, 'KZ-normalized'!$A:$A, 0))-INDEX('KZ-normalized'!$E:$E, MATCH($A176, 'KZ-normalized'!$A:$A, 0))&gt;0, -(14*INDEX('KZ-normalized'!$D:$D, MATCH($A176, 'KZ-normalized'!$A:$A, 0))-INDEX('KZ-normalized'!$E:$E, MATCH($A176, 'KZ-normalized'!$A:$A, 0))), 0), 0))+(IFERROR(IF(14*INDEX('UZ-normalized'!$D:$D, MATCH($A176, 'UZ-normalized'!$A:$A, 0))-INDEX('UZ-normalized'!$E:$E, MATCH($A176, 'UZ-normalized'!$A:$A, 0))&gt;0, -(14*INDEX('UZ-normalized'!$D:$D, MATCH($A176, 'UZ-normalized'!$A:$A, 0))-INDEX('UZ-normalized'!$E:$E, MATCH($A176, 'UZ-normalized'!$A:$A, 0))), 0), 0)))</f>
        <v>-22.199999999999996</v>
      </c>
      <c r="AC176" s="6">
        <f>MIN(0, N176+(IFERROR(IF(15*INDEX('UA-normalized'!$D:$D, MATCH($A176, 'UA-normalized'!$A:$A, 0))-INDEX('UA-normalized'!$E:$E, MATCH($A176, 'UA-normalized'!$A:$A, 0))&gt;0, -(15*INDEX('UA-normalized'!$D:$D, MATCH($A176, 'UA-normalized'!$A:$A, 0))-INDEX('UA-normalized'!$E:$E, MATCH($A176, 'UA-normalized'!$A:$A, 0))), 0), 0))+(IFERROR(IF(15*INDEX('KZ-normalized'!$D:$D, MATCH($A176, 'KZ-normalized'!$A:$A, 0))-INDEX('KZ-normalized'!$E:$E, MATCH($A176, 'KZ-normalized'!$A:$A, 0))&gt;0, -(15*INDEX('KZ-normalized'!$D:$D, MATCH($A176, 'KZ-normalized'!$A:$A, 0))-INDEX('KZ-normalized'!$E:$E, MATCH($A176, 'KZ-normalized'!$A:$A, 0))), 0), 0))+(IFERROR(IF(15*INDEX('UZ-normalized'!$D:$D, MATCH($A176, 'UZ-normalized'!$A:$A, 0))-INDEX('UZ-normalized'!$E:$E, MATCH($A176, 'UZ-normalized'!$A:$A, 0))&gt;0, -(15*INDEX('UZ-normalized'!$D:$D, MATCH($A176, 'UZ-normalized'!$A:$A, 0))-INDEX('UZ-normalized'!$E:$E, MATCH($A176, 'UZ-normalized'!$A:$A, 0))), 0), 0)))</f>
        <v>-24.5</v>
      </c>
      <c r="AD176" s="6">
        <f>MIN(0, N176+(IFERROR(IF(16*INDEX('UA-normalized'!$D:$D, MATCH($A176, 'UA-normalized'!$A:$A, 0))-INDEX('UA-normalized'!$E:$E, MATCH($A176, 'UA-normalized'!$A:$A, 0))&gt;0, -(16*INDEX('UA-normalized'!$D:$D, MATCH($A176, 'UA-normalized'!$A:$A, 0))-INDEX('UA-normalized'!$E:$E, MATCH($A176, 'UA-normalized'!$A:$A, 0))), 0), 0))+(IFERROR(IF(16*INDEX('KZ-normalized'!$D:$D, MATCH($A176, 'KZ-normalized'!$A:$A, 0))-INDEX('KZ-normalized'!$E:$E, MATCH($A176, 'KZ-normalized'!$A:$A, 0))&gt;0, -(16*INDEX('KZ-normalized'!$D:$D, MATCH($A176, 'KZ-normalized'!$A:$A, 0))-INDEX('KZ-normalized'!$E:$E, MATCH($A176, 'KZ-normalized'!$A:$A, 0))), 0), 0))+(IFERROR(IF(16*INDEX('UZ-normalized'!$D:$D, MATCH($A176, 'UZ-normalized'!$A:$A, 0))-INDEX('UZ-normalized'!$E:$E, MATCH($A176, 'UZ-normalized'!$A:$A, 0))&gt;0, -(16*INDEX('UZ-normalized'!$D:$D, MATCH($A176, 'UZ-normalized'!$A:$A, 0))-INDEX('UZ-normalized'!$E:$E, MATCH($A176, 'UZ-normalized'!$A:$A, 0))), 0), 0)))</f>
        <v>-26.799999999999997</v>
      </c>
      <c r="AE176" s="6">
        <f>MIN(0, N176+(IFERROR(IF(17*INDEX('UA-normalized'!$D:$D, MATCH($A176, 'UA-normalized'!$A:$A, 0))-INDEX('UA-normalized'!$E:$E, MATCH($A176, 'UA-normalized'!$A:$A, 0))&gt;0, -(17*INDEX('UA-normalized'!$D:$D, MATCH($A176, 'UA-normalized'!$A:$A, 0))-INDEX('UA-normalized'!$E:$E, MATCH($A176, 'UA-normalized'!$A:$A, 0))), 0), 0))+(IFERROR(IF(17*INDEX('KZ-normalized'!$D:$D, MATCH($A176, 'KZ-normalized'!$A:$A, 0))-INDEX('KZ-normalized'!$E:$E, MATCH($A176, 'KZ-normalized'!$A:$A, 0))&gt;0, -(17*INDEX('KZ-normalized'!$D:$D, MATCH($A176, 'KZ-normalized'!$A:$A, 0))-INDEX('KZ-normalized'!$E:$E, MATCH($A176, 'KZ-normalized'!$A:$A, 0))), 0), 0))+(IFERROR(IF(17*INDEX('UZ-normalized'!$D:$D, MATCH($A176, 'UZ-normalized'!$A:$A, 0))-INDEX('UZ-normalized'!$E:$E, MATCH($A176, 'UZ-normalized'!$A:$A, 0))&gt;0, -(17*INDEX('UZ-normalized'!$D:$D, MATCH($A176, 'UZ-normalized'!$A:$A, 0))-INDEX('UZ-normalized'!$E:$E, MATCH($A176, 'UZ-normalized'!$A:$A, 0))), 0), 0)))</f>
        <v>-29.099999999999994</v>
      </c>
      <c r="AF176" s="6">
        <f>MIN(0, N176+(IFERROR(IF(18*INDEX('UA-normalized'!$D:$D, MATCH($A176, 'UA-normalized'!$A:$A, 0))-INDEX('UA-normalized'!$E:$E, MATCH($A176, 'UA-normalized'!$A:$A, 0))&gt;0, -(18*INDEX('UA-normalized'!$D:$D, MATCH($A176, 'UA-normalized'!$A:$A, 0))-INDEX('UA-normalized'!$E:$E, MATCH($A176, 'UA-normalized'!$A:$A, 0))), 0), 0))+(IFERROR(IF(18*INDEX('KZ-normalized'!$D:$D, MATCH($A176, 'KZ-normalized'!$A:$A, 0))-INDEX('KZ-normalized'!$E:$E, MATCH($A176, 'KZ-normalized'!$A:$A, 0))&gt;0, -(18*INDEX('KZ-normalized'!$D:$D, MATCH($A176, 'KZ-normalized'!$A:$A, 0))-INDEX('KZ-normalized'!$E:$E, MATCH($A176, 'KZ-normalized'!$A:$A, 0))), 0), 0))+(IFERROR(IF(18*INDEX('UZ-normalized'!$D:$D, MATCH($A176, 'UZ-normalized'!$A:$A, 0))-INDEX('UZ-normalized'!$E:$E, MATCH($A176, 'UZ-normalized'!$A:$A, 0))&gt;0, -(18*INDEX('UZ-normalized'!$D:$D, MATCH($A176, 'UZ-normalized'!$A:$A, 0))-INDEX('UZ-normalized'!$E:$E, MATCH($A176, 'UZ-normalized'!$A:$A, 0))), 0), 0)))</f>
        <v>-31.4</v>
      </c>
      <c r="AG176" s="6">
        <f>MIN(0, N176+(IFERROR(IF(19*INDEX('UA-normalized'!$D:$D, MATCH($A176, 'UA-normalized'!$A:$A, 0))-INDEX('UA-normalized'!$E:$E, MATCH($A176, 'UA-normalized'!$A:$A, 0))&gt;0, -(19*INDEX('UA-normalized'!$D:$D, MATCH($A176, 'UA-normalized'!$A:$A, 0))-INDEX('UA-normalized'!$E:$E, MATCH($A176, 'UA-normalized'!$A:$A, 0))), 0), 0))+(IFERROR(IF(19*INDEX('KZ-normalized'!$D:$D, MATCH($A176, 'KZ-normalized'!$A:$A, 0))-INDEX('KZ-normalized'!$E:$E, MATCH($A176, 'KZ-normalized'!$A:$A, 0))&gt;0, -(19*INDEX('KZ-normalized'!$D:$D, MATCH($A176, 'KZ-normalized'!$A:$A, 0))-INDEX('KZ-normalized'!$E:$E, MATCH($A176, 'KZ-normalized'!$A:$A, 0))), 0), 0))+(IFERROR(IF(19*INDEX('UZ-normalized'!$D:$D, MATCH($A176, 'UZ-normalized'!$A:$A, 0))-INDEX('UZ-normalized'!$E:$E, MATCH($A176, 'UZ-normalized'!$A:$A, 0))&gt;0, -(19*INDEX('UZ-normalized'!$D:$D, MATCH($A176, 'UZ-normalized'!$A:$A, 0))-INDEX('UZ-normalized'!$E:$E, MATCH($A176, 'UZ-normalized'!$A:$A, 0))), 0), 0)))</f>
        <v>-33.699999999999996</v>
      </c>
      <c r="AH176" s="6">
        <f>MIN(0, N176+(IFERROR(IF(20*INDEX('UA-normalized'!$D:$D, MATCH($A176, 'UA-normalized'!$A:$A, 0))-INDEX('UA-normalized'!$E:$E, MATCH($A176, 'UA-normalized'!$A:$A, 0))&gt;0, -(20*INDEX('UA-normalized'!$D:$D, MATCH($A176, 'UA-normalized'!$A:$A, 0))-INDEX('UA-normalized'!$E:$E, MATCH($A176, 'UA-normalized'!$A:$A, 0))), 0), 0))+(IFERROR(IF(20*INDEX('KZ-normalized'!$D:$D, MATCH($A176, 'KZ-normalized'!$A:$A, 0))-INDEX('KZ-normalized'!$E:$E, MATCH($A176, 'KZ-normalized'!$A:$A, 0))&gt;0, -(20*INDEX('KZ-normalized'!$D:$D, MATCH($A176, 'KZ-normalized'!$A:$A, 0))-INDEX('KZ-normalized'!$E:$E, MATCH($A176, 'KZ-normalized'!$A:$A, 0))), 0), 0))+(IFERROR(IF(20*INDEX('UZ-normalized'!$D:$D, MATCH($A176, 'UZ-normalized'!$A:$A, 0))-INDEX('UZ-normalized'!$E:$E, MATCH($A176, 'UZ-normalized'!$A:$A, 0))&gt;0, -(20*INDEX('UZ-normalized'!$D:$D, MATCH($A176, 'UZ-normalized'!$A:$A, 0))-INDEX('UZ-normalized'!$E:$E, MATCH($A176, 'UZ-normalized'!$A:$A, 0))), 0), 0)))</f>
        <v>-36</v>
      </c>
      <c r="AI176" s="6">
        <f>MIN(0, N176+(IFERROR(IF(21*INDEX('UA-normalized'!$D:$D, MATCH($A176, 'UA-normalized'!$A:$A, 0))-INDEX('UA-normalized'!$E:$E, MATCH($A176, 'UA-normalized'!$A:$A, 0))&gt;0, -(21*INDEX('UA-normalized'!$D:$D, MATCH($A176, 'UA-normalized'!$A:$A, 0))-INDEX('UA-normalized'!$E:$E, MATCH($A176, 'UA-normalized'!$A:$A, 0))), 0), 0))+(IFERROR(IF(21*INDEX('KZ-normalized'!$D:$D, MATCH($A176, 'KZ-normalized'!$A:$A, 0))-INDEX('KZ-normalized'!$E:$E, MATCH($A176, 'KZ-normalized'!$A:$A, 0))&gt;0, -(21*INDEX('KZ-normalized'!$D:$D, MATCH($A176, 'KZ-normalized'!$A:$A, 0))-INDEX('KZ-normalized'!$E:$E, MATCH($A176, 'KZ-normalized'!$A:$A, 0))), 0), 0))+(IFERROR(IF(21*INDEX('UZ-normalized'!$D:$D, MATCH($A176, 'UZ-normalized'!$A:$A, 0))-INDEX('UZ-normalized'!$E:$E, MATCH($A176, 'UZ-normalized'!$A:$A, 0))&gt;0, -(21*INDEX('UZ-normalized'!$D:$D, MATCH($A176, 'UZ-normalized'!$A:$A, 0))-INDEX('UZ-normalized'!$E:$E, MATCH($A176, 'UZ-normalized'!$A:$A, 0))), 0), 0)))</f>
        <v>-38.299999999999997</v>
      </c>
      <c r="AJ176" s="6">
        <f>MIN(0, N176+(IFERROR(IF(22*INDEX('UA-normalized'!$D:$D, MATCH($A176, 'UA-normalized'!$A:$A, 0))-INDEX('UA-normalized'!$E:$E, MATCH($A176, 'UA-normalized'!$A:$A, 0))&gt;0, -(22*INDEX('UA-normalized'!$D:$D, MATCH($A176, 'UA-normalized'!$A:$A, 0))-INDEX('UA-normalized'!$E:$E, MATCH($A176, 'UA-normalized'!$A:$A, 0))), 0), 0))+(IFERROR(IF(22*INDEX('KZ-normalized'!$D:$D, MATCH($A176, 'KZ-normalized'!$A:$A, 0))-INDEX('KZ-normalized'!$E:$E, MATCH($A176, 'KZ-normalized'!$A:$A, 0))&gt;0, -(22*INDEX('KZ-normalized'!$D:$D, MATCH($A176, 'KZ-normalized'!$A:$A, 0))-INDEX('KZ-normalized'!$E:$E, MATCH($A176, 'KZ-normalized'!$A:$A, 0))), 0), 0))+(IFERROR(IF(22*INDEX('UZ-normalized'!$D:$D, MATCH($A176, 'UZ-normalized'!$A:$A, 0))-INDEX('UZ-normalized'!$E:$E, MATCH($A176, 'UZ-normalized'!$A:$A, 0))&gt;0, -(22*INDEX('UZ-normalized'!$D:$D, MATCH($A176, 'UZ-normalized'!$A:$A, 0))-INDEX('UZ-normalized'!$E:$E, MATCH($A176, 'UZ-normalized'!$A:$A, 0))), 0), 0)))</f>
        <v>-40.599999999999994</v>
      </c>
      <c r="AK176" s="6">
        <f>MIN(0, N176+(IFERROR(IF(23*INDEX('UA-normalized'!$D:$D, MATCH($A176, 'UA-normalized'!$A:$A, 0))-INDEX('UA-normalized'!$E:$E, MATCH($A176, 'UA-normalized'!$A:$A, 0))&gt;0, -(23*INDEX('UA-normalized'!$D:$D, MATCH($A176, 'UA-normalized'!$A:$A, 0))-INDEX('UA-normalized'!$E:$E, MATCH($A176, 'UA-normalized'!$A:$A, 0))), 0), 0))+(IFERROR(IF(23*INDEX('KZ-normalized'!$D:$D, MATCH($A176, 'KZ-normalized'!$A:$A, 0))-INDEX('KZ-normalized'!$E:$E, MATCH($A176, 'KZ-normalized'!$A:$A, 0))&gt;0, -(23*INDEX('KZ-normalized'!$D:$D, MATCH($A176, 'KZ-normalized'!$A:$A, 0))-INDEX('KZ-normalized'!$E:$E, MATCH($A176, 'KZ-normalized'!$A:$A, 0))), 0), 0))+(IFERROR(IF(23*INDEX('UZ-normalized'!$D:$D, MATCH($A176, 'UZ-normalized'!$A:$A, 0))-INDEX('UZ-normalized'!$E:$E, MATCH($A176, 'UZ-normalized'!$A:$A, 0))&gt;0, -(23*INDEX('UZ-normalized'!$D:$D, MATCH($A176, 'UZ-normalized'!$A:$A, 0))-INDEX('UZ-normalized'!$E:$E, MATCH($A176, 'UZ-normalized'!$A:$A, 0))), 0), 0)))</f>
        <v>-42.9</v>
      </c>
      <c r="AL176" s="6">
        <f>MIN(0, N176+(IFERROR(IF(24*INDEX('UA-normalized'!$D:$D, MATCH($A176, 'UA-normalized'!$A:$A, 0))-INDEX('UA-normalized'!$E:$E, MATCH($A176, 'UA-normalized'!$A:$A, 0))&gt;0, -(24*INDEX('UA-normalized'!$D:$D, MATCH($A176, 'UA-normalized'!$A:$A, 0))-INDEX('UA-normalized'!$E:$E, MATCH($A176, 'UA-normalized'!$A:$A, 0))), 0), 0))+(IFERROR(IF(24*INDEX('KZ-normalized'!$D:$D, MATCH($A176, 'KZ-normalized'!$A:$A, 0))-INDEX('KZ-normalized'!$E:$E, MATCH($A176, 'KZ-normalized'!$A:$A, 0))&gt;0, -(24*INDEX('KZ-normalized'!$D:$D, MATCH($A176, 'KZ-normalized'!$A:$A, 0))-INDEX('KZ-normalized'!$E:$E, MATCH($A176, 'KZ-normalized'!$A:$A, 0))), 0), 0))+(IFERROR(IF(24*INDEX('UZ-normalized'!$D:$D, MATCH($A176, 'UZ-normalized'!$A:$A, 0))-INDEX('UZ-normalized'!$E:$E, MATCH($A176, 'UZ-normalized'!$A:$A, 0))&gt;0, -(24*INDEX('UZ-normalized'!$D:$D, MATCH($A176, 'UZ-normalized'!$A:$A, 0))-INDEX('UZ-normalized'!$E:$E, MATCH($A176, 'UZ-normalized'!$A:$A, 0))), 0), 0)))</f>
        <v>-45.199999999999996</v>
      </c>
      <c r="AM176" s="6">
        <f>MIN(0, N176+(IFERROR(IF(25*INDEX('UA-normalized'!$D:$D, MATCH($A176, 'UA-normalized'!$A:$A, 0))-INDEX('UA-normalized'!$E:$E, MATCH($A176, 'UA-normalized'!$A:$A, 0))&gt;0, -(25*INDEX('UA-normalized'!$D:$D, MATCH($A176, 'UA-normalized'!$A:$A, 0))-INDEX('UA-normalized'!$E:$E, MATCH($A176, 'UA-normalized'!$A:$A, 0))), 0), 0))+(IFERROR(IF(25*INDEX('KZ-normalized'!$D:$D, MATCH($A176, 'KZ-normalized'!$A:$A, 0))-INDEX('KZ-normalized'!$E:$E, MATCH($A176, 'KZ-normalized'!$A:$A, 0))&gt;0, -(25*INDEX('KZ-normalized'!$D:$D, MATCH($A176, 'KZ-normalized'!$A:$A, 0))-INDEX('KZ-normalized'!$E:$E, MATCH($A176, 'KZ-normalized'!$A:$A, 0))), 0), 0))+(IFERROR(IF(25*INDEX('UZ-normalized'!$D:$D, MATCH($A176, 'UZ-normalized'!$A:$A, 0))-INDEX('UZ-normalized'!$E:$E, MATCH($A176, 'UZ-normalized'!$A:$A, 0))&gt;0, -(25*INDEX('UZ-normalized'!$D:$D, MATCH($A176, 'UZ-normalized'!$A:$A, 0))-INDEX('UZ-normalized'!$E:$E, MATCH($A176, 'UZ-normalized'!$A:$A, 0))), 0), 0)))</f>
        <v>-47.499999999999993</v>
      </c>
      <c r="AN176" s="6">
        <f>MIN(0, N176+(IFERROR(IF(26*INDEX('UA-normalized'!$D:$D, MATCH($A176, 'UA-normalized'!$A:$A, 0))-INDEX('UA-normalized'!$E:$E, MATCH($A176, 'UA-normalized'!$A:$A, 0))&gt;0, -(26*INDEX('UA-normalized'!$D:$D, MATCH($A176, 'UA-normalized'!$A:$A, 0))-INDEX('UA-normalized'!$E:$E, MATCH($A176, 'UA-normalized'!$A:$A, 0))), 0), 0))+(IFERROR(IF(26*INDEX('KZ-normalized'!$D:$D, MATCH($A176, 'KZ-normalized'!$A:$A, 0))-INDEX('KZ-normalized'!$E:$E, MATCH($A176, 'KZ-normalized'!$A:$A, 0))&gt;0, -(26*INDEX('KZ-normalized'!$D:$D, MATCH($A176, 'KZ-normalized'!$A:$A, 0))-INDEX('KZ-normalized'!$E:$E, MATCH($A176, 'KZ-normalized'!$A:$A, 0))), 0), 0))+(IFERROR(IF(26*INDEX('UZ-normalized'!$D:$D, MATCH($A176, 'UZ-normalized'!$A:$A, 0))-INDEX('UZ-normalized'!$E:$E, MATCH($A176, 'UZ-normalized'!$A:$A, 0))&gt;0, -(26*INDEX('UZ-normalized'!$D:$D, MATCH($A176, 'UZ-normalized'!$A:$A, 0))-INDEX('UZ-normalized'!$E:$E, MATCH($A176, 'UZ-normalized'!$A:$A, 0))), 0), 0)))</f>
        <v>-49.8</v>
      </c>
      <c r="AO176" s="6">
        <f>MIN(0, N176+(IFERROR(IF(27*INDEX('UA-normalized'!$D:$D, MATCH($A176, 'UA-normalized'!$A:$A, 0))-INDEX('UA-normalized'!$E:$E, MATCH($A176, 'UA-normalized'!$A:$A, 0))&gt;0, -(27*INDEX('UA-normalized'!$D:$D, MATCH($A176, 'UA-normalized'!$A:$A, 0))-INDEX('UA-normalized'!$E:$E, MATCH($A176, 'UA-normalized'!$A:$A, 0))), 0), 0))+(IFERROR(IF(27*INDEX('KZ-normalized'!$D:$D, MATCH($A176, 'KZ-normalized'!$A:$A, 0))-INDEX('KZ-normalized'!$E:$E, MATCH($A176, 'KZ-normalized'!$A:$A, 0))&gt;0, -(27*INDEX('KZ-normalized'!$D:$D, MATCH($A176, 'KZ-normalized'!$A:$A, 0))-INDEX('KZ-normalized'!$E:$E, MATCH($A176, 'KZ-normalized'!$A:$A, 0))), 0), 0))+(IFERROR(IF(27*INDEX('UZ-normalized'!$D:$D, MATCH($A176, 'UZ-normalized'!$A:$A, 0))-INDEX('UZ-normalized'!$E:$E, MATCH($A176, 'UZ-normalized'!$A:$A, 0))&gt;0, -(27*INDEX('UZ-normalized'!$D:$D, MATCH($A176, 'UZ-normalized'!$A:$A, 0))-INDEX('UZ-normalized'!$E:$E, MATCH($A176, 'UZ-normalized'!$A:$A, 0))), 0), 0)))</f>
        <v>-52.099999999999994</v>
      </c>
      <c r="AP176" s="6">
        <f>MIN(0, N176+(IFERROR(IF(28*INDEX('UA-normalized'!$D:$D, MATCH($A176, 'UA-normalized'!$A:$A, 0))-INDEX('UA-normalized'!$E:$E, MATCH($A176, 'UA-normalized'!$A:$A, 0))&gt;0, -(28*INDEX('UA-normalized'!$D:$D, MATCH($A176, 'UA-normalized'!$A:$A, 0))-INDEX('UA-normalized'!$E:$E, MATCH($A176, 'UA-normalized'!$A:$A, 0))), 0), 0))+(IFERROR(IF(28*INDEX('KZ-normalized'!$D:$D, MATCH($A176, 'KZ-normalized'!$A:$A, 0))-INDEX('KZ-normalized'!$E:$E, MATCH($A176, 'KZ-normalized'!$A:$A, 0))&gt;0, -(28*INDEX('KZ-normalized'!$D:$D, MATCH($A176, 'KZ-normalized'!$A:$A, 0))-INDEX('KZ-normalized'!$E:$E, MATCH($A176, 'KZ-normalized'!$A:$A, 0))), 0), 0))+(IFERROR(IF(28*INDEX('UZ-normalized'!$D:$D, MATCH($A176, 'UZ-normalized'!$A:$A, 0))-INDEX('UZ-normalized'!$E:$E, MATCH($A176, 'UZ-normalized'!$A:$A, 0))&gt;0, -(28*INDEX('UZ-normalized'!$D:$D, MATCH($A176, 'UZ-normalized'!$A:$A, 0))-INDEX('UZ-normalized'!$E:$E, MATCH($A176, 'UZ-normalized'!$A:$A, 0))), 0), 0)))</f>
        <v>-54.399999999999991</v>
      </c>
      <c r="AQ176" s="6">
        <f>MIN(0, N176+(IFERROR(IF(29*INDEX('UA-normalized'!$D:$D, MATCH($A176, 'UA-normalized'!$A:$A, 0))-INDEX('UA-normalized'!$E:$E, MATCH($A176, 'UA-normalized'!$A:$A, 0))&gt;0, -(29*INDEX('UA-normalized'!$D:$D, MATCH($A176, 'UA-normalized'!$A:$A, 0))-INDEX('UA-normalized'!$E:$E, MATCH($A176, 'UA-normalized'!$A:$A, 0))), 0), 0))+(IFERROR(IF(29*INDEX('KZ-normalized'!$D:$D, MATCH($A176, 'KZ-normalized'!$A:$A, 0))-INDEX('KZ-normalized'!$E:$E, MATCH($A176, 'KZ-normalized'!$A:$A, 0))&gt;0, -(29*INDEX('KZ-normalized'!$D:$D, MATCH($A176, 'KZ-normalized'!$A:$A, 0))-INDEX('KZ-normalized'!$E:$E, MATCH($A176, 'KZ-normalized'!$A:$A, 0))), 0), 0))+(IFERROR(IF(29*INDEX('UZ-normalized'!$D:$D, MATCH($A176, 'UZ-normalized'!$A:$A, 0))-INDEX('UZ-normalized'!$E:$E, MATCH($A176, 'UZ-normalized'!$A:$A, 0))&gt;0, -(29*INDEX('UZ-normalized'!$D:$D, MATCH($A176, 'UZ-normalized'!$A:$A, 0))-INDEX('UZ-normalized'!$E:$E, MATCH($A176, 'UZ-normalized'!$A:$A, 0))), 0), 0)))</f>
        <v>-56.699999999999989</v>
      </c>
      <c r="AR176" s="6">
        <f>MIN(0, N176+(IFERROR(IF(30*INDEX('UA-normalized'!$D:$D, MATCH($A176, 'UA-normalized'!$A:$A, 0))-INDEX('UA-normalized'!$E:$E, MATCH($A176, 'UA-normalized'!$A:$A, 0))&gt;0, -(30*INDEX('UA-normalized'!$D:$D, MATCH($A176, 'UA-normalized'!$A:$A, 0))-INDEX('UA-normalized'!$E:$E, MATCH($A176, 'UA-normalized'!$A:$A, 0))), 0), 0))+(IFERROR(IF(30*INDEX('KZ-normalized'!$D:$D, MATCH($A176, 'KZ-normalized'!$A:$A, 0))-INDEX('KZ-normalized'!$E:$E, MATCH($A176, 'KZ-normalized'!$A:$A, 0))&gt;0, -(30*INDEX('KZ-normalized'!$D:$D, MATCH($A176, 'KZ-normalized'!$A:$A, 0))-INDEX('KZ-normalized'!$E:$E, MATCH($A176, 'KZ-normalized'!$A:$A, 0))), 0), 0))+(IFERROR(IF(30*INDEX('UZ-normalized'!$D:$D, MATCH($A176, 'UZ-normalized'!$A:$A, 0))-INDEX('UZ-normalized'!$E:$E, MATCH($A176, 'UZ-normalized'!$A:$A, 0))&gt;0, -(30*INDEX('UZ-normalized'!$D:$D, MATCH($A176, 'UZ-normalized'!$A:$A, 0))-INDEX('UZ-normalized'!$E:$E, MATCH($A176, 'UZ-normalized'!$A:$A, 0))), 0), 0)))</f>
        <v>-59</v>
      </c>
    </row>
    <row r="177" spans="1:44" x14ac:dyDescent="0.25">
      <c r="A177" s="8" t="s">
        <v>423</v>
      </c>
      <c r="B177" s="8" t="s">
        <v>420</v>
      </c>
      <c r="C177" s="8" t="s">
        <v>421</v>
      </c>
      <c r="D177" s="8" t="s">
        <v>424</v>
      </c>
      <c r="N177">
        <f t="shared" si="2"/>
        <v>0</v>
      </c>
      <c r="O177" s="6">
        <f>MIN(0, N177+(IFERROR(IF(1*INDEX('UA-normalized'!$D:$D, MATCH($A177, 'UA-normalized'!$A:$A, 0))-INDEX('UA-normalized'!$E:$E, MATCH($A177, 'UA-normalized'!$A:$A, 0))&gt;0, -(1*INDEX('UA-normalized'!$D:$D, MATCH($A177, 'UA-normalized'!$A:$A, 0))-INDEX('UA-normalized'!$E:$E, MATCH($A177, 'UA-normalized'!$A:$A, 0))), 0), 0))+(IFERROR(IF(1*INDEX('KZ-normalized'!$D:$D, MATCH($A177, 'KZ-normalized'!$A:$A, 0))-INDEX('KZ-normalized'!$E:$E, MATCH($A177, 'KZ-normalized'!$A:$A, 0))&gt;0, -(1*INDEX('KZ-normalized'!$D:$D, MATCH($A177, 'KZ-normalized'!$A:$A, 0))-INDEX('KZ-normalized'!$E:$E, MATCH($A177, 'KZ-normalized'!$A:$A, 0))), 0), 0))+(IFERROR(IF(1*INDEX('UZ-normalized'!$D:$D, MATCH($A177, 'UZ-normalized'!$A:$A, 0))-INDEX('UZ-normalized'!$E:$E, MATCH($A177, 'UZ-normalized'!$A:$A, 0))&gt;0, -(1*INDEX('UZ-normalized'!$D:$D, MATCH($A177, 'UZ-normalized'!$A:$A, 0))-INDEX('UZ-normalized'!$E:$E, MATCH($A177, 'UZ-normalized'!$A:$A, 0))), 0), 0)))</f>
        <v>0</v>
      </c>
      <c r="P177" s="6">
        <f>MIN(0, N177+(IFERROR(IF(2*INDEX('UA-normalized'!$D:$D, MATCH($A177, 'UA-normalized'!$A:$A, 0))-INDEX('UA-normalized'!$E:$E, MATCH($A177, 'UA-normalized'!$A:$A, 0))&gt;0, -(2*INDEX('UA-normalized'!$D:$D, MATCH($A177, 'UA-normalized'!$A:$A, 0))-INDEX('UA-normalized'!$E:$E, MATCH($A177, 'UA-normalized'!$A:$A, 0))), 0), 0))+(IFERROR(IF(2*INDEX('KZ-normalized'!$D:$D, MATCH($A177, 'KZ-normalized'!$A:$A, 0))-INDEX('KZ-normalized'!$E:$E, MATCH($A177, 'KZ-normalized'!$A:$A, 0))&gt;0, -(2*INDEX('KZ-normalized'!$D:$D, MATCH($A177, 'KZ-normalized'!$A:$A, 0))-INDEX('KZ-normalized'!$E:$E, MATCH($A177, 'KZ-normalized'!$A:$A, 0))), 0), 0))+(IFERROR(IF(2*INDEX('UZ-normalized'!$D:$D, MATCH($A177, 'UZ-normalized'!$A:$A, 0))-INDEX('UZ-normalized'!$E:$E, MATCH($A177, 'UZ-normalized'!$A:$A, 0))&gt;0, -(2*INDEX('UZ-normalized'!$D:$D, MATCH($A177, 'UZ-normalized'!$A:$A, 0))-INDEX('UZ-normalized'!$E:$E, MATCH($A177, 'UZ-normalized'!$A:$A, 0))), 0), 0)))</f>
        <v>0</v>
      </c>
      <c r="Q177" s="6">
        <f>MIN(0, N177+(IFERROR(IF(3*INDEX('UA-normalized'!$D:$D, MATCH($A177, 'UA-normalized'!$A:$A, 0))-INDEX('UA-normalized'!$E:$E, MATCH($A177, 'UA-normalized'!$A:$A, 0))&gt;0, -(3*INDEX('UA-normalized'!$D:$D, MATCH($A177, 'UA-normalized'!$A:$A, 0))-INDEX('UA-normalized'!$E:$E, MATCH($A177, 'UA-normalized'!$A:$A, 0))), 0), 0))+(IFERROR(IF(3*INDEX('KZ-normalized'!$D:$D, MATCH($A177, 'KZ-normalized'!$A:$A, 0))-INDEX('KZ-normalized'!$E:$E, MATCH($A177, 'KZ-normalized'!$A:$A, 0))&gt;0, -(3*INDEX('KZ-normalized'!$D:$D, MATCH($A177, 'KZ-normalized'!$A:$A, 0))-INDEX('KZ-normalized'!$E:$E, MATCH($A177, 'KZ-normalized'!$A:$A, 0))), 0), 0))+(IFERROR(IF(3*INDEX('UZ-normalized'!$D:$D, MATCH($A177, 'UZ-normalized'!$A:$A, 0))-INDEX('UZ-normalized'!$E:$E, MATCH($A177, 'UZ-normalized'!$A:$A, 0))&gt;0, -(3*INDEX('UZ-normalized'!$D:$D, MATCH($A177, 'UZ-normalized'!$A:$A, 0))-INDEX('UZ-normalized'!$E:$E, MATCH($A177, 'UZ-normalized'!$A:$A, 0))), 0), 0)))</f>
        <v>0</v>
      </c>
      <c r="R177" s="6">
        <f>MIN(0, N177+(IFERROR(IF(4*INDEX('UA-normalized'!$D:$D, MATCH($A177, 'UA-normalized'!$A:$A, 0))-INDEX('UA-normalized'!$E:$E, MATCH($A177, 'UA-normalized'!$A:$A, 0))&gt;0, -(4*INDEX('UA-normalized'!$D:$D, MATCH($A177, 'UA-normalized'!$A:$A, 0))-INDEX('UA-normalized'!$E:$E, MATCH($A177, 'UA-normalized'!$A:$A, 0))), 0), 0))+(IFERROR(IF(4*INDEX('KZ-normalized'!$D:$D, MATCH($A177, 'KZ-normalized'!$A:$A, 0))-INDEX('KZ-normalized'!$E:$E, MATCH($A177, 'KZ-normalized'!$A:$A, 0))&gt;0, -(4*INDEX('KZ-normalized'!$D:$D, MATCH($A177, 'KZ-normalized'!$A:$A, 0))-INDEX('KZ-normalized'!$E:$E, MATCH($A177, 'KZ-normalized'!$A:$A, 0))), 0), 0))+(IFERROR(IF(4*INDEX('UZ-normalized'!$D:$D, MATCH($A177, 'UZ-normalized'!$A:$A, 0))-INDEX('UZ-normalized'!$E:$E, MATCH($A177, 'UZ-normalized'!$A:$A, 0))&gt;0, -(4*INDEX('UZ-normalized'!$D:$D, MATCH($A177, 'UZ-normalized'!$A:$A, 0))-INDEX('UZ-normalized'!$E:$E, MATCH($A177, 'UZ-normalized'!$A:$A, 0))), 0), 0)))</f>
        <v>0</v>
      </c>
      <c r="S177" s="6">
        <f>MIN(0, N177+(IFERROR(IF(5*INDEX('UA-normalized'!$D:$D, MATCH($A177, 'UA-normalized'!$A:$A, 0))-INDEX('UA-normalized'!$E:$E, MATCH($A177, 'UA-normalized'!$A:$A, 0))&gt;0, -(5*INDEX('UA-normalized'!$D:$D, MATCH($A177, 'UA-normalized'!$A:$A, 0))-INDEX('UA-normalized'!$E:$E, MATCH($A177, 'UA-normalized'!$A:$A, 0))), 0), 0))+(IFERROR(IF(5*INDEX('KZ-normalized'!$D:$D, MATCH($A177, 'KZ-normalized'!$A:$A, 0))-INDEX('KZ-normalized'!$E:$E, MATCH($A177, 'KZ-normalized'!$A:$A, 0))&gt;0, -(5*INDEX('KZ-normalized'!$D:$D, MATCH($A177, 'KZ-normalized'!$A:$A, 0))-INDEX('KZ-normalized'!$E:$E, MATCH($A177, 'KZ-normalized'!$A:$A, 0))), 0), 0))+(IFERROR(IF(5*INDEX('UZ-normalized'!$D:$D, MATCH($A177, 'UZ-normalized'!$A:$A, 0))-INDEX('UZ-normalized'!$E:$E, MATCH($A177, 'UZ-normalized'!$A:$A, 0))&gt;0, -(5*INDEX('UZ-normalized'!$D:$D, MATCH($A177, 'UZ-normalized'!$A:$A, 0))-INDEX('UZ-normalized'!$E:$E, MATCH($A177, 'UZ-normalized'!$A:$A, 0))), 0), 0)))</f>
        <v>0</v>
      </c>
      <c r="T177" s="6">
        <f>MIN(0, N177+(IFERROR(IF(6*INDEX('UA-normalized'!$D:$D, MATCH($A177, 'UA-normalized'!$A:$A, 0))-INDEX('UA-normalized'!$E:$E, MATCH($A177, 'UA-normalized'!$A:$A, 0))&gt;0, -(6*INDEX('UA-normalized'!$D:$D, MATCH($A177, 'UA-normalized'!$A:$A, 0))-INDEX('UA-normalized'!$E:$E, MATCH($A177, 'UA-normalized'!$A:$A, 0))), 0), 0))+(IFERROR(IF(6*INDEX('KZ-normalized'!$D:$D, MATCH($A177, 'KZ-normalized'!$A:$A, 0))-INDEX('KZ-normalized'!$E:$E, MATCH($A177, 'KZ-normalized'!$A:$A, 0))&gt;0, -(6*INDEX('KZ-normalized'!$D:$D, MATCH($A177, 'KZ-normalized'!$A:$A, 0))-INDEX('KZ-normalized'!$E:$E, MATCH($A177, 'KZ-normalized'!$A:$A, 0))), 0), 0))+(IFERROR(IF(6*INDEX('UZ-normalized'!$D:$D, MATCH($A177, 'UZ-normalized'!$A:$A, 0))-INDEX('UZ-normalized'!$E:$E, MATCH($A177, 'UZ-normalized'!$A:$A, 0))&gt;0, -(6*INDEX('UZ-normalized'!$D:$D, MATCH($A177, 'UZ-normalized'!$A:$A, 0))-INDEX('UZ-normalized'!$E:$E, MATCH($A177, 'UZ-normalized'!$A:$A, 0))), 0), 0)))</f>
        <v>0</v>
      </c>
      <c r="U177" s="6">
        <f>MIN(0, N177+(IFERROR(IF(7*INDEX('UA-normalized'!$D:$D, MATCH($A177, 'UA-normalized'!$A:$A, 0))-INDEX('UA-normalized'!$E:$E, MATCH($A177, 'UA-normalized'!$A:$A, 0))&gt;0, -(7*INDEX('UA-normalized'!$D:$D, MATCH($A177, 'UA-normalized'!$A:$A, 0))-INDEX('UA-normalized'!$E:$E, MATCH($A177, 'UA-normalized'!$A:$A, 0))), 0), 0))+(IFERROR(IF(7*INDEX('KZ-normalized'!$D:$D, MATCH($A177, 'KZ-normalized'!$A:$A, 0))-INDEX('KZ-normalized'!$E:$E, MATCH($A177, 'KZ-normalized'!$A:$A, 0))&gt;0, -(7*INDEX('KZ-normalized'!$D:$D, MATCH($A177, 'KZ-normalized'!$A:$A, 0))-INDEX('KZ-normalized'!$E:$E, MATCH($A177, 'KZ-normalized'!$A:$A, 0))), 0), 0))+(IFERROR(IF(7*INDEX('UZ-normalized'!$D:$D, MATCH($A177, 'UZ-normalized'!$A:$A, 0))-INDEX('UZ-normalized'!$E:$E, MATCH($A177, 'UZ-normalized'!$A:$A, 0))&gt;0, -(7*INDEX('UZ-normalized'!$D:$D, MATCH($A177, 'UZ-normalized'!$A:$A, 0))-INDEX('UZ-normalized'!$E:$E, MATCH($A177, 'UZ-normalized'!$A:$A, 0))), 0), 0)))</f>
        <v>0</v>
      </c>
      <c r="V177" s="6">
        <f>MIN(0, N177+(IFERROR(IF(8*INDEX('UA-normalized'!$D:$D, MATCH($A177, 'UA-normalized'!$A:$A, 0))-INDEX('UA-normalized'!$E:$E, MATCH($A177, 'UA-normalized'!$A:$A, 0))&gt;0, -(8*INDEX('UA-normalized'!$D:$D, MATCH($A177, 'UA-normalized'!$A:$A, 0))-INDEX('UA-normalized'!$E:$E, MATCH($A177, 'UA-normalized'!$A:$A, 0))), 0), 0))+(IFERROR(IF(8*INDEX('KZ-normalized'!$D:$D, MATCH($A177, 'KZ-normalized'!$A:$A, 0))-INDEX('KZ-normalized'!$E:$E, MATCH($A177, 'KZ-normalized'!$A:$A, 0))&gt;0, -(8*INDEX('KZ-normalized'!$D:$D, MATCH($A177, 'KZ-normalized'!$A:$A, 0))-INDEX('KZ-normalized'!$E:$E, MATCH($A177, 'KZ-normalized'!$A:$A, 0))), 0), 0))+(IFERROR(IF(8*INDEX('UZ-normalized'!$D:$D, MATCH($A177, 'UZ-normalized'!$A:$A, 0))-INDEX('UZ-normalized'!$E:$E, MATCH($A177, 'UZ-normalized'!$A:$A, 0))&gt;0, -(8*INDEX('UZ-normalized'!$D:$D, MATCH($A177, 'UZ-normalized'!$A:$A, 0))-INDEX('UZ-normalized'!$E:$E, MATCH($A177, 'UZ-normalized'!$A:$A, 0))), 0), 0)))</f>
        <v>0</v>
      </c>
      <c r="W177" s="6">
        <f>MIN(0, N177+(IFERROR(IF(9*INDEX('UA-normalized'!$D:$D, MATCH($A177, 'UA-normalized'!$A:$A, 0))-INDEX('UA-normalized'!$E:$E, MATCH($A177, 'UA-normalized'!$A:$A, 0))&gt;0, -(9*INDEX('UA-normalized'!$D:$D, MATCH($A177, 'UA-normalized'!$A:$A, 0))-INDEX('UA-normalized'!$E:$E, MATCH($A177, 'UA-normalized'!$A:$A, 0))), 0), 0))+(IFERROR(IF(9*INDEX('KZ-normalized'!$D:$D, MATCH($A177, 'KZ-normalized'!$A:$A, 0))-INDEX('KZ-normalized'!$E:$E, MATCH($A177, 'KZ-normalized'!$A:$A, 0))&gt;0, -(9*INDEX('KZ-normalized'!$D:$D, MATCH($A177, 'KZ-normalized'!$A:$A, 0))-INDEX('KZ-normalized'!$E:$E, MATCH($A177, 'KZ-normalized'!$A:$A, 0))), 0), 0))+(IFERROR(IF(9*INDEX('UZ-normalized'!$D:$D, MATCH($A177, 'UZ-normalized'!$A:$A, 0))-INDEX('UZ-normalized'!$E:$E, MATCH($A177, 'UZ-normalized'!$A:$A, 0))&gt;0, -(9*INDEX('UZ-normalized'!$D:$D, MATCH($A177, 'UZ-normalized'!$A:$A, 0))-INDEX('UZ-normalized'!$E:$E, MATCH($A177, 'UZ-normalized'!$A:$A, 0))), 0), 0)))</f>
        <v>0</v>
      </c>
      <c r="X177" s="6">
        <f>MIN(0, N177+(IFERROR(IF(10*INDEX('UA-normalized'!$D:$D, MATCH($A177, 'UA-normalized'!$A:$A, 0))-INDEX('UA-normalized'!$E:$E, MATCH($A177, 'UA-normalized'!$A:$A, 0))&gt;0, -(10*INDEX('UA-normalized'!$D:$D, MATCH($A177, 'UA-normalized'!$A:$A, 0))-INDEX('UA-normalized'!$E:$E, MATCH($A177, 'UA-normalized'!$A:$A, 0))), 0), 0))+(IFERROR(IF(10*INDEX('KZ-normalized'!$D:$D, MATCH($A177, 'KZ-normalized'!$A:$A, 0))-INDEX('KZ-normalized'!$E:$E, MATCH($A177, 'KZ-normalized'!$A:$A, 0))&gt;0, -(10*INDEX('KZ-normalized'!$D:$D, MATCH($A177, 'KZ-normalized'!$A:$A, 0))-INDEX('KZ-normalized'!$E:$E, MATCH($A177, 'KZ-normalized'!$A:$A, 0))), 0), 0))+(IFERROR(IF(10*INDEX('UZ-normalized'!$D:$D, MATCH($A177, 'UZ-normalized'!$A:$A, 0))-INDEX('UZ-normalized'!$E:$E, MATCH($A177, 'UZ-normalized'!$A:$A, 0))&gt;0, -(10*INDEX('UZ-normalized'!$D:$D, MATCH($A177, 'UZ-normalized'!$A:$A, 0))-INDEX('UZ-normalized'!$E:$E, MATCH($A177, 'UZ-normalized'!$A:$A, 0))), 0), 0)))</f>
        <v>0</v>
      </c>
      <c r="Y177" s="6">
        <f>MIN(0, N177+(IFERROR(IF(11*INDEX('UA-normalized'!$D:$D, MATCH($A177, 'UA-normalized'!$A:$A, 0))-INDEX('UA-normalized'!$E:$E, MATCH($A177, 'UA-normalized'!$A:$A, 0))&gt;0, -(11*INDEX('UA-normalized'!$D:$D, MATCH($A177, 'UA-normalized'!$A:$A, 0))-INDEX('UA-normalized'!$E:$E, MATCH($A177, 'UA-normalized'!$A:$A, 0))), 0), 0))+(IFERROR(IF(11*INDEX('KZ-normalized'!$D:$D, MATCH($A177, 'KZ-normalized'!$A:$A, 0))-INDEX('KZ-normalized'!$E:$E, MATCH($A177, 'KZ-normalized'!$A:$A, 0))&gt;0, -(11*INDEX('KZ-normalized'!$D:$D, MATCH($A177, 'KZ-normalized'!$A:$A, 0))-INDEX('KZ-normalized'!$E:$E, MATCH($A177, 'KZ-normalized'!$A:$A, 0))), 0), 0))+(IFERROR(IF(11*INDEX('UZ-normalized'!$D:$D, MATCH($A177, 'UZ-normalized'!$A:$A, 0))-INDEX('UZ-normalized'!$E:$E, MATCH($A177, 'UZ-normalized'!$A:$A, 0))&gt;0, -(11*INDEX('UZ-normalized'!$D:$D, MATCH($A177, 'UZ-normalized'!$A:$A, 0))-INDEX('UZ-normalized'!$E:$E, MATCH($A177, 'UZ-normalized'!$A:$A, 0))), 0), 0)))</f>
        <v>0</v>
      </c>
      <c r="Z177" s="6">
        <f>MIN(0, N177+(IFERROR(IF(12*INDEX('UA-normalized'!$D:$D, MATCH($A177, 'UA-normalized'!$A:$A, 0))-INDEX('UA-normalized'!$E:$E, MATCH($A177, 'UA-normalized'!$A:$A, 0))&gt;0, -(12*INDEX('UA-normalized'!$D:$D, MATCH($A177, 'UA-normalized'!$A:$A, 0))-INDEX('UA-normalized'!$E:$E, MATCH($A177, 'UA-normalized'!$A:$A, 0))), 0), 0))+(IFERROR(IF(12*INDEX('KZ-normalized'!$D:$D, MATCH($A177, 'KZ-normalized'!$A:$A, 0))-INDEX('KZ-normalized'!$E:$E, MATCH($A177, 'KZ-normalized'!$A:$A, 0))&gt;0, -(12*INDEX('KZ-normalized'!$D:$D, MATCH($A177, 'KZ-normalized'!$A:$A, 0))-INDEX('KZ-normalized'!$E:$E, MATCH($A177, 'KZ-normalized'!$A:$A, 0))), 0), 0))+(IFERROR(IF(12*INDEX('UZ-normalized'!$D:$D, MATCH($A177, 'UZ-normalized'!$A:$A, 0))-INDEX('UZ-normalized'!$E:$E, MATCH($A177, 'UZ-normalized'!$A:$A, 0))&gt;0, -(12*INDEX('UZ-normalized'!$D:$D, MATCH($A177, 'UZ-normalized'!$A:$A, 0))-INDEX('UZ-normalized'!$E:$E, MATCH($A177, 'UZ-normalized'!$A:$A, 0))), 0), 0)))</f>
        <v>0</v>
      </c>
      <c r="AA177" s="6">
        <f>MIN(0, N177+(IFERROR(IF(13*INDEX('UA-normalized'!$D:$D, MATCH($A177, 'UA-normalized'!$A:$A, 0))-INDEX('UA-normalized'!$E:$E, MATCH($A177, 'UA-normalized'!$A:$A, 0))&gt;0, -(13*INDEX('UA-normalized'!$D:$D, MATCH($A177, 'UA-normalized'!$A:$A, 0))-INDEX('UA-normalized'!$E:$E, MATCH($A177, 'UA-normalized'!$A:$A, 0))), 0), 0))+(IFERROR(IF(13*INDEX('KZ-normalized'!$D:$D, MATCH($A177, 'KZ-normalized'!$A:$A, 0))-INDEX('KZ-normalized'!$E:$E, MATCH($A177, 'KZ-normalized'!$A:$A, 0))&gt;0, -(13*INDEX('KZ-normalized'!$D:$D, MATCH($A177, 'KZ-normalized'!$A:$A, 0))-INDEX('KZ-normalized'!$E:$E, MATCH($A177, 'KZ-normalized'!$A:$A, 0))), 0), 0))+(IFERROR(IF(13*INDEX('UZ-normalized'!$D:$D, MATCH($A177, 'UZ-normalized'!$A:$A, 0))-INDEX('UZ-normalized'!$E:$E, MATCH($A177, 'UZ-normalized'!$A:$A, 0))&gt;0, -(13*INDEX('UZ-normalized'!$D:$D, MATCH($A177, 'UZ-normalized'!$A:$A, 0))-INDEX('UZ-normalized'!$E:$E, MATCH($A177, 'UZ-normalized'!$A:$A, 0))), 0), 0)))</f>
        <v>0</v>
      </c>
      <c r="AB177" s="6">
        <f>MIN(0, N177+(IFERROR(IF(14*INDEX('UA-normalized'!$D:$D, MATCH($A177, 'UA-normalized'!$A:$A, 0))-INDEX('UA-normalized'!$E:$E, MATCH($A177, 'UA-normalized'!$A:$A, 0))&gt;0, -(14*INDEX('UA-normalized'!$D:$D, MATCH($A177, 'UA-normalized'!$A:$A, 0))-INDEX('UA-normalized'!$E:$E, MATCH($A177, 'UA-normalized'!$A:$A, 0))), 0), 0))+(IFERROR(IF(14*INDEX('KZ-normalized'!$D:$D, MATCH($A177, 'KZ-normalized'!$A:$A, 0))-INDEX('KZ-normalized'!$E:$E, MATCH($A177, 'KZ-normalized'!$A:$A, 0))&gt;0, -(14*INDEX('KZ-normalized'!$D:$D, MATCH($A177, 'KZ-normalized'!$A:$A, 0))-INDEX('KZ-normalized'!$E:$E, MATCH($A177, 'KZ-normalized'!$A:$A, 0))), 0), 0))+(IFERROR(IF(14*INDEX('UZ-normalized'!$D:$D, MATCH($A177, 'UZ-normalized'!$A:$A, 0))-INDEX('UZ-normalized'!$E:$E, MATCH($A177, 'UZ-normalized'!$A:$A, 0))&gt;0, -(14*INDEX('UZ-normalized'!$D:$D, MATCH($A177, 'UZ-normalized'!$A:$A, 0))-INDEX('UZ-normalized'!$E:$E, MATCH($A177, 'UZ-normalized'!$A:$A, 0))), 0), 0)))</f>
        <v>0</v>
      </c>
      <c r="AC177" s="6">
        <f>MIN(0, N177+(IFERROR(IF(15*INDEX('UA-normalized'!$D:$D, MATCH($A177, 'UA-normalized'!$A:$A, 0))-INDEX('UA-normalized'!$E:$E, MATCH($A177, 'UA-normalized'!$A:$A, 0))&gt;0, -(15*INDEX('UA-normalized'!$D:$D, MATCH($A177, 'UA-normalized'!$A:$A, 0))-INDEX('UA-normalized'!$E:$E, MATCH($A177, 'UA-normalized'!$A:$A, 0))), 0), 0))+(IFERROR(IF(15*INDEX('KZ-normalized'!$D:$D, MATCH($A177, 'KZ-normalized'!$A:$A, 0))-INDEX('KZ-normalized'!$E:$E, MATCH($A177, 'KZ-normalized'!$A:$A, 0))&gt;0, -(15*INDEX('KZ-normalized'!$D:$D, MATCH($A177, 'KZ-normalized'!$A:$A, 0))-INDEX('KZ-normalized'!$E:$E, MATCH($A177, 'KZ-normalized'!$A:$A, 0))), 0), 0))+(IFERROR(IF(15*INDEX('UZ-normalized'!$D:$D, MATCH($A177, 'UZ-normalized'!$A:$A, 0))-INDEX('UZ-normalized'!$E:$E, MATCH($A177, 'UZ-normalized'!$A:$A, 0))&gt;0, -(15*INDEX('UZ-normalized'!$D:$D, MATCH($A177, 'UZ-normalized'!$A:$A, 0))-INDEX('UZ-normalized'!$E:$E, MATCH($A177, 'UZ-normalized'!$A:$A, 0))), 0), 0)))</f>
        <v>0</v>
      </c>
      <c r="AD177" s="6">
        <f>MIN(0, N177+(IFERROR(IF(16*INDEX('UA-normalized'!$D:$D, MATCH($A177, 'UA-normalized'!$A:$A, 0))-INDEX('UA-normalized'!$E:$E, MATCH($A177, 'UA-normalized'!$A:$A, 0))&gt;0, -(16*INDEX('UA-normalized'!$D:$D, MATCH($A177, 'UA-normalized'!$A:$A, 0))-INDEX('UA-normalized'!$E:$E, MATCH($A177, 'UA-normalized'!$A:$A, 0))), 0), 0))+(IFERROR(IF(16*INDEX('KZ-normalized'!$D:$D, MATCH($A177, 'KZ-normalized'!$A:$A, 0))-INDEX('KZ-normalized'!$E:$E, MATCH($A177, 'KZ-normalized'!$A:$A, 0))&gt;0, -(16*INDEX('KZ-normalized'!$D:$D, MATCH($A177, 'KZ-normalized'!$A:$A, 0))-INDEX('KZ-normalized'!$E:$E, MATCH($A177, 'KZ-normalized'!$A:$A, 0))), 0), 0))+(IFERROR(IF(16*INDEX('UZ-normalized'!$D:$D, MATCH($A177, 'UZ-normalized'!$A:$A, 0))-INDEX('UZ-normalized'!$E:$E, MATCH($A177, 'UZ-normalized'!$A:$A, 0))&gt;0, -(16*INDEX('UZ-normalized'!$D:$D, MATCH($A177, 'UZ-normalized'!$A:$A, 0))-INDEX('UZ-normalized'!$E:$E, MATCH($A177, 'UZ-normalized'!$A:$A, 0))), 0), 0)))</f>
        <v>0</v>
      </c>
      <c r="AE177" s="6">
        <f>MIN(0, N177+(IFERROR(IF(17*INDEX('UA-normalized'!$D:$D, MATCH($A177, 'UA-normalized'!$A:$A, 0))-INDEX('UA-normalized'!$E:$E, MATCH($A177, 'UA-normalized'!$A:$A, 0))&gt;0, -(17*INDEX('UA-normalized'!$D:$D, MATCH($A177, 'UA-normalized'!$A:$A, 0))-INDEX('UA-normalized'!$E:$E, MATCH($A177, 'UA-normalized'!$A:$A, 0))), 0), 0))+(IFERROR(IF(17*INDEX('KZ-normalized'!$D:$D, MATCH($A177, 'KZ-normalized'!$A:$A, 0))-INDEX('KZ-normalized'!$E:$E, MATCH($A177, 'KZ-normalized'!$A:$A, 0))&gt;0, -(17*INDEX('KZ-normalized'!$D:$D, MATCH($A177, 'KZ-normalized'!$A:$A, 0))-INDEX('KZ-normalized'!$E:$E, MATCH($A177, 'KZ-normalized'!$A:$A, 0))), 0), 0))+(IFERROR(IF(17*INDEX('UZ-normalized'!$D:$D, MATCH($A177, 'UZ-normalized'!$A:$A, 0))-INDEX('UZ-normalized'!$E:$E, MATCH($A177, 'UZ-normalized'!$A:$A, 0))&gt;0, -(17*INDEX('UZ-normalized'!$D:$D, MATCH($A177, 'UZ-normalized'!$A:$A, 0))-INDEX('UZ-normalized'!$E:$E, MATCH($A177, 'UZ-normalized'!$A:$A, 0))), 0), 0)))</f>
        <v>0</v>
      </c>
      <c r="AF177" s="6">
        <f>MIN(0, N177+(IFERROR(IF(18*INDEX('UA-normalized'!$D:$D, MATCH($A177, 'UA-normalized'!$A:$A, 0))-INDEX('UA-normalized'!$E:$E, MATCH($A177, 'UA-normalized'!$A:$A, 0))&gt;0, -(18*INDEX('UA-normalized'!$D:$D, MATCH($A177, 'UA-normalized'!$A:$A, 0))-INDEX('UA-normalized'!$E:$E, MATCH($A177, 'UA-normalized'!$A:$A, 0))), 0), 0))+(IFERROR(IF(18*INDEX('KZ-normalized'!$D:$D, MATCH($A177, 'KZ-normalized'!$A:$A, 0))-INDEX('KZ-normalized'!$E:$E, MATCH($A177, 'KZ-normalized'!$A:$A, 0))&gt;0, -(18*INDEX('KZ-normalized'!$D:$D, MATCH($A177, 'KZ-normalized'!$A:$A, 0))-INDEX('KZ-normalized'!$E:$E, MATCH($A177, 'KZ-normalized'!$A:$A, 0))), 0), 0))+(IFERROR(IF(18*INDEX('UZ-normalized'!$D:$D, MATCH($A177, 'UZ-normalized'!$A:$A, 0))-INDEX('UZ-normalized'!$E:$E, MATCH($A177, 'UZ-normalized'!$A:$A, 0))&gt;0, -(18*INDEX('UZ-normalized'!$D:$D, MATCH($A177, 'UZ-normalized'!$A:$A, 0))-INDEX('UZ-normalized'!$E:$E, MATCH($A177, 'UZ-normalized'!$A:$A, 0))), 0), 0)))</f>
        <v>0</v>
      </c>
      <c r="AG177" s="6">
        <f>MIN(0, N177+(IFERROR(IF(19*INDEX('UA-normalized'!$D:$D, MATCH($A177, 'UA-normalized'!$A:$A, 0))-INDEX('UA-normalized'!$E:$E, MATCH($A177, 'UA-normalized'!$A:$A, 0))&gt;0, -(19*INDEX('UA-normalized'!$D:$D, MATCH($A177, 'UA-normalized'!$A:$A, 0))-INDEX('UA-normalized'!$E:$E, MATCH($A177, 'UA-normalized'!$A:$A, 0))), 0), 0))+(IFERROR(IF(19*INDEX('KZ-normalized'!$D:$D, MATCH($A177, 'KZ-normalized'!$A:$A, 0))-INDEX('KZ-normalized'!$E:$E, MATCH($A177, 'KZ-normalized'!$A:$A, 0))&gt;0, -(19*INDEX('KZ-normalized'!$D:$D, MATCH($A177, 'KZ-normalized'!$A:$A, 0))-INDEX('KZ-normalized'!$E:$E, MATCH($A177, 'KZ-normalized'!$A:$A, 0))), 0), 0))+(IFERROR(IF(19*INDEX('UZ-normalized'!$D:$D, MATCH($A177, 'UZ-normalized'!$A:$A, 0))-INDEX('UZ-normalized'!$E:$E, MATCH($A177, 'UZ-normalized'!$A:$A, 0))&gt;0, -(19*INDEX('UZ-normalized'!$D:$D, MATCH($A177, 'UZ-normalized'!$A:$A, 0))-INDEX('UZ-normalized'!$E:$E, MATCH($A177, 'UZ-normalized'!$A:$A, 0))), 0), 0)))</f>
        <v>0</v>
      </c>
      <c r="AH177" s="6">
        <f>MIN(0, N177+(IFERROR(IF(20*INDEX('UA-normalized'!$D:$D, MATCH($A177, 'UA-normalized'!$A:$A, 0))-INDEX('UA-normalized'!$E:$E, MATCH($A177, 'UA-normalized'!$A:$A, 0))&gt;0, -(20*INDEX('UA-normalized'!$D:$D, MATCH($A177, 'UA-normalized'!$A:$A, 0))-INDEX('UA-normalized'!$E:$E, MATCH($A177, 'UA-normalized'!$A:$A, 0))), 0), 0))+(IFERROR(IF(20*INDEX('KZ-normalized'!$D:$D, MATCH($A177, 'KZ-normalized'!$A:$A, 0))-INDEX('KZ-normalized'!$E:$E, MATCH($A177, 'KZ-normalized'!$A:$A, 0))&gt;0, -(20*INDEX('KZ-normalized'!$D:$D, MATCH($A177, 'KZ-normalized'!$A:$A, 0))-INDEX('KZ-normalized'!$E:$E, MATCH($A177, 'KZ-normalized'!$A:$A, 0))), 0), 0))+(IFERROR(IF(20*INDEX('UZ-normalized'!$D:$D, MATCH($A177, 'UZ-normalized'!$A:$A, 0))-INDEX('UZ-normalized'!$E:$E, MATCH($A177, 'UZ-normalized'!$A:$A, 0))&gt;0, -(20*INDEX('UZ-normalized'!$D:$D, MATCH($A177, 'UZ-normalized'!$A:$A, 0))-INDEX('UZ-normalized'!$E:$E, MATCH($A177, 'UZ-normalized'!$A:$A, 0))), 0), 0)))</f>
        <v>0</v>
      </c>
      <c r="AI177" s="6">
        <f>MIN(0, N177+(IFERROR(IF(21*INDEX('UA-normalized'!$D:$D, MATCH($A177, 'UA-normalized'!$A:$A, 0))-INDEX('UA-normalized'!$E:$E, MATCH($A177, 'UA-normalized'!$A:$A, 0))&gt;0, -(21*INDEX('UA-normalized'!$D:$D, MATCH($A177, 'UA-normalized'!$A:$A, 0))-INDEX('UA-normalized'!$E:$E, MATCH($A177, 'UA-normalized'!$A:$A, 0))), 0), 0))+(IFERROR(IF(21*INDEX('KZ-normalized'!$D:$D, MATCH($A177, 'KZ-normalized'!$A:$A, 0))-INDEX('KZ-normalized'!$E:$E, MATCH($A177, 'KZ-normalized'!$A:$A, 0))&gt;0, -(21*INDEX('KZ-normalized'!$D:$D, MATCH($A177, 'KZ-normalized'!$A:$A, 0))-INDEX('KZ-normalized'!$E:$E, MATCH($A177, 'KZ-normalized'!$A:$A, 0))), 0), 0))+(IFERROR(IF(21*INDEX('UZ-normalized'!$D:$D, MATCH($A177, 'UZ-normalized'!$A:$A, 0))-INDEX('UZ-normalized'!$E:$E, MATCH($A177, 'UZ-normalized'!$A:$A, 0))&gt;0, -(21*INDEX('UZ-normalized'!$D:$D, MATCH($A177, 'UZ-normalized'!$A:$A, 0))-INDEX('UZ-normalized'!$E:$E, MATCH($A177, 'UZ-normalized'!$A:$A, 0))), 0), 0)))</f>
        <v>0</v>
      </c>
      <c r="AJ177" s="6">
        <f>MIN(0, N177+(IFERROR(IF(22*INDEX('UA-normalized'!$D:$D, MATCH($A177, 'UA-normalized'!$A:$A, 0))-INDEX('UA-normalized'!$E:$E, MATCH($A177, 'UA-normalized'!$A:$A, 0))&gt;0, -(22*INDEX('UA-normalized'!$D:$D, MATCH($A177, 'UA-normalized'!$A:$A, 0))-INDEX('UA-normalized'!$E:$E, MATCH($A177, 'UA-normalized'!$A:$A, 0))), 0), 0))+(IFERROR(IF(22*INDEX('KZ-normalized'!$D:$D, MATCH($A177, 'KZ-normalized'!$A:$A, 0))-INDEX('KZ-normalized'!$E:$E, MATCH($A177, 'KZ-normalized'!$A:$A, 0))&gt;0, -(22*INDEX('KZ-normalized'!$D:$D, MATCH($A177, 'KZ-normalized'!$A:$A, 0))-INDEX('KZ-normalized'!$E:$E, MATCH($A177, 'KZ-normalized'!$A:$A, 0))), 0), 0))+(IFERROR(IF(22*INDEX('UZ-normalized'!$D:$D, MATCH($A177, 'UZ-normalized'!$A:$A, 0))-INDEX('UZ-normalized'!$E:$E, MATCH($A177, 'UZ-normalized'!$A:$A, 0))&gt;0, -(22*INDEX('UZ-normalized'!$D:$D, MATCH($A177, 'UZ-normalized'!$A:$A, 0))-INDEX('UZ-normalized'!$E:$E, MATCH($A177, 'UZ-normalized'!$A:$A, 0))), 0), 0)))</f>
        <v>0</v>
      </c>
      <c r="AK177" s="6">
        <f>MIN(0, N177+(IFERROR(IF(23*INDEX('UA-normalized'!$D:$D, MATCH($A177, 'UA-normalized'!$A:$A, 0))-INDEX('UA-normalized'!$E:$E, MATCH($A177, 'UA-normalized'!$A:$A, 0))&gt;0, -(23*INDEX('UA-normalized'!$D:$D, MATCH($A177, 'UA-normalized'!$A:$A, 0))-INDEX('UA-normalized'!$E:$E, MATCH($A177, 'UA-normalized'!$A:$A, 0))), 0), 0))+(IFERROR(IF(23*INDEX('KZ-normalized'!$D:$D, MATCH($A177, 'KZ-normalized'!$A:$A, 0))-INDEX('KZ-normalized'!$E:$E, MATCH($A177, 'KZ-normalized'!$A:$A, 0))&gt;0, -(23*INDEX('KZ-normalized'!$D:$D, MATCH($A177, 'KZ-normalized'!$A:$A, 0))-INDEX('KZ-normalized'!$E:$E, MATCH($A177, 'KZ-normalized'!$A:$A, 0))), 0), 0))+(IFERROR(IF(23*INDEX('UZ-normalized'!$D:$D, MATCH($A177, 'UZ-normalized'!$A:$A, 0))-INDEX('UZ-normalized'!$E:$E, MATCH($A177, 'UZ-normalized'!$A:$A, 0))&gt;0, -(23*INDEX('UZ-normalized'!$D:$D, MATCH($A177, 'UZ-normalized'!$A:$A, 0))-INDEX('UZ-normalized'!$E:$E, MATCH($A177, 'UZ-normalized'!$A:$A, 0))), 0), 0)))</f>
        <v>0</v>
      </c>
      <c r="AL177" s="6">
        <f>MIN(0, N177+(IFERROR(IF(24*INDEX('UA-normalized'!$D:$D, MATCH($A177, 'UA-normalized'!$A:$A, 0))-INDEX('UA-normalized'!$E:$E, MATCH($A177, 'UA-normalized'!$A:$A, 0))&gt;0, -(24*INDEX('UA-normalized'!$D:$D, MATCH($A177, 'UA-normalized'!$A:$A, 0))-INDEX('UA-normalized'!$E:$E, MATCH($A177, 'UA-normalized'!$A:$A, 0))), 0), 0))+(IFERROR(IF(24*INDEX('KZ-normalized'!$D:$D, MATCH($A177, 'KZ-normalized'!$A:$A, 0))-INDEX('KZ-normalized'!$E:$E, MATCH($A177, 'KZ-normalized'!$A:$A, 0))&gt;0, -(24*INDEX('KZ-normalized'!$D:$D, MATCH($A177, 'KZ-normalized'!$A:$A, 0))-INDEX('KZ-normalized'!$E:$E, MATCH($A177, 'KZ-normalized'!$A:$A, 0))), 0), 0))+(IFERROR(IF(24*INDEX('UZ-normalized'!$D:$D, MATCH($A177, 'UZ-normalized'!$A:$A, 0))-INDEX('UZ-normalized'!$E:$E, MATCH($A177, 'UZ-normalized'!$A:$A, 0))&gt;0, -(24*INDEX('UZ-normalized'!$D:$D, MATCH($A177, 'UZ-normalized'!$A:$A, 0))-INDEX('UZ-normalized'!$E:$E, MATCH($A177, 'UZ-normalized'!$A:$A, 0))), 0), 0)))</f>
        <v>0</v>
      </c>
      <c r="AM177" s="6">
        <f>MIN(0, N177+(IFERROR(IF(25*INDEX('UA-normalized'!$D:$D, MATCH($A177, 'UA-normalized'!$A:$A, 0))-INDEX('UA-normalized'!$E:$E, MATCH($A177, 'UA-normalized'!$A:$A, 0))&gt;0, -(25*INDEX('UA-normalized'!$D:$D, MATCH($A177, 'UA-normalized'!$A:$A, 0))-INDEX('UA-normalized'!$E:$E, MATCH($A177, 'UA-normalized'!$A:$A, 0))), 0), 0))+(IFERROR(IF(25*INDEX('KZ-normalized'!$D:$D, MATCH($A177, 'KZ-normalized'!$A:$A, 0))-INDEX('KZ-normalized'!$E:$E, MATCH($A177, 'KZ-normalized'!$A:$A, 0))&gt;0, -(25*INDEX('KZ-normalized'!$D:$D, MATCH($A177, 'KZ-normalized'!$A:$A, 0))-INDEX('KZ-normalized'!$E:$E, MATCH($A177, 'KZ-normalized'!$A:$A, 0))), 0), 0))+(IFERROR(IF(25*INDEX('UZ-normalized'!$D:$D, MATCH($A177, 'UZ-normalized'!$A:$A, 0))-INDEX('UZ-normalized'!$E:$E, MATCH($A177, 'UZ-normalized'!$A:$A, 0))&gt;0, -(25*INDEX('UZ-normalized'!$D:$D, MATCH($A177, 'UZ-normalized'!$A:$A, 0))-INDEX('UZ-normalized'!$E:$E, MATCH($A177, 'UZ-normalized'!$A:$A, 0))), 0), 0)))</f>
        <v>0</v>
      </c>
      <c r="AN177" s="6">
        <f>MIN(0, N177+(IFERROR(IF(26*INDEX('UA-normalized'!$D:$D, MATCH($A177, 'UA-normalized'!$A:$A, 0))-INDEX('UA-normalized'!$E:$E, MATCH($A177, 'UA-normalized'!$A:$A, 0))&gt;0, -(26*INDEX('UA-normalized'!$D:$D, MATCH($A177, 'UA-normalized'!$A:$A, 0))-INDEX('UA-normalized'!$E:$E, MATCH($A177, 'UA-normalized'!$A:$A, 0))), 0), 0))+(IFERROR(IF(26*INDEX('KZ-normalized'!$D:$D, MATCH($A177, 'KZ-normalized'!$A:$A, 0))-INDEX('KZ-normalized'!$E:$E, MATCH($A177, 'KZ-normalized'!$A:$A, 0))&gt;0, -(26*INDEX('KZ-normalized'!$D:$D, MATCH($A177, 'KZ-normalized'!$A:$A, 0))-INDEX('KZ-normalized'!$E:$E, MATCH($A177, 'KZ-normalized'!$A:$A, 0))), 0), 0))+(IFERROR(IF(26*INDEX('UZ-normalized'!$D:$D, MATCH($A177, 'UZ-normalized'!$A:$A, 0))-INDEX('UZ-normalized'!$E:$E, MATCH($A177, 'UZ-normalized'!$A:$A, 0))&gt;0, -(26*INDEX('UZ-normalized'!$D:$D, MATCH($A177, 'UZ-normalized'!$A:$A, 0))-INDEX('UZ-normalized'!$E:$E, MATCH($A177, 'UZ-normalized'!$A:$A, 0))), 0), 0)))</f>
        <v>0</v>
      </c>
      <c r="AO177" s="6">
        <f>MIN(0, N177+(IFERROR(IF(27*INDEX('UA-normalized'!$D:$D, MATCH($A177, 'UA-normalized'!$A:$A, 0))-INDEX('UA-normalized'!$E:$E, MATCH($A177, 'UA-normalized'!$A:$A, 0))&gt;0, -(27*INDEX('UA-normalized'!$D:$D, MATCH($A177, 'UA-normalized'!$A:$A, 0))-INDEX('UA-normalized'!$E:$E, MATCH($A177, 'UA-normalized'!$A:$A, 0))), 0), 0))+(IFERROR(IF(27*INDEX('KZ-normalized'!$D:$D, MATCH($A177, 'KZ-normalized'!$A:$A, 0))-INDEX('KZ-normalized'!$E:$E, MATCH($A177, 'KZ-normalized'!$A:$A, 0))&gt;0, -(27*INDEX('KZ-normalized'!$D:$D, MATCH($A177, 'KZ-normalized'!$A:$A, 0))-INDEX('KZ-normalized'!$E:$E, MATCH($A177, 'KZ-normalized'!$A:$A, 0))), 0), 0))+(IFERROR(IF(27*INDEX('UZ-normalized'!$D:$D, MATCH($A177, 'UZ-normalized'!$A:$A, 0))-INDEX('UZ-normalized'!$E:$E, MATCH($A177, 'UZ-normalized'!$A:$A, 0))&gt;0, -(27*INDEX('UZ-normalized'!$D:$D, MATCH($A177, 'UZ-normalized'!$A:$A, 0))-INDEX('UZ-normalized'!$E:$E, MATCH($A177, 'UZ-normalized'!$A:$A, 0))), 0), 0)))</f>
        <v>0</v>
      </c>
      <c r="AP177" s="6">
        <f>MIN(0, N177+(IFERROR(IF(28*INDEX('UA-normalized'!$D:$D, MATCH($A177, 'UA-normalized'!$A:$A, 0))-INDEX('UA-normalized'!$E:$E, MATCH($A177, 'UA-normalized'!$A:$A, 0))&gt;0, -(28*INDEX('UA-normalized'!$D:$D, MATCH($A177, 'UA-normalized'!$A:$A, 0))-INDEX('UA-normalized'!$E:$E, MATCH($A177, 'UA-normalized'!$A:$A, 0))), 0), 0))+(IFERROR(IF(28*INDEX('KZ-normalized'!$D:$D, MATCH($A177, 'KZ-normalized'!$A:$A, 0))-INDEX('KZ-normalized'!$E:$E, MATCH($A177, 'KZ-normalized'!$A:$A, 0))&gt;0, -(28*INDEX('KZ-normalized'!$D:$D, MATCH($A177, 'KZ-normalized'!$A:$A, 0))-INDEX('KZ-normalized'!$E:$E, MATCH($A177, 'KZ-normalized'!$A:$A, 0))), 0), 0))+(IFERROR(IF(28*INDEX('UZ-normalized'!$D:$D, MATCH($A177, 'UZ-normalized'!$A:$A, 0))-INDEX('UZ-normalized'!$E:$E, MATCH($A177, 'UZ-normalized'!$A:$A, 0))&gt;0, -(28*INDEX('UZ-normalized'!$D:$D, MATCH($A177, 'UZ-normalized'!$A:$A, 0))-INDEX('UZ-normalized'!$E:$E, MATCH($A177, 'UZ-normalized'!$A:$A, 0))), 0), 0)))</f>
        <v>-0.59999999999999787</v>
      </c>
      <c r="AQ177" s="6">
        <f>MIN(0, N177+(IFERROR(IF(29*INDEX('UA-normalized'!$D:$D, MATCH($A177, 'UA-normalized'!$A:$A, 0))-INDEX('UA-normalized'!$E:$E, MATCH($A177, 'UA-normalized'!$A:$A, 0))&gt;0, -(29*INDEX('UA-normalized'!$D:$D, MATCH($A177, 'UA-normalized'!$A:$A, 0))-INDEX('UA-normalized'!$E:$E, MATCH($A177, 'UA-normalized'!$A:$A, 0))), 0), 0))+(IFERROR(IF(29*INDEX('KZ-normalized'!$D:$D, MATCH($A177, 'KZ-normalized'!$A:$A, 0))-INDEX('KZ-normalized'!$E:$E, MATCH($A177, 'KZ-normalized'!$A:$A, 0))&gt;0, -(29*INDEX('KZ-normalized'!$D:$D, MATCH($A177, 'KZ-normalized'!$A:$A, 0))-INDEX('KZ-normalized'!$E:$E, MATCH($A177, 'KZ-normalized'!$A:$A, 0))), 0), 0))+(IFERROR(IF(29*INDEX('UZ-normalized'!$D:$D, MATCH($A177, 'UZ-normalized'!$A:$A, 0))-INDEX('UZ-normalized'!$E:$E, MATCH($A177, 'UZ-normalized'!$A:$A, 0))&gt;0, -(29*INDEX('UZ-normalized'!$D:$D, MATCH($A177, 'UZ-normalized'!$A:$A, 0))-INDEX('UZ-normalized'!$E:$E, MATCH($A177, 'UZ-normalized'!$A:$A, 0))), 0), 0)))</f>
        <v>-1.2999999999999972</v>
      </c>
      <c r="AR177" s="6">
        <f>MIN(0, N177+(IFERROR(IF(30*INDEX('UA-normalized'!$D:$D, MATCH($A177, 'UA-normalized'!$A:$A, 0))-INDEX('UA-normalized'!$E:$E, MATCH($A177, 'UA-normalized'!$A:$A, 0))&gt;0, -(30*INDEX('UA-normalized'!$D:$D, MATCH($A177, 'UA-normalized'!$A:$A, 0))-INDEX('UA-normalized'!$E:$E, MATCH($A177, 'UA-normalized'!$A:$A, 0))), 0), 0))+(IFERROR(IF(30*INDEX('KZ-normalized'!$D:$D, MATCH($A177, 'KZ-normalized'!$A:$A, 0))-INDEX('KZ-normalized'!$E:$E, MATCH($A177, 'KZ-normalized'!$A:$A, 0))&gt;0, -(30*INDEX('KZ-normalized'!$D:$D, MATCH($A177, 'KZ-normalized'!$A:$A, 0))-INDEX('KZ-normalized'!$E:$E, MATCH($A177, 'KZ-normalized'!$A:$A, 0))), 0), 0))+(IFERROR(IF(30*INDEX('UZ-normalized'!$D:$D, MATCH($A177, 'UZ-normalized'!$A:$A, 0))-INDEX('UZ-normalized'!$E:$E, MATCH($A177, 'UZ-normalized'!$A:$A, 0))&gt;0, -(30*INDEX('UZ-normalized'!$D:$D, MATCH($A177, 'UZ-normalized'!$A:$A, 0))-INDEX('UZ-normalized'!$E:$E, MATCH($A177, 'UZ-normalized'!$A:$A, 0))), 0), 0)))</f>
        <v>-2</v>
      </c>
    </row>
    <row r="178" spans="1:44" x14ac:dyDescent="0.25">
      <c r="A178" s="8" t="s">
        <v>425</v>
      </c>
      <c r="B178" s="8" t="s">
        <v>420</v>
      </c>
      <c r="C178" s="8" t="s">
        <v>426</v>
      </c>
      <c r="D178" s="8" t="s">
        <v>427</v>
      </c>
      <c r="N178">
        <f t="shared" si="2"/>
        <v>0</v>
      </c>
      <c r="O178" s="6">
        <f>MIN(0, N178+(IFERROR(IF(1*INDEX('UA-normalized'!$D:$D, MATCH($A178, 'UA-normalized'!$A:$A, 0))-INDEX('UA-normalized'!$E:$E, MATCH($A178, 'UA-normalized'!$A:$A, 0))&gt;0, -(1*INDEX('UA-normalized'!$D:$D, MATCH($A178, 'UA-normalized'!$A:$A, 0))-INDEX('UA-normalized'!$E:$E, MATCH($A178, 'UA-normalized'!$A:$A, 0))), 0), 0))+(IFERROR(IF(1*INDEX('KZ-normalized'!$D:$D, MATCH($A178, 'KZ-normalized'!$A:$A, 0))-INDEX('KZ-normalized'!$E:$E, MATCH($A178, 'KZ-normalized'!$A:$A, 0))&gt;0, -(1*INDEX('KZ-normalized'!$D:$D, MATCH($A178, 'KZ-normalized'!$A:$A, 0))-INDEX('KZ-normalized'!$E:$E, MATCH($A178, 'KZ-normalized'!$A:$A, 0))), 0), 0))+(IFERROR(IF(1*INDEX('UZ-normalized'!$D:$D, MATCH($A178, 'UZ-normalized'!$A:$A, 0))-INDEX('UZ-normalized'!$E:$E, MATCH($A178, 'UZ-normalized'!$A:$A, 0))&gt;0, -(1*INDEX('UZ-normalized'!$D:$D, MATCH($A178, 'UZ-normalized'!$A:$A, 0))-INDEX('UZ-normalized'!$E:$E, MATCH($A178, 'UZ-normalized'!$A:$A, 0))), 0), 0)))</f>
        <v>0</v>
      </c>
      <c r="P178" s="6">
        <f>MIN(0, N178+(IFERROR(IF(2*INDEX('UA-normalized'!$D:$D, MATCH($A178, 'UA-normalized'!$A:$A, 0))-INDEX('UA-normalized'!$E:$E, MATCH($A178, 'UA-normalized'!$A:$A, 0))&gt;0, -(2*INDEX('UA-normalized'!$D:$D, MATCH($A178, 'UA-normalized'!$A:$A, 0))-INDEX('UA-normalized'!$E:$E, MATCH($A178, 'UA-normalized'!$A:$A, 0))), 0), 0))+(IFERROR(IF(2*INDEX('KZ-normalized'!$D:$D, MATCH($A178, 'KZ-normalized'!$A:$A, 0))-INDEX('KZ-normalized'!$E:$E, MATCH($A178, 'KZ-normalized'!$A:$A, 0))&gt;0, -(2*INDEX('KZ-normalized'!$D:$D, MATCH($A178, 'KZ-normalized'!$A:$A, 0))-INDEX('KZ-normalized'!$E:$E, MATCH($A178, 'KZ-normalized'!$A:$A, 0))), 0), 0))+(IFERROR(IF(2*INDEX('UZ-normalized'!$D:$D, MATCH($A178, 'UZ-normalized'!$A:$A, 0))-INDEX('UZ-normalized'!$E:$E, MATCH($A178, 'UZ-normalized'!$A:$A, 0))&gt;0, -(2*INDEX('UZ-normalized'!$D:$D, MATCH($A178, 'UZ-normalized'!$A:$A, 0))-INDEX('UZ-normalized'!$E:$E, MATCH($A178, 'UZ-normalized'!$A:$A, 0))), 0), 0)))</f>
        <v>0</v>
      </c>
      <c r="Q178" s="6">
        <f>MIN(0, N178+(IFERROR(IF(3*INDEX('UA-normalized'!$D:$D, MATCH($A178, 'UA-normalized'!$A:$A, 0))-INDEX('UA-normalized'!$E:$E, MATCH($A178, 'UA-normalized'!$A:$A, 0))&gt;0, -(3*INDEX('UA-normalized'!$D:$D, MATCH($A178, 'UA-normalized'!$A:$A, 0))-INDEX('UA-normalized'!$E:$E, MATCH($A178, 'UA-normalized'!$A:$A, 0))), 0), 0))+(IFERROR(IF(3*INDEX('KZ-normalized'!$D:$D, MATCH($A178, 'KZ-normalized'!$A:$A, 0))-INDEX('KZ-normalized'!$E:$E, MATCH($A178, 'KZ-normalized'!$A:$A, 0))&gt;0, -(3*INDEX('KZ-normalized'!$D:$D, MATCH($A178, 'KZ-normalized'!$A:$A, 0))-INDEX('KZ-normalized'!$E:$E, MATCH($A178, 'KZ-normalized'!$A:$A, 0))), 0), 0))+(IFERROR(IF(3*INDEX('UZ-normalized'!$D:$D, MATCH($A178, 'UZ-normalized'!$A:$A, 0))-INDEX('UZ-normalized'!$E:$E, MATCH($A178, 'UZ-normalized'!$A:$A, 0))&gt;0, -(3*INDEX('UZ-normalized'!$D:$D, MATCH($A178, 'UZ-normalized'!$A:$A, 0))-INDEX('UZ-normalized'!$E:$E, MATCH($A178, 'UZ-normalized'!$A:$A, 0))), 0), 0)))</f>
        <v>0</v>
      </c>
      <c r="R178" s="6">
        <f>MIN(0, N178+(IFERROR(IF(4*INDEX('UA-normalized'!$D:$D, MATCH($A178, 'UA-normalized'!$A:$A, 0))-INDEX('UA-normalized'!$E:$E, MATCH($A178, 'UA-normalized'!$A:$A, 0))&gt;0, -(4*INDEX('UA-normalized'!$D:$D, MATCH($A178, 'UA-normalized'!$A:$A, 0))-INDEX('UA-normalized'!$E:$E, MATCH($A178, 'UA-normalized'!$A:$A, 0))), 0), 0))+(IFERROR(IF(4*INDEX('KZ-normalized'!$D:$D, MATCH($A178, 'KZ-normalized'!$A:$A, 0))-INDEX('KZ-normalized'!$E:$E, MATCH($A178, 'KZ-normalized'!$A:$A, 0))&gt;0, -(4*INDEX('KZ-normalized'!$D:$D, MATCH($A178, 'KZ-normalized'!$A:$A, 0))-INDEX('KZ-normalized'!$E:$E, MATCH($A178, 'KZ-normalized'!$A:$A, 0))), 0), 0))+(IFERROR(IF(4*INDEX('UZ-normalized'!$D:$D, MATCH($A178, 'UZ-normalized'!$A:$A, 0))-INDEX('UZ-normalized'!$E:$E, MATCH($A178, 'UZ-normalized'!$A:$A, 0))&gt;0, -(4*INDEX('UZ-normalized'!$D:$D, MATCH($A178, 'UZ-normalized'!$A:$A, 0))-INDEX('UZ-normalized'!$E:$E, MATCH($A178, 'UZ-normalized'!$A:$A, 0))), 0), 0)))</f>
        <v>0</v>
      </c>
      <c r="S178" s="6">
        <f>MIN(0, N178+(IFERROR(IF(5*INDEX('UA-normalized'!$D:$D, MATCH($A178, 'UA-normalized'!$A:$A, 0))-INDEX('UA-normalized'!$E:$E, MATCH($A178, 'UA-normalized'!$A:$A, 0))&gt;0, -(5*INDEX('UA-normalized'!$D:$D, MATCH($A178, 'UA-normalized'!$A:$A, 0))-INDEX('UA-normalized'!$E:$E, MATCH($A178, 'UA-normalized'!$A:$A, 0))), 0), 0))+(IFERROR(IF(5*INDEX('KZ-normalized'!$D:$D, MATCH($A178, 'KZ-normalized'!$A:$A, 0))-INDEX('KZ-normalized'!$E:$E, MATCH($A178, 'KZ-normalized'!$A:$A, 0))&gt;0, -(5*INDEX('KZ-normalized'!$D:$D, MATCH($A178, 'KZ-normalized'!$A:$A, 0))-INDEX('KZ-normalized'!$E:$E, MATCH($A178, 'KZ-normalized'!$A:$A, 0))), 0), 0))+(IFERROR(IF(5*INDEX('UZ-normalized'!$D:$D, MATCH($A178, 'UZ-normalized'!$A:$A, 0))-INDEX('UZ-normalized'!$E:$E, MATCH($A178, 'UZ-normalized'!$A:$A, 0))&gt;0, -(5*INDEX('UZ-normalized'!$D:$D, MATCH($A178, 'UZ-normalized'!$A:$A, 0))-INDEX('UZ-normalized'!$E:$E, MATCH($A178, 'UZ-normalized'!$A:$A, 0))), 0), 0)))</f>
        <v>0</v>
      </c>
      <c r="T178" s="6">
        <f>MIN(0, N178+(IFERROR(IF(6*INDEX('UA-normalized'!$D:$D, MATCH($A178, 'UA-normalized'!$A:$A, 0))-INDEX('UA-normalized'!$E:$E, MATCH($A178, 'UA-normalized'!$A:$A, 0))&gt;0, -(6*INDEX('UA-normalized'!$D:$D, MATCH($A178, 'UA-normalized'!$A:$A, 0))-INDEX('UA-normalized'!$E:$E, MATCH($A178, 'UA-normalized'!$A:$A, 0))), 0), 0))+(IFERROR(IF(6*INDEX('KZ-normalized'!$D:$D, MATCH($A178, 'KZ-normalized'!$A:$A, 0))-INDEX('KZ-normalized'!$E:$E, MATCH($A178, 'KZ-normalized'!$A:$A, 0))&gt;0, -(6*INDEX('KZ-normalized'!$D:$D, MATCH($A178, 'KZ-normalized'!$A:$A, 0))-INDEX('KZ-normalized'!$E:$E, MATCH($A178, 'KZ-normalized'!$A:$A, 0))), 0), 0))+(IFERROR(IF(6*INDEX('UZ-normalized'!$D:$D, MATCH($A178, 'UZ-normalized'!$A:$A, 0))-INDEX('UZ-normalized'!$E:$E, MATCH($A178, 'UZ-normalized'!$A:$A, 0))&gt;0, -(6*INDEX('UZ-normalized'!$D:$D, MATCH($A178, 'UZ-normalized'!$A:$A, 0))-INDEX('UZ-normalized'!$E:$E, MATCH($A178, 'UZ-normalized'!$A:$A, 0))), 0), 0)))</f>
        <v>0</v>
      </c>
      <c r="U178" s="6">
        <f>MIN(0, N178+(IFERROR(IF(7*INDEX('UA-normalized'!$D:$D, MATCH($A178, 'UA-normalized'!$A:$A, 0))-INDEX('UA-normalized'!$E:$E, MATCH($A178, 'UA-normalized'!$A:$A, 0))&gt;0, -(7*INDEX('UA-normalized'!$D:$D, MATCH($A178, 'UA-normalized'!$A:$A, 0))-INDEX('UA-normalized'!$E:$E, MATCH($A178, 'UA-normalized'!$A:$A, 0))), 0), 0))+(IFERROR(IF(7*INDEX('KZ-normalized'!$D:$D, MATCH($A178, 'KZ-normalized'!$A:$A, 0))-INDEX('KZ-normalized'!$E:$E, MATCH($A178, 'KZ-normalized'!$A:$A, 0))&gt;0, -(7*INDEX('KZ-normalized'!$D:$D, MATCH($A178, 'KZ-normalized'!$A:$A, 0))-INDEX('KZ-normalized'!$E:$E, MATCH($A178, 'KZ-normalized'!$A:$A, 0))), 0), 0))+(IFERROR(IF(7*INDEX('UZ-normalized'!$D:$D, MATCH($A178, 'UZ-normalized'!$A:$A, 0))-INDEX('UZ-normalized'!$E:$E, MATCH($A178, 'UZ-normalized'!$A:$A, 0))&gt;0, -(7*INDEX('UZ-normalized'!$D:$D, MATCH($A178, 'UZ-normalized'!$A:$A, 0))-INDEX('UZ-normalized'!$E:$E, MATCH($A178, 'UZ-normalized'!$A:$A, 0))), 0), 0)))</f>
        <v>-1.5</v>
      </c>
      <c r="V178" s="6">
        <f>MIN(0, N178+(IFERROR(IF(8*INDEX('UA-normalized'!$D:$D, MATCH($A178, 'UA-normalized'!$A:$A, 0))-INDEX('UA-normalized'!$E:$E, MATCH($A178, 'UA-normalized'!$A:$A, 0))&gt;0, -(8*INDEX('UA-normalized'!$D:$D, MATCH($A178, 'UA-normalized'!$A:$A, 0))-INDEX('UA-normalized'!$E:$E, MATCH($A178, 'UA-normalized'!$A:$A, 0))), 0), 0))+(IFERROR(IF(8*INDEX('KZ-normalized'!$D:$D, MATCH($A178, 'KZ-normalized'!$A:$A, 0))-INDEX('KZ-normalized'!$E:$E, MATCH($A178, 'KZ-normalized'!$A:$A, 0))&gt;0, -(8*INDEX('KZ-normalized'!$D:$D, MATCH($A178, 'KZ-normalized'!$A:$A, 0))-INDEX('KZ-normalized'!$E:$E, MATCH($A178, 'KZ-normalized'!$A:$A, 0))), 0), 0))+(IFERROR(IF(8*INDEX('UZ-normalized'!$D:$D, MATCH($A178, 'UZ-normalized'!$A:$A, 0))-INDEX('UZ-normalized'!$E:$E, MATCH($A178, 'UZ-normalized'!$A:$A, 0))&gt;0, -(8*INDEX('UZ-normalized'!$D:$D, MATCH($A178, 'UZ-normalized'!$A:$A, 0))-INDEX('UZ-normalized'!$E:$E, MATCH($A178, 'UZ-normalized'!$A:$A, 0))), 0), 0)))</f>
        <v>-6</v>
      </c>
      <c r="W178" s="6">
        <f>MIN(0, N178+(IFERROR(IF(9*INDEX('UA-normalized'!$D:$D, MATCH($A178, 'UA-normalized'!$A:$A, 0))-INDEX('UA-normalized'!$E:$E, MATCH($A178, 'UA-normalized'!$A:$A, 0))&gt;0, -(9*INDEX('UA-normalized'!$D:$D, MATCH($A178, 'UA-normalized'!$A:$A, 0))-INDEX('UA-normalized'!$E:$E, MATCH($A178, 'UA-normalized'!$A:$A, 0))), 0), 0))+(IFERROR(IF(9*INDEX('KZ-normalized'!$D:$D, MATCH($A178, 'KZ-normalized'!$A:$A, 0))-INDEX('KZ-normalized'!$E:$E, MATCH($A178, 'KZ-normalized'!$A:$A, 0))&gt;0, -(9*INDEX('KZ-normalized'!$D:$D, MATCH($A178, 'KZ-normalized'!$A:$A, 0))-INDEX('KZ-normalized'!$E:$E, MATCH($A178, 'KZ-normalized'!$A:$A, 0))), 0), 0))+(IFERROR(IF(9*INDEX('UZ-normalized'!$D:$D, MATCH($A178, 'UZ-normalized'!$A:$A, 0))-INDEX('UZ-normalized'!$E:$E, MATCH($A178, 'UZ-normalized'!$A:$A, 0))&gt;0, -(9*INDEX('UZ-normalized'!$D:$D, MATCH($A178, 'UZ-normalized'!$A:$A, 0))-INDEX('UZ-normalized'!$E:$E, MATCH($A178, 'UZ-normalized'!$A:$A, 0))), 0), 0)))</f>
        <v>-10.5</v>
      </c>
      <c r="X178" s="6">
        <f>MIN(0, N178+(IFERROR(IF(10*INDEX('UA-normalized'!$D:$D, MATCH($A178, 'UA-normalized'!$A:$A, 0))-INDEX('UA-normalized'!$E:$E, MATCH($A178, 'UA-normalized'!$A:$A, 0))&gt;0, -(10*INDEX('UA-normalized'!$D:$D, MATCH($A178, 'UA-normalized'!$A:$A, 0))-INDEX('UA-normalized'!$E:$E, MATCH($A178, 'UA-normalized'!$A:$A, 0))), 0), 0))+(IFERROR(IF(10*INDEX('KZ-normalized'!$D:$D, MATCH($A178, 'KZ-normalized'!$A:$A, 0))-INDEX('KZ-normalized'!$E:$E, MATCH($A178, 'KZ-normalized'!$A:$A, 0))&gt;0, -(10*INDEX('KZ-normalized'!$D:$D, MATCH($A178, 'KZ-normalized'!$A:$A, 0))-INDEX('KZ-normalized'!$E:$E, MATCH($A178, 'KZ-normalized'!$A:$A, 0))), 0), 0))+(IFERROR(IF(10*INDEX('UZ-normalized'!$D:$D, MATCH($A178, 'UZ-normalized'!$A:$A, 0))-INDEX('UZ-normalized'!$E:$E, MATCH($A178, 'UZ-normalized'!$A:$A, 0))&gt;0, -(10*INDEX('UZ-normalized'!$D:$D, MATCH($A178, 'UZ-normalized'!$A:$A, 0))-INDEX('UZ-normalized'!$E:$E, MATCH($A178, 'UZ-normalized'!$A:$A, 0))), 0), 0)))</f>
        <v>-15</v>
      </c>
      <c r="Y178" s="6">
        <f>MIN(0, N178+(IFERROR(IF(11*INDEX('UA-normalized'!$D:$D, MATCH($A178, 'UA-normalized'!$A:$A, 0))-INDEX('UA-normalized'!$E:$E, MATCH($A178, 'UA-normalized'!$A:$A, 0))&gt;0, -(11*INDEX('UA-normalized'!$D:$D, MATCH($A178, 'UA-normalized'!$A:$A, 0))-INDEX('UA-normalized'!$E:$E, MATCH($A178, 'UA-normalized'!$A:$A, 0))), 0), 0))+(IFERROR(IF(11*INDEX('KZ-normalized'!$D:$D, MATCH($A178, 'KZ-normalized'!$A:$A, 0))-INDEX('KZ-normalized'!$E:$E, MATCH($A178, 'KZ-normalized'!$A:$A, 0))&gt;0, -(11*INDEX('KZ-normalized'!$D:$D, MATCH($A178, 'KZ-normalized'!$A:$A, 0))-INDEX('KZ-normalized'!$E:$E, MATCH($A178, 'KZ-normalized'!$A:$A, 0))), 0), 0))+(IFERROR(IF(11*INDEX('UZ-normalized'!$D:$D, MATCH($A178, 'UZ-normalized'!$A:$A, 0))-INDEX('UZ-normalized'!$E:$E, MATCH($A178, 'UZ-normalized'!$A:$A, 0))&gt;0, -(11*INDEX('UZ-normalized'!$D:$D, MATCH($A178, 'UZ-normalized'!$A:$A, 0))-INDEX('UZ-normalized'!$E:$E, MATCH($A178, 'UZ-normalized'!$A:$A, 0))), 0), 0)))</f>
        <v>-19.5</v>
      </c>
      <c r="Z178" s="6">
        <f>MIN(0, N178+(IFERROR(IF(12*INDEX('UA-normalized'!$D:$D, MATCH($A178, 'UA-normalized'!$A:$A, 0))-INDEX('UA-normalized'!$E:$E, MATCH($A178, 'UA-normalized'!$A:$A, 0))&gt;0, -(12*INDEX('UA-normalized'!$D:$D, MATCH($A178, 'UA-normalized'!$A:$A, 0))-INDEX('UA-normalized'!$E:$E, MATCH($A178, 'UA-normalized'!$A:$A, 0))), 0), 0))+(IFERROR(IF(12*INDEX('KZ-normalized'!$D:$D, MATCH($A178, 'KZ-normalized'!$A:$A, 0))-INDEX('KZ-normalized'!$E:$E, MATCH($A178, 'KZ-normalized'!$A:$A, 0))&gt;0, -(12*INDEX('KZ-normalized'!$D:$D, MATCH($A178, 'KZ-normalized'!$A:$A, 0))-INDEX('KZ-normalized'!$E:$E, MATCH($A178, 'KZ-normalized'!$A:$A, 0))), 0), 0))+(IFERROR(IF(12*INDEX('UZ-normalized'!$D:$D, MATCH($A178, 'UZ-normalized'!$A:$A, 0))-INDEX('UZ-normalized'!$E:$E, MATCH($A178, 'UZ-normalized'!$A:$A, 0))&gt;0, -(12*INDEX('UZ-normalized'!$D:$D, MATCH($A178, 'UZ-normalized'!$A:$A, 0))-INDEX('UZ-normalized'!$E:$E, MATCH($A178, 'UZ-normalized'!$A:$A, 0))), 0), 0)))</f>
        <v>-24</v>
      </c>
      <c r="AA178" s="6">
        <f>MIN(0, N178+(IFERROR(IF(13*INDEX('UA-normalized'!$D:$D, MATCH($A178, 'UA-normalized'!$A:$A, 0))-INDEX('UA-normalized'!$E:$E, MATCH($A178, 'UA-normalized'!$A:$A, 0))&gt;0, -(13*INDEX('UA-normalized'!$D:$D, MATCH($A178, 'UA-normalized'!$A:$A, 0))-INDEX('UA-normalized'!$E:$E, MATCH($A178, 'UA-normalized'!$A:$A, 0))), 0), 0))+(IFERROR(IF(13*INDEX('KZ-normalized'!$D:$D, MATCH($A178, 'KZ-normalized'!$A:$A, 0))-INDEX('KZ-normalized'!$E:$E, MATCH($A178, 'KZ-normalized'!$A:$A, 0))&gt;0, -(13*INDEX('KZ-normalized'!$D:$D, MATCH($A178, 'KZ-normalized'!$A:$A, 0))-INDEX('KZ-normalized'!$E:$E, MATCH($A178, 'KZ-normalized'!$A:$A, 0))), 0), 0))+(IFERROR(IF(13*INDEX('UZ-normalized'!$D:$D, MATCH($A178, 'UZ-normalized'!$A:$A, 0))-INDEX('UZ-normalized'!$E:$E, MATCH($A178, 'UZ-normalized'!$A:$A, 0))&gt;0, -(13*INDEX('UZ-normalized'!$D:$D, MATCH($A178, 'UZ-normalized'!$A:$A, 0))-INDEX('UZ-normalized'!$E:$E, MATCH($A178, 'UZ-normalized'!$A:$A, 0))), 0), 0)))</f>
        <v>-28.5</v>
      </c>
      <c r="AB178" s="6">
        <f>MIN(0, N178+(IFERROR(IF(14*INDEX('UA-normalized'!$D:$D, MATCH($A178, 'UA-normalized'!$A:$A, 0))-INDEX('UA-normalized'!$E:$E, MATCH($A178, 'UA-normalized'!$A:$A, 0))&gt;0, -(14*INDEX('UA-normalized'!$D:$D, MATCH($A178, 'UA-normalized'!$A:$A, 0))-INDEX('UA-normalized'!$E:$E, MATCH($A178, 'UA-normalized'!$A:$A, 0))), 0), 0))+(IFERROR(IF(14*INDEX('KZ-normalized'!$D:$D, MATCH($A178, 'KZ-normalized'!$A:$A, 0))-INDEX('KZ-normalized'!$E:$E, MATCH($A178, 'KZ-normalized'!$A:$A, 0))&gt;0, -(14*INDEX('KZ-normalized'!$D:$D, MATCH($A178, 'KZ-normalized'!$A:$A, 0))-INDEX('KZ-normalized'!$E:$E, MATCH($A178, 'KZ-normalized'!$A:$A, 0))), 0), 0))+(IFERROR(IF(14*INDEX('UZ-normalized'!$D:$D, MATCH($A178, 'UZ-normalized'!$A:$A, 0))-INDEX('UZ-normalized'!$E:$E, MATCH($A178, 'UZ-normalized'!$A:$A, 0))&gt;0, -(14*INDEX('UZ-normalized'!$D:$D, MATCH($A178, 'UZ-normalized'!$A:$A, 0))-INDEX('UZ-normalized'!$E:$E, MATCH($A178, 'UZ-normalized'!$A:$A, 0))), 0), 0)))</f>
        <v>-33</v>
      </c>
      <c r="AC178" s="6">
        <f>MIN(0, N178+(IFERROR(IF(15*INDEX('UA-normalized'!$D:$D, MATCH($A178, 'UA-normalized'!$A:$A, 0))-INDEX('UA-normalized'!$E:$E, MATCH($A178, 'UA-normalized'!$A:$A, 0))&gt;0, -(15*INDEX('UA-normalized'!$D:$D, MATCH($A178, 'UA-normalized'!$A:$A, 0))-INDEX('UA-normalized'!$E:$E, MATCH($A178, 'UA-normalized'!$A:$A, 0))), 0), 0))+(IFERROR(IF(15*INDEX('KZ-normalized'!$D:$D, MATCH($A178, 'KZ-normalized'!$A:$A, 0))-INDEX('KZ-normalized'!$E:$E, MATCH($A178, 'KZ-normalized'!$A:$A, 0))&gt;0, -(15*INDEX('KZ-normalized'!$D:$D, MATCH($A178, 'KZ-normalized'!$A:$A, 0))-INDEX('KZ-normalized'!$E:$E, MATCH($A178, 'KZ-normalized'!$A:$A, 0))), 0), 0))+(IFERROR(IF(15*INDEX('UZ-normalized'!$D:$D, MATCH($A178, 'UZ-normalized'!$A:$A, 0))-INDEX('UZ-normalized'!$E:$E, MATCH($A178, 'UZ-normalized'!$A:$A, 0))&gt;0, -(15*INDEX('UZ-normalized'!$D:$D, MATCH($A178, 'UZ-normalized'!$A:$A, 0))-INDEX('UZ-normalized'!$E:$E, MATCH($A178, 'UZ-normalized'!$A:$A, 0))), 0), 0)))</f>
        <v>-37.5</v>
      </c>
      <c r="AD178" s="6">
        <f>MIN(0, N178+(IFERROR(IF(16*INDEX('UA-normalized'!$D:$D, MATCH($A178, 'UA-normalized'!$A:$A, 0))-INDEX('UA-normalized'!$E:$E, MATCH($A178, 'UA-normalized'!$A:$A, 0))&gt;0, -(16*INDEX('UA-normalized'!$D:$D, MATCH($A178, 'UA-normalized'!$A:$A, 0))-INDEX('UA-normalized'!$E:$E, MATCH($A178, 'UA-normalized'!$A:$A, 0))), 0), 0))+(IFERROR(IF(16*INDEX('KZ-normalized'!$D:$D, MATCH($A178, 'KZ-normalized'!$A:$A, 0))-INDEX('KZ-normalized'!$E:$E, MATCH($A178, 'KZ-normalized'!$A:$A, 0))&gt;0, -(16*INDEX('KZ-normalized'!$D:$D, MATCH($A178, 'KZ-normalized'!$A:$A, 0))-INDEX('KZ-normalized'!$E:$E, MATCH($A178, 'KZ-normalized'!$A:$A, 0))), 0), 0))+(IFERROR(IF(16*INDEX('UZ-normalized'!$D:$D, MATCH($A178, 'UZ-normalized'!$A:$A, 0))-INDEX('UZ-normalized'!$E:$E, MATCH($A178, 'UZ-normalized'!$A:$A, 0))&gt;0, -(16*INDEX('UZ-normalized'!$D:$D, MATCH($A178, 'UZ-normalized'!$A:$A, 0))-INDEX('UZ-normalized'!$E:$E, MATCH($A178, 'UZ-normalized'!$A:$A, 0))), 0), 0)))</f>
        <v>-42</v>
      </c>
      <c r="AE178" s="6">
        <f>MIN(0, N178+(IFERROR(IF(17*INDEX('UA-normalized'!$D:$D, MATCH($A178, 'UA-normalized'!$A:$A, 0))-INDEX('UA-normalized'!$E:$E, MATCH($A178, 'UA-normalized'!$A:$A, 0))&gt;0, -(17*INDEX('UA-normalized'!$D:$D, MATCH($A178, 'UA-normalized'!$A:$A, 0))-INDEX('UA-normalized'!$E:$E, MATCH($A178, 'UA-normalized'!$A:$A, 0))), 0), 0))+(IFERROR(IF(17*INDEX('KZ-normalized'!$D:$D, MATCH($A178, 'KZ-normalized'!$A:$A, 0))-INDEX('KZ-normalized'!$E:$E, MATCH($A178, 'KZ-normalized'!$A:$A, 0))&gt;0, -(17*INDEX('KZ-normalized'!$D:$D, MATCH($A178, 'KZ-normalized'!$A:$A, 0))-INDEX('KZ-normalized'!$E:$E, MATCH($A178, 'KZ-normalized'!$A:$A, 0))), 0), 0))+(IFERROR(IF(17*INDEX('UZ-normalized'!$D:$D, MATCH($A178, 'UZ-normalized'!$A:$A, 0))-INDEX('UZ-normalized'!$E:$E, MATCH($A178, 'UZ-normalized'!$A:$A, 0))&gt;0, -(17*INDEX('UZ-normalized'!$D:$D, MATCH($A178, 'UZ-normalized'!$A:$A, 0))-INDEX('UZ-normalized'!$E:$E, MATCH($A178, 'UZ-normalized'!$A:$A, 0))), 0), 0)))</f>
        <v>-46.5</v>
      </c>
      <c r="AF178" s="6">
        <f>MIN(0, N178+(IFERROR(IF(18*INDEX('UA-normalized'!$D:$D, MATCH($A178, 'UA-normalized'!$A:$A, 0))-INDEX('UA-normalized'!$E:$E, MATCH($A178, 'UA-normalized'!$A:$A, 0))&gt;0, -(18*INDEX('UA-normalized'!$D:$D, MATCH($A178, 'UA-normalized'!$A:$A, 0))-INDEX('UA-normalized'!$E:$E, MATCH($A178, 'UA-normalized'!$A:$A, 0))), 0), 0))+(IFERROR(IF(18*INDEX('KZ-normalized'!$D:$D, MATCH($A178, 'KZ-normalized'!$A:$A, 0))-INDEX('KZ-normalized'!$E:$E, MATCH($A178, 'KZ-normalized'!$A:$A, 0))&gt;0, -(18*INDEX('KZ-normalized'!$D:$D, MATCH($A178, 'KZ-normalized'!$A:$A, 0))-INDEX('KZ-normalized'!$E:$E, MATCH($A178, 'KZ-normalized'!$A:$A, 0))), 0), 0))+(IFERROR(IF(18*INDEX('UZ-normalized'!$D:$D, MATCH($A178, 'UZ-normalized'!$A:$A, 0))-INDEX('UZ-normalized'!$E:$E, MATCH($A178, 'UZ-normalized'!$A:$A, 0))&gt;0, -(18*INDEX('UZ-normalized'!$D:$D, MATCH($A178, 'UZ-normalized'!$A:$A, 0))-INDEX('UZ-normalized'!$E:$E, MATCH($A178, 'UZ-normalized'!$A:$A, 0))), 0), 0)))</f>
        <v>-51</v>
      </c>
      <c r="AG178" s="6">
        <f>MIN(0, N178+(IFERROR(IF(19*INDEX('UA-normalized'!$D:$D, MATCH($A178, 'UA-normalized'!$A:$A, 0))-INDEX('UA-normalized'!$E:$E, MATCH($A178, 'UA-normalized'!$A:$A, 0))&gt;0, -(19*INDEX('UA-normalized'!$D:$D, MATCH($A178, 'UA-normalized'!$A:$A, 0))-INDEX('UA-normalized'!$E:$E, MATCH($A178, 'UA-normalized'!$A:$A, 0))), 0), 0))+(IFERROR(IF(19*INDEX('KZ-normalized'!$D:$D, MATCH($A178, 'KZ-normalized'!$A:$A, 0))-INDEX('KZ-normalized'!$E:$E, MATCH($A178, 'KZ-normalized'!$A:$A, 0))&gt;0, -(19*INDEX('KZ-normalized'!$D:$D, MATCH($A178, 'KZ-normalized'!$A:$A, 0))-INDEX('KZ-normalized'!$E:$E, MATCH($A178, 'KZ-normalized'!$A:$A, 0))), 0), 0))+(IFERROR(IF(19*INDEX('UZ-normalized'!$D:$D, MATCH($A178, 'UZ-normalized'!$A:$A, 0))-INDEX('UZ-normalized'!$E:$E, MATCH($A178, 'UZ-normalized'!$A:$A, 0))&gt;0, -(19*INDEX('UZ-normalized'!$D:$D, MATCH($A178, 'UZ-normalized'!$A:$A, 0))-INDEX('UZ-normalized'!$E:$E, MATCH($A178, 'UZ-normalized'!$A:$A, 0))), 0), 0)))</f>
        <v>-55.5</v>
      </c>
      <c r="AH178" s="6">
        <f>MIN(0, N178+(IFERROR(IF(20*INDEX('UA-normalized'!$D:$D, MATCH($A178, 'UA-normalized'!$A:$A, 0))-INDEX('UA-normalized'!$E:$E, MATCH($A178, 'UA-normalized'!$A:$A, 0))&gt;0, -(20*INDEX('UA-normalized'!$D:$D, MATCH($A178, 'UA-normalized'!$A:$A, 0))-INDEX('UA-normalized'!$E:$E, MATCH($A178, 'UA-normalized'!$A:$A, 0))), 0), 0))+(IFERROR(IF(20*INDEX('KZ-normalized'!$D:$D, MATCH($A178, 'KZ-normalized'!$A:$A, 0))-INDEX('KZ-normalized'!$E:$E, MATCH($A178, 'KZ-normalized'!$A:$A, 0))&gt;0, -(20*INDEX('KZ-normalized'!$D:$D, MATCH($A178, 'KZ-normalized'!$A:$A, 0))-INDEX('KZ-normalized'!$E:$E, MATCH($A178, 'KZ-normalized'!$A:$A, 0))), 0), 0))+(IFERROR(IF(20*INDEX('UZ-normalized'!$D:$D, MATCH($A178, 'UZ-normalized'!$A:$A, 0))-INDEX('UZ-normalized'!$E:$E, MATCH($A178, 'UZ-normalized'!$A:$A, 0))&gt;0, -(20*INDEX('UZ-normalized'!$D:$D, MATCH($A178, 'UZ-normalized'!$A:$A, 0))-INDEX('UZ-normalized'!$E:$E, MATCH($A178, 'UZ-normalized'!$A:$A, 0))), 0), 0)))</f>
        <v>-60</v>
      </c>
      <c r="AI178" s="6">
        <f>MIN(0, N178+(IFERROR(IF(21*INDEX('UA-normalized'!$D:$D, MATCH($A178, 'UA-normalized'!$A:$A, 0))-INDEX('UA-normalized'!$E:$E, MATCH($A178, 'UA-normalized'!$A:$A, 0))&gt;0, -(21*INDEX('UA-normalized'!$D:$D, MATCH($A178, 'UA-normalized'!$A:$A, 0))-INDEX('UA-normalized'!$E:$E, MATCH($A178, 'UA-normalized'!$A:$A, 0))), 0), 0))+(IFERROR(IF(21*INDEX('KZ-normalized'!$D:$D, MATCH($A178, 'KZ-normalized'!$A:$A, 0))-INDEX('KZ-normalized'!$E:$E, MATCH($A178, 'KZ-normalized'!$A:$A, 0))&gt;0, -(21*INDEX('KZ-normalized'!$D:$D, MATCH($A178, 'KZ-normalized'!$A:$A, 0))-INDEX('KZ-normalized'!$E:$E, MATCH($A178, 'KZ-normalized'!$A:$A, 0))), 0), 0))+(IFERROR(IF(21*INDEX('UZ-normalized'!$D:$D, MATCH($A178, 'UZ-normalized'!$A:$A, 0))-INDEX('UZ-normalized'!$E:$E, MATCH($A178, 'UZ-normalized'!$A:$A, 0))&gt;0, -(21*INDEX('UZ-normalized'!$D:$D, MATCH($A178, 'UZ-normalized'!$A:$A, 0))-INDEX('UZ-normalized'!$E:$E, MATCH($A178, 'UZ-normalized'!$A:$A, 0))), 0), 0)))</f>
        <v>-64.5</v>
      </c>
      <c r="AJ178" s="6">
        <f>MIN(0, N178+(IFERROR(IF(22*INDEX('UA-normalized'!$D:$D, MATCH($A178, 'UA-normalized'!$A:$A, 0))-INDEX('UA-normalized'!$E:$E, MATCH($A178, 'UA-normalized'!$A:$A, 0))&gt;0, -(22*INDEX('UA-normalized'!$D:$D, MATCH($A178, 'UA-normalized'!$A:$A, 0))-INDEX('UA-normalized'!$E:$E, MATCH($A178, 'UA-normalized'!$A:$A, 0))), 0), 0))+(IFERROR(IF(22*INDEX('KZ-normalized'!$D:$D, MATCH($A178, 'KZ-normalized'!$A:$A, 0))-INDEX('KZ-normalized'!$E:$E, MATCH($A178, 'KZ-normalized'!$A:$A, 0))&gt;0, -(22*INDEX('KZ-normalized'!$D:$D, MATCH($A178, 'KZ-normalized'!$A:$A, 0))-INDEX('KZ-normalized'!$E:$E, MATCH($A178, 'KZ-normalized'!$A:$A, 0))), 0), 0))+(IFERROR(IF(22*INDEX('UZ-normalized'!$D:$D, MATCH($A178, 'UZ-normalized'!$A:$A, 0))-INDEX('UZ-normalized'!$E:$E, MATCH($A178, 'UZ-normalized'!$A:$A, 0))&gt;0, -(22*INDEX('UZ-normalized'!$D:$D, MATCH($A178, 'UZ-normalized'!$A:$A, 0))-INDEX('UZ-normalized'!$E:$E, MATCH($A178, 'UZ-normalized'!$A:$A, 0))), 0), 0)))</f>
        <v>-69</v>
      </c>
      <c r="AK178" s="6">
        <f>MIN(0, N178+(IFERROR(IF(23*INDEX('UA-normalized'!$D:$D, MATCH($A178, 'UA-normalized'!$A:$A, 0))-INDEX('UA-normalized'!$E:$E, MATCH($A178, 'UA-normalized'!$A:$A, 0))&gt;0, -(23*INDEX('UA-normalized'!$D:$D, MATCH($A178, 'UA-normalized'!$A:$A, 0))-INDEX('UA-normalized'!$E:$E, MATCH($A178, 'UA-normalized'!$A:$A, 0))), 0), 0))+(IFERROR(IF(23*INDEX('KZ-normalized'!$D:$D, MATCH($A178, 'KZ-normalized'!$A:$A, 0))-INDEX('KZ-normalized'!$E:$E, MATCH($A178, 'KZ-normalized'!$A:$A, 0))&gt;0, -(23*INDEX('KZ-normalized'!$D:$D, MATCH($A178, 'KZ-normalized'!$A:$A, 0))-INDEX('KZ-normalized'!$E:$E, MATCH($A178, 'KZ-normalized'!$A:$A, 0))), 0), 0))+(IFERROR(IF(23*INDEX('UZ-normalized'!$D:$D, MATCH($A178, 'UZ-normalized'!$A:$A, 0))-INDEX('UZ-normalized'!$E:$E, MATCH($A178, 'UZ-normalized'!$A:$A, 0))&gt;0, -(23*INDEX('UZ-normalized'!$D:$D, MATCH($A178, 'UZ-normalized'!$A:$A, 0))-INDEX('UZ-normalized'!$E:$E, MATCH($A178, 'UZ-normalized'!$A:$A, 0))), 0), 0)))</f>
        <v>-73.5</v>
      </c>
      <c r="AL178" s="6">
        <f>MIN(0, N178+(IFERROR(IF(24*INDEX('UA-normalized'!$D:$D, MATCH($A178, 'UA-normalized'!$A:$A, 0))-INDEX('UA-normalized'!$E:$E, MATCH($A178, 'UA-normalized'!$A:$A, 0))&gt;0, -(24*INDEX('UA-normalized'!$D:$D, MATCH($A178, 'UA-normalized'!$A:$A, 0))-INDEX('UA-normalized'!$E:$E, MATCH($A178, 'UA-normalized'!$A:$A, 0))), 0), 0))+(IFERROR(IF(24*INDEX('KZ-normalized'!$D:$D, MATCH($A178, 'KZ-normalized'!$A:$A, 0))-INDEX('KZ-normalized'!$E:$E, MATCH($A178, 'KZ-normalized'!$A:$A, 0))&gt;0, -(24*INDEX('KZ-normalized'!$D:$D, MATCH($A178, 'KZ-normalized'!$A:$A, 0))-INDEX('KZ-normalized'!$E:$E, MATCH($A178, 'KZ-normalized'!$A:$A, 0))), 0), 0))+(IFERROR(IF(24*INDEX('UZ-normalized'!$D:$D, MATCH($A178, 'UZ-normalized'!$A:$A, 0))-INDEX('UZ-normalized'!$E:$E, MATCH($A178, 'UZ-normalized'!$A:$A, 0))&gt;0, -(24*INDEX('UZ-normalized'!$D:$D, MATCH($A178, 'UZ-normalized'!$A:$A, 0))-INDEX('UZ-normalized'!$E:$E, MATCH($A178, 'UZ-normalized'!$A:$A, 0))), 0), 0)))</f>
        <v>-78</v>
      </c>
      <c r="AM178" s="6">
        <f>MIN(0, N178+(IFERROR(IF(25*INDEX('UA-normalized'!$D:$D, MATCH($A178, 'UA-normalized'!$A:$A, 0))-INDEX('UA-normalized'!$E:$E, MATCH($A178, 'UA-normalized'!$A:$A, 0))&gt;0, -(25*INDEX('UA-normalized'!$D:$D, MATCH($A178, 'UA-normalized'!$A:$A, 0))-INDEX('UA-normalized'!$E:$E, MATCH($A178, 'UA-normalized'!$A:$A, 0))), 0), 0))+(IFERROR(IF(25*INDEX('KZ-normalized'!$D:$D, MATCH($A178, 'KZ-normalized'!$A:$A, 0))-INDEX('KZ-normalized'!$E:$E, MATCH($A178, 'KZ-normalized'!$A:$A, 0))&gt;0, -(25*INDEX('KZ-normalized'!$D:$D, MATCH($A178, 'KZ-normalized'!$A:$A, 0))-INDEX('KZ-normalized'!$E:$E, MATCH($A178, 'KZ-normalized'!$A:$A, 0))), 0), 0))+(IFERROR(IF(25*INDEX('UZ-normalized'!$D:$D, MATCH($A178, 'UZ-normalized'!$A:$A, 0))-INDEX('UZ-normalized'!$E:$E, MATCH($A178, 'UZ-normalized'!$A:$A, 0))&gt;0, -(25*INDEX('UZ-normalized'!$D:$D, MATCH($A178, 'UZ-normalized'!$A:$A, 0))-INDEX('UZ-normalized'!$E:$E, MATCH($A178, 'UZ-normalized'!$A:$A, 0))), 0), 0)))</f>
        <v>-82.5</v>
      </c>
      <c r="AN178" s="6">
        <f>MIN(0, N178+(IFERROR(IF(26*INDEX('UA-normalized'!$D:$D, MATCH($A178, 'UA-normalized'!$A:$A, 0))-INDEX('UA-normalized'!$E:$E, MATCH($A178, 'UA-normalized'!$A:$A, 0))&gt;0, -(26*INDEX('UA-normalized'!$D:$D, MATCH($A178, 'UA-normalized'!$A:$A, 0))-INDEX('UA-normalized'!$E:$E, MATCH($A178, 'UA-normalized'!$A:$A, 0))), 0), 0))+(IFERROR(IF(26*INDEX('KZ-normalized'!$D:$D, MATCH($A178, 'KZ-normalized'!$A:$A, 0))-INDEX('KZ-normalized'!$E:$E, MATCH($A178, 'KZ-normalized'!$A:$A, 0))&gt;0, -(26*INDEX('KZ-normalized'!$D:$D, MATCH($A178, 'KZ-normalized'!$A:$A, 0))-INDEX('KZ-normalized'!$E:$E, MATCH($A178, 'KZ-normalized'!$A:$A, 0))), 0), 0))+(IFERROR(IF(26*INDEX('UZ-normalized'!$D:$D, MATCH($A178, 'UZ-normalized'!$A:$A, 0))-INDEX('UZ-normalized'!$E:$E, MATCH($A178, 'UZ-normalized'!$A:$A, 0))&gt;0, -(26*INDEX('UZ-normalized'!$D:$D, MATCH($A178, 'UZ-normalized'!$A:$A, 0))-INDEX('UZ-normalized'!$E:$E, MATCH($A178, 'UZ-normalized'!$A:$A, 0))), 0), 0)))</f>
        <v>-87</v>
      </c>
      <c r="AO178" s="6">
        <f>MIN(0, N178+(IFERROR(IF(27*INDEX('UA-normalized'!$D:$D, MATCH($A178, 'UA-normalized'!$A:$A, 0))-INDEX('UA-normalized'!$E:$E, MATCH($A178, 'UA-normalized'!$A:$A, 0))&gt;0, -(27*INDEX('UA-normalized'!$D:$D, MATCH($A178, 'UA-normalized'!$A:$A, 0))-INDEX('UA-normalized'!$E:$E, MATCH($A178, 'UA-normalized'!$A:$A, 0))), 0), 0))+(IFERROR(IF(27*INDEX('KZ-normalized'!$D:$D, MATCH($A178, 'KZ-normalized'!$A:$A, 0))-INDEX('KZ-normalized'!$E:$E, MATCH($A178, 'KZ-normalized'!$A:$A, 0))&gt;0, -(27*INDEX('KZ-normalized'!$D:$D, MATCH($A178, 'KZ-normalized'!$A:$A, 0))-INDEX('KZ-normalized'!$E:$E, MATCH($A178, 'KZ-normalized'!$A:$A, 0))), 0), 0))+(IFERROR(IF(27*INDEX('UZ-normalized'!$D:$D, MATCH($A178, 'UZ-normalized'!$A:$A, 0))-INDEX('UZ-normalized'!$E:$E, MATCH($A178, 'UZ-normalized'!$A:$A, 0))&gt;0, -(27*INDEX('UZ-normalized'!$D:$D, MATCH($A178, 'UZ-normalized'!$A:$A, 0))-INDEX('UZ-normalized'!$E:$E, MATCH($A178, 'UZ-normalized'!$A:$A, 0))), 0), 0)))</f>
        <v>-91.5</v>
      </c>
      <c r="AP178" s="6">
        <f>MIN(0, N178+(IFERROR(IF(28*INDEX('UA-normalized'!$D:$D, MATCH($A178, 'UA-normalized'!$A:$A, 0))-INDEX('UA-normalized'!$E:$E, MATCH($A178, 'UA-normalized'!$A:$A, 0))&gt;0, -(28*INDEX('UA-normalized'!$D:$D, MATCH($A178, 'UA-normalized'!$A:$A, 0))-INDEX('UA-normalized'!$E:$E, MATCH($A178, 'UA-normalized'!$A:$A, 0))), 0), 0))+(IFERROR(IF(28*INDEX('KZ-normalized'!$D:$D, MATCH($A178, 'KZ-normalized'!$A:$A, 0))-INDEX('KZ-normalized'!$E:$E, MATCH($A178, 'KZ-normalized'!$A:$A, 0))&gt;0, -(28*INDEX('KZ-normalized'!$D:$D, MATCH($A178, 'KZ-normalized'!$A:$A, 0))-INDEX('KZ-normalized'!$E:$E, MATCH($A178, 'KZ-normalized'!$A:$A, 0))), 0), 0))+(IFERROR(IF(28*INDEX('UZ-normalized'!$D:$D, MATCH($A178, 'UZ-normalized'!$A:$A, 0))-INDEX('UZ-normalized'!$E:$E, MATCH($A178, 'UZ-normalized'!$A:$A, 0))&gt;0, -(28*INDEX('UZ-normalized'!$D:$D, MATCH($A178, 'UZ-normalized'!$A:$A, 0))-INDEX('UZ-normalized'!$E:$E, MATCH($A178, 'UZ-normalized'!$A:$A, 0))), 0), 0)))</f>
        <v>-96</v>
      </c>
      <c r="AQ178" s="6">
        <f>MIN(0, N178+(IFERROR(IF(29*INDEX('UA-normalized'!$D:$D, MATCH($A178, 'UA-normalized'!$A:$A, 0))-INDEX('UA-normalized'!$E:$E, MATCH($A178, 'UA-normalized'!$A:$A, 0))&gt;0, -(29*INDEX('UA-normalized'!$D:$D, MATCH($A178, 'UA-normalized'!$A:$A, 0))-INDEX('UA-normalized'!$E:$E, MATCH($A178, 'UA-normalized'!$A:$A, 0))), 0), 0))+(IFERROR(IF(29*INDEX('KZ-normalized'!$D:$D, MATCH($A178, 'KZ-normalized'!$A:$A, 0))-INDEX('KZ-normalized'!$E:$E, MATCH($A178, 'KZ-normalized'!$A:$A, 0))&gt;0, -(29*INDEX('KZ-normalized'!$D:$D, MATCH($A178, 'KZ-normalized'!$A:$A, 0))-INDEX('KZ-normalized'!$E:$E, MATCH($A178, 'KZ-normalized'!$A:$A, 0))), 0), 0))+(IFERROR(IF(29*INDEX('UZ-normalized'!$D:$D, MATCH($A178, 'UZ-normalized'!$A:$A, 0))-INDEX('UZ-normalized'!$E:$E, MATCH($A178, 'UZ-normalized'!$A:$A, 0))&gt;0, -(29*INDEX('UZ-normalized'!$D:$D, MATCH($A178, 'UZ-normalized'!$A:$A, 0))-INDEX('UZ-normalized'!$E:$E, MATCH($A178, 'UZ-normalized'!$A:$A, 0))), 0), 0)))</f>
        <v>-100.5</v>
      </c>
      <c r="AR178" s="6">
        <f>MIN(0, N178+(IFERROR(IF(30*INDEX('UA-normalized'!$D:$D, MATCH($A178, 'UA-normalized'!$A:$A, 0))-INDEX('UA-normalized'!$E:$E, MATCH($A178, 'UA-normalized'!$A:$A, 0))&gt;0, -(30*INDEX('UA-normalized'!$D:$D, MATCH($A178, 'UA-normalized'!$A:$A, 0))-INDEX('UA-normalized'!$E:$E, MATCH($A178, 'UA-normalized'!$A:$A, 0))), 0), 0))+(IFERROR(IF(30*INDEX('KZ-normalized'!$D:$D, MATCH($A178, 'KZ-normalized'!$A:$A, 0))-INDEX('KZ-normalized'!$E:$E, MATCH($A178, 'KZ-normalized'!$A:$A, 0))&gt;0, -(30*INDEX('KZ-normalized'!$D:$D, MATCH($A178, 'KZ-normalized'!$A:$A, 0))-INDEX('KZ-normalized'!$E:$E, MATCH($A178, 'KZ-normalized'!$A:$A, 0))), 0), 0))+(IFERROR(IF(30*INDEX('UZ-normalized'!$D:$D, MATCH($A178, 'UZ-normalized'!$A:$A, 0))-INDEX('UZ-normalized'!$E:$E, MATCH($A178, 'UZ-normalized'!$A:$A, 0))&gt;0, -(30*INDEX('UZ-normalized'!$D:$D, MATCH($A178, 'UZ-normalized'!$A:$A, 0))-INDEX('UZ-normalized'!$E:$E, MATCH($A178, 'UZ-normalized'!$A:$A, 0))), 0), 0)))</f>
        <v>-105</v>
      </c>
    </row>
    <row r="179" spans="1:44" x14ac:dyDescent="0.25">
      <c r="A179" s="8" t="s">
        <v>428</v>
      </c>
      <c r="B179" s="8" t="s">
        <v>420</v>
      </c>
      <c r="C179" s="8" t="s">
        <v>426</v>
      </c>
      <c r="D179" s="8" t="s">
        <v>429</v>
      </c>
      <c r="N179">
        <f t="shared" si="2"/>
        <v>0</v>
      </c>
      <c r="O179" s="6">
        <f>MIN(0, N179+(IFERROR(IF(1*INDEX('UA-normalized'!$D:$D, MATCH($A179, 'UA-normalized'!$A:$A, 0))-INDEX('UA-normalized'!$E:$E, MATCH($A179, 'UA-normalized'!$A:$A, 0))&gt;0, -(1*INDEX('UA-normalized'!$D:$D, MATCH($A179, 'UA-normalized'!$A:$A, 0))-INDEX('UA-normalized'!$E:$E, MATCH($A179, 'UA-normalized'!$A:$A, 0))), 0), 0))+(IFERROR(IF(1*INDEX('KZ-normalized'!$D:$D, MATCH($A179, 'KZ-normalized'!$A:$A, 0))-INDEX('KZ-normalized'!$E:$E, MATCH($A179, 'KZ-normalized'!$A:$A, 0))&gt;0, -(1*INDEX('KZ-normalized'!$D:$D, MATCH($A179, 'KZ-normalized'!$A:$A, 0))-INDEX('KZ-normalized'!$E:$E, MATCH($A179, 'KZ-normalized'!$A:$A, 0))), 0), 0))+(IFERROR(IF(1*INDEX('UZ-normalized'!$D:$D, MATCH($A179, 'UZ-normalized'!$A:$A, 0))-INDEX('UZ-normalized'!$E:$E, MATCH($A179, 'UZ-normalized'!$A:$A, 0))&gt;0, -(1*INDEX('UZ-normalized'!$D:$D, MATCH($A179, 'UZ-normalized'!$A:$A, 0))-INDEX('UZ-normalized'!$E:$E, MATCH($A179, 'UZ-normalized'!$A:$A, 0))), 0), 0)))</f>
        <v>0</v>
      </c>
      <c r="P179" s="6">
        <f>MIN(0, N179+(IFERROR(IF(2*INDEX('UA-normalized'!$D:$D, MATCH($A179, 'UA-normalized'!$A:$A, 0))-INDEX('UA-normalized'!$E:$E, MATCH($A179, 'UA-normalized'!$A:$A, 0))&gt;0, -(2*INDEX('UA-normalized'!$D:$D, MATCH($A179, 'UA-normalized'!$A:$A, 0))-INDEX('UA-normalized'!$E:$E, MATCH($A179, 'UA-normalized'!$A:$A, 0))), 0), 0))+(IFERROR(IF(2*INDEX('KZ-normalized'!$D:$D, MATCH($A179, 'KZ-normalized'!$A:$A, 0))-INDEX('KZ-normalized'!$E:$E, MATCH($A179, 'KZ-normalized'!$A:$A, 0))&gt;0, -(2*INDEX('KZ-normalized'!$D:$D, MATCH($A179, 'KZ-normalized'!$A:$A, 0))-INDEX('KZ-normalized'!$E:$E, MATCH($A179, 'KZ-normalized'!$A:$A, 0))), 0), 0))+(IFERROR(IF(2*INDEX('UZ-normalized'!$D:$D, MATCH($A179, 'UZ-normalized'!$A:$A, 0))-INDEX('UZ-normalized'!$E:$E, MATCH($A179, 'UZ-normalized'!$A:$A, 0))&gt;0, -(2*INDEX('UZ-normalized'!$D:$D, MATCH($A179, 'UZ-normalized'!$A:$A, 0))-INDEX('UZ-normalized'!$E:$E, MATCH($A179, 'UZ-normalized'!$A:$A, 0))), 0), 0)))</f>
        <v>0</v>
      </c>
      <c r="Q179" s="6">
        <f>MIN(0, N179+(IFERROR(IF(3*INDEX('UA-normalized'!$D:$D, MATCH($A179, 'UA-normalized'!$A:$A, 0))-INDEX('UA-normalized'!$E:$E, MATCH($A179, 'UA-normalized'!$A:$A, 0))&gt;0, -(3*INDEX('UA-normalized'!$D:$D, MATCH($A179, 'UA-normalized'!$A:$A, 0))-INDEX('UA-normalized'!$E:$E, MATCH($A179, 'UA-normalized'!$A:$A, 0))), 0), 0))+(IFERROR(IF(3*INDEX('KZ-normalized'!$D:$D, MATCH($A179, 'KZ-normalized'!$A:$A, 0))-INDEX('KZ-normalized'!$E:$E, MATCH($A179, 'KZ-normalized'!$A:$A, 0))&gt;0, -(3*INDEX('KZ-normalized'!$D:$D, MATCH($A179, 'KZ-normalized'!$A:$A, 0))-INDEX('KZ-normalized'!$E:$E, MATCH($A179, 'KZ-normalized'!$A:$A, 0))), 0), 0))+(IFERROR(IF(3*INDEX('UZ-normalized'!$D:$D, MATCH($A179, 'UZ-normalized'!$A:$A, 0))-INDEX('UZ-normalized'!$E:$E, MATCH($A179, 'UZ-normalized'!$A:$A, 0))&gt;0, -(3*INDEX('UZ-normalized'!$D:$D, MATCH($A179, 'UZ-normalized'!$A:$A, 0))-INDEX('UZ-normalized'!$E:$E, MATCH($A179, 'UZ-normalized'!$A:$A, 0))), 0), 0)))</f>
        <v>0</v>
      </c>
      <c r="R179" s="6">
        <f>MIN(0, N179+(IFERROR(IF(4*INDEX('UA-normalized'!$D:$D, MATCH($A179, 'UA-normalized'!$A:$A, 0))-INDEX('UA-normalized'!$E:$E, MATCH($A179, 'UA-normalized'!$A:$A, 0))&gt;0, -(4*INDEX('UA-normalized'!$D:$D, MATCH($A179, 'UA-normalized'!$A:$A, 0))-INDEX('UA-normalized'!$E:$E, MATCH($A179, 'UA-normalized'!$A:$A, 0))), 0), 0))+(IFERROR(IF(4*INDEX('KZ-normalized'!$D:$D, MATCH($A179, 'KZ-normalized'!$A:$A, 0))-INDEX('KZ-normalized'!$E:$E, MATCH($A179, 'KZ-normalized'!$A:$A, 0))&gt;0, -(4*INDEX('KZ-normalized'!$D:$D, MATCH($A179, 'KZ-normalized'!$A:$A, 0))-INDEX('KZ-normalized'!$E:$E, MATCH($A179, 'KZ-normalized'!$A:$A, 0))), 0), 0))+(IFERROR(IF(4*INDEX('UZ-normalized'!$D:$D, MATCH($A179, 'UZ-normalized'!$A:$A, 0))-INDEX('UZ-normalized'!$E:$E, MATCH($A179, 'UZ-normalized'!$A:$A, 0))&gt;0, -(4*INDEX('UZ-normalized'!$D:$D, MATCH($A179, 'UZ-normalized'!$A:$A, 0))-INDEX('UZ-normalized'!$E:$E, MATCH($A179, 'UZ-normalized'!$A:$A, 0))), 0), 0)))</f>
        <v>0</v>
      </c>
      <c r="S179" s="6">
        <f>MIN(0, N179+(IFERROR(IF(5*INDEX('UA-normalized'!$D:$D, MATCH($A179, 'UA-normalized'!$A:$A, 0))-INDEX('UA-normalized'!$E:$E, MATCH($A179, 'UA-normalized'!$A:$A, 0))&gt;0, -(5*INDEX('UA-normalized'!$D:$D, MATCH($A179, 'UA-normalized'!$A:$A, 0))-INDEX('UA-normalized'!$E:$E, MATCH($A179, 'UA-normalized'!$A:$A, 0))), 0), 0))+(IFERROR(IF(5*INDEX('KZ-normalized'!$D:$D, MATCH($A179, 'KZ-normalized'!$A:$A, 0))-INDEX('KZ-normalized'!$E:$E, MATCH($A179, 'KZ-normalized'!$A:$A, 0))&gt;0, -(5*INDEX('KZ-normalized'!$D:$D, MATCH($A179, 'KZ-normalized'!$A:$A, 0))-INDEX('KZ-normalized'!$E:$E, MATCH($A179, 'KZ-normalized'!$A:$A, 0))), 0), 0))+(IFERROR(IF(5*INDEX('UZ-normalized'!$D:$D, MATCH($A179, 'UZ-normalized'!$A:$A, 0))-INDEX('UZ-normalized'!$E:$E, MATCH($A179, 'UZ-normalized'!$A:$A, 0))&gt;0, -(5*INDEX('UZ-normalized'!$D:$D, MATCH($A179, 'UZ-normalized'!$A:$A, 0))-INDEX('UZ-normalized'!$E:$E, MATCH($A179, 'UZ-normalized'!$A:$A, 0))), 0), 0)))</f>
        <v>0</v>
      </c>
      <c r="T179" s="6">
        <f>MIN(0, N179+(IFERROR(IF(6*INDEX('UA-normalized'!$D:$D, MATCH($A179, 'UA-normalized'!$A:$A, 0))-INDEX('UA-normalized'!$E:$E, MATCH($A179, 'UA-normalized'!$A:$A, 0))&gt;0, -(6*INDEX('UA-normalized'!$D:$D, MATCH($A179, 'UA-normalized'!$A:$A, 0))-INDEX('UA-normalized'!$E:$E, MATCH($A179, 'UA-normalized'!$A:$A, 0))), 0), 0))+(IFERROR(IF(6*INDEX('KZ-normalized'!$D:$D, MATCH($A179, 'KZ-normalized'!$A:$A, 0))-INDEX('KZ-normalized'!$E:$E, MATCH($A179, 'KZ-normalized'!$A:$A, 0))&gt;0, -(6*INDEX('KZ-normalized'!$D:$D, MATCH($A179, 'KZ-normalized'!$A:$A, 0))-INDEX('KZ-normalized'!$E:$E, MATCH($A179, 'KZ-normalized'!$A:$A, 0))), 0), 0))+(IFERROR(IF(6*INDEX('UZ-normalized'!$D:$D, MATCH($A179, 'UZ-normalized'!$A:$A, 0))-INDEX('UZ-normalized'!$E:$E, MATCH($A179, 'UZ-normalized'!$A:$A, 0))&gt;0, -(6*INDEX('UZ-normalized'!$D:$D, MATCH($A179, 'UZ-normalized'!$A:$A, 0))-INDEX('UZ-normalized'!$E:$E, MATCH($A179, 'UZ-normalized'!$A:$A, 0))), 0), 0)))</f>
        <v>0</v>
      </c>
      <c r="U179" s="6">
        <f>MIN(0, N179+(IFERROR(IF(7*INDEX('UA-normalized'!$D:$D, MATCH($A179, 'UA-normalized'!$A:$A, 0))-INDEX('UA-normalized'!$E:$E, MATCH($A179, 'UA-normalized'!$A:$A, 0))&gt;0, -(7*INDEX('UA-normalized'!$D:$D, MATCH($A179, 'UA-normalized'!$A:$A, 0))-INDEX('UA-normalized'!$E:$E, MATCH($A179, 'UA-normalized'!$A:$A, 0))), 0), 0))+(IFERROR(IF(7*INDEX('KZ-normalized'!$D:$D, MATCH($A179, 'KZ-normalized'!$A:$A, 0))-INDEX('KZ-normalized'!$E:$E, MATCH($A179, 'KZ-normalized'!$A:$A, 0))&gt;0, -(7*INDEX('KZ-normalized'!$D:$D, MATCH($A179, 'KZ-normalized'!$A:$A, 0))-INDEX('KZ-normalized'!$E:$E, MATCH($A179, 'KZ-normalized'!$A:$A, 0))), 0), 0))+(IFERROR(IF(7*INDEX('UZ-normalized'!$D:$D, MATCH($A179, 'UZ-normalized'!$A:$A, 0))-INDEX('UZ-normalized'!$E:$E, MATCH($A179, 'UZ-normalized'!$A:$A, 0))&gt;0, -(7*INDEX('UZ-normalized'!$D:$D, MATCH($A179, 'UZ-normalized'!$A:$A, 0))-INDEX('UZ-normalized'!$E:$E, MATCH($A179, 'UZ-normalized'!$A:$A, 0))), 0), 0)))</f>
        <v>0</v>
      </c>
      <c r="V179" s="6">
        <f>MIN(0, N179+(IFERROR(IF(8*INDEX('UA-normalized'!$D:$D, MATCH($A179, 'UA-normalized'!$A:$A, 0))-INDEX('UA-normalized'!$E:$E, MATCH($A179, 'UA-normalized'!$A:$A, 0))&gt;0, -(8*INDEX('UA-normalized'!$D:$D, MATCH($A179, 'UA-normalized'!$A:$A, 0))-INDEX('UA-normalized'!$E:$E, MATCH($A179, 'UA-normalized'!$A:$A, 0))), 0), 0))+(IFERROR(IF(8*INDEX('KZ-normalized'!$D:$D, MATCH($A179, 'KZ-normalized'!$A:$A, 0))-INDEX('KZ-normalized'!$E:$E, MATCH($A179, 'KZ-normalized'!$A:$A, 0))&gt;0, -(8*INDEX('KZ-normalized'!$D:$D, MATCH($A179, 'KZ-normalized'!$A:$A, 0))-INDEX('KZ-normalized'!$E:$E, MATCH($A179, 'KZ-normalized'!$A:$A, 0))), 0), 0))+(IFERROR(IF(8*INDEX('UZ-normalized'!$D:$D, MATCH($A179, 'UZ-normalized'!$A:$A, 0))-INDEX('UZ-normalized'!$E:$E, MATCH($A179, 'UZ-normalized'!$A:$A, 0))&gt;0, -(8*INDEX('UZ-normalized'!$D:$D, MATCH($A179, 'UZ-normalized'!$A:$A, 0))-INDEX('UZ-normalized'!$E:$E, MATCH($A179, 'UZ-normalized'!$A:$A, 0))), 0), 0)))</f>
        <v>0</v>
      </c>
      <c r="W179" s="6">
        <f>MIN(0, N179+(IFERROR(IF(9*INDEX('UA-normalized'!$D:$D, MATCH($A179, 'UA-normalized'!$A:$A, 0))-INDEX('UA-normalized'!$E:$E, MATCH($A179, 'UA-normalized'!$A:$A, 0))&gt;0, -(9*INDEX('UA-normalized'!$D:$D, MATCH($A179, 'UA-normalized'!$A:$A, 0))-INDEX('UA-normalized'!$E:$E, MATCH($A179, 'UA-normalized'!$A:$A, 0))), 0), 0))+(IFERROR(IF(9*INDEX('KZ-normalized'!$D:$D, MATCH($A179, 'KZ-normalized'!$A:$A, 0))-INDEX('KZ-normalized'!$E:$E, MATCH($A179, 'KZ-normalized'!$A:$A, 0))&gt;0, -(9*INDEX('KZ-normalized'!$D:$D, MATCH($A179, 'KZ-normalized'!$A:$A, 0))-INDEX('KZ-normalized'!$E:$E, MATCH($A179, 'KZ-normalized'!$A:$A, 0))), 0), 0))+(IFERROR(IF(9*INDEX('UZ-normalized'!$D:$D, MATCH($A179, 'UZ-normalized'!$A:$A, 0))-INDEX('UZ-normalized'!$E:$E, MATCH($A179, 'UZ-normalized'!$A:$A, 0))&gt;0, -(9*INDEX('UZ-normalized'!$D:$D, MATCH($A179, 'UZ-normalized'!$A:$A, 0))-INDEX('UZ-normalized'!$E:$E, MATCH($A179, 'UZ-normalized'!$A:$A, 0))), 0), 0)))</f>
        <v>0</v>
      </c>
      <c r="X179" s="6">
        <f>MIN(0, N179+(IFERROR(IF(10*INDEX('UA-normalized'!$D:$D, MATCH($A179, 'UA-normalized'!$A:$A, 0))-INDEX('UA-normalized'!$E:$E, MATCH($A179, 'UA-normalized'!$A:$A, 0))&gt;0, -(10*INDEX('UA-normalized'!$D:$D, MATCH($A179, 'UA-normalized'!$A:$A, 0))-INDEX('UA-normalized'!$E:$E, MATCH($A179, 'UA-normalized'!$A:$A, 0))), 0), 0))+(IFERROR(IF(10*INDEX('KZ-normalized'!$D:$D, MATCH($A179, 'KZ-normalized'!$A:$A, 0))-INDEX('KZ-normalized'!$E:$E, MATCH($A179, 'KZ-normalized'!$A:$A, 0))&gt;0, -(10*INDEX('KZ-normalized'!$D:$D, MATCH($A179, 'KZ-normalized'!$A:$A, 0))-INDEX('KZ-normalized'!$E:$E, MATCH($A179, 'KZ-normalized'!$A:$A, 0))), 0), 0))+(IFERROR(IF(10*INDEX('UZ-normalized'!$D:$D, MATCH($A179, 'UZ-normalized'!$A:$A, 0))-INDEX('UZ-normalized'!$E:$E, MATCH($A179, 'UZ-normalized'!$A:$A, 0))&gt;0, -(10*INDEX('UZ-normalized'!$D:$D, MATCH($A179, 'UZ-normalized'!$A:$A, 0))-INDEX('UZ-normalized'!$E:$E, MATCH($A179, 'UZ-normalized'!$A:$A, 0))), 0), 0)))</f>
        <v>0</v>
      </c>
      <c r="Y179" s="6">
        <f>MIN(0, N179+(IFERROR(IF(11*INDEX('UA-normalized'!$D:$D, MATCH($A179, 'UA-normalized'!$A:$A, 0))-INDEX('UA-normalized'!$E:$E, MATCH($A179, 'UA-normalized'!$A:$A, 0))&gt;0, -(11*INDEX('UA-normalized'!$D:$D, MATCH($A179, 'UA-normalized'!$A:$A, 0))-INDEX('UA-normalized'!$E:$E, MATCH($A179, 'UA-normalized'!$A:$A, 0))), 0), 0))+(IFERROR(IF(11*INDEX('KZ-normalized'!$D:$D, MATCH($A179, 'KZ-normalized'!$A:$A, 0))-INDEX('KZ-normalized'!$E:$E, MATCH($A179, 'KZ-normalized'!$A:$A, 0))&gt;0, -(11*INDEX('KZ-normalized'!$D:$D, MATCH($A179, 'KZ-normalized'!$A:$A, 0))-INDEX('KZ-normalized'!$E:$E, MATCH($A179, 'KZ-normalized'!$A:$A, 0))), 0), 0))+(IFERROR(IF(11*INDEX('UZ-normalized'!$D:$D, MATCH($A179, 'UZ-normalized'!$A:$A, 0))-INDEX('UZ-normalized'!$E:$E, MATCH($A179, 'UZ-normalized'!$A:$A, 0))&gt;0, -(11*INDEX('UZ-normalized'!$D:$D, MATCH($A179, 'UZ-normalized'!$A:$A, 0))-INDEX('UZ-normalized'!$E:$E, MATCH($A179, 'UZ-normalized'!$A:$A, 0))), 0), 0)))</f>
        <v>0</v>
      </c>
      <c r="Z179" s="6">
        <f>MIN(0, N179+(IFERROR(IF(12*INDEX('UA-normalized'!$D:$D, MATCH($A179, 'UA-normalized'!$A:$A, 0))-INDEX('UA-normalized'!$E:$E, MATCH($A179, 'UA-normalized'!$A:$A, 0))&gt;0, -(12*INDEX('UA-normalized'!$D:$D, MATCH($A179, 'UA-normalized'!$A:$A, 0))-INDEX('UA-normalized'!$E:$E, MATCH($A179, 'UA-normalized'!$A:$A, 0))), 0), 0))+(IFERROR(IF(12*INDEX('KZ-normalized'!$D:$D, MATCH($A179, 'KZ-normalized'!$A:$A, 0))-INDEX('KZ-normalized'!$E:$E, MATCH($A179, 'KZ-normalized'!$A:$A, 0))&gt;0, -(12*INDEX('KZ-normalized'!$D:$D, MATCH($A179, 'KZ-normalized'!$A:$A, 0))-INDEX('KZ-normalized'!$E:$E, MATCH($A179, 'KZ-normalized'!$A:$A, 0))), 0), 0))+(IFERROR(IF(12*INDEX('UZ-normalized'!$D:$D, MATCH($A179, 'UZ-normalized'!$A:$A, 0))-INDEX('UZ-normalized'!$E:$E, MATCH($A179, 'UZ-normalized'!$A:$A, 0))&gt;0, -(12*INDEX('UZ-normalized'!$D:$D, MATCH($A179, 'UZ-normalized'!$A:$A, 0))-INDEX('UZ-normalized'!$E:$E, MATCH($A179, 'UZ-normalized'!$A:$A, 0))), 0), 0)))</f>
        <v>0</v>
      </c>
      <c r="AA179" s="6">
        <f>MIN(0, N179+(IFERROR(IF(13*INDEX('UA-normalized'!$D:$D, MATCH($A179, 'UA-normalized'!$A:$A, 0))-INDEX('UA-normalized'!$E:$E, MATCH($A179, 'UA-normalized'!$A:$A, 0))&gt;0, -(13*INDEX('UA-normalized'!$D:$D, MATCH($A179, 'UA-normalized'!$A:$A, 0))-INDEX('UA-normalized'!$E:$E, MATCH($A179, 'UA-normalized'!$A:$A, 0))), 0), 0))+(IFERROR(IF(13*INDEX('KZ-normalized'!$D:$D, MATCH($A179, 'KZ-normalized'!$A:$A, 0))-INDEX('KZ-normalized'!$E:$E, MATCH($A179, 'KZ-normalized'!$A:$A, 0))&gt;0, -(13*INDEX('KZ-normalized'!$D:$D, MATCH($A179, 'KZ-normalized'!$A:$A, 0))-INDEX('KZ-normalized'!$E:$E, MATCH($A179, 'KZ-normalized'!$A:$A, 0))), 0), 0))+(IFERROR(IF(13*INDEX('UZ-normalized'!$D:$D, MATCH($A179, 'UZ-normalized'!$A:$A, 0))-INDEX('UZ-normalized'!$E:$E, MATCH($A179, 'UZ-normalized'!$A:$A, 0))&gt;0, -(13*INDEX('UZ-normalized'!$D:$D, MATCH($A179, 'UZ-normalized'!$A:$A, 0))-INDEX('UZ-normalized'!$E:$E, MATCH($A179, 'UZ-normalized'!$A:$A, 0))), 0), 0)))</f>
        <v>-1</v>
      </c>
      <c r="AB179" s="6">
        <f>MIN(0, N179+(IFERROR(IF(14*INDEX('UA-normalized'!$D:$D, MATCH($A179, 'UA-normalized'!$A:$A, 0))-INDEX('UA-normalized'!$E:$E, MATCH($A179, 'UA-normalized'!$A:$A, 0))&gt;0, -(14*INDEX('UA-normalized'!$D:$D, MATCH($A179, 'UA-normalized'!$A:$A, 0))-INDEX('UA-normalized'!$E:$E, MATCH($A179, 'UA-normalized'!$A:$A, 0))), 0), 0))+(IFERROR(IF(14*INDEX('KZ-normalized'!$D:$D, MATCH($A179, 'KZ-normalized'!$A:$A, 0))-INDEX('KZ-normalized'!$E:$E, MATCH($A179, 'KZ-normalized'!$A:$A, 0))&gt;0, -(14*INDEX('KZ-normalized'!$D:$D, MATCH($A179, 'KZ-normalized'!$A:$A, 0))-INDEX('KZ-normalized'!$E:$E, MATCH($A179, 'KZ-normalized'!$A:$A, 0))), 0), 0))+(IFERROR(IF(14*INDEX('UZ-normalized'!$D:$D, MATCH($A179, 'UZ-normalized'!$A:$A, 0))-INDEX('UZ-normalized'!$E:$E, MATCH($A179, 'UZ-normalized'!$A:$A, 0))&gt;0, -(14*INDEX('UZ-normalized'!$D:$D, MATCH($A179, 'UZ-normalized'!$A:$A, 0))-INDEX('UZ-normalized'!$E:$E, MATCH($A179, 'UZ-normalized'!$A:$A, 0))), 0), 0)))</f>
        <v>-3</v>
      </c>
      <c r="AC179" s="6">
        <f>MIN(0, N179+(IFERROR(IF(15*INDEX('UA-normalized'!$D:$D, MATCH($A179, 'UA-normalized'!$A:$A, 0))-INDEX('UA-normalized'!$E:$E, MATCH($A179, 'UA-normalized'!$A:$A, 0))&gt;0, -(15*INDEX('UA-normalized'!$D:$D, MATCH($A179, 'UA-normalized'!$A:$A, 0))-INDEX('UA-normalized'!$E:$E, MATCH($A179, 'UA-normalized'!$A:$A, 0))), 0), 0))+(IFERROR(IF(15*INDEX('KZ-normalized'!$D:$D, MATCH($A179, 'KZ-normalized'!$A:$A, 0))-INDEX('KZ-normalized'!$E:$E, MATCH($A179, 'KZ-normalized'!$A:$A, 0))&gt;0, -(15*INDEX('KZ-normalized'!$D:$D, MATCH($A179, 'KZ-normalized'!$A:$A, 0))-INDEX('KZ-normalized'!$E:$E, MATCH($A179, 'KZ-normalized'!$A:$A, 0))), 0), 0))+(IFERROR(IF(15*INDEX('UZ-normalized'!$D:$D, MATCH($A179, 'UZ-normalized'!$A:$A, 0))-INDEX('UZ-normalized'!$E:$E, MATCH($A179, 'UZ-normalized'!$A:$A, 0))&gt;0, -(15*INDEX('UZ-normalized'!$D:$D, MATCH($A179, 'UZ-normalized'!$A:$A, 0))-INDEX('UZ-normalized'!$E:$E, MATCH($A179, 'UZ-normalized'!$A:$A, 0))), 0), 0)))</f>
        <v>-5</v>
      </c>
      <c r="AD179" s="6">
        <f>MIN(0, N179+(IFERROR(IF(16*INDEX('UA-normalized'!$D:$D, MATCH($A179, 'UA-normalized'!$A:$A, 0))-INDEX('UA-normalized'!$E:$E, MATCH($A179, 'UA-normalized'!$A:$A, 0))&gt;0, -(16*INDEX('UA-normalized'!$D:$D, MATCH($A179, 'UA-normalized'!$A:$A, 0))-INDEX('UA-normalized'!$E:$E, MATCH($A179, 'UA-normalized'!$A:$A, 0))), 0), 0))+(IFERROR(IF(16*INDEX('KZ-normalized'!$D:$D, MATCH($A179, 'KZ-normalized'!$A:$A, 0))-INDEX('KZ-normalized'!$E:$E, MATCH($A179, 'KZ-normalized'!$A:$A, 0))&gt;0, -(16*INDEX('KZ-normalized'!$D:$D, MATCH($A179, 'KZ-normalized'!$A:$A, 0))-INDEX('KZ-normalized'!$E:$E, MATCH($A179, 'KZ-normalized'!$A:$A, 0))), 0), 0))+(IFERROR(IF(16*INDEX('UZ-normalized'!$D:$D, MATCH($A179, 'UZ-normalized'!$A:$A, 0))-INDEX('UZ-normalized'!$E:$E, MATCH($A179, 'UZ-normalized'!$A:$A, 0))&gt;0, -(16*INDEX('UZ-normalized'!$D:$D, MATCH($A179, 'UZ-normalized'!$A:$A, 0))-INDEX('UZ-normalized'!$E:$E, MATCH($A179, 'UZ-normalized'!$A:$A, 0))), 0), 0)))</f>
        <v>-7</v>
      </c>
      <c r="AE179" s="6">
        <f>MIN(0, N179+(IFERROR(IF(17*INDEX('UA-normalized'!$D:$D, MATCH($A179, 'UA-normalized'!$A:$A, 0))-INDEX('UA-normalized'!$E:$E, MATCH($A179, 'UA-normalized'!$A:$A, 0))&gt;0, -(17*INDEX('UA-normalized'!$D:$D, MATCH($A179, 'UA-normalized'!$A:$A, 0))-INDEX('UA-normalized'!$E:$E, MATCH($A179, 'UA-normalized'!$A:$A, 0))), 0), 0))+(IFERROR(IF(17*INDEX('KZ-normalized'!$D:$D, MATCH($A179, 'KZ-normalized'!$A:$A, 0))-INDEX('KZ-normalized'!$E:$E, MATCH($A179, 'KZ-normalized'!$A:$A, 0))&gt;0, -(17*INDEX('KZ-normalized'!$D:$D, MATCH($A179, 'KZ-normalized'!$A:$A, 0))-INDEX('KZ-normalized'!$E:$E, MATCH($A179, 'KZ-normalized'!$A:$A, 0))), 0), 0))+(IFERROR(IF(17*INDEX('UZ-normalized'!$D:$D, MATCH($A179, 'UZ-normalized'!$A:$A, 0))-INDEX('UZ-normalized'!$E:$E, MATCH($A179, 'UZ-normalized'!$A:$A, 0))&gt;0, -(17*INDEX('UZ-normalized'!$D:$D, MATCH($A179, 'UZ-normalized'!$A:$A, 0))-INDEX('UZ-normalized'!$E:$E, MATCH($A179, 'UZ-normalized'!$A:$A, 0))), 0), 0)))</f>
        <v>-9</v>
      </c>
      <c r="AF179" s="6">
        <f>MIN(0, N179+(IFERROR(IF(18*INDEX('UA-normalized'!$D:$D, MATCH($A179, 'UA-normalized'!$A:$A, 0))-INDEX('UA-normalized'!$E:$E, MATCH($A179, 'UA-normalized'!$A:$A, 0))&gt;0, -(18*INDEX('UA-normalized'!$D:$D, MATCH($A179, 'UA-normalized'!$A:$A, 0))-INDEX('UA-normalized'!$E:$E, MATCH($A179, 'UA-normalized'!$A:$A, 0))), 0), 0))+(IFERROR(IF(18*INDEX('KZ-normalized'!$D:$D, MATCH($A179, 'KZ-normalized'!$A:$A, 0))-INDEX('KZ-normalized'!$E:$E, MATCH($A179, 'KZ-normalized'!$A:$A, 0))&gt;0, -(18*INDEX('KZ-normalized'!$D:$D, MATCH($A179, 'KZ-normalized'!$A:$A, 0))-INDEX('KZ-normalized'!$E:$E, MATCH($A179, 'KZ-normalized'!$A:$A, 0))), 0), 0))+(IFERROR(IF(18*INDEX('UZ-normalized'!$D:$D, MATCH($A179, 'UZ-normalized'!$A:$A, 0))-INDEX('UZ-normalized'!$E:$E, MATCH($A179, 'UZ-normalized'!$A:$A, 0))&gt;0, -(18*INDEX('UZ-normalized'!$D:$D, MATCH($A179, 'UZ-normalized'!$A:$A, 0))-INDEX('UZ-normalized'!$E:$E, MATCH($A179, 'UZ-normalized'!$A:$A, 0))), 0), 0)))</f>
        <v>-11</v>
      </c>
      <c r="AG179" s="6">
        <f>MIN(0, N179+(IFERROR(IF(19*INDEX('UA-normalized'!$D:$D, MATCH($A179, 'UA-normalized'!$A:$A, 0))-INDEX('UA-normalized'!$E:$E, MATCH($A179, 'UA-normalized'!$A:$A, 0))&gt;0, -(19*INDEX('UA-normalized'!$D:$D, MATCH($A179, 'UA-normalized'!$A:$A, 0))-INDEX('UA-normalized'!$E:$E, MATCH($A179, 'UA-normalized'!$A:$A, 0))), 0), 0))+(IFERROR(IF(19*INDEX('KZ-normalized'!$D:$D, MATCH($A179, 'KZ-normalized'!$A:$A, 0))-INDEX('KZ-normalized'!$E:$E, MATCH($A179, 'KZ-normalized'!$A:$A, 0))&gt;0, -(19*INDEX('KZ-normalized'!$D:$D, MATCH($A179, 'KZ-normalized'!$A:$A, 0))-INDEX('KZ-normalized'!$E:$E, MATCH($A179, 'KZ-normalized'!$A:$A, 0))), 0), 0))+(IFERROR(IF(19*INDEX('UZ-normalized'!$D:$D, MATCH($A179, 'UZ-normalized'!$A:$A, 0))-INDEX('UZ-normalized'!$E:$E, MATCH($A179, 'UZ-normalized'!$A:$A, 0))&gt;0, -(19*INDEX('UZ-normalized'!$D:$D, MATCH($A179, 'UZ-normalized'!$A:$A, 0))-INDEX('UZ-normalized'!$E:$E, MATCH($A179, 'UZ-normalized'!$A:$A, 0))), 0), 0)))</f>
        <v>-13</v>
      </c>
      <c r="AH179" s="6">
        <f>MIN(0, N179+(IFERROR(IF(20*INDEX('UA-normalized'!$D:$D, MATCH($A179, 'UA-normalized'!$A:$A, 0))-INDEX('UA-normalized'!$E:$E, MATCH($A179, 'UA-normalized'!$A:$A, 0))&gt;0, -(20*INDEX('UA-normalized'!$D:$D, MATCH($A179, 'UA-normalized'!$A:$A, 0))-INDEX('UA-normalized'!$E:$E, MATCH($A179, 'UA-normalized'!$A:$A, 0))), 0), 0))+(IFERROR(IF(20*INDEX('KZ-normalized'!$D:$D, MATCH($A179, 'KZ-normalized'!$A:$A, 0))-INDEX('KZ-normalized'!$E:$E, MATCH($A179, 'KZ-normalized'!$A:$A, 0))&gt;0, -(20*INDEX('KZ-normalized'!$D:$D, MATCH($A179, 'KZ-normalized'!$A:$A, 0))-INDEX('KZ-normalized'!$E:$E, MATCH($A179, 'KZ-normalized'!$A:$A, 0))), 0), 0))+(IFERROR(IF(20*INDEX('UZ-normalized'!$D:$D, MATCH($A179, 'UZ-normalized'!$A:$A, 0))-INDEX('UZ-normalized'!$E:$E, MATCH($A179, 'UZ-normalized'!$A:$A, 0))&gt;0, -(20*INDEX('UZ-normalized'!$D:$D, MATCH($A179, 'UZ-normalized'!$A:$A, 0))-INDEX('UZ-normalized'!$E:$E, MATCH($A179, 'UZ-normalized'!$A:$A, 0))), 0), 0)))</f>
        <v>-15</v>
      </c>
      <c r="AI179" s="6">
        <f>MIN(0, N179+(IFERROR(IF(21*INDEX('UA-normalized'!$D:$D, MATCH($A179, 'UA-normalized'!$A:$A, 0))-INDEX('UA-normalized'!$E:$E, MATCH($A179, 'UA-normalized'!$A:$A, 0))&gt;0, -(21*INDEX('UA-normalized'!$D:$D, MATCH($A179, 'UA-normalized'!$A:$A, 0))-INDEX('UA-normalized'!$E:$E, MATCH($A179, 'UA-normalized'!$A:$A, 0))), 0), 0))+(IFERROR(IF(21*INDEX('KZ-normalized'!$D:$D, MATCH($A179, 'KZ-normalized'!$A:$A, 0))-INDEX('KZ-normalized'!$E:$E, MATCH($A179, 'KZ-normalized'!$A:$A, 0))&gt;0, -(21*INDEX('KZ-normalized'!$D:$D, MATCH($A179, 'KZ-normalized'!$A:$A, 0))-INDEX('KZ-normalized'!$E:$E, MATCH($A179, 'KZ-normalized'!$A:$A, 0))), 0), 0))+(IFERROR(IF(21*INDEX('UZ-normalized'!$D:$D, MATCH($A179, 'UZ-normalized'!$A:$A, 0))-INDEX('UZ-normalized'!$E:$E, MATCH($A179, 'UZ-normalized'!$A:$A, 0))&gt;0, -(21*INDEX('UZ-normalized'!$D:$D, MATCH($A179, 'UZ-normalized'!$A:$A, 0))-INDEX('UZ-normalized'!$E:$E, MATCH($A179, 'UZ-normalized'!$A:$A, 0))), 0), 0)))</f>
        <v>-17</v>
      </c>
      <c r="AJ179" s="6">
        <f>MIN(0, N179+(IFERROR(IF(22*INDEX('UA-normalized'!$D:$D, MATCH($A179, 'UA-normalized'!$A:$A, 0))-INDEX('UA-normalized'!$E:$E, MATCH($A179, 'UA-normalized'!$A:$A, 0))&gt;0, -(22*INDEX('UA-normalized'!$D:$D, MATCH($A179, 'UA-normalized'!$A:$A, 0))-INDEX('UA-normalized'!$E:$E, MATCH($A179, 'UA-normalized'!$A:$A, 0))), 0), 0))+(IFERROR(IF(22*INDEX('KZ-normalized'!$D:$D, MATCH($A179, 'KZ-normalized'!$A:$A, 0))-INDEX('KZ-normalized'!$E:$E, MATCH($A179, 'KZ-normalized'!$A:$A, 0))&gt;0, -(22*INDEX('KZ-normalized'!$D:$D, MATCH($A179, 'KZ-normalized'!$A:$A, 0))-INDEX('KZ-normalized'!$E:$E, MATCH($A179, 'KZ-normalized'!$A:$A, 0))), 0), 0))+(IFERROR(IF(22*INDEX('UZ-normalized'!$D:$D, MATCH($A179, 'UZ-normalized'!$A:$A, 0))-INDEX('UZ-normalized'!$E:$E, MATCH($A179, 'UZ-normalized'!$A:$A, 0))&gt;0, -(22*INDEX('UZ-normalized'!$D:$D, MATCH($A179, 'UZ-normalized'!$A:$A, 0))-INDEX('UZ-normalized'!$E:$E, MATCH($A179, 'UZ-normalized'!$A:$A, 0))), 0), 0)))</f>
        <v>-19</v>
      </c>
      <c r="AK179" s="6">
        <f>MIN(0, N179+(IFERROR(IF(23*INDEX('UA-normalized'!$D:$D, MATCH($A179, 'UA-normalized'!$A:$A, 0))-INDEX('UA-normalized'!$E:$E, MATCH($A179, 'UA-normalized'!$A:$A, 0))&gt;0, -(23*INDEX('UA-normalized'!$D:$D, MATCH($A179, 'UA-normalized'!$A:$A, 0))-INDEX('UA-normalized'!$E:$E, MATCH($A179, 'UA-normalized'!$A:$A, 0))), 0), 0))+(IFERROR(IF(23*INDEX('KZ-normalized'!$D:$D, MATCH($A179, 'KZ-normalized'!$A:$A, 0))-INDEX('KZ-normalized'!$E:$E, MATCH($A179, 'KZ-normalized'!$A:$A, 0))&gt;0, -(23*INDEX('KZ-normalized'!$D:$D, MATCH($A179, 'KZ-normalized'!$A:$A, 0))-INDEX('KZ-normalized'!$E:$E, MATCH($A179, 'KZ-normalized'!$A:$A, 0))), 0), 0))+(IFERROR(IF(23*INDEX('UZ-normalized'!$D:$D, MATCH($A179, 'UZ-normalized'!$A:$A, 0))-INDEX('UZ-normalized'!$E:$E, MATCH($A179, 'UZ-normalized'!$A:$A, 0))&gt;0, -(23*INDEX('UZ-normalized'!$D:$D, MATCH($A179, 'UZ-normalized'!$A:$A, 0))-INDEX('UZ-normalized'!$E:$E, MATCH($A179, 'UZ-normalized'!$A:$A, 0))), 0), 0)))</f>
        <v>-21</v>
      </c>
      <c r="AL179" s="6">
        <f>MIN(0, N179+(IFERROR(IF(24*INDEX('UA-normalized'!$D:$D, MATCH($A179, 'UA-normalized'!$A:$A, 0))-INDEX('UA-normalized'!$E:$E, MATCH($A179, 'UA-normalized'!$A:$A, 0))&gt;0, -(24*INDEX('UA-normalized'!$D:$D, MATCH($A179, 'UA-normalized'!$A:$A, 0))-INDEX('UA-normalized'!$E:$E, MATCH($A179, 'UA-normalized'!$A:$A, 0))), 0), 0))+(IFERROR(IF(24*INDEX('KZ-normalized'!$D:$D, MATCH($A179, 'KZ-normalized'!$A:$A, 0))-INDEX('KZ-normalized'!$E:$E, MATCH($A179, 'KZ-normalized'!$A:$A, 0))&gt;0, -(24*INDEX('KZ-normalized'!$D:$D, MATCH($A179, 'KZ-normalized'!$A:$A, 0))-INDEX('KZ-normalized'!$E:$E, MATCH($A179, 'KZ-normalized'!$A:$A, 0))), 0), 0))+(IFERROR(IF(24*INDEX('UZ-normalized'!$D:$D, MATCH($A179, 'UZ-normalized'!$A:$A, 0))-INDEX('UZ-normalized'!$E:$E, MATCH($A179, 'UZ-normalized'!$A:$A, 0))&gt;0, -(24*INDEX('UZ-normalized'!$D:$D, MATCH($A179, 'UZ-normalized'!$A:$A, 0))-INDEX('UZ-normalized'!$E:$E, MATCH($A179, 'UZ-normalized'!$A:$A, 0))), 0), 0)))</f>
        <v>-23</v>
      </c>
      <c r="AM179" s="6">
        <f>MIN(0, N179+(IFERROR(IF(25*INDEX('UA-normalized'!$D:$D, MATCH($A179, 'UA-normalized'!$A:$A, 0))-INDEX('UA-normalized'!$E:$E, MATCH($A179, 'UA-normalized'!$A:$A, 0))&gt;0, -(25*INDEX('UA-normalized'!$D:$D, MATCH($A179, 'UA-normalized'!$A:$A, 0))-INDEX('UA-normalized'!$E:$E, MATCH($A179, 'UA-normalized'!$A:$A, 0))), 0), 0))+(IFERROR(IF(25*INDEX('KZ-normalized'!$D:$D, MATCH($A179, 'KZ-normalized'!$A:$A, 0))-INDEX('KZ-normalized'!$E:$E, MATCH($A179, 'KZ-normalized'!$A:$A, 0))&gt;0, -(25*INDEX('KZ-normalized'!$D:$D, MATCH($A179, 'KZ-normalized'!$A:$A, 0))-INDEX('KZ-normalized'!$E:$E, MATCH($A179, 'KZ-normalized'!$A:$A, 0))), 0), 0))+(IFERROR(IF(25*INDEX('UZ-normalized'!$D:$D, MATCH($A179, 'UZ-normalized'!$A:$A, 0))-INDEX('UZ-normalized'!$E:$E, MATCH($A179, 'UZ-normalized'!$A:$A, 0))&gt;0, -(25*INDEX('UZ-normalized'!$D:$D, MATCH($A179, 'UZ-normalized'!$A:$A, 0))-INDEX('UZ-normalized'!$E:$E, MATCH($A179, 'UZ-normalized'!$A:$A, 0))), 0), 0)))</f>
        <v>-25</v>
      </c>
      <c r="AN179" s="6">
        <f>MIN(0, N179+(IFERROR(IF(26*INDEX('UA-normalized'!$D:$D, MATCH($A179, 'UA-normalized'!$A:$A, 0))-INDEX('UA-normalized'!$E:$E, MATCH($A179, 'UA-normalized'!$A:$A, 0))&gt;0, -(26*INDEX('UA-normalized'!$D:$D, MATCH($A179, 'UA-normalized'!$A:$A, 0))-INDEX('UA-normalized'!$E:$E, MATCH($A179, 'UA-normalized'!$A:$A, 0))), 0), 0))+(IFERROR(IF(26*INDEX('KZ-normalized'!$D:$D, MATCH($A179, 'KZ-normalized'!$A:$A, 0))-INDEX('KZ-normalized'!$E:$E, MATCH($A179, 'KZ-normalized'!$A:$A, 0))&gt;0, -(26*INDEX('KZ-normalized'!$D:$D, MATCH($A179, 'KZ-normalized'!$A:$A, 0))-INDEX('KZ-normalized'!$E:$E, MATCH($A179, 'KZ-normalized'!$A:$A, 0))), 0), 0))+(IFERROR(IF(26*INDEX('UZ-normalized'!$D:$D, MATCH($A179, 'UZ-normalized'!$A:$A, 0))-INDEX('UZ-normalized'!$E:$E, MATCH($A179, 'UZ-normalized'!$A:$A, 0))&gt;0, -(26*INDEX('UZ-normalized'!$D:$D, MATCH($A179, 'UZ-normalized'!$A:$A, 0))-INDEX('UZ-normalized'!$E:$E, MATCH($A179, 'UZ-normalized'!$A:$A, 0))), 0), 0)))</f>
        <v>-27</v>
      </c>
      <c r="AO179" s="6">
        <f>MIN(0, N179+(IFERROR(IF(27*INDEX('UA-normalized'!$D:$D, MATCH($A179, 'UA-normalized'!$A:$A, 0))-INDEX('UA-normalized'!$E:$E, MATCH($A179, 'UA-normalized'!$A:$A, 0))&gt;0, -(27*INDEX('UA-normalized'!$D:$D, MATCH($A179, 'UA-normalized'!$A:$A, 0))-INDEX('UA-normalized'!$E:$E, MATCH($A179, 'UA-normalized'!$A:$A, 0))), 0), 0))+(IFERROR(IF(27*INDEX('KZ-normalized'!$D:$D, MATCH($A179, 'KZ-normalized'!$A:$A, 0))-INDEX('KZ-normalized'!$E:$E, MATCH($A179, 'KZ-normalized'!$A:$A, 0))&gt;0, -(27*INDEX('KZ-normalized'!$D:$D, MATCH($A179, 'KZ-normalized'!$A:$A, 0))-INDEX('KZ-normalized'!$E:$E, MATCH($A179, 'KZ-normalized'!$A:$A, 0))), 0), 0))+(IFERROR(IF(27*INDEX('UZ-normalized'!$D:$D, MATCH($A179, 'UZ-normalized'!$A:$A, 0))-INDEX('UZ-normalized'!$E:$E, MATCH($A179, 'UZ-normalized'!$A:$A, 0))&gt;0, -(27*INDEX('UZ-normalized'!$D:$D, MATCH($A179, 'UZ-normalized'!$A:$A, 0))-INDEX('UZ-normalized'!$E:$E, MATCH($A179, 'UZ-normalized'!$A:$A, 0))), 0), 0)))</f>
        <v>-29</v>
      </c>
      <c r="AP179" s="6">
        <f>MIN(0, N179+(IFERROR(IF(28*INDEX('UA-normalized'!$D:$D, MATCH($A179, 'UA-normalized'!$A:$A, 0))-INDEX('UA-normalized'!$E:$E, MATCH($A179, 'UA-normalized'!$A:$A, 0))&gt;0, -(28*INDEX('UA-normalized'!$D:$D, MATCH($A179, 'UA-normalized'!$A:$A, 0))-INDEX('UA-normalized'!$E:$E, MATCH($A179, 'UA-normalized'!$A:$A, 0))), 0), 0))+(IFERROR(IF(28*INDEX('KZ-normalized'!$D:$D, MATCH($A179, 'KZ-normalized'!$A:$A, 0))-INDEX('KZ-normalized'!$E:$E, MATCH($A179, 'KZ-normalized'!$A:$A, 0))&gt;0, -(28*INDEX('KZ-normalized'!$D:$D, MATCH($A179, 'KZ-normalized'!$A:$A, 0))-INDEX('KZ-normalized'!$E:$E, MATCH($A179, 'KZ-normalized'!$A:$A, 0))), 0), 0))+(IFERROR(IF(28*INDEX('UZ-normalized'!$D:$D, MATCH($A179, 'UZ-normalized'!$A:$A, 0))-INDEX('UZ-normalized'!$E:$E, MATCH($A179, 'UZ-normalized'!$A:$A, 0))&gt;0, -(28*INDEX('UZ-normalized'!$D:$D, MATCH($A179, 'UZ-normalized'!$A:$A, 0))-INDEX('UZ-normalized'!$E:$E, MATCH($A179, 'UZ-normalized'!$A:$A, 0))), 0), 0)))</f>
        <v>-31</v>
      </c>
      <c r="AQ179" s="6">
        <f>MIN(0, N179+(IFERROR(IF(29*INDEX('UA-normalized'!$D:$D, MATCH($A179, 'UA-normalized'!$A:$A, 0))-INDEX('UA-normalized'!$E:$E, MATCH($A179, 'UA-normalized'!$A:$A, 0))&gt;0, -(29*INDEX('UA-normalized'!$D:$D, MATCH($A179, 'UA-normalized'!$A:$A, 0))-INDEX('UA-normalized'!$E:$E, MATCH($A179, 'UA-normalized'!$A:$A, 0))), 0), 0))+(IFERROR(IF(29*INDEX('KZ-normalized'!$D:$D, MATCH($A179, 'KZ-normalized'!$A:$A, 0))-INDEX('KZ-normalized'!$E:$E, MATCH($A179, 'KZ-normalized'!$A:$A, 0))&gt;0, -(29*INDEX('KZ-normalized'!$D:$D, MATCH($A179, 'KZ-normalized'!$A:$A, 0))-INDEX('KZ-normalized'!$E:$E, MATCH($A179, 'KZ-normalized'!$A:$A, 0))), 0), 0))+(IFERROR(IF(29*INDEX('UZ-normalized'!$D:$D, MATCH($A179, 'UZ-normalized'!$A:$A, 0))-INDEX('UZ-normalized'!$E:$E, MATCH($A179, 'UZ-normalized'!$A:$A, 0))&gt;0, -(29*INDEX('UZ-normalized'!$D:$D, MATCH($A179, 'UZ-normalized'!$A:$A, 0))-INDEX('UZ-normalized'!$E:$E, MATCH($A179, 'UZ-normalized'!$A:$A, 0))), 0), 0)))</f>
        <v>-33</v>
      </c>
      <c r="AR179" s="6">
        <f>MIN(0, N179+(IFERROR(IF(30*INDEX('UA-normalized'!$D:$D, MATCH($A179, 'UA-normalized'!$A:$A, 0))-INDEX('UA-normalized'!$E:$E, MATCH($A179, 'UA-normalized'!$A:$A, 0))&gt;0, -(30*INDEX('UA-normalized'!$D:$D, MATCH($A179, 'UA-normalized'!$A:$A, 0))-INDEX('UA-normalized'!$E:$E, MATCH($A179, 'UA-normalized'!$A:$A, 0))), 0), 0))+(IFERROR(IF(30*INDEX('KZ-normalized'!$D:$D, MATCH($A179, 'KZ-normalized'!$A:$A, 0))-INDEX('KZ-normalized'!$E:$E, MATCH($A179, 'KZ-normalized'!$A:$A, 0))&gt;0, -(30*INDEX('KZ-normalized'!$D:$D, MATCH($A179, 'KZ-normalized'!$A:$A, 0))-INDEX('KZ-normalized'!$E:$E, MATCH($A179, 'KZ-normalized'!$A:$A, 0))), 0), 0))+(IFERROR(IF(30*INDEX('UZ-normalized'!$D:$D, MATCH($A179, 'UZ-normalized'!$A:$A, 0))-INDEX('UZ-normalized'!$E:$E, MATCH($A179, 'UZ-normalized'!$A:$A, 0))&gt;0, -(30*INDEX('UZ-normalized'!$D:$D, MATCH($A179, 'UZ-normalized'!$A:$A, 0))-INDEX('UZ-normalized'!$E:$E, MATCH($A179, 'UZ-normalized'!$A:$A, 0))), 0), 0)))</f>
        <v>-35</v>
      </c>
    </row>
    <row r="180" spans="1:44" x14ac:dyDescent="0.25">
      <c r="A180" s="8" t="s">
        <v>430</v>
      </c>
      <c r="B180" s="8" t="s">
        <v>431</v>
      </c>
      <c r="C180" s="8" t="s">
        <v>432</v>
      </c>
      <c r="D180" s="8" t="s">
        <v>433</v>
      </c>
      <c r="E180">
        <v>2000</v>
      </c>
      <c r="H180">
        <v>2000</v>
      </c>
      <c r="N180">
        <f t="shared" si="2"/>
        <v>4000</v>
      </c>
      <c r="O180" s="6">
        <f>MIN(0, N180+(IFERROR(IF(1*INDEX('UA-normalized'!$D:$D, MATCH($A180, 'UA-normalized'!$A:$A, 0))-INDEX('UA-normalized'!$E:$E, MATCH($A180, 'UA-normalized'!$A:$A, 0))&gt;0, -(1*INDEX('UA-normalized'!$D:$D, MATCH($A180, 'UA-normalized'!$A:$A, 0))-INDEX('UA-normalized'!$E:$E, MATCH($A180, 'UA-normalized'!$A:$A, 0))), 0), 0))+(IFERROR(IF(1*INDEX('KZ-normalized'!$D:$D, MATCH($A180, 'KZ-normalized'!$A:$A, 0))-INDEX('KZ-normalized'!$E:$E, MATCH($A180, 'KZ-normalized'!$A:$A, 0))&gt;0, -(1*INDEX('KZ-normalized'!$D:$D, MATCH($A180, 'KZ-normalized'!$A:$A, 0))-INDEX('KZ-normalized'!$E:$E, MATCH($A180, 'KZ-normalized'!$A:$A, 0))), 0), 0))+(IFERROR(IF(1*INDEX('UZ-normalized'!$D:$D, MATCH($A180, 'UZ-normalized'!$A:$A, 0))-INDEX('UZ-normalized'!$E:$E, MATCH($A180, 'UZ-normalized'!$A:$A, 0))&gt;0, -(1*INDEX('UZ-normalized'!$D:$D, MATCH($A180, 'UZ-normalized'!$A:$A, 0))-INDEX('UZ-normalized'!$E:$E, MATCH($A180, 'UZ-normalized'!$A:$A, 0))), 0), 0)))</f>
        <v>0</v>
      </c>
      <c r="P180" s="6">
        <f>MIN(0, N180+(IFERROR(IF(2*INDEX('UA-normalized'!$D:$D, MATCH($A180, 'UA-normalized'!$A:$A, 0))-INDEX('UA-normalized'!$E:$E, MATCH($A180, 'UA-normalized'!$A:$A, 0))&gt;0, -(2*INDEX('UA-normalized'!$D:$D, MATCH($A180, 'UA-normalized'!$A:$A, 0))-INDEX('UA-normalized'!$E:$E, MATCH($A180, 'UA-normalized'!$A:$A, 0))), 0), 0))+(IFERROR(IF(2*INDEX('KZ-normalized'!$D:$D, MATCH($A180, 'KZ-normalized'!$A:$A, 0))-INDEX('KZ-normalized'!$E:$E, MATCH($A180, 'KZ-normalized'!$A:$A, 0))&gt;0, -(2*INDEX('KZ-normalized'!$D:$D, MATCH($A180, 'KZ-normalized'!$A:$A, 0))-INDEX('KZ-normalized'!$E:$E, MATCH($A180, 'KZ-normalized'!$A:$A, 0))), 0), 0))+(IFERROR(IF(2*INDEX('UZ-normalized'!$D:$D, MATCH($A180, 'UZ-normalized'!$A:$A, 0))-INDEX('UZ-normalized'!$E:$E, MATCH($A180, 'UZ-normalized'!$A:$A, 0))&gt;0, -(2*INDEX('UZ-normalized'!$D:$D, MATCH($A180, 'UZ-normalized'!$A:$A, 0))-INDEX('UZ-normalized'!$E:$E, MATCH($A180, 'UZ-normalized'!$A:$A, 0))), 0), 0)))</f>
        <v>0</v>
      </c>
      <c r="Q180" s="6">
        <f>MIN(0, N180+(IFERROR(IF(3*INDEX('UA-normalized'!$D:$D, MATCH($A180, 'UA-normalized'!$A:$A, 0))-INDEX('UA-normalized'!$E:$E, MATCH($A180, 'UA-normalized'!$A:$A, 0))&gt;0, -(3*INDEX('UA-normalized'!$D:$D, MATCH($A180, 'UA-normalized'!$A:$A, 0))-INDEX('UA-normalized'!$E:$E, MATCH($A180, 'UA-normalized'!$A:$A, 0))), 0), 0))+(IFERROR(IF(3*INDEX('KZ-normalized'!$D:$D, MATCH($A180, 'KZ-normalized'!$A:$A, 0))-INDEX('KZ-normalized'!$E:$E, MATCH($A180, 'KZ-normalized'!$A:$A, 0))&gt;0, -(3*INDEX('KZ-normalized'!$D:$D, MATCH($A180, 'KZ-normalized'!$A:$A, 0))-INDEX('KZ-normalized'!$E:$E, MATCH($A180, 'KZ-normalized'!$A:$A, 0))), 0), 0))+(IFERROR(IF(3*INDEX('UZ-normalized'!$D:$D, MATCH($A180, 'UZ-normalized'!$A:$A, 0))-INDEX('UZ-normalized'!$E:$E, MATCH($A180, 'UZ-normalized'!$A:$A, 0))&gt;0, -(3*INDEX('UZ-normalized'!$D:$D, MATCH($A180, 'UZ-normalized'!$A:$A, 0))-INDEX('UZ-normalized'!$E:$E, MATCH($A180, 'UZ-normalized'!$A:$A, 0))), 0), 0)))</f>
        <v>0</v>
      </c>
      <c r="R180" s="6">
        <f>MIN(0, N180+(IFERROR(IF(4*INDEX('UA-normalized'!$D:$D, MATCH($A180, 'UA-normalized'!$A:$A, 0))-INDEX('UA-normalized'!$E:$E, MATCH($A180, 'UA-normalized'!$A:$A, 0))&gt;0, -(4*INDEX('UA-normalized'!$D:$D, MATCH($A180, 'UA-normalized'!$A:$A, 0))-INDEX('UA-normalized'!$E:$E, MATCH($A180, 'UA-normalized'!$A:$A, 0))), 0), 0))+(IFERROR(IF(4*INDEX('KZ-normalized'!$D:$D, MATCH($A180, 'KZ-normalized'!$A:$A, 0))-INDEX('KZ-normalized'!$E:$E, MATCH($A180, 'KZ-normalized'!$A:$A, 0))&gt;0, -(4*INDEX('KZ-normalized'!$D:$D, MATCH($A180, 'KZ-normalized'!$A:$A, 0))-INDEX('KZ-normalized'!$E:$E, MATCH($A180, 'KZ-normalized'!$A:$A, 0))), 0), 0))+(IFERROR(IF(4*INDEX('UZ-normalized'!$D:$D, MATCH($A180, 'UZ-normalized'!$A:$A, 0))-INDEX('UZ-normalized'!$E:$E, MATCH($A180, 'UZ-normalized'!$A:$A, 0))&gt;0, -(4*INDEX('UZ-normalized'!$D:$D, MATCH($A180, 'UZ-normalized'!$A:$A, 0))-INDEX('UZ-normalized'!$E:$E, MATCH($A180, 'UZ-normalized'!$A:$A, 0))), 0), 0)))</f>
        <v>0</v>
      </c>
      <c r="S180" s="6">
        <f>MIN(0, N180+(IFERROR(IF(5*INDEX('UA-normalized'!$D:$D, MATCH($A180, 'UA-normalized'!$A:$A, 0))-INDEX('UA-normalized'!$E:$E, MATCH($A180, 'UA-normalized'!$A:$A, 0))&gt;0, -(5*INDEX('UA-normalized'!$D:$D, MATCH($A180, 'UA-normalized'!$A:$A, 0))-INDEX('UA-normalized'!$E:$E, MATCH($A180, 'UA-normalized'!$A:$A, 0))), 0), 0))+(IFERROR(IF(5*INDEX('KZ-normalized'!$D:$D, MATCH($A180, 'KZ-normalized'!$A:$A, 0))-INDEX('KZ-normalized'!$E:$E, MATCH($A180, 'KZ-normalized'!$A:$A, 0))&gt;0, -(5*INDEX('KZ-normalized'!$D:$D, MATCH($A180, 'KZ-normalized'!$A:$A, 0))-INDEX('KZ-normalized'!$E:$E, MATCH($A180, 'KZ-normalized'!$A:$A, 0))), 0), 0))+(IFERROR(IF(5*INDEX('UZ-normalized'!$D:$D, MATCH($A180, 'UZ-normalized'!$A:$A, 0))-INDEX('UZ-normalized'!$E:$E, MATCH($A180, 'UZ-normalized'!$A:$A, 0))&gt;0, -(5*INDEX('UZ-normalized'!$D:$D, MATCH($A180, 'UZ-normalized'!$A:$A, 0))-INDEX('UZ-normalized'!$E:$E, MATCH($A180, 'UZ-normalized'!$A:$A, 0))), 0), 0)))</f>
        <v>0</v>
      </c>
      <c r="T180" s="6">
        <f>MIN(0, N180+(IFERROR(IF(6*INDEX('UA-normalized'!$D:$D, MATCH($A180, 'UA-normalized'!$A:$A, 0))-INDEX('UA-normalized'!$E:$E, MATCH($A180, 'UA-normalized'!$A:$A, 0))&gt;0, -(6*INDEX('UA-normalized'!$D:$D, MATCH($A180, 'UA-normalized'!$A:$A, 0))-INDEX('UA-normalized'!$E:$E, MATCH($A180, 'UA-normalized'!$A:$A, 0))), 0), 0))+(IFERROR(IF(6*INDEX('KZ-normalized'!$D:$D, MATCH($A180, 'KZ-normalized'!$A:$A, 0))-INDEX('KZ-normalized'!$E:$E, MATCH($A180, 'KZ-normalized'!$A:$A, 0))&gt;0, -(6*INDEX('KZ-normalized'!$D:$D, MATCH($A180, 'KZ-normalized'!$A:$A, 0))-INDEX('KZ-normalized'!$E:$E, MATCH($A180, 'KZ-normalized'!$A:$A, 0))), 0), 0))+(IFERROR(IF(6*INDEX('UZ-normalized'!$D:$D, MATCH($A180, 'UZ-normalized'!$A:$A, 0))-INDEX('UZ-normalized'!$E:$E, MATCH($A180, 'UZ-normalized'!$A:$A, 0))&gt;0, -(6*INDEX('UZ-normalized'!$D:$D, MATCH($A180, 'UZ-normalized'!$A:$A, 0))-INDEX('UZ-normalized'!$E:$E, MATCH($A180, 'UZ-normalized'!$A:$A, 0))), 0), 0)))</f>
        <v>0</v>
      </c>
      <c r="U180" s="6">
        <f>MIN(0, N180+(IFERROR(IF(7*INDEX('UA-normalized'!$D:$D, MATCH($A180, 'UA-normalized'!$A:$A, 0))-INDEX('UA-normalized'!$E:$E, MATCH($A180, 'UA-normalized'!$A:$A, 0))&gt;0, -(7*INDEX('UA-normalized'!$D:$D, MATCH($A180, 'UA-normalized'!$A:$A, 0))-INDEX('UA-normalized'!$E:$E, MATCH($A180, 'UA-normalized'!$A:$A, 0))), 0), 0))+(IFERROR(IF(7*INDEX('KZ-normalized'!$D:$D, MATCH($A180, 'KZ-normalized'!$A:$A, 0))-INDEX('KZ-normalized'!$E:$E, MATCH($A180, 'KZ-normalized'!$A:$A, 0))&gt;0, -(7*INDEX('KZ-normalized'!$D:$D, MATCH($A180, 'KZ-normalized'!$A:$A, 0))-INDEX('KZ-normalized'!$E:$E, MATCH($A180, 'KZ-normalized'!$A:$A, 0))), 0), 0))+(IFERROR(IF(7*INDEX('UZ-normalized'!$D:$D, MATCH($A180, 'UZ-normalized'!$A:$A, 0))-INDEX('UZ-normalized'!$E:$E, MATCH($A180, 'UZ-normalized'!$A:$A, 0))&gt;0, -(7*INDEX('UZ-normalized'!$D:$D, MATCH($A180, 'UZ-normalized'!$A:$A, 0))-INDEX('UZ-normalized'!$E:$E, MATCH($A180, 'UZ-normalized'!$A:$A, 0))), 0), 0)))</f>
        <v>0</v>
      </c>
      <c r="V180" s="6">
        <f>MIN(0, N180+(IFERROR(IF(8*INDEX('UA-normalized'!$D:$D, MATCH($A180, 'UA-normalized'!$A:$A, 0))-INDEX('UA-normalized'!$E:$E, MATCH($A180, 'UA-normalized'!$A:$A, 0))&gt;0, -(8*INDEX('UA-normalized'!$D:$D, MATCH($A180, 'UA-normalized'!$A:$A, 0))-INDEX('UA-normalized'!$E:$E, MATCH($A180, 'UA-normalized'!$A:$A, 0))), 0), 0))+(IFERROR(IF(8*INDEX('KZ-normalized'!$D:$D, MATCH($A180, 'KZ-normalized'!$A:$A, 0))-INDEX('KZ-normalized'!$E:$E, MATCH($A180, 'KZ-normalized'!$A:$A, 0))&gt;0, -(8*INDEX('KZ-normalized'!$D:$D, MATCH($A180, 'KZ-normalized'!$A:$A, 0))-INDEX('KZ-normalized'!$E:$E, MATCH($A180, 'KZ-normalized'!$A:$A, 0))), 0), 0))+(IFERROR(IF(8*INDEX('UZ-normalized'!$D:$D, MATCH($A180, 'UZ-normalized'!$A:$A, 0))-INDEX('UZ-normalized'!$E:$E, MATCH($A180, 'UZ-normalized'!$A:$A, 0))&gt;0, -(8*INDEX('UZ-normalized'!$D:$D, MATCH($A180, 'UZ-normalized'!$A:$A, 0))-INDEX('UZ-normalized'!$E:$E, MATCH($A180, 'UZ-normalized'!$A:$A, 0))), 0), 0)))</f>
        <v>0</v>
      </c>
      <c r="W180" s="6">
        <f>MIN(0, N180+(IFERROR(IF(9*INDEX('UA-normalized'!$D:$D, MATCH($A180, 'UA-normalized'!$A:$A, 0))-INDEX('UA-normalized'!$E:$E, MATCH($A180, 'UA-normalized'!$A:$A, 0))&gt;0, -(9*INDEX('UA-normalized'!$D:$D, MATCH($A180, 'UA-normalized'!$A:$A, 0))-INDEX('UA-normalized'!$E:$E, MATCH($A180, 'UA-normalized'!$A:$A, 0))), 0), 0))+(IFERROR(IF(9*INDEX('KZ-normalized'!$D:$D, MATCH($A180, 'KZ-normalized'!$A:$A, 0))-INDEX('KZ-normalized'!$E:$E, MATCH($A180, 'KZ-normalized'!$A:$A, 0))&gt;0, -(9*INDEX('KZ-normalized'!$D:$D, MATCH($A180, 'KZ-normalized'!$A:$A, 0))-INDEX('KZ-normalized'!$E:$E, MATCH($A180, 'KZ-normalized'!$A:$A, 0))), 0), 0))+(IFERROR(IF(9*INDEX('UZ-normalized'!$D:$D, MATCH($A180, 'UZ-normalized'!$A:$A, 0))-INDEX('UZ-normalized'!$E:$E, MATCH($A180, 'UZ-normalized'!$A:$A, 0))&gt;0, -(9*INDEX('UZ-normalized'!$D:$D, MATCH($A180, 'UZ-normalized'!$A:$A, 0))-INDEX('UZ-normalized'!$E:$E, MATCH($A180, 'UZ-normalized'!$A:$A, 0))), 0), 0)))</f>
        <v>0</v>
      </c>
      <c r="X180" s="6">
        <f>MIN(0, N180+(IFERROR(IF(10*INDEX('UA-normalized'!$D:$D, MATCH($A180, 'UA-normalized'!$A:$A, 0))-INDEX('UA-normalized'!$E:$E, MATCH($A180, 'UA-normalized'!$A:$A, 0))&gt;0, -(10*INDEX('UA-normalized'!$D:$D, MATCH($A180, 'UA-normalized'!$A:$A, 0))-INDEX('UA-normalized'!$E:$E, MATCH($A180, 'UA-normalized'!$A:$A, 0))), 0), 0))+(IFERROR(IF(10*INDEX('KZ-normalized'!$D:$D, MATCH($A180, 'KZ-normalized'!$A:$A, 0))-INDEX('KZ-normalized'!$E:$E, MATCH($A180, 'KZ-normalized'!$A:$A, 0))&gt;0, -(10*INDEX('KZ-normalized'!$D:$D, MATCH($A180, 'KZ-normalized'!$A:$A, 0))-INDEX('KZ-normalized'!$E:$E, MATCH($A180, 'KZ-normalized'!$A:$A, 0))), 0), 0))+(IFERROR(IF(10*INDEX('UZ-normalized'!$D:$D, MATCH($A180, 'UZ-normalized'!$A:$A, 0))-INDEX('UZ-normalized'!$E:$E, MATCH($A180, 'UZ-normalized'!$A:$A, 0))&gt;0, -(10*INDEX('UZ-normalized'!$D:$D, MATCH($A180, 'UZ-normalized'!$A:$A, 0))-INDEX('UZ-normalized'!$E:$E, MATCH($A180, 'UZ-normalized'!$A:$A, 0))), 0), 0)))</f>
        <v>0</v>
      </c>
      <c r="Y180" s="6">
        <f>MIN(0, N180+(IFERROR(IF(11*INDEX('UA-normalized'!$D:$D, MATCH($A180, 'UA-normalized'!$A:$A, 0))-INDEX('UA-normalized'!$E:$E, MATCH($A180, 'UA-normalized'!$A:$A, 0))&gt;0, -(11*INDEX('UA-normalized'!$D:$D, MATCH($A180, 'UA-normalized'!$A:$A, 0))-INDEX('UA-normalized'!$E:$E, MATCH($A180, 'UA-normalized'!$A:$A, 0))), 0), 0))+(IFERROR(IF(11*INDEX('KZ-normalized'!$D:$D, MATCH($A180, 'KZ-normalized'!$A:$A, 0))-INDEX('KZ-normalized'!$E:$E, MATCH($A180, 'KZ-normalized'!$A:$A, 0))&gt;0, -(11*INDEX('KZ-normalized'!$D:$D, MATCH($A180, 'KZ-normalized'!$A:$A, 0))-INDEX('KZ-normalized'!$E:$E, MATCH($A180, 'KZ-normalized'!$A:$A, 0))), 0), 0))+(IFERROR(IF(11*INDEX('UZ-normalized'!$D:$D, MATCH($A180, 'UZ-normalized'!$A:$A, 0))-INDEX('UZ-normalized'!$E:$E, MATCH($A180, 'UZ-normalized'!$A:$A, 0))&gt;0, -(11*INDEX('UZ-normalized'!$D:$D, MATCH($A180, 'UZ-normalized'!$A:$A, 0))-INDEX('UZ-normalized'!$E:$E, MATCH($A180, 'UZ-normalized'!$A:$A, 0))), 0), 0)))</f>
        <v>0</v>
      </c>
      <c r="Z180" s="6">
        <f>MIN(0, N180+(IFERROR(IF(12*INDEX('UA-normalized'!$D:$D, MATCH($A180, 'UA-normalized'!$A:$A, 0))-INDEX('UA-normalized'!$E:$E, MATCH($A180, 'UA-normalized'!$A:$A, 0))&gt;0, -(12*INDEX('UA-normalized'!$D:$D, MATCH($A180, 'UA-normalized'!$A:$A, 0))-INDEX('UA-normalized'!$E:$E, MATCH($A180, 'UA-normalized'!$A:$A, 0))), 0), 0))+(IFERROR(IF(12*INDEX('KZ-normalized'!$D:$D, MATCH($A180, 'KZ-normalized'!$A:$A, 0))-INDEX('KZ-normalized'!$E:$E, MATCH($A180, 'KZ-normalized'!$A:$A, 0))&gt;0, -(12*INDEX('KZ-normalized'!$D:$D, MATCH($A180, 'KZ-normalized'!$A:$A, 0))-INDEX('KZ-normalized'!$E:$E, MATCH($A180, 'KZ-normalized'!$A:$A, 0))), 0), 0))+(IFERROR(IF(12*INDEX('UZ-normalized'!$D:$D, MATCH($A180, 'UZ-normalized'!$A:$A, 0))-INDEX('UZ-normalized'!$E:$E, MATCH($A180, 'UZ-normalized'!$A:$A, 0))&gt;0, -(12*INDEX('UZ-normalized'!$D:$D, MATCH($A180, 'UZ-normalized'!$A:$A, 0))-INDEX('UZ-normalized'!$E:$E, MATCH($A180, 'UZ-normalized'!$A:$A, 0))), 0), 0)))</f>
        <v>0</v>
      </c>
      <c r="AA180" s="6">
        <f>MIN(0, N180+(IFERROR(IF(13*INDEX('UA-normalized'!$D:$D, MATCH($A180, 'UA-normalized'!$A:$A, 0))-INDEX('UA-normalized'!$E:$E, MATCH($A180, 'UA-normalized'!$A:$A, 0))&gt;0, -(13*INDEX('UA-normalized'!$D:$D, MATCH($A180, 'UA-normalized'!$A:$A, 0))-INDEX('UA-normalized'!$E:$E, MATCH($A180, 'UA-normalized'!$A:$A, 0))), 0), 0))+(IFERROR(IF(13*INDEX('KZ-normalized'!$D:$D, MATCH($A180, 'KZ-normalized'!$A:$A, 0))-INDEX('KZ-normalized'!$E:$E, MATCH($A180, 'KZ-normalized'!$A:$A, 0))&gt;0, -(13*INDEX('KZ-normalized'!$D:$D, MATCH($A180, 'KZ-normalized'!$A:$A, 0))-INDEX('KZ-normalized'!$E:$E, MATCH($A180, 'KZ-normalized'!$A:$A, 0))), 0), 0))+(IFERROR(IF(13*INDEX('UZ-normalized'!$D:$D, MATCH($A180, 'UZ-normalized'!$A:$A, 0))-INDEX('UZ-normalized'!$E:$E, MATCH($A180, 'UZ-normalized'!$A:$A, 0))&gt;0, -(13*INDEX('UZ-normalized'!$D:$D, MATCH($A180, 'UZ-normalized'!$A:$A, 0))-INDEX('UZ-normalized'!$E:$E, MATCH($A180, 'UZ-normalized'!$A:$A, 0))), 0), 0)))</f>
        <v>0</v>
      </c>
      <c r="AB180" s="6">
        <f>MIN(0, N180+(IFERROR(IF(14*INDEX('UA-normalized'!$D:$D, MATCH($A180, 'UA-normalized'!$A:$A, 0))-INDEX('UA-normalized'!$E:$E, MATCH($A180, 'UA-normalized'!$A:$A, 0))&gt;0, -(14*INDEX('UA-normalized'!$D:$D, MATCH($A180, 'UA-normalized'!$A:$A, 0))-INDEX('UA-normalized'!$E:$E, MATCH($A180, 'UA-normalized'!$A:$A, 0))), 0), 0))+(IFERROR(IF(14*INDEX('KZ-normalized'!$D:$D, MATCH($A180, 'KZ-normalized'!$A:$A, 0))-INDEX('KZ-normalized'!$E:$E, MATCH($A180, 'KZ-normalized'!$A:$A, 0))&gt;0, -(14*INDEX('KZ-normalized'!$D:$D, MATCH($A180, 'KZ-normalized'!$A:$A, 0))-INDEX('KZ-normalized'!$E:$E, MATCH($A180, 'KZ-normalized'!$A:$A, 0))), 0), 0))+(IFERROR(IF(14*INDEX('UZ-normalized'!$D:$D, MATCH($A180, 'UZ-normalized'!$A:$A, 0))-INDEX('UZ-normalized'!$E:$E, MATCH($A180, 'UZ-normalized'!$A:$A, 0))&gt;0, -(14*INDEX('UZ-normalized'!$D:$D, MATCH($A180, 'UZ-normalized'!$A:$A, 0))-INDEX('UZ-normalized'!$E:$E, MATCH($A180, 'UZ-normalized'!$A:$A, 0))), 0), 0)))</f>
        <v>0</v>
      </c>
      <c r="AC180" s="6">
        <f>MIN(0, N180+(IFERROR(IF(15*INDEX('UA-normalized'!$D:$D, MATCH($A180, 'UA-normalized'!$A:$A, 0))-INDEX('UA-normalized'!$E:$E, MATCH($A180, 'UA-normalized'!$A:$A, 0))&gt;0, -(15*INDEX('UA-normalized'!$D:$D, MATCH($A180, 'UA-normalized'!$A:$A, 0))-INDEX('UA-normalized'!$E:$E, MATCH($A180, 'UA-normalized'!$A:$A, 0))), 0), 0))+(IFERROR(IF(15*INDEX('KZ-normalized'!$D:$D, MATCH($A180, 'KZ-normalized'!$A:$A, 0))-INDEX('KZ-normalized'!$E:$E, MATCH($A180, 'KZ-normalized'!$A:$A, 0))&gt;0, -(15*INDEX('KZ-normalized'!$D:$D, MATCH($A180, 'KZ-normalized'!$A:$A, 0))-INDEX('KZ-normalized'!$E:$E, MATCH($A180, 'KZ-normalized'!$A:$A, 0))), 0), 0))+(IFERROR(IF(15*INDEX('UZ-normalized'!$D:$D, MATCH($A180, 'UZ-normalized'!$A:$A, 0))-INDEX('UZ-normalized'!$E:$E, MATCH($A180, 'UZ-normalized'!$A:$A, 0))&gt;0, -(15*INDEX('UZ-normalized'!$D:$D, MATCH($A180, 'UZ-normalized'!$A:$A, 0))-INDEX('UZ-normalized'!$E:$E, MATCH($A180, 'UZ-normalized'!$A:$A, 0))), 0), 0)))</f>
        <v>0</v>
      </c>
      <c r="AD180" s="6">
        <f>MIN(0, N180+(IFERROR(IF(16*INDEX('UA-normalized'!$D:$D, MATCH($A180, 'UA-normalized'!$A:$A, 0))-INDEX('UA-normalized'!$E:$E, MATCH($A180, 'UA-normalized'!$A:$A, 0))&gt;0, -(16*INDEX('UA-normalized'!$D:$D, MATCH($A180, 'UA-normalized'!$A:$A, 0))-INDEX('UA-normalized'!$E:$E, MATCH($A180, 'UA-normalized'!$A:$A, 0))), 0), 0))+(IFERROR(IF(16*INDEX('KZ-normalized'!$D:$D, MATCH($A180, 'KZ-normalized'!$A:$A, 0))-INDEX('KZ-normalized'!$E:$E, MATCH($A180, 'KZ-normalized'!$A:$A, 0))&gt;0, -(16*INDEX('KZ-normalized'!$D:$D, MATCH($A180, 'KZ-normalized'!$A:$A, 0))-INDEX('KZ-normalized'!$E:$E, MATCH($A180, 'KZ-normalized'!$A:$A, 0))), 0), 0))+(IFERROR(IF(16*INDEX('UZ-normalized'!$D:$D, MATCH($A180, 'UZ-normalized'!$A:$A, 0))-INDEX('UZ-normalized'!$E:$E, MATCH($A180, 'UZ-normalized'!$A:$A, 0))&gt;0, -(16*INDEX('UZ-normalized'!$D:$D, MATCH($A180, 'UZ-normalized'!$A:$A, 0))-INDEX('UZ-normalized'!$E:$E, MATCH($A180, 'UZ-normalized'!$A:$A, 0))), 0), 0)))</f>
        <v>0</v>
      </c>
      <c r="AE180" s="6">
        <f>MIN(0, N180+(IFERROR(IF(17*INDEX('UA-normalized'!$D:$D, MATCH($A180, 'UA-normalized'!$A:$A, 0))-INDEX('UA-normalized'!$E:$E, MATCH($A180, 'UA-normalized'!$A:$A, 0))&gt;0, -(17*INDEX('UA-normalized'!$D:$D, MATCH($A180, 'UA-normalized'!$A:$A, 0))-INDEX('UA-normalized'!$E:$E, MATCH($A180, 'UA-normalized'!$A:$A, 0))), 0), 0))+(IFERROR(IF(17*INDEX('KZ-normalized'!$D:$D, MATCH($A180, 'KZ-normalized'!$A:$A, 0))-INDEX('KZ-normalized'!$E:$E, MATCH($A180, 'KZ-normalized'!$A:$A, 0))&gt;0, -(17*INDEX('KZ-normalized'!$D:$D, MATCH($A180, 'KZ-normalized'!$A:$A, 0))-INDEX('KZ-normalized'!$E:$E, MATCH($A180, 'KZ-normalized'!$A:$A, 0))), 0), 0))+(IFERROR(IF(17*INDEX('UZ-normalized'!$D:$D, MATCH($A180, 'UZ-normalized'!$A:$A, 0))-INDEX('UZ-normalized'!$E:$E, MATCH($A180, 'UZ-normalized'!$A:$A, 0))&gt;0, -(17*INDEX('UZ-normalized'!$D:$D, MATCH($A180, 'UZ-normalized'!$A:$A, 0))-INDEX('UZ-normalized'!$E:$E, MATCH($A180, 'UZ-normalized'!$A:$A, 0))), 0), 0)))</f>
        <v>0</v>
      </c>
      <c r="AF180" s="6">
        <f>MIN(0, N180+(IFERROR(IF(18*INDEX('UA-normalized'!$D:$D, MATCH($A180, 'UA-normalized'!$A:$A, 0))-INDEX('UA-normalized'!$E:$E, MATCH($A180, 'UA-normalized'!$A:$A, 0))&gt;0, -(18*INDEX('UA-normalized'!$D:$D, MATCH($A180, 'UA-normalized'!$A:$A, 0))-INDEX('UA-normalized'!$E:$E, MATCH($A180, 'UA-normalized'!$A:$A, 0))), 0), 0))+(IFERROR(IF(18*INDEX('KZ-normalized'!$D:$D, MATCH($A180, 'KZ-normalized'!$A:$A, 0))-INDEX('KZ-normalized'!$E:$E, MATCH($A180, 'KZ-normalized'!$A:$A, 0))&gt;0, -(18*INDEX('KZ-normalized'!$D:$D, MATCH($A180, 'KZ-normalized'!$A:$A, 0))-INDEX('KZ-normalized'!$E:$E, MATCH($A180, 'KZ-normalized'!$A:$A, 0))), 0), 0))+(IFERROR(IF(18*INDEX('UZ-normalized'!$D:$D, MATCH($A180, 'UZ-normalized'!$A:$A, 0))-INDEX('UZ-normalized'!$E:$E, MATCH($A180, 'UZ-normalized'!$A:$A, 0))&gt;0, -(18*INDEX('UZ-normalized'!$D:$D, MATCH($A180, 'UZ-normalized'!$A:$A, 0))-INDEX('UZ-normalized'!$E:$E, MATCH($A180, 'UZ-normalized'!$A:$A, 0))), 0), 0)))</f>
        <v>0</v>
      </c>
      <c r="AG180" s="6">
        <f>MIN(0, N180+(IFERROR(IF(19*INDEX('UA-normalized'!$D:$D, MATCH($A180, 'UA-normalized'!$A:$A, 0))-INDEX('UA-normalized'!$E:$E, MATCH($A180, 'UA-normalized'!$A:$A, 0))&gt;0, -(19*INDEX('UA-normalized'!$D:$D, MATCH($A180, 'UA-normalized'!$A:$A, 0))-INDEX('UA-normalized'!$E:$E, MATCH($A180, 'UA-normalized'!$A:$A, 0))), 0), 0))+(IFERROR(IF(19*INDEX('KZ-normalized'!$D:$D, MATCH($A180, 'KZ-normalized'!$A:$A, 0))-INDEX('KZ-normalized'!$E:$E, MATCH($A180, 'KZ-normalized'!$A:$A, 0))&gt;0, -(19*INDEX('KZ-normalized'!$D:$D, MATCH($A180, 'KZ-normalized'!$A:$A, 0))-INDEX('KZ-normalized'!$E:$E, MATCH($A180, 'KZ-normalized'!$A:$A, 0))), 0), 0))+(IFERROR(IF(19*INDEX('UZ-normalized'!$D:$D, MATCH($A180, 'UZ-normalized'!$A:$A, 0))-INDEX('UZ-normalized'!$E:$E, MATCH($A180, 'UZ-normalized'!$A:$A, 0))&gt;0, -(19*INDEX('UZ-normalized'!$D:$D, MATCH($A180, 'UZ-normalized'!$A:$A, 0))-INDEX('UZ-normalized'!$E:$E, MATCH($A180, 'UZ-normalized'!$A:$A, 0))), 0), 0)))</f>
        <v>0</v>
      </c>
      <c r="AH180" s="6">
        <f>MIN(0, N180+(IFERROR(IF(20*INDEX('UA-normalized'!$D:$D, MATCH($A180, 'UA-normalized'!$A:$A, 0))-INDEX('UA-normalized'!$E:$E, MATCH($A180, 'UA-normalized'!$A:$A, 0))&gt;0, -(20*INDEX('UA-normalized'!$D:$D, MATCH($A180, 'UA-normalized'!$A:$A, 0))-INDEX('UA-normalized'!$E:$E, MATCH($A180, 'UA-normalized'!$A:$A, 0))), 0), 0))+(IFERROR(IF(20*INDEX('KZ-normalized'!$D:$D, MATCH($A180, 'KZ-normalized'!$A:$A, 0))-INDEX('KZ-normalized'!$E:$E, MATCH($A180, 'KZ-normalized'!$A:$A, 0))&gt;0, -(20*INDEX('KZ-normalized'!$D:$D, MATCH($A180, 'KZ-normalized'!$A:$A, 0))-INDEX('KZ-normalized'!$E:$E, MATCH($A180, 'KZ-normalized'!$A:$A, 0))), 0), 0))+(IFERROR(IF(20*INDEX('UZ-normalized'!$D:$D, MATCH($A180, 'UZ-normalized'!$A:$A, 0))-INDEX('UZ-normalized'!$E:$E, MATCH($A180, 'UZ-normalized'!$A:$A, 0))&gt;0, -(20*INDEX('UZ-normalized'!$D:$D, MATCH($A180, 'UZ-normalized'!$A:$A, 0))-INDEX('UZ-normalized'!$E:$E, MATCH($A180, 'UZ-normalized'!$A:$A, 0))), 0), 0)))</f>
        <v>0</v>
      </c>
      <c r="AI180" s="6">
        <f>MIN(0, N180+(IFERROR(IF(21*INDEX('UA-normalized'!$D:$D, MATCH($A180, 'UA-normalized'!$A:$A, 0))-INDEX('UA-normalized'!$E:$E, MATCH($A180, 'UA-normalized'!$A:$A, 0))&gt;0, -(21*INDEX('UA-normalized'!$D:$D, MATCH($A180, 'UA-normalized'!$A:$A, 0))-INDEX('UA-normalized'!$E:$E, MATCH($A180, 'UA-normalized'!$A:$A, 0))), 0), 0))+(IFERROR(IF(21*INDEX('KZ-normalized'!$D:$D, MATCH($A180, 'KZ-normalized'!$A:$A, 0))-INDEX('KZ-normalized'!$E:$E, MATCH($A180, 'KZ-normalized'!$A:$A, 0))&gt;0, -(21*INDEX('KZ-normalized'!$D:$D, MATCH($A180, 'KZ-normalized'!$A:$A, 0))-INDEX('KZ-normalized'!$E:$E, MATCH($A180, 'KZ-normalized'!$A:$A, 0))), 0), 0))+(IFERROR(IF(21*INDEX('UZ-normalized'!$D:$D, MATCH($A180, 'UZ-normalized'!$A:$A, 0))-INDEX('UZ-normalized'!$E:$E, MATCH($A180, 'UZ-normalized'!$A:$A, 0))&gt;0, -(21*INDEX('UZ-normalized'!$D:$D, MATCH($A180, 'UZ-normalized'!$A:$A, 0))-INDEX('UZ-normalized'!$E:$E, MATCH($A180, 'UZ-normalized'!$A:$A, 0))), 0), 0)))</f>
        <v>0</v>
      </c>
      <c r="AJ180" s="6">
        <f>MIN(0, N180+(IFERROR(IF(22*INDEX('UA-normalized'!$D:$D, MATCH($A180, 'UA-normalized'!$A:$A, 0))-INDEX('UA-normalized'!$E:$E, MATCH($A180, 'UA-normalized'!$A:$A, 0))&gt;0, -(22*INDEX('UA-normalized'!$D:$D, MATCH($A180, 'UA-normalized'!$A:$A, 0))-INDEX('UA-normalized'!$E:$E, MATCH($A180, 'UA-normalized'!$A:$A, 0))), 0), 0))+(IFERROR(IF(22*INDEX('KZ-normalized'!$D:$D, MATCH($A180, 'KZ-normalized'!$A:$A, 0))-INDEX('KZ-normalized'!$E:$E, MATCH($A180, 'KZ-normalized'!$A:$A, 0))&gt;0, -(22*INDEX('KZ-normalized'!$D:$D, MATCH($A180, 'KZ-normalized'!$A:$A, 0))-INDEX('KZ-normalized'!$E:$E, MATCH($A180, 'KZ-normalized'!$A:$A, 0))), 0), 0))+(IFERROR(IF(22*INDEX('UZ-normalized'!$D:$D, MATCH($A180, 'UZ-normalized'!$A:$A, 0))-INDEX('UZ-normalized'!$E:$E, MATCH($A180, 'UZ-normalized'!$A:$A, 0))&gt;0, -(22*INDEX('UZ-normalized'!$D:$D, MATCH($A180, 'UZ-normalized'!$A:$A, 0))-INDEX('UZ-normalized'!$E:$E, MATCH($A180, 'UZ-normalized'!$A:$A, 0))), 0), 0)))</f>
        <v>0</v>
      </c>
      <c r="AK180" s="6">
        <f>MIN(0, N180+(IFERROR(IF(23*INDEX('UA-normalized'!$D:$D, MATCH($A180, 'UA-normalized'!$A:$A, 0))-INDEX('UA-normalized'!$E:$E, MATCH($A180, 'UA-normalized'!$A:$A, 0))&gt;0, -(23*INDEX('UA-normalized'!$D:$D, MATCH($A180, 'UA-normalized'!$A:$A, 0))-INDEX('UA-normalized'!$E:$E, MATCH($A180, 'UA-normalized'!$A:$A, 0))), 0), 0))+(IFERROR(IF(23*INDEX('KZ-normalized'!$D:$D, MATCH($A180, 'KZ-normalized'!$A:$A, 0))-INDEX('KZ-normalized'!$E:$E, MATCH($A180, 'KZ-normalized'!$A:$A, 0))&gt;0, -(23*INDEX('KZ-normalized'!$D:$D, MATCH($A180, 'KZ-normalized'!$A:$A, 0))-INDEX('KZ-normalized'!$E:$E, MATCH($A180, 'KZ-normalized'!$A:$A, 0))), 0), 0))+(IFERROR(IF(23*INDEX('UZ-normalized'!$D:$D, MATCH($A180, 'UZ-normalized'!$A:$A, 0))-INDEX('UZ-normalized'!$E:$E, MATCH($A180, 'UZ-normalized'!$A:$A, 0))&gt;0, -(23*INDEX('UZ-normalized'!$D:$D, MATCH($A180, 'UZ-normalized'!$A:$A, 0))-INDEX('UZ-normalized'!$E:$E, MATCH($A180, 'UZ-normalized'!$A:$A, 0))), 0), 0)))</f>
        <v>0</v>
      </c>
      <c r="AL180" s="6">
        <f>MIN(0, N180+(IFERROR(IF(24*INDEX('UA-normalized'!$D:$D, MATCH($A180, 'UA-normalized'!$A:$A, 0))-INDEX('UA-normalized'!$E:$E, MATCH($A180, 'UA-normalized'!$A:$A, 0))&gt;0, -(24*INDEX('UA-normalized'!$D:$D, MATCH($A180, 'UA-normalized'!$A:$A, 0))-INDEX('UA-normalized'!$E:$E, MATCH($A180, 'UA-normalized'!$A:$A, 0))), 0), 0))+(IFERROR(IF(24*INDEX('KZ-normalized'!$D:$D, MATCH($A180, 'KZ-normalized'!$A:$A, 0))-INDEX('KZ-normalized'!$E:$E, MATCH($A180, 'KZ-normalized'!$A:$A, 0))&gt;0, -(24*INDEX('KZ-normalized'!$D:$D, MATCH($A180, 'KZ-normalized'!$A:$A, 0))-INDEX('KZ-normalized'!$E:$E, MATCH($A180, 'KZ-normalized'!$A:$A, 0))), 0), 0))+(IFERROR(IF(24*INDEX('UZ-normalized'!$D:$D, MATCH($A180, 'UZ-normalized'!$A:$A, 0))-INDEX('UZ-normalized'!$E:$E, MATCH($A180, 'UZ-normalized'!$A:$A, 0))&gt;0, -(24*INDEX('UZ-normalized'!$D:$D, MATCH($A180, 'UZ-normalized'!$A:$A, 0))-INDEX('UZ-normalized'!$E:$E, MATCH($A180, 'UZ-normalized'!$A:$A, 0))), 0), 0)))</f>
        <v>0</v>
      </c>
      <c r="AM180" s="6">
        <f>MIN(0, N180+(IFERROR(IF(25*INDEX('UA-normalized'!$D:$D, MATCH($A180, 'UA-normalized'!$A:$A, 0))-INDEX('UA-normalized'!$E:$E, MATCH($A180, 'UA-normalized'!$A:$A, 0))&gt;0, -(25*INDEX('UA-normalized'!$D:$D, MATCH($A180, 'UA-normalized'!$A:$A, 0))-INDEX('UA-normalized'!$E:$E, MATCH($A180, 'UA-normalized'!$A:$A, 0))), 0), 0))+(IFERROR(IF(25*INDEX('KZ-normalized'!$D:$D, MATCH($A180, 'KZ-normalized'!$A:$A, 0))-INDEX('KZ-normalized'!$E:$E, MATCH($A180, 'KZ-normalized'!$A:$A, 0))&gt;0, -(25*INDEX('KZ-normalized'!$D:$D, MATCH($A180, 'KZ-normalized'!$A:$A, 0))-INDEX('KZ-normalized'!$E:$E, MATCH($A180, 'KZ-normalized'!$A:$A, 0))), 0), 0))+(IFERROR(IF(25*INDEX('UZ-normalized'!$D:$D, MATCH($A180, 'UZ-normalized'!$A:$A, 0))-INDEX('UZ-normalized'!$E:$E, MATCH($A180, 'UZ-normalized'!$A:$A, 0))&gt;0, -(25*INDEX('UZ-normalized'!$D:$D, MATCH($A180, 'UZ-normalized'!$A:$A, 0))-INDEX('UZ-normalized'!$E:$E, MATCH($A180, 'UZ-normalized'!$A:$A, 0))), 0), 0)))</f>
        <v>0</v>
      </c>
      <c r="AN180" s="6">
        <f>MIN(0, N180+(IFERROR(IF(26*INDEX('UA-normalized'!$D:$D, MATCH($A180, 'UA-normalized'!$A:$A, 0))-INDEX('UA-normalized'!$E:$E, MATCH($A180, 'UA-normalized'!$A:$A, 0))&gt;0, -(26*INDEX('UA-normalized'!$D:$D, MATCH($A180, 'UA-normalized'!$A:$A, 0))-INDEX('UA-normalized'!$E:$E, MATCH($A180, 'UA-normalized'!$A:$A, 0))), 0), 0))+(IFERROR(IF(26*INDEX('KZ-normalized'!$D:$D, MATCH($A180, 'KZ-normalized'!$A:$A, 0))-INDEX('KZ-normalized'!$E:$E, MATCH($A180, 'KZ-normalized'!$A:$A, 0))&gt;0, -(26*INDEX('KZ-normalized'!$D:$D, MATCH($A180, 'KZ-normalized'!$A:$A, 0))-INDEX('KZ-normalized'!$E:$E, MATCH($A180, 'KZ-normalized'!$A:$A, 0))), 0), 0))+(IFERROR(IF(26*INDEX('UZ-normalized'!$D:$D, MATCH($A180, 'UZ-normalized'!$A:$A, 0))-INDEX('UZ-normalized'!$E:$E, MATCH($A180, 'UZ-normalized'!$A:$A, 0))&gt;0, -(26*INDEX('UZ-normalized'!$D:$D, MATCH($A180, 'UZ-normalized'!$A:$A, 0))-INDEX('UZ-normalized'!$E:$E, MATCH($A180, 'UZ-normalized'!$A:$A, 0))), 0), 0)))</f>
        <v>0</v>
      </c>
      <c r="AO180" s="6">
        <f>MIN(0, N180+(IFERROR(IF(27*INDEX('UA-normalized'!$D:$D, MATCH($A180, 'UA-normalized'!$A:$A, 0))-INDEX('UA-normalized'!$E:$E, MATCH($A180, 'UA-normalized'!$A:$A, 0))&gt;0, -(27*INDEX('UA-normalized'!$D:$D, MATCH($A180, 'UA-normalized'!$A:$A, 0))-INDEX('UA-normalized'!$E:$E, MATCH($A180, 'UA-normalized'!$A:$A, 0))), 0), 0))+(IFERROR(IF(27*INDEX('KZ-normalized'!$D:$D, MATCH($A180, 'KZ-normalized'!$A:$A, 0))-INDEX('KZ-normalized'!$E:$E, MATCH($A180, 'KZ-normalized'!$A:$A, 0))&gt;0, -(27*INDEX('KZ-normalized'!$D:$D, MATCH($A180, 'KZ-normalized'!$A:$A, 0))-INDEX('KZ-normalized'!$E:$E, MATCH($A180, 'KZ-normalized'!$A:$A, 0))), 0), 0))+(IFERROR(IF(27*INDEX('UZ-normalized'!$D:$D, MATCH($A180, 'UZ-normalized'!$A:$A, 0))-INDEX('UZ-normalized'!$E:$E, MATCH($A180, 'UZ-normalized'!$A:$A, 0))&gt;0, -(27*INDEX('UZ-normalized'!$D:$D, MATCH($A180, 'UZ-normalized'!$A:$A, 0))-INDEX('UZ-normalized'!$E:$E, MATCH($A180, 'UZ-normalized'!$A:$A, 0))), 0), 0)))</f>
        <v>0</v>
      </c>
      <c r="AP180" s="6">
        <f>MIN(0, N180+(IFERROR(IF(28*INDEX('UA-normalized'!$D:$D, MATCH($A180, 'UA-normalized'!$A:$A, 0))-INDEX('UA-normalized'!$E:$E, MATCH($A180, 'UA-normalized'!$A:$A, 0))&gt;0, -(28*INDEX('UA-normalized'!$D:$D, MATCH($A180, 'UA-normalized'!$A:$A, 0))-INDEX('UA-normalized'!$E:$E, MATCH($A180, 'UA-normalized'!$A:$A, 0))), 0), 0))+(IFERROR(IF(28*INDEX('KZ-normalized'!$D:$D, MATCH($A180, 'KZ-normalized'!$A:$A, 0))-INDEX('KZ-normalized'!$E:$E, MATCH($A180, 'KZ-normalized'!$A:$A, 0))&gt;0, -(28*INDEX('KZ-normalized'!$D:$D, MATCH($A180, 'KZ-normalized'!$A:$A, 0))-INDEX('KZ-normalized'!$E:$E, MATCH($A180, 'KZ-normalized'!$A:$A, 0))), 0), 0))+(IFERROR(IF(28*INDEX('UZ-normalized'!$D:$D, MATCH($A180, 'UZ-normalized'!$A:$A, 0))-INDEX('UZ-normalized'!$E:$E, MATCH($A180, 'UZ-normalized'!$A:$A, 0))&gt;0, -(28*INDEX('UZ-normalized'!$D:$D, MATCH($A180, 'UZ-normalized'!$A:$A, 0))-INDEX('UZ-normalized'!$E:$E, MATCH($A180, 'UZ-normalized'!$A:$A, 0))), 0), 0)))</f>
        <v>0</v>
      </c>
      <c r="AQ180" s="6">
        <f>MIN(0, N180+(IFERROR(IF(29*INDEX('UA-normalized'!$D:$D, MATCH($A180, 'UA-normalized'!$A:$A, 0))-INDEX('UA-normalized'!$E:$E, MATCH($A180, 'UA-normalized'!$A:$A, 0))&gt;0, -(29*INDEX('UA-normalized'!$D:$D, MATCH($A180, 'UA-normalized'!$A:$A, 0))-INDEX('UA-normalized'!$E:$E, MATCH($A180, 'UA-normalized'!$A:$A, 0))), 0), 0))+(IFERROR(IF(29*INDEX('KZ-normalized'!$D:$D, MATCH($A180, 'KZ-normalized'!$A:$A, 0))-INDEX('KZ-normalized'!$E:$E, MATCH($A180, 'KZ-normalized'!$A:$A, 0))&gt;0, -(29*INDEX('KZ-normalized'!$D:$D, MATCH($A180, 'KZ-normalized'!$A:$A, 0))-INDEX('KZ-normalized'!$E:$E, MATCH($A180, 'KZ-normalized'!$A:$A, 0))), 0), 0))+(IFERROR(IF(29*INDEX('UZ-normalized'!$D:$D, MATCH($A180, 'UZ-normalized'!$A:$A, 0))-INDEX('UZ-normalized'!$E:$E, MATCH($A180, 'UZ-normalized'!$A:$A, 0))&gt;0, -(29*INDEX('UZ-normalized'!$D:$D, MATCH($A180, 'UZ-normalized'!$A:$A, 0))-INDEX('UZ-normalized'!$E:$E, MATCH($A180, 'UZ-normalized'!$A:$A, 0))), 0), 0)))</f>
        <v>0</v>
      </c>
      <c r="AR180" s="6">
        <f>MIN(0, N180+(IFERROR(IF(30*INDEX('UA-normalized'!$D:$D, MATCH($A180, 'UA-normalized'!$A:$A, 0))-INDEX('UA-normalized'!$E:$E, MATCH($A180, 'UA-normalized'!$A:$A, 0))&gt;0, -(30*INDEX('UA-normalized'!$D:$D, MATCH($A180, 'UA-normalized'!$A:$A, 0))-INDEX('UA-normalized'!$E:$E, MATCH($A180, 'UA-normalized'!$A:$A, 0))), 0), 0))+(IFERROR(IF(30*INDEX('KZ-normalized'!$D:$D, MATCH($A180, 'KZ-normalized'!$A:$A, 0))-INDEX('KZ-normalized'!$E:$E, MATCH($A180, 'KZ-normalized'!$A:$A, 0))&gt;0, -(30*INDEX('KZ-normalized'!$D:$D, MATCH($A180, 'KZ-normalized'!$A:$A, 0))-INDEX('KZ-normalized'!$E:$E, MATCH($A180, 'KZ-normalized'!$A:$A, 0))), 0), 0))+(IFERROR(IF(30*INDEX('UZ-normalized'!$D:$D, MATCH($A180, 'UZ-normalized'!$A:$A, 0))-INDEX('UZ-normalized'!$E:$E, MATCH($A180, 'UZ-normalized'!$A:$A, 0))&gt;0, -(30*INDEX('UZ-normalized'!$D:$D, MATCH($A180, 'UZ-normalized'!$A:$A, 0))-INDEX('UZ-normalized'!$E:$E, MATCH($A180, 'UZ-normalized'!$A:$A, 0))), 0), 0)))</f>
        <v>0</v>
      </c>
    </row>
    <row r="181" spans="1:44" x14ac:dyDescent="0.25">
      <c r="A181" s="8" t="s">
        <v>434</v>
      </c>
      <c r="B181" s="8" t="s">
        <v>431</v>
      </c>
      <c r="C181" s="8" t="s">
        <v>432</v>
      </c>
      <c r="D181" s="8" t="s">
        <v>435</v>
      </c>
      <c r="E181">
        <v>1000</v>
      </c>
      <c r="H181">
        <v>1000</v>
      </c>
      <c r="N181">
        <f t="shared" si="2"/>
        <v>2000</v>
      </c>
      <c r="O181" s="6">
        <f>MIN(0, N181+(IFERROR(IF(1*INDEX('UA-normalized'!$D:$D, MATCH($A181, 'UA-normalized'!$A:$A, 0))-INDEX('UA-normalized'!$E:$E, MATCH($A181, 'UA-normalized'!$A:$A, 0))&gt;0, -(1*INDEX('UA-normalized'!$D:$D, MATCH($A181, 'UA-normalized'!$A:$A, 0))-INDEX('UA-normalized'!$E:$E, MATCH($A181, 'UA-normalized'!$A:$A, 0))), 0), 0))+(IFERROR(IF(1*INDEX('KZ-normalized'!$D:$D, MATCH($A181, 'KZ-normalized'!$A:$A, 0))-INDEX('KZ-normalized'!$E:$E, MATCH($A181, 'KZ-normalized'!$A:$A, 0))&gt;0, -(1*INDEX('KZ-normalized'!$D:$D, MATCH($A181, 'KZ-normalized'!$A:$A, 0))-INDEX('KZ-normalized'!$E:$E, MATCH($A181, 'KZ-normalized'!$A:$A, 0))), 0), 0))+(IFERROR(IF(1*INDEX('UZ-normalized'!$D:$D, MATCH($A181, 'UZ-normalized'!$A:$A, 0))-INDEX('UZ-normalized'!$E:$E, MATCH($A181, 'UZ-normalized'!$A:$A, 0))&gt;0, -(1*INDEX('UZ-normalized'!$D:$D, MATCH($A181, 'UZ-normalized'!$A:$A, 0))-INDEX('UZ-normalized'!$E:$E, MATCH($A181, 'UZ-normalized'!$A:$A, 0))), 0), 0)))</f>
        <v>0</v>
      </c>
      <c r="P181" s="6">
        <f>MIN(0, N181+(IFERROR(IF(2*INDEX('UA-normalized'!$D:$D, MATCH($A181, 'UA-normalized'!$A:$A, 0))-INDEX('UA-normalized'!$E:$E, MATCH($A181, 'UA-normalized'!$A:$A, 0))&gt;0, -(2*INDEX('UA-normalized'!$D:$D, MATCH($A181, 'UA-normalized'!$A:$A, 0))-INDEX('UA-normalized'!$E:$E, MATCH($A181, 'UA-normalized'!$A:$A, 0))), 0), 0))+(IFERROR(IF(2*INDEX('KZ-normalized'!$D:$D, MATCH($A181, 'KZ-normalized'!$A:$A, 0))-INDEX('KZ-normalized'!$E:$E, MATCH($A181, 'KZ-normalized'!$A:$A, 0))&gt;0, -(2*INDEX('KZ-normalized'!$D:$D, MATCH($A181, 'KZ-normalized'!$A:$A, 0))-INDEX('KZ-normalized'!$E:$E, MATCH($A181, 'KZ-normalized'!$A:$A, 0))), 0), 0))+(IFERROR(IF(2*INDEX('UZ-normalized'!$D:$D, MATCH($A181, 'UZ-normalized'!$A:$A, 0))-INDEX('UZ-normalized'!$E:$E, MATCH($A181, 'UZ-normalized'!$A:$A, 0))&gt;0, -(2*INDEX('UZ-normalized'!$D:$D, MATCH($A181, 'UZ-normalized'!$A:$A, 0))-INDEX('UZ-normalized'!$E:$E, MATCH($A181, 'UZ-normalized'!$A:$A, 0))), 0), 0)))</f>
        <v>0</v>
      </c>
      <c r="Q181" s="6">
        <f>MIN(0, N181+(IFERROR(IF(3*INDEX('UA-normalized'!$D:$D, MATCH($A181, 'UA-normalized'!$A:$A, 0))-INDEX('UA-normalized'!$E:$E, MATCH($A181, 'UA-normalized'!$A:$A, 0))&gt;0, -(3*INDEX('UA-normalized'!$D:$D, MATCH($A181, 'UA-normalized'!$A:$A, 0))-INDEX('UA-normalized'!$E:$E, MATCH($A181, 'UA-normalized'!$A:$A, 0))), 0), 0))+(IFERROR(IF(3*INDEX('KZ-normalized'!$D:$D, MATCH($A181, 'KZ-normalized'!$A:$A, 0))-INDEX('KZ-normalized'!$E:$E, MATCH($A181, 'KZ-normalized'!$A:$A, 0))&gt;0, -(3*INDEX('KZ-normalized'!$D:$D, MATCH($A181, 'KZ-normalized'!$A:$A, 0))-INDEX('KZ-normalized'!$E:$E, MATCH($A181, 'KZ-normalized'!$A:$A, 0))), 0), 0))+(IFERROR(IF(3*INDEX('UZ-normalized'!$D:$D, MATCH($A181, 'UZ-normalized'!$A:$A, 0))-INDEX('UZ-normalized'!$E:$E, MATCH($A181, 'UZ-normalized'!$A:$A, 0))&gt;0, -(3*INDEX('UZ-normalized'!$D:$D, MATCH($A181, 'UZ-normalized'!$A:$A, 0))-INDEX('UZ-normalized'!$E:$E, MATCH($A181, 'UZ-normalized'!$A:$A, 0))), 0), 0)))</f>
        <v>0</v>
      </c>
      <c r="R181" s="6">
        <f>MIN(0, N181+(IFERROR(IF(4*INDEX('UA-normalized'!$D:$D, MATCH($A181, 'UA-normalized'!$A:$A, 0))-INDEX('UA-normalized'!$E:$E, MATCH($A181, 'UA-normalized'!$A:$A, 0))&gt;0, -(4*INDEX('UA-normalized'!$D:$D, MATCH($A181, 'UA-normalized'!$A:$A, 0))-INDEX('UA-normalized'!$E:$E, MATCH($A181, 'UA-normalized'!$A:$A, 0))), 0), 0))+(IFERROR(IF(4*INDEX('KZ-normalized'!$D:$D, MATCH($A181, 'KZ-normalized'!$A:$A, 0))-INDEX('KZ-normalized'!$E:$E, MATCH($A181, 'KZ-normalized'!$A:$A, 0))&gt;0, -(4*INDEX('KZ-normalized'!$D:$D, MATCH($A181, 'KZ-normalized'!$A:$A, 0))-INDEX('KZ-normalized'!$E:$E, MATCH($A181, 'KZ-normalized'!$A:$A, 0))), 0), 0))+(IFERROR(IF(4*INDEX('UZ-normalized'!$D:$D, MATCH($A181, 'UZ-normalized'!$A:$A, 0))-INDEX('UZ-normalized'!$E:$E, MATCH($A181, 'UZ-normalized'!$A:$A, 0))&gt;0, -(4*INDEX('UZ-normalized'!$D:$D, MATCH($A181, 'UZ-normalized'!$A:$A, 0))-INDEX('UZ-normalized'!$E:$E, MATCH($A181, 'UZ-normalized'!$A:$A, 0))), 0), 0)))</f>
        <v>0</v>
      </c>
      <c r="S181" s="6">
        <f>MIN(0, N181+(IFERROR(IF(5*INDEX('UA-normalized'!$D:$D, MATCH($A181, 'UA-normalized'!$A:$A, 0))-INDEX('UA-normalized'!$E:$E, MATCH($A181, 'UA-normalized'!$A:$A, 0))&gt;0, -(5*INDEX('UA-normalized'!$D:$D, MATCH($A181, 'UA-normalized'!$A:$A, 0))-INDEX('UA-normalized'!$E:$E, MATCH($A181, 'UA-normalized'!$A:$A, 0))), 0), 0))+(IFERROR(IF(5*INDEX('KZ-normalized'!$D:$D, MATCH($A181, 'KZ-normalized'!$A:$A, 0))-INDEX('KZ-normalized'!$E:$E, MATCH($A181, 'KZ-normalized'!$A:$A, 0))&gt;0, -(5*INDEX('KZ-normalized'!$D:$D, MATCH($A181, 'KZ-normalized'!$A:$A, 0))-INDEX('KZ-normalized'!$E:$E, MATCH($A181, 'KZ-normalized'!$A:$A, 0))), 0), 0))+(IFERROR(IF(5*INDEX('UZ-normalized'!$D:$D, MATCH($A181, 'UZ-normalized'!$A:$A, 0))-INDEX('UZ-normalized'!$E:$E, MATCH($A181, 'UZ-normalized'!$A:$A, 0))&gt;0, -(5*INDEX('UZ-normalized'!$D:$D, MATCH($A181, 'UZ-normalized'!$A:$A, 0))-INDEX('UZ-normalized'!$E:$E, MATCH($A181, 'UZ-normalized'!$A:$A, 0))), 0), 0)))</f>
        <v>0</v>
      </c>
      <c r="T181" s="6">
        <f>MIN(0, N181+(IFERROR(IF(6*INDEX('UA-normalized'!$D:$D, MATCH($A181, 'UA-normalized'!$A:$A, 0))-INDEX('UA-normalized'!$E:$E, MATCH($A181, 'UA-normalized'!$A:$A, 0))&gt;0, -(6*INDEX('UA-normalized'!$D:$D, MATCH($A181, 'UA-normalized'!$A:$A, 0))-INDEX('UA-normalized'!$E:$E, MATCH($A181, 'UA-normalized'!$A:$A, 0))), 0), 0))+(IFERROR(IF(6*INDEX('KZ-normalized'!$D:$D, MATCH($A181, 'KZ-normalized'!$A:$A, 0))-INDEX('KZ-normalized'!$E:$E, MATCH($A181, 'KZ-normalized'!$A:$A, 0))&gt;0, -(6*INDEX('KZ-normalized'!$D:$D, MATCH($A181, 'KZ-normalized'!$A:$A, 0))-INDEX('KZ-normalized'!$E:$E, MATCH($A181, 'KZ-normalized'!$A:$A, 0))), 0), 0))+(IFERROR(IF(6*INDEX('UZ-normalized'!$D:$D, MATCH($A181, 'UZ-normalized'!$A:$A, 0))-INDEX('UZ-normalized'!$E:$E, MATCH($A181, 'UZ-normalized'!$A:$A, 0))&gt;0, -(6*INDEX('UZ-normalized'!$D:$D, MATCH($A181, 'UZ-normalized'!$A:$A, 0))-INDEX('UZ-normalized'!$E:$E, MATCH($A181, 'UZ-normalized'!$A:$A, 0))), 0), 0)))</f>
        <v>0</v>
      </c>
      <c r="U181" s="6">
        <f>MIN(0, N181+(IFERROR(IF(7*INDEX('UA-normalized'!$D:$D, MATCH($A181, 'UA-normalized'!$A:$A, 0))-INDEX('UA-normalized'!$E:$E, MATCH($A181, 'UA-normalized'!$A:$A, 0))&gt;0, -(7*INDEX('UA-normalized'!$D:$D, MATCH($A181, 'UA-normalized'!$A:$A, 0))-INDEX('UA-normalized'!$E:$E, MATCH($A181, 'UA-normalized'!$A:$A, 0))), 0), 0))+(IFERROR(IF(7*INDEX('KZ-normalized'!$D:$D, MATCH($A181, 'KZ-normalized'!$A:$A, 0))-INDEX('KZ-normalized'!$E:$E, MATCH($A181, 'KZ-normalized'!$A:$A, 0))&gt;0, -(7*INDEX('KZ-normalized'!$D:$D, MATCH($A181, 'KZ-normalized'!$A:$A, 0))-INDEX('KZ-normalized'!$E:$E, MATCH($A181, 'KZ-normalized'!$A:$A, 0))), 0), 0))+(IFERROR(IF(7*INDEX('UZ-normalized'!$D:$D, MATCH($A181, 'UZ-normalized'!$A:$A, 0))-INDEX('UZ-normalized'!$E:$E, MATCH($A181, 'UZ-normalized'!$A:$A, 0))&gt;0, -(7*INDEX('UZ-normalized'!$D:$D, MATCH($A181, 'UZ-normalized'!$A:$A, 0))-INDEX('UZ-normalized'!$E:$E, MATCH($A181, 'UZ-normalized'!$A:$A, 0))), 0), 0)))</f>
        <v>0</v>
      </c>
      <c r="V181" s="6">
        <f>MIN(0, N181+(IFERROR(IF(8*INDEX('UA-normalized'!$D:$D, MATCH($A181, 'UA-normalized'!$A:$A, 0))-INDEX('UA-normalized'!$E:$E, MATCH($A181, 'UA-normalized'!$A:$A, 0))&gt;0, -(8*INDEX('UA-normalized'!$D:$D, MATCH($A181, 'UA-normalized'!$A:$A, 0))-INDEX('UA-normalized'!$E:$E, MATCH($A181, 'UA-normalized'!$A:$A, 0))), 0), 0))+(IFERROR(IF(8*INDEX('KZ-normalized'!$D:$D, MATCH($A181, 'KZ-normalized'!$A:$A, 0))-INDEX('KZ-normalized'!$E:$E, MATCH($A181, 'KZ-normalized'!$A:$A, 0))&gt;0, -(8*INDEX('KZ-normalized'!$D:$D, MATCH($A181, 'KZ-normalized'!$A:$A, 0))-INDEX('KZ-normalized'!$E:$E, MATCH($A181, 'KZ-normalized'!$A:$A, 0))), 0), 0))+(IFERROR(IF(8*INDEX('UZ-normalized'!$D:$D, MATCH($A181, 'UZ-normalized'!$A:$A, 0))-INDEX('UZ-normalized'!$E:$E, MATCH($A181, 'UZ-normalized'!$A:$A, 0))&gt;0, -(8*INDEX('UZ-normalized'!$D:$D, MATCH($A181, 'UZ-normalized'!$A:$A, 0))-INDEX('UZ-normalized'!$E:$E, MATCH($A181, 'UZ-normalized'!$A:$A, 0))), 0), 0)))</f>
        <v>0</v>
      </c>
      <c r="W181" s="6">
        <f>MIN(0, N181+(IFERROR(IF(9*INDEX('UA-normalized'!$D:$D, MATCH($A181, 'UA-normalized'!$A:$A, 0))-INDEX('UA-normalized'!$E:$E, MATCH($A181, 'UA-normalized'!$A:$A, 0))&gt;0, -(9*INDEX('UA-normalized'!$D:$D, MATCH($A181, 'UA-normalized'!$A:$A, 0))-INDEX('UA-normalized'!$E:$E, MATCH($A181, 'UA-normalized'!$A:$A, 0))), 0), 0))+(IFERROR(IF(9*INDEX('KZ-normalized'!$D:$D, MATCH($A181, 'KZ-normalized'!$A:$A, 0))-INDEX('KZ-normalized'!$E:$E, MATCH($A181, 'KZ-normalized'!$A:$A, 0))&gt;0, -(9*INDEX('KZ-normalized'!$D:$D, MATCH($A181, 'KZ-normalized'!$A:$A, 0))-INDEX('KZ-normalized'!$E:$E, MATCH($A181, 'KZ-normalized'!$A:$A, 0))), 0), 0))+(IFERROR(IF(9*INDEX('UZ-normalized'!$D:$D, MATCH($A181, 'UZ-normalized'!$A:$A, 0))-INDEX('UZ-normalized'!$E:$E, MATCH($A181, 'UZ-normalized'!$A:$A, 0))&gt;0, -(9*INDEX('UZ-normalized'!$D:$D, MATCH($A181, 'UZ-normalized'!$A:$A, 0))-INDEX('UZ-normalized'!$E:$E, MATCH($A181, 'UZ-normalized'!$A:$A, 0))), 0), 0)))</f>
        <v>0</v>
      </c>
      <c r="X181" s="6">
        <f>MIN(0, N181+(IFERROR(IF(10*INDEX('UA-normalized'!$D:$D, MATCH($A181, 'UA-normalized'!$A:$A, 0))-INDEX('UA-normalized'!$E:$E, MATCH($A181, 'UA-normalized'!$A:$A, 0))&gt;0, -(10*INDEX('UA-normalized'!$D:$D, MATCH($A181, 'UA-normalized'!$A:$A, 0))-INDEX('UA-normalized'!$E:$E, MATCH($A181, 'UA-normalized'!$A:$A, 0))), 0), 0))+(IFERROR(IF(10*INDEX('KZ-normalized'!$D:$D, MATCH($A181, 'KZ-normalized'!$A:$A, 0))-INDEX('KZ-normalized'!$E:$E, MATCH($A181, 'KZ-normalized'!$A:$A, 0))&gt;0, -(10*INDEX('KZ-normalized'!$D:$D, MATCH($A181, 'KZ-normalized'!$A:$A, 0))-INDEX('KZ-normalized'!$E:$E, MATCH($A181, 'KZ-normalized'!$A:$A, 0))), 0), 0))+(IFERROR(IF(10*INDEX('UZ-normalized'!$D:$D, MATCH($A181, 'UZ-normalized'!$A:$A, 0))-INDEX('UZ-normalized'!$E:$E, MATCH($A181, 'UZ-normalized'!$A:$A, 0))&gt;0, -(10*INDEX('UZ-normalized'!$D:$D, MATCH($A181, 'UZ-normalized'!$A:$A, 0))-INDEX('UZ-normalized'!$E:$E, MATCH($A181, 'UZ-normalized'!$A:$A, 0))), 0), 0)))</f>
        <v>0</v>
      </c>
      <c r="Y181" s="6">
        <f>MIN(0, N181+(IFERROR(IF(11*INDEX('UA-normalized'!$D:$D, MATCH($A181, 'UA-normalized'!$A:$A, 0))-INDEX('UA-normalized'!$E:$E, MATCH($A181, 'UA-normalized'!$A:$A, 0))&gt;0, -(11*INDEX('UA-normalized'!$D:$D, MATCH($A181, 'UA-normalized'!$A:$A, 0))-INDEX('UA-normalized'!$E:$E, MATCH($A181, 'UA-normalized'!$A:$A, 0))), 0), 0))+(IFERROR(IF(11*INDEX('KZ-normalized'!$D:$D, MATCH($A181, 'KZ-normalized'!$A:$A, 0))-INDEX('KZ-normalized'!$E:$E, MATCH($A181, 'KZ-normalized'!$A:$A, 0))&gt;0, -(11*INDEX('KZ-normalized'!$D:$D, MATCH($A181, 'KZ-normalized'!$A:$A, 0))-INDEX('KZ-normalized'!$E:$E, MATCH($A181, 'KZ-normalized'!$A:$A, 0))), 0), 0))+(IFERROR(IF(11*INDEX('UZ-normalized'!$D:$D, MATCH($A181, 'UZ-normalized'!$A:$A, 0))-INDEX('UZ-normalized'!$E:$E, MATCH($A181, 'UZ-normalized'!$A:$A, 0))&gt;0, -(11*INDEX('UZ-normalized'!$D:$D, MATCH($A181, 'UZ-normalized'!$A:$A, 0))-INDEX('UZ-normalized'!$E:$E, MATCH($A181, 'UZ-normalized'!$A:$A, 0))), 0), 0)))</f>
        <v>0</v>
      </c>
      <c r="Z181" s="6">
        <f>MIN(0, N181+(IFERROR(IF(12*INDEX('UA-normalized'!$D:$D, MATCH($A181, 'UA-normalized'!$A:$A, 0))-INDEX('UA-normalized'!$E:$E, MATCH($A181, 'UA-normalized'!$A:$A, 0))&gt;0, -(12*INDEX('UA-normalized'!$D:$D, MATCH($A181, 'UA-normalized'!$A:$A, 0))-INDEX('UA-normalized'!$E:$E, MATCH($A181, 'UA-normalized'!$A:$A, 0))), 0), 0))+(IFERROR(IF(12*INDEX('KZ-normalized'!$D:$D, MATCH($A181, 'KZ-normalized'!$A:$A, 0))-INDEX('KZ-normalized'!$E:$E, MATCH($A181, 'KZ-normalized'!$A:$A, 0))&gt;0, -(12*INDEX('KZ-normalized'!$D:$D, MATCH($A181, 'KZ-normalized'!$A:$A, 0))-INDEX('KZ-normalized'!$E:$E, MATCH($A181, 'KZ-normalized'!$A:$A, 0))), 0), 0))+(IFERROR(IF(12*INDEX('UZ-normalized'!$D:$D, MATCH($A181, 'UZ-normalized'!$A:$A, 0))-INDEX('UZ-normalized'!$E:$E, MATCH($A181, 'UZ-normalized'!$A:$A, 0))&gt;0, -(12*INDEX('UZ-normalized'!$D:$D, MATCH($A181, 'UZ-normalized'!$A:$A, 0))-INDEX('UZ-normalized'!$E:$E, MATCH($A181, 'UZ-normalized'!$A:$A, 0))), 0), 0)))</f>
        <v>0</v>
      </c>
      <c r="AA181" s="6">
        <f>MIN(0, N181+(IFERROR(IF(13*INDEX('UA-normalized'!$D:$D, MATCH($A181, 'UA-normalized'!$A:$A, 0))-INDEX('UA-normalized'!$E:$E, MATCH($A181, 'UA-normalized'!$A:$A, 0))&gt;0, -(13*INDEX('UA-normalized'!$D:$D, MATCH($A181, 'UA-normalized'!$A:$A, 0))-INDEX('UA-normalized'!$E:$E, MATCH($A181, 'UA-normalized'!$A:$A, 0))), 0), 0))+(IFERROR(IF(13*INDEX('KZ-normalized'!$D:$D, MATCH($A181, 'KZ-normalized'!$A:$A, 0))-INDEX('KZ-normalized'!$E:$E, MATCH($A181, 'KZ-normalized'!$A:$A, 0))&gt;0, -(13*INDEX('KZ-normalized'!$D:$D, MATCH($A181, 'KZ-normalized'!$A:$A, 0))-INDEX('KZ-normalized'!$E:$E, MATCH($A181, 'KZ-normalized'!$A:$A, 0))), 0), 0))+(IFERROR(IF(13*INDEX('UZ-normalized'!$D:$D, MATCH($A181, 'UZ-normalized'!$A:$A, 0))-INDEX('UZ-normalized'!$E:$E, MATCH($A181, 'UZ-normalized'!$A:$A, 0))&gt;0, -(13*INDEX('UZ-normalized'!$D:$D, MATCH($A181, 'UZ-normalized'!$A:$A, 0))-INDEX('UZ-normalized'!$E:$E, MATCH($A181, 'UZ-normalized'!$A:$A, 0))), 0), 0)))</f>
        <v>0</v>
      </c>
      <c r="AB181" s="6">
        <f>MIN(0, N181+(IFERROR(IF(14*INDEX('UA-normalized'!$D:$D, MATCH($A181, 'UA-normalized'!$A:$A, 0))-INDEX('UA-normalized'!$E:$E, MATCH($A181, 'UA-normalized'!$A:$A, 0))&gt;0, -(14*INDEX('UA-normalized'!$D:$D, MATCH($A181, 'UA-normalized'!$A:$A, 0))-INDEX('UA-normalized'!$E:$E, MATCH($A181, 'UA-normalized'!$A:$A, 0))), 0), 0))+(IFERROR(IF(14*INDEX('KZ-normalized'!$D:$D, MATCH($A181, 'KZ-normalized'!$A:$A, 0))-INDEX('KZ-normalized'!$E:$E, MATCH($A181, 'KZ-normalized'!$A:$A, 0))&gt;0, -(14*INDEX('KZ-normalized'!$D:$D, MATCH($A181, 'KZ-normalized'!$A:$A, 0))-INDEX('KZ-normalized'!$E:$E, MATCH($A181, 'KZ-normalized'!$A:$A, 0))), 0), 0))+(IFERROR(IF(14*INDEX('UZ-normalized'!$D:$D, MATCH($A181, 'UZ-normalized'!$A:$A, 0))-INDEX('UZ-normalized'!$E:$E, MATCH($A181, 'UZ-normalized'!$A:$A, 0))&gt;0, -(14*INDEX('UZ-normalized'!$D:$D, MATCH($A181, 'UZ-normalized'!$A:$A, 0))-INDEX('UZ-normalized'!$E:$E, MATCH($A181, 'UZ-normalized'!$A:$A, 0))), 0), 0)))</f>
        <v>0</v>
      </c>
      <c r="AC181" s="6">
        <f>MIN(0, N181+(IFERROR(IF(15*INDEX('UA-normalized'!$D:$D, MATCH($A181, 'UA-normalized'!$A:$A, 0))-INDEX('UA-normalized'!$E:$E, MATCH($A181, 'UA-normalized'!$A:$A, 0))&gt;0, -(15*INDEX('UA-normalized'!$D:$D, MATCH($A181, 'UA-normalized'!$A:$A, 0))-INDEX('UA-normalized'!$E:$E, MATCH($A181, 'UA-normalized'!$A:$A, 0))), 0), 0))+(IFERROR(IF(15*INDEX('KZ-normalized'!$D:$D, MATCH($A181, 'KZ-normalized'!$A:$A, 0))-INDEX('KZ-normalized'!$E:$E, MATCH($A181, 'KZ-normalized'!$A:$A, 0))&gt;0, -(15*INDEX('KZ-normalized'!$D:$D, MATCH($A181, 'KZ-normalized'!$A:$A, 0))-INDEX('KZ-normalized'!$E:$E, MATCH($A181, 'KZ-normalized'!$A:$A, 0))), 0), 0))+(IFERROR(IF(15*INDEX('UZ-normalized'!$D:$D, MATCH($A181, 'UZ-normalized'!$A:$A, 0))-INDEX('UZ-normalized'!$E:$E, MATCH($A181, 'UZ-normalized'!$A:$A, 0))&gt;0, -(15*INDEX('UZ-normalized'!$D:$D, MATCH($A181, 'UZ-normalized'!$A:$A, 0))-INDEX('UZ-normalized'!$E:$E, MATCH($A181, 'UZ-normalized'!$A:$A, 0))), 0), 0)))</f>
        <v>0</v>
      </c>
      <c r="AD181" s="6">
        <f>MIN(0, N181+(IFERROR(IF(16*INDEX('UA-normalized'!$D:$D, MATCH($A181, 'UA-normalized'!$A:$A, 0))-INDEX('UA-normalized'!$E:$E, MATCH($A181, 'UA-normalized'!$A:$A, 0))&gt;0, -(16*INDEX('UA-normalized'!$D:$D, MATCH($A181, 'UA-normalized'!$A:$A, 0))-INDEX('UA-normalized'!$E:$E, MATCH($A181, 'UA-normalized'!$A:$A, 0))), 0), 0))+(IFERROR(IF(16*INDEX('KZ-normalized'!$D:$D, MATCH($A181, 'KZ-normalized'!$A:$A, 0))-INDEX('KZ-normalized'!$E:$E, MATCH($A181, 'KZ-normalized'!$A:$A, 0))&gt;0, -(16*INDEX('KZ-normalized'!$D:$D, MATCH($A181, 'KZ-normalized'!$A:$A, 0))-INDEX('KZ-normalized'!$E:$E, MATCH($A181, 'KZ-normalized'!$A:$A, 0))), 0), 0))+(IFERROR(IF(16*INDEX('UZ-normalized'!$D:$D, MATCH($A181, 'UZ-normalized'!$A:$A, 0))-INDEX('UZ-normalized'!$E:$E, MATCH($A181, 'UZ-normalized'!$A:$A, 0))&gt;0, -(16*INDEX('UZ-normalized'!$D:$D, MATCH($A181, 'UZ-normalized'!$A:$A, 0))-INDEX('UZ-normalized'!$E:$E, MATCH($A181, 'UZ-normalized'!$A:$A, 0))), 0), 0)))</f>
        <v>0</v>
      </c>
      <c r="AE181" s="6">
        <f>MIN(0, N181+(IFERROR(IF(17*INDEX('UA-normalized'!$D:$D, MATCH($A181, 'UA-normalized'!$A:$A, 0))-INDEX('UA-normalized'!$E:$E, MATCH($A181, 'UA-normalized'!$A:$A, 0))&gt;0, -(17*INDEX('UA-normalized'!$D:$D, MATCH($A181, 'UA-normalized'!$A:$A, 0))-INDEX('UA-normalized'!$E:$E, MATCH($A181, 'UA-normalized'!$A:$A, 0))), 0), 0))+(IFERROR(IF(17*INDEX('KZ-normalized'!$D:$D, MATCH($A181, 'KZ-normalized'!$A:$A, 0))-INDEX('KZ-normalized'!$E:$E, MATCH($A181, 'KZ-normalized'!$A:$A, 0))&gt;0, -(17*INDEX('KZ-normalized'!$D:$D, MATCH($A181, 'KZ-normalized'!$A:$A, 0))-INDEX('KZ-normalized'!$E:$E, MATCH($A181, 'KZ-normalized'!$A:$A, 0))), 0), 0))+(IFERROR(IF(17*INDEX('UZ-normalized'!$D:$D, MATCH($A181, 'UZ-normalized'!$A:$A, 0))-INDEX('UZ-normalized'!$E:$E, MATCH($A181, 'UZ-normalized'!$A:$A, 0))&gt;0, -(17*INDEX('UZ-normalized'!$D:$D, MATCH($A181, 'UZ-normalized'!$A:$A, 0))-INDEX('UZ-normalized'!$E:$E, MATCH($A181, 'UZ-normalized'!$A:$A, 0))), 0), 0)))</f>
        <v>0</v>
      </c>
      <c r="AF181" s="6">
        <f>MIN(0, N181+(IFERROR(IF(18*INDEX('UA-normalized'!$D:$D, MATCH($A181, 'UA-normalized'!$A:$A, 0))-INDEX('UA-normalized'!$E:$E, MATCH($A181, 'UA-normalized'!$A:$A, 0))&gt;0, -(18*INDEX('UA-normalized'!$D:$D, MATCH($A181, 'UA-normalized'!$A:$A, 0))-INDEX('UA-normalized'!$E:$E, MATCH($A181, 'UA-normalized'!$A:$A, 0))), 0), 0))+(IFERROR(IF(18*INDEX('KZ-normalized'!$D:$D, MATCH($A181, 'KZ-normalized'!$A:$A, 0))-INDEX('KZ-normalized'!$E:$E, MATCH($A181, 'KZ-normalized'!$A:$A, 0))&gt;0, -(18*INDEX('KZ-normalized'!$D:$D, MATCH($A181, 'KZ-normalized'!$A:$A, 0))-INDEX('KZ-normalized'!$E:$E, MATCH($A181, 'KZ-normalized'!$A:$A, 0))), 0), 0))+(IFERROR(IF(18*INDEX('UZ-normalized'!$D:$D, MATCH($A181, 'UZ-normalized'!$A:$A, 0))-INDEX('UZ-normalized'!$E:$E, MATCH($A181, 'UZ-normalized'!$A:$A, 0))&gt;0, -(18*INDEX('UZ-normalized'!$D:$D, MATCH($A181, 'UZ-normalized'!$A:$A, 0))-INDEX('UZ-normalized'!$E:$E, MATCH($A181, 'UZ-normalized'!$A:$A, 0))), 0), 0)))</f>
        <v>0</v>
      </c>
      <c r="AG181" s="6">
        <f>MIN(0, N181+(IFERROR(IF(19*INDEX('UA-normalized'!$D:$D, MATCH($A181, 'UA-normalized'!$A:$A, 0))-INDEX('UA-normalized'!$E:$E, MATCH($A181, 'UA-normalized'!$A:$A, 0))&gt;0, -(19*INDEX('UA-normalized'!$D:$D, MATCH($A181, 'UA-normalized'!$A:$A, 0))-INDEX('UA-normalized'!$E:$E, MATCH($A181, 'UA-normalized'!$A:$A, 0))), 0), 0))+(IFERROR(IF(19*INDEX('KZ-normalized'!$D:$D, MATCH($A181, 'KZ-normalized'!$A:$A, 0))-INDEX('KZ-normalized'!$E:$E, MATCH($A181, 'KZ-normalized'!$A:$A, 0))&gt;0, -(19*INDEX('KZ-normalized'!$D:$D, MATCH($A181, 'KZ-normalized'!$A:$A, 0))-INDEX('KZ-normalized'!$E:$E, MATCH($A181, 'KZ-normalized'!$A:$A, 0))), 0), 0))+(IFERROR(IF(19*INDEX('UZ-normalized'!$D:$D, MATCH($A181, 'UZ-normalized'!$A:$A, 0))-INDEX('UZ-normalized'!$E:$E, MATCH($A181, 'UZ-normalized'!$A:$A, 0))&gt;0, -(19*INDEX('UZ-normalized'!$D:$D, MATCH($A181, 'UZ-normalized'!$A:$A, 0))-INDEX('UZ-normalized'!$E:$E, MATCH($A181, 'UZ-normalized'!$A:$A, 0))), 0), 0)))</f>
        <v>0</v>
      </c>
      <c r="AH181" s="6">
        <f>MIN(0, N181+(IFERROR(IF(20*INDEX('UA-normalized'!$D:$D, MATCH($A181, 'UA-normalized'!$A:$A, 0))-INDEX('UA-normalized'!$E:$E, MATCH($A181, 'UA-normalized'!$A:$A, 0))&gt;0, -(20*INDEX('UA-normalized'!$D:$D, MATCH($A181, 'UA-normalized'!$A:$A, 0))-INDEX('UA-normalized'!$E:$E, MATCH($A181, 'UA-normalized'!$A:$A, 0))), 0), 0))+(IFERROR(IF(20*INDEX('KZ-normalized'!$D:$D, MATCH($A181, 'KZ-normalized'!$A:$A, 0))-INDEX('KZ-normalized'!$E:$E, MATCH($A181, 'KZ-normalized'!$A:$A, 0))&gt;0, -(20*INDEX('KZ-normalized'!$D:$D, MATCH($A181, 'KZ-normalized'!$A:$A, 0))-INDEX('KZ-normalized'!$E:$E, MATCH($A181, 'KZ-normalized'!$A:$A, 0))), 0), 0))+(IFERROR(IF(20*INDEX('UZ-normalized'!$D:$D, MATCH($A181, 'UZ-normalized'!$A:$A, 0))-INDEX('UZ-normalized'!$E:$E, MATCH($A181, 'UZ-normalized'!$A:$A, 0))&gt;0, -(20*INDEX('UZ-normalized'!$D:$D, MATCH($A181, 'UZ-normalized'!$A:$A, 0))-INDEX('UZ-normalized'!$E:$E, MATCH($A181, 'UZ-normalized'!$A:$A, 0))), 0), 0)))</f>
        <v>0</v>
      </c>
      <c r="AI181" s="6">
        <f>MIN(0, N181+(IFERROR(IF(21*INDEX('UA-normalized'!$D:$D, MATCH($A181, 'UA-normalized'!$A:$A, 0))-INDEX('UA-normalized'!$E:$E, MATCH($A181, 'UA-normalized'!$A:$A, 0))&gt;0, -(21*INDEX('UA-normalized'!$D:$D, MATCH($A181, 'UA-normalized'!$A:$A, 0))-INDEX('UA-normalized'!$E:$E, MATCH($A181, 'UA-normalized'!$A:$A, 0))), 0), 0))+(IFERROR(IF(21*INDEX('KZ-normalized'!$D:$D, MATCH($A181, 'KZ-normalized'!$A:$A, 0))-INDEX('KZ-normalized'!$E:$E, MATCH($A181, 'KZ-normalized'!$A:$A, 0))&gt;0, -(21*INDEX('KZ-normalized'!$D:$D, MATCH($A181, 'KZ-normalized'!$A:$A, 0))-INDEX('KZ-normalized'!$E:$E, MATCH($A181, 'KZ-normalized'!$A:$A, 0))), 0), 0))+(IFERROR(IF(21*INDEX('UZ-normalized'!$D:$D, MATCH($A181, 'UZ-normalized'!$A:$A, 0))-INDEX('UZ-normalized'!$E:$E, MATCH($A181, 'UZ-normalized'!$A:$A, 0))&gt;0, -(21*INDEX('UZ-normalized'!$D:$D, MATCH($A181, 'UZ-normalized'!$A:$A, 0))-INDEX('UZ-normalized'!$E:$E, MATCH($A181, 'UZ-normalized'!$A:$A, 0))), 0), 0)))</f>
        <v>0</v>
      </c>
      <c r="AJ181" s="6">
        <f>MIN(0, N181+(IFERROR(IF(22*INDEX('UA-normalized'!$D:$D, MATCH($A181, 'UA-normalized'!$A:$A, 0))-INDEX('UA-normalized'!$E:$E, MATCH($A181, 'UA-normalized'!$A:$A, 0))&gt;0, -(22*INDEX('UA-normalized'!$D:$D, MATCH($A181, 'UA-normalized'!$A:$A, 0))-INDEX('UA-normalized'!$E:$E, MATCH($A181, 'UA-normalized'!$A:$A, 0))), 0), 0))+(IFERROR(IF(22*INDEX('KZ-normalized'!$D:$D, MATCH($A181, 'KZ-normalized'!$A:$A, 0))-INDEX('KZ-normalized'!$E:$E, MATCH($A181, 'KZ-normalized'!$A:$A, 0))&gt;0, -(22*INDEX('KZ-normalized'!$D:$D, MATCH($A181, 'KZ-normalized'!$A:$A, 0))-INDEX('KZ-normalized'!$E:$E, MATCH($A181, 'KZ-normalized'!$A:$A, 0))), 0), 0))+(IFERROR(IF(22*INDEX('UZ-normalized'!$D:$D, MATCH($A181, 'UZ-normalized'!$A:$A, 0))-INDEX('UZ-normalized'!$E:$E, MATCH($A181, 'UZ-normalized'!$A:$A, 0))&gt;0, -(22*INDEX('UZ-normalized'!$D:$D, MATCH($A181, 'UZ-normalized'!$A:$A, 0))-INDEX('UZ-normalized'!$E:$E, MATCH($A181, 'UZ-normalized'!$A:$A, 0))), 0), 0)))</f>
        <v>0</v>
      </c>
      <c r="AK181" s="6">
        <f>MIN(0, N181+(IFERROR(IF(23*INDEX('UA-normalized'!$D:$D, MATCH($A181, 'UA-normalized'!$A:$A, 0))-INDEX('UA-normalized'!$E:$E, MATCH($A181, 'UA-normalized'!$A:$A, 0))&gt;0, -(23*INDEX('UA-normalized'!$D:$D, MATCH($A181, 'UA-normalized'!$A:$A, 0))-INDEX('UA-normalized'!$E:$E, MATCH($A181, 'UA-normalized'!$A:$A, 0))), 0), 0))+(IFERROR(IF(23*INDEX('KZ-normalized'!$D:$D, MATCH($A181, 'KZ-normalized'!$A:$A, 0))-INDEX('KZ-normalized'!$E:$E, MATCH($A181, 'KZ-normalized'!$A:$A, 0))&gt;0, -(23*INDEX('KZ-normalized'!$D:$D, MATCH($A181, 'KZ-normalized'!$A:$A, 0))-INDEX('KZ-normalized'!$E:$E, MATCH($A181, 'KZ-normalized'!$A:$A, 0))), 0), 0))+(IFERROR(IF(23*INDEX('UZ-normalized'!$D:$D, MATCH($A181, 'UZ-normalized'!$A:$A, 0))-INDEX('UZ-normalized'!$E:$E, MATCH($A181, 'UZ-normalized'!$A:$A, 0))&gt;0, -(23*INDEX('UZ-normalized'!$D:$D, MATCH($A181, 'UZ-normalized'!$A:$A, 0))-INDEX('UZ-normalized'!$E:$E, MATCH($A181, 'UZ-normalized'!$A:$A, 0))), 0), 0)))</f>
        <v>0</v>
      </c>
      <c r="AL181" s="6">
        <f>MIN(0, N181+(IFERROR(IF(24*INDEX('UA-normalized'!$D:$D, MATCH($A181, 'UA-normalized'!$A:$A, 0))-INDEX('UA-normalized'!$E:$E, MATCH($A181, 'UA-normalized'!$A:$A, 0))&gt;0, -(24*INDEX('UA-normalized'!$D:$D, MATCH($A181, 'UA-normalized'!$A:$A, 0))-INDEX('UA-normalized'!$E:$E, MATCH($A181, 'UA-normalized'!$A:$A, 0))), 0), 0))+(IFERROR(IF(24*INDEX('KZ-normalized'!$D:$D, MATCH($A181, 'KZ-normalized'!$A:$A, 0))-INDEX('KZ-normalized'!$E:$E, MATCH($A181, 'KZ-normalized'!$A:$A, 0))&gt;0, -(24*INDEX('KZ-normalized'!$D:$D, MATCH($A181, 'KZ-normalized'!$A:$A, 0))-INDEX('KZ-normalized'!$E:$E, MATCH($A181, 'KZ-normalized'!$A:$A, 0))), 0), 0))+(IFERROR(IF(24*INDEX('UZ-normalized'!$D:$D, MATCH($A181, 'UZ-normalized'!$A:$A, 0))-INDEX('UZ-normalized'!$E:$E, MATCH($A181, 'UZ-normalized'!$A:$A, 0))&gt;0, -(24*INDEX('UZ-normalized'!$D:$D, MATCH($A181, 'UZ-normalized'!$A:$A, 0))-INDEX('UZ-normalized'!$E:$E, MATCH($A181, 'UZ-normalized'!$A:$A, 0))), 0), 0)))</f>
        <v>0</v>
      </c>
      <c r="AM181" s="6">
        <f>MIN(0, N181+(IFERROR(IF(25*INDEX('UA-normalized'!$D:$D, MATCH($A181, 'UA-normalized'!$A:$A, 0))-INDEX('UA-normalized'!$E:$E, MATCH($A181, 'UA-normalized'!$A:$A, 0))&gt;0, -(25*INDEX('UA-normalized'!$D:$D, MATCH($A181, 'UA-normalized'!$A:$A, 0))-INDEX('UA-normalized'!$E:$E, MATCH($A181, 'UA-normalized'!$A:$A, 0))), 0), 0))+(IFERROR(IF(25*INDEX('KZ-normalized'!$D:$D, MATCH($A181, 'KZ-normalized'!$A:$A, 0))-INDEX('KZ-normalized'!$E:$E, MATCH($A181, 'KZ-normalized'!$A:$A, 0))&gt;0, -(25*INDEX('KZ-normalized'!$D:$D, MATCH($A181, 'KZ-normalized'!$A:$A, 0))-INDEX('KZ-normalized'!$E:$E, MATCH($A181, 'KZ-normalized'!$A:$A, 0))), 0), 0))+(IFERROR(IF(25*INDEX('UZ-normalized'!$D:$D, MATCH($A181, 'UZ-normalized'!$A:$A, 0))-INDEX('UZ-normalized'!$E:$E, MATCH($A181, 'UZ-normalized'!$A:$A, 0))&gt;0, -(25*INDEX('UZ-normalized'!$D:$D, MATCH($A181, 'UZ-normalized'!$A:$A, 0))-INDEX('UZ-normalized'!$E:$E, MATCH($A181, 'UZ-normalized'!$A:$A, 0))), 0), 0)))</f>
        <v>0</v>
      </c>
      <c r="AN181" s="6">
        <f>MIN(0, N181+(IFERROR(IF(26*INDEX('UA-normalized'!$D:$D, MATCH($A181, 'UA-normalized'!$A:$A, 0))-INDEX('UA-normalized'!$E:$E, MATCH($A181, 'UA-normalized'!$A:$A, 0))&gt;0, -(26*INDEX('UA-normalized'!$D:$D, MATCH($A181, 'UA-normalized'!$A:$A, 0))-INDEX('UA-normalized'!$E:$E, MATCH($A181, 'UA-normalized'!$A:$A, 0))), 0), 0))+(IFERROR(IF(26*INDEX('KZ-normalized'!$D:$D, MATCH($A181, 'KZ-normalized'!$A:$A, 0))-INDEX('KZ-normalized'!$E:$E, MATCH($A181, 'KZ-normalized'!$A:$A, 0))&gt;0, -(26*INDEX('KZ-normalized'!$D:$D, MATCH($A181, 'KZ-normalized'!$A:$A, 0))-INDEX('KZ-normalized'!$E:$E, MATCH($A181, 'KZ-normalized'!$A:$A, 0))), 0), 0))+(IFERROR(IF(26*INDEX('UZ-normalized'!$D:$D, MATCH($A181, 'UZ-normalized'!$A:$A, 0))-INDEX('UZ-normalized'!$E:$E, MATCH($A181, 'UZ-normalized'!$A:$A, 0))&gt;0, -(26*INDEX('UZ-normalized'!$D:$D, MATCH($A181, 'UZ-normalized'!$A:$A, 0))-INDEX('UZ-normalized'!$E:$E, MATCH($A181, 'UZ-normalized'!$A:$A, 0))), 0), 0)))</f>
        <v>0</v>
      </c>
      <c r="AO181" s="6">
        <f>MIN(0, N181+(IFERROR(IF(27*INDEX('UA-normalized'!$D:$D, MATCH($A181, 'UA-normalized'!$A:$A, 0))-INDEX('UA-normalized'!$E:$E, MATCH($A181, 'UA-normalized'!$A:$A, 0))&gt;0, -(27*INDEX('UA-normalized'!$D:$D, MATCH($A181, 'UA-normalized'!$A:$A, 0))-INDEX('UA-normalized'!$E:$E, MATCH($A181, 'UA-normalized'!$A:$A, 0))), 0), 0))+(IFERROR(IF(27*INDEX('KZ-normalized'!$D:$D, MATCH($A181, 'KZ-normalized'!$A:$A, 0))-INDEX('KZ-normalized'!$E:$E, MATCH($A181, 'KZ-normalized'!$A:$A, 0))&gt;0, -(27*INDEX('KZ-normalized'!$D:$D, MATCH($A181, 'KZ-normalized'!$A:$A, 0))-INDEX('KZ-normalized'!$E:$E, MATCH($A181, 'KZ-normalized'!$A:$A, 0))), 0), 0))+(IFERROR(IF(27*INDEX('UZ-normalized'!$D:$D, MATCH($A181, 'UZ-normalized'!$A:$A, 0))-INDEX('UZ-normalized'!$E:$E, MATCH($A181, 'UZ-normalized'!$A:$A, 0))&gt;0, -(27*INDEX('UZ-normalized'!$D:$D, MATCH($A181, 'UZ-normalized'!$A:$A, 0))-INDEX('UZ-normalized'!$E:$E, MATCH($A181, 'UZ-normalized'!$A:$A, 0))), 0), 0)))</f>
        <v>0</v>
      </c>
      <c r="AP181" s="6">
        <f>MIN(0, N181+(IFERROR(IF(28*INDEX('UA-normalized'!$D:$D, MATCH($A181, 'UA-normalized'!$A:$A, 0))-INDEX('UA-normalized'!$E:$E, MATCH($A181, 'UA-normalized'!$A:$A, 0))&gt;0, -(28*INDEX('UA-normalized'!$D:$D, MATCH($A181, 'UA-normalized'!$A:$A, 0))-INDEX('UA-normalized'!$E:$E, MATCH($A181, 'UA-normalized'!$A:$A, 0))), 0), 0))+(IFERROR(IF(28*INDEX('KZ-normalized'!$D:$D, MATCH($A181, 'KZ-normalized'!$A:$A, 0))-INDEX('KZ-normalized'!$E:$E, MATCH($A181, 'KZ-normalized'!$A:$A, 0))&gt;0, -(28*INDEX('KZ-normalized'!$D:$D, MATCH($A181, 'KZ-normalized'!$A:$A, 0))-INDEX('KZ-normalized'!$E:$E, MATCH($A181, 'KZ-normalized'!$A:$A, 0))), 0), 0))+(IFERROR(IF(28*INDEX('UZ-normalized'!$D:$D, MATCH($A181, 'UZ-normalized'!$A:$A, 0))-INDEX('UZ-normalized'!$E:$E, MATCH($A181, 'UZ-normalized'!$A:$A, 0))&gt;0, -(28*INDEX('UZ-normalized'!$D:$D, MATCH($A181, 'UZ-normalized'!$A:$A, 0))-INDEX('UZ-normalized'!$E:$E, MATCH($A181, 'UZ-normalized'!$A:$A, 0))), 0), 0)))</f>
        <v>0</v>
      </c>
      <c r="AQ181" s="6">
        <f>MIN(0, N181+(IFERROR(IF(29*INDEX('UA-normalized'!$D:$D, MATCH($A181, 'UA-normalized'!$A:$A, 0))-INDEX('UA-normalized'!$E:$E, MATCH($A181, 'UA-normalized'!$A:$A, 0))&gt;0, -(29*INDEX('UA-normalized'!$D:$D, MATCH($A181, 'UA-normalized'!$A:$A, 0))-INDEX('UA-normalized'!$E:$E, MATCH($A181, 'UA-normalized'!$A:$A, 0))), 0), 0))+(IFERROR(IF(29*INDEX('KZ-normalized'!$D:$D, MATCH($A181, 'KZ-normalized'!$A:$A, 0))-INDEX('KZ-normalized'!$E:$E, MATCH($A181, 'KZ-normalized'!$A:$A, 0))&gt;0, -(29*INDEX('KZ-normalized'!$D:$D, MATCH($A181, 'KZ-normalized'!$A:$A, 0))-INDEX('KZ-normalized'!$E:$E, MATCH($A181, 'KZ-normalized'!$A:$A, 0))), 0), 0))+(IFERROR(IF(29*INDEX('UZ-normalized'!$D:$D, MATCH($A181, 'UZ-normalized'!$A:$A, 0))-INDEX('UZ-normalized'!$E:$E, MATCH($A181, 'UZ-normalized'!$A:$A, 0))&gt;0, -(29*INDEX('UZ-normalized'!$D:$D, MATCH($A181, 'UZ-normalized'!$A:$A, 0))-INDEX('UZ-normalized'!$E:$E, MATCH($A181, 'UZ-normalized'!$A:$A, 0))), 0), 0)))</f>
        <v>0</v>
      </c>
      <c r="AR181" s="6">
        <f>MIN(0, N181+(IFERROR(IF(30*INDEX('UA-normalized'!$D:$D, MATCH($A181, 'UA-normalized'!$A:$A, 0))-INDEX('UA-normalized'!$E:$E, MATCH($A181, 'UA-normalized'!$A:$A, 0))&gt;0, -(30*INDEX('UA-normalized'!$D:$D, MATCH($A181, 'UA-normalized'!$A:$A, 0))-INDEX('UA-normalized'!$E:$E, MATCH($A181, 'UA-normalized'!$A:$A, 0))), 0), 0))+(IFERROR(IF(30*INDEX('KZ-normalized'!$D:$D, MATCH($A181, 'KZ-normalized'!$A:$A, 0))-INDEX('KZ-normalized'!$E:$E, MATCH($A181, 'KZ-normalized'!$A:$A, 0))&gt;0, -(30*INDEX('KZ-normalized'!$D:$D, MATCH($A181, 'KZ-normalized'!$A:$A, 0))-INDEX('KZ-normalized'!$E:$E, MATCH($A181, 'KZ-normalized'!$A:$A, 0))), 0), 0))+(IFERROR(IF(30*INDEX('UZ-normalized'!$D:$D, MATCH($A181, 'UZ-normalized'!$A:$A, 0))-INDEX('UZ-normalized'!$E:$E, MATCH($A181, 'UZ-normalized'!$A:$A, 0))&gt;0, -(30*INDEX('UZ-normalized'!$D:$D, MATCH($A181, 'UZ-normalized'!$A:$A, 0))-INDEX('UZ-normalized'!$E:$E, MATCH($A181, 'UZ-normalized'!$A:$A, 0))), 0), 0)))</f>
        <v>0</v>
      </c>
    </row>
    <row r="182" spans="1:44" x14ac:dyDescent="0.25">
      <c r="A182" s="8" t="s">
        <v>436</v>
      </c>
      <c r="B182" s="8" t="s">
        <v>431</v>
      </c>
      <c r="C182" s="8" t="s">
        <v>432</v>
      </c>
      <c r="D182" s="8" t="s">
        <v>437</v>
      </c>
      <c r="E182">
        <v>600</v>
      </c>
      <c r="H182">
        <v>600</v>
      </c>
      <c r="N182">
        <f t="shared" si="2"/>
        <v>1200</v>
      </c>
      <c r="O182" s="6">
        <f>MIN(0, N182+(IFERROR(IF(1*INDEX('UA-normalized'!$D:$D, MATCH($A182, 'UA-normalized'!$A:$A, 0))-INDEX('UA-normalized'!$E:$E, MATCH($A182, 'UA-normalized'!$A:$A, 0))&gt;0, -(1*INDEX('UA-normalized'!$D:$D, MATCH($A182, 'UA-normalized'!$A:$A, 0))-INDEX('UA-normalized'!$E:$E, MATCH($A182, 'UA-normalized'!$A:$A, 0))), 0), 0))+(IFERROR(IF(1*INDEX('KZ-normalized'!$D:$D, MATCH($A182, 'KZ-normalized'!$A:$A, 0))-INDEX('KZ-normalized'!$E:$E, MATCH($A182, 'KZ-normalized'!$A:$A, 0))&gt;0, -(1*INDEX('KZ-normalized'!$D:$D, MATCH($A182, 'KZ-normalized'!$A:$A, 0))-INDEX('KZ-normalized'!$E:$E, MATCH($A182, 'KZ-normalized'!$A:$A, 0))), 0), 0))+(IFERROR(IF(1*INDEX('UZ-normalized'!$D:$D, MATCH($A182, 'UZ-normalized'!$A:$A, 0))-INDEX('UZ-normalized'!$E:$E, MATCH($A182, 'UZ-normalized'!$A:$A, 0))&gt;0, -(1*INDEX('UZ-normalized'!$D:$D, MATCH($A182, 'UZ-normalized'!$A:$A, 0))-INDEX('UZ-normalized'!$E:$E, MATCH($A182, 'UZ-normalized'!$A:$A, 0))), 0), 0)))</f>
        <v>0</v>
      </c>
      <c r="P182" s="6">
        <f>MIN(0, N182+(IFERROR(IF(2*INDEX('UA-normalized'!$D:$D, MATCH($A182, 'UA-normalized'!$A:$A, 0))-INDEX('UA-normalized'!$E:$E, MATCH($A182, 'UA-normalized'!$A:$A, 0))&gt;0, -(2*INDEX('UA-normalized'!$D:$D, MATCH($A182, 'UA-normalized'!$A:$A, 0))-INDEX('UA-normalized'!$E:$E, MATCH($A182, 'UA-normalized'!$A:$A, 0))), 0), 0))+(IFERROR(IF(2*INDEX('KZ-normalized'!$D:$D, MATCH($A182, 'KZ-normalized'!$A:$A, 0))-INDEX('KZ-normalized'!$E:$E, MATCH($A182, 'KZ-normalized'!$A:$A, 0))&gt;0, -(2*INDEX('KZ-normalized'!$D:$D, MATCH($A182, 'KZ-normalized'!$A:$A, 0))-INDEX('KZ-normalized'!$E:$E, MATCH($A182, 'KZ-normalized'!$A:$A, 0))), 0), 0))+(IFERROR(IF(2*INDEX('UZ-normalized'!$D:$D, MATCH($A182, 'UZ-normalized'!$A:$A, 0))-INDEX('UZ-normalized'!$E:$E, MATCH($A182, 'UZ-normalized'!$A:$A, 0))&gt;0, -(2*INDEX('UZ-normalized'!$D:$D, MATCH($A182, 'UZ-normalized'!$A:$A, 0))-INDEX('UZ-normalized'!$E:$E, MATCH($A182, 'UZ-normalized'!$A:$A, 0))), 0), 0)))</f>
        <v>0</v>
      </c>
      <c r="Q182" s="6">
        <f>MIN(0, N182+(IFERROR(IF(3*INDEX('UA-normalized'!$D:$D, MATCH($A182, 'UA-normalized'!$A:$A, 0))-INDEX('UA-normalized'!$E:$E, MATCH($A182, 'UA-normalized'!$A:$A, 0))&gt;0, -(3*INDEX('UA-normalized'!$D:$D, MATCH($A182, 'UA-normalized'!$A:$A, 0))-INDEX('UA-normalized'!$E:$E, MATCH($A182, 'UA-normalized'!$A:$A, 0))), 0), 0))+(IFERROR(IF(3*INDEX('KZ-normalized'!$D:$D, MATCH($A182, 'KZ-normalized'!$A:$A, 0))-INDEX('KZ-normalized'!$E:$E, MATCH($A182, 'KZ-normalized'!$A:$A, 0))&gt;0, -(3*INDEX('KZ-normalized'!$D:$D, MATCH($A182, 'KZ-normalized'!$A:$A, 0))-INDEX('KZ-normalized'!$E:$E, MATCH($A182, 'KZ-normalized'!$A:$A, 0))), 0), 0))+(IFERROR(IF(3*INDEX('UZ-normalized'!$D:$D, MATCH($A182, 'UZ-normalized'!$A:$A, 0))-INDEX('UZ-normalized'!$E:$E, MATCH($A182, 'UZ-normalized'!$A:$A, 0))&gt;0, -(3*INDEX('UZ-normalized'!$D:$D, MATCH($A182, 'UZ-normalized'!$A:$A, 0))-INDEX('UZ-normalized'!$E:$E, MATCH($A182, 'UZ-normalized'!$A:$A, 0))), 0), 0)))</f>
        <v>0</v>
      </c>
      <c r="R182" s="6">
        <f>MIN(0, N182+(IFERROR(IF(4*INDEX('UA-normalized'!$D:$D, MATCH($A182, 'UA-normalized'!$A:$A, 0))-INDEX('UA-normalized'!$E:$E, MATCH($A182, 'UA-normalized'!$A:$A, 0))&gt;0, -(4*INDEX('UA-normalized'!$D:$D, MATCH($A182, 'UA-normalized'!$A:$A, 0))-INDEX('UA-normalized'!$E:$E, MATCH($A182, 'UA-normalized'!$A:$A, 0))), 0), 0))+(IFERROR(IF(4*INDEX('KZ-normalized'!$D:$D, MATCH($A182, 'KZ-normalized'!$A:$A, 0))-INDEX('KZ-normalized'!$E:$E, MATCH($A182, 'KZ-normalized'!$A:$A, 0))&gt;0, -(4*INDEX('KZ-normalized'!$D:$D, MATCH($A182, 'KZ-normalized'!$A:$A, 0))-INDEX('KZ-normalized'!$E:$E, MATCH($A182, 'KZ-normalized'!$A:$A, 0))), 0), 0))+(IFERROR(IF(4*INDEX('UZ-normalized'!$D:$D, MATCH($A182, 'UZ-normalized'!$A:$A, 0))-INDEX('UZ-normalized'!$E:$E, MATCH($A182, 'UZ-normalized'!$A:$A, 0))&gt;0, -(4*INDEX('UZ-normalized'!$D:$D, MATCH($A182, 'UZ-normalized'!$A:$A, 0))-INDEX('UZ-normalized'!$E:$E, MATCH($A182, 'UZ-normalized'!$A:$A, 0))), 0), 0)))</f>
        <v>0</v>
      </c>
      <c r="S182" s="6">
        <f>MIN(0, N182+(IFERROR(IF(5*INDEX('UA-normalized'!$D:$D, MATCH($A182, 'UA-normalized'!$A:$A, 0))-INDEX('UA-normalized'!$E:$E, MATCH($A182, 'UA-normalized'!$A:$A, 0))&gt;0, -(5*INDEX('UA-normalized'!$D:$D, MATCH($A182, 'UA-normalized'!$A:$A, 0))-INDEX('UA-normalized'!$E:$E, MATCH($A182, 'UA-normalized'!$A:$A, 0))), 0), 0))+(IFERROR(IF(5*INDEX('KZ-normalized'!$D:$D, MATCH($A182, 'KZ-normalized'!$A:$A, 0))-INDEX('KZ-normalized'!$E:$E, MATCH($A182, 'KZ-normalized'!$A:$A, 0))&gt;0, -(5*INDEX('KZ-normalized'!$D:$D, MATCH($A182, 'KZ-normalized'!$A:$A, 0))-INDEX('KZ-normalized'!$E:$E, MATCH($A182, 'KZ-normalized'!$A:$A, 0))), 0), 0))+(IFERROR(IF(5*INDEX('UZ-normalized'!$D:$D, MATCH($A182, 'UZ-normalized'!$A:$A, 0))-INDEX('UZ-normalized'!$E:$E, MATCH($A182, 'UZ-normalized'!$A:$A, 0))&gt;0, -(5*INDEX('UZ-normalized'!$D:$D, MATCH($A182, 'UZ-normalized'!$A:$A, 0))-INDEX('UZ-normalized'!$E:$E, MATCH($A182, 'UZ-normalized'!$A:$A, 0))), 0), 0)))</f>
        <v>0</v>
      </c>
      <c r="T182" s="6">
        <f>MIN(0, N182+(IFERROR(IF(6*INDEX('UA-normalized'!$D:$D, MATCH($A182, 'UA-normalized'!$A:$A, 0))-INDEX('UA-normalized'!$E:$E, MATCH($A182, 'UA-normalized'!$A:$A, 0))&gt;0, -(6*INDEX('UA-normalized'!$D:$D, MATCH($A182, 'UA-normalized'!$A:$A, 0))-INDEX('UA-normalized'!$E:$E, MATCH($A182, 'UA-normalized'!$A:$A, 0))), 0), 0))+(IFERROR(IF(6*INDEX('KZ-normalized'!$D:$D, MATCH($A182, 'KZ-normalized'!$A:$A, 0))-INDEX('KZ-normalized'!$E:$E, MATCH($A182, 'KZ-normalized'!$A:$A, 0))&gt;0, -(6*INDEX('KZ-normalized'!$D:$D, MATCH($A182, 'KZ-normalized'!$A:$A, 0))-INDEX('KZ-normalized'!$E:$E, MATCH($A182, 'KZ-normalized'!$A:$A, 0))), 0), 0))+(IFERROR(IF(6*INDEX('UZ-normalized'!$D:$D, MATCH($A182, 'UZ-normalized'!$A:$A, 0))-INDEX('UZ-normalized'!$E:$E, MATCH($A182, 'UZ-normalized'!$A:$A, 0))&gt;0, -(6*INDEX('UZ-normalized'!$D:$D, MATCH($A182, 'UZ-normalized'!$A:$A, 0))-INDEX('UZ-normalized'!$E:$E, MATCH($A182, 'UZ-normalized'!$A:$A, 0))), 0), 0)))</f>
        <v>0</v>
      </c>
      <c r="U182" s="6">
        <f>MIN(0, N182+(IFERROR(IF(7*INDEX('UA-normalized'!$D:$D, MATCH($A182, 'UA-normalized'!$A:$A, 0))-INDEX('UA-normalized'!$E:$E, MATCH($A182, 'UA-normalized'!$A:$A, 0))&gt;0, -(7*INDEX('UA-normalized'!$D:$D, MATCH($A182, 'UA-normalized'!$A:$A, 0))-INDEX('UA-normalized'!$E:$E, MATCH($A182, 'UA-normalized'!$A:$A, 0))), 0), 0))+(IFERROR(IF(7*INDEX('KZ-normalized'!$D:$D, MATCH($A182, 'KZ-normalized'!$A:$A, 0))-INDEX('KZ-normalized'!$E:$E, MATCH($A182, 'KZ-normalized'!$A:$A, 0))&gt;0, -(7*INDEX('KZ-normalized'!$D:$D, MATCH($A182, 'KZ-normalized'!$A:$A, 0))-INDEX('KZ-normalized'!$E:$E, MATCH($A182, 'KZ-normalized'!$A:$A, 0))), 0), 0))+(IFERROR(IF(7*INDEX('UZ-normalized'!$D:$D, MATCH($A182, 'UZ-normalized'!$A:$A, 0))-INDEX('UZ-normalized'!$E:$E, MATCH($A182, 'UZ-normalized'!$A:$A, 0))&gt;0, -(7*INDEX('UZ-normalized'!$D:$D, MATCH($A182, 'UZ-normalized'!$A:$A, 0))-INDEX('UZ-normalized'!$E:$E, MATCH($A182, 'UZ-normalized'!$A:$A, 0))), 0), 0)))</f>
        <v>0</v>
      </c>
      <c r="V182" s="6">
        <f>MIN(0, N182+(IFERROR(IF(8*INDEX('UA-normalized'!$D:$D, MATCH($A182, 'UA-normalized'!$A:$A, 0))-INDEX('UA-normalized'!$E:$E, MATCH($A182, 'UA-normalized'!$A:$A, 0))&gt;0, -(8*INDEX('UA-normalized'!$D:$D, MATCH($A182, 'UA-normalized'!$A:$A, 0))-INDEX('UA-normalized'!$E:$E, MATCH($A182, 'UA-normalized'!$A:$A, 0))), 0), 0))+(IFERROR(IF(8*INDEX('KZ-normalized'!$D:$D, MATCH($A182, 'KZ-normalized'!$A:$A, 0))-INDEX('KZ-normalized'!$E:$E, MATCH($A182, 'KZ-normalized'!$A:$A, 0))&gt;0, -(8*INDEX('KZ-normalized'!$D:$D, MATCH($A182, 'KZ-normalized'!$A:$A, 0))-INDEX('KZ-normalized'!$E:$E, MATCH($A182, 'KZ-normalized'!$A:$A, 0))), 0), 0))+(IFERROR(IF(8*INDEX('UZ-normalized'!$D:$D, MATCH($A182, 'UZ-normalized'!$A:$A, 0))-INDEX('UZ-normalized'!$E:$E, MATCH($A182, 'UZ-normalized'!$A:$A, 0))&gt;0, -(8*INDEX('UZ-normalized'!$D:$D, MATCH($A182, 'UZ-normalized'!$A:$A, 0))-INDEX('UZ-normalized'!$E:$E, MATCH($A182, 'UZ-normalized'!$A:$A, 0))), 0), 0)))</f>
        <v>0</v>
      </c>
      <c r="W182" s="6">
        <f>MIN(0, N182+(IFERROR(IF(9*INDEX('UA-normalized'!$D:$D, MATCH($A182, 'UA-normalized'!$A:$A, 0))-INDEX('UA-normalized'!$E:$E, MATCH($A182, 'UA-normalized'!$A:$A, 0))&gt;0, -(9*INDEX('UA-normalized'!$D:$D, MATCH($A182, 'UA-normalized'!$A:$A, 0))-INDEX('UA-normalized'!$E:$E, MATCH($A182, 'UA-normalized'!$A:$A, 0))), 0), 0))+(IFERROR(IF(9*INDEX('KZ-normalized'!$D:$D, MATCH($A182, 'KZ-normalized'!$A:$A, 0))-INDEX('KZ-normalized'!$E:$E, MATCH($A182, 'KZ-normalized'!$A:$A, 0))&gt;0, -(9*INDEX('KZ-normalized'!$D:$D, MATCH($A182, 'KZ-normalized'!$A:$A, 0))-INDEX('KZ-normalized'!$E:$E, MATCH($A182, 'KZ-normalized'!$A:$A, 0))), 0), 0))+(IFERROR(IF(9*INDEX('UZ-normalized'!$D:$D, MATCH($A182, 'UZ-normalized'!$A:$A, 0))-INDEX('UZ-normalized'!$E:$E, MATCH($A182, 'UZ-normalized'!$A:$A, 0))&gt;0, -(9*INDEX('UZ-normalized'!$D:$D, MATCH($A182, 'UZ-normalized'!$A:$A, 0))-INDEX('UZ-normalized'!$E:$E, MATCH($A182, 'UZ-normalized'!$A:$A, 0))), 0), 0)))</f>
        <v>0</v>
      </c>
      <c r="X182" s="6">
        <f>MIN(0, N182+(IFERROR(IF(10*INDEX('UA-normalized'!$D:$D, MATCH($A182, 'UA-normalized'!$A:$A, 0))-INDEX('UA-normalized'!$E:$E, MATCH($A182, 'UA-normalized'!$A:$A, 0))&gt;0, -(10*INDEX('UA-normalized'!$D:$D, MATCH($A182, 'UA-normalized'!$A:$A, 0))-INDEX('UA-normalized'!$E:$E, MATCH($A182, 'UA-normalized'!$A:$A, 0))), 0), 0))+(IFERROR(IF(10*INDEX('KZ-normalized'!$D:$D, MATCH($A182, 'KZ-normalized'!$A:$A, 0))-INDEX('KZ-normalized'!$E:$E, MATCH($A182, 'KZ-normalized'!$A:$A, 0))&gt;0, -(10*INDEX('KZ-normalized'!$D:$D, MATCH($A182, 'KZ-normalized'!$A:$A, 0))-INDEX('KZ-normalized'!$E:$E, MATCH($A182, 'KZ-normalized'!$A:$A, 0))), 0), 0))+(IFERROR(IF(10*INDEX('UZ-normalized'!$D:$D, MATCH($A182, 'UZ-normalized'!$A:$A, 0))-INDEX('UZ-normalized'!$E:$E, MATCH($A182, 'UZ-normalized'!$A:$A, 0))&gt;0, -(10*INDEX('UZ-normalized'!$D:$D, MATCH($A182, 'UZ-normalized'!$A:$A, 0))-INDEX('UZ-normalized'!$E:$E, MATCH($A182, 'UZ-normalized'!$A:$A, 0))), 0), 0)))</f>
        <v>0</v>
      </c>
      <c r="Y182" s="6">
        <f>MIN(0, N182+(IFERROR(IF(11*INDEX('UA-normalized'!$D:$D, MATCH($A182, 'UA-normalized'!$A:$A, 0))-INDEX('UA-normalized'!$E:$E, MATCH($A182, 'UA-normalized'!$A:$A, 0))&gt;0, -(11*INDEX('UA-normalized'!$D:$D, MATCH($A182, 'UA-normalized'!$A:$A, 0))-INDEX('UA-normalized'!$E:$E, MATCH($A182, 'UA-normalized'!$A:$A, 0))), 0), 0))+(IFERROR(IF(11*INDEX('KZ-normalized'!$D:$D, MATCH($A182, 'KZ-normalized'!$A:$A, 0))-INDEX('KZ-normalized'!$E:$E, MATCH($A182, 'KZ-normalized'!$A:$A, 0))&gt;0, -(11*INDEX('KZ-normalized'!$D:$D, MATCH($A182, 'KZ-normalized'!$A:$A, 0))-INDEX('KZ-normalized'!$E:$E, MATCH($A182, 'KZ-normalized'!$A:$A, 0))), 0), 0))+(IFERROR(IF(11*INDEX('UZ-normalized'!$D:$D, MATCH($A182, 'UZ-normalized'!$A:$A, 0))-INDEX('UZ-normalized'!$E:$E, MATCH($A182, 'UZ-normalized'!$A:$A, 0))&gt;0, -(11*INDEX('UZ-normalized'!$D:$D, MATCH($A182, 'UZ-normalized'!$A:$A, 0))-INDEX('UZ-normalized'!$E:$E, MATCH($A182, 'UZ-normalized'!$A:$A, 0))), 0), 0)))</f>
        <v>0</v>
      </c>
      <c r="Z182" s="6">
        <f>MIN(0, N182+(IFERROR(IF(12*INDEX('UA-normalized'!$D:$D, MATCH($A182, 'UA-normalized'!$A:$A, 0))-INDEX('UA-normalized'!$E:$E, MATCH($A182, 'UA-normalized'!$A:$A, 0))&gt;0, -(12*INDEX('UA-normalized'!$D:$D, MATCH($A182, 'UA-normalized'!$A:$A, 0))-INDEX('UA-normalized'!$E:$E, MATCH($A182, 'UA-normalized'!$A:$A, 0))), 0), 0))+(IFERROR(IF(12*INDEX('KZ-normalized'!$D:$D, MATCH($A182, 'KZ-normalized'!$A:$A, 0))-INDEX('KZ-normalized'!$E:$E, MATCH($A182, 'KZ-normalized'!$A:$A, 0))&gt;0, -(12*INDEX('KZ-normalized'!$D:$D, MATCH($A182, 'KZ-normalized'!$A:$A, 0))-INDEX('KZ-normalized'!$E:$E, MATCH($A182, 'KZ-normalized'!$A:$A, 0))), 0), 0))+(IFERROR(IF(12*INDEX('UZ-normalized'!$D:$D, MATCH($A182, 'UZ-normalized'!$A:$A, 0))-INDEX('UZ-normalized'!$E:$E, MATCH($A182, 'UZ-normalized'!$A:$A, 0))&gt;0, -(12*INDEX('UZ-normalized'!$D:$D, MATCH($A182, 'UZ-normalized'!$A:$A, 0))-INDEX('UZ-normalized'!$E:$E, MATCH($A182, 'UZ-normalized'!$A:$A, 0))), 0), 0)))</f>
        <v>0</v>
      </c>
      <c r="AA182" s="6">
        <f>MIN(0, N182+(IFERROR(IF(13*INDEX('UA-normalized'!$D:$D, MATCH($A182, 'UA-normalized'!$A:$A, 0))-INDEX('UA-normalized'!$E:$E, MATCH($A182, 'UA-normalized'!$A:$A, 0))&gt;0, -(13*INDEX('UA-normalized'!$D:$D, MATCH($A182, 'UA-normalized'!$A:$A, 0))-INDEX('UA-normalized'!$E:$E, MATCH($A182, 'UA-normalized'!$A:$A, 0))), 0), 0))+(IFERROR(IF(13*INDEX('KZ-normalized'!$D:$D, MATCH($A182, 'KZ-normalized'!$A:$A, 0))-INDEX('KZ-normalized'!$E:$E, MATCH($A182, 'KZ-normalized'!$A:$A, 0))&gt;0, -(13*INDEX('KZ-normalized'!$D:$D, MATCH($A182, 'KZ-normalized'!$A:$A, 0))-INDEX('KZ-normalized'!$E:$E, MATCH($A182, 'KZ-normalized'!$A:$A, 0))), 0), 0))+(IFERROR(IF(13*INDEX('UZ-normalized'!$D:$D, MATCH($A182, 'UZ-normalized'!$A:$A, 0))-INDEX('UZ-normalized'!$E:$E, MATCH($A182, 'UZ-normalized'!$A:$A, 0))&gt;0, -(13*INDEX('UZ-normalized'!$D:$D, MATCH($A182, 'UZ-normalized'!$A:$A, 0))-INDEX('UZ-normalized'!$E:$E, MATCH($A182, 'UZ-normalized'!$A:$A, 0))), 0), 0)))</f>
        <v>0</v>
      </c>
      <c r="AB182" s="6">
        <f>MIN(0, N182+(IFERROR(IF(14*INDEX('UA-normalized'!$D:$D, MATCH($A182, 'UA-normalized'!$A:$A, 0))-INDEX('UA-normalized'!$E:$E, MATCH($A182, 'UA-normalized'!$A:$A, 0))&gt;0, -(14*INDEX('UA-normalized'!$D:$D, MATCH($A182, 'UA-normalized'!$A:$A, 0))-INDEX('UA-normalized'!$E:$E, MATCH($A182, 'UA-normalized'!$A:$A, 0))), 0), 0))+(IFERROR(IF(14*INDEX('KZ-normalized'!$D:$D, MATCH($A182, 'KZ-normalized'!$A:$A, 0))-INDEX('KZ-normalized'!$E:$E, MATCH($A182, 'KZ-normalized'!$A:$A, 0))&gt;0, -(14*INDEX('KZ-normalized'!$D:$D, MATCH($A182, 'KZ-normalized'!$A:$A, 0))-INDEX('KZ-normalized'!$E:$E, MATCH($A182, 'KZ-normalized'!$A:$A, 0))), 0), 0))+(IFERROR(IF(14*INDEX('UZ-normalized'!$D:$D, MATCH($A182, 'UZ-normalized'!$A:$A, 0))-INDEX('UZ-normalized'!$E:$E, MATCH($A182, 'UZ-normalized'!$A:$A, 0))&gt;0, -(14*INDEX('UZ-normalized'!$D:$D, MATCH($A182, 'UZ-normalized'!$A:$A, 0))-INDEX('UZ-normalized'!$E:$E, MATCH($A182, 'UZ-normalized'!$A:$A, 0))), 0), 0)))</f>
        <v>0</v>
      </c>
      <c r="AC182" s="6">
        <f>MIN(0, N182+(IFERROR(IF(15*INDEX('UA-normalized'!$D:$D, MATCH($A182, 'UA-normalized'!$A:$A, 0))-INDEX('UA-normalized'!$E:$E, MATCH($A182, 'UA-normalized'!$A:$A, 0))&gt;0, -(15*INDEX('UA-normalized'!$D:$D, MATCH($A182, 'UA-normalized'!$A:$A, 0))-INDEX('UA-normalized'!$E:$E, MATCH($A182, 'UA-normalized'!$A:$A, 0))), 0), 0))+(IFERROR(IF(15*INDEX('KZ-normalized'!$D:$D, MATCH($A182, 'KZ-normalized'!$A:$A, 0))-INDEX('KZ-normalized'!$E:$E, MATCH($A182, 'KZ-normalized'!$A:$A, 0))&gt;0, -(15*INDEX('KZ-normalized'!$D:$D, MATCH($A182, 'KZ-normalized'!$A:$A, 0))-INDEX('KZ-normalized'!$E:$E, MATCH($A182, 'KZ-normalized'!$A:$A, 0))), 0), 0))+(IFERROR(IF(15*INDEX('UZ-normalized'!$D:$D, MATCH($A182, 'UZ-normalized'!$A:$A, 0))-INDEX('UZ-normalized'!$E:$E, MATCH($A182, 'UZ-normalized'!$A:$A, 0))&gt;0, -(15*INDEX('UZ-normalized'!$D:$D, MATCH($A182, 'UZ-normalized'!$A:$A, 0))-INDEX('UZ-normalized'!$E:$E, MATCH($A182, 'UZ-normalized'!$A:$A, 0))), 0), 0)))</f>
        <v>0</v>
      </c>
      <c r="AD182" s="6">
        <f>MIN(0, N182+(IFERROR(IF(16*INDEX('UA-normalized'!$D:$D, MATCH($A182, 'UA-normalized'!$A:$A, 0))-INDEX('UA-normalized'!$E:$E, MATCH($A182, 'UA-normalized'!$A:$A, 0))&gt;0, -(16*INDEX('UA-normalized'!$D:$D, MATCH($A182, 'UA-normalized'!$A:$A, 0))-INDEX('UA-normalized'!$E:$E, MATCH($A182, 'UA-normalized'!$A:$A, 0))), 0), 0))+(IFERROR(IF(16*INDEX('KZ-normalized'!$D:$D, MATCH($A182, 'KZ-normalized'!$A:$A, 0))-INDEX('KZ-normalized'!$E:$E, MATCH($A182, 'KZ-normalized'!$A:$A, 0))&gt;0, -(16*INDEX('KZ-normalized'!$D:$D, MATCH($A182, 'KZ-normalized'!$A:$A, 0))-INDEX('KZ-normalized'!$E:$E, MATCH($A182, 'KZ-normalized'!$A:$A, 0))), 0), 0))+(IFERROR(IF(16*INDEX('UZ-normalized'!$D:$D, MATCH($A182, 'UZ-normalized'!$A:$A, 0))-INDEX('UZ-normalized'!$E:$E, MATCH($A182, 'UZ-normalized'!$A:$A, 0))&gt;0, -(16*INDEX('UZ-normalized'!$D:$D, MATCH($A182, 'UZ-normalized'!$A:$A, 0))-INDEX('UZ-normalized'!$E:$E, MATCH($A182, 'UZ-normalized'!$A:$A, 0))), 0), 0)))</f>
        <v>0</v>
      </c>
      <c r="AE182" s="6">
        <f>MIN(0, N182+(IFERROR(IF(17*INDEX('UA-normalized'!$D:$D, MATCH($A182, 'UA-normalized'!$A:$A, 0))-INDEX('UA-normalized'!$E:$E, MATCH($A182, 'UA-normalized'!$A:$A, 0))&gt;0, -(17*INDEX('UA-normalized'!$D:$D, MATCH($A182, 'UA-normalized'!$A:$A, 0))-INDEX('UA-normalized'!$E:$E, MATCH($A182, 'UA-normalized'!$A:$A, 0))), 0), 0))+(IFERROR(IF(17*INDEX('KZ-normalized'!$D:$D, MATCH($A182, 'KZ-normalized'!$A:$A, 0))-INDEX('KZ-normalized'!$E:$E, MATCH($A182, 'KZ-normalized'!$A:$A, 0))&gt;0, -(17*INDEX('KZ-normalized'!$D:$D, MATCH($A182, 'KZ-normalized'!$A:$A, 0))-INDEX('KZ-normalized'!$E:$E, MATCH($A182, 'KZ-normalized'!$A:$A, 0))), 0), 0))+(IFERROR(IF(17*INDEX('UZ-normalized'!$D:$D, MATCH($A182, 'UZ-normalized'!$A:$A, 0))-INDEX('UZ-normalized'!$E:$E, MATCH($A182, 'UZ-normalized'!$A:$A, 0))&gt;0, -(17*INDEX('UZ-normalized'!$D:$D, MATCH($A182, 'UZ-normalized'!$A:$A, 0))-INDEX('UZ-normalized'!$E:$E, MATCH($A182, 'UZ-normalized'!$A:$A, 0))), 0), 0)))</f>
        <v>0</v>
      </c>
      <c r="AF182" s="6">
        <f>MIN(0, N182+(IFERROR(IF(18*INDEX('UA-normalized'!$D:$D, MATCH($A182, 'UA-normalized'!$A:$A, 0))-INDEX('UA-normalized'!$E:$E, MATCH($A182, 'UA-normalized'!$A:$A, 0))&gt;0, -(18*INDEX('UA-normalized'!$D:$D, MATCH($A182, 'UA-normalized'!$A:$A, 0))-INDEX('UA-normalized'!$E:$E, MATCH($A182, 'UA-normalized'!$A:$A, 0))), 0), 0))+(IFERROR(IF(18*INDEX('KZ-normalized'!$D:$D, MATCH($A182, 'KZ-normalized'!$A:$A, 0))-INDEX('KZ-normalized'!$E:$E, MATCH($A182, 'KZ-normalized'!$A:$A, 0))&gt;0, -(18*INDEX('KZ-normalized'!$D:$D, MATCH($A182, 'KZ-normalized'!$A:$A, 0))-INDEX('KZ-normalized'!$E:$E, MATCH($A182, 'KZ-normalized'!$A:$A, 0))), 0), 0))+(IFERROR(IF(18*INDEX('UZ-normalized'!$D:$D, MATCH($A182, 'UZ-normalized'!$A:$A, 0))-INDEX('UZ-normalized'!$E:$E, MATCH($A182, 'UZ-normalized'!$A:$A, 0))&gt;0, -(18*INDEX('UZ-normalized'!$D:$D, MATCH($A182, 'UZ-normalized'!$A:$A, 0))-INDEX('UZ-normalized'!$E:$E, MATCH($A182, 'UZ-normalized'!$A:$A, 0))), 0), 0)))</f>
        <v>0</v>
      </c>
      <c r="AG182" s="6">
        <f>MIN(0, N182+(IFERROR(IF(19*INDEX('UA-normalized'!$D:$D, MATCH($A182, 'UA-normalized'!$A:$A, 0))-INDEX('UA-normalized'!$E:$E, MATCH($A182, 'UA-normalized'!$A:$A, 0))&gt;0, -(19*INDEX('UA-normalized'!$D:$D, MATCH($A182, 'UA-normalized'!$A:$A, 0))-INDEX('UA-normalized'!$E:$E, MATCH($A182, 'UA-normalized'!$A:$A, 0))), 0), 0))+(IFERROR(IF(19*INDEX('KZ-normalized'!$D:$D, MATCH($A182, 'KZ-normalized'!$A:$A, 0))-INDEX('KZ-normalized'!$E:$E, MATCH($A182, 'KZ-normalized'!$A:$A, 0))&gt;0, -(19*INDEX('KZ-normalized'!$D:$D, MATCH($A182, 'KZ-normalized'!$A:$A, 0))-INDEX('KZ-normalized'!$E:$E, MATCH($A182, 'KZ-normalized'!$A:$A, 0))), 0), 0))+(IFERROR(IF(19*INDEX('UZ-normalized'!$D:$D, MATCH($A182, 'UZ-normalized'!$A:$A, 0))-INDEX('UZ-normalized'!$E:$E, MATCH($A182, 'UZ-normalized'!$A:$A, 0))&gt;0, -(19*INDEX('UZ-normalized'!$D:$D, MATCH($A182, 'UZ-normalized'!$A:$A, 0))-INDEX('UZ-normalized'!$E:$E, MATCH($A182, 'UZ-normalized'!$A:$A, 0))), 0), 0)))</f>
        <v>0</v>
      </c>
      <c r="AH182" s="6">
        <f>MIN(0, N182+(IFERROR(IF(20*INDEX('UA-normalized'!$D:$D, MATCH($A182, 'UA-normalized'!$A:$A, 0))-INDEX('UA-normalized'!$E:$E, MATCH($A182, 'UA-normalized'!$A:$A, 0))&gt;0, -(20*INDEX('UA-normalized'!$D:$D, MATCH($A182, 'UA-normalized'!$A:$A, 0))-INDEX('UA-normalized'!$E:$E, MATCH($A182, 'UA-normalized'!$A:$A, 0))), 0), 0))+(IFERROR(IF(20*INDEX('KZ-normalized'!$D:$D, MATCH($A182, 'KZ-normalized'!$A:$A, 0))-INDEX('KZ-normalized'!$E:$E, MATCH($A182, 'KZ-normalized'!$A:$A, 0))&gt;0, -(20*INDEX('KZ-normalized'!$D:$D, MATCH($A182, 'KZ-normalized'!$A:$A, 0))-INDEX('KZ-normalized'!$E:$E, MATCH($A182, 'KZ-normalized'!$A:$A, 0))), 0), 0))+(IFERROR(IF(20*INDEX('UZ-normalized'!$D:$D, MATCH($A182, 'UZ-normalized'!$A:$A, 0))-INDEX('UZ-normalized'!$E:$E, MATCH($A182, 'UZ-normalized'!$A:$A, 0))&gt;0, -(20*INDEX('UZ-normalized'!$D:$D, MATCH($A182, 'UZ-normalized'!$A:$A, 0))-INDEX('UZ-normalized'!$E:$E, MATCH($A182, 'UZ-normalized'!$A:$A, 0))), 0), 0)))</f>
        <v>0</v>
      </c>
      <c r="AI182" s="6">
        <f>MIN(0, N182+(IFERROR(IF(21*INDEX('UA-normalized'!$D:$D, MATCH($A182, 'UA-normalized'!$A:$A, 0))-INDEX('UA-normalized'!$E:$E, MATCH($A182, 'UA-normalized'!$A:$A, 0))&gt;0, -(21*INDEX('UA-normalized'!$D:$D, MATCH($A182, 'UA-normalized'!$A:$A, 0))-INDEX('UA-normalized'!$E:$E, MATCH($A182, 'UA-normalized'!$A:$A, 0))), 0), 0))+(IFERROR(IF(21*INDEX('KZ-normalized'!$D:$D, MATCH($A182, 'KZ-normalized'!$A:$A, 0))-INDEX('KZ-normalized'!$E:$E, MATCH($A182, 'KZ-normalized'!$A:$A, 0))&gt;0, -(21*INDEX('KZ-normalized'!$D:$D, MATCH($A182, 'KZ-normalized'!$A:$A, 0))-INDEX('KZ-normalized'!$E:$E, MATCH($A182, 'KZ-normalized'!$A:$A, 0))), 0), 0))+(IFERROR(IF(21*INDEX('UZ-normalized'!$D:$D, MATCH($A182, 'UZ-normalized'!$A:$A, 0))-INDEX('UZ-normalized'!$E:$E, MATCH($A182, 'UZ-normalized'!$A:$A, 0))&gt;0, -(21*INDEX('UZ-normalized'!$D:$D, MATCH($A182, 'UZ-normalized'!$A:$A, 0))-INDEX('UZ-normalized'!$E:$E, MATCH($A182, 'UZ-normalized'!$A:$A, 0))), 0), 0)))</f>
        <v>0</v>
      </c>
      <c r="AJ182" s="6">
        <f>MIN(0, N182+(IFERROR(IF(22*INDEX('UA-normalized'!$D:$D, MATCH($A182, 'UA-normalized'!$A:$A, 0))-INDEX('UA-normalized'!$E:$E, MATCH($A182, 'UA-normalized'!$A:$A, 0))&gt;0, -(22*INDEX('UA-normalized'!$D:$D, MATCH($A182, 'UA-normalized'!$A:$A, 0))-INDEX('UA-normalized'!$E:$E, MATCH($A182, 'UA-normalized'!$A:$A, 0))), 0), 0))+(IFERROR(IF(22*INDEX('KZ-normalized'!$D:$D, MATCH($A182, 'KZ-normalized'!$A:$A, 0))-INDEX('KZ-normalized'!$E:$E, MATCH($A182, 'KZ-normalized'!$A:$A, 0))&gt;0, -(22*INDEX('KZ-normalized'!$D:$D, MATCH($A182, 'KZ-normalized'!$A:$A, 0))-INDEX('KZ-normalized'!$E:$E, MATCH($A182, 'KZ-normalized'!$A:$A, 0))), 0), 0))+(IFERROR(IF(22*INDEX('UZ-normalized'!$D:$D, MATCH($A182, 'UZ-normalized'!$A:$A, 0))-INDEX('UZ-normalized'!$E:$E, MATCH($A182, 'UZ-normalized'!$A:$A, 0))&gt;0, -(22*INDEX('UZ-normalized'!$D:$D, MATCH($A182, 'UZ-normalized'!$A:$A, 0))-INDEX('UZ-normalized'!$E:$E, MATCH($A182, 'UZ-normalized'!$A:$A, 0))), 0), 0)))</f>
        <v>0</v>
      </c>
      <c r="AK182" s="6">
        <f>MIN(0, N182+(IFERROR(IF(23*INDEX('UA-normalized'!$D:$D, MATCH($A182, 'UA-normalized'!$A:$A, 0))-INDEX('UA-normalized'!$E:$E, MATCH($A182, 'UA-normalized'!$A:$A, 0))&gt;0, -(23*INDEX('UA-normalized'!$D:$D, MATCH($A182, 'UA-normalized'!$A:$A, 0))-INDEX('UA-normalized'!$E:$E, MATCH($A182, 'UA-normalized'!$A:$A, 0))), 0), 0))+(IFERROR(IF(23*INDEX('KZ-normalized'!$D:$D, MATCH($A182, 'KZ-normalized'!$A:$A, 0))-INDEX('KZ-normalized'!$E:$E, MATCH($A182, 'KZ-normalized'!$A:$A, 0))&gt;0, -(23*INDEX('KZ-normalized'!$D:$D, MATCH($A182, 'KZ-normalized'!$A:$A, 0))-INDEX('KZ-normalized'!$E:$E, MATCH($A182, 'KZ-normalized'!$A:$A, 0))), 0), 0))+(IFERROR(IF(23*INDEX('UZ-normalized'!$D:$D, MATCH($A182, 'UZ-normalized'!$A:$A, 0))-INDEX('UZ-normalized'!$E:$E, MATCH($A182, 'UZ-normalized'!$A:$A, 0))&gt;0, -(23*INDEX('UZ-normalized'!$D:$D, MATCH($A182, 'UZ-normalized'!$A:$A, 0))-INDEX('UZ-normalized'!$E:$E, MATCH($A182, 'UZ-normalized'!$A:$A, 0))), 0), 0)))</f>
        <v>0</v>
      </c>
      <c r="AL182" s="6">
        <f>MIN(0, N182+(IFERROR(IF(24*INDEX('UA-normalized'!$D:$D, MATCH($A182, 'UA-normalized'!$A:$A, 0))-INDEX('UA-normalized'!$E:$E, MATCH($A182, 'UA-normalized'!$A:$A, 0))&gt;0, -(24*INDEX('UA-normalized'!$D:$D, MATCH($A182, 'UA-normalized'!$A:$A, 0))-INDEX('UA-normalized'!$E:$E, MATCH($A182, 'UA-normalized'!$A:$A, 0))), 0), 0))+(IFERROR(IF(24*INDEX('KZ-normalized'!$D:$D, MATCH($A182, 'KZ-normalized'!$A:$A, 0))-INDEX('KZ-normalized'!$E:$E, MATCH($A182, 'KZ-normalized'!$A:$A, 0))&gt;0, -(24*INDEX('KZ-normalized'!$D:$D, MATCH($A182, 'KZ-normalized'!$A:$A, 0))-INDEX('KZ-normalized'!$E:$E, MATCH($A182, 'KZ-normalized'!$A:$A, 0))), 0), 0))+(IFERROR(IF(24*INDEX('UZ-normalized'!$D:$D, MATCH($A182, 'UZ-normalized'!$A:$A, 0))-INDEX('UZ-normalized'!$E:$E, MATCH($A182, 'UZ-normalized'!$A:$A, 0))&gt;0, -(24*INDEX('UZ-normalized'!$D:$D, MATCH($A182, 'UZ-normalized'!$A:$A, 0))-INDEX('UZ-normalized'!$E:$E, MATCH($A182, 'UZ-normalized'!$A:$A, 0))), 0), 0)))</f>
        <v>0</v>
      </c>
      <c r="AM182" s="6">
        <f>MIN(0, N182+(IFERROR(IF(25*INDEX('UA-normalized'!$D:$D, MATCH($A182, 'UA-normalized'!$A:$A, 0))-INDEX('UA-normalized'!$E:$E, MATCH($A182, 'UA-normalized'!$A:$A, 0))&gt;0, -(25*INDEX('UA-normalized'!$D:$D, MATCH($A182, 'UA-normalized'!$A:$A, 0))-INDEX('UA-normalized'!$E:$E, MATCH($A182, 'UA-normalized'!$A:$A, 0))), 0), 0))+(IFERROR(IF(25*INDEX('KZ-normalized'!$D:$D, MATCH($A182, 'KZ-normalized'!$A:$A, 0))-INDEX('KZ-normalized'!$E:$E, MATCH($A182, 'KZ-normalized'!$A:$A, 0))&gt;0, -(25*INDEX('KZ-normalized'!$D:$D, MATCH($A182, 'KZ-normalized'!$A:$A, 0))-INDEX('KZ-normalized'!$E:$E, MATCH($A182, 'KZ-normalized'!$A:$A, 0))), 0), 0))+(IFERROR(IF(25*INDEX('UZ-normalized'!$D:$D, MATCH($A182, 'UZ-normalized'!$A:$A, 0))-INDEX('UZ-normalized'!$E:$E, MATCH($A182, 'UZ-normalized'!$A:$A, 0))&gt;0, -(25*INDEX('UZ-normalized'!$D:$D, MATCH($A182, 'UZ-normalized'!$A:$A, 0))-INDEX('UZ-normalized'!$E:$E, MATCH($A182, 'UZ-normalized'!$A:$A, 0))), 0), 0)))</f>
        <v>0</v>
      </c>
      <c r="AN182" s="6">
        <f>MIN(0, N182+(IFERROR(IF(26*INDEX('UA-normalized'!$D:$D, MATCH($A182, 'UA-normalized'!$A:$A, 0))-INDEX('UA-normalized'!$E:$E, MATCH($A182, 'UA-normalized'!$A:$A, 0))&gt;0, -(26*INDEX('UA-normalized'!$D:$D, MATCH($A182, 'UA-normalized'!$A:$A, 0))-INDEX('UA-normalized'!$E:$E, MATCH($A182, 'UA-normalized'!$A:$A, 0))), 0), 0))+(IFERROR(IF(26*INDEX('KZ-normalized'!$D:$D, MATCH($A182, 'KZ-normalized'!$A:$A, 0))-INDEX('KZ-normalized'!$E:$E, MATCH($A182, 'KZ-normalized'!$A:$A, 0))&gt;0, -(26*INDEX('KZ-normalized'!$D:$D, MATCH($A182, 'KZ-normalized'!$A:$A, 0))-INDEX('KZ-normalized'!$E:$E, MATCH($A182, 'KZ-normalized'!$A:$A, 0))), 0), 0))+(IFERROR(IF(26*INDEX('UZ-normalized'!$D:$D, MATCH($A182, 'UZ-normalized'!$A:$A, 0))-INDEX('UZ-normalized'!$E:$E, MATCH($A182, 'UZ-normalized'!$A:$A, 0))&gt;0, -(26*INDEX('UZ-normalized'!$D:$D, MATCH($A182, 'UZ-normalized'!$A:$A, 0))-INDEX('UZ-normalized'!$E:$E, MATCH($A182, 'UZ-normalized'!$A:$A, 0))), 0), 0)))</f>
        <v>0</v>
      </c>
      <c r="AO182" s="6">
        <f>MIN(0, N182+(IFERROR(IF(27*INDEX('UA-normalized'!$D:$D, MATCH($A182, 'UA-normalized'!$A:$A, 0))-INDEX('UA-normalized'!$E:$E, MATCH($A182, 'UA-normalized'!$A:$A, 0))&gt;0, -(27*INDEX('UA-normalized'!$D:$D, MATCH($A182, 'UA-normalized'!$A:$A, 0))-INDEX('UA-normalized'!$E:$E, MATCH($A182, 'UA-normalized'!$A:$A, 0))), 0), 0))+(IFERROR(IF(27*INDEX('KZ-normalized'!$D:$D, MATCH($A182, 'KZ-normalized'!$A:$A, 0))-INDEX('KZ-normalized'!$E:$E, MATCH($A182, 'KZ-normalized'!$A:$A, 0))&gt;0, -(27*INDEX('KZ-normalized'!$D:$D, MATCH($A182, 'KZ-normalized'!$A:$A, 0))-INDEX('KZ-normalized'!$E:$E, MATCH($A182, 'KZ-normalized'!$A:$A, 0))), 0), 0))+(IFERROR(IF(27*INDEX('UZ-normalized'!$D:$D, MATCH($A182, 'UZ-normalized'!$A:$A, 0))-INDEX('UZ-normalized'!$E:$E, MATCH($A182, 'UZ-normalized'!$A:$A, 0))&gt;0, -(27*INDEX('UZ-normalized'!$D:$D, MATCH($A182, 'UZ-normalized'!$A:$A, 0))-INDEX('UZ-normalized'!$E:$E, MATCH($A182, 'UZ-normalized'!$A:$A, 0))), 0), 0)))</f>
        <v>0</v>
      </c>
      <c r="AP182" s="6">
        <f>MIN(0, N182+(IFERROR(IF(28*INDEX('UA-normalized'!$D:$D, MATCH($A182, 'UA-normalized'!$A:$A, 0))-INDEX('UA-normalized'!$E:$E, MATCH($A182, 'UA-normalized'!$A:$A, 0))&gt;0, -(28*INDEX('UA-normalized'!$D:$D, MATCH($A182, 'UA-normalized'!$A:$A, 0))-INDEX('UA-normalized'!$E:$E, MATCH($A182, 'UA-normalized'!$A:$A, 0))), 0), 0))+(IFERROR(IF(28*INDEX('KZ-normalized'!$D:$D, MATCH($A182, 'KZ-normalized'!$A:$A, 0))-INDEX('KZ-normalized'!$E:$E, MATCH($A182, 'KZ-normalized'!$A:$A, 0))&gt;0, -(28*INDEX('KZ-normalized'!$D:$D, MATCH($A182, 'KZ-normalized'!$A:$A, 0))-INDEX('KZ-normalized'!$E:$E, MATCH($A182, 'KZ-normalized'!$A:$A, 0))), 0), 0))+(IFERROR(IF(28*INDEX('UZ-normalized'!$D:$D, MATCH($A182, 'UZ-normalized'!$A:$A, 0))-INDEX('UZ-normalized'!$E:$E, MATCH($A182, 'UZ-normalized'!$A:$A, 0))&gt;0, -(28*INDEX('UZ-normalized'!$D:$D, MATCH($A182, 'UZ-normalized'!$A:$A, 0))-INDEX('UZ-normalized'!$E:$E, MATCH($A182, 'UZ-normalized'!$A:$A, 0))), 0), 0)))</f>
        <v>0</v>
      </c>
      <c r="AQ182" s="6">
        <f>MIN(0, N182+(IFERROR(IF(29*INDEX('UA-normalized'!$D:$D, MATCH($A182, 'UA-normalized'!$A:$A, 0))-INDEX('UA-normalized'!$E:$E, MATCH($A182, 'UA-normalized'!$A:$A, 0))&gt;0, -(29*INDEX('UA-normalized'!$D:$D, MATCH($A182, 'UA-normalized'!$A:$A, 0))-INDEX('UA-normalized'!$E:$E, MATCH($A182, 'UA-normalized'!$A:$A, 0))), 0), 0))+(IFERROR(IF(29*INDEX('KZ-normalized'!$D:$D, MATCH($A182, 'KZ-normalized'!$A:$A, 0))-INDEX('KZ-normalized'!$E:$E, MATCH($A182, 'KZ-normalized'!$A:$A, 0))&gt;0, -(29*INDEX('KZ-normalized'!$D:$D, MATCH($A182, 'KZ-normalized'!$A:$A, 0))-INDEX('KZ-normalized'!$E:$E, MATCH($A182, 'KZ-normalized'!$A:$A, 0))), 0), 0))+(IFERROR(IF(29*INDEX('UZ-normalized'!$D:$D, MATCH($A182, 'UZ-normalized'!$A:$A, 0))-INDEX('UZ-normalized'!$E:$E, MATCH($A182, 'UZ-normalized'!$A:$A, 0))&gt;0, -(29*INDEX('UZ-normalized'!$D:$D, MATCH($A182, 'UZ-normalized'!$A:$A, 0))-INDEX('UZ-normalized'!$E:$E, MATCH($A182, 'UZ-normalized'!$A:$A, 0))), 0), 0)))</f>
        <v>0</v>
      </c>
      <c r="AR182" s="6">
        <f>MIN(0, N182+(IFERROR(IF(30*INDEX('UA-normalized'!$D:$D, MATCH($A182, 'UA-normalized'!$A:$A, 0))-INDEX('UA-normalized'!$E:$E, MATCH($A182, 'UA-normalized'!$A:$A, 0))&gt;0, -(30*INDEX('UA-normalized'!$D:$D, MATCH($A182, 'UA-normalized'!$A:$A, 0))-INDEX('UA-normalized'!$E:$E, MATCH($A182, 'UA-normalized'!$A:$A, 0))), 0), 0))+(IFERROR(IF(30*INDEX('KZ-normalized'!$D:$D, MATCH($A182, 'KZ-normalized'!$A:$A, 0))-INDEX('KZ-normalized'!$E:$E, MATCH($A182, 'KZ-normalized'!$A:$A, 0))&gt;0, -(30*INDEX('KZ-normalized'!$D:$D, MATCH($A182, 'KZ-normalized'!$A:$A, 0))-INDEX('KZ-normalized'!$E:$E, MATCH($A182, 'KZ-normalized'!$A:$A, 0))), 0), 0))+(IFERROR(IF(30*INDEX('UZ-normalized'!$D:$D, MATCH($A182, 'UZ-normalized'!$A:$A, 0))-INDEX('UZ-normalized'!$E:$E, MATCH($A182, 'UZ-normalized'!$A:$A, 0))&gt;0, -(30*INDEX('UZ-normalized'!$D:$D, MATCH($A182, 'UZ-normalized'!$A:$A, 0))-INDEX('UZ-normalized'!$E:$E, MATCH($A182, 'UZ-normalized'!$A:$A, 0))), 0), 0)))</f>
        <v>0</v>
      </c>
    </row>
    <row r="183" spans="1:44" x14ac:dyDescent="0.25">
      <c r="A183" s="8" t="s">
        <v>438</v>
      </c>
      <c r="B183" s="8" t="s">
        <v>431</v>
      </c>
      <c r="C183" s="8" t="s">
        <v>439</v>
      </c>
      <c r="D183" s="8" t="s">
        <v>440</v>
      </c>
      <c r="I183">
        <v>1000</v>
      </c>
      <c r="N183">
        <f t="shared" si="2"/>
        <v>1000</v>
      </c>
      <c r="O183" s="6">
        <f>MIN(0, N183+(IFERROR(IF(1*INDEX('UA-normalized'!$D:$D, MATCH($A183, 'UA-normalized'!$A:$A, 0))-INDEX('UA-normalized'!$E:$E, MATCH($A183, 'UA-normalized'!$A:$A, 0))&gt;0, -(1*INDEX('UA-normalized'!$D:$D, MATCH($A183, 'UA-normalized'!$A:$A, 0))-INDEX('UA-normalized'!$E:$E, MATCH($A183, 'UA-normalized'!$A:$A, 0))), 0), 0))+(IFERROR(IF(1*INDEX('KZ-normalized'!$D:$D, MATCH($A183, 'KZ-normalized'!$A:$A, 0))-INDEX('KZ-normalized'!$E:$E, MATCH($A183, 'KZ-normalized'!$A:$A, 0))&gt;0, -(1*INDEX('KZ-normalized'!$D:$D, MATCH($A183, 'KZ-normalized'!$A:$A, 0))-INDEX('KZ-normalized'!$E:$E, MATCH($A183, 'KZ-normalized'!$A:$A, 0))), 0), 0))+(IFERROR(IF(1*INDEX('UZ-normalized'!$D:$D, MATCH($A183, 'UZ-normalized'!$A:$A, 0))-INDEX('UZ-normalized'!$E:$E, MATCH($A183, 'UZ-normalized'!$A:$A, 0))&gt;0, -(1*INDEX('UZ-normalized'!$D:$D, MATCH($A183, 'UZ-normalized'!$A:$A, 0))-INDEX('UZ-normalized'!$E:$E, MATCH($A183, 'UZ-normalized'!$A:$A, 0))), 0), 0)))</f>
        <v>0</v>
      </c>
      <c r="P183" s="6">
        <f>MIN(0, N183+(IFERROR(IF(2*INDEX('UA-normalized'!$D:$D, MATCH($A183, 'UA-normalized'!$A:$A, 0))-INDEX('UA-normalized'!$E:$E, MATCH($A183, 'UA-normalized'!$A:$A, 0))&gt;0, -(2*INDEX('UA-normalized'!$D:$D, MATCH($A183, 'UA-normalized'!$A:$A, 0))-INDEX('UA-normalized'!$E:$E, MATCH($A183, 'UA-normalized'!$A:$A, 0))), 0), 0))+(IFERROR(IF(2*INDEX('KZ-normalized'!$D:$D, MATCH($A183, 'KZ-normalized'!$A:$A, 0))-INDEX('KZ-normalized'!$E:$E, MATCH($A183, 'KZ-normalized'!$A:$A, 0))&gt;0, -(2*INDEX('KZ-normalized'!$D:$D, MATCH($A183, 'KZ-normalized'!$A:$A, 0))-INDEX('KZ-normalized'!$E:$E, MATCH($A183, 'KZ-normalized'!$A:$A, 0))), 0), 0))+(IFERROR(IF(2*INDEX('UZ-normalized'!$D:$D, MATCH($A183, 'UZ-normalized'!$A:$A, 0))-INDEX('UZ-normalized'!$E:$E, MATCH($A183, 'UZ-normalized'!$A:$A, 0))&gt;0, -(2*INDEX('UZ-normalized'!$D:$D, MATCH($A183, 'UZ-normalized'!$A:$A, 0))-INDEX('UZ-normalized'!$E:$E, MATCH($A183, 'UZ-normalized'!$A:$A, 0))), 0), 0)))</f>
        <v>0</v>
      </c>
      <c r="Q183" s="6">
        <f>MIN(0, N183+(IFERROR(IF(3*INDEX('UA-normalized'!$D:$D, MATCH($A183, 'UA-normalized'!$A:$A, 0))-INDEX('UA-normalized'!$E:$E, MATCH($A183, 'UA-normalized'!$A:$A, 0))&gt;0, -(3*INDEX('UA-normalized'!$D:$D, MATCH($A183, 'UA-normalized'!$A:$A, 0))-INDEX('UA-normalized'!$E:$E, MATCH($A183, 'UA-normalized'!$A:$A, 0))), 0), 0))+(IFERROR(IF(3*INDEX('KZ-normalized'!$D:$D, MATCH($A183, 'KZ-normalized'!$A:$A, 0))-INDEX('KZ-normalized'!$E:$E, MATCH($A183, 'KZ-normalized'!$A:$A, 0))&gt;0, -(3*INDEX('KZ-normalized'!$D:$D, MATCH($A183, 'KZ-normalized'!$A:$A, 0))-INDEX('KZ-normalized'!$E:$E, MATCH($A183, 'KZ-normalized'!$A:$A, 0))), 0), 0))+(IFERROR(IF(3*INDEX('UZ-normalized'!$D:$D, MATCH($A183, 'UZ-normalized'!$A:$A, 0))-INDEX('UZ-normalized'!$E:$E, MATCH($A183, 'UZ-normalized'!$A:$A, 0))&gt;0, -(3*INDEX('UZ-normalized'!$D:$D, MATCH($A183, 'UZ-normalized'!$A:$A, 0))-INDEX('UZ-normalized'!$E:$E, MATCH($A183, 'UZ-normalized'!$A:$A, 0))), 0), 0)))</f>
        <v>0</v>
      </c>
      <c r="R183" s="6">
        <f>MIN(0, N183+(IFERROR(IF(4*INDEX('UA-normalized'!$D:$D, MATCH($A183, 'UA-normalized'!$A:$A, 0))-INDEX('UA-normalized'!$E:$E, MATCH($A183, 'UA-normalized'!$A:$A, 0))&gt;0, -(4*INDEX('UA-normalized'!$D:$D, MATCH($A183, 'UA-normalized'!$A:$A, 0))-INDEX('UA-normalized'!$E:$E, MATCH($A183, 'UA-normalized'!$A:$A, 0))), 0), 0))+(IFERROR(IF(4*INDEX('KZ-normalized'!$D:$D, MATCH($A183, 'KZ-normalized'!$A:$A, 0))-INDEX('KZ-normalized'!$E:$E, MATCH($A183, 'KZ-normalized'!$A:$A, 0))&gt;0, -(4*INDEX('KZ-normalized'!$D:$D, MATCH($A183, 'KZ-normalized'!$A:$A, 0))-INDEX('KZ-normalized'!$E:$E, MATCH($A183, 'KZ-normalized'!$A:$A, 0))), 0), 0))+(IFERROR(IF(4*INDEX('UZ-normalized'!$D:$D, MATCH($A183, 'UZ-normalized'!$A:$A, 0))-INDEX('UZ-normalized'!$E:$E, MATCH($A183, 'UZ-normalized'!$A:$A, 0))&gt;0, -(4*INDEX('UZ-normalized'!$D:$D, MATCH($A183, 'UZ-normalized'!$A:$A, 0))-INDEX('UZ-normalized'!$E:$E, MATCH($A183, 'UZ-normalized'!$A:$A, 0))), 0), 0)))</f>
        <v>0</v>
      </c>
      <c r="S183" s="6">
        <f>MIN(0, N183+(IFERROR(IF(5*INDEX('UA-normalized'!$D:$D, MATCH($A183, 'UA-normalized'!$A:$A, 0))-INDEX('UA-normalized'!$E:$E, MATCH($A183, 'UA-normalized'!$A:$A, 0))&gt;0, -(5*INDEX('UA-normalized'!$D:$D, MATCH($A183, 'UA-normalized'!$A:$A, 0))-INDEX('UA-normalized'!$E:$E, MATCH($A183, 'UA-normalized'!$A:$A, 0))), 0), 0))+(IFERROR(IF(5*INDEX('KZ-normalized'!$D:$D, MATCH($A183, 'KZ-normalized'!$A:$A, 0))-INDEX('KZ-normalized'!$E:$E, MATCH($A183, 'KZ-normalized'!$A:$A, 0))&gt;0, -(5*INDEX('KZ-normalized'!$D:$D, MATCH($A183, 'KZ-normalized'!$A:$A, 0))-INDEX('KZ-normalized'!$E:$E, MATCH($A183, 'KZ-normalized'!$A:$A, 0))), 0), 0))+(IFERROR(IF(5*INDEX('UZ-normalized'!$D:$D, MATCH($A183, 'UZ-normalized'!$A:$A, 0))-INDEX('UZ-normalized'!$E:$E, MATCH($A183, 'UZ-normalized'!$A:$A, 0))&gt;0, -(5*INDEX('UZ-normalized'!$D:$D, MATCH($A183, 'UZ-normalized'!$A:$A, 0))-INDEX('UZ-normalized'!$E:$E, MATCH($A183, 'UZ-normalized'!$A:$A, 0))), 0), 0)))</f>
        <v>0</v>
      </c>
      <c r="T183" s="6">
        <f>MIN(0, N183+(IFERROR(IF(6*INDEX('UA-normalized'!$D:$D, MATCH($A183, 'UA-normalized'!$A:$A, 0))-INDEX('UA-normalized'!$E:$E, MATCH($A183, 'UA-normalized'!$A:$A, 0))&gt;0, -(6*INDEX('UA-normalized'!$D:$D, MATCH($A183, 'UA-normalized'!$A:$A, 0))-INDEX('UA-normalized'!$E:$E, MATCH($A183, 'UA-normalized'!$A:$A, 0))), 0), 0))+(IFERROR(IF(6*INDEX('KZ-normalized'!$D:$D, MATCH($A183, 'KZ-normalized'!$A:$A, 0))-INDEX('KZ-normalized'!$E:$E, MATCH($A183, 'KZ-normalized'!$A:$A, 0))&gt;0, -(6*INDEX('KZ-normalized'!$D:$D, MATCH($A183, 'KZ-normalized'!$A:$A, 0))-INDEX('KZ-normalized'!$E:$E, MATCH($A183, 'KZ-normalized'!$A:$A, 0))), 0), 0))+(IFERROR(IF(6*INDEX('UZ-normalized'!$D:$D, MATCH($A183, 'UZ-normalized'!$A:$A, 0))-INDEX('UZ-normalized'!$E:$E, MATCH($A183, 'UZ-normalized'!$A:$A, 0))&gt;0, -(6*INDEX('UZ-normalized'!$D:$D, MATCH($A183, 'UZ-normalized'!$A:$A, 0))-INDEX('UZ-normalized'!$E:$E, MATCH($A183, 'UZ-normalized'!$A:$A, 0))), 0), 0)))</f>
        <v>0</v>
      </c>
      <c r="U183" s="6">
        <f>MIN(0, N183+(IFERROR(IF(7*INDEX('UA-normalized'!$D:$D, MATCH($A183, 'UA-normalized'!$A:$A, 0))-INDEX('UA-normalized'!$E:$E, MATCH($A183, 'UA-normalized'!$A:$A, 0))&gt;0, -(7*INDEX('UA-normalized'!$D:$D, MATCH($A183, 'UA-normalized'!$A:$A, 0))-INDEX('UA-normalized'!$E:$E, MATCH($A183, 'UA-normalized'!$A:$A, 0))), 0), 0))+(IFERROR(IF(7*INDEX('KZ-normalized'!$D:$D, MATCH($A183, 'KZ-normalized'!$A:$A, 0))-INDEX('KZ-normalized'!$E:$E, MATCH($A183, 'KZ-normalized'!$A:$A, 0))&gt;0, -(7*INDEX('KZ-normalized'!$D:$D, MATCH($A183, 'KZ-normalized'!$A:$A, 0))-INDEX('KZ-normalized'!$E:$E, MATCH($A183, 'KZ-normalized'!$A:$A, 0))), 0), 0))+(IFERROR(IF(7*INDEX('UZ-normalized'!$D:$D, MATCH($A183, 'UZ-normalized'!$A:$A, 0))-INDEX('UZ-normalized'!$E:$E, MATCH($A183, 'UZ-normalized'!$A:$A, 0))&gt;0, -(7*INDEX('UZ-normalized'!$D:$D, MATCH($A183, 'UZ-normalized'!$A:$A, 0))-INDEX('UZ-normalized'!$E:$E, MATCH($A183, 'UZ-normalized'!$A:$A, 0))), 0), 0)))</f>
        <v>0</v>
      </c>
      <c r="V183" s="6">
        <f>MIN(0, N183+(IFERROR(IF(8*INDEX('UA-normalized'!$D:$D, MATCH($A183, 'UA-normalized'!$A:$A, 0))-INDEX('UA-normalized'!$E:$E, MATCH($A183, 'UA-normalized'!$A:$A, 0))&gt;0, -(8*INDEX('UA-normalized'!$D:$D, MATCH($A183, 'UA-normalized'!$A:$A, 0))-INDEX('UA-normalized'!$E:$E, MATCH($A183, 'UA-normalized'!$A:$A, 0))), 0), 0))+(IFERROR(IF(8*INDEX('KZ-normalized'!$D:$D, MATCH($A183, 'KZ-normalized'!$A:$A, 0))-INDEX('KZ-normalized'!$E:$E, MATCH($A183, 'KZ-normalized'!$A:$A, 0))&gt;0, -(8*INDEX('KZ-normalized'!$D:$D, MATCH($A183, 'KZ-normalized'!$A:$A, 0))-INDEX('KZ-normalized'!$E:$E, MATCH($A183, 'KZ-normalized'!$A:$A, 0))), 0), 0))+(IFERROR(IF(8*INDEX('UZ-normalized'!$D:$D, MATCH($A183, 'UZ-normalized'!$A:$A, 0))-INDEX('UZ-normalized'!$E:$E, MATCH($A183, 'UZ-normalized'!$A:$A, 0))&gt;0, -(8*INDEX('UZ-normalized'!$D:$D, MATCH($A183, 'UZ-normalized'!$A:$A, 0))-INDEX('UZ-normalized'!$E:$E, MATCH($A183, 'UZ-normalized'!$A:$A, 0))), 0), 0)))</f>
        <v>0</v>
      </c>
      <c r="W183" s="6">
        <f>MIN(0, N183+(IFERROR(IF(9*INDEX('UA-normalized'!$D:$D, MATCH($A183, 'UA-normalized'!$A:$A, 0))-INDEX('UA-normalized'!$E:$E, MATCH($A183, 'UA-normalized'!$A:$A, 0))&gt;0, -(9*INDEX('UA-normalized'!$D:$D, MATCH($A183, 'UA-normalized'!$A:$A, 0))-INDEX('UA-normalized'!$E:$E, MATCH($A183, 'UA-normalized'!$A:$A, 0))), 0), 0))+(IFERROR(IF(9*INDEX('KZ-normalized'!$D:$D, MATCH($A183, 'KZ-normalized'!$A:$A, 0))-INDEX('KZ-normalized'!$E:$E, MATCH($A183, 'KZ-normalized'!$A:$A, 0))&gt;0, -(9*INDEX('KZ-normalized'!$D:$D, MATCH($A183, 'KZ-normalized'!$A:$A, 0))-INDEX('KZ-normalized'!$E:$E, MATCH($A183, 'KZ-normalized'!$A:$A, 0))), 0), 0))+(IFERROR(IF(9*INDEX('UZ-normalized'!$D:$D, MATCH($A183, 'UZ-normalized'!$A:$A, 0))-INDEX('UZ-normalized'!$E:$E, MATCH($A183, 'UZ-normalized'!$A:$A, 0))&gt;0, -(9*INDEX('UZ-normalized'!$D:$D, MATCH($A183, 'UZ-normalized'!$A:$A, 0))-INDEX('UZ-normalized'!$E:$E, MATCH($A183, 'UZ-normalized'!$A:$A, 0))), 0), 0)))</f>
        <v>0</v>
      </c>
      <c r="X183" s="6">
        <f>MIN(0, N183+(IFERROR(IF(10*INDEX('UA-normalized'!$D:$D, MATCH($A183, 'UA-normalized'!$A:$A, 0))-INDEX('UA-normalized'!$E:$E, MATCH($A183, 'UA-normalized'!$A:$A, 0))&gt;0, -(10*INDEX('UA-normalized'!$D:$D, MATCH($A183, 'UA-normalized'!$A:$A, 0))-INDEX('UA-normalized'!$E:$E, MATCH($A183, 'UA-normalized'!$A:$A, 0))), 0), 0))+(IFERROR(IF(10*INDEX('KZ-normalized'!$D:$D, MATCH($A183, 'KZ-normalized'!$A:$A, 0))-INDEX('KZ-normalized'!$E:$E, MATCH($A183, 'KZ-normalized'!$A:$A, 0))&gt;0, -(10*INDEX('KZ-normalized'!$D:$D, MATCH($A183, 'KZ-normalized'!$A:$A, 0))-INDEX('KZ-normalized'!$E:$E, MATCH($A183, 'KZ-normalized'!$A:$A, 0))), 0), 0))+(IFERROR(IF(10*INDEX('UZ-normalized'!$D:$D, MATCH($A183, 'UZ-normalized'!$A:$A, 0))-INDEX('UZ-normalized'!$E:$E, MATCH($A183, 'UZ-normalized'!$A:$A, 0))&gt;0, -(10*INDEX('UZ-normalized'!$D:$D, MATCH($A183, 'UZ-normalized'!$A:$A, 0))-INDEX('UZ-normalized'!$E:$E, MATCH($A183, 'UZ-normalized'!$A:$A, 0))), 0), 0)))</f>
        <v>0</v>
      </c>
      <c r="Y183" s="6">
        <f>MIN(0, N183+(IFERROR(IF(11*INDEX('UA-normalized'!$D:$D, MATCH($A183, 'UA-normalized'!$A:$A, 0))-INDEX('UA-normalized'!$E:$E, MATCH($A183, 'UA-normalized'!$A:$A, 0))&gt;0, -(11*INDEX('UA-normalized'!$D:$D, MATCH($A183, 'UA-normalized'!$A:$A, 0))-INDEX('UA-normalized'!$E:$E, MATCH($A183, 'UA-normalized'!$A:$A, 0))), 0), 0))+(IFERROR(IF(11*INDEX('KZ-normalized'!$D:$D, MATCH($A183, 'KZ-normalized'!$A:$A, 0))-INDEX('KZ-normalized'!$E:$E, MATCH($A183, 'KZ-normalized'!$A:$A, 0))&gt;0, -(11*INDEX('KZ-normalized'!$D:$D, MATCH($A183, 'KZ-normalized'!$A:$A, 0))-INDEX('KZ-normalized'!$E:$E, MATCH($A183, 'KZ-normalized'!$A:$A, 0))), 0), 0))+(IFERROR(IF(11*INDEX('UZ-normalized'!$D:$D, MATCH($A183, 'UZ-normalized'!$A:$A, 0))-INDEX('UZ-normalized'!$E:$E, MATCH($A183, 'UZ-normalized'!$A:$A, 0))&gt;0, -(11*INDEX('UZ-normalized'!$D:$D, MATCH($A183, 'UZ-normalized'!$A:$A, 0))-INDEX('UZ-normalized'!$E:$E, MATCH($A183, 'UZ-normalized'!$A:$A, 0))), 0), 0)))</f>
        <v>0</v>
      </c>
      <c r="Z183" s="6">
        <f>MIN(0, N183+(IFERROR(IF(12*INDEX('UA-normalized'!$D:$D, MATCH($A183, 'UA-normalized'!$A:$A, 0))-INDEX('UA-normalized'!$E:$E, MATCH($A183, 'UA-normalized'!$A:$A, 0))&gt;0, -(12*INDEX('UA-normalized'!$D:$D, MATCH($A183, 'UA-normalized'!$A:$A, 0))-INDEX('UA-normalized'!$E:$E, MATCH($A183, 'UA-normalized'!$A:$A, 0))), 0), 0))+(IFERROR(IF(12*INDEX('KZ-normalized'!$D:$D, MATCH($A183, 'KZ-normalized'!$A:$A, 0))-INDEX('KZ-normalized'!$E:$E, MATCH($A183, 'KZ-normalized'!$A:$A, 0))&gt;0, -(12*INDEX('KZ-normalized'!$D:$D, MATCH($A183, 'KZ-normalized'!$A:$A, 0))-INDEX('KZ-normalized'!$E:$E, MATCH($A183, 'KZ-normalized'!$A:$A, 0))), 0), 0))+(IFERROR(IF(12*INDEX('UZ-normalized'!$D:$D, MATCH($A183, 'UZ-normalized'!$A:$A, 0))-INDEX('UZ-normalized'!$E:$E, MATCH($A183, 'UZ-normalized'!$A:$A, 0))&gt;0, -(12*INDEX('UZ-normalized'!$D:$D, MATCH($A183, 'UZ-normalized'!$A:$A, 0))-INDEX('UZ-normalized'!$E:$E, MATCH($A183, 'UZ-normalized'!$A:$A, 0))), 0), 0)))</f>
        <v>0</v>
      </c>
      <c r="AA183" s="6">
        <f>MIN(0, N183+(IFERROR(IF(13*INDEX('UA-normalized'!$D:$D, MATCH($A183, 'UA-normalized'!$A:$A, 0))-INDEX('UA-normalized'!$E:$E, MATCH($A183, 'UA-normalized'!$A:$A, 0))&gt;0, -(13*INDEX('UA-normalized'!$D:$D, MATCH($A183, 'UA-normalized'!$A:$A, 0))-INDEX('UA-normalized'!$E:$E, MATCH($A183, 'UA-normalized'!$A:$A, 0))), 0), 0))+(IFERROR(IF(13*INDEX('KZ-normalized'!$D:$D, MATCH($A183, 'KZ-normalized'!$A:$A, 0))-INDEX('KZ-normalized'!$E:$E, MATCH($A183, 'KZ-normalized'!$A:$A, 0))&gt;0, -(13*INDEX('KZ-normalized'!$D:$D, MATCH($A183, 'KZ-normalized'!$A:$A, 0))-INDEX('KZ-normalized'!$E:$E, MATCH($A183, 'KZ-normalized'!$A:$A, 0))), 0), 0))+(IFERROR(IF(13*INDEX('UZ-normalized'!$D:$D, MATCH($A183, 'UZ-normalized'!$A:$A, 0))-INDEX('UZ-normalized'!$E:$E, MATCH($A183, 'UZ-normalized'!$A:$A, 0))&gt;0, -(13*INDEX('UZ-normalized'!$D:$D, MATCH($A183, 'UZ-normalized'!$A:$A, 0))-INDEX('UZ-normalized'!$E:$E, MATCH($A183, 'UZ-normalized'!$A:$A, 0))), 0), 0)))</f>
        <v>0</v>
      </c>
      <c r="AB183" s="6">
        <f>MIN(0, N183+(IFERROR(IF(14*INDEX('UA-normalized'!$D:$D, MATCH($A183, 'UA-normalized'!$A:$A, 0))-INDEX('UA-normalized'!$E:$E, MATCH($A183, 'UA-normalized'!$A:$A, 0))&gt;0, -(14*INDEX('UA-normalized'!$D:$D, MATCH($A183, 'UA-normalized'!$A:$A, 0))-INDEX('UA-normalized'!$E:$E, MATCH($A183, 'UA-normalized'!$A:$A, 0))), 0), 0))+(IFERROR(IF(14*INDEX('KZ-normalized'!$D:$D, MATCH($A183, 'KZ-normalized'!$A:$A, 0))-INDEX('KZ-normalized'!$E:$E, MATCH($A183, 'KZ-normalized'!$A:$A, 0))&gt;0, -(14*INDEX('KZ-normalized'!$D:$D, MATCH($A183, 'KZ-normalized'!$A:$A, 0))-INDEX('KZ-normalized'!$E:$E, MATCH($A183, 'KZ-normalized'!$A:$A, 0))), 0), 0))+(IFERROR(IF(14*INDEX('UZ-normalized'!$D:$D, MATCH($A183, 'UZ-normalized'!$A:$A, 0))-INDEX('UZ-normalized'!$E:$E, MATCH($A183, 'UZ-normalized'!$A:$A, 0))&gt;0, -(14*INDEX('UZ-normalized'!$D:$D, MATCH($A183, 'UZ-normalized'!$A:$A, 0))-INDEX('UZ-normalized'!$E:$E, MATCH($A183, 'UZ-normalized'!$A:$A, 0))), 0), 0)))</f>
        <v>0</v>
      </c>
      <c r="AC183" s="6">
        <f>MIN(0, N183+(IFERROR(IF(15*INDEX('UA-normalized'!$D:$D, MATCH($A183, 'UA-normalized'!$A:$A, 0))-INDEX('UA-normalized'!$E:$E, MATCH($A183, 'UA-normalized'!$A:$A, 0))&gt;0, -(15*INDEX('UA-normalized'!$D:$D, MATCH($A183, 'UA-normalized'!$A:$A, 0))-INDEX('UA-normalized'!$E:$E, MATCH($A183, 'UA-normalized'!$A:$A, 0))), 0), 0))+(IFERROR(IF(15*INDEX('KZ-normalized'!$D:$D, MATCH($A183, 'KZ-normalized'!$A:$A, 0))-INDEX('KZ-normalized'!$E:$E, MATCH($A183, 'KZ-normalized'!$A:$A, 0))&gt;0, -(15*INDEX('KZ-normalized'!$D:$D, MATCH($A183, 'KZ-normalized'!$A:$A, 0))-INDEX('KZ-normalized'!$E:$E, MATCH($A183, 'KZ-normalized'!$A:$A, 0))), 0), 0))+(IFERROR(IF(15*INDEX('UZ-normalized'!$D:$D, MATCH($A183, 'UZ-normalized'!$A:$A, 0))-INDEX('UZ-normalized'!$E:$E, MATCH($A183, 'UZ-normalized'!$A:$A, 0))&gt;0, -(15*INDEX('UZ-normalized'!$D:$D, MATCH($A183, 'UZ-normalized'!$A:$A, 0))-INDEX('UZ-normalized'!$E:$E, MATCH($A183, 'UZ-normalized'!$A:$A, 0))), 0), 0)))</f>
        <v>0</v>
      </c>
      <c r="AD183" s="6">
        <f>MIN(0, N183+(IFERROR(IF(16*INDEX('UA-normalized'!$D:$D, MATCH($A183, 'UA-normalized'!$A:$A, 0))-INDEX('UA-normalized'!$E:$E, MATCH($A183, 'UA-normalized'!$A:$A, 0))&gt;0, -(16*INDEX('UA-normalized'!$D:$D, MATCH($A183, 'UA-normalized'!$A:$A, 0))-INDEX('UA-normalized'!$E:$E, MATCH($A183, 'UA-normalized'!$A:$A, 0))), 0), 0))+(IFERROR(IF(16*INDEX('KZ-normalized'!$D:$D, MATCH($A183, 'KZ-normalized'!$A:$A, 0))-INDEX('KZ-normalized'!$E:$E, MATCH($A183, 'KZ-normalized'!$A:$A, 0))&gt;0, -(16*INDEX('KZ-normalized'!$D:$D, MATCH($A183, 'KZ-normalized'!$A:$A, 0))-INDEX('KZ-normalized'!$E:$E, MATCH($A183, 'KZ-normalized'!$A:$A, 0))), 0), 0))+(IFERROR(IF(16*INDEX('UZ-normalized'!$D:$D, MATCH($A183, 'UZ-normalized'!$A:$A, 0))-INDEX('UZ-normalized'!$E:$E, MATCH($A183, 'UZ-normalized'!$A:$A, 0))&gt;0, -(16*INDEX('UZ-normalized'!$D:$D, MATCH($A183, 'UZ-normalized'!$A:$A, 0))-INDEX('UZ-normalized'!$E:$E, MATCH($A183, 'UZ-normalized'!$A:$A, 0))), 0), 0)))</f>
        <v>0</v>
      </c>
      <c r="AE183" s="6">
        <f>MIN(0, N183+(IFERROR(IF(17*INDEX('UA-normalized'!$D:$D, MATCH($A183, 'UA-normalized'!$A:$A, 0))-INDEX('UA-normalized'!$E:$E, MATCH($A183, 'UA-normalized'!$A:$A, 0))&gt;0, -(17*INDEX('UA-normalized'!$D:$D, MATCH($A183, 'UA-normalized'!$A:$A, 0))-INDEX('UA-normalized'!$E:$E, MATCH($A183, 'UA-normalized'!$A:$A, 0))), 0), 0))+(IFERROR(IF(17*INDEX('KZ-normalized'!$D:$D, MATCH($A183, 'KZ-normalized'!$A:$A, 0))-INDEX('KZ-normalized'!$E:$E, MATCH($A183, 'KZ-normalized'!$A:$A, 0))&gt;0, -(17*INDEX('KZ-normalized'!$D:$D, MATCH($A183, 'KZ-normalized'!$A:$A, 0))-INDEX('KZ-normalized'!$E:$E, MATCH($A183, 'KZ-normalized'!$A:$A, 0))), 0), 0))+(IFERROR(IF(17*INDEX('UZ-normalized'!$D:$D, MATCH($A183, 'UZ-normalized'!$A:$A, 0))-INDEX('UZ-normalized'!$E:$E, MATCH($A183, 'UZ-normalized'!$A:$A, 0))&gt;0, -(17*INDEX('UZ-normalized'!$D:$D, MATCH($A183, 'UZ-normalized'!$A:$A, 0))-INDEX('UZ-normalized'!$E:$E, MATCH($A183, 'UZ-normalized'!$A:$A, 0))), 0), 0)))</f>
        <v>0</v>
      </c>
      <c r="AF183" s="6">
        <f>MIN(0, N183+(IFERROR(IF(18*INDEX('UA-normalized'!$D:$D, MATCH($A183, 'UA-normalized'!$A:$A, 0))-INDEX('UA-normalized'!$E:$E, MATCH($A183, 'UA-normalized'!$A:$A, 0))&gt;0, -(18*INDEX('UA-normalized'!$D:$D, MATCH($A183, 'UA-normalized'!$A:$A, 0))-INDEX('UA-normalized'!$E:$E, MATCH($A183, 'UA-normalized'!$A:$A, 0))), 0), 0))+(IFERROR(IF(18*INDEX('KZ-normalized'!$D:$D, MATCH($A183, 'KZ-normalized'!$A:$A, 0))-INDEX('KZ-normalized'!$E:$E, MATCH($A183, 'KZ-normalized'!$A:$A, 0))&gt;0, -(18*INDEX('KZ-normalized'!$D:$D, MATCH($A183, 'KZ-normalized'!$A:$A, 0))-INDEX('KZ-normalized'!$E:$E, MATCH($A183, 'KZ-normalized'!$A:$A, 0))), 0), 0))+(IFERROR(IF(18*INDEX('UZ-normalized'!$D:$D, MATCH($A183, 'UZ-normalized'!$A:$A, 0))-INDEX('UZ-normalized'!$E:$E, MATCH($A183, 'UZ-normalized'!$A:$A, 0))&gt;0, -(18*INDEX('UZ-normalized'!$D:$D, MATCH($A183, 'UZ-normalized'!$A:$A, 0))-INDEX('UZ-normalized'!$E:$E, MATCH($A183, 'UZ-normalized'!$A:$A, 0))), 0), 0)))</f>
        <v>0</v>
      </c>
      <c r="AG183" s="6">
        <f>MIN(0, N183+(IFERROR(IF(19*INDEX('UA-normalized'!$D:$D, MATCH($A183, 'UA-normalized'!$A:$A, 0))-INDEX('UA-normalized'!$E:$E, MATCH($A183, 'UA-normalized'!$A:$A, 0))&gt;0, -(19*INDEX('UA-normalized'!$D:$D, MATCH($A183, 'UA-normalized'!$A:$A, 0))-INDEX('UA-normalized'!$E:$E, MATCH($A183, 'UA-normalized'!$A:$A, 0))), 0), 0))+(IFERROR(IF(19*INDEX('KZ-normalized'!$D:$D, MATCH($A183, 'KZ-normalized'!$A:$A, 0))-INDEX('KZ-normalized'!$E:$E, MATCH($A183, 'KZ-normalized'!$A:$A, 0))&gt;0, -(19*INDEX('KZ-normalized'!$D:$D, MATCH($A183, 'KZ-normalized'!$A:$A, 0))-INDEX('KZ-normalized'!$E:$E, MATCH($A183, 'KZ-normalized'!$A:$A, 0))), 0), 0))+(IFERROR(IF(19*INDEX('UZ-normalized'!$D:$D, MATCH($A183, 'UZ-normalized'!$A:$A, 0))-INDEX('UZ-normalized'!$E:$E, MATCH($A183, 'UZ-normalized'!$A:$A, 0))&gt;0, -(19*INDEX('UZ-normalized'!$D:$D, MATCH($A183, 'UZ-normalized'!$A:$A, 0))-INDEX('UZ-normalized'!$E:$E, MATCH($A183, 'UZ-normalized'!$A:$A, 0))), 0), 0)))</f>
        <v>0</v>
      </c>
      <c r="AH183" s="6">
        <f>MIN(0, N183+(IFERROR(IF(20*INDEX('UA-normalized'!$D:$D, MATCH($A183, 'UA-normalized'!$A:$A, 0))-INDEX('UA-normalized'!$E:$E, MATCH($A183, 'UA-normalized'!$A:$A, 0))&gt;0, -(20*INDEX('UA-normalized'!$D:$D, MATCH($A183, 'UA-normalized'!$A:$A, 0))-INDEX('UA-normalized'!$E:$E, MATCH($A183, 'UA-normalized'!$A:$A, 0))), 0), 0))+(IFERROR(IF(20*INDEX('KZ-normalized'!$D:$D, MATCH($A183, 'KZ-normalized'!$A:$A, 0))-INDEX('KZ-normalized'!$E:$E, MATCH($A183, 'KZ-normalized'!$A:$A, 0))&gt;0, -(20*INDEX('KZ-normalized'!$D:$D, MATCH($A183, 'KZ-normalized'!$A:$A, 0))-INDEX('KZ-normalized'!$E:$E, MATCH($A183, 'KZ-normalized'!$A:$A, 0))), 0), 0))+(IFERROR(IF(20*INDEX('UZ-normalized'!$D:$D, MATCH($A183, 'UZ-normalized'!$A:$A, 0))-INDEX('UZ-normalized'!$E:$E, MATCH($A183, 'UZ-normalized'!$A:$A, 0))&gt;0, -(20*INDEX('UZ-normalized'!$D:$D, MATCH($A183, 'UZ-normalized'!$A:$A, 0))-INDEX('UZ-normalized'!$E:$E, MATCH($A183, 'UZ-normalized'!$A:$A, 0))), 0), 0)))</f>
        <v>0</v>
      </c>
      <c r="AI183" s="6">
        <f>MIN(0, N183+(IFERROR(IF(21*INDEX('UA-normalized'!$D:$D, MATCH($A183, 'UA-normalized'!$A:$A, 0))-INDEX('UA-normalized'!$E:$E, MATCH($A183, 'UA-normalized'!$A:$A, 0))&gt;0, -(21*INDEX('UA-normalized'!$D:$D, MATCH($A183, 'UA-normalized'!$A:$A, 0))-INDEX('UA-normalized'!$E:$E, MATCH($A183, 'UA-normalized'!$A:$A, 0))), 0), 0))+(IFERROR(IF(21*INDEX('KZ-normalized'!$D:$D, MATCH($A183, 'KZ-normalized'!$A:$A, 0))-INDEX('KZ-normalized'!$E:$E, MATCH($A183, 'KZ-normalized'!$A:$A, 0))&gt;0, -(21*INDEX('KZ-normalized'!$D:$D, MATCH($A183, 'KZ-normalized'!$A:$A, 0))-INDEX('KZ-normalized'!$E:$E, MATCH($A183, 'KZ-normalized'!$A:$A, 0))), 0), 0))+(IFERROR(IF(21*INDEX('UZ-normalized'!$D:$D, MATCH($A183, 'UZ-normalized'!$A:$A, 0))-INDEX('UZ-normalized'!$E:$E, MATCH($A183, 'UZ-normalized'!$A:$A, 0))&gt;0, -(21*INDEX('UZ-normalized'!$D:$D, MATCH($A183, 'UZ-normalized'!$A:$A, 0))-INDEX('UZ-normalized'!$E:$E, MATCH($A183, 'UZ-normalized'!$A:$A, 0))), 0), 0)))</f>
        <v>0</v>
      </c>
      <c r="AJ183" s="6">
        <f>MIN(0, N183+(IFERROR(IF(22*INDEX('UA-normalized'!$D:$D, MATCH($A183, 'UA-normalized'!$A:$A, 0))-INDEX('UA-normalized'!$E:$E, MATCH($A183, 'UA-normalized'!$A:$A, 0))&gt;0, -(22*INDEX('UA-normalized'!$D:$D, MATCH($A183, 'UA-normalized'!$A:$A, 0))-INDEX('UA-normalized'!$E:$E, MATCH($A183, 'UA-normalized'!$A:$A, 0))), 0), 0))+(IFERROR(IF(22*INDEX('KZ-normalized'!$D:$D, MATCH($A183, 'KZ-normalized'!$A:$A, 0))-INDEX('KZ-normalized'!$E:$E, MATCH($A183, 'KZ-normalized'!$A:$A, 0))&gt;0, -(22*INDEX('KZ-normalized'!$D:$D, MATCH($A183, 'KZ-normalized'!$A:$A, 0))-INDEX('KZ-normalized'!$E:$E, MATCH($A183, 'KZ-normalized'!$A:$A, 0))), 0), 0))+(IFERROR(IF(22*INDEX('UZ-normalized'!$D:$D, MATCH($A183, 'UZ-normalized'!$A:$A, 0))-INDEX('UZ-normalized'!$E:$E, MATCH($A183, 'UZ-normalized'!$A:$A, 0))&gt;0, -(22*INDEX('UZ-normalized'!$D:$D, MATCH($A183, 'UZ-normalized'!$A:$A, 0))-INDEX('UZ-normalized'!$E:$E, MATCH($A183, 'UZ-normalized'!$A:$A, 0))), 0), 0)))</f>
        <v>0</v>
      </c>
      <c r="AK183" s="6">
        <f>MIN(0, N183+(IFERROR(IF(23*INDEX('UA-normalized'!$D:$D, MATCH($A183, 'UA-normalized'!$A:$A, 0))-INDEX('UA-normalized'!$E:$E, MATCH($A183, 'UA-normalized'!$A:$A, 0))&gt;0, -(23*INDEX('UA-normalized'!$D:$D, MATCH($A183, 'UA-normalized'!$A:$A, 0))-INDEX('UA-normalized'!$E:$E, MATCH($A183, 'UA-normalized'!$A:$A, 0))), 0), 0))+(IFERROR(IF(23*INDEX('KZ-normalized'!$D:$D, MATCH($A183, 'KZ-normalized'!$A:$A, 0))-INDEX('KZ-normalized'!$E:$E, MATCH($A183, 'KZ-normalized'!$A:$A, 0))&gt;0, -(23*INDEX('KZ-normalized'!$D:$D, MATCH($A183, 'KZ-normalized'!$A:$A, 0))-INDEX('KZ-normalized'!$E:$E, MATCH($A183, 'KZ-normalized'!$A:$A, 0))), 0), 0))+(IFERROR(IF(23*INDEX('UZ-normalized'!$D:$D, MATCH($A183, 'UZ-normalized'!$A:$A, 0))-INDEX('UZ-normalized'!$E:$E, MATCH($A183, 'UZ-normalized'!$A:$A, 0))&gt;0, -(23*INDEX('UZ-normalized'!$D:$D, MATCH($A183, 'UZ-normalized'!$A:$A, 0))-INDEX('UZ-normalized'!$E:$E, MATCH($A183, 'UZ-normalized'!$A:$A, 0))), 0), 0)))</f>
        <v>0</v>
      </c>
      <c r="AL183" s="6">
        <f>MIN(0, N183+(IFERROR(IF(24*INDEX('UA-normalized'!$D:$D, MATCH($A183, 'UA-normalized'!$A:$A, 0))-INDEX('UA-normalized'!$E:$E, MATCH($A183, 'UA-normalized'!$A:$A, 0))&gt;0, -(24*INDEX('UA-normalized'!$D:$D, MATCH($A183, 'UA-normalized'!$A:$A, 0))-INDEX('UA-normalized'!$E:$E, MATCH($A183, 'UA-normalized'!$A:$A, 0))), 0), 0))+(IFERROR(IF(24*INDEX('KZ-normalized'!$D:$D, MATCH($A183, 'KZ-normalized'!$A:$A, 0))-INDEX('KZ-normalized'!$E:$E, MATCH($A183, 'KZ-normalized'!$A:$A, 0))&gt;0, -(24*INDEX('KZ-normalized'!$D:$D, MATCH($A183, 'KZ-normalized'!$A:$A, 0))-INDEX('KZ-normalized'!$E:$E, MATCH($A183, 'KZ-normalized'!$A:$A, 0))), 0), 0))+(IFERROR(IF(24*INDEX('UZ-normalized'!$D:$D, MATCH($A183, 'UZ-normalized'!$A:$A, 0))-INDEX('UZ-normalized'!$E:$E, MATCH($A183, 'UZ-normalized'!$A:$A, 0))&gt;0, -(24*INDEX('UZ-normalized'!$D:$D, MATCH($A183, 'UZ-normalized'!$A:$A, 0))-INDEX('UZ-normalized'!$E:$E, MATCH($A183, 'UZ-normalized'!$A:$A, 0))), 0), 0)))</f>
        <v>0</v>
      </c>
      <c r="AM183" s="6">
        <f>MIN(0, N183+(IFERROR(IF(25*INDEX('UA-normalized'!$D:$D, MATCH($A183, 'UA-normalized'!$A:$A, 0))-INDEX('UA-normalized'!$E:$E, MATCH($A183, 'UA-normalized'!$A:$A, 0))&gt;0, -(25*INDEX('UA-normalized'!$D:$D, MATCH($A183, 'UA-normalized'!$A:$A, 0))-INDEX('UA-normalized'!$E:$E, MATCH($A183, 'UA-normalized'!$A:$A, 0))), 0), 0))+(IFERROR(IF(25*INDEX('KZ-normalized'!$D:$D, MATCH($A183, 'KZ-normalized'!$A:$A, 0))-INDEX('KZ-normalized'!$E:$E, MATCH($A183, 'KZ-normalized'!$A:$A, 0))&gt;0, -(25*INDEX('KZ-normalized'!$D:$D, MATCH($A183, 'KZ-normalized'!$A:$A, 0))-INDEX('KZ-normalized'!$E:$E, MATCH($A183, 'KZ-normalized'!$A:$A, 0))), 0), 0))+(IFERROR(IF(25*INDEX('UZ-normalized'!$D:$D, MATCH($A183, 'UZ-normalized'!$A:$A, 0))-INDEX('UZ-normalized'!$E:$E, MATCH($A183, 'UZ-normalized'!$A:$A, 0))&gt;0, -(25*INDEX('UZ-normalized'!$D:$D, MATCH($A183, 'UZ-normalized'!$A:$A, 0))-INDEX('UZ-normalized'!$E:$E, MATCH($A183, 'UZ-normalized'!$A:$A, 0))), 0), 0)))</f>
        <v>0</v>
      </c>
      <c r="AN183" s="6">
        <f>MIN(0, N183+(IFERROR(IF(26*INDEX('UA-normalized'!$D:$D, MATCH($A183, 'UA-normalized'!$A:$A, 0))-INDEX('UA-normalized'!$E:$E, MATCH($A183, 'UA-normalized'!$A:$A, 0))&gt;0, -(26*INDEX('UA-normalized'!$D:$D, MATCH($A183, 'UA-normalized'!$A:$A, 0))-INDEX('UA-normalized'!$E:$E, MATCH($A183, 'UA-normalized'!$A:$A, 0))), 0), 0))+(IFERROR(IF(26*INDEX('KZ-normalized'!$D:$D, MATCH($A183, 'KZ-normalized'!$A:$A, 0))-INDEX('KZ-normalized'!$E:$E, MATCH($A183, 'KZ-normalized'!$A:$A, 0))&gt;0, -(26*INDEX('KZ-normalized'!$D:$D, MATCH($A183, 'KZ-normalized'!$A:$A, 0))-INDEX('KZ-normalized'!$E:$E, MATCH($A183, 'KZ-normalized'!$A:$A, 0))), 0), 0))+(IFERROR(IF(26*INDEX('UZ-normalized'!$D:$D, MATCH($A183, 'UZ-normalized'!$A:$A, 0))-INDEX('UZ-normalized'!$E:$E, MATCH($A183, 'UZ-normalized'!$A:$A, 0))&gt;0, -(26*INDEX('UZ-normalized'!$D:$D, MATCH($A183, 'UZ-normalized'!$A:$A, 0))-INDEX('UZ-normalized'!$E:$E, MATCH($A183, 'UZ-normalized'!$A:$A, 0))), 0), 0)))</f>
        <v>0</v>
      </c>
      <c r="AO183" s="6">
        <f>MIN(0, N183+(IFERROR(IF(27*INDEX('UA-normalized'!$D:$D, MATCH($A183, 'UA-normalized'!$A:$A, 0))-INDEX('UA-normalized'!$E:$E, MATCH($A183, 'UA-normalized'!$A:$A, 0))&gt;0, -(27*INDEX('UA-normalized'!$D:$D, MATCH($A183, 'UA-normalized'!$A:$A, 0))-INDEX('UA-normalized'!$E:$E, MATCH($A183, 'UA-normalized'!$A:$A, 0))), 0), 0))+(IFERROR(IF(27*INDEX('KZ-normalized'!$D:$D, MATCH($A183, 'KZ-normalized'!$A:$A, 0))-INDEX('KZ-normalized'!$E:$E, MATCH($A183, 'KZ-normalized'!$A:$A, 0))&gt;0, -(27*INDEX('KZ-normalized'!$D:$D, MATCH($A183, 'KZ-normalized'!$A:$A, 0))-INDEX('KZ-normalized'!$E:$E, MATCH($A183, 'KZ-normalized'!$A:$A, 0))), 0), 0))+(IFERROR(IF(27*INDEX('UZ-normalized'!$D:$D, MATCH($A183, 'UZ-normalized'!$A:$A, 0))-INDEX('UZ-normalized'!$E:$E, MATCH($A183, 'UZ-normalized'!$A:$A, 0))&gt;0, -(27*INDEX('UZ-normalized'!$D:$D, MATCH($A183, 'UZ-normalized'!$A:$A, 0))-INDEX('UZ-normalized'!$E:$E, MATCH($A183, 'UZ-normalized'!$A:$A, 0))), 0), 0)))</f>
        <v>0</v>
      </c>
      <c r="AP183" s="6">
        <f>MIN(0, N183+(IFERROR(IF(28*INDEX('UA-normalized'!$D:$D, MATCH($A183, 'UA-normalized'!$A:$A, 0))-INDEX('UA-normalized'!$E:$E, MATCH($A183, 'UA-normalized'!$A:$A, 0))&gt;0, -(28*INDEX('UA-normalized'!$D:$D, MATCH($A183, 'UA-normalized'!$A:$A, 0))-INDEX('UA-normalized'!$E:$E, MATCH($A183, 'UA-normalized'!$A:$A, 0))), 0), 0))+(IFERROR(IF(28*INDEX('KZ-normalized'!$D:$D, MATCH($A183, 'KZ-normalized'!$A:$A, 0))-INDEX('KZ-normalized'!$E:$E, MATCH($A183, 'KZ-normalized'!$A:$A, 0))&gt;0, -(28*INDEX('KZ-normalized'!$D:$D, MATCH($A183, 'KZ-normalized'!$A:$A, 0))-INDEX('KZ-normalized'!$E:$E, MATCH($A183, 'KZ-normalized'!$A:$A, 0))), 0), 0))+(IFERROR(IF(28*INDEX('UZ-normalized'!$D:$D, MATCH($A183, 'UZ-normalized'!$A:$A, 0))-INDEX('UZ-normalized'!$E:$E, MATCH($A183, 'UZ-normalized'!$A:$A, 0))&gt;0, -(28*INDEX('UZ-normalized'!$D:$D, MATCH($A183, 'UZ-normalized'!$A:$A, 0))-INDEX('UZ-normalized'!$E:$E, MATCH($A183, 'UZ-normalized'!$A:$A, 0))), 0), 0)))</f>
        <v>0</v>
      </c>
      <c r="AQ183" s="6">
        <f>MIN(0, N183+(IFERROR(IF(29*INDEX('UA-normalized'!$D:$D, MATCH($A183, 'UA-normalized'!$A:$A, 0))-INDEX('UA-normalized'!$E:$E, MATCH($A183, 'UA-normalized'!$A:$A, 0))&gt;0, -(29*INDEX('UA-normalized'!$D:$D, MATCH($A183, 'UA-normalized'!$A:$A, 0))-INDEX('UA-normalized'!$E:$E, MATCH($A183, 'UA-normalized'!$A:$A, 0))), 0), 0))+(IFERROR(IF(29*INDEX('KZ-normalized'!$D:$D, MATCH($A183, 'KZ-normalized'!$A:$A, 0))-INDEX('KZ-normalized'!$E:$E, MATCH($A183, 'KZ-normalized'!$A:$A, 0))&gt;0, -(29*INDEX('KZ-normalized'!$D:$D, MATCH($A183, 'KZ-normalized'!$A:$A, 0))-INDEX('KZ-normalized'!$E:$E, MATCH($A183, 'KZ-normalized'!$A:$A, 0))), 0), 0))+(IFERROR(IF(29*INDEX('UZ-normalized'!$D:$D, MATCH($A183, 'UZ-normalized'!$A:$A, 0))-INDEX('UZ-normalized'!$E:$E, MATCH($A183, 'UZ-normalized'!$A:$A, 0))&gt;0, -(29*INDEX('UZ-normalized'!$D:$D, MATCH($A183, 'UZ-normalized'!$A:$A, 0))-INDEX('UZ-normalized'!$E:$E, MATCH($A183, 'UZ-normalized'!$A:$A, 0))), 0), 0)))</f>
        <v>0</v>
      </c>
      <c r="AR183" s="6">
        <f>MIN(0, N183+(IFERROR(IF(30*INDEX('UA-normalized'!$D:$D, MATCH($A183, 'UA-normalized'!$A:$A, 0))-INDEX('UA-normalized'!$E:$E, MATCH($A183, 'UA-normalized'!$A:$A, 0))&gt;0, -(30*INDEX('UA-normalized'!$D:$D, MATCH($A183, 'UA-normalized'!$A:$A, 0))-INDEX('UA-normalized'!$E:$E, MATCH($A183, 'UA-normalized'!$A:$A, 0))), 0), 0))+(IFERROR(IF(30*INDEX('KZ-normalized'!$D:$D, MATCH($A183, 'KZ-normalized'!$A:$A, 0))-INDEX('KZ-normalized'!$E:$E, MATCH($A183, 'KZ-normalized'!$A:$A, 0))&gt;0, -(30*INDEX('KZ-normalized'!$D:$D, MATCH($A183, 'KZ-normalized'!$A:$A, 0))-INDEX('KZ-normalized'!$E:$E, MATCH($A183, 'KZ-normalized'!$A:$A, 0))), 0), 0))+(IFERROR(IF(30*INDEX('UZ-normalized'!$D:$D, MATCH($A183, 'UZ-normalized'!$A:$A, 0))-INDEX('UZ-normalized'!$E:$E, MATCH($A183, 'UZ-normalized'!$A:$A, 0))&gt;0, -(30*INDEX('UZ-normalized'!$D:$D, MATCH($A183, 'UZ-normalized'!$A:$A, 0))-INDEX('UZ-normalized'!$E:$E, MATCH($A183, 'UZ-normalized'!$A:$A, 0))), 0), 0)))</f>
        <v>0</v>
      </c>
    </row>
    <row r="184" spans="1:44" x14ac:dyDescent="0.25">
      <c r="A184" s="8" t="s">
        <v>441</v>
      </c>
      <c r="B184" s="8" t="s">
        <v>442</v>
      </c>
      <c r="C184" s="8" t="s">
        <v>443</v>
      </c>
      <c r="D184" s="8" t="s">
        <v>444</v>
      </c>
      <c r="N184">
        <f t="shared" si="2"/>
        <v>0</v>
      </c>
      <c r="O184" s="6">
        <f>MIN(0, N184+(IFERROR(IF(1*INDEX('UA-normalized'!$D:$D, MATCH($A184, 'UA-normalized'!$A:$A, 0))-INDEX('UA-normalized'!$E:$E, MATCH($A184, 'UA-normalized'!$A:$A, 0))&gt;0, -(1*INDEX('UA-normalized'!$D:$D, MATCH($A184, 'UA-normalized'!$A:$A, 0))-INDEX('UA-normalized'!$E:$E, MATCH($A184, 'UA-normalized'!$A:$A, 0))), 0), 0))+(IFERROR(IF(1*INDEX('KZ-normalized'!$D:$D, MATCH($A184, 'KZ-normalized'!$A:$A, 0))-INDEX('KZ-normalized'!$E:$E, MATCH($A184, 'KZ-normalized'!$A:$A, 0))&gt;0, -(1*INDEX('KZ-normalized'!$D:$D, MATCH($A184, 'KZ-normalized'!$A:$A, 0))-INDEX('KZ-normalized'!$E:$E, MATCH($A184, 'KZ-normalized'!$A:$A, 0))), 0), 0))+(IFERROR(IF(1*INDEX('UZ-normalized'!$D:$D, MATCH($A184, 'UZ-normalized'!$A:$A, 0))-INDEX('UZ-normalized'!$E:$E, MATCH($A184, 'UZ-normalized'!$A:$A, 0))&gt;0, -(1*INDEX('UZ-normalized'!$D:$D, MATCH($A184, 'UZ-normalized'!$A:$A, 0))-INDEX('UZ-normalized'!$E:$E, MATCH($A184, 'UZ-normalized'!$A:$A, 0))), 0), 0)))</f>
        <v>0</v>
      </c>
      <c r="P184" s="6">
        <f>MIN(0, N184+(IFERROR(IF(2*INDEX('UA-normalized'!$D:$D, MATCH($A184, 'UA-normalized'!$A:$A, 0))-INDEX('UA-normalized'!$E:$E, MATCH($A184, 'UA-normalized'!$A:$A, 0))&gt;0, -(2*INDEX('UA-normalized'!$D:$D, MATCH($A184, 'UA-normalized'!$A:$A, 0))-INDEX('UA-normalized'!$E:$E, MATCH($A184, 'UA-normalized'!$A:$A, 0))), 0), 0))+(IFERROR(IF(2*INDEX('KZ-normalized'!$D:$D, MATCH($A184, 'KZ-normalized'!$A:$A, 0))-INDEX('KZ-normalized'!$E:$E, MATCH($A184, 'KZ-normalized'!$A:$A, 0))&gt;0, -(2*INDEX('KZ-normalized'!$D:$D, MATCH($A184, 'KZ-normalized'!$A:$A, 0))-INDEX('KZ-normalized'!$E:$E, MATCH($A184, 'KZ-normalized'!$A:$A, 0))), 0), 0))+(IFERROR(IF(2*INDEX('UZ-normalized'!$D:$D, MATCH($A184, 'UZ-normalized'!$A:$A, 0))-INDEX('UZ-normalized'!$E:$E, MATCH($A184, 'UZ-normalized'!$A:$A, 0))&gt;0, -(2*INDEX('UZ-normalized'!$D:$D, MATCH($A184, 'UZ-normalized'!$A:$A, 0))-INDEX('UZ-normalized'!$E:$E, MATCH($A184, 'UZ-normalized'!$A:$A, 0))), 0), 0)))</f>
        <v>0</v>
      </c>
      <c r="Q184" s="6">
        <f>MIN(0, N184+(IFERROR(IF(3*INDEX('UA-normalized'!$D:$D, MATCH($A184, 'UA-normalized'!$A:$A, 0))-INDEX('UA-normalized'!$E:$E, MATCH($A184, 'UA-normalized'!$A:$A, 0))&gt;0, -(3*INDEX('UA-normalized'!$D:$D, MATCH($A184, 'UA-normalized'!$A:$A, 0))-INDEX('UA-normalized'!$E:$E, MATCH($A184, 'UA-normalized'!$A:$A, 0))), 0), 0))+(IFERROR(IF(3*INDEX('KZ-normalized'!$D:$D, MATCH($A184, 'KZ-normalized'!$A:$A, 0))-INDEX('KZ-normalized'!$E:$E, MATCH($A184, 'KZ-normalized'!$A:$A, 0))&gt;0, -(3*INDEX('KZ-normalized'!$D:$D, MATCH($A184, 'KZ-normalized'!$A:$A, 0))-INDEX('KZ-normalized'!$E:$E, MATCH($A184, 'KZ-normalized'!$A:$A, 0))), 0), 0))+(IFERROR(IF(3*INDEX('UZ-normalized'!$D:$D, MATCH($A184, 'UZ-normalized'!$A:$A, 0))-INDEX('UZ-normalized'!$E:$E, MATCH($A184, 'UZ-normalized'!$A:$A, 0))&gt;0, -(3*INDEX('UZ-normalized'!$D:$D, MATCH($A184, 'UZ-normalized'!$A:$A, 0))-INDEX('UZ-normalized'!$E:$E, MATCH($A184, 'UZ-normalized'!$A:$A, 0))), 0), 0)))</f>
        <v>-3</v>
      </c>
      <c r="R184" s="6">
        <f>MIN(0, N184+(IFERROR(IF(4*INDEX('UA-normalized'!$D:$D, MATCH($A184, 'UA-normalized'!$A:$A, 0))-INDEX('UA-normalized'!$E:$E, MATCH($A184, 'UA-normalized'!$A:$A, 0))&gt;0, -(4*INDEX('UA-normalized'!$D:$D, MATCH($A184, 'UA-normalized'!$A:$A, 0))-INDEX('UA-normalized'!$E:$E, MATCH($A184, 'UA-normalized'!$A:$A, 0))), 0), 0))+(IFERROR(IF(4*INDEX('KZ-normalized'!$D:$D, MATCH($A184, 'KZ-normalized'!$A:$A, 0))-INDEX('KZ-normalized'!$E:$E, MATCH($A184, 'KZ-normalized'!$A:$A, 0))&gt;0, -(4*INDEX('KZ-normalized'!$D:$D, MATCH($A184, 'KZ-normalized'!$A:$A, 0))-INDEX('KZ-normalized'!$E:$E, MATCH($A184, 'KZ-normalized'!$A:$A, 0))), 0), 0))+(IFERROR(IF(4*INDEX('UZ-normalized'!$D:$D, MATCH($A184, 'UZ-normalized'!$A:$A, 0))-INDEX('UZ-normalized'!$E:$E, MATCH($A184, 'UZ-normalized'!$A:$A, 0))&gt;0, -(4*INDEX('UZ-normalized'!$D:$D, MATCH($A184, 'UZ-normalized'!$A:$A, 0))-INDEX('UZ-normalized'!$E:$E, MATCH($A184, 'UZ-normalized'!$A:$A, 0))), 0), 0)))</f>
        <v>-51</v>
      </c>
      <c r="S184" s="6">
        <f>MIN(0, N184+(IFERROR(IF(5*INDEX('UA-normalized'!$D:$D, MATCH($A184, 'UA-normalized'!$A:$A, 0))-INDEX('UA-normalized'!$E:$E, MATCH($A184, 'UA-normalized'!$A:$A, 0))&gt;0, -(5*INDEX('UA-normalized'!$D:$D, MATCH($A184, 'UA-normalized'!$A:$A, 0))-INDEX('UA-normalized'!$E:$E, MATCH($A184, 'UA-normalized'!$A:$A, 0))), 0), 0))+(IFERROR(IF(5*INDEX('KZ-normalized'!$D:$D, MATCH($A184, 'KZ-normalized'!$A:$A, 0))-INDEX('KZ-normalized'!$E:$E, MATCH($A184, 'KZ-normalized'!$A:$A, 0))&gt;0, -(5*INDEX('KZ-normalized'!$D:$D, MATCH($A184, 'KZ-normalized'!$A:$A, 0))-INDEX('KZ-normalized'!$E:$E, MATCH($A184, 'KZ-normalized'!$A:$A, 0))), 0), 0))+(IFERROR(IF(5*INDEX('UZ-normalized'!$D:$D, MATCH($A184, 'UZ-normalized'!$A:$A, 0))-INDEX('UZ-normalized'!$E:$E, MATCH($A184, 'UZ-normalized'!$A:$A, 0))&gt;0, -(5*INDEX('UZ-normalized'!$D:$D, MATCH($A184, 'UZ-normalized'!$A:$A, 0))-INDEX('UZ-normalized'!$E:$E, MATCH($A184, 'UZ-normalized'!$A:$A, 0))), 0), 0)))</f>
        <v>-99</v>
      </c>
      <c r="T184" s="6">
        <f>MIN(0, N184+(IFERROR(IF(6*INDEX('UA-normalized'!$D:$D, MATCH($A184, 'UA-normalized'!$A:$A, 0))-INDEX('UA-normalized'!$E:$E, MATCH($A184, 'UA-normalized'!$A:$A, 0))&gt;0, -(6*INDEX('UA-normalized'!$D:$D, MATCH($A184, 'UA-normalized'!$A:$A, 0))-INDEX('UA-normalized'!$E:$E, MATCH($A184, 'UA-normalized'!$A:$A, 0))), 0), 0))+(IFERROR(IF(6*INDEX('KZ-normalized'!$D:$D, MATCH($A184, 'KZ-normalized'!$A:$A, 0))-INDEX('KZ-normalized'!$E:$E, MATCH($A184, 'KZ-normalized'!$A:$A, 0))&gt;0, -(6*INDEX('KZ-normalized'!$D:$D, MATCH($A184, 'KZ-normalized'!$A:$A, 0))-INDEX('KZ-normalized'!$E:$E, MATCH($A184, 'KZ-normalized'!$A:$A, 0))), 0), 0))+(IFERROR(IF(6*INDEX('UZ-normalized'!$D:$D, MATCH($A184, 'UZ-normalized'!$A:$A, 0))-INDEX('UZ-normalized'!$E:$E, MATCH($A184, 'UZ-normalized'!$A:$A, 0))&gt;0, -(6*INDEX('UZ-normalized'!$D:$D, MATCH($A184, 'UZ-normalized'!$A:$A, 0))-INDEX('UZ-normalized'!$E:$E, MATCH($A184, 'UZ-normalized'!$A:$A, 0))), 0), 0)))</f>
        <v>-147</v>
      </c>
      <c r="U184" s="6">
        <f>MIN(0, N184+(IFERROR(IF(7*INDEX('UA-normalized'!$D:$D, MATCH($A184, 'UA-normalized'!$A:$A, 0))-INDEX('UA-normalized'!$E:$E, MATCH($A184, 'UA-normalized'!$A:$A, 0))&gt;0, -(7*INDEX('UA-normalized'!$D:$D, MATCH($A184, 'UA-normalized'!$A:$A, 0))-INDEX('UA-normalized'!$E:$E, MATCH($A184, 'UA-normalized'!$A:$A, 0))), 0), 0))+(IFERROR(IF(7*INDEX('KZ-normalized'!$D:$D, MATCH($A184, 'KZ-normalized'!$A:$A, 0))-INDEX('KZ-normalized'!$E:$E, MATCH($A184, 'KZ-normalized'!$A:$A, 0))&gt;0, -(7*INDEX('KZ-normalized'!$D:$D, MATCH($A184, 'KZ-normalized'!$A:$A, 0))-INDEX('KZ-normalized'!$E:$E, MATCH($A184, 'KZ-normalized'!$A:$A, 0))), 0), 0))+(IFERROR(IF(7*INDEX('UZ-normalized'!$D:$D, MATCH($A184, 'UZ-normalized'!$A:$A, 0))-INDEX('UZ-normalized'!$E:$E, MATCH($A184, 'UZ-normalized'!$A:$A, 0))&gt;0, -(7*INDEX('UZ-normalized'!$D:$D, MATCH($A184, 'UZ-normalized'!$A:$A, 0))-INDEX('UZ-normalized'!$E:$E, MATCH($A184, 'UZ-normalized'!$A:$A, 0))), 0), 0)))</f>
        <v>-195</v>
      </c>
      <c r="V184" s="6">
        <f>MIN(0, N184+(IFERROR(IF(8*INDEX('UA-normalized'!$D:$D, MATCH($A184, 'UA-normalized'!$A:$A, 0))-INDEX('UA-normalized'!$E:$E, MATCH($A184, 'UA-normalized'!$A:$A, 0))&gt;0, -(8*INDEX('UA-normalized'!$D:$D, MATCH($A184, 'UA-normalized'!$A:$A, 0))-INDEX('UA-normalized'!$E:$E, MATCH($A184, 'UA-normalized'!$A:$A, 0))), 0), 0))+(IFERROR(IF(8*INDEX('KZ-normalized'!$D:$D, MATCH($A184, 'KZ-normalized'!$A:$A, 0))-INDEX('KZ-normalized'!$E:$E, MATCH($A184, 'KZ-normalized'!$A:$A, 0))&gt;0, -(8*INDEX('KZ-normalized'!$D:$D, MATCH($A184, 'KZ-normalized'!$A:$A, 0))-INDEX('KZ-normalized'!$E:$E, MATCH($A184, 'KZ-normalized'!$A:$A, 0))), 0), 0))+(IFERROR(IF(8*INDEX('UZ-normalized'!$D:$D, MATCH($A184, 'UZ-normalized'!$A:$A, 0))-INDEX('UZ-normalized'!$E:$E, MATCH($A184, 'UZ-normalized'!$A:$A, 0))&gt;0, -(8*INDEX('UZ-normalized'!$D:$D, MATCH($A184, 'UZ-normalized'!$A:$A, 0))-INDEX('UZ-normalized'!$E:$E, MATCH($A184, 'UZ-normalized'!$A:$A, 0))), 0), 0)))</f>
        <v>-243</v>
      </c>
      <c r="W184" s="6">
        <f>MIN(0, N184+(IFERROR(IF(9*INDEX('UA-normalized'!$D:$D, MATCH($A184, 'UA-normalized'!$A:$A, 0))-INDEX('UA-normalized'!$E:$E, MATCH($A184, 'UA-normalized'!$A:$A, 0))&gt;0, -(9*INDEX('UA-normalized'!$D:$D, MATCH($A184, 'UA-normalized'!$A:$A, 0))-INDEX('UA-normalized'!$E:$E, MATCH($A184, 'UA-normalized'!$A:$A, 0))), 0), 0))+(IFERROR(IF(9*INDEX('KZ-normalized'!$D:$D, MATCH($A184, 'KZ-normalized'!$A:$A, 0))-INDEX('KZ-normalized'!$E:$E, MATCH($A184, 'KZ-normalized'!$A:$A, 0))&gt;0, -(9*INDEX('KZ-normalized'!$D:$D, MATCH($A184, 'KZ-normalized'!$A:$A, 0))-INDEX('KZ-normalized'!$E:$E, MATCH($A184, 'KZ-normalized'!$A:$A, 0))), 0), 0))+(IFERROR(IF(9*INDEX('UZ-normalized'!$D:$D, MATCH($A184, 'UZ-normalized'!$A:$A, 0))-INDEX('UZ-normalized'!$E:$E, MATCH($A184, 'UZ-normalized'!$A:$A, 0))&gt;0, -(9*INDEX('UZ-normalized'!$D:$D, MATCH($A184, 'UZ-normalized'!$A:$A, 0))-INDEX('UZ-normalized'!$E:$E, MATCH($A184, 'UZ-normalized'!$A:$A, 0))), 0), 0)))</f>
        <v>-291</v>
      </c>
      <c r="X184" s="6">
        <f>MIN(0, N184+(IFERROR(IF(10*INDEX('UA-normalized'!$D:$D, MATCH($A184, 'UA-normalized'!$A:$A, 0))-INDEX('UA-normalized'!$E:$E, MATCH($A184, 'UA-normalized'!$A:$A, 0))&gt;0, -(10*INDEX('UA-normalized'!$D:$D, MATCH($A184, 'UA-normalized'!$A:$A, 0))-INDEX('UA-normalized'!$E:$E, MATCH($A184, 'UA-normalized'!$A:$A, 0))), 0), 0))+(IFERROR(IF(10*INDEX('KZ-normalized'!$D:$D, MATCH($A184, 'KZ-normalized'!$A:$A, 0))-INDEX('KZ-normalized'!$E:$E, MATCH($A184, 'KZ-normalized'!$A:$A, 0))&gt;0, -(10*INDEX('KZ-normalized'!$D:$D, MATCH($A184, 'KZ-normalized'!$A:$A, 0))-INDEX('KZ-normalized'!$E:$E, MATCH($A184, 'KZ-normalized'!$A:$A, 0))), 0), 0))+(IFERROR(IF(10*INDEX('UZ-normalized'!$D:$D, MATCH($A184, 'UZ-normalized'!$A:$A, 0))-INDEX('UZ-normalized'!$E:$E, MATCH($A184, 'UZ-normalized'!$A:$A, 0))&gt;0, -(10*INDEX('UZ-normalized'!$D:$D, MATCH($A184, 'UZ-normalized'!$A:$A, 0))-INDEX('UZ-normalized'!$E:$E, MATCH($A184, 'UZ-normalized'!$A:$A, 0))), 0), 0)))</f>
        <v>-339</v>
      </c>
      <c r="Y184" s="6">
        <f>MIN(0, N184+(IFERROR(IF(11*INDEX('UA-normalized'!$D:$D, MATCH($A184, 'UA-normalized'!$A:$A, 0))-INDEX('UA-normalized'!$E:$E, MATCH($A184, 'UA-normalized'!$A:$A, 0))&gt;0, -(11*INDEX('UA-normalized'!$D:$D, MATCH($A184, 'UA-normalized'!$A:$A, 0))-INDEX('UA-normalized'!$E:$E, MATCH($A184, 'UA-normalized'!$A:$A, 0))), 0), 0))+(IFERROR(IF(11*INDEX('KZ-normalized'!$D:$D, MATCH($A184, 'KZ-normalized'!$A:$A, 0))-INDEX('KZ-normalized'!$E:$E, MATCH($A184, 'KZ-normalized'!$A:$A, 0))&gt;0, -(11*INDEX('KZ-normalized'!$D:$D, MATCH($A184, 'KZ-normalized'!$A:$A, 0))-INDEX('KZ-normalized'!$E:$E, MATCH($A184, 'KZ-normalized'!$A:$A, 0))), 0), 0))+(IFERROR(IF(11*INDEX('UZ-normalized'!$D:$D, MATCH($A184, 'UZ-normalized'!$A:$A, 0))-INDEX('UZ-normalized'!$E:$E, MATCH($A184, 'UZ-normalized'!$A:$A, 0))&gt;0, -(11*INDEX('UZ-normalized'!$D:$D, MATCH($A184, 'UZ-normalized'!$A:$A, 0))-INDEX('UZ-normalized'!$E:$E, MATCH($A184, 'UZ-normalized'!$A:$A, 0))), 0), 0)))</f>
        <v>-387</v>
      </c>
      <c r="Z184" s="6">
        <f>MIN(0, N184+(IFERROR(IF(12*INDEX('UA-normalized'!$D:$D, MATCH($A184, 'UA-normalized'!$A:$A, 0))-INDEX('UA-normalized'!$E:$E, MATCH($A184, 'UA-normalized'!$A:$A, 0))&gt;0, -(12*INDEX('UA-normalized'!$D:$D, MATCH($A184, 'UA-normalized'!$A:$A, 0))-INDEX('UA-normalized'!$E:$E, MATCH($A184, 'UA-normalized'!$A:$A, 0))), 0), 0))+(IFERROR(IF(12*INDEX('KZ-normalized'!$D:$D, MATCH($A184, 'KZ-normalized'!$A:$A, 0))-INDEX('KZ-normalized'!$E:$E, MATCH($A184, 'KZ-normalized'!$A:$A, 0))&gt;0, -(12*INDEX('KZ-normalized'!$D:$D, MATCH($A184, 'KZ-normalized'!$A:$A, 0))-INDEX('KZ-normalized'!$E:$E, MATCH($A184, 'KZ-normalized'!$A:$A, 0))), 0), 0))+(IFERROR(IF(12*INDEX('UZ-normalized'!$D:$D, MATCH($A184, 'UZ-normalized'!$A:$A, 0))-INDEX('UZ-normalized'!$E:$E, MATCH($A184, 'UZ-normalized'!$A:$A, 0))&gt;0, -(12*INDEX('UZ-normalized'!$D:$D, MATCH($A184, 'UZ-normalized'!$A:$A, 0))-INDEX('UZ-normalized'!$E:$E, MATCH($A184, 'UZ-normalized'!$A:$A, 0))), 0), 0)))</f>
        <v>-435</v>
      </c>
      <c r="AA184" s="6">
        <f>MIN(0, N184+(IFERROR(IF(13*INDEX('UA-normalized'!$D:$D, MATCH($A184, 'UA-normalized'!$A:$A, 0))-INDEX('UA-normalized'!$E:$E, MATCH($A184, 'UA-normalized'!$A:$A, 0))&gt;0, -(13*INDEX('UA-normalized'!$D:$D, MATCH($A184, 'UA-normalized'!$A:$A, 0))-INDEX('UA-normalized'!$E:$E, MATCH($A184, 'UA-normalized'!$A:$A, 0))), 0), 0))+(IFERROR(IF(13*INDEX('KZ-normalized'!$D:$D, MATCH($A184, 'KZ-normalized'!$A:$A, 0))-INDEX('KZ-normalized'!$E:$E, MATCH($A184, 'KZ-normalized'!$A:$A, 0))&gt;0, -(13*INDEX('KZ-normalized'!$D:$D, MATCH($A184, 'KZ-normalized'!$A:$A, 0))-INDEX('KZ-normalized'!$E:$E, MATCH($A184, 'KZ-normalized'!$A:$A, 0))), 0), 0))+(IFERROR(IF(13*INDEX('UZ-normalized'!$D:$D, MATCH($A184, 'UZ-normalized'!$A:$A, 0))-INDEX('UZ-normalized'!$E:$E, MATCH($A184, 'UZ-normalized'!$A:$A, 0))&gt;0, -(13*INDEX('UZ-normalized'!$D:$D, MATCH($A184, 'UZ-normalized'!$A:$A, 0))-INDEX('UZ-normalized'!$E:$E, MATCH($A184, 'UZ-normalized'!$A:$A, 0))), 0), 0)))</f>
        <v>-483</v>
      </c>
      <c r="AB184" s="6">
        <f>MIN(0, N184+(IFERROR(IF(14*INDEX('UA-normalized'!$D:$D, MATCH($A184, 'UA-normalized'!$A:$A, 0))-INDEX('UA-normalized'!$E:$E, MATCH($A184, 'UA-normalized'!$A:$A, 0))&gt;0, -(14*INDEX('UA-normalized'!$D:$D, MATCH($A184, 'UA-normalized'!$A:$A, 0))-INDEX('UA-normalized'!$E:$E, MATCH($A184, 'UA-normalized'!$A:$A, 0))), 0), 0))+(IFERROR(IF(14*INDEX('KZ-normalized'!$D:$D, MATCH($A184, 'KZ-normalized'!$A:$A, 0))-INDEX('KZ-normalized'!$E:$E, MATCH($A184, 'KZ-normalized'!$A:$A, 0))&gt;0, -(14*INDEX('KZ-normalized'!$D:$D, MATCH($A184, 'KZ-normalized'!$A:$A, 0))-INDEX('KZ-normalized'!$E:$E, MATCH($A184, 'KZ-normalized'!$A:$A, 0))), 0), 0))+(IFERROR(IF(14*INDEX('UZ-normalized'!$D:$D, MATCH($A184, 'UZ-normalized'!$A:$A, 0))-INDEX('UZ-normalized'!$E:$E, MATCH($A184, 'UZ-normalized'!$A:$A, 0))&gt;0, -(14*INDEX('UZ-normalized'!$D:$D, MATCH($A184, 'UZ-normalized'!$A:$A, 0))-INDEX('UZ-normalized'!$E:$E, MATCH($A184, 'UZ-normalized'!$A:$A, 0))), 0), 0)))</f>
        <v>-531</v>
      </c>
      <c r="AC184" s="6">
        <f>MIN(0, N184+(IFERROR(IF(15*INDEX('UA-normalized'!$D:$D, MATCH($A184, 'UA-normalized'!$A:$A, 0))-INDEX('UA-normalized'!$E:$E, MATCH($A184, 'UA-normalized'!$A:$A, 0))&gt;0, -(15*INDEX('UA-normalized'!$D:$D, MATCH($A184, 'UA-normalized'!$A:$A, 0))-INDEX('UA-normalized'!$E:$E, MATCH($A184, 'UA-normalized'!$A:$A, 0))), 0), 0))+(IFERROR(IF(15*INDEX('KZ-normalized'!$D:$D, MATCH($A184, 'KZ-normalized'!$A:$A, 0))-INDEX('KZ-normalized'!$E:$E, MATCH($A184, 'KZ-normalized'!$A:$A, 0))&gt;0, -(15*INDEX('KZ-normalized'!$D:$D, MATCH($A184, 'KZ-normalized'!$A:$A, 0))-INDEX('KZ-normalized'!$E:$E, MATCH($A184, 'KZ-normalized'!$A:$A, 0))), 0), 0))+(IFERROR(IF(15*INDEX('UZ-normalized'!$D:$D, MATCH($A184, 'UZ-normalized'!$A:$A, 0))-INDEX('UZ-normalized'!$E:$E, MATCH($A184, 'UZ-normalized'!$A:$A, 0))&gt;0, -(15*INDEX('UZ-normalized'!$D:$D, MATCH($A184, 'UZ-normalized'!$A:$A, 0))-INDEX('UZ-normalized'!$E:$E, MATCH($A184, 'UZ-normalized'!$A:$A, 0))), 0), 0)))</f>
        <v>-579</v>
      </c>
      <c r="AD184" s="6">
        <f>MIN(0, N184+(IFERROR(IF(16*INDEX('UA-normalized'!$D:$D, MATCH($A184, 'UA-normalized'!$A:$A, 0))-INDEX('UA-normalized'!$E:$E, MATCH($A184, 'UA-normalized'!$A:$A, 0))&gt;0, -(16*INDEX('UA-normalized'!$D:$D, MATCH($A184, 'UA-normalized'!$A:$A, 0))-INDEX('UA-normalized'!$E:$E, MATCH($A184, 'UA-normalized'!$A:$A, 0))), 0), 0))+(IFERROR(IF(16*INDEX('KZ-normalized'!$D:$D, MATCH($A184, 'KZ-normalized'!$A:$A, 0))-INDEX('KZ-normalized'!$E:$E, MATCH($A184, 'KZ-normalized'!$A:$A, 0))&gt;0, -(16*INDEX('KZ-normalized'!$D:$D, MATCH($A184, 'KZ-normalized'!$A:$A, 0))-INDEX('KZ-normalized'!$E:$E, MATCH($A184, 'KZ-normalized'!$A:$A, 0))), 0), 0))+(IFERROR(IF(16*INDEX('UZ-normalized'!$D:$D, MATCH($A184, 'UZ-normalized'!$A:$A, 0))-INDEX('UZ-normalized'!$E:$E, MATCH($A184, 'UZ-normalized'!$A:$A, 0))&gt;0, -(16*INDEX('UZ-normalized'!$D:$D, MATCH($A184, 'UZ-normalized'!$A:$A, 0))-INDEX('UZ-normalized'!$E:$E, MATCH($A184, 'UZ-normalized'!$A:$A, 0))), 0), 0)))</f>
        <v>-627</v>
      </c>
      <c r="AE184" s="6">
        <f>MIN(0, N184+(IFERROR(IF(17*INDEX('UA-normalized'!$D:$D, MATCH($A184, 'UA-normalized'!$A:$A, 0))-INDEX('UA-normalized'!$E:$E, MATCH($A184, 'UA-normalized'!$A:$A, 0))&gt;0, -(17*INDEX('UA-normalized'!$D:$D, MATCH($A184, 'UA-normalized'!$A:$A, 0))-INDEX('UA-normalized'!$E:$E, MATCH($A184, 'UA-normalized'!$A:$A, 0))), 0), 0))+(IFERROR(IF(17*INDEX('KZ-normalized'!$D:$D, MATCH($A184, 'KZ-normalized'!$A:$A, 0))-INDEX('KZ-normalized'!$E:$E, MATCH($A184, 'KZ-normalized'!$A:$A, 0))&gt;0, -(17*INDEX('KZ-normalized'!$D:$D, MATCH($A184, 'KZ-normalized'!$A:$A, 0))-INDEX('KZ-normalized'!$E:$E, MATCH($A184, 'KZ-normalized'!$A:$A, 0))), 0), 0))+(IFERROR(IF(17*INDEX('UZ-normalized'!$D:$D, MATCH($A184, 'UZ-normalized'!$A:$A, 0))-INDEX('UZ-normalized'!$E:$E, MATCH($A184, 'UZ-normalized'!$A:$A, 0))&gt;0, -(17*INDEX('UZ-normalized'!$D:$D, MATCH($A184, 'UZ-normalized'!$A:$A, 0))-INDEX('UZ-normalized'!$E:$E, MATCH($A184, 'UZ-normalized'!$A:$A, 0))), 0), 0)))</f>
        <v>-675</v>
      </c>
      <c r="AF184" s="6">
        <f>MIN(0, N184+(IFERROR(IF(18*INDEX('UA-normalized'!$D:$D, MATCH($A184, 'UA-normalized'!$A:$A, 0))-INDEX('UA-normalized'!$E:$E, MATCH($A184, 'UA-normalized'!$A:$A, 0))&gt;0, -(18*INDEX('UA-normalized'!$D:$D, MATCH($A184, 'UA-normalized'!$A:$A, 0))-INDEX('UA-normalized'!$E:$E, MATCH($A184, 'UA-normalized'!$A:$A, 0))), 0), 0))+(IFERROR(IF(18*INDEX('KZ-normalized'!$D:$D, MATCH($A184, 'KZ-normalized'!$A:$A, 0))-INDEX('KZ-normalized'!$E:$E, MATCH($A184, 'KZ-normalized'!$A:$A, 0))&gt;0, -(18*INDEX('KZ-normalized'!$D:$D, MATCH($A184, 'KZ-normalized'!$A:$A, 0))-INDEX('KZ-normalized'!$E:$E, MATCH($A184, 'KZ-normalized'!$A:$A, 0))), 0), 0))+(IFERROR(IF(18*INDEX('UZ-normalized'!$D:$D, MATCH($A184, 'UZ-normalized'!$A:$A, 0))-INDEX('UZ-normalized'!$E:$E, MATCH($A184, 'UZ-normalized'!$A:$A, 0))&gt;0, -(18*INDEX('UZ-normalized'!$D:$D, MATCH($A184, 'UZ-normalized'!$A:$A, 0))-INDEX('UZ-normalized'!$E:$E, MATCH($A184, 'UZ-normalized'!$A:$A, 0))), 0), 0)))</f>
        <v>-723</v>
      </c>
      <c r="AG184" s="6">
        <f>MIN(0, N184+(IFERROR(IF(19*INDEX('UA-normalized'!$D:$D, MATCH($A184, 'UA-normalized'!$A:$A, 0))-INDEX('UA-normalized'!$E:$E, MATCH($A184, 'UA-normalized'!$A:$A, 0))&gt;0, -(19*INDEX('UA-normalized'!$D:$D, MATCH($A184, 'UA-normalized'!$A:$A, 0))-INDEX('UA-normalized'!$E:$E, MATCH($A184, 'UA-normalized'!$A:$A, 0))), 0), 0))+(IFERROR(IF(19*INDEX('KZ-normalized'!$D:$D, MATCH($A184, 'KZ-normalized'!$A:$A, 0))-INDEX('KZ-normalized'!$E:$E, MATCH($A184, 'KZ-normalized'!$A:$A, 0))&gt;0, -(19*INDEX('KZ-normalized'!$D:$D, MATCH($A184, 'KZ-normalized'!$A:$A, 0))-INDEX('KZ-normalized'!$E:$E, MATCH($A184, 'KZ-normalized'!$A:$A, 0))), 0), 0))+(IFERROR(IF(19*INDEX('UZ-normalized'!$D:$D, MATCH($A184, 'UZ-normalized'!$A:$A, 0))-INDEX('UZ-normalized'!$E:$E, MATCH($A184, 'UZ-normalized'!$A:$A, 0))&gt;0, -(19*INDEX('UZ-normalized'!$D:$D, MATCH($A184, 'UZ-normalized'!$A:$A, 0))-INDEX('UZ-normalized'!$E:$E, MATCH($A184, 'UZ-normalized'!$A:$A, 0))), 0), 0)))</f>
        <v>-771</v>
      </c>
      <c r="AH184" s="6">
        <f>MIN(0, N184+(IFERROR(IF(20*INDEX('UA-normalized'!$D:$D, MATCH($A184, 'UA-normalized'!$A:$A, 0))-INDEX('UA-normalized'!$E:$E, MATCH($A184, 'UA-normalized'!$A:$A, 0))&gt;0, -(20*INDEX('UA-normalized'!$D:$D, MATCH($A184, 'UA-normalized'!$A:$A, 0))-INDEX('UA-normalized'!$E:$E, MATCH($A184, 'UA-normalized'!$A:$A, 0))), 0), 0))+(IFERROR(IF(20*INDEX('KZ-normalized'!$D:$D, MATCH($A184, 'KZ-normalized'!$A:$A, 0))-INDEX('KZ-normalized'!$E:$E, MATCH($A184, 'KZ-normalized'!$A:$A, 0))&gt;0, -(20*INDEX('KZ-normalized'!$D:$D, MATCH($A184, 'KZ-normalized'!$A:$A, 0))-INDEX('KZ-normalized'!$E:$E, MATCH($A184, 'KZ-normalized'!$A:$A, 0))), 0), 0))+(IFERROR(IF(20*INDEX('UZ-normalized'!$D:$D, MATCH($A184, 'UZ-normalized'!$A:$A, 0))-INDEX('UZ-normalized'!$E:$E, MATCH($A184, 'UZ-normalized'!$A:$A, 0))&gt;0, -(20*INDEX('UZ-normalized'!$D:$D, MATCH($A184, 'UZ-normalized'!$A:$A, 0))-INDEX('UZ-normalized'!$E:$E, MATCH($A184, 'UZ-normalized'!$A:$A, 0))), 0), 0)))</f>
        <v>-819</v>
      </c>
      <c r="AI184" s="6">
        <f>MIN(0, N184+(IFERROR(IF(21*INDEX('UA-normalized'!$D:$D, MATCH($A184, 'UA-normalized'!$A:$A, 0))-INDEX('UA-normalized'!$E:$E, MATCH($A184, 'UA-normalized'!$A:$A, 0))&gt;0, -(21*INDEX('UA-normalized'!$D:$D, MATCH($A184, 'UA-normalized'!$A:$A, 0))-INDEX('UA-normalized'!$E:$E, MATCH($A184, 'UA-normalized'!$A:$A, 0))), 0), 0))+(IFERROR(IF(21*INDEX('KZ-normalized'!$D:$D, MATCH($A184, 'KZ-normalized'!$A:$A, 0))-INDEX('KZ-normalized'!$E:$E, MATCH($A184, 'KZ-normalized'!$A:$A, 0))&gt;0, -(21*INDEX('KZ-normalized'!$D:$D, MATCH($A184, 'KZ-normalized'!$A:$A, 0))-INDEX('KZ-normalized'!$E:$E, MATCH($A184, 'KZ-normalized'!$A:$A, 0))), 0), 0))+(IFERROR(IF(21*INDEX('UZ-normalized'!$D:$D, MATCH($A184, 'UZ-normalized'!$A:$A, 0))-INDEX('UZ-normalized'!$E:$E, MATCH($A184, 'UZ-normalized'!$A:$A, 0))&gt;0, -(21*INDEX('UZ-normalized'!$D:$D, MATCH($A184, 'UZ-normalized'!$A:$A, 0))-INDEX('UZ-normalized'!$E:$E, MATCH($A184, 'UZ-normalized'!$A:$A, 0))), 0), 0)))</f>
        <v>-867</v>
      </c>
      <c r="AJ184" s="6">
        <f>MIN(0, N184+(IFERROR(IF(22*INDEX('UA-normalized'!$D:$D, MATCH($A184, 'UA-normalized'!$A:$A, 0))-INDEX('UA-normalized'!$E:$E, MATCH($A184, 'UA-normalized'!$A:$A, 0))&gt;0, -(22*INDEX('UA-normalized'!$D:$D, MATCH($A184, 'UA-normalized'!$A:$A, 0))-INDEX('UA-normalized'!$E:$E, MATCH($A184, 'UA-normalized'!$A:$A, 0))), 0), 0))+(IFERROR(IF(22*INDEX('KZ-normalized'!$D:$D, MATCH($A184, 'KZ-normalized'!$A:$A, 0))-INDEX('KZ-normalized'!$E:$E, MATCH($A184, 'KZ-normalized'!$A:$A, 0))&gt;0, -(22*INDEX('KZ-normalized'!$D:$D, MATCH($A184, 'KZ-normalized'!$A:$A, 0))-INDEX('KZ-normalized'!$E:$E, MATCH($A184, 'KZ-normalized'!$A:$A, 0))), 0), 0))+(IFERROR(IF(22*INDEX('UZ-normalized'!$D:$D, MATCH($A184, 'UZ-normalized'!$A:$A, 0))-INDEX('UZ-normalized'!$E:$E, MATCH($A184, 'UZ-normalized'!$A:$A, 0))&gt;0, -(22*INDEX('UZ-normalized'!$D:$D, MATCH($A184, 'UZ-normalized'!$A:$A, 0))-INDEX('UZ-normalized'!$E:$E, MATCH($A184, 'UZ-normalized'!$A:$A, 0))), 0), 0)))</f>
        <v>-915</v>
      </c>
      <c r="AK184" s="6">
        <f>MIN(0, N184+(IFERROR(IF(23*INDEX('UA-normalized'!$D:$D, MATCH($A184, 'UA-normalized'!$A:$A, 0))-INDEX('UA-normalized'!$E:$E, MATCH($A184, 'UA-normalized'!$A:$A, 0))&gt;0, -(23*INDEX('UA-normalized'!$D:$D, MATCH($A184, 'UA-normalized'!$A:$A, 0))-INDEX('UA-normalized'!$E:$E, MATCH($A184, 'UA-normalized'!$A:$A, 0))), 0), 0))+(IFERROR(IF(23*INDEX('KZ-normalized'!$D:$D, MATCH($A184, 'KZ-normalized'!$A:$A, 0))-INDEX('KZ-normalized'!$E:$E, MATCH($A184, 'KZ-normalized'!$A:$A, 0))&gt;0, -(23*INDEX('KZ-normalized'!$D:$D, MATCH($A184, 'KZ-normalized'!$A:$A, 0))-INDEX('KZ-normalized'!$E:$E, MATCH($A184, 'KZ-normalized'!$A:$A, 0))), 0), 0))+(IFERROR(IF(23*INDEX('UZ-normalized'!$D:$D, MATCH($A184, 'UZ-normalized'!$A:$A, 0))-INDEX('UZ-normalized'!$E:$E, MATCH($A184, 'UZ-normalized'!$A:$A, 0))&gt;0, -(23*INDEX('UZ-normalized'!$D:$D, MATCH($A184, 'UZ-normalized'!$A:$A, 0))-INDEX('UZ-normalized'!$E:$E, MATCH($A184, 'UZ-normalized'!$A:$A, 0))), 0), 0)))</f>
        <v>-963</v>
      </c>
      <c r="AL184" s="6">
        <f>MIN(0, N184+(IFERROR(IF(24*INDEX('UA-normalized'!$D:$D, MATCH($A184, 'UA-normalized'!$A:$A, 0))-INDEX('UA-normalized'!$E:$E, MATCH($A184, 'UA-normalized'!$A:$A, 0))&gt;0, -(24*INDEX('UA-normalized'!$D:$D, MATCH($A184, 'UA-normalized'!$A:$A, 0))-INDEX('UA-normalized'!$E:$E, MATCH($A184, 'UA-normalized'!$A:$A, 0))), 0), 0))+(IFERROR(IF(24*INDEX('KZ-normalized'!$D:$D, MATCH($A184, 'KZ-normalized'!$A:$A, 0))-INDEX('KZ-normalized'!$E:$E, MATCH($A184, 'KZ-normalized'!$A:$A, 0))&gt;0, -(24*INDEX('KZ-normalized'!$D:$D, MATCH($A184, 'KZ-normalized'!$A:$A, 0))-INDEX('KZ-normalized'!$E:$E, MATCH($A184, 'KZ-normalized'!$A:$A, 0))), 0), 0))+(IFERROR(IF(24*INDEX('UZ-normalized'!$D:$D, MATCH($A184, 'UZ-normalized'!$A:$A, 0))-INDEX('UZ-normalized'!$E:$E, MATCH($A184, 'UZ-normalized'!$A:$A, 0))&gt;0, -(24*INDEX('UZ-normalized'!$D:$D, MATCH($A184, 'UZ-normalized'!$A:$A, 0))-INDEX('UZ-normalized'!$E:$E, MATCH($A184, 'UZ-normalized'!$A:$A, 0))), 0), 0)))</f>
        <v>-1011</v>
      </c>
      <c r="AM184" s="6">
        <f>MIN(0, N184+(IFERROR(IF(25*INDEX('UA-normalized'!$D:$D, MATCH($A184, 'UA-normalized'!$A:$A, 0))-INDEX('UA-normalized'!$E:$E, MATCH($A184, 'UA-normalized'!$A:$A, 0))&gt;0, -(25*INDEX('UA-normalized'!$D:$D, MATCH($A184, 'UA-normalized'!$A:$A, 0))-INDEX('UA-normalized'!$E:$E, MATCH($A184, 'UA-normalized'!$A:$A, 0))), 0), 0))+(IFERROR(IF(25*INDEX('KZ-normalized'!$D:$D, MATCH($A184, 'KZ-normalized'!$A:$A, 0))-INDEX('KZ-normalized'!$E:$E, MATCH($A184, 'KZ-normalized'!$A:$A, 0))&gt;0, -(25*INDEX('KZ-normalized'!$D:$D, MATCH($A184, 'KZ-normalized'!$A:$A, 0))-INDEX('KZ-normalized'!$E:$E, MATCH($A184, 'KZ-normalized'!$A:$A, 0))), 0), 0))+(IFERROR(IF(25*INDEX('UZ-normalized'!$D:$D, MATCH($A184, 'UZ-normalized'!$A:$A, 0))-INDEX('UZ-normalized'!$E:$E, MATCH($A184, 'UZ-normalized'!$A:$A, 0))&gt;0, -(25*INDEX('UZ-normalized'!$D:$D, MATCH($A184, 'UZ-normalized'!$A:$A, 0))-INDEX('UZ-normalized'!$E:$E, MATCH($A184, 'UZ-normalized'!$A:$A, 0))), 0), 0)))</f>
        <v>-1059</v>
      </c>
      <c r="AN184" s="6">
        <f>MIN(0, N184+(IFERROR(IF(26*INDEX('UA-normalized'!$D:$D, MATCH($A184, 'UA-normalized'!$A:$A, 0))-INDEX('UA-normalized'!$E:$E, MATCH($A184, 'UA-normalized'!$A:$A, 0))&gt;0, -(26*INDEX('UA-normalized'!$D:$D, MATCH($A184, 'UA-normalized'!$A:$A, 0))-INDEX('UA-normalized'!$E:$E, MATCH($A184, 'UA-normalized'!$A:$A, 0))), 0), 0))+(IFERROR(IF(26*INDEX('KZ-normalized'!$D:$D, MATCH($A184, 'KZ-normalized'!$A:$A, 0))-INDEX('KZ-normalized'!$E:$E, MATCH($A184, 'KZ-normalized'!$A:$A, 0))&gt;0, -(26*INDEX('KZ-normalized'!$D:$D, MATCH($A184, 'KZ-normalized'!$A:$A, 0))-INDEX('KZ-normalized'!$E:$E, MATCH($A184, 'KZ-normalized'!$A:$A, 0))), 0), 0))+(IFERROR(IF(26*INDEX('UZ-normalized'!$D:$D, MATCH($A184, 'UZ-normalized'!$A:$A, 0))-INDEX('UZ-normalized'!$E:$E, MATCH($A184, 'UZ-normalized'!$A:$A, 0))&gt;0, -(26*INDEX('UZ-normalized'!$D:$D, MATCH($A184, 'UZ-normalized'!$A:$A, 0))-INDEX('UZ-normalized'!$E:$E, MATCH($A184, 'UZ-normalized'!$A:$A, 0))), 0), 0)))</f>
        <v>-1107</v>
      </c>
      <c r="AO184" s="6">
        <f>MIN(0, N184+(IFERROR(IF(27*INDEX('UA-normalized'!$D:$D, MATCH($A184, 'UA-normalized'!$A:$A, 0))-INDEX('UA-normalized'!$E:$E, MATCH($A184, 'UA-normalized'!$A:$A, 0))&gt;0, -(27*INDEX('UA-normalized'!$D:$D, MATCH($A184, 'UA-normalized'!$A:$A, 0))-INDEX('UA-normalized'!$E:$E, MATCH($A184, 'UA-normalized'!$A:$A, 0))), 0), 0))+(IFERROR(IF(27*INDEX('KZ-normalized'!$D:$D, MATCH($A184, 'KZ-normalized'!$A:$A, 0))-INDEX('KZ-normalized'!$E:$E, MATCH($A184, 'KZ-normalized'!$A:$A, 0))&gt;0, -(27*INDEX('KZ-normalized'!$D:$D, MATCH($A184, 'KZ-normalized'!$A:$A, 0))-INDEX('KZ-normalized'!$E:$E, MATCH($A184, 'KZ-normalized'!$A:$A, 0))), 0), 0))+(IFERROR(IF(27*INDEX('UZ-normalized'!$D:$D, MATCH($A184, 'UZ-normalized'!$A:$A, 0))-INDEX('UZ-normalized'!$E:$E, MATCH($A184, 'UZ-normalized'!$A:$A, 0))&gt;0, -(27*INDEX('UZ-normalized'!$D:$D, MATCH($A184, 'UZ-normalized'!$A:$A, 0))-INDEX('UZ-normalized'!$E:$E, MATCH($A184, 'UZ-normalized'!$A:$A, 0))), 0), 0)))</f>
        <v>-1155</v>
      </c>
      <c r="AP184" s="6">
        <f>MIN(0, N184+(IFERROR(IF(28*INDEX('UA-normalized'!$D:$D, MATCH($A184, 'UA-normalized'!$A:$A, 0))-INDEX('UA-normalized'!$E:$E, MATCH($A184, 'UA-normalized'!$A:$A, 0))&gt;0, -(28*INDEX('UA-normalized'!$D:$D, MATCH($A184, 'UA-normalized'!$A:$A, 0))-INDEX('UA-normalized'!$E:$E, MATCH($A184, 'UA-normalized'!$A:$A, 0))), 0), 0))+(IFERROR(IF(28*INDEX('KZ-normalized'!$D:$D, MATCH($A184, 'KZ-normalized'!$A:$A, 0))-INDEX('KZ-normalized'!$E:$E, MATCH($A184, 'KZ-normalized'!$A:$A, 0))&gt;0, -(28*INDEX('KZ-normalized'!$D:$D, MATCH($A184, 'KZ-normalized'!$A:$A, 0))-INDEX('KZ-normalized'!$E:$E, MATCH($A184, 'KZ-normalized'!$A:$A, 0))), 0), 0))+(IFERROR(IF(28*INDEX('UZ-normalized'!$D:$D, MATCH($A184, 'UZ-normalized'!$A:$A, 0))-INDEX('UZ-normalized'!$E:$E, MATCH($A184, 'UZ-normalized'!$A:$A, 0))&gt;0, -(28*INDEX('UZ-normalized'!$D:$D, MATCH($A184, 'UZ-normalized'!$A:$A, 0))-INDEX('UZ-normalized'!$E:$E, MATCH($A184, 'UZ-normalized'!$A:$A, 0))), 0), 0)))</f>
        <v>-1203</v>
      </c>
      <c r="AQ184" s="6">
        <f>MIN(0, N184+(IFERROR(IF(29*INDEX('UA-normalized'!$D:$D, MATCH($A184, 'UA-normalized'!$A:$A, 0))-INDEX('UA-normalized'!$E:$E, MATCH($A184, 'UA-normalized'!$A:$A, 0))&gt;0, -(29*INDEX('UA-normalized'!$D:$D, MATCH($A184, 'UA-normalized'!$A:$A, 0))-INDEX('UA-normalized'!$E:$E, MATCH($A184, 'UA-normalized'!$A:$A, 0))), 0), 0))+(IFERROR(IF(29*INDEX('KZ-normalized'!$D:$D, MATCH($A184, 'KZ-normalized'!$A:$A, 0))-INDEX('KZ-normalized'!$E:$E, MATCH($A184, 'KZ-normalized'!$A:$A, 0))&gt;0, -(29*INDEX('KZ-normalized'!$D:$D, MATCH($A184, 'KZ-normalized'!$A:$A, 0))-INDEX('KZ-normalized'!$E:$E, MATCH($A184, 'KZ-normalized'!$A:$A, 0))), 0), 0))+(IFERROR(IF(29*INDEX('UZ-normalized'!$D:$D, MATCH($A184, 'UZ-normalized'!$A:$A, 0))-INDEX('UZ-normalized'!$E:$E, MATCH($A184, 'UZ-normalized'!$A:$A, 0))&gt;0, -(29*INDEX('UZ-normalized'!$D:$D, MATCH($A184, 'UZ-normalized'!$A:$A, 0))-INDEX('UZ-normalized'!$E:$E, MATCH($A184, 'UZ-normalized'!$A:$A, 0))), 0), 0)))</f>
        <v>-1251</v>
      </c>
      <c r="AR184" s="6">
        <f>MIN(0, N184+(IFERROR(IF(30*INDEX('UA-normalized'!$D:$D, MATCH($A184, 'UA-normalized'!$A:$A, 0))-INDEX('UA-normalized'!$E:$E, MATCH($A184, 'UA-normalized'!$A:$A, 0))&gt;0, -(30*INDEX('UA-normalized'!$D:$D, MATCH($A184, 'UA-normalized'!$A:$A, 0))-INDEX('UA-normalized'!$E:$E, MATCH($A184, 'UA-normalized'!$A:$A, 0))), 0), 0))+(IFERROR(IF(30*INDEX('KZ-normalized'!$D:$D, MATCH($A184, 'KZ-normalized'!$A:$A, 0))-INDEX('KZ-normalized'!$E:$E, MATCH($A184, 'KZ-normalized'!$A:$A, 0))&gt;0, -(30*INDEX('KZ-normalized'!$D:$D, MATCH($A184, 'KZ-normalized'!$A:$A, 0))-INDEX('KZ-normalized'!$E:$E, MATCH($A184, 'KZ-normalized'!$A:$A, 0))), 0), 0))+(IFERROR(IF(30*INDEX('UZ-normalized'!$D:$D, MATCH($A184, 'UZ-normalized'!$A:$A, 0))-INDEX('UZ-normalized'!$E:$E, MATCH($A184, 'UZ-normalized'!$A:$A, 0))&gt;0, -(30*INDEX('UZ-normalized'!$D:$D, MATCH($A184, 'UZ-normalized'!$A:$A, 0))-INDEX('UZ-normalized'!$E:$E, MATCH($A184, 'UZ-normalized'!$A:$A, 0))), 0), 0)))</f>
        <v>-1299</v>
      </c>
    </row>
    <row r="185" spans="1:44" x14ac:dyDescent="0.25">
      <c r="A185" s="8" t="s">
        <v>445</v>
      </c>
      <c r="B185" s="8" t="s">
        <v>442</v>
      </c>
      <c r="C185" s="8" t="s">
        <v>443</v>
      </c>
      <c r="D185" s="8" t="s">
        <v>446</v>
      </c>
      <c r="N185">
        <f t="shared" si="2"/>
        <v>0</v>
      </c>
      <c r="O185" s="6">
        <f>MIN(0, N185+(IFERROR(IF(1*INDEX('UA-normalized'!$D:$D, MATCH($A185, 'UA-normalized'!$A:$A, 0))-INDEX('UA-normalized'!$E:$E, MATCH($A185, 'UA-normalized'!$A:$A, 0))&gt;0, -(1*INDEX('UA-normalized'!$D:$D, MATCH($A185, 'UA-normalized'!$A:$A, 0))-INDEX('UA-normalized'!$E:$E, MATCH($A185, 'UA-normalized'!$A:$A, 0))), 0), 0))+(IFERROR(IF(1*INDEX('KZ-normalized'!$D:$D, MATCH($A185, 'KZ-normalized'!$A:$A, 0))-INDEX('KZ-normalized'!$E:$E, MATCH($A185, 'KZ-normalized'!$A:$A, 0))&gt;0, -(1*INDEX('KZ-normalized'!$D:$D, MATCH($A185, 'KZ-normalized'!$A:$A, 0))-INDEX('KZ-normalized'!$E:$E, MATCH($A185, 'KZ-normalized'!$A:$A, 0))), 0), 0))+(IFERROR(IF(1*INDEX('UZ-normalized'!$D:$D, MATCH($A185, 'UZ-normalized'!$A:$A, 0))-INDEX('UZ-normalized'!$E:$E, MATCH($A185, 'UZ-normalized'!$A:$A, 0))&gt;0, -(1*INDEX('UZ-normalized'!$D:$D, MATCH($A185, 'UZ-normalized'!$A:$A, 0))-INDEX('UZ-normalized'!$E:$E, MATCH($A185, 'UZ-normalized'!$A:$A, 0))), 0), 0)))</f>
        <v>0</v>
      </c>
      <c r="P185" s="6">
        <f>MIN(0, N185+(IFERROR(IF(2*INDEX('UA-normalized'!$D:$D, MATCH($A185, 'UA-normalized'!$A:$A, 0))-INDEX('UA-normalized'!$E:$E, MATCH($A185, 'UA-normalized'!$A:$A, 0))&gt;0, -(2*INDEX('UA-normalized'!$D:$D, MATCH($A185, 'UA-normalized'!$A:$A, 0))-INDEX('UA-normalized'!$E:$E, MATCH($A185, 'UA-normalized'!$A:$A, 0))), 0), 0))+(IFERROR(IF(2*INDEX('KZ-normalized'!$D:$D, MATCH($A185, 'KZ-normalized'!$A:$A, 0))-INDEX('KZ-normalized'!$E:$E, MATCH($A185, 'KZ-normalized'!$A:$A, 0))&gt;0, -(2*INDEX('KZ-normalized'!$D:$D, MATCH($A185, 'KZ-normalized'!$A:$A, 0))-INDEX('KZ-normalized'!$E:$E, MATCH($A185, 'KZ-normalized'!$A:$A, 0))), 0), 0))+(IFERROR(IF(2*INDEX('UZ-normalized'!$D:$D, MATCH($A185, 'UZ-normalized'!$A:$A, 0))-INDEX('UZ-normalized'!$E:$E, MATCH($A185, 'UZ-normalized'!$A:$A, 0))&gt;0, -(2*INDEX('UZ-normalized'!$D:$D, MATCH($A185, 'UZ-normalized'!$A:$A, 0))-INDEX('UZ-normalized'!$E:$E, MATCH($A185, 'UZ-normalized'!$A:$A, 0))), 0), 0)))</f>
        <v>0</v>
      </c>
      <c r="Q185" s="6">
        <f>MIN(0, N185+(IFERROR(IF(3*INDEX('UA-normalized'!$D:$D, MATCH($A185, 'UA-normalized'!$A:$A, 0))-INDEX('UA-normalized'!$E:$E, MATCH($A185, 'UA-normalized'!$A:$A, 0))&gt;0, -(3*INDEX('UA-normalized'!$D:$D, MATCH($A185, 'UA-normalized'!$A:$A, 0))-INDEX('UA-normalized'!$E:$E, MATCH($A185, 'UA-normalized'!$A:$A, 0))), 0), 0))+(IFERROR(IF(3*INDEX('KZ-normalized'!$D:$D, MATCH($A185, 'KZ-normalized'!$A:$A, 0))-INDEX('KZ-normalized'!$E:$E, MATCH($A185, 'KZ-normalized'!$A:$A, 0))&gt;0, -(3*INDEX('KZ-normalized'!$D:$D, MATCH($A185, 'KZ-normalized'!$A:$A, 0))-INDEX('KZ-normalized'!$E:$E, MATCH($A185, 'KZ-normalized'!$A:$A, 0))), 0), 0))+(IFERROR(IF(3*INDEX('UZ-normalized'!$D:$D, MATCH($A185, 'UZ-normalized'!$A:$A, 0))-INDEX('UZ-normalized'!$E:$E, MATCH($A185, 'UZ-normalized'!$A:$A, 0))&gt;0, -(3*INDEX('UZ-normalized'!$D:$D, MATCH($A185, 'UZ-normalized'!$A:$A, 0))-INDEX('UZ-normalized'!$E:$E, MATCH($A185, 'UZ-normalized'!$A:$A, 0))), 0), 0)))</f>
        <v>0</v>
      </c>
      <c r="R185" s="6">
        <f>MIN(0, N185+(IFERROR(IF(4*INDEX('UA-normalized'!$D:$D, MATCH($A185, 'UA-normalized'!$A:$A, 0))-INDEX('UA-normalized'!$E:$E, MATCH($A185, 'UA-normalized'!$A:$A, 0))&gt;0, -(4*INDEX('UA-normalized'!$D:$D, MATCH($A185, 'UA-normalized'!$A:$A, 0))-INDEX('UA-normalized'!$E:$E, MATCH($A185, 'UA-normalized'!$A:$A, 0))), 0), 0))+(IFERROR(IF(4*INDEX('KZ-normalized'!$D:$D, MATCH($A185, 'KZ-normalized'!$A:$A, 0))-INDEX('KZ-normalized'!$E:$E, MATCH($A185, 'KZ-normalized'!$A:$A, 0))&gt;0, -(4*INDEX('KZ-normalized'!$D:$D, MATCH($A185, 'KZ-normalized'!$A:$A, 0))-INDEX('KZ-normalized'!$E:$E, MATCH($A185, 'KZ-normalized'!$A:$A, 0))), 0), 0))+(IFERROR(IF(4*INDEX('UZ-normalized'!$D:$D, MATCH($A185, 'UZ-normalized'!$A:$A, 0))-INDEX('UZ-normalized'!$E:$E, MATCH($A185, 'UZ-normalized'!$A:$A, 0))&gt;0, -(4*INDEX('UZ-normalized'!$D:$D, MATCH($A185, 'UZ-normalized'!$A:$A, 0))-INDEX('UZ-normalized'!$E:$E, MATCH($A185, 'UZ-normalized'!$A:$A, 0))), 0), 0)))</f>
        <v>0</v>
      </c>
      <c r="S185" s="6">
        <f>MIN(0, N185+(IFERROR(IF(5*INDEX('UA-normalized'!$D:$D, MATCH($A185, 'UA-normalized'!$A:$A, 0))-INDEX('UA-normalized'!$E:$E, MATCH($A185, 'UA-normalized'!$A:$A, 0))&gt;0, -(5*INDEX('UA-normalized'!$D:$D, MATCH($A185, 'UA-normalized'!$A:$A, 0))-INDEX('UA-normalized'!$E:$E, MATCH($A185, 'UA-normalized'!$A:$A, 0))), 0), 0))+(IFERROR(IF(5*INDEX('KZ-normalized'!$D:$D, MATCH($A185, 'KZ-normalized'!$A:$A, 0))-INDEX('KZ-normalized'!$E:$E, MATCH($A185, 'KZ-normalized'!$A:$A, 0))&gt;0, -(5*INDEX('KZ-normalized'!$D:$D, MATCH($A185, 'KZ-normalized'!$A:$A, 0))-INDEX('KZ-normalized'!$E:$E, MATCH($A185, 'KZ-normalized'!$A:$A, 0))), 0), 0))+(IFERROR(IF(5*INDEX('UZ-normalized'!$D:$D, MATCH($A185, 'UZ-normalized'!$A:$A, 0))-INDEX('UZ-normalized'!$E:$E, MATCH($A185, 'UZ-normalized'!$A:$A, 0))&gt;0, -(5*INDEX('UZ-normalized'!$D:$D, MATCH($A185, 'UZ-normalized'!$A:$A, 0))-INDEX('UZ-normalized'!$E:$E, MATCH($A185, 'UZ-normalized'!$A:$A, 0))), 0), 0)))</f>
        <v>0</v>
      </c>
      <c r="T185" s="6">
        <f>MIN(0, N185+(IFERROR(IF(6*INDEX('UA-normalized'!$D:$D, MATCH($A185, 'UA-normalized'!$A:$A, 0))-INDEX('UA-normalized'!$E:$E, MATCH($A185, 'UA-normalized'!$A:$A, 0))&gt;0, -(6*INDEX('UA-normalized'!$D:$D, MATCH($A185, 'UA-normalized'!$A:$A, 0))-INDEX('UA-normalized'!$E:$E, MATCH($A185, 'UA-normalized'!$A:$A, 0))), 0), 0))+(IFERROR(IF(6*INDEX('KZ-normalized'!$D:$D, MATCH($A185, 'KZ-normalized'!$A:$A, 0))-INDEX('KZ-normalized'!$E:$E, MATCH($A185, 'KZ-normalized'!$A:$A, 0))&gt;0, -(6*INDEX('KZ-normalized'!$D:$D, MATCH($A185, 'KZ-normalized'!$A:$A, 0))-INDEX('KZ-normalized'!$E:$E, MATCH($A185, 'KZ-normalized'!$A:$A, 0))), 0), 0))+(IFERROR(IF(6*INDEX('UZ-normalized'!$D:$D, MATCH($A185, 'UZ-normalized'!$A:$A, 0))-INDEX('UZ-normalized'!$E:$E, MATCH($A185, 'UZ-normalized'!$A:$A, 0))&gt;0, -(6*INDEX('UZ-normalized'!$D:$D, MATCH($A185, 'UZ-normalized'!$A:$A, 0))-INDEX('UZ-normalized'!$E:$E, MATCH($A185, 'UZ-normalized'!$A:$A, 0))), 0), 0)))</f>
        <v>-7</v>
      </c>
      <c r="U185" s="6">
        <f>MIN(0, N185+(IFERROR(IF(7*INDEX('UA-normalized'!$D:$D, MATCH($A185, 'UA-normalized'!$A:$A, 0))-INDEX('UA-normalized'!$E:$E, MATCH($A185, 'UA-normalized'!$A:$A, 0))&gt;0, -(7*INDEX('UA-normalized'!$D:$D, MATCH($A185, 'UA-normalized'!$A:$A, 0))-INDEX('UA-normalized'!$E:$E, MATCH($A185, 'UA-normalized'!$A:$A, 0))), 0), 0))+(IFERROR(IF(7*INDEX('KZ-normalized'!$D:$D, MATCH($A185, 'KZ-normalized'!$A:$A, 0))-INDEX('KZ-normalized'!$E:$E, MATCH($A185, 'KZ-normalized'!$A:$A, 0))&gt;0, -(7*INDEX('KZ-normalized'!$D:$D, MATCH($A185, 'KZ-normalized'!$A:$A, 0))-INDEX('KZ-normalized'!$E:$E, MATCH($A185, 'KZ-normalized'!$A:$A, 0))), 0), 0))+(IFERROR(IF(7*INDEX('UZ-normalized'!$D:$D, MATCH($A185, 'UZ-normalized'!$A:$A, 0))-INDEX('UZ-normalized'!$E:$E, MATCH($A185, 'UZ-normalized'!$A:$A, 0))&gt;0, -(7*INDEX('UZ-normalized'!$D:$D, MATCH($A185, 'UZ-normalized'!$A:$A, 0))-INDEX('UZ-normalized'!$E:$E, MATCH($A185, 'UZ-normalized'!$A:$A, 0))), 0), 0)))</f>
        <v>-14</v>
      </c>
      <c r="V185" s="6">
        <f>MIN(0, N185+(IFERROR(IF(8*INDEX('UA-normalized'!$D:$D, MATCH($A185, 'UA-normalized'!$A:$A, 0))-INDEX('UA-normalized'!$E:$E, MATCH($A185, 'UA-normalized'!$A:$A, 0))&gt;0, -(8*INDEX('UA-normalized'!$D:$D, MATCH($A185, 'UA-normalized'!$A:$A, 0))-INDEX('UA-normalized'!$E:$E, MATCH($A185, 'UA-normalized'!$A:$A, 0))), 0), 0))+(IFERROR(IF(8*INDEX('KZ-normalized'!$D:$D, MATCH($A185, 'KZ-normalized'!$A:$A, 0))-INDEX('KZ-normalized'!$E:$E, MATCH($A185, 'KZ-normalized'!$A:$A, 0))&gt;0, -(8*INDEX('KZ-normalized'!$D:$D, MATCH($A185, 'KZ-normalized'!$A:$A, 0))-INDEX('KZ-normalized'!$E:$E, MATCH($A185, 'KZ-normalized'!$A:$A, 0))), 0), 0))+(IFERROR(IF(8*INDEX('UZ-normalized'!$D:$D, MATCH($A185, 'UZ-normalized'!$A:$A, 0))-INDEX('UZ-normalized'!$E:$E, MATCH($A185, 'UZ-normalized'!$A:$A, 0))&gt;0, -(8*INDEX('UZ-normalized'!$D:$D, MATCH($A185, 'UZ-normalized'!$A:$A, 0))-INDEX('UZ-normalized'!$E:$E, MATCH($A185, 'UZ-normalized'!$A:$A, 0))), 0), 0)))</f>
        <v>-21</v>
      </c>
      <c r="W185" s="6">
        <f>MIN(0, N185+(IFERROR(IF(9*INDEX('UA-normalized'!$D:$D, MATCH($A185, 'UA-normalized'!$A:$A, 0))-INDEX('UA-normalized'!$E:$E, MATCH($A185, 'UA-normalized'!$A:$A, 0))&gt;0, -(9*INDEX('UA-normalized'!$D:$D, MATCH($A185, 'UA-normalized'!$A:$A, 0))-INDEX('UA-normalized'!$E:$E, MATCH($A185, 'UA-normalized'!$A:$A, 0))), 0), 0))+(IFERROR(IF(9*INDEX('KZ-normalized'!$D:$D, MATCH($A185, 'KZ-normalized'!$A:$A, 0))-INDEX('KZ-normalized'!$E:$E, MATCH($A185, 'KZ-normalized'!$A:$A, 0))&gt;0, -(9*INDEX('KZ-normalized'!$D:$D, MATCH($A185, 'KZ-normalized'!$A:$A, 0))-INDEX('KZ-normalized'!$E:$E, MATCH($A185, 'KZ-normalized'!$A:$A, 0))), 0), 0))+(IFERROR(IF(9*INDEX('UZ-normalized'!$D:$D, MATCH($A185, 'UZ-normalized'!$A:$A, 0))-INDEX('UZ-normalized'!$E:$E, MATCH($A185, 'UZ-normalized'!$A:$A, 0))&gt;0, -(9*INDEX('UZ-normalized'!$D:$D, MATCH($A185, 'UZ-normalized'!$A:$A, 0))-INDEX('UZ-normalized'!$E:$E, MATCH($A185, 'UZ-normalized'!$A:$A, 0))), 0), 0)))</f>
        <v>-28</v>
      </c>
      <c r="X185" s="6">
        <f>MIN(0, N185+(IFERROR(IF(10*INDEX('UA-normalized'!$D:$D, MATCH($A185, 'UA-normalized'!$A:$A, 0))-INDEX('UA-normalized'!$E:$E, MATCH($A185, 'UA-normalized'!$A:$A, 0))&gt;0, -(10*INDEX('UA-normalized'!$D:$D, MATCH($A185, 'UA-normalized'!$A:$A, 0))-INDEX('UA-normalized'!$E:$E, MATCH($A185, 'UA-normalized'!$A:$A, 0))), 0), 0))+(IFERROR(IF(10*INDEX('KZ-normalized'!$D:$D, MATCH($A185, 'KZ-normalized'!$A:$A, 0))-INDEX('KZ-normalized'!$E:$E, MATCH($A185, 'KZ-normalized'!$A:$A, 0))&gt;0, -(10*INDEX('KZ-normalized'!$D:$D, MATCH($A185, 'KZ-normalized'!$A:$A, 0))-INDEX('KZ-normalized'!$E:$E, MATCH($A185, 'KZ-normalized'!$A:$A, 0))), 0), 0))+(IFERROR(IF(10*INDEX('UZ-normalized'!$D:$D, MATCH($A185, 'UZ-normalized'!$A:$A, 0))-INDEX('UZ-normalized'!$E:$E, MATCH($A185, 'UZ-normalized'!$A:$A, 0))&gt;0, -(10*INDEX('UZ-normalized'!$D:$D, MATCH($A185, 'UZ-normalized'!$A:$A, 0))-INDEX('UZ-normalized'!$E:$E, MATCH($A185, 'UZ-normalized'!$A:$A, 0))), 0), 0)))</f>
        <v>-35</v>
      </c>
      <c r="Y185" s="6">
        <f>MIN(0, N185+(IFERROR(IF(11*INDEX('UA-normalized'!$D:$D, MATCH($A185, 'UA-normalized'!$A:$A, 0))-INDEX('UA-normalized'!$E:$E, MATCH($A185, 'UA-normalized'!$A:$A, 0))&gt;0, -(11*INDEX('UA-normalized'!$D:$D, MATCH($A185, 'UA-normalized'!$A:$A, 0))-INDEX('UA-normalized'!$E:$E, MATCH($A185, 'UA-normalized'!$A:$A, 0))), 0), 0))+(IFERROR(IF(11*INDEX('KZ-normalized'!$D:$D, MATCH($A185, 'KZ-normalized'!$A:$A, 0))-INDEX('KZ-normalized'!$E:$E, MATCH($A185, 'KZ-normalized'!$A:$A, 0))&gt;0, -(11*INDEX('KZ-normalized'!$D:$D, MATCH($A185, 'KZ-normalized'!$A:$A, 0))-INDEX('KZ-normalized'!$E:$E, MATCH($A185, 'KZ-normalized'!$A:$A, 0))), 0), 0))+(IFERROR(IF(11*INDEX('UZ-normalized'!$D:$D, MATCH($A185, 'UZ-normalized'!$A:$A, 0))-INDEX('UZ-normalized'!$E:$E, MATCH($A185, 'UZ-normalized'!$A:$A, 0))&gt;0, -(11*INDEX('UZ-normalized'!$D:$D, MATCH($A185, 'UZ-normalized'!$A:$A, 0))-INDEX('UZ-normalized'!$E:$E, MATCH($A185, 'UZ-normalized'!$A:$A, 0))), 0), 0)))</f>
        <v>-42</v>
      </c>
      <c r="Z185" s="6">
        <f>MIN(0, N185+(IFERROR(IF(12*INDEX('UA-normalized'!$D:$D, MATCH($A185, 'UA-normalized'!$A:$A, 0))-INDEX('UA-normalized'!$E:$E, MATCH($A185, 'UA-normalized'!$A:$A, 0))&gt;0, -(12*INDEX('UA-normalized'!$D:$D, MATCH($A185, 'UA-normalized'!$A:$A, 0))-INDEX('UA-normalized'!$E:$E, MATCH($A185, 'UA-normalized'!$A:$A, 0))), 0), 0))+(IFERROR(IF(12*INDEX('KZ-normalized'!$D:$D, MATCH($A185, 'KZ-normalized'!$A:$A, 0))-INDEX('KZ-normalized'!$E:$E, MATCH($A185, 'KZ-normalized'!$A:$A, 0))&gt;0, -(12*INDEX('KZ-normalized'!$D:$D, MATCH($A185, 'KZ-normalized'!$A:$A, 0))-INDEX('KZ-normalized'!$E:$E, MATCH($A185, 'KZ-normalized'!$A:$A, 0))), 0), 0))+(IFERROR(IF(12*INDEX('UZ-normalized'!$D:$D, MATCH($A185, 'UZ-normalized'!$A:$A, 0))-INDEX('UZ-normalized'!$E:$E, MATCH($A185, 'UZ-normalized'!$A:$A, 0))&gt;0, -(12*INDEX('UZ-normalized'!$D:$D, MATCH($A185, 'UZ-normalized'!$A:$A, 0))-INDEX('UZ-normalized'!$E:$E, MATCH($A185, 'UZ-normalized'!$A:$A, 0))), 0), 0)))</f>
        <v>-49</v>
      </c>
      <c r="AA185" s="6">
        <f>MIN(0, N185+(IFERROR(IF(13*INDEX('UA-normalized'!$D:$D, MATCH($A185, 'UA-normalized'!$A:$A, 0))-INDEX('UA-normalized'!$E:$E, MATCH($A185, 'UA-normalized'!$A:$A, 0))&gt;0, -(13*INDEX('UA-normalized'!$D:$D, MATCH($A185, 'UA-normalized'!$A:$A, 0))-INDEX('UA-normalized'!$E:$E, MATCH($A185, 'UA-normalized'!$A:$A, 0))), 0), 0))+(IFERROR(IF(13*INDEX('KZ-normalized'!$D:$D, MATCH($A185, 'KZ-normalized'!$A:$A, 0))-INDEX('KZ-normalized'!$E:$E, MATCH($A185, 'KZ-normalized'!$A:$A, 0))&gt;0, -(13*INDEX('KZ-normalized'!$D:$D, MATCH($A185, 'KZ-normalized'!$A:$A, 0))-INDEX('KZ-normalized'!$E:$E, MATCH($A185, 'KZ-normalized'!$A:$A, 0))), 0), 0))+(IFERROR(IF(13*INDEX('UZ-normalized'!$D:$D, MATCH($A185, 'UZ-normalized'!$A:$A, 0))-INDEX('UZ-normalized'!$E:$E, MATCH($A185, 'UZ-normalized'!$A:$A, 0))&gt;0, -(13*INDEX('UZ-normalized'!$D:$D, MATCH($A185, 'UZ-normalized'!$A:$A, 0))-INDEX('UZ-normalized'!$E:$E, MATCH($A185, 'UZ-normalized'!$A:$A, 0))), 0), 0)))</f>
        <v>-56</v>
      </c>
      <c r="AB185" s="6">
        <f>MIN(0, N185+(IFERROR(IF(14*INDEX('UA-normalized'!$D:$D, MATCH($A185, 'UA-normalized'!$A:$A, 0))-INDEX('UA-normalized'!$E:$E, MATCH($A185, 'UA-normalized'!$A:$A, 0))&gt;0, -(14*INDEX('UA-normalized'!$D:$D, MATCH($A185, 'UA-normalized'!$A:$A, 0))-INDEX('UA-normalized'!$E:$E, MATCH($A185, 'UA-normalized'!$A:$A, 0))), 0), 0))+(IFERROR(IF(14*INDEX('KZ-normalized'!$D:$D, MATCH($A185, 'KZ-normalized'!$A:$A, 0))-INDEX('KZ-normalized'!$E:$E, MATCH($A185, 'KZ-normalized'!$A:$A, 0))&gt;0, -(14*INDEX('KZ-normalized'!$D:$D, MATCH($A185, 'KZ-normalized'!$A:$A, 0))-INDEX('KZ-normalized'!$E:$E, MATCH($A185, 'KZ-normalized'!$A:$A, 0))), 0), 0))+(IFERROR(IF(14*INDEX('UZ-normalized'!$D:$D, MATCH($A185, 'UZ-normalized'!$A:$A, 0))-INDEX('UZ-normalized'!$E:$E, MATCH($A185, 'UZ-normalized'!$A:$A, 0))&gt;0, -(14*INDEX('UZ-normalized'!$D:$D, MATCH($A185, 'UZ-normalized'!$A:$A, 0))-INDEX('UZ-normalized'!$E:$E, MATCH($A185, 'UZ-normalized'!$A:$A, 0))), 0), 0)))</f>
        <v>-63</v>
      </c>
      <c r="AC185" s="6">
        <f>MIN(0, N185+(IFERROR(IF(15*INDEX('UA-normalized'!$D:$D, MATCH($A185, 'UA-normalized'!$A:$A, 0))-INDEX('UA-normalized'!$E:$E, MATCH($A185, 'UA-normalized'!$A:$A, 0))&gt;0, -(15*INDEX('UA-normalized'!$D:$D, MATCH($A185, 'UA-normalized'!$A:$A, 0))-INDEX('UA-normalized'!$E:$E, MATCH($A185, 'UA-normalized'!$A:$A, 0))), 0), 0))+(IFERROR(IF(15*INDEX('KZ-normalized'!$D:$D, MATCH($A185, 'KZ-normalized'!$A:$A, 0))-INDEX('KZ-normalized'!$E:$E, MATCH($A185, 'KZ-normalized'!$A:$A, 0))&gt;0, -(15*INDEX('KZ-normalized'!$D:$D, MATCH($A185, 'KZ-normalized'!$A:$A, 0))-INDEX('KZ-normalized'!$E:$E, MATCH($A185, 'KZ-normalized'!$A:$A, 0))), 0), 0))+(IFERROR(IF(15*INDEX('UZ-normalized'!$D:$D, MATCH($A185, 'UZ-normalized'!$A:$A, 0))-INDEX('UZ-normalized'!$E:$E, MATCH($A185, 'UZ-normalized'!$A:$A, 0))&gt;0, -(15*INDEX('UZ-normalized'!$D:$D, MATCH($A185, 'UZ-normalized'!$A:$A, 0))-INDEX('UZ-normalized'!$E:$E, MATCH($A185, 'UZ-normalized'!$A:$A, 0))), 0), 0)))</f>
        <v>-70</v>
      </c>
      <c r="AD185" s="6">
        <f>MIN(0, N185+(IFERROR(IF(16*INDEX('UA-normalized'!$D:$D, MATCH($A185, 'UA-normalized'!$A:$A, 0))-INDEX('UA-normalized'!$E:$E, MATCH($A185, 'UA-normalized'!$A:$A, 0))&gt;0, -(16*INDEX('UA-normalized'!$D:$D, MATCH($A185, 'UA-normalized'!$A:$A, 0))-INDEX('UA-normalized'!$E:$E, MATCH($A185, 'UA-normalized'!$A:$A, 0))), 0), 0))+(IFERROR(IF(16*INDEX('KZ-normalized'!$D:$D, MATCH($A185, 'KZ-normalized'!$A:$A, 0))-INDEX('KZ-normalized'!$E:$E, MATCH($A185, 'KZ-normalized'!$A:$A, 0))&gt;0, -(16*INDEX('KZ-normalized'!$D:$D, MATCH($A185, 'KZ-normalized'!$A:$A, 0))-INDEX('KZ-normalized'!$E:$E, MATCH($A185, 'KZ-normalized'!$A:$A, 0))), 0), 0))+(IFERROR(IF(16*INDEX('UZ-normalized'!$D:$D, MATCH($A185, 'UZ-normalized'!$A:$A, 0))-INDEX('UZ-normalized'!$E:$E, MATCH($A185, 'UZ-normalized'!$A:$A, 0))&gt;0, -(16*INDEX('UZ-normalized'!$D:$D, MATCH($A185, 'UZ-normalized'!$A:$A, 0))-INDEX('UZ-normalized'!$E:$E, MATCH($A185, 'UZ-normalized'!$A:$A, 0))), 0), 0)))</f>
        <v>-77</v>
      </c>
      <c r="AE185" s="6">
        <f>MIN(0, N185+(IFERROR(IF(17*INDEX('UA-normalized'!$D:$D, MATCH($A185, 'UA-normalized'!$A:$A, 0))-INDEX('UA-normalized'!$E:$E, MATCH($A185, 'UA-normalized'!$A:$A, 0))&gt;0, -(17*INDEX('UA-normalized'!$D:$D, MATCH($A185, 'UA-normalized'!$A:$A, 0))-INDEX('UA-normalized'!$E:$E, MATCH($A185, 'UA-normalized'!$A:$A, 0))), 0), 0))+(IFERROR(IF(17*INDEX('KZ-normalized'!$D:$D, MATCH($A185, 'KZ-normalized'!$A:$A, 0))-INDEX('KZ-normalized'!$E:$E, MATCH($A185, 'KZ-normalized'!$A:$A, 0))&gt;0, -(17*INDEX('KZ-normalized'!$D:$D, MATCH($A185, 'KZ-normalized'!$A:$A, 0))-INDEX('KZ-normalized'!$E:$E, MATCH($A185, 'KZ-normalized'!$A:$A, 0))), 0), 0))+(IFERROR(IF(17*INDEX('UZ-normalized'!$D:$D, MATCH($A185, 'UZ-normalized'!$A:$A, 0))-INDEX('UZ-normalized'!$E:$E, MATCH($A185, 'UZ-normalized'!$A:$A, 0))&gt;0, -(17*INDEX('UZ-normalized'!$D:$D, MATCH($A185, 'UZ-normalized'!$A:$A, 0))-INDEX('UZ-normalized'!$E:$E, MATCH($A185, 'UZ-normalized'!$A:$A, 0))), 0), 0)))</f>
        <v>-84</v>
      </c>
      <c r="AF185" s="6">
        <f>MIN(0, N185+(IFERROR(IF(18*INDEX('UA-normalized'!$D:$D, MATCH($A185, 'UA-normalized'!$A:$A, 0))-INDEX('UA-normalized'!$E:$E, MATCH($A185, 'UA-normalized'!$A:$A, 0))&gt;0, -(18*INDEX('UA-normalized'!$D:$D, MATCH($A185, 'UA-normalized'!$A:$A, 0))-INDEX('UA-normalized'!$E:$E, MATCH($A185, 'UA-normalized'!$A:$A, 0))), 0), 0))+(IFERROR(IF(18*INDEX('KZ-normalized'!$D:$D, MATCH($A185, 'KZ-normalized'!$A:$A, 0))-INDEX('KZ-normalized'!$E:$E, MATCH($A185, 'KZ-normalized'!$A:$A, 0))&gt;0, -(18*INDEX('KZ-normalized'!$D:$D, MATCH($A185, 'KZ-normalized'!$A:$A, 0))-INDEX('KZ-normalized'!$E:$E, MATCH($A185, 'KZ-normalized'!$A:$A, 0))), 0), 0))+(IFERROR(IF(18*INDEX('UZ-normalized'!$D:$D, MATCH($A185, 'UZ-normalized'!$A:$A, 0))-INDEX('UZ-normalized'!$E:$E, MATCH($A185, 'UZ-normalized'!$A:$A, 0))&gt;0, -(18*INDEX('UZ-normalized'!$D:$D, MATCH($A185, 'UZ-normalized'!$A:$A, 0))-INDEX('UZ-normalized'!$E:$E, MATCH($A185, 'UZ-normalized'!$A:$A, 0))), 0), 0)))</f>
        <v>-91</v>
      </c>
      <c r="AG185" s="6">
        <f>MIN(0, N185+(IFERROR(IF(19*INDEX('UA-normalized'!$D:$D, MATCH($A185, 'UA-normalized'!$A:$A, 0))-INDEX('UA-normalized'!$E:$E, MATCH($A185, 'UA-normalized'!$A:$A, 0))&gt;0, -(19*INDEX('UA-normalized'!$D:$D, MATCH($A185, 'UA-normalized'!$A:$A, 0))-INDEX('UA-normalized'!$E:$E, MATCH($A185, 'UA-normalized'!$A:$A, 0))), 0), 0))+(IFERROR(IF(19*INDEX('KZ-normalized'!$D:$D, MATCH($A185, 'KZ-normalized'!$A:$A, 0))-INDEX('KZ-normalized'!$E:$E, MATCH($A185, 'KZ-normalized'!$A:$A, 0))&gt;0, -(19*INDEX('KZ-normalized'!$D:$D, MATCH($A185, 'KZ-normalized'!$A:$A, 0))-INDEX('KZ-normalized'!$E:$E, MATCH($A185, 'KZ-normalized'!$A:$A, 0))), 0), 0))+(IFERROR(IF(19*INDEX('UZ-normalized'!$D:$D, MATCH($A185, 'UZ-normalized'!$A:$A, 0))-INDEX('UZ-normalized'!$E:$E, MATCH($A185, 'UZ-normalized'!$A:$A, 0))&gt;0, -(19*INDEX('UZ-normalized'!$D:$D, MATCH($A185, 'UZ-normalized'!$A:$A, 0))-INDEX('UZ-normalized'!$E:$E, MATCH($A185, 'UZ-normalized'!$A:$A, 0))), 0), 0)))</f>
        <v>-98</v>
      </c>
      <c r="AH185" s="6">
        <f>MIN(0, N185+(IFERROR(IF(20*INDEX('UA-normalized'!$D:$D, MATCH($A185, 'UA-normalized'!$A:$A, 0))-INDEX('UA-normalized'!$E:$E, MATCH($A185, 'UA-normalized'!$A:$A, 0))&gt;0, -(20*INDEX('UA-normalized'!$D:$D, MATCH($A185, 'UA-normalized'!$A:$A, 0))-INDEX('UA-normalized'!$E:$E, MATCH($A185, 'UA-normalized'!$A:$A, 0))), 0), 0))+(IFERROR(IF(20*INDEX('KZ-normalized'!$D:$D, MATCH($A185, 'KZ-normalized'!$A:$A, 0))-INDEX('KZ-normalized'!$E:$E, MATCH($A185, 'KZ-normalized'!$A:$A, 0))&gt;0, -(20*INDEX('KZ-normalized'!$D:$D, MATCH($A185, 'KZ-normalized'!$A:$A, 0))-INDEX('KZ-normalized'!$E:$E, MATCH($A185, 'KZ-normalized'!$A:$A, 0))), 0), 0))+(IFERROR(IF(20*INDEX('UZ-normalized'!$D:$D, MATCH($A185, 'UZ-normalized'!$A:$A, 0))-INDEX('UZ-normalized'!$E:$E, MATCH($A185, 'UZ-normalized'!$A:$A, 0))&gt;0, -(20*INDEX('UZ-normalized'!$D:$D, MATCH($A185, 'UZ-normalized'!$A:$A, 0))-INDEX('UZ-normalized'!$E:$E, MATCH($A185, 'UZ-normalized'!$A:$A, 0))), 0), 0)))</f>
        <v>-105</v>
      </c>
      <c r="AI185" s="6">
        <f>MIN(0, N185+(IFERROR(IF(21*INDEX('UA-normalized'!$D:$D, MATCH($A185, 'UA-normalized'!$A:$A, 0))-INDEX('UA-normalized'!$E:$E, MATCH($A185, 'UA-normalized'!$A:$A, 0))&gt;0, -(21*INDEX('UA-normalized'!$D:$D, MATCH($A185, 'UA-normalized'!$A:$A, 0))-INDEX('UA-normalized'!$E:$E, MATCH($A185, 'UA-normalized'!$A:$A, 0))), 0), 0))+(IFERROR(IF(21*INDEX('KZ-normalized'!$D:$D, MATCH($A185, 'KZ-normalized'!$A:$A, 0))-INDEX('KZ-normalized'!$E:$E, MATCH($A185, 'KZ-normalized'!$A:$A, 0))&gt;0, -(21*INDEX('KZ-normalized'!$D:$D, MATCH($A185, 'KZ-normalized'!$A:$A, 0))-INDEX('KZ-normalized'!$E:$E, MATCH($A185, 'KZ-normalized'!$A:$A, 0))), 0), 0))+(IFERROR(IF(21*INDEX('UZ-normalized'!$D:$D, MATCH($A185, 'UZ-normalized'!$A:$A, 0))-INDEX('UZ-normalized'!$E:$E, MATCH($A185, 'UZ-normalized'!$A:$A, 0))&gt;0, -(21*INDEX('UZ-normalized'!$D:$D, MATCH($A185, 'UZ-normalized'!$A:$A, 0))-INDEX('UZ-normalized'!$E:$E, MATCH($A185, 'UZ-normalized'!$A:$A, 0))), 0), 0)))</f>
        <v>-112</v>
      </c>
      <c r="AJ185" s="6">
        <f>MIN(0, N185+(IFERROR(IF(22*INDEX('UA-normalized'!$D:$D, MATCH($A185, 'UA-normalized'!$A:$A, 0))-INDEX('UA-normalized'!$E:$E, MATCH($A185, 'UA-normalized'!$A:$A, 0))&gt;0, -(22*INDEX('UA-normalized'!$D:$D, MATCH($A185, 'UA-normalized'!$A:$A, 0))-INDEX('UA-normalized'!$E:$E, MATCH($A185, 'UA-normalized'!$A:$A, 0))), 0), 0))+(IFERROR(IF(22*INDEX('KZ-normalized'!$D:$D, MATCH($A185, 'KZ-normalized'!$A:$A, 0))-INDEX('KZ-normalized'!$E:$E, MATCH($A185, 'KZ-normalized'!$A:$A, 0))&gt;0, -(22*INDEX('KZ-normalized'!$D:$D, MATCH($A185, 'KZ-normalized'!$A:$A, 0))-INDEX('KZ-normalized'!$E:$E, MATCH($A185, 'KZ-normalized'!$A:$A, 0))), 0), 0))+(IFERROR(IF(22*INDEX('UZ-normalized'!$D:$D, MATCH($A185, 'UZ-normalized'!$A:$A, 0))-INDEX('UZ-normalized'!$E:$E, MATCH($A185, 'UZ-normalized'!$A:$A, 0))&gt;0, -(22*INDEX('UZ-normalized'!$D:$D, MATCH($A185, 'UZ-normalized'!$A:$A, 0))-INDEX('UZ-normalized'!$E:$E, MATCH($A185, 'UZ-normalized'!$A:$A, 0))), 0), 0)))</f>
        <v>-119</v>
      </c>
      <c r="AK185" s="6">
        <f>MIN(0, N185+(IFERROR(IF(23*INDEX('UA-normalized'!$D:$D, MATCH($A185, 'UA-normalized'!$A:$A, 0))-INDEX('UA-normalized'!$E:$E, MATCH($A185, 'UA-normalized'!$A:$A, 0))&gt;0, -(23*INDEX('UA-normalized'!$D:$D, MATCH($A185, 'UA-normalized'!$A:$A, 0))-INDEX('UA-normalized'!$E:$E, MATCH($A185, 'UA-normalized'!$A:$A, 0))), 0), 0))+(IFERROR(IF(23*INDEX('KZ-normalized'!$D:$D, MATCH($A185, 'KZ-normalized'!$A:$A, 0))-INDEX('KZ-normalized'!$E:$E, MATCH($A185, 'KZ-normalized'!$A:$A, 0))&gt;0, -(23*INDEX('KZ-normalized'!$D:$D, MATCH($A185, 'KZ-normalized'!$A:$A, 0))-INDEX('KZ-normalized'!$E:$E, MATCH($A185, 'KZ-normalized'!$A:$A, 0))), 0), 0))+(IFERROR(IF(23*INDEX('UZ-normalized'!$D:$D, MATCH($A185, 'UZ-normalized'!$A:$A, 0))-INDEX('UZ-normalized'!$E:$E, MATCH($A185, 'UZ-normalized'!$A:$A, 0))&gt;0, -(23*INDEX('UZ-normalized'!$D:$D, MATCH($A185, 'UZ-normalized'!$A:$A, 0))-INDEX('UZ-normalized'!$E:$E, MATCH($A185, 'UZ-normalized'!$A:$A, 0))), 0), 0)))</f>
        <v>-126</v>
      </c>
      <c r="AL185" s="6">
        <f>MIN(0, N185+(IFERROR(IF(24*INDEX('UA-normalized'!$D:$D, MATCH($A185, 'UA-normalized'!$A:$A, 0))-INDEX('UA-normalized'!$E:$E, MATCH($A185, 'UA-normalized'!$A:$A, 0))&gt;0, -(24*INDEX('UA-normalized'!$D:$D, MATCH($A185, 'UA-normalized'!$A:$A, 0))-INDEX('UA-normalized'!$E:$E, MATCH($A185, 'UA-normalized'!$A:$A, 0))), 0), 0))+(IFERROR(IF(24*INDEX('KZ-normalized'!$D:$D, MATCH($A185, 'KZ-normalized'!$A:$A, 0))-INDEX('KZ-normalized'!$E:$E, MATCH($A185, 'KZ-normalized'!$A:$A, 0))&gt;0, -(24*INDEX('KZ-normalized'!$D:$D, MATCH($A185, 'KZ-normalized'!$A:$A, 0))-INDEX('KZ-normalized'!$E:$E, MATCH($A185, 'KZ-normalized'!$A:$A, 0))), 0), 0))+(IFERROR(IF(24*INDEX('UZ-normalized'!$D:$D, MATCH($A185, 'UZ-normalized'!$A:$A, 0))-INDEX('UZ-normalized'!$E:$E, MATCH($A185, 'UZ-normalized'!$A:$A, 0))&gt;0, -(24*INDEX('UZ-normalized'!$D:$D, MATCH($A185, 'UZ-normalized'!$A:$A, 0))-INDEX('UZ-normalized'!$E:$E, MATCH($A185, 'UZ-normalized'!$A:$A, 0))), 0), 0)))</f>
        <v>-133</v>
      </c>
      <c r="AM185" s="6">
        <f>MIN(0, N185+(IFERROR(IF(25*INDEX('UA-normalized'!$D:$D, MATCH($A185, 'UA-normalized'!$A:$A, 0))-INDEX('UA-normalized'!$E:$E, MATCH($A185, 'UA-normalized'!$A:$A, 0))&gt;0, -(25*INDEX('UA-normalized'!$D:$D, MATCH($A185, 'UA-normalized'!$A:$A, 0))-INDEX('UA-normalized'!$E:$E, MATCH($A185, 'UA-normalized'!$A:$A, 0))), 0), 0))+(IFERROR(IF(25*INDEX('KZ-normalized'!$D:$D, MATCH($A185, 'KZ-normalized'!$A:$A, 0))-INDEX('KZ-normalized'!$E:$E, MATCH($A185, 'KZ-normalized'!$A:$A, 0))&gt;0, -(25*INDEX('KZ-normalized'!$D:$D, MATCH($A185, 'KZ-normalized'!$A:$A, 0))-INDEX('KZ-normalized'!$E:$E, MATCH($A185, 'KZ-normalized'!$A:$A, 0))), 0), 0))+(IFERROR(IF(25*INDEX('UZ-normalized'!$D:$D, MATCH($A185, 'UZ-normalized'!$A:$A, 0))-INDEX('UZ-normalized'!$E:$E, MATCH($A185, 'UZ-normalized'!$A:$A, 0))&gt;0, -(25*INDEX('UZ-normalized'!$D:$D, MATCH($A185, 'UZ-normalized'!$A:$A, 0))-INDEX('UZ-normalized'!$E:$E, MATCH($A185, 'UZ-normalized'!$A:$A, 0))), 0), 0)))</f>
        <v>-140</v>
      </c>
      <c r="AN185" s="6">
        <f>MIN(0, N185+(IFERROR(IF(26*INDEX('UA-normalized'!$D:$D, MATCH($A185, 'UA-normalized'!$A:$A, 0))-INDEX('UA-normalized'!$E:$E, MATCH($A185, 'UA-normalized'!$A:$A, 0))&gt;0, -(26*INDEX('UA-normalized'!$D:$D, MATCH($A185, 'UA-normalized'!$A:$A, 0))-INDEX('UA-normalized'!$E:$E, MATCH($A185, 'UA-normalized'!$A:$A, 0))), 0), 0))+(IFERROR(IF(26*INDEX('KZ-normalized'!$D:$D, MATCH($A185, 'KZ-normalized'!$A:$A, 0))-INDEX('KZ-normalized'!$E:$E, MATCH($A185, 'KZ-normalized'!$A:$A, 0))&gt;0, -(26*INDEX('KZ-normalized'!$D:$D, MATCH($A185, 'KZ-normalized'!$A:$A, 0))-INDEX('KZ-normalized'!$E:$E, MATCH($A185, 'KZ-normalized'!$A:$A, 0))), 0), 0))+(IFERROR(IF(26*INDEX('UZ-normalized'!$D:$D, MATCH($A185, 'UZ-normalized'!$A:$A, 0))-INDEX('UZ-normalized'!$E:$E, MATCH($A185, 'UZ-normalized'!$A:$A, 0))&gt;0, -(26*INDEX('UZ-normalized'!$D:$D, MATCH($A185, 'UZ-normalized'!$A:$A, 0))-INDEX('UZ-normalized'!$E:$E, MATCH($A185, 'UZ-normalized'!$A:$A, 0))), 0), 0)))</f>
        <v>-147</v>
      </c>
      <c r="AO185" s="6">
        <f>MIN(0, N185+(IFERROR(IF(27*INDEX('UA-normalized'!$D:$D, MATCH($A185, 'UA-normalized'!$A:$A, 0))-INDEX('UA-normalized'!$E:$E, MATCH($A185, 'UA-normalized'!$A:$A, 0))&gt;0, -(27*INDEX('UA-normalized'!$D:$D, MATCH($A185, 'UA-normalized'!$A:$A, 0))-INDEX('UA-normalized'!$E:$E, MATCH($A185, 'UA-normalized'!$A:$A, 0))), 0), 0))+(IFERROR(IF(27*INDEX('KZ-normalized'!$D:$D, MATCH($A185, 'KZ-normalized'!$A:$A, 0))-INDEX('KZ-normalized'!$E:$E, MATCH($A185, 'KZ-normalized'!$A:$A, 0))&gt;0, -(27*INDEX('KZ-normalized'!$D:$D, MATCH($A185, 'KZ-normalized'!$A:$A, 0))-INDEX('KZ-normalized'!$E:$E, MATCH($A185, 'KZ-normalized'!$A:$A, 0))), 0), 0))+(IFERROR(IF(27*INDEX('UZ-normalized'!$D:$D, MATCH($A185, 'UZ-normalized'!$A:$A, 0))-INDEX('UZ-normalized'!$E:$E, MATCH($A185, 'UZ-normalized'!$A:$A, 0))&gt;0, -(27*INDEX('UZ-normalized'!$D:$D, MATCH($A185, 'UZ-normalized'!$A:$A, 0))-INDEX('UZ-normalized'!$E:$E, MATCH($A185, 'UZ-normalized'!$A:$A, 0))), 0), 0)))</f>
        <v>-154</v>
      </c>
      <c r="AP185" s="6">
        <f>MIN(0, N185+(IFERROR(IF(28*INDEX('UA-normalized'!$D:$D, MATCH($A185, 'UA-normalized'!$A:$A, 0))-INDEX('UA-normalized'!$E:$E, MATCH($A185, 'UA-normalized'!$A:$A, 0))&gt;0, -(28*INDEX('UA-normalized'!$D:$D, MATCH($A185, 'UA-normalized'!$A:$A, 0))-INDEX('UA-normalized'!$E:$E, MATCH($A185, 'UA-normalized'!$A:$A, 0))), 0), 0))+(IFERROR(IF(28*INDEX('KZ-normalized'!$D:$D, MATCH($A185, 'KZ-normalized'!$A:$A, 0))-INDEX('KZ-normalized'!$E:$E, MATCH($A185, 'KZ-normalized'!$A:$A, 0))&gt;0, -(28*INDEX('KZ-normalized'!$D:$D, MATCH($A185, 'KZ-normalized'!$A:$A, 0))-INDEX('KZ-normalized'!$E:$E, MATCH($A185, 'KZ-normalized'!$A:$A, 0))), 0), 0))+(IFERROR(IF(28*INDEX('UZ-normalized'!$D:$D, MATCH($A185, 'UZ-normalized'!$A:$A, 0))-INDEX('UZ-normalized'!$E:$E, MATCH($A185, 'UZ-normalized'!$A:$A, 0))&gt;0, -(28*INDEX('UZ-normalized'!$D:$D, MATCH($A185, 'UZ-normalized'!$A:$A, 0))-INDEX('UZ-normalized'!$E:$E, MATCH($A185, 'UZ-normalized'!$A:$A, 0))), 0), 0)))</f>
        <v>-161</v>
      </c>
      <c r="AQ185" s="6">
        <f>MIN(0, N185+(IFERROR(IF(29*INDEX('UA-normalized'!$D:$D, MATCH($A185, 'UA-normalized'!$A:$A, 0))-INDEX('UA-normalized'!$E:$E, MATCH($A185, 'UA-normalized'!$A:$A, 0))&gt;0, -(29*INDEX('UA-normalized'!$D:$D, MATCH($A185, 'UA-normalized'!$A:$A, 0))-INDEX('UA-normalized'!$E:$E, MATCH($A185, 'UA-normalized'!$A:$A, 0))), 0), 0))+(IFERROR(IF(29*INDEX('KZ-normalized'!$D:$D, MATCH($A185, 'KZ-normalized'!$A:$A, 0))-INDEX('KZ-normalized'!$E:$E, MATCH($A185, 'KZ-normalized'!$A:$A, 0))&gt;0, -(29*INDEX('KZ-normalized'!$D:$D, MATCH($A185, 'KZ-normalized'!$A:$A, 0))-INDEX('KZ-normalized'!$E:$E, MATCH($A185, 'KZ-normalized'!$A:$A, 0))), 0), 0))+(IFERROR(IF(29*INDEX('UZ-normalized'!$D:$D, MATCH($A185, 'UZ-normalized'!$A:$A, 0))-INDEX('UZ-normalized'!$E:$E, MATCH($A185, 'UZ-normalized'!$A:$A, 0))&gt;0, -(29*INDEX('UZ-normalized'!$D:$D, MATCH($A185, 'UZ-normalized'!$A:$A, 0))-INDEX('UZ-normalized'!$E:$E, MATCH($A185, 'UZ-normalized'!$A:$A, 0))), 0), 0)))</f>
        <v>-168</v>
      </c>
      <c r="AR185" s="6">
        <f>MIN(0, N185+(IFERROR(IF(30*INDEX('UA-normalized'!$D:$D, MATCH($A185, 'UA-normalized'!$A:$A, 0))-INDEX('UA-normalized'!$E:$E, MATCH($A185, 'UA-normalized'!$A:$A, 0))&gt;0, -(30*INDEX('UA-normalized'!$D:$D, MATCH($A185, 'UA-normalized'!$A:$A, 0))-INDEX('UA-normalized'!$E:$E, MATCH($A185, 'UA-normalized'!$A:$A, 0))), 0), 0))+(IFERROR(IF(30*INDEX('KZ-normalized'!$D:$D, MATCH($A185, 'KZ-normalized'!$A:$A, 0))-INDEX('KZ-normalized'!$E:$E, MATCH($A185, 'KZ-normalized'!$A:$A, 0))&gt;0, -(30*INDEX('KZ-normalized'!$D:$D, MATCH($A185, 'KZ-normalized'!$A:$A, 0))-INDEX('KZ-normalized'!$E:$E, MATCH($A185, 'KZ-normalized'!$A:$A, 0))), 0), 0))+(IFERROR(IF(30*INDEX('UZ-normalized'!$D:$D, MATCH($A185, 'UZ-normalized'!$A:$A, 0))-INDEX('UZ-normalized'!$E:$E, MATCH($A185, 'UZ-normalized'!$A:$A, 0))&gt;0, -(30*INDEX('UZ-normalized'!$D:$D, MATCH($A185, 'UZ-normalized'!$A:$A, 0))-INDEX('UZ-normalized'!$E:$E, MATCH($A185, 'UZ-normalized'!$A:$A, 0))), 0), 0)))</f>
        <v>-175</v>
      </c>
    </row>
    <row r="186" spans="1:44" x14ac:dyDescent="0.25">
      <c r="A186" s="8" t="s">
        <v>447</v>
      </c>
      <c r="B186" s="8" t="s">
        <v>442</v>
      </c>
      <c r="C186" s="8" t="s">
        <v>443</v>
      </c>
      <c r="D186" s="8" t="s">
        <v>448</v>
      </c>
      <c r="G186">
        <v>-50</v>
      </c>
      <c r="N186">
        <f t="shared" si="2"/>
        <v>-50</v>
      </c>
      <c r="O186" s="6">
        <f>MIN(0, N186+(IFERROR(IF(1*INDEX('UA-normalized'!$D:$D, MATCH($A186, 'UA-normalized'!$A:$A, 0))-INDEX('UA-normalized'!$E:$E, MATCH($A186, 'UA-normalized'!$A:$A, 0))&gt;0, -(1*INDEX('UA-normalized'!$D:$D, MATCH($A186, 'UA-normalized'!$A:$A, 0))-INDEX('UA-normalized'!$E:$E, MATCH($A186, 'UA-normalized'!$A:$A, 0))), 0), 0))+(IFERROR(IF(1*INDEX('KZ-normalized'!$D:$D, MATCH($A186, 'KZ-normalized'!$A:$A, 0))-INDEX('KZ-normalized'!$E:$E, MATCH($A186, 'KZ-normalized'!$A:$A, 0))&gt;0, -(1*INDEX('KZ-normalized'!$D:$D, MATCH($A186, 'KZ-normalized'!$A:$A, 0))-INDEX('KZ-normalized'!$E:$E, MATCH($A186, 'KZ-normalized'!$A:$A, 0))), 0), 0))+(IFERROR(IF(1*INDEX('UZ-normalized'!$D:$D, MATCH($A186, 'UZ-normalized'!$A:$A, 0))-INDEX('UZ-normalized'!$E:$E, MATCH($A186, 'UZ-normalized'!$A:$A, 0))&gt;0, -(1*INDEX('UZ-normalized'!$D:$D, MATCH($A186, 'UZ-normalized'!$A:$A, 0))-INDEX('UZ-normalized'!$E:$E, MATCH($A186, 'UZ-normalized'!$A:$A, 0))), 0), 0)))</f>
        <v>-50</v>
      </c>
      <c r="P186" s="6">
        <f>MIN(0, N186+(IFERROR(IF(2*INDEX('UA-normalized'!$D:$D, MATCH($A186, 'UA-normalized'!$A:$A, 0))-INDEX('UA-normalized'!$E:$E, MATCH($A186, 'UA-normalized'!$A:$A, 0))&gt;0, -(2*INDEX('UA-normalized'!$D:$D, MATCH($A186, 'UA-normalized'!$A:$A, 0))-INDEX('UA-normalized'!$E:$E, MATCH($A186, 'UA-normalized'!$A:$A, 0))), 0), 0))+(IFERROR(IF(2*INDEX('KZ-normalized'!$D:$D, MATCH($A186, 'KZ-normalized'!$A:$A, 0))-INDEX('KZ-normalized'!$E:$E, MATCH($A186, 'KZ-normalized'!$A:$A, 0))&gt;0, -(2*INDEX('KZ-normalized'!$D:$D, MATCH($A186, 'KZ-normalized'!$A:$A, 0))-INDEX('KZ-normalized'!$E:$E, MATCH($A186, 'KZ-normalized'!$A:$A, 0))), 0), 0))+(IFERROR(IF(2*INDEX('UZ-normalized'!$D:$D, MATCH($A186, 'UZ-normalized'!$A:$A, 0))-INDEX('UZ-normalized'!$E:$E, MATCH($A186, 'UZ-normalized'!$A:$A, 0))&gt;0, -(2*INDEX('UZ-normalized'!$D:$D, MATCH($A186, 'UZ-normalized'!$A:$A, 0))-INDEX('UZ-normalized'!$E:$E, MATCH($A186, 'UZ-normalized'!$A:$A, 0))), 0), 0)))</f>
        <v>-50</v>
      </c>
      <c r="Q186" s="6">
        <f>MIN(0, N186+(IFERROR(IF(3*INDEX('UA-normalized'!$D:$D, MATCH($A186, 'UA-normalized'!$A:$A, 0))-INDEX('UA-normalized'!$E:$E, MATCH($A186, 'UA-normalized'!$A:$A, 0))&gt;0, -(3*INDEX('UA-normalized'!$D:$D, MATCH($A186, 'UA-normalized'!$A:$A, 0))-INDEX('UA-normalized'!$E:$E, MATCH($A186, 'UA-normalized'!$A:$A, 0))), 0), 0))+(IFERROR(IF(3*INDEX('KZ-normalized'!$D:$D, MATCH($A186, 'KZ-normalized'!$A:$A, 0))-INDEX('KZ-normalized'!$E:$E, MATCH($A186, 'KZ-normalized'!$A:$A, 0))&gt;0, -(3*INDEX('KZ-normalized'!$D:$D, MATCH($A186, 'KZ-normalized'!$A:$A, 0))-INDEX('KZ-normalized'!$E:$E, MATCH($A186, 'KZ-normalized'!$A:$A, 0))), 0), 0))+(IFERROR(IF(3*INDEX('UZ-normalized'!$D:$D, MATCH($A186, 'UZ-normalized'!$A:$A, 0))-INDEX('UZ-normalized'!$E:$E, MATCH($A186, 'UZ-normalized'!$A:$A, 0))&gt;0, -(3*INDEX('UZ-normalized'!$D:$D, MATCH($A186, 'UZ-normalized'!$A:$A, 0))-INDEX('UZ-normalized'!$E:$E, MATCH($A186, 'UZ-normalized'!$A:$A, 0))), 0), 0)))</f>
        <v>-50</v>
      </c>
      <c r="R186" s="6">
        <f>MIN(0, N186+(IFERROR(IF(4*INDEX('UA-normalized'!$D:$D, MATCH($A186, 'UA-normalized'!$A:$A, 0))-INDEX('UA-normalized'!$E:$E, MATCH($A186, 'UA-normalized'!$A:$A, 0))&gt;0, -(4*INDEX('UA-normalized'!$D:$D, MATCH($A186, 'UA-normalized'!$A:$A, 0))-INDEX('UA-normalized'!$E:$E, MATCH($A186, 'UA-normalized'!$A:$A, 0))), 0), 0))+(IFERROR(IF(4*INDEX('KZ-normalized'!$D:$D, MATCH($A186, 'KZ-normalized'!$A:$A, 0))-INDEX('KZ-normalized'!$E:$E, MATCH($A186, 'KZ-normalized'!$A:$A, 0))&gt;0, -(4*INDEX('KZ-normalized'!$D:$D, MATCH($A186, 'KZ-normalized'!$A:$A, 0))-INDEX('KZ-normalized'!$E:$E, MATCH($A186, 'KZ-normalized'!$A:$A, 0))), 0), 0))+(IFERROR(IF(4*INDEX('UZ-normalized'!$D:$D, MATCH($A186, 'UZ-normalized'!$A:$A, 0))-INDEX('UZ-normalized'!$E:$E, MATCH($A186, 'UZ-normalized'!$A:$A, 0))&gt;0, -(4*INDEX('UZ-normalized'!$D:$D, MATCH($A186, 'UZ-normalized'!$A:$A, 0))-INDEX('UZ-normalized'!$E:$E, MATCH($A186, 'UZ-normalized'!$A:$A, 0))), 0), 0)))</f>
        <v>-50</v>
      </c>
      <c r="S186" s="6">
        <f>MIN(0, N186+(IFERROR(IF(5*INDEX('UA-normalized'!$D:$D, MATCH($A186, 'UA-normalized'!$A:$A, 0))-INDEX('UA-normalized'!$E:$E, MATCH($A186, 'UA-normalized'!$A:$A, 0))&gt;0, -(5*INDEX('UA-normalized'!$D:$D, MATCH($A186, 'UA-normalized'!$A:$A, 0))-INDEX('UA-normalized'!$E:$E, MATCH($A186, 'UA-normalized'!$A:$A, 0))), 0), 0))+(IFERROR(IF(5*INDEX('KZ-normalized'!$D:$D, MATCH($A186, 'KZ-normalized'!$A:$A, 0))-INDEX('KZ-normalized'!$E:$E, MATCH($A186, 'KZ-normalized'!$A:$A, 0))&gt;0, -(5*INDEX('KZ-normalized'!$D:$D, MATCH($A186, 'KZ-normalized'!$A:$A, 0))-INDEX('KZ-normalized'!$E:$E, MATCH($A186, 'KZ-normalized'!$A:$A, 0))), 0), 0))+(IFERROR(IF(5*INDEX('UZ-normalized'!$D:$D, MATCH($A186, 'UZ-normalized'!$A:$A, 0))-INDEX('UZ-normalized'!$E:$E, MATCH($A186, 'UZ-normalized'!$A:$A, 0))&gt;0, -(5*INDEX('UZ-normalized'!$D:$D, MATCH($A186, 'UZ-normalized'!$A:$A, 0))-INDEX('UZ-normalized'!$E:$E, MATCH($A186, 'UZ-normalized'!$A:$A, 0))), 0), 0)))</f>
        <v>-74.5</v>
      </c>
      <c r="T186" s="6">
        <f>MIN(0, N186+(IFERROR(IF(6*INDEX('UA-normalized'!$D:$D, MATCH($A186, 'UA-normalized'!$A:$A, 0))-INDEX('UA-normalized'!$E:$E, MATCH($A186, 'UA-normalized'!$A:$A, 0))&gt;0, -(6*INDEX('UA-normalized'!$D:$D, MATCH($A186, 'UA-normalized'!$A:$A, 0))-INDEX('UA-normalized'!$E:$E, MATCH($A186, 'UA-normalized'!$A:$A, 0))), 0), 0))+(IFERROR(IF(6*INDEX('KZ-normalized'!$D:$D, MATCH($A186, 'KZ-normalized'!$A:$A, 0))-INDEX('KZ-normalized'!$E:$E, MATCH($A186, 'KZ-normalized'!$A:$A, 0))&gt;0, -(6*INDEX('KZ-normalized'!$D:$D, MATCH($A186, 'KZ-normalized'!$A:$A, 0))-INDEX('KZ-normalized'!$E:$E, MATCH($A186, 'KZ-normalized'!$A:$A, 0))), 0), 0))+(IFERROR(IF(6*INDEX('UZ-normalized'!$D:$D, MATCH($A186, 'UZ-normalized'!$A:$A, 0))-INDEX('UZ-normalized'!$E:$E, MATCH($A186, 'UZ-normalized'!$A:$A, 0))&gt;0, -(6*INDEX('UZ-normalized'!$D:$D, MATCH($A186, 'UZ-normalized'!$A:$A, 0))-INDEX('UZ-normalized'!$E:$E, MATCH($A186, 'UZ-normalized'!$A:$A, 0))), 0), 0)))</f>
        <v>-109.79999999999998</v>
      </c>
      <c r="U186" s="6">
        <f>MIN(0, N186+(IFERROR(IF(7*INDEX('UA-normalized'!$D:$D, MATCH($A186, 'UA-normalized'!$A:$A, 0))-INDEX('UA-normalized'!$E:$E, MATCH($A186, 'UA-normalized'!$A:$A, 0))&gt;0, -(7*INDEX('UA-normalized'!$D:$D, MATCH($A186, 'UA-normalized'!$A:$A, 0))-INDEX('UA-normalized'!$E:$E, MATCH($A186, 'UA-normalized'!$A:$A, 0))), 0), 0))+(IFERROR(IF(7*INDEX('KZ-normalized'!$D:$D, MATCH($A186, 'KZ-normalized'!$A:$A, 0))-INDEX('KZ-normalized'!$E:$E, MATCH($A186, 'KZ-normalized'!$A:$A, 0))&gt;0, -(7*INDEX('KZ-normalized'!$D:$D, MATCH($A186, 'KZ-normalized'!$A:$A, 0))-INDEX('KZ-normalized'!$E:$E, MATCH($A186, 'KZ-normalized'!$A:$A, 0))), 0), 0))+(IFERROR(IF(7*INDEX('UZ-normalized'!$D:$D, MATCH($A186, 'UZ-normalized'!$A:$A, 0))-INDEX('UZ-normalized'!$E:$E, MATCH($A186, 'UZ-normalized'!$A:$A, 0))&gt;0, -(7*INDEX('UZ-normalized'!$D:$D, MATCH($A186, 'UZ-normalized'!$A:$A, 0))-INDEX('UZ-normalized'!$E:$E, MATCH($A186, 'UZ-normalized'!$A:$A, 0))), 0), 0)))</f>
        <v>-145.09999999999997</v>
      </c>
      <c r="V186" s="6">
        <f>MIN(0, N186+(IFERROR(IF(8*INDEX('UA-normalized'!$D:$D, MATCH($A186, 'UA-normalized'!$A:$A, 0))-INDEX('UA-normalized'!$E:$E, MATCH($A186, 'UA-normalized'!$A:$A, 0))&gt;0, -(8*INDEX('UA-normalized'!$D:$D, MATCH($A186, 'UA-normalized'!$A:$A, 0))-INDEX('UA-normalized'!$E:$E, MATCH($A186, 'UA-normalized'!$A:$A, 0))), 0), 0))+(IFERROR(IF(8*INDEX('KZ-normalized'!$D:$D, MATCH($A186, 'KZ-normalized'!$A:$A, 0))-INDEX('KZ-normalized'!$E:$E, MATCH($A186, 'KZ-normalized'!$A:$A, 0))&gt;0, -(8*INDEX('KZ-normalized'!$D:$D, MATCH($A186, 'KZ-normalized'!$A:$A, 0))-INDEX('KZ-normalized'!$E:$E, MATCH($A186, 'KZ-normalized'!$A:$A, 0))), 0), 0))+(IFERROR(IF(8*INDEX('UZ-normalized'!$D:$D, MATCH($A186, 'UZ-normalized'!$A:$A, 0))-INDEX('UZ-normalized'!$E:$E, MATCH($A186, 'UZ-normalized'!$A:$A, 0))&gt;0, -(8*INDEX('UZ-normalized'!$D:$D, MATCH($A186, 'UZ-normalized'!$A:$A, 0))-INDEX('UZ-normalized'!$E:$E, MATCH($A186, 'UZ-normalized'!$A:$A, 0))), 0), 0)))</f>
        <v>-180.39999999999998</v>
      </c>
      <c r="W186" s="6">
        <f>MIN(0, N186+(IFERROR(IF(9*INDEX('UA-normalized'!$D:$D, MATCH($A186, 'UA-normalized'!$A:$A, 0))-INDEX('UA-normalized'!$E:$E, MATCH($A186, 'UA-normalized'!$A:$A, 0))&gt;0, -(9*INDEX('UA-normalized'!$D:$D, MATCH($A186, 'UA-normalized'!$A:$A, 0))-INDEX('UA-normalized'!$E:$E, MATCH($A186, 'UA-normalized'!$A:$A, 0))), 0), 0))+(IFERROR(IF(9*INDEX('KZ-normalized'!$D:$D, MATCH($A186, 'KZ-normalized'!$A:$A, 0))-INDEX('KZ-normalized'!$E:$E, MATCH($A186, 'KZ-normalized'!$A:$A, 0))&gt;0, -(9*INDEX('KZ-normalized'!$D:$D, MATCH($A186, 'KZ-normalized'!$A:$A, 0))-INDEX('KZ-normalized'!$E:$E, MATCH($A186, 'KZ-normalized'!$A:$A, 0))), 0), 0))+(IFERROR(IF(9*INDEX('UZ-normalized'!$D:$D, MATCH($A186, 'UZ-normalized'!$A:$A, 0))-INDEX('UZ-normalized'!$E:$E, MATCH($A186, 'UZ-normalized'!$A:$A, 0))&gt;0, -(9*INDEX('UZ-normalized'!$D:$D, MATCH($A186, 'UZ-normalized'!$A:$A, 0))-INDEX('UZ-normalized'!$E:$E, MATCH($A186, 'UZ-normalized'!$A:$A, 0))), 0), 0)))</f>
        <v>-215.7</v>
      </c>
      <c r="X186" s="6">
        <f>MIN(0, N186+(IFERROR(IF(10*INDEX('UA-normalized'!$D:$D, MATCH($A186, 'UA-normalized'!$A:$A, 0))-INDEX('UA-normalized'!$E:$E, MATCH($A186, 'UA-normalized'!$A:$A, 0))&gt;0, -(10*INDEX('UA-normalized'!$D:$D, MATCH($A186, 'UA-normalized'!$A:$A, 0))-INDEX('UA-normalized'!$E:$E, MATCH($A186, 'UA-normalized'!$A:$A, 0))), 0), 0))+(IFERROR(IF(10*INDEX('KZ-normalized'!$D:$D, MATCH($A186, 'KZ-normalized'!$A:$A, 0))-INDEX('KZ-normalized'!$E:$E, MATCH($A186, 'KZ-normalized'!$A:$A, 0))&gt;0, -(10*INDEX('KZ-normalized'!$D:$D, MATCH($A186, 'KZ-normalized'!$A:$A, 0))-INDEX('KZ-normalized'!$E:$E, MATCH($A186, 'KZ-normalized'!$A:$A, 0))), 0), 0))+(IFERROR(IF(10*INDEX('UZ-normalized'!$D:$D, MATCH($A186, 'UZ-normalized'!$A:$A, 0))-INDEX('UZ-normalized'!$E:$E, MATCH($A186, 'UZ-normalized'!$A:$A, 0))&gt;0, -(10*INDEX('UZ-normalized'!$D:$D, MATCH($A186, 'UZ-normalized'!$A:$A, 0))-INDEX('UZ-normalized'!$E:$E, MATCH($A186, 'UZ-normalized'!$A:$A, 0))), 0), 0)))</f>
        <v>-251</v>
      </c>
      <c r="Y186" s="6">
        <f>MIN(0, N186+(IFERROR(IF(11*INDEX('UA-normalized'!$D:$D, MATCH($A186, 'UA-normalized'!$A:$A, 0))-INDEX('UA-normalized'!$E:$E, MATCH($A186, 'UA-normalized'!$A:$A, 0))&gt;0, -(11*INDEX('UA-normalized'!$D:$D, MATCH($A186, 'UA-normalized'!$A:$A, 0))-INDEX('UA-normalized'!$E:$E, MATCH($A186, 'UA-normalized'!$A:$A, 0))), 0), 0))+(IFERROR(IF(11*INDEX('KZ-normalized'!$D:$D, MATCH($A186, 'KZ-normalized'!$A:$A, 0))-INDEX('KZ-normalized'!$E:$E, MATCH($A186, 'KZ-normalized'!$A:$A, 0))&gt;0, -(11*INDEX('KZ-normalized'!$D:$D, MATCH($A186, 'KZ-normalized'!$A:$A, 0))-INDEX('KZ-normalized'!$E:$E, MATCH($A186, 'KZ-normalized'!$A:$A, 0))), 0), 0))+(IFERROR(IF(11*INDEX('UZ-normalized'!$D:$D, MATCH($A186, 'UZ-normalized'!$A:$A, 0))-INDEX('UZ-normalized'!$E:$E, MATCH($A186, 'UZ-normalized'!$A:$A, 0))&gt;0, -(11*INDEX('UZ-normalized'!$D:$D, MATCH($A186, 'UZ-normalized'!$A:$A, 0))-INDEX('UZ-normalized'!$E:$E, MATCH($A186, 'UZ-normalized'!$A:$A, 0))), 0), 0)))</f>
        <v>-286.29999999999995</v>
      </c>
      <c r="Z186" s="6">
        <f>MIN(0, N186+(IFERROR(IF(12*INDEX('UA-normalized'!$D:$D, MATCH($A186, 'UA-normalized'!$A:$A, 0))-INDEX('UA-normalized'!$E:$E, MATCH($A186, 'UA-normalized'!$A:$A, 0))&gt;0, -(12*INDEX('UA-normalized'!$D:$D, MATCH($A186, 'UA-normalized'!$A:$A, 0))-INDEX('UA-normalized'!$E:$E, MATCH($A186, 'UA-normalized'!$A:$A, 0))), 0), 0))+(IFERROR(IF(12*INDEX('KZ-normalized'!$D:$D, MATCH($A186, 'KZ-normalized'!$A:$A, 0))-INDEX('KZ-normalized'!$E:$E, MATCH($A186, 'KZ-normalized'!$A:$A, 0))&gt;0, -(12*INDEX('KZ-normalized'!$D:$D, MATCH($A186, 'KZ-normalized'!$A:$A, 0))-INDEX('KZ-normalized'!$E:$E, MATCH($A186, 'KZ-normalized'!$A:$A, 0))), 0), 0))+(IFERROR(IF(12*INDEX('UZ-normalized'!$D:$D, MATCH($A186, 'UZ-normalized'!$A:$A, 0))-INDEX('UZ-normalized'!$E:$E, MATCH($A186, 'UZ-normalized'!$A:$A, 0))&gt;0, -(12*INDEX('UZ-normalized'!$D:$D, MATCH($A186, 'UZ-normalized'!$A:$A, 0))-INDEX('UZ-normalized'!$E:$E, MATCH($A186, 'UZ-normalized'!$A:$A, 0))), 0), 0)))</f>
        <v>-321.59999999999997</v>
      </c>
      <c r="AA186" s="6">
        <f>MIN(0, N186+(IFERROR(IF(13*INDEX('UA-normalized'!$D:$D, MATCH($A186, 'UA-normalized'!$A:$A, 0))-INDEX('UA-normalized'!$E:$E, MATCH($A186, 'UA-normalized'!$A:$A, 0))&gt;0, -(13*INDEX('UA-normalized'!$D:$D, MATCH($A186, 'UA-normalized'!$A:$A, 0))-INDEX('UA-normalized'!$E:$E, MATCH($A186, 'UA-normalized'!$A:$A, 0))), 0), 0))+(IFERROR(IF(13*INDEX('KZ-normalized'!$D:$D, MATCH($A186, 'KZ-normalized'!$A:$A, 0))-INDEX('KZ-normalized'!$E:$E, MATCH($A186, 'KZ-normalized'!$A:$A, 0))&gt;0, -(13*INDEX('KZ-normalized'!$D:$D, MATCH($A186, 'KZ-normalized'!$A:$A, 0))-INDEX('KZ-normalized'!$E:$E, MATCH($A186, 'KZ-normalized'!$A:$A, 0))), 0), 0))+(IFERROR(IF(13*INDEX('UZ-normalized'!$D:$D, MATCH($A186, 'UZ-normalized'!$A:$A, 0))-INDEX('UZ-normalized'!$E:$E, MATCH($A186, 'UZ-normalized'!$A:$A, 0))&gt;0, -(13*INDEX('UZ-normalized'!$D:$D, MATCH($A186, 'UZ-normalized'!$A:$A, 0))-INDEX('UZ-normalized'!$E:$E, MATCH($A186, 'UZ-normalized'!$A:$A, 0))), 0), 0)))</f>
        <v>-356.9</v>
      </c>
      <c r="AB186" s="6">
        <f>MIN(0, N186+(IFERROR(IF(14*INDEX('UA-normalized'!$D:$D, MATCH($A186, 'UA-normalized'!$A:$A, 0))-INDEX('UA-normalized'!$E:$E, MATCH($A186, 'UA-normalized'!$A:$A, 0))&gt;0, -(14*INDEX('UA-normalized'!$D:$D, MATCH($A186, 'UA-normalized'!$A:$A, 0))-INDEX('UA-normalized'!$E:$E, MATCH($A186, 'UA-normalized'!$A:$A, 0))), 0), 0))+(IFERROR(IF(14*INDEX('KZ-normalized'!$D:$D, MATCH($A186, 'KZ-normalized'!$A:$A, 0))-INDEX('KZ-normalized'!$E:$E, MATCH($A186, 'KZ-normalized'!$A:$A, 0))&gt;0, -(14*INDEX('KZ-normalized'!$D:$D, MATCH($A186, 'KZ-normalized'!$A:$A, 0))-INDEX('KZ-normalized'!$E:$E, MATCH($A186, 'KZ-normalized'!$A:$A, 0))), 0), 0))+(IFERROR(IF(14*INDEX('UZ-normalized'!$D:$D, MATCH($A186, 'UZ-normalized'!$A:$A, 0))-INDEX('UZ-normalized'!$E:$E, MATCH($A186, 'UZ-normalized'!$A:$A, 0))&gt;0, -(14*INDEX('UZ-normalized'!$D:$D, MATCH($A186, 'UZ-normalized'!$A:$A, 0))-INDEX('UZ-normalized'!$E:$E, MATCH($A186, 'UZ-normalized'!$A:$A, 0))), 0), 0)))</f>
        <v>-392.19999999999993</v>
      </c>
      <c r="AC186" s="6">
        <f>MIN(0, N186+(IFERROR(IF(15*INDEX('UA-normalized'!$D:$D, MATCH($A186, 'UA-normalized'!$A:$A, 0))-INDEX('UA-normalized'!$E:$E, MATCH($A186, 'UA-normalized'!$A:$A, 0))&gt;0, -(15*INDEX('UA-normalized'!$D:$D, MATCH($A186, 'UA-normalized'!$A:$A, 0))-INDEX('UA-normalized'!$E:$E, MATCH($A186, 'UA-normalized'!$A:$A, 0))), 0), 0))+(IFERROR(IF(15*INDEX('KZ-normalized'!$D:$D, MATCH($A186, 'KZ-normalized'!$A:$A, 0))-INDEX('KZ-normalized'!$E:$E, MATCH($A186, 'KZ-normalized'!$A:$A, 0))&gt;0, -(15*INDEX('KZ-normalized'!$D:$D, MATCH($A186, 'KZ-normalized'!$A:$A, 0))-INDEX('KZ-normalized'!$E:$E, MATCH($A186, 'KZ-normalized'!$A:$A, 0))), 0), 0))+(IFERROR(IF(15*INDEX('UZ-normalized'!$D:$D, MATCH($A186, 'UZ-normalized'!$A:$A, 0))-INDEX('UZ-normalized'!$E:$E, MATCH($A186, 'UZ-normalized'!$A:$A, 0))&gt;0, -(15*INDEX('UZ-normalized'!$D:$D, MATCH($A186, 'UZ-normalized'!$A:$A, 0))-INDEX('UZ-normalized'!$E:$E, MATCH($A186, 'UZ-normalized'!$A:$A, 0))), 0), 0)))</f>
        <v>-427.5</v>
      </c>
      <c r="AD186" s="6">
        <f>MIN(0, N186+(IFERROR(IF(16*INDEX('UA-normalized'!$D:$D, MATCH($A186, 'UA-normalized'!$A:$A, 0))-INDEX('UA-normalized'!$E:$E, MATCH($A186, 'UA-normalized'!$A:$A, 0))&gt;0, -(16*INDEX('UA-normalized'!$D:$D, MATCH($A186, 'UA-normalized'!$A:$A, 0))-INDEX('UA-normalized'!$E:$E, MATCH($A186, 'UA-normalized'!$A:$A, 0))), 0), 0))+(IFERROR(IF(16*INDEX('KZ-normalized'!$D:$D, MATCH($A186, 'KZ-normalized'!$A:$A, 0))-INDEX('KZ-normalized'!$E:$E, MATCH($A186, 'KZ-normalized'!$A:$A, 0))&gt;0, -(16*INDEX('KZ-normalized'!$D:$D, MATCH($A186, 'KZ-normalized'!$A:$A, 0))-INDEX('KZ-normalized'!$E:$E, MATCH($A186, 'KZ-normalized'!$A:$A, 0))), 0), 0))+(IFERROR(IF(16*INDEX('UZ-normalized'!$D:$D, MATCH($A186, 'UZ-normalized'!$A:$A, 0))-INDEX('UZ-normalized'!$E:$E, MATCH($A186, 'UZ-normalized'!$A:$A, 0))&gt;0, -(16*INDEX('UZ-normalized'!$D:$D, MATCH($A186, 'UZ-normalized'!$A:$A, 0))-INDEX('UZ-normalized'!$E:$E, MATCH($A186, 'UZ-normalized'!$A:$A, 0))), 0), 0)))</f>
        <v>-462.79999999999995</v>
      </c>
      <c r="AE186" s="6">
        <f>MIN(0, N186+(IFERROR(IF(17*INDEX('UA-normalized'!$D:$D, MATCH($A186, 'UA-normalized'!$A:$A, 0))-INDEX('UA-normalized'!$E:$E, MATCH($A186, 'UA-normalized'!$A:$A, 0))&gt;0, -(17*INDEX('UA-normalized'!$D:$D, MATCH($A186, 'UA-normalized'!$A:$A, 0))-INDEX('UA-normalized'!$E:$E, MATCH($A186, 'UA-normalized'!$A:$A, 0))), 0), 0))+(IFERROR(IF(17*INDEX('KZ-normalized'!$D:$D, MATCH($A186, 'KZ-normalized'!$A:$A, 0))-INDEX('KZ-normalized'!$E:$E, MATCH($A186, 'KZ-normalized'!$A:$A, 0))&gt;0, -(17*INDEX('KZ-normalized'!$D:$D, MATCH($A186, 'KZ-normalized'!$A:$A, 0))-INDEX('KZ-normalized'!$E:$E, MATCH($A186, 'KZ-normalized'!$A:$A, 0))), 0), 0))+(IFERROR(IF(17*INDEX('UZ-normalized'!$D:$D, MATCH($A186, 'UZ-normalized'!$A:$A, 0))-INDEX('UZ-normalized'!$E:$E, MATCH($A186, 'UZ-normalized'!$A:$A, 0))&gt;0, -(17*INDEX('UZ-normalized'!$D:$D, MATCH($A186, 'UZ-normalized'!$A:$A, 0))-INDEX('UZ-normalized'!$E:$E, MATCH($A186, 'UZ-normalized'!$A:$A, 0))), 0), 0)))</f>
        <v>-498.09999999999991</v>
      </c>
      <c r="AF186" s="6">
        <f>MIN(0, N186+(IFERROR(IF(18*INDEX('UA-normalized'!$D:$D, MATCH($A186, 'UA-normalized'!$A:$A, 0))-INDEX('UA-normalized'!$E:$E, MATCH($A186, 'UA-normalized'!$A:$A, 0))&gt;0, -(18*INDEX('UA-normalized'!$D:$D, MATCH($A186, 'UA-normalized'!$A:$A, 0))-INDEX('UA-normalized'!$E:$E, MATCH($A186, 'UA-normalized'!$A:$A, 0))), 0), 0))+(IFERROR(IF(18*INDEX('KZ-normalized'!$D:$D, MATCH($A186, 'KZ-normalized'!$A:$A, 0))-INDEX('KZ-normalized'!$E:$E, MATCH($A186, 'KZ-normalized'!$A:$A, 0))&gt;0, -(18*INDEX('KZ-normalized'!$D:$D, MATCH($A186, 'KZ-normalized'!$A:$A, 0))-INDEX('KZ-normalized'!$E:$E, MATCH($A186, 'KZ-normalized'!$A:$A, 0))), 0), 0))+(IFERROR(IF(18*INDEX('UZ-normalized'!$D:$D, MATCH($A186, 'UZ-normalized'!$A:$A, 0))-INDEX('UZ-normalized'!$E:$E, MATCH($A186, 'UZ-normalized'!$A:$A, 0))&gt;0, -(18*INDEX('UZ-normalized'!$D:$D, MATCH($A186, 'UZ-normalized'!$A:$A, 0))-INDEX('UZ-normalized'!$E:$E, MATCH($A186, 'UZ-normalized'!$A:$A, 0))), 0), 0)))</f>
        <v>-533.4</v>
      </c>
      <c r="AG186" s="6">
        <f>MIN(0, N186+(IFERROR(IF(19*INDEX('UA-normalized'!$D:$D, MATCH($A186, 'UA-normalized'!$A:$A, 0))-INDEX('UA-normalized'!$E:$E, MATCH($A186, 'UA-normalized'!$A:$A, 0))&gt;0, -(19*INDEX('UA-normalized'!$D:$D, MATCH($A186, 'UA-normalized'!$A:$A, 0))-INDEX('UA-normalized'!$E:$E, MATCH($A186, 'UA-normalized'!$A:$A, 0))), 0), 0))+(IFERROR(IF(19*INDEX('KZ-normalized'!$D:$D, MATCH($A186, 'KZ-normalized'!$A:$A, 0))-INDEX('KZ-normalized'!$E:$E, MATCH($A186, 'KZ-normalized'!$A:$A, 0))&gt;0, -(19*INDEX('KZ-normalized'!$D:$D, MATCH($A186, 'KZ-normalized'!$A:$A, 0))-INDEX('KZ-normalized'!$E:$E, MATCH($A186, 'KZ-normalized'!$A:$A, 0))), 0), 0))+(IFERROR(IF(19*INDEX('UZ-normalized'!$D:$D, MATCH($A186, 'UZ-normalized'!$A:$A, 0))-INDEX('UZ-normalized'!$E:$E, MATCH($A186, 'UZ-normalized'!$A:$A, 0))&gt;0, -(19*INDEX('UZ-normalized'!$D:$D, MATCH($A186, 'UZ-normalized'!$A:$A, 0))-INDEX('UZ-normalized'!$E:$E, MATCH($A186, 'UZ-normalized'!$A:$A, 0))), 0), 0)))</f>
        <v>-568.69999999999993</v>
      </c>
      <c r="AH186" s="6">
        <f>MIN(0, N186+(IFERROR(IF(20*INDEX('UA-normalized'!$D:$D, MATCH($A186, 'UA-normalized'!$A:$A, 0))-INDEX('UA-normalized'!$E:$E, MATCH($A186, 'UA-normalized'!$A:$A, 0))&gt;0, -(20*INDEX('UA-normalized'!$D:$D, MATCH($A186, 'UA-normalized'!$A:$A, 0))-INDEX('UA-normalized'!$E:$E, MATCH($A186, 'UA-normalized'!$A:$A, 0))), 0), 0))+(IFERROR(IF(20*INDEX('KZ-normalized'!$D:$D, MATCH($A186, 'KZ-normalized'!$A:$A, 0))-INDEX('KZ-normalized'!$E:$E, MATCH($A186, 'KZ-normalized'!$A:$A, 0))&gt;0, -(20*INDEX('KZ-normalized'!$D:$D, MATCH($A186, 'KZ-normalized'!$A:$A, 0))-INDEX('KZ-normalized'!$E:$E, MATCH($A186, 'KZ-normalized'!$A:$A, 0))), 0), 0))+(IFERROR(IF(20*INDEX('UZ-normalized'!$D:$D, MATCH($A186, 'UZ-normalized'!$A:$A, 0))-INDEX('UZ-normalized'!$E:$E, MATCH($A186, 'UZ-normalized'!$A:$A, 0))&gt;0, -(20*INDEX('UZ-normalized'!$D:$D, MATCH($A186, 'UZ-normalized'!$A:$A, 0))-INDEX('UZ-normalized'!$E:$E, MATCH($A186, 'UZ-normalized'!$A:$A, 0))), 0), 0)))</f>
        <v>-604</v>
      </c>
      <c r="AI186" s="6">
        <f>MIN(0, N186+(IFERROR(IF(21*INDEX('UA-normalized'!$D:$D, MATCH($A186, 'UA-normalized'!$A:$A, 0))-INDEX('UA-normalized'!$E:$E, MATCH($A186, 'UA-normalized'!$A:$A, 0))&gt;0, -(21*INDEX('UA-normalized'!$D:$D, MATCH($A186, 'UA-normalized'!$A:$A, 0))-INDEX('UA-normalized'!$E:$E, MATCH($A186, 'UA-normalized'!$A:$A, 0))), 0), 0))+(IFERROR(IF(21*INDEX('KZ-normalized'!$D:$D, MATCH($A186, 'KZ-normalized'!$A:$A, 0))-INDEX('KZ-normalized'!$E:$E, MATCH($A186, 'KZ-normalized'!$A:$A, 0))&gt;0, -(21*INDEX('KZ-normalized'!$D:$D, MATCH($A186, 'KZ-normalized'!$A:$A, 0))-INDEX('KZ-normalized'!$E:$E, MATCH($A186, 'KZ-normalized'!$A:$A, 0))), 0), 0))+(IFERROR(IF(21*INDEX('UZ-normalized'!$D:$D, MATCH($A186, 'UZ-normalized'!$A:$A, 0))-INDEX('UZ-normalized'!$E:$E, MATCH($A186, 'UZ-normalized'!$A:$A, 0))&gt;0, -(21*INDEX('UZ-normalized'!$D:$D, MATCH($A186, 'UZ-normalized'!$A:$A, 0))-INDEX('UZ-normalized'!$E:$E, MATCH($A186, 'UZ-normalized'!$A:$A, 0))), 0), 0)))</f>
        <v>-639.29999999999995</v>
      </c>
      <c r="AJ186" s="6">
        <f>MIN(0, N186+(IFERROR(IF(22*INDEX('UA-normalized'!$D:$D, MATCH($A186, 'UA-normalized'!$A:$A, 0))-INDEX('UA-normalized'!$E:$E, MATCH($A186, 'UA-normalized'!$A:$A, 0))&gt;0, -(22*INDEX('UA-normalized'!$D:$D, MATCH($A186, 'UA-normalized'!$A:$A, 0))-INDEX('UA-normalized'!$E:$E, MATCH($A186, 'UA-normalized'!$A:$A, 0))), 0), 0))+(IFERROR(IF(22*INDEX('KZ-normalized'!$D:$D, MATCH($A186, 'KZ-normalized'!$A:$A, 0))-INDEX('KZ-normalized'!$E:$E, MATCH($A186, 'KZ-normalized'!$A:$A, 0))&gt;0, -(22*INDEX('KZ-normalized'!$D:$D, MATCH($A186, 'KZ-normalized'!$A:$A, 0))-INDEX('KZ-normalized'!$E:$E, MATCH($A186, 'KZ-normalized'!$A:$A, 0))), 0), 0))+(IFERROR(IF(22*INDEX('UZ-normalized'!$D:$D, MATCH($A186, 'UZ-normalized'!$A:$A, 0))-INDEX('UZ-normalized'!$E:$E, MATCH($A186, 'UZ-normalized'!$A:$A, 0))&gt;0, -(22*INDEX('UZ-normalized'!$D:$D, MATCH($A186, 'UZ-normalized'!$A:$A, 0))-INDEX('UZ-normalized'!$E:$E, MATCH($A186, 'UZ-normalized'!$A:$A, 0))), 0), 0)))</f>
        <v>-674.59999999999991</v>
      </c>
      <c r="AK186" s="6">
        <f>MIN(0, N186+(IFERROR(IF(23*INDEX('UA-normalized'!$D:$D, MATCH($A186, 'UA-normalized'!$A:$A, 0))-INDEX('UA-normalized'!$E:$E, MATCH($A186, 'UA-normalized'!$A:$A, 0))&gt;0, -(23*INDEX('UA-normalized'!$D:$D, MATCH($A186, 'UA-normalized'!$A:$A, 0))-INDEX('UA-normalized'!$E:$E, MATCH($A186, 'UA-normalized'!$A:$A, 0))), 0), 0))+(IFERROR(IF(23*INDEX('KZ-normalized'!$D:$D, MATCH($A186, 'KZ-normalized'!$A:$A, 0))-INDEX('KZ-normalized'!$E:$E, MATCH($A186, 'KZ-normalized'!$A:$A, 0))&gt;0, -(23*INDEX('KZ-normalized'!$D:$D, MATCH($A186, 'KZ-normalized'!$A:$A, 0))-INDEX('KZ-normalized'!$E:$E, MATCH($A186, 'KZ-normalized'!$A:$A, 0))), 0), 0))+(IFERROR(IF(23*INDEX('UZ-normalized'!$D:$D, MATCH($A186, 'UZ-normalized'!$A:$A, 0))-INDEX('UZ-normalized'!$E:$E, MATCH($A186, 'UZ-normalized'!$A:$A, 0))&gt;0, -(23*INDEX('UZ-normalized'!$D:$D, MATCH($A186, 'UZ-normalized'!$A:$A, 0))-INDEX('UZ-normalized'!$E:$E, MATCH($A186, 'UZ-normalized'!$A:$A, 0))), 0), 0)))</f>
        <v>-709.9</v>
      </c>
      <c r="AL186" s="6">
        <f>MIN(0, N186+(IFERROR(IF(24*INDEX('UA-normalized'!$D:$D, MATCH($A186, 'UA-normalized'!$A:$A, 0))-INDEX('UA-normalized'!$E:$E, MATCH($A186, 'UA-normalized'!$A:$A, 0))&gt;0, -(24*INDEX('UA-normalized'!$D:$D, MATCH($A186, 'UA-normalized'!$A:$A, 0))-INDEX('UA-normalized'!$E:$E, MATCH($A186, 'UA-normalized'!$A:$A, 0))), 0), 0))+(IFERROR(IF(24*INDEX('KZ-normalized'!$D:$D, MATCH($A186, 'KZ-normalized'!$A:$A, 0))-INDEX('KZ-normalized'!$E:$E, MATCH($A186, 'KZ-normalized'!$A:$A, 0))&gt;0, -(24*INDEX('KZ-normalized'!$D:$D, MATCH($A186, 'KZ-normalized'!$A:$A, 0))-INDEX('KZ-normalized'!$E:$E, MATCH($A186, 'KZ-normalized'!$A:$A, 0))), 0), 0))+(IFERROR(IF(24*INDEX('UZ-normalized'!$D:$D, MATCH($A186, 'UZ-normalized'!$A:$A, 0))-INDEX('UZ-normalized'!$E:$E, MATCH($A186, 'UZ-normalized'!$A:$A, 0))&gt;0, -(24*INDEX('UZ-normalized'!$D:$D, MATCH($A186, 'UZ-normalized'!$A:$A, 0))-INDEX('UZ-normalized'!$E:$E, MATCH($A186, 'UZ-normalized'!$A:$A, 0))), 0), 0)))</f>
        <v>-745.19999999999993</v>
      </c>
      <c r="AM186" s="6">
        <f>MIN(0, N186+(IFERROR(IF(25*INDEX('UA-normalized'!$D:$D, MATCH($A186, 'UA-normalized'!$A:$A, 0))-INDEX('UA-normalized'!$E:$E, MATCH($A186, 'UA-normalized'!$A:$A, 0))&gt;0, -(25*INDEX('UA-normalized'!$D:$D, MATCH($A186, 'UA-normalized'!$A:$A, 0))-INDEX('UA-normalized'!$E:$E, MATCH($A186, 'UA-normalized'!$A:$A, 0))), 0), 0))+(IFERROR(IF(25*INDEX('KZ-normalized'!$D:$D, MATCH($A186, 'KZ-normalized'!$A:$A, 0))-INDEX('KZ-normalized'!$E:$E, MATCH($A186, 'KZ-normalized'!$A:$A, 0))&gt;0, -(25*INDEX('KZ-normalized'!$D:$D, MATCH($A186, 'KZ-normalized'!$A:$A, 0))-INDEX('KZ-normalized'!$E:$E, MATCH($A186, 'KZ-normalized'!$A:$A, 0))), 0), 0))+(IFERROR(IF(25*INDEX('UZ-normalized'!$D:$D, MATCH($A186, 'UZ-normalized'!$A:$A, 0))-INDEX('UZ-normalized'!$E:$E, MATCH($A186, 'UZ-normalized'!$A:$A, 0))&gt;0, -(25*INDEX('UZ-normalized'!$D:$D, MATCH($A186, 'UZ-normalized'!$A:$A, 0))-INDEX('UZ-normalized'!$E:$E, MATCH($A186, 'UZ-normalized'!$A:$A, 0))), 0), 0)))</f>
        <v>-780.49999999999989</v>
      </c>
      <c r="AN186" s="6">
        <f>MIN(0, N186+(IFERROR(IF(26*INDEX('UA-normalized'!$D:$D, MATCH($A186, 'UA-normalized'!$A:$A, 0))-INDEX('UA-normalized'!$E:$E, MATCH($A186, 'UA-normalized'!$A:$A, 0))&gt;0, -(26*INDEX('UA-normalized'!$D:$D, MATCH($A186, 'UA-normalized'!$A:$A, 0))-INDEX('UA-normalized'!$E:$E, MATCH($A186, 'UA-normalized'!$A:$A, 0))), 0), 0))+(IFERROR(IF(26*INDEX('KZ-normalized'!$D:$D, MATCH($A186, 'KZ-normalized'!$A:$A, 0))-INDEX('KZ-normalized'!$E:$E, MATCH($A186, 'KZ-normalized'!$A:$A, 0))&gt;0, -(26*INDEX('KZ-normalized'!$D:$D, MATCH($A186, 'KZ-normalized'!$A:$A, 0))-INDEX('KZ-normalized'!$E:$E, MATCH($A186, 'KZ-normalized'!$A:$A, 0))), 0), 0))+(IFERROR(IF(26*INDEX('UZ-normalized'!$D:$D, MATCH($A186, 'UZ-normalized'!$A:$A, 0))-INDEX('UZ-normalized'!$E:$E, MATCH($A186, 'UZ-normalized'!$A:$A, 0))&gt;0, -(26*INDEX('UZ-normalized'!$D:$D, MATCH($A186, 'UZ-normalized'!$A:$A, 0))-INDEX('UZ-normalized'!$E:$E, MATCH($A186, 'UZ-normalized'!$A:$A, 0))), 0), 0)))</f>
        <v>-815.8</v>
      </c>
      <c r="AO186" s="6">
        <f>MIN(0, N186+(IFERROR(IF(27*INDEX('UA-normalized'!$D:$D, MATCH($A186, 'UA-normalized'!$A:$A, 0))-INDEX('UA-normalized'!$E:$E, MATCH($A186, 'UA-normalized'!$A:$A, 0))&gt;0, -(27*INDEX('UA-normalized'!$D:$D, MATCH($A186, 'UA-normalized'!$A:$A, 0))-INDEX('UA-normalized'!$E:$E, MATCH($A186, 'UA-normalized'!$A:$A, 0))), 0), 0))+(IFERROR(IF(27*INDEX('KZ-normalized'!$D:$D, MATCH($A186, 'KZ-normalized'!$A:$A, 0))-INDEX('KZ-normalized'!$E:$E, MATCH($A186, 'KZ-normalized'!$A:$A, 0))&gt;0, -(27*INDEX('KZ-normalized'!$D:$D, MATCH($A186, 'KZ-normalized'!$A:$A, 0))-INDEX('KZ-normalized'!$E:$E, MATCH($A186, 'KZ-normalized'!$A:$A, 0))), 0), 0))+(IFERROR(IF(27*INDEX('UZ-normalized'!$D:$D, MATCH($A186, 'UZ-normalized'!$A:$A, 0))-INDEX('UZ-normalized'!$E:$E, MATCH($A186, 'UZ-normalized'!$A:$A, 0))&gt;0, -(27*INDEX('UZ-normalized'!$D:$D, MATCH($A186, 'UZ-normalized'!$A:$A, 0))-INDEX('UZ-normalized'!$E:$E, MATCH($A186, 'UZ-normalized'!$A:$A, 0))), 0), 0)))</f>
        <v>-851.09999999999991</v>
      </c>
      <c r="AP186" s="6">
        <f>MIN(0, N186+(IFERROR(IF(28*INDEX('UA-normalized'!$D:$D, MATCH($A186, 'UA-normalized'!$A:$A, 0))-INDEX('UA-normalized'!$E:$E, MATCH($A186, 'UA-normalized'!$A:$A, 0))&gt;0, -(28*INDEX('UA-normalized'!$D:$D, MATCH($A186, 'UA-normalized'!$A:$A, 0))-INDEX('UA-normalized'!$E:$E, MATCH($A186, 'UA-normalized'!$A:$A, 0))), 0), 0))+(IFERROR(IF(28*INDEX('KZ-normalized'!$D:$D, MATCH($A186, 'KZ-normalized'!$A:$A, 0))-INDEX('KZ-normalized'!$E:$E, MATCH($A186, 'KZ-normalized'!$A:$A, 0))&gt;0, -(28*INDEX('KZ-normalized'!$D:$D, MATCH($A186, 'KZ-normalized'!$A:$A, 0))-INDEX('KZ-normalized'!$E:$E, MATCH($A186, 'KZ-normalized'!$A:$A, 0))), 0), 0))+(IFERROR(IF(28*INDEX('UZ-normalized'!$D:$D, MATCH($A186, 'UZ-normalized'!$A:$A, 0))-INDEX('UZ-normalized'!$E:$E, MATCH($A186, 'UZ-normalized'!$A:$A, 0))&gt;0, -(28*INDEX('UZ-normalized'!$D:$D, MATCH($A186, 'UZ-normalized'!$A:$A, 0))-INDEX('UZ-normalized'!$E:$E, MATCH($A186, 'UZ-normalized'!$A:$A, 0))), 0), 0)))</f>
        <v>-886.39999999999986</v>
      </c>
      <c r="AQ186" s="6">
        <f>MIN(0, N186+(IFERROR(IF(29*INDEX('UA-normalized'!$D:$D, MATCH($A186, 'UA-normalized'!$A:$A, 0))-INDEX('UA-normalized'!$E:$E, MATCH($A186, 'UA-normalized'!$A:$A, 0))&gt;0, -(29*INDEX('UA-normalized'!$D:$D, MATCH($A186, 'UA-normalized'!$A:$A, 0))-INDEX('UA-normalized'!$E:$E, MATCH($A186, 'UA-normalized'!$A:$A, 0))), 0), 0))+(IFERROR(IF(29*INDEX('KZ-normalized'!$D:$D, MATCH($A186, 'KZ-normalized'!$A:$A, 0))-INDEX('KZ-normalized'!$E:$E, MATCH($A186, 'KZ-normalized'!$A:$A, 0))&gt;0, -(29*INDEX('KZ-normalized'!$D:$D, MATCH($A186, 'KZ-normalized'!$A:$A, 0))-INDEX('KZ-normalized'!$E:$E, MATCH($A186, 'KZ-normalized'!$A:$A, 0))), 0), 0))+(IFERROR(IF(29*INDEX('UZ-normalized'!$D:$D, MATCH($A186, 'UZ-normalized'!$A:$A, 0))-INDEX('UZ-normalized'!$E:$E, MATCH($A186, 'UZ-normalized'!$A:$A, 0))&gt;0, -(29*INDEX('UZ-normalized'!$D:$D, MATCH($A186, 'UZ-normalized'!$A:$A, 0))-INDEX('UZ-normalized'!$E:$E, MATCH($A186, 'UZ-normalized'!$A:$A, 0))), 0), 0)))</f>
        <v>-921.69999999999993</v>
      </c>
      <c r="AR186" s="6">
        <f>MIN(0, N186+(IFERROR(IF(30*INDEX('UA-normalized'!$D:$D, MATCH($A186, 'UA-normalized'!$A:$A, 0))-INDEX('UA-normalized'!$E:$E, MATCH($A186, 'UA-normalized'!$A:$A, 0))&gt;0, -(30*INDEX('UA-normalized'!$D:$D, MATCH($A186, 'UA-normalized'!$A:$A, 0))-INDEX('UA-normalized'!$E:$E, MATCH($A186, 'UA-normalized'!$A:$A, 0))), 0), 0))+(IFERROR(IF(30*INDEX('KZ-normalized'!$D:$D, MATCH($A186, 'KZ-normalized'!$A:$A, 0))-INDEX('KZ-normalized'!$E:$E, MATCH($A186, 'KZ-normalized'!$A:$A, 0))&gt;0, -(30*INDEX('KZ-normalized'!$D:$D, MATCH($A186, 'KZ-normalized'!$A:$A, 0))-INDEX('KZ-normalized'!$E:$E, MATCH($A186, 'KZ-normalized'!$A:$A, 0))), 0), 0))+(IFERROR(IF(30*INDEX('UZ-normalized'!$D:$D, MATCH($A186, 'UZ-normalized'!$A:$A, 0))-INDEX('UZ-normalized'!$E:$E, MATCH($A186, 'UZ-normalized'!$A:$A, 0))&gt;0, -(30*INDEX('UZ-normalized'!$D:$D, MATCH($A186, 'UZ-normalized'!$A:$A, 0))-INDEX('UZ-normalized'!$E:$E, MATCH($A186, 'UZ-normalized'!$A:$A, 0))), 0), 0)))</f>
        <v>-957</v>
      </c>
    </row>
    <row r="187" spans="1:44" x14ac:dyDescent="0.25">
      <c r="A187" s="8" t="s">
        <v>449</v>
      </c>
      <c r="B187" s="8" t="s">
        <v>442</v>
      </c>
      <c r="C187" s="8" t="s">
        <v>443</v>
      </c>
      <c r="D187" s="8" t="s">
        <v>450</v>
      </c>
      <c r="N187">
        <f t="shared" si="2"/>
        <v>0</v>
      </c>
      <c r="O187" s="6">
        <f>MIN(0, N187+(IFERROR(IF(1*INDEX('UA-normalized'!$D:$D, MATCH($A187, 'UA-normalized'!$A:$A, 0))-INDEX('UA-normalized'!$E:$E, MATCH($A187, 'UA-normalized'!$A:$A, 0))&gt;0, -(1*INDEX('UA-normalized'!$D:$D, MATCH($A187, 'UA-normalized'!$A:$A, 0))-INDEX('UA-normalized'!$E:$E, MATCH($A187, 'UA-normalized'!$A:$A, 0))), 0), 0))+(IFERROR(IF(1*INDEX('KZ-normalized'!$D:$D, MATCH($A187, 'KZ-normalized'!$A:$A, 0))-INDEX('KZ-normalized'!$E:$E, MATCH($A187, 'KZ-normalized'!$A:$A, 0))&gt;0, -(1*INDEX('KZ-normalized'!$D:$D, MATCH($A187, 'KZ-normalized'!$A:$A, 0))-INDEX('KZ-normalized'!$E:$E, MATCH($A187, 'KZ-normalized'!$A:$A, 0))), 0), 0))+(IFERROR(IF(1*INDEX('UZ-normalized'!$D:$D, MATCH($A187, 'UZ-normalized'!$A:$A, 0))-INDEX('UZ-normalized'!$E:$E, MATCH($A187, 'UZ-normalized'!$A:$A, 0))&gt;0, -(1*INDEX('UZ-normalized'!$D:$D, MATCH($A187, 'UZ-normalized'!$A:$A, 0))-INDEX('UZ-normalized'!$E:$E, MATCH($A187, 'UZ-normalized'!$A:$A, 0))), 0), 0)))</f>
        <v>0</v>
      </c>
      <c r="P187" s="6">
        <f>MIN(0, N187+(IFERROR(IF(2*INDEX('UA-normalized'!$D:$D, MATCH($A187, 'UA-normalized'!$A:$A, 0))-INDEX('UA-normalized'!$E:$E, MATCH($A187, 'UA-normalized'!$A:$A, 0))&gt;0, -(2*INDEX('UA-normalized'!$D:$D, MATCH($A187, 'UA-normalized'!$A:$A, 0))-INDEX('UA-normalized'!$E:$E, MATCH($A187, 'UA-normalized'!$A:$A, 0))), 0), 0))+(IFERROR(IF(2*INDEX('KZ-normalized'!$D:$D, MATCH($A187, 'KZ-normalized'!$A:$A, 0))-INDEX('KZ-normalized'!$E:$E, MATCH($A187, 'KZ-normalized'!$A:$A, 0))&gt;0, -(2*INDEX('KZ-normalized'!$D:$D, MATCH($A187, 'KZ-normalized'!$A:$A, 0))-INDEX('KZ-normalized'!$E:$E, MATCH($A187, 'KZ-normalized'!$A:$A, 0))), 0), 0))+(IFERROR(IF(2*INDEX('UZ-normalized'!$D:$D, MATCH($A187, 'UZ-normalized'!$A:$A, 0))-INDEX('UZ-normalized'!$E:$E, MATCH($A187, 'UZ-normalized'!$A:$A, 0))&gt;0, -(2*INDEX('UZ-normalized'!$D:$D, MATCH($A187, 'UZ-normalized'!$A:$A, 0))-INDEX('UZ-normalized'!$E:$E, MATCH($A187, 'UZ-normalized'!$A:$A, 0))), 0), 0)))</f>
        <v>0</v>
      </c>
      <c r="Q187" s="6">
        <f>MIN(0, N187+(IFERROR(IF(3*INDEX('UA-normalized'!$D:$D, MATCH($A187, 'UA-normalized'!$A:$A, 0))-INDEX('UA-normalized'!$E:$E, MATCH($A187, 'UA-normalized'!$A:$A, 0))&gt;0, -(3*INDEX('UA-normalized'!$D:$D, MATCH($A187, 'UA-normalized'!$A:$A, 0))-INDEX('UA-normalized'!$E:$E, MATCH($A187, 'UA-normalized'!$A:$A, 0))), 0), 0))+(IFERROR(IF(3*INDEX('KZ-normalized'!$D:$D, MATCH($A187, 'KZ-normalized'!$A:$A, 0))-INDEX('KZ-normalized'!$E:$E, MATCH($A187, 'KZ-normalized'!$A:$A, 0))&gt;0, -(3*INDEX('KZ-normalized'!$D:$D, MATCH($A187, 'KZ-normalized'!$A:$A, 0))-INDEX('KZ-normalized'!$E:$E, MATCH($A187, 'KZ-normalized'!$A:$A, 0))), 0), 0))+(IFERROR(IF(3*INDEX('UZ-normalized'!$D:$D, MATCH($A187, 'UZ-normalized'!$A:$A, 0))-INDEX('UZ-normalized'!$E:$E, MATCH($A187, 'UZ-normalized'!$A:$A, 0))&gt;0, -(3*INDEX('UZ-normalized'!$D:$D, MATCH($A187, 'UZ-normalized'!$A:$A, 0))-INDEX('UZ-normalized'!$E:$E, MATCH($A187, 'UZ-normalized'!$A:$A, 0))), 0), 0)))</f>
        <v>0</v>
      </c>
      <c r="R187" s="6">
        <f>MIN(0, N187+(IFERROR(IF(4*INDEX('UA-normalized'!$D:$D, MATCH($A187, 'UA-normalized'!$A:$A, 0))-INDEX('UA-normalized'!$E:$E, MATCH($A187, 'UA-normalized'!$A:$A, 0))&gt;0, -(4*INDEX('UA-normalized'!$D:$D, MATCH($A187, 'UA-normalized'!$A:$A, 0))-INDEX('UA-normalized'!$E:$E, MATCH($A187, 'UA-normalized'!$A:$A, 0))), 0), 0))+(IFERROR(IF(4*INDEX('KZ-normalized'!$D:$D, MATCH($A187, 'KZ-normalized'!$A:$A, 0))-INDEX('KZ-normalized'!$E:$E, MATCH($A187, 'KZ-normalized'!$A:$A, 0))&gt;0, -(4*INDEX('KZ-normalized'!$D:$D, MATCH($A187, 'KZ-normalized'!$A:$A, 0))-INDEX('KZ-normalized'!$E:$E, MATCH($A187, 'KZ-normalized'!$A:$A, 0))), 0), 0))+(IFERROR(IF(4*INDEX('UZ-normalized'!$D:$D, MATCH($A187, 'UZ-normalized'!$A:$A, 0))-INDEX('UZ-normalized'!$E:$E, MATCH($A187, 'UZ-normalized'!$A:$A, 0))&gt;0, -(4*INDEX('UZ-normalized'!$D:$D, MATCH($A187, 'UZ-normalized'!$A:$A, 0))-INDEX('UZ-normalized'!$E:$E, MATCH($A187, 'UZ-normalized'!$A:$A, 0))), 0), 0)))</f>
        <v>0</v>
      </c>
      <c r="S187" s="6">
        <f>MIN(0, N187+(IFERROR(IF(5*INDEX('UA-normalized'!$D:$D, MATCH($A187, 'UA-normalized'!$A:$A, 0))-INDEX('UA-normalized'!$E:$E, MATCH($A187, 'UA-normalized'!$A:$A, 0))&gt;0, -(5*INDEX('UA-normalized'!$D:$D, MATCH($A187, 'UA-normalized'!$A:$A, 0))-INDEX('UA-normalized'!$E:$E, MATCH($A187, 'UA-normalized'!$A:$A, 0))), 0), 0))+(IFERROR(IF(5*INDEX('KZ-normalized'!$D:$D, MATCH($A187, 'KZ-normalized'!$A:$A, 0))-INDEX('KZ-normalized'!$E:$E, MATCH($A187, 'KZ-normalized'!$A:$A, 0))&gt;0, -(5*INDEX('KZ-normalized'!$D:$D, MATCH($A187, 'KZ-normalized'!$A:$A, 0))-INDEX('KZ-normalized'!$E:$E, MATCH($A187, 'KZ-normalized'!$A:$A, 0))), 0), 0))+(IFERROR(IF(5*INDEX('UZ-normalized'!$D:$D, MATCH($A187, 'UZ-normalized'!$A:$A, 0))-INDEX('UZ-normalized'!$E:$E, MATCH($A187, 'UZ-normalized'!$A:$A, 0))&gt;0, -(5*INDEX('UZ-normalized'!$D:$D, MATCH($A187, 'UZ-normalized'!$A:$A, 0))-INDEX('UZ-normalized'!$E:$E, MATCH($A187, 'UZ-normalized'!$A:$A, 0))), 0), 0)))</f>
        <v>-7.5</v>
      </c>
      <c r="T187" s="6">
        <f>MIN(0, N187+(IFERROR(IF(6*INDEX('UA-normalized'!$D:$D, MATCH($A187, 'UA-normalized'!$A:$A, 0))-INDEX('UA-normalized'!$E:$E, MATCH($A187, 'UA-normalized'!$A:$A, 0))&gt;0, -(6*INDEX('UA-normalized'!$D:$D, MATCH($A187, 'UA-normalized'!$A:$A, 0))-INDEX('UA-normalized'!$E:$E, MATCH($A187, 'UA-normalized'!$A:$A, 0))), 0), 0))+(IFERROR(IF(6*INDEX('KZ-normalized'!$D:$D, MATCH($A187, 'KZ-normalized'!$A:$A, 0))-INDEX('KZ-normalized'!$E:$E, MATCH($A187, 'KZ-normalized'!$A:$A, 0))&gt;0, -(6*INDEX('KZ-normalized'!$D:$D, MATCH($A187, 'KZ-normalized'!$A:$A, 0))-INDEX('KZ-normalized'!$E:$E, MATCH($A187, 'KZ-normalized'!$A:$A, 0))), 0), 0))+(IFERROR(IF(6*INDEX('UZ-normalized'!$D:$D, MATCH($A187, 'UZ-normalized'!$A:$A, 0))-INDEX('UZ-normalized'!$E:$E, MATCH($A187, 'UZ-normalized'!$A:$A, 0))&gt;0, -(6*INDEX('UZ-normalized'!$D:$D, MATCH($A187, 'UZ-normalized'!$A:$A, 0))-INDEX('UZ-normalized'!$E:$E, MATCH($A187, 'UZ-normalized'!$A:$A, 0))), 0), 0)))</f>
        <v>-20</v>
      </c>
      <c r="U187" s="6">
        <f>MIN(0, N187+(IFERROR(IF(7*INDEX('UA-normalized'!$D:$D, MATCH($A187, 'UA-normalized'!$A:$A, 0))-INDEX('UA-normalized'!$E:$E, MATCH($A187, 'UA-normalized'!$A:$A, 0))&gt;0, -(7*INDEX('UA-normalized'!$D:$D, MATCH($A187, 'UA-normalized'!$A:$A, 0))-INDEX('UA-normalized'!$E:$E, MATCH($A187, 'UA-normalized'!$A:$A, 0))), 0), 0))+(IFERROR(IF(7*INDEX('KZ-normalized'!$D:$D, MATCH($A187, 'KZ-normalized'!$A:$A, 0))-INDEX('KZ-normalized'!$E:$E, MATCH($A187, 'KZ-normalized'!$A:$A, 0))&gt;0, -(7*INDEX('KZ-normalized'!$D:$D, MATCH($A187, 'KZ-normalized'!$A:$A, 0))-INDEX('KZ-normalized'!$E:$E, MATCH($A187, 'KZ-normalized'!$A:$A, 0))), 0), 0))+(IFERROR(IF(7*INDEX('UZ-normalized'!$D:$D, MATCH($A187, 'UZ-normalized'!$A:$A, 0))-INDEX('UZ-normalized'!$E:$E, MATCH($A187, 'UZ-normalized'!$A:$A, 0))&gt;0, -(7*INDEX('UZ-normalized'!$D:$D, MATCH($A187, 'UZ-normalized'!$A:$A, 0))-INDEX('UZ-normalized'!$E:$E, MATCH($A187, 'UZ-normalized'!$A:$A, 0))), 0), 0)))</f>
        <v>-32.5</v>
      </c>
      <c r="V187" s="6">
        <f>MIN(0, N187+(IFERROR(IF(8*INDEX('UA-normalized'!$D:$D, MATCH($A187, 'UA-normalized'!$A:$A, 0))-INDEX('UA-normalized'!$E:$E, MATCH($A187, 'UA-normalized'!$A:$A, 0))&gt;0, -(8*INDEX('UA-normalized'!$D:$D, MATCH($A187, 'UA-normalized'!$A:$A, 0))-INDEX('UA-normalized'!$E:$E, MATCH($A187, 'UA-normalized'!$A:$A, 0))), 0), 0))+(IFERROR(IF(8*INDEX('KZ-normalized'!$D:$D, MATCH($A187, 'KZ-normalized'!$A:$A, 0))-INDEX('KZ-normalized'!$E:$E, MATCH($A187, 'KZ-normalized'!$A:$A, 0))&gt;0, -(8*INDEX('KZ-normalized'!$D:$D, MATCH($A187, 'KZ-normalized'!$A:$A, 0))-INDEX('KZ-normalized'!$E:$E, MATCH($A187, 'KZ-normalized'!$A:$A, 0))), 0), 0))+(IFERROR(IF(8*INDEX('UZ-normalized'!$D:$D, MATCH($A187, 'UZ-normalized'!$A:$A, 0))-INDEX('UZ-normalized'!$E:$E, MATCH($A187, 'UZ-normalized'!$A:$A, 0))&gt;0, -(8*INDEX('UZ-normalized'!$D:$D, MATCH($A187, 'UZ-normalized'!$A:$A, 0))-INDEX('UZ-normalized'!$E:$E, MATCH($A187, 'UZ-normalized'!$A:$A, 0))), 0), 0)))</f>
        <v>-45</v>
      </c>
      <c r="W187" s="6">
        <f>MIN(0, N187+(IFERROR(IF(9*INDEX('UA-normalized'!$D:$D, MATCH($A187, 'UA-normalized'!$A:$A, 0))-INDEX('UA-normalized'!$E:$E, MATCH($A187, 'UA-normalized'!$A:$A, 0))&gt;0, -(9*INDEX('UA-normalized'!$D:$D, MATCH($A187, 'UA-normalized'!$A:$A, 0))-INDEX('UA-normalized'!$E:$E, MATCH($A187, 'UA-normalized'!$A:$A, 0))), 0), 0))+(IFERROR(IF(9*INDEX('KZ-normalized'!$D:$D, MATCH($A187, 'KZ-normalized'!$A:$A, 0))-INDEX('KZ-normalized'!$E:$E, MATCH($A187, 'KZ-normalized'!$A:$A, 0))&gt;0, -(9*INDEX('KZ-normalized'!$D:$D, MATCH($A187, 'KZ-normalized'!$A:$A, 0))-INDEX('KZ-normalized'!$E:$E, MATCH($A187, 'KZ-normalized'!$A:$A, 0))), 0), 0))+(IFERROR(IF(9*INDEX('UZ-normalized'!$D:$D, MATCH($A187, 'UZ-normalized'!$A:$A, 0))-INDEX('UZ-normalized'!$E:$E, MATCH($A187, 'UZ-normalized'!$A:$A, 0))&gt;0, -(9*INDEX('UZ-normalized'!$D:$D, MATCH($A187, 'UZ-normalized'!$A:$A, 0))-INDEX('UZ-normalized'!$E:$E, MATCH($A187, 'UZ-normalized'!$A:$A, 0))), 0), 0)))</f>
        <v>-57.5</v>
      </c>
      <c r="X187" s="6">
        <f>MIN(0, N187+(IFERROR(IF(10*INDEX('UA-normalized'!$D:$D, MATCH($A187, 'UA-normalized'!$A:$A, 0))-INDEX('UA-normalized'!$E:$E, MATCH($A187, 'UA-normalized'!$A:$A, 0))&gt;0, -(10*INDEX('UA-normalized'!$D:$D, MATCH($A187, 'UA-normalized'!$A:$A, 0))-INDEX('UA-normalized'!$E:$E, MATCH($A187, 'UA-normalized'!$A:$A, 0))), 0), 0))+(IFERROR(IF(10*INDEX('KZ-normalized'!$D:$D, MATCH($A187, 'KZ-normalized'!$A:$A, 0))-INDEX('KZ-normalized'!$E:$E, MATCH($A187, 'KZ-normalized'!$A:$A, 0))&gt;0, -(10*INDEX('KZ-normalized'!$D:$D, MATCH($A187, 'KZ-normalized'!$A:$A, 0))-INDEX('KZ-normalized'!$E:$E, MATCH($A187, 'KZ-normalized'!$A:$A, 0))), 0), 0))+(IFERROR(IF(10*INDEX('UZ-normalized'!$D:$D, MATCH($A187, 'UZ-normalized'!$A:$A, 0))-INDEX('UZ-normalized'!$E:$E, MATCH($A187, 'UZ-normalized'!$A:$A, 0))&gt;0, -(10*INDEX('UZ-normalized'!$D:$D, MATCH($A187, 'UZ-normalized'!$A:$A, 0))-INDEX('UZ-normalized'!$E:$E, MATCH($A187, 'UZ-normalized'!$A:$A, 0))), 0), 0)))</f>
        <v>-70</v>
      </c>
      <c r="Y187" s="6">
        <f>MIN(0, N187+(IFERROR(IF(11*INDEX('UA-normalized'!$D:$D, MATCH($A187, 'UA-normalized'!$A:$A, 0))-INDEX('UA-normalized'!$E:$E, MATCH($A187, 'UA-normalized'!$A:$A, 0))&gt;0, -(11*INDEX('UA-normalized'!$D:$D, MATCH($A187, 'UA-normalized'!$A:$A, 0))-INDEX('UA-normalized'!$E:$E, MATCH($A187, 'UA-normalized'!$A:$A, 0))), 0), 0))+(IFERROR(IF(11*INDEX('KZ-normalized'!$D:$D, MATCH($A187, 'KZ-normalized'!$A:$A, 0))-INDEX('KZ-normalized'!$E:$E, MATCH($A187, 'KZ-normalized'!$A:$A, 0))&gt;0, -(11*INDEX('KZ-normalized'!$D:$D, MATCH($A187, 'KZ-normalized'!$A:$A, 0))-INDEX('KZ-normalized'!$E:$E, MATCH($A187, 'KZ-normalized'!$A:$A, 0))), 0), 0))+(IFERROR(IF(11*INDEX('UZ-normalized'!$D:$D, MATCH($A187, 'UZ-normalized'!$A:$A, 0))-INDEX('UZ-normalized'!$E:$E, MATCH($A187, 'UZ-normalized'!$A:$A, 0))&gt;0, -(11*INDEX('UZ-normalized'!$D:$D, MATCH($A187, 'UZ-normalized'!$A:$A, 0))-INDEX('UZ-normalized'!$E:$E, MATCH($A187, 'UZ-normalized'!$A:$A, 0))), 0), 0)))</f>
        <v>-82.5</v>
      </c>
      <c r="Z187" s="6">
        <f>MIN(0, N187+(IFERROR(IF(12*INDEX('UA-normalized'!$D:$D, MATCH($A187, 'UA-normalized'!$A:$A, 0))-INDEX('UA-normalized'!$E:$E, MATCH($A187, 'UA-normalized'!$A:$A, 0))&gt;0, -(12*INDEX('UA-normalized'!$D:$D, MATCH($A187, 'UA-normalized'!$A:$A, 0))-INDEX('UA-normalized'!$E:$E, MATCH($A187, 'UA-normalized'!$A:$A, 0))), 0), 0))+(IFERROR(IF(12*INDEX('KZ-normalized'!$D:$D, MATCH($A187, 'KZ-normalized'!$A:$A, 0))-INDEX('KZ-normalized'!$E:$E, MATCH($A187, 'KZ-normalized'!$A:$A, 0))&gt;0, -(12*INDEX('KZ-normalized'!$D:$D, MATCH($A187, 'KZ-normalized'!$A:$A, 0))-INDEX('KZ-normalized'!$E:$E, MATCH($A187, 'KZ-normalized'!$A:$A, 0))), 0), 0))+(IFERROR(IF(12*INDEX('UZ-normalized'!$D:$D, MATCH($A187, 'UZ-normalized'!$A:$A, 0))-INDEX('UZ-normalized'!$E:$E, MATCH($A187, 'UZ-normalized'!$A:$A, 0))&gt;0, -(12*INDEX('UZ-normalized'!$D:$D, MATCH($A187, 'UZ-normalized'!$A:$A, 0))-INDEX('UZ-normalized'!$E:$E, MATCH($A187, 'UZ-normalized'!$A:$A, 0))), 0), 0)))</f>
        <v>-95</v>
      </c>
      <c r="AA187" s="6">
        <f>MIN(0, N187+(IFERROR(IF(13*INDEX('UA-normalized'!$D:$D, MATCH($A187, 'UA-normalized'!$A:$A, 0))-INDEX('UA-normalized'!$E:$E, MATCH($A187, 'UA-normalized'!$A:$A, 0))&gt;0, -(13*INDEX('UA-normalized'!$D:$D, MATCH($A187, 'UA-normalized'!$A:$A, 0))-INDEX('UA-normalized'!$E:$E, MATCH($A187, 'UA-normalized'!$A:$A, 0))), 0), 0))+(IFERROR(IF(13*INDEX('KZ-normalized'!$D:$D, MATCH($A187, 'KZ-normalized'!$A:$A, 0))-INDEX('KZ-normalized'!$E:$E, MATCH($A187, 'KZ-normalized'!$A:$A, 0))&gt;0, -(13*INDEX('KZ-normalized'!$D:$D, MATCH($A187, 'KZ-normalized'!$A:$A, 0))-INDEX('KZ-normalized'!$E:$E, MATCH($A187, 'KZ-normalized'!$A:$A, 0))), 0), 0))+(IFERROR(IF(13*INDEX('UZ-normalized'!$D:$D, MATCH($A187, 'UZ-normalized'!$A:$A, 0))-INDEX('UZ-normalized'!$E:$E, MATCH($A187, 'UZ-normalized'!$A:$A, 0))&gt;0, -(13*INDEX('UZ-normalized'!$D:$D, MATCH($A187, 'UZ-normalized'!$A:$A, 0))-INDEX('UZ-normalized'!$E:$E, MATCH($A187, 'UZ-normalized'!$A:$A, 0))), 0), 0)))</f>
        <v>-107.5</v>
      </c>
      <c r="AB187" s="6">
        <f>MIN(0, N187+(IFERROR(IF(14*INDEX('UA-normalized'!$D:$D, MATCH($A187, 'UA-normalized'!$A:$A, 0))-INDEX('UA-normalized'!$E:$E, MATCH($A187, 'UA-normalized'!$A:$A, 0))&gt;0, -(14*INDEX('UA-normalized'!$D:$D, MATCH($A187, 'UA-normalized'!$A:$A, 0))-INDEX('UA-normalized'!$E:$E, MATCH($A187, 'UA-normalized'!$A:$A, 0))), 0), 0))+(IFERROR(IF(14*INDEX('KZ-normalized'!$D:$D, MATCH($A187, 'KZ-normalized'!$A:$A, 0))-INDEX('KZ-normalized'!$E:$E, MATCH($A187, 'KZ-normalized'!$A:$A, 0))&gt;0, -(14*INDEX('KZ-normalized'!$D:$D, MATCH($A187, 'KZ-normalized'!$A:$A, 0))-INDEX('KZ-normalized'!$E:$E, MATCH($A187, 'KZ-normalized'!$A:$A, 0))), 0), 0))+(IFERROR(IF(14*INDEX('UZ-normalized'!$D:$D, MATCH($A187, 'UZ-normalized'!$A:$A, 0))-INDEX('UZ-normalized'!$E:$E, MATCH($A187, 'UZ-normalized'!$A:$A, 0))&gt;0, -(14*INDEX('UZ-normalized'!$D:$D, MATCH($A187, 'UZ-normalized'!$A:$A, 0))-INDEX('UZ-normalized'!$E:$E, MATCH($A187, 'UZ-normalized'!$A:$A, 0))), 0), 0)))</f>
        <v>-120</v>
      </c>
      <c r="AC187" s="6">
        <f>MIN(0, N187+(IFERROR(IF(15*INDEX('UA-normalized'!$D:$D, MATCH($A187, 'UA-normalized'!$A:$A, 0))-INDEX('UA-normalized'!$E:$E, MATCH($A187, 'UA-normalized'!$A:$A, 0))&gt;0, -(15*INDEX('UA-normalized'!$D:$D, MATCH($A187, 'UA-normalized'!$A:$A, 0))-INDEX('UA-normalized'!$E:$E, MATCH($A187, 'UA-normalized'!$A:$A, 0))), 0), 0))+(IFERROR(IF(15*INDEX('KZ-normalized'!$D:$D, MATCH($A187, 'KZ-normalized'!$A:$A, 0))-INDEX('KZ-normalized'!$E:$E, MATCH($A187, 'KZ-normalized'!$A:$A, 0))&gt;0, -(15*INDEX('KZ-normalized'!$D:$D, MATCH($A187, 'KZ-normalized'!$A:$A, 0))-INDEX('KZ-normalized'!$E:$E, MATCH($A187, 'KZ-normalized'!$A:$A, 0))), 0), 0))+(IFERROR(IF(15*INDEX('UZ-normalized'!$D:$D, MATCH($A187, 'UZ-normalized'!$A:$A, 0))-INDEX('UZ-normalized'!$E:$E, MATCH($A187, 'UZ-normalized'!$A:$A, 0))&gt;0, -(15*INDEX('UZ-normalized'!$D:$D, MATCH($A187, 'UZ-normalized'!$A:$A, 0))-INDEX('UZ-normalized'!$E:$E, MATCH($A187, 'UZ-normalized'!$A:$A, 0))), 0), 0)))</f>
        <v>-132.5</v>
      </c>
      <c r="AD187" s="6">
        <f>MIN(0, N187+(IFERROR(IF(16*INDEX('UA-normalized'!$D:$D, MATCH($A187, 'UA-normalized'!$A:$A, 0))-INDEX('UA-normalized'!$E:$E, MATCH($A187, 'UA-normalized'!$A:$A, 0))&gt;0, -(16*INDEX('UA-normalized'!$D:$D, MATCH($A187, 'UA-normalized'!$A:$A, 0))-INDEX('UA-normalized'!$E:$E, MATCH($A187, 'UA-normalized'!$A:$A, 0))), 0), 0))+(IFERROR(IF(16*INDEX('KZ-normalized'!$D:$D, MATCH($A187, 'KZ-normalized'!$A:$A, 0))-INDEX('KZ-normalized'!$E:$E, MATCH($A187, 'KZ-normalized'!$A:$A, 0))&gt;0, -(16*INDEX('KZ-normalized'!$D:$D, MATCH($A187, 'KZ-normalized'!$A:$A, 0))-INDEX('KZ-normalized'!$E:$E, MATCH($A187, 'KZ-normalized'!$A:$A, 0))), 0), 0))+(IFERROR(IF(16*INDEX('UZ-normalized'!$D:$D, MATCH($A187, 'UZ-normalized'!$A:$A, 0))-INDEX('UZ-normalized'!$E:$E, MATCH($A187, 'UZ-normalized'!$A:$A, 0))&gt;0, -(16*INDEX('UZ-normalized'!$D:$D, MATCH($A187, 'UZ-normalized'!$A:$A, 0))-INDEX('UZ-normalized'!$E:$E, MATCH($A187, 'UZ-normalized'!$A:$A, 0))), 0), 0)))</f>
        <v>-145</v>
      </c>
      <c r="AE187" s="6">
        <f>MIN(0, N187+(IFERROR(IF(17*INDEX('UA-normalized'!$D:$D, MATCH($A187, 'UA-normalized'!$A:$A, 0))-INDEX('UA-normalized'!$E:$E, MATCH($A187, 'UA-normalized'!$A:$A, 0))&gt;0, -(17*INDEX('UA-normalized'!$D:$D, MATCH($A187, 'UA-normalized'!$A:$A, 0))-INDEX('UA-normalized'!$E:$E, MATCH($A187, 'UA-normalized'!$A:$A, 0))), 0), 0))+(IFERROR(IF(17*INDEX('KZ-normalized'!$D:$D, MATCH($A187, 'KZ-normalized'!$A:$A, 0))-INDEX('KZ-normalized'!$E:$E, MATCH($A187, 'KZ-normalized'!$A:$A, 0))&gt;0, -(17*INDEX('KZ-normalized'!$D:$D, MATCH($A187, 'KZ-normalized'!$A:$A, 0))-INDEX('KZ-normalized'!$E:$E, MATCH($A187, 'KZ-normalized'!$A:$A, 0))), 0), 0))+(IFERROR(IF(17*INDEX('UZ-normalized'!$D:$D, MATCH($A187, 'UZ-normalized'!$A:$A, 0))-INDEX('UZ-normalized'!$E:$E, MATCH($A187, 'UZ-normalized'!$A:$A, 0))&gt;0, -(17*INDEX('UZ-normalized'!$D:$D, MATCH($A187, 'UZ-normalized'!$A:$A, 0))-INDEX('UZ-normalized'!$E:$E, MATCH($A187, 'UZ-normalized'!$A:$A, 0))), 0), 0)))</f>
        <v>-157.5</v>
      </c>
      <c r="AF187" s="6">
        <f>MIN(0, N187+(IFERROR(IF(18*INDEX('UA-normalized'!$D:$D, MATCH($A187, 'UA-normalized'!$A:$A, 0))-INDEX('UA-normalized'!$E:$E, MATCH($A187, 'UA-normalized'!$A:$A, 0))&gt;0, -(18*INDEX('UA-normalized'!$D:$D, MATCH($A187, 'UA-normalized'!$A:$A, 0))-INDEX('UA-normalized'!$E:$E, MATCH($A187, 'UA-normalized'!$A:$A, 0))), 0), 0))+(IFERROR(IF(18*INDEX('KZ-normalized'!$D:$D, MATCH($A187, 'KZ-normalized'!$A:$A, 0))-INDEX('KZ-normalized'!$E:$E, MATCH($A187, 'KZ-normalized'!$A:$A, 0))&gt;0, -(18*INDEX('KZ-normalized'!$D:$D, MATCH($A187, 'KZ-normalized'!$A:$A, 0))-INDEX('KZ-normalized'!$E:$E, MATCH($A187, 'KZ-normalized'!$A:$A, 0))), 0), 0))+(IFERROR(IF(18*INDEX('UZ-normalized'!$D:$D, MATCH($A187, 'UZ-normalized'!$A:$A, 0))-INDEX('UZ-normalized'!$E:$E, MATCH($A187, 'UZ-normalized'!$A:$A, 0))&gt;0, -(18*INDEX('UZ-normalized'!$D:$D, MATCH($A187, 'UZ-normalized'!$A:$A, 0))-INDEX('UZ-normalized'!$E:$E, MATCH($A187, 'UZ-normalized'!$A:$A, 0))), 0), 0)))</f>
        <v>-170</v>
      </c>
      <c r="AG187" s="6">
        <f>MIN(0, N187+(IFERROR(IF(19*INDEX('UA-normalized'!$D:$D, MATCH($A187, 'UA-normalized'!$A:$A, 0))-INDEX('UA-normalized'!$E:$E, MATCH($A187, 'UA-normalized'!$A:$A, 0))&gt;0, -(19*INDEX('UA-normalized'!$D:$D, MATCH($A187, 'UA-normalized'!$A:$A, 0))-INDEX('UA-normalized'!$E:$E, MATCH($A187, 'UA-normalized'!$A:$A, 0))), 0), 0))+(IFERROR(IF(19*INDEX('KZ-normalized'!$D:$D, MATCH($A187, 'KZ-normalized'!$A:$A, 0))-INDEX('KZ-normalized'!$E:$E, MATCH($A187, 'KZ-normalized'!$A:$A, 0))&gt;0, -(19*INDEX('KZ-normalized'!$D:$D, MATCH($A187, 'KZ-normalized'!$A:$A, 0))-INDEX('KZ-normalized'!$E:$E, MATCH($A187, 'KZ-normalized'!$A:$A, 0))), 0), 0))+(IFERROR(IF(19*INDEX('UZ-normalized'!$D:$D, MATCH($A187, 'UZ-normalized'!$A:$A, 0))-INDEX('UZ-normalized'!$E:$E, MATCH($A187, 'UZ-normalized'!$A:$A, 0))&gt;0, -(19*INDEX('UZ-normalized'!$D:$D, MATCH($A187, 'UZ-normalized'!$A:$A, 0))-INDEX('UZ-normalized'!$E:$E, MATCH($A187, 'UZ-normalized'!$A:$A, 0))), 0), 0)))</f>
        <v>-182.5</v>
      </c>
      <c r="AH187" s="6">
        <f>MIN(0, N187+(IFERROR(IF(20*INDEX('UA-normalized'!$D:$D, MATCH($A187, 'UA-normalized'!$A:$A, 0))-INDEX('UA-normalized'!$E:$E, MATCH($A187, 'UA-normalized'!$A:$A, 0))&gt;0, -(20*INDEX('UA-normalized'!$D:$D, MATCH($A187, 'UA-normalized'!$A:$A, 0))-INDEX('UA-normalized'!$E:$E, MATCH($A187, 'UA-normalized'!$A:$A, 0))), 0), 0))+(IFERROR(IF(20*INDEX('KZ-normalized'!$D:$D, MATCH($A187, 'KZ-normalized'!$A:$A, 0))-INDEX('KZ-normalized'!$E:$E, MATCH($A187, 'KZ-normalized'!$A:$A, 0))&gt;0, -(20*INDEX('KZ-normalized'!$D:$D, MATCH($A187, 'KZ-normalized'!$A:$A, 0))-INDEX('KZ-normalized'!$E:$E, MATCH($A187, 'KZ-normalized'!$A:$A, 0))), 0), 0))+(IFERROR(IF(20*INDEX('UZ-normalized'!$D:$D, MATCH($A187, 'UZ-normalized'!$A:$A, 0))-INDEX('UZ-normalized'!$E:$E, MATCH($A187, 'UZ-normalized'!$A:$A, 0))&gt;0, -(20*INDEX('UZ-normalized'!$D:$D, MATCH($A187, 'UZ-normalized'!$A:$A, 0))-INDEX('UZ-normalized'!$E:$E, MATCH($A187, 'UZ-normalized'!$A:$A, 0))), 0), 0)))</f>
        <v>-195</v>
      </c>
      <c r="AI187" s="6">
        <f>MIN(0, N187+(IFERROR(IF(21*INDEX('UA-normalized'!$D:$D, MATCH($A187, 'UA-normalized'!$A:$A, 0))-INDEX('UA-normalized'!$E:$E, MATCH($A187, 'UA-normalized'!$A:$A, 0))&gt;0, -(21*INDEX('UA-normalized'!$D:$D, MATCH($A187, 'UA-normalized'!$A:$A, 0))-INDEX('UA-normalized'!$E:$E, MATCH($A187, 'UA-normalized'!$A:$A, 0))), 0), 0))+(IFERROR(IF(21*INDEX('KZ-normalized'!$D:$D, MATCH($A187, 'KZ-normalized'!$A:$A, 0))-INDEX('KZ-normalized'!$E:$E, MATCH($A187, 'KZ-normalized'!$A:$A, 0))&gt;0, -(21*INDEX('KZ-normalized'!$D:$D, MATCH($A187, 'KZ-normalized'!$A:$A, 0))-INDEX('KZ-normalized'!$E:$E, MATCH($A187, 'KZ-normalized'!$A:$A, 0))), 0), 0))+(IFERROR(IF(21*INDEX('UZ-normalized'!$D:$D, MATCH($A187, 'UZ-normalized'!$A:$A, 0))-INDEX('UZ-normalized'!$E:$E, MATCH($A187, 'UZ-normalized'!$A:$A, 0))&gt;0, -(21*INDEX('UZ-normalized'!$D:$D, MATCH($A187, 'UZ-normalized'!$A:$A, 0))-INDEX('UZ-normalized'!$E:$E, MATCH($A187, 'UZ-normalized'!$A:$A, 0))), 0), 0)))</f>
        <v>-207.5</v>
      </c>
      <c r="AJ187" s="6">
        <f>MIN(0, N187+(IFERROR(IF(22*INDEX('UA-normalized'!$D:$D, MATCH($A187, 'UA-normalized'!$A:$A, 0))-INDEX('UA-normalized'!$E:$E, MATCH($A187, 'UA-normalized'!$A:$A, 0))&gt;0, -(22*INDEX('UA-normalized'!$D:$D, MATCH($A187, 'UA-normalized'!$A:$A, 0))-INDEX('UA-normalized'!$E:$E, MATCH($A187, 'UA-normalized'!$A:$A, 0))), 0), 0))+(IFERROR(IF(22*INDEX('KZ-normalized'!$D:$D, MATCH($A187, 'KZ-normalized'!$A:$A, 0))-INDEX('KZ-normalized'!$E:$E, MATCH($A187, 'KZ-normalized'!$A:$A, 0))&gt;0, -(22*INDEX('KZ-normalized'!$D:$D, MATCH($A187, 'KZ-normalized'!$A:$A, 0))-INDEX('KZ-normalized'!$E:$E, MATCH($A187, 'KZ-normalized'!$A:$A, 0))), 0), 0))+(IFERROR(IF(22*INDEX('UZ-normalized'!$D:$D, MATCH($A187, 'UZ-normalized'!$A:$A, 0))-INDEX('UZ-normalized'!$E:$E, MATCH($A187, 'UZ-normalized'!$A:$A, 0))&gt;0, -(22*INDEX('UZ-normalized'!$D:$D, MATCH($A187, 'UZ-normalized'!$A:$A, 0))-INDEX('UZ-normalized'!$E:$E, MATCH($A187, 'UZ-normalized'!$A:$A, 0))), 0), 0)))</f>
        <v>-220</v>
      </c>
      <c r="AK187" s="6">
        <f>MIN(0, N187+(IFERROR(IF(23*INDEX('UA-normalized'!$D:$D, MATCH($A187, 'UA-normalized'!$A:$A, 0))-INDEX('UA-normalized'!$E:$E, MATCH($A187, 'UA-normalized'!$A:$A, 0))&gt;0, -(23*INDEX('UA-normalized'!$D:$D, MATCH($A187, 'UA-normalized'!$A:$A, 0))-INDEX('UA-normalized'!$E:$E, MATCH($A187, 'UA-normalized'!$A:$A, 0))), 0), 0))+(IFERROR(IF(23*INDEX('KZ-normalized'!$D:$D, MATCH($A187, 'KZ-normalized'!$A:$A, 0))-INDEX('KZ-normalized'!$E:$E, MATCH($A187, 'KZ-normalized'!$A:$A, 0))&gt;0, -(23*INDEX('KZ-normalized'!$D:$D, MATCH($A187, 'KZ-normalized'!$A:$A, 0))-INDEX('KZ-normalized'!$E:$E, MATCH($A187, 'KZ-normalized'!$A:$A, 0))), 0), 0))+(IFERROR(IF(23*INDEX('UZ-normalized'!$D:$D, MATCH($A187, 'UZ-normalized'!$A:$A, 0))-INDEX('UZ-normalized'!$E:$E, MATCH($A187, 'UZ-normalized'!$A:$A, 0))&gt;0, -(23*INDEX('UZ-normalized'!$D:$D, MATCH($A187, 'UZ-normalized'!$A:$A, 0))-INDEX('UZ-normalized'!$E:$E, MATCH($A187, 'UZ-normalized'!$A:$A, 0))), 0), 0)))</f>
        <v>-232.5</v>
      </c>
      <c r="AL187" s="6">
        <f>MIN(0, N187+(IFERROR(IF(24*INDEX('UA-normalized'!$D:$D, MATCH($A187, 'UA-normalized'!$A:$A, 0))-INDEX('UA-normalized'!$E:$E, MATCH($A187, 'UA-normalized'!$A:$A, 0))&gt;0, -(24*INDEX('UA-normalized'!$D:$D, MATCH($A187, 'UA-normalized'!$A:$A, 0))-INDEX('UA-normalized'!$E:$E, MATCH($A187, 'UA-normalized'!$A:$A, 0))), 0), 0))+(IFERROR(IF(24*INDEX('KZ-normalized'!$D:$D, MATCH($A187, 'KZ-normalized'!$A:$A, 0))-INDEX('KZ-normalized'!$E:$E, MATCH($A187, 'KZ-normalized'!$A:$A, 0))&gt;0, -(24*INDEX('KZ-normalized'!$D:$D, MATCH($A187, 'KZ-normalized'!$A:$A, 0))-INDEX('KZ-normalized'!$E:$E, MATCH($A187, 'KZ-normalized'!$A:$A, 0))), 0), 0))+(IFERROR(IF(24*INDEX('UZ-normalized'!$D:$D, MATCH($A187, 'UZ-normalized'!$A:$A, 0))-INDEX('UZ-normalized'!$E:$E, MATCH($A187, 'UZ-normalized'!$A:$A, 0))&gt;0, -(24*INDEX('UZ-normalized'!$D:$D, MATCH($A187, 'UZ-normalized'!$A:$A, 0))-INDEX('UZ-normalized'!$E:$E, MATCH($A187, 'UZ-normalized'!$A:$A, 0))), 0), 0)))</f>
        <v>-245</v>
      </c>
      <c r="AM187" s="6">
        <f>MIN(0, N187+(IFERROR(IF(25*INDEX('UA-normalized'!$D:$D, MATCH($A187, 'UA-normalized'!$A:$A, 0))-INDEX('UA-normalized'!$E:$E, MATCH($A187, 'UA-normalized'!$A:$A, 0))&gt;0, -(25*INDEX('UA-normalized'!$D:$D, MATCH($A187, 'UA-normalized'!$A:$A, 0))-INDEX('UA-normalized'!$E:$E, MATCH($A187, 'UA-normalized'!$A:$A, 0))), 0), 0))+(IFERROR(IF(25*INDEX('KZ-normalized'!$D:$D, MATCH($A187, 'KZ-normalized'!$A:$A, 0))-INDEX('KZ-normalized'!$E:$E, MATCH($A187, 'KZ-normalized'!$A:$A, 0))&gt;0, -(25*INDEX('KZ-normalized'!$D:$D, MATCH($A187, 'KZ-normalized'!$A:$A, 0))-INDEX('KZ-normalized'!$E:$E, MATCH($A187, 'KZ-normalized'!$A:$A, 0))), 0), 0))+(IFERROR(IF(25*INDEX('UZ-normalized'!$D:$D, MATCH($A187, 'UZ-normalized'!$A:$A, 0))-INDEX('UZ-normalized'!$E:$E, MATCH($A187, 'UZ-normalized'!$A:$A, 0))&gt;0, -(25*INDEX('UZ-normalized'!$D:$D, MATCH($A187, 'UZ-normalized'!$A:$A, 0))-INDEX('UZ-normalized'!$E:$E, MATCH($A187, 'UZ-normalized'!$A:$A, 0))), 0), 0)))</f>
        <v>-257.5</v>
      </c>
      <c r="AN187" s="6">
        <f>MIN(0, N187+(IFERROR(IF(26*INDEX('UA-normalized'!$D:$D, MATCH($A187, 'UA-normalized'!$A:$A, 0))-INDEX('UA-normalized'!$E:$E, MATCH($A187, 'UA-normalized'!$A:$A, 0))&gt;0, -(26*INDEX('UA-normalized'!$D:$D, MATCH($A187, 'UA-normalized'!$A:$A, 0))-INDEX('UA-normalized'!$E:$E, MATCH($A187, 'UA-normalized'!$A:$A, 0))), 0), 0))+(IFERROR(IF(26*INDEX('KZ-normalized'!$D:$D, MATCH($A187, 'KZ-normalized'!$A:$A, 0))-INDEX('KZ-normalized'!$E:$E, MATCH($A187, 'KZ-normalized'!$A:$A, 0))&gt;0, -(26*INDEX('KZ-normalized'!$D:$D, MATCH($A187, 'KZ-normalized'!$A:$A, 0))-INDEX('KZ-normalized'!$E:$E, MATCH($A187, 'KZ-normalized'!$A:$A, 0))), 0), 0))+(IFERROR(IF(26*INDEX('UZ-normalized'!$D:$D, MATCH($A187, 'UZ-normalized'!$A:$A, 0))-INDEX('UZ-normalized'!$E:$E, MATCH($A187, 'UZ-normalized'!$A:$A, 0))&gt;0, -(26*INDEX('UZ-normalized'!$D:$D, MATCH($A187, 'UZ-normalized'!$A:$A, 0))-INDEX('UZ-normalized'!$E:$E, MATCH($A187, 'UZ-normalized'!$A:$A, 0))), 0), 0)))</f>
        <v>-270</v>
      </c>
      <c r="AO187" s="6">
        <f>MIN(0, N187+(IFERROR(IF(27*INDEX('UA-normalized'!$D:$D, MATCH($A187, 'UA-normalized'!$A:$A, 0))-INDEX('UA-normalized'!$E:$E, MATCH($A187, 'UA-normalized'!$A:$A, 0))&gt;0, -(27*INDEX('UA-normalized'!$D:$D, MATCH($A187, 'UA-normalized'!$A:$A, 0))-INDEX('UA-normalized'!$E:$E, MATCH($A187, 'UA-normalized'!$A:$A, 0))), 0), 0))+(IFERROR(IF(27*INDEX('KZ-normalized'!$D:$D, MATCH($A187, 'KZ-normalized'!$A:$A, 0))-INDEX('KZ-normalized'!$E:$E, MATCH($A187, 'KZ-normalized'!$A:$A, 0))&gt;0, -(27*INDEX('KZ-normalized'!$D:$D, MATCH($A187, 'KZ-normalized'!$A:$A, 0))-INDEX('KZ-normalized'!$E:$E, MATCH($A187, 'KZ-normalized'!$A:$A, 0))), 0), 0))+(IFERROR(IF(27*INDEX('UZ-normalized'!$D:$D, MATCH($A187, 'UZ-normalized'!$A:$A, 0))-INDEX('UZ-normalized'!$E:$E, MATCH($A187, 'UZ-normalized'!$A:$A, 0))&gt;0, -(27*INDEX('UZ-normalized'!$D:$D, MATCH($A187, 'UZ-normalized'!$A:$A, 0))-INDEX('UZ-normalized'!$E:$E, MATCH($A187, 'UZ-normalized'!$A:$A, 0))), 0), 0)))</f>
        <v>-282.5</v>
      </c>
      <c r="AP187" s="6">
        <f>MIN(0, N187+(IFERROR(IF(28*INDEX('UA-normalized'!$D:$D, MATCH($A187, 'UA-normalized'!$A:$A, 0))-INDEX('UA-normalized'!$E:$E, MATCH($A187, 'UA-normalized'!$A:$A, 0))&gt;0, -(28*INDEX('UA-normalized'!$D:$D, MATCH($A187, 'UA-normalized'!$A:$A, 0))-INDEX('UA-normalized'!$E:$E, MATCH($A187, 'UA-normalized'!$A:$A, 0))), 0), 0))+(IFERROR(IF(28*INDEX('KZ-normalized'!$D:$D, MATCH($A187, 'KZ-normalized'!$A:$A, 0))-INDEX('KZ-normalized'!$E:$E, MATCH($A187, 'KZ-normalized'!$A:$A, 0))&gt;0, -(28*INDEX('KZ-normalized'!$D:$D, MATCH($A187, 'KZ-normalized'!$A:$A, 0))-INDEX('KZ-normalized'!$E:$E, MATCH($A187, 'KZ-normalized'!$A:$A, 0))), 0), 0))+(IFERROR(IF(28*INDEX('UZ-normalized'!$D:$D, MATCH($A187, 'UZ-normalized'!$A:$A, 0))-INDEX('UZ-normalized'!$E:$E, MATCH($A187, 'UZ-normalized'!$A:$A, 0))&gt;0, -(28*INDEX('UZ-normalized'!$D:$D, MATCH($A187, 'UZ-normalized'!$A:$A, 0))-INDEX('UZ-normalized'!$E:$E, MATCH($A187, 'UZ-normalized'!$A:$A, 0))), 0), 0)))</f>
        <v>-295</v>
      </c>
      <c r="AQ187" s="6">
        <f>MIN(0, N187+(IFERROR(IF(29*INDEX('UA-normalized'!$D:$D, MATCH($A187, 'UA-normalized'!$A:$A, 0))-INDEX('UA-normalized'!$E:$E, MATCH($A187, 'UA-normalized'!$A:$A, 0))&gt;0, -(29*INDEX('UA-normalized'!$D:$D, MATCH($A187, 'UA-normalized'!$A:$A, 0))-INDEX('UA-normalized'!$E:$E, MATCH($A187, 'UA-normalized'!$A:$A, 0))), 0), 0))+(IFERROR(IF(29*INDEX('KZ-normalized'!$D:$D, MATCH($A187, 'KZ-normalized'!$A:$A, 0))-INDEX('KZ-normalized'!$E:$E, MATCH($A187, 'KZ-normalized'!$A:$A, 0))&gt;0, -(29*INDEX('KZ-normalized'!$D:$D, MATCH($A187, 'KZ-normalized'!$A:$A, 0))-INDEX('KZ-normalized'!$E:$E, MATCH($A187, 'KZ-normalized'!$A:$A, 0))), 0), 0))+(IFERROR(IF(29*INDEX('UZ-normalized'!$D:$D, MATCH($A187, 'UZ-normalized'!$A:$A, 0))-INDEX('UZ-normalized'!$E:$E, MATCH($A187, 'UZ-normalized'!$A:$A, 0))&gt;0, -(29*INDEX('UZ-normalized'!$D:$D, MATCH($A187, 'UZ-normalized'!$A:$A, 0))-INDEX('UZ-normalized'!$E:$E, MATCH($A187, 'UZ-normalized'!$A:$A, 0))), 0), 0)))</f>
        <v>-307.5</v>
      </c>
      <c r="AR187" s="6">
        <f>MIN(0, N187+(IFERROR(IF(30*INDEX('UA-normalized'!$D:$D, MATCH($A187, 'UA-normalized'!$A:$A, 0))-INDEX('UA-normalized'!$E:$E, MATCH($A187, 'UA-normalized'!$A:$A, 0))&gt;0, -(30*INDEX('UA-normalized'!$D:$D, MATCH($A187, 'UA-normalized'!$A:$A, 0))-INDEX('UA-normalized'!$E:$E, MATCH($A187, 'UA-normalized'!$A:$A, 0))), 0), 0))+(IFERROR(IF(30*INDEX('KZ-normalized'!$D:$D, MATCH($A187, 'KZ-normalized'!$A:$A, 0))-INDEX('KZ-normalized'!$E:$E, MATCH($A187, 'KZ-normalized'!$A:$A, 0))&gt;0, -(30*INDEX('KZ-normalized'!$D:$D, MATCH($A187, 'KZ-normalized'!$A:$A, 0))-INDEX('KZ-normalized'!$E:$E, MATCH($A187, 'KZ-normalized'!$A:$A, 0))), 0), 0))+(IFERROR(IF(30*INDEX('UZ-normalized'!$D:$D, MATCH($A187, 'UZ-normalized'!$A:$A, 0))-INDEX('UZ-normalized'!$E:$E, MATCH($A187, 'UZ-normalized'!$A:$A, 0))&gt;0, -(30*INDEX('UZ-normalized'!$D:$D, MATCH($A187, 'UZ-normalized'!$A:$A, 0))-INDEX('UZ-normalized'!$E:$E, MATCH($A187, 'UZ-normalized'!$A:$A, 0))), 0), 0)))</f>
        <v>-320</v>
      </c>
    </row>
    <row r="188" spans="1:44" x14ac:dyDescent="0.25">
      <c r="A188" s="8" t="s">
        <v>451</v>
      </c>
      <c r="B188" s="8" t="s">
        <v>442</v>
      </c>
      <c r="C188" s="8" t="s">
        <v>443</v>
      </c>
      <c r="D188" s="8" t="s">
        <v>452</v>
      </c>
      <c r="N188">
        <f t="shared" si="2"/>
        <v>0</v>
      </c>
      <c r="O188" s="6">
        <f>MIN(0, N188+(IFERROR(IF(1*INDEX('UA-normalized'!$D:$D, MATCH($A188, 'UA-normalized'!$A:$A, 0))-INDEX('UA-normalized'!$E:$E, MATCH($A188, 'UA-normalized'!$A:$A, 0))&gt;0, -(1*INDEX('UA-normalized'!$D:$D, MATCH($A188, 'UA-normalized'!$A:$A, 0))-INDEX('UA-normalized'!$E:$E, MATCH($A188, 'UA-normalized'!$A:$A, 0))), 0), 0))+(IFERROR(IF(1*INDEX('KZ-normalized'!$D:$D, MATCH($A188, 'KZ-normalized'!$A:$A, 0))-INDEX('KZ-normalized'!$E:$E, MATCH($A188, 'KZ-normalized'!$A:$A, 0))&gt;0, -(1*INDEX('KZ-normalized'!$D:$D, MATCH($A188, 'KZ-normalized'!$A:$A, 0))-INDEX('KZ-normalized'!$E:$E, MATCH($A188, 'KZ-normalized'!$A:$A, 0))), 0), 0))+(IFERROR(IF(1*INDEX('UZ-normalized'!$D:$D, MATCH($A188, 'UZ-normalized'!$A:$A, 0))-INDEX('UZ-normalized'!$E:$E, MATCH($A188, 'UZ-normalized'!$A:$A, 0))&gt;0, -(1*INDEX('UZ-normalized'!$D:$D, MATCH($A188, 'UZ-normalized'!$A:$A, 0))-INDEX('UZ-normalized'!$E:$E, MATCH($A188, 'UZ-normalized'!$A:$A, 0))), 0), 0)))</f>
        <v>0</v>
      </c>
      <c r="P188" s="6">
        <f>MIN(0, N188+(IFERROR(IF(2*INDEX('UA-normalized'!$D:$D, MATCH($A188, 'UA-normalized'!$A:$A, 0))-INDEX('UA-normalized'!$E:$E, MATCH($A188, 'UA-normalized'!$A:$A, 0))&gt;0, -(2*INDEX('UA-normalized'!$D:$D, MATCH($A188, 'UA-normalized'!$A:$A, 0))-INDEX('UA-normalized'!$E:$E, MATCH($A188, 'UA-normalized'!$A:$A, 0))), 0), 0))+(IFERROR(IF(2*INDEX('KZ-normalized'!$D:$D, MATCH($A188, 'KZ-normalized'!$A:$A, 0))-INDEX('KZ-normalized'!$E:$E, MATCH($A188, 'KZ-normalized'!$A:$A, 0))&gt;0, -(2*INDEX('KZ-normalized'!$D:$D, MATCH($A188, 'KZ-normalized'!$A:$A, 0))-INDEX('KZ-normalized'!$E:$E, MATCH($A188, 'KZ-normalized'!$A:$A, 0))), 0), 0))+(IFERROR(IF(2*INDEX('UZ-normalized'!$D:$D, MATCH($A188, 'UZ-normalized'!$A:$A, 0))-INDEX('UZ-normalized'!$E:$E, MATCH($A188, 'UZ-normalized'!$A:$A, 0))&gt;0, -(2*INDEX('UZ-normalized'!$D:$D, MATCH($A188, 'UZ-normalized'!$A:$A, 0))-INDEX('UZ-normalized'!$E:$E, MATCH($A188, 'UZ-normalized'!$A:$A, 0))), 0), 0)))</f>
        <v>0</v>
      </c>
      <c r="Q188" s="6">
        <f>MIN(0, N188+(IFERROR(IF(3*INDEX('UA-normalized'!$D:$D, MATCH($A188, 'UA-normalized'!$A:$A, 0))-INDEX('UA-normalized'!$E:$E, MATCH($A188, 'UA-normalized'!$A:$A, 0))&gt;0, -(3*INDEX('UA-normalized'!$D:$D, MATCH($A188, 'UA-normalized'!$A:$A, 0))-INDEX('UA-normalized'!$E:$E, MATCH($A188, 'UA-normalized'!$A:$A, 0))), 0), 0))+(IFERROR(IF(3*INDEX('KZ-normalized'!$D:$D, MATCH($A188, 'KZ-normalized'!$A:$A, 0))-INDEX('KZ-normalized'!$E:$E, MATCH($A188, 'KZ-normalized'!$A:$A, 0))&gt;0, -(3*INDEX('KZ-normalized'!$D:$D, MATCH($A188, 'KZ-normalized'!$A:$A, 0))-INDEX('KZ-normalized'!$E:$E, MATCH($A188, 'KZ-normalized'!$A:$A, 0))), 0), 0))+(IFERROR(IF(3*INDEX('UZ-normalized'!$D:$D, MATCH($A188, 'UZ-normalized'!$A:$A, 0))-INDEX('UZ-normalized'!$E:$E, MATCH($A188, 'UZ-normalized'!$A:$A, 0))&gt;0, -(3*INDEX('UZ-normalized'!$D:$D, MATCH($A188, 'UZ-normalized'!$A:$A, 0))-INDEX('UZ-normalized'!$E:$E, MATCH($A188, 'UZ-normalized'!$A:$A, 0))), 0), 0)))</f>
        <v>0</v>
      </c>
      <c r="R188" s="6">
        <f>MIN(0, N188+(IFERROR(IF(4*INDEX('UA-normalized'!$D:$D, MATCH($A188, 'UA-normalized'!$A:$A, 0))-INDEX('UA-normalized'!$E:$E, MATCH($A188, 'UA-normalized'!$A:$A, 0))&gt;0, -(4*INDEX('UA-normalized'!$D:$D, MATCH($A188, 'UA-normalized'!$A:$A, 0))-INDEX('UA-normalized'!$E:$E, MATCH($A188, 'UA-normalized'!$A:$A, 0))), 0), 0))+(IFERROR(IF(4*INDEX('KZ-normalized'!$D:$D, MATCH($A188, 'KZ-normalized'!$A:$A, 0))-INDEX('KZ-normalized'!$E:$E, MATCH($A188, 'KZ-normalized'!$A:$A, 0))&gt;0, -(4*INDEX('KZ-normalized'!$D:$D, MATCH($A188, 'KZ-normalized'!$A:$A, 0))-INDEX('KZ-normalized'!$E:$E, MATCH($A188, 'KZ-normalized'!$A:$A, 0))), 0), 0))+(IFERROR(IF(4*INDEX('UZ-normalized'!$D:$D, MATCH($A188, 'UZ-normalized'!$A:$A, 0))-INDEX('UZ-normalized'!$E:$E, MATCH($A188, 'UZ-normalized'!$A:$A, 0))&gt;0, -(4*INDEX('UZ-normalized'!$D:$D, MATCH($A188, 'UZ-normalized'!$A:$A, 0))-INDEX('UZ-normalized'!$E:$E, MATCH($A188, 'UZ-normalized'!$A:$A, 0))), 0), 0)))</f>
        <v>0</v>
      </c>
      <c r="S188" s="6">
        <f>MIN(0, N188+(IFERROR(IF(5*INDEX('UA-normalized'!$D:$D, MATCH($A188, 'UA-normalized'!$A:$A, 0))-INDEX('UA-normalized'!$E:$E, MATCH($A188, 'UA-normalized'!$A:$A, 0))&gt;0, -(5*INDEX('UA-normalized'!$D:$D, MATCH($A188, 'UA-normalized'!$A:$A, 0))-INDEX('UA-normalized'!$E:$E, MATCH($A188, 'UA-normalized'!$A:$A, 0))), 0), 0))+(IFERROR(IF(5*INDEX('KZ-normalized'!$D:$D, MATCH($A188, 'KZ-normalized'!$A:$A, 0))-INDEX('KZ-normalized'!$E:$E, MATCH($A188, 'KZ-normalized'!$A:$A, 0))&gt;0, -(5*INDEX('KZ-normalized'!$D:$D, MATCH($A188, 'KZ-normalized'!$A:$A, 0))-INDEX('KZ-normalized'!$E:$E, MATCH($A188, 'KZ-normalized'!$A:$A, 0))), 0), 0))+(IFERROR(IF(5*INDEX('UZ-normalized'!$D:$D, MATCH($A188, 'UZ-normalized'!$A:$A, 0))-INDEX('UZ-normalized'!$E:$E, MATCH($A188, 'UZ-normalized'!$A:$A, 0))&gt;0, -(5*INDEX('UZ-normalized'!$D:$D, MATCH($A188, 'UZ-normalized'!$A:$A, 0))-INDEX('UZ-normalized'!$E:$E, MATCH($A188, 'UZ-normalized'!$A:$A, 0))), 0), 0)))</f>
        <v>0</v>
      </c>
      <c r="T188" s="6">
        <f>MIN(0, N188+(IFERROR(IF(6*INDEX('UA-normalized'!$D:$D, MATCH($A188, 'UA-normalized'!$A:$A, 0))-INDEX('UA-normalized'!$E:$E, MATCH($A188, 'UA-normalized'!$A:$A, 0))&gt;0, -(6*INDEX('UA-normalized'!$D:$D, MATCH($A188, 'UA-normalized'!$A:$A, 0))-INDEX('UA-normalized'!$E:$E, MATCH($A188, 'UA-normalized'!$A:$A, 0))), 0), 0))+(IFERROR(IF(6*INDEX('KZ-normalized'!$D:$D, MATCH($A188, 'KZ-normalized'!$A:$A, 0))-INDEX('KZ-normalized'!$E:$E, MATCH($A188, 'KZ-normalized'!$A:$A, 0))&gt;0, -(6*INDEX('KZ-normalized'!$D:$D, MATCH($A188, 'KZ-normalized'!$A:$A, 0))-INDEX('KZ-normalized'!$E:$E, MATCH($A188, 'KZ-normalized'!$A:$A, 0))), 0), 0))+(IFERROR(IF(6*INDEX('UZ-normalized'!$D:$D, MATCH($A188, 'UZ-normalized'!$A:$A, 0))-INDEX('UZ-normalized'!$E:$E, MATCH($A188, 'UZ-normalized'!$A:$A, 0))&gt;0, -(6*INDEX('UZ-normalized'!$D:$D, MATCH($A188, 'UZ-normalized'!$A:$A, 0))-INDEX('UZ-normalized'!$E:$E, MATCH($A188, 'UZ-normalized'!$A:$A, 0))), 0), 0)))</f>
        <v>-3</v>
      </c>
      <c r="U188" s="6">
        <f>MIN(0, N188+(IFERROR(IF(7*INDEX('UA-normalized'!$D:$D, MATCH($A188, 'UA-normalized'!$A:$A, 0))-INDEX('UA-normalized'!$E:$E, MATCH($A188, 'UA-normalized'!$A:$A, 0))&gt;0, -(7*INDEX('UA-normalized'!$D:$D, MATCH($A188, 'UA-normalized'!$A:$A, 0))-INDEX('UA-normalized'!$E:$E, MATCH($A188, 'UA-normalized'!$A:$A, 0))), 0), 0))+(IFERROR(IF(7*INDEX('KZ-normalized'!$D:$D, MATCH($A188, 'KZ-normalized'!$A:$A, 0))-INDEX('KZ-normalized'!$E:$E, MATCH($A188, 'KZ-normalized'!$A:$A, 0))&gt;0, -(7*INDEX('KZ-normalized'!$D:$D, MATCH($A188, 'KZ-normalized'!$A:$A, 0))-INDEX('KZ-normalized'!$E:$E, MATCH($A188, 'KZ-normalized'!$A:$A, 0))), 0), 0))+(IFERROR(IF(7*INDEX('UZ-normalized'!$D:$D, MATCH($A188, 'UZ-normalized'!$A:$A, 0))-INDEX('UZ-normalized'!$E:$E, MATCH($A188, 'UZ-normalized'!$A:$A, 0))&gt;0, -(7*INDEX('UZ-normalized'!$D:$D, MATCH($A188, 'UZ-normalized'!$A:$A, 0))-INDEX('UZ-normalized'!$E:$E, MATCH($A188, 'UZ-normalized'!$A:$A, 0))), 0), 0)))</f>
        <v>-8</v>
      </c>
      <c r="V188" s="6">
        <f>MIN(0, N188+(IFERROR(IF(8*INDEX('UA-normalized'!$D:$D, MATCH($A188, 'UA-normalized'!$A:$A, 0))-INDEX('UA-normalized'!$E:$E, MATCH($A188, 'UA-normalized'!$A:$A, 0))&gt;0, -(8*INDEX('UA-normalized'!$D:$D, MATCH($A188, 'UA-normalized'!$A:$A, 0))-INDEX('UA-normalized'!$E:$E, MATCH($A188, 'UA-normalized'!$A:$A, 0))), 0), 0))+(IFERROR(IF(8*INDEX('KZ-normalized'!$D:$D, MATCH($A188, 'KZ-normalized'!$A:$A, 0))-INDEX('KZ-normalized'!$E:$E, MATCH($A188, 'KZ-normalized'!$A:$A, 0))&gt;0, -(8*INDEX('KZ-normalized'!$D:$D, MATCH($A188, 'KZ-normalized'!$A:$A, 0))-INDEX('KZ-normalized'!$E:$E, MATCH($A188, 'KZ-normalized'!$A:$A, 0))), 0), 0))+(IFERROR(IF(8*INDEX('UZ-normalized'!$D:$D, MATCH($A188, 'UZ-normalized'!$A:$A, 0))-INDEX('UZ-normalized'!$E:$E, MATCH($A188, 'UZ-normalized'!$A:$A, 0))&gt;0, -(8*INDEX('UZ-normalized'!$D:$D, MATCH($A188, 'UZ-normalized'!$A:$A, 0))-INDEX('UZ-normalized'!$E:$E, MATCH($A188, 'UZ-normalized'!$A:$A, 0))), 0), 0)))</f>
        <v>-13</v>
      </c>
      <c r="W188" s="6">
        <f>MIN(0, N188+(IFERROR(IF(9*INDEX('UA-normalized'!$D:$D, MATCH($A188, 'UA-normalized'!$A:$A, 0))-INDEX('UA-normalized'!$E:$E, MATCH($A188, 'UA-normalized'!$A:$A, 0))&gt;0, -(9*INDEX('UA-normalized'!$D:$D, MATCH($A188, 'UA-normalized'!$A:$A, 0))-INDEX('UA-normalized'!$E:$E, MATCH($A188, 'UA-normalized'!$A:$A, 0))), 0), 0))+(IFERROR(IF(9*INDEX('KZ-normalized'!$D:$D, MATCH($A188, 'KZ-normalized'!$A:$A, 0))-INDEX('KZ-normalized'!$E:$E, MATCH($A188, 'KZ-normalized'!$A:$A, 0))&gt;0, -(9*INDEX('KZ-normalized'!$D:$D, MATCH($A188, 'KZ-normalized'!$A:$A, 0))-INDEX('KZ-normalized'!$E:$E, MATCH($A188, 'KZ-normalized'!$A:$A, 0))), 0), 0))+(IFERROR(IF(9*INDEX('UZ-normalized'!$D:$D, MATCH($A188, 'UZ-normalized'!$A:$A, 0))-INDEX('UZ-normalized'!$E:$E, MATCH($A188, 'UZ-normalized'!$A:$A, 0))&gt;0, -(9*INDEX('UZ-normalized'!$D:$D, MATCH($A188, 'UZ-normalized'!$A:$A, 0))-INDEX('UZ-normalized'!$E:$E, MATCH($A188, 'UZ-normalized'!$A:$A, 0))), 0), 0)))</f>
        <v>-18</v>
      </c>
      <c r="X188" s="6">
        <f>MIN(0, N188+(IFERROR(IF(10*INDEX('UA-normalized'!$D:$D, MATCH($A188, 'UA-normalized'!$A:$A, 0))-INDEX('UA-normalized'!$E:$E, MATCH($A188, 'UA-normalized'!$A:$A, 0))&gt;0, -(10*INDEX('UA-normalized'!$D:$D, MATCH($A188, 'UA-normalized'!$A:$A, 0))-INDEX('UA-normalized'!$E:$E, MATCH($A188, 'UA-normalized'!$A:$A, 0))), 0), 0))+(IFERROR(IF(10*INDEX('KZ-normalized'!$D:$D, MATCH($A188, 'KZ-normalized'!$A:$A, 0))-INDEX('KZ-normalized'!$E:$E, MATCH($A188, 'KZ-normalized'!$A:$A, 0))&gt;0, -(10*INDEX('KZ-normalized'!$D:$D, MATCH($A188, 'KZ-normalized'!$A:$A, 0))-INDEX('KZ-normalized'!$E:$E, MATCH($A188, 'KZ-normalized'!$A:$A, 0))), 0), 0))+(IFERROR(IF(10*INDEX('UZ-normalized'!$D:$D, MATCH($A188, 'UZ-normalized'!$A:$A, 0))-INDEX('UZ-normalized'!$E:$E, MATCH($A188, 'UZ-normalized'!$A:$A, 0))&gt;0, -(10*INDEX('UZ-normalized'!$D:$D, MATCH($A188, 'UZ-normalized'!$A:$A, 0))-INDEX('UZ-normalized'!$E:$E, MATCH($A188, 'UZ-normalized'!$A:$A, 0))), 0), 0)))</f>
        <v>-23</v>
      </c>
      <c r="Y188" s="6">
        <f>MIN(0, N188+(IFERROR(IF(11*INDEX('UA-normalized'!$D:$D, MATCH($A188, 'UA-normalized'!$A:$A, 0))-INDEX('UA-normalized'!$E:$E, MATCH($A188, 'UA-normalized'!$A:$A, 0))&gt;0, -(11*INDEX('UA-normalized'!$D:$D, MATCH($A188, 'UA-normalized'!$A:$A, 0))-INDEX('UA-normalized'!$E:$E, MATCH($A188, 'UA-normalized'!$A:$A, 0))), 0), 0))+(IFERROR(IF(11*INDEX('KZ-normalized'!$D:$D, MATCH($A188, 'KZ-normalized'!$A:$A, 0))-INDEX('KZ-normalized'!$E:$E, MATCH($A188, 'KZ-normalized'!$A:$A, 0))&gt;0, -(11*INDEX('KZ-normalized'!$D:$D, MATCH($A188, 'KZ-normalized'!$A:$A, 0))-INDEX('KZ-normalized'!$E:$E, MATCH($A188, 'KZ-normalized'!$A:$A, 0))), 0), 0))+(IFERROR(IF(11*INDEX('UZ-normalized'!$D:$D, MATCH($A188, 'UZ-normalized'!$A:$A, 0))-INDEX('UZ-normalized'!$E:$E, MATCH($A188, 'UZ-normalized'!$A:$A, 0))&gt;0, -(11*INDEX('UZ-normalized'!$D:$D, MATCH($A188, 'UZ-normalized'!$A:$A, 0))-INDEX('UZ-normalized'!$E:$E, MATCH($A188, 'UZ-normalized'!$A:$A, 0))), 0), 0)))</f>
        <v>-28</v>
      </c>
      <c r="Z188" s="6">
        <f>MIN(0, N188+(IFERROR(IF(12*INDEX('UA-normalized'!$D:$D, MATCH($A188, 'UA-normalized'!$A:$A, 0))-INDEX('UA-normalized'!$E:$E, MATCH($A188, 'UA-normalized'!$A:$A, 0))&gt;0, -(12*INDEX('UA-normalized'!$D:$D, MATCH($A188, 'UA-normalized'!$A:$A, 0))-INDEX('UA-normalized'!$E:$E, MATCH($A188, 'UA-normalized'!$A:$A, 0))), 0), 0))+(IFERROR(IF(12*INDEX('KZ-normalized'!$D:$D, MATCH($A188, 'KZ-normalized'!$A:$A, 0))-INDEX('KZ-normalized'!$E:$E, MATCH($A188, 'KZ-normalized'!$A:$A, 0))&gt;0, -(12*INDEX('KZ-normalized'!$D:$D, MATCH($A188, 'KZ-normalized'!$A:$A, 0))-INDEX('KZ-normalized'!$E:$E, MATCH($A188, 'KZ-normalized'!$A:$A, 0))), 0), 0))+(IFERROR(IF(12*INDEX('UZ-normalized'!$D:$D, MATCH($A188, 'UZ-normalized'!$A:$A, 0))-INDEX('UZ-normalized'!$E:$E, MATCH($A188, 'UZ-normalized'!$A:$A, 0))&gt;0, -(12*INDEX('UZ-normalized'!$D:$D, MATCH($A188, 'UZ-normalized'!$A:$A, 0))-INDEX('UZ-normalized'!$E:$E, MATCH($A188, 'UZ-normalized'!$A:$A, 0))), 0), 0)))</f>
        <v>-33</v>
      </c>
      <c r="AA188" s="6">
        <f>MIN(0, N188+(IFERROR(IF(13*INDEX('UA-normalized'!$D:$D, MATCH($A188, 'UA-normalized'!$A:$A, 0))-INDEX('UA-normalized'!$E:$E, MATCH($A188, 'UA-normalized'!$A:$A, 0))&gt;0, -(13*INDEX('UA-normalized'!$D:$D, MATCH($A188, 'UA-normalized'!$A:$A, 0))-INDEX('UA-normalized'!$E:$E, MATCH($A188, 'UA-normalized'!$A:$A, 0))), 0), 0))+(IFERROR(IF(13*INDEX('KZ-normalized'!$D:$D, MATCH($A188, 'KZ-normalized'!$A:$A, 0))-INDEX('KZ-normalized'!$E:$E, MATCH($A188, 'KZ-normalized'!$A:$A, 0))&gt;0, -(13*INDEX('KZ-normalized'!$D:$D, MATCH($A188, 'KZ-normalized'!$A:$A, 0))-INDEX('KZ-normalized'!$E:$E, MATCH($A188, 'KZ-normalized'!$A:$A, 0))), 0), 0))+(IFERROR(IF(13*INDEX('UZ-normalized'!$D:$D, MATCH($A188, 'UZ-normalized'!$A:$A, 0))-INDEX('UZ-normalized'!$E:$E, MATCH($A188, 'UZ-normalized'!$A:$A, 0))&gt;0, -(13*INDEX('UZ-normalized'!$D:$D, MATCH($A188, 'UZ-normalized'!$A:$A, 0))-INDEX('UZ-normalized'!$E:$E, MATCH($A188, 'UZ-normalized'!$A:$A, 0))), 0), 0)))</f>
        <v>-38</v>
      </c>
      <c r="AB188" s="6">
        <f>MIN(0, N188+(IFERROR(IF(14*INDEX('UA-normalized'!$D:$D, MATCH($A188, 'UA-normalized'!$A:$A, 0))-INDEX('UA-normalized'!$E:$E, MATCH($A188, 'UA-normalized'!$A:$A, 0))&gt;0, -(14*INDEX('UA-normalized'!$D:$D, MATCH($A188, 'UA-normalized'!$A:$A, 0))-INDEX('UA-normalized'!$E:$E, MATCH($A188, 'UA-normalized'!$A:$A, 0))), 0), 0))+(IFERROR(IF(14*INDEX('KZ-normalized'!$D:$D, MATCH($A188, 'KZ-normalized'!$A:$A, 0))-INDEX('KZ-normalized'!$E:$E, MATCH($A188, 'KZ-normalized'!$A:$A, 0))&gt;0, -(14*INDEX('KZ-normalized'!$D:$D, MATCH($A188, 'KZ-normalized'!$A:$A, 0))-INDEX('KZ-normalized'!$E:$E, MATCH($A188, 'KZ-normalized'!$A:$A, 0))), 0), 0))+(IFERROR(IF(14*INDEX('UZ-normalized'!$D:$D, MATCH($A188, 'UZ-normalized'!$A:$A, 0))-INDEX('UZ-normalized'!$E:$E, MATCH($A188, 'UZ-normalized'!$A:$A, 0))&gt;0, -(14*INDEX('UZ-normalized'!$D:$D, MATCH($A188, 'UZ-normalized'!$A:$A, 0))-INDEX('UZ-normalized'!$E:$E, MATCH($A188, 'UZ-normalized'!$A:$A, 0))), 0), 0)))</f>
        <v>-43</v>
      </c>
      <c r="AC188" s="6">
        <f>MIN(0, N188+(IFERROR(IF(15*INDEX('UA-normalized'!$D:$D, MATCH($A188, 'UA-normalized'!$A:$A, 0))-INDEX('UA-normalized'!$E:$E, MATCH($A188, 'UA-normalized'!$A:$A, 0))&gt;0, -(15*INDEX('UA-normalized'!$D:$D, MATCH($A188, 'UA-normalized'!$A:$A, 0))-INDEX('UA-normalized'!$E:$E, MATCH($A188, 'UA-normalized'!$A:$A, 0))), 0), 0))+(IFERROR(IF(15*INDEX('KZ-normalized'!$D:$D, MATCH($A188, 'KZ-normalized'!$A:$A, 0))-INDEX('KZ-normalized'!$E:$E, MATCH($A188, 'KZ-normalized'!$A:$A, 0))&gt;0, -(15*INDEX('KZ-normalized'!$D:$D, MATCH($A188, 'KZ-normalized'!$A:$A, 0))-INDEX('KZ-normalized'!$E:$E, MATCH($A188, 'KZ-normalized'!$A:$A, 0))), 0), 0))+(IFERROR(IF(15*INDEX('UZ-normalized'!$D:$D, MATCH($A188, 'UZ-normalized'!$A:$A, 0))-INDEX('UZ-normalized'!$E:$E, MATCH($A188, 'UZ-normalized'!$A:$A, 0))&gt;0, -(15*INDEX('UZ-normalized'!$D:$D, MATCH($A188, 'UZ-normalized'!$A:$A, 0))-INDEX('UZ-normalized'!$E:$E, MATCH($A188, 'UZ-normalized'!$A:$A, 0))), 0), 0)))</f>
        <v>-48</v>
      </c>
      <c r="AD188" s="6">
        <f>MIN(0, N188+(IFERROR(IF(16*INDEX('UA-normalized'!$D:$D, MATCH($A188, 'UA-normalized'!$A:$A, 0))-INDEX('UA-normalized'!$E:$E, MATCH($A188, 'UA-normalized'!$A:$A, 0))&gt;0, -(16*INDEX('UA-normalized'!$D:$D, MATCH($A188, 'UA-normalized'!$A:$A, 0))-INDEX('UA-normalized'!$E:$E, MATCH($A188, 'UA-normalized'!$A:$A, 0))), 0), 0))+(IFERROR(IF(16*INDEX('KZ-normalized'!$D:$D, MATCH($A188, 'KZ-normalized'!$A:$A, 0))-INDEX('KZ-normalized'!$E:$E, MATCH($A188, 'KZ-normalized'!$A:$A, 0))&gt;0, -(16*INDEX('KZ-normalized'!$D:$D, MATCH($A188, 'KZ-normalized'!$A:$A, 0))-INDEX('KZ-normalized'!$E:$E, MATCH($A188, 'KZ-normalized'!$A:$A, 0))), 0), 0))+(IFERROR(IF(16*INDEX('UZ-normalized'!$D:$D, MATCH($A188, 'UZ-normalized'!$A:$A, 0))-INDEX('UZ-normalized'!$E:$E, MATCH($A188, 'UZ-normalized'!$A:$A, 0))&gt;0, -(16*INDEX('UZ-normalized'!$D:$D, MATCH($A188, 'UZ-normalized'!$A:$A, 0))-INDEX('UZ-normalized'!$E:$E, MATCH($A188, 'UZ-normalized'!$A:$A, 0))), 0), 0)))</f>
        <v>-53</v>
      </c>
      <c r="AE188" s="6">
        <f>MIN(0, N188+(IFERROR(IF(17*INDEX('UA-normalized'!$D:$D, MATCH($A188, 'UA-normalized'!$A:$A, 0))-INDEX('UA-normalized'!$E:$E, MATCH($A188, 'UA-normalized'!$A:$A, 0))&gt;0, -(17*INDEX('UA-normalized'!$D:$D, MATCH($A188, 'UA-normalized'!$A:$A, 0))-INDEX('UA-normalized'!$E:$E, MATCH($A188, 'UA-normalized'!$A:$A, 0))), 0), 0))+(IFERROR(IF(17*INDEX('KZ-normalized'!$D:$D, MATCH($A188, 'KZ-normalized'!$A:$A, 0))-INDEX('KZ-normalized'!$E:$E, MATCH($A188, 'KZ-normalized'!$A:$A, 0))&gt;0, -(17*INDEX('KZ-normalized'!$D:$D, MATCH($A188, 'KZ-normalized'!$A:$A, 0))-INDEX('KZ-normalized'!$E:$E, MATCH($A188, 'KZ-normalized'!$A:$A, 0))), 0), 0))+(IFERROR(IF(17*INDEX('UZ-normalized'!$D:$D, MATCH($A188, 'UZ-normalized'!$A:$A, 0))-INDEX('UZ-normalized'!$E:$E, MATCH($A188, 'UZ-normalized'!$A:$A, 0))&gt;0, -(17*INDEX('UZ-normalized'!$D:$D, MATCH($A188, 'UZ-normalized'!$A:$A, 0))-INDEX('UZ-normalized'!$E:$E, MATCH($A188, 'UZ-normalized'!$A:$A, 0))), 0), 0)))</f>
        <v>-58</v>
      </c>
      <c r="AF188" s="6">
        <f>MIN(0, N188+(IFERROR(IF(18*INDEX('UA-normalized'!$D:$D, MATCH($A188, 'UA-normalized'!$A:$A, 0))-INDEX('UA-normalized'!$E:$E, MATCH($A188, 'UA-normalized'!$A:$A, 0))&gt;0, -(18*INDEX('UA-normalized'!$D:$D, MATCH($A188, 'UA-normalized'!$A:$A, 0))-INDEX('UA-normalized'!$E:$E, MATCH($A188, 'UA-normalized'!$A:$A, 0))), 0), 0))+(IFERROR(IF(18*INDEX('KZ-normalized'!$D:$D, MATCH($A188, 'KZ-normalized'!$A:$A, 0))-INDEX('KZ-normalized'!$E:$E, MATCH($A188, 'KZ-normalized'!$A:$A, 0))&gt;0, -(18*INDEX('KZ-normalized'!$D:$D, MATCH($A188, 'KZ-normalized'!$A:$A, 0))-INDEX('KZ-normalized'!$E:$E, MATCH($A188, 'KZ-normalized'!$A:$A, 0))), 0), 0))+(IFERROR(IF(18*INDEX('UZ-normalized'!$D:$D, MATCH($A188, 'UZ-normalized'!$A:$A, 0))-INDEX('UZ-normalized'!$E:$E, MATCH($A188, 'UZ-normalized'!$A:$A, 0))&gt;0, -(18*INDEX('UZ-normalized'!$D:$D, MATCH($A188, 'UZ-normalized'!$A:$A, 0))-INDEX('UZ-normalized'!$E:$E, MATCH($A188, 'UZ-normalized'!$A:$A, 0))), 0), 0)))</f>
        <v>-63</v>
      </c>
      <c r="AG188" s="6">
        <f>MIN(0, N188+(IFERROR(IF(19*INDEX('UA-normalized'!$D:$D, MATCH($A188, 'UA-normalized'!$A:$A, 0))-INDEX('UA-normalized'!$E:$E, MATCH($A188, 'UA-normalized'!$A:$A, 0))&gt;0, -(19*INDEX('UA-normalized'!$D:$D, MATCH($A188, 'UA-normalized'!$A:$A, 0))-INDEX('UA-normalized'!$E:$E, MATCH($A188, 'UA-normalized'!$A:$A, 0))), 0), 0))+(IFERROR(IF(19*INDEX('KZ-normalized'!$D:$D, MATCH($A188, 'KZ-normalized'!$A:$A, 0))-INDEX('KZ-normalized'!$E:$E, MATCH($A188, 'KZ-normalized'!$A:$A, 0))&gt;0, -(19*INDEX('KZ-normalized'!$D:$D, MATCH($A188, 'KZ-normalized'!$A:$A, 0))-INDEX('KZ-normalized'!$E:$E, MATCH($A188, 'KZ-normalized'!$A:$A, 0))), 0), 0))+(IFERROR(IF(19*INDEX('UZ-normalized'!$D:$D, MATCH($A188, 'UZ-normalized'!$A:$A, 0))-INDEX('UZ-normalized'!$E:$E, MATCH($A188, 'UZ-normalized'!$A:$A, 0))&gt;0, -(19*INDEX('UZ-normalized'!$D:$D, MATCH($A188, 'UZ-normalized'!$A:$A, 0))-INDEX('UZ-normalized'!$E:$E, MATCH($A188, 'UZ-normalized'!$A:$A, 0))), 0), 0)))</f>
        <v>-68</v>
      </c>
      <c r="AH188" s="6">
        <f>MIN(0, N188+(IFERROR(IF(20*INDEX('UA-normalized'!$D:$D, MATCH($A188, 'UA-normalized'!$A:$A, 0))-INDEX('UA-normalized'!$E:$E, MATCH($A188, 'UA-normalized'!$A:$A, 0))&gt;0, -(20*INDEX('UA-normalized'!$D:$D, MATCH($A188, 'UA-normalized'!$A:$A, 0))-INDEX('UA-normalized'!$E:$E, MATCH($A188, 'UA-normalized'!$A:$A, 0))), 0), 0))+(IFERROR(IF(20*INDEX('KZ-normalized'!$D:$D, MATCH($A188, 'KZ-normalized'!$A:$A, 0))-INDEX('KZ-normalized'!$E:$E, MATCH($A188, 'KZ-normalized'!$A:$A, 0))&gt;0, -(20*INDEX('KZ-normalized'!$D:$D, MATCH($A188, 'KZ-normalized'!$A:$A, 0))-INDEX('KZ-normalized'!$E:$E, MATCH($A188, 'KZ-normalized'!$A:$A, 0))), 0), 0))+(IFERROR(IF(20*INDEX('UZ-normalized'!$D:$D, MATCH($A188, 'UZ-normalized'!$A:$A, 0))-INDEX('UZ-normalized'!$E:$E, MATCH($A188, 'UZ-normalized'!$A:$A, 0))&gt;0, -(20*INDEX('UZ-normalized'!$D:$D, MATCH($A188, 'UZ-normalized'!$A:$A, 0))-INDEX('UZ-normalized'!$E:$E, MATCH($A188, 'UZ-normalized'!$A:$A, 0))), 0), 0)))</f>
        <v>-73</v>
      </c>
      <c r="AI188" s="6">
        <f>MIN(0, N188+(IFERROR(IF(21*INDEX('UA-normalized'!$D:$D, MATCH($A188, 'UA-normalized'!$A:$A, 0))-INDEX('UA-normalized'!$E:$E, MATCH($A188, 'UA-normalized'!$A:$A, 0))&gt;0, -(21*INDEX('UA-normalized'!$D:$D, MATCH($A188, 'UA-normalized'!$A:$A, 0))-INDEX('UA-normalized'!$E:$E, MATCH($A188, 'UA-normalized'!$A:$A, 0))), 0), 0))+(IFERROR(IF(21*INDEX('KZ-normalized'!$D:$D, MATCH($A188, 'KZ-normalized'!$A:$A, 0))-INDEX('KZ-normalized'!$E:$E, MATCH($A188, 'KZ-normalized'!$A:$A, 0))&gt;0, -(21*INDEX('KZ-normalized'!$D:$D, MATCH($A188, 'KZ-normalized'!$A:$A, 0))-INDEX('KZ-normalized'!$E:$E, MATCH($A188, 'KZ-normalized'!$A:$A, 0))), 0), 0))+(IFERROR(IF(21*INDEX('UZ-normalized'!$D:$D, MATCH($A188, 'UZ-normalized'!$A:$A, 0))-INDEX('UZ-normalized'!$E:$E, MATCH($A188, 'UZ-normalized'!$A:$A, 0))&gt;0, -(21*INDEX('UZ-normalized'!$D:$D, MATCH($A188, 'UZ-normalized'!$A:$A, 0))-INDEX('UZ-normalized'!$E:$E, MATCH($A188, 'UZ-normalized'!$A:$A, 0))), 0), 0)))</f>
        <v>-78</v>
      </c>
      <c r="AJ188" s="6">
        <f>MIN(0, N188+(IFERROR(IF(22*INDEX('UA-normalized'!$D:$D, MATCH($A188, 'UA-normalized'!$A:$A, 0))-INDEX('UA-normalized'!$E:$E, MATCH($A188, 'UA-normalized'!$A:$A, 0))&gt;0, -(22*INDEX('UA-normalized'!$D:$D, MATCH($A188, 'UA-normalized'!$A:$A, 0))-INDEX('UA-normalized'!$E:$E, MATCH($A188, 'UA-normalized'!$A:$A, 0))), 0), 0))+(IFERROR(IF(22*INDEX('KZ-normalized'!$D:$D, MATCH($A188, 'KZ-normalized'!$A:$A, 0))-INDEX('KZ-normalized'!$E:$E, MATCH($A188, 'KZ-normalized'!$A:$A, 0))&gt;0, -(22*INDEX('KZ-normalized'!$D:$D, MATCH($A188, 'KZ-normalized'!$A:$A, 0))-INDEX('KZ-normalized'!$E:$E, MATCH($A188, 'KZ-normalized'!$A:$A, 0))), 0), 0))+(IFERROR(IF(22*INDEX('UZ-normalized'!$D:$D, MATCH($A188, 'UZ-normalized'!$A:$A, 0))-INDEX('UZ-normalized'!$E:$E, MATCH($A188, 'UZ-normalized'!$A:$A, 0))&gt;0, -(22*INDEX('UZ-normalized'!$D:$D, MATCH($A188, 'UZ-normalized'!$A:$A, 0))-INDEX('UZ-normalized'!$E:$E, MATCH($A188, 'UZ-normalized'!$A:$A, 0))), 0), 0)))</f>
        <v>-83</v>
      </c>
      <c r="AK188" s="6">
        <f>MIN(0, N188+(IFERROR(IF(23*INDEX('UA-normalized'!$D:$D, MATCH($A188, 'UA-normalized'!$A:$A, 0))-INDEX('UA-normalized'!$E:$E, MATCH($A188, 'UA-normalized'!$A:$A, 0))&gt;0, -(23*INDEX('UA-normalized'!$D:$D, MATCH($A188, 'UA-normalized'!$A:$A, 0))-INDEX('UA-normalized'!$E:$E, MATCH($A188, 'UA-normalized'!$A:$A, 0))), 0), 0))+(IFERROR(IF(23*INDEX('KZ-normalized'!$D:$D, MATCH($A188, 'KZ-normalized'!$A:$A, 0))-INDEX('KZ-normalized'!$E:$E, MATCH($A188, 'KZ-normalized'!$A:$A, 0))&gt;0, -(23*INDEX('KZ-normalized'!$D:$D, MATCH($A188, 'KZ-normalized'!$A:$A, 0))-INDEX('KZ-normalized'!$E:$E, MATCH($A188, 'KZ-normalized'!$A:$A, 0))), 0), 0))+(IFERROR(IF(23*INDEX('UZ-normalized'!$D:$D, MATCH($A188, 'UZ-normalized'!$A:$A, 0))-INDEX('UZ-normalized'!$E:$E, MATCH($A188, 'UZ-normalized'!$A:$A, 0))&gt;0, -(23*INDEX('UZ-normalized'!$D:$D, MATCH($A188, 'UZ-normalized'!$A:$A, 0))-INDEX('UZ-normalized'!$E:$E, MATCH($A188, 'UZ-normalized'!$A:$A, 0))), 0), 0)))</f>
        <v>-88</v>
      </c>
      <c r="AL188" s="6">
        <f>MIN(0, N188+(IFERROR(IF(24*INDEX('UA-normalized'!$D:$D, MATCH($A188, 'UA-normalized'!$A:$A, 0))-INDEX('UA-normalized'!$E:$E, MATCH($A188, 'UA-normalized'!$A:$A, 0))&gt;0, -(24*INDEX('UA-normalized'!$D:$D, MATCH($A188, 'UA-normalized'!$A:$A, 0))-INDEX('UA-normalized'!$E:$E, MATCH($A188, 'UA-normalized'!$A:$A, 0))), 0), 0))+(IFERROR(IF(24*INDEX('KZ-normalized'!$D:$D, MATCH($A188, 'KZ-normalized'!$A:$A, 0))-INDEX('KZ-normalized'!$E:$E, MATCH($A188, 'KZ-normalized'!$A:$A, 0))&gt;0, -(24*INDEX('KZ-normalized'!$D:$D, MATCH($A188, 'KZ-normalized'!$A:$A, 0))-INDEX('KZ-normalized'!$E:$E, MATCH($A188, 'KZ-normalized'!$A:$A, 0))), 0), 0))+(IFERROR(IF(24*INDEX('UZ-normalized'!$D:$D, MATCH($A188, 'UZ-normalized'!$A:$A, 0))-INDEX('UZ-normalized'!$E:$E, MATCH($A188, 'UZ-normalized'!$A:$A, 0))&gt;0, -(24*INDEX('UZ-normalized'!$D:$D, MATCH($A188, 'UZ-normalized'!$A:$A, 0))-INDEX('UZ-normalized'!$E:$E, MATCH($A188, 'UZ-normalized'!$A:$A, 0))), 0), 0)))</f>
        <v>-93</v>
      </c>
      <c r="AM188" s="6">
        <f>MIN(0, N188+(IFERROR(IF(25*INDEX('UA-normalized'!$D:$D, MATCH($A188, 'UA-normalized'!$A:$A, 0))-INDEX('UA-normalized'!$E:$E, MATCH($A188, 'UA-normalized'!$A:$A, 0))&gt;0, -(25*INDEX('UA-normalized'!$D:$D, MATCH($A188, 'UA-normalized'!$A:$A, 0))-INDEX('UA-normalized'!$E:$E, MATCH($A188, 'UA-normalized'!$A:$A, 0))), 0), 0))+(IFERROR(IF(25*INDEX('KZ-normalized'!$D:$D, MATCH($A188, 'KZ-normalized'!$A:$A, 0))-INDEX('KZ-normalized'!$E:$E, MATCH($A188, 'KZ-normalized'!$A:$A, 0))&gt;0, -(25*INDEX('KZ-normalized'!$D:$D, MATCH($A188, 'KZ-normalized'!$A:$A, 0))-INDEX('KZ-normalized'!$E:$E, MATCH($A188, 'KZ-normalized'!$A:$A, 0))), 0), 0))+(IFERROR(IF(25*INDEX('UZ-normalized'!$D:$D, MATCH($A188, 'UZ-normalized'!$A:$A, 0))-INDEX('UZ-normalized'!$E:$E, MATCH($A188, 'UZ-normalized'!$A:$A, 0))&gt;0, -(25*INDEX('UZ-normalized'!$D:$D, MATCH($A188, 'UZ-normalized'!$A:$A, 0))-INDEX('UZ-normalized'!$E:$E, MATCH($A188, 'UZ-normalized'!$A:$A, 0))), 0), 0)))</f>
        <v>-98</v>
      </c>
      <c r="AN188" s="6">
        <f>MIN(0, N188+(IFERROR(IF(26*INDEX('UA-normalized'!$D:$D, MATCH($A188, 'UA-normalized'!$A:$A, 0))-INDEX('UA-normalized'!$E:$E, MATCH($A188, 'UA-normalized'!$A:$A, 0))&gt;0, -(26*INDEX('UA-normalized'!$D:$D, MATCH($A188, 'UA-normalized'!$A:$A, 0))-INDEX('UA-normalized'!$E:$E, MATCH($A188, 'UA-normalized'!$A:$A, 0))), 0), 0))+(IFERROR(IF(26*INDEX('KZ-normalized'!$D:$D, MATCH($A188, 'KZ-normalized'!$A:$A, 0))-INDEX('KZ-normalized'!$E:$E, MATCH($A188, 'KZ-normalized'!$A:$A, 0))&gt;0, -(26*INDEX('KZ-normalized'!$D:$D, MATCH($A188, 'KZ-normalized'!$A:$A, 0))-INDEX('KZ-normalized'!$E:$E, MATCH($A188, 'KZ-normalized'!$A:$A, 0))), 0), 0))+(IFERROR(IF(26*INDEX('UZ-normalized'!$D:$D, MATCH($A188, 'UZ-normalized'!$A:$A, 0))-INDEX('UZ-normalized'!$E:$E, MATCH($A188, 'UZ-normalized'!$A:$A, 0))&gt;0, -(26*INDEX('UZ-normalized'!$D:$D, MATCH($A188, 'UZ-normalized'!$A:$A, 0))-INDEX('UZ-normalized'!$E:$E, MATCH($A188, 'UZ-normalized'!$A:$A, 0))), 0), 0)))</f>
        <v>-103</v>
      </c>
      <c r="AO188" s="6">
        <f>MIN(0, N188+(IFERROR(IF(27*INDEX('UA-normalized'!$D:$D, MATCH($A188, 'UA-normalized'!$A:$A, 0))-INDEX('UA-normalized'!$E:$E, MATCH($A188, 'UA-normalized'!$A:$A, 0))&gt;0, -(27*INDEX('UA-normalized'!$D:$D, MATCH($A188, 'UA-normalized'!$A:$A, 0))-INDEX('UA-normalized'!$E:$E, MATCH($A188, 'UA-normalized'!$A:$A, 0))), 0), 0))+(IFERROR(IF(27*INDEX('KZ-normalized'!$D:$D, MATCH($A188, 'KZ-normalized'!$A:$A, 0))-INDEX('KZ-normalized'!$E:$E, MATCH($A188, 'KZ-normalized'!$A:$A, 0))&gt;0, -(27*INDEX('KZ-normalized'!$D:$D, MATCH($A188, 'KZ-normalized'!$A:$A, 0))-INDEX('KZ-normalized'!$E:$E, MATCH($A188, 'KZ-normalized'!$A:$A, 0))), 0), 0))+(IFERROR(IF(27*INDEX('UZ-normalized'!$D:$D, MATCH($A188, 'UZ-normalized'!$A:$A, 0))-INDEX('UZ-normalized'!$E:$E, MATCH($A188, 'UZ-normalized'!$A:$A, 0))&gt;0, -(27*INDEX('UZ-normalized'!$D:$D, MATCH($A188, 'UZ-normalized'!$A:$A, 0))-INDEX('UZ-normalized'!$E:$E, MATCH($A188, 'UZ-normalized'!$A:$A, 0))), 0), 0)))</f>
        <v>-108</v>
      </c>
      <c r="AP188" s="6">
        <f>MIN(0, N188+(IFERROR(IF(28*INDEX('UA-normalized'!$D:$D, MATCH($A188, 'UA-normalized'!$A:$A, 0))-INDEX('UA-normalized'!$E:$E, MATCH($A188, 'UA-normalized'!$A:$A, 0))&gt;0, -(28*INDEX('UA-normalized'!$D:$D, MATCH($A188, 'UA-normalized'!$A:$A, 0))-INDEX('UA-normalized'!$E:$E, MATCH($A188, 'UA-normalized'!$A:$A, 0))), 0), 0))+(IFERROR(IF(28*INDEX('KZ-normalized'!$D:$D, MATCH($A188, 'KZ-normalized'!$A:$A, 0))-INDEX('KZ-normalized'!$E:$E, MATCH($A188, 'KZ-normalized'!$A:$A, 0))&gt;0, -(28*INDEX('KZ-normalized'!$D:$D, MATCH($A188, 'KZ-normalized'!$A:$A, 0))-INDEX('KZ-normalized'!$E:$E, MATCH($A188, 'KZ-normalized'!$A:$A, 0))), 0), 0))+(IFERROR(IF(28*INDEX('UZ-normalized'!$D:$D, MATCH($A188, 'UZ-normalized'!$A:$A, 0))-INDEX('UZ-normalized'!$E:$E, MATCH($A188, 'UZ-normalized'!$A:$A, 0))&gt;0, -(28*INDEX('UZ-normalized'!$D:$D, MATCH($A188, 'UZ-normalized'!$A:$A, 0))-INDEX('UZ-normalized'!$E:$E, MATCH($A188, 'UZ-normalized'!$A:$A, 0))), 0), 0)))</f>
        <v>-113</v>
      </c>
      <c r="AQ188" s="6">
        <f>MIN(0, N188+(IFERROR(IF(29*INDEX('UA-normalized'!$D:$D, MATCH($A188, 'UA-normalized'!$A:$A, 0))-INDEX('UA-normalized'!$E:$E, MATCH($A188, 'UA-normalized'!$A:$A, 0))&gt;0, -(29*INDEX('UA-normalized'!$D:$D, MATCH($A188, 'UA-normalized'!$A:$A, 0))-INDEX('UA-normalized'!$E:$E, MATCH($A188, 'UA-normalized'!$A:$A, 0))), 0), 0))+(IFERROR(IF(29*INDEX('KZ-normalized'!$D:$D, MATCH($A188, 'KZ-normalized'!$A:$A, 0))-INDEX('KZ-normalized'!$E:$E, MATCH($A188, 'KZ-normalized'!$A:$A, 0))&gt;0, -(29*INDEX('KZ-normalized'!$D:$D, MATCH($A188, 'KZ-normalized'!$A:$A, 0))-INDEX('KZ-normalized'!$E:$E, MATCH($A188, 'KZ-normalized'!$A:$A, 0))), 0), 0))+(IFERROR(IF(29*INDEX('UZ-normalized'!$D:$D, MATCH($A188, 'UZ-normalized'!$A:$A, 0))-INDEX('UZ-normalized'!$E:$E, MATCH($A188, 'UZ-normalized'!$A:$A, 0))&gt;0, -(29*INDEX('UZ-normalized'!$D:$D, MATCH($A188, 'UZ-normalized'!$A:$A, 0))-INDEX('UZ-normalized'!$E:$E, MATCH($A188, 'UZ-normalized'!$A:$A, 0))), 0), 0)))</f>
        <v>-118</v>
      </c>
      <c r="AR188" s="6">
        <f>MIN(0, N188+(IFERROR(IF(30*INDEX('UA-normalized'!$D:$D, MATCH($A188, 'UA-normalized'!$A:$A, 0))-INDEX('UA-normalized'!$E:$E, MATCH($A188, 'UA-normalized'!$A:$A, 0))&gt;0, -(30*INDEX('UA-normalized'!$D:$D, MATCH($A188, 'UA-normalized'!$A:$A, 0))-INDEX('UA-normalized'!$E:$E, MATCH($A188, 'UA-normalized'!$A:$A, 0))), 0), 0))+(IFERROR(IF(30*INDEX('KZ-normalized'!$D:$D, MATCH($A188, 'KZ-normalized'!$A:$A, 0))-INDEX('KZ-normalized'!$E:$E, MATCH($A188, 'KZ-normalized'!$A:$A, 0))&gt;0, -(30*INDEX('KZ-normalized'!$D:$D, MATCH($A188, 'KZ-normalized'!$A:$A, 0))-INDEX('KZ-normalized'!$E:$E, MATCH($A188, 'KZ-normalized'!$A:$A, 0))), 0), 0))+(IFERROR(IF(30*INDEX('UZ-normalized'!$D:$D, MATCH($A188, 'UZ-normalized'!$A:$A, 0))-INDEX('UZ-normalized'!$E:$E, MATCH($A188, 'UZ-normalized'!$A:$A, 0))&gt;0, -(30*INDEX('UZ-normalized'!$D:$D, MATCH($A188, 'UZ-normalized'!$A:$A, 0))-INDEX('UZ-normalized'!$E:$E, MATCH($A188, 'UZ-normalized'!$A:$A, 0))), 0), 0)))</f>
        <v>-123</v>
      </c>
    </row>
    <row r="189" spans="1:44" x14ac:dyDescent="0.25">
      <c r="A189" s="8" t="s">
        <v>453</v>
      </c>
      <c r="B189" s="8" t="s">
        <v>442</v>
      </c>
      <c r="C189" s="8" t="s">
        <v>443</v>
      </c>
      <c r="D189" s="8" t="s">
        <v>454</v>
      </c>
      <c r="G189">
        <v>-10</v>
      </c>
      <c r="N189">
        <f t="shared" si="2"/>
        <v>-10</v>
      </c>
      <c r="O189" s="6">
        <f>MIN(0, N189+(IFERROR(IF(1*INDEX('UA-normalized'!$D:$D, MATCH($A189, 'UA-normalized'!$A:$A, 0))-INDEX('UA-normalized'!$E:$E, MATCH($A189, 'UA-normalized'!$A:$A, 0))&gt;0, -(1*INDEX('UA-normalized'!$D:$D, MATCH($A189, 'UA-normalized'!$A:$A, 0))-INDEX('UA-normalized'!$E:$E, MATCH($A189, 'UA-normalized'!$A:$A, 0))), 0), 0))+(IFERROR(IF(1*INDEX('KZ-normalized'!$D:$D, MATCH($A189, 'KZ-normalized'!$A:$A, 0))-INDEX('KZ-normalized'!$E:$E, MATCH($A189, 'KZ-normalized'!$A:$A, 0))&gt;0, -(1*INDEX('KZ-normalized'!$D:$D, MATCH($A189, 'KZ-normalized'!$A:$A, 0))-INDEX('KZ-normalized'!$E:$E, MATCH($A189, 'KZ-normalized'!$A:$A, 0))), 0), 0))+(IFERROR(IF(1*INDEX('UZ-normalized'!$D:$D, MATCH($A189, 'UZ-normalized'!$A:$A, 0))-INDEX('UZ-normalized'!$E:$E, MATCH($A189, 'UZ-normalized'!$A:$A, 0))&gt;0, -(1*INDEX('UZ-normalized'!$D:$D, MATCH($A189, 'UZ-normalized'!$A:$A, 0))-INDEX('UZ-normalized'!$E:$E, MATCH($A189, 'UZ-normalized'!$A:$A, 0))), 0), 0)))</f>
        <v>-10</v>
      </c>
      <c r="P189" s="6">
        <f>MIN(0, N189+(IFERROR(IF(2*INDEX('UA-normalized'!$D:$D, MATCH($A189, 'UA-normalized'!$A:$A, 0))-INDEX('UA-normalized'!$E:$E, MATCH($A189, 'UA-normalized'!$A:$A, 0))&gt;0, -(2*INDEX('UA-normalized'!$D:$D, MATCH($A189, 'UA-normalized'!$A:$A, 0))-INDEX('UA-normalized'!$E:$E, MATCH($A189, 'UA-normalized'!$A:$A, 0))), 0), 0))+(IFERROR(IF(2*INDEX('KZ-normalized'!$D:$D, MATCH($A189, 'KZ-normalized'!$A:$A, 0))-INDEX('KZ-normalized'!$E:$E, MATCH($A189, 'KZ-normalized'!$A:$A, 0))&gt;0, -(2*INDEX('KZ-normalized'!$D:$D, MATCH($A189, 'KZ-normalized'!$A:$A, 0))-INDEX('KZ-normalized'!$E:$E, MATCH($A189, 'KZ-normalized'!$A:$A, 0))), 0), 0))+(IFERROR(IF(2*INDEX('UZ-normalized'!$D:$D, MATCH($A189, 'UZ-normalized'!$A:$A, 0))-INDEX('UZ-normalized'!$E:$E, MATCH($A189, 'UZ-normalized'!$A:$A, 0))&gt;0, -(2*INDEX('UZ-normalized'!$D:$D, MATCH($A189, 'UZ-normalized'!$A:$A, 0))-INDEX('UZ-normalized'!$E:$E, MATCH($A189, 'UZ-normalized'!$A:$A, 0))), 0), 0)))</f>
        <v>-10</v>
      </c>
      <c r="Q189" s="6">
        <f>MIN(0, N189+(IFERROR(IF(3*INDEX('UA-normalized'!$D:$D, MATCH($A189, 'UA-normalized'!$A:$A, 0))-INDEX('UA-normalized'!$E:$E, MATCH($A189, 'UA-normalized'!$A:$A, 0))&gt;0, -(3*INDEX('UA-normalized'!$D:$D, MATCH($A189, 'UA-normalized'!$A:$A, 0))-INDEX('UA-normalized'!$E:$E, MATCH($A189, 'UA-normalized'!$A:$A, 0))), 0), 0))+(IFERROR(IF(3*INDEX('KZ-normalized'!$D:$D, MATCH($A189, 'KZ-normalized'!$A:$A, 0))-INDEX('KZ-normalized'!$E:$E, MATCH($A189, 'KZ-normalized'!$A:$A, 0))&gt;0, -(3*INDEX('KZ-normalized'!$D:$D, MATCH($A189, 'KZ-normalized'!$A:$A, 0))-INDEX('KZ-normalized'!$E:$E, MATCH($A189, 'KZ-normalized'!$A:$A, 0))), 0), 0))+(IFERROR(IF(3*INDEX('UZ-normalized'!$D:$D, MATCH($A189, 'UZ-normalized'!$A:$A, 0))-INDEX('UZ-normalized'!$E:$E, MATCH($A189, 'UZ-normalized'!$A:$A, 0))&gt;0, -(3*INDEX('UZ-normalized'!$D:$D, MATCH($A189, 'UZ-normalized'!$A:$A, 0))-INDEX('UZ-normalized'!$E:$E, MATCH($A189, 'UZ-normalized'!$A:$A, 0))), 0), 0)))</f>
        <v>-10</v>
      </c>
      <c r="R189" s="6">
        <f>MIN(0, N189+(IFERROR(IF(4*INDEX('UA-normalized'!$D:$D, MATCH($A189, 'UA-normalized'!$A:$A, 0))-INDEX('UA-normalized'!$E:$E, MATCH($A189, 'UA-normalized'!$A:$A, 0))&gt;0, -(4*INDEX('UA-normalized'!$D:$D, MATCH($A189, 'UA-normalized'!$A:$A, 0))-INDEX('UA-normalized'!$E:$E, MATCH($A189, 'UA-normalized'!$A:$A, 0))), 0), 0))+(IFERROR(IF(4*INDEX('KZ-normalized'!$D:$D, MATCH($A189, 'KZ-normalized'!$A:$A, 0))-INDEX('KZ-normalized'!$E:$E, MATCH($A189, 'KZ-normalized'!$A:$A, 0))&gt;0, -(4*INDEX('KZ-normalized'!$D:$D, MATCH($A189, 'KZ-normalized'!$A:$A, 0))-INDEX('KZ-normalized'!$E:$E, MATCH($A189, 'KZ-normalized'!$A:$A, 0))), 0), 0))+(IFERROR(IF(4*INDEX('UZ-normalized'!$D:$D, MATCH($A189, 'UZ-normalized'!$A:$A, 0))-INDEX('UZ-normalized'!$E:$E, MATCH($A189, 'UZ-normalized'!$A:$A, 0))&gt;0, -(4*INDEX('UZ-normalized'!$D:$D, MATCH($A189, 'UZ-normalized'!$A:$A, 0))-INDEX('UZ-normalized'!$E:$E, MATCH($A189, 'UZ-normalized'!$A:$A, 0))), 0), 0)))</f>
        <v>-10</v>
      </c>
      <c r="S189" s="6">
        <f>MIN(0, N189+(IFERROR(IF(5*INDEX('UA-normalized'!$D:$D, MATCH($A189, 'UA-normalized'!$A:$A, 0))-INDEX('UA-normalized'!$E:$E, MATCH($A189, 'UA-normalized'!$A:$A, 0))&gt;0, -(5*INDEX('UA-normalized'!$D:$D, MATCH($A189, 'UA-normalized'!$A:$A, 0))-INDEX('UA-normalized'!$E:$E, MATCH($A189, 'UA-normalized'!$A:$A, 0))), 0), 0))+(IFERROR(IF(5*INDEX('KZ-normalized'!$D:$D, MATCH($A189, 'KZ-normalized'!$A:$A, 0))-INDEX('KZ-normalized'!$E:$E, MATCH($A189, 'KZ-normalized'!$A:$A, 0))&gt;0, -(5*INDEX('KZ-normalized'!$D:$D, MATCH($A189, 'KZ-normalized'!$A:$A, 0))-INDEX('KZ-normalized'!$E:$E, MATCH($A189, 'KZ-normalized'!$A:$A, 0))), 0), 0))+(IFERROR(IF(5*INDEX('UZ-normalized'!$D:$D, MATCH($A189, 'UZ-normalized'!$A:$A, 0))-INDEX('UZ-normalized'!$E:$E, MATCH($A189, 'UZ-normalized'!$A:$A, 0))&gt;0, -(5*INDEX('UZ-normalized'!$D:$D, MATCH($A189, 'UZ-normalized'!$A:$A, 0))-INDEX('UZ-normalized'!$E:$E, MATCH($A189, 'UZ-normalized'!$A:$A, 0))), 0), 0)))</f>
        <v>-10</v>
      </c>
      <c r="T189" s="6">
        <f>MIN(0, N189+(IFERROR(IF(6*INDEX('UA-normalized'!$D:$D, MATCH($A189, 'UA-normalized'!$A:$A, 0))-INDEX('UA-normalized'!$E:$E, MATCH($A189, 'UA-normalized'!$A:$A, 0))&gt;0, -(6*INDEX('UA-normalized'!$D:$D, MATCH($A189, 'UA-normalized'!$A:$A, 0))-INDEX('UA-normalized'!$E:$E, MATCH($A189, 'UA-normalized'!$A:$A, 0))), 0), 0))+(IFERROR(IF(6*INDEX('KZ-normalized'!$D:$D, MATCH($A189, 'KZ-normalized'!$A:$A, 0))-INDEX('KZ-normalized'!$E:$E, MATCH($A189, 'KZ-normalized'!$A:$A, 0))&gt;0, -(6*INDEX('KZ-normalized'!$D:$D, MATCH($A189, 'KZ-normalized'!$A:$A, 0))-INDEX('KZ-normalized'!$E:$E, MATCH($A189, 'KZ-normalized'!$A:$A, 0))), 0), 0))+(IFERROR(IF(6*INDEX('UZ-normalized'!$D:$D, MATCH($A189, 'UZ-normalized'!$A:$A, 0))-INDEX('UZ-normalized'!$E:$E, MATCH($A189, 'UZ-normalized'!$A:$A, 0))&gt;0, -(6*INDEX('UZ-normalized'!$D:$D, MATCH($A189, 'UZ-normalized'!$A:$A, 0))-INDEX('UZ-normalized'!$E:$E, MATCH($A189, 'UZ-normalized'!$A:$A, 0))), 0), 0)))</f>
        <v>-10</v>
      </c>
      <c r="U189" s="6">
        <f>MIN(0, N189+(IFERROR(IF(7*INDEX('UA-normalized'!$D:$D, MATCH($A189, 'UA-normalized'!$A:$A, 0))-INDEX('UA-normalized'!$E:$E, MATCH($A189, 'UA-normalized'!$A:$A, 0))&gt;0, -(7*INDEX('UA-normalized'!$D:$D, MATCH($A189, 'UA-normalized'!$A:$A, 0))-INDEX('UA-normalized'!$E:$E, MATCH($A189, 'UA-normalized'!$A:$A, 0))), 0), 0))+(IFERROR(IF(7*INDEX('KZ-normalized'!$D:$D, MATCH($A189, 'KZ-normalized'!$A:$A, 0))-INDEX('KZ-normalized'!$E:$E, MATCH($A189, 'KZ-normalized'!$A:$A, 0))&gt;0, -(7*INDEX('KZ-normalized'!$D:$D, MATCH($A189, 'KZ-normalized'!$A:$A, 0))-INDEX('KZ-normalized'!$E:$E, MATCH($A189, 'KZ-normalized'!$A:$A, 0))), 0), 0))+(IFERROR(IF(7*INDEX('UZ-normalized'!$D:$D, MATCH($A189, 'UZ-normalized'!$A:$A, 0))-INDEX('UZ-normalized'!$E:$E, MATCH($A189, 'UZ-normalized'!$A:$A, 0))&gt;0, -(7*INDEX('UZ-normalized'!$D:$D, MATCH($A189, 'UZ-normalized'!$A:$A, 0))-INDEX('UZ-normalized'!$E:$E, MATCH($A189, 'UZ-normalized'!$A:$A, 0))), 0), 0)))</f>
        <v>-12</v>
      </c>
      <c r="V189" s="6">
        <f>MIN(0, N189+(IFERROR(IF(8*INDEX('UA-normalized'!$D:$D, MATCH($A189, 'UA-normalized'!$A:$A, 0))-INDEX('UA-normalized'!$E:$E, MATCH($A189, 'UA-normalized'!$A:$A, 0))&gt;0, -(8*INDEX('UA-normalized'!$D:$D, MATCH($A189, 'UA-normalized'!$A:$A, 0))-INDEX('UA-normalized'!$E:$E, MATCH($A189, 'UA-normalized'!$A:$A, 0))), 0), 0))+(IFERROR(IF(8*INDEX('KZ-normalized'!$D:$D, MATCH($A189, 'KZ-normalized'!$A:$A, 0))-INDEX('KZ-normalized'!$E:$E, MATCH($A189, 'KZ-normalized'!$A:$A, 0))&gt;0, -(8*INDEX('KZ-normalized'!$D:$D, MATCH($A189, 'KZ-normalized'!$A:$A, 0))-INDEX('KZ-normalized'!$E:$E, MATCH($A189, 'KZ-normalized'!$A:$A, 0))), 0), 0))+(IFERROR(IF(8*INDEX('UZ-normalized'!$D:$D, MATCH($A189, 'UZ-normalized'!$A:$A, 0))-INDEX('UZ-normalized'!$E:$E, MATCH($A189, 'UZ-normalized'!$A:$A, 0))&gt;0, -(8*INDEX('UZ-normalized'!$D:$D, MATCH($A189, 'UZ-normalized'!$A:$A, 0))-INDEX('UZ-normalized'!$E:$E, MATCH($A189, 'UZ-normalized'!$A:$A, 0))), 0), 0)))</f>
        <v>-14</v>
      </c>
      <c r="W189" s="6">
        <f>MIN(0, N189+(IFERROR(IF(9*INDEX('UA-normalized'!$D:$D, MATCH($A189, 'UA-normalized'!$A:$A, 0))-INDEX('UA-normalized'!$E:$E, MATCH($A189, 'UA-normalized'!$A:$A, 0))&gt;0, -(9*INDEX('UA-normalized'!$D:$D, MATCH($A189, 'UA-normalized'!$A:$A, 0))-INDEX('UA-normalized'!$E:$E, MATCH($A189, 'UA-normalized'!$A:$A, 0))), 0), 0))+(IFERROR(IF(9*INDEX('KZ-normalized'!$D:$D, MATCH($A189, 'KZ-normalized'!$A:$A, 0))-INDEX('KZ-normalized'!$E:$E, MATCH($A189, 'KZ-normalized'!$A:$A, 0))&gt;0, -(9*INDEX('KZ-normalized'!$D:$D, MATCH($A189, 'KZ-normalized'!$A:$A, 0))-INDEX('KZ-normalized'!$E:$E, MATCH($A189, 'KZ-normalized'!$A:$A, 0))), 0), 0))+(IFERROR(IF(9*INDEX('UZ-normalized'!$D:$D, MATCH($A189, 'UZ-normalized'!$A:$A, 0))-INDEX('UZ-normalized'!$E:$E, MATCH($A189, 'UZ-normalized'!$A:$A, 0))&gt;0, -(9*INDEX('UZ-normalized'!$D:$D, MATCH($A189, 'UZ-normalized'!$A:$A, 0))-INDEX('UZ-normalized'!$E:$E, MATCH($A189, 'UZ-normalized'!$A:$A, 0))), 0), 0)))</f>
        <v>-16</v>
      </c>
      <c r="X189" s="6">
        <f>MIN(0, N189+(IFERROR(IF(10*INDEX('UA-normalized'!$D:$D, MATCH($A189, 'UA-normalized'!$A:$A, 0))-INDEX('UA-normalized'!$E:$E, MATCH($A189, 'UA-normalized'!$A:$A, 0))&gt;0, -(10*INDEX('UA-normalized'!$D:$D, MATCH($A189, 'UA-normalized'!$A:$A, 0))-INDEX('UA-normalized'!$E:$E, MATCH($A189, 'UA-normalized'!$A:$A, 0))), 0), 0))+(IFERROR(IF(10*INDEX('KZ-normalized'!$D:$D, MATCH($A189, 'KZ-normalized'!$A:$A, 0))-INDEX('KZ-normalized'!$E:$E, MATCH($A189, 'KZ-normalized'!$A:$A, 0))&gt;0, -(10*INDEX('KZ-normalized'!$D:$D, MATCH($A189, 'KZ-normalized'!$A:$A, 0))-INDEX('KZ-normalized'!$E:$E, MATCH($A189, 'KZ-normalized'!$A:$A, 0))), 0), 0))+(IFERROR(IF(10*INDEX('UZ-normalized'!$D:$D, MATCH($A189, 'UZ-normalized'!$A:$A, 0))-INDEX('UZ-normalized'!$E:$E, MATCH($A189, 'UZ-normalized'!$A:$A, 0))&gt;0, -(10*INDEX('UZ-normalized'!$D:$D, MATCH($A189, 'UZ-normalized'!$A:$A, 0))-INDEX('UZ-normalized'!$E:$E, MATCH($A189, 'UZ-normalized'!$A:$A, 0))), 0), 0)))</f>
        <v>-18</v>
      </c>
      <c r="Y189" s="6">
        <f>MIN(0, N189+(IFERROR(IF(11*INDEX('UA-normalized'!$D:$D, MATCH($A189, 'UA-normalized'!$A:$A, 0))-INDEX('UA-normalized'!$E:$E, MATCH($A189, 'UA-normalized'!$A:$A, 0))&gt;0, -(11*INDEX('UA-normalized'!$D:$D, MATCH($A189, 'UA-normalized'!$A:$A, 0))-INDEX('UA-normalized'!$E:$E, MATCH($A189, 'UA-normalized'!$A:$A, 0))), 0), 0))+(IFERROR(IF(11*INDEX('KZ-normalized'!$D:$D, MATCH($A189, 'KZ-normalized'!$A:$A, 0))-INDEX('KZ-normalized'!$E:$E, MATCH($A189, 'KZ-normalized'!$A:$A, 0))&gt;0, -(11*INDEX('KZ-normalized'!$D:$D, MATCH($A189, 'KZ-normalized'!$A:$A, 0))-INDEX('KZ-normalized'!$E:$E, MATCH($A189, 'KZ-normalized'!$A:$A, 0))), 0), 0))+(IFERROR(IF(11*INDEX('UZ-normalized'!$D:$D, MATCH($A189, 'UZ-normalized'!$A:$A, 0))-INDEX('UZ-normalized'!$E:$E, MATCH($A189, 'UZ-normalized'!$A:$A, 0))&gt;0, -(11*INDEX('UZ-normalized'!$D:$D, MATCH($A189, 'UZ-normalized'!$A:$A, 0))-INDEX('UZ-normalized'!$E:$E, MATCH($A189, 'UZ-normalized'!$A:$A, 0))), 0), 0)))</f>
        <v>-20</v>
      </c>
      <c r="Z189" s="6">
        <f>MIN(0, N189+(IFERROR(IF(12*INDEX('UA-normalized'!$D:$D, MATCH($A189, 'UA-normalized'!$A:$A, 0))-INDEX('UA-normalized'!$E:$E, MATCH($A189, 'UA-normalized'!$A:$A, 0))&gt;0, -(12*INDEX('UA-normalized'!$D:$D, MATCH($A189, 'UA-normalized'!$A:$A, 0))-INDEX('UA-normalized'!$E:$E, MATCH($A189, 'UA-normalized'!$A:$A, 0))), 0), 0))+(IFERROR(IF(12*INDEX('KZ-normalized'!$D:$D, MATCH($A189, 'KZ-normalized'!$A:$A, 0))-INDEX('KZ-normalized'!$E:$E, MATCH($A189, 'KZ-normalized'!$A:$A, 0))&gt;0, -(12*INDEX('KZ-normalized'!$D:$D, MATCH($A189, 'KZ-normalized'!$A:$A, 0))-INDEX('KZ-normalized'!$E:$E, MATCH($A189, 'KZ-normalized'!$A:$A, 0))), 0), 0))+(IFERROR(IF(12*INDEX('UZ-normalized'!$D:$D, MATCH($A189, 'UZ-normalized'!$A:$A, 0))-INDEX('UZ-normalized'!$E:$E, MATCH($A189, 'UZ-normalized'!$A:$A, 0))&gt;0, -(12*INDEX('UZ-normalized'!$D:$D, MATCH($A189, 'UZ-normalized'!$A:$A, 0))-INDEX('UZ-normalized'!$E:$E, MATCH($A189, 'UZ-normalized'!$A:$A, 0))), 0), 0)))</f>
        <v>-22</v>
      </c>
      <c r="AA189" s="6">
        <f>MIN(0, N189+(IFERROR(IF(13*INDEX('UA-normalized'!$D:$D, MATCH($A189, 'UA-normalized'!$A:$A, 0))-INDEX('UA-normalized'!$E:$E, MATCH($A189, 'UA-normalized'!$A:$A, 0))&gt;0, -(13*INDEX('UA-normalized'!$D:$D, MATCH($A189, 'UA-normalized'!$A:$A, 0))-INDEX('UA-normalized'!$E:$E, MATCH($A189, 'UA-normalized'!$A:$A, 0))), 0), 0))+(IFERROR(IF(13*INDEX('KZ-normalized'!$D:$D, MATCH($A189, 'KZ-normalized'!$A:$A, 0))-INDEX('KZ-normalized'!$E:$E, MATCH($A189, 'KZ-normalized'!$A:$A, 0))&gt;0, -(13*INDEX('KZ-normalized'!$D:$D, MATCH($A189, 'KZ-normalized'!$A:$A, 0))-INDEX('KZ-normalized'!$E:$E, MATCH($A189, 'KZ-normalized'!$A:$A, 0))), 0), 0))+(IFERROR(IF(13*INDEX('UZ-normalized'!$D:$D, MATCH($A189, 'UZ-normalized'!$A:$A, 0))-INDEX('UZ-normalized'!$E:$E, MATCH($A189, 'UZ-normalized'!$A:$A, 0))&gt;0, -(13*INDEX('UZ-normalized'!$D:$D, MATCH($A189, 'UZ-normalized'!$A:$A, 0))-INDEX('UZ-normalized'!$E:$E, MATCH($A189, 'UZ-normalized'!$A:$A, 0))), 0), 0)))</f>
        <v>-24</v>
      </c>
      <c r="AB189" s="6">
        <f>MIN(0, N189+(IFERROR(IF(14*INDEX('UA-normalized'!$D:$D, MATCH($A189, 'UA-normalized'!$A:$A, 0))-INDEX('UA-normalized'!$E:$E, MATCH($A189, 'UA-normalized'!$A:$A, 0))&gt;0, -(14*INDEX('UA-normalized'!$D:$D, MATCH($A189, 'UA-normalized'!$A:$A, 0))-INDEX('UA-normalized'!$E:$E, MATCH($A189, 'UA-normalized'!$A:$A, 0))), 0), 0))+(IFERROR(IF(14*INDEX('KZ-normalized'!$D:$D, MATCH($A189, 'KZ-normalized'!$A:$A, 0))-INDEX('KZ-normalized'!$E:$E, MATCH($A189, 'KZ-normalized'!$A:$A, 0))&gt;0, -(14*INDEX('KZ-normalized'!$D:$D, MATCH($A189, 'KZ-normalized'!$A:$A, 0))-INDEX('KZ-normalized'!$E:$E, MATCH($A189, 'KZ-normalized'!$A:$A, 0))), 0), 0))+(IFERROR(IF(14*INDEX('UZ-normalized'!$D:$D, MATCH($A189, 'UZ-normalized'!$A:$A, 0))-INDEX('UZ-normalized'!$E:$E, MATCH($A189, 'UZ-normalized'!$A:$A, 0))&gt;0, -(14*INDEX('UZ-normalized'!$D:$D, MATCH($A189, 'UZ-normalized'!$A:$A, 0))-INDEX('UZ-normalized'!$E:$E, MATCH($A189, 'UZ-normalized'!$A:$A, 0))), 0), 0)))</f>
        <v>-26</v>
      </c>
      <c r="AC189" s="6">
        <f>MIN(0, N189+(IFERROR(IF(15*INDEX('UA-normalized'!$D:$D, MATCH($A189, 'UA-normalized'!$A:$A, 0))-INDEX('UA-normalized'!$E:$E, MATCH($A189, 'UA-normalized'!$A:$A, 0))&gt;0, -(15*INDEX('UA-normalized'!$D:$D, MATCH($A189, 'UA-normalized'!$A:$A, 0))-INDEX('UA-normalized'!$E:$E, MATCH($A189, 'UA-normalized'!$A:$A, 0))), 0), 0))+(IFERROR(IF(15*INDEX('KZ-normalized'!$D:$D, MATCH($A189, 'KZ-normalized'!$A:$A, 0))-INDEX('KZ-normalized'!$E:$E, MATCH($A189, 'KZ-normalized'!$A:$A, 0))&gt;0, -(15*INDEX('KZ-normalized'!$D:$D, MATCH($A189, 'KZ-normalized'!$A:$A, 0))-INDEX('KZ-normalized'!$E:$E, MATCH($A189, 'KZ-normalized'!$A:$A, 0))), 0), 0))+(IFERROR(IF(15*INDEX('UZ-normalized'!$D:$D, MATCH($A189, 'UZ-normalized'!$A:$A, 0))-INDEX('UZ-normalized'!$E:$E, MATCH($A189, 'UZ-normalized'!$A:$A, 0))&gt;0, -(15*INDEX('UZ-normalized'!$D:$D, MATCH($A189, 'UZ-normalized'!$A:$A, 0))-INDEX('UZ-normalized'!$E:$E, MATCH($A189, 'UZ-normalized'!$A:$A, 0))), 0), 0)))</f>
        <v>-28</v>
      </c>
      <c r="AD189" s="6">
        <f>MIN(0, N189+(IFERROR(IF(16*INDEX('UA-normalized'!$D:$D, MATCH($A189, 'UA-normalized'!$A:$A, 0))-INDEX('UA-normalized'!$E:$E, MATCH($A189, 'UA-normalized'!$A:$A, 0))&gt;0, -(16*INDEX('UA-normalized'!$D:$D, MATCH($A189, 'UA-normalized'!$A:$A, 0))-INDEX('UA-normalized'!$E:$E, MATCH($A189, 'UA-normalized'!$A:$A, 0))), 0), 0))+(IFERROR(IF(16*INDEX('KZ-normalized'!$D:$D, MATCH($A189, 'KZ-normalized'!$A:$A, 0))-INDEX('KZ-normalized'!$E:$E, MATCH($A189, 'KZ-normalized'!$A:$A, 0))&gt;0, -(16*INDEX('KZ-normalized'!$D:$D, MATCH($A189, 'KZ-normalized'!$A:$A, 0))-INDEX('KZ-normalized'!$E:$E, MATCH($A189, 'KZ-normalized'!$A:$A, 0))), 0), 0))+(IFERROR(IF(16*INDEX('UZ-normalized'!$D:$D, MATCH($A189, 'UZ-normalized'!$A:$A, 0))-INDEX('UZ-normalized'!$E:$E, MATCH($A189, 'UZ-normalized'!$A:$A, 0))&gt;0, -(16*INDEX('UZ-normalized'!$D:$D, MATCH($A189, 'UZ-normalized'!$A:$A, 0))-INDEX('UZ-normalized'!$E:$E, MATCH($A189, 'UZ-normalized'!$A:$A, 0))), 0), 0)))</f>
        <v>-30</v>
      </c>
      <c r="AE189" s="6">
        <f>MIN(0, N189+(IFERROR(IF(17*INDEX('UA-normalized'!$D:$D, MATCH($A189, 'UA-normalized'!$A:$A, 0))-INDEX('UA-normalized'!$E:$E, MATCH($A189, 'UA-normalized'!$A:$A, 0))&gt;0, -(17*INDEX('UA-normalized'!$D:$D, MATCH($A189, 'UA-normalized'!$A:$A, 0))-INDEX('UA-normalized'!$E:$E, MATCH($A189, 'UA-normalized'!$A:$A, 0))), 0), 0))+(IFERROR(IF(17*INDEX('KZ-normalized'!$D:$D, MATCH($A189, 'KZ-normalized'!$A:$A, 0))-INDEX('KZ-normalized'!$E:$E, MATCH($A189, 'KZ-normalized'!$A:$A, 0))&gt;0, -(17*INDEX('KZ-normalized'!$D:$D, MATCH($A189, 'KZ-normalized'!$A:$A, 0))-INDEX('KZ-normalized'!$E:$E, MATCH($A189, 'KZ-normalized'!$A:$A, 0))), 0), 0))+(IFERROR(IF(17*INDEX('UZ-normalized'!$D:$D, MATCH($A189, 'UZ-normalized'!$A:$A, 0))-INDEX('UZ-normalized'!$E:$E, MATCH($A189, 'UZ-normalized'!$A:$A, 0))&gt;0, -(17*INDEX('UZ-normalized'!$D:$D, MATCH($A189, 'UZ-normalized'!$A:$A, 0))-INDEX('UZ-normalized'!$E:$E, MATCH($A189, 'UZ-normalized'!$A:$A, 0))), 0), 0)))</f>
        <v>-32</v>
      </c>
      <c r="AF189" s="6">
        <f>MIN(0, N189+(IFERROR(IF(18*INDEX('UA-normalized'!$D:$D, MATCH($A189, 'UA-normalized'!$A:$A, 0))-INDEX('UA-normalized'!$E:$E, MATCH($A189, 'UA-normalized'!$A:$A, 0))&gt;0, -(18*INDEX('UA-normalized'!$D:$D, MATCH($A189, 'UA-normalized'!$A:$A, 0))-INDEX('UA-normalized'!$E:$E, MATCH($A189, 'UA-normalized'!$A:$A, 0))), 0), 0))+(IFERROR(IF(18*INDEX('KZ-normalized'!$D:$D, MATCH($A189, 'KZ-normalized'!$A:$A, 0))-INDEX('KZ-normalized'!$E:$E, MATCH($A189, 'KZ-normalized'!$A:$A, 0))&gt;0, -(18*INDEX('KZ-normalized'!$D:$D, MATCH($A189, 'KZ-normalized'!$A:$A, 0))-INDEX('KZ-normalized'!$E:$E, MATCH($A189, 'KZ-normalized'!$A:$A, 0))), 0), 0))+(IFERROR(IF(18*INDEX('UZ-normalized'!$D:$D, MATCH($A189, 'UZ-normalized'!$A:$A, 0))-INDEX('UZ-normalized'!$E:$E, MATCH($A189, 'UZ-normalized'!$A:$A, 0))&gt;0, -(18*INDEX('UZ-normalized'!$D:$D, MATCH($A189, 'UZ-normalized'!$A:$A, 0))-INDEX('UZ-normalized'!$E:$E, MATCH($A189, 'UZ-normalized'!$A:$A, 0))), 0), 0)))</f>
        <v>-34</v>
      </c>
      <c r="AG189" s="6">
        <f>MIN(0, N189+(IFERROR(IF(19*INDEX('UA-normalized'!$D:$D, MATCH($A189, 'UA-normalized'!$A:$A, 0))-INDEX('UA-normalized'!$E:$E, MATCH($A189, 'UA-normalized'!$A:$A, 0))&gt;0, -(19*INDEX('UA-normalized'!$D:$D, MATCH($A189, 'UA-normalized'!$A:$A, 0))-INDEX('UA-normalized'!$E:$E, MATCH($A189, 'UA-normalized'!$A:$A, 0))), 0), 0))+(IFERROR(IF(19*INDEX('KZ-normalized'!$D:$D, MATCH($A189, 'KZ-normalized'!$A:$A, 0))-INDEX('KZ-normalized'!$E:$E, MATCH($A189, 'KZ-normalized'!$A:$A, 0))&gt;0, -(19*INDEX('KZ-normalized'!$D:$D, MATCH($A189, 'KZ-normalized'!$A:$A, 0))-INDEX('KZ-normalized'!$E:$E, MATCH($A189, 'KZ-normalized'!$A:$A, 0))), 0), 0))+(IFERROR(IF(19*INDEX('UZ-normalized'!$D:$D, MATCH($A189, 'UZ-normalized'!$A:$A, 0))-INDEX('UZ-normalized'!$E:$E, MATCH($A189, 'UZ-normalized'!$A:$A, 0))&gt;0, -(19*INDEX('UZ-normalized'!$D:$D, MATCH($A189, 'UZ-normalized'!$A:$A, 0))-INDEX('UZ-normalized'!$E:$E, MATCH($A189, 'UZ-normalized'!$A:$A, 0))), 0), 0)))</f>
        <v>-36</v>
      </c>
      <c r="AH189" s="6">
        <f>MIN(0, N189+(IFERROR(IF(20*INDEX('UA-normalized'!$D:$D, MATCH($A189, 'UA-normalized'!$A:$A, 0))-INDEX('UA-normalized'!$E:$E, MATCH($A189, 'UA-normalized'!$A:$A, 0))&gt;0, -(20*INDEX('UA-normalized'!$D:$D, MATCH($A189, 'UA-normalized'!$A:$A, 0))-INDEX('UA-normalized'!$E:$E, MATCH($A189, 'UA-normalized'!$A:$A, 0))), 0), 0))+(IFERROR(IF(20*INDEX('KZ-normalized'!$D:$D, MATCH($A189, 'KZ-normalized'!$A:$A, 0))-INDEX('KZ-normalized'!$E:$E, MATCH($A189, 'KZ-normalized'!$A:$A, 0))&gt;0, -(20*INDEX('KZ-normalized'!$D:$D, MATCH($A189, 'KZ-normalized'!$A:$A, 0))-INDEX('KZ-normalized'!$E:$E, MATCH($A189, 'KZ-normalized'!$A:$A, 0))), 0), 0))+(IFERROR(IF(20*INDEX('UZ-normalized'!$D:$D, MATCH($A189, 'UZ-normalized'!$A:$A, 0))-INDEX('UZ-normalized'!$E:$E, MATCH($A189, 'UZ-normalized'!$A:$A, 0))&gt;0, -(20*INDEX('UZ-normalized'!$D:$D, MATCH($A189, 'UZ-normalized'!$A:$A, 0))-INDEX('UZ-normalized'!$E:$E, MATCH($A189, 'UZ-normalized'!$A:$A, 0))), 0), 0)))</f>
        <v>-38</v>
      </c>
      <c r="AI189" s="6">
        <f>MIN(0, N189+(IFERROR(IF(21*INDEX('UA-normalized'!$D:$D, MATCH($A189, 'UA-normalized'!$A:$A, 0))-INDEX('UA-normalized'!$E:$E, MATCH($A189, 'UA-normalized'!$A:$A, 0))&gt;0, -(21*INDEX('UA-normalized'!$D:$D, MATCH($A189, 'UA-normalized'!$A:$A, 0))-INDEX('UA-normalized'!$E:$E, MATCH($A189, 'UA-normalized'!$A:$A, 0))), 0), 0))+(IFERROR(IF(21*INDEX('KZ-normalized'!$D:$D, MATCH($A189, 'KZ-normalized'!$A:$A, 0))-INDEX('KZ-normalized'!$E:$E, MATCH($A189, 'KZ-normalized'!$A:$A, 0))&gt;0, -(21*INDEX('KZ-normalized'!$D:$D, MATCH($A189, 'KZ-normalized'!$A:$A, 0))-INDEX('KZ-normalized'!$E:$E, MATCH($A189, 'KZ-normalized'!$A:$A, 0))), 0), 0))+(IFERROR(IF(21*INDEX('UZ-normalized'!$D:$D, MATCH($A189, 'UZ-normalized'!$A:$A, 0))-INDEX('UZ-normalized'!$E:$E, MATCH($A189, 'UZ-normalized'!$A:$A, 0))&gt;0, -(21*INDEX('UZ-normalized'!$D:$D, MATCH($A189, 'UZ-normalized'!$A:$A, 0))-INDEX('UZ-normalized'!$E:$E, MATCH($A189, 'UZ-normalized'!$A:$A, 0))), 0), 0)))</f>
        <v>-40</v>
      </c>
      <c r="AJ189" s="6">
        <f>MIN(0, N189+(IFERROR(IF(22*INDEX('UA-normalized'!$D:$D, MATCH($A189, 'UA-normalized'!$A:$A, 0))-INDEX('UA-normalized'!$E:$E, MATCH($A189, 'UA-normalized'!$A:$A, 0))&gt;0, -(22*INDEX('UA-normalized'!$D:$D, MATCH($A189, 'UA-normalized'!$A:$A, 0))-INDEX('UA-normalized'!$E:$E, MATCH($A189, 'UA-normalized'!$A:$A, 0))), 0), 0))+(IFERROR(IF(22*INDEX('KZ-normalized'!$D:$D, MATCH($A189, 'KZ-normalized'!$A:$A, 0))-INDEX('KZ-normalized'!$E:$E, MATCH($A189, 'KZ-normalized'!$A:$A, 0))&gt;0, -(22*INDEX('KZ-normalized'!$D:$D, MATCH($A189, 'KZ-normalized'!$A:$A, 0))-INDEX('KZ-normalized'!$E:$E, MATCH($A189, 'KZ-normalized'!$A:$A, 0))), 0), 0))+(IFERROR(IF(22*INDEX('UZ-normalized'!$D:$D, MATCH($A189, 'UZ-normalized'!$A:$A, 0))-INDEX('UZ-normalized'!$E:$E, MATCH($A189, 'UZ-normalized'!$A:$A, 0))&gt;0, -(22*INDEX('UZ-normalized'!$D:$D, MATCH($A189, 'UZ-normalized'!$A:$A, 0))-INDEX('UZ-normalized'!$E:$E, MATCH($A189, 'UZ-normalized'!$A:$A, 0))), 0), 0)))</f>
        <v>-42</v>
      </c>
      <c r="AK189" s="6">
        <f>MIN(0, N189+(IFERROR(IF(23*INDEX('UA-normalized'!$D:$D, MATCH($A189, 'UA-normalized'!$A:$A, 0))-INDEX('UA-normalized'!$E:$E, MATCH($A189, 'UA-normalized'!$A:$A, 0))&gt;0, -(23*INDEX('UA-normalized'!$D:$D, MATCH($A189, 'UA-normalized'!$A:$A, 0))-INDEX('UA-normalized'!$E:$E, MATCH($A189, 'UA-normalized'!$A:$A, 0))), 0), 0))+(IFERROR(IF(23*INDEX('KZ-normalized'!$D:$D, MATCH($A189, 'KZ-normalized'!$A:$A, 0))-INDEX('KZ-normalized'!$E:$E, MATCH($A189, 'KZ-normalized'!$A:$A, 0))&gt;0, -(23*INDEX('KZ-normalized'!$D:$D, MATCH($A189, 'KZ-normalized'!$A:$A, 0))-INDEX('KZ-normalized'!$E:$E, MATCH($A189, 'KZ-normalized'!$A:$A, 0))), 0), 0))+(IFERROR(IF(23*INDEX('UZ-normalized'!$D:$D, MATCH($A189, 'UZ-normalized'!$A:$A, 0))-INDEX('UZ-normalized'!$E:$E, MATCH($A189, 'UZ-normalized'!$A:$A, 0))&gt;0, -(23*INDEX('UZ-normalized'!$D:$D, MATCH($A189, 'UZ-normalized'!$A:$A, 0))-INDEX('UZ-normalized'!$E:$E, MATCH($A189, 'UZ-normalized'!$A:$A, 0))), 0), 0)))</f>
        <v>-44</v>
      </c>
      <c r="AL189" s="6">
        <f>MIN(0, N189+(IFERROR(IF(24*INDEX('UA-normalized'!$D:$D, MATCH($A189, 'UA-normalized'!$A:$A, 0))-INDEX('UA-normalized'!$E:$E, MATCH($A189, 'UA-normalized'!$A:$A, 0))&gt;0, -(24*INDEX('UA-normalized'!$D:$D, MATCH($A189, 'UA-normalized'!$A:$A, 0))-INDEX('UA-normalized'!$E:$E, MATCH($A189, 'UA-normalized'!$A:$A, 0))), 0), 0))+(IFERROR(IF(24*INDEX('KZ-normalized'!$D:$D, MATCH($A189, 'KZ-normalized'!$A:$A, 0))-INDEX('KZ-normalized'!$E:$E, MATCH($A189, 'KZ-normalized'!$A:$A, 0))&gt;0, -(24*INDEX('KZ-normalized'!$D:$D, MATCH($A189, 'KZ-normalized'!$A:$A, 0))-INDEX('KZ-normalized'!$E:$E, MATCH($A189, 'KZ-normalized'!$A:$A, 0))), 0), 0))+(IFERROR(IF(24*INDEX('UZ-normalized'!$D:$D, MATCH($A189, 'UZ-normalized'!$A:$A, 0))-INDEX('UZ-normalized'!$E:$E, MATCH($A189, 'UZ-normalized'!$A:$A, 0))&gt;0, -(24*INDEX('UZ-normalized'!$D:$D, MATCH($A189, 'UZ-normalized'!$A:$A, 0))-INDEX('UZ-normalized'!$E:$E, MATCH($A189, 'UZ-normalized'!$A:$A, 0))), 0), 0)))</f>
        <v>-46</v>
      </c>
      <c r="AM189" s="6">
        <f>MIN(0, N189+(IFERROR(IF(25*INDEX('UA-normalized'!$D:$D, MATCH($A189, 'UA-normalized'!$A:$A, 0))-INDEX('UA-normalized'!$E:$E, MATCH($A189, 'UA-normalized'!$A:$A, 0))&gt;0, -(25*INDEX('UA-normalized'!$D:$D, MATCH($A189, 'UA-normalized'!$A:$A, 0))-INDEX('UA-normalized'!$E:$E, MATCH($A189, 'UA-normalized'!$A:$A, 0))), 0), 0))+(IFERROR(IF(25*INDEX('KZ-normalized'!$D:$D, MATCH($A189, 'KZ-normalized'!$A:$A, 0))-INDEX('KZ-normalized'!$E:$E, MATCH($A189, 'KZ-normalized'!$A:$A, 0))&gt;0, -(25*INDEX('KZ-normalized'!$D:$D, MATCH($A189, 'KZ-normalized'!$A:$A, 0))-INDEX('KZ-normalized'!$E:$E, MATCH($A189, 'KZ-normalized'!$A:$A, 0))), 0), 0))+(IFERROR(IF(25*INDEX('UZ-normalized'!$D:$D, MATCH($A189, 'UZ-normalized'!$A:$A, 0))-INDEX('UZ-normalized'!$E:$E, MATCH($A189, 'UZ-normalized'!$A:$A, 0))&gt;0, -(25*INDEX('UZ-normalized'!$D:$D, MATCH($A189, 'UZ-normalized'!$A:$A, 0))-INDEX('UZ-normalized'!$E:$E, MATCH($A189, 'UZ-normalized'!$A:$A, 0))), 0), 0)))</f>
        <v>-48</v>
      </c>
      <c r="AN189" s="6">
        <f>MIN(0, N189+(IFERROR(IF(26*INDEX('UA-normalized'!$D:$D, MATCH($A189, 'UA-normalized'!$A:$A, 0))-INDEX('UA-normalized'!$E:$E, MATCH($A189, 'UA-normalized'!$A:$A, 0))&gt;0, -(26*INDEX('UA-normalized'!$D:$D, MATCH($A189, 'UA-normalized'!$A:$A, 0))-INDEX('UA-normalized'!$E:$E, MATCH($A189, 'UA-normalized'!$A:$A, 0))), 0), 0))+(IFERROR(IF(26*INDEX('KZ-normalized'!$D:$D, MATCH($A189, 'KZ-normalized'!$A:$A, 0))-INDEX('KZ-normalized'!$E:$E, MATCH($A189, 'KZ-normalized'!$A:$A, 0))&gt;0, -(26*INDEX('KZ-normalized'!$D:$D, MATCH($A189, 'KZ-normalized'!$A:$A, 0))-INDEX('KZ-normalized'!$E:$E, MATCH($A189, 'KZ-normalized'!$A:$A, 0))), 0), 0))+(IFERROR(IF(26*INDEX('UZ-normalized'!$D:$D, MATCH($A189, 'UZ-normalized'!$A:$A, 0))-INDEX('UZ-normalized'!$E:$E, MATCH($A189, 'UZ-normalized'!$A:$A, 0))&gt;0, -(26*INDEX('UZ-normalized'!$D:$D, MATCH($A189, 'UZ-normalized'!$A:$A, 0))-INDEX('UZ-normalized'!$E:$E, MATCH($A189, 'UZ-normalized'!$A:$A, 0))), 0), 0)))</f>
        <v>-50</v>
      </c>
      <c r="AO189" s="6">
        <f>MIN(0, N189+(IFERROR(IF(27*INDEX('UA-normalized'!$D:$D, MATCH($A189, 'UA-normalized'!$A:$A, 0))-INDEX('UA-normalized'!$E:$E, MATCH($A189, 'UA-normalized'!$A:$A, 0))&gt;0, -(27*INDEX('UA-normalized'!$D:$D, MATCH($A189, 'UA-normalized'!$A:$A, 0))-INDEX('UA-normalized'!$E:$E, MATCH($A189, 'UA-normalized'!$A:$A, 0))), 0), 0))+(IFERROR(IF(27*INDEX('KZ-normalized'!$D:$D, MATCH($A189, 'KZ-normalized'!$A:$A, 0))-INDEX('KZ-normalized'!$E:$E, MATCH($A189, 'KZ-normalized'!$A:$A, 0))&gt;0, -(27*INDEX('KZ-normalized'!$D:$D, MATCH($A189, 'KZ-normalized'!$A:$A, 0))-INDEX('KZ-normalized'!$E:$E, MATCH($A189, 'KZ-normalized'!$A:$A, 0))), 0), 0))+(IFERROR(IF(27*INDEX('UZ-normalized'!$D:$D, MATCH($A189, 'UZ-normalized'!$A:$A, 0))-INDEX('UZ-normalized'!$E:$E, MATCH($A189, 'UZ-normalized'!$A:$A, 0))&gt;0, -(27*INDEX('UZ-normalized'!$D:$D, MATCH($A189, 'UZ-normalized'!$A:$A, 0))-INDEX('UZ-normalized'!$E:$E, MATCH($A189, 'UZ-normalized'!$A:$A, 0))), 0), 0)))</f>
        <v>-52</v>
      </c>
      <c r="AP189" s="6">
        <f>MIN(0, N189+(IFERROR(IF(28*INDEX('UA-normalized'!$D:$D, MATCH($A189, 'UA-normalized'!$A:$A, 0))-INDEX('UA-normalized'!$E:$E, MATCH($A189, 'UA-normalized'!$A:$A, 0))&gt;0, -(28*INDEX('UA-normalized'!$D:$D, MATCH($A189, 'UA-normalized'!$A:$A, 0))-INDEX('UA-normalized'!$E:$E, MATCH($A189, 'UA-normalized'!$A:$A, 0))), 0), 0))+(IFERROR(IF(28*INDEX('KZ-normalized'!$D:$D, MATCH($A189, 'KZ-normalized'!$A:$A, 0))-INDEX('KZ-normalized'!$E:$E, MATCH($A189, 'KZ-normalized'!$A:$A, 0))&gt;0, -(28*INDEX('KZ-normalized'!$D:$D, MATCH($A189, 'KZ-normalized'!$A:$A, 0))-INDEX('KZ-normalized'!$E:$E, MATCH($A189, 'KZ-normalized'!$A:$A, 0))), 0), 0))+(IFERROR(IF(28*INDEX('UZ-normalized'!$D:$D, MATCH($A189, 'UZ-normalized'!$A:$A, 0))-INDEX('UZ-normalized'!$E:$E, MATCH($A189, 'UZ-normalized'!$A:$A, 0))&gt;0, -(28*INDEX('UZ-normalized'!$D:$D, MATCH($A189, 'UZ-normalized'!$A:$A, 0))-INDEX('UZ-normalized'!$E:$E, MATCH($A189, 'UZ-normalized'!$A:$A, 0))), 0), 0)))</f>
        <v>-54</v>
      </c>
      <c r="AQ189" s="6">
        <f>MIN(0, N189+(IFERROR(IF(29*INDEX('UA-normalized'!$D:$D, MATCH($A189, 'UA-normalized'!$A:$A, 0))-INDEX('UA-normalized'!$E:$E, MATCH($A189, 'UA-normalized'!$A:$A, 0))&gt;0, -(29*INDEX('UA-normalized'!$D:$D, MATCH($A189, 'UA-normalized'!$A:$A, 0))-INDEX('UA-normalized'!$E:$E, MATCH($A189, 'UA-normalized'!$A:$A, 0))), 0), 0))+(IFERROR(IF(29*INDEX('KZ-normalized'!$D:$D, MATCH($A189, 'KZ-normalized'!$A:$A, 0))-INDEX('KZ-normalized'!$E:$E, MATCH($A189, 'KZ-normalized'!$A:$A, 0))&gt;0, -(29*INDEX('KZ-normalized'!$D:$D, MATCH($A189, 'KZ-normalized'!$A:$A, 0))-INDEX('KZ-normalized'!$E:$E, MATCH($A189, 'KZ-normalized'!$A:$A, 0))), 0), 0))+(IFERROR(IF(29*INDEX('UZ-normalized'!$D:$D, MATCH($A189, 'UZ-normalized'!$A:$A, 0))-INDEX('UZ-normalized'!$E:$E, MATCH($A189, 'UZ-normalized'!$A:$A, 0))&gt;0, -(29*INDEX('UZ-normalized'!$D:$D, MATCH($A189, 'UZ-normalized'!$A:$A, 0))-INDEX('UZ-normalized'!$E:$E, MATCH($A189, 'UZ-normalized'!$A:$A, 0))), 0), 0)))</f>
        <v>-56</v>
      </c>
      <c r="AR189" s="6">
        <f>MIN(0, N189+(IFERROR(IF(30*INDEX('UA-normalized'!$D:$D, MATCH($A189, 'UA-normalized'!$A:$A, 0))-INDEX('UA-normalized'!$E:$E, MATCH($A189, 'UA-normalized'!$A:$A, 0))&gt;0, -(30*INDEX('UA-normalized'!$D:$D, MATCH($A189, 'UA-normalized'!$A:$A, 0))-INDEX('UA-normalized'!$E:$E, MATCH($A189, 'UA-normalized'!$A:$A, 0))), 0), 0))+(IFERROR(IF(30*INDEX('KZ-normalized'!$D:$D, MATCH($A189, 'KZ-normalized'!$A:$A, 0))-INDEX('KZ-normalized'!$E:$E, MATCH($A189, 'KZ-normalized'!$A:$A, 0))&gt;0, -(30*INDEX('KZ-normalized'!$D:$D, MATCH($A189, 'KZ-normalized'!$A:$A, 0))-INDEX('KZ-normalized'!$E:$E, MATCH($A189, 'KZ-normalized'!$A:$A, 0))), 0), 0))+(IFERROR(IF(30*INDEX('UZ-normalized'!$D:$D, MATCH($A189, 'UZ-normalized'!$A:$A, 0))-INDEX('UZ-normalized'!$E:$E, MATCH($A189, 'UZ-normalized'!$A:$A, 0))&gt;0, -(30*INDEX('UZ-normalized'!$D:$D, MATCH($A189, 'UZ-normalized'!$A:$A, 0))-INDEX('UZ-normalized'!$E:$E, MATCH($A189, 'UZ-normalized'!$A:$A, 0))), 0), 0)))</f>
        <v>-58</v>
      </c>
    </row>
    <row r="190" spans="1:44" x14ac:dyDescent="0.25">
      <c r="A190" s="8" t="s">
        <v>455</v>
      </c>
      <c r="B190" s="8" t="s">
        <v>442</v>
      </c>
      <c r="C190" s="8" t="s">
        <v>443</v>
      </c>
      <c r="D190" s="8" t="s">
        <v>456</v>
      </c>
      <c r="N190">
        <f t="shared" si="2"/>
        <v>0</v>
      </c>
      <c r="O190" s="6">
        <f>MIN(0, N190+(IFERROR(IF(1*INDEX('UA-normalized'!$D:$D, MATCH($A190, 'UA-normalized'!$A:$A, 0))-INDEX('UA-normalized'!$E:$E, MATCH($A190, 'UA-normalized'!$A:$A, 0))&gt;0, -(1*INDEX('UA-normalized'!$D:$D, MATCH($A190, 'UA-normalized'!$A:$A, 0))-INDEX('UA-normalized'!$E:$E, MATCH($A190, 'UA-normalized'!$A:$A, 0))), 0), 0))+(IFERROR(IF(1*INDEX('KZ-normalized'!$D:$D, MATCH($A190, 'KZ-normalized'!$A:$A, 0))-INDEX('KZ-normalized'!$E:$E, MATCH($A190, 'KZ-normalized'!$A:$A, 0))&gt;0, -(1*INDEX('KZ-normalized'!$D:$D, MATCH($A190, 'KZ-normalized'!$A:$A, 0))-INDEX('KZ-normalized'!$E:$E, MATCH($A190, 'KZ-normalized'!$A:$A, 0))), 0), 0))+(IFERROR(IF(1*INDEX('UZ-normalized'!$D:$D, MATCH($A190, 'UZ-normalized'!$A:$A, 0))-INDEX('UZ-normalized'!$E:$E, MATCH($A190, 'UZ-normalized'!$A:$A, 0))&gt;0, -(1*INDEX('UZ-normalized'!$D:$D, MATCH($A190, 'UZ-normalized'!$A:$A, 0))-INDEX('UZ-normalized'!$E:$E, MATCH($A190, 'UZ-normalized'!$A:$A, 0))), 0), 0)))</f>
        <v>0</v>
      </c>
      <c r="P190" s="6">
        <f>MIN(0, N190+(IFERROR(IF(2*INDEX('UA-normalized'!$D:$D, MATCH($A190, 'UA-normalized'!$A:$A, 0))-INDEX('UA-normalized'!$E:$E, MATCH($A190, 'UA-normalized'!$A:$A, 0))&gt;0, -(2*INDEX('UA-normalized'!$D:$D, MATCH($A190, 'UA-normalized'!$A:$A, 0))-INDEX('UA-normalized'!$E:$E, MATCH($A190, 'UA-normalized'!$A:$A, 0))), 0), 0))+(IFERROR(IF(2*INDEX('KZ-normalized'!$D:$D, MATCH($A190, 'KZ-normalized'!$A:$A, 0))-INDEX('KZ-normalized'!$E:$E, MATCH($A190, 'KZ-normalized'!$A:$A, 0))&gt;0, -(2*INDEX('KZ-normalized'!$D:$D, MATCH($A190, 'KZ-normalized'!$A:$A, 0))-INDEX('KZ-normalized'!$E:$E, MATCH($A190, 'KZ-normalized'!$A:$A, 0))), 0), 0))+(IFERROR(IF(2*INDEX('UZ-normalized'!$D:$D, MATCH($A190, 'UZ-normalized'!$A:$A, 0))-INDEX('UZ-normalized'!$E:$E, MATCH($A190, 'UZ-normalized'!$A:$A, 0))&gt;0, -(2*INDEX('UZ-normalized'!$D:$D, MATCH($A190, 'UZ-normalized'!$A:$A, 0))-INDEX('UZ-normalized'!$E:$E, MATCH($A190, 'UZ-normalized'!$A:$A, 0))), 0), 0)))</f>
        <v>0</v>
      </c>
      <c r="Q190" s="6">
        <f>MIN(0, N190+(IFERROR(IF(3*INDEX('UA-normalized'!$D:$D, MATCH($A190, 'UA-normalized'!$A:$A, 0))-INDEX('UA-normalized'!$E:$E, MATCH($A190, 'UA-normalized'!$A:$A, 0))&gt;0, -(3*INDEX('UA-normalized'!$D:$D, MATCH($A190, 'UA-normalized'!$A:$A, 0))-INDEX('UA-normalized'!$E:$E, MATCH($A190, 'UA-normalized'!$A:$A, 0))), 0), 0))+(IFERROR(IF(3*INDEX('KZ-normalized'!$D:$D, MATCH($A190, 'KZ-normalized'!$A:$A, 0))-INDEX('KZ-normalized'!$E:$E, MATCH($A190, 'KZ-normalized'!$A:$A, 0))&gt;0, -(3*INDEX('KZ-normalized'!$D:$D, MATCH($A190, 'KZ-normalized'!$A:$A, 0))-INDEX('KZ-normalized'!$E:$E, MATCH($A190, 'KZ-normalized'!$A:$A, 0))), 0), 0))+(IFERROR(IF(3*INDEX('UZ-normalized'!$D:$D, MATCH($A190, 'UZ-normalized'!$A:$A, 0))-INDEX('UZ-normalized'!$E:$E, MATCH($A190, 'UZ-normalized'!$A:$A, 0))&gt;0, -(3*INDEX('UZ-normalized'!$D:$D, MATCH($A190, 'UZ-normalized'!$A:$A, 0))-INDEX('UZ-normalized'!$E:$E, MATCH($A190, 'UZ-normalized'!$A:$A, 0))), 0), 0)))</f>
        <v>0</v>
      </c>
      <c r="R190" s="6">
        <f>MIN(0, N190+(IFERROR(IF(4*INDEX('UA-normalized'!$D:$D, MATCH($A190, 'UA-normalized'!$A:$A, 0))-INDEX('UA-normalized'!$E:$E, MATCH($A190, 'UA-normalized'!$A:$A, 0))&gt;0, -(4*INDEX('UA-normalized'!$D:$D, MATCH($A190, 'UA-normalized'!$A:$A, 0))-INDEX('UA-normalized'!$E:$E, MATCH($A190, 'UA-normalized'!$A:$A, 0))), 0), 0))+(IFERROR(IF(4*INDEX('KZ-normalized'!$D:$D, MATCH($A190, 'KZ-normalized'!$A:$A, 0))-INDEX('KZ-normalized'!$E:$E, MATCH($A190, 'KZ-normalized'!$A:$A, 0))&gt;0, -(4*INDEX('KZ-normalized'!$D:$D, MATCH($A190, 'KZ-normalized'!$A:$A, 0))-INDEX('KZ-normalized'!$E:$E, MATCH($A190, 'KZ-normalized'!$A:$A, 0))), 0), 0))+(IFERROR(IF(4*INDEX('UZ-normalized'!$D:$D, MATCH($A190, 'UZ-normalized'!$A:$A, 0))-INDEX('UZ-normalized'!$E:$E, MATCH($A190, 'UZ-normalized'!$A:$A, 0))&gt;0, -(4*INDEX('UZ-normalized'!$D:$D, MATCH($A190, 'UZ-normalized'!$A:$A, 0))-INDEX('UZ-normalized'!$E:$E, MATCH($A190, 'UZ-normalized'!$A:$A, 0))), 0), 0)))</f>
        <v>0</v>
      </c>
      <c r="S190" s="6">
        <f>MIN(0, N190+(IFERROR(IF(5*INDEX('UA-normalized'!$D:$D, MATCH($A190, 'UA-normalized'!$A:$A, 0))-INDEX('UA-normalized'!$E:$E, MATCH($A190, 'UA-normalized'!$A:$A, 0))&gt;0, -(5*INDEX('UA-normalized'!$D:$D, MATCH($A190, 'UA-normalized'!$A:$A, 0))-INDEX('UA-normalized'!$E:$E, MATCH($A190, 'UA-normalized'!$A:$A, 0))), 0), 0))+(IFERROR(IF(5*INDEX('KZ-normalized'!$D:$D, MATCH($A190, 'KZ-normalized'!$A:$A, 0))-INDEX('KZ-normalized'!$E:$E, MATCH($A190, 'KZ-normalized'!$A:$A, 0))&gt;0, -(5*INDEX('KZ-normalized'!$D:$D, MATCH($A190, 'KZ-normalized'!$A:$A, 0))-INDEX('KZ-normalized'!$E:$E, MATCH($A190, 'KZ-normalized'!$A:$A, 0))), 0), 0))+(IFERROR(IF(5*INDEX('UZ-normalized'!$D:$D, MATCH($A190, 'UZ-normalized'!$A:$A, 0))-INDEX('UZ-normalized'!$E:$E, MATCH($A190, 'UZ-normalized'!$A:$A, 0))&gt;0, -(5*INDEX('UZ-normalized'!$D:$D, MATCH($A190, 'UZ-normalized'!$A:$A, 0))-INDEX('UZ-normalized'!$E:$E, MATCH($A190, 'UZ-normalized'!$A:$A, 0))), 0), 0)))</f>
        <v>0</v>
      </c>
      <c r="T190" s="6">
        <f>MIN(0, N190+(IFERROR(IF(6*INDEX('UA-normalized'!$D:$D, MATCH($A190, 'UA-normalized'!$A:$A, 0))-INDEX('UA-normalized'!$E:$E, MATCH($A190, 'UA-normalized'!$A:$A, 0))&gt;0, -(6*INDEX('UA-normalized'!$D:$D, MATCH($A190, 'UA-normalized'!$A:$A, 0))-INDEX('UA-normalized'!$E:$E, MATCH($A190, 'UA-normalized'!$A:$A, 0))), 0), 0))+(IFERROR(IF(6*INDEX('KZ-normalized'!$D:$D, MATCH($A190, 'KZ-normalized'!$A:$A, 0))-INDEX('KZ-normalized'!$E:$E, MATCH($A190, 'KZ-normalized'!$A:$A, 0))&gt;0, -(6*INDEX('KZ-normalized'!$D:$D, MATCH($A190, 'KZ-normalized'!$A:$A, 0))-INDEX('KZ-normalized'!$E:$E, MATCH($A190, 'KZ-normalized'!$A:$A, 0))), 0), 0))+(IFERROR(IF(6*INDEX('UZ-normalized'!$D:$D, MATCH($A190, 'UZ-normalized'!$A:$A, 0))-INDEX('UZ-normalized'!$E:$E, MATCH($A190, 'UZ-normalized'!$A:$A, 0))&gt;0, -(6*INDEX('UZ-normalized'!$D:$D, MATCH($A190, 'UZ-normalized'!$A:$A, 0))-INDEX('UZ-normalized'!$E:$E, MATCH($A190, 'UZ-normalized'!$A:$A, 0))), 0), 0)))</f>
        <v>0</v>
      </c>
      <c r="U190" s="6">
        <f>MIN(0, N190+(IFERROR(IF(7*INDEX('UA-normalized'!$D:$D, MATCH($A190, 'UA-normalized'!$A:$A, 0))-INDEX('UA-normalized'!$E:$E, MATCH($A190, 'UA-normalized'!$A:$A, 0))&gt;0, -(7*INDEX('UA-normalized'!$D:$D, MATCH($A190, 'UA-normalized'!$A:$A, 0))-INDEX('UA-normalized'!$E:$E, MATCH($A190, 'UA-normalized'!$A:$A, 0))), 0), 0))+(IFERROR(IF(7*INDEX('KZ-normalized'!$D:$D, MATCH($A190, 'KZ-normalized'!$A:$A, 0))-INDEX('KZ-normalized'!$E:$E, MATCH($A190, 'KZ-normalized'!$A:$A, 0))&gt;0, -(7*INDEX('KZ-normalized'!$D:$D, MATCH($A190, 'KZ-normalized'!$A:$A, 0))-INDEX('KZ-normalized'!$E:$E, MATCH($A190, 'KZ-normalized'!$A:$A, 0))), 0), 0))+(IFERROR(IF(7*INDEX('UZ-normalized'!$D:$D, MATCH($A190, 'UZ-normalized'!$A:$A, 0))-INDEX('UZ-normalized'!$E:$E, MATCH($A190, 'UZ-normalized'!$A:$A, 0))&gt;0, -(7*INDEX('UZ-normalized'!$D:$D, MATCH($A190, 'UZ-normalized'!$A:$A, 0))-INDEX('UZ-normalized'!$E:$E, MATCH($A190, 'UZ-normalized'!$A:$A, 0))), 0), 0)))</f>
        <v>0</v>
      </c>
      <c r="V190" s="6">
        <f>MIN(0, N190+(IFERROR(IF(8*INDEX('UA-normalized'!$D:$D, MATCH($A190, 'UA-normalized'!$A:$A, 0))-INDEX('UA-normalized'!$E:$E, MATCH($A190, 'UA-normalized'!$A:$A, 0))&gt;0, -(8*INDEX('UA-normalized'!$D:$D, MATCH($A190, 'UA-normalized'!$A:$A, 0))-INDEX('UA-normalized'!$E:$E, MATCH($A190, 'UA-normalized'!$A:$A, 0))), 0), 0))+(IFERROR(IF(8*INDEX('KZ-normalized'!$D:$D, MATCH($A190, 'KZ-normalized'!$A:$A, 0))-INDEX('KZ-normalized'!$E:$E, MATCH($A190, 'KZ-normalized'!$A:$A, 0))&gt;0, -(8*INDEX('KZ-normalized'!$D:$D, MATCH($A190, 'KZ-normalized'!$A:$A, 0))-INDEX('KZ-normalized'!$E:$E, MATCH($A190, 'KZ-normalized'!$A:$A, 0))), 0), 0))+(IFERROR(IF(8*INDEX('UZ-normalized'!$D:$D, MATCH($A190, 'UZ-normalized'!$A:$A, 0))-INDEX('UZ-normalized'!$E:$E, MATCH($A190, 'UZ-normalized'!$A:$A, 0))&gt;0, -(8*INDEX('UZ-normalized'!$D:$D, MATCH($A190, 'UZ-normalized'!$A:$A, 0))-INDEX('UZ-normalized'!$E:$E, MATCH($A190, 'UZ-normalized'!$A:$A, 0))), 0), 0)))</f>
        <v>0</v>
      </c>
      <c r="W190" s="6">
        <f>MIN(0, N190+(IFERROR(IF(9*INDEX('UA-normalized'!$D:$D, MATCH($A190, 'UA-normalized'!$A:$A, 0))-INDEX('UA-normalized'!$E:$E, MATCH($A190, 'UA-normalized'!$A:$A, 0))&gt;0, -(9*INDEX('UA-normalized'!$D:$D, MATCH($A190, 'UA-normalized'!$A:$A, 0))-INDEX('UA-normalized'!$E:$E, MATCH($A190, 'UA-normalized'!$A:$A, 0))), 0), 0))+(IFERROR(IF(9*INDEX('KZ-normalized'!$D:$D, MATCH($A190, 'KZ-normalized'!$A:$A, 0))-INDEX('KZ-normalized'!$E:$E, MATCH($A190, 'KZ-normalized'!$A:$A, 0))&gt;0, -(9*INDEX('KZ-normalized'!$D:$D, MATCH($A190, 'KZ-normalized'!$A:$A, 0))-INDEX('KZ-normalized'!$E:$E, MATCH($A190, 'KZ-normalized'!$A:$A, 0))), 0), 0))+(IFERROR(IF(9*INDEX('UZ-normalized'!$D:$D, MATCH($A190, 'UZ-normalized'!$A:$A, 0))-INDEX('UZ-normalized'!$E:$E, MATCH($A190, 'UZ-normalized'!$A:$A, 0))&gt;0, -(9*INDEX('UZ-normalized'!$D:$D, MATCH($A190, 'UZ-normalized'!$A:$A, 0))-INDEX('UZ-normalized'!$E:$E, MATCH($A190, 'UZ-normalized'!$A:$A, 0))), 0), 0)))</f>
        <v>0</v>
      </c>
      <c r="X190" s="6">
        <f>MIN(0, N190+(IFERROR(IF(10*INDEX('UA-normalized'!$D:$D, MATCH($A190, 'UA-normalized'!$A:$A, 0))-INDEX('UA-normalized'!$E:$E, MATCH($A190, 'UA-normalized'!$A:$A, 0))&gt;0, -(10*INDEX('UA-normalized'!$D:$D, MATCH($A190, 'UA-normalized'!$A:$A, 0))-INDEX('UA-normalized'!$E:$E, MATCH($A190, 'UA-normalized'!$A:$A, 0))), 0), 0))+(IFERROR(IF(10*INDEX('KZ-normalized'!$D:$D, MATCH($A190, 'KZ-normalized'!$A:$A, 0))-INDEX('KZ-normalized'!$E:$E, MATCH($A190, 'KZ-normalized'!$A:$A, 0))&gt;0, -(10*INDEX('KZ-normalized'!$D:$D, MATCH($A190, 'KZ-normalized'!$A:$A, 0))-INDEX('KZ-normalized'!$E:$E, MATCH($A190, 'KZ-normalized'!$A:$A, 0))), 0), 0))+(IFERROR(IF(10*INDEX('UZ-normalized'!$D:$D, MATCH($A190, 'UZ-normalized'!$A:$A, 0))-INDEX('UZ-normalized'!$E:$E, MATCH($A190, 'UZ-normalized'!$A:$A, 0))&gt;0, -(10*INDEX('UZ-normalized'!$D:$D, MATCH($A190, 'UZ-normalized'!$A:$A, 0))-INDEX('UZ-normalized'!$E:$E, MATCH($A190, 'UZ-normalized'!$A:$A, 0))), 0), 0)))</f>
        <v>0</v>
      </c>
      <c r="Y190" s="6">
        <f>MIN(0, N190+(IFERROR(IF(11*INDEX('UA-normalized'!$D:$D, MATCH($A190, 'UA-normalized'!$A:$A, 0))-INDEX('UA-normalized'!$E:$E, MATCH($A190, 'UA-normalized'!$A:$A, 0))&gt;0, -(11*INDEX('UA-normalized'!$D:$D, MATCH($A190, 'UA-normalized'!$A:$A, 0))-INDEX('UA-normalized'!$E:$E, MATCH($A190, 'UA-normalized'!$A:$A, 0))), 0), 0))+(IFERROR(IF(11*INDEX('KZ-normalized'!$D:$D, MATCH($A190, 'KZ-normalized'!$A:$A, 0))-INDEX('KZ-normalized'!$E:$E, MATCH($A190, 'KZ-normalized'!$A:$A, 0))&gt;0, -(11*INDEX('KZ-normalized'!$D:$D, MATCH($A190, 'KZ-normalized'!$A:$A, 0))-INDEX('KZ-normalized'!$E:$E, MATCH($A190, 'KZ-normalized'!$A:$A, 0))), 0), 0))+(IFERROR(IF(11*INDEX('UZ-normalized'!$D:$D, MATCH($A190, 'UZ-normalized'!$A:$A, 0))-INDEX('UZ-normalized'!$E:$E, MATCH($A190, 'UZ-normalized'!$A:$A, 0))&gt;0, -(11*INDEX('UZ-normalized'!$D:$D, MATCH($A190, 'UZ-normalized'!$A:$A, 0))-INDEX('UZ-normalized'!$E:$E, MATCH($A190, 'UZ-normalized'!$A:$A, 0))), 0), 0)))</f>
        <v>0</v>
      </c>
      <c r="Z190" s="6">
        <f>MIN(0, N190+(IFERROR(IF(12*INDEX('UA-normalized'!$D:$D, MATCH($A190, 'UA-normalized'!$A:$A, 0))-INDEX('UA-normalized'!$E:$E, MATCH($A190, 'UA-normalized'!$A:$A, 0))&gt;0, -(12*INDEX('UA-normalized'!$D:$D, MATCH($A190, 'UA-normalized'!$A:$A, 0))-INDEX('UA-normalized'!$E:$E, MATCH($A190, 'UA-normalized'!$A:$A, 0))), 0), 0))+(IFERROR(IF(12*INDEX('KZ-normalized'!$D:$D, MATCH($A190, 'KZ-normalized'!$A:$A, 0))-INDEX('KZ-normalized'!$E:$E, MATCH($A190, 'KZ-normalized'!$A:$A, 0))&gt;0, -(12*INDEX('KZ-normalized'!$D:$D, MATCH($A190, 'KZ-normalized'!$A:$A, 0))-INDEX('KZ-normalized'!$E:$E, MATCH($A190, 'KZ-normalized'!$A:$A, 0))), 0), 0))+(IFERROR(IF(12*INDEX('UZ-normalized'!$D:$D, MATCH($A190, 'UZ-normalized'!$A:$A, 0))-INDEX('UZ-normalized'!$E:$E, MATCH($A190, 'UZ-normalized'!$A:$A, 0))&gt;0, -(12*INDEX('UZ-normalized'!$D:$D, MATCH($A190, 'UZ-normalized'!$A:$A, 0))-INDEX('UZ-normalized'!$E:$E, MATCH($A190, 'UZ-normalized'!$A:$A, 0))), 0), 0)))</f>
        <v>0</v>
      </c>
      <c r="AA190" s="6">
        <f>MIN(0, N190+(IFERROR(IF(13*INDEX('UA-normalized'!$D:$D, MATCH($A190, 'UA-normalized'!$A:$A, 0))-INDEX('UA-normalized'!$E:$E, MATCH($A190, 'UA-normalized'!$A:$A, 0))&gt;0, -(13*INDEX('UA-normalized'!$D:$D, MATCH($A190, 'UA-normalized'!$A:$A, 0))-INDEX('UA-normalized'!$E:$E, MATCH($A190, 'UA-normalized'!$A:$A, 0))), 0), 0))+(IFERROR(IF(13*INDEX('KZ-normalized'!$D:$D, MATCH($A190, 'KZ-normalized'!$A:$A, 0))-INDEX('KZ-normalized'!$E:$E, MATCH($A190, 'KZ-normalized'!$A:$A, 0))&gt;0, -(13*INDEX('KZ-normalized'!$D:$D, MATCH($A190, 'KZ-normalized'!$A:$A, 0))-INDEX('KZ-normalized'!$E:$E, MATCH($A190, 'KZ-normalized'!$A:$A, 0))), 0), 0))+(IFERROR(IF(13*INDEX('UZ-normalized'!$D:$D, MATCH($A190, 'UZ-normalized'!$A:$A, 0))-INDEX('UZ-normalized'!$E:$E, MATCH($A190, 'UZ-normalized'!$A:$A, 0))&gt;0, -(13*INDEX('UZ-normalized'!$D:$D, MATCH($A190, 'UZ-normalized'!$A:$A, 0))-INDEX('UZ-normalized'!$E:$E, MATCH($A190, 'UZ-normalized'!$A:$A, 0))), 0), 0)))</f>
        <v>0</v>
      </c>
      <c r="AB190" s="6">
        <f>MIN(0, N190+(IFERROR(IF(14*INDEX('UA-normalized'!$D:$D, MATCH($A190, 'UA-normalized'!$A:$A, 0))-INDEX('UA-normalized'!$E:$E, MATCH($A190, 'UA-normalized'!$A:$A, 0))&gt;0, -(14*INDEX('UA-normalized'!$D:$D, MATCH($A190, 'UA-normalized'!$A:$A, 0))-INDEX('UA-normalized'!$E:$E, MATCH($A190, 'UA-normalized'!$A:$A, 0))), 0), 0))+(IFERROR(IF(14*INDEX('KZ-normalized'!$D:$D, MATCH($A190, 'KZ-normalized'!$A:$A, 0))-INDEX('KZ-normalized'!$E:$E, MATCH($A190, 'KZ-normalized'!$A:$A, 0))&gt;0, -(14*INDEX('KZ-normalized'!$D:$D, MATCH($A190, 'KZ-normalized'!$A:$A, 0))-INDEX('KZ-normalized'!$E:$E, MATCH($A190, 'KZ-normalized'!$A:$A, 0))), 0), 0))+(IFERROR(IF(14*INDEX('UZ-normalized'!$D:$D, MATCH($A190, 'UZ-normalized'!$A:$A, 0))-INDEX('UZ-normalized'!$E:$E, MATCH($A190, 'UZ-normalized'!$A:$A, 0))&gt;0, -(14*INDEX('UZ-normalized'!$D:$D, MATCH($A190, 'UZ-normalized'!$A:$A, 0))-INDEX('UZ-normalized'!$E:$E, MATCH($A190, 'UZ-normalized'!$A:$A, 0))), 0), 0)))</f>
        <v>0</v>
      </c>
      <c r="AC190" s="6">
        <f>MIN(0, N190+(IFERROR(IF(15*INDEX('UA-normalized'!$D:$D, MATCH($A190, 'UA-normalized'!$A:$A, 0))-INDEX('UA-normalized'!$E:$E, MATCH($A190, 'UA-normalized'!$A:$A, 0))&gt;0, -(15*INDEX('UA-normalized'!$D:$D, MATCH($A190, 'UA-normalized'!$A:$A, 0))-INDEX('UA-normalized'!$E:$E, MATCH($A190, 'UA-normalized'!$A:$A, 0))), 0), 0))+(IFERROR(IF(15*INDEX('KZ-normalized'!$D:$D, MATCH($A190, 'KZ-normalized'!$A:$A, 0))-INDEX('KZ-normalized'!$E:$E, MATCH($A190, 'KZ-normalized'!$A:$A, 0))&gt;0, -(15*INDEX('KZ-normalized'!$D:$D, MATCH($A190, 'KZ-normalized'!$A:$A, 0))-INDEX('KZ-normalized'!$E:$E, MATCH($A190, 'KZ-normalized'!$A:$A, 0))), 0), 0))+(IFERROR(IF(15*INDEX('UZ-normalized'!$D:$D, MATCH($A190, 'UZ-normalized'!$A:$A, 0))-INDEX('UZ-normalized'!$E:$E, MATCH($A190, 'UZ-normalized'!$A:$A, 0))&gt;0, -(15*INDEX('UZ-normalized'!$D:$D, MATCH($A190, 'UZ-normalized'!$A:$A, 0))-INDEX('UZ-normalized'!$E:$E, MATCH($A190, 'UZ-normalized'!$A:$A, 0))), 0), 0)))</f>
        <v>0</v>
      </c>
      <c r="AD190" s="6">
        <f>MIN(0, N190+(IFERROR(IF(16*INDEX('UA-normalized'!$D:$D, MATCH($A190, 'UA-normalized'!$A:$A, 0))-INDEX('UA-normalized'!$E:$E, MATCH($A190, 'UA-normalized'!$A:$A, 0))&gt;0, -(16*INDEX('UA-normalized'!$D:$D, MATCH($A190, 'UA-normalized'!$A:$A, 0))-INDEX('UA-normalized'!$E:$E, MATCH($A190, 'UA-normalized'!$A:$A, 0))), 0), 0))+(IFERROR(IF(16*INDEX('KZ-normalized'!$D:$D, MATCH($A190, 'KZ-normalized'!$A:$A, 0))-INDEX('KZ-normalized'!$E:$E, MATCH($A190, 'KZ-normalized'!$A:$A, 0))&gt;0, -(16*INDEX('KZ-normalized'!$D:$D, MATCH($A190, 'KZ-normalized'!$A:$A, 0))-INDEX('KZ-normalized'!$E:$E, MATCH($A190, 'KZ-normalized'!$A:$A, 0))), 0), 0))+(IFERROR(IF(16*INDEX('UZ-normalized'!$D:$D, MATCH($A190, 'UZ-normalized'!$A:$A, 0))-INDEX('UZ-normalized'!$E:$E, MATCH($A190, 'UZ-normalized'!$A:$A, 0))&gt;0, -(16*INDEX('UZ-normalized'!$D:$D, MATCH($A190, 'UZ-normalized'!$A:$A, 0))-INDEX('UZ-normalized'!$E:$E, MATCH($A190, 'UZ-normalized'!$A:$A, 0))), 0), 0)))</f>
        <v>0</v>
      </c>
      <c r="AE190" s="6">
        <f>MIN(0, N190+(IFERROR(IF(17*INDEX('UA-normalized'!$D:$D, MATCH($A190, 'UA-normalized'!$A:$A, 0))-INDEX('UA-normalized'!$E:$E, MATCH($A190, 'UA-normalized'!$A:$A, 0))&gt;0, -(17*INDEX('UA-normalized'!$D:$D, MATCH($A190, 'UA-normalized'!$A:$A, 0))-INDEX('UA-normalized'!$E:$E, MATCH($A190, 'UA-normalized'!$A:$A, 0))), 0), 0))+(IFERROR(IF(17*INDEX('KZ-normalized'!$D:$D, MATCH($A190, 'KZ-normalized'!$A:$A, 0))-INDEX('KZ-normalized'!$E:$E, MATCH($A190, 'KZ-normalized'!$A:$A, 0))&gt;0, -(17*INDEX('KZ-normalized'!$D:$D, MATCH($A190, 'KZ-normalized'!$A:$A, 0))-INDEX('KZ-normalized'!$E:$E, MATCH($A190, 'KZ-normalized'!$A:$A, 0))), 0), 0))+(IFERROR(IF(17*INDEX('UZ-normalized'!$D:$D, MATCH($A190, 'UZ-normalized'!$A:$A, 0))-INDEX('UZ-normalized'!$E:$E, MATCH($A190, 'UZ-normalized'!$A:$A, 0))&gt;0, -(17*INDEX('UZ-normalized'!$D:$D, MATCH($A190, 'UZ-normalized'!$A:$A, 0))-INDEX('UZ-normalized'!$E:$E, MATCH($A190, 'UZ-normalized'!$A:$A, 0))), 0), 0)))</f>
        <v>0</v>
      </c>
      <c r="AF190" s="6">
        <f>MIN(0, N190+(IFERROR(IF(18*INDEX('UA-normalized'!$D:$D, MATCH($A190, 'UA-normalized'!$A:$A, 0))-INDEX('UA-normalized'!$E:$E, MATCH($A190, 'UA-normalized'!$A:$A, 0))&gt;0, -(18*INDEX('UA-normalized'!$D:$D, MATCH($A190, 'UA-normalized'!$A:$A, 0))-INDEX('UA-normalized'!$E:$E, MATCH($A190, 'UA-normalized'!$A:$A, 0))), 0), 0))+(IFERROR(IF(18*INDEX('KZ-normalized'!$D:$D, MATCH($A190, 'KZ-normalized'!$A:$A, 0))-INDEX('KZ-normalized'!$E:$E, MATCH($A190, 'KZ-normalized'!$A:$A, 0))&gt;0, -(18*INDEX('KZ-normalized'!$D:$D, MATCH($A190, 'KZ-normalized'!$A:$A, 0))-INDEX('KZ-normalized'!$E:$E, MATCH($A190, 'KZ-normalized'!$A:$A, 0))), 0), 0))+(IFERROR(IF(18*INDEX('UZ-normalized'!$D:$D, MATCH($A190, 'UZ-normalized'!$A:$A, 0))-INDEX('UZ-normalized'!$E:$E, MATCH($A190, 'UZ-normalized'!$A:$A, 0))&gt;0, -(18*INDEX('UZ-normalized'!$D:$D, MATCH($A190, 'UZ-normalized'!$A:$A, 0))-INDEX('UZ-normalized'!$E:$E, MATCH($A190, 'UZ-normalized'!$A:$A, 0))), 0), 0)))</f>
        <v>0</v>
      </c>
      <c r="AG190" s="6">
        <f>MIN(0, N190+(IFERROR(IF(19*INDEX('UA-normalized'!$D:$D, MATCH($A190, 'UA-normalized'!$A:$A, 0))-INDEX('UA-normalized'!$E:$E, MATCH($A190, 'UA-normalized'!$A:$A, 0))&gt;0, -(19*INDEX('UA-normalized'!$D:$D, MATCH($A190, 'UA-normalized'!$A:$A, 0))-INDEX('UA-normalized'!$E:$E, MATCH($A190, 'UA-normalized'!$A:$A, 0))), 0), 0))+(IFERROR(IF(19*INDEX('KZ-normalized'!$D:$D, MATCH($A190, 'KZ-normalized'!$A:$A, 0))-INDEX('KZ-normalized'!$E:$E, MATCH($A190, 'KZ-normalized'!$A:$A, 0))&gt;0, -(19*INDEX('KZ-normalized'!$D:$D, MATCH($A190, 'KZ-normalized'!$A:$A, 0))-INDEX('KZ-normalized'!$E:$E, MATCH($A190, 'KZ-normalized'!$A:$A, 0))), 0), 0))+(IFERROR(IF(19*INDEX('UZ-normalized'!$D:$D, MATCH($A190, 'UZ-normalized'!$A:$A, 0))-INDEX('UZ-normalized'!$E:$E, MATCH($A190, 'UZ-normalized'!$A:$A, 0))&gt;0, -(19*INDEX('UZ-normalized'!$D:$D, MATCH($A190, 'UZ-normalized'!$A:$A, 0))-INDEX('UZ-normalized'!$E:$E, MATCH($A190, 'UZ-normalized'!$A:$A, 0))), 0), 0)))</f>
        <v>0</v>
      </c>
      <c r="AH190" s="6">
        <f>MIN(0, N190+(IFERROR(IF(20*INDEX('UA-normalized'!$D:$D, MATCH($A190, 'UA-normalized'!$A:$A, 0))-INDEX('UA-normalized'!$E:$E, MATCH($A190, 'UA-normalized'!$A:$A, 0))&gt;0, -(20*INDEX('UA-normalized'!$D:$D, MATCH($A190, 'UA-normalized'!$A:$A, 0))-INDEX('UA-normalized'!$E:$E, MATCH($A190, 'UA-normalized'!$A:$A, 0))), 0), 0))+(IFERROR(IF(20*INDEX('KZ-normalized'!$D:$D, MATCH($A190, 'KZ-normalized'!$A:$A, 0))-INDEX('KZ-normalized'!$E:$E, MATCH($A190, 'KZ-normalized'!$A:$A, 0))&gt;0, -(20*INDEX('KZ-normalized'!$D:$D, MATCH($A190, 'KZ-normalized'!$A:$A, 0))-INDEX('KZ-normalized'!$E:$E, MATCH($A190, 'KZ-normalized'!$A:$A, 0))), 0), 0))+(IFERROR(IF(20*INDEX('UZ-normalized'!$D:$D, MATCH($A190, 'UZ-normalized'!$A:$A, 0))-INDEX('UZ-normalized'!$E:$E, MATCH($A190, 'UZ-normalized'!$A:$A, 0))&gt;0, -(20*INDEX('UZ-normalized'!$D:$D, MATCH($A190, 'UZ-normalized'!$A:$A, 0))-INDEX('UZ-normalized'!$E:$E, MATCH($A190, 'UZ-normalized'!$A:$A, 0))), 0), 0)))</f>
        <v>0</v>
      </c>
      <c r="AI190" s="6">
        <f>MIN(0, N190+(IFERROR(IF(21*INDEX('UA-normalized'!$D:$D, MATCH($A190, 'UA-normalized'!$A:$A, 0))-INDEX('UA-normalized'!$E:$E, MATCH($A190, 'UA-normalized'!$A:$A, 0))&gt;0, -(21*INDEX('UA-normalized'!$D:$D, MATCH($A190, 'UA-normalized'!$A:$A, 0))-INDEX('UA-normalized'!$E:$E, MATCH($A190, 'UA-normalized'!$A:$A, 0))), 0), 0))+(IFERROR(IF(21*INDEX('KZ-normalized'!$D:$D, MATCH($A190, 'KZ-normalized'!$A:$A, 0))-INDEX('KZ-normalized'!$E:$E, MATCH($A190, 'KZ-normalized'!$A:$A, 0))&gt;0, -(21*INDEX('KZ-normalized'!$D:$D, MATCH($A190, 'KZ-normalized'!$A:$A, 0))-INDEX('KZ-normalized'!$E:$E, MATCH($A190, 'KZ-normalized'!$A:$A, 0))), 0), 0))+(IFERROR(IF(21*INDEX('UZ-normalized'!$D:$D, MATCH($A190, 'UZ-normalized'!$A:$A, 0))-INDEX('UZ-normalized'!$E:$E, MATCH($A190, 'UZ-normalized'!$A:$A, 0))&gt;0, -(21*INDEX('UZ-normalized'!$D:$D, MATCH($A190, 'UZ-normalized'!$A:$A, 0))-INDEX('UZ-normalized'!$E:$E, MATCH($A190, 'UZ-normalized'!$A:$A, 0))), 0), 0)))</f>
        <v>0</v>
      </c>
      <c r="AJ190" s="6">
        <f>MIN(0, N190+(IFERROR(IF(22*INDEX('UA-normalized'!$D:$D, MATCH($A190, 'UA-normalized'!$A:$A, 0))-INDEX('UA-normalized'!$E:$E, MATCH($A190, 'UA-normalized'!$A:$A, 0))&gt;0, -(22*INDEX('UA-normalized'!$D:$D, MATCH($A190, 'UA-normalized'!$A:$A, 0))-INDEX('UA-normalized'!$E:$E, MATCH($A190, 'UA-normalized'!$A:$A, 0))), 0), 0))+(IFERROR(IF(22*INDEX('KZ-normalized'!$D:$D, MATCH($A190, 'KZ-normalized'!$A:$A, 0))-INDEX('KZ-normalized'!$E:$E, MATCH($A190, 'KZ-normalized'!$A:$A, 0))&gt;0, -(22*INDEX('KZ-normalized'!$D:$D, MATCH($A190, 'KZ-normalized'!$A:$A, 0))-INDEX('KZ-normalized'!$E:$E, MATCH($A190, 'KZ-normalized'!$A:$A, 0))), 0), 0))+(IFERROR(IF(22*INDEX('UZ-normalized'!$D:$D, MATCH($A190, 'UZ-normalized'!$A:$A, 0))-INDEX('UZ-normalized'!$E:$E, MATCH($A190, 'UZ-normalized'!$A:$A, 0))&gt;0, -(22*INDEX('UZ-normalized'!$D:$D, MATCH($A190, 'UZ-normalized'!$A:$A, 0))-INDEX('UZ-normalized'!$E:$E, MATCH($A190, 'UZ-normalized'!$A:$A, 0))), 0), 0)))</f>
        <v>0</v>
      </c>
      <c r="AK190" s="6">
        <f>MIN(0, N190+(IFERROR(IF(23*INDEX('UA-normalized'!$D:$D, MATCH($A190, 'UA-normalized'!$A:$A, 0))-INDEX('UA-normalized'!$E:$E, MATCH($A190, 'UA-normalized'!$A:$A, 0))&gt;0, -(23*INDEX('UA-normalized'!$D:$D, MATCH($A190, 'UA-normalized'!$A:$A, 0))-INDEX('UA-normalized'!$E:$E, MATCH($A190, 'UA-normalized'!$A:$A, 0))), 0), 0))+(IFERROR(IF(23*INDEX('KZ-normalized'!$D:$D, MATCH($A190, 'KZ-normalized'!$A:$A, 0))-INDEX('KZ-normalized'!$E:$E, MATCH($A190, 'KZ-normalized'!$A:$A, 0))&gt;0, -(23*INDEX('KZ-normalized'!$D:$D, MATCH($A190, 'KZ-normalized'!$A:$A, 0))-INDEX('KZ-normalized'!$E:$E, MATCH($A190, 'KZ-normalized'!$A:$A, 0))), 0), 0))+(IFERROR(IF(23*INDEX('UZ-normalized'!$D:$D, MATCH($A190, 'UZ-normalized'!$A:$A, 0))-INDEX('UZ-normalized'!$E:$E, MATCH($A190, 'UZ-normalized'!$A:$A, 0))&gt;0, -(23*INDEX('UZ-normalized'!$D:$D, MATCH($A190, 'UZ-normalized'!$A:$A, 0))-INDEX('UZ-normalized'!$E:$E, MATCH($A190, 'UZ-normalized'!$A:$A, 0))), 0), 0)))</f>
        <v>0</v>
      </c>
      <c r="AL190" s="6">
        <f>MIN(0, N190+(IFERROR(IF(24*INDEX('UA-normalized'!$D:$D, MATCH($A190, 'UA-normalized'!$A:$A, 0))-INDEX('UA-normalized'!$E:$E, MATCH($A190, 'UA-normalized'!$A:$A, 0))&gt;0, -(24*INDEX('UA-normalized'!$D:$D, MATCH($A190, 'UA-normalized'!$A:$A, 0))-INDEX('UA-normalized'!$E:$E, MATCH($A190, 'UA-normalized'!$A:$A, 0))), 0), 0))+(IFERROR(IF(24*INDEX('KZ-normalized'!$D:$D, MATCH($A190, 'KZ-normalized'!$A:$A, 0))-INDEX('KZ-normalized'!$E:$E, MATCH($A190, 'KZ-normalized'!$A:$A, 0))&gt;0, -(24*INDEX('KZ-normalized'!$D:$D, MATCH($A190, 'KZ-normalized'!$A:$A, 0))-INDEX('KZ-normalized'!$E:$E, MATCH($A190, 'KZ-normalized'!$A:$A, 0))), 0), 0))+(IFERROR(IF(24*INDEX('UZ-normalized'!$D:$D, MATCH($A190, 'UZ-normalized'!$A:$A, 0))-INDEX('UZ-normalized'!$E:$E, MATCH($A190, 'UZ-normalized'!$A:$A, 0))&gt;0, -(24*INDEX('UZ-normalized'!$D:$D, MATCH($A190, 'UZ-normalized'!$A:$A, 0))-INDEX('UZ-normalized'!$E:$E, MATCH($A190, 'UZ-normalized'!$A:$A, 0))), 0), 0)))</f>
        <v>0</v>
      </c>
      <c r="AM190" s="6">
        <f>MIN(0, N190+(IFERROR(IF(25*INDEX('UA-normalized'!$D:$D, MATCH($A190, 'UA-normalized'!$A:$A, 0))-INDEX('UA-normalized'!$E:$E, MATCH($A190, 'UA-normalized'!$A:$A, 0))&gt;0, -(25*INDEX('UA-normalized'!$D:$D, MATCH($A190, 'UA-normalized'!$A:$A, 0))-INDEX('UA-normalized'!$E:$E, MATCH($A190, 'UA-normalized'!$A:$A, 0))), 0), 0))+(IFERROR(IF(25*INDEX('KZ-normalized'!$D:$D, MATCH($A190, 'KZ-normalized'!$A:$A, 0))-INDEX('KZ-normalized'!$E:$E, MATCH($A190, 'KZ-normalized'!$A:$A, 0))&gt;0, -(25*INDEX('KZ-normalized'!$D:$D, MATCH($A190, 'KZ-normalized'!$A:$A, 0))-INDEX('KZ-normalized'!$E:$E, MATCH($A190, 'KZ-normalized'!$A:$A, 0))), 0), 0))+(IFERROR(IF(25*INDEX('UZ-normalized'!$D:$D, MATCH($A190, 'UZ-normalized'!$A:$A, 0))-INDEX('UZ-normalized'!$E:$E, MATCH($A190, 'UZ-normalized'!$A:$A, 0))&gt;0, -(25*INDEX('UZ-normalized'!$D:$D, MATCH($A190, 'UZ-normalized'!$A:$A, 0))-INDEX('UZ-normalized'!$E:$E, MATCH($A190, 'UZ-normalized'!$A:$A, 0))), 0), 0)))</f>
        <v>0</v>
      </c>
      <c r="AN190" s="6">
        <f>MIN(0, N190+(IFERROR(IF(26*INDEX('UA-normalized'!$D:$D, MATCH($A190, 'UA-normalized'!$A:$A, 0))-INDEX('UA-normalized'!$E:$E, MATCH($A190, 'UA-normalized'!$A:$A, 0))&gt;0, -(26*INDEX('UA-normalized'!$D:$D, MATCH($A190, 'UA-normalized'!$A:$A, 0))-INDEX('UA-normalized'!$E:$E, MATCH($A190, 'UA-normalized'!$A:$A, 0))), 0), 0))+(IFERROR(IF(26*INDEX('KZ-normalized'!$D:$D, MATCH($A190, 'KZ-normalized'!$A:$A, 0))-INDEX('KZ-normalized'!$E:$E, MATCH($A190, 'KZ-normalized'!$A:$A, 0))&gt;0, -(26*INDEX('KZ-normalized'!$D:$D, MATCH($A190, 'KZ-normalized'!$A:$A, 0))-INDEX('KZ-normalized'!$E:$E, MATCH($A190, 'KZ-normalized'!$A:$A, 0))), 0), 0))+(IFERROR(IF(26*INDEX('UZ-normalized'!$D:$D, MATCH($A190, 'UZ-normalized'!$A:$A, 0))-INDEX('UZ-normalized'!$E:$E, MATCH($A190, 'UZ-normalized'!$A:$A, 0))&gt;0, -(26*INDEX('UZ-normalized'!$D:$D, MATCH($A190, 'UZ-normalized'!$A:$A, 0))-INDEX('UZ-normalized'!$E:$E, MATCH($A190, 'UZ-normalized'!$A:$A, 0))), 0), 0)))</f>
        <v>0</v>
      </c>
      <c r="AO190" s="6">
        <f>MIN(0, N190+(IFERROR(IF(27*INDEX('UA-normalized'!$D:$D, MATCH($A190, 'UA-normalized'!$A:$A, 0))-INDEX('UA-normalized'!$E:$E, MATCH($A190, 'UA-normalized'!$A:$A, 0))&gt;0, -(27*INDEX('UA-normalized'!$D:$D, MATCH($A190, 'UA-normalized'!$A:$A, 0))-INDEX('UA-normalized'!$E:$E, MATCH($A190, 'UA-normalized'!$A:$A, 0))), 0), 0))+(IFERROR(IF(27*INDEX('KZ-normalized'!$D:$D, MATCH($A190, 'KZ-normalized'!$A:$A, 0))-INDEX('KZ-normalized'!$E:$E, MATCH($A190, 'KZ-normalized'!$A:$A, 0))&gt;0, -(27*INDEX('KZ-normalized'!$D:$D, MATCH($A190, 'KZ-normalized'!$A:$A, 0))-INDEX('KZ-normalized'!$E:$E, MATCH($A190, 'KZ-normalized'!$A:$A, 0))), 0), 0))+(IFERROR(IF(27*INDEX('UZ-normalized'!$D:$D, MATCH($A190, 'UZ-normalized'!$A:$A, 0))-INDEX('UZ-normalized'!$E:$E, MATCH($A190, 'UZ-normalized'!$A:$A, 0))&gt;0, -(27*INDEX('UZ-normalized'!$D:$D, MATCH($A190, 'UZ-normalized'!$A:$A, 0))-INDEX('UZ-normalized'!$E:$E, MATCH($A190, 'UZ-normalized'!$A:$A, 0))), 0), 0)))</f>
        <v>0</v>
      </c>
      <c r="AP190" s="6">
        <f>MIN(0, N190+(IFERROR(IF(28*INDEX('UA-normalized'!$D:$D, MATCH($A190, 'UA-normalized'!$A:$A, 0))-INDEX('UA-normalized'!$E:$E, MATCH($A190, 'UA-normalized'!$A:$A, 0))&gt;0, -(28*INDEX('UA-normalized'!$D:$D, MATCH($A190, 'UA-normalized'!$A:$A, 0))-INDEX('UA-normalized'!$E:$E, MATCH($A190, 'UA-normalized'!$A:$A, 0))), 0), 0))+(IFERROR(IF(28*INDEX('KZ-normalized'!$D:$D, MATCH($A190, 'KZ-normalized'!$A:$A, 0))-INDEX('KZ-normalized'!$E:$E, MATCH($A190, 'KZ-normalized'!$A:$A, 0))&gt;0, -(28*INDEX('KZ-normalized'!$D:$D, MATCH($A190, 'KZ-normalized'!$A:$A, 0))-INDEX('KZ-normalized'!$E:$E, MATCH($A190, 'KZ-normalized'!$A:$A, 0))), 0), 0))+(IFERROR(IF(28*INDEX('UZ-normalized'!$D:$D, MATCH($A190, 'UZ-normalized'!$A:$A, 0))-INDEX('UZ-normalized'!$E:$E, MATCH($A190, 'UZ-normalized'!$A:$A, 0))&gt;0, -(28*INDEX('UZ-normalized'!$D:$D, MATCH($A190, 'UZ-normalized'!$A:$A, 0))-INDEX('UZ-normalized'!$E:$E, MATCH($A190, 'UZ-normalized'!$A:$A, 0))), 0), 0)))</f>
        <v>0</v>
      </c>
      <c r="AQ190" s="6">
        <f>MIN(0, N190+(IFERROR(IF(29*INDEX('UA-normalized'!$D:$D, MATCH($A190, 'UA-normalized'!$A:$A, 0))-INDEX('UA-normalized'!$E:$E, MATCH($A190, 'UA-normalized'!$A:$A, 0))&gt;0, -(29*INDEX('UA-normalized'!$D:$D, MATCH($A190, 'UA-normalized'!$A:$A, 0))-INDEX('UA-normalized'!$E:$E, MATCH($A190, 'UA-normalized'!$A:$A, 0))), 0), 0))+(IFERROR(IF(29*INDEX('KZ-normalized'!$D:$D, MATCH($A190, 'KZ-normalized'!$A:$A, 0))-INDEX('KZ-normalized'!$E:$E, MATCH($A190, 'KZ-normalized'!$A:$A, 0))&gt;0, -(29*INDEX('KZ-normalized'!$D:$D, MATCH($A190, 'KZ-normalized'!$A:$A, 0))-INDEX('KZ-normalized'!$E:$E, MATCH($A190, 'KZ-normalized'!$A:$A, 0))), 0), 0))+(IFERROR(IF(29*INDEX('UZ-normalized'!$D:$D, MATCH($A190, 'UZ-normalized'!$A:$A, 0))-INDEX('UZ-normalized'!$E:$E, MATCH($A190, 'UZ-normalized'!$A:$A, 0))&gt;0, -(29*INDEX('UZ-normalized'!$D:$D, MATCH($A190, 'UZ-normalized'!$A:$A, 0))-INDEX('UZ-normalized'!$E:$E, MATCH($A190, 'UZ-normalized'!$A:$A, 0))), 0), 0)))</f>
        <v>0</v>
      </c>
      <c r="AR190" s="6">
        <f>MIN(0, N190+(IFERROR(IF(30*INDEX('UA-normalized'!$D:$D, MATCH($A190, 'UA-normalized'!$A:$A, 0))-INDEX('UA-normalized'!$E:$E, MATCH($A190, 'UA-normalized'!$A:$A, 0))&gt;0, -(30*INDEX('UA-normalized'!$D:$D, MATCH($A190, 'UA-normalized'!$A:$A, 0))-INDEX('UA-normalized'!$E:$E, MATCH($A190, 'UA-normalized'!$A:$A, 0))), 0), 0))+(IFERROR(IF(30*INDEX('KZ-normalized'!$D:$D, MATCH($A190, 'KZ-normalized'!$A:$A, 0))-INDEX('KZ-normalized'!$E:$E, MATCH($A190, 'KZ-normalized'!$A:$A, 0))&gt;0, -(30*INDEX('KZ-normalized'!$D:$D, MATCH($A190, 'KZ-normalized'!$A:$A, 0))-INDEX('KZ-normalized'!$E:$E, MATCH($A190, 'KZ-normalized'!$A:$A, 0))), 0), 0))+(IFERROR(IF(30*INDEX('UZ-normalized'!$D:$D, MATCH($A190, 'UZ-normalized'!$A:$A, 0))-INDEX('UZ-normalized'!$E:$E, MATCH($A190, 'UZ-normalized'!$A:$A, 0))&gt;0, -(30*INDEX('UZ-normalized'!$D:$D, MATCH($A190, 'UZ-normalized'!$A:$A, 0))-INDEX('UZ-normalized'!$E:$E, MATCH($A190, 'UZ-normalized'!$A:$A, 0))), 0), 0)))</f>
        <v>0</v>
      </c>
    </row>
    <row r="191" spans="1:44" x14ac:dyDescent="0.25">
      <c r="A191" s="8" t="s">
        <v>457</v>
      </c>
      <c r="B191" s="8" t="s">
        <v>442</v>
      </c>
      <c r="C191" s="8" t="s">
        <v>443</v>
      </c>
      <c r="D191" s="8" t="s">
        <v>458</v>
      </c>
      <c r="N191">
        <f t="shared" si="2"/>
        <v>0</v>
      </c>
      <c r="O191" s="6">
        <f>MIN(0, N191+(IFERROR(IF(1*INDEX('UA-normalized'!$D:$D, MATCH($A191, 'UA-normalized'!$A:$A, 0))-INDEX('UA-normalized'!$E:$E, MATCH($A191, 'UA-normalized'!$A:$A, 0))&gt;0, -(1*INDEX('UA-normalized'!$D:$D, MATCH($A191, 'UA-normalized'!$A:$A, 0))-INDEX('UA-normalized'!$E:$E, MATCH($A191, 'UA-normalized'!$A:$A, 0))), 0), 0))+(IFERROR(IF(1*INDEX('KZ-normalized'!$D:$D, MATCH($A191, 'KZ-normalized'!$A:$A, 0))-INDEX('KZ-normalized'!$E:$E, MATCH($A191, 'KZ-normalized'!$A:$A, 0))&gt;0, -(1*INDEX('KZ-normalized'!$D:$D, MATCH($A191, 'KZ-normalized'!$A:$A, 0))-INDEX('KZ-normalized'!$E:$E, MATCH($A191, 'KZ-normalized'!$A:$A, 0))), 0), 0))+(IFERROR(IF(1*INDEX('UZ-normalized'!$D:$D, MATCH($A191, 'UZ-normalized'!$A:$A, 0))-INDEX('UZ-normalized'!$E:$E, MATCH($A191, 'UZ-normalized'!$A:$A, 0))&gt;0, -(1*INDEX('UZ-normalized'!$D:$D, MATCH($A191, 'UZ-normalized'!$A:$A, 0))-INDEX('UZ-normalized'!$E:$E, MATCH($A191, 'UZ-normalized'!$A:$A, 0))), 0), 0)))</f>
        <v>0</v>
      </c>
      <c r="P191" s="6">
        <f>MIN(0, N191+(IFERROR(IF(2*INDEX('UA-normalized'!$D:$D, MATCH($A191, 'UA-normalized'!$A:$A, 0))-INDEX('UA-normalized'!$E:$E, MATCH($A191, 'UA-normalized'!$A:$A, 0))&gt;0, -(2*INDEX('UA-normalized'!$D:$D, MATCH($A191, 'UA-normalized'!$A:$A, 0))-INDEX('UA-normalized'!$E:$E, MATCH($A191, 'UA-normalized'!$A:$A, 0))), 0), 0))+(IFERROR(IF(2*INDEX('KZ-normalized'!$D:$D, MATCH($A191, 'KZ-normalized'!$A:$A, 0))-INDEX('KZ-normalized'!$E:$E, MATCH($A191, 'KZ-normalized'!$A:$A, 0))&gt;0, -(2*INDEX('KZ-normalized'!$D:$D, MATCH($A191, 'KZ-normalized'!$A:$A, 0))-INDEX('KZ-normalized'!$E:$E, MATCH($A191, 'KZ-normalized'!$A:$A, 0))), 0), 0))+(IFERROR(IF(2*INDEX('UZ-normalized'!$D:$D, MATCH($A191, 'UZ-normalized'!$A:$A, 0))-INDEX('UZ-normalized'!$E:$E, MATCH($A191, 'UZ-normalized'!$A:$A, 0))&gt;0, -(2*INDEX('UZ-normalized'!$D:$D, MATCH($A191, 'UZ-normalized'!$A:$A, 0))-INDEX('UZ-normalized'!$E:$E, MATCH($A191, 'UZ-normalized'!$A:$A, 0))), 0), 0)))</f>
        <v>0</v>
      </c>
      <c r="Q191" s="6">
        <f>MIN(0, N191+(IFERROR(IF(3*INDEX('UA-normalized'!$D:$D, MATCH($A191, 'UA-normalized'!$A:$A, 0))-INDEX('UA-normalized'!$E:$E, MATCH($A191, 'UA-normalized'!$A:$A, 0))&gt;0, -(3*INDEX('UA-normalized'!$D:$D, MATCH($A191, 'UA-normalized'!$A:$A, 0))-INDEX('UA-normalized'!$E:$E, MATCH($A191, 'UA-normalized'!$A:$A, 0))), 0), 0))+(IFERROR(IF(3*INDEX('KZ-normalized'!$D:$D, MATCH($A191, 'KZ-normalized'!$A:$A, 0))-INDEX('KZ-normalized'!$E:$E, MATCH($A191, 'KZ-normalized'!$A:$A, 0))&gt;0, -(3*INDEX('KZ-normalized'!$D:$D, MATCH($A191, 'KZ-normalized'!$A:$A, 0))-INDEX('KZ-normalized'!$E:$E, MATCH($A191, 'KZ-normalized'!$A:$A, 0))), 0), 0))+(IFERROR(IF(3*INDEX('UZ-normalized'!$D:$D, MATCH($A191, 'UZ-normalized'!$A:$A, 0))-INDEX('UZ-normalized'!$E:$E, MATCH($A191, 'UZ-normalized'!$A:$A, 0))&gt;0, -(3*INDEX('UZ-normalized'!$D:$D, MATCH($A191, 'UZ-normalized'!$A:$A, 0))-INDEX('UZ-normalized'!$E:$E, MATCH($A191, 'UZ-normalized'!$A:$A, 0))), 0), 0)))</f>
        <v>0</v>
      </c>
      <c r="R191" s="6">
        <f>MIN(0, N191+(IFERROR(IF(4*INDEX('UA-normalized'!$D:$D, MATCH($A191, 'UA-normalized'!$A:$A, 0))-INDEX('UA-normalized'!$E:$E, MATCH($A191, 'UA-normalized'!$A:$A, 0))&gt;0, -(4*INDEX('UA-normalized'!$D:$D, MATCH($A191, 'UA-normalized'!$A:$A, 0))-INDEX('UA-normalized'!$E:$E, MATCH($A191, 'UA-normalized'!$A:$A, 0))), 0), 0))+(IFERROR(IF(4*INDEX('KZ-normalized'!$D:$D, MATCH($A191, 'KZ-normalized'!$A:$A, 0))-INDEX('KZ-normalized'!$E:$E, MATCH($A191, 'KZ-normalized'!$A:$A, 0))&gt;0, -(4*INDEX('KZ-normalized'!$D:$D, MATCH($A191, 'KZ-normalized'!$A:$A, 0))-INDEX('KZ-normalized'!$E:$E, MATCH($A191, 'KZ-normalized'!$A:$A, 0))), 0), 0))+(IFERROR(IF(4*INDEX('UZ-normalized'!$D:$D, MATCH($A191, 'UZ-normalized'!$A:$A, 0))-INDEX('UZ-normalized'!$E:$E, MATCH($A191, 'UZ-normalized'!$A:$A, 0))&gt;0, -(4*INDEX('UZ-normalized'!$D:$D, MATCH($A191, 'UZ-normalized'!$A:$A, 0))-INDEX('UZ-normalized'!$E:$E, MATCH($A191, 'UZ-normalized'!$A:$A, 0))), 0), 0)))</f>
        <v>0</v>
      </c>
      <c r="S191" s="6">
        <f>MIN(0, N191+(IFERROR(IF(5*INDEX('UA-normalized'!$D:$D, MATCH($A191, 'UA-normalized'!$A:$A, 0))-INDEX('UA-normalized'!$E:$E, MATCH($A191, 'UA-normalized'!$A:$A, 0))&gt;0, -(5*INDEX('UA-normalized'!$D:$D, MATCH($A191, 'UA-normalized'!$A:$A, 0))-INDEX('UA-normalized'!$E:$E, MATCH($A191, 'UA-normalized'!$A:$A, 0))), 0), 0))+(IFERROR(IF(5*INDEX('KZ-normalized'!$D:$D, MATCH($A191, 'KZ-normalized'!$A:$A, 0))-INDEX('KZ-normalized'!$E:$E, MATCH($A191, 'KZ-normalized'!$A:$A, 0))&gt;0, -(5*INDEX('KZ-normalized'!$D:$D, MATCH($A191, 'KZ-normalized'!$A:$A, 0))-INDEX('KZ-normalized'!$E:$E, MATCH($A191, 'KZ-normalized'!$A:$A, 0))), 0), 0))+(IFERROR(IF(5*INDEX('UZ-normalized'!$D:$D, MATCH($A191, 'UZ-normalized'!$A:$A, 0))-INDEX('UZ-normalized'!$E:$E, MATCH($A191, 'UZ-normalized'!$A:$A, 0))&gt;0, -(5*INDEX('UZ-normalized'!$D:$D, MATCH($A191, 'UZ-normalized'!$A:$A, 0))-INDEX('UZ-normalized'!$E:$E, MATCH($A191, 'UZ-normalized'!$A:$A, 0))), 0), 0)))</f>
        <v>0</v>
      </c>
      <c r="T191" s="6">
        <f>MIN(0, N191+(IFERROR(IF(6*INDEX('UA-normalized'!$D:$D, MATCH($A191, 'UA-normalized'!$A:$A, 0))-INDEX('UA-normalized'!$E:$E, MATCH($A191, 'UA-normalized'!$A:$A, 0))&gt;0, -(6*INDEX('UA-normalized'!$D:$D, MATCH($A191, 'UA-normalized'!$A:$A, 0))-INDEX('UA-normalized'!$E:$E, MATCH($A191, 'UA-normalized'!$A:$A, 0))), 0), 0))+(IFERROR(IF(6*INDEX('KZ-normalized'!$D:$D, MATCH($A191, 'KZ-normalized'!$A:$A, 0))-INDEX('KZ-normalized'!$E:$E, MATCH($A191, 'KZ-normalized'!$A:$A, 0))&gt;0, -(6*INDEX('KZ-normalized'!$D:$D, MATCH($A191, 'KZ-normalized'!$A:$A, 0))-INDEX('KZ-normalized'!$E:$E, MATCH($A191, 'KZ-normalized'!$A:$A, 0))), 0), 0))+(IFERROR(IF(6*INDEX('UZ-normalized'!$D:$D, MATCH($A191, 'UZ-normalized'!$A:$A, 0))-INDEX('UZ-normalized'!$E:$E, MATCH($A191, 'UZ-normalized'!$A:$A, 0))&gt;0, -(6*INDEX('UZ-normalized'!$D:$D, MATCH($A191, 'UZ-normalized'!$A:$A, 0))-INDEX('UZ-normalized'!$E:$E, MATCH($A191, 'UZ-normalized'!$A:$A, 0))), 0), 0)))</f>
        <v>0</v>
      </c>
      <c r="U191" s="6">
        <f>MIN(0, N191+(IFERROR(IF(7*INDEX('UA-normalized'!$D:$D, MATCH($A191, 'UA-normalized'!$A:$A, 0))-INDEX('UA-normalized'!$E:$E, MATCH($A191, 'UA-normalized'!$A:$A, 0))&gt;0, -(7*INDEX('UA-normalized'!$D:$D, MATCH($A191, 'UA-normalized'!$A:$A, 0))-INDEX('UA-normalized'!$E:$E, MATCH($A191, 'UA-normalized'!$A:$A, 0))), 0), 0))+(IFERROR(IF(7*INDEX('KZ-normalized'!$D:$D, MATCH($A191, 'KZ-normalized'!$A:$A, 0))-INDEX('KZ-normalized'!$E:$E, MATCH($A191, 'KZ-normalized'!$A:$A, 0))&gt;0, -(7*INDEX('KZ-normalized'!$D:$D, MATCH($A191, 'KZ-normalized'!$A:$A, 0))-INDEX('KZ-normalized'!$E:$E, MATCH($A191, 'KZ-normalized'!$A:$A, 0))), 0), 0))+(IFERROR(IF(7*INDEX('UZ-normalized'!$D:$D, MATCH($A191, 'UZ-normalized'!$A:$A, 0))-INDEX('UZ-normalized'!$E:$E, MATCH($A191, 'UZ-normalized'!$A:$A, 0))&gt;0, -(7*INDEX('UZ-normalized'!$D:$D, MATCH($A191, 'UZ-normalized'!$A:$A, 0))-INDEX('UZ-normalized'!$E:$E, MATCH($A191, 'UZ-normalized'!$A:$A, 0))), 0), 0)))</f>
        <v>0</v>
      </c>
      <c r="V191" s="6">
        <f>MIN(0, N191+(IFERROR(IF(8*INDEX('UA-normalized'!$D:$D, MATCH($A191, 'UA-normalized'!$A:$A, 0))-INDEX('UA-normalized'!$E:$E, MATCH($A191, 'UA-normalized'!$A:$A, 0))&gt;0, -(8*INDEX('UA-normalized'!$D:$D, MATCH($A191, 'UA-normalized'!$A:$A, 0))-INDEX('UA-normalized'!$E:$E, MATCH($A191, 'UA-normalized'!$A:$A, 0))), 0), 0))+(IFERROR(IF(8*INDEX('KZ-normalized'!$D:$D, MATCH($A191, 'KZ-normalized'!$A:$A, 0))-INDEX('KZ-normalized'!$E:$E, MATCH($A191, 'KZ-normalized'!$A:$A, 0))&gt;0, -(8*INDEX('KZ-normalized'!$D:$D, MATCH($A191, 'KZ-normalized'!$A:$A, 0))-INDEX('KZ-normalized'!$E:$E, MATCH($A191, 'KZ-normalized'!$A:$A, 0))), 0), 0))+(IFERROR(IF(8*INDEX('UZ-normalized'!$D:$D, MATCH($A191, 'UZ-normalized'!$A:$A, 0))-INDEX('UZ-normalized'!$E:$E, MATCH($A191, 'UZ-normalized'!$A:$A, 0))&gt;0, -(8*INDEX('UZ-normalized'!$D:$D, MATCH($A191, 'UZ-normalized'!$A:$A, 0))-INDEX('UZ-normalized'!$E:$E, MATCH($A191, 'UZ-normalized'!$A:$A, 0))), 0), 0)))</f>
        <v>0</v>
      </c>
      <c r="W191" s="6">
        <f>MIN(0, N191+(IFERROR(IF(9*INDEX('UA-normalized'!$D:$D, MATCH($A191, 'UA-normalized'!$A:$A, 0))-INDEX('UA-normalized'!$E:$E, MATCH($A191, 'UA-normalized'!$A:$A, 0))&gt;0, -(9*INDEX('UA-normalized'!$D:$D, MATCH($A191, 'UA-normalized'!$A:$A, 0))-INDEX('UA-normalized'!$E:$E, MATCH($A191, 'UA-normalized'!$A:$A, 0))), 0), 0))+(IFERROR(IF(9*INDEX('KZ-normalized'!$D:$D, MATCH($A191, 'KZ-normalized'!$A:$A, 0))-INDEX('KZ-normalized'!$E:$E, MATCH($A191, 'KZ-normalized'!$A:$A, 0))&gt;0, -(9*INDEX('KZ-normalized'!$D:$D, MATCH($A191, 'KZ-normalized'!$A:$A, 0))-INDEX('KZ-normalized'!$E:$E, MATCH($A191, 'KZ-normalized'!$A:$A, 0))), 0), 0))+(IFERROR(IF(9*INDEX('UZ-normalized'!$D:$D, MATCH($A191, 'UZ-normalized'!$A:$A, 0))-INDEX('UZ-normalized'!$E:$E, MATCH($A191, 'UZ-normalized'!$A:$A, 0))&gt;0, -(9*INDEX('UZ-normalized'!$D:$D, MATCH($A191, 'UZ-normalized'!$A:$A, 0))-INDEX('UZ-normalized'!$E:$E, MATCH($A191, 'UZ-normalized'!$A:$A, 0))), 0), 0)))</f>
        <v>0</v>
      </c>
      <c r="X191" s="6">
        <f>MIN(0, N191+(IFERROR(IF(10*INDEX('UA-normalized'!$D:$D, MATCH($A191, 'UA-normalized'!$A:$A, 0))-INDEX('UA-normalized'!$E:$E, MATCH($A191, 'UA-normalized'!$A:$A, 0))&gt;0, -(10*INDEX('UA-normalized'!$D:$D, MATCH($A191, 'UA-normalized'!$A:$A, 0))-INDEX('UA-normalized'!$E:$E, MATCH($A191, 'UA-normalized'!$A:$A, 0))), 0), 0))+(IFERROR(IF(10*INDEX('KZ-normalized'!$D:$D, MATCH($A191, 'KZ-normalized'!$A:$A, 0))-INDEX('KZ-normalized'!$E:$E, MATCH($A191, 'KZ-normalized'!$A:$A, 0))&gt;0, -(10*INDEX('KZ-normalized'!$D:$D, MATCH($A191, 'KZ-normalized'!$A:$A, 0))-INDEX('KZ-normalized'!$E:$E, MATCH($A191, 'KZ-normalized'!$A:$A, 0))), 0), 0))+(IFERROR(IF(10*INDEX('UZ-normalized'!$D:$D, MATCH($A191, 'UZ-normalized'!$A:$A, 0))-INDEX('UZ-normalized'!$E:$E, MATCH($A191, 'UZ-normalized'!$A:$A, 0))&gt;0, -(10*INDEX('UZ-normalized'!$D:$D, MATCH($A191, 'UZ-normalized'!$A:$A, 0))-INDEX('UZ-normalized'!$E:$E, MATCH($A191, 'UZ-normalized'!$A:$A, 0))), 0), 0)))</f>
        <v>0</v>
      </c>
      <c r="Y191" s="6">
        <f>MIN(0, N191+(IFERROR(IF(11*INDEX('UA-normalized'!$D:$D, MATCH($A191, 'UA-normalized'!$A:$A, 0))-INDEX('UA-normalized'!$E:$E, MATCH($A191, 'UA-normalized'!$A:$A, 0))&gt;0, -(11*INDEX('UA-normalized'!$D:$D, MATCH($A191, 'UA-normalized'!$A:$A, 0))-INDEX('UA-normalized'!$E:$E, MATCH($A191, 'UA-normalized'!$A:$A, 0))), 0), 0))+(IFERROR(IF(11*INDEX('KZ-normalized'!$D:$D, MATCH($A191, 'KZ-normalized'!$A:$A, 0))-INDEX('KZ-normalized'!$E:$E, MATCH($A191, 'KZ-normalized'!$A:$A, 0))&gt;0, -(11*INDEX('KZ-normalized'!$D:$D, MATCH($A191, 'KZ-normalized'!$A:$A, 0))-INDEX('KZ-normalized'!$E:$E, MATCH($A191, 'KZ-normalized'!$A:$A, 0))), 0), 0))+(IFERROR(IF(11*INDEX('UZ-normalized'!$D:$D, MATCH($A191, 'UZ-normalized'!$A:$A, 0))-INDEX('UZ-normalized'!$E:$E, MATCH($A191, 'UZ-normalized'!$A:$A, 0))&gt;0, -(11*INDEX('UZ-normalized'!$D:$D, MATCH($A191, 'UZ-normalized'!$A:$A, 0))-INDEX('UZ-normalized'!$E:$E, MATCH($A191, 'UZ-normalized'!$A:$A, 0))), 0), 0)))</f>
        <v>0</v>
      </c>
      <c r="Z191" s="6">
        <f>MIN(0, N191+(IFERROR(IF(12*INDEX('UA-normalized'!$D:$D, MATCH($A191, 'UA-normalized'!$A:$A, 0))-INDEX('UA-normalized'!$E:$E, MATCH($A191, 'UA-normalized'!$A:$A, 0))&gt;0, -(12*INDEX('UA-normalized'!$D:$D, MATCH($A191, 'UA-normalized'!$A:$A, 0))-INDEX('UA-normalized'!$E:$E, MATCH($A191, 'UA-normalized'!$A:$A, 0))), 0), 0))+(IFERROR(IF(12*INDEX('KZ-normalized'!$D:$D, MATCH($A191, 'KZ-normalized'!$A:$A, 0))-INDEX('KZ-normalized'!$E:$E, MATCH($A191, 'KZ-normalized'!$A:$A, 0))&gt;0, -(12*INDEX('KZ-normalized'!$D:$D, MATCH($A191, 'KZ-normalized'!$A:$A, 0))-INDEX('KZ-normalized'!$E:$E, MATCH($A191, 'KZ-normalized'!$A:$A, 0))), 0), 0))+(IFERROR(IF(12*INDEX('UZ-normalized'!$D:$D, MATCH($A191, 'UZ-normalized'!$A:$A, 0))-INDEX('UZ-normalized'!$E:$E, MATCH($A191, 'UZ-normalized'!$A:$A, 0))&gt;0, -(12*INDEX('UZ-normalized'!$D:$D, MATCH($A191, 'UZ-normalized'!$A:$A, 0))-INDEX('UZ-normalized'!$E:$E, MATCH($A191, 'UZ-normalized'!$A:$A, 0))), 0), 0)))</f>
        <v>0</v>
      </c>
      <c r="AA191" s="6">
        <f>MIN(0, N191+(IFERROR(IF(13*INDEX('UA-normalized'!$D:$D, MATCH($A191, 'UA-normalized'!$A:$A, 0))-INDEX('UA-normalized'!$E:$E, MATCH($A191, 'UA-normalized'!$A:$A, 0))&gt;0, -(13*INDEX('UA-normalized'!$D:$D, MATCH($A191, 'UA-normalized'!$A:$A, 0))-INDEX('UA-normalized'!$E:$E, MATCH($A191, 'UA-normalized'!$A:$A, 0))), 0), 0))+(IFERROR(IF(13*INDEX('KZ-normalized'!$D:$D, MATCH($A191, 'KZ-normalized'!$A:$A, 0))-INDEX('KZ-normalized'!$E:$E, MATCH($A191, 'KZ-normalized'!$A:$A, 0))&gt;0, -(13*INDEX('KZ-normalized'!$D:$D, MATCH($A191, 'KZ-normalized'!$A:$A, 0))-INDEX('KZ-normalized'!$E:$E, MATCH($A191, 'KZ-normalized'!$A:$A, 0))), 0), 0))+(IFERROR(IF(13*INDEX('UZ-normalized'!$D:$D, MATCH($A191, 'UZ-normalized'!$A:$A, 0))-INDEX('UZ-normalized'!$E:$E, MATCH($A191, 'UZ-normalized'!$A:$A, 0))&gt;0, -(13*INDEX('UZ-normalized'!$D:$D, MATCH($A191, 'UZ-normalized'!$A:$A, 0))-INDEX('UZ-normalized'!$E:$E, MATCH($A191, 'UZ-normalized'!$A:$A, 0))), 0), 0)))</f>
        <v>0</v>
      </c>
      <c r="AB191" s="6">
        <f>MIN(0, N191+(IFERROR(IF(14*INDEX('UA-normalized'!$D:$D, MATCH($A191, 'UA-normalized'!$A:$A, 0))-INDEX('UA-normalized'!$E:$E, MATCH($A191, 'UA-normalized'!$A:$A, 0))&gt;0, -(14*INDEX('UA-normalized'!$D:$D, MATCH($A191, 'UA-normalized'!$A:$A, 0))-INDEX('UA-normalized'!$E:$E, MATCH($A191, 'UA-normalized'!$A:$A, 0))), 0), 0))+(IFERROR(IF(14*INDEX('KZ-normalized'!$D:$D, MATCH($A191, 'KZ-normalized'!$A:$A, 0))-INDEX('KZ-normalized'!$E:$E, MATCH($A191, 'KZ-normalized'!$A:$A, 0))&gt;0, -(14*INDEX('KZ-normalized'!$D:$D, MATCH($A191, 'KZ-normalized'!$A:$A, 0))-INDEX('KZ-normalized'!$E:$E, MATCH($A191, 'KZ-normalized'!$A:$A, 0))), 0), 0))+(IFERROR(IF(14*INDEX('UZ-normalized'!$D:$D, MATCH($A191, 'UZ-normalized'!$A:$A, 0))-INDEX('UZ-normalized'!$E:$E, MATCH($A191, 'UZ-normalized'!$A:$A, 0))&gt;0, -(14*INDEX('UZ-normalized'!$D:$D, MATCH($A191, 'UZ-normalized'!$A:$A, 0))-INDEX('UZ-normalized'!$E:$E, MATCH($A191, 'UZ-normalized'!$A:$A, 0))), 0), 0)))</f>
        <v>0</v>
      </c>
      <c r="AC191" s="6">
        <f>MIN(0, N191+(IFERROR(IF(15*INDEX('UA-normalized'!$D:$D, MATCH($A191, 'UA-normalized'!$A:$A, 0))-INDEX('UA-normalized'!$E:$E, MATCH($A191, 'UA-normalized'!$A:$A, 0))&gt;0, -(15*INDEX('UA-normalized'!$D:$D, MATCH($A191, 'UA-normalized'!$A:$A, 0))-INDEX('UA-normalized'!$E:$E, MATCH($A191, 'UA-normalized'!$A:$A, 0))), 0), 0))+(IFERROR(IF(15*INDEX('KZ-normalized'!$D:$D, MATCH($A191, 'KZ-normalized'!$A:$A, 0))-INDEX('KZ-normalized'!$E:$E, MATCH($A191, 'KZ-normalized'!$A:$A, 0))&gt;0, -(15*INDEX('KZ-normalized'!$D:$D, MATCH($A191, 'KZ-normalized'!$A:$A, 0))-INDEX('KZ-normalized'!$E:$E, MATCH($A191, 'KZ-normalized'!$A:$A, 0))), 0), 0))+(IFERROR(IF(15*INDEX('UZ-normalized'!$D:$D, MATCH($A191, 'UZ-normalized'!$A:$A, 0))-INDEX('UZ-normalized'!$E:$E, MATCH($A191, 'UZ-normalized'!$A:$A, 0))&gt;0, -(15*INDEX('UZ-normalized'!$D:$D, MATCH($A191, 'UZ-normalized'!$A:$A, 0))-INDEX('UZ-normalized'!$E:$E, MATCH($A191, 'UZ-normalized'!$A:$A, 0))), 0), 0)))</f>
        <v>0</v>
      </c>
      <c r="AD191" s="6">
        <f>MIN(0, N191+(IFERROR(IF(16*INDEX('UA-normalized'!$D:$D, MATCH($A191, 'UA-normalized'!$A:$A, 0))-INDEX('UA-normalized'!$E:$E, MATCH($A191, 'UA-normalized'!$A:$A, 0))&gt;0, -(16*INDEX('UA-normalized'!$D:$D, MATCH($A191, 'UA-normalized'!$A:$A, 0))-INDEX('UA-normalized'!$E:$E, MATCH($A191, 'UA-normalized'!$A:$A, 0))), 0), 0))+(IFERROR(IF(16*INDEX('KZ-normalized'!$D:$D, MATCH($A191, 'KZ-normalized'!$A:$A, 0))-INDEX('KZ-normalized'!$E:$E, MATCH($A191, 'KZ-normalized'!$A:$A, 0))&gt;0, -(16*INDEX('KZ-normalized'!$D:$D, MATCH($A191, 'KZ-normalized'!$A:$A, 0))-INDEX('KZ-normalized'!$E:$E, MATCH($A191, 'KZ-normalized'!$A:$A, 0))), 0), 0))+(IFERROR(IF(16*INDEX('UZ-normalized'!$D:$D, MATCH($A191, 'UZ-normalized'!$A:$A, 0))-INDEX('UZ-normalized'!$E:$E, MATCH($A191, 'UZ-normalized'!$A:$A, 0))&gt;0, -(16*INDEX('UZ-normalized'!$D:$D, MATCH($A191, 'UZ-normalized'!$A:$A, 0))-INDEX('UZ-normalized'!$E:$E, MATCH($A191, 'UZ-normalized'!$A:$A, 0))), 0), 0)))</f>
        <v>0</v>
      </c>
      <c r="AE191" s="6">
        <f>MIN(0, N191+(IFERROR(IF(17*INDEX('UA-normalized'!$D:$D, MATCH($A191, 'UA-normalized'!$A:$A, 0))-INDEX('UA-normalized'!$E:$E, MATCH($A191, 'UA-normalized'!$A:$A, 0))&gt;0, -(17*INDEX('UA-normalized'!$D:$D, MATCH($A191, 'UA-normalized'!$A:$A, 0))-INDEX('UA-normalized'!$E:$E, MATCH($A191, 'UA-normalized'!$A:$A, 0))), 0), 0))+(IFERROR(IF(17*INDEX('KZ-normalized'!$D:$D, MATCH($A191, 'KZ-normalized'!$A:$A, 0))-INDEX('KZ-normalized'!$E:$E, MATCH($A191, 'KZ-normalized'!$A:$A, 0))&gt;0, -(17*INDEX('KZ-normalized'!$D:$D, MATCH($A191, 'KZ-normalized'!$A:$A, 0))-INDEX('KZ-normalized'!$E:$E, MATCH($A191, 'KZ-normalized'!$A:$A, 0))), 0), 0))+(IFERROR(IF(17*INDEX('UZ-normalized'!$D:$D, MATCH($A191, 'UZ-normalized'!$A:$A, 0))-INDEX('UZ-normalized'!$E:$E, MATCH($A191, 'UZ-normalized'!$A:$A, 0))&gt;0, -(17*INDEX('UZ-normalized'!$D:$D, MATCH($A191, 'UZ-normalized'!$A:$A, 0))-INDEX('UZ-normalized'!$E:$E, MATCH($A191, 'UZ-normalized'!$A:$A, 0))), 0), 0)))</f>
        <v>0</v>
      </c>
      <c r="AF191" s="6">
        <f>MIN(0, N191+(IFERROR(IF(18*INDEX('UA-normalized'!$D:$D, MATCH($A191, 'UA-normalized'!$A:$A, 0))-INDEX('UA-normalized'!$E:$E, MATCH($A191, 'UA-normalized'!$A:$A, 0))&gt;0, -(18*INDEX('UA-normalized'!$D:$D, MATCH($A191, 'UA-normalized'!$A:$A, 0))-INDEX('UA-normalized'!$E:$E, MATCH($A191, 'UA-normalized'!$A:$A, 0))), 0), 0))+(IFERROR(IF(18*INDEX('KZ-normalized'!$D:$D, MATCH($A191, 'KZ-normalized'!$A:$A, 0))-INDEX('KZ-normalized'!$E:$E, MATCH($A191, 'KZ-normalized'!$A:$A, 0))&gt;0, -(18*INDEX('KZ-normalized'!$D:$D, MATCH($A191, 'KZ-normalized'!$A:$A, 0))-INDEX('KZ-normalized'!$E:$E, MATCH($A191, 'KZ-normalized'!$A:$A, 0))), 0), 0))+(IFERROR(IF(18*INDEX('UZ-normalized'!$D:$D, MATCH($A191, 'UZ-normalized'!$A:$A, 0))-INDEX('UZ-normalized'!$E:$E, MATCH($A191, 'UZ-normalized'!$A:$A, 0))&gt;0, -(18*INDEX('UZ-normalized'!$D:$D, MATCH($A191, 'UZ-normalized'!$A:$A, 0))-INDEX('UZ-normalized'!$E:$E, MATCH($A191, 'UZ-normalized'!$A:$A, 0))), 0), 0)))</f>
        <v>0</v>
      </c>
      <c r="AG191" s="6">
        <f>MIN(0, N191+(IFERROR(IF(19*INDEX('UA-normalized'!$D:$D, MATCH($A191, 'UA-normalized'!$A:$A, 0))-INDEX('UA-normalized'!$E:$E, MATCH($A191, 'UA-normalized'!$A:$A, 0))&gt;0, -(19*INDEX('UA-normalized'!$D:$D, MATCH($A191, 'UA-normalized'!$A:$A, 0))-INDEX('UA-normalized'!$E:$E, MATCH($A191, 'UA-normalized'!$A:$A, 0))), 0), 0))+(IFERROR(IF(19*INDEX('KZ-normalized'!$D:$D, MATCH($A191, 'KZ-normalized'!$A:$A, 0))-INDEX('KZ-normalized'!$E:$E, MATCH($A191, 'KZ-normalized'!$A:$A, 0))&gt;0, -(19*INDEX('KZ-normalized'!$D:$D, MATCH($A191, 'KZ-normalized'!$A:$A, 0))-INDEX('KZ-normalized'!$E:$E, MATCH($A191, 'KZ-normalized'!$A:$A, 0))), 0), 0))+(IFERROR(IF(19*INDEX('UZ-normalized'!$D:$D, MATCH($A191, 'UZ-normalized'!$A:$A, 0))-INDEX('UZ-normalized'!$E:$E, MATCH($A191, 'UZ-normalized'!$A:$A, 0))&gt;0, -(19*INDEX('UZ-normalized'!$D:$D, MATCH($A191, 'UZ-normalized'!$A:$A, 0))-INDEX('UZ-normalized'!$E:$E, MATCH($A191, 'UZ-normalized'!$A:$A, 0))), 0), 0)))</f>
        <v>0</v>
      </c>
      <c r="AH191" s="6">
        <f>MIN(0, N191+(IFERROR(IF(20*INDEX('UA-normalized'!$D:$D, MATCH($A191, 'UA-normalized'!$A:$A, 0))-INDEX('UA-normalized'!$E:$E, MATCH($A191, 'UA-normalized'!$A:$A, 0))&gt;0, -(20*INDEX('UA-normalized'!$D:$D, MATCH($A191, 'UA-normalized'!$A:$A, 0))-INDEX('UA-normalized'!$E:$E, MATCH($A191, 'UA-normalized'!$A:$A, 0))), 0), 0))+(IFERROR(IF(20*INDEX('KZ-normalized'!$D:$D, MATCH($A191, 'KZ-normalized'!$A:$A, 0))-INDEX('KZ-normalized'!$E:$E, MATCH($A191, 'KZ-normalized'!$A:$A, 0))&gt;0, -(20*INDEX('KZ-normalized'!$D:$D, MATCH($A191, 'KZ-normalized'!$A:$A, 0))-INDEX('KZ-normalized'!$E:$E, MATCH($A191, 'KZ-normalized'!$A:$A, 0))), 0), 0))+(IFERROR(IF(20*INDEX('UZ-normalized'!$D:$D, MATCH($A191, 'UZ-normalized'!$A:$A, 0))-INDEX('UZ-normalized'!$E:$E, MATCH($A191, 'UZ-normalized'!$A:$A, 0))&gt;0, -(20*INDEX('UZ-normalized'!$D:$D, MATCH($A191, 'UZ-normalized'!$A:$A, 0))-INDEX('UZ-normalized'!$E:$E, MATCH($A191, 'UZ-normalized'!$A:$A, 0))), 0), 0)))</f>
        <v>0</v>
      </c>
      <c r="AI191" s="6">
        <f>MIN(0, N191+(IFERROR(IF(21*INDEX('UA-normalized'!$D:$D, MATCH($A191, 'UA-normalized'!$A:$A, 0))-INDEX('UA-normalized'!$E:$E, MATCH($A191, 'UA-normalized'!$A:$A, 0))&gt;0, -(21*INDEX('UA-normalized'!$D:$D, MATCH($A191, 'UA-normalized'!$A:$A, 0))-INDEX('UA-normalized'!$E:$E, MATCH($A191, 'UA-normalized'!$A:$A, 0))), 0), 0))+(IFERROR(IF(21*INDEX('KZ-normalized'!$D:$D, MATCH($A191, 'KZ-normalized'!$A:$A, 0))-INDEX('KZ-normalized'!$E:$E, MATCH($A191, 'KZ-normalized'!$A:$A, 0))&gt;0, -(21*INDEX('KZ-normalized'!$D:$D, MATCH($A191, 'KZ-normalized'!$A:$A, 0))-INDEX('KZ-normalized'!$E:$E, MATCH($A191, 'KZ-normalized'!$A:$A, 0))), 0), 0))+(IFERROR(IF(21*INDEX('UZ-normalized'!$D:$D, MATCH($A191, 'UZ-normalized'!$A:$A, 0))-INDEX('UZ-normalized'!$E:$E, MATCH($A191, 'UZ-normalized'!$A:$A, 0))&gt;0, -(21*INDEX('UZ-normalized'!$D:$D, MATCH($A191, 'UZ-normalized'!$A:$A, 0))-INDEX('UZ-normalized'!$E:$E, MATCH($A191, 'UZ-normalized'!$A:$A, 0))), 0), 0)))</f>
        <v>0</v>
      </c>
      <c r="AJ191" s="6">
        <f>MIN(0, N191+(IFERROR(IF(22*INDEX('UA-normalized'!$D:$D, MATCH($A191, 'UA-normalized'!$A:$A, 0))-INDEX('UA-normalized'!$E:$E, MATCH($A191, 'UA-normalized'!$A:$A, 0))&gt;0, -(22*INDEX('UA-normalized'!$D:$D, MATCH($A191, 'UA-normalized'!$A:$A, 0))-INDEX('UA-normalized'!$E:$E, MATCH($A191, 'UA-normalized'!$A:$A, 0))), 0), 0))+(IFERROR(IF(22*INDEX('KZ-normalized'!$D:$D, MATCH($A191, 'KZ-normalized'!$A:$A, 0))-INDEX('KZ-normalized'!$E:$E, MATCH($A191, 'KZ-normalized'!$A:$A, 0))&gt;0, -(22*INDEX('KZ-normalized'!$D:$D, MATCH($A191, 'KZ-normalized'!$A:$A, 0))-INDEX('KZ-normalized'!$E:$E, MATCH($A191, 'KZ-normalized'!$A:$A, 0))), 0), 0))+(IFERROR(IF(22*INDEX('UZ-normalized'!$D:$D, MATCH($A191, 'UZ-normalized'!$A:$A, 0))-INDEX('UZ-normalized'!$E:$E, MATCH($A191, 'UZ-normalized'!$A:$A, 0))&gt;0, -(22*INDEX('UZ-normalized'!$D:$D, MATCH($A191, 'UZ-normalized'!$A:$A, 0))-INDEX('UZ-normalized'!$E:$E, MATCH($A191, 'UZ-normalized'!$A:$A, 0))), 0), 0)))</f>
        <v>0</v>
      </c>
      <c r="AK191" s="6">
        <f>MIN(0, N191+(IFERROR(IF(23*INDEX('UA-normalized'!$D:$D, MATCH($A191, 'UA-normalized'!$A:$A, 0))-INDEX('UA-normalized'!$E:$E, MATCH($A191, 'UA-normalized'!$A:$A, 0))&gt;0, -(23*INDEX('UA-normalized'!$D:$D, MATCH($A191, 'UA-normalized'!$A:$A, 0))-INDEX('UA-normalized'!$E:$E, MATCH($A191, 'UA-normalized'!$A:$A, 0))), 0), 0))+(IFERROR(IF(23*INDEX('KZ-normalized'!$D:$D, MATCH($A191, 'KZ-normalized'!$A:$A, 0))-INDEX('KZ-normalized'!$E:$E, MATCH($A191, 'KZ-normalized'!$A:$A, 0))&gt;0, -(23*INDEX('KZ-normalized'!$D:$D, MATCH($A191, 'KZ-normalized'!$A:$A, 0))-INDEX('KZ-normalized'!$E:$E, MATCH($A191, 'KZ-normalized'!$A:$A, 0))), 0), 0))+(IFERROR(IF(23*INDEX('UZ-normalized'!$D:$D, MATCH($A191, 'UZ-normalized'!$A:$A, 0))-INDEX('UZ-normalized'!$E:$E, MATCH($A191, 'UZ-normalized'!$A:$A, 0))&gt;0, -(23*INDEX('UZ-normalized'!$D:$D, MATCH($A191, 'UZ-normalized'!$A:$A, 0))-INDEX('UZ-normalized'!$E:$E, MATCH($A191, 'UZ-normalized'!$A:$A, 0))), 0), 0)))</f>
        <v>0</v>
      </c>
      <c r="AL191" s="6">
        <f>MIN(0, N191+(IFERROR(IF(24*INDEX('UA-normalized'!$D:$D, MATCH($A191, 'UA-normalized'!$A:$A, 0))-INDEX('UA-normalized'!$E:$E, MATCH($A191, 'UA-normalized'!$A:$A, 0))&gt;0, -(24*INDEX('UA-normalized'!$D:$D, MATCH($A191, 'UA-normalized'!$A:$A, 0))-INDEX('UA-normalized'!$E:$E, MATCH($A191, 'UA-normalized'!$A:$A, 0))), 0), 0))+(IFERROR(IF(24*INDEX('KZ-normalized'!$D:$D, MATCH($A191, 'KZ-normalized'!$A:$A, 0))-INDEX('KZ-normalized'!$E:$E, MATCH($A191, 'KZ-normalized'!$A:$A, 0))&gt;0, -(24*INDEX('KZ-normalized'!$D:$D, MATCH($A191, 'KZ-normalized'!$A:$A, 0))-INDEX('KZ-normalized'!$E:$E, MATCH($A191, 'KZ-normalized'!$A:$A, 0))), 0), 0))+(IFERROR(IF(24*INDEX('UZ-normalized'!$D:$D, MATCH($A191, 'UZ-normalized'!$A:$A, 0))-INDEX('UZ-normalized'!$E:$E, MATCH($A191, 'UZ-normalized'!$A:$A, 0))&gt;0, -(24*INDEX('UZ-normalized'!$D:$D, MATCH($A191, 'UZ-normalized'!$A:$A, 0))-INDEX('UZ-normalized'!$E:$E, MATCH($A191, 'UZ-normalized'!$A:$A, 0))), 0), 0)))</f>
        <v>0</v>
      </c>
      <c r="AM191" s="6">
        <f>MIN(0, N191+(IFERROR(IF(25*INDEX('UA-normalized'!$D:$D, MATCH($A191, 'UA-normalized'!$A:$A, 0))-INDEX('UA-normalized'!$E:$E, MATCH($A191, 'UA-normalized'!$A:$A, 0))&gt;0, -(25*INDEX('UA-normalized'!$D:$D, MATCH($A191, 'UA-normalized'!$A:$A, 0))-INDEX('UA-normalized'!$E:$E, MATCH($A191, 'UA-normalized'!$A:$A, 0))), 0), 0))+(IFERROR(IF(25*INDEX('KZ-normalized'!$D:$D, MATCH($A191, 'KZ-normalized'!$A:$A, 0))-INDEX('KZ-normalized'!$E:$E, MATCH($A191, 'KZ-normalized'!$A:$A, 0))&gt;0, -(25*INDEX('KZ-normalized'!$D:$D, MATCH($A191, 'KZ-normalized'!$A:$A, 0))-INDEX('KZ-normalized'!$E:$E, MATCH($A191, 'KZ-normalized'!$A:$A, 0))), 0), 0))+(IFERROR(IF(25*INDEX('UZ-normalized'!$D:$D, MATCH($A191, 'UZ-normalized'!$A:$A, 0))-INDEX('UZ-normalized'!$E:$E, MATCH($A191, 'UZ-normalized'!$A:$A, 0))&gt;0, -(25*INDEX('UZ-normalized'!$D:$D, MATCH($A191, 'UZ-normalized'!$A:$A, 0))-INDEX('UZ-normalized'!$E:$E, MATCH($A191, 'UZ-normalized'!$A:$A, 0))), 0), 0)))</f>
        <v>0</v>
      </c>
      <c r="AN191" s="6">
        <f>MIN(0, N191+(IFERROR(IF(26*INDEX('UA-normalized'!$D:$D, MATCH($A191, 'UA-normalized'!$A:$A, 0))-INDEX('UA-normalized'!$E:$E, MATCH($A191, 'UA-normalized'!$A:$A, 0))&gt;0, -(26*INDEX('UA-normalized'!$D:$D, MATCH($A191, 'UA-normalized'!$A:$A, 0))-INDEX('UA-normalized'!$E:$E, MATCH($A191, 'UA-normalized'!$A:$A, 0))), 0), 0))+(IFERROR(IF(26*INDEX('KZ-normalized'!$D:$D, MATCH($A191, 'KZ-normalized'!$A:$A, 0))-INDEX('KZ-normalized'!$E:$E, MATCH($A191, 'KZ-normalized'!$A:$A, 0))&gt;0, -(26*INDEX('KZ-normalized'!$D:$D, MATCH($A191, 'KZ-normalized'!$A:$A, 0))-INDEX('KZ-normalized'!$E:$E, MATCH($A191, 'KZ-normalized'!$A:$A, 0))), 0), 0))+(IFERROR(IF(26*INDEX('UZ-normalized'!$D:$D, MATCH($A191, 'UZ-normalized'!$A:$A, 0))-INDEX('UZ-normalized'!$E:$E, MATCH($A191, 'UZ-normalized'!$A:$A, 0))&gt;0, -(26*INDEX('UZ-normalized'!$D:$D, MATCH($A191, 'UZ-normalized'!$A:$A, 0))-INDEX('UZ-normalized'!$E:$E, MATCH($A191, 'UZ-normalized'!$A:$A, 0))), 0), 0)))</f>
        <v>0</v>
      </c>
      <c r="AO191" s="6">
        <f>MIN(0, N191+(IFERROR(IF(27*INDEX('UA-normalized'!$D:$D, MATCH($A191, 'UA-normalized'!$A:$A, 0))-INDEX('UA-normalized'!$E:$E, MATCH($A191, 'UA-normalized'!$A:$A, 0))&gt;0, -(27*INDEX('UA-normalized'!$D:$D, MATCH($A191, 'UA-normalized'!$A:$A, 0))-INDEX('UA-normalized'!$E:$E, MATCH($A191, 'UA-normalized'!$A:$A, 0))), 0), 0))+(IFERROR(IF(27*INDEX('KZ-normalized'!$D:$D, MATCH($A191, 'KZ-normalized'!$A:$A, 0))-INDEX('KZ-normalized'!$E:$E, MATCH($A191, 'KZ-normalized'!$A:$A, 0))&gt;0, -(27*INDEX('KZ-normalized'!$D:$D, MATCH($A191, 'KZ-normalized'!$A:$A, 0))-INDEX('KZ-normalized'!$E:$E, MATCH($A191, 'KZ-normalized'!$A:$A, 0))), 0), 0))+(IFERROR(IF(27*INDEX('UZ-normalized'!$D:$D, MATCH($A191, 'UZ-normalized'!$A:$A, 0))-INDEX('UZ-normalized'!$E:$E, MATCH($A191, 'UZ-normalized'!$A:$A, 0))&gt;0, -(27*INDEX('UZ-normalized'!$D:$D, MATCH($A191, 'UZ-normalized'!$A:$A, 0))-INDEX('UZ-normalized'!$E:$E, MATCH($A191, 'UZ-normalized'!$A:$A, 0))), 0), 0)))</f>
        <v>0</v>
      </c>
      <c r="AP191" s="6">
        <f>MIN(0, N191+(IFERROR(IF(28*INDEX('UA-normalized'!$D:$D, MATCH($A191, 'UA-normalized'!$A:$A, 0))-INDEX('UA-normalized'!$E:$E, MATCH($A191, 'UA-normalized'!$A:$A, 0))&gt;0, -(28*INDEX('UA-normalized'!$D:$D, MATCH($A191, 'UA-normalized'!$A:$A, 0))-INDEX('UA-normalized'!$E:$E, MATCH($A191, 'UA-normalized'!$A:$A, 0))), 0), 0))+(IFERROR(IF(28*INDEX('KZ-normalized'!$D:$D, MATCH($A191, 'KZ-normalized'!$A:$A, 0))-INDEX('KZ-normalized'!$E:$E, MATCH($A191, 'KZ-normalized'!$A:$A, 0))&gt;0, -(28*INDEX('KZ-normalized'!$D:$D, MATCH($A191, 'KZ-normalized'!$A:$A, 0))-INDEX('KZ-normalized'!$E:$E, MATCH($A191, 'KZ-normalized'!$A:$A, 0))), 0), 0))+(IFERROR(IF(28*INDEX('UZ-normalized'!$D:$D, MATCH($A191, 'UZ-normalized'!$A:$A, 0))-INDEX('UZ-normalized'!$E:$E, MATCH($A191, 'UZ-normalized'!$A:$A, 0))&gt;0, -(28*INDEX('UZ-normalized'!$D:$D, MATCH($A191, 'UZ-normalized'!$A:$A, 0))-INDEX('UZ-normalized'!$E:$E, MATCH($A191, 'UZ-normalized'!$A:$A, 0))), 0), 0)))</f>
        <v>0</v>
      </c>
      <c r="AQ191" s="6">
        <f>MIN(0, N191+(IFERROR(IF(29*INDEX('UA-normalized'!$D:$D, MATCH($A191, 'UA-normalized'!$A:$A, 0))-INDEX('UA-normalized'!$E:$E, MATCH($A191, 'UA-normalized'!$A:$A, 0))&gt;0, -(29*INDEX('UA-normalized'!$D:$D, MATCH($A191, 'UA-normalized'!$A:$A, 0))-INDEX('UA-normalized'!$E:$E, MATCH($A191, 'UA-normalized'!$A:$A, 0))), 0), 0))+(IFERROR(IF(29*INDEX('KZ-normalized'!$D:$D, MATCH($A191, 'KZ-normalized'!$A:$A, 0))-INDEX('KZ-normalized'!$E:$E, MATCH($A191, 'KZ-normalized'!$A:$A, 0))&gt;0, -(29*INDEX('KZ-normalized'!$D:$D, MATCH($A191, 'KZ-normalized'!$A:$A, 0))-INDEX('KZ-normalized'!$E:$E, MATCH($A191, 'KZ-normalized'!$A:$A, 0))), 0), 0))+(IFERROR(IF(29*INDEX('UZ-normalized'!$D:$D, MATCH($A191, 'UZ-normalized'!$A:$A, 0))-INDEX('UZ-normalized'!$E:$E, MATCH($A191, 'UZ-normalized'!$A:$A, 0))&gt;0, -(29*INDEX('UZ-normalized'!$D:$D, MATCH($A191, 'UZ-normalized'!$A:$A, 0))-INDEX('UZ-normalized'!$E:$E, MATCH($A191, 'UZ-normalized'!$A:$A, 0))), 0), 0)))</f>
        <v>0</v>
      </c>
      <c r="AR191" s="6">
        <f>MIN(0, N191+(IFERROR(IF(30*INDEX('UA-normalized'!$D:$D, MATCH($A191, 'UA-normalized'!$A:$A, 0))-INDEX('UA-normalized'!$E:$E, MATCH($A191, 'UA-normalized'!$A:$A, 0))&gt;0, -(30*INDEX('UA-normalized'!$D:$D, MATCH($A191, 'UA-normalized'!$A:$A, 0))-INDEX('UA-normalized'!$E:$E, MATCH($A191, 'UA-normalized'!$A:$A, 0))), 0), 0))+(IFERROR(IF(30*INDEX('KZ-normalized'!$D:$D, MATCH($A191, 'KZ-normalized'!$A:$A, 0))-INDEX('KZ-normalized'!$E:$E, MATCH($A191, 'KZ-normalized'!$A:$A, 0))&gt;0, -(30*INDEX('KZ-normalized'!$D:$D, MATCH($A191, 'KZ-normalized'!$A:$A, 0))-INDEX('KZ-normalized'!$E:$E, MATCH($A191, 'KZ-normalized'!$A:$A, 0))), 0), 0))+(IFERROR(IF(30*INDEX('UZ-normalized'!$D:$D, MATCH($A191, 'UZ-normalized'!$A:$A, 0))-INDEX('UZ-normalized'!$E:$E, MATCH($A191, 'UZ-normalized'!$A:$A, 0))&gt;0, -(30*INDEX('UZ-normalized'!$D:$D, MATCH($A191, 'UZ-normalized'!$A:$A, 0))-INDEX('UZ-normalized'!$E:$E, MATCH($A191, 'UZ-normalized'!$A:$A, 0))), 0), 0)))</f>
        <v>0</v>
      </c>
    </row>
    <row r="192" spans="1:44" x14ac:dyDescent="0.25">
      <c r="A192" s="8" t="s">
        <v>459</v>
      </c>
      <c r="B192" s="8" t="s">
        <v>460</v>
      </c>
      <c r="C192" s="8" t="s">
        <v>461</v>
      </c>
      <c r="D192" s="8" t="s">
        <v>462</v>
      </c>
      <c r="G192">
        <v>-5</v>
      </c>
      <c r="N192">
        <f t="shared" si="2"/>
        <v>-5</v>
      </c>
      <c r="O192" s="6">
        <f>MIN(0, N192+(IFERROR(IF(1*INDEX('UA-normalized'!$D:$D, MATCH($A192, 'UA-normalized'!$A:$A, 0))-INDEX('UA-normalized'!$E:$E, MATCH($A192, 'UA-normalized'!$A:$A, 0))&gt;0, -(1*INDEX('UA-normalized'!$D:$D, MATCH($A192, 'UA-normalized'!$A:$A, 0))-INDEX('UA-normalized'!$E:$E, MATCH($A192, 'UA-normalized'!$A:$A, 0))), 0), 0))+(IFERROR(IF(1*INDEX('KZ-normalized'!$D:$D, MATCH($A192, 'KZ-normalized'!$A:$A, 0))-INDEX('KZ-normalized'!$E:$E, MATCH($A192, 'KZ-normalized'!$A:$A, 0))&gt;0, -(1*INDEX('KZ-normalized'!$D:$D, MATCH($A192, 'KZ-normalized'!$A:$A, 0))-INDEX('KZ-normalized'!$E:$E, MATCH($A192, 'KZ-normalized'!$A:$A, 0))), 0), 0))+(IFERROR(IF(1*INDEX('UZ-normalized'!$D:$D, MATCH($A192, 'UZ-normalized'!$A:$A, 0))-INDEX('UZ-normalized'!$E:$E, MATCH($A192, 'UZ-normalized'!$A:$A, 0))&gt;0, -(1*INDEX('UZ-normalized'!$D:$D, MATCH($A192, 'UZ-normalized'!$A:$A, 0))-INDEX('UZ-normalized'!$E:$E, MATCH($A192, 'UZ-normalized'!$A:$A, 0))), 0), 0)))</f>
        <v>-5</v>
      </c>
      <c r="P192" s="6">
        <f>MIN(0, N192+(IFERROR(IF(2*INDEX('UA-normalized'!$D:$D, MATCH($A192, 'UA-normalized'!$A:$A, 0))-INDEX('UA-normalized'!$E:$E, MATCH($A192, 'UA-normalized'!$A:$A, 0))&gt;0, -(2*INDEX('UA-normalized'!$D:$D, MATCH($A192, 'UA-normalized'!$A:$A, 0))-INDEX('UA-normalized'!$E:$E, MATCH($A192, 'UA-normalized'!$A:$A, 0))), 0), 0))+(IFERROR(IF(2*INDEX('KZ-normalized'!$D:$D, MATCH($A192, 'KZ-normalized'!$A:$A, 0))-INDEX('KZ-normalized'!$E:$E, MATCH($A192, 'KZ-normalized'!$A:$A, 0))&gt;0, -(2*INDEX('KZ-normalized'!$D:$D, MATCH($A192, 'KZ-normalized'!$A:$A, 0))-INDEX('KZ-normalized'!$E:$E, MATCH($A192, 'KZ-normalized'!$A:$A, 0))), 0), 0))+(IFERROR(IF(2*INDEX('UZ-normalized'!$D:$D, MATCH($A192, 'UZ-normalized'!$A:$A, 0))-INDEX('UZ-normalized'!$E:$E, MATCH($A192, 'UZ-normalized'!$A:$A, 0))&gt;0, -(2*INDEX('UZ-normalized'!$D:$D, MATCH($A192, 'UZ-normalized'!$A:$A, 0))-INDEX('UZ-normalized'!$E:$E, MATCH($A192, 'UZ-normalized'!$A:$A, 0))), 0), 0)))</f>
        <v>-5.2</v>
      </c>
      <c r="Q192" s="6">
        <f>MIN(0, N192+(IFERROR(IF(3*INDEX('UA-normalized'!$D:$D, MATCH($A192, 'UA-normalized'!$A:$A, 0))-INDEX('UA-normalized'!$E:$E, MATCH($A192, 'UA-normalized'!$A:$A, 0))&gt;0, -(3*INDEX('UA-normalized'!$D:$D, MATCH($A192, 'UA-normalized'!$A:$A, 0))-INDEX('UA-normalized'!$E:$E, MATCH($A192, 'UA-normalized'!$A:$A, 0))), 0), 0))+(IFERROR(IF(3*INDEX('KZ-normalized'!$D:$D, MATCH($A192, 'KZ-normalized'!$A:$A, 0))-INDEX('KZ-normalized'!$E:$E, MATCH($A192, 'KZ-normalized'!$A:$A, 0))&gt;0, -(3*INDEX('KZ-normalized'!$D:$D, MATCH($A192, 'KZ-normalized'!$A:$A, 0))-INDEX('KZ-normalized'!$E:$E, MATCH($A192, 'KZ-normalized'!$A:$A, 0))), 0), 0))+(IFERROR(IF(3*INDEX('UZ-normalized'!$D:$D, MATCH($A192, 'UZ-normalized'!$A:$A, 0))-INDEX('UZ-normalized'!$E:$E, MATCH($A192, 'UZ-normalized'!$A:$A, 0))&gt;0, -(3*INDEX('UZ-normalized'!$D:$D, MATCH($A192, 'UZ-normalized'!$A:$A, 0))-INDEX('UZ-normalized'!$E:$E, MATCH($A192, 'UZ-normalized'!$A:$A, 0))), 0), 0)))</f>
        <v>-6.3000000000000007</v>
      </c>
      <c r="R192" s="6">
        <f>MIN(0, N192+(IFERROR(IF(4*INDEX('UA-normalized'!$D:$D, MATCH($A192, 'UA-normalized'!$A:$A, 0))-INDEX('UA-normalized'!$E:$E, MATCH($A192, 'UA-normalized'!$A:$A, 0))&gt;0, -(4*INDEX('UA-normalized'!$D:$D, MATCH($A192, 'UA-normalized'!$A:$A, 0))-INDEX('UA-normalized'!$E:$E, MATCH($A192, 'UA-normalized'!$A:$A, 0))), 0), 0))+(IFERROR(IF(4*INDEX('KZ-normalized'!$D:$D, MATCH($A192, 'KZ-normalized'!$A:$A, 0))-INDEX('KZ-normalized'!$E:$E, MATCH($A192, 'KZ-normalized'!$A:$A, 0))&gt;0, -(4*INDEX('KZ-normalized'!$D:$D, MATCH($A192, 'KZ-normalized'!$A:$A, 0))-INDEX('KZ-normalized'!$E:$E, MATCH($A192, 'KZ-normalized'!$A:$A, 0))), 0), 0))+(IFERROR(IF(4*INDEX('UZ-normalized'!$D:$D, MATCH($A192, 'UZ-normalized'!$A:$A, 0))-INDEX('UZ-normalized'!$E:$E, MATCH($A192, 'UZ-normalized'!$A:$A, 0))&gt;0, -(4*INDEX('UZ-normalized'!$D:$D, MATCH($A192, 'UZ-normalized'!$A:$A, 0))-INDEX('UZ-normalized'!$E:$E, MATCH($A192, 'UZ-normalized'!$A:$A, 0))), 0), 0)))</f>
        <v>-7.4</v>
      </c>
      <c r="S192" s="6">
        <f>MIN(0, N192+(IFERROR(IF(5*INDEX('UA-normalized'!$D:$D, MATCH($A192, 'UA-normalized'!$A:$A, 0))-INDEX('UA-normalized'!$E:$E, MATCH($A192, 'UA-normalized'!$A:$A, 0))&gt;0, -(5*INDEX('UA-normalized'!$D:$D, MATCH($A192, 'UA-normalized'!$A:$A, 0))-INDEX('UA-normalized'!$E:$E, MATCH($A192, 'UA-normalized'!$A:$A, 0))), 0), 0))+(IFERROR(IF(5*INDEX('KZ-normalized'!$D:$D, MATCH($A192, 'KZ-normalized'!$A:$A, 0))-INDEX('KZ-normalized'!$E:$E, MATCH($A192, 'KZ-normalized'!$A:$A, 0))&gt;0, -(5*INDEX('KZ-normalized'!$D:$D, MATCH($A192, 'KZ-normalized'!$A:$A, 0))-INDEX('KZ-normalized'!$E:$E, MATCH($A192, 'KZ-normalized'!$A:$A, 0))), 0), 0))+(IFERROR(IF(5*INDEX('UZ-normalized'!$D:$D, MATCH($A192, 'UZ-normalized'!$A:$A, 0))-INDEX('UZ-normalized'!$E:$E, MATCH($A192, 'UZ-normalized'!$A:$A, 0))&gt;0, -(5*INDEX('UZ-normalized'!$D:$D, MATCH($A192, 'UZ-normalized'!$A:$A, 0))-INDEX('UZ-normalized'!$E:$E, MATCH($A192, 'UZ-normalized'!$A:$A, 0))), 0), 0)))</f>
        <v>-8.5</v>
      </c>
      <c r="T192" s="6">
        <f>MIN(0, N192+(IFERROR(IF(6*INDEX('UA-normalized'!$D:$D, MATCH($A192, 'UA-normalized'!$A:$A, 0))-INDEX('UA-normalized'!$E:$E, MATCH($A192, 'UA-normalized'!$A:$A, 0))&gt;0, -(6*INDEX('UA-normalized'!$D:$D, MATCH($A192, 'UA-normalized'!$A:$A, 0))-INDEX('UA-normalized'!$E:$E, MATCH($A192, 'UA-normalized'!$A:$A, 0))), 0), 0))+(IFERROR(IF(6*INDEX('KZ-normalized'!$D:$D, MATCH($A192, 'KZ-normalized'!$A:$A, 0))-INDEX('KZ-normalized'!$E:$E, MATCH($A192, 'KZ-normalized'!$A:$A, 0))&gt;0, -(6*INDEX('KZ-normalized'!$D:$D, MATCH($A192, 'KZ-normalized'!$A:$A, 0))-INDEX('KZ-normalized'!$E:$E, MATCH($A192, 'KZ-normalized'!$A:$A, 0))), 0), 0))+(IFERROR(IF(6*INDEX('UZ-normalized'!$D:$D, MATCH($A192, 'UZ-normalized'!$A:$A, 0))-INDEX('UZ-normalized'!$E:$E, MATCH($A192, 'UZ-normalized'!$A:$A, 0))&gt;0, -(6*INDEX('UZ-normalized'!$D:$D, MATCH($A192, 'UZ-normalized'!$A:$A, 0))-INDEX('UZ-normalized'!$E:$E, MATCH($A192, 'UZ-normalized'!$A:$A, 0))), 0), 0)))</f>
        <v>-9.6000000000000014</v>
      </c>
      <c r="U192" s="6">
        <f>MIN(0, N192+(IFERROR(IF(7*INDEX('UA-normalized'!$D:$D, MATCH($A192, 'UA-normalized'!$A:$A, 0))-INDEX('UA-normalized'!$E:$E, MATCH($A192, 'UA-normalized'!$A:$A, 0))&gt;0, -(7*INDEX('UA-normalized'!$D:$D, MATCH($A192, 'UA-normalized'!$A:$A, 0))-INDEX('UA-normalized'!$E:$E, MATCH($A192, 'UA-normalized'!$A:$A, 0))), 0), 0))+(IFERROR(IF(7*INDEX('KZ-normalized'!$D:$D, MATCH($A192, 'KZ-normalized'!$A:$A, 0))-INDEX('KZ-normalized'!$E:$E, MATCH($A192, 'KZ-normalized'!$A:$A, 0))&gt;0, -(7*INDEX('KZ-normalized'!$D:$D, MATCH($A192, 'KZ-normalized'!$A:$A, 0))-INDEX('KZ-normalized'!$E:$E, MATCH($A192, 'KZ-normalized'!$A:$A, 0))), 0), 0))+(IFERROR(IF(7*INDEX('UZ-normalized'!$D:$D, MATCH($A192, 'UZ-normalized'!$A:$A, 0))-INDEX('UZ-normalized'!$E:$E, MATCH($A192, 'UZ-normalized'!$A:$A, 0))&gt;0, -(7*INDEX('UZ-normalized'!$D:$D, MATCH($A192, 'UZ-normalized'!$A:$A, 0))-INDEX('UZ-normalized'!$E:$E, MATCH($A192, 'UZ-normalized'!$A:$A, 0))), 0), 0)))</f>
        <v>-20.099999999999994</v>
      </c>
      <c r="V192" s="6">
        <f>MIN(0, N192+(IFERROR(IF(8*INDEX('UA-normalized'!$D:$D, MATCH($A192, 'UA-normalized'!$A:$A, 0))-INDEX('UA-normalized'!$E:$E, MATCH($A192, 'UA-normalized'!$A:$A, 0))&gt;0, -(8*INDEX('UA-normalized'!$D:$D, MATCH($A192, 'UA-normalized'!$A:$A, 0))-INDEX('UA-normalized'!$E:$E, MATCH($A192, 'UA-normalized'!$A:$A, 0))), 0), 0))+(IFERROR(IF(8*INDEX('KZ-normalized'!$D:$D, MATCH($A192, 'KZ-normalized'!$A:$A, 0))-INDEX('KZ-normalized'!$E:$E, MATCH($A192, 'KZ-normalized'!$A:$A, 0))&gt;0, -(8*INDEX('KZ-normalized'!$D:$D, MATCH($A192, 'KZ-normalized'!$A:$A, 0))-INDEX('KZ-normalized'!$E:$E, MATCH($A192, 'KZ-normalized'!$A:$A, 0))), 0), 0))+(IFERROR(IF(8*INDEX('UZ-normalized'!$D:$D, MATCH($A192, 'UZ-normalized'!$A:$A, 0))-INDEX('UZ-normalized'!$E:$E, MATCH($A192, 'UZ-normalized'!$A:$A, 0))&gt;0, -(8*INDEX('UZ-normalized'!$D:$D, MATCH($A192, 'UZ-normalized'!$A:$A, 0))-INDEX('UZ-normalized'!$E:$E, MATCH($A192, 'UZ-normalized'!$A:$A, 0))), 0), 0)))</f>
        <v>-31.399999999999995</v>
      </c>
      <c r="W192" s="6">
        <f>MIN(0, N192+(IFERROR(IF(9*INDEX('UA-normalized'!$D:$D, MATCH($A192, 'UA-normalized'!$A:$A, 0))-INDEX('UA-normalized'!$E:$E, MATCH($A192, 'UA-normalized'!$A:$A, 0))&gt;0, -(9*INDEX('UA-normalized'!$D:$D, MATCH($A192, 'UA-normalized'!$A:$A, 0))-INDEX('UA-normalized'!$E:$E, MATCH($A192, 'UA-normalized'!$A:$A, 0))), 0), 0))+(IFERROR(IF(9*INDEX('KZ-normalized'!$D:$D, MATCH($A192, 'KZ-normalized'!$A:$A, 0))-INDEX('KZ-normalized'!$E:$E, MATCH($A192, 'KZ-normalized'!$A:$A, 0))&gt;0, -(9*INDEX('KZ-normalized'!$D:$D, MATCH($A192, 'KZ-normalized'!$A:$A, 0))-INDEX('KZ-normalized'!$E:$E, MATCH($A192, 'KZ-normalized'!$A:$A, 0))), 0), 0))+(IFERROR(IF(9*INDEX('UZ-normalized'!$D:$D, MATCH($A192, 'UZ-normalized'!$A:$A, 0))-INDEX('UZ-normalized'!$E:$E, MATCH($A192, 'UZ-normalized'!$A:$A, 0))&gt;0, -(9*INDEX('UZ-normalized'!$D:$D, MATCH($A192, 'UZ-normalized'!$A:$A, 0))-INDEX('UZ-normalized'!$E:$E, MATCH($A192, 'UZ-normalized'!$A:$A, 0))), 0), 0)))</f>
        <v>-42.699999999999996</v>
      </c>
      <c r="X192" s="6">
        <f>MIN(0, N192+(IFERROR(IF(10*INDEX('UA-normalized'!$D:$D, MATCH($A192, 'UA-normalized'!$A:$A, 0))-INDEX('UA-normalized'!$E:$E, MATCH($A192, 'UA-normalized'!$A:$A, 0))&gt;0, -(10*INDEX('UA-normalized'!$D:$D, MATCH($A192, 'UA-normalized'!$A:$A, 0))-INDEX('UA-normalized'!$E:$E, MATCH($A192, 'UA-normalized'!$A:$A, 0))), 0), 0))+(IFERROR(IF(10*INDEX('KZ-normalized'!$D:$D, MATCH($A192, 'KZ-normalized'!$A:$A, 0))-INDEX('KZ-normalized'!$E:$E, MATCH($A192, 'KZ-normalized'!$A:$A, 0))&gt;0, -(10*INDEX('KZ-normalized'!$D:$D, MATCH($A192, 'KZ-normalized'!$A:$A, 0))-INDEX('KZ-normalized'!$E:$E, MATCH($A192, 'KZ-normalized'!$A:$A, 0))), 0), 0))+(IFERROR(IF(10*INDEX('UZ-normalized'!$D:$D, MATCH($A192, 'UZ-normalized'!$A:$A, 0))-INDEX('UZ-normalized'!$E:$E, MATCH($A192, 'UZ-normalized'!$A:$A, 0))&gt;0, -(10*INDEX('UZ-normalized'!$D:$D, MATCH($A192, 'UZ-normalized'!$A:$A, 0))-INDEX('UZ-normalized'!$E:$E, MATCH($A192, 'UZ-normalized'!$A:$A, 0))), 0), 0)))</f>
        <v>-54</v>
      </c>
      <c r="Y192" s="6">
        <f>MIN(0, N192+(IFERROR(IF(11*INDEX('UA-normalized'!$D:$D, MATCH($A192, 'UA-normalized'!$A:$A, 0))-INDEX('UA-normalized'!$E:$E, MATCH($A192, 'UA-normalized'!$A:$A, 0))&gt;0, -(11*INDEX('UA-normalized'!$D:$D, MATCH($A192, 'UA-normalized'!$A:$A, 0))-INDEX('UA-normalized'!$E:$E, MATCH($A192, 'UA-normalized'!$A:$A, 0))), 0), 0))+(IFERROR(IF(11*INDEX('KZ-normalized'!$D:$D, MATCH($A192, 'KZ-normalized'!$A:$A, 0))-INDEX('KZ-normalized'!$E:$E, MATCH($A192, 'KZ-normalized'!$A:$A, 0))&gt;0, -(11*INDEX('KZ-normalized'!$D:$D, MATCH($A192, 'KZ-normalized'!$A:$A, 0))-INDEX('KZ-normalized'!$E:$E, MATCH($A192, 'KZ-normalized'!$A:$A, 0))), 0), 0))+(IFERROR(IF(11*INDEX('UZ-normalized'!$D:$D, MATCH($A192, 'UZ-normalized'!$A:$A, 0))-INDEX('UZ-normalized'!$E:$E, MATCH($A192, 'UZ-normalized'!$A:$A, 0))&gt;0, -(11*INDEX('UZ-normalized'!$D:$D, MATCH($A192, 'UZ-normalized'!$A:$A, 0))-INDEX('UZ-normalized'!$E:$E, MATCH($A192, 'UZ-normalized'!$A:$A, 0))), 0), 0)))</f>
        <v>-65.299999999999983</v>
      </c>
      <c r="Z192" s="6">
        <f>MIN(0, N192+(IFERROR(IF(12*INDEX('UA-normalized'!$D:$D, MATCH($A192, 'UA-normalized'!$A:$A, 0))-INDEX('UA-normalized'!$E:$E, MATCH($A192, 'UA-normalized'!$A:$A, 0))&gt;0, -(12*INDEX('UA-normalized'!$D:$D, MATCH($A192, 'UA-normalized'!$A:$A, 0))-INDEX('UA-normalized'!$E:$E, MATCH($A192, 'UA-normalized'!$A:$A, 0))), 0), 0))+(IFERROR(IF(12*INDEX('KZ-normalized'!$D:$D, MATCH($A192, 'KZ-normalized'!$A:$A, 0))-INDEX('KZ-normalized'!$E:$E, MATCH($A192, 'KZ-normalized'!$A:$A, 0))&gt;0, -(12*INDEX('KZ-normalized'!$D:$D, MATCH($A192, 'KZ-normalized'!$A:$A, 0))-INDEX('KZ-normalized'!$E:$E, MATCH($A192, 'KZ-normalized'!$A:$A, 0))), 0), 0))+(IFERROR(IF(12*INDEX('UZ-normalized'!$D:$D, MATCH($A192, 'UZ-normalized'!$A:$A, 0))-INDEX('UZ-normalized'!$E:$E, MATCH($A192, 'UZ-normalized'!$A:$A, 0))&gt;0, -(12*INDEX('UZ-normalized'!$D:$D, MATCH($A192, 'UZ-normalized'!$A:$A, 0))-INDEX('UZ-normalized'!$E:$E, MATCH($A192, 'UZ-normalized'!$A:$A, 0))), 0), 0)))</f>
        <v>-76.599999999999994</v>
      </c>
      <c r="AA192" s="6">
        <f>MIN(0, N192+(IFERROR(IF(13*INDEX('UA-normalized'!$D:$D, MATCH($A192, 'UA-normalized'!$A:$A, 0))-INDEX('UA-normalized'!$E:$E, MATCH($A192, 'UA-normalized'!$A:$A, 0))&gt;0, -(13*INDEX('UA-normalized'!$D:$D, MATCH($A192, 'UA-normalized'!$A:$A, 0))-INDEX('UA-normalized'!$E:$E, MATCH($A192, 'UA-normalized'!$A:$A, 0))), 0), 0))+(IFERROR(IF(13*INDEX('KZ-normalized'!$D:$D, MATCH($A192, 'KZ-normalized'!$A:$A, 0))-INDEX('KZ-normalized'!$E:$E, MATCH($A192, 'KZ-normalized'!$A:$A, 0))&gt;0, -(13*INDEX('KZ-normalized'!$D:$D, MATCH($A192, 'KZ-normalized'!$A:$A, 0))-INDEX('KZ-normalized'!$E:$E, MATCH($A192, 'KZ-normalized'!$A:$A, 0))), 0), 0))+(IFERROR(IF(13*INDEX('UZ-normalized'!$D:$D, MATCH($A192, 'UZ-normalized'!$A:$A, 0))-INDEX('UZ-normalized'!$E:$E, MATCH($A192, 'UZ-normalized'!$A:$A, 0))&gt;0, -(13*INDEX('UZ-normalized'!$D:$D, MATCH($A192, 'UZ-normalized'!$A:$A, 0))-INDEX('UZ-normalized'!$E:$E, MATCH($A192, 'UZ-normalized'!$A:$A, 0))), 0), 0)))</f>
        <v>-87.899999999999991</v>
      </c>
      <c r="AB192" s="6">
        <f>MIN(0, N192+(IFERROR(IF(14*INDEX('UA-normalized'!$D:$D, MATCH($A192, 'UA-normalized'!$A:$A, 0))-INDEX('UA-normalized'!$E:$E, MATCH($A192, 'UA-normalized'!$A:$A, 0))&gt;0, -(14*INDEX('UA-normalized'!$D:$D, MATCH($A192, 'UA-normalized'!$A:$A, 0))-INDEX('UA-normalized'!$E:$E, MATCH($A192, 'UA-normalized'!$A:$A, 0))), 0), 0))+(IFERROR(IF(14*INDEX('KZ-normalized'!$D:$D, MATCH($A192, 'KZ-normalized'!$A:$A, 0))-INDEX('KZ-normalized'!$E:$E, MATCH($A192, 'KZ-normalized'!$A:$A, 0))&gt;0, -(14*INDEX('KZ-normalized'!$D:$D, MATCH($A192, 'KZ-normalized'!$A:$A, 0))-INDEX('KZ-normalized'!$E:$E, MATCH($A192, 'KZ-normalized'!$A:$A, 0))), 0), 0))+(IFERROR(IF(14*INDEX('UZ-normalized'!$D:$D, MATCH($A192, 'UZ-normalized'!$A:$A, 0))-INDEX('UZ-normalized'!$E:$E, MATCH($A192, 'UZ-normalized'!$A:$A, 0))&gt;0, -(14*INDEX('UZ-normalized'!$D:$D, MATCH($A192, 'UZ-normalized'!$A:$A, 0))-INDEX('UZ-normalized'!$E:$E, MATCH($A192, 'UZ-normalized'!$A:$A, 0))), 0), 0)))</f>
        <v>-99.199999999999989</v>
      </c>
      <c r="AC192" s="6">
        <f>MIN(0, N192+(IFERROR(IF(15*INDEX('UA-normalized'!$D:$D, MATCH($A192, 'UA-normalized'!$A:$A, 0))-INDEX('UA-normalized'!$E:$E, MATCH($A192, 'UA-normalized'!$A:$A, 0))&gt;0, -(15*INDEX('UA-normalized'!$D:$D, MATCH($A192, 'UA-normalized'!$A:$A, 0))-INDEX('UA-normalized'!$E:$E, MATCH($A192, 'UA-normalized'!$A:$A, 0))), 0), 0))+(IFERROR(IF(15*INDEX('KZ-normalized'!$D:$D, MATCH($A192, 'KZ-normalized'!$A:$A, 0))-INDEX('KZ-normalized'!$E:$E, MATCH($A192, 'KZ-normalized'!$A:$A, 0))&gt;0, -(15*INDEX('KZ-normalized'!$D:$D, MATCH($A192, 'KZ-normalized'!$A:$A, 0))-INDEX('KZ-normalized'!$E:$E, MATCH($A192, 'KZ-normalized'!$A:$A, 0))), 0), 0))+(IFERROR(IF(15*INDEX('UZ-normalized'!$D:$D, MATCH($A192, 'UZ-normalized'!$A:$A, 0))-INDEX('UZ-normalized'!$E:$E, MATCH($A192, 'UZ-normalized'!$A:$A, 0))&gt;0, -(15*INDEX('UZ-normalized'!$D:$D, MATCH($A192, 'UZ-normalized'!$A:$A, 0))-INDEX('UZ-normalized'!$E:$E, MATCH($A192, 'UZ-normalized'!$A:$A, 0))), 0), 0)))</f>
        <v>-110.49999999999999</v>
      </c>
      <c r="AD192" s="6">
        <f>MIN(0, N192+(IFERROR(IF(16*INDEX('UA-normalized'!$D:$D, MATCH($A192, 'UA-normalized'!$A:$A, 0))-INDEX('UA-normalized'!$E:$E, MATCH($A192, 'UA-normalized'!$A:$A, 0))&gt;0, -(16*INDEX('UA-normalized'!$D:$D, MATCH($A192, 'UA-normalized'!$A:$A, 0))-INDEX('UA-normalized'!$E:$E, MATCH($A192, 'UA-normalized'!$A:$A, 0))), 0), 0))+(IFERROR(IF(16*INDEX('KZ-normalized'!$D:$D, MATCH($A192, 'KZ-normalized'!$A:$A, 0))-INDEX('KZ-normalized'!$E:$E, MATCH($A192, 'KZ-normalized'!$A:$A, 0))&gt;0, -(16*INDEX('KZ-normalized'!$D:$D, MATCH($A192, 'KZ-normalized'!$A:$A, 0))-INDEX('KZ-normalized'!$E:$E, MATCH($A192, 'KZ-normalized'!$A:$A, 0))), 0), 0))+(IFERROR(IF(16*INDEX('UZ-normalized'!$D:$D, MATCH($A192, 'UZ-normalized'!$A:$A, 0))-INDEX('UZ-normalized'!$E:$E, MATCH($A192, 'UZ-normalized'!$A:$A, 0))&gt;0, -(16*INDEX('UZ-normalized'!$D:$D, MATCH($A192, 'UZ-normalized'!$A:$A, 0))-INDEX('UZ-normalized'!$E:$E, MATCH($A192, 'UZ-normalized'!$A:$A, 0))), 0), 0)))</f>
        <v>-121.79999999999998</v>
      </c>
      <c r="AE192" s="6">
        <f>MIN(0, N192+(IFERROR(IF(17*INDEX('UA-normalized'!$D:$D, MATCH($A192, 'UA-normalized'!$A:$A, 0))-INDEX('UA-normalized'!$E:$E, MATCH($A192, 'UA-normalized'!$A:$A, 0))&gt;0, -(17*INDEX('UA-normalized'!$D:$D, MATCH($A192, 'UA-normalized'!$A:$A, 0))-INDEX('UA-normalized'!$E:$E, MATCH($A192, 'UA-normalized'!$A:$A, 0))), 0), 0))+(IFERROR(IF(17*INDEX('KZ-normalized'!$D:$D, MATCH($A192, 'KZ-normalized'!$A:$A, 0))-INDEX('KZ-normalized'!$E:$E, MATCH($A192, 'KZ-normalized'!$A:$A, 0))&gt;0, -(17*INDEX('KZ-normalized'!$D:$D, MATCH($A192, 'KZ-normalized'!$A:$A, 0))-INDEX('KZ-normalized'!$E:$E, MATCH($A192, 'KZ-normalized'!$A:$A, 0))), 0), 0))+(IFERROR(IF(17*INDEX('UZ-normalized'!$D:$D, MATCH($A192, 'UZ-normalized'!$A:$A, 0))-INDEX('UZ-normalized'!$E:$E, MATCH($A192, 'UZ-normalized'!$A:$A, 0))&gt;0, -(17*INDEX('UZ-normalized'!$D:$D, MATCH($A192, 'UZ-normalized'!$A:$A, 0))-INDEX('UZ-normalized'!$E:$E, MATCH($A192, 'UZ-normalized'!$A:$A, 0))), 0), 0)))</f>
        <v>-133.09999999999997</v>
      </c>
      <c r="AF192" s="6">
        <f>MIN(0, N192+(IFERROR(IF(18*INDEX('UA-normalized'!$D:$D, MATCH($A192, 'UA-normalized'!$A:$A, 0))-INDEX('UA-normalized'!$E:$E, MATCH($A192, 'UA-normalized'!$A:$A, 0))&gt;0, -(18*INDEX('UA-normalized'!$D:$D, MATCH($A192, 'UA-normalized'!$A:$A, 0))-INDEX('UA-normalized'!$E:$E, MATCH($A192, 'UA-normalized'!$A:$A, 0))), 0), 0))+(IFERROR(IF(18*INDEX('KZ-normalized'!$D:$D, MATCH($A192, 'KZ-normalized'!$A:$A, 0))-INDEX('KZ-normalized'!$E:$E, MATCH($A192, 'KZ-normalized'!$A:$A, 0))&gt;0, -(18*INDEX('KZ-normalized'!$D:$D, MATCH($A192, 'KZ-normalized'!$A:$A, 0))-INDEX('KZ-normalized'!$E:$E, MATCH($A192, 'KZ-normalized'!$A:$A, 0))), 0), 0))+(IFERROR(IF(18*INDEX('UZ-normalized'!$D:$D, MATCH($A192, 'UZ-normalized'!$A:$A, 0))-INDEX('UZ-normalized'!$E:$E, MATCH($A192, 'UZ-normalized'!$A:$A, 0))&gt;0, -(18*INDEX('UZ-normalized'!$D:$D, MATCH($A192, 'UZ-normalized'!$A:$A, 0))-INDEX('UZ-normalized'!$E:$E, MATCH($A192, 'UZ-normalized'!$A:$A, 0))), 0), 0)))</f>
        <v>-144.4</v>
      </c>
      <c r="AG192" s="6">
        <f>MIN(0, N192+(IFERROR(IF(19*INDEX('UA-normalized'!$D:$D, MATCH($A192, 'UA-normalized'!$A:$A, 0))-INDEX('UA-normalized'!$E:$E, MATCH($A192, 'UA-normalized'!$A:$A, 0))&gt;0, -(19*INDEX('UA-normalized'!$D:$D, MATCH($A192, 'UA-normalized'!$A:$A, 0))-INDEX('UA-normalized'!$E:$E, MATCH($A192, 'UA-normalized'!$A:$A, 0))), 0), 0))+(IFERROR(IF(19*INDEX('KZ-normalized'!$D:$D, MATCH($A192, 'KZ-normalized'!$A:$A, 0))-INDEX('KZ-normalized'!$E:$E, MATCH($A192, 'KZ-normalized'!$A:$A, 0))&gt;0, -(19*INDEX('KZ-normalized'!$D:$D, MATCH($A192, 'KZ-normalized'!$A:$A, 0))-INDEX('KZ-normalized'!$E:$E, MATCH($A192, 'KZ-normalized'!$A:$A, 0))), 0), 0))+(IFERROR(IF(19*INDEX('UZ-normalized'!$D:$D, MATCH($A192, 'UZ-normalized'!$A:$A, 0))-INDEX('UZ-normalized'!$E:$E, MATCH($A192, 'UZ-normalized'!$A:$A, 0))&gt;0, -(19*INDEX('UZ-normalized'!$D:$D, MATCH($A192, 'UZ-normalized'!$A:$A, 0))-INDEX('UZ-normalized'!$E:$E, MATCH($A192, 'UZ-normalized'!$A:$A, 0))), 0), 0)))</f>
        <v>-155.69999999999999</v>
      </c>
      <c r="AH192" s="6">
        <f>MIN(0, N192+(IFERROR(IF(20*INDEX('UA-normalized'!$D:$D, MATCH($A192, 'UA-normalized'!$A:$A, 0))-INDEX('UA-normalized'!$E:$E, MATCH($A192, 'UA-normalized'!$A:$A, 0))&gt;0, -(20*INDEX('UA-normalized'!$D:$D, MATCH($A192, 'UA-normalized'!$A:$A, 0))-INDEX('UA-normalized'!$E:$E, MATCH($A192, 'UA-normalized'!$A:$A, 0))), 0), 0))+(IFERROR(IF(20*INDEX('KZ-normalized'!$D:$D, MATCH($A192, 'KZ-normalized'!$A:$A, 0))-INDEX('KZ-normalized'!$E:$E, MATCH($A192, 'KZ-normalized'!$A:$A, 0))&gt;0, -(20*INDEX('KZ-normalized'!$D:$D, MATCH($A192, 'KZ-normalized'!$A:$A, 0))-INDEX('KZ-normalized'!$E:$E, MATCH($A192, 'KZ-normalized'!$A:$A, 0))), 0), 0))+(IFERROR(IF(20*INDEX('UZ-normalized'!$D:$D, MATCH($A192, 'UZ-normalized'!$A:$A, 0))-INDEX('UZ-normalized'!$E:$E, MATCH($A192, 'UZ-normalized'!$A:$A, 0))&gt;0, -(20*INDEX('UZ-normalized'!$D:$D, MATCH($A192, 'UZ-normalized'!$A:$A, 0))-INDEX('UZ-normalized'!$E:$E, MATCH($A192, 'UZ-normalized'!$A:$A, 0))), 0), 0)))</f>
        <v>-167</v>
      </c>
      <c r="AI192" s="6">
        <f>MIN(0, N192+(IFERROR(IF(21*INDEX('UA-normalized'!$D:$D, MATCH($A192, 'UA-normalized'!$A:$A, 0))-INDEX('UA-normalized'!$E:$E, MATCH($A192, 'UA-normalized'!$A:$A, 0))&gt;0, -(21*INDEX('UA-normalized'!$D:$D, MATCH($A192, 'UA-normalized'!$A:$A, 0))-INDEX('UA-normalized'!$E:$E, MATCH($A192, 'UA-normalized'!$A:$A, 0))), 0), 0))+(IFERROR(IF(21*INDEX('KZ-normalized'!$D:$D, MATCH($A192, 'KZ-normalized'!$A:$A, 0))-INDEX('KZ-normalized'!$E:$E, MATCH($A192, 'KZ-normalized'!$A:$A, 0))&gt;0, -(21*INDEX('KZ-normalized'!$D:$D, MATCH($A192, 'KZ-normalized'!$A:$A, 0))-INDEX('KZ-normalized'!$E:$E, MATCH($A192, 'KZ-normalized'!$A:$A, 0))), 0), 0))+(IFERROR(IF(21*INDEX('UZ-normalized'!$D:$D, MATCH($A192, 'UZ-normalized'!$A:$A, 0))-INDEX('UZ-normalized'!$E:$E, MATCH($A192, 'UZ-normalized'!$A:$A, 0))&gt;0, -(21*INDEX('UZ-normalized'!$D:$D, MATCH($A192, 'UZ-normalized'!$A:$A, 0))-INDEX('UZ-normalized'!$E:$E, MATCH($A192, 'UZ-normalized'!$A:$A, 0))), 0), 0)))</f>
        <v>-178.29999999999998</v>
      </c>
      <c r="AJ192" s="6">
        <f>MIN(0, N192+(IFERROR(IF(22*INDEX('UA-normalized'!$D:$D, MATCH($A192, 'UA-normalized'!$A:$A, 0))-INDEX('UA-normalized'!$E:$E, MATCH($A192, 'UA-normalized'!$A:$A, 0))&gt;0, -(22*INDEX('UA-normalized'!$D:$D, MATCH($A192, 'UA-normalized'!$A:$A, 0))-INDEX('UA-normalized'!$E:$E, MATCH($A192, 'UA-normalized'!$A:$A, 0))), 0), 0))+(IFERROR(IF(22*INDEX('KZ-normalized'!$D:$D, MATCH($A192, 'KZ-normalized'!$A:$A, 0))-INDEX('KZ-normalized'!$E:$E, MATCH($A192, 'KZ-normalized'!$A:$A, 0))&gt;0, -(22*INDEX('KZ-normalized'!$D:$D, MATCH($A192, 'KZ-normalized'!$A:$A, 0))-INDEX('KZ-normalized'!$E:$E, MATCH($A192, 'KZ-normalized'!$A:$A, 0))), 0), 0))+(IFERROR(IF(22*INDEX('UZ-normalized'!$D:$D, MATCH($A192, 'UZ-normalized'!$A:$A, 0))-INDEX('UZ-normalized'!$E:$E, MATCH($A192, 'UZ-normalized'!$A:$A, 0))&gt;0, -(22*INDEX('UZ-normalized'!$D:$D, MATCH($A192, 'UZ-normalized'!$A:$A, 0))-INDEX('UZ-normalized'!$E:$E, MATCH($A192, 'UZ-normalized'!$A:$A, 0))), 0), 0)))</f>
        <v>-189.59999999999997</v>
      </c>
      <c r="AK192" s="6">
        <f>MIN(0, N192+(IFERROR(IF(23*INDEX('UA-normalized'!$D:$D, MATCH($A192, 'UA-normalized'!$A:$A, 0))-INDEX('UA-normalized'!$E:$E, MATCH($A192, 'UA-normalized'!$A:$A, 0))&gt;0, -(23*INDEX('UA-normalized'!$D:$D, MATCH($A192, 'UA-normalized'!$A:$A, 0))-INDEX('UA-normalized'!$E:$E, MATCH($A192, 'UA-normalized'!$A:$A, 0))), 0), 0))+(IFERROR(IF(23*INDEX('KZ-normalized'!$D:$D, MATCH($A192, 'KZ-normalized'!$A:$A, 0))-INDEX('KZ-normalized'!$E:$E, MATCH($A192, 'KZ-normalized'!$A:$A, 0))&gt;0, -(23*INDEX('KZ-normalized'!$D:$D, MATCH($A192, 'KZ-normalized'!$A:$A, 0))-INDEX('KZ-normalized'!$E:$E, MATCH($A192, 'KZ-normalized'!$A:$A, 0))), 0), 0))+(IFERROR(IF(23*INDEX('UZ-normalized'!$D:$D, MATCH($A192, 'UZ-normalized'!$A:$A, 0))-INDEX('UZ-normalized'!$E:$E, MATCH($A192, 'UZ-normalized'!$A:$A, 0))&gt;0, -(23*INDEX('UZ-normalized'!$D:$D, MATCH($A192, 'UZ-normalized'!$A:$A, 0))-INDEX('UZ-normalized'!$E:$E, MATCH($A192, 'UZ-normalized'!$A:$A, 0))), 0), 0)))</f>
        <v>-200.9</v>
      </c>
      <c r="AL192" s="6">
        <f>MIN(0, N192+(IFERROR(IF(24*INDEX('UA-normalized'!$D:$D, MATCH($A192, 'UA-normalized'!$A:$A, 0))-INDEX('UA-normalized'!$E:$E, MATCH($A192, 'UA-normalized'!$A:$A, 0))&gt;0, -(24*INDEX('UA-normalized'!$D:$D, MATCH($A192, 'UA-normalized'!$A:$A, 0))-INDEX('UA-normalized'!$E:$E, MATCH($A192, 'UA-normalized'!$A:$A, 0))), 0), 0))+(IFERROR(IF(24*INDEX('KZ-normalized'!$D:$D, MATCH($A192, 'KZ-normalized'!$A:$A, 0))-INDEX('KZ-normalized'!$E:$E, MATCH($A192, 'KZ-normalized'!$A:$A, 0))&gt;0, -(24*INDEX('KZ-normalized'!$D:$D, MATCH($A192, 'KZ-normalized'!$A:$A, 0))-INDEX('KZ-normalized'!$E:$E, MATCH($A192, 'KZ-normalized'!$A:$A, 0))), 0), 0))+(IFERROR(IF(24*INDEX('UZ-normalized'!$D:$D, MATCH($A192, 'UZ-normalized'!$A:$A, 0))-INDEX('UZ-normalized'!$E:$E, MATCH($A192, 'UZ-normalized'!$A:$A, 0))&gt;0, -(24*INDEX('UZ-normalized'!$D:$D, MATCH($A192, 'UZ-normalized'!$A:$A, 0))-INDEX('UZ-normalized'!$E:$E, MATCH($A192, 'UZ-normalized'!$A:$A, 0))), 0), 0)))</f>
        <v>-212.2</v>
      </c>
      <c r="AM192" s="6">
        <f>MIN(0, N192+(IFERROR(IF(25*INDEX('UA-normalized'!$D:$D, MATCH($A192, 'UA-normalized'!$A:$A, 0))-INDEX('UA-normalized'!$E:$E, MATCH($A192, 'UA-normalized'!$A:$A, 0))&gt;0, -(25*INDEX('UA-normalized'!$D:$D, MATCH($A192, 'UA-normalized'!$A:$A, 0))-INDEX('UA-normalized'!$E:$E, MATCH($A192, 'UA-normalized'!$A:$A, 0))), 0), 0))+(IFERROR(IF(25*INDEX('KZ-normalized'!$D:$D, MATCH($A192, 'KZ-normalized'!$A:$A, 0))-INDEX('KZ-normalized'!$E:$E, MATCH($A192, 'KZ-normalized'!$A:$A, 0))&gt;0, -(25*INDEX('KZ-normalized'!$D:$D, MATCH($A192, 'KZ-normalized'!$A:$A, 0))-INDEX('KZ-normalized'!$E:$E, MATCH($A192, 'KZ-normalized'!$A:$A, 0))), 0), 0))+(IFERROR(IF(25*INDEX('UZ-normalized'!$D:$D, MATCH($A192, 'UZ-normalized'!$A:$A, 0))-INDEX('UZ-normalized'!$E:$E, MATCH($A192, 'UZ-normalized'!$A:$A, 0))&gt;0, -(25*INDEX('UZ-normalized'!$D:$D, MATCH($A192, 'UZ-normalized'!$A:$A, 0))-INDEX('UZ-normalized'!$E:$E, MATCH($A192, 'UZ-normalized'!$A:$A, 0))), 0), 0)))</f>
        <v>-223.49999999999997</v>
      </c>
      <c r="AN192" s="6">
        <f>MIN(0, N192+(IFERROR(IF(26*INDEX('UA-normalized'!$D:$D, MATCH($A192, 'UA-normalized'!$A:$A, 0))-INDEX('UA-normalized'!$E:$E, MATCH($A192, 'UA-normalized'!$A:$A, 0))&gt;0, -(26*INDEX('UA-normalized'!$D:$D, MATCH($A192, 'UA-normalized'!$A:$A, 0))-INDEX('UA-normalized'!$E:$E, MATCH($A192, 'UA-normalized'!$A:$A, 0))), 0), 0))+(IFERROR(IF(26*INDEX('KZ-normalized'!$D:$D, MATCH($A192, 'KZ-normalized'!$A:$A, 0))-INDEX('KZ-normalized'!$E:$E, MATCH($A192, 'KZ-normalized'!$A:$A, 0))&gt;0, -(26*INDEX('KZ-normalized'!$D:$D, MATCH($A192, 'KZ-normalized'!$A:$A, 0))-INDEX('KZ-normalized'!$E:$E, MATCH($A192, 'KZ-normalized'!$A:$A, 0))), 0), 0))+(IFERROR(IF(26*INDEX('UZ-normalized'!$D:$D, MATCH($A192, 'UZ-normalized'!$A:$A, 0))-INDEX('UZ-normalized'!$E:$E, MATCH($A192, 'UZ-normalized'!$A:$A, 0))&gt;0, -(26*INDEX('UZ-normalized'!$D:$D, MATCH($A192, 'UZ-normalized'!$A:$A, 0))-INDEX('UZ-normalized'!$E:$E, MATCH($A192, 'UZ-normalized'!$A:$A, 0))), 0), 0)))</f>
        <v>-234.79999999999998</v>
      </c>
      <c r="AO192" s="6">
        <f>MIN(0, N192+(IFERROR(IF(27*INDEX('UA-normalized'!$D:$D, MATCH($A192, 'UA-normalized'!$A:$A, 0))-INDEX('UA-normalized'!$E:$E, MATCH($A192, 'UA-normalized'!$A:$A, 0))&gt;0, -(27*INDEX('UA-normalized'!$D:$D, MATCH($A192, 'UA-normalized'!$A:$A, 0))-INDEX('UA-normalized'!$E:$E, MATCH($A192, 'UA-normalized'!$A:$A, 0))), 0), 0))+(IFERROR(IF(27*INDEX('KZ-normalized'!$D:$D, MATCH($A192, 'KZ-normalized'!$A:$A, 0))-INDEX('KZ-normalized'!$E:$E, MATCH($A192, 'KZ-normalized'!$A:$A, 0))&gt;0, -(27*INDEX('KZ-normalized'!$D:$D, MATCH($A192, 'KZ-normalized'!$A:$A, 0))-INDEX('KZ-normalized'!$E:$E, MATCH($A192, 'KZ-normalized'!$A:$A, 0))), 0), 0))+(IFERROR(IF(27*INDEX('UZ-normalized'!$D:$D, MATCH($A192, 'UZ-normalized'!$A:$A, 0))-INDEX('UZ-normalized'!$E:$E, MATCH($A192, 'UZ-normalized'!$A:$A, 0))&gt;0, -(27*INDEX('UZ-normalized'!$D:$D, MATCH($A192, 'UZ-normalized'!$A:$A, 0))-INDEX('UZ-normalized'!$E:$E, MATCH($A192, 'UZ-normalized'!$A:$A, 0))), 0), 0)))</f>
        <v>-246.09999999999997</v>
      </c>
      <c r="AP192" s="6">
        <f>MIN(0, N192+(IFERROR(IF(28*INDEX('UA-normalized'!$D:$D, MATCH($A192, 'UA-normalized'!$A:$A, 0))-INDEX('UA-normalized'!$E:$E, MATCH($A192, 'UA-normalized'!$A:$A, 0))&gt;0, -(28*INDEX('UA-normalized'!$D:$D, MATCH($A192, 'UA-normalized'!$A:$A, 0))-INDEX('UA-normalized'!$E:$E, MATCH($A192, 'UA-normalized'!$A:$A, 0))), 0), 0))+(IFERROR(IF(28*INDEX('KZ-normalized'!$D:$D, MATCH($A192, 'KZ-normalized'!$A:$A, 0))-INDEX('KZ-normalized'!$E:$E, MATCH($A192, 'KZ-normalized'!$A:$A, 0))&gt;0, -(28*INDEX('KZ-normalized'!$D:$D, MATCH($A192, 'KZ-normalized'!$A:$A, 0))-INDEX('KZ-normalized'!$E:$E, MATCH($A192, 'KZ-normalized'!$A:$A, 0))), 0), 0))+(IFERROR(IF(28*INDEX('UZ-normalized'!$D:$D, MATCH($A192, 'UZ-normalized'!$A:$A, 0))-INDEX('UZ-normalized'!$E:$E, MATCH($A192, 'UZ-normalized'!$A:$A, 0))&gt;0, -(28*INDEX('UZ-normalized'!$D:$D, MATCH($A192, 'UZ-normalized'!$A:$A, 0))-INDEX('UZ-normalized'!$E:$E, MATCH($A192, 'UZ-normalized'!$A:$A, 0))), 0), 0)))</f>
        <v>-257.39999999999998</v>
      </c>
      <c r="AQ192" s="6">
        <f>MIN(0, N192+(IFERROR(IF(29*INDEX('UA-normalized'!$D:$D, MATCH($A192, 'UA-normalized'!$A:$A, 0))-INDEX('UA-normalized'!$E:$E, MATCH($A192, 'UA-normalized'!$A:$A, 0))&gt;0, -(29*INDEX('UA-normalized'!$D:$D, MATCH($A192, 'UA-normalized'!$A:$A, 0))-INDEX('UA-normalized'!$E:$E, MATCH($A192, 'UA-normalized'!$A:$A, 0))), 0), 0))+(IFERROR(IF(29*INDEX('KZ-normalized'!$D:$D, MATCH($A192, 'KZ-normalized'!$A:$A, 0))-INDEX('KZ-normalized'!$E:$E, MATCH($A192, 'KZ-normalized'!$A:$A, 0))&gt;0, -(29*INDEX('KZ-normalized'!$D:$D, MATCH($A192, 'KZ-normalized'!$A:$A, 0))-INDEX('KZ-normalized'!$E:$E, MATCH($A192, 'KZ-normalized'!$A:$A, 0))), 0), 0))+(IFERROR(IF(29*INDEX('UZ-normalized'!$D:$D, MATCH($A192, 'UZ-normalized'!$A:$A, 0))-INDEX('UZ-normalized'!$E:$E, MATCH($A192, 'UZ-normalized'!$A:$A, 0))&gt;0, -(29*INDEX('UZ-normalized'!$D:$D, MATCH($A192, 'UZ-normalized'!$A:$A, 0))-INDEX('UZ-normalized'!$E:$E, MATCH($A192, 'UZ-normalized'!$A:$A, 0))), 0), 0)))</f>
        <v>-268.7</v>
      </c>
      <c r="AR192" s="6">
        <f>MIN(0, N192+(IFERROR(IF(30*INDEX('UA-normalized'!$D:$D, MATCH($A192, 'UA-normalized'!$A:$A, 0))-INDEX('UA-normalized'!$E:$E, MATCH($A192, 'UA-normalized'!$A:$A, 0))&gt;0, -(30*INDEX('UA-normalized'!$D:$D, MATCH($A192, 'UA-normalized'!$A:$A, 0))-INDEX('UA-normalized'!$E:$E, MATCH($A192, 'UA-normalized'!$A:$A, 0))), 0), 0))+(IFERROR(IF(30*INDEX('KZ-normalized'!$D:$D, MATCH($A192, 'KZ-normalized'!$A:$A, 0))-INDEX('KZ-normalized'!$E:$E, MATCH($A192, 'KZ-normalized'!$A:$A, 0))&gt;0, -(30*INDEX('KZ-normalized'!$D:$D, MATCH($A192, 'KZ-normalized'!$A:$A, 0))-INDEX('KZ-normalized'!$E:$E, MATCH($A192, 'KZ-normalized'!$A:$A, 0))), 0), 0))+(IFERROR(IF(30*INDEX('UZ-normalized'!$D:$D, MATCH($A192, 'UZ-normalized'!$A:$A, 0))-INDEX('UZ-normalized'!$E:$E, MATCH($A192, 'UZ-normalized'!$A:$A, 0))&gt;0, -(30*INDEX('UZ-normalized'!$D:$D, MATCH($A192, 'UZ-normalized'!$A:$A, 0))-INDEX('UZ-normalized'!$E:$E, MATCH($A192, 'UZ-normalized'!$A:$A, 0))), 0), 0)))</f>
        <v>-280</v>
      </c>
    </row>
    <row r="193" spans="1:44" x14ac:dyDescent="0.25">
      <c r="A193" s="8" t="s">
        <v>463</v>
      </c>
      <c r="B193" s="8" t="s">
        <v>460</v>
      </c>
      <c r="C193" s="8" t="s">
        <v>461</v>
      </c>
      <c r="D193" s="8" t="s">
        <v>464</v>
      </c>
      <c r="G193">
        <v>-5</v>
      </c>
      <c r="N193">
        <f t="shared" si="2"/>
        <v>-5</v>
      </c>
      <c r="O193" s="6">
        <f>MIN(0, N193+(IFERROR(IF(1*INDEX('UA-normalized'!$D:$D, MATCH($A193, 'UA-normalized'!$A:$A, 0))-INDEX('UA-normalized'!$E:$E, MATCH($A193, 'UA-normalized'!$A:$A, 0))&gt;0, -(1*INDEX('UA-normalized'!$D:$D, MATCH($A193, 'UA-normalized'!$A:$A, 0))-INDEX('UA-normalized'!$E:$E, MATCH($A193, 'UA-normalized'!$A:$A, 0))), 0), 0))+(IFERROR(IF(1*INDEX('KZ-normalized'!$D:$D, MATCH($A193, 'KZ-normalized'!$A:$A, 0))-INDEX('KZ-normalized'!$E:$E, MATCH($A193, 'KZ-normalized'!$A:$A, 0))&gt;0, -(1*INDEX('KZ-normalized'!$D:$D, MATCH($A193, 'KZ-normalized'!$A:$A, 0))-INDEX('KZ-normalized'!$E:$E, MATCH($A193, 'KZ-normalized'!$A:$A, 0))), 0), 0))+(IFERROR(IF(1*INDEX('UZ-normalized'!$D:$D, MATCH($A193, 'UZ-normalized'!$A:$A, 0))-INDEX('UZ-normalized'!$E:$E, MATCH($A193, 'UZ-normalized'!$A:$A, 0))&gt;0, -(1*INDEX('UZ-normalized'!$D:$D, MATCH($A193, 'UZ-normalized'!$A:$A, 0))-INDEX('UZ-normalized'!$E:$E, MATCH($A193, 'UZ-normalized'!$A:$A, 0))), 0), 0)))</f>
        <v>-5</v>
      </c>
      <c r="P193" s="6">
        <f>MIN(0, N193+(IFERROR(IF(2*INDEX('UA-normalized'!$D:$D, MATCH($A193, 'UA-normalized'!$A:$A, 0))-INDEX('UA-normalized'!$E:$E, MATCH($A193, 'UA-normalized'!$A:$A, 0))&gt;0, -(2*INDEX('UA-normalized'!$D:$D, MATCH($A193, 'UA-normalized'!$A:$A, 0))-INDEX('UA-normalized'!$E:$E, MATCH($A193, 'UA-normalized'!$A:$A, 0))), 0), 0))+(IFERROR(IF(2*INDEX('KZ-normalized'!$D:$D, MATCH($A193, 'KZ-normalized'!$A:$A, 0))-INDEX('KZ-normalized'!$E:$E, MATCH($A193, 'KZ-normalized'!$A:$A, 0))&gt;0, -(2*INDEX('KZ-normalized'!$D:$D, MATCH($A193, 'KZ-normalized'!$A:$A, 0))-INDEX('KZ-normalized'!$E:$E, MATCH($A193, 'KZ-normalized'!$A:$A, 0))), 0), 0))+(IFERROR(IF(2*INDEX('UZ-normalized'!$D:$D, MATCH($A193, 'UZ-normalized'!$A:$A, 0))-INDEX('UZ-normalized'!$E:$E, MATCH($A193, 'UZ-normalized'!$A:$A, 0))&gt;0, -(2*INDEX('UZ-normalized'!$D:$D, MATCH($A193, 'UZ-normalized'!$A:$A, 0))-INDEX('UZ-normalized'!$E:$E, MATCH($A193, 'UZ-normalized'!$A:$A, 0))), 0), 0)))</f>
        <v>-5</v>
      </c>
      <c r="Q193" s="6">
        <f>MIN(0, N193+(IFERROR(IF(3*INDEX('UA-normalized'!$D:$D, MATCH($A193, 'UA-normalized'!$A:$A, 0))-INDEX('UA-normalized'!$E:$E, MATCH($A193, 'UA-normalized'!$A:$A, 0))&gt;0, -(3*INDEX('UA-normalized'!$D:$D, MATCH($A193, 'UA-normalized'!$A:$A, 0))-INDEX('UA-normalized'!$E:$E, MATCH($A193, 'UA-normalized'!$A:$A, 0))), 0), 0))+(IFERROR(IF(3*INDEX('KZ-normalized'!$D:$D, MATCH($A193, 'KZ-normalized'!$A:$A, 0))-INDEX('KZ-normalized'!$E:$E, MATCH($A193, 'KZ-normalized'!$A:$A, 0))&gt;0, -(3*INDEX('KZ-normalized'!$D:$D, MATCH($A193, 'KZ-normalized'!$A:$A, 0))-INDEX('KZ-normalized'!$E:$E, MATCH($A193, 'KZ-normalized'!$A:$A, 0))), 0), 0))+(IFERROR(IF(3*INDEX('UZ-normalized'!$D:$D, MATCH($A193, 'UZ-normalized'!$A:$A, 0))-INDEX('UZ-normalized'!$E:$E, MATCH($A193, 'UZ-normalized'!$A:$A, 0))&gt;0, -(3*INDEX('UZ-normalized'!$D:$D, MATCH($A193, 'UZ-normalized'!$A:$A, 0))-INDEX('UZ-normalized'!$E:$E, MATCH($A193, 'UZ-normalized'!$A:$A, 0))), 0), 0)))</f>
        <v>-5</v>
      </c>
      <c r="R193" s="6">
        <f>MIN(0, N193+(IFERROR(IF(4*INDEX('UA-normalized'!$D:$D, MATCH($A193, 'UA-normalized'!$A:$A, 0))-INDEX('UA-normalized'!$E:$E, MATCH($A193, 'UA-normalized'!$A:$A, 0))&gt;0, -(4*INDEX('UA-normalized'!$D:$D, MATCH($A193, 'UA-normalized'!$A:$A, 0))-INDEX('UA-normalized'!$E:$E, MATCH($A193, 'UA-normalized'!$A:$A, 0))), 0), 0))+(IFERROR(IF(4*INDEX('KZ-normalized'!$D:$D, MATCH($A193, 'KZ-normalized'!$A:$A, 0))-INDEX('KZ-normalized'!$E:$E, MATCH($A193, 'KZ-normalized'!$A:$A, 0))&gt;0, -(4*INDEX('KZ-normalized'!$D:$D, MATCH($A193, 'KZ-normalized'!$A:$A, 0))-INDEX('KZ-normalized'!$E:$E, MATCH($A193, 'KZ-normalized'!$A:$A, 0))), 0), 0))+(IFERROR(IF(4*INDEX('UZ-normalized'!$D:$D, MATCH($A193, 'UZ-normalized'!$A:$A, 0))-INDEX('UZ-normalized'!$E:$E, MATCH($A193, 'UZ-normalized'!$A:$A, 0))&gt;0, -(4*INDEX('UZ-normalized'!$D:$D, MATCH($A193, 'UZ-normalized'!$A:$A, 0))-INDEX('UZ-normalized'!$E:$E, MATCH($A193, 'UZ-normalized'!$A:$A, 0))), 0), 0)))</f>
        <v>-5.2</v>
      </c>
      <c r="S193" s="6">
        <f>MIN(0, N193+(IFERROR(IF(5*INDEX('UA-normalized'!$D:$D, MATCH($A193, 'UA-normalized'!$A:$A, 0))-INDEX('UA-normalized'!$E:$E, MATCH($A193, 'UA-normalized'!$A:$A, 0))&gt;0, -(5*INDEX('UA-normalized'!$D:$D, MATCH($A193, 'UA-normalized'!$A:$A, 0))-INDEX('UA-normalized'!$E:$E, MATCH($A193, 'UA-normalized'!$A:$A, 0))), 0), 0))+(IFERROR(IF(5*INDEX('KZ-normalized'!$D:$D, MATCH($A193, 'KZ-normalized'!$A:$A, 0))-INDEX('KZ-normalized'!$E:$E, MATCH($A193, 'KZ-normalized'!$A:$A, 0))&gt;0, -(5*INDEX('KZ-normalized'!$D:$D, MATCH($A193, 'KZ-normalized'!$A:$A, 0))-INDEX('KZ-normalized'!$E:$E, MATCH($A193, 'KZ-normalized'!$A:$A, 0))), 0), 0))+(IFERROR(IF(5*INDEX('UZ-normalized'!$D:$D, MATCH($A193, 'UZ-normalized'!$A:$A, 0))-INDEX('UZ-normalized'!$E:$E, MATCH($A193, 'UZ-normalized'!$A:$A, 0))&gt;0, -(5*INDEX('UZ-normalized'!$D:$D, MATCH($A193, 'UZ-normalized'!$A:$A, 0))-INDEX('UZ-normalized'!$E:$E, MATCH($A193, 'UZ-normalized'!$A:$A, 0))), 0), 0)))</f>
        <v>-6</v>
      </c>
      <c r="T193" s="6">
        <f>MIN(0, N193+(IFERROR(IF(6*INDEX('UA-normalized'!$D:$D, MATCH($A193, 'UA-normalized'!$A:$A, 0))-INDEX('UA-normalized'!$E:$E, MATCH($A193, 'UA-normalized'!$A:$A, 0))&gt;0, -(6*INDEX('UA-normalized'!$D:$D, MATCH($A193, 'UA-normalized'!$A:$A, 0))-INDEX('UA-normalized'!$E:$E, MATCH($A193, 'UA-normalized'!$A:$A, 0))), 0), 0))+(IFERROR(IF(6*INDEX('KZ-normalized'!$D:$D, MATCH($A193, 'KZ-normalized'!$A:$A, 0))-INDEX('KZ-normalized'!$E:$E, MATCH($A193, 'KZ-normalized'!$A:$A, 0))&gt;0, -(6*INDEX('KZ-normalized'!$D:$D, MATCH($A193, 'KZ-normalized'!$A:$A, 0))-INDEX('KZ-normalized'!$E:$E, MATCH($A193, 'KZ-normalized'!$A:$A, 0))), 0), 0))+(IFERROR(IF(6*INDEX('UZ-normalized'!$D:$D, MATCH($A193, 'UZ-normalized'!$A:$A, 0))-INDEX('UZ-normalized'!$E:$E, MATCH($A193, 'UZ-normalized'!$A:$A, 0))&gt;0, -(6*INDEX('UZ-normalized'!$D:$D, MATCH($A193, 'UZ-normalized'!$A:$A, 0))-INDEX('UZ-normalized'!$E:$E, MATCH($A193, 'UZ-normalized'!$A:$A, 0))), 0), 0)))</f>
        <v>-6.8000000000000007</v>
      </c>
      <c r="U193" s="6">
        <f>MIN(0, N193+(IFERROR(IF(7*INDEX('UA-normalized'!$D:$D, MATCH($A193, 'UA-normalized'!$A:$A, 0))-INDEX('UA-normalized'!$E:$E, MATCH($A193, 'UA-normalized'!$A:$A, 0))&gt;0, -(7*INDEX('UA-normalized'!$D:$D, MATCH($A193, 'UA-normalized'!$A:$A, 0))-INDEX('UA-normalized'!$E:$E, MATCH($A193, 'UA-normalized'!$A:$A, 0))), 0), 0))+(IFERROR(IF(7*INDEX('KZ-normalized'!$D:$D, MATCH($A193, 'KZ-normalized'!$A:$A, 0))-INDEX('KZ-normalized'!$E:$E, MATCH($A193, 'KZ-normalized'!$A:$A, 0))&gt;0, -(7*INDEX('KZ-normalized'!$D:$D, MATCH($A193, 'KZ-normalized'!$A:$A, 0))-INDEX('KZ-normalized'!$E:$E, MATCH($A193, 'KZ-normalized'!$A:$A, 0))), 0), 0))+(IFERROR(IF(7*INDEX('UZ-normalized'!$D:$D, MATCH($A193, 'UZ-normalized'!$A:$A, 0))-INDEX('UZ-normalized'!$E:$E, MATCH($A193, 'UZ-normalized'!$A:$A, 0))&gt;0, -(7*INDEX('UZ-normalized'!$D:$D, MATCH($A193, 'UZ-normalized'!$A:$A, 0))-INDEX('UZ-normalized'!$E:$E, MATCH($A193, 'UZ-normalized'!$A:$A, 0))), 0), 0)))</f>
        <v>-7.6000000000000005</v>
      </c>
      <c r="V193" s="6">
        <f>MIN(0, N193+(IFERROR(IF(8*INDEX('UA-normalized'!$D:$D, MATCH($A193, 'UA-normalized'!$A:$A, 0))-INDEX('UA-normalized'!$E:$E, MATCH($A193, 'UA-normalized'!$A:$A, 0))&gt;0, -(8*INDEX('UA-normalized'!$D:$D, MATCH($A193, 'UA-normalized'!$A:$A, 0))-INDEX('UA-normalized'!$E:$E, MATCH($A193, 'UA-normalized'!$A:$A, 0))), 0), 0))+(IFERROR(IF(8*INDEX('KZ-normalized'!$D:$D, MATCH($A193, 'KZ-normalized'!$A:$A, 0))-INDEX('KZ-normalized'!$E:$E, MATCH($A193, 'KZ-normalized'!$A:$A, 0))&gt;0, -(8*INDEX('KZ-normalized'!$D:$D, MATCH($A193, 'KZ-normalized'!$A:$A, 0))-INDEX('KZ-normalized'!$E:$E, MATCH($A193, 'KZ-normalized'!$A:$A, 0))), 0), 0))+(IFERROR(IF(8*INDEX('UZ-normalized'!$D:$D, MATCH($A193, 'UZ-normalized'!$A:$A, 0))-INDEX('UZ-normalized'!$E:$E, MATCH($A193, 'UZ-normalized'!$A:$A, 0))&gt;0, -(8*INDEX('UZ-normalized'!$D:$D, MATCH($A193, 'UZ-normalized'!$A:$A, 0))-INDEX('UZ-normalized'!$E:$E, MATCH($A193, 'UZ-normalized'!$A:$A, 0))), 0), 0)))</f>
        <v>-8.8000000000000007</v>
      </c>
      <c r="W193" s="6">
        <f>MIN(0, N193+(IFERROR(IF(9*INDEX('UA-normalized'!$D:$D, MATCH($A193, 'UA-normalized'!$A:$A, 0))-INDEX('UA-normalized'!$E:$E, MATCH($A193, 'UA-normalized'!$A:$A, 0))&gt;0, -(9*INDEX('UA-normalized'!$D:$D, MATCH($A193, 'UA-normalized'!$A:$A, 0))-INDEX('UA-normalized'!$E:$E, MATCH($A193, 'UA-normalized'!$A:$A, 0))), 0), 0))+(IFERROR(IF(9*INDEX('KZ-normalized'!$D:$D, MATCH($A193, 'KZ-normalized'!$A:$A, 0))-INDEX('KZ-normalized'!$E:$E, MATCH($A193, 'KZ-normalized'!$A:$A, 0))&gt;0, -(9*INDEX('KZ-normalized'!$D:$D, MATCH($A193, 'KZ-normalized'!$A:$A, 0))-INDEX('KZ-normalized'!$E:$E, MATCH($A193, 'KZ-normalized'!$A:$A, 0))), 0), 0))+(IFERROR(IF(9*INDEX('UZ-normalized'!$D:$D, MATCH($A193, 'UZ-normalized'!$A:$A, 0))-INDEX('UZ-normalized'!$E:$E, MATCH($A193, 'UZ-normalized'!$A:$A, 0))&gt;0, -(9*INDEX('UZ-normalized'!$D:$D, MATCH($A193, 'UZ-normalized'!$A:$A, 0))-INDEX('UZ-normalized'!$E:$E, MATCH($A193, 'UZ-normalized'!$A:$A, 0))), 0), 0)))</f>
        <v>-10.900000000000002</v>
      </c>
      <c r="X193" s="6">
        <f>MIN(0, N193+(IFERROR(IF(10*INDEX('UA-normalized'!$D:$D, MATCH($A193, 'UA-normalized'!$A:$A, 0))-INDEX('UA-normalized'!$E:$E, MATCH($A193, 'UA-normalized'!$A:$A, 0))&gt;0, -(10*INDEX('UA-normalized'!$D:$D, MATCH($A193, 'UA-normalized'!$A:$A, 0))-INDEX('UA-normalized'!$E:$E, MATCH($A193, 'UA-normalized'!$A:$A, 0))), 0), 0))+(IFERROR(IF(10*INDEX('KZ-normalized'!$D:$D, MATCH($A193, 'KZ-normalized'!$A:$A, 0))-INDEX('KZ-normalized'!$E:$E, MATCH($A193, 'KZ-normalized'!$A:$A, 0))&gt;0, -(10*INDEX('KZ-normalized'!$D:$D, MATCH($A193, 'KZ-normalized'!$A:$A, 0))-INDEX('KZ-normalized'!$E:$E, MATCH($A193, 'KZ-normalized'!$A:$A, 0))), 0), 0))+(IFERROR(IF(10*INDEX('UZ-normalized'!$D:$D, MATCH($A193, 'UZ-normalized'!$A:$A, 0))-INDEX('UZ-normalized'!$E:$E, MATCH($A193, 'UZ-normalized'!$A:$A, 0))&gt;0, -(10*INDEX('UZ-normalized'!$D:$D, MATCH($A193, 'UZ-normalized'!$A:$A, 0))-INDEX('UZ-normalized'!$E:$E, MATCH($A193, 'UZ-normalized'!$A:$A, 0))), 0), 0)))</f>
        <v>-13</v>
      </c>
      <c r="Y193" s="6">
        <f>MIN(0, N193+(IFERROR(IF(11*INDEX('UA-normalized'!$D:$D, MATCH($A193, 'UA-normalized'!$A:$A, 0))-INDEX('UA-normalized'!$E:$E, MATCH($A193, 'UA-normalized'!$A:$A, 0))&gt;0, -(11*INDEX('UA-normalized'!$D:$D, MATCH($A193, 'UA-normalized'!$A:$A, 0))-INDEX('UA-normalized'!$E:$E, MATCH($A193, 'UA-normalized'!$A:$A, 0))), 0), 0))+(IFERROR(IF(11*INDEX('KZ-normalized'!$D:$D, MATCH($A193, 'KZ-normalized'!$A:$A, 0))-INDEX('KZ-normalized'!$E:$E, MATCH($A193, 'KZ-normalized'!$A:$A, 0))&gt;0, -(11*INDEX('KZ-normalized'!$D:$D, MATCH($A193, 'KZ-normalized'!$A:$A, 0))-INDEX('KZ-normalized'!$E:$E, MATCH($A193, 'KZ-normalized'!$A:$A, 0))), 0), 0))+(IFERROR(IF(11*INDEX('UZ-normalized'!$D:$D, MATCH($A193, 'UZ-normalized'!$A:$A, 0))-INDEX('UZ-normalized'!$E:$E, MATCH($A193, 'UZ-normalized'!$A:$A, 0))&gt;0, -(11*INDEX('UZ-normalized'!$D:$D, MATCH($A193, 'UZ-normalized'!$A:$A, 0))-INDEX('UZ-normalized'!$E:$E, MATCH($A193, 'UZ-normalized'!$A:$A, 0))), 0), 0)))</f>
        <v>-15.100000000000001</v>
      </c>
      <c r="Z193" s="6">
        <f>MIN(0, N193+(IFERROR(IF(12*INDEX('UA-normalized'!$D:$D, MATCH($A193, 'UA-normalized'!$A:$A, 0))-INDEX('UA-normalized'!$E:$E, MATCH($A193, 'UA-normalized'!$A:$A, 0))&gt;0, -(12*INDEX('UA-normalized'!$D:$D, MATCH($A193, 'UA-normalized'!$A:$A, 0))-INDEX('UA-normalized'!$E:$E, MATCH($A193, 'UA-normalized'!$A:$A, 0))), 0), 0))+(IFERROR(IF(12*INDEX('KZ-normalized'!$D:$D, MATCH($A193, 'KZ-normalized'!$A:$A, 0))-INDEX('KZ-normalized'!$E:$E, MATCH($A193, 'KZ-normalized'!$A:$A, 0))&gt;0, -(12*INDEX('KZ-normalized'!$D:$D, MATCH($A193, 'KZ-normalized'!$A:$A, 0))-INDEX('KZ-normalized'!$E:$E, MATCH($A193, 'KZ-normalized'!$A:$A, 0))), 0), 0))+(IFERROR(IF(12*INDEX('UZ-normalized'!$D:$D, MATCH($A193, 'UZ-normalized'!$A:$A, 0))-INDEX('UZ-normalized'!$E:$E, MATCH($A193, 'UZ-normalized'!$A:$A, 0))&gt;0, -(12*INDEX('UZ-normalized'!$D:$D, MATCH($A193, 'UZ-normalized'!$A:$A, 0))-INDEX('UZ-normalized'!$E:$E, MATCH($A193, 'UZ-normalized'!$A:$A, 0))), 0), 0)))</f>
        <v>-17.200000000000003</v>
      </c>
      <c r="AA193" s="6">
        <f>MIN(0, N193+(IFERROR(IF(13*INDEX('UA-normalized'!$D:$D, MATCH($A193, 'UA-normalized'!$A:$A, 0))-INDEX('UA-normalized'!$E:$E, MATCH($A193, 'UA-normalized'!$A:$A, 0))&gt;0, -(13*INDEX('UA-normalized'!$D:$D, MATCH($A193, 'UA-normalized'!$A:$A, 0))-INDEX('UA-normalized'!$E:$E, MATCH($A193, 'UA-normalized'!$A:$A, 0))), 0), 0))+(IFERROR(IF(13*INDEX('KZ-normalized'!$D:$D, MATCH($A193, 'KZ-normalized'!$A:$A, 0))-INDEX('KZ-normalized'!$E:$E, MATCH($A193, 'KZ-normalized'!$A:$A, 0))&gt;0, -(13*INDEX('KZ-normalized'!$D:$D, MATCH($A193, 'KZ-normalized'!$A:$A, 0))-INDEX('KZ-normalized'!$E:$E, MATCH($A193, 'KZ-normalized'!$A:$A, 0))), 0), 0))+(IFERROR(IF(13*INDEX('UZ-normalized'!$D:$D, MATCH($A193, 'UZ-normalized'!$A:$A, 0))-INDEX('UZ-normalized'!$E:$E, MATCH($A193, 'UZ-normalized'!$A:$A, 0))&gt;0, -(13*INDEX('UZ-normalized'!$D:$D, MATCH($A193, 'UZ-normalized'!$A:$A, 0))-INDEX('UZ-normalized'!$E:$E, MATCH($A193, 'UZ-normalized'!$A:$A, 0))), 0), 0)))</f>
        <v>-19.300000000000004</v>
      </c>
      <c r="AB193" s="6">
        <f>MIN(0, N193+(IFERROR(IF(14*INDEX('UA-normalized'!$D:$D, MATCH($A193, 'UA-normalized'!$A:$A, 0))-INDEX('UA-normalized'!$E:$E, MATCH($A193, 'UA-normalized'!$A:$A, 0))&gt;0, -(14*INDEX('UA-normalized'!$D:$D, MATCH($A193, 'UA-normalized'!$A:$A, 0))-INDEX('UA-normalized'!$E:$E, MATCH($A193, 'UA-normalized'!$A:$A, 0))), 0), 0))+(IFERROR(IF(14*INDEX('KZ-normalized'!$D:$D, MATCH($A193, 'KZ-normalized'!$A:$A, 0))-INDEX('KZ-normalized'!$E:$E, MATCH($A193, 'KZ-normalized'!$A:$A, 0))&gt;0, -(14*INDEX('KZ-normalized'!$D:$D, MATCH($A193, 'KZ-normalized'!$A:$A, 0))-INDEX('KZ-normalized'!$E:$E, MATCH($A193, 'KZ-normalized'!$A:$A, 0))), 0), 0))+(IFERROR(IF(14*INDEX('UZ-normalized'!$D:$D, MATCH($A193, 'UZ-normalized'!$A:$A, 0))-INDEX('UZ-normalized'!$E:$E, MATCH($A193, 'UZ-normalized'!$A:$A, 0))&gt;0, -(14*INDEX('UZ-normalized'!$D:$D, MATCH($A193, 'UZ-normalized'!$A:$A, 0))-INDEX('UZ-normalized'!$E:$E, MATCH($A193, 'UZ-normalized'!$A:$A, 0))), 0), 0)))</f>
        <v>-21.4</v>
      </c>
      <c r="AC193" s="6">
        <f>MIN(0, N193+(IFERROR(IF(15*INDEX('UA-normalized'!$D:$D, MATCH($A193, 'UA-normalized'!$A:$A, 0))-INDEX('UA-normalized'!$E:$E, MATCH($A193, 'UA-normalized'!$A:$A, 0))&gt;0, -(15*INDEX('UA-normalized'!$D:$D, MATCH($A193, 'UA-normalized'!$A:$A, 0))-INDEX('UA-normalized'!$E:$E, MATCH($A193, 'UA-normalized'!$A:$A, 0))), 0), 0))+(IFERROR(IF(15*INDEX('KZ-normalized'!$D:$D, MATCH($A193, 'KZ-normalized'!$A:$A, 0))-INDEX('KZ-normalized'!$E:$E, MATCH($A193, 'KZ-normalized'!$A:$A, 0))&gt;0, -(15*INDEX('KZ-normalized'!$D:$D, MATCH($A193, 'KZ-normalized'!$A:$A, 0))-INDEX('KZ-normalized'!$E:$E, MATCH($A193, 'KZ-normalized'!$A:$A, 0))), 0), 0))+(IFERROR(IF(15*INDEX('UZ-normalized'!$D:$D, MATCH($A193, 'UZ-normalized'!$A:$A, 0))-INDEX('UZ-normalized'!$E:$E, MATCH($A193, 'UZ-normalized'!$A:$A, 0))&gt;0, -(15*INDEX('UZ-normalized'!$D:$D, MATCH($A193, 'UZ-normalized'!$A:$A, 0))-INDEX('UZ-normalized'!$E:$E, MATCH($A193, 'UZ-normalized'!$A:$A, 0))), 0), 0)))</f>
        <v>-23.5</v>
      </c>
      <c r="AD193" s="6">
        <f>MIN(0, N193+(IFERROR(IF(16*INDEX('UA-normalized'!$D:$D, MATCH($A193, 'UA-normalized'!$A:$A, 0))-INDEX('UA-normalized'!$E:$E, MATCH($A193, 'UA-normalized'!$A:$A, 0))&gt;0, -(16*INDEX('UA-normalized'!$D:$D, MATCH($A193, 'UA-normalized'!$A:$A, 0))-INDEX('UA-normalized'!$E:$E, MATCH($A193, 'UA-normalized'!$A:$A, 0))), 0), 0))+(IFERROR(IF(16*INDEX('KZ-normalized'!$D:$D, MATCH($A193, 'KZ-normalized'!$A:$A, 0))-INDEX('KZ-normalized'!$E:$E, MATCH($A193, 'KZ-normalized'!$A:$A, 0))&gt;0, -(16*INDEX('KZ-normalized'!$D:$D, MATCH($A193, 'KZ-normalized'!$A:$A, 0))-INDEX('KZ-normalized'!$E:$E, MATCH($A193, 'KZ-normalized'!$A:$A, 0))), 0), 0))+(IFERROR(IF(16*INDEX('UZ-normalized'!$D:$D, MATCH($A193, 'UZ-normalized'!$A:$A, 0))-INDEX('UZ-normalized'!$E:$E, MATCH($A193, 'UZ-normalized'!$A:$A, 0))&gt;0, -(16*INDEX('UZ-normalized'!$D:$D, MATCH($A193, 'UZ-normalized'!$A:$A, 0))-INDEX('UZ-normalized'!$E:$E, MATCH($A193, 'UZ-normalized'!$A:$A, 0))), 0), 0)))</f>
        <v>-25.6</v>
      </c>
      <c r="AE193" s="6">
        <f>MIN(0, N193+(IFERROR(IF(17*INDEX('UA-normalized'!$D:$D, MATCH($A193, 'UA-normalized'!$A:$A, 0))-INDEX('UA-normalized'!$E:$E, MATCH($A193, 'UA-normalized'!$A:$A, 0))&gt;0, -(17*INDEX('UA-normalized'!$D:$D, MATCH($A193, 'UA-normalized'!$A:$A, 0))-INDEX('UA-normalized'!$E:$E, MATCH($A193, 'UA-normalized'!$A:$A, 0))), 0), 0))+(IFERROR(IF(17*INDEX('KZ-normalized'!$D:$D, MATCH($A193, 'KZ-normalized'!$A:$A, 0))-INDEX('KZ-normalized'!$E:$E, MATCH($A193, 'KZ-normalized'!$A:$A, 0))&gt;0, -(17*INDEX('KZ-normalized'!$D:$D, MATCH($A193, 'KZ-normalized'!$A:$A, 0))-INDEX('KZ-normalized'!$E:$E, MATCH($A193, 'KZ-normalized'!$A:$A, 0))), 0), 0))+(IFERROR(IF(17*INDEX('UZ-normalized'!$D:$D, MATCH($A193, 'UZ-normalized'!$A:$A, 0))-INDEX('UZ-normalized'!$E:$E, MATCH($A193, 'UZ-normalized'!$A:$A, 0))&gt;0, -(17*INDEX('UZ-normalized'!$D:$D, MATCH($A193, 'UZ-normalized'!$A:$A, 0))-INDEX('UZ-normalized'!$E:$E, MATCH($A193, 'UZ-normalized'!$A:$A, 0))), 0), 0)))</f>
        <v>-27.700000000000003</v>
      </c>
      <c r="AF193" s="6">
        <f>MIN(0, N193+(IFERROR(IF(18*INDEX('UA-normalized'!$D:$D, MATCH($A193, 'UA-normalized'!$A:$A, 0))-INDEX('UA-normalized'!$E:$E, MATCH($A193, 'UA-normalized'!$A:$A, 0))&gt;0, -(18*INDEX('UA-normalized'!$D:$D, MATCH($A193, 'UA-normalized'!$A:$A, 0))-INDEX('UA-normalized'!$E:$E, MATCH($A193, 'UA-normalized'!$A:$A, 0))), 0), 0))+(IFERROR(IF(18*INDEX('KZ-normalized'!$D:$D, MATCH($A193, 'KZ-normalized'!$A:$A, 0))-INDEX('KZ-normalized'!$E:$E, MATCH($A193, 'KZ-normalized'!$A:$A, 0))&gt;0, -(18*INDEX('KZ-normalized'!$D:$D, MATCH($A193, 'KZ-normalized'!$A:$A, 0))-INDEX('KZ-normalized'!$E:$E, MATCH($A193, 'KZ-normalized'!$A:$A, 0))), 0), 0))+(IFERROR(IF(18*INDEX('UZ-normalized'!$D:$D, MATCH($A193, 'UZ-normalized'!$A:$A, 0))-INDEX('UZ-normalized'!$E:$E, MATCH($A193, 'UZ-normalized'!$A:$A, 0))&gt;0, -(18*INDEX('UZ-normalized'!$D:$D, MATCH($A193, 'UZ-normalized'!$A:$A, 0))-INDEX('UZ-normalized'!$E:$E, MATCH($A193, 'UZ-normalized'!$A:$A, 0))), 0), 0)))</f>
        <v>-29.800000000000004</v>
      </c>
      <c r="AG193" s="6">
        <f>MIN(0, N193+(IFERROR(IF(19*INDEX('UA-normalized'!$D:$D, MATCH($A193, 'UA-normalized'!$A:$A, 0))-INDEX('UA-normalized'!$E:$E, MATCH($A193, 'UA-normalized'!$A:$A, 0))&gt;0, -(19*INDEX('UA-normalized'!$D:$D, MATCH($A193, 'UA-normalized'!$A:$A, 0))-INDEX('UA-normalized'!$E:$E, MATCH($A193, 'UA-normalized'!$A:$A, 0))), 0), 0))+(IFERROR(IF(19*INDEX('KZ-normalized'!$D:$D, MATCH($A193, 'KZ-normalized'!$A:$A, 0))-INDEX('KZ-normalized'!$E:$E, MATCH($A193, 'KZ-normalized'!$A:$A, 0))&gt;0, -(19*INDEX('KZ-normalized'!$D:$D, MATCH($A193, 'KZ-normalized'!$A:$A, 0))-INDEX('KZ-normalized'!$E:$E, MATCH($A193, 'KZ-normalized'!$A:$A, 0))), 0), 0))+(IFERROR(IF(19*INDEX('UZ-normalized'!$D:$D, MATCH($A193, 'UZ-normalized'!$A:$A, 0))-INDEX('UZ-normalized'!$E:$E, MATCH($A193, 'UZ-normalized'!$A:$A, 0))&gt;0, -(19*INDEX('UZ-normalized'!$D:$D, MATCH($A193, 'UZ-normalized'!$A:$A, 0))-INDEX('UZ-normalized'!$E:$E, MATCH($A193, 'UZ-normalized'!$A:$A, 0))), 0), 0)))</f>
        <v>-31.9</v>
      </c>
      <c r="AH193" s="6">
        <f>MIN(0, N193+(IFERROR(IF(20*INDEX('UA-normalized'!$D:$D, MATCH($A193, 'UA-normalized'!$A:$A, 0))-INDEX('UA-normalized'!$E:$E, MATCH($A193, 'UA-normalized'!$A:$A, 0))&gt;0, -(20*INDEX('UA-normalized'!$D:$D, MATCH($A193, 'UA-normalized'!$A:$A, 0))-INDEX('UA-normalized'!$E:$E, MATCH($A193, 'UA-normalized'!$A:$A, 0))), 0), 0))+(IFERROR(IF(20*INDEX('KZ-normalized'!$D:$D, MATCH($A193, 'KZ-normalized'!$A:$A, 0))-INDEX('KZ-normalized'!$E:$E, MATCH($A193, 'KZ-normalized'!$A:$A, 0))&gt;0, -(20*INDEX('KZ-normalized'!$D:$D, MATCH($A193, 'KZ-normalized'!$A:$A, 0))-INDEX('KZ-normalized'!$E:$E, MATCH($A193, 'KZ-normalized'!$A:$A, 0))), 0), 0))+(IFERROR(IF(20*INDEX('UZ-normalized'!$D:$D, MATCH($A193, 'UZ-normalized'!$A:$A, 0))-INDEX('UZ-normalized'!$E:$E, MATCH($A193, 'UZ-normalized'!$A:$A, 0))&gt;0, -(20*INDEX('UZ-normalized'!$D:$D, MATCH($A193, 'UZ-normalized'!$A:$A, 0))-INDEX('UZ-normalized'!$E:$E, MATCH($A193, 'UZ-normalized'!$A:$A, 0))), 0), 0)))</f>
        <v>-37</v>
      </c>
      <c r="AI193" s="6">
        <f>MIN(0, N193+(IFERROR(IF(21*INDEX('UA-normalized'!$D:$D, MATCH($A193, 'UA-normalized'!$A:$A, 0))-INDEX('UA-normalized'!$E:$E, MATCH($A193, 'UA-normalized'!$A:$A, 0))&gt;0, -(21*INDEX('UA-normalized'!$D:$D, MATCH($A193, 'UA-normalized'!$A:$A, 0))-INDEX('UA-normalized'!$E:$E, MATCH($A193, 'UA-normalized'!$A:$A, 0))), 0), 0))+(IFERROR(IF(21*INDEX('KZ-normalized'!$D:$D, MATCH($A193, 'KZ-normalized'!$A:$A, 0))-INDEX('KZ-normalized'!$E:$E, MATCH($A193, 'KZ-normalized'!$A:$A, 0))&gt;0, -(21*INDEX('KZ-normalized'!$D:$D, MATCH($A193, 'KZ-normalized'!$A:$A, 0))-INDEX('KZ-normalized'!$E:$E, MATCH($A193, 'KZ-normalized'!$A:$A, 0))), 0), 0))+(IFERROR(IF(21*INDEX('UZ-normalized'!$D:$D, MATCH($A193, 'UZ-normalized'!$A:$A, 0))-INDEX('UZ-normalized'!$E:$E, MATCH($A193, 'UZ-normalized'!$A:$A, 0))&gt;0, -(21*INDEX('UZ-normalized'!$D:$D, MATCH($A193, 'UZ-normalized'!$A:$A, 0))-INDEX('UZ-normalized'!$E:$E, MATCH($A193, 'UZ-normalized'!$A:$A, 0))), 0), 0)))</f>
        <v>-42.499999999999993</v>
      </c>
      <c r="AJ193" s="6">
        <f>MIN(0, N193+(IFERROR(IF(22*INDEX('UA-normalized'!$D:$D, MATCH($A193, 'UA-normalized'!$A:$A, 0))-INDEX('UA-normalized'!$E:$E, MATCH($A193, 'UA-normalized'!$A:$A, 0))&gt;0, -(22*INDEX('UA-normalized'!$D:$D, MATCH($A193, 'UA-normalized'!$A:$A, 0))-INDEX('UA-normalized'!$E:$E, MATCH($A193, 'UA-normalized'!$A:$A, 0))), 0), 0))+(IFERROR(IF(22*INDEX('KZ-normalized'!$D:$D, MATCH($A193, 'KZ-normalized'!$A:$A, 0))-INDEX('KZ-normalized'!$E:$E, MATCH($A193, 'KZ-normalized'!$A:$A, 0))&gt;0, -(22*INDEX('KZ-normalized'!$D:$D, MATCH($A193, 'KZ-normalized'!$A:$A, 0))-INDEX('KZ-normalized'!$E:$E, MATCH($A193, 'KZ-normalized'!$A:$A, 0))), 0), 0))+(IFERROR(IF(22*INDEX('UZ-normalized'!$D:$D, MATCH($A193, 'UZ-normalized'!$A:$A, 0))-INDEX('UZ-normalized'!$E:$E, MATCH($A193, 'UZ-normalized'!$A:$A, 0))&gt;0, -(22*INDEX('UZ-normalized'!$D:$D, MATCH($A193, 'UZ-normalized'!$A:$A, 0))-INDEX('UZ-normalized'!$E:$E, MATCH($A193, 'UZ-normalized'!$A:$A, 0))), 0), 0)))</f>
        <v>-48</v>
      </c>
      <c r="AK193" s="6">
        <f>MIN(0, N193+(IFERROR(IF(23*INDEX('UA-normalized'!$D:$D, MATCH($A193, 'UA-normalized'!$A:$A, 0))-INDEX('UA-normalized'!$E:$E, MATCH($A193, 'UA-normalized'!$A:$A, 0))&gt;0, -(23*INDEX('UA-normalized'!$D:$D, MATCH($A193, 'UA-normalized'!$A:$A, 0))-INDEX('UA-normalized'!$E:$E, MATCH($A193, 'UA-normalized'!$A:$A, 0))), 0), 0))+(IFERROR(IF(23*INDEX('KZ-normalized'!$D:$D, MATCH($A193, 'KZ-normalized'!$A:$A, 0))-INDEX('KZ-normalized'!$E:$E, MATCH($A193, 'KZ-normalized'!$A:$A, 0))&gt;0, -(23*INDEX('KZ-normalized'!$D:$D, MATCH($A193, 'KZ-normalized'!$A:$A, 0))-INDEX('KZ-normalized'!$E:$E, MATCH($A193, 'KZ-normalized'!$A:$A, 0))), 0), 0))+(IFERROR(IF(23*INDEX('UZ-normalized'!$D:$D, MATCH($A193, 'UZ-normalized'!$A:$A, 0))-INDEX('UZ-normalized'!$E:$E, MATCH($A193, 'UZ-normalized'!$A:$A, 0))&gt;0, -(23*INDEX('UZ-normalized'!$D:$D, MATCH($A193, 'UZ-normalized'!$A:$A, 0))-INDEX('UZ-normalized'!$E:$E, MATCH($A193, 'UZ-normalized'!$A:$A, 0))), 0), 0)))</f>
        <v>-53.500000000000014</v>
      </c>
      <c r="AL193" s="6">
        <f>MIN(0, N193+(IFERROR(IF(24*INDEX('UA-normalized'!$D:$D, MATCH($A193, 'UA-normalized'!$A:$A, 0))-INDEX('UA-normalized'!$E:$E, MATCH($A193, 'UA-normalized'!$A:$A, 0))&gt;0, -(24*INDEX('UA-normalized'!$D:$D, MATCH($A193, 'UA-normalized'!$A:$A, 0))-INDEX('UA-normalized'!$E:$E, MATCH($A193, 'UA-normalized'!$A:$A, 0))), 0), 0))+(IFERROR(IF(24*INDEX('KZ-normalized'!$D:$D, MATCH($A193, 'KZ-normalized'!$A:$A, 0))-INDEX('KZ-normalized'!$E:$E, MATCH($A193, 'KZ-normalized'!$A:$A, 0))&gt;0, -(24*INDEX('KZ-normalized'!$D:$D, MATCH($A193, 'KZ-normalized'!$A:$A, 0))-INDEX('KZ-normalized'!$E:$E, MATCH($A193, 'KZ-normalized'!$A:$A, 0))), 0), 0))+(IFERROR(IF(24*INDEX('UZ-normalized'!$D:$D, MATCH($A193, 'UZ-normalized'!$A:$A, 0))-INDEX('UZ-normalized'!$E:$E, MATCH($A193, 'UZ-normalized'!$A:$A, 0))&gt;0, -(24*INDEX('UZ-normalized'!$D:$D, MATCH($A193, 'UZ-normalized'!$A:$A, 0))-INDEX('UZ-normalized'!$E:$E, MATCH($A193, 'UZ-normalized'!$A:$A, 0))), 0), 0)))</f>
        <v>-59</v>
      </c>
      <c r="AM193" s="6">
        <f>MIN(0, N193+(IFERROR(IF(25*INDEX('UA-normalized'!$D:$D, MATCH($A193, 'UA-normalized'!$A:$A, 0))-INDEX('UA-normalized'!$E:$E, MATCH($A193, 'UA-normalized'!$A:$A, 0))&gt;0, -(25*INDEX('UA-normalized'!$D:$D, MATCH($A193, 'UA-normalized'!$A:$A, 0))-INDEX('UA-normalized'!$E:$E, MATCH($A193, 'UA-normalized'!$A:$A, 0))), 0), 0))+(IFERROR(IF(25*INDEX('KZ-normalized'!$D:$D, MATCH($A193, 'KZ-normalized'!$A:$A, 0))-INDEX('KZ-normalized'!$E:$E, MATCH($A193, 'KZ-normalized'!$A:$A, 0))&gt;0, -(25*INDEX('KZ-normalized'!$D:$D, MATCH($A193, 'KZ-normalized'!$A:$A, 0))-INDEX('KZ-normalized'!$E:$E, MATCH($A193, 'KZ-normalized'!$A:$A, 0))), 0), 0))+(IFERROR(IF(25*INDEX('UZ-normalized'!$D:$D, MATCH($A193, 'UZ-normalized'!$A:$A, 0))-INDEX('UZ-normalized'!$E:$E, MATCH($A193, 'UZ-normalized'!$A:$A, 0))&gt;0, -(25*INDEX('UZ-normalized'!$D:$D, MATCH($A193, 'UZ-normalized'!$A:$A, 0))-INDEX('UZ-normalized'!$E:$E, MATCH($A193, 'UZ-normalized'!$A:$A, 0))), 0), 0)))</f>
        <v>-64.5</v>
      </c>
      <c r="AN193" s="6">
        <f>MIN(0, N193+(IFERROR(IF(26*INDEX('UA-normalized'!$D:$D, MATCH($A193, 'UA-normalized'!$A:$A, 0))-INDEX('UA-normalized'!$E:$E, MATCH($A193, 'UA-normalized'!$A:$A, 0))&gt;0, -(26*INDEX('UA-normalized'!$D:$D, MATCH($A193, 'UA-normalized'!$A:$A, 0))-INDEX('UA-normalized'!$E:$E, MATCH($A193, 'UA-normalized'!$A:$A, 0))), 0), 0))+(IFERROR(IF(26*INDEX('KZ-normalized'!$D:$D, MATCH($A193, 'KZ-normalized'!$A:$A, 0))-INDEX('KZ-normalized'!$E:$E, MATCH($A193, 'KZ-normalized'!$A:$A, 0))&gt;0, -(26*INDEX('KZ-normalized'!$D:$D, MATCH($A193, 'KZ-normalized'!$A:$A, 0))-INDEX('KZ-normalized'!$E:$E, MATCH($A193, 'KZ-normalized'!$A:$A, 0))), 0), 0))+(IFERROR(IF(26*INDEX('UZ-normalized'!$D:$D, MATCH($A193, 'UZ-normalized'!$A:$A, 0))-INDEX('UZ-normalized'!$E:$E, MATCH($A193, 'UZ-normalized'!$A:$A, 0))&gt;0, -(26*INDEX('UZ-normalized'!$D:$D, MATCH($A193, 'UZ-normalized'!$A:$A, 0))-INDEX('UZ-normalized'!$E:$E, MATCH($A193, 'UZ-normalized'!$A:$A, 0))), 0), 0)))</f>
        <v>-70</v>
      </c>
      <c r="AO193" s="6">
        <f>MIN(0, N193+(IFERROR(IF(27*INDEX('UA-normalized'!$D:$D, MATCH($A193, 'UA-normalized'!$A:$A, 0))-INDEX('UA-normalized'!$E:$E, MATCH($A193, 'UA-normalized'!$A:$A, 0))&gt;0, -(27*INDEX('UA-normalized'!$D:$D, MATCH($A193, 'UA-normalized'!$A:$A, 0))-INDEX('UA-normalized'!$E:$E, MATCH($A193, 'UA-normalized'!$A:$A, 0))), 0), 0))+(IFERROR(IF(27*INDEX('KZ-normalized'!$D:$D, MATCH($A193, 'KZ-normalized'!$A:$A, 0))-INDEX('KZ-normalized'!$E:$E, MATCH($A193, 'KZ-normalized'!$A:$A, 0))&gt;0, -(27*INDEX('KZ-normalized'!$D:$D, MATCH($A193, 'KZ-normalized'!$A:$A, 0))-INDEX('KZ-normalized'!$E:$E, MATCH($A193, 'KZ-normalized'!$A:$A, 0))), 0), 0))+(IFERROR(IF(27*INDEX('UZ-normalized'!$D:$D, MATCH($A193, 'UZ-normalized'!$A:$A, 0))-INDEX('UZ-normalized'!$E:$E, MATCH($A193, 'UZ-normalized'!$A:$A, 0))&gt;0, -(27*INDEX('UZ-normalized'!$D:$D, MATCH($A193, 'UZ-normalized'!$A:$A, 0))-INDEX('UZ-normalized'!$E:$E, MATCH($A193, 'UZ-normalized'!$A:$A, 0))), 0), 0)))</f>
        <v>-75.5</v>
      </c>
      <c r="AP193" s="6">
        <f>MIN(0, N193+(IFERROR(IF(28*INDEX('UA-normalized'!$D:$D, MATCH($A193, 'UA-normalized'!$A:$A, 0))-INDEX('UA-normalized'!$E:$E, MATCH($A193, 'UA-normalized'!$A:$A, 0))&gt;0, -(28*INDEX('UA-normalized'!$D:$D, MATCH($A193, 'UA-normalized'!$A:$A, 0))-INDEX('UA-normalized'!$E:$E, MATCH($A193, 'UA-normalized'!$A:$A, 0))), 0), 0))+(IFERROR(IF(28*INDEX('KZ-normalized'!$D:$D, MATCH($A193, 'KZ-normalized'!$A:$A, 0))-INDEX('KZ-normalized'!$E:$E, MATCH($A193, 'KZ-normalized'!$A:$A, 0))&gt;0, -(28*INDEX('KZ-normalized'!$D:$D, MATCH($A193, 'KZ-normalized'!$A:$A, 0))-INDEX('KZ-normalized'!$E:$E, MATCH($A193, 'KZ-normalized'!$A:$A, 0))), 0), 0))+(IFERROR(IF(28*INDEX('UZ-normalized'!$D:$D, MATCH($A193, 'UZ-normalized'!$A:$A, 0))-INDEX('UZ-normalized'!$E:$E, MATCH($A193, 'UZ-normalized'!$A:$A, 0))&gt;0, -(28*INDEX('UZ-normalized'!$D:$D, MATCH($A193, 'UZ-normalized'!$A:$A, 0))-INDEX('UZ-normalized'!$E:$E, MATCH($A193, 'UZ-normalized'!$A:$A, 0))), 0), 0)))</f>
        <v>-81</v>
      </c>
      <c r="AQ193" s="6">
        <f>MIN(0, N193+(IFERROR(IF(29*INDEX('UA-normalized'!$D:$D, MATCH($A193, 'UA-normalized'!$A:$A, 0))-INDEX('UA-normalized'!$E:$E, MATCH($A193, 'UA-normalized'!$A:$A, 0))&gt;0, -(29*INDEX('UA-normalized'!$D:$D, MATCH($A193, 'UA-normalized'!$A:$A, 0))-INDEX('UA-normalized'!$E:$E, MATCH($A193, 'UA-normalized'!$A:$A, 0))), 0), 0))+(IFERROR(IF(29*INDEX('KZ-normalized'!$D:$D, MATCH($A193, 'KZ-normalized'!$A:$A, 0))-INDEX('KZ-normalized'!$E:$E, MATCH($A193, 'KZ-normalized'!$A:$A, 0))&gt;0, -(29*INDEX('KZ-normalized'!$D:$D, MATCH($A193, 'KZ-normalized'!$A:$A, 0))-INDEX('KZ-normalized'!$E:$E, MATCH($A193, 'KZ-normalized'!$A:$A, 0))), 0), 0))+(IFERROR(IF(29*INDEX('UZ-normalized'!$D:$D, MATCH($A193, 'UZ-normalized'!$A:$A, 0))-INDEX('UZ-normalized'!$E:$E, MATCH($A193, 'UZ-normalized'!$A:$A, 0))&gt;0, -(29*INDEX('UZ-normalized'!$D:$D, MATCH($A193, 'UZ-normalized'!$A:$A, 0))-INDEX('UZ-normalized'!$E:$E, MATCH($A193, 'UZ-normalized'!$A:$A, 0))), 0), 0)))</f>
        <v>-86.5</v>
      </c>
      <c r="AR193" s="6">
        <f>MIN(0, N193+(IFERROR(IF(30*INDEX('UA-normalized'!$D:$D, MATCH($A193, 'UA-normalized'!$A:$A, 0))-INDEX('UA-normalized'!$E:$E, MATCH($A193, 'UA-normalized'!$A:$A, 0))&gt;0, -(30*INDEX('UA-normalized'!$D:$D, MATCH($A193, 'UA-normalized'!$A:$A, 0))-INDEX('UA-normalized'!$E:$E, MATCH($A193, 'UA-normalized'!$A:$A, 0))), 0), 0))+(IFERROR(IF(30*INDEX('KZ-normalized'!$D:$D, MATCH($A193, 'KZ-normalized'!$A:$A, 0))-INDEX('KZ-normalized'!$E:$E, MATCH($A193, 'KZ-normalized'!$A:$A, 0))&gt;0, -(30*INDEX('KZ-normalized'!$D:$D, MATCH($A193, 'KZ-normalized'!$A:$A, 0))-INDEX('KZ-normalized'!$E:$E, MATCH($A193, 'KZ-normalized'!$A:$A, 0))), 0), 0))+(IFERROR(IF(30*INDEX('UZ-normalized'!$D:$D, MATCH($A193, 'UZ-normalized'!$A:$A, 0))-INDEX('UZ-normalized'!$E:$E, MATCH($A193, 'UZ-normalized'!$A:$A, 0))&gt;0, -(30*INDEX('UZ-normalized'!$D:$D, MATCH($A193, 'UZ-normalized'!$A:$A, 0))-INDEX('UZ-normalized'!$E:$E, MATCH($A193, 'UZ-normalized'!$A:$A, 0))), 0), 0)))</f>
        <v>-92</v>
      </c>
    </row>
    <row r="194" spans="1:44" x14ac:dyDescent="0.25">
      <c r="A194" s="8" t="s">
        <v>465</v>
      </c>
      <c r="B194" s="8" t="s">
        <v>460</v>
      </c>
      <c r="C194" s="8" t="s">
        <v>466</v>
      </c>
      <c r="D194" s="8" t="s">
        <v>467</v>
      </c>
      <c r="E194">
        <v>528.5</v>
      </c>
      <c r="N194">
        <f t="shared" ref="N194:N257" si="3">SUM(E194:M194)</f>
        <v>528.5</v>
      </c>
      <c r="O194" s="6">
        <f>MIN(0, N194+(IFERROR(IF(1*INDEX('UA-normalized'!$D:$D, MATCH($A194, 'UA-normalized'!$A:$A, 0))-INDEX('UA-normalized'!$E:$E, MATCH($A194, 'UA-normalized'!$A:$A, 0))&gt;0, -(1*INDEX('UA-normalized'!$D:$D, MATCH($A194, 'UA-normalized'!$A:$A, 0))-INDEX('UA-normalized'!$E:$E, MATCH($A194, 'UA-normalized'!$A:$A, 0))), 0), 0))+(IFERROR(IF(1*INDEX('KZ-normalized'!$D:$D, MATCH($A194, 'KZ-normalized'!$A:$A, 0))-INDEX('KZ-normalized'!$E:$E, MATCH($A194, 'KZ-normalized'!$A:$A, 0))&gt;0, -(1*INDEX('KZ-normalized'!$D:$D, MATCH($A194, 'KZ-normalized'!$A:$A, 0))-INDEX('KZ-normalized'!$E:$E, MATCH($A194, 'KZ-normalized'!$A:$A, 0))), 0), 0))+(IFERROR(IF(1*INDEX('UZ-normalized'!$D:$D, MATCH($A194, 'UZ-normalized'!$A:$A, 0))-INDEX('UZ-normalized'!$E:$E, MATCH($A194, 'UZ-normalized'!$A:$A, 0))&gt;0, -(1*INDEX('UZ-normalized'!$D:$D, MATCH($A194, 'UZ-normalized'!$A:$A, 0))-INDEX('UZ-normalized'!$E:$E, MATCH($A194, 'UZ-normalized'!$A:$A, 0))), 0), 0)))</f>
        <v>0</v>
      </c>
      <c r="P194" s="6">
        <f>MIN(0, N194+(IFERROR(IF(2*INDEX('UA-normalized'!$D:$D, MATCH($A194, 'UA-normalized'!$A:$A, 0))-INDEX('UA-normalized'!$E:$E, MATCH($A194, 'UA-normalized'!$A:$A, 0))&gt;0, -(2*INDEX('UA-normalized'!$D:$D, MATCH($A194, 'UA-normalized'!$A:$A, 0))-INDEX('UA-normalized'!$E:$E, MATCH($A194, 'UA-normalized'!$A:$A, 0))), 0), 0))+(IFERROR(IF(2*INDEX('KZ-normalized'!$D:$D, MATCH($A194, 'KZ-normalized'!$A:$A, 0))-INDEX('KZ-normalized'!$E:$E, MATCH($A194, 'KZ-normalized'!$A:$A, 0))&gt;0, -(2*INDEX('KZ-normalized'!$D:$D, MATCH($A194, 'KZ-normalized'!$A:$A, 0))-INDEX('KZ-normalized'!$E:$E, MATCH($A194, 'KZ-normalized'!$A:$A, 0))), 0), 0))+(IFERROR(IF(2*INDEX('UZ-normalized'!$D:$D, MATCH($A194, 'UZ-normalized'!$A:$A, 0))-INDEX('UZ-normalized'!$E:$E, MATCH($A194, 'UZ-normalized'!$A:$A, 0))&gt;0, -(2*INDEX('UZ-normalized'!$D:$D, MATCH($A194, 'UZ-normalized'!$A:$A, 0))-INDEX('UZ-normalized'!$E:$E, MATCH($A194, 'UZ-normalized'!$A:$A, 0))), 0), 0)))</f>
        <v>0</v>
      </c>
      <c r="Q194" s="6">
        <f>MIN(0, N194+(IFERROR(IF(3*INDEX('UA-normalized'!$D:$D, MATCH($A194, 'UA-normalized'!$A:$A, 0))-INDEX('UA-normalized'!$E:$E, MATCH($A194, 'UA-normalized'!$A:$A, 0))&gt;0, -(3*INDEX('UA-normalized'!$D:$D, MATCH($A194, 'UA-normalized'!$A:$A, 0))-INDEX('UA-normalized'!$E:$E, MATCH($A194, 'UA-normalized'!$A:$A, 0))), 0), 0))+(IFERROR(IF(3*INDEX('KZ-normalized'!$D:$D, MATCH($A194, 'KZ-normalized'!$A:$A, 0))-INDEX('KZ-normalized'!$E:$E, MATCH($A194, 'KZ-normalized'!$A:$A, 0))&gt;0, -(3*INDEX('KZ-normalized'!$D:$D, MATCH($A194, 'KZ-normalized'!$A:$A, 0))-INDEX('KZ-normalized'!$E:$E, MATCH($A194, 'KZ-normalized'!$A:$A, 0))), 0), 0))+(IFERROR(IF(3*INDEX('UZ-normalized'!$D:$D, MATCH($A194, 'UZ-normalized'!$A:$A, 0))-INDEX('UZ-normalized'!$E:$E, MATCH($A194, 'UZ-normalized'!$A:$A, 0))&gt;0, -(3*INDEX('UZ-normalized'!$D:$D, MATCH($A194, 'UZ-normalized'!$A:$A, 0))-INDEX('UZ-normalized'!$E:$E, MATCH($A194, 'UZ-normalized'!$A:$A, 0))), 0), 0)))</f>
        <v>0</v>
      </c>
      <c r="R194" s="6">
        <f>MIN(0, N194+(IFERROR(IF(4*INDEX('UA-normalized'!$D:$D, MATCH($A194, 'UA-normalized'!$A:$A, 0))-INDEX('UA-normalized'!$E:$E, MATCH($A194, 'UA-normalized'!$A:$A, 0))&gt;0, -(4*INDEX('UA-normalized'!$D:$D, MATCH($A194, 'UA-normalized'!$A:$A, 0))-INDEX('UA-normalized'!$E:$E, MATCH($A194, 'UA-normalized'!$A:$A, 0))), 0), 0))+(IFERROR(IF(4*INDEX('KZ-normalized'!$D:$D, MATCH($A194, 'KZ-normalized'!$A:$A, 0))-INDEX('KZ-normalized'!$E:$E, MATCH($A194, 'KZ-normalized'!$A:$A, 0))&gt;0, -(4*INDEX('KZ-normalized'!$D:$D, MATCH($A194, 'KZ-normalized'!$A:$A, 0))-INDEX('KZ-normalized'!$E:$E, MATCH($A194, 'KZ-normalized'!$A:$A, 0))), 0), 0))+(IFERROR(IF(4*INDEX('UZ-normalized'!$D:$D, MATCH($A194, 'UZ-normalized'!$A:$A, 0))-INDEX('UZ-normalized'!$E:$E, MATCH($A194, 'UZ-normalized'!$A:$A, 0))&gt;0, -(4*INDEX('UZ-normalized'!$D:$D, MATCH($A194, 'UZ-normalized'!$A:$A, 0))-INDEX('UZ-normalized'!$E:$E, MATCH($A194, 'UZ-normalized'!$A:$A, 0))), 0), 0)))</f>
        <v>0</v>
      </c>
      <c r="S194" s="6">
        <f>MIN(0, N194+(IFERROR(IF(5*INDEX('UA-normalized'!$D:$D, MATCH($A194, 'UA-normalized'!$A:$A, 0))-INDEX('UA-normalized'!$E:$E, MATCH($A194, 'UA-normalized'!$A:$A, 0))&gt;0, -(5*INDEX('UA-normalized'!$D:$D, MATCH($A194, 'UA-normalized'!$A:$A, 0))-INDEX('UA-normalized'!$E:$E, MATCH($A194, 'UA-normalized'!$A:$A, 0))), 0), 0))+(IFERROR(IF(5*INDEX('KZ-normalized'!$D:$D, MATCH($A194, 'KZ-normalized'!$A:$A, 0))-INDEX('KZ-normalized'!$E:$E, MATCH($A194, 'KZ-normalized'!$A:$A, 0))&gt;0, -(5*INDEX('KZ-normalized'!$D:$D, MATCH($A194, 'KZ-normalized'!$A:$A, 0))-INDEX('KZ-normalized'!$E:$E, MATCH($A194, 'KZ-normalized'!$A:$A, 0))), 0), 0))+(IFERROR(IF(5*INDEX('UZ-normalized'!$D:$D, MATCH($A194, 'UZ-normalized'!$A:$A, 0))-INDEX('UZ-normalized'!$E:$E, MATCH($A194, 'UZ-normalized'!$A:$A, 0))&gt;0, -(5*INDEX('UZ-normalized'!$D:$D, MATCH($A194, 'UZ-normalized'!$A:$A, 0))-INDEX('UZ-normalized'!$E:$E, MATCH($A194, 'UZ-normalized'!$A:$A, 0))), 0), 0)))</f>
        <v>0</v>
      </c>
      <c r="T194" s="6">
        <f>MIN(0, N194+(IFERROR(IF(6*INDEX('UA-normalized'!$D:$D, MATCH($A194, 'UA-normalized'!$A:$A, 0))-INDEX('UA-normalized'!$E:$E, MATCH($A194, 'UA-normalized'!$A:$A, 0))&gt;0, -(6*INDEX('UA-normalized'!$D:$D, MATCH($A194, 'UA-normalized'!$A:$A, 0))-INDEX('UA-normalized'!$E:$E, MATCH($A194, 'UA-normalized'!$A:$A, 0))), 0), 0))+(IFERROR(IF(6*INDEX('KZ-normalized'!$D:$D, MATCH($A194, 'KZ-normalized'!$A:$A, 0))-INDEX('KZ-normalized'!$E:$E, MATCH($A194, 'KZ-normalized'!$A:$A, 0))&gt;0, -(6*INDEX('KZ-normalized'!$D:$D, MATCH($A194, 'KZ-normalized'!$A:$A, 0))-INDEX('KZ-normalized'!$E:$E, MATCH($A194, 'KZ-normalized'!$A:$A, 0))), 0), 0))+(IFERROR(IF(6*INDEX('UZ-normalized'!$D:$D, MATCH($A194, 'UZ-normalized'!$A:$A, 0))-INDEX('UZ-normalized'!$E:$E, MATCH($A194, 'UZ-normalized'!$A:$A, 0))&gt;0, -(6*INDEX('UZ-normalized'!$D:$D, MATCH($A194, 'UZ-normalized'!$A:$A, 0))-INDEX('UZ-normalized'!$E:$E, MATCH($A194, 'UZ-normalized'!$A:$A, 0))), 0), 0)))</f>
        <v>0</v>
      </c>
      <c r="U194" s="6">
        <f>MIN(0, N194+(IFERROR(IF(7*INDEX('UA-normalized'!$D:$D, MATCH($A194, 'UA-normalized'!$A:$A, 0))-INDEX('UA-normalized'!$E:$E, MATCH($A194, 'UA-normalized'!$A:$A, 0))&gt;0, -(7*INDEX('UA-normalized'!$D:$D, MATCH($A194, 'UA-normalized'!$A:$A, 0))-INDEX('UA-normalized'!$E:$E, MATCH($A194, 'UA-normalized'!$A:$A, 0))), 0), 0))+(IFERROR(IF(7*INDEX('KZ-normalized'!$D:$D, MATCH($A194, 'KZ-normalized'!$A:$A, 0))-INDEX('KZ-normalized'!$E:$E, MATCH($A194, 'KZ-normalized'!$A:$A, 0))&gt;0, -(7*INDEX('KZ-normalized'!$D:$D, MATCH($A194, 'KZ-normalized'!$A:$A, 0))-INDEX('KZ-normalized'!$E:$E, MATCH($A194, 'KZ-normalized'!$A:$A, 0))), 0), 0))+(IFERROR(IF(7*INDEX('UZ-normalized'!$D:$D, MATCH($A194, 'UZ-normalized'!$A:$A, 0))-INDEX('UZ-normalized'!$E:$E, MATCH($A194, 'UZ-normalized'!$A:$A, 0))&gt;0, -(7*INDEX('UZ-normalized'!$D:$D, MATCH($A194, 'UZ-normalized'!$A:$A, 0))-INDEX('UZ-normalized'!$E:$E, MATCH($A194, 'UZ-normalized'!$A:$A, 0))), 0), 0)))</f>
        <v>0</v>
      </c>
      <c r="V194" s="6">
        <f>MIN(0, N194+(IFERROR(IF(8*INDEX('UA-normalized'!$D:$D, MATCH($A194, 'UA-normalized'!$A:$A, 0))-INDEX('UA-normalized'!$E:$E, MATCH($A194, 'UA-normalized'!$A:$A, 0))&gt;0, -(8*INDEX('UA-normalized'!$D:$D, MATCH($A194, 'UA-normalized'!$A:$A, 0))-INDEX('UA-normalized'!$E:$E, MATCH($A194, 'UA-normalized'!$A:$A, 0))), 0), 0))+(IFERROR(IF(8*INDEX('KZ-normalized'!$D:$D, MATCH($A194, 'KZ-normalized'!$A:$A, 0))-INDEX('KZ-normalized'!$E:$E, MATCH($A194, 'KZ-normalized'!$A:$A, 0))&gt;0, -(8*INDEX('KZ-normalized'!$D:$D, MATCH($A194, 'KZ-normalized'!$A:$A, 0))-INDEX('KZ-normalized'!$E:$E, MATCH($A194, 'KZ-normalized'!$A:$A, 0))), 0), 0))+(IFERROR(IF(8*INDEX('UZ-normalized'!$D:$D, MATCH($A194, 'UZ-normalized'!$A:$A, 0))-INDEX('UZ-normalized'!$E:$E, MATCH($A194, 'UZ-normalized'!$A:$A, 0))&gt;0, -(8*INDEX('UZ-normalized'!$D:$D, MATCH($A194, 'UZ-normalized'!$A:$A, 0))-INDEX('UZ-normalized'!$E:$E, MATCH($A194, 'UZ-normalized'!$A:$A, 0))), 0), 0)))</f>
        <v>0</v>
      </c>
      <c r="W194" s="6">
        <f>MIN(0, N194+(IFERROR(IF(9*INDEX('UA-normalized'!$D:$D, MATCH($A194, 'UA-normalized'!$A:$A, 0))-INDEX('UA-normalized'!$E:$E, MATCH($A194, 'UA-normalized'!$A:$A, 0))&gt;0, -(9*INDEX('UA-normalized'!$D:$D, MATCH($A194, 'UA-normalized'!$A:$A, 0))-INDEX('UA-normalized'!$E:$E, MATCH($A194, 'UA-normalized'!$A:$A, 0))), 0), 0))+(IFERROR(IF(9*INDEX('KZ-normalized'!$D:$D, MATCH($A194, 'KZ-normalized'!$A:$A, 0))-INDEX('KZ-normalized'!$E:$E, MATCH($A194, 'KZ-normalized'!$A:$A, 0))&gt;0, -(9*INDEX('KZ-normalized'!$D:$D, MATCH($A194, 'KZ-normalized'!$A:$A, 0))-INDEX('KZ-normalized'!$E:$E, MATCH($A194, 'KZ-normalized'!$A:$A, 0))), 0), 0))+(IFERROR(IF(9*INDEX('UZ-normalized'!$D:$D, MATCH($A194, 'UZ-normalized'!$A:$A, 0))-INDEX('UZ-normalized'!$E:$E, MATCH($A194, 'UZ-normalized'!$A:$A, 0))&gt;0, -(9*INDEX('UZ-normalized'!$D:$D, MATCH($A194, 'UZ-normalized'!$A:$A, 0))-INDEX('UZ-normalized'!$E:$E, MATCH($A194, 'UZ-normalized'!$A:$A, 0))), 0), 0)))</f>
        <v>0</v>
      </c>
      <c r="X194" s="6">
        <f>MIN(0, N194+(IFERROR(IF(10*INDEX('UA-normalized'!$D:$D, MATCH($A194, 'UA-normalized'!$A:$A, 0))-INDEX('UA-normalized'!$E:$E, MATCH($A194, 'UA-normalized'!$A:$A, 0))&gt;0, -(10*INDEX('UA-normalized'!$D:$D, MATCH($A194, 'UA-normalized'!$A:$A, 0))-INDEX('UA-normalized'!$E:$E, MATCH($A194, 'UA-normalized'!$A:$A, 0))), 0), 0))+(IFERROR(IF(10*INDEX('KZ-normalized'!$D:$D, MATCH($A194, 'KZ-normalized'!$A:$A, 0))-INDEX('KZ-normalized'!$E:$E, MATCH($A194, 'KZ-normalized'!$A:$A, 0))&gt;0, -(10*INDEX('KZ-normalized'!$D:$D, MATCH($A194, 'KZ-normalized'!$A:$A, 0))-INDEX('KZ-normalized'!$E:$E, MATCH($A194, 'KZ-normalized'!$A:$A, 0))), 0), 0))+(IFERROR(IF(10*INDEX('UZ-normalized'!$D:$D, MATCH($A194, 'UZ-normalized'!$A:$A, 0))-INDEX('UZ-normalized'!$E:$E, MATCH($A194, 'UZ-normalized'!$A:$A, 0))&gt;0, -(10*INDEX('UZ-normalized'!$D:$D, MATCH($A194, 'UZ-normalized'!$A:$A, 0))-INDEX('UZ-normalized'!$E:$E, MATCH($A194, 'UZ-normalized'!$A:$A, 0))), 0), 0)))</f>
        <v>0</v>
      </c>
      <c r="Y194" s="6">
        <f>MIN(0, N194+(IFERROR(IF(11*INDEX('UA-normalized'!$D:$D, MATCH($A194, 'UA-normalized'!$A:$A, 0))-INDEX('UA-normalized'!$E:$E, MATCH($A194, 'UA-normalized'!$A:$A, 0))&gt;0, -(11*INDEX('UA-normalized'!$D:$D, MATCH($A194, 'UA-normalized'!$A:$A, 0))-INDEX('UA-normalized'!$E:$E, MATCH($A194, 'UA-normalized'!$A:$A, 0))), 0), 0))+(IFERROR(IF(11*INDEX('KZ-normalized'!$D:$D, MATCH($A194, 'KZ-normalized'!$A:$A, 0))-INDEX('KZ-normalized'!$E:$E, MATCH($A194, 'KZ-normalized'!$A:$A, 0))&gt;0, -(11*INDEX('KZ-normalized'!$D:$D, MATCH($A194, 'KZ-normalized'!$A:$A, 0))-INDEX('KZ-normalized'!$E:$E, MATCH($A194, 'KZ-normalized'!$A:$A, 0))), 0), 0))+(IFERROR(IF(11*INDEX('UZ-normalized'!$D:$D, MATCH($A194, 'UZ-normalized'!$A:$A, 0))-INDEX('UZ-normalized'!$E:$E, MATCH($A194, 'UZ-normalized'!$A:$A, 0))&gt;0, -(11*INDEX('UZ-normalized'!$D:$D, MATCH($A194, 'UZ-normalized'!$A:$A, 0))-INDEX('UZ-normalized'!$E:$E, MATCH($A194, 'UZ-normalized'!$A:$A, 0))), 0), 0)))</f>
        <v>0</v>
      </c>
      <c r="Z194" s="6">
        <f>MIN(0, N194+(IFERROR(IF(12*INDEX('UA-normalized'!$D:$D, MATCH($A194, 'UA-normalized'!$A:$A, 0))-INDEX('UA-normalized'!$E:$E, MATCH($A194, 'UA-normalized'!$A:$A, 0))&gt;0, -(12*INDEX('UA-normalized'!$D:$D, MATCH($A194, 'UA-normalized'!$A:$A, 0))-INDEX('UA-normalized'!$E:$E, MATCH($A194, 'UA-normalized'!$A:$A, 0))), 0), 0))+(IFERROR(IF(12*INDEX('KZ-normalized'!$D:$D, MATCH($A194, 'KZ-normalized'!$A:$A, 0))-INDEX('KZ-normalized'!$E:$E, MATCH($A194, 'KZ-normalized'!$A:$A, 0))&gt;0, -(12*INDEX('KZ-normalized'!$D:$D, MATCH($A194, 'KZ-normalized'!$A:$A, 0))-INDEX('KZ-normalized'!$E:$E, MATCH($A194, 'KZ-normalized'!$A:$A, 0))), 0), 0))+(IFERROR(IF(12*INDEX('UZ-normalized'!$D:$D, MATCH($A194, 'UZ-normalized'!$A:$A, 0))-INDEX('UZ-normalized'!$E:$E, MATCH($A194, 'UZ-normalized'!$A:$A, 0))&gt;0, -(12*INDEX('UZ-normalized'!$D:$D, MATCH($A194, 'UZ-normalized'!$A:$A, 0))-INDEX('UZ-normalized'!$E:$E, MATCH($A194, 'UZ-normalized'!$A:$A, 0))), 0), 0)))</f>
        <v>0</v>
      </c>
      <c r="AA194" s="6">
        <f>MIN(0, N194+(IFERROR(IF(13*INDEX('UA-normalized'!$D:$D, MATCH($A194, 'UA-normalized'!$A:$A, 0))-INDEX('UA-normalized'!$E:$E, MATCH($A194, 'UA-normalized'!$A:$A, 0))&gt;0, -(13*INDEX('UA-normalized'!$D:$D, MATCH($A194, 'UA-normalized'!$A:$A, 0))-INDEX('UA-normalized'!$E:$E, MATCH($A194, 'UA-normalized'!$A:$A, 0))), 0), 0))+(IFERROR(IF(13*INDEX('KZ-normalized'!$D:$D, MATCH($A194, 'KZ-normalized'!$A:$A, 0))-INDEX('KZ-normalized'!$E:$E, MATCH($A194, 'KZ-normalized'!$A:$A, 0))&gt;0, -(13*INDEX('KZ-normalized'!$D:$D, MATCH($A194, 'KZ-normalized'!$A:$A, 0))-INDEX('KZ-normalized'!$E:$E, MATCH($A194, 'KZ-normalized'!$A:$A, 0))), 0), 0))+(IFERROR(IF(13*INDEX('UZ-normalized'!$D:$D, MATCH($A194, 'UZ-normalized'!$A:$A, 0))-INDEX('UZ-normalized'!$E:$E, MATCH($A194, 'UZ-normalized'!$A:$A, 0))&gt;0, -(13*INDEX('UZ-normalized'!$D:$D, MATCH($A194, 'UZ-normalized'!$A:$A, 0))-INDEX('UZ-normalized'!$E:$E, MATCH($A194, 'UZ-normalized'!$A:$A, 0))), 0), 0)))</f>
        <v>0</v>
      </c>
      <c r="AB194" s="6">
        <f>MIN(0, N194+(IFERROR(IF(14*INDEX('UA-normalized'!$D:$D, MATCH($A194, 'UA-normalized'!$A:$A, 0))-INDEX('UA-normalized'!$E:$E, MATCH($A194, 'UA-normalized'!$A:$A, 0))&gt;0, -(14*INDEX('UA-normalized'!$D:$D, MATCH($A194, 'UA-normalized'!$A:$A, 0))-INDEX('UA-normalized'!$E:$E, MATCH($A194, 'UA-normalized'!$A:$A, 0))), 0), 0))+(IFERROR(IF(14*INDEX('KZ-normalized'!$D:$D, MATCH($A194, 'KZ-normalized'!$A:$A, 0))-INDEX('KZ-normalized'!$E:$E, MATCH($A194, 'KZ-normalized'!$A:$A, 0))&gt;0, -(14*INDEX('KZ-normalized'!$D:$D, MATCH($A194, 'KZ-normalized'!$A:$A, 0))-INDEX('KZ-normalized'!$E:$E, MATCH($A194, 'KZ-normalized'!$A:$A, 0))), 0), 0))+(IFERROR(IF(14*INDEX('UZ-normalized'!$D:$D, MATCH($A194, 'UZ-normalized'!$A:$A, 0))-INDEX('UZ-normalized'!$E:$E, MATCH($A194, 'UZ-normalized'!$A:$A, 0))&gt;0, -(14*INDEX('UZ-normalized'!$D:$D, MATCH($A194, 'UZ-normalized'!$A:$A, 0))-INDEX('UZ-normalized'!$E:$E, MATCH($A194, 'UZ-normalized'!$A:$A, 0))), 0), 0)))</f>
        <v>-41.300000000000011</v>
      </c>
      <c r="AC194" s="6">
        <f>MIN(0, N194+(IFERROR(IF(15*INDEX('UA-normalized'!$D:$D, MATCH($A194, 'UA-normalized'!$A:$A, 0))-INDEX('UA-normalized'!$E:$E, MATCH($A194, 'UA-normalized'!$A:$A, 0))&gt;0, -(15*INDEX('UA-normalized'!$D:$D, MATCH($A194, 'UA-normalized'!$A:$A, 0))-INDEX('UA-normalized'!$E:$E, MATCH($A194, 'UA-normalized'!$A:$A, 0))), 0), 0))+(IFERROR(IF(15*INDEX('KZ-normalized'!$D:$D, MATCH($A194, 'KZ-normalized'!$A:$A, 0))-INDEX('KZ-normalized'!$E:$E, MATCH($A194, 'KZ-normalized'!$A:$A, 0))&gt;0, -(15*INDEX('KZ-normalized'!$D:$D, MATCH($A194, 'KZ-normalized'!$A:$A, 0))-INDEX('KZ-normalized'!$E:$E, MATCH($A194, 'KZ-normalized'!$A:$A, 0))), 0), 0))+(IFERROR(IF(15*INDEX('UZ-normalized'!$D:$D, MATCH($A194, 'UZ-normalized'!$A:$A, 0))-INDEX('UZ-normalized'!$E:$E, MATCH($A194, 'UZ-normalized'!$A:$A, 0))&gt;0, -(15*INDEX('UZ-normalized'!$D:$D, MATCH($A194, 'UZ-normalized'!$A:$A, 0))-INDEX('UZ-normalized'!$E:$E, MATCH($A194, 'UZ-normalized'!$A:$A, 0))), 0), 0)))</f>
        <v>-98</v>
      </c>
      <c r="AD194" s="6">
        <f>MIN(0, N194+(IFERROR(IF(16*INDEX('UA-normalized'!$D:$D, MATCH($A194, 'UA-normalized'!$A:$A, 0))-INDEX('UA-normalized'!$E:$E, MATCH($A194, 'UA-normalized'!$A:$A, 0))&gt;0, -(16*INDEX('UA-normalized'!$D:$D, MATCH($A194, 'UA-normalized'!$A:$A, 0))-INDEX('UA-normalized'!$E:$E, MATCH($A194, 'UA-normalized'!$A:$A, 0))), 0), 0))+(IFERROR(IF(16*INDEX('KZ-normalized'!$D:$D, MATCH($A194, 'KZ-normalized'!$A:$A, 0))-INDEX('KZ-normalized'!$E:$E, MATCH($A194, 'KZ-normalized'!$A:$A, 0))&gt;0, -(16*INDEX('KZ-normalized'!$D:$D, MATCH($A194, 'KZ-normalized'!$A:$A, 0))-INDEX('KZ-normalized'!$E:$E, MATCH($A194, 'KZ-normalized'!$A:$A, 0))), 0), 0))+(IFERROR(IF(16*INDEX('UZ-normalized'!$D:$D, MATCH($A194, 'UZ-normalized'!$A:$A, 0))-INDEX('UZ-normalized'!$E:$E, MATCH($A194, 'UZ-normalized'!$A:$A, 0))&gt;0, -(16*INDEX('UZ-normalized'!$D:$D, MATCH($A194, 'UZ-normalized'!$A:$A, 0))-INDEX('UZ-normalized'!$E:$E, MATCH($A194, 'UZ-normalized'!$A:$A, 0))), 0), 0)))</f>
        <v>-154.69999999999999</v>
      </c>
      <c r="AE194" s="6">
        <f>MIN(0, N194+(IFERROR(IF(17*INDEX('UA-normalized'!$D:$D, MATCH($A194, 'UA-normalized'!$A:$A, 0))-INDEX('UA-normalized'!$E:$E, MATCH($A194, 'UA-normalized'!$A:$A, 0))&gt;0, -(17*INDEX('UA-normalized'!$D:$D, MATCH($A194, 'UA-normalized'!$A:$A, 0))-INDEX('UA-normalized'!$E:$E, MATCH($A194, 'UA-normalized'!$A:$A, 0))), 0), 0))+(IFERROR(IF(17*INDEX('KZ-normalized'!$D:$D, MATCH($A194, 'KZ-normalized'!$A:$A, 0))-INDEX('KZ-normalized'!$E:$E, MATCH($A194, 'KZ-normalized'!$A:$A, 0))&gt;0, -(17*INDEX('KZ-normalized'!$D:$D, MATCH($A194, 'KZ-normalized'!$A:$A, 0))-INDEX('KZ-normalized'!$E:$E, MATCH($A194, 'KZ-normalized'!$A:$A, 0))), 0), 0))+(IFERROR(IF(17*INDEX('UZ-normalized'!$D:$D, MATCH($A194, 'UZ-normalized'!$A:$A, 0))-INDEX('UZ-normalized'!$E:$E, MATCH($A194, 'UZ-normalized'!$A:$A, 0))&gt;0, -(17*INDEX('UZ-normalized'!$D:$D, MATCH($A194, 'UZ-normalized'!$A:$A, 0))-INDEX('UZ-normalized'!$E:$E, MATCH($A194, 'UZ-normalized'!$A:$A, 0))), 0), 0)))</f>
        <v>-211.39999999999998</v>
      </c>
      <c r="AF194" s="6">
        <f>MIN(0, N194+(IFERROR(IF(18*INDEX('UA-normalized'!$D:$D, MATCH($A194, 'UA-normalized'!$A:$A, 0))-INDEX('UA-normalized'!$E:$E, MATCH($A194, 'UA-normalized'!$A:$A, 0))&gt;0, -(18*INDEX('UA-normalized'!$D:$D, MATCH($A194, 'UA-normalized'!$A:$A, 0))-INDEX('UA-normalized'!$E:$E, MATCH($A194, 'UA-normalized'!$A:$A, 0))), 0), 0))+(IFERROR(IF(18*INDEX('KZ-normalized'!$D:$D, MATCH($A194, 'KZ-normalized'!$A:$A, 0))-INDEX('KZ-normalized'!$E:$E, MATCH($A194, 'KZ-normalized'!$A:$A, 0))&gt;0, -(18*INDEX('KZ-normalized'!$D:$D, MATCH($A194, 'KZ-normalized'!$A:$A, 0))-INDEX('KZ-normalized'!$E:$E, MATCH($A194, 'KZ-normalized'!$A:$A, 0))), 0), 0))+(IFERROR(IF(18*INDEX('UZ-normalized'!$D:$D, MATCH($A194, 'UZ-normalized'!$A:$A, 0))-INDEX('UZ-normalized'!$E:$E, MATCH($A194, 'UZ-normalized'!$A:$A, 0))&gt;0, -(18*INDEX('UZ-normalized'!$D:$D, MATCH($A194, 'UZ-normalized'!$A:$A, 0))-INDEX('UZ-normalized'!$E:$E, MATCH($A194, 'UZ-normalized'!$A:$A, 0))), 0), 0)))</f>
        <v>-268.09999999999997</v>
      </c>
      <c r="AG194" s="6">
        <f>MIN(0, N194+(IFERROR(IF(19*INDEX('UA-normalized'!$D:$D, MATCH($A194, 'UA-normalized'!$A:$A, 0))-INDEX('UA-normalized'!$E:$E, MATCH($A194, 'UA-normalized'!$A:$A, 0))&gt;0, -(19*INDEX('UA-normalized'!$D:$D, MATCH($A194, 'UA-normalized'!$A:$A, 0))-INDEX('UA-normalized'!$E:$E, MATCH($A194, 'UA-normalized'!$A:$A, 0))), 0), 0))+(IFERROR(IF(19*INDEX('KZ-normalized'!$D:$D, MATCH($A194, 'KZ-normalized'!$A:$A, 0))-INDEX('KZ-normalized'!$E:$E, MATCH($A194, 'KZ-normalized'!$A:$A, 0))&gt;0, -(19*INDEX('KZ-normalized'!$D:$D, MATCH($A194, 'KZ-normalized'!$A:$A, 0))-INDEX('KZ-normalized'!$E:$E, MATCH($A194, 'KZ-normalized'!$A:$A, 0))), 0), 0))+(IFERROR(IF(19*INDEX('UZ-normalized'!$D:$D, MATCH($A194, 'UZ-normalized'!$A:$A, 0))-INDEX('UZ-normalized'!$E:$E, MATCH($A194, 'UZ-normalized'!$A:$A, 0))&gt;0, -(19*INDEX('UZ-normalized'!$D:$D, MATCH($A194, 'UZ-normalized'!$A:$A, 0))-INDEX('UZ-normalized'!$E:$E, MATCH($A194, 'UZ-normalized'!$A:$A, 0))), 0), 0)))</f>
        <v>-324.8</v>
      </c>
      <c r="AH194" s="6">
        <f>MIN(0, N194+(IFERROR(IF(20*INDEX('UA-normalized'!$D:$D, MATCH($A194, 'UA-normalized'!$A:$A, 0))-INDEX('UA-normalized'!$E:$E, MATCH($A194, 'UA-normalized'!$A:$A, 0))&gt;0, -(20*INDEX('UA-normalized'!$D:$D, MATCH($A194, 'UA-normalized'!$A:$A, 0))-INDEX('UA-normalized'!$E:$E, MATCH($A194, 'UA-normalized'!$A:$A, 0))), 0), 0))+(IFERROR(IF(20*INDEX('KZ-normalized'!$D:$D, MATCH($A194, 'KZ-normalized'!$A:$A, 0))-INDEX('KZ-normalized'!$E:$E, MATCH($A194, 'KZ-normalized'!$A:$A, 0))&gt;0, -(20*INDEX('KZ-normalized'!$D:$D, MATCH($A194, 'KZ-normalized'!$A:$A, 0))-INDEX('KZ-normalized'!$E:$E, MATCH($A194, 'KZ-normalized'!$A:$A, 0))), 0), 0))+(IFERROR(IF(20*INDEX('UZ-normalized'!$D:$D, MATCH($A194, 'UZ-normalized'!$A:$A, 0))-INDEX('UZ-normalized'!$E:$E, MATCH($A194, 'UZ-normalized'!$A:$A, 0))&gt;0, -(20*INDEX('UZ-normalized'!$D:$D, MATCH($A194, 'UZ-normalized'!$A:$A, 0))-INDEX('UZ-normalized'!$E:$E, MATCH($A194, 'UZ-normalized'!$A:$A, 0))), 0), 0)))</f>
        <v>-381.5</v>
      </c>
      <c r="AI194" s="6">
        <f>MIN(0, N194+(IFERROR(IF(21*INDEX('UA-normalized'!$D:$D, MATCH($A194, 'UA-normalized'!$A:$A, 0))-INDEX('UA-normalized'!$E:$E, MATCH($A194, 'UA-normalized'!$A:$A, 0))&gt;0, -(21*INDEX('UA-normalized'!$D:$D, MATCH($A194, 'UA-normalized'!$A:$A, 0))-INDEX('UA-normalized'!$E:$E, MATCH($A194, 'UA-normalized'!$A:$A, 0))), 0), 0))+(IFERROR(IF(21*INDEX('KZ-normalized'!$D:$D, MATCH($A194, 'KZ-normalized'!$A:$A, 0))-INDEX('KZ-normalized'!$E:$E, MATCH($A194, 'KZ-normalized'!$A:$A, 0))&gt;0, -(21*INDEX('KZ-normalized'!$D:$D, MATCH($A194, 'KZ-normalized'!$A:$A, 0))-INDEX('KZ-normalized'!$E:$E, MATCH($A194, 'KZ-normalized'!$A:$A, 0))), 0), 0))+(IFERROR(IF(21*INDEX('UZ-normalized'!$D:$D, MATCH($A194, 'UZ-normalized'!$A:$A, 0))-INDEX('UZ-normalized'!$E:$E, MATCH($A194, 'UZ-normalized'!$A:$A, 0))&gt;0, -(21*INDEX('UZ-normalized'!$D:$D, MATCH($A194, 'UZ-normalized'!$A:$A, 0))-INDEX('UZ-normalized'!$E:$E, MATCH($A194, 'UZ-normalized'!$A:$A, 0))), 0), 0)))</f>
        <v>-438.2</v>
      </c>
      <c r="AJ194" s="6">
        <f>MIN(0, N194+(IFERROR(IF(22*INDEX('UA-normalized'!$D:$D, MATCH($A194, 'UA-normalized'!$A:$A, 0))-INDEX('UA-normalized'!$E:$E, MATCH($A194, 'UA-normalized'!$A:$A, 0))&gt;0, -(22*INDEX('UA-normalized'!$D:$D, MATCH($A194, 'UA-normalized'!$A:$A, 0))-INDEX('UA-normalized'!$E:$E, MATCH($A194, 'UA-normalized'!$A:$A, 0))), 0), 0))+(IFERROR(IF(22*INDEX('KZ-normalized'!$D:$D, MATCH($A194, 'KZ-normalized'!$A:$A, 0))-INDEX('KZ-normalized'!$E:$E, MATCH($A194, 'KZ-normalized'!$A:$A, 0))&gt;0, -(22*INDEX('KZ-normalized'!$D:$D, MATCH($A194, 'KZ-normalized'!$A:$A, 0))-INDEX('KZ-normalized'!$E:$E, MATCH($A194, 'KZ-normalized'!$A:$A, 0))), 0), 0))+(IFERROR(IF(22*INDEX('UZ-normalized'!$D:$D, MATCH($A194, 'UZ-normalized'!$A:$A, 0))-INDEX('UZ-normalized'!$E:$E, MATCH($A194, 'UZ-normalized'!$A:$A, 0))&gt;0, -(22*INDEX('UZ-normalized'!$D:$D, MATCH($A194, 'UZ-normalized'!$A:$A, 0))-INDEX('UZ-normalized'!$E:$E, MATCH($A194, 'UZ-normalized'!$A:$A, 0))), 0), 0)))</f>
        <v>-494.9</v>
      </c>
      <c r="AK194" s="6">
        <f>MIN(0, N194+(IFERROR(IF(23*INDEX('UA-normalized'!$D:$D, MATCH($A194, 'UA-normalized'!$A:$A, 0))-INDEX('UA-normalized'!$E:$E, MATCH($A194, 'UA-normalized'!$A:$A, 0))&gt;0, -(23*INDEX('UA-normalized'!$D:$D, MATCH($A194, 'UA-normalized'!$A:$A, 0))-INDEX('UA-normalized'!$E:$E, MATCH($A194, 'UA-normalized'!$A:$A, 0))), 0), 0))+(IFERROR(IF(23*INDEX('KZ-normalized'!$D:$D, MATCH($A194, 'KZ-normalized'!$A:$A, 0))-INDEX('KZ-normalized'!$E:$E, MATCH($A194, 'KZ-normalized'!$A:$A, 0))&gt;0, -(23*INDEX('KZ-normalized'!$D:$D, MATCH($A194, 'KZ-normalized'!$A:$A, 0))-INDEX('KZ-normalized'!$E:$E, MATCH($A194, 'KZ-normalized'!$A:$A, 0))), 0), 0))+(IFERROR(IF(23*INDEX('UZ-normalized'!$D:$D, MATCH($A194, 'UZ-normalized'!$A:$A, 0))-INDEX('UZ-normalized'!$E:$E, MATCH($A194, 'UZ-normalized'!$A:$A, 0))&gt;0, -(23*INDEX('UZ-normalized'!$D:$D, MATCH($A194, 'UZ-normalized'!$A:$A, 0))-INDEX('UZ-normalized'!$E:$E, MATCH($A194, 'UZ-normalized'!$A:$A, 0))), 0), 0)))</f>
        <v>-551.59999999999991</v>
      </c>
      <c r="AL194" s="6">
        <f>MIN(0, N194+(IFERROR(IF(24*INDEX('UA-normalized'!$D:$D, MATCH($A194, 'UA-normalized'!$A:$A, 0))-INDEX('UA-normalized'!$E:$E, MATCH($A194, 'UA-normalized'!$A:$A, 0))&gt;0, -(24*INDEX('UA-normalized'!$D:$D, MATCH($A194, 'UA-normalized'!$A:$A, 0))-INDEX('UA-normalized'!$E:$E, MATCH($A194, 'UA-normalized'!$A:$A, 0))), 0), 0))+(IFERROR(IF(24*INDEX('KZ-normalized'!$D:$D, MATCH($A194, 'KZ-normalized'!$A:$A, 0))-INDEX('KZ-normalized'!$E:$E, MATCH($A194, 'KZ-normalized'!$A:$A, 0))&gt;0, -(24*INDEX('KZ-normalized'!$D:$D, MATCH($A194, 'KZ-normalized'!$A:$A, 0))-INDEX('KZ-normalized'!$E:$E, MATCH($A194, 'KZ-normalized'!$A:$A, 0))), 0), 0))+(IFERROR(IF(24*INDEX('UZ-normalized'!$D:$D, MATCH($A194, 'UZ-normalized'!$A:$A, 0))-INDEX('UZ-normalized'!$E:$E, MATCH($A194, 'UZ-normalized'!$A:$A, 0))&gt;0, -(24*INDEX('UZ-normalized'!$D:$D, MATCH($A194, 'UZ-normalized'!$A:$A, 0))-INDEX('UZ-normalized'!$E:$E, MATCH($A194, 'UZ-normalized'!$A:$A, 0))), 0), 0)))</f>
        <v>-608.29999999999995</v>
      </c>
      <c r="AM194" s="6">
        <f>MIN(0, N194+(IFERROR(IF(25*INDEX('UA-normalized'!$D:$D, MATCH($A194, 'UA-normalized'!$A:$A, 0))-INDEX('UA-normalized'!$E:$E, MATCH($A194, 'UA-normalized'!$A:$A, 0))&gt;0, -(25*INDEX('UA-normalized'!$D:$D, MATCH($A194, 'UA-normalized'!$A:$A, 0))-INDEX('UA-normalized'!$E:$E, MATCH($A194, 'UA-normalized'!$A:$A, 0))), 0), 0))+(IFERROR(IF(25*INDEX('KZ-normalized'!$D:$D, MATCH($A194, 'KZ-normalized'!$A:$A, 0))-INDEX('KZ-normalized'!$E:$E, MATCH($A194, 'KZ-normalized'!$A:$A, 0))&gt;0, -(25*INDEX('KZ-normalized'!$D:$D, MATCH($A194, 'KZ-normalized'!$A:$A, 0))-INDEX('KZ-normalized'!$E:$E, MATCH($A194, 'KZ-normalized'!$A:$A, 0))), 0), 0))+(IFERROR(IF(25*INDEX('UZ-normalized'!$D:$D, MATCH($A194, 'UZ-normalized'!$A:$A, 0))-INDEX('UZ-normalized'!$E:$E, MATCH($A194, 'UZ-normalized'!$A:$A, 0))&gt;0, -(25*INDEX('UZ-normalized'!$D:$D, MATCH($A194, 'UZ-normalized'!$A:$A, 0))-INDEX('UZ-normalized'!$E:$E, MATCH($A194, 'UZ-normalized'!$A:$A, 0))), 0), 0)))</f>
        <v>-665</v>
      </c>
      <c r="AN194" s="6">
        <f>MIN(0, N194+(IFERROR(IF(26*INDEX('UA-normalized'!$D:$D, MATCH($A194, 'UA-normalized'!$A:$A, 0))-INDEX('UA-normalized'!$E:$E, MATCH($A194, 'UA-normalized'!$A:$A, 0))&gt;0, -(26*INDEX('UA-normalized'!$D:$D, MATCH($A194, 'UA-normalized'!$A:$A, 0))-INDEX('UA-normalized'!$E:$E, MATCH($A194, 'UA-normalized'!$A:$A, 0))), 0), 0))+(IFERROR(IF(26*INDEX('KZ-normalized'!$D:$D, MATCH($A194, 'KZ-normalized'!$A:$A, 0))-INDEX('KZ-normalized'!$E:$E, MATCH($A194, 'KZ-normalized'!$A:$A, 0))&gt;0, -(26*INDEX('KZ-normalized'!$D:$D, MATCH($A194, 'KZ-normalized'!$A:$A, 0))-INDEX('KZ-normalized'!$E:$E, MATCH($A194, 'KZ-normalized'!$A:$A, 0))), 0), 0))+(IFERROR(IF(26*INDEX('UZ-normalized'!$D:$D, MATCH($A194, 'UZ-normalized'!$A:$A, 0))-INDEX('UZ-normalized'!$E:$E, MATCH($A194, 'UZ-normalized'!$A:$A, 0))&gt;0, -(26*INDEX('UZ-normalized'!$D:$D, MATCH($A194, 'UZ-normalized'!$A:$A, 0))-INDEX('UZ-normalized'!$E:$E, MATCH($A194, 'UZ-normalized'!$A:$A, 0))), 0), 0)))</f>
        <v>-721.7</v>
      </c>
      <c r="AO194" s="6">
        <f>MIN(0, N194+(IFERROR(IF(27*INDEX('UA-normalized'!$D:$D, MATCH($A194, 'UA-normalized'!$A:$A, 0))-INDEX('UA-normalized'!$E:$E, MATCH($A194, 'UA-normalized'!$A:$A, 0))&gt;0, -(27*INDEX('UA-normalized'!$D:$D, MATCH($A194, 'UA-normalized'!$A:$A, 0))-INDEX('UA-normalized'!$E:$E, MATCH($A194, 'UA-normalized'!$A:$A, 0))), 0), 0))+(IFERROR(IF(27*INDEX('KZ-normalized'!$D:$D, MATCH($A194, 'KZ-normalized'!$A:$A, 0))-INDEX('KZ-normalized'!$E:$E, MATCH($A194, 'KZ-normalized'!$A:$A, 0))&gt;0, -(27*INDEX('KZ-normalized'!$D:$D, MATCH($A194, 'KZ-normalized'!$A:$A, 0))-INDEX('KZ-normalized'!$E:$E, MATCH($A194, 'KZ-normalized'!$A:$A, 0))), 0), 0))+(IFERROR(IF(27*INDEX('UZ-normalized'!$D:$D, MATCH($A194, 'UZ-normalized'!$A:$A, 0))-INDEX('UZ-normalized'!$E:$E, MATCH($A194, 'UZ-normalized'!$A:$A, 0))&gt;0, -(27*INDEX('UZ-normalized'!$D:$D, MATCH($A194, 'UZ-normalized'!$A:$A, 0))-INDEX('UZ-normalized'!$E:$E, MATCH($A194, 'UZ-normalized'!$A:$A, 0))), 0), 0)))</f>
        <v>-778.4</v>
      </c>
      <c r="AP194" s="6">
        <f>MIN(0, N194+(IFERROR(IF(28*INDEX('UA-normalized'!$D:$D, MATCH($A194, 'UA-normalized'!$A:$A, 0))-INDEX('UA-normalized'!$E:$E, MATCH($A194, 'UA-normalized'!$A:$A, 0))&gt;0, -(28*INDEX('UA-normalized'!$D:$D, MATCH($A194, 'UA-normalized'!$A:$A, 0))-INDEX('UA-normalized'!$E:$E, MATCH($A194, 'UA-normalized'!$A:$A, 0))), 0), 0))+(IFERROR(IF(28*INDEX('KZ-normalized'!$D:$D, MATCH($A194, 'KZ-normalized'!$A:$A, 0))-INDEX('KZ-normalized'!$E:$E, MATCH($A194, 'KZ-normalized'!$A:$A, 0))&gt;0, -(28*INDEX('KZ-normalized'!$D:$D, MATCH($A194, 'KZ-normalized'!$A:$A, 0))-INDEX('KZ-normalized'!$E:$E, MATCH($A194, 'KZ-normalized'!$A:$A, 0))), 0), 0))+(IFERROR(IF(28*INDEX('UZ-normalized'!$D:$D, MATCH($A194, 'UZ-normalized'!$A:$A, 0))-INDEX('UZ-normalized'!$E:$E, MATCH($A194, 'UZ-normalized'!$A:$A, 0))&gt;0, -(28*INDEX('UZ-normalized'!$D:$D, MATCH($A194, 'UZ-normalized'!$A:$A, 0))-INDEX('UZ-normalized'!$E:$E, MATCH($A194, 'UZ-normalized'!$A:$A, 0))), 0), 0)))</f>
        <v>-835.1</v>
      </c>
      <c r="AQ194" s="6">
        <f>MIN(0, N194+(IFERROR(IF(29*INDEX('UA-normalized'!$D:$D, MATCH($A194, 'UA-normalized'!$A:$A, 0))-INDEX('UA-normalized'!$E:$E, MATCH($A194, 'UA-normalized'!$A:$A, 0))&gt;0, -(29*INDEX('UA-normalized'!$D:$D, MATCH($A194, 'UA-normalized'!$A:$A, 0))-INDEX('UA-normalized'!$E:$E, MATCH($A194, 'UA-normalized'!$A:$A, 0))), 0), 0))+(IFERROR(IF(29*INDEX('KZ-normalized'!$D:$D, MATCH($A194, 'KZ-normalized'!$A:$A, 0))-INDEX('KZ-normalized'!$E:$E, MATCH($A194, 'KZ-normalized'!$A:$A, 0))&gt;0, -(29*INDEX('KZ-normalized'!$D:$D, MATCH($A194, 'KZ-normalized'!$A:$A, 0))-INDEX('KZ-normalized'!$E:$E, MATCH($A194, 'KZ-normalized'!$A:$A, 0))), 0), 0))+(IFERROR(IF(29*INDEX('UZ-normalized'!$D:$D, MATCH($A194, 'UZ-normalized'!$A:$A, 0))-INDEX('UZ-normalized'!$E:$E, MATCH($A194, 'UZ-normalized'!$A:$A, 0))&gt;0, -(29*INDEX('UZ-normalized'!$D:$D, MATCH($A194, 'UZ-normalized'!$A:$A, 0))-INDEX('UZ-normalized'!$E:$E, MATCH($A194, 'UZ-normalized'!$A:$A, 0))), 0), 0)))</f>
        <v>-891.8</v>
      </c>
      <c r="AR194" s="6">
        <f>MIN(0, N194+(IFERROR(IF(30*INDEX('UA-normalized'!$D:$D, MATCH($A194, 'UA-normalized'!$A:$A, 0))-INDEX('UA-normalized'!$E:$E, MATCH($A194, 'UA-normalized'!$A:$A, 0))&gt;0, -(30*INDEX('UA-normalized'!$D:$D, MATCH($A194, 'UA-normalized'!$A:$A, 0))-INDEX('UA-normalized'!$E:$E, MATCH($A194, 'UA-normalized'!$A:$A, 0))), 0), 0))+(IFERROR(IF(30*INDEX('KZ-normalized'!$D:$D, MATCH($A194, 'KZ-normalized'!$A:$A, 0))-INDEX('KZ-normalized'!$E:$E, MATCH($A194, 'KZ-normalized'!$A:$A, 0))&gt;0, -(30*INDEX('KZ-normalized'!$D:$D, MATCH($A194, 'KZ-normalized'!$A:$A, 0))-INDEX('KZ-normalized'!$E:$E, MATCH($A194, 'KZ-normalized'!$A:$A, 0))), 0), 0))+(IFERROR(IF(30*INDEX('UZ-normalized'!$D:$D, MATCH($A194, 'UZ-normalized'!$A:$A, 0))-INDEX('UZ-normalized'!$E:$E, MATCH($A194, 'UZ-normalized'!$A:$A, 0))&gt;0, -(30*INDEX('UZ-normalized'!$D:$D, MATCH($A194, 'UZ-normalized'!$A:$A, 0))-INDEX('UZ-normalized'!$E:$E, MATCH($A194, 'UZ-normalized'!$A:$A, 0))), 0), 0)))</f>
        <v>-948.5</v>
      </c>
    </row>
    <row r="195" spans="1:44" x14ac:dyDescent="0.25">
      <c r="A195" s="8" t="s">
        <v>468</v>
      </c>
      <c r="B195" s="8" t="s">
        <v>460</v>
      </c>
      <c r="C195" s="8" t="s">
        <v>466</v>
      </c>
      <c r="D195" s="8" t="s">
        <v>469</v>
      </c>
      <c r="E195">
        <v>842.5</v>
      </c>
      <c r="N195">
        <f t="shared" si="3"/>
        <v>842.5</v>
      </c>
      <c r="O195" s="6">
        <f>MIN(0, N195+(IFERROR(IF(1*INDEX('UA-normalized'!$D:$D, MATCH($A195, 'UA-normalized'!$A:$A, 0))-INDEX('UA-normalized'!$E:$E, MATCH($A195, 'UA-normalized'!$A:$A, 0))&gt;0, -(1*INDEX('UA-normalized'!$D:$D, MATCH($A195, 'UA-normalized'!$A:$A, 0))-INDEX('UA-normalized'!$E:$E, MATCH($A195, 'UA-normalized'!$A:$A, 0))), 0), 0))+(IFERROR(IF(1*INDEX('KZ-normalized'!$D:$D, MATCH($A195, 'KZ-normalized'!$A:$A, 0))-INDEX('KZ-normalized'!$E:$E, MATCH($A195, 'KZ-normalized'!$A:$A, 0))&gt;0, -(1*INDEX('KZ-normalized'!$D:$D, MATCH($A195, 'KZ-normalized'!$A:$A, 0))-INDEX('KZ-normalized'!$E:$E, MATCH($A195, 'KZ-normalized'!$A:$A, 0))), 0), 0))+(IFERROR(IF(1*INDEX('UZ-normalized'!$D:$D, MATCH($A195, 'UZ-normalized'!$A:$A, 0))-INDEX('UZ-normalized'!$E:$E, MATCH($A195, 'UZ-normalized'!$A:$A, 0))&gt;0, -(1*INDEX('UZ-normalized'!$D:$D, MATCH($A195, 'UZ-normalized'!$A:$A, 0))-INDEX('UZ-normalized'!$E:$E, MATCH($A195, 'UZ-normalized'!$A:$A, 0))), 0), 0)))</f>
        <v>0</v>
      </c>
      <c r="P195" s="6">
        <f>MIN(0, N195+(IFERROR(IF(2*INDEX('UA-normalized'!$D:$D, MATCH($A195, 'UA-normalized'!$A:$A, 0))-INDEX('UA-normalized'!$E:$E, MATCH($A195, 'UA-normalized'!$A:$A, 0))&gt;0, -(2*INDEX('UA-normalized'!$D:$D, MATCH($A195, 'UA-normalized'!$A:$A, 0))-INDEX('UA-normalized'!$E:$E, MATCH($A195, 'UA-normalized'!$A:$A, 0))), 0), 0))+(IFERROR(IF(2*INDEX('KZ-normalized'!$D:$D, MATCH($A195, 'KZ-normalized'!$A:$A, 0))-INDEX('KZ-normalized'!$E:$E, MATCH($A195, 'KZ-normalized'!$A:$A, 0))&gt;0, -(2*INDEX('KZ-normalized'!$D:$D, MATCH($A195, 'KZ-normalized'!$A:$A, 0))-INDEX('KZ-normalized'!$E:$E, MATCH($A195, 'KZ-normalized'!$A:$A, 0))), 0), 0))+(IFERROR(IF(2*INDEX('UZ-normalized'!$D:$D, MATCH($A195, 'UZ-normalized'!$A:$A, 0))-INDEX('UZ-normalized'!$E:$E, MATCH($A195, 'UZ-normalized'!$A:$A, 0))&gt;0, -(2*INDEX('UZ-normalized'!$D:$D, MATCH($A195, 'UZ-normalized'!$A:$A, 0))-INDEX('UZ-normalized'!$E:$E, MATCH($A195, 'UZ-normalized'!$A:$A, 0))), 0), 0)))</f>
        <v>0</v>
      </c>
      <c r="Q195" s="6">
        <f>MIN(0, N195+(IFERROR(IF(3*INDEX('UA-normalized'!$D:$D, MATCH($A195, 'UA-normalized'!$A:$A, 0))-INDEX('UA-normalized'!$E:$E, MATCH($A195, 'UA-normalized'!$A:$A, 0))&gt;0, -(3*INDEX('UA-normalized'!$D:$D, MATCH($A195, 'UA-normalized'!$A:$A, 0))-INDEX('UA-normalized'!$E:$E, MATCH($A195, 'UA-normalized'!$A:$A, 0))), 0), 0))+(IFERROR(IF(3*INDEX('KZ-normalized'!$D:$D, MATCH($A195, 'KZ-normalized'!$A:$A, 0))-INDEX('KZ-normalized'!$E:$E, MATCH($A195, 'KZ-normalized'!$A:$A, 0))&gt;0, -(3*INDEX('KZ-normalized'!$D:$D, MATCH($A195, 'KZ-normalized'!$A:$A, 0))-INDEX('KZ-normalized'!$E:$E, MATCH($A195, 'KZ-normalized'!$A:$A, 0))), 0), 0))+(IFERROR(IF(3*INDEX('UZ-normalized'!$D:$D, MATCH($A195, 'UZ-normalized'!$A:$A, 0))-INDEX('UZ-normalized'!$E:$E, MATCH($A195, 'UZ-normalized'!$A:$A, 0))&gt;0, -(3*INDEX('UZ-normalized'!$D:$D, MATCH($A195, 'UZ-normalized'!$A:$A, 0))-INDEX('UZ-normalized'!$E:$E, MATCH($A195, 'UZ-normalized'!$A:$A, 0))), 0), 0)))</f>
        <v>0</v>
      </c>
      <c r="R195" s="6">
        <f>MIN(0, N195+(IFERROR(IF(4*INDEX('UA-normalized'!$D:$D, MATCH($A195, 'UA-normalized'!$A:$A, 0))-INDEX('UA-normalized'!$E:$E, MATCH($A195, 'UA-normalized'!$A:$A, 0))&gt;0, -(4*INDEX('UA-normalized'!$D:$D, MATCH($A195, 'UA-normalized'!$A:$A, 0))-INDEX('UA-normalized'!$E:$E, MATCH($A195, 'UA-normalized'!$A:$A, 0))), 0), 0))+(IFERROR(IF(4*INDEX('KZ-normalized'!$D:$D, MATCH($A195, 'KZ-normalized'!$A:$A, 0))-INDEX('KZ-normalized'!$E:$E, MATCH($A195, 'KZ-normalized'!$A:$A, 0))&gt;0, -(4*INDEX('KZ-normalized'!$D:$D, MATCH($A195, 'KZ-normalized'!$A:$A, 0))-INDEX('KZ-normalized'!$E:$E, MATCH($A195, 'KZ-normalized'!$A:$A, 0))), 0), 0))+(IFERROR(IF(4*INDEX('UZ-normalized'!$D:$D, MATCH($A195, 'UZ-normalized'!$A:$A, 0))-INDEX('UZ-normalized'!$E:$E, MATCH($A195, 'UZ-normalized'!$A:$A, 0))&gt;0, -(4*INDEX('UZ-normalized'!$D:$D, MATCH($A195, 'UZ-normalized'!$A:$A, 0))-INDEX('UZ-normalized'!$E:$E, MATCH($A195, 'UZ-normalized'!$A:$A, 0))), 0), 0)))</f>
        <v>0</v>
      </c>
      <c r="S195" s="6">
        <f>MIN(0, N195+(IFERROR(IF(5*INDEX('UA-normalized'!$D:$D, MATCH($A195, 'UA-normalized'!$A:$A, 0))-INDEX('UA-normalized'!$E:$E, MATCH($A195, 'UA-normalized'!$A:$A, 0))&gt;0, -(5*INDEX('UA-normalized'!$D:$D, MATCH($A195, 'UA-normalized'!$A:$A, 0))-INDEX('UA-normalized'!$E:$E, MATCH($A195, 'UA-normalized'!$A:$A, 0))), 0), 0))+(IFERROR(IF(5*INDEX('KZ-normalized'!$D:$D, MATCH($A195, 'KZ-normalized'!$A:$A, 0))-INDEX('KZ-normalized'!$E:$E, MATCH($A195, 'KZ-normalized'!$A:$A, 0))&gt;0, -(5*INDEX('KZ-normalized'!$D:$D, MATCH($A195, 'KZ-normalized'!$A:$A, 0))-INDEX('KZ-normalized'!$E:$E, MATCH($A195, 'KZ-normalized'!$A:$A, 0))), 0), 0))+(IFERROR(IF(5*INDEX('UZ-normalized'!$D:$D, MATCH($A195, 'UZ-normalized'!$A:$A, 0))-INDEX('UZ-normalized'!$E:$E, MATCH($A195, 'UZ-normalized'!$A:$A, 0))&gt;0, -(5*INDEX('UZ-normalized'!$D:$D, MATCH($A195, 'UZ-normalized'!$A:$A, 0))-INDEX('UZ-normalized'!$E:$E, MATCH($A195, 'UZ-normalized'!$A:$A, 0))), 0), 0)))</f>
        <v>0</v>
      </c>
      <c r="T195" s="6">
        <f>MIN(0, N195+(IFERROR(IF(6*INDEX('UA-normalized'!$D:$D, MATCH($A195, 'UA-normalized'!$A:$A, 0))-INDEX('UA-normalized'!$E:$E, MATCH($A195, 'UA-normalized'!$A:$A, 0))&gt;0, -(6*INDEX('UA-normalized'!$D:$D, MATCH($A195, 'UA-normalized'!$A:$A, 0))-INDEX('UA-normalized'!$E:$E, MATCH($A195, 'UA-normalized'!$A:$A, 0))), 0), 0))+(IFERROR(IF(6*INDEX('KZ-normalized'!$D:$D, MATCH($A195, 'KZ-normalized'!$A:$A, 0))-INDEX('KZ-normalized'!$E:$E, MATCH($A195, 'KZ-normalized'!$A:$A, 0))&gt;0, -(6*INDEX('KZ-normalized'!$D:$D, MATCH($A195, 'KZ-normalized'!$A:$A, 0))-INDEX('KZ-normalized'!$E:$E, MATCH($A195, 'KZ-normalized'!$A:$A, 0))), 0), 0))+(IFERROR(IF(6*INDEX('UZ-normalized'!$D:$D, MATCH($A195, 'UZ-normalized'!$A:$A, 0))-INDEX('UZ-normalized'!$E:$E, MATCH($A195, 'UZ-normalized'!$A:$A, 0))&gt;0, -(6*INDEX('UZ-normalized'!$D:$D, MATCH($A195, 'UZ-normalized'!$A:$A, 0))-INDEX('UZ-normalized'!$E:$E, MATCH($A195, 'UZ-normalized'!$A:$A, 0))), 0), 0)))</f>
        <v>0</v>
      </c>
      <c r="U195" s="6">
        <f>MIN(0, N195+(IFERROR(IF(7*INDEX('UA-normalized'!$D:$D, MATCH($A195, 'UA-normalized'!$A:$A, 0))-INDEX('UA-normalized'!$E:$E, MATCH($A195, 'UA-normalized'!$A:$A, 0))&gt;0, -(7*INDEX('UA-normalized'!$D:$D, MATCH($A195, 'UA-normalized'!$A:$A, 0))-INDEX('UA-normalized'!$E:$E, MATCH($A195, 'UA-normalized'!$A:$A, 0))), 0), 0))+(IFERROR(IF(7*INDEX('KZ-normalized'!$D:$D, MATCH($A195, 'KZ-normalized'!$A:$A, 0))-INDEX('KZ-normalized'!$E:$E, MATCH($A195, 'KZ-normalized'!$A:$A, 0))&gt;0, -(7*INDEX('KZ-normalized'!$D:$D, MATCH($A195, 'KZ-normalized'!$A:$A, 0))-INDEX('KZ-normalized'!$E:$E, MATCH($A195, 'KZ-normalized'!$A:$A, 0))), 0), 0))+(IFERROR(IF(7*INDEX('UZ-normalized'!$D:$D, MATCH($A195, 'UZ-normalized'!$A:$A, 0))-INDEX('UZ-normalized'!$E:$E, MATCH($A195, 'UZ-normalized'!$A:$A, 0))&gt;0, -(7*INDEX('UZ-normalized'!$D:$D, MATCH($A195, 'UZ-normalized'!$A:$A, 0))-INDEX('UZ-normalized'!$E:$E, MATCH($A195, 'UZ-normalized'!$A:$A, 0))), 0), 0)))</f>
        <v>0</v>
      </c>
      <c r="V195" s="6">
        <f>MIN(0, N195+(IFERROR(IF(8*INDEX('UA-normalized'!$D:$D, MATCH($A195, 'UA-normalized'!$A:$A, 0))-INDEX('UA-normalized'!$E:$E, MATCH($A195, 'UA-normalized'!$A:$A, 0))&gt;0, -(8*INDEX('UA-normalized'!$D:$D, MATCH($A195, 'UA-normalized'!$A:$A, 0))-INDEX('UA-normalized'!$E:$E, MATCH($A195, 'UA-normalized'!$A:$A, 0))), 0), 0))+(IFERROR(IF(8*INDEX('KZ-normalized'!$D:$D, MATCH($A195, 'KZ-normalized'!$A:$A, 0))-INDEX('KZ-normalized'!$E:$E, MATCH($A195, 'KZ-normalized'!$A:$A, 0))&gt;0, -(8*INDEX('KZ-normalized'!$D:$D, MATCH($A195, 'KZ-normalized'!$A:$A, 0))-INDEX('KZ-normalized'!$E:$E, MATCH($A195, 'KZ-normalized'!$A:$A, 0))), 0), 0))+(IFERROR(IF(8*INDEX('UZ-normalized'!$D:$D, MATCH($A195, 'UZ-normalized'!$A:$A, 0))-INDEX('UZ-normalized'!$E:$E, MATCH($A195, 'UZ-normalized'!$A:$A, 0))&gt;0, -(8*INDEX('UZ-normalized'!$D:$D, MATCH($A195, 'UZ-normalized'!$A:$A, 0))-INDEX('UZ-normalized'!$E:$E, MATCH($A195, 'UZ-normalized'!$A:$A, 0))), 0), 0)))</f>
        <v>0</v>
      </c>
      <c r="W195" s="6">
        <f>MIN(0, N195+(IFERROR(IF(9*INDEX('UA-normalized'!$D:$D, MATCH($A195, 'UA-normalized'!$A:$A, 0))-INDEX('UA-normalized'!$E:$E, MATCH($A195, 'UA-normalized'!$A:$A, 0))&gt;0, -(9*INDEX('UA-normalized'!$D:$D, MATCH($A195, 'UA-normalized'!$A:$A, 0))-INDEX('UA-normalized'!$E:$E, MATCH($A195, 'UA-normalized'!$A:$A, 0))), 0), 0))+(IFERROR(IF(9*INDEX('KZ-normalized'!$D:$D, MATCH($A195, 'KZ-normalized'!$A:$A, 0))-INDEX('KZ-normalized'!$E:$E, MATCH($A195, 'KZ-normalized'!$A:$A, 0))&gt;0, -(9*INDEX('KZ-normalized'!$D:$D, MATCH($A195, 'KZ-normalized'!$A:$A, 0))-INDEX('KZ-normalized'!$E:$E, MATCH($A195, 'KZ-normalized'!$A:$A, 0))), 0), 0))+(IFERROR(IF(9*INDEX('UZ-normalized'!$D:$D, MATCH($A195, 'UZ-normalized'!$A:$A, 0))-INDEX('UZ-normalized'!$E:$E, MATCH($A195, 'UZ-normalized'!$A:$A, 0))&gt;0, -(9*INDEX('UZ-normalized'!$D:$D, MATCH($A195, 'UZ-normalized'!$A:$A, 0))-INDEX('UZ-normalized'!$E:$E, MATCH($A195, 'UZ-normalized'!$A:$A, 0))), 0), 0)))</f>
        <v>0</v>
      </c>
      <c r="X195" s="6">
        <f>MIN(0, N195+(IFERROR(IF(10*INDEX('UA-normalized'!$D:$D, MATCH($A195, 'UA-normalized'!$A:$A, 0))-INDEX('UA-normalized'!$E:$E, MATCH($A195, 'UA-normalized'!$A:$A, 0))&gt;0, -(10*INDEX('UA-normalized'!$D:$D, MATCH($A195, 'UA-normalized'!$A:$A, 0))-INDEX('UA-normalized'!$E:$E, MATCH($A195, 'UA-normalized'!$A:$A, 0))), 0), 0))+(IFERROR(IF(10*INDEX('KZ-normalized'!$D:$D, MATCH($A195, 'KZ-normalized'!$A:$A, 0))-INDEX('KZ-normalized'!$E:$E, MATCH($A195, 'KZ-normalized'!$A:$A, 0))&gt;0, -(10*INDEX('KZ-normalized'!$D:$D, MATCH($A195, 'KZ-normalized'!$A:$A, 0))-INDEX('KZ-normalized'!$E:$E, MATCH($A195, 'KZ-normalized'!$A:$A, 0))), 0), 0))+(IFERROR(IF(10*INDEX('UZ-normalized'!$D:$D, MATCH($A195, 'UZ-normalized'!$A:$A, 0))-INDEX('UZ-normalized'!$E:$E, MATCH($A195, 'UZ-normalized'!$A:$A, 0))&gt;0, -(10*INDEX('UZ-normalized'!$D:$D, MATCH($A195, 'UZ-normalized'!$A:$A, 0))-INDEX('UZ-normalized'!$E:$E, MATCH($A195, 'UZ-normalized'!$A:$A, 0))), 0), 0)))</f>
        <v>0</v>
      </c>
      <c r="Y195" s="6">
        <f>MIN(0, N195+(IFERROR(IF(11*INDEX('UA-normalized'!$D:$D, MATCH($A195, 'UA-normalized'!$A:$A, 0))-INDEX('UA-normalized'!$E:$E, MATCH($A195, 'UA-normalized'!$A:$A, 0))&gt;0, -(11*INDEX('UA-normalized'!$D:$D, MATCH($A195, 'UA-normalized'!$A:$A, 0))-INDEX('UA-normalized'!$E:$E, MATCH($A195, 'UA-normalized'!$A:$A, 0))), 0), 0))+(IFERROR(IF(11*INDEX('KZ-normalized'!$D:$D, MATCH($A195, 'KZ-normalized'!$A:$A, 0))-INDEX('KZ-normalized'!$E:$E, MATCH($A195, 'KZ-normalized'!$A:$A, 0))&gt;0, -(11*INDEX('KZ-normalized'!$D:$D, MATCH($A195, 'KZ-normalized'!$A:$A, 0))-INDEX('KZ-normalized'!$E:$E, MATCH($A195, 'KZ-normalized'!$A:$A, 0))), 0), 0))+(IFERROR(IF(11*INDEX('UZ-normalized'!$D:$D, MATCH($A195, 'UZ-normalized'!$A:$A, 0))-INDEX('UZ-normalized'!$E:$E, MATCH($A195, 'UZ-normalized'!$A:$A, 0))&gt;0, -(11*INDEX('UZ-normalized'!$D:$D, MATCH($A195, 'UZ-normalized'!$A:$A, 0))-INDEX('UZ-normalized'!$E:$E, MATCH($A195, 'UZ-normalized'!$A:$A, 0))), 0), 0)))</f>
        <v>0</v>
      </c>
      <c r="Z195" s="6">
        <f>MIN(0, N195+(IFERROR(IF(12*INDEX('UA-normalized'!$D:$D, MATCH($A195, 'UA-normalized'!$A:$A, 0))-INDEX('UA-normalized'!$E:$E, MATCH($A195, 'UA-normalized'!$A:$A, 0))&gt;0, -(12*INDEX('UA-normalized'!$D:$D, MATCH($A195, 'UA-normalized'!$A:$A, 0))-INDEX('UA-normalized'!$E:$E, MATCH($A195, 'UA-normalized'!$A:$A, 0))), 0), 0))+(IFERROR(IF(12*INDEX('KZ-normalized'!$D:$D, MATCH($A195, 'KZ-normalized'!$A:$A, 0))-INDEX('KZ-normalized'!$E:$E, MATCH($A195, 'KZ-normalized'!$A:$A, 0))&gt;0, -(12*INDEX('KZ-normalized'!$D:$D, MATCH($A195, 'KZ-normalized'!$A:$A, 0))-INDEX('KZ-normalized'!$E:$E, MATCH($A195, 'KZ-normalized'!$A:$A, 0))), 0), 0))+(IFERROR(IF(12*INDEX('UZ-normalized'!$D:$D, MATCH($A195, 'UZ-normalized'!$A:$A, 0))-INDEX('UZ-normalized'!$E:$E, MATCH($A195, 'UZ-normalized'!$A:$A, 0))&gt;0, -(12*INDEX('UZ-normalized'!$D:$D, MATCH($A195, 'UZ-normalized'!$A:$A, 0))-INDEX('UZ-normalized'!$E:$E, MATCH($A195, 'UZ-normalized'!$A:$A, 0))), 0), 0)))</f>
        <v>0</v>
      </c>
      <c r="AA195" s="6">
        <f>MIN(0, N195+(IFERROR(IF(13*INDEX('UA-normalized'!$D:$D, MATCH($A195, 'UA-normalized'!$A:$A, 0))-INDEX('UA-normalized'!$E:$E, MATCH($A195, 'UA-normalized'!$A:$A, 0))&gt;0, -(13*INDEX('UA-normalized'!$D:$D, MATCH($A195, 'UA-normalized'!$A:$A, 0))-INDEX('UA-normalized'!$E:$E, MATCH($A195, 'UA-normalized'!$A:$A, 0))), 0), 0))+(IFERROR(IF(13*INDEX('KZ-normalized'!$D:$D, MATCH($A195, 'KZ-normalized'!$A:$A, 0))-INDEX('KZ-normalized'!$E:$E, MATCH($A195, 'KZ-normalized'!$A:$A, 0))&gt;0, -(13*INDEX('KZ-normalized'!$D:$D, MATCH($A195, 'KZ-normalized'!$A:$A, 0))-INDEX('KZ-normalized'!$E:$E, MATCH($A195, 'KZ-normalized'!$A:$A, 0))), 0), 0))+(IFERROR(IF(13*INDEX('UZ-normalized'!$D:$D, MATCH($A195, 'UZ-normalized'!$A:$A, 0))-INDEX('UZ-normalized'!$E:$E, MATCH($A195, 'UZ-normalized'!$A:$A, 0))&gt;0, -(13*INDEX('UZ-normalized'!$D:$D, MATCH($A195, 'UZ-normalized'!$A:$A, 0))-INDEX('UZ-normalized'!$E:$E, MATCH($A195, 'UZ-normalized'!$A:$A, 0))), 0), 0)))</f>
        <v>0</v>
      </c>
      <c r="AB195" s="6">
        <f>MIN(0, N195+(IFERROR(IF(14*INDEX('UA-normalized'!$D:$D, MATCH($A195, 'UA-normalized'!$A:$A, 0))-INDEX('UA-normalized'!$E:$E, MATCH($A195, 'UA-normalized'!$A:$A, 0))&gt;0, -(14*INDEX('UA-normalized'!$D:$D, MATCH($A195, 'UA-normalized'!$A:$A, 0))-INDEX('UA-normalized'!$E:$E, MATCH($A195, 'UA-normalized'!$A:$A, 0))), 0), 0))+(IFERROR(IF(14*INDEX('KZ-normalized'!$D:$D, MATCH($A195, 'KZ-normalized'!$A:$A, 0))-INDEX('KZ-normalized'!$E:$E, MATCH($A195, 'KZ-normalized'!$A:$A, 0))&gt;0, -(14*INDEX('KZ-normalized'!$D:$D, MATCH($A195, 'KZ-normalized'!$A:$A, 0))-INDEX('KZ-normalized'!$E:$E, MATCH($A195, 'KZ-normalized'!$A:$A, 0))), 0), 0))+(IFERROR(IF(14*INDEX('UZ-normalized'!$D:$D, MATCH($A195, 'UZ-normalized'!$A:$A, 0))-INDEX('UZ-normalized'!$E:$E, MATCH($A195, 'UZ-normalized'!$A:$A, 0))&gt;0, -(14*INDEX('UZ-normalized'!$D:$D, MATCH($A195, 'UZ-normalized'!$A:$A, 0))-INDEX('UZ-normalized'!$E:$E, MATCH($A195, 'UZ-normalized'!$A:$A, 0))), 0), 0)))</f>
        <v>0</v>
      </c>
      <c r="AC195" s="6">
        <f>MIN(0, N195+(IFERROR(IF(15*INDEX('UA-normalized'!$D:$D, MATCH($A195, 'UA-normalized'!$A:$A, 0))-INDEX('UA-normalized'!$E:$E, MATCH($A195, 'UA-normalized'!$A:$A, 0))&gt;0, -(15*INDEX('UA-normalized'!$D:$D, MATCH($A195, 'UA-normalized'!$A:$A, 0))-INDEX('UA-normalized'!$E:$E, MATCH($A195, 'UA-normalized'!$A:$A, 0))), 0), 0))+(IFERROR(IF(15*INDEX('KZ-normalized'!$D:$D, MATCH($A195, 'KZ-normalized'!$A:$A, 0))-INDEX('KZ-normalized'!$E:$E, MATCH($A195, 'KZ-normalized'!$A:$A, 0))&gt;0, -(15*INDEX('KZ-normalized'!$D:$D, MATCH($A195, 'KZ-normalized'!$A:$A, 0))-INDEX('KZ-normalized'!$E:$E, MATCH($A195, 'KZ-normalized'!$A:$A, 0))), 0), 0))+(IFERROR(IF(15*INDEX('UZ-normalized'!$D:$D, MATCH($A195, 'UZ-normalized'!$A:$A, 0))-INDEX('UZ-normalized'!$E:$E, MATCH($A195, 'UZ-normalized'!$A:$A, 0))&gt;0, -(15*INDEX('UZ-normalized'!$D:$D, MATCH($A195, 'UZ-normalized'!$A:$A, 0))-INDEX('UZ-normalized'!$E:$E, MATCH($A195, 'UZ-normalized'!$A:$A, 0))), 0), 0)))</f>
        <v>0</v>
      </c>
      <c r="AD195" s="6">
        <f>MIN(0, N195+(IFERROR(IF(16*INDEX('UA-normalized'!$D:$D, MATCH($A195, 'UA-normalized'!$A:$A, 0))-INDEX('UA-normalized'!$E:$E, MATCH($A195, 'UA-normalized'!$A:$A, 0))&gt;0, -(16*INDEX('UA-normalized'!$D:$D, MATCH($A195, 'UA-normalized'!$A:$A, 0))-INDEX('UA-normalized'!$E:$E, MATCH($A195, 'UA-normalized'!$A:$A, 0))), 0), 0))+(IFERROR(IF(16*INDEX('KZ-normalized'!$D:$D, MATCH($A195, 'KZ-normalized'!$A:$A, 0))-INDEX('KZ-normalized'!$E:$E, MATCH($A195, 'KZ-normalized'!$A:$A, 0))&gt;0, -(16*INDEX('KZ-normalized'!$D:$D, MATCH($A195, 'KZ-normalized'!$A:$A, 0))-INDEX('KZ-normalized'!$E:$E, MATCH($A195, 'KZ-normalized'!$A:$A, 0))), 0), 0))+(IFERROR(IF(16*INDEX('UZ-normalized'!$D:$D, MATCH($A195, 'UZ-normalized'!$A:$A, 0))-INDEX('UZ-normalized'!$E:$E, MATCH($A195, 'UZ-normalized'!$A:$A, 0))&gt;0, -(16*INDEX('UZ-normalized'!$D:$D, MATCH($A195, 'UZ-normalized'!$A:$A, 0))-INDEX('UZ-normalized'!$E:$E, MATCH($A195, 'UZ-normalized'!$A:$A, 0))), 0), 0)))</f>
        <v>0</v>
      </c>
      <c r="AE195" s="6">
        <f>MIN(0, N195+(IFERROR(IF(17*INDEX('UA-normalized'!$D:$D, MATCH($A195, 'UA-normalized'!$A:$A, 0))-INDEX('UA-normalized'!$E:$E, MATCH($A195, 'UA-normalized'!$A:$A, 0))&gt;0, -(17*INDEX('UA-normalized'!$D:$D, MATCH($A195, 'UA-normalized'!$A:$A, 0))-INDEX('UA-normalized'!$E:$E, MATCH($A195, 'UA-normalized'!$A:$A, 0))), 0), 0))+(IFERROR(IF(17*INDEX('KZ-normalized'!$D:$D, MATCH($A195, 'KZ-normalized'!$A:$A, 0))-INDEX('KZ-normalized'!$E:$E, MATCH($A195, 'KZ-normalized'!$A:$A, 0))&gt;0, -(17*INDEX('KZ-normalized'!$D:$D, MATCH($A195, 'KZ-normalized'!$A:$A, 0))-INDEX('KZ-normalized'!$E:$E, MATCH($A195, 'KZ-normalized'!$A:$A, 0))), 0), 0))+(IFERROR(IF(17*INDEX('UZ-normalized'!$D:$D, MATCH($A195, 'UZ-normalized'!$A:$A, 0))-INDEX('UZ-normalized'!$E:$E, MATCH($A195, 'UZ-normalized'!$A:$A, 0))&gt;0, -(17*INDEX('UZ-normalized'!$D:$D, MATCH($A195, 'UZ-normalized'!$A:$A, 0))-INDEX('UZ-normalized'!$E:$E, MATCH($A195, 'UZ-normalized'!$A:$A, 0))), 0), 0)))</f>
        <v>0</v>
      </c>
      <c r="AF195" s="6">
        <f>MIN(0, N195+(IFERROR(IF(18*INDEX('UA-normalized'!$D:$D, MATCH($A195, 'UA-normalized'!$A:$A, 0))-INDEX('UA-normalized'!$E:$E, MATCH($A195, 'UA-normalized'!$A:$A, 0))&gt;0, -(18*INDEX('UA-normalized'!$D:$D, MATCH($A195, 'UA-normalized'!$A:$A, 0))-INDEX('UA-normalized'!$E:$E, MATCH($A195, 'UA-normalized'!$A:$A, 0))), 0), 0))+(IFERROR(IF(18*INDEX('KZ-normalized'!$D:$D, MATCH($A195, 'KZ-normalized'!$A:$A, 0))-INDEX('KZ-normalized'!$E:$E, MATCH($A195, 'KZ-normalized'!$A:$A, 0))&gt;0, -(18*INDEX('KZ-normalized'!$D:$D, MATCH($A195, 'KZ-normalized'!$A:$A, 0))-INDEX('KZ-normalized'!$E:$E, MATCH($A195, 'KZ-normalized'!$A:$A, 0))), 0), 0))+(IFERROR(IF(18*INDEX('UZ-normalized'!$D:$D, MATCH($A195, 'UZ-normalized'!$A:$A, 0))-INDEX('UZ-normalized'!$E:$E, MATCH($A195, 'UZ-normalized'!$A:$A, 0))&gt;0, -(18*INDEX('UZ-normalized'!$D:$D, MATCH($A195, 'UZ-normalized'!$A:$A, 0))-INDEX('UZ-normalized'!$E:$E, MATCH($A195, 'UZ-normalized'!$A:$A, 0))), 0), 0)))</f>
        <v>0</v>
      </c>
      <c r="AG195" s="6">
        <f>MIN(0, N195+(IFERROR(IF(19*INDEX('UA-normalized'!$D:$D, MATCH($A195, 'UA-normalized'!$A:$A, 0))-INDEX('UA-normalized'!$E:$E, MATCH($A195, 'UA-normalized'!$A:$A, 0))&gt;0, -(19*INDEX('UA-normalized'!$D:$D, MATCH($A195, 'UA-normalized'!$A:$A, 0))-INDEX('UA-normalized'!$E:$E, MATCH($A195, 'UA-normalized'!$A:$A, 0))), 0), 0))+(IFERROR(IF(19*INDEX('KZ-normalized'!$D:$D, MATCH($A195, 'KZ-normalized'!$A:$A, 0))-INDEX('KZ-normalized'!$E:$E, MATCH($A195, 'KZ-normalized'!$A:$A, 0))&gt;0, -(19*INDEX('KZ-normalized'!$D:$D, MATCH($A195, 'KZ-normalized'!$A:$A, 0))-INDEX('KZ-normalized'!$E:$E, MATCH($A195, 'KZ-normalized'!$A:$A, 0))), 0), 0))+(IFERROR(IF(19*INDEX('UZ-normalized'!$D:$D, MATCH($A195, 'UZ-normalized'!$A:$A, 0))-INDEX('UZ-normalized'!$E:$E, MATCH($A195, 'UZ-normalized'!$A:$A, 0))&gt;0, -(19*INDEX('UZ-normalized'!$D:$D, MATCH($A195, 'UZ-normalized'!$A:$A, 0))-INDEX('UZ-normalized'!$E:$E, MATCH($A195, 'UZ-normalized'!$A:$A, 0))), 0), 0)))</f>
        <v>0</v>
      </c>
      <c r="AH195" s="6">
        <f>MIN(0, N195+(IFERROR(IF(20*INDEX('UA-normalized'!$D:$D, MATCH($A195, 'UA-normalized'!$A:$A, 0))-INDEX('UA-normalized'!$E:$E, MATCH($A195, 'UA-normalized'!$A:$A, 0))&gt;0, -(20*INDEX('UA-normalized'!$D:$D, MATCH($A195, 'UA-normalized'!$A:$A, 0))-INDEX('UA-normalized'!$E:$E, MATCH($A195, 'UA-normalized'!$A:$A, 0))), 0), 0))+(IFERROR(IF(20*INDEX('KZ-normalized'!$D:$D, MATCH($A195, 'KZ-normalized'!$A:$A, 0))-INDEX('KZ-normalized'!$E:$E, MATCH($A195, 'KZ-normalized'!$A:$A, 0))&gt;0, -(20*INDEX('KZ-normalized'!$D:$D, MATCH($A195, 'KZ-normalized'!$A:$A, 0))-INDEX('KZ-normalized'!$E:$E, MATCH($A195, 'KZ-normalized'!$A:$A, 0))), 0), 0))+(IFERROR(IF(20*INDEX('UZ-normalized'!$D:$D, MATCH($A195, 'UZ-normalized'!$A:$A, 0))-INDEX('UZ-normalized'!$E:$E, MATCH($A195, 'UZ-normalized'!$A:$A, 0))&gt;0, -(20*INDEX('UZ-normalized'!$D:$D, MATCH($A195, 'UZ-normalized'!$A:$A, 0))-INDEX('UZ-normalized'!$E:$E, MATCH($A195, 'UZ-normalized'!$A:$A, 0))), 0), 0)))</f>
        <v>0</v>
      </c>
      <c r="AI195" s="6">
        <f>MIN(0, N195+(IFERROR(IF(21*INDEX('UA-normalized'!$D:$D, MATCH($A195, 'UA-normalized'!$A:$A, 0))-INDEX('UA-normalized'!$E:$E, MATCH($A195, 'UA-normalized'!$A:$A, 0))&gt;0, -(21*INDEX('UA-normalized'!$D:$D, MATCH($A195, 'UA-normalized'!$A:$A, 0))-INDEX('UA-normalized'!$E:$E, MATCH($A195, 'UA-normalized'!$A:$A, 0))), 0), 0))+(IFERROR(IF(21*INDEX('KZ-normalized'!$D:$D, MATCH($A195, 'KZ-normalized'!$A:$A, 0))-INDEX('KZ-normalized'!$E:$E, MATCH($A195, 'KZ-normalized'!$A:$A, 0))&gt;0, -(21*INDEX('KZ-normalized'!$D:$D, MATCH($A195, 'KZ-normalized'!$A:$A, 0))-INDEX('KZ-normalized'!$E:$E, MATCH($A195, 'KZ-normalized'!$A:$A, 0))), 0), 0))+(IFERROR(IF(21*INDEX('UZ-normalized'!$D:$D, MATCH($A195, 'UZ-normalized'!$A:$A, 0))-INDEX('UZ-normalized'!$E:$E, MATCH($A195, 'UZ-normalized'!$A:$A, 0))&gt;0, -(21*INDEX('UZ-normalized'!$D:$D, MATCH($A195, 'UZ-normalized'!$A:$A, 0))-INDEX('UZ-normalized'!$E:$E, MATCH($A195, 'UZ-normalized'!$A:$A, 0))), 0), 0)))</f>
        <v>-3.8999999999999773</v>
      </c>
      <c r="AJ195" s="6">
        <f>MIN(0, N195+(IFERROR(IF(22*INDEX('UA-normalized'!$D:$D, MATCH($A195, 'UA-normalized'!$A:$A, 0))-INDEX('UA-normalized'!$E:$E, MATCH($A195, 'UA-normalized'!$A:$A, 0))&gt;0, -(22*INDEX('UA-normalized'!$D:$D, MATCH($A195, 'UA-normalized'!$A:$A, 0))-INDEX('UA-normalized'!$E:$E, MATCH($A195, 'UA-normalized'!$A:$A, 0))), 0), 0))+(IFERROR(IF(22*INDEX('KZ-normalized'!$D:$D, MATCH($A195, 'KZ-normalized'!$A:$A, 0))-INDEX('KZ-normalized'!$E:$E, MATCH($A195, 'KZ-normalized'!$A:$A, 0))&gt;0, -(22*INDEX('KZ-normalized'!$D:$D, MATCH($A195, 'KZ-normalized'!$A:$A, 0))-INDEX('KZ-normalized'!$E:$E, MATCH($A195, 'KZ-normalized'!$A:$A, 0))), 0), 0))+(IFERROR(IF(22*INDEX('UZ-normalized'!$D:$D, MATCH($A195, 'UZ-normalized'!$A:$A, 0))-INDEX('UZ-normalized'!$E:$E, MATCH($A195, 'UZ-normalized'!$A:$A, 0))&gt;0, -(22*INDEX('UZ-normalized'!$D:$D, MATCH($A195, 'UZ-normalized'!$A:$A, 0))-INDEX('UZ-normalized'!$E:$E, MATCH($A195, 'UZ-normalized'!$A:$A, 0))), 0), 0)))</f>
        <v>-51.299999999999955</v>
      </c>
      <c r="AK195" s="6">
        <f>MIN(0, N195+(IFERROR(IF(23*INDEX('UA-normalized'!$D:$D, MATCH($A195, 'UA-normalized'!$A:$A, 0))-INDEX('UA-normalized'!$E:$E, MATCH($A195, 'UA-normalized'!$A:$A, 0))&gt;0, -(23*INDEX('UA-normalized'!$D:$D, MATCH($A195, 'UA-normalized'!$A:$A, 0))-INDEX('UA-normalized'!$E:$E, MATCH($A195, 'UA-normalized'!$A:$A, 0))), 0), 0))+(IFERROR(IF(23*INDEX('KZ-normalized'!$D:$D, MATCH($A195, 'KZ-normalized'!$A:$A, 0))-INDEX('KZ-normalized'!$E:$E, MATCH($A195, 'KZ-normalized'!$A:$A, 0))&gt;0, -(23*INDEX('KZ-normalized'!$D:$D, MATCH($A195, 'KZ-normalized'!$A:$A, 0))-INDEX('KZ-normalized'!$E:$E, MATCH($A195, 'KZ-normalized'!$A:$A, 0))), 0), 0))+(IFERROR(IF(23*INDEX('UZ-normalized'!$D:$D, MATCH($A195, 'UZ-normalized'!$A:$A, 0))-INDEX('UZ-normalized'!$E:$E, MATCH($A195, 'UZ-normalized'!$A:$A, 0))&gt;0, -(23*INDEX('UZ-normalized'!$D:$D, MATCH($A195, 'UZ-normalized'!$A:$A, 0))-INDEX('UZ-normalized'!$E:$E, MATCH($A195, 'UZ-normalized'!$A:$A, 0))), 0), 0)))</f>
        <v>-98.699999999999989</v>
      </c>
      <c r="AL195" s="6">
        <f>MIN(0, N195+(IFERROR(IF(24*INDEX('UA-normalized'!$D:$D, MATCH($A195, 'UA-normalized'!$A:$A, 0))-INDEX('UA-normalized'!$E:$E, MATCH($A195, 'UA-normalized'!$A:$A, 0))&gt;0, -(24*INDEX('UA-normalized'!$D:$D, MATCH($A195, 'UA-normalized'!$A:$A, 0))-INDEX('UA-normalized'!$E:$E, MATCH($A195, 'UA-normalized'!$A:$A, 0))), 0), 0))+(IFERROR(IF(24*INDEX('KZ-normalized'!$D:$D, MATCH($A195, 'KZ-normalized'!$A:$A, 0))-INDEX('KZ-normalized'!$E:$E, MATCH($A195, 'KZ-normalized'!$A:$A, 0))&gt;0, -(24*INDEX('KZ-normalized'!$D:$D, MATCH($A195, 'KZ-normalized'!$A:$A, 0))-INDEX('KZ-normalized'!$E:$E, MATCH($A195, 'KZ-normalized'!$A:$A, 0))), 0), 0))+(IFERROR(IF(24*INDEX('UZ-normalized'!$D:$D, MATCH($A195, 'UZ-normalized'!$A:$A, 0))-INDEX('UZ-normalized'!$E:$E, MATCH($A195, 'UZ-normalized'!$A:$A, 0))&gt;0, -(24*INDEX('UZ-normalized'!$D:$D, MATCH($A195, 'UZ-normalized'!$A:$A, 0))-INDEX('UZ-normalized'!$E:$E, MATCH($A195, 'UZ-normalized'!$A:$A, 0))), 0), 0)))</f>
        <v>-146.09999999999997</v>
      </c>
      <c r="AM195" s="6">
        <f>MIN(0, N195+(IFERROR(IF(25*INDEX('UA-normalized'!$D:$D, MATCH($A195, 'UA-normalized'!$A:$A, 0))-INDEX('UA-normalized'!$E:$E, MATCH($A195, 'UA-normalized'!$A:$A, 0))&gt;0, -(25*INDEX('UA-normalized'!$D:$D, MATCH($A195, 'UA-normalized'!$A:$A, 0))-INDEX('UA-normalized'!$E:$E, MATCH($A195, 'UA-normalized'!$A:$A, 0))), 0), 0))+(IFERROR(IF(25*INDEX('KZ-normalized'!$D:$D, MATCH($A195, 'KZ-normalized'!$A:$A, 0))-INDEX('KZ-normalized'!$E:$E, MATCH($A195, 'KZ-normalized'!$A:$A, 0))&gt;0, -(25*INDEX('KZ-normalized'!$D:$D, MATCH($A195, 'KZ-normalized'!$A:$A, 0))-INDEX('KZ-normalized'!$E:$E, MATCH($A195, 'KZ-normalized'!$A:$A, 0))), 0), 0))+(IFERROR(IF(25*INDEX('UZ-normalized'!$D:$D, MATCH($A195, 'UZ-normalized'!$A:$A, 0))-INDEX('UZ-normalized'!$E:$E, MATCH($A195, 'UZ-normalized'!$A:$A, 0))&gt;0, -(25*INDEX('UZ-normalized'!$D:$D, MATCH($A195, 'UZ-normalized'!$A:$A, 0))-INDEX('UZ-normalized'!$E:$E, MATCH($A195, 'UZ-normalized'!$A:$A, 0))), 0), 0)))</f>
        <v>-193.49999999999994</v>
      </c>
      <c r="AN195" s="6">
        <f>MIN(0, N195+(IFERROR(IF(26*INDEX('UA-normalized'!$D:$D, MATCH($A195, 'UA-normalized'!$A:$A, 0))-INDEX('UA-normalized'!$E:$E, MATCH($A195, 'UA-normalized'!$A:$A, 0))&gt;0, -(26*INDEX('UA-normalized'!$D:$D, MATCH($A195, 'UA-normalized'!$A:$A, 0))-INDEX('UA-normalized'!$E:$E, MATCH($A195, 'UA-normalized'!$A:$A, 0))), 0), 0))+(IFERROR(IF(26*INDEX('KZ-normalized'!$D:$D, MATCH($A195, 'KZ-normalized'!$A:$A, 0))-INDEX('KZ-normalized'!$E:$E, MATCH($A195, 'KZ-normalized'!$A:$A, 0))&gt;0, -(26*INDEX('KZ-normalized'!$D:$D, MATCH($A195, 'KZ-normalized'!$A:$A, 0))-INDEX('KZ-normalized'!$E:$E, MATCH($A195, 'KZ-normalized'!$A:$A, 0))), 0), 0))+(IFERROR(IF(26*INDEX('UZ-normalized'!$D:$D, MATCH($A195, 'UZ-normalized'!$A:$A, 0))-INDEX('UZ-normalized'!$E:$E, MATCH($A195, 'UZ-normalized'!$A:$A, 0))&gt;0, -(26*INDEX('UZ-normalized'!$D:$D, MATCH($A195, 'UZ-normalized'!$A:$A, 0))-INDEX('UZ-normalized'!$E:$E, MATCH($A195, 'UZ-normalized'!$A:$A, 0))), 0), 0)))</f>
        <v>-240.89999999999998</v>
      </c>
      <c r="AO195" s="6">
        <f>MIN(0, N195+(IFERROR(IF(27*INDEX('UA-normalized'!$D:$D, MATCH($A195, 'UA-normalized'!$A:$A, 0))-INDEX('UA-normalized'!$E:$E, MATCH($A195, 'UA-normalized'!$A:$A, 0))&gt;0, -(27*INDEX('UA-normalized'!$D:$D, MATCH($A195, 'UA-normalized'!$A:$A, 0))-INDEX('UA-normalized'!$E:$E, MATCH($A195, 'UA-normalized'!$A:$A, 0))), 0), 0))+(IFERROR(IF(27*INDEX('KZ-normalized'!$D:$D, MATCH($A195, 'KZ-normalized'!$A:$A, 0))-INDEX('KZ-normalized'!$E:$E, MATCH($A195, 'KZ-normalized'!$A:$A, 0))&gt;0, -(27*INDEX('KZ-normalized'!$D:$D, MATCH($A195, 'KZ-normalized'!$A:$A, 0))-INDEX('KZ-normalized'!$E:$E, MATCH($A195, 'KZ-normalized'!$A:$A, 0))), 0), 0))+(IFERROR(IF(27*INDEX('UZ-normalized'!$D:$D, MATCH($A195, 'UZ-normalized'!$A:$A, 0))-INDEX('UZ-normalized'!$E:$E, MATCH($A195, 'UZ-normalized'!$A:$A, 0))&gt;0, -(27*INDEX('UZ-normalized'!$D:$D, MATCH($A195, 'UZ-normalized'!$A:$A, 0))-INDEX('UZ-normalized'!$E:$E, MATCH($A195, 'UZ-normalized'!$A:$A, 0))), 0), 0)))</f>
        <v>-288.29999999999995</v>
      </c>
      <c r="AP195" s="6">
        <f>MIN(0, N195+(IFERROR(IF(28*INDEX('UA-normalized'!$D:$D, MATCH($A195, 'UA-normalized'!$A:$A, 0))-INDEX('UA-normalized'!$E:$E, MATCH($A195, 'UA-normalized'!$A:$A, 0))&gt;0, -(28*INDEX('UA-normalized'!$D:$D, MATCH($A195, 'UA-normalized'!$A:$A, 0))-INDEX('UA-normalized'!$E:$E, MATCH($A195, 'UA-normalized'!$A:$A, 0))), 0), 0))+(IFERROR(IF(28*INDEX('KZ-normalized'!$D:$D, MATCH($A195, 'KZ-normalized'!$A:$A, 0))-INDEX('KZ-normalized'!$E:$E, MATCH($A195, 'KZ-normalized'!$A:$A, 0))&gt;0, -(28*INDEX('KZ-normalized'!$D:$D, MATCH($A195, 'KZ-normalized'!$A:$A, 0))-INDEX('KZ-normalized'!$E:$E, MATCH($A195, 'KZ-normalized'!$A:$A, 0))), 0), 0))+(IFERROR(IF(28*INDEX('UZ-normalized'!$D:$D, MATCH($A195, 'UZ-normalized'!$A:$A, 0))-INDEX('UZ-normalized'!$E:$E, MATCH($A195, 'UZ-normalized'!$A:$A, 0))&gt;0, -(28*INDEX('UZ-normalized'!$D:$D, MATCH($A195, 'UZ-normalized'!$A:$A, 0))-INDEX('UZ-normalized'!$E:$E, MATCH($A195, 'UZ-normalized'!$A:$A, 0))), 0), 0)))</f>
        <v>-335.69999999999993</v>
      </c>
      <c r="AQ195" s="6">
        <f>MIN(0, N195+(IFERROR(IF(29*INDEX('UA-normalized'!$D:$D, MATCH($A195, 'UA-normalized'!$A:$A, 0))-INDEX('UA-normalized'!$E:$E, MATCH($A195, 'UA-normalized'!$A:$A, 0))&gt;0, -(29*INDEX('UA-normalized'!$D:$D, MATCH($A195, 'UA-normalized'!$A:$A, 0))-INDEX('UA-normalized'!$E:$E, MATCH($A195, 'UA-normalized'!$A:$A, 0))), 0), 0))+(IFERROR(IF(29*INDEX('KZ-normalized'!$D:$D, MATCH($A195, 'KZ-normalized'!$A:$A, 0))-INDEX('KZ-normalized'!$E:$E, MATCH($A195, 'KZ-normalized'!$A:$A, 0))&gt;0, -(29*INDEX('KZ-normalized'!$D:$D, MATCH($A195, 'KZ-normalized'!$A:$A, 0))-INDEX('KZ-normalized'!$E:$E, MATCH($A195, 'KZ-normalized'!$A:$A, 0))), 0), 0))+(IFERROR(IF(29*INDEX('UZ-normalized'!$D:$D, MATCH($A195, 'UZ-normalized'!$A:$A, 0))-INDEX('UZ-normalized'!$E:$E, MATCH($A195, 'UZ-normalized'!$A:$A, 0))&gt;0, -(29*INDEX('UZ-normalized'!$D:$D, MATCH($A195, 'UZ-normalized'!$A:$A, 0))-INDEX('UZ-normalized'!$E:$E, MATCH($A195, 'UZ-normalized'!$A:$A, 0))), 0), 0)))</f>
        <v>-383.09999999999991</v>
      </c>
      <c r="AR195" s="6">
        <f>MIN(0, N195+(IFERROR(IF(30*INDEX('UA-normalized'!$D:$D, MATCH($A195, 'UA-normalized'!$A:$A, 0))-INDEX('UA-normalized'!$E:$E, MATCH($A195, 'UA-normalized'!$A:$A, 0))&gt;0, -(30*INDEX('UA-normalized'!$D:$D, MATCH($A195, 'UA-normalized'!$A:$A, 0))-INDEX('UA-normalized'!$E:$E, MATCH($A195, 'UA-normalized'!$A:$A, 0))), 0), 0))+(IFERROR(IF(30*INDEX('KZ-normalized'!$D:$D, MATCH($A195, 'KZ-normalized'!$A:$A, 0))-INDEX('KZ-normalized'!$E:$E, MATCH($A195, 'KZ-normalized'!$A:$A, 0))&gt;0, -(30*INDEX('KZ-normalized'!$D:$D, MATCH($A195, 'KZ-normalized'!$A:$A, 0))-INDEX('KZ-normalized'!$E:$E, MATCH($A195, 'KZ-normalized'!$A:$A, 0))), 0), 0))+(IFERROR(IF(30*INDEX('UZ-normalized'!$D:$D, MATCH($A195, 'UZ-normalized'!$A:$A, 0))-INDEX('UZ-normalized'!$E:$E, MATCH($A195, 'UZ-normalized'!$A:$A, 0))&gt;0, -(30*INDEX('UZ-normalized'!$D:$D, MATCH($A195, 'UZ-normalized'!$A:$A, 0))-INDEX('UZ-normalized'!$E:$E, MATCH($A195, 'UZ-normalized'!$A:$A, 0))), 0), 0)))</f>
        <v>-430.5</v>
      </c>
    </row>
    <row r="196" spans="1:44" x14ac:dyDescent="0.25">
      <c r="A196" s="8" t="s">
        <v>470</v>
      </c>
      <c r="B196" s="8" t="s">
        <v>460</v>
      </c>
      <c r="C196" s="8" t="s">
        <v>466</v>
      </c>
      <c r="D196" s="8" t="s">
        <v>471</v>
      </c>
      <c r="E196">
        <v>132.5</v>
      </c>
      <c r="G196">
        <v>-25</v>
      </c>
      <c r="N196">
        <f t="shared" si="3"/>
        <v>107.5</v>
      </c>
      <c r="O196" s="6">
        <f>MIN(0, N196+(IFERROR(IF(1*INDEX('UA-normalized'!$D:$D, MATCH($A196, 'UA-normalized'!$A:$A, 0))-INDEX('UA-normalized'!$E:$E, MATCH($A196, 'UA-normalized'!$A:$A, 0))&gt;0, -(1*INDEX('UA-normalized'!$D:$D, MATCH($A196, 'UA-normalized'!$A:$A, 0))-INDEX('UA-normalized'!$E:$E, MATCH($A196, 'UA-normalized'!$A:$A, 0))), 0), 0))+(IFERROR(IF(1*INDEX('KZ-normalized'!$D:$D, MATCH($A196, 'KZ-normalized'!$A:$A, 0))-INDEX('KZ-normalized'!$E:$E, MATCH($A196, 'KZ-normalized'!$A:$A, 0))&gt;0, -(1*INDEX('KZ-normalized'!$D:$D, MATCH($A196, 'KZ-normalized'!$A:$A, 0))-INDEX('KZ-normalized'!$E:$E, MATCH($A196, 'KZ-normalized'!$A:$A, 0))), 0), 0))+(IFERROR(IF(1*INDEX('UZ-normalized'!$D:$D, MATCH($A196, 'UZ-normalized'!$A:$A, 0))-INDEX('UZ-normalized'!$E:$E, MATCH($A196, 'UZ-normalized'!$A:$A, 0))&gt;0, -(1*INDEX('UZ-normalized'!$D:$D, MATCH($A196, 'UZ-normalized'!$A:$A, 0))-INDEX('UZ-normalized'!$E:$E, MATCH($A196, 'UZ-normalized'!$A:$A, 0))), 0), 0)))</f>
        <v>0</v>
      </c>
      <c r="P196" s="6">
        <f>MIN(0, N196+(IFERROR(IF(2*INDEX('UA-normalized'!$D:$D, MATCH($A196, 'UA-normalized'!$A:$A, 0))-INDEX('UA-normalized'!$E:$E, MATCH($A196, 'UA-normalized'!$A:$A, 0))&gt;0, -(2*INDEX('UA-normalized'!$D:$D, MATCH($A196, 'UA-normalized'!$A:$A, 0))-INDEX('UA-normalized'!$E:$E, MATCH($A196, 'UA-normalized'!$A:$A, 0))), 0), 0))+(IFERROR(IF(2*INDEX('KZ-normalized'!$D:$D, MATCH($A196, 'KZ-normalized'!$A:$A, 0))-INDEX('KZ-normalized'!$E:$E, MATCH($A196, 'KZ-normalized'!$A:$A, 0))&gt;0, -(2*INDEX('KZ-normalized'!$D:$D, MATCH($A196, 'KZ-normalized'!$A:$A, 0))-INDEX('KZ-normalized'!$E:$E, MATCH($A196, 'KZ-normalized'!$A:$A, 0))), 0), 0))+(IFERROR(IF(2*INDEX('UZ-normalized'!$D:$D, MATCH($A196, 'UZ-normalized'!$A:$A, 0))-INDEX('UZ-normalized'!$E:$E, MATCH($A196, 'UZ-normalized'!$A:$A, 0))&gt;0, -(2*INDEX('UZ-normalized'!$D:$D, MATCH($A196, 'UZ-normalized'!$A:$A, 0))-INDEX('UZ-normalized'!$E:$E, MATCH($A196, 'UZ-normalized'!$A:$A, 0))), 0), 0)))</f>
        <v>0</v>
      </c>
      <c r="Q196" s="6">
        <f>MIN(0, N196+(IFERROR(IF(3*INDEX('UA-normalized'!$D:$D, MATCH($A196, 'UA-normalized'!$A:$A, 0))-INDEX('UA-normalized'!$E:$E, MATCH($A196, 'UA-normalized'!$A:$A, 0))&gt;0, -(3*INDEX('UA-normalized'!$D:$D, MATCH($A196, 'UA-normalized'!$A:$A, 0))-INDEX('UA-normalized'!$E:$E, MATCH($A196, 'UA-normalized'!$A:$A, 0))), 0), 0))+(IFERROR(IF(3*INDEX('KZ-normalized'!$D:$D, MATCH($A196, 'KZ-normalized'!$A:$A, 0))-INDEX('KZ-normalized'!$E:$E, MATCH($A196, 'KZ-normalized'!$A:$A, 0))&gt;0, -(3*INDEX('KZ-normalized'!$D:$D, MATCH($A196, 'KZ-normalized'!$A:$A, 0))-INDEX('KZ-normalized'!$E:$E, MATCH($A196, 'KZ-normalized'!$A:$A, 0))), 0), 0))+(IFERROR(IF(3*INDEX('UZ-normalized'!$D:$D, MATCH($A196, 'UZ-normalized'!$A:$A, 0))-INDEX('UZ-normalized'!$E:$E, MATCH($A196, 'UZ-normalized'!$A:$A, 0))&gt;0, -(3*INDEX('UZ-normalized'!$D:$D, MATCH($A196, 'UZ-normalized'!$A:$A, 0))-INDEX('UZ-normalized'!$E:$E, MATCH($A196, 'UZ-normalized'!$A:$A, 0))), 0), 0)))</f>
        <v>0</v>
      </c>
      <c r="R196" s="6">
        <f>MIN(0, N196+(IFERROR(IF(4*INDEX('UA-normalized'!$D:$D, MATCH($A196, 'UA-normalized'!$A:$A, 0))-INDEX('UA-normalized'!$E:$E, MATCH($A196, 'UA-normalized'!$A:$A, 0))&gt;0, -(4*INDEX('UA-normalized'!$D:$D, MATCH($A196, 'UA-normalized'!$A:$A, 0))-INDEX('UA-normalized'!$E:$E, MATCH($A196, 'UA-normalized'!$A:$A, 0))), 0), 0))+(IFERROR(IF(4*INDEX('KZ-normalized'!$D:$D, MATCH($A196, 'KZ-normalized'!$A:$A, 0))-INDEX('KZ-normalized'!$E:$E, MATCH($A196, 'KZ-normalized'!$A:$A, 0))&gt;0, -(4*INDEX('KZ-normalized'!$D:$D, MATCH($A196, 'KZ-normalized'!$A:$A, 0))-INDEX('KZ-normalized'!$E:$E, MATCH($A196, 'KZ-normalized'!$A:$A, 0))), 0), 0))+(IFERROR(IF(4*INDEX('UZ-normalized'!$D:$D, MATCH($A196, 'UZ-normalized'!$A:$A, 0))-INDEX('UZ-normalized'!$E:$E, MATCH($A196, 'UZ-normalized'!$A:$A, 0))&gt;0, -(4*INDEX('UZ-normalized'!$D:$D, MATCH($A196, 'UZ-normalized'!$A:$A, 0))-INDEX('UZ-normalized'!$E:$E, MATCH($A196, 'UZ-normalized'!$A:$A, 0))), 0), 0)))</f>
        <v>0</v>
      </c>
      <c r="S196" s="6">
        <f>MIN(0, N196+(IFERROR(IF(5*INDEX('UA-normalized'!$D:$D, MATCH($A196, 'UA-normalized'!$A:$A, 0))-INDEX('UA-normalized'!$E:$E, MATCH($A196, 'UA-normalized'!$A:$A, 0))&gt;0, -(5*INDEX('UA-normalized'!$D:$D, MATCH($A196, 'UA-normalized'!$A:$A, 0))-INDEX('UA-normalized'!$E:$E, MATCH($A196, 'UA-normalized'!$A:$A, 0))), 0), 0))+(IFERROR(IF(5*INDEX('KZ-normalized'!$D:$D, MATCH($A196, 'KZ-normalized'!$A:$A, 0))-INDEX('KZ-normalized'!$E:$E, MATCH($A196, 'KZ-normalized'!$A:$A, 0))&gt;0, -(5*INDEX('KZ-normalized'!$D:$D, MATCH($A196, 'KZ-normalized'!$A:$A, 0))-INDEX('KZ-normalized'!$E:$E, MATCH($A196, 'KZ-normalized'!$A:$A, 0))), 0), 0))+(IFERROR(IF(5*INDEX('UZ-normalized'!$D:$D, MATCH($A196, 'UZ-normalized'!$A:$A, 0))-INDEX('UZ-normalized'!$E:$E, MATCH($A196, 'UZ-normalized'!$A:$A, 0))&gt;0, -(5*INDEX('UZ-normalized'!$D:$D, MATCH($A196, 'UZ-normalized'!$A:$A, 0))-INDEX('UZ-normalized'!$E:$E, MATCH($A196, 'UZ-normalized'!$A:$A, 0))), 0), 0)))</f>
        <v>0</v>
      </c>
      <c r="T196" s="6">
        <f>MIN(0, N196+(IFERROR(IF(6*INDEX('UA-normalized'!$D:$D, MATCH($A196, 'UA-normalized'!$A:$A, 0))-INDEX('UA-normalized'!$E:$E, MATCH($A196, 'UA-normalized'!$A:$A, 0))&gt;0, -(6*INDEX('UA-normalized'!$D:$D, MATCH($A196, 'UA-normalized'!$A:$A, 0))-INDEX('UA-normalized'!$E:$E, MATCH($A196, 'UA-normalized'!$A:$A, 0))), 0), 0))+(IFERROR(IF(6*INDEX('KZ-normalized'!$D:$D, MATCH($A196, 'KZ-normalized'!$A:$A, 0))-INDEX('KZ-normalized'!$E:$E, MATCH($A196, 'KZ-normalized'!$A:$A, 0))&gt;0, -(6*INDEX('KZ-normalized'!$D:$D, MATCH($A196, 'KZ-normalized'!$A:$A, 0))-INDEX('KZ-normalized'!$E:$E, MATCH($A196, 'KZ-normalized'!$A:$A, 0))), 0), 0))+(IFERROR(IF(6*INDEX('UZ-normalized'!$D:$D, MATCH($A196, 'UZ-normalized'!$A:$A, 0))-INDEX('UZ-normalized'!$E:$E, MATCH($A196, 'UZ-normalized'!$A:$A, 0))&gt;0, -(6*INDEX('UZ-normalized'!$D:$D, MATCH($A196, 'UZ-normalized'!$A:$A, 0))-INDEX('UZ-normalized'!$E:$E, MATCH($A196, 'UZ-normalized'!$A:$A, 0))), 0), 0)))</f>
        <v>0</v>
      </c>
      <c r="U196" s="6">
        <f>MIN(0, N196+(IFERROR(IF(7*INDEX('UA-normalized'!$D:$D, MATCH($A196, 'UA-normalized'!$A:$A, 0))-INDEX('UA-normalized'!$E:$E, MATCH($A196, 'UA-normalized'!$A:$A, 0))&gt;0, -(7*INDEX('UA-normalized'!$D:$D, MATCH($A196, 'UA-normalized'!$A:$A, 0))-INDEX('UA-normalized'!$E:$E, MATCH($A196, 'UA-normalized'!$A:$A, 0))), 0), 0))+(IFERROR(IF(7*INDEX('KZ-normalized'!$D:$D, MATCH($A196, 'KZ-normalized'!$A:$A, 0))-INDEX('KZ-normalized'!$E:$E, MATCH($A196, 'KZ-normalized'!$A:$A, 0))&gt;0, -(7*INDEX('KZ-normalized'!$D:$D, MATCH($A196, 'KZ-normalized'!$A:$A, 0))-INDEX('KZ-normalized'!$E:$E, MATCH($A196, 'KZ-normalized'!$A:$A, 0))), 0), 0))+(IFERROR(IF(7*INDEX('UZ-normalized'!$D:$D, MATCH($A196, 'UZ-normalized'!$A:$A, 0))-INDEX('UZ-normalized'!$E:$E, MATCH($A196, 'UZ-normalized'!$A:$A, 0))&gt;0, -(7*INDEX('UZ-normalized'!$D:$D, MATCH($A196, 'UZ-normalized'!$A:$A, 0))-INDEX('UZ-normalized'!$E:$E, MATCH($A196, 'UZ-normalized'!$A:$A, 0))), 0), 0)))</f>
        <v>0</v>
      </c>
      <c r="V196" s="6">
        <f>MIN(0, N196+(IFERROR(IF(8*INDEX('UA-normalized'!$D:$D, MATCH($A196, 'UA-normalized'!$A:$A, 0))-INDEX('UA-normalized'!$E:$E, MATCH($A196, 'UA-normalized'!$A:$A, 0))&gt;0, -(8*INDEX('UA-normalized'!$D:$D, MATCH($A196, 'UA-normalized'!$A:$A, 0))-INDEX('UA-normalized'!$E:$E, MATCH($A196, 'UA-normalized'!$A:$A, 0))), 0), 0))+(IFERROR(IF(8*INDEX('KZ-normalized'!$D:$D, MATCH($A196, 'KZ-normalized'!$A:$A, 0))-INDEX('KZ-normalized'!$E:$E, MATCH($A196, 'KZ-normalized'!$A:$A, 0))&gt;0, -(8*INDEX('KZ-normalized'!$D:$D, MATCH($A196, 'KZ-normalized'!$A:$A, 0))-INDEX('KZ-normalized'!$E:$E, MATCH($A196, 'KZ-normalized'!$A:$A, 0))), 0), 0))+(IFERROR(IF(8*INDEX('UZ-normalized'!$D:$D, MATCH($A196, 'UZ-normalized'!$A:$A, 0))-INDEX('UZ-normalized'!$E:$E, MATCH($A196, 'UZ-normalized'!$A:$A, 0))&gt;0, -(8*INDEX('UZ-normalized'!$D:$D, MATCH($A196, 'UZ-normalized'!$A:$A, 0))-INDEX('UZ-normalized'!$E:$E, MATCH($A196, 'UZ-normalized'!$A:$A, 0))), 0), 0)))</f>
        <v>0</v>
      </c>
      <c r="W196" s="6">
        <f>MIN(0, N196+(IFERROR(IF(9*INDEX('UA-normalized'!$D:$D, MATCH($A196, 'UA-normalized'!$A:$A, 0))-INDEX('UA-normalized'!$E:$E, MATCH($A196, 'UA-normalized'!$A:$A, 0))&gt;0, -(9*INDEX('UA-normalized'!$D:$D, MATCH($A196, 'UA-normalized'!$A:$A, 0))-INDEX('UA-normalized'!$E:$E, MATCH($A196, 'UA-normalized'!$A:$A, 0))), 0), 0))+(IFERROR(IF(9*INDEX('KZ-normalized'!$D:$D, MATCH($A196, 'KZ-normalized'!$A:$A, 0))-INDEX('KZ-normalized'!$E:$E, MATCH($A196, 'KZ-normalized'!$A:$A, 0))&gt;0, -(9*INDEX('KZ-normalized'!$D:$D, MATCH($A196, 'KZ-normalized'!$A:$A, 0))-INDEX('KZ-normalized'!$E:$E, MATCH($A196, 'KZ-normalized'!$A:$A, 0))), 0), 0))+(IFERROR(IF(9*INDEX('UZ-normalized'!$D:$D, MATCH($A196, 'UZ-normalized'!$A:$A, 0))-INDEX('UZ-normalized'!$E:$E, MATCH($A196, 'UZ-normalized'!$A:$A, 0))&gt;0, -(9*INDEX('UZ-normalized'!$D:$D, MATCH($A196, 'UZ-normalized'!$A:$A, 0))-INDEX('UZ-normalized'!$E:$E, MATCH($A196, 'UZ-normalized'!$A:$A, 0))), 0), 0)))</f>
        <v>-6</v>
      </c>
      <c r="X196" s="6">
        <f>MIN(0, N196+(IFERROR(IF(10*INDEX('UA-normalized'!$D:$D, MATCH($A196, 'UA-normalized'!$A:$A, 0))-INDEX('UA-normalized'!$E:$E, MATCH($A196, 'UA-normalized'!$A:$A, 0))&gt;0, -(10*INDEX('UA-normalized'!$D:$D, MATCH($A196, 'UA-normalized'!$A:$A, 0))-INDEX('UA-normalized'!$E:$E, MATCH($A196, 'UA-normalized'!$A:$A, 0))), 0), 0))+(IFERROR(IF(10*INDEX('KZ-normalized'!$D:$D, MATCH($A196, 'KZ-normalized'!$A:$A, 0))-INDEX('KZ-normalized'!$E:$E, MATCH($A196, 'KZ-normalized'!$A:$A, 0))&gt;0, -(10*INDEX('KZ-normalized'!$D:$D, MATCH($A196, 'KZ-normalized'!$A:$A, 0))-INDEX('KZ-normalized'!$E:$E, MATCH($A196, 'KZ-normalized'!$A:$A, 0))), 0), 0))+(IFERROR(IF(10*INDEX('UZ-normalized'!$D:$D, MATCH($A196, 'UZ-normalized'!$A:$A, 0))-INDEX('UZ-normalized'!$E:$E, MATCH($A196, 'UZ-normalized'!$A:$A, 0))&gt;0, -(10*INDEX('UZ-normalized'!$D:$D, MATCH($A196, 'UZ-normalized'!$A:$A, 0))-INDEX('UZ-normalized'!$E:$E, MATCH($A196, 'UZ-normalized'!$A:$A, 0))), 0), 0)))</f>
        <v>-37.5</v>
      </c>
      <c r="Y196" s="6">
        <f>MIN(0, N196+(IFERROR(IF(11*INDEX('UA-normalized'!$D:$D, MATCH($A196, 'UA-normalized'!$A:$A, 0))-INDEX('UA-normalized'!$E:$E, MATCH($A196, 'UA-normalized'!$A:$A, 0))&gt;0, -(11*INDEX('UA-normalized'!$D:$D, MATCH($A196, 'UA-normalized'!$A:$A, 0))-INDEX('UA-normalized'!$E:$E, MATCH($A196, 'UA-normalized'!$A:$A, 0))), 0), 0))+(IFERROR(IF(11*INDEX('KZ-normalized'!$D:$D, MATCH($A196, 'KZ-normalized'!$A:$A, 0))-INDEX('KZ-normalized'!$E:$E, MATCH($A196, 'KZ-normalized'!$A:$A, 0))&gt;0, -(11*INDEX('KZ-normalized'!$D:$D, MATCH($A196, 'KZ-normalized'!$A:$A, 0))-INDEX('KZ-normalized'!$E:$E, MATCH($A196, 'KZ-normalized'!$A:$A, 0))), 0), 0))+(IFERROR(IF(11*INDEX('UZ-normalized'!$D:$D, MATCH($A196, 'UZ-normalized'!$A:$A, 0))-INDEX('UZ-normalized'!$E:$E, MATCH($A196, 'UZ-normalized'!$A:$A, 0))&gt;0, -(11*INDEX('UZ-normalized'!$D:$D, MATCH($A196, 'UZ-normalized'!$A:$A, 0))-INDEX('UZ-normalized'!$E:$E, MATCH($A196, 'UZ-normalized'!$A:$A, 0))), 0), 0)))</f>
        <v>-71</v>
      </c>
      <c r="Z196" s="6">
        <f>MIN(0, N196+(IFERROR(IF(12*INDEX('UA-normalized'!$D:$D, MATCH($A196, 'UA-normalized'!$A:$A, 0))-INDEX('UA-normalized'!$E:$E, MATCH($A196, 'UA-normalized'!$A:$A, 0))&gt;0, -(12*INDEX('UA-normalized'!$D:$D, MATCH($A196, 'UA-normalized'!$A:$A, 0))-INDEX('UA-normalized'!$E:$E, MATCH($A196, 'UA-normalized'!$A:$A, 0))), 0), 0))+(IFERROR(IF(12*INDEX('KZ-normalized'!$D:$D, MATCH($A196, 'KZ-normalized'!$A:$A, 0))-INDEX('KZ-normalized'!$E:$E, MATCH($A196, 'KZ-normalized'!$A:$A, 0))&gt;0, -(12*INDEX('KZ-normalized'!$D:$D, MATCH($A196, 'KZ-normalized'!$A:$A, 0))-INDEX('KZ-normalized'!$E:$E, MATCH($A196, 'KZ-normalized'!$A:$A, 0))), 0), 0))+(IFERROR(IF(12*INDEX('UZ-normalized'!$D:$D, MATCH($A196, 'UZ-normalized'!$A:$A, 0))-INDEX('UZ-normalized'!$E:$E, MATCH($A196, 'UZ-normalized'!$A:$A, 0))&gt;0, -(12*INDEX('UZ-normalized'!$D:$D, MATCH($A196, 'UZ-normalized'!$A:$A, 0))-INDEX('UZ-normalized'!$E:$E, MATCH($A196, 'UZ-normalized'!$A:$A, 0))), 0), 0)))</f>
        <v>-104.5</v>
      </c>
      <c r="AA196" s="6">
        <f>MIN(0, N196+(IFERROR(IF(13*INDEX('UA-normalized'!$D:$D, MATCH($A196, 'UA-normalized'!$A:$A, 0))-INDEX('UA-normalized'!$E:$E, MATCH($A196, 'UA-normalized'!$A:$A, 0))&gt;0, -(13*INDEX('UA-normalized'!$D:$D, MATCH($A196, 'UA-normalized'!$A:$A, 0))-INDEX('UA-normalized'!$E:$E, MATCH($A196, 'UA-normalized'!$A:$A, 0))), 0), 0))+(IFERROR(IF(13*INDEX('KZ-normalized'!$D:$D, MATCH($A196, 'KZ-normalized'!$A:$A, 0))-INDEX('KZ-normalized'!$E:$E, MATCH($A196, 'KZ-normalized'!$A:$A, 0))&gt;0, -(13*INDEX('KZ-normalized'!$D:$D, MATCH($A196, 'KZ-normalized'!$A:$A, 0))-INDEX('KZ-normalized'!$E:$E, MATCH($A196, 'KZ-normalized'!$A:$A, 0))), 0), 0))+(IFERROR(IF(13*INDEX('UZ-normalized'!$D:$D, MATCH($A196, 'UZ-normalized'!$A:$A, 0))-INDEX('UZ-normalized'!$E:$E, MATCH($A196, 'UZ-normalized'!$A:$A, 0))&gt;0, -(13*INDEX('UZ-normalized'!$D:$D, MATCH($A196, 'UZ-normalized'!$A:$A, 0))-INDEX('UZ-normalized'!$E:$E, MATCH($A196, 'UZ-normalized'!$A:$A, 0))), 0), 0)))</f>
        <v>-138</v>
      </c>
      <c r="AB196" s="6">
        <f>MIN(0, N196+(IFERROR(IF(14*INDEX('UA-normalized'!$D:$D, MATCH($A196, 'UA-normalized'!$A:$A, 0))-INDEX('UA-normalized'!$E:$E, MATCH($A196, 'UA-normalized'!$A:$A, 0))&gt;0, -(14*INDEX('UA-normalized'!$D:$D, MATCH($A196, 'UA-normalized'!$A:$A, 0))-INDEX('UA-normalized'!$E:$E, MATCH($A196, 'UA-normalized'!$A:$A, 0))), 0), 0))+(IFERROR(IF(14*INDEX('KZ-normalized'!$D:$D, MATCH($A196, 'KZ-normalized'!$A:$A, 0))-INDEX('KZ-normalized'!$E:$E, MATCH($A196, 'KZ-normalized'!$A:$A, 0))&gt;0, -(14*INDEX('KZ-normalized'!$D:$D, MATCH($A196, 'KZ-normalized'!$A:$A, 0))-INDEX('KZ-normalized'!$E:$E, MATCH($A196, 'KZ-normalized'!$A:$A, 0))), 0), 0))+(IFERROR(IF(14*INDEX('UZ-normalized'!$D:$D, MATCH($A196, 'UZ-normalized'!$A:$A, 0))-INDEX('UZ-normalized'!$E:$E, MATCH($A196, 'UZ-normalized'!$A:$A, 0))&gt;0, -(14*INDEX('UZ-normalized'!$D:$D, MATCH($A196, 'UZ-normalized'!$A:$A, 0))-INDEX('UZ-normalized'!$E:$E, MATCH($A196, 'UZ-normalized'!$A:$A, 0))), 0), 0)))</f>
        <v>-171.5</v>
      </c>
      <c r="AC196" s="6">
        <f>MIN(0, N196+(IFERROR(IF(15*INDEX('UA-normalized'!$D:$D, MATCH($A196, 'UA-normalized'!$A:$A, 0))-INDEX('UA-normalized'!$E:$E, MATCH($A196, 'UA-normalized'!$A:$A, 0))&gt;0, -(15*INDEX('UA-normalized'!$D:$D, MATCH($A196, 'UA-normalized'!$A:$A, 0))-INDEX('UA-normalized'!$E:$E, MATCH($A196, 'UA-normalized'!$A:$A, 0))), 0), 0))+(IFERROR(IF(15*INDEX('KZ-normalized'!$D:$D, MATCH($A196, 'KZ-normalized'!$A:$A, 0))-INDEX('KZ-normalized'!$E:$E, MATCH($A196, 'KZ-normalized'!$A:$A, 0))&gt;0, -(15*INDEX('KZ-normalized'!$D:$D, MATCH($A196, 'KZ-normalized'!$A:$A, 0))-INDEX('KZ-normalized'!$E:$E, MATCH($A196, 'KZ-normalized'!$A:$A, 0))), 0), 0))+(IFERROR(IF(15*INDEX('UZ-normalized'!$D:$D, MATCH($A196, 'UZ-normalized'!$A:$A, 0))-INDEX('UZ-normalized'!$E:$E, MATCH($A196, 'UZ-normalized'!$A:$A, 0))&gt;0, -(15*INDEX('UZ-normalized'!$D:$D, MATCH($A196, 'UZ-normalized'!$A:$A, 0))-INDEX('UZ-normalized'!$E:$E, MATCH($A196, 'UZ-normalized'!$A:$A, 0))), 0), 0)))</f>
        <v>-205</v>
      </c>
      <c r="AD196" s="6">
        <f>MIN(0, N196+(IFERROR(IF(16*INDEX('UA-normalized'!$D:$D, MATCH($A196, 'UA-normalized'!$A:$A, 0))-INDEX('UA-normalized'!$E:$E, MATCH($A196, 'UA-normalized'!$A:$A, 0))&gt;0, -(16*INDEX('UA-normalized'!$D:$D, MATCH($A196, 'UA-normalized'!$A:$A, 0))-INDEX('UA-normalized'!$E:$E, MATCH($A196, 'UA-normalized'!$A:$A, 0))), 0), 0))+(IFERROR(IF(16*INDEX('KZ-normalized'!$D:$D, MATCH($A196, 'KZ-normalized'!$A:$A, 0))-INDEX('KZ-normalized'!$E:$E, MATCH($A196, 'KZ-normalized'!$A:$A, 0))&gt;0, -(16*INDEX('KZ-normalized'!$D:$D, MATCH($A196, 'KZ-normalized'!$A:$A, 0))-INDEX('KZ-normalized'!$E:$E, MATCH($A196, 'KZ-normalized'!$A:$A, 0))), 0), 0))+(IFERROR(IF(16*INDEX('UZ-normalized'!$D:$D, MATCH($A196, 'UZ-normalized'!$A:$A, 0))-INDEX('UZ-normalized'!$E:$E, MATCH($A196, 'UZ-normalized'!$A:$A, 0))&gt;0, -(16*INDEX('UZ-normalized'!$D:$D, MATCH($A196, 'UZ-normalized'!$A:$A, 0))-INDEX('UZ-normalized'!$E:$E, MATCH($A196, 'UZ-normalized'!$A:$A, 0))), 0), 0)))</f>
        <v>-238.5</v>
      </c>
      <c r="AE196" s="6">
        <f>MIN(0, N196+(IFERROR(IF(17*INDEX('UA-normalized'!$D:$D, MATCH($A196, 'UA-normalized'!$A:$A, 0))-INDEX('UA-normalized'!$E:$E, MATCH($A196, 'UA-normalized'!$A:$A, 0))&gt;0, -(17*INDEX('UA-normalized'!$D:$D, MATCH($A196, 'UA-normalized'!$A:$A, 0))-INDEX('UA-normalized'!$E:$E, MATCH($A196, 'UA-normalized'!$A:$A, 0))), 0), 0))+(IFERROR(IF(17*INDEX('KZ-normalized'!$D:$D, MATCH($A196, 'KZ-normalized'!$A:$A, 0))-INDEX('KZ-normalized'!$E:$E, MATCH($A196, 'KZ-normalized'!$A:$A, 0))&gt;0, -(17*INDEX('KZ-normalized'!$D:$D, MATCH($A196, 'KZ-normalized'!$A:$A, 0))-INDEX('KZ-normalized'!$E:$E, MATCH($A196, 'KZ-normalized'!$A:$A, 0))), 0), 0))+(IFERROR(IF(17*INDEX('UZ-normalized'!$D:$D, MATCH($A196, 'UZ-normalized'!$A:$A, 0))-INDEX('UZ-normalized'!$E:$E, MATCH($A196, 'UZ-normalized'!$A:$A, 0))&gt;0, -(17*INDEX('UZ-normalized'!$D:$D, MATCH($A196, 'UZ-normalized'!$A:$A, 0))-INDEX('UZ-normalized'!$E:$E, MATCH($A196, 'UZ-normalized'!$A:$A, 0))), 0), 0)))</f>
        <v>-272</v>
      </c>
      <c r="AF196" s="6">
        <f>MIN(0, N196+(IFERROR(IF(18*INDEX('UA-normalized'!$D:$D, MATCH($A196, 'UA-normalized'!$A:$A, 0))-INDEX('UA-normalized'!$E:$E, MATCH($A196, 'UA-normalized'!$A:$A, 0))&gt;0, -(18*INDEX('UA-normalized'!$D:$D, MATCH($A196, 'UA-normalized'!$A:$A, 0))-INDEX('UA-normalized'!$E:$E, MATCH($A196, 'UA-normalized'!$A:$A, 0))), 0), 0))+(IFERROR(IF(18*INDEX('KZ-normalized'!$D:$D, MATCH($A196, 'KZ-normalized'!$A:$A, 0))-INDEX('KZ-normalized'!$E:$E, MATCH($A196, 'KZ-normalized'!$A:$A, 0))&gt;0, -(18*INDEX('KZ-normalized'!$D:$D, MATCH($A196, 'KZ-normalized'!$A:$A, 0))-INDEX('KZ-normalized'!$E:$E, MATCH($A196, 'KZ-normalized'!$A:$A, 0))), 0), 0))+(IFERROR(IF(18*INDEX('UZ-normalized'!$D:$D, MATCH($A196, 'UZ-normalized'!$A:$A, 0))-INDEX('UZ-normalized'!$E:$E, MATCH($A196, 'UZ-normalized'!$A:$A, 0))&gt;0, -(18*INDEX('UZ-normalized'!$D:$D, MATCH($A196, 'UZ-normalized'!$A:$A, 0))-INDEX('UZ-normalized'!$E:$E, MATCH($A196, 'UZ-normalized'!$A:$A, 0))), 0), 0)))</f>
        <v>-305.5</v>
      </c>
      <c r="AG196" s="6">
        <f>MIN(0, N196+(IFERROR(IF(19*INDEX('UA-normalized'!$D:$D, MATCH($A196, 'UA-normalized'!$A:$A, 0))-INDEX('UA-normalized'!$E:$E, MATCH($A196, 'UA-normalized'!$A:$A, 0))&gt;0, -(19*INDEX('UA-normalized'!$D:$D, MATCH($A196, 'UA-normalized'!$A:$A, 0))-INDEX('UA-normalized'!$E:$E, MATCH($A196, 'UA-normalized'!$A:$A, 0))), 0), 0))+(IFERROR(IF(19*INDEX('KZ-normalized'!$D:$D, MATCH($A196, 'KZ-normalized'!$A:$A, 0))-INDEX('KZ-normalized'!$E:$E, MATCH($A196, 'KZ-normalized'!$A:$A, 0))&gt;0, -(19*INDEX('KZ-normalized'!$D:$D, MATCH($A196, 'KZ-normalized'!$A:$A, 0))-INDEX('KZ-normalized'!$E:$E, MATCH($A196, 'KZ-normalized'!$A:$A, 0))), 0), 0))+(IFERROR(IF(19*INDEX('UZ-normalized'!$D:$D, MATCH($A196, 'UZ-normalized'!$A:$A, 0))-INDEX('UZ-normalized'!$E:$E, MATCH($A196, 'UZ-normalized'!$A:$A, 0))&gt;0, -(19*INDEX('UZ-normalized'!$D:$D, MATCH($A196, 'UZ-normalized'!$A:$A, 0))-INDEX('UZ-normalized'!$E:$E, MATCH($A196, 'UZ-normalized'!$A:$A, 0))), 0), 0)))</f>
        <v>-339</v>
      </c>
      <c r="AH196" s="6">
        <f>MIN(0, N196+(IFERROR(IF(20*INDEX('UA-normalized'!$D:$D, MATCH($A196, 'UA-normalized'!$A:$A, 0))-INDEX('UA-normalized'!$E:$E, MATCH($A196, 'UA-normalized'!$A:$A, 0))&gt;0, -(20*INDEX('UA-normalized'!$D:$D, MATCH($A196, 'UA-normalized'!$A:$A, 0))-INDEX('UA-normalized'!$E:$E, MATCH($A196, 'UA-normalized'!$A:$A, 0))), 0), 0))+(IFERROR(IF(20*INDEX('KZ-normalized'!$D:$D, MATCH($A196, 'KZ-normalized'!$A:$A, 0))-INDEX('KZ-normalized'!$E:$E, MATCH($A196, 'KZ-normalized'!$A:$A, 0))&gt;0, -(20*INDEX('KZ-normalized'!$D:$D, MATCH($A196, 'KZ-normalized'!$A:$A, 0))-INDEX('KZ-normalized'!$E:$E, MATCH($A196, 'KZ-normalized'!$A:$A, 0))), 0), 0))+(IFERROR(IF(20*INDEX('UZ-normalized'!$D:$D, MATCH($A196, 'UZ-normalized'!$A:$A, 0))-INDEX('UZ-normalized'!$E:$E, MATCH($A196, 'UZ-normalized'!$A:$A, 0))&gt;0, -(20*INDEX('UZ-normalized'!$D:$D, MATCH($A196, 'UZ-normalized'!$A:$A, 0))-INDEX('UZ-normalized'!$E:$E, MATCH($A196, 'UZ-normalized'!$A:$A, 0))), 0), 0)))</f>
        <v>-372.5</v>
      </c>
      <c r="AI196" s="6">
        <f>MIN(0, N196+(IFERROR(IF(21*INDEX('UA-normalized'!$D:$D, MATCH($A196, 'UA-normalized'!$A:$A, 0))-INDEX('UA-normalized'!$E:$E, MATCH($A196, 'UA-normalized'!$A:$A, 0))&gt;0, -(21*INDEX('UA-normalized'!$D:$D, MATCH($A196, 'UA-normalized'!$A:$A, 0))-INDEX('UA-normalized'!$E:$E, MATCH($A196, 'UA-normalized'!$A:$A, 0))), 0), 0))+(IFERROR(IF(21*INDEX('KZ-normalized'!$D:$D, MATCH($A196, 'KZ-normalized'!$A:$A, 0))-INDEX('KZ-normalized'!$E:$E, MATCH($A196, 'KZ-normalized'!$A:$A, 0))&gt;0, -(21*INDEX('KZ-normalized'!$D:$D, MATCH($A196, 'KZ-normalized'!$A:$A, 0))-INDEX('KZ-normalized'!$E:$E, MATCH($A196, 'KZ-normalized'!$A:$A, 0))), 0), 0))+(IFERROR(IF(21*INDEX('UZ-normalized'!$D:$D, MATCH($A196, 'UZ-normalized'!$A:$A, 0))-INDEX('UZ-normalized'!$E:$E, MATCH($A196, 'UZ-normalized'!$A:$A, 0))&gt;0, -(21*INDEX('UZ-normalized'!$D:$D, MATCH($A196, 'UZ-normalized'!$A:$A, 0))-INDEX('UZ-normalized'!$E:$E, MATCH($A196, 'UZ-normalized'!$A:$A, 0))), 0), 0)))</f>
        <v>-406</v>
      </c>
      <c r="AJ196" s="6">
        <f>MIN(0, N196+(IFERROR(IF(22*INDEX('UA-normalized'!$D:$D, MATCH($A196, 'UA-normalized'!$A:$A, 0))-INDEX('UA-normalized'!$E:$E, MATCH($A196, 'UA-normalized'!$A:$A, 0))&gt;0, -(22*INDEX('UA-normalized'!$D:$D, MATCH($A196, 'UA-normalized'!$A:$A, 0))-INDEX('UA-normalized'!$E:$E, MATCH($A196, 'UA-normalized'!$A:$A, 0))), 0), 0))+(IFERROR(IF(22*INDEX('KZ-normalized'!$D:$D, MATCH($A196, 'KZ-normalized'!$A:$A, 0))-INDEX('KZ-normalized'!$E:$E, MATCH($A196, 'KZ-normalized'!$A:$A, 0))&gt;0, -(22*INDEX('KZ-normalized'!$D:$D, MATCH($A196, 'KZ-normalized'!$A:$A, 0))-INDEX('KZ-normalized'!$E:$E, MATCH($A196, 'KZ-normalized'!$A:$A, 0))), 0), 0))+(IFERROR(IF(22*INDEX('UZ-normalized'!$D:$D, MATCH($A196, 'UZ-normalized'!$A:$A, 0))-INDEX('UZ-normalized'!$E:$E, MATCH($A196, 'UZ-normalized'!$A:$A, 0))&gt;0, -(22*INDEX('UZ-normalized'!$D:$D, MATCH($A196, 'UZ-normalized'!$A:$A, 0))-INDEX('UZ-normalized'!$E:$E, MATCH($A196, 'UZ-normalized'!$A:$A, 0))), 0), 0)))</f>
        <v>-439.5</v>
      </c>
      <c r="AK196" s="6">
        <f>MIN(0, N196+(IFERROR(IF(23*INDEX('UA-normalized'!$D:$D, MATCH($A196, 'UA-normalized'!$A:$A, 0))-INDEX('UA-normalized'!$E:$E, MATCH($A196, 'UA-normalized'!$A:$A, 0))&gt;0, -(23*INDEX('UA-normalized'!$D:$D, MATCH($A196, 'UA-normalized'!$A:$A, 0))-INDEX('UA-normalized'!$E:$E, MATCH($A196, 'UA-normalized'!$A:$A, 0))), 0), 0))+(IFERROR(IF(23*INDEX('KZ-normalized'!$D:$D, MATCH($A196, 'KZ-normalized'!$A:$A, 0))-INDEX('KZ-normalized'!$E:$E, MATCH($A196, 'KZ-normalized'!$A:$A, 0))&gt;0, -(23*INDEX('KZ-normalized'!$D:$D, MATCH($A196, 'KZ-normalized'!$A:$A, 0))-INDEX('KZ-normalized'!$E:$E, MATCH($A196, 'KZ-normalized'!$A:$A, 0))), 0), 0))+(IFERROR(IF(23*INDEX('UZ-normalized'!$D:$D, MATCH($A196, 'UZ-normalized'!$A:$A, 0))-INDEX('UZ-normalized'!$E:$E, MATCH($A196, 'UZ-normalized'!$A:$A, 0))&gt;0, -(23*INDEX('UZ-normalized'!$D:$D, MATCH($A196, 'UZ-normalized'!$A:$A, 0))-INDEX('UZ-normalized'!$E:$E, MATCH($A196, 'UZ-normalized'!$A:$A, 0))), 0), 0)))</f>
        <v>-473</v>
      </c>
      <c r="AL196" s="6">
        <f>MIN(0, N196+(IFERROR(IF(24*INDEX('UA-normalized'!$D:$D, MATCH($A196, 'UA-normalized'!$A:$A, 0))-INDEX('UA-normalized'!$E:$E, MATCH($A196, 'UA-normalized'!$A:$A, 0))&gt;0, -(24*INDEX('UA-normalized'!$D:$D, MATCH($A196, 'UA-normalized'!$A:$A, 0))-INDEX('UA-normalized'!$E:$E, MATCH($A196, 'UA-normalized'!$A:$A, 0))), 0), 0))+(IFERROR(IF(24*INDEX('KZ-normalized'!$D:$D, MATCH($A196, 'KZ-normalized'!$A:$A, 0))-INDEX('KZ-normalized'!$E:$E, MATCH($A196, 'KZ-normalized'!$A:$A, 0))&gt;0, -(24*INDEX('KZ-normalized'!$D:$D, MATCH($A196, 'KZ-normalized'!$A:$A, 0))-INDEX('KZ-normalized'!$E:$E, MATCH($A196, 'KZ-normalized'!$A:$A, 0))), 0), 0))+(IFERROR(IF(24*INDEX('UZ-normalized'!$D:$D, MATCH($A196, 'UZ-normalized'!$A:$A, 0))-INDEX('UZ-normalized'!$E:$E, MATCH($A196, 'UZ-normalized'!$A:$A, 0))&gt;0, -(24*INDEX('UZ-normalized'!$D:$D, MATCH($A196, 'UZ-normalized'!$A:$A, 0))-INDEX('UZ-normalized'!$E:$E, MATCH($A196, 'UZ-normalized'!$A:$A, 0))), 0), 0)))</f>
        <v>-506.5</v>
      </c>
      <c r="AM196" s="6">
        <f>MIN(0, N196+(IFERROR(IF(25*INDEX('UA-normalized'!$D:$D, MATCH($A196, 'UA-normalized'!$A:$A, 0))-INDEX('UA-normalized'!$E:$E, MATCH($A196, 'UA-normalized'!$A:$A, 0))&gt;0, -(25*INDEX('UA-normalized'!$D:$D, MATCH($A196, 'UA-normalized'!$A:$A, 0))-INDEX('UA-normalized'!$E:$E, MATCH($A196, 'UA-normalized'!$A:$A, 0))), 0), 0))+(IFERROR(IF(25*INDEX('KZ-normalized'!$D:$D, MATCH($A196, 'KZ-normalized'!$A:$A, 0))-INDEX('KZ-normalized'!$E:$E, MATCH($A196, 'KZ-normalized'!$A:$A, 0))&gt;0, -(25*INDEX('KZ-normalized'!$D:$D, MATCH($A196, 'KZ-normalized'!$A:$A, 0))-INDEX('KZ-normalized'!$E:$E, MATCH($A196, 'KZ-normalized'!$A:$A, 0))), 0), 0))+(IFERROR(IF(25*INDEX('UZ-normalized'!$D:$D, MATCH($A196, 'UZ-normalized'!$A:$A, 0))-INDEX('UZ-normalized'!$E:$E, MATCH($A196, 'UZ-normalized'!$A:$A, 0))&gt;0, -(25*INDEX('UZ-normalized'!$D:$D, MATCH($A196, 'UZ-normalized'!$A:$A, 0))-INDEX('UZ-normalized'!$E:$E, MATCH($A196, 'UZ-normalized'!$A:$A, 0))), 0), 0)))</f>
        <v>-540</v>
      </c>
      <c r="AN196" s="6">
        <f>MIN(0, N196+(IFERROR(IF(26*INDEX('UA-normalized'!$D:$D, MATCH($A196, 'UA-normalized'!$A:$A, 0))-INDEX('UA-normalized'!$E:$E, MATCH($A196, 'UA-normalized'!$A:$A, 0))&gt;0, -(26*INDEX('UA-normalized'!$D:$D, MATCH($A196, 'UA-normalized'!$A:$A, 0))-INDEX('UA-normalized'!$E:$E, MATCH($A196, 'UA-normalized'!$A:$A, 0))), 0), 0))+(IFERROR(IF(26*INDEX('KZ-normalized'!$D:$D, MATCH($A196, 'KZ-normalized'!$A:$A, 0))-INDEX('KZ-normalized'!$E:$E, MATCH($A196, 'KZ-normalized'!$A:$A, 0))&gt;0, -(26*INDEX('KZ-normalized'!$D:$D, MATCH($A196, 'KZ-normalized'!$A:$A, 0))-INDEX('KZ-normalized'!$E:$E, MATCH($A196, 'KZ-normalized'!$A:$A, 0))), 0), 0))+(IFERROR(IF(26*INDEX('UZ-normalized'!$D:$D, MATCH($A196, 'UZ-normalized'!$A:$A, 0))-INDEX('UZ-normalized'!$E:$E, MATCH($A196, 'UZ-normalized'!$A:$A, 0))&gt;0, -(26*INDEX('UZ-normalized'!$D:$D, MATCH($A196, 'UZ-normalized'!$A:$A, 0))-INDEX('UZ-normalized'!$E:$E, MATCH($A196, 'UZ-normalized'!$A:$A, 0))), 0), 0)))</f>
        <v>-573.5</v>
      </c>
      <c r="AO196" s="6">
        <f>MIN(0, N196+(IFERROR(IF(27*INDEX('UA-normalized'!$D:$D, MATCH($A196, 'UA-normalized'!$A:$A, 0))-INDEX('UA-normalized'!$E:$E, MATCH($A196, 'UA-normalized'!$A:$A, 0))&gt;0, -(27*INDEX('UA-normalized'!$D:$D, MATCH($A196, 'UA-normalized'!$A:$A, 0))-INDEX('UA-normalized'!$E:$E, MATCH($A196, 'UA-normalized'!$A:$A, 0))), 0), 0))+(IFERROR(IF(27*INDEX('KZ-normalized'!$D:$D, MATCH($A196, 'KZ-normalized'!$A:$A, 0))-INDEX('KZ-normalized'!$E:$E, MATCH($A196, 'KZ-normalized'!$A:$A, 0))&gt;0, -(27*INDEX('KZ-normalized'!$D:$D, MATCH($A196, 'KZ-normalized'!$A:$A, 0))-INDEX('KZ-normalized'!$E:$E, MATCH($A196, 'KZ-normalized'!$A:$A, 0))), 0), 0))+(IFERROR(IF(27*INDEX('UZ-normalized'!$D:$D, MATCH($A196, 'UZ-normalized'!$A:$A, 0))-INDEX('UZ-normalized'!$E:$E, MATCH($A196, 'UZ-normalized'!$A:$A, 0))&gt;0, -(27*INDEX('UZ-normalized'!$D:$D, MATCH($A196, 'UZ-normalized'!$A:$A, 0))-INDEX('UZ-normalized'!$E:$E, MATCH($A196, 'UZ-normalized'!$A:$A, 0))), 0), 0)))</f>
        <v>-607</v>
      </c>
      <c r="AP196" s="6">
        <f>MIN(0, N196+(IFERROR(IF(28*INDEX('UA-normalized'!$D:$D, MATCH($A196, 'UA-normalized'!$A:$A, 0))-INDEX('UA-normalized'!$E:$E, MATCH($A196, 'UA-normalized'!$A:$A, 0))&gt;0, -(28*INDEX('UA-normalized'!$D:$D, MATCH($A196, 'UA-normalized'!$A:$A, 0))-INDEX('UA-normalized'!$E:$E, MATCH($A196, 'UA-normalized'!$A:$A, 0))), 0), 0))+(IFERROR(IF(28*INDEX('KZ-normalized'!$D:$D, MATCH($A196, 'KZ-normalized'!$A:$A, 0))-INDEX('KZ-normalized'!$E:$E, MATCH($A196, 'KZ-normalized'!$A:$A, 0))&gt;0, -(28*INDEX('KZ-normalized'!$D:$D, MATCH($A196, 'KZ-normalized'!$A:$A, 0))-INDEX('KZ-normalized'!$E:$E, MATCH($A196, 'KZ-normalized'!$A:$A, 0))), 0), 0))+(IFERROR(IF(28*INDEX('UZ-normalized'!$D:$D, MATCH($A196, 'UZ-normalized'!$A:$A, 0))-INDEX('UZ-normalized'!$E:$E, MATCH($A196, 'UZ-normalized'!$A:$A, 0))&gt;0, -(28*INDEX('UZ-normalized'!$D:$D, MATCH($A196, 'UZ-normalized'!$A:$A, 0))-INDEX('UZ-normalized'!$E:$E, MATCH($A196, 'UZ-normalized'!$A:$A, 0))), 0), 0)))</f>
        <v>-640.5</v>
      </c>
      <c r="AQ196" s="6">
        <f>MIN(0, N196+(IFERROR(IF(29*INDEX('UA-normalized'!$D:$D, MATCH($A196, 'UA-normalized'!$A:$A, 0))-INDEX('UA-normalized'!$E:$E, MATCH($A196, 'UA-normalized'!$A:$A, 0))&gt;0, -(29*INDEX('UA-normalized'!$D:$D, MATCH($A196, 'UA-normalized'!$A:$A, 0))-INDEX('UA-normalized'!$E:$E, MATCH($A196, 'UA-normalized'!$A:$A, 0))), 0), 0))+(IFERROR(IF(29*INDEX('KZ-normalized'!$D:$D, MATCH($A196, 'KZ-normalized'!$A:$A, 0))-INDEX('KZ-normalized'!$E:$E, MATCH($A196, 'KZ-normalized'!$A:$A, 0))&gt;0, -(29*INDEX('KZ-normalized'!$D:$D, MATCH($A196, 'KZ-normalized'!$A:$A, 0))-INDEX('KZ-normalized'!$E:$E, MATCH($A196, 'KZ-normalized'!$A:$A, 0))), 0), 0))+(IFERROR(IF(29*INDEX('UZ-normalized'!$D:$D, MATCH($A196, 'UZ-normalized'!$A:$A, 0))-INDEX('UZ-normalized'!$E:$E, MATCH($A196, 'UZ-normalized'!$A:$A, 0))&gt;0, -(29*INDEX('UZ-normalized'!$D:$D, MATCH($A196, 'UZ-normalized'!$A:$A, 0))-INDEX('UZ-normalized'!$E:$E, MATCH($A196, 'UZ-normalized'!$A:$A, 0))), 0), 0)))</f>
        <v>-674</v>
      </c>
      <c r="AR196" s="6">
        <f>MIN(0, N196+(IFERROR(IF(30*INDEX('UA-normalized'!$D:$D, MATCH($A196, 'UA-normalized'!$A:$A, 0))-INDEX('UA-normalized'!$E:$E, MATCH($A196, 'UA-normalized'!$A:$A, 0))&gt;0, -(30*INDEX('UA-normalized'!$D:$D, MATCH($A196, 'UA-normalized'!$A:$A, 0))-INDEX('UA-normalized'!$E:$E, MATCH($A196, 'UA-normalized'!$A:$A, 0))), 0), 0))+(IFERROR(IF(30*INDEX('KZ-normalized'!$D:$D, MATCH($A196, 'KZ-normalized'!$A:$A, 0))-INDEX('KZ-normalized'!$E:$E, MATCH($A196, 'KZ-normalized'!$A:$A, 0))&gt;0, -(30*INDEX('KZ-normalized'!$D:$D, MATCH($A196, 'KZ-normalized'!$A:$A, 0))-INDEX('KZ-normalized'!$E:$E, MATCH($A196, 'KZ-normalized'!$A:$A, 0))), 0), 0))+(IFERROR(IF(30*INDEX('UZ-normalized'!$D:$D, MATCH($A196, 'UZ-normalized'!$A:$A, 0))-INDEX('UZ-normalized'!$E:$E, MATCH($A196, 'UZ-normalized'!$A:$A, 0))&gt;0, -(30*INDEX('UZ-normalized'!$D:$D, MATCH($A196, 'UZ-normalized'!$A:$A, 0))-INDEX('UZ-normalized'!$E:$E, MATCH($A196, 'UZ-normalized'!$A:$A, 0))), 0), 0)))</f>
        <v>-707.5</v>
      </c>
    </row>
    <row r="197" spans="1:44" x14ac:dyDescent="0.25">
      <c r="A197" s="8" t="s">
        <v>472</v>
      </c>
      <c r="B197" s="8" t="s">
        <v>460</v>
      </c>
      <c r="C197" s="8" t="s">
        <v>466</v>
      </c>
      <c r="D197" s="8" t="s">
        <v>473</v>
      </c>
      <c r="N197">
        <f t="shared" si="3"/>
        <v>0</v>
      </c>
      <c r="O197" s="6">
        <f>MIN(0, N197+(IFERROR(IF(1*INDEX('UA-normalized'!$D:$D, MATCH($A197, 'UA-normalized'!$A:$A, 0))-INDEX('UA-normalized'!$E:$E, MATCH($A197, 'UA-normalized'!$A:$A, 0))&gt;0, -(1*INDEX('UA-normalized'!$D:$D, MATCH($A197, 'UA-normalized'!$A:$A, 0))-INDEX('UA-normalized'!$E:$E, MATCH($A197, 'UA-normalized'!$A:$A, 0))), 0), 0))+(IFERROR(IF(1*INDEX('KZ-normalized'!$D:$D, MATCH($A197, 'KZ-normalized'!$A:$A, 0))-INDEX('KZ-normalized'!$E:$E, MATCH($A197, 'KZ-normalized'!$A:$A, 0))&gt;0, -(1*INDEX('KZ-normalized'!$D:$D, MATCH($A197, 'KZ-normalized'!$A:$A, 0))-INDEX('KZ-normalized'!$E:$E, MATCH($A197, 'KZ-normalized'!$A:$A, 0))), 0), 0))+(IFERROR(IF(1*INDEX('UZ-normalized'!$D:$D, MATCH($A197, 'UZ-normalized'!$A:$A, 0))-INDEX('UZ-normalized'!$E:$E, MATCH($A197, 'UZ-normalized'!$A:$A, 0))&gt;0, -(1*INDEX('UZ-normalized'!$D:$D, MATCH($A197, 'UZ-normalized'!$A:$A, 0))-INDEX('UZ-normalized'!$E:$E, MATCH($A197, 'UZ-normalized'!$A:$A, 0))), 0), 0)))</f>
        <v>0</v>
      </c>
      <c r="P197" s="6">
        <f>MIN(0, N197+(IFERROR(IF(2*INDEX('UA-normalized'!$D:$D, MATCH($A197, 'UA-normalized'!$A:$A, 0))-INDEX('UA-normalized'!$E:$E, MATCH($A197, 'UA-normalized'!$A:$A, 0))&gt;0, -(2*INDEX('UA-normalized'!$D:$D, MATCH($A197, 'UA-normalized'!$A:$A, 0))-INDEX('UA-normalized'!$E:$E, MATCH($A197, 'UA-normalized'!$A:$A, 0))), 0), 0))+(IFERROR(IF(2*INDEX('KZ-normalized'!$D:$D, MATCH($A197, 'KZ-normalized'!$A:$A, 0))-INDEX('KZ-normalized'!$E:$E, MATCH($A197, 'KZ-normalized'!$A:$A, 0))&gt;0, -(2*INDEX('KZ-normalized'!$D:$D, MATCH($A197, 'KZ-normalized'!$A:$A, 0))-INDEX('KZ-normalized'!$E:$E, MATCH($A197, 'KZ-normalized'!$A:$A, 0))), 0), 0))+(IFERROR(IF(2*INDEX('UZ-normalized'!$D:$D, MATCH($A197, 'UZ-normalized'!$A:$A, 0))-INDEX('UZ-normalized'!$E:$E, MATCH($A197, 'UZ-normalized'!$A:$A, 0))&gt;0, -(2*INDEX('UZ-normalized'!$D:$D, MATCH($A197, 'UZ-normalized'!$A:$A, 0))-INDEX('UZ-normalized'!$E:$E, MATCH($A197, 'UZ-normalized'!$A:$A, 0))), 0), 0)))</f>
        <v>0</v>
      </c>
      <c r="Q197" s="6">
        <f>MIN(0, N197+(IFERROR(IF(3*INDEX('UA-normalized'!$D:$D, MATCH($A197, 'UA-normalized'!$A:$A, 0))-INDEX('UA-normalized'!$E:$E, MATCH($A197, 'UA-normalized'!$A:$A, 0))&gt;0, -(3*INDEX('UA-normalized'!$D:$D, MATCH($A197, 'UA-normalized'!$A:$A, 0))-INDEX('UA-normalized'!$E:$E, MATCH($A197, 'UA-normalized'!$A:$A, 0))), 0), 0))+(IFERROR(IF(3*INDEX('KZ-normalized'!$D:$D, MATCH($A197, 'KZ-normalized'!$A:$A, 0))-INDEX('KZ-normalized'!$E:$E, MATCH($A197, 'KZ-normalized'!$A:$A, 0))&gt;0, -(3*INDEX('KZ-normalized'!$D:$D, MATCH($A197, 'KZ-normalized'!$A:$A, 0))-INDEX('KZ-normalized'!$E:$E, MATCH($A197, 'KZ-normalized'!$A:$A, 0))), 0), 0))+(IFERROR(IF(3*INDEX('UZ-normalized'!$D:$D, MATCH($A197, 'UZ-normalized'!$A:$A, 0))-INDEX('UZ-normalized'!$E:$E, MATCH($A197, 'UZ-normalized'!$A:$A, 0))&gt;0, -(3*INDEX('UZ-normalized'!$D:$D, MATCH($A197, 'UZ-normalized'!$A:$A, 0))-INDEX('UZ-normalized'!$E:$E, MATCH($A197, 'UZ-normalized'!$A:$A, 0))), 0), 0)))</f>
        <v>0</v>
      </c>
      <c r="R197" s="6">
        <f>MIN(0, N197+(IFERROR(IF(4*INDEX('UA-normalized'!$D:$D, MATCH($A197, 'UA-normalized'!$A:$A, 0))-INDEX('UA-normalized'!$E:$E, MATCH($A197, 'UA-normalized'!$A:$A, 0))&gt;0, -(4*INDEX('UA-normalized'!$D:$D, MATCH($A197, 'UA-normalized'!$A:$A, 0))-INDEX('UA-normalized'!$E:$E, MATCH($A197, 'UA-normalized'!$A:$A, 0))), 0), 0))+(IFERROR(IF(4*INDEX('KZ-normalized'!$D:$D, MATCH($A197, 'KZ-normalized'!$A:$A, 0))-INDEX('KZ-normalized'!$E:$E, MATCH($A197, 'KZ-normalized'!$A:$A, 0))&gt;0, -(4*INDEX('KZ-normalized'!$D:$D, MATCH($A197, 'KZ-normalized'!$A:$A, 0))-INDEX('KZ-normalized'!$E:$E, MATCH($A197, 'KZ-normalized'!$A:$A, 0))), 0), 0))+(IFERROR(IF(4*INDEX('UZ-normalized'!$D:$D, MATCH($A197, 'UZ-normalized'!$A:$A, 0))-INDEX('UZ-normalized'!$E:$E, MATCH($A197, 'UZ-normalized'!$A:$A, 0))&gt;0, -(4*INDEX('UZ-normalized'!$D:$D, MATCH($A197, 'UZ-normalized'!$A:$A, 0))-INDEX('UZ-normalized'!$E:$E, MATCH($A197, 'UZ-normalized'!$A:$A, 0))), 0), 0)))</f>
        <v>0</v>
      </c>
      <c r="S197" s="6">
        <f>MIN(0, N197+(IFERROR(IF(5*INDEX('UA-normalized'!$D:$D, MATCH($A197, 'UA-normalized'!$A:$A, 0))-INDEX('UA-normalized'!$E:$E, MATCH($A197, 'UA-normalized'!$A:$A, 0))&gt;0, -(5*INDEX('UA-normalized'!$D:$D, MATCH($A197, 'UA-normalized'!$A:$A, 0))-INDEX('UA-normalized'!$E:$E, MATCH($A197, 'UA-normalized'!$A:$A, 0))), 0), 0))+(IFERROR(IF(5*INDEX('KZ-normalized'!$D:$D, MATCH($A197, 'KZ-normalized'!$A:$A, 0))-INDEX('KZ-normalized'!$E:$E, MATCH($A197, 'KZ-normalized'!$A:$A, 0))&gt;0, -(5*INDEX('KZ-normalized'!$D:$D, MATCH($A197, 'KZ-normalized'!$A:$A, 0))-INDEX('KZ-normalized'!$E:$E, MATCH($A197, 'KZ-normalized'!$A:$A, 0))), 0), 0))+(IFERROR(IF(5*INDEX('UZ-normalized'!$D:$D, MATCH($A197, 'UZ-normalized'!$A:$A, 0))-INDEX('UZ-normalized'!$E:$E, MATCH($A197, 'UZ-normalized'!$A:$A, 0))&gt;0, -(5*INDEX('UZ-normalized'!$D:$D, MATCH($A197, 'UZ-normalized'!$A:$A, 0))-INDEX('UZ-normalized'!$E:$E, MATCH($A197, 'UZ-normalized'!$A:$A, 0))), 0), 0)))</f>
        <v>0</v>
      </c>
      <c r="T197" s="6">
        <f>MIN(0, N197+(IFERROR(IF(6*INDEX('UA-normalized'!$D:$D, MATCH($A197, 'UA-normalized'!$A:$A, 0))-INDEX('UA-normalized'!$E:$E, MATCH($A197, 'UA-normalized'!$A:$A, 0))&gt;0, -(6*INDEX('UA-normalized'!$D:$D, MATCH($A197, 'UA-normalized'!$A:$A, 0))-INDEX('UA-normalized'!$E:$E, MATCH($A197, 'UA-normalized'!$A:$A, 0))), 0), 0))+(IFERROR(IF(6*INDEX('KZ-normalized'!$D:$D, MATCH($A197, 'KZ-normalized'!$A:$A, 0))-INDEX('KZ-normalized'!$E:$E, MATCH($A197, 'KZ-normalized'!$A:$A, 0))&gt;0, -(6*INDEX('KZ-normalized'!$D:$D, MATCH($A197, 'KZ-normalized'!$A:$A, 0))-INDEX('KZ-normalized'!$E:$E, MATCH($A197, 'KZ-normalized'!$A:$A, 0))), 0), 0))+(IFERROR(IF(6*INDEX('UZ-normalized'!$D:$D, MATCH($A197, 'UZ-normalized'!$A:$A, 0))-INDEX('UZ-normalized'!$E:$E, MATCH($A197, 'UZ-normalized'!$A:$A, 0))&gt;0, -(6*INDEX('UZ-normalized'!$D:$D, MATCH($A197, 'UZ-normalized'!$A:$A, 0))-INDEX('UZ-normalized'!$E:$E, MATCH($A197, 'UZ-normalized'!$A:$A, 0))), 0), 0)))</f>
        <v>0</v>
      </c>
      <c r="U197" s="6">
        <f>MIN(0, N197+(IFERROR(IF(7*INDEX('UA-normalized'!$D:$D, MATCH($A197, 'UA-normalized'!$A:$A, 0))-INDEX('UA-normalized'!$E:$E, MATCH($A197, 'UA-normalized'!$A:$A, 0))&gt;0, -(7*INDEX('UA-normalized'!$D:$D, MATCH($A197, 'UA-normalized'!$A:$A, 0))-INDEX('UA-normalized'!$E:$E, MATCH($A197, 'UA-normalized'!$A:$A, 0))), 0), 0))+(IFERROR(IF(7*INDEX('KZ-normalized'!$D:$D, MATCH($A197, 'KZ-normalized'!$A:$A, 0))-INDEX('KZ-normalized'!$E:$E, MATCH($A197, 'KZ-normalized'!$A:$A, 0))&gt;0, -(7*INDEX('KZ-normalized'!$D:$D, MATCH($A197, 'KZ-normalized'!$A:$A, 0))-INDEX('KZ-normalized'!$E:$E, MATCH($A197, 'KZ-normalized'!$A:$A, 0))), 0), 0))+(IFERROR(IF(7*INDEX('UZ-normalized'!$D:$D, MATCH($A197, 'UZ-normalized'!$A:$A, 0))-INDEX('UZ-normalized'!$E:$E, MATCH($A197, 'UZ-normalized'!$A:$A, 0))&gt;0, -(7*INDEX('UZ-normalized'!$D:$D, MATCH($A197, 'UZ-normalized'!$A:$A, 0))-INDEX('UZ-normalized'!$E:$E, MATCH($A197, 'UZ-normalized'!$A:$A, 0))), 0), 0)))</f>
        <v>0</v>
      </c>
      <c r="V197" s="6">
        <f>MIN(0, N197+(IFERROR(IF(8*INDEX('UA-normalized'!$D:$D, MATCH($A197, 'UA-normalized'!$A:$A, 0))-INDEX('UA-normalized'!$E:$E, MATCH($A197, 'UA-normalized'!$A:$A, 0))&gt;0, -(8*INDEX('UA-normalized'!$D:$D, MATCH($A197, 'UA-normalized'!$A:$A, 0))-INDEX('UA-normalized'!$E:$E, MATCH($A197, 'UA-normalized'!$A:$A, 0))), 0), 0))+(IFERROR(IF(8*INDEX('KZ-normalized'!$D:$D, MATCH($A197, 'KZ-normalized'!$A:$A, 0))-INDEX('KZ-normalized'!$E:$E, MATCH($A197, 'KZ-normalized'!$A:$A, 0))&gt;0, -(8*INDEX('KZ-normalized'!$D:$D, MATCH($A197, 'KZ-normalized'!$A:$A, 0))-INDEX('KZ-normalized'!$E:$E, MATCH($A197, 'KZ-normalized'!$A:$A, 0))), 0), 0))+(IFERROR(IF(8*INDEX('UZ-normalized'!$D:$D, MATCH($A197, 'UZ-normalized'!$A:$A, 0))-INDEX('UZ-normalized'!$E:$E, MATCH($A197, 'UZ-normalized'!$A:$A, 0))&gt;0, -(8*INDEX('UZ-normalized'!$D:$D, MATCH($A197, 'UZ-normalized'!$A:$A, 0))-INDEX('UZ-normalized'!$E:$E, MATCH($A197, 'UZ-normalized'!$A:$A, 0))), 0), 0)))</f>
        <v>0</v>
      </c>
      <c r="W197" s="6">
        <f>MIN(0, N197+(IFERROR(IF(9*INDEX('UA-normalized'!$D:$D, MATCH($A197, 'UA-normalized'!$A:$A, 0))-INDEX('UA-normalized'!$E:$E, MATCH($A197, 'UA-normalized'!$A:$A, 0))&gt;0, -(9*INDEX('UA-normalized'!$D:$D, MATCH($A197, 'UA-normalized'!$A:$A, 0))-INDEX('UA-normalized'!$E:$E, MATCH($A197, 'UA-normalized'!$A:$A, 0))), 0), 0))+(IFERROR(IF(9*INDEX('KZ-normalized'!$D:$D, MATCH($A197, 'KZ-normalized'!$A:$A, 0))-INDEX('KZ-normalized'!$E:$E, MATCH($A197, 'KZ-normalized'!$A:$A, 0))&gt;0, -(9*INDEX('KZ-normalized'!$D:$D, MATCH($A197, 'KZ-normalized'!$A:$A, 0))-INDEX('KZ-normalized'!$E:$E, MATCH($A197, 'KZ-normalized'!$A:$A, 0))), 0), 0))+(IFERROR(IF(9*INDEX('UZ-normalized'!$D:$D, MATCH($A197, 'UZ-normalized'!$A:$A, 0))-INDEX('UZ-normalized'!$E:$E, MATCH($A197, 'UZ-normalized'!$A:$A, 0))&gt;0, -(9*INDEX('UZ-normalized'!$D:$D, MATCH($A197, 'UZ-normalized'!$A:$A, 0))-INDEX('UZ-normalized'!$E:$E, MATCH($A197, 'UZ-normalized'!$A:$A, 0))), 0), 0)))</f>
        <v>0</v>
      </c>
      <c r="X197" s="6">
        <f>MIN(0, N197+(IFERROR(IF(10*INDEX('UA-normalized'!$D:$D, MATCH($A197, 'UA-normalized'!$A:$A, 0))-INDEX('UA-normalized'!$E:$E, MATCH($A197, 'UA-normalized'!$A:$A, 0))&gt;0, -(10*INDEX('UA-normalized'!$D:$D, MATCH($A197, 'UA-normalized'!$A:$A, 0))-INDEX('UA-normalized'!$E:$E, MATCH($A197, 'UA-normalized'!$A:$A, 0))), 0), 0))+(IFERROR(IF(10*INDEX('KZ-normalized'!$D:$D, MATCH($A197, 'KZ-normalized'!$A:$A, 0))-INDEX('KZ-normalized'!$E:$E, MATCH($A197, 'KZ-normalized'!$A:$A, 0))&gt;0, -(10*INDEX('KZ-normalized'!$D:$D, MATCH($A197, 'KZ-normalized'!$A:$A, 0))-INDEX('KZ-normalized'!$E:$E, MATCH($A197, 'KZ-normalized'!$A:$A, 0))), 0), 0))+(IFERROR(IF(10*INDEX('UZ-normalized'!$D:$D, MATCH($A197, 'UZ-normalized'!$A:$A, 0))-INDEX('UZ-normalized'!$E:$E, MATCH($A197, 'UZ-normalized'!$A:$A, 0))&gt;0, -(10*INDEX('UZ-normalized'!$D:$D, MATCH($A197, 'UZ-normalized'!$A:$A, 0))-INDEX('UZ-normalized'!$E:$E, MATCH($A197, 'UZ-normalized'!$A:$A, 0))), 0), 0)))</f>
        <v>0</v>
      </c>
      <c r="Y197" s="6">
        <f>MIN(0, N197+(IFERROR(IF(11*INDEX('UA-normalized'!$D:$D, MATCH($A197, 'UA-normalized'!$A:$A, 0))-INDEX('UA-normalized'!$E:$E, MATCH($A197, 'UA-normalized'!$A:$A, 0))&gt;0, -(11*INDEX('UA-normalized'!$D:$D, MATCH($A197, 'UA-normalized'!$A:$A, 0))-INDEX('UA-normalized'!$E:$E, MATCH($A197, 'UA-normalized'!$A:$A, 0))), 0), 0))+(IFERROR(IF(11*INDEX('KZ-normalized'!$D:$D, MATCH($A197, 'KZ-normalized'!$A:$A, 0))-INDEX('KZ-normalized'!$E:$E, MATCH($A197, 'KZ-normalized'!$A:$A, 0))&gt;0, -(11*INDEX('KZ-normalized'!$D:$D, MATCH($A197, 'KZ-normalized'!$A:$A, 0))-INDEX('KZ-normalized'!$E:$E, MATCH($A197, 'KZ-normalized'!$A:$A, 0))), 0), 0))+(IFERROR(IF(11*INDEX('UZ-normalized'!$D:$D, MATCH($A197, 'UZ-normalized'!$A:$A, 0))-INDEX('UZ-normalized'!$E:$E, MATCH($A197, 'UZ-normalized'!$A:$A, 0))&gt;0, -(11*INDEX('UZ-normalized'!$D:$D, MATCH($A197, 'UZ-normalized'!$A:$A, 0))-INDEX('UZ-normalized'!$E:$E, MATCH($A197, 'UZ-normalized'!$A:$A, 0))), 0), 0)))</f>
        <v>0</v>
      </c>
      <c r="Z197" s="6">
        <f>MIN(0, N197+(IFERROR(IF(12*INDEX('UA-normalized'!$D:$D, MATCH($A197, 'UA-normalized'!$A:$A, 0))-INDEX('UA-normalized'!$E:$E, MATCH($A197, 'UA-normalized'!$A:$A, 0))&gt;0, -(12*INDEX('UA-normalized'!$D:$D, MATCH($A197, 'UA-normalized'!$A:$A, 0))-INDEX('UA-normalized'!$E:$E, MATCH($A197, 'UA-normalized'!$A:$A, 0))), 0), 0))+(IFERROR(IF(12*INDEX('KZ-normalized'!$D:$D, MATCH($A197, 'KZ-normalized'!$A:$A, 0))-INDEX('KZ-normalized'!$E:$E, MATCH($A197, 'KZ-normalized'!$A:$A, 0))&gt;0, -(12*INDEX('KZ-normalized'!$D:$D, MATCH($A197, 'KZ-normalized'!$A:$A, 0))-INDEX('KZ-normalized'!$E:$E, MATCH($A197, 'KZ-normalized'!$A:$A, 0))), 0), 0))+(IFERROR(IF(12*INDEX('UZ-normalized'!$D:$D, MATCH($A197, 'UZ-normalized'!$A:$A, 0))-INDEX('UZ-normalized'!$E:$E, MATCH($A197, 'UZ-normalized'!$A:$A, 0))&gt;0, -(12*INDEX('UZ-normalized'!$D:$D, MATCH($A197, 'UZ-normalized'!$A:$A, 0))-INDEX('UZ-normalized'!$E:$E, MATCH($A197, 'UZ-normalized'!$A:$A, 0))), 0), 0)))</f>
        <v>0</v>
      </c>
      <c r="AA197" s="6">
        <f>MIN(0, N197+(IFERROR(IF(13*INDEX('UA-normalized'!$D:$D, MATCH($A197, 'UA-normalized'!$A:$A, 0))-INDEX('UA-normalized'!$E:$E, MATCH($A197, 'UA-normalized'!$A:$A, 0))&gt;0, -(13*INDEX('UA-normalized'!$D:$D, MATCH($A197, 'UA-normalized'!$A:$A, 0))-INDEX('UA-normalized'!$E:$E, MATCH($A197, 'UA-normalized'!$A:$A, 0))), 0), 0))+(IFERROR(IF(13*INDEX('KZ-normalized'!$D:$D, MATCH($A197, 'KZ-normalized'!$A:$A, 0))-INDEX('KZ-normalized'!$E:$E, MATCH($A197, 'KZ-normalized'!$A:$A, 0))&gt;0, -(13*INDEX('KZ-normalized'!$D:$D, MATCH($A197, 'KZ-normalized'!$A:$A, 0))-INDEX('KZ-normalized'!$E:$E, MATCH($A197, 'KZ-normalized'!$A:$A, 0))), 0), 0))+(IFERROR(IF(13*INDEX('UZ-normalized'!$D:$D, MATCH($A197, 'UZ-normalized'!$A:$A, 0))-INDEX('UZ-normalized'!$E:$E, MATCH($A197, 'UZ-normalized'!$A:$A, 0))&gt;0, -(13*INDEX('UZ-normalized'!$D:$D, MATCH($A197, 'UZ-normalized'!$A:$A, 0))-INDEX('UZ-normalized'!$E:$E, MATCH($A197, 'UZ-normalized'!$A:$A, 0))), 0), 0)))</f>
        <v>0</v>
      </c>
      <c r="AB197" s="6">
        <f>MIN(0, N197+(IFERROR(IF(14*INDEX('UA-normalized'!$D:$D, MATCH($A197, 'UA-normalized'!$A:$A, 0))-INDEX('UA-normalized'!$E:$E, MATCH($A197, 'UA-normalized'!$A:$A, 0))&gt;0, -(14*INDEX('UA-normalized'!$D:$D, MATCH($A197, 'UA-normalized'!$A:$A, 0))-INDEX('UA-normalized'!$E:$E, MATCH($A197, 'UA-normalized'!$A:$A, 0))), 0), 0))+(IFERROR(IF(14*INDEX('KZ-normalized'!$D:$D, MATCH($A197, 'KZ-normalized'!$A:$A, 0))-INDEX('KZ-normalized'!$E:$E, MATCH($A197, 'KZ-normalized'!$A:$A, 0))&gt;0, -(14*INDEX('KZ-normalized'!$D:$D, MATCH($A197, 'KZ-normalized'!$A:$A, 0))-INDEX('KZ-normalized'!$E:$E, MATCH($A197, 'KZ-normalized'!$A:$A, 0))), 0), 0))+(IFERROR(IF(14*INDEX('UZ-normalized'!$D:$D, MATCH($A197, 'UZ-normalized'!$A:$A, 0))-INDEX('UZ-normalized'!$E:$E, MATCH($A197, 'UZ-normalized'!$A:$A, 0))&gt;0, -(14*INDEX('UZ-normalized'!$D:$D, MATCH($A197, 'UZ-normalized'!$A:$A, 0))-INDEX('UZ-normalized'!$E:$E, MATCH($A197, 'UZ-normalized'!$A:$A, 0))), 0), 0)))</f>
        <v>0</v>
      </c>
      <c r="AC197" s="6">
        <f>MIN(0, N197+(IFERROR(IF(15*INDEX('UA-normalized'!$D:$D, MATCH($A197, 'UA-normalized'!$A:$A, 0))-INDEX('UA-normalized'!$E:$E, MATCH($A197, 'UA-normalized'!$A:$A, 0))&gt;0, -(15*INDEX('UA-normalized'!$D:$D, MATCH($A197, 'UA-normalized'!$A:$A, 0))-INDEX('UA-normalized'!$E:$E, MATCH($A197, 'UA-normalized'!$A:$A, 0))), 0), 0))+(IFERROR(IF(15*INDEX('KZ-normalized'!$D:$D, MATCH($A197, 'KZ-normalized'!$A:$A, 0))-INDEX('KZ-normalized'!$E:$E, MATCH($A197, 'KZ-normalized'!$A:$A, 0))&gt;0, -(15*INDEX('KZ-normalized'!$D:$D, MATCH($A197, 'KZ-normalized'!$A:$A, 0))-INDEX('KZ-normalized'!$E:$E, MATCH($A197, 'KZ-normalized'!$A:$A, 0))), 0), 0))+(IFERROR(IF(15*INDEX('UZ-normalized'!$D:$D, MATCH($A197, 'UZ-normalized'!$A:$A, 0))-INDEX('UZ-normalized'!$E:$E, MATCH($A197, 'UZ-normalized'!$A:$A, 0))&gt;0, -(15*INDEX('UZ-normalized'!$D:$D, MATCH($A197, 'UZ-normalized'!$A:$A, 0))-INDEX('UZ-normalized'!$E:$E, MATCH($A197, 'UZ-normalized'!$A:$A, 0))), 0), 0)))</f>
        <v>0</v>
      </c>
      <c r="AD197" s="6">
        <f>MIN(0, N197+(IFERROR(IF(16*INDEX('UA-normalized'!$D:$D, MATCH($A197, 'UA-normalized'!$A:$A, 0))-INDEX('UA-normalized'!$E:$E, MATCH($A197, 'UA-normalized'!$A:$A, 0))&gt;0, -(16*INDEX('UA-normalized'!$D:$D, MATCH($A197, 'UA-normalized'!$A:$A, 0))-INDEX('UA-normalized'!$E:$E, MATCH($A197, 'UA-normalized'!$A:$A, 0))), 0), 0))+(IFERROR(IF(16*INDEX('KZ-normalized'!$D:$D, MATCH($A197, 'KZ-normalized'!$A:$A, 0))-INDEX('KZ-normalized'!$E:$E, MATCH($A197, 'KZ-normalized'!$A:$A, 0))&gt;0, -(16*INDEX('KZ-normalized'!$D:$D, MATCH($A197, 'KZ-normalized'!$A:$A, 0))-INDEX('KZ-normalized'!$E:$E, MATCH($A197, 'KZ-normalized'!$A:$A, 0))), 0), 0))+(IFERROR(IF(16*INDEX('UZ-normalized'!$D:$D, MATCH($A197, 'UZ-normalized'!$A:$A, 0))-INDEX('UZ-normalized'!$E:$E, MATCH($A197, 'UZ-normalized'!$A:$A, 0))&gt;0, -(16*INDEX('UZ-normalized'!$D:$D, MATCH($A197, 'UZ-normalized'!$A:$A, 0))-INDEX('UZ-normalized'!$E:$E, MATCH($A197, 'UZ-normalized'!$A:$A, 0))), 0), 0)))</f>
        <v>0</v>
      </c>
      <c r="AE197" s="6">
        <f>MIN(0, N197+(IFERROR(IF(17*INDEX('UA-normalized'!$D:$D, MATCH($A197, 'UA-normalized'!$A:$A, 0))-INDEX('UA-normalized'!$E:$E, MATCH($A197, 'UA-normalized'!$A:$A, 0))&gt;0, -(17*INDEX('UA-normalized'!$D:$D, MATCH($A197, 'UA-normalized'!$A:$A, 0))-INDEX('UA-normalized'!$E:$E, MATCH($A197, 'UA-normalized'!$A:$A, 0))), 0), 0))+(IFERROR(IF(17*INDEX('KZ-normalized'!$D:$D, MATCH($A197, 'KZ-normalized'!$A:$A, 0))-INDEX('KZ-normalized'!$E:$E, MATCH($A197, 'KZ-normalized'!$A:$A, 0))&gt;0, -(17*INDEX('KZ-normalized'!$D:$D, MATCH($A197, 'KZ-normalized'!$A:$A, 0))-INDEX('KZ-normalized'!$E:$E, MATCH($A197, 'KZ-normalized'!$A:$A, 0))), 0), 0))+(IFERROR(IF(17*INDEX('UZ-normalized'!$D:$D, MATCH($A197, 'UZ-normalized'!$A:$A, 0))-INDEX('UZ-normalized'!$E:$E, MATCH($A197, 'UZ-normalized'!$A:$A, 0))&gt;0, -(17*INDEX('UZ-normalized'!$D:$D, MATCH($A197, 'UZ-normalized'!$A:$A, 0))-INDEX('UZ-normalized'!$E:$E, MATCH($A197, 'UZ-normalized'!$A:$A, 0))), 0), 0)))</f>
        <v>0</v>
      </c>
      <c r="AF197" s="6">
        <f>MIN(0, N197+(IFERROR(IF(18*INDEX('UA-normalized'!$D:$D, MATCH($A197, 'UA-normalized'!$A:$A, 0))-INDEX('UA-normalized'!$E:$E, MATCH($A197, 'UA-normalized'!$A:$A, 0))&gt;0, -(18*INDEX('UA-normalized'!$D:$D, MATCH($A197, 'UA-normalized'!$A:$A, 0))-INDEX('UA-normalized'!$E:$E, MATCH($A197, 'UA-normalized'!$A:$A, 0))), 0), 0))+(IFERROR(IF(18*INDEX('KZ-normalized'!$D:$D, MATCH($A197, 'KZ-normalized'!$A:$A, 0))-INDEX('KZ-normalized'!$E:$E, MATCH($A197, 'KZ-normalized'!$A:$A, 0))&gt;0, -(18*INDEX('KZ-normalized'!$D:$D, MATCH($A197, 'KZ-normalized'!$A:$A, 0))-INDEX('KZ-normalized'!$E:$E, MATCH($A197, 'KZ-normalized'!$A:$A, 0))), 0), 0))+(IFERROR(IF(18*INDEX('UZ-normalized'!$D:$D, MATCH($A197, 'UZ-normalized'!$A:$A, 0))-INDEX('UZ-normalized'!$E:$E, MATCH($A197, 'UZ-normalized'!$A:$A, 0))&gt;0, -(18*INDEX('UZ-normalized'!$D:$D, MATCH($A197, 'UZ-normalized'!$A:$A, 0))-INDEX('UZ-normalized'!$E:$E, MATCH($A197, 'UZ-normalized'!$A:$A, 0))), 0), 0)))</f>
        <v>0</v>
      </c>
      <c r="AG197" s="6">
        <f>MIN(0, N197+(IFERROR(IF(19*INDEX('UA-normalized'!$D:$D, MATCH($A197, 'UA-normalized'!$A:$A, 0))-INDEX('UA-normalized'!$E:$E, MATCH($A197, 'UA-normalized'!$A:$A, 0))&gt;0, -(19*INDEX('UA-normalized'!$D:$D, MATCH($A197, 'UA-normalized'!$A:$A, 0))-INDEX('UA-normalized'!$E:$E, MATCH($A197, 'UA-normalized'!$A:$A, 0))), 0), 0))+(IFERROR(IF(19*INDEX('KZ-normalized'!$D:$D, MATCH($A197, 'KZ-normalized'!$A:$A, 0))-INDEX('KZ-normalized'!$E:$E, MATCH($A197, 'KZ-normalized'!$A:$A, 0))&gt;0, -(19*INDEX('KZ-normalized'!$D:$D, MATCH($A197, 'KZ-normalized'!$A:$A, 0))-INDEX('KZ-normalized'!$E:$E, MATCH($A197, 'KZ-normalized'!$A:$A, 0))), 0), 0))+(IFERROR(IF(19*INDEX('UZ-normalized'!$D:$D, MATCH($A197, 'UZ-normalized'!$A:$A, 0))-INDEX('UZ-normalized'!$E:$E, MATCH($A197, 'UZ-normalized'!$A:$A, 0))&gt;0, -(19*INDEX('UZ-normalized'!$D:$D, MATCH($A197, 'UZ-normalized'!$A:$A, 0))-INDEX('UZ-normalized'!$E:$E, MATCH($A197, 'UZ-normalized'!$A:$A, 0))), 0), 0)))</f>
        <v>0</v>
      </c>
      <c r="AH197" s="6">
        <f>MIN(0, N197+(IFERROR(IF(20*INDEX('UA-normalized'!$D:$D, MATCH($A197, 'UA-normalized'!$A:$A, 0))-INDEX('UA-normalized'!$E:$E, MATCH($A197, 'UA-normalized'!$A:$A, 0))&gt;0, -(20*INDEX('UA-normalized'!$D:$D, MATCH($A197, 'UA-normalized'!$A:$A, 0))-INDEX('UA-normalized'!$E:$E, MATCH($A197, 'UA-normalized'!$A:$A, 0))), 0), 0))+(IFERROR(IF(20*INDEX('KZ-normalized'!$D:$D, MATCH($A197, 'KZ-normalized'!$A:$A, 0))-INDEX('KZ-normalized'!$E:$E, MATCH($A197, 'KZ-normalized'!$A:$A, 0))&gt;0, -(20*INDEX('KZ-normalized'!$D:$D, MATCH($A197, 'KZ-normalized'!$A:$A, 0))-INDEX('KZ-normalized'!$E:$E, MATCH($A197, 'KZ-normalized'!$A:$A, 0))), 0), 0))+(IFERROR(IF(20*INDEX('UZ-normalized'!$D:$D, MATCH($A197, 'UZ-normalized'!$A:$A, 0))-INDEX('UZ-normalized'!$E:$E, MATCH($A197, 'UZ-normalized'!$A:$A, 0))&gt;0, -(20*INDEX('UZ-normalized'!$D:$D, MATCH($A197, 'UZ-normalized'!$A:$A, 0))-INDEX('UZ-normalized'!$E:$E, MATCH($A197, 'UZ-normalized'!$A:$A, 0))), 0), 0)))</f>
        <v>0</v>
      </c>
      <c r="AI197" s="6">
        <f>MIN(0, N197+(IFERROR(IF(21*INDEX('UA-normalized'!$D:$D, MATCH($A197, 'UA-normalized'!$A:$A, 0))-INDEX('UA-normalized'!$E:$E, MATCH($A197, 'UA-normalized'!$A:$A, 0))&gt;0, -(21*INDEX('UA-normalized'!$D:$D, MATCH($A197, 'UA-normalized'!$A:$A, 0))-INDEX('UA-normalized'!$E:$E, MATCH($A197, 'UA-normalized'!$A:$A, 0))), 0), 0))+(IFERROR(IF(21*INDEX('KZ-normalized'!$D:$D, MATCH($A197, 'KZ-normalized'!$A:$A, 0))-INDEX('KZ-normalized'!$E:$E, MATCH($A197, 'KZ-normalized'!$A:$A, 0))&gt;0, -(21*INDEX('KZ-normalized'!$D:$D, MATCH($A197, 'KZ-normalized'!$A:$A, 0))-INDEX('KZ-normalized'!$E:$E, MATCH($A197, 'KZ-normalized'!$A:$A, 0))), 0), 0))+(IFERROR(IF(21*INDEX('UZ-normalized'!$D:$D, MATCH($A197, 'UZ-normalized'!$A:$A, 0))-INDEX('UZ-normalized'!$E:$E, MATCH($A197, 'UZ-normalized'!$A:$A, 0))&gt;0, -(21*INDEX('UZ-normalized'!$D:$D, MATCH($A197, 'UZ-normalized'!$A:$A, 0))-INDEX('UZ-normalized'!$E:$E, MATCH($A197, 'UZ-normalized'!$A:$A, 0))), 0), 0)))</f>
        <v>0</v>
      </c>
      <c r="AJ197" s="6">
        <f>MIN(0, N197+(IFERROR(IF(22*INDEX('UA-normalized'!$D:$D, MATCH($A197, 'UA-normalized'!$A:$A, 0))-INDEX('UA-normalized'!$E:$E, MATCH($A197, 'UA-normalized'!$A:$A, 0))&gt;0, -(22*INDEX('UA-normalized'!$D:$D, MATCH($A197, 'UA-normalized'!$A:$A, 0))-INDEX('UA-normalized'!$E:$E, MATCH($A197, 'UA-normalized'!$A:$A, 0))), 0), 0))+(IFERROR(IF(22*INDEX('KZ-normalized'!$D:$D, MATCH($A197, 'KZ-normalized'!$A:$A, 0))-INDEX('KZ-normalized'!$E:$E, MATCH($A197, 'KZ-normalized'!$A:$A, 0))&gt;0, -(22*INDEX('KZ-normalized'!$D:$D, MATCH($A197, 'KZ-normalized'!$A:$A, 0))-INDEX('KZ-normalized'!$E:$E, MATCH($A197, 'KZ-normalized'!$A:$A, 0))), 0), 0))+(IFERROR(IF(22*INDEX('UZ-normalized'!$D:$D, MATCH($A197, 'UZ-normalized'!$A:$A, 0))-INDEX('UZ-normalized'!$E:$E, MATCH($A197, 'UZ-normalized'!$A:$A, 0))&gt;0, -(22*INDEX('UZ-normalized'!$D:$D, MATCH($A197, 'UZ-normalized'!$A:$A, 0))-INDEX('UZ-normalized'!$E:$E, MATCH($A197, 'UZ-normalized'!$A:$A, 0))), 0), 0)))</f>
        <v>0</v>
      </c>
      <c r="AK197" s="6">
        <f>MIN(0, N197+(IFERROR(IF(23*INDEX('UA-normalized'!$D:$D, MATCH($A197, 'UA-normalized'!$A:$A, 0))-INDEX('UA-normalized'!$E:$E, MATCH($A197, 'UA-normalized'!$A:$A, 0))&gt;0, -(23*INDEX('UA-normalized'!$D:$D, MATCH($A197, 'UA-normalized'!$A:$A, 0))-INDEX('UA-normalized'!$E:$E, MATCH($A197, 'UA-normalized'!$A:$A, 0))), 0), 0))+(IFERROR(IF(23*INDEX('KZ-normalized'!$D:$D, MATCH($A197, 'KZ-normalized'!$A:$A, 0))-INDEX('KZ-normalized'!$E:$E, MATCH($A197, 'KZ-normalized'!$A:$A, 0))&gt;0, -(23*INDEX('KZ-normalized'!$D:$D, MATCH($A197, 'KZ-normalized'!$A:$A, 0))-INDEX('KZ-normalized'!$E:$E, MATCH($A197, 'KZ-normalized'!$A:$A, 0))), 0), 0))+(IFERROR(IF(23*INDEX('UZ-normalized'!$D:$D, MATCH($A197, 'UZ-normalized'!$A:$A, 0))-INDEX('UZ-normalized'!$E:$E, MATCH($A197, 'UZ-normalized'!$A:$A, 0))&gt;0, -(23*INDEX('UZ-normalized'!$D:$D, MATCH($A197, 'UZ-normalized'!$A:$A, 0))-INDEX('UZ-normalized'!$E:$E, MATCH($A197, 'UZ-normalized'!$A:$A, 0))), 0), 0)))</f>
        <v>0</v>
      </c>
      <c r="AL197" s="6">
        <f>MIN(0, N197+(IFERROR(IF(24*INDEX('UA-normalized'!$D:$D, MATCH($A197, 'UA-normalized'!$A:$A, 0))-INDEX('UA-normalized'!$E:$E, MATCH($A197, 'UA-normalized'!$A:$A, 0))&gt;0, -(24*INDEX('UA-normalized'!$D:$D, MATCH($A197, 'UA-normalized'!$A:$A, 0))-INDEX('UA-normalized'!$E:$E, MATCH($A197, 'UA-normalized'!$A:$A, 0))), 0), 0))+(IFERROR(IF(24*INDEX('KZ-normalized'!$D:$D, MATCH($A197, 'KZ-normalized'!$A:$A, 0))-INDEX('KZ-normalized'!$E:$E, MATCH($A197, 'KZ-normalized'!$A:$A, 0))&gt;0, -(24*INDEX('KZ-normalized'!$D:$D, MATCH($A197, 'KZ-normalized'!$A:$A, 0))-INDEX('KZ-normalized'!$E:$E, MATCH($A197, 'KZ-normalized'!$A:$A, 0))), 0), 0))+(IFERROR(IF(24*INDEX('UZ-normalized'!$D:$D, MATCH($A197, 'UZ-normalized'!$A:$A, 0))-INDEX('UZ-normalized'!$E:$E, MATCH($A197, 'UZ-normalized'!$A:$A, 0))&gt;0, -(24*INDEX('UZ-normalized'!$D:$D, MATCH($A197, 'UZ-normalized'!$A:$A, 0))-INDEX('UZ-normalized'!$E:$E, MATCH($A197, 'UZ-normalized'!$A:$A, 0))), 0), 0)))</f>
        <v>0</v>
      </c>
      <c r="AM197" s="6">
        <f>MIN(0, N197+(IFERROR(IF(25*INDEX('UA-normalized'!$D:$D, MATCH($A197, 'UA-normalized'!$A:$A, 0))-INDEX('UA-normalized'!$E:$E, MATCH($A197, 'UA-normalized'!$A:$A, 0))&gt;0, -(25*INDEX('UA-normalized'!$D:$D, MATCH($A197, 'UA-normalized'!$A:$A, 0))-INDEX('UA-normalized'!$E:$E, MATCH($A197, 'UA-normalized'!$A:$A, 0))), 0), 0))+(IFERROR(IF(25*INDEX('KZ-normalized'!$D:$D, MATCH($A197, 'KZ-normalized'!$A:$A, 0))-INDEX('KZ-normalized'!$E:$E, MATCH($A197, 'KZ-normalized'!$A:$A, 0))&gt;0, -(25*INDEX('KZ-normalized'!$D:$D, MATCH($A197, 'KZ-normalized'!$A:$A, 0))-INDEX('KZ-normalized'!$E:$E, MATCH($A197, 'KZ-normalized'!$A:$A, 0))), 0), 0))+(IFERROR(IF(25*INDEX('UZ-normalized'!$D:$D, MATCH($A197, 'UZ-normalized'!$A:$A, 0))-INDEX('UZ-normalized'!$E:$E, MATCH($A197, 'UZ-normalized'!$A:$A, 0))&gt;0, -(25*INDEX('UZ-normalized'!$D:$D, MATCH($A197, 'UZ-normalized'!$A:$A, 0))-INDEX('UZ-normalized'!$E:$E, MATCH($A197, 'UZ-normalized'!$A:$A, 0))), 0), 0)))</f>
        <v>0</v>
      </c>
      <c r="AN197" s="6">
        <f>MIN(0, N197+(IFERROR(IF(26*INDEX('UA-normalized'!$D:$D, MATCH($A197, 'UA-normalized'!$A:$A, 0))-INDEX('UA-normalized'!$E:$E, MATCH($A197, 'UA-normalized'!$A:$A, 0))&gt;0, -(26*INDEX('UA-normalized'!$D:$D, MATCH($A197, 'UA-normalized'!$A:$A, 0))-INDEX('UA-normalized'!$E:$E, MATCH($A197, 'UA-normalized'!$A:$A, 0))), 0), 0))+(IFERROR(IF(26*INDEX('KZ-normalized'!$D:$D, MATCH($A197, 'KZ-normalized'!$A:$A, 0))-INDEX('KZ-normalized'!$E:$E, MATCH($A197, 'KZ-normalized'!$A:$A, 0))&gt;0, -(26*INDEX('KZ-normalized'!$D:$D, MATCH($A197, 'KZ-normalized'!$A:$A, 0))-INDEX('KZ-normalized'!$E:$E, MATCH($A197, 'KZ-normalized'!$A:$A, 0))), 0), 0))+(IFERROR(IF(26*INDEX('UZ-normalized'!$D:$D, MATCH($A197, 'UZ-normalized'!$A:$A, 0))-INDEX('UZ-normalized'!$E:$E, MATCH($A197, 'UZ-normalized'!$A:$A, 0))&gt;0, -(26*INDEX('UZ-normalized'!$D:$D, MATCH($A197, 'UZ-normalized'!$A:$A, 0))-INDEX('UZ-normalized'!$E:$E, MATCH($A197, 'UZ-normalized'!$A:$A, 0))), 0), 0)))</f>
        <v>0</v>
      </c>
      <c r="AO197" s="6">
        <f>MIN(0, N197+(IFERROR(IF(27*INDEX('UA-normalized'!$D:$D, MATCH($A197, 'UA-normalized'!$A:$A, 0))-INDEX('UA-normalized'!$E:$E, MATCH($A197, 'UA-normalized'!$A:$A, 0))&gt;0, -(27*INDEX('UA-normalized'!$D:$D, MATCH($A197, 'UA-normalized'!$A:$A, 0))-INDEX('UA-normalized'!$E:$E, MATCH($A197, 'UA-normalized'!$A:$A, 0))), 0), 0))+(IFERROR(IF(27*INDEX('KZ-normalized'!$D:$D, MATCH($A197, 'KZ-normalized'!$A:$A, 0))-INDEX('KZ-normalized'!$E:$E, MATCH($A197, 'KZ-normalized'!$A:$A, 0))&gt;0, -(27*INDEX('KZ-normalized'!$D:$D, MATCH($A197, 'KZ-normalized'!$A:$A, 0))-INDEX('KZ-normalized'!$E:$E, MATCH($A197, 'KZ-normalized'!$A:$A, 0))), 0), 0))+(IFERROR(IF(27*INDEX('UZ-normalized'!$D:$D, MATCH($A197, 'UZ-normalized'!$A:$A, 0))-INDEX('UZ-normalized'!$E:$E, MATCH($A197, 'UZ-normalized'!$A:$A, 0))&gt;0, -(27*INDEX('UZ-normalized'!$D:$D, MATCH($A197, 'UZ-normalized'!$A:$A, 0))-INDEX('UZ-normalized'!$E:$E, MATCH($A197, 'UZ-normalized'!$A:$A, 0))), 0), 0)))</f>
        <v>0</v>
      </c>
      <c r="AP197" s="6">
        <f>MIN(0, N197+(IFERROR(IF(28*INDEX('UA-normalized'!$D:$D, MATCH($A197, 'UA-normalized'!$A:$A, 0))-INDEX('UA-normalized'!$E:$E, MATCH($A197, 'UA-normalized'!$A:$A, 0))&gt;0, -(28*INDEX('UA-normalized'!$D:$D, MATCH($A197, 'UA-normalized'!$A:$A, 0))-INDEX('UA-normalized'!$E:$E, MATCH($A197, 'UA-normalized'!$A:$A, 0))), 0), 0))+(IFERROR(IF(28*INDEX('KZ-normalized'!$D:$D, MATCH($A197, 'KZ-normalized'!$A:$A, 0))-INDEX('KZ-normalized'!$E:$E, MATCH($A197, 'KZ-normalized'!$A:$A, 0))&gt;0, -(28*INDEX('KZ-normalized'!$D:$D, MATCH($A197, 'KZ-normalized'!$A:$A, 0))-INDEX('KZ-normalized'!$E:$E, MATCH($A197, 'KZ-normalized'!$A:$A, 0))), 0), 0))+(IFERROR(IF(28*INDEX('UZ-normalized'!$D:$D, MATCH($A197, 'UZ-normalized'!$A:$A, 0))-INDEX('UZ-normalized'!$E:$E, MATCH($A197, 'UZ-normalized'!$A:$A, 0))&gt;0, -(28*INDEX('UZ-normalized'!$D:$D, MATCH($A197, 'UZ-normalized'!$A:$A, 0))-INDEX('UZ-normalized'!$E:$E, MATCH($A197, 'UZ-normalized'!$A:$A, 0))), 0), 0)))</f>
        <v>0</v>
      </c>
      <c r="AQ197" s="6">
        <f>MIN(0, N197+(IFERROR(IF(29*INDEX('UA-normalized'!$D:$D, MATCH($A197, 'UA-normalized'!$A:$A, 0))-INDEX('UA-normalized'!$E:$E, MATCH($A197, 'UA-normalized'!$A:$A, 0))&gt;0, -(29*INDEX('UA-normalized'!$D:$D, MATCH($A197, 'UA-normalized'!$A:$A, 0))-INDEX('UA-normalized'!$E:$E, MATCH($A197, 'UA-normalized'!$A:$A, 0))), 0), 0))+(IFERROR(IF(29*INDEX('KZ-normalized'!$D:$D, MATCH($A197, 'KZ-normalized'!$A:$A, 0))-INDEX('KZ-normalized'!$E:$E, MATCH($A197, 'KZ-normalized'!$A:$A, 0))&gt;0, -(29*INDEX('KZ-normalized'!$D:$D, MATCH($A197, 'KZ-normalized'!$A:$A, 0))-INDEX('KZ-normalized'!$E:$E, MATCH($A197, 'KZ-normalized'!$A:$A, 0))), 0), 0))+(IFERROR(IF(29*INDEX('UZ-normalized'!$D:$D, MATCH($A197, 'UZ-normalized'!$A:$A, 0))-INDEX('UZ-normalized'!$E:$E, MATCH($A197, 'UZ-normalized'!$A:$A, 0))&gt;0, -(29*INDEX('UZ-normalized'!$D:$D, MATCH($A197, 'UZ-normalized'!$A:$A, 0))-INDEX('UZ-normalized'!$E:$E, MATCH($A197, 'UZ-normalized'!$A:$A, 0))), 0), 0)))</f>
        <v>0</v>
      </c>
      <c r="AR197" s="6">
        <f>MIN(0, N197+(IFERROR(IF(30*INDEX('UA-normalized'!$D:$D, MATCH($A197, 'UA-normalized'!$A:$A, 0))-INDEX('UA-normalized'!$E:$E, MATCH($A197, 'UA-normalized'!$A:$A, 0))&gt;0, -(30*INDEX('UA-normalized'!$D:$D, MATCH($A197, 'UA-normalized'!$A:$A, 0))-INDEX('UA-normalized'!$E:$E, MATCH($A197, 'UA-normalized'!$A:$A, 0))), 0), 0))+(IFERROR(IF(30*INDEX('KZ-normalized'!$D:$D, MATCH($A197, 'KZ-normalized'!$A:$A, 0))-INDEX('KZ-normalized'!$E:$E, MATCH($A197, 'KZ-normalized'!$A:$A, 0))&gt;0, -(30*INDEX('KZ-normalized'!$D:$D, MATCH($A197, 'KZ-normalized'!$A:$A, 0))-INDEX('KZ-normalized'!$E:$E, MATCH($A197, 'KZ-normalized'!$A:$A, 0))), 0), 0))+(IFERROR(IF(30*INDEX('UZ-normalized'!$D:$D, MATCH($A197, 'UZ-normalized'!$A:$A, 0))-INDEX('UZ-normalized'!$E:$E, MATCH($A197, 'UZ-normalized'!$A:$A, 0))&gt;0, -(30*INDEX('UZ-normalized'!$D:$D, MATCH($A197, 'UZ-normalized'!$A:$A, 0))-INDEX('UZ-normalized'!$E:$E, MATCH($A197, 'UZ-normalized'!$A:$A, 0))), 0), 0)))</f>
        <v>0</v>
      </c>
    </row>
    <row r="198" spans="1:44" x14ac:dyDescent="0.25">
      <c r="A198" s="8" t="s">
        <v>474</v>
      </c>
      <c r="B198" s="8" t="s">
        <v>460</v>
      </c>
      <c r="C198" s="8" t="s">
        <v>466</v>
      </c>
      <c r="D198" s="8" t="s">
        <v>475</v>
      </c>
      <c r="N198">
        <f t="shared" si="3"/>
        <v>0</v>
      </c>
      <c r="O198" s="6">
        <f>MIN(0, N198+(IFERROR(IF(1*INDEX('UA-normalized'!$D:$D, MATCH($A198, 'UA-normalized'!$A:$A, 0))-INDEX('UA-normalized'!$E:$E, MATCH($A198, 'UA-normalized'!$A:$A, 0))&gt;0, -(1*INDEX('UA-normalized'!$D:$D, MATCH($A198, 'UA-normalized'!$A:$A, 0))-INDEX('UA-normalized'!$E:$E, MATCH($A198, 'UA-normalized'!$A:$A, 0))), 0), 0))+(IFERROR(IF(1*INDEX('KZ-normalized'!$D:$D, MATCH($A198, 'KZ-normalized'!$A:$A, 0))-INDEX('KZ-normalized'!$E:$E, MATCH($A198, 'KZ-normalized'!$A:$A, 0))&gt;0, -(1*INDEX('KZ-normalized'!$D:$D, MATCH($A198, 'KZ-normalized'!$A:$A, 0))-INDEX('KZ-normalized'!$E:$E, MATCH($A198, 'KZ-normalized'!$A:$A, 0))), 0), 0))+(IFERROR(IF(1*INDEX('UZ-normalized'!$D:$D, MATCH($A198, 'UZ-normalized'!$A:$A, 0))-INDEX('UZ-normalized'!$E:$E, MATCH($A198, 'UZ-normalized'!$A:$A, 0))&gt;0, -(1*INDEX('UZ-normalized'!$D:$D, MATCH($A198, 'UZ-normalized'!$A:$A, 0))-INDEX('UZ-normalized'!$E:$E, MATCH($A198, 'UZ-normalized'!$A:$A, 0))), 0), 0)))</f>
        <v>0</v>
      </c>
      <c r="P198" s="6">
        <f>MIN(0, N198+(IFERROR(IF(2*INDEX('UA-normalized'!$D:$D, MATCH($A198, 'UA-normalized'!$A:$A, 0))-INDEX('UA-normalized'!$E:$E, MATCH($A198, 'UA-normalized'!$A:$A, 0))&gt;0, -(2*INDEX('UA-normalized'!$D:$D, MATCH($A198, 'UA-normalized'!$A:$A, 0))-INDEX('UA-normalized'!$E:$E, MATCH($A198, 'UA-normalized'!$A:$A, 0))), 0), 0))+(IFERROR(IF(2*INDEX('KZ-normalized'!$D:$D, MATCH($A198, 'KZ-normalized'!$A:$A, 0))-INDEX('KZ-normalized'!$E:$E, MATCH($A198, 'KZ-normalized'!$A:$A, 0))&gt;0, -(2*INDEX('KZ-normalized'!$D:$D, MATCH($A198, 'KZ-normalized'!$A:$A, 0))-INDEX('KZ-normalized'!$E:$E, MATCH($A198, 'KZ-normalized'!$A:$A, 0))), 0), 0))+(IFERROR(IF(2*INDEX('UZ-normalized'!$D:$D, MATCH($A198, 'UZ-normalized'!$A:$A, 0))-INDEX('UZ-normalized'!$E:$E, MATCH($A198, 'UZ-normalized'!$A:$A, 0))&gt;0, -(2*INDEX('UZ-normalized'!$D:$D, MATCH($A198, 'UZ-normalized'!$A:$A, 0))-INDEX('UZ-normalized'!$E:$E, MATCH($A198, 'UZ-normalized'!$A:$A, 0))), 0), 0)))</f>
        <v>0</v>
      </c>
      <c r="Q198" s="6">
        <f>MIN(0, N198+(IFERROR(IF(3*INDEX('UA-normalized'!$D:$D, MATCH($A198, 'UA-normalized'!$A:$A, 0))-INDEX('UA-normalized'!$E:$E, MATCH($A198, 'UA-normalized'!$A:$A, 0))&gt;0, -(3*INDEX('UA-normalized'!$D:$D, MATCH($A198, 'UA-normalized'!$A:$A, 0))-INDEX('UA-normalized'!$E:$E, MATCH($A198, 'UA-normalized'!$A:$A, 0))), 0), 0))+(IFERROR(IF(3*INDEX('KZ-normalized'!$D:$D, MATCH($A198, 'KZ-normalized'!$A:$A, 0))-INDEX('KZ-normalized'!$E:$E, MATCH($A198, 'KZ-normalized'!$A:$A, 0))&gt;0, -(3*INDEX('KZ-normalized'!$D:$D, MATCH($A198, 'KZ-normalized'!$A:$A, 0))-INDEX('KZ-normalized'!$E:$E, MATCH($A198, 'KZ-normalized'!$A:$A, 0))), 0), 0))+(IFERROR(IF(3*INDEX('UZ-normalized'!$D:$D, MATCH($A198, 'UZ-normalized'!$A:$A, 0))-INDEX('UZ-normalized'!$E:$E, MATCH($A198, 'UZ-normalized'!$A:$A, 0))&gt;0, -(3*INDEX('UZ-normalized'!$D:$D, MATCH($A198, 'UZ-normalized'!$A:$A, 0))-INDEX('UZ-normalized'!$E:$E, MATCH($A198, 'UZ-normalized'!$A:$A, 0))), 0), 0)))</f>
        <v>0</v>
      </c>
      <c r="R198" s="6">
        <f>MIN(0, N198+(IFERROR(IF(4*INDEX('UA-normalized'!$D:$D, MATCH($A198, 'UA-normalized'!$A:$A, 0))-INDEX('UA-normalized'!$E:$E, MATCH($A198, 'UA-normalized'!$A:$A, 0))&gt;0, -(4*INDEX('UA-normalized'!$D:$D, MATCH($A198, 'UA-normalized'!$A:$A, 0))-INDEX('UA-normalized'!$E:$E, MATCH($A198, 'UA-normalized'!$A:$A, 0))), 0), 0))+(IFERROR(IF(4*INDEX('KZ-normalized'!$D:$D, MATCH($A198, 'KZ-normalized'!$A:$A, 0))-INDEX('KZ-normalized'!$E:$E, MATCH($A198, 'KZ-normalized'!$A:$A, 0))&gt;0, -(4*INDEX('KZ-normalized'!$D:$D, MATCH($A198, 'KZ-normalized'!$A:$A, 0))-INDEX('KZ-normalized'!$E:$E, MATCH($A198, 'KZ-normalized'!$A:$A, 0))), 0), 0))+(IFERROR(IF(4*INDEX('UZ-normalized'!$D:$D, MATCH($A198, 'UZ-normalized'!$A:$A, 0))-INDEX('UZ-normalized'!$E:$E, MATCH($A198, 'UZ-normalized'!$A:$A, 0))&gt;0, -(4*INDEX('UZ-normalized'!$D:$D, MATCH($A198, 'UZ-normalized'!$A:$A, 0))-INDEX('UZ-normalized'!$E:$E, MATCH($A198, 'UZ-normalized'!$A:$A, 0))), 0), 0)))</f>
        <v>0</v>
      </c>
      <c r="S198" s="6">
        <f>MIN(0, N198+(IFERROR(IF(5*INDEX('UA-normalized'!$D:$D, MATCH($A198, 'UA-normalized'!$A:$A, 0))-INDEX('UA-normalized'!$E:$E, MATCH($A198, 'UA-normalized'!$A:$A, 0))&gt;0, -(5*INDEX('UA-normalized'!$D:$D, MATCH($A198, 'UA-normalized'!$A:$A, 0))-INDEX('UA-normalized'!$E:$E, MATCH($A198, 'UA-normalized'!$A:$A, 0))), 0), 0))+(IFERROR(IF(5*INDEX('KZ-normalized'!$D:$D, MATCH($A198, 'KZ-normalized'!$A:$A, 0))-INDEX('KZ-normalized'!$E:$E, MATCH($A198, 'KZ-normalized'!$A:$A, 0))&gt;0, -(5*INDEX('KZ-normalized'!$D:$D, MATCH($A198, 'KZ-normalized'!$A:$A, 0))-INDEX('KZ-normalized'!$E:$E, MATCH($A198, 'KZ-normalized'!$A:$A, 0))), 0), 0))+(IFERROR(IF(5*INDEX('UZ-normalized'!$D:$D, MATCH($A198, 'UZ-normalized'!$A:$A, 0))-INDEX('UZ-normalized'!$E:$E, MATCH($A198, 'UZ-normalized'!$A:$A, 0))&gt;0, -(5*INDEX('UZ-normalized'!$D:$D, MATCH($A198, 'UZ-normalized'!$A:$A, 0))-INDEX('UZ-normalized'!$E:$E, MATCH($A198, 'UZ-normalized'!$A:$A, 0))), 0), 0)))</f>
        <v>0</v>
      </c>
      <c r="T198" s="6">
        <f>MIN(0, N198+(IFERROR(IF(6*INDEX('UA-normalized'!$D:$D, MATCH($A198, 'UA-normalized'!$A:$A, 0))-INDEX('UA-normalized'!$E:$E, MATCH($A198, 'UA-normalized'!$A:$A, 0))&gt;0, -(6*INDEX('UA-normalized'!$D:$D, MATCH($A198, 'UA-normalized'!$A:$A, 0))-INDEX('UA-normalized'!$E:$E, MATCH($A198, 'UA-normalized'!$A:$A, 0))), 0), 0))+(IFERROR(IF(6*INDEX('KZ-normalized'!$D:$D, MATCH($A198, 'KZ-normalized'!$A:$A, 0))-INDEX('KZ-normalized'!$E:$E, MATCH($A198, 'KZ-normalized'!$A:$A, 0))&gt;0, -(6*INDEX('KZ-normalized'!$D:$D, MATCH($A198, 'KZ-normalized'!$A:$A, 0))-INDEX('KZ-normalized'!$E:$E, MATCH($A198, 'KZ-normalized'!$A:$A, 0))), 0), 0))+(IFERROR(IF(6*INDEX('UZ-normalized'!$D:$D, MATCH($A198, 'UZ-normalized'!$A:$A, 0))-INDEX('UZ-normalized'!$E:$E, MATCH($A198, 'UZ-normalized'!$A:$A, 0))&gt;0, -(6*INDEX('UZ-normalized'!$D:$D, MATCH($A198, 'UZ-normalized'!$A:$A, 0))-INDEX('UZ-normalized'!$E:$E, MATCH($A198, 'UZ-normalized'!$A:$A, 0))), 0), 0)))</f>
        <v>0</v>
      </c>
      <c r="U198" s="6">
        <f>MIN(0, N198+(IFERROR(IF(7*INDEX('UA-normalized'!$D:$D, MATCH($A198, 'UA-normalized'!$A:$A, 0))-INDEX('UA-normalized'!$E:$E, MATCH($A198, 'UA-normalized'!$A:$A, 0))&gt;0, -(7*INDEX('UA-normalized'!$D:$D, MATCH($A198, 'UA-normalized'!$A:$A, 0))-INDEX('UA-normalized'!$E:$E, MATCH($A198, 'UA-normalized'!$A:$A, 0))), 0), 0))+(IFERROR(IF(7*INDEX('KZ-normalized'!$D:$D, MATCH($A198, 'KZ-normalized'!$A:$A, 0))-INDEX('KZ-normalized'!$E:$E, MATCH($A198, 'KZ-normalized'!$A:$A, 0))&gt;0, -(7*INDEX('KZ-normalized'!$D:$D, MATCH($A198, 'KZ-normalized'!$A:$A, 0))-INDEX('KZ-normalized'!$E:$E, MATCH($A198, 'KZ-normalized'!$A:$A, 0))), 0), 0))+(IFERROR(IF(7*INDEX('UZ-normalized'!$D:$D, MATCH($A198, 'UZ-normalized'!$A:$A, 0))-INDEX('UZ-normalized'!$E:$E, MATCH($A198, 'UZ-normalized'!$A:$A, 0))&gt;0, -(7*INDEX('UZ-normalized'!$D:$D, MATCH($A198, 'UZ-normalized'!$A:$A, 0))-INDEX('UZ-normalized'!$E:$E, MATCH($A198, 'UZ-normalized'!$A:$A, 0))), 0), 0)))</f>
        <v>0</v>
      </c>
      <c r="V198" s="6">
        <f>MIN(0, N198+(IFERROR(IF(8*INDEX('UA-normalized'!$D:$D, MATCH($A198, 'UA-normalized'!$A:$A, 0))-INDEX('UA-normalized'!$E:$E, MATCH($A198, 'UA-normalized'!$A:$A, 0))&gt;0, -(8*INDEX('UA-normalized'!$D:$D, MATCH($A198, 'UA-normalized'!$A:$A, 0))-INDEX('UA-normalized'!$E:$E, MATCH($A198, 'UA-normalized'!$A:$A, 0))), 0), 0))+(IFERROR(IF(8*INDEX('KZ-normalized'!$D:$D, MATCH($A198, 'KZ-normalized'!$A:$A, 0))-INDEX('KZ-normalized'!$E:$E, MATCH($A198, 'KZ-normalized'!$A:$A, 0))&gt;0, -(8*INDEX('KZ-normalized'!$D:$D, MATCH($A198, 'KZ-normalized'!$A:$A, 0))-INDEX('KZ-normalized'!$E:$E, MATCH($A198, 'KZ-normalized'!$A:$A, 0))), 0), 0))+(IFERROR(IF(8*INDEX('UZ-normalized'!$D:$D, MATCH($A198, 'UZ-normalized'!$A:$A, 0))-INDEX('UZ-normalized'!$E:$E, MATCH($A198, 'UZ-normalized'!$A:$A, 0))&gt;0, -(8*INDEX('UZ-normalized'!$D:$D, MATCH($A198, 'UZ-normalized'!$A:$A, 0))-INDEX('UZ-normalized'!$E:$E, MATCH($A198, 'UZ-normalized'!$A:$A, 0))), 0), 0)))</f>
        <v>0</v>
      </c>
      <c r="W198" s="6">
        <f>MIN(0, N198+(IFERROR(IF(9*INDEX('UA-normalized'!$D:$D, MATCH($A198, 'UA-normalized'!$A:$A, 0))-INDEX('UA-normalized'!$E:$E, MATCH($A198, 'UA-normalized'!$A:$A, 0))&gt;0, -(9*INDEX('UA-normalized'!$D:$D, MATCH($A198, 'UA-normalized'!$A:$A, 0))-INDEX('UA-normalized'!$E:$E, MATCH($A198, 'UA-normalized'!$A:$A, 0))), 0), 0))+(IFERROR(IF(9*INDEX('KZ-normalized'!$D:$D, MATCH($A198, 'KZ-normalized'!$A:$A, 0))-INDEX('KZ-normalized'!$E:$E, MATCH($A198, 'KZ-normalized'!$A:$A, 0))&gt;0, -(9*INDEX('KZ-normalized'!$D:$D, MATCH($A198, 'KZ-normalized'!$A:$A, 0))-INDEX('KZ-normalized'!$E:$E, MATCH($A198, 'KZ-normalized'!$A:$A, 0))), 0), 0))+(IFERROR(IF(9*INDEX('UZ-normalized'!$D:$D, MATCH($A198, 'UZ-normalized'!$A:$A, 0))-INDEX('UZ-normalized'!$E:$E, MATCH($A198, 'UZ-normalized'!$A:$A, 0))&gt;0, -(9*INDEX('UZ-normalized'!$D:$D, MATCH($A198, 'UZ-normalized'!$A:$A, 0))-INDEX('UZ-normalized'!$E:$E, MATCH($A198, 'UZ-normalized'!$A:$A, 0))), 0), 0)))</f>
        <v>0</v>
      </c>
      <c r="X198" s="6">
        <f>MIN(0, N198+(IFERROR(IF(10*INDEX('UA-normalized'!$D:$D, MATCH($A198, 'UA-normalized'!$A:$A, 0))-INDEX('UA-normalized'!$E:$E, MATCH($A198, 'UA-normalized'!$A:$A, 0))&gt;0, -(10*INDEX('UA-normalized'!$D:$D, MATCH($A198, 'UA-normalized'!$A:$A, 0))-INDEX('UA-normalized'!$E:$E, MATCH($A198, 'UA-normalized'!$A:$A, 0))), 0), 0))+(IFERROR(IF(10*INDEX('KZ-normalized'!$D:$D, MATCH($A198, 'KZ-normalized'!$A:$A, 0))-INDEX('KZ-normalized'!$E:$E, MATCH($A198, 'KZ-normalized'!$A:$A, 0))&gt;0, -(10*INDEX('KZ-normalized'!$D:$D, MATCH($A198, 'KZ-normalized'!$A:$A, 0))-INDEX('KZ-normalized'!$E:$E, MATCH($A198, 'KZ-normalized'!$A:$A, 0))), 0), 0))+(IFERROR(IF(10*INDEX('UZ-normalized'!$D:$D, MATCH($A198, 'UZ-normalized'!$A:$A, 0))-INDEX('UZ-normalized'!$E:$E, MATCH($A198, 'UZ-normalized'!$A:$A, 0))&gt;0, -(10*INDEX('UZ-normalized'!$D:$D, MATCH($A198, 'UZ-normalized'!$A:$A, 0))-INDEX('UZ-normalized'!$E:$E, MATCH($A198, 'UZ-normalized'!$A:$A, 0))), 0), 0)))</f>
        <v>0</v>
      </c>
      <c r="Y198" s="6">
        <f>MIN(0, N198+(IFERROR(IF(11*INDEX('UA-normalized'!$D:$D, MATCH($A198, 'UA-normalized'!$A:$A, 0))-INDEX('UA-normalized'!$E:$E, MATCH($A198, 'UA-normalized'!$A:$A, 0))&gt;0, -(11*INDEX('UA-normalized'!$D:$D, MATCH($A198, 'UA-normalized'!$A:$A, 0))-INDEX('UA-normalized'!$E:$E, MATCH($A198, 'UA-normalized'!$A:$A, 0))), 0), 0))+(IFERROR(IF(11*INDEX('KZ-normalized'!$D:$D, MATCH($A198, 'KZ-normalized'!$A:$A, 0))-INDEX('KZ-normalized'!$E:$E, MATCH($A198, 'KZ-normalized'!$A:$A, 0))&gt;0, -(11*INDEX('KZ-normalized'!$D:$D, MATCH($A198, 'KZ-normalized'!$A:$A, 0))-INDEX('KZ-normalized'!$E:$E, MATCH($A198, 'KZ-normalized'!$A:$A, 0))), 0), 0))+(IFERROR(IF(11*INDEX('UZ-normalized'!$D:$D, MATCH($A198, 'UZ-normalized'!$A:$A, 0))-INDEX('UZ-normalized'!$E:$E, MATCH($A198, 'UZ-normalized'!$A:$A, 0))&gt;0, -(11*INDEX('UZ-normalized'!$D:$D, MATCH($A198, 'UZ-normalized'!$A:$A, 0))-INDEX('UZ-normalized'!$E:$E, MATCH($A198, 'UZ-normalized'!$A:$A, 0))), 0), 0)))</f>
        <v>0</v>
      </c>
      <c r="Z198" s="6">
        <f>MIN(0, N198+(IFERROR(IF(12*INDEX('UA-normalized'!$D:$D, MATCH($A198, 'UA-normalized'!$A:$A, 0))-INDEX('UA-normalized'!$E:$E, MATCH($A198, 'UA-normalized'!$A:$A, 0))&gt;0, -(12*INDEX('UA-normalized'!$D:$D, MATCH($A198, 'UA-normalized'!$A:$A, 0))-INDEX('UA-normalized'!$E:$E, MATCH($A198, 'UA-normalized'!$A:$A, 0))), 0), 0))+(IFERROR(IF(12*INDEX('KZ-normalized'!$D:$D, MATCH($A198, 'KZ-normalized'!$A:$A, 0))-INDEX('KZ-normalized'!$E:$E, MATCH($A198, 'KZ-normalized'!$A:$A, 0))&gt;0, -(12*INDEX('KZ-normalized'!$D:$D, MATCH($A198, 'KZ-normalized'!$A:$A, 0))-INDEX('KZ-normalized'!$E:$E, MATCH($A198, 'KZ-normalized'!$A:$A, 0))), 0), 0))+(IFERROR(IF(12*INDEX('UZ-normalized'!$D:$D, MATCH($A198, 'UZ-normalized'!$A:$A, 0))-INDEX('UZ-normalized'!$E:$E, MATCH($A198, 'UZ-normalized'!$A:$A, 0))&gt;0, -(12*INDEX('UZ-normalized'!$D:$D, MATCH($A198, 'UZ-normalized'!$A:$A, 0))-INDEX('UZ-normalized'!$E:$E, MATCH($A198, 'UZ-normalized'!$A:$A, 0))), 0), 0)))</f>
        <v>0</v>
      </c>
      <c r="AA198" s="6">
        <f>MIN(0, N198+(IFERROR(IF(13*INDEX('UA-normalized'!$D:$D, MATCH($A198, 'UA-normalized'!$A:$A, 0))-INDEX('UA-normalized'!$E:$E, MATCH($A198, 'UA-normalized'!$A:$A, 0))&gt;0, -(13*INDEX('UA-normalized'!$D:$D, MATCH($A198, 'UA-normalized'!$A:$A, 0))-INDEX('UA-normalized'!$E:$E, MATCH($A198, 'UA-normalized'!$A:$A, 0))), 0), 0))+(IFERROR(IF(13*INDEX('KZ-normalized'!$D:$D, MATCH($A198, 'KZ-normalized'!$A:$A, 0))-INDEX('KZ-normalized'!$E:$E, MATCH($A198, 'KZ-normalized'!$A:$A, 0))&gt;0, -(13*INDEX('KZ-normalized'!$D:$D, MATCH($A198, 'KZ-normalized'!$A:$A, 0))-INDEX('KZ-normalized'!$E:$E, MATCH($A198, 'KZ-normalized'!$A:$A, 0))), 0), 0))+(IFERROR(IF(13*INDEX('UZ-normalized'!$D:$D, MATCH($A198, 'UZ-normalized'!$A:$A, 0))-INDEX('UZ-normalized'!$E:$E, MATCH($A198, 'UZ-normalized'!$A:$A, 0))&gt;0, -(13*INDEX('UZ-normalized'!$D:$D, MATCH($A198, 'UZ-normalized'!$A:$A, 0))-INDEX('UZ-normalized'!$E:$E, MATCH($A198, 'UZ-normalized'!$A:$A, 0))), 0), 0)))</f>
        <v>0</v>
      </c>
      <c r="AB198" s="6">
        <f>MIN(0, N198+(IFERROR(IF(14*INDEX('UA-normalized'!$D:$D, MATCH($A198, 'UA-normalized'!$A:$A, 0))-INDEX('UA-normalized'!$E:$E, MATCH($A198, 'UA-normalized'!$A:$A, 0))&gt;0, -(14*INDEX('UA-normalized'!$D:$D, MATCH($A198, 'UA-normalized'!$A:$A, 0))-INDEX('UA-normalized'!$E:$E, MATCH($A198, 'UA-normalized'!$A:$A, 0))), 0), 0))+(IFERROR(IF(14*INDEX('KZ-normalized'!$D:$D, MATCH($A198, 'KZ-normalized'!$A:$A, 0))-INDEX('KZ-normalized'!$E:$E, MATCH($A198, 'KZ-normalized'!$A:$A, 0))&gt;0, -(14*INDEX('KZ-normalized'!$D:$D, MATCH($A198, 'KZ-normalized'!$A:$A, 0))-INDEX('KZ-normalized'!$E:$E, MATCH($A198, 'KZ-normalized'!$A:$A, 0))), 0), 0))+(IFERROR(IF(14*INDEX('UZ-normalized'!$D:$D, MATCH($A198, 'UZ-normalized'!$A:$A, 0))-INDEX('UZ-normalized'!$E:$E, MATCH($A198, 'UZ-normalized'!$A:$A, 0))&gt;0, -(14*INDEX('UZ-normalized'!$D:$D, MATCH($A198, 'UZ-normalized'!$A:$A, 0))-INDEX('UZ-normalized'!$E:$E, MATCH($A198, 'UZ-normalized'!$A:$A, 0))), 0), 0)))</f>
        <v>0</v>
      </c>
      <c r="AC198" s="6">
        <f>MIN(0, N198+(IFERROR(IF(15*INDEX('UA-normalized'!$D:$D, MATCH($A198, 'UA-normalized'!$A:$A, 0))-INDEX('UA-normalized'!$E:$E, MATCH($A198, 'UA-normalized'!$A:$A, 0))&gt;0, -(15*INDEX('UA-normalized'!$D:$D, MATCH($A198, 'UA-normalized'!$A:$A, 0))-INDEX('UA-normalized'!$E:$E, MATCH($A198, 'UA-normalized'!$A:$A, 0))), 0), 0))+(IFERROR(IF(15*INDEX('KZ-normalized'!$D:$D, MATCH($A198, 'KZ-normalized'!$A:$A, 0))-INDEX('KZ-normalized'!$E:$E, MATCH($A198, 'KZ-normalized'!$A:$A, 0))&gt;0, -(15*INDEX('KZ-normalized'!$D:$D, MATCH($A198, 'KZ-normalized'!$A:$A, 0))-INDEX('KZ-normalized'!$E:$E, MATCH($A198, 'KZ-normalized'!$A:$A, 0))), 0), 0))+(IFERROR(IF(15*INDEX('UZ-normalized'!$D:$D, MATCH($A198, 'UZ-normalized'!$A:$A, 0))-INDEX('UZ-normalized'!$E:$E, MATCH($A198, 'UZ-normalized'!$A:$A, 0))&gt;0, -(15*INDEX('UZ-normalized'!$D:$D, MATCH($A198, 'UZ-normalized'!$A:$A, 0))-INDEX('UZ-normalized'!$E:$E, MATCH($A198, 'UZ-normalized'!$A:$A, 0))), 0), 0)))</f>
        <v>0</v>
      </c>
      <c r="AD198" s="6">
        <f>MIN(0, N198+(IFERROR(IF(16*INDEX('UA-normalized'!$D:$D, MATCH($A198, 'UA-normalized'!$A:$A, 0))-INDEX('UA-normalized'!$E:$E, MATCH($A198, 'UA-normalized'!$A:$A, 0))&gt;0, -(16*INDEX('UA-normalized'!$D:$D, MATCH($A198, 'UA-normalized'!$A:$A, 0))-INDEX('UA-normalized'!$E:$E, MATCH($A198, 'UA-normalized'!$A:$A, 0))), 0), 0))+(IFERROR(IF(16*INDEX('KZ-normalized'!$D:$D, MATCH($A198, 'KZ-normalized'!$A:$A, 0))-INDEX('KZ-normalized'!$E:$E, MATCH($A198, 'KZ-normalized'!$A:$A, 0))&gt;0, -(16*INDEX('KZ-normalized'!$D:$D, MATCH($A198, 'KZ-normalized'!$A:$A, 0))-INDEX('KZ-normalized'!$E:$E, MATCH($A198, 'KZ-normalized'!$A:$A, 0))), 0), 0))+(IFERROR(IF(16*INDEX('UZ-normalized'!$D:$D, MATCH($A198, 'UZ-normalized'!$A:$A, 0))-INDEX('UZ-normalized'!$E:$E, MATCH($A198, 'UZ-normalized'!$A:$A, 0))&gt;0, -(16*INDEX('UZ-normalized'!$D:$D, MATCH($A198, 'UZ-normalized'!$A:$A, 0))-INDEX('UZ-normalized'!$E:$E, MATCH($A198, 'UZ-normalized'!$A:$A, 0))), 0), 0)))</f>
        <v>0</v>
      </c>
      <c r="AE198" s="6">
        <f>MIN(0, N198+(IFERROR(IF(17*INDEX('UA-normalized'!$D:$D, MATCH($A198, 'UA-normalized'!$A:$A, 0))-INDEX('UA-normalized'!$E:$E, MATCH($A198, 'UA-normalized'!$A:$A, 0))&gt;0, -(17*INDEX('UA-normalized'!$D:$D, MATCH($A198, 'UA-normalized'!$A:$A, 0))-INDEX('UA-normalized'!$E:$E, MATCH($A198, 'UA-normalized'!$A:$A, 0))), 0), 0))+(IFERROR(IF(17*INDEX('KZ-normalized'!$D:$D, MATCH($A198, 'KZ-normalized'!$A:$A, 0))-INDEX('KZ-normalized'!$E:$E, MATCH($A198, 'KZ-normalized'!$A:$A, 0))&gt;0, -(17*INDEX('KZ-normalized'!$D:$D, MATCH($A198, 'KZ-normalized'!$A:$A, 0))-INDEX('KZ-normalized'!$E:$E, MATCH($A198, 'KZ-normalized'!$A:$A, 0))), 0), 0))+(IFERROR(IF(17*INDEX('UZ-normalized'!$D:$D, MATCH($A198, 'UZ-normalized'!$A:$A, 0))-INDEX('UZ-normalized'!$E:$E, MATCH($A198, 'UZ-normalized'!$A:$A, 0))&gt;0, -(17*INDEX('UZ-normalized'!$D:$D, MATCH($A198, 'UZ-normalized'!$A:$A, 0))-INDEX('UZ-normalized'!$E:$E, MATCH($A198, 'UZ-normalized'!$A:$A, 0))), 0), 0)))</f>
        <v>0</v>
      </c>
      <c r="AF198" s="6">
        <f>MIN(0, N198+(IFERROR(IF(18*INDEX('UA-normalized'!$D:$D, MATCH($A198, 'UA-normalized'!$A:$A, 0))-INDEX('UA-normalized'!$E:$E, MATCH($A198, 'UA-normalized'!$A:$A, 0))&gt;0, -(18*INDEX('UA-normalized'!$D:$D, MATCH($A198, 'UA-normalized'!$A:$A, 0))-INDEX('UA-normalized'!$E:$E, MATCH($A198, 'UA-normalized'!$A:$A, 0))), 0), 0))+(IFERROR(IF(18*INDEX('KZ-normalized'!$D:$D, MATCH($A198, 'KZ-normalized'!$A:$A, 0))-INDEX('KZ-normalized'!$E:$E, MATCH($A198, 'KZ-normalized'!$A:$A, 0))&gt;0, -(18*INDEX('KZ-normalized'!$D:$D, MATCH($A198, 'KZ-normalized'!$A:$A, 0))-INDEX('KZ-normalized'!$E:$E, MATCH($A198, 'KZ-normalized'!$A:$A, 0))), 0), 0))+(IFERROR(IF(18*INDEX('UZ-normalized'!$D:$D, MATCH($A198, 'UZ-normalized'!$A:$A, 0))-INDEX('UZ-normalized'!$E:$E, MATCH($A198, 'UZ-normalized'!$A:$A, 0))&gt;0, -(18*INDEX('UZ-normalized'!$D:$D, MATCH($A198, 'UZ-normalized'!$A:$A, 0))-INDEX('UZ-normalized'!$E:$E, MATCH($A198, 'UZ-normalized'!$A:$A, 0))), 0), 0)))</f>
        <v>0</v>
      </c>
      <c r="AG198" s="6">
        <f>MIN(0, N198+(IFERROR(IF(19*INDEX('UA-normalized'!$D:$D, MATCH($A198, 'UA-normalized'!$A:$A, 0))-INDEX('UA-normalized'!$E:$E, MATCH($A198, 'UA-normalized'!$A:$A, 0))&gt;0, -(19*INDEX('UA-normalized'!$D:$D, MATCH($A198, 'UA-normalized'!$A:$A, 0))-INDEX('UA-normalized'!$E:$E, MATCH($A198, 'UA-normalized'!$A:$A, 0))), 0), 0))+(IFERROR(IF(19*INDEX('KZ-normalized'!$D:$D, MATCH($A198, 'KZ-normalized'!$A:$A, 0))-INDEX('KZ-normalized'!$E:$E, MATCH($A198, 'KZ-normalized'!$A:$A, 0))&gt;0, -(19*INDEX('KZ-normalized'!$D:$D, MATCH($A198, 'KZ-normalized'!$A:$A, 0))-INDEX('KZ-normalized'!$E:$E, MATCH($A198, 'KZ-normalized'!$A:$A, 0))), 0), 0))+(IFERROR(IF(19*INDEX('UZ-normalized'!$D:$D, MATCH($A198, 'UZ-normalized'!$A:$A, 0))-INDEX('UZ-normalized'!$E:$E, MATCH($A198, 'UZ-normalized'!$A:$A, 0))&gt;0, -(19*INDEX('UZ-normalized'!$D:$D, MATCH($A198, 'UZ-normalized'!$A:$A, 0))-INDEX('UZ-normalized'!$E:$E, MATCH($A198, 'UZ-normalized'!$A:$A, 0))), 0), 0)))</f>
        <v>-0.40000000000000036</v>
      </c>
      <c r="AH198" s="6">
        <f>MIN(0, N198+(IFERROR(IF(20*INDEX('UA-normalized'!$D:$D, MATCH($A198, 'UA-normalized'!$A:$A, 0))-INDEX('UA-normalized'!$E:$E, MATCH($A198, 'UA-normalized'!$A:$A, 0))&gt;0, -(20*INDEX('UA-normalized'!$D:$D, MATCH($A198, 'UA-normalized'!$A:$A, 0))-INDEX('UA-normalized'!$E:$E, MATCH($A198, 'UA-normalized'!$A:$A, 0))), 0), 0))+(IFERROR(IF(20*INDEX('KZ-normalized'!$D:$D, MATCH($A198, 'KZ-normalized'!$A:$A, 0))-INDEX('KZ-normalized'!$E:$E, MATCH($A198, 'KZ-normalized'!$A:$A, 0))&gt;0, -(20*INDEX('KZ-normalized'!$D:$D, MATCH($A198, 'KZ-normalized'!$A:$A, 0))-INDEX('KZ-normalized'!$E:$E, MATCH($A198, 'KZ-normalized'!$A:$A, 0))), 0), 0))+(IFERROR(IF(20*INDEX('UZ-normalized'!$D:$D, MATCH($A198, 'UZ-normalized'!$A:$A, 0))-INDEX('UZ-normalized'!$E:$E, MATCH($A198, 'UZ-normalized'!$A:$A, 0))&gt;0, -(20*INDEX('UZ-normalized'!$D:$D, MATCH($A198, 'UZ-normalized'!$A:$A, 0))-INDEX('UZ-normalized'!$E:$E, MATCH($A198, 'UZ-normalized'!$A:$A, 0))), 0), 0)))</f>
        <v>-1</v>
      </c>
      <c r="AI198" s="6">
        <f>MIN(0, N198+(IFERROR(IF(21*INDEX('UA-normalized'!$D:$D, MATCH($A198, 'UA-normalized'!$A:$A, 0))-INDEX('UA-normalized'!$E:$E, MATCH($A198, 'UA-normalized'!$A:$A, 0))&gt;0, -(21*INDEX('UA-normalized'!$D:$D, MATCH($A198, 'UA-normalized'!$A:$A, 0))-INDEX('UA-normalized'!$E:$E, MATCH($A198, 'UA-normalized'!$A:$A, 0))), 0), 0))+(IFERROR(IF(21*INDEX('KZ-normalized'!$D:$D, MATCH($A198, 'KZ-normalized'!$A:$A, 0))-INDEX('KZ-normalized'!$E:$E, MATCH($A198, 'KZ-normalized'!$A:$A, 0))&gt;0, -(21*INDEX('KZ-normalized'!$D:$D, MATCH($A198, 'KZ-normalized'!$A:$A, 0))-INDEX('KZ-normalized'!$E:$E, MATCH($A198, 'KZ-normalized'!$A:$A, 0))), 0), 0))+(IFERROR(IF(21*INDEX('UZ-normalized'!$D:$D, MATCH($A198, 'UZ-normalized'!$A:$A, 0))-INDEX('UZ-normalized'!$E:$E, MATCH($A198, 'UZ-normalized'!$A:$A, 0))&gt;0, -(21*INDEX('UZ-normalized'!$D:$D, MATCH($A198, 'UZ-normalized'!$A:$A, 0))-INDEX('UZ-normalized'!$E:$E, MATCH($A198, 'UZ-normalized'!$A:$A, 0))), 0), 0)))</f>
        <v>-1.5999999999999996</v>
      </c>
      <c r="AJ198" s="6">
        <f>MIN(0, N198+(IFERROR(IF(22*INDEX('UA-normalized'!$D:$D, MATCH($A198, 'UA-normalized'!$A:$A, 0))-INDEX('UA-normalized'!$E:$E, MATCH($A198, 'UA-normalized'!$A:$A, 0))&gt;0, -(22*INDEX('UA-normalized'!$D:$D, MATCH($A198, 'UA-normalized'!$A:$A, 0))-INDEX('UA-normalized'!$E:$E, MATCH($A198, 'UA-normalized'!$A:$A, 0))), 0), 0))+(IFERROR(IF(22*INDEX('KZ-normalized'!$D:$D, MATCH($A198, 'KZ-normalized'!$A:$A, 0))-INDEX('KZ-normalized'!$E:$E, MATCH($A198, 'KZ-normalized'!$A:$A, 0))&gt;0, -(22*INDEX('KZ-normalized'!$D:$D, MATCH($A198, 'KZ-normalized'!$A:$A, 0))-INDEX('KZ-normalized'!$E:$E, MATCH($A198, 'KZ-normalized'!$A:$A, 0))), 0), 0))+(IFERROR(IF(22*INDEX('UZ-normalized'!$D:$D, MATCH($A198, 'UZ-normalized'!$A:$A, 0))-INDEX('UZ-normalized'!$E:$E, MATCH($A198, 'UZ-normalized'!$A:$A, 0))&gt;0, -(22*INDEX('UZ-normalized'!$D:$D, MATCH($A198, 'UZ-normalized'!$A:$A, 0))-INDEX('UZ-normalized'!$E:$E, MATCH($A198, 'UZ-normalized'!$A:$A, 0))), 0), 0)))</f>
        <v>-2.1999999999999993</v>
      </c>
      <c r="AK198" s="6">
        <f>MIN(0, N198+(IFERROR(IF(23*INDEX('UA-normalized'!$D:$D, MATCH($A198, 'UA-normalized'!$A:$A, 0))-INDEX('UA-normalized'!$E:$E, MATCH($A198, 'UA-normalized'!$A:$A, 0))&gt;0, -(23*INDEX('UA-normalized'!$D:$D, MATCH($A198, 'UA-normalized'!$A:$A, 0))-INDEX('UA-normalized'!$E:$E, MATCH($A198, 'UA-normalized'!$A:$A, 0))), 0), 0))+(IFERROR(IF(23*INDEX('KZ-normalized'!$D:$D, MATCH($A198, 'KZ-normalized'!$A:$A, 0))-INDEX('KZ-normalized'!$E:$E, MATCH($A198, 'KZ-normalized'!$A:$A, 0))&gt;0, -(23*INDEX('KZ-normalized'!$D:$D, MATCH($A198, 'KZ-normalized'!$A:$A, 0))-INDEX('KZ-normalized'!$E:$E, MATCH($A198, 'KZ-normalized'!$A:$A, 0))), 0), 0))+(IFERROR(IF(23*INDEX('UZ-normalized'!$D:$D, MATCH($A198, 'UZ-normalized'!$A:$A, 0))-INDEX('UZ-normalized'!$E:$E, MATCH($A198, 'UZ-normalized'!$A:$A, 0))&gt;0, -(23*INDEX('UZ-normalized'!$D:$D, MATCH($A198, 'UZ-normalized'!$A:$A, 0))-INDEX('UZ-normalized'!$E:$E, MATCH($A198, 'UZ-normalized'!$A:$A, 0))), 0), 0)))</f>
        <v>-2.7999999999999989</v>
      </c>
      <c r="AL198" s="6">
        <f>MIN(0, N198+(IFERROR(IF(24*INDEX('UA-normalized'!$D:$D, MATCH($A198, 'UA-normalized'!$A:$A, 0))-INDEX('UA-normalized'!$E:$E, MATCH($A198, 'UA-normalized'!$A:$A, 0))&gt;0, -(24*INDEX('UA-normalized'!$D:$D, MATCH($A198, 'UA-normalized'!$A:$A, 0))-INDEX('UA-normalized'!$E:$E, MATCH($A198, 'UA-normalized'!$A:$A, 0))), 0), 0))+(IFERROR(IF(24*INDEX('KZ-normalized'!$D:$D, MATCH($A198, 'KZ-normalized'!$A:$A, 0))-INDEX('KZ-normalized'!$E:$E, MATCH($A198, 'KZ-normalized'!$A:$A, 0))&gt;0, -(24*INDEX('KZ-normalized'!$D:$D, MATCH($A198, 'KZ-normalized'!$A:$A, 0))-INDEX('KZ-normalized'!$E:$E, MATCH($A198, 'KZ-normalized'!$A:$A, 0))), 0), 0))+(IFERROR(IF(24*INDEX('UZ-normalized'!$D:$D, MATCH($A198, 'UZ-normalized'!$A:$A, 0))-INDEX('UZ-normalized'!$E:$E, MATCH($A198, 'UZ-normalized'!$A:$A, 0))&gt;0, -(24*INDEX('UZ-normalized'!$D:$D, MATCH($A198, 'UZ-normalized'!$A:$A, 0))-INDEX('UZ-normalized'!$E:$E, MATCH($A198, 'UZ-normalized'!$A:$A, 0))), 0), 0)))</f>
        <v>-3.3999999999999986</v>
      </c>
      <c r="AM198" s="6">
        <f>MIN(0, N198+(IFERROR(IF(25*INDEX('UA-normalized'!$D:$D, MATCH($A198, 'UA-normalized'!$A:$A, 0))-INDEX('UA-normalized'!$E:$E, MATCH($A198, 'UA-normalized'!$A:$A, 0))&gt;0, -(25*INDEX('UA-normalized'!$D:$D, MATCH($A198, 'UA-normalized'!$A:$A, 0))-INDEX('UA-normalized'!$E:$E, MATCH($A198, 'UA-normalized'!$A:$A, 0))), 0), 0))+(IFERROR(IF(25*INDEX('KZ-normalized'!$D:$D, MATCH($A198, 'KZ-normalized'!$A:$A, 0))-INDEX('KZ-normalized'!$E:$E, MATCH($A198, 'KZ-normalized'!$A:$A, 0))&gt;0, -(25*INDEX('KZ-normalized'!$D:$D, MATCH($A198, 'KZ-normalized'!$A:$A, 0))-INDEX('KZ-normalized'!$E:$E, MATCH($A198, 'KZ-normalized'!$A:$A, 0))), 0), 0))+(IFERROR(IF(25*INDEX('UZ-normalized'!$D:$D, MATCH($A198, 'UZ-normalized'!$A:$A, 0))-INDEX('UZ-normalized'!$E:$E, MATCH($A198, 'UZ-normalized'!$A:$A, 0))&gt;0, -(25*INDEX('UZ-normalized'!$D:$D, MATCH($A198, 'UZ-normalized'!$A:$A, 0))-INDEX('UZ-normalized'!$E:$E, MATCH($A198, 'UZ-normalized'!$A:$A, 0))), 0), 0)))</f>
        <v>-4</v>
      </c>
      <c r="AN198" s="6">
        <f>MIN(0, N198+(IFERROR(IF(26*INDEX('UA-normalized'!$D:$D, MATCH($A198, 'UA-normalized'!$A:$A, 0))-INDEX('UA-normalized'!$E:$E, MATCH($A198, 'UA-normalized'!$A:$A, 0))&gt;0, -(26*INDEX('UA-normalized'!$D:$D, MATCH($A198, 'UA-normalized'!$A:$A, 0))-INDEX('UA-normalized'!$E:$E, MATCH($A198, 'UA-normalized'!$A:$A, 0))), 0), 0))+(IFERROR(IF(26*INDEX('KZ-normalized'!$D:$D, MATCH($A198, 'KZ-normalized'!$A:$A, 0))-INDEX('KZ-normalized'!$E:$E, MATCH($A198, 'KZ-normalized'!$A:$A, 0))&gt;0, -(26*INDEX('KZ-normalized'!$D:$D, MATCH($A198, 'KZ-normalized'!$A:$A, 0))-INDEX('KZ-normalized'!$E:$E, MATCH($A198, 'KZ-normalized'!$A:$A, 0))), 0), 0))+(IFERROR(IF(26*INDEX('UZ-normalized'!$D:$D, MATCH($A198, 'UZ-normalized'!$A:$A, 0))-INDEX('UZ-normalized'!$E:$E, MATCH($A198, 'UZ-normalized'!$A:$A, 0))&gt;0, -(26*INDEX('UZ-normalized'!$D:$D, MATCH($A198, 'UZ-normalized'!$A:$A, 0))-INDEX('UZ-normalized'!$E:$E, MATCH($A198, 'UZ-normalized'!$A:$A, 0))), 0), 0)))</f>
        <v>-4.5999999999999996</v>
      </c>
      <c r="AO198" s="6">
        <f>MIN(0, N198+(IFERROR(IF(27*INDEX('UA-normalized'!$D:$D, MATCH($A198, 'UA-normalized'!$A:$A, 0))-INDEX('UA-normalized'!$E:$E, MATCH($A198, 'UA-normalized'!$A:$A, 0))&gt;0, -(27*INDEX('UA-normalized'!$D:$D, MATCH($A198, 'UA-normalized'!$A:$A, 0))-INDEX('UA-normalized'!$E:$E, MATCH($A198, 'UA-normalized'!$A:$A, 0))), 0), 0))+(IFERROR(IF(27*INDEX('KZ-normalized'!$D:$D, MATCH($A198, 'KZ-normalized'!$A:$A, 0))-INDEX('KZ-normalized'!$E:$E, MATCH($A198, 'KZ-normalized'!$A:$A, 0))&gt;0, -(27*INDEX('KZ-normalized'!$D:$D, MATCH($A198, 'KZ-normalized'!$A:$A, 0))-INDEX('KZ-normalized'!$E:$E, MATCH($A198, 'KZ-normalized'!$A:$A, 0))), 0), 0))+(IFERROR(IF(27*INDEX('UZ-normalized'!$D:$D, MATCH($A198, 'UZ-normalized'!$A:$A, 0))-INDEX('UZ-normalized'!$E:$E, MATCH($A198, 'UZ-normalized'!$A:$A, 0))&gt;0, -(27*INDEX('UZ-normalized'!$D:$D, MATCH($A198, 'UZ-normalized'!$A:$A, 0))-INDEX('UZ-normalized'!$E:$E, MATCH($A198, 'UZ-normalized'!$A:$A, 0))), 0), 0)))</f>
        <v>-5.1999999999999993</v>
      </c>
      <c r="AP198" s="6">
        <f>MIN(0, N198+(IFERROR(IF(28*INDEX('UA-normalized'!$D:$D, MATCH($A198, 'UA-normalized'!$A:$A, 0))-INDEX('UA-normalized'!$E:$E, MATCH($A198, 'UA-normalized'!$A:$A, 0))&gt;0, -(28*INDEX('UA-normalized'!$D:$D, MATCH($A198, 'UA-normalized'!$A:$A, 0))-INDEX('UA-normalized'!$E:$E, MATCH($A198, 'UA-normalized'!$A:$A, 0))), 0), 0))+(IFERROR(IF(28*INDEX('KZ-normalized'!$D:$D, MATCH($A198, 'KZ-normalized'!$A:$A, 0))-INDEX('KZ-normalized'!$E:$E, MATCH($A198, 'KZ-normalized'!$A:$A, 0))&gt;0, -(28*INDEX('KZ-normalized'!$D:$D, MATCH($A198, 'KZ-normalized'!$A:$A, 0))-INDEX('KZ-normalized'!$E:$E, MATCH($A198, 'KZ-normalized'!$A:$A, 0))), 0), 0))+(IFERROR(IF(28*INDEX('UZ-normalized'!$D:$D, MATCH($A198, 'UZ-normalized'!$A:$A, 0))-INDEX('UZ-normalized'!$E:$E, MATCH($A198, 'UZ-normalized'!$A:$A, 0))&gt;0, -(28*INDEX('UZ-normalized'!$D:$D, MATCH($A198, 'UZ-normalized'!$A:$A, 0))-INDEX('UZ-normalized'!$E:$E, MATCH($A198, 'UZ-normalized'!$A:$A, 0))), 0), 0)))</f>
        <v>-5.8000000000000007</v>
      </c>
      <c r="AQ198" s="6">
        <f>MIN(0, N198+(IFERROR(IF(29*INDEX('UA-normalized'!$D:$D, MATCH($A198, 'UA-normalized'!$A:$A, 0))-INDEX('UA-normalized'!$E:$E, MATCH($A198, 'UA-normalized'!$A:$A, 0))&gt;0, -(29*INDEX('UA-normalized'!$D:$D, MATCH($A198, 'UA-normalized'!$A:$A, 0))-INDEX('UA-normalized'!$E:$E, MATCH($A198, 'UA-normalized'!$A:$A, 0))), 0), 0))+(IFERROR(IF(29*INDEX('KZ-normalized'!$D:$D, MATCH($A198, 'KZ-normalized'!$A:$A, 0))-INDEX('KZ-normalized'!$E:$E, MATCH($A198, 'KZ-normalized'!$A:$A, 0))&gt;0, -(29*INDEX('KZ-normalized'!$D:$D, MATCH($A198, 'KZ-normalized'!$A:$A, 0))-INDEX('KZ-normalized'!$E:$E, MATCH($A198, 'KZ-normalized'!$A:$A, 0))), 0), 0))+(IFERROR(IF(29*INDEX('UZ-normalized'!$D:$D, MATCH($A198, 'UZ-normalized'!$A:$A, 0))-INDEX('UZ-normalized'!$E:$E, MATCH($A198, 'UZ-normalized'!$A:$A, 0))&gt;0, -(29*INDEX('UZ-normalized'!$D:$D, MATCH($A198, 'UZ-normalized'!$A:$A, 0))-INDEX('UZ-normalized'!$E:$E, MATCH($A198, 'UZ-normalized'!$A:$A, 0))), 0), 0)))</f>
        <v>-6.3999999999999986</v>
      </c>
      <c r="AR198" s="6">
        <f>MIN(0, N198+(IFERROR(IF(30*INDEX('UA-normalized'!$D:$D, MATCH($A198, 'UA-normalized'!$A:$A, 0))-INDEX('UA-normalized'!$E:$E, MATCH($A198, 'UA-normalized'!$A:$A, 0))&gt;0, -(30*INDEX('UA-normalized'!$D:$D, MATCH($A198, 'UA-normalized'!$A:$A, 0))-INDEX('UA-normalized'!$E:$E, MATCH($A198, 'UA-normalized'!$A:$A, 0))), 0), 0))+(IFERROR(IF(30*INDEX('KZ-normalized'!$D:$D, MATCH($A198, 'KZ-normalized'!$A:$A, 0))-INDEX('KZ-normalized'!$E:$E, MATCH($A198, 'KZ-normalized'!$A:$A, 0))&gt;0, -(30*INDEX('KZ-normalized'!$D:$D, MATCH($A198, 'KZ-normalized'!$A:$A, 0))-INDEX('KZ-normalized'!$E:$E, MATCH($A198, 'KZ-normalized'!$A:$A, 0))), 0), 0))+(IFERROR(IF(30*INDEX('UZ-normalized'!$D:$D, MATCH($A198, 'UZ-normalized'!$A:$A, 0))-INDEX('UZ-normalized'!$E:$E, MATCH($A198, 'UZ-normalized'!$A:$A, 0))&gt;0, -(30*INDEX('UZ-normalized'!$D:$D, MATCH($A198, 'UZ-normalized'!$A:$A, 0))-INDEX('UZ-normalized'!$E:$E, MATCH($A198, 'UZ-normalized'!$A:$A, 0))), 0), 0)))</f>
        <v>-7</v>
      </c>
    </row>
    <row r="199" spans="1:44" x14ac:dyDescent="0.25">
      <c r="A199" s="8" t="s">
        <v>476</v>
      </c>
      <c r="B199" s="8" t="s">
        <v>460</v>
      </c>
      <c r="C199" s="8" t="s">
        <v>466</v>
      </c>
      <c r="D199" s="8" t="s">
        <v>477</v>
      </c>
      <c r="N199">
        <f t="shared" si="3"/>
        <v>0</v>
      </c>
      <c r="O199" s="6">
        <f>MIN(0, N199+(IFERROR(IF(1*INDEX('UA-normalized'!$D:$D, MATCH($A199, 'UA-normalized'!$A:$A, 0))-INDEX('UA-normalized'!$E:$E, MATCH($A199, 'UA-normalized'!$A:$A, 0))&gt;0, -(1*INDEX('UA-normalized'!$D:$D, MATCH($A199, 'UA-normalized'!$A:$A, 0))-INDEX('UA-normalized'!$E:$E, MATCH($A199, 'UA-normalized'!$A:$A, 0))), 0), 0))+(IFERROR(IF(1*INDEX('KZ-normalized'!$D:$D, MATCH($A199, 'KZ-normalized'!$A:$A, 0))-INDEX('KZ-normalized'!$E:$E, MATCH($A199, 'KZ-normalized'!$A:$A, 0))&gt;0, -(1*INDEX('KZ-normalized'!$D:$D, MATCH($A199, 'KZ-normalized'!$A:$A, 0))-INDEX('KZ-normalized'!$E:$E, MATCH($A199, 'KZ-normalized'!$A:$A, 0))), 0), 0))+(IFERROR(IF(1*INDEX('UZ-normalized'!$D:$D, MATCH($A199, 'UZ-normalized'!$A:$A, 0))-INDEX('UZ-normalized'!$E:$E, MATCH($A199, 'UZ-normalized'!$A:$A, 0))&gt;0, -(1*INDEX('UZ-normalized'!$D:$D, MATCH($A199, 'UZ-normalized'!$A:$A, 0))-INDEX('UZ-normalized'!$E:$E, MATCH($A199, 'UZ-normalized'!$A:$A, 0))), 0), 0)))</f>
        <v>0</v>
      </c>
      <c r="P199" s="6">
        <f>MIN(0, N199+(IFERROR(IF(2*INDEX('UA-normalized'!$D:$D, MATCH($A199, 'UA-normalized'!$A:$A, 0))-INDEX('UA-normalized'!$E:$E, MATCH($A199, 'UA-normalized'!$A:$A, 0))&gt;0, -(2*INDEX('UA-normalized'!$D:$D, MATCH($A199, 'UA-normalized'!$A:$A, 0))-INDEX('UA-normalized'!$E:$E, MATCH($A199, 'UA-normalized'!$A:$A, 0))), 0), 0))+(IFERROR(IF(2*INDEX('KZ-normalized'!$D:$D, MATCH($A199, 'KZ-normalized'!$A:$A, 0))-INDEX('KZ-normalized'!$E:$E, MATCH($A199, 'KZ-normalized'!$A:$A, 0))&gt;0, -(2*INDEX('KZ-normalized'!$D:$D, MATCH($A199, 'KZ-normalized'!$A:$A, 0))-INDEX('KZ-normalized'!$E:$E, MATCH($A199, 'KZ-normalized'!$A:$A, 0))), 0), 0))+(IFERROR(IF(2*INDEX('UZ-normalized'!$D:$D, MATCH($A199, 'UZ-normalized'!$A:$A, 0))-INDEX('UZ-normalized'!$E:$E, MATCH($A199, 'UZ-normalized'!$A:$A, 0))&gt;0, -(2*INDEX('UZ-normalized'!$D:$D, MATCH($A199, 'UZ-normalized'!$A:$A, 0))-INDEX('UZ-normalized'!$E:$E, MATCH($A199, 'UZ-normalized'!$A:$A, 0))), 0), 0)))</f>
        <v>0</v>
      </c>
      <c r="Q199" s="6">
        <f>MIN(0, N199+(IFERROR(IF(3*INDEX('UA-normalized'!$D:$D, MATCH($A199, 'UA-normalized'!$A:$A, 0))-INDEX('UA-normalized'!$E:$E, MATCH($A199, 'UA-normalized'!$A:$A, 0))&gt;0, -(3*INDEX('UA-normalized'!$D:$D, MATCH($A199, 'UA-normalized'!$A:$A, 0))-INDEX('UA-normalized'!$E:$E, MATCH($A199, 'UA-normalized'!$A:$A, 0))), 0), 0))+(IFERROR(IF(3*INDEX('KZ-normalized'!$D:$D, MATCH($A199, 'KZ-normalized'!$A:$A, 0))-INDEX('KZ-normalized'!$E:$E, MATCH($A199, 'KZ-normalized'!$A:$A, 0))&gt;0, -(3*INDEX('KZ-normalized'!$D:$D, MATCH($A199, 'KZ-normalized'!$A:$A, 0))-INDEX('KZ-normalized'!$E:$E, MATCH($A199, 'KZ-normalized'!$A:$A, 0))), 0), 0))+(IFERROR(IF(3*INDEX('UZ-normalized'!$D:$D, MATCH($A199, 'UZ-normalized'!$A:$A, 0))-INDEX('UZ-normalized'!$E:$E, MATCH($A199, 'UZ-normalized'!$A:$A, 0))&gt;0, -(3*INDEX('UZ-normalized'!$D:$D, MATCH($A199, 'UZ-normalized'!$A:$A, 0))-INDEX('UZ-normalized'!$E:$E, MATCH($A199, 'UZ-normalized'!$A:$A, 0))), 0), 0)))</f>
        <v>0</v>
      </c>
      <c r="R199" s="6">
        <f>MIN(0, N199+(IFERROR(IF(4*INDEX('UA-normalized'!$D:$D, MATCH($A199, 'UA-normalized'!$A:$A, 0))-INDEX('UA-normalized'!$E:$E, MATCH($A199, 'UA-normalized'!$A:$A, 0))&gt;0, -(4*INDEX('UA-normalized'!$D:$D, MATCH($A199, 'UA-normalized'!$A:$A, 0))-INDEX('UA-normalized'!$E:$E, MATCH($A199, 'UA-normalized'!$A:$A, 0))), 0), 0))+(IFERROR(IF(4*INDEX('KZ-normalized'!$D:$D, MATCH($A199, 'KZ-normalized'!$A:$A, 0))-INDEX('KZ-normalized'!$E:$E, MATCH($A199, 'KZ-normalized'!$A:$A, 0))&gt;0, -(4*INDEX('KZ-normalized'!$D:$D, MATCH($A199, 'KZ-normalized'!$A:$A, 0))-INDEX('KZ-normalized'!$E:$E, MATCH($A199, 'KZ-normalized'!$A:$A, 0))), 0), 0))+(IFERROR(IF(4*INDEX('UZ-normalized'!$D:$D, MATCH($A199, 'UZ-normalized'!$A:$A, 0))-INDEX('UZ-normalized'!$E:$E, MATCH($A199, 'UZ-normalized'!$A:$A, 0))&gt;0, -(4*INDEX('UZ-normalized'!$D:$D, MATCH($A199, 'UZ-normalized'!$A:$A, 0))-INDEX('UZ-normalized'!$E:$E, MATCH($A199, 'UZ-normalized'!$A:$A, 0))), 0), 0)))</f>
        <v>0</v>
      </c>
      <c r="S199" s="6">
        <f>MIN(0, N199+(IFERROR(IF(5*INDEX('UA-normalized'!$D:$D, MATCH($A199, 'UA-normalized'!$A:$A, 0))-INDEX('UA-normalized'!$E:$E, MATCH($A199, 'UA-normalized'!$A:$A, 0))&gt;0, -(5*INDEX('UA-normalized'!$D:$D, MATCH($A199, 'UA-normalized'!$A:$A, 0))-INDEX('UA-normalized'!$E:$E, MATCH($A199, 'UA-normalized'!$A:$A, 0))), 0), 0))+(IFERROR(IF(5*INDEX('KZ-normalized'!$D:$D, MATCH($A199, 'KZ-normalized'!$A:$A, 0))-INDEX('KZ-normalized'!$E:$E, MATCH($A199, 'KZ-normalized'!$A:$A, 0))&gt;0, -(5*INDEX('KZ-normalized'!$D:$D, MATCH($A199, 'KZ-normalized'!$A:$A, 0))-INDEX('KZ-normalized'!$E:$E, MATCH($A199, 'KZ-normalized'!$A:$A, 0))), 0), 0))+(IFERROR(IF(5*INDEX('UZ-normalized'!$D:$D, MATCH($A199, 'UZ-normalized'!$A:$A, 0))-INDEX('UZ-normalized'!$E:$E, MATCH($A199, 'UZ-normalized'!$A:$A, 0))&gt;0, -(5*INDEX('UZ-normalized'!$D:$D, MATCH($A199, 'UZ-normalized'!$A:$A, 0))-INDEX('UZ-normalized'!$E:$E, MATCH($A199, 'UZ-normalized'!$A:$A, 0))), 0), 0)))</f>
        <v>0</v>
      </c>
      <c r="T199" s="6">
        <f>MIN(0, N199+(IFERROR(IF(6*INDEX('UA-normalized'!$D:$D, MATCH($A199, 'UA-normalized'!$A:$A, 0))-INDEX('UA-normalized'!$E:$E, MATCH($A199, 'UA-normalized'!$A:$A, 0))&gt;0, -(6*INDEX('UA-normalized'!$D:$D, MATCH($A199, 'UA-normalized'!$A:$A, 0))-INDEX('UA-normalized'!$E:$E, MATCH($A199, 'UA-normalized'!$A:$A, 0))), 0), 0))+(IFERROR(IF(6*INDEX('KZ-normalized'!$D:$D, MATCH($A199, 'KZ-normalized'!$A:$A, 0))-INDEX('KZ-normalized'!$E:$E, MATCH($A199, 'KZ-normalized'!$A:$A, 0))&gt;0, -(6*INDEX('KZ-normalized'!$D:$D, MATCH($A199, 'KZ-normalized'!$A:$A, 0))-INDEX('KZ-normalized'!$E:$E, MATCH($A199, 'KZ-normalized'!$A:$A, 0))), 0), 0))+(IFERROR(IF(6*INDEX('UZ-normalized'!$D:$D, MATCH($A199, 'UZ-normalized'!$A:$A, 0))-INDEX('UZ-normalized'!$E:$E, MATCH($A199, 'UZ-normalized'!$A:$A, 0))&gt;0, -(6*INDEX('UZ-normalized'!$D:$D, MATCH($A199, 'UZ-normalized'!$A:$A, 0))-INDEX('UZ-normalized'!$E:$E, MATCH($A199, 'UZ-normalized'!$A:$A, 0))), 0), 0)))</f>
        <v>0</v>
      </c>
      <c r="U199" s="6">
        <f>MIN(0, N199+(IFERROR(IF(7*INDEX('UA-normalized'!$D:$D, MATCH($A199, 'UA-normalized'!$A:$A, 0))-INDEX('UA-normalized'!$E:$E, MATCH($A199, 'UA-normalized'!$A:$A, 0))&gt;0, -(7*INDEX('UA-normalized'!$D:$D, MATCH($A199, 'UA-normalized'!$A:$A, 0))-INDEX('UA-normalized'!$E:$E, MATCH($A199, 'UA-normalized'!$A:$A, 0))), 0), 0))+(IFERROR(IF(7*INDEX('KZ-normalized'!$D:$D, MATCH($A199, 'KZ-normalized'!$A:$A, 0))-INDEX('KZ-normalized'!$E:$E, MATCH($A199, 'KZ-normalized'!$A:$A, 0))&gt;0, -(7*INDEX('KZ-normalized'!$D:$D, MATCH($A199, 'KZ-normalized'!$A:$A, 0))-INDEX('KZ-normalized'!$E:$E, MATCH($A199, 'KZ-normalized'!$A:$A, 0))), 0), 0))+(IFERROR(IF(7*INDEX('UZ-normalized'!$D:$D, MATCH($A199, 'UZ-normalized'!$A:$A, 0))-INDEX('UZ-normalized'!$E:$E, MATCH($A199, 'UZ-normalized'!$A:$A, 0))&gt;0, -(7*INDEX('UZ-normalized'!$D:$D, MATCH($A199, 'UZ-normalized'!$A:$A, 0))-INDEX('UZ-normalized'!$E:$E, MATCH($A199, 'UZ-normalized'!$A:$A, 0))), 0), 0)))</f>
        <v>0</v>
      </c>
      <c r="V199" s="6">
        <f>MIN(0, N199+(IFERROR(IF(8*INDEX('UA-normalized'!$D:$D, MATCH($A199, 'UA-normalized'!$A:$A, 0))-INDEX('UA-normalized'!$E:$E, MATCH($A199, 'UA-normalized'!$A:$A, 0))&gt;0, -(8*INDEX('UA-normalized'!$D:$D, MATCH($A199, 'UA-normalized'!$A:$A, 0))-INDEX('UA-normalized'!$E:$E, MATCH($A199, 'UA-normalized'!$A:$A, 0))), 0), 0))+(IFERROR(IF(8*INDEX('KZ-normalized'!$D:$D, MATCH($A199, 'KZ-normalized'!$A:$A, 0))-INDEX('KZ-normalized'!$E:$E, MATCH($A199, 'KZ-normalized'!$A:$A, 0))&gt;0, -(8*INDEX('KZ-normalized'!$D:$D, MATCH($A199, 'KZ-normalized'!$A:$A, 0))-INDEX('KZ-normalized'!$E:$E, MATCH($A199, 'KZ-normalized'!$A:$A, 0))), 0), 0))+(IFERROR(IF(8*INDEX('UZ-normalized'!$D:$D, MATCH($A199, 'UZ-normalized'!$A:$A, 0))-INDEX('UZ-normalized'!$E:$E, MATCH($A199, 'UZ-normalized'!$A:$A, 0))&gt;0, -(8*INDEX('UZ-normalized'!$D:$D, MATCH($A199, 'UZ-normalized'!$A:$A, 0))-INDEX('UZ-normalized'!$E:$E, MATCH($A199, 'UZ-normalized'!$A:$A, 0))), 0), 0)))</f>
        <v>0</v>
      </c>
      <c r="W199" s="6">
        <f>MIN(0, N199+(IFERROR(IF(9*INDEX('UA-normalized'!$D:$D, MATCH($A199, 'UA-normalized'!$A:$A, 0))-INDEX('UA-normalized'!$E:$E, MATCH($A199, 'UA-normalized'!$A:$A, 0))&gt;0, -(9*INDEX('UA-normalized'!$D:$D, MATCH($A199, 'UA-normalized'!$A:$A, 0))-INDEX('UA-normalized'!$E:$E, MATCH($A199, 'UA-normalized'!$A:$A, 0))), 0), 0))+(IFERROR(IF(9*INDEX('KZ-normalized'!$D:$D, MATCH($A199, 'KZ-normalized'!$A:$A, 0))-INDEX('KZ-normalized'!$E:$E, MATCH($A199, 'KZ-normalized'!$A:$A, 0))&gt;0, -(9*INDEX('KZ-normalized'!$D:$D, MATCH($A199, 'KZ-normalized'!$A:$A, 0))-INDEX('KZ-normalized'!$E:$E, MATCH($A199, 'KZ-normalized'!$A:$A, 0))), 0), 0))+(IFERROR(IF(9*INDEX('UZ-normalized'!$D:$D, MATCH($A199, 'UZ-normalized'!$A:$A, 0))-INDEX('UZ-normalized'!$E:$E, MATCH($A199, 'UZ-normalized'!$A:$A, 0))&gt;0, -(9*INDEX('UZ-normalized'!$D:$D, MATCH($A199, 'UZ-normalized'!$A:$A, 0))-INDEX('UZ-normalized'!$E:$E, MATCH($A199, 'UZ-normalized'!$A:$A, 0))), 0), 0)))</f>
        <v>0</v>
      </c>
      <c r="X199" s="6">
        <f>MIN(0, N199+(IFERROR(IF(10*INDEX('UA-normalized'!$D:$D, MATCH($A199, 'UA-normalized'!$A:$A, 0))-INDEX('UA-normalized'!$E:$E, MATCH($A199, 'UA-normalized'!$A:$A, 0))&gt;0, -(10*INDEX('UA-normalized'!$D:$D, MATCH($A199, 'UA-normalized'!$A:$A, 0))-INDEX('UA-normalized'!$E:$E, MATCH($A199, 'UA-normalized'!$A:$A, 0))), 0), 0))+(IFERROR(IF(10*INDEX('KZ-normalized'!$D:$D, MATCH($A199, 'KZ-normalized'!$A:$A, 0))-INDEX('KZ-normalized'!$E:$E, MATCH($A199, 'KZ-normalized'!$A:$A, 0))&gt;0, -(10*INDEX('KZ-normalized'!$D:$D, MATCH($A199, 'KZ-normalized'!$A:$A, 0))-INDEX('KZ-normalized'!$E:$E, MATCH($A199, 'KZ-normalized'!$A:$A, 0))), 0), 0))+(IFERROR(IF(10*INDEX('UZ-normalized'!$D:$D, MATCH($A199, 'UZ-normalized'!$A:$A, 0))-INDEX('UZ-normalized'!$E:$E, MATCH($A199, 'UZ-normalized'!$A:$A, 0))&gt;0, -(10*INDEX('UZ-normalized'!$D:$D, MATCH($A199, 'UZ-normalized'!$A:$A, 0))-INDEX('UZ-normalized'!$E:$E, MATCH($A199, 'UZ-normalized'!$A:$A, 0))), 0), 0)))</f>
        <v>0</v>
      </c>
      <c r="Y199" s="6">
        <f>MIN(0, N199+(IFERROR(IF(11*INDEX('UA-normalized'!$D:$D, MATCH($A199, 'UA-normalized'!$A:$A, 0))-INDEX('UA-normalized'!$E:$E, MATCH($A199, 'UA-normalized'!$A:$A, 0))&gt;0, -(11*INDEX('UA-normalized'!$D:$D, MATCH($A199, 'UA-normalized'!$A:$A, 0))-INDEX('UA-normalized'!$E:$E, MATCH($A199, 'UA-normalized'!$A:$A, 0))), 0), 0))+(IFERROR(IF(11*INDEX('KZ-normalized'!$D:$D, MATCH($A199, 'KZ-normalized'!$A:$A, 0))-INDEX('KZ-normalized'!$E:$E, MATCH($A199, 'KZ-normalized'!$A:$A, 0))&gt;0, -(11*INDEX('KZ-normalized'!$D:$D, MATCH($A199, 'KZ-normalized'!$A:$A, 0))-INDEX('KZ-normalized'!$E:$E, MATCH($A199, 'KZ-normalized'!$A:$A, 0))), 0), 0))+(IFERROR(IF(11*INDEX('UZ-normalized'!$D:$D, MATCH($A199, 'UZ-normalized'!$A:$A, 0))-INDEX('UZ-normalized'!$E:$E, MATCH($A199, 'UZ-normalized'!$A:$A, 0))&gt;0, -(11*INDEX('UZ-normalized'!$D:$D, MATCH($A199, 'UZ-normalized'!$A:$A, 0))-INDEX('UZ-normalized'!$E:$E, MATCH($A199, 'UZ-normalized'!$A:$A, 0))), 0), 0)))</f>
        <v>0</v>
      </c>
      <c r="Z199" s="6">
        <f>MIN(0, N199+(IFERROR(IF(12*INDEX('UA-normalized'!$D:$D, MATCH($A199, 'UA-normalized'!$A:$A, 0))-INDEX('UA-normalized'!$E:$E, MATCH($A199, 'UA-normalized'!$A:$A, 0))&gt;0, -(12*INDEX('UA-normalized'!$D:$D, MATCH($A199, 'UA-normalized'!$A:$A, 0))-INDEX('UA-normalized'!$E:$E, MATCH($A199, 'UA-normalized'!$A:$A, 0))), 0), 0))+(IFERROR(IF(12*INDEX('KZ-normalized'!$D:$D, MATCH($A199, 'KZ-normalized'!$A:$A, 0))-INDEX('KZ-normalized'!$E:$E, MATCH($A199, 'KZ-normalized'!$A:$A, 0))&gt;0, -(12*INDEX('KZ-normalized'!$D:$D, MATCH($A199, 'KZ-normalized'!$A:$A, 0))-INDEX('KZ-normalized'!$E:$E, MATCH($A199, 'KZ-normalized'!$A:$A, 0))), 0), 0))+(IFERROR(IF(12*INDEX('UZ-normalized'!$D:$D, MATCH($A199, 'UZ-normalized'!$A:$A, 0))-INDEX('UZ-normalized'!$E:$E, MATCH($A199, 'UZ-normalized'!$A:$A, 0))&gt;0, -(12*INDEX('UZ-normalized'!$D:$D, MATCH($A199, 'UZ-normalized'!$A:$A, 0))-INDEX('UZ-normalized'!$E:$E, MATCH($A199, 'UZ-normalized'!$A:$A, 0))), 0), 0)))</f>
        <v>0</v>
      </c>
      <c r="AA199" s="6">
        <f>MIN(0, N199+(IFERROR(IF(13*INDEX('UA-normalized'!$D:$D, MATCH($A199, 'UA-normalized'!$A:$A, 0))-INDEX('UA-normalized'!$E:$E, MATCH($A199, 'UA-normalized'!$A:$A, 0))&gt;0, -(13*INDEX('UA-normalized'!$D:$D, MATCH($A199, 'UA-normalized'!$A:$A, 0))-INDEX('UA-normalized'!$E:$E, MATCH($A199, 'UA-normalized'!$A:$A, 0))), 0), 0))+(IFERROR(IF(13*INDEX('KZ-normalized'!$D:$D, MATCH($A199, 'KZ-normalized'!$A:$A, 0))-INDEX('KZ-normalized'!$E:$E, MATCH($A199, 'KZ-normalized'!$A:$A, 0))&gt;0, -(13*INDEX('KZ-normalized'!$D:$D, MATCH($A199, 'KZ-normalized'!$A:$A, 0))-INDEX('KZ-normalized'!$E:$E, MATCH($A199, 'KZ-normalized'!$A:$A, 0))), 0), 0))+(IFERROR(IF(13*INDEX('UZ-normalized'!$D:$D, MATCH($A199, 'UZ-normalized'!$A:$A, 0))-INDEX('UZ-normalized'!$E:$E, MATCH($A199, 'UZ-normalized'!$A:$A, 0))&gt;0, -(13*INDEX('UZ-normalized'!$D:$D, MATCH($A199, 'UZ-normalized'!$A:$A, 0))-INDEX('UZ-normalized'!$E:$E, MATCH($A199, 'UZ-normalized'!$A:$A, 0))), 0), 0)))</f>
        <v>0</v>
      </c>
      <c r="AB199" s="6">
        <f>MIN(0, N199+(IFERROR(IF(14*INDEX('UA-normalized'!$D:$D, MATCH($A199, 'UA-normalized'!$A:$A, 0))-INDEX('UA-normalized'!$E:$E, MATCH($A199, 'UA-normalized'!$A:$A, 0))&gt;0, -(14*INDEX('UA-normalized'!$D:$D, MATCH($A199, 'UA-normalized'!$A:$A, 0))-INDEX('UA-normalized'!$E:$E, MATCH($A199, 'UA-normalized'!$A:$A, 0))), 0), 0))+(IFERROR(IF(14*INDEX('KZ-normalized'!$D:$D, MATCH($A199, 'KZ-normalized'!$A:$A, 0))-INDEX('KZ-normalized'!$E:$E, MATCH($A199, 'KZ-normalized'!$A:$A, 0))&gt;0, -(14*INDEX('KZ-normalized'!$D:$D, MATCH($A199, 'KZ-normalized'!$A:$A, 0))-INDEX('KZ-normalized'!$E:$E, MATCH($A199, 'KZ-normalized'!$A:$A, 0))), 0), 0))+(IFERROR(IF(14*INDEX('UZ-normalized'!$D:$D, MATCH($A199, 'UZ-normalized'!$A:$A, 0))-INDEX('UZ-normalized'!$E:$E, MATCH($A199, 'UZ-normalized'!$A:$A, 0))&gt;0, -(14*INDEX('UZ-normalized'!$D:$D, MATCH($A199, 'UZ-normalized'!$A:$A, 0))-INDEX('UZ-normalized'!$E:$E, MATCH($A199, 'UZ-normalized'!$A:$A, 0))), 0), 0)))</f>
        <v>0</v>
      </c>
      <c r="AC199" s="6">
        <f>MIN(0, N199+(IFERROR(IF(15*INDEX('UA-normalized'!$D:$D, MATCH($A199, 'UA-normalized'!$A:$A, 0))-INDEX('UA-normalized'!$E:$E, MATCH($A199, 'UA-normalized'!$A:$A, 0))&gt;0, -(15*INDEX('UA-normalized'!$D:$D, MATCH($A199, 'UA-normalized'!$A:$A, 0))-INDEX('UA-normalized'!$E:$E, MATCH($A199, 'UA-normalized'!$A:$A, 0))), 0), 0))+(IFERROR(IF(15*INDEX('KZ-normalized'!$D:$D, MATCH($A199, 'KZ-normalized'!$A:$A, 0))-INDEX('KZ-normalized'!$E:$E, MATCH($A199, 'KZ-normalized'!$A:$A, 0))&gt;0, -(15*INDEX('KZ-normalized'!$D:$D, MATCH($A199, 'KZ-normalized'!$A:$A, 0))-INDEX('KZ-normalized'!$E:$E, MATCH($A199, 'KZ-normalized'!$A:$A, 0))), 0), 0))+(IFERROR(IF(15*INDEX('UZ-normalized'!$D:$D, MATCH($A199, 'UZ-normalized'!$A:$A, 0))-INDEX('UZ-normalized'!$E:$E, MATCH($A199, 'UZ-normalized'!$A:$A, 0))&gt;0, -(15*INDEX('UZ-normalized'!$D:$D, MATCH($A199, 'UZ-normalized'!$A:$A, 0))-INDEX('UZ-normalized'!$E:$E, MATCH($A199, 'UZ-normalized'!$A:$A, 0))), 0), 0)))</f>
        <v>0</v>
      </c>
      <c r="AD199" s="6">
        <f>MIN(0, N199+(IFERROR(IF(16*INDEX('UA-normalized'!$D:$D, MATCH($A199, 'UA-normalized'!$A:$A, 0))-INDEX('UA-normalized'!$E:$E, MATCH($A199, 'UA-normalized'!$A:$A, 0))&gt;0, -(16*INDEX('UA-normalized'!$D:$D, MATCH($A199, 'UA-normalized'!$A:$A, 0))-INDEX('UA-normalized'!$E:$E, MATCH($A199, 'UA-normalized'!$A:$A, 0))), 0), 0))+(IFERROR(IF(16*INDEX('KZ-normalized'!$D:$D, MATCH($A199, 'KZ-normalized'!$A:$A, 0))-INDEX('KZ-normalized'!$E:$E, MATCH($A199, 'KZ-normalized'!$A:$A, 0))&gt;0, -(16*INDEX('KZ-normalized'!$D:$D, MATCH($A199, 'KZ-normalized'!$A:$A, 0))-INDEX('KZ-normalized'!$E:$E, MATCH($A199, 'KZ-normalized'!$A:$A, 0))), 0), 0))+(IFERROR(IF(16*INDEX('UZ-normalized'!$D:$D, MATCH($A199, 'UZ-normalized'!$A:$A, 0))-INDEX('UZ-normalized'!$E:$E, MATCH($A199, 'UZ-normalized'!$A:$A, 0))&gt;0, -(16*INDEX('UZ-normalized'!$D:$D, MATCH($A199, 'UZ-normalized'!$A:$A, 0))-INDEX('UZ-normalized'!$E:$E, MATCH($A199, 'UZ-normalized'!$A:$A, 0))), 0), 0)))</f>
        <v>0</v>
      </c>
      <c r="AE199" s="6">
        <f>MIN(0, N199+(IFERROR(IF(17*INDEX('UA-normalized'!$D:$D, MATCH($A199, 'UA-normalized'!$A:$A, 0))-INDEX('UA-normalized'!$E:$E, MATCH($A199, 'UA-normalized'!$A:$A, 0))&gt;0, -(17*INDEX('UA-normalized'!$D:$D, MATCH($A199, 'UA-normalized'!$A:$A, 0))-INDEX('UA-normalized'!$E:$E, MATCH($A199, 'UA-normalized'!$A:$A, 0))), 0), 0))+(IFERROR(IF(17*INDEX('KZ-normalized'!$D:$D, MATCH($A199, 'KZ-normalized'!$A:$A, 0))-INDEX('KZ-normalized'!$E:$E, MATCH($A199, 'KZ-normalized'!$A:$A, 0))&gt;0, -(17*INDEX('KZ-normalized'!$D:$D, MATCH($A199, 'KZ-normalized'!$A:$A, 0))-INDEX('KZ-normalized'!$E:$E, MATCH($A199, 'KZ-normalized'!$A:$A, 0))), 0), 0))+(IFERROR(IF(17*INDEX('UZ-normalized'!$D:$D, MATCH($A199, 'UZ-normalized'!$A:$A, 0))-INDEX('UZ-normalized'!$E:$E, MATCH($A199, 'UZ-normalized'!$A:$A, 0))&gt;0, -(17*INDEX('UZ-normalized'!$D:$D, MATCH($A199, 'UZ-normalized'!$A:$A, 0))-INDEX('UZ-normalized'!$E:$E, MATCH($A199, 'UZ-normalized'!$A:$A, 0))), 0), 0)))</f>
        <v>0</v>
      </c>
      <c r="AF199" s="6">
        <f>MIN(0, N199+(IFERROR(IF(18*INDEX('UA-normalized'!$D:$D, MATCH($A199, 'UA-normalized'!$A:$A, 0))-INDEX('UA-normalized'!$E:$E, MATCH($A199, 'UA-normalized'!$A:$A, 0))&gt;0, -(18*INDEX('UA-normalized'!$D:$D, MATCH($A199, 'UA-normalized'!$A:$A, 0))-INDEX('UA-normalized'!$E:$E, MATCH($A199, 'UA-normalized'!$A:$A, 0))), 0), 0))+(IFERROR(IF(18*INDEX('KZ-normalized'!$D:$D, MATCH($A199, 'KZ-normalized'!$A:$A, 0))-INDEX('KZ-normalized'!$E:$E, MATCH($A199, 'KZ-normalized'!$A:$A, 0))&gt;0, -(18*INDEX('KZ-normalized'!$D:$D, MATCH($A199, 'KZ-normalized'!$A:$A, 0))-INDEX('KZ-normalized'!$E:$E, MATCH($A199, 'KZ-normalized'!$A:$A, 0))), 0), 0))+(IFERROR(IF(18*INDEX('UZ-normalized'!$D:$D, MATCH($A199, 'UZ-normalized'!$A:$A, 0))-INDEX('UZ-normalized'!$E:$E, MATCH($A199, 'UZ-normalized'!$A:$A, 0))&gt;0, -(18*INDEX('UZ-normalized'!$D:$D, MATCH($A199, 'UZ-normalized'!$A:$A, 0))-INDEX('UZ-normalized'!$E:$E, MATCH($A199, 'UZ-normalized'!$A:$A, 0))), 0), 0)))</f>
        <v>0</v>
      </c>
      <c r="AG199" s="6">
        <f>MIN(0, N199+(IFERROR(IF(19*INDEX('UA-normalized'!$D:$D, MATCH($A199, 'UA-normalized'!$A:$A, 0))-INDEX('UA-normalized'!$E:$E, MATCH($A199, 'UA-normalized'!$A:$A, 0))&gt;0, -(19*INDEX('UA-normalized'!$D:$D, MATCH($A199, 'UA-normalized'!$A:$A, 0))-INDEX('UA-normalized'!$E:$E, MATCH($A199, 'UA-normalized'!$A:$A, 0))), 0), 0))+(IFERROR(IF(19*INDEX('KZ-normalized'!$D:$D, MATCH($A199, 'KZ-normalized'!$A:$A, 0))-INDEX('KZ-normalized'!$E:$E, MATCH($A199, 'KZ-normalized'!$A:$A, 0))&gt;0, -(19*INDEX('KZ-normalized'!$D:$D, MATCH($A199, 'KZ-normalized'!$A:$A, 0))-INDEX('KZ-normalized'!$E:$E, MATCH($A199, 'KZ-normalized'!$A:$A, 0))), 0), 0))+(IFERROR(IF(19*INDEX('UZ-normalized'!$D:$D, MATCH($A199, 'UZ-normalized'!$A:$A, 0))-INDEX('UZ-normalized'!$E:$E, MATCH($A199, 'UZ-normalized'!$A:$A, 0))&gt;0, -(19*INDEX('UZ-normalized'!$D:$D, MATCH($A199, 'UZ-normalized'!$A:$A, 0))-INDEX('UZ-normalized'!$E:$E, MATCH($A199, 'UZ-normalized'!$A:$A, 0))), 0), 0)))</f>
        <v>0</v>
      </c>
      <c r="AH199" s="6">
        <f>MIN(0, N199+(IFERROR(IF(20*INDEX('UA-normalized'!$D:$D, MATCH($A199, 'UA-normalized'!$A:$A, 0))-INDEX('UA-normalized'!$E:$E, MATCH($A199, 'UA-normalized'!$A:$A, 0))&gt;0, -(20*INDEX('UA-normalized'!$D:$D, MATCH($A199, 'UA-normalized'!$A:$A, 0))-INDEX('UA-normalized'!$E:$E, MATCH($A199, 'UA-normalized'!$A:$A, 0))), 0), 0))+(IFERROR(IF(20*INDEX('KZ-normalized'!$D:$D, MATCH($A199, 'KZ-normalized'!$A:$A, 0))-INDEX('KZ-normalized'!$E:$E, MATCH($A199, 'KZ-normalized'!$A:$A, 0))&gt;0, -(20*INDEX('KZ-normalized'!$D:$D, MATCH($A199, 'KZ-normalized'!$A:$A, 0))-INDEX('KZ-normalized'!$E:$E, MATCH($A199, 'KZ-normalized'!$A:$A, 0))), 0), 0))+(IFERROR(IF(20*INDEX('UZ-normalized'!$D:$D, MATCH($A199, 'UZ-normalized'!$A:$A, 0))-INDEX('UZ-normalized'!$E:$E, MATCH($A199, 'UZ-normalized'!$A:$A, 0))&gt;0, -(20*INDEX('UZ-normalized'!$D:$D, MATCH($A199, 'UZ-normalized'!$A:$A, 0))-INDEX('UZ-normalized'!$E:$E, MATCH($A199, 'UZ-normalized'!$A:$A, 0))), 0), 0)))</f>
        <v>0</v>
      </c>
      <c r="AI199" s="6">
        <f>MIN(0, N199+(IFERROR(IF(21*INDEX('UA-normalized'!$D:$D, MATCH($A199, 'UA-normalized'!$A:$A, 0))-INDEX('UA-normalized'!$E:$E, MATCH($A199, 'UA-normalized'!$A:$A, 0))&gt;0, -(21*INDEX('UA-normalized'!$D:$D, MATCH($A199, 'UA-normalized'!$A:$A, 0))-INDEX('UA-normalized'!$E:$E, MATCH($A199, 'UA-normalized'!$A:$A, 0))), 0), 0))+(IFERROR(IF(21*INDEX('KZ-normalized'!$D:$D, MATCH($A199, 'KZ-normalized'!$A:$A, 0))-INDEX('KZ-normalized'!$E:$E, MATCH($A199, 'KZ-normalized'!$A:$A, 0))&gt;0, -(21*INDEX('KZ-normalized'!$D:$D, MATCH($A199, 'KZ-normalized'!$A:$A, 0))-INDEX('KZ-normalized'!$E:$E, MATCH($A199, 'KZ-normalized'!$A:$A, 0))), 0), 0))+(IFERROR(IF(21*INDEX('UZ-normalized'!$D:$D, MATCH($A199, 'UZ-normalized'!$A:$A, 0))-INDEX('UZ-normalized'!$E:$E, MATCH($A199, 'UZ-normalized'!$A:$A, 0))&gt;0, -(21*INDEX('UZ-normalized'!$D:$D, MATCH($A199, 'UZ-normalized'!$A:$A, 0))-INDEX('UZ-normalized'!$E:$E, MATCH($A199, 'UZ-normalized'!$A:$A, 0))), 0), 0)))</f>
        <v>0</v>
      </c>
      <c r="AJ199" s="6">
        <f>MIN(0, N199+(IFERROR(IF(22*INDEX('UA-normalized'!$D:$D, MATCH($A199, 'UA-normalized'!$A:$A, 0))-INDEX('UA-normalized'!$E:$E, MATCH($A199, 'UA-normalized'!$A:$A, 0))&gt;0, -(22*INDEX('UA-normalized'!$D:$D, MATCH($A199, 'UA-normalized'!$A:$A, 0))-INDEX('UA-normalized'!$E:$E, MATCH($A199, 'UA-normalized'!$A:$A, 0))), 0), 0))+(IFERROR(IF(22*INDEX('KZ-normalized'!$D:$D, MATCH($A199, 'KZ-normalized'!$A:$A, 0))-INDEX('KZ-normalized'!$E:$E, MATCH($A199, 'KZ-normalized'!$A:$A, 0))&gt;0, -(22*INDEX('KZ-normalized'!$D:$D, MATCH($A199, 'KZ-normalized'!$A:$A, 0))-INDEX('KZ-normalized'!$E:$E, MATCH($A199, 'KZ-normalized'!$A:$A, 0))), 0), 0))+(IFERROR(IF(22*INDEX('UZ-normalized'!$D:$D, MATCH($A199, 'UZ-normalized'!$A:$A, 0))-INDEX('UZ-normalized'!$E:$E, MATCH($A199, 'UZ-normalized'!$A:$A, 0))&gt;0, -(22*INDEX('UZ-normalized'!$D:$D, MATCH($A199, 'UZ-normalized'!$A:$A, 0))-INDEX('UZ-normalized'!$E:$E, MATCH($A199, 'UZ-normalized'!$A:$A, 0))), 0), 0)))</f>
        <v>0</v>
      </c>
      <c r="AK199" s="6">
        <f>MIN(0, N199+(IFERROR(IF(23*INDEX('UA-normalized'!$D:$D, MATCH($A199, 'UA-normalized'!$A:$A, 0))-INDEX('UA-normalized'!$E:$E, MATCH($A199, 'UA-normalized'!$A:$A, 0))&gt;0, -(23*INDEX('UA-normalized'!$D:$D, MATCH($A199, 'UA-normalized'!$A:$A, 0))-INDEX('UA-normalized'!$E:$E, MATCH($A199, 'UA-normalized'!$A:$A, 0))), 0), 0))+(IFERROR(IF(23*INDEX('KZ-normalized'!$D:$D, MATCH($A199, 'KZ-normalized'!$A:$A, 0))-INDEX('KZ-normalized'!$E:$E, MATCH($A199, 'KZ-normalized'!$A:$A, 0))&gt;0, -(23*INDEX('KZ-normalized'!$D:$D, MATCH($A199, 'KZ-normalized'!$A:$A, 0))-INDEX('KZ-normalized'!$E:$E, MATCH($A199, 'KZ-normalized'!$A:$A, 0))), 0), 0))+(IFERROR(IF(23*INDEX('UZ-normalized'!$D:$D, MATCH($A199, 'UZ-normalized'!$A:$A, 0))-INDEX('UZ-normalized'!$E:$E, MATCH($A199, 'UZ-normalized'!$A:$A, 0))&gt;0, -(23*INDEX('UZ-normalized'!$D:$D, MATCH($A199, 'UZ-normalized'!$A:$A, 0))-INDEX('UZ-normalized'!$E:$E, MATCH($A199, 'UZ-normalized'!$A:$A, 0))), 0), 0)))</f>
        <v>0</v>
      </c>
      <c r="AL199" s="6">
        <f>MIN(0, N199+(IFERROR(IF(24*INDEX('UA-normalized'!$D:$D, MATCH($A199, 'UA-normalized'!$A:$A, 0))-INDEX('UA-normalized'!$E:$E, MATCH($A199, 'UA-normalized'!$A:$A, 0))&gt;0, -(24*INDEX('UA-normalized'!$D:$D, MATCH($A199, 'UA-normalized'!$A:$A, 0))-INDEX('UA-normalized'!$E:$E, MATCH($A199, 'UA-normalized'!$A:$A, 0))), 0), 0))+(IFERROR(IF(24*INDEX('KZ-normalized'!$D:$D, MATCH($A199, 'KZ-normalized'!$A:$A, 0))-INDEX('KZ-normalized'!$E:$E, MATCH($A199, 'KZ-normalized'!$A:$A, 0))&gt;0, -(24*INDEX('KZ-normalized'!$D:$D, MATCH($A199, 'KZ-normalized'!$A:$A, 0))-INDEX('KZ-normalized'!$E:$E, MATCH($A199, 'KZ-normalized'!$A:$A, 0))), 0), 0))+(IFERROR(IF(24*INDEX('UZ-normalized'!$D:$D, MATCH($A199, 'UZ-normalized'!$A:$A, 0))-INDEX('UZ-normalized'!$E:$E, MATCH($A199, 'UZ-normalized'!$A:$A, 0))&gt;0, -(24*INDEX('UZ-normalized'!$D:$D, MATCH($A199, 'UZ-normalized'!$A:$A, 0))-INDEX('UZ-normalized'!$E:$E, MATCH($A199, 'UZ-normalized'!$A:$A, 0))), 0), 0)))</f>
        <v>0</v>
      </c>
      <c r="AM199" s="6">
        <f>MIN(0, N199+(IFERROR(IF(25*INDEX('UA-normalized'!$D:$D, MATCH($A199, 'UA-normalized'!$A:$A, 0))-INDEX('UA-normalized'!$E:$E, MATCH($A199, 'UA-normalized'!$A:$A, 0))&gt;0, -(25*INDEX('UA-normalized'!$D:$D, MATCH($A199, 'UA-normalized'!$A:$A, 0))-INDEX('UA-normalized'!$E:$E, MATCH($A199, 'UA-normalized'!$A:$A, 0))), 0), 0))+(IFERROR(IF(25*INDEX('KZ-normalized'!$D:$D, MATCH($A199, 'KZ-normalized'!$A:$A, 0))-INDEX('KZ-normalized'!$E:$E, MATCH($A199, 'KZ-normalized'!$A:$A, 0))&gt;0, -(25*INDEX('KZ-normalized'!$D:$D, MATCH($A199, 'KZ-normalized'!$A:$A, 0))-INDEX('KZ-normalized'!$E:$E, MATCH($A199, 'KZ-normalized'!$A:$A, 0))), 0), 0))+(IFERROR(IF(25*INDEX('UZ-normalized'!$D:$D, MATCH($A199, 'UZ-normalized'!$A:$A, 0))-INDEX('UZ-normalized'!$E:$E, MATCH($A199, 'UZ-normalized'!$A:$A, 0))&gt;0, -(25*INDEX('UZ-normalized'!$D:$D, MATCH($A199, 'UZ-normalized'!$A:$A, 0))-INDEX('UZ-normalized'!$E:$E, MATCH($A199, 'UZ-normalized'!$A:$A, 0))), 0), 0)))</f>
        <v>0</v>
      </c>
      <c r="AN199" s="6">
        <f>MIN(0, N199+(IFERROR(IF(26*INDEX('UA-normalized'!$D:$D, MATCH($A199, 'UA-normalized'!$A:$A, 0))-INDEX('UA-normalized'!$E:$E, MATCH($A199, 'UA-normalized'!$A:$A, 0))&gt;0, -(26*INDEX('UA-normalized'!$D:$D, MATCH($A199, 'UA-normalized'!$A:$A, 0))-INDEX('UA-normalized'!$E:$E, MATCH($A199, 'UA-normalized'!$A:$A, 0))), 0), 0))+(IFERROR(IF(26*INDEX('KZ-normalized'!$D:$D, MATCH($A199, 'KZ-normalized'!$A:$A, 0))-INDEX('KZ-normalized'!$E:$E, MATCH($A199, 'KZ-normalized'!$A:$A, 0))&gt;0, -(26*INDEX('KZ-normalized'!$D:$D, MATCH($A199, 'KZ-normalized'!$A:$A, 0))-INDEX('KZ-normalized'!$E:$E, MATCH($A199, 'KZ-normalized'!$A:$A, 0))), 0), 0))+(IFERROR(IF(26*INDEX('UZ-normalized'!$D:$D, MATCH($A199, 'UZ-normalized'!$A:$A, 0))-INDEX('UZ-normalized'!$E:$E, MATCH($A199, 'UZ-normalized'!$A:$A, 0))&gt;0, -(26*INDEX('UZ-normalized'!$D:$D, MATCH($A199, 'UZ-normalized'!$A:$A, 0))-INDEX('UZ-normalized'!$E:$E, MATCH($A199, 'UZ-normalized'!$A:$A, 0))), 0), 0)))</f>
        <v>0</v>
      </c>
      <c r="AO199" s="6">
        <f>MIN(0, N199+(IFERROR(IF(27*INDEX('UA-normalized'!$D:$D, MATCH($A199, 'UA-normalized'!$A:$A, 0))-INDEX('UA-normalized'!$E:$E, MATCH($A199, 'UA-normalized'!$A:$A, 0))&gt;0, -(27*INDEX('UA-normalized'!$D:$D, MATCH($A199, 'UA-normalized'!$A:$A, 0))-INDEX('UA-normalized'!$E:$E, MATCH($A199, 'UA-normalized'!$A:$A, 0))), 0), 0))+(IFERROR(IF(27*INDEX('KZ-normalized'!$D:$D, MATCH($A199, 'KZ-normalized'!$A:$A, 0))-INDEX('KZ-normalized'!$E:$E, MATCH($A199, 'KZ-normalized'!$A:$A, 0))&gt;0, -(27*INDEX('KZ-normalized'!$D:$D, MATCH($A199, 'KZ-normalized'!$A:$A, 0))-INDEX('KZ-normalized'!$E:$E, MATCH($A199, 'KZ-normalized'!$A:$A, 0))), 0), 0))+(IFERROR(IF(27*INDEX('UZ-normalized'!$D:$D, MATCH($A199, 'UZ-normalized'!$A:$A, 0))-INDEX('UZ-normalized'!$E:$E, MATCH($A199, 'UZ-normalized'!$A:$A, 0))&gt;0, -(27*INDEX('UZ-normalized'!$D:$D, MATCH($A199, 'UZ-normalized'!$A:$A, 0))-INDEX('UZ-normalized'!$E:$E, MATCH($A199, 'UZ-normalized'!$A:$A, 0))), 0), 0)))</f>
        <v>0</v>
      </c>
      <c r="AP199" s="6">
        <f>MIN(0, N199+(IFERROR(IF(28*INDEX('UA-normalized'!$D:$D, MATCH($A199, 'UA-normalized'!$A:$A, 0))-INDEX('UA-normalized'!$E:$E, MATCH($A199, 'UA-normalized'!$A:$A, 0))&gt;0, -(28*INDEX('UA-normalized'!$D:$D, MATCH($A199, 'UA-normalized'!$A:$A, 0))-INDEX('UA-normalized'!$E:$E, MATCH($A199, 'UA-normalized'!$A:$A, 0))), 0), 0))+(IFERROR(IF(28*INDEX('KZ-normalized'!$D:$D, MATCH($A199, 'KZ-normalized'!$A:$A, 0))-INDEX('KZ-normalized'!$E:$E, MATCH($A199, 'KZ-normalized'!$A:$A, 0))&gt;0, -(28*INDEX('KZ-normalized'!$D:$D, MATCH($A199, 'KZ-normalized'!$A:$A, 0))-INDEX('KZ-normalized'!$E:$E, MATCH($A199, 'KZ-normalized'!$A:$A, 0))), 0), 0))+(IFERROR(IF(28*INDEX('UZ-normalized'!$D:$D, MATCH($A199, 'UZ-normalized'!$A:$A, 0))-INDEX('UZ-normalized'!$E:$E, MATCH($A199, 'UZ-normalized'!$A:$A, 0))&gt;0, -(28*INDEX('UZ-normalized'!$D:$D, MATCH($A199, 'UZ-normalized'!$A:$A, 0))-INDEX('UZ-normalized'!$E:$E, MATCH($A199, 'UZ-normalized'!$A:$A, 0))), 0), 0)))</f>
        <v>0</v>
      </c>
      <c r="AQ199" s="6">
        <f>MIN(0, N199+(IFERROR(IF(29*INDEX('UA-normalized'!$D:$D, MATCH($A199, 'UA-normalized'!$A:$A, 0))-INDEX('UA-normalized'!$E:$E, MATCH($A199, 'UA-normalized'!$A:$A, 0))&gt;0, -(29*INDEX('UA-normalized'!$D:$D, MATCH($A199, 'UA-normalized'!$A:$A, 0))-INDEX('UA-normalized'!$E:$E, MATCH($A199, 'UA-normalized'!$A:$A, 0))), 0), 0))+(IFERROR(IF(29*INDEX('KZ-normalized'!$D:$D, MATCH($A199, 'KZ-normalized'!$A:$A, 0))-INDEX('KZ-normalized'!$E:$E, MATCH($A199, 'KZ-normalized'!$A:$A, 0))&gt;0, -(29*INDEX('KZ-normalized'!$D:$D, MATCH($A199, 'KZ-normalized'!$A:$A, 0))-INDEX('KZ-normalized'!$E:$E, MATCH($A199, 'KZ-normalized'!$A:$A, 0))), 0), 0))+(IFERROR(IF(29*INDEX('UZ-normalized'!$D:$D, MATCH($A199, 'UZ-normalized'!$A:$A, 0))-INDEX('UZ-normalized'!$E:$E, MATCH($A199, 'UZ-normalized'!$A:$A, 0))&gt;0, -(29*INDEX('UZ-normalized'!$D:$D, MATCH($A199, 'UZ-normalized'!$A:$A, 0))-INDEX('UZ-normalized'!$E:$E, MATCH($A199, 'UZ-normalized'!$A:$A, 0))), 0), 0)))</f>
        <v>0</v>
      </c>
      <c r="AR199" s="6">
        <f>MIN(0, N199+(IFERROR(IF(30*INDEX('UA-normalized'!$D:$D, MATCH($A199, 'UA-normalized'!$A:$A, 0))-INDEX('UA-normalized'!$E:$E, MATCH($A199, 'UA-normalized'!$A:$A, 0))&gt;0, -(30*INDEX('UA-normalized'!$D:$D, MATCH($A199, 'UA-normalized'!$A:$A, 0))-INDEX('UA-normalized'!$E:$E, MATCH($A199, 'UA-normalized'!$A:$A, 0))), 0), 0))+(IFERROR(IF(30*INDEX('KZ-normalized'!$D:$D, MATCH($A199, 'KZ-normalized'!$A:$A, 0))-INDEX('KZ-normalized'!$E:$E, MATCH($A199, 'KZ-normalized'!$A:$A, 0))&gt;0, -(30*INDEX('KZ-normalized'!$D:$D, MATCH($A199, 'KZ-normalized'!$A:$A, 0))-INDEX('KZ-normalized'!$E:$E, MATCH($A199, 'KZ-normalized'!$A:$A, 0))), 0), 0))+(IFERROR(IF(30*INDEX('UZ-normalized'!$D:$D, MATCH($A199, 'UZ-normalized'!$A:$A, 0))-INDEX('UZ-normalized'!$E:$E, MATCH($A199, 'UZ-normalized'!$A:$A, 0))&gt;0, -(30*INDEX('UZ-normalized'!$D:$D, MATCH($A199, 'UZ-normalized'!$A:$A, 0))-INDEX('UZ-normalized'!$E:$E, MATCH($A199, 'UZ-normalized'!$A:$A, 0))), 0), 0)))</f>
        <v>0</v>
      </c>
    </row>
    <row r="200" spans="1:44" x14ac:dyDescent="0.25">
      <c r="A200" s="8" t="s">
        <v>478</v>
      </c>
      <c r="B200" s="8" t="s">
        <v>460</v>
      </c>
      <c r="C200" s="8" t="s">
        <v>479</v>
      </c>
      <c r="D200" s="8" t="s">
        <v>480</v>
      </c>
      <c r="N200">
        <f t="shared" si="3"/>
        <v>0</v>
      </c>
      <c r="O200" s="6">
        <f>MIN(0, N200+(IFERROR(IF(1*INDEX('UA-normalized'!$D:$D, MATCH($A200, 'UA-normalized'!$A:$A, 0))-INDEX('UA-normalized'!$E:$E, MATCH($A200, 'UA-normalized'!$A:$A, 0))&gt;0, -(1*INDEX('UA-normalized'!$D:$D, MATCH($A200, 'UA-normalized'!$A:$A, 0))-INDEX('UA-normalized'!$E:$E, MATCH($A200, 'UA-normalized'!$A:$A, 0))), 0), 0))+(IFERROR(IF(1*INDEX('KZ-normalized'!$D:$D, MATCH($A200, 'KZ-normalized'!$A:$A, 0))-INDEX('KZ-normalized'!$E:$E, MATCH($A200, 'KZ-normalized'!$A:$A, 0))&gt;0, -(1*INDEX('KZ-normalized'!$D:$D, MATCH($A200, 'KZ-normalized'!$A:$A, 0))-INDEX('KZ-normalized'!$E:$E, MATCH($A200, 'KZ-normalized'!$A:$A, 0))), 0), 0))+(IFERROR(IF(1*INDEX('UZ-normalized'!$D:$D, MATCH($A200, 'UZ-normalized'!$A:$A, 0))-INDEX('UZ-normalized'!$E:$E, MATCH($A200, 'UZ-normalized'!$A:$A, 0))&gt;0, -(1*INDEX('UZ-normalized'!$D:$D, MATCH($A200, 'UZ-normalized'!$A:$A, 0))-INDEX('UZ-normalized'!$E:$E, MATCH($A200, 'UZ-normalized'!$A:$A, 0))), 0), 0)))</f>
        <v>0</v>
      </c>
      <c r="P200" s="6">
        <f>MIN(0, N200+(IFERROR(IF(2*INDEX('UA-normalized'!$D:$D, MATCH($A200, 'UA-normalized'!$A:$A, 0))-INDEX('UA-normalized'!$E:$E, MATCH($A200, 'UA-normalized'!$A:$A, 0))&gt;0, -(2*INDEX('UA-normalized'!$D:$D, MATCH($A200, 'UA-normalized'!$A:$A, 0))-INDEX('UA-normalized'!$E:$E, MATCH($A200, 'UA-normalized'!$A:$A, 0))), 0), 0))+(IFERROR(IF(2*INDEX('KZ-normalized'!$D:$D, MATCH($A200, 'KZ-normalized'!$A:$A, 0))-INDEX('KZ-normalized'!$E:$E, MATCH($A200, 'KZ-normalized'!$A:$A, 0))&gt;0, -(2*INDEX('KZ-normalized'!$D:$D, MATCH($A200, 'KZ-normalized'!$A:$A, 0))-INDEX('KZ-normalized'!$E:$E, MATCH($A200, 'KZ-normalized'!$A:$A, 0))), 0), 0))+(IFERROR(IF(2*INDEX('UZ-normalized'!$D:$D, MATCH($A200, 'UZ-normalized'!$A:$A, 0))-INDEX('UZ-normalized'!$E:$E, MATCH($A200, 'UZ-normalized'!$A:$A, 0))&gt;0, -(2*INDEX('UZ-normalized'!$D:$D, MATCH($A200, 'UZ-normalized'!$A:$A, 0))-INDEX('UZ-normalized'!$E:$E, MATCH($A200, 'UZ-normalized'!$A:$A, 0))), 0), 0)))</f>
        <v>0</v>
      </c>
      <c r="Q200" s="6">
        <f>MIN(0, N200+(IFERROR(IF(3*INDEX('UA-normalized'!$D:$D, MATCH($A200, 'UA-normalized'!$A:$A, 0))-INDEX('UA-normalized'!$E:$E, MATCH($A200, 'UA-normalized'!$A:$A, 0))&gt;0, -(3*INDEX('UA-normalized'!$D:$D, MATCH($A200, 'UA-normalized'!$A:$A, 0))-INDEX('UA-normalized'!$E:$E, MATCH($A200, 'UA-normalized'!$A:$A, 0))), 0), 0))+(IFERROR(IF(3*INDEX('KZ-normalized'!$D:$D, MATCH($A200, 'KZ-normalized'!$A:$A, 0))-INDEX('KZ-normalized'!$E:$E, MATCH($A200, 'KZ-normalized'!$A:$A, 0))&gt;0, -(3*INDEX('KZ-normalized'!$D:$D, MATCH($A200, 'KZ-normalized'!$A:$A, 0))-INDEX('KZ-normalized'!$E:$E, MATCH($A200, 'KZ-normalized'!$A:$A, 0))), 0), 0))+(IFERROR(IF(3*INDEX('UZ-normalized'!$D:$D, MATCH($A200, 'UZ-normalized'!$A:$A, 0))-INDEX('UZ-normalized'!$E:$E, MATCH($A200, 'UZ-normalized'!$A:$A, 0))&gt;0, -(3*INDEX('UZ-normalized'!$D:$D, MATCH($A200, 'UZ-normalized'!$A:$A, 0))-INDEX('UZ-normalized'!$E:$E, MATCH($A200, 'UZ-normalized'!$A:$A, 0))), 0), 0)))</f>
        <v>0</v>
      </c>
      <c r="R200" s="6">
        <f>MIN(0, N200+(IFERROR(IF(4*INDEX('UA-normalized'!$D:$D, MATCH($A200, 'UA-normalized'!$A:$A, 0))-INDEX('UA-normalized'!$E:$E, MATCH($A200, 'UA-normalized'!$A:$A, 0))&gt;0, -(4*INDEX('UA-normalized'!$D:$D, MATCH($A200, 'UA-normalized'!$A:$A, 0))-INDEX('UA-normalized'!$E:$E, MATCH($A200, 'UA-normalized'!$A:$A, 0))), 0), 0))+(IFERROR(IF(4*INDEX('KZ-normalized'!$D:$D, MATCH($A200, 'KZ-normalized'!$A:$A, 0))-INDEX('KZ-normalized'!$E:$E, MATCH($A200, 'KZ-normalized'!$A:$A, 0))&gt;0, -(4*INDEX('KZ-normalized'!$D:$D, MATCH($A200, 'KZ-normalized'!$A:$A, 0))-INDEX('KZ-normalized'!$E:$E, MATCH($A200, 'KZ-normalized'!$A:$A, 0))), 0), 0))+(IFERROR(IF(4*INDEX('UZ-normalized'!$D:$D, MATCH($A200, 'UZ-normalized'!$A:$A, 0))-INDEX('UZ-normalized'!$E:$E, MATCH($A200, 'UZ-normalized'!$A:$A, 0))&gt;0, -(4*INDEX('UZ-normalized'!$D:$D, MATCH($A200, 'UZ-normalized'!$A:$A, 0))-INDEX('UZ-normalized'!$E:$E, MATCH($A200, 'UZ-normalized'!$A:$A, 0))), 0), 0)))</f>
        <v>0</v>
      </c>
      <c r="S200" s="6">
        <f>MIN(0, N200+(IFERROR(IF(5*INDEX('UA-normalized'!$D:$D, MATCH($A200, 'UA-normalized'!$A:$A, 0))-INDEX('UA-normalized'!$E:$E, MATCH($A200, 'UA-normalized'!$A:$A, 0))&gt;0, -(5*INDEX('UA-normalized'!$D:$D, MATCH($A200, 'UA-normalized'!$A:$A, 0))-INDEX('UA-normalized'!$E:$E, MATCH($A200, 'UA-normalized'!$A:$A, 0))), 0), 0))+(IFERROR(IF(5*INDEX('KZ-normalized'!$D:$D, MATCH($A200, 'KZ-normalized'!$A:$A, 0))-INDEX('KZ-normalized'!$E:$E, MATCH($A200, 'KZ-normalized'!$A:$A, 0))&gt;0, -(5*INDEX('KZ-normalized'!$D:$D, MATCH($A200, 'KZ-normalized'!$A:$A, 0))-INDEX('KZ-normalized'!$E:$E, MATCH($A200, 'KZ-normalized'!$A:$A, 0))), 0), 0))+(IFERROR(IF(5*INDEX('UZ-normalized'!$D:$D, MATCH($A200, 'UZ-normalized'!$A:$A, 0))-INDEX('UZ-normalized'!$E:$E, MATCH($A200, 'UZ-normalized'!$A:$A, 0))&gt;0, -(5*INDEX('UZ-normalized'!$D:$D, MATCH($A200, 'UZ-normalized'!$A:$A, 0))-INDEX('UZ-normalized'!$E:$E, MATCH($A200, 'UZ-normalized'!$A:$A, 0))), 0), 0)))</f>
        <v>0</v>
      </c>
      <c r="T200" s="6">
        <f>MIN(0, N200+(IFERROR(IF(6*INDEX('UA-normalized'!$D:$D, MATCH($A200, 'UA-normalized'!$A:$A, 0))-INDEX('UA-normalized'!$E:$E, MATCH($A200, 'UA-normalized'!$A:$A, 0))&gt;0, -(6*INDEX('UA-normalized'!$D:$D, MATCH($A200, 'UA-normalized'!$A:$A, 0))-INDEX('UA-normalized'!$E:$E, MATCH($A200, 'UA-normalized'!$A:$A, 0))), 0), 0))+(IFERROR(IF(6*INDEX('KZ-normalized'!$D:$D, MATCH($A200, 'KZ-normalized'!$A:$A, 0))-INDEX('KZ-normalized'!$E:$E, MATCH($A200, 'KZ-normalized'!$A:$A, 0))&gt;0, -(6*INDEX('KZ-normalized'!$D:$D, MATCH($A200, 'KZ-normalized'!$A:$A, 0))-INDEX('KZ-normalized'!$E:$E, MATCH($A200, 'KZ-normalized'!$A:$A, 0))), 0), 0))+(IFERROR(IF(6*INDEX('UZ-normalized'!$D:$D, MATCH($A200, 'UZ-normalized'!$A:$A, 0))-INDEX('UZ-normalized'!$E:$E, MATCH($A200, 'UZ-normalized'!$A:$A, 0))&gt;0, -(6*INDEX('UZ-normalized'!$D:$D, MATCH($A200, 'UZ-normalized'!$A:$A, 0))-INDEX('UZ-normalized'!$E:$E, MATCH($A200, 'UZ-normalized'!$A:$A, 0))), 0), 0)))</f>
        <v>0</v>
      </c>
      <c r="U200" s="6">
        <f>MIN(0, N200+(IFERROR(IF(7*INDEX('UA-normalized'!$D:$D, MATCH($A200, 'UA-normalized'!$A:$A, 0))-INDEX('UA-normalized'!$E:$E, MATCH($A200, 'UA-normalized'!$A:$A, 0))&gt;0, -(7*INDEX('UA-normalized'!$D:$D, MATCH($A200, 'UA-normalized'!$A:$A, 0))-INDEX('UA-normalized'!$E:$E, MATCH($A200, 'UA-normalized'!$A:$A, 0))), 0), 0))+(IFERROR(IF(7*INDEX('KZ-normalized'!$D:$D, MATCH($A200, 'KZ-normalized'!$A:$A, 0))-INDEX('KZ-normalized'!$E:$E, MATCH($A200, 'KZ-normalized'!$A:$A, 0))&gt;0, -(7*INDEX('KZ-normalized'!$D:$D, MATCH($A200, 'KZ-normalized'!$A:$A, 0))-INDEX('KZ-normalized'!$E:$E, MATCH($A200, 'KZ-normalized'!$A:$A, 0))), 0), 0))+(IFERROR(IF(7*INDEX('UZ-normalized'!$D:$D, MATCH($A200, 'UZ-normalized'!$A:$A, 0))-INDEX('UZ-normalized'!$E:$E, MATCH($A200, 'UZ-normalized'!$A:$A, 0))&gt;0, -(7*INDEX('UZ-normalized'!$D:$D, MATCH($A200, 'UZ-normalized'!$A:$A, 0))-INDEX('UZ-normalized'!$E:$E, MATCH($A200, 'UZ-normalized'!$A:$A, 0))), 0), 0)))</f>
        <v>-0.59999999999999964</v>
      </c>
      <c r="V200" s="6">
        <f>MIN(0, N200+(IFERROR(IF(8*INDEX('UA-normalized'!$D:$D, MATCH($A200, 'UA-normalized'!$A:$A, 0))-INDEX('UA-normalized'!$E:$E, MATCH($A200, 'UA-normalized'!$A:$A, 0))&gt;0, -(8*INDEX('UA-normalized'!$D:$D, MATCH($A200, 'UA-normalized'!$A:$A, 0))-INDEX('UA-normalized'!$E:$E, MATCH($A200, 'UA-normalized'!$A:$A, 0))), 0), 0))+(IFERROR(IF(8*INDEX('KZ-normalized'!$D:$D, MATCH($A200, 'KZ-normalized'!$A:$A, 0))-INDEX('KZ-normalized'!$E:$E, MATCH($A200, 'KZ-normalized'!$A:$A, 0))&gt;0, -(8*INDEX('KZ-normalized'!$D:$D, MATCH($A200, 'KZ-normalized'!$A:$A, 0))-INDEX('KZ-normalized'!$E:$E, MATCH($A200, 'KZ-normalized'!$A:$A, 0))), 0), 0))+(IFERROR(IF(8*INDEX('UZ-normalized'!$D:$D, MATCH($A200, 'UZ-normalized'!$A:$A, 0))-INDEX('UZ-normalized'!$E:$E, MATCH($A200, 'UZ-normalized'!$A:$A, 0))&gt;0, -(8*INDEX('UZ-normalized'!$D:$D, MATCH($A200, 'UZ-normalized'!$A:$A, 0))-INDEX('UZ-normalized'!$E:$E, MATCH($A200, 'UZ-normalized'!$A:$A, 0))), 0), 0)))</f>
        <v>-2.4000000000000004</v>
      </c>
      <c r="W200" s="6">
        <f>MIN(0, N200+(IFERROR(IF(9*INDEX('UA-normalized'!$D:$D, MATCH($A200, 'UA-normalized'!$A:$A, 0))-INDEX('UA-normalized'!$E:$E, MATCH($A200, 'UA-normalized'!$A:$A, 0))&gt;0, -(9*INDEX('UA-normalized'!$D:$D, MATCH($A200, 'UA-normalized'!$A:$A, 0))-INDEX('UA-normalized'!$E:$E, MATCH($A200, 'UA-normalized'!$A:$A, 0))), 0), 0))+(IFERROR(IF(9*INDEX('KZ-normalized'!$D:$D, MATCH($A200, 'KZ-normalized'!$A:$A, 0))-INDEX('KZ-normalized'!$E:$E, MATCH($A200, 'KZ-normalized'!$A:$A, 0))&gt;0, -(9*INDEX('KZ-normalized'!$D:$D, MATCH($A200, 'KZ-normalized'!$A:$A, 0))-INDEX('KZ-normalized'!$E:$E, MATCH($A200, 'KZ-normalized'!$A:$A, 0))), 0), 0))+(IFERROR(IF(9*INDEX('UZ-normalized'!$D:$D, MATCH($A200, 'UZ-normalized'!$A:$A, 0))-INDEX('UZ-normalized'!$E:$E, MATCH($A200, 'UZ-normalized'!$A:$A, 0))&gt;0, -(9*INDEX('UZ-normalized'!$D:$D, MATCH($A200, 'UZ-normalized'!$A:$A, 0))-INDEX('UZ-normalized'!$E:$E, MATCH($A200, 'UZ-normalized'!$A:$A, 0))), 0), 0)))</f>
        <v>-4.1999999999999993</v>
      </c>
      <c r="X200" s="6">
        <f>MIN(0, N200+(IFERROR(IF(10*INDEX('UA-normalized'!$D:$D, MATCH($A200, 'UA-normalized'!$A:$A, 0))-INDEX('UA-normalized'!$E:$E, MATCH($A200, 'UA-normalized'!$A:$A, 0))&gt;0, -(10*INDEX('UA-normalized'!$D:$D, MATCH($A200, 'UA-normalized'!$A:$A, 0))-INDEX('UA-normalized'!$E:$E, MATCH($A200, 'UA-normalized'!$A:$A, 0))), 0), 0))+(IFERROR(IF(10*INDEX('KZ-normalized'!$D:$D, MATCH($A200, 'KZ-normalized'!$A:$A, 0))-INDEX('KZ-normalized'!$E:$E, MATCH($A200, 'KZ-normalized'!$A:$A, 0))&gt;0, -(10*INDEX('KZ-normalized'!$D:$D, MATCH($A200, 'KZ-normalized'!$A:$A, 0))-INDEX('KZ-normalized'!$E:$E, MATCH($A200, 'KZ-normalized'!$A:$A, 0))), 0), 0))+(IFERROR(IF(10*INDEX('UZ-normalized'!$D:$D, MATCH($A200, 'UZ-normalized'!$A:$A, 0))-INDEX('UZ-normalized'!$E:$E, MATCH($A200, 'UZ-normalized'!$A:$A, 0))&gt;0, -(10*INDEX('UZ-normalized'!$D:$D, MATCH($A200, 'UZ-normalized'!$A:$A, 0))-INDEX('UZ-normalized'!$E:$E, MATCH($A200, 'UZ-normalized'!$A:$A, 0))), 0), 0)))</f>
        <v>-6</v>
      </c>
      <c r="Y200" s="6">
        <f>MIN(0, N200+(IFERROR(IF(11*INDEX('UA-normalized'!$D:$D, MATCH($A200, 'UA-normalized'!$A:$A, 0))-INDEX('UA-normalized'!$E:$E, MATCH($A200, 'UA-normalized'!$A:$A, 0))&gt;0, -(11*INDEX('UA-normalized'!$D:$D, MATCH($A200, 'UA-normalized'!$A:$A, 0))-INDEX('UA-normalized'!$E:$E, MATCH($A200, 'UA-normalized'!$A:$A, 0))), 0), 0))+(IFERROR(IF(11*INDEX('KZ-normalized'!$D:$D, MATCH($A200, 'KZ-normalized'!$A:$A, 0))-INDEX('KZ-normalized'!$E:$E, MATCH($A200, 'KZ-normalized'!$A:$A, 0))&gt;0, -(11*INDEX('KZ-normalized'!$D:$D, MATCH($A200, 'KZ-normalized'!$A:$A, 0))-INDEX('KZ-normalized'!$E:$E, MATCH($A200, 'KZ-normalized'!$A:$A, 0))), 0), 0))+(IFERROR(IF(11*INDEX('UZ-normalized'!$D:$D, MATCH($A200, 'UZ-normalized'!$A:$A, 0))-INDEX('UZ-normalized'!$E:$E, MATCH($A200, 'UZ-normalized'!$A:$A, 0))&gt;0, -(11*INDEX('UZ-normalized'!$D:$D, MATCH($A200, 'UZ-normalized'!$A:$A, 0))-INDEX('UZ-normalized'!$E:$E, MATCH($A200, 'UZ-normalized'!$A:$A, 0))), 0), 0)))</f>
        <v>-7.8000000000000007</v>
      </c>
      <c r="Z200" s="6">
        <f>MIN(0, N200+(IFERROR(IF(12*INDEX('UA-normalized'!$D:$D, MATCH($A200, 'UA-normalized'!$A:$A, 0))-INDEX('UA-normalized'!$E:$E, MATCH($A200, 'UA-normalized'!$A:$A, 0))&gt;0, -(12*INDEX('UA-normalized'!$D:$D, MATCH($A200, 'UA-normalized'!$A:$A, 0))-INDEX('UA-normalized'!$E:$E, MATCH($A200, 'UA-normalized'!$A:$A, 0))), 0), 0))+(IFERROR(IF(12*INDEX('KZ-normalized'!$D:$D, MATCH($A200, 'KZ-normalized'!$A:$A, 0))-INDEX('KZ-normalized'!$E:$E, MATCH($A200, 'KZ-normalized'!$A:$A, 0))&gt;0, -(12*INDEX('KZ-normalized'!$D:$D, MATCH($A200, 'KZ-normalized'!$A:$A, 0))-INDEX('KZ-normalized'!$E:$E, MATCH($A200, 'KZ-normalized'!$A:$A, 0))), 0), 0))+(IFERROR(IF(12*INDEX('UZ-normalized'!$D:$D, MATCH($A200, 'UZ-normalized'!$A:$A, 0))-INDEX('UZ-normalized'!$E:$E, MATCH($A200, 'UZ-normalized'!$A:$A, 0))&gt;0, -(12*INDEX('UZ-normalized'!$D:$D, MATCH($A200, 'UZ-normalized'!$A:$A, 0))-INDEX('UZ-normalized'!$E:$E, MATCH($A200, 'UZ-normalized'!$A:$A, 0))), 0), 0)))</f>
        <v>-9.6000000000000014</v>
      </c>
      <c r="AA200" s="6">
        <f>MIN(0, N200+(IFERROR(IF(13*INDEX('UA-normalized'!$D:$D, MATCH($A200, 'UA-normalized'!$A:$A, 0))-INDEX('UA-normalized'!$E:$E, MATCH($A200, 'UA-normalized'!$A:$A, 0))&gt;0, -(13*INDEX('UA-normalized'!$D:$D, MATCH($A200, 'UA-normalized'!$A:$A, 0))-INDEX('UA-normalized'!$E:$E, MATCH($A200, 'UA-normalized'!$A:$A, 0))), 0), 0))+(IFERROR(IF(13*INDEX('KZ-normalized'!$D:$D, MATCH($A200, 'KZ-normalized'!$A:$A, 0))-INDEX('KZ-normalized'!$E:$E, MATCH($A200, 'KZ-normalized'!$A:$A, 0))&gt;0, -(13*INDEX('KZ-normalized'!$D:$D, MATCH($A200, 'KZ-normalized'!$A:$A, 0))-INDEX('KZ-normalized'!$E:$E, MATCH($A200, 'KZ-normalized'!$A:$A, 0))), 0), 0))+(IFERROR(IF(13*INDEX('UZ-normalized'!$D:$D, MATCH($A200, 'UZ-normalized'!$A:$A, 0))-INDEX('UZ-normalized'!$E:$E, MATCH($A200, 'UZ-normalized'!$A:$A, 0))&gt;0, -(13*INDEX('UZ-normalized'!$D:$D, MATCH($A200, 'UZ-normalized'!$A:$A, 0))-INDEX('UZ-normalized'!$E:$E, MATCH($A200, 'UZ-normalized'!$A:$A, 0))), 0), 0)))</f>
        <v>-11.400000000000002</v>
      </c>
      <c r="AB200" s="6">
        <f>MIN(0, N200+(IFERROR(IF(14*INDEX('UA-normalized'!$D:$D, MATCH($A200, 'UA-normalized'!$A:$A, 0))-INDEX('UA-normalized'!$E:$E, MATCH($A200, 'UA-normalized'!$A:$A, 0))&gt;0, -(14*INDEX('UA-normalized'!$D:$D, MATCH($A200, 'UA-normalized'!$A:$A, 0))-INDEX('UA-normalized'!$E:$E, MATCH($A200, 'UA-normalized'!$A:$A, 0))), 0), 0))+(IFERROR(IF(14*INDEX('KZ-normalized'!$D:$D, MATCH($A200, 'KZ-normalized'!$A:$A, 0))-INDEX('KZ-normalized'!$E:$E, MATCH($A200, 'KZ-normalized'!$A:$A, 0))&gt;0, -(14*INDEX('KZ-normalized'!$D:$D, MATCH($A200, 'KZ-normalized'!$A:$A, 0))-INDEX('KZ-normalized'!$E:$E, MATCH($A200, 'KZ-normalized'!$A:$A, 0))), 0), 0))+(IFERROR(IF(14*INDEX('UZ-normalized'!$D:$D, MATCH($A200, 'UZ-normalized'!$A:$A, 0))-INDEX('UZ-normalized'!$E:$E, MATCH($A200, 'UZ-normalized'!$A:$A, 0))&gt;0, -(14*INDEX('UZ-normalized'!$D:$D, MATCH($A200, 'UZ-normalized'!$A:$A, 0))-INDEX('UZ-normalized'!$E:$E, MATCH($A200, 'UZ-normalized'!$A:$A, 0))), 0), 0)))</f>
        <v>-13.2</v>
      </c>
      <c r="AC200" s="6">
        <f>MIN(0, N200+(IFERROR(IF(15*INDEX('UA-normalized'!$D:$D, MATCH($A200, 'UA-normalized'!$A:$A, 0))-INDEX('UA-normalized'!$E:$E, MATCH($A200, 'UA-normalized'!$A:$A, 0))&gt;0, -(15*INDEX('UA-normalized'!$D:$D, MATCH($A200, 'UA-normalized'!$A:$A, 0))-INDEX('UA-normalized'!$E:$E, MATCH($A200, 'UA-normalized'!$A:$A, 0))), 0), 0))+(IFERROR(IF(15*INDEX('KZ-normalized'!$D:$D, MATCH($A200, 'KZ-normalized'!$A:$A, 0))-INDEX('KZ-normalized'!$E:$E, MATCH($A200, 'KZ-normalized'!$A:$A, 0))&gt;0, -(15*INDEX('KZ-normalized'!$D:$D, MATCH($A200, 'KZ-normalized'!$A:$A, 0))-INDEX('KZ-normalized'!$E:$E, MATCH($A200, 'KZ-normalized'!$A:$A, 0))), 0), 0))+(IFERROR(IF(15*INDEX('UZ-normalized'!$D:$D, MATCH($A200, 'UZ-normalized'!$A:$A, 0))-INDEX('UZ-normalized'!$E:$E, MATCH($A200, 'UZ-normalized'!$A:$A, 0))&gt;0, -(15*INDEX('UZ-normalized'!$D:$D, MATCH($A200, 'UZ-normalized'!$A:$A, 0))-INDEX('UZ-normalized'!$E:$E, MATCH($A200, 'UZ-normalized'!$A:$A, 0))), 0), 0)))</f>
        <v>-15</v>
      </c>
      <c r="AD200" s="6">
        <f>MIN(0, N200+(IFERROR(IF(16*INDEX('UA-normalized'!$D:$D, MATCH($A200, 'UA-normalized'!$A:$A, 0))-INDEX('UA-normalized'!$E:$E, MATCH($A200, 'UA-normalized'!$A:$A, 0))&gt;0, -(16*INDEX('UA-normalized'!$D:$D, MATCH($A200, 'UA-normalized'!$A:$A, 0))-INDEX('UA-normalized'!$E:$E, MATCH($A200, 'UA-normalized'!$A:$A, 0))), 0), 0))+(IFERROR(IF(16*INDEX('KZ-normalized'!$D:$D, MATCH($A200, 'KZ-normalized'!$A:$A, 0))-INDEX('KZ-normalized'!$E:$E, MATCH($A200, 'KZ-normalized'!$A:$A, 0))&gt;0, -(16*INDEX('KZ-normalized'!$D:$D, MATCH($A200, 'KZ-normalized'!$A:$A, 0))-INDEX('KZ-normalized'!$E:$E, MATCH($A200, 'KZ-normalized'!$A:$A, 0))), 0), 0))+(IFERROR(IF(16*INDEX('UZ-normalized'!$D:$D, MATCH($A200, 'UZ-normalized'!$A:$A, 0))-INDEX('UZ-normalized'!$E:$E, MATCH($A200, 'UZ-normalized'!$A:$A, 0))&gt;0, -(16*INDEX('UZ-normalized'!$D:$D, MATCH($A200, 'UZ-normalized'!$A:$A, 0))-INDEX('UZ-normalized'!$E:$E, MATCH($A200, 'UZ-normalized'!$A:$A, 0))), 0), 0)))</f>
        <v>-16.8</v>
      </c>
      <c r="AE200" s="6">
        <f>MIN(0, N200+(IFERROR(IF(17*INDEX('UA-normalized'!$D:$D, MATCH($A200, 'UA-normalized'!$A:$A, 0))-INDEX('UA-normalized'!$E:$E, MATCH($A200, 'UA-normalized'!$A:$A, 0))&gt;0, -(17*INDEX('UA-normalized'!$D:$D, MATCH($A200, 'UA-normalized'!$A:$A, 0))-INDEX('UA-normalized'!$E:$E, MATCH($A200, 'UA-normalized'!$A:$A, 0))), 0), 0))+(IFERROR(IF(17*INDEX('KZ-normalized'!$D:$D, MATCH($A200, 'KZ-normalized'!$A:$A, 0))-INDEX('KZ-normalized'!$E:$E, MATCH($A200, 'KZ-normalized'!$A:$A, 0))&gt;0, -(17*INDEX('KZ-normalized'!$D:$D, MATCH($A200, 'KZ-normalized'!$A:$A, 0))-INDEX('KZ-normalized'!$E:$E, MATCH($A200, 'KZ-normalized'!$A:$A, 0))), 0), 0))+(IFERROR(IF(17*INDEX('UZ-normalized'!$D:$D, MATCH($A200, 'UZ-normalized'!$A:$A, 0))-INDEX('UZ-normalized'!$E:$E, MATCH($A200, 'UZ-normalized'!$A:$A, 0))&gt;0, -(17*INDEX('UZ-normalized'!$D:$D, MATCH($A200, 'UZ-normalized'!$A:$A, 0))-INDEX('UZ-normalized'!$E:$E, MATCH($A200, 'UZ-normalized'!$A:$A, 0))), 0), 0)))</f>
        <v>-18.600000000000001</v>
      </c>
      <c r="AF200" s="6">
        <f>MIN(0, N200+(IFERROR(IF(18*INDEX('UA-normalized'!$D:$D, MATCH($A200, 'UA-normalized'!$A:$A, 0))-INDEX('UA-normalized'!$E:$E, MATCH($A200, 'UA-normalized'!$A:$A, 0))&gt;0, -(18*INDEX('UA-normalized'!$D:$D, MATCH($A200, 'UA-normalized'!$A:$A, 0))-INDEX('UA-normalized'!$E:$E, MATCH($A200, 'UA-normalized'!$A:$A, 0))), 0), 0))+(IFERROR(IF(18*INDEX('KZ-normalized'!$D:$D, MATCH($A200, 'KZ-normalized'!$A:$A, 0))-INDEX('KZ-normalized'!$E:$E, MATCH($A200, 'KZ-normalized'!$A:$A, 0))&gt;0, -(18*INDEX('KZ-normalized'!$D:$D, MATCH($A200, 'KZ-normalized'!$A:$A, 0))-INDEX('KZ-normalized'!$E:$E, MATCH($A200, 'KZ-normalized'!$A:$A, 0))), 0), 0))+(IFERROR(IF(18*INDEX('UZ-normalized'!$D:$D, MATCH($A200, 'UZ-normalized'!$A:$A, 0))-INDEX('UZ-normalized'!$E:$E, MATCH($A200, 'UZ-normalized'!$A:$A, 0))&gt;0, -(18*INDEX('UZ-normalized'!$D:$D, MATCH($A200, 'UZ-normalized'!$A:$A, 0))-INDEX('UZ-normalized'!$E:$E, MATCH($A200, 'UZ-normalized'!$A:$A, 0))), 0), 0)))</f>
        <v>-21.799999999999997</v>
      </c>
      <c r="AG200" s="6">
        <f>MIN(0, N200+(IFERROR(IF(19*INDEX('UA-normalized'!$D:$D, MATCH($A200, 'UA-normalized'!$A:$A, 0))-INDEX('UA-normalized'!$E:$E, MATCH($A200, 'UA-normalized'!$A:$A, 0))&gt;0, -(19*INDEX('UA-normalized'!$D:$D, MATCH($A200, 'UA-normalized'!$A:$A, 0))-INDEX('UA-normalized'!$E:$E, MATCH($A200, 'UA-normalized'!$A:$A, 0))), 0), 0))+(IFERROR(IF(19*INDEX('KZ-normalized'!$D:$D, MATCH($A200, 'KZ-normalized'!$A:$A, 0))-INDEX('KZ-normalized'!$E:$E, MATCH($A200, 'KZ-normalized'!$A:$A, 0))&gt;0, -(19*INDEX('KZ-normalized'!$D:$D, MATCH($A200, 'KZ-normalized'!$A:$A, 0))-INDEX('KZ-normalized'!$E:$E, MATCH($A200, 'KZ-normalized'!$A:$A, 0))), 0), 0))+(IFERROR(IF(19*INDEX('UZ-normalized'!$D:$D, MATCH($A200, 'UZ-normalized'!$A:$A, 0))-INDEX('UZ-normalized'!$E:$E, MATCH($A200, 'UZ-normalized'!$A:$A, 0))&gt;0, -(19*INDEX('UZ-normalized'!$D:$D, MATCH($A200, 'UZ-normalized'!$A:$A, 0))-INDEX('UZ-normalized'!$E:$E, MATCH($A200, 'UZ-normalized'!$A:$A, 0))), 0), 0)))</f>
        <v>-25.400000000000006</v>
      </c>
      <c r="AH200" s="6">
        <f>MIN(0, N200+(IFERROR(IF(20*INDEX('UA-normalized'!$D:$D, MATCH($A200, 'UA-normalized'!$A:$A, 0))-INDEX('UA-normalized'!$E:$E, MATCH($A200, 'UA-normalized'!$A:$A, 0))&gt;0, -(20*INDEX('UA-normalized'!$D:$D, MATCH($A200, 'UA-normalized'!$A:$A, 0))-INDEX('UA-normalized'!$E:$E, MATCH($A200, 'UA-normalized'!$A:$A, 0))), 0), 0))+(IFERROR(IF(20*INDEX('KZ-normalized'!$D:$D, MATCH($A200, 'KZ-normalized'!$A:$A, 0))-INDEX('KZ-normalized'!$E:$E, MATCH($A200, 'KZ-normalized'!$A:$A, 0))&gt;0, -(20*INDEX('KZ-normalized'!$D:$D, MATCH($A200, 'KZ-normalized'!$A:$A, 0))-INDEX('KZ-normalized'!$E:$E, MATCH($A200, 'KZ-normalized'!$A:$A, 0))), 0), 0))+(IFERROR(IF(20*INDEX('UZ-normalized'!$D:$D, MATCH($A200, 'UZ-normalized'!$A:$A, 0))-INDEX('UZ-normalized'!$E:$E, MATCH($A200, 'UZ-normalized'!$A:$A, 0))&gt;0, -(20*INDEX('UZ-normalized'!$D:$D, MATCH($A200, 'UZ-normalized'!$A:$A, 0))-INDEX('UZ-normalized'!$E:$E, MATCH($A200, 'UZ-normalized'!$A:$A, 0))), 0), 0)))</f>
        <v>-29</v>
      </c>
      <c r="AI200" s="6">
        <f>MIN(0, N200+(IFERROR(IF(21*INDEX('UA-normalized'!$D:$D, MATCH($A200, 'UA-normalized'!$A:$A, 0))-INDEX('UA-normalized'!$E:$E, MATCH($A200, 'UA-normalized'!$A:$A, 0))&gt;0, -(21*INDEX('UA-normalized'!$D:$D, MATCH($A200, 'UA-normalized'!$A:$A, 0))-INDEX('UA-normalized'!$E:$E, MATCH($A200, 'UA-normalized'!$A:$A, 0))), 0), 0))+(IFERROR(IF(21*INDEX('KZ-normalized'!$D:$D, MATCH($A200, 'KZ-normalized'!$A:$A, 0))-INDEX('KZ-normalized'!$E:$E, MATCH($A200, 'KZ-normalized'!$A:$A, 0))&gt;0, -(21*INDEX('KZ-normalized'!$D:$D, MATCH($A200, 'KZ-normalized'!$A:$A, 0))-INDEX('KZ-normalized'!$E:$E, MATCH($A200, 'KZ-normalized'!$A:$A, 0))), 0), 0))+(IFERROR(IF(21*INDEX('UZ-normalized'!$D:$D, MATCH($A200, 'UZ-normalized'!$A:$A, 0))-INDEX('UZ-normalized'!$E:$E, MATCH($A200, 'UZ-normalized'!$A:$A, 0))&gt;0, -(21*INDEX('UZ-normalized'!$D:$D, MATCH($A200, 'UZ-normalized'!$A:$A, 0))-INDEX('UZ-normalized'!$E:$E, MATCH($A200, 'UZ-normalized'!$A:$A, 0))), 0), 0)))</f>
        <v>-32.600000000000009</v>
      </c>
      <c r="AJ200" s="6">
        <f>MIN(0, N200+(IFERROR(IF(22*INDEX('UA-normalized'!$D:$D, MATCH($A200, 'UA-normalized'!$A:$A, 0))-INDEX('UA-normalized'!$E:$E, MATCH($A200, 'UA-normalized'!$A:$A, 0))&gt;0, -(22*INDEX('UA-normalized'!$D:$D, MATCH($A200, 'UA-normalized'!$A:$A, 0))-INDEX('UA-normalized'!$E:$E, MATCH($A200, 'UA-normalized'!$A:$A, 0))), 0), 0))+(IFERROR(IF(22*INDEX('KZ-normalized'!$D:$D, MATCH($A200, 'KZ-normalized'!$A:$A, 0))-INDEX('KZ-normalized'!$E:$E, MATCH($A200, 'KZ-normalized'!$A:$A, 0))&gt;0, -(22*INDEX('KZ-normalized'!$D:$D, MATCH($A200, 'KZ-normalized'!$A:$A, 0))-INDEX('KZ-normalized'!$E:$E, MATCH($A200, 'KZ-normalized'!$A:$A, 0))), 0), 0))+(IFERROR(IF(22*INDEX('UZ-normalized'!$D:$D, MATCH($A200, 'UZ-normalized'!$A:$A, 0))-INDEX('UZ-normalized'!$E:$E, MATCH($A200, 'UZ-normalized'!$A:$A, 0))&gt;0, -(22*INDEX('UZ-normalized'!$D:$D, MATCH($A200, 'UZ-normalized'!$A:$A, 0))-INDEX('UZ-normalized'!$E:$E, MATCH($A200, 'UZ-normalized'!$A:$A, 0))), 0), 0)))</f>
        <v>-36.200000000000003</v>
      </c>
      <c r="AK200" s="6">
        <f>MIN(0, N200+(IFERROR(IF(23*INDEX('UA-normalized'!$D:$D, MATCH($A200, 'UA-normalized'!$A:$A, 0))-INDEX('UA-normalized'!$E:$E, MATCH($A200, 'UA-normalized'!$A:$A, 0))&gt;0, -(23*INDEX('UA-normalized'!$D:$D, MATCH($A200, 'UA-normalized'!$A:$A, 0))-INDEX('UA-normalized'!$E:$E, MATCH($A200, 'UA-normalized'!$A:$A, 0))), 0), 0))+(IFERROR(IF(23*INDEX('KZ-normalized'!$D:$D, MATCH($A200, 'KZ-normalized'!$A:$A, 0))-INDEX('KZ-normalized'!$E:$E, MATCH($A200, 'KZ-normalized'!$A:$A, 0))&gt;0, -(23*INDEX('KZ-normalized'!$D:$D, MATCH($A200, 'KZ-normalized'!$A:$A, 0))-INDEX('KZ-normalized'!$E:$E, MATCH($A200, 'KZ-normalized'!$A:$A, 0))), 0), 0))+(IFERROR(IF(23*INDEX('UZ-normalized'!$D:$D, MATCH($A200, 'UZ-normalized'!$A:$A, 0))-INDEX('UZ-normalized'!$E:$E, MATCH($A200, 'UZ-normalized'!$A:$A, 0))&gt;0, -(23*INDEX('UZ-normalized'!$D:$D, MATCH($A200, 'UZ-normalized'!$A:$A, 0))-INDEX('UZ-normalized'!$E:$E, MATCH($A200, 'UZ-normalized'!$A:$A, 0))), 0), 0)))</f>
        <v>-39.799999999999997</v>
      </c>
      <c r="AL200" s="6">
        <f>MIN(0, N200+(IFERROR(IF(24*INDEX('UA-normalized'!$D:$D, MATCH($A200, 'UA-normalized'!$A:$A, 0))-INDEX('UA-normalized'!$E:$E, MATCH($A200, 'UA-normalized'!$A:$A, 0))&gt;0, -(24*INDEX('UA-normalized'!$D:$D, MATCH($A200, 'UA-normalized'!$A:$A, 0))-INDEX('UA-normalized'!$E:$E, MATCH($A200, 'UA-normalized'!$A:$A, 0))), 0), 0))+(IFERROR(IF(24*INDEX('KZ-normalized'!$D:$D, MATCH($A200, 'KZ-normalized'!$A:$A, 0))-INDEX('KZ-normalized'!$E:$E, MATCH($A200, 'KZ-normalized'!$A:$A, 0))&gt;0, -(24*INDEX('KZ-normalized'!$D:$D, MATCH($A200, 'KZ-normalized'!$A:$A, 0))-INDEX('KZ-normalized'!$E:$E, MATCH($A200, 'KZ-normalized'!$A:$A, 0))), 0), 0))+(IFERROR(IF(24*INDEX('UZ-normalized'!$D:$D, MATCH($A200, 'UZ-normalized'!$A:$A, 0))-INDEX('UZ-normalized'!$E:$E, MATCH($A200, 'UZ-normalized'!$A:$A, 0))&gt;0, -(24*INDEX('UZ-normalized'!$D:$D, MATCH($A200, 'UZ-normalized'!$A:$A, 0))-INDEX('UZ-normalized'!$E:$E, MATCH($A200, 'UZ-normalized'!$A:$A, 0))), 0), 0)))</f>
        <v>-43.400000000000006</v>
      </c>
      <c r="AM200" s="6">
        <f>MIN(0, N200+(IFERROR(IF(25*INDEX('UA-normalized'!$D:$D, MATCH($A200, 'UA-normalized'!$A:$A, 0))-INDEX('UA-normalized'!$E:$E, MATCH($A200, 'UA-normalized'!$A:$A, 0))&gt;0, -(25*INDEX('UA-normalized'!$D:$D, MATCH($A200, 'UA-normalized'!$A:$A, 0))-INDEX('UA-normalized'!$E:$E, MATCH($A200, 'UA-normalized'!$A:$A, 0))), 0), 0))+(IFERROR(IF(25*INDEX('KZ-normalized'!$D:$D, MATCH($A200, 'KZ-normalized'!$A:$A, 0))-INDEX('KZ-normalized'!$E:$E, MATCH($A200, 'KZ-normalized'!$A:$A, 0))&gt;0, -(25*INDEX('KZ-normalized'!$D:$D, MATCH($A200, 'KZ-normalized'!$A:$A, 0))-INDEX('KZ-normalized'!$E:$E, MATCH($A200, 'KZ-normalized'!$A:$A, 0))), 0), 0))+(IFERROR(IF(25*INDEX('UZ-normalized'!$D:$D, MATCH($A200, 'UZ-normalized'!$A:$A, 0))-INDEX('UZ-normalized'!$E:$E, MATCH($A200, 'UZ-normalized'!$A:$A, 0))&gt;0, -(25*INDEX('UZ-normalized'!$D:$D, MATCH($A200, 'UZ-normalized'!$A:$A, 0))-INDEX('UZ-normalized'!$E:$E, MATCH($A200, 'UZ-normalized'!$A:$A, 0))), 0), 0)))</f>
        <v>-47</v>
      </c>
      <c r="AN200" s="6">
        <f>MIN(0, N200+(IFERROR(IF(26*INDEX('UA-normalized'!$D:$D, MATCH($A200, 'UA-normalized'!$A:$A, 0))-INDEX('UA-normalized'!$E:$E, MATCH($A200, 'UA-normalized'!$A:$A, 0))&gt;0, -(26*INDEX('UA-normalized'!$D:$D, MATCH($A200, 'UA-normalized'!$A:$A, 0))-INDEX('UA-normalized'!$E:$E, MATCH($A200, 'UA-normalized'!$A:$A, 0))), 0), 0))+(IFERROR(IF(26*INDEX('KZ-normalized'!$D:$D, MATCH($A200, 'KZ-normalized'!$A:$A, 0))-INDEX('KZ-normalized'!$E:$E, MATCH($A200, 'KZ-normalized'!$A:$A, 0))&gt;0, -(26*INDEX('KZ-normalized'!$D:$D, MATCH($A200, 'KZ-normalized'!$A:$A, 0))-INDEX('KZ-normalized'!$E:$E, MATCH($A200, 'KZ-normalized'!$A:$A, 0))), 0), 0))+(IFERROR(IF(26*INDEX('UZ-normalized'!$D:$D, MATCH($A200, 'UZ-normalized'!$A:$A, 0))-INDEX('UZ-normalized'!$E:$E, MATCH($A200, 'UZ-normalized'!$A:$A, 0))&gt;0, -(26*INDEX('UZ-normalized'!$D:$D, MATCH($A200, 'UZ-normalized'!$A:$A, 0))-INDEX('UZ-normalized'!$E:$E, MATCH($A200, 'UZ-normalized'!$A:$A, 0))), 0), 0)))</f>
        <v>-50.600000000000009</v>
      </c>
      <c r="AO200" s="6">
        <f>MIN(0, N200+(IFERROR(IF(27*INDEX('UA-normalized'!$D:$D, MATCH($A200, 'UA-normalized'!$A:$A, 0))-INDEX('UA-normalized'!$E:$E, MATCH($A200, 'UA-normalized'!$A:$A, 0))&gt;0, -(27*INDEX('UA-normalized'!$D:$D, MATCH($A200, 'UA-normalized'!$A:$A, 0))-INDEX('UA-normalized'!$E:$E, MATCH($A200, 'UA-normalized'!$A:$A, 0))), 0), 0))+(IFERROR(IF(27*INDEX('KZ-normalized'!$D:$D, MATCH($A200, 'KZ-normalized'!$A:$A, 0))-INDEX('KZ-normalized'!$E:$E, MATCH($A200, 'KZ-normalized'!$A:$A, 0))&gt;0, -(27*INDEX('KZ-normalized'!$D:$D, MATCH($A200, 'KZ-normalized'!$A:$A, 0))-INDEX('KZ-normalized'!$E:$E, MATCH($A200, 'KZ-normalized'!$A:$A, 0))), 0), 0))+(IFERROR(IF(27*INDEX('UZ-normalized'!$D:$D, MATCH($A200, 'UZ-normalized'!$A:$A, 0))-INDEX('UZ-normalized'!$E:$E, MATCH($A200, 'UZ-normalized'!$A:$A, 0))&gt;0, -(27*INDEX('UZ-normalized'!$D:$D, MATCH($A200, 'UZ-normalized'!$A:$A, 0))-INDEX('UZ-normalized'!$E:$E, MATCH($A200, 'UZ-normalized'!$A:$A, 0))), 0), 0)))</f>
        <v>-54.2</v>
      </c>
      <c r="AP200" s="6">
        <f>MIN(0, N200+(IFERROR(IF(28*INDEX('UA-normalized'!$D:$D, MATCH($A200, 'UA-normalized'!$A:$A, 0))-INDEX('UA-normalized'!$E:$E, MATCH($A200, 'UA-normalized'!$A:$A, 0))&gt;0, -(28*INDEX('UA-normalized'!$D:$D, MATCH($A200, 'UA-normalized'!$A:$A, 0))-INDEX('UA-normalized'!$E:$E, MATCH($A200, 'UA-normalized'!$A:$A, 0))), 0), 0))+(IFERROR(IF(28*INDEX('KZ-normalized'!$D:$D, MATCH($A200, 'KZ-normalized'!$A:$A, 0))-INDEX('KZ-normalized'!$E:$E, MATCH($A200, 'KZ-normalized'!$A:$A, 0))&gt;0, -(28*INDEX('KZ-normalized'!$D:$D, MATCH($A200, 'KZ-normalized'!$A:$A, 0))-INDEX('KZ-normalized'!$E:$E, MATCH($A200, 'KZ-normalized'!$A:$A, 0))), 0), 0))+(IFERROR(IF(28*INDEX('UZ-normalized'!$D:$D, MATCH($A200, 'UZ-normalized'!$A:$A, 0))-INDEX('UZ-normalized'!$E:$E, MATCH($A200, 'UZ-normalized'!$A:$A, 0))&gt;0, -(28*INDEX('UZ-normalized'!$D:$D, MATCH($A200, 'UZ-normalized'!$A:$A, 0))-INDEX('UZ-normalized'!$E:$E, MATCH($A200, 'UZ-normalized'!$A:$A, 0))), 0), 0)))</f>
        <v>-57.8</v>
      </c>
      <c r="AQ200" s="6">
        <f>MIN(0, N200+(IFERROR(IF(29*INDEX('UA-normalized'!$D:$D, MATCH($A200, 'UA-normalized'!$A:$A, 0))-INDEX('UA-normalized'!$E:$E, MATCH($A200, 'UA-normalized'!$A:$A, 0))&gt;0, -(29*INDEX('UA-normalized'!$D:$D, MATCH($A200, 'UA-normalized'!$A:$A, 0))-INDEX('UA-normalized'!$E:$E, MATCH($A200, 'UA-normalized'!$A:$A, 0))), 0), 0))+(IFERROR(IF(29*INDEX('KZ-normalized'!$D:$D, MATCH($A200, 'KZ-normalized'!$A:$A, 0))-INDEX('KZ-normalized'!$E:$E, MATCH($A200, 'KZ-normalized'!$A:$A, 0))&gt;0, -(29*INDEX('KZ-normalized'!$D:$D, MATCH($A200, 'KZ-normalized'!$A:$A, 0))-INDEX('KZ-normalized'!$E:$E, MATCH($A200, 'KZ-normalized'!$A:$A, 0))), 0), 0))+(IFERROR(IF(29*INDEX('UZ-normalized'!$D:$D, MATCH($A200, 'UZ-normalized'!$A:$A, 0))-INDEX('UZ-normalized'!$E:$E, MATCH($A200, 'UZ-normalized'!$A:$A, 0))&gt;0, -(29*INDEX('UZ-normalized'!$D:$D, MATCH($A200, 'UZ-normalized'!$A:$A, 0))-INDEX('UZ-normalized'!$E:$E, MATCH($A200, 'UZ-normalized'!$A:$A, 0))), 0), 0)))</f>
        <v>-61.400000000000006</v>
      </c>
      <c r="AR200" s="6">
        <f>MIN(0, N200+(IFERROR(IF(30*INDEX('UA-normalized'!$D:$D, MATCH($A200, 'UA-normalized'!$A:$A, 0))-INDEX('UA-normalized'!$E:$E, MATCH($A200, 'UA-normalized'!$A:$A, 0))&gt;0, -(30*INDEX('UA-normalized'!$D:$D, MATCH($A200, 'UA-normalized'!$A:$A, 0))-INDEX('UA-normalized'!$E:$E, MATCH($A200, 'UA-normalized'!$A:$A, 0))), 0), 0))+(IFERROR(IF(30*INDEX('KZ-normalized'!$D:$D, MATCH($A200, 'KZ-normalized'!$A:$A, 0))-INDEX('KZ-normalized'!$E:$E, MATCH($A200, 'KZ-normalized'!$A:$A, 0))&gt;0, -(30*INDEX('KZ-normalized'!$D:$D, MATCH($A200, 'KZ-normalized'!$A:$A, 0))-INDEX('KZ-normalized'!$E:$E, MATCH($A200, 'KZ-normalized'!$A:$A, 0))), 0), 0))+(IFERROR(IF(30*INDEX('UZ-normalized'!$D:$D, MATCH($A200, 'UZ-normalized'!$A:$A, 0))-INDEX('UZ-normalized'!$E:$E, MATCH($A200, 'UZ-normalized'!$A:$A, 0))&gt;0, -(30*INDEX('UZ-normalized'!$D:$D, MATCH($A200, 'UZ-normalized'!$A:$A, 0))-INDEX('UZ-normalized'!$E:$E, MATCH($A200, 'UZ-normalized'!$A:$A, 0))), 0), 0)))</f>
        <v>-65</v>
      </c>
    </row>
    <row r="201" spans="1:44" x14ac:dyDescent="0.25">
      <c r="A201" s="8" t="s">
        <v>481</v>
      </c>
      <c r="B201" s="8" t="s">
        <v>460</v>
      </c>
      <c r="C201" s="8" t="s">
        <v>479</v>
      </c>
      <c r="D201" s="8" t="s">
        <v>482</v>
      </c>
      <c r="E201">
        <v>212.5</v>
      </c>
      <c r="N201">
        <f t="shared" si="3"/>
        <v>212.5</v>
      </c>
      <c r="O201" s="6">
        <f>MIN(0, N201+(IFERROR(IF(1*INDEX('UA-normalized'!$D:$D, MATCH($A201, 'UA-normalized'!$A:$A, 0))-INDEX('UA-normalized'!$E:$E, MATCH($A201, 'UA-normalized'!$A:$A, 0))&gt;0, -(1*INDEX('UA-normalized'!$D:$D, MATCH($A201, 'UA-normalized'!$A:$A, 0))-INDEX('UA-normalized'!$E:$E, MATCH($A201, 'UA-normalized'!$A:$A, 0))), 0), 0))+(IFERROR(IF(1*INDEX('KZ-normalized'!$D:$D, MATCH($A201, 'KZ-normalized'!$A:$A, 0))-INDEX('KZ-normalized'!$E:$E, MATCH($A201, 'KZ-normalized'!$A:$A, 0))&gt;0, -(1*INDEX('KZ-normalized'!$D:$D, MATCH($A201, 'KZ-normalized'!$A:$A, 0))-INDEX('KZ-normalized'!$E:$E, MATCH($A201, 'KZ-normalized'!$A:$A, 0))), 0), 0))+(IFERROR(IF(1*INDEX('UZ-normalized'!$D:$D, MATCH($A201, 'UZ-normalized'!$A:$A, 0))-INDEX('UZ-normalized'!$E:$E, MATCH($A201, 'UZ-normalized'!$A:$A, 0))&gt;0, -(1*INDEX('UZ-normalized'!$D:$D, MATCH($A201, 'UZ-normalized'!$A:$A, 0))-INDEX('UZ-normalized'!$E:$E, MATCH($A201, 'UZ-normalized'!$A:$A, 0))), 0), 0)))</f>
        <v>0</v>
      </c>
      <c r="P201" s="6">
        <f>MIN(0, N201+(IFERROR(IF(2*INDEX('UA-normalized'!$D:$D, MATCH($A201, 'UA-normalized'!$A:$A, 0))-INDEX('UA-normalized'!$E:$E, MATCH($A201, 'UA-normalized'!$A:$A, 0))&gt;0, -(2*INDEX('UA-normalized'!$D:$D, MATCH($A201, 'UA-normalized'!$A:$A, 0))-INDEX('UA-normalized'!$E:$E, MATCH($A201, 'UA-normalized'!$A:$A, 0))), 0), 0))+(IFERROR(IF(2*INDEX('KZ-normalized'!$D:$D, MATCH($A201, 'KZ-normalized'!$A:$A, 0))-INDEX('KZ-normalized'!$E:$E, MATCH($A201, 'KZ-normalized'!$A:$A, 0))&gt;0, -(2*INDEX('KZ-normalized'!$D:$D, MATCH($A201, 'KZ-normalized'!$A:$A, 0))-INDEX('KZ-normalized'!$E:$E, MATCH($A201, 'KZ-normalized'!$A:$A, 0))), 0), 0))+(IFERROR(IF(2*INDEX('UZ-normalized'!$D:$D, MATCH($A201, 'UZ-normalized'!$A:$A, 0))-INDEX('UZ-normalized'!$E:$E, MATCH($A201, 'UZ-normalized'!$A:$A, 0))&gt;0, -(2*INDEX('UZ-normalized'!$D:$D, MATCH($A201, 'UZ-normalized'!$A:$A, 0))-INDEX('UZ-normalized'!$E:$E, MATCH($A201, 'UZ-normalized'!$A:$A, 0))), 0), 0)))</f>
        <v>0</v>
      </c>
      <c r="Q201" s="6">
        <f>MIN(0, N201+(IFERROR(IF(3*INDEX('UA-normalized'!$D:$D, MATCH($A201, 'UA-normalized'!$A:$A, 0))-INDEX('UA-normalized'!$E:$E, MATCH($A201, 'UA-normalized'!$A:$A, 0))&gt;0, -(3*INDEX('UA-normalized'!$D:$D, MATCH($A201, 'UA-normalized'!$A:$A, 0))-INDEX('UA-normalized'!$E:$E, MATCH($A201, 'UA-normalized'!$A:$A, 0))), 0), 0))+(IFERROR(IF(3*INDEX('KZ-normalized'!$D:$D, MATCH($A201, 'KZ-normalized'!$A:$A, 0))-INDEX('KZ-normalized'!$E:$E, MATCH($A201, 'KZ-normalized'!$A:$A, 0))&gt;0, -(3*INDEX('KZ-normalized'!$D:$D, MATCH($A201, 'KZ-normalized'!$A:$A, 0))-INDEX('KZ-normalized'!$E:$E, MATCH($A201, 'KZ-normalized'!$A:$A, 0))), 0), 0))+(IFERROR(IF(3*INDEX('UZ-normalized'!$D:$D, MATCH($A201, 'UZ-normalized'!$A:$A, 0))-INDEX('UZ-normalized'!$E:$E, MATCH($A201, 'UZ-normalized'!$A:$A, 0))&gt;0, -(3*INDEX('UZ-normalized'!$D:$D, MATCH($A201, 'UZ-normalized'!$A:$A, 0))-INDEX('UZ-normalized'!$E:$E, MATCH($A201, 'UZ-normalized'!$A:$A, 0))), 0), 0)))</f>
        <v>0</v>
      </c>
      <c r="R201" s="6">
        <f>MIN(0, N201+(IFERROR(IF(4*INDEX('UA-normalized'!$D:$D, MATCH($A201, 'UA-normalized'!$A:$A, 0))-INDEX('UA-normalized'!$E:$E, MATCH($A201, 'UA-normalized'!$A:$A, 0))&gt;0, -(4*INDEX('UA-normalized'!$D:$D, MATCH($A201, 'UA-normalized'!$A:$A, 0))-INDEX('UA-normalized'!$E:$E, MATCH($A201, 'UA-normalized'!$A:$A, 0))), 0), 0))+(IFERROR(IF(4*INDEX('KZ-normalized'!$D:$D, MATCH($A201, 'KZ-normalized'!$A:$A, 0))-INDEX('KZ-normalized'!$E:$E, MATCH($A201, 'KZ-normalized'!$A:$A, 0))&gt;0, -(4*INDEX('KZ-normalized'!$D:$D, MATCH($A201, 'KZ-normalized'!$A:$A, 0))-INDEX('KZ-normalized'!$E:$E, MATCH($A201, 'KZ-normalized'!$A:$A, 0))), 0), 0))+(IFERROR(IF(4*INDEX('UZ-normalized'!$D:$D, MATCH($A201, 'UZ-normalized'!$A:$A, 0))-INDEX('UZ-normalized'!$E:$E, MATCH($A201, 'UZ-normalized'!$A:$A, 0))&gt;0, -(4*INDEX('UZ-normalized'!$D:$D, MATCH($A201, 'UZ-normalized'!$A:$A, 0))-INDEX('UZ-normalized'!$E:$E, MATCH($A201, 'UZ-normalized'!$A:$A, 0))), 0), 0)))</f>
        <v>0</v>
      </c>
      <c r="S201" s="6">
        <f>MIN(0, N201+(IFERROR(IF(5*INDEX('UA-normalized'!$D:$D, MATCH($A201, 'UA-normalized'!$A:$A, 0))-INDEX('UA-normalized'!$E:$E, MATCH($A201, 'UA-normalized'!$A:$A, 0))&gt;0, -(5*INDEX('UA-normalized'!$D:$D, MATCH($A201, 'UA-normalized'!$A:$A, 0))-INDEX('UA-normalized'!$E:$E, MATCH($A201, 'UA-normalized'!$A:$A, 0))), 0), 0))+(IFERROR(IF(5*INDEX('KZ-normalized'!$D:$D, MATCH($A201, 'KZ-normalized'!$A:$A, 0))-INDEX('KZ-normalized'!$E:$E, MATCH($A201, 'KZ-normalized'!$A:$A, 0))&gt;0, -(5*INDEX('KZ-normalized'!$D:$D, MATCH($A201, 'KZ-normalized'!$A:$A, 0))-INDEX('KZ-normalized'!$E:$E, MATCH($A201, 'KZ-normalized'!$A:$A, 0))), 0), 0))+(IFERROR(IF(5*INDEX('UZ-normalized'!$D:$D, MATCH($A201, 'UZ-normalized'!$A:$A, 0))-INDEX('UZ-normalized'!$E:$E, MATCH($A201, 'UZ-normalized'!$A:$A, 0))&gt;0, -(5*INDEX('UZ-normalized'!$D:$D, MATCH($A201, 'UZ-normalized'!$A:$A, 0))-INDEX('UZ-normalized'!$E:$E, MATCH($A201, 'UZ-normalized'!$A:$A, 0))), 0), 0)))</f>
        <v>0</v>
      </c>
      <c r="T201" s="6">
        <f>MIN(0, N201+(IFERROR(IF(6*INDEX('UA-normalized'!$D:$D, MATCH($A201, 'UA-normalized'!$A:$A, 0))-INDEX('UA-normalized'!$E:$E, MATCH($A201, 'UA-normalized'!$A:$A, 0))&gt;0, -(6*INDEX('UA-normalized'!$D:$D, MATCH($A201, 'UA-normalized'!$A:$A, 0))-INDEX('UA-normalized'!$E:$E, MATCH($A201, 'UA-normalized'!$A:$A, 0))), 0), 0))+(IFERROR(IF(6*INDEX('KZ-normalized'!$D:$D, MATCH($A201, 'KZ-normalized'!$A:$A, 0))-INDEX('KZ-normalized'!$E:$E, MATCH($A201, 'KZ-normalized'!$A:$A, 0))&gt;0, -(6*INDEX('KZ-normalized'!$D:$D, MATCH($A201, 'KZ-normalized'!$A:$A, 0))-INDEX('KZ-normalized'!$E:$E, MATCH($A201, 'KZ-normalized'!$A:$A, 0))), 0), 0))+(IFERROR(IF(6*INDEX('UZ-normalized'!$D:$D, MATCH($A201, 'UZ-normalized'!$A:$A, 0))-INDEX('UZ-normalized'!$E:$E, MATCH($A201, 'UZ-normalized'!$A:$A, 0))&gt;0, -(6*INDEX('UZ-normalized'!$D:$D, MATCH($A201, 'UZ-normalized'!$A:$A, 0))-INDEX('UZ-normalized'!$E:$E, MATCH($A201, 'UZ-normalized'!$A:$A, 0))), 0), 0)))</f>
        <v>0</v>
      </c>
      <c r="U201" s="6">
        <f>MIN(0, N201+(IFERROR(IF(7*INDEX('UA-normalized'!$D:$D, MATCH($A201, 'UA-normalized'!$A:$A, 0))-INDEX('UA-normalized'!$E:$E, MATCH($A201, 'UA-normalized'!$A:$A, 0))&gt;0, -(7*INDEX('UA-normalized'!$D:$D, MATCH($A201, 'UA-normalized'!$A:$A, 0))-INDEX('UA-normalized'!$E:$E, MATCH($A201, 'UA-normalized'!$A:$A, 0))), 0), 0))+(IFERROR(IF(7*INDEX('KZ-normalized'!$D:$D, MATCH($A201, 'KZ-normalized'!$A:$A, 0))-INDEX('KZ-normalized'!$E:$E, MATCH($A201, 'KZ-normalized'!$A:$A, 0))&gt;0, -(7*INDEX('KZ-normalized'!$D:$D, MATCH($A201, 'KZ-normalized'!$A:$A, 0))-INDEX('KZ-normalized'!$E:$E, MATCH($A201, 'KZ-normalized'!$A:$A, 0))), 0), 0))+(IFERROR(IF(7*INDEX('UZ-normalized'!$D:$D, MATCH($A201, 'UZ-normalized'!$A:$A, 0))-INDEX('UZ-normalized'!$E:$E, MATCH($A201, 'UZ-normalized'!$A:$A, 0))&gt;0, -(7*INDEX('UZ-normalized'!$D:$D, MATCH($A201, 'UZ-normalized'!$A:$A, 0))-INDEX('UZ-normalized'!$E:$E, MATCH($A201, 'UZ-normalized'!$A:$A, 0))), 0), 0)))</f>
        <v>0</v>
      </c>
      <c r="V201" s="6">
        <f>MIN(0, N201+(IFERROR(IF(8*INDEX('UA-normalized'!$D:$D, MATCH($A201, 'UA-normalized'!$A:$A, 0))-INDEX('UA-normalized'!$E:$E, MATCH($A201, 'UA-normalized'!$A:$A, 0))&gt;0, -(8*INDEX('UA-normalized'!$D:$D, MATCH($A201, 'UA-normalized'!$A:$A, 0))-INDEX('UA-normalized'!$E:$E, MATCH($A201, 'UA-normalized'!$A:$A, 0))), 0), 0))+(IFERROR(IF(8*INDEX('KZ-normalized'!$D:$D, MATCH($A201, 'KZ-normalized'!$A:$A, 0))-INDEX('KZ-normalized'!$E:$E, MATCH($A201, 'KZ-normalized'!$A:$A, 0))&gt;0, -(8*INDEX('KZ-normalized'!$D:$D, MATCH($A201, 'KZ-normalized'!$A:$A, 0))-INDEX('KZ-normalized'!$E:$E, MATCH($A201, 'KZ-normalized'!$A:$A, 0))), 0), 0))+(IFERROR(IF(8*INDEX('UZ-normalized'!$D:$D, MATCH($A201, 'UZ-normalized'!$A:$A, 0))-INDEX('UZ-normalized'!$E:$E, MATCH($A201, 'UZ-normalized'!$A:$A, 0))&gt;0, -(8*INDEX('UZ-normalized'!$D:$D, MATCH($A201, 'UZ-normalized'!$A:$A, 0))-INDEX('UZ-normalized'!$E:$E, MATCH($A201, 'UZ-normalized'!$A:$A, 0))), 0), 0)))</f>
        <v>0</v>
      </c>
      <c r="W201" s="6">
        <f>MIN(0, N201+(IFERROR(IF(9*INDEX('UA-normalized'!$D:$D, MATCH($A201, 'UA-normalized'!$A:$A, 0))-INDEX('UA-normalized'!$E:$E, MATCH($A201, 'UA-normalized'!$A:$A, 0))&gt;0, -(9*INDEX('UA-normalized'!$D:$D, MATCH($A201, 'UA-normalized'!$A:$A, 0))-INDEX('UA-normalized'!$E:$E, MATCH($A201, 'UA-normalized'!$A:$A, 0))), 0), 0))+(IFERROR(IF(9*INDEX('KZ-normalized'!$D:$D, MATCH($A201, 'KZ-normalized'!$A:$A, 0))-INDEX('KZ-normalized'!$E:$E, MATCH($A201, 'KZ-normalized'!$A:$A, 0))&gt;0, -(9*INDEX('KZ-normalized'!$D:$D, MATCH($A201, 'KZ-normalized'!$A:$A, 0))-INDEX('KZ-normalized'!$E:$E, MATCH($A201, 'KZ-normalized'!$A:$A, 0))), 0), 0))+(IFERROR(IF(9*INDEX('UZ-normalized'!$D:$D, MATCH($A201, 'UZ-normalized'!$A:$A, 0))-INDEX('UZ-normalized'!$E:$E, MATCH($A201, 'UZ-normalized'!$A:$A, 0))&gt;0, -(9*INDEX('UZ-normalized'!$D:$D, MATCH($A201, 'UZ-normalized'!$A:$A, 0))-INDEX('UZ-normalized'!$E:$E, MATCH($A201, 'UZ-normalized'!$A:$A, 0))), 0), 0)))</f>
        <v>0</v>
      </c>
      <c r="X201" s="6">
        <f>MIN(0, N201+(IFERROR(IF(10*INDEX('UA-normalized'!$D:$D, MATCH($A201, 'UA-normalized'!$A:$A, 0))-INDEX('UA-normalized'!$E:$E, MATCH($A201, 'UA-normalized'!$A:$A, 0))&gt;0, -(10*INDEX('UA-normalized'!$D:$D, MATCH($A201, 'UA-normalized'!$A:$A, 0))-INDEX('UA-normalized'!$E:$E, MATCH($A201, 'UA-normalized'!$A:$A, 0))), 0), 0))+(IFERROR(IF(10*INDEX('KZ-normalized'!$D:$D, MATCH($A201, 'KZ-normalized'!$A:$A, 0))-INDEX('KZ-normalized'!$E:$E, MATCH($A201, 'KZ-normalized'!$A:$A, 0))&gt;0, -(10*INDEX('KZ-normalized'!$D:$D, MATCH($A201, 'KZ-normalized'!$A:$A, 0))-INDEX('KZ-normalized'!$E:$E, MATCH($A201, 'KZ-normalized'!$A:$A, 0))), 0), 0))+(IFERROR(IF(10*INDEX('UZ-normalized'!$D:$D, MATCH($A201, 'UZ-normalized'!$A:$A, 0))-INDEX('UZ-normalized'!$E:$E, MATCH($A201, 'UZ-normalized'!$A:$A, 0))&gt;0, -(10*INDEX('UZ-normalized'!$D:$D, MATCH($A201, 'UZ-normalized'!$A:$A, 0))-INDEX('UZ-normalized'!$E:$E, MATCH($A201, 'UZ-normalized'!$A:$A, 0))), 0), 0)))</f>
        <v>0</v>
      </c>
      <c r="Y201" s="6">
        <f>MIN(0, N201+(IFERROR(IF(11*INDEX('UA-normalized'!$D:$D, MATCH($A201, 'UA-normalized'!$A:$A, 0))-INDEX('UA-normalized'!$E:$E, MATCH($A201, 'UA-normalized'!$A:$A, 0))&gt;0, -(11*INDEX('UA-normalized'!$D:$D, MATCH($A201, 'UA-normalized'!$A:$A, 0))-INDEX('UA-normalized'!$E:$E, MATCH($A201, 'UA-normalized'!$A:$A, 0))), 0), 0))+(IFERROR(IF(11*INDEX('KZ-normalized'!$D:$D, MATCH($A201, 'KZ-normalized'!$A:$A, 0))-INDEX('KZ-normalized'!$E:$E, MATCH($A201, 'KZ-normalized'!$A:$A, 0))&gt;0, -(11*INDEX('KZ-normalized'!$D:$D, MATCH($A201, 'KZ-normalized'!$A:$A, 0))-INDEX('KZ-normalized'!$E:$E, MATCH($A201, 'KZ-normalized'!$A:$A, 0))), 0), 0))+(IFERROR(IF(11*INDEX('UZ-normalized'!$D:$D, MATCH($A201, 'UZ-normalized'!$A:$A, 0))-INDEX('UZ-normalized'!$E:$E, MATCH($A201, 'UZ-normalized'!$A:$A, 0))&gt;0, -(11*INDEX('UZ-normalized'!$D:$D, MATCH($A201, 'UZ-normalized'!$A:$A, 0))-INDEX('UZ-normalized'!$E:$E, MATCH($A201, 'UZ-normalized'!$A:$A, 0))), 0), 0)))</f>
        <v>0</v>
      </c>
      <c r="Z201" s="6">
        <f>MIN(0, N201+(IFERROR(IF(12*INDEX('UA-normalized'!$D:$D, MATCH($A201, 'UA-normalized'!$A:$A, 0))-INDEX('UA-normalized'!$E:$E, MATCH($A201, 'UA-normalized'!$A:$A, 0))&gt;0, -(12*INDEX('UA-normalized'!$D:$D, MATCH($A201, 'UA-normalized'!$A:$A, 0))-INDEX('UA-normalized'!$E:$E, MATCH($A201, 'UA-normalized'!$A:$A, 0))), 0), 0))+(IFERROR(IF(12*INDEX('KZ-normalized'!$D:$D, MATCH($A201, 'KZ-normalized'!$A:$A, 0))-INDEX('KZ-normalized'!$E:$E, MATCH($A201, 'KZ-normalized'!$A:$A, 0))&gt;0, -(12*INDEX('KZ-normalized'!$D:$D, MATCH($A201, 'KZ-normalized'!$A:$A, 0))-INDEX('KZ-normalized'!$E:$E, MATCH($A201, 'KZ-normalized'!$A:$A, 0))), 0), 0))+(IFERROR(IF(12*INDEX('UZ-normalized'!$D:$D, MATCH($A201, 'UZ-normalized'!$A:$A, 0))-INDEX('UZ-normalized'!$E:$E, MATCH($A201, 'UZ-normalized'!$A:$A, 0))&gt;0, -(12*INDEX('UZ-normalized'!$D:$D, MATCH($A201, 'UZ-normalized'!$A:$A, 0))-INDEX('UZ-normalized'!$E:$E, MATCH($A201, 'UZ-normalized'!$A:$A, 0))), 0), 0)))</f>
        <v>0</v>
      </c>
      <c r="AA201" s="6">
        <f>MIN(0, N201+(IFERROR(IF(13*INDEX('UA-normalized'!$D:$D, MATCH($A201, 'UA-normalized'!$A:$A, 0))-INDEX('UA-normalized'!$E:$E, MATCH($A201, 'UA-normalized'!$A:$A, 0))&gt;0, -(13*INDEX('UA-normalized'!$D:$D, MATCH($A201, 'UA-normalized'!$A:$A, 0))-INDEX('UA-normalized'!$E:$E, MATCH($A201, 'UA-normalized'!$A:$A, 0))), 0), 0))+(IFERROR(IF(13*INDEX('KZ-normalized'!$D:$D, MATCH($A201, 'KZ-normalized'!$A:$A, 0))-INDEX('KZ-normalized'!$E:$E, MATCH($A201, 'KZ-normalized'!$A:$A, 0))&gt;0, -(13*INDEX('KZ-normalized'!$D:$D, MATCH($A201, 'KZ-normalized'!$A:$A, 0))-INDEX('KZ-normalized'!$E:$E, MATCH($A201, 'KZ-normalized'!$A:$A, 0))), 0), 0))+(IFERROR(IF(13*INDEX('UZ-normalized'!$D:$D, MATCH($A201, 'UZ-normalized'!$A:$A, 0))-INDEX('UZ-normalized'!$E:$E, MATCH($A201, 'UZ-normalized'!$A:$A, 0))&gt;0, -(13*INDEX('UZ-normalized'!$D:$D, MATCH($A201, 'UZ-normalized'!$A:$A, 0))-INDEX('UZ-normalized'!$E:$E, MATCH($A201, 'UZ-normalized'!$A:$A, 0))), 0), 0)))</f>
        <v>0</v>
      </c>
      <c r="AB201" s="6">
        <f>MIN(0, N201+(IFERROR(IF(14*INDEX('UA-normalized'!$D:$D, MATCH($A201, 'UA-normalized'!$A:$A, 0))-INDEX('UA-normalized'!$E:$E, MATCH($A201, 'UA-normalized'!$A:$A, 0))&gt;0, -(14*INDEX('UA-normalized'!$D:$D, MATCH($A201, 'UA-normalized'!$A:$A, 0))-INDEX('UA-normalized'!$E:$E, MATCH($A201, 'UA-normalized'!$A:$A, 0))), 0), 0))+(IFERROR(IF(14*INDEX('KZ-normalized'!$D:$D, MATCH($A201, 'KZ-normalized'!$A:$A, 0))-INDEX('KZ-normalized'!$E:$E, MATCH($A201, 'KZ-normalized'!$A:$A, 0))&gt;0, -(14*INDEX('KZ-normalized'!$D:$D, MATCH($A201, 'KZ-normalized'!$A:$A, 0))-INDEX('KZ-normalized'!$E:$E, MATCH($A201, 'KZ-normalized'!$A:$A, 0))), 0), 0))+(IFERROR(IF(14*INDEX('UZ-normalized'!$D:$D, MATCH($A201, 'UZ-normalized'!$A:$A, 0))-INDEX('UZ-normalized'!$E:$E, MATCH($A201, 'UZ-normalized'!$A:$A, 0))&gt;0, -(14*INDEX('UZ-normalized'!$D:$D, MATCH($A201, 'UZ-normalized'!$A:$A, 0))-INDEX('UZ-normalized'!$E:$E, MATCH($A201, 'UZ-normalized'!$A:$A, 0))), 0), 0)))</f>
        <v>0</v>
      </c>
      <c r="AC201" s="6">
        <f>MIN(0, N201+(IFERROR(IF(15*INDEX('UA-normalized'!$D:$D, MATCH($A201, 'UA-normalized'!$A:$A, 0))-INDEX('UA-normalized'!$E:$E, MATCH($A201, 'UA-normalized'!$A:$A, 0))&gt;0, -(15*INDEX('UA-normalized'!$D:$D, MATCH($A201, 'UA-normalized'!$A:$A, 0))-INDEX('UA-normalized'!$E:$E, MATCH($A201, 'UA-normalized'!$A:$A, 0))), 0), 0))+(IFERROR(IF(15*INDEX('KZ-normalized'!$D:$D, MATCH($A201, 'KZ-normalized'!$A:$A, 0))-INDEX('KZ-normalized'!$E:$E, MATCH($A201, 'KZ-normalized'!$A:$A, 0))&gt;0, -(15*INDEX('KZ-normalized'!$D:$D, MATCH($A201, 'KZ-normalized'!$A:$A, 0))-INDEX('KZ-normalized'!$E:$E, MATCH($A201, 'KZ-normalized'!$A:$A, 0))), 0), 0))+(IFERROR(IF(15*INDEX('UZ-normalized'!$D:$D, MATCH($A201, 'UZ-normalized'!$A:$A, 0))-INDEX('UZ-normalized'!$E:$E, MATCH($A201, 'UZ-normalized'!$A:$A, 0))&gt;0, -(15*INDEX('UZ-normalized'!$D:$D, MATCH($A201, 'UZ-normalized'!$A:$A, 0))-INDEX('UZ-normalized'!$E:$E, MATCH($A201, 'UZ-normalized'!$A:$A, 0))), 0), 0)))</f>
        <v>0</v>
      </c>
      <c r="AD201" s="6">
        <f>MIN(0, N201+(IFERROR(IF(16*INDEX('UA-normalized'!$D:$D, MATCH($A201, 'UA-normalized'!$A:$A, 0))-INDEX('UA-normalized'!$E:$E, MATCH($A201, 'UA-normalized'!$A:$A, 0))&gt;0, -(16*INDEX('UA-normalized'!$D:$D, MATCH($A201, 'UA-normalized'!$A:$A, 0))-INDEX('UA-normalized'!$E:$E, MATCH($A201, 'UA-normalized'!$A:$A, 0))), 0), 0))+(IFERROR(IF(16*INDEX('KZ-normalized'!$D:$D, MATCH($A201, 'KZ-normalized'!$A:$A, 0))-INDEX('KZ-normalized'!$E:$E, MATCH($A201, 'KZ-normalized'!$A:$A, 0))&gt;0, -(16*INDEX('KZ-normalized'!$D:$D, MATCH($A201, 'KZ-normalized'!$A:$A, 0))-INDEX('KZ-normalized'!$E:$E, MATCH($A201, 'KZ-normalized'!$A:$A, 0))), 0), 0))+(IFERROR(IF(16*INDEX('UZ-normalized'!$D:$D, MATCH($A201, 'UZ-normalized'!$A:$A, 0))-INDEX('UZ-normalized'!$E:$E, MATCH($A201, 'UZ-normalized'!$A:$A, 0))&gt;0, -(16*INDEX('UZ-normalized'!$D:$D, MATCH($A201, 'UZ-normalized'!$A:$A, 0))-INDEX('UZ-normalized'!$E:$E, MATCH($A201, 'UZ-normalized'!$A:$A, 0))), 0), 0)))</f>
        <v>0</v>
      </c>
      <c r="AE201" s="6">
        <f>MIN(0, N201+(IFERROR(IF(17*INDEX('UA-normalized'!$D:$D, MATCH($A201, 'UA-normalized'!$A:$A, 0))-INDEX('UA-normalized'!$E:$E, MATCH($A201, 'UA-normalized'!$A:$A, 0))&gt;0, -(17*INDEX('UA-normalized'!$D:$D, MATCH($A201, 'UA-normalized'!$A:$A, 0))-INDEX('UA-normalized'!$E:$E, MATCH($A201, 'UA-normalized'!$A:$A, 0))), 0), 0))+(IFERROR(IF(17*INDEX('KZ-normalized'!$D:$D, MATCH($A201, 'KZ-normalized'!$A:$A, 0))-INDEX('KZ-normalized'!$E:$E, MATCH($A201, 'KZ-normalized'!$A:$A, 0))&gt;0, -(17*INDEX('KZ-normalized'!$D:$D, MATCH($A201, 'KZ-normalized'!$A:$A, 0))-INDEX('KZ-normalized'!$E:$E, MATCH($A201, 'KZ-normalized'!$A:$A, 0))), 0), 0))+(IFERROR(IF(17*INDEX('UZ-normalized'!$D:$D, MATCH($A201, 'UZ-normalized'!$A:$A, 0))-INDEX('UZ-normalized'!$E:$E, MATCH($A201, 'UZ-normalized'!$A:$A, 0))&gt;0, -(17*INDEX('UZ-normalized'!$D:$D, MATCH($A201, 'UZ-normalized'!$A:$A, 0))-INDEX('UZ-normalized'!$E:$E, MATCH($A201, 'UZ-normalized'!$A:$A, 0))), 0), 0)))</f>
        <v>0</v>
      </c>
      <c r="AF201" s="6">
        <f>MIN(0, N201+(IFERROR(IF(18*INDEX('UA-normalized'!$D:$D, MATCH($A201, 'UA-normalized'!$A:$A, 0))-INDEX('UA-normalized'!$E:$E, MATCH($A201, 'UA-normalized'!$A:$A, 0))&gt;0, -(18*INDEX('UA-normalized'!$D:$D, MATCH($A201, 'UA-normalized'!$A:$A, 0))-INDEX('UA-normalized'!$E:$E, MATCH($A201, 'UA-normalized'!$A:$A, 0))), 0), 0))+(IFERROR(IF(18*INDEX('KZ-normalized'!$D:$D, MATCH($A201, 'KZ-normalized'!$A:$A, 0))-INDEX('KZ-normalized'!$E:$E, MATCH($A201, 'KZ-normalized'!$A:$A, 0))&gt;0, -(18*INDEX('KZ-normalized'!$D:$D, MATCH($A201, 'KZ-normalized'!$A:$A, 0))-INDEX('KZ-normalized'!$E:$E, MATCH($A201, 'KZ-normalized'!$A:$A, 0))), 0), 0))+(IFERROR(IF(18*INDEX('UZ-normalized'!$D:$D, MATCH($A201, 'UZ-normalized'!$A:$A, 0))-INDEX('UZ-normalized'!$E:$E, MATCH($A201, 'UZ-normalized'!$A:$A, 0))&gt;0, -(18*INDEX('UZ-normalized'!$D:$D, MATCH($A201, 'UZ-normalized'!$A:$A, 0))-INDEX('UZ-normalized'!$E:$E, MATCH($A201, 'UZ-normalized'!$A:$A, 0))), 0), 0)))</f>
        <v>0</v>
      </c>
      <c r="AG201" s="6">
        <f>MIN(0, N201+(IFERROR(IF(19*INDEX('UA-normalized'!$D:$D, MATCH($A201, 'UA-normalized'!$A:$A, 0))-INDEX('UA-normalized'!$E:$E, MATCH($A201, 'UA-normalized'!$A:$A, 0))&gt;0, -(19*INDEX('UA-normalized'!$D:$D, MATCH($A201, 'UA-normalized'!$A:$A, 0))-INDEX('UA-normalized'!$E:$E, MATCH($A201, 'UA-normalized'!$A:$A, 0))), 0), 0))+(IFERROR(IF(19*INDEX('KZ-normalized'!$D:$D, MATCH($A201, 'KZ-normalized'!$A:$A, 0))-INDEX('KZ-normalized'!$E:$E, MATCH($A201, 'KZ-normalized'!$A:$A, 0))&gt;0, -(19*INDEX('KZ-normalized'!$D:$D, MATCH($A201, 'KZ-normalized'!$A:$A, 0))-INDEX('KZ-normalized'!$E:$E, MATCH($A201, 'KZ-normalized'!$A:$A, 0))), 0), 0))+(IFERROR(IF(19*INDEX('UZ-normalized'!$D:$D, MATCH($A201, 'UZ-normalized'!$A:$A, 0))-INDEX('UZ-normalized'!$E:$E, MATCH($A201, 'UZ-normalized'!$A:$A, 0))&gt;0, -(19*INDEX('UZ-normalized'!$D:$D, MATCH($A201, 'UZ-normalized'!$A:$A, 0))-INDEX('UZ-normalized'!$E:$E, MATCH($A201, 'UZ-normalized'!$A:$A, 0))), 0), 0)))</f>
        <v>0</v>
      </c>
      <c r="AH201" s="6">
        <f>MIN(0, N201+(IFERROR(IF(20*INDEX('UA-normalized'!$D:$D, MATCH($A201, 'UA-normalized'!$A:$A, 0))-INDEX('UA-normalized'!$E:$E, MATCH($A201, 'UA-normalized'!$A:$A, 0))&gt;0, -(20*INDEX('UA-normalized'!$D:$D, MATCH($A201, 'UA-normalized'!$A:$A, 0))-INDEX('UA-normalized'!$E:$E, MATCH($A201, 'UA-normalized'!$A:$A, 0))), 0), 0))+(IFERROR(IF(20*INDEX('KZ-normalized'!$D:$D, MATCH($A201, 'KZ-normalized'!$A:$A, 0))-INDEX('KZ-normalized'!$E:$E, MATCH($A201, 'KZ-normalized'!$A:$A, 0))&gt;0, -(20*INDEX('KZ-normalized'!$D:$D, MATCH($A201, 'KZ-normalized'!$A:$A, 0))-INDEX('KZ-normalized'!$E:$E, MATCH($A201, 'KZ-normalized'!$A:$A, 0))), 0), 0))+(IFERROR(IF(20*INDEX('UZ-normalized'!$D:$D, MATCH($A201, 'UZ-normalized'!$A:$A, 0))-INDEX('UZ-normalized'!$E:$E, MATCH($A201, 'UZ-normalized'!$A:$A, 0))&gt;0, -(20*INDEX('UZ-normalized'!$D:$D, MATCH($A201, 'UZ-normalized'!$A:$A, 0))-INDEX('UZ-normalized'!$E:$E, MATCH($A201, 'UZ-normalized'!$A:$A, 0))), 0), 0)))</f>
        <v>0</v>
      </c>
      <c r="AI201" s="6">
        <f>MIN(0, N201+(IFERROR(IF(21*INDEX('UA-normalized'!$D:$D, MATCH($A201, 'UA-normalized'!$A:$A, 0))-INDEX('UA-normalized'!$E:$E, MATCH($A201, 'UA-normalized'!$A:$A, 0))&gt;0, -(21*INDEX('UA-normalized'!$D:$D, MATCH($A201, 'UA-normalized'!$A:$A, 0))-INDEX('UA-normalized'!$E:$E, MATCH($A201, 'UA-normalized'!$A:$A, 0))), 0), 0))+(IFERROR(IF(21*INDEX('KZ-normalized'!$D:$D, MATCH($A201, 'KZ-normalized'!$A:$A, 0))-INDEX('KZ-normalized'!$E:$E, MATCH($A201, 'KZ-normalized'!$A:$A, 0))&gt;0, -(21*INDEX('KZ-normalized'!$D:$D, MATCH($A201, 'KZ-normalized'!$A:$A, 0))-INDEX('KZ-normalized'!$E:$E, MATCH($A201, 'KZ-normalized'!$A:$A, 0))), 0), 0))+(IFERROR(IF(21*INDEX('UZ-normalized'!$D:$D, MATCH($A201, 'UZ-normalized'!$A:$A, 0))-INDEX('UZ-normalized'!$E:$E, MATCH($A201, 'UZ-normalized'!$A:$A, 0))&gt;0, -(21*INDEX('UZ-normalized'!$D:$D, MATCH($A201, 'UZ-normalized'!$A:$A, 0))-INDEX('UZ-normalized'!$E:$E, MATCH($A201, 'UZ-normalized'!$A:$A, 0))), 0), 0)))</f>
        <v>0</v>
      </c>
      <c r="AJ201" s="6">
        <f>MIN(0, N201+(IFERROR(IF(22*INDEX('UA-normalized'!$D:$D, MATCH($A201, 'UA-normalized'!$A:$A, 0))-INDEX('UA-normalized'!$E:$E, MATCH($A201, 'UA-normalized'!$A:$A, 0))&gt;0, -(22*INDEX('UA-normalized'!$D:$D, MATCH($A201, 'UA-normalized'!$A:$A, 0))-INDEX('UA-normalized'!$E:$E, MATCH($A201, 'UA-normalized'!$A:$A, 0))), 0), 0))+(IFERROR(IF(22*INDEX('KZ-normalized'!$D:$D, MATCH($A201, 'KZ-normalized'!$A:$A, 0))-INDEX('KZ-normalized'!$E:$E, MATCH($A201, 'KZ-normalized'!$A:$A, 0))&gt;0, -(22*INDEX('KZ-normalized'!$D:$D, MATCH($A201, 'KZ-normalized'!$A:$A, 0))-INDEX('KZ-normalized'!$E:$E, MATCH($A201, 'KZ-normalized'!$A:$A, 0))), 0), 0))+(IFERROR(IF(22*INDEX('UZ-normalized'!$D:$D, MATCH($A201, 'UZ-normalized'!$A:$A, 0))-INDEX('UZ-normalized'!$E:$E, MATCH($A201, 'UZ-normalized'!$A:$A, 0))&gt;0, -(22*INDEX('UZ-normalized'!$D:$D, MATCH($A201, 'UZ-normalized'!$A:$A, 0))-INDEX('UZ-normalized'!$E:$E, MATCH($A201, 'UZ-normalized'!$A:$A, 0))), 0), 0)))</f>
        <v>0</v>
      </c>
      <c r="AK201" s="6">
        <f>MIN(0, N201+(IFERROR(IF(23*INDEX('UA-normalized'!$D:$D, MATCH($A201, 'UA-normalized'!$A:$A, 0))-INDEX('UA-normalized'!$E:$E, MATCH($A201, 'UA-normalized'!$A:$A, 0))&gt;0, -(23*INDEX('UA-normalized'!$D:$D, MATCH($A201, 'UA-normalized'!$A:$A, 0))-INDEX('UA-normalized'!$E:$E, MATCH($A201, 'UA-normalized'!$A:$A, 0))), 0), 0))+(IFERROR(IF(23*INDEX('KZ-normalized'!$D:$D, MATCH($A201, 'KZ-normalized'!$A:$A, 0))-INDEX('KZ-normalized'!$E:$E, MATCH($A201, 'KZ-normalized'!$A:$A, 0))&gt;0, -(23*INDEX('KZ-normalized'!$D:$D, MATCH($A201, 'KZ-normalized'!$A:$A, 0))-INDEX('KZ-normalized'!$E:$E, MATCH($A201, 'KZ-normalized'!$A:$A, 0))), 0), 0))+(IFERROR(IF(23*INDEX('UZ-normalized'!$D:$D, MATCH($A201, 'UZ-normalized'!$A:$A, 0))-INDEX('UZ-normalized'!$E:$E, MATCH($A201, 'UZ-normalized'!$A:$A, 0))&gt;0, -(23*INDEX('UZ-normalized'!$D:$D, MATCH($A201, 'UZ-normalized'!$A:$A, 0))-INDEX('UZ-normalized'!$E:$E, MATCH($A201, 'UZ-normalized'!$A:$A, 0))), 0), 0)))</f>
        <v>0</v>
      </c>
      <c r="AL201" s="6">
        <f>MIN(0, N201+(IFERROR(IF(24*INDEX('UA-normalized'!$D:$D, MATCH($A201, 'UA-normalized'!$A:$A, 0))-INDEX('UA-normalized'!$E:$E, MATCH($A201, 'UA-normalized'!$A:$A, 0))&gt;0, -(24*INDEX('UA-normalized'!$D:$D, MATCH($A201, 'UA-normalized'!$A:$A, 0))-INDEX('UA-normalized'!$E:$E, MATCH($A201, 'UA-normalized'!$A:$A, 0))), 0), 0))+(IFERROR(IF(24*INDEX('KZ-normalized'!$D:$D, MATCH($A201, 'KZ-normalized'!$A:$A, 0))-INDEX('KZ-normalized'!$E:$E, MATCH($A201, 'KZ-normalized'!$A:$A, 0))&gt;0, -(24*INDEX('KZ-normalized'!$D:$D, MATCH($A201, 'KZ-normalized'!$A:$A, 0))-INDEX('KZ-normalized'!$E:$E, MATCH($A201, 'KZ-normalized'!$A:$A, 0))), 0), 0))+(IFERROR(IF(24*INDEX('UZ-normalized'!$D:$D, MATCH($A201, 'UZ-normalized'!$A:$A, 0))-INDEX('UZ-normalized'!$E:$E, MATCH($A201, 'UZ-normalized'!$A:$A, 0))&gt;0, -(24*INDEX('UZ-normalized'!$D:$D, MATCH($A201, 'UZ-normalized'!$A:$A, 0))-INDEX('UZ-normalized'!$E:$E, MATCH($A201, 'UZ-normalized'!$A:$A, 0))), 0), 0)))</f>
        <v>0</v>
      </c>
      <c r="AM201" s="6">
        <f>MIN(0, N201+(IFERROR(IF(25*INDEX('UA-normalized'!$D:$D, MATCH($A201, 'UA-normalized'!$A:$A, 0))-INDEX('UA-normalized'!$E:$E, MATCH($A201, 'UA-normalized'!$A:$A, 0))&gt;0, -(25*INDEX('UA-normalized'!$D:$D, MATCH($A201, 'UA-normalized'!$A:$A, 0))-INDEX('UA-normalized'!$E:$E, MATCH($A201, 'UA-normalized'!$A:$A, 0))), 0), 0))+(IFERROR(IF(25*INDEX('KZ-normalized'!$D:$D, MATCH($A201, 'KZ-normalized'!$A:$A, 0))-INDEX('KZ-normalized'!$E:$E, MATCH($A201, 'KZ-normalized'!$A:$A, 0))&gt;0, -(25*INDEX('KZ-normalized'!$D:$D, MATCH($A201, 'KZ-normalized'!$A:$A, 0))-INDEX('KZ-normalized'!$E:$E, MATCH($A201, 'KZ-normalized'!$A:$A, 0))), 0), 0))+(IFERROR(IF(25*INDEX('UZ-normalized'!$D:$D, MATCH($A201, 'UZ-normalized'!$A:$A, 0))-INDEX('UZ-normalized'!$E:$E, MATCH($A201, 'UZ-normalized'!$A:$A, 0))&gt;0, -(25*INDEX('UZ-normalized'!$D:$D, MATCH($A201, 'UZ-normalized'!$A:$A, 0))-INDEX('UZ-normalized'!$E:$E, MATCH($A201, 'UZ-normalized'!$A:$A, 0))), 0), 0)))</f>
        <v>0</v>
      </c>
      <c r="AN201" s="6">
        <f>MIN(0, N201+(IFERROR(IF(26*INDEX('UA-normalized'!$D:$D, MATCH($A201, 'UA-normalized'!$A:$A, 0))-INDEX('UA-normalized'!$E:$E, MATCH($A201, 'UA-normalized'!$A:$A, 0))&gt;0, -(26*INDEX('UA-normalized'!$D:$D, MATCH($A201, 'UA-normalized'!$A:$A, 0))-INDEX('UA-normalized'!$E:$E, MATCH($A201, 'UA-normalized'!$A:$A, 0))), 0), 0))+(IFERROR(IF(26*INDEX('KZ-normalized'!$D:$D, MATCH($A201, 'KZ-normalized'!$A:$A, 0))-INDEX('KZ-normalized'!$E:$E, MATCH($A201, 'KZ-normalized'!$A:$A, 0))&gt;0, -(26*INDEX('KZ-normalized'!$D:$D, MATCH($A201, 'KZ-normalized'!$A:$A, 0))-INDEX('KZ-normalized'!$E:$E, MATCH($A201, 'KZ-normalized'!$A:$A, 0))), 0), 0))+(IFERROR(IF(26*INDEX('UZ-normalized'!$D:$D, MATCH($A201, 'UZ-normalized'!$A:$A, 0))-INDEX('UZ-normalized'!$E:$E, MATCH($A201, 'UZ-normalized'!$A:$A, 0))&gt;0, -(26*INDEX('UZ-normalized'!$D:$D, MATCH($A201, 'UZ-normalized'!$A:$A, 0))-INDEX('UZ-normalized'!$E:$E, MATCH($A201, 'UZ-normalized'!$A:$A, 0))), 0), 0)))</f>
        <v>0</v>
      </c>
      <c r="AO201" s="6">
        <f>MIN(0, N201+(IFERROR(IF(27*INDEX('UA-normalized'!$D:$D, MATCH($A201, 'UA-normalized'!$A:$A, 0))-INDEX('UA-normalized'!$E:$E, MATCH($A201, 'UA-normalized'!$A:$A, 0))&gt;0, -(27*INDEX('UA-normalized'!$D:$D, MATCH($A201, 'UA-normalized'!$A:$A, 0))-INDEX('UA-normalized'!$E:$E, MATCH($A201, 'UA-normalized'!$A:$A, 0))), 0), 0))+(IFERROR(IF(27*INDEX('KZ-normalized'!$D:$D, MATCH($A201, 'KZ-normalized'!$A:$A, 0))-INDEX('KZ-normalized'!$E:$E, MATCH($A201, 'KZ-normalized'!$A:$A, 0))&gt;0, -(27*INDEX('KZ-normalized'!$D:$D, MATCH($A201, 'KZ-normalized'!$A:$A, 0))-INDEX('KZ-normalized'!$E:$E, MATCH($A201, 'KZ-normalized'!$A:$A, 0))), 0), 0))+(IFERROR(IF(27*INDEX('UZ-normalized'!$D:$D, MATCH($A201, 'UZ-normalized'!$A:$A, 0))-INDEX('UZ-normalized'!$E:$E, MATCH($A201, 'UZ-normalized'!$A:$A, 0))&gt;0, -(27*INDEX('UZ-normalized'!$D:$D, MATCH($A201, 'UZ-normalized'!$A:$A, 0))-INDEX('UZ-normalized'!$E:$E, MATCH($A201, 'UZ-normalized'!$A:$A, 0))), 0), 0)))</f>
        <v>0</v>
      </c>
      <c r="AP201" s="6">
        <f>MIN(0, N201+(IFERROR(IF(28*INDEX('UA-normalized'!$D:$D, MATCH($A201, 'UA-normalized'!$A:$A, 0))-INDEX('UA-normalized'!$E:$E, MATCH($A201, 'UA-normalized'!$A:$A, 0))&gt;0, -(28*INDEX('UA-normalized'!$D:$D, MATCH($A201, 'UA-normalized'!$A:$A, 0))-INDEX('UA-normalized'!$E:$E, MATCH($A201, 'UA-normalized'!$A:$A, 0))), 0), 0))+(IFERROR(IF(28*INDEX('KZ-normalized'!$D:$D, MATCH($A201, 'KZ-normalized'!$A:$A, 0))-INDEX('KZ-normalized'!$E:$E, MATCH($A201, 'KZ-normalized'!$A:$A, 0))&gt;0, -(28*INDEX('KZ-normalized'!$D:$D, MATCH($A201, 'KZ-normalized'!$A:$A, 0))-INDEX('KZ-normalized'!$E:$E, MATCH($A201, 'KZ-normalized'!$A:$A, 0))), 0), 0))+(IFERROR(IF(28*INDEX('UZ-normalized'!$D:$D, MATCH($A201, 'UZ-normalized'!$A:$A, 0))-INDEX('UZ-normalized'!$E:$E, MATCH($A201, 'UZ-normalized'!$A:$A, 0))&gt;0, -(28*INDEX('UZ-normalized'!$D:$D, MATCH($A201, 'UZ-normalized'!$A:$A, 0))-INDEX('UZ-normalized'!$E:$E, MATCH($A201, 'UZ-normalized'!$A:$A, 0))), 0), 0)))</f>
        <v>0</v>
      </c>
      <c r="AQ201" s="6">
        <f>MIN(0, N201+(IFERROR(IF(29*INDEX('UA-normalized'!$D:$D, MATCH($A201, 'UA-normalized'!$A:$A, 0))-INDEX('UA-normalized'!$E:$E, MATCH($A201, 'UA-normalized'!$A:$A, 0))&gt;0, -(29*INDEX('UA-normalized'!$D:$D, MATCH($A201, 'UA-normalized'!$A:$A, 0))-INDEX('UA-normalized'!$E:$E, MATCH($A201, 'UA-normalized'!$A:$A, 0))), 0), 0))+(IFERROR(IF(29*INDEX('KZ-normalized'!$D:$D, MATCH($A201, 'KZ-normalized'!$A:$A, 0))-INDEX('KZ-normalized'!$E:$E, MATCH($A201, 'KZ-normalized'!$A:$A, 0))&gt;0, -(29*INDEX('KZ-normalized'!$D:$D, MATCH($A201, 'KZ-normalized'!$A:$A, 0))-INDEX('KZ-normalized'!$E:$E, MATCH($A201, 'KZ-normalized'!$A:$A, 0))), 0), 0))+(IFERROR(IF(29*INDEX('UZ-normalized'!$D:$D, MATCH($A201, 'UZ-normalized'!$A:$A, 0))-INDEX('UZ-normalized'!$E:$E, MATCH($A201, 'UZ-normalized'!$A:$A, 0))&gt;0, -(29*INDEX('UZ-normalized'!$D:$D, MATCH($A201, 'UZ-normalized'!$A:$A, 0))-INDEX('UZ-normalized'!$E:$E, MATCH($A201, 'UZ-normalized'!$A:$A, 0))), 0), 0)))</f>
        <v>0</v>
      </c>
      <c r="AR201" s="6">
        <f>MIN(0, N201+(IFERROR(IF(30*INDEX('UA-normalized'!$D:$D, MATCH($A201, 'UA-normalized'!$A:$A, 0))-INDEX('UA-normalized'!$E:$E, MATCH($A201, 'UA-normalized'!$A:$A, 0))&gt;0, -(30*INDEX('UA-normalized'!$D:$D, MATCH($A201, 'UA-normalized'!$A:$A, 0))-INDEX('UA-normalized'!$E:$E, MATCH($A201, 'UA-normalized'!$A:$A, 0))), 0), 0))+(IFERROR(IF(30*INDEX('KZ-normalized'!$D:$D, MATCH($A201, 'KZ-normalized'!$A:$A, 0))-INDEX('KZ-normalized'!$E:$E, MATCH($A201, 'KZ-normalized'!$A:$A, 0))&gt;0, -(30*INDEX('KZ-normalized'!$D:$D, MATCH($A201, 'KZ-normalized'!$A:$A, 0))-INDEX('KZ-normalized'!$E:$E, MATCH($A201, 'KZ-normalized'!$A:$A, 0))), 0), 0))+(IFERROR(IF(30*INDEX('UZ-normalized'!$D:$D, MATCH($A201, 'UZ-normalized'!$A:$A, 0))-INDEX('UZ-normalized'!$E:$E, MATCH($A201, 'UZ-normalized'!$A:$A, 0))&gt;0, -(30*INDEX('UZ-normalized'!$D:$D, MATCH($A201, 'UZ-normalized'!$A:$A, 0))-INDEX('UZ-normalized'!$E:$E, MATCH($A201, 'UZ-normalized'!$A:$A, 0))), 0), 0)))</f>
        <v>0</v>
      </c>
    </row>
    <row r="202" spans="1:44" x14ac:dyDescent="0.25">
      <c r="A202" s="8" t="s">
        <v>483</v>
      </c>
      <c r="B202" s="8" t="s">
        <v>460</v>
      </c>
      <c r="C202" s="8" t="s">
        <v>479</v>
      </c>
      <c r="D202" s="8" t="s">
        <v>484</v>
      </c>
      <c r="N202">
        <f t="shared" si="3"/>
        <v>0</v>
      </c>
      <c r="O202" s="6">
        <f>MIN(0, N202+(IFERROR(IF(1*INDEX('UA-normalized'!$D:$D, MATCH($A202, 'UA-normalized'!$A:$A, 0))-INDEX('UA-normalized'!$E:$E, MATCH($A202, 'UA-normalized'!$A:$A, 0))&gt;0, -(1*INDEX('UA-normalized'!$D:$D, MATCH($A202, 'UA-normalized'!$A:$A, 0))-INDEX('UA-normalized'!$E:$E, MATCH($A202, 'UA-normalized'!$A:$A, 0))), 0), 0))+(IFERROR(IF(1*INDEX('KZ-normalized'!$D:$D, MATCH($A202, 'KZ-normalized'!$A:$A, 0))-INDEX('KZ-normalized'!$E:$E, MATCH($A202, 'KZ-normalized'!$A:$A, 0))&gt;0, -(1*INDEX('KZ-normalized'!$D:$D, MATCH($A202, 'KZ-normalized'!$A:$A, 0))-INDEX('KZ-normalized'!$E:$E, MATCH($A202, 'KZ-normalized'!$A:$A, 0))), 0), 0))+(IFERROR(IF(1*INDEX('UZ-normalized'!$D:$D, MATCH($A202, 'UZ-normalized'!$A:$A, 0))-INDEX('UZ-normalized'!$E:$E, MATCH($A202, 'UZ-normalized'!$A:$A, 0))&gt;0, -(1*INDEX('UZ-normalized'!$D:$D, MATCH($A202, 'UZ-normalized'!$A:$A, 0))-INDEX('UZ-normalized'!$E:$E, MATCH($A202, 'UZ-normalized'!$A:$A, 0))), 0), 0)))</f>
        <v>0</v>
      </c>
      <c r="P202" s="6">
        <f>MIN(0, N202+(IFERROR(IF(2*INDEX('UA-normalized'!$D:$D, MATCH($A202, 'UA-normalized'!$A:$A, 0))-INDEX('UA-normalized'!$E:$E, MATCH($A202, 'UA-normalized'!$A:$A, 0))&gt;0, -(2*INDEX('UA-normalized'!$D:$D, MATCH($A202, 'UA-normalized'!$A:$A, 0))-INDEX('UA-normalized'!$E:$E, MATCH($A202, 'UA-normalized'!$A:$A, 0))), 0), 0))+(IFERROR(IF(2*INDEX('KZ-normalized'!$D:$D, MATCH($A202, 'KZ-normalized'!$A:$A, 0))-INDEX('KZ-normalized'!$E:$E, MATCH($A202, 'KZ-normalized'!$A:$A, 0))&gt;0, -(2*INDEX('KZ-normalized'!$D:$D, MATCH($A202, 'KZ-normalized'!$A:$A, 0))-INDEX('KZ-normalized'!$E:$E, MATCH($A202, 'KZ-normalized'!$A:$A, 0))), 0), 0))+(IFERROR(IF(2*INDEX('UZ-normalized'!$D:$D, MATCH($A202, 'UZ-normalized'!$A:$A, 0))-INDEX('UZ-normalized'!$E:$E, MATCH($A202, 'UZ-normalized'!$A:$A, 0))&gt;0, -(2*INDEX('UZ-normalized'!$D:$D, MATCH($A202, 'UZ-normalized'!$A:$A, 0))-INDEX('UZ-normalized'!$E:$E, MATCH($A202, 'UZ-normalized'!$A:$A, 0))), 0), 0)))</f>
        <v>0</v>
      </c>
      <c r="Q202" s="6">
        <f>MIN(0, N202+(IFERROR(IF(3*INDEX('UA-normalized'!$D:$D, MATCH($A202, 'UA-normalized'!$A:$A, 0))-INDEX('UA-normalized'!$E:$E, MATCH($A202, 'UA-normalized'!$A:$A, 0))&gt;0, -(3*INDEX('UA-normalized'!$D:$D, MATCH($A202, 'UA-normalized'!$A:$A, 0))-INDEX('UA-normalized'!$E:$E, MATCH($A202, 'UA-normalized'!$A:$A, 0))), 0), 0))+(IFERROR(IF(3*INDEX('KZ-normalized'!$D:$D, MATCH($A202, 'KZ-normalized'!$A:$A, 0))-INDEX('KZ-normalized'!$E:$E, MATCH($A202, 'KZ-normalized'!$A:$A, 0))&gt;0, -(3*INDEX('KZ-normalized'!$D:$D, MATCH($A202, 'KZ-normalized'!$A:$A, 0))-INDEX('KZ-normalized'!$E:$E, MATCH($A202, 'KZ-normalized'!$A:$A, 0))), 0), 0))+(IFERROR(IF(3*INDEX('UZ-normalized'!$D:$D, MATCH($A202, 'UZ-normalized'!$A:$A, 0))-INDEX('UZ-normalized'!$E:$E, MATCH($A202, 'UZ-normalized'!$A:$A, 0))&gt;0, -(3*INDEX('UZ-normalized'!$D:$D, MATCH($A202, 'UZ-normalized'!$A:$A, 0))-INDEX('UZ-normalized'!$E:$E, MATCH($A202, 'UZ-normalized'!$A:$A, 0))), 0), 0)))</f>
        <v>0</v>
      </c>
      <c r="R202" s="6">
        <f>MIN(0, N202+(IFERROR(IF(4*INDEX('UA-normalized'!$D:$D, MATCH($A202, 'UA-normalized'!$A:$A, 0))-INDEX('UA-normalized'!$E:$E, MATCH($A202, 'UA-normalized'!$A:$A, 0))&gt;0, -(4*INDEX('UA-normalized'!$D:$D, MATCH($A202, 'UA-normalized'!$A:$A, 0))-INDEX('UA-normalized'!$E:$E, MATCH($A202, 'UA-normalized'!$A:$A, 0))), 0), 0))+(IFERROR(IF(4*INDEX('KZ-normalized'!$D:$D, MATCH($A202, 'KZ-normalized'!$A:$A, 0))-INDEX('KZ-normalized'!$E:$E, MATCH($A202, 'KZ-normalized'!$A:$A, 0))&gt;0, -(4*INDEX('KZ-normalized'!$D:$D, MATCH($A202, 'KZ-normalized'!$A:$A, 0))-INDEX('KZ-normalized'!$E:$E, MATCH($A202, 'KZ-normalized'!$A:$A, 0))), 0), 0))+(IFERROR(IF(4*INDEX('UZ-normalized'!$D:$D, MATCH($A202, 'UZ-normalized'!$A:$A, 0))-INDEX('UZ-normalized'!$E:$E, MATCH($A202, 'UZ-normalized'!$A:$A, 0))&gt;0, -(4*INDEX('UZ-normalized'!$D:$D, MATCH($A202, 'UZ-normalized'!$A:$A, 0))-INDEX('UZ-normalized'!$E:$E, MATCH($A202, 'UZ-normalized'!$A:$A, 0))), 0), 0)))</f>
        <v>0</v>
      </c>
      <c r="S202" s="6">
        <f>MIN(0, N202+(IFERROR(IF(5*INDEX('UA-normalized'!$D:$D, MATCH($A202, 'UA-normalized'!$A:$A, 0))-INDEX('UA-normalized'!$E:$E, MATCH($A202, 'UA-normalized'!$A:$A, 0))&gt;0, -(5*INDEX('UA-normalized'!$D:$D, MATCH($A202, 'UA-normalized'!$A:$A, 0))-INDEX('UA-normalized'!$E:$E, MATCH($A202, 'UA-normalized'!$A:$A, 0))), 0), 0))+(IFERROR(IF(5*INDEX('KZ-normalized'!$D:$D, MATCH($A202, 'KZ-normalized'!$A:$A, 0))-INDEX('KZ-normalized'!$E:$E, MATCH($A202, 'KZ-normalized'!$A:$A, 0))&gt;0, -(5*INDEX('KZ-normalized'!$D:$D, MATCH($A202, 'KZ-normalized'!$A:$A, 0))-INDEX('KZ-normalized'!$E:$E, MATCH($A202, 'KZ-normalized'!$A:$A, 0))), 0), 0))+(IFERROR(IF(5*INDEX('UZ-normalized'!$D:$D, MATCH($A202, 'UZ-normalized'!$A:$A, 0))-INDEX('UZ-normalized'!$E:$E, MATCH($A202, 'UZ-normalized'!$A:$A, 0))&gt;0, -(5*INDEX('UZ-normalized'!$D:$D, MATCH($A202, 'UZ-normalized'!$A:$A, 0))-INDEX('UZ-normalized'!$E:$E, MATCH($A202, 'UZ-normalized'!$A:$A, 0))), 0), 0)))</f>
        <v>0</v>
      </c>
      <c r="T202" s="6">
        <f>MIN(0, N202+(IFERROR(IF(6*INDEX('UA-normalized'!$D:$D, MATCH($A202, 'UA-normalized'!$A:$A, 0))-INDEX('UA-normalized'!$E:$E, MATCH($A202, 'UA-normalized'!$A:$A, 0))&gt;0, -(6*INDEX('UA-normalized'!$D:$D, MATCH($A202, 'UA-normalized'!$A:$A, 0))-INDEX('UA-normalized'!$E:$E, MATCH($A202, 'UA-normalized'!$A:$A, 0))), 0), 0))+(IFERROR(IF(6*INDEX('KZ-normalized'!$D:$D, MATCH($A202, 'KZ-normalized'!$A:$A, 0))-INDEX('KZ-normalized'!$E:$E, MATCH($A202, 'KZ-normalized'!$A:$A, 0))&gt;0, -(6*INDEX('KZ-normalized'!$D:$D, MATCH($A202, 'KZ-normalized'!$A:$A, 0))-INDEX('KZ-normalized'!$E:$E, MATCH($A202, 'KZ-normalized'!$A:$A, 0))), 0), 0))+(IFERROR(IF(6*INDEX('UZ-normalized'!$D:$D, MATCH($A202, 'UZ-normalized'!$A:$A, 0))-INDEX('UZ-normalized'!$E:$E, MATCH($A202, 'UZ-normalized'!$A:$A, 0))&gt;0, -(6*INDEX('UZ-normalized'!$D:$D, MATCH($A202, 'UZ-normalized'!$A:$A, 0))-INDEX('UZ-normalized'!$E:$E, MATCH($A202, 'UZ-normalized'!$A:$A, 0))), 0), 0)))</f>
        <v>0</v>
      </c>
      <c r="U202" s="6">
        <f>MIN(0, N202+(IFERROR(IF(7*INDEX('UA-normalized'!$D:$D, MATCH($A202, 'UA-normalized'!$A:$A, 0))-INDEX('UA-normalized'!$E:$E, MATCH($A202, 'UA-normalized'!$A:$A, 0))&gt;0, -(7*INDEX('UA-normalized'!$D:$D, MATCH($A202, 'UA-normalized'!$A:$A, 0))-INDEX('UA-normalized'!$E:$E, MATCH($A202, 'UA-normalized'!$A:$A, 0))), 0), 0))+(IFERROR(IF(7*INDEX('KZ-normalized'!$D:$D, MATCH($A202, 'KZ-normalized'!$A:$A, 0))-INDEX('KZ-normalized'!$E:$E, MATCH($A202, 'KZ-normalized'!$A:$A, 0))&gt;0, -(7*INDEX('KZ-normalized'!$D:$D, MATCH($A202, 'KZ-normalized'!$A:$A, 0))-INDEX('KZ-normalized'!$E:$E, MATCH($A202, 'KZ-normalized'!$A:$A, 0))), 0), 0))+(IFERROR(IF(7*INDEX('UZ-normalized'!$D:$D, MATCH($A202, 'UZ-normalized'!$A:$A, 0))-INDEX('UZ-normalized'!$E:$E, MATCH($A202, 'UZ-normalized'!$A:$A, 0))&gt;0, -(7*INDEX('UZ-normalized'!$D:$D, MATCH($A202, 'UZ-normalized'!$A:$A, 0))-INDEX('UZ-normalized'!$E:$E, MATCH($A202, 'UZ-normalized'!$A:$A, 0))), 0), 0)))</f>
        <v>0</v>
      </c>
      <c r="V202" s="6">
        <f>MIN(0, N202+(IFERROR(IF(8*INDEX('UA-normalized'!$D:$D, MATCH($A202, 'UA-normalized'!$A:$A, 0))-INDEX('UA-normalized'!$E:$E, MATCH($A202, 'UA-normalized'!$A:$A, 0))&gt;0, -(8*INDEX('UA-normalized'!$D:$D, MATCH($A202, 'UA-normalized'!$A:$A, 0))-INDEX('UA-normalized'!$E:$E, MATCH($A202, 'UA-normalized'!$A:$A, 0))), 0), 0))+(IFERROR(IF(8*INDEX('KZ-normalized'!$D:$D, MATCH($A202, 'KZ-normalized'!$A:$A, 0))-INDEX('KZ-normalized'!$E:$E, MATCH($A202, 'KZ-normalized'!$A:$A, 0))&gt;0, -(8*INDEX('KZ-normalized'!$D:$D, MATCH($A202, 'KZ-normalized'!$A:$A, 0))-INDEX('KZ-normalized'!$E:$E, MATCH($A202, 'KZ-normalized'!$A:$A, 0))), 0), 0))+(IFERROR(IF(8*INDEX('UZ-normalized'!$D:$D, MATCH($A202, 'UZ-normalized'!$A:$A, 0))-INDEX('UZ-normalized'!$E:$E, MATCH($A202, 'UZ-normalized'!$A:$A, 0))&gt;0, -(8*INDEX('UZ-normalized'!$D:$D, MATCH($A202, 'UZ-normalized'!$A:$A, 0))-INDEX('UZ-normalized'!$E:$E, MATCH($A202, 'UZ-normalized'!$A:$A, 0))), 0), 0)))</f>
        <v>0</v>
      </c>
      <c r="W202" s="6">
        <f>MIN(0, N202+(IFERROR(IF(9*INDEX('UA-normalized'!$D:$D, MATCH($A202, 'UA-normalized'!$A:$A, 0))-INDEX('UA-normalized'!$E:$E, MATCH($A202, 'UA-normalized'!$A:$A, 0))&gt;0, -(9*INDEX('UA-normalized'!$D:$D, MATCH($A202, 'UA-normalized'!$A:$A, 0))-INDEX('UA-normalized'!$E:$E, MATCH($A202, 'UA-normalized'!$A:$A, 0))), 0), 0))+(IFERROR(IF(9*INDEX('KZ-normalized'!$D:$D, MATCH($A202, 'KZ-normalized'!$A:$A, 0))-INDEX('KZ-normalized'!$E:$E, MATCH($A202, 'KZ-normalized'!$A:$A, 0))&gt;0, -(9*INDEX('KZ-normalized'!$D:$D, MATCH($A202, 'KZ-normalized'!$A:$A, 0))-INDEX('KZ-normalized'!$E:$E, MATCH($A202, 'KZ-normalized'!$A:$A, 0))), 0), 0))+(IFERROR(IF(9*INDEX('UZ-normalized'!$D:$D, MATCH($A202, 'UZ-normalized'!$A:$A, 0))-INDEX('UZ-normalized'!$E:$E, MATCH($A202, 'UZ-normalized'!$A:$A, 0))&gt;0, -(9*INDEX('UZ-normalized'!$D:$D, MATCH($A202, 'UZ-normalized'!$A:$A, 0))-INDEX('UZ-normalized'!$E:$E, MATCH($A202, 'UZ-normalized'!$A:$A, 0))), 0), 0)))</f>
        <v>0</v>
      </c>
      <c r="X202" s="6">
        <f>MIN(0, N202+(IFERROR(IF(10*INDEX('UA-normalized'!$D:$D, MATCH($A202, 'UA-normalized'!$A:$A, 0))-INDEX('UA-normalized'!$E:$E, MATCH($A202, 'UA-normalized'!$A:$A, 0))&gt;0, -(10*INDEX('UA-normalized'!$D:$D, MATCH($A202, 'UA-normalized'!$A:$A, 0))-INDEX('UA-normalized'!$E:$E, MATCH($A202, 'UA-normalized'!$A:$A, 0))), 0), 0))+(IFERROR(IF(10*INDEX('KZ-normalized'!$D:$D, MATCH($A202, 'KZ-normalized'!$A:$A, 0))-INDEX('KZ-normalized'!$E:$E, MATCH($A202, 'KZ-normalized'!$A:$A, 0))&gt;0, -(10*INDEX('KZ-normalized'!$D:$D, MATCH($A202, 'KZ-normalized'!$A:$A, 0))-INDEX('KZ-normalized'!$E:$E, MATCH($A202, 'KZ-normalized'!$A:$A, 0))), 0), 0))+(IFERROR(IF(10*INDEX('UZ-normalized'!$D:$D, MATCH($A202, 'UZ-normalized'!$A:$A, 0))-INDEX('UZ-normalized'!$E:$E, MATCH($A202, 'UZ-normalized'!$A:$A, 0))&gt;0, -(10*INDEX('UZ-normalized'!$D:$D, MATCH($A202, 'UZ-normalized'!$A:$A, 0))-INDEX('UZ-normalized'!$E:$E, MATCH($A202, 'UZ-normalized'!$A:$A, 0))), 0), 0)))</f>
        <v>0</v>
      </c>
      <c r="Y202" s="6">
        <f>MIN(0, N202+(IFERROR(IF(11*INDEX('UA-normalized'!$D:$D, MATCH($A202, 'UA-normalized'!$A:$A, 0))-INDEX('UA-normalized'!$E:$E, MATCH($A202, 'UA-normalized'!$A:$A, 0))&gt;0, -(11*INDEX('UA-normalized'!$D:$D, MATCH($A202, 'UA-normalized'!$A:$A, 0))-INDEX('UA-normalized'!$E:$E, MATCH($A202, 'UA-normalized'!$A:$A, 0))), 0), 0))+(IFERROR(IF(11*INDEX('KZ-normalized'!$D:$D, MATCH($A202, 'KZ-normalized'!$A:$A, 0))-INDEX('KZ-normalized'!$E:$E, MATCH($A202, 'KZ-normalized'!$A:$A, 0))&gt;0, -(11*INDEX('KZ-normalized'!$D:$D, MATCH($A202, 'KZ-normalized'!$A:$A, 0))-INDEX('KZ-normalized'!$E:$E, MATCH($A202, 'KZ-normalized'!$A:$A, 0))), 0), 0))+(IFERROR(IF(11*INDEX('UZ-normalized'!$D:$D, MATCH($A202, 'UZ-normalized'!$A:$A, 0))-INDEX('UZ-normalized'!$E:$E, MATCH($A202, 'UZ-normalized'!$A:$A, 0))&gt;0, -(11*INDEX('UZ-normalized'!$D:$D, MATCH($A202, 'UZ-normalized'!$A:$A, 0))-INDEX('UZ-normalized'!$E:$E, MATCH($A202, 'UZ-normalized'!$A:$A, 0))), 0), 0)))</f>
        <v>0</v>
      </c>
      <c r="Z202" s="6">
        <f>MIN(0, N202+(IFERROR(IF(12*INDEX('UA-normalized'!$D:$D, MATCH($A202, 'UA-normalized'!$A:$A, 0))-INDEX('UA-normalized'!$E:$E, MATCH($A202, 'UA-normalized'!$A:$A, 0))&gt;0, -(12*INDEX('UA-normalized'!$D:$D, MATCH($A202, 'UA-normalized'!$A:$A, 0))-INDEX('UA-normalized'!$E:$E, MATCH($A202, 'UA-normalized'!$A:$A, 0))), 0), 0))+(IFERROR(IF(12*INDEX('KZ-normalized'!$D:$D, MATCH($A202, 'KZ-normalized'!$A:$A, 0))-INDEX('KZ-normalized'!$E:$E, MATCH($A202, 'KZ-normalized'!$A:$A, 0))&gt;0, -(12*INDEX('KZ-normalized'!$D:$D, MATCH($A202, 'KZ-normalized'!$A:$A, 0))-INDEX('KZ-normalized'!$E:$E, MATCH($A202, 'KZ-normalized'!$A:$A, 0))), 0), 0))+(IFERROR(IF(12*INDEX('UZ-normalized'!$D:$D, MATCH($A202, 'UZ-normalized'!$A:$A, 0))-INDEX('UZ-normalized'!$E:$E, MATCH($A202, 'UZ-normalized'!$A:$A, 0))&gt;0, -(12*INDEX('UZ-normalized'!$D:$D, MATCH($A202, 'UZ-normalized'!$A:$A, 0))-INDEX('UZ-normalized'!$E:$E, MATCH($A202, 'UZ-normalized'!$A:$A, 0))), 0), 0)))</f>
        <v>0</v>
      </c>
      <c r="AA202" s="6">
        <f>MIN(0, N202+(IFERROR(IF(13*INDEX('UA-normalized'!$D:$D, MATCH($A202, 'UA-normalized'!$A:$A, 0))-INDEX('UA-normalized'!$E:$E, MATCH($A202, 'UA-normalized'!$A:$A, 0))&gt;0, -(13*INDEX('UA-normalized'!$D:$D, MATCH($A202, 'UA-normalized'!$A:$A, 0))-INDEX('UA-normalized'!$E:$E, MATCH($A202, 'UA-normalized'!$A:$A, 0))), 0), 0))+(IFERROR(IF(13*INDEX('KZ-normalized'!$D:$D, MATCH($A202, 'KZ-normalized'!$A:$A, 0))-INDEX('KZ-normalized'!$E:$E, MATCH($A202, 'KZ-normalized'!$A:$A, 0))&gt;0, -(13*INDEX('KZ-normalized'!$D:$D, MATCH($A202, 'KZ-normalized'!$A:$A, 0))-INDEX('KZ-normalized'!$E:$E, MATCH($A202, 'KZ-normalized'!$A:$A, 0))), 0), 0))+(IFERROR(IF(13*INDEX('UZ-normalized'!$D:$D, MATCH($A202, 'UZ-normalized'!$A:$A, 0))-INDEX('UZ-normalized'!$E:$E, MATCH($A202, 'UZ-normalized'!$A:$A, 0))&gt;0, -(13*INDEX('UZ-normalized'!$D:$D, MATCH($A202, 'UZ-normalized'!$A:$A, 0))-INDEX('UZ-normalized'!$E:$E, MATCH($A202, 'UZ-normalized'!$A:$A, 0))), 0), 0)))</f>
        <v>0</v>
      </c>
      <c r="AB202" s="6">
        <f>MIN(0, N202+(IFERROR(IF(14*INDEX('UA-normalized'!$D:$D, MATCH($A202, 'UA-normalized'!$A:$A, 0))-INDEX('UA-normalized'!$E:$E, MATCH($A202, 'UA-normalized'!$A:$A, 0))&gt;0, -(14*INDEX('UA-normalized'!$D:$D, MATCH($A202, 'UA-normalized'!$A:$A, 0))-INDEX('UA-normalized'!$E:$E, MATCH($A202, 'UA-normalized'!$A:$A, 0))), 0), 0))+(IFERROR(IF(14*INDEX('KZ-normalized'!$D:$D, MATCH($A202, 'KZ-normalized'!$A:$A, 0))-INDEX('KZ-normalized'!$E:$E, MATCH($A202, 'KZ-normalized'!$A:$A, 0))&gt;0, -(14*INDEX('KZ-normalized'!$D:$D, MATCH($A202, 'KZ-normalized'!$A:$A, 0))-INDEX('KZ-normalized'!$E:$E, MATCH($A202, 'KZ-normalized'!$A:$A, 0))), 0), 0))+(IFERROR(IF(14*INDEX('UZ-normalized'!$D:$D, MATCH($A202, 'UZ-normalized'!$A:$A, 0))-INDEX('UZ-normalized'!$E:$E, MATCH($A202, 'UZ-normalized'!$A:$A, 0))&gt;0, -(14*INDEX('UZ-normalized'!$D:$D, MATCH($A202, 'UZ-normalized'!$A:$A, 0))-INDEX('UZ-normalized'!$E:$E, MATCH($A202, 'UZ-normalized'!$A:$A, 0))), 0), 0)))</f>
        <v>0</v>
      </c>
      <c r="AC202" s="6">
        <f>MIN(0, N202+(IFERROR(IF(15*INDEX('UA-normalized'!$D:$D, MATCH($A202, 'UA-normalized'!$A:$A, 0))-INDEX('UA-normalized'!$E:$E, MATCH($A202, 'UA-normalized'!$A:$A, 0))&gt;0, -(15*INDEX('UA-normalized'!$D:$D, MATCH($A202, 'UA-normalized'!$A:$A, 0))-INDEX('UA-normalized'!$E:$E, MATCH($A202, 'UA-normalized'!$A:$A, 0))), 0), 0))+(IFERROR(IF(15*INDEX('KZ-normalized'!$D:$D, MATCH($A202, 'KZ-normalized'!$A:$A, 0))-INDEX('KZ-normalized'!$E:$E, MATCH($A202, 'KZ-normalized'!$A:$A, 0))&gt;0, -(15*INDEX('KZ-normalized'!$D:$D, MATCH($A202, 'KZ-normalized'!$A:$A, 0))-INDEX('KZ-normalized'!$E:$E, MATCH($A202, 'KZ-normalized'!$A:$A, 0))), 0), 0))+(IFERROR(IF(15*INDEX('UZ-normalized'!$D:$D, MATCH($A202, 'UZ-normalized'!$A:$A, 0))-INDEX('UZ-normalized'!$E:$E, MATCH($A202, 'UZ-normalized'!$A:$A, 0))&gt;0, -(15*INDEX('UZ-normalized'!$D:$D, MATCH($A202, 'UZ-normalized'!$A:$A, 0))-INDEX('UZ-normalized'!$E:$E, MATCH($A202, 'UZ-normalized'!$A:$A, 0))), 0), 0)))</f>
        <v>0</v>
      </c>
      <c r="AD202" s="6">
        <f>MIN(0, N202+(IFERROR(IF(16*INDEX('UA-normalized'!$D:$D, MATCH($A202, 'UA-normalized'!$A:$A, 0))-INDEX('UA-normalized'!$E:$E, MATCH($A202, 'UA-normalized'!$A:$A, 0))&gt;0, -(16*INDEX('UA-normalized'!$D:$D, MATCH($A202, 'UA-normalized'!$A:$A, 0))-INDEX('UA-normalized'!$E:$E, MATCH($A202, 'UA-normalized'!$A:$A, 0))), 0), 0))+(IFERROR(IF(16*INDEX('KZ-normalized'!$D:$D, MATCH($A202, 'KZ-normalized'!$A:$A, 0))-INDEX('KZ-normalized'!$E:$E, MATCH($A202, 'KZ-normalized'!$A:$A, 0))&gt;0, -(16*INDEX('KZ-normalized'!$D:$D, MATCH($A202, 'KZ-normalized'!$A:$A, 0))-INDEX('KZ-normalized'!$E:$E, MATCH($A202, 'KZ-normalized'!$A:$A, 0))), 0), 0))+(IFERROR(IF(16*INDEX('UZ-normalized'!$D:$D, MATCH($A202, 'UZ-normalized'!$A:$A, 0))-INDEX('UZ-normalized'!$E:$E, MATCH($A202, 'UZ-normalized'!$A:$A, 0))&gt;0, -(16*INDEX('UZ-normalized'!$D:$D, MATCH($A202, 'UZ-normalized'!$A:$A, 0))-INDEX('UZ-normalized'!$E:$E, MATCH($A202, 'UZ-normalized'!$A:$A, 0))), 0), 0)))</f>
        <v>0</v>
      </c>
      <c r="AE202" s="6">
        <f>MIN(0, N202+(IFERROR(IF(17*INDEX('UA-normalized'!$D:$D, MATCH($A202, 'UA-normalized'!$A:$A, 0))-INDEX('UA-normalized'!$E:$E, MATCH($A202, 'UA-normalized'!$A:$A, 0))&gt;0, -(17*INDEX('UA-normalized'!$D:$D, MATCH($A202, 'UA-normalized'!$A:$A, 0))-INDEX('UA-normalized'!$E:$E, MATCH($A202, 'UA-normalized'!$A:$A, 0))), 0), 0))+(IFERROR(IF(17*INDEX('KZ-normalized'!$D:$D, MATCH($A202, 'KZ-normalized'!$A:$A, 0))-INDEX('KZ-normalized'!$E:$E, MATCH($A202, 'KZ-normalized'!$A:$A, 0))&gt;0, -(17*INDEX('KZ-normalized'!$D:$D, MATCH($A202, 'KZ-normalized'!$A:$A, 0))-INDEX('KZ-normalized'!$E:$E, MATCH($A202, 'KZ-normalized'!$A:$A, 0))), 0), 0))+(IFERROR(IF(17*INDEX('UZ-normalized'!$D:$D, MATCH($A202, 'UZ-normalized'!$A:$A, 0))-INDEX('UZ-normalized'!$E:$E, MATCH($A202, 'UZ-normalized'!$A:$A, 0))&gt;0, -(17*INDEX('UZ-normalized'!$D:$D, MATCH($A202, 'UZ-normalized'!$A:$A, 0))-INDEX('UZ-normalized'!$E:$E, MATCH($A202, 'UZ-normalized'!$A:$A, 0))), 0), 0)))</f>
        <v>0</v>
      </c>
      <c r="AF202" s="6">
        <f>MIN(0, N202+(IFERROR(IF(18*INDEX('UA-normalized'!$D:$D, MATCH($A202, 'UA-normalized'!$A:$A, 0))-INDEX('UA-normalized'!$E:$E, MATCH($A202, 'UA-normalized'!$A:$A, 0))&gt;0, -(18*INDEX('UA-normalized'!$D:$D, MATCH($A202, 'UA-normalized'!$A:$A, 0))-INDEX('UA-normalized'!$E:$E, MATCH($A202, 'UA-normalized'!$A:$A, 0))), 0), 0))+(IFERROR(IF(18*INDEX('KZ-normalized'!$D:$D, MATCH($A202, 'KZ-normalized'!$A:$A, 0))-INDEX('KZ-normalized'!$E:$E, MATCH($A202, 'KZ-normalized'!$A:$A, 0))&gt;0, -(18*INDEX('KZ-normalized'!$D:$D, MATCH($A202, 'KZ-normalized'!$A:$A, 0))-INDEX('KZ-normalized'!$E:$E, MATCH($A202, 'KZ-normalized'!$A:$A, 0))), 0), 0))+(IFERROR(IF(18*INDEX('UZ-normalized'!$D:$D, MATCH($A202, 'UZ-normalized'!$A:$A, 0))-INDEX('UZ-normalized'!$E:$E, MATCH($A202, 'UZ-normalized'!$A:$A, 0))&gt;0, -(18*INDEX('UZ-normalized'!$D:$D, MATCH($A202, 'UZ-normalized'!$A:$A, 0))-INDEX('UZ-normalized'!$E:$E, MATCH($A202, 'UZ-normalized'!$A:$A, 0))), 0), 0)))</f>
        <v>0</v>
      </c>
      <c r="AG202" s="6">
        <f>MIN(0, N202+(IFERROR(IF(19*INDEX('UA-normalized'!$D:$D, MATCH($A202, 'UA-normalized'!$A:$A, 0))-INDEX('UA-normalized'!$E:$E, MATCH($A202, 'UA-normalized'!$A:$A, 0))&gt;0, -(19*INDEX('UA-normalized'!$D:$D, MATCH($A202, 'UA-normalized'!$A:$A, 0))-INDEX('UA-normalized'!$E:$E, MATCH($A202, 'UA-normalized'!$A:$A, 0))), 0), 0))+(IFERROR(IF(19*INDEX('KZ-normalized'!$D:$D, MATCH($A202, 'KZ-normalized'!$A:$A, 0))-INDEX('KZ-normalized'!$E:$E, MATCH($A202, 'KZ-normalized'!$A:$A, 0))&gt;0, -(19*INDEX('KZ-normalized'!$D:$D, MATCH($A202, 'KZ-normalized'!$A:$A, 0))-INDEX('KZ-normalized'!$E:$E, MATCH($A202, 'KZ-normalized'!$A:$A, 0))), 0), 0))+(IFERROR(IF(19*INDEX('UZ-normalized'!$D:$D, MATCH($A202, 'UZ-normalized'!$A:$A, 0))-INDEX('UZ-normalized'!$E:$E, MATCH($A202, 'UZ-normalized'!$A:$A, 0))&gt;0, -(19*INDEX('UZ-normalized'!$D:$D, MATCH($A202, 'UZ-normalized'!$A:$A, 0))-INDEX('UZ-normalized'!$E:$E, MATCH($A202, 'UZ-normalized'!$A:$A, 0))), 0), 0)))</f>
        <v>0</v>
      </c>
      <c r="AH202" s="6">
        <f>MIN(0, N202+(IFERROR(IF(20*INDEX('UA-normalized'!$D:$D, MATCH($A202, 'UA-normalized'!$A:$A, 0))-INDEX('UA-normalized'!$E:$E, MATCH($A202, 'UA-normalized'!$A:$A, 0))&gt;0, -(20*INDEX('UA-normalized'!$D:$D, MATCH($A202, 'UA-normalized'!$A:$A, 0))-INDEX('UA-normalized'!$E:$E, MATCH($A202, 'UA-normalized'!$A:$A, 0))), 0), 0))+(IFERROR(IF(20*INDEX('KZ-normalized'!$D:$D, MATCH($A202, 'KZ-normalized'!$A:$A, 0))-INDEX('KZ-normalized'!$E:$E, MATCH($A202, 'KZ-normalized'!$A:$A, 0))&gt;0, -(20*INDEX('KZ-normalized'!$D:$D, MATCH($A202, 'KZ-normalized'!$A:$A, 0))-INDEX('KZ-normalized'!$E:$E, MATCH($A202, 'KZ-normalized'!$A:$A, 0))), 0), 0))+(IFERROR(IF(20*INDEX('UZ-normalized'!$D:$D, MATCH($A202, 'UZ-normalized'!$A:$A, 0))-INDEX('UZ-normalized'!$E:$E, MATCH($A202, 'UZ-normalized'!$A:$A, 0))&gt;0, -(20*INDEX('UZ-normalized'!$D:$D, MATCH($A202, 'UZ-normalized'!$A:$A, 0))-INDEX('UZ-normalized'!$E:$E, MATCH($A202, 'UZ-normalized'!$A:$A, 0))), 0), 0)))</f>
        <v>0</v>
      </c>
      <c r="AI202" s="6">
        <f>MIN(0, N202+(IFERROR(IF(21*INDEX('UA-normalized'!$D:$D, MATCH($A202, 'UA-normalized'!$A:$A, 0))-INDEX('UA-normalized'!$E:$E, MATCH($A202, 'UA-normalized'!$A:$A, 0))&gt;0, -(21*INDEX('UA-normalized'!$D:$D, MATCH($A202, 'UA-normalized'!$A:$A, 0))-INDEX('UA-normalized'!$E:$E, MATCH($A202, 'UA-normalized'!$A:$A, 0))), 0), 0))+(IFERROR(IF(21*INDEX('KZ-normalized'!$D:$D, MATCH($A202, 'KZ-normalized'!$A:$A, 0))-INDEX('KZ-normalized'!$E:$E, MATCH($A202, 'KZ-normalized'!$A:$A, 0))&gt;0, -(21*INDEX('KZ-normalized'!$D:$D, MATCH($A202, 'KZ-normalized'!$A:$A, 0))-INDEX('KZ-normalized'!$E:$E, MATCH($A202, 'KZ-normalized'!$A:$A, 0))), 0), 0))+(IFERROR(IF(21*INDEX('UZ-normalized'!$D:$D, MATCH($A202, 'UZ-normalized'!$A:$A, 0))-INDEX('UZ-normalized'!$E:$E, MATCH($A202, 'UZ-normalized'!$A:$A, 0))&gt;0, -(21*INDEX('UZ-normalized'!$D:$D, MATCH($A202, 'UZ-normalized'!$A:$A, 0))-INDEX('UZ-normalized'!$E:$E, MATCH($A202, 'UZ-normalized'!$A:$A, 0))), 0), 0)))</f>
        <v>-0.59999999999999964</v>
      </c>
      <c r="AJ202" s="6">
        <f>MIN(0, N202+(IFERROR(IF(22*INDEX('UA-normalized'!$D:$D, MATCH($A202, 'UA-normalized'!$A:$A, 0))-INDEX('UA-normalized'!$E:$E, MATCH($A202, 'UA-normalized'!$A:$A, 0))&gt;0, -(22*INDEX('UA-normalized'!$D:$D, MATCH($A202, 'UA-normalized'!$A:$A, 0))-INDEX('UA-normalized'!$E:$E, MATCH($A202, 'UA-normalized'!$A:$A, 0))), 0), 0))+(IFERROR(IF(22*INDEX('KZ-normalized'!$D:$D, MATCH($A202, 'KZ-normalized'!$A:$A, 0))-INDEX('KZ-normalized'!$E:$E, MATCH($A202, 'KZ-normalized'!$A:$A, 0))&gt;0, -(22*INDEX('KZ-normalized'!$D:$D, MATCH($A202, 'KZ-normalized'!$A:$A, 0))-INDEX('KZ-normalized'!$E:$E, MATCH($A202, 'KZ-normalized'!$A:$A, 0))), 0), 0))+(IFERROR(IF(22*INDEX('UZ-normalized'!$D:$D, MATCH($A202, 'UZ-normalized'!$A:$A, 0))-INDEX('UZ-normalized'!$E:$E, MATCH($A202, 'UZ-normalized'!$A:$A, 0))&gt;0, -(22*INDEX('UZ-normalized'!$D:$D, MATCH($A202, 'UZ-normalized'!$A:$A, 0))-INDEX('UZ-normalized'!$E:$E, MATCH($A202, 'UZ-normalized'!$A:$A, 0))), 0), 0)))</f>
        <v>-1.1999999999999993</v>
      </c>
      <c r="AK202" s="6">
        <f>MIN(0, N202+(IFERROR(IF(23*INDEX('UA-normalized'!$D:$D, MATCH($A202, 'UA-normalized'!$A:$A, 0))-INDEX('UA-normalized'!$E:$E, MATCH($A202, 'UA-normalized'!$A:$A, 0))&gt;0, -(23*INDEX('UA-normalized'!$D:$D, MATCH($A202, 'UA-normalized'!$A:$A, 0))-INDEX('UA-normalized'!$E:$E, MATCH($A202, 'UA-normalized'!$A:$A, 0))), 0), 0))+(IFERROR(IF(23*INDEX('KZ-normalized'!$D:$D, MATCH($A202, 'KZ-normalized'!$A:$A, 0))-INDEX('KZ-normalized'!$E:$E, MATCH($A202, 'KZ-normalized'!$A:$A, 0))&gt;0, -(23*INDEX('KZ-normalized'!$D:$D, MATCH($A202, 'KZ-normalized'!$A:$A, 0))-INDEX('KZ-normalized'!$E:$E, MATCH($A202, 'KZ-normalized'!$A:$A, 0))), 0), 0))+(IFERROR(IF(23*INDEX('UZ-normalized'!$D:$D, MATCH($A202, 'UZ-normalized'!$A:$A, 0))-INDEX('UZ-normalized'!$E:$E, MATCH($A202, 'UZ-normalized'!$A:$A, 0))&gt;0, -(23*INDEX('UZ-normalized'!$D:$D, MATCH($A202, 'UZ-normalized'!$A:$A, 0))-INDEX('UZ-normalized'!$E:$E, MATCH($A202, 'UZ-normalized'!$A:$A, 0))), 0), 0)))</f>
        <v>-1.7999999999999989</v>
      </c>
      <c r="AL202" s="6">
        <f>MIN(0, N202+(IFERROR(IF(24*INDEX('UA-normalized'!$D:$D, MATCH($A202, 'UA-normalized'!$A:$A, 0))-INDEX('UA-normalized'!$E:$E, MATCH($A202, 'UA-normalized'!$A:$A, 0))&gt;0, -(24*INDEX('UA-normalized'!$D:$D, MATCH($A202, 'UA-normalized'!$A:$A, 0))-INDEX('UA-normalized'!$E:$E, MATCH($A202, 'UA-normalized'!$A:$A, 0))), 0), 0))+(IFERROR(IF(24*INDEX('KZ-normalized'!$D:$D, MATCH($A202, 'KZ-normalized'!$A:$A, 0))-INDEX('KZ-normalized'!$E:$E, MATCH($A202, 'KZ-normalized'!$A:$A, 0))&gt;0, -(24*INDEX('KZ-normalized'!$D:$D, MATCH($A202, 'KZ-normalized'!$A:$A, 0))-INDEX('KZ-normalized'!$E:$E, MATCH($A202, 'KZ-normalized'!$A:$A, 0))), 0), 0))+(IFERROR(IF(24*INDEX('UZ-normalized'!$D:$D, MATCH($A202, 'UZ-normalized'!$A:$A, 0))-INDEX('UZ-normalized'!$E:$E, MATCH($A202, 'UZ-normalized'!$A:$A, 0))&gt;0, -(24*INDEX('UZ-normalized'!$D:$D, MATCH($A202, 'UZ-normalized'!$A:$A, 0))-INDEX('UZ-normalized'!$E:$E, MATCH($A202, 'UZ-normalized'!$A:$A, 0))), 0), 0)))</f>
        <v>-2.3999999999999986</v>
      </c>
      <c r="AM202" s="6">
        <f>MIN(0, N202+(IFERROR(IF(25*INDEX('UA-normalized'!$D:$D, MATCH($A202, 'UA-normalized'!$A:$A, 0))-INDEX('UA-normalized'!$E:$E, MATCH($A202, 'UA-normalized'!$A:$A, 0))&gt;0, -(25*INDEX('UA-normalized'!$D:$D, MATCH($A202, 'UA-normalized'!$A:$A, 0))-INDEX('UA-normalized'!$E:$E, MATCH($A202, 'UA-normalized'!$A:$A, 0))), 0), 0))+(IFERROR(IF(25*INDEX('KZ-normalized'!$D:$D, MATCH($A202, 'KZ-normalized'!$A:$A, 0))-INDEX('KZ-normalized'!$E:$E, MATCH($A202, 'KZ-normalized'!$A:$A, 0))&gt;0, -(25*INDEX('KZ-normalized'!$D:$D, MATCH($A202, 'KZ-normalized'!$A:$A, 0))-INDEX('KZ-normalized'!$E:$E, MATCH($A202, 'KZ-normalized'!$A:$A, 0))), 0), 0))+(IFERROR(IF(25*INDEX('UZ-normalized'!$D:$D, MATCH($A202, 'UZ-normalized'!$A:$A, 0))-INDEX('UZ-normalized'!$E:$E, MATCH($A202, 'UZ-normalized'!$A:$A, 0))&gt;0, -(25*INDEX('UZ-normalized'!$D:$D, MATCH($A202, 'UZ-normalized'!$A:$A, 0))-INDEX('UZ-normalized'!$E:$E, MATCH($A202, 'UZ-normalized'!$A:$A, 0))), 0), 0)))</f>
        <v>-3</v>
      </c>
      <c r="AN202" s="6">
        <f>MIN(0, N202+(IFERROR(IF(26*INDEX('UA-normalized'!$D:$D, MATCH($A202, 'UA-normalized'!$A:$A, 0))-INDEX('UA-normalized'!$E:$E, MATCH($A202, 'UA-normalized'!$A:$A, 0))&gt;0, -(26*INDEX('UA-normalized'!$D:$D, MATCH($A202, 'UA-normalized'!$A:$A, 0))-INDEX('UA-normalized'!$E:$E, MATCH($A202, 'UA-normalized'!$A:$A, 0))), 0), 0))+(IFERROR(IF(26*INDEX('KZ-normalized'!$D:$D, MATCH($A202, 'KZ-normalized'!$A:$A, 0))-INDEX('KZ-normalized'!$E:$E, MATCH($A202, 'KZ-normalized'!$A:$A, 0))&gt;0, -(26*INDEX('KZ-normalized'!$D:$D, MATCH($A202, 'KZ-normalized'!$A:$A, 0))-INDEX('KZ-normalized'!$E:$E, MATCH($A202, 'KZ-normalized'!$A:$A, 0))), 0), 0))+(IFERROR(IF(26*INDEX('UZ-normalized'!$D:$D, MATCH($A202, 'UZ-normalized'!$A:$A, 0))-INDEX('UZ-normalized'!$E:$E, MATCH($A202, 'UZ-normalized'!$A:$A, 0))&gt;0, -(26*INDEX('UZ-normalized'!$D:$D, MATCH($A202, 'UZ-normalized'!$A:$A, 0))-INDEX('UZ-normalized'!$E:$E, MATCH($A202, 'UZ-normalized'!$A:$A, 0))), 0), 0)))</f>
        <v>-3.5999999999999996</v>
      </c>
      <c r="AO202" s="6">
        <f>MIN(0, N202+(IFERROR(IF(27*INDEX('UA-normalized'!$D:$D, MATCH($A202, 'UA-normalized'!$A:$A, 0))-INDEX('UA-normalized'!$E:$E, MATCH($A202, 'UA-normalized'!$A:$A, 0))&gt;0, -(27*INDEX('UA-normalized'!$D:$D, MATCH($A202, 'UA-normalized'!$A:$A, 0))-INDEX('UA-normalized'!$E:$E, MATCH($A202, 'UA-normalized'!$A:$A, 0))), 0), 0))+(IFERROR(IF(27*INDEX('KZ-normalized'!$D:$D, MATCH($A202, 'KZ-normalized'!$A:$A, 0))-INDEX('KZ-normalized'!$E:$E, MATCH($A202, 'KZ-normalized'!$A:$A, 0))&gt;0, -(27*INDEX('KZ-normalized'!$D:$D, MATCH($A202, 'KZ-normalized'!$A:$A, 0))-INDEX('KZ-normalized'!$E:$E, MATCH($A202, 'KZ-normalized'!$A:$A, 0))), 0), 0))+(IFERROR(IF(27*INDEX('UZ-normalized'!$D:$D, MATCH($A202, 'UZ-normalized'!$A:$A, 0))-INDEX('UZ-normalized'!$E:$E, MATCH($A202, 'UZ-normalized'!$A:$A, 0))&gt;0, -(27*INDEX('UZ-normalized'!$D:$D, MATCH($A202, 'UZ-normalized'!$A:$A, 0))-INDEX('UZ-normalized'!$E:$E, MATCH($A202, 'UZ-normalized'!$A:$A, 0))), 0), 0)))</f>
        <v>-4.1999999999999993</v>
      </c>
      <c r="AP202" s="6">
        <f>MIN(0, N202+(IFERROR(IF(28*INDEX('UA-normalized'!$D:$D, MATCH($A202, 'UA-normalized'!$A:$A, 0))-INDEX('UA-normalized'!$E:$E, MATCH($A202, 'UA-normalized'!$A:$A, 0))&gt;0, -(28*INDEX('UA-normalized'!$D:$D, MATCH($A202, 'UA-normalized'!$A:$A, 0))-INDEX('UA-normalized'!$E:$E, MATCH($A202, 'UA-normalized'!$A:$A, 0))), 0), 0))+(IFERROR(IF(28*INDEX('KZ-normalized'!$D:$D, MATCH($A202, 'KZ-normalized'!$A:$A, 0))-INDEX('KZ-normalized'!$E:$E, MATCH($A202, 'KZ-normalized'!$A:$A, 0))&gt;0, -(28*INDEX('KZ-normalized'!$D:$D, MATCH($A202, 'KZ-normalized'!$A:$A, 0))-INDEX('KZ-normalized'!$E:$E, MATCH($A202, 'KZ-normalized'!$A:$A, 0))), 0), 0))+(IFERROR(IF(28*INDEX('UZ-normalized'!$D:$D, MATCH($A202, 'UZ-normalized'!$A:$A, 0))-INDEX('UZ-normalized'!$E:$E, MATCH($A202, 'UZ-normalized'!$A:$A, 0))&gt;0, -(28*INDEX('UZ-normalized'!$D:$D, MATCH($A202, 'UZ-normalized'!$A:$A, 0))-INDEX('UZ-normalized'!$E:$E, MATCH($A202, 'UZ-normalized'!$A:$A, 0))), 0), 0)))</f>
        <v>-4.8000000000000007</v>
      </c>
      <c r="AQ202" s="6">
        <f>MIN(0, N202+(IFERROR(IF(29*INDEX('UA-normalized'!$D:$D, MATCH($A202, 'UA-normalized'!$A:$A, 0))-INDEX('UA-normalized'!$E:$E, MATCH($A202, 'UA-normalized'!$A:$A, 0))&gt;0, -(29*INDEX('UA-normalized'!$D:$D, MATCH($A202, 'UA-normalized'!$A:$A, 0))-INDEX('UA-normalized'!$E:$E, MATCH($A202, 'UA-normalized'!$A:$A, 0))), 0), 0))+(IFERROR(IF(29*INDEX('KZ-normalized'!$D:$D, MATCH($A202, 'KZ-normalized'!$A:$A, 0))-INDEX('KZ-normalized'!$E:$E, MATCH($A202, 'KZ-normalized'!$A:$A, 0))&gt;0, -(29*INDEX('KZ-normalized'!$D:$D, MATCH($A202, 'KZ-normalized'!$A:$A, 0))-INDEX('KZ-normalized'!$E:$E, MATCH($A202, 'KZ-normalized'!$A:$A, 0))), 0), 0))+(IFERROR(IF(29*INDEX('UZ-normalized'!$D:$D, MATCH($A202, 'UZ-normalized'!$A:$A, 0))-INDEX('UZ-normalized'!$E:$E, MATCH($A202, 'UZ-normalized'!$A:$A, 0))&gt;0, -(29*INDEX('UZ-normalized'!$D:$D, MATCH($A202, 'UZ-normalized'!$A:$A, 0))-INDEX('UZ-normalized'!$E:$E, MATCH($A202, 'UZ-normalized'!$A:$A, 0))), 0), 0)))</f>
        <v>-5.3999999999999986</v>
      </c>
      <c r="AR202" s="6">
        <f>MIN(0, N202+(IFERROR(IF(30*INDEX('UA-normalized'!$D:$D, MATCH($A202, 'UA-normalized'!$A:$A, 0))-INDEX('UA-normalized'!$E:$E, MATCH($A202, 'UA-normalized'!$A:$A, 0))&gt;0, -(30*INDEX('UA-normalized'!$D:$D, MATCH($A202, 'UA-normalized'!$A:$A, 0))-INDEX('UA-normalized'!$E:$E, MATCH($A202, 'UA-normalized'!$A:$A, 0))), 0), 0))+(IFERROR(IF(30*INDEX('KZ-normalized'!$D:$D, MATCH($A202, 'KZ-normalized'!$A:$A, 0))-INDEX('KZ-normalized'!$E:$E, MATCH($A202, 'KZ-normalized'!$A:$A, 0))&gt;0, -(30*INDEX('KZ-normalized'!$D:$D, MATCH($A202, 'KZ-normalized'!$A:$A, 0))-INDEX('KZ-normalized'!$E:$E, MATCH($A202, 'KZ-normalized'!$A:$A, 0))), 0), 0))+(IFERROR(IF(30*INDEX('UZ-normalized'!$D:$D, MATCH($A202, 'UZ-normalized'!$A:$A, 0))-INDEX('UZ-normalized'!$E:$E, MATCH($A202, 'UZ-normalized'!$A:$A, 0))&gt;0, -(30*INDEX('UZ-normalized'!$D:$D, MATCH($A202, 'UZ-normalized'!$A:$A, 0))-INDEX('UZ-normalized'!$E:$E, MATCH($A202, 'UZ-normalized'!$A:$A, 0))), 0), 0)))</f>
        <v>-6</v>
      </c>
    </row>
    <row r="203" spans="1:44" x14ac:dyDescent="0.25">
      <c r="A203" s="8" t="s">
        <v>485</v>
      </c>
      <c r="B203" s="8" t="s">
        <v>460</v>
      </c>
      <c r="C203" s="8" t="s">
        <v>479</v>
      </c>
      <c r="D203" s="8" t="s">
        <v>486</v>
      </c>
      <c r="N203">
        <f t="shared" si="3"/>
        <v>0</v>
      </c>
      <c r="O203" s="6">
        <f>MIN(0, N203+(IFERROR(IF(1*INDEX('UA-normalized'!$D:$D, MATCH($A203, 'UA-normalized'!$A:$A, 0))-INDEX('UA-normalized'!$E:$E, MATCH($A203, 'UA-normalized'!$A:$A, 0))&gt;0, -(1*INDEX('UA-normalized'!$D:$D, MATCH($A203, 'UA-normalized'!$A:$A, 0))-INDEX('UA-normalized'!$E:$E, MATCH($A203, 'UA-normalized'!$A:$A, 0))), 0), 0))+(IFERROR(IF(1*INDEX('KZ-normalized'!$D:$D, MATCH($A203, 'KZ-normalized'!$A:$A, 0))-INDEX('KZ-normalized'!$E:$E, MATCH($A203, 'KZ-normalized'!$A:$A, 0))&gt;0, -(1*INDEX('KZ-normalized'!$D:$D, MATCH($A203, 'KZ-normalized'!$A:$A, 0))-INDEX('KZ-normalized'!$E:$E, MATCH($A203, 'KZ-normalized'!$A:$A, 0))), 0), 0))+(IFERROR(IF(1*INDEX('UZ-normalized'!$D:$D, MATCH($A203, 'UZ-normalized'!$A:$A, 0))-INDEX('UZ-normalized'!$E:$E, MATCH($A203, 'UZ-normalized'!$A:$A, 0))&gt;0, -(1*INDEX('UZ-normalized'!$D:$D, MATCH($A203, 'UZ-normalized'!$A:$A, 0))-INDEX('UZ-normalized'!$E:$E, MATCH($A203, 'UZ-normalized'!$A:$A, 0))), 0), 0)))</f>
        <v>0</v>
      </c>
      <c r="P203" s="6">
        <f>MIN(0, N203+(IFERROR(IF(2*INDEX('UA-normalized'!$D:$D, MATCH($A203, 'UA-normalized'!$A:$A, 0))-INDEX('UA-normalized'!$E:$E, MATCH($A203, 'UA-normalized'!$A:$A, 0))&gt;0, -(2*INDEX('UA-normalized'!$D:$D, MATCH($A203, 'UA-normalized'!$A:$A, 0))-INDEX('UA-normalized'!$E:$E, MATCH($A203, 'UA-normalized'!$A:$A, 0))), 0), 0))+(IFERROR(IF(2*INDEX('KZ-normalized'!$D:$D, MATCH($A203, 'KZ-normalized'!$A:$A, 0))-INDEX('KZ-normalized'!$E:$E, MATCH($A203, 'KZ-normalized'!$A:$A, 0))&gt;0, -(2*INDEX('KZ-normalized'!$D:$D, MATCH($A203, 'KZ-normalized'!$A:$A, 0))-INDEX('KZ-normalized'!$E:$E, MATCH($A203, 'KZ-normalized'!$A:$A, 0))), 0), 0))+(IFERROR(IF(2*INDEX('UZ-normalized'!$D:$D, MATCH($A203, 'UZ-normalized'!$A:$A, 0))-INDEX('UZ-normalized'!$E:$E, MATCH($A203, 'UZ-normalized'!$A:$A, 0))&gt;0, -(2*INDEX('UZ-normalized'!$D:$D, MATCH($A203, 'UZ-normalized'!$A:$A, 0))-INDEX('UZ-normalized'!$E:$E, MATCH($A203, 'UZ-normalized'!$A:$A, 0))), 0), 0)))</f>
        <v>0</v>
      </c>
      <c r="Q203" s="6">
        <f>MIN(0, N203+(IFERROR(IF(3*INDEX('UA-normalized'!$D:$D, MATCH($A203, 'UA-normalized'!$A:$A, 0))-INDEX('UA-normalized'!$E:$E, MATCH($A203, 'UA-normalized'!$A:$A, 0))&gt;0, -(3*INDEX('UA-normalized'!$D:$D, MATCH($A203, 'UA-normalized'!$A:$A, 0))-INDEX('UA-normalized'!$E:$E, MATCH($A203, 'UA-normalized'!$A:$A, 0))), 0), 0))+(IFERROR(IF(3*INDEX('KZ-normalized'!$D:$D, MATCH($A203, 'KZ-normalized'!$A:$A, 0))-INDEX('KZ-normalized'!$E:$E, MATCH($A203, 'KZ-normalized'!$A:$A, 0))&gt;0, -(3*INDEX('KZ-normalized'!$D:$D, MATCH($A203, 'KZ-normalized'!$A:$A, 0))-INDEX('KZ-normalized'!$E:$E, MATCH($A203, 'KZ-normalized'!$A:$A, 0))), 0), 0))+(IFERROR(IF(3*INDEX('UZ-normalized'!$D:$D, MATCH($A203, 'UZ-normalized'!$A:$A, 0))-INDEX('UZ-normalized'!$E:$E, MATCH($A203, 'UZ-normalized'!$A:$A, 0))&gt;0, -(3*INDEX('UZ-normalized'!$D:$D, MATCH($A203, 'UZ-normalized'!$A:$A, 0))-INDEX('UZ-normalized'!$E:$E, MATCH($A203, 'UZ-normalized'!$A:$A, 0))), 0), 0)))</f>
        <v>0</v>
      </c>
      <c r="R203" s="6">
        <f>MIN(0, N203+(IFERROR(IF(4*INDEX('UA-normalized'!$D:$D, MATCH($A203, 'UA-normalized'!$A:$A, 0))-INDEX('UA-normalized'!$E:$E, MATCH($A203, 'UA-normalized'!$A:$A, 0))&gt;0, -(4*INDEX('UA-normalized'!$D:$D, MATCH($A203, 'UA-normalized'!$A:$A, 0))-INDEX('UA-normalized'!$E:$E, MATCH($A203, 'UA-normalized'!$A:$A, 0))), 0), 0))+(IFERROR(IF(4*INDEX('KZ-normalized'!$D:$D, MATCH($A203, 'KZ-normalized'!$A:$A, 0))-INDEX('KZ-normalized'!$E:$E, MATCH($A203, 'KZ-normalized'!$A:$A, 0))&gt;0, -(4*INDEX('KZ-normalized'!$D:$D, MATCH($A203, 'KZ-normalized'!$A:$A, 0))-INDEX('KZ-normalized'!$E:$E, MATCH($A203, 'KZ-normalized'!$A:$A, 0))), 0), 0))+(IFERROR(IF(4*INDEX('UZ-normalized'!$D:$D, MATCH($A203, 'UZ-normalized'!$A:$A, 0))-INDEX('UZ-normalized'!$E:$E, MATCH($A203, 'UZ-normalized'!$A:$A, 0))&gt;0, -(4*INDEX('UZ-normalized'!$D:$D, MATCH($A203, 'UZ-normalized'!$A:$A, 0))-INDEX('UZ-normalized'!$E:$E, MATCH($A203, 'UZ-normalized'!$A:$A, 0))), 0), 0)))</f>
        <v>0</v>
      </c>
      <c r="S203" s="6">
        <f>MIN(0, N203+(IFERROR(IF(5*INDEX('UA-normalized'!$D:$D, MATCH($A203, 'UA-normalized'!$A:$A, 0))-INDEX('UA-normalized'!$E:$E, MATCH($A203, 'UA-normalized'!$A:$A, 0))&gt;0, -(5*INDEX('UA-normalized'!$D:$D, MATCH($A203, 'UA-normalized'!$A:$A, 0))-INDEX('UA-normalized'!$E:$E, MATCH($A203, 'UA-normalized'!$A:$A, 0))), 0), 0))+(IFERROR(IF(5*INDEX('KZ-normalized'!$D:$D, MATCH($A203, 'KZ-normalized'!$A:$A, 0))-INDEX('KZ-normalized'!$E:$E, MATCH($A203, 'KZ-normalized'!$A:$A, 0))&gt;0, -(5*INDEX('KZ-normalized'!$D:$D, MATCH($A203, 'KZ-normalized'!$A:$A, 0))-INDEX('KZ-normalized'!$E:$E, MATCH($A203, 'KZ-normalized'!$A:$A, 0))), 0), 0))+(IFERROR(IF(5*INDEX('UZ-normalized'!$D:$D, MATCH($A203, 'UZ-normalized'!$A:$A, 0))-INDEX('UZ-normalized'!$E:$E, MATCH($A203, 'UZ-normalized'!$A:$A, 0))&gt;0, -(5*INDEX('UZ-normalized'!$D:$D, MATCH($A203, 'UZ-normalized'!$A:$A, 0))-INDEX('UZ-normalized'!$E:$E, MATCH($A203, 'UZ-normalized'!$A:$A, 0))), 0), 0)))</f>
        <v>0</v>
      </c>
      <c r="T203" s="6">
        <f>MIN(0, N203+(IFERROR(IF(6*INDEX('UA-normalized'!$D:$D, MATCH($A203, 'UA-normalized'!$A:$A, 0))-INDEX('UA-normalized'!$E:$E, MATCH($A203, 'UA-normalized'!$A:$A, 0))&gt;0, -(6*INDEX('UA-normalized'!$D:$D, MATCH($A203, 'UA-normalized'!$A:$A, 0))-INDEX('UA-normalized'!$E:$E, MATCH($A203, 'UA-normalized'!$A:$A, 0))), 0), 0))+(IFERROR(IF(6*INDEX('KZ-normalized'!$D:$D, MATCH($A203, 'KZ-normalized'!$A:$A, 0))-INDEX('KZ-normalized'!$E:$E, MATCH($A203, 'KZ-normalized'!$A:$A, 0))&gt;0, -(6*INDEX('KZ-normalized'!$D:$D, MATCH($A203, 'KZ-normalized'!$A:$A, 0))-INDEX('KZ-normalized'!$E:$E, MATCH($A203, 'KZ-normalized'!$A:$A, 0))), 0), 0))+(IFERROR(IF(6*INDEX('UZ-normalized'!$D:$D, MATCH($A203, 'UZ-normalized'!$A:$A, 0))-INDEX('UZ-normalized'!$E:$E, MATCH($A203, 'UZ-normalized'!$A:$A, 0))&gt;0, -(6*INDEX('UZ-normalized'!$D:$D, MATCH($A203, 'UZ-normalized'!$A:$A, 0))-INDEX('UZ-normalized'!$E:$E, MATCH($A203, 'UZ-normalized'!$A:$A, 0))), 0), 0)))</f>
        <v>0</v>
      </c>
      <c r="U203" s="6">
        <f>MIN(0, N203+(IFERROR(IF(7*INDEX('UA-normalized'!$D:$D, MATCH($A203, 'UA-normalized'!$A:$A, 0))-INDEX('UA-normalized'!$E:$E, MATCH($A203, 'UA-normalized'!$A:$A, 0))&gt;0, -(7*INDEX('UA-normalized'!$D:$D, MATCH($A203, 'UA-normalized'!$A:$A, 0))-INDEX('UA-normalized'!$E:$E, MATCH($A203, 'UA-normalized'!$A:$A, 0))), 0), 0))+(IFERROR(IF(7*INDEX('KZ-normalized'!$D:$D, MATCH($A203, 'KZ-normalized'!$A:$A, 0))-INDEX('KZ-normalized'!$E:$E, MATCH($A203, 'KZ-normalized'!$A:$A, 0))&gt;0, -(7*INDEX('KZ-normalized'!$D:$D, MATCH($A203, 'KZ-normalized'!$A:$A, 0))-INDEX('KZ-normalized'!$E:$E, MATCH($A203, 'KZ-normalized'!$A:$A, 0))), 0), 0))+(IFERROR(IF(7*INDEX('UZ-normalized'!$D:$D, MATCH($A203, 'UZ-normalized'!$A:$A, 0))-INDEX('UZ-normalized'!$E:$E, MATCH($A203, 'UZ-normalized'!$A:$A, 0))&gt;0, -(7*INDEX('UZ-normalized'!$D:$D, MATCH($A203, 'UZ-normalized'!$A:$A, 0))-INDEX('UZ-normalized'!$E:$E, MATCH($A203, 'UZ-normalized'!$A:$A, 0))), 0), 0)))</f>
        <v>0</v>
      </c>
      <c r="V203" s="6">
        <f>MIN(0, N203+(IFERROR(IF(8*INDEX('UA-normalized'!$D:$D, MATCH($A203, 'UA-normalized'!$A:$A, 0))-INDEX('UA-normalized'!$E:$E, MATCH($A203, 'UA-normalized'!$A:$A, 0))&gt;0, -(8*INDEX('UA-normalized'!$D:$D, MATCH($A203, 'UA-normalized'!$A:$A, 0))-INDEX('UA-normalized'!$E:$E, MATCH($A203, 'UA-normalized'!$A:$A, 0))), 0), 0))+(IFERROR(IF(8*INDEX('KZ-normalized'!$D:$D, MATCH($A203, 'KZ-normalized'!$A:$A, 0))-INDEX('KZ-normalized'!$E:$E, MATCH($A203, 'KZ-normalized'!$A:$A, 0))&gt;0, -(8*INDEX('KZ-normalized'!$D:$D, MATCH($A203, 'KZ-normalized'!$A:$A, 0))-INDEX('KZ-normalized'!$E:$E, MATCH($A203, 'KZ-normalized'!$A:$A, 0))), 0), 0))+(IFERROR(IF(8*INDEX('UZ-normalized'!$D:$D, MATCH($A203, 'UZ-normalized'!$A:$A, 0))-INDEX('UZ-normalized'!$E:$E, MATCH($A203, 'UZ-normalized'!$A:$A, 0))&gt;0, -(8*INDEX('UZ-normalized'!$D:$D, MATCH($A203, 'UZ-normalized'!$A:$A, 0))-INDEX('UZ-normalized'!$E:$E, MATCH($A203, 'UZ-normalized'!$A:$A, 0))), 0), 0)))</f>
        <v>0</v>
      </c>
      <c r="W203" s="6">
        <f>MIN(0, N203+(IFERROR(IF(9*INDEX('UA-normalized'!$D:$D, MATCH($A203, 'UA-normalized'!$A:$A, 0))-INDEX('UA-normalized'!$E:$E, MATCH($A203, 'UA-normalized'!$A:$A, 0))&gt;0, -(9*INDEX('UA-normalized'!$D:$D, MATCH($A203, 'UA-normalized'!$A:$A, 0))-INDEX('UA-normalized'!$E:$E, MATCH($A203, 'UA-normalized'!$A:$A, 0))), 0), 0))+(IFERROR(IF(9*INDEX('KZ-normalized'!$D:$D, MATCH($A203, 'KZ-normalized'!$A:$A, 0))-INDEX('KZ-normalized'!$E:$E, MATCH($A203, 'KZ-normalized'!$A:$A, 0))&gt;0, -(9*INDEX('KZ-normalized'!$D:$D, MATCH($A203, 'KZ-normalized'!$A:$A, 0))-INDEX('KZ-normalized'!$E:$E, MATCH($A203, 'KZ-normalized'!$A:$A, 0))), 0), 0))+(IFERROR(IF(9*INDEX('UZ-normalized'!$D:$D, MATCH($A203, 'UZ-normalized'!$A:$A, 0))-INDEX('UZ-normalized'!$E:$E, MATCH($A203, 'UZ-normalized'!$A:$A, 0))&gt;0, -(9*INDEX('UZ-normalized'!$D:$D, MATCH($A203, 'UZ-normalized'!$A:$A, 0))-INDEX('UZ-normalized'!$E:$E, MATCH($A203, 'UZ-normalized'!$A:$A, 0))), 0), 0)))</f>
        <v>0</v>
      </c>
      <c r="X203" s="6">
        <f>MIN(0, N203+(IFERROR(IF(10*INDEX('UA-normalized'!$D:$D, MATCH($A203, 'UA-normalized'!$A:$A, 0))-INDEX('UA-normalized'!$E:$E, MATCH($A203, 'UA-normalized'!$A:$A, 0))&gt;0, -(10*INDEX('UA-normalized'!$D:$D, MATCH($A203, 'UA-normalized'!$A:$A, 0))-INDEX('UA-normalized'!$E:$E, MATCH($A203, 'UA-normalized'!$A:$A, 0))), 0), 0))+(IFERROR(IF(10*INDEX('KZ-normalized'!$D:$D, MATCH($A203, 'KZ-normalized'!$A:$A, 0))-INDEX('KZ-normalized'!$E:$E, MATCH($A203, 'KZ-normalized'!$A:$A, 0))&gt;0, -(10*INDEX('KZ-normalized'!$D:$D, MATCH($A203, 'KZ-normalized'!$A:$A, 0))-INDEX('KZ-normalized'!$E:$E, MATCH($A203, 'KZ-normalized'!$A:$A, 0))), 0), 0))+(IFERROR(IF(10*INDEX('UZ-normalized'!$D:$D, MATCH($A203, 'UZ-normalized'!$A:$A, 0))-INDEX('UZ-normalized'!$E:$E, MATCH($A203, 'UZ-normalized'!$A:$A, 0))&gt;0, -(10*INDEX('UZ-normalized'!$D:$D, MATCH($A203, 'UZ-normalized'!$A:$A, 0))-INDEX('UZ-normalized'!$E:$E, MATCH($A203, 'UZ-normalized'!$A:$A, 0))), 0), 0)))</f>
        <v>0</v>
      </c>
      <c r="Y203" s="6">
        <f>MIN(0, N203+(IFERROR(IF(11*INDEX('UA-normalized'!$D:$D, MATCH($A203, 'UA-normalized'!$A:$A, 0))-INDEX('UA-normalized'!$E:$E, MATCH($A203, 'UA-normalized'!$A:$A, 0))&gt;0, -(11*INDEX('UA-normalized'!$D:$D, MATCH($A203, 'UA-normalized'!$A:$A, 0))-INDEX('UA-normalized'!$E:$E, MATCH($A203, 'UA-normalized'!$A:$A, 0))), 0), 0))+(IFERROR(IF(11*INDEX('KZ-normalized'!$D:$D, MATCH($A203, 'KZ-normalized'!$A:$A, 0))-INDEX('KZ-normalized'!$E:$E, MATCH($A203, 'KZ-normalized'!$A:$A, 0))&gt;0, -(11*INDEX('KZ-normalized'!$D:$D, MATCH($A203, 'KZ-normalized'!$A:$A, 0))-INDEX('KZ-normalized'!$E:$E, MATCH($A203, 'KZ-normalized'!$A:$A, 0))), 0), 0))+(IFERROR(IF(11*INDEX('UZ-normalized'!$D:$D, MATCH($A203, 'UZ-normalized'!$A:$A, 0))-INDEX('UZ-normalized'!$E:$E, MATCH($A203, 'UZ-normalized'!$A:$A, 0))&gt;0, -(11*INDEX('UZ-normalized'!$D:$D, MATCH($A203, 'UZ-normalized'!$A:$A, 0))-INDEX('UZ-normalized'!$E:$E, MATCH($A203, 'UZ-normalized'!$A:$A, 0))), 0), 0)))</f>
        <v>0</v>
      </c>
      <c r="Z203" s="6">
        <f>MIN(0, N203+(IFERROR(IF(12*INDEX('UA-normalized'!$D:$D, MATCH($A203, 'UA-normalized'!$A:$A, 0))-INDEX('UA-normalized'!$E:$E, MATCH($A203, 'UA-normalized'!$A:$A, 0))&gt;0, -(12*INDEX('UA-normalized'!$D:$D, MATCH($A203, 'UA-normalized'!$A:$A, 0))-INDEX('UA-normalized'!$E:$E, MATCH($A203, 'UA-normalized'!$A:$A, 0))), 0), 0))+(IFERROR(IF(12*INDEX('KZ-normalized'!$D:$D, MATCH($A203, 'KZ-normalized'!$A:$A, 0))-INDEX('KZ-normalized'!$E:$E, MATCH($A203, 'KZ-normalized'!$A:$A, 0))&gt;0, -(12*INDEX('KZ-normalized'!$D:$D, MATCH($A203, 'KZ-normalized'!$A:$A, 0))-INDEX('KZ-normalized'!$E:$E, MATCH($A203, 'KZ-normalized'!$A:$A, 0))), 0), 0))+(IFERROR(IF(12*INDEX('UZ-normalized'!$D:$D, MATCH($A203, 'UZ-normalized'!$A:$A, 0))-INDEX('UZ-normalized'!$E:$E, MATCH($A203, 'UZ-normalized'!$A:$A, 0))&gt;0, -(12*INDEX('UZ-normalized'!$D:$D, MATCH($A203, 'UZ-normalized'!$A:$A, 0))-INDEX('UZ-normalized'!$E:$E, MATCH($A203, 'UZ-normalized'!$A:$A, 0))), 0), 0)))</f>
        <v>0</v>
      </c>
      <c r="AA203" s="6">
        <f>MIN(0, N203+(IFERROR(IF(13*INDEX('UA-normalized'!$D:$D, MATCH($A203, 'UA-normalized'!$A:$A, 0))-INDEX('UA-normalized'!$E:$E, MATCH($A203, 'UA-normalized'!$A:$A, 0))&gt;0, -(13*INDEX('UA-normalized'!$D:$D, MATCH($A203, 'UA-normalized'!$A:$A, 0))-INDEX('UA-normalized'!$E:$E, MATCH($A203, 'UA-normalized'!$A:$A, 0))), 0), 0))+(IFERROR(IF(13*INDEX('KZ-normalized'!$D:$D, MATCH($A203, 'KZ-normalized'!$A:$A, 0))-INDEX('KZ-normalized'!$E:$E, MATCH($A203, 'KZ-normalized'!$A:$A, 0))&gt;0, -(13*INDEX('KZ-normalized'!$D:$D, MATCH($A203, 'KZ-normalized'!$A:$A, 0))-INDEX('KZ-normalized'!$E:$E, MATCH($A203, 'KZ-normalized'!$A:$A, 0))), 0), 0))+(IFERROR(IF(13*INDEX('UZ-normalized'!$D:$D, MATCH($A203, 'UZ-normalized'!$A:$A, 0))-INDEX('UZ-normalized'!$E:$E, MATCH($A203, 'UZ-normalized'!$A:$A, 0))&gt;0, -(13*INDEX('UZ-normalized'!$D:$D, MATCH($A203, 'UZ-normalized'!$A:$A, 0))-INDEX('UZ-normalized'!$E:$E, MATCH($A203, 'UZ-normalized'!$A:$A, 0))), 0), 0)))</f>
        <v>0</v>
      </c>
      <c r="AB203" s="6">
        <f>MIN(0, N203+(IFERROR(IF(14*INDEX('UA-normalized'!$D:$D, MATCH($A203, 'UA-normalized'!$A:$A, 0))-INDEX('UA-normalized'!$E:$E, MATCH($A203, 'UA-normalized'!$A:$A, 0))&gt;0, -(14*INDEX('UA-normalized'!$D:$D, MATCH($A203, 'UA-normalized'!$A:$A, 0))-INDEX('UA-normalized'!$E:$E, MATCH($A203, 'UA-normalized'!$A:$A, 0))), 0), 0))+(IFERROR(IF(14*INDEX('KZ-normalized'!$D:$D, MATCH($A203, 'KZ-normalized'!$A:$A, 0))-INDEX('KZ-normalized'!$E:$E, MATCH($A203, 'KZ-normalized'!$A:$A, 0))&gt;0, -(14*INDEX('KZ-normalized'!$D:$D, MATCH($A203, 'KZ-normalized'!$A:$A, 0))-INDEX('KZ-normalized'!$E:$E, MATCH($A203, 'KZ-normalized'!$A:$A, 0))), 0), 0))+(IFERROR(IF(14*INDEX('UZ-normalized'!$D:$D, MATCH($A203, 'UZ-normalized'!$A:$A, 0))-INDEX('UZ-normalized'!$E:$E, MATCH($A203, 'UZ-normalized'!$A:$A, 0))&gt;0, -(14*INDEX('UZ-normalized'!$D:$D, MATCH($A203, 'UZ-normalized'!$A:$A, 0))-INDEX('UZ-normalized'!$E:$E, MATCH($A203, 'UZ-normalized'!$A:$A, 0))), 0), 0)))</f>
        <v>0</v>
      </c>
      <c r="AC203" s="6">
        <f>MIN(0, N203+(IFERROR(IF(15*INDEX('UA-normalized'!$D:$D, MATCH($A203, 'UA-normalized'!$A:$A, 0))-INDEX('UA-normalized'!$E:$E, MATCH($A203, 'UA-normalized'!$A:$A, 0))&gt;0, -(15*INDEX('UA-normalized'!$D:$D, MATCH($A203, 'UA-normalized'!$A:$A, 0))-INDEX('UA-normalized'!$E:$E, MATCH($A203, 'UA-normalized'!$A:$A, 0))), 0), 0))+(IFERROR(IF(15*INDEX('KZ-normalized'!$D:$D, MATCH($A203, 'KZ-normalized'!$A:$A, 0))-INDEX('KZ-normalized'!$E:$E, MATCH($A203, 'KZ-normalized'!$A:$A, 0))&gt;0, -(15*INDEX('KZ-normalized'!$D:$D, MATCH($A203, 'KZ-normalized'!$A:$A, 0))-INDEX('KZ-normalized'!$E:$E, MATCH($A203, 'KZ-normalized'!$A:$A, 0))), 0), 0))+(IFERROR(IF(15*INDEX('UZ-normalized'!$D:$D, MATCH($A203, 'UZ-normalized'!$A:$A, 0))-INDEX('UZ-normalized'!$E:$E, MATCH($A203, 'UZ-normalized'!$A:$A, 0))&gt;0, -(15*INDEX('UZ-normalized'!$D:$D, MATCH($A203, 'UZ-normalized'!$A:$A, 0))-INDEX('UZ-normalized'!$E:$E, MATCH($A203, 'UZ-normalized'!$A:$A, 0))), 0), 0)))</f>
        <v>0</v>
      </c>
      <c r="AD203" s="6">
        <f>MIN(0, N203+(IFERROR(IF(16*INDEX('UA-normalized'!$D:$D, MATCH($A203, 'UA-normalized'!$A:$A, 0))-INDEX('UA-normalized'!$E:$E, MATCH($A203, 'UA-normalized'!$A:$A, 0))&gt;0, -(16*INDEX('UA-normalized'!$D:$D, MATCH($A203, 'UA-normalized'!$A:$A, 0))-INDEX('UA-normalized'!$E:$E, MATCH($A203, 'UA-normalized'!$A:$A, 0))), 0), 0))+(IFERROR(IF(16*INDEX('KZ-normalized'!$D:$D, MATCH($A203, 'KZ-normalized'!$A:$A, 0))-INDEX('KZ-normalized'!$E:$E, MATCH($A203, 'KZ-normalized'!$A:$A, 0))&gt;0, -(16*INDEX('KZ-normalized'!$D:$D, MATCH($A203, 'KZ-normalized'!$A:$A, 0))-INDEX('KZ-normalized'!$E:$E, MATCH($A203, 'KZ-normalized'!$A:$A, 0))), 0), 0))+(IFERROR(IF(16*INDEX('UZ-normalized'!$D:$D, MATCH($A203, 'UZ-normalized'!$A:$A, 0))-INDEX('UZ-normalized'!$E:$E, MATCH($A203, 'UZ-normalized'!$A:$A, 0))&gt;0, -(16*INDEX('UZ-normalized'!$D:$D, MATCH($A203, 'UZ-normalized'!$A:$A, 0))-INDEX('UZ-normalized'!$E:$E, MATCH($A203, 'UZ-normalized'!$A:$A, 0))), 0), 0)))</f>
        <v>0</v>
      </c>
      <c r="AE203" s="6">
        <f>MIN(0, N203+(IFERROR(IF(17*INDEX('UA-normalized'!$D:$D, MATCH($A203, 'UA-normalized'!$A:$A, 0))-INDEX('UA-normalized'!$E:$E, MATCH($A203, 'UA-normalized'!$A:$A, 0))&gt;0, -(17*INDEX('UA-normalized'!$D:$D, MATCH($A203, 'UA-normalized'!$A:$A, 0))-INDEX('UA-normalized'!$E:$E, MATCH($A203, 'UA-normalized'!$A:$A, 0))), 0), 0))+(IFERROR(IF(17*INDEX('KZ-normalized'!$D:$D, MATCH($A203, 'KZ-normalized'!$A:$A, 0))-INDEX('KZ-normalized'!$E:$E, MATCH($A203, 'KZ-normalized'!$A:$A, 0))&gt;0, -(17*INDEX('KZ-normalized'!$D:$D, MATCH($A203, 'KZ-normalized'!$A:$A, 0))-INDEX('KZ-normalized'!$E:$E, MATCH($A203, 'KZ-normalized'!$A:$A, 0))), 0), 0))+(IFERROR(IF(17*INDEX('UZ-normalized'!$D:$D, MATCH($A203, 'UZ-normalized'!$A:$A, 0))-INDEX('UZ-normalized'!$E:$E, MATCH($A203, 'UZ-normalized'!$A:$A, 0))&gt;0, -(17*INDEX('UZ-normalized'!$D:$D, MATCH($A203, 'UZ-normalized'!$A:$A, 0))-INDEX('UZ-normalized'!$E:$E, MATCH($A203, 'UZ-normalized'!$A:$A, 0))), 0), 0)))</f>
        <v>0</v>
      </c>
      <c r="AF203" s="6">
        <f>MIN(0, N203+(IFERROR(IF(18*INDEX('UA-normalized'!$D:$D, MATCH($A203, 'UA-normalized'!$A:$A, 0))-INDEX('UA-normalized'!$E:$E, MATCH($A203, 'UA-normalized'!$A:$A, 0))&gt;0, -(18*INDEX('UA-normalized'!$D:$D, MATCH($A203, 'UA-normalized'!$A:$A, 0))-INDEX('UA-normalized'!$E:$E, MATCH($A203, 'UA-normalized'!$A:$A, 0))), 0), 0))+(IFERROR(IF(18*INDEX('KZ-normalized'!$D:$D, MATCH($A203, 'KZ-normalized'!$A:$A, 0))-INDEX('KZ-normalized'!$E:$E, MATCH($A203, 'KZ-normalized'!$A:$A, 0))&gt;0, -(18*INDEX('KZ-normalized'!$D:$D, MATCH($A203, 'KZ-normalized'!$A:$A, 0))-INDEX('KZ-normalized'!$E:$E, MATCH($A203, 'KZ-normalized'!$A:$A, 0))), 0), 0))+(IFERROR(IF(18*INDEX('UZ-normalized'!$D:$D, MATCH($A203, 'UZ-normalized'!$A:$A, 0))-INDEX('UZ-normalized'!$E:$E, MATCH($A203, 'UZ-normalized'!$A:$A, 0))&gt;0, -(18*INDEX('UZ-normalized'!$D:$D, MATCH($A203, 'UZ-normalized'!$A:$A, 0))-INDEX('UZ-normalized'!$E:$E, MATCH($A203, 'UZ-normalized'!$A:$A, 0))), 0), 0)))</f>
        <v>0</v>
      </c>
      <c r="AG203" s="6">
        <f>MIN(0, N203+(IFERROR(IF(19*INDEX('UA-normalized'!$D:$D, MATCH($A203, 'UA-normalized'!$A:$A, 0))-INDEX('UA-normalized'!$E:$E, MATCH($A203, 'UA-normalized'!$A:$A, 0))&gt;0, -(19*INDEX('UA-normalized'!$D:$D, MATCH($A203, 'UA-normalized'!$A:$A, 0))-INDEX('UA-normalized'!$E:$E, MATCH($A203, 'UA-normalized'!$A:$A, 0))), 0), 0))+(IFERROR(IF(19*INDEX('KZ-normalized'!$D:$D, MATCH($A203, 'KZ-normalized'!$A:$A, 0))-INDEX('KZ-normalized'!$E:$E, MATCH($A203, 'KZ-normalized'!$A:$A, 0))&gt;0, -(19*INDEX('KZ-normalized'!$D:$D, MATCH($A203, 'KZ-normalized'!$A:$A, 0))-INDEX('KZ-normalized'!$E:$E, MATCH($A203, 'KZ-normalized'!$A:$A, 0))), 0), 0))+(IFERROR(IF(19*INDEX('UZ-normalized'!$D:$D, MATCH($A203, 'UZ-normalized'!$A:$A, 0))-INDEX('UZ-normalized'!$E:$E, MATCH($A203, 'UZ-normalized'!$A:$A, 0))&gt;0, -(19*INDEX('UZ-normalized'!$D:$D, MATCH($A203, 'UZ-normalized'!$A:$A, 0))-INDEX('UZ-normalized'!$E:$E, MATCH($A203, 'UZ-normalized'!$A:$A, 0))), 0), 0)))</f>
        <v>0</v>
      </c>
      <c r="AH203" s="6">
        <f>MIN(0, N203+(IFERROR(IF(20*INDEX('UA-normalized'!$D:$D, MATCH($A203, 'UA-normalized'!$A:$A, 0))-INDEX('UA-normalized'!$E:$E, MATCH($A203, 'UA-normalized'!$A:$A, 0))&gt;0, -(20*INDEX('UA-normalized'!$D:$D, MATCH($A203, 'UA-normalized'!$A:$A, 0))-INDEX('UA-normalized'!$E:$E, MATCH($A203, 'UA-normalized'!$A:$A, 0))), 0), 0))+(IFERROR(IF(20*INDEX('KZ-normalized'!$D:$D, MATCH($A203, 'KZ-normalized'!$A:$A, 0))-INDEX('KZ-normalized'!$E:$E, MATCH($A203, 'KZ-normalized'!$A:$A, 0))&gt;0, -(20*INDEX('KZ-normalized'!$D:$D, MATCH($A203, 'KZ-normalized'!$A:$A, 0))-INDEX('KZ-normalized'!$E:$E, MATCH($A203, 'KZ-normalized'!$A:$A, 0))), 0), 0))+(IFERROR(IF(20*INDEX('UZ-normalized'!$D:$D, MATCH($A203, 'UZ-normalized'!$A:$A, 0))-INDEX('UZ-normalized'!$E:$E, MATCH($A203, 'UZ-normalized'!$A:$A, 0))&gt;0, -(20*INDEX('UZ-normalized'!$D:$D, MATCH($A203, 'UZ-normalized'!$A:$A, 0))-INDEX('UZ-normalized'!$E:$E, MATCH($A203, 'UZ-normalized'!$A:$A, 0))), 0), 0)))</f>
        <v>0</v>
      </c>
      <c r="AI203" s="6">
        <f>MIN(0, N203+(IFERROR(IF(21*INDEX('UA-normalized'!$D:$D, MATCH($A203, 'UA-normalized'!$A:$A, 0))-INDEX('UA-normalized'!$E:$E, MATCH($A203, 'UA-normalized'!$A:$A, 0))&gt;0, -(21*INDEX('UA-normalized'!$D:$D, MATCH($A203, 'UA-normalized'!$A:$A, 0))-INDEX('UA-normalized'!$E:$E, MATCH($A203, 'UA-normalized'!$A:$A, 0))), 0), 0))+(IFERROR(IF(21*INDEX('KZ-normalized'!$D:$D, MATCH($A203, 'KZ-normalized'!$A:$A, 0))-INDEX('KZ-normalized'!$E:$E, MATCH($A203, 'KZ-normalized'!$A:$A, 0))&gt;0, -(21*INDEX('KZ-normalized'!$D:$D, MATCH($A203, 'KZ-normalized'!$A:$A, 0))-INDEX('KZ-normalized'!$E:$E, MATCH($A203, 'KZ-normalized'!$A:$A, 0))), 0), 0))+(IFERROR(IF(21*INDEX('UZ-normalized'!$D:$D, MATCH($A203, 'UZ-normalized'!$A:$A, 0))-INDEX('UZ-normalized'!$E:$E, MATCH($A203, 'UZ-normalized'!$A:$A, 0))&gt;0, -(21*INDEX('UZ-normalized'!$D:$D, MATCH($A203, 'UZ-normalized'!$A:$A, 0))-INDEX('UZ-normalized'!$E:$E, MATCH($A203, 'UZ-normalized'!$A:$A, 0))), 0), 0)))</f>
        <v>0</v>
      </c>
      <c r="AJ203" s="6">
        <f>MIN(0, N203+(IFERROR(IF(22*INDEX('UA-normalized'!$D:$D, MATCH($A203, 'UA-normalized'!$A:$A, 0))-INDEX('UA-normalized'!$E:$E, MATCH($A203, 'UA-normalized'!$A:$A, 0))&gt;0, -(22*INDEX('UA-normalized'!$D:$D, MATCH($A203, 'UA-normalized'!$A:$A, 0))-INDEX('UA-normalized'!$E:$E, MATCH($A203, 'UA-normalized'!$A:$A, 0))), 0), 0))+(IFERROR(IF(22*INDEX('KZ-normalized'!$D:$D, MATCH($A203, 'KZ-normalized'!$A:$A, 0))-INDEX('KZ-normalized'!$E:$E, MATCH($A203, 'KZ-normalized'!$A:$A, 0))&gt;0, -(22*INDEX('KZ-normalized'!$D:$D, MATCH($A203, 'KZ-normalized'!$A:$A, 0))-INDEX('KZ-normalized'!$E:$E, MATCH($A203, 'KZ-normalized'!$A:$A, 0))), 0), 0))+(IFERROR(IF(22*INDEX('UZ-normalized'!$D:$D, MATCH($A203, 'UZ-normalized'!$A:$A, 0))-INDEX('UZ-normalized'!$E:$E, MATCH($A203, 'UZ-normalized'!$A:$A, 0))&gt;0, -(22*INDEX('UZ-normalized'!$D:$D, MATCH($A203, 'UZ-normalized'!$A:$A, 0))-INDEX('UZ-normalized'!$E:$E, MATCH($A203, 'UZ-normalized'!$A:$A, 0))), 0), 0)))</f>
        <v>0</v>
      </c>
      <c r="AK203" s="6">
        <f>MIN(0, N203+(IFERROR(IF(23*INDEX('UA-normalized'!$D:$D, MATCH($A203, 'UA-normalized'!$A:$A, 0))-INDEX('UA-normalized'!$E:$E, MATCH($A203, 'UA-normalized'!$A:$A, 0))&gt;0, -(23*INDEX('UA-normalized'!$D:$D, MATCH($A203, 'UA-normalized'!$A:$A, 0))-INDEX('UA-normalized'!$E:$E, MATCH($A203, 'UA-normalized'!$A:$A, 0))), 0), 0))+(IFERROR(IF(23*INDEX('KZ-normalized'!$D:$D, MATCH($A203, 'KZ-normalized'!$A:$A, 0))-INDEX('KZ-normalized'!$E:$E, MATCH($A203, 'KZ-normalized'!$A:$A, 0))&gt;0, -(23*INDEX('KZ-normalized'!$D:$D, MATCH($A203, 'KZ-normalized'!$A:$A, 0))-INDEX('KZ-normalized'!$E:$E, MATCH($A203, 'KZ-normalized'!$A:$A, 0))), 0), 0))+(IFERROR(IF(23*INDEX('UZ-normalized'!$D:$D, MATCH($A203, 'UZ-normalized'!$A:$A, 0))-INDEX('UZ-normalized'!$E:$E, MATCH($A203, 'UZ-normalized'!$A:$A, 0))&gt;0, -(23*INDEX('UZ-normalized'!$D:$D, MATCH($A203, 'UZ-normalized'!$A:$A, 0))-INDEX('UZ-normalized'!$E:$E, MATCH($A203, 'UZ-normalized'!$A:$A, 0))), 0), 0)))</f>
        <v>0</v>
      </c>
      <c r="AL203" s="6">
        <f>MIN(0, N203+(IFERROR(IF(24*INDEX('UA-normalized'!$D:$D, MATCH($A203, 'UA-normalized'!$A:$A, 0))-INDEX('UA-normalized'!$E:$E, MATCH($A203, 'UA-normalized'!$A:$A, 0))&gt;0, -(24*INDEX('UA-normalized'!$D:$D, MATCH($A203, 'UA-normalized'!$A:$A, 0))-INDEX('UA-normalized'!$E:$E, MATCH($A203, 'UA-normalized'!$A:$A, 0))), 0), 0))+(IFERROR(IF(24*INDEX('KZ-normalized'!$D:$D, MATCH($A203, 'KZ-normalized'!$A:$A, 0))-INDEX('KZ-normalized'!$E:$E, MATCH($A203, 'KZ-normalized'!$A:$A, 0))&gt;0, -(24*INDEX('KZ-normalized'!$D:$D, MATCH($A203, 'KZ-normalized'!$A:$A, 0))-INDEX('KZ-normalized'!$E:$E, MATCH($A203, 'KZ-normalized'!$A:$A, 0))), 0), 0))+(IFERROR(IF(24*INDEX('UZ-normalized'!$D:$D, MATCH($A203, 'UZ-normalized'!$A:$A, 0))-INDEX('UZ-normalized'!$E:$E, MATCH($A203, 'UZ-normalized'!$A:$A, 0))&gt;0, -(24*INDEX('UZ-normalized'!$D:$D, MATCH($A203, 'UZ-normalized'!$A:$A, 0))-INDEX('UZ-normalized'!$E:$E, MATCH($A203, 'UZ-normalized'!$A:$A, 0))), 0), 0)))</f>
        <v>0</v>
      </c>
      <c r="AM203" s="6">
        <f>MIN(0, N203+(IFERROR(IF(25*INDEX('UA-normalized'!$D:$D, MATCH($A203, 'UA-normalized'!$A:$A, 0))-INDEX('UA-normalized'!$E:$E, MATCH($A203, 'UA-normalized'!$A:$A, 0))&gt;0, -(25*INDEX('UA-normalized'!$D:$D, MATCH($A203, 'UA-normalized'!$A:$A, 0))-INDEX('UA-normalized'!$E:$E, MATCH($A203, 'UA-normalized'!$A:$A, 0))), 0), 0))+(IFERROR(IF(25*INDEX('KZ-normalized'!$D:$D, MATCH($A203, 'KZ-normalized'!$A:$A, 0))-INDEX('KZ-normalized'!$E:$E, MATCH($A203, 'KZ-normalized'!$A:$A, 0))&gt;0, -(25*INDEX('KZ-normalized'!$D:$D, MATCH($A203, 'KZ-normalized'!$A:$A, 0))-INDEX('KZ-normalized'!$E:$E, MATCH($A203, 'KZ-normalized'!$A:$A, 0))), 0), 0))+(IFERROR(IF(25*INDEX('UZ-normalized'!$D:$D, MATCH($A203, 'UZ-normalized'!$A:$A, 0))-INDEX('UZ-normalized'!$E:$E, MATCH($A203, 'UZ-normalized'!$A:$A, 0))&gt;0, -(25*INDEX('UZ-normalized'!$D:$D, MATCH($A203, 'UZ-normalized'!$A:$A, 0))-INDEX('UZ-normalized'!$E:$E, MATCH($A203, 'UZ-normalized'!$A:$A, 0))), 0), 0)))</f>
        <v>0</v>
      </c>
      <c r="AN203" s="6">
        <f>MIN(0, N203+(IFERROR(IF(26*INDEX('UA-normalized'!$D:$D, MATCH($A203, 'UA-normalized'!$A:$A, 0))-INDEX('UA-normalized'!$E:$E, MATCH($A203, 'UA-normalized'!$A:$A, 0))&gt;0, -(26*INDEX('UA-normalized'!$D:$D, MATCH($A203, 'UA-normalized'!$A:$A, 0))-INDEX('UA-normalized'!$E:$E, MATCH($A203, 'UA-normalized'!$A:$A, 0))), 0), 0))+(IFERROR(IF(26*INDEX('KZ-normalized'!$D:$D, MATCH($A203, 'KZ-normalized'!$A:$A, 0))-INDEX('KZ-normalized'!$E:$E, MATCH($A203, 'KZ-normalized'!$A:$A, 0))&gt;0, -(26*INDEX('KZ-normalized'!$D:$D, MATCH($A203, 'KZ-normalized'!$A:$A, 0))-INDEX('KZ-normalized'!$E:$E, MATCH($A203, 'KZ-normalized'!$A:$A, 0))), 0), 0))+(IFERROR(IF(26*INDEX('UZ-normalized'!$D:$D, MATCH($A203, 'UZ-normalized'!$A:$A, 0))-INDEX('UZ-normalized'!$E:$E, MATCH($A203, 'UZ-normalized'!$A:$A, 0))&gt;0, -(26*INDEX('UZ-normalized'!$D:$D, MATCH($A203, 'UZ-normalized'!$A:$A, 0))-INDEX('UZ-normalized'!$E:$E, MATCH($A203, 'UZ-normalized'!$A:$A, 0))), 0), 0)))</f>
        <v>0</v>
      </c>
      <c r="AO203" s="6">
        <f>MIN(0, N203+(IFERROR(IF(27*INDEX('UA-normalized'!$D:$D, MATCH($A203, 'UA-normalized'!$A:$A, 0))-INDEX('UA-normalized'!$E:$E, MATCH($A203, 'UA-normalized'!$A:$A, 0))&gt;0, -(27*INDEX('UA-normalized'!$D:$D, MATCH($A203, 'UA-normalized'!$A:$A, 0))-INDEX('UA-normalized'!$E:$E, MATCH($A203, 'UA-normalized'!$A:$A, 0))), 0), 0))+(IFERROR(IF(27*INDEX('KZ-normalized'!$D:$D, MATCH($A203, 'KZ-normalized'!$A:$A, 0))-INDEX('KZ-normalized'!$E:$E, MATCH($A203, 'KZ-normalized'!$A:$A, 0))&gt;0, -(27*INDEX('KZ-normalized'!$D:$D, MATCH($A203, 'KZ-normalized'!$A:$A, 0))-INDEX('KZ-normalized'!$E:$E, MATCH($A203, 'KZ-normalized'!$A:$A, 0))), 0), 0))+(IFERROR(IF(27*INDEX('UZ-normalized'!$D:$D, MATCH($A203, 'UZ-normalized'!$A:$A, 0))-INDEX('UZ-normalized'!$E:$E, MATCH($A203, 'UZ-normalized'!$A:$A, 0))&gt;0, -(27*INDEX('UZ-normalized'!$D:$D, MATCH($A203, 'UZ-normalized'!$A:$A, 0))-INDEX('UZ-normalized'!$E:$E, MATCH($A203, 'UZ-normalized'!$A:$A, 0))), 0), 0)))</f>
        <v>0</v>
      </c>
      <c r="AP203" s="6">
        <f>MIN(0, N203+(IFERROR(IF(28*INDEX('UA-normalized'!$D:$D, MATCH($A203, 'UA-normalized'!$A:$A, 0))-INDEX('UA-normalized'!$E:$E, MATCH($A203, 'UA-normalized'!$A:$A, 0))&gt;0, -(28*INDEX('UA-normalized'!$D:$D, MATCH($A203, 'UA-normalized'!$A:$A, 0))-INDEX('UA-normalized'!$E:$E, MATCH($A203, 'UA-normalized'!$A:$A, 0))), 0), 0))+(IFERROR(IF(28*INDEX('KZ-normalized'!$D:$D, MATCH($A203, 'KZ-normalized'!$A:$A, 0))-INDEX('KZ-normalized'!$E:$E, MATCH($A203, 'KZ-normalized'!$A:$A, 0))&gt;0, -(28*INDEX('KZ-normalized'!$D:$D, MATCH($A203, 'KZ-normalized'!$A:$A, 0))-INDEX('KZ-normalized'!$E:$E, MATCH($A203, 'KZ-normalized'!$A:$A, 0))), 0), 0))+(IFERROR(IF(28*INDEX('UZ-normalized'!$D:$D, MATCH($A203, 'UZ-normalized'!$A:$A, 0))-INDEX('UZ-normalized'!$E:$E, MATCH($A203, 'UZ-normalized'!$A:$A, 0))&gt;0, -(28*INDEX('UZ-normalized'!$D:$D, MATCH($A203, 'UZ-normalized'!$A:$A, 0))-INDEX('UZ-normalized'!$E:$E, MATCH($A203, 'UZ-normalized'!$A:$A, 0))), 0), 0)))</f>
        <v>0</v>
      </c>
      <c r="AQ203" s="6">
        <f>MIN(0, N203+(IFERROR(IF(29*INDEX('UA-normalized'!$D:$D, MATCH($A203, 'UA-normalized'!$A:$A, 0))-INDEX('UA-normalized'!$E:$E, MATCH($A203, 'UA-normalized'!$A:$A, 0))&gt;0, -(29*INDEX('UA-normalized'!$D:$D, MATCH($A203, 'UA-normalized'!$A:$A, 0))-INDEX('UA-normalized'!$E:$E, MATCH($A203, 'UA-normalized'!$A:$A, 0))), 0), 0))+(IFERROR(IF(29*INDEX('KZ-normalized'!$D:$D, MATCH($A203, 'KZ-normalized'!$A:$A, 0))-INDEX('KZ-normalized'!$E:$E, MATCH($A203, 'KZ-normalized'!$A:$A, 0))&gt;0, -(29*INDEX('KZ-normalized'!$D:$D, MATCH($A203, 'KZ-normalized'!$A:$A, 0))-INDEX('KZ-normalized'!$E:$E, MATCH($A203, 'KZ-normalized'!$A:$A, 0))), 0), 0))+(IFERROR(IF(29*INDEX('UZ-normalized'!$D:$D, MATCH($A203, 'UZ-normalized'!$A:$A, 0))-INDEX('UZ-normalized'!$E:$E, MATCH($A203, 'UZ-normalized'!$A:$A, 0))&gt;0, -(29*INDEX('UZ-normalized'!$D:$D, MATCH($A203, 'UZ-normalized'!$A:$A, 0))-INDEX('UZ-normalized'!$E:$E, MATCH($A203, 'UZ-normalized'!$A:$A, 0))), 0), 0)))</f>
        <v>0</v>
      </c>
      <c r="AR203" s="6">
        <f>MIN(0, N203+(IFERROR(IF(30*INDEX('UA-normalized'!$D:$D, MATCH($A203, 'UA-normalized'!$A:$A, 0))-INDEX('UA-normalized'!$E:$E, MATCH($A203, 'UA-normalized'!$A:$A, 0))&gt;0, -(30*INDEX('UA-normalized'!$D:$D, MATCH($A203, 'UA-normalized'!$A:$A, 0))-INDEX('UA-normalized'!$E:$E, MATCH($A203, 'UA-normalized'!$A:$A, 0))), 0), 0))+(IFERROR(IF(30*INDEX('KZ-normalized'!$D:$D, MATCH($A203, 'KZ-normalized'!$A:$A, 0))-INDEX('KZ-normalized'!$E:$E, MATCH($A203, 'KZ-normalized'!$A:$A, 0))&gt;0, -(30*INDEX('KZ-normalized'!$D:$D, MATCH($A203, 'KZ-normalized'!$A:$A, 0))-INDEX('KZ-normalized'!$E:$E, MATCH($A203, 'KZ-normalized'!$A:$A, 0))), 0), 0))+(IFERROR(IF(30*INDEX('UZ-normalized'!$D:$D, MATCH($A203, 'UZ-normalized'!$A:$A, 0))-INDEX('UZ-normalized'!$E:$E, MATCH($A203, 'UZ-normalized'!$A:$A, 0))&gt;0, -(30*INDEX('UZ-normalized'!$D:$D, MATCH($A203, 'UZ-normalized'!$A:$A, 0))-INDEX('UZ-normalized'!$E:$E, MATCH($A203, 'UZ-normalized'!$A:$A, 0))), 0), 0)))</f>
        <v>0</v>
      </c>
    </row>
    <row r="204" spans="1:44" x14ac:dyDescent="0.25">
      <c r="A204" s="8" t="s">
        <v>487</v>
      </c>
      <c r="B204" s="8" t="s">
        <v>460</v>
      </c>
      <c r="C204" s="8" t="s">
        <v>479</v>
      </c>
      <c r="D204" s="8" t="s">
        <v>488</v>
      </c>
      <c r="N204">
        <f t="shared" si="3"/>
        <v>0</v>
      </c>
      <c r="O204" s="6">
        <f>MIN(0, N204+(IFERROR(IF(1*INDEX('UA-normalized'!$D:$D, MATCH($A204, 'UA-normalized'!$A:$A, 0))-INDEX('UA-normalized'!$E:$E, MATCH($A204, 'UA-normalized'!$A:$A, 0))&gt;0, -(1*INDEX('UA-normalized'!$D:$D, MATCH($A204, 'UA-normalized'!$A:$A, 0))-INDEX('UA-normalized'!$E:$E, MATCH($A204, 'UA-normalized'!$A:$A, 0))), 0), 0))+(IFERROR(IF(1*INDEX('KZ-normalized'!$D:$D, MATCH($A204, 'KZ-normalized'!$A:$A, 0))-INDEX('KZ-normalized'!$E:$E, MATCH($A204, 'KZ-normalized'!$A:$A, 0))&gt;0, -(1*INDEX('KZ-normalized'!$D:$D, MATCH($A204, 'KZ-normalized'!$A:$A, 0))-INDEX('KZ-normalized'!$E:$E, MATCH($A204, 'KZ-normalized'!$A:$A, 0))), 0), 0))+(IFERROR(IF(1*INDEX('UZ-normalized'!$D:$D, MATCH($A204, 'UZ-normalized'!$A:$A, 0))-INDEX('UZ-normalized'!$E:$E, MATCH($A204, 'UZ-normalized'!$A:$A, 0))&gt;0, -(1*INDEX('UZ-normalized'!$D:$D, MATCH($A204, 'UZ-normalized'!$A:$A, 0))-INDEX('UZ-normalized'!$E:$E, MATCH($A204, 'UZ-normalized'!$A:$A, 0))), 0), 0)))</f>
        <v>0</v>
      </c>
      <c r="P204" s="6">
        <f>MIN(0, N204+(IFERROR(IF(2*INDEX('UA-normalized'!$D:$D, MATCH($A204, 'UA-normalized'!$A:$A, 0))-INDEX('UA-normalized'!$E:$E, MATCH($A204, 'UA-normalized'!$A:$A, 0))&gt;0, -(2*INDEX('UA-normalized'!$D:$D, MATCH($A204, 'UA-normalized'!$A:$A, 0))-INDEX('UA-normalized'!$E:$E, MATCH($A204, 'UA-normalized'!$A:$A, 0))), 0), 0))+(IFERROR(IF(2*INDEX('KZ-normalized'!$D:$D, MATCH($A204, 'KZ-normalized'!$A:$A, 0))-INDEX('KZ-normalized'!$E:$E, MATCH($A204, 'KZ-normalized'!$A:$A, 0))&gt;0, -(2*INDEX('KZ-normalized'!$D:$D, MATCH($A204, 'KZ-normalized'!$A:$A, 0))-INDEX('KZ-normalized'!$E:$E, MATCH($A204, 'KZ-normalized'!$A:$A, 0))), 0), 0))+(IFERROR(IF(2*INDEX('UZ-normalized'!$D:$D, MATCH($A204, 'UZ-normalized'!$A:$A, 0))-INDEX('UZ-normalized'!$E:$E, MATCH($A204, 'UZ-normalized'!$A:$A, 0))&gt;0, -(2*INDEX('UZ-normalized'!$D:$D, MATCH($A204, 'UZ-normalized'!$A:$A, 0))-INDEX('UZ-normalized'!$E:$E, MATCH($A204, 'UZ-normalized'!$A:$A, 0))), 0), 0)))</f>
        <v>0</v>
      </c>
      <c r="Q204" s="6">
        <f>MIN(0, N204+(IFERROR(IF(3*INDEX('UA-normalized'!$D:$D, MATCH($A204, 'UA-normalized'!$A:$A, 0))-INDEX('UA-normalized'!$E:$E, MATCH($A204, 'UA-normalized'!$A:$A, 0))&gt;0, -(3*INDEX('UA-normalized'!$D:$D, MATCH($A204, 'UA-normalized'!$A:$A, 0))-INDEX('UA-normalized'!$E:$E, MATCH($A204, 'UA-normalized'!$A:$A, 0))), 0), 0))+(IFERROR(IF(3*INDEX('KZ-normalized'!$D:$D, MATCH($A204, 'KZ-normalized'!$A:$A, 0))-INDEX('KZ-normalized'!$E:$E, MATCH($A204, 'KZ-normalized'!$A:$A, 0))&gt;0, -(3*INDEX('KZ-normalized'!$D:$D, MATCH($A204, 'KZ-normalized'!$A:$A, 0))-INDEX('KZ-normalized'!$E:$E, MATCH($A204, 'KZ-normalized'!$A:$A, 0))), 0), 0))+(IFERROR(IF(3*INDEX('UZ-normalized'!$D:$D, MATCH($A204, 'UZ-normalized'!$A:$A, 0))-INDEX('UZ-normalized'!$E:$E, MATCH($A204, 'UZ-normalized'!$A:$A, 0))&gt;0, -(3*INDEX('UZ-normalized'!$D:$D, MATCH($A204, 'UZ-normalized'!$A:$A, 0))-INDEX('UZ-normalized'!$E:$E, MATCH($A204, 'UZ-normalized'!$A:$A, 0))), 0), 0)))</f>
        <v>0</v>
      </c>
      <c r="R204" s="6">
        <f>MIN(0, N204+(IFERROR(IF(4*INDEX('UA-normalized'!$D:$D, MATCH($A204, 'UA-normalized'!$A:$A, 0))-INDEX('UA-normalized'!$E:$E, MATCH($A204, 'UA-normalized'!$A:$A, 0))&gt;0, -(4*INDEX('UA-normalized'!$D:$D, MATCH($A204, 'UA-normalized'!$A:$A, 0))-INDEX('UA-normalized'!$E:$E, MATCH($A204, 'UA-normalized'!$A:$A, 0))), 0), 0))+(IFERROR(IF(4*INDEX('KZ-normalized'!$D:$D, MATCH($A204, 'KZ-normalized'!$A:$A, 0))-INDEX('KZ-normalized'!$E:$E, MATCH($A204, 'KZ-normalized'!$A:$A, 0))&gt;0, -(4*INDEX('KZ-normalized'!$D:$D, MATCH($A204, 'KZ-normalized'!$A:$A, 0))-INDEX('KZ-normalized'!$E:$E, MATCH($A204, 'KZ-normalized'!$A:$A, 0))), 0), 0))+(IFERROR(IF(4*INDEX('UZ-normalized'!$D:$D, MATCH($A204, 'UZ-normalized'!$A:$A, 0))-INDEX('UZ-normalized'!$E:$E, MATCH($A204, 'UZ-normalized'!$A:$A, 0))&gt;0, -(4*INDEX('UZ-normalized'!$D:$D, MATCH($A204, 'UZ-normalized'!$A:$A, 0))-INDEX('UZ-normalized'!$E:$E, MATCH($A204, 'UZ-normalized'!$A:$A, 0))), 0), 0)))</f>
        <v>0</v>
      </c>
      <c r="S204" s="6">
        <f>MIN(0, N204+(IFERROR(IF(5*INDEX('UA-normalized'!$D:$D, MATCH($A204, 'UA-normalized'!$A:$A, 0))-INDEX('UA-normalized'!$E:$E, MATCH($A204, 'UA-normalized'!$A:$A, 0))&gt;0, -(5*INDEX('UA-normalized'!$D:$D, MATCH($A204, 'UA-normalized'!$A:$A, 0))-INDEX('UA-normalized'!$E:$E, MATCH($A204, 'UA-normalized'!$A:$A, 0))), 0), 0))+(IFERROR(IF(5*INDEX('KZ-normalized'!$D:$D, MATCH($A204, 'KZ-normalized'!$A:$A, 0))-INDEX('KZ-normalized'!$E:$E, MATCH($A204, 'KZ-normalized'!$A:$A, 0))&gt;0, -(5*INDEX('KZ-normalized'!$D:$D, MATCH($A204, 'KZ-normalized'!$A:$A, 0))-INDEX('KZ-normalized'!$E:$E, MATCH($A204, 'KZ-normalized'!$A:$A, 0))), 0), 0))+(IFERROR(IF(5*INDEX('UZ-normalized'!$D:$D, MATCH($A204, 'UZ-normalized'!$A:$A, 0))-INDEX('UZ-normalized'!$E:$E, MATCH($A204, 'UZ-normalized'!$A:$A, 0))&gt;0, -(5*INDEX('UZ-normalized'!$D:$D, MATCH($A204, 'UZ-normalized'!$A:$A, 0))-INDEX('UZ-normalized'!$E:$E, MATCH($A204, 'UZ-normalized'!$A:$A, 0))), 0), 0)))</f>
        <v>0</v>
      </c>
      <c r="T204" s="6">
        <f>MIN(0, N204+(IFERROR(IF(6*INDEX('UA-normalized'!$D:$D, MATCH($A204, 'UA-normalized'!$A:$A, 0))-INDEX('UA-normalized'!$E:$E, MATCH($A204, 'UA-normalized'!$A:$A, 0))&gt;0, -(6*INDEX('UA-normalized'!$D:$D, MATCH($A204, 'UA-normalized'!$A:$A, 0))-INDEX('UA-normalized'!$E:$E, MATCH($A204, 'UA-normalized'!$A:$A, 0))), 0), 0))+(IFERROR(IF(6*INDEX('KZ-normalized'!$D:$D, MATCH($A204, 'KZ-normalized'!$A:$A, 0))-INDEX('KZ-normalized'!$E:$E, MATCH($A204, 'KZ-normalized'!$A:$A, 0))&gt;0, -(6*INDEX('KZ-normalized'!$D:$D, MATCH($A204, 'KZ-normalized'!$A:$A, 0))-INDEX('KZ-normalized'!$E:$E, MATCH($A204, 'KZ-normalized'!$A:$A, 0))), 0), 0))+(IFERROR(IF(6*INDEX('UZ-normalized'!$D:$D, MATCH($A204, 'UZ-normalized'!$A:$A, 0))-INDEX('UZ-normalized'!$E:$E, MATCH($A204, 'UZ-normalized'!$A:$A, 0))&gt;0, -(6*INDEX('UZ-normalized'!$D:$D, MATCH($A204, 'UZ-normalized'!$A:$A, 0))-INDEX('UZ-normalized'!$E:$E, MATCH($A204, 'UZ-normalized'!$A:$A, 0))), 0), 0)))</f>
        <v>0</v>
      </c>
      <c r="U204" s="6">
        <f>MIN(0, N204+(IFERROR(IF(7*INDEX('UA-normalized'!$D:$D, MATCH($A204, 'UA-normalized'!$A:$A, 0))-INDEX('UA-normalized'!$E:$E, MATCH($A204, 'UA-normalized'!$A:$A, 0))&gt;0, -(7*INDEX('UA-normalized'!$D:$D, MATCH($A204, 'UA-normalized'!$A:$A, 0))-INDEX('UA-normalized'!$E:$E, MATCH($A204, 'UA-normalized'!$A:$A, 0))), 0), 0))+(IFERROR(IF(7*INDEX('KZ-normalized'!$D:$D, MATCH($A204, 'KZ-normalized'!$A:$A, 0))-INDEX('KZ-normalized'!$E:$E, MATCH($A204, 'KZ-normalized'!$A:$A, 0))&gt;0, -(7*INDEX('KZ-normalized'!$D:$D, MATCH($A204, 'KZ-normalized'!$A:$A, 0))-INDEX('KZ-normalized'!$E:$E, MATCH($A204, 'KZ-normalized'!$A:$A, 0))), 0), 0))+(IFERROR(IF(7*INDEX('UZ-normalized'!$D:$D, MATCH($A204, 'UZ-normalized'!$A:$A, 0))-INDEX('UZ-normalized'!$E:$E, MATCH($A204, 'UZ-normalized'!$A:$A, 0))&gt;0, -(7*INDEX('UZ-normalized'!$D:$D, MATCH($A204, 'UZ-normalized'!$A:$A, 0))-INDEX('UZ-normalized'!$E:$E, MATCH($A204, 'UZ-normalized'!$A:$A, 0))), 0), 0)))</f>
        <v>0</v>
      </c>
      <c r="V204" s="6">
        <f>MIN(0, N204+(IFERROR(IF(8*INDEX('UA-normalized'!$D:$D, MATCH($A204, 'UA-normalized'!$A:$A, 0))-INDEX('UA-normalized'!$E:$E, MATCH($A204, 'UA-normalized'!$A:$A, 0))&gt;0, -(8*INDEX('UA-normalized'!$D:$D, MATCH($A204, 'UA-normalized'!$A:$A, 0))-INDEX('UA-normalized'!$E:$E, MATCH($A204, 'UA-normalized'!$A:$A, 0))), 0), 0))+(IFERROR(IF(8*INDEX('KZ-normalized'!$D:$D, MATCH($A204, 'KZ-normalized'!$A:$A, 0))-INDEX('KZ-normalized'!$E:$E, MATCH($A204, 'KZ-normalized'!$A:$A, 0))&gt;0, -(8*INDEX('KZ-normalized'!$D:$D, MATCH($A204, 'KZ-normalized'!$A:$A, 0))-INDEX('KZ-normalized'!$E:$E, MATCH($A204, 'KZ-normalized'!$A:$A, 0))), 0), 0))+(IFERROR(IF(8*INDEX('UZ-normalized'!$D:$D, MATCH($A204, 'UZ-normalized'!$A:$A, 0))-INDEX('UZ-normalized'!$E:$E, MATCH($A204, 'UZ-normalized'!$A:$A, 0))&gt;0, -(8*INDEX('UZ-normalized'!$D:$D, MATCH($A204, 'UZ-normalized'!$A:$A, 0))-INDEX('UZ-normalized'!$E:$E, MATCH($A204, 'UZ-normalized'!$A:$A, 0))), 0), 0)))</f>
        <v>0</v>
      </c>
      <c r="W204" s="6">
        <f>MIN(0, N204+(IFERROR(IF(9*INDEX('UA-normalized'!$D:$D, MATCH($A204, 'UA-normalized'!$A:$A, 0))-INDEX('UA-normalized'!$E:$E, MATCH($A204, 'UA-normalized'!$A:$A, 0))&gt;0, -(9*INDEX('UA-normalized'!$D:$D, MATCH($A204, 'UA-normalized'!$A:$A, 0))-INDEX('UA-normalized'!$E:$E, MATCH($A204, 'UA-normalized'!$A:$A, 0))), 0), 0))+(IFERROR(IF(9*INDEX('KZ-normalized'!$D:$D, MATCH($A204, 'KZ-normalized'!$A:$A, 0))-INDEX('KZ-normalized'!$E:$E, MATCH($A204, 'KZ-normalized'!$A:$A, 0))&gt;0, -(9*INDEX('KZ-normalized'!$D:$D, MATCH($A204, 'KZ-normalized'!$A:$A, 0))-INDEX('KZ-normalized'!$E:$E, MATCH($A204, 'KZ-normalized'!$A:$A, 0))), 0), 0))+(IFERROR(IF(9*INDEX('UZ-normalized'!$D:$D, MATCH($A204, 'UZ-normalized'!$A:$A, 0))-INDEX('UZ-normalized'!$E:$E, MATCH($A204, 'UZ-normalized'!$A:$A, 0))&gt;0, -(9*INDEX('UZ-normalized'!$D:$D, MATCH($A204, 'UZ-normalized'!$A:$A, 0))-INDEX('UZ-normalized'!$E:$E, MATCH($A204, 'UZ-normalized'!$A:$A, 0))), 0), 0)))</f>
        <v>0</v>
      </c>
      <c r="X204" s="6">
        <f>MIN(0, N204+(IFERROR(IF(10*INDEX('UA-normalized'!$D:$D, MATCH($A204, 'UA-normalized'!$A:$A, 0))-INDEX('UA-normalized'!$E:$E, MATCH($A204, 'UA-normalized'!$A:$A, 0))&gt;0, -(10*INDEX('UA-normalized'!$D:$D, MATCH($A204, 'UA-normalized'!$A:$A, 0))-INDEX('UA-normalized'!$E:$E, MATCH($A204, 'UA-normalized'!$A:$A, 0))), 0), 0))+(IFERROR(IF(10*INDEX('KZ-normalized'!$D:$D, MATCH($A204, 'KZ-normalized'!$A:$A, 0))-INDEX('KZ-normalized'!$E:$E, MATCH($A204, 'KZ-normalized'!$A:$A, 0))&gt;0, -(10*INDEX('KZ-normalized'!$D:$D, MATCH($A204, 'KZ-normalized'!$A:$A, 0))-INDEX('KZ-normalized'!$E:$E, MATCH($A204, 'KZ-normalized'!$A:$A, 0))), 0), 0))+(IFERROR(IF(10*INDEX('UZ-normalized'!$D:$D, MATCH($A204, 'UZ-normalized'!$A:$A, 0))-INDEX('UZ-normalized'!$E:$E, MATCH($A204, 'UZ-normalized'!$A:$A, 0))&gt;0, -(10*INDEX('UZ-normalized'!$D:$D, MATCH($A204, 'UZ-normalized'!$A:$A, 0))-INDEX('UZ-normalized'!$E:$E, MATCH($A204, 'UZ-normalized'!$A:$A, 0))), 0), 0)))</f>
        <v>0</v>
      </c>
      <c r="Y204" s="6">
        <f>MIN(0, N204+(IFERROR(IF(11*INDEX('UA-normalized'!$D:$D, MATCH($A204, 'UA-normalized'!$A:$A, 0))-INDEX('UA-normalized'!$E:$E, MATCH($A204, 'UA-normalized'!$A:$A, 0))&gt;0, -(11*INDEX('UA-normalized'!$D:$D, MATCH($A204, 'UA-normalized'!$A:$A, 0))-INDEX('UA-normalized'!$E:$E, MATCH($A204, 'UA-normalized'!$A:$A, 0))), 0), 0))+(IFERROR(IF(11*INDEX('KZ-normalized'!$D:$D, MATCH($A204, 'KZ-normalized'!$A:$A, 0))-INDEX('KZ-normalized'!$E:$E, MATCH($A204, 'KZ-normalized'!$A:$A, 0))&gt;0, -(11*INDEX('KZ-normalized'!$D:$D, MATCH($A204, 'KZ-normalized'!$A:$A, 0))-INDEX('KZ-normalized'!$E:$E, MATCH($A204, 'KZ-normalized'!$A:$A, 0))), 0), 0))+(IFERROR(IF(11*INDEX('UZ-normalized'!$D:$D, MATCH($A204, 'UZ-normalized'!$A:$A, 0))-INDEX('UZ-normalized'!$E:$E, MATCH($A204, 'UZ-normalized'!$A:$A, 0))&gt;0, -(11*INDEX('UZ-normalized'!$D:$D, MATCH($A204, 'UZ-normalized'!$A:$A, 0))-INDEX('UZ-normalized'!$E:$E, MATCH($A204, 'UZ-normalized'!$A:$A, 0))), 0), 0)))</f>
        <v>0</v>
      </c>
      <c r="Z204" s="6">
        <f>MIN(0, N204+(IFERROR(IF(12*INDEX('UA-normalized'!$D:$D, MATCH($A204, 'UA-normalized'!$A:$A, 0))-INDEX('UA-normalized'!$E:$E, MATCH($A204, 'UA-normalized'!$A:$A, 0))&gt;0, -(12*INDEX('UA-normalized'!$D:$D, MATCH($A204, 'UA-normalized'!$A:$A, 0))-INDEX('UA-normalized'!$E:$E, MATCH($A204, 'UA-normalized'!$A:$A, 0))), 0), 0))+(IFERROR(IF(12*INDEX('KZ-normalized'!$D:$D, MATCH($A204, 'KZ-normalized'!$A:$A, 0))-INDEX('KZ-normalized'!$E:$E, MATCH($A204, 'KZ-normalized'!$A:$A, 0))&gt;0, -(12*INDEX('KZ-normalized'!$D:$D, MATCH($A204, 'KZ-normalized'!$A:$A, 0))-INDEX('KZ-normalized'!$E:$E, MATCH($A204, 'KZ-normalized'!$A:$A, 0))), 0), 0))+(IFERROR(IF(12*INDEX('UZ-normalized'!$D:$D, MATCH($A204, 'UZ-normalized'!$A:$A, 0))-INDEX('UZ-normalized'!$E:$E, MATCH($A204, 'UZ-normalized'!$A:$A, 0))&gt;0, -(12*INDEX('UZ-normalized'!$D:$D, MATCH($A204, 'UZ-normalized'!$A:$A, 0))-INDEX('UZ-normalized'!$E:$E, MATCH($A204, 'UZ-normalized'!$A:$A, 0))), 0), 0)))</f>
        <v>0</v>
      </c>
      <c r="AA204" s="6">
        <f>MIN(0, N204+(IFERROR(IF(13*INDEX('UA-normalized'!$D:$D, MATCH($A204, 'UA-normalized'!$A:$A, 0))-INDEX('UA-normalized'!$E:$E, MATCH($A204, 'UA-normalized'!$A:$A, 0))&gt;0, -(13*INDEX('UA-normalized'!$D:$D, MATCH($A204, 'UA-normalized'!$A:$A, 0))-INDEX('UA-normalized'!$E:$E, MATCH($A204, 'UA-normalized'!$A:$A, 0))), 0), 0))+(IFERROR(IF(13*INDEX('KZ-normalized'!$D:$D, MATCH($A204, 'KZ-normalized'!$A:$A, 0))-INDEX('KZ-normalized'!$E:$E, MATCH($A204, 'KZ-normalized'!$A:$A, 0))&gt;0, -(13*INDEX('KZ-normalized'!$D:$D, MATCH($A204, 'KZ-normalized'!$A:$A, 0))-INDEX('KZ-normalized'!$E:$E, MATCH($A204, 'KZ-normalized'!$A:$A, 0))), 0), 0))+(IFERROR(IF(13*INDEX('UZ-normalized'!$D:$D, MATCH($A204, 'UZ-normalized'!$A:$A, 0))-INDEX('UZ-normalized'!$E:$E, MATCH($A204, 'UZ-normalized'!$A:$A, 0))&gt;0, -(13*INDEX('UZ-normalized'!$D:$D, MATCH($A204, 'UZ-normalized'!$A:$A, 0))-INDEX('UZ-normalized'!$E:$E, MATCH($A204, 'UZ-normalized'!$A:$A, 0))), 0), 0)))</f>
        <v>0</v>
      </c>
      <c r="AB204" s="6">
        <f>MIN(0, N204+(IFERROR(IF(14*INDEX('UA-normalized'!$D:$D, MATCH($A204, 'UA-normalized'!$A:$A, 0))-INDEX('UA-normalized'!$E:$E, MATCH($A204, 'UA-normalized'!$A:$A, 0))&gt;0, -(14*INDEX('UA-normalized'!$D:$D, MATCH($A204, 'UA-normalized'!$A:$A, 0))-INDEX('UA-normalized'!$E:$E, MATCH($A204, 'UA-normalized'!$A:$A, 0))), 0), 0))+(IFERROR(IF(14*INDEX('KZ-normalized'!$D:$D, MATCH($A204, 'KZ-normalized'!$A:$A, 0))-INDEX('KZ-normalized'!$E:$E, MATCH($A204, 'KZ-normalized'!$A:$A, 0))&gt;0, -(14*INDEX('KZ-normalized'!$D:$D, MATCH($A204, 'KZ-normalized'!$A:$A, 0))-INDEX('KZ-normalized'!$E:$E, MATCH($A204, 'KZ-normalized'!$A:$A, 0))), 0), 0))+(IFERROR(IF(14*INDEX('UZ-normalized'!$D:$D, MATCH($A204, 'UZ-normalized'!$A:$A, 0))-INDEX('UZ-normalized'!$E:$E, MATCH($A204, 'UZ-normalized'!$A:$A, 0))&gt;0, -(14*INDEX('UZ-normalized'!$D:$D, MATCH($A204, 'UZ-normalized'!$A:$A, 0))-INDEX('UZ-normalized'!$E:$E, MATCH($A204, 'UZ-normalized'!$A:$A, 0))), 0), 0)))</f>
        <v>0</v>
      </c>
      <c r="AC204" s="6">
        <f>MIN(0, N204+(IFERROR(IF(15*INDEX('UA-normalized'!$D:$D, MATCH($A204, 'UA-normalized'!$A:$A, 0))-INDEX('UA-normalized'!$E:$E, MATCH($A204, 'UA-normalized'!$A:$A, 0))&gt;0, -(15*INDEX('UA-normalized'!$D:$D, MATCH($A204, 'UA-normalized'!$A:$A, 0))-INDEX('UA-normalized'!$E:$E, MATCH($A204, 'UA-normalized'!$A:$A, 0))), 0), 0))+(IFERROR(IF(15*INDEX('KZ-normalized'!$D:$D, MATCH($A204, 'KZ-normalized'!$A:$A, 0))-INDEX('KZ-normalized'!$E:$E, MATCH($A204, 'KZ-normalized'!$A:$A, 0))&gt;0, -(15*INDEX('KZ-normalized'!$D:$D, MATCH($A204, 'KZ-normalized'!$A:$A, 0))-INDEX('KZ-normalized'!$E:$E, MATCH($A204, 'KZ-normalized'!$A:$A, 0))), 0), 0))+(IFERROR(IF(15*INDEX('UZ-normalized'!$D:$D, MATCH($A204, 'UZ-normalized'!$A:$A, 0))-INDEX('UZ-normalized'!$E:$E, MATCH($A204, 'UZ-normalized'!$A:$A, 0))&gt;0, -(15*INDEX('UZ-normalized'!$D:$D, MATCH($A204, 'UZ-normalized'!$A:$A, 0))-INDEX('UZ-normalized'!$E:$E, MATCH($A204, 'UZ-normalized'!$A:$A, 0))), 0), 0)))</f>
        <v>0</v>
      </c>
      <c r="AD204" s="6">
        <f>MIN(0, N204+(IFERROR(IF(16*INDEX('UA-normalized'!$D:$D, MATCH($A204, 'UA-normalized'!$A:$A, 0))-INDEX('UA-normalized'!$E:$E, MATCH($A204, 'UA-normalized'!$A:$A, 0))&gt;0, -(16*INDEX('UA-normalized'!$D:$D, MATCH($A204, 'UA-normalized'!$A:$A, 0))-INDEX('UA-normalized'!$E:$E, MATCH($A204, 'UA-normalized'!$A:$A, 0))), 0), 0))+(IFERROR(IF(16*INDEX('KZ-normalized'!$D:$D, MATCH($A204, 'KZ-normalized'!$A:$A, 0))-INDEX('KZ-normalized'!$E:$E, MATCH($A204, 'KZ-normalized'!$A:$A, 0))&gt;0, -(16*INDEX('KZ-normalized'!$D:$D, MATCH($A204, 'KZ-normalized'!$A:$A, 0))-INDEX('KZ-normalized'!$E:$E, MATCH($A204, 'KZ-normalized'!$A:$A, 0))), 0), 0))+(IFERROR(IF(16*INDEX('UZ-normalized'!$D:$D, MATCH($A204, 'UZ-normalized'!$A:$A, 0))-INDEX('UZ-normalized'!$E:$E, MATCH($A204, 'UZ-normalized'!$A:$A, 0))&gt;0, -(16*INDEX('UZ-normalized'!$D:$D, MATCH($A204, 'UZ-normalized'!$A:$A, 0))-INDEX('UZ-normalized'!$E:$E, MATCH($A204, 'UZ-normalized'!$A:$A, 0))), 0), 0)))</f>
        <v>0</v>
      </c>
      <c r="AE204" s="6">
        <f>MIN(0, N204+(IFERROR(IF(17*INDEX('UA-normalized'!$D:$D, MATCH($A204, 'UA-normalized'!$A:$A, 0))-INDEX('UA-normalized'!$E:$E, MATCH($A204, 'UA-normalized'!$A:$A, 0))&gt;0, -(17*INDEX('UA-normalized'!$D:$D, MATCH($A204, 'UA-normalized'!$A:$A, 0))-INDEX('UA-normalized'!$E:$E, MATCH($A204, 'UA-normalized'!$A:$A, 0))), 0), 0))+(IFERROR(IF(17*INDEX('KZ-normalized'!$D:$D, MATCH($A204, 'KZ-normalized'!$A:$A, 0))-INDEX('KZ-normalized'!$E:$E, MATCH($A204, 'KZ-normalized'!$A:$A, 0))&gt;0, -(17*INDEX('KZ-normalized'!$D:$D, MATCH($A204, 'KZ-normalized'!$A:$A, 0))-INDEX('KZ-normalized'!$E:$E, MATCH($A204, 'KZ-normalized'!$A:$A, 0))), 0), 0))+(IFERROR(IF(17*INDEX('UZ-normalized'!$D:$D, MATCH($A204, 'UZ-normalized'!$A:$A, 0))-INDEX('UZ-normalized'!$E:$E, MATCH($A204, 'UZ-normalized'!$A:$A, 0))&gt;0, -(17*INDEX('UZ-normalized'!$D:$D, MATCH($A204, 'UZ-normalized'!$A:$A, 0))-INDEX('UZ-normalized'!$E:$E, MATCH($A204, 'UZ-normalized'!$A:$A, 0))), 0), 0)))</f>
        <v>0</v>
      </c>
      <c r="AF204" s="6">
        <f>MIN(0, N204+(IFERROR(IF(18*INDEX('UA-normalized'!$D:$D, MATCH($A204, 'UA-normalized'!$A:$A, 0))-INDEX('UA-normalized'!$E:$E, MATCH($A204, 'UA-normalized'!$A:$A, 0))&gt;0, -(18*INDEX('UA-normalized'!$D:$D, MATCH($A204, 'UA-normalized'!$A:$A, 0))-INDEX('UA-normalized'!$E:$E, MATCH($A204, 'UA-normalized'!$A:$A, 0))), 0), 0))+(IFERROR(IF(18*INDEX('KZ-normalized'!$D:$D, MATCH($A204, 'KZ-normalized'!$A:$A, 0))-INDEX('KZ-normalized'!$E:$E, MATCH($A204, 'KZ-normalized'!$A:$A, 0))&gt;0, -(18*INDEX('KZ-normalized'!$D:$D, MATCH($A204, 'KZ-normalized'!$A:$A, 0))-INDEX('KZ-normalized'!$E:$E, MATCH($A204, 'KZ-normalized'!$A:$A, 0))), 0), 0))+(IFERROR(IF(18*INDEX('UZ-normalized'!$D:$D, MATCH($A204, 'UZ-normalized'!$A:$A, 0))-INDEX('UZ-normalized'!$E:$E, MATCH($A204, 'UZ-normalized'!$A:$A, 0))&gt;0, -(18*INDEX('UZ-normalized'!$D:$D, MATCH($A204, 'UZ-normalized'!$A:$A, 0))-INDEX('UZ-normalized'!$E:$E, MATCH($A204, 'UZ-normalized'!$A:$A, 0))), 0), 0)))</f>
        <v>0</v>
      </c>
      <c r="AG204" s="6">
        <f>MIN(0, N204+(IFERROR(IF(19*INDEX('UA-normalized'!$D:$D, MATCH($A204, 'UA-normalized'!$A:$A, 0))-INDEX('UA-normalized'!$E:$E, MATCH($A204, 'UA-normalized'!$A:$A, 0))&gt;0, -(19*INDEX('UA-normalized'!$D:$D, MATCH($A204, 'UA-normalized'!$A:$A, 0))-INDEX('UA-normalized'!$E:$E, MATCH($A204, 'UA-normalized'!$A:$A, 0))), 0), 0))+(IFERROR(IF(19*INDEX('KZ-normalized'!$D:$D, MATCH($A204, 'KZ-normalized'!$A:$A, 0))-INDEX('KZ-normalized'!$E:$E, MATCH($A204, 'KZ-normalized'!$A:$A, 0))&gt;0, -(19*INDEX('KZ-normalized'!$D:$D, MATCH($A204, 'KZ-normalized'!$A:$A, 0))-INDEX('KZ-normalized'!$E:$E, MATCH($A204, 'KZ-normalized'!$A:$A, 0))), 0), 0))+(IFERROR(IF(19*INDEX('UZ-normalized'!$D:$D, MATCH($A204, 'UZ-normalized'!$A:$A, 0))-INDEX('UZ-normalized'!$E:$E, MATCH($A204, 'UZ-normalized'!$A:$A, 0))&gt;0, -(19*INDEX('UZ-normalized'!$D:$D, MATCH($A204, 'UZ-normalized'!$A:$A, 0))-INDEX('UZ-normalized'!$E:$E, MATCH($A204, 'UZ-normalized'!$A:$A, 0))), 0), 0)))</f>
        <v>0</v>
      </c>
      <c r="AH204" s="6">
        <f>MIN(0, N204+(IFERROR(IF(20*INDEX('UA-normalized'!$D:$D, MATCH($A204, 'UA-normalized'!$A:$A, 0))-INDEX('UA-normalized'!$E:$E, MATCH($A204, 'UA-normalized'!$A:$A, 0))&gt;0, -(20*INDEX('UA-normalized'!$D:$D, MATCH($A204, 'UA-normalized'!$A:$A, 0))-INDEX('UA-normalized'!$E:$E, MATCH($A204, 'UA-normalized'!$A:$A, 0))), 0), 0))+(IFERROR(IF(20*INDEX('KZ-normalized'!$D:$D, MATCH($A204, 'KZ-normalized'!$A:$A, 0))-INDEX('KZ-normalized'!$E:$E, MATCH($A204, 'KZ-normalized'!$A:$A, 0))&gt;0, -(20*INDEX('KZ-normalized'!$D:$D, MATCH($A204, 'KZ-normalized'!$A:$A, 0))-INDEX('KZ-normalized'!$E:$E, MATCH($A204, 'KZ-normalized'!$A:$A, 0))), 0), 0))+(IFERROR(IF(20*INDEX('UZ-normalized'!$D:$D, MATCH($A204, 'UZ-normalized'!$A:$A, 0))-INDEX('UZ-normalized'!$E:$E, MATCH($A204, 'UZ-normalized'!$A:$A, 0))&gt;0, -(20*INDEX('UZ-normalized'!$D:$D, MATCH($A204, 'UZ-normalized'!$A:$A, 0))-INDEX('UZ-normalized'!$E:$E, MATCH($A204, 'UZ-normalized'!$A:$A, 0))), 0), 0)))</f>
        <v>0</v>
      </c>
      <c r="AI204" s="6">
        <f>MIN(0, N204+(IFERROR(IF(21*INDEX('UA-normalized'!$D:$D, MATCH($A204, 'UA-normalized'!$A:$A, 0))-INDEX('UA-normalized'!$E:$E, MATCH($A204, 'UA-normalized'!$A:$A, 0))&gt;0, -(21*INDEX('UA-normalized'!$D:$D, MATCH($A204, 'UA-normalized'!$A:$A, 0))-INDEX('UA-normalized'!$E:$E, MATCH($A204, 'UA-normalized'!$A:$A, 0))), 0), 0))+(IFERROR(IF(21*INDEX('KZ-normalized'!$D:$D, MATCH($A204, 'KZ-normalized'!$A:$A, 0))-INDEX('KZ-normalized'!$E:$E, MATCH($A204, 'KZ-normalized'!$A:$A, 0))&gt;0, -(21*INDEX('KZ-normalized'!$D:$D, MATCH($A204, 'KZ-normalized'!$A:$A, 0))-INDEX('KZ-normalized'!$E:$E, MATCH($A204, 'KZ-normalized'!$A:$A, 0))), 0), 0))+(IFERROR(IF(21*INDEX('UZ-normalized'!$D:$D, MATCH($A204, 'UZ-normalized'!$A:$A, 0))-INDEX('UZ-normalized'!$E:$E, MATCH($A204, 'UZ-normalized'!$A:$A, 0))&gt;0, -(21*INDEX('UZ-normalized'!$D:$D, MATCH($A204, 'UZ-normalized'!$A:$A, 0))-INDEX('UZ-normalized'!$E:$E, MATCH($A204, 'UZ-normalized'!$A:$A, 0))), 0), 0)))</f>
        <v>0</v>
      </c>
      <c r="AJ204" s="6">
        <f>MIN(0, N204+(IFERROR(IF(22*INDEX('UA-normalized'!$D:$D, MATCH($A204, 'UA-normalized'!$A:$A, 0))-INDEX('UA-normalized'!$E:$E, MATCH($A204, 'UA-normalized'!$A:$A, 0))&gt;0, -(22*INDEX('UA-normalized'!$D:$D, MATCH($A204, 'UA-normalized'!$A:$A, 0))-INDEX('UA-normalized'!$E:$E, MATCH($A204, 'UA-normalized'!$A:$A, 0))), 0), 0))+(IFERROR(IF(22*INDEX('KZ-normalized'!$D:$D, MATCH($A204, 'KZ-normalized'!$A:$A, 0))-INDEX('KZ-normalized'!$E:$E, MATCH($A204, 'KZ-normalized'!$A:$A, 0))&gt;0, -(22*INDEX('KZ-normalized'!$D:$D, MATCH($A204, 'KZ-normalized'!$A:$A, 0))-INDEX('KZ-normalized'!$E:$E, MATCH($A204, 'KZ-normalized'!$A:$A, 0))), 0), 0))+(IFERROR(IF(22*INDEX('UZ-normalized'!$D:$D, MATCH($A204, 'UZ-normalized'!$A:$A, 0))-INDEX('UZ-normalized'!$E:$E, MATCH($A204, 'UZ-normalized'!$A:$A, 0))&gt;0, -(22*INDEX('UZ-normalized'!$D:$D, MATCH($A204, 'UZ-normalized'!$A:$A, 0))-INDEX('UZ-normalized'!$E:$E, MATCH($A204, 'UZ-normalized'!$A:$A, 0))), 0), 0)))</f>
        <v>0</v>
      </c>
      <c r="AK204" s="6">
        <f>MIN(0, N204+(IFERROR(IF(23*INDEX('UA-normalized'!$D:$D, MATCH($A204, 'UA-normalized'!$A:$A, 0))-INDEX('UA-normalized'!$E:$E, MATCH($A204, 'UA-normalized'!$A:$A, 0))&gt;0, -(23*INDEX('UA-normalized'!$D:$D, MATCH($A204, 'UA-normalized'!$A:$A, 0))-INDEX('UA-normalized'!$E:$E, MATCH($A204, 'UA-normalized'!$A:$A, 0))), 0), 0))+(IFERROR(IF(23*INDEX('KZ-normalized'!$D:$D, MATCH($A204, 'KZ-normalized'!$A:$A, 0))-INDEX('KZ-normalized'!$E:$E, MATCH($A204, 'KZ-normalized'!$A:$A, 0))&gt;0, -(23*INDEX('KZ-normalized'!$D:$D, MATCH($A204, 'KZ-normalized'!$A:$A, 0))-INDEX('KZ-normalized'!$E:$E, MATCH($A204, 'KZ-normalized'!$A:$A, 0))), 0), 0))+(IFERROR(IF(23*INDEX('UZ-normalized'!$D:$D, MATCH($A204, 'UZ-normalized'!$A:$A, 0))-INDEX('UZ-normalized'!$E:$E, MATCH($A204, 'UZ-normalized'!$A:$A, 0))&gt;0, -(23*INDEX('UZ-normalized'!$D:$D, MATCH($A204, 'UZ-normalized'!$A:$A, 0))-INDEX('UZ-normalized'!$E:$E, MATCH($A204, 'UZ-normalized'!$A:$A, 0))), 0), 0)))</f>
        <v>0</v>
      </c>
      <c r="AL204" s="6">
        <f>MIN(0, N204+(IFERROR(IF(24*INDEX('UA-normalized'!$D:$D, MATCH($A204, 'UA-normalized'!$A:$A, 0))-INDEX('UA-normalized'!$E:$E, MATCH($A204, 'UA-normalized'!$A:$A, 0))&gt;0, -(24*INDEX('UA-normalized'!$D:$D, MATCH($A204, 'UA-normalized'!$A:$A, 0))-INDEX('UA-normalized'!$E:$E, MATCH($A204, 'UA-normalized'!$A:$A, 0))), 0), 0))+(IFERROR(IF(24*INDEX('KZ-normalized'!$D:$D, MATCH($A204, 'KZ-normalized'!$A:$A, 0))-INDEX('KZ-normalized'!$E:$E, MATCH($A204, 'KZ-normalized'!$A:$A, 0))&gt;0, -(24*INDEX('KZ-normalized'!$D:$D, MATCH($A204, 'KZ-normalized'!$A:$A, 0))-INDEX('KZ-normalized'!$E:$E, MATCH($A204, 'KZ-normalized'!$A:$A, 0))), 0), 0))+(IFERROR(IF(24*INDEX('UZ-normalized'!$D:$D, MATCH($A204, 'UZ-normalized'!$A:$A, 0))-INDEX('UZ-normalized'!$E:$E, MATCH($A204, 'UZ-normalized'!$A:$A, 0))&gt;0, -(24*INDEX('UZ-normalized'!$D:$D, MATCH($A204, 'UZ-normalized'!$A:$A, 0))-INDEX('UZ-normalized'!$E:$E, MATCH($A204, 'UZ-normalized'!$A:$A, 0))), 0), 0)))</f>
        <v>0</v>
      </c>
      <c r="AM204" s="6">
        <f>MIN(0, N204+(IFERROR(IF(25*INDEX('UA-normalized'!$D:$D, MATCH($A204, 'UA-normalized'!$A:$A, 0))-INDEX('UA-normalized'!$E:$E, MATCH($A204, 'UA-normalized'!$A:$A, 0))&gt;0, -(25*INDEX('UA-normalized'!$D:$D, MATCH($A204, 'UA-normalized'!$A:$A, 0))-INDEX('UA-normalized'!$E:$E, MATCH($A204, 'UA-normalized'!$A:$A, 0))), 0), 0))+(IFERROR(IF(25*INDEX('KZ-normalized'!$D:$D, MATCH($A204, 'KZ-normalized'!$A:$A, 0))-INDEX('KZ-normalized'!$E:$E, MATCH($A204, 'KZ-normalized'!$A:$A, 0))&gt;0, -(25*INDEX('KZ-normalized'!$D:$D, MATCH($A204, 'KZ-normalized'!$A:$A, 0))-INDEX('KZ-normalized'!$E:$E, MATCH($A204, 'KZ-normalized'!$A:$A, 0))), 0), 0))+(IFERROR(IF(25*INDEX('UZ-normalized'!$D:$D, MATCH($A204, 'UZ-normalized'!$A:$A, 0))-INDEX('UZ-normalized'!$E:$E, MATCH($A204, 'UZ-normalized'!$A:$A, 0))&gt;0, -(25*INDEX('UZ-normalized'!$D:$D, MATCH($A204, 'UZ-normalized'!$A:$A, 0))-INDEX('UZ-normalized'!$E:$E, MATCH($A204, 'UZ-normalized'!$A:$A, 0))), 0), 0)))</f>
        <v>0</v>
      </c>
      <c r="AN204" s="6">
        <f>MIN(0, N204+(IFERROR(IF(26*INDEX('UA-normalized'!$D:$D, MATCH($A204, 'UA-normalized'!$A:$A, 0))-INDEX('UA-normalized'!$E:$E, MATCH($A204, 'UA-normalized'!$A:$A, 0))&gt;0, -(26*INDEX('UA-normalized'!$D:$D, MATCH($A204, 'UA-normalized'!$A:$A, 0))-INDEX('UA-normalized'!$E:$E, MATCH($A204, 'UA-normalized'!$A:$A, 0))), 0), 0))+(IFERROR(IF(26*INDEX('KZ-normalized'!$D:$D, MATCH($A204, 'KZ-normalized'!$A:$A, 0))-INDEX('KZ-normalized'!$E:$E, MATCH($A204, 'KZ-normalized'!$A:$A, 0))&gt;0, -(26*INDEX('KZ-normalized'!$D:$D, MATCH($A204, 'KZ-normalized'!$A:$A, 0))-INDEX('KZ-normalized'!$E:$E, MATCH($A204, 'KZ-normalized'!$A:$A, 0))), 0), 0))+(IFERROR(IF(26*INDEX('UZ-normalized'!$D:$D, MATCH($A204, 'UZ-normalized'!$A:$A, 0))-INDEX('UZ-normalized'!$E:$E, MATCH($A204, 'UZ-normalized'!$A:$A, 0))&gt;0, -(26*INDEX('UZ-normalized'!$D:$D, MATCH($A204, 'UZ-normalized'!$A:$A, 0))-INDEX('UZ-normalized'!$E:$E, MATCH($A204, 'UZ-normalized'!$A:$A, 0))), 0), 0)))</f>
        <v>0</v>
      </c>
      <c r="AO204" s="6">
        <f>MIN(0, N204+(IFERROR(IF(27*INDEX('UA-normalized'!$D:$D, MATCH($A204, 'UA-normalized'!$A:$A, 0))-INDEX('UA-normalized'!$E:$E, MATCH($A204, 'UA-normalized'!$A:$A, 0))&gt;0, -(27*INDEX('UA-normalized'!$D:$D, MATCH($A204, 'UA-normalized'!$A:$A, 0))-INDEX('UA-normalized'!$E:$E, MATCH($A204, 'UA-normalized'!$A:$A, 0))), 0), 0))+(IFERROR(IF(27*INDEX('KZ-normalized'!$D:$D, MATCH($A204, 'KZ-normalized'!$A:$A, 0))-INDEX('KZ-normalized'!$E:$E, MATCH($A204, 'KZ-normalized'!$A:$A, 0))&gt;0, -(27*INDEX('KZ-normalized'!$D:$D, MATCH($A204, 'KZ-normalized'!$A:$A, 0))-INDEX('KZ-normalized'!$E:$E, MATCH($A204, 'KZ-normalized'!$A:$A, 0))), 0), 0))+(IFERROR(IF(27*INDEX('UZ-normalized'!$D:$D, MATCH($A204, 'UZ-normalized'!$A:$A, 0))-INDEX('UZ-normalized'!$E:$E, MATCH($A204, 'UZ-normalized'!$A:$A, 0))&gt;0, -(27*INDEX('UZ-normalized'!$D:$D, MATCH($A204, 'UZ-normalized'!$A:$A, 0))-INDEX('UZ-normalized'!$E:$E, MATCH($A204, 'UZ-normalized'!$A:$A, 0))), 0), 0)))</f>
        <v>0</v>
      </c>
      <c r="AP204" s="6">
        <f>MIN(0, N204+(IFERROR(IF(28*INDEX('UA-normalized'!$D:$D, MATCH($A204, 'UA-normalized'!$A:$A, 0))-INDEX('UA-normalized'!$E:$E, MATCH($A204, 'UA-normalized'!$A:$A, 0))&gt;0, -(28*INDEX('UA-normalized'!$D:$D, MATCH($A204, 'UA-normalized'!$A:$A, 0))-INDEX('UA-normalized'!$E:$E, MATCH($A204, 'UA-normalized'!$A:$A, 0))), 0), 0))+(IFERROR(IF(28*INDEX('KZ-normalized'!$D:$D, MATCH($A204, 'KZ-normalized'!$A:$A, 0))-INDEX('KZ-normalized'!$E:$E, MATCH($A204, 'KZ-normalized'!$A:$A, 0))&gt;0, -(28*INDEX('KZ-normalized'!$D:$D, MATCH($A204, 'KZ-normalized'!$A:$A, 0))-INDEX('KZ-normalized'!$E:$E, MATCH($A204, 'KZ-normalized'!$A:$A, 0))), 0), 0))+(IFERROR(IF(28*INDEX('UZ-normalized'!$D:$D, MATCH($A204, 'UZ-normalized'!$A:$A, 0))-INDEX('UZ-normalized'!$E:$E, MATCH($A204, 'UZ-normalized'!$A:$A, 0))&gt;0, -(28*INDEX('UZ-normalized'!$D:$D, MATCH($A204, 'UZ-normalized'!$A:$A, 0))-INDEX('UZ-normalized'!$E:$E, MATCH($A204, 'UZ-normalized'!$A:$A, 0))), 0), 0)))</f>
        <v>0</v>
      </c>
      <c r="AQ204" s="6">
        <f>MIN(0, N204+(IFERROR(IF(29*INDEX('UA-normalized'!$D:$D, MATCH($A204, 'UA-normalized'!$A:$A, 0))-INDEX('UA-normalized'!$E:$E, MATCH($A204, 'UA-normalized'!$A:$A, 0))&gt;0, -(29*INDEX('UA-normalized'!$D:$D, MATCH($A204, 'UA-normalized'!$A:$A, 0))-INDEX('UA-normalized'!$E:$E, MATCH($A204, 'UA-normalized'!$A:$A, 0))), 0), 0))+(IFERROR(IF(29*INDEX('KZ-normalized'!$D:$D, MATCH($A204, 'KZ-normalized'!$A:$A, 0))-INDEX('KZ-normalized'!$E:$E, MATCH($A204, 'KZ-normalized'!$A:$A, 0))&gt;0, -(29*INDEX('KZ-normalized'!$D:$D, MATCH($A204, 'KZ-normalized'!$A:$A, 0))-INDEX('KZ-normalized'!$E:$E, MATCH($A204, 'KZ-normalized'!$A:$A, 0))), 0), 0))+(IFERROR(IF(29*INDEX('UZ-normalized'!$D:$D, MATCH($A204, 'UZ-normalized'!$A:$A, 0))-INDEX('UZ-normalized'!$E:$E, MATCH($A204, 'UZ-normalized'!$A:$A, 0))&gt;0, -(29*INDEX('UZ-normalized'!$D:$D, MATCH($A204, 'UZ-normalized'!$A:$A, 0))-INDEX('UZ-normalized'!$E:$E, MATCH($A204, 'UZ-normalized'!$A:$A, 0))), 0), 0)))</f>
        <v>0</v>
      </c>
      <c r="AR204" s="6">
        <f>MIN(0, N204+(IFERROR(IF(30*INDEX('UA-normalized'!$D:$D, MATCH($A204, 'UA-normalized'!$A:$A, 0))-INDEX('UA-normalized'!$E:$E, MATCH($A204, 'UA-normalized'!$A:$A, 0))&gt;0, -(30*INDEX('UA-normalized'!$D:$D, MATCH($A204, 'UA-normalized'!$A:$A, 0))-INDEX('UA-normalized'!$E:$E, MATCH($A204, 'UA-normalized'!$A:$A, 0))), 0), 0))+(IFERROR(IF(30*INDEX('KZ-normalized'!$D:$D, MATCH($A204, 'KZ-normalized'!$A:$A, 0))-INDEX('KZ-normalized'!$E:$E, MATCH($A204, 'KZ-normalized'!$A:$A, 0))&gt;0, -(30*INDEX('KZ-normalized'!$D:$D, MATCH($A204, 'KZ-normalized'!$A:$A, 0))-INDEX('KZ-normalized'!$E:$E, MATCH($A204, 'KZ-normalized'!$A:$A, 0))), 0), 0))+(IFERROR(IF(30*INDEX('UZ-normalized'!$D:$D, MATCH($A204, 'UZ-normalized'!$A:$A, 0))-INDEX('UZ-normalized'!$E:$E, MATCH($A204, 'UZ-normalized'!$A:$A, 0))&gt;0, -(30*INDEX('UZ-normalized'!$D:$D, MATCH($A204, 'UZ-normalized'!$A:$A, 0))-INDEX('UZ-normalized'!$E:$E, MATCH($A204, 'UZ-normalized'!$A:$A, 0))), 0), 0)))</f>
        <v>0</v>
      </c>
    </row>
    <row r="205" spans="1:44" x14ac:dyDescent="0.25">
      <c r="A205" s="8" t="s">
        <v>489</v>
      </c>
      <c r="B205" s="8" t="s">
        <v>460</v>
      </c>
      <c r="C205" s="8" t="s">
        <v>479</v>
      </c>
      <c r="D205" s="8" t="s">
        <v>490</v>
      </c>
      <c r="N205">
        <f t="shared" si="3"/>
        <v>0</v>
      </c>
      <c r="O205" s="6">
        <f>MIN(0, N205+(IFERROR(IF(1*INDEX('UA-normalized'!$D:$D, MATCH($A205, 'UA-normalized'!$A:$A, 0))-INDEX('UA-normalized'!$E:$E, MATCH($A205, 'UA-normalized'!$A:$A, 0))&gt;0, -(1*INDEX('UA-normalized'!$D:$D, MATCH($A205, 'UA-normalized'!$A:$A, 0))-INDEX('UA-normalized'!$E:$E, MATCH($A205, 'UA-normalized'!$A:$A, 0))), 0), 0))+(IFERROR(IF(1*INDEX('KZ-normalized'!$D:$D, MATCH($A205, 'KZ-normalized'!$A:$A, 0))-INDEX('KZ-normalized'!$E:$E, MATCH($A205, 'KZ-normalized'!$A:$A, 0))&gt;0, -(1*INDEX('KZ-normalized'!$D:$D, MATCH($A205, 'KZ-normalized'!$A:$A, 0))-INDEX('KZ-normalized'!$E:$E, MATCH($A205, 'KZ-normalized'!$A:$A, 0))), 0), 0))+(IFERROR(IF(1*INDEX('UZ-normalized'!$D:$D, MATCH($A205, 'UZ-normalized'!$A:$A, 0))-INDEX('UZ-normalized'!$E:$E, MATCH($A205, 'UZ-normalized'!$A:$A, 0))&gt;0, -(1*INDEX('UZ-normalized'!$D:$D, MATCH($A205, 'UZ-normalized'!$A:$A, 0))-INDEX('UZ-normalized'!$E:$E, MATCH($A205, 'UZ-normalized'!$A:$A, 0))), 0), 0)))</f>
        <v>0</v>
      </c>
      <c r="P205" s="6">
        <f>MIN(0, N205+(IFERROR(IF(2*INDEX('UA-normalized'!$D:$D, MATCH($A205, 'UA-normalized'!$A:$A, 0))-INDEX('UA-normalized'!$E:$E, MATCH($A205, 'UA-normalized'!$A:$A, 0))&gt;0, -(2*INDEX('UA-normalized'!$D:$D, MATCH($A205, 'UA-normalized'!$A:$A, 0))-INDEX('UA-normalized'!$E:$E, MATCH($A205, 'UA-normalized'!$A:$A, 0))), 0), 0))+(IFERROR(IF(2*INDEX('KZ-normalized'!$D:$D, MATCH($A205, 'KZ-normalized'!$A:$A, 0))-INDEX('KZ-normalized'!$E:$E, MATCH($A205, 'KZ-normalized'!$A:$A, 0))&gt;0, -(2*INDEX('KZ-normalized'!$D:$D, MATCH($A205, 'KZ-normalized'!$A:$A, 0))-INDEX('KZ-normalized'!$E:$E, MATCH($A205, 'KZ-normalized'!$A:$A, 0))), 0), 0))+(IFERROR(IF(2*INDEX('UZ-normalized'!$D:$D, MATCH($A205, 'UZ-normalized'!$A:$A, 0))-INDEX('UZ-normalized'!$E:$E, MATCH($A205, 'UZ-normalized'!$A:$A, 0))&gt;0, -(2*INDEX('UZ-normalized'!$D:$D, MATCH($A205, 'UZ-normalized'!$A:$A, 0))-INDEX('UZ-normalized'!$E:$E, MATCH($A205, 'UZ-normalized'!$A:$A, 0))), 0), 0)))</f>
        <v>0</v>
      </c>
      <c r="Q205" s="6">
        <f>MIN(0, N205+(IFERROR(IF(3*INDEX('UA-normalized'!$D:$D, MATCH($A205, 'UA-normalized'!$A:$A, 0))-INDEX('UA-normalized'!$E:$E, MATCH($A205, 'UA-normalized'!$A:$A, 0))&gt;0, -(3*INDEX('UA-normalized'!$D:$D, MATCH($A205, 'UA-normalized'!$A:$A, 0))-INDEX('UA-normalized'!$E:$E, MATCH($A205, 'UA-normalized'!$A:$A, 0))), 0), 0))+(IFERROR(IF(3*INDEX('KZ-normalized'!$D:$D, MATCH($A205, 'KZ-normalized'!$A:$A, 0))-INDEX('KZ-normalized'!$E:$E, MATCH($A205, 'KZ-normalized'!$A:$A, 0))&gt;0, -(3*INDEX('KZ-normalized'!$D:$D, MATCH($A205, 'KZ-normalized'!$A:$A, 0))-INDEX('KZ-normalized'!$E:$E, MATCH($A205, 'KZ-normalized'!$A:$A, 0))), 0), 0))+(IFERROR(IF(3*INDEX('UZ-normalized'!$D:$D, MATCH($A205, 'UZ-normalized'!$A:$A, 0))-INDEX('UZ-normalized'!$E:$E, MATCH($A205, 'UZ-normalized'!$A:$A, 0))&gt;0, -(3*INDEX('UZ-normalized'!$D:$D, MATCH($A205, 'UZ-normalized'!$A:$A, 0))-INDEX('UZ-normalized'!$E:$E, MATCH($A205, 'UZ-normalized'!$A:$A, 0))), 0), 0)))</f>
        <v>0</v>
      </c>
      <c r="R205" s="6">
        <f>MIN(0, N205+(IFERROR(IF(4*INDEX('UA-normalized'!$D:$D, MATCH($A205, 'UA-normalized'!$A:$A, 0))-INDEX('UA-normalized'!$E:$E, MATCH($A205, 'UA-normalized'!$A:$A, 0))&gt;0, -(4*INDEX('UA-normalized'!$D:$D, MATCH($A205, 'UA-normalized'!$A:$A, 0))-INDEX('UA-normalized'!$E:$E, MATCH($A205, 'UA-normalized'!$A:$A, 0))), 0), 0))+(IFERROR(IF(4*INDEX('KZ-normalized'!$D:$D, MATCH($A205, 'KZ-normalized'!$A:$A, 0))-INDEX('KZ-normalized'!$E:$E, MATCH($A205, 'KZ-normalized'!$A:$A, 0))&gt;0, -(4*INDEX('KZ-normalized'!$D:$D, MATCH($A205, 'KZ-normalized'!$A:$A, 0))-INDEX('KZ-normalized'!$E:$E, MATCH($A205, 'KZ-normalized'!$A:$A, 0))), 0), 0))+(IFERROR(IF(4*INDEX('UZ-normalized'!$D:$D, MATCH($A205, 'UZ-normalized'!$A:$A, 0))-INDEX('UZ-normalized'!$E:$E, MATCH($A205, 'UZ-normalized'!$A:$A, 0))&gt;0, -(4*INDEX('UZ-normalized'!$D:$D, MATCH($A205, 'UZ-normalized'!$A:$A, 0))-INDEX('UZ-normalized'!$E:$E, MATCH($A205, 'UZ-normalized'!$A:$A, 0))), 0), 0)))</f>
        <v>0</v>
      </c>
      <c r="S205" s="6">
        <f>MIN(0, N205+(IFERROR(IF(5*INDEX('UA-normalized'!$D:$D, MATCH($A205, 'UA-normalized'!$A:$A, 0))-INDEX('UA-normalized'!$E:$E, MATCH($A205, 'UA-normalized'!$A:$A, 0))&gt;0, -(5*INDEX('UA-normalized'!$D:$D, MATCH($A205, 'UA-normalized'!$A:$A, 0))-INDEX('UA-normalized'!$E:$E, MATCH($A205, 'UA-normalized'!$A:$A, 0))), 0), 0))+(IFERROR(IF(5*INDEX('KZ-normalized'!$D:$D, MATCH($A205, 'KZ-normalized'!$A:$A, 0))-INDEX('KZ-normalized'!$E:$E, MATCH($A205, 'KZ-normalized'!$A:$A, 0))&gt;0, -(5*INDEX('KZ-normalized'!$D:$D, MATCH($A205, 'KZ-normalized'!$A:$A, 0))-INDEX('KZ-normalized'!$E:$E, MATCH($A205, 'KZ-normalized'!$A:$A, 0))), 0), 0))+(IFERROR(IF(5*INDEX('UZ-normalized'!$D:$D, MATCH($A205, 'UZ-normalized'!$A:$A, 0))-INDEX('UZ-normalized'!$E:$E, MATCH($A205, 'UZ-normalized'!$A:$A, 0))&gt;0, -(5*INDEX('UZ-normalized'!$D:$D, MATCH($A205, 'UZ-normalized'!$A:$A, 0))-INDEX('UZ-normalized'!$E:$E, MATCH($A205, 'UZ-normalized'!$A:$A, 0))), 0), 0)))</f>
        <v>0</v>
      </c>
      <c r="T205" s="6">
        <f>MIN(0, N205+(IFERROR(IF(6*INDEX('UA-normalized'!$D:$D, MATCH($A205, 'UA-normalized'!$A:$A, 0))-INDEX('UA-normalized'!$E:$E, MATCH($A205, 'UA-normalized'!$A:$A, 0))&gt;0, -(6*INDEX('UA-normalized'!$D:$D, MATCH($A205, 'UA-normalized'!$A:$A, 0))-INDEX('UA-normalized'!$E:$E, MATCH($A205, 'UA-normalized'!$A:$A, 0))), 0), 0))+(IFERROR(IF(6*INDEX('KZ-normalized'!$D:$D, MATCH($A205, 'KZ-normalized'!$A:$A, 0))-INDEX('KZ-normalized'!$E:$E, MATCH($A205, 'KZ-normalized'!$A:$A, 0))&gt;0, -(6*INDEX('KZ-normalized'!$D:$D, MATCH($A205, 'KZ-normalized'!$A:$A, 0))-INDEX('KZ-normalized'!$E:$E, MATCH($A205, 'KZ-normalized'!$A:$A, 0))), 0), 0))+(IFERROR(IF(6*INDEX('UZ-normalized'!$D:$D, MATCH($A205, 'UZ-normalized'!$A:$A, 0))-INDEX('UZ-normalized'!$E:$E, MATCH($A205, 'UZ-normalized'!$A:$A, 0))&gt;0, -(6*INDEX('UZ-normalized'!$D:$D, MATCH($A205, 'UZ-normalized'!$A:$A, 0))-INDEX('UZ-normalized'!$E:$E, MATCH($A205, 'UZ-normalized'!$A:$A, 0))), 0), 0)))</f>
        <v>0</v>
      </c>
      <c r="U205" s="6">
        <f>MIN(0, N205+(IFERROR(IF(7*INDEX('UA-normalized'!$D:$D, MATCH($A205, 'UA-normalized'!$A:$A, 0))-INDEX('UA-normalized'!$E:$E, MATCH($A205, 'UA-normalized'!$A:$A, 0))&gt;0, -(7*INDEX('UA-normalized'!$D:$D, MATCH($A205, 'UA-normalized'!$A:$A, 0))-INDEX('UA-normalized'!$E:$E, MATCH($A205, 'UA-normalized'!$A:$A, 0))), 0), 0))+(IFERROR(IF(7*INDEX('KZ-normalized'!$D:$D, MATCH($A205, 'KZ-normalized'!$A:$A, 0))-INDEX('KZ-normalized'!$E:$E, MATCH($A205, 'KZ-normalized'!$A:$A, 0))&gt;0, -(7*INDEX('KZ-normalized'!$D:$D, MATCH($A205, 'KZ-normalized'!$A:$A, 0))-INDEX('KZ-normalized'!$E:$E, MATCH($A205, 'KZ-normalized'!$A:$A, 0))), 0), 0))+(IFERROR(IF(7*INDEX('UZ-normalized'!$D:$D, MATCH($A205, 'UZ-normalized'!$A:$A, 0))-INDEX('UZ-normalized'!$E:$E, MATCH($A205, 'UZ-normalized'!$A:$A, 0))&gt;0, -(7*INDEX('UZ-normalized'!$D:$D, MATCH($A205, 'UZ-normalized'!$A:$A, 0))-INDEX('UZ-normalized'!$E:$E, MATCH($A205, 'UZ-normalized'!$A:$A, 0))), 0), 0)))</f>
        <v>0</v>
      </c>
      <c r="V205" s="6">
        <f>MIN(0, N205+(IFERROR(IF(8*INDEX('UA-normalized'!$D:$D, MATCH($A205, 'UA-normalized'!$A:$A, 0))-INDEX('UA-normalized'!$E:$E, MATCH($A205, 'UA-normalized'!$A:$A, 0))&gt;0, -(8*INDEX('UA-normalized'!$D:$D, MATCH($A205, 'UA-normalized'!$A:$A, 0))-INDEX('UA-normalized'!$E:$E, MATCH($A205, 'UA-normalized'!$A:$A, 0))), 0), 0))+(IFERROR(IF(8*INDEX('KZ-normalized'!$D:$D, MATCH($A205, 'KZ-normalized'!$A:$A, 0))-INDEX('KZ-normalized'!$E:$E, MATCH($A205, 'KZ-normalized'!$A:$A, 0))&gt;0, -(8*INDEX('KZ-normalized'!$D:$D, MATCH($A205, 'KZ-normalized'!$A:$A, 0))-INDEX('KZ-normalized'!$E:$E, MATCH($A205, 'KZ-normalized'!$A:$A, 0))), 0), 0))+(IFERROR(IF(8*INDEX('UZ-normalized'!$D:$D, MATCH($A205, 'UZ-normalized'!$A:$A, 0))-INDEX('UZ-normalized'!$E:$E, MATCH($A205, 'UZ-normalized'!$A:$A, 0))&gt;0, -(8*INDEX('UZ-normalized'!$D:$D, MATCH($A205, 'UZ-normalized'!$A:$A, 0))-INDEX('UZ-normalized'!$E:$E, MATCH($A205, 'UZ-normalized'!$A:$A, 0))), 0), 0)))</f>
        <v>0</v>
      </c>
      <c r="W205" s="6">
        <f>MIN(0, N205+(IFERROR(IF(9*INDEX('UA-normalized'!$D:$D, MATCH($A205, 'UA-normalized'!$A:$A, 0))-INDEX('UA-normalized'!$E:$E, MATCH($A205, 'UA-normalized'!$A:$A, 0))&gt;0, -(9*INDEX('UA-normalized'!$D:$D, MATCH($A205, 'UA-normalized'!$A:$A, 0))-INDEX('UA-normalized'!$E:$E, MATCH($A205, 'UA-normalized'!$A:$A, 0))), 0), 0))+(IFERROR(IF(9*INDEX('KZ-normalized'!$D:$D, MATCH($A205, 'KZ-normalized'!$A:$A, 0))-INDEX('KZ-normalized'!$E:$E, MATCH($A205, 'KZ-normalized'!$A:$A, 0))&gt;0, -(9*INDEX('KZ-normalized'!$D:$D, MATCH($A205, 'KZ-normalized'!$A:$A, 0))-INDEX('KZ-normalized'!$E:$E, MATCH($A205, 'KZ-normalized'!$A:$A, 0))), 0), 0))+(IFERROR(IF(9*INDEX('UZ-normalized'!$D:$D, MATCH($A205, 'UZ-normalized'!$A:$A, 0))-INDEX('UZ-normalized'!$E:$E, MATCH($A205, 'UZ-normalized'!$A:$A, 0))&gt;0, -(9*INDEX('UZ-normalized'!$D:$D, MATCH($A205, 'UZ-normalized'!$A:$A, 0))-INDEX('UZ-normalized'!$E:$E, MATCH($A205, 'UZ-normalized'!$A:$A, 0))), 0), 0)))</f>
        <v>0</v>
      </c>
      <c r="X205" s="6">
        <f>MIN(0, N205+(IFERROR(IF(10*INDEX('UA-normalized'!$D:$D, MATCH($A205, 'UA-normalized'!$A:$A, 0))-INDEX('UA-normalized'!$E:$E, MATCH($A205, 'UA-normalized'!$A:$A, 0))&gt;0, -(10*INDEX('UA-normalized'!$D:$D, MATCH($A205, 'UA-normalized'!$A:$A, 0))-INDEX('UA-normalized'!$E:$E, MATCH($A205, 'UA-normalized'!$A:$A, 0))), 0), 0))+(IFERROR(IF(10*INDEX('KZ-normalized'!$D:$D, MATCH($A205, 'KZ-normalized'!$A:$A, 0))-INDEX('KZ-normalized'!$E:$E, MATCH($A205, 'KZ-normalized'!$A:$A, 0))&gt;0, -(10*INDEX('KZ-normalized'!$D:$D, MATCH($A205, 'KZ-normalized'!$A:$A, 0))-INDEX('KZ-normalized'!$E:$E, MATCH($A205, 'KZ-normalized'!$A:$A, 0))), 0), 0))+(IFERROR(IF(10*INDEX('UZ-normalized'!$D:$D, MATCH($A205, 'UZ-normalized'!$A:$A, 0))-INDEX('UZ-normalized'!$E:$E, MATCH($A205, 'UZ-normalized'!$A:$A, 0))&gt;0, -(10*INDEX('UZ-normalized'!$D:$D, MATCH($A205, 'UZ-normalized'!$A:$A, 0))-INDEX('UZ-normalized'!$E:$E, MATCH($A205, 'UZ-normalized'!$A:$A, 0))), 0), 0)))</f>
        <v>0</v>
      </c>
      <c r="Y205" s="6">
        <f>MIN(0, N205+(IFERROR(IF(11*INDEX('UA-normalized'!$D:$D, MATCH($A205, 'UA-normalized'!$A:$A, 0))-INDEX('UA-normalized'!$E:$E, MATCH($A205, 'UA-normalized'!$A:$A, 0))&gt;0, -(11*INDEX('UA-normalized'!$D:$D, MATCH($A205, 'UA-normalized'!$A:$A, 0))-INDEX('UA-normalized'!$E:$E, MATCH($A205, 'UA-normalized'!$A:$A, 0))), 0), 0))+(IFERROR(IF(11*INDEX('KZ-normalized'!$D:$D, MATCH($A205, 'KZ-normalized'!$A:$A, 0))-INDEX('KZ-normalized'!$E:$E, MATCH($A205, 'KZ-normalized'!$A:$A, 0))&gt;0, -(11*INDEX('KZ-normalized'!$D:$D, MATCH($A205, 'KZ-normalized'!$A:$A, 0))-INDEX('KZ-normalized'!$E:$E, MATCH($A205, 'KZ-normalized'!$A:$A, 0))), 0), 0))+(IFERROR(IF(11*INDEX('UZ-normalized'!$D:$D, MATCH($A205, 'UZ-normalized'!$A:$A, 0))-INDEX('UZ-normalized'!$E:$E, MATCH($A205, 'UZ-normalized'!$A:$A, 0))&gt;0, -(11*INDEX('UZ-normalized'!$D:$D, MATCH($A205, 'UZ-normalized'!$A:$A, 0))-INDEX('UZ-normalized'!$E:$E, MATCH($A205, 'UZ-normalized'!$A:$A, 0))), 0), 0)))</f>
        <v>0</v>
      </c>
      <c r="Z205" s="6">
        <f>MIN(0, N205+(IFERROR(IF(12*INDEX('UA-normalized'!$D:$D, MATCH($A205, 'UA-normalized'!$A:$A, 0))-INDEX('UA-normalized'!$E:$E, MATCH($A205, 'UA-normalized'!$A:$A, 0))&gt;0, -(12*INDEX('UA-normalized'!$D:$D, MATCH($A205, 'UA-normalized'!$A:$A, 0))-INDEX('UA-normalized'!$E:$E, MATCH($A205, 'UA-normalized'!$A:$A, 0))), 0), 0))+(IFERROR(IF(12*INDEX('KZ-normalized'!$D:$D, MATCH($A205, 'KZ-normalized'!$A:$A, 0))-INDEX('KZ-normalized'!$E:$E, MATCH($A205, 'KZ-normalized'!$A:$A, 0))&gt;0, -(12*INDEX('KZ-normalized'!$D:$D, MATCH($A205, 'KZ-normalized'!$A:$A, 0))-INDEX('KZ-normalized'!$E:$E, MATCH($A205, 'KZ-normalized'!$A:$A, 0))), 0), 0))+(IFERROR(IF(12*INDEX('UZ-normalized'!$D:$D, MATCH($A205, 'UZ-normalized'!$A:$A, 0))-INDEX('UZ-normalized'!$E:$E, MATCH($A205, 'UZ-normalized'!$A:$A, 0))&gt;0, -(12*INDEX('UZ-normalized'!$D:$D, MATCH($A205, 'UZ-normalized'!$A:$A, 0))-INDEX('UZ-normalized'!$E:$E, MATCH($A205, 'UZ-normalized'!$A:$A, 0))), 0), 0)))</f>
        <v>0</v>
      </c>
      <c r="AA205" s="6">
        <f>MIN(0, N205+(IFERROR(IF(13*INDEX('UA-normalized'!$D:$D, MATCH($A205, 'UA-normalized'!$A:$A, 0))-INDEX('UA-normalized'!$E:$E, MATCH($A205, 'UA-normalized'!$A:$A, 0))&gt;0, -(13*INDEX('UA-normalized'!$D:$D, MATCH($A205, 'UA-normalized'!$A:$A, 0))-INDEX('UA-normalized'!$E:$E, MATCH($A205, 'UA-normalized'!$A:$A, 0))), 0), 0))+(IFERROR(IF(13*INDEX('KZ-normalized'!$D:$D, MATCH($A205, 'KZ-normalized'!$A:$A, 0))-INDEX('KZ-normalized'!$E:$E, MATCH($A205, 'KZ-normalized'!$A:$A, 0))&gt;0, -(13*INDEX('KZ-normalized'!$D:$D, MATCH($A205, 'KZ-normalized'!$A:$A, 0))-INDEX('KZ-normalized'!$E:$E, MATCH($A205, 'KZ-normalized'!$A:$A, 0))), 0), 0))+(IFERROR(IF(13*INDEX('UZ-normalized'!$D:$D, MATCH($A205, 'UZ-normalized'!$A:$A, 0))-INDEX('UZ-normalized'!$E:$E, MATCH($A205, 'UZ-normalized'!$A:$A, 0))&gt;0, -(13*INDEX('UZ-normalized'!$D:$D, MATCH($A205, 'UZ-normalized'!$A:$A, 0))-INDEX('UZ-normalized'!$E:$E, MATCH($A205, 'UZ-normalized'!$A:$A, 0))), 0), 0)))</f>
        <v>0</v>
      </c>
      <c r="AB205" s="6">
        <f>MIN(0, N205+(IFERROR(IF(14*INDEX('UA-normalized'!$D:$D, MATCH($A205, 'UA-normalized'!$A:$A, 0))-INDEX('UA-normalized'!$E:$E, MATCH($A205, 'UA-normalized'!$A:$A, 0))&gt;0, -(14*INDEX('UA-normalized'!$D:$D, MATCH($A205, 'UA-normalized'!$A:$A, 0))-INDEX('UA-normalized'!$E:$E, MATCH($A205, 'UA-normalized'!$A:$A, 0))), 0), 0))+(IFERROR(IF(14*INDEX('KZ-normalized'!$D:$D, MATCH($A205, 'KZ-normalized'!$A:$A, 0))-INDEX('KZ-normalized'!$E:$E, MATCH($A205, 'KZ-normalized'!$A:$A, 0))&gt;0, -(14*INDEX('KZ-normalized'!$D:$D, MATCH($A205, 'KZ-normalized'!$A:$A, 0))-INDEX('KZ-normalized'!$E:$E, MATCH($A205, 'KZ-normalized'!$A:$A, 0))), 0), 0))+(IFERROR(IF(14*INDEX('UZ-normalized'!$D:$D, MATCH($A205, 'UZ-normalized'!$A:$A, 0))-INDEX('UZ-normalized'!$E:$E, MATCH($A205, 'UZ-normalized'!$A:$A, 0))&gt;0, -(14*INDEX('UZ-normalized'!$D:$D, MATCH($A205, 'UZ-normalized'!$A:$A, 0))-INDEX('UZ-normalized'!$E:$E, MATCH($A205, 'UZ-normalized'!$A:$A, 0))), 0), 0)))</f>
        <v>0</v>
      </c>
      <c r="AC205" s="6">
        <f>MIN(0, N205+(IFERROR(IF(15*INDEX('UA-normalized'!$D:$D, MATCH($A205, 'UA-normalized'!$A:$A, 0))-INDEX('UA-normalized'!$E:$E, MATCH($A205, 'UA-normalized'!$A:$A, 0))&gt;0, -(15*INDEX('UA-normalized'!$D:$D, MATCH($A205, 'UA-normalized'!$A:$A, 0))-INDEX('UA-normalized'!$E:$E, MATCH($A205, 'UA-normalized'!$A:$A, 0))), 0), 0))+(IFERROR(IF(15*INDEX('KZ-normalized'!$D:$D, MATCH($A205, 'KZ-normalized'!$A:$A, 0))-INDEX('KZ-normalized'!$E:$E, MATCH($A205, 'KZ-normalized'!$A:$A, 0))&gt;0, -(15*INDEX('KZ-normalized'!$D:$D, MATCH($A205, 'KZ-normalized'!$A:$A, 0))-INDEX('KZ-normalized'!$E:$E, MATCH($A205, 'KZ-normalized'!$A:$A, 0))), 0), 0))+(IFERROR(IF(15*INDEX('UZ-normalized'!$D:$D, MATCH($A205, 'UZ-normalized'!$A:$A, 0))-INDEX('UZ-normalized'!$E:$E, MATCH($A205, 'UZ-normalized'!$A:$A, 0))&gt;0, -(15*INDEX('UZ-normalized'!$D:$D, MATCH($A205, 'UZ-normalized'!$A:$A, 0))-INDEX('UZ-normalized'!$E:$E, MATCH($A205, 'UZ-normalized'!$A:$A, 0))), 0), 0)))</f>
        <v>0</v>
      </c>
      <c r="AD205" s="6">
        <f>MIN(0, N205+(IFERROR(IF(16*INDEX('UA-normalized'!$D:$D, MATCH($A205, 'UA-normalized'!$A:$A, 0))-INDEX('UA-normalized'!$E:$E, MATCH($A205, 'UA-normalized'!$A:$A, 0))&gt;0, -(16*INDEX('UA-normalized'!$D:$D, MATCH($A205, 'UA-normalized'!$A:$A, 0))-INDEX('UA-normalized'!$E:$E, MATCH($A205, 'UA-normalized'!$A:$A, 0))), 0), 0))+(IFERROR(IF(16*INDEX('KZ-normalized'!$D:$D, MATCH($A205, 'KZ-normalized'!$A:$A, 0))-INDEX('KZ-normalized'!$E:$E, MATCH($A205, 'KZ-normalized'!$A:$A, 0))&gt;0, -(16*INDEX('KZ-normalized'!$D:$D, MATCH($A205, 'KZ-normalized'!$A:$A, 0))-INDEX('KZ-normalized'!$E:$E, MATCH($A205, 'KZ-normalized'!$A:$A, 0))), 0), 0))+(IFERROR(IF(16*INDEX('UZ-normalized'!$D:$D, MATCH($A205, 'UZ-normalized'!$A:$A, 0))-INDEX('UZ-normalized'!$E:$E, MATCH($A205, 'UZ-normalized'!$A:$A, 0))&gt;0, -(16*INDEX('UZ-normalized'!$D:$D, MATCH($A205, 'UZ-normalized'!$A:$A, 0))-INDEX('UZ-normalized'!$E:$E, MATCH($A205, 'UZ-normalized'!$A:$A, 0))), 0), 0)))</f>
        <v>0</v>
      </c>
      <c r="AE205" s="6">
        <f>MIN(0, N205+(IFERROR(IF(17*INDEX('UA-normalized'!$D:$D, MATCH($A205, 'UA-normalized'!$A:$A, 0))-INDEX('UA-normalized'!$E:$E, MATCH($A205, 'UA-normalized'!$A:$A, 0))&gt;0, -(17*INDEX('UA-normalized'!$D:$D, MATCH($A205, 'UA-normalized'!$A:$A, 0))-INDEX('UA-normalized'!$E:$E, MATCH($A205, 'UA-normalized'!$A:$A, 0))), 0), 0))+(IFERROR(IF(17*INDEX('KZ-normalized'!$D:$D, MATCH($A205, 'KZ-normalized'!$A:$A, 0))-INDEX('KZ-normalized'!$E:$E, MATCH($A205, 'KZ-normalized'!$A:$A, 0))&gt;0, -(17*INDEX('KZ-normalized'!$D:$D, MATCH($A205, 'KZ-normalized'!$A:$A, 0))-INDEX('KZ-normalized'!$E:$E, MATCH($A205, 'KZ-normalized'!$A:$A, 0))), 0), 0))+(IFERROR(IF(17*INDEX('UZ-normalized'!$D:$D, MATCH($A205, 'UZ-normalized'!$A:$A, 0))-INDEX('UZ-normalized'!$E:$E, MATCH($A205, 'UZ-normalized'!$A:$A, 0))&gt;0, -(17*INDEX('UZ-normalized'!$D:$D, MATCH($A205, 'UZ-normalized'!$A:$A, 0))-INDEX('UZ-normalized'!$E:$E, MATCH($A205, 'UZ-normalized'!$A:$A, 0))), 0), 0)))</f>
        <v>0</v>
      </c>
      <c r="AF205" s="6">
        <f>MIN(0, N205+(IFERROR(IF(18*INDEX('UA-normalized'!$D:$D, MATCH($A205, 'UA-normalized'!$A:$A, 0))-INDEX('UA-normalized'!$E:$E, MATCH($A205, 'UA-normalized'!$A:$A, 0))&gt;0, -(18*INDEX('UA-normalized'!$D:$D, MATCH($A205, 'UA-normalized'!$A:$A, 0))-INDEX('UA-normalized'!$E:$E, MATCH($A205, 'UA-normalized'!$A:$A, 0))), 0), 0))+(IFERROR(IF(18*INDEX('KZ-normalized'!$D:$D, MATCH($A205, 'KZ-normalized'!$A:$A, 0))-INDEX('KZ-normalized'!$E:$E, MATCH($A205, 'KZ-normalized'!$A:$A, 0))&gt;0, -(18*INDEX('KZ-normalized'!$D:$D, MATCH($A205, 'KZ-normalized'!$A:$A, 0))-INDEX('KZ-normalized'!$E:$E, MATCH($A205, 'KZ-normalized'!$A:$A, 0))), 0), 0))+(IFERROR(IF(18*INDEX('UZ-normalized'!$D:$D, MATCH($A205, 'UZ-normalized'!$A:$A, 0))-INDEX('UZ-normalized'!$E:$E, MATCH($A205, 'UZ-normalized'!$A:$A, 0))&gt;0, -(18*INDEX('UZ-normalized'!$D:$D, MATCH($A205, 'UZ-normalized'!$A:$A, 0))-INDEX('UZ-normalized'!$E:$E, MATCH($A205, 'UZ-normalized'!$A:$A, 0))), 0), 0)))</f>
        <v>0</v>
      </c>
      <c r="AG205" s="6">
        <f>MIN(0, N205+(IFERROR(IF(19*INDEX('UA-normalized'!$D:$D, MATCH($A205, 'UA-normalized'!$A:$A, 0))-INDEX('UA-normalized'!$E:$E, MATCH($A205, 'UA-normalized'!$A:$A, 0))&gt;0, -(19*INDEX('UA-normalized'!$D:$D, MATCH($A205, 'UA-normalized'!$A:$A, 0))-INDEX('UA-normalized'!$E:$E, MATCH($A205, 'UA-normalized'!$A:$A, 0))), 0), 0))+(IFERROR(IF(19*INDEX('KZ-normalized'!$D:$D, MATCH($A205, 'KZ-normalized'!$A:$A, 0))-INDEX('KZ-normalized'!$E:$E, MATCH($A205, 'KZ-normalized'!$A:$A, 0))&gt;0, -(19*INDEX('KZ-normalized'!$D:$D, MATCH($A205, 'KZ-normalized'!$A:$A, 0))-INDEX('KZ-normalized'!$E:$E, MATCH($A205, 'KZ-normalized'!$A:$A, 0))), 0), 0))+(IFERROR(IF(19*INDEX('UZ-normalized'!$D:$D, MATCH($A205, 'UZ-normalized'!$A:$A, 0))-INDEX('UZ-normalized'!$E:$E, MATCH($A205, 'UZ-normalized'!$A:$A, 0))&gt;0, -(19*INDEX('UZ-normalized'!$D:$D, MATCH($A205, 'UZ-normalized'!$A:$A, 0))-INDEX('UZ-normalized'!$E:$E, MATCH($A205, 'UZ-normalized'!$A:$A, 0))), 0), 0)))</f>
        <v>0</v>
      </c>
      <c r="AH205" s="6">
        <f>MIN(0, N205+(IFERROR(IF(20*INDEX('UA-normalized'!$D:$D, MATCH($A205, 'UA-normalized'!$A:$A, 0))-INDEX('UA-normalized'!$E:$E, MATCH($A205, 'UA-normalized'!$A:$A, 0))&gt;0, -(20*INDEX('UA-normalized'!$D:$D, MATCH($A205, 'UA-normalized'!$A:$A, 0))-INDEX('UA-normalized'!$E:$E, MATCH($A205, 'UA-normalized'!$A:$A, 0))), 0), 0))+(IFERROR(IF(20*INDEX('KZ-normalized'!$D:$D, MATCH($A205, 'KZ-normalized'!$A:$A, 0))-INDEX('KZ-normalized'!$E:$E, MATCH($A205, 'KZ-normalized'!$A:$A, 0))&gt;0, -(20*INDEX('KZ-normalized'!$D:$D, MATCH($A205, 'KZ-normalized'!$A:$A, 0))-INDEX('KZ-normalized'!$E:$E, MATCH($A205, 'KZ-normalized'!$A:$A, 0))), 0), 0))+(IFERROR(IF(20*INDEX('UZ-normalized'!$D:$D, MATCH($A205, 'UZ-normalized'!$A:$A, 0))-INDEX('UZ-normalized'!$E:$E, MATCH($A205, 'UZ-normalized'!$A:$A, 0))&gt;0, -(20*INDEX('UZ-normalized'!$D:$D, MATCH($A205, 'UZ-normalized'!$A:$A, 0))-INDEX('UZ-normalized'!$E:$E, MATCH($A205, 'UZ-normalized'!$A:$A, 0))), 0), 0)))</f>
        <v>0</v>
      </c>
      <c r="AI205" s="6">
        <f>MIN(0, N205+(IFERROR(IF(21*INDEX('UA-normalized'!$D:$D, MATCH($A205, 'UA-normalized'!$A:$A, 0))-INDEX('UA-normalized'!$E:$E, MATCH($A205, 'UA-normalized'!$A:$A, 0))&gt;0, -(21*INDEX('UA-normalized'!$D:$D, MATCH($A205, 'UA-normalized'!$A:$A, 0))-INDEX('UA-normalized'!$E:$E, MATCH($A205, 'UA-normalized'!$A:$A, 0))), 0), 0))+(IFERROR(IF(21*INDEX('KZ-normalized'!$D:$D, MATCH($A205, 'KZ-normalized'!$A:$A, 0))-INDEX('KZ-normalized'!$E:$E, MATCH($A205, 'KZ-normalized'!$A:$A, 0))&gt;0, -(21*INDEX('KZ-normalized'!$D:$D, MATCH($A205, 'KZ-normalized'!$A:$A, 0))-INDEX('KZ-normalized'!$E:$E, MATCH($A205, 'KZ-normalized'!$A:$A, 0))), 0), 0))+(IFERROR(IF(21*INDEX('UZ-normalized'!$D:$D, MATCH($A205, 'UZ-normalized'!$A:$A, 0))-INDEX('UZ-normalized'!$E:$E, MATCH($A205, 'UZ-normalized'!$A:$A, 0))&gt;0, -(21*INDEX('UZ-normalized'!$D:$D, MATCH($A205, 'UZ-normalized'!$A:$A, 0))-INDEX('UZ-normalized'!$E:$E, MATCH($A205, 'UZ-normalized'!$A:$A, 0))), 0), 0)))</f>
        <v>0</v>
      </c>
      <c r="AJ205" s="6">
        <f>MIN(0, N205+(IFERROR(IF(22*INDEX('UA-normalized'!$D:$D, MATCH($A205, 'UA-normalized'!$A:$A, 0))-INDEX('UA-normalized'!$E:$E, MATCH($A205, 'UA-normalized'!$A:$A, 0))&gt;0, -(22*INDEX('UA-normalized'!$D:$D, MATCH($A205, 'UA-normalized'!$A:$A, 0))-INDEX('UA-normalized'!$E:$E, MATCH($A205, 'UA-normalized'!$A:$A, 0))), 0), 0))+(IFERROR(IF(22*INDEX('KZ-normalized'!$D:$D, MATCH($A205, 'KZ-normalized'!$A:$A, 0))-INDEX('KZ-normalized'!$E:$E, MATCH($A205, 'KZ-normalized'!$A:$A, 0))&gt;0, -(22*INDEX('KZ-normalized'!$D:$D, MATCH($A205, 'KZ-normalized'!$A:$A, 0))-INDEX('KZ-normalized'!$E:$E, MATCH($A205, 'KZ-normalized'!$A:$A, 0))), 0), 0))+(IFERROR(IF(22*INDEX('UZ-normalized'!$D:$D, MATCH($A205, 'UZ-normalized'!$A:$A, 0))-INDEX('UZ-normalized'!$E:$E, MATCH($A205, 'UZ-normalized'!$A:$A, 0))&gt;0, -(22*INDEX('UZ-normalized'!$D:$D, MATCH($A205, 'UZ-normalized'!$A:$A, 0))-INDEX('UZ-normalized'!$E:$E, MATCH($A205, 'UZ-normalized'!$A:$A, 0))), 0), 0)))</f>
        <v>0</v>
      </c>
      <c r="AK205" s="6">
        <f>MIN(0, N205+(IFERROR(IF(23*INDEX('UA-normalized'!$D:$D, MATCH($A205, 'UA-normalized'!$A:$A, 0))-INDEX('UA-normalized'!$E:$E, MATCH($A205, 'UA-normalized'!$A:$A, 0))&gt;0, -(23*INDEX('UA-normalized'!$D:$D, MATCH($A205, 'UA-normalized'!$A:$A, 0))-INDEX('UA-normalized'!$E:$E, MATCH($A205, 'UA-normalized'!$A:$A, 0))), 0), 0))+(IFERROR(IF(23*INDEX('KZ-normalized'!$D:$D, MATCH($A205, 'KZ-normalized'!$A:$A, 0))-INDEX('KZ-normalized'!$E:$E, MATCH($A205, 'KZ-normalized'!$A:$A, 0))&gt;0, -(23*INDEX('KZ-normalized'!$D:$D, MATCH($A205, 'KZ-normalized'!$A:$A, 0))-INDEX('KZ-normalized'!$E:$E, MATCH($A205, 'KZ-normalized'!$A:$A, 0))), 0), 0))+(IFERROR(IF(23*INDEX('UZ-normalized'!$D:$D, MATCH($A205, 'UZ-normalized'!$A:$A, 0))-INDEX('UZ-normalized'!$E:$E, MATCH($A205, 'UZ-normalized'!$A:$A, 0))&gt;0, -(23*INDEX('UZ-normalized'!$D:$D, MATCH($A205, 'UZ-normalized'!$A:$A, 0))-INDEX('UZ-normalized'!$E:$E, MATCH($A205, 'UZ-normalized'!$A:$A, 0))), 0), 0)))</f>
        <v>0</v>
      </c>
      <c r="AL205" s="6">
        <f>MIN(0, N205+(IFERROR(IF(24*INDEX('UA-normalized'!$D:$D, MATCH($A205, 'UA-normalized'!$A:$A, 0))-INDEX('UA-normalized'!$E:$E, MATCH($A205, 'UA-normalized'!$A:$A, 0))&gt;0, -(24*INDEX('UA-normalized'!$D:$D, MATCH($A205, 'UA-normalized'!$A:$A, 0))-INDEX('UA-normalized'!$E:$E, MATCH($A205, 'UA-normalized'!$A:$A, 0))), 0), 0))+(IFERROR(IF(24*INDEX('KZ-normalized'!$D:$D, MATCH($A205, 'KZ-normalized'!$A:$A, 0))-INDEX('KZ-normalized'!$E:$E, MATCH($A205, 'KZ-normalized'!$A:$A, 0))&gt;0, -(24*INDEX('KZ-normalized'!$D:$D, MATCH($A205, 'KZ-normalized'!$A:$A, 0))-INDEX('KZ-normalized'!$E:$E, MATCH($A205, 'KZ-normalized'!$A:$A, 0))), 0), 0))+(IFERROR(IF(24*INDEX('UZ-normalized'!$D:$D, MATCH($A205, 'UZ-normalized'!$A:$A, 0))-INDEX('UZ-normalized'!$E:$E, MATCH($A205, 'UZ-normalized'!$A:$A, 0))&gt;0, -(24*INDEX('UZ-normalized'!$D:$D, MATCH($A205, 'UZ-normalized'!$A:$A, 0))-INDEX('UZ-normalized'!$E:$E, MATCH($A205, 'UZ-normalized'!$A:$A, 0))), 0), 0)))</f>
        <v>0</v>
      </c>
      <c r="AM205" s="6">
        <f>MIN(0, N205+(IFERROR(IF(25*INDEX('UA-normalized'!$D:$D, MATCH($A205, 'UA-normalized'!$A:$A, 0))-INDEX('UA-normalized'!$E:$E, MATCH($A205, 'UA-normalized'!$A:$A, 0))&gt;0, -(25*INDEX('UA-normalized'!$D:$D, MATCH($A205, 'UA-normalized'!$A:$A, 0))-INDEX('UA-normalized'!$E:$E, MATCH($A205, 'UA-normalized'!$A:$A, 0))), 0), 0))+(IFERROR(IF(25*INDEX('KZ-normalized'!$D:$D, MATCH($A205, 'KZ-normalized'!$A:$A, 0))-INDEX('KZ-normalized'!$E:$E, MATCH($A205, 'KZ-normalized'!$A:$A, 0))&gt;0, -(25*INDEX('KZ-normalized'!$D:$D, MATCH($A205, 'KZ-normalized'!$A:$A, 0))-INDEX('KZ-normalized'!$E:$E, MATCH($A205, 'KZ-normalized'!$A:$A, 0))), 0), 0))+(IFERROR(IF(25*INDEX('UZ-normalized'!$D:$D, MATCH($A205, 'UZ-normalized'!$A:$A, 0))-INDEX('UZ-normalized'!$E:$E, MATCH($A205, 'UZ-normalized'!$A:$A, 0))&gt;0, -(25*INDEX('UZ-normalized'!$D:$D, MATCH($A205, 'UZ-normalized'!$A:$A, 0))-INDEX('UZ-normalized'!$E:$E, MATCH($A205, 'UZ-normalized'!$A:$A, 0))), 0), 0)))</f>
        <v>0</v>
      </c>
      <c r="AN205" s="6">
        <f>MIN(0, N205+(IFERROR(IF(26*INDEX('UA-normalized'!$D:$D, MATCH($A205, 'UA-normalized'!$A:$A, 0))-INDEX('UA-normalized'!$E:$E, MATCH($A205, 'UA-normalized'!$A:$A, 0))&gt;0, -(26*INDEX('UA-normalized'!$D:$D, MATCH($A205, 'UA-normalized'!$A:$A, 0))-INDEX('UA-normalized'!$E:$E, MATCH($A205, 'UA-normalized'!$A:$A, 0))), 0), 0))+(IFERROR(IF(26*INDEX('KZ-normalized'!$D:$D, MATCH($A205, 'KZ-normalized'!$A:$A, 0))-INDEX('KZ-normalized'!$E:$E, MATCH($A205, 'KZ-normalized'!$A:$A, 0))&gt;0, -(26*INDEX('KZ-normalized'!$D:$D, MATCH($A205, 'KZ-normalized'!$A:$A, 0))-INDEX('KZ-normalized'!$E:$E, MATCH($A205, 'KZ-normalized'!$A:$A, 0))), 0), 0))+(IFERROR(IF(26*INDEX('UZ-normalized'!$D:$D, MATCH($A205, 'UZ-normalized'!$A:$A, 0))-INDEX('UZ-normalized'!$E:$E, MATCH($A205, 'UZ-normalized'!$A:$A, 0))&gt;0, -(26*INDEX('UZ-normalized'!$D:$D, MATCH($A205, 'UZ-normalized'!$A:$A, 0))-INDEX('UZ-normalized'!$E:$E, MATCH($A205, 'UZ-normalized'!$A:$A, 0))), 0), 0)))</f>
        <v>0</v>
      </c>
      <c r="AO205" s="6">
        <f>MIN(0, N205+(IFERROR(IF(27*INDEX('UA-normalized'!$D:$D, MATCH($A205, 'UA-normalized'!$A:$A, 0))-INDEX('UA-normalized'!$E:$E, MATCH($A205, 'UA-normalized'!$A:$A, 0))&gt;0, -(27*INDEX('UA-normalized'!$D:$D, MATCH($A205, 'UA-normalized'!$A:$A, 0))-INDEX('UA-normalized'!$E:$E, MATCH($A205, 'UA-normalized'!$A:$A, 0))), 0), 0))+(IFERROR(IF(27*INDEX('KZ-normalized'!$D:$D, MATCH($A205, 'KZ-normalized'!$A:$A, 0))-INDEX('KZ-normalized'!$E:$E, MATCH($A205, 'KZ-normalized'!$A:$A, 0))&gt;0, -(27*INDEX('KZ-normalized'!$D:$D, MATCH($A205, 'KZ-normalized'!$A:$A, 0))-INDEX('KZ-normalized'!$E:$E, MATCH($A205, 'KZ-normalized'!$A:$A, 0))), 0), 0))+(IFERROR(IF(27*INDEX('UZ-normalized'!$D:$D, MATCH($A205, 'UZ-normalized'!$A:$A, 0))-INDEX('UZ-normalized'!$E:$E, MATCH($A205, 'UZ-normalized'!$A:$A, 0))&gt;0, -(27*INDEX('UZ-normalized'!$D:$D, MATCH($A205, 'UZ-normalized'!$A:$A, 0))-INDEX('UZ-normalized'!$E:$E, MATCH($A205, 'UZ-normalized'!$A:$A, 0))), 0), 0)))</f>
        <v>0</v>
      </c>
      <c r="AP205" s="6">
        <f>MIN(0, N205+(IFERROR(IF(28*INDEX('UA-normalized'!$D:$D, MATCH($A205, 'UA-normalized'!$A:$A, 0))-INDEX('UA-normalized'!$E:$E, MATCH($A205, 'UA-normalized'!$A:$A, 0))&gt;0, -(28*INDEX('UA-normalized'!$D:$D, MATCH($A205, 'UA-normalized'!$A:$A, 0))-INDEX('UA-normalized'!$E:$E, MATCH($A205, 'UA-normalized'!$A:$A, 0))), 0), 0))+(IFERROR(IF(28*INDEX('KZ-normalized'!$D:$D, MATCH($A205, 'KZ-normalized'!$A:$A, 0))-INDEX('KZ-normalized'!$E:$E, MATCH($A205, 'KZ-normalized'!$A:$A, 0))&gt;0, -(28*INDEX('KZ-normalized'!$D:$D, MATCH($A205, 'KZ-normalized'!$A:$A, 0))-INDEX('KZ-normalized'!$E:$E, MATCH($A205, 'KZ-normalized'!$A:$A, 0))), 0), 0))+(IFERROR(IF(28*INDEX('UZ-normalized'!$D:$D, MATCH($A205, 'UZ-normalized'!$A:$A, 0))-INDEX('UZ-normalized'!$E:$E, MATCH($A205, 'UZ-normalized'!$A:$A, 0))&gt;0, -(28*INDEX('UZ-normalized'!$D:$D, MATCH($A205, 'UZ-normalized'!$A:$A, 0))-INDEX('UZ-normalized'!$E:$E, MATCH($A205, 'UZ-normalized'!$A:$A, 0))), 0), 0)))</f>
        <v>0</v>
      </c>
      <c r="AQ205" s="6">
        <f>MIN(0, N205+(IFERROR(IF(29*INDEX('UA-normalized'!$D:$D, MATCH($A205, 'UA-normalized'!$A:$A, 0))-INDEX('UA-normalized'!$E:$E, MATCH($A205, 'UA-normalized'!$A:$A, 0))&gt;0, -(29*INDEX('UA-normalized'!$D:$D, MATCH($A205, 'UA-normalized'!$A:$A, 0))-INDEX('UA-normalized'!$E:$E, MATCH($A205, 'UA-normalized'!$A:$A, 0))), 0), 0))+(IFERROR(IF(29*INDEX('KZ-normalized'!$D:$D, MATCH($A205, 'KZ-normalized'!$A:$A, 0))-INDEX('KZ-normalized'!$E:$E, MATCH($A205, 'KZ-normalized'!$A:$A, 0))&gt;0, -(29*INDEX('KZ-normalized'!$D:$D, MATCH($A205, 'KZ-normalized'!$A:$A, 0))-INDEX('KZ-normalized'!$E:$E, MATCH($A205, 'KZ-normalized'!$A:$A, 0))), 0), 0))+(IFERROR(IF(29*INDEX('UZ-normalized'!$D:$D, MATCH($A205, 'UZ-normalized'!$A:$A, 0))-INDEX('UZ-normalized'!$E:$E, MATCH($A205, 'UZ-normalized'!$A:$A, 0))&gt;0, -(29*INDEX('UZ-normalized'!$D:$D, MATCH($A205, 'UZ-normalized'!$A:$A, 0))-INDEX('UZ-normalized'!$E:$E, MATCH($A205, 'UZ-normalized'!$A:$A, 0))), 0), 0)))</f>
        <v>0</v>
      </c>
      <c r="AR205" s="6">
        <f>MIN(0, N205+(IFERROR(IF(30*INDEX('UA-normalized'!$D:$D, MATCH($A205, 'UA-normalized'!$A:$A, 0))-INDEX('UA-normalized'!$E:$E, MATCH($A205, 'UA-normalized'!$A:$A, 0))&gt;0, -(30*INDEX('UA-normalized'!$D:$D, MATCH($A205, 'UA-normalized'!$A:$A, 0))-INDEX('UA-normalized'!$E:$E, MATCH($A205, 'UA-normalized'!$A:$A, 0))), 0), 0))+(IFERROR(IF(30*INDEX('KZ-normalized'!$D:$D, MATCH($A205, 'KZ-normalized'!$A:$A, 0))-INDEX('KZ-normalized'!$E:$E, MATCH($A205, 'KZ-normalized'!$A:$A, 0))&gt;0, -(30*INDEX('KZ-normalized'!$D:$D, MATCH($A205, 'KZ-normalized'!$A:$A, 0))-INDEX('KZ-normalized'!$E:$E, MATCH($A205, 'KZ-normalized'!$A:$A, 0))), 0), 0))+(IFERROR(IF(30*INDEX('UZ-normalized'!$D:$D, MATCH($A205, 'UZ-normalized'!$A:$A, 0))-INDEX('UZ-normalized'!$E:$E, MATCH($A205, 'UZ-normalized'!$A:$A, 0))&gt;0, -(30*INDEX('UZ-normalized'!$D:$D, MATCH($A205, 'UZ-normalized'!$A:$A, 0))-INDEX('UZ-normalized'!$E:$E, MATCH($A205, 'UZ-normalized'!$A:$A, 0))), 0), 0)))</f>
        <v>0</v>
      </c>
    </row>
    <row r="206" spans="1:44" x14ac:dyDescent="0.25">
      <c r="A206" s="8" t="s">
        <v>491</v>
      </c>
      <c r="B206" s="8" t="s">
        <v>492</v>
      </c>
      <c r="C206" s="8" t="s">
        <v>493</v>
      </c>
      <c r="D206" s="8" t="s">
        <v>494</v>
      </c>
      <c r="N206">
        <f t="shared" si="3"/>
        <v>0</v>
      </c>
      <c r="O206" s="6">
        <f>MIN(0, N206+(IFERROR(IF(1*INDEX('UA-normalized'!$D:$D, MATCH($A206, 'UA-normalized'!$A:$A, 0))-INDEX('UA-normalized'!$E:$E, MATCH($A206, 'UA-normalized'!$A:$A, 0))&gt;0, -(1*INDEX('UA-normalized'!$D:$D, MATCH($A206, 'UA-normalized'!$A:$A, 0))-INDEX('UA-normalized'!$E:$E, MATCH($A206, 'UA-normalized'!$A:$A, 0))), 0), 0))+(IFERROR(IF(1*INDEX('KZ-normalized'!$D:$D, MATCH($A206, 'KZ-normalized'!$A:$A, 0))-INDEX('KZ-normalized'!$E:$E, MATCH($A206, 'KZ-normalized'!$A:$A, 0))&gt;0, -(1*INDEX('KZ-normalized'!$D:$D, MATCH($A206, 'KZ-normalized'!$A:$A, 0))-INDEX('KZ-normalized'!$E:$E, MATCH($A206, 'KZ-normalized'!$A:$A, 0))), 0), 0))+(IFERROR(IF(1*INDEX('UZ-normalized'!$D:$D, MATCH($A206, 'UZ-normalized'!$A:$A, 0))-INDEX('UZ-normalized'!$E:$E, MATCH($A206, 'UZ-normalized'!$A:$A, 0))&gt;0, -(1*INDEX('UZ-normalized'!$D:$D, MATCH($A206, 'UZ-normalized'!$A:$A, 0))-INDEX('UZ-normalized'!$E:$E, MATCH($A206, 'UZ-normalized'!$A:$A, 0))), 0), 0)))</f>
        <v>0</v>
      </c>
      <c r="P206" s="6">
        <f>MIN(0, N206+(IFERROR(IF(2*INDEX('UA-normalized'!$D:$D, MATCH($A206, 'UA-normalized'!$A:$A, 0))-INDEX('UA-normalized'!$E:$E, MATCH($A206, 'UA-normalized'!$A:$A, 0))&gt;0, -(2*INDEX('UA-normalized'!$D:$D, MATCH($A206, 'UA-normalized'!$A:$A, 0))-INDEX('UA-normalized'!$E:$E, MATCH($A206, 'UA-normalized'!$A:$A, 0))), 0), 0))+(IFERROR(IF(2*INDEX('KZ-normalized'!$D:$D, MATCH($A206, 'KZ-normalized'!$A:$A, 0))-INDEX('KZ-normalized'!$E:$E, MATCH($A206, 'KZ-normalized'!$A:$A, 0))&gt;0, -(2*INDEX('KZ-normalized'!$D:$D, MATCH($A206, 'KZ-normalized'!$A:$A, 0))-INDEX('KZ-normalized'!$E:$E, MATCH($A206, 'KZ-normalized'!$A:$A, 0))), 0), 0))+(IFERROR(IF(2*INDEX('UZ-normalized'!$D:$D, MATCH($A206, 'UZ-normalized'!$A:$A, 0))-INDEX('UZ-normalized'!$E:$E, MATCH($A206, 'UZ-normalized'!$A:$A, 0))&gt;0, -(2*INDEX('UZ-normalized'!$D:$D, MATCH($A206, 'UZ-normalized'!$A:$A, 0))-INDEX('UZ-normalized'!$E:$E, MATCH($A206, 'UZ-normalized'!$A:$A, 0))), 0), 0)))</f>
        <v>0</v>
      </c>
      <c r="Q206" s="6">
        <f>MIN(0, N206+(IFERROR(IF(3*INDEX('UA-normalized'!$D:$D, MATCH($A206, 'UA-normalized'!$A:$A, 0))-INDEX('UA-normalized'!$E:$E, MATCH($A206, 'UA-normalized'!$A:$A, 0))&gt;0, -(3*INDEX('UA-normalized'!$D:$D, MATCH($A206, 'UA-normalized'!$A:$A, 0))-INDEX('UA-normalized'!$E:$E, MATCH($A206, 'UA-normalized'!$A:$A, 0))), 0), 0))+(IFERROR(IF(3*INDEX('KZ-normalized'!$D:$D, MATCH($A206, 'KZ-normalized'!$A:$A, 0))-INDEX('KZ-normalized'!$E:$E, MATCH($A206, 'KZ-normalized'!$A:$A, 0))&gt;0, -(3*INDEX('KZ-normalized'!$D:$D, MATCH($A206, 'KZ-normalized'!$A:$A, 0))-INDEX('KZ-normalized'!$E:$E, MATCH($A206, 'KZ-normalized'!$A:$A, 0))), 0), 0))+(IFERROR(IF(3*INDEX('UZ-normalized'!$D:$D, MATCH($A206, 'UZ-normalized'!$A:$A, 0))-INDEX('UZ-normalized'!$E:$E, MATCH($A206, 'UZ-normalized'!$A:$A, 0))&gt;0, -(3*INDEX('UZ-normalized'!$D:$D, MATCH($A206, 'UZ-normalized'!$A:$A, 0))-INDEX('UZ-normalized'!$E:$E, MATCH($A206, 'UZ-normalized'!$A:$A, 0))), 0), 0)))</f>
        <v>0</v>
      </c>
      <c r="R206" s="6">
        <f>MIN(0, N206+(IFERROR(IF(4*INDEX('UA-normalized'!$D:$D, MATCH($A206, 'UA-normalized'!$A:$A, 0))-INDEX('UA-normalized'!$E:$E, MATCH($A206, 'UA-normalized'!$A:$A, 0))&gt;0, -(4*INDEX('UA-normalized'!$D:$D, MATCH($A206, 'UA-normalized'!$A:$A, 0))-INDEX('UA-normalized'!$E:$E, MATCH($A206, 'UA-normalized'!$A:$A, 0))), 0), 0))+(IFERROR(IF(4*INDEX('KZ-normalized'!$D:$D, MATCH($A206, 'KZ-normalized'!$A:$A, 0))-INDEX('KZ-normalized'!$E:$E, MATCH($A206, 'KZ-normalized'!$A:$A, 0))&gt;0, -(4*INDEX('KZ-normalized'!$D:$D, MATCH($A206, 'KZ-normalized'!$A:$A, 0))-INDEX('KZ-normalized'!$E:$E, MATCH($A206, 'KZ-normalized'!$A:$A, 0))), 0), 0))+(IFERROR(IF(4*INDEX('UZ-normalized'!$D:$D, MATCH($A206, 'UZ-normalized'!$A:$A, 0))-INDEX('UZ-normalized'!$E:$E, MATCH($A206, 'UZ-normalized'!$A:$A, 0))&gt;0, -(4*INDEX('UZ-normalized'!$D:$D, MATCH($A206, 'UZ-normalized'!$A:$A, 0))-INDEX('UZ-normalized'!$E:$E, MATCH($A206, 'UZ-normalized'!$A:$A, 0))), 0), 0)))</f>
        <v>0</v>
      </c>
      <c r="S206" s="6">
        <f>MIN(0, N206+(IFERROR(IF(5*INDEX('UA-normalized'!$D:$D, MATCH($A206, 'UA-normalized'!$A:$A, 0))-INDEX('UA-normalized'!$E:$E, MATCH($A206, 'UA-normalized'!$A:$A, 0))&gt;0, -(5*INDEX('UA-normalized'!$D:$D, MATCH($A206, 'UA-normalized'!$A:$A, 0))-INDEX('UA-normalized'!$E:$E, MATCH($A206, 'UA-normalized'!$A:$A, 0))), 0), 0))+(IFERROR(IF(5*INDEX('KZ-normalized'!$D:$D, MATCH($A206, 'KZ-normalized'!$A:$A, 0))-INDEX('KZ-normalized'!$E:$E, MATCH($A206, 'KZ-normalized'!$A:$A, 0))&gt;0, -(5*INDEX('KZ-normalized'!$D:$D, MATCH($A206, 'KZ-normalized'!$A:$A, 0))-INDEX('KZ-normalized'!$E:$E, MATCH($A206, 'KZ-normalized'!$A:$A, 0))), 0), 0))+(IFERROR(IF(5*INDEX('UZ-normalized'!$D:$D, MATCH($A206, 'UZ-normalized'!$A:$A, 0))-INDEX('UZ-normalized'!$E:$E, MATCH($A206, 'UZ-normalized'!$A:$A, 0))&gt;0, -(5*INDEX('UZ-normalized'!$D:$D, MATCH($A206, 'UZ-normalized'!$A:$A, 0))-INDEX('UZ-normalized'!$E:$E, MATCH($A206, 'UZ-normalized'!$A:$A, 0))), 0), 0)))</f>
        <v>-48</v>
      </c>
      <c r="T206" s="6">
        <f>MIN(0, N206+(IFERROR(IF(6*INDEX('UA-normalized'!$D:$D, MATCH($A206, 'UA-normalized'!$A:$A, 0))-INDEX('UA-normalized'!$E:$E, MATCH($A206, 'UA-normalized'!$A:$A, 0))&gt;0, -(6*INDEX('UA-normalized'!$D:$D, MATCH($A206, 'UA-normalized'!$A:$A, 0))-INDEX('UA-normalized'!$E:$E, MATCH($A206, 'UA-normalized'!$A:$A, 0))), 0), 0))+(IFERROR(IF(6*INDEX('KZ-normalized'!$D:$D, MATCH($A206, 'KZ-normalized'!$A:$A, 0))-INDEX('KZ-normalized'!$E:$E, MATCH($A206, 'KZ-normalized'!$A:$A, 0))&gt;0, -(6*INDEX('KZ-normalized'!$D:$D, MATCH($A206, 'KZ-normalized'!$A:$A, 0))-INDEX('KZ-normalized'!$E:$E, MATCH($A206, 'KZ-normalized'!$A:$A, 0))), 0), 0))+(IFERROR(IF(6*INDEX('UZ-normalized'!$D:$D, MATCH($A206, 'UZ-normalized'!$A:$A, 0))-INDEX('UZ-normalized'!$E:$E, MATCH($A206, 'UZ-normalized'!$A:$A, 0))&gt;0, -(6*INDEX('UZ-normalized'!$D:$D, MATCH($A206, 'UZ-normalized'!$A:$A, 0))-INDEX('UZ-normalized'!$E:$E, MATCH($A206, 'UZ-normalized'!$A:$A, 0))), 0), 0)))</f>
        <v>-247</v>
      </c>
      <c r="U206" s="6">
        <f>MIN(0, N206+(IFERROR(IF(7*INDEX('UA-normalized'!$D:$D, MATCH($A206, 'UA-normalized'!$A:$A, 0))-INDEX('UA-normalized'!$E:$E, MATCH($A206, 'UA-normalized'!$A:$A, 0))&gt;0, -(7*INDEX('UA-normalized'!$D:$D, MATCH($A206, 'UA-normalized'!$A:$A, 0))-INDEX('UA-normalized'!$E:$E, MATCH($A206, 'UA-normalized'!$A:$A, 0))), 0), 0))+(IFERROR(IF(7*INDEX('KZ-normalized'!$D:$D, MATCH($A206, 'KZ-normalized'!$A:$A, 0))-INDEX('KZ-normalized'!$E:$E, MATCH($A206, 'KZ-normalized'!$A:$A, 0))&gt;0, -(7*INDEX('KZ-normalized'!$D:$D, MATCH($A206, 'KZ-normalized'!$A:$A, 0))-INDEX('KZ-normalized'!$E:$E, MATCH($A206, 'KZ-normalized'!$A:$A, 0))), 0), 0))+(IFERROR(IF(7*INDEX('UZ-normalized'!$D:$D, MATCH($A206, 'UZ-normalized'!$A:$A, 0))-INDEX('UZ-normalized'!$E:$E, MATCH($A206, 'UZ-normalized'!$A:$A, 0))&gt;0, -(7*INDEX('UZ-normalized'!$D:$D, MATCH($A206, 'UZ-normalized'!$A:$A, 0))-INDEX('UZ-normalized'!$E:$E, MATCH($A206, 'UZ-normalized'!$A:$A, 0))), 0), 0)))</f>
        <v>-467.5</v>
      </c>
      <c r="V206" s="6">
        <f>MIN(0, N206+(IFERROR(IF(8*INDEX('UA-normalized'!$D:$D, MATCH($A206, 'UA-normalized'!$A:$A, 0))-INDEX('UA-normalized'!$E:$E, MATCH($A206, 'UA-normalized'!$A:$A, 0))&gt;0, -(8*INDEX('UA-normalized'!$D:$D, MATCH($A206, 'UA-normalized'!$A:$A, 0))-INDEX('UA-normalized'!$E:$E, MATCH($A206, 'UA-normalized'!$A:$A, 0))), 0), 0))+(IFERROR(IF(8*INDEX('KZ-normalized'!$D:$D, MATCH($A206, 'KZ-normalized'!$A:$A, 0))-INDEX('KZ-normalized'!$E:$E, MATCH($A206, 'KZ-normalized'!$A:$A, 0))&gt;0, -(8*INDEX('KZ-normalized'!$D:$D, MATCH($A206, 'KZ-normalized'!$A:$A, 0))-INDEX('KZ-normalized'!$E:$E, MATCH($A206, 'KZ-normalized'!$A:$A, 0))), 0), 0))+(IFERROR(IF(8*INDEX('UZ-normalized'!$D:$D, MATCH($A206, 'UZ-normalized'!$A:$A, 0))-INDEX('UZ-normalized'!$E:$E, MATCH($A206, 'UZ-normalized'!$A:$A, 0))&gt;0, -(8*INDEX('UZ-normalized'!$D:$D, MATCH($A206, 'UZ-normalized'!$A:$A, 0))-INDEX('UZ-normalized'!$E:$E, MATCH($A206, 'UZ-normalized'!$A:$A, 0))), 0), 0)))</f>
        <v>-688</v>
      </c>
      <c r="W206" s="6">
        <f>MIN(0, N206+(IFERROR(IF(9*INDEX('UA-normalized'!$D:$D, MATCH($A206, 'UA-normalized'!$A:$A, 0))-INDEX('UA-normalized'!$E:$E, MATCH($A206, 'UA-normalized'!$A:$A, 0))&gt;0, -(9*INDEX('UA-normalized'!$D:$D, MATCH($A206, 'UA-normalized'!$A:$A, 0))-INDEX('UA-normalized'!$E:$E, MATCH($A206, 'UA-normalized'!$A:$A, 0))), 0), 0))+(IFERROR(IF(9*INDEX('KZ-normalized'!$D:$D, MATCH($A206, 'KZ-normalized'!$A:$A, 0))-INDEX('KZ-normalized'!$E:$E, MATCH($A206, 'KZ-normalized'!$A:$A, 0))&gt;0, -(9*INDEX('KZ-normalized'!$D:$D, MATCH($A206, 'KZ-normalized'!$A:$A, 0))-INDEX('KZ-normalized'!$E:$E, MATCH($A206, 'KZ-normalized'!$A:$A, 0))), 0), 0))+(IFERROR(IF(9*INDEX('UZ-normalized'!$D:$D, MATCH($A206, 'UZ-normalized'!$A:$A, 0))-INDEX('UZ-normalized'!$E:$E, MATCH($A206, 'UZ-normalized'!$A:$A, 0))&gt;0, -(9*INDEX('UZ-normalized'!$D:$D, MATCH($A206, 'UZ-normalized'!$A:$A, 0))-INDEX('UZ-normalized'!$E:$E, MATCH($A206, 'UZ-normalized'!$A:$A, 0))), 0), 0)))</f>
        <v>-908.5</v>
      </c>
      <c r="X206" s="6">
        <f>MIN(0, N206+(IFERROR(IF(10*INDEX('UA-normalized'!$D:$D, MATCH($A206, 'UA-normalized'!$A:$A, 0))-INDEX('UA-normalized'!$E:$E, MATCH($A206, 'UA-normalized'!$A:$A, 0))&gt;0, -(10*INDEX('UA-normalized'!$D:$D, MATCH($A206, 'UA-normalized'!$A:$A, 0))-INDEX('UA-normalized'!$E:$E, MATCH($A206, 'UA-normalized'!$A:$A, 0))), 0), 0))+(IFERROR(IF(10*INDEX('KZ-normalized'!$D:$D, MATCH($A206, 'KZ-normalized'!$A:$A, 0))-INDEX('KZ-normalized'!$E:$E, MATCH($A206, 'KZ-normalized'!$A:$A, 0))&gt;0, -(10*INDEX('KZ-normalized'!$D:$D, MATCH($A206, 'KZ-normalized'!$A:$A, 0))-INDEX('KZ-normalized'!$E:$E, MATCH($A206, 'KZ-normalized'!$A:$A, 0))), 0), 0))+(IFERROR(IF(10*INDEX('UZ-normalized'!$D:$D, MATCH($A206, 'UZ-normalized'!$A:$A, 0))-INDEX('UZ-normalized'!$E:$E, MATCH($A206, 'UZ-normalized'!$A:$A, 0))&gt;0, -(10*INDEX('UZ-normalized'!$D:$D, MATCH($A206, 'UZ-normalized'!$A:$A, 0))-INDEX('UZ-normalized'!$E:$E, MATCH($A206, 'UZ-normalized'!$A:$A, 0))), 0), 0)))</f>
        <v>-1129</v>
      </c>
      <c r="Y206" s="6">
        <f>MIN(0, N206+(IFERROR(IF(11*INDEX('UA-normalized'!$D:$D, MATCH($A206, 'UA-normalized'!$A:$A, 0))-INDEX('UA-normalized'!$E:$E, MATCH($A206, 'UA-normalized'!$A:$A, 0))&gt;0, -(11*INDEX('UA-normalized'!$D:$D, MATCH($A206, 'UA-normalized'!$A:$A, 0))-INDEX('UA-normalized'!$E:$E, MATCH($A206, 'UA-normalized'!$A:$A, 0))), 0), 0))+(IFERROR(IF(11*INDEX('KZ-normalized'!$D:$D, MATCH($A206, 'KZ-normalized'!$A:$A, 0))-INDEX('KZ-normalized'!$E:$E, MATCH($A206, 'KZ-normalized'!$A:$A, 0))&gt;0, -(11*INDEX('KZ-normalized'!$D:$D, MATCH($A206, 'KZ-normalized'!$A:$A, 0))-INDEX('KZ-normalized'!$E:$E, MATCH($A206, 'KZ-normalized'!$A:$A, 0))), 0), 0))+(IFERROR(IF(11*INDEX('UZ-normalized'!$D:$D, MATCH($A206, 'UZ-normalized'!$A:$A, 0))-INDEX('UZ-normalized'!$E:$E, MATCH($A206, 'UZ-normalized'!$A:$A, 0))&gt;0, -(11*INDEX('UZ-normalized'!$D:$D, MATCH($A206, 'UZ-normalized'!$A:$A, 0))-INDEX('UZ-normalized'!$E:$E, MATCH($A206, 'UZ-normalized'!$A:$A, 0))), 0), 0)))</f>
        <v>-1349.5</v>
      </c>
      <c r="Z206" s="6">
        <f>MIN(0, N206+(IFERROR(IF(12*INDEX('UA-normalized'!$D:$D, MATCH($A206, 'UA-normalized'!$A:$A, 0))-INDEX('UA-normalized'!$E:$E, MATCH($A206, 'UA-normalized'!$A:$A, 0))&gt;0, -(12*INDEX('UA-normalized'!$D:$D, MATCH($A206, 'UA-normalized'!$A:$A, 0))-INDEX('UA-normalized'!$E:$E, MATCH($A206, 'UA-normalized'!$A:$A, 0))), 0), 0))+(IFERROR(IF(12*INDEX('KZ-normalized'!$D:$D, MATCH($A206, 'KZ-normalized'!$A:$A, 0))-INDEX('KZ-normalized'!$E:$E, MATCH($A206, 'KZ-normalized'!$A:$A, 0))&gt;0, -(12*INDEX('KZ-normalized'!$D:$D, MATCH($A206, 'KZ-normalized'!$A:$A, 0))-INDEX('KZ-normalized'!$E:$E, MATCH($A206, 'KZ-normalized'!$A:$A, 0))), 0), 0))+(IFERROR(IF(12*INDEX('UZ-normalized'!$D:$D, MATCH($A206, 'UZ-normalized'!$A:$A, 0))-INDEX('UZ-normalized'!$E:$E, MATCH($A206, 'UZ-normalized'!$A:$A, 0))&gt;0, -(12*INDEX('UZ-normalized'!$D:$D, MATCH($A206, 'UZ-normalized'!$A:$A, 0))-INDEX('UZ-normalized'!$E:$E, MATCH($A206, 'UZ-normalized'!$A:$A, 0))), 0), 0)))</f>
        <v>-1570</v>
      </c>
      <c r="AA206" s="6">
        <f>MIN(0, N206+(IFERROR(IF(13*INDEX('UA-normalized'!$D:$D, MATCH($A206, 'UA-normalized'!$A:$A, 0))-INDEX('UA-normalized'!$E:$E, MATCH($A206, 'UA-normalized'!$A:$A, 0))&gt;0, -(13*INDEX('UA-normalized'!$D:$D, MATCH($A206, 'UA-normalized'!$A:$A, 0))-INDEX('UA-normalized'!$E:$E, MATCH($A206, 'UA-normalized'!$A:$A, 0))), 0), 0))+(IFERROR(IF(13*INDEX('KZ-normalized'!$D:$D, MATCH($A206, 'KZ-normalized'!$A:$A, 0))-INDEX('KZ-normalized'!$E:$E, MATCH($A206, 'KZ-normalized'!$A:$A, 0))&gt;0, -(13*INDEX('KZ-normalized'!$D:$D, MATCH($A206, 'KZ-normalized'!$A:$A, 0))-INDEX('KZ-normalized'!$E:$E, MATCH($A206, 'KZ-normalized'!$A:$A, 0))), 0), 0))+(IFERROR(IF(13*INDEX('UZ-normalized'!$D:$D, MATCH($A206, 'UZ-normalized'!$A:$A, 0))-INDEX('UZ-normalized'!$E:$E, MATCH($A206, 'UZ-normalized'!$A:$A, 0))&gt;0, -(13*INDEX('UZ-normalized'!$D:$D, MATCH($A206, 'UZ-normalized'!$A:$A, 0))-INDEX('UZ-normalized'!$E:$E, MATCH($A206, 'UZ-normalized'!$A:$A, 0))), 0), 0)))</f>
        <v>-1790.5</v>
      </c>
      <c r="AB206" s="6">
        <f>MIN(0, N206+(IFERROR(IF(14*INDEX('UA-normalized'!$D:$D, MATCH($A206, 'UA-normalized'!$A:$A, 0))-INDEX('UA-normalized'!$E:$E, MATCH($A206, 'UA-normalized'!$A:$A, 0))&gt;0, -(14*INDEX('UA-normalized'!$D:$D, MATCH($A206, 'UA-normalized'!$A:$A, 0))-INDEX('UA-normalized'!$E:$E, MATCH($A206, 'UA-normalized'!$A:$A, 0))), 0), 0))+(IFERROR(IF(14*INDEX('KZ-normalized'!$D:$D, MATCH($A206, 'KZ-normalized'!$A:$A, 0))-INDEX('KZ-normalized'!$E:$E, MATCH($A206, 'KZ-normalized'!$A:$A, 0))&gt;0, -(14*INDEX('KZ-normalized'!$D:$D, MATCH($A206, 'KZ-normalized'!$A:$A, 0))-INDEX('KZ-normalized'!$E:$E, MATCH($A206, 'KZ-normalized'!$A:$A, 0))), 0), 0))+(IFERROR(IF(14*INDEX('UZ-normalized'!$D:$D, MATCH($A206, 'UZ-normalized'!$A:$A, 0))-INDEX('UZ-normalized'!$E:$E, MATCH($A206, 'UZ-normalized'!$A:$A, 0))&gt;0, -(14*INDEX('UZ-normalized'!$D:$D, MATCH($A206, 'UZ-normalized'!$A:$A, 0))-INDEX('UZ-normalized'!$E:$E, MATCH($A206, 'UZ-normalized'!$A:$A, 0))), 0), 0)))</f>
        <v>-2011</v>
      </c>
      <c r="AC206" s="6">
        <f>MIN(0, N206+(IFERROR(IF(15*INDEX('UA-normalized'!$D:$D, MATCH($A206, 'UA-normalized'!$A:$A, 0))-INDEX('UA-normalized'!$E:$E, MATCH($A206, 'UA-normalized'!$A:$A, 0))&gt;0, -(15*INDEX('UA-normalized'!$D:$D, MATCH($A206, 'UA-normalized'!$A:$A, 0))-INDEX('UA-normalized'!$E:$E, MATCH($A206, 'UA-normalized'!$A:$A, 0))), 0), 0))+(IFERROR(IF(15*INDEX('KZ-normalized'!$D:$D, MATCH($A206, 'KZ-normalized'!$A:$A, 0))-INDEX('KZ-normalized'!$E:$E, MATCH($A206, 'KZ-normalized'!$A:$A, 0))&gt;0, -(15*INDEX('KZ-normalized'!$D:$D, MATCH($A206, 'KZ-normalized'!$A:$A, 0))-INDEX('KZ-normalized'!$E:$E, MATCH($A206, 'KZ-normalized'!$A:$A, 0))), 0), 0))+(IFERROR(IF(15*INDEX('UZ-normalized'!$D:$D, MATCH($A206, 'UZ-normalized'!$A:$A, 0))-INDEX('UZ-normalized'!$E:$E, MATCH($A206, 'UZ-normalized'!$A:$A, 0))&gt;0, -(15*INDEX('UZ-normalized'!$D:$D, MATCH($A206, 'UZ-normalized'!$A:$A, 0))-INDEX('UZ-normalized'!$E:$E, MATCH($A206, 'UZ-normalized'!$A:$A, 0))), 0), 0)))</f>
        <v>-2231.5</v>
      </c>
      <c r="AD206" s="6">
        <f>MIN(0, N206+(IFERROR(IF(16*INDEX('UA-normalized'!$D:$D, MATCH($A206, 'UA-normalized'!$A:$A, 0))-INDEX('UA-normalized'!$E:$E, MATCH($A206, 'UA-normalized'!$A:$A, 0))&gt;0, -(16*INDEX('UA-normalized'!$D:$D, MATCH($A206, 'UA-normalized'!$A:$A, 0))-INDEX('UA-normalized'!$E:$E, MATCH($A206, 'UA-normalized'!$A:$A, 0))), 0), 0))+(IFERROR(IF(16*INDEX('KZ-normalized'!$D:$D, MATCH($A206, 'KZ-normalized'!$A:$A, 0))-INDEX('KZ-normalized'!$E:$E, MATCH($A206, 'KZ-normalized'!$A:$A, 0))&gt;0, -(16*INDEX('KZ-normalized'!$D:$D, MATCH($A206, 'KZ-normalized'!$A:$A, 0))-INDEX('KZ-normalized'!$E:$E, MATCH($A206, 'KZ-normalized'!$A:$A, 0))), 0), 0))+(IFERROR(IF(16*INDEX('UZ-normalized'!$D:$D, MATCH($A206, 'UZ-normalized'!$A:$A, 0))-INDEX('UZ-normalized'!$E:$E, MATCH($A206, 'UZ-normalized'!$A:$A, 0))&gt;0, -(16*INDEX('UZ-normalized'!$D:$D, MATCH($A206, 'UZ-normalized'!$A:$A, 0))-INDEX('UZ-normalized'!$E:$E, MATCH($A206, 'UZ-normalized'!$A:$A, 0))), 0), 0)))</f>
        <v>-2452</v>
      </c>
      <c r="AE206" s="6">
        <f>MIN(0, N206+(IFERROR(IF(17*INDEX('UA-normalized'!$D:$D, MATCH($A206, 'UA-normalized'!$A:$A, 0))-INDEX('UA-normalized'!$E:$E, MATCH($A206, 'UA-normalized'!$A:$A, 0))&gt;0, -(17*INDEX('UA-normalized'!$D:$D, MATCH($A206, 'UA-normalized'!$A:$A, 0))-INDEX('UA-normalized'!$E:$E, MATCH($A206, 'UA-normalized'!$A:$A, 0))), 0), 0))+(IFERROR(IF(17*INDEX('KZ-normalized'!$D:$D, MATCH($A206, 'KZ-normalized'!$A:$A, 0))-INDEX('KZ-normalized'!$E:$E, MATCH($A206, 'KZ-normalized'!$A:$A, 0))&gt;0, -(17*INDEX('KZ-normalized'!$D:$D, MATCH($A206, 'KZ-normalized'!$A:$A, 0))-INDEX('KZ-normalized'!$E:$E, MATCH($A206, 'KZ-normalized'!$A:$A, 0))), 0), 0))+(IFERROR(IF(17*INDEX('UZ-normalized'!$D:$D, MATCH($A206, 'UZ-normalized'!$A:$A, 0))-INDEX('UZ-normalized'!$E:$E, MATCH($A206, 'UZ-normalized'!$A:$A, 0))&gt;0, -(17*INDEX('UZ-normalized'!$D:$D, MATCH($A206, 'UZ-normalized'!$A:$A, 0))-INDEX('UZ-normalized'!$E:$E, MATCH($A206, 'UZ-normalized'!$A:$A, 0))), 0), 0)))</f>
        <v>-2672.5</v>
      </c>
      <c r="AF206" s="6">
        <f>MIN(0, N206+(IFERROR(IF(18*INDEX('UA-normalized'!$D:$D, MATCH($A206, 'UA-normalized'!$A:$A, 0))-INDEX('UA-normalized'!$E:$E, MATCH($A206, 'UA-normalized'!$A:$A, 0))&gt;0, -(18*INDEX('UA-normalized'!$D:$D, MATCH($A206, 'UA-normalized'!$A:$A, 0))-INDEX('UA-normalized'!$E:$E, MATCH($A206, 'UA-normalized'!$A:$A, 0))), 0), 0))+(IFERROR(IF(18*INDEX('KZ-normalized'!$D:$D, MATCH($A206, 'KZ-normalized'!$A:$A, 0))-INDEX('KZ-normalized'!$E:$E, MATCH($A206, 'KZ-normalized'!$A:$A, 0))&gt;0, -(18*INDEX('KZ-normalized'!$D:$D, MATCH($A206, 'KZ-normalized'!$A:$A, 0))-INDEX('KZ-normalized'!$E:$E, MATCH($A206, 'KZ-normalized'!$A:$A, 0))), 0), 0))+(IFERROR(IF(18*INDEX('UZ-normalized'!$D:$D, MATCH($A206, 'UZ-normalized'!$A:$A, 0))-INDEX('UZ-normalized'!$E:$E, MATCH($A206, 'UZ-normalized'!$A:$A, 0))&gt;0, -(18*INDEX('UZ-normalized'!$D:$D, MATCH($A206, 'UZ-normalized'!$A:$A, 0))-INDEX('UZ-normalized'!$E:$E, MATCH($A206, 'UZ-normalized'!$A:$A, 0))), 0), 0)))</f>
        <v>-2893</v>
      </c>
      <c r="AG206" s="6">
        <f>MIN(0, N206+(IFERROR(IF(19*INDEX('UA-normalized'!$D:$D, MATCH($A206, 'UA-normalized'!$A:$A, 0))-INDEX('UA-normalized'!$E:$E, MATCH($A206, 'UA-normalized'!$A:$A, 0))&gt;0, -(19*INDEX('UA-normalized'!$D:$D, MATCH($A206, 'UA-normalized'!$A:$A, 0))-INDEX('UA-normalized'!$E:$E, MATCH($A206, 'UA-normalized'!$A:$A, 0))), 0), 0))+(IFERROR(IF(19*INDEX('KZ-normalized'!$D:$D, MATCH($A206, 'KZ-normalized'!$A:$A, 0))-INDEX('KZ-normalized'!$E:$E, MATCH($A206, 'KZ-normalized'!$A:$A, 0))&gt;0, -(19*INDEX('KZ-normalized'!$D:$D, MATCH($A206, 'KZ-normalized'!$A:$A, 0))-INDEX('KZ-normalized'!$E:$E, MATCH($A206, 'KZ-normalized'!$A:$A, 0))), 0), 0))+(IFERROR(IF(19*INDEX('UZ-normalized'!$D:$D, MATCH($A206, 'UZ-normalized'!$A:$A, 0))-INDEX('UZ-normalized'!$E:$E, MATCH($A206, 'UZ-normalized'!$A:$A, 0))&gt;0, -(19*INDEX('UZ-normalized'!$D:$D, MATCH($A206, 'UZ-normalized'!$A:$A, 0))-INDEX('UZ-normalized'!$E:$E, MATCH($A206, 'UZ-normalized'!$A:$A, 0))), 0), 0)))</f>
        <v>-3113.5</v>
      </c>
      <c r="AH206" s="6">
        <f>MIN(0, N206+(IFERROR(IF(20*INDEX('UA-normalized'!$D:$D, MATCH($A206, 'UA-normalized'!$A:$A, 0))-INDEX('UA-normalized'!$E:$E, MATCH($A206, 'UA-normalized'!$A:$A, 0))&gt;0, -(20*INDEX('UA-normalized'!$D:$D, MATCH($A206, 'UA-normalized'!$A:$A, 0))-INDEX('UA-normalized'!$E:$E, MATCH($A206, 'UA-normalized'!$A:$A, 0))), 0), 0))+(IFERROR(IF(20*INDEX('KZ-normalized'!$D:$D, MATCH($A206, 'KZ-normalized'!$A:$A, 0))-INDEX('KZ-normalized'!$E:$E, MATCH($A206, 'KZ-normalized'!$A:$A, 0))&gt;0, -(20*INDEX('KZ-normalized'!$D:$D, MATCH($A206, 'KZ-normalized'!$A:$A, 0))-INDEX('KZ-normalized'!$E:$E, MATCH($A206, 'KZ-normalized'!$A:$A, 0))), 0), 0))+(IFERROR(IF(20*INDEX('UZ-normalized'!$D:$D, MATCH($A206, 'UZ-normalized'!$A:$A, 0))-INDEX('UZ-normalized'!$E:$E, MATCH($A206, 'UZ-normalized'!$A:$A, 0))&gt;0, -(20*INDEX('UZ-normalized'!$D:$D, MATCH($A206, 'UZ-normalized'!$A:$A, 0))-INDEX('UZ-normalized'!$E:$E, MATCH($A206, 'UZ-normalized'!$A:$A, 0))), 0), 0)))</f>
        <v>-3334</v>
      </c>
      <c r="AI206" s="6">
        <f>MIN(0, N206+(IFERROR(IF(21*INDEX('UA-normalized'!$D:$D, MATCH($A206, 'UA-normalized'!$A:$A, 0))-INDEX('UA-normalized'!$E:$E, MATCH($A206, 'UA-normalized'!$A:$A, 0))&gt;0, -(21*INDEX('UA-normalized'!$D:$D, MATCH($A206, 'UA-normalized'!$A:$A, 0))-INDEX('UA-normalized'!$E:$E, MATCH($A206, 'UA-normalized'!$A:$A, 0))), 0), 0))+(IFERROR(IF(21*INDEX('KZ-normalized'!$D:$D, MATCH($A206, 'KZ-normalized'!$A:$A, 0))-INDEX('KZ-normalized'!$E:$E, MATCH($A206, 'KZ-normalized'!$A:$A, 0))&gt;0, -(21*INDEX('KZ-normalized'!$D:$D, MATCH($A206, 'KZ-normalized'!$A:$A, 0))-INDEX('KZ-normalized'!$E:$E, MATCH($A206, 'KZ-normalized'!$A:$A, 0))), 0), 0))+(IFERROR(IF(21*INDEX('UZ-normalized'!$D:$D, MATCH($A206, 'UZ-normalized'!$A:$A, 0))-INDEX('UZ-normalized'!$E:$E, MATCH($A206, 'UZ-normalized'!$A:$A, 0))&gt;0, -(21*INDEX('UZ-normalized'!$D:$D, MATCH($A206, 'UZ-normalized'!$A:$A, 0))-INDEX('UZ-normalized'!$E:$E, MATCH($A206, 'UZ-normalized'!$A:$A, 0))), 0), 0)))</f>
        <v>-3554.5</v>
      </c>
      <c r="AJ206" s="6">
        <f>MIN(0, N206+(IFERROR(IF(22*INDEX('UA-normalized'!$D:$D, MATCH($A206, 'UA-normalized'!$A:$A, 0))-INDEX('UA-normalized'!$E:$E, MATCH($A206, 'UA-normalized'!$A:$A, 0))&gt;0, -(22*INDEX('UA-normalized'!$D:$D, MATCH($A206, 'UA-normalized'!$A:$A, 0))-INDEX('UA-normalized'!$E:$E, MATCH($A206, 'UA-normalized'!$A:$A, 0))), 0), 0))+(IFERROR(IF(22*INDEX('KZ-normalized'!$D:$D, MATCH($A206, 'KZ-normalized'!$A:$A, 0))-INDEX('KZ-normalized'!$E:$E, MATCH($A206, 'KZ-normalized'!$A:$A, 0))&gt;0, -(22*INDEX('KZ-normalized'!$D:$D, MATCH($A206, 'KZ-normalized'!$A:$A, 0))-INDEX('KZ-normalized'!$E:$E, MATCH($A206, 'KZ-normalized'!$A:$A, 0))), 0), 0))+(IFERROR(IF(22*INDEX('UZ-normalized'!$D:$D, MATCH($A206, 'UZ-normalized'!$A:$A, 0))-INDEX('UZ-normalized'!$E:$E, MATCH($A206, 'UZ-normalized'!$A:$A, 0))&gt;0, -(22*INDEX('UZ-normalized'!$D:$D, MATCH($A206, 'UZ-normalized'!$A:$A, 0))-INDEX('UZ-normalized'!$E:$E, MATCH($A206, 'UZ-normalized'!$A:$A, 0))), 0), 0)))</f>
        <v>-3775</v>
      </c>
      <c r="AK206" s="6">
        <f>MIN(0, N206+(IFERROR(IF(23*INDEX('UA-normalized'!$D:$D, MATCH($A206, 'UA-normalized'!$A:$A, 0))-INDEX('UA-normalized'!$E:$E, MATCH($A206, 'UA-normalized'!$A:$A, 0))&gt;0, -(23*INDEX('UA-normalized'!$D:$D, MATCH($A206, 'UA-normalized'!$A:$A, 0))-INDEX('UA-normalized'!$E:$E, MATCH($A206, 'UA-normalized'!$A:$A, 0))), 0), 0))+(IFERROR(IF(23*INDEX('KZ-normalized'!$D:$D, MATCH($A206, 'KZ-normalized'!$A:$A, 0))-INDEX('KZ-normalized'!$E:$E, MATCH($A206, 'KZ-normalized'!$A:$A, 0))&gt;0, -(23*INDEX('KZ-normalized'!$D:$D, MATCH($A206, 'KZ-normalized'!$A:$A, 0))-INDEX('KZ-normalized'!$E:$E, MATCH($A206, 'KZ-normalized'!$A:$A, 0))), 0), 0))+(IFERROR(IF(23*INDEX('UZ-normalized'!$D:$D, MATCH($A206, 'UZ-normalized'!$A:$A, 0))-INDEX('UZ-normalized'!$E:$E, MATCH($A206, 'UZ-normalized'!$A:$A, 0))&gt;0, -(23*INDEX('UZ-normalized'!$D:$D, MATCH($A206, 'UZ-normalized'!$A:$A, 0))-INDEX('UZ-normalized'!$E:$E, MATCH($A206, 'UZ-normalized'!$A:$A, 0))), 0), 0)))</f>
        <v>-3995.5</v>
      </c>
      <c r="AL206" s="6">
        <f>MIN(0, N206+(IFERROR(IF(24*INDEX('UA-normalized'!$D:$D, MATCH($A206, 'UA-normalized'!$A:$A, 0))-INDEX('UA-normalized'!$E:$E, MATCH($A206, 'UA-normalized'!$A:$A, 0))&gt;0, -(24*INDEX('UA-normalized'!$D:$D, MATCH($A206, 'UA-normalized'!$A:$A, 0))-INDEX('UA-normalized'!$E:$E, MATCH($A206, 'UA-normalized'!$A:$A, 0))), 0), 0))+(IFERROR(IF(24*INDEX('KZ-normalized'!$D:$D, MATCH($A206, 'KZ-normalized'!$A:$A, 0))-INDEX('KZ-normalized'!$E:$E, MATCH($A206, 'KZ-normalized'!$A:$A, 0))&gt;0, -(24*INDEX('KZ-normalized'!$D:$D, MATCH($A206, 'KZ-normalized'!$A:$A, 0))-INDEX('KZ-normalized'!$E:$E, MATCH($A206, 'KZ-normalized'!$A:$A, 0))), 0), 0))+(IFERROR(IF(24*INDEX('UZ-normalized'!$D:$D, MATCH($A206, 'UZ-normalized'!$A:$A, 0))-INDEX('UZ-normalized'!$E:$E, MATCH($A206, 'UZ-normalized'!$A:$A, 0))&gt;0, -(24*INDEX('UZ-normalized'!$D:$D, MATCH($A206, 'UZ-normalized'!$A:$A, 0))-INDEX('UZ-normalized'!$E:$E, MATCH($A206, 'UZ-normalized'!$A:$A, 0))), 0), 0)))</f>
        <v>-4216</v>
      </c>
      <c r="AM206" s="6">
        <f>MIN(0, N206+(IFERROR(IF(25*INDEX('UA-normalized'!$D:$D, MATCH($A206, 'UA-normalized'!$A:$A, 0))-INDEX('UA-normalized'!$E:$E, MATCH($A206, 'UA-normalized'!$A:$A, 0))&gt;0, -(25*INDEX('UA-normalized'!$D:$D, MATCH($A206, 'UA-normalized'!$A:$A, 0))-INDEX('UA-normalized'!$E:$E, MATCH($A206, 'UA-normalized'!$A:$A, 0))), 0), 0))+(IFERROR(IF(25*INDEX('KZ-normalized'!$D:$D, MATCH($A206, 'KZ-normalized'!$A:$A, 0))-INDEX('KZ-normalized'!$E:$E, MATCH($A206, 'KZ-normalized'!$A:$A, 0))&gt;0, -(25*INDEX('KZ-normalized'!$D:$D, MATCH($A206, 'KZ-normalized'!$A:$A, 0))-INDEX('KZ-normalized'!$E:$E, MATCH($A206, 'KZ-normalized'!$A:$A, 0))), 0), 0))+(IFERROR(IF(25*INDEX('UZ-normalized'!$D:$D, MATCH($A206, 'UZ-normalized'!$A:$A, 0))-INDEX('UZ-normalized'!$E:$E, MATCH($A206, 'UZ-normalized'!$A:$A, 0))&gt;0, -(25*INDEX('UZ-normalized'!$D:$D, MATCH($A206, 'UZ-normalized'!$A:$A, 0))-INDEX('UZ-normalized'!$E:$E, MATCH($A206, 'UZ-normalized'!$A:$A, 0))), 0), 0)))</f>
        <v>-4436.5</v>
      </c>
      <c r="AN206" s="6">
        <f>MIN(0, N206+(IFERROR(IF(26*INDEX('UA-normalized'!$D:$D, MATCH($A206, 'UA-normalized'!$A:$A, 0))-INDEX('UA-normalized'!$E:$E, MATCH($A206, 'UA-normalized'!$A:$A, 0))&gt;0, -(26*INDEX('UA-normalized'!$D:$D, MATCH($A206, 'UA-normalized'!$A:$A, 0))-INDEX('UA-normalized'!$E:$E, MATCH($A206, 'UA-normalized'!$A:$A, 0))), 0), 0))+(IFERROR(IF(26*INDEX('KZ-normalized'!$D:$D, MATCH($A206, 'KZ-normalized'!$A:$A, 0))-INDEX('KZ-normalized'!$E:$E, MATCH($A206, 'KZ-normalized'!$A:$A, 0))&gt;0, -(26*INDEX('KZ-normalized'!$D:$D, MATCH($A206, 'KZ-normalized'!$A:$A, 0))-INDEX('KZ-normalized'!$E:$E, MATCH($A206, 'KZ-normalized'!$A:$A, 0))), 0), 0))+(IFERROR(IF(26*INDEX('UZ-normalized'!$D:$D, MATCH($A206, 'UZ-normalized'!$A:$A, 0))-INDEX('UZ-normalized'!$E:$E, MATCH($A206, 'UZ-normalized'!$A:$A, 0))&gt;0, -(26*INDEX('UZ-normalized'!$D:$D, MATCH($A206, 'UZ-normalized'!$A:$A, 0))-INDEX('UZ-normalized'!$E:$E, MATCH($A206, 'UZ-normalized'!$A:$A, 0))), 0), 0)))</f>
        <v>-4657</v>
      </c>
      <c r="AO206" s="6">
        <f>MIN(0, N206+(IFERROR(IF(27*INDEX('UA-normalized'!$D:$D, MATCH($A206, 'UA-normalized'!$A:$A, 0))-INDEX('UA-normalized'!$E:$E, MATCH($A206, 'UA-normalized'!$A:$A, 0))&gt;0, -(27*INDEX('UA-normalized'!$D:$D, MATCH($A206, 'UA-normalized'!$A:$A, 0))-INDEX('UA-normalized'!$E:$E, MATCH($A206, 'UA-normalized'!$A:$A, 0))), 0), 0))+(IFERROR(IF(27*INDEX('KZ-normalized'!$D:$D, MATCH($A206, 'KZ-normalized'!$A:$A, 0))-INDEX('KZ-normalized'!$E:$E, MATCH($A206, 'KZ-normalized'!$A:$A, 0))&gt;0, -(27*INDEX('KZ-normalized'!$D:$D, MATCH($A206, 'KZ-normalized'!$A:$A, 0))-INDEX('KZ-normalized'!$E:$E, MATCH($A206, 'KZ-normalized'!$A:$A, 0))), 0), 0))+(IFERROR(IF(27*INDEX('UZ-normalized'!$D:$D, MATCH($A206, 'UZ-normalized'!$A:$A, 0))-INDEX('UZ-normalized'!$E:$E, MATCH($A206, 'UZ-normalized'!$A:$A, 0))&gt;0, -(27*INDEX('UZ-normalized'!$D:$D, MATCH($A206, 'UZ-normalized'!$A:$A, 0))-INDEX('UZ-normalized'!$E:$E, MATCH($A206, 'UZ-normalized'!$A:$A, 0))), 0), 0)))</f>
        <v>-4877.5</v>
      </c>
      <c r="AP206" s="6">
        <f>MIN(0, N206+(IFERROR(IF(28*INDEX('UA-normalized'!$D:$D, MATCH($A206, 'UA-normalized'!$A:$A, 0))-INDEX('UA-normalized'!$E:$E, MATCH($A206, 'UA-normalized'!$A:$A, 0))&gt;0, -(28*INDEX('UA-normalized'!$D:$D, MATCH($A206, 'UA-normalized'!$A:$A, 0))-INDEX('UA-normalized'!$E:$E, MATCH($A206, 'UA-normalized'!$A:$A, 0))), 0), 0))+(IFERROR(IF(28*INDEX('KZ-normalized'!$D:$D, MATCH($A206, 'KZ-normalized'!$A:$A, 0))-INDEX('KZ-normalized'!$E:$E, MATCH($A206, 'KZ-normalized'!$A:$A, 0))&gt;0, -(28*INDEX('KZ-normalized'!$D:$D, MATCH($A206, 'KZ-normalized'!$A:$A, 0))-INDEX('KZ-normalized'!$E:$E, MATCH($A206, 'KZ-normalized'!$A:$A, 0))), 0), 0))+(IFERROR(IF(28*INDEX('UZ-normalized'!$D:$D, MATCH($A206, 'UZ-normalized'!$A:$A, 0))-INDEX('UZ-normalized'!$E:$E, MATCH($A206, 'UZ-normalized'!$A:$A, 0))&gt;0, -(28*INDEX('UZ-normalized'!$D:$D, MATCH($A206, 'UZ-normalized'!$A:$A, 0))-INDEX('UZ-normalized'!$E:$E, MATCH($A206, 'UZ-normalized'!$A:$A, 0))), 0), 0)))</f>
        <v>-5098</v>
      </c>
      <c r="AQ206" s="6">
        <f>MIN(0, N206+(IFERROR(IF(29*INDEX('UA-normalized'!$D:$D, MATCH($A206, 'UA-normalized'!$A:$A, 0))-INDEX('UA-normalized'!$E:$E, MATCH($A206, 'UA-normalized'!$A:$A, 0))&gt;0, -(29*INDEX('UA-normalized'!$D:$D, MATCH($A206, 'UA-normalized'!$A:$A, 0))-INDEX('UA-normalized'!$E:$E, MATCH($A206, 'UA-normalized'!$A:$A, 0))), 0), 0))+(IFERROR(IF(29*INDEX('KZ-normalized'!$D:$D, MATCH($A206, 'KZ-normalized'!$A:$A, 0))-INDEX('KZ-normalized'!$E:$E, MATCH($A206, 'KZ-normalized'!$A:$A, 0))&gt;0, -(29*INDEX('KZ-normalized'!$D:$D, MATCH($A206, 'KZ-normalized'!$A:$A, 0))-INDEX('KZ-normalized'!$E:$E, MATCH($A206, 'KZ-normalized'!$A:$A, 0))), 0), 0))+(IFERROR(IF(29*INDEX('UZ-normalized'!$D:$D, MATCH($A206, 'UZ-normalized'!$A:$A, 0))-INDEX('UZ-normalized'!$E:$E, MATCH($A206, 'UZ-normalized'!$A:$A, 0))&gt;0, -(29*INDEX('UZ-normalized'!$D:$D, MATCH($A206, 'UZ-normalized'!$A:$A, 0))-INDEX('UZ-normalized'!$E:$E, MATCH($A206, 'UZ-normalized'!$A:$A, 0))), 0), 0)))</f>
        <v>-5318.5</v>
      </c>
      <c r="AR206" s="6">
        <f>MIN(0, N206+(IFERROR(IF(30*INDEX('UA-normalized'!$D:$D, MATCH($A206, 'UA-normalized'!$A:$A, 0))-INDEX('UA-normalized'!$E:$E, MATCH($A206, 'UA-normalized'!$A:$A, 0))&gt;0, -(30*INDEX('UA-normalized'!$D:$D, MATCH($A206, 'UA-normalized'!$A:$A, 0))-INDEX('UA-normalized'!$E:$E, MATCH($A206, 'UA-normalized'!$A:$A, 0))), 0), 0))+(IFERROR(IF(30*INDEX('KZ-normalized'!$D:$D, MATCH($A206, 'KZ-normalized'!$A:$A, 0))-INDEX('KZ-normalized'!$E:$E, MATCH($A206, 'KZ-normalized'!$A:$A, 0))&gt;0, -(30*INDEX('KZ-normalized'!$D:$D, MATCH($A206, 'KZ-normalized'!$A:$A, 0))-INDEX('KZ-normalized'!$E:$E, MATCH($A206, 'KZ-normalized'!$A:$A, 0))), 0), 0))+(IFERROR(IF(30*INDEX('UZ-normalized'!$D:$D, MATCH($A206, 'UZ-normalized'!$A:$A, 0))-INDEX('UZ-normalized'!$E:$E, MATCH($A206, 'UZ-normalized'!$A:$A, 0))&gt;0, -(30*INDEX('UZ-normalized'!$D:$D, MATCH($A206, 'UZ-normalized'!$A:$A, 0))-INDEX('UZ-normalized'!$E:$E, MATCH($A206, 'UZ-normalized'!$A:$A, 0))), 0), 0)))</f>
        <v>-5539</v>
      </c>
    </row>
    <row r="207" spans="1:44" x14ac:dyDescent="0.25">
      <c r="A207" s="8" t="s">
        <v>495</v>
      </c>
      <c r="B207" s="8" t="s">
        <v>492</v>
      </c>
      <c r="C207" s="8" t="s">
        <v>493</v>
      </c>
      <c r="D207" s="8" t="s">
        <v>496</v>
      </c>
      <c r="N207">
        <f t="shared" si="3"/>
        <v>0</v>
      </c>
      <c r="O207" s="6">
        <f>MIN(0, N207+(IFERROR(IF(1*INDEX('UA-normalized'!$D:$D, MATCH($A207, 'UA-normalized'!$A:$A, 0))-INDEX('UA-normalized'!$E:$E, MATCH($A207, 'UA-normalized'!$A:$A, 0))&gt;0, -(1*INDEX('UA-normalized'!$D:$D, MATCH($A207, 'UA-normalized'!$A:$A, 0))-INDEX('UA-normalized'!$E:$E, MATCH($A207, 'UA-normalized'!$A:$A, 0))), 0), 0))+(IFERROR(IF(1*INDEX('KZ-normalized'!$D:$D, MATCH($A207, 'KZ-normalized'!$A:$A, 0))-INDEX('KZ-normalized'!$E:$E, MATCH($A207, 'KZ-normalized'!$A:$A, 0))&gt;0, -(1*INDEX('KZ-normalized'!$D:$D, MATCH($A207, 'KZ-normalized'!$A:$A, 0))-INDEX('KZ-normalized'!$E:$E, MATCH($A207, 'KZ-normalized'!$A:$A, 0))), 0), 0))+(IFERROR(IF(1*INDEX('UZ-normalized'!$D:$D, MATCH($A207, 'UZ-normalized'!$A:$A, 0))-INDEX('UZ-normalized'!$E:$E, MATCH($A207, 'UZ-normalized'!$A:$A, 0))&gt;0, -(1*INDEX('UZ-normalized'!$D:$D, MATCH($A207, 'UZ-normalized'!$A:$A, 0))-INDEX('UZ-normalized'!$E:$E, MATCH($A207, 'UZ-normalized'!$A:$A, 0))), 0), 0)))</f>
        <v>0</v>
      </c>
      <c r="P207" s="6">
        <f>MIN(0, N207+(IFERROR(IF(2*INDEX('UA-normalized'!$D:$D, MATCH($A207, 'UA-normalized'!$A:$A, 0))-INDEX('UA-normalized'!$E:$E, MATCH($A207, 'UA-normalized'!$A:$A, 0))&gt;0, -(2*INDEX('UA-normalized'!$D:$D, MATCH($A207, 'UA-normalized'!$A:$A, 0))-INDEX('UA-normalized'!$E:$E, MATCH($A207, 'UA-normalized'!$A:$A, 0))), 0), 0))+(IFERROR(IF(2*INDEX('KZ-normalized'!$D:$D, MATCH($A207, 'KZ-normalized'!$A:$A, 0))-INDEX('KZ-normalized'!$E:$E, MATCH($A207, 'KZ-normalized'!$A:$A, 0))&gt;0, -(2*INDEX('KZ-normalized'!$D:$D, MATCH($A207, 'KZ-normalized'!$A:$A, 0))-INDEX('KZ-normalized'!$E:$E, MATCH($A207, 'KZ-normalized'!$A:$A, 0))), 0), 0))+(IFERROR(IF(2*INDEX('UZ-normalized'!$D:$D, MATCH($A207, 'UZ-normalized'!$A:$A, 0))-INDEX('UZ-normalized'!$E:$E, MATCH($A207, 'UZ-normalized'!$A:$A, 0))&gt;0, -(2*INDEX('UZ-normalized'!$D:$D, MATCH($A207, 'UZ-normalized'!$A:$A, 0))-INDEX('UZ-normalized'!$E:$E, MATCH($A207, 'UZ-normalized'!$A:$A, 0))), 0), 0)))</f>
        <v>0</v>
      </c>
      <c r="Q207" s="6">
        <f>MIN(0, N207+(IFERROR(IF(3*INDEX('UA-normalized'!$D:$D, MATCH($A207, 'UA-normalized'!$A:$A, 0))-INDEX('UA-normalized'!$E:$E, MATCH($A207, 'UA-normalized'!$A:$A, 0))&gt;0, -(3*INDEX('UA-normalized'!$D:$D, MATCH($A207, 'UA-normalized'!$A:$A, 0))-INDEX('UA-normalized'!$E:$E, MATCH($A207, 'UA-normalized'!$A:$A, 0))), 0), 0))+(IFERROR(IF(3*INDEX('KZ-normalized'!$D:$D, MATCH($A207, 'KZ-normalized'!$A:$A, 0))-INDEX('KZ-normalized'!$E:$E, MATCH($A207, 'KZ-normalized'!$A:$A, 0))&gt;0, -(3*INDEX('KZ-normalized'!$D:$D, MATCH($A207, 'KZ-normalized'!$A:$A, 0))-INDEX('KZ-normalized'!$E:$E, MATCH($A207, 'KZ-normalized'!$A:$A, 0))), 0), 0))+(IFERROR(IF(3*INDEX('UZ-normalized'!$D:$D, MATCH($A207, 'UZ-normalized'!$A:$A, 0))-INDEX('UZ-normalized'!$E:$E, MATCH($A207, 'UZ-normalized'!$A:$A, 0))&gt;0, -(3*INDEX('UZ-normalized'!$D:$D, MATCH($A207, 'UZ-normalized'!$A:$A, 0))-INDEX('UZ-normalized'!$E:$E, MATCH($A207, 'UZ-normalized'!$A:$A, 0))), 0), 0)))</f>
        <v>0</v>
      </c>
      <c r="R207" s="6">
        <f>MIN(0, N207+(IFERROR(IF(4*INDEX('UA-normalized'!$D:$D, MATCH($A207, 'UA-normalized'!$A:$A, 0))-INDEX('UA-normalized'!$E:$E, MATCH($A207, 'UA-normalized'!$A:$A, 0))&gt;0, -(4*INDEX('UA-normalized'!$D:$D, MATCH($A207, 'UA-normalized'!$A:$A, 0))-INDEX('UA-normalized'!$E:$E, MATCH($A207, 'UA-normalized'!$A:$A, 0))), 0), 0))+(IFERROR(IF(4*INDEX('KZ-normalized'!$D:$D, MATCH($A207, 'KZ-normalized'!$A:$A, 0))-INDEX('KZ-normalized'!$E:$E, MATCH($A207, 'KZ-normalized'!$A:$A, 0))&gt;0, -(4*INDEX('KZ-normalized'!$D:$D, MATCH($A207, 'KZ-normalized'!$A:$A, 0))-INDEX('KZ-normalized'!$E:$E, MATCH($A207, 'KZ-normalized'!$A:$A, 0))), 0), 0))+(IFERROR(IF(4*INDEX('UZ-normalized'!$D:$D, MATCH($A207, 'UZ-normalized'!$A:$A, 0))-INDEX('UZ-normalized'!$E:$E, MATCH($A207, 'UZ-normalized'!$A:$A, 0))&gt;0, -(4*INDEX('UZ-normalized'!$D:$D, MATCH($A207, 'UZ-normalized'!$A:$A, 0))-INDEX('UZ-normalized'!$E:$E, MATCH($A207, 'UZ-normalized'!$A:$A, 0))), 0), 0)))</f>
        <v>-2.4000000000000057</v>
      </c>
      <c r="S207" s="6">
        <f>MIN(0, N207+(IFERROR(IF(5*INDEX('UA-normalized'!$D:$D, MATCH($A207, 'UA-normalized'!$A:$A, 0))-INDEX('UA-normalized'!$E:$E, MATCH($A207, 'UA-normalized'!$A:$A, 0))&gt;0, -(5*INDEX('UA-normalized'!$D:$D, MATCH($A207, 'UA-normalized'!$A:$A, 0))-INDEX('UA-normalized'!$E:$E, MATCH($A207, 'UA-normalized'!$A:$A, 0))), 0), 0))+(IFERROR(IF(5*INDEX('KZ-normalized'!$D:$D, MATCH($A207, 'KZ-normalized'!$A:$A, 0))-INDEX('KZ-normalized'!$E:$E, MATCH($A207, 'KZ-normalized'!$A:$A, 0))&gt;0, -(5*INDEX('KZ-normalized'!$D:$D, MATCH($A207, 'KZ-normalized'!$A:$A, 0))-INDEX('KZ-normalized'!$E:$E, MATCH($A207, 'KZ-normalized'!$A:$A, 0))), 0), 0))+(IFERROR(IF(5*INDEX('UZ-normalized'!$D:$D, MATCH($A207, 'UZ-normalized'!$A:$A, 0))-INDEX('UZ-normalized'!$E:$E, MATCH($A207, 'UZ-normalized'!$A:$A, 0))&gt;0, -(5*INDEX('UZ-normalized'!$D:$D, MATCH($A207, 'UZ-normalized'!$A:$A, 0))-INDEX('UZ-normalized'!$E:$E, MATCH($A207, 'UZ-normalized'!$A:$A, 0))), 0), 0)))</f>
        <v>-38</v>
      </c>
      <c r="T207" s="6">
        <f>MIN(0, N207+(IFERROR(IF(6*INDEX('UA-normalized'!$D:$D, MATCH($A207, 'UA-normalized'!$A:$A, 0))-INDEX('UA-normalized'!$E:$E, MATCH($A207, 'UA-normalized'!$A:$A, 0))&gt;0, -(6*INDEX('UA-normalized'!$D:$D, MATCH($A207, 'UA-normalized'!$A:$A, 0))-INDEX('UA-normalized'!$E:$E, MATCH($A207, 'UA-normalized'!$A:$A, 0))), 0), 0))+(IFERROR(IF(6*INDEX('KZ-normalized'!$D:$D, MATCH($A207, 'KZ-normalized'!$A:$A, 0))-INDEX('KZ-normalized'!$E:$E, MATCH($A207, 'KZ-normalized'!$A:$A, 0))&gt;0, -(6*INDEX('KZ-normalized'!$D:$D, MATCH($A207, 'KZ-normalized'!$A:$A, 0))-INDEX('KZ-normalized'!$E:$E, MATCH($A207, 'KZ-normalized'!$A:$A, 0))), 0), 0))+(IFERROR(IF(6*INDEX('UZ-normalized'!$D:$D, MATCH($A207, 'UZ-normalized'!$A:$A, 0))-INDEX('UZ-normalized'!$E:$E, MATCH($A207, 'UZ-normalized'!$A:$A, 0))&gt;0, -(6*INDEX('UZ-normalized'!$D:$D, MATCH($A207, 'UZ-normalized'!$A:$A, 0))-INDEX('UZ-normalized'!$E:$E, MATCH($A207, 'UZ-normalized'!$A:$A, 0))), 0), 0)))</f>
        <v>-191.60000000000002</v>
      </c>
      <c r="U207" s="6">
        <f>MIN(0, N207+(IFERROR(IF(7*INDEX('UA-normalized'!$D:$D, MATCH($A207, 'UA-normalized'!$A:$A, 0))-INDEX('UA-normalized'!$E:$E, MATCH($A207, 'UA-normalized'!$A:$A, 0))&gt;0, -(7*INDEX('UA-normalized'!$D:$D, MATCH($A207, 'UA-normalized'!$A:$A, 0))-INDEX('UA-normalized'!$E:$E, MATCH($A207, 'UA-normalized'!$A:$A, 0))), 0), 0))+(IFERROR(IF(7*INDEX('KZ-normalized'!$D:$D, MATCH($A207, 'KZ-normalized'!$A:$A, 0))-INDEX('KZ-normalized'!$E:$E, MATCH($A207, 'KZ-normalized'!$A:$A, 0))&gt;0, -(7*INDEX('KZ-normalized'!$D:$D, MATCH($A207, 'KZ-normalized'!$A:$A, 0))-INDEX('KZ-normalized'!$E:$E, MATCH($A207, 'KZ-normalized'!$A:$A, 0))), 0), 0))+(IFERROR(IF(7*INDEX('UZ-normalized'!$D:$D, MATCH($A207, 'UZ-normalized'!$A:$A, 0))-INDEX('UZ-normalized'!$E:$E, MATCH($A207, 'UZ-normalized'!$A:$A, 0))&gt;0, -(7*INDEX('UZ-normalized'!$D:$D, MATCH($A207, 'UZ-normalized'!$A:$A, 0))-INDEX('UZ-normalized'!$E:$E, MATCH($A207, 'UZ-normalized'!$A:$A, 0))), 0), 0)))</f>
        <v>-355.20000000000005</v>
      </c>
      <c r="V207" s="6">
        <f>MIN(0, N207+(IFERROR(IF(8*INDEX('UA-normalized'!$D:$D, MATCH($A207, 'UA-normalized'!$A:$A, 0))-INDEX('UA-normalized'!$E:$E, MATCH($A207, 'UA-normalized'!$A:$A, 0))&gt;0, -(8*INDEX('UA-normalized'!$D:$D, MATCH($A207, 'UA-normalized'!$A:$A, 0))-INDEX('UA-normalized'!$E:$E, MATCH($A207, 'UA-normalized'!$A:$A, 0))), 0), 0))+(IFERROR(IF(8*INDEX('KZ-normalized'!$D:$D, MATCH($A207, 'KZ-normalized'!$A:$A, 0))-INDEX('KZ-normalized'!$E:$E, MATCH($A207, 'KZ-normalized'!$A:$A, 0))&gt;0, -(8*INDEX('KZ-normalized'!$D:$D, MATCH($A207, 'KZ-normalized'!$A:$A, 0))-INDEX('KZ-normalized'!$E:$E, MATCH($A207, 'KZ-normalized'!$A:$A, 0))), 0), 0))+(IFERROR(IF(8*INDEX('UZ-normalized'!$D:$D, MATCH($A207, 'UZ-normalized'!$A:$A, 0))-INDEX('UZ-normalized'!$E:$E, MATCH($A207, 'UZ-normalized'!$A:$A, 0))&gt;0, -(8*INDEX('UZ-normalized'!$D:$D, MATCH($A207, 'UZ-normalized'!$A:$A, 0))-INDEX('UZ-normalized'!$E:$E, MATCH($A207, 'UZ-normalized'!$A:$A, 0))), 0), 0)))</f>
        <v>-518.79999999999995</v>
      </c>
      <c r="W207" s="6">
        <f>MIN(0, N207+(IFERROR(IF(9*INDEX('UA-normalized'!$D:$D, MATCH($A207, 'UA-normalized'!$A:$A, 0))-INDEX('UA-normalized'!$E:$E, MATCH($A207, 'UA-normalized'!$A:$A, 0))&gt;0, -(9*INDEX('UA-normalized'!$D:$D, MATCH($A207, 'UA-normalized'!$A:$A, 0))-INDEX('UA-normalized'!$E:$E, MATCH($A207, 'UA-normalized'!$A:$A, 0))), 0), 0))+(IFERROR(IF(9*INDEX('KZ-normalized'!$D:$D, MATCH($A207, 'KZ-normalized'!$A:$A, 0))-INDEX('KZ-normalized'!$E:$E, MATCH($A207, 'KZ-normalized'!$A:$A, 0))&gt;0, -(9*INDEX('KZ-normalized'!$D:$D, MATCH($A207, 'KZ-normalized'!$A:$A, 0))-INDEX('KZ-normalized'!$E:$E, MATCH($A207, 'KZ-normalized'!$A:$A, 0))), 0), 0))+(IFERROR(IF(9*INDEX('UZ-normalized'!$D:$D, MATCH($A207, 'UZ-normalized'!$A:$A, 0))-INDEX('UZ-normalized'!$E:$E, MATCH($A207, 'UZ-normalized'!$A:$A, 0))&gt;0, -(9*INDEX('UZ-normalized'!$D:$D, MATCH($A207, 'UZ-normalized'!$A:$A, 0))-INDEX('UZ-normalized'!$E:$E, MATCH($A207, 'UZ-normalized'!$A:$A, 0))), 0), 0)))</f>
        <v>-682.4</v>
      </c>
      <c r="X207" s="6">
        <f>MIN(0, N207+(IFERROR(IF(10*INDEX('UA-normalized'!$D:$D, MATCH($A207, 'UA-normalized'!$A:$A, 0))-INDEX('UA-normalized'!$E:$E, MATCH($A207, 'UA-normalized'!$A:$A, 0))&gt;0, -(10*INDEX('UA-normalized'!$D:$D, MATCH($A207, 'UA-normalized'!$A:$A, 0))-INDEX('UA-normalized'!$E:$E, MATCH($A207, 'UA-normalized'!$A:$A, 0))), 0), 0))+(IFERROR(IF(10*INDEX('KZ-normalized'!$D:$D, MATCH($A207, 'KZ-normalized'!$A:$A, 0))-INDEX('KZ-normalized'!$E:$E, MATCH($A207, 'KZ-normalized'!$A:$A, 0))&gt;0, -(10*INDEX('KZ-normalized'!$D:$D, MATCH($A207, 'KZ-normalized'!$A:$A, 0))-INDEX('KZ-normalized'!$E:$E, MATCH($A207, 'KZ-normalized'!$A:$A, 0))), 0), 0))+(IFERROR(IF(10*INDEX('UZ-normalized'!$D:$D, MATCH($A207, 'UZ-normalized'!$A:$A, 0))-INDEX('UZ-normalized'!$E:$E, MATCH($A207, 'UZ-normalized'!$A:$A, 0))&gt;0, -(10*INDEX('UZ-normalized'!$D:$D, MATCH($A207, 'UZ-normalized'!$A:$A, 0))-INDEX('UZ-normalized'!$E:$E, MATCH($A207, 'UZ-normalized'!$A:$A, 0))), 0), 0)))</f>
        <v>-846</v>
      </c>
      <c r="Y207" s="6">
        <f>MIN(0, N207+(IFERROR(IF(11*INDEX('UA-normalized'!$D:$D, MATCH($A207, 'UA-normalized'!$A:$A, 0))-INDEX('UA-normalized'!$E:$E, MATCH($A207, 'UA-normalized'!$A:$A, 0))&gt;0, -(11*INDEX('UA-normalized'!$D:$D, MATCH($A207, 'UA-normalized'!$A:$A, 0))-INDEX('UA-normalized'!$E:$E, MATCH($A207, 'UA-normalized'!$A:$A, 0))), 0), 0))+(IFERROR(IF(11*INDEX('KZ-normalized'!$D:$D, MATCH($A207, 'KZ-normalized'!$A:$A, 0))-INDEX('KZ-normalized'!$E:$E, MATCH($A207, 'KZ-normalized'!$A:$A, 0))&gt;0, -(11*INDEX('KZ-normalized'!$D:$D, MATCH($A207, 'KZ-normalized'!$A:$A, 0))-INDEX('KZ-normalized'!$E:$E, MATCH($A207, 'KZ-normalized'!$A:$A, 0))), 0), 0))+(IFERROR(IF(11*INDEX('UZ-normalized'!$D:$D, MATCH($A207, 'UZ-normalized'!$A:$A, 0))-INDEX('UZ-normalized'!$E:$E, MATCH($A207, 'UZ-normalized'!$A:$A, 0))&gt;0, -(11*INDEX('UZ-normalized'!$D:$D, MATCH($A207, 'UZ-normalized'!$A:$A, 0))-INDEX('UZ-normalized'!$E:$E, MATCH($A207, 'UZ-normalized'!$A:$A, 0))), 0), 0)))</f>
        <v>-1009.6</v>
      </c>
      <c r="Z207" s="6">
        <f>MIN(0, N207+(IFERROR(IF(12*INDEX('UA-normalized'!$D:$D, MATCH($A207, 'UA-normalized'!$A:$A, 0))-INDEX('UA-normalized'!$E:$E, MATCH($A207, 'UA-normalized'!$A:$A, 0))&gt;0, -(12*INDEX('UA-normalized'!$D:$D, MATCH($A207, 'UA-normalized'!$A:$A, 0))-INDEX('UA-normalized'!$E:$E, MATCH($A207, 'UA-normalized'!$A:$A, 0))), 0), 0))+(IFERROR(IF(12*INDEX('KZ-normalized'!$D:$D, MATCH($A207, 'KZ-normalized'!$A:$A, 0))-INDEX('KZ-normalized'!$E:$E, MATCH($A207, 'KZ-normalized'!$A:$A, 0))&gt;0, -(12*INDEX('KZ-normalized'!$D:$D, MATCH($A207, 'KZ-normalized'!$A:$A, 0))-INDEX('KZ-normalized'!$E:$E, MATCH($A207, 'KZ-normalized'!$A:$A, 0))), 0), 0))+(IFERROR(IF(12*INDEX('UZ-normalized'!$D:$D, MATCH($A207, 'UZ-normalized'!$A:$A, 0))-INDEX('UZ-normalized'!$E:$E, MATCH($A207, 'UZ-normalized'!$A:$A, 0))&gt;0, -(12*INDEX('UZ-normalized'!$D:$D, MATCH($A207, 'UZ-normalized'!$A:$A, 0))-INDEX('UZ-normalized'!$E:$E, MATCH($A207, 'UZ-normalized'!$A:$A, 0))), 0), 0)))</f>
        <v>-1173.2</v>
      </c>
      <c r="AA207" s="6">
        <f>MIN(0, N207+(IFERROR(IF(13*INDEX('UA-normalized'!$D:$D, MATCH($A207, 'UA-normalized'!$A:$A, 0))-INDEX('UA-normalized'!$E:$E, MATCH($A207, 'UA-normalized'!$A:$A, 0))&gt;0, -(13*INDEX('UA-normalized'!$D:$D, MATCH($A207, 'UA-normalized'!$A:$A, 0))-INDEX('UA-normalized'!$E:$E, MATCH($A207, 'UA-normalized'!$A:$A, 0))), 0), 0))+(IFERROR(IF(13*INDEX('KZ-normalized'!$D:$D, MATCH($A207, 'KZ-normalized'!$A:$A, 0))-INDEX('KZ-normalized'!$E:$E, MATCH($A207, 'KZ-normalized'!$A:$A, 0))&gt;0, -(13*INDEX('KZ-normalized'!$D:$D, MATCH($A207, 'KZ-normalized'!$A:$A, 0))-INDEX('KZ-normalized'!$E:$E, MATCH($A207, 'KZ-normalized'!$A:$A, 0))), 0), 0))+(IFERROR(IF(13*INDEX('UZ-normalized'!$D:$D, MATCH($A207, 'UZ-normalized'!$A:$A, 0))-INDEX('UZ-normalized'!$E:$E, MATCH($A207, 'UZ-normalized'!$A:$A, 0))&gt;0, -(13*INDEX('UZ-normalized'!$D:$D, MATCH($A207, 'UZ-normalized'!$A:$A, 0))-INDEX('UZ-normalized'!$E:$E, MATCH($A207, 'UZ-normalized'!$A:$A, 0))), 0), 0)))</f>
        <v>-1336.8</v>
      </c>
      <c r="AB207" s="6">
        <f>MIN(0, N207+(IFERROR(IF(14*INDEX('UA-normalized'!$D:$D, MATCH($A207, 'UA-normalized'!$A:$A, 0))-INDEX('UA-normalized'!$E:$E, MATCH($A207, 'UA-normalized'!$A:$A, 0))&gt;0, -(14*INDEX('UA-normalized'!$D:$D, MATCH($A207, 'UA-normalized'!$A:$A, 0))-INDEX('UA-normalized'!$E:$E, MATCH($A207, 'UA-normalized'!$A:$A, 0))), 0), 0))+(IFERROR(IF(14*INDEX('KZ-normalized'!$D:$D, MATCH($A207, 'KZ-normalized'!$A:$A, 0))-INDEX('KZ-normalized'!$E:$E, MATCH($A207, 'KZ-normalized'!$A:$A, 0))&gt;0, -(14*INDEX('KZ-normalized'!$D:$D, MATCH($A207, 'KZ-normalized'!$A:$A, 0))-INDEX('KZ-normalized'!$E:$E, MATCH($A207, 'KZ-normalized'!$A:$A, 0))), 0), 0))+(IFERROR(IF(14*INDEX('UZ-normalized'!$D:$D, MATCH($A207, 'UZ-normalized'!$A:$A, 0))-INDEX('UZ-normalized'!$E:$E, MATCH($A207, 'UZ-normalized'!$A:$A, 0))&gt;0, -(14*INDEX('UZ-normalized'!$D:$D, MATCH($A207, 'UZ-normalized'!$A:$A, 0))-INDEX('UZ-normalized'!$E:$E, MATCH($A207, 'UZ-normalized'!$A:$A, 0))), 0), 0)))</f>
        <v>-1500.4</v>
      </c>
      <c r="AC207" s="6">
        <f>MIN(0, N207+(IFERROR(IF(15*INDEX('UA-normalized'!$D:$D, MATCH($A207, 'UA-normalized'!$A:$A, 0))-INDEX('UA-normalized'!$E:$E, MATCH($A207, 'UA-normalized'!$A:$A, 0))&gt;0, -(15*INDEX('UA-normalized'!$D:$D, MATCH($A207, 'UA-normalized'!$A:$A, 0))-INDEX('UA-normalized'!$E:$E, MATCH($A207, 'UA-normalized'!$A:$A, 0))), 0), 0))+(IFERROR(IF(15*INDEX('KZ-normalized'!$D:$D, MATCH($A207, 'KZ-normalized'!$A:$A, 0))-INDEX('KZ-normalized'!$E:$E, MATCH($A207, 'KZ-normalized'!$A:$A, 0))&gt;0, -(15*INDEX('KZ-normalized'!$D:$D, MATCH($A207, 'KZ-normalized'!$A:$A, 0))-INDEX('KZ-normalized'!$E:$E, MATCH($A207, 'KZ-normalized'!$A:$A, 0))), 0), 0))+(IFERROR(IF(15*INDEX('UZ-normalized'!$D:$D, MATCH($A207, 'UZ-normalized'!$A:$A, 0))-INDEX('UZ-normalized'!$E:$E, MATCH($A207, 'UZ-normalized'!$A:$A, 0))&gt;0, -(15*INDEX('UZ-normalized'!$D:$D, MATCH($A207, 'UZ-normalized'!$A:$A, 0))-INDEX('UZ-normalized'!$E:$E, MATCH($A207, 'UZ-normalized'!$A:$A, 0))), 0), 0)))</f>
        <v>-1664</v>
      </c>
      <c r="AD207" s="6">
        <f>MIN(0, N207+(IFERROR(IF(16*INDEX('UA-normalized'!$D:$D, MATCH($A207, 'UA-normalized'!$A:$A, 0))-INDEX('UA-normalized'!$E:$E, MATCH($A207, 'UA-normalized'!$A:$A, 0))&gt;0, -(16*INDEX('UA-normalized'!$D:$D, MATCH($A207, 'UA-normalized'!$A:$A, 0))-INDEX('UA-normalized'!$E:$E, MATCH($A207, 'UA-normalized'!$A:$A, 0))), 0), 0))+(IFERROR(IF(16*INDEX('KZ-normalized'!$D:$D, MATCH($A207, 'KZ-normalized'!$A:$A, 0))-INDEX('KZ-normalized'!$E:$E, MATCH($A207, 'KZ-normalized'!$A:$A, 0))&gt;0, -(16*INDEX('KZ-normalized'!$D:$D, MATCH($A207, 'KZ-normalized'!$A:$A, 0))-INDEX('KZ-normalized'!$E:$E, MATCH($A207, 'KZ-normalized'!$A:$A, 0))), 0), 0))+(IFERROR(IF(16*INDEX('UZ-normalized'!$D:$D, MATCH($A207, 'UZ-normalized'!$A:$A, 0))-INDEX('UZ-normalized'!$E:$E, MATCH($A207, 'UZ-normalized'!$A:$A, 0))&gt;0, -(16*INDEX('UZ-normalized'!$D:$D, MATCH($A207, 'UZ-normalized'!$A:$A, 0))-INDEX('UZ-normalized'!$E:$E, MATCH($A207, 'UZ-normalized'!$A:$A, 0))), 0), 0)))</f>
        <v>-1827.6</v>
      </c>
      <c r="AE207" s="6">
        <f>MIN(0, N207+(IFERROR(IF(17*INDEX('UA-normalized'!$D:$D, MATCH($A207, 'UA-normalized'!$A:$A, 0))-INDEX('UA-normalized'!$E:$E, MATCH($A207, 'UA-normalized'!$A:$A, 0))&gt;0, -(17*INDEX('UA-normalized'!$D:$D, MATCH($A207, 'UA-normalized'!$A:$A, 0))-INDEX('UA-normalized'!$E:$E, MATCH($A207, 'UA-normalized'!$A:$A, 0))), 0), 0))+(IFERROR(IF(17*INDEX('KZ-normalized'!$D:$D, MATCH($A207, 'KZ-normalized'!$A:$A, 0))-INDEX('KZ-normalized'!$E:$E, MATCH($A207, 'KZ-normalized'!$A:$A, 0))&gt;0, -(17*INDEX('KZ-normalized'!$D:$D, MATCH($A207, 'KZ-normalized'!$A:$A, 0))-INDEX('KZ-normalized'!$E:$E, MATCH($A207, 'KZ-normalized'!$A:$A, 0))), 0), 0))+(IFERROR(IF(17*INDEX('UZ-normalized'!$D:$D, MATCH($A207, 'UZ-normalized'!$A:$A, 0))-INDEX('UZ-normalized'!$E:$E, MATCH($A207, 'UZ-normalized'!$A:$A, 0))&gt;0, -(17*INDEX('UZ-normalized'!$D:$D, MATCH($A207, 'UZ-normalized'!$A:$A, 0))-INDEX('UZ-normalized'!$E:$E, MATCH($A207, 'UZ-normalized'!$A:$A, 0))), 0), 0)))</f>
        <v>-1991.2</v>
      </c>
      <c r="AF207" s="6">
        <f>MIN(0, N207+(IFERROR(IF(18*INDEX('UA-normalized'!$D:$D, MATCH($A207, 'UA-normalized'!$A:$A, 0))-INDEX('UA-normalized'!$E:$E, MATCH($A207, 'UA-normalized'!$A:$A, 0))&gt;0, -(18*INDEX('UA-normalized'!$D:$D, MATCH($A207, 'UA-normalized'!$A:$A, 0))-INDEX('UA-normalized'!$E:$E, MATCH($A207, 'UA-normalized'!$A:$A, 0))), 0), 0))+(IFERROR(IF(18*INDEX('KZ-normalized'!$D:$D, MATCH($A207, 'KZ-normalized'!$A:$A, 0))-INDEX('KZ-normalized'!$E:$E, MATCH($A207, 'KZ-normalized'!$A:$A, 0))&gt;0, -(18*INDEX('KZ-normalized'!$D:$D, MATCH($A207, 'KZ-normalized'!$A:$A, 0))-INDEX('KZ-normalized'!$E:$E, MATCH($A207, 'KZ-normalized'!$A:$A, 0))), 0), 0))+(IFERROR(IF(18*INDEX('UZ-normalized'!$D:$D, MATCH($A207, 'UZ-normalized'!$A:$A, 0))-INDEX('UZ-normalized'!$E:$E, MATCH($A207, 'UZ-normalized'!$A:$A, 0))&gt;0, -(18*INDEX('UZ-normalized'!$D:$D, MATCH($A207, 'UZ-normalized'!$A:$A, 0))-INDEX('UZ-normalized'!$E:$E, MATCH($A207, 'UZ-normalized'!$A:$A, 0))), 0), 0)))</f>
        <v>-2154.8000000000002</v>
      </c>
      <c r="AG207" s="6">
        <f>MIN(0, N207+(IFERROR(IF(19*INDEX('UA-normalized'!$D:$D, MATCH($A207, 'UA-normalized'!$A:$A, 0))-INDEX('UA-normalized'!$E:$E, MATCH($A207, 'UA-normalized'!$A:$A, 0))&gt;0, -(19*INDEX('UA-normalized'!$D:$D, MATCH($A207, 'UA-normalized'!$A:$A, 0))-INDEX('UA-normalized'!$E:$E, MATCH($A207, 'UA-normalized'!$A:$A, 0))), 0), 0))+(IFERROR(IF(19*INDEX('KZ-normalized'!$D:$D, MATCH($A207, 'KZ-normalized'!$A:$A, 0))-INDEX('KZ-normalized'!$E:$E, MATCH($A207, 'KZ-normalized'!$A:$A, 0))&gt;0, -(19*INDEX('KZ-normalized'!$D:$D, MATCH($A207, 'KZ-normalized'!$A:$A, 0))-INDEX('KZ-normalized'!$E:$E, MATCH($A207, 'KZ-normalized'!$A:$A, 0))), 0), 0))+(IFERROR(IF(19*INDEX('UZ-normalized'!$D:$D, MATCH($A207, 'UZ-normalized'!$A:$A, 0))-INDEX('UZ-normalized'!$E:$E, MATCH($A207, 'UZ-normalized'!$A:$A, 0))&gt;0, -(19*INDEX('UZ-normalized'!$D:$D, MATCH($A207, 'UZ-normalized'!$A:$A, 0))-INDEX('UZ-normalized'!$E:$E, MATCH($A207, 'UZ-normalized'!$A:$A, 0))), 0), 0)))</f>
        <v>-2318.4</v>
      </c>
      <c r="AH207" s="6">
        <f>MIN(0, N207+(IFERROR(IF(20*INDEX('UA-normalized'!$D:$D, MATCH($A207, 'UA-normalized'!$A:$A, 0))-INDEX('UA-normalized'!$E:$E, MATCH($A207, 'UA-normalized'!$A:$A, 0))&gt;0, -(20*INDEX('UA-normalized'!$D:$D, MATCH($A207, 'UA-normalized'!$A:$A, 0))-INDEX('UA-normalized'!$E:$E, MATCH($A207, 'UA-normalized'!$A:$A, 0))), 0), 0))+(IFERROR(IF(20*INDEX('KZ-normalized'!$D:$D, MATCH($A207, 'KZ-normalized'!$A:$A, 0))-INDEX('KZ-normalized'!$E:$E, MATCH($A207, 'KZ-normalized'!$A:$A, 0))&gt;0, -(20*INDEX('KZ-normalized'!$D:$D, MATCH($A207, 'KZ-normalized'!$A:$A, 0))-INDEX('KZ-normalized'!$E:$E, MATCH($A207, 'KZ-normalized'!$A:$A, 0))), 0), 0))+(IFERROR(IF(20*INDEX('UZ-normalized'!$D:$D, MATCH($A207, 'UZ-normalized'!$A:$A, 0))-INDEX('UZ-normalized'!$E:$E, MATCH($A207, 'UZ-normalized'!$A:$A, 0))&gt;0, -(20*INDEX('UZ-normalized'!$D:$D, MATCH($A207, 'UZ-normalized'!$A:$A, 0))-INDEX('UZ-normalized'!$E:$E, MATCH($A207, 'UZ-normalized'!$A:$A, 0))), 0), 0)))</f>
        <v>-2482</v>
      </c>
      <c r="AI207" s="6">
        <f>MIN(0, N207+(IFERROR(IF(21*INDEX('UA-normalized'!$D:$D, MATCH($A207, 'UA-normalized'!$A:$A, 0))-INDEX('UA-normalized'!$E:$E, MATCH($A207, 'UA-normalized'!$A:$A, 0))&gt;0, -(21*INDEX('UA-normalized'!$D:$D, MATCH($A207, 'UA-normalized'!$A:$A, 0))-INDEX('UA-normalized'!$E:$E, MATCH($A207, 'UA-normalized'!$A:$A, 0))), 0), 0))+(IFERROR(IF(21*INDEX('KZ-normalized'!$D:$D, MATCH($A207, 'KZ-normalized'!$A:$A, 0))-INDEX('KZ-normalized'!$E:$E, MATCH($A207, 'KZ-normalized'!$A:$A, 0))&gt;0, -(21*INDEX('KZ-normalized'!$D:$D, MATCH($A207, 'KZ-normalized'!$A:$A, 0))-INDEX('KZ-normalized'!$E:$E, MATCH($A207, 'KZ-normalized'!$A:$A, 0))), 0), 0))+(IFERROR(IF(21*INDEX('UZ-normalized'!$D:$D, MATCH($A207, 'UZ-normalized'!$A:$A, 0))-INDEX('UZ-normalized'!$E:$E, MATCH($A207, 'UZ-normalized'!$A:$A, 0))&gt;0, -(21*INDEX('UZ-normalized'!$D:$D, MATCH($A207, 'UZ-normalized'!$A:$A, 0))-INDEX('UZ-normalized'!$E:$E, MATCH($A207, 'UZ-normalized'!$A:$A, 0))), 0), 0)))</f>
        <v>-2645.6</v>
      </c>
      <c r="AJ207" s="6">
        <f>MIN(0, N207+(IFERROR(IF(22*INDEX('UA-normalized'!$D:$D, MATCH($A207, 'UA-normalized'!$A:$A, 0))-INDEX('UA-normalized'!$E:$E, MATCH($A207, 'UA-normalized'!$A:$A, 0))&gt;0, -(22*INDEX('UA-normalized'!$D:$D, MATCH($A207, 'UA-normalized'!$A:$A, 0))-INDEX('UA-normalized'!$E:$E, MATCH($A207, 'UA-normalized'!$A:$A, 0))), 0), 0))+(IFERROR(IF(22*INDEX('KZ-normalized'!$D:$D, MATCH($A207, 'KZ-normalized'!$A:$A, 0))-INDEX('KZ-normalized'!$E:$E, MATCH($A207, 'KZ-normalized'!$A:$A, 0))&gt;0, -(22*INDEX('KZ-normalized'!$D:$D, MATCH($A207, 'KZ-normalized'!$A:$A, 0))-INDEX('KZ-normalized'!$E:$E, MATCH($A207, 'KZ-normalized'!$A:$A, 0))), 0), 0))+(IFERROR(IF(22*INDEX('UZ-normalized'!$D:$D, MATCH($A207, 'UZ-normalized'!$A:$A, 0))-INDEX('UZ-normalized'!$E:$E, MATCH($A207, 'UZ-normalized'!$A:$A, 0))&gt;0, -(22*INDEX('UZ-normalized'!$D:$D, MATCH($A207, 'UZ-normalized'!$A:$A, 0))-INDEX('UZ-normalized'!$E:$E, MATCH($A207, 'UZ-normalized'!$A:$A, 0))), 0), 0)))</f>
        <v>-2809.2</v>
      </c>
      <c r="AK207" s="6">
        <f>MIN(0, N207+(IFERROR(IF(23*INDEX('UA-normalized'!$D:$D, MATCH($A207, 'UA-normalized'!$A:$A, 0))-INDEX('UA-normalized'!$E:$E, MATCH($A207, 'UA-normalized'!$A:$A, 0))&gt;0, -(23*INDEX('UA-normalized'!$D:$D, MATCH($A207, 'UA-normalized'!$A:$A, 0))-INDEX('UA-normalized'!$E:$E, MATCH($A207, 'UA-normalized'!$A:$A, 0))), 0), 0))+(IFERROR(IF(23*INDEX('KZ-normalized'!$D:$D, MATCH($A207, 'KZ-normalized'!$A:$A, 0))-INDEX('KZ-normalized'!$E:$E, MATCH($A207, 'KZ-normalized'!$A:$A, 0))&gt;0, -(23*INDEX('KZ-normalized'!$D:$D, MATCH($A207, 'KZ-normalized'!$A:$A, 0))-INDEX('KZ-normalized'!$E:$E, MATCH($A207, 'KZ-normalized'!$A:$A, 0))), 0), 0))+(IFERROR(IF(23*INDEX('UZ-normalized'!$D:$D, MATCH($A207, 'UZ-normalized'!$A:$A, 0))-INDEX('UZ-normalized'!$E:$E, MATCH($A207, 'UZ-normalized'!$A:$A, 0))&gt;0, -(23*INDEX('UZ-normalized'!$D:$D, MATCH($A207, 'UZ-normalized'!$A:$A, 0))-INDEX('UZ-normalized'!$E:$E, MATCH($A207, 'UZ-normalized'!$A:$A, 0))), 0), 0)))</f>
        <v>-2972.8</v>
      </c>
      <c r="AL207" s="6">
        <f>MIN(0, N207+(IFERROR(IF(24*INDEX('UA-normalized'!$D:$D, MATCH($A207, 'UA-normalized'!$A:$A, 0))-INDEX('UA-normalized'!$E:$E, MATCH($A207, 'UA-normalized'!$A:$A, 0))&gt;0, -(24*INDEX('UA-normalized'!$D:$D, MATCH($A207, 'UA-normalized'!$A:$A, 0))-INDEX('UA-normalized'!$E:$E, MATCH($A207, 'UA-normalized'!$A:$A, 0))), 0), 0))+(IFERROR(IF(24*INDEX('KZ-normalized'!$D:$D, MATCH($A207, 'KZ-normalized'!$A:$A, 0))-INDEX('KZ-normalized'!$E:$E, MATCH($A207, 'KZ-normalized'!$A:$A, 0))&gt;0, -(24*INDEX('KZ-normalized'!$D:$D, MATCH($A207, 'KZ-normalized'!$A:$A, 0))-INDEX('KZ-normalized'!$E:$E, MATCH($A207, 'KZ-normalized'!$A:$A, 0))), 0), 0))+(IFERROR(IF(24*INDEX('UZ-normalized'!$D:$D, MATCH($A207, 'UZ-normalized'!$A:$A, 0))-INDEX('UZ-normalized'!$E:$E, MATCH($A207, 'UZ-normalized'!$A:$A, 0))&gt;0, -(24*INDEX('UZ-normalized'!$D:$D, MATCH($A207, 'UZ-normalized'!$A:$A, 0))-INDEX('UZ-normalized'!$E:$E, MATCH($A207, 'UZ-normalized'!$A:$A, 0))), 0), 0)))</f>
        <v>-3136.4</v>
      </c>
      <c r="AM207" s="6">
        <f>MIN(0, N207+(IFERROR(IF(25*INDEX('UA-normalized'!$D:$D, MATCH($A207, 'UA-normalized'!$A:$A, 0))-INDEX('UA-normalized'!$E:$E, MATCH($A207, 'UA-normalized'!$A:$A, 0))&gt;0, -(25*INDEX('UA-normalized'!$D:$D, MATCH($A207, 'UA-normalized'!$A:$A, 0))-INDEX('UA-normalized'!$E:$E, MATCH($A207, 'UA-normalized'!$A:$A, 0))), 0), 0))+(IFERROR(IF(25*INDEX('KZ-normalized'!$D:$D, MATCH($A207, 'KZ-normalized'!$A:$A, 0))-INDEX('KZ-normalized'!$E:$E, MATCH($A207, 'KZ-normalized'!$A:$A, 0))&gt;0, -(25*INDEX('KZ-normalized'!$D:$D, MATCH($A207, 'KZ-normalized'!$A:$A, 0))-INDEX('KZ-normalized'!$E:$E, MATCH($A207, 'KZ-normalized'!$A:$A, 0))), 0), 0))+(IFERROR(IF(25*INDEX('UZ-normalized'!$D:$D, MATCH($A207, 'UZ-normalized'!$A:$A, 0))-INDEX('UZ-normalized'!$E:$E, MATCH($A207, 'UZ-normalized'!$A:$A, 0))&gt;0, -(25*INDEX('UZ-normalized'!$D:$D, MATCH($A207, 'UZ-normalized'!$A:$A, 0))-INDEX('UZ-normalized'!$E:$E, MATCH($A207, 'UZ-normalized'!$A:$A, 0))), 0), 0)))</f>
        <v>-3300</v>
      </c>
      <c r="AN207" s="6">
        <f>MIN(0, N207+(IFERROR(IF(26*INDEX('UA-normalized'!$D:$D, MATCH($A207, 'UA-normalized'!$A:$A, 0))-INDEX('UA-normalized'!$E:$E, MATCH($A207, 'UA-normalized'!$A:$A, 0))&gt;0, -(26*INDEX('UA-normalized'!$D:$D, MATCH($A207, 'UA-normalized'!$A:$A, 0))-INDEX('UA-normalized'!$E:$E, MATCH($A207, 'UA-normalized'!$A:$A, 0))), 0), 0))+(IFERROR(IF(26*INDEX('KZ-normalized'!$D:$D, MATCH($A207, 'KZ-normalized'!$A:$A, 0))-INDEX('KZ-normalized'!$E:$E, MATCH($A207, 'KZ-normalized'!$A:$A, 0))&gt;0, -(26*INDEX('KZ-normalized'!$D:$D, MATCH($A207, 'KZ-normalized'!$A:$A, 0))-INDEX('KZ-normalized'!$E:$E, MATCH($A207, 'KZ-normalized'!$A:$A, 0))), 0), 0))+(IFERROR(IF(26*INDEX('UZ-normalized'!$D:$D, MATCH($A207, 'UZ-normalized'!$A:$A, 0))-INDEX('UZ-normalized'!$E:$E, MATCH($A207, 'UZ-normalized'!$A:$A, 0))&gt;0, -(26*INDEX('UZ-normalized'!$D:$D, MATCH($A207, 'UZ-normalized'!$A:$A, 0))-INDEX('UZ-normalized'!$E:$E, MATCH($A207, 'UZ-normalized'!$A:$A, 0))), 0), 0)))</f>
        <v>-3463.6</v>
      </c>
      <c r="AO207" s="6">
        <f>MIN(0, N207+(IFERROR(IF(27*INDEX('UA-normalized'!$D:$D, MATCH($A207, 'UA-normalized'!$A:$A, 0))-INDEX('UA-normalized'!$E:$E, MATCH($A207, 'UA-normalized'!$A:$A, 0))&gt;0, -(27*INDEX('UA-normalized'!$D:$D, MATCH($A207, 'UA-normalized'!$A:$A, 0))-INDEX('UA-normalized'!$E:$E, MATCH($A207, 'UA-normalized'!$A:$A, 0))), 0), 0))+(IFERROR(IF(27*INDEX('KZ-normalized'!$D:$D, MATCH($A207, 'KZ-normalized'!$A:$A, 0))-INDEX('KZ-normalized'!$E:$E, MATCH($A207, 'KZ-normalized'!$A:$A, 0))&gt;0, -(27*INDEX('KZ-normalized'!$D:$D, MATCH($A207, 'KZ-normalized'!$A:$A, 0))-INDEX('KZ-normalized'!$E:$E, MATCH($A207, 'KZ-normalized'!$A:$A, 0))), 0), 0))+(IFERROR(IF(27*INDEX('UZ-normalized'!$D:$D, MATCH($A207, 'UZ-normalized'!$A:$A, 0))-INDEX('UZ-normalized'!$E:$E, MATCH($A207, 'UZ-normalized'!$A:$A, 0))&gt;0, -(27*INDEX('UZ-normalized'!$D:$D, MATCH($A207, 'UZ-normalized'!$A:$A, 0))-INDEX('UZ-normalized'!$E:$E, MATCH($A207, 'UZ-normalized'!$A:$A, 0))), 0), 0)))</f>
        <v>-3627.2</v>
      </c>
      <c r="AP207" s="6">
        <f>MIN(0, N207+(IFERROR(IF(28*INDEX('UA-normalized'!$D:$D, MATCH($A207, 'UA-normalized'!$A:$A, 0))-INDEX('UA-normalized'!$E:$E, MATCH($A207, 'UA-normalized'!$A:$A, 0))&gt;0, -(28*INDEX('UA-normalized'!$D:$D, MATCH($A207, 'UA-normalized'!$A:$A, 0))-INDEX('UA-normalized'!$E:$E, MATCH($A207, 'UA-normalized'!$A:$A, 0))), 0), 0))+(IFERROR(IF(28*INDEX('KZ-normalized'!$D:$D, MATCH($A207, 'KZ-normalized'!$A:$A, 0))-INDEX('KZ-normalized'!$E:$E, MATCH($A207, 'KZ-normalized'!$A:$A, 0))&gt;0, -(28*INDEX('KZ-normalized'!$D:$D, MATCH($A207, 'KZ-normalized'!$A:$A, 0))-INDEX('KZ-normalized'!$E:$E, MATCH($A207, 'KZ-normalized'!$A:$A, 0))), 0), 0))+(IFERROR(IF(28*INDEX('UZ-normalized'!$D:$D, MATCH($A207, 'UZ-normalized'!$A:$A, 0))-INDEX('UZ-normalized'!$E:$E, MATCH($A207, 'UZ-normalized'!$A:$A, 0))&gt;0, -(28*INDEX('UZ-normalized'!$D:$D, MATCH($A207, 'UZ-normalized'!$A:$A, 0))-INDEX('UZ-normalized'!$E:$E, MATCH($A207, 'UZ-normalized'!$A:$A, 0))), 0), 0)))</f>
        <v>-3790.8</v>
      </c>
      <c r="AQ207" s="6">
        <f>MIN(0, N207+(IFERROR(IF(29*INDEX('UA-normalized'!$D:$D, MATCH($A207, 'UA-normalized'!$A:$A, 0))-INDEX('UA-normalized'!$E:$E, MATCH($A207, 'UA-normalized'!$A:$A, 0))&gt;0, -(29*INDEX('UA-normalized'!$D:$D, MATCH($A207, 'UA-normalized'!$A:$A, 0))-INDEX('UA-normalized'!$E:$E, MATCH($A207, 'UA-normalized'!$A:$A, 0))), 0), 0))+(IFERROR(IF(29*INDEX('KZ-normalized'!$D:$D, MATCH($A207, 'KZ-normalized'!$A:$A, 0))-INDEX('KZ-normalized'!$E:$E, MATCH($A207, 'KZ-normalized'!$A:$A, 0))&gt;0, -(29*INDEX('KZ-normalized'!$D:$D, MATCH($A207, 'KZ-normalized'!$A:$A, 0))-INDEX('KZ-normalized'!$E:$E, MATCH($A207, 'KZ-normalized'!$A:$A, 0))), 0), 0))+(IFERROR(IF(29*INDEX('UZ-normalized'!$D:$D, MATCH($A207, 'UZ-normalized'!$A:$A, 0))-INDEX('UZ-normalized'!$E:$E, MATCH($A207, 'UZ-normalized'!$A:$A, 0))&gt;0, -(29*INDEX('UZ-normalized'!$D:$D, MATCH($A207, 'UZ-normalized'!$A:$A, 0))-INDEX('UZ-normalized'!$E:$E, MATCH($A207, 'UZ-normalized'!$A:$A, 0))), 0), 0)))</f>
        <v>-3954.4</v>
      </c>
      <c r="AR207" s="6">
        <f>MIN(0, N207+(IFERROR(IF(30*INDEX('UA-normalized'!$D:$D, MATCH($A207, 'UA-normalized'!$A:$A, 0))-INDEX('UA-normalized'!$E:$E, MATCH($A207, 'UA-normalized'!$A:$A, 0))&gt;0, -(30*INDEX('UA-normalized'!$D:$D, MATCH($A207, 'UA-normalized'!$A:$A, 0))-INDEX('UA-normalized'!$E:$E, MATCH($A207, 'UA-normalized'!$A:$A, 0))), 0), 0))+(IFERROR(IF(30*INDEX('KZ-normalized'!$D:$D, MATCH($A207, 'KZ-normalized'!$A:$A, 0))-INDEX('KZ-normalized'!$E:$E, MATCH($A207, 'KZ-normalized'!$A:$A, 0))&gt;0, -(30*INDEX('KZ-normalized'!$D:$D, MATCH($A207, 'KZ-normalized'!$A:$A, 0))-INDEX('KZ-normalized'!$E:$E, MATCH($A207, 'KZ-normalized'!$A:$A, 0))), 0), 0))+(IFERROR(IF(30*INDEX('UZ-normalized'!$D:$D, MATCH($A207, 'UZ-normalized'!$A:$A, 0))-INDEX('UZ-normalized'!$E:$E, MATCH($A207, 'UZ-normalized'!$A:$A, 0))&gt;0, -(30*INDEX('UZ-normalized'!$D:$D, MATCH($A207, 'UZ-normalized'!$A:$A, 0))-INDEX('UZ-normalized'!$E:$E, MATCH($A207, 'UZ-normalized'!$A:$A, 0))), 0), 0)))</f>
        <v>-4118</v>
      </c>
    </row>
    <row r="208" spans="1:44" x14ac:dyDescent="0.25">
      <c r="A208" s="8" t="s">
        <v>497</v>
      </c>
      <c r="B208" s="8" t="s">
        <v>492</v>
      </c>
      <c r="C208" s="8" t="s">
        <v>493</v>
      </c>
      <c r="D208" s="8" t="s">
        <v>498</v>
      </c>
      <c r="N208">
        <f t="shared" si="3"/>
        <v>0</v>
      </c>
      <c r="O208" s="6">
        <f>MIN(0, N208+(IFERROR(IF(1*INDEX('UA-normalized'!$D:$D, MATCH($A208, 'UA-normalized'!$A:$A, 0))-INDEX('UA-normalized'!$E:$E, MATCH($A208, 'UA-normalized'!$A:$A, 0))&gt;0, -(1*INDEX('UA-normalized'!$D:$D, MATCH($A208, 'UA-normalized'!$A:$A, 0))-INDEX('UA-normalized'!$E:$E, MATCH($A208, 'UA-normalized'!$A:$A, 0))), 0), 0))+(IFERROR(IF(1*INDEX('KZ-normalized'!$D:$D, MATCH($A208, 'KZ-normalized'!$A:$A, 0))-INDEX('KZ-normalized'!$E:$E, MATCH($A208, 'KZ-normalized'!$A:$A, 0))&gt;0, -(1*INDEX('KZ-normalized'!$D:$D, MATCH($A208, 'KZ-normalized'!$A:$A, 0))-INDEX('KZ-normalized'!$E:$E, MATCH($A208, 'KZ-normalized'!$A:$A, 0))), 0), 0))+(IFERROR(IF(1*INDEX('UZ-normalized'!$D:$D, MATCH($A208, 'UZ-normalized'!$A:$A, 0))-INDEX('UZ-normalized'!$E:$E, MATCH($A208, 'UZ-normalized'!$A:$A, 0))&gt;0, -(1*INDEX('UZ-normalized'!$D:$D, MATCH($A208, 'UZ-normalized'!$A:$A, 0))-INDEX('UZ-normalized'!$E:$E, MATCH($A208, 'UZ-normalized'!$A:$A, 0))), 0), 0)))</f>
        <v>0</v>
      </c>
      <c r="P208" s="6">
        <f>MIN(0, N208+(IFERROR(IF(2*INDEX('UA-normalized'!$D:$D, MATCH($A208, 'UA-normalized'!$A:$A, 0))-INDEX('UA-normalized'!$E:$E, MATCH($A208, 'UA-normalized'!$A:$A, 0))&gt;0, -(2*INDEX('UA-normalized'!$D:$D, MATCH($A208, 'UA-normalized'!$A:$A, 0))-INDEX('UA-normalized'!$E:$E, MATCH($A208, 'UA-normalized'!$A:$A, 0))), 0), 0))+(IFERROR(IF(2*INDEX('KZ-normalized'!$D:$D, MATCH($A208, 'KZ-normalized'!$A:$A, 0))-INDEX('KZ-normalized'!$E:$E, MATCH($A208, 'KZ-normalized'!$A:$A, 0))&gt;0, -(2*INDEX('KZ-normalized'!$D:$D, MATCH($A208, 'KZ-normalized'!$A:$A, 0))-INDEX('KZ-normalized'!$E:$E, MATCH($A208, 'KZ-normalized'!$A:$A, 0))), 0), 0))+(IFERROR(IF(2*INDEX('UZ-normalized'!$D:$D, MATCH($A208, 'UZ-normalized'!$A:$A, 0))-INDEX('UZ-normalized'!$E:$E, MATCH($A208, 'UZ-normalized'!$A:$A, 0))&gt;0, -(2*INDEX('UZ-normalized'!$D:$D, MATCH($A208, 'UZ-normalized'!$A:$A, 0))-INDEX('UZ-normalized'!$E:$E, MATCH($A208, 'UZ-normalized'!$A:$A, 0))), 0), 0)))</f>
        <v>0</v>
      </c>
      <c r="Q208" s="6">
        <f>MIN(0, N208+(IFERROR(IF(3*INDEX('UA-normalized'!$D:$D, MATCH($A208, 'UA-normalized'!$A:$A, 0))-INDEX('UA-normalized'!$E:$E, MATCH($A208, 'UA-normalized'!$A:$A, 0))&gt;0, -(3*INDEX('UA-normalized'!$D:$D, MATCH($A208, 'UA-normalized'!$A:$A, 0))-INDEX('UA-normalized'!$E:$E, MATCH($A208, 'UA-normalized'!$A:$A, 0))), 0), 0))+(IFERROR(IF(3*INDEX('KZ-normalized'!$D:$D, MATCH($A208, 'KZ-normalized'!$A:$A, 0))-INDEX('KZ-normalized'!$E:$E, MATCH($A208, 'KZ-normalized'!$A:$A, 0))&gt;0, -(3*INDEX('KZ-normalized'!$D:$D, MATCH($A208, 'KZ-normalized'!$A:$A, 0))-INDEX('KZ-normalized'!$E:$E, MATCH($A208, 'KZ-normalized'!$A:$A, 0))), 0), 0))+(IFERROR(IF(3*INDEX('UZ-normalized'!$D:$D, MATCH($A208, 'UZ-normalized'!$A:$A, 0))-INDEX('UZ-normalized'!$E:$E, MATCH($A208, 'UZ-normalized'!$A:$A, 0))&gt;0, -(3*INDEX('UZ-normalized'!$D:$D, MATCH($A208, 'UZ-normalized'!$A:$A, 0))-INDEX('UZ-normalized'!$E:$E, MATCH($A208, 'UZ-normalized'!$A:$A, 0))), 0), 0)))</f>
        <v>0</v>
      </c>
      <c r="R208" s="6">
        <f>MIN(0, N208+(IFERROR(IF(4*INDEX('UA-normalized'!$D:$D, MATCH($A208, 'UA-normalized'!$A:$A, 0))-INDEX('UA-normalized'!$E:$E, MATCH($A208, 'UA-normalized'!$A:$A, 0))&gt;0, -(4*INDEX('UA-normalized'!$D:$D, MATCH($A208, 'UA-normalized'!$A:$A, 0))-INDEX('UA-normalized'!$E:$E, MATCH($A208, 'UA-normalized'!$A:$A, 0))), 0), 0))+(IFERROR(IF(4*INDEX('KZ-normalized'!$D:$D, MATCH($A208, 'KZ-normalized'!$A:$A, 0))-INDEX('KZ-normalized'!$E:$E, MATCH($A208, 'KZ-normalized'!$A:$A, 0))&gt;0, -(4*INDEX('KZ-normalized'!$D:$D, MATCH($A208, 'KZ-normalized'!$A:$A, 0))-INDEX('KZ-normalized'!$E:$E, MATCH($A208, 'KZ-normalized'!$A:$A, 0))), 0), 0))+(IFERROR(IF(4*INDEX('UZ-normalized'!$D:$D, MATCH($A208, 'UZ-normalized'!$A:$A, 0))-INDEX('UZ-normalized'!$E:$E, MATCH($A208, 'UZ-normalized'!$A:$A, 0))&gt;0, -(4*INDEX('UZ-normalized'!$D:$D, MATCH($A208, 'UZ-normalized'!$A:$A, 0))-INDEX('UZ-normalized'!$E:$E, MATCH($A208, 'UZ-normalized'!$A:$A, 0))), 0), 0)))</f>
        <v>-19</v>
      </c>
      <c r="S208" s="6">
        <f>MIN(0, N208+(IFERROR(IF(5*INDEX('UA-normalized'!$D:$D, MATCH($A208, 'UA-normalized'!$A:$A, 0))-INDEX('UA-normalized'!$E:$E, MATCH($A208, 'UA-normalized'!$A:$A, 0))&gt;0, -(5*INDEX('UA-normalized'!$D:$D, MATCH($A208, 'UA-normalized'!$A:$A, 0))-INDEX('UA-normalized'!$E:$E, MATCH($A208, 'UA-normalized'!$A:$A, 0))), 0), 0))+(IFERROR(IF(5*INDEX('KZ-normalized'!$D:$D, MATCH($A208, 'KZ-normalized'!$A:$A, 0))-INDEX('KZ-normalized'!$E:$E, MATCH($A208, 'KZ-normalized'!$A:$A, 0))&gt;0, -(5*INDEX('KZ-normalized'!$D:$D, MATCH($A208, 'KZ-normalized'!$A:$A, 0))-INDEX('KZ-normalized'!$E:$E, MATCH($A208, 'KZ-normalized'!$A:$A, 0))), 0), 0))+(IFERROR(IF(5*INDEX('UZ-normalized'!$D:$D, MATCH($A208, 'UZ-normalized'!$A:$A, 0))-INDEX('UZ-normalized'!$E:$E, MATCH($A208, 'UZ-normalized'!$A:$A, 0))&gt;0, -(5*INDEX('UZ-normalized'!$D:$D, MATCH($A208, 'UZ-normalized'!$A:$A, 0))-INDEX('UZ-normalized'!$E:$E, MATCH($A208, 'UZ-normalized'!$A:$A, 0))), 0), 0)))</f>
        <v>-133</v>
      </c>
      <c r="T208" s="6">
        <f>MIN(0, N208+(IFERROR(IF(6*INDEX('UA-normalized'!$D:$D, MATCH($A208, 'UA-normalized'!$A:$A, 0))-INDEX('UA-normalized'!$E:$E, MATCH($A208, 'UA-normalized'!$A:$A, 0))&gt;0, -(6*INDEX('UA-normalized'!$D:$D, MATCH($A208, 'UA-normalized'!$A:$A, 0))-INDEX('UA-normalized'!$E:$E, MATCH($A208, 'UA-normalized'!$A:$A, 0))), 0), 0))+(IFERROR(IF(6*INDEX('KZ-normalized'!$D:$D, MATCH($A208, 'KZ-normalized'!$A:$A, 0))-INDEX('KZ-normalized'!$E:$E, MATCH($A208, 'KZ-normalized'!$A:$A, 0))&gt;0, -(6*INDEX('KZ-normalized'!$D:$D, MATCH($A208, 'KZ-normalized'!$A:$A, 0))-INDEX('KZ-normalized'!$E:$E, MATCH($A208, 'KZ-normalized'!$A:$A, 0))), 0), 0))+(IFERROR(IF(6*INDEX('UZ-normalized'!$D:$D, MATCH($A208, 'UZ-normalized'!$A:$A, 0))-INDEX('UZ-normalized'!$E:$E, MATCH($A208, 'UZ-normalized'!$A:$A, 0))&gt;0, -(6*INDEX('UZ-normalized'!$D:$D, MATCH($A208, 'UZ-normalized'!$A:$A, 0))-INDEX('UZ-normalized'!$E:$E, MATCH($A208, 'UZ-normalized'!$A:$A, 0))), 0), 0)))</f>
        <v>-252.4</v>
      </c>
      <c r="U208" s="6">
        <f>MIN(0, N208+(IFERROR(IF(7*INDEX('UA-normalized'!$D:$D, MATCH($A208, 'UA-normalized'!$A:$A, 0))-INDEX('UA-normalized'!$E:$E, MATCH($A208, 'UA-normalized'!$A:$A, 0))&gt;0, -(7*INDEX('UA-normalized'!$D:$D, MATCH($A208, 'UA-normalized'!$A:$A, 0))-INDEX('UA-normalized'!$E:$E, MATCH($A208, 'UA-normalized'!$A:$A, 0))), 0), 0))+(IFERROR(IF(7*INDEX('KZ-normalized'!$D:$D, MATCH($A208, 'KZ-normalized'!$A:$A, 0))-INDEX('KZ-normalized'!$E:$E, MATCH($A208, 'KZ-normalized'!$A:$A, 0))&gt;0, -(7*INDEX('KZ-normalized'!$D:$D, MATCH($A208, 'KZ-normalized'!$A:$A, 0))-INDEX('KZ-normalized'!$E:$E, MATCH($A208, 'KZ-normalized'!$A:$A, 0))), 0), 0))+(IFERROR(IF(7*INDEX('UZ-normalized'!$D:$D, MATCH($A208, 'UZ-normalized'!$A:$A, 0))-INDEX('UZ-normalized'!$E:$E, MATCH($A208, 'UZ-normalized'!$A:$A, 0))&gt;0, -(7*INDEX('UZ-normalized'!$D:$D, MATCH($A208, 'UZ-normalized'!$A:$A, 0))-INDEX('UZ-normalized'!$E:$E, MATCH($A208, 'UZ-normalized'!$A:$A, 0))), 0), 0)))</f>
        <v>-372.8</v>
      </c>
      <c r="V208" s="6">
        <f>MIN(0, N208+(IFERROR(IF(8*INDEX('UA-normalized'!$D:$D, MATCH($A208, 'UA-normalized'!$A:$A, 0))-INDEX('UA-normalized'!$E:$E, MATCH($A208, 'UA-normalized'!$A:$A, 0))&gt;0, -(8*INDEX('UA-normalized'!$D:$D, MATCH($A208, 'UA-normalized'!$A:$A, 0))-INDEX('UA-normalized'!$E:$E, MATCH($A208, 'UA-normalized'!$A:$A, 0))), 0), 0))+(IFERROR(IF(8*INDEX('KZ-normalized'!$D:$D, MATCH($A208, 'KZ-normalized'!$A:$A, 0))-INDEX('KZ-normalized'!$E:$E, MATCH($A208, 'KZ-normalized'!$A:$A, 0))&gt;0, -(8*INDEX('KZ-normalized'!$D:$D, MATCH($A208, 'KZ-normalized'!$A:$A, 0))-INDEX('KZ-normalized'!$E:$E, MATCH($A208, 'KZ-normalized'!$A:$A, 0))), 0), 0))+(IFERROR(IF(8*INDEX('UZ-normalized'!$D:$D, MATCH($A208, 'UZ-normalized'!$A:$A, 0))-INDEX('UZ-normalized'!$E:$E, MATCH($A208, 'UZ-normalized'!$A:$A, 0))&gt;0, -(8*INDEX('UZ-normalized'!$D:$D, MATCH($A208, 'UZ-normalized'!$A:$A, 0))-INDEX('UZ-normalized'!$E:$E, MATCH($A208, 'UZ-normalized'!$A:$A, 0))), 0), 0)))</f>
        <v>-500.2</v>
      </c>
      <c r="W208" s="6">
        <f>MIN(0, N208+(IFERROR(IF(9*INDEX('UA-normalized'!$D:$D, MATCH($A208, 'UA-normalized'!$A:$A, 0))-INDEX('UA-normalized'!$E:$E, MATCH($A208, 'UA-normalized'!$A:$A, 0))&gt;0, -(9*INDEX('UA-normalized'!$D:$D, MATCH($A208, 'UA-normalized'!$A:$A, 0))-INDEX('UA-normalized'!$E:$E, MATCH($A208, 'UA-normalized'!$A:$A, 0))), 0), 0))+(IFERROR(IF(9*INDEX('KZ-normalized'!$D:$D, MATCH($A208, 'KZ-normalized'!$A:$A, 0))-INDEX('KZ-normalized'!$E:$E, MATCH($A208, 'KZ-normalized'!$A:$A, 0))&gt;0, -(9*INDEX('KZ-normalized'!$D:$D, MATCH($A208, 'KZ-normalized'!$A:$A, 0))-INDEX('KZ-normalized'!$E:$E, MATCH($A208, 'KZ-normalized'!$A:$A, 0))), 0), 0))+(IFERROR(IF(9*INDEX('UZ-normalized'!$D:$D, MATCH($A208, 'UZ-normalized'!$A:$A, 0))-INDEX('UZ-normalized'!$E:$E, MATCH($A208, 'UZ-normalized'!$A:$A, 0))&gt;0, -(9*INDEX('UZ-normalized'!$D:$D, MATCH($A208, 'UZ-normalized'!$A:$A, 0))-INDEX('UZ-normalized'!$E:$E, MATCH($A208, 'UZ-normalized'!$A:$A, 0))), 0), 0)))</f>
        <v>-627.6</v>
      </c>
      <c r="X208" s="6">
        <f>MIN(0, N208+(IFERROR(IF(10*INDEX('UA-normalized'!$D:$D, MATCH($A208, 'UA-normalized'!$A:$A, 0))-INDEX('UA-normalized'!$E:$E, MATCH($A208, 'UA-normalized'!$A:$A, 0))&gt;0, -(10*INDEX('UA-normalized'!$D:$D, MATCH($A208, 'UA-normalized'!$A:$A, 0))-INDEX('UA-normalized'!$E:$E, MATCH($A208, 'UA-normalized'!$A:$A, 0))), 0), 0))+(IFERROR(IF(10*INDEX('KZ-normalized'!$D:$D, MATCH($A208, 'KZ-normalized'!$A:$A, 0))-INDEX('KZ-normalized'!$E:$E, MATCH($A208, 'KZ-normalized'!$A:$A, 0))&gt;0, -(10*INDEX('KZ-normalized'!$D:$D, MATCH($A208, 'KZ-normalized'!$A:$A, 0))-INDEX('KZ-normalized'!$E:$E, MATCH($A208, 'KZ-normalized'!$A:$A, 0))), 0), 0))+(IFERROR(IF(10*INDEX('UZ-normalized'!$D:$D, MATCH($A208, 'UZ-normalized'!$A:$A, 0))-INDEX('UZ-normalized'!$E:$E, MATCH($A208, 'UZ-normalized'!$A:$A, 0))&gt;0, -(10*INDEX('UZ-normalized'!$D:$D, MATCH($A208, 'UZ-normalized'!$A:$A, 0))-INDEX('UZ-normalized'!$E:$E, MATCH($A208, 'UZ-normalized'!$A:$A, 0))), 0), 0)))</f>
        <v>-755</v>
      </c>
      <c r="Y208" s="6">
        <f>MIN(0, N208+(IFERROR(IF(11*INDEX('UA-normalized'!$D:$D, MATCH($A208, 'UA-normalized'!$A:$A, 0))-INDEX('UA-normalized'!$E:$E, MATCH($A208, 'UA-normalized'!$A:$A, 0))&gt;0, -(11*INDEX('UA-normalized'!$D:$D, MATCH($A208, 'UA-normalized'!$A:$A, 0))-INDEX('UA-normalized'!$E:$E, MATCH($A208, 'UA-normalized'!$A:$A, 0))), 0), 0))+(IFERROR(IF(11*INDEX('KZ-normalized'!$D:$D, MATCH($A208, 'KZ-normalized'!$A:$A, 0))-INDEX('KZ-normalized'!$E:$E, MATCH($A208, 'KZ-normalized'!$A:$A, 0))&gt;0, -(11*INDEX('KZ-normalized'!$D:$D, MATCH($A208, 'KZ-normalized'!$A:$A, 0))-INDEX('KZ-normalized'!$E:$E, MATCH($A208, 'KZ-normalized'!$A:$A, 0))), 0), 0))+(IFERROR(IF(11*INDEX('UZ-normalized'!$D:$D, MATCH($A208, 'UZ-normalized'!$A:$A, 0))-INDEX('UZ-normalized'!$E:$E, MATCH($A208, 'UZ-normalized'!$A:$A, 0))&gt;0, -(11*INDEX('UZ-normalized'!$D:$D, MATCH($A208, 'UZ-normalized'!$A:$A, 0))-INDEX('UZ-normalized'!$E:$E, MATCH($A208, 'UZ-normalized'!$A:$A, 0))), 0), 0)))</f>
        <v>-882.4</v>
      </c>
      <c r="Z208" s="6">
        <f>MIN(0, N208+(IFERROR(IF(12*INDEX('UA-normalized'!$D:$D, MATCH($A208, 'UA-normalized'!$A:$A, 0))-INDEX('UA-normalized'!$E:$E, MATCH($A208, 'UA-normalized'!$A:$A, 0))&gt;0, -(12*INDEX('UA-normalized'!$D:$D, MATCH($A208, 'UA-normalized'!$A:$A, 0))-INDEX('UA-normalized'!$E:$E, MATCH($A208, 'UA-normalized'!$A:$A, 0))), 0), 0))+(IFERROR(IF(12*INDEX('KZ-normalized'!$D:$D, MATCH($A208, 'KZ-normalized'!$A:$A, 0))-INDEX('KZ-normalized'!$E:$E, MATCH($A208, 'KZ-normalized'!$A:$A, 0))&gt;0, -(12*INDEX('KZ-normalized'!$D:$D, MATCH($A208, 'KZ-normalized'!$A:$A, 0))-INDEX('KZ-normalized'!$E:$E, MATCH($A208, 'KZ-normalized'!$A:$A, 0))), 0), 0))+(IFERROR(IF(12*INDEX('UZ-normalized'!$D:$D, MATCH($A208, 'UZ-normalized'!$A:$A, 0))-INDEX('UZ-normalized'!$E:$E, MATCH($A208, 'UZ-normalized'!$A:$A, 0))&gt;0, -(12*INDEX('UZ-normalized'!$D:$D, MATCH($A208, 'UZ-normalized'!$A:$A, 0))-INDEX('UZ-normalized'!$E:$E, MATCH($A208, 'UZ-normalized'!$A:$A, 0))), 0), 0)))</f>
        <v>-1009.8</v>
      </c>
      <c r="AA208" s="6">
        <f>MIN(0, N208+(IFERROR(IF(13*INDEX('UA-normalized'!$D:$D, MATCH($A208, 'UA-normalized'!$A:$A, 0))-INDEX('UA-normalized'!$E:$E, MATCH($A208, 'UA-normalized'!$A:$A, 0))&gt;0, -(13*INDEX('UA-normalized'!$D:$D, MATCH($A208, 'UA-normalized'!$A:$A, 0))-INDEX('UA-normalized'!$E:$E, MATCH($A208, 'UA-normalized'!$A:$A, 0))), 0), 0))+(IFERROR(IF(13*INDEX('KZ-normalized'!$D:$D, MATCH($A208, 'KZ-normalized'!$A:$A, 0))-INDEX('KZ-normalized'!$E:$E, MATCH($A208, 'KZ-normalized'!$A:$A, 0))&gt;0, -(13*INDEX('KZ-normalized'!$D:$D, MATCH($A208, 'KZ-normalized'!$A:$A, 0))-INDEX('KZ-normalized'!$E:$E, MATCH($A208, 'KZ-normalized'!$A:$A, 0))), 0), 0))+(IFERROR(IF(13*INDEX('UZ-normalized'!$D:$D, MATCH($A208, 'UZ-normalized'!$A:$A, 0))-INDEX('UZ-normalized'!$E:$E, MATCH($A208, 'UZ-normalized'!$A:$A, 0))&gt;0, -(13*INDEX('UZ-normalized'!$D:$D, MATCH($A208, 'UZ-normalized'!$A:$A, 0))-INDEX('UZ-normalized'!$E:$E, MATCH($A208, 'UZ-normalized'!$A:$A, 0))), 0), 0)))</f>
        <v>-1137.2</v>
      </c>
      <c r="AB208" s="6">
        <f>MIN(0, N208+(IFERROR(IF(14*INDEX('UA-normalized'!$D:$D, MATCH($A208, 'UA-normalized'!$A:$A, 0))-INDEX('UA-normalized'!$E:$E, MATCH($A208, 'UA-normalized'!$A:$A, 0))&gt;0, -(14*INDEX('UA-normalized'!$D:$D, MATCH($A208, 'UA-normalized'!$A:$A, 0))-INDEX('UA-normalized'!$E:$E, MATCH($A208, 'UA-normalized'!$A:$A, 0))), 0), 0))+(IFERROR(IF(14*INDEX('KZ-normalized'!$D:$D, MATCH($A208, 'KZ-normalized'!$A:$A, 0))-INDEX('KZ-normalized'!$E:$E, MATCH($A208, 'KZ-normalized'!$A:$A, 0))&gt;0, -(14*INDEX('KZ-normalized'!$D:$D, MATCH($A208, 'KZ-normalized'!$A:$A, 0))-INDEX('KZ-normalized'!$E:$E, MATCH($A208, 'KZ-normalized'!$A:$A, 0))), 0), 0))+(IFERROR(IF(14*INDEX('UZ-normalized'!$D:$D, MATCH($A208, 'UZ-normalized'!$A:$A, 0))-INDEX('UZ-normalized'!$E:$E, MATCH($A208, 'UZ-normalized'!$A:$A, 0))&gt;0, -(14*INDEX('UZ-normalized'!$D:$D, MATCH($A208, 'UZ-normalized'!$A:$A, 0))-INDEX('UZ-normalized'!$E:$E, MATCH($A208, 'UZ-normalized'!$A:$A, 0))), 0), 0)))</f>
        <v>-1264.5999999999999</v>
      </c>
      <c r="AC208" s="6">
        <f>MIN(0, N208+(IFERROR(IF(15*INDEX('UA-normalized'!$D:$D, MATCH($A208, 'UA-normalized'!$A:$A, 0))-INDEX('UA-normalized'!$E:$E, MATCH($A208, 'UA-normalized'!$A:$A, 0))&gt;0, -(15*INDEX('UA-normalized'!$D:$D, MATCH($A208, 'UA-normalized'!$A:$A, 0))-INDEX('UA-normalized'!$E:$E, MATCH($A208, 'UA-normalized'!$A:$A, 0))), 0), 0))+(IFERROR(IF(15*INDEX('KZ-normalized'!$D:$D, MATCH($A208, 'KZ-normalized'!$A:$A, 0))-INDEX('KZ-normalized'!$E:$E, MATCH($A208, 'KZ-normalized'!$A:$A, 0))&gt;0, -(15*INDEX('KZ-normalized'!$D:$D, MATCH($A208, 'KZ-normalized'!$A:$A, 0))-INDEX('KZ-normalized'!$E:$E, MATCH($A208, 'KZ-normalized'!$A:$A, 0))), 0), 0))+(IFERROR(IF(15*INDEX('UZ-normalized'!$D:$D, MATCH($A208, 'UZ-normalized'!$A:$A, 0))-INDEX('UZ-normalized'!$E:$E, MATCH($A208, 'UZ-normalized'!$A:$A, 0))&gt;0, -(15*INDEX('UZ-normalized'!$D:$D, MATCH($A208, 'UZ-normalized'!$A:$A, 0))-INDEX('UZ-normalized'!$E:$E, MATCH($A208, 'UZ-normalized'!$A:$A, 0))), 0), 0)))</f>
        <v>-1392</v>
      </c>
      <c r="AD208" s="6">
        <f>MIN(0, N208+(IFERROR(IF(16*INDEX('UA-normalized'!$D:$D, MATCH($A208, 'UA-normalized'!$A:$A, 0))-INDEX('UA-normalized'!$E:$E, MATCH($A208, 'UA-normalized'!$A:$A, 0))&gt;0, -(16*INDEX('UA-normalized'!$D:$D, MATCH($A208, 'UA-normalized'!$A:$A, 0))-INDEX('UA-normalized'!$E:$E, MATCH($A208, 'UA-normalized'!$A:$A, 0))), 0), 0))+(IFERROR(IF(16*INDEX('KZ-normalized'!$D:$D, MATCH($A208, 'KZ-normalized'!$A:$A, 0))-INDEX('KZ-normalized'!$E:$E, MATCH($A208, 'KZ-normalized'!$A:$A, 0))&gt;0, -(16*INDEX('KZ-normalized'!$D:$D, MATCH($A208, 'KZ-normalized'!$A:$A, 0))-INDEX('KZ-normalized'!$E:$E, MATCH($A208, 'KZ-normalized'!$A:$A, 0))), 0), 0))+(IFERROR(IF(16*INDEX('UZ-normalized'!$D:$D, MATCH($A208, 'UZ-normalized'!$A:$A, 0))-INDEX('UZ-normalized'!$E:$E, MATCH($A208, 'UZ-normalized'!$A:$A, 0))&gt;0, -(16*INDEX('UZ-normalized'!$D:$D, MATCH($A208, 'UZ-normalized'!$A:$A, 0))-INDEX('UZ-normalized'!$E:$E, MATCH($A208, 'UZ-normalized'!$A:$A, 0))), 0), 0)))</f>
        <v>-1519.4</v>
      </c>
      <c r="AE208" s="6">
        <f>MIN(0, N208+(IFERROR(IF(17*INDEX('UA-normalized'!$D:$D, MATCH($A208, 'UA-normalized'!$A:$A, 0))-INDEX('UA-normalized'!$E:$E, MATCH($A208, 'UA-normalized'!$A:$A, 0))&gt;0, -(17*INDEX('UA-normalized'!$D:$D, MATCH($A208, 'UA-normalized'!$A:$A, 0))-INDEX('UA-normalized'!$E:$E, MATCH($A208, 'UA-normalized'!$A:$A, 0))), 0), 0))+(IFERROR(IF(17*INDEX('KZ-normalized'!$D:$D, MATCH($A208, 'KZ-normalized'!$A:$A, 0))-INDEX('KZ-normalized'!$E:$E, MATCH($A208, 'KZ-normalized'!$A:$A, 0))&gt;0, -(17*INDEX('KZ-normalized'!$D:$D, MATCH($A208, 'KZ-normalized'!$A:$A, 0))-INDEX('KZ-normalized'!$E:$E, MATCH($A208, 'KZ-normalized'!$A:$A, 0))), 0), 0))+(IFERROR(IF(17*INDEX('UZ-normalized'!$D:$D, MATCH($A208, 'UZ-normalized'!$A:$A, 0))-INDEX('UZ-normalized'!$E:$E, MATCH($A208, 'UZ-normalized'!$A:$A, 0))&gt;0, -(17*INDEX('UZ-normalized'!$D:$D, MATCH($A208, 'UZ-normalized'!$A:$A, 0))-INDEX('UZ-normalized'!$E:$E, MATCH($A208, 'UZ-normalized'!$A:$A, 0))), 0), 0)))</f>
        <v>-1646.8</v>
      </c>
      <c r="AF208" s="6">
        <f>MIN(0, N208+(IFERROR(IF(18*INDEX('UA-normalized'!$D:$D, MATCH($A208, 'UA-normalized'!$A:$A, 0))-INDEX('UA-normalized'!$E:$E, MATCH($A208, 'UA-normalized'!$A:$A, 0))&gt;0, -(18*INDEX('UA-normalized'!$D:$D, MATCH($A208, 'UA-normalized'!$A:$A, 0))-INDEX('UA-normalized'!$E:$E, MATCH($A208, 'UA-normalized'!$A:$A, 0))), 0), 0))+(IFERROR(IF(18*INDEX('KZ-normalized'!$D:$D, MATCH($A208, 'KZ-normalized'!$A:$A, 0))-INDEX('KZ-normalized'!$E:$E, MATCH($A208, 'KZ-normalized'!$A:$A, 0))&gt;0, -(18*INDEX('KZ-normalized'!$D:$D, MATCH($A208, 'KZ-normalized'!$A:$A, 0))-INDEX('KZ-normalized'!$E:$E, MATCH($A208, 'KZ-normalized'!$A:$A, 0))), 0), 0))+(IFERROR(IF(18*INDEX('UZ-normalized'!$D:$D, MATCH($A208, 'UZ-normalized'!$A:$A, 0))-INDEX('UZ-normalized'!$E:$E, MATCH($A208, 'UZ-normalized'!$A:$A, 0))&gt;0, -(18*INDEX('UZ-normalized'!$D:$D, MATCH($A208, 'UZ-normalized'!$A:$A, 0))-INDEX('UZ-normalized'!$E:$E, MATCH($A208, 'UZ-normalized'!$A:$A, 0))), 0), 0)))</f>
        <v>-1774.2</v>
      </c>
      <c r="AG208" s="6">
        <f>MIN(0, N208+(IFERROR(IF(19*INDEX('UA-normalized'!$D:$D, MATCH($A208, 'UA-normalized'!$A:$A, 0))-INDEX('UA-normalized'!$E:$E, MATCH($A208, 'UA-normalized'!$A:$A, 0))&gt;0, -(19*INDEX('UA-normalized'!$D:$D, MATCH($A208, 'UA-normalized'!$A:$A, 0))-INDEX('UA-normalized'!$E:$E, MATCH($A208, 'UA-normalized'!$A:$A, 0))), 0), 0))+(IFERROR(IF(19*INDEX('KZ-normalized'!$D:$D, MATCH($A208, 'KZ-normalized'!$A:$A, 0))-INDEX('KZ-normalized'!$E:$E, MATCH($A208, 'KZ-normalized'!$A:$A, 0))&gt;0, -(19*INDEX('KZ-normalized'!$D:$D, MATCH($A208, 'KZ-normalized'!$A:$A, 0))-INDEX('KZ-normalized'!$E:$E, MATCH($A208, 'KZ-normalized'!$A:$A, 0))), 0), 0))+(IFERROR(IF(19*INDEX('UZ-normalized'!$D:$D, MATCH($A208, 'UZ-normalized'!$A:$A, 0))-INDEX('UZ-normalized'!$E:$E, MATCH($A208, 'UZ-normalized'!$A:$A, 0))&gt;0, -(19*INDEX('UZ-normalized'!$D:$D, MATCH($A208, 'UZ-normalized'!$A:$A, 0))-INDEX('UZ-normalized'!$E:$E, MATCH($A208, 'UZ-normalized'!$A:$A, 0))), 0), 0)))</f>
        <v>-1901.6</v>
      </c>
      <c r="AH208" s="6">
        <f>MIN(0, N208+(IFERROR(IF(20*INDEX('UA-normalized'!$D:$D, MATCH($A208, 'UA-normalized'!$A:$A, 0))-INDEX('UA-normalized'!$E:$E, MATCH($A208, 'UA-normalized'!$A:$A, 0))&gt;0, -(20*INDEX('UA-normalized'!$D:$D, MATCH($A208, 'UA-normalized'!$A:$A, 0))-INDEX('UA-normalized'!$E:$E, MATCH($A208, 'UA-normalized'!$A:$A, 0))), 0), 0))+(IFERROR(IF(20*INDEX('KZ-normalized'!$D:$D, MATCH($A208, 'KZ-normalized'!$A:$A, 0))-INDEX('KZ-normalized'!$E:$E, MATCH($A208, 'KZ-normalized'!$A:$A, 0))&gt;0, -(20*INDEX('KZ-normalized'!$D:$D, MATCH($A208, 'KZ-normalized'!$A:$A, 0))-INDEX('KZ-normalized'!$E:$E, MATCH($A208, 'KZ-normalized'!$A:$A, 0))), 0), 0))+(IFERROR(IF(20*INDEX('UZ-normalized'!$D:$D, MATCH($A208, 'UZ-normalized'!$A:$A, 0))-INDEX('UZ-normalized'!$E:$E, MATCH($A208, 'UZ-normalized'!$A:$A, 0))&gt;0, -(20*INDEX('UZ-normalized'!$D:$D, MATCH($A208, 'UZ-normalized'!$A:$A, 0))-INDEX('UZ-normalized'!$E:$E, MATCH($A208, 'UZ-normalized'!$A:$A, 0))), 0), 0)))</f>
        <v>-2029</v>
      </c>
      <c r="AI208" s="6">
        <f>MIN(0, N208+(IFERROR(IF(21*INDEX('UA-normalized'!$D:$D, MATCH($A208, 'UA-normalized'!$A:$A, 0))-INDEX('UA-normalized'!$E:$E, MATCH($A208, 'UA-normalized'!$A:$A, 0))&gt;0, -(21*INDEX('UA-normalized'!$D:$D, MATCH($A208, 'UA-normalized'!$A:$A, 0))-INDEX('UA-normalized'!$E:$E, MATCH($A208, 'UA-normalized'!$A:$A, 0))), 0), 0))+(IFERROR(IF(21*INDEX('KZ-normalized'!$D:$D, MATCH($A208, 'KZ-normalized'!$A:$A, 0))-INDEX('KZ-normalized'!$E:$E, MATCH($A208, 'KZ-normalized'!$A:$A, 0))&gt;0, -(21*INDEX('KZ-normalized'!$D:$D, MATCH($A208, 'KZ-normalized'!$A:$A, 0))-INDEX('KZ-normalized'!$E:$E, MATCH($A208, 'KZ-normalized'!$A:$A, 0))), 0), 0))+(IFERROR(IF(21*INDEX('UZ-normalized'!$D:$D, MATCH($A208, 'UZ-normalized'!$A:$A, 0))-INDEX('UZ-normalized'!$E:$E, MATCH($A208, 'UZ-normalized'!$A:$A, 0))&gt;0, -(21*INDEX('UZ-normalized'!$D:$D, MATCH($A208, 'UZ-normalized'!$A:$A, 0))-INDEX('UZ-normalized'!$E:$E, MATCH($A208, 'UZ-normalized'!$A:$A, 0))), 0), 0)))</f>
        <v>-2156.4</v>
      </c>
      <c r="AJ208" s="6">
        <f>MIN(0, N208+(IFERROR(IF(22*INDEX('UA-normalized'!$D:$D, MATCH($A208, 'UA-normalized'!$A:$A, 0))-INDEX('UA-normalized'!$E:$E, MATCH($A208, 'UA-normalized'!$A:$A, 0))&gt;0, -(22*INDEX('UA-normalized'!$D:$D, MATCH($A208, 'UA-normalized'!$A:$A, 0))-INDEX('UA-normalized'!$E:$E, MATCH($A208, 'UA-normalized'!$A:$A, 0))), 0), 0))+(IFERROR(IF(22*INDEX('KZ-normalized'!$D:$D, MATCH($A208, 'KZ-normalized'!$A:$A, 0))-INDEX('KZ-normalized'!$E:$E, MATCH($A208, 'KZ-normalized'!$A:$A, 0))&gt;0, -(22*INDEX('KZ-normalized'!$D:$D, MATCH($A208, 'KZ-normalized'!$A:$A, 0))-INDEX('KZ-normalized'!$E:$E, MATCH($A208, 'KZ-normalized'!$A:$A, 0))), 0), 0))+(IFERROR(IF(22*INDEX('UZ-normalized'!$D:$D, MATCH($A208, 'UZ-normalized'!$A:$A, 0))-INDEX('UZ-normalized'!$E:$E, MATCH($A208, 'UZ-normalized'!$A:$A, 0))&gt;0, -(22*INDEX('UZ-normalized'!$D:$D, MATCH($A208, 'UZ-normalized'!$A:$A, 0))-INDEX('UZ-normalized'!$E:$E, MATCH($A208, 'UZ-normalized'!$A:$A, 0))), 0), 0)))</f>
        <v>-2283.8000000000002</v>
      </c>
      <c r="AK208" s="6">
        <f>MIN(0, N208+(IFERROR(IF(23*INDEX('UA-normalized'!$D:$D, MATCH($A208, 'UA-normalized'!$A:$A, 0))-INDEX('UA-normalized'!$E:$E, MATCH($A208, 'UA-normalized'!$A:$A, 0))&gt;0, -(23*INDEX('UA-normalized'!$D:$D, MATCH($A208, 'UA-normalized'!$A:$A, 0))-INDEX('UA-normalized'!$E:$E, MATCH($A208, 'UA-normalized'!$A:$A, 0))), 0), 0))+(IFERROR(IF(23*INDEX('KZ-normalized'!$D:$D, MATCH($A208, 'KZ-normalized'!$A:$A, 0))-INDEX('KZ-normalized'!$E:$E, MATCH($A208, 'KZ-normalized'!$A:$A, 0))&gt;0, -(23*INDEX('KZ-normalized'!$D:$D, MATCH($A208, 'KZ-normalized'!$A:$A, 0))-INDEX('KZ-normalized'!$E:$E, MATCH($A208, 'KZ-normalized'!$A:$A, 0))), 0), 0))+(IFERROR(IF(23*INDEX('UZ-normalized'!$D:$D, MATCH($A208, 'UZ-normalized'!$A:$A, 0))-INDEX('UZ-normalized'!$E:$E, MATCH($A208, 'UZ-normalized'!$A:$A, 0))&gt;0, -(23*INDEX('UZ-normalized'!$D:$D, MATCH($A208, 'UZ-normalized'!$A:$A, 0))-INDEX('UZ-normalized'!$E:$E, MATCH($A208, 'UZ-normalized'!$A:$A, 0))), 0), 0)))</f>
        <v>-2411.1999999999998</v>
      </c>
      <c r="AL208" s="6">
        <f>MIN(0, N208+(IFERROR(IF(24*INDEX('UA-normalized'!$D:$D, MATCH($A208, 'UA-normalized'!$A:$A, 0))-INDEX('UA-normalized'!$E:$E, MATCH($A208, 'UA-normalized'!$A:$A, 0))&gt;0, -(24*INDEX('UA-normalized'!$D:$D, MATCH($A208, 'UA-normalized'!$A:$A, 0))-INDEX('UA-normalized'!$E:$E, MATCH($A208, 'UA-normalized'!$A:$A, 0))), 0), 0))+(IFERROR(IF(24*INDEX('KZ-normalized'!$D:$D, MATCH($A208, 'KZ-normalized'!$A:$A, 0))-INDEX('KZ-normalized'!$E:$E, MATCH($A208, 'KZ-normalized'!$A:$A, 0))&gt;0, -(24*INDEX('KZ-normalized'!$D:$D, MATCH($A208, 'KZ-normalized'!$A:$A, 0))-INDEX('KZ-normalized'!$E:$E, MATCH($A208, 'KZ-normalized'!$A:$A, 0))), 0), 0))+(IFERROR(IF(24*INDEX('UZ-normalized'!$D:$D, MATCH($A208, 'UZ-normalized'!$A:$A, 0))-INDEX('UZ-normalized'!$E:$E, MATCH($A208, 'UZ-normalized'!$A:$A, 0))&gt;0, -(24*INDEX('UZ-normalized'!$D:$D, MATCH($A208, 'UZ-normalized'!$A:$A, 0))-INDEX('UZ-normalized'!$E:$E, MATCH($A208, 'UZ-normalized'!$A:$A, 0))), 0), 0)))</f>
        <v>-2538.6</v>
      </c>
      <c r="AM208" s="6">
        <f>MIN(0, N208+(IFERROR(IF(25*INDEX('UA-normalized'!$D:$D, MATCH($A208, 'UA-normalized'!$A:$A, 0))-INDEX('UA-normalized'!$E:$E, MATCH($A208, 'UA-normalized'!$A:$A, 0))&gt;0, -(25*INDEX('UA-normalized'!$D:$D, MATCH($A208, 'UA-normalized'!$A:$A, 0))-INDEX('UA-normalized'!$E:$E, MATCH($A208, 'UA-normalized'!$A:$A, 0))), 0), 0))+(IFERROR(IF(25*INDEX('KZ-normalized'!$D:$D, MATCH($A208, 'KZ-normalized'!$A:$A, 0))-INDEX('KZ-normalized'!$E:$E, MATCH($A208, 'KZ-normalized'!$A:$A, 0))&gt;0, -(25*INDEX('KZ-normalized'!$D:$D, MATCH($A208, 'KZ-normalized'!$A:$A, 0))-INDEX('KZ-normalized'!$E:$E, MATCH($A208, 'KZ-normalized'!$A:$A, 0))), 0), 0))+(IFERROR(IF(25*INDEX('UZ-normalized'!$D:$D, MATCH($A208, 'UZ-normalized'!$A:$A, 0))-INDEX('UZ-normalized'!$E:$E, MATCH($A208, 'UZ-normalized'!$A:$A, 0))&gt;0, -(25*INDEX('UZ-normalized'!$D:$D, MATCH($A208, 'UZ-normalized'!$A:$A, 0))-INDEX('UZ-normalized'!$E:$E, MATCH($A208, 'UZ-normalized'!$A:$A, 0))), 0), 0)))</f>
        <v>-2666</v>
      </c>
      <c r="AN208" s="6">
        <f>MIN(0, N208+(IFERROR(IF(26*INDEX('UA-normalized'!$D:$D, MATCH($A208, 'UA-normalized'!$A:$A, 0))-INDEX('UA-normalized'!$E:$E, MATCH($A208, 'UA-normalized'!$A:$A, 0))&gt;0, -(26*INDEX('UA-normalized'!$D:$D, MATCH($A208, 'UA-normalized'!$A:$A, 0))-INDEX('UA-normalized'!$E:$E, MATCH($A208, 'UA-normalized'!$A:$A, 0))), 0), 0))+(IFERROR(IF(26*INDEX('KZ-normalized'!$D:$D, MATCH($A208, 'KZ-normalized'!$A:$A, 0))-INDEX('KZ-normalized'!$E:$E, MATCH($A208, 'KZ-normalized'!$A:$A, 0))&gt;0, -(26*INDEX('KZ-normalized'!$D:$D, MATCH($A208, 'KZ-normalized'!$A:$A, 0))-INDEX('KZ-normalized'!$E:$E, MATCH($A208, 'KZ-normalized'!$A:$A, 0))), 0), 0))+(IFERROR(IF(26*INDEX('UZ-normalized'!$D:$D, MATCH($A208, 'UZ-normalized'!$A:$A, 0))-INDEX('UZ-normalized'!$E:$E, MATCH($A208, 'UZ-normalized'!$A:$A, 0))&gt;0, -(26*INDEX('UZ-normalized'!$D:$D, MATCH($A208, 'UZ-normalized'!$A:$A, 0))-INDEX('UZ-normalized'!$E:$E, MATCH($A208, 'UZ-normalized'!$A:$A, 0))), 0), 0)))</f>
        <v>-2793.4</v>
      </c>
      <c r="AO208" s="6">
        <f>MIN(0, N208+(IFERROR(IF(27*INDEX('UA-normalized'!$D:$D, MATCH($A208, 'UA-normalized'!$A:$A, 0))-INDEX('UA-normalized'!$E:$E, MATCH($A208, 'UA-normalized'!$A:$A, 0))&gt;0, -(27*INDEX('UA-normalized'!$D:$D, MATCH($A208, 'UA-normalized'!$A:$A, 0))-INDEX('UA-normalized'!$E:$E, MATCH($A208, 'UA-normalized'!$A:$A, 0))), 0), 0))+(IFERROR(IF(27*INDEX('KZ-normalized'!$D:$D, MATCH($A208, 'KZ-normalized'!$A:$A, 0))-INDEX('KZ-normalized'!$E:$E, MATCH($A208, 'KZ-normalized'!$A:$A, 0))&gt;0, -(27*INDEX('KZ-normalized'!$D:$D, MATCH($A208, 'KZ-normalized'!$A:$A, 0))-INDEX('KZ-normalized'!$E:$E, MATCH($A208, 'KZ-normalized'!$A:$A, 0))), 0), 0))+(IFERROR(IF(27*INDEX('UZ-normalized'!$D:$D, MATCH($A208, 'UZ-normalized'!$A:$A, 0))-INDEX('UZ-normalized'!$E:$E, MATCH($A208, 'UZ-normalized'!$A:$A, 0))&gt;0, -(27*INDEX('UZ-normalized'!$D:$D, MATCH($A208, 'UZ-normalized'!$A:$A, 0))-INDEX('UZ-normalized'!$E:$E, MATCH($A208, 'UZ-normalized'!$A:$A, 0))), 0), 0)))</f>
        <v>-2920.8</v>
      </c>
      <c r="AP208" s="6">
        <f>MIN(0, N208+(IFERROR(IF(28*INDEX('UA-normalized'!$D:$D, MATCH($A208, 'UA-normalized'!$A:$A, 0))-INDEX('UA-normalized'!$E:$E, MATCH($A208, 'UA-normalized'!$A:$A, 0))&gt;0, -(28*INDEX('UA-normalized'!$D:$D, MATCH($A208, 'UA-normalized'!$A:$A, 0))-INDEX('UA-normalized'!$E:$E, MATCH($A208, 'UA-normalized'!$A:$A, 0))), 0), 0))+(IFERROR(IF(28*INDEX('KZ-normalized'!$D:$D, MATCH($A208, 'KZ-normalized'!$A:$A, 0))-INDEX('KZ-normalized'!$E:$E, MATCH($A208, 'KZ-normalized'!$A:$A, 0))&gt;0, -(28*INDEX('KZ-normalized'!$D:$D, MATCH($A208, 'KZ-normalized'!$A:$A, 0))-INDEX('KZ-normalized'!$E:$E, MATCH($A208, 'KZ-normalized'!$A:$A, 0))), 0), 0))+(IFERROR(IF(28*INDEX('UZ-normalized'!$D:$D, MATCH($A208, 'UZ-normalized'!$A:$A, 0))-INDEX('UZ-normalized'!$E:$E, MATCH($A208, 'UZ-normalized'!$A:$A, 0))&gt;0, -(28*INDEX('UZ-normalized'!$D:$D, MATCH($A208, 'UZ-normalized'!$A:$A, 0))-INDEX('UZ-normalized'!$E:$E, MATCH($A208, 'UZ-normalized'!$A:$A, 0))), 0), 0)))</f>
        <v>-3048.2</v>
      </c>
      <c r="AQ208" s="6">
        <f>MIN(0, N208+(IFERROR(IF(29*INDEX('UA-normalized'!$D:$D, MATCH($A208, 'UA-normalized'!$A:$A, 0))-INDEX('UA-normalized'!$E:$E, MATCH($A208, 'UA-normalized'!$A:$A, 0))&gt;0, -(29*INDEX('UA-normalized'!$D:$D, MATCH($A208, 'UA-normalized'!$A:$A, 0))-INDEX('UA-normalized'!$E:$E, MATCH($A208, 'UA-normalized'!$A:$A, 0))), 0), 0))+(IFERROR(IF(29*INDEX('KZ-normalized'!$D:$D, MATCH($A208, 'KZ-normalized'!$A:$A, 0))-INDEX('KZ-normalized'!$E:$E, MATCH($A208, 'KZ-normalized'!$A:$A, 0))&gt;0, -(29*INDEX('KZ-normalized'!$D:$D, MATCH($A208, 'KZ-normalized'!$A:$A, 0))-INDEX('KZ-normalized'!$E:$E, MATCH($A208, 'KZ-normalized'!$A:$A, 0))), 0), 0))+(IFERROR(IF(29*INDEX('UZ-normalized'!$D:$D, MATCH($A208, 'UZ-normalized'!$A:$A, 0))-INDEX('UZ-normalized'!$E:$E, MATCH($A208, 'UZ-normalized'!$A:$A, 0))&gt;0, -(29*INDEX('UZ-normalized'!$D:$D, MATCH($A208, 'UZ-normalized'!$A:$A, 0))-INDEX('UZ-normalized'!$E:$E, MATCH($A208, 'UZ-normalized'!$A:$A, 0))), 0), 0)))</f>
        <v>-3175.6</v>
      </c>
      <c r="AR208" s="6">
        <f>MIN(0, N208+(IFERROR(IF(30*INDEX('UA-normalized'!$D:$D, MATCH($A208, 'UA-normalized'!$A:$A, 0))-INDEX('UA-normalized'!$E:$E, MATCH($A208, 'UA-normalized'!$A:$A, 0))&gt;0, -(30*INDEX('UA-normalized'!$D:$D, MATCH($A208, 'UA-normalized'!$A:$A, 0))-INDEX('UA-normalized'!$E:$E, MATCH($A208, 'UA-normalized'!$A:$A, 0))), 0), 0))+(IFERROR(IF(30*INDEX('KZ-normalized'!$D:$D, MATCH($A208, 'KZ-normalized'!$A:$A, 0))-INDEX('KZ-normalized'!$E:$E, MATCH($A208, 'KZ-normalized'!$A:$A, 0))&gt;0, -(30*INDEX('KZ-normalized'!$D:$D, MATCH($A208, 'KZ-normalized'!$A:$A, 0))-INDEX('KZ-normalized'!$E:$E, MATCH($A208, 'KZ-normalized'!$A:$A, 0))), 0), 0))+(IFERROR(IF(30*INDEX('UZ-normalized'!$D:$D, MATCH($A208, 'UZ-normalized'!$A:$A, 0))-INDEX('UZ-normalized'!$E:$E, MATCH($A208, 'UZ-normalized'!$A:$A, 0))&gt;0, -(30*INDEX('UZ-normalized'!$D:$D, MATCH($A208, 'UZ-normalized'!$A:$A, 0))-INDEX('UZ-normalized'!$E:$E, MATCH($A208, 'UZ-normalized'!$A:$A, 0))), 0), 0)))</f>
        <v>-3303</v>
      </c>
    </row>
    <row r="209" spans="1:44" x14ac:dyDescent="0.25">
      <c r="A209" s="8" t="s">
        <v>499</v>
      </c>
      <c r="B209" s="8" t="s">
        <v>492</v>
      </c>
      <c r="C209" s="8" t="s">
        <v>493</v>
      </c>
      <c r="D209" s="8" t="s">
        <v>500</v>
      </c>
      <c r="N209">
        <f t="shared" si="3"/>
        <v>0</v>
      </c>
      <c r="O209" s="6">
        <f>MIN(0, N209+(IFERROR(IF(1*INDEX('UA-normalized'!$D:$D, MATCH($A209, 'UA-normalized'!$A:$A, 0))-INDEX('UA-normalized'!$E:$E, MATCH($A209, 'UA-normalized'!$A:$A, 0))&gt;0, -(1*INDEX('UA-normalized'!$D:$D, MATCH($A209, 'UA-normalized'!$A:$A, 0))-INDEX('UA-normalized'!$E:$E, MATCH($A209, 'UA-normalized'!$A:$A, 0))), 0), 0))+(IFERROR(IF(1*INDEX('KZ-normalized'!$D:$D, MATCH($A209, 'KZ-normalized'!$A:$A, 0))-INDEX('KZ-normalized'!$E:$E, MATCH($A209, 'KZ-normalized'!$A:$A, 0))&gt;0, -(1*INDEX('KZ-normalized'!$D:$D, MATCH($A209, 'KZ-normalized'!$A:$A, 0))-INDEX('KZ-normalized'!$E:$E, MATCH($A209, 'KZ-normalized'!$A:$A, 0))), 0), 0))+(IFERROR(IF(1*INDEX('UZ-normalized'!$D:$D, MATCH($A209, 'UZ-normalized'!$A:$A, 0))-INDEX('UZ-normalized'!$E:$E, MATCH($A209, 'UZ-normalized'!$A:$A, 0))&gt;0, -(1*INDEX('UZ-normalized'!$D:$D, MATCH($A209, 'UZ-normalized'!$A:$A, 0))-INDEX('UZ-normalized'!$E:$E, MATCH($A209, 'UZ-normalized'!$A:$A, 0))), 0), 0)))</f>
        <v>0</v>
      </c>
      <c r="P209" s="6">
        <f>MIN(0, N209+(IFERROR(IF(2*INDEX('UA-normalized'!$D:$D, MATCH($A209, 'UA-normalized'!$A:$A, 0))-INDEX('UA-normalized'!$E:$E, MATCH($A209, 'UA-normalized'!$A:$A, 0))&gt;0, -(2*INDEX('UA-normalized'!$D:$D, MATCH($A209, 'UA-normalized'!$A:$A, 0))-INDEX('UA-normalized'!$E:$E, MATCH($A209, 'UA-normalized'!$A:$A, 0))), 0), 0))+(IFERROR(IF(2*INDEX('KZ-normalized'!$D:$D, MATCH($A209, 'KZ-normalized'!$A:$A, 0))-INDEX('KZ-normalized'!$E:$E, MATCH($A209, 'KZ-normalized'!$A:$A, 0))&gt;0, -(2*INDEX('KZ-normalized'!$D:$D, MATCH($A209, 'KZ-normalized'!$A:$A, 0))-INDEX('KZ-normalized'!$E:$E, MATCH($A209, 'KZ-normalized'!$A:$A, 0))), 0), 0))+(IFERROR(IF(2*INDEX('UZ-normalized'!$D:$D, MATCH($A209, 'UZ-normalized'!$A:$A, 0))-INDEX('UZ-normalized'!$E:$E, MATCH($A209, 'UZ-normalized'!$A:$A, 0))&gt;0, -(2*INDEX('UZ-normalized'!$D:$D, MATCH($A209, 'UZ-normalized'!$A:$A, 0))-INDEX('UZ-normalized'!$E:$E, MATCH($A209, 'UZ-normalized'!$A:$A, 0))), 0), 0)))</f>
        <v>0</v>
      </c>
      <c r="Q209" s="6">
        <f>MIN(0, N209+(IFERROR(IF(3*INDEX('UA-normalized'!$D:$D, MATCH($A209, 'UA-normalized'!$A:$A, 0))-INDEX('UA-normalized'!$E:$E, MATCH($A209, 'UA-normalized'!$A:$A, 0))&gt;0, -(3*INDEX('UA-normalized'!$D:$D, MATCH($A209, 'UA-normalized'!$A:$A, 0))-INDEX('UA-normalized'!$E:$E, MATCH($A209, 'UA-normalized'!$A:$A, 0))), 0), 0))+(IFERROR(IF(3*INDEX('KZ-normalized'!$D:$D, MATCH($A209, 'KZ-normalized'!$A:$A, 0))-INDEX('KZ-normalized'!$E:$E, MATCH($A209, 'KZ-normalized'!$A:$A, 0))&gt;0, -(3*INDEX('KZ-normalized'!$D:$D, MATCH($A209, 'KZ-normalized'!$A:$A, 0))-INDEX('KZ-normalized'!$E:$E, MATCH($A209, 'KZ-normalized'!$A:$A, 0))), 0), 0))+(IFERROR(IF(3*INDEX('UZ-normalized'!$D:$D, MATCH($A209, 'UZ-normalized'!$A:$A, 0))-INDEX('UZ-normalized'!$E:$E, MATCH($A209, 'UZ-normalized'!$A:$A, 0))&gt;0, -(3*INDEX('UZ-normalized'!$D:$D, MATCH($A209, 'UZ-normalized'!$A:$A, 0))-INDEX('UZ-normalized'!$E:$E, MATCH($A209, 'UZ-normalized'!$A:$A, 0))), 0), 0)))</f>
        <v>0</v>
      </c>
      <c r="R209" s="6">
        <f>MIN(0, N209+(IFERROR(IF(4*INDEX('UA-normalized'!$D:$D, MATCH($A209, 'UA-normalized'!$A:$A, 0))-INDEX('UA-normalized'!$E:$E, MATCH($A209, 'UA-normalized'!$A:$A, 0))&gt;0, -(4*INDEX('UA-normalized'!$D:$D, MATCH($A209, 'UA-normalized'!$A:$A, 0))-INDEX('UA-normalized'!$E:$E, MATCH($A209, 'UA-normalized'!$A:$A, 0))), 0), 0))+(IFERROR(IF(4*INDEX('KZ-normalized'!$D:$D, MATCH($A209, 'KZ-normalized'!$A:$A, 0))-INDEX('KZ-normalized'!$E:$E, MATCH($A209, 'KZ-normalized'!$A:$A, 0))&gt;0, -(4*INDEX('KZ-normalized'!$D:$D, MATCH($A209, 'KZ-normalized'!$A:$A, 0))-INDEX('KZ-normalized'!$E:$E, MATCH($A209, 'KZ-normalized'!$A:$A, 0))), 0), 0))+(IFERROR(IF(4*INDEX('UZ-normalized'!$D:$D, MATCH($A209, 'UZ-normalized'!$A:$A, 0))-INDEX('UZ-normalized'!$E:$E, MATCH($A209, 'UZ-normalized'!$A:$A, 0))&gt;0, -(4*INDEX('UZ-normalized'!$D:$D, MATCH($A209, 'UZ-normalized'!$A:$A, 0))-INDEX('UZ-normalized'!$E:$E, MATCH($A209, 'UZ-normalized'!$A:$A, 0))), 0), 0)))</f>
        <v>0</v>
      </c>
      <c r="S209" s="6">
        <f>MIN(0, N209+(IFERROR(IF(5*INDEX('UA-normalized'!$D:$D, MATCH($A209, 'UA-normalized'!$A:$A, 0))-INDEX('UA-normalized'!$E:$E, MATCH($A209, 'UA-normalized'!$A:$A, 0))&gt;0, -(5*INDEX('UA-normalized'!$D:$D, MATCH($A209, 'UA-normalized'!$A:$A, 0))-INDEX('UA-normalized'!$E:$E, MATCH($A209, 'UA-normalized'!$A:$A, 0))), 0), 0))+(IFERROR(IF(5*INDEX('KZ-normalized'!$D:$D, MATCH($A209, 'KZ-normalized'!$A:$A, 0))-INDEX('KZ-normalized'!$E:$E, MATCH($A209, 'KZ-normalized'!$A:$A, 0))&gt;0, -(5*INDEX('KZ-normalized'!$D:$D, MATCH($A209, 'KZ-normalized'!$A:$A, 0))-INDEX('KZ-normalized'!$E:$E, MATCH($A209, 'KZ-normalized'!$A:$A, 0))), 0), 0))+(IFERROR(IF(5*INDEX('UZ-normalized'!$D:$D, MATCH($A209, 'UZ-normalized'!$A:$A, 0))-INDEX('UZ-normalized'!$E:$E, MATCH($A209, 'UZ-normalized'!$A:$A, 0))&gt;0, -(5*INDEX('UZ-normalized'!$D:$D, MATCH($A209, 'UZ-normalized'!$A:$A, 0))-INDEX('UZ-normalized'!$E:$E, MATCH($A209, 'UZ-normalized'!$A:$A, 0))), 0), 0)))</f>
        <v>-1</v>
      </c>
      <c r="T209" s="6">
        <f>MIN(0, N209+(IFERROR(IF(6*INDEX('UA-normalized'!$D:$D, MATCH($A209, 'UA-normalized'!$A:$A, 0))-INDEX('UA-normalized'!$E:$E, MATCH($A209, 'UA-normalized'!$A:$A, 0))&gt;0, -(6*INDEX('UA-normalized'!$D:$D, MATCH($A209, 'UA-normalized'!$A:$A, 0))-INDEX('UA-normalized'!$E:$E, MATCH($A209, 'UA-normalized'!$A:$A, 0))), 0), 0))+(IFERROR(IF(6*INDEX('KZ-normalized'!$D:$D, MATCH($A209, 'KZ-normalized'!$A:$A, 0))-INDEX('KZ-normalized'!$E:$E, MATCH($A209, 'KZ-normalized'!$A:$A, 0))&gt;0, -(6*INDEX('KZ-normalized'!$D:$D, MATCH($A209, 'KZ-normalized'!$A:$A, 0))-INDEX('KZ-normalized'!$E:$E, MATCH($A209, 'KZ-normalized'!$A:$A, 0))), 0), 0))+(IFERROR(IF(6*INDEX('UZ-normalized'!$D:$D, MATCH($A209, 'UZ-normalized'!$A:$A, 0))-INDEX('UZ-normalized'!$E:$E, MATCH($A209, 'UZ-normalized'!$A:$A, 0))&gt;0, -(6*INDEX('UZ-normalized'!$D:$D, MATCH($A209, 'UZ-normalized'!$A:$A, 0))-INDEX('UZ-normalized'!$E:$E, MATCH($A209, 'UZ-normalized'!$A:$A, 0))), 0), 0)))</f>
        <v>-3.3999999999999986</v>
      </c>
      <c r="U209" s="6">
        <f>MIN(0, N209+(IFERROR(IF(7*INDEX('UA-normalized'!$D:$D, MATCH($A209, 'UA-normalized'!$A:$A, 0))-INDEX('UA-normalized'!$E:$E, MATCH($A209, 'UA-normalized'!$A:$A, 0))&gt;0, -(7*INDEX('UA-normalized'!$D:$D, MATCH($A209, 'UA-normalized'!$A:$A, 0))-INDEX('UA-normalized'!$E:$E, MATCH($A209, 'UA-normalized'!$A:$A, 0))), 0), 0))+(IFERROR(IF(7*INDEX('KZ-normalized'!$D:$D, MATCH($A209, 'KZ-normalized'!$A:$A, 0))-INDEX('KZ-normalized'!$E:$E, MATCH($A209, 'KZ-normalized'!$A:$A, 0))&gt;0, -(7*INDEX('KZ-normalized'!$D:$D, MATCH($A209, 'KZ-normalized'!$A:$A, 0))-INDEX('KZ-normalized'!$E:$E, MATCH($A209, 'KZ-normalized'!$A:$A, 0))), 0), 0))+(IFERROR(IF(7*INDEX('UZ-normalized'!$D:$D, MATCH($A209, 'UZ-normalized'!$A:$A, 0))-INDEX('UZ-normalized'!$E:$E, MATCH($A209, 'UZ-normalized'!$A:$A, 0))&gt;0, -(7*INDEX('UZ-normalized'!$D:$D, MATCH($A209, 'UZ-normalized'!$A:$A, 0))-INDEX('UZ-normalized'!$E:$E, MATCH($A209, 'UZ-normalized'!$A:$A, 0))), 0), 0)))</f>
        <v>-5.8000000000000007</v>
      </c>
      <c r="V209" s="6">
        <f>MIN(0, N209+(IFERROR(IF(8*INDEX('UA-normalized'!$D:$D, MATCH($A209, 'UA-normalized'!$A:$A, 0))-INDEX('UA-normalized'!$E:$E, MATCH($A209, 'UA-normalized'!$A:$A, 0))&gt;0, -(8*INDEX('UA-normalized'!$D:$D, MATCH($A209, 'UA-normalized'!$A:$A, 0))-INDEX('UA-normalized'!$E:$E, MATCH($A209, 'UA-normalized'!$A:$A, 0))), 0), 0))+(IFERROR(IF(8*INDEX('KZ-normalized'!$D:$D, MATCH($A209, 'KZ-normalized'!$A:$A, 0))-INDEX('KZ-normalized'!$E:$E, MATCH($A209, 'KZ-normalized'!$A:$A, 0))&gt;0, -(8*INDEX('KZ-normalized'!$D:$D, MATCH($A209, 'KZ-normalized'!$A:$A, 0))-INDEX('KZ-normalized'!$E:$E, MATCH($A209, 'KZ-normalized'!$A:$A, 0))), 0), 0))+(IFERROR(IF(8*INDEX('UZ-normalized'!$D:$D, MATCH($A209, 'UZ-normalized'!$A:$A, 0))-INDEX('UZ-normalized'!$E:$E, MATCH($A209, 'UZ-normalized'!$A:$A, 0))&gt;0, -(8*INDEX('UZ-normalized'!$D:$D, MATCH($A209, 'UZ-normalized'!$A:$A, 0))-INDEX('UZ-normalized'!$E:$E, MATCH($A209, 'UZ-normalized'!$A:$A, 0))), 0), 0)))</f>
        <v>-30.2</v>
      </c>
      <c r="W209" s="6">
        <f>MIN(0, N209+(IFERROR(IF(9*INDEX('UA-normalized'!$D:$D, MATCH($A209, 'UA-normalized'!$A:$A, 0))-INDEX('UA-normalized'!$E:$E, MATCH($A209, 'UA-normalized'!$A:$A, 0))&gt;0, -(9*INDEX('UA-normalized'!$D:$D, MATCH($A209, 'UA-normalized'!$A:$A, 0))-INDEX('UA-normalized'!$E:$E, MATCH($A209, 'UA-normalized'!$A:$A, 0))), 0), 0))+(IFERROR(IF(9*INDEX('KZ-normalized'!$D:$D, MATCH($A209, 'KZ-normalized'!$A:$A, 0))-INDEX('KZ-normalized'!$E:$E, MATCH($A209, 'KZ-normalized'!$A:$A, 0))&gt;0, -(9*INDEX('KZ-normalized'!$D:$D, MATCH($A209, 'KZ-normalized'!$A:$A, 0))-INDEX('KZ-normalized'!$E:$E, MATCH($A209, 'KZ-normalized'!$A:$A, 0))), 0), 0))+(IFERROR(IF(9*INDEX('UZ-normalized'!$D:$D, MATCH($A209, 'UZ-normalized'!$A:$A, 0))-INDEX('UZ-normalized'!$E:$E, MATCH($A209, 'UZ-normalized'!$A:$A, 0))&gt;0, -(9*INDEX('UZ-normalized'!$D:$D, MATCH($A209, 'UZ-normalized'!$A:$A, 0))-INDEX('UZ-normalized'!$E:$E, MATCH($A209, 'UZ-normalized'!$A:$A, 0))), 0), 0)))</f>
        <v>-65.599999999999994</v>
      </c>
      <c r="X209" s="6">
        <f>MIN(0, N209+(IFERROR(IF(10*INDEX('UA-normalized'!$D:$D, MATCH($A209, 'UA-normalized'!$A:$A, 0))-INDEX('UA-normalized'!$E:$E, MATCH($A209, 'UA-normalized'!$A:$A, 0))&gt;0, -(10*INDEX('UA-normalized'!$D:$D, MATCH($A209, 'UA-normalized'!$A:$A, 0))-INDEX('UA-normalized'!$E:$E, MATCH($A209, 'UA-normalized'!$A:$A, 0))), 0), 0))+(IFERROR(IF(10*INDEX('KZ-normalized'!$D:$D, MATCH($A209, 'KZ-normalized'!$A:$A, 0))-INDEX('KZ-normalized'!$E:$E, MATCH($A209, 'KZ-normalized'!$A:$A, 0))&gt;0, -(10*INDEX('KZ-normalized'!$D:$D, MATCH($A209, 'KZ-normalized'!$A:$A, 0))-INDEX('KZ-normalized'!$E:$E, MATCH($A209, 'KZ-normalized'!$A:$A, 0))), 0), 0))+(IFERROR(IF(10*INDEX('UZ-normalized'!$D:$D, MATCH($A209, 'UZ-normalized'!$A:$A, 0))-INDEX('UZ-normalized'!$E:$E, MATCH($A209, 'UZ-normalized'!$A:$A, 0))&gt;0, -(10*INDEX('UZ-normalized'!$D:$D, MATCH($A209, 'UZ-normalized'!$A:$A, 0))-INDEX('UZ-normalized'!$E:$E, MATCH($A209, 'UZ-normalized'!$A:$A, 0))), 0), 0)))</f>
        <v>-101</v>
      </c>
      <c r="Y209" s="6">
        <f>MIN(0, N209+(IFERROR(IF(11*INDEX('UA-normalized'!$D:$D, MATCH($A209, 'UA-normalized'!$A:$A, 0))-INDEX('UA-normalized'!$E:$E, MATCH($A209, 'UA-normalized'!$A:$A, 0))&gt;0, -(11*INDEX('UA-normalized'!$D:$D, MATCH($A209, 'UA-normalized'!$A:$A, 0))-INDEX('UA-normalized'!$E:$E, MATCH($A209, 'UA-normalized'!$A:$A, 0))), 0), 0))+(IFERROR(IF(11*INDEX('KZ-normalized'!$D:$D, MATCH($A209, 'KZ-normalized'!$A:$A, 0))-INDEX('KZ-normalized'!$E:$E, MATCH($A209, 'KZ-normalized'!$A:$A, 0))&gt;0, -(11*INDEX('KZ-normalized'!$D:$D, MATCH($A209, 'KZ-normalized'!$A:$A, 0))-INDEX('KZ-normalized'!$E:$E, MATCH($A209, 'KZ-normalized'!$A:$A, 0))), 0), 0))+(IFERROR(IF(11*INDEX('UZ-normalized'!$D:$D, MATCH($A209, 'UZ-normalized'!$A:$A, 0))-INDEX('UZ-normalized'!$E:$E, MATCH($A209, 'UZ-normalized'!$A:$A, 0))&gt;0, -(11*INDEX('UZ-normalized'!$D:$D, MATCH($A209, 'UZ-normalized'!$A:$A, 0))-INDEX('UZ-normalized'!$E:$E, MATCH($A209, 'UZ-normalized'!$A:$A, 0))), 0), 0)))</f>
        <v>-136.4</v>
      </c>
      <c r="Z209" s="6">
        <f>MIN(0, N209+(IFERROR(IF(12*INDEX('UA-normalized'!$D:$D, MATCH($A209, 'UA-normalized'!$A:$A, 0))-INDEX('UA-normalized'!$E:$E, MATCH($A209, 'UA-normalized'!$A:$A, 0))&gt;0, -(12*INDEX('UA-normalized'!$D:$D, MATCH($A209, 'UA-normalized'!$A:$A, 0))-INDEX('UA-normalized'!$E:$E, MATCH($A209, 'UA-normalized'!$A:$A, 0))), 0), 0))+(IFERROR(IF(12*INDEX('KZ-normalized'!$D:$D, MATCH($A209, 'KZ-normalized'!$A:$A, 0))-INDEX('KZ-normalized'!$E:$E, MATCH($A209, 'KZ-normalized'!$A:$A, 0))&gt;0, -(12*INDEX('KZ-normalized'!$D:$D, MATCH($A209, 'KZ-normalized'!$A:$A, 0))-INDEX('KZ-normalized'!$E:$E, MATCH($A209, 'KZ-normalized'!$A:$A, 0))), 0), 0))+(IFERROR(IF(12*INDEX('UZ-normalized'!$D:$D, MATCH($A209, 'UZ-normalized'!$A:$A, 0))-INDEX('UZ-normalized'!$E:$E, MATCH($A209, 'UZ-normalized'!$A:$A, 0))&gt;0, -(12*INDEX('UZ-normalized'!$D:$D, MATCH($A209, 'UZ-normalized'!$A:$A, 0))-INDEX('UZ-normalized'!$E:$E, MATCH($A209, 'UZ-normalized'!$A:$A, 0))), 0), 0)))</f>
        <v>-171.8</v>
      </c>
      <c r="AA209" s="6">
        <f>MIN(0, N209+(IFERROR(IF(13*INDEX('UA-normalized'!$D:$D, MATCH($A209, 'UA-normalized'!$A:$A, 0))-INDEX('UA-normalized'!$E:$E, MATCH($A209, 'UA-normalized'!$A:$A, 0))&gt;0, -(13*INDEX('UA-normalized'!$D:$D, MATCH($A209, 'UA-normalized'!$A:$A, 0))-INDEX('UA-normalized'!$E:$E, MATCH($A209, 'UA-normalized'!$A:$A, 0))), 0), 0))+(IFERROR(IF(13*INDEX('KZ-normalized'!$D:$D, MATCH($A209, 'KZ-normalized'!$A:$A, 0))-INDEX('KZ-normalized'!$E:$E, MATCH($A209, 'KZ-normalized'!$A:$A, 0))&gt;0, -(13*INDEX('KZ-normalized'!$D:$D, MATCH($A209, 'KZ-normalized'!$A:$A, 0))-INDEX('KZ-normalized'!$E:$E, MATCH($A209, 'KZ-normalized'!$A:$A, 0))), 0), 0))+(IFERROR(IF(13*INDEX('UZ-normalized'!$D:$D, MATCH($A209, 'UZ-normalized'!$A:$A, 0))-INDEX('UZ-normalized'!$E:$E, MATCH($A209, 'UZ-normalized'!$A:$A, 0))&gt;0, -(13*INDEX('UZ-normalized'!$D:$D, MATCH($A209, 'UZ-normalized'!$A:$A, 0))-INDEX('UZ-normalized'!$E:$E, MATCH($A209, 'UZ-normalized'!$A:$A, 0))), 0), 0)))</f>
        <v>-207.2</v>
      </c>
      <c r="AB209" s="6">
        <f>MIN(0, N209+(IFERROR(IF(14*INDEX('UA-normalized'!$D:$D, MATCH($A209, 'UA-normalized'!$A:$A, 0))-INDEX('UA-normalized'!$E:$E, MATCH($A209, 'UA-normalized'!$A:$A, 0))&gt;0, -(14*INDEX('UA-normalized'!$D:$D, MATCH($A209, 'UA-normalized'!$A:$A, 0))-INDEX('UA-normalized'!$E:$E, MATCH($A209, 'UA-normalized'!$A:$A, 0))), 0), 0))+(IFERROR(IF(14*INDEX('KZ-normalized'!$D:$D, MATCH($A209, 'KZ-normalized'!$A:$A, 0))-INDEX('KZ-normalized'!$E:$E, MATCH($A209, 'KZ-normalized'!$A:$A, 0))&gt;0, -(14*INDEX('KZ-normalized'!$D:$D, MATCH($A209, 'KZ-normalized'!$A:$A, 0))-INDEX('KZ-normalized'!$E:$E, MATCH($A209, 'KZ-normalized'!$A:$A, 0))), 0), 0))+(IFERROR(IF(14*INDEX('UZ-normalized'!$D:$D, MATCH($A209, 'UZ-normalized'!$A:$A, 0))-INDEX('UZ-normalized'!$E:$E, MATCH($A209, 'UZ-normalized'!$A:$A, 0))&gt;0, -(14*INDEX('UZ-normalized'!$D:$D, MATCH($A209, 'UZ-normalized'!$A:$A, 0))-INDEX('UZ-normalized'!$E:$E, MATCH($A209, 'UZ-normalized'!$A:$A, 0))), 0), 0)))</f>
        <v>-242.6</v>
      </c>
      <c r="AC209" s="6">
        <f>MIN(0, N209+(IFERROR(IF(15*INDEX('UA-normalized'!$D:$D, MATCH($A209, 'UA-normalized'!$A:$A, 0))-INDEX('UA-normalized'!$E:$E, MATCH($A209, 'UA-normalized'!$A:$A, 0))&gt;0, -(15*INDEX('UA-normalized'!$D:$D, MATCH($A209, 'UA-normalized'!$A:$A, 0))-INDEX('UA-normalized'!$E:$E, MATCH($A209, 'UA-normalized'!$A:$A, 0))), 0), 0))+(IFERROR(IF(15*INDEX('KZ-normalized'!$D:$D, MATCH($A209, 'KZ-normalized'!$A:$A, 0))-INDEX('KZ-normalized'!$E:$E, MATCH($A209, 'KZ-normalized'!$A:$A, 0))&gt;0, -(15*INDEX('KZ-normalized'!$D:$D, MATCH($A209, 'KZ-normalized'!$A:$A, 0))-INDEX('KZ-normalized'!$E:$E, MATCH($A209, 'KZ-normalized'!$A:$A, 0))), 0), 0))+(IFERROR(IF(15*INDEX('UZ-normalized'!$D:$D, MATCH($A209, 'UZ-normalized'!$A:$A, 0))-INDEX('UZ-normalized'!$E:$E, MATCH($A209, 'UZ-normalized'!$A:$A, 0))&gt;0, -(15*INDEX('UZ-normalized'!$D:$D, MATCH($A209, 'UZ-normalized'!$A:$A, 0))-INDEX('UZ-normalized'!$E:$E, MATCH($A209, 'UZ-normalized'!$A:$A, 0))), 0), 0)))</f>
        <v>-278</v>
      </c>
      <c r="AD209" s="6">
        <f>MIN(0, N209+(IFERROR(IF(16*INDEX('UA-normalized'!$D:$D, MATCH($A209, 'UA-normalized'!$A:$A, 0))-INDEX('UA-normalized'!$E:$E, MATCH($A209, 'UA-normalized'!$A:$A, 0))&gt;0, -(16*INDEX('UA-normalized'!$D:$D, MATCH($A209, 'UA-normalized'!$A:$A, 0))-INDEX('UA-normalized'!$E:$E, MATCH($A209, 'UA-normalized'!$A:$A, 0))), 0), 0))+(IFERROR(IF(16*INDEX('KZ-normalized'!$D:$D, MATCH($A209, 'KZ-normalized'!$A:$A, 0))-INDEX('KZ-normalized'!$E:$E, MATCH($A209, 'KZ-normalized'!$A:$A, 0))&gt;0, -(16*INDEX('KZ-normalized'!$D:$D, MATCH($A209, 'KZ-normalized'!$A:$A, 0))-INDEX('KZ-normalized'!$E:$E, MATCH($A209, 'KZ-normalized'!$A:$A, 0))), 0), 0))+(IFERROR(IF(16*INDEX('UZ-normalized'!$D:$D, MATCH($A209, 'UZ-normalized'!$A:$A, 0))-INDEX('UZ-normalized'!$E:$E, MATCH($A209, 'UZ-normalized'!$A:$A, 0))&gt;0, -(16*INDEX('UZ-normalized'!$D:$D, MATCH($A209, 'UZ-normalized'!$A:$A, 0))-INDEX('UZ-normalized'!$E:$E, MATCH($A209, 'UZ-normalized'!$A:$A, 0))), 0), 0)))</f>
        <v>-313.39999999999998</v>
      </c>
      <c r="AE209" s="6">
        <f>MIN(0, N209+(IFERROR(IF(17*INDEX('UA-normalized'!$D:$D, MATCH($A209, 'UA-normalized'!$A:$A, 0))-INDEX('UA-normalized'!$E:$E, MATCH($A209, 'UA-normalized'!$A:$A, 0))&gt;0, -(17*INDEX('UA-normalized'!$D:$D, MATCH($A209, 'UA-normalized'!$A:$A, 0))-INDEX('UA-normalized'!$E:$E, MATCH($A209, 'UA-normalized'!$A:$A, 0))), 0), 0))+(IFERROR(IF(17*INDEX('KZ-normalized'!$D:$D, MATCH($A209, 'KZ-normalized'!$A:$A, 0))-INDEX('KZ-normalized'!$E:$E, MATCH($A209, 'KZ-normalized'!$A:$A, 0))&gt;0, -(17*INDEX('KZ-normalized'!$D:$D, MATCH($A209, 'KZ-normalized'!$A:$A, 0))-INDEX('KZ-normalized'!$E:$E, MATCH($A209, 'KZ-normalized'!$A:$A, 0))), 0), 0))+(IFERROR(IF(17*INDEX('UZ-normalized'!$D:$D, MATCH($A209, 'UZ-normalized'!$A:$A, 0))-INDEX('UZ-normalized'!$E:$E, MATCH($A209, 'UZ-normalized'!$A:$A, 0))&gt;0, -(17*INDEX('UZ-normalized'!$D:$D, MATCH($A209, 'UZ-normalized'!$A:$A, 0))-INDEX('UZ-normalized'!$E:$E, MATCH($A209, 'UZ-normalized'!$A:$A, 0))), 0), 0)))</f>
        <v>-348.8</v>
      </c>
      <c r="AF209" s="6">
        <f>MIN(0, N209+(IFERROR(IF(18*INDEX('UA-normalized'!$D:$D, MATCH($A209, 'UA-normalized'!$A:$A, 0))-INDEX('UA-normalized'!$E:$E, MATCH($A209, 'UA-normalized'!$A:$A, 0))&gt;0, -(18*INDEX('UA-normalized'!$D:$D, MATCH($A209, 'UA-normalized'!$A:$A, 0))-INDEX('UA-normalized'!$E:$E, MATCH($A209, 'UA-normalized'!$A:$A, 0))), 0), 0))+(IFERROR(IF(18*INDEX('KZ-normalized'!$D:$D, MATCH($A209, 'KZ-normalized'!$A:$A, 0))-INDEX('KZ-normalized'!$E:$E, MATCH($A209, 'KZ-normalized'!$A:$A, 0))&gt;0, -(18*INDEX('KZ-normalized'!$D:$D, MATCH($A209, 'KZ-normalized'!$A:$A, 0))-INDEX('KZ-normalized'!$E:$E, MATCH($A209, 'KZ-normalized'!$A:$A, 0))), 0), 0))+(IFERROR(IF(18*INDEX('UZ-normalized'!$D:$D, MATCH($A209, 'UZ-normalized'!$A:$A, 0))-INDEX('UZ-normalized'!$E:$E, MATCH($A209, 'UZ-normalized'!$A:$A, 0))&gt;0, -(18*INDEX('UZ-normalized'!$D:$D, MATCH($A209, 'UZ-normalized'!$A:$A, 0))-INDEX('UZ-normalized'!$E:$E, MATCH($A209, 'UZ-normalized'!$A:$A, 0))), 0), 0)))</f>
        <v>-384.2</v>
      </c>
      <c r="AG209" s="6">
        <f>MIN(0, N209+(IFERROR(IF(19*INDEX('UA-normalized'!$D:$D, MATCH($A209, 'UA-normalized'!$A:$A, 0))-INDEX('UA-normalized'!$E:$E, MATCH($A209, 'UA-normalized'!$A:$A, 0))&gt;0, -(19*INDEX('UA-normalized'!$D:$D, MATCH($A209, 'UA-normalized'!$A:$A, 0))-INDEX('UA-normalized'!$E:$E, MATCH($A209, 'UA-normalized'!$A:$A, 0))), 0), 0))+(IFERROR(IF(19*INDEX('KZ-normalized'!$D:$D, MATCH($A209, 'KZ-normalized'!$A:$A, 0))-INDEX('KZ-normalized'!$E:$E, MATCH($A209, 'KZ-normalized'!$A:$A, 0))&gt;0, -(19*INDEX('KZ-normalized'!$D:$D, MATCH($A209, 'KZ-normalized'!$A:$A, 0))-INDEX('KZ-normalized'!$E:$E, MATCH($A209, 'KZ-normalized'!$A:$A, 0))), 0), 0))+(IFERROR(IF(19*INDEX('UZ-normalized'!$D:$D, MATCH($A209, 'UZ-normalized'!$A:$A, 0))-INDEX('UZ-normalized'!$E:$E, MATCH($A209, 'UZ-normalized'!$A:$A, 0))&gt;0, -(19*INDEX('UZ-normalized'!$D:$D, MATCH($A209, 'UZ-normalized'!$A:$A, 0))-INDEX('UZ-normalized'!$E:$E, MATCH($A209, 'UZ-normalized'!$A:$A, 0))), 0), 0)))</f>
        <v>-419.6</v>
      </c>
      <c r="AH209" s="6">
        <f>MIN(0, N209+(IFERROR(IF(20*INDEX('UA-normalized'!$D:$D, MATCH($A209, 'UA-normalized'!$A:$A, 0))-INDEX('UA-normalized'!$E:$E, MATCH($A209, 'UA-normalized'!$A:$A, 0))&gt;0, -(20*INDEX('UA-normalized'!$D:$D, MATCH($A209, 'UA-normalized'!$A:$A, 0))-INDEX('UA-normalized'!$E:$E, MATCH($A209, 'UA-normalized'!$A:$A, 0))), 0), 0))+(IFERROR(IF(20*INDEX('KZ-normalized'!$D:$D, MATCH($A209, 'KZ-normalized'!$A:$A, 0))-INDEX('KZ-normalized'!$E:$E, MATCH($A209, 'KZ-normalized'!$A:$A, 0))&gt;0, -(20*INDEX('KZ-normalized'!$D:$D, MATCH($A209, 'KZ-normalized'!$A:$A, 0))-INDEX('KZ-normalized'!$E:$E, MATCH($A209, 'KZ-normalized'!$A:$A, 0))), 0), 0))+(IFERROR(IF(20*INDEX('UZ-normalized'!$D:$D, MATCH($A209, 'UZ-normalized'!$A:$A, 0))-INDEX('UZ-normalized'!$E:$E, MATCH($A209, 'UZ-normalized'!$A:$A, 0))&gt;0, -(20*INDEX('UZ-normalized'!$D:$D, MATCH($A209, 'UZ-normalized'!$A:$A, 0))-INDEX('UZ-normalized'!$E:$E, MATCH($A209, 'UZ-normalized'!$A:$A, 0))), 0), 0)))</f>
        <v>-455</v>
      </c>
      <c r="AI209" s="6">
        <f>MIN(0, N209+(IFERROR(IF(21*INDEX('UA-normalized'!$D:$D, MATCH($A209, 'UA-normalized'!$A:$A, 0))-INDEX('UA-normalized'!$E:$E, MATCH($A209, 'UA-normalized'!$A:$A, 0))&gt;0, -(21*INDEX('UA-normalized'!$D:$D, MATCH($A209, 'UA-normalized'!$A:$A, 0))-INDEX('UA-normalized'!$E:$E, MATCH($A209, 'UA-normalized'!$A:$A, 0))), 0), 0))+(IFERROR(IF(21*INDEX('KZ-normalized'!$D:$D, MATCH($A209, 'KZ-normalized'!$A:$A, 0))-INDEX('KZ-normalized'!$E:$E, MATCH($A209, 'KZ-normalized'!$A:$A, 0))&gt;0, -(21*INDEX('KZ-normalized'!$D:$D, MATCH($A209, 'KZ-normalized'!$A:$A, 0))-INDEX('KZ-normalized'!$E:$E, MATCH($A209, 'KZ-normalized'!$A:$A, 0))), 0), 0))+(IFERROR(IF(21*INDEX('UZ-normalized'!$D:$D, MATCH($A209, 'UZ-normalized'!$A:$A, 0))-INDEX('UZ-normalized'!$E:$E, MATCH($A209, 'UZ-normalized'!$A:$A, 0))&gt;0, -(21*INDEX('UZ-normalized'!$D:$D, MATCH($A209, 'UZ-normalized'!$A:$A, 0))-INDEX('UZ-normalized'!$E:$E, MATCH($A209, 'UZ-normalized'!$A:$A, 0))), 0), 0)))</f>
        <v>-490.4</v>
      </c>
      <c r="AJ209" s="6">
        <f>MIN(0, N209+(IFERROR(IF(22*INDEX('UA-normalized'!$D:$D, MATCH($A209, 'UA-normalized'!$A:$A, 0))-INDEX('UA-normalized'!$E:$E, MATCH($A209, 'UA-normalized'!$A:$A, 0))&gt;0, -(22*INDEX('UA-normalized'!$D:$D, MATCH($A209, 'UA-normalized'!$A:$A, 0))-INDEX('UA-normalized'!$E:$E, MATCH($A209, 'UA-normalized'!$A:$A, 0))), 0), 0))+(IFERROR(IF(22*INDEX('KZ-normalized'!$D:$D, MATCH($A209, 'KZ-normalized'!$A:$A, 0))-INDEX('KZ-normalized'!$E:$E, MATCH($A209, 'KZ-normalized'!$A:$A, 0))&gt;0, -(22*INDEX('KZ-normalized'!$D:$D, MATCH($A209, 'KZ-normalized'!$A:$A, 0))-INDEX('KZ-normalized'!$E:$E, MATCH($A209, 'KZ-normalized'!$A:$A, 0))), 0), 0))+(IFERROR(IF(22*INDEX('UZ-normalized'!$D:$D, MATCH($A209, 'UZ-normalized'!$A:$A, 0))-INDEX('UZ-normalized'!$E:$E, MATCH($A209, 'UZ-normalized'!$A:$A, 0))&gt;0, -(22*INDEX('UZ-normalized'!$D:$D, MATCH($A209, 'UZ-normalized'!$A:$A, 0))-INDEX('UZ-normalized'!$E:$E, MATCH($A209, 'UZ-normalized'!$A:$A, 0))), 0), 0)))</f>
        <v>-525.79999999999995</v>
      </c>
      <c r="AK209" s="6">
        <f>MIN(0, N209+(IFERROR(IF(23*INDEX('UA-normalized'!$D:$D, MATCH($A209, 'UA-normalized'!$A:$A, 0))-INDEX('UA-normalized'!$E:$E, MATCH($A209, 'UA-normalized'!$A:$A, 0))&gt;0, -(23*INDEX('UA-normalized'!$D:$D, MATCH($A209, 'UA-normalized'!$A:$A, 0))-INDEX('UA-normalized'!$E:$E, MATCH($A209, 'UA-normalized'!$A:$A, 0))), 0), 0))+(IFERROR(IF(23*INDEX('KZ-normalized'!$D:$D, MATCH($A209, 'KZ-normalized'!$A:$A, 0))-INDEX('KZ-normalized'!$E:$E, MATCH($A209, 'KZ-normalized'!$A:$A, 0))&gt;0, -(23*INDEX('KZ-normalized'!$D:$D, MATCH($A209, 'KZ-normalized'!$A:$A, 0))-INDEX('KZ-normalized'!$E:$E, MATCH($A209, 'KZ-normalized'!$A:$A, 0))), 0), 0))+(IFERROR(IF(23*INDEX('UZ-normalized'!$D:$D, MATCH($A209, 'UZ-normalized'!$A:$A, 0))-INDEX('UZ-normalized'!$E:$E, MATCH($A209, 'UZ-normalized'!$A:$A, 0))&gt;0, -(23*INDEX('UZ-normalized'!$D:$D, MATCH($A209, 'UZ-normalized'!$A:$A, 0))-INDEX('UZ-normalized'!$E:$E, MATCH($A209, 'UZ-normalized'!$A:$A, 0))), 0), 0)))</f>
        <v>-561.20000000000005</v>
      </c>
      <c r="AL209" s="6">
        <f>MIN(0, N209+(IFERROR(IF(24*INDEX('UA-normalized'!$D:$D, MATCH($A209, 'UA-normalized'!$A:$A, 0))-INDEX('UA-normalized'!$E:$E, MATCH($A209, 'UA-normalized'!$A:$A, 0))&gt;0, -(24*INDEX('UA-normalized'!$D:$D, MATCH($A209, 'UA-normalized'!$A:$A, 0))-INDEX('UA-normalized'!$E:$E, MATCH($A209, 'UA-normalized'!$A:$A, 0))), 0), 0))+(IFERROR(IF(24*INDEX('KZ-normalized'!$D:$D, MATCH($A209, 'KZ-normalized'!$A:$A, 0))-INDEX('KZ-normalized'!$E:$E, MATCH($A209, 'KZ-normalized'!$A:$A, 0))&gt;0, -(24*INDEX('KZ-normalized'!$D:$D, MATCH($A209, 'KZ-normalized'!$A:$A, 0))-INDEX('KZ-normalized'!$E:$E, MATCH($A209, 'KZ-normalized'!$A:$A, 0))), 0), 0))+(IFERROR(IF(24*INDEX('UZ-normalized'!$D:$D, MATCH($A209, 'UZ-normalized'!$A:$A, 0))-INDEX('UZ-normalized'!$E:$E, MATCH($A209, 'UZ-normalized'!$A:$A, 0))&gt;0, -(24*INDEX('UZ-normalized'!$D:$D, MATCH($A209, 'UZ-normalized'!$A:$A, 0))-INDEX('UZ-normalized'!$E:$E, MATCH($A209, 'UZ-normalized'!$A:$A, 0))), 0), 0)))</f>
        <v>-596.6</v>
      </c>
      <c r="AM209" s="6">
        <f>MIN(0, N209+(IFERROR(IF(25*INDEX('UA-normalized'!$D:$D, MATCH($A209, 'UA-normalized'!$A:$A, 0))-INDEX('UA-normalized'!$E:$E, MATCH($A209, 'UA-normalized'!$A:$A, 0))&gt;0, -(25*INDEX('UA-normalized'!$D:$D, MATCH($A209, 'UA-normalized'!$A:$A, 0))-INDEX('UA-normalized'!$E:$E, MATCH($A209, 'UA-normalized'!$A:$A, 0))), 0), 0))+(IFERROR(IF(25*INDEX('KZ-normalized'!$D:$D, MATCH($A209, 'KZ-normalized'!$A:$A, 0))-INDEX('KZ-normalized'!$E:$E, MATCH($A209, 'KZ-normalized'!$A:$A, 0))&gt;0, -(25*INDEX('KZ-normalized'!$D:$D, MATCH($A209, 'KZ-normalized'!$A:$A, 0))-INDEX('KZ-normalized'!$E:$E, MATCH($A209, 'KZ-normalized'!$A:$A, 0))), 0), 0))+(IFERROR(IF(25*INDEX('UZ-normalized'!$D:$D, MATCH($A209, 'UZ-normalized'!$A:$A, 0))-INDEX('UZ-normalized'!$E:$E, MATCH($A209, 'UZ-normalized'!$A:$A, 0))&gt;0, -(25*INDEX('UZ-normalized'!$D:$D, MATCH($A209, 'UZ-normalized'!$A:$A, 0))-INDEX('UZ-normalized'!$E:$E, MATCH($A209, 'UZ-normalized'!$A:$A, 0))), 0), 0)))</f>
        <v>-632</v>
      </c>
      <c r="AN209" s="6">
        <f>MIN(0, N209+(IFERROR(IF(26*INDEX('UA-normalized'!$D:$D, MATCH($A209, 'UA-normalized'!$A:$A, 0))-INDEX('UA-normalized'!$E:$E, MATCH($A209, 'UA-normalized'!$A:$A, 0))&gt;0, -(26*INDEX('UA-normalized'!$D:$D, MATCH($A209, 'UA-normalized'!$A:$A, 0))-INDEX('UA-normalized'!$E:$E, MATCH($A209, 'UA-normalized'!$A:$A, 0))), 0), 0))+(IFERROR(IF(26*INDEX('KZ-normalized'!$D:$D, MATCH($A209, 'KZ-normalized'!$A:$A, 0))-INDEX('KZ-normalized'!$E:$E, MATCH($A209, 'KZ-normalized'!$A:$A, 0))&gt;0, -(26*INDEX('KZ-normalized'!$D:$D, MATCH($A209, 'KZ-normalized'!$A:$A, 0))-INDEX('KZ-normalized'!$E:$E, MATCH($A209, 'KZ-normalized'!$A:$A, 0))), 0), 0))+(IFERROR(IF(26*INDEX('UZ-normalized'!$D:$D, MATCH($A209, 'UZ-normalized'!$A:$A, 0))-INDEX('UZ-normalized'!$E:$E, MATCH($A209, 'UZ-normalized'!$A:$A, 0))&gt;0, -(26*INDEX('UZ-normalized'!$D:$D, MATCH($A209, 'UZ-normalized'!$A:$A, 0))-INDEX('UZ-normalized'!$E:$E, MATCH($A209, 'UZ-normalized'!$A:$A, 0))), 0), 0)))</f>
        <v>-667.4</v>
      </c>
      <c r="AO209" s="6">
        <f>MIN(0, N209+(IFERROR(IF(27*INDEX('UA-normalized'!$D:$D, MATCH($A209, 'UA-normalized'!$A:$A, 0))-INDEX('UA-normalized'!$E:$E, MATCH($A209, 'UA-normalized'!$A:$A, 0))&gt;0, -(27*INDEX('UA-normalized'!$D:$D, MATCH($A209, 'UA-normalized'!$A:$A, 0))-INDEX('UA-normalized'!$E:$E, MATCH($A209, 'UA-normalized'!$A:$A, 0))), 0), 0))+(IFERROR(IF(27*INDEX('KZ-normalized'!$D:$D, MATCH($A209, 'KZ-normalized'!$A:$A, 0))-INDEX('KZ-normalized'!$E:$E, MATCH($A209, 'KZ-normalized'!$A:$A, 0))&gt;0, -(27*INDEX('KZ-normalized'!$D:$D, MATCH($A209, 'KZ-normalized'!$A:$A, 0))-INDEX('KZ-normalized'!$E:$E, MATCH($A209, 'KZ-normalized'!$A:$A, 0))), 0), 0))+(IFERROR(IF(27*INDEX('UZ-normalized'!$D:$D, MATCH($A209, 'UZ-normalized'!$A:$A, 0))-INDEX('UZ-normalized'!$E:$E, MATCH($A209, 'UZ-normalized'!$A:$A, 0))&gt;0, -(27*INDEX('UZ-normalized'!$D:$D, MATCH($A209, 'UZ-normalized'!$A:$A, 0))-INDEX('UZ-normalized'!$E:$E, MATCH($A209, 'UZ-normalized'!$A:$A, 0))), 0), 0)))</f>
        <v>-702.8</v>
      </c>
      <c r="AP209" s="6">
        <f>MIN(0, N209+(IFERROR(IF(28*INDEX('UA-normalized'!$D:$D, MATCH($A209, 'UA-normalized'!$A:$A, 0))-INDEX('UA-normalized'!$E:$E, MATCH($A209, 'UA-normalized'!$A:$A, 0))&gt;0, -(28*INDEX('UA-normalized'!$D:$D, MATCH($A209, 'UA-normalized'!$A:$A, 0))-INDEX('UA-normalized'!$E:$E, MATCH($A209, 'UA-normalized'!$A:$A, 0))), 0), 0))+(IFERROR(IF(28*INDEX('KZ-normalized'!$D:$D, MATCH($A209, 'KZ-normalized'!$A:$A, 0))-INDEX('KZ-normalized'!$E:$E, MATCH($A209, 'KZ-normalized'!$A:$A, 0))&gt;0, -(28*INDEX('KZ-normalized'!$D:$D, MATCH($A209, 'KZ-normalized'!$A:$A, 0))-INDEX('KZ-normalized'!$E:$E, MATCH($A209, 'KZ-normalized'!$A:$A, 0))), 0), 0))+(IFERROR(IF(28*INDEX('UZ-normalized'!$D:$D, MATCH($A209, 'UZ-normalized'!$A:$A, 0))-INDEX('UZ-normalized'!$E:$E, MATCH($A209, 'UZ-normalized'!$A:$A, 0))&gt;0, -(28*INDEX('UZ-normalized'!$D:$D, MATCH($A209, 'UZ-normalized'!$A:$A, 0))-INDEX('UZ-normalized'!$E:$E, MATCH($A209, 'UZ-normalized'!$A:$A, 0))), 0), 0)))</f>
        <v>-738.2</v>
      </c>
      <c r="AQ209" s="6">
        <f>MIN(0, N209+(IFERROR(IF(29*INDEX('UA-normalized'!$D:$D, MATCH($A209, 'UA-normalized'!$A:$A, 0))-INDEX('UA-normalized'!$E:$E, MATCH($A209, 'UA-normalized'!$A:$A, 0))&gt;0, -(29*INDEX('UA-normalized'!$D:$D, MATCH($A209, 'UA-normalized'!$A:$A, 0))-INDEX('UA-normalized'!$E:$E, MATCH($A209, 'UA-normalized'!$A:$A, 0))), 0), 0))+(IFERROR(IF(29*INDEX('KZ-normalized'!$D:$D, MATCH($A209, 'KZ-normalized'!$A:$A, 0))-INDEX('KZ-normalized'!$E:$E, MATCH($A209, 'KZ-normalized'!$A:$A, 0))&gt;0, -(29*INDEX('KZ-normalized'!$D:$D, MATCH($A209, 'KZ-normalized'!$A:$A, 0))-INDEX('KZ-normalized'!$E:$E, MATCH($A209, 'KZ-normalized'!$A:$A, 0))), 0), 0))+(IFERROR(IF(29*INDEX('UZ-normalized'!$D:$D, MATCH($A209, 'UZ-normalized'!$A:$A, 0))-INDEX('UZ-normalized'!$E:$E, MATCH($A209, 'UZ-normalized'!$A:$A, 0))&gt;0, -(29*INDEX('UZ-normalized'!$D:$D, MATCH($A209, 'UZ-normalized'!$A:$A, 0))-INDEX('UZ-normalized'!$E:$E, MATCH($A209, 'UZ-normalized'!$A:$A, 0))), 0), 0)))</f>
        <v>-773.6</v>
      </c>
      <c r="AR209" s="6">
        <f>MIN(0, N209+(IFERROR(IF(30*INDEX('UA-normalized'!$D:$D, MATCH($A209, 'UA-normalized'!$A:$A, 0))-INDEX('UA-normalized'!$E:$E, MATCH($A209, 'UA-normalized'!$A:$A, 0))&gt;0, -(30*INDEX('UA-normalized'!$D:$D, MATCH($A209, 'UA-normalized'!$A:$A, 0))-INDEX('UA-normalized'!$E:$E, MATCH($A209, 'UA-normalized'!$A:$A, 0))), 0), 0))+(IFERROR(IF(30*INDEX('KZ-normalized'!$D:$D, MATCH($A209, 'KZ-normalized'!$A:$A, 0))-INDEX('KZ-normalized'!$E:$E, MATCH($A209, 'KZ-normalized'!$A:$A, 0))&gt;0, -(30*INDEX('KZ-normalized'!$D:$D, MATCH($A209, 'KZ-normalized'!$A:$A, 0))-INDEX('KZ-normalized'!$E:$E, MATCH($A209, 'KZ-normalized'!$A:$A, 0))), 0), 0))+(IFERROR(IF(30*INDEX('UZ-normalized'!$D:$D, MATCH($A209, 'UZ-normalized'!$A:$A, 0))-INDEX('UZ-normalized'!$E:$E, MATCH($A209, 'UZ-normalized'!$A:$A, 0))&gt;0, -(30*INDEX('UZ-normalized'!$D:$D, MATCH($A209, 'UZ-normalized'!$A:$A, 0))-INDEX('UZ-normalized'!$E:$E, MATCH($A209, 'UZ-normalized'!$A:$A, 0))), 0), 0)))</f>
        <v>-809</v>
      </c>
    </row>
    <row r="210" spans="1:44" x14ac:dyDescent="0.25">
      <c r="A210" s="8" t="s">
        <v>501</v>
      </c>
      <c r="B210" s="8" t="s">
        <v>492</v>
      </c>
      <c r="C210" s="8" t="s">
        <v>493</v>
      </c>
      <c r="D210" s="8" t="s">
        <v>502</v>
      </c>
      <c r="N210">
        <f t="shared" si="3"/>
        <v>0</v>
      </c>
      <c r="O210" s="6">
        <f>MIN(0, N210+(IFERROR(IF(1*INDEX('UA-normalized'!$D:$D, MATCH($A210, 'UA-normalized'!$A:$A, 0))-INDEX('UA-normalized'!$E:$E, MATCH($A210, 'UA-normalized'!$A:$A, 0))&gt;0, -(1*INDEX('UA-normalized'!$D:$D, MATCH($A210, 'UA-normalized'!$A:$A, 0))-INDEX('UA-normalized'!$E:$E, MATCH($A210, 'UA-normalized'!$A:$A, 0))), 0), 0))+(IFERROR(IF(1*INDEX('KZ-normalized'!$D:$D, MATCH($A210, 'KZ-normalized'!$A:$A, 0))-INDEX('KZ-normalized'!$E:$E, MATCH($A210, 'KZ-normalized'!$A:$A, 0))&gt;0, -(1*INDEX('KZ-normalized'!$D:$D, MATCH($A210, 'KZ-normalized'!$A:$A, 0))-INDEX('KZ-normalized'!$E:$E, MATCH($A210, 'KZ-normalized'!$A:$A, 0))), 0), 0))+(IFERROR(IF(1*INDEX('UZ-normalized'!$D:$D, MATCH($A210, 'UZ-normalized'!$A:$A, 0))-INDEX('UZ-normalized'!$E:$E, MATCH($A210, 'UZ-normalized'!$A:$A, 0))&gt;0, -(1*INDEX('UZ-normalized'!$D:$D, MATCH($A210, 'UZ-normalized'!$A:$A, 0))-INDEX('UZ-normalized'!$E:$E, MATCH($A210, 'UZ-normalized'!$A:$A, 0))), 0), 0)))</f>
        <v>0</v>
      </c>
      <c r="P210" s="6">
        <f>MIN(0, N210+(IFERROR(IF(2*INDEX('UA-normalized'!$D:$D, MATCH($A210, 'UA-normalized'!$A:$A, 0))-INDEX('UA-normalized'!$E:$E, MATCH($A210, 'UA-normalized'!$A:$A, 0))&gt;0, -(2*INDEX('UA-normalized'!$D:$D, MATCH($A210, 'UA-normalized'!$A:$A, 0))-INDEX('UA-normalized'!$E:$E, MATCH($A210, 'UA-normalized'!$A:$A, 0))), 0), 0))+(IFERROR(IF(2*INDEX('KZ-normalized'!$D:$D, MATCH($A210, 'KZ-normalized'!$A:$A, 0))-INDEX('KZ-normalized'!$E:$E, MATCH($A210, 'KZ-normalized'!$A:$A, 0))&gt;0, -(2*INDEX('KZ-normalized'!$D:$D, MATCH($A210, 'KZ-normalized'!$A:$A, 0))-INDEX('KZ-normalized'!$E:$E, MATCH($A210, 'KZ-normalized'!$A:$A, 0))), 0), 0))+(IFERROR(IF(2*INDEX('UZ-normalized'!$D:$D, MATCH($A210, 'UZ-normalized'!$A:$A, 0))-INDEX('UZ-normalized'!$E:$E, MATCH($A210, 'UZ-normalized'!$A:$A, 0))&gt;0, -(2*INDEX('UZ-normalized'!$D:$D, MATCH($A210, 'UZ-normalized'!$A:$A, 0))-INDEX('UZ-normalized'!$E:$E, MATCH($A210, 'UZ-normalized'!$A:$A, 0))), 0), 0)))</f>
        <v>0</v>
      </c>
      <c r="Q210" s="6">
        <f>MIN(0, N210+(IFERROR(IF(3*INDEX('UA-normalized'!$D:$D, MATCH($A210, 'UA-normalized'!$A:$A, 0))-INDEX('UA-normalized'!$E:$E, MATCH($A210, 'UA-normalized'!$A:$A, 0))&gt;0, -(3*INDEX('UA-normalized'!$D:$D, MATCH($A210, 'UA-normalized'!$A:$A, 0))-INDEX('UA-normalized'!$E:$E, MATCH($A210, 'UA-normalized'!$A:$A, 0))), 0), 0))+(IFERROR(IF(3*INDEX('KZ-normalized'!$D:$D, MATCH($A210, 'KZ-normalized'!$A:$A, 0))-INDEX('KZ-normalized'!$E:$E, MATCH($A210, 'KZ-normalized'!$A:$A, 0))&gt;0, -(3*INDEX('KZ-normalized'!$D:$D, MATCH($A210, 'KZ-normalized'!$A:$A, 0))-INDEX('KZ-normalized'!$E:$E, MATCH($A210, 'KZ-normalized'!$A:$A, 0))), 0), 0))+(IFERROR(IF(3*INDEX('UZ-normalized'!$D:$D, MATCH($A210, 'UZ-normalized'!$A:$A, 0))-INDEX('UZ-normalized'!$E:$E, MATCH($A210, 'UZ-normalized'!$A:$A, 0))&gt;0, -(3*INDEX('UZ-normalized'!$D:$D, MATCH($A210, 'UZ-normalized'!$A:$A, 0))-INDEX('UZ-normalized'!$E:$E, MATCH($A210, 'UZ-normalized'!$A:$A, 0))), 0), 0)))</f>
        <v>0</v>
      </c>
      <c r="R210" s="6">
        <f>MIN(0, N210+(IFERROR(IF(4*INDEX('UA-normalized'!$D:$D, MATCH($A210, 'UA-normalized'!$A:$A, 0))-INDEX('UA-normalized'!$E:$E, MATCH($A210, 'UA-normalized'!$A:$A, 0))&gt;0, -(4*INDEX('UA-normalized'!$D:$D, MATCH($A210, 'UA-normalized'!$A:$A, 0))-INDEX('UA-normalized'!$E:$E, MATCH($A210, 'UA-normalized'!$A:$A, 0))), 0), 0))+(IFERROR(IF(4*INDEX('KZ-normalized'!$D:$D, MATCH($A210, 'KZ-normalized'!$A:$A, 0))-INDEX('KZ-normalized'!$E:$E, MATCH($A210, 'KZ-normalized'!$A:$A, 0))&gt;0, -(4*INDEX('KZ-normalized'!$D:$D, MATCH($A210, 'KZ-normalized'!$A:$A, 0))-INDEX('KZ-normalized'!$E:$E, MATCH($A210, 'KZ-normalized'!$A:$A, 0))), 0), 0))+(IFERROR(IF(4*INDEX('UZ-normalized'!$D:$D, MATCH($A210, 'UZ-normalized'!$A:$A, 0))-INDEX('UZ-normalized'!$E:$E, MATCH($A210, 'UZ-normalized'!$A:$A, 0))&gt;0, -(4*INDEX('UZ-normalized'!$D:$D, MATCH($A210, 'UZ-normalized'!$A:$A, 0))-INDEX('UZ-normalized'!$E:$E, MATCH($A210, 'UZ-normalized'!$A:$A, 0))), 0), 0)))</f>
        <v>0</v>
      </c>
      <c r="S210" s="6">
        <f>MIN(0, N210+(IFERROR(IF(5*INDEX('UA-normalized'!$D:$D, MATCH($A210, 'UA-normalized'!$A:$A, 0))-INDEX('UA-normalized'!$E:$E, MATCH($A210, 'UA-normalized'!$A:$A, 0))&gt;0, -(5*INDEX('UA-normalized'!$D:$D, MATCH($A210, 'UA-normalized'!$A:$A, 0))-INDEX('UA-normalized'!$E:$E, MATCH($A210, 'UA-normalized'!$A:$A, 0))), 0), 0))+(IFERROR(IF(5*INDEX('KZ-normalized'!$D:$D, MATCH($A210, 'KZ-normalized'!$A:$A, 0))-INDEX('KZ-normalized'!$E:$E, MATCH($A210, 'KZ-normalized'!$A:$A, 0))&gt;0, -(5*INDEX('KZ-normalized'!$D:$D, MATCH($A210, 'KZ-normalized'!$A:$A, 0))-INDEX('KZ-normalized'!$E:$E, MATCH($A210, 'KZ-normalized'!$A:$A, 0))), 0), 0))+(IFERROR(IF(5*INDEX('UZ-normalized'!$D:$D, MATCH($A210, 'UZ-normalized'!$A:$A, 0))-INDEX('UZ-normalized'!$E:$E, MATCH($A210, 'UZ-normalized'!$A:$A, 0))&gt;0, -(5*INDEX('UZ-normalized'!$D:$D, MATCH($A210, 'UZ-normalized'!$A:$A, 0))-INDEX('UZ-normalized'!$E:$E, MATCH($A210, 'UZ-normalized'!$A:$A, 0))), 0), 0)))</f>
        <v>0</v>
      </c>
      <c r="T210" s="6">
        <f>MIN(0, N210+(IFERROR(IF(6*INDEX('UA-normalized'!$D:$D, MATCH($A210, 'UA-normalized'!$A:$A, 0))-INDEX('UA-normalized'!$E:$E, MATCH($A210, 'UA-normalized'!$A:$A, 0))&gt;0, -(6*INDEX('UA-normalized'!$D:$D, MATCH($A210, 'UA-normalized'!$A:$A, 0))-INDEX('UA-normalized'!$E:$E, MATCH($A210, 'UA-normalized'!$A:$A, 0))), 0), 0))+(IFERROR(IF(6*INDEX('KZ-normalized'!$D:$D, MATCH($A210, 'KZ-normalized'!$A:$A, 0))-INDEX('KZ-normalized'!$E:$E, MATCH($A210, 'KZ-normalized'!$A:$A, 0))&gt;0, -(6*INDEX('KZ-normalized'!$D:$D, MATCH($A210, 'KZ-normalized'!$A:$A, 0))-INDEX('KZ-normalized'!$E:$E, MATCH($A210, 'KZ-normalized'!$A:$A, 0))), 0), 0))+(IFERROR(IF(6*INDEX('UZ-normalized'!$D:$D, MATCH($A210, 'UZ-normalized'!$A:$A, 0))-INDEX('UZ-normalized'!$E:$E, MATCH($A210, 'UZ-normalized'!$A:$A, 0))&gt;0, -(6*INDEX('UZ-normalized'!$D:$D, MATCH($A210, 'UZ-normalized'!$A:$A, 0))-INDEX('UZ-normalized'!$E:$E, MATCH($A210, 'UZ-normalized'!$A:$A, 0))), 0), 0)))</f>
        <v>0</v>
      </c>
      <c r="U210" s="6">
        <f>MIN(0, N210+(IFERROR(IF(7*INDEX('UA-normalized'!$D:$D, MATCH($A210, 'UA-normalized'!$A:$A, 0))-INDEX('UA-normalized'!$E:$E, MATCH($A210, 'UA-normalized'!$A:$A, 0))&gt;0, -(7*INDEX('UA-normalized'!$D:$D, MATCH($A210, 'UA-normalized'!$A:$A, 0))-INDEX('UA-normalized'!$E:$E, MATCH($A210, 'UA-normalized'!$A:$A, 0))), 0), 0))+(IFERROR(IF(7*INDEX('KZ-normalized'!$D:$D, MATCH($A210, 'KZ-normalized'!$A:$A, 0))-INDEX('KZ-normalized'!$E:$E, MATCH($A210, 'KZ-normalized'!$A:$A, 0))&gt;0, -(7*INDEX('KZ-normalized'!$D:$D, MATCH($A210, 'KZ-normalized'!$A:$A, 0))-INDEX('KZ-normalized'!$E:$E, MATCH($A210, 'KZ-normalized'!$A:$A, 0))), 0), 0))+(IFERROR(IF(7*INDEX('UZ-normalized'!$D:$D, MATCH($A210, 'UZ-normalized'!$A:$A, 0))-INDEX('UZ-normalized'!$E:$E, MATCH($A210, 'UZ-normalized'!$A:$A, 0))&gt;0, -(7*INDEX('UZ-normalized'!$D:$D, MATCH($A210, 'UZ-normalized'!$A:$A, 0))-INDEX('UZ-normalized'!$E:$E, MATCH($A210, 'UZ-normalized'!$A:$A, 0))), 0), 0)))</f>
        <v>0</v>
      </c>
      <c r="V210" s="6">
        <f>MIN(0, N210+(IFERROR(IF(8*INDEX('UA-normalized'!$D:$D, MATCH($A210, 'UA-normalized'!$A:$A, 0))-INDEX('UA-normalized'!$E:$E, MATCH($A210, 'UA-normalized'!$A:$A, 0))&gt;0, -(8*INDEX('UA-normalized'!$D:$D, MATCH($A210, 'UA-normalized'!$A:$A, 0))-INDEX('UA-normalized'!$E:$E, MATCH($A210, 'UA-normalized'!$A:$A, 0))), 0), 0))+(IFERROR(IF(8*INDEX('KZ-normalized'!$D:$D, MATCH($A210, 'KZ-normalized'!$A:$A, 0))-INDEX('KZ-normalized'!$E:$E, MATCH($A210, 'KZ-normalized'!$A:$A, 0))&gt;0, -(8*INDEX('KZ-normalized'!$D:$D, MATCH($A210, 'KZ-normalized'!$A:$A, 0))-INDEX('KZ-normalized'!$E:$E, MATCH($A210, 'KZ-normalized'!$A:$A, 0))), 0), 0))+(IFERROR(IF(8*INDEX('UZ-normalized'!$D:$D, MATCH($A210, 'UZ-normalized'!$A:$A, 0))-INDEX('UZ-normalized'!$E:$E, MATCH($A210, 'UZ-normalized'!$A:$A, 0))&gt;0, -(8*INDEX('UZ-normalized'!$D:$D, MATCH($A210, 'UZ-normalized'!$A:$A, 0))-INDEX('UZ-normalized'!$E:$E, MATCH($A210, 'UZ-normalized'!$A:$A, 0))), 0), 0)))</f>
        <v>0</v>
      </c>
      <c r="W210" s="6">
        <f>MIN(0, N210+(IFERROR(IF(9*INDEX('UA-normalized'!$D:$D, MATCH($A210, 'UA-normalized'!$A:$A, 0))-INDEX('UA-normalized'!$E:$E, MATCH($A210, 'UA-normalized'!$A:$A, 0))&gt;0, -(9*INDEX('UA-normalized'!$D:$D, MATCH($A210, 'UA-normalized'!$A:$A, 0))-INDEX('UA-normalized'!$E:$E, MATCH($A210, 'UA-normalized'!$A:$A, 0))), 0), 0))+(IFERROR(IF(9*INDEX('KZ-normalized'!$D:$D, MATCH($A210, 'KZ-normalized'!$A:$A, 0))-INDEX('KZ-normalized'!$E:$E, MATCH($A210, 'KZ-normalized'!$A:$A, 0))&gt;0, -(9*INDEX('KZ-normalized'!$D:$D, MATCH($A210, 'KZ-normalized'!$A:$A, 0))-INDEX('KZ-normalized'!$E:$E, MATCH($A210, 'KZ-normalized'!$A:$A, 0))), 0), 0))+(IFERROR(IF(9*INDEX('UZ-normalized'!$D:$D, MATCH($A210, 'UZ-normalized'!$A:$A, 0))-INDEX('UZ-normalized'!$E:$E, MATCH($A210, 'UZ-normalized'!$A:$A, 0))&gt;0, -(9*INDEX('UZ-normalized'!$D:$D, MATCH($A210, 'UZ-normalized'!$A:$A, 0))-INDEX('UZ-normalized'!$E:$E, MATCH($A210, 'UZ-normalized'!$A:$A, 0))), 0), 0)))</f>
        <v>-1.75</v>
      </c>
      <c r="X210" s="6">
        <f>MIN(0, N210+(IFERROR(IF(10*INDEX('UA-normalized'!$D:$D, MATCH($A210, 'UA-normalized'!$A:$A, 0))-INDEX('UA-normalized'!$E:$E, MATCH($A210, 'UA-normalized'!$A:$A, 0))&gt;0, -(10*INDEX('UA-normalized'!$D:$D, MATCH($A210, 'UA-normalized'!$A:$A, 0))-INDEX('UA-normalized'!$E:$E, MATCH($A210, 'UA-normalized'!$A:$A, 0))), 0), 0))+(IFERROR(IF(10*INDEX('KZ-normalized'!$D:$D, MATCH($A210, 'KZ-normalized'!$A:$A, 0))-INDEX('KZ-normalized'!$E:$E, MATCH($A210, 'KZ-normalized'!$A:$A, 0))&gt;0, -(10*INDEX('KZ-normalized'!$D:$D, MATCH($A210, 'KZ-normalized'!$A:$A, 0))-INDEX('KZ-normalized'!$E:$E, MATCH($A210, 'KZ-normalized'!$A:$A, 0))), 0), 0))+(IFERROR(IF(10*INDEX('UZ-normalized'!$D:$D, MATCH($A210, 'UZ-normalized'!$A:$A, 0))-INDEX('UZ-normalized'!$E:$E, MATCH($A210, 'UZ-normalized'!$A:$A, 0))&gt;0, -(10*INDEX('UZ-normalized'!$D:$D, MATCH($A210, 'UZ-normalized'!$A:$A, 0))-INDEX('UZ-normalized'!$E:$E, MATCH($A210, 'UZ-normalized'!$A:$A, 0))), 0), 0)))</f>
        <v>-3.5</v>
      </c>
      <c r="Y210" s="6">
        <f>MIN(0, N210+(IFERROR(IF(11*INDEX('UA-normalized'!$D:$D, MATCH($A210, 'UA-normalized'!$A:$A, 0))-INDEX('UA-normalized'!$E:$E, MATCH($A210, 'UA-normalized'!$A:$A, 0))&gt;0, -(11*INDEX('UA-normalized'!$D:$D, MATCH($A210, 'UA-normalized'!$A:$A, 0))-INDEX('UA-normalized'!$E:$E, MATCH($A210, 'UA-normalized'!$A:$A, 0))), 0), 0))+(IFERROR(IF(11*INDEX('KZ-normalized'!$D:$D, MATCH($A210, 'KZ-normalized'!$A:$A, 0))-INDEX('KZ-normalized'!$E:$E, MATCH($A210, 'KZ-normalized'!$A:$A, 0))&gt;0, -(11*INDEX('KZ-normalized'!$D:$D, MATCH($A210, 'KZ-normalized'!$A:$A, 0))-INDEX('KZ-normalized'!$E:$E, MATCH($A210, 'KZ-normalized'!$A:$A, 0))), 0), 0))+(IFERROR(IF(11*INDEX('UZ-normalized'!$D:$D, MATCH($A210, 'UZ-normalized'!$A:$A, 0))-INDEX('UZ-normalized'!$E:$E, MATCH($A210, 'UZ-normalized'!$A:$A, 0))&gt;0, -(11*INDEX('UZ-normalized'!$D:$D, MATCH($A210, 'UZ-normalized'!$A:$A, 0))-INDEX('UZ-normalized'!$E:$E, MATCH($A210, 'UZ-normalized'!$A:$A, 0))), 0), 0)))</f>
        <v>-5.25</v>
      </c>
      <c r="Z210" s="6">
        <f>MIN(0, N210+(IFERROR(IF(12*INDEX('UA-normalized'!$D:$D, MATCH($A210, 'UA-normalized'!$A:$A, 0))-INDEX('UA-normalized'!$E:$E, MATCH($A210, 'UA-normalized'!$A:$A, 0))&gt;0, -(12*INDEX('UA-normalized'!$D:$D, MATCH($A210, 'UA-normalized'!$A:$A, 0))-INDEX('UA-normalized'!$E:$E, MATCH($A210, 'UA-normalized'!$A:$A, 0))), 0), 0))+(IFERROR(IF(12*INDEX('KZ-normalized'!$D:$D, MATCH($A210, 'KZ-normalized'!$A:$A, 0))-INDEX('KZ-normalized'!$E:$E, MATCH($A210, 'KZ-normalized'!$A:$A, 0))&gt;0, -(12*INDEX('KZ-normalized'!$D:$D, MATCH($A210, 'KZ-normalized'!$A:$A, 0))-INDEX('KZ-normalized'!$E:$E, MATCH($A210, 'KZ-normalized'!$A:$A, 0))), 0), 0))+(IFERROR(IF(12*INDEX('UZ-normalized'!$D:$D, MATCH($A210, 'UZ-normalized'!$A:$A, 0))-INDEX('UZ-normalized'!$E:$E, MATCH($A210, 'UZ-normalized'!$A:$A, 0))&gt;0, -(12*INDEX('UZ-normalized'!$D:$D, MATCH($A210, 'UZ-normalized'!$A:$A, 0))-INDEX('UZ-normalized'!$E:$E, MATCH($A210, 'UZ-normalized'!$A:$A, 0))), 0), 0)))</f>
        <v>-7</v>
      </c>
      <c r="AA210" s="6">
        <f>MIN(0, N210+(IFERROR(IF(13*INDEX('UA-normalized'!$D:$D, MATCH($A210, 'UA-normalized'!$A:$A, 0))-INDEX('UA-normalized'!$E:$E, MATCH($A210, 'UA-normalized'!$A:$A, 0))&gt;0, -(13*INDEX('UA-normalized'!$D:$D, MATCH($A210, 'UA-normalized'!$A:$A, 0))-INDEX('UA-normalized'!$E:$E, MATCH($A210, 'UA-normalized'!$A:$A, 0))), 0), 0))+(IFERROR(IF(13*INDEX('KZ-normalized'!$D:$D, MATCH($A210, 'KZ-normalized'!$A:$A, 0))-INDEX('KZ-normalized'!$E:$E, MATCH($A210, 'KZ-normalized'!$A:$A, 0))&gt;0, -(13*INDEX('KZ-normalized'!$D:$D, MATCH($A210, 'KZ-normalized'!$A:$A, 0))-INDEX('KZ-normalized'!$E:$E, MATCH($A210, 'KZ-normalized'!$A:$A, 0))), 0), 0))+(IFERROR(IF(13*INDEX('UZ-normalized'!$D:$D, MATCH($A210, 'UZ-normalized'!$A:$A, 0))-INDEX('UZ-normalized'!$E:$E, MATCH($A210, 'UZ-normalized'!$A:$A, 0))&gt;0, -(13*INDEX('UZ-normalized'!$D:$D, MATCH($A210, 'UZ-normalized'!$A:$A, 0))-INDEX('UZ-normalized'!$E:$E, MATCH($A210, 'UZ-normalized'!$A:$A, 0))), 0), 0)))</f>
        <v>-8.75</v>
      </c>
      <c r="AB210" s="6">
        <f>MIN(0, N210+(IFERROR(IF(14*INDEX('UA-normalized'!$D:$D, MATCH($A210, 'UA-normalized'!$A:$A, 0))-INDEX('UA-normalized'!$E:$E, MATCH($A210, 'UA-normalized'!$A:$A, 0))&gt;0, -(14*INDEX('UA-normalized'!$D:$D, MATCH($A210, 'UA-normalized'!$A:$A, 0))-INDEX('UA-normalized'!$E:$E, MATCH($A210, 'UA-normalized'!$A:$A, 0))), 0), 0))+(IFERROR(IF(14*INDEX('KZ-normalized'!$D:$D, MATCH($A210, 'KZ-normalized'!$A:$A, 0))-INDEX('KZ-normalized'!$E:$E, MATCH($A210, 'KZ-normalized'!$A:$A, 0))&gt;0, -(14*INDEX('KZ-normalized'!$D:$D, MATCH($A210, 'KZ-normalized'!$A:$A, 0))-INDEX('KZ-normalized'!$E:$E, MATCH($A210, 'KZ-normalized'!$A:$A, 0))), 0), 0))+(IFERROR(IF(14*INDEX('UZ-normalized'!$D:$D, MATCH($A210, 'UZ-normalized'!$A:$A, 0))-INDEX('UZ-normalized'!$E:$E, MATCH($A210, 'UZ-normalized'!$A:$A, 0))&gt;0, -(14*INDEX('UZ-normalized'!$D:$D, MATCH($A210, 'UZ-normalized'!$A:$A, 0))-INDEX('UZ-normalized'!$E:$E, MATCH($A210, 'UZ-normalized'!$A:$A, 0))), 0), 0)))</f>
        <v>-10.5</v>
      </c>
      <c r="AC210" s="6">
        <f>MIN(0, N210+(IFERROR(IF(15*INDEX('UA-normalized'!$D:$D, MATCH($A210, 'UA-normalized'!$A:$A, 0))-INDEX('UA-normalized'!$E:$E, MATCH($A210, 'UA-normalized'!$A:$A, 0))&gt;0, -(15*INDEX('UA-normalized'!$D:$D, MATCH($A210, 'UA-normalized'!$A:$A, 0))-INDEX('UA-normalized'!$E:$E, MATCH($A210, 'UA-normalized'!$A:$A, 0))), 0), 0))+(IFERROR(IF(15*INDEX('KZ-normalized'!$D:$D, MATCH($A210, 'KZ-normalized'!$A:$A, 0))-INDEX('KZ-normalized'!$E:$E, MATCH($A210, 'KZ-normalized'!$A:$A, 0))&gt;0, -(15*INDEX('KZ-normalized'!$D:$D, MATCH($A210, 'KZ-normalized'!$A:$A, 0))-INDEX('KZ-normalized'!$E:$E, MATCH($A210, 'KZ-normalized'!$A:$A, 0))), 0), 0))+(IFERROR(IF(15*INDEX('UZ-normalized'!$D:$D, MATCH($A210, 'UZ-normalized'!$A:$A, 0))-INDEX('UZ-normalized'!$E:$E, MATCH($A210, 'UZ-normalized'!$A:$A, 0))&gt;0, -(15*INDEX('UZ-normalized'!$D:$D, MATCH($A210, 'UZ-normalized'!$A:$A, 0))-INDEX('UZ-normalized'!$E:$E, MATCH($A210, 'UZ-normalized'!$A:$A, 0))), 0), 0)))</f>
        <v>-12.25</v>
      </c>
      <c r="AD210" s="6">
        <f>MIN(0, N210+(IFERROR(IF(16*INDEX('UA-normalized'!$D:$D, MATCH($A210, 'UA-normalized'!$A:$A, 0))-INDEX('UA-normalized'!$E:$E, MATCH($A210, 'UA-normalized'!$A:$A, 0))&gt;0, -(16*INDEX('UA-normalized'!$D:$D, MATCH($A210, 'UA-normalized'!$A:$A, 0))-INDEX('UA-normalized'!$E:$E, MATCH($A210, 'UA-normalized'!$A:$A, 0))), 0), 0))+(IFERROR(IF(16*INDEX('KZ-normalized'!$D:$D, MATCH($A210, 'KZ-normalized'!$A:$A, 0))-INDEX('KZ-normalized'!$E:$E, MATCH($A210, 'KZ-normalized'!$A:$A, 0))&gt;0, -(16*INDEX('KZ-normalized'!$D:$D, MATCH($A210, 'KZ-normalized'!$A:$A, 0))-INDEX('KZ-normalized'!$E:$E, MATCH($A210, 'KZ-normalized'!$A:$A, 0))), 0), 0))+(IFERROR(IF(16*INDEX('UZ-normalized'!$D:$D, MATCH($A210, 'UZ-normalized'!$A:$A, 0))-INDEX('UZ-normalized'!$E:$E, MATCH($A210, 'UZ-normalized'!$A:$A, 0))&gt;0, -(16*INDEX('UZ-normalized'!$D:$D, MATCH($A210, 'UZ-normalized'!$A:$A, 0))-INDEX('UZ-normalized'!$E:$E, MATCH($A210, 'UZ-normalized'!$A:$A, 0))), 0), 0)))</f>
        <v>-14</v>
      </c>
      <c r="AE210" s="6">
        <f>MIN(0, N210+(IFERROR(IF(17*INDEX('UA-normalized'!$D:$D, MATCH($A210, 'UA-normalized'!$A:$A, 0))-INDEX('UA-normalized'!$E:$E, MATCH($A210, 'UA-normalized'!$A:$A, 0))&gt;0, -(17*INDEX('UA-normalized'!$D:$D, MATCH($A210, 'UA-normalized'!$A:$A, 0))-INDEX('UA-normalized'!$E:$E, MATCH($A210, 'UA-normalized'!$A:$A, 0))), 0), 0))+(IFERROR(IF(17*INDEX('KZ-normalized'!$D:$D, MATCH($A210, 'KZ-normalized'!$A:$A, 0))-INDEX('KZ-normalized'!$E:$E, MATCH($A210, 'KZ-normalized'!$A:$A, 0))&gt;0, -(17*INDEX('KZ-normalized'!$D:$D, MATCH($A210, 'KZ-normalized'!$A:$A, 0))-INDEX('KZ-normalized'!$E:$E, MATCH($A210, 'KZ-normalized'!$A:$A, 0))), 0), 0))+(IFERROR(IF(17*INDEX('UZ-normalized'!$D:$D, MATCH($A210, 'UZ-normalized'!$A:$A, 0))-INDEX('UZ-normalized'!$E:$E, MATCH($A210, 'UZ-normalized'!$A:$A, 0))&gt;0, -(17*INDEX('UZ-normalized'!$D:$D, MATCH($A210, 'UZ-normalized'!$A:$A, 0))-INDEX('UZ-normalized'!$E:$E, MATCH($A210, 'UZ-normalized'!$A:$A, 0))), 0), 0)))</f>
        <v>-15.75</v>
      </c>
      <c r="AF210" s="6">
        <f>MIN(0, N210+(IFERROR(IF(18*INDEX('UA-normalized'!$D:$D, MATCH($A210, 'UA-normalized'!$A:$A, 0))-INDEX('UA-normalized'!$E:$E, MATCH($A210, 'UA-normalized'!$A:$A, 0))&gt;0, -(18*INDEX('UA-normalized'!$D:$D, MATCH($A210, 'UA-normalized'!$A:$A, 0))-INDEX('UA-normalized'!$E:$E, MATCH($A210, 'UA-normalized'!$A:$A, 0))), 0), 0))+(IFERROR(IF(18*INDEX('KZ-normalized'!$D:$D, MATCH($A210, 'KZ-normalized'!$A:$A, 0))-INDEX('KZ-normalized'!$E:$E, MATCH($A210, 'KZ-normalized'!$A:$A, 0))&gt;0, -(18*INDEX('KZ-normalized'!$D:$D, MATCH($A210, 'KZ-normalized'!$A:$A, 0))-INDEX('KZ-normalized'!$E:$E, MATCH($A210, 'KZ-normalized'!$A:$A, 0))), 0), 0))+(IFERROR(IF(18*INDEX('UZ-normalized'!$D:$D, MATCH($A210, 'UZ-normalized'!$A:$A, 0))-INDEX('UZ-normalized'!$E:$E, MATCH($A210, 'UZ-normalized'!$A:$A, 0))&gt;0, -(18*INDEX('UZ-normalized'!$D:$D, MATCH($A210, 'UZ-normalized'!$A:$A, 0))-INDEX('UZ-normalized'!$E:$E, MATCH($A210, 'UZ-normalized'!$A:$A, 0))), 0), 0)))</f>
        <v>-17.5</v>
      </c>
      <c r="AG210" s="6">
        <f>MIN(0, N210+(IFERROR(IF(19*INDEX('UA-normalized'!$D:$D, MATCH($A210, 'UA-normalized'!$A:$A, 0))-INDEX('UA-normalized'!$E:$E, MATCH($A210, 'UA-normalized'!$A:$A, 0))&gt;0, -(19*INDEX('UA-normalized'!$D:$D, MATCH($A210, 'UA-normalized'!$A:$A, 0))-INDEX('UA-normalized'!$E:$E, MATCH($A210, 'UA-normalized'!$A:$A, 0))), 0), 0))+(IFERROR(IF(19*INDEX('KZ-normalized'!$D:$D, MATCH($A210, 'KZ-normalized'!$A:$A, 0))-INDEX('KZ-normalized'!$E:$E, MATCH($A210, 'KZ-normalized'!$A:$A, 0))&gt;0, -(19*INDEX('KZ-normalized'!$D:$D, MATCH($A210, 'KZ-normalized'!$A:$A, 0))-INDEX('KZ-normalized'!$E:$E, MATCH($A210, 'KZ-normalized'!$A:$A, 0))), 0), 0))+(IFERROR(IF(19*INDEX('UZ-normalized'!$D:$D, MATCH($A210, 'UZ-normalized'!$A:$A, 0))-INDEX('UZ-normalized'!$E:$E, MATCH($A210, 'UZ-normalized'!$A:$A, 0))&gt;0, -(19*INDEX('UZ-normalized'!$D:$D, MATCH($A210, 'UZ-normalized'!$A:$A, 0))-INDEX('UZ-normalized'!$E:$E, MATCH($A210, 'UZ-normalized'!$A:$A, 0))), 0), 0)))</f>
        <v>-19.25</v>
      </c>
      <c r="AH210" s="6">
        <f>MIN(0, N210+(IFERROR(IF(20*INDEX('UA-normalized'!$D:$D, MATCH($A210, 'UA-normalized'!$A:$A, 0))-INDEX('UA-normalized'!$E:$E, MATCH($A210, 'UA-normalized'!$A:$A, 0))&gt;0, -(20*INDEX('UA-normalized'!$D:$D, MATCH($A210, 'UA-normalized'!$A:$A, 0))-INDEX('UA-normalized'!$E:$E, MATCH($A210, 'UA-normalized'!$A:$A, 0))), 0), 0))+(IFERROR(IF(20*INDEX('KZ-normalized'!$D:$D, MATCH($A210, 'KZ-normalized'!$A:$A, 0))-INDEX('KZ-normalized'!$E:$E, MATCH($A210, 'KZ-normalized'!$A:$A, 0))&gt;0, -(20*INDEX('KZ-normalized'!$D:$D, MATCH($A210, 'KZ-normalized'!$A:$A, 0))-INDEX('KZ-normalized'!$E:$E, MATCH($A210, 'KZ-normalized'!$A:$A, 0))), 0), 0))+(IFERROR(IF(20*INDEX('UZ-normalized'!$D:$D, MATCH($A210, 'UZ-normalized'!$A:$A, 0))-INDEX('UZ-normalized'!$E:$E, MATCH($A210, 'UZ-normalized'!$A:$A, 0))&gt;0, -(20*INDEX('UZ-normalized'!$D:$D, MATCH($A210, 'UZ-normalized'!$A:$A, 0))-INDEX('UZ-normalized'!$E:$E, MATCH($A210, 'UZ-normalized'!$A:$A, 0))), 0), 0)))</f>
        <v>-21</v>
      </c>
      <c r="AI210" s="6">
        <f>MIN(0, N210+(IFERROR(IF(21*INDEX('UA-normalized'!$D:$D, MATCH($A210, 'UA-normalized'!$A:$A, 0))-INDEX('UA-normalized'!$E:$E, MATCH($A210, 'UA-normalized'!$A:$A, 0))&gt;0, -(21*INDEX('UA-normalized'!$D:$D, MATCH($A210, 'UA-normalized'!$A:$A, 0))-INDEX('UA-normalized'!$E:$E, MATCH($A210, 'UA-normalized'!$A:$A, 0))), 0), 0))+(IFERROR(IF(21*INDEX('KZ-normalized'!$D:$D, MATCH($A210, 'KZ-normalized'!$A:$A, 0))-INDEX('KZ-normalized'!$E:$E, MATCH($A210, 'KZ-normalized'!$A:$A, 0))&gt;0, -(21*INDEX('KZ-normalized'!$D:$D, MATCH($A210, 'KZ-normalized'!$A:$A, 0))-INDEX('KZ-normalized'!$E:$E, MATCH($A210, 'KZ-normalized'!$A:$A, 0))), 0), 0))+(IFERROR(IF(21*INDEX('UZ-normalized'!$D:$D, MATCH($A210, 'UZ-normalized'!$A:$A, 0))-INDEX('UZ-normalized'!$E:$E, MATCH($A210, 'UZ-normalized'!$A:$A, 0))&gt;0, -(21*INDEX('UZ-normalized'!$D:$D, MATCH($A210, 'UZ-normalized'!$A:$A, 0))-INDEX('UZ-normalized'!$E:$E, MATCH($A210, 'UZ-normalized'!$A:$A, 0))), 0), 0)))</f>
        <v>-22.75</v>
      </c>
      <c r="AJ210" s="6">
        <f>MIN(0, N210+(IFERROR(IF(22*INDEX('UA-normalized'!$D:$D, MATCH($A210, 'UA-normalized'!$A:$A, 0))-INDEX('UA-normalized'!$E:$E, MATCH($A210, 'UA-normalized'!$A:$A, 0))&gt;0, -(22*INDEX('UA-normalized'!$D:$D, MATCH($A210, 'UA-normalized'!$A:$A, 0))-INDEX('UA-normalized'!$E:$E, MATCH($A210, 'UA-normalized'!$A:$A, 0))), 0), 0))+(IFERROR(IF(22*INDEX('KZ-normalized'!$D:$D, MATCH($A210, 'KZ-normalized'!$A:$A, 0))-INDEX('KZ-normalized'!$E:$E, MATCH($A210, 'KZ-normalized'!$A:$A, 0))&gt;0, -(22*INDEX('KZ-normalized'!$D:$D, MATCH($A210, 'KZ-normalized'!$A:$A, 0))-INDEX('KZ-normalized'!$E:$E, MATCH($A210, 'KZ-normalized'!$A:$A, 0))), 0), 0))+(IFERROR(IF(22*INDEX('UZ-normalized'!$D:$D, MATCH($A210, 'UZ-normalized'!$A:$A, 0))-INDEX('UZ-normalized'!$E:$E, MATCH($A210, 'UZ-normalized'!$A:$A, 0))&gt;0, -(22*INDEX('UZ-normalized'!$D:$D, MATCH($A210, 'UZ-normalized'!$A:$A, 0))-INDEX('UZ-normalized'!$E:$E, MATCH($A210, 'UZ-normalized'!$A:$A, 0))), 0), 0)))</f>
        <v>-24.5</v>
      </c>
      <c r="AK210" s="6">
        <f>MIN(0, N210+(IFERROR(IF(23*INDEX('UA-normalized'!$D:$D, MATCH($A210, 'UA-normalized'!$A:$A, 0))-INDEX('UA-normalized'!$E:$E, MATCH($A210, 'UA-normalized'!$A:$A, 0))&gt;0, -(23*INDEX('UA-normalized'!$D:$D, MATCH($A210, 'UA-normalized'!$A:$A, 0))-INDEX('UA-normalized'!$E:$E, MATCH($A210, 'UA-normalized'!$A:$A, 0))), 0), 0))+(IFERROR(IF(23*INDEX('KZ-normalized'!$D:$D, MATCH($A210, 'KZ-normalized'!$A:$A, 0))-INDEX('KZ-normalized'!$E:$E, MATCH($A210, 'KZ-normalized'!$A:$A, 0))&gt;0, -(23*INDEX('KZ-normalized'!$D:$D, MATCH($A210, 'KZ-normalized'!$A:$A, 0))-INDEX('KZ-normalized'!$E:$E, MATCH($A210, 'KZ-normalized'!$A:$A, 0))), 0), 0))+(IFERROR(IF(23*INDEX('UZ-normalized'!$D:$D, MATCH($A210, 'UZ-normalized'!$A:$A, 0))-INDEX('UZ-normalized'!$E:$E, MATCH($A210, 'UZ-normalized'!$A:$A, 0))&gt;0, -(23*INDEX('UZ-normalized'!$D:$D, MATCH($A210, 'UZ-normalized'!$A:$A, 0))-INDEX('UZ-normalized'!$E:$E, MATCH($A210, 'UZ-normalized'!$A:$A, 0))), 0), 0)))</f>
        <v>-26.25</v>
      </c>
      <c r="AL210" s="6">
        <f>MIN(0, N210+(IFERROR(IF(24*INDEX('UA-normalized'!$D:$D, MATCH($A210, 'UA-normalized'!$A:$A, 0))-INDEX('UA-normalized'!$E:$E, MATCH($A210, 'UA-normalized'!$A:$A, 0))&gt;0, -(24*INDEX('UA-normalized'!$D:$D, MATCH($A210, 'UA-normalized'!$A:$A, 0))-INDEX('UA-normalized'!$E:$E, MATCH($A210, 'UA-normalized'!$A:$A, 0))), 0), 0))+(IFERROR(IF(24*INDEX('KZ-normalized'!$D:$D, MATCH($A210, 'KZ-normalized'!$A:$A, 0))-INDEX('KZ-normalized'!$E:$E, MATCH($A210, 'KZ-normalized'!$A:$A, 0))&gt;0, -(24*INDEX('KZ-normalized'!$D:$D, MATCH($A210, 'KZ-normalized'!$A:$A, 0))-INDEX('KZ-normalized'!$E:$E, MATCH($A210, 'KZ-normalized'!$A:$A, 0))), 0), 0))+(IFERROR(IF(24*INDEX('UZ-normalized'!$D:$D, MATCH($A210, 'UZ-normalized'!$A:$A, 0))-INDEX('UZ-normalized'!$E:$E, MATCH($A210, 'UZ-normalized'!$A:$A, 0))&gt;0, -(24*INDEX('UZ-normalized'!$D:$D, MATCH($A210, 'UZ-normalized'!$A:$A, 0))-INDEX('UZ-normalized'!$E:$E, MATCH($A210, 'UZ-normalized'!$A:$A, 0))), 0), 0)))</f>
        <v>-28</v>
      </c>
      <c r="AM210" s="6">
        <f>MIN(0, N210+(IFERROR(IF(25*INDEX('UA-normalized'!$D:$D, MATCH($A210, 'UA-normalized'!$A:$A, 0))-INDEX('UA-normalized'!$E:$E, MATCH($A210, 'UA-normalized'!$A:$A, 0))&gt;0, -(25*INDEX('UA-normalized'!$D:$D, MATCH($A210, 'UA-normalized'!$A:$A, 0))-INDEX('UA-normalized'!$E:$E, MATCH($A210, 'UA-normalized'!$A:$A, 0))), 0), 0))+(IFERROR(IF(25*INDEX('KZ-normalized'!$D:$D, MATCH($A210, 'KZ-normalized'!$A:$A, 0))-INDEX('KZ-normalized'!$E:$E, MATCH($A210, 'KZ-normalized'!$A:$A, 0))&gt;0, -(25*INDEX('KZ-normalized'!$D:$D, MATCH($A210, 'KZ-normalized'!$A:$A, 0))-INDEX('KZ-normalized'!$E:$E, MATCH($A210, 'KZ-normalized'!$A:$A, 0))), 0), 0))+(IFERROR(IF(25*INDEX('UZ-normalized'!$D:$D, MATCH($A210, 'UZ-normalized'!$A:$A, 0))-INDEX('UZ-normalized'!$E:$E, MATCH($A210, 'UZ-normalized'!$A:$A, 0))&gt;0, -(25*INDEX('UZ-normalized'!$D:$D, MATCH($A210, 'UZ-normalized'!$A:$A, 0))-INDEX('UZ-normalized'!$E:$E, MATCH($A210, 'UZ-normalized'!$A:$A, 0))), 0), 0)))</f>
        <v>-29.75</v>
      </c>
      <c r="AN210" s="6">
        <f>MIN(0, N210+(IFERROR(IF(26*INDEX('UA-normalized'!$D:$D, MATCH($A210, 'UA-normalized'!$A:$A, 0))-INDEX('UA-normalized'!$E:$E, MATCH($A210, 'UA-normalized'!$A:$A, 0))&gt;0, -(26*INDEX('UA-normalized'!$D:$D, MATCH($A210, 'UA-normalized'!$A:$A, 0))-INDEX('UA-normalized'!$E:$E, MATCH($A210, 'UA-normalized'!$A:$A, 0))), 0), 0))+(IFERROR(IF(26*INDEX('KZ-normalized'!$D:$D, MATCH($A210, 'KZ-normalized'!$A:$A, 0))-INDEX('KZ-normalized'!$E:$E, MATCH($A210, 'KZ-normalized'!$A:$A, 0))&gt;0, -(26*INDEX('KZ-normalized'!$D:$D, MATCH($A210, 'KZ-normalized'!$A:$A, 0))-INDEX('KZ-normalized'!$E:$E, MATCH($A210, 'KZ-normalized'!$A:$A, 0))), 0), 0))+(IFERROR(IF(26*INDEX('UZ-normalized'!$D:$D, MATCH($A210, 'UZ-normalized'!$A:$A, 0))-INDEX('UZ-normalized'!$E:$E, MATCH($A210, 'UZ-normalized'!$A:$A, 0))&gt;0, -(26*INDEX('UZ-normalized'!$D:$D, MATCH($A210, 'UZ-normalized'!$A:$A, 0))-INDEX('UZ-normalized'!$E:$E, MATCH($A210, 'UZ-normalized'!$A:$A, 0))), 0), 0)))</f>
        <v>-31.5</v>
      </c>
      <c r="AO210" s="6">
        <f>MIN(0, N210+(IFERROR(IF(27*INDEX('UA-normalized'!$D:$D, MATCH($A210, 'UA-normalized'!$A:$A, 0))-INDEX('UA-normalized'!$E:$E, MATCH($A210, 'UA-normalized'!$A:$A, 0))&gt;0, -(27*INDEX('UA-normalized'!$D:$D, MATCH($A210, 'UA-normalized'!$A:$A, 0))-INDEX('UA-normalized'!$E:$E, MATCH($A210, 'UA-normalized'!$A:$A, 0))), 0), 0))+(IFERROR(IF(27*INDEX('KZ-normalized'!$D:$D, MATCH($A210, 'KZ-normalized'!$A:$A, 0))-INDEX('KZ-normalized'!$E:$E, MATCH($A210, 'KZ-normalized'!$A:$A, 0))&gt;0, -(27*INDEX('KZ-normalized'!$D:$D, MATCH($A210, 'KZ-normalized'!$A:$A, 0))-INDEX('KZ-normalized'!$E:$E, MATCH($A210, 'KZ-normalized'!$A:$A, 0))), 0), 0))+(IFERROR(IF(27*INDEX('UZ-normalized'!$D:$D, MATCH($A210, 'UZ-normalized'!$A:$A, 0))-INDEX('UZ-normalized'!$E:$E, MATCH($A210, 'UZ-normalized'!$A:$A, 0))&gt;0, -(27*INDEX('UZ-normalized'!$D:$D, MATCH($A210, 'UZ-normalized'!$A:$A, 0))-INDEX('UZ-normalized'!$E:$E, MATCH($A210, 'UZ-normalized'!$A:$A, 0))), 0), 0)))</f>
        <v>-33.25</v>
      </c>
      <c r="AP210" s="6">
        <f>MIN(0, N210+(IFERROR(IF(28*INDEX('UA-normalized'!$D:$D, MATCH($A210, 'UA-normalized'!$A:$A, 0))-INDEX('UA-normalized'!$E:$E, MATCH($A210, 'UA-normalized'!$A:$A, 0))&gt;0, -(28*INDEX('UA-normalized'!$D:$D, MATCH($A210, 'UA-normalized'!$A:$A, 0))-INDEX('UA-normalized'!$E:$E, MATCH($A210, 'UA-normalized'!$A:$A, 0))), 0), 0))+(IFERROR(IF(28*INDEX('KZ-normalized'!$D:$D, MATCH($A210, 'KZ-normalized'!$A:$A, 0))-INDEX('KZ-normalized'!$E:$E, MATCH($A210, 'KZ-normalized'!$A:$A, 0))&gt;0, -(28*INDEX('KZ-normalized'!$D:$D, MATCH($A210, 'KZ-normalized'!$A:$A, 0))-INDEX('KZ-normalized'!$E:$E, MATCH($A210, 'KZ-normalized'!$A:$A, 0))), 0), 0))+(IFERROR(IF(28*INDEX('UZ-normalized'!$D:$D, MATCH($A210, 'UZ-normalized'!$A:$A, 0))-INDEX('UZ-normalized'!$E:$E, MATCH($A210, 'UZ-normalized'!$A:$A, 0))&gt;0, -(28*INDEX('UZ-normalized'!$D:$D, MATCH($A210, 'UZ-normalized'!$A:$A, 0))-INDEX('UZ-normalized'!$E:$E, MATCH($A210, 'UZ-normalized'!$A:$A, 0))), 0), 0)))</f>
        <v>-35</v>
      </c>
      <c r="AQ210" s="6">
        <f>MIN(0, N210+(IFERROR(IF(29*INDEX('UA-normalized'!$D:$D, MATCH($A210, 'UA-normalized'!$A:$A, 0))-INDEX('UA-normalized'!$E:$E, MATCH($A210, 'UA-normalized'!$A:$A, 0))&gt;0, -(29*INDEX('UA-normalized'!$D:$D, MATCH($A210, 'UA-normalized'!$A:$A, 0))-INDEX('UA-normalized'!$E:$E, MATCH($A210, 'UA-normalized'!$A:$A, 0))), 0), 0))+(IFERROR(IF(29*INDEX('KZ-normalized'!$D:$D, MATCH($A210, 'KZ-normalized'!$A:$A, 0))-INDEX('KZ-normalized'!$E:$E, MATCH($A210, 'KZ-normalized'!$A:$A, 0))&gt;0, -(29*INDEX('KZ-normalized'!$D:$D, MATCH($A210, 'KZ-normalized'!$A:$A, 0))-INDEX('KZ-normalized'!$E:$E, MATCH($A210, 'KZ-normalized'!$A:$A, 0))), 0), 0))+(IFERROR(IF(29*INDEX('UZ-normalized'!$D:$D, MATCH($A210, 'UZ-normalized'!$A:$A, 0))-INDEX('UZ-normalized'!$E:$E, MATCH($A210, 'UZ-normalized'!$A:$A, 0))&gt;0, -(29*INDEX('UZ-normalized'!$D:$D, MATCH($A210, 'UZ-normalized'!$A:$A, 0))-INDEX('UZ-normalized'!$E:$E, MATCH($A210, 'UZ-normalized'!$A:$A, 0))), 0), 0)))</f>
        <v>-36.75</v>
      </c>
      <c r="AR210" s="6">
        <f>MIN(0, N210+(IFERROR(IF(30*INDEX('UA-normalized'!$D:$D, MATCH($A210, 'UA-normalized'!$A:$A, 0))-INDEX('UA-normalized'!$E:$E, MATCH($A210, 'UA-normalized'!$A:$A, 0))&gt;0, -(30*INDEX('UA-normalized'!$D:$D, MATCH($A210, 'UA-normalized'!$A:$A, 0))-INDEX('UA-normalized'!$E:$E, MATCH($A210, 'UA-normalized'!$A:$A, 0))), 0), 0))+(IFERROR(IF(30*INDEX('KZ-normalized'!$D:$D, MATCH($A210, 'KZ-normalized'!$A:$A, 0))-INDEX('KZ-normalized'!$E:$E, MATCH($A210, 'KZ-normalized'!$A:$A, 0))&gt;0, -(30*INDEX('KZ-normalized'!$D:$D, MATCH($A210, 'KZ-normalized'!$A:$A, 0))-INDEX('KZ-normalized'!$E:$E, MATCH($A210, 'KZ-normalized'!$A:$A, 0))), 0), 0))+(IFERROR(IF(30*INDEX('UZ-normalized'!$D:$D, MATCH($A210, 'UZ-normalized'!$A:$A, 0))-INDEX('UZ-normalized'!$E:$E, MATCH($A210, 'UZ-normalized'!$A:$A, 0))&gt;0, -(30*INDEX('UZ-normalized'!$D:$D, MATCH($A210, 'UZ-normalized'!$A:$A, 0))-INDEX('UZ-normalized'!$E:$E, MATCH($A210, 'UZ-normalized'!$A:$A, 0))), 0), 0)))</f>
        <v>-38.5</v>
      </c>
    </row>
    <row r="211" spans="1:44" x14ac:dyDescent="0.25">
      <c r="A211" s="8" t="s">
        <v>503</v>
      </c>
      <c r="B211" s="8" t="s">
        <v>492</v>
      </c>
      <c r="C211" s="8" t="s">
        <v>493</v>
      </c>
      <c r="D211" s="8" t="s">
        <v>504</v>
      </c>
      <c r="N211">
        <f t="shared" si="3"/>
        <v>0</v>
      </c>
      <c r="O211" s="6">
        <f>MIN(0, N211+(IFERROR(IF(1*INDEX('UA-normalized'!$D:$D, MATCH($A211, 'UA-normalized'!$A:$A, 0))-INDEX('UA-normalized'!$E:$E, MATCH($A211, 'UA-normalized'!$A:$A, 0))&gt;0, -(1*INDEX('UA-normalized'!$D:$D, MATCH($A211, 'UA-normalized'!$A:$A, 0))-INDEX('UA-normalized'!$E:$E, MATCH($A211, 'UA-normalized'!$A:$A, 0))), 0), 0))+(IFERROR(IF(1*INDEX('KZ-normalized'!$D:$D, MATCH($A211, 'KZ-normalized'!$A:$A, 0))-INDEX('KZ-normalized'!$E:$E, MATCH($A211, 'KZ-normalized'!$A:$A, 0))&gt;0, -(1*INDEX('KZ-normalized'!$D:$D, MATCH($A211, 'KZ-normalized'!$A:$A, 0))-INDEX('KZ-normalized'!$E:$E, MATCH($A211, 'KZ-normalized'!$A:$A, 0))), 0), 0))+(IFERROR(IF(1*INDEX('UZ-normalized'!$D:$D, MATCH($A211, 'UZ-normalized'!$A:$A, 0))-INDEX('UZ-normalized'!$E:$E, MATCH($A211, 'UZ-normalized'!$A:$A, 0))&gt;0, -(1*INDEX('UZ-normalized'!$D:$D, MATCH($A211, 'UZ-normalized'!$A:$A, 0))-INDEX('UZ-normalized'!$E:$E, MATCH($A211, 'UZ-normalized'!$A:$A, 0))), 0), 0)))</f>
        <v>0</v>
      </c>
      <c r="P211" s="6">
        <f>MIN(0, N211+(IFERROR(IF(2*INDEX('UA-normalized'!$D:$D, MATCH($A211, 'UA-normalized'!$A:$A, 0))-INDEX('UA-normalized'!$E:$E, MATCH($A211, 'UA-normalized'!$A:$A, 0))&gt;0, -(2*INDEX('UA-normalized'!$D:$D, MATCH($A211, 'UA-normalized'!$A:$A, 0))-INDEX('UA-normalized'!$E:$E, MATCH($A211, 'UA-normalized'!$A:$A, 0))), 0), 0))+(IFERROR(IF(2*INDEX('KZ-normalized'!$D:$D, MATCH($A211, 'KZ-normalized'!$A:$A, 0))-INDEX('KZ-normalized'!$E:$E, MATCH($A211, 'KZ-normalized'!$A:$A, 0))&gt;0, -(2*INDEX('KZ-normalized'!$D:$D, MATCH($A211, 'KZ-normalized'!$A:$A, 0))-INDEX('KZ-normalized'!$E:$E, MATCH($A211, 'KZ-normalized'!$A:$A, 0))), 0), 0))+(IFERROR(IF(2*INDEX('UZ-normalized'!$D:$D, MATCH($A211, 'UZ-normalized'!$A:$A, 0))-INDEX('UZ-normalized'!$E:$E, MATCH($A211, 'UZ-normalized'!$A:$A, 0))&gt;0, -(2*INDEX('UZ-normalized'!$D:$D, MATCH($A211, 'UZ-normalized'!$A:$A, 0))-INDEX('UZ-normalized'!$E:$E, MATCH($A211, 'UZ-normalized'!$A:$A, 0))), 0), 0)))</f>
        <v>0</v>
      </c>
      <c r="Q211" s="6">
        <f>MIN(0, N211+(IFERROR(IF(3*INDEX('UA-normalized'!$D:$D, MATCH($A211, 'UA-normalized'!$A:$A, 0))-INDEX('UA-normalized'!$E:$E, MATCH($A211, 'UA-normalized'!$A:$A, 0))&gt;0, -(3*INDEX('UA-normalized'!$D:$D, MATCH($A211, 'UA-normalized'!$A:$A, 0))-INDEX('UA-normalized'!$E:$E, MATCH($A211, 'UA-normalized'!$A:$A, 0))), 0), 0))+(IFERROR(IF(3*INDEX('KZ-normalized'!$D:$D, MATCH($A211, 'KZ-normalized'!$A:$A, 0))-INDEX('KZ-normalized'!$E:$E, MATCH($A211, 'KZ-normalized'!$A:$A, 0))&gt;0, -(3*INDEX('KZ-normalized'!$D:$D, MATCH($A211, 'KZ-normalized'!$A:$A, 0))-INDEX('KZ-normalized'!$E:$E, MATCH($A211, 'KZ-normalized'!$A:$A, 0))), 0), 0))+(IFERROR(IF(3*INDEX('UZ-normalized'!$D:$D, MATCH($A211, 'UZ-normalized'!$A:$A, 0))-INDEX('UZ-normalized'!$E:$E, MATCH($A211, 'UZ-normalized'!$A:$A, 0))&gt;0, -(3*INDEX('UZ-normalized'!$D:$D, MATCH($A211, 'UZ-normalized'!$A:$A, 0))-INDEX('UZ-normalized'!$E:$E, MATCH($A211, 'UZ-normalized'!$A:$A, 0))), 0), 0)))</f>
        <v>0</v>
      </c>
      <c r="R211" s="6">
        <f>MIN(0, N211+(IFERROR(IF(4*INDEX('UA-normalized'!$D:$D, MATCH($A211, 'UA-normalized'!$A:$A, 0))-INDEX('UA-normalized'!$E:$E, MATCH($A211, 'UA-normalized'!$A:$A, 0))&gt;0, -(4*INDEX('UA-normalized'!$D:$D, MATCH($A211, 'UA-normalized'!$A:$A, 0))-INDEX('UA-normalized'!$E:$E, MATCH($A211, 'UA-normalized'!$A:$A, 0))), 0), 0))+(IFERROR(IF(4*INDEX('KZ-normalized'!$D:$D, MATCH($A211, 'KZ-normalized'!$A:$A, 0))-INDEX('KZ-normalized'!$E:$E, MATCH($A211, 'KZ-normalized'!$A:$A, 0))&gt;0, -(4*INDEX('KZ-normalized'!$D:$D, MATCH($A211, 'KZ-normalized'!$A:$A, 0))-INDEX('KZ-normalized'!$E:$E, MATCH($A211, 'KZ-normalized'!$A:$A, 0))), 0), 0))+(IFERROR(IF(4*INDEX('UZ-normalized'!$D:$D, MATCH($A211, 'UZ-normalized'!$A:$A, 0))-INDEX('UZ-normalized'!$E:$E, MATCH($A211, 'UZ-normalized'!$A:$A, 0))&gt;0, -(4*INDEX('UZ-normalized'!$D:$D, MATCH($A211, 'UZ-normalized'!$A:$A, 0))-INDEX('UZ-normalized'!$E:$E, MATCH($A211, 'UZ-normalized'!$A:$A, 0))), 0), 0)))</f>
        <v>0</v>
      </c>
      <c r="S211" s="6">
        <f>MIN(0, N211+(IFERROR(IF(5*INDEX('UA-normalized'!$D:$D, MATCH($A211, 'UA-normalized'!$A:$A, 0))-INDEX('UA-normalized'!$E:$E, MATCH($A211, 'UA-normalized'!$A:$A, 0))&gt;0, -(5*INDEX('UA-normalized'!$D:$D, MATCH($A211, 'UA-normalized'!$A:$A, 0))-INDEX('UA-normalized'!$E:$E, MATCH($A211, 'UA-normalized'!$A:$A, 0))), 0), 0))+(IFERROR(IF(5*INDEX('KZ-normalized'!$D:$D, MATCH($A211, 'KZ-normalized'!$A:$A, 0))-INDEX('KZ-normalized'!$E:$E, MATCH($A211, 'KZ-normalized'!$A:$A, 0))&gt;0, -(5*INDEX('KZ-normalized'!$D:$D, MATCH($A211, 'KZ-normalized'!$A:$A, 0))-INDEX('KZ-normalized'!$E:$E, MATCH($A211, 'KZ-normalized'!$A:$A, 0))), 0), 0))+(IFERROR(IF(5*INDEX('UZ-normalized'!$D:$D, MATCH($A211, 'UZ-normalized'!$A:$A, 0))-INDEX('UZ-normalized'!$E:$E, MATCH($A211, 'UZ-normalized'!$A:$A, 0))&gt;0, -(5*INDEX('UZ-normalized'!$D:$D, MATCH($A211, 'UZ-normalized'!$A:$A, 0))-INDEX('UZ-normalized'!$E:$E, MATCH($A211, 'UZ-normalized'!$A:$A, 0))), 0), 0)))</f>
        <v>0</v>
      </c>
      <c r="T211" s="6">
        <f>MIN(0, N211+(IFERROR(IF(6*INDEX('UA-normalized'!$D:$D, MATCH($A211, 'UA-normalized'!$A:$A, 0))-INDEX('UA-normalized'!$E:$E, MATCH($A211, 'UA-normalized'!$A:$A, 0))&gt;0, -(6*INDEX('UA-normalized'!$D:$D, MATCH($A211, 'UA-normalized'!$A:$A, 0))-INDEX('UA-normalized'!$E:$E, MATCH($A211, 'UA-normalized'!$A:$A, 0))), 0), 0))+(IFERROR(IF(6*INDEX('KZ-normalized'!$D:$D, MATCH($A211, 'KZ-normalized'!$A:$A, 0))-INDEX('KZ-normalized'!$E:$E, MATCH($A211, 'KZ-normalized'!$A:$A, 0))&gt;0, -(6*INDEX('KZ-normalized'!$D:$D, MATCH($A211, 'KZ-normalized'!$A:$A, 0))-INDEX('KZ-normalized'!$E:$E, MATCH($A211, 'KZ-normalized'!$A:$A, 0))), 0), 0))+(IFERROR(IF(6*INDEX('UZ-normalized'!$D:$D, MATCH($A211, 'UZ-normalized'!$A:$A, 0))-INDEX('UZ-normalized'!$E:$E, MATCH($A211, 'UZ-normalized'!$A:$A, 0))&gt;0, -(6*INDEX('UZ-normalized'!$D:$D, MATCH($A211, 'UZ-normalized'!$A:$A, 0))-INDEX('UZ-normalized'!$E:$E, MATCH($A211, 'UZ-normalized'!$A:$A, 0))), 0), 0)))</f>
        <v>0</v>
      </c>
      <c r="U211" s="6">
        <f>MIN(0, N211+(IFERROR(IF(7*INDEX('UA-normalized'!$D:$D, MATCH($A211, 'UA-normalized'!$A:$A, 0))-INDEX('UA-normalized'!$E:$E, MATCH($A211, 'UA-normalized'!$A:$A, 0))&gt;0, -(7*INDEX('UA-normalized'!$D:$D, MATCH($A211, 'UA-normalized'!$A:$A, 0))-INDEX('UA-normalized'!$E:$E, MATCH($A211, 'UA-normalized'!$A:$A, 0))), 0), 0))+(IFERROR(IF(7*INDEX('KZ-normalized'!$D:$D, MATCH($A211, 'KZ-normalized'!$A:$A, 0))-INDEX('KZ-normalized'!$E:$E, MATCH($A211, 'KZ-normalized'!$A:$A, 0))&gt;0, -(7*INDEX('KZ-normalized'!$D:$D, MATCH($A211, 'KZ-normalized'!$A:$A, 0))-INDEX('KZ-normalized'!$E:$E, MATCH($A211, 'KZ-normalized'!$A:$A, 0))), 0), 0))+(IFERROR(IF(7*INDEX('UZ-normalized'!$D:$D, MATCH($A211, 'UZ-normalized'!$A:$A, 0))-INDEX('UZ-normalized'!$E:$E, MATCH($A211, 'UZ-normalized'!$A:$A, 0))&gt;0, -(7*INDEX('UZ-normalized'!$D:$D, MATCH($A211, 'UZ-normalized'!$A:$A, 0))-INDEX('UZ-normalized'!$E:$E, MATCH($A211, 'UZ-normalized'!$A:$A, 0))), 0), 0)))</f>
        <v>0</v>
      </c>
      <c r="V211" s="6">
        <f>MIN(0, N211+(IFERROR(IF(8*INDEX('UA-normalized'!$D:$D, MATCH($A211, 'UA-normalized'!$A:$A, 0))-INDEX('UA-normalized'!$E:$E, MATCH($A211, 'UA-normalized'!$A:$A, 0))&gt;0, -(8*INDEX('UA-normalized'!$D:$D, MATCH($A211, 'UA-normalized'!$A:$A, 0))-INDEX('UA-normalized'!$E:$E, MATCH($A211, 'UA-normalized'!$A:$A, 0))), 0), 0))+(IFERROR(IF(8*INDEX('KZ-normalized'!$D:$D, MATCH($A211, 'KZ-normalized'!$A:$A, 0))-INDEX('KZ-normalized'!$E:$E, MATCH($A211, 'KZ-normalized'!$A:$A, 0))&gt;0, -(8*INDEX('KZ-normalized'!$D:$D, MATCH($A211, 'KZ-normalized'!$A:$A, 0))-INDEX('KZ-normalized'!$E:$E, MATCH($A211, 'KZ-normalized'!$A:$A, 0))), 0), 0))+(IFERROR(IF(8*INDEX('UZ-normalized'!$D:$D, MATCH($A211, 'UZ-normalized'!$A:$A, 0))-INDEX('UZ-normalized'!$E:$E, MATCH($A211, 'UZ-normalized'!$A:$A, 0))&gt;0, -(8*INDEX('UZ-normalized'!$D:$D, MATCH($A211, 'UZ-normalized'!$A:$A, 0))-INDEX('UZ-normalized'!$E:$E, MATCH($A211, 'UZ-normalized'!$A:$A, 0))), 0), 0)))</f>
        <v>0</v>
      </c>
      <c r="W211" s="6">
        <f>MIN(0, N211+(IFERROR(IF(9*INDEX('UA-normalized'!$D:$D, MATCH($A211, 'UA-normalized'!$A:$A, 0))-INDEX('UA-normalized'!$E:$E, MATCH($A211, 'UA-normalized'!$A:$A, 0))&gt;0, -(9*INDEX('UA-normalized'!$D:$D, MATCH($A211, 'UA-normalized'!$A:$A, 0))-INDEX('UA-normalized'!$E:$E, MATCH($A211, 'UA-normalized'!$A:$A, 0))), 0), 0))+(IFERROR(IF(9*INDEX('KZ-normalized'!$D:$D, MATCH($A211, 'KZ-normalized'!$A:$A, 0))-INDEX('KZ-normalized'!$E:$E, MATCH($A211, 'KZ-normalized'!$A:$A, 0))&gt;0, -(9*INDEX('KZ-normalized'!$D:$D, MATCH($A211, 'KZ-normalized'!$A:$A, 0))-INDEX('KZ-normalized'!$E:$E, MATCH($A211, 'KZ-normalized'!$A:$A, 0))), 0), 0))+(IFERROR(IF(9*INDEX('UZ-normalized'!$D:$D, MATCH($A211, 'UZ-normalized'!$A:$A, 0))-INDEX('UZ-normalized'!$E:$E, MATCH($A211, 'UZ-normalized'!$A:$A, 0))&gt;0, -(9*INDEX('UZ-normalized'!$D:$D, MATCH($A211, 'UZ-normalized'!$A:$A, 0))-INDEX('UZ-normalized'!$E:$E, MATCH($A211, 'UZ-normalized'!$A:$A, 0))), 0), 0)))</f>
        <v>0</v>
      </c>
      <c r="X211" s="6">
        <f>MIN(0, N211+(IFERROR(IF(10*INDEX('UA-normalized'!$D:$D, MATCH($A211, 'UA-normalized'!$A:$A, 0))-INDEX('UA-normalized'!$E:$E, MATCH($A211, 'UA-normalized'!$A:$A, 0))&gt;0, -(10*INDEX('UA-normalized'!$D:$D, MATCH($A211, 'UA-normalized'!$A:$A, 0))-INDEX('UA-normalized'!$E:$E, MATCH($A211, 'UA-normalized'!$A:$A, 0))), 0), 0))+(IFERROR(IF(10*INDEX('KZ-normalized'!$D:$D, MATCH($A211, 'KZ-normalized'!$A:$A, 0))-INDEX('KZ-normalized'!$E:$E, MATCH($A211, 'KZ-normalized'!$A:$A, 0))&gt;0, -(10*INDEX('KZ-normalized'!$D:$D, MATCH($A211, 'KZ-normalized'!$A:$A, 0))-INDEX('KZ-normalized'!$E:$E, MATCH($A211, 'KZ-normalized'!$A:$A, 0))), 0), 0))+(IFERROR(IF(10*INDEX('UZ-normalized'!$D:$D, MATCH($A211, 'UZ-normalized'!$A:$A, 0))-INDEX('UZ-normalized'!$E:$E, MATCH($A211, 'UZ-normalized'!$A:$A, 0))&gt;0, -(10*INDEX('UZ-normalized'!$D:$D, MATCH($A211, 'UZ-normalized'!$A:$A, 0))-INDEX('UZ-normalized'!$E:$E, MATCH($A211, 'UZ-normalized'!$A:$A, 0))), 0), 0)))</f>
        <v>0</v>
      </c>
      <c r="Y211" s="6">
        <f>MIN(0, N211+(IFERROR(IF(11*INDEX('UA-normalized'!$D:$D, MATCH($A211, 'UA-normalized'!$A:$A, 0))-INDEX('UA-normalized'!$E:$E, MATCH($A211, 'UA-normalized'!$A:$A, 0))&gt;0, -(11*INDEX('UA-normalized'!$D:$D, MATCH($A211, 'UA-normalized'!$A:$A, 0))-INDEX('UA-normalized'!$E:$E, MATCH($A211, 'UA-normalized'!$A:$A, 0))), 0), 0))+(IFERROR(IF(11*INDEX('KZ-normalized'!$D:$D, MATCH($A211, 'KZ-normalized'!$A:$A, 0))-INDEX('KZ-normalized'!$E:$E, MATCH($A211, 'KZ-normalized'!$A:$A, 0))&gt;0, -(11*INDEX('KZ-normalized'!$D:$D, MATCH($A211, 'KZ-normalized'!$A:$A, 0))-INDEX('KZ-normalized'!$E:$E, MATCH($A211, 'KZ-normalized'!$A:$A, 0))), 0), 0))+(IFERROR(IF(11*INDEX('UZ-normalized'!$D:$D, MATCH($A211, 'UZ-normalized'!$A:$A, 0))-INDEX('UZ-normalized'!$E:$E, MATCH($A211, 'UZ-normalized'!$A:$A, 0))&gt;0, -(11*INDEX('UZ-normalized'!$D:$D, MATCH($A211, 'UZ-normalized'!$A:$A, 0))-INDEX('UZ-normalized'!$E:$E, MATCH($A211, 'UZ-normalized'!$A:$A, 0))), 0), 0)))</f>
        <v>0</v>
      </c>
      <c r="Z211" s="6">
        <f>MIN(0, N211+(IFERROR(IF(12*INDEX('UA-normalized'!$D:$D, MATCH($A211, 'UA-normalized'!$A:$A, 0))-INDEX('UA-normalized'!$E:$E, MATCH($A211, 'UA-normalized'!$A:$A, 0))&gt;0, -(12*INDEX('UA-normalized'!$D:$D, MATCH($A211, 'UA-normalized'!$A:$A, 0))-INDEX('UA-normalized'!$E:$E, MATCH($A211, 'UA-normalized'!$A:$A, 0))), 0), 0))+(IFERROR(IF(12*INDEX('KZ-normalized'!$D:$D, MATCH($A211, 'KZ-normalized'!$A:$A, 0))-INDEX('KZ-normalized'!$E:$E, MATCH($A211, 'KZ-normalized'!$A:$A, 0))&gt;0, -(12*INDEX('KZ-normalized'!$D:$D, MATCH($A211, 'KZ-normalized'!$A:$A, 0))-INDEX('KZ-normalized'!$E:$E, MATCH($A211, 'KZ-normalized'!$A:$A, 0))), 0), 0))+(IFERROR(IF(12*INDEX('UZ-normalized'!$D:$D, MATCH($A211, 'UZ-normalized'!$A:$A, 0))-INDEX('UZ-normalized'!$E:$E, MATCH($A211, 'UZ-normalized'!$A:$A, 0))&gt;0, -(12*INDEX('UZ-normalized'!$D:$D, MATCH($A211, 'UZ-normalized'!$A:$A, 0))-INDEX('UZ-normalized'!$E:$E, MATCH($A211, 'UZ-normalized'!$A:$A, 0))), 0), 0)))</f>
        <v>-0.80000000000000071</v>
      </c>
      <c r="AA211" s="6">
        <f>MIN(0, N211+(IFERROR(IF(13*INDEX('UA-normalized'!$D:$D, MATCH($A211, 'UA-normalized'!$A:$A, 0))-INDEX('UA-normalized'!$E:$E, MATCH($A211, 'UA-normalized'!$A:$A, 0))&gt;0, -(13*INDEX('UA-normalized'!$D:$D, MATCH($A211, 'UA-normalized'!$A:$A, 0))-INDEX('UA-normalized'!$E:$E, MATCH($A211, 'UA-normalized'!$A:$A, 0))), 0), 0))+(IFERROR(IF(13*INDEX('KZ-normalized'!$D:$D, MATCH($A211, 'KZ-normalized'!$A:$A, 0))-INDEX('KZ-normalized'!$E:$E, MATCH($A211, 'KZ-normalized'!$A:$A, 0))&gt;0, -(13*INDEX('KZ-normalized'!$D:$D, MATCH($A211, 'KZ-normalized'!$A:$A, 0))-INDEX('KZ-normalized'!$E:$E, MATCH($A211, 'KZ-normalized'!$A:$A, 0))), 0), 0))+(IFERROR(IF(13*INDEX('UZ-normalized'!$D:$D, MATCH($A211, 'UZ-normalized'!$A:$A, 0))-INDEX('UZ-normalized'!$E:$E, MATCH($A211, 'UZ-normalized'!$A:$A, 0))&gt;0, -(13*INDEX('UZ-normalized'!$D:$D, MATCH($A211, 'UZ-normalized'!$A:$A, 0))-INDEX('UZ-normalized'!$E:$E, MATCH($A211, 'UZ-normalized'!$A:$A, 0))), 0), 0)))</f>
        <v>-1.7000000000000011</v>
      </c>
      <c r="AB211" s="6">
        <f>MIN(0, N211+(IFERROR(IF(14*INDEX('UA-normalized'!$D:$D, MATCH($A211, 'UA-normalized'!$A:$A, 0))-INDEX('UA-normalized'!$E:$E, MATCH($A211, 'UA-normalized'!$A:$A, 0))&gt;0, -(14*INDEX('UA-normalized'!$D:$D, MATCH($A211, 'UA-normalized'!$A:$A, 0))-INDEX('UA-normalized'!$E:$E, MATCH($A211, 'UA-normalized'!$A:$A, 0))), 0), 0))+(IFERROR(IF(14*INDEX('KZ-normalized'!$D:$D, MATCH($A211, 'KZ-normalized'!$A:$A, 0))-INDEX('KZ-normalized'!$E:$E, MATCH($A211, 'KZ-normalized'!$A:$A, 0))&gt;0, -(14*INDEX('KZ-normalized'!$D:$D, MATCH($A211, 'KZ-normalized'!$A:$A, 0))-INDEX('KZ-normalized'!$E:$E, MATCH($A211, 'KZ-normalized'!$A:$A, 0))), 0), 0))+(IFERROR(IF(14*INDEX('UZ-normalized'!$D:$D, MATCH($A211, 'UZ-normalized'!$A:$A, 0))-INDEX('UZ-normalized'!$E:$E, MATCH($A211, 'UZ-normalized'!$A:$A, 0))&gt;0, -(14*INDEX('UZ-normalized'!$D:$D, MATCH($A211, 'UZ-normalized'!$A:$A, 0))-INDEX('UZ-normalized'!$E:$E, MATCH($A211, 'UZ-normalized'!$A:$A, 0))), 0), 0)))</f>
        <v>-2.5999999999999996</v>
      </c>
      <c r="AC211" s="6">
        <f>MIN(0, N211+(IFERROR(IF(15*INDEX('UA-normalized'!$D:$D, MATCH($A211, 'UA-normalized'!$A:$A, 0))-INDEX('UA-normalized'!$E:$E, MATCH($A211, 'UA-normalized'!$A:$A, 0))&gt;0, -(15*INDEX('UA-normalized'!$D:$D, MATCH($A211, 'UA-normalized'!$A:$A, 0))-INDEX('UA-normalized'!$E:$E, MATCH($A211, 'UA-normalized'!$A:$A, 0))), 0), 0))+(IFERROR(IF(15*INDEX('KZ-normalized'!$D:$D, MATCH($A211, 'KZ-normalized'!$A:$A, 0))-INDEX('KZ-normalized'!$E:$E, MATCH($A211, 'KZ-normalized'!$A:$A, 0))&gt;0, -(15*INDEX('KZ-normalized'!$D:$D, MATCH($A211, 'KZ-normalized'!$A:$A, 0))-INDEX('KZ-normalized'!$E:$E, MATCH($A211, 'KZ-normalized'!$A:$A, 0))), 0), 0))+(IFERROR(IF(15*INDEX('UZ-normalized'!$D:$D, MATCH($A211, 'UZ-normalized'!$A:$A, 0))-INDEX('UZ-normalized'!$E:$E, MATCH($A211, 'UZ-normalized'!$A:$A, 0))&gt;0, -(15*INDEX('UZ-normalized'!$D:$D, MATCH($A211, 'UZ-normalized'!$A:$A, 0))-INDEX('UZ-normalized'!$E:$E, MATCH($A211, 'UZ-normalized'!$A:$A, 0))), 0), 0)))</f>
        <v>-3.5</v>
      </c>
      <c r="AD211" s="6">
        <f>MIN(0, N211+(IFERROR(IF(16*INDEX('UA-normalized'!$D:$D, MATCH($A211, 'UA-normalized'!$A:$A, 0))-INDEX('UA-normalized'!$E:$E, MATCH($A211, 'UA-normalized'!$A:$A, 0))&gt;0, -(16*INDEX('UA-normalized'!$D:$D, MATCH($A211, 'UA-normalized'!$A:$A, 0))-INDEX('UA-normalized'!$E:$E, MATCH($A211, 'UA-normalized'!$A:$A, 0))), 0), 0))+(IFERROR(IF(16*INDEX('KZ-normalized'!$D:$D, MATCH($A211, 'KZ-normalized'!$A:$A, 0))-INDEX('KZ-normalized'!$E:$E, MATCH($A211, 'KZ-normalized'!$A:$A, 0))&gt;0, -(16*INDEX('KZ-normalized'!$D:$D, MATCH($A211, 'KZ-normalized'!$A:$A, 0))-INDEX('KZ-normalized'!$E:$E, MATCH($A211, 'KZ-normalized'!$A:$A, 0))), 0), 0))+(IFERROR(IF(16*INDEX('UZ-normalized'!$D:$D, MATCH($A211, 'UZ-normalized'!$A:$A, 0))-INDEX('UZ-normalized'!$E:$E, MATCH($A211, 'UZ-normalized'!$A:$A, 0))&gt;0, -(16*INDEX('UZ-normalized'!$D:$D, MATCH($A211, 'UZ-normalized'!$A:$A, 0))-INDEX('UZ-normalized'!$E:$E, MATCH($A211, 'UZ-normalized'!$A:$A, 0))), 0), 0)))</f>
        <v>-4.4000000000000004</v>
      </c>
      <c r="AE211" s="6">
        <f>MIN(0, N211+(IFERROR(IF(17*INDEX('UA-normalized'!$D:$D, MATCH($A211, 'UA-normalized'!$A:$A, 0))-INDEX('UA-normalized'!$E:$E, MATCH($A211, 'UA-normalized'!$A:$A, 0))&gt;0, -(17*INDEX('UA-normalized'!$D:$D, MATCH($A211, 'UA-normalized'!$A:$A, 0))-INDEX('UA-normalized'!$E:$E, MATCH($A211, 'UA-normalized'!$A:$A, 0))), 0), 0))+(IFERROR(IF(17*INDEX('KZ-normalized'!$D:$D, MATCH($A211, 'KZ-normalized'!$A:$A, 0))-INDEX('KZ-normalized'!$E:$E, MATCH($A211, 'KZ-normalized'!$A:$A, 0))&gt;0, -(17*INDEX('KZ-normalized'!$D:$D, MATCH($A211, 'KZ-normalized'!$A:$A, 0))-INDEX('KZ-normalized'!$E:$E, MATCH($A211, 'KZ-normalized'!$A:$A, 0))), 0), 0))+(IFERROR(IF(17*INDEX('UZ-normalized'!$D:$D, MATCH($A211, 'UZ-normalized'!$A:$A, 0))-INDEX('UZ-normalized'!$E:$E, MATCH($A211, 'UZ-normalized'!$A:$A, 0))&gt;0, -(17*INDEX('UZ-normalized'!$D:$D, MATCH($A211, 'UZ-normalized'!$A:$A, 0))-INDEX('UZ-normalized'!$E:$E, MATCH($A211, 'UZ-normalized'!$A:$A, 0))), 0), 0)))</f>
        <v>-5.3000000000000007</v>
      </c>
      <c r="AF211" s="6">
        <f>MIN(0, N211+(IFERROR(IF(18*INDEX('UA-normalized'!$D:$D, MATCH($A211, 'UA-normalized'!$A:$A, 0))-INDEX('UA-normalized'!$E:$E, MATCH($A211, 'UA-normalized'!$A:$A, 0))&gt;0, -(18*INDEX('UA-normalized'!$D:$D, MATCH($A211, 'UA-normalized'!$A:$A, 0))-INDEX('UA-normalized'!$E:$E, MATCH($A211, 'UA-normalized'!$A:$A, 0))), 0), 0))+(IFERROR(IF(18*INDEX('KZ-normalized'!$D:$D, MATCH($A211, 'KZ-normalized'!$A:$A, 0))-INDEX('KZ-normalized'!$E:$E, MATCH($A211, 'KZ-normalized'!$A:$A, 0))&gt;0, -(18*INDEX('KZ-normalized'!$D:$D, MATCH($A211, 'KZ-normalized'!$A:$A, 0))-INDEX('KZ-normalized'!$E:$E, MATCH($A211, 'KZ-normalized'!$A:$A, 0))), 0), 0))+(IFERROR(IF(18*INDEX('UZ-normalized'!$D:$D, MATCH($A211, 'UZ-normalized'!$A:$A, 0))-INDEX('UZ-normalized'!$E:$E, MATCH($A211, 'UZ-normalized'!$A:$A, 0))&gt;0, -(18*INDEX('UZ-normalized'!$D:$D, MATCH($A211, 'UZ-normalized'!$A:$A, 0))-INDEX('UZ-normalized'!$E:$E, MATCH($A211, 'UZ-normalized'!$A:$A, 0))), 0), 0)))</f>
        <v>-6.1999999999999993</v>
      </c>
      <c r="AG211" s="6">
        <f>MIN(0, N211+(IFERROR(IF(19*INDEX('UA-normalized'!$D:$D, MATCH($A211, 'UA-normalized'!$A:$A, 0))-INDEX('UA-normalized'!$E:$E, MATCH($A211, 'UA-normalized'!$A:$A, 0))&gt;0, -(19*INDEX('UA-normalized'!$D:$D, MATCH($A211, 'UA-normalized'!$A:$A, 0))-INDEX('UA-normalized'!$E:$E, MATCH($A211, 'UA-normalized'!$A:$A, 0))), 0), 0))+(IFERROR(IF(19*INDEX('KZ-normalized'!$D:$D, MATCH($A211, 'KZ-normalized'!$A:$A, 0))-INDEX('KZ-normalized'!$E:$E, MATCH($A211, 'KZ-normalized'!$A:$A, 0))&gt;0, -(19*INDEX('KZ-normalized'!$D:$D, MATCH($A211, 'KZ-normalized'!$A:$A, 0))-INDEX('KZ-normalized'!$E:$E, MATCH($A211, 'KZ-normalized'!$A:$A, 0))), 0), 0))+(IFERROR(IF(19*INDEX('UZ-normalized'!$D:$D, MATCH($A211, 'UZ-normalized'!$A:$A, 0))-INDEX('UZ-normalized'!$E:$E, MATCH($A211, 'UZ-normalized'!$A:$A, 0))&gt;0, -(19*INDEX('UZ-normalized'!$D:$D, MATCH($A211, 'UZ-normalized'!$A:$A, 0))-INDEX('UZ-normalized'!$E:$E, MATCH($A211, 'UZ-normalized'!$A:$A, 0))), 0), 0)))</f>
        <v>-7.1000000000000014</v>
      </c>
      <c r="AH211" s="6">
        <f>MIN(0, N211+(IFERROR(IF(20*INDEX('UA-normalized'!$D:$D, MATCH($A211, 'UA-normalized'!$A:$A, 0))-INDEX('UA-normalized'!$E:$E, MATCH($A211, 'UA-normalized'!$A:$A, 0))&gt;0, -(20*INDEX('UA-normalized'!$D:$D, MATCH($A211, 'UA-normalized'!$A:$A, 0))-INDEX('UA-normalized'!$E:$E, MATCH($A211, 'UA-normalized'!$A:$A, 0))), 0), 0))+(IFERROR(IF(20*INDEX('KZ-normalized'!$D:$D, MATCH($A211, 'KZ-normalized'!$A:$A, 0))-INDEX('KZ-normalized'!$E:$E, MATCH($A211, 'KZ-normalized'!$A:$A, 0))&gt;0, -(20*INDEX('KZ-normalized'!$D:$D, MATCH($A211, 'KZ-normalized'!$A:$A, 0))-INDEX('KZ-normalized'!$E:$E, MATCH($A211, 'KZ-normalized'!$A:$A, 0))), 0), 0))+(IFERROR(IF(20*INDEX('UZ-normalized'!$D:$D, MATCH($A211, 'UZ-normalized'!$A:$A, 0))-INDEX('UZ-normalized'!$E:$E, MATCH($A211, 'UZ-normalized'!$A:$A, 0))&gt;0, -(20*INDEX('UZ-normalized'!$D:$D, MATCH($A211, 'UZ-normalized'!$A:$A, 0))-INDEX('UZ-normalized'!$E:$E, MATCH($A211, 'UZ-normalized'!$A:$A, 0))), 0), 0)))</f>
        <v>-8</v>
      </c>
      <c r="AI211" s="6">
        <f>MIN(0, N211+(IFERROR(IF(21*INDEX('UA-normalized'!$D:$D, MATCH($A211, 'UA-normalized'!$A:$A, 0))-INDEX('UA-normalized'!$E:$E, MATCH($A211, 'UA-normalized'!$A:$A, 0))&gt;0, -(21*INDEX('UA-normalized'!$D:$D, MATCH($A211, 'UA-normalized'!$A:$A, 0))-INDEX('UA-normalized'!$E:$E, MATCH($A211, 'UA-normalized'!$A:$A, 0))), 0), 0))+(IFERROR(IF(21*INDEX('KZ-normalized'!$D:$D, MATCH($A211, 'KZ-normalized'!$A:$A, 0))-INDEX('KZ-normalized'!$E:$E, MATCH($A211, 'KZ-normalized'!$A:$A, 0))&gt;0, -(21*INDEX('KZ-normalized'!$D:$D, MATCH($A211, 'KZ-normalized'!$A:$A, 0))-INDEX('KZ-normalized'!$E:$E, MATCH($A211, 'KZ-normalized'!$A:$A, 0))), 0), 0))+(IFERROR(IF(21*INDEX('UZ-normalized'!$D:$D, MATCH($A211, 'UZ-normalized'!$A:$A, 0))-INDEX('UZ-normalized'!$E:$E, MATCH($A211, 'UZ-normalized'!$A:$A, 0))&gt;0, -(21*INDEX('UZ-normalized'!$D:$D, MATCH($A211, 'UZ-normalized'!$A:$A, 0))-INDEX('UZ-normalized'!$E:$E, MATCH($A211, 'UZ-normalized'!$A:$A, 0))), 0), 0)))</f>
        <v>-8.9000000000000021</v>
      </c>
      <c r="AJ211" s="6">
        <f>MIN(0, N211+(IFERROR(IF(22*INDEX('UA-normalized'!$D:$D, MATCH($A211, 'UA-normalized'!$A:$A, 0))-INDEX('UA-normalized'!$E:$E, MATCH($A211, 'UA-normalized'!$A:$A, 0))&gt;0, -(22*INDEX('UA-normalized'!$D:$D, MATCH($A211, 'UA-normalized'!$A:$A, 0))-INDEX('UA-normalized'!$E:$E, MATCH($A211, 'UA-normalized'!$A:$A, 0))), 0), 0))+(IFERROR(IF(22*INDEX('KZ-normalized'!$D:$D, MATCH($A211, 'KZ-normalized'!$A:$A, 0))-INDEX('KZ-normalized'!$E:$E, MATCH($A211, 'KZ-normalized'!$A:$A, 0))&gt;0, -(22*INDEX('KZ-normalized'!$D:$D, MATCH($A211, 'KZ-normalized'!$A:$A, 0))-INDEX('KZ-normalized'!$E:$E, MATCH($A211, 'KZ-normalized'!$A:$A, 0))), 0), 0))+(IFERROR(IF(22*INDEX('UZ-normalized'!$D:$D, MATCH($A211, 'UZ-normalized'!$A:$A, 0))-INDEX('UZ-normalized'!$E:$E, MATCH($A211, 'UZ-normalized'!$A:$A, 0))&gt;0, -(22*INDEX('UZ-normalized'!$D:$D, MATCH($A211, 'UZ-normalized'!$A:$A, 0))-INDEX('UZ-normalized'!$E:$E, MATCH($A211, 'UZ-normalized'!$A:$A, 0))), 0), 0)))</f>
        <v>-9.8000000000000007</v>
      </c>
      <c r="AK211" s="6">
        <f>MIN(0, N211+(IFERROR(IF(23*INDEX('UA-normalized'!$D:$D, MATCH($A211, 'UA-normalized'!$A:$A, 0))-INDEX('UA-normalized'!$E:$E, MATCH($A211, 'UA-normalized'!$A:$A, 0))&gt;0, -(23*INDEX('UA-normalized'!$D:$D, MATCH($A211, 'UA-normalized'!$A:$A, 0))-INDEX('UA-normalized'!$E:$E, MATCH($A211, 'UA-normalized'!$A:$A, 0))), 0), 0))+(IFERROR(IF(23*INDEX('KZ-normalized'!$D:$D, MATCH($A211, 'KZ-normalized'!$A:$A, 0))-INDEX('KZ-normalized'!$E:$E, MATCH($A211, 'KZ-normalized'!$A:$A, 0))&gt;0, -(23*INDEX('KZ-normalized'!$D:$D, MATCH($A211, 'KZ-normalized'!$A:$A, 0))-INDEX('KZ-normalized'!$E:$E, MATCH($A211, 'KZ-normalized'!$A:$A, 0))), 0), 0))+(IFERROR(IF(23*INDEX('UZ-normalized'!$D:$D, MATCH($A211, 'UZ-normalized'!$A:$A, 0))-INDEX('UZ-normalized'!$E:$E, MATCH($A211, 'UZ-normalized'!$A:$A, 0))&gt;0, -(23*INDEX('UZ-normalized'!$D:$D, MATCH($A211, 'UZ-normalized'!$A:$A, 0))-INDEX('UZ-normalized'!$E:$E, MATCH($A211, 'UZ-normalized'!$A:$A, 0))), 0), 0)))</f>
        <v>-10.7</v>
      </c>
      <c r="AL211" s="6">
        <f>MIN(0, N211+(IFERROR(IF(24*INDEX('UA-normalized'!$D:$D, MATCH($A211, 'UA-normalized'!$A:$A, 0))-INDEX('UA-normalized'!$E:$E, MATCH($A211, 'UA-normalized'!$A:$A, 0))&gt;0, -(24*INDEX('UA-normalized'!$D:$D, MATCH($A211, 'UA-normalized'!$A:$A, 0))-INDEX('UA-normalized'!$E:$E, MATCH($A211, 'UA-normalized'!$A:$A, 0))), 0), 0))+(IFERROR(IF(24*INDEX('KZ-normalized'!$D:$D, MATCH($A211, 'KZ-normalized'!$A:$A, 0))-INDEX('KZ-normalized'!$E:$E, MATCH($A211, 'KZ-normalized'!$A:$A, 0))&gt;0, -(24*INDEX('KZ-normalized'!$D:$D, MATCH($A211, 'KZ-normalized'!$A:$A, 0))-INDEX('KZ-normalized'!$E:$E, MATCH($A211, 'KZ-normalized'!$A:$A, 0))), 0), 0))+(IFERROR(IF(24*INDEX('UZ-normalized'!$D:$D, MATCH($A211, 'UZ-normalized'!$A:$A, 0))-INDEX('UZ-normalized'!$E:$E, MATCH($A211, 'UZ-normalized'!$A:$A, 0))&gt;0, -(24*INDEX('UZ-normalized'!$D:$D, MATCH($A211, 'UZ-normalized'!$A:$A, 0))-INDEX('UZ-normalized'!$E:$E, MATCH($A211, 'UZ-normalized'!$A:$A, 0))), 0), 0)))</f>
        <v>-11.600000000000001</v>
      </c>
      <c r="AM211" s="6">
        <f>MIN(0, N211+(IFERROR(IF(25*INDEX('UA-normalized'!$D:$D, MATCH($A211, 'UA-normalized'!$A:$A, 0))-INDEX('UA-normalized'!$E:$E, MATCH($A211, 'UA-normalized'!$A:$A, 0))&gt;0, -(25*INDEX('UA-normalized'!$D:$D, MATCH($A211, 'UA-normalized'!$A:$A, 0))-INDEX('UA-normalized'!$E:$E, MATCH($A211, 'UA-normalized'!$A:$A, 0))), 0), 0))+(IFERROR(IF(25*INDEX('KZ-normalized'!$D:$D, MATCH($A211, 'KZ-normalized'!$A:$A, 0))-INDEX('KZ-normalized'!$E:$E, MATCH($A211, 'KZ-normalized'!$A:$A, 0))&gt;0, -(25*INDEX('KZ-normalized'!$D:$D, MATCH($A211, 'KZ-normalized'!$A:$A, 0))-INDEX('KZ-normalized'!$E:$E, MATCH($A211, 'KZ-normalized'!$A:$A, 0))), 0), 0))+(IFERROR(IF(25*INDEX('UZ-normalized'!$D:$D, MATCH($A211, 'UZ-normalized'!$A:$A, 0))-INDEX('UZ-normalized'!$E:$E, MATCH($A211, 'UZ-normalized'!$A:$A, 0))&gt;0, -(25*INDEX('UZ-normalized'!$D:$D, MATCH($A211, 'UZ-normalized'!$A:$A, 0))-INDEX('UZ-normalized'!$E:$E, MATCH($A211, 'UZ-normalized'!$A:$A, 0))), 0), 0)))</f>
        <v>-12.5</v>
      </c>
      <c r="AN211" s="6">
        <f>MIN(0, N211+(IFERROR(IF(26*INDEX('UA-normalized'!$D:$D, MATCH($A211, 'UA-normalized'!$A:$A, 0))-INDEX('UA-normalized'!$E:$E, MATCH($A211, 'UA-normalized'!$A:$A, 0))&gt;0, -(26*INDEX('UA-normalized'!$D:$D, MATCH($A211, 'UA-normalized'!$A:$A, 0))-INDEX('UA-normalized'!$E:$E, MATCH($A211, 'UA-normalized'!$A:$A, 0))), 0), 0))+(IFERROR(IF(26*INDEX('KZ-normalized'!$D:$D, MATCH($A211, 'KZ-normalized'!$A:$A, 0))-INDEX('KZ-normalized'!$E:$E, MATCH($A211, 'KZ-normalized'!$A:$A, 0))&gt;0, -(26*INDEX('KZ-normalized'!$D:$D, MATCH($A211, 'KZ-normalized'!$A:$A, 0))-INDEX('KZ-normalized'!$E:$E, MATCH($A211, 'KZ-normalized'!$A:$A, 0))), 0), 0))+(IFERROR(IF(26*INDEX('UZ-normalized'!$D:$D, MATCH($A211, 'UZ-normalized'!$A:$A, 0))-INDEX('UZ-normalized'!$E:$E, MATCH($A211, 'UZ-normalized'!$A:$A, 0))&gt;0, -(26*INDEX('UZ-normalized'!$D:$D, MATCH($A211, 'UZ-normalized'!$A:$A, 0))-INDEX('UZ-normalized'!$E:$E, MATCH($A211, 'UZ-normalized'!$A:$A, 0))), 0), 0)))</f>
        <v>-13.400000000000002</v>
      </c>
      <c r="AO211" s="6">
        <f>MIN(0, N211+(IFERROR(IF(27*INDEX('UA-normalized'!$D:$D, MATCH($A211, 'UA-normalized'!$A:$A, 0))-INDEX('UA-normalized'!$E:$E, MATCH($A211, 'UA-normalized'!$A:$A, 0))&gt;0, -(27*INDEX('UA-normalized'!$D:$D, MATCH($A211, 'UA-normalized'!$A:$A, 0))-INDEX('UA-normalized'!$E:$E, MATCH($A211, 'UA-normalized'!$A:$A, 0))), 0), 0))+(IFERROR(IF(27*INDEX('KZ-normalized'!$D:$D, MATCH($A211, 'KZ-normalized'!$A:$A, 0))-INDEX('KZ-normalized'!$E:$E, MATCH($A211, 'KZ-normalized'!$A:$A, 0))&gt;0, -(27*INDEX('KZ-normalized'!$D:$D, MATCH($A211, 'KZ-normalized'!$A:$A, 0))-INDEX('KZ-normalized'!$E:$E, MATCH($A211, 'KZ-normalized'!$A:$A, 0))), 0), 0))+(IFERROR(IF(27*INDEX('UZ-normalized'!$D:$D, MATCH($A211, 'UZ-normalized'!$A:$A, 0))-INDEX('UZ-normalized'!$E:$E, MATCH($A211, 'UZ-normalized'!$A:$A, 0))&gt;0, -(27*INDEX('UZ-normalized'!$D:$D, MATCH($A211, 'UZ-normalized'!$A:$A, 0))-INDEX('UZ-normalized'!$E:$E, MATCH($A211, 'UZ-normalized'!$A:$A, 0))), 0), 0)))</f>
        <v>-14.3</v>
      </c>
      <c r="AP211" s="6">
        <f>MIN(0, N211+(IFERROR(IF(28*INDEX('UA-normalized'!$D:$D, MATCH($A211, 'UA-normalized'!$A:$A, 0))-INDEX('UA-normalized'!$E:$E, MATCH($A211, 'UA-normalized'!$A:$A, 0))&gt;0, -(28*INDEX('UA-normalized'!$D:$D, MATCH($A211, 'UA-normalized'!$A:$A, 0))-INDEX('UA-normalized'!$E:$E, MATCH($A211, 'UA-normalized'!$A:$A, 0))), 0), 0))+(IFERROR(IF(28*INDEX('KZ-normalized'!$D:$D, MATCH($A211, 'KZ-normalized'!$A:$A, 0))-INDEX('KZ-normalized'!$E:$E, MATCH($A211, 'KZ-normalized'!$A:$A, 0))&gt;0, -(28*INDEX('KZ-normalized'!$D:$D, MATCH($A211, 'KZ-normalized'!$A:$A, 0))-INDEX('KZ-normalized'!$E:$E, MATCH($A211, 'KZ-normalized'!$A:$A, 0))), 0), 0))+(IFERROR(IF(28*INDEX('UZ-normalized'!$D:$D, MATCH($A211, 'UZ-normalized'!$A:$A, 0))-INDEX('UZ-normalized'!$E:$E, MATCH($A211, 'UZ-normalized'!$A:$A, 0))&gt;0, -(28*INDEX('UZ-normalized'!$D:$D, MATCH($A211, 'UZ-normalized'!$A:$A, 0))-INDEX('UZ-normalized'!$E:$E, MATCH($A211, 'UZ-normalized'!$A:$A, 0))), 0), 0)))</f>
        <v>-15.2</v>
      </c>
      <c r="AQ211" s="6">
        <f>MIN(0, N211+(IFERROR(IF(29*INDEX('UA-normalized'!$D:$D, MATCH($A211, 'UA-normalized'!$A:$A, 0))-INDEX('UA-normalized'!$E:$E, MATCH($A211, 'UA-normalized'!$A:$A, 0))&gt;0, -(29*INDEX('UA-normalized'!$D:$D, MATCH($A211, 'UA-normalized'!$A:$A, 0))-INDEX('UA-normalized'!$E:$E, MATCH($A211, 'UA-normalized'!$A:$A, 0))), 0), 0))+(IFERROR(IF(29*INDEX('KZ-normalized'!$D:$D, MATCH($A211, 'KZ-normalized'!$A:$A, 0))-INDEX('KZ-normalized'!$E:$E, MATCH($A211, 'KZ-normalized'!$A:$A, 0))&gt;0, -(29*INDEX('KZ-normalized'!$D:$D, MATCH($A211, 'KZ-normalized'!$A:$A, 0))-INDEX('KZ-normalized'!$E:$E, MATCH($A211, 'KZ-normalized'!$A:$A, 0))), 0), 0))+(IFERROR(IF(29*INDEX('UZ-normalized'!$D:$D, MATCH($A211, 'UZ-normalized'!$A:$A, 0))-INDEX('UZ-normalized'!$E:$E, MATCH($A211, 'UZ-normalized'!$A:$A, 0))&gt;0, -(29*INDEX('UZ-normalized'!$D:$D, MATCH($A211, 'UZ-normalized'!$A:$A, 0))-INDEX('UZ-normalized'!$E:$E, MATCH($A211, 'UZ-normalized'!$A:$A, 0))), 0), 0)))</f>
        <v>-16.100000000000001</v>
      </c>
      <c r="AR211" s="6">
        <f>MIN(0, N211+(IFERROR(IF(30*INDEX('UA-normalized'!$D:$D, MATCH($A211, 'UA-normalized'!$A:$A, 0))-INDEX('UA-normalized'!$E:$E, MATCH($A211, 'UA-normalized'!$A:$A, 0))&gt;0, -(30*INDEX('UA-normalized'!$D:$D, MATCH($A211, 'UA-normalized'!$A:$A, 0))-INDEX('UA-normalized'!$E:$E, MATCH($A211, 'UA-normalized'!$A:$A, 0))), 0), 0))+(IFERROR(IF(30*INDEX('KZ-normalized'!$D:$D, MATCH($A211, 'KZ-normalized'!$A:$A, 0))-INDEX('KZ-normalized'!$E:$E, MATCH($A211, 'KZ-normalized'!$A:$A, 0))&gt;0, -(30*INDEX('KZ-normalized'!$D:$D, MATCH($A211, 'KZ-normalized'!$A:$A, 0))-INDEX('KZ-normalized'!$E:$E, MATCH($A211, 'KZ-normalized'!$A:$A, 0))), 0), 0))+(IFERROR(IF(30*INDEX('UZ-normalized'!$D:$D, MATCH($A211, 'UZ-normalized'!$A:$A, 0))-INDEX('UZ-normalized'!$E:$E, MATCH($A211, 'UZ-normalized'!$A:$A, 0))&gt;0, -(30*INDEX('UZ-normalized'!$D:$D, MATCH($A211, 'UZ-normalized'!$A:$A, 0))-INDEX('UZ-normalized'!$E:$E, MATCH($A211, 'UZ-normalized'!$A:$A, 0))), 0), 0)))</f>
        <v>-17</v>
      </c>
    </row>
    <row r="212" spans="1:44" x14ac:dyDescent="0.25">
      <c r="A212" s="8" t="s">
        <v>505</v>
      </c>
      <c r="B212" s="8" t="s">
        <v>492</v>
      </c>
      <c r="C212" s="8" t="s">
        <v>493</v>
      </c>
      <c r="D212" s="8" t="s">
        <v>506</v>
      </c>
      <c r="N212">
        <f t="shared" si="3"/>
        <v>0</v>
      </c>
      <c r="O212" s="6">
        <f>MIN(0, N212+(IFERROR(IF(1*INDEX('UA-normalized'!$D:$D, MATCH($A212, 'UA-normalized'!$A:$A, 0))-INDEX('UA-normalized'!$E:$E, MATCH($A212, 'UA-normalized'!$A:$A, 0))&gt;0, -(1*INDEX('UA-normalized'!$D:$D, MATCH($A212, 'UA-normalized'!$A:$A, 0))-INDEX('UA-normalized'!$E:$E, MATCH($A212, 'UA-normalized'!$A:$A, 0))), 0), 0))+(IFERROR(IF(1*INDEX('KZ-normalized'!$D:$D, MATCH($A212, 'KZ-normalized'!$A:$A, 0))-INDEX('KZ-normalized'!$E:$E, MATCH($A212, 'KZ-normalized'!$A:$A, 0))&gt;0, -(1*INDEX('KZ-normalized'!$D:$D, MATCH($A212, 'KZ-normalized'!$A:$A, 0))-INDEX('KZ-normalized'!$E:$E, MATCH($A212, 'KZ-normalized'!$A:$A, 0))), 0), 0))+(IFERROR(IF(1*INDEX('UZ-normalized'!$D:$D, MATCH($A212, 'UZ-normalized'!$A:$A, 0))-INDEX('UZ-normalized'!$E:$E, MATCH($A212, 'UZ-normalized'!$A:$A, 0))&gt;0, -(1*INDEX('UZ-normalized'!$D:$D, MATCH($A212, 'UZ-normalized'!$A:$A, 0))-INDEX('UZ-normalized'!$E:$E, MATCH($A212, 'UZ-normalized'!$A:$A, 0))), 0), 0)))</f>
        <v>0</v>
      </c>
      <c r="P212" s="6">
        <f>MIN(0, N212+(IFERROR(IF(2*INDEX('UA-normalized'!$D:$D, MATCH($A212, 'UA-normalized'!$A:$A, 0))-INDEX('UA-normalized'!$E:$E, MATCH($A212, 'UA-normalized'!$A:$A, 0))&gt;0, -(2*INDEX('UA-normalized'!$D:$D, MATCH($A212, 'UA-normalized'!$A:$A, 0))-INDEX('UA-normalized'!$E:$E, MATCH($A212, 'UA-normalized'!$A:$A, 0))), 0), 0))+(IFERROR(IF(2*INDEX('KZ-normalized'!$D:$D, MATCH($A212, 'KZ-normalized'!$A:$A, 0))-INDEX('KZ-normalized'!$E:$E, MATCH($A212, 'KZ-normalized'!$A:$A, 0))&gt;0, -(2*INDEX('KZ-normalized'!$D:$D, MATCH($A212, 'KZ-normalized'!$A:$A, 0))-INDEX('KZ-normalized'!$E:$E, MATCH($A212, 'KZ-normalized'!$A:$A, 0))), 0), 0))+(IFERROR(IF(2*INDEX('UZ-normalized'!$D:$D, MATCH($A212, 'UZ-normalized'!$A:$A, 0))-INDEX('UZ-normalized'!$E:$E, MATCH($A212, 'UZ-normalized'!$A:$A, 0))&gt;0, -(2*INDEX('UZ-normalized'!$D:$D, MATCH($A212, 'UZ-normalized'!$A:$A, 0))-INDEX('UZ-normalized'!$E:$E, MATCH($A212, 'UZ-normalized'!$A:$A, 0))), 0), 0)))</f>
        <v>0</v>
      </c>
      <c r="Q212" s="6">
        <f>MIN(0, N212+(IFERROR(IF(3*INDEX('UA-normalized'!$D:$D, MATCH($A212, 'UA-normalized'!$A:$A, 0))-INDEX('UA-normalized'!$E:$E, MATCH($A212, 'UA-normalized'!$A:$A, 0))&gt;0, -(3*INDEX('UA-normalized'!$D:$D, MATCH($A212, 'UA-normalized'!$A:$A, 0))-INDEX('UA-normalized'!$E:$E, MATCH($A212, 'UA-normalized'!$A:$A, 0))), 0), 0))+(IFERROR(IF(3*INDEX('KZ-normalized'!$D:$D, MATCH($A212, 'KZ-normalized'!$A:$A, 0))-INDEX('KZ-normalized'!$E:$E, MATCH($A212, 'KZ-normalized'!$A:$A, 0))&gt;0, -(3*INDEX('KZ-normalized'!$D:$D, MATCH($A212, 'KZ-normalized'!$A:$A, 0))-INDEX('KZ-normalized'!$E:$E, MATCH($A212, 'KZ-normalized'!$A:$A, 0))), 0), 0))+(IFERROR(IF(3*INDEX('UZ-normalized'!$D:$D, MATCH($A212, 'UZ-normalized'!$A:$A, 0))-INDEX('UZ-normalized'!$E:$E, MATCH($A212, 'UZ-normalized'!$A:$A, 0))&gt;0, -(3*INDEX('UZ-normalized'!$D:$D, MATCH($A212, 'UZ-normalized'!$A:$A, 0))-INDEX('UZ-normalized'!$E:$E, MATCH($A212, 'UZ-normalized'!$A:$A, 0))), 0), 0)))</f>
        <v>0</v>
      </c>
      <c r="R212" s="6">
        <f>MIN(0, N212+(IFERROR(IF(4*INDEX('UA-normalized'!$D:$D, MATCH($A212, 'UA-normalized'!$A:$A, 0))-INDEX('UA-normalized'!$E:$E, MATCH($A212, 'UA-normalized'!$A:$A, 0))&gt;0, -(4*INDEX('UA-normalized'!$D:$D, MATCH($A212, 'UA-normalized'!$A:$A, 0))-INDEX('UA-normalized'!$E:$E, MATCH($A212, 'UA-normalized'!$A:$A, 0))), 0), 0))+(IFERROR(IF(4*INDEX('KZ-normalized'!$D:$D, MATCH($A212, 'KZ-normalized'!$A:$A, 0))-INDEX('KZ-normalized'!$E:$E, MATCH($A212, 'KZ-normalized'!$A:$A, 0))&gt;0, -(4*INDEX('KZ-normalized'!$D:$D, MATCH($A212, 'KZ-normalized'!$A:$A, 0))-INDEX('KZ-normalized'!$E:$E, MATCH($A212, 'KZ-normalized'!$A:$A, 0))), 0), 0))+(IFERROR(IF(4*INDEX('UZ-normalized'!$D:$D, MATCH($A212, 'UZ-normalized'!$A:$A, 0))-INDEX('UZ-normalized'!$E:$E, MATCH($A212, 'UZ-normalized'!$A:$A, 0))&gt;0, -(4*INDEX('UZ-normalized'!$D:$D, MATCH($A212, 'UZ-normalized'!$A:$A, 0))-INDEX('UZ-normalized'!$E:$E, MATCH($A212, 'UZ-normalized'!$A:$A, 0))), 0), 0)))</f>
        <v>0</v>
      </c>
      <c r="S212" s="6">
        <f>MIN(0, N212+(IFERROR(IF(5*INDEX('UA-normalized'!$D:$D, MATCH($A212, 'UA-normalized'!$A:$A, 0))-INDEX('UA-normalized'!$E:$E, MATCH($A212, 'UA-normalized'!$A:$A, 0))&gt;0, -(5*INDEX('UA-normalized'!$D:$D, MATCH($A212, 'UA-normalized'!$A:$A, 0))-INDEX('UA-normalized'!$E:$E, MATCH($A212, 'UA-normalized'!$A:$A, 0))), 0), 0))+(IFERROR(IF(5*INDEX('KZ-normalized'!$D:$D, MATCH($A212, 'KZ-normalized'!$A:$A, 0))-INDEX('KZ-normalized'!$E:$E, MATCH($A212, 'KZ-normalized'!$A:$A, 0))&gt;0, -(5*INDEX('KZ-normalized'!$D:$D, MATCH($A212, 'KZ-normalized'!$A:$A, 0))-INDEX('KZ-normalized'!$E:$E, MATCH($A212, 'KZ-normalized'!$A:$A, 0))), 0), 0))+(IFERROR(IF(5*INDEX('UZ-normalized'!$D:$D, MATCH($A212, 'UZ-normalized'!$A:$A, 0))-INDEX('UZ-normalized'!$E:$E, MATCH($A212, 'UZ-normalized'!$A:$A, 0))&gt;0, -(5*INDEX('UZ-normalized'!$D:$D, MATCH($A212, 'UZ-normalized'!$A:$A, 0))-INDEX('UZ-normalized'!$E:$E, MATCH($A212, 'UZ-normalized'!$A:$A, 0))), 0), 0)))</f>
        <v>0</v>
      </c>
      <c r="T212" s="6">
        <f>MIN(0, N212+(IFERROR(IF(6*INDEX('UA-normalized'!$D:$D, MATCH($A212, 'UA-normalized'!$A:$A, 0))-INDEX('UA-normalized'!$E:$E, MATCH($A212, 'UA-normalized'!$A:$A, 0))&gt;0, -(6*INDEX('UA-normalized'!$D:$D, MATCH($A212, 'UA-normalized'!$A:$A, 0))-INDEX('UA-normalized'!$E:$E, MATCH($A212, 'UA-normalized'!$A:$A, 0))), 0), 0))+(IFERROR(IF(6*INDEX('KZ-normalized'!$D:$D, MATCH($A212, 'KZ-normalized'!$A:$A, 0))-INDEX('KZ-normalized'!$E:$E, MATCH($A212, 'KZ-normalized'!$A:$A, 0))&gt;0, -(6*INDEX('KZ-normalized'!$D:$D, MATCH($A212, 'KZ-normalized'!$A:$A, 0))-INDEX('KZ-normalized'!$E:$E, MATCH($A212, 'KZ-normalized'!$A:$A, 0))), 0), 0))+(IFERROR(IF(6*INDEX('UZ-normalized'!$D:$D, MATCH($A212, 'UZ-normalized'!$A:$A, 0))-INDEX('UZ-normalized'!$E:$E, MATCH($A212, 'UZ-normalized'!$A:$A, 0))&gt;0, -(6*INDEX('UZ-normalized'!$D:$D, MATCH($A212, 'UZ-normalized'!$A:$A, 0))-INDEX('UZ-normalized'!$E:$E, MATCH($A212, 'UZ-normalized'!$A:$A, 0))), 0), 0)))</f>
        <v>0</v>
      </c>
      <c r="U212" s="6">
        <f>MIN(0, N212+(IFERROR(IF(7*INDEX('UA-normalized'!$D:$D, MATCH($A212, 'UA-normalized'!$A:$A, 0))-INDEX('UA-normalized'!$E:$E, MATCH($A212, 'UA-normalized'!$A:$A, 0))&gt;0, -(7*INDEX('UA-normalized'!$D:$D, MATCH($A212, 'UA-normalized'!$A:$A, 0))-INDEX('UA-normalized'!$E:$E, MATCH($A212, 'UA-normalized'!$A:$A, 0))), 0), 0))+(IFERROR(IF(7*INDEX('KZ-normalized'!$D:$D, MATCH($A212, 'KZ-normalized'!$A:$A, 0))-INDEX('KZ-normalized'!$E:$E, MATCH($A212, 'KZ-normalized'!$A:$A, 0))&gt;0, -(7*INDEX('KZ-normalized'!$D:$D, MATCH($A212, 'KZ-normalized'!$A:$A, 0))-INDEX('KZ-normalized'!$E:$E, MATCH($A212, 'KZ-normalized'!$A:$A, 0))), 0), 0))+(IFERROR(IF(7*INDEX('UZ-normalized'!$D:$D, MATCH($A212, 'UZ-normalized'!$A:$A, 0))-INDEX('UZ-normalized'!$E:$E, MATCH($A212, 'UZ-normalized'!$A:$A, 0))&gt;0, -(7*INDEX('UZ-normalized'!$D:$D, MATCH($A212, 'UZ-normalized'!$A:$A, 0))-INDEX('UZ-normalized'!$E:$E, MATCH($A212, 'UZ-normalized'!$A:$A, 0))), 0), 0)))</f>
        <v>0</v>
      </c>
      <c r="V212" s="6">
        <f>MIN(0, N212+(IFERROR(IF(8*INDEX('UA-normalized'!$D:$D, MATCH($A212, 'UA-normalized'!$A:$A, 0))-INDEX('UA-normalized'!$E:$E, MATCH($A212, 'UA-normalized'!$A:$A, 0))&gt;0, -(8*INDEX('UA-normalized'!$D:$D, MATCH($A212, 'UA-normalized'!$A:$A, 0))-INDEX('UA-normalized'!$E:$E, MATCH($A212, 'UA-normalized'!$A:$A, 0))), 0), 0))+(IFERROR(IF(8*INDEX('KZ-normalized'!$D:$D, MATCH($A212, 'KZ-normalized'!$A:$A, 0))-INDEX('KZ-normalized'!$E:$E, MATCH($A212, 'KZ-normalized'!$A:$A, 0))&gt;0, -(8*INDEX('KZ-normalized'!$D:$D, MATCH($A212, 'KZ-normalized'!$A:$A, 0))-INDEX('KZ-normalized'!$E:$E, MATCH($A212, 'KZ-normalized'!$A:$A, 0))), 0), 0))+(IFERROR(IF(8*INDEX('UZ-normalized'!$D:$D, MATCH($A212, 'UZ-normalized'!$A:$A, 0))-INDEX('UZ-normalized'!$E:$E, MATCH($A212, 'UZ-normalized'!$A:$A, 0))&gt;0, -(8*INDEX('UZ-normalized'!$D:$D, MATCH($A212, 'UZ-normalized'!$A:$A, 0))-INDEX('UZ-normalized'!$E:$E, MATCH($A212, 'UZ-normalized'!$A:$A, 0))), 0), 0)))</f>
        <v>0</v>
      </c>
      <c r="W212" s="6">
        <f>MIN(0, N212+(IFERROR(IF(9*INDEX('UA-normalized'!$D:$D, MATCH($A212, 'UA-normalized'!$A:$A, 0))-INDEX('UA-normalized'!$E:$E, MATCH($A212, 'UA-normalized'!$A:$A, 0))&gt;0, -(9*INDEX('UA-normalized'!$D:$D, MATCH($A212, 'UA-normalized'!$A:$A, 0))-INDEX('UA-normalized'!$E:$E, MATCH($A212, 'UA-normalized'!$A:$A, 0))), 0), 0))+(IFERROR(IF(9*INDEX('KZ-normalized'!$D:$D, MATCH($A212, 'KZ-normalized'!$A:$A, 0))-INDEX('KZ-normalized'!$E:$E, MATCH($A212, 'KZ-normalized'!$A:$A, 0))&gt;0, -(9*INDEX('KZ-normalized'!$D:$D, MATCH($A212, 'KZ-normalized'!$A:$A, 0))-INDEX('KZ-normalized'!$E:$E, MATCH($A212, 'KZ-normalized'!$A:$A, 0))), 0), 0))+(IFERROR(IF(9*INDEX('UZ-normalized'!$D:$D, MATCH($A212, 'UZ-normalized'!$A:$A, 0))-INDEX('UZ-normalized'!$E:$E, MATCH($A212, 'UZ-normalized'!$A:$A, 0))&gt;0, -(9*INDEX('UZ-normalized'!$D:$D, MATCH($A212, 'UZ-normalized'!$A:$A, 0))-INDEX('UZ-normalized'!$E:$E, MATCH($A212, 'UZ-normalized'!$A:$A, 0))), 0), 0)))</f>
        <v>0</v>
      </c>
      <c r="X212" s="6">
        <f>MIN(0, N212+(IFERROR(IF(10*INDEX('UA-normalized'!$D:$D, MATCH($A212, 'UA-normalized'!$A:$A, 0))-INDEX('UA-normalized'!$E:$E, MATCH($A212, 'UA-normalized'!$A:$A, 0))&gt;0, -(10*INDEX('UA-normalized'!$D:$D, MATCH($A212, 'UA-normalized'!$A:$A, 0))-INDEX('UA-normalized'!$E:$E, MATCH($A212, 'UA-normalized'!$A:$A, 0))), 0), 0))+(IFERROR(IF(10*INDEX('KZ-normalized'!$D:$D, MATCH($A212, 'KZ-normalized'!$A:$A, 0))-INDEX('KZ-normalized'!$E:$E, MATCH($A212, 'KZ-normalized'!$A:$A, 0))&gt;0, -(10*INDEX('KZ-normalized'!$D:$D, MATCH($A212, 'KZ-normalized'!$A:$A, 0))-INDEX('KZ-normalized'!$E:$E, MATCH($A212, 'KZ-normalized'!$A:$A, 0))), 0), 0))+(IFERROR(IF(10*INDEX('UZ-normalized'!$D:$D, MATCH($A212, 'UZ-normalized'!$A:$A, 0))-INDEX('UZ-normalized'!$E:$E, MATCH($A212, 'UZ-normalized'!$A:$A, 0))&gt;0, -(10*INDEX('UZ-normalized'!$D:$D, MATCH($A212, 'UZ-normalized'!$A:$A, 0))-INDEX('UZ-normalized'!$E:$E, MATCH($A212, 'UZ-normalized'!$A:$A, 0))), 0), 0)))</f>
        <v>0</v>
      </c>
      <c r="Y212" s="6">
        <f>MIN(0, N212+(IFERROR(IF(11*INDEX('UA-normalized'!$D:$D, MATCH($A212, 'UA-normalized'!$A:$A, 0))-INDEX('UA-normalized'!$E:$E, MATCH($A212, 'UA-normalized'!$A:$A, 0))&gt;0, -(11*INDEX('UA-normalized'!$D:$D, MATCH($A212, 'UA-normalized'!$A:$A, 0))-INDEX('UA-normalized'!$E:$E, MATCH($A212, 'UA-normalized'!$A:$A, 0))), 0), 0))+(IFERROR(IF(11*INDEX('KZ-normalized'!$D:$D, MATCH($A212, 'KZ-normalized'!$A:$A, 0))-INDEX('KZ-normalized'!$E:$E, MATCH($A212, 'KZ-normalized'!$A:$A, 0))&gt;0, -(11*INDEX('KZ-normalized'!$D:$D, MATCH($A212, 'KZ-normalized'!$A:$A, 0))-INDEX('KZ-normalized'!$E:$E, MATCH($A212, 'KZ-normalized'!$A:$A, 0))), 0), 0))+(IFERROR(IF(11*INDEX('UZ-normalized'!$D:$D, MATCH($A212, 'UZ-normalized'!$A:$A, 0))-INDEX('UZ-normalized'!$E:$E, MATCH($A212, 'UZ-normalized'!$A:$A, 0))&gt;0, -(11*INDEX('UZ-normalized'!$D:$D, MATCH($A212, 'UZ-normalized'!$A:$A, 0))-INDEX('UZ-normalized'!$E:$E, MATCH($A212, 'UZ-normalized'!$A:$A, 0))), 0), 0)))</f>
        <v>0</v>
      </c>
      <c r="Z212" s="6">
        <f>MIN(0, N212+(IFERROR(IF(12*INDEX('UA-normalized'!$D:$D, MATCH($A212, 'UA-normalized'!$A:$A, 0))-INDEX('UA-normalized'!$E:$E, MATCH($A212, 'UA-normalized'!$A:$A, 0))&gt;0, -(12*INDEX('UA-normalized'!$D:$D, MATCH($A212, 'UA-normalized'!$A:$A, 0))-INDEX('UA-normalized'!$E:$E, MATCH($A212, 'UA-normalized'!$A:$A, 0))), 0), 0))+(IFERROR(IF(12*INDEX('KZ-normalized'!$D:$D, MATCH($A212, 'KZ-normalized'!$A:$A, 0))-INDEX('KZ-normalized'!$E:$E, MATCH($A212, 'KZ-normalized'!$A:$A, 0))&gt;0, -(12*INDEX('KZ-normalized'!$D:$D, MATCH($A212, 'KZ-normalized'!$A:$A, 0))-INDEX('KZ-normalized'!$E:$E, MATCH($A212, 'KZ-normalized'!$A:$A, 0))), 0), 0))+(IFERROR(IF(12*INDEX('UZ-normalized'!$D:$D, MATCH($A212, 'UZ-normalized'!$A:$A, 0))-INDEX('UZ-normalized'!$E:$E, MATCH($A212, 'UZ-normalized'!$A:$A, 0))&gt;0, -(12*INDEX('UZ-normalized'!$D:$D, MATCH($A212, 'UZ-normalized'!$A:$A, 0))-INDEX('UZ-normalized'!$E:$E, MATCH($A212, 'UZ-normalized'!$A:$A, 0))), 0), 0)))</f>
        <v>0</v>
      </c>
      <c r="AA212" s="6">
        <f>MIN(0, N212+(IFERROR(IF(13*INDEX('UA-normalized'!$D:$D, MATCH($A212, 'UA-normalized'!$A:$A, 0))-INDEX('UA-normalized'!$E:$E, MATCH($A212, 'UA-normalized'!$A:$A, 0))&gt;0, -(13*INDEX('UA-normalized'!$D:$D, MATCH($A212, 'UA-normalized'!$A:$A, 0))-INDEX('UA-normalized'!$E:$E, MATCH($A212, 'UA-normalized'!$A:$A, 0))), 0), 0))+(IFERROR(IF(13*INDEX('KZ-normalized'!$D:$D, MATCH($A212, 'KZ-normalized'!$A:$A, 0))-INDEX('KZ-normalized'!$E:$E, MATCH($A212, 'KZ-normalized'!$A:$A, 0))&gt;0, -(13*INDEX('KZ-normalized'!$D:$D, MATCH($A212, 'KZ-normalized'!$A:$A, 0))-INDEX('KZ-normalized'!$E:$E, MATCH($A212, 'KZ-normalized'!$A:$A, 0))), 0), 0))+(IFERROR(IF(13*INDEX('UZ-normalized'!$D:$D, MATCH($A212, 'UZ-normalized'!$A:$A, 0))-INDEX('UZ-normalized'!$E:$E, MATCH($A212, 'UZ-normalized'!$A:$A, 0))&gt;0, -(13*INDEX('UZ-normalized'!$D:$D, MATCH($A212, 'UZ-normalized'!$A:$A, 0))-INDEX('UZ-normalized'!$E:$E, MATCH($A212, 'UZ-normalized'!$A:$A, 0))), 0), 0)))</f>
        <v>0</v>
      </c>
      <c r="AB212" s="6">
        <f>MIN(0, N212+(IFERROR(IF(14*INDEX('UA-normalized'!$D:$D, MATCH($A212, 'UA-normalized'!$A:$A, 0))-INDEX('UA-normalized'!$E:$E, MATCH($A212, 'UA-normalized'!$A:$A, 0))&gt;0, -(14*INDEX('UA-normalized'!$D:$D, MATCH($A212, 'UA-normalized'!$A:$A, 0))-INDEX('UA-normalized'!$E:$E, MATCH($A212, 'UA-normalized'!$A:$A, 0))), 0), 0))+(IFERROR(IF(14*INDEX('KZ-normalized'!$D:$D, MATCH($A212, 'KZ-normalized'!$A:$A, 0))-INDEX('KZ-normalized'!$E:$E, MATCH($A212, 'KZ-normalized'!$A:$A, 0))&gt;0, -(14*INDEX('KZ-normalized'!$D:$D, MATCH($A212, 'KZ-normalized'!$A:$A, 0))-INDEX('KZ-normalized'!$E:$E, MATCH($A212, 'KZ-normalized'!$A:$A, 0))), 0), 0))+(IFERROR(IF(14*INDEX('UZ-normalized'!$D:$D, MATCH($A212, 'UZ-normalized'!$A:$A, 0))-INDEX('UZ-normalized'!$E:$E, MATCH($A212, 'UZ-normalized'!$A:$A, 0))&gt;0, -(14*INDEX('UZ-normalized'!$D:$D, MATCH($A212, 'UZ-normalized'!$A:$A, 0))-INDEX('UZ-normalized'!$E:$E, MATCH($A212, 'UZ-normalized'!$A:$A, 0))), 0), 0)))</f>
        <v>0</v>
      </c>
      <c r="AC212" s="6">
        <f>MIN(0, N212+(IFERROR(IF(15*INDEX('UA-normalized'!$D:$D, MATCH($A212, 'UA-normalized'!$A:$A, 0))-INDEX('UA-normalized'!$E:$E, MATCH($A212, 'UA-normalized'!$A:$A, 0))&gt;0, -(15*INDEX('UA-normalized'!$D:$D, MATCH($A212, 'UA-normalized'!$A:$A, 0))-INDEX('UA-normalized'!$E:$E, MATCH($A212, 'UA-normalized'!$A:$A, 0))), 0), 0))+(IFERROR(IF(15*INDEX('KZ-normalized'!$D:$D, MATCH($A212, 'KZ-normalized'!$A:$A, 0))-INDEX('KZ-normalized'!$E:$E, MATCH($A212, 'KZ-normalized'!$A:$A, 0))&gt;0, -(15*INDEX('KZ-normalized'!$D:$D, MATCH($A212, 'KZ-normalized'!$A:$A, 0))-INDEX('KZ-normalized'!$E:$E, MATCH($A212, 'KZ-normalized'!$A:$A, 0))), 0), 0))+(IFERROR(IF(15*INDEX('UZ-normalized'!$D:$D, MATCH($A212, 'UZ-normalized'!$A:$A, 0))-INDEX('UZ-normalized'!$E:$E, MATCH($A212, 'UZ-normalized'!$A:$A, 0))&gt;0, -(15*INDEX('UZ-normalized'!$D:$D, MATCH($A212, 'UZ-normalized'!$A:$A, 0))-INDEX('UZ-normalized'!$E:$E, MATCH($A212, 'UZ-normalized'!$A:$A, 0))), 0), 0)))</f>
        <v>0</v>
      </c>
      <c r="AD212" s="6">
        <f>MIN(0, N212+(IFERROR(IF(16*INDEX('UA-normalized'!$D:$D, MATCH($A212, 'UA-normalized'!$A:$A, 0))-INDEX('UA-normalized'!$E:$E, MATCH($A212, 'UA-normalized'!$A:$A, 0))&gt;0, -(16*INDEX('UA-normalized'!$D:$D, MATCH($A212, 'UA-normalized'!$A:$A, 0))-INDEX('UA-normalized'!$E:$E, MATCH($A212, 'UA-normalized'!$A:$A, 0))), 0), 0))+(IFERROR(IF(16*INDEX('KZ-normalized'!$D:$D, MATCH($A212, 'KZ-normalized'!$A:$A, 0))-INDEX('KZ-normalized'!$E:$E, MATCH($A212, 'KZ-normalized'!$A:$A, 0))&gt;0, -(16*INDEX('KZ-normalized'!$D:$D, MATCH($A212, 'KZ-normalized'!$A:$A, 0))-INDEX('KZ-normalized'!$E:$E, MATCH($A212, 'KZ-normalized'!$A:$A, 0))), 0), 0))+(IFERROR(IF(16*INDEX('UZ-normalized'!$D:$D, MATCH($A212, 'UZ-normalized'!$A:$A, 0))-INDEX('UZ-normalized'!$E:$E, MATCH($A212, 'UZ-normalized'!$A:$A, 0))&gt;0, -(16*INDEX('UZ-normalized'!$D:$D, MATCH($A212, 'UZ-normalized'!$A:$A, 0))-INDEX('UZ-normalized'!$E:$E, MATCH($A212, 'UZ-normalized'!$A:$A, 0))), 0), 0)))</f>
        <v>0</v>
      </c>
      <c r="AE212" s="6">
        <f>MIN(0, N212+(IFERROR(IF(17*INDEX('UA-normalized'!$D:$D, MATCH($A212, 'UA-normalized'!$A:$A, 0))-INDEX('UA-normalized'!$E:$E, MATCH($A212, 'UA-normalized'!$A:$A, 0))&gt;0, -(17*INDEX('UA-normalized'!$D:$D, MATCH($A212, 'UA-normalized'!$A:$A, 0))-INDEX('UA-normalized'!$E:$E, MATCH($A212, 'UA-normalized'!$A:$A, 0))), 0), 0))+(IFERROR(IF(17*INDEX('KZ-normalized'!$D:$D, MATCH($A212, 'KZ-normalized'!$A:$A, 0))-INDEX('KZ-normalized'!$E:$E, MATCH($A212, 'KZ-normalized'!$A:$A, 0))&gt;0, -(17*INDEX('KZ-normalized'!$D:$D, MATCH($A212, 'KZ-normalized'!$A:$A, 0))-INDEX('KZ-normalized'!$E:$E, MATCH($A212, 'KZ-normalized'!$A:$A, 0))), 0), 0))+(IFERROR(IF(17*INDEX('UZ-normalized'!$D:$D, MATCH($A212, 'UZ-normalized'!$A:$A, 0))-INDEX('UZ-normalized'!$E:$E, MATCH($A212, 'UZ-normalized'!$A:$A, 0))&gt;0, -(17*INDEX('UZ-normalized'!$D:$D, MATCH($A212, 'UZ-normalized'!$A:$A, 0))-INDEX('UZ-normalized'!$E:$E, MATCH($A212, 'UZ-normalized'!$A:$A, 0))), 0), 0)))</f>
        <v>0</v>
      </c>
      <c r="AF212" s="6">
        <f>MIN(0, N212+(IFERROR(IF(18*INDEX('UA-normalized'!$D:$D, MATCH($A212, 'UA-normalized'!$A:$A, 0))-INDEX('UA-normalized'!$E:$E, MATCH($A212, 'UA-normalized'!$A:$A, 0))&gt;0, -(18*INDEX('UA-normalized'!$D:$D, MATCH($A212, 'UA-normalized'!$A:$A, 0))-INDEX('UA-normalized'!$E:$E, MATCH($A212, 'UA-normalized'!$A:$A, 0))), 0), 0))+(IFERROR(IF(18*INDEX('KZ-normalized'!$D:$D, MATCH($A212, 'KZ-normalized'!$A:$A, 0))-INDEX('KZ-normalized'!$E:$E, MATCH($A212, 'KZ-normalized'!$A:$A, 0))&gt;0, -(18*INDEX('KZ-normalized'!$D:$D, MATCH($A212, 'KZ-normalized'!$A:$A, 0))-INDEX('KZ-normalized'!$E:$E, MATCH($A212, 'KZ-normalized'!$A:$A, 0))), 0), 0))+(IFERROR(IF(18*INDEX('UZ-normalized'!$D:$D, MATCH($A212, 'UZ-normalized'!$A:$A, 0))-INDEX('UZ-normalized'!$E:$E, MATCH($A212, 'UZ-normalized'!$A:$A, 0))&gt;0, -(18*INDEX('UZ-normalized'!$D:$D, MATCH($A212, 'UZ-normalized'!$A:$A, 0))-INDEX('UZ-normalized'!$E:$E, MATCH($A212, 'UZ-normalized'!$A:$A, 0))), 0), 0)))</f>
        <v>0</v>
      </c>
      <c r="AG212" s="6">
        <f>MIN(0, N212+(IFERROR(IF(19*INDEX('UA-normalized'!$D:$D, MATCH($A212, 'UA-normalized'!$A:$A, 0))-INDEX('UA-normalized'!$E:$E, MATCH($A212, 'UA-normalized'!$A:$A, 0))&gt;0, -(19*INDEX('UA-normalized'!$D:$D, MATCH($A212, 'UA-normalized'!$A:$A, 0))-INDEX('UA-normalized'!$E:$E, MATCH($A212, 'UA-normalized'!$A:$A, 0))), 0), 0))+(IFERROR(IF(19*INDEX('KZ-normalized'!$D:$D, MATCH($A212, 'KZ-normalized'!$A:$A, 0))-INDEX('KZ-normalized'!$E:$E, MATCH($A212, 'KZ-normalized'!$A:$A, 0))&gt;0, -(19*INDEX('KZ-normalized'!$D:$D, MATCH($A212, 'KZ-normalized'!$A:$A, 0))-INDEX('KZ-normalized'!$E:$E, MATCH($A212, 'KZ-normalized'!$A:$A, 0))), 0), 0))+(IFERROR(IF(19*INDEX('UZ-normalized'!$D:$D, MATCH($A212, 'UZ-normalized'!$A:$A, 0))-INDEX('UZ-normalized'!$E:$E, MATCH($A212, 'UZ-normalized'!$A:$A, 0))&gt;0, -(19*INDEX('UZ-normalized'!$D:$D, MATCH($A212, 'UZ-normalized'!$A:$A, 0))-INDEX('UZ-normalized'!$E:$E, MATCH($A212, 'UZ-normalized'!$A:$A, 0))), 0), 0)))</f>
        <v>0</v>
      </c>
      <c r="AH212" s="6">
        <f>MIN(0, N212+(IFERROR(IF(20*INDEX('UA-normalized'!$D:$D, MATCH($A212, 'UA-normalized'!$A:$A, 0))-INDEX('UA-normalized'!$E:$E, MATCH($A212, 'UA-normalized'!$A:$A, 0))&gt;0, -(20*INDEX('UA-normalized'!$D:$D, MATCH($A212, 'UA-normalized'!$A:$A, 0))-INDEX('UA-normalized'!$E:$E, MATCH($A212, 'UA-normalized'!$A:$A, 0))), 0), 0))+(IFERROR(IF(20*INDEX('KZ-normalized'!$D:$D, MATCH($A212, 'KZ-normalized'!$A:$A, 0))-INDEX('KZ-normalized'!$E:$E, MATCH($A212, 'KZ-normalized'!$A:$A, 0))&gt;0, -(20*INDEX('KZ-normalized'!$D:$D, MATCH($A212, 'KZ-normalized'!$A:$A, 0))-INDEX('KZ-normalized'!$E:$E, MATCH($A212, 'KZ-normalized'!$A:$A, 0))), 0), 0))+(IFERROR(IF(20*INDEX('UZ-normalized'!$D:$D, MATCH($A212, 'UZ-normalized'!$A:$A, 0))-INDEX('UZ-normalized'!$E:$E, MATCH($A212, 'UZ-normalized'!$A:$A, 0))&gt;0, -(20*INDEX('UZ-normalized'!$D:$D, MATCH($A212, 'UZ-normalized'!$A:$A, 0))-INDEX('UZ-normalized'!$E:$E, MATCH($A212, 'UZ-normalized'!$A:$A, 0))), 0), 0)))</f>
        <v>0</v>
      </c>
      <c r="AI212" s="6">
        <f>MIN(0, N212+(IFERROR(IF(21*INDEX('UA-normalized'!$D:$D, MATCH($A212, 'UA-normalized'!$A:$A, 0))-INDEX('UA-normalized'!$E:$E, MATCH($A212, 'UA-normalized'!$A:$A, 0))&gt;0, -(21*INDEX('UA-normalized'!$D:$D, MATCH($A212, 'UA-normalized'!$A:$A, 0))-INDEX('UA-normalized'!$E:$E, MATCH($A212, 'UA-normalized'!$A:$A, 0))), 0), 0))+(IFERROR(IF(21*INDEX('KZ-normalized'!$D:$D, MATCH($A212, 'KZ-normalized'!$A:$A, 0))-INDEX('KZ-normalized'!$E:$E, MATCH($A212, 'KZ-normalized'!$A:$A, 0))&gt;0, -(21*INDEX('KZ-normalized'!$D:$D, MATCH($A212, 'KZ-normalized'!$A:$A, 0))-INDEX('KZ-normalized'!$E:$E, MATCH($A212, 'KZ-normalized'!$A:$A, 0))), 0), 0))+(IFERROR(IF(21*INDEX('UZ-normalized'!$D:$D, MATCH($A212, 'UZ-normalized'!$A:$A, 0))-INDEX('UZ-normalized'!$E:$E, MATCH($A212, 'UZ-normalized'!$A:$A, 0))&gt;0, -(21*INDEX('UZ-normalized'!$D:$D, MATCH($A212, 'UZ-normalized'!$A:$A, 0))-INDEX('UZ-normalized'!$E:$E, MATCH($A212, 'UZ-normalized'!$A:$A, 0))), 0), 0)))</f>
        <v>0</v>
      </c>
      <c r="AJ212" s="6">
        <f>MIN(0, N212+(IFERROR(IF(22*INDEX('UA-normalized'!$D:$D, MATCH($A212, 'UA-normalized'!$A:$A, 0))-INDEX('UA-normalized'!$E:$E, MATCH($A212, 'UA-normalized'!$A:$A, 0))&gt;0, -(22*INDEX('UA-normalized'!$D:$D, MATCH($A212, 'UA-normalized'!$A:$A, 0))-INDEX('UA-normalized'!$E:$E, MATCH($A212, 'UA-normalized'!$A:$A, 0))), 0), 0))+(IFERROR(IF(22*INDEX('KZ-normalized'!$D:$D, MATCH($A212, 'KZ-normalized'!$A:$A, 0))-INDEX('KZ-normalized'!$E:$E, MATCH($A212, 'KZ-normalized'!$A:$A, 0))&gt;0, -(22*INDEX('KZ-normalized'!$D:$D, MATCH($A212, 'KZ-normalized'!$A:$A, 0))-INDEX('KZ-normalized'!$E:$E, MATCH($A212, 'KZ-normalized'!$A:$A, 0))), 0), 0))+(IFERROR(IF(22*INDEX('UZ-normalized'!$D:$D, MATCH($A212, 'UZ-normalized'!$A:$A, 0))-INDEX('UZ-normalized'!$E:$E, MATCH($A212, 'UZ-normalized'!$A:$A, 0))&gt;0, -(22*INDEX('UZ-normalized'!$D:$D, MATCH($A212, 'UZ-normalized'!$A:$A, 0))-INDEX('UZ-normalized'!$E:$E, MATCH($A212, 'UZ-normalized'!$A:$A, 0))), 0), 0)))</f>
        <v>0</v>
      </c>
      <c r="AK212" s="6">
        <f>MIN(0, N212+(IFERROR(IF(23*INDEX('UA-normalized'!$D:$D, MATCH($A212, 'UA-normalized'!$A:$A, 0))-INDEX('UA-normalized'!$E:$E, MATCH($A212, 'UA-normalized'!$A:$A, 0))&gt;0, -(23*INDEX('UA-normalized'!$D:$D, MATCH($A212, 'UA-normalized'!$A:$A, 0))-INDEX('UA-normalized'!$E:$E, MATCH($A212, 'UA-normalized'!$A:$A, 0))), 0), 0))+(IFERROR(IF(23*INDEX('KZ-normalized'!$D:$D, MATCH($A212, 'KZ-normalized'!$A:$A, 0))-INDEX('KZ-normalized'!$E:$E, MATCH($A212, 'KZ-normalized'!$A:$A, 0))&gt;0, -(23*INDEX('KZ-normalized'!$D:$D, MATCH($A212, 'KZ-normalized'!$A:$A, 0))-INDEX('KZ-normalized'!$E:$E, MATCH($A212, 'KZ-normalized'!$A:$A, 0))), 0), 0))+(IFERROR(IF(23*INDEX('UZ-normalized'!$D:$D, MATCH($A212, 'UZ-normalized'!$A:$A, 0))-INDEX('UZ-normalized'!$E:$E, MATCH($A212, 'UZ-normalized'!$A:$A, 0))&gt;0, -(23*INDEX('UZ-normalized'!$D:$D, MATCH($A212, 'UZ-normalized'!$A:$A, 0))-INDEX('UZ-normalized'!$E:$E, MATCH($A212, 'UZ-normalized'!$A:$A, 0))), 0), 0)))</f>
        <v>0</v>
      </c>
      <c r="AL212" s="6">
        <f>MIN(0, N212+(IFERROR(IF(24*INDEX('UA-normalized'!$D:$D, MATCH($A212, 'UA-normalized'!$A:$A, 0))-INDEX('UA-normalized'!$E:$E, MATCH($A212, 'UA-normalized'!$A:$A, 0))&gt;0, -(24*INDEX('UA-normalized'!$D:$D, MATCH($A212, 'UA-normalized'!$A:$A, 0))-INDEX('UA-normalized'!$E:$E, MATCH($A212, 'UA-normalized'!$A:$A, 0))), 0), 0))+(IFERROR(IF(24*INDEX('KZ-normalized'!$D:$D, MATCH($A212, 'KZ-normalized'!$A:$A, 0))-INDEX('KZ-normalized'!$E:$E, MATCH($A212, 'KZ-normalized'!$A:$A, 0))&gt;0, -(24*INDEX('KZ-normalized'!$D:$D, MATCH($A212, 'KZ-normalized'!$A:$A, 0))-INDEX('KZ-normalized'!$E:$E, MATCH($A212, 'KZ-normalized'!$A:$A, 0))), 0), 0))+(IFERROR(IF(24*INDEX('UZ-normalized'!$D:$D, MATCH($A212, 'UZ-normalized'!$A:$A, 0))-INDEX('UZ-normalized'!$E:$E, MATCH($A212, 'UZ-normalized'!$A:$A, 0))&gt;0, -(24*INDEX('UZ-normalized'!$D:$D, MATCH($A212, 'UZ-normalized'!$A:$A, 0))-INDEX('UZ-normalized'!$E:$E, MATCH($A212, 'UZ-normalized'!$A:$A, 0))), 0), 0)))</f>
        <v>0</v>
      </c>
      <c r="AM212" s="6">
        <f>MIN(0, N212+(IFERROR(IF(25*INDEX('UA-normalized'!$D:$D, MATCH($A212, 'UA-normalized'!$A:$A, 0))-INDEX('UA-normalized'!$E:$E, MATCH($A212, 'UA-normalized'!$A:$A, 0))&gt;0, -(25*INDEX('UA-normalized'!$D:$D, MATCH($A212, 'UA-normalized'!$A:$A, 0))-INDEX('UA-normalized'!$E:$E, MATCH($A212, 'UA-normalized'!$A:$A, 0))), 0), 0))+(IFERROR(IF(25*INDEX('KZ-normalized'!$D:$D, MATCH($A212, 'KZ-normalized'!$A:$A, 0))-INDEX('KZ-normalized'!$E:$E, MATCH($A212, 'KZ-normalized'!$A:$A, 0))&gt;0, -(25*INDEX('KZ-normalized'!$D:$D, MATCH($A212, 'KZ-normalized'!$A:$A, 0))-INDEX('KZ-normalized'!$E:$E, MATCH($A212, 'KZ-normalized'!$A:$A, 0))), 0), 0))+(IFERROR(IF(25*INDEX('UZ-normalized'!$D:$D, MATCH($A212, 'UZ-normalized'!$A:$A, 0))-INDEX('UZ-normalized'!$E:$E, MATCH($A212, 'UZ-normalized'!$A:$A, 0))&gt;0, -(25*INDEX('UZ-normalized'!$D:$D, MATCH($A212, 'UZ-normalized'!$A:$A, 0))-INDEX('UZ-normalized'!$E:$E, MATCH($A212, 'UZ-normalized'!$A:$A, 0))), 0), 0)))</f>
        <v>0</v>
      </c>
      <c r="AN212" s="6">
        <f>MIN(0, N212+(IFERROR(IF(26*INDEX('UA-normalized'!$D:$D, MATCH($A212, 'UA-normalized'!$A:$A, 0))-INDEX('UA-normalized'!$E:$E, MATCH($A212, 'UA-normalized'!$A:$A, 0))&gt;0, -(26*INDEX('UA-normalized'!$D:$D, MATCH($A212, 'UA-normalized'!$A:$A, 0))-INDEX('UA-normalized'!$E:$E, MATCH($A212, 'UA-normalized'!$A:$A, 0))), 0), 0))+(IFERROR(IF(26*INDEX('KZ-normalized'!$D:$D, MATCH($A212, 'KZ-normalized'!$A:$A, 0))-INDEX('KZ-normalized'!$E:$E, MATCH($A212, 'KZ-normalized'!$A:$A, 0))&gt;0, -(26*INDEX('KZ-normalized'!$D:$D, MATCH($A212, 'KZ-normalized'!$A:$A, 0))-INDEX('KZ-normalized'!$E:$E, MATCH($A212, 'KZ-normalized'!$A:$A, 0))), 0), 0))+(IFERROR(IF(26*INDEX('UZ-normalized'!$D:$D, MATCH($A212, 'UZ-normalized'!$A:$A, 0))-INDEX('UZ-normalized'!$E:$E, MATCH($A212, 'UZ-normalized'!$A:$A, 0))&gt;0, -(26*INDEX('UZ-normalized'!$D:$D, MATCH($A212, 'UZ-normalized'!$A:$A, 0))-INDEX('UZ-normalized'!$E:$E, MATCH($A212, 'UZ-normalized'!$A:$A, 0))), 0), 0)))</f>
        <v>0</v>
      </c>
      <c r="AO212" s="6">
        <f>MIN(0, N212+(IFERROR(IF(27*INDEX('UA-normalized'!$D:$D, MATCH($A212, 'UA-normalized'!$A:$A, 0))-INDEX('UA-normalized'!$E:$E, MATCH($A212, 'UA-normalized'!$A:$A, 0))&gt;0, -(27*INDEX('UA-normalized'!$D:$D, MATCH($A212, 'UA-normalized'!$A:$A, 0))-INDEX('UA-normalized'!$E:$E, MATCH($A212, 'UA-normalized'!$A:$A, 0))), 0), 0))+(IFERROR(IF(27*INDEX('KZ-normalized'!$D:$D, MATCH($A212, 'KZ-normalized'!$A:$A, 0))-INDEX('KZ-normalized'!$E:$E, MATCH($A212, 'KZ-normalized'!$A:$A, 0))&gt;0, -(27*INDEX('KZ-normalized'!$D:$D, MATCH($A212, 'KZ-normalized'!$A:$A, 0))-INDEX('KZ-normalized'!$E:$E, MATCH($A212, 'KZ-normalized'!$A:$A, 0))), 0), 0))+(IFERROR(IF(27*INDEX('UZ-normalized'!$D:$D, MATCH($A212, 'UZ-normalized'!$A:$A, 0))-INDEX('UZ-normalized'!$E:$E, MATCH($A212, 'UZ-normalized'!$A:$A, 0))&gt;0, -(27*INDEX('UZ-normalized'!$D:$D, MATCH($A212, 'UZ-normalized'!$A:$A, 0))-INDEX('UZ-normalized'!$E:$E, MATCH($A212, 'UZ-normalized'!$A:$A, 0))), 0), 0)))</f>
        <v>0</v>
      </c>
      <c r="AP212" s="6">
        <f>MIN(0, N212+(IFERROR(IF(28*INDEX('UA-normalized'!$D:$D, MATCH($A212, 'UA-normalized'!$A:$A, 0))-INDEX('UA-normalized'!$E:$E, MATCH($A212, 'UA-normalized'!$A:$A, 0))&gt;0, -(28*INDEX('UA-normalized'!$D:$D, MATCH($A212, 'UA-normalized'!$A:$A, 0))-INDEX('UA-normalized'!$E:$E, MATCH($A212, 'UA-normalized'!$A:$A, 0))), 0), 0))+(IFERROR(IF(28*INDEX('KZ-normalized'!$D:$D, MATCH($A212, 'KZ-normalized'!$A:$A, 0))-INDEX('KZ-normalized'!$E:$E, MATCH($A212, 'KZ-normalized'!$A:$A, 0))&gt;0, -(28*INDEX('KZ-normalized'!$D:$D, MATCH($A212, 'KZ-normalized'!$A:$A, 0))-INDEX('KZ-normalized'!$E:$E, MATCH($A212, 'KZ-normalized'!$A:$A, 0))), 0), 0))+(IFERROR(IF(28*INDEX('UZ-normalized'!$D:$D, MATCH($A212, 'UZ-normalized'!$A:$A, 0))-INDEX('UZ-normalized'!$E:$E, MATCH($A212, 'UZ-normalized'!$A:$A, 0))&gt;0, -(28*INDEX('UZ-normalized'!$D:$D, MATCH($A212, 'UZ-normalized'!$A:$A, 0))-INDEX('UZ-normalized'!$E:$E, MATCH($A212, 'UZ-normalized'!$A:$A, 0))), 0), 0)))</f>
        <v>0</v>
      </c>
      <c r="AQ212" s="6">
        <f>MIN(0, N212+(IFERROR(IF(29*INDEX('UA-normalized'!$D:$D, MATCH($A212, 'UA-normalized'!$A:$A, 0))-INDEX('UA-normalized'!$E:$E, MATCH($A212, 'UA-normalized'!$A:$A, 0))&gt;0, -(29*INDEX('UA-normalized'!$D:$D, MATCH($A212, 'UA-normalized'!$A:$A, 0))-INDEX('UA-normalized'!$E:$E, MATCH($A212, 'UA-normalized'!$A:$A, 0))), 0), 0))+(IFERROR(IF(29*INDEX('KZ-normalized'!$D:$D, MATCH($A212, 'KZ-normalized'!$A:$A, 0))-INDEX('KZ-normalized'!$E:$E, MATCH($A212, 'KZ-normalized'!$A:$A, 0))&gt;0, -(29*INDEX('KZ-normalized'!$D:$D, MATCH($A212, 'KZ-normalized'!$A:$A, 0))-INDEX('KZ-normalized'!$E:$E, MATCH($A212, 'KZ-normalized'!$A:$A, 0))), 0), 0))+(IFERROR(IF(29*INDEX('UZ-normalized'!$D:$D, MATCH($A212, 'UZ-normalized'!$A:$A, 0))-INDEX('UZ-normalized'!$E:$E, MATCH($A212, 'UZ-normalized'!$A:$A, 0))&gt;0, -(29*INDEX('UZ-normalized'!$D:$D, MATCH($A212, 'UZ-normalized'!$A:$A, 0))-INDEX('UZ-normalized'!$E:$E, MATCH($A212, 'UZ-normalized'!$A:$A, 0))), 0), 0)))</f>
        <v>0</v>
      </c>
      <c r="AR212" s="6">
        <f>MIN(0, N212+(IFERROR(IF(30*INDEX('UA-normalized'!$D:$D, MATCH($A212, 'UA-normalized'!$A:$A, 0))-INDEX('UA-normalized'!$E:$E, MATCH($A212, 'UA-normalized'!$A:$A, 0))&gt;0, -(30*INDEX('UA-normalized'!$D:$D, MATCH($A212, 'UA-normalized'!$A:$A, 0))-INDEX('UA-normalized'!$E:$E, MATCH($A212, 'UA-normalized'!$A:$A, 0))), 0), 0))+(IFERROR(IF(30*INDEX('KZ-normalized'!$D:$D, MATCH($A212, 'KZ-normalized'!$A:$A, 0))-INDEX('KZ-normalized'!$E:$E, MATCH($A212, 'KZ-normalized'!$A:$A, 0))&gt;0, -(30*INDEX('KZ-normalized'!$D:$D, MATCH($A212, 'KZ-normalized'!$A:$A, 0))-INDEX('KZ-normalized'!$E:$E, MATCH($A212, 'KZ-normalized'!$A:$A, 0))), 0), 0))+(IFERROR(IF(30*INDEX('UZ-normalized'!$D:$D, MATCH($A212, 'UZ-normalized'!$A:$A, 0))-INDEX('UZ-normalized'!$E:$E, MATCH($A212, 'UZ-normalized'!$A:$A, 0))&gt;0, -(30*INDEX('UZ-normalized'!$D:$D, MATCH($A212, 'UZ-normalized'!$A:$A, 0))-INDEX('UZ-normalized'!$E:$E, MATCH($A212, 'UZ-normalized'!$A:$A, 0))), 0), 0)))</f>
        <v>0</v>
      </c>
    </row>
    <row r="213" spans="1:44" x14ac:dyDescent="0.25">
      <c r="A213" s="8" t="s">
        <v>507</v>
      </c>
      <c r="B213" s="8" t="s">
        <v>492</v>
      </c>
      <c r="C213" s="8" t="s">
        <v>493</v>
      </c>
      <c r="D213" s="8" t="s">
        <v>508</v>
      </c>
      <c r="N213">
        <f t="shared" si="3"/>
        <v>0</v>
      </c>
      <c r="O213" s="6">
        <f>MIN(0, N213+(IFERROR(IF(1*INDEX('UA-normalized'!$D:$D, MATCH($A213, 'UA-normalized'!$A:$A, 0))-INDEX('UA-normalized'!$E:$E, MATCH($A213, 'UA-normalized'!$A:$A, 0))&gt;0, -(1*INDEX('UA-normalized'!$D:$D, MATCH($A213, 'UA-normalized'!$A:$A, 0))-INDEX('UA-normalized'!$E:$E, MATCH($A213, 'UA-normalized'!$A:$A, 0))), 0), 0))+(IFERROR(IF(1*INDEX('KZ-normalized'!$D:$D, MATCH($A213, 'KZ-normalized'!$A:$A, 0))-INDEX('KZ-normalized'!$E:$E, MATCH($A213, 'KZ-normalized'!$A:$A, 0))&gt;0, -(1*INDEX('KZ-normalized'!$D:$D, MATCH($A213, 'KZ-normalized'!$A:$A, 0))-INDEX('KZ-normalized'!$E:$E, MATCH($A213, 'KZ-normalized'!$A:$A, 0))), 0), 0))+(IFERROR(IF(1*INDEX('UZ-normalized'!$D:$D, MATCH($A213, 'UZ-normalized'!$A:$A, 0))-INDEX('UZ-normalized'!$E:$E, MATCH($A213, 'UZ-normalized'!$A:$A, 0))&gt;0, -(1*INDEX('UZ-normalized'!$D:$D, MATCH($A213, 'UZ-normalized'!$A:$A, 0))-INDEX('UZ-normalized'!$E:$E, MATCH($A213, 'UZ-normalized'!$A:$A, 0))), 0), 0)))</f>
        <v>0</v>
      </c>
      <c r="P213" s="6">
        <f>MIN(0, N213+(IFERROR(IF(2*INDEX('UA-normalized'!$D:$D, MATCH($A213, 'UA-normalized'!$A:$A, 0))-INDEX('UA-normalized'!$E:$E, MATCH($A213, 'UA-normalized'!$A:$A, 0))&gt;0, -(2*INDEX('UA-normalized'!$D:$D, MATCH($A213, 'UA-normalized'!$A:$A, 0))-INDEX('UA-normalized'!$E:$E, MATCH($A213, 'UA-normalized'!$A:$A, 0))), 0), 0))+(IFERROR(IF(2*INDEX('KZ-normalized'!$D:$D, MATCH($A213, 'KZ-normalized'!$A:$A, 0))-INDEX('KZ-normalized'!$E:$E, MATCH($A213, 'KZ-normalized'!$A:$A, 0))&gt;0, -(2*INDEX('KZ-normalized'!$D:$D, MATCH($A213, 'KZ-normalized'!$A:$A, 0))-INDEX('KZ-normalized'!$E:$E, MATCH($A213, 'KZ-normalized'!$A:$A, 0))), 0), 0))+(IFERROR(IF(2*INDEX('UZ-normalized'!$D:$D, MATCH($A213, 'UZ-normalized'!$A:$A, 0))-INDEX('UZ-normalized'!$E:$E, MATCH($A213, 'UZ-normalized'!$A:$A, 0))&gt;0, -(2*INDEX('UZ-normalized'!$D:$D, MATCH($A213, 'UZ-normalized'!$A:$A, 0))-INDEX('UZ-normalized'!$E:$E, MATCH($A213, 'UZ-normalized'!$A:$A, 0))), 0), 0)))</f>
        <v>0</v>
      </c>
      <c r="Q213" s="6">
        <f>MIN(0, N213+(IFERROR(IF(3*INDEX('UA-normalized'!$D:$D, MATCH($A213, 'UA-normalized'!$A:$A, 0))-INDEX('UA-normalized'!$E:$E, MATCH($A213, 'UA-normalized'!$A:$A, 0))&gt;0, -(3*INDEX('UA-normalized'!$D:$D, MATCH($A213, 'UA-normalized'!$A:$A, 0))-INDEX('UA-normalized'!$E:$E, MATCH($A213, 'UA-normalized'!$A:$A, 0))), 0), 0))+(IFERROR(IF(3*INDEX('KZ-normalized'!$D:$D, MATCH($A213, 'KZ-normalized'!$A:$A, 0))-INDEX('KZ-normalized'!$E:$E, MATCH($A213, 'KZ-normalized'!$A:$A, 0))&gt;0, -(3*INDEX('KZ-normalized'!$D:$D, MATCH($A213, 'KZ-normalized'!$A:$A, 0))-INDEX('KZ-normalized'!$E:$E, MATCH($A213, 'KZ-normalized'!$A:$A, 0))), 0), 0))+(IFERROR(IF(3*INDEX('UZ-normalized'!$D:$D, MATCH($A213, 'UZ-normalized'!$A:$A, 0))-INDEX('UZ-normalized'!$E:$E, MATCH($A213, 'UZ-normalized'!$A:$A, 0))&gt;0, -(3*INDEX('UZ-normalized'!$D:$D, MATCH($A213, 'UZ-normalized'!$A:$A, 0))-INDEX('UZ-normalized'!$E:$E, MATCH($A213, 'UZ-normalized'!$A:$A, 0))), 0), 0)))</f>
        <v>0</v>
      </c>
      <c r="R213" s="6">
        <f>MIN(0, N213+(IFERROR(IF(4*INDEX('UA-normalized'!$D:$D, MATCH($A213, 'UA-normalized'!$A:$A, 0))-INDEX('UA-normalized'!$E:$E, MATCH($A213, 'UA-normalized'!$A:$A, 0))&gt;0, -(4*INDEX('UA-normalized'!$D:$D, MATCH($A213, 'UA-normalized'!$A:$A, 0))-INDEX('UA-normalized'!$E:$E, MATCH($A213, 'UA-normalized'!$A:$A, 0))), 0), 0))+(IFERROR(IF(4*INDEX('KZ-normalized'!$D:$D, MATCH($A213, 'KZ-normalized'!$A:$A, 0))-INDEX('KZ-normalized'!$E:$E, MATCH($A213, 'KZ-normalized'!$A:$A, 0))&gt;0, -(4*INDEX('KZ-normalized'!$D:$D, MATCH($A213, 'KZ-normalized'!$A:$A, 0))-INDEX('KZ-normalized'!$E:$E, MATCH($A213, 'KZ-normalized'!$A:$A, 0))), 0), 0))+(IFERROR(IF(4*INDEX('UZ-normalized'!$D:$D, MATCH($A213, 'UZ-normalized'!$A:$A, 0))-INDEX('UZ-normalized'!$E:$E, MATCH($A213, 'UZ-normalized'!$A:$A, 0))&gt;0, -(4*INDEX('UZ-normalized'!$D:$D, MATCH($A213, 'UZ-normalized'!$A:$A, 0))-INDEX('UZ-normalized'!$E:$E, MATCH($A213, 'UZ-normalized'!$A:$A, 0))), 0), 0)))</f>
        <v>0</v>
      </c>
      <c r="S213" s="6">
        <f>MIN(0, N213+(IFERROR(IF(5*INDEX('UA-normalized'!$D:$D, MATCH($A213, 'UA-normalized'!$A:$A, 0))-INDEX('UA-normalized'!$E:$E, MATCH($A213, 'UA-normalized'!$A:$A, 0))&gt;0, -(5*INDEX('UA-normalized'!$D:$D, MATCH($A213, 'UA-normalized'!$A:$A, 0))-INDEX('UA-normalized'!$E:$E, MATCH($A213, 'UA-normalized'!$A:$A, 0))), 0), 0))+(IFERROR(IF(5*INDEX('KZ-normalized'!$D:$D, MATCH($A213, 'KZ-normalized'!$A:$A, 0))-INDEX('KZ-normalized'!$E:$E, MATCH($A213, 'KZ-normalized'!$A:$A, 0))&gt;0, -(5*INDEX('KZ-normalized'!$D:$D, MATCH($A213, 'KZ-normalized'!$A:$A, 0))-INDEX('KZ-normalized'!$E:$E, MATCH($A213, 'KZ-normalized'!$A:$A, 0))), 0), 0))+(IFERROR(IF(5*INDEX('UZ-normalized'!$D:$D, MATCH($A213, 'UZ-normalized'!$A:$A, 0))-INDEX('UZ-normalized'!$E:$E, MATCH($A213, 'UZ-normalized'!$A:$A, 0))&gt;0, -(5*INDEX('UZ-normalized'!$D:$D, MATCH($A213, 'UZ-normalized'!$A:$A, 0))-INDEX('UZ-normalized'!$E:$E, MATCH($A213, 'UZ-normalized'!$A:$A, 0))), 0), 0)))</f>
        <v>0</v>
      </c>
      <c r="T213" s="6">
        <f>MIN(0, N213+(IFERROR(IF(6*INDEX('UA-normalized'!$D:$D, MATCH($A213, 'UA-normalized'!$A:$A, 0))-INDEX('UA-normalized'!$E:$E, MATCH($A213, 'UA-normalized'!$A:$A, 0))&gt;0, -(6*INDEX('UA-normalized'!$D:$D, MATCH($A213, 'UA-normalized'!$A:$A, 0))-INDEX('UA-normalized'!$E:$E, MATCH($A213, 'UA-normalized'!$A:$A, 0))), 0), 0))+(IFERROR(IF(6*INDEX('KZ-normalized'!$D:$D, MATCH($A213, 'KZ-normalized'!$A:$A, 0))-INDEX('KZ-normalized'!$E:$E, MATCH($A213, 'KZ-normalized'!$A:$A, 0))&gt;0, -(6*INDEX('KZ-normalized'!$D:$D, MATCH($A213, 'KZ-normalized'!$A:$A, 0))-INDEX('KZ-normalized'!$E:$E, MATCH($A213, 'KZ-normalized'!$A:$A, 0))), 0), 0))+(IFERROR(IF(6*INDEX('UZ-normalized'!$D:$D, MATCH($A213, 'UZ-normalized'!$A:$A, 0))-INDEX('UZ-normalized'!$E:$E, MATCH($A213, 'UZ-normalized'!$A:$A, 0))&gt;0, -(6*INDEX('UZ-normalized'!$D:$D, MATCH($A213, 'UZ-normalized'!$A:$A, 0))-INDEX('UZ-normalized'!$E:$E, MATCH($A213, 'UZ-normalized'!$A:$A, 0))), 0), 0)))</f>
        <v>0</v>
      </c>
      <c r="U213" s="6">
        <f>MIN(0, N213+(IFERROR(IF(7*INDEX('UA-normalized'!$D:$D, MATCH($A213, 'UA-normalized'!$A:$A, 0))-INDEX('UA-normalized'!$E:$E, MATCH($A213, 'UA-normalized'!$A:$A, 0))&gt;0, -(7*INDEX('UA-normalized'!$D:$D, MATCH($A213, 'UA-normalized'!$A:$A, 0))-INDEX('UA-normalized'!$E:$E, MATCH($A213, 'UA-normalized'!$A:$A, 0))), 0), 0))+(IFERROR(IF(7*INDEX('KZ-normalized'!$D:$D, MATCH($A213, 'KZ-normalized'!$A:$A, 0))-INDEX('KZ-normalized'!$E:$E, MATCH($A213, 'KZ-normalized'!$A:$A, 0))&gt;0, -(7*INDEX('KZ-normalized'!$D:$D, MATCH($A213, 'KZ-normalized'!$A:$A, 0))-INDEX('KZ-normalized'!$E:$E, MATCH($A213, 'KZ-normalized'!$A:$A, 0))), 0), 0))+(IFERROR(IF(7*INDEX('UZ-normalized'!$D:$D, MATCH($A213, 'UZ-normalized'!$A:$A, 0))-INDEX('UZ-normalized'!$E:$E, MATCH($A213, 'UZ-normalized'!$A:$A, 0))&gt;0, -(7*INDEX('UZ-normalized'!$D:$D, MATCH($A213, 'UZ-normalized'!$A:$A, 0))-INDEX('UZ-normalized'!$E:$E, MATCH($A213, 'UZ-normalized'!$A:$A, 0))), 0), 0)))</f>
        <v>0</v>
      </c>
      <c r="V213" s="6">
        <f>MIN(0, N213+(IFERROR(IF(8*INDEX('UA-normalized'!$D:$D, MATCH($A213, 'UA-normalized'!$A:$A, 0))-INDEX('UA-normalized'!$E:$E, MATCH($A213, 'UA-normalized'!$A:$A, 0))&gt;0, -(8*INDEX('UA-normalized'!$D:$D, MATCH($A213, 'UA-normalized'!$A:$A, 0))-INDEX('UA-normalized'!$E:$E, MATCH($A213, 'UA-normalized'!$A:$A, 0))), 0), 0))+(IFERROR(IF(8*INDEX('KZ-normalized'!$D:$D, MATCH($A213, 'KZ-normalized'!$A:$A, 0))-INDEX('KZ-normalized'!$E:$E, MATCH($A213, 'KZ-normalized'!$A:$A, 0))&gt;0, -(8*INDEX('KZ-normalized'!$D:$D, MATCH($A213, 'KZ-normalized'!$A:$A, 0))-INDEX('KZ-normalized'!$E:$E, MATCH($A213, 'KZ-normalized'!$A:$A, 0))), 0), 0))+(IFERROR(IF(8*INDEX('UZ-normalized'!$D:$D, MATCH($A213, 'UZ-normalized'!$A:$A, 0))-INDEX('UZ-normalized'!$E:$E, MATCH($A213, 'UZ-normalized'!$A:$A, 0))&gt;0, -(8*INDEX('UZ-normalized'!$D:$D, MATCH($A213, 'UZ-normalized'!$A:$A, 0))-INDEX('UZ-normalized'!$E:$E, MATCH($A213, 'UZ-normalized'!$A:$A, 0))), 0), 0)))</f>
        <v>0</v>
      </c>
      <c r="W213" s="6">
        <f>MIN(0, N213+(IFERROR(IF(9*INDEX('UA-normalized'!$D:$D, MATCH($A213, 'UA-normalized'!$A:$A, 0))-INDEX('UA-normalized'!$E:$E, MATCH($A213, 'UA-normalized'!$A:$A, 0))&gt;0, -(9*INDEX('UA-normalized'!$D:$D, MATCH($A213, 'UA-normalized'!$A:$A, 0))-INDEX('UA-normalized'!$E:$E, MATCH($A213, 'UA-normalized'!$A:$A, 0))), 0), 0))+(IFERROR(IF(9*INDEX('KZ-normalized'!$D:$D, MATCH($A213, 'KZ-normalized'!$A:$A, 0))-INDEX('KZ-normalized'!$E:$E, MATCH($A213, 'KZ-normalized'!$A:$A, 0))&gt;0, -(9*INDEX('KZ-normalized'!$D:$D, MATCH($A213, 'KZ-normalized'!$A:$A, 0))-INDEX('KZ-normalized'!$E:$E, MATCH($A213, 'KZ-normalized'!$A:$A, 0))), 0), 0))+(IFERROR(IF(9*INDEX('UZ-normalized'!$D:$D, MATCH($A213, 'UZ-normalized'!$A:$A, 0))-INDEX('UZ-normalized'!$E:$E, MATCH($A213, 'UZ-normalized'!$A:$A, 0))&gt;0, -(9*INDEX('UZ-normalized'!$D:$D, MATCH($A213, 'UZ-normalized'!$A:$A, 0))-INDEX('UZ-normalized'!$E:$E, MATCH($A213, 'UZ-normalized'!$A:$A, 0))), 0), 0)))</f>
        <v>0</v>
      </c>
      <c r="X213" s="6">
        <f>MIN(0, N213+(IFERROR(IF(10*INDEX('UA-normalized'!$D:$D, MATCH($A213, 'UA-normalized'!$A:$A, 0))-INDEX('UA-normalized'!$E:$E, MATCH($A213, 'UA-normalized'!$A:$A, 0))&gt;0, -(10*INDEX('UA-normalized'!$D:$D, MATCH($A213, 'UA-normalized'!$A:$A, 0))-INDEX('UA-normalized'!$E:$E, MATCH($A213, 'UA-normalized'!$A:$A, 0))), 0), 0))+(IFERROR(IF(10*INDEX('KZ-normalized'!$D:$D, MATCH($A213, 'KZ-normalized'!$A:$A, 0))-INDEX('KZ-normalized'!$E:$E, MATCH($A213, 'KZ-normalized'!$A:$A, 0))&gt;0, -(10*INDEX('KZ-normalized'!$D:$D, MATCH($A213, 'KZ-normalized'!$A:$A, 0))-INDEX('KZ-normalized'!$E:$E, MATCH($A213, 'KZ-normalized'!$A:$A, 0))), 0), 0))+(IFERROR(IF(10*INDEX('UZ-normalized'!$D:$D, MATCH($A213, 'UZ-normalized'!$A:$A, 0))-INDEX('UZ-normalized'!$E:$E, MATCH($A213, 'UZ-normalized'!$A:$A, 0))&gt;0, -(10*INDEX('UZ-normalized'!$D:$D, MATCH($A213, 'UZ-normalized'!$A:$A, 0))-INDEX('UZ-normalized'!$E:$E, MATCH($A213, 'UZ-normalized'!$A:$A, 0))), 0), 0)))</f>
        <v>0</v>
      </c>
      <c r="Y213" s="6">
        <f>MIN(0, N213+(IFERROR(IF(11*INDEX('UA-normalized'!$D:$D, MATCH($A213, 'UA-normalized'!$A:$A, 0))-INDEX('UA-normalized'!$E:$E, MATCH($A213, 'UA-normalized'!$A:$A, 0))&gt;0, -(11*INDEX('UA-normalized'!$D:$D, MATCH($A213, 'UA-normalized'!$A:$A, 0))-INDEX('UA-normalized'!$E:$E, MATCH($A213, 'UA-normalized'!$A:$A, 0))), 0), 0))+(IFERROR(IF(11*INDEX('KZ-normalized'!$D:$D, MATCH($A213, 'KZ-normalized'!$A:$A, 0))-INDEX('KZ-normalized'!$E:$E, MATCH($A213, 'KZ-normalized'!$A:$A, 0))&gt;0, -(11*INDEX('KZ-normalized'!$D:$D, MATCH($A213, 'KZ-normalized'!$A:$A, 0))-INDEX('KZ-normalized'!$E:$E, MATCH($A213, 'KZ-normalized'!$A:$A, 0))), 0), 0))+(IFERROR(IF(11*INDEX('UZ-normalized'!$D:$D, MATCH($A213, 'UZ-normalized'!$A:$A, 0))-INDEX('UZ-normalized'!$E:$E, MATCH($A213, 'UZ-normalized'!$A:$A, 0))&gt;0, -(11*INDEX('UZ-normalized'!$D:$D, MATCH($A213, 'UZ-normalized'!$A:$A, 0))-INDEX('UZ-normalized'!$E:$E, MATCH($A213, 'UZ-normalized'!$A:$A, 0))), 0), 0)))</f>
        <v>0</v>
      </c>
      <c r="Z213" s="6">
        <f>MIN(0, N213+(IFERROR(IF(12*INDEX('UA-normalized'!$D:$D, MATCH($A213, 'UA-normalized'!$A:$A, 0))-INDEX('UA-normalized'!$E:$E, MATCH($A213, 'UA-normalized'!$A:$A, 0))&gt;0, -(12*INDEX('UA-normalized'!$D:$D, MATCH($A213, 'UA-normalized'!$A:$A, 0))-INDEX('UA-normalized'!$E:$E, MATCH($A213, 'UA-normalized'!$A:$A, 0))), 0), 0))+(IFERROR(IF(12*INDEX('KZ-normalized'!$D:$D, MATCH($A213, 'KZ-normalized'!$A:$A, 0))-INDEX('KZ-normalized'!$E:$E, MATCH($A213, 'KZ-normalized'!$A:$A, 0))&gt;0, -(12*INDEX('KZ-normalized'!$D:$D, MATCH($A213, 'KZ-normalized'!$A:$A, 0))-INDEX('KZ-normalized'!$E:$E, MATCH($A213, 'KZ-normalized'!$A:$A, 0))), 0), 0))+(IFERROR(IF(12*INDEX('UZ-normalized'!$D:$D, MATCH($A213, 'UZ-normalized'!$A:$A, 0))-INDEX('UZ-normalized'!$E:$E, MATCH($A213, 'UZ-normalized'!$A:$A, 0))&gt;0, -(12*INDEX('UZ-normalized'!$D:$D, MATCH($A213, 'UZ-normalized'!$A:$A, 0))-INDEX('UZ-normalized'!$E:$E, MATCH($A213, 'UZ-normalized'!$A:$A, 0))), 0), 0)))</f>
        <v>0</v>
      </c>
      <c r="AA213" s="6">
        <f>MIN(0, N213+(IFERROR(IF(13*INDEX('UA-normalized'!$D:$D, MATCH($A213, 'UA-normalized'!$A:$A, 0))-INDEX('UA-normalized'!$E:$E, MATCH($A213, 'UA-normalized'!$A:$A, 0))&gt;0, -(13*INDEX('UA-normalized'!$D:$D, MATCH($A213, 'UA-normalized'!$A:$A, 0))-INDEX('UA-normalized'!$E:$E, MATCH($A213, 'UA-normalized'!$A:$A, 0))), 0), 0))+(IFERROR(IF(13*INDEX('KZ-normalized'!$D:$D, MATCH($A213, 'KZ-normalized'!$A:$A, 0))-INDEX('KZ-normalized'!$E:$E, MATCH($A213, 'KZ-normalized'!$A:$A, 0))&gt;0, -(13*INDEX('KZ-normalized'!$D:$D, MATCH($A213, 'KZ-normalized'!$A:$A, 0))-INDEX('KZ-normalized'!$E:$E, MATCH($A213, 'KZ-normalized'!$A:$A, 0))), 0), 0))+(IFERROR(IF(13*INDEX('UZ-normalized'!$D:$D, MATCH($A213, 'UZ-normalized'!$A:$A, 0))-INDEX('UZ-normalized'!$E:$E, MATCH($A213, 'UZ-normalized'!$A:$A, 0))&gt;0, -(13*INDEX('UZ-normalized'!$D:$D, MATCH($A213, 'UZ-normalized'!$A:$A, 0))-INDEX('UZ-normalized'!$E:$E, MATCH($A213, 'UZ-normalized'!$A:$A, 0))), 0), 0)))</f>
        <v>0</v>
      </c>
      <c r="AB213" s="6">
        <f>MIN(0, N213+(IFERROR(IF(14*INDEX('UA-normalized'!$D:$D, MATCH($A213, 'UA-normalized'!$A:$A, 0))-INDEX('UA-normalized'!$E:$E, MATCH($A213, 'UA-normalized'!$A:$A, 0))&gt;0, -(14*INDEX('UA-normalized'!$D:$D, MATCH($A213, 'UA-normalized'!$A:$A, 0))-INDEX('UA-normalized'!$E:$E, MATCH($A213, 'UA-normalized'!$A:$A, 0))), 0), 0))+(IFERROR(IF(14*INDEX('KZ-normalized'!$D:$D, MATCH($A213, 'KZ-normalized'!$A:$A, 0))-INDEX('KZ-normalized'!$E:$E, MATCH($A213, 'KZ-normalized'!$A:$A, 0))&gt;0, -(14*INDEX('KZ-normalized'!$D:$D, MATCH($A213, 'KZ-normalized'!$A:$A, 0))-INDEX('KZ-normalized'!$E:$E, MATCH($A213, 'KZ-normalized'!$A:$A, 0))), 0), 0))+(IFERROR(IF(14*INDEX('UZ-normalized'!$D:$D, MATCH($A213, 'UZ-normalized'!$A:$A, 0))-INDEX('UZ-normalized'!$E:$E, MATCH($A213, 'UZ-normalized'!$A:$A, 0))&gt;0, -(14*INDEX('UZ-normalized'!$D:$D, MATCH($A213, 'UZ-normalized'!$A:$A, 0))-INDEX('UZ-normalized'!$E:$E, MATCH($A213, 'UZ-normalized'!$A:$A, 0))), 0), 0)))</f>
        <v>0</v>
      </c>
      <c r="AC213" s="6">
        <f>MIN(0, N213+(IFERROR(IF(15*INDEX('UA-normalized'!$D:$D, MATCH($A213, 'UA-normalized'!$A:$A, 0))-INDEX('UA-normalized'!$E:$E, MATCH($A213, 'UA-normalized'!$A:$A, 0))&gt;0, -(15*INDEX('UA-normalized'!$D:$D, MATCH($A213, 'UA-normalized'!$A:$A, 0))-INDEX('UA-normalized'!$E:$E, MATCH($A213, 'UA-normalized'!$A:$A, 0))), 0), 0))+(IFERROR(IF(15*INDEX('KZ-normalized'!$D:$D, MATCH($A213, 'KZ-normalized'!$A:$A, 0))-INDEX('KZ-normalized'!$E:$E, MATCH($A213, 'KZ-normalized'!$A:$A, 0))&gt;0, -(15*INDEX('KZ-normalized'!$D:$D, MATCH($A213, 'KZ-normalized'!$A:$A, 0))-INDEX('KZ-normalized'!$E:$E, MATCH($A213, 'KZ-normalized'!$A:$A, 0))), 0), 0))+(IFERROR(IF(15*INDEX('UZ-normalized'!$D:$D, MATCH($A213, 'UZ-normalized'!$A:$A, 0))-INDEX('UZ-normalized'!$E:$E, MATCH($A213, 'UZ-normalized'!$A:$A, 0))&gt;0, -(15*INDEX('UZ-normalized'!$D:$D, MATCH($A213, 'UZ-normalized'!$A:$A, 0))-INDEX('UZ-normalized'!$E:$E, MATCH($A213, 'UZ-normalized'!$A:$A, 0))), 0), 0)))</f>
        <v>0</v>
      </c>
      <c r="AD213" s="6">
        <f>MIN(0, N213+(IFERROR(IF(16*INDEX('UA-normalized'!$D:$D, MATCH($A213, 'UA-normalized'!$A:$A, 0))-INDEX('UA-normalized'!$E:$E, MATCH($A213, 'UA-normalized'!$A:$A, 0))&gt;0, -(16*INDEX('UA-normalized'!$D:$D, MATCH($A213, 'UA-normalized'!$A:$A, 0))-INDEX('UA-normalized'!$E:$E, MATCH($A213, 'UA-normalized'!$A:$A, 0))), 0), 0))+(IFERROR(IF(16*INDEX('KZ-normalized'!$D:$D, MATCH($A213, 'KZ-normalized'!$A:$A, 0))-INDEX('KZ-normalized'!$E:$E, MATCH($A213, 'KZ-normalized'!$A:$A, 0))&gt;0, -(16*INDEX('KZ-normalized'!$D:$D, MATCH($A213, 'KZ-normalized'!$A:$A, 0))-INDEX('KZ-normalized'!$E:$E, MATCH($A213, 'KZ-normalized'!$A:$A, 0))), 0), 0))+(IFERROR(IF(16*INDEX('UZ-normalized'!$D:$D, MATCH($A213, 'UZ-normalized'!$A:$A, 0))-INDEX('UZ-normalized'!$E:$E, MATCH($A213, 'UZ-normalized'!$A:$A, 0))&gt;0, -(16*INDEX('UZ-normalized'!$D:$D, MATCH($A213, 'UZ-normalized'!$A:$A, 0))-INDEX('UZ-normalized'!$E:$E, MATCH($A213, 'UZ-normalized'!$A:$A, 0))), 0), 0)))</f>
        <v>0</v>
      </c>
      <c r="AE213" s="6">
        <f>MIN(0, N213+(IFERROR(IF(17*INDEX('UA-normalized'!$D:$D, MATCH($A213, 'UA-normalized'!$A:$A, 0))-INDEX('UA-normalized'!$E:$E, MATCH($A213, 'UA-normalized'!$A:$A, 0))&gt;0, -(17*INDEX('UA-normalized'!$D:$D, MATCH($A213, 'UA-normalized'!$A:$A, 0))-INDEX('UA-normalized'!$E:$E, MATCH($A213, 'UA-normalized'!$A:$A, 0))), 0), 0))+(IFERROR(IF(17*INDEX('KZ-normalized'!$D:$D, MATCH($A213, 'KZ-normalized'!$A:$A, 0))-INDEX('KZ-normalized'!$E:$E, MATCH($A213, 'KZ-normalized'!$A:$A, 0))&gt;0, -(17*INDEX('KZ-normalized'!$D:$D, MATCH($A213, 'KZ-normalized'!$A:$A, 0))-INDEX('KZ-normalized'!$E:$E, MATCH($A213, 'KZ-normalized'!$A:$A, 0))), 0), 0))+(IFERROR(IF(17*INDEX('UZ-normalized'!$D:$D, MATCH($A213, 'UZ-normalized'!$A:$A, 0))-INDEX('UZ-normalized'!$E:$E, MATCH($A213, 'UZ-normalized'!$A:$A, 0))&gt;0, -(17*INDEX('UZ-normalized'!$D:$D, MATCH($A213, 'UZ-normalized'!$A:$A, 0))-INDEX('UZ-normalized'!$E:$E, MATCH($A213, 'UZ-normalized'!$A:$A, 0))), 0), 0)))</f>
        <v>0</v>
      </c>
      <c r="AF213" s="6">
        <f>MIN(0, N213+(IFERROR(IF(18*INDEX('UA-normalized'!$D:$D, MATCH($A213, 'UA-normalized'!$A:$A, 0))-INDEX('UA-normalized'!$E:$E, MATCH($A213, 'UA-normalized'!$A:$A, 0))&gt;0, -(18*INDEX('UA-normalized'!$D:$D, MATCH($A213, 'UA-normalized'!$A:$A, 0))-INDEX('UA-normalized'!$E:$E, MATCH($A213, 'UA-normalized'!$A:$A, 0))), 0), 0))+(IFERROR(IF(18*INDEX('KZ-normalized'!$D:$D, MATCH($A213, 'KZ-normalized'!$A:$A, 0))-INDEX('KZ-normalized'!$E:$E, MATCH($A213, 'KZ-normalized'!$A:$A, 0))&gt;0, -(18*INDEX('KZ-normalized'!$D:$D, MATCH($A213, 'KZ-normalized'!$A:$A, 0))-INDEX('KZ-normalized'!$E:$E, MATCH($A213, 'KZ-normalized'!$A:$A, 0))), 0), 0))+(IFERROR(IF(18*INDEX('UZ-normalized'!$D:$D, MATCH($A213, 'UZ-normalized'!$A:$A, 0))-INDEX('UZ-normalized'!$E:$E, MATCH($A213, 'UZ-normalized'!$A:$A, 0))&gt;0, -(18*INDEX('UZ-normalized'!$D:$D, MATCH($A213, 'UZ-normalized'!$A:$A, 0))-INDEX('UZ-normalized'!$E:$E, MATCH($A213, 'UZ-normalized'!$A:$A, 0))), 0), 0)))</f>
        <v>0</v>
      </c>
      <c r="AG213" s="6">
        <f>MIN(0, N213+(IFERROR(IF(19*INDEX('UA-normalized'!$D:$D, MATCH($A213, 'UA-normalized'!$A:$A, 0))-INDEX('UA-normalized'!$E:$E, MATCH($A213, 'UA-normalized'!$A:$A, 0))&gt;0, -(19*INDEX('UA-normalized'!$D:$D, MATCH($A213, 'UA-normalized'!$A:$A, 0))-INDEX('UA-normalized'!$E:$E, MATCH($A213, 'UA-normalized'!$A:$A, 0))), 0), 0))+(IFERROR(IF(19*INDEX('KZ-normalized'!$D:$D, MATCH($A213, 'KZ-normalized'!$A:$A, 0))-INDEX('KZ-normalized'!$E:$E, MATCH($A213, 'KZ-normalized'!$A:$A, 0))&gt;0, -(19*INDEX('KZ-normalized'!$D:$D, MATCH($A213, 'KZ-normalized'!$A:$A, 0))-INDEX('KZ-normalized'!$E:$E, MATCH($A213, 'KZ-normalized'!$A:$A, 0))), 0), 0))+(IFERROR(IF(19*INDEX('UZ-normalized'!$D:$D, MATCH($A213, 'UZ-normalized'!$A:$A, 0))-INDEX('UZ-normalized'!$E:$E, MATCH($A213, 'UZ-normalized'!$A:$A, 0))&gt;0, -(19*INDEX('UZ-normalized'!$D:$D, MATCH($A213, 'UZ-normalized'!$A:$A, 0))-INDEX('UZ-normalized'!$E:$E, MATCH($A213, 'UZ-normalized'!$A:$A, 0))), 0), 0)))</f>
        <v>0</v>
      </c>
      <c r="AH213" s="6">
        <f>MIN(0, N213+(IFERROR(IF(20*INDEX('UA-normalized'!$D:$D, MATCH($A213, 'UA-normalized'!$A:$A, 0))-INDEX('UA-normalized'!$E:$E, MATCH($A213, 'UA-normalized'!$A:$A, 0))&gt;0, -(20*INDEX('UA-normalized'!$D:$D, MATCH($A213, 'UA-normalized'!$A:$A, 0))-INDEX('UA-normalized'!$E:$E, MATCH($A213, 'UA-normalized'!$A:$A, 0))), 0), 0))+(IFERROR(IF(20*INDEX('KZ-normalized'!$D:$D, MATCH($A213, 'KZ-normalized'!$A:$A, 0))-INDEX('KZ-normalized'!$E:$E, MATCH($A213, 'KZ-normalized'!$A:$A, 0))&gt;0, -(20*INDEX('KZ-normalized'!$D:$D, MATCH($A213, 'KZ-normalized'!$A:$A, 0))-INDEX('KZ-normalized'!$E:$E, MATCH($A213, 'KZ-normalized'!$A:$A, 0))), 0), 0))+(IFERROR(IF(20*INDEX('UZ-normalized'!$D:$D, MATCH($A213, 'UZ-normalized'!$A:$A, 0))-INDEX('UZ-normalized'!$E:$E, MATCH($A213, 'UZ-normalized'!$A:$A, 0))&gt;0, -(20*INDEX('UZ-normalized'!$D:$D, MATCH($A213, 'UZ-normalized'!$A:$A, 0))-INDEX('UZ-normalized'!$E:$E, MATCH($A213, 'UZ-normalized'!$A:$A, 0))), 0), 0)))</f>
        <v>0</v>
      </c>
      <c r="AI213" s="6">
        <f>MIN(0, N213+(IFERROR(IF(21*INDEX('UA-normalized'!$D:$D, MATCH($A213, 'UA-normalized'!$A:$A, 0))-INDEX('UA-normalized'!$E:$E, MATCH($A213, 'UA-normalized'!$A:$A, 0))&gt;0, -(21*INDEX('UA-normalized'!$D:$D, MATCH($A213, 'UA-normalized'!$A:$A, 0))-INDEX('UA-normalized'!$E:$E, MATCH($A213, 'UA-normalized'!$A:$A, 0))), 0), 0))+(IFERROR(IF(21*INDEX('KZ-normalized'!$D:$D, MATCH($A213, 'KZ-normalized'!$A:$A, 0))-INDEX('KZ-normalized'!$E:$E, MATCH($A213, 'KZ-normalized'!$A:$A, 0))&gt;0, -(21*INDEX('KZ-normalized'!$D:$D, MATCH($A213, 'KZ-normalized'!$A:$A, 0))-INDEX('KZ-normalized'!$E:$E, MATCH($A213, 'KZ-normalized'!$A:$A, 0))), 0), 0))+(IFERROR(IF(21*INDEX('UZ-normalized'!$D:$D, MATCH($A213, 'UZ-normalized'!$A:$A, 0))-INDEX('UZ-normalized'!$E:$E, MATCH($A213, 'UZ-normalized'!$A:$A, 0))&gt;0, -(21*INDEX('UZ-normalized'!$D:$D, MATCH($A213, 'UZ-normalized'!$A:$A, 0))-INDEX('UZ-normalized'!$E:$E, MATCH($A213, 'UZ-normalized'!$A:$A, 0))), 0), 0)))</f>
        <v>0</v>
      </c>
      <c r="AJ213" s="6">
        <f>MIN(0, N213+(IFERROR(IF(22*INDEX('UA-normalized'!$D:$D, MATCH($A213, 'UA-normalized'!$A:$A, 0))-INDEX('UA-normalized'!$E:$E, MATCH($A213, 'UA-normalized'!$A:$A, 0))&gt;0, -(22*INDEX('UA-normalized'!$D:$D, MATCH($A213, 'UA-normalized'!$A:$A, 0))-INDEX('UA-normalized'!$E:$E, MATCH($A213, 'UA-normalized'!$A:$A, 0))), 0), 0))+(IFERROR(IF(22*INDEX('KZ-normalized'!$D:$D, MATCH($A213, 'KZ-normalized'!$A:$A, 0))-INDEX('KZ-normalized'!$E:$E, MATCH($A213, 'KZ-normalized'!$A:$A, 0))&gt;0, -(22*INDEX('KZ-normalized'!$D:$D, MATCH($A213, 'KZ-normalized'!$A:$A, 0))-INDEX('KZ-normalized'!$E:$E, MATCH($A213, 'KZ-normalized'!$A:$A, 0))), 0), 0))+(IFERROR(IF(22*INDEX('UZ-normalized'!$D:$D, MATCH($A213, 'UZ-normalized'!$A:$A, 0))-INDEX('UZ-normalized'!$E:$E, MATCH($A213, 'UZ-normalized'!$A:$A, 0))&gt;0, -(22*INDEX('UZ-normalized'!$D:$D, MATCH($A213, 'UZ-normalized'!$A:$A, 0))-INDEX('UZ-normalized'!$E:$E, MATCH($A213, 'UZ-normalized'!$A:$A, 0))), 0), 0)))</f>
        <v>0</v>
      </c>
      <c r="AK213" s="6">
        <f>MIN(0, N213+(IFERROR(IF(23*INDEX('UA-normalized'!$D:$D, MATCH($A213, 'UA-normalized'!$A:$A, 0))-INDEX('UA-normalized'!$E:$E, MATCH($A213, 'UA-normalized'!$A:$A, 0))&gt;0, -(23*INDEX('UA-normalized'!$D:$D, MATCH($A213, 'UA-normalized'!$A:$A, 0))-INDEX('UA-normalized'!$E:$E, MATCH($A213, 'UA-normalized'!$A:$A, 0))), 0), 0))+(IFERROR(IF(23*INDEX('KZ-normalized'!$D:$D, MATCH($A213, 'KZ-normalized'!$A:$A, 0))-INDEX('KZ-normalized'!$E:$E, MATCH($A213, 'KZ-normalized'!$A:$A, 0))&gt;0, -(23*INDEX('KZ-normalized'!$D:$D, MATCH($A213, 'KZ-normalized'!$A:$A, 0))-INDEX('KZ-normalized'!$E:$E, MATCH($A213, 'KZ-normalized'!$A:$A, 0))), 0), 0))+(IFERROR(IF(23*INDEX('UZ-normalized'!$D:$D, MATCH($A213, 'UZ-normalized'!$A:$A, 0))-INDEX('UZ-normalized'!$E:$E, MATCH($A213, 'UZ-normalized'!$A:$A, 0))&gt;0, -(23*INDEX('UZ-normalized'!$D:$D, MATCH($A213, 'UZ-normalized'!$A:$A, 0))-INDEX('UZ-normalized'!$E:$E, MATCH($A213, 'UZ-normalized'!$A:$A, 0))), 0), 0)))</f>
        <v>0</v>
      </c>
      <c r="AL213" s="6">
        <f>MIN(0, N213+(IFERROR(IF(24*INDEX('UA-normalized'!$D:$D, MATCH($A213, 'UA-normalized'!$A:$A, 0))-INDEX('UA-normalized'!$E:$E, MATCH($A213, 'UA-normalized'!$A:$A, 0))&gt;0, -(24*INDEX('UA-normalized'!$D:$D, MATCH($A213, 'UA-normalized'!$A:$A, 0))-INDEX('UA-normalized'!$E:$E, MATCH($A213, 'UA-normalized'!$A:$A, 0))), 0), 0))+(IFERROR(IF(24*INDEX('KZ-normalized'!$D:$D, MATCH($A213, 'KZ-normalized'!$A:$A, 0))-INDEX('KZ-normalized'!$E:$E, MATCH($A213, 'KZ-normalized'!$A:$A, 0))&gt;0, -(24*INDEX('KZ-normalized'!$D:$D, MATCH($A213, 'KZ-normalized'!$A:$A, 0))-INDEX('KZ-normalized'!$E:$E, MATCH($A213, 'KZ-normalized'!$A:$A, 0))), 0), 0))+(IFERROR(IF(24*INDEX('UZ-normalized'!$D:$D, MATCH($A213, 'UZ-normalized'!$A:$A, 0))-INDEX('UZ-normalized'!$E:$E, MATCH($A213, 'UZ-normalized'!$A:$A, 0))&gt;0, -(24*INDEX('UZ-normalized'!$D:$D, MATCH($A213, 'UZ-normalized'!$A:$A, 0))-INDEX('UZ-normalized'!$E:$E, MATCH($A213, 'UZ-normalized'!$A:$A, 0))), 0), 0)))</f>
        <v>0</v>
      </c>
      <c r="AM213" s="6">
        <f>MIN(0, N213+(IFERROR(IF(25*INDEX('UA-normalized'!$D:$D, MATCH($A213, 'UA-normalized'!$A:$A, 0))-INDEX('UA-normalized'!$E:$E, MATCH($A213, 'UA-normalized'!$A:$A, 0))&gt;0, -(25*INDEX('UA-normalized'!$D:$D, MATCH($A213, 'UA-normalized'!$A:$A, 0))-INDEX('UA-normalized'!$E:$E, MATCH($A213, 'UA-normalized'!$A:$A, 0))), 0), 0))+(IFERROR(IF(25*INDEX('KZ-normalized'!$D:$D, MATCH($A213, 'KZ-normalized'!$A:$A, 0))-INDEX('KZ-normalized'!$E:$E, MATCH($A213, 'KZ-normalized'!$A:$A, 0))&gt;0, -(25*INDEX('KZ-normalized'!$D:$D, MATCH($A213, 'KZ-normalized'!$A:$A, 0))-INDEX('KZ-normalized'!$E:$E, MATCH($A213, 'KZ-normalized'!$A:$A, 0))), 0), 0))+(IFERROR(IF(25*INDEX('UZ-normalized'!$D:$D, MATCH($A213, 'UZ-normalized'!$A:$A, 0))-INDEX('UZ-normalized'!$E:$E, MATCH($A213, 'UZ-normalized'!$A:$A, 0))&gt;0, -(25*INDEX('UZ-normalized'!$D:$D, MATCH($A213, 'UZ-normalized'!$A:$A, 0))-INDEX('UZ-normalized'!$E:$E, MATCH($A213, 'UZ-normalized'!$A:$A, 0))), 0), 0)))</f>
        <v>0</v>
      </c>
      <c r="AN213" s="6">
        <f>MIN(0, N213+(IFERROR(IF(26*INDEX('UA-normalized'!$D:$D, MATCH($A213, 'UA-normalized'!$A:$A, 0))-INDEX('UA-normalized'!$E:$E, MATCH($A213, 'UA-normalized'!$A:$A, 0))&gt;0, -(26*INDEX('UA-normalized'!$D:$D, MATCH($A213, 'UA-normalized'!$A:$A, 0))-INDEX('UA-normalized'!$E:$E, MATCH($A213, 'UA-normalized'!$A:$A, 0))), 0), 0))+(IFERROR(IF(26*INDEX('KZ-normalized'!$D:$D, MATCH($A213, 'KZ-normalized'!$A:$A, 0))-INDEX('KZ-normalized'!$E:$E, MATCH($A213, 'KZ-normalized'!$A:$A, 0))&gt;0, -(26*INDEX('KZ-normalized'!$D:$D, MATCH($A213, 'KZ-normalized'!$A:$A, 0))-INDEX('KZ-normalized'!$E:$E, MATCH($A213, 'KZ-normalized'!$A:$A, 0))), 0), 0))+(IFERROR(IF(26*INDEX('UZ-normalized'!$D:$D, MATCH($A213, 'UZ-normalized'!$A:$A, 0))-INDEX('UZ-normalized'!$E:$E, MATCH($A213, 'UZ-normalized'!$A:$A, 0))&gt;0, -(26*INDEX('UZ-normalized'!$D:$D, MATCH($A213, 'UZ-normalized'!$A:$A, 0))-INDEX('UZ-normalized'!$E:$E, MATCH($A213, 'UZ-normalized'!$A:$A, 0))), 0), 0)))</f>
        <v>0</v>
      </c>
      <c r="AO213" s="6">
        <f>MIN(0, N213+(IFERROR(IF(27*INDEX('UA-normalized'!$D:$D, MATCH($A213, 'UA-normalized'!$A:$A, 0))-INDEX('UA-normalized'!$E:$E, MATCH($A213, 'UA-normalized'!$A:$A, 0))&gt;0, -(27*INDEX('UA-normalized'!$D:$D, MATCH($A213, 'UA-normalized'!$A:$A, 0))-INDEX('UA-normalized'!$E:$E, MATCH($A213, 'UA-normalized'!$A:$A, 0))), 0), 0))+(IFERROR(IF(27*INDEX('KZ-normalized'!$D:$D, MATCH($A213, 'KZ-normalized'!$A:$A, 0))-INDEX('KZ-normalized'!$E:$E, MATCH($A213, 'KZ-normalized'!$A:$A, 0))&gt;0, -(27*INDEX('KZ-normalized'!$D:$D, MATCH($A213, 'KZ-normalized'!$A:$A, 0))-INDEX('KZ-normalized'!$E:$E, MATCH($A213, 'KZ-normalized'!$A:$A, 0))), 0), 0))+(IFERROR(IF(27*INDEX('UZ-normalized'!$D:$D, MATCH($A213, 'UZ-normalized'!$A:$A, 0))-INDEX('UZ-normalized'!$E:$E, MATCH($A213, 'UZ-normalized'!$A:$A, 0))&gt;0, -(27*INDEX('UZ-normalized'!$D:$D, MATCH($A213, 'UZ-normalized'!$A:$A, 0))-INDEX('UZ-normalized'!$E:$E, MATCH($A213, 'UZ-normalized'!$A:$A, 0))), 0), 0)))</f>
        <v>0</v>
      </c>
      <c r="AP213" s="6">
        <f>MIN(0, N213+(IFERROR(IF(28*INDEX('UA-normalized'!$D:$D, MATCH($A213, 'UA-normalized'!$A:$A, 0))-INDEX('UA-normalized'!$E:$E, MATCH($A213, 'UA-normalized'!$A:$A, 0))&gt;0, -(28*INDEX('UA-normalized'!$D:$D, MATCH($A213, 'UA-normalized'!$A:$A, 0))-INDEX('UA-normalized'!$E:$E, MATCH($A213, 'UA-normalized'!$A:$A, 0))), 0), 0))+(IFERROR(IF(28*INDEX('KZ-normalized'!$D:$D, MATCH($A213, 'KZ-normalized'!$A:$A, 0))-INDEX('KZ-normalized'!$E:$E, MATCH($A213, 'KZ-normalized'!$A:$A, 0))&gt;0, -(28*INDEX('KZ-normalized'!$D:$D, MATCH($A213, 'KZ-normalized'!$A:$A, 0))-INDEX('KZ-normalized'!$E:$E, MATCH($A213, 'KZ-normalized'!$A:$A, 0))), 0), 0))+(IFERROR(IF(28*INDEX('UZ-normalized'!$D:$D, MATCH($A213, 'UZ-normalized'!$A:$A, 0))-INDEX('UZ-normalized'!$E:$E, MATCH($A213, 'UZ-normalized'!$A:$A, 0))&gt;0, -(28*INDEX('UZ-normalized'!$D:$D, MATCH($A213, 'UZ-normalized'!$A:$A, 0))-INDEX('UZ-normalized'!$E:$E, MATCH($A213, 'UZ-normalized'!$A:$A, 0))), 0), 0)))</f>
        <v>0</v>
      </c>
      <c r="AQ213" s="6">
        <f>MIN(0, N213+(IFERROR(IF(29*INDEX('UA-normalized'!$D:$D, MATCH($A213, 'UA-normalized'!$A:$A, 0))-INDEX('UA-normalized'!$E:$E, MATCH($A213, 'UA-normalized'!$A:$A, 0))&gt;0, -(29*INDEX('UA-normalized'!$D:$D, MATCH($A213, 'UA-normalized'!$A:$A, 0))-INDEX('UA-normalized'!$E:$E, MATCH($A213, 'UA-normalized'!$A:$A, 0))), 0), 0))+(IFERROR(IF(29*INDEX('KZ-normalized'!$D:$D, MATCH($A213, 'KZ-normalized'!$A:$A, 0))-INDEX('KZ-normalized'!$E:$E, MATCH($A213, 'KZ-normalized'!$A:$A, 0))&gt;0, -(29*INDEX('KZ-normalized'!$D:$D, MATCH($A213, 'KZ-normalized'!$A:$A, 0))-INDEX('KZ-normalized'!$E:$E, MATCH($A213, 'KZ-normalized'!$A:$A, 0))), 0), 0))+(IFERROR(IF(29*INDEX('UZ-normalized'!$D:$D, MATCH($A213, 'UZ-normalized'!$A:$A, 0))-INDEX('UZ-normalized'!$E:$E, MATCH($A213, 'UZ-normalized'!$A:$A, 0))&gt;0, -(29*INDEX('UZ-normalized'!$D:$D, MATCH($A213, 'UZ-normalized'!$A:$A, 0))-INDEX('UZ-normalized'!$E:$E, MATCH($A213, 'UZ-normalized'!$A:$A, 0))), 0), 0)))</f>
        <v>0</v>
      </c>
      <c r="AR213" s="6">
        <f>MIN(0, N213+(IFERROR(IF(30*INDEX('UA-normalized'!$D:$D, MATCH($A213, 'UA-normalized'!$A:$A, 0))-INDEX('UA-normalized'!$E:$E, MATCH($A213, 'UA-normalized'!$A:$A, 0))&gt;0, -(30*INDEX('UA-normalized'!$D:$D, MATCH($A213, 'UA-normalized'!$A:$A, 0))-INDEX('UA-normalized'!$E:$E, MATCH($A213, 'UA-normalized'!$A:$A, 0))), 0), 0))+(IFERROR(IF(30*INDEX('KZ-normalized'!$D:$D, MATCH($A213, 'KZ-normalized'!$A:$A, 0))-INDEX('KZ-normalized'!$E:$E, MATCH($A213, 'KZ-normalized'!$A:$A, 0))&gt;0, -(30*INDEX('KZ-normalized'!$D:$D, MATCH($A213, 'KZ-normalized'!$A:$A, 0))-INDEX('KZ-normalized'!$E:$E, MATCH($A213, 'KZ-normalized'!$A:$A, 0))), 0), 0))+(IFERROR(IF(30*INDEX('UZ-normalized'!$D:$D, MATCH($A213, 'UZ-normalized'!$A:$A, 0))-INDEX('UZ-normalized'!$E:$E, MATCH($A213, 'UZ-normalized'!$A:$A, 0))&gt;0, -(30*INDEX('UZ-normalized'!$D:$D, MATCH($A213, 'UZ-normalized'!$A:$A, 0))-INDEX('UZ-normalized'!$E:$E, MATCH($A213, 'UZ-normalized'!$A:$A, 0))), 0), 0)))</f>
        <v>0</v>
      </c>
    </row>
    <row r="214" spans="1:44" x14ac:dyDescent="0.25">
      <c r="A214" s="8" t="s">
        <v>509</v>
      </c>
      <c r="B214" s="8" t="s">
        <v>492</v>
      </c>
      <c r="C214" s="8" t="s">
        <v>493</v>
      </c>
      <c r="D214" s="8" t="s">
        <v>510</v>
      </c>
      <c r="G214">
        <v>-20</v>
      </c>
      <c r="N214">
        <f t="shared" si="3"/>
        <v>-20</v>
      </c>
      <c r="O214" s="6">
        <f>MIN(0, N214+(IFERROR(IF(1*INDEX('UA-normalized'!$D:$D, MATCH($A214, 'UA-normalized'!$A:$A, 0))-INDEX('UA-normalized'!$E:$E, MATCH($A214, 'UA-normalized'!$A:$A, 0))&gt;0, -(1*INDEX('UA-normalized'!$D:$D, MATCH($A214, 'UA-normalized'!$A:$A, 0))-INDEX('UA-normalized'!$E:$E, MATCH($A214, 'UA-normalized'!$A:$A, 0))), 0), 0))+(IFERROR(IF(1*INDEX('KZ-normalized'!$D:$D, MATCH($A214, 'KZ-normalized'!$A:$A, 0))-INDEX('KZ-normalized'!$E:$E, MATCH($A214, 'KZ-normalized'!$A:$A, 0))&gt;0, -(1*INDEX('KZ-normalized'!$D:$D, MATCH($A214, 'KZ-normalized'!$A:$A, 0))-INDEX('KZ-normalized'!$E:$E, MATCH($A214, 'KZ-normalized'!$A:$A, 0))), 0), 0))+(IFERROR(IF(1*INDEX('UZ-normalized'!$D:$D, MATCH($A214, 'UZ-normalized'!$A:$A, 0))-INDEX('UZ-normalized'!$E:$E, MATCH($A214, 'UZ-normalized'!$A:$A, 0))&gt;0, -(1*INDEX('UZ-normalized'!$D:$D, MATCH($A214, 'UZ-normalized'!$A:$A, 0))-INDEX('UZ-normalized'!$E:$E, MATCH($A214, 'UZ-normalized'!$A:$A, 0))), 0), 0)))</f>
        <v>-20</v>
      </c>
      <c r="P214" s="6">
        <f>MIN(0, N214+(IFERROR(IF(2*INDEX('UA-normalized'!$D:$D, MATCH($A214, 'UA-normalized'!$A:$A, 0))-INDEX('UA-normalized'!$E:$E, MATCH($A214, 'UA-normalized'!$A:$A, 0))&gt;0, -(2*INDEX('UA-normalized'!$D:$D, MATCH($A214, 'UA-normalized'!$A:$A, 0))-INDEX('UA-normalized'!$E:$E, MATCH($A214, 'UA-normalized'!$A:$A, 0))), 0), 0))+(IFERROR(IF(2*INDEX('KZ-normalized'!$D:$D, MATCH($A214, 'KZ-normalized'!$A:$A, 0))-INDEX('KZ-normalized'!$E:$E, MATCH($A214, 'KZ-normalized'!$A:$A, 0))&gt;0, -(2*INDEX('KZ-normalized'!$D:$D, MATCH($A214, 'KZ-normalized'!$A:$A, 0))-INDEX('KZ-normalized'!$E:$E, MATCH($A214, 'KZ-normalized'!$A:$A, 0))), 0), 0))+(IFERROR(IF(2*INDEX('UZ-normalized'!$D:$D, MATCH($A214, 'UZ-normalized'!$A:$A, 0))-INDEX('UZ-normalized'!$E:$E, MATCH($A214, 'UZ-normalized'!$A:$A, 0))&gt;0, -(2*INDEX('UZ-normalized'!$D:$D, MATCH($A214, 'UZ-normalized'!$A:$A, 0))-INDEX('UZ-normalized'!$E:$E, MATCH($A214, 'UZ-normalized'!$A:$A, 0))), 0), 0)))</f>
        <v>-20</v>
      </c>
      <c r="Q214" s="6">
        <f>MIN(0, N214+(IFERROR(IF(3*INDEX('UA-normalized'!$D:$D, MATCH($A214, 'UA-normalized'!$A:$A, 0))-INDEX('UA-normalized'!$E:$E, MATCH($A214, 'UA-normalized'!$A:$A, 0))&gt;0, -(3*INDEX('UA-normalized'!$D:$D, MATCH($A214, 'UA-normalized'!$A:$A, 0))-INDEX('UA-normalized'!$E:$E, MATCH($A214, 'UA-normalized'!$A:$A, 0))), 0), 0))+(IFERROR(IF(3*INDEX('KZ-normalized'!$D:$D, MATCH($A214, 'KZ-normalized'!$A:$A, 0))-INDEX('KZ-normalized'!$E:$E, MATCH($A214, 'KZ-normalized'!$A:$A, 0))&gt;0, -(3*INDEX('KZ-normalized'!$D:$D, MATCH($A214, 'KZ-normalized'!$A:$A, 0))-INDEX('KZ-normalized'!$E:$E, MATCH($A214, 'KZ-normalized'!$A:$A, 0))), 0), 0))+(IFERROR(IF(3*INDEX('UZ-normalized'!$D:$D, MATCH($A214, 'UZ-normalized'!$A:$A, 0))-INDEX('UZ-normalized'!$E:$E, MATCH($A214, 'UZ-normalized'!$A:$A, 0))&gt;0, -(3*INDEX('UZ-normalized'!$D:$D, MATCH($A214, 'UZ-normalized'!$A:$A, 0))-INDEX('UZ-normalized'!$E:$E, MATCH($A214, 'UZ-normalized'!$A:$A, 0))), 0), 0)))</f>
        <v>-20</v>
      </c>
      <c r="R214" s="6">
        <f>MIN(0, N214+(IFERROR(IF(4*INDEX('UA-normalized'!$D:$D, MATCH($A214, 'UA-normalized'!$A:$A, 0))-INDEX('UA-normalized'!$E:$E, MATCH($A214, 'UA-normalized'!$A:$A, 0))&gt;0, -(4*INDEX('UA-normalized'!$D:$D, MATCH($A214, 'UA-normalized'!$A:$A, 0))-INDEX('UA-normalized'!$E:$E, MATCH($A214, 'UA-normalized'!$A:$A, 0))), 0), 0))+(IFERROR(IF(4*INDEX('KZ-normalized'!$D:$D, MATCH($A214, 'KZ-normalized'!$A:$A, 0))-INDEX('KZ-normalized'!$E:$E, MATCH($A214, 'KZ-normalized'!$A:$A, 0))&gt;0, -(4*INDEX('KZ-normalized'!$D:$D, MATCH($A214, 'KZ-normalized'!$A:$A, 0))-INDEX('KZ-normalized'!$E:$E, MATCH($A214, 'KZ-normalized'!$A:$A, 0))), 0), 0))+(IFERROR(IF(4*INDEX('UZ-normalized'!$D:$D, MATCH($A214, 'UZ-normalized'!$A:$A, 0))-INDEX('UZ-normalized'!$E:$E, MATCH($A214, 'UZ-normalized'!$A:$A, 0))&gt;0, -(4*INDEX('UZ-normalized'!$D:$D, MATCH($A214, 'UZ-normalized'!$A:$A, 0))-INDEX('UZ-normalized'!$E:$E, MATCH($A214, 'UZ-normalized'!$A:$A, 0))), 0), 0)))</f>
        <v>-20</v>
      </c>
      <c r="S214" s="6">
        <f>MIN(0, N214+(IFERROR(IF(5*INDEX('UA-normalized'!$D:$D, MATCH($A214, 'UA-normalized'!$A:$A, 0))-INDEX('UA-normalized'!$E:$E, MATCH($A214, 'UA-normalized'!$A:$A, 0))&gt;0, -(5*INDEX('UA-normalized'!$D:$D, MATCH($A214, 'UA-normalized'!$A:$A, 0))-INDEX('UA-normalized'!$E:$E, MATCH($A214, 'UA-normalized'!$A:$A, 0))), 0), 0))+(IFERROR(IF(5*INDEX('KZ-normalized'!$D:$D, MATCH($A214, 'KZ-normalized'!$A:$A, 0))-INDEX('KZ-normalized'!$E:$E, MATCH($A214, 'KZ-normalized'!$A:$A, 0))&gt;0, -(5*INDEX('KZ-normalized'!$D:$D, MATCH($A214, 'KZ-normalized'!$A:$A, 0))-INDEX('KZ-normalized'!$E:$E, MATCH($A214, 'KZ-normalized'!$A:$A, 0))), 0), 0))+(IFERROR(IF(5*INDEX('UZ-normalized'!$D:$D, MATCH($A214, 'UZ-normalized'!$A:$A, 0))-INDEX('UZ-normalized'!$E:$E, MATCH($A214, 'UZ-normalized'!$A:$A, 0))&gt;0, -(5*INDEX('UZ-normalized'!$D:$D, MATCH($A214, 'UZ-normalized'!$A:$A, 0))-INDEX('UZ-normalized'!$E:$E, MATCH($A214, 'UZ-normalized'!$A:$A, 0))), 0), 0)))</f>
        <v>-20</v>
      </c>
      <c r="T214" s="6">
        <f>MIN(0, N214+(IFERROR(IF(6*INDEX('UA-normalized'!$D:$D, MATCH($A214, 'UA-normalized'!$A:$A, 0))-INDEX('UA-normalized'!$E:$E, MATCH($A214, 'UA-normalized'!$A:$A, 0))&gt;0, -(6*INDEX('UA-normalized'!$D:$D, MATCH($A214, 'UA-normalized'!$A:$A, 0))-INDEX('UA-normalized'!$E:$E, MATCH($A214, 'UA-normalized'!$A:$A, 0))), 0), 0))+(IFERROR(IF(6*INDEX('KZ-normalized'!$D:$D, MATCH($A214, 'KZ-normalized'!$A:$A, 0))-INDEX('KZ-normalized'!$E:$E, MATCH($A214, 'KZ-normalized'!$A:$A, 0))&gt;0, -(6*INDEX('KZ-normalized'!$D:$D, MATCH($A214, 'KZ-normalized'!$A:$A, 0))-INDEX('KZ-normalized'!$E:$E, MATCH($A214, 'KZ-normalized'!$A:$A, 0))), 0), 0))+(IFERROR(IF(6*INDEX('UZ-normalized'!$D:$D, MATCH($A214, 'UZ-normalized'!$A:$A, 0))-INDEX('UZ-normalized'!$E:$E, MATCH($A214, 'UZ-normalized'!$A:$A, 0))&gt;0, -(6*INDEX('UZ-normalized'!$D:$D, MATCH($A214, 'UZ-normalized'!$A:$A, 0))-INDEX('UZ-normalized'!$E:$E, MATCH($A214, 'UZ-normalized'!$A:$A, 0))), 0), 0)))</f>
        <v>-20</v>
      </c>
      <c r="U214" s="6">
        <f>MIN(0, N214+(IFERROR(IF(7*INDEX('UA-normalized'!$D:$D, MATCH($A214, 'UA-normalized'!$A:$A, 0))-INDEX('UA-normalized'!$E:$E, MATCH($A214, 'UA-normalized'!$A:$A, 0))&gt;0, -(7*INDEX('UA-normalized'!$D:$D, MATCH($A214, 'UA-normalized'!$A:$A, 0))-INDEX('UA-normalized'!$E:$E, MATCH($A214, 'UA-normalized'!$A:$A, 0))), 0), 0))+(IFERROR(IF(7*INDEX('KZ-normalized'!$D:$D, MATCH($A214, 'KZ-normalized'!$A:$A, 0))-INDEX('KZ-normalized'!$E:$E, MATCH($A214, 'KZ-normalized'!$A:$A, 0))&gt;0, -(7*INDEX('KZ-normalized'!$D:$D, MATCH($A214, 'KZ-normalized'!$A:$A, 0))-INDEX('KZ-normalized'!$E:$E, MATCH($A214, 'KZ-normalized'!$A:$A, 0))), 0), 0))+(IFERROR(IF(7*INDEX('UZ-normalized'!$D:$D, MATCH($A214, 'UZ-normalized'!$A:$A, 0))-INDEX('UZ-normalized'!$E:$E, MATCH($A214, 'UZ-normalized'!$A:$A, 0))&gt;0, -(7*INDEX('UZ-normalized'!$D:$D, MATCH($A214, 'UZ-normalized'!$A:$A, 0))-INDEX('UZ-normalized'!$E:$E, MATCH($A214, 'UZ-normalized'!$A:$A, 0))), 0), 0)))</f>
        <v>-28.9</v>
      </c>
      <c r="V214" s="6">
        <f>MIN(0, N214+(IFERROR(IF(8*INDEX('UA-normalized'!$D:$D, MATCH($A214, 'UA-normalized'!$A:$A, 0))-INDEX('UA-normalized'!$E:$E, MATCH($A214, 'UA-normalized'!$A:$A, 0))&gt;0, -(8*INDEX('UA-normalized'!$D:$D, MATCH($A214, 'UA-normalized'!$A:$A, 0))-INDEX('UA-normalized'!$E:$E, MATCH($A214, 'UA-normalized'!$A:$A, 0))), 0), 0))+(IFERROR(IF(8*INDEX('KZ-normalized'!$D:$D, MATCH($A214, 'KZ-normalized'!$A:$A, 0))-INDEX('KZ-normalized'!$E:$E, MATCH($A214, 'KZ-normalized'!$A:$A, 0))&gt;0, -(8*INDEX('KZ-normalized'!$D:$D, MATCH($A214, 'KZ-normalized'!$A:$A, 0))-INDEX('KZ-normalized'!$E:$E, MATCH($A214, 'KZ-normalized'!$A:$A, 0))), 0), 0))+(IFERROR(IF(8*INDEX('UZ-normalized'!$D:$D, MATCH($A214, 'UZ-normalized'!$A:$A, 0))-INDEX('UZ-normalized'!$E:$E, MATCH($A214, 'UZ-normalized'!$A:$A, 0))&gt;0, -(8*INDEX('UZ-normalized'!$D:$D, MATCH($A214, 'UZ-normalized'!$A:$A, 0))-INDEX('UZ-normalized'!$E:$E, MATCH($A214, 'UZ-normalized'!$A:$A, 0))), 0), 0)))</f>
        <v>-53.6</v>
      </c>
      <c r="W214" s="6">
        <f>MIN(0, N214+(IFERROR(IF(9*INDEX('UA-normalized'!$D:$D, MATCH($A214, 'UA-normalized'!$A:$A, 0))-INDEX('UA-normalized'!$E:$E, MATCH($A214, 'UA-normalized'!$A:$A, 0))&gt;0, -(9*INDEX('UA-normalized'!$D:$D, MATCH($A214, 'UA-normalized'!$A:$A, 0))-INDEX('UA-normalized'!$E:$E, MATCH($A214, 'UA-normalized'!$A:$A, 0))), 0), 0))+(IFERROR(IF(9*INDEX('KZ-normalized'!$D:$D, MATCH($A214, 'KZ-normalized'!$A:$A, 0))-INDEX('KZ-normalized'!$E:$E, MATCH($A214, 'KZ-normalized'!$A:$A, 0))&gt;0, -(9*INDEX('KZ-normalized'!$D:$D, MATCH($A214, 'KZ-normalized'!$A:$A, 0))-INDEX('KZ-normalized'!$E:$E, MATCH($A214, 'KZ-normalized'!$A:$A, 0))), 0), 0))+(IFERROR(IF(9*INDEX('UZ-normalized'!$D:$D, MATCH($A214, 'UZ-normalized'!$A:$A, 0))-INDEX('UZ-normalized'!$E:$E, MATCH($A214, 'UZ-normalized'!$A:$A, 0))&gt;0, -(9*INDEX('UZ-normalized'!$D:$D, MATCH($A214, 'UZ-normalized'!$A:$A, 0))-INDEX('UZ-normalized'!$E:$E, MATCH($A214, 'UZ-normalized'!$A:$A, 0))), 0), 0)))</f>
        <v>-78.300000000000011</v>
      </c>
      <c r="X214" s="6">
        <f>MIN(0, N214+(IFERROR(IF(10*INDEX('UA-normalized'!$D:$D, MATCH($A214, 'UA-normalized'!$A:$A, 0))-INDEX('UA-normalized'!$E:$E, MATCH($A214, 'UA-normalized'!$A:$A, 0))&gt;0, -(10*INDEX('UA-normalized'!$D:$D, MATCH($A214, 'UA-normalized'!$A:$A, 0))-INDEX('UA-normalized'!$E:$E, MATCH($A214, 'UA-normalized'!$A:$A, 0))), 0), 0))+(IFERROR(IF(10*INDEX('KZ-normalized'!$D:$D, MATCH($A214, 'KZ-normalized'!$A:$A, 0))-INDEX('KZ-normalized'!$E:$E, MATCH($A214, 'KZ-normalized'!$A:$A, 0))&gt;0, -(10*INDEX('KZ-normalized'!$D:$D, MATCH($A214, 'KZ-normalized'!$A:$A, 0))-INDEX('KZ-normalized'!$E:$E, MATCH($A214, 'KZ-normalized'!$A:$A, 0))), 0), 0))+(IFERROR(IF(10*INDEX('UZ-normalized'!$D:$D, MATCH($A214, 'UZ-normalized'!$A:$A, 0))-INDEX('UZ-normalized'!$E:$E, MATCH($A214, 'UZ-normalized'!$A:$A, 0))&gt;0, -(10*INDEX('UZ-normalized'!$D:$D, MATCH($A214, 'UZ-normalized'!$A:$A, 0))-INDEX('UZ-normalized'!$E:$E, MATCH($A214, 'UZ-normalized'!$A:$A, 0))), 0), 0)))</f>
        <v>-103</v>
      </c>
      <c r="Y214" s="6">
        <f>MIN(0, N214+(IFERROR(IF(11*INDEX('UA-normalized'!$D:$D, MATCH($A214, 'UA-normalized'!$A:$A, 0))-INDEX('UA-normalized'!$E:$E, MATCH($A214, 'UA-normalized'!$A:$A, 0))&gt;0, -(11*INDEX('UA-normalized'!$D:$D, MATCH($A214, 'UA-normalized'!$A:$A, 0))-INDEX('UA-normalized'!$E:$E, MATCH($A214, 'UA-normalized'!$A:$A, 0))), 0), 0))+(IFERROR(IF(11*INDEX('KZ-normalized'!$D:$D, MATCH($A214, 'KZ-normalized'!$A:$A, 0))-INDEX('KZ-normalized'!$E:$E, MATCH($A214, 'KZ-normalized'!$A:$A, 0))&gt;0, -(11*INDEX('KZ-normalized'!$D:$D, MATCH($A214, 'KZ-normalized'!$A:$A, 0))-INDEX('KZ-normalized'!$E:$E, MATCH($A214, 'KZ-normalized'!$A:$A, 0))), 0), 0))+(IFERROR(IF(11*INDEX('UZ-normalized'!$D:$D, MATCH($A214, 'UZ-normalized'!$A:$A, 0))-INDEX('UZ-normalized'!$E:$E, MATCH($A214, 'UZ-normalized'!$A:$A, 0))&gt;0, -(11*INDEX('UZ-normalized'!$D:$D, MATCH($A214, 'UZ-normalized'!$A:$A, 0))-INDEX('UZ-normalized'!$E:$E, MATCH($A214, 'UZ-normalized'!$A:$A, 0))), 0), 0)))</f>
        <v>-127.7</v>
      </c>
      <c r="Z214" s="6">
        <f>MIN(0, N214+(IFERROR(IF(12*INDEX('UA-normalized'!$D:$D, MATCH($A214, 'UA-normalized'!$A:$A, 0))-INDEX('UA-normalized'!$E:$E, MATCH($A214, 'UA-normalized'!$A:$A, 0))&gt;0, -(12*INDEX('UA-normalized'!$D:$D, MATCH($A214, 'UA-normalized'!$A:$A, 0))-INDEX('UA-normalized'!$E:$E, MATCH($A214, 'UA-normalized'!$A:$A, 0))), 0), 0))+(IFERROR(IF(12*INDEX('KZ-normalized'!$D:$D, MATCH($A214, 'KZ-normalized'!$A:$A, 0))-INDEX('KZ-normalized'!$E:$E, MATCH($A214, 'KZ-normalized'!$A:$A, 0))&gt;0, -(12*INDEX('KZ-normalized'!$D:$D, MATCH($A214, 'KZ-normalized'!$A:$A, 0))-INDEX('KZ-normalized'!$E:$E, MATCH($A214, 'KZ-normalized'!$A:$A, 0))), 0), 0))+(IFERROR(IF(12*INDEX('UZ-normalized'!$D:$D, MATCH($A214, 'UZ-normalized'!$A:$A, 0))-INDEX('UZ-normalized'!$E:$E, MATCH($A214, 'UZ-normalized'!$A:$A, 0))&gt;0, -(12*INDEX('UZ-normalized'!$D:$D, MATCH($A214, 'UZ-normalized'!$A:$A, 0))-INDEX('UZ-normalized'!$E:$E, MATCH($A214, 'UZ-normalized'!$A:$A, 0))), 0), 0)))</f>
        <v>-152.4</v>
      </c>
      <c r="AA214" s="6">
        <f>MIN(0, N214+(IFERROR(IF(13*INDEX('UA-normalized'!$D:$D, MATCH($A214, 'UA-normalized'!$A:$A, 0))-INDEX('UA-normalized'!$E:$E, MATCH($A214, 'UA-normalized'!$A:$A, 0))&gt;0, -(13*INDEX('UA-normalized'!$D:$D, MATCH($A214, 'UA-normalized'!$A:$A, 0))-INDEX('UA-normalized'!$E:$E, MATCH($A214, 'UA-normalized'!$A:$A, 0))), 0), 0))+(IFERROR(IF(13*INDEX('KZ-normalized'!$D:$D, MATCH($A214, 'KZ-normalized'!$A:$A, 0))-INDEX('KZ-normalized'!$E:$E, MATCH($A214, 'KZ-normalized'!$A:$A, 0))&gt;0, -(13*INDEX('KZ-normalized'!$D:$D, MATCH($A214, 'KZ-normalized'!$A:$A, 0))-INDEX('KZ-normalized'!$E:$E, MATCH($A214, 'KZ-normalized'!$A:$A, 0))), 0), 0))+(IFERROR(IF(13*INDEX('UZ-normalized'!$D:$D, MATCH($A214, 'UZ-normalized'!$A:$A, 0))-INDEX('UZ-normalized'!$E:$E, MATCH($A214, 'UZ-normalized'!$A:$A, 0))&gt;0, -(13*INDEX('UZ-normalized'!$D:$D, MATCH($A214, 'UZ-normalized'!$A:$A, 0))-INDEX('UZ-normalized'!$E:$E, MATCH($A214, 'UZ-normalized'!$A:$A, 0))), 0), 0)))</f>
        <v>-177.10000000000002</v>
      </c>
      <c r="AB214" s="6">
        <f>MIN(0, N214+(IFERROR(IF(14*INDEX('UA-normalized'!$D:$D, MATCH($A214, 'UA-normalized'!$A:$A, 0))-INDEX('UA-normalized'!$E:$E, MATCH($A214, 'UA-normalized'!$A:$A, 0))&gt;0, -(14*INDEX('UA-normalized'!$D:$D, MATCH($A214, 'UA-normalized'!$A:$A, 0))-INDEX('UA-normalized'!$E:$E, MATCH($A214, 'UA-normalized'!$A:$A, 0))), 0), 0))+(IFERROR(IF(14*INDEX('KZ-normalized'!$D:$D, MATCH($A214, 'KZ-normalized'!$A:$A, 0))-INDEX('KZ-normalized'!$E:$E, MATCH($A214, 'KZ-normalized'!$A:$A, 0))&gt;0, -(14*INDEX('KZ-normalized'!$D:$D, MATCH($A214, 'KZ-normalized'!$A:$A, 0))-INDEX('KZ-normalized'!$E:$E, MATCH($A214, 'KZ-normalized'!$A:$A, 0))), 0), 0))+(IFERROR(IF(14*INDEX('UZ-normalized'!$D:$D, MATCH($A214, 'UZ-normalized'!$A:$A, 0))-INDEX('UZ-normalized'!$E:$E, MATCH($A214, 'UZ-normalized'!$A:$A, 0))&gt;0, -(14*INDEX('UZ-normalized'!$D:$D, MATCH($A214, 'UZ-normalized'!$A:$A, 0))-INDEX('UZ-normalized'!$E:$E, MATCH($A214, 'UZ-normalized'!$A:$A, 0))), 0), 0)))</f>
        <v>-201.8</v>
      </c>
      <c r="AC214" s="6">
        <f>MIN(0, N214+(IFERROR(IF(15*INDEX('UA-normalized'!$D:$D, MATCH($A214, 'UA-normalized'!$A:$A, 0))-INDEX('UA-normalized'!$E:$E, MATCH($A214, 'UA-normalized'!$A:$A, 0))&gt;0, -(15*INDEX('UA-normalized'!$D:$D, MATCH($A214, 'UA-normalized'!$A:$A, 0))-INDEX('UA-normalized'!$E:$E, MATCH($A214, 'UA-normalized'!$A:$A, 0))), 0), 0))+(IFERROR(IF(15*INDEX('KZ-normalized'!$D:$D, MATCH($A214, 'KZ-normalized'!$A:$A, 0))-INDEX('KZ-normalized'!$E:$E, MATCH($A214, 'KZ-normalized'!$A:$A, 0))&gt;0, -(15*INDEX('KZ-normalized'!$D:$D, MATCH($A214, 'KZ-normalized'!$A:$A, 0))-INDEX('KZ-normalized'!$E:$E, MATCH($A214, 'KZ-normalized'!$A:$A, 0))), 0), 0))+(IFERROR(IF(15*INDEX('UZ-normalized'!$D:$D, MATCH($A214, 'UZ-normalized'!$A:$A, 0))-INDEX('UZ-normalized'!$E:$E, MATCH($A214, 'UZ-normalized'!$A:$A, 0))&gt;0, -(15*INDEX('UZ-normalized'!$D:$D, MATCH($A214, 'UZ-normalized'!$A:$A, 0))-INDEX('UZ-normalized'!$E:$E, MATCH($A214, 'UZ-normalized'!$A:$A, 0))), 0), 0)))</f>
        <v>-226.5</v>
      </c>
      <c r="AD214" s="6">
        <f>MIN(0, N214+(IFERROR(IF(16*INDEX('UA-normalized'!$D:$D, MATCH($A214, 'UA-normalized'!$A:$A, 0))-INDEX('UA-normalized'!$E:$E, MATCH($A214, 'UA-normalized'!$A:$A, 0))&gt;0, -(16*INDEX('UA-normalized'!$D:$D, MATCH($A214, 'UA-normalized'!$A:$A, 0))-INDEX('UA-normalized'!$E:$E, MATCH($A214, 'UA-normalized'!$A:$A, 0))), 0), 0))+(IFERROR(IF(16*INDEX('KZ-normalized'!$D:$D, MATCH($A214, 'KZ-normalized'!$A:$A, 0))-INDEX('KZ-normalized'!$E:$E, MATCH($A214, 'KZ-normalized'!$A:$A, 0))&gt;0, -(16*INDEX('KZ-normalized'!$D:$D, MATCH($A214, 'KZ-normalized'!$A:$A, 0))-INDEX('KZ-normalized'!$E:$E, MATCH($A214, 'KZ-normalized'!$A:$A, 0))), 0), 0))+(IFERROR(IF(16*INDEX('UZ-normalized'!$D:$D, MATCH($A214, 'UZ-normalized'!$A:$A, 0))-INDEX('UZ-normalized'!$E:$E, MATCH($A214, 'UZ-normalized'!$A:$A, 0))&gt;0, -(16*INDEX('UZ-normalized'!$D:$D, MATCH($A214, 'UZ-normalized'!$A:$A, 0))-INDEX('UZ-normalized'!$E:$E, MATCH($A214, 'UZ-normalized'!$A:$A, 0))), 0), 0)))</f>
        <v>-251.2</v>
      </c>
      <c r="AE214" s="6">
        <f>MIN(0, N214+(IFERROR(IF(17*INDEX('UA-normalized'!$D:$D, MATCH($A214, 'UA-normalized'!$A:$A, 0))-INDEX('UA-normalized'!$E:$E, MATCH($A214, 'UA-normalized'!$A:$A, 0))&gt;0, -(17*INDEX('UA-normalized'!$D:$D, MATCH($A214, 'UA-normalized'!$A:$A, 0))-INDEX('UA-normalized'!$E:$E, MATCH($A214, 'UA-normalized'!$A:$A, 0))), 0), 0))+(IFERROR(IF(17*INDEX('KZ-normalized'!$D:$D, MATCH($A214, 'KZ-normalized'!$A:$A, 0))-INDEX('KZ-normalized'!$E:$E, MATCH($A214, 'KZ-normalized'!$A:$A, 0))&gt;0, -(17*INDEX('KZ-normalized'!$D:$D, MATCH($A214, 'KZ-normalized'!$A:$A, 0))-INDEX('KZ-normalized'!$E:$E, MATCH($A214, 'KZ-normalized'!$A:$A, 0))), 0), 0))+(IFERROR(IF(17*INDEX('UZ-normalized'!$D:$D, MATCH($A214, 'UZ-normalized'!$A:$A, 0))-INDEX('UZ-normalized'!$E:$E, MATCH($A214, 'UZ-normalized'!$A:$A, 0))&gt;0, -(17*INDEX('UZ-normalized'!$D:$D, MATCH($A214, 'UZ-normalized'!$A:$A, 0))-INDEX('UZ-normalized'!$E:$E, MATCH($A214, 'UZ-normalized'!$A:$A, 0))), 0), 0)))</f>
        <v>-275.89999999999998</v>
      </c>
      <c r="AF214" s="6">
        <f>MIN(0, N214+(IFERROR(IF(18*INDEX('UA-normalized'!$D:$D, MATCH($A214, 'UA-normalized'!$A:$A, 0))-INDEX('UA-normalized'!$E:$E, MATCH($A214, 'UA-normalized'!$A:$A, 0))&gt;0, -(18*INDEX('UA-normalized'!$D:$D, MATCH($A214, 'UA-normalized'!$A:$A, 0))-INDEX('UA-normalized'!$E:$E, MATCH($A214, 'UA-normalized'!$A:$A, 0))), 0), 0))+(IFERROR(IF(18*INDEX('KZ-normalized'!$D:$D, MATCH($A214, 'KZ-normalized'!$A:$A, 0))-INDEX('KZ-normalized'!$E:$E, MATCH($A214, 'KZ-normalized'!$A:$A, 0))&gt;0, -(18*INDEX('KZ-normalized'!$D:$D, MATCH($A214, 'KZ-normalized'!$A:$A, 0))-INDEX('KZ-normalized'!$E:$E, MATCH($A214, 'KZ-normalized'!$A:$A, 0))), 0), 0))+(IFERROR(IF(18*INDEX('UZ-normalized'!$D:$D, MATCH($A214, 'UZ-normalized'!$A:$A, 0))-INDEX('UZ-normalized'!$E:$E, MATCH($A214, 'UZ-normalized'!$A:$A, 0))&gt;0, -(18*INDEX('UZ-normalized'!$D:$D, MATCH($A214, 'UZ-normalized'!$A:$A, 0))-INDEX('UZ-normalized'!$E:$E, MATCH($A214, 'UZ-normalized'!$A:$A, 0))), 0), 0)))</f>
        <v>-300.60000000000002</v>
      </c>
      <c r="AG214" s="6">
        <f>MIN(0, N214+(IFERROR(IF(19*INDEX('UA-normalized'!$D:$D, MATCH($A214, 'UA-normalized'!$A:$A, 0))-INDEX('UA-normalized'!$E:$E, MATCH($A214, 'UA-normalized'!$A:$A, 0))&gt;0, -(19*INDEX('UA-normalized'!$D:$D, MATCH($A214, 'UA-normalized'!$A:$A, 0))-INDEX('UA-normalized'!$E:$E, MATCH($A214, 'UA-normalized'!$A:$A, 0))), 0), 0))+(IFERROR(IF(19*INDEX('KZ-normalized'!$D:$D, MATCH($A214, 'KZ-normalized'!$A:$A, 0))-INDEX('KZ-normalized'!$E:$E, MATCH($A214, 'KZ-normalized'!$A:$A, 0))&gt;0, -(19*INDEX('KZ-normalized'!$D:$D, MATCH($A214, 'KZ-normalized'!$A:$A, 0))-INDEX('KZ-normalized'!$E:$E, MATCH($A214, 'KZ-normalized'!$A:$A, 0))), 0), 0))+(IFERROR(IF(19*INDEX('UZ-normalized'!$D:$D, MATCH($A214, 'UZ-normalized'!$A:$A, 0))-INDEX('UZ-normalized'!$E:$E, MATCH($A214, 'UZ-normalized'!$A:$A, 0))&gt;0, -(19*INDEX('UZ-normalized'!$D:$D, MATCH($A214, 'UZ-normalized'!$A:$A, 0))-INDEX('UZ-normalized'!$E:$E, MATCH($A214, 'UZ-normalized'!$A:$A, 0))), 0), 0)))</f>
        <v>-325.3</v>
      </c>
      <c r="AH214" s="6">
        <f>MIN(0, N214+(IFERROR(IF(20*INDEX('UA-normalized'!$D:$D, MATCH($A214, 'UA-normalized'!$A:$A, 0))-INDEX('UA-normalized'!$E:$E, MATCH($A214, 'UA-normalized'!$A:$A, 0))&gt;0, -(20*INDEX('UA-normalized'!$D:$D, MATCH($A214, 'UA-normalized'!$A:$A, 0))-INDEX('UA-normalized'!$E:$E, MATCH($A214, 'UA-normalized'!$A:$A, 0))), 0), 0))+(IFERROR(IF(20*INDEX('KZ-normalized'!$D:$D, MATCH($A214, 'KZ-normalized'!$A:$A, 0))-INDEX('KZ-normalized'!$E:$E, MATCH($A214, 'KZ-normalized'!$A:$A, 0))&gt;0, -(20*INDEX('KZ-normalized'!$D:$D, MATCH($A214, 'KZ-normalized'!$A:$A, 0))-INDEX('KZ-normalized'!$E:$E, MATCH($A214, 'KZ-normalized'!$A:$A, 0))), 0), 0))+(IFERROR(IF(20*INDEX('UZ-normalized'!$D:$D, MATCH($A214, 'UZ-normalized'!$A:$A, 0))-INDEX('UZ-normalized'!$E:$E, MATCH($A214, 'UZ-normalized'!$A:$A, 0))&gt;0, -(20*INDEX('UZ-normalized'!$D:$D, MATCH($A214, 'UZ-normalized'!$A:$A, 0))-INDEX('UZ-normalized'!$E:$E, MATCH($A214, 'UZ-normalized'!$A:$A, 0))), 0), 0)))</f>
        <v>-350</v>
      </c>
      <c r="AI214" s="6">
        <f>MIN(0, N214+(IFERROR(IF(21*INDEX('UA-normalized'!$D:$D, MATCH($A214, 'UA-normalized'!$A:$A, 0))-INDEX('UA-normalized'!$E:$E, MATCH($A214, 'UA-normalized'!$A:$A, 0))&gt;0, -(21*INDEX('UA-normalized'!$D:$D, MATCH($A214, 'UA-normalized'!$A:$A, 0))-INDEX('UA-normalized'!$E:$E, MATCH($A214, 'UA-normalized'!$A:$A, 0))), 0), 0))+(IFERROR(IF(21*INDEX('KZ-normalized'!$D:$D, MATCH($A214, 'KZ-normalized'!$A:$A, 0))-INDEX('KZ-normalized'!$E:$E, MATCH($A214, 'KZ-normalized'!$A:$A, 0))&gt;0, -(21*INDEX('KZ-normalized'!$D:$D, MATCH($A214, 'KZ-normalized'!$A:$A, 0))-INDEX('KZ-normalized'!$E:$E, MATCH($A214, 'KZ-normalized'!$A:$A, 0))), 0), 0))+(IFERROR(IF(21*INDEX('UZ-normalized'!$D:$D, MATCH($A214, 'UZ-normalized'!$A:$A, 0))-INDEX('UZ-normalized'!$E:$E, MATCH($A214, 'UZ-normalized'!$A:$A, 0))&gt;0, -(21*INDEX('UZ-normalized'!$D:$D, MATCH($A214, 'UZ-normalized'!$A:$A, 0))-INDEX('UZ-normalized'!$E:$E, MATCH($A214, 'UZ-normalized'!$A:$A, 0))), 0), 0)))</f>
        <v>-374.7</v>
      </c>
      <c r="AJ214" s="6">
        <f>MIN(0, N214+(IFERROR(IF(22*INDEX('UA-normalized'!$D:$D, MATCH($A214, 'UA-normalized'!$A:$A, 0))-INDEX('UA-normalized'!$E:$E, MATCH($A214, 'UA-normalized'!$A:$A, 0))&gt;0, -(22*INDEX('UA-normalized'!$D:$D, MATCH($A214, 'UA-normalized'!$A:$A, 0))-INDEX('UA-normalized'!$E:$E, MATCH($A214, 'UA-normalized'!$A:$A, 0))), 0), 0))+(IFERROR(IF(22*INDEX('KZ-normalized'!$D:$D, MATCH($A214, 'KZ-normalized'!$A:$A, 0))-INDEX('KZ-normalized'!$E:$E, MATCH($A214, 'KZ-normalized'!$A:$A, 0))&gt;0, -(22*INDEX('KZ-normalized'!$D:$D, MATCH($A214, 'KZ-normalized'!$A:$A, 0))-INDEX('KZ-normalized'!$E:$E, MATCH($A214, 'KZ-normalized'!$A:$A, 0))), 0), 0))+(IFERROR(IF(22*INDEX('UZ-normalized'!$D:$D, MATCH($A214, 'UZ-normalized'!$A:$A, 0))-INDEX('UZ-normalized'!$E:$E, MATCH($A214, 'UZ-normalized'!$A:$A, 0))&gt;0, -(22*INDEX('UZ-normalized'!$D:$D, MATCH($A214, 'UZ-normalized'!$A:$A, 0))-INDEX('UZ-normalized'!$E:$E, MATCH($A214, 'UZ-normalized'!$A:$A, 0))), 0), 0)))</f>
        <v>-399.4</v>
      </c>
      <c r="AK214" s="6">
        <f>MIN(0, N214+(IFERROR(IF(23*INDEX('UA-normalized'!$D:$D, MATCH($A214, 'UA-normalized'!$A:$A, 0))-INDEX('UA-normalized'!$E:$E, MATCH($A214, 'UA-normalized'!$A:$A, 0))&gt;0, -(23*INDEX('UA-normalized'!$D:$D, MATCH($A214, 'UA-normalized'!$A:$A, 0))-INDEX('UA-normalized'!$E:$E, MATCH($A214, 'UA-normalized'!$A:$A, 0))), 0), 0))+(IFERROR(IF(23*INDEX('KZ-normalized'!$D:$D, MATCH($A214, 'KZ-normalized'!$A:$A, 0))-INDEX('KZ-normalized'!$E:$E, MATCH($A214, 'KZ-normalized'!$A:$A, 0))&gt;0, -(23*INDEX('KZ-normalized'!$D:$D, MATCH($A214, 'KZ-normalized'!$A:$A, 0))-INDEX('KZ-normalized'!$E:$E, MATCH($A214, 'KZ-normalized'!$A:$A, 0))), 0), 0))+(IFERROR(IF(23*INDEX('UZ-normalized'!$D:$D, MATCH($A214, 'UZ-normalized'!$A:$A, 0))-INDEX('UZ-normalized'!$E:$E, MATCH($A214, 'UZ-normalized'!$A:$A, 0))&gt;0, -(23*INDEX('UZ-normalized'!$D:$D, MATCH($A214, 'UZ-normalized'!$A:$A, 0))-INDEX('UZ-normalized'!$E:$E, MATCH($A214, 'UZ-normalized'!$A:$A, 0))), 0), 0)))</f>
        <v>-424.1</v>
      </c>
      <c r="AL214" s="6">
        <f>MIN(0, N214+(IFERROR(IF(24*INDEX('UA-normalized'!$D:$D, MATCH($A214, 'UA-normalized'!$A:$A, 0))-INDEX('UA-normalized'!$E:$E, MATCH($A214, 'UA-normalized'!$A:$A, 0))&gt;0, -(24*INDEX('UA-normalized'!$D:$D, MATCH($A214, 'UA-normalized'!$A:$A, 0))-INDEX('UA-normalized'!$E:$E, MATCH($A214, 'UA-normalized'!$A:$A, 0))), 0), 0))+(IFERROR(IF(24*INDEX('KZ-normalized'!$D:$D, MATCH($A214, 'KZ-normalized'!$A:$A, 0))-INDEX('KZ-normalized'!$E:$E, MATCH($A214, 'KZ-normalized'!$A:$A, 0))&gt;0, -(24*INDEX('KZ-normalized'!$D:$D, MATCH($A214, 'KZ-normalized'!$A:$A, 0))-INDEX('KZ-normalized'!$E:$E, MATCH($A214, 'KZ-normalized'!$A:$A, 0))), 0), 0))+(IFERROR(IF(24*INDEX('UZ-normalized'!$D:$D, MATCH($A214, 'UZ-normalized'!$A:$A, 0))-INDEX('UZ-normalized'!$E:$E, MATCH($A214, 'UZ-normalized'!$A:$A, 0))&gt;0, -(24*INDEX('UZ-normalized'!$D:$D, MATCH($A214, 'UZ-normalized'!$A:$A, 0))-INDEX('UZ-normalized'!$E:$E, MATCH($A214, 'UZ-normalized'!$A:$A, 0))), 0), 0)))</f>
        <v>-448.8</v>
      </c>
      <c r="AM214" s="6">
        <f>MIN(0, N214+(IFERROR(IF(25*INDEX('UA-normalized'!$D:$D, MATCH($A214, 'UA-normalized'!$A:$A, 0))-INDEX('UA-normalized'!$E:$E, MATCH($A214, 'UA-normalized'!$A:$A, 0))&gt;0, -(25*INDEX('UA-normalized'!$D:$D, MATCH($A214, 'UA-normalized'!$A:$A, 0))-INDEX('UA-normalized'!$E:$E, MATCH($A214, 'UA-normalized'!$A:$A, 0))), 0), 0))+(IFERROR(IF(25*INDEX('KZ-normalized'!$D:$D, MATCH($A214, 'KZ-normalized'!$A:$A, 0))-INDEX('KZ-normalized'!$E:$E, MATCH($A214, 'KZ-normalized'!$A:$A, 0))&gt;0, -(25*INDEX('KZ-normalized'!$D:$D, MATCH($A214, 'KZ-normalized'!$A:$A, 0))-INDEX('KZ-normalized'!$E:$E, MATCH($A214, 'KZ-normalized'!$A:$A, 0))), 0), 0))+(IFERROR(IF(25*INDEX('UZ-normalized'!$D:$D, MATCH($A214, 'UZ-normalized'!$A:$A, 0))-INDEX('UZ-normalized'!$E:$E, MATCH($A214, 'UZ-normalized'!$A:$A, 0))&gt;0, -(25*INDEX('UZ-normalized'!$D:$D, MATCH($A214, 'UZ-normalized'!$A:$A, 0))-INDEX('UZ-normalized'!$E:$E, MATCH($A214, 'UZ-normalized'!$A:$A, 0))), 0), 0)))</f>
        <v>-473.5</v>
      </c>
      <c r="AN214" s="6">
        <f>MIN(0, N214+(IFERROR(IF(26*INDEX('UA-normalized'!$D:$D, MATCH($A214, 'UA-normalized'!$A:$A, 0))-INDEX('UA-normalized'!$E:$E, MATCH($A214, 'UA-normalized'!$A:$A, 0))&gt;0, -(26*INDEX('UA-normalized'!$D:$D, MATCH($A214, 'UA-normalized'!$A:$A, 0))-INDEX('UA-normalized'!$E:$E, MATCH($A214, 'UA-normalized'!$A:$A, 0))), 0), 0))+(IFERROR(IF(26*INDEX('KZ-normalized'!$D:$D, MATCH($A214, 'KZ-normalized'!$A:$A, 0))-INDEX('KZ-normalized'!$E:$E, MATCH($A214, 'KZ-normalized'!$A:$A, 0))&gt;0, -(26*INDEX('KZ-normalized'!$D:$D, MATCH($A214, 'KZ-normalized'!$A:$A, 0))-INDEX('KZ-normalized'!$E:$E, MATCH($A214, 'KZ-normalized'!$A:$A, 0))), 0), 0))+(IFERROR(IF(26*INDEX('UZ-normalized'!$D:$D, MATCH($A214, 'UZ-normalized'!$A:$A, 0))-INDEX('UZ-normalized'!$E:$E, MATCH($A214, 'UZ-normalized'!$A:$A, 0))&gt;0, -(26*INDEX('UZ-normalized'!$D:$D, MATCH($A214, 'UZ-normalized'!$A:$A, 0))-INDEX('UZ-normalized'!$E:$E, MATCH($A214, 'UZ-normalized'!$A:$A, 0))), 0), 0)))</f>
        <v>-498.20000000000005</v>
      </c>
      <c r="AO214" s="6">
        <f>MIN(0, N214+(IFERROR(IF(27*INDEX('UA-normalized'!$D:$D, MATCH($A214, 'UA-normalized'!$A:$A, 0))-INDEX('UA-normalized'!$E:$E, MATCH($A214, 'UA-normalized'!$A:$A, 0))&gt;0, -(27*INDEX('UA-normalized'!$D:$D, MATCH($A214, 'UA-normalized'!$A:$A, 0))-INDEX('UA-normalized'!$E:$E, MATCH($A214, 'UA-normalized'!$A:$A, 0))), 0), 0))+(IFERROR(IF(27*INDEX('KZ-normalized'!$D:$D, MATCH($A214, 'KZ-normalized'!$A:$A, 0))-INDEX('KZ-normalized'!$E:$E, MATCH($A214, 'KZ-normalized'!$A:$A, 0))&gt;0, -(27*INDEX('KZ-normalized'!$D:$D, MATCH($A214, 'KZ-normalized'!$A:$A, 0))-INDEX('KZ-normalized'!$E:$E, MATCH($A214, 'KZ-normalized'!$A:$A, 0))), 0), 0))+(IFERROR(IF(27*INDEX('UZ-normalized'!$D:$D, MATCH($A214, 'UZ-normalized'!$A:$A, 0))-INDEX('UZ-normalized'!$E:$E, MATCH($A214, 'UZ-normalized'!$A:$A, 0))&gt;0, -(27*INDEX('UZ-normalized'!$D:$D, MATCH($A214, 'UZ-normalized'!$A:$A, 0))-INDEX('UZ-normalized'!$E:$E, MATCH($A214, 'UZ-normalized'!$A:$A, 0))), 0), 0)))</f>
        <v>-522.9</v>
      </c>
      <c r="AP214" s="6">
        <f>MIN(0, N214+(IFERROR(IF(28*INDEX('UA-normalized'!$D:$D, MATCH($A214, 'UA-normalized'!$A:$A, 0))-INDEX('UA-normalized'!$E:$E, MATCH($A214, 'UA-normalized'!$A:$A, 0))&gt;0, -(28*INDEX('UA-normalized'!$D:$D, MATCH($A214, 'UA-normalized'!$A:$A, 0))-INDEX('UA-normalized'!$E:$E, MATCH($A214, 'UA-normalized'!$A:$A, 0))), 0), 0))+(IFERROR(IF(28*INDEX('KZ-normalized'!$D:$D, MATCH($A214, 'KZ-normalized'!$A:$A, 0))-INDEX('KZ-normalized'!$E:$E, MATCH($A214, 'KZ-normalized'!$A:$A, 0))&gt;0, -(28*INDEX('KZ-normalized'!$D:$D, MATCH($A214, 'KZ-normalized'!$A:$A, 0))-INDEX('KZ-normalized'!$E:$E, MATCH($A214, 'KZ-normalized'!$A:$A, 0))), 0), 0))+(IFERROR(IF(28*INDEX('UZ-normalized'!$D:$D, MATCH($A214, 'UZ-normalized'!$A:$A, 0))-INDEX('UZ-normalized'!$E:$E, MATCH($A214, 'UZ-normalized'!$A:$A, 0))&gt;0, -(28*INDEX('UZ-normalized'!$D:$D, MATCH($A214, 'UZ-normalized'!$A:$A, 0))-INDEX('UZ-normalized'!$E:$E, MATCH($A214, 'UZ-normalized'!$A:$A, 0))), 0), 0)))</f>
        <v>-547.6</v>
      </c>
      <c r="AQ214" s="6">
        <f>MIN(0, N214+(IFERROR(IF(29*INDEX('UA-normalized'!$D:$D, MATCH($A214, 'UA-normalized'!$A:$A, 0))-INDEX('UA-normalized'!$E:$E, MATCH($A214, 'UA-normalized'!$A:$A, 0))&gt;0, -(29*INDEX('UA-normalized'!$D:$D, MATCH($A214, 'UA-normalized'!$A:$A, 0))-INDEX('UA-normalized'!$E:$E, MATCH($A214, 'UA-normalized'!$A:$A, 0))), 0), 0))+(IFERROR(IF(29*INDEX('KZ-normalized'!$D:$D, MATCH($A214, 'KZ-normalized'!$A:$A, 0))-INDEX('KZ-normalized'!$E:$E, MATCH($A214, 'KZ-normalized'!$A:$A, 0))&gt;0, -(29*INDEX('KZ-normalized'!$D:$D, MATCH($A214, 'KZ-normalized'!$A:$A, 0))-INDEX('KZ-normalized'!$E:$E, MATCH($A214, 'KZ-normalized'!$A:$A, 0))), 0), 0))+(IFERROR(IF(29*INDEX('UZ-normalized'!$D:$D, MATCH($A214, 'UZ-normalized'!$A:$A, 0))-INDEX('UZ-normalized'!$E:$E, MATCH($A214, 'UZ-normalized'!$A:$A, 0))&gt;0, -(29*INDEX('UZ-normalized'!$D:$D, MATCH($A214, 'UZ-normalized'!$A:$A, 0))-INDEX('UZ-normalized'!$E:$E, MATCH($A214, 'UZ-normalized'!$A:$A, 0))), 0), 0)))</f>
        <v>-572.29999999999995</v>
      </c>
      <c r="AR214" s="6">
        <f>MIN(0, N214+(IFERROR(IF(30*INDEX('UA-normalized'!$D:$D, MATCH($A214, 'UA-normalized'!$A:$A, 0))-INDEX('UA-normalized'!$E:$E, MATCH($A214, 'UA-normalized'!$A:$A, 0))&gt;0, -(30*INDEX('UA-normalized'!$D:$D, MATCH($A214, 'UA-normalized'!$A:$A, 0))-INDEX('UA-normalized'!$E:$E, MATCH($A214, 'UA-normalized'!$A:$A, 0))), 0), 0))+(IFERROR(IF(30*INDEX('KZ-normalized'!$D:$D, MATCH($A214, 'KZ-normalized'!$A:$A, 0))-INDEX('KZ-normalized'!$E:$E, MATCH($A214, 'KZ-normalized'!$A:$A, 0))&gt;0, -(30*INDEX('KZ-normalized'!$D:$D, MATCH($A214, 'KZ-normalized'!$A:$A, 0))-INDEX('KZ-normalized'!$E:$E, MATCH($A214, 'KZ-normalized'!$A:$A, 0))), 0), 0))+(IFERROR(IF(30*INDEX('UZ-normalized'!$D:$D, MATCH($A214, 'UZ-normalized'!$A:$A, 0))-INDEX('UZ-normalized'!$E:$E, MATCH($A214, 'UZ-normalized'!$A:$A, 0))&gt;0, -(30*INDEX('UZ-normalized'!$D:$D, MATCH($A214, 'UZ-normalized'!$A:$A, 0))-INDEX('UZ-normalized'!$E:$E, MATCH($A214, 'UZ-normalized'!$A:$A, 0))), 0), 0)))</f>
        <v>-597</v>
      </c>
    </row>
    <row r="215" spans="1:44" x14ac:dyDescent="0.25">
      <c r="A215" s="8" t="s">
        <v>511</v>
      </c>
      <c r="B215" s="8" t="s">
        <v>492</v>
      </c>
      <c r="C215" s="8" t="s">
        <v>493</v>
      </c>
      <c r="D215" s="8" t="s">
        <v>512</v>
      </c>
      <c r="N215">
        <f t="shared" si="3"/>
        <v>0</v>
      </c>
      <c r="O215" s="6">
        <f>MIN(0, N215+(IFERROR(IF(1*INDEX('UA-normalized'!$D:$D, MATCH($A215, 'UA-normalized'!$A:$A, 0))-INDEX('UA-normalized'!$E:$E, MATCH($A215, 'UA-normalized'!$A:$A, 0))&gt;0, -(1*INDEX('UA-normalized'!$D:$D, MATCH($A215, 'UA-normalized'!$A:$A, 0))-INDEX('UA-normalized'!$E:$E, MATCH($A215, 'UA-normalized'!$A:$A, 0))), 0), 0))+(IFERROR(IF(1*INDEX('KZ-normalized'!$D:$D, MATCH($A215, 'KZ-normalized'!$A:$A, 0))-INDEX('KZ-normalized'!$E:$E, MATCH($A215, 'KZ-normalized'!$A:$A, 0))&gt;0, -(1*INDEX('KZ-normalized'!$D:$D, MATCH($A215, 'KZ-normalized'!$A:$A, 0))-INDEX('KZ-normalized'!$E:$E, MATCH($A215, 'KZ-normalized'!$A:$A, 0))), 0), 0))+(IFERROR(IF(1*INDEX('UZ-normalized'!$D:$D, MATCH($A215, 'UZ-normalized'!$A:$A, 0))-INDEX('UZ-normalized'!$E:$E, MATCH($A215, 'UZ-normalized'!$A:$A, 0))&gt;0, -(1*INDEX('UZ-normalized'!$D:$D, MATCH($A215, 'UZ-normalized'!$A:$A, 0))-INDEX('UZ-normalized'!$E:$E, MATCH($A215, 'UZ-normalized'!$A:$A, 0))), 0), 0)))</f>
        <v>0</v>
      </c>
      <c r="P215" s="6">
        <f>MIN(0, N215+(IFERROR(IF(2*INDEX('UA-normalized'!$D:$D, MATCH($A215, 'UA-normalized'!$A:$A, 0))-INDEX('UA-normalized'!$E:$E, MATCH($A215, 'UA-normalized'!$A:$A, 0))&gt;0, -(2*INDEX('UA-normalized'!$D:$D, MATCH($A215, 'UA-normalized'!$A:$A, 0))-INDEX('UA-normalized'!$E:$E, MATCH($A215, 'UA-normalized'!$A:$A, 0))), 0), 0))+(IFERROR(IF(2*INDEX('KZ-normalized'!$D:$D, MATCH($A215, 'KZ-normalized'!$A:$A, 0))-INDEX('KZ-normalized'!$E:$E, MATCH($A215, 'KZ-normalized'!$A:$A, 0))&gt;0, -(2*INDEX('KZ-normalized'!$D:$D, MATCH($A215, 'KZ-normalized'!$A:$A, 0))-INDEX('KZ-normalized'!$E:$E, MATCH($A215, 'KZ-normalized'!$A:$A, 0))), 0), 0))+(IFERROR(IF(2*INDEX('UZ-normalized'!$D:$D, MATCH($A215, 'UZ-normalized'!$A:$A, 0))-INDEX('UZ-normalized'!$E:$E, MATCH($A215, 'UZ-normalized'!$A:$A, 0))&gt;0, -(2*INDEX('UZ-normalized'!$D:$D, MATCH($A215, 'UZ-normalized'!$A:$A, 0))-INDEX('UZ-normalized'!$E:$E, MATCH($A215, 'UZ-normalized'!$A:$A, 0))), 0), 0)))</f>
        <v>0</v>
      </c>
      <c r="Q215" s="6">
        <f>MIN(0, N215+(IFERROR(IF(3*INDEX('UA-normalized'!$D:$D, MATCH($A215, 'UA-normalized'!$A:$A, 0))-INDEX('UA-normalized'!$E:$E, MATCH($A215, 'UA-normalized'!$A:$A, 0))&gt;0, -(3*INDEX('UA-normalized'!$D:$D, MATCH($A215, 'UA-normalized'!$A:$A, 0))-INDEX('UA-normalized'!$E:$E, MATCH($A215, 'UA-normalized'!$A:$A, 0))), 0), 0))+(IFERROR(IF(3*INDEX('KZ-normalized'!$D:$D, MATCH($A215, 'KZ-normalized'!$A:$A, 0))-INDEX('KZ-normalized'!$E:$E, MATCH($A215, 'KZ-normalized'!$A:$A, 0))&gt;0, -(3*INDEX('KZ-normalized'!$D:$D, MATCH($A215, 'KZ-normalized'!$A:$A, 0))-INDEX('KZ-normalized'!$E:$E, MATCH($A215, 'KZ-normalized'!$A:$A, 0))), 0), 0))+(IFERROR(IF(3*INDEX('UZ-normalized'!$D:$D, MATCH($A215, 'UZ-normalized'!$A:$A, 0))-INDEX('UZ-normalized'!$E:$E, MATCH($A215, 'UZ-normalized'!$A:$A, 0))&gt;0, -(3*INDEX('UZ-normalized'!$D:$D, MATCH($A215, 'UZ-normalized'!$A:$A, 0))-INDEX('UZ-normalized'!$E:$E, MATCH($A215, 'UZ-normalized'!$A:$A, 0))), 0), 0)))</f>
        <v>0</v>
      </c>
      <c r="R215" s="6">
        <f>MIN(0, N215+(IFERROR(IF(4*INDEX('UA-normalized'!$D:$D, MATCH($A215, 'UA-normalized'!$A:$A, 0))-INDEX('UA-normalized'!$E:$E, MATCH($A215, 'UA-normalized'!$A:$A, 0))&gt;0, -(4*INDEX('UA-normalized'!$D:$D, MATCH($A215, 'UA-normalized'!$A:$A, 0))-INDEX('UA-normalized'!$E:$E, MATCH($A215, 'UA-normalized'!$A:$A, 0))), 0), 0))+(IFERROR(IF(4*INDEX('KZ-normalized'!$D:$D, MATCH($A215, 'KZ-normalized'!$A:$A, 0))-INDEX('KZ-normalized'!$E:$E, MATCH($A215, 'KZ-normalized'!$A:$A, 0))&gt;0, -(4*INDEX('KZ-normalized'!$D:$D, MATCH($A215, 'KZ-normalized'!$A:$A, 0))-INDEX('KZ-normalized'!$E:$E, MATCH($A215, 'KZ-normalized'!$A:$A, 0))), 0), 0))+(IFERROR(IF(4*INDEX('UZ-normalized'!$D:$D, MATCH($A215, 'UZ-normalized'!$A:$A, 0))-INDEX('UZ-normalized'!$E:$E, MATCH($A215, 'UZ-normalized'!$A:$A, 0))&gt;0, -(4*INDEX('UZ-normalized'!$D:$D, MATCH($A215, 'UZ-normalized'!$A:$A, 0))-INDEX('UZ-normalized'!$E:$E, MATCH($A215, 'UZ-normalized'!$A:$A, 0))), 0), 0)))</f>
        <v>0</v>
      </c>
      <c r="S215" s="6">
        <f>MIN(0, N215+(IFERROR(IF(5*INDEX('UA-normalized'!$D:$D, MATCH($A215, 'UA-normalized'!$A:$A, 0))-INDEX('UA-normalized'!$E:$E, MATCH($A215, 'UA-normalized'!$A:$A, 0))&gt;0, -(5*INDEX('UA-normalized'!$D:$D, MATCH($A215, 'UA-normalized'!$A:$A, 0))-INDEX('UA-normalized'!$E:$E, MATCH($A215, 'UA-normalized'!$A:$A, 0))), 0), 0))+(IFERROR(IF(5*INDEX('KZ-normalized'!$D:$D, MATCH($A215, 'KZ-normalized'!$A:$A, 0))-INDEX('KZ-normalized'!$E:$E, MATCH($A215, 'KZ-normalized'!$A:$A, 0))&gt;0, -(5*INDEX('KZ-normalized'!$D:$D, MATCH($A215, 'KZ-normalized'!$A:$A, 0))-INDEX('KZ-normalized'!$E:$E, MATCH($A215, 'KZ-normalized'!$A:$A, 0))), 0), 0))+(IFERROR(IF(5*INDEX('UZ-normalized'!$D:$D, MATCH($A215, 'UZ-normalized'!$A:$A, 0))-INDEX('UZ-normalized'!$E:$E, MATCH($A215, 'UZ-normalized'!$A:$A, 0))&gt;0, -(5*INDEX('UZ-normalized'!$D:$D, MATCH($A215, 'UZ-normalized'!$A:$A, 0))-INDEX('UZ-normalized'!$E:$E, MATCH($A215, 'UZ-normalized'!$A:$A, 0))), 0), 0)))</f>
        <v>0</v>
      </c>
      <c r="T215" s="6">
        <f>MIN(0, N215+(IFERROR(IF(6*INDEX('UA-normalized'!$D:$D, MATCH($A215, 'UA-normalized'!$A:$A, 0))-INDEX('UA-normalized'!$E:$E, MATCH($A215, 'UA-normalized'!$A:$A, 0))&gt;0, -(6*INDEX('UA-normalized'!$D:$D, MATCH($A215, 'UA-normalized'!$A:$A, 0))-INDEX('UA-normalized'!$E:$E, MATCH($A215, 'UA-normalized'!$A:$A, 0))), 0), 0))+(IFERROR(IF(6*INDEX('KZ-normalized'!$D:$D, MATCH($A215, 'KZ-normalized'!$A:$A, 0))-INDEX('KZ-normalized'!$E:$E, MATCH($A215, 'KZ-normalized'!$A:$A, 0))&gt;0, -(6*INDEX('KZ-normalized'!$D:$D, MATCH($A215, 'KZ-normalized'!$A:$A, 0))-INDEX('KZ-normalized'!$E:$E, MATCH($A215, 'KZ-normalized'!$A:$A, 0))), 0), 0))+(IFERROR(IF(6*INDEX('UZ-normalized'!$D:$D, MATCH($A215, 'UZ-normalized'!$A:$A, 0))-INDEX('UZ-normalized'!$E:$E, MATCH($A215, 'UZ-normalized'!$A:$A, 0))&gt;0, -(6*INDEX('UZ-normalized'!$D:$D, MATCH($A215, 'UZ-normalized'!$A:$A, 0))-INDEX('UZ-normalized'!$E:$E, MATCH($A215, 'UZ-normalized'!$A:$A, 0))), 0), 0)))</f>
        <v>0</v>
      </c>
      <c r="U215" s="6">
        <f>MIN(0, N215+(IFERROR(IF(7*INDEX('UA-normalized'!$D:$D, MATCH($A215, 'UA-normalized'!$A:$A, 0))-INDEX('UA-normalized'!$E:$E, MATCH($A215, 'UA-normalized'!$A:$A, 0))&gt;0, -(7*INDEX('UA-normalized'!$D:$D, MATCH($A215, 'UA-normalized'!$A:$A, 0))-INDEX('UA-normalized'!$E:$E, MATCH($A215, 'UA-normalized'!$A:$A, 0))), 0), 0))+(IFERROR(IF(7*INDEX('KZ-normalized'!$D:$D, MATCH($A215, 'KZ-normalized'!$A:$A, 0))-INDEX('KZ-normalized'!$E:$E, MATCH($A215, 'KZ-normalized'!$A:$A, 0))&gt;0, -(7*INDEX('KZ-normalized'!$D:$D, MATCH($A215, 'KZ-normalized'!$A:$A, 0))-INDEX('KZ-normalized'!$E:$E, MATCH($A215, 'KZ-normalized'!$A:$A, 0))), 0), 0))+(IFERROR(IF(7*INDEX('UZ-normalized'!$D:$D, MATCH($A215, 'UZ-normalized'!$A:$A, 0))-INDEX('UZ-normalized'!$E:$E, MATCH($A215, 'UZ-normalized'!$A:$A, 0))&gt;0, -(7*INDEX('UZ-normalized'!$D:$D, MATCH($A215, 'UZ-normalized'!$A:$A, 0))-INDEX('UZ-normalized'!$E:$E, MATCH($A215, 'UZ-normalized'!$A:$A, 0))), 0), 0)))</f>
        <v>0</v>
      </c>
      <c r="V215" s="6">
        <f>MIN(0, N215+(IFERROR(IF(8*INDEX('UA-normalized'!$D:$D, MATCH($A215, 'UA-normalized'!$A:$A, 0))-INDEX('UA-normalized'!$E:$E, MATCH($A215, 'UA-normalized'!$A:$A, 0))&gt;0, -(8*INDEX('UA-normalized'!$D:$D, MATCH($A215, 'UA-normalized'!$A:$A, 0))-INDEX('UA-normalized'!$E:$E, MATCH($A215, 'UA-normalized'!$A:$A, 0))), 0), 0))+(IFERROR(IF(8*INDEX('KZ-normalized'!$D:$D, MATCH($A215, 'KZ-normalized'!$A:$A, 0))-INDEX('KZ-normalized'!$E:$E, MATCH($A215, 'KZ-normalized'!$A:$A, 0))&gt;0, -(8*INDEX('KZ-normalized'!$D:$D, MATCH($A215, 'KZ-normalized'!$A:$A, 0))-INDEX('KZ-normalized'!$E:$E, MATCH($A215, 'KZ-normalized'!$A:$A, 0))), 0), 0))+(IFERROR(IF(8*INDEX('UZ-normalized'!$D:$D, MATCH($A215, 'UZ-normalized'!$A:$A, 0))-INDEX('UZ-normalized'!$E:$E, MATCH($A215, 'UZ-normalized'!$A:$A, 0))&gt;0, -(8*INDEX('UZ-normalized'!$D:$D, MATCH($A215, 'UZ-normalized'!$A:$A, 0))-INDEX('UZ-normalized'!$E:$E, MATCH($A215, 'UZ-normalized'!$A:$A, 0))), 0), 0)))</f>
        <v>0</v>
      </c>
      <c r="W215" s="6">
        <f>MIN(0, N215+(IFERROR(IF(9*INDEX('UA-normalized'!$D:$D, MATCH($A215, 'UA-normalized'!$A:$A, 0))-INDEX('UA-normalized'!$E:$E, MATCH($A215, 'UA-normalized'!$A:$A, 0))&gt;0, -(9*INDEX('UA-normalized'!$D:$D, MATCH($A215, 'UA-normalized'!$A:$A, 0))-INDEX('UA-normalized'!$E:$E, MATCH($A215, 'UA-normalized'!$A:$A, 0))), 0), 0))+(IFERROR(IF(9*INDEX('KZ-normalized'!$D:$D, MATCH($A215, 'KZ-normalized'!$A:$A, 0))-INDEX('KZ-normalized'!$E:$E, MATCH($A215, 'KZ-normalized'!$A:$A, 0))&gt;0, -(9*INDEX('KZ-normalized'!$D:$D, MATCH($A215, 'KZ-normalized'!$A:$A, 0))-INDEX('KZ-normalized'!$E:$E, MATCH($A215, 'KZ-normalized'!$A:$A, 0))), 0), 0))+(IFERROR(IF(9*INDEX('UZ-normalized'!$D:$D, MATCH($A215, 'UZ-normalized'!$A:$A, 0))-INDEX('UZ-normalized'!$E:$E, MATCH($A215, 'UZ-normalized'!$A:$A, 0))&gt;0, -(9*INDEX('UZ-normalized'!$D:$D, MATCH($A215, 'UZ-normalized'!$A:$A, 0))-INDEX('UZ-normalized'!$E:$E, MATCH($A215, 'UZ-normalized'!$A:$A, 0))), 0), 0)))</f>
        <v>0</v>
      </c>
      <c r="X215" s="6">
        <f>MIN(0, N215+(IFERROR(IF(10*INDEX('UA-normalized'!$D:$D, MATCH($A215, 'UA-normalized'!$A:$A, 0))-INDEX('UA-normalized'!$E:$E, MATCH($A215, 'UA-normalized'!$A:$A, 0))&gt;0, -(10*INDEX('UA-normalized'!$D:$D, MATCH($A215, 'UA-normalized'!$A:$A, 0))-INDEX('UA-normalized'!$E:$E, MATCH($A215, 'UA-normalized'!$A:$A, 0))), 0), 0))+(IFERROR(IF(10*INDEX('KZ-normalized'!$D:$D, MATCH($A215, 'KZ-normalized'!$A:$A, 0))-INDEX('KZ-normalized'!$E:$E, MATCH($A215, 'KZ-normalized'!$A:$A, 0))&gt;0, -(10*INDEX('KZ-normalized'!$D:$D, MATCH($A215, 'KZ-normalized'!$A:$A, 0))-INDEX('KZ-normalized'!$E:$E, MATCH($A215, 'KZ-normalized'!$A:$A, 0))), 0), 0))+(IFERROR(IF(10*INDEX('UZ-normalized'!$D:$D, MATCH($A215, 'UZ-normalized'!$A:$A, 0))-INDEX('UZ-normalized'!$E:$E, MATCH($A215, 'UZ-normalized'!$A:$A, 0))&gt;0, -(10*INDEX('UZ-normalized'!$D:$D, MATCH($A215, 'UZ-normalized'!$A:$A, 0))-INDEX('UZ-normalized'!$E:$E, MATCH($A215, 'UZ-normalized'!$A:$A, 0))), 0), 0)))</f>
        <v>0</v>
      </c>
      <c r="Y215" s="6">
        <f>MIN(0, N215+(IFERROR(IF(11*INDEX('UA-normalized'!$D:$D, MATCH($A215, 'UA-normalized'!$A:$A, 0))-INDEX('UA-normalized'!$E:$E, MATCH($A215, 'UA-normalized'!$A:$A, 0))&gt;0, -(11*INDEX('UA-normalized'!$D:$D, MATCH($A215, 'UA-normalized'!$A:$A, 0))-INDEX('UA-normalized'!$E:$E, MATCH($A215, 'UA-normalized'!$A:$A, 0))), 0), 0))+(IFERROR(IF(11*INDEX('KZ-normalized'!$D:$D, MATCH($A215, 'KZ-normalized'!$A:$A, 0))-INDEX('KZ-normalized'!$E:$E, MATCH($A215, 'KZ-normalized'!$A:$A, 0))&gt;0, -(11*INDEX('KZ-normalized'!$D:$D, MATCH($A215, 'KZ-normalized'!$A:$A, 0))-INDEX('KZ-normalized'!$E:$E, MATCH($A215, 'KZ-normalized'!$A:$A, 0))), 0), 0))+(IFERROR(IF(11*INDEX('UZ-normalized'!$D:$D, MATCH($A215, 'UZ-normalized'!$A:$A, 0))-INDEX('UZ-normalized'!$E:$E, MATCH($A215, 'UZ-normalized'!$A:$A, 0))&gt;0, -(11*INDEX('UZ-normalized'!$D:$D, MATCH($A215, 'UZ-normalized'!$A:$A, 0))-INDEX('UZ-normalized'!$E:$E, MATCH($A215, 'UZ-normalized'!$A:$A, 0))), 0), 0)))</f>
        <v>0</v>
      </c>
      <c r="Z215" s="6">
        <f>MIN(0, N215+(IFERROR(IF(12*INDEX('UA-normalized'!$D:$D, MATCH($A215, 'UA-normalized'!$A:$A, 0))-INDEX('UA-normalized'!$E:$E, MATCH($A215, 'UA-normalized'!$A:$A, 0))&gt;0, -(12*INDEX('UA-normalized'!$D:$D, MATCH($A215, 'UA-normalized'!$A:$A, 0))-INDEX('UA-normalized'!$E:$E, MATCH($A215, 'UA-normalized'!$A:$A, 0))), 0), 0))+(IFERROR(IF(12*INDEX('KZ-normalized'!$D:$D, MATCH($A215, 'KZ-normalized'!$A:$A, 0))-INDEX('KZ-normalized'!$E:$E, MATCH($A215, 'KZ-normalized'!$A:$A, 0))&gt;0, -(12*INDEX('KZ-normalized'!$D:$D, MATCH($A215, 'KZ-normalized'!$A:$A, 0))-INDEX('KZ-normalized'!$E:$E, MATCH($A215, 'KZ-normalized'!$A:$A, 0))), 0), 0))+(IFERROR(IF(12*INDEX('UZ-normalized'!$D:$D, MATCH($A215, 'UZ-normalized'!$A:$A, 0))-INDEX('UZ-normalized'!$E:$E, MATCH($A215, 'UZ-normalized'!$A:$A, 0))&gt;0, -(12*INDEX('UZ-normalized'!$D:$D, MATCH($A215, 'UZ-normalized'!$A:$A, 0))-INDEX('UZ-normalized'!$E:$E, MATCH($A215, 'UZ-normalized'!$A:$A, 0))), 0), 0)))</f>
        <v>0</v>
      </c>
      <c r="AA215" s="6">
        <f>MIN(0, N215+(IFERROR(IF(13*INDEX('UA-normalized'!$D:$D, MATCH($A215, 'UA-normalized'!$A:$A, 0))-INDEX('UA-normalized'!$E:$E, MATCH($A215, 'UA-normalized'!$A:$A, 0))&gt;0, -(13*INDEX('UA-normalized'!$D:$D, MATCH($A215, 'UA-normalized'!$A:$A, 0))-INDEX('UA-normalized'!$E:$E, MATCH($A215, 'UA-normalized'!$A:$A, 0))), 0), 0))+(IFERROR(IF(13*INDEX('KZ-normalized'!$D:$D, MATCH($A215, 'KZ-normalized'!$A:$A, 0))-INDEX('KZ-normalized'!$E:$E, MATCH($A215, 'KZ-normalized'!$A:$A, 0))&gt;0, -(13*INDEX('KZ-normalized'!$D:$D, MATCH($A215, 'KZ-normalized'!$A:$A, 0))-INDEX('KZ-normalized'!$E:$E, MATCH($A215, 'KZ-normalized'!$A:$A, 0))), 0), 0))+(IFERROR(IF(13*INDEX('UZ-normalized'!$D:$D, MATCH($A215, 'UZ-normalized'!$A:$A, 0))-INDEX('UZ-normalized'!$E:$E, MATCH($A215, 'UZ-normalized'!$A:$A, 0))&gt;0, -(13*INDEX('UZ-normalized'!$D:$D, MATCH($A215, 'UZ-normalized'!$A:$A, 0))-INDEX('UZ-normalized'!$E:$E, MATCH($A215, 'UZ-normalized'!$A:$A, 0))), 0), 0)))</f>
        <v>0</v>
      </c>
      <c r="AB215" s="6">
        <f>MIN(0, N215+(IFERROR(IF(14*INDEX('UA-normalized'!$D:$D, MATCH($A215, 'UA-normalized'!$A:$A, 0))-INDEX('UA-normalized'!$E:$E, MATCH($A215, 'UA-normalized'!$A:$A, 0))&gt;0, -(14*INDEX('UA-normalized'!$D:$D, MATCH($A215, 'UA-normalized'!$A:$A, 0))-INDEX('UA-normalized'!$E:$E, MATCH($A215, 'UA-normalized'!$A:$A, 0))), 0), 0))+(IFERROR(IF(14*INDEX('KZ-normalized'!$D:$D, MATCH($A215, 'KZ-normalized'!$A:$A, 0))-INDEX('KZ-normalized'!$E:$E, MATCH($A215, 'KZ-normalized'!$A:$A, 0))&gt;0, -(14*INDEX('KZ-normalized'!$D:$D, MATCH($A215, 'KZ-normalized'!$A:$A, 0))-INDEX('KZ-normalized'!$E:$E, MATCH($A215, 'KZ-normalized'!$A:$A, 0))), 0), 0))+(IFERROR(IF(14*INDEX('UZ-normalized'!$D:$D, MATCH($A215, 'UZ-normalized'!$A:$A, 0))-INDEX('UZ-normalized'!$E:$E, MATCH($A215, 'UZ-normalized'!$A:$A, 0))&gt;0, -(14*INDEX('UZ-normalized'!$D:$D, MATCH($A215, 'UZ-normalized'!$A:$A, 0))-INDEX('UZ-normalized'!$E:$E, MATCH($A215, 'UZ-normalized'!$A:$A, 0))), 0), 0)))</f>
        <v>0</v>
      </c>
      <c r="AC215" s="6">
        <f>MIN(0, N215+(IFERROR(IF(15*INDEX('UA-normalized'!$D:$D, MATCH($A215, 'UA-normalized'!$A:$A, 0))-INDEX('UA-normalized'!$E:$E, MATCH($A215, 'UA-normalized'!$A:$A, 0))&gt;0, -(15*INDEX('UA-normalized'!$D:$D, MATCH($A215, 'UA-normalized'!$A:$A, 0))-INDEX('UA-normalized'!$E:$E, MATCH($A215, 'UA-normalized'!$A:$A, 0))), 0), 0))+(IFERROR(IF(15*INDEX('KZ-normalized'!$D:$D, MATCH($A215, 'KZ-normalized'!$A:$A, 0))-INDEX('KZ-normalized'!$E:$E, MATCH($A215, 'KZ-normalized'!$A:$A, 0))&gt;0, -(15*INDEX('KZ-normalized'!$D:$D, MATCH($A215, 'KZ-normalized'!$A:$A, 0))-INDEX('KZ-normalized'!$E:$E, MATCH($A215, 'KZ-normalized'!$A:$A, 0))), 0), 0))+(IFERROR(IF(15*INDEX('UZ-normalized'!$D:$D, MATCH($A215, 'UZ-normalized'!$A:$A, 0))-INDEX('UZ-normalized'!$E:$E, MATCH($A215, 'UZ-normalized'!$A:$A, 0))&gt;0, -(15*INDEX('UZ-normalized'!$D:$D, MATCH($A215, 'UZ-normalized'!$A:$A, 0))-INDEX('UZ-normalized'!$E:$E, MATCH($A215, 'UZ-normalized'!$A:$A, 0))), 0), 0)))</f>
        <v>0</v>
      </c>
      <c r="AD215" s="6">
        <f>MIN(0, N215+(IFERROR(IF(16*INDEX('UA-normalized'!$D:$D, MATCH($A215, 'UA-normalized'!$A:$A, 0))-INDEX('UA-normalized'!$E:$E, MATCH($A215, 'UA-normalized'!$A:$A, 0))&gt;0, -(16*INDEX('UA-normalized'!$D:$D, MATCH($A215, 'UA-normalized'!$A:$A, 0))-INDEX('UA-normalized'!$E:$E, MATCH($A215, 'UA-normalized'!$A:$A, 0))), 0), 0))+(IFERROR(IF(16*INDEX('KZ-normalized'!$D:$D, MATCH($A215, 'KZ-normalized'!$A:$A, 0))-INDEX('KZ-normalized'!$E:$E, MATCH($A215, 'KZ-normalized'!$A:$A, 0))&gt;0, -(16*INDEX('KZ-normalized'!$D:$D, MATCH($A215, 'KZ-normalized'!$A:$A, 0))-INDEX('KZ-normalized'!$E:$E, MATCH($A215, 'KZ-normalized'!$A:$A, 0))), 0), 0))+(IFERROR(IF(16*INDEX('UZ-normalized'!$D:$D, MATCH($A215, 'UZ-normalized'!$A:$A, 0))-INDEX('UZ-normalized'!$E:$E, MATCH($A215, 'UZ-normalized'!$A:$A, 0))&gt;0, -(16*INDEX('UZ-normalized'!$D:$D, MATCH($A215, 'UZ-normalized'!$A:$A, 0))-INDEX('UZ-normalized'!$E:$E, MATCH($A215, 'UZ-normalized'!$A:$A, 0))), 0), 0)))</f>
        <v>0</v>
      </c>
      <c r="AE215" s="6">
        <f>MIN(0, N215+(IFERROR(IF(17*INDEX('UA-normalized'!$D:$D, MATCH($A215, 'UA-normalized'!$A:$A, 0))-INDEX('UA-normalized'!$E:$E, MATCH($A215, 'UA-normalized'!$A:$A, 0))&gt;0, -(17*INDEX('UA-normalized'!$D:$D, MATCH($A215, 'UA-normalized'!$A:$A, 0))-INDEX('UA-normalized'!$E:$E, MATCH($A215, 'UA-normalized'!$A:$A, 0))), 0), 0))+(IFERROR(IF(17*INDEX('KZ-normalized'!$D:$D, MATCH($A215, 'KZ-normalized'!$A:$A, 0))-INDEX('KZ-normalized'!$E:$E, MATCH($A215, 'KZ-normalized'!$A:$A, 0))&gt;0, -(17*INDEX('KZ-normalized'!$D:$D, MATCH($A215, 'KZ-normalized'!$A:$A, 0))-INDEX('KZ-normalized'!$E:$E, MATCH($A215, 'KZ-normalized'!$A:$A, 0))), 0), 0))+(IFERROR(IF(17*INDEX('UZ-normalized'!$D:$D, MATCH($A215, 'UZ-normalized'!$A:$A, 0))-INDEX('UZ-normalized'!$E:$E, MATCH($A215, 'UZ-normalized'!$A:$A, 0))&gt;0, -(17*INDEX('UZ-normalized'!$D:$D, MATCH($A215, 'UZ-normalized'!$A:$A, 0))-INDEX('UZ-normalized'!$E:$E, MATCH($A215, 'UZ-normalized'!$A:$A, 0))), 0), 0)))</f>
        <v>0</v>
      </c>
      <c r="AF215" s="6">
        <f>MIN(0, N215+(IFERROR(IF(18*INDEX('UA-normalized'!$D:$D, MATCH($A215, 'UA-normalized'!$A:$A, 0))-INDEX('UA-normalized'!$E:$E, MATCH($A215, 'UA-normalized'!$A:$A, 0))&gt;0, -(18*INDEX('UA-normalized'!$D:$D, MATCH($A215, 'UA-normalized'!$A:$A, 0))-INDEX('UA-normalized'!$E:$E, MATCH($A215, 'UA-normalized'!$A:$A, 0))), 0), 0))+(IFERROR(IF(18*INDEX('KZ-normalized'!$D:$D, MATCH($A215, 'KZ-normalized'!$A:$A, 0))-INDEX('KZ-normalized'!$E:$E, MATCH($A215, 'KZ-normalized'!$A:$A, 0))&gt;0, -(18*INDEX('KZ-normalized'!$D:$D, MATCH($A215, 'KZ-normalized'!$A:$A, 0))-INDEX('KZ-normalized'!$E:$E, MATCH($A215, 'KZ-normalized'!$A:$A, 0))), 0), 0))+(IFERROR(IF(18*INDEX('UZ-normalized'!$D:$D, MATCH($A215, 'UZ-normalized'!$A:$A, 0))-INDEX('UZ-normalized'!$E:$E, MATCH($A215, 'UZ-normalized'!$A:$A, 0))&gt;0, -(18*INDEX('UZ-normalized'!$D:$D, MATCH($A215, 'UZ-normalized'!$A:$A, 0))-INDEX('UZ-normalized'!$E:$E, MATCH($A215, 'UZ-normalized'!$A:$A, 0))), 0), 0)))</f>
        <v>0</v>
      </c>
      <c r="AG215" s="6">
        <f>MIN(0, N215+(IFERROR(IF(19*INDEX('UA-normalized'!$D:$D, MATCH($A215, 'UA-normalized'!$A:$A, 0))-INDEX('UA-normalized'!$E:$E, MATCH($A215, 'UA-normalized'!$A:$A, 0))&gt;0, -(19*INDEX('UA-normalized'!$D:$D, MATCH($A215, 'UA-normalized'!$A:$A, 0))-INDEX('UA-normalized'!$E:$E, MATCH($A215, 'UA-normalized'!$A:$A, 0))), 0), 0))+(IFERROR(IF(19*INDEX('KZ-normalized'!$D:$D, MATCH($A215, 'KZ-normalized'!$A:$A, 0))-INDEX('KZ-normalized'!$E:$E, MATCH($A215, 'KZ-normalized'!$A:$A, 0))&gt;0, -(19*INDEX('KZ-normalized'!$D:$D, MATCH($A215, 'KZ-normalized'!$A:$A, 0))-INDEX('KZ-normalized'!$E:$E, MATCH($A215, 'KZ-normalized'!$A:$A, 0))), 0), 0))+(IFERROR(IF(19*INDEX('UZ-normalized'!$D:$D, MATCH($A215, 'UZ-normalized'!$A:$A, 0))-INDEX('UZ-normalized'!$E:$E, MATCH($A215, 'UZ-normalized'!$A:$A, 0))&gt;0, -(19*INDEX('UZ-normalized'!$D:$D, MATCH($A215, 'UZ-normalized'!$A:$A, 0))-INDEX('UZ-normalized'!$E:$E, MATCH($A215, 'UZ-normalized'!$A:$A, 0))), 0), 0)))</f>
        <v>0</v>
      </c>
      <c r="AH215" s="6">
        <f>MIN(0, N215+(IFERROR(IF(20*INDEX('UA-normalized'!$D:$D, MATCH($A215, 'UA-normalized'!$A:$A, 0))-INDEX('UA-normalized'!$E:$E, MATCH($A215, 'UA-normalized'!$A:$A, 0))&gt;0, -(20*INDEX('UA-normalized'!$D:$D, MATCH($A215, 'UA-normalized'!$A:$A, 0))-INDEX('UA-normalized'!$E:$E, MATCH($A215, 'UA-normalized'!$A:$A, 0))), 0), 0))+(IFERROR(IF(20*INDEX('KZ-normalized'!$D:$D, MATCH($A215, 'KZ-normalized'!$A:$A, 0))-INDEX('KZ-normalized'!$E:$E, MATCH($A215, 'KZ-normalized'!$A:$A, 0))&gt;0, -(20*INDEX('KZ-normalized'!$D:$D, MATCH($A215, 'KZ-normalized'!$A:$A, 0))-INDEX('KZ-normalized'!$E:$E, MATCH($A215, 'KZ-normalized'!$A:$A, 0))), 0), 0))+(IFERROR(IF(20*INDEX('UZ-normalized'!$D:$D, MATCH($A215, 'UZ-normalized'!$A:$A, 0))-INDEX('UZ-normalized'!$E:$E, MATCH($A215, 'UZ-normalized'!$A:$A, 0))&gt;0, -(20*INDEX('UZ-normalized'!$D:$D, MATCH($A215, 'UZ-normalized'!$A:$A, 0))-INDEX('UZ-normalized'!$E:$E, MATCH($A215, 'UZ-normalized'!$A:$A, 0))), 0), 0)))</f>
        <v>0</v>
      </c>
      <c r="AI215" s="6">
        <f>MIN(0, N215+(IFERROR(IF(21*INDEX('UA-normalized'!$D:$D, MATCH($A215, 'UA-normalized'!$A:$A, 0))-INDEX('UA-normalized'!$E:$E, MATCH($A215, 'UA-normalized'!$A:$A, 0))&gt;0, -(21*INDEX('UA-normalized'!$D:$D, MATCH($A215, 'UA-normalized'!$A:$A, 0))-INDEX('UA-normalized'!$E:$E, MATCH($A215, 'UA-normalized'!$A:$A, 0))), 0), 0))+(IFERROR(IF(21*INDEX('KZ-normalized'!$D:$D, MATCH($A215, 'KZ-normalized'!$A:$A, 0))-INDEX('KZ-normalized'!$E:$E, MATCH($A215, 'KZ-normalized'!$A:$A, 0))&gt;0, -(21*INDEX('KZ-normalized'!$D:$D, MATCH($A215, 'KZ-normalized'!$A:$A, 0))-INDEX('KZ-normalized'!$E:$E, MATCH($A215, 'KZ-normalized'!$A:$A, 0))), 0), 0))+(IFERROR(IF(21*INDEX('UZ-normalized'!$D:$D, MATCH($A215, 'UZ-normalized'!$A:$A, 0))-INDEX('UZ-normalized'!$E:$E, MATCH($A215, 'UZ-normalized'!$A:$A, 0))&gt;0, -(21*INDEX('UZ-normalized'!$D:$D, MATCH($A215, 'UZ-normalized'!$A:$A, 0))-INDEX('UZ-normalized'!$E:$E, MATCH($A215, 'UZ-normalized'!$A:$A, 0))), 0), 0)))</f>
        <v>0</v>
      </c>
      <c r="AJ215" s="6">
        <f>MIN(0, N215+(IFERROR(IF(22*INDEX('UA-normalized'!$D:$D, MATCH($A215, 'UA-normalized'!$A:$A, 0))-INDEX('UA-normalized'!$E:$E, MATCH($A215, 'UA-normalized'!$A:$A, 0))&gt;0, -(22*INDEX('UA-normalized'!$D:$D, MATCH($A215, 'UA-normalized'!$A:$A, 0))-INDEX('UA-normalized'!$E:$E, MATCH($A215, 'UA-normalized'!$A:$A, 0))), 0), 0))+(IFERROR(IF(22*INDEX('KZ-normalized'!$D:$D, MATCH($A215, 'KZ-normalized'!$A:$A, 0))-INDEX('KZ-normalized'!$E:$E, MATCH($A215, 'KZ-normalized'!$A:$A, 0))&gt;0, -(22*INDEX('KZ-normalized'!$D:$D, MATCH($A215, 'KZ-normalized'!$A:$A, 0))-INDEX('KZ-normalized'!$E:$E, MATCH($A215, 'KZ-normalized'!$A:$A, 0))), 0), 0))+(IFERROR(IF(22*INDEX('UZ-normalized'!$D:$D, MATCH($A215, 'UZ-normalized'!$A:$A, 0))-INDEX('UZ-normalized'!$E:$E, MATCH($A215, 'UZ-normalized'!$A:$A, 0))&gt;0, -(22*INDEX('UZ-normalized'!$D:$D, MATCH($A215, 'UZ-normalized'!$A:$A, 0))-INDEX('UZ-normalized'!$E:$E, MATCH($A215, 'UZ-normalized'!$A:$A, 0))), 0), 0)))</f>
        <v>0</v>
      </c>
      <c r="AK215" s="6">
        <f>MIN(0, N215+(IFERROR(IF(23*INDEX('UA-normalized'!$D:$D, MATCH($A215, 'UA-normalized'!$A:$A, 0))-INDEX('UA-normalized'!$E:$E, MATCH($A215, 'UA-normalized'!$A:$A, 0))&gt;0, -(23*INDEX('UA-normalized'!$D:$D, MATCH($A215, 'UA-normalized'!$A:$A, 0))-INDEX('UA-normalized'!$E:$E, MATCH($A215, 'UA-normalized'!$A:$A, 0))), 0), 0))+(IFERROR(IF(23*INDEX('KZ-normalized'!$D:$D, MATCH($A215, 'KZ-normalized'!$A:$A, 0))-INDEX('KZ-normalized'!$E:$E, MATCH($A215, 'KZ-normalized'!$A:$A, 0))&gt;0, -(23*INDEX('KZ-normalized'!$D:$D, MATCH($A215, 'KZ-normalized'!$A:$A, 0))-INDEX('KZ-normalized'!$E:$E, MATCH($A215, 'KZ-normalized'!$A:$A, 0))), 0), 0))+(IFERROR(IF(23*INDEX('UZ-normalized'!$D:$D, MATCH($A215, 'UZ-normalized'!$A:$A, 0))-INDEX('UZ-normalized'!$E:$E, MATCH($A215, 'UZ-normalized'!$A:$A, 0))&gt;0, -(23*INDEX('UZ-normalized'!$D:$D, MATCH($A215, 'UZ-normalized'!$A:$A, 0))-INDEX('UZ-normalized'!$E:$E, MATCH($A215, 'UZ-normalized'!$A:$A, 0))), 0), 0)))</f>
        <v>0</v>
      </c>
      <c r="AL215" s="6">
        <f>MIN(0, N215+(IFERROR(IF(24*INDEX('UA-normalized'!$D:$D, MATCH($A215, 'UA-normalized'!$A:$A, 0))-INDEX('UA-normalized'!$E:$E, MATCH($A215, 'UA-normalized'!$A:$A, 0))&gt;0, -(24*INDEX('UA-normalized'!$D:$D, MATCH($A215, 'UA-normalized'!$A:$A, 0))-INDEX('UA-normalized'!$E:$E, MATCH($A215, 'UA-normalized'!$A:$A, 0))), 0), 0))+(IFERROR(IF(24*INDEX('KZ-normalized'!$D:$D, MATCH($A215, 'KZ-normalized'!$A:$A, 0))-INDEX('KZ-normalized'!$E:$E, MATCH($A215, 'KZ-normalized'!$A:$A, 0))&gt;0, -(24*INDEX('KZ-normalized'!$D:$D, MATCH($A215, 'KZ-normalized'!$A:$A, 0))-INDEX('KZ-normalized'!$E:$E, MATCH($A215, 'KZ-normalized'!$A:$A, 0))), 0), 0))+(IFERROR(IF(24*INDEX('UZ-normalized'!$D:$D, MATCH($A215, 'UZ-normalized'!$A:$A, 0))-INDEX('UZ-normalized'!$E:$E, MATCH($A215, 'UZ-normalized'!$A:$A, 0))&gt;0, -(24*INDEX('UZ-normalized'!$D:$D, MATCH($A215, 'UZ-normalized'!$A:$A, 0))-INDEX('UZ-normalized'!$E:$E, MATCH($A215, 'UZ-normalized'!$A:$A, 0))), 0), 0)))</f>
        <v>0</v>
      </c>
      <c r="AM215" s="6">
        <f>MIN(0, N215+(IFERROR(IF(25*INDEX('UA-normalized'!$D:$D, MATCH($A215, 'UA-normalized'!$A:$A, 0))-INDEX('UA-normalized'!$E:$E, MATCH($A215, 'UA-normalized'!$A:$A, 0))&gt;0, -(25*INDEX('UA-normalized'!$D:$D, MATCH($A215, 'UA-normalized'!$A:$A, 0))-INDEX('UA-normalized'!$E:$E, MATCH($A215, 'UA-normalized'!$A:$A, 0))), 0), 0))+(IFERROR(IF(25*INDEX('KZ-normalized'!$D:$D, MATCH($A215, 'KZ-normalized'!$A:$A, 0))-INDEX('KZ-normalized'!$E:$E, MATCH($A215, 'KZ-normalized'!$A:$A, 0))&gt;0, -(25*INDEX('KZ-normalized'!$D:$D, MATCH($A215, 'KZ-normalized'!$A:$A, 0))-INDEX('KZ-normalized'!$E:$E, MATCH($A215, 'KZ-normalized'!$A:$A, 0))), 0), 0))+(IFERROR(IF(25*INDEX('UZ-normalized'!$D:$D, MATCH($A215, 'UZ-normalized'!$A:$A, 0))-INDEX('UZ-normalized'!$E:$E, MATCH($A215, 'UZ-normalized'!$A:$A, 0))&gt;0, -(25*INDEX('UZ-normalized'!$D:$D, MATCH($A215, 'UZ-normalized'!$A:$A, 0))-INDEX('UZ-normalized'!$E:$E, MATCH($A215, 'UZ-normalized'!$A:$A, 0))), 0), 0)))</f>
        <v>0</v>
      </c>
      <c r="AN215" s="6">
        <f>MIN(0, N215+(IFERROR(IF(26*INDEX('UA-normalized'!$D:$D, MATCH($A215, 'UA-normalized'!$A:$A, 0))-INDEX('UA-normalized'!$E:$E, MATCH($A215, 'UA-normalized'!$A:$A, 0))&gt;0, -(26*INDEX('UA-normalized'!$D:$D, MATCH($A215, 'UA-normalized'!$A:$A, 0))-INDEX('UA-normalized'!$E:$E, MATCH($A215, 'UA-normalized'!$A:$A, 0))), 0), 0))+(IFERROR(IF(26*INDEX('KZ-normalized'!$D:$D, MATCH($A215, 'KZ-normalized'!$A:$A, 0))-INDEX('KZ-normalized'!$E:$E, MATCH($A215, 'KZ-normalized'!$A:$A, 0))&gt;0, -(26*INDEX('KZ-normalized'!$D:$D, MATCH($A215, 'KZ-normalized'!$A:$A, 0))-INDEX('KZ-normalized'!$E:$E, MATCH($A215, 'KZ-normalized'!$A:$A, 0))), 0), 0))+(IFERROR(IF(26*INDEX('UZ-normalized'!$D:$D, MATCH($A215, 'UZ-normalized'!$A:$A, 0))-INDEX('UZ-normalized'!$E:$E, MATCH($A215, 'UZ-normalized'!$A:$A, 0))&gt;0, -(26*INDEX('UZ-normalized'!$D:$D, MATCH($A215, 'UZ-normalized'!$A:$A, 0))-INDEX('UZ-normalized'!$E:$E, MATCH($A215, 'UZ-normalized'!$A:$A, 0))), 0), 0)))</f>
        <v>0</v>
      </c>
      <c r="AO215" s="6">
        <f>MIN(0, N215+(IFERROR(IF(27*INDEX('UA-normalized'!$D:$D, MATCH($A215, 'UA-normalized'!$A:$A, 0))-INDEX('UA-normalized'!$E:$E, MATCH($A215, 'UA-normalized'!$A:$A, 0))&gt;0, -(27*INDEX('UA-normalized'!$D:$D, MATCH($A215, 'UA-normalized'!$A:$A, 0))-INDEX('UA-normalized'!$E:$E, MATCH($A215, 'UA-normalized'!$A:$A, 0))), 0), 0))+(IFERROR(IF(27*INDEX('KZ-normalized'!$D:$D, MATCH($A215, 'KZ-normalized'!$A:$A, 0))-INDEX('KZ-normalized'!$E:$E, MATCH($A215, 'KZ-normalized'!$A:$A, 0))&gt;0, -(27*INDEX('KZ-normalized'!$D:$D, MATCH($A215, 'KZ-normalized'!$A:$A, 0))-INDEX('KZ-normalized'!$E:$E, MATCH($A215, 'KZ-normalized'!$A:$A, 0))), 0), 0))+(IFERROR(IF(27*INDEX('UZ-normalized'!$D:$D, MATCH($A215, 'UZ-normalized'!$A:$A, 0))-INDEX('UZ-normalized'!$E:$E, MATCH($A215, 'UZ-normalized'!$A:$A, 0))&gt;0, -(27*INDEX('UZ-normalized'!$D:$D, MATCH($A215, 'UZ-normalized'!$A:$A, 0))-INDEX('UZ-normalized'!$E:$E, MATCH($A215, 'UZ-normalized'!$A:$A, 0))), 0), 0)))</f>
        <v>0</v>
      </c>
      <c r="AP215" s="6">
        <f>MIN(0, N215+(IFERROR(IF(28*INDEX('UA-normalized'!$D:$D, MATCH($A215, 'UA-normalized'!$A:$A, 0))-INDEX('UA-normalized'!$E:$E, MATCH($A215, 'UA-normalized'!$A:$A, 0))&gt;0, -(28*INDEX('UA-normalized'!$D:$D, MATCH($A215, 'UA-normalized'!$A:$A, 0))-INDEX('UA-normalized'!$E:$E, MATCH($A215, 'UA-normalized'!$A:$A, 0))), 0), 0))+(IFERROR(IF(28*INDEX('KZ-normalized'!$D:$D, MATCH($A215, 'KZ-normalized'!$A:$A, 0))-INDEX('KZ-normalized'!$E:$E, MATCH($A215, 'KZ-normalized'!$A:$A, 0))&gt;0, -(28*INDEX('KZ-normalized'!$D:$D, MATCH($A215, 'KZ-normalized'!$A:$A, 0))-INDEX('KZ-normalized'!$E:$E, MATCH($A215, 'KZ-normalized'!$A:$A, 0))), 0), 0))+(IFERROR(IF(28*INDEX('UZ-normalized'!$D:$D, MATCH($A215, 'UZ-normalized'!$A:$A, 0))-INDEX('UZ-normalized'!$E:$E, MATCH($A215, 'UZ-normalized'!$A:$A, 0))&gt;0, -(28*INDEX('UZ-normalized'!$D:$D, MATCH($A215, 'UZ-normalized'!$A:$A, 0))-INDEX('UZ-normalized'!$E:$E, MATCH($A215, 'UZ-normalized'!$A:$A, 0))), 0), 0)))</f>
        <v>0</v>
      </c>
      <c r="AQ215" s="6">
        <f>MIN(0, N215+(IFERROR(IF(29*INDEX('UA-normalized'!$D:$D, MATCH($A215, 'UA-normalized'!$A:$A, 0))-INDEX('UA-normalized'!$E:$E, MATCH($A215, 'UA-normalized'!$A:$A, 0))&gt;0, -(29*INDEX('UA-normalized'!$D:$D, MATCH($A215, 'UA-normalized'!$A:$A, 0))-INDEX('UA-normalized'!$E:$E, MATCH($A215, 'UA-normalized'!$A:$A, 0))), 0), 0))+(IFERROR(IF(29*INDEX('KZ-normalized'!$D:$D, MATCH($A215, 'KZ-normalized'!$A:$A, 0))-INDEX('KZ-normalized'!$E:$E, MATCH($A215, 'KZ-normalized'!$A:$A, 0))&gt;0, -(29*INDEX('KZ-normalized'!$D:$D, MATCH($A215, 'KZ-normalized'!$A:$A, 0))-INDEX('KZ-normalized'!$E:$E, MATCH($A215, 'KZ-normalized'!$A:$A, 0))), 0), 0))+(IFERROR(IF(29*INDEX('UZ-normalized'!$D:$D, MATCH($A215, 'UZ-normalized'!$A:$A, 0))-INDEX('UZ-normalized'!$E:$E, MATCH($A215, 'UZ-normalized'!$A:$A, 0))&gt;0, -(29*INDEX('UZ-normalized'!$D:$D, MATCH($A215, 'UZ-normalized'!$A:$A, 0))-INDEX('UZ-normalized'!$E:$E, MATCH($A215, 'UZ-normalized'!$A:$A, 0))), 0), 0)))</f>
        <v>0</v>
      </c>
      <c r="AR215" s="6">
        <f>MIN(0, N215+(IFERROR(IF(30*INDEX('UA-normalized'!$D:$D, MATCH($A215, 'UA-normalized'!$A:$A, 0))-INDEX('UA-normalized'!$E:$E, MATCH($A215, 'UA-normalized'!$A:$A, 0))&gt;0, -(30*INDEX('UA-normalized'!$D:$D, MATCH($A215, 'UA-normalized'!$A:$A, 0))-INDEX('UA-normalized'!$E:$E, MATCH($A215, 'UA-normalized'!$A:$A, 0))), 0), 0))+(IFERROR(IF(30*INDEX('KZ-normalized'!$D:$D, MATCH($A215, 'KZ-normalized'!$A:$A, 0))-INDEX('KZ-normalized'!$E:$E, MATCH($A215, 'KZ-normalized'!$A:$A, 0))&gt;0, -(30*INDEX('KZ-normalized'!$D:$D, MATCH($A215, 'KZ-normalized'!$A:$A, 0))-INDEX('KZ-normalized'!$E:$E, MATCH($A215, 'KZ-normalized'!$A:$A, 0))), 0), 0))+(IFERROR(IF(30*INDEX('UZ-normalized'!$D:$D, MATCH($A215, 'UZ-normalized'!$A:$A, 0))-INDEX('UZ-normalized'!$E:$E, MATCH($A215, 'UZ-normalized'!$A:$A, 0))&gt;0, -(30*INDEX('UZ-normalized'!$D:$D, MATCH($A215, 'UZ-normalized'!$A:$A, 0))-INDEX('UZ-normalized'!$E:$E, MATCH($A215, 'UZ-normalized'!$A:$A, 0))), 0), 0)))</f>
        <v>0</v>
      </c>
    </row>
    <row r="216" spans="1:44" x14ac:dyDescent="0.25">
      <c r="A216" s="8" t="s">
        <v>513</v>
      </c>
      <c r="B216" s="8" t="s">
        <v>492</v>
      </c>
      <c r="C216" s="8" t="s">
        <v>493</v>
      </c>
      <c r="D216" s="8" t="s">
        <v>514</v>
      </c>
      <c r="N216">
        <f t="shared" si="3"/>
        <v>0</v>
      </c>
      <c r="O216" s="6">
        <f>MIN(0, N216+(IFERROR(IF(1*INDEX('UA-normalized'!$D:$D, MATCH($A216, 'UA-normalized'!$A:$A, 0))-INDEX('UA-normalized'!$E:$E, MATCH($A216, 'UA-normalized'!$A:$A, 0))&gt;0, -(1*INDEX('UA-normalized'!$D:$D, MATCH($A216, 'UA-normalized'!$A:$A, 0))-INDEX('UA-normalized'!$E:$E, MATCH($A216, 'UA-normalized'!$A:$A, 0))), 0), 0))+(IFERROR(IF(1*INDEX('KZ-normalized'!$D:$D, MATCH($A216, 'KZ-normalized'!$A:$A, 0))-INDEX('KZ-normalized'!$E:$E, MATCH($A216, 'KZ-normalized'!$A:$A, 0))&gt;0, -(1*INDEX('KZ-normalized'!$D:$D, MATCH($A216, 'KZ-normalized'!$A:$A, 0))-INDEX('KZ-normalized'!$E:$E, MATCH($A216, 'KZ-normalized'!$A:$A, 0))), 0), 0))+(IFERROR(IF(1*INDEX('UZ-normalized'!$D:$D, MATCH($A216, 'UZ-normalized'!$A:$A, 0))-INDEX('UZ-normalized'!$E:$E, MATCH($A216, 'UZ-normalized'!$A:$A, 0))&gt;0, -(1*INDEX('UZ-normalized'!$D:$D, MATCH($A216, 'UZ-normalized'!$A:$A, 0))-INDEX('UZ-normalized'!$E:$E, MATCH($A216, 'UZ-normalized'!$A:$A, 0))), 0), 0)))</f>
        <v>0</v>
      </c>
      <c r="P216" s="6">
        <f>MIN(0, N216+(IFERROR(IF(2*INDEX('UA-normalized'!$D:$D, MATCH($A216, 'UA-normalized'!$A:$A, 0))-INDEX('UA-normalized'!$E:$E, MATCH($A216, 'UA-normalized'!$A:$A, 0))&gt;0, -(2*INDEX('UA-normalized'!$D:$D, MATCH($A216, 'UA-normalized'!$A:$A, 0))-INDEX('UA-normalized'!$E:$E, MATCH($A216, 'UA-normalized'!$A:$A, 0))), 0), 0))+(IFERROR(IF(2*INDEX('KZ-normalized'!$D:$D, MATCH($A216, 'KZ-normalized'!$A:$A, 0))-INDEX('KZ-normalized'!$E:$E, MATCH($A216, 'KZ-normalized'!$A:$A, 0))&gt;0, -(2*INDEX('KZ-normalized'!$D:$D, MATCH($A216, 'KZ-normalized'!$A:$A, 0))-INDEX('KZ-normalized'!$E:$E, MATCH($A216, 'KZ-normalized'!$A:$A, 0))), 0), 0))+(IFERROR(IF(2*INDEX('UZ-normalized'!$D:$D, MATCH($A216, 'UZ-normalized'!$A:$A, 0))-INDEX('UZ-normalized'!$E:$E, MATCH($A216, 'UZ-normalized'!$A:$A, 0))&gt;0, -(2*INDEX('UZ-normalized'!$D:$D, MATCH($A216, 'UZ-normalized'!$A:$A, 0))-INDEX('UZ-normalized'!$E:$E, MATCH($A216, 'UZ-normalized'!$A:$A, 0))), 0), 0)))</f>
        <v>0</v>
      </c>
      <c r="Q216" s="6">
        <f>MIN(0, N216+(IFERROR(IF(3*INDEX('UA-normalized'!$D:$D, MATCH($A216, 'UA-normalized'!$A:$A, 0))-INDEX('UA-normalized'!$E:$E, MATCH($A216, 'UA-normalized'!$A:$A, 0))&gt;0, -(3*INDEX('UA-normalized'!$D:$D, MATCH($A216, 'UA-normalized'!$A:$A, 0))-INDEX('UA-normalized'!$E:$E, MATCH($A216, 'UA-normalized'!$A:$A, 0))), 0), 0))+(IFERROR(IF(3*INDEX('KZ-normalized'!$D:$D, MATCH($A216, 'KZ-normalized'!$A:$A, 0))-INDEX('KZ-normalized'!$E:$E, MATCH($A216, 'KZ-normalized'!$A:$A, 0))&gt;0, -(3*INDEX('KZ-normalized'!$D:$D, MATCH($A216, 'KZ-normalized'!$A:$A, 0))-INDEX('KZ-normalized'!$E:$E, MATCH($A216, 'KZ-normalized'!$A:$A, 0))), 0), 0))+(IFERROR(IF(3*INDEX('UZ-normalized'!$D:$D, MATCH($A216, 'UZ-normalized'!$A:$A, 0))-INDEX('UZ-normalized'!$E:$E, MATCH($A216, 'UZ-normalized'!$A:$A, 0))&gt;0, -(3*INDEX('UZ-normalized'!$D:$D, MATCH($A216, 'UZ-normalized'!$A:$A, 0))-INDEX('UZ-normalized'!$E:$E, MATCH($A216, 'UZ-normalized'!$A:$A, 0))), 0), 0)))</f>
        <v>0</v>
      </c>
      <c r="R216" s="6">
        <f>MIN(0, N216+(IFERROR(IF(4*INDEX('UA-normalized'!$D:$D, MATCH($A216, 'UA-normalized'!$A:$A, 0))-INDEX('UA-normalized'!$E:$E, MATCH($A216, 'UA-normalized'!$A:$A, 0))&gt;0, -(4*INDEX('UA-normalized'!$D:$D, MATCH($A216, 'UA-normalized'!$A:$A, 0))-INDEX('UA-normalized'!$E:$E, MATCH($A216, 'UA-normalized'!$A:$A, 0))), 0), 0))+(IFERROR(IF(4*INDEX('KZ-normalized'!$D:$D, MATCH($A216, 'KZ-normalized'!$A:$A, 0))-INDEX('KZ-normalized'!$E:$E, MATCH($A216, 'KZ-normalized'!$A:$A, 0))&gt;0, -(4*INDEX('KZ-normalized'!$D:$D, MATCH($A216, 'KZ-normalized'!$A:$A, 0))-INDEX('KZ-normalized'!$E:$E, MATCH($A216, 'KZ-normalized'!$A:$A, 0))), 0), 0))+(IFERROR(IF(4*INDEX('UZ-normalized'!$D:$D, MATCH($A216, 'UZ-normalized'!$A:$A, 0))-INDEX('UZ-normalized'!$E:$E, MATCH($A216, 'UZ-normalized'!$A:$A, 0))&gt;0, -(4*INDEX('UZ-normalized'!$D:$D, MATCH($A216, 'UZ-normalized'!$A:$A, 0))-INDEX('UZ-normalized'!$E:$E, MATCH($A216, 'UZ-normalized'!$A:$A, 0))), 0), 0)))</f>
        <v>0</v>
      </c>
      <c r="S216" s="6">
        <f>MIN(0, N216+(IFERROR(IF(5*INDEX('UA-normalized'!$D:$D, MATCH($A216, 'UA-normalized'!$A:$A, 0))-INDEX('UA-normalized'!$E:$E, MATCH($A216, 'UA-normalized'!$A:$A, 0))&gt;0, -(5*INDEX('UA-normalized'!$D:$D, MATCH($A216, 'UA-normalized'!$A:$A, 0))-INDEX('UA-normalized'!$E:$E, MATCH($A216, 'UA-normalized'!$A:$A, 0))), 0), 0))+(IFERROR(IF(5*INDEX('KZ-normalized'!$D:$D, MATCH($A216, 'KZ-normalized'!$A:$A, 0))-INDEX('KZ-normalized'!$E:$E, MATCH($A216, 'KZ-normalized'!$A:$A, 0))&gt;0, -(5*INDEX('KZ-normalized'!$D:$D, MATCH($A216, 'KZ-normalized'!$A:$A, 0))-INDEX('KZ-normalized'!$E:$E, MATCH($A216, 'KZ-normalized'!$A:$A, 0))), 0), 0))+(IFERROR(IF(5*INDEX('UZ-normalized'!$D:$D, MATCH($A216, 'UZ-normalized'!$A:$A, 0))-INDEX('UZ-normalized'!$E:$E, MATCH($A216, 'UZ-normalized'!$A:$A, 0))&gt;0, -(5*INDEX('UZ-normalized'!$D:$D, MATCH($A216, 'UZ-normalized'!$A:$A, 0))-INDEX('UZ-normalized'!$E:$E, MATCH($A216, 'UZ-normalized'!$A:$A, 0))), 0), 0)))</f>
        <v>-1</v>
      </c>
      <c r="T216" s="6">
        <f>MIN(0, N216+(IFERROR(IF(6*INDEX('UA-normalized'!$D:$D, MATCH($A216, 'UA-normalized'!$A:$A, 0))-INDEX('UA-normalized'!$E:$E, MATCH($A216, 'UA-normalized'!$A:$A, 0))&gt;0, -(6*INDEX('UA-normalized'!$D:$D, MATCH($A216, 'UA-normalized'!$A:$A, 0))-INDEX('UA-normalized'!$E:$E, MATCH($A216, 'UA-normalized'!$A:$A, 0))), 0), 0))+(IFERROR(IF(6*INDEX('KZ-normalized'!$D:$D, MATCH($A216, 'KZ-normalized'!$A:$A, 0))-INDEX('KZ-normalized'!$E:$E, MATCH($A216, 'KZ-normalized'!$A:$A, 0))&gt;0, -(6*INDEX('KZ-normalized'!$D:$D, MATCH($A216, 'KZ-normalized'!$A:$A, 0))-INDEX('KZ-normalized'!$E:$E, MATCH($A216, 'KZ-normalized'!$A:$A, 0))), 0), 0))+(IFERROR(IF(6*INDEX('UZ-normalized'!$D:$D, MATCH($A216, 'UZ-normalized'!$A:$A, 0))-INDEX('UZ-normalized'!$E:$E, MATCH($A216, 'UZ-normalized'!$A:$A, 0))&gt;0, -(6*INDEX('UZ-normalized'!$D:$D, MATCH($A216, 'UZ-normalized'!$A:$A, 0))-INDEX('UZ-normalized'!$E:$E, MATCH($A216, 'UZ-normalized'!$A:$A, 0))), 0), 0)))</f>
        <v>-3</v>
      </c>
      <c r="U216" s="6">
        <f>MIN(0, N216+(IFERROR(IF(7*INDEX('UA-normalized'!$D:$D, MATCH($A216, 'UA-normalized'!$A:$A, 0))-INDEX('UA-normalized'!$E:$E, MATCH($A216, 'UA-normalized'!$A:$A, 0))&gt;0, -(7*INDEX('UA-normalized'!$D:$D, MATCH($A216, 'UA-normalized'!$A:$A, 0))-INDEX('UA-normalized'!$E:$E, MATCH($A216, 'UA-normalized'!$A:$A, 0))), 0), 0))+(IFERROR(IF(7*INDEX('KZ-normalized'!$D:$D, MATCH($A216, 'KZ-normalized'!$A:$A, 0))-INDEX('KZ-normalized'!$E:$E, MATCH($A216, 'KZ-normalized'!$A:$A, 0))&gt;0, -(7*INDEX('KZ-normalized'!$D:$D, MATCH($A216, 'KZ-normalized'!$A:$A, 0))-INDEX('KZ-normalized'!$E:$E, MATCH($A216, 'KZ-normalized'!$A:$A, 0))), 0), 0))+(IFERROR(IF(7*INDEX('UZ-normalized'!$D:$D, MATCH($A216, 'UZ-normalized'!$A:$A, 0))-INDEX('UZ-normalized'!$E:$E, MATCH($A216, 'UZ-normalized'!$A:$A, 0))&gt;0, -(7*INDEX('UZ-normalized'!$D:$D, MATCH($A216, 'UZ-normalized'!$A:$A, 0))-INDEX('UZ-normalized'!$E:$E, MATCH($A216, 'UZ-normalized'!$A:$A, 0))), 0), 0)))</f>
        <v>-5</v>
      </c>
      <c r="V216" s="6">
        <f>MIN(0, N216+(IFERROR(IF(8*INDEX('UA-normalized'!$D:$D, MATCH($A216, 'UA-normalized'!$A:$A, 0))-INDEX('UA-normalized'!$E:$E, MATCH($A216, 'UA-normalized'!$A:$A, 0))&gt;0, -(8*INDEX('UA-normalized'!$D:$D, MATCH($A216, 'UA-normalized'!$A:$A, 0))-INDEX('UA-normalized'!$E:$E, MATCH($A216, 'UA-normalized'!$A:$A, 0))), 0), 0))+(IFERROR(IF(8*INDEX('KZ-normalized'!$D:$D, MATCH($A216, 'KZ-normalized'!$A:$A, 0))-INDEX('KZ-normalized'!$E:$E, MATCH($A216, 'KZ-normalized'!$A:$A, 0))&gt;0, -(8*INDEX('KZ-normalized'!$D:$D, MATCH($A216, 'KZ-normalized'!$A:$A, 0))-INDEX('KZ-normalized'!$E:$E, MATCH($A216, 'KZ-normalized'!$A:$A, 0))), 0), 0))+(IFERROR(IF(8*INDEX('UZ-normalized'!$D:$D, MATCH($A216, 'UZ-normalized'!$A:$A, 0))-INDEX('UZ-normalized'!$E:$E, MATCH($A216, 'UZ-normalized'!$A:$A, 0))&gt;0, -(8*INDEX('UZ-normalized'!$D:$D, MATCH($A216, 'UZ-normalized'!$A:$A, 0))-INDEX('UZ-normalized'!$E:$E, MATCH($A216, 'UZ-normalized'!$A:$A, 0))), 0), 0)))</f>
        <v>-7</v>
      </c>
      <c r="W216" s="6">
        <f>MIN(0, N216+(IFERROR(IF(9*INDEX('UA-normalized'!$D:$D, MATCH($A216, 'UA-normalized'!$A:$A, 0))-INDEX('UA-normalized'!$E:$E, MATCH($A216, 'UA-normalized'!$A:$A, 0))&gt;0, -(9*INDEX('UA-normalized'!$D:$D, MATCH($A216, 'UA-normalized'!$A:$A, 0))-INDEX('UA-normalized'!$E:$E, MATCH($A216, 'UA-normalized'!$A:$A, 0))), 0), 0))+(IFERROR(IF(9*INDEX('KZ-normalized'!$D:$D, MATCH($A216, 'KZ-normalized'!$A:$A, 0))-INDEX('KZ-normalized'!$E:$E, MATCH($A216, 'KZ-normalized'!$A:$A, 0))&gt;0, -(9*INDEX('KZ-normalized'!$D:$D, MATCH($A216, 'KZ-normalized'!$A:$A, 0))-INDEX('KZ-normalized'!$E:$E, MATCH($A216, 'KZ-normalized'!$A:$A, 0))), 0), 0))+(IFERROR(IF(9*INDEX('UZ-normalized'!$D:$D, MATCH($A216, 'UZ-normalized'!$A:$A, 0))-INDEX('UZ-normalized'!$E:$E, MATCH($A216, 'UZ-normalized'!$A:$A, 0))&gt;0, -(9*INDEX('UZ-normalized'!$D:$D, MATCH($A216, 'UZ-normalized'!$A:$A, 0))-INDEX('UZ-normalized'!$E:$E, MATCH($A216, 'UZ-normalized'!$A:$A, 0))), 0), 0)))</f>
        <v>-9</v>
      </c>
      <c r="X216" s="6">
        <f>MIN(0, N216+(IFERROR(IF(10*INDEX('UA-normalized'!$D:$D, MATCH($A216, 'UA-normalized'!$A:$A, 0))-INDEX('UA-normalized'!$E:$E, MATCH($A216, 'UA-normalized'!$A:$A, 0))&gt;0, -(10*INDEX('UA-normalized'!$D:$D, MATCH($A216, 'UA-normalized'!$A:$A, 0))-INDEX('UA-normalized'!$E:$E, MATCH($A216, 'UA-normalized'!$A:$A, 0))), 0), 0))+(IFERROR(IF(10*INDEX('KZ-normalized'!$D:$D, MATCH($A216, 'KZ-normalized'!$A:$A, 0))-INDEX('KZ-normalized'!$E:$E, MATCH($A216, 'KZ-normalized'!$A:$A, 0))&gt;0, -(10*INDEX('KZ-normalized'!$D:$D, MATCH($A216, 'KZ-normalized'!$A:$A, 0))-INDEX('KZ-normalized'!$E:$E, MATCH($A216, 'KZ-normalized'!$A:$A, 0))), 0), 0))+(IFERROR(IF(10*INDEX('UZ-normalized'!$D:$D, MATCH($A216, 'UZ-normalized'!$A:$A, 0))-INDEX('UZ-normalized'!$E:$E, MATCH($A216, 'UZ-normalized'!$A:$A, 0))&gt;0, -(10*INDEX('UZ-normalized'!$D:$D, MATCH($A216, 'UZ-normalized'!$A:$A, 0))-INDEX('UZ-normalized'!$E:$E, MATCH($A216, 'UZ-normalized'!$A:$A, 0))), 0), 0)))</f>
        <v>-25</v>
      </c>
      <c r="Y216" s="6">
        <f>MIN(0, N216+(IFERROR(IF(11*INDEX('UA-normalized'!$D:$D, MATCH($A216, 'UA-normalized'!$A:$A, 0))-INDEX('UA-normalized'!$E:$E, MATCH($A216, 'UA-normalized'!$A:$A, 0))&gt;0, -(11*INDEX('UA-normalized'!$D:$D, MATCH($A216, 'UA-normalized'!$A:$A, 0))-INDEX('UA-normalized'!$E:$E, MATCH($A216, 'UA-normalized'!$A:$A, 0))), 0), 0))+(IFERROR(IF(11*INDEX('KZ-normalized'!$D:$D, MATCH($A216, 'KZ-normalized'!$A:$A, 0))-INDEX('KZ-normalized'!$E:$E, MATCH($A216, 'KZ-normalized'!$A:$A, 0))&gt;0, -(11*INDEX('KZ-normalized'!$D:$D, MATCH($A216, 'KZ-normalized'!$A:$A, 0))-INDEX('KZ-normalized'!$E:$E, MATCH($A216, 'KZ-normalized'!$A:$A, 0))), 0), 0))+(IFERROR(IF(11*INDEX('UZ-normalized'!$D:$D, MATCH($A216, 'UZ-normalized'!$A:$A, 0))-INDEX('UZ-normalized'!$E:$E, MATCH($A216, 'UZ-normalized'!$A:$A, 0))&gt;0, -(11*INDEX('UZ-normalized'!$D:$D, MATCH($A216, 'UZ-normalized'!$A:$A, 0))-INDEX('UZ-normalized'!$E:$E, MATCH($A216, 'UZ-normalized'!$A:$A, 0))), 0), 0)))</f>
        <v>-42</v>
      </c>
      <c r="Z216" s="6">
        <f>MIN(0, N216+(IFERROR(IF(12*INDEX('UA-normalized'!$D:$D, MATCH($A216, 'UA-normalized'!$A:$A, 0))-INDEX('UA-normalized'!$E:$E, MATCH($A216, 'UA-normalized'!$A:$A, 0))&gt;0, -(12*INDEX('UA-normalized'!$D:$D, MATCH($A216, 'UA-normalized'!$A:$A, 0))-INDEX('UA-normalized'!$E:$E, MATCH($A216, 'UA-normalized'!$A:$A, 0))), 0), 0))+(IFERROR(IF(12*INDEX('KZ-normalized'!$D:$D, MATCH($A216, 'KZ-normalized'!$A:$A, 0))-INDEX('KZ-normalized'!$E:$E, MATCH($A216, 'KZ-normalized'!$A:$A, 0))&gt;0, -(12*INDEX('KZ-normalized'!$D:$D, MATCH($A216, 'KZ-normalized'!$A:$A, 0))-INDEX('KZ-normalized'!$E:$E, MATCH($A216, 'KZ-normalized'!$A:$A, 0))), 0), 0))+(IFERROR(IF(12*INDEX('UZ-normalized'!$D:$D, MATCH($A216, 'UZ-normalized'!$A:$A, 0))-INDEX('UZ-normalized'!$E:$E, MATCH($A216, 'UZ-normalized'!$A:$A, 0))&gt;0, -(12*INDEX('UZ-normalized'!$D:$D, MATCH($A216, 'UZ-normalized'!$A:$A, 0))-INDEX('UZ-normalized'!$E:$E, MATCH($A216, 'UZ-normalized'!$A:$A, 0))), 0), 0)))</f>
        <v>-59</v>
      </c>
      <c r="AA216" s="6">
        <f>MIN(0, N216+(IFERROR(IF(13*INDEX('UA-normalized'!$D:$D, MATCH($A216, 'UA-normalized'!$A:$A, 0))-INDEX('UA-normalized'!$E:$E, MATCH($A216, 'UA-normalized'!$A:$A, 0))&gt;0, -(13*INDEX('UA-normalized'!$D:$D, MATCH($A216, 'UA-normalized'!$A:$A, 0))-INDEX('UA-normalized'!$E:$E, MATCH($A216, 'UA-normalized'!$A:$A, 0))), 0), 0))+(IFERROR(IF(13*INDEX('KZ-normalized'!$D:$D, MATCH($A216, 'KZ-normalized'!$A:$A, 0))-INDEX('KZ-normalized'!$E:$E, MATCH($A216, 'KZ-normalized'!$A:$A, 0))&gt;0, -(13*INDEX('KZ-normalized'!$D:$D, MATCH($A216, 'KZ-normalized'!$A:$A, 0))-INDEX('KZ-normalized'!$E:$E, MATCH($A216, 'KZ-normalized'!$A:$A, 0))), 0), 0))+(IFERROR(IF(13*INDEX('UZ-normalized'!$D:$D, MATCH($A216, 'UZ-normalized'!$A:$A, 0))-INDEX('UZ-normalized'!$E:$E, MATCH($A216, 'UZ-normalized'!$A:$A, 0))&gt;0, -(13*INDEX('UZ-normalized'!$D:$D, MATCH($A216, 'UZ-normalized'!$A:$A, 0))-INDEX('UZ-normalized'!$E:$E, MATCH($A216, 'UZ-normalized'!$A:$A, 0))), 0), 0)))</f>
        <v>-76</v>
      </c>
      <c r="AB216" s="6">
        <f>MIN(0, N216+(IFERROR(IF(14*INDEX('UA-normalized'!$D:$D, MATCH($A216, 'UA-normalized'!$A:$A, 0))-INDEX('UA-normalized'!$E:$E, MATCH($A216, 'UA-normalized'!$A:$A, 0))&gt;0, -(14*INDEX('UA-normalized'!$D:$D, MATCH($A216, 'UA-normalized'!$A:$A, 0))-INDEX('UA-normalized'!$E:$E, MATCH($A216, 'UA-normalized'!$A:$A, 0))), 0), 0))+(IFERROR(IF(14*INDEX('KZ-normalized'!$D:$D, MATCH($A216, 'KZ-normalized'!$A:$A, 0))-INDEX('KZ-normalized'!$E:$E, MATCH($A216, 'KZ-normalized'!$A:$A, 0))&gt;0, -(14*INDEX('KZ-normalized'!$D:$D, MATCH($A216, 'KZ-normalized'!$A:$A, 0))-INDEX('KZ-normalized'!$E:$E, MATCH($A216, 'KZ-normalized'!$A:$A, 0))), 0), 0))+(IFERROR(IF(14*INDEX('UZ-normalized'!$D:$D, MATCH($A216, 'UZ-normalized'!$A:$A, 0))-INDEX('UZ-normalized'!$E:$E, MATCH($A216, 'UZ-normalized'!$A:$A, 0))&gt;0, -(14*INDEX('UZ-normalized'!$D:$D, MATCH($A216, 'UZ-normalized'!$A:$A, 0))-INDEX('UZ-normalized'!$E:$E, MATCH($A216, 'UZ-normalized'!$A:$A, 0))), 0), 0)))</f>
        <v>-93</v>
      </c>
      <c r="AC216" s="6">
        <f>MIN(0, N216+(IFERROR(IF(15*INDEX('UA-normalized'!$D:$D, MATCH($A216, 'UA-normalized'!$A:$A, 0))-INDEX('UA-normalized'!$E:$E, MATCH($A216, 'UA-normalized'!$A:$A, 0))&gt;0, -(15*INDEX('UA-normalized'!$D:$D, MATCH($A216, 'UA-normalized'!$A:$A, 0))-INDEX('UA-normalized'!$E:$E, MATCH($A216, 'UA-normalized'!$A:$A, 0))), 0), 0))+(IFERROR(IF(15*INDEX('KZ-normalized'!$D:$D, MATCH($A216, 'KZ-normalized'!$A:$A, 0))-INDEX('KZ-normalized'!$E:$E, MATCH($A216, 'KZ-normalized'!$A:$A, 0))&gt;0, -(15*INDEX('KZ-normalized'!$D:$D, MATCH($A216, 'KZ-normalized'!$A:$A, 0))-INDEX('KZ-normalized'!$E:$E, MATCH($A216, 'KZ-normalized'!$A:$A, 0))), 0), 0))+(IFERROR(IF(15*INDEX('UZ-normalized'!$D:$D, MATCH($A216, 'UZ-normalized'!$A:$A, 0))-INDEX('UZ-normalized'!$E:$E, MATCH($A216, 'UZ-normalized'!$A:$A, 0))&gt;0, -(15*INDEX('UZ-normalized'!$D:$D, MATCH($A216, 'UZ-normalized'!$A:$A, 0))-INDEX('UZ-normalized'!$E:$E, MATCH($A216, 'UZ-normalized'!$A:$A, 0))), 0), 0)))</f>
        <v>-110</v>
      </c>
      <c r="AD216" s="6">
        <f>MIN(0, N216+(IFERROR(IF(16*INDEX('UA-normalized'!$D:$D, MATCH($A216, 'UA-normalized'!$A:$A, 0))-INDEX('UA-normalized'!$E:$E, MATCH($A216, 'UA-normalized'!$A:$A, 0))&gt;0, -(16*INDEX('UA-normalized'!$D:$D, MATCH($A216, 'UA-normalized'!$A:$A, 0))-INDEX('UA-normalized'!$E:$E, MATCH($A216, 'UA-normalized'!$A:$A, 0))), 0), 0))+(IFERROR(IF(16*INDEX('KZ-normalized'!$D:$D, MATCH($A216, 'KZ-normalized'!$A:$A, 0))-INDEX('KZ-normalized'!$E:$E, MATCH($A216, 'KZ-normalized'!$A:$A, 0))&gt;0, -(16*INDEX('KZ-normalized'!$D:$D, MATCH($A216, 'KZ-normalized'!$A:$A, 0))-INDEX('KZ-normalized'!$E:$E, MATCH($A216, 'KZ-normalized'!$A:$A, 0))), 0), 0))+(IFERROR(IF(16*INDEX('UZ-normalized'!$D:$D, MATCH($A216, 'UZ-normalized'!$A:$A, 0))-INDEX('UZ-normalized'!$E:$E, MATCH($A216, 'UZ-normalized'!$A:$A, 0))&gt;0, -(16*INDEX('UZ-normalized'!$D:$D, MATCH($A216, 'UZ-normalized'!$A:$A, 0))-INDEX('UZ-normalized'!$E:$E, MATCH($A216, 'UZ-normalized'!$A:$A, 0))), 0), 0)))</f>
        <v>-127</v>
      </c>
      <c r="AE216" s="6">
        <f>MIN(0, N216+(IFERROR(IF(17*INDEX('UA-normalized'!$D:$D, MATCH($A216, 'UA-normalized'!$A:$A, 0))-INDEX('UA-normalized'!$E:$E, MATCH($A216, 'UA-normalized'!$A:$A, 0))&gt;0, -(17*INDEX('UA-normalized'!$D:$D, MATCH($A216, 'UA-normalized'!$A:$A, 0))-INDEX('UA-normalized'!$E:$E, MATCH($A216, 'UA-normalized'!$A:$A, 0))), 0), 0))+(IFERROR(IF(17*INDEX('KZ-normalized'!$D:$D, MATCH($A216, 'KZ-normalized'!$A:$A, 0))-INDEX('KZ-normalized'!$E:$E, MATCH($A216, 'KZ-normalized'!$A:$A, 0))&gt;0, -(17*INDEX('KZ-normalized'!$D:$D, MATCH($A216, 'KZ-normalized'!$A:$A, 0))-INDEX('KZ-normalized'!$E:$E, MATCH($A216, 'KZ-normalized'!$A:$A, 0))), 0), 0))+(IFERROR(IF(17*INDEX('UZ-normalized'!$D:$D, MATCH($A216, 'UZ-normalized'!$A:$A, 0))-INDEX('UZ-normalized'!$E:$E, MATCH($A216, 'UZ-normalized'!$A:$A, 0))&gt;0, -(17*INDEX('UZ-normalized'!$D:$D, MATCH($A216, 'UZ-normalized'!$A:$A, 0))-INDEX('UZ-normalized'!$E:$E, MATCH($A216, 'UZ-normalized'!$A:$A, 0))), 0), 0)))</f>
        <v>-144</v>
      </c>
      <c r="AF216" s="6">
        <f>MIN(0, N216+(IFERROR(IF(18*INDEX('UA-normalized'!$D:$D, MATCH($A216, 'UA-normalized'!$A:$A, 0))-INDEX('UA-normalized'!$E:$E, MATCH($A216, 'UA-normalized'!$A:$A, 0))&gt;0, -(18*INDEX('UA-normalized'!$D:$D, MATCH($A216, 'UA-normalized'!$A:$A, 0))-INDEX('UA-normalized'!$E:$E, MATCH($A216, 'UA-normalized'!$A:$A, 0))), 0), 0))+(IFERROR(IF(18*INDEX('KZ-normalized'!$D:$D, MATCH($A216, 'KZ-normalized'!$A:$A, 0))-INDEX('KZ-normalized'!$E:$E, MATCH($A216, 'KZ-normalized'!$A:$A, 0))&gt;0, -(18*INDEX('KZ-normalized'!$D:$D, MATCH($A216, 'KZ-normalized'!$A:$A, 0))-INDEX('KZ-normalized'!$E:$E, MATCH($A216, 'KZ-normalized'!$A:$A, 0))), 0), 0))+(IFERROR(IF(18*INDEX('UZ-normalized'!$D:$D, MATCH($A216, 'UZ-normalized'!$A:$A, 0))-INDEX('UZ-normalized'!$E:$E, MATCH($A216, 'UZ-normalized'!$A:$A, 0))&gt;0, -(18*INDEX('UZ-normalized'!$D:$D, MATCH($A216, 'UZ-normalized'!$A:$A, 0))-INDEX('UZ-normalized'!$E:$E, MATCH($A216, 'UZ-normalized'!$A:$A, 0))), 0), 0)))</f>
        <v>-161</v>
      </c>
      <c r="AG216" s="6">
        <f>MIN(0, N216+(IFERROR(IF(19*INDEX('UA-normalized'!$D:$D, MATCH($A216, 'UA-normalized'!$A:$A, 0))-INDEX('UA-normalized'!$E:$E, MATCH($A216, 'UA-normalized'!$A:$A, 0))&gt;0, -(19*INDEX('UA-normalized'!$D:$D, MATCH($A216, 'UA-normalized'!$A:$A, 0))-INDEX('UA-normalized'!$E:$E, MATCH($A216, 'UA-normalized'!$A:$A, 0))), 0), 0))+(IFERROR(IF(19*INDEX('KZ-normalized'!$D:$D, MATCH($A216, 'KZ-normalized'!$A:$A, 0))-INDEX('KZ-normalized'!$E:$E, MATCH($A216, 'KZ-normalized'!$A:$A, 0))&gt;0, -(19*INDEX('KZ-normalized'!$D:$D, MATCH($A216, 'KZ-normalized'!$A:$A, 0))-INDEX('KZ-normalized'!$E:$E, MATCH($A216, 'KZ-normalized'!$A:$A, 0))), 0), 0))+(IFERROR(IF(19*INDEX('UZ-normalized'!$D:$D, MATCH($A216, 'UZ-normalized'!$A:$A, 0))-INDEX('UZ-normalized'!$E:$E, MATCH($A216, 'UZ-normalized'!$A:$A, 0))&gt;0, -(19*INDEX('UZ-normalized'!$D:$D, MATCH($A216, 'UZ-normalized'!$A:$A, 0))-INDEX('UZ-normalized'!$E:$E, MATCH($A216, 'UZ-normalized'!$A:$A, 0))), 0), 0)))</f>
        <v>-178</v>
      </c>
      <c r="AH216" s="6">
        <f>MIN(0, N216+(IFERROR(IF(20*INDEX('UA-normalized'!$D:$D, MATCH($A216, 'UA-normalized'!$A:$A, 0))-INDEX('UA-normalized'!$E:$E, MATCH($A216, 'UA-normalized'!$A:$A, 0))&gt;0, -(20*INDEX('UA-normalized'!$D:$D, MATCH($A216, 'UA-normalized'!$A:$A, 0))-INDEX('UA-normalized'!$E:$E, MATCH($A216, 'UA-normalized'!$A:$A, 0))), 0), 0))+(IFERROR(IF(20*INDEX('KZ-normalized'!$D:$D, MATCH($A216, 'KZ-normalized'!$A:$A, 0))-INDEX('KZ-normalized'!$E:$E, MATCH($A216, 'KZ-normalized'!$A:$A, 0))&gt;0, -(20*INDEX('KZ-normalized'!$D:$D, MATCH($A216, 'KZ-normalized'!$A:$A, 0))-INDEX('KZ-normalized'!$E:$E, MATCH($A216, 'KZ-normalized'!$A:$A, 0))), 0), 0))+(IFERROR(IF(20*INDEX('UZ-normalized'!$D:$D, MATCH($A216, 'UZ-normalized'!$A:$A, 0))-INDEX('UZ-normalized'!$E:$E, MATCH($A216, 'UZ-normalized'!$A:$A, 0))&gt;0, -(20*INDEX('UZ-normalized'!$D:$D, MATCH($A216, 'UZ-normalized'!$A:$A, 0))-INDEX('UZ-normalized'!$E:$E, MATCH($A216, 'UZ-normalized'!$A:$A, 0))), 0), 0)))</f>
        <v>-195</v>
      </c>
      <c r="AI216" s="6">
        <f>MIN(0, N216+(IFERROR(IF(21*INDEX('UA-normalized'!$D:$D, MATCH($A216, 'UA-normalized'!$A:$A, 0))-INDEX('UA-normalized'!$E:$E, MATCH($A216, 'UA-normalized'!$A:$A, 0))&gt;0, -(21*INDEX('UA-normalized'!$D:$D, MATCH($A216, 'UA-normalized'!$A:$A, 0))-INDEX('UA-normalized'!$E:$E, MATCH($A216, 'UA-normalized'!$A:$A, 0))), 0), 0))+(IFERROR(IF(21*INDEX('KZ-normalized'!$D:$D, MATCH($A216, 'KZ-normalized'!$A:$A, 0))-INDEX('KZ-normalized'!$E:$E, MATCH($A216, 'KZ-normalized'!$A:$A, 0))&gt;0, -(21*INDEX('KZ-normalized'!$D:$D, MATCH($A216, 'KZ-normalized'!$A:$A, 0))-INDEX('KZ-normalized'!$E:$E, MATCH($A216, 'KZ-normalized'!$A:$A, 0))), 0), 0))+(IFERROR(IF(21*INDEX('UZ-normalized'!$D:$D, MATCH($A216, 'UZ-normalized'!$A:$A, 0))-INDEX('UZ-normalized'!$E:$E, MATCH($A216, 'UZ-normalized'!$A:$A, 0))&gt;0, -(21*INDEX('UZ-normalized'!$D:$D, MATCH($A216, 'UZ-normalized'!$A:$A, 0))-INDEX('UZ-normalized'!$E:$E, MATCH($A216, 'UZ-normalized'!$A:$A, 0))), 0), 0)))</f>
        <v>-212</v>
      </c>
      <c r="AJ216" s="6">
        <f>MIN(0, N216+(IFERROR(IF(22*INDEX('UA-normalized'!$D:$D, MATCH($A216, 'UA-normalized'!$A:$A, 0))-INDEX('UA-normalized'!$E:$E, MATCH($A216, 'UA-normalized'!$A:$A, 0))&gt;0, -(22*INDEX('UA-normalized'!$D:$D, MATCH($A216, 'UA-normalized'!$A:$A, 0))-INDEX('UA-normalized'!$E:$E, MATCH($A216, 'UA-normalized'!$A:$A, 0))), 0), 0))+(IFERROR(IF(22*INDEX('KZ-normalized'!$D:$D, MATCH($A216, 'KZ-normalized'!$A:$A, 0))-INDEX('KZ-normalized'!$E:$E, MATCH($A216, 'KZ-normalized'!$A:$A, 0))&gt;0, -(22*INDEX('KZ-normalized'!$D:$D, MATCH($A216, 'KZ-normalized'!$A:$A, 0))-INDEX('KZ-normalized'!$E:$E, MATCH($A216, 'KZ-normalized'!$A:$A, 0))), 0), 0))+(IFERROR(IF(22*INDEX('UZ-normalized'!$D:$D, MATCH($A216, 'UZ-normalized'!$A:$A, 0))-INDEX('UZ-normalized'!$E:$E, MATCH($A216, 'UZ-normalized'!$A:$A, 0))&gt;0, -(22*INDEX('UZ-normalized'!$D:$D, MATCH($A216, 'UZ-normalized'!$A:$A, 0))-INDEX('UZ-normalized'!$E:$E, MATCH($A216, 'UZ-normalized'!$A:$A, 0))), 0), 0)))</f>
        <v>-229</v>
      </c>
      <c r="AK216" s="6">
        <f>MIN(0, N216+(IFERROR(IF(23*INDEX('UA-normalized'!$D:$D, MATCH($A216, 'UA-normalized'!$A:$A, 0))-INDEX('UA-normalized'!$E:$E, MATCH($A216, 'UA-normalized'!$A:$A, 0))&gt;0, -(23*INDEX('UA-normalized'!$D:$D, MATCH($A216, 'UA-normalized'!$A:$A, 0))-INDEX('UA-normalized'!$E:$E, MATCH($A216, 'UA-normalized'!$A:$A, 0))), 0), 0))+(IFERROR(IF(23*INDEX('KZ-normalized'!$D:$D, MATCH($A216, 'KZ-normalized'!$A:$A, 0))-INDEX('KZ-normalized'!$E:$E, MATCH($A216, 'KZ-normalized'!$A:$A, 0))&gt;0, -(23*INDEX('KZ-normalized'!$D:$D, MATCH($A216, 'KZ-normalized'!$A:$A, 0))-INDEX('KZ-normalized'!$E:$E, MATCH($A216, 'KZ-normalized'!$A:$A, 0))), 0), 0))+(IFERROR(IF(23*INDEX('UZ-normalized'!$D:$D, MATCH($A216, 'UZ-normalized'!$A:$A, 0))-INDEX('UZ-normalized'!$E:$E, MATCH($A216, 'UZ-normalized'!$A:$A, 0))&gt;0, -(23*INDEX('UZ-normalized'!$D:$D, MATCH($A216, 'UZ-normalized'!$A:$A, 0))-INDEX('UZ-normalized'!$E:$E, MATCH($A216, 'UZ-normalized'!$A:$A, 0))), 0), 0)))</f>
        <v>-246</v>
      </c>
      <c r="AL216" s="6">
        <f>MIN(0, N216+(IFERROR(IF(24*INDEX('UA-normalized'!$D:$D, MATCH($A216, 'UA-normalized'!$A:$A, 0))-INDEX('UA-normalized'!$E:$E, MATCH($A216, 'UA-normalized'!$A:$A, 0))&gt;0, -(24*INDEX('UA-normalized'!$D:$D, MATCH($A216, 'UA-normalized'!$A:$A, 0))-INDEX('UA-normalized'!$E:$E, MATCH($A216, 'UA-normalized'!$A:$A, 0))), 0), 0))+(IFERROR(IF(24*INDEX('KZ-normalized'!$D:$D, MATCH($A216, 'KZ-normalized'!$A:$A, 0))-INDEX('KZ-normalized'!$E:$E, MATCH($A216, 'KZ-normalized'!$A:$A, 0))&gt;0, -(24*INDEX('KZ-normalized'!$D:$D, MATCH($A216, 'KZ-normalized'!$A:$A, 0))-INDEX('KZ-normalized'!$E:$E, MATCH($A216, 'KZ-normalized'!$A:$A, 0))), 0), 0))+(IFERROR(IF(24*INDEX('UZ-normalized'!$D:$D, MATCH($A216, 'UZ-normalized'!$A:$A, 0))-INDEX('UZ-normalized'!$E:$E, MATCH($A216, 'UZ-normalized'!$A:$A, 0))&gt;0, -(24*INDEX('UZ-normalized'!$D:$D, MATCH($A216, 'UZ-normalized'!$A:$A, 0))-INDEX('UZ-normalized'!$E:$E, MATCH($A216, 'UZ-normalized'!$A:$A, 0))), 0), 0)))</f>
        <v>-263</v>
      </c>
      <c r="AM216" s="6">
        <f>MIN(0, N216+(IFERROR(IF(25*INDEX('UA-normalized'!$D:$D, MATCH($A216, 'UA-normalized'!$A:$A, 0))-INDEX('UA-normalized'!$E:$E, MATCH($A216, 'UA-normalized'!$A:$A, 0))&gt;0, -(25*INDEX('UA-normalized'!$D:$D, MATCH($A216, 'UA-normalized'!$A:$A, 0))-INDEX('UA-normalized'!$E:$E, MATCH($A216, 'UA-normalized'!$A:$A, 0))), 0), 0))+(IFERROR(IF(25*INDEX('KZ-normalized'!$D:$D, MATCH($A216, 'KZ-normalized'!$A:$A, 0))-INDEX('KZ-normalized'!$E:$E, MATCH($A216, 'KZ-normalized'!$A:$A, 0))&gt;0, -(25*INDEX('KZ-normalized'!$D:$D, MATCH($A216, 'KZ-normalized'!$A:$A, 0))-INDEX('KZ-normalized'!$E:$E, MATCH($A216, 'KZ-normalized'!$A:$A, 0))), 0), 0))+(IFERROR(IF(25*INDEX('UZ-normalized'!$D:$D, MATCH($A216, 'UZ-normalized'!$A:$A, 0))-INDEX('UZ-normalized'!$E:$E, MATCH($A216, 'UZ-normalized'!$A:$A, 0))&gt;0, -(25*INDEX('UZ-normalized'!$D:$D, MATCH($A216, 'UZ-normalized'!$A:$A, 0))-INDEX('UZ-normalized'!$E:$E, MATCH($A216, 'UZ-normalized'!$A:$A, 0))), 0), 0)))</f>
        <v>-280</v>
      </c>
      <c r="AN216" s="6">
        <f>MIN(0, N216+(IFERROR(IF(26*INDEX('UA-normalized'!$D:$D, MATCH($A216, 'UA-normalized'!$A:$A, 0))-INDEX('UA-normalized'!$E:$E, MATCH($A216, 'UA-normalized'!$A:$A, 0))&gt;0, -(26*INDEX('UA-normalized'!$D:$D, MATCH($A216, 'UA-normalized'!$A:$A, 0))-INDEX('UA-normalized'!$E:$E, MATCH($A216, 'UA-normalized'!$A:$A, 0))), 0), 0))+(IFERROR(IF(26*INDEX('KZ-normalized'!$D:$D, MATCH($A216, 'KZ-normalized'!$A:$A, 0))-INDEX('KZ-normalized'!$E:$E, MATCH($A216, 'KZ-normalized'!$A:$A, 0))&gt;0, -(26*INDEX('KZ-normalized'!$D:$D, MATCH($A216, 'KZ-normalized'!$A:$A, 0))-INDEX('KZ-normalized'!$E:$E, MATCH($A216, 'KZ-normalized'!$A:$A, 0))), 0), 0))+(IFERROR(IF(26*INDEX('UZ-normalized'!$D:$D, MATCH($A216, 'UZ-normalized'!$A:$A, 0))-INDEX('UZ-normalized'!$E:$E, MATCH($A216, 'UZ-normalized'!$A:$A, 0))&gt;0, -(26*INDEX('UZ-normalized'!$D:$D, MATCH($A216, 'UZ-normalized'!$A:$A, 0))-INDEX('UZ-normalized'!$E:$E, MATCH($A216, 'UZ-normalized'!$A:$A, 0))), 0), 0)))</f>
        <v>-297</v>
      </c>
      <c r="AO216" s="6">
        <f>MIN(0, N216+(IFERROR(IF(27*INDEX('UA-normalized'!$D:$D, MATCH($A216, 'UA-normalized'!$A:$A, 0))-INDEX('UA-normalized'!$E:$E, MATCH($A216, 'UA-normalized'!$A:$A, 0))&gt;0, -(27*INDEX('UA-normalized'!$D:$D, MATCH($A216, 'UA-normalized'!$A:$A, 0))-INDEX('UA-normalized'!$E:$E, MATCH($A216, 'UA-normalized'!$A:$A, 0))), 0), 0))+(IFERROR(IF(27*INDEX('KZ-normalized'!$D:$D, MATCH($A216, 'KZ-normalized'!$A:$A, 0))-INDEX('KZ-normalized'!$E:$E, MATCH($A216, 'KZ-normalized'!$A:$A, 0))&gt;0, -(27*INDEX('KZ-normalized'!$D:$D, MATCH($A216, 'KZ-normalized'!$A:$A, 0))-INDEX('KZ-normalized'!$E:$E, MATCH($A216, 'KZ-normalized'!$A:$A, 0))), 0), 0))+(IFERROR(IF(27*INDEX('UZ-normalized'!$D:$D, MATCH($A216, 'UZ-normalized'!$A:$A, 0))-INDEX('UZ-normalized'!$E:$E, MATCH($A216, 'UZ-normalized'!$A:$A, 0))&gt;0, -(27*INDEX('UZ-normalized'!$D:$D, MATCH($A216, 'UZ-normalized'!$A:$A, 0))-INDEX('UZ-normalized'!$E:$E, MATCH($A216, 'UZ-normalized'!$A:$A, 0))), 0), 0)))</f>
        <v>-314</v>
      </c>
      <c r="AP216" s="6">
        <f>MIN(0, N216+(IFERROR(IF(28*INDEX('UA-normalized'!$D:$D, MATCH($A216, 'UA-normalized'!$A:$A, 0))-INDEX('UA-normalized'!$E:$E, MATCH($A216, 'UA-normalized'!$A:$A, 0))&gt;0, -(28*INDEX('UA-normalized'!$D:$D, MATCH($A216, 'UA-normalized'!$A:$A, 0))-INDEX('UA-normalized'!$E:$E, MATCH($A216, 'UA-normalized'!$A:$A, 0))), 0), 0))+(IFERROR(IF(28*INDEX('KZ-normalized'!$D:$D, MATCH($A216, 'KZ-normalized'!$A:$A, 0))-INDEX('KZ-normalized'!$E:$E, MATCH($A216, 'KZ-normalized'!$A:$A, 0))&gt;0, -(28*INDEX('KZ-normalized'!$D:$D, MATCH($A216, 'KZ-normalized'!$A:$A, 0))-INDEX('KZ-normalized'!$E:$E, MATCH($A216, 'KZ-normalized'!$A:$A, 0))), 0), 0))+(IFERROR(IF(28*INDEX('UZ-normalized'!$D:$D, MATCH($A216, 'UZ-normalized'!$A:$A, 0))-INDEX('UZ-normalized'!$E:$E, MATCH($A216, 'UZ-normalized'!$A:$A, 0))&gt;0, -(28*INDEX('UZ-normalized'!$D:$D, MATCH($A216, 'UZ-normalized'!$A:$A, 0))-INDEX('UZ-normalized'!$E:$E, MATCH($A216, 'UZ-normalized'!$A:$A, 0))), 0), 0)))</f>
        <v>-331</v>
      </c>
      <c r="AQ216" s="6">
        <f>MIN(0, N216+(IFERROR(IF(29*INDEX('UA-normalized'!$D:$D, MATCH($A216, 'UA-normalized'!$A:$A, 0))-INDEX('UA-normalized'!$E:$E, MATCH($A216, 'UA-normalized'!$A:$A, 0))&gt;0, -(29*INDEX('UA-normalized'!$D:$D, MATCH($A216, 'UA-normalized'!$A:$A, 0))-INDEX('UA-normalized'!$E:$E, MATCH($A216, 'UA-normalized'!$A:$A, 0))), 0), 0))+(IFERROR(IF(29*INDEX('KZ-normalized'!$D:$D, MATCH($A216, 'KZ-normalized'!$A:$A, 0))-INDEX('KZ-normalized'!$E:$E, MATCH($A216, 'KZ-normalized'!$A:$A, 0))&gt;0, -(29*INDEX('KZ-normalized'!$D:$D, MATCH($A216, 'KZ-normalized'!$A:$A, 0))-INDEX('KZ-normalized'!$E:$E, MATCH($A216, 'KZ-normalized'!$A:$A, 0))), 0), 0))+(IFERROR(IF(29*INDEX('UZ-normalized'!$D:$D, MATCH($A216, 'UZ-normalized'!$A:$A, 0))-INDEX('UZ-normalized'!$E:$E, MATCH($A216, 'UZ-normalized'!$A:$A, 0))&gt;0, -(29*INDEX('UZ-normalized'!$D:$D, MATCH($A216, 'UZ-normalized'!$A:$A, 0))-INDEX('UZ-normalized'!$E:$E, MATCH($A216, 'UZ-normalized'!$A:$A, 0))), 0), 0)))</f>
        <v>-348</v>
      </c>
      <c r="AR216" s="6">
        <f>MIN(0, N216+(IFERROR(IF(30*INDEX('UA-normalized'!$D:$D, MATCH($A216, 'UA-normalized'!$A:$A, 0))-INDEX('UA-normalized'!$E:$E, MATCH($A216, 'UA-normalized'!$A:$A, 0))&gt;0, -(30*INDEX('UA-normalized'!$D:$D, MATCH($A216, 'UA-normalized'!$A:$A, 0))-INDEX('UA-normalized'!$E:$E, MATCH($A216, 'UA-normalized'!$A:$A, 0))), 0), 0))+(IFERROR(IF(30*INDEX('KZ-normalized'!$D:$D, MATCH($A216, 'KZ-normalized'!$A:$A, 0))-INDEX('KZ-normalized'!$E:$E, MATCH($A216, 'KZ-normalized'!$A:$A, 0))&gt;0, -(30*INDEX('KZ-normalized'!$D:$D, MATCH($A216, 'KZ-normalized'!$A:$A, 0))-INDEX('KZ-normalized'!$E:$E, MATCH($A216, 'KZ-normalized'!$A:$A, 0))), 0), 0))+(IFERROR(IF(30*INDEX('UZ-normalized'!$D:$D, MATCH($A216, 'UZ-normalized'!$A:$A, 0))-INDEX('UZ-normalized'!$E:$E, MATCH($A216, 'UZ-normalized'!$A:$A, 0))&gt;0, -(30*INDEX('UZ-normalized'!$D:$D, MATCH($A216, 'UZ-normalized'!$A:$A, 0))-INDEX('UZ-normalized'!$E:$E, MATCH($A216, 'UZ-normalized'!$A:$A, 0))), 0), 0)))</f>
        <v>-365</v>
      </c>
    </row>
    <row r="217" spans="1:44" x14ac:dyDescent="0.25">
      <c r="A217" s="8" t="s">
        <v>515</v>
      </c>
      <c r="B217" s="8" t="s">
        <v>492</v>
      </c>
      <c r="C217" s="8" t="s">
        <v>493</v>
      </c>
      <c r="D217" s="8" t="s">
        <v>516</v>
      </c>
      <c r="N217">
        <f t="shared" si="3"/>
        <v>0</v>
      </c>
      <c r="O217" s="6">
        <f>MIN(0, N217+(IFERROR(IF(1*INDEX('UA-normalized'!$D:$D, MATCH($A217, 'UA-normalized'!$A:$A, 0))-INDEX('UA-normalized'!$E:$E, MATCH($A217, 'UA-normalized'!$A:$A, 0))&gt;0, -(1*INDEX('UA-normalized'!$D:$D, MATCH($A217, 'UA-normalized'!$A:$A, 0))-INDEX('UA-normalized'!$E:$E, MATCH($A217, 'UA-normalized'!$A:$A, 0))), 0), 0))+(IFERROR(IF(1*INDEX('KZ-normalized'!$D:$D, MATCH($A217, 'KZ-normalized'!$A:$A, 0))-INDEX('KZ-normalized'!$E:$E, MATCH($A217, 'KZ-normalized'!$A:$A, 0))&gt;0, -(1*INDEX('KZ-normalized'!$D:$D, MATCH($A217, 'KZ-normalized'!$A:$A, 0))-INDEX('KZ-normalized'!$E:$E, MATCH($A217, 'KZ-normalized'!$A:$A, 0))), 0), 0))+(IFERROR(IF(1*INDEX('UZ-normalized'!$D:$D, MATCH($A217, 'UZ-normalized'!$A:$A, 0))-INDEX('UZ-normalized'!$E:$E, MATCH($A217, 'UZ-normalized'!$A:$A, 0))&gt;0, -(1*INDEX('UZ-normalized'!$D:$D, MATCH($A217, 'UZ-normalized'!$A:$A, 0))-INDEX('UZ-normalized'!$E:$E, MATCH($A217, 'UZ-normalized'!$A:$A, 0))), 0), 0)))</f>
        <v>0</v>
      </c>
      <c r="P217" s="6">
        <f>MIN(0, N217+(IFERROR(IF(2*INDEX('UA-normalized'!$D:$D, MATCH($A217, 'UA-normalized'!$A:$A, 0))-INDEX('UA-normalized'!$E:$E, MATCH($A217, 'UA-normalized'!$A:$A, 0))&gt;0, -(2*INDEX('UA-normalized'!$D:$D, MATCH($A217, 'UA-normalized'!$A:$A, 0))-INDEX('UA-normalized'!$E:$E, MATCH($A217, 'UA-normalized'!$A:$A, 0))), 0), 0))+(IFERROR(IF(2*INDEX('KZ-normalized'!$D:$D, MATCH($A217, 'KZ-normalized'!$A:$A, 0))-INDEX('KZ-normalized'!$E:$E, MATCH($A217, 'KZ-normalized'!$A:$A, 0))&gt;0, -(2*INDEX('KZ-normalized'!$D:$D, MATCH($A217, 'KZ-normalized'!$A:$A, 0))-INDEX('KZ-normalized'!$E:$E, MATCH($A217, 'KZ-normalized'!$A:$A, 0))), 0), 0))+(IFERROR(IF(2*INDEX('UZ-normalized'!$D:$D, MATCH($A217, 'UZ-normalized'!$A:$A, 0))-INDEX('UZ-normalized'!$E:$E, MATCH($A217, 'UZ-normalized'!$A:$A, 0))&gt;0, -(2*INDEX('UZ-normalized'!$D:$D, MATCH($A217, 'UZ-normalized'!$A:$A, 0))-INDEX('UZ-normalized'!$E:$E, MATCH($A217, 'UZ-normalized'!$A:$A, 0))), 0), 0)))</f>
        <v>0</v>
      </c>
      <c r="Q217" s="6">
        <f>MIN(0, N217+(IFERROR(IF(3*INDEX('UA-normalized'!$D:$D, MATCH($A217, 'UA-normalized'!$A:$A, 0))-INDEX('UA-normalized'!$E:$E, MATCH($A217, 'UA-normalized'!$A:$A, 0))&gt;0, -(3*INDEX('UA-normalized'!$D:$D, MATCH($A217, 'UA-normalized'!$A:$A, 0))-INDEX('UA-normalized'!$E:$E, MATCH($A217, 'UA-normalized'!$A:$A, 0))), 0), 0))+(IFERROR(IF(3*INDEX('KZ-normalized'!$D:$D, MATCH($A217, 'KZ-normalized'!$A:$A, 0))-INDEX('KZ-normalized'!$E:$E, MATCH($A217, 'KZ-normalized'!$A:$A, 0))&gt;0, -(3*INDEX('KZ-normalized'!$D:$D, MATCH($A217, 'KZ-normalized'!$A:$A, 0))-INDEX('KZ-normalized'!$E:$E, MATCH($A217, 'KZ-normalized'!$A:$A, 0))), 0), 0))+(IFERROR(IF(3*INDEX('UZ-normalized'!$D:$D, MATCH($A217, 'UZ-normalized'!$A:$A, 0))-INDEX('UZ-normalized'!$E:$E, MATCH($A217, 'UZ-normalized'!$A:$A, 0))&gt;0, -(3*INDEX('UZ-normalized'!$D:$D, MATCH($A217, 'UZ-normalized'!$A:$A, 0))-INDEX('UZ-normalized'!$E:$E, MATCH($A217, 'UZ-normalized'!$A:$A, 0))), 0), 0)))</f>
        <v>0</v>
      </c>
      <c r="R217" s="6">
        <f>MIN(0, N217+(IFERROR(IF(4*INDEX('UA-normalized'!$D:$D, MATCH($A217, 'UA-normalized'!$A:$A, 0))-INDEX('UA-normalized'!$E:$E, MATCH($A217, 'UA-normalized'!$A:$A, 0))&gt;0, -(4*INDEX('UA-normalized'!$D:$D, MATCH($A217, 'UA-normalized'!$A:$A, 0))-INDEX('UA-normalized'!$E:$E, MATCH($A217, 'UA-normalized'!$A:$A, 0))), 0), 0))+(IFERROR(IF(4*INDEX('KZ-normalized'!$D:$D, MATCH($A217, 'KZ-normalized'!$A:$A, 0))-INDEX('KZ-normalized'!$E:$E, MATCH($A217, 'KZ-normalized'!$A:$A, 0))&gt;0, -(4*INDEX('KZ-normalized'!$D:$D, MATCH($A217, 'KZ-normalized'!$A:$A, 0))-INDEX('KZ-normalized'!$E:$E, MATCH($A217, 'KZ-normalized'!$A:$A, 0))), 0), 0))+(IFERROR(IF(4*INDEX('UZ-normalized'!$D:$D, MATCH($A217, 'UZ-normalized'!$A:$A, 0))-INDEX('UZ-normalized'!$E:$E, MATCH($A217, 'UZ-normalized'!$A:$A, 0))&gt;0, -(4*INDEX('UZ-normalized'!$D:$D, MATCH($A217, 'UZ-normalized'!$A:$A, 0))-INDEX('UZ-normalized'!$E:$E, MATCH($A217, 'UZ-normalized'!$A:$A, 0))), 0), 0)))</f>
        <v>0</v>
      </c>
      <c r="S217" s="6">
        <f>MIN(0, N217+(IFERROR(IF(5*INDEX('UA-normalized'!$D:$D, MATCH($A217, 'UA-normalized'!$A:$A, 0))-INDEX('UA-normalized'!$E:$E, MATCH($A217, 'UA-normalized'!$A:$A, 0))&gt;0, -(5*INDEX('UA-normalized'!$D:$D, MATCH($A217, 'UA-normalized'!$A:$A, 0))-INDEX('UA-normalized'!$E:$E, MATCH($A217, 'UA-normalized'!$A:$A, 0))), 0), 0))+(IFERROR(IF(5*INDEX('KZ-normalized'!$D:$D, MATCH($A217, 'KZ-normalized'!$A:$A, 0))-INDEX('KZ-normalized'!$E:$E, MATCH($A217, 'KZ-normalized'!$A:$A, 0))&gt;0, -(5*INDEX('KZ-normalized'!$D:$D, MATCH($A217, 'KZ-normalized'!$A:$A, 0))-INDEX('KZ-normalized'!$E:$E, MATCH($A217, 'KZ-normalized'!$A:$A, 0))), 0), 0))+(IFERROR(IF(5*INDEX('UZ-normalized'!$D:$D, MATCH($A217, 'UZ-normalized'!$A:$A, 0))-INDEX('UZ-normalized'!$E:$E, MATCH($A217, 'UZ-normalized'!$A:$A, 0))&gt;0, -(5*INDEX('UZ-normalized'!$D:$D, MATCH($A217, 'UZ-normalized'!$A:$A, 0))-INDEX('UZ-normalized'!$E:$E, MATCH($A217, 'UZ-normalized'!$A:$A, 0))), 0), 0)))</f>
        <v>-4.5</v>
      </c>
      <c r="T217" s="6">
        <f>MIN(0, N217+(IFERROR(IF(6*INDEX('UA-normalized'!$D:$D, MATCH($A217, 'UA-normalized'!$A:$A, 0))-INDEX('UA-normalized'!$E:$E, MATCH($A217, 'UA-normalized'!$A:$A, 0))&gt;0, -(6*INDEX('UA-normalized'!$D:$D, MATCH($A217, 'UA-normalized'!$A:$A, 0))-INDEX('UA-normalized'!$E:$E, MATCH($A217, 'UA-normalized'!$A:$A, 0))), 0), 0))+(IFERROR(IF(6*INDEX('KZ-normalized'!$D:$D, MATCH($A217, 'KZ-normalized'!$A:$A, 0))-INDEX('KZ-normalized'!$E:$E, MATCH($A217, 'KZ-normalized'!$A:$A, 0))&gt;0, -(6*INDEX('KZ-normalized'!$D:$D, MATCH($A217, 'KZ-normalized'!$A:$A, 0))-INDEX('KZ-normalized'!$E:$E, MATCH($A217, 'KZ-normalized'!$A:$A, 0))), 0), 0))+(IFERROR(IF(6*INDEX('UZ-normalized'!$D:$D, MATCH($A217, 'UZ-normalized'!$A:$A, 0))-INDEX('UZ-normalized'!$E:$E, MATCH($A217, 'UZ-normalized'!$A:$A, 0))&gt;0, -(6*INDEX('UZ-normalized'!$D:$D, MATCH($A217, 'UZ-normalized'!$A:$A, 0))-INDEX('UZ-normalized'!$E:$E, MATCH($A217, 'UZ-normalized'!$A:$A, 0))), 0), 0)))</f>
        <v>-17</v>
      </c>
      <c r="U217" s="6">
        <f>MIN(0, N217+(IFERROR(IF(7*INDEX('UA-normalized'!$D:$D, MATCH($A217, 'UA-normalized'!$A:$A, 0))-INDEX('UA-normalized'!$E:$E, MATCH($A217, 'UA-normalized'!$A:$A, 0))&gt;0, -(7*INDEX('UA-normalized'!$D:$D, MATCH($A217, 'UA-normalized'!$A:$A, 0))-INDEX('UA-normalized'!$E:$E, MATCH($A217, 'UA-normalized'!$A:$A, 0))), 0), 0))+(IFERROR(IF(7*INDEX('KZ-normalized'!$D:$D, MATCH($A217, 'KZ-normalized'!$A:$A, 0))-INDEX('KZ-normalized'!$E:$E, MATCH($A217, 'KZ-normalized'!$A:$A, 0))&gt;0, -(7*INDEX('KZ-normalized'!$D:$D, MATCH($A217, 'KZ-normalized'!$A:$A, 0))-INDEX('KZ-normalized'!$E:$E, MATCH($A217, 'KZ-normalized'!$A:$A, 0))), 0), 0))+(IFERROR(IF(7*INDEX('UZ-normalized'!$D:$D, MATCH($A217, 'UZ-normalized'!$A:$A, 0))-INDEX('UZ-normalized'!$E:$E, MATCH($A217, 'UZ-normalized'!$A:$A, 0))&gt;0, -(7*INDEX('UZ-normalized'!$D:$D, MATCH($A217, 'UZ-normalized'!$A:$A, 0))-INDEX('UZ-normalized'!$E:$E, MATCH($A217, 'UZ-normalized'!$A:$A, 0))), 0), 0)))</f>
        <v>-29.5</v>
      </c>
      <c r="V217" s="6">
        <f>MIN(0, N217+(IFERROR(IF(8*INDEX('UA-normalized'!$D:$D, MATCH($A217, 'UA-normalized'!$A:$A, 0))-INDEX('UA-normalized'!$E:$E, MATCH($A217, 'UA-normalized'!$A:$A, 0))&gt;0, -(8*INDEX('UA-normalized'!$D:$D, MATCH($A217, 'UA-normalized'!$A:$A, 0))-INDEX('UA-normalized'!$E:$E, MATCH($A217, 'UA-normalized'!$A:$A, 0))), 0), 0))+(IFERROR(IF(8*INDEX('KZ-normalized'!$D:$D, MATCH($A217, 'KZ-normalized'!$A:$A, 0))-INDEX('KZ-normalized'!$E:$E, MATCH($A217, 'KZ-normalized'!$A:$A, 0))&gt;0, -(8*INDEX('KZ-normalized'!$D:$D, MATCH($A217, 'KZ-normalized'!$A:$A, 0))-INDEX('KZ-normalized'!$E:$E, MATCH($A217, 'KZ-normalized'!$A:$A, 0))), 0), 0))+(IFERROR(IF(8*INDEX('UZ-normalized'!$D:$D, MATCH($A217, 'UZ-normalized'!$A:$A, 0))-INDEX('UZ-normalized'!$E:$E, MATCH($A217, 'UZ-normalized'!$A:$A, 0))&gt;0, -(8*INDEX('UZ-normalized'!$D:$D, MATCH($A217, 'UZ-normalized'!$A:$A, 0))-INDEX('UZ-normalized'!$E:$E, MATCH($A217, 'UZ-normalized'!$A:$A, 0))), 0), 0)))</f>
        <v>-42</v>
      </c>
      <c r="W217" s="6">
        <f>MIN(0, N217+(IFERROR(IF(9*INDEX('UA-normalized'!$D:$D, MATCH($A217, 'UA-normalized'!$A:$A, 0))-INDEX('UA-normalized'!$E:$E, MATCH($A217, 'UA-normalized'!$A:$A, 0))&gt;0, -(9*INDEX('UA-normalized'!$D:$D, MATCH($A217, 'UA-normalized'!$A:$A, 0))-INDEX('UA-normalized'!$E:$E, MATCH($A217, 'UA-normalized'!$A:$A, 0))), 0), 0))+(IFERROR(IF(9*INDEX('KZ-normalized'!$D:$D, MATCH($A217, 'KZ-normalized'!$A:$A, 0))-INDEX('KZ-normalized'!$E:$E, MATCH($A217, 'KZ-normalized'!$A:$A, 0))&gt;0, -(9*INDEX('KZ-normalized'!$D:$D, MATCH($A217, 'KZ-normalized'!$A:$A, 0))-INDEX('KZ-normalized'!$E:$E, MATCH($A217, 'KZ-normalized'!$A:$A, 0))), 0), 0))+(IFERROR(IF(9*INDEX('UZ-normalized'!$D:$D, MATCH($A217, 'UZ-normalized'!$A:$A, 0))-INDEX('UZ-normalized'!$E:$E, MATCH($A217, 'UZ-normalized'!$A:$A, 0))&gt;0, -(9*INDEX('UZ-normalized'!$D:$D, MATCH($A217, 'UZ-normalized'!$A:$A, 0))-INDEX('UZ-normalized'!$E:$E, MATCH($A217, 'UZ-normalized'!$A:$A, 0))), 0), 0)))</f>
        <v>-54.5</v>
      </c>
      <c r="X217" s="6">
        <f>MIN(0, N217+(IFERROR(IF(10*INDEX('UA-normalized'!$D:$D, MATCH($A217, 'UA-normalized'!$A:$A, 0))-INDEX('UA-normalized'!$E:$E, MATCH($A217, 'UA-normalized'!$A:$A, 0))&gt;0, -(10*INDEX('UA-normalized'!$D:$D, MATCH($A217, 'UA-normalized'!$A:$A, 0))-INDEX('UA-normalized'!$E:$E, MATCH($A217, 'UA-normalized'!$A:$A, 0))), 0), 0))+(IFERROR(IF(10*INDEX('KZ-normalized'!$D:$D, MATCH($A217, 'KZ-normalized'!$A:$A, 0))-INDEX('KZ-normalized'!$E:$E, MATCH($A217, 'KZ-normalized'!$A:$A, 0))&gt;0, -(10*INDEX('KZ-normalized'!$D:$D, MATCH($A217, 'KZ-normalized'!$A:$A, 0))-INDEX('KZ-normalized'!$E:$E, MATCH($A217, 'KZ-normalized'!$A:$A, 0))), 0), 0))+(IFERROR(IF(10*INDEX('UZ-normalized'!$D:$D, MATCH($A217, 'UZ-normalized'!$A:$A, 0))-INDEX('UZ-normalized'!$E:$E, MATCH($A217, 'UZ-normalized'!$A:$A, 0))&gt;0, -(10*INDEX('UZ-normalized'!$D:$D, MATCH($A217, 'UZ-normalized'!$A:$A, 0))-INDEX('UZ-normalized'!$E:$E, MATCH($A217, 'UZ-normalized'!$A:$A, 0))), 0), 0)))</f>
        <v>-67</v>
      </c>
      <c r="Y217" s="6">
        <f>MIN(0, N217+(IFERROR(IF(11*INDEX('UA-normalized'!$D:$D, MATCH($A217, 'UA-normalized'!$A:$A, 0))-INDEX('UA-normalized'!$E:$E, MATCH($A217, 'UA-normalized'!$A:$A, 0))&gt;0, -(11*INDEX('UA-normalized'!$D:$D, MATCH($A217, 'UA-normalized'!$A:$A, 0))-INDEX('UA-normalized'!$E:$E, MATCH($A217, 'UA-normalized'!$A:$A, 0))), 0), 0))+(IFERROR(IF(11*INDEX('KZ-normalized'!$D:$D, MATCH($A217, 'KZ-normalized'!$A:$A, 0))-INDEX('KZ-normalized'!$E:$E, MATCH($A217, 'KZ-normalized'!$A:$A, 0))&gt;0, -(11*INDEX('KZ-normalized'!$D:$D, MATCH($A217, 'KZ-normalized'!$A:$A, 0))-INDEX('KZ-normalized'!$E:$E, MATCH($A217, 'KZ-normalized'!$A:$A, 0))), 0), 0))+(IFERROR(IF(11*INDEX('UZ-normalized'!$D:$D, MATCH($A217, 'UZ-normalized'!$A:$A, 0))-INDEX('UZ-normalized'!$E:$E, MATCH($A217, 'UZ-normalized'!$A:$A, 0))&gt;0, -(11*INDEX('UZ-normalized'!$D:$D, MATCH($A217, 'UZ-normalized'!$A:$A, 0))-INDEX('UZ-normalized'!$E:$E, MATCH($A217, 'UZ-normalized'!$A:$A, 0))), 0), 0)))</f>
        <v>-79.7</v>
      </c>
      <c r="Z217" s="6">
        <f>MIN(0, N217+(IFERROR(IF(12*INDEX('UA-normalized'!$D:$D, MATCH($A217, 'UA-normalized'!$A:$A, 0))-INDEX('UA-normalized'!$E:$E, MATCH($A217, 'UA-normalized'!$A:$A, 0))&gt;0, -(12*INDEX('UA-normalized'!$D:$D, MATCH($A217, 'UA-normalized'!$A:$A, 0))-INDEX('UA-normalized'!$E:$E, MATCH($A217, 'UA-normalized'!$A:$A, 0))), 0), 0))+(IFERROR(IF(12*INDEX('KZ-normalized'!$D:$D, MATCH($A217, 'KZ-normalized'!$A:$A, 0))-INDEX('KZ-normalized'!$E:$E, MATCH($A217, 'KZ-normalized'!$A:$A, 0))&gt;0, -(12*INDEX('KZ-normalized'!$D:$D, MATCH($A217, 'KZ-normalized'!$A:$A, 0))-INDEX('KZ-normalized'!$E:$E, MATCH($A217, 'KZ-normalized'!$A:$A, 0))), 0), 0))+(IFERROR(IF(12*INDEX('UZ-normalized'!$D:$D, MATCH($A217, 'UZ-normalized'!$A:$A, 0))-INDEX('UZ-normalized'!$E:$E, MATCH($A217, 'UZ-normalized'!$A:$A, 0))&gt;0, -(12*INDEX('UZ-normalized'!$D:$D, MATCH($A217, 'UZ-normalized'!$A:$A, 0))-INDEX('UZ-normalized'!$E:$E, MATCH($A217, 'UZ-normalized'!$A:$A, 0))), 0), 0)))</f>
        <v>-93.4</v>
      </c>
      <c r="AA217" s="6">
        <f>MIN(0, N217+(IFERROR(IF(13*INDEX('UA-normalized'!$D:$D, MATCH($A217, 'UA-normalized'!$A:$A, 0))-INDEX('UA-normalized'!$E:$E, MATCH($A217, 'UA-normalized'!$A:$A, 0))&gt;0, -(13*INDEX('UA-normalized'!$D:$D, MATCH($A217, 'UA-normalized'!$A:$A, 0))-INDEX('UA-normalized'!$E:$E, MATCH($A217, 'UA-normalized'!$A:$A, 0))), 0), 0))+(IFERROR(IF(13*INDEX('KZ-normalized'!$D:$D, MATCH($A217, 'KZ-normalized'!$A:$A, 0))-INDEX('KZ-normalized'!$E:$E, MATCH($A217, 'KZ-normalized'!$A:$A, 0))&gt;0, -(13*INDEX('KZ-normalized'!$D:$D, MATCH($A217, 'KZ-normalized'!$A:$A, 0))-INDEX('KZ-normalized'!$E:$E, MATCH($A217, 'KZ-normalized'!$A:$A, 0))), 0), 0))+(IFERROR(IF(13*INDEX('UZ-normalized'!$D:$D, MATCH($A217, 'UZ-normalized'!$A:$A, 0))-INDEX('UZ-normalized'!$E:$E, MATCH($A217, 'UZ-normalized'!$A:$A, 0))&gt;0, -(13*INDEX('UZ-normalized'!$D:$D, MATCH($A217, 'UZ-normalized'!$A:$A, 0))-INDEX('UZ-normalized'!$E:$E, MATCH($A217, 'UZ-normalized'!$A:$A, 0))), 0), 0)))</f>
        <v>-107.1</v>
      </c>
      <c r="AB217" s="6">
        <f>MIN(0, N217+(IFERROR(IF(14*INDEX('UA-normalized'!$D:$D, MATCH($A217, 'UA-normalized'!$A:$A, 0))-INDEX('UA-normalized'!$E:$E, MATCH($A217, 'UA-normalized'!$A:$A, 0))&gt;0, -(14*INDEX('UA-normalized'!$D:$D, MATCH($A217, 'UA-normalized'!$A:$A, 0))-INDEX('UA-normalized'!$E:$E, MATCH($A217, 'UA-normalized'!$A:$A, 0))), 0), 0))+(IFERROR(IF(14*INDEX('KZ-normalized'!$D:$D, MATCH($A217, 'KZ-normalized'!$A:$A, 0))-INDEX('KZ-normalized'!$E:$E, MATCH($A217, 'KZ-normalized'!$A:$A, 0))&gt;0, -(14*INDEX('KZ-normalized'!$D:$D, MATCH($A217, 'KZ-normalized'!$A:$A, 0))-INDEX('KZ-normalized'!$E:$E, MATCH($A217, 'KZ-normalized'!$A:$A, 0))), 0), 0))+(IFERROR(IF(14*INDEX('UZ-normalized'!$D:$D, MATCH($A217, 'UZ-normalized'!$A:$A, 0))-INDEX('UZ-normalized'!$E:$E, MATCH($A217, 'UZ-normalized'!$A:$A, 0))&gt;0, -(14*INDEX('UZ-normalized'!$D:$D, MATCH($A217, 'UZ-normalized'!$A:$A, 0))-INDEX('UZ-normalized'!$E:$E, MATCH($A217, 'UZ-normalized'!$A:$A, 0))), 0), 0)))</f>
        <v>-120.8</v>
      </c>
      <c r="AC217" s="6">
        <f>MIN(0, N217+(IFERROR(IF(15*INDEX('UA-normalized'!$D:$D, MATCH($A217, 'UA-normalized'!$A:$A, 0))-INDEX('UA-normalized'!$E:$E, MATCH($A217, 'UA-normalized'!$A:$A, 0))&gt;0, -(15*INDEX('UA-normalized'!$D:$D, MATCH($A217, 'UA-normalized'!$A:$A, 0))-INDEX('UA-normalized'!$E:$E, MATCH($A217, 'UA-normalized'!$A:$A, 0))), 0), 0))+(IFERROR(IF(15*INDEX('KZ-normalized'!$D:$D, MATCH($A217, 'KZ-normalized'!$A:$A, 0))-INDEX('KZ-normalized'!$E:$E, MATCH($A217, 'KZ-normalized'!$A:$A, 0))&gt;0, -(15*INDEX('KZ-normalized'!$D:$D, MATCH($A217, 'KZ-normalized'!$A:$A, 0))-INDEX('KZ-normalized'!$E:$E, MATCH($A217, 'KZ-normalized'!$A:$A, 0))), 0), 0))+(IFERROR(IF(15*INDEX('UZ-normalized'!$D:$D, MATCH($A217, 'UZ-normalized'!$A:$A, 0))-INDEX('UZ-normalized'!$E:$E, MATCH($A217, 'UZ-normalized'!$A:$A, 0))&gt;0, -(15*INDEX('UZ-normalized'!$D:$D, MATCH($A217, 'UZ-normalized'!$A:$A, 0))-INDEX('UZ-normalized'!$E:$E, MATCH($A217, 'UZ-normalized'!$A:$A, 0))), 0), 0)))</f>
        <v>-134.5</v>
      </c>
      <c r="AD217" s="6">
        <f>MIN(0, N217+(IFERROR(IF(16*INDEX('UA-normalized'!$D:$D, MATCH($A217, 'UA-normalized'!$A:$A, 0))-INDEX('UA-normalized'!$E:$E, MATCH($A217, 'UA-normalized'!$A:$A, 0))&gt;0, -(16*INDEX('UA-normalized'!$D:$D, MATCH($A217, 'UA-normalized'!$A:$A, 0))-INDEX('UA-normalized'!$E:$E, MATCH($A217, 'UA-normalized'!$A:$A, 0))), 0), 0))+(IFERROR(IF(16*INDEX('KZ-normalized'!$D:$D, MATCH($A217, 'KZ-normalized'!$A:$A, 0))-INDEX('KZ-normalized'!$E:$E, MATCH($A217, 'KZ-normalized'!$A:$A, 0))&gt;0, -(16*INDEX('KZ-normalized'!$D:$D, MATCH($A217, 'KZ-normalized'!$A:$A, 0))-INDEX('KZ-normalized'!$E:$E, MATCH($A217, 'KZ-normalized'!$A:$A, 0))), 0), 0))+(IFERROR(IF(16*INDEX('UZ-normalized'!$D:$D, MATCH($A217, 'UZ-normalized'!$A:$A, 0))-INDEX('UZ-normalized'!$E:$E, MATCH($A217, 'UZ-normalized'!$A:$A, 0))&gt;0, -(16*INDEX('UZ-normalized'!$D:$D, MATCH($A217, 'UZ-normalized'!$A:$A, 0))-INDEX('UZ-normalized'!$E:$E, MATCH($A217, 'UZ-normalized'!$A:$A, 0))), 0), 0)))</f>
        <v>-148.19999999999999</v>
      </c>
      <c r="AE217" s="6">
        <f>MIN(0, N217+(IFERROR(IF(17*INDEX('UA-normalized'!$D:$D, MATCH($A217, 'UA-normalized'!$A:$A, 0))-INDEX('UA-normalized'!$E:$E, MATCH($A217, 'UA-normalized'!$A:$A, 0))&gt;0, -(17*INDEX('UA-normalized'!$D:$D, MATCH($A217, 'UA-normalized'!$A:$A, 0))-INDEX('UA-normalized'!$E:$E, MATCH($A217, 'UA-normalized'!$A:$A, 0))), 0), 0))+(IFERROR(IF(17*INDEX('KZ-normalized'!$D:$D, MATCH($A217, 'KZ-normalized'!$A:$A, 0))-INDEX('KZ-normalized'!$E:$E, MATCH($A217, 'KZ-normalized'!$A:$A, 0))&gt;0, -(17*INDEX('KZ-normalized'!$D:$D, MATCH($A217, 'KZ-normalized'!$A:$A, 0))-INDEX('KZ-normalized'!$E:$E, MATCH($A217, 'KZ-normalized'!$A:$A, 0))), 0), 0))+(IFERROR(IF(17*INDEX('UZ-normalized'!$D:$D, MATCH($A217, 'UZ-normalized'!$A:$A, 0))-INDEX('UZ-normalized'!$E:$E, MATCH($A217, 'UZ-normalized'!$A:$A, 0))&gt;0, -(17*INDEX('UZ-normalized'!$D:$D, MATCH($A217, 'UZ-normalized'!$A:$A, 0))-INDEX('UZ-normalized'!$E:$E, MATCH($A217, 'UZ-normalized'!$A:$A, 0))), 0), 0)))</f>
        <v>-161.9</v>
      </c>
      <c r="AF217" s="6">
        <f>MIN(0, N217+(IFERROR(IF(18*INDEX('UA-normalized'!$D:$D, MATCH($A217, 'UA-normalized'!$A:$A, 0))-INDEX('UA-normalized'!$E:$E, MATCH($A217, 'UA-normalized'!$A:$A, 0))&gt;0, -(18*INDEX('UA-normalized'!$D:$D, MATCH($A217, 'UA-normalized'!$A:$A, 0))-INDEX('UA-normalized'!$E:$E, MATCH($A217, 'UA-normalized'!$A:$A, 0))), 0), 0))+(IFERROR(IF(18*INDEX('KZ-normalized'!$D:$D, MATCH($A217, 'KZ-normalized'!$A:$A, 0))-INDEX('KZ-normalized'!$E:$E, MATCH($A217, 'KZ-normalized'!$A:$A, 0))&gt;0, -(18*INDEX('KZ-normalized'!$D:$D, MATCH($A217, 'KZ-normalized'!$A:$A, 0))-INDEX('KZ-normalized'!$E:$E, MATCH($A217, 'KZ-normalized'!$A:$A, 0))), 0), 0))+(IFERROR(IF(18*INDEX('UZ-normalized'!$D:$D, MATCH($A217, 'UZ-normalized'!$A:$A, 0))-INDEX('UZ-normalized'!$E:$E, MATCH($A217, 'UZ-normalized'!$A:$A, 0))&gt;0, -(18*INDEX('UZ-normalized'!$D:$D, MATCH($A217, 'UZ-normalized'!$A:$A, 0))-INDEX('UZ-normalized'!$E:$E, MATCH($A217, 'UZ-normalized'!$A:$A, 0))), 0), 0)))</f>
        <v>-175.6</v>
      </c>
      <c r="AG217" s="6">
        <f>MIN(0, N217+(IFERROR(IF(19*INDEX('UA-normalized'!$D:$D, MATCH($A217, 'UA-normalized'!$A:$A, 0))-INDEX('UA-normalized'!$E:$E, MATCH($A217, 'UA-normalized'!$A:$A, 0))&gt;0, -(19*INDEX('UA-normalized'!$D:$D, MATCH($A217, 'UA-normalized'!$A:$A, 0))-INDEX('UA-normalized'!$E:$E, MATCH($A217, 'UA-normalized'!$A:$A, 0))), 0), 0))+(IFERROR(IF(19*INDEX('KZ-normalized'!$D:$D, MATCH($A217, 'KZ-normalized'!$A:$A, 0))-INDEX('KZ-normalized'!$E:$E, MATCH($A217, 'KZ-normalized'!$A:$A, 0))&gt;0, -(19*INDEX('KZ-normalized'!$D:$D, MATCH($A217, 'KZ-normalized'!$A:$A, 0))-INDEX('KZ-normalized'!$E:$E, MATCH($A217, 'KZ-normalized'!$A:$A, 0))), 0), 0))+(IFERROR(IF(19*INDEX('UZ-normalized'!$D:$D, MATCH($A217, 'UZ-normalized'!$A:$A, 0))-INDEX('UZ-normalized'!$E:$E, MATCH($A217, 'UZ-normalized'!$A:$A, 0))&gt;0, -(19*INDEX('UZ-normalized'!$D:$D, MATCH($A217, 'UZ-normalized'!$A:$A, 0))-INDEX('UZ-normalized'!$E:$E, MATCH($A217, 'UZ-normalized'!$A:$A, 0))), 0), 0)))</f>
        <v>-189.3</v>
      </c>
      <c r="AH217" s="6">
        <f>MIN(0, N217+(IFERROR(IF(20*INDEX('UA-normalized'!$D:$D, MATCH($A217, 'UA-normalized'!$A:$A, 0))-INDEX('UA-normalized'!$E:$E, MATCH($A217, 'UA-normalized'!$A:$A, 0))&gt;0, -(20*INDEX('UA-normalized'!$D:$D, MATCH($A217, 'UA-normalized'!$A:$A, 0))-INDEX('UA-normalized'!$E:$E, MATCH($A217, 'UA-normalized'!$A:$A, 0))), 0), 0))+(IFERROR(IF(20*INDEX('KZ-normalized'!$D:$D, MATCH($A217, 'KZ-normalized'!$A:$A, 0))-INDEX('KZ-normalized'!$E:$E, MATCH($A217, 'KZ-normalized'!$A:$A, 0))&gt;0, -(20*INDEX('KZ-normalized'!$D:$D, MATCH($A217, 'KZ-normalized'!$A:$A, 0))-INDEX('KZ-normalized'!$E:$E, MATCH($A217, 'KZ-normalized'!$A:$A, 0))), 0), 0))+(IFERROR(IF(20*INDEX('UZ-normalized'!$D:$D, MATCH($A217, 'UZ-normalized'!$A:$A, 0))-INDEX('UZ-normalized'!$E:$E, MATCH($A217, 'UZ-normalized'!$A:$A, 0))&gt;0, -(20*INDEX('UZ-normalized'!$D:$D, MATCH($A217, 'UZ-normalized'!$A:$A, 0))-INDEX('UZ-normalized'!$E:$E, MATCH($A217, 'UZ-normalized'!$A:$A, 0))), 0), 0)))</f>
        <v>-203</v>
      </c>
      <c r="AI217" s="6">
        <f>MIN(0, N217+(IFERROR(IF(21*INDEX('UA-normalized'!$D:$D, MATCH($A217, 'UA-normalized'!$A:$A, 0))-INDEX('UA-normalized'!$E:$E, MATCH($A217, 'UA-normalized'!$A:$A, 0))&gt;0, -(21*INDEX('UA-normalized'!$D:$D, MATCH($A217, 'UA-normalized'!$A:$A, 0))-INDEX('UA-normalized'!$E:$E, MATCH($A217, 'UA-normalized'!$A:$A, 0))), 0), 0))+(IFERROR(IF(21*INDEX('KZ-normalized'!$D:$D, MATCH($A217, 'KZ-normalized'!$A:$A, 0))-INDEX('KZ-normalized'!$E:$E, MATCH($A217, 'KZ-normalized'!$A:$A, 0))&gt;0, -(21*INDEX('KZ-normalized'!$D:$D, MATCH($A217, 'KZ-normalized'!$A:$A, 0))-INDEX('KZ-normalized'!$E:$E, MATCH($A217, 'KZ-normalized'!$A:$A, 0))), 0), 0))+(IFERROR(IF(21*INDEX('UZ-normalized'!$D:$D, MATCH($A217, 'UZ-normalized'!$A:$A, 0))-INDEX('UZ-normalized'!$E:$E, MATCH($A217, 'UZ-normalized'!$A:$A, 0))&gt;0, -(21*INDEX('UZ-normalized'!$D:$D, MATCH($A217, 'UZ-normalized'!$A:$A, 0))-INDEX('UZ-normalized'!$E:$E, MATCH($A217, 'UZ-normalized'!$A:$A, 0))), 0), 0)))</f>
        <v>-216.7</v>
      </c>
      <c r="AJ217" s="6">
        <f>MIN(0, N217+(IFERROR(IF(22*INDEX('UA-normalized'!$D:$D, MATCH($A217, 'UA-normalized'!$A:$A, 0))-INDEX('UA-normalized'!$E:$E, MATCH($A217, 'UA-normalized'!$A:$A, 0))&gt;0, -(22*INDEX('UA-normalized'!$D:$D, MATCH($A217, 'UA-normalized'!$A:$A, 0))-INDEX('UA-normalized'!$E:$E, MATCH($A217, 'UA-normalized'!$A:$A, 0))), 0), 0))+(IFERROR(IF(22*INDEX('KZ-normalized'!$D:$D, MATCH($A217, 'KZ-normalized'!$A:$A, 0))-INDEX('KZ-normalized'!$E:$E, MATCH($A217, 'KZ-normalized'!$A:$A, 0))&gt;0, -(22*INDEX('KZ-normalized'!$D:$D, MATCH($A217, 'KZ-normalized'!$A:$A, 0))-INDEX('KZ-normalized'!$E:$E, MATCH($A217, 'KZ-normalized'!$A:$A, 0))), 0), 0))+(IFERROR(IF(22*INDEX('UZ-normalized'!$D:$D, MATCH($A217, 'UZ-normalized'!$A:$A, 0))-INDEX('UZ-normalized'!$E:$E, MATCH($A217, 'UZ-normalized'!$A:$A, 0))&gt;0, -(22*INDEX('UZ-normalized'!$D:$D, MATCH($A217, 'UZ-normalized'!$A:$A, 0))-INDEX('UZ-normalized'!$E:$E, MATCH($A217, 'UZ-normalized'!$A:$A, 0))), 0), 0)))</f>
        <v>-230.4</v>
      </c>
      <c r="AK217" s="6">
        <f>MIN(0, N217+(IFERROR(IF(23*INDEX('UA-normalized'!$D:$D, MATCH($A217, 'UA-normalized'!$A:$A, 0))-INDEX('UA-normalized'!$E:$E, MATCH($A217, 'UA-normalized'!$A:$A, 0))&gt;0, -(23*INDEX('UA-normalized'!$D:$D, MATCH($A217, 'UA-normalized'!$A:$A, 0))-INDEX('UA-normalized'!$E:$E, MATCH($A217, 'UA-normalized'!$A:$A, 0))), 0), 0))+(IFERROR(IF(23*INDEX('KZ-normalized'!$D:$D, MATCH($A217, 'KZ-normalized'!$A:$A, 0))-INDEX('KZ-normalized'!$E:$E, MATCH($A217, 'KZ-normalized'!$A:$A, 0))&gt;0, -(23*INDEX('KZ-normalized'!$D:$D, MATCH($A217, 'KZ-normalized'!$A:$A, 0))-INDEX('KZ-normalized'!$E:$E, MATCH($A217, 'KZ-normalized'!$A:$A, 0))), 0), 0))+(IFERROR(IF(23*INDEX('UZ-normalized'!$D:$D, MATCH($A217, 'UZ-normalized'!$A:$A, 0))-INDEX('UZ-normalized'!$E:$E, MATCH($A217, 'UZ-normalized'!$A:$A, 0))&gt;0, -(23*INDEX('UZ-normalized'!$D:$D, MATCH($A217, 'UZ-normalized'!$A:$A, 0))-INDEX('UZ-normalized'!$E:$E, MATCH($A217, 'UZ-normalized'!$A:$A, 0))), 0), 0)))</f>
        <v>-244.1</v>
      </c>
      <c r="AL217" s="6">
        <f>MIN(0, N217+(IFERROR(IF(24*INDEX('UA-normalized'!$D:$D, MATCH($A217, 'UA-normalized'!$A:$A, 0))-INDEX('UA-normalized'!$E:$E, MATCH($A217, 'UA-normalized'!$A:$A, 0))&gt;0, -(24*INDEX('UA-normalized'!$D:$D, MATCH($A217, 'UA-normalized'!$A:$A, 0))-INDEX('UA-normalized'!$E:$E, MATCH($A217, 'UA-normalized'!$A:$A, 0))), 0), 0))+(IFERROR(IF(24*INDEX('KZ-normalized'!$D:$D, MATCH($A217, 'KZ-normalized'!$A:$A, 0))-INDEX('KZ-normalized'!$E:$E, MATCH($A217, 'KZ-normalized'!$A:$A, 0))&gt;0, -(24*INDEX('KZ-normalized'!$D:$D, MATCH($A217, 'KZ-normalized'!$A:$A, 0))-INDEX('KZ-normalized'!$E:$E, MATCH($A217, 'KZ-normalized'!$A:$A, 0))), 0), 0))+(IFERROR(IF(24*INDEX('UZ-normalized'!$D:$D, MATCH($A217, 'UZ-normalized'!$A:$A, 0))-INDEX('UZ-normalized'!$E:$E, MATCH($A217, 'UZ-normalized'!$A:$A, 0))&gt;0, -(24*INDEX('UZ-normalized'!$D:$D, MATCH($A217, 'UZ-normalized'!$A:$A, 0))-INDEX('UZ-normalized'!$E:$E, MATCH($A217, 'UZ-normalized'!$A:$A, 0))), 0), 0)))</f>
        <v>-257.8</v>
      </c>
      <c r="AM217" s="6">
        <f>MIN(0, N217+(IFERROR(IF(25*INDEX('UA-normalized'!$D:$D, MATCH($A217, 'UA-normalized'!$A:$A, 0))-INDEX('UA-normalized'!$E:$E, MATCH($A217, 'UA-normalized'!$A:$A, 0))&gt;0, -(25*INDEX('UA-normalized'!$D:$D, MATCH($A217, 'UA-normalized'!$A:$A, 0))-INDEX('UA-normalized'!$E:$E, MATCH($A217, 'UA-normalized'!$A:$A, 0))), 0), 0))+(IFERROR(IF(25*INDEX('KZ-normalized'!$D:$D, MATCH($A217, 'KZ-normalized'!$A:$A, 0))-INDEX('KZ-normalized'!$E:$E, MATCH($A217, 'KZ-normalized'!$A:$A, 0))&gt;0, -(25*INDEX('KZ-normalized'!$D:$D, MATCH($A217, 'KZ-normalized'!$A:$A, 0))-INDEX('KZ-normalized'!$E:$E, MATCH($A217, 'KZ-normalized'!$A:$A, 0))), 0), 0))+(IFERROR(IF(25*INDEX('UZ-normalized'!$D:$D, MATCH($A217, 'UZ-normalized'!$A:$A, 0))-INDEX('UZ-normalized'!$E:$E, MATCH($A217, 'UZ-normalized'!$A:$A, 0))&gt;0, -(25*INDEX('UZ-normalized'!$D:$D, MATCH($A217, 'UZ-normalized'!$A:$A, 0))-INDEX('UZ-normalized'!$E:$E, MATCH($A217, 'UZ-normalized'!$A:$A, 0))), 0), 0)))</f>
        <v>-271.5</v>
      </c>
      <c r="AN217" s="6">
        <f>MIN(0, N217+(IFERROR(IF(26*INDEX('UA-normalized'!$D:$D, MATCH($A217, 'UA-normalized'!$A:$A, 0))-INDEX('UA-normalized'!$E:$E, MATCH($A217, 'UA-normalized'!$A:$A, 0))&gt;0, -(26*INDEX('UA-normalized'!$D:$D, MATCH($A217, 'UA-normalized'!$A:$A, 0))-INDEX('UA-normalized'!$E:$E, MATCH($A217, 'UA-normalized'!$A:$A, 0))), 0), 0))+(IFERROR(IF(26*INDEX('KZ-normalized'!$D:$D, MATCH($A217, 'KZ-normalized'!$A:$A, 0))-INDEX('KZ-normalized'!$E:$E, MATCH($A217, 'KZ-normalized'!$A:$A, 0))&gt;0, -(26*INDEX('KZ-normalized'!$D:$D, MATCH($A217, 'KZ-normalized'!$A:$A, 0))-INDEX('KZ-normalized'!$E:$E, MATCH($A217, 'KZ-normalized'!$A:$A, 0))), 0), 0))+(IFERROR(IF(26*INDEX('UZ-normalized'!$D:$D, MATCH($A217, 'UZ-normalized'!$A:$A, 0))-INDEX('UZ-normalized'!$E:$E, MATCH($A217, 'UZ-normalized'!$A:$A, 0))&gt;0, -(26*INDEX('UZ-normalized'!$D:$D, MATCH($A217, 'UZ-normalized'!$A:$A, 0))-INDEX('UZ-normalized'!$E:$E, MATCH($A217, 'UZ-normalized'!$A:$A, 0))), 0), 0)))</f>
        <v>-285.2</v>
      </c>
      <c r="AO217" s="6">
        <f>MIN(0, N217+(IFERROR(IF(27*INDEX('UA-normalized'!$D:$D, MATCH($A217, 'UA-normalized'!$A:$A, 0))-INDEX('UA-normalized'!$E:$E, MATCH($A217, 'UA-normalized'!$A:$A, 0))&gt;0, -(27*INDEX('UA-normalized'!$D:$D, MATCH($A217, 'UA-normalized'!$A:$A, 0))-INDEX('UA-normalized'!$E:$E, MATCH($A217, 'UA-normalized'!$A:$A, 0))), 0), 0))+(IFERROR(IF(27*INDEX('KZ-normalized'!$D:$D, MATCH($A217, 'KZ-normalized'!$A:$A, 0))-INDEX('KZ-normalized'!$E:$E, MATCH($A217, 'KZ-normalized'!$A:$A, 0))&gt;0, -(27*INDEX('KZ-normalized'!$D:$D, MATCH($A217, 'KZ-normalized'!$A:$A, 0))-INDEX('KZ-normalized'!$E:$E, MATCH($A217, 'KZ-normalized'!$A:$A, 0))), 0), 0))+(IFERROR(IF(27*INDEX('UZ-normalized'!$D:$D, MATCH($A217, 'UZ-normalized'!$A:$A, 0))-INDEX('UZ-normalized'!$E:$E, MATCH($A217, 'UZ-normalized'!$A:$A, 0))&gt;0, -(27*INDEX('UZ-normalized'!$D:$D, MATCH($A217, 'UZ-normalized'!$A:$A, 0))-INDEX('UZ-normalized'!$E:$E, MATCH($A217, 'UZ-normalized'!$A:$A, 0))), 0), 0)))</f>
        <v>-298.89999999999998</v>
      </c>
      <c r="AP217" s="6">
        <f>MIN(0, N217+(IFERROR(IF(28*INDEX('UA-normalized'!$D:$D, MATCH($A217, 'UA-normalized'!$A:$A, 0))-INDEX('UA-normalized'!$E:$E, MATCH($A217, 'UA-normalized'!$A:$A, 0))&gt;0, -(28*INDEX('UA-normalized'!$D:$D, MATCH($A217, 'UA-normalized'!$A:$A, 0))-INDEX('UA-normalized'!$E:$E, MATCH($A217, 'UA-normalized'!$A:$A, 0))), 0), 0))+(IFERROR(IF(28*INDEX('KZ-normalized'!$D:$D, MATCH($A217, 'KZ-normalized'!$A:$A, 0))-INDEX('KZ-normalized'!$E:$E, MATCH($A217, 'KZ-normalized'!$A:$A, 0))&gt;0, -(28*INDEX('KZ-normalized'!$D:$D, MATCH($A217, 'KZ-normalized'!$A:$A, 0))-INDEX('KZ-normalized'!$E:$E, MATCH($A217, 'KZ-normalized'!$A:$A, 0))), 0), 0))+(IFERROR(IF(28*INDEX('UZ-normalized'!$D:$D, MATCH($A217, 'UZ-normalized'!$A:$A, 0))-INDEX('UZ-normalized'!$E:$E, MATCH($A217, 'UZ-normalized'!$A:$A, 0))&gt;0, -(28*INDEX('UZ-normalized'!$D:$D, MATCH($A217, 'UZ-normalized'!$A:$A, 0))-INDEX('UZ-normalized'!$E:$E, MATCH($A217, 'UZ-normalized'!$A:$A, 0))), 0), 0)))</f>
        <v>-312.60000000000002</v>
      </c>
      <c r="AQ217" s="6">
        <f>MIN(0, N217+(IFERROR(IF(29*INDEX('UA-normalized'!$D:$D, MATCH($A217, 'UA-normalized'!$A:$A, 0))-INDEX('UA-normalized'!$E:$E, MATCH($A217, 'UA-normalized'!$A:$A, 0))&gt;0, -(29*INDEX('UA-normalized'!$D:$D, MATCH($A217, 'UA-normalized'!$A:$A, 0))-INDEX('UA-normalized'!$E:$E, MATCH($A217, 'UA-normalized'!$A:$A, 0))), 0), 0))+(IFERROR(IF(29*INDEX('KZ-normalized'!$D:$D, MATCH($A217, 'KZ-normalized'!$A:$A, 0))-INDEX('KZ-normalized'!$E:$E, MATCH($A217, 'KZ-normalized'!$A:$A, 0))&gt;0, -(29*INDEX('KZ-normalized'!$D:$D, MATCH($A217, 'KZ-normalized'!$A:$A, 0))-INDEX('KZ-normalized'!$E:$E, MATCH($A217, 'KZ-normalized'!$A:$A, 0))), 0), 0))+(IFERROR(IF(29*INDEX('UZ-normalized'!$D:$D, MATCH($A217, 'UZ-normalized'!$A:$A, 0))-INDEX('UZ-normalized'!$E:$E, MATCH($A217, 'UZ-normalized'!$A:$A, 0))&gt;0, -(29*INDEX('UZ-normalized'!$D:$D, MATCH($A217, 'UZ-normalized'!$A:$A, 0))-INDEX('UZ-normalized'!$E:$E, MATCH($A217, 'UZ-normalized'!$A:$A, 0))), 0), 0)))</f>
        <v>-326.3</v>
      </c>
      <c r="AR217" s="6">
        <f>MIN(0, N217+(IFERROR(IF(30*INDEX('UA-normalized'!$D:$D, MATCH($A217, 'UA-normalized'!$A:$A, 0))-INDEX('UA-normalized'!$E:$E, MATCH($A217, 'UA-normalized'!$A:$A, 0))&gt;0, -(30*INDEX('UA-normalized'!$D:$D, MATCH($A217, 'UA-normalized'!$A:$A, 0))-INDEX('UA-normalized'!$E:$E, MATCH($A217, 'UA-normalized'!$A:$A, 0))), 0), 0))+(IFERROR(IF(30*INDEX('KZ-normalized'!$D:$D, MATCH($A217, 'KZ-normalized'!$A:$A, 0))-INDEX('KZ-normalized'!$E:$E, MATCH($A217, 'KZ-normalized'!$A:$A, 0))&gt;0, -(30*INDEX('KZ-normalized'!$D:$D, MATCH($A217, 'KZ-normalized'!$A:$A, 0))-INDEX('KZ-normalized'!$E:$E, MATCH($A217, 'KZ-normalized'!$A:$A, 0))), 0), 0))+(IFERROR(IF(30*INDEX('UZ-normalized'!$D:$D, MATCH($A217, 'UZ-normalized'!$A:$A, 0))-INDEX('UZ-normalized'!$E:$E, MATCH($A217, 'UZ-normalized'!$A:$A, 0))&gt;0, -(30*INDEX('UZ-normalized'!$D:$D, MATCH($A217, 'UZ-normalized'!$A:$A, 0))-INDEX('UZ-normalized'!$E:$E, MATCH($A217, 'UZ-normalized'!$A:$A, 0))), 0), 0)))</f>
        <v>-340</v>
      </c>
    </row>
    <row r="218" spans="1:44" x14ac:dyDescent="0.25">
      <c r="A218" s="8" t="s">
        <v>517</v>
      </c>
      <c r="B218" s="8" t="s">
        <v>492</v>
      </c>
      <c r="C218" s="8" t="s">
        <v>493</v>
      </c>
      <c r="D218" s="8" t="s">
        <v>518</v>
      </c>
      <c r="N218">
        <f t="shared" si="3"/>
        <v>0</v>
      </c>
      <c r="O218" s="6">
        <f>MIN(0, N218+(IFERROR(IF(1*INDEX('UA-normalized'!$D:$D, MATCH($A218, 'UA-normalized'!$A:$A, 0))-INDEX('UA-normalized'!$E:$E, MATCH($A218, 'UA-normalized'!$A:$A, 0))&gt;0, -(1*INDEX('UA-normalized'!$D:$D, MATCH($A218, 'UA-normalized'!$A:$A, 0))-INDEX('UA-normalized'!$E:$E, MATCH($A218, 'UA-normalized'!$A:$A, 0))), 0), 0))+(IFERROR(IF(1*INDEX('KZ-normalized'!$D:$D, MATCH($A218, 'KZ-normalized'!$A:$A, 0))-INDEX('KZ-normalized'!$E:$E, MATCH($A218, 'KZ-normalized'!$A:$A, 0))&gt;0, -(1*INDEX('KZ-normalized'!$D:$D, MATCH($A218, 'KZ-normalized'!$A:$A, 0))-INDEX('KZ-normalized'!$E:$E, MATCH($A218, 'KZ-normalized'!$A:$A, 0))), 0), 0))+(IFERROR(IF(1*INDEX('UZ-normalized'!$D:$D, MATCH($A218, 'UZ-normalized'!$A:$A, 0))-INDEX('UZ-normalized'!$E:$E, MATCH($A218, 'UZ-normalized'!$A:$A, 0))&gt;0, -(1*INDEX('UZ-normalized'!$D:$D, MATCH($A218, 'UZ-normalized'!$A:$A, 0))-INDEX('UZ-normalized'!$E:$E, MATCH($A218, 'UZ-normalized'!$A:$A, 0))), 0), 0)))</f>
        <v>0</v>
      </c>
      <c r="P218" s="6">
        <f>MIN(0, N218+(IFERROR(IF(2*INDEX('UA-normalized'!$D:$D, MATCH($A218, 'UA-normalized'!$A:$A, 0))-INDEX('UA-normalized'!$E:$E, MATCH($A218, 'UA-normalized'!$A:$A, 0))&gt;0, -(2*INDEX('UA-normalized'!$D:$D, MATCH($A218, 'UA-normalized'!$A:$A, 0))-INDEX('UA-normalized'!$E:$E, MATCH($A218, 'UA-normalized'!$A:$A, 0))), 0), 0))+(IFERROR(IF(2*INDEX('KZ-normalized'!$D:$D, MATCH($A218, 'KZ-normalized'!$A:$A, 0))-INDEX('KZ-normalized'!$E:$E, MATCH($A218, 'KZ-normalized'!$A:$A, 0))&gt;0, -(2*INDEX('KZ-normalized'!$D:$D, MATCH($A218, 'KZ-normalized'!$A:$A, 0))-INDEX('KZ-normalized'!$E:$E, MATCH($A218, 'KZ-normalized'!$A:$A, 0))), 0), 0))+(IFERROR(IF(2*INDEX('UZ-normalized'!$D:$D, MATCH($A218, 'UZ-normalized'!$A:$A, 0))-INDEX('UZ-normalized'!$E:$E, MATCH($A218, 'UZ-normalized'!$A:$A, 0))&gt;0, -(2*INDEX('UZ-normalized'!$D:$D, MATCH($A218, 'UZ-normalized'!$A:$A, 0))-INDEX('UZ-normalized'!$E:$E, MATCH($A218, 'UZ-normalized'!$A:$A, 0))), 0), 0)))</f>
        <v>0</v>
      </c>
      <c r="Q218" s="6">
        <f>MIN(0, N218+(IFERROR(IF(3*INDEX('UA-normalized'!$D:$D, MATCH($A218, 'UA-normalized'!$A:$A, 0))-INDEX('UA-normalized'!$E:$E, MATCH($A218, 'UA-normalized'!$A:$A, 0))&gt;0, -(3*INDEX('UA-normalized'!$D:$D, MATCH($A218, 'UA-normalized'!$A:$A, 0))-INDEX('UA-normalized'!$E:$E, MATCH($A218, 'UA-normalized'!$A:$A, 0))), 0), 0))+(IFERROR(IF(3*INDEX('KZ-normalized'!$D:$D, MATCH($A218, 'KZ-normalized'!$A:$A, 0))-INDEX('KZ-normalized'!$E:$E, MATCH($A218, 'KZ-normalized'!$A:$A, 0))&gt;0, -(3*INDEX('KZ-normalized'!$D:$D, MATCH($A218, 'KZ-normalized'!$A:$A, 0))-INDEX('KZ-normalized'!$E:$E, MATCH($A218, 'KZ-normalized'!$A:$A, 0))), 0), 0))+(IFERROR(IF(3*INDEX('UZ-normalized'!$D:$D, MATCH($A218, 'UZ-normalized'!$A:$A, 0))-INDEX('UZ-normalized'!$E:$E, MATCH($A218, 'UZ-normalized'!$A:$A, 0))&gt;0, -(3*INDEX('UZ-normalized'!$D:$D, MATCH($A218, 'UZ-normalized'!$A:$A, 0))-INDEX('UZ-normalized'!$E:$E, MATCH($A218, 'UZ-normalized'!$A:$A, 0))), 0), 0)))</f>
        <v>0</v>
      </c>
      <c r="R218" s="6">
        <f>MIN(0, N218+(IFERROR(IF(4*INDEX('UA-normalized'!$D:$D, MATCH($A218, 'UA-normalized'!$A:$A, 0))-INDEX('UA-normalized'!$E:$E, MATCH($A218, 'UA-normalized'!$A:$A, 0))&gt;0, -(4*INDEX('UA-normalized'!$D:$D, MATCH($A218, 'UA-normalized'!$A:$A, 0))-INDEX('UA-normalized'!$E:$E, MATCH($A218, 'UA-normalized'!$A:$A, 0))), 0), 0))+(IFERROR(IF(4*INDEX('KZ-normalized'!$D:$D, MATCH($A218, 'KZ-normalized'!$A:$A, 0))-INDEX('KZ-normalized'!$E:$E, MATCH($A218, 'KZ-normalized'!$A:$A, 0))&gt;0, -(4*INDEX('KZ-normalized'!$D:$D, MATCH($A218, 'KZ-normalized'!$A:$A, 0))-INDEX('KZ-normalized'!$E:$E, MATCH($A218, 'KZ-normalized'!$A:$A, 0))), 0), 0))+(IFERROR(IF(4*INDEX('UZ-normalized'!$D:$D, MATCH($A218, 'UZ-normalized'!$A:$A, 0))-INDEX('UZ-normalized'!$E:$E, MATCH($A218, 'UZ-normalized'!$A:$A, 0))&gt;0, -(4*INDEX('UZ-normalized'!$D:$D, MATCH($A218, 'UZ-normalized'!$A:$A, 0))-INDEX('UZ-normalized'!$E:$E, MATCH($A218, 'UZ-normalized'!$A:$A, 0))), 0), 0)))</f>
        <v>0</v>
      </c>
      <c r="S218" s="6">
        <f>MIN(0, N218+(IFERROR(IF(5*INDEX('UA-normalized'!$D:$D, MATCH($A218, 'UA-normalized'!$A:$A, 0))-INDEX('UA-normalized'!$E:$E, MATCH($A218, 'UA-normalized'!$A:$A, 0))&gt;0, -(5*INDEX('UA-normalized'!$D:$D, MATCH($A218, 'UA-normalized'!$A:$A, 0))-INDEX('UA-normalized'!$E:$E, MATCH($A218, 'UA-normalized'!$A:$A, 0))), 0), 0))+(IFERROR(IF(5*INDEX('KZ-normalized'!$D:$D, MATCH($A218, 'KZ-normalized'!$A:$A, 0))-INDEX('KZ-normalized'!$E:$E, MATCH($A218, 'KZ-normalized'!$A:$A, 0))&gt;0, -(5*INDEX('KZ-normalized'!$D:$D, MATCH($A218, 'KZ-normalized'!$A:$A, 0))-INDEX('KZ-normalized'!$E:$E, MATCH($A218, 'KZ-normalized'!$A:$A, 0))), 0), 0))+(IFERROR(IF(5*INDEX('UZ-normalized'!$D:$D, MATCH($A218, 'UZ-normalized'!$A:$A, 0))-INDEX('UZ-normalized'!$E:$E, MATCH($A218, 'UZ-normalized'!$A:$A, 0))&gt;0, -(5*INDEX('UZ-normalized'!$D:$D, MATCH($A218, 'UZ-normalized'!$A:$A, 0))-INDEX('UZ-normalized'!$E:$E, MATCH($A218, 'UZ-normalized'!$A:$A, 0))), 0), 0)))</f>
        <v>0</v>
      </c>
      <c r="T218" s="6">
        <f>MIN(0, N218+(IFERROR(IF(6*INDEX('UA-normalized'!$D:$D, MATCH($A218, 'UA-normalized'!$A:$A, 0))-INDEX('UA-normalized'!$E:$E, MATCH($A218, 'UA-normalized'!$A:$A, 0))&gt;0, -(6*INDEX('UA-normalized'!$D:$D, MATCH($A218, 'UA-normalized'!$A:$A, 0))-INDEX('UA-normalized'!$E:$E, MATCH($A218, 'UA-normalized'!$A:$A, 0))), 0), 0))+(IFERROR(IF(6*INDEX('KZ-normalized'!$D:$D, MATCH($A218, 'KZ-normalized'!$A:$A, 0))-INDEX('KZ-normalized'!$E:$E, MATCH($A218, 'KZ-normalized'!$A:$A, 0))&gt;0, -(6*INDEX('KZ-normalized'!$D:$D, MATCH($A218, 'KZ-normalized'!$A:$A, 0))-INDEX('KZ-normalized'!$E:$E, MATCH($A218, 'KZ-normalized'!$A:$A, 0))), 0), 0))+(IFERROR(IF(6*INDEX('UZ-normalized'!$D:$D, MATCH($A218, 'UZ-normalized'!$A:$A, 0))-INDEX('UZ-normalized'!$E:$E, MATCH($A218, 'UZ-normalized'!$A:$A, 0))&gt;0, -(6*INDEX('UZ-normalized'!$D:$D, MATCH($A218, 'UZ-normalized'!$A:$A, 0))-INDEX('UZ-normalized'!$E:$E, MATCH($A218, 'UZ-normalized'!$A:$A, 0))), 0), 0)))</f>
        <v>0</v>
      </c>
      <c r="U218" s="6">
        <f>MIN(0, N218+(IFERROR(IF(7*INDEX('UA-normalized'!$D:$D, MATCH($A218, 'UA-normalized'!$A:$A, 0))-INDEX('UA-normalized'!$E:$E, MATCH($A218, 'UA-normalized'!$A:$A, 0))&gt;0, -(7*INDEX('UA-normalized'!$D:$D, MATCH($A218, 'UA-normalized'!$A:$A, 0))-INDEX('UA-normalized'!$E:$E, MATCH($A218, 'UA-normalized'!$A:$A, 0))), 0), 0))+(IFERROR(IF(7*INDEX('KZ-normalized'!$D:$D, MATCH($A218, 'KZ-normalized'!$A:$A, 0))-INDEX('KZ-normalized'!$E:$E, MATCH($A218, 'KZ-normalized'!$A:$A, 0))&gt;0, -(7*INDEX('KZ-normalized'!$D:$D, MATCH($A218, 'KZ-normalized'!$A:$A, 0))-INDEX('KZ-normalized'!$E:$E, MATCH($A218, 'KZ-normalized'!$A:$A, 0))), 0), 0))+(IFERROR(IF(7*INDEX('UZ-normalized'!$D:$D, MATCH($A218, 'UZ-normalized'!$A:$A, 0))-INDEX('UZ-normalized'!$E:$E, MATCH($A218, 'UZ-normalized'!$A:$A, 0))&gt;0, -(7*INDEX('UZ-normalized'!$D:$D, MATCH($A218, 'UZ-normalized'!$A:$A, 0))-INDEX('UZ-normalized'!$E:$E, MATCH($A218, 'UZ-normalized'!$A:$A, 0))), 0), 0)))</f>
        <v>0</v>
      </c>
      <c r="V218" s="6">
        <f>MIN(0, N218+(IFERROR(IF(8*INDEX('UA-normalized'!$D:$D, MATCH($A218, 'UA-normalized'!$A:$A, 0))-INDEX('UA-normalized'!$E:$E, MATCH($A218, 'UA-normalized'!$A:$A, 0))&gt;0, -(8*INDEX('UA-normalized'!$D:$D, MATCH($A218, 'UA-normalized'!$A:$A, 0))-INDEX('UA-normalized'!$E:$E, MATCH($A218, 'UA-normalized'!$A:$A, 0))), 0), 0))+(IFERROR(IF(8*INDEX('KZ-normalized'!$D:$D, MATCH($A218, 'KZ-normalized'!$A:$A, 0))-INDEX('KZ-normalized'!$E:$E, MATCH($A218, 'KZ-normalized'!$A:$A, 0))&gt;0, -(8*INDEX('KZ-normalized'!$D:$D, MATCH($A218, 'KZ-normalized'!$A:$A, 0))-INDEX('KZ-normalized'!$E:$E, MATCH($A218, 'KZ-normalized'!$A:$A, 0))), 0), 0))+(IFERROR(IF(8*INDEX('UZ-normalized'!$D:$D, MATCH($A218, 'UZ-normalized'!$A:$A, 0))-INDEX('UZ-normalized'!$E:$E, MATCH($A218, 'UZ-normalized'!$A:$A, 0))&gt;0, -(8*INDEX('UZ-normalized'!$D:$D, MATCH($A218, 'UZ-normalized'!$A:$A, 0))-INDEX('UZ-normalized'!$E:$E, MATCH($A218, 'UZ-normalized'!$A:$A, 0))), 0), 0)))</f>
        <v>-1</v>
      </c>
      <c r="W218" s="6">
        <f>MIN(0, N218+(IFERROR(IF(9*INDEX('UA-normalized'!$D:$D, MATCH($A218, 'UA-normalized'!$A:$A, 0))-INDEX('UA-normalized'!$E:$E, MATCH($A218, 'UA-normalized'!$A:$A, 0))&gt;0, -(9*INDEX('UA-normalized'!$D:$D, MATCH($A218, 'UA-normalized'!$A:$A, 0))-INDEX('UA-normalized'!$E:$E, MATCH($A218, 'UA-normalized'!$A:$A, 0))), 0), 0))+(IFERROR(IF(9*INDEX('KZ-normalized'!$D:$D, MATCH($A218, 'KZ-normalized'!$A:$A, 0))-INDEX('KZ-normalized'!$E:$E, MATCH($A218, 'KZ-normalized'!$A:$A, 0))&gt;0, -(9*INDEX('KZ-normalized'!$D:$D, MATCH($A218, 'KZ-normalized'!$A:$A, 0))-INDEX('KZ-normalized'!$E:$E, MATCH($A218, 'KZ-normalized'!$A:$A, 0))), 0), 0))+(IFERROR(IF(9*INDEX('UZ-normalized'!$D:$D, MATCH($A218, 'UZ-normalized'!$A:$A, 0))-INDEX('UZ-normalized'!$E:$E, MATCH($A218, 'UZ-normalized'!$A:$A, 0))&gt;0, -(9*INDEX('UZ-normalized'!$D:$D, MATCH($A218, 'UZ-normalized'!$A:$A, 0))-INDEX('UZ-normalized'!$E:$E, MATCH($A218, 'UZ-normalized'!$A:$A, 0))), 0), 0)))</f>
        <v>-8.5</v>
      </c>
      <c r="X218" s="6">
        <f>MIN(0, N218+(IFERROR(IF(10*INDEX('UA-normalized'!$D:$D, MATCH($A218, 'UA-normalized'!$A:$A, 0))-INDEX('UA-normalized'!$E:$E, MATCH($A218, 'UA-normalized'!$A:$A, 0))&gt;0, -(10*INDEX('UA-normalized'!$D:$D, MATCH($A218, 'UA-normalized'!$A:$A, 0))-INDEX('UA-normalized'!$E:$E, MATCH($A218, 'UA-normalized'!$A:$A, 0))), 0), 0))+(IFERROR(IF(10*INDEX('KZ-normalized'!$D:$D, MATCH($A218, 'KZ-normalized'!$A:$A, 0))-INDEX('KZ-normalized'!$E:$E, MATCH($A218, 'KZ-normalized'!$A:$A, 0))&gt;0, -(10*INDEX('KZ-normalized'!$D:$D, MATCH($A218, 'KZ-normalized'!$A:$A, 0))-INDEX('KZ-normalized'!$E:$E, MATCH($A218, 'KZ-normalized'!$A:$A, 0))), 0), 0))+(IFERROR(IF(10*INDEX('UZ-normalized'!$D:$D, MATCH($A218, 'UZ-normalized'!$A:$A, 0))-INDEX('UZ-normalized'!$E:$E, MATCH($A218, 'UZ-normalized'!$A:$A, 0))&gt;0, -(10*INDEX('UZ-normalized'!$D:$D, MATCH($A218, 'UZ-normalized'!$A:$A, 0))-INDEX('UZ-normalized'!$E:$E, MATCH($A218, 'UZ-normalized'!$A:$A, 0))), 0), 0)))</f>
        <v>-16</v>
      </c>
      <c r="Y218" s="6">
        <f>MIN(0, N218+(IFERROR(IF(11*INDEX('UA-normalized'!$D:$D, MATCH($A218, 'UA-normalized'!$A:$A, 0))-INDEX('UA-normalized'!$E:$E, MATCH($A218, 'UA-normalized'!$A:$A, 0))&gt;0, -(11*INDEX('UA-normalized'!$D:$D, MATCH($A218, 'UA-normalized'!$A:$A, 0))-INDEX('UA-normalized'!$E:$E, MATCH($A218, 'UA-normalized'!$A:$A, 0))), 0), 0))+(IFERROR(IF(11*INDEX('KZ-normalized'!$D:$D, MATCH($A218, 'KZ-normalized'!$A:$A, 0))-INDEX('KZ-normalized'!$E:$E, MATCH($A218, 'KZ-normalized'!$A:$A, 0))&gt;0, -(11*INDEX('KZ-normalized'!$D:$D, MATCH($A218, 'KZ-normalized'!$A:$A, 0))-INDEX('KZ-normalized'!$E:$E, MATCH($A218, 'KZ-normalized'!$A:$A, 0))), 0), 0))+(IFERROR(IF(11*INDEX('UZ-normalized'!$D:$D, MATCH($A218, 'UZ-normalized'!$A:$A, 0))-INDEX('UZ-normalized'!$E:$E, MATCH($A218, 'UZ-normalized'!$A:$A, 0))&gt;0, -(11*INDEX('UZ-normalized'!$D:$D, MATCH($A218, 'UZ-normalized'!$A:$A, 0))-INDEX('UZ-normalized'!$E:$E, MATCH($A218, 'UZ-normalized'!$A:$A, 0))), 0), 0)))</f>
        <v>-23.5</v>
      </c>
      <c r="Z218" s="6">
        <f>MIN(0, N218+(IFERROR(IF(12*INDEX('UA-normalized'!$D:$D, MATCH($A218, 'UA-normalized'!$A:$A, 0))-INDEX('UA-normalized'!$E:$E, MATCH($A218, 'UA-normalized'!$A:$A, 0))&gt;0, -(12*INDEX('UA-normalized'!$D:$D, MATCH($A218, 'UA-normalized'!$A:$A, 0))-INDEX('UA-normalized'!$E:$E, MATCH($A218, 'UA-normalized'!$A:$A, 0))), 0), 0))+(IFERROR(IF(12*INDEX('KZ-normalized'!$D:$D, MATCH($A218, 'KZ-normalized'!$A:$A, 0))-INDEX('KZ-normalized'!$E:$E, MATCH($A218, 'KZ-normalized'!$A:$A, 0))&gt;0, -(12*INDEX('KZ-normalized'!$D:$D, MATCH($A218, 'KZ-normalized'!$A:$A, 0))-INDEX('KZ-normalized'!$E:$E, MATCH($A218, 'KZ-normalized'!$A:$A, 0))), 0), 0))+(IFERROR(IF(12*INDEX('UZ-normalized'!$D:$D, MATCH($A218, 'UZ-normalized'!$A:$A, 0))-INDEX('UZ-normalized'!$E:$E, MATCH($A218, 'UZ-normalized'!$A:$A, 0))&gt;0, -(12*INDEX('UZ-normalized'!$D:$D, MATCH($A218, 'UZ-normalized'!$A:$A, 0))-INDEX('UZ-normalized'!$E:$E, MATCH($A218, 'UZ-normalized'!$A:$A, 0))), 0), 0)))</f>
        <v>-31</v>
      </c>
      <c r="AA218" s="6">
        <f>MIN(0, N218+(IFERROR(IF(13*INDEX('UA-normalized'!$D:$D, MATCH($A218, 'UA-normalized'!$A:$A, 0))-INDEX('UA-normalized'!$E:$E, MATCH($A218, 'UA-normalized'!$A:$A, 0))&gt;0, -(13*INDEX('UA-normalized'!$D:$D, MATCH($A218, 'UA-normalized'!$A:$A, 0))-INDEX('UA-normalized'!$E:$E, MATCH($A218, 'UA-normalized'!$A:$A, 0))), 0), 0))+(IFERROR(IF(13*INDEX('KZ-normalized'!$D:$D, MATCH($A218, 'KZ-normalized'!$A:$A, 0))-INDEX('KZ-normalized'!$E:$E, MATCH($A218, 'KZ-normalized'!$A:$A, 0))&gt;0, -(13*INDEX('KZ-normalized'!$D:$D, MATCH($A218, 'KZ-normalized'!$A:$A, 0))-INDEX('KZ-normalized'!$E:$E, MATCH($A218, 'KZ-normalized'!$A:$A, 0))), 0), 0))+(IFERROR(IF(13*INDEX('UZ-normalized'!$D:$D, MATCH($A218, 'UZ-normalized'!$A:$A, 0))-INDEX('UZ-normalized'!$E:$E, MATCH($A218, 'UZ-normalized'!$A:$A, 0))&gt;0, -(13*INDEX('UZ-normalized'!$D:$D, MATCH($A218, 'UZ-normalized'!$A:$A, 0))-INDEX('UZ-normalized'!$E:$E, MATCH($A218, 'UZ-normalized'!$A:$A, 0))), 0), 0)))</f>
        <v>-38.5</v>
      </c>
      <c r="AB218" s="6">
        <f>MIN(0, N218+(IFERROR(IF(14*INDEX('UA-normalized'!$D:$D, MATCH($A218, 'UA-normalized'!$A:$A, 0))-INDEX('UA-normalized'!$E:$E, MATCH($A218, 'UA-normalized'!$A:$A, 0))&gt;0, -(14*INDEX('UA-normalized'!$D:$D, MATCH($A218, 'UA-normalized'!$A:$A, 0))-INDEX('UA-normalized'!$E:$E, MATCH($A218, 'UA-normalized'!$A:$A, 0))), 0), 0))+(IFERROR(IF(14*INDEX('KZ-normalized'!$D:$D, MATCH($A218, 'KZ-normalized'!$A:$A, 0))-INDEX('KZ-normalized'!$E:$E, MATCH($A218, 'KZ-normalized'!$A:$A, 0))&gt;0, -(14*INDEX('KZ-normalized'!$D:$D, MATCH($A218, 'KZ-normalized'!$A:$A, 0))-INDEX('KZ-normalized'!$E:$E, MATCH($A218, 'KZ-normalized'!$A:$A, 0))), 0), 0))+(IFERROR(IF(14*INDEX('UZ-normalized'!$D:$D, MATCH($A218, 'UZ-normalized'!$A:$A, 0))-INDEX('UZ-normalized'!$E:$E, MATCH($A218, 'UZ-normalized'!$A:$A, 0))&gt;0, -(14*INDEX('UZ-normalized'!$D:$D, MATCH($A218, 'UZ-normalized'!$A:$A, 0))-INDEX('UZ-normalized'!$E:$E, MATCH($A218, 'UZ-normalized'!$A:$A, 0))), 0), 0)))</f>
        <v>-46</v>
      </c>
      <c r="AC218" s="6">
        <f>MIN(0, N218+(IFERROR(IF(15*INDEX('UA-normalized'!$D:$D, MATCH($A218, 'UA-normalized'!$A:$A, 0))-INDEX('UA-normalized'!$E:$E, MATCH($A218, 'UA-normalized'!$A:$A, 0))&gt;0, -(15*INDEX('UA-normalized'!$D:$D, MATCH($A218, 'UA-normalized'!$A:$A, 0))-INDEX('UA-normalized'!$E:$E, MATCH($A218, 'UA-normalized'!$A:$A, 0))), 0), 0))+(IFERROR(IF(15*INDEX('KZ-normalized'!$D:$D, MATCH($A218, 'KZ-normalized'!$A:$A, 0))-INDEX('KZ-normalized'!$E:$E, MATCH($A218, 'KZ-normalized'!$A:$A, 0))&gt;0, -(15*INDEX('KZ-normalized'!$D:$D, MATCH($A218, 'KZ-normalized'!$A:$A, 0))-INDEX('KZ-normalized'!$E:$E, MATCH($A218, 'KZ-normalized'!$A:$A, 0))), 0), 0))+(IFERROR(IF(15*INDEX('UZ-normalized'!$D:$D, MATCH($A218, 'UZ-normalized'!$A:$A, 0))-INDEX('UZ-normalized'!$E:$E, MATCH($A218, 'UZ-normalized'!$A:$A, 0))&gt;0, -(15*INDEX('UZ-normalized'!$D:$D, MATCH($A218, 'UZ-normalized'!$A:$A, 0))-INDEX('UZ-normalized'!$E:$E, MATCH($A218, 'UZ-normalized'!$A:$A, 0))), 0), 0)))</f>
        <v>-53.5</v>
      </c>
      <c r="AD218" s="6">
        <f>MIN(0, N218+(IFERROR(IF(16*INDEX('UA-normalized'!$D:$D, MATCH($A218, 'UA-normalized'!$A:$A, 0))-INDEX('UA-normalized'!$E:$E, MATCH($A218, 'UA-normalized'!$A:$A, 0))&gt;0, -(16*INDEX('UA-normalized'!$D:$D, MATCH($A218, 'UA-normalized'!$A:$A, 0))-INDEX('UA-normalized'!$E:$E, MATCH($A218, 'UA-normalized'!$A:$A, 0))), 0), 0))+(IFERROR(IF(16*INDEX('KZ-normalized'!$D:$D, MATCH($A218, 'KZ-normalized'!$A:$A, 0))-INDEX('KZ-normalized'!$E:$E, MATCH($A218, 'KZ-normalized'!$A:$A, 0))&gt;0, -(16*INDEX('KZ-normalized'!$D:$D, MATCH($A218, 'KZ-normalized'!$A:$A, 0))-INDEX('KZ-normalized'!$E:$E, MATCH($A218, 'KZ-normalized'!$A:$A, 0))), 0), 0))+(IFERROR(IF(16*INDEX('UZ-normalized'!$D:$D, MATCH($A218, 'UZ-normalized'!$A:$A, 0))-INDEX('UZ-normalized'!$E:$E, MATCH($A218, 'UZ-normalized'!$A:$A, 0))&gt;0, -(16*INDEX('UZ-normalized'!$D:$D, MATCH($A218, 'UZ-normalized'!$A:$A, 0))-INDEX('UZ-normalized'!$E:$E, MATCH($A218, 'UZ-normalized'!$A:$A, 0))), 0), 0)))</f>
        <v>-61</v>
      </c>
      <c r="AE218" s="6">
        <f>MIN(0, N218+(IFERROR(IF(17*INDEX('UA-normalized'!$D:$D, MATCH($A218, 'UA-normalized'!$A:$A, 0))-INDEX('UA-normalized'!$E:$E, MATCH($A218, 'UA-normalized'!$A:$A, 0))&gt;0, -(17*INDEX('UA-normalized'!$D:$D, MATCH($A218, 'UA-normalized'!$A:$A, 0))-INDEX('UA-normalized'!$E:$E, MATCH($A218, 'UA-normalized'!$A:$A, 0))), 0), 0))+(IFERROR(IF(17*INDEX('KZ-normalized'!$D:$D, MATCH($A218, 'KZ-normalized'!$A:$A, 0))-INDEX('KZ-normalized'!$E:$E, MATCH($A218, 'KZ-normalized'!$A:$A, 0))&gt;0, -(17*INDEX('KZ-normalized'!$D:$D, MATCH($A218, 'KZ-normalized'!$A:$A, 0))-INDEX('KZ-normalized'!$E:$E, MATCH($A218, 'KZ-normalized'!$A:$A, 0))), 0), 0))+(IFERROR(IF(17*INDEX('UZ-normalized'!$D:$D, MATCH($A218, 'UZ-normalized'!$A:$A, 0))-INDEX('UZ-normalized'!$E:$E, MATCH($A218, 'UZ-normalized'!$A:$A, 0))&gt;0, -(17*INDEX('UZ-normalized'!$D:$D, MATCH($A218, 'UZ-normalized'!$A:$A, 0))-INDEX('UZ-normalized'!$E:$E, MATCH($A218, 'UZ-normalized'!$A:$A, 0))), 0), 0)))</f>
        <v>-68.5</v>
      </c>
      <c r="AF218" s="6">
        <f>MIN(0, N218+(IFERROR(IF(18*INDEX('UA-normalized'!$D:$D, MATCH($A218, 'UA-normalized'!$A:$A, 0))-INDEX('UA-normalized'!$E:$E, MATCH($A218, 'UA-normalized'!$A:$A, 0))&gt;0, -(18*INDEX('UA-normalized'!$D:$D, MATCH($A218, 'UA-normalized'!$A:$A, 0))-INDEX('UA-normalized'!$E:$E, MATCH($A218, 'UA-normalized'!$A:$A, 0))), 0), 0))+(IFERROR(IF(18*INDEX('KZ-normalized'!$D:$D, MATCH($A218, 'KZ-normalized'!$A:$A, 0))-INDEX('KZ-normalized'!$E:$E, MATCH($A218, 'KZ-normalized'!$A:$A, 0))&gt;0, -(18*INDEX('KZ-normalized'!$D:$D, MATCH($A218, 'KZ-normalized'!$A:$A, 0))-INDEX('KZ-normalized'!$E:$E, MATCH($A218, 'KZ-normalized'!$A:$A, 0))), 0), 0))+(IFERROR(IF(18*INDEX('UZ-normalized'!$D:$D, MATCH($A218, 'UZ-normalized'!$A:$A, 0))-INDEX('UZ-normalized'!$E:$E, MATCH($A218, 'UZ-normalized'!$A:$A, 0))&gt;0, -(18*INDEX('UZ-normalized'!$D:$D, MATCH($A218, 'UZ-normalized'!$A:$A, 0))-INDEX('UZ-normalized'!$E:$E, MATCH($A218, 'UZ-normalized'!$A:$A, 0))), 0), 0)))</f>
        <v>-76</v>
      </c>
      <c r="AG218" s="6">
        <f>MIN(0, N218+(IFERROR(IF(19*INDEX('UA-normalized'!$D:$D, MATCH($A218, 'UA-normalized'!$A:$A, 0))-INDEX('UA-normalized'!$E:$E, MATCH($A218, 'UA-normalized'!$A:$A, 0))&gt;0, -(19*INDEX('UA-normalized'!$D:$D, MATCH($A218, 'UA-normalized'!$A:$A, 0))-INDEX('UA-normalized'!$E:$E, MATCH($A218, 'UA-normalized'!$A:$A, 0))), 0), 0))+(IFERROR(IF(19*INDEX('KZ-normalized'!$D:$D, MATCH($A218, 'KZ-normalized'!$A:$A, 0))-INDEX('KZ-normalized'!$E:$E, MATCH($A218, 'KZ-normalized'!$A:$A, 0))&gt;0, -(19*INDEX('KZ-normalized'!$D:$D, MATCH($A218, 'KZ-normalized'!$A:$A, 0))-INDEX('KZ-normalized'!$E:$E, MATCH($A218, 'KZ-normalized'!$A:$A, 0))), 0), 0))+(IFERROR(IF(19*INDEX('UZ-normalized'!$D:$D, MATCH($A218, 'UZ-normalized'!$A:$A, 0))-INDEX('UZ-normalized'!$E:$E, MATCH($A218, 'UZ-normalized'!$A:$A, 0))&gt;0, -(19*INDEX('UZ-normalized'!$D:$D, MATCH($A218, 'UZ-normalized'!$A:$A, 0))-INDEX('UZ-normalized'!$E:$E, MATCH($A218, 'UZ-normalized'!$A:$A, 0))), 0), 0)))</f>
        <v>-83.5</v>
      </c>
      <c r="AH218" s="6">
        <f>MIN(0, N218+(IFERROR(IF(20*INDEX('UA-normalized'!$D:$D, MATCH($A218, 'UA-normalized'!$A:$A, 0))-INDEX('UA-normalized'!$E:$E, MATCH($A218, 'UA-normalized'!$A:$A, 0))&gt;0, -(20*INDEX('UA-normalized'!$D:$D, MATCH($A218, 'UA-normalized'!$A:$A, 0))-INDEX('UA-normalized'!$E:$E, MATCH($A218, 'UA-normalized'!$A:$A, 0))), 0), 0))+(IFERROR(IF(20*INDEX('KZ-normalized'!$D:$D, MATCH($A218, 'KZ-normalized'!$A:$A, 0))-INDEX('KZ-normalized'!$E:$E, MATCH($A218, 'KZ-normalized'!$A:$A, 0))&gt;0, -(20*INDEX('KZ-normalized'!$D:$D, MATCH($A218, 'KZ-normalized'!$A:$A, 0))-INDEX('KZ-normalized'!$E:$E, MATCH($A218, 'KZ-normalized'!$A:$A, 0))), 0), 0))+(IFERROR(IF(20*INDEX('UZ-normalized'!$D:$D, MATCH($A218, 'UZ-normalized'!$A:$A, 0))-INDEX('UZ-normalized'!$E:$E, MATCH($A218, 'UZ-normalized'!$A:$A, 0))&gt;0, -(20*INDEX('UZ-normalized'!$D:$D, MATCH($A218, 'UZ-normalized'!$A:$A, 0))-INDEX('UZ-normalized'!$E:$E, MATCH($A218, 'UZ-normalized'!$A:$A, 0))), 0), 0)))</f>
        <v>-91</v>
      </c>
      <c r="AI218" s="6">
        <f>MIN(0, N218+(IFERROR(IF(21*INDEX('UA-normalized'!$D:$D, MATCH($A218, 'UA-normalized'!$A:$A, 0))-INDEX('UA-normalized'!$E:$E, MATCH($A218, 'UA-normalized'!$A:$A, 0))&gt;0, -(21*INDEX('UA-normalized'!$D:$D, MATCH($A218, 'UA-normalized'!$A:$A, 0))-INDEX('UA-normalized'!$E:$E, MATCH($A218, 'UA-normalized'!$A:$A, 0))), 0), 0))+(IFERROR(IF(21*INDEX('KZ-normalized'!$D:$D, MATCH($A218, 'KZ-normalized'!$A:$A, 0))-INDEX('KZ-normalized'!$E:$E, MATCH($A218, 'KZ-normalized'!$A:$A, 0))&gt;0, -(21*INDEX('KZ-normalized'!$D:$D, MATCH($A218, 'KZ-normalized'!$A:$A, 0))-INDEX('KZ-normalized'!$E:$E, MATCH($A218, 'KZ-normalized'!$A:$A, 0))), 0), 0))+(IFERROR(IF(21*INDEX('UZ-normalized'!$D:$D, MATCH($A218, 'UZ-normalized'!$A:$A, 0))-INDEX('UZ-normalized'!$E:$E, MATCH($A218, 'UZ-normalized'!$A:$A, 0))&gt;0, -(21*INDEX('UZ-normalized'!$D:$D, MATCH($A218, 'UZ-normalized'!$A:$A, 0))-INDEX('UZ-normalized'!$E:$E, MATCH($A218, 'UZ-normalized'!$A:$A, 0))), 0), 0)))</f>
        <v>-98.5</v>
      </c>
      <c r="AJ218" s="6">
        <f>MIN(0, N218+(IFERROR(IF(22*INDEX('UA-normalized'!$D:$D, MATCH($A218, 'UA-normalized'!$A:$A, 0))-INDEX('UA-normalized'!$E:$E, MATCH($A218, 'UA-normalized'!$A:$A, 0))&gt;0, -(22*INDEX('UA-normalized'!$D:$D, MATCH($A218, 'UA-normalized'!$A:$A, 0))-INDEX('UA-normalized'!$E:$E, MATCH($A218, 'UA-normalized'!$A:$A, 0))), 0), 0))+(IFERROR(IF(22*INDEX('KZ-normalized'!$D:$D, MATCH($A218, 'KZ-normalized'!$A:$A, 0))-INDEX('KZ-normalized'!$E:$E, MATCH($A218, 'KZ-normalized'!$A:$A, 0))&gt;0, -(22*INDEX('KZ-normalized'!$D:$D, MATCH($A218, 'KZ-normalized'!$A:$A, 0))-INDEX('KZ-normalized'!$E:$E, MATCH($A218, 'KZ-normalized'!$A:$A, 0))), 0), 0))+(IFERROR(IF(22*INDEX('UZ-normalized'!$D:$D, MATCH($A218, 'UZ-normalized'!$A:$A, 0))-INDEX('UZ-normalized'!$E:$E, MATCH($A218, 'UZ-normalized'!$A:$A, 0))&gt;0, -(22*INDEX('UZ-normalized'!$D:$D, MATCH($A218, 'UZ-normalized'!$A:$A, 0))-INDEX('UZ-normalized'!$E:$E, MATCH($A218, 'UZ-normalized'!$A:$A, 0))), 0), 0)))</f>
        <v>-106</v>
      </c>
      <c r="AK218" s="6">
        <f>MIN(0, N218+(IFERROR(IF(23*INDEX('UA-normalized'!$D:$D, MATCH($A218, 'UA-normalized'!$A:$A, 0))-INDEX('UA-normalized'!$E:$E, MATCH($A218, 'UA-normalized'!$A:$A, 0))&gt;0, -(23*INDEX('UA-normalized'!$D:$D, MATCH($A218, 'UA-normalized'!$A:$A, 0))-INDEX('UA-normalized'!$E:$E, MATCH($A218, 'UA-normalized'!$A:$A, 0))), 0), 0))+(IFERROR(IF(23*INDEX('KZ-normalized'!$D:$D, MATCH($A218, 'KZ-normalized'!$A:$A, 0))-INDEX('KZ-normalized'!$E:$E, MATCH($A218, 'KZ-normalized'!$A:$A, 0))&gt;0, -(23*INDEX('KZ-normalized'!$D:$D, MATCH($A218, 'KZ-normalized'!$A:$A, 0))-INDEX('KZ-normalized'!$E:$E, MATCH($A218, 'KZ-normalized'!$A:$A, 0))), 0), 0))+(IFERROR(IF(23*INDEX('UZ-normalized'!$D:$D, MATCH($A218, 'UZ-normalized'!$A:$A, 0))-INDEX('UZ-normalized'!$E:$E, MATCH($A218, 'UZ-normalized'!$A:$A, 0))&gt;0, -(23*INDEX('UZ-normalized'!$D:$D, MATCH($A218, 'UZ-normalized'!$A:$A, 0))-INDEX('UZ-normalized'!$E:$E, MATCH($A218, 'UZ-normalized'!$A:$A, 0))), 0), 0)))</f>
        <v>-113.5</v>
      </c>
      <c r="AL218" s="6">
        <f>MIN(0, N218+(IFERROR(IF(24*INDEX('UA-normalized'!$D:$D, MATCH($A218, 'UA-normalized'!$A:$A, 0))-INDEX('UA-normalized'!$E:$E, MATCH($A218, 'UA-normalized'!$A:$A, 0))&gt;0, -(24*INDEX('UA-normalized'!$D:$D, MATCH($A218, 'UA-normalized'!$A:$A, 0))-INDEX('UA-normalized'!$E:$E, MATCH($A218, 'UA-normalized'!$A:$A, 0))), 0), 0))+(IFERROR(IF(24*INDEX('KZ-normalized'!$D:$D, MATCH($A218, 'KZ-normalized'!$A:$A, 0))-INDEX('KZ-normalized'!$E:$E, MATCH($A218, 'KZ-normalized'!$A:$A, 0))&gt;0, -(24*INDEX('KZ-normalized'!$D:$D, MATCH($A218, 'KZ-normalized'!$A:$A, 0))-INDEX('KZ-normalized'!$E:$E, MATCH($A218, 'KZ-normalized'!$A:$A, 0))), 0), 0))+(IFERROR(IF(24*INDEX('UZ-normalized'!$D:$D, MATCH($A218, 'UZ-normalized'!$A:$A, 0))-INDEX('UZ-normalized'!$E:$E, MATCH($A218, 'UZ-normalized'!$A:$A, 0))&gt;0, -(24*INDEX('UZ-normalized'!$D:$D, MATCH($A218, 'UZ-normalized'!$A:$A, 0))-INDEX('UZ-normalized'!$E:$E, MATCH($A218, 'UZ-normalized'!$A:$A, 0))), 0), 0)))</f>
        <v>-121</v>
      </c>
      <c r="AM218" s="6">
        <f>MIN(0, N218+(IFERROR(IF(25*INDEX('UA-normalized'!$D:$D, MATCH($A218, 'UA-normalized'!$A:$A, 0))-INDEX('UA-normalized'!$E:$E, MATCH($A218, 'UA-normalized'!$A:$A, 0))&gt;0, -(25*INDEX('UA-normalized'!$D:$D, MATCH($A218, 'UA-normalized'!$A:$A, 0))-INDEX('UA-normalized'!$E:$E, MATCH($A218, 'UA-normalized'!$A:$A, 0))), 0), 0))+(IFERROR(IF(25*INDEX('KZ-normalized'!$D:$D, MATCH($A218, 'KZ-normalized'!$A:$A, 0))-INDEX('KZ-normalized'!$E:$E, MATCH($A218, 'KZ-normalized'!$A:$A, 0))&gt;0, -(25*INDEX('KZ-normalized'!$D:$D, MATCH($A218, 'KZ-normalized'!$A:$A, 0))-INDEX('KZ-normalized'!$E:$E, MATCH($A218, 'KZ-normalized'!$A:$A, 0))), 0), 0))+(IFERROR(IF(25*INDEX('UZ-normalized'!$D:$D, MATCH($A218, 'UZ-normalized'!$A:$A, 0))-INDEX('UZ-normalized'!$E:$E, MATCH($A218, 'UZ-normalized'!$A:$A, 0))&gt;0, -(25*INDEX('UZ-normalized'!$D:$D, MATCH($A218, 'UZ-normalized'!$A:$A, 0))-INDEX('UZ-normalized'!$E:$E, MATCH($A218, 'UZ-normalized'!$A:$A, 0))), 0), 0)))</f>
        <v>-128.5</v>
      </c>
      <c r="AN218" s="6">
        <f>MIN(0, N218+(IFERROR(IF(26*INDEX('UA-normalized'!$D:$D, MATCH($A218, 'UA-normalized'!$A:$A, 0))-INDEX('UA-normalized'!$E:$E, MATCH($A218, 'UA-normalized'!$A:$A, 0))&gt;0, -(26*INDEX('UA-normalized'!$D:$D, MATCH($A218, 'UA-normalized'!$A:$A, 0))-INDEX('UA-normalized'!$E:$E, MATCH($A218, 'UA-normalized'!$A:$A, 0))), 0), 0))+(IFERROR(IF(26*INDEX('KZ-normalized'!$D:$D, MATCH($A218, 'KZ-normalized'!$A:$A, 0))-INDEX('KZ-normalized'!$E:$E, MATCH($A218, 'KZ-normalized'!$A:$A, 0))&gt;0, -(26*INDEX('KZ-normalized'!$D:$D, MATCH($A218, 'KZ-normalized'!$A:$A, 0))-INDEX('KZ-normalized'!$E:$E, MATCH($A218, 'KZ-normalized'!$A:$A, 0))), 0), 0))+(IFERROR(IF(26*INDEX('UZ-normalized'!$D:$D, MATCH($A218, 'UZ-normalized'!$A:$A, 0))-INDEX('UZ-normalized'!$E:$E, MATCH($A218, 'UZ-normalized'!$A:$A, 0))&gt;0, -(26*INDEX('UZ-normalized'!$D:$D, MATCH($A218, 'UZ-normalized'!$A:$A, 0))-INDEX('UZ-normalized'!$E:$E, MATCH($A218, 'UZ-normalized'!$A:$A, 0))), 0), 0)))</f>
        <v>-136</v>
      </c>
      <c r="AO218" s="6">
        <f>MIN(0, N218+(IFERROR(IF(27*INDEX('UA-normalized'!$D:$D, MATCH($A218, 'UA-normalized'!$A:$A, 0))-INDEX('UA-normalized'!$E:$E, MATCH($A218, 'UA-normalized'!$A:$A, 0))&gt;0, -(27*INDEX('UA-normalized'!$D:$D, MATCH($A218, 'UA-normalized'!$A:$A, 0))-INDEX('UA-normalized'!$E:$E, MATCH($A218, 'UA-normalized'!$A:$A, 0))), 0), 0))+(IFERROR(IF(27*INDEX('KZ-normalized'!$D:$D, MATCH($A218, 'KZ-normalized'!$A:$A, 0))-INDEX('KZ-normalized'!$E:$E, MATCH($A218, 'KZ-normalized'!$A:$A, 0))&gt;0, -(27*INDEX('KZ-normalized'!$D:$D, MATCH($A218, 'KZ-normalized'!$A:$A, 0))-INDEX('KZ-normalized'!$E:$E, MATCH($A218, 'KZ-normalized'!$A:$A, 0))), 0), 0))+(IFERROR(IF(27*INDEX('UZ-normalized'!$D:$D, MATCH($A218, 'UZ-normalized'!$A:$A, 0))-INDEX('UZ-normalized'!$E:$E, MATCH($A218, 'UZ-normalized'!$A:$A, 0))&gt;0, -(27*INDEX('UZ-normalized'!$D:$D, MATCH($A218, 'UZ-normalized'!$A:$A, 0))-INDEX('UZ-normalized'!$E:$E, MATCH($A218, 'UZ-normalized'!$A:$A, 0))), 0), 0)))</f>
        <v>-143.5</v>
      </c>
      <c r="AP218" s="6">
        <f>MIN(0, N218+(IFERROR(IF(28*INDEX('UA-normalized'!$D:$D, MATCH($A218, 'UA-normalized'!$A:$A, 0))-INDEX('UA-normalized'!$E:$E, MATCH($A218, 'UA-normalized'!$A:$A, 0))&gt;0, -(28*INDEX('UA-normalized'!$D:$D, MATCH($A218, 'UA-normalized'!$A:$A, 0))-INDEX('UA-normalized'!$E:$E, MATCH($A218, 'UA-normalized'!$A:$A, 0))), 0), 0))+(IFERROR(IF(28*INDEX('KZ-normalized'!$D:$D, MATCH($A218, 'KZ-normalized'!$A:$A, 0))-INDEX('KZ-normalized'!$E:$E, MATCH($A218, 'KZ-normalized'!$A:$A, 0))&gt;0, -(28*INDEX('KZ-normalized'!$D:$D, MATCH($A218, 'KZ-normalized'!$A:$A, 0))-INDEX('KZ-normalized'!$E:$E, MATCH($A218, 'KZ-normalized'!$A:$A, 0))), 0), 0))+(IFERROR(IF(28*INDEX('UZ-normalized'!$D:$D, MATCH($A218, 'UZ-normalized'!$A:$A, 0))-INDEX('UZ-normalized'!$E:$E, MATCH($A218, 'UZ-normalized'!$A:$A, 0))&gt;0, -(28*INDEX('UZ-normalized'!$D:$D, MATCH($A218, 'UZ-normalized'!$A:$A, 0))-INDEX('UZ-normalized'!$E:$E, MATCH($A218, 'UZ-normalized'!$A:$A, 0))), 0), 0)))</f>
        <v>-151</v>
      </c>
      <c r="AQ218" s="6">
        <f>MIN(0, N218+(IFERROR(IF(29*INDEX('UA-normalized'!$D:$D, MATCH($A218, 'UA-normalized'!$A:$A, 0))-INDEX('UA-normalized'!$E:$E, MATCH($A218, 'UA-normalized'!$A:$A, 0))&gt;0, -(29*INDEX('UA-normalized'!$D:$D, MATCH($A218, 'UA-normalized'!$A:$A, 0))-INDEX('UA-normalized'!$E:$E, MATCH($A218, 'UA-normalized'!$A:$A, 0))), 0), 0))+(IFERROR(IF(29*INDEX('KZ-normalized'!$D:$D, MATCH($A218, 'KZ-normalized'!$A:$A, 0))-INDEX('KZ-normalized'!$E:$E, MATCH($A218, 'KZ-normalized'!$A:$A, 0))&gt;0, -(29*INDEX('KZ-normalized'!$D:$D, MATCH($A218, 'KZ-normalized'!$A:$A, 0))-INDEX('KZ-normalized'!$E:$E, MATCH($A218, 'KZ-normalized'!$A:$A, 0))), 0), 0))+(IFERROR(IF(29*INDEX('UZ-normalized'!$D:$D, MATCH($A218, 'UZ-normalized'!$A:$A, 0))-INDEX('UZ-normalized'!$E:$E, MATCH($A218, 'UZ-normalized'!$A:$A, 0))&gt;0, -(29*INDEX('UZ-normalized'!$D:$D, MATCH($A218, 'UZ-normalized'!$A:$A, 0))-INDEX('UZ-normalized'!$E:$E, MATCH($A218, 'UZ-normalized'!$A:$A, 0))), 0), 0)))</f>
        <v>-158.5</v>
      </c>
      <c r="AR218" s="6">
        <f>MIN(0, N218+(IFERROR(IF(30*INDEX('UA-normalized'!$D:$D, MATCH($A218, 'UA-normalized'!$A:$A, 0))-INDEX('UA-normalized'!$E:$E, MATCH($A218, 'UA-normalized'!$A:$A, 0))&gt;0, -(30*INDEX('UA-normalized'!$D:$D, MATCH($A218, 'UA-normalized'!$A:$A, 0))-INDEX('UA-normalized'!$E:$E, MATCH($A218, 'UA-normalized'!$A:$A, 0))), 0), 0))+(IFERROR(IF(30*INDEX('KZ-normalized'!$D:$D, MATCH($A218, 'KZ-normalized'!$A:$A, 0))-INDEX('KZ-normalized'!$E:$E, MATCH($A218, 'KZ-normalized'!$A:$A, 0))&gt;0, -(30*INDEX('KZ-normalized'!$D:$D, MATCH($A218, 'KZ-normalized'!$A:$A, 0))-INDEX('KZ-normalized'!$E:$E, MATCH($A218, 'KZ-normalized'!$A:$A, 0))), 0), 0))+(IFERROR(IF(30*INDEX('UZ-normalized'!$D:$D, MATCH($A218, 'UZ-normalized'!$A:$A, 0))-INDEX('UZ-normalized'!$E:$E, MATCH($A218, 'UZ-normalized'!$A:$A, 0))&gt;0, -(30*INDEX('UZ-normalized'!$D:$D, MATCH($A218, 'UZ-normalized'!$A:$A, 0))-INDEX('UZ-normalized'!$E:$E, MATCH($A218, 'UZ-normalized'!$A:$A, 0))), 0), 0)))</f>
        <v>-166</v>
      </c>
    </row>
    <row r="219" spans="1:44" x14ac:dyDescent="0.25">
      <c r="A219" s="8" t="s">
        <v>519</v>
      </c>
      <c r="B219" s="8" t="s">
        <v>492</v>
      </c>
      <c r="C219" s="8" t="s">
        <v>520</v>
      </c>
      <c r="D219" s="8" t="s">
        <v>521</v>
      </c>
      <c r="N219">
        <f t="shared" si="3"/>
        <v>0</v>
      </c>
      <c r="O219" s="6">
        <f>MIN(0, N219+(IFERROR(IF(1*INDEX('UA-normalized'!$D:$D, MATCH($A219, 'UA-normalized'!$A:$A, 0))-INDEX('UA-normalized'!$E:$E, MATCH($A219, 'UA-normalized'!$A:$A, 0))&gt;0, -(1*INDEX('UA-normalized'!$D:$D, MATCH($A219, 'UA-normalized'!$A:$A, 0))-INDEX('UA-normalized'!$E:$E, MATCH($A219, 'UA-normalized'!$A:$A, 0))), 0), 0))+(IFERROR(IF(1*INDEX('KZ-normalized'!$D:$D, MATCH($A219, 'KZ-normalized'!$A:$A, 0))-INDEX('KZ-normalized'!$E:$E, MATCH($A219, 'KZ-normalized'!$A:$A, 0))&gt;0, -(1*INDEX('KZ-normalized'!$D:$D, MATCH($A219, 'KZ-normalized'!$A:$A, 0))-INDEX('KZ-normalized'!$E:$E, MATCH($A219, 'KZ-normalized'!$A:$A, 0))), 0), 0))+(IFERROR(IF(1*INDEX('UZ-normalized'!$D:$D, MATCH($A219, 'UZ-normalized'!$A:$A, 0))-INDEX('UZ-normalized'!$E:$E, MATCH($A219, 'UZ-normalized'!$A:$A, 0))&gt;0, -(1*INDEX('UZ-normalized'!$D:$D, MATCH($A219, 'UZ-normalized'!$A:$A, 0))-INDEX('UZ-normalized'!$E:$E, MATCH($A219, 'UZ-normalized'!$A:$A, 0))), 0), 0)))</f>
        <v>0</v>
      </c>
      <c r="P219" s="6">
        <f>MIN(0, N219+(IFERROR(IF(2*INDEX('UA-normalized'!$D:$D, MATCH($A219, 'UA-normalized'!$A:$A, 0))-INDEX('UA-normalized'!$E:$E, MATCH($A219, 'UA-normalized'!$A:$A, 0))&gt;0, -(2*INDEX('UA-normalized'!$D:$D, MATCH($A219, 'UA-normalized'!$A:$A, 0))-INDEX('UA-normalized'!$E:$E, MATCH($A219, 'UA-normalized'!$A:$A, 0))), 0), 0))+(IFERROR(IF(2*INDEX('KZ-normalized'!$D:$D, MATCH($A219, 'KZ-normalized'!$A:$A, 0))-INDEX('KZ-normalized'!$E:$E, MATCH($A219, 'KZ-normalized'!$A:$A, 0))&gt;0, -(2*INDEX('KZ-normalized'!$D:$D, MATCH($A219, 'KZ-normalized'!$A:$A, 0))-INDEX('KZ-normalized'!$E:$E, MATCH($A219, 'KZ-normalized'!$A:$A, 0))), 0), 0))+(IFERROR(IF(2*INDEX('UZ-normalized'!$D:$D, MATCH($A219, 'UZ-normalized'!$A:$A, 0))-INDEX('UZ-normalized'!$E:$E, MATCH($A219, 'UZ-normalized'!$A:$A, 0))&gt;0, -(2*INDEX('UZ-normalized'!$D:$D, MATCH($A219, 'UZ-normalized'!$A:$A, 0))-INDEX('UZ-normalized'!$E:$E, MATCH($A219, 'UZ-normalized'!$A:$A, 0))), 0), 0)))</f>
        <v>0</v>
      </c>
      <c r="Q219" s="6">
        <f>MIN(0, N219+(IFERROR(IF(3*INDEX('UA-normalized'!$D:$D, MATCH($A219, 'UA-normalized'!$A:$A, 0))-INDEX('UA-normalized'!$E:$E, MATCH($A219, 'UA-normalized'!$A:$A, 0))&gt;0, -(3*INDEX('UA-normalized'!$D:$D, MATCH($A219, 'UA-normalized'!$A:$A, 0))-INDEX('UA-normalized'!$E:$E, MATCH($A219, 'UA-normalized'!$A:$A, 0))), 0), 0))+(IFERROR(IF(3*INDEX('KZ-normalized'!$D:$D, MATCH($A219, 'KZ-normalized'!$A:$A, 0))-INDEX('KZ-normalized'!$E:$E, MATCH($A219, 'KZ-normalized'!$A:$A, 0))&gt;0, -(3*INDEX('KZ-normalized'!$D:$D, MATCH($A219, 'KZ-normalized'!$A:$A, 0))-INDEX('KZ-normalized'!$E:$E, MATCH($A219, 'KZ-normalized'!$A:$A, 0))), 0), 0))+(IFERROR(IF(3*INDEX('UZ-normalized'!$D:$D, MATCH($A219, 'UZ-normalized'!$A:$A, 0))-INDEX('UZ-normalized'!$E:$E, MATCH($A219, 'UZ-normalized'!$A:$A, 0))&gt;0, -(3*INDEX('UZ-normalized'!$D:$D, MATCH($A219, 'UZ-normalized'!$A:$A, 0))-INDEX('UZ-normalized'!$E:$E, MATCH($A219, 'UZ-normalized'!$A:$A, 0))), 0), 0)))</f>
        <v>0</v>
      </c>
      <c r="R219" s="6">
        <f>MIN(0, N219+(IFERROR(IF(4*INDEX('UA-normalized'!$D:$D, MATCH($A219, 'UA-normalized'!$A:$A, 0))-INDEX('UA-normalized'!$E:$E, MATCH($A219, 'UA-normalized'!$A:$A, 0))&gt;0, -(4*INDEX('UA-normalized'!$D:$D, MATCH($A219, 'UA-normalized'!$A:$A, 0))-INDEX('UA-normalized'!$E:$E, MATCH($A219, 'UA-normalized'!$A:$A, 0))), 0), 0))+(IFERROR(IF(4*INDEX('KZ-normalized'!$D:$D, MATCH($A219, 'KZ-normalized'!$A:$A, 0))-INDEX('KZ-normalized'!$E:$E, MATCH($A219, 'KZ-normalized'!$A:$A, 0))&gt;0, -(4*INDEX('KZ-normalized'!$D:$D, MATCH($A219, 'KZ-normalized'!$A:$A, 0))-INDEX('KZ-normalized'!$E:$E, MATCH($A219, 'KZ-normalized'!$A:$A, 0))), 0), 0))+(IFERROR(IF(4*INDEX('UZ-normalized'!$D:$D, MATCH($A219, 'UZ-normalized'!$A:$A, 0))-INDEX('UZ-normalized'!$E:$E, MATCH($A219, 'UZ-normalized'!$A:$A, 0))&gt;0, -(4*INDEX('UZ-normalized'!$D:$D, MATCH($A219, 'UZ-normalized'!$A:$A, 0))-INDEX('UZ-normalized'!$E:$E, MATCH($A219, 'UZ-normalized'!$A:$A, 0))), 0), 0)))</f>
        <v>0</v>
      </c>
      <c r="S219" s="6">
        <f>MIN(0, N219+(IFERROR(IF(5*INDEX('UA-normalized'!$D:$D, MATCH($A219, 'UA-normalized'!$A:$A, 0))-INDEX('UA-normalized'!$E:$E, MATCH($A219, 'UA-normalized'!$A:$A, 0))&gt;0, -(5*INDEX('UA-normalized'!$D:$D, MATCH($A219, 'UA-normalized'!$A:$A, 0))-INDEX('UA-normalized'!$E:$E, MATCH($A219, 'UA-normalized'!$A:$A, 0))), 0), 0))+(IFERROR(IF(5*INDEX('KZ-normalized'!$D:$D, MATCH($A219, 'KZ-normalized'!$A:$A, 0))-INDEX('KZ-normalized'!$E:$E, MATCH($A219, 'KZ-normalized'!$A:$A, 0))&gt;0, -(5*INDEX('KZ-normalized'!$D:$D, MATCH($A219, 'KZ-normalized'!$A:$A, 0))-INDEX('KZ-normalized'!$E:$E, MATCH($A219, 'KZ-normalized'!$A:$A, 0))), 0), 0))+(IFERROR(IF(5*INDEX('UZ-normalized'!$D:$D, MATCH($A219, 'UZ-normalized'!$A:$A, 0))-INDEX('UZ-normalized'!$E:$E, MATCH($A219, 'UZ-normalized'!$A:$A, 0))&gt;0, -(5*INDEX('UZ-normalized'!$D:$D, MATCH($A219, 'UZ-normalized'!$A:$A, 0))-INDEX('UZ-normalized'!$E:$E, MATCH($A219, 'UZ-normalized'!$A:$A, 0))), 0), 0)))</f>
        <v>0</v>
      </c>
      <c r="T219" s="6">
        <f>MIN(0, N219+(IFERROR(IF(6*INDEX('UA-normalized'!$D:$D, MATCH($A219, 'UA-normalized'!$A:$A, 0))-INDEX('UA-normalized'!$E:$E, MATCH($A219, 'UA-normalized'!$A:$A, 0))&gt;0, -(6*INDEX('UA-normalized'!$D:$D, MATCH($A219, 'UA-normalized'!$A:$A, 0))-INDEX('UA-normalized'!$E:$E, MATCH($A219, 'UA-normalized'!$A:$A, 0))), 0), 0))+(IFERROR(IF(6*INDEX('KZ-normalized'!$D:$D, MATCH($A219, 'KZ-normalized'!$A:$A, 0))-INDEX('KZ-normalized'!$E:$E, MATCH($A219, 'KZ-normalized'!$A:$A, 0))&gt;0, -(6*INDEX('KZ-normalized'!$D:$D, MATCH($A219, 'KZ-normalized'!$A:$A, 0))-INDEX('KZ-normalized'!$E:$E, MATCH($A219, 'KZ-normalized'!$A:$A, 0))), 0), 0))+(IFERROR(IF(6*INDEX('UZ-normalized'!$D:$D, MATCH($A219, 'UZ-normalized'!$A:$A, 0))-INDEX('UZ-normalized'!$E:$E, MATCH($A219, 'UZ-normalized'!$A:$A, 0))&gt;0, -(6*INDEX('UZ-normalized'!$D:$D, MATCH($A219, 'UZ-normalized'!$A:$A, 0))-INDEX('UZ-normalized'!$E:$E, MATCH($A219, 'UZ-normalized'!$A:$A, 0))), 0), 0)))</f>
        <v>0</v>
      </c>
      <c r="U219" s="6">
        <f>MIN(0, N219+(IFERROR(IF(7*INDEX('UA-normalized'!$D:$D, MATCH($A219, 'UA-normalized'!$A:$A, 0))-INDEX('UA-normalized'!$E:$E, MATCH($A219, 'UA-normalized'!$A:$A, 0))&gt;0, -(7*INDEX('UA-normalized'!$D:$D, MATCH($A219, 'UA-normalized'!$A:$A, 0))-INDEX('UA-normalized'!$E:$E, MATCH($A219, 'UA-normalized'!$A:$A, 0))), 0), 0))+(IFERROR(IF(7*INDEX('KZ-normalized'!$D:$D, MATCH($A219, 'KZ-normalized'!$A:$A, 0))-INDEX('KZ-normalized'!$E:$E, MATCH($A219, 'KZ-normalized'!$A:$A, 0))&gt;0, -(7*INDEX('KZ-normalized'!$D:$D, MATCH($A219, 'KZ-normalized'!$A:$A, 0))-INDEX('KZ-normalized'!$E:$E, MATCH($A219, 'KZ-normalized'!$A:$A, 0))), 0), 0))+(IFERROR(IF(7*INDEX('UZ-normalized'!$D:$D, MATCH($A219, 'UZ-normalized'!$A:$A, 0))-INDEX('UZ-normalized'!$E:$E, MATCH($A219, 'UZ-normalized'!$A:$A, 0))&gt;0, -(7*INDEX('UZ-normalized'!$D:$D, MATCH($A219, 'UZ-normalized'!$A:$A, 0))-INDEX('UZ-normalized'!$E:$E, MATCH($A219, 'UZ-normalized'!$A:$A, 0))), 0), 0)))</f>
        <v>0</v>
      </c>
      <c r="V219" s="6">
        <f>MIN(0, N219+(IFERROR(IF(8*INDEX('UA-normalized'!$D:$D, MATCH($A219, 'UA-normalized'!$A:$A, 0))-INDEX('UA-normalized'!$E:$E, MATCH($A219, 'UA-normalized'!$A:$A, 0))&gt;0, -(8*INDEX('UA-normalized'!$D:$D, MATCH($A219, 'UA-normalized'!$A:$A, 0))-INDEX('UA-normalized'!$E:$E, MATCH($A219, 'UA-normalized'!$A:$A, 0))), 0), 0))+(IFERROR(IF(8*INDEX('KZ-normalized'!$D:$D, MATCH($A219, 'KZ-normalized'!$A:$A, 0))-INDEX('KZ-normalized'!$E:$E, MATCH($A219, 'KZ-normalized'!$A:$A, 0))&gt;0, -(8*INDEX('KZ-normalized'!$D:$D, MATCH($A219, 'KZ-normalized'!$A:$A, 0))-INDEX('KZ-normalized'!$E:$E, MATCH($A219, 'KZ-normalized'!$A:$A, 0))), 0), 0))+(IFERROR(IF(8*INDEX('UZ-normalized'!$D:$D, MATCH($A219, 'UZ-normalized'!$A:$A, 0))-INDEX('UZ-normalized'!$E:$E, MATCH($A219, 'UZ-normalized'!$A:$A, 0))&gt;0, -(8*INDEX('UZ-normalized'!$D:$D, MATCH($A219, 'UZ-normalized'!$A:$A, 0))-INDEX('UZ-normalized'!$E:$E, MATCH($A219, 'UZ-normalized'!$A:$A, 0))), 0), 0)))</f>
        <v>0</v>
      </c>
      <c r="W219" s="6">
        <f>MIN(0, N219+(IFERROR(IF(9*INDEX('UA-normalized'!$D:$D, MATCH($A219, 'UA-normalized'!$A:$A, 0))-INDEX('UA-normalized'!$E:$E, MATCH($A219, 'UA-normalized'!$A:$A, 0))&gt;0, -(9*INDEX('UA-normalized'!$D:$D, MATCH($A219, 'UA-normalized'!$A:$A, 0))-INDEX('UA-normalized'!$E:$E, MATCH($A219, 'UA-normalized'!$A:$A, 0))), 0), 0))+(IFERROR(IF(9*INDEX('KZ-normalized'!$D:$D, MATCH($A219, 'KZ-normalized'!$A:$A, 0))-INDEX('KZ-normalized'!$E:$E, MATCH($A219, 'KZ-normalized'!$A:$A, 0))&gt;0, -(9*INDEX('KZ-normalized'!$D:$D, MATCH($A219, 'KZ-normalized'!$A:$A, 0))-INDEX('KZ-normalized'!$E:$E, MATCH($A219, 'KZ-normalized'!$A:$A, 0))), 0), 0))+(IFERROR(IF(9*INDEX('UZ-normalized'!$D:$D, MATCH($A219, 'UZ-normalized'!$A:$A, 0))-INDEX('UZ-normalized'!$E:$E, MATCH($A219, 'UZ-normalized'!$A:$A, 0))&gt;0, -(9*INDEX('UZ-normalized'!$D:$D, MATCH($A219, 'UZ-normalized'!$A:$A, 0))-INDEX('UZ-normalized'!$E:$E, MATCH($A219, 'UZ-normalized'!$A:$A, 0))), 0), 0)))</f>
        <v>0</v>
      </c>
      <c r="X219" s="6">
        <f>MIN(0, N219+(IFERROR(IF(10*INDEX('UA-normalized'!$D:$D, MATCH($A219, 'UA-normalized'!$A:$A, 0))-INDEX('UA-normalized'!$E:$E, MATCH($A219, 'UA-normalized'!$A:$A, 0))&gt;0, -(10*INDEX('UA-normalized'!$D:$D, MATCH($A219, 'UA-normalized'!$A:$A, 0))-INDEX('UA-normalized'!$E:$E, MATCH($A219, 'UA-normalized'!$A:$A, 0))), 0), 0))+(IFERROR(IF(10*INDEX('KZ-normalized'!$D:$D, MATCH($A219, 'KZ-normalized'!$A:$A, 0))-INDEX('KZ-normalized'!$E:$E, MATCH($A219, 'KZ-normalized'!$A:$A, 0))&gt;0, -(10*INDEX('KZ-normalized'!$D:$D, MATCH($A219, 'KZ-normalized'!$A:$A, 0))-INDEX('KZ-normalized'!$E:$E, MATCH($A219, 'KZ-normalized'!$A:$A, 0))), 0), 0))+(IFERROR(IF(10*INDEX('UZ-normalized'!$D:$D, MATCH($A219, 'UZ-normalized'!$A:$A, 0))-INDEX('UZ-normalized'!$E:$E, MATCH($A219, 'UZ-normalized'!$A:$A, 0))&gt;0, -(10*INDEX('UZ-normalized'!$D:$D, MATCH($A219, 'UZ-normalized'!$A:$A, 0))-INDEX('UZ-normalized'!$E:$E, MATCH($A219, 'UZ-normalized'!$A:$A, 0))), 0), 0)))</f>
        <v>-2</v>
      </c>
      <c r="Y219" s="6">
        <f>MIN(0, N219+(IFERROR(IF(11*INDEX('UA-normalized'!$D:$D, MATCH($A219, 'UA-normalized'!$A:$A, 0))-INDEX('UA-normalized'!$E:$E, MATCH($A219, 'UA-normalized'!$A:$A, 0))&gt;0, -(11*INDEX('UA-normalized'!$D:$D, MATCH($A219, 'UA-normalized'!$A:$A, 0))-INDEX('UA-normalized'!$E:$E, MATCH($A219, 'UA-normalized'!$A:$A, 0))), 0), 0))+(IFERROR(IF(11*INDEX('KZ-normalized'!$D:$D, MATCH($A219, 'KZ-normalized'!$A:$A, 0))-INDEX('KZ-normalized'!$E:$E, MATCH($A219, 'KZ-normalized'!$A:$A, 0))&gt;0, -(11*INDEX('KZ-normalized'!$D:$D, MATCH($A219, 'KZ-normalized'!$A:$A, 0))-INDEX('KZ-normalized'!$E:$E, MATCH($A219, 'KZ-normalized'!$A:$A, 0))), 0), 0))+(IFERROR(IF(11*INDEX('UZ-normalized'!$D:$D, MATCH($A219, 'UZ-normalized'!$A:$A, 0))-INDEX('UZ-normalized'!$E:$E, MATCH($A219, 'UZ-normalized'!$A:$A, 0))&gt;0, -(11*INDEX('UZ-normalized'!$D:$D, MATCH($A219, 'UZ-normalized'!$A:$A, 0))-INDEX('UZ-normalized'!$E:$E, MATCH($A219, 'UZ-normalized'!$A:$A, 0))), 0), 0)))</f>
        <v>-10.300000000000011</v>
      </c>
      <c r="Z219" s="6">
        <f>MIN(0, N219+(IFERROR(IF(12*INDEX('UA-normalized'!$D:$D, MATCH($A219, 'UA-normalized'!$A:$A, 0))-INDEX('UA-normalized'!$E:$E, MATCH($A219, 'UA-normalized'!$A:$A, 0))&gt;0, -(12*INDEX('UA-normalized'!$D:$D, MATCH($A219, 'UA-normalized'!$A:$A, 0))-INDEX('UA-normalized'!$E:$E, MATCH($A219, 'UA-normalized'!$A:$A, 0))), 0), 0))+(IFERROR(IF(12*INDEX('KZ-normalized'!$D:$D, MATCH($A219, 'KZ-normalized'!$A:$A, 0))-INDEX('KZ-normalized'!$E:$E, MATCH($A219, 'KZ-normalized'!$A:$A, 0))&gt;0, -(12*INDEX('KZ-normalized'!$D:$D, MATCH($A219, 'KZ-normalized'!$A:$A, 0))-INDEX('KZ-normalized'!$E:$E, MATCH($A219, 'KZ-normalized'!$A:$A, 0))), 0), 0))+(IFERROR(IF(12*INDEX('UZ-normalized'!$D:$D, MATCH($A219, 'UZ-normalized'!$A:$A, 0))-INDEX('UZ-normalized'!$E:$E, MATCH($A219, 'UZ-normalized'!$A:$A, 0))&gt;0, -(12*INDEX('UZ-normalized'!$D:$D, MATCH($A219, 'UZ-normalized'!$A:$A, 0))-INDEX('UZ-normalized'!$E:$E, MATCH($A219, 'UZ-normalized'!$A:$A, 0))), 0), 0)))</f>
        <v>-18.600000000000009</v>
      </c>
      <c r="AA219" s="6">
        <f>MIN(0, N219+(IFERROR(IF(13*INDEX('UA-normalized'!$D:$D, MATCH($A219, 'UA-normalized'!$A:$A, 0))-INDEX('UA-normalized'!$E:$E, MATCH($A219, 'UA-normalized'!$A:$A, 0))&gt;0, -(13*INDEX('UA-normalized'!$D:$D, MATCH($A219, 'UA-normalized'!$A:$A, 0))-INDEX('UA-normalized'!$E:$E, MATCH($A219, 'UA-normalized'!$A:$A, 0))), 0), 0))+(IFERROR(IF(13*INDEX('KZ-normalized'!$D:$D, MATCH($A219, 'KZ-normalized'!$A:$A, 0))-INDEX('KZ-normalized'!$E:$E, MATCH($A219, 'KZ-normalized'!$A:$A, 0))&gt;0, -(13*INDEX('KZ-normalized'!$D:$D, MATCH($A219, 'KZ-normalized'!$A:$A, 0))-INDEX('KZ-normalized'!$E:$E, MATCH($A219, 'KZ-normalized'!$A:$A, 0))), 0), 0))+(IFERROR(IF(13*INDEX('UZ-normalized'!$D:$D, MATCH($A219, 'UZ-normalized'!$A:$A, 0))-INDEX('UZ-normalized'!$E:$E, MATCH($A219, 'UZ-normalized'!$A:$A, 0))&gt;0, -(13*INDEX('UZ-normalized'!$D:$D, MATCH($A219, 'UZ-normalized'!$A:$A, 0))-INDEX('UZ-normalized'!$E:$E, MATCH($A219, 'UZ-normalized'!$A:$A, 0))), 0), 0)))</f>
        <v>-26.900000000000006</v>
      </c>
      <c r="AB219" s="6">
        <f>MIN(0, N219+(IFERROR(IF(14*INDEX('UA-normalized'!$D:$D, MATCH($A219, 'UA-normalized'!$A:$A, 0))-INDEX('UA-normalized'!$E:$E, MATCH($A219, 'UA-normalized'!$A:$A, 0))&gt;0, -(14*INDEX('UA-normalized'!$D:$D, MATCH($A219, 'UA-normalized'!$A:$A, 0))-INDEX('UA-normalized'!$E:$E, MATCH($A219, 'UA-normalized'!$A:$A, 0))), 0), 0))+(IFERROR(IF(14*INDEX('KZ-normalized'!$D:$D, MATCH($A219, 'KZ-normalized'!$A:$A, 0))-INDEX('KZ-normalized'!$E:$E, MATCH($A219, 'KZ-normalized'!$A:$A, 0))&gt;0, -(14*INDEX('KZ-normalized'!$D:$D, MATCH($A219, 'KZ-normalized'!$A:$A, 0))-INDEX('KZ-normalized'!$E:$E, MATCH($A219, 'KZ-normalized'!$A:$A, 0))), 0), 0))+(IFERROR(IF(14*INDEX('UZ-normalized'!$D:$D, MATCH($A219, 'UZ-normalized'!$A:$A, 0))-INDEX('UZ-normalized'!$E:$E, MATCH($A219, 'UZ-normalized'!$A:$A, 0))&gt;0, -(14*INDEX('UZ-normalized'!$D:$D, MATCH($A219, 'UZ-normalized'!$A:$A, 0))-INDEX('UZ-normalized'!$E:$E, MATCH($A219, 'UZ-normalized'!$A:$A, 0))), 0), 0)))</f>
        <v>-35.200000000000017</v>
      </c>
      <c r="AC219" s="6">
        <f>MIN(0, N219+(IFERROR(IF(15*INDEX('UA-normalized'!$D:$D, MATCH($A219, 'UA-normalized'!$A:$A, 0))-INDEX('UA-normalized'!$E:$E, MATCH($A219, 'UA-normalized'!$A:$A, 0))&gt;0, -(15*INDEX('UA-normalized'!$D:$D, MATCH($A219, 'UA-normalized'!$A:$A, 0))-INDEX('UA-normalized'!$E:$E, MATCH($A219, 'UA-normalized'!$A:$A, 0))), 0), 0))+(IFERROR(IF(15*INDEX('KZ-normalized'!$D:$D, MATCH($A219, 'KZ-normalized'!$A:$A, 0))-INDEX('KZ-normalized'!$E:$E, MATCH($A219, 'KZ-normalized'!$A:$A, 0))&gt;0, -(15*INDEX('KZ-normalized'!$D:$D, MATCH($A219, 'KZ-normalized'!$A:$A, 0))-INDEX('KZ-normalized'!$E:$E, MATCH($A219, 'KZ-normalized'!$A:$A, 0))), 0), 0))+(IFERROR(IF(15*INDEX('UZ-normalized'!$D:$D, MATCH($A219, 'UZ-normalized'!$A:$A, 0))-INDEX('UZ-normalized'!$E:$E, MATCH($A219, 'UZ-normalized'!$A:$A, 0))&gt;0, -(15*INDEX('UZ-normalized'!$D:$D, MATCH($A219, 'UZ-normalized'!$A:$A, 0))-INDEX('UZ-normalized'!$E:$E, MATCH($A219, 'UZ-normalized'!$A:$A, 0))), 0), 0)))</f>
        <v>-43.500000000000014</v>
      </c>
      <c r="AD219" s="6">
        <f>MIN(0, N219+(IFERROR(IF(16*INDEX('UA-normalized'!$D:$D, MATCH($A219, 'UA-normalized'!$A:$A, 0))-INDEX('UA-normalized'!$E:$E, MATCH($A219, 'UA-normalized'!$A:$A, 0))&gt;0, -(16*INDEX('UA-normalized'!$D:$D, MATCH($A219, 'UA-normalized'!$A:$A, 0))-INDEX('UA-normalized'!$E:$E, MATCH($A219, 'UA-normalized'!$A:$A, 0))), 0), 0))+(IFERROR(IF(16*INDEX('KZ-normalized'!$D:$D, MATCH($A219, 'KZ-normalized'!$A:$A, 0))-INDEX('KZ-normalized'!$E:$E, MATCH($A219, 'KZ-normalized'!$A:$A, 0))&gt;0, -(16*INDEX('KZ-normalized'!$D:$D, MATCH($A219, 'KZ-normalized'!$A:$A, 0))-INDEX('KZ-normalized'!$E:$E, MATCH($A219, 'KZ-normalized'!$A:$A, 0))), 0), 0))+(IFERROR(IF(16*INDEX('UZ-normalized'!$D:$D, MATCH($A219, 'UZ-normalized'!$A:$A, 0))-INDEX('UZ-normalized'!$E:$E, MATCH($A219, 'UZ-normalized'!$A:$A, 0))&gt;0, -(16*INDEX('UZ-normalized'!$D:$D, MATCH($A219, 'UZ-normalized'!$A:$A, 0))-INDEX('UZ-normalized'!$E:$E, MATCH($A219, 'UZ-normalized'!$A:$A, 0))), 0), 0)))</f>
        <v>-51.800000000000011</v>
      </c>
      <c r="AE219" s="6">
        <f>MIN(0, N219+(IFERROR(IF(17*INDEX('UA-normalized'!$D:$D, MATCH($A219, 'UA-normalized'!$A:$A, 0))-INDEX('UA-normalized'!$E:$E, MATCH($A219, 'UA-normalized'!$A:$A, 0))&gt;0, -(17*INDEX('UA-normalized'!$D:$D, MATCH($A219, 'UA-normalized'!$A:$A, 0))-INDEX('UA-normalized'!$E:$E, MATCH($A219, 'UA-normalized'!$A:$A, 0))), 0), 0))+(IFERROR(IF(17*INDEX('KZ-normalized'!$D:$D, MATCH($A219, 'KZ-normalized'!$A:$A, 0))-INDEX('KZ-normalized'!$E:$E, MATCH($A219, 'KZ-normalized'!$A:$A, 0))&gt;0, -(17*INDEX('KZ-normalized'!$D:$D, MATCH($A219, 'KZ-normalized'!$A:$A, 0))-INDEX('KZ-normalized'!$E:$E, MATCH($A219, 'KZ-normalized'!$A:$A, 0))), 0), 0))+(IFERROR(IF(17*INDEX('UZ-normalized'!$D:$D, MATCH($A219, 'UZ-normalized'!$A:$A, 0))-INDEX('UZ-normalized'!$E:$E, MATCH($A219, 'UZ-normalized'!$A:$A, 0))&gt;0, -(17*INDEX('UZ-normalized'!$D:$D, MATCH($A219, 'UZ-normalized'!$A:$A, 0))-INDEX('UZ-normalized'!$E:$E, MATCH($A219, 'UZ-normalized'!$A:$A, 0))), 0), 0)))</f>
        <v>-60.100000000000023</v>
      </c>
      <c r="AF219" s="6">
        <f>MIN(0, N219+(IFERROR(IF(18*INDEX('UA-normalized'!$D:$D, MATCH($A219, 'UA-normalized'!$A:$A, 0))-INDEX('UA-normalized'!$E:$E, MATCH($A219, 'UA-normalized'!$A:$A, 0))&gt;0, -(18*INDEX('UA-normalized'!$D:$D, MATCH($A219, 'UA-normalized'!$A:$A, 0))-INDEX('UA-normalized'!$E:$E, MATCH($A219, 'UA-normalized'!$A:$A, 0))), 0), 0))+(IFERROR(IF(18*INDEX('KZ-normalized'!$D:$D, MATCH($A219, 'KZ-normalized'!$A:$A, 0))-INDEX('KZ-normalized'!$E:$E, MATCH($A219, 'KZ-normalized'!$A:$A, 0))&gt;0, -(18*INDEX('KZ-normalized'!$D:$D, MATCH($A219, 'KZ-normalized'!$A:$A, 0))-INDEX('KZ-normalized'!$E:$E, MATCH($A219, 'KZ-normalized'!$A:$A, 0))), 0), 0))+(IFERROR(IF(18*INDEX('UZ-normalized'!$D:$D, MATCH($A219, 'UZ-normalized'!$A:$A, 0))-INDEX('UZ-normalized'!$E:$E, MATCH($A219, 'UZ-normalized'!$A:$A, 0))&gt;0, -(18*INDEX('UZ-normalized'!$D:$D, MATCH($A219, 'UZ-normalized'!$A:$A, 0))-INDEX('UZ-normalized'!$E:$E, MATCH($A219, 'UZ-normalized'!$A:$A, 0))), 0), 0)))</f>
        <v>-68.400000000000006</v>
      </c>
      <c r="AG219" s="6">
        <f>MIN(0, N219+(IFERROR(IF(19*INDEX('UA-normalized'!$D:$D, MATCH($A219, 'UA-normalized'!$A:$A, 0))-INDEX('UA-normalized'!$E:$E, MATCH($A219, 'UA-normalized'!$A:$A, 0))&gt;0, -(19*INDEX('UA-normalized'!$D:$D, MATCH($A219, 'UA-normalized'!$A:$A, 0))-INDEX('UA-normalized'!$E:$E, MATCH($A219, 'UA-normalized'!$A:$A, 0))), 0), 0))+(IFERROR(IF(19*INDEX('KZ-normalized'!$D:$D, MATCH($A219, 'KZ-normalized'!$A:$A, 0))-INDEX('KZ-normalized'!$E:$E, MATCH($A219, 'KZ-normalized'!$A:$A, 0))&gt;0, -(19*INDEX('KZ-normalized'!$D:$D, MATCH($A219, 'KZ-normalized'!$A:$A, 0))-INDEX('KZ-normalized'!$E:$E, MATCH($A219, 'KZ-normalized'!$A:$A, 0))), 0), 0))+(IFERROR(IF(19*INDEX('UZ-normalized'!$D:$D, MATCH($A219, 'UZ-normalized'!$A:$A, 0))-INDEX('UZ-normalized'!$E:$E, MATCH($A219, 'UZ-normalized'!$A:$A, 0))&gt;0, -(19*INDEX('UZ-normalized'!$D:$D, MATCH($A219, 'UZ-normalized'!$A:$A, 0))-INDEX('UZ-normalized'!$E:$E, MATCH($A219, 'UZ-normalized'!$A:$A, 0))), 0), 0)))</f>
        <v>-76.700000000000017</v>
      </c>
      <c r="AH219" s="6">
        <f>MIN(0, N219+(IFERROR(IF(20*INDEX('UA-normalized'!$D:$D, MATCH($A219, 'UA-normalized'!$A:$A, 0))-INDEX('UA-normalized'!$E:$E, MATCH($A219, 'UA-normalized'!$A:$A, 0))&gt;0, -(20*INDEX('UA-normalized'!$D:$D, MATCH($A219, 'UA-normalized'!$A:$A, 0))-INDEX('UA-normalized'!$E:$E, MATCH($A219, 'UA-normalized'!$A:$A, 0))), 0), 0))+(IFERROR(IF(20*INDEX('KZ-normalized'!$D:$D, MATCH($A219, 'KZ-normalized'!$A:$A, 0))-INDEX('KZ-normalized'!$E:$E, MATCH($A219, 'KZ-normalized'!$A:$A, 0))&gt;0, -(20*INDEX('KZ-normalized'!$D:$D, MATCH($A219, 'KZ-normalized'!$A:$A, 0))-INDEX('KZ-normalized'!$E:$E, MATCH($A219, 'KZ-normalized'!$A:$A, 0))), 0), 0))+(IFERROR(IF(20*INDEX('UZ-normalized'!$D:$D, MATCH($A219, 'UZ-normalized'!$A:$A, 0))-INDEX('UZ-normalized'!$E:$E, MATCH($A219, 'UZ-normalized'!$A:$A, 0))&gt;0, -(20*INDEX('UZ-normalized'!$D:$D, MATCH($A219, 'UZ-normalized'!$A:$A, 0))-INDEX('UZ-normalized'!$E:$E, MATCH($A219, 'UZ-normalized'!$A:$A, 0))), 0), 0)))</f>
        <v>-85</v>
      </c>
      <c r="AI219" s="6">
        <f>MIN(0, N219+(IFERROR(IF(21*INDEX('UA-normalized'!$D:$D, MATCH($A219, 'UA-normalized'!$A:$A, 0))-INDEX('UA-normalized'!$E:$E, MATCH($A219, 'UA-normalized'!$A:$A, 0))&gt;0, -(21*INDEX('UA-normalized'!$D:$D, MATCH($A219, 'UA-normalized'!$A:$A, 0))-INDEX('UA-normalized'!$E:$E, MATCH($A219, 'UA-normalized'!$A:$A, 0))), 0), 0))+(IFERROR(IF(21*INDEX('KZ-normalized'!$D:$D, MATCH($A219, 'KZ-normalized'!$A:$A, 0))-INDEX('KZ-normalized'!$E:$E, MATCH($A219, 'KZ-normalized'!$A:$A, 0))&gt;0, -(21*INDEX('KZ-normalized'!$D:$D, MATCH($A219, 'KZ-normalized'!$A:$A, 0))-INDEX('KZ-normalized'!$E:$E, MATCH($A219, 'KZ-normalized'!$A:$A, 0))), 0), 0))+(IFERROR(IF(21*INDEX('UZ-normalized'!$D:$D, MATCH($A219, 'UZ-normalized'!$A:$A, 0))-INDEX('UZ-normalized'!$E:$E, MATCH($A219, 'UZ-normalized'!$A:$A, 0))&gt;0, -(21*INDEX('UZ-normalized'!$D:$D, MATCH($A219, 'UZ-normalized'!$A:$A, 0))-INDEX('UZ-normalized'!$E:$E, MATCH($A219, 'UZ-normalized'!$A:$A, 0))), 0), 0)))</f>
        <v>-93.300000000000011</v>
      </c>
      <c r="AJ219" s="6">
        <f>MIN(0, N219+(IFERROR(IF(22*INDEX('UA-normalized'!$D:$D, MATCH($A219, 'UA-normalized'!$A:$A, 0))-INDEX('UA-normalized'!$E:$E, MATCH($A219, 'UA-normalized'!$A:$A, 0))&gt;0, -(22*INDEX('UA-normalized'!$D:$D, MATCH($A219, 'UA-normalized'!$A:$A, 0))-INDEX('UA-normalized'!$E:$E, MATCH($A219, 'UA-normalized'!$A:$A, 0))), 0), 0))+(IFERROR(IF(22*INDEX('KZ-normalized'!$D:$D, MATCH($A219, 'KZ-normalized'!$A:$A, 0))-INDEX('KZ-normalized'!$E:$E, MATCH($A219, 'KZ-normalized'!$A:$A, 0))&gt;0, -(22*INDEX('KZ-normalized'!$D:$D, MATCH($A219, 'KZ-normalized'!$A:$A, 0))-INDEX('KZ-normalized'!$E:$E, MATCH($A219, 'KZ-normalized'!$A:$A, 0))), 0), 0))+(IFERROR(IF(22*INDEX('UZ-normalized'!$D:$D, MATCH($A219, 'UZ-normalized'!$A:$A, 0))-INDEX('UZ-normalized'!$E:$E, MATCH($A219, 'UZ-normalized'!$A:$A, 0))&gt;0, -(22*INDEX('UZ-normalized'!$D:$D, MATCH($A219, 'UZ-normalized'!$A:$A, 0))-INDEX('UZ-normalized'!$E:$E, MATCH($A219, 'UZ-normalized'!$A:$A, 0))), 0), 0)))</f>
        <v>-101.60000000000002</v>
      </c>
      <c r="AK219" s="6">
        <f>MIN(0, N219+(IFERROR(IF(23*INDEX('UA-normalized'!$D:$D, MATCH($A219, 'UA-normalized'!$A:$A, 0))-INDEX('UA-normalized'!$E:$E, MATCH($A219, 'UA-normalized'!$A:$A, 0))&gt;0, -(23*INDEX('UA-normalized'!$D:$D, MATCH($A219, 'UA-normalized'!$A:$A, 0))-INDEX('UA-normalized'!$E:$E, MATCH($A219, 'UA-normalized'!$A:$A, 0))), 0), 0))+(IFERROR(IF(23*INDEX('KZ-normalized'!$D:$D, MATCH($A219, 'KZ-normalized'!$A:$A, 0))-INDEX('KZ-normalized'!$E:$E, MATCH($A219, 'KZ-normalized'!$A:$A, 0))&gt;0, -(23*INDEX('KZ-normalized'!$D:$D, MATCH($A219, 'KZ-normalized'!$A:$A, 0))-INDEX('KZ-normalized'!$E:$E, MATCH($A219, 'KZ-normalized'!$A:$A, 0))), 0), 0))+(IFERROR(IF(23*INDEX('UZ-normalized'!$D:$D, MATCH($A219, 'UZ-normalized'!$A:$A, 0))-INDEX('UZ-normalized'!$E:$E, MATCH($A219, 'UZ-normalized'!$A:$A, 0))&gt;0, -(23*INDEX('UZ-normalized'!$D:$D, MATCH($A219, 'UZ-normalized'!$A:$A, 0))-INDEX('UZ-normalized'!$E:$E, MATCH($A219, 'UZ-normalized'!$A:$A, 0))), 0), 0)))</f>
        <v>-109.9</v>
      </c>
      <c r="AL219" s="6">
        <f>MIN(0, N219+(IFERROR(IF(24*INDEX('UA-normalized'!$D:$D, MATCH($A219, 'UA-normalized'!$A:$A, 0))-INDEX('UA-normalized'!$E:$E, MATCH($A219, 'UA-normalized'!$A:$A, 0))&gt;0, -(24*INDEX('UA-normalized'!$D:$D, MATCH($A219, 'UA-normalized'!$A:$A, 0))-INDEX('UA-normalized'!$E:$E, MATCH($A219, 'UA-normalized'!$A:$A, 0))), 0), 0))+(IFERROR(IF(24*INDEX('KZ-normalized'!$D:$D, MATCH($A219, 'KZ-normalized'!$A:$A, 0))-INDEX('KZ-normalized'!$E:$E, MATCH($A219, 'KZ-normalized'!$A:$A, 0))&gt;0, -(24*INDEX('KZ-normalized'!$D:$D, MATCH($A219, 'KZ-normalized'!$A:$A, 0))-INDEX('KZ-normalized'!$E:$E, MATCH($A219, 'KZ-normalized'!$A:$A, 0))), 0), 0))+(IFERROR(IF(24*INDEX('UZ-normalized'!$D:$D, MATCH($A219, 'UZ-normalized'!$A:$A, 0))-INDEX('UZ-normalized'!$E:$E, MATCH($A219, 'UZ-normalized'!$A:$A, 0))&gt;0, -(24*INDEX('UZ-normalized'!$D:$D, MATCH($A219, 'UZ-normalized'!$A:$A, 0))-INDEX('UZ-normalized'!$E:$E, MATCH($A219, 'UZ-normalized'!$A:$A, 0))), 0), 0)))</f>
        <v>-118.20000000000002</v>
      </c>
      <c r="AM219" s="6">
        <f>MIN(0, N219+(IFERROR(IF(25*INDEX('UA-normalized'!$D:$D, MATCH($A219, 'UA-normalized'!$A:$A, 0))-INDEX('UA-normalized'!$E:$E, MATCH($A219, 'UA-normalized'!$A:$A, 0))&gt;0, -(25*INDEX('UA-normalized'!$D:$D, MATCH($A219, 'UA-normalized'!$A:$A, 0))-INDEX('UA-normalized'!$E:$E, MATCH($A219, 'UA-normalized'!$A:$A, 0))), 0), 0))+(IFERROR(IF(25*INDEX('KZ-normalized'!$D:$D, MATCH($A219, 'KZ-normalized'!$A:$A, 0))-INDEX('KZ-normalized'!$E:$E, MATCH($A219, 'KZ-normalized'!$A:$A, 0))&gt;0, -(25*INDEX('KZ-normalized'!$D:$D, MATCH($A219, 'KZ-normalized'!$A:$A, 0))-INDEX('KZ-normalized'!$E:$E, MATCH($A219, 'KZ-normalized'!$A:$A, 0))), 0), 0))+(IFERROR(IF(25*INDEX('UZ-normalized'!$D:$D, MATCH($A219, 'UZ-normalized'!$A:$A, 0))-INDEX('UZ-normalized'!$E:$E, MATCH($A219, 'UZ-normalized'!$A:$A, 0))&gt;0, -(25*INDEX('UZ-normalized'!$D:$D, MATCH($A219, 'UZ-normalized'!$A:$A, 0))-INDEX('UZ-normalized'!$E:$E, MATCH($A219, 'UZ-normalized'!$A:$A, 0))), 0), 0)))</f>
        <v>-126.50000000000003</v>
      </c>
      <c r="AN219" s="6">
        <f>MIN(0, N219+(IFERROR(IF(26*INDEX('UA-normalized'!$D:$D, MATCH($A219, 'UA-normalized'!$A:$A, 0))-INDEX('UA-normalized'!$E:$E, MATCH($A219, 'UA-normalized'!$A:$A, 0))&gt;0, -(26*INDEX('UA-normalized'!$D:$D, MATCH($A219, 'UA-normalized'!$A:$A, 0))-INDEX('UA-normalized'!$E:$E, MATCH($A219, 'UA-normalized'!$A:$A, 0))), 0), 0))+(IFERROR(IF(26*INDEX('KZ-normalized'!$D:$D, MATCH($A219, 'KZ-normalized'!$A:$A, 0))-INDEX('KZ-normalized'!$E:$E, MATCH($A219, 'KZ-normalized'!$A:$A, 0))&gt;0, -(26*INDEX('KZ-normalized'!$D:$D, MATCH($A219, 'KZ-normalized'!$A:$A, 0))-INDEX('KZ-normalized'!$E:$E, MATCH($A219, 'KZ-normalized'!$A:$A, 0))), 0), 0))+(IFERROR(IF(26*INDEX('UZ-normalized'!$D:$D, MATCH($A219, 'UZ-normalized'!$A:$A, 0))-INDEX('UZ-normalized'!$E:$E, MATCH($A219, 'UZ-normalized'!$A:$A, 0))&gt;0, -(26*INDEX('UZ-normalized'!$D:$D, MATCH($A219, 'UZ-normalized'!$A:$A, 0))-INDEX('UZ-normalized'!$E:$E, MATCH($A219, 'UZ-normalized'!$A:$A, 0))), 0), 0)))</f>
        <v>-134.80000000000001</v>
      </c>
      <c r="AO219" s="6">
        <f>MIN(0, N219+(IFERROR(IF(27*INDEX('UA-normalized'!$D:$D, MATCH($A219, 'UA-normalized'!$A:$A, 0))-INDEX('UA-normalized'!$E:$E, MATCH($A219, 'UA-normalized'!$A:$A, 0))&gt;0, -(27*INDEX('UA-normalized'!$D:$D, MATCH($A219, 'UA-normalized'!$A:$A, 0))-INDEX('UA-normalized'!$E:$E, MATCH($A219, 'UA-normalized'!$A:$A, 0))), 0), 0))+(IFERROR(IF(27*INDEX('KZ-normalized'!$D:$D, MATCH($A219, 'KZ-normalized'!$A:$A, 0))-INDEX('KZ-normalized'!$E:$E, MATCH($A219, 'KZ-normalized'!$A:$A, 0))&gt;0, -(27*INDEX('KZ-normalized'!$D:$D, MATCH($A219, 'KZ-normalized'!$A:$A, 0))-INDEX('KZ-normalized'!$E:$E, MATCH($A219, 'KZ-normalized'!$A:$A, 0))), 0), 0))+(IFERROR(IF(27*INDEX('UZ-normalized'!$D:$D, MATCH($A219, 'UZ-normalized'!$A:$A, 0))-INDEX('UZ-normalized'!$E:$E, MATCH($A219, 'UZ-normalized'!$A:$A, 0))&gt;0, -(27*INDEX('UZ-normalized'!$D:$D, MATCH($A219, 'UZ-normalized'!$A:$A, 0))-INDEX('UZ-normalized'!$E:$E, MATCH($A219, 'UZ-normalized'!$A:$A, 0))), 0), 0)))</f>
        <v>-143.10000000000002</v>
      </c>
      <c r="AP219" s="6">
        <f>MIN(0, N219+(IFERROR(IF(28*INDEX('UA-normalized'!$D:$D, MATCH($A219, 'UA-normalized'!$A:$A, 0))-INDEX('UA-normalized'!$E:$E, MATCH($A219, 'UA-normalized'!$A:$A, 0))&gt;0, -(28*INDEX('UA-normalized'!$D:$D, MATCH($A219, 'UA-normalized'!$A:$A, 0))-INDEX('UA-normalized'!$E:$E, MATCH($A219, 'UA-normalized'!$A:$A, 0))), 0), 0))+(IFERROR(IF(28*INDEX('KZ-normalized'!$D:$D, MATCH($A219, 'KZ-normalized'!$A:$A, 0))-INDEX('KZ-normalized'!$E:$E, MATCH($A219, 'KZ-normalized'!$A:$A, 0))&gt;0, -(28*INDEX('KZ-normalized'!$D:$D, MATCH($A219, 'KZ-normalized'!$A:$A, 0))-INDEX('KZ-normalized'!$E:$E, MATCH($A219, 'KZ-normalized'!$A:$A, 0))), 0), 0))+(IFERROR(IF(28*INDEX('UZ-normalized'!$D:$D, MATCH($A219, 'UZ-normalized'!$A:$A, 0))-INDEX('UZ-normalized'!$E:$E, MATCH($A219, 'UZ-normalized'!$A:$A, 0))&gt;0, -(28*INDEX('UZ-normalized'!$D:$D, MATCH($A219, 'UZ-normalized'!$A:$A, 0))-INDEX('UZ-normalized'!$E:$E, MATCH($A219, 'UZ-normalized'!$A:$A, 0))), 0), 0)))</f>
        <v>-151.40000000000003</v>
      </c>
      <c r="AQ219" s="6">
        <f>MIN(0, N219+(IFERROR(IF(29*INDEX('UA-normalized'!$D:$D, MATCH($A219, 'UA-normalized'!$A:$A, 0))-INDEX('UA-normalized'!$E:$E, MATCH($A219, 'UA-normalized'!$A:$A, 0))&gt;0, -(29*INDEX('UA-normalized'!$D:$D, MATCH($A219, 'UA-normalized'!$A:$A, 0))-INDEX('UA-normalized'!$E:$E, MATCH($A219, 'UA-normalized'!$A:$A, 0))), 0), 0))+(IFERROR(IF(29*INDEX('KZ-normalized'!$D:$D, MATCH($A219, 'KZ-normalized'!$A:$A, 0))-INDEX('KZ-normalized'!$E:$E, MATCH($A219, 'KZ-normalized'!$A:$A, 0))&gt;0, -(29*INDEX('KZ-normalized'!$D:$D, MATCH($A219, 'KZ-normalized'!$A:$A, 0))-INDEX('KZ-normalized'!$E:$E, MATCH($A219, 'KZ-normalized'!$A:$A, 0))), 0), 0))+(IFERROR(IF(29*INDEX('UZ-normalized'!$D:$D, MATCH($A219, 'UZ-normalized'!$A:$A, 0))-INDEX('UZ-normalized'!$E:$E, MATCH($A219, 'UZ-normalized'!$A:$A, 0))&gt;0, -(29*INDEX('UZ-normalized'!$D:$D, MATCH($A219, 'UZ-normalized'!$A:$A, 0))-INDEX('UZ-normalized'!$E:$E, MATCH($A219, 'UZ-normalized'!$A:$A, 0))), 0), 0)))</f>
        <v>-159.70000000000002</v>
      </c>
      <c r="AR219" s="6">
        <f>MIN(0, N219+(IFERROR(IF(30*INDEX('UA-normalized'!$D:$D, MATCH($A219, 'UA-normalized'!$A:$A, 0))-INDEX('UA-normalized'!$E:$E, MATCH($A219, 'UA-normalized'!$A:$A, 0))&gt;0, -(30*INDEX('UA-normalized'!$D:$D, MATCH($A219, 'UA-normalized'!$A:$A, 0))-INDEX('UA-normalized'!$E:$E, MATCH($A219, 'UA-normalized'!$A:$A, 0))), 0), 0))+(IFERROR(IF(30*INDEX('KZ-normalized'!$D:$D, MATCH($A219, 'KZ-normalized'!$A:$A, 0))-INDEX('KZ-normalized'!$E:$E, MATCH($A219, 'KZ-normalized'!$A:$A, 0))&gt;0, -(30*INDEX('KZ-normalized'!$D:$D, MATCH($A219, 'KZ-normalized'!$A:$A, 0))-INDEX('KZ-normalized'!$E:$E, MATCH($A219, 'KZ-normalized'!$A:$A, 0))), 0), 0))+(IFERROR(IF(30*INDEX('UZ-normalized'!$D:$D, MATCH($A219, 'UZ-normalized'!$A:$A, 0))-INDEX('UZ-normalized'!$E:$E, MATCH($A219, 'UZ-normalized'!$A:$A, 0))&gt;0, -(30*INDEX('UZ-normalized'!$D:$D, MATCH($A219, 'UZ-normalized'!$A:$A, 0))-INDEX('UZ-normalized'!$E:$E, MATCH($A219, 'UZ-normalized'!$A:$A, 0))), 0), 0)))</f>
        <v>-170.00000000000003</v>
      </c>
    </row>
    <row r="220" spans="1:44" x14ac:dyDescent="0.25">
      <c r="A220" s="8" t="s">
        <v>522</v>
      </c>
      <c r="B220" s="8" t="s">
        <v>492</v>
      </c>
      <c r="C220" s="8" t="s">
        <v>520</v>
      </c>
      <c r="D220" s="8" t="s">
        <v>523</v>
      </c>
      <c r="F220">
        <v>26.75</v>
      </c>
      <c r="N220">
        <f t="shared" si="3"/>
        <v>26.75</v>
      </c>
      <c r="O220" s="6">
        <f>MIN(0, N220+(IFERROR(IF(1*INDEX('UA-normalized'!$D:$D, MATCH($A220, 'UA-normalized'!$A:$A, 0))-INDEX('UA-normalized'!$E:$E, MATCH($A220, 'UA-normalized'!$A:$A, 0))&gt;0, -(1*INDEX('UA-normalized'!$D:$D, MATCH($A220, 'UA-normalized'!$A:$A, 0))-INDEX('UA-normalized'!$E:$E, MATCH($A220, 'UA-normalized'!$A:$A, 0))), 0), 0))+(IFERROR(IF(1*INDEX('KZ-normalized'!$D:$D, MATCH($A220, 'KZ-normalized'!$A:$A, 0))-INDEX('KZ-normalized'!$E:$E, MATCH($A220, 'KZ-normalized'!$A:$A, 0))&gt;0, -(1*INDEX('KZ-normalized'!$D:$D, MATCH($A220, 'KZ-normalized'!$A:$A, 0))-INDEX('KZ-normalized'!$E:$E, MATCH($A220, 'KZ-normalized'!$A:$A, 0))), 0), 0))+(IFERROR(IF(1*INDEX('UZ-normalized'!$D:$D, MATCH($A220, 'UZ-normalized'!$A:$A, 0))-INDEX('UZ-normalized'!$E:$E, MATCH($A220, 'UZ-normalized'!$A:$A, 0))&gt;0, -(1*INDEX('UZ-normalized'!$D:$D, MATCH($A220, 'UZ-normalized'!$A:$A, 0))-INDEX('UZ-normalized'!$E:$E, MATCH($A220, 'UZ-normalized'!$A:$A, 0))), 0), 0)))</f>
        <v>0</v>
      </c>
      <c r="P220" s="6">
        <f>MIN(0, N220+(IFERROR(IF(2*INDEX('UA-normalized'!$D:$D, MATCH($A220, 'UA-normalized'!$A:$A, 0))-INDEX('UA-normalized'!$E:$E, MATCH($A220, 'UA-normalized'!$A:$A, 0))&gt;0, -(2*INDEX('UA-normalized'!$D:$D, MATCH($A220, 'UA-normalized'!$A:$A, 0))-INDEX('UA-normalized'!$E:$E, MATCH($A220, 'UA-normalized'!$A:$A, 0))), 0), 0))+(IFERROR(IF(2*INDEX('KZ-normalized'!$D:$D, MATCH($A220, 'KZ-normalized'!$A:$A, 0))-INDEX('KZ-normalized'!$E:$E, MATCH($A220, 'KZ-normalized'!$A:$A, 0))&gt;0, -(2*INDEX('KZ-normalized'!$D:$D, MATCH($A220, 'KZ-normalized'!$A:$A, 0))-INDEX('KZ-normalized'!$E:$E, MATCH($A220, 'KZ-normalized'!$A:$A, 0))), 0), 0))+(IFERROR(IF(2*INDEX('UZ-normalized'!$D:$D, MATCH($A220, 'UZ-normalized'!$A:$A, 0))-INDEX('UZ-normalized'!$E:$E, MATCH($A220, 'UZ-normalized'!$A:$A, 0))&gt;0, -(2*INDEX('UZ-normalized'!$D:$D, MATCH($A220, 'UZ-normalized'!$A:$A, 0))-INDEX('UZ-normalized'!$E:$E, MATCH($A220, 'UZ-normalized'!$A:$A, 0))), 0), 0)))</f>
        <v>0</v>
      </c>
      <c r="Q220" s="6">
        <f>MIN(0, N220+(IFERROR(IF(3*INDEX('UA-normalized'!$D:$D, MATCH($A220, 'UA-normalized'!$A:$A, 0))-INDEX('UA-normalized'!$E:$E, MATCH($A220, 'UA-normalized'!$A:$A, 0))&gt;0, -(3*INDEX('UA-normalized'!$D:$D, MATCH($A220, 'UA-normalized'!$A:$A, 0))-INDEX('UA-normalized'!$E:$E, MATCH($A220, 'UA-normalized'!$A:$A, 0))), 0), 0))+(IFERROR(IF(3*INDEX('KZ-normalized'!$D:$D, MATCH($A220, 'KZ-normalized'!$A:$A, 0))-INDEX('KZ-normalized'!$E:$E, MATCH($A220, 'KZ-normalized'!$A:$A, 0))&gt;0, -(3*INDEX('KZ-normalized'!$D:$D, MATCH($A220, 'KZ-normalized'!$A:$A, 0))-INDEX('KZ-normalized'!$E:$E, MATCH($A220, 'KZ-normalized'!$A:$A, 0))), 0), 0))+(IFERROR(IF(3*INDEX('UZ-normalized'!$D:$D, MATCH($A220, 'UZ-normalized'!$A:$A, 0))-INDEX('UZ-normalized'!$E:$E, MATCH($A220, 'UZ-normalized'!$A:$A, 0))&gt;0, -(3*INDEX('UZ-normalized'!$D:$D, MATCH($A220, 'UZ-normalized'!$A:$A, 0))-INDEX('UZ-normalized'!$E:$E, MATCH($A220, 'UZ-normalized'!$A:$A, 0))), 0), 0)))</f>
        <v>0</v>
      </c>
      <c r="R220" s="6">
        <f>MIN(0, N220+(IFERROR(IF(4*INDEX('UA-normalized'!$D:$D, MATCH($A220, 'UA-normalized'!$A:$A, 0))-INDEX('UA-normalized'!$E:$E, MATCH($A220, 'UA-normalized'!$A:$A, 0))&gt;0, -(4*INDEX('UA-normalized'!$D:$D, MATCH($A220, 'UA-normalized'!$A:$A, 0))-INDEX('UA-normalized'!$E:$E, MATCH($A220, 'UA-normalized'!$A:$A, 0))), 0), 0))+(IFERROR(IF(4*INDEX('KZ-normalized'!$D:$D, MATCH($A220, 'KZ-normalized'!$A:$A, 0))-INDEX('KZ-normalized'!$E:$E, MATCH($A220, 'KZ-normalized'!$A:$A, 0))&gt;0, -(4*INDEX('KZ-normalized'!$D:$D, MATCH($A220, 'KZ-normalized'!$A:$A, 0))-INDEX('KZ-normalized'!$E:$E, MATCH($A220, 'KZ-normalized'!$A:$A, 0))), 0), 0))+(IFERROR(IF(4*INDEX('UZ-normalized'!$D:$D, MATCH($A220, 'UZ-normalized'!$A:$A, 0))-INDEX('UZ-normalized'!$E:$E, MATCH($A220, 'UZ-normalized'!$A:$A, 0))&gt;0, -(4*INDEX('UZ-normalized'!$D:$D, MATCH($A220, 'UZ-normalized'!$A:$A, 0))-INDEX('UZ-normalized'!$E:$E, MATCH($A220, 'UZ-normalized'!$A:$A, 0))), 0), 0)))</f>
        <v>0</v>
      </c>
      <c r="S220" s="6">
        <f>MIN(0, N220+(IFERROR(IF(5*INDEX('UA-normalized'!$D:$D, MATCH($A220, 'UA-normalized'!$A:$A, 0))-INDEX('UA-normalized'!$E:$E, MATCH($A220, 'UA-normalized'!$A:$A, 0))&gt;0, -(5*INDEX('UA-normalized'!$D:$D, MATCH($A220, 'UA-normalized'!$A:$A, 0))-INDEX('UA-normalized'!$E:$E, MATCH($A220, 'UA-normalized'!$A:$A, 0))), 0), 0))+(IFERROR(IF(5*INDEX('KZ-normalized'!$D:$D, MATCH($A220, 'KZ-normalized'!$A:$A, 0))-INDEX('KZ-normalized'!$E:$E, MATCH($A220, 'KZ-normalized'!$A:$A, 0))&gt;0, -(5*INDEX('KZ-normalized'!$D:$D, MATCH($A220, 'KZ-normalized'!$A:$A, 0))-INDEX('KZ-normalized'!$E:$E, MATCH($A220, 'KZ-normalized'!$A:$A, 0))), 0), 0))+(IFERROR(IF(5*INDEX('UZ-normalized'!$D:$D, MATCH($A220, 'UZ-normalized'!$A:$A, 0))-INDEX('UZ-normalized'!$E:$E, MATCH($A220, 'UZ-normalized'!$A:$A, 0))&gt;0, -(5*INDEX('UZ-normalized'!$D:$D, MATCH($A220, 'UZ-normalized'!$A:$A, 0))-INDEX('UZ-normalized'!$E:$E, MATCH($A220, 'UZ-normalized'!$A:$A, 0))), 0), 0)))</f>
        <v>0</v>
      </c>
      <c r="T220" s="6">
        <f>MIN(0, N220+(IFERROR(IF(6*INDEX('UA-normalized'!$D:$D, MATCH($A220, 'UA-normalized'!$A:$A, 0))-INDEX('UA-normalized'!$E:$E, MATCH($A220, 'UA-normalized'!$A:$A, 0))&gt;0, -(6*INDEX('UA-normalized'!$D:$D, MATCH($A220, 'UA-normalized'!$A:$A, 0))-INDEX('UA-normalized'!$E:$E, MATCH($A220, 'UA-normalized'!$A:$A, 0))), 0), 0))+(IFERROR(IF(6*INDEX('KZ-normalized'!$D:$D, MATCH($A220, 'KZ-normalized'!$A:$A, 0))-INDEX('KZ-normalized'!$E:$E, MATCH($A220, 'KZ-normalized'!$A:$A, 0))&gt;0, -(6*INDEX('KZ-normalized'!$D:$D, MATCH($A220, 'KZ-normalized'!$A:$A, 0))-INDEX('KZ-normalized'!$E:$E, MATCH($A220, 'KZ-normalized'!$A:$A, 0))), 0), 0))+(IFERROR(IF(6*INDEX('UZ-normalized'!$D:$D, MATCH($A220, 'UZ-normalized'!$A:$A, 0))-INDEX('UZ-normalized'!$E:$E, MATCH($A220, 'UZ-normalized'!$A:$A, 0))&gt;0, -(6*INDEX('UZ-normalized'!$D:$D, MATCH($A220, 'UZ-normalized'!$A:$A, 0))-INDEX('UZ-normalized'!$E:$E, MATCH($A220, 'UZ-normalized'!$A:$A, 0))), 0), 0)))</f>
        <v>0</v>
      </c>
      <c r="U220" s="6">
        <f>MIN(0, N220+(IFERROR(IF(7*INDEX('UA-normalized'!$D:$D, MATCH($A220, 'UA-normalized'!$A:$A, 0))-INDEX('UA-normalized'!$E:$E, MATCH($A220, 'UA-normalized'!$A:$A, 0))&gt;0, -(7*INDEX('UA-normalized'!$D:$D, MATCH($A220, 'UA-normalized'!$A:$A, 0))-INDEX('UA-normalized'!$E:$E, MATCH($A220, 'UA-normalized'!$A:$A, 0))), 0), 0))+(IFERROR(IF(7*INDEX('KZ-normalized'!$D:$D, MATCH($A220, 'KZ-normalized'!$A:$A, 0))-INDEX('KZ-normalized'!$E:$E, MATCH($A220, 'KZ-normalized'!$A:$A, 0))&gt;0, -(7*INDEX('KZ-normalized'!$D:$D, MATCH($A220, 'KZ-normalized'!$A:$A, 0))-INDEX('KZ-normalized'!$E:$E, MATCH($A220, 'KZ-normalized'!$A:$A, 0))), 0), 0))+(IFERROR(IF(7*INDEX('UZ-normalized'!$D:$D, MATCH($A220, 'UZ-normalized'!$A:$A, 0))-INDEX('UZ-normalized'!$E:$E, MATCH($A220, 'UZ-normalized'!$A:$A, 0))&gt;0, -(7*INDEX('UZ-normalized'!$D:$D, MATCH($A220, 'UZ-normalized'!$A:$A, 0))-INDEX('UZ-normalized'!$E:$E, MATCH($A220, 'UZ-normalized'!$A:$A, 0))), 0), 0)))</f>
        <v>0</v>
      </c>
      <c r="V220" s="6">
        <f>MIN(0, N220+(IFERROR(IF(8*INDEX('UA-normalized'!$D:$D, MATCH($A220, 'UA-normalized'!$A:$A, 0))-INDEX('UA-normalized'!$E:$E, MATCH($A220, 'UA-normalized'!$A:$A, 0))&gt;0, -(8*INDEX('UA-normalized'!$D:$D, MATCH($A220, 'UA-normalized'!$A:$A, 0))-INDEX('UA-normalized'!$E:$E, MATCH($A220, 'UA-normalized'!$A:$A, 0))), 0), 0))+(IFERROR(IF(8*INDEX('KZ-normalized'!$D:$D, MATCH($A220, 'KZ-normalized'!$A:$A, 0))-INDEX('KZ-normalized'!$E:$E, MATCH($A220, 'KZ-normalized'!$A:$A, 0))&gt;0, -(8*INDEX('KZ-normalized'!$D:$D, MATCH($A220, 'KZ-normalized'!$A:$A, 0))-INDEX('KZ-normalized'!$E:$E, MATCH($A220, 'KZ-normalized'!$A:$A, 0))), 0), 0))+(IFERROR(IF(8*INDEX('UZ-normalized'!$D:$D, MATCH($A220, 'UZ-normalized'!$A:$A, 0))-INDEX('UZ-normalized'!$E:$E, MATCH($A220, 'UZ-normalized'!$A:$A, 0))&gt;0, -(8*INDEX('UZ-normalized'!$D:$D, MATCH($A220, 'UZ-normalized'!$A:$A, 0))-INDEX('UZ-normalized'!$E:$E, MATCH($A220, 'UZ-normalized'!$A:$A, 0))), 0), 0)))</f>
        <v>0</v>
      </c>
      <c r="W220" s="6">
        <f>MIN(0, N220+(IFERROR(IF(9*INDEX('UA-normalized'!$D:$D, MATCH($A220, 'UA-normalized'!$A:$A, 0))-INDEX('UA-normalized'!$E:$E, MATCH($A220, 'UA-normalized'!$A:$A, 0))&gt;0, -(9*INDEX('UA-normalized'!$D:$D, MATCH($A220, 'UA-normalized'!$A:$A, 0))-INDEX('UA-normalized'!$E:$E, MATCH($A220, 'UA-normalized'!$A:$A, 0))), 0), 0))+(IFERROR(IF(9*INDEX('KZ-normalized'!$D:$D, MATCH($A220, 'KZ-normalized'!$A:$A, 0))-INDEX('KZ-normalized'!$E:$E, MATCH($A220, 'KZ-normalized'!$A:$A, 0))&gt;0, -(9*INDEX('KZ-normalized'!$D:$D, MATCH($A220, 'KZ-normalized'!$A:$A, 0))-INDEX('KZ-normalized'!$E:$E, MATCH($A220, 'KZ-normalized'!$A:$A, 0))), 0), 0))+(IFERROR(IF(9*INDEX('UZ-normalized'!$D:$D, MATCH($A220, 'UZ-normalized'!$A:$A, 0))-INDEX('UZ-normalized'!$E:$E, MATCH($A220, 'UZ-normalized'!$A:$A, 0))&gt;0, -(9*INDEX('UZ-normalized'!$D:$D, MATCH($A220, 'UZ-normalized'!$A:$A, 0))-INDEX('UZ-normalized'!$E:$E, MATCH($A220, 'UZ-normalized'!$A:$A, 0))), 0), 0)))</f>
        <v>0</v>
      </c>
      <c r="X220" s="6">
        <f>MIN(0, N220+(IFERROR(IF(10*INDEX('UA-normalized'!$D:$D, MATCH($A220, 'UA-normalized'!$A:$A, 0))-INDEX('UA-normalized'!$E:$E, MATCH($A220, 'UA-normalized'!$A:$A, 0))&gt;0, -(10*INDEX('UA-normalized'!$D:$D, MATCH($A220, 'UA-normalized'!$A:$A, 0))-INDEX('UA-normalized'!$E:$E, MATCH($A220, 'UA-normalized'!$A:$A, 0))), 0), 0))+(IFERROR(IF(10*INDEX('KZ-normalized'!$D:$D, MATCH($A220, 'KZ-normalized'!$A:$A, 0))-INDEX('KZ-normalized'!$E:$E, MATCH($A220, 'KZ-normalized'!$A:$A, 0))&gt;0, -(10*INDEX('KZ-normalized'!$D:$D, MATCH($A220, 'KZ-normalized'!$A:$A, 0))-INDEX('KZ-normalized'!$E:$E, MATCH($A220, 'KZ-normalized'!$A:$A, 0))), 0), 0))+(IFERROR(IF(10*INDEX('UZ-normalized'!$D:$D, MATCH($A220, 'UZ-normalized'!$A:$A, 0))-INDEX('UZ-normalized'!$E:$E, MATCH($A220, 'UZ-normalized'!$A:$A, 0))&gt;0, -(10*INDEX('UZ-normalized'!$D:$D, MATCH($A220, 'UZ-normalized'!$A:$A, 0))-INDEX('UZ-normalized'!$E:$E, MATCH($A220, 'UZ-normalized'!$A:$A, 0))), 0), 0)))</f>
        <v>0</v>
      </c>
      <c r="Y220" s="6">
        <f>MIN(0, N220+(IFERROR(IF(11*INDEX('UA-normalized'!$D:$D, MATCH($A220, 'UA-normalized'!$A:$A, 0))-INDEX('UA-normalized'!$E:$E, MATCH($A220, 'UA-normalized'!$A:$A, 0))&gt;0, -(11*INDEX('UA-normalized'!$D:$D, MATCH($A220, 'UA-normalized'!$A:$A, 0))-INDEX('UA-normalized'!$E:$E, MATCH($A220, 'UA-normalized'!$A:$A, 0))), 0), 0))+(IFERROR(IF(11*INDEX('KZ-normalized'!$D:$D, MATCH($A220, 'KZ-normalized'!$A:$A, 0))-INDEX('KZ-normalized'!$E:$E, MATCH($A220, 'KZ-normalized'!$A:$A, 0))&gt;0, -(11*INDEX('KZ-normalized'!$D:$D, MATCH($A220, 'KZ-normalized'!$A:$A, 0))-INDEX('KZ-normalized'!$E:$E, MATCH($A220, 'KZ-normalized'!$A:$A, 0))), 0), 0))+(IFERROR(IF(11*INDEX('UZ-normalized'!$D:$D, MATCH($A220, 'UZ-normalized'!$A:$A, 0))-INDEX('UZ-normalized'!$E:$E, MATCH($A220, 'UZ-normalized'!$A:$A, 0))&gt;0, -(11*INDEX('UZ-normalized'!$D:$D, MATCH($A220, 'UZ-normalized'!$A:$A, 0))-INDEX('UZ-normalized'!$E:$E, MATCH($A220, 'UZ-normalized'!$A:$A, 0))), 0), 0)))</f>
        <v>0</v>
      </c>
      <c r="Z220" s="6">
        <f>MIN(0, N220+(IFERROR(IF(12*INDEX('UA-normalized'!$D:$D, MATCH($A220, 'UA-normalized'!$A:$A, 0))-INDEX('UA-normalized'!$E:$E, MATCH($A220, 'UA-normalized'!$A:$A, 0))&gt;0, -(12*INDEX('UA-normalized'!$D:$D, MATCH($A220, 'UA-normalized'!$A:$A, 0))-INDEX('UA-normalized'!$E:$E, MATCH($A220, 'UA-normalized'!$A:$A, 0))), 0), 0))+(IFERROR(IF(12*INDEX('KZ-normalized'!$D:$D, MATCH($A220, 'KZ-normalized'!$A:$A, 0))-INDEX('KZ-normalized'!$E:$E, MATCH($A220, 'KZ-normalized'!$A:$A, 0))&gt;0, -(12*INDEX('KZ-normalized'!$D:$D, MATCH($A220, 'KZ-normalized'!$A:$A, 0))-INDEX('KZ-normalized'!$E:$E, MATCH($A220, 'KZ-normalized'!$A:$A, 0))), 0), 0))+(IFERROR(IF(12*INDEX('UZ-normalized'!$D:$D, MATCH($A220, 'UZ-normalized'!$A:$A, 0))-INDEX('UZ-normalized'!$E:$E, MATCH($A220, 'UZ-normalized'!$A:$A, 0))&gt;0, -(12*INDEX('UZ-normalized'!$D:$D, MATCH($A220, 'UZ-normalized'!$A:$A, 0))-INDEX('UZ-normalized'!$E:$E, MATCH($A220, 'UZ-normalized'!$A:$A, 0))), 0), 0)))</f>
        <v>0</v>
      </c>
      <c r="AA220" s="6">
        <f>MIN(0, N220+(IFERROR(IF(13*INDEX('UA-normalized'!$D:$D, MATCH($A220, 'UA-normalized'!$A:$A, 0))-INDEX('UA-normalized'!$E:$E, MATCH($A220, 'UA-normalized'!$A:$A, 0))&gt;0, -(13*INDEX('UA-normalized'!$D:$D, MATCH($A220, 'UA-normalized'!$A:$A, 0))-INDEX('UA-normalized'!$E:$E, MATCH($A220, 'UA-normalized'!$A:$A, 0))), 0), 0))+(IFERROR(IF(13*INDEX('KZ-normalized'!$D:$D, MATCH($A220, 'KZ-normalized'!$A:$A, 0))-INDEX('KZ-normalized'!$E:$E, MATCH($A220, 'KZ-normalized'!$A:$A, 0))&gt;0, -(13*INDEX('KZ-normalized'!$D:$D, MATCH($A220, 'KZ-normalized'!$A:$A, 0))-INDEX('KZ-normalized'!$E:$E, MATCH($A220, 'KZ-normalized'!$A:$A, 0))), 0), 0))+(IFERROR(IF(13*INDEX('UZ-normalized'!$D:$D, MATCH($A220, 'UZ-normalized'!$A:$A, 0))-INDEX('UZ-normalized'!$E:$E, MATCH($A220, 'UZ-normalized'!$A:$A, 0))&gt;0, -(13*INDEX('UZ-normalized'!$D:$D, MATCH($A220, 'UZ-normalized'!$A:$A, 0))-INDEX('UZ-normalized'!$E:$E, MATCH($A220, 'UZ-normalized'!$A:$A, 0))), 0), 0)))</f>
        <v>0</v>
      </c>
      <c r="AB220" s="6">
        <f>MIN(0, N220+(IFERROR(IF(14*INDEX('UA-normalized'!$D:$D, MATCH($A220, 'UA-normalized'!$A:$A, 0))-INDEX('UA-normalized'!$E:$E, MATCH($A220, 'UA-normalized'!$A:$A, 0))&gt;0, -(14*INDEX('UA-normalized'!$D:$D, MATCH($A220, 'UA-normalized'!$A:$A, 0))-INDEX('UA-normalized'!$E:$E, MATCH($A220, 'UA-normalized'!$A:$A, 0))), 0), 0))+(IFERROR(IF(14*INDEX('KZ-normalized'!$D:$D, MATCH($A220, 'KZ-normalized'!$A:$A, 0))-INDEX('KZ-normalized'!$E:$E, MATCH($A220, 'KZ-normalized'!$A:$A, 0))&gt;0, -(14*INDEX('KZ-normalized'!$D:$D, MATCH($A220, 'KZ-normalized'!$A:$A, 0))-INDEX('KZ-normalized'!$E:$E, MATCH($A220, 'KZ-normalized'!$A:$A, 0))), 0), 0))+(IFERROR(IF(14*INDEX('UZ-normalized'!$D:$D, MATCH($A220, 'UZ-normalized'!$A:$A, 0))-INDEX('UZ-normalized'!$E:$E, MATCH($A220, 'UZ-normalized'!$A:$A, 0))&gt;0, -(14*INDEX('UZ-normalized'!$D:$D, MATCH($A220, 'UZ-normalized'!$A:$A, 0))-INDEX('UZ-normalized'!$E:$E, MATCH($A220, 'UZ-normalized'!$A:$A, 0))), 0), 0)))</f>
        <v>0</v>
      </c>
      <c r="AC220" s="6">
        <f>MIN(0, N220+(IFERROR(IF(15*INDEX('UA-normalized'!$D:$D, MATCH($A220, 'UA-normalized'!$A:$A, 0))-INDEX('UA-normalized'!$E:$E, MATCH($A220, 'UA-normalized'!$A:$A, 0))&gt;0, -(15*INDEX('UA-normalized'!$D:$D, MATCH($A220, 'UA-normalized'!$A:$A, 0))-INDEX('UA-normalized'!$E:$E, MATCH($A220, 'UA-normalized'!$A:$A, 0))), 0), 0))+(IFERROR(IF(15*INDEX('KZ-normalized'!$D:$D, MATCH($A220, 'KZ-normalized'!$A:$A, 0))-INDEX('KZ-normalized'!$E:$E, MATCH($A220, 'KZ-normalized'!$A:$A, 0))&gt;0, -(15*INDEX('KZ-normalized'!$D:$D, MATCH($A220, 'KZ-normalized'!$A:$A, 0))-INDEX('KZ-normalized'!$E:$E, MATCH($A220, 'KZ-normalized'!$A:$A, 0))), 0), 0))+(IFERROR(IF(15*INDEX('UZ-normalized'!$D:$D, MATCH($A220, 'UZ-normalized'!$A:$A, 0))-INDEX('UZ-normalized'!$E:$E, MATCH($A220, 'UZ-normalized'!$A:$A, 0))&gt;0, -(15*INDEX('UZ-normalized'!$D:$D, MATCH($A220, 'UZ-normalized'!$A:$A, 0))-INDEX('UZ-normalized'!$E:$E, MATCH($A220, 'UZ-normalized'!$A:$A, 0))), 0), 0)))</f>
        <v>0</v>
      </c>
      <c r="AD220" s="6">
        <f>MIN(0, N220+(IFERROR(IF(16*INDEX('UA-normalized'!$D:$D, MATCH($A220, 'UA-normalized'!$A:$A, 0))-INDEX('UA-normalized'!$E:$E, MATCH($A220, 'UA-normalized'!$A:$A, 0))&gt;0, -(16*INDEX('UA-normalized'!$D:$D, MATCH($A220, 'UA-normalized'!$A:$A, 0))-INDEX('UA-normalized'!$E:$E, MATCH($A220, 'UA-normalized'!$A:$A, 0))), 0), 0))+(IFERROR(IF(16*INDEX('KZ-normalized'!$D:$D, MATCH($A220, 'KZ-normalized'!$A:$A, 0))-INDEX('KZ-normalized'!$E:$E, MATCH($A220, 'KZ-normalized'!$A:$A, 0))&gt;0, -(16*INDEX('KZ-normalized'!$D:$D, MATCH($A220, 'KZ-normalized'!$A:$A, 0))-INDEX('KZ-normalized'!$E:$E, MATCH($A220, 'KZ-normalized'!$A:$A, 0))), 0), 0))+(IFERROR(IF(16*INDEX('UZ-normalized'!$D:$D, MATCH($A220, 'UZ-normalized'!$A:$A, 0))-INDEX('UZ-normalized'!$E:$E, MATCH($A220, 'UZ-normalized'!$A:$A, 0))&gt;0, -(16*INDEX('UZ-normalized'!$D:$D, MATCH($A220, 'UZ-normalized'!$A:$A, 0))-INDEX('UZ-normalized'!$E:$E, MATCH($A220, 'UZ-normalized'!$A:$A, 0))), 0), 0)))</f>
        <v>0</v>
      </c>
      <c r="AE220" s="6">
        <f>MIN(0, N220+(IFERROR(IF(17*INDEX('UA-normalized'!$D:$D, MATCH($A220, 'UA-normalized'!$A:$A, 0))-INDEX('UA-normalized'!$E:$E, MATCH($A220, 'UA-normalized'!$A:$A, 0))&gt;0, -(17*INDEX('UA-normalized'!$D:$D, MATCH($A220, 'UA-normalized'!$A:$A, 0))-INDEX('UA-normalized'!$E:$E, MATCH($A220, 'UA-normalized'!$A:$A, 0))), 0), 0))+(IFERROR(IF(17*INDEX('KZ-normalized'!$D:$D, MATCH($A220, 'KZ-normalized'!$A:$A, 0))-INDEX('KZ-normalized'!$E:$E, MATCH($A220, 'KZ-normalized'!$A:$A, 0))&gt;0, -(17*INDEX('KZ-normalized'!$D:$D, MATCH($A220, 'KZ-normalized'!$A:$A, 0))-INDEX('KZ-normalized'!$E:$E, MATCH($A220, 'KZ-normalized'!$A:$A, 0))), 0), 0))+(IFERROR(IF(17*INDEX('UZ-normalized'!$D:$D, MATCH($A220, 'UZ-normalized'!$A:$A, 0))-INDEX('UZ-normalized'!$E:$E, MATCH($A220, 'UZ-normalized'!$A:$A, 0))&gt;0, -(17*INDEX('UZ-normalized'!$D:$D, MATCH($A220, 'UZ-normalized'!$A:$A, 0))-INDEX('UZ-normalized'!$E:$E, MATCH($A220, 'UZ-normalized'!$A:$A, 0))), 0), 0)))</f>
        <v>0</v>
      </c>
      <c r="AF220" s="6">
        <f>MIN(0, N220+(IFERROR(IF(18*INDEX('UA-normalized'!$D:$D, MATCH($A220, 'UA-normalized'!$A:$A, 0))-INDEX('UA-normalized'!$E:$E, MATCH($A220, 'UA-normalized'!$A:$A, 0))&gt;0, -(18*INDEX('UA-normalized'!$D:$D, MATCH($A220, 'UA-normalized'!$A:$A, 0))-INDEX('UA-normalized'!$E:$E, MATCH($A220, 'UA-normalized'!$A:$A, 0))), 0), 0))+(IFERROR(IF(18*INDEX('KZ-normalized'!$D:$D, MATCH($A220, 'KZ-normalized'!$A:$A, 0))-INDEX('KZ-normalized'!$E:$E, MATCH($A220, 'KZ-normalized'!$A:$A, 0))&gt;0, -(18*INDEX('KZ-normalized'!$D:$D, MATCH($A220, 'KZ-normalized'!$A:$A, 0))-INDEX('KZ-normalized'!$E:$E, MATCH($A220, 'KZ-normalized'!$A:$A, 0))), 0), 0))+(IFERROR(IF(18*INDEX('UZ-normalized'!$D:$D, MATCH($A220, 'UZ-normalized'!$A:$A, 0))-INDEX('UZ-normalized'!$E:$E, MATCH($A220, 'UZ-normalized'!$A:$A, 0))&gt;0, -(18*INDEX('UZ-normalized'!$D:$D, MATCH($A220, 'UZ-normalized'!$A:$A, 0))-INDEX('UZ-normalized'!$E:$E, MATCH($A220, 'UZ-normalized'!$A:$A, 0))), 0), 0)))</f>
        <v>0</v>
      </c>
      <c r="AG220" s="6">
        <f>MIN(0, N220+(IFERROR(IF(19*INDEX('UA-normalized'!$D:$D, MATCH($A220, 'UA-normalized'!$A:$A, 0))-INDEX('UA-normalized'!$E:$E, MATCH($A220, 'UA-normalized'!$A:$A, 0))&gt;0, -(19*INDEX('UA-normalized'!$D:$D, MATCH($A220, 'UA-normalized'!$A:$A, 0))-INDEX('UA-normalized'!$E:$E, MATCH($A220, 'UA-normalized'!$A:$A, 0))), 0), 0))+(IFERROR(IF(19*INDEX('KZ-normalized'!$D:$D, MATCH($A220, 'KZ-normalized'!$A:$A, 0))-INDEX('KZ-normalized'!$E:$E, MATCH($A220, 'KZ-normalized'!$A:$A, 0))&gt;0, -(19*INDEX('KZ-normalized'!$D:$D, MATCH($A220, 'KZ-normalized'!$A:$A, 0))-INDEX('KZ-normalized'!$E:$E, MATCH($A220, 'KZ-normalized'!$A:$A, 0))), 0), 0))+(IFERROR(IF(19*INDEX('UZ-normalized'!$D:$D, MATCH($A220, 'UZ-normalized'!$A:$A, 0))-INDEX('UZ-normalized'!$E:$E, MATCH($A220, 'UZ-normalized'!$A:$A, 0))&gt;0, -(19*INDEX('UZ-normalized'!$D:$D, MATCH($A220, 'UZ-normalized'!$A:$A, 0))-INDEX('UZ-normalized'!$E:$E, MATCH($A220, 'UZ-normalized'!$A:$A, 0))), 0), 0)))</f>
        <v>0</v>
      </c>
      <c r="AH220" s="6">
        <f>MIN(0, N220+(IFERROR(IF(20*INDEX('UA-normalized'!$D:$D, MATCH($A220, 'UA-normalized'!$A:$A, 0))-INDEX('UA-normalized'!$E:$E, MATCH($A220, 'UA-normalized'!$A:$A, 0))&gt;0, -(20*INDEX('UA-normalized'!$D:$D, MATCH($A220, 'UA-normalized'!$A:$A, 0))-INDEX('UA-normalized'!$E:$E, MATCH($A220, 'UA-normalized'!$A:$A, 0))), 0), 0))+(IFERROR(IF(20*INDEX('KZ-normalized'!$D:$D, MATCH($A220, 'KZ-normalized'!$A:$A, 0))-INDEX('KZ-normalized'!$E:$E, MATCH($A220, 'KZ-normalized'!$A:$A, 0))&gt;0, -(20*INDEX('KZ-normalized'!$D:$D, MATCH($A220, 'KZ-normalized'!$A:$A, 0))-INDEX('KZ-normalized'!$E:$E, MATCH($A220, 'KZ-normalized'!$A:$A, 0))), 0), 0))+(IFERROR(IF(20*INDEX('UZ-normalized'!$D:$D, MATCH($A220, 'UZ-normalized'!$A:$A, 0))-INDEX('UZ-normalized'!$E:$E, MATCH($A220, 'UZ-normalized'!$A:$A, 0))&gt;0, -(20*INDEX('UZ-normalized'!$D:$D, MATCH($A220, 'UZ-normalized'!$A:$A, 0))-INDEX('UZ-normalized'!$E:$E, MATCH($A220, 'UZ-normalized'!$A:$A, 0))), 0), 0)))</f>
        <v>0</v>
      </c>
      <c r="AI220" s="6">
        <f>MIN(0, N220+(IFERROR(IF(21*INDEX('UA-normalized'!$D:$D, MATCH($A220, 'UA-normalized'!$A:$A, 0))-INDEX('UA-normalized'!$E:$E, MATCH($A220, 'UA-normalized'!$A:$A, 0))&gt;0, -(21*INDEX('UA-normalized'!$D:$D, MATCH($A220, 'UA-normalized'!$A:$A, 0))-INDEX('UA-normalized'!$E:$E, MATCH($A220, 'UA-normalized'!$A:$A, 0))), 0), 0))+(IFERROR(IF(21*INDEX('KZ-normalized'!$D:$D, MATCH($A220, 'KZ-normalized'!$A:$A, 0))-INDEX('KZ-normalized'!$E:$E, MATCH($A220, 'KZ-normalized'!$A:$A, 0))&gt;0, -(21*INDEX('KZ-normalized'!$D:$D, MATCH($A220, 'KZ-normalized'!$A:$A, 0))-INDEX('KZ-normalized'!$E:$E, MATCH($A220, 'KZ-normalized'!$A:$A, 0))), 0), 0))+(IFERROR(IF(21*INDEX('UZ-normalized'!$D:$D, MATCH($A220, 'UZ-normalized'!$A:$A, 0))-INDEX('UZ-normalized'!$E:$E, MATCH($A220, 'UZ-normalized'!$A:$A, 0))&gt;0, -(21*INDEX('UZ-normalized'!$D:$D, MATCH($A220, 'UZ-normalized'!$A:$A, 0))-INDEX('UZ-normalized'!$E:$E, MATCH($A220, 'UZ-normalized'!$A:$A, 0))), 0), 0)))</f>
        <v>0</v>
      </c>
      <c r="AJ220" s="6">
        <f>MIN(0, N220+(IFERROR(IF(22*INDEX('UA-normalized'!$D:$D, MATCH($A220, 'UA-normalized'!$A:$A, 0))-INDEX('UA-normalized'!$E:$E, MATCH($A220, 'UA-normalized'!$A:$A, 0))&gt;0, -(22*INDEX('UA-normalized'!$D:$D, MATCH($A220, 'UA-normalized'!$A:$A, 0))-INDEX('UA-normalized'!$E:$E, MATCH($A220, 'UA-normalized'!$A:$A, 0))), 0), 0))+(IFERROR(IF(22*INDEX('KZ-normalized'!$D:$D, MATCH($A220, 'KZ-normalized'!$A:$A, 0))-INDEX('KZ-normalized'!$E:$E, MATCH($A220, 'KZ-normalized'!$A:$A, 0))&gt;0, -(22*INDEX('KZ-normalized'!$D:$D, MATCH($A220, 'KZ-normalized'!$A:$A, 0))-INDEX('KZ-normalized'!$E:$E, MATCH($A220, 'KZ-normalized'!$A:$A, 0))), 0), 0))+(IFERROR(IF(22*INDEX('UZ-normalized'!$D:$D, MATCH($A220, 'UZ-normalized'!$A:$A, 0))-INDEX('UZ-normalized'!$E:$E, MATCH($A220, 'UZ-normalized'!$A:$A, 0))&gt;0, -(22*INDEX('UZ-normalized'!$D:$D, MATCH($A220, 'UZ-normalized'!$A:$A, 0))-INDEX('UZ-normalized'!$E:$E, MATCH($A220, 'UZ-normalized'!$A:$A, 0))), 0), 0)))</f>
        <v>0</v>
      </c>
      <c r="AK220" s="6">
        <f>MIN(0, N220+(IFERROR(IF(23*INDEX('UA-normalized'!$D:$D, MATCH($A220, 'UA-normalized'!$A:$A, 0))-INDEX('UA-normalized'!$E:$E, MATCH($A220, 'UA-normalized'!$A:$A, 0))&gt;0, -(23*INDEX('UA-normalized'!$D:$D, MATCH($A220, 'UA-normalized'!$A:$A, 0))-INDEX('UA-normalized'!$E:$E, MATCH($A220, 'UA-normalized'!$A:$A, 0))), 0), 0))+(IFERROR(IF(23*INDEX('KZ-normalized'!$D:$D, MATCH($A220, 'KZ-normalized'!$A:$A, 0))-INDEX('KZ-normalized'!$E:$E, MATCH($A220, 'KZ-normalized'!$A:$A, 0))&gt;0, -(23*INDEX('KZ-normalized'!$D:$D, MATCH($A220, 'KZ-normalized'!$A:$A, 0))-INDEX('KZ-normalized'!$E:$E, MATCH($A220, 'KZ-normalized'!$A:$A, 0))), 0), 0))+(IFERROR(IF(23*INDEX('UZ-normalized'!$D:$D, MATCH($A220, 'UZ-normalized'!$A:$A, 0))-INDEX('UZ-normalized'!$E:$E, MATCH($A220, 'UZ-normalized'!$A:$A, 0))&gt;0, -(23*INDEX('UZ-normalized'!$D:$D, MATCH($A220, 'UZ-normalized'!$A:$A, 0))-INDEX('UZ-normalized'!$E:$E, MATCH($A220, 'UZ-normalized'!$A:$A, 0))), 0), 0)))</f>
        <v>0</v>
      </c>
      <c r="AL220" s="6">
        <f>MIN(0, N220+(IFERROR(IF(24*INDEX('UA-normalized'!$D:$D, MATCH($A220, 'UA-normalized'!$A:$A, 0))-INDEX('UA-normalized'!$E:$E, MATCH($A220, 'UA-normalized'!$A:$A, 0))&gt;0, -(24*INDEX('UA-normalized'!$D:$D, MATCH($A220, 'UA-normalized'!$A:$A, 0))-INDEX('UA-normalized'!$E:$E, MATCH($A220, 'UA-normalized'!$A:$A, 0))), 0), 0))+(IFERROR(IF(24*INDEX('KZ-normalized'!$D:$D, MATCH($A220, 'KZ-normalized'!$A:$A, 0))-INDEX('KZ-normalized'!$E:$E, MATCH($A220, 'KZ-normalized'!$A:$A, 0))&gt;0, -(24*INDEX('KZ-normalized'!$D:$D, MATCH($A220, 'KZ-normalized'!$A:$A, 0))-INDEX('KZ-normalized'!$E:$E, MATCH($A220, 'KZ-normalized'!$A:$A, 0))), 0), 0))+(IFERROR(IF(24*INDEX('UZ-normalized'!$D:$D, MATCH($A220, 'UZ-normalized'!$A:$A, 0))-INDEX('UZ-normalized'!$E:$E, MATCH($A220, 'UZ-normalized'!$A:$A, 0))&gt;0, -(24*INDEX('UZ-normalized'!$D:$D, MATCH($A220, 'UZ-normalized'!$A:$A, 0))-INDEX('UZ-normalized'!$E:$E, MATCH($A220, 'UZ-normalized'!$A:$A, 0))), 0), 0)))</f>
        <v>-2.8499999999999943</v>
      </c>
      <c r="AM220" s="6">
        <f>MIN(0, N220+(IFERROR(IF(25*INDEX('UA-normalized'!$D:$D, MATCH($A220, 'UA-normalized'!$A:$A, 0))-INDEX('UA-normalized'!$E:$E, MATCH($A220, 'UA-normalized'!$A:$A, 0))&gt;0, -(25*INDEX('UA-normalized'!$D:$D, MATCH($A220, 'UA-normalized'!$A:$A, 0))-INDEX('UA-normalized'!$E:$E, MATCH($A220, 'UA-normalized'!$A:$A, 0))), 0), 0))+(IFERROR(IF(25*INDEX('KZ-normalized'!$D:$D, MATCH($A220, 'KZ-normalized'!$A:$A, 0))-INDEX('KZ-normalized'!$E:$E, MATCH($A220, 'KZ-normalized'!$A:$A, 0))&gt;0, -(25*INDEX('KZ-normalized'!$D:$D, MATCH($A220, 'KZ-normalized'!$A:$A, 0))-INDEX('KZ-normalized'!$E:$E, MATCH($A220, 'KZ-normalized'!$A:$A, 0))), 0), 0))+(IFERROR(IF(25*INDEX('UZ-normalized'!$D:$D, MATCH($A220, 'UZ-normalized'!$A:$A, 0))-INDEX('UZ-normalized'!$E:$E, MATCH($A220, 'UZ-normalized'!$A:$A, 0))&gt;0, -(25*INDEX('UZ-normalized'!$D:$D, MATCH($A220, 'UZ-normalized'!$A:$A, 0))-INDEX('UZ-normalized'!$E:$E, MATCH($A220, 'UZ-normalized'!$A:$A, 0))), 0), 0)))</f>
        <v>-9.75</v>
      </c>
      <c r="AN220" s="6">
        <f>MIN(0, N220+(IFERROR(IF(26*INDEX('UA-normalized'!$D:$D, MATCH($A220, 'UA-normalized'!$A:$A, 0))-INDEX('UA-normalized'!$E:$E, MATCH($A220, 'UA-normalized'!$A:$A, 0))&gt;0, -(26*INDEX('UA-normalized'!$D:$D, MATCH($A220, 'UA-normalized'!$A:$A, 0))-INDEX('UA-normalized'!$E:$E, MATCH($A220, 'UA-normalized'!$A:$A, 0))), 0), 0))+(IFERROR(IF(26*INDEX('KZ-normalized'!$D:$D, MATCH($A220, 'KZ-normalized'!$A:$A, 0))-INDEX('KZ-normalized'!$E:$E, MATCH($A220, 'KZ-normalized'!$A:$A, 0))&gt;0, -(26*INDEX('KZ-normalized'!$D:$D, MATCH($A220, 'KZ-normalized'!$A:$A, 0))-INDEX('KZ-normalized'!$E:$E, MATCH($A220, 'KZ-normalized'!$A:$A, 0))), 0), 0))+(IFERROR(IF(26*INDEX('UZ-normalized'!$D:$D, MATCH($A220, 'UZ-normalized'!$A:$A, 0))-INDEX('UZ-normalized'!$E:$E, MATCH($A220, 'UZ-normalized'!$A:$A, 0))&gt;0, -(26*INDEX('UZ-normalized'!$D:$D, MATCH($A220, 'UZ-normalized'!$A:$A, 0))-INDEX('UZ-normalized'!$E:$E, MATCH($A220, 'UZ-normalized'!$A:$A, 0))), 0), 0)))</f>
        <v>-16.649999999999999</v>
      </c>
      <c r="AO220" s="6">
        <f>MIN(0, N220+(IFERROR(IF(27*INDEX('UA-normalized'!$D:$D, MATCH($A220, 'UA-normalized'!$A:$A, 0))-INDEX('UA-normalized'!$E:$E, MATCH($A220, 'UA-normalized'!$A:$A, 0))&gt;0, -(27*INDEX('UA-normalized'!$D:$D, MATCH($A220, 'UA-normalized'!$A:$A, 0))-INDEX('UA-normalized'!$E:$E, MATCH($A220, 'UA-normalized'!$A:$A, 0))), 0), 0))+(IFERROR(IF(27*INDEX('KZ-normalized'!$D:$D, MATCH($A220, 'KZ-normalized'!$A:$A, 0))-INDEX('KZ-normalized'!$E:$E, MATCH($A220, 'KZ-normalized'!$A:$A, 0))&gt;0, -(27*INDEX('KZ-normalized'!$D:$D, MATCH($A220, 'KZ-normalized'!$A:$A, 0))-INDEX('KZ-normalized'!$E:$E, MATCH($A220, 'KZ-normalized'!$A:$A, 0))), 0), 0))+(IFERROR(IF(27*INDEX('UZ-normalized'!$D:$D, MATCH($A220, 'UZ-normalized'!$A:$A, 0))-INDEX('UZ-normalized'!$E:$E, MATCH($A220, 'UZ-normalized'!$A:$A, 0))&gt;0, -(27*INDEX('UZ-normalized'!$D:$D, MATCH($A220, 'UZ-normalized'!$A:$A, 0))-INDEX('UZ-normalized'!$E:$E, MATCH($A220, 'UZ-normalized'!$A:$A, 0))), 0), 0)))</f>
        <v>-23.549999999999997</v>
      </c>
      <c r="AP220" s="6">
        <f>MIN(0, N220+(IFERROR(IF(28*INDEX('UA-normalized'!$D:$D, MATCH($A220, 'UA-normalized'!$A:$A, 0))-INDEX('UA-normalized'!$E:$E, MATCH($A220, 'UA-normalized'!$A:$A, 0))&gt;0, -(28*INDEX('UA-normalized'!$D:$D, MATCH($A220, 'UA-normalized'!$A:$A, 0))-INDEX('UA-normalized'!$E:$E, MATCH($A220, 'UA-normalized'!$A:$A, 0))), 0), 0))+(IFERROR(IF(28*INDEX('KZ-normalized'!$D:$D, MATCH($A220, 'KZ-normalized'!$A:$A, 0))-INDEX('KZ-normalized'!$E:$E, MATCH($A220, 'KZ-normalized'!$A:$A, 0))&gt;0, -(28*INDEX('KZ-normalized'!$D:$D, MATCH($A220, 'KZ-normalized'!$A:$A, 0))-INDEX('KZ-normalized'!$E:$E, MATCH($A220, 'KZ-normalized'!$A:$A, 0))), 0), 0))+(IFERROR(IF(28*INDEX('UZ-normalized'!$D:$D, MATCH($A220, 'UZ-normalized'!$A:$A, 0))-INDEX('UZ-normalized'!$E:$E, MATCH($A220, 'UZ-normalized'!$A:$A, 0))&gt;0, -(28*INDEX('UZ-normalized'!$D:$D, MATCH($A220, 'UZ-normalized'!$A:$A, 0))-INDEX('UZ-normalized'!$E:$E, MATCH($A220, 'UZ-normalized'!$A:$A, 0))), 0), 0)))</f>
        <v>-30.450000000000003</v>
      </c>
      <c r="AQ220" s="6">
        <f>MIN(0, N220+(IFERROR(IF(29*INDEX('UA-normalized'!$D:$D, MATCH($A220, 'UA-normalized'!$A:$A, 0))-INDEX('UA-normalized'!$E:$E, MATCH($A220, 'UA-normalized'!$A:$A, 0))&gt;0, -(29*INDEX('UA-normalized'!$D:$D, MATCH($A220, 'UA-normalized'!$A:$A, 0))-INDEX('UA-normalized'!$E:$E, MATCH($A220, 'UA-normalized'!$A:$A, 0))), 0), 0))+(IFERROR(IF(29*INDEX('KZ-normalized'!$D:$D, MATCH($A220, 'KZ-normalized'!$A:$A, 0))-INDEX('KZ-normalized'!$E:$E, MATCH($A220, 'KZ-normalized'!$A:$A, 0))&gt;0, -(29*INDEX('KZ-normalized'!$D:$D, MATCH($A220, 'KZ-normalized'!$A:$A, 0))-INDEX('KZ-normalized'!$E:$E, MATCH($A220, 'KZ-normalized'!$A:$A, 0))), 0), 0))+(IFERROR(IF(29*INDEX('UZ-normalized'!$D:$D, MATCH($A220, 'UZ-normalized'!$A:$A, 0))-INDEX('UZ-normalized'!$E:$E, MATCH($A220, 'UZ-normalized'!$A:$A, 0))&gt;0, -(29*INDEX('UZ-normalized'!$D:$D, MATCH($A220, 'UZ-normalized'!$A:$A, 0))-INDEX('UZ-normalized'!$E:$E, MATCH($A220, 'UZ-normalized'!$A:$A, 0))), 0), 0)))</f>
        <v>-37.349999999999994</v>
      </c>
      <c r="AR220" s="6">
        <f>MIN(0, N220+(IFERROR(IF(30*INDEX('UA-normalized'!$D:$D, MATCH($A220, 'UA-normalized'!$A:$A, 0))-INDEX('UA-normalized'!$E:$E, MATCH($A220, 'UA-normalized'!$A:$A, 0))&gt;0, -(30*INDEX('UA-normalized'!$D:$D, MATCH($A220, 'UA-normalized'!$A:$A, 0))-INDEX('UA-normalized'!$E:$E, MATCH($A220, 'UA-normalized'!$A:$A, 0))), 0), 0))+(IFERROR(IF(30*INDEX('KZ-normalized'!$D:$D, MATCH($A220, 'KZ-normalized'!$A:$A, 0))-INDEX('KZ-normalized'!$E:$E, MATCH($A220, 'KZ-normalized'!$A:$A, 0))&gt;0, -(30*INDEX('KZ-normalized'!$D:$D, MATCH($A220, 'KZ-normalized'!$A:$A, 0))-INDEX('KZ-normalized'!$E:$E, MATCH($A220, 'KZ-normalized'!$A:$A, 0))), 0), 0))+(IFERROR(IF(30*INDEX('UZ-normalized'!$D:$D, MATCH($A220, 'UZ-normalized'!$A:$A, 0))-INDEX('UZ-normalized'!$E:$E, MATCH($A220, 'UZ-normalized'!$A:$A, 0))&gt;0, -(30*INDEX('UZ-normalized'!$D:$D, MATCH($A220, 'UZ-normalized'!$A:$A, 0))-INDEX('UZ-normalized'!$E:$E, MATCH($A220, 'UZ-normalized'!$A:$A, 0))), 0), 0)))</f>
        <v>-44.25</v>
      </c>
    </row>
    <row r="221" spans="1:44" x14ac:dyDescent="0.25">
      <c r="A221" s="8" t="s">
        <v>524</v>
      </c>
      <c r="B221" s="8" t="s">
        <v>492</v>
      </c>
      <c r="C221" s="8" t="s">
        <v>520</v>
      </c>
      <c r="D221" s="8" t="s">
        <v>525</v>
      </c>
      <c r="F221">
        <v>620</v>
      </c>
      <c r="N221">
        <f t="shared" si="3"/>
        <v>620</v>
      </c>
      <c r="O221" s="6">
        <f>MIN(0, N221+(IFERROR(IF(1*INDEX('UA-normalized'!$D:$D, MATCH($A221, 'UA-normalized'!$A:$A, 0))-INDEX('UA-normalized'!$E:$E, MATCH($A221, 'UA-normalized'!$A:$A, 0))&gt;0, -(1*INDEX('UA-normalized'!$D:$D, MATCH($A221, 'UA-normalized'!$A:$A, 0))-INDEX('UA-normalized'!$E:$E, MATCH($A221, 'UA-normalized'!$A:$A, 0))), 0), 0))+(IFERROR(IF(1*INDEX('KZ-normalized'!$D:$D, MATCH($A221, 'KZ-normalized'!$A:$A, 0))-INDEX('KZ-normalized'!$E:$E, MATCH($A221, 'KZ-normalized'!$A:$A, 0))&gt;0, -(1*INDEX('KZ-normalized'!$D:$D, MATCH($A221, 'KZ-normalized'!$A:$A, 0))-INDEX('KZ-normalized'!$E:$E, MATCH($A221, 'KZ-normalized'!$A:$A, 0))), 0), 0))+(IFERROR(IF(1*INDEX('UZ-normalized'!$D:$D, MATCH($A221, 'UZ-normalized'!$A:$A, 0))-INDEX('UZ-normalized'!$E:$E, MATCH($A221, 'UZ-normalized'!$A:$A, 0))&gt;0, -(1*INDEX('UZ-normalized'!$D:$D, MATCH($A221, 'UZ-normalized'!$A:$A, 0))-INDEX('UZ-normalized'!$E:$E, MATCH($A221, 'UZ-normalized'!$A:$A, 0))), 0), 0)))</f>
        <v>0</v>
      </c>
      <c r="P221" s="6">
        <f>MIN(0, N221+(IFERROR(IF(2*INDEX('UA-normalized'!$D:$D, MATCH($A221, 'UA-normalized'!$A:$A, 0))-INDEX('UA-normalized'!$E:$E, MATCH($A221, 'UA-normalized'!$A:$A, 0))&gt;0, -(2*INDEX('UA-normalized'!$D:$D, MATCH($A221, 'UA-normalized'!$A:$A, 0))-INDEX('UA-normalized'!$E:$E, MATCH($A221, 'UA-normalized'!$A:$A, 0))), 0), 0))+(IFERROR(IF(2*INDEX('KZ-normalized'!$D:$D, MATCH($A221, 'KZ-normalized'!$A:$A, 0))-INDEX('KZ-normalized'!$E:$E, MATCH($A221, 'KZ-normalized'!$A:$A, 0))&gt;0, -(2*INDEX('KZ-normalized'!$D:$D, MATCH($A221, 'KZ-normalized'!$A:$A, 0))-INDEX('KZ-normalized'!$E:$E, MATCH($A221, 'KZ-normalized'!$A:$A, 0))), 0), 0))+(IFERROR(IF(2*INDEX('UZ-normalized'!$D:$D, MATCH($A221, 'UZ-normalized'!$A:$A, 0))-INDEX('UZ-normalized'!$E:$E, MATCH($A221, 'UZ-normalized'!$A:$A, 0))&gt;0, -(2*INDEX('UZ-normalized'!$D:$D, MATCH($A221, 'UZ-normalized'!$A:$A, 0))-INDEX('UZ-normalized'!$E:$E, MATCH($A221, 'UZ-normalized'!$A:$A, 0))), 0), 0)))</f>
        <v>0</v>
      </c>
      <c r="Q221" s="6">
        <f>MIN(0, N221+(IFERROR(IF(3*INDEX('UA-normalized'!$D:$D, MATCH($A221, 'UA-normalized'!$A:$A, 0))-INDEX('UA-normalized'!$E:$E, MATCH($A221, 'UA-normalized'!$A:$A, 0))&gt;0, -(3*INDEX('UA-normalized'!$D:$D, MATCH($A221, 'UA-normalized'!$A:$A, 0))-INDEX('UA-normalized'!$E:$E, MATCH($A221, 'UA-normalized'!$A:$A, 0))), 0), 0))+(IFERROR(IF(3*INDEX('KZ-normalized'!$D:$D, MATCH($A221, 'KZ-normalized'!$A:$A, 0))-INDEX('KZ-normalized'!$E:$E, MATCH($A221, 'KZ-normalized'!$A:$A, 0))&gt;0, -(3*INDEX('KZ-normalized'!$D:$D, MATCH($A221, 'KZ-normalized'!$A:$A, 0))-INDEX('KZ-normalized'!$E:$E, MATCH($A221, 'KZ-normalized'!$A:$A, 0))), 0), 0))+(IFERROR(IF(3*INDEX('UZ-normalized'!$D:$D, MATCH($A221, 'UZ-normalized'!$A:$A, 0))-INDEX('UZ-normalized'!$E:$E, MATCH($A221, 'UZ-normalized'!$A:$A, 0))&gt;0, -(3*INDEX('UZ-normalized'!$D:$D, MATCH($A221, 'UZ-normalized'!$A:$A, 0))-INDEX('UZ-normalized'!$E:$E, MATCH($A221, 'UZ-normalized'!$A:$A, 0))), 0), 0)))</f>
        <v>0</v>
      </c>
      <c r="R221" s="6">
        <f>MIN(0, N221+(IFERROR(IF(4*INDEX('UA-normalized'!$D:$D, MATCH($A221, 'UA-normalized'!$A:$A, 0))-INDEX('UA-normalized'!$E:$E, MATCH($A221, 'UA-normalized'!$A:$A, 0))&gt;0, -(4*INDEX('UA-normalized'!$D:$D, MATCH($A221, 'UA-normalized'!$A:$A, 0))-INDEX('UA-normalized'!$E:$E, MATCH($A221, 'UA-normalized'!$A:$A, 0))), 0), 0))+(IFERROR(IF(4*INDEX('KZ-normalized'!$D:$D, MATCH($A221, 'KZ-normalized'!$A:$A, 0))-INDEX('KZ-normalized'!$E:$E, MATCH($A221, 'KZ-normalized'!$A:$A, 0))&gt;0, -(4*INDEX('KZ-normalized'!$D:$D, MATCH($A221, 'KZ-normalized'!$A:$A, 0))-INDEX('KZ-normalized'!$E:$E, MATCH($A221, 'KZ-normalized'!$A:$A, 0))), 0), 0))+(IFERROR(IF(4*INDEX('UZ-normalized'!$D:$D, MATCH($A221, 'UZ-normalized'!$A:$A, 0))-INDEX('UZ-normalized'!$E:$E, MATCH($A221, 'UZ-normalized'!$A:$A, 0))&gt;0, -(4*INDEX('UZ-normalized'!$D:$D, MATCH($A221, 'UZ-normalized'!$A:$A, 0))-INDEX('UZ-normalized'!$E:$E, MATCH($A221, 'UZ-normalized'!$A:$A, 0))), 0), 0)))</f>
        <v>0</v>
      </c>
      <c r="S221" s="6">
        <f>MIN(0, N221+(IFERROR(IF(5*INDEX('UA-normalized'!$D:$D, MATCH($A221, 'UA-normalized'!$A:$A, 0))-INDEX('UA-normalized'!$E:$E, MATCH($A221, 'UA-normalized'!$A:$A, 0))&gt;0, -(5*INDEX('UA-normalized'!$D:$D, MATCH($A221, 'UA-normalized'!$A:$A, 0))-INDEX('UA-normalized'!$E:$E, MATCH($A221, 'UA-normalized'!$A:$A, 0))), 0), 0))+(IFERROR(IF(5*INDEX('KZ-normalized'!$D:$D, MATCH($A221, 'KZ-normalized'!$A:$A, 0))-INDEX('KZ-normalized'!$E:$E, MATCH($A221, 'KZ-normalized'!$A:$A, 0))&gt;0, -(5*INDEX('KZ-normalized'!$D:$D, MATCH($A221, 'KZ-normalized'!$A:$A, 0))-INDEX('KZ-normalized'!$E:$E, MATCH($A221, 'KZ-normalized'!$A:$A, 0))), 0), 0))+(IFERROR(IF(5*INDEX('UZ-normalized'!$D:$D, MATCH($A221, 'UZ-normalized'!$A:$A, 0))-INDEX('UZ-normalized'!$E:$E, MATCH($A221, 'UZ-normalized'!$A:$A, 0))&gt;0, -(5*INDEX('UZ-normalized'!$D:$D, MATCH($A221, 'UZ-normalized'!$A:$A, 0))-INDEX('UZ-normalized'!$E:$E, MATCH($A221, 'UZ-normalized'!$A:$A, 0))), 0), 0)))</f>
        <v>0</v>
      </c>
      <c r="T221" s="6">
        <f>MIN(0, N221+(IFERROR(IF(6*INDEX('UA-normalized'!$D:$D, MATCH($A221, 'UA-normalized'!$A:$A, 0))-INDEX('UA-normalized'!$E:$E, MATCH($A221, 'UA-normalized'!$A:$A, 0))&gt;0, -(6*INDEX('UA-normalized'!$D:$D, MATCH($A221, 'UA-normalized'!$A:$A, 0))-INDEX('UA-normalized'!$E:$E, MATCH($A221, 'UA-normalized'!$A:$A, 0))), 0), 0))+(IFERROR(IF(6*INDEX('KZ-normalized'!$D:$D, MATCH($A221, 'KZ-normalized'!$A:$A, 0))-INDEX('KZ-normalized'!$E:$E, MATCH($A221, 'KZ-normalized'!$A:$A, 0))&gt;0, -(6*INDEX('KZ-normalized'!$D:$D, MATCH($A221, 'KZ-normalized'!$A:$A, 0))-INDEX('KZ-normalized'!$E:$E, MATCH($A221, 'KZ-normalized'!$A:$A, 0))), 0), 0))+(IFERROR(IF(6*INDEX('UZ-normalized'!$D:$D, MATCH($A221, 'UZ-normalized'!$A:$A, 0))-INDEX('UZ-normalized'!$E:$E, MATCH($A221, 'UZ-normalized'!$A:$A, 0))&gt;0, -(6*INDEX('UZ-normalized'!$D:$D, MATCH($A221, 'UZ-normalized'!$A:$A, 0))-INDEX('UZ-normalized'!$E:$E, MATCH($A221, 'UZ-normalized'!$A:$A, 0))), 0), 0)))</f>
        <v>0</v>
      </c>
      <c r="U221" s="6">
        <f>MIN(0, N221+(IFERROR(IF(7*INDEX('UA-normalized'!$D:$D, MATCH($A221, 'UA-normalized'!$A:$A, 0))-INDEX('UA-normalized'!$E:$E, MATCH($A221, 'UA-normalized'!$A:$A, 0))&gt;0, -(7*INDEX('UA-normalized'!$D:$D, MATCH($A221, 'UA-normalized'!$A:$A, 0))-INDEX('UA-normalized'!$E:$E, MATCH($A221, 'UA-normalized'!$A:$A, 0))), 0), 0))+(IFERROR(IF(7*INDEX('KZ-normalized'!$D:$D, MATCH($A221, 'KZ-normalized'!$A:$A, 0))-INDEX('KZ-normalized'!$E:$E, MATCH($A221, 'KZ-normalized'!$A:$A, 0))&gt;0, -(7*INDEX('KZ-normalized'!$D:$D, MATCH($A221, 'KZ-normalized'!$A:$A, 0))-INDEX('KZ-normalized'!$E:$E, MATCH($A221, 'KZ-normalized'!$A:$A, 0))), 0), 0))+(IFERROR(IF(7*INDEX('UZ-normalized'!$D:$D, MATCH($A221, 'UZ-normalized'!$A:$A, 0))-INDEX('UZ-normalized'!$E:$E, MATCH($A221, 'UZ-normalized'!$A:$A, 0))&gt;0, -(7*INDEX('UZ-normalized'!$D:$D, MATCH($A221, 'UZ-normalized'!$A:$A, 0))-INDEX('UZ-normalized'!$E:$E, MATCH($A221, 'UZ-normalized'!$A:$A, 0))), 0), 0)))</f>
        <v>0</v>
      </c>
      <c r="V221" s="6">
        <f>MIN(0, N221+(IFERROR(IF(8*INDEX('UA-normalized'!$D:$D, MATCH($A221, 'UA-normalized'!$A:$A, 0))-INDEX('UA-normalized'!$E:$E, MATCH($A221, 'UA-normalized'!$A:$A, 0))&gt;0, -(8*INDEX('UA-normalized'!$D:$D, MATCH($A221, 'UA-normalized'!$A:$A, 0))-INDEX('UA-normalized'!$E:$E, MATCH($A221, 'UA-normalized'!$A:$A, 0))), 0), 0))+(IFERROR(IF(8*INDEX('KZ-normalized'!$D:$D, MATCH($A221, 'KZ-normalized'!$A:$A, 0))-INDEX('KZ-normalized'!$E:$E, MATCH($A221, 'KZ-normalized'!$A:$A, 0))&gt;0, -(8*INDEX('KZ-normalized'!$D:$D, MATCH($A221, 'KZ-normalized'!$A:$A, 0))-INDEX('KZ-normalized'!$E:$E, MATCH($A221, 'KZ-normalized'!$A:$A, 0))), 0), 0))+(IFERROR(IF(8*INDEX('UZ-normalized'!$D:$D, MATCH($A221, 'UZ-normalized'!$A:$A, 0))-INDEX('UZ-normalized'!$E:$E, MATCH($A221, 'UZ-normalized'!$A:$A, 0))&gt;0, -(8*INDEX('UZ-normalized'!$D:$D, MATCH($A221, 'UZ-normalized'!$A:$A, 0))-INDEX('UZ-normalized'!$E:$E, MATCH($A221, 'UZ-normalized'!$A:$A, 0))), 0), 0)))</f>
        <v>0</v>
      </c>
      <c r="W221" s="6">
        <f>MIN(0, N221+(IFERROR(IF(9*INDEX('UA-normalized'!$D:$D, MATCH($A221, 'UA-normalized'!$A:$A, 0))-INDEX('UA-normalized'!$E:$E, MATCH($A221, 'UA-normalized'!$A:$A, 0))&gt;0, -(9*INDEX('UA-normalized'!$D:$D, MATCH($A221, 'UA-normalized'!$A:$A, 0))-INDEX('UA-normalized'!$E:$E, MATCH($A221, 'UA-normalized'!$A:$A, 0))), 0), 0))+(IFERROR(IF(9*INDEX('KZ-normalized'!$D:$D, MATCH($A221, 'KZ-normalized'!$A:$A, 0))-INDEX('KZ-normalized'!$E:$E, MATCH($A221, 'KZ-normalized'!$A:$A, 0))&gt;0, -(9*INDEX('KZ-normalized'!$D:$D, MATCH($A221, 'KZ-normalized'!$A:$A, 0))-INDEX('KZ-normalized'!$E:$E, MATCH($A221, 'KZ-normalized'!$A:$A, 0))), 0), 0))+(IFERROR(IF(9*INDEX('UZ-normalized'!$D:$D, MATCH($A221, 'UZ-normalized'!$A:$A, 0))-INDEX('UZ-normalized'!$E:$E, MATCH($A221, 'UZ-normalized'!$A:$A, 0))&gt;0, -(9*INDEX('UZ-normalized'!$D:$D, MATCH($A221, 'UZ-normalized'!$A:$A, 0))-INDEX('UZ-normalized'!$E:$E, MATCH($A221, 'UZ-normalized'!$A:$A, 0))), 0), 0)))</f>
        <v>0</v>
      </c>
      <c r="X221" s="6">
        <f>MIN(0, N221+(IFERROR(IF(10*INDEX('UA-normalized'!$D:$D, MATCH($A221, 'UA-normalized'!$A:$A, 0))-INDEX('UA-normalized'!$E:$E, MATCH($A221, 'UA-normalized'!$A:$A, 0))&gt;0, -(10*INDEX('UA-normalized'!$D:$D, MATCH($A221, 'UA-normalized'!$A:$A, 0))-INDEX('UA-normalized'!$E:$E, MATCH($A221, 'UA-normalized'!$A:$A, 0))), 0), 0))+(IFERROR(IF(10*INDEX('KZ-normalized'!$D:$D, MATCH($A221, 'KZ-normalized'!$A:$A, 0))-INDEX('KZ-normalized'!$E:$E, MATCH($A221, 'KZ-normalized'!$A:$A, 0))&gt;0, -(10*INDEX('KZ-normalized'!$D:$D, MATCH($A221, 'KZ-normalized'!$A:$A, 0))-INDEX('KZ-normalized'!$E:$E, MATCH($A221, 'KZ-normalized'!$A:$A, 0))), 0), 0))+(IFERROR(IF(10*INDEX('UZ-normalized'!$D:$D, MATCH($A221, 'UZ-normalized'!$A:$A, 0))-INDEX('UZ-normalized'!$E:$E, MATCH($A221, 'UZ-normalized'!$A:$A, 0))&gt;0, -(10*INDEX('UZ-normalized'!$D:$D, MATCH($A221, 'UZ-normalized'!$A:$A, 0))-INDEX('UZ-normalized'!$E:$E, MATCH($A221, 'UZ-normalized'!$A:$A, 0))), 0), 0)))</f>
        <v>0</v>
      </c>
      <c r="Y221" s="6">
        <f>MIN(0, N221+(IFERROR(IF(11*INDEX('UA-normalized'!$D:$D, MATCH($A221, 'UA-normalized'!$A:$A, 0))-INDEX('UA-normalized'!$E:$E, MATCH($A221, 'UA-normalized'!$A:$A, 0))&gt;0, -(11*INDEX('UA-normalized'!$D:$D, MATCH($A221, 'UA-normalized'!$A:$A, 0))-INDEX('UA-normalized'!$E:$E, MATCH($A221, 'UA-normalized'!$A:$A, 0))), 0), 0))+(IFERROR(IF(11*INDEX('KZ-normalized'!$D:$D, MATCH($A221, 'KZ-normalized'!$A:$A, 0))-INDEX('KZ-normalized'!$E:$E, MATCH($A221, 'KZ-normalized'!$A:$A, 0))&gt;0, -(11*INDEX('KZ-normalized'!$D:$D, MATCH($A221, 'KZ-normalized'!$A:$A, 0))-INDEX('KZ-normalized'!$E:$E, MATCH($A221, 'KZ-normalized'!$A:$A, 0))), 0), 0))+(IFERROR(IF(11*INDEX('UZ-normalized'!$D:$D, MATCH($A221, 'UZ-normalized'!$A:$A, 0))-INDEX('UZ-normalized'!$E:$E, MATCH($A221, 'UZ-normalized'!$A:$A, 0))&gt;0, -(11*INDEX('UZ-normalized'!$D:$D, MATCH($A221, 'UZ-normalized'!$A:$A, 0))-INDEX('UZ-normalized'!$E:$E, MATCH($A221, 'UZ-normalized'!$A:$A, 0))), 0), 0)))</f>
        <v>0</v>
      </c>
      <c r="Z221" s="6">
        <f>MIN(0, N221+(IFERROR(IF(12*INDEX('UA-normalized'!$D:$D, MATCH($A221, 'UA-normalized'!$A:$A, 0))-INDEX('UA-normalized'!$E:$E, MATCH($A221, 'UA-normalized'!$A:$A, 0))&gt;0, -(12*INDEX('UA-normalized'!$D:$D, MATCH($A221, 'UA-normalized'!$A:$A, 0))-INDEX('UA-normalized'!$E:$E, MATCH($A221, 'UA-normalized'!$A:$A, 0))), 0), 0))+(IFERROR(IF(12*INDEX('KZ-normalized'!$D:$D, MATCH($A221, 'KZ-normalized'!$A:$A, 0))-INDEX('KZ-normalized'!$E:$E, MATCH($A221, 'KZ-normalized'!$A:$A, 0))&gt;0, -(12*INDEX('KZ-normalized'!$D:$D, MATCH($A221, 'KZ-normalized'!$A:$A, 0))-INDEX('KZ-normalized'!$E:$E, MATCH($A221, 'KZ-normalized'!$A:$A, 0))), 0), 0))+(IFERROR(IF(12*INDEX('UZ-normalized'!$D:$D, MATCH($A221, 'UZ-normalized'!$A:$A, 0))-INDEX('UZ-normalized'!$E:$E, MATCH($A221, 'UZ-normalized'!$A:$A, 0))&gt;0, -(12*INDEX('UZ-normalized'!$D:$D, MATCH($A221, 'UZ-normalized'!$A:$A, 0))-INDEX('UZ-normalized'!$E:$E, MATCH($A221, 'UZ-normalized'!$A:$A, 0))), 0), 0)))</f>
        <v>0</v>
      </c>
      <c r="AA221" s="6">
        <f>MIN(0, N221+(IFERROR(IF(13*INDEX('UA-normalized'!$D:$D, MATCH($A221, 'UA-normalized'!$A:$A, 0))-INDEX('UA-normalized'!$E:$E, MATCH($A221, 'UA-normalized'!$A:$A, 0))&gt;0, -(13*INDEX('UA-normalized'!$D:$D, MATCH($A221, 'UA-normalized'!$A:$A, 0))-INDEX('UA-normalized'!$E:$E, MATCH($A221, 'UA-normalized'!$A:$A, 0))), 0), 0))+(IFERROR(IF(13*INDEX('KZ-normalized'!$D:$D, MATCH($A221, 'KZ-normalized'!$A:$A, 0))-INDEX('KZ-normalized'!$E:$E, MATCH($A221, 'KZ-normalized'!$A:$A, 0))&gt;0, -(13*INDEX('KZ-normalized'!$D:$D, MATCH($A221, 'KZ-normalized'!$A:$A, 0))-INDEX('KZ-normalized'!$E:$E, MATCH($A221, 'KZ-normalized'!$A:$A, 0))), 0), 0))+(IFERROR(IF(13*INDEX('UZ-normalized'!$D:$D, MATCH($A221, 'UZ-normalized'!$A:$A, 0))-INDEX('UZ-normalized'!$E:$E, MATCH($A221, 'UZ-normalized'!$A:$A, 0))&gt;0, -(13*INDEX('UZ-normalized'!$D:$D, MATCH($A221, 'UZ-normalized'!$A:$A, 0))-INDEX('UZ-normalized'!$E:$E, MATCH($A221, 'UZ-normalized'!$A:$A, 0))), 0), 0)))</f>
        <v>0</v>
      </c>
      <c r="AB221" s="6">
        <f>MIN(0, N221+(IFERROR(IF(14*INDEX('UA-normalized'!$D:$D, MATCH($A221, 'UA-normalized'!$A:$A, 0))-INDEX('UA-normalized'!$E:$E, MATCH($A221, 'UA-normalized'!$A:$A, 0))&gt;0, -(14*INDEX('UA-normalized'!$D:$D, MATCH($A221, 'UA-normalized'!$A:$A, 0))-INDEX('UA-normalized'!$E:$E, MATCH($A221, 'UA-normalized'!$A:$A, 0))), 0), 0))+(IFERROR(IF(14*INDEX('KZ-normalized'!$D:$D, MATCH($A221, 'KZ-normalized'!$A:$A, 0))-INDEX('KZ-normalized'!$E:$E, MATCH($A221, 'KZ-normalized'!$A:$A, 0))&gt;0, -(14*INDEX('KZ-normalized'!$D:$D, MATCH($A221, 'KZ-normalized'!$A:$A, 0))-INDEX('KZ-normalized'!$E:$E, MATCH($A221, 'KZ-normalized'!$A:$A, 0))), 0), 0))+(IFERROR(IF(14*INDEX('UZ-normalized'!$D:$D, MATCH($A221, 'UZ-normalized'!$A:$A, 0))-INDEX('UZ-normalized'!$E:$E, MATCH($A221, 'UZ-normalized'!$A:$A, 0))&gt;0, -(14*INDEX('UZ-normalized'!$D:$D, MATCH($A221, 'UZ-normalized'!$A:$A, 0))-INDEX('UZ-normalized'!$E:$E, MATCH($A221, 'UZ-normalized'!$A:$A, 0))), 0), 0)))</f>
        <v>0</v>
      </c>
      <c r="AC221" s="6">
        <f>MIN(0, N221+(IFERROR(IF(15*INDEX('UA-normalized'!$D:$D, MATCH($A221, 'UA-normalized'!$A:$A, 0))-INDEX('UA-normalized'!$E:$E, MATCH($A221, 'UA-normalized'!$A:$A, 0))&gt;0, -(15*INDEX('UA-normalized'!$D:$D, MATCH($A221, 'UA-normalized'!$A:$A, 0))-INDEX('UA-normalized'!$E:$E, MATCH($A221, 'UA-normalized'!$A:$A, 0))), 0), 0))+(IFERROR(IF(15*INDEX('KZ-normalized'!$D:$D, MATCH($A221, 'KZ-normalized'!$A:$A, 0))-INDEX('KZ-normalized'!$E:$E, MATCH($A221, 'KZ-normalized'!$A:$A, 0))&gt;0, -(15*INDEX('KZ-normalized'!$D:$D, MATCH($A221, 'KZ-normalized'!$A:$A, 0))-INDEX('KZ-normalized'!$E:$E, MATCH($A221, 'KZ-normalized'!$A:$A, 0))), 0), 0))+(IFERROR(IF(15*INDEX('UZ-normalized'!$D:$D, MATCH($A221, 'UZ-normalized'!$A:$A, 0))-INDEX('UZ-normalized'!$E:$E, MATCH($A221, 'UZ-normalized'!$A:$A, 0))&gt;0, -(15*INDEX('UZ-normalized'!$D:$D, MATCH($A221, 'UZ-normalized'!$A:$A, 0))-INDEX('UZ-normalized'!$E:$E, MATCH($A221, 'UZ-normalized'!$A:$A, 0))), 0), 0)))</f>
        <v>0</v>
      </c>
      <c r="AD221" s="6">
        <f>MIN(0, N221+(IFERROR(IF(16*INDEX('UA-normalized'!$D:$D, MATCH($A221, 'UA-normalized'!$A:$A, 0))-INDEX('UA-normalized'!$E:$E, MATCH($A221, 'UA-normalized'!$A:$A, 0))&gt;0, -(16*INDEX('UA-normalized'!$D:$D, MATCH($A221, 'UA-normalized'!$A:$A, 0))-INDEX('UA-normalized'!$E:$E, MATCH($A221, 'UA-normalized'!$A:$A, 0))), 0), 0))+(IFERROR(IF(16*INDEX('KZ-normalized'!$D:$D, MATCH($A221, 'KZ-normalized'!$A:$A, 0))-INDEX('KZ-normalized'!$E:$E, MATCH($A221, 'KZ-normalized'!$A:$A, 0))&gt;0, -(16*INDEX('KZ-normalized'!$D:$D, MATCH($A221, 'KZ-normalized'!$A:$A, 0))-INDEX('KZ-normalized'!$E:$E, MATCH($A221, 'KZ-normalized'!$A:$A, 0))), 0), 0))+(IFERROR(IF(16*INDEX('UZ-normalized'!$D:$D, MATCH($A221, 'UZ-normalized'!$A:$A, 0))-INDEX('UZ-normalized'!$E:$E, MATCH($A221, 'UZ-normalized'!$A:$A, 0))&gt;0, -(16*INDEX('UZ-normalized'!$D:$D, MATCH($A221, 'UZ-normalized'!$A:$A, 0))-INDEX('UZ-normalized'!$E:$E, MATCH($A221, 'UZ-normalized'!$A:$A, 0))), 0), 0)))</f>
        <v>0</v>
      </c>
      <c r="AE221" s="6">
        <f>MIN(0, N221+(IFERROR(IF(17*INDEX('UA-normalized'!$D:$D, MATCH($A221, 'UA-normalized'!$A:$A, 0))-INDEX('UA-normalized'!$E:$E, MATCH($A221, 'UA-normalized'!$A:$A, 0))&gt;0, -(17*INDEX('UA-normalized'!$D:$D, MATCH($A221, 'UA-normalized'!$A:$A, 0))-INDEX('UA-normalized'!$E:$E, MATCH($A221, 'UA-normalized'!$A:$A, 0))), 0), 0))+(IFERROR(IF(17*INDEX('KZ-normalized'!$D:$D, MATCH($A221, 'KZ-normalized'!$A:$A, 0))-INDEX('KZ-normalized'!$E:$E, MATCH($A221, 'KZ-normalized'!$A:$A, 0))&gt;0, -(17*INDEX('KZ-normalized'!$D:$D, MATCH($A221, 'KZ-normalized'!$A:$A, 0))-INDEX('KZ-normalized'!$E:$E, MATCH($A221, 'KZ-normalized'!$A:$A, 0))), 0), 0))+(IFERROR(IF(17*INDEX('UZ-normalized'!$D:$D, MATCH($A221, 'UZ-normalized'!$A:$A, 0))-INDEX('UZ-normalized'!$E:$E, MATCH($A221, 'UZ-normalized'!$A:$A, 0))&gt;0, -(17*INDEX('UZ-normalized'!$D:$D, MATCH($A221, 'UZ-normalized'!$A:$A, 0))-INDEX('UZ-normalized'!$E:$E, MATCH($A221, 'UZ-normalized'!$A:$A, 0))), 0), 0)))</f>
        <v>0</v>
      </c>
      <c r="AF221" s="6">
        <f>MIN(0, N221+(IFERROR(IF(18*INDEX('UA-normalized'!$D:$D, MATCH($A221, 'UA-normalized'!$A:$A, 0))-INDEX('UA-normalized'!$E:$E, MATCH($A221, 'UA-normalized'!$A:$A, 0))&gt;0, -(18*INDEX('UA-normalized'!$D:$D, MATCH($A221, 'UA-normalized'!$A:$A, 0))-INDEX('UA-normalized'!$E:$E, MATCH($A221, 'UA-normalized'!$A:$A, 0))), 0), 0))+(IFERROR(IF(18*INDEX('KZ-normalized'!$D:$D, MATCH($A221, 'KZ-normalized'!$A:$A, 0))-INDEX('KZ-normalized'!$E:$E, MATCH($A221, 'KZ-normalized'!$A:$A, 0))&gt;0, -(18*INDEX('KZ-normalized'!$D:$D, MATCH($A221, 'KZ-normalized'!$A:$A, 0))-INDEX('KZ-normalized'!$E:$E, MATCH($A221, 'KZ-normalized'!$A:$A, 0))), 0), 0))+(IFERROR(IF(18*INDEX('UZ-normalized'!$D:$D, MATCH($A221, 'UZ-normalized'!$A:$A, 0))-INDEX('UZ-normalized'!$E:$E, MATCH($A221, 'UZ-normalized'!$A:$A, 0))&gt;0, -(18*INDEX('UZ-normalized'!$D:$D, MATCH($A221, 'UZ-normalized'!$A:$A, 0))-INDEX('UZ-normalized'!$E:$E, MATCH($A221, 'UZ-normalized'!$A:$A, 0))), 0), 0)))</f>
        <v>0</v>
      </c>
      <c r="AG221" s="6">
        <f>MIN(0, N221+(IFERROR(IF(19*INDEX('UA-normalized'!$D:$D, MATCH($A221, 'UA-normalized'!$A:$A, 0))-INDEX('UA-normalized'!$E:$E, MATCH($A221, 'UA-normalized'!$A:$A, 0))&gt;0, -(19*INDEX('UA-normalized'!$D:$D, MATCH($A221, 'UA-normalized'!$A:$A, 0))-INDEX('UA-normalized'!$E:$E, MATCH($A221, 'UA-normalized'!$A:$A, 0))), 0), 0))+(IFERROR(IF(19*INDEX('KZ-normalized'!$D:$D, MATCH($A221, 'KZ-normalized'!$A:$A, 0))-INDEX('KZ-normalized'!$E:$E, MATCH($A221, 'KZ-normalized'!$A:$A, 0))&gt;0, -(19*INDEX('KZ-normalized'!$D:$D, MATCH($A221, 'KZ-normalized'!$A:$A, 0))-INDEX('KZ-normalized'!$E:$E, MATCH($A221, 'KZ-normalized'!$A:$A, 0))), 0), 0))+(IFERROR(IF(19*INDEX('UZ-normalized'!$D:$D, MATCH($A221, 'UZ-normalized'!$A:$A, 0))-INDEX('UZ-normalized'!$E:$E, MATCH($A221, 'UZ-normalized'!$A:$A, 0))&gt;0, -(19*INDEX('UZ-normalized'!$D:$D, MATCH($A221, 'UZ-normalized'!$A:$A, 0))-INDEX('UZ-normalized'!$E:$E, MATCH($A221, 'UZ-normalized'!$A:$A, 0))), 0), 0)))</f>
        <v>0</v>
      </c>
      <c r="AH221" s="6">
        <f>MIN(0, N221+(IFERROR(IF(20*INDEX('UA-normalized'!$D:$D, MATCH($A221, 'UA-normalized'!$A:$A, 0))-INDEX('UA-normalized'!$E:$E, MATCH($A221, 'UA-normalized'!$A:$A, 0))&gt;0, -(20*INDEX('UA-normalized'!$D:$D, MATCH($A221, 'UA-normalized'!$A:$A, 0))-INDEX('UA-normalized'!$E:$E, MATCH($A221, 'UA-normalized'!$A:$A, 0))), 0), 0))+(IFERROR(IF(20*INDEX('KZ-normalized'!$D:$D, MATCH($A221, 'KZ-normalized'!$A:$A, 0))-INDEX('KZ-normalized'!$E:$E, MATCH($A221, 'KZ-normalized'!$A:$A, 0))&gt;0, -(20*INDEX('KZ-normalized'!$D:$D, MATCH($A221, 'KZ-normalized'!$A:$A, 0))-INDEX('KZ-normalized'!$E:$E, MATCH($A221, 'KZ-normalized'!$A:$A, 0))), 0), 0))+(IFERROR(IF(20*INDEX('UZ-normalized'!$D:$D, MATCH($A221, 'UZ-normalized'!$A:$A, 0))-INDEX('UZ-normalized'!$E:$E, MATCH($A221, 'UZ-normalized'!$A:$A, 0))&gt;0, -(20*INDEX('UZ-normalized'!$D:$D, MATCH($A221, 'UZ-normalized'!$A:$A, 0))-INDEX('UZ-normalized'!$E:$E, MATCH($A221, 'UZ-normalized'!$A:$A, 0))), 0), 0)))</f>
        <v>0</v>
      </c>
      <c r="AI221" s="6">
        <f>MIN(0, N221+(IFERROR(IF(21*INDEX('UA-normalized'!$D:$D, MATCH($A221, 'UA-normalized'!$A:$A, 0))-INDEX('UA-normalized'!$E:$E, MATCH($A221, 'UA-normalized'!$A:$A, 0))&gt;0, -(21*INDEX('UA-normalized'!$D:$D, MATCH($A221, 'UA-normalized'!$A:$A, 0))-INDEX('UA-normalized'!$E:$E, MATCH($A221, 'UA-normalized'!$A:$A, 0))), 0), 0))+(IFERROR(IF(21*INDEX('KZ-normalized'!$D:$D, MATCH($A221, 'KZ-normalized'!$A:$A, 0))-INDEX('KZ-normalized'!$E:$E, MATCH($A221, 'KZ-normalized'!$A:$A, 0))&gt;0, -(21*INDEX('KZ-normalized'!$D:$D, MATCH($A221, 'KZ-normalized'!$A:$A, 0))-INDEX('KZ-normalized'!$E:$E, MATCH($A221, 'KZ-normalized'!$A:$A, 0))), 0), 0))+(IFERROR(IF(21*INDEX('UZ-normalized'!$D:$D, MATCH($A221, 'UZ-normalized'!$A:$A, 0))-INDEX('UZ-normalized'!$E:$E, MATCH($A221, 'UZ-normalized'!$A:$A, 0))&gt;0, -(21*INDEX('UZ-normalized'!$D:$D, MATCH($A221, 'UZ-normalized'!$A:$A, 0))-INDEX('UZ-normalized'!$E:$E, MATCH($A221, 'UZ-normalized'!$A:$A, 0))), 0), 0)))</f>
        <v>0</v>
      </c>
      <c r="AJ221" s="6">
        <f>MIN(0, N221+(IFERROR(IF(22*INDEX('UA-normalized'!$D:$D, MATCH($A221, 'UA-normalized'!$A:$A, 0))-INDEX('UA-normalized'!$E:$E, MATCH($A221, 'UA-normalized'!$A:$A, 0))&gt;0, -(22*INDEX('UA-normalized'!$D:$D, MATCH($A221, 'UA-normalized'!$A:$A, 0))-INDEX('UA-normalized'!$E:$E, MATCH($A221, 'UA-normalized'!$A:$A, 0))), 0), 0))+(IFERROR(IF(22*INDEX('KZ-normalized'!$D:$D, MATCH($A221, 'KZ-normalized'!$A:$A, 0))-INDEX('KZ-normalized'!$E:$E, MATCH($A221, 'KZ-normalized'!$A:$A, 0))&gt;0, -(22*INDEX('KZ-normalized'!$D:$D, MATCH($A221, 'KZ-normalized'!$A:$A, 0))-INDEX('KZ-normalized'!$E:$E, MATCH($A221, 'KZ-normalized'!$A:$A, 0))), 0), 0))+(IFERROR(IF(22*INDEX('UZ-normalized'!$D:$D, MATCH($A221, 'UZ-normalized'!$A:$A, 0))-INDEX('UZ-normalized'!$E:$E, MATCH($A221, 'UZ-normalized'!$A:$A, 0))&gt;0, -(22*INDEX('UZ-normalized'!$D:$D, MATCH($A221, 'UZ-normalized'!$A:$A, 0))-INDEX('UZ-normalized'!$E:$E, MATCH($A221, 'UZ-normalized'!$A:$A, 0))), 0), 0)))</f>
        <v>0</v>
      </c>
      <c r="AK221" s="6">
        <f>MIN(0, N221+(IFERROR(IF(23*INDEX('UA-normalized'!$D:$D, MATCH($A221, 'UA-normalized'!$A:$A, 0))-INDEX('UA-normalized'!$E:$E, MATCH($A221, 'UA-normalized'!$A:$A, 0))&gt;0, -(23*INDEX('UA-normalized'!$D:$D, MATCH($A221, 'UA-normalized'!$A:$A, 0))-INDEX('UA-normalized'!$E:$E, MATCH($A221, 'UA-normalized'!$A:$A, 0))), 0), 0))+(IFERROR(IF(23*INDEX('KZ-normalized'!$D:$D, MATCH($A221, 'KZ-normalized'!$A:$A, 0))-INDEX('KZ-normalized'!$E:$E, MATCH($A221, 'KZ-normalized'!$A:$A, 0))&gt;0, -(23*INDEX('KZ-normalized'!$D:$D, MATCH($A221, 'KZ-normalized'!$A:$A, 0))-INDEX('KZ-normalized'!$E:$E, MATCH($A221, 'KZ-normalized'!$A:$A, 0))), 0), 0))+(IFERROR(IF(23*INDEX('UZ-normalized'!$D:$D, MATCH($A221, 'UZ-normalized'!$A:$A, 0))-INDEX('UZ-normalized'!$E:$E, MATCH($A221, 'UZ-normalized'!$A:$A, 0))&gt;0, -(23*INDEX('UZ-normalized'!$D:$D, MATCH($A221, 'UZ-normalized'!$A:$A, 0))-INDEX('UZ-normalized'!$E:$E, MATCH($A221, 'UZ-normalized'!$A:$A, 0))), 0), 0)))</f>
        <v>0</v>
      </c>
      <c r="AL221" s="6">
        <f>MIN(0, N221+(IFERROR(IF(24*INDEX('UA-normalized'!$D:$D, MATCH($A221, 'UA-normalized'!$A:$A, 0))-INDEX('UA-normalized'!$E:$E, MATCH($A221, 'UA-normalized'!$A:$A, 0))&gt;0, -(24*INDEX('UA-normalized'!$D:$D, MATCH($A221, 'UA-normalized'!$A:$A, 0))-INDEX('UA-normalized'!$E:$E, MATCH($A221, 'UA-normalized'!$A:$A, 0))), 0), 0))+(IFERROR(IF(24*INDEX('KZ-normalized'!$D:$D, MATCH($A221, 'KZ-normalized'!$A:$A, 0))-INDEX('KZ-normalized'!$E:$E, MATCH($A221, 'KZ-normalized'!$A:$A, 0))&gt;0, -(24*INDEX('KZ-normalized'!$D:$D, MATCH($A221, 'KZ-normalized'!$A:$A, 0))-INDEX('KZ-normalized'!$E:$E, MATCH($A221, 'KZ-normalized'!$A:$A, 0))), 0), 0))+(IFERROR(IF(24*INDEX('UZ-normalized'!$D:$D, MATCH($A221, 'UZ-normalized'!$A:$A, 0))-INDEX('UZ-normalized'!$E:$E, MATCH($A221, 'UZ-normalized'!$A:$A, 0))&gt;0, -(24*INDEX('UZ-normalized'!$D:$D, MATCH($A221, 'UZ-normalized'!$A:$A, 0))-INDEX('UZ-normalized'!$E:$E, MATCH($A221, 'UZ-normalized'!$A:$A, 0))), 0), 0)))</f>
        <v>0</v>
      </c>
      <c r="AM221" s="6">
        <f>MIN(0, N221+(IFERROR(IF(25*INDEX('UA-normalized'!$D:$D, MATCH($A221, 'UA-normalized'!$A:$A, 0))-INDEX('UA-normalized'!$E:$E, MATCH($A221, 'UA-normalized'!$A:$A, 0))&gt;0, -(25*INDEX('UA-normalized'!$D:$D, MATCH($A221, 'UA-normalized'!$A:$A, 0))-INDEX('UA-normalized'!$E:$E, MATCH($A221, 'UA-normalized'!$A:$A, 0))), 0), 0))+(IFERROR(IF(25*INDEX('KZ-normalized'!$D:$D, MATCH($A221, 'KZ-normalized'!$A:$A, 0))-INDEX('KZ-normalized'!$E:$E, MATCH($A221, 'KZ-normalized'!$A:$A, 0))&gt;0, -(25*INDEX('KZ-normalized'!$D:$D, MATCH($A221, 'KZ-normalized'!$A:$A, 0))-INDEX('KZ-normalized'!$E:$E, MATCH($A221, 'KZ-normalized'!$A:$A, 0))), 0), 0))+(IFERROR(IF(25*INDEX('UZ-normalized'!$D:$D, MATCH($A221, 'UZ-normalized'!$A:$A, 0))-INDEX('UZ-normalized'!$E:$E, MATCH($A221, 'UZ-normalized'!$A:$A, 0))&gt;0, -(25*INDEX('UZ-normalized'!$D:$D, MATCH($A221, 'UZ-normalized'!$A:$A, 0))-INDEX('UZ-normalized'!$E:$E, MATCH($A221, 'UZ-normalized'!$A:$A, 0))), 0), 0)))</f>
        <v>0</v>
      </c>
      <c r="AN221" s="6">
        <f>MIN(0, N221+(IFERROR(IF(26*INDEX('UA-normalized'!$D:$D, MATCH($A221, 'UA-normalized'!$A:$A, 0))-INDEX('UA-normalized'!$E:$E, MATCH($A221, 'UA-normalized'!$A:$A, 0))&gt;0, -(26*INDEX('UA-normalized'!$D:$D, MATCH($A221, 'UA-normalized'!$A:$A, 0))-INDEX('UA-normalized'!$E:$E, MATCH($A221, 'UA-normalized'!$A:$A, 0))), 0), 0))+(IFERROR(IF(26*INDEX('KZ-normalized'!$D:$D, MATCH($A221, 'KZ-normalized'!$A:$A, 0))-INDEX('KZ-normalized'!$E:$E, MATCH($A221, 'KZ-normalized'!$A:$A, 0))&gt;0, -(26*INDEX('KZ-normalized'!$D:$D, MATCH($A221, 'KZ-normalized'!$A:$A, 0))-INDEX('KZ-normalized'!$E:$E, MATCH($A221, 'KZ-normalized'!$A:$A, 0))), 0), 0))+(IFERROR(IF(26*INDEX('UZ-normalized'!$D:$D, MATCH($A221, 'UZ-normalized'!$A:$A, 0))-INDEX('UZ-normalized'!$E:$E, MATCH($A221, 'UZ-normalized'!$A:$A, 0))&gt;0, -(26*INDEX('UZ-normalized'!$D:$D, MATCH($A221, 'UZ-normalized'!$A:$A, 0))-INDEX('UZ-normalized'!$E:$E, MATCH($A221, 'UZ-normalized'!$A:$A, 0))), 0), 0)))</f>
        <v>0</v>
      </c>
      <c r="AO221" s="6">
        <f>MIN(0, N221+(IFERROR(IF(27*INDEX('UA-normalized'!$D:$D, MATCH($A221, 'UA-normalized'!$A:$A, 0))-INDEX('UA-normalized'!$E:$E, MATCH($A221, 'UA-normalized'!$A:$A, 0))&gt;0, -(27*INDEX('UA-normalized'!$D:$D, MATCH($A221, 'UA-normalized'!$A:$A, 0))-INDEX('UA-normalized'!$E:$E, MATCH($A221, 'UA-normalized'!$A:$A, 0))), 0), 0))+(IFERROR(IF(27*INDEX('KZ-normalized'!$D:$D, MATCH($A221, 'KZ-normalized'!$A:$A, 0))-INDEX('KZ-normalized'!$E:$E, MATCH($A221, 'KZ-normalized'!$A:$A, 0))&gt;0, -(27*INDEX('KZ-normalized'!$D:$D, MATCH($A221, 'KZ-normalized'!$A:$A, 0))-INDEX('KZ-normalized'!$E:$E, MATCH($A221, 'KZ-normalized'!$A:$A, 0))), 0), 0))+(IFERROR(IF(27*INDEX('UZ-normalized'!$D:$D, MATCH($A221, 'UZ-normalized'!$A:$A, 0))-INDEX('UZ-normalized'!$E:$E, MATCH($A221, 'UZ-normalized'!$A:$A, 0))&gt;0, -(27*INDEX('UZ-normalized'!$D:$D, MATCH($A221, 'UZ-normalized'!$A:$A, 0))-INDEX('UZ-normalized'!$E:$E, MATCH($A221, 'UZ-normalized'!$A:$A, 0))), 0), 0)))</f>
        <v>0</v>
      </c>
      <c r="AP221" s="6">
        <f>MIN(0, N221+(IFERROR(IF(28*INDEX('UA-normalized'!$D:$D, MATCH($A221, 'UA-normalized'!$A:$A, 0))-INDEX('UA-normalized'!$E:$E, MATCH($A221, 'UA-normalized'!$A:$A, 0))&gt;0, -(28*INDEX('UA-normalized'!$D:$D, MATCH($A221, 'UA-normalized'!$A:$A, 0))-INDEX('UA-normalized'!$E:$E, MATCH($A221, 'UA-normalized'!$A:$A, 0))), 0), 0))+(IFERROR(IF(28*INDEX('KZ-normalized'!$D:$D, MATCH($A221, 'KZ-normalized'!$A:$A, 0))-INDEX('KZ-normalized'!$E:$E, MATCH($A221, 'KZ-normalized'!$A:$A, 0))&gt;0, -(28*INDEX('KZ-normalized'!$D:$D, MATCH($A221, 'KZ-normalized'!$A:$A, 0))-INDEX('KZ-normalized'!$E:$E, MATCH($A221, 'KZ-normalized'!$A:$A, 0))), 0), 0))+(IFERROR(IF(28*INDEX('UZ-normalized'!$D:$D, MATCH($A221, 'UZ-normalized'!$A:$A, 0))-INDEX('UZ-normalized'!$E:$E, MATCH($A221, 'UZ-normalized'!$A:$A, 0))&gt;0, -(28*INDEX('UZ-normalized'!$D:$D, MATCH($A221, 'UZ-normalized'!$A:$A, 0))-INDEX('UZ-normalized'!$E:$E, MATCH($A221, 'UZ-normalized'!$A:$A, 0))), 0), 0)))</f>
        <v>0</v>
      </c>
      <c r="AQ221" s="6">
        <f>MIN(0, N221+(IFERROR(IF(29*INDEX('UA-normalized'!$D:$D, MATCH($A221, 'UA-normalized'!$A:$A, 0))-INDEX('UA-normalized'!$E:$E, MATCH($A221, 'UA-normalized'!$A:$A, 0))&gt;0, -(29*INDEX('UA-normalized'!$D:$D, MATCH($A221, 'UA-normalized'!$A:$A, 0))-INDEX('UA-normalized'!$E:$E, MATCH($A221, 'UA-normalized'!$A:$A, 0))), 0), 0))+(IFERROR(IF(29*INDEX('KZ-normalized'!$D:$D, MATCH($A221, 'KZ-normalized'!$A:$A, 0))-INDEX('KZ-normalized'!$E:$E, MATCH($A221, 'KZ-normalized'!$A:$A, 0))&gt;0, -(29*INDEX('KZ-normalized'!$D:$D, MATCH($A221, 'KZ-normalized'!$A:$A, 0))-INDEX('KZ-normalized'!$E:$E, MATCH($A221, 'KZ-normalized'!$A:$A, 0))), 0), 0))+(IFERROR(IF(29*INDEX('UZ-normalized'!$D:$D, MATCH($A221, 'UZ-normalized'!$A:$A, 0))-INDEX('UZ-normalized'!$E:$E, MATCH($A221, 'UZ-normalized'!$A:$A, 0))&gt;0, -(29*INDEX('UZ-normalized'!$D:$D, MATCH($A221, 'UZ-normalized'!$A:$A, 0))-INDEX('UZ-normalized'!$E:$E, MATCH($A221, 'UZ-normalized'!$A:$A, 0))), 0), 0)))</f>
        <v>0</v>
      </c>
      <c r="AR221" s="6">
        <f>MIN(0, N221+(IFERROR(IF(30*INDEX('UA-normalized'!$D:$D, MATCH($A221, 'UA-normalized'!$A:$A, 0))-INDEX('UA-normalized'!$E:$E, MATCH($A221, 'UA-normalized'!$A:$A, 0))&gt;0, -(30*INDEX('UA-normalized'!$D:$D, MATCH($A221, 'UA-normalized'!$A:$A, 0))-INDEX('UA-normalized'!$E:$E, MATCH($A221, 'UA-normalized'!$A:$A, 0))), 0), 0))+(IFERROR(IF(30*INDEX('KZ-normalized'!$D:$D, MATCH($A221, 'KZ-normalized'!$A:$A, 0))-INDEX('KZ-normalized'!$E:$E, MATCH($A221, 'KZ-normalized'!$A:$A, 0))&gt;0, -(30*INDEX('KZ-normalized'!$D:$D, MATCH($A221, 'KZ-normalized'!$A:$A, 0))-INDEX('KZ-normalized'!$E:$E, MATCH($A221, 'KZ-normalized'!$A:$A, 0))), 0), 0))+(IFERROR(IF(30*INDEX('UZ-normalized'!$D:$D, MATCH($A221, 'UZ-normalized'!$A:$A, 0))-INDEX('UZ-normalized'!$E:$E, MATCH($A221, 'UZ-normalized'!$A:$A, 0))&gt;0, -(30*INDEX('UZ-normalized'!$D:$D, MATCH($A221, 'UZ-normalized'!$A:$A, 0))-INDEX('UZ-normalized'!$E:$E, MATCH($A221, 'UZ-normalized'!$A:$A, 0))), 0), 0)))</f>
        <v>0</v>
      </c>
    </row>
    <row r="222" spans="1:44" x14ac:dyDescent="0.25">
      <c r="A222" s="8" t="s">
        <v>526</v>
      </c>
      <c r="B222" s="8" t="s">
        <v>492</v>
      </c>
      <c r="C222" s="8" t="s">
        <v>520</v>
      </c>
      <c r="D222" s="8" t="s">
        <v>527</v>
      </c>
      <c r="F222">
        <v>1182</v>
      </c>
      <c r="N222">
        <f t="shared" si="3"/>
        <v>1182</v>
      </c>
      <c r="O222" s="6">
        <f>MIN(0, N222+(IFERROR(IF(1*INDEX('UA-normalized'!$D:$D, MATCH($A222, 'UA-normalized'!$A:$A, 0))-INDEX('UA-normalized'!$E:$E, MATCH($A222, 'UA-normalized'!$A:$A, 0))&gt;0, -(1*INDEX('UA-normalized'!$D:$D, MATCH($A222, 'UA-normalized'!$A:$A, 0))-INDEX('UA-normalized'!$E:$E, MATCH($A222, 'UA-normalized'!$A:$A, 0))), 0), 0))+(IFERROR(IF(1*INDEX('KZ-normalized'!$D:$D, MATCH($A222, 'KZ-normalized'!$A:$A, 0))-INDEX('KZ-normalized'!$E:$E, MATCH($A222, 'KZ-normalized'!$A:$A, 0))&gt;0, -(1*INDEX('KZ-normalized'!$D:$D, MATCH($A222, 'KZ-normalized'!$A:$A, 0))-INDEX('KZ-normalized'!$E:$E, MATCH($A222, 'KZ-normalized'!$A:$A, 0))), 0), 0))+(IFERROR(IF(1*INDEX('UZ-normalized'!$D:$D, MATCH($A222, 'UZ-normalized'!$A:$A, 0))-INDEX('UZ-normalized'!$E:$E, MATCH($A222, 'UZ-normalized'!$A:$A, 0))&gt;0, -(1*INDEX('UZ-normalized'!$D:$D, MATCH($A222, 'UZ-normalized'!$A:$A, 0))-INDEX('UZ-normalized'!$E:$E, MATCH($A222, 'UZ-normalized'!$A:$A, 0))), 0), 0)))</f>
        <v>0</v>
      </c>
      <c r="P222" s="6">
        <f>MIN(0, N222+(IFERROR(IF(2*INDEX('UA-normalized'!$D:$D, MATCH($A222, 'UA-normalized'!$A:$A, 0))-INDEX('UA-normalized'!$E:$E, MATCH($A222, 'UA-normalized'!$A:$A, 0))&gt;0, -(2*INDEX('UA-normalized'!$D:$D, MATCH($A222, 'UA-normalized'!$A:$A, 0))-INDEX('UA-normalized'!$E:$E, MATCH($A222, 'UA-normalized'!$A:$A, 0))), 0), 0))+(IFERROR(IF(2*INDEX('KZ-normalized'!$D:$D, MATCH($A222, 'KZ-normalized'!$A:$A, 0))-INDEX('KZ-normalized'!$E:$E, MATCH($A222, 'KZ-normalized'!$A:$A, 0))&gt;0, -(2*INDEX('KZ-normalized'!$D:$D, MATCH($A222, 'KZ-normalized'!$A:$A, 0))-INDEX('KZ-normalized'!$E:$E, MATCH($A222, 'KZ-normalized'!$A:$A, 0))), 0), 0))+(IFERROR(IF(2*INDEX('UZ-normalized'!$D:$D, MATCH($A222, 'UZ-normalized'!$A:$A, 0))-INDEX('UZ-normalized'!$E:$E, MATCH($A222, 'UZ-normalized'!$A:$A, 0))&gt;0, -(2*INDEX('UZ-normalized'!$D:$D, MATCH($A222, 'UZ-normalized'!$A:$A, 0))-INDEX('UZ-normalized'!$E:$E, MATCH($A222, 'UZ-normalized'!$A:$A, 0))), 0), 0)))</f>
        <v>0</v>
      </c>
      <c r="Q222" s="6">
        <f>MIN(0, N222+(IFERROR(IF(3*INDEX('UA-normalized'!$D:$D, MATCH($A222, 'UA-normalized'!$A:$A, 0))-INDEX('UA-normalized'!$E:$E, MATCH($A222, 'UA-normalized'!$A:$A, 0))&gt;0, -(3*INDEX('UA-normalized'!$D:$D, MATCH($A222, 'UA-normalized'!$A:$A, 0))-INDEX('UA-normalized'!$E:$E, MATCH($A222, 'UA-normalized'!$A:$A, 0))), 0), 0))+(IFERROR(IF(3*INDEX('KZ-normalized'!$D:$D, MATCH($A222, 'KZ-normalized'!$A:$A, 0))-INDEX('KZ-normalized'!$E:$E, MATCH($A222, 'KZ-normalized'!$A:$A, 0))&gt;0, -(3*INDEX('KZ-normalized'!$D:$D, MATCH($A222, 'KZ-normalized'!$A:$A, 0))-INDEX('KZ-normalized'!$E:$E, MATCH($A222, 'KZ-normalized'!$A:$A, 0))), 0), 0))+(IFERROR(IF(3*INDEX('UZ-normalized'!$D:$D, MATCH($A222, 'UZ-normalized'!$A:$A, 0))-INDEX('UZ-normalized'!$E:$E, MATCH($A222, 'UZ-normalized'!$A:$A, 0))&gt;0, -(3*INDEX('UZ-normalized'!$D:$D, MATCH($A222, 'UZ-normalized'!$A:$A, 0))-INDEX('UZ-normalized'!$E:$E, MATCH($A222, 'UZ-normalized'!$A:$A, 0))), 0), 0)))</f>
        <v>0</v>
      </c>
      <c r="R222" s="6">
        <f>MIN(0, N222+(IFERROR(IF(4*INDEX('UA-normalized'!$D:$D, MATCH($A222, 'UA-normalized'!$A:$A, 0))-INDEX('UA-normalized'!$E:$E, MATCH($A222, 'UA-normalized'!$A:$A, 0))&gt;0, -(4*INDEX('UA-normalized'!$D:$D, MATCH($A222, 'UA-normalized'!$A:$A, 0))-INDEX('UA-normalized'!$E:$E, MATCH($A222, 'UA-normalized'!$A:$A, 0))), 0), 0))+(IFERROR(IF(4*INDEX('KZ-normalized'!$D:$D, MATCH($A222, 'KZ-normalized'!$A:$A, 0))-INDEX('KZ-normalized'!$E:$E, MATCH($A222, 'KZ-normalized'!$A:$A, 0))&gt;0, -(4*INDEX('KZ-normalized'!$D:$D, MATCH($A222, 'KZ-normalized'!$A:$A, 0))-INDEX('KZ-normalized'!$E:$E, MATCH($A222, 'KZ-normalized'!$A:$A, 0))), 0), 0))+(IFERROR(IF(4*INDEX('UZ-normalized'!$D:$D, MATCH($A222, 'UZ-normalized'!$A:$A, 0))-INDEX('UZ-normalized'!$E:$E, MATCH($A222, 'UZ-normalized'!$A:$A, 0))&gt;0, -(4*INDEX('UZ-normalized'!$D:$D, MATCH($A222, 'UZ-normalized'!$A:$A, 0))-INDEX('UZ-normalized'!$E:$E, MATCH($A222, 'UZ-normalized'!$A:$A, 0))), 0), 0)))</f>
        <v>0</v>
      </c>
      <c r="S222" s="6">
        <f>MIN(0, N222+(IFERROR(IF(5*INDEX('UA-normalized'!$D:$D, MATCH($A222, 'UA-normalized'!$A:$A, 0))-INDEX('UA-normalized'!$E:$E, MATCH($A222, 'UA-normalized'!$A:$A, 0))&gt;0, -(5*INDEX('UA-normalized'!$D:$D, MATCH($A222, 'UA-normalized'!$A:$A, 0))-INDEX('UA-normalized'!$E:$E, MATCH($A222, 'UA-normalized'!$A:$A, 0))), 0), 0))+(IFERROR(IF(5*INDEX('KZ-normalized'!$D:$D, MATCH($A222, 'KZ-normalized'!$A:$A, 0))-INDEX('KZ-normalized'!$E:$E, MATCH($A222, 'KZ-normalized'!$A:$A, 0))&gt;0, -(5*INDEX('KZ-normalized'!$D:$D, MATCH($A222, 'KZ-normalized'!$A:$A, 0))-INDEX('KZ-normalized'!$E:$E, MATCH($A222, 'KZ-normalized'!$A:$A, 0))), 0), 0))+(IFERROR(IF(5*INDEX('UZ-normalized'!$D:$D, MATCH($A222, 'UZ-normalized'!$A:$A, 0))-INDEX('UZ-normalized'!$E:$E, MATCH($A222, 'UZ-normalized'!$A:$A, 0))&gt;0, -(5*INDEX('UZ-normalized'!$D:$D, MATCH($A222, 'UZ-normalized'!$A:$A, 0))-INDEX('UZ-normalized'!$E:$E, MATCH($A222, 'UZ-normalized'!$A:$A, 0))), 0), 0)))</f>
        <v>0</v>
      </c>
      <c r="T222" s="6">
        <f>MIN(0, N222+(IFERROR(IF(6*INDEX('UA-normalized'!$D:$D, MATCH($A222, 'UA-normalized'!$A:$A, 0))-INDEX('UA-normalized'!$E:$E, MATCH($A222, 'UA-normalized'!$A:$A, 0))&gt;0, -(6*INDEX('UA-normalized'!$D:$D, MATCH($A222, 'UA-normalized'!$A:$A, 0))-INDEX('UA-normalized'!$E:$E, MATCH($A222, 'UA-normalized'!$A:$A, 0))), 0), 0))+(IFERROR(IF(6*INDEX('KZ-normalized'!$D:$D, MATCH($A222, 'KZ-normalized'!$A:$A, 0))-INDEX('KZ-normalized'!$E:$E, MATCH($A222, 'KZ-normalized'!$A:$A, 0))&gt;0, -(6*INDEX('KZ-normalized'!$D:$D, MATCH($A222, 'KZ-normalized'!$A:$A, 0))-INDEX('KZ-normalized'!$E:$E, MATCH($A222, 'KZ-normalized'!$A:$A, 0))), 0), 0))+(IFERROR(IF(6*INDEX('UZ-normalized'!$D:$D, MATCH($A222, 'UZ-normalized'!$A:$A, 0))-INDEX('UZ-normalized'!$E:$E, MATCH($A222, 'UZ-normalized'!$A:$A, 0))&gt;0, -(6*INDEX('UZ-normalized'!$D:$D, MATCH($A222, 'UZ-normalized'!$A:$A, 0))-INDEX('UZ-normalized'!$E:$E, MATCH($A222, 'UZ-normalized'!$A:$A, 0))), 0), 0)))</f>
        <v>0</v>
      </c>
      <c r="U222" s="6">
        <f>MIN(0, N222+(IFERROR(IF(7*INDEX('UA-normalized'!$D:$D, MATCH($A222, 'UA-normalized'!$A:$A, 0))-INDEX('UA-normalized'!$E:$E, MATCH($A222, 'UA-normalized'!$A:$A, 0))&gt;0, -(7*INDEX('UA-normalized'!$D:$D, MATCH($A222, 'UA-normalized'!$A:$A, 0))-INDEX('UA-normalized'!$E:$E, MATCH($A222, 'UA-normalized'!$A:$A, 0))), 0), 0))+(IFERROR(IF(7*INDEX('KZ-normalized'!$D:$D, MATCH($A222, 'KZ-normalized'!$A:$A, 0))-INDEX('KZ-normalized'!$E:$E, MATCH($A222, 'KZ-normalized'!$A:$A, 0))&gt;0, -(7*INDEX('KZ-normalized'!$D:$D, MATCH($A222, 'KZ-normalized'!$A:$A, 0))-INDEX('KZ-normalized'!$E:$E, MATCH($A222, 'KZ-normalized'!$A:$A, 0))), 0), 0))+(IFERROR(IF(7*INDEX('UZ-normalized'!$D:$D, MATCH($A222, 'UZ-normalized'!$A:$A, 0))-INDEX('UZ-normalized'!$E:$E, MATCH($A222, 'UZ-normalized'!$A:$A, 0))&gt;0, -(7*INDEX('UZ-normalized'!$D:$D, MATCH($A222, 'UZ-normalized'!$A:$A, 0))-INDEX('UZ-normalized'!$E:$E, MATCH($A222, 'UZ-normalized'!$A:$A, 0))), 0), 0)))</f>
        <v>0</v>
      </c>
      <c r="V222" s="6">
        <f>MIN(0, N222+(IFERROR(IF(8*INDEX('UA-normalized'!$D:$D, MATCH($A222, 'UA-normalized'!$A:$A, 0))-INDEX('UA-normalized'!$E:$E, MATCH($A222, 'UA-normalized'!$A:$A, 0))&gt;0, -(8*INDEX('UA-normalized'!$D:$D, MATCH($A222, 'UA-normalized'!$A:$A, 0))-INDEX('UA-normalized'!$E:$E, MATCH($A222, 'UA-normalized'!$A:$A, 0))), 0), 0))+(IFERROR(IF(8*INDEX('KZ-normalized'!$D:$D, MATCH($A222, 'KZ-normalized'!$A:$A, 0))-INDEX('KZ-normalized'!$E:$E, MATCH($A222, 'KZ-normalized'!$A:$A, 0))&gt;0, -(8*INDEX('KZ-normalized'!$D:$D, MATCH($A222, 'KZ-normalized'!$A:$A, 0))-INDEX('KZ-normalized'!$E:$E, MATCH($A222, 'KZ-normalized'!$A:$A, 0))), 0), 0))+(IFERROR(IF(8*INDEX('UZ-normalized'!$D:$D, MATCH($A222, 'UZ-normalized'!$A:$A, 0))-INDEX('UZ-normalized'!$E:$E, MATCH($A222, 'UZ-normalized'!$A:$A, 0))&gt;0, -(8*INDEX('UZ-normalized'!$D:$D, MATCH($A222, 'UZ-normalized'!$A:$A, 0))-INDEX('UZ-normalized'!$E:$E, MATCH($A222, 'UZ-normalized'!$A:$A, 0))), 0), 0)))</f>
        <v>0</v>
      </c>
      <c r="W222" s="6">
        <f>MIN(0, N222+(IFERROR(IF(9*INDEX('UA-normalized'!$D:$D, MATCH($A222, 'UA-normalized'!$A:$A, 0))-INDEX('UA-normalized'!$E:$E, MATCH($A222, 'UA-normalized'!$A:$A, 0))&gt;0, -(9*INDEX('UA-normalized'!$D:$D, MATCH($A222, 'UA-normalized'!$A:$A, 0))-INDEX('UA-normalized'!$E:$E, MATCH($A222, 'UA-normalized'!$A:$A, 0))), 0), 0))+(IFERROR(IF(9*INDEX('KZ-normalized'!$D:$D, MATCH($A222, 'KZ-normalized'!$A:$A, 0))-INDEX('KZ-normalized'!$E:$E, MATCH($A222, 'KZ-normalized'!$A:$A, 0))&gt;0, -(9*INDEX('KZ-normalized'!$D:$D, MATCH($A222, 'KZ-normalized'!$A:$A, 0))-INDEX('KZ-normalized'!$E:$E, MATCH($A222, 'KZ-normalized'!$A:$A, 0))), 0), 0))+(IFERROR(IF(9*INDEX('UZ-normalized'!$D:$D, MATCH($A222, 'UZ-normalized'!$A:$A, 0))-INDEX('UZ-normalized'!$E:$E, MATCH($A222, 'UZ-normalized'!$A:$A, 0))&gt;0, -(9*INDEX('UZ-normalized'!$D:$D, MATCH($A222, 'UZ-normalized'!$A:$A, 0))-INDEX('UZ-normalized'!$E:$E, MATCH($A222, 'UZ-normalized'!$A:$A, 0))), 0), 0)))</f>
        <v>0</v>
      </c>
      <c r="X222" s="6">
        <f>MIN(0, N222+(IFERROR(IF(10*INDEX('UA-normalized'!$D:$D, MATCH($A222, 'UA-normalized'!$A:$A, 0))-INDEX('UA-normalized'!$E:$E, MATCH($A222, 'UA-normalized'!$A:$A, 0))&gt;0, -(10*INDEX('UA-normalized'!$D:$D, MATCH($A222, 'UA-normalized'!$A:$A, 0))-INDEX('UA-normalized'!$E:$E, MATCH($A222, 'UA-normalized'!$A:$A, 0))), 0), 0))+(IFERROR(IF(10*INDEX('KZ-normalized'!$D:$D, MATCH($A222, 'KZ-normalized'!$A:$A, 0))-INDEX('KZ-normalized'!$E:$E, MATCH($A222, 'KZ-normalized'!$A:$A, 0))&gt;0, -(10*INDEX('KZ-normalized'!$D:$D, MATCH($A222, 'KZ-normalized'!$A:$A, 0))-INDEX('KZ-normalized'!$E:$E, MATCH($A222, 'KZ-normalized'!$A:$A, 0))), 0), 0))+(IFERROR(IF(10*INDEX('UZ-normalized'!$D:$D, MATCH($A222, 'UZ-normalized'!$A:$A, 0))-INDEX('UZ-normalized'!$E:$E, MATCH($A222, 'UZ-normalized'!$A:$A, 0))&gt;0, -(10*INDEX('UZ-normalized'!$D:$D, MATCH($A222, 'UZ-normalized'!$A:$A, 0))-INDEX('UZ-normalized'!$E:$E, MATCH($A222, 'UZ-normalized'!$A:$A, 0))), 0), 0)))</f>
        <v>0</v>
      </c>
      <c r="Y222" s="6">
        <f>MIN(0, N222+(IFERROR(IF(11*INDEX('UA-normalized'!$D:$D, MATCH($A222, 'UA-normalized'!$A:$A, 0))-INDEX('UA-normalized'!$E:$E, MATCH($A222, 'UA-normalized'!$A:$A, 0))&gt;0, -(11*INDEX('UA-normalized'!$D:$D, MATCH($A222, 'UA-normalized'!$A:$A, 0))-INDEX('UA-normalized'!$E:$E, MATCH($A222, 'UA-normalized'!$A:$A, 0))), 0), 0))+(IFERROR(IF(11*INDEX('KZ-normalized'!$D:$D, MATCH($A222, 'KZ-normalized'!$A:$A, 0))-INDEX('KZ-normalized'!$E:$E, MATCH($A222, 'KZ-normalized'!$A:$A, 0))&gt;0, -(11*INDEX('KZ-normalized'!$D:$D, MATCH($A222, 'KZ-normalized'!$A:$A, 0))-INDEX('KZ-normalized'!$E:$E, MATCH($A222, 'KZ-normalized'!$A:$A, 0))), 0), 0))+(IFERROR(IF(11*INDEX('UZ-normalized'!$D:$D, MATCH($A222, 'UZ-normalized'!$A:$A, 0))-INDEX('UZ-normalized'!$E:$E, MATCH($A222, 'UZ-normalized'!$A:$A, 0))&gt;0, -(11*INDEX('UZ-normalized'!$D:$D, MATCH($A222, 'UZ-normalized'!$A:$A, 0))-INDEX('UZ-normalized'!$E:$E, MATCH($A222, 'UZ-normalized'!$A:$A, 0))), 0), 0)))</f>
        <v>0</v>
      </c>
      <c r="Z222" s="6">
        <f>MIN(0, N222+(IFERROR(IF(12*INDEX('UA-normalized'!$D:$D, MATCH($A222, 'UA-normalized'!$A:$A, 0))-INDEX('UA-normalized'!$E:$E, MATCH($A222, 'UA-normalized'!$A:$A, 0))&gt;0, -(12*INDEX('UA-normalized'!$D:$D, MATCH($A222, 'UA-normalized'!$A:$A, 0))-INDEX('UA-normalized'!$E:$E, MATCH($A222, 'UA-normalized'!$A:$A, 0))), 0), 0))+(IFERROR(IF(12*INDEX('KZ-normalized'!$D:$D, MATCH($A222, 'KZ-normalized'!$A:$A, 0))-INDEX('KZ-normalized'!$E:$E, MATCH($A222, 'KZ-normalized'!$A:$A, 0))&gt;0, -(12*INDEX('KZ-normalized'!$D:$D, MATCH($A222, 'KZ-normalized'!$A:$A, 0))-INDEX('KZ-normalized'!$E:$E, MATCH($A222, 'KZ-normalized'!$A:$A, 0))), 0), 0))+(IFERROR(IF(12*INDEX('UZ-normalized'!$D:$D, MATCH($A222, 'UZ-normalized'!$A:$A, 0))-INDEX('UZ-normalized'!$E:$E, MATCH($A222, 'UZ-normalized'!$A:$A, 0))&gt;0, -(12*INDEX('UZ-normalized'!$D:$D, MATCH($A222, 'UZ-normalized'!$A:$A, 0))-INDEX('UZ-normalized'!$E:$E, MATCH($A222, 'UZ-normalized'!$A:$A, 0))), 0), 0)))</f>
        <v>0</v>
      </c>
      <c r="AA222" s="6">
        <f>MIN(0, N222+(IFERROR(IF(13*INDEX('UA-normalized'!$D:$D, MATCH($A222, 'UA-normalized'!$A:$A, 0))-INDEX('UA-normalized'!$E:$E, MATCH($A222, 'UA-normalized'!$A:$A, 0))&gt;0, -(13*INDEX('UA-normalized'!$D:$D, MATCH($A222, 'UA-normalized'!$A:$A, 0))-INDEX('UA-normalized'!$E:$E, MATCH($A222, 'UA-normalized'!$A:$A, 0))), 0), 0))+(IFERROR(IF(13*INDEX('KZ-normalized'!$D:$D, MATCH($A222, 'KZ-normalized'!$A:$A, 0))-INDEX('KZ-normalized'!$E:$E, MATCH($A222, 'KZ-normalized'!$A:$A, 0))&gt;0, -(13*INDEX('KZ-normalized'!$D:$D, MATCH($A222, 'KZ-normalized'!$A:$A, 0))-INDEX('KZ-normalized'!$E:$E, MATCH($A222, 'KZ-normalized'!$A:$A, 0))), 0), 0))+(IFERROR(IF(13*INDEX('UZ-normalized'!$D:$D, MATCH($A222, 'UZ-normalized'!$A:$A, 0))-INDEX('UZ-normalized'!$E:$E, MATCH($A222, 'UZ-normalized'!$A:$A, 0))&gt;0, -(13*INDEX('UZ-normalized'!$D:$D, MATCH($A222, 'UZ-normalized'!$A:$A, 0))-INDEX('UZ-normalized'!$E:$E, MATCH($A222, 'UZ-normalized'!$A:$A, 0))), 0), 0)))</f>
        <v>0</v>
      </c>
      <c r="AB222" s="6">
        <f>MIN(0, N222+(IFERROR(IF(14*INDEX('UA-normalized'!$D:$D, MATCH($A222, 'UA-normalized'!$A:$A, 0))-INDEX('UA-normalized'!$E:$E, MATCH($A222, 'UA-normalized'!$A:$A, 0))&gt;0, -(14*INDEX('UA-normalized'!$D:$D, MATCH($A222, 'UA-normalized'!$A:$A, 0))-INDEX('UA-normalized'!$E:$E, MATCH($A222, 'UA-normalized'!$A:$A, 0))), 0), 0))+(IFERROR(IF(14*INDEX('KZ-normalized'!$D:$D, MATCH($A222, 'KZ-normalized'!$A:$A, 0))-INDEX('KZ-normalized'!$E:$E, MATCH($A222, 'KZ-normalized'!$A:$A, 0))&gt;0, -(14*INDEX('KZ-normalized'!$D:$D, MATCH($A222, 'KZ-normalized'!$A:$A, 0))-INDEX('KZ-normalized'!$E:$E, MATCH($A222, 'KZ-normalized'!$A:$A, 0))), 0), 0))+(IFERROR(IF(14*INDEX('UZ-normalized'!$D:$D, MATCH($A222, 'UZ-normalized'!$A:$A, 0))-INDEX('UZ-normalized'!$E:$E, MATCH($A222, 'UZ-normalized'!$A:$A, 0))&gt;0, -(14*INDEX('UZ-normalized'!$D:$D, MATCH($A222, 'UZ-normalized'!$A:$A, 0))-INDEX('UZ-normalized'!$E:$E, MATCH($A222, 'UZ-normalized'!$A:$A, 0))), 0), 0)))</f>
        <v>0</v>
      </c>
      <c r="AC222" s="6">
        <f>MIN(0, N222+(IFERROR(IF(15*INDEX('UA-normalized'!$D:$D, MATCH($A222, 'UA-normalized'!$A:$A, 0))-INDEX('UA-normalized'!$E:$E, MATCH($A222, 'UA-normalized'!$A:$A, 0))&gt;0, -(15*INDEX('UA-normalized'!$D:$D, MATCH($A222, 'UA-normalized'!$A:$A, 0))-INDEX('UA-normalized'!$E:$E, MATCH($A222, 'UA-normalized'!$A:$A, 0))), 0), 0))+(IFERROR(IF(15*INDEX('KZ-normalized'!$D:$D, MATCH($A222, 'KZ-normalized'!$A:$A, 0))-INDEX('KZ-normalized'!$E:$E, MATCH($A222, 'KZ-normalized'!$A:$A, 0))&gt;0, -(15*INDEX('KZ-normalized'!$D:$D, MATCH($A222, 'KZ-normalized'!$A:$A, 0))-INDEX('KZ-normalized'!$E:$E, MATCH($A222, 'KZ-normalized'!$A:$A, 0))), 0), 0))+(IFERROR(IF(15*INDEX('UZ-normalized'!$D:$D, MATCH($A222, 'UZ-normalized'!$A:$A, 0))-INDEX('UZ-normalized'!$E:$E, MATCH($A222, 'UZ-normalized'!$A:$A, 0))&gt;0, -(15*INDEX('UZ-normalized'!$D:$D, MATCH($A222, 'UZ-normalized'!$A:$A, 0))-INDEX('UZ-normalized'!$E:$E, MATCH($A222, 'UZ-normalized'!$A:$A, 0))), 0), 0)))</f>
        <v>0</v>
      </c>
      <c r="AD222" s="6">
        <f>MIN(0, N222+(IFERROR(IF(16*INDEX('UA-normalized'!$D:$D, MATCH($A222, 'UA-normalized'!$A:$A, 0))-INDEX('UA-normalized'!$E:$E, MATCH($A222, 'UA-normalized'!$A:$A, 0))&gt;0, -(16*INDEX('UA-normalized'!$D:$D, MATCH($A222, 'UA-normalized'!$A:$A, 0))-INDEX('UA-normalized'!$E:$E, MATCH($A222, 'UA-normalized'!$A:$A, 0))), 0), 0))+(IFERROR(IF(16*INDEX('KZ-normalized'!$D:$D, MATCH($A222, 'KZ-normalized'!$A:$A, 0))-INDEX('KZ-normalized'!$E:$E, MATCH($A222, 'KZ-normalized'!$A:$A, 0))&gt;0, -(16*INDEX('KZ-normalized'!$D:$D, MATCH($A222, 'KZ-normalized'!$A:$A, 0))-INDEX('KZ-normalized'!$E:$E, MATCH($A222, 'KZ-normalized'!$A:$A, 0))), 0), 0))+(IFERROR(IF(16*INDEX('UZ-normalized'!$D:$D, MATCH($A222, 'UZ-normalized'!$A:$A, 0))-INDEX('UZ-normalized'!$E:$E, MATCH($A222, 'UZ-normalized'!$A:$A, 0))&gt;0, -(16*INDEX('UZ-normalized'!$D:$D, MATCH($A222, 'UZ-normalized'!$A:$A, 0))-INDEX('UZ-normalized'!$E:$E, MATCH($A222, 'UZ-normalized'!$A:$A, 0))), 0), 0)))</f>
        <v>0</v>
      </c>
      <c r="AE222" s="6">
        <f>MIN(0, N222+(IFERROR(IF(17*INDEX('UA-normalized'!$D:$D, MATCH($A222, 'UA-normalized'!$A:$A, 0))-INDEX('UA-normalized'!$E:$E, MATCH($A222, 'UA-normalized'!$A:$A, 0))&gt;0, -(17*INDEX('UA-normalized'!$D:$D, MATCH($A222, 'UA-normalized'!$A:$A, 0))-INDEX('UA-normalized'!$E:$E, MATCH($A222, 'UA-normalized'!$A:$A, 0))), 0), 0))+(IFERROR(IF(17*INDEX('KZ-normalized'!$D:$D, MATCH($A222, 'KZ-normalized'!$A:$A, 0))-INDEX('KZ-normalized'!$E:$E, MATCH($A222, 'KZ-normalized'!$A:$A, 0))&gt;0, -(17*INDEX('KZ-normalized'!$D:$D, MATCH($A222, 'KZ-normalized'!$A:$A, 0))-INDEX('KZ-normalized'!$E:$E, MATCH($A222, 'KZ-normalized'!$A:$A, 0))), 0), 0))+(IFERROR(IF(17*INDEX('UZ-normalized'!$D:$D, MATCH($A222, 'UZ-normalized'!$A:$A, 0))-INDEX('UZ-normalized'!$E:$E, MATCH($A222, 'UZ-normalized'!$A:$A, 0))&gt;0, -(17*INDEX('UZ-normalized'!$D:$D, MATCH($A222, 'UZ-normalized'!$A:$A, 0))-INDEX('UZ-normalized'!$E:$E, MATCH($A222, 'UZ-normalized'!$A:$A, 0))), 0), 0)))</f>
        <v>0</v>
      </c>
      <c r="AF222" s="6">
        <f>MIN(0, N222+(IFERROR(IF(18*INDEX('UA-normalized'!$D:$D, MATCH($A222, 'UA-normalized'!$A:$A, 0))-INDEX('UA-normalized'!$E:$E, MATCH($A222, 'UA-normalized'!$A:$A, 0))&gt;0, -(18*INDEX('UA-normalized'!$D:$D, MATCH($A222, 'UA-normalized'!$A:$A, 0))-INDEX('UA-normalized'!$E:$E, MATCH($A222, 'UA-normalized'!$A:$A, 0))), 0), 0))+(IFERROR(IF(18*INDEX('KZ-normalized'!$D:$D, MATCH($A222, 'KZ-normalized'!$A:$A, 0))-INDEX('KZ-normalized'!$E:$E, MATCH($A222, 'KZ-normalized'!$A:$A, 0))&gt;0, -(18*INDEX('KZ-normalized'!$D:$D, MATCH($A222, 'KZ-normalized'!$A:$A, 0))-INDEX('KZ-normalized'!$E:$E, MATCH($A222, 'KZ-normalized'!$A:$A, 0))), 0), 0))+(IFERROR(IF(18*INDEX('UZ-normalized'!$D:$D, MATCH($A222, 'UZ-normalized'!$A:$A, 0))-INDEX('UZ-normalized'!$E:$E, MATCH($A222, 'UZ-normalized'!$A:$A, 0))&gt;0, -(18*INDEX('UZ-normalized'!$D:$D, MATCH($A222, 'UZ-normalized'!$A:$A, 0))-INDEX('UZ-normalized'!$E:$E, MATCH($A222, 'UZ-normalized'!$A:$A, 0))), 0), 0)))</f>
        <v>0</v>
      </c>
      <c r="AG222" s="6">
        <f>MIN(0, N222+(IFERROR(IF(19*INDEX('UA-normalized'!$D:$D, MATCH($A222, 'UA-normalized'!$A:$A, 0))-INDEX('UA-normalized'!$E:$E, MATCH($A222, 'UA-normalized'!$A:$A, 0))&gt;0, -(19*INDEX('UA-normalized'!$D:$D, MATCH($A222, 'UA-normalized'!$A:$A, 0))-INDEX('UA-normalized'!$E:$E, MATCH($A222, 'UA-normalized'!$A:$A, 0))), 0), 0))+(IFERROR(IF(19*INDEX('KZ-normalized'!$D:$D, MATCH($A222, 'KZ-normalized'!$A:$A, 0))-INDEX('KZ-normalized'!$E:$E, MATCH($A222, 'KZ-normalized'!$A:$A, 0))&gt;0, -(19*INDEX('KZ-normalized'!$D:$D, MATCH($A222, 'KZ-normalized'!$A:$A, 0))-INDEX('KZ-normalized'!$E:$E, MATCH($A222, 'KZ-normalized'!$A:$A, 0))), 0), 0))+(IFERROR(IF(19*INDEX('UZ-normalized'!$D:$D, MATCH($A222, 'UZ-normalized'!$A:$A, 0))-INDEX('UZ-normalized'!$E:$E, MATCH($A222, 'UZ-normalized'!$A:$A, 0))&gt;0, -(19*INDEX('UZ-normalized'!$D:$D, MATCH($A222, 'UZ-normalized'!$A:$A, 0))-INDEX('UZ-normalized'!$E:$E, MATCH($A222, 'UZ-normalized'!$A:$A, 0))), 0), 0)))</f>
        <v>0</v>
      </c>
      <c r="AH222" s="6">
        <f>MIN(0, N222+(IFERROR(IF(20*INDEX('UA-normalized'!$D:$D, MATCH($A222, 'UA-normalized'!$A:$A, 0))-INDEX('UA-normalized'!$E:$E, MATCH($A222, 'UA-normalized'!$A:$A, 0))&gt;0, -(20*INDEX('UA-normalized'!$D:$D, MATCH($A222, 'UA-normalized'!$A:$A, 0))-INDEX('UA-normalized'!$E:$E, MATCH($A222, 'UA-normalized'!$A:$A, 0))), 0), 0))+(IFERROR(IF(20*INDEX('KZ-normalized'!$D:$D, MATCH($A222, 'KZ-normalized'!$A:$A, 0))-INDEX('KZ-normalized'!$E:$E, MATCH($A222, 'KZ-normalized'!$A:$A, 0))&gt;0, -(20*INDEX('KZ-normalized'!$D:$D, MATCH($A222, 'KZ-normalized'!$A:$A, 0))-INDEX('KZ-normalized'!$E:$E, MATCH($A222, 'KZ-normalized'!$A:$A, 0))), 0), 0))+(IFERROR(IF(20*INDEX('UZ-normalized'!$D:$D, MATCH($A222, 'UZ-normalized'!$A:$A, 0))-INDEX('UZ-normalized'!$E:$E, MATCH($A222, 'UZ-normalized'!$A:$A, 0))&gt;0, -(20*INDEX('UZ-normalized'!$D:$D, MATCH($A222, 'UZ-normalized'!$A:$A, 0))-INDEX('UZ-normalized'!$E:$E, MATCH($A222, 'UZ-normalized'!$A:$A, 0))), 0), 0)))</f>
        <v>0</v>
      </c>
      <c r="AI222" s="6">
        <f>MIN(0, N222+(IFERROR(IF(21*INDEX('UA-normalized'!$D:$D, MATCH($A222, 'UA-normalized'!$A:$A, 0))-INDEX('UA-normalized'!$E:$E, MATCH($A222, 'UA-normalized'!$A:$A, 0))&gt;0, -(21*INDEX('UA-normalized'!$D:$D, MATCH($A222, 'UA-normalized'!$A:$A, 0))-INDEX('UA-normalized'!$E:$E, MATCH($A222, 'UA-normalized'!$A:$A, 0))), 0), 0))+(IFERROR(IF(21*INDEX('KZ-normalized'!$D:$D, MATCH($A222, 'KZ-normalized'!$A:$A, 0))-INDEX('KZ-normalized'!$E:$E, MATCH($A222, 'KZ-normalized'!$A:$A, 0))&gt;0, -(21*INDEX('KZ-normalized'!$D:$D, MATCH($A222, 'KZ-normalized'!$A:$A, 0))-INDEX('KZ-normalized'!$E:$E, MATCH($A222, 'KZ-normalized'!$A:$A, 0))), 0), 0))+(IFERROR(IF(21*INDEX('UZ-normalized'!$D:$D, MATCH($A222, 'UZ-normalized'!$A:$A, 0))-INDEX('UZ-normalized'!$E:$E, MATCH($A222, 'UZ-normalized'!$A:$A, 0))&gt;0, -(21*INDEX('UZ-normalized'!$D:$D, MATCH($A222, 'UZ-normalized'!$A:$A, 0))-INDEX('UZ-normalized'!$E:$E, MATCH($A222, 'UZ-normalized'!$A:$A, 0))), 0), 0)))</f>
        <v>0</v>
      </c>
      <c r="AJ222" s="6">
        <f>MIN(0, N222+(IFERROR(IF(22*INDEX('UA-normalized'!$D:$D, MATCH($A222, 'UA-normalized'!$A:$A, 0))-INDEX('UA-normalized'!$E:$E, MATCH($A222, 'UA-normalized'!$A:$A, 0))&gt;0, -(22*INDEX('UA-normalized'!$D:$D, MATCH($A222, 'UA-normalized'!$A:$A, 0))-INDEX('UA-normalized'!$E:$E, MATCH($A222, 'UA-normalized'!$A:$A, 0))), 0), 0))+(IFERROR(IF(22*INDEX('KZ-normalized'!$D:$D, MATCH($A222, 'KZ-normalized'!$A:$A, 0))-INDEX('KZ-normalized'!$E:$E, MATCH($A222, 'KZ-normalized'!$A:$A, 0))&gt;0, -(22*INDEX('KZ-normalized'!$D:$D, MATCH($A222, 'KZ-normalized'!$A:$A, 0))-INDEX('KZ-normalized'!$E:$E, MATCH($A222, 'KZ-normalized'!$A:$A, 0))), 0), 0))+(IFERROR(IF(22*INDEX('UZ-normalized'!$D:$D, MATCH($A222, 'UZ-normalized'!$A:$A, 0))-INDEX('UZ-normalized'!$E:$E, MATCH($A222, 'UZ-normalized'!$A:$A, 0))&gt;0, -(22*INDEX('UZ-normalized'!$D:$D, MATCH($A222, 'UZ-normalized'!$A:$A, 0))-INDEX('UZ-normalized'!$E:$E, MATCH($A222, 'UZ-normalized'!$A:$A, 0))), 0), 0)))</f>
        <v>0</v>
      </c>
      <c r="AK222" s="6">
        <f>MIN(0, N222+(IFERROR(IF(23*INDEX('UA-normalized'!$D:$D, MATCH($A222, 'UA-normalized'!$A:$A, 0))-INDEX('UA-normalized'!$E:$E, MATCH($A222, 'UA-normalized'!$A:$A, 0))&gt;0, -(23*INDEX('UA-normalized'!$D:$D, MATCH($A222, 'UA-normalized'!$A:$A, 0))-INDEX('UA-normalized'!$E:$E, MATCH($A222, 'UA-normalized'!$A:$A, 0))), 0), 0))+(IFERROR(IF(23*INDEX('KZ-normalized'!$D:$D, MATCH($A222, 'KZ-normalized'!$A:$A, 0))-INDEX('KZ-normalized'!$E:$E, MATCH($A222, 'KZ-normalized'!$A:$A, 0))&gt;0, -(23*INDEX('KZ-normalized'!$D:$D, MATCH($A222, 'KZ-normalized'!$A:$A, 0))-INDEX('KZ-normalized'!$E:$E, MATCH($A222, 'KZ-normalized'!$A:$A, 0))), 0), 0))+(IFERROR(IF(23*INDEX('UZ-normalized'!$D:$D, MATCH($A222, 'UZ-normalized'!$A:$A, 0))-INDEX('UZ-normalized'!$E:$E, MATCH($A222, 'UZ-normalized'!$A:$A, 0))&gt;0, -(23*INDEX('UZ-normalized'!$D:$D, MATCH($A222, 'UZ-normalized'!$A:$A, 0))-INDEX('UZ-normalized'!$E:$E, MATCH($A222, 'UZ-normalized'!$A:$A, 0))), 0), 0)))</f>
        <v>0</v>
      </c>
      <c r="AL222" s="6">
        <f>MIN(0, N222+(IFERROR(IF(24*INDEX('UA-normalized'!$D:$D, MATCH($A222, 'UA-normalized'!$A:$A, 0))-INDEX('UA-normalized'!$E:$E, MATCH($A222, 'UA-normalized'!$A:$A, 0))&gt;0, -(24*INDEX('UA-normalized'!$D:$D, MATCH($A222, 'UA-normalized'!$A:$A, 0))-INDEX('UA-normalized'!$E:$E, MATCH($A222, 'UA-normalized'!$A:$A, 0))), 0), 0))+(IFERROR(IF(24*INDEX('KZ-normalized'!$D:$D, MATCH($A222, 'KZ-normalized'!$A:$A, 0))-INDEX('KZ-normalized'!$E:$E, MATCH($A222, 'KZ-normalized'!$A:$A, 0))&gt;0, -(24*INDEX('KZ-normalized'!$D:$D, MATCH($A222, 'KZ-normalized'!$A:$A, 0))-INDEX('KZ-normalized'!$E:$E, MATCH($A222, 'KZ-normalized'!$A:$A, 0))), 0), 0))+(IFERROR(IF(24*INDEX('UZ-normalized'!$D:$D, MATCH($A222, 'UZ-normalized'!$A:$A, 0))-INDEX('UZ-normalized'!$E:$E, MATCH($A222, 'UZ-normalized'!$A:$A, 0))&gt;0, -(24*INDEX('UZ-normalized'!$D:$D, MATCH($A222, 'UZ-normalized'!$A:$A, 0))-INDEX('UZ-normalized'!$E:$E, MATCH($A222, 'UZ-normalized'!$A:$A, 0))), 0), 0)))</f>
        <v>0</v>
      </c>
      <c r="AM222" s="6">
        <f>MIN(0, N222+(IFERROR(IF(25*INDEX('UA-normalized'!$D:$D, MATCH($A222, 'UA-normalized'!$A:$A, 0))-INDEX('UA-normalized'!$E:$E, MATCH($A222, 'UA-normalized'!$A:$A, 0))&gt;0, -(25*INDEX('UA-normalized'!$D:$D, MATCH($A222, 'UA-normalized'!$A:$A, 0))-INDEX('UA-normalized'!$E:$E, MATCH($A222, 'UA-normalized'!$A:$A, 0))), 0), 0))+(IFERROR(IF(25*INDEX('KZ-normalized'!$D:$D, MATCH($A222, 'KZ-normalized'!$A:$A, 0))-INDEX('KZ-normalized'!$E:$E, MATCH($A222, 'KZ-normalized'!$A:$A, 0))&gt;0, -(25*INDEX('KZ-normalized'!$D:$D, MATCH($A222, 'KZ-normalized'!$A:$A, 0))-INDEX('KZ-normalized'!$E:$E, MATCH($A222, 'KZ-normalized'!$A:$A, 0))), 0), 0))+(IFERROR(IF(25*INDEX('UZ-normalized'!$D:$D, MATCH($A222, 'UZ-normalized'!$A:$A, 0))-INDEX('UZ-normalized'!$E:$E, MATCH($A222, 'UZ-normalized'!$A:$A, 0))&gt;0, -(25*INDEX('UZ-normalized'!$D:$D, MATCH($A222, 'UZ-normalized'!$A:$A, 0))-INDEX('UZ-normalized'!$E:$E, MATCH($A222, 'UZ-normalized'!$A:$A, 0))), 0), 0)))</f>
        <v>0</v>
      </c>
      <c r="AN222" s="6">
        <f>MIN(0, N222+(IFERROR(IF(26*INDEX('UA-normalized'!$D:$D, MATCH($A222, 'UA-normalized'!$A:$A, 0))-INDEX('UA-normalized'!$E:$E, MATCH($A222, 'UA-normalized'!$A:$A, 0))&gt;0, -(26*INDEX('UA-normalized'!$D:$D, MATCH($A222, 'UA-normalized'!$A:$A, 0))-INDEX('UA-normalized'!$E:$E, MATCH($A222, 'UA-normalized'!$A:$A, 0))), 0), 0))+(IFERROR(IF(26*INDEX('KZ-normalized'!$D:$D, MATCH($A222, 'KZ-normalized'!$A:$A, 0))-INDEX('KZ-normalized'!$E:$E, MATCH($A222, 'KZ-normalized'!$A:$A, 0))&gt;0, -(26*INDEX('KZ-normalized'!$D:$D, MATCH($A222, 'KZ-normalized'!$A:$A, 0))-INDEX('KZ-normalized'!$E:$E, MATCH($A222, 'KZ-normalized'!$A:$A, 0))), 0), 0))+(IFERROR(IF(26*INDEX('UZ-normalized'!$D:$D, MATCH($A222, 'UZ-normalized'!$A:$A, 0))-INDEX('UZ-normalized'!$E:$E, MATCH($A222, 'UZ-normalized'!$A:$A, 0))&gt;0, -(26*INDEX('UZ-normalized'!$D:$D, MATCH($A222, 'UZ-normalized'!$A:$A, 0))-INDEX('UZ-normalized'!$E:$E, MATCH($A222, 'UZ-normalized'!$A:$A, 0))), 0), 0)))</f>
        <v>0</v>
      </c>
      <c r="AO222" s="6">
        <f>MIN(0, N222+(IFERROR(IF(27*INDEX('UA-normalized'!$D:$D, MATCH($A222, 'UA-normalized'!$A:$A, 0))-INDEX('UA-normalized'!$E:$E, MATCH($A222, 'UA-normalized'!$A:$A, 0))&gt;0, -(27*INDEX('UA-normalized'!$D:$D, MATCH($A222, 'UA-normalized'!$A:$A, 0))-INDEX('UA-normalized'!$E:$E, MATCH($A222, 'UA-normalized'!$A:$A, 0))), 0), 0))+(IFERROR(IF(27*INDEX('KZ-normalized'!$D:$D, MATCH($A222, 'KZ-normalized'!$A:$A, 0))-INDEX('KZ-normalized'!$E:$E, MATCH($A222, 'KZ-normalized'!$A:$A, 0))&gt;0, -(27*INDEX('KZ-normalized'!$D:$D, MATCH($A222, 'KZ-normalized'!$A:$A, 0))-INDEX('KZ-normalized'!$E:$E, MATCH($A222, 'KZ-normalized'!$A:$A, 0))), 0), 0))+(IFERROR(IF(27*INDEX('UZ-normalized'!$D:$D, MATCH($A222, 'UZ-normalized'!$A:$A, 0))-INDEX('UZ-normalized'!$E:$E, MATCH($A222, 'UZ-normalized'!$A:$A, 0))&gt;0, -(27*INDEX('UZ-normalized'!$D:$D, MATCH($A222, 'UZ-normalized'!$A:$A, 0))-INDEX('UZ-normalized'!$E:$E, MATCH($A222, 'UZ-normalized'!$A:$A, 0))), 0), 0)))</f>
        <v>0</v>
      </c>
      <c r="AP222" s="6">
        <f>MIN(0, N222+(IFERROR(IF(28*INDEX('UA-normalized'!$D:$D, MATCH($A222, 'UA-normalized'!$A:$A, 0))-INDEX('UA-normalized'!$E:$E, MATCH($A222, 'UA-normalized'!$A:$A, 0))&gt;0, -(28*INDEX('UA-normalized'!$D:$D, MATCH($A222, 'UA-normalized'!$A:$A, 0))-INDEX('UA-normalized'!$E:$E, MATCH($A222, 'UA-normalized'!$A:$A, 0))), 0), 0))+(IFERROR(IF(28*INDEX('KZ-normalized'!$D:$D, MATCH($A222, 'KZ-normalized'!$A:$A, 0))-INDEX('KZ-normalized'!$E:$E, MATCH($A222, 'KZ-normalized'!$A:$A, 0))&gt;0, -(28*INDEX('KZ-normalized'!$D:$D, MATCH($A222, 'KZ-normalized'!$A:$A, 0))-INDEX('KZ-normalized'!$E:$E, MATCH($A222, 'KZ-normalized'!$A:$A, 0))), 0), 0))+(IFERROR(IF(28*INDEX('UZ-normalized'!$D:$D, MATCH($A222, 'UZ-normalized'!$A:$A, 0))-INDEX('UZ-normalized'!$E:$E, MATCH($A222, 'UZ-normalized'!$A:$A, 0))&gt;0, -(28*INDEX('UZ-normalized'!$D:$D, MATCH($A222, 'UZ-normalized'!$A:$A, 0))-INDEX('UZ-normalized'!$E:$E, MATCH($A222, 'UZ-normalized'!$A:$A, 0))), 0), 0)))</f>
        <v>0</v>
      </c>
      <c r="AQ222" s="6">
        <f>MIN(0, N222+(IFERROR(IF(29*INDEX('UA-normalized'!$D:$D, MATCH($A222, 'UA-normalized'!$A:$A, 0))-INDEX('UA-normalized'!$E:$E, MATCH($A222, 'UA-normalized'!$A:$A, 0))&gt;0, -(29*INDEX('UA-normalized'!$D:$D, MATCH($A222, 'UA-normalized'!$A:$A, 0))-INDEX('UA-normalized'!$E:$E, MATCH($A222, 'UA-normalized'!$A:$A, 0))), 0), 0))+(IFERROR(IF(29*INDEX('KZ-normalized'!$D:$D, MATCH($A222, 'KZ-normalized'!$A:$A, 0))-INDEX('KZ-normalized'!$E:$E, MATCH($A222, 'KZ-normalized'!$A:$A, 0))&gt;0, -(29*INDEX('KZ-normalized'!$D:$D, MATCH($A222, 'KZ-normalized'!$A:$A, 0))-INDEX('KZ-normalized'!$E:$E, MATCH($A222, 'KZ-normalized'!$A:$A, 0))), 0), 0))+(IFERROR(IF(29*INDEX('UZ-normalized'!$D:$D, MATCH($A222, 'UZ-normalized'!$A:$A, 0))-INDEX('UZ-normalized'!$E:$E, MATCH($A222, 'UZ-normalized'!$A:$A, 0))&gt;0, -(29*INDEX('UZ-normalized'!$D:$D, MATCH($A222, 'UZ-normalized'!$A:$A, 0))-INDEX('UZ-normalized'!$E:$E, MATCH($A222, 'UZ-normalized'!$A:$A, 0))), 0), 0)))</f>
        <v>0</v>
      </c>
      <c r="AR222" s="6">
        <f>MIN(0, N222+(IFERROR(IF(30*INDEX('UA-normalized'!$D:$D, MATCH($A222, 'UA-normalized'!$A:$A, 0))-INDEX('UA-normalized'!$E:$E, MATCH($A222, 'UA-normalized'!$A:$A, 0))&gt;0, -(30*INDEX('UA-normalized'!$D:$D, MATCH($A222, 'UA-normalized'!$A:$A, 0))-INDEX('UA-normalized'!$E:$E, MATCH($A222, 'UA-normalized'!$A:$A, 0))), 0), 0))+(IFERROR(IF(30*INDEX('KZ-normalized'!$D:$D, MATCH($A222, 'KZ-normalized'!$A:$A, 0))-INDEX('KZ-normalized'!$E:$E, MATCH($A222, 'KZ-normalized'!$A:$A, 0))&gt;0, -(30*INDEX('KZ-normalized'!$D:$D, MATCH($A222, 'KZ-normalized'!$A:$A, 0))-INDEX('KZ-normalized'!$E:$E, MATCH($A222, 'KZ-normalized'!$A:$A, 0))), 0), 0))+(IFERROR(IF(30*INDEX('UZ-normalized'!$D:$D, MATCH($A222, 'UZ-normalized'!$A:$A, 0))-INDEX('UZ-normalized'!$E:$E, MATCH($A222, 'UZ-normalized'!$A:$A, 0))&gt;0, -(30*INDEX('UZ-normalized'!$D:$D, MATCH($A222, 'UZ-normalized'!$A:$A, 0))-INDEX('UZ-normalized'!$E:$E, MATCH($A222, 'UZ-normalized'!$A:$A, 0))), 0), 0)))</f>
        <v>0</v>
      </c>
    </row>
    <row r="223" spans="1:44" x14ac:dyDescent="0.25">
      <c r="A223" s="8" t="s">
        <v>528</v>
      </c>
      <c r="B223" s="8" t="s">
        <v>492</v>
      </c>
      <c r="C223" s="8" t="s">
        <v>529</v>
      </c>
      <c r="D223" s="8" t="s">
        <v>530</v>
      </c>
      <c r="N223">
        <f t="shared" si="3"/>
        <v>0</v>
      </c>
      <c r="O223" s="6">
        <f>MIN(0, N223+(IFERROR(IF(1*INDEX('UA-normalized'!$D:$D, MATCH($A223, 'UA-normalized'!$A:$A, 0))-INDEX('UA-normalized'!$E:$E, MATCH($A223, 'UA-normalized'!$A:$A, 0))&gt;0, -(1*INDEX('UA-normalized'!$D:$D, MATCH($A223, 'UA-normalized'!$A:$A, 0))-INDEX('UA-normalized'!$E:$E, MATCH($A223, 'UA-normalized'!$A:$A, 0))), 0), 0))+(IFERROR(IF(1*INDEX('KZ-normalized'!$D:$D, MATCH($A223, 'KZ-normalized'!$A:$A, 0))-INDEX('KZ-normalized'!$E:$E, MATCH($A223, 'KZ-normalized'!$A:$A, 0))&gt;0, -(1*INDEX('KZ-normalized'!$D:$D, MATCH($A223, 'KZ-normalized'!$A:$A, 0))-INDEX('KZ-normalized'!$E:$E, MATCH($A223, 'KZ-normalized'!$A:$A, 0))), 0), 0))+(IFERROR(IF(1*INDEX('UZ-normalized'!$D:$D, MATCH($A223, 'UZ-normalized'!$A:$A, 0))-INDEX('UZ-normalized'!$E:$E, MATCH($A223, 'UZ-normalized'!$A:$A, 0))&gt;0, -(1*INDEX('UZ-normalized'!$D:$D, MATCH($A223, 'UZ-normalized'!$A:$A, 0))-INDEX('UZ-normalized'!$E:$E, MATCH($A223, 'UZ-normalized'!$A:$A, 0))), 0), 0)))</f>
        <v>0</v>
      </c>
      <c r="P223" s="6">
        <f>MIN(0, N223+(IFERROR(IF(2*INDEX('UA-normalized'!$D:$D, MATCH($A223, 'UA-normalized'!$A:$A, 0))-INDEX('UA-normalized'!$E:$E, MATCH($A223, 'UA-normalized'!$A:$A, 0))&gt;0, -(2*INDEX('UA-normalized'!$D:$D, MATCH($A223, 'UA-normalized'!$A:$A, 0))-INDEX('UA-normalized'!$E:$E, MATCH($A223, 'UA-normalized'!$A:$A, 0))), 0), 0))+(IFERROR(IF(2*INDEX('KZ-normalized'!$D:$D, MATCH($A223, 'KZ-normalized'!$A:$A, 0))-INDEX('KZ-normalized'!$E:$E, MATCH($A223, 'KZ-normalized'!$A:$A, 0))&gt;0, -(2*INDEX('KZ-normalized'!$D:$D, MATCH($A223, 'KZ-normalized'!$A:$A, 0))-INDEX('KZ-normalized'!$E:$E, MATCH($A223, 'KZ-normalized'!$A:$A, 0))), 0), 0))+(IFERROR(IF(2*INDEX('UZ-normalized'!$D:$D, MATCH($A223, 'UZ-normalized'!$A:$A, 0))-INDEX('UZ-normalized'!$E:$E, MATCH($A223, 'UZ-normalized'!$A:$A, 0))&gt;0, -(2*INDEX('UZ-normalized'!$D:$D, MATCH($A223, 'UZ-normalized'!$A:$A, 0))-INDEX('UZ-normalized'!$E:$E, MATCH($A223, 'UZ-normalized'!$A:$A, 0))), 0), 0)))</f>
        <v>0</v>
      </c>
      <c r="Q223" s="6">
        <f>MIN(0, N223+(IFERROR(IF(3*INDEX('UA-normalized'!$D:$D, MATCH($A223, 'UA-normalized'!$A:$A, 0))-INDEX('UA-normalized'!$E:$E, MATCH($A223, 'UA-normalized'!$A:$A, 0))&gt;0, -(3*INDEX('UA-normalized'!$D:$D, MATCH($A223, 'UA-normalized'!$A:$A, 0))-INDEX('UA-normalized'!$E:$E, MATCH($A223, 'UA-normalized'!$A:$A, 0))), 0), 0))+(IFERROR(IF(3*INDEX('KZ-normalized'!$D:$D, MATCH($A223, 'KZ-normalized'!$A:$A, 0))-INDEX('KZ-normalized'!$E:$E, MATCH($A223, 'KZ-normalized'!$A:$A, 0))&gt;0, -(3*INDEX('KZ-normalized'!$D:$D, MATCH($A223, 'KZ-normalized'!$A:$A, 0))-INDEX('KZ-normalized'!$E:$E, MATCH($A223, 'KZ-normalized'!$A:$A, 0))), 0), 0))+(IFERROR(IF(3*INDEX('UZ-normalized'!$D:$D, MATCH($A223, 'UZ-normalized'!$A:$A, 0))-INDEX('UZ-normalized'!$E:$E, MATCH($A223, 'UZ-normalized'!$A:$A, 0))&gt;0, -(3*INDEX('UZ-normalized'!$D:$D, MATCH($A223, 'UZ-normalized'!$A:$A, 0))-INDEX('UZ-normalized'!$E:$E, MATCH($A223, 'UZ-normalized'!$A:$A, 0))), 0), 0)))</f>
        <v>0</v>
      </c>
      <c r="R223" s="6">
        <f>MIN(0, N223+(IFERROR(IF(4*INDEX('UA-normalized'!$D:$D, MATCH($A223, 'UA-normalized'!$A:$A, 0))-INDEX('UA-normalized'!$E:$E, MATCH($A223, 'UA-normalized'!$A:$A, 0))&gt;0, -(4*INDEX('UA-normalized'!$D:$D, MATCH($A223, 'UA-normalized'!$A:$A, 0))-INDEX('UA-normalized'!$E:$E, MATCH($A223, 'UA-normalized'!$A:$A, 0))), 0), 0))+(IFERROR(IF(4*INDEX('KZ-normalized'!$D:$D, MATCH($A223, 'KZ-normalized'!$A:$A, 0))-INDEX('KZ-normalized'!$E:$E, MATCH($A223, 'KZ-normalized'!$A:$A, 0))&gt;0, -(4*INDEX('KZ-normalized'!$D:$D, MATCH($A223, 'KZ-normalized'!$A:$A, 0))-INDEX('KZ-normalized'!$E:$E, MATCH($A223, 'KZ-normalized'!$A:$A, 0))), 0), 0))+(IFERROR(IF(4*INDEX('UZ-normalized'!$D:$D, MATCH($A223, 'UZ-normalized'!$A:$A, 0))-INDEX('UZ-normalized'!$E:$E, MATCH($A223, 'UZ-normalized'!$A:$A, 0))&gt;0, -(4*INDEX('UZ-normalized'!$D:$D, MATCH($A223, 'UZ-normalized'!$A:$A, 0))-INDEX('UZ-normalized'!$E:$E, MATCH($A223, 'UZ-normalized'!$A:$A, 0))), 0), 0)))</f>
        <v>0</v>
      </c>
      <c r="S223" s="6">
        <f>MIN(0, N223+(IFERROR(IF(5*INDEX('UA-normalized'!$D:$D, MATCH($A223, 'UA-normalized'!$A:$A, 0))-INDEX('UA-normalized'!$E:$E, MATCH($A223, 'UA-normalized'!$A:$A, 0))&gt;0, -(5*INDEX('UA-normalized'!$D:$D, MATCH($A223, 'UA-normalized'!$A:$A, 0))-INDEX('UA-normalized'!$E:$E, MATCH($A223, 'UA-normalized'!$A:$A, 0))), 0), 0))+(IFERROR(IF(5*INDEX('KZ-normalized'!$D:$D, MATCH($A223, 'KZ-normalized'!$A:$A, 0))-INDEX('KZ-normalized'!$E:$E, MATCH($A223, 'KZ-normalized'!$A:$A, 0))&gt;0, -(5*INDEX('KZ-normalized'!$D:$D, MATCH($A223, 'KZ-normalized'!$A:$A, 0))-INDEX('KZ-normalized'!$E:$E, MATCH($A223, 'KZ-normalized'!$A:$A, 0))), 0), 0))+(IFERROR(IF(5*INDEX('UZ-normalized'!$D:$D, MATCH($A223, 'UZ-normalized'!$A:$A, 0))-INDEX('UZ-normalized'!$E:$E, MATCH($A223, 'UZ-normalized'!$A:$A, 0))&gt;0, -(5*INDEX('UZ-normalized'!$D:$D, MATCH($A223, 'UZ-normalized'!$A:$A, 0))-INDEX('UZ-normalized'!$E:$E, MATCH($A223, 'UZ-normalized'!$A:$A, 0))), 0), 0)))</f>
        <v>0</v>
      </c>
      <c r="T223" s="6">
        <f>MIN(0, N223+(IFERROR(IF(6*INDEX('UA-normalized'!$D:$D, MATCH($A223, 'UA-normalized'!$A:$A, 0))-INDEX('UA-normalized'!$E:$E, MATCH($A223, 'UA-normalized'!$A:$A, 0))&gt;0, -(6*INDEX('UA-normalized'!$D:$D, MATCH($A223, 'UA-normalized'!$A:$A, 0))-INDEX('UA-normalized'!$E:$E, MATCH($A223, 'UA-normalized'!$A:$A, 0))), 0), 0))+(IFERROR(IF(6*INDEX('KZ-normalized'!$D:$D, MATCH($A223, 'KZ-normalized'!$A:$A, 0))-INDEX('KZ-normalized'!$E:$E, MATCH($A223, 'KZ-normalized'!$A:$A, 0))&gt;0, -(6*INDEX('KZ-normalized'!$D:$D, MATCH($A223, 'KZ-normalized'!$A:$A, 0))-INDEX('KZ-normalized'!$E:$E, MATCH($A223, 'KZ-normalized'!$A:$A, 0))), 0), 0))+(IFERROR(IF(6*INDEX('UZ-normalized'!$D:$D, MATCH($A223, 'UZ-normalized'!$A:$A, 0))-INDEX('UZ-normalized'!$E:$E, MATCH($A223, 'UZ-normalized'!$A:$A, 0))&gt;0, -(6*INDEX('UZ-normalized'!$D:$D, MATCH($A223, 'UZ-normalized'!$A:$A, 0))-INDEX('UZ-normalized'!$E:$E, MATCH($A223, 'UZ-normalized'!$A:$A, 0))), 0), 0)))</f>
        <v>0</v>
      </c>
      <c r="U223" s="6">
        <f>MIN(0, N223+(IFERROR(IF(7*INDEX('UA-normalized'!$D:$D, MATCH($A223, 'UA-normalized'!$A:$A, 0))-INDEX('UA-normalized'!$E:$E, MATCH($A223, 'UA-normalized'!$A:$A, 0))&gt;0, -(7*INDEX('UA-normalized'!$D:$D, MATCH($A223, 'UA-normalized'!$A:$A, 0))-INDEX('UA-normalized'!$E:$E, MATCH($A223, 'UA-normalized'!$A:$A, 0))), 0), 0))+(IFERROR(IF(7*INDEX('KZ-normalized'!$D:$D, MATCH($A223, 'KZ-normalized'!$A:$A, 0))-INDEX('KZ-normalized'!$E:$E, MATCH($A223, 'KZ-normalized'!$A:$A, 0))&gt;0, -(7*INDEX('KZ-normalized'!$D:$D, MATCH($A223, 'KZ-normalized'!$A:$A, 0))-INDEX('KZ-normalized'!$E:$E, MATCH($A223, 'KZ-normalized'!$A:$A, 0))), 0), 0))+(IFERROR(IF(7*INDEX('UZ-normalized'!$D:$D, MATCH($A223, 'UZ-normalized'!$A:$A, 0))-INDEX('UZ-normalized'!$E:$E, MATCH($A223, 'UZ-normalized'!$A:$A, 0))&gt;0, -(7*INDEX('UZ-normalized'!$D:$D, MATCH($A223, 'UZ-normalized'!$A:$A, 0))-INDEX('UZ-normalized'!$E:$E, MATCH($A223, 'UZ-normalized'!$A:$A, 0))), 0), 0)))</f>
        <v>0</v>
      </c>
      <c r="V223" s="6">
        <f>MIN(0, N223+(IFERROR(IF(8*INDEX('UA-normalized'!$D:$D, MATCH($A223, 'UA-normalized'!$A:$A, 0))-INDEX('UA-normalized'!$E:$E, MATCH($A223, 'UA-normalized'!$A:$A, 0))&gt;0, -(8*INDEX('UA-normalized'!$D:$D, MATCH($A223, 'UA-normalized'!$A:$A, 0))-INDEX('UA-normalized'!$E:$E, MATCH($A223, 'UA-normalized'!$A:$A, 0))), 0), 0))+(IFERROR(IF(8*INDEX('KZ-normalized'!$D:$D, MATCH($A223, 'KZ-normalized'!$A:$A, 0))-INDEX('KZ-normalized'!$E:$E, MATCH($A223, 'KZ-normalized'!$A:$A, 0))&gt;0, -(8*INDEX('KZ-normalized'!$D:$D, MATCH($A223, 'KZ-normalized'!$A:$A, 0))-INDEX('KZ-normalized'!$E:$E, MATCH($A223, 'KZ-normalized'!$A:$A, 0))), 0), 0))+(IFERROR(IF(8*INDEX('UZ-normalized'!$D:$D, MATCH($A223, 'UZ-normalized'!$A:$A, 0))-INDEX('UZ-normalized'!$E:$E, MATCH($A223, 'UZ-normalized'!$A:$A, 0))&gt;0, -(8*INDEX('UZ-normalized'!$D:$D, MATCH($A223, 'UZ-normalized'!$A:$A, 0))-INDEX('UZ-normalized'!$E:$E, MATCH($A223, 'UZ-normalized'!$A:$A, 0))), 0), 0)))</f>
        <v>0</v>
      </c>
      <c r="W223" s="6">
        <f>MIN(0, N223+(IFERROR(IF(9*INDEX('UA-normalized'!$D:$D, MATCH($A223, 'UA-normalized'!$A:$A, 0))-INDEX('UA-normalized'!$E:$E, MATCH($A223, 'UA-normalized'!$A:$A, 0))&gt;0, -(9*INDEX('UA-normalized'!$D:$D, MATCH($A223, 'UA-normalized'!$A:$A, 0))-INDEX('UA-normalized'!$E:$E, MATCH($A223, 'UA-normalized'!$A:$A, 0))), 0), 0))+(IFERROR(IF(9*INDEX('KZ-normalized'!$D:$D, MATCH($A223, 'KZ-normalized'!$A:$A, 0))-INDEX('KZ-normalized'!$E:$E, MATCH($A223, 'KZ-normalized'!$A:$A, 0))&gt;0, -(9*INDEX('KZ-normalized'!$D:$D, MATCH($A223, 'KZ-normalized'!$A:$A, 0))-INDEX('KZ-normalized'!$E:$E, MATCH($A223, 'KZ-normalized'!$A:$A, 0))), 0), 0))+(IFERROR(IF(9*INDEX('UZ-normalized'!$D:$D, MATCH($A223, 'UZ-normalized'!$A:$A, 0))-INDEX('UZ-normalized'!$E:$E, MATCH($A223, 'UZ-normalized'!$A:$A, 0))&gt;0, -(9*INDEX('UZ-normalized'!$D:$D, MATCH($A223, 'UZ-normalized'!$A:$A, 0))-INDEX('UZ-normalized'!$E:$E, MATCH($A223, 'UZ-normalized'!$A:$A, 0))), 0), 0)))</f>
        <v>0</v>
      </c>
      <c r="X223" s="6">
        <f>MIN(0, N223+(IFERROR(IF(10*INDEX('UA-normalized'!$D:$D, MATCH($A223, 'UA-normalized'!$A:$A, 0))-INDEX('UA-normalized'!$E:$E, MATCH($A223, 'UA-normalized'!$A:$A, 0))&gt;0, -(10*INDEX('UA-normalized'!$D:$D, MATCH($A223, 'UA-normalized'!$A:$A, 0))-INDEX('UA-normalized'!$E:$E, MATCH($A223, 'UA-normalized'!$A:$A, 0))), 0), 0))+(IFERROR(IF(10*INDEX('KZ-normalized'!$D:$D, MATCH($A223, 'KZ-normalized'!$A:$A, 0))-INDEX('KZ-normalized'!$E:$E, MATCH($A223, 'KZ-normalized'!$A:$A, 0))&gt;0, -(10*INDEX('KZ-normalized'!$D:$D, MATCH($A223, 'KZ-normalized'!$A:$A, 0))-INDEX('KZ-normalized'!$E:$E, MATCH($A223, 'KZ-normalized'!$A:$A, 0))), 0), 0))+(IFERROR(IF(10*INDEX('UZ-normalized'!$D:$D, MATCH($A223, 'UZ-normalized'!$A:$A, 0))-INDEX('UZ-normalized'!$E:$E, MATCH($A223, 'UZ-normalized'!$A:$A, 0))&gt;0, -(10*INDEX('UZ-normalized'!$D:$D, MATCH($A223, 'UZ-normalized'!$A:$A, 0))-INDEX('UZ-normalized'!$E:$E, MATCH($A223, 'UZ-normalized'!$A:$A, 0))), 0), 0)))</f>
        <v>0</v>
      </c>
      <c r="Y223" s="6">
        <f>MIN(0, N223+(IFERROR(IF(11*INDEX('UA-normalized'!$D:$D, MATCH($A223, 'UA-normalized'!$A:$A, 0))-INDEX('UA-normalized'!$E:$E, MATCH($A223, 'UA-normalized'!$A:$A, 0))&gt;0, -(11*INDEX('UA-normalized'!$D:$D, MATCH($A223, 'UA-normalized'!$A:$A, 0))-INDEX('UA-normalized'!$E:$E, MATCH($A223, 'UA-normalized'!$A:$A, 0))), 0), 0))+(IFERROR(IF(11*INDEX('KZ-normalized'!$D:$D, MATCH($A223, 'KZ-normalized'!$A:$A, 0))-INDEX('KZ-normalized'!$E:$E, MATCH($A223, 'KZ-normalized'!$A:$A, 0))&gt;0, -(11*INDEX('KZ-normalized'!$D:$D, MATCH($A223, 'KZ-normalized'!$A:$A, 0))-INDEX('KZ-normalized'!$E:$E, MATCH($A223, 'KZ-normalized'!$A:$A, 0))), 0), 0))+(IFERROR(IF(11*INDEX('UZ-normalized'!$D:$D, MATCH($A223, 'UZ-normalized'!$A:$A, 0))-INDEX('UZ-normalized'!$E:$E, MATCH($A223, 'UZ-normalized'!$A:$A, 0))&gt;0, -(11*INDEX('UZ-normalized'!$D:$D, MATCH($A223, 'UZ-normalized'!$A:$A, 0))-INDEX('UZ-normalized'!$E:$E, MATCH($A223, 'UZ-normalized'!$A:$A, 0))), 0), 0)))</f>
        <v>0</v>
      </c>
      <c r="Z223" s="6">
        <f>MIN(0, N223+(IFERROR(IF(12*INDEX('UA-normalized'!$D:$D, MATCH($A223, 'UA-normalized'!$A:$A, 0))-INDEX('UA-normalized'!$E:$E, MATCH($A223, 'UA-normalized'!$A:$A, 0))&gt;0, -(12*INDEX('UA-normalized'!$D:$D, MATCH($A223, 'UA-normalized'!$A:$A, 0))-INDEX('UA-normalized'!$E:$E, MATCH($A223, 'UA-normalized'!$A:$A, 0))), 0), 0))+(IFERROR(IF(12*INDEX('KZ-normalized'!$D:$D, MATCH($A223, 'KZ-normalized'!$A:$A, 0))-INDEX('KZ-normalized'!$E:$E, MATCH($A223, 'KZ-normalized'!$A:$A, 0))&gt;0, -(12*INDEX('KZ-normalized'!$D:$D, MATCH($A223, 'KZ-normalized'!$A:$A, 0))-INDEX('KZ-normalized'!$E:$E, MATCH($A223, 'KZ-normalized'!$A:$A, 0))), 0), 0))+(IFERROR(IF(12*INDEX('UZ-normalized'!$D:$D, MATCH($A223, 'UZ-normalized'!$A:$A, 0))-INDEX('UZ-normalized'!$E:$E, MATCH($A223, 'UZ-normalized'!$A:$A, 0))&gt;0, -(12*INDEX('UZ-normalized'!$D:$D, MATCH($A223, 'UZ-normalized'!$A:$A, 0))-INDEX('UZ-normalized'!$E:$E, MATCH($A223, 'UZ-normalized'!$A:$A, 0))), 0), 0)))</f>
        <v>-4.0000000000000924E-2</v>
      </c>
      <c r="AA223" s="6">
        <f>MIN(0, N223+(IFERROR(IF(13*INDEX('UA-normalized'!$D:$D, MATCH($A223, 'UA-normalized'!$A:$A, 0))-INDEX('UA-normalized'!$E:$E, MATCH($A223, 'UA-normalized'!$A:$A, 0))&gt;0, -(13*INDEX('UA-normalized'!$D:$D, MATCH($A223, 'UA-normalized'!$A:$A, 0))-INDEX('UA-normalized'!$E:$E, MATCH($A223, 'UA-normalized'!$A:$A, 0))), 0), 0))+(IFERROR(IF(13*INDEX('KZ-normalized'!$D:$D, MATCH($A223, 'KZ-normalized'!$A:$A, 0))-INDEX('KZ-normalized'!$E:$E, MATCH($A223, 'KZ-normalized'!$A:$A, 0))&gt;0, -(13*INDEX('KZ-normalized'!$D:$D, MATCH($A223, 'KZ-normalized'!$A:$A, 0))-INDEX('KZ-normalized'!$E:$E, MATCH($A223, 'KZ-normalized'!$A:$A, 0))), 0), 0))+(IFERROR(IF(13*INDEX('UZ-normalized'!$D:$D, MATCH($A223, 'UZ-normalized'!$A:$A, 0))-INDEX('UZ-normalized'!$E:$E, MATCH($A223, 'UZ-normalized'!$A:$A, 0))&gt;0, -(13*INDEX('UZ-normalized'!$D:$D, MATCH($A223, 'UZ-normalized'!$A:$A, 0))-INDEX('UZ-normalized'!$E:$E, MATCH($A223, 'UZ-normalized'!$A:$A, 0))), 0), 0)))</f>
        <v>-0.71000000000000085</v>
      </c>
      <c r="AB223" s="6">
        <f>MIN(0, N223+(IFERROR(IF(14*INDEX('UA-normalized'!$D:$D, MATCH($A223, 'UA-normalized'!$A:$A, 0))-INDEX('UA-normalized'!$E:$E, MATCH($A223, 'UA-normalized'!$A:$A, 0))&gt;0, -(14*INDEX('UA-normalized'!$D:$D, MATCH($A223, 'UA-normalized'!$A:$A, 0))-INDEX('UA-normalized'!$E:$E, MATCH($A223, 'UA-normalized'!$A:$A, 0))), 0), 0))+(IFERROR(IF(14*INDEX('KZ-normalized'!$D:$D, MATCH($A223, 'KZ-normalized'!$A:$A, 0))-INDEX('KZ-normalized'!$E:$E, MATCH($A223, 'KZ-normalized'!$A:$A, 0))&gt;0, -(14*INDEX('KZ-normalized'!$D:$D, MATCH($A223, 'KZ-normalized'!$A:$A, 0))-INDEX('KZ-normalized'!$E:$E, MATCH($A223, 'KZ-normalized'!$A:$A, 0))), 0), 0))+(IFERROR(IF(14*INDEX('UZ-normalized'!$D:$D, MATCH($A223, 'UZ-normalized'!$A:$A, 0))-INDEX('UZ-normalized'!$E:$E, MATCH($A223, 'UZ-normalized'!$A:$A, 0))&gt;0, -(14*INDEX('UZ-normalized'!$D:$D, MATCH($A223, 'UZ-normalized'!$A:$A, 0))-INDEX('UZ-normalized'!$E:$E, MATCH($A223, 'UZ-normalized'!$A:$A, 0))), 0), 0)))</f>
        <v>-1.3800000000000008</v>
      </c>
      <c r="AC223" s="6">
        <f>MIN(0, N223+(IFERROR(IF(15*INDEX('UA-normalized'!$D:$D, MATCH($A223, 'UA-normalized'!$A:$A, 0))-INDEX('UA-normalized'!$E:$E, MATCH($A223, 'UA-normalized'!$A:$A, 0))&gt;0, -(15*INDEX('UA-normalized'!$D:$D, MATCH($A223, 'UA-normalized'!$A:$A, 0))-INDEX('UA-normalized'!$E:$E, MATCH($A223, 'UA-normalized'!$A:$A, 0))), 0), 0))+(IFERROR(IF(15*INDEX('KZ-normalized'!$D:$D, MATCH($A223, 'KZ-normalized'!$A:$A, 0))-INDEX('KZ-normalized'!$E:$E, MATCH($A223, 'KZ-normalized'!$A:$A, 0))&gt;0, -(15*INDEX('KZ-normalized'!$D:$D, MATCH($A223, 'KZ-normalized'!$A:$A, 0))-INDEX('KZ-normalized'!$E:$E, MATCH($A223, 'KZ-normalized'!$A:$A, 0))), 0), 0))+(IFERROR(IF(15*INDEX('UZ-normalized'!$D:$D, MATCH($A223, 'UZ-normalized'!$A:$A, 0))-INDEX('UZ-normalized'!$E:$E, MATCH($A223, 'UZ-normalized'!$A:$A, 0))&gt;0, -(15*INDEX('UZ-normalized'!$D:$D, MATCH($A223, 'UZ-normalized'!$A:$A, 0))-INDEX('UZ-normalized'!$E:$E, MATCH($A223, 'UZ-normalized'!$A:$A, 0))), 0), 0)))</f>
        <v>-2.0500000000000007</v>
      </c>
      <c r="AD223" s="6">
        <f>MIN(0, N223+(IFERROR(IF(16*INDEX('UA-normalized'!$D:$D, MATCH($A223, 'UA-normalized'!$A:$A, 0))-INDEX('UA-normalized'!$E:$E, MATCH($A223, 'UA-normalized'!$A:$A, 0))&gt;0, -(16*INDEX('UA-normalized'!$D:$D, MATCH($A223, 'UA-normalized'!$A:$A, 0))-INDEX('UA-normalized'!$E:$E, MATCH($A223, 'UA-normalized'!$A:$A, 0))), 0), 0))+(IFERROR(IF(16*INDEX('KZ-normalized'!$D:$D, MATCH($A223, 'KZ-normalized'!$A:$A, 0))-INDEX('KZ-normalized'!$E:$E, MATCH($A223, 'KZ-normalized'!$A:$A, 0))&gt;0, -(16*INDEX('KZ-normalized'!$D:$D, MATCH($A223, 'KZ-normalized'!$A:$A, 0))-INDEX('KZ-normalized'!$E:$E, MATCH($A223, 'KZ-normalized'!$A:$A, 0))), 0), 0))+(IFERROR(IF(16*INDEX('UZ-normalized'!$D:$D, MATCH($A223, 'UZ-normalized'!$A:$A, 0))-INDEX('UZ-normalized'!$E:$E, MATCH($A223, 'UZ-normalized'!$A:$A, 0))&gt;0, -(16*INDEX('UZ-normalized'!$D:$D, MATCH($A223, 'UZ-normalized'!$A:$A, 0))-INDEX('UZ-normalized'!$E:$E, MATCH($A223, 'UZ-normalized'!$A:$A, 0))), 0), 0)))</f>
        <v>-2.7200000000000006</v>
      </c>
      <c r="AE223" s="6">
        <f>MIN(0, N223+(IFERROR(IF(17*INDEX('UA-normalized'!$D:$D, MATCH($A223, 'UA-normalized'!$A:$A, 0))-INDEX('UA-normalized'!$E:$E, MATCH($A223, 'UA-normalized'!$A:$A, 0))&gt;0, -(17*INDEX('UA-normalized'!$D:$D, MATCH($A223, 'UA-normalized'!$A:$A, 0))-INDEX('UA-normalized'!$E:$E, MATCH($A223, 'UA-normalized'!$A:$A, 0))), 0), 0))+(IFERROR(IF(17*INDEX('KZ-normalized'!$D:$D, MATCH($A223, 'KZ-normalized'!$A:$A, 0))-INDEX('KZ-normalized'!$E:$E, MATCH($A223, 'KZ-normalized'!$A:$A, 0))&gt;0, -(17*INDEX('KZ-normalized'!$D:$D, MATCH($A223, 'KZ-normalized'!$A:$A, 0))-INDEX('KZ-normalized'!$E:$E, MATCH($A223, 'KZ-normalized'!$A:$A, 0))), 0), 0))+(IFERROR(IF(17*INDEX('UZ-normalized'!$D:$D, MATCH($A223, 'UZ-normalized'!$A:$A, 0))-INDEX('UZ-normalized'!$E:$E, MATCH($A223, 'UZ-normalized'!$A:$A, 0))&gt;0, -(17*INDEX('UZ-normalized'!$D:$D, MATCH($A223, 'UZ-normalized'!$A:$A, 0))-INDEX('UZ-normalized'!$E:$E, MATCH($A223, 'UZ-normalized'!$A:$A, 0))), 0), 0)))</f>
        <v>-3.3900000000000006</v>
      </c>
      <c r="AF223" s="6">
        <f>MIN(0, N223+(IFERROR(IF(18*INDEX('UA-normalized'!$D:$D, MATCH($A223, 'UA-normalized'!$A:$A, 0))-INDEX('UA-normalized'!$E:$E, MATCH($A223, 'UA-normalized'!$A:$A, 0))&gt;0, -(18*INDEX('UA-normalized'!$D:$D, MATCH($A223, 'UA-normalized'!$A:$A, 0))-INDEX('UA-normalized'!$E:$E, MATCH($A223, 'UA-normalized'!$A:$A, 0))), 0), 0))+(IFERROR(IF(18*INDEX('KZ-normalized'!$D:$D, MATCH($A223, 'KZ-normalized'!$A:$A, 0))-INDEX('KZ-normalized'!$E:$E, MATCH($A223, 'KZ-normalized'!$A:$A, 0))&gt;0, -(18*INDEX('KZ-normalized'!$D:$D, MATCH($A223, 'KZ-normalized'!$A:$A, 0))-INDEX('KZ-normalized'!$E:$E, MATCH($A223, 'KZ-normalized'!$A:$A, 0))), 0), 0))+(IFERROR(IF(18*INDEX('UZ-normalized'!$D:$D, MATCH($A223, 'UZ-normalized'!$A:$A, 0))-INDEX('UZ-normalized'!$E:$E, MATCH($A223, 'UZ-normalized'!$A:$A, 0))&gt;0, -(18*INDEX('UZ-normalized'!$D:$D, MATCH($A223, 'UZ-normalized'!$A:$A, 0))-INDEX('UZ-normalized'!$E:$E, MATCH($A223, 'UZ-normalized'!$A:$A, 0))), 0), 0)))</f>
        <v>-4.0600000000000005</v>
      </c>
      <c r="AG223" s="6">
        <f>MIN(0, N223+(IFERROR(IF(19*INDEX('UA-normalized'!$D:$D, MATCH($A223, 'UA-normalized'!$A:$A, 0))-INDEX('UA-normalized'!$E:$E, MATCH($A223, 'UA-normalized'!$A:$A, 0))&gt;0, -(19*INDEX('UA-normalized'!$D:$D, MATCH($A223, 'UA-normalized'!$A:$A, 0))-INDEX('UA-normalized'!$E:$E, MATCH($A223, 'UA-normalized'!$A:$A, 0))), 0), 0))+(IFERROR(IF(19*INDEX('KZ-normalized'!$D:$D, MATCH($A223, 'KZ-normalized'!$A:$A, 0))-INDEX('KZ-normalized'!$E:$E, MATCH($A223, 'KZ-normalized'!$A:$A, 0))&gt;0, -(19*INDEX('KZ-normalized'!$D:$D, MATCH($A223, 'KZ-normalized'!$A:$A, 0))-INDEX('KZ-normalized'!$E:$E, MATCH($A223, 'KZ-normalized'!$A:$A, 0))), 0), 0))+(IFERROR(IF(19*INDEX('UZ-normalized'!$D:$D, MATCH($A223, 'UZ-normalized'!$A:$A, 0))-INDEX('UZ-normalized'!$E:$E, MATCH($A223, 'UZ-normalized'!$A:$A, 0))&gt;0, -(19*INDEX('UZ-normalized'!$D:$D, MATCH($A223, 'UZ-normalized'!$A:$A, 0))-INDEX('UZ-normalized'!$E:$E, MATCH($A223, 'UZ-normalized'!$A:$A, 0))), 0), 0)))</f>
        <v>-4.7300000000000004</v>
      </c>
      <c r="AH223" s="6">
        <f>MIN(0, N223+(IFERROR(IF(20*INDEX('UA-normalized'!$D:$D, MATCH($A223, 'UA-normalized'!$A:$A, 0))-INDEX('UA-normalized'!$E:$E, MATCH($A223, 'UA-normalized'!$A:$A, 0))&gt;0, -(20*INDEX('UA-normalized'!$D:$D, MATCH($A223, 'UA-normalized'!$A:$A, 0))-INDEX('UA-normalized'!$E:$E, MATCH($A223, 'UA-normalized'!$A:$A, 0))), 0), 0))+(IFERROR(IF(20*INDEX('KZ-normalized'!$D:$D, MATCH($A223, 'KZ-normalized'!$A:$A, 0))-INDEX('KZ-normalized'!$E:$E, MATCH($A223, 'KZ-normalized'!$A:$A, 0))&gt;0, -(20*INDEX('KZ-normalized'!$D:$D, MATCH($A223, 'KZ-normalized'!$A:$A, 0))-INDEX('KZ-normalized'!$E:$E, MATCH($A223, 'KZ-normalized'!$A:$A, 0))), 0), 0))+(IFERROR(IF(20*INDEX('UZ-normalized'!$D:$D, MATCH($A223, 'UZ-normalized'!$A:$A, 0))-INDEX('UZ-normalized'!$E:$E, MATCH($A223, 'UZ-normalized'!$A:$A, 0))&gt;0, -(20*INDEX('UZ-normalized'!$D:$D, MATCH($A223, 'UZ-normalized'!$A:$A, 0))-INDEX('UZ-normalized'!$E:$E, MATCH($A223, 'UZ-normalized'!$A:$A, 0))), 0), 0)))</f>
        <v>-5.4</v>
      </c>
      <c r="AI223" s="6">
        <f>MIN(0, N223+(IFERROR(IF(21*INDEX('UA-normalized'!$D:$D, MATCH($A223, 'UA-normalized'!$A:$A, 0))-INDEX('UA-normalized'!$E:$E, MATCH($A223, 'UA-normalized'!$A:$A, 0))&gt;0, -(21*INDEX('UA-normalized'!$D:$D, MATCH($A223, 'UA-normalized'!$A:$A, 0))-INDEX('UA-normalized'!$E:$E, MATCH($A223, 'UA-normalized'!$A:$A, 0))), 0), 0))+(IFERROR(IF(21*INDEX('KZ-normalized'!$D:$D, MATCH($A223, 'KZ-normalized'!$A:$A, 0))-INDEX('KZ-normalized'!$E:$E, MATCH($A223, 'KZ-normalized'!$A:$A, 0))&gt;0, -(21*INDEX('KZ-normalized'!$D:$D, MATCH($A223, 'KZ-normalized'!$A:$A, 0))-INDEX('KZ-normalized'!$E:$E, MATCH($A223, 'KZ-normalized'!$A:$A, 0))), 0), 0))+(IFERROR(IF(21*INDEX('UZ-normalized'!$D:$D, MATCH($A223, 'UZ-normalized'!$A:$A, 0))-INDEX('UZ-normalized'!$E:$E, MATCH($A223, 'UZ-normalized'!$A:$A, 0))&gt;0, -(21*INDEX('UZ-normalized'!$D:$D, MATCH($A223, 'UZ-normalized'!$A:$A, 0))-INDEX('UZ-normalized'!$E:$E, MATCH($A223, 'UZ-normalized'!$A:$A, 0))), 0), 0)))</f>
        <v>-6.07</v>
      </c>
      <c r="AJ223" s="6">
        <f>MIN(0, N223+(IFERROR(IF(22*INDEX('UA-normalized'!$D:$D, MATCH($A223, 'UA-normalized'!$A:$A, 0))-INDEX('UA-normalized'!$E:$E, MATCH($A223, 'UA-normalized'!$A:$A, 0))&gt;0, -(22*INDEX('UA-normalized'!$D:$D, MATCH($A223, 'UA-normalized'!$A:$A, 0))-INDEX('UA-normalized'!$E:$E, MATCH($A223, 'UA-normalized'!$A:$A, 0))), 0), 0))+(IFERROR(IF(22*INDEX('KZ-normalized'!$D:$D, MATCH($A223, 'KZ-normalized'!$A:$A, 0))-INDEX('KZ-normalized'!$E:$E, MATCH($A223, 'KZ-normalized'!$A:$A, 0))&gt;0, -(22*INDEX('KZ-normalized'!$D:$D, MATCH($A223, 'KZ-normalized'!$A:$A, 0))-INDEX('KZ-normalized'!$E:$E, MATCH($A223, 'KZ-normalized'!$A:$A, 0))), 0), 0))+(IFERROR(IF(22*INDEX('UZ-normalized'!$D:$D, MATCH($A223, 'UZ-normalized'!$A:$A, 0))-INDEX('UZ-normalized'!$E:$E, MATCH($A223, 'UZ-normalized'!$A:$A, 0))&gt;0, -(22*INDEX('UZ-normalized'!$D:$D, MATCH($A223, 'UZ-normalized'!$A:$A, 0))-INDEX('UZ-normalized'!$E:$E, MATCH($A223, 'UZ-normalized'!$A:$A, 0))), 0), 0)))</f>
        <v>-6.74</v>
      </c>
      <c r="AK223" s="6">
        <f>MIN(0, N223+(IFERROR(IF(23*INDEX('UA-normalized'!$D:$D, MATCH($A223, 'UA-normalized'!$A:$A, 0))-INDEX('UA-normalized'!$E:$E, MATCH($A223, 'UA-normalized'!$A:$A, 0))&gt;0, -(23*INDEX('UA-normalized'!$D:$D, MATCH($A223, 'UA-normalized'!$A:$A, 0))-INDEX('UA-normalized'!$E:$E, MATCH($A223, 'UA-normalized'!$A:$A, 0))), 0), 0))+(IFERROR(IF(23*INDEX('KZ-normalized'!$D:$D, MATCH($A223, 'KZ-normalized'!$A:$A, 0))-INDEX('KZ-normalized'!$E:$E, MATCH($A223, 'KZ-normalized'!$A:$A, 0))&gt;0, -(23*INDEX('KZ-normalized'!$D:$D, MATCH($A223, 'KZ-normalized'!$A:$A, 0))-INDEX('KZ-normalized'!$E:$E, MATCH($A223, 'KZ-normalized'!$A:$A, 0))), 0), 0))+(IFERROR(IF(23*INDEX('UZ-normalized'!$D:$D, MATCH($A223, 'UZ-normalized'!$A:$A, 0))-INDEX('UZ-normalized'!$E:$E, MATCH($A223, 'UZ-normalized'!$A:$A, 0))&gt;0, -(23*INDEX('UZ-normalized'!$D:$D, MATCH($A223, 'UZ-normalized'!$A:$A, 0))-INDEX('UZ-normalized'!$E:$E, MATCH($A223, 'UZ-normalized'!$A:$A, 0))), 0), 0)))</f>
        <v>-7.41</v>
      </c>
      <c r="AL223" s="6">
        <f>MIN(0, N223+(IFERROR(IF(24*INDEX('UA-normalized'!$D:$D, MATCH($A223, 'UA-normalized'!$A:$A, 0))-INDEX('UA-normalized'!$E:$E, MATCH($A223, 'UA-normalized'!$A:$A, 0))&gt;0, -(24*INDEX('UA-normalized'!$D:$D, MATCH($A223, 'UA-normalized'!$A:$A, 0))-INDEX('UA-normalized'!$E:$E, MATCH($A223, 'UA-normalized'!$A:$A, 0))), 0), 0))+(IFERROR(IF(24*INDEX('KZ-normalized'!$D:$D, MATCH($A223, 'KZ-normalized'!$A:$A, 0))-INDEX('KZ-normalized'!$E:$E, MATCH($A223, 'KZ-normalized'!$A:$A, 0))&gt;0, -(24*INDEX('KZ-normalized'!$D:$D, MATCH($A223, 'KZ-normalized'!$A:$A, 0))-INDEX('KZ-normalized'!$E:$E, MATCH($A223, 'KZ-normalized'!$A:$A, 0))), 0), 0))+(IFERROR(IF(24*INDEX('UZ-normalized'!$D:$D, MATCH($A223, 'UZ-normalized'!$A:$A, 0))-INDEX('UZ-normalized'!$E:$E, MATCH($A223, 'UZ-normalized'!$A:$A, 0))&gt;0, -(24*INDEX('UZ-normalized'!$D:$D, MATCH($A223, 'UZ-normalized'!$A:$A, 0))-INDEX('UZ-normalized'!$E:$E, MATCH($A223, 'UZ-normalized'!$A:$A, 0))), 0), 0)))</f>
        <v>-8.0800000000000018</v>
      </c>
      <c r="AM223" s="6">
        <f>MIN(0, N223+(IFERROR(IF(25*INDEX('UA-normalized'!$D:$D, MATCH($A223, 'UA-normalized'!$A:$A, 0))-INDEX('UA-normalized'!$E:$E, MATCH($A223, 'UA-normalized'!$A:$A, 0))&gt;0, -(25*INDEX('UA-normalized'!$D:$D, MATCH($A223, 'UA-normalized'!$A:$A, 0))-INDEX('UA-normalized'!$E:$E, MATCH($A223, 'UA-normalized'!$A:$A, 0))), 0), 0))+(IFERROR(IF(25*INDEX('KZ-normalized'!$D:$D, MATCH($A223, 'KZ-normalized'!$A:$A, 0))-INDEX('KZ-normalized'!$E:$E, MATCH($A223, 'KZ-normalized'!$A:$A, 0))&gt;0, -(25*INDEX('KZ-normalized'!$D:$D, MATCH($A223, 'KZ-normalized'!$A:$A, 0))-INDEX('KZ-normalized'!$E:$E, MATCH($A223, 'KZ-normalized'!$A:$A, 0))), 0), 0))+(IFERROR(IF(25*INDEX('UZ-normalized'!$D:$D, MATCH($A223, 'UZ-normalized'!$A:$A, 0))-INDEX('UZ-normalized'!$E:$E, MATCH($A223, 'UZ-normalized'!$A:$A, 0))&gt;0, -(25*INDEX('UZ-normalized'!$D:$D, MATCH($A223, 'UZ-normalized'!$A:$A, 0))-INDEX('UZ-normalized'!$E:$E, MATCH($A223, 'UZ-normalized'!$A:$A, 0))), 0), 0)))</f>
        <v>-8.75</v>
      </c>
      <c r="AN223" s="6">
        <f>MIN(0, N223+(IFERROR(IF(26*INDEX('UA-normalized'!$D:$D, MATCH($A223, 'UA-normalized'!$A:$A, 0))-INDEX('UA-normalized'!$E:$E, MATCH($A223, 'UA-normalized'!$A:$A, 0))&gt;0, -(26*INDEX('UA-normalized'!$D:$D, MATCH($A223, 'UA-normalized'!$A:$A, 0))-INDEX('UA-normalized'!$E:$E, MATCH($A223, 'UA-normalized'!$A:$A, 0))), 0), 0))+(IFERROR(IF(26*INDEX('KZ-normalized'!$D:$D, MATCH($A223, 'KZ-normalized'!$A:$A, 0))-INDEX('KZ-normalized'!$E:$E, MATCH($A223, 'KZ-normalized'!$A:$A, 0))&gt;0, -(26*INDEX('KZ-normalized'!$D:$D, MATCH($A223, 'KZ-normalized'!$A:$A, 0))-INDEX('KZ-normalized'!$E:$E, MATCH($A223, 'KZ-normalized'!$A:$A, 0))), 0), 0))+(IFERROR(IF(26*INDEX('UZ-normalized'!$D:$D, MATCH($A223, 'UZ-normalized'!$A:$A, 0))-INDEX('UZ-normalized'!$E:$E, MATCH($A223, 'UZ-normalized'!$A:$A, 0))&gt;0, -(26*INDEX('UZ-normalized'!$D:$D, MATCH($A223, 'UZ-normalized'!$A:$A, 0))-INDEX('UZ-normalized'!$E:$E, MATCH($A223, 'UZ-normalized'!$A:$A, 0))), 0), 0)))</f>
        <v>-9.4200000000000017</v>
      </c>
      <c r="AO223" s="6">
        <f>MIN(0, N223+(IFERROR(IF(27*INDEX('UA-normalized'!$D:$D, MATCH($A223, 'UA-normalized'!$A:$A, 0))-INDEX('UA-normalized'!$E:$E, MATCH($A223, 'UA-normalized'!$A:$A, 0))&gt;0, -(27*INDEX('UA-normalized'!$D:$D, MATCH($A223, 'UA-normalized'!$A:$A, 0))-INDEX('UA-normalized'!$E:$E, MATCH($A223, 'UA-normalized'!$A:$A, 0))), 0), 0))+(IFERROR(IF(27*INDEX('KZ-normalized'!$D:$D, MATCH($A223, 'KZ-normalized'!$A:$A, 0))-INDEX('KZ-normalized'!$E:$E, MATCH($A223, 'KZ-normalized'!$A:$A, 0))&gt;0, -(27*INDEX('KZ-normalized'!$D:$D, MATCH($A223, 'KZ-normalized'!$A:$A, 0))-INDEX('KZ-normalized'!$E:$E, MATCH($A223, 'KZ-normalized'!$A:$A, 0))), 0), 0))+(IFERROR(IF(27*INDEX('UZ-normalized'!$D:$D, MATCH($A223, 'UZ-normalized'!$A:$A, 0))-INDEX('UZ-normalized'!$E:$E, MATCH($A223, 'UZ-normalized'!$A:$A, 0))&gt;0, -(27*INDEX('UZ-normalized'!$D:$D, MATCH($A223, 'UZ-normalized'!$A:$A, 0))-INDEX('UZ-normalized'!$E:$E, MATCH($A223, 'UZ-normalized'!$A:$A, 0))), 0), 0)))</f>
        <v>-10.09</v>
      </c>
      <c r="AP223" s="6">
        <f>MIN(0, N223+(IFERROR(IF(28*INDEX('UA-normalized'!$D:$D, MATCH($A223, 'UA-normalized'!$A:$A, 0))-INDEX('UA-normalized'!$E:$E, MATCH($A223, 'UA-normalized'!$A:$A, 0))&gt;0, -(28*INDEX('UA-normalized'!$D:$D, MATCH($A223, 'UA-normalized'!$A:$A, 0))-INDEX('UA-normalized'!$E:$E, MATCH($A223, 'UA-normalized'!$A:$A, 0))), 0), 0))+(IFERROR(IF(28*INDEX('KZ-normalized'!$D:$D, MATCH($A223, 'KZ-normalized'!$A:$A, 0))-INDEX('KZ-normalized'!$E:$E, MATCH($A223, 'KZ-normalized'!$A:$A, 0))&gt;0, -(28*INDEX('KZ-normalized'!$D:$D, MATCH($A223, 'KZ-normalized'!$A:$A, 0))-INDEX('KZ-normalized'!$E:$E, MATCH($A223, 'KZ-normalized'!$A:$A, 0))), 0), 0))+(IFERROR(IF(28*INDEX('UZ-normalized'!$D:$D, MATCH($A223, 'UZ-normalized'!$A:$A, 0))-INDEX('UZ-normalized'!$E:$E, MATCH($A223, 'UZ-normalized'!$A:$A, 0))&gt;0, -(28*INDEX('UZ-normalized'!$D:$D, MATCH($A223, 'UZ-normalized'!$A:$A, 0))-INDEX('UZ-normalized'!$E:$E, MATCH($A223, 'UZ-normalized'!$A:$A, 0))), 0), 0)))</f>
        <v>-10.760000000000002</v>
      </c>
      <c r="AQ223" s="6">
        <f>MIN(0, N223+(IFERROR(IF(29*INDEX('UA-normalized'!$D:$D, MATCH($A223, 'UA-normalized'!$A:$A, 0))-INDEX('UA-normalized'!$E:$E, MATCH($A223, 'UA-normalized'!$A:$A, 0))&gt;0, -(29*INDEX('UA-normalized'!$D:$D, MATCH($A223, 'UA-normalized'!$A:$A, 0))-INDEX('UA-normalized'!$E:$E, MATCH($A223, 'UA-normalized'!$A:$A, 0))), 0), 0))+(IFERROR(IF(29*INDEX('KZ-normalized'!$D:$D, MATCH($A223, 'KZ-normalized'!$A:$A, 0))-INDEX('KZ-normalized'!$E:$E, MATCH($A223, 'KZ-normalized'!$A:$A, 0))&gt;0, -(29*INDEX('KZ-normalized'!$D:$D, MATCH($A223, 'KZ-normalized'!$A:$A, 0))-INDEX('KZ-normalized'!$E:$E, MATCH($A223, 'KZ-normalized'!$A:$A, 0))), 0), 0))+(IFERROR(IF(29*INDEX('UZ-normalized'!$D:$D, MATCH($A223, 'UZ-normalized'!$A:$A, 0))-INDEX('UZ-normalized'!$E:$E, MATCH($A223, 'UZ-normalized'!$A:$A, 0))&gt;0, -(29*INDEX('UZ-normalized'!$D:$D, MATCH($A223, 'UZ-normalized'!$A:$A, 0))-INDEX('UZ-normalized'!$E:$E, MATCH($A223, 'UZ-normalized'!$A:$A, 0))), 0), 0)))</f>
        <v>-11.43</v>
      </c>
      <c r="AR223" s="6">
        <f>MIN(0, N223+(IFERROR(IF(30*INDEX('UA-normalized'!$D:$D, MATCH($A223, 'UA-normalized'!$A:$A, 0))-INDEX('UA-normalized'!$E:$E, MATCH($A223, 'UA-normalized'!$A:$A, 0))&gt;0, -(30*INDEX('UA-normalized'!$D:$D, MATCH($A223, 'UA-normalized'!$A:$A, 0))-INDEX('UA-normalized'!$E:$E, MATCH($A223, 'UA-normalized'!$A:$A, 0))), 0), 0))+(IFERROR(IF(30*INDEX('KZ-normalized'!$D:$D, MATCH($A223, 'KZ-normalized'!$A:$A, 0))-INDEX('KZ-normalized'!$E:$E, MATCH($A223, 'KZ-normalized'!$A:$A, 0))&gt;0, -(30*INDEX('KZ-normalized'!$D:$D, MATCH($A223, 'KZ-normalized'!$A:$A, 0))-INDEX('KZ-normalized'!$E:$E, MATCH($A223, 'KZ-normalized'!$A:$A, 0))), 0), 0))+(IFERROR(IF(30*INDEX('UZ-normalized'!$D:$D, MATCH($A223, 'UZ-normalized'!$A:$A, 0))-INDEX('UZ-normalized'!$E:$E, MATCH($A223, 'UZ-normalized'!$A:$A, 0))&gt;0, -(30*INDEX('UZ-normalized'!$D:$D, MATCH($A223, 'UZ-normalized'!$A:$A, 0))-INDEX('UZ-normalized'!$E:$E, MATCH($A223, 'UZ-normalized'!$A:$A, 0))), 0), 0)))</f>
        <v>-12.100000000000001</v>
      </c>
    </row>
    <row r="224" spans="1:44" x14ac:dyDescent="0.25">
      <c r="A224" s="8" t="s">
        <v>531</v>
      </c>
      <c r="B224" s="8" t="s">
        <v>492</v>
      </c>
      <c r="C224" s="8" t="s">
        <v>529</v>
      </c>
      <c r="D224" s="8" t="s">
        <v>532</v>
      </c>
      <c r="N224">
        <f t="shared" si="3"/>
        <v>0</v>
      </c>
      <c r="O224" s="6">
        <f>MIN(0, N224+(IFERROR(IF(1*INDEX('UA-normalized'!$D:$D, MATCH($A224, 'UA-normalized'!$A:$A, 0))-INDEX('UA-normalized'!$E:$E, MATCH($A224, 'UA-normalized'!$A:$A, 0))&gt;0, -(1*INDEX('UA-normalized'!$D:$D, MATCH($A224, 'UA-normalized'!$A:$A, 0))-INDEX('UA-normalized'!$E:$E, MATCH($A224, 'UA-normalized'!$A:$A, 0))), 0), 0))+(IFERROR(IF(1*INDEX('KZ-normalized'!$D:$D, MATCH($A224, 'KZ-normalized'!$A:$A, 0))-INDEX('KZ-normalized'!$E:$E, MATCH($A224, 'KZ-normalized'!$A:$A, 0))&gt;0, -(1*INDEX('KZ-normalized'!$D:$D, MATCH($A224, 'KZ-normalized'!$A:$A, 0))-INDEX('KZ-normalized'!$E:$E, MATCH($A224, 'KZ-normalized'!$A:$A, 0))), 0), 0))+(IFERROR(IF(1*INDEX('UZ-normalized'!$D:$D, MATCH($A224, 'UZ-normalized'!$A:$A, 0))-INDEX('UZ-normalized'!$E:$E, MATCH($A224, 'UZ-normalized'!$A:$A, 0))&gt;0, -(1*INDEX('UZ-normalized'!$D:$D, MATCH($A224, 'UZ-normalized'!$A:$A, 0))-INDEX('UZ-normalized'!$E:$E, MATCH($A224, 'UZ-normalized'!$A:$A, 0))), 0), 0)))</f>
        <v>0</v>
      </c>
      <c r="P224" s="6">
        <f>MIN(0, N224+(IFERROR(IF(2*INDEX('UA-normalized'!$D:$D, MATCH($A224, 'UA-normalized'!$A:$A, 0))-INDEX('UA-normalized'!$E:$E, MATCH($A224, 'UA-normalized'!$A:$A, 0))&gt;0, -(2*INDEX('UA-normalized'!$D:$D, MATCH($A224, 'UA-normalized'!$A:$A, 0))-INDEX('UA-normalized'!$E:$E, MATCH($A224, 'UA-normalized'!$A:$A, 0))), 0), 0))+(IFERROR(IF(2*INDEX('KZ-normalized'!$D:$D, MATCH($A224, 'KZ-normalized'!$A:$A, 0))-INDEX('KZ-normalized'!$E:$E, MATCH($A224, 'KZ-normalized'!$A:$A, 0))&gt;0, -(2*INDEX('KZ-normalized'!$D:$D, MATCH($A224, 'KZ-normalized'!$A:$A, 0))-INDEX('KZ-normalized'!$E:$E, MATCH($A224, 'KZ-normalized'!$A:$A, 0))), 0), 0))+(IFERROR(IF(2*INDEX('UZ-normalized'!$D:$D, MATCH($A224, 'UZ-normalized'!$A:$A, 0))-INDEX('UZ-normalized'!$E:$E, MATCH($A224, 'UZ-normalized'!$A:$A, 0))&gt;0, -(2*INDEX('UZ-normalized'!$D:$D, MATCH($A224, 'UZ-normalized'!$A:$A, 0))-INDEX('UZ-normalized'!$E:$E, MATCH($A224, 'UZ-normalized'!$A:$A, 0))), 0), 0)))</f>
        <v>0</v>
      </c>
      <c r="Q224" s="6">
        <f>MIN(0, N224+(IFERROR(IF(3*INDEX('UA-normalized'!$D:$D, MATCH($A224, 'UA-normalized'!$A:$A, 0))-INDEX('UA-normalized'!$E:$E, MATCH($A224, 'UA-normalized'!$A:$A, 0))&gt;0, -(3*INDEX('UA-normalized'!$D:$D, MATCH($A224, 'UA-normalized'!$A:$A, 0))-INDEX('UA-normalized'!$E:$E, MATCH($A224, 'UA-normalized'!$A:$A, 0))), 0), 0))+(IFERROR(IF(3*INDEX('KZ-normalized'!$D:$D, MATCH($A224, 'KZ-normalized'!$A:$A, 0))-INDEX('KZ-normalized'!$E:$E, MATCH($A224, 'KZ-normalized'!$A:$A, 0))&gt;0, -(3*INDEX('KZ-normalized'!$D:$D, MATCH($A224, 'KZ-normalized'!$A:$A, 0))-INDEX('KZ-normalized'!$E:$E, MATCH($A224, 'KZ-normalized'!$A:$A, 0))), 0), 0))+(IFERROR(IF(3*INDEX('UZ-normalized'!$D:$D, MATCH($A224, 'UZ-normalized'!$A:$A, 0))-INDEX('UZ-normalized'!$E:$E, MATCH($A224, 'UZ-normalized'!$A:$A, 0))&gt;0, -(3*INDEX('UZ-normalized'!$D:$D, MATCH($A224, 'UZ-normalized'!$A:$A, 0))-INDEX('UZ-normalized'!$E:$E, MATCH($A224, 'UZ-normalized'!$A:$A, 0))), 0), 0)))</f>
        <v>0</v>
      </c>
      <c r="R224" s="6">
        <f>MIN(0, N224+(IFERROR(IF(4*INDEX('UA-normalized'!$D:$D, MATCH($A224, 'UA-normalized'!$A:$A, 0))-INDEX('UA-normalized'!$E:$E, MATCH($A224, 'UA-normalized'!$A:$A, 0))&gt;0, -(4*INDEX('UA-normalized'!$D:$D, MATCH($A224, 'UA-normalized'!$A:$A, 0))-INDEX('UA-normalized'!$E:$E, MATCH($A224, 'UA-normalized'!$A:$A, 0))), 0), 0))+(IFERROR(IF(4*INDEX('KZ-normalized'!$D:$D, MATCH($A224, 'KZ-normalized'!$A:$A, 0))-INDEX('KZ-normalized'!$E:$E, MATCH($A224, 'KZ-normalized'!$A:$A, 0))&gt;0, -(4*INDEX('KZ-normalized'!$D:$D, MATCH($A224, 'KZ-normalized'!$A:$A, 0))-INDEX('KZ-normalized'!$E:$E, MATCH($A224, 'KZ-normalized'!$A:$A, 0))), 0), 0))+(IFERROR(IF(4*INDEX('UZ-normalized'!$D:$D, MATCH($A224, 'UZ-normalized'!$A:$A, 0))-INDEX('UZ-normalized'!$E:$E, MATCH($A224, 'UZ-normalized'!$A:$A, 0))&gt;0, -(4*INDEX('UZ-normalized'!$D:$D, MATCH($A224, 'UZ-normalized'!$A:$A, 0))-INDEX('UZ-normalized'!$E:$E, MATCH($A224, 'UZ-normalized'!$A:$A, 0))), 0), 0)))</f>
        <v>0</v>
      </c>
      <c r="S224" s="6">
        <f>MIN(0, N224+(IFERROR(IF(5*INDEX('UA-normalized'!$D:$D, MATCH($A224, 'UA-normalized'!$A:$A, 0))-INDEX('UA-normalized'!$E:$E, MATCH($A224, 'UA-normalized'!$A:$A, 0))&gt;0, -(5*INDEX('UA-normalized'!$D:$D, MATCH($A224, 'UA-normalized'!$A:$A, 0))-INDEX('UA-normalized'!$E:$E, MATCH($A224, 'UA-normalized'!$A:$A, 0))), 0), 0))+(IFERROR(IF(5*INDEX('KZ-normalized'!$D:$D, MATCH($A224, 'KZ-normalized'!$A:$A, 0))-INDEX('KZ-normalized'!$E:$E, MATCH($A224, 'KZ-normalized'!$A:$A, 0))&gt;0, -(5*INDEX('KZ-normalized'!$D:$D, MATCH($A224, 'KZ-normalized'!$A:$A, 0))-INDEX('KZ-normalized'!$E:$E, MATCH($A224, 'KZ-normalized'!$A:$A, 0))), 0), 0))+(IFERROR(IF(5*INDEX('UZ-normalized'!$D:$D, MATCH($A224, 'UZ-normalized'!$A:$A, 0))-INDEX('UZ-normalized'!$E:$E, MATCH($A224, 'UZ-normalized'!$A:$A, 0))&gt;0, -(5*INDEX('UZ-normalized'!$D:$D, MATCH($A224, 'UZ-normalized'!$A:$A, 0))-INDEX('UZ-normalized'!$E:$E, MATCH($A224, 'UZ-normalized'!$A:$A, 0))), 0), 0)))</f>
        <v>0</v>
      </c>
      <c r="T224" s="6">
        <f>MIN(0, N224+(IFERROR(IF(6*INDEX('UA-normalized'!$D:$D, MATCH($A224, 'UA-normalized'!$A:$A, 0))-INDEX('UA-normalized'!$E:$E, MATCH($A224, 'UA-normalized'!$A:$A, 0))&gt;0, -(6*INDEX('UA-normalized'!$D:$D, MATCH($A224, 'UA-normalized'!$A:$A, 0))-INDEX('UA-normalized'!$E:$E, MATCH($A224, 'UA-normalized'!$A:$A, 0))), 0), 0))+(IFERROR(IF(6*INDEX('KZ-normalized'!$D:$D, MATCH($A224, 'KZ-normalized'!$A:$A, 0))-INDEX('KZ-normalized'!$E:$E, MATCH($A224, 'KZ-normalized'!$A:$A, 0))&gt;0, -(6*INDEX('KZ-normalized'!$D:$D, MATCH($A224, 'KZ-normalized'!$A:$A, 0))-INDEX('KZ-normalized'!$E:$E, MATCH($A224, 'KZ-normalized'!$A:$A, 0))), 0), 0))+(IFERROR(IF(6*INDEX('UZ-normalized'!$D:$D, MATCH($A224, 'UZ-normalized'!$A:$A, 0))-INDEX('UZ-normalized'!$E:$E, MATCH($A224, 'UZ-normalized'!$A:$A, 0))&gt;0, -(6*INDEX('UZ-normalized'!$D:$D, MATCH($A224, 'UZ-normalized'!$A:$A, 0))-INDEX('UZ-normalized'!$E:$E, MATCH($A224, 'UZ-normalized'!$A:$A, 0))), 0), 0)))</f>
        <v>0</v>
      </c>
      <c r="U224" s="6">
        <f>MIN(0, N224+(IFERROR(IF(7*INDEX('UA-normalized'!$D:$D, MATCH($A224, 'UA-normalized'!$A:$A, 0))-INDEX('UA-normalized'!$E:$E, MATCH($A224, 'UA-normalized'!$A:$A, 0))&gt;0, -(7*INDEX('UA-normalized'!$D:$D, MATCH($A224, 'UA-normalized'!$A:$A, 0))-INDEX('UA-normalized'!$E:$E, MATCH($A224, 'UA-normalized'!$A:$A, 0))), 0), 0))+(IFERROR(IF(7*INDEX('KZ-normalized'!$D:$D, MATCH($A224, 'KZ-normalized'!$A:$A, 0))-INDEX('KZ-normalized'!$E:$E, MATCH($A224, 'KZ-normalized'!$A:$A, 0))&gt;0, -(7*INDEX('KZ-normalized'!$D:$D, MATCH($A224, 'KZ-normalized'!$A:$A, 0))-INDEX('KZ-normalized'!$E:$E, MATCH($A224, 'KZ-normalized'!$A:$A, 0))), 0), 0))+(IFERROR(IF(7*INDEX('UZ-normalized'!$D:$D, MATCH($A224, 'UZ-normalized'!$A:$A, 0))-INDEX('UZ-normalized'!$E:$E, MATCH($A224, 'UZ-normalized'!$A:$A, 0))&gt;0, -(7*INDEX('UZ-normalized'!$D:$D, MATCH($A224, 'UZ-normalized'!$A:$A, 0))-INDEX('UZ-normalized'!$E:$E, MATCH($A224, 'UZ-normalized'!$A:$A, 0))), 0), 0)))</f>
        <v>0</v>
      </c>
      <c r="V224" s="6">
        <f>MIN(0, N224+(IFERROR(IF(8*INDEX('UA-normalized'!$D:$D, MATCH($A224, 'UA-normalized'!$A:$A, 0))-INDEX('UA-normalized'!$E:$E, MATCH($A224, 'UA-normalized'!$A:$A, 0))&gt;0, -(8*INDEX('UA-normalized'!$D:$D, MATCH($A224, 'UA-normalized'!$A:$A, 0))-INDEX('UA-normalized'!$E:$E, MATCH($A224, 'UA-normalized'!$A:$A, 0))), 0), 0))+(IFERROR(IF(8*INDEX('KZ-normalized'!$D:$D, MATCH($A224, 'KZ-normalized'!$A:$A, 0))-INDEX('KZ-normalized'!$E:$E, MATCH($A224, 'KZ-normalized'!$A:$A, 0))&gt;0, -(8*INDEX('KZ-normalized'!$D:$D, MATCH($A224, 'KZ-normalized'!$A:$A, 0))-INDEX('KZ-normalized'!$E:$E, MATCH($A224, 'KZ-normalized'!$A:$A, 0))), 0), 0))+(IFERROR(IF(8*INDEX('UZ-normalized'!$D:$D, MATCH($A224, 'UZ-normalized'!$A:$A, 0))-INDEX('UZ-normalized'!$E:$E, MATCH($A224, 'UZ-normalized'!$A:$A, 0))&gt;0, -(8*INDEX('UZ-normalized'!$D:$D, MATCH($A224, 'UZ-normalized'!$A:$A, 0))-INDEX('UZ-normalized'!$E:$E, MATCH($A224, 'UZ-normalized'!$A:$A, 0))), 0), 0)))</f>
        <v>0</v>
      </c>
      <c r="W224" s="6">
        <f>MIN(0, N224+(IFERROR(IF(9*INDEX('UA-normalized'!$D:$D, MATCH($A224, 'UA-normalized'!$A:$A, 0))-INDEX('UA-normalized'!$E:$E, MATCH($A224, 'UA-normalized'!$A:$A, 0))&gt;0, -(9*INDEX('UA-normalized'!$D:$D, MATCH($A224, 'UA-normalized'!$A:$A, 0))-INDEX('UA-normalized'!$E:$E, MATCH($A224, 'UA-normalized'!$A:$A, 0))), 0), 0))+(IFERROR(IF(9*INDEX('KZ-normalized'!$D:$D, MATCH($A224, 'KZ-normalized'!$A:$A, 0))-INDEX('KZ-normalized'!$E:$E, MATCH($A224, 'KZ-normalized'!$A:$A, 0))&gt;0, -(9*INDEX('KZ-normalized'!$D:$D, MATCH($A224, 'KZ-normalized'!$A:$A, 0))-INDEX('KZ-normalized'!$E:$E, MATCH($A224, 'KZ-normalized'!$A:$A, 0))), 0), 0))+(IFERROR(IF(9*INDEX('UZ-normalized'!$D:$D, MATCH($A224, 'UZ-normalized'!$A:$A, 0))-INDEX('UZ-normalized'!$E:$E, MATCH($A224, 'UZ-normalized'!$A:$A, 0))&gt;0, -(9*INDEX('UZ-normalized'!$D:$D, MATCH($A224, 'UZ-normalized'!$A:$A, 0))-INDEX('UZ-normalized'!$E:$E, MATCH($A224, 'UZ-normalized'!$A:$A, 0))), 0), 0)))</f>
        <v>0</v>
      </c>
      <c r="X224" s="6">
        <f>MIN(0, N224+(IFERROR(IF(10*INDEX('UA-normalized'!$D:$D, MATCH($A224, 'UA-normalized'!$A:$A, 0))-INDEX('UA-normalized'!$E:$E, MATCH($A224, 'UA-normalized'!$A:$A, 0))&gt;0, -(10*INDEX('UA-normalized'!$D:$D, MATCH($A224, 'UA-normalized'!$A:$A, 0))-INDEX('UA-normalized'!$E:$E, MATCH($A224, 'UA-normalized'!$A:$A, 0))), 0), 0))+(IFERROR(IF(10*INDEX('KZ-normalized'!$D:$D, MATCH($A224, 'KZ-normalized'!$A:$A, 0))-INDEX('KZ-normalized'!$E:$E, MATCH($A224, 'KZ-normalized'!$A:$A, 0))&gt;0, -(10*INDEX('KZ-normalized'!$D:$D, MATCH($A224, 'KZ-normalized'!$A:$A, 0))-INDEX('KZ-normalized'!$E:$E, MATCH($A224, 'KZ-normalized'!$A:$A, 0))), 0), 0))+(IFERROR(IF(10*INDEX('UZ-normalized'!$D:$D, MATCH($A224, 'UZ-normalized'!$A:$A, 0))-INDEX('UZ-normalized'!$E:$E, MATCH($A224, 'UZ-normalized'!$A:$A, 0))&gt;0, -(10*INDEX('UZ-normalized'!$D:$D, MATCH($A224, 'UZ-normalized'!$A:$A, 0))-INDEX('UZ-normalized'!$E:$E, MATCH($A224, 'UZ-normalized'!$A:$A, 0))), 0), 0)))</f>
        <v>0</v>
      </c>
      <c r="Y224" s="6">
        <f>MIN(0, N224+(IFERROR(IF(11*INDEX('UA-normalized'!$D:$D, MATCH($A224, 'UA-normalized'!$A:$A, 0))-INDEX('UA-normalized'!$E:$E, MATCH($A224, 'UA-normalized'!$A:$A, 0))&gt;0, -(11*INDEX('UA-normalized'!$D:$D, MATCH($A224, 'UA-normalized'!$A:$A, 0))-INDEX('UA-normalized'!$E:$E, MATCH($A224, 'UA-normalized'!$A:$A, 0))), 0), 0))+(IFERROR(IF(11*INDEX('KZ-normalized'!$D:$D, MATCH($A224, 'KZ-normalized'!$A:$A, 0))-INDEX('KZ-normalized'!$E:$E, MATCH($A224, 'KZ-normalized'!$A:$A, 0))&gt;0, -(11*INDEX('KZ-normalized'!$D:$D, MATCH($A224, 'KZ-normalized'!$A:$A, 0))-INDEX('KZ-normalized'!$E:$E, MATCH($A224, 'KZ-normalized'!$A:$A, 0))), 0), 0))+(IFERROR(IF(11*INDEX('UZ-normalized'!$D:$D, MATCH($A224, 'UZ-normalized'!$A:$A, 0))-INDEX('UZ-normalized'!$E:$E, MATCH($A224, 'UZ-normalized'!$A:$A, 0))&gt;0, -(11*INDEX('UZ-normalized'!$D:$D, MATCH($A224, 'UZ-normalized'!$A:$A, 0))-INDEX('UZ-normalized'!$E:$E, MATCH($A224, 'UZ-normalized'!$A:$A, 0))), 0), 0)))</f>
        <v>0</v>
      </c>
      <c r="Z224" s="6">
        <f>MIN(0, N224+(IFERROR(IF(12*INDEX('UA-normalized'!$D:$D, MATCH($A224, 'UA-normalized'!$A:$A, 0))-INDEX('UA-normalized'!$E:$E, MATCH($A224, 'UA-normalized'!$A:$A, 0))&gt;0, -(12*INDEX('UA-normalized'!$D:$D, MATCH($A224, 'UA-normalized'!$A:$A, 0))-INDEX('UA-normalized'!$E:$E, MATCH($A224, 'UA-normalized'!$A:$A, 0))), 0), 0))+(IFERROR(IF(12*INDEX('KZ-normalized'!$D:$D, MATCH($A224, 'KZ-normalized'!$A:$A, 0))-INDEX('KZ-normalized'!$E:$E, MATCH($A224, 'KZ-normalized'!$A:$A, 0))&gt;0, -(12*INDEX('KZ-normalized'!$D:$D, MATCH($A224, 'KZ-normalized'!$A:$A, 0))-INDEX('KZ-normalized'!$E:$E, MATCH($A224, 'KZ-normalized'!$A:$A, 0))), 0), 0))+(IFERROR(IF(12*INDEX('UZ-normalized'!$D:$D, MATCH($A224, 'UZ-normalized'!$A:$A, 0))-INDEX('UZ-normalized'!$E:$E, MATCH($A224, 'UZ-normalized'!$A:$A, 0))&gt;0, -(12*INDEX('UZ-normalized'!$D:$D, MATCH($A224, 'UZ-normalized'!$A:$A, 0))-INDEX('UZ-normalized'!$E:$E, MATCH($A224, 'UZ-normalized'!$A:$A, 0))), 0), 0)))</f>
        <v>0</v>
      </c>
      <c r="AA224" s="6">
        <f>MIN(0, N224+(IFERROR(IF(13*INDEX('UA-normalized'!$D:$D, MATCH($A224, 'UA-normalized'!$A:$A, 0))-INDEX('UA-normalized'!$E:$E, MATCH($A224, 'UA-normalized'!$A:$A, 0))&gt;0, -(13*INDEX('UA-normalized'!$D:$D, MATCH($A224, 'UA-normalized'!$A:$A, 0))-INDEX('UA-normalized'!$E:$E, MATCH($A224, 'UA-normalized'!$A:$A, 0))), 0), 0))+(IFERROR(IF(13*INDEX('KZ-normalized'!$D:$D, MATCH($A224, 'KZ-normalized'!$A:$A, 0))-INDEX('KZ-normalized'!$E:$E, MATCH($A224, 'KZ-normalized'!$A:$A, 0))&gt;0, -(13*INDEX('KZ-normalized'!$D:$D, MATCH($A224, 'KZ-normalized'!$A:$A, 0))-INDEX('KZ-normalized'!$E:$E, MATCH($A224, 'KZ-normalized'!$A:$A, 0))), 0), 0))+(IFERROR(IF(13*INDEX('UZ-normalized'!$D:$D, MATCH($A224, 'UZ-normalized'!$A:$A, 0))-INDEX('UZ-normalized'!$E:$E, MATCH($A224, 'UZ-normalized'!$A:$A, 0))&gt;0, -(13*INDEX('UZ-normalized'!$D:$D, MATCH($A224, 'UZ-normalized'!$A:$A, 0))-INDEX('UZ-normalized'!$E:$E, MATCH($A224, 'UZ-normalized'!$A:$A, 0))), 0), 0)))</f>
        <v>0</v>
      </c>
      <c r="AB224" s="6">
        <f>MIN(0, N224+(IFERROR(IF(14*INDEX('UA-normalized'!$D:$D, MATCH($A224, 'UA-normalized'!$A:$A, 0))-INDEX('UA-normalized'!$E:$E, MATCH($A224, 'UA-normalized'!$A:$A, 0))&gt;0, -(14*INDEX('UA-normalized'!$D:$D, MATCH($A224, 'UA-normalized'!$A:$A, 0))-INDEX('UA-normalized'!$E:$E, MATCH($A224, 'UA-normalized'!$A:$A, 0))), 0), 0))+(IFERROR(IF(14*INDEX('KZ-normalized'!$D:$D, MATCH($A224, 'KZ-normalized'!$A:$A, 0))-INDEX('KZ-normalized'!$E:$E, MATCH($A224, 'KZ-normalized'!$A:$A, 0))&gt;0, -(14*INDEX('KZ-normalized'!$D:$D, MATCH($A224, 'KZ-normalized'!$A:$A, 0))-INDEX('KZ-normalized'!$E:$E, MATCH($A224, 'KZ-normalized'!$A:$A, 0))), 0), 0))+(IFERROR(IF(14*INDEX('UZ-normalized'!$D:$D, MATCH($A224, 'UZ-normalized'!$A:$A, 0))-INDEX('UZ-normalized'!$E:$E, MATCH($A224, 'UZ-normalized'!$A:$A, 0))&gt;0, -(14*INDEX('UZ-normalized'!$D:$D, MATCH($A224, 'UZ-normalized'!$A:$A, 0))-INDEX('UZ-normalized'!$E:$E, MATCH($A224, 'UZ-normalized'!$A:$A, 0))), 0), 0)))</f>
        <v>0</v>
      </c>
      <c r="AC224" s="6">
        <f>MIN(0, N224+(IFERROR(IF(15*INDEX('UA-normalized'!$D:$D, MATCH($A224, 'UA-normalized'!$A:$A, 0))-INDEX('UA-normalized'!$E:$E, MATCH($A224, 'UA-normalized'!$A:$A, 0))&gt;0, -(15*INDEX('UA-normalized'!$D:$D, MATCH($A224, 'UA-normalized'!$A:$A, 0))-INDEX('UA-normalized'!$E:$E, MATCH($A224, 'UA-normalized'!$A:$A, 0))), 0), 0))+(IFERROR(IF(15*INDEX('KZ-normalized'!$D:$D, MATCH($A224, 'KZ-normalized'!$A:$A, 0))-INDEX('KZ-normalized'!$E:$E, MATCH($A224, 'KZ-normalized'!$A:$A, 0))&gt;0, -(15*INDEX('KZ-normalized'!$D:$D, MATCH($A224, 'KZ-normalized'!$A:$A, 0))-INDEX('KZ-normalized'!$E:$E, MATCH($A224, 'KZ-normalized'!$A:$A, 0))), 0), 0))+(IFERROR(IF(15*INDEX('UZ-normalized'!$D:$D, MATCH($A224, 'UZ-normalized'!$A:$A, 0))-INDEX('UZ-normalized'!$E:$E, MATCH($A224, 'UZ-normalized'!$A:$A, 0))&gt;0, -(15*INDEX('UZ-normalized'!$D:$D, MATCH($A224, 'UZ-normalized'!$A:$A, 0))-INDEX('UZ-normalized'!$E:$E, MATCH($A224, 'UZ-normalized'!$A:$A, 0))), 0), 0)))</f>
        <v>0</v>
      </c>
      <c r="AD224" s="6">
        <f>MIN(0, N224+(IFERROR(IF(16*INDEX('UA-normalized'!$D:$D, MATCH($A224, 'UA-normalized'!$A:$A, 0))-INDEX('UA-normalized'!$E:$E, MATCH($A224, 'UA-normalized'!$A:$A, 0))&gt;0, -(16*INDEX('UA-normalized'!$D:$D, MATCH($A224, 'UA-normalized'!$A:$A, 0))-INDEX('UA-normalized'!$E:$E, MATCH($A224, 'UA-normalized'!$A:$A, 0))), 0), 0))+(IFERROR(IF(16*INDEX('KZ-normalized'!$D:$D, MATCH($A224, 'KZ-normalized'!$A:$A, 0))-INDEX('KZ-normalized'!$E:$E, MATCH($A224, 'KZ-normalized'!$A:$A, 0))&gt;0, -(16*INDEX('KZ-normalized'!$D:$D, MATCH($A224, 'KZ-normalized'!$A:$A, 0))-INDEX('KZ-normalized'!$E:$E, MATCH($A224, 'KZ-normalized'!$A:$A, 0))), 0), 0))+(IFERROR(IF(16*INDEX('UZ-normalized'!$D:$D, MATCH($A224, 'UZ-normalized'!$A:$A, 0))-INDEX('UZ-normalized'!$E:$E, MATCH($A224, 'UZ-normalized'!$A:$A, 0))&gt;0, -(16*INDEX('UZ-normalized'!$D:$D, MATCH($A224, 'UZ-normalized'!$A:$A, 0))-INDEX('UZ-normalized'!$E:$E, MATCH($A224, 'UZ-normalized'!$A:$A, 0))), 0), 0)))</f>
        <v>0</v>
      </c>
      <c r="AE224" s="6">
        <f>MIN(0, N224+(IFERROR(IF(17*INDEX('UA-normalized'!$D:$D, MATCH($A224, 'UA-normalized'!$A:$A, 0))-INDEX('UA-normalized'!$E:$E, MATCH($A224, 'UA-normalized'!$A:$A, 0))&gt;0, -(17*INDEX('UA-normalized'!$D:$D, MATCH($A224, 'UA-normalized'!$A:$A, 0))-INDEX('UA-normalized'!$E:$E, MATCH($A224, 'UA-normalized'!$A:$A, 0))), 0), 0))+(IFERROR(IF(17*INDEX('KZ-normalized'!$D:$D, MATCH($A224, 'KZ-normalized'!$A:$A, 0))-INDEX('KZ-normalized'!$E:$E, MATCH($A224, 'KZ-normalized'!$A:$A, 0))&gt;0, -(17*INDEX('KZ-normalized'!$D:$D, MATCH($A224, 'KZ-normalized'!$A:$A, 0))-INDEX('KZ-normalized'!$E:$E, MATCH($A224, 'KZ-normalized'!$A:$A, 0))), 0), 0))+(IFERROR(IF(17*INDEX('UZ-normalized'!$D:$D, MATCH($A224, 'UZ-normalized'!$A:$A, 0))-INDEX('UZ-normalized'!$E:$E, MATCH($A224, 'UZ-normalized'!$A:$A, 0))&gt;0, -(17*INDEX('UZ-normalized'!$D:$D, MATCH($A224, 'UZ-normalized'!$A:$A, 0))-INDEX('UZ-normalized'!$E:$E, MATCH($A224, 'UZ-normalized'!$A:$A, 0))), 0), 0)))</f>
        <v>0</v>
      </c>
      <c r="AF224" s="6">
        <f>MIN(0, N224+(IFERROR(IF(18*INDEX('UA-normalized'!$D:$D, MATCH($A224, 'UA-normalized'!$A:$A, 0))-INDEX('UA-normalized'!$E:$E, MATCH($A224, 'UA-normalized'!$A:$A, 0))&gt;0, -(18*INDEX('UA-normalized'!$D:$D, MATCH($A224, 'UA-normalized'!$A:$A, 0))-INDEX('UA-normalized'!$E:$E, MATCH($A224, 'UA-normalized'!$A:$A, 0))), 0), 0))+(IFERROR(IF(18*INDEX('KZ-normalized'!$D:$D, MATCH($A224, 'KZ-normalized'!$A:$A, 0))-INDEX('KZ-normalized'!$E:$E, MATCH($A224, 'KZ-normalized'!$A:$A, 0))&gt;0, -(18*INDEX('KZ-normalized'!$D:$D, MATCH($A224, 'KZ-normalized'!$A:$A, 0))-INDEX('KZ-normalized'!$E:$E, MATCH($A224, 'KZ-normalized'!$A:$A, 0))), 0), 0))+(IFERROR(IF(18*INDEX('UZ-normalized'!$D:$D, MATCH($A224, 'UZ-normalized'!$A:$A, 0))-INDEX('UZ-normalized'!$E:$E, MATCH($A224, 'UZ-normalized'!$A:$A, 0))&gt;0, -(18*INDEX('UZ-normalized'!$D:$D, MATCH($A224, 'UZ-normalized'!$A:$A, 0))-INDEX('UZ-normalized'!$E:$E, MATCH($A224, 'UZ-normalized'!$A:$A, 0))), 0), 0)))</f>
        <v>0</v>
      </c>
      <c r="AG224" s="6">
        <f>MIN(0, N224+(IFERROR(IF(19*INDEX('UA-normalized'!$D:$D, MATCH($A224, 'UA-normalized'!$A:$A, 0))-INDEX('UA-normalized'!$E:$E, MATCH($A224, 'UA-normalized'!$A:$A, 0))&gt;0, -(19*INDEX('UA-normalized'!$D:$D, MATCH($A224, 'UA-normalized'!$A:$A, 0))-INDEX('UA-normalized'!$E:$E, MATCH($A224, 'UA-normalized'!$A:$A, 0))), 0), 0))+(IFERROR(IF(19*INDEX('KZ-normalized'!$D:$D, MATCH($A224, 'KZ-normalized'!$A:$A, 0))-INDEX('KZ-normalized'!$E:$E, MATCH($A224, 'KZ-normalized'!$A:$A, 0))&gt;0, -(19*INDEX('KZ-normalized'!$D:$D, MATCH($A224, 'KZ-normalized'!$A:$A, 0))-INDEX('KZ-normalized'!$E:$E, MATCH($A224, 'KZ-normalized'!$A:$A, 0))), 0), 0))+(IFERROR(IF(19*INDEX('UZ-normalized'!$D:$D, MATCH($A224, 'UZ-normalized'!$A:$A, 0))-INDEX('UZ-normalized'!$E:$E, MATCH($A224, 'UZ-normalized'!$A:$A, 0))&gt;0, -(19*INDEX('UZ-normalized'!$D:$D, MATCH($A224, 'UZ-normalized'!$A:$A, 0))-INDEX('UZ-normalized'!$E:$E, MATCH($A224, 'UZ-normalized'!$A:$A, 0))), 0), 0)))</f>
        <v>0</v>
      </c>
      <c r="AH224" s="6">
        <f>MIN(0, N224+(IFERROR(IF(20*INDEX('UA-normalized'!$D:$D, MATCH($A224, 'UA-normalized'!$A:$A, 0))-INDEX('UA-normalized'!$E:$E, MATCH($A224, 'UA-normalized'!$A:$A, 0))&gt;0, -(20*INDEX('UA-normalized'!$D:$D, MATCH($A224, 'UA-normalized'!$A:$A, 0))-INDEX('UA-normalized'!$E:$E, MATCH($A224, 'UA-normalized'!$A:$A, 0))), 0), 0))+(IFERROR(IF(20*INDEX('KZ-normalized'!$D:$D, MATCH($A224, 'KZ-normalized'!$A:$A, 0))-INDEX('KZ-normalized'!$E:$E, MATCH($A224, 'KZ-normalized'!$A:$A, 0))&gt;0, -(20*INDEX('KZ-normalized'!$D:$D, MATCH($A224, 'KZ-normalized'!$A:$A, 0))-INDEX('KZ-normalized'!$E:$E, MATCH($A224, 'KZ-normalized'!$A:$A, 0))), 0), 0))+(IFERROR(IF(20*INDEX('UZ-normalized'!$D:$D, MATCH($A224, 'UZ-normalized'!$A:$A, 0))-INDEX('UZ-normalized'!$E:$E, MATCH($A224, 'UZ-normalized'!$A:$A, 0))&gt;0, -(20*INDEX('UZ-normalized'!$D:$D, MATCH($A224, 'UZ-normalized'!$A:$A, 0))-INDEX('UZ-normalized'!$E:$E, MATCH($A224, 'UZ-normalized'!$A:$A, 0))), 0), 0)))</f>
        <v>0</v>
      </c>
      <c r="AI224" s="6">
        <f>MIN(0, N224+(IFERROR(IF(21*INDEX('UA-normalized'!$D:$D, MATCH($A224, 'UA-normalized'!$A:$A, 0))-INDEX('UA-normalized'!$E:$E, MATCH($A224, 'UA-normalized'!$A:$A, 0))&gt;0, -(21*INDEX('UA-normalized'!$D:$D, MATCH($A224, 'UA-normalized'!$A:$A, 0))-INDEX('UA-normalized'!$E:$E, MATCH($A224, 'UA-normalized'!$A:$A, 0))), 0), 0))+(IFERROR(IF(21*INDEX('KZ-normalized'!$D:$D, MATCH($A224, 'KZ-normalized'!$A:$A, 0))-INDEX('KZ-normalized'!$E:$E, MATCH($A224, 'KZ-normalized'!$A:$A, 0))&gt;0, -(21*INDEX('KZ-normalized'!$D:$D, MATCH($A224, 'KZ-normalized'!$A:$A, 0))-INDEX('KZ-normalized'!$E:$E, MATCH($A224, 'KZ-normalized'!$A:$A, 0))), 0), 0))+(IFERROR(IF(21*INDEX('UZ-normalized'!$D:$D, MATCH($A224, 'UZ-normalized'!$A:$A, 0))-INDEX('UZ-normalized'!$E:$E, MATCH($A224, 'UZ-normalized'!$A:$A, 0))&gt;0, -(21*INDEX('UZ-normalized'!$D:$D, MATCH($A224, 'UZ-normalized'!$A:$A, 0))-INDEX('UZ-normalized'!$E:$E, MATCH($A224, 'UZ-normalized'!$A:$A, 0))), 0), 0)))</f>
        <v>0</v>
      </c>
      <c r="AJ224" s="6">
        <f>MIN(0, N224+(IFERROR(IF(22*INDEX('UA-normalized'!$D:$D, MATCH($A224, 'UA-normalized'!$A:$A, 0))-INDEX('UA-normalized'!$E:$E, MATCH($A224, 'UA-normalized'!$A:$A, 0))&gt;0, -(22*INDEX('UA-normalized'!$D:$D, MATCH($A224, 'UA-normalized'!$A:$A, 0))-INDEX('UA-normalized'!$E:$E, MATCH($A224, 'UA-normalized'!$A:$A, 0))), 0), 0))+(IFERROR(IF(22*INDEX('KZ-normalized'!$D:$D, MATCH($A224, 'KZ-normalized'!$A:$A, 0))-INDEX('KZ-normalized'!$E:$E, MATCH($A224, 'KZ-normalized'!$A:$A, 0))&gt;0, -(22*INDEX('KZ-normalized'!$D:$D, MATCH($A224, 'KZ-normalized'!$A:$A, 0))-INDEX('KZ-normalized'!$E:$E, MATCH($A224, 'KZ-normalized'!$A:$A, 0))), 0), 0))+(IFERROR(IF(22*INDEX('UZ-normalized'!$D:$D, MATCH($A224, 'UZ-normalized'!$A:$A, 0))-INDEX('UZ-normalized'!$E:$E, MATCH($A224, 'UZ-normalized'!$A:$A, 0))&gt;0, -(22*INDEX('UZ-normalized'!$D:$D, MATCH($A224, 'UZ-normalized'!$A:$A, 0))-INDEX('UZ-normalized'!$E:$E, MATCH($A224, 'UZ-normalized'!$A:$A, 0))), 0), 0)))</f>
        <v>0</v>
      </c>
      <c r="AK224" s="6">
        <f>MIN(0, N224+(IFERROR(IF(23*INDEX('UA-normalized'!$D:$D, MATCH($A224, 'UA-normalized'!$A:$A, 0))-INDEX('UA-normalized'!$E:$E, MATCH($A224, 'UA-normalized'!$A:$A, 0))&gt;0, -(23*INDEX('UA-normalized'!$D:$D, MATCH($A224, 'UA-normalized'!$A:$A, 0))-INDEX('UA-normalized'!$E:$E, MATCH($A224, 'UA-normalized'!$A:$A, 0))), 0), 0))+(IFERROR(IF(23*INDEX('KZ-normalized'!$D:$D, MATCH($A224, 'KZ-normalized'!$A:$A, 0))-INDEX('KZ-normalized'!$E:$E, MATCH($A224, 'KZ-normalized'!$A:$A, 0))&gt;0, -(23*INDEX('KZ-normalized'!$D:$D, MATCH($A224, 'KZ-normalized'!$A:$A, 0))-INDEX('KZ-normalized'!$E:$E, MATCH($A224, 'KZ-normalized'!$A:$A, 0))), 0), 0))+(IFERROR(IF(23*INDEX('UZ-normalized'!$D:$D, MATCH($A224, 'UZ-normalized'!$A:$A, 0))-INDEX('UZ-normalized'!$E:$E, MATCH($A224, 'UZ-normalized'!$A:$A, 0))&gt;0, -(23*INDEX('UZ-normalized'!$D:$D, MATCH($A224, 'UZ-normalized'!$A:$A, 0))-INDEX('UZ-normalized'!$E:$E, MATCH($A224, 'UZ-normalized'!$A:$A, 0))), 0), 0)))</f>
        <v>0</v>
      </c>
      <c r="AL224" s="6">
        <f>MIN(0, N224+(IFERROR(IF(24*INDEX('UA-normalized'!$D:$D, MATCH($A224, 'UA-normalized'!$A:$A, 0))-INDEX('UA-normalized'!$E:$E, MATCH($A224, 'UA-normalized'!$A:$A, 0))&gt;0, -(24*INDEX('UA-normalized'!$D:$D, MATCH($A224, 'UA-normalized'!$A:$A, 0))-INDEX('UA-normalized'!$E:$E, MATCH($A224, 'UA-normalized'!$A:$A, 0))), 0), 0))+(IFERROR(IF(24*INDEX('KZ-normalized'!$D:$D, MATCH($A224, 'KZ-normalized'!$A:$A, 0))-INDEX('KZ-normalized'!$E:$E, MATCH($A224, 'KZ-normalized'!$A:$A, 0))&gt;0, -(24*INDEX('KZ-normalized'!$D:$D, MATCH($A224, 'KZ-normalized'!$A:$A, 0))-INDEX('KZ-normalized'!$E:$E, MATCH($A224, 'KZ-normalized'!$A:$A, 0))), 0), 0))+(IFERROR(IF(24*INDEX('UZ-normalized'!$D:$D, MATCH($A224, 'UZ-normalized'!$A:$A, 0))-INDEX('UZ-normalized'!$E:$E, MATCH($A224, 'UZ-normalized'!$A:$A, 0))&gt;0, -(24*INDEX('UZ-normalized'!$D:$D, MATCH($A224, 'UZ-normalized'!$A:$A, 0))-INDEX('UZ-normalized'!$E:$E, MATCH($A224, 'UZ-normalized'!$A:$A, 0))), 0), 0)))</f>
        <v>0</v>
      </c>
      <c r="AM224" s="6">
        <f>MIN(0, N224+(IFERROR(IF(25*INDEX('UA-normalized'!$D:$D, MATCH($A224, 'UA-normalized'!$A:$A, 0))-INDEX('UA-normalized'!$E:$E, MATCH($A224, 'UA-normalized'!$A:$A, 0))&gt;0, -(25*INDEX('UA-normalized'!$D:$D, MATCH($A224, 'UA-normalized'!$A:$A, 0))-INDEX('UA-normalized'!$E:$E, MATCH($A224, 'UA-normalized'!$A:$A, 0))), 0), 0))+(IFERROR(IF(25*INDEX('KZ-normalized'!$D:$D, MATCH($A224, 'KZ-normalized'!$A:$A, 0))-INDEX('KZ-normalized'!$E:$E, MATCH($A224, 'KZ-normalized'!$A:$A, 0))&gt;0, -(25*INDEX('KZ-normalized'!$D:$D, MATCH($A224, 'KZ-normalized'!$A:$A, 0))-INDEX('KZ-normalized'!$E:$E, MATCH($A224, 'KZ-normalized'!$A:$A, 0))), 0), 0))+(IFERROR(IF(25*INDEX('UZ-normalized'!$D:$D, MATCH($A224, 'UZ-normalized'!$A:$A, 0))-INDEX('UZ-normalized'!$E:$E, MATCH($A224, 'UZ-normalized'!$A:$A, 0))&gt;0, -(25*INDEX('UZ-normalized'!$D:$D, MATCH($A224, 'UZ-normalized'!$A:$A, 0))-INDEX('UZ-normalized'!$E:$E, MATCH($A224, 'UZ-normalized'!$A:$A, 0))), 0), 0)))</f>
        <v>0</v>
      </c>
      <c r="AN224" s="6">
        <f>MIN(0, N224+(IFERROR(IF(26*INDEX('UA-normalized'!$D:$D, MATCH($A224, 'UA-normalized'!$A:$A, 0))-INDEX('UA-normalized'!$E:$E, MATCH($A224, 'UA-normalized'!$A:$A, 0))&gt;0, -(26*INDEX('UA-normalized'!$D:$D, MATCH($A224, 'UA-normalized'!$A:$A, 0))-INDEX('UA-normalized'!$E:$E, MATCH($A224, 'UA-normalized'!$A:$A, 0))), 0), 0))+(IFERROR(IF(26*INDEX('KZ-normalized'!$D:$D, MATCH($A224, 'KZ-normalized'!$A:$A, 0))-INDEX('KZ-normalized'!$E:$E, MATCH($A224, 'KZ-normalized'!$A:$A, 0))&gt;0, -(26*INDEX('KZ-normalized'!$D:$D, MATCH($A224, 'KZ-normalized'!$A:$A, 0))-INDEX('KZ-normalized'!$E:$E, MATCH($A224, 'KZ-normalized'!$A:$A, 0))), 0), 0))+(IFERROR(IF(26*INDEX('UZ-normalized'!$D:$D, MATCH($A224, 'UZ-normalized'!$A:$A, 0))-INDEX('UZ-normalized'!$E:$E, MATCH($A224, 'UZ-normalized'!$A:$A, 0))&gt;0, -(26*INDEX('UZ-normalized'!$D:$D, MATCH($A224, 'UZ-normalized'!$A:$A, 0))-INDEX('UZ-normalized'!$E:$E, MATCH($A224, 'UZ-normalized'!$A:$A, 0))), 0), 0)))</f>
        <v>0</v>
      </c>
      <c r="AO224" s="6">
        <f>MIN(0, N224+(IFERROR(IF(27*INDEX('UA-normalized'!$D:$D, MATCH($A224, 'UA-normalized'!$A:$A, 0))-INDEX('UA-normalized'!$E:$E, MATCH($A224, 'UA-normalized'!$A:$A, 0))&gt;0, -(27*INDEX('UA-normalized'!$D:$D, MATCH($A224, 'UA-normalized'!$A:$A, 0))-INDEX('UA-normalized'!$E:$E, MATCH($A224, 'UA-normalized'!$A:$A, 0))), 0), 0))+(IFERROR(IF(27*INDEX('KZ-normalized'!$D:$D, MATCH($A224, 'KZ-normalized'!$A:$A, 0))-INDEX('KZ-normalized'!$E:$E, MATCH($A224, 'KZ-normalized'!$A:$A, 0))&gt;0, -(27*INDEX('KZ-normalized'!$D:$D, MATCH($A224, 'KZ-normalized'!$A:$A, 0))-INDEX('KZ-normalized'!$E:$E, MATCH($A224, 'KZ-normalized'!$A:$A, 0))), 0), 0))+(IFERROR(IF(27*INDEX('UZ-normalized'!$D:$D, MATCH($A224, 'UZ-normalized'!$A:$A, 0))-INDEX('UZ-normalized'!$E:$E, MATCH($A224, 'UZ-normalized'!$A:$A, 0))&gt;0, -(27*INDEX('UZ-normalized'!$D:$D, MATCH($A224, 'UZ-normalized'!$A:$A, 0))-INDEX('UZ-normalized'!$E:$E, MATCH($A224, 'UZ-normalized'!$A:$A, 0))), 0), 0)))</f>
        <v>0</v>
      </c>
      <c r="AP224" s="6">
        <f>MIN(0, N224+(IFERROR(IF(28*INDEX('UA-normalized'!$D:$D, MATCH($A224, 'UA-normalized'!$A:$A, 0))-INDEX('UA-normalized'!$E:$E, MATCH($A224, 'UA-normalized'!$A:$A, 0))&gt;0, -(28*INDEX('UA-normalized'!$D:$D, MATCH($A224, 'UA-normalized'!$A:$A, 0))-INDEX('UA-normalized'!$E:$E, MATCH($A224, 'UA-normalized'!$A:$A, 0))), 0), 0))+(IFERROR(IF(28*INDEX('KZ-normalized'!$D:$D, MATCH($A224, 'KZ-normalized'!$A:$A, 0))-INDEX('KZ-normalized'!$E:$E, MATCH($A224, 'KZ-normalized'!$A:$A, 0))&gt;0, -(28*INDEX('KZ-normalized'!$D:$D, MATCH($A224, 'KZ-normalized'!$A:$A, 0))-INDEX('KZ-normalized'!$E:$E, MATCH($A224, 'KZ-normalized'!$A:$A, 0))), 0), 0))+(IFERROR(IF(28*INDEX('UZ-normalized'!$D:$D, MATCH($A224, 'UZ-normalized'!$A:$A, 0))-INDEX('UZ-normalized'!$E:$E, MATCH($A224, 'UZ-normalized'!$A:$A, 0))&gt;0, -(28*INDEX('UZ-normalized'!$D:$D, MATCH($A224, 'UZ-normalized'!$A:$A, 0))-INDEX('UZ-normalized'!$E:$E, MATCH($A224, 'UZ-normalized'!$A:$A, 0))), 0), 0)))</f>
        <v>0</v>
      </c>
      <c r="AQ224" s="6">
        <f>MIN(0, N224+(IFERROR(IF(29*INDEX('UA-normalized'!$D:$D, MATCH($A224, 'UA-normalized'!$A:$A, 0))-INDEX('UA-normalized'!$E:$E, MATCH($A224, 'UA-normalized'!$A:$A, 0))&gt;0, -(29*INDEX('UA-normalized'!$D:$D, MATCH($A224, 'UA-normalized'!$A:$A, 0))-INDEX('UA-normalized'!$E:$E, MATCH($A224, 'UA-normalized'!$A:$A, 0))), 0), 0))+(IFERROR(IF(29*INDEX('KZ-normalized'!$D:$D, MATCH($A224, 'KZ-normalized'!$A:$A, 0))-INDEX('KZ-normalized'!$E:$E, MATCH($A224, 'KZ-normalized'!$A:$A, 0))&gt;0, -(29*INDEX('KZ-normalized'!$D:$D, MATCH($A224, 'KZ-normalized'!$A:$A, 0))-INDEX('KZ-normalized'!$E:$E, MATCH($A224, 'KZ-normalized'!$A:$A, 0))), 0), 0))+(IFERROR(IF(29*INDEX('UZ-normalized'!$D:$D, MATCH($A224, 'UZ-normalized'!$A:$A, 0))-INDEX('UZ-normalized'!$E:$E, MATCH($A224, 'UZ-normalized'!$A:$A, 0))&gt;0, -(29*INDEX('UZ-normalized'!$D:$D, MATCH($A224, 'UZ-normalized'!$A:$A, 0))-INDEX('UZ-normalized'!$E:$E, MATCH($A224, 'UZ-normalized'!$A:$A, 0))), 0), 0)))</f>
        <v>0</v>
      </c>
      <c r="AR224" s="6">
        <f>MIN(0, N224+(IFERROR(IF(30*INDEX('UA-normalized'!$D:$D, MATCH($A224, 'UA-normalized'!$A:$A, 0))-INDEX('UA-normalized'!$E:$E, MATCH($A224, 'UA-normalized'!$A:$A, 0))&gt;0, -(30*INDEX('UA-normalized'!$D:$D, MATCH($A224, 'UA-normalized'!$A:$A, 0))-INDEX('UA-normalized'!$E:$E, MATCH($A224, 'UA-normalized'!$A:$A, 0))), 0), 0))+(IFERROR(IF(30*INDEX('KZ-normalized'!$D:$D, MATCH($A224, 'KZ-normalized'!$A:$A, 0))-INDEX('KZ-normalized'!$E:$E, MATCH($A224, 'KZ-normalized'!$A:$A, 0))&gt;0, -(30*INDEX('KZ-normalized'!$D:$D, MATCH($A224, 'KZ-normalized'!$A:$A, 0))-INDEX('KZ-normalized'!$E:$E, MATCH($A224, 'KZ-normalized'!$A:$A, 0))), 0), 0))+(IFERROR(IF(30*INDEX('UZ-normalized'!$D:$D, MATCH($A224, 'UZ-normalized'!$A:$A, 0))-INDEX('UZ-normalized'!$E:$E, MATCH($A224, 'UZ-normalized'!$A:$A, 0))&gt;0, -(30*INDEX('UZ-normalized'!$D:$D, MATCH($A224, 'UZ-normalized'!$A:$A, 0))-INDEX('UZ-normalized'!$E:$E, MATCH($A224, 'UZ-normalized'!$A:$A, 0))), 0), 0)))</f>
        <v>0</v>
      </c>
    </row>
    <row r="225" spans="1:44" x14ac:dyDescent="0.25">
      <c r="A225" s="8" t="s">
        <v>533</v>
      </c>
      <c r="B225" s="8" t="s">
        <v>492</v>
      </c>
      <c r="C225" s="8" t="s">
        <v>529</v>
      </c>
      <c r="D225" s="8" t="s">
        <v>534</v>
      </c>
      <c r="N225">
        <f t="shared" si="3"/>
        <v>0</v>
      </c>
      <c r="O225" s="6">
        <f>MIN(0, N225+(IFERROR(IF(1*INDEX('UA-normalized'!$D:$D, MATCH($A225, 'UA-normalized'!$A:$A, 0))-INDEX('UA-normalized'!$E:$E, MATCH($A225, 'UA-normalized'!$A:$A, 0))&gt;0, -(1*INDEX('UA-normalized'!$D:$D, MATCH($A225, 'UA-normalized'!$A:$A, 0))-INDEX('UA-normalized'!$E:$E, MATCH($A225, 'UA-normalized'!$A:$A, 0))), 0), 0))+(IFERROR(IF(1*INDEX('KZ-normalized'!$D:$D, MATCH($A225, 'KZ-normalized'!$A:$A, 0))-INDEX('KZ-normalized'!$E:$E, MATCH($A225, 'KZ-normalized'!$A:$A, 0))&gt;0, -(1*INDEX('KZ-normalized'!$D:$D, MATCH($A225, 'KZ-normalized'!$A:$A, 0))-INDEX('KZ-normalized'!$E:$E, MATCH($A225, 'KZ-normalized'!$A:$A, 0))), 0), 0))+(IFERROR(IF(1*INDEX('UZ-normalized'!$D:$D, MATCH($A225, 'UZ-normalized'!$A:$A, 0))-INDEX('UZ-normalized'!$E:$E, MATCH($A225, 'UZ-normalized'!$A:$A, 0))&gt;0, -(1*INDEX('UZ-normalized'!$D:$D, MATCH($A225, 'UZ-normalized'!$A:$A, 0))-INDEX('UZ-normalized'!$E:$E, MATCH($A225, 'UZ-normalized'!$A:$A, 0))), 0), 0)))</f>
        <v>0</v>
      </c>
      <c r="P225" s="6">
        <f>MIN(0, N225+(IFERROR(IF(2*INDEX('UA-normalized'!$D:$D, MATCH($A225, 'UA-normalized'!$A:$A, 0))-INDEX('UA-normalized'!$E:$E, MATCH($A225, 'UA-normalized'!$A:$A, 0))&gt;0, -(2*INDEX('UA-normalized'!$D:$D, MATCH($A225, 'UA-normalized'!$A:$A, 0))-INDEX('UA-normalized'!$E:$E, MATCH($A225, 'UA-normalized'!$A:$A, 0))), 0), 0))+(IFERROR(IF(2*INDEX('KZ-normalized'!$D:$D, MATCH($A225, 'KZ-normalized'!$A:$A, 0))-INDEX('KZ-normalized'!$E:$E, MATCH($A225, 'KZ-normalized'!$A:$A, 0))&gt;0, -(2*INDEX('KZ-normalized'!$D:$D, MATCH($A225, 'KZ-normalized'!$A:$A, 0))-INDEX('KZ-normalized'!$E:$E, MATCH($A225, 'KZ-normalized'!$A:$A, 0))), 0), 0))+(IFERROR(IF(2*INDEX('UZ-normalized'!$D:$D, MATCH($A225, 'UZ-normalized'!$A:$A, 0))-INDEX('UZ-normalized'!$E:$E, MATCH($A225, 'UZ-normalized'!$A:$A, 0))&gt;0, -(2*INDEX('UZ-normalized'!$D:$D, MATCH($A225, 'UZ-normalized'!$A:$A, 0))-INDEX('UZ-normalized'!$E:$E, MATCH($A225, 'UZ-normalized'!$A:$A, 0))), 0), 0)))</f>
        <v>0</v>
      </c>
      <c r="Q225" s="6">
        <f>MIN(0, N225+(IFERROR(IF(3*INDEX('UA-normalized'!$D:$D, MATCH($A225, 'UA-normalized'!$A:$A, 0))-INDEX('UA-normalized'!$E:$E, MATCH($A225, 'UA-normalized'!$A:$A, 0))&gt;0, -(3*INDEX('UA-normalized'!$D:$D, MATCH($A225, 'UA-normalized'!$A:$A, 0))-INDEX('UA-normalized'!$E:$E, MATCH($A225, 'UA-normalized'!$A:$A, 0))), 0), 0))+(IFERROR(IF(3*INDEX('KZ-normalized'!$D:$D, MATCH($A225, 'KZ-normalized'!$A:$A, 0))-INDEX('KZ-normalized'!$E:$E, MATCH($A225, 'KZ-normalized'!$A:$A, 0))&gt;0, -(3*INDEX('KZ-normalized'!$D:$D, MATCH($A225, 'KZ-normalized'!$A:$A, 0))-INDEX('KZ-normalized'!$E:$E, MATCH($A225, 'KZ-normalized'!$A:$A, 0))), 0), 0))+(IFERROR(IF(3*INDEX('UZ-normalized'!$D:$D, MATCH($A225, 'UZ-normalized'!$A:$A, 0))-INDEX('UZ-normalized'!$E:$E, MATCH($A225, 'UZ-normalized'!$A:$A, 0))&gt;0, -(3*INDEX('UZ-normalized'!$D:$D, MATCH($A225, 'UZ-normalized'!$A:$A, 0))-INDEX('UZ-normalized'!$E:$E, MATCH($A225, 'UZ-normalized'!$A:$A, 0))), 0), 0)))</f>
        <v>0</v>
      </c>
      <c r="R225" s="6">
        <f>MIN(0, N225+(IFERROR(IF(4*INDEX('UA-normalized'!$D:$D, MATCH($A225, 'UA-normalized'!$A:$A, 0))-INDEX('UA-normalized'!$E:$E, MATCH($A225, 'UA-normalized'!$A:$A, 0))&gt;0, -(4*INDEX('UA-normalized'!$D:$D, MATCH($A225, 'UA-normalized'!$A:$A, 0))-INDEX('UA-normalized'!$E:$E, MATCH($A225, 'UA-normalized'!$A:$A, 0))), 0), 0))+(IFERROR(IF(4*INDEX('KZ-normalized'!$D:$D, MATCH($A225, 'KZ-normalized'!$A:$A, 0))-INDEX('KZ-normalized'!$E:$E, MATCH($A225, 'KZ-normalized'!$A:$A, 0))&gt;0, -(4*INDEX('KZ-normalized'!$D:$D, MATCH($A225, 'KZ-normalized'!$A:$A, 0))-INDEX('KZ-normalized'!$E:$E, MATCH($A225, 'KZ-normalized'!$A:$A, 0))), 0), 0))+(IFERROR(IF(4*INDEX('UZ-normalized'!$D:$D, MATCH($A225, 'UZ-normalized'!$A:$A, 0))-INDEX('UZ-normalized'!$E:$E, MATCH($A225, 'UZ-normalized'!$A:$A, 0))&gt;0, -(4*INDEX('UZ-normalized'!$D:$D, MATCH($A225, 'UZ-normalized'!$A:$A, 0))-INDEX('UZ-normalized'!$E:$E, MATCH($A225, 'UZ-normalized'!$A:$A, 0))), 0), 0)))</f>
        <v>0</v>
      </c>
      <c r="S225" s="6">
        <f>MIN(0, N225+(IFERROR(IF(5*INDEX('UA-normalized'!$D:$D, MATCH($A225, 'UA-normalized'!$A:$A, 0))-INDEX('UA-normalized'!$E:$E, MATCH($A225, 'UA-normalized'!$A:$A, 0))&gt;0, -(5*INDEX('UA-normalized'!$D:$D, MATCH($A225, 'UA-normalized'!$A:$A, 0))-INDEX('UA-normalized'!$E:$E, MATCH($A225, 'UA-normalized'!$A:$A, 0))), 0), 0))+(IFERROR(IF(5*INDEX('KZ-normalized'!$D:$D, MATCH($A225, 'KZ-normalized'!$A:$A, 0))-INDEX('KZ-normalized'!$E:$E, MATCH($A225, 'KZ-normalized'!$A:$A, 0))&gt;0, -(5*INDEX('KZ-normalized'!$D:$D, MATCH($A225, 'KZ-normalized'!$A:$A, 0))-INDEX('KZ-normalized'!$E:$E, MATCH($A225, 'KZ-normalized'!$A:$A, 0))), 0), 0))+(IFERROR(IF(5*INDEX('UZ-normalized'!$D:$D, MATCH($A225, 'UZ-normalized'!$A:$A, 0))-INDEX('UZ-normalized'!$E:$E, MATCH($A225, 'UZ-normalized'!$A:$A, 0))&gt;0, -(5*INDEX('UZ-normalized'!$D:$D, MATCH($A225, 'UZ-normalized'!$A:$A, 0))-INDEX('UZ-normalized'!$E:$E, MATCH($A225, 'UZ-normalized'!$A:$A, 0))), 0), 0)))</f>
        <v>0</v>
      </c>
      <c r="T225" s="6">
        <f>MIN(0, N225+(IFERROR(IF(6*INDEX('UA-normalized'!$D:$D, MATCH($A225, 'UA-normalized'!$A:$A, 0))-INDEX('UA-normalized'!$E:$E, MATCH($A225, 'UA-normalized'!$A:$A, 0))&gt;0, -(6*INDEX('UA-normalized'!$D:$D, MATCH($A225, 'UA-normalized'!$A:$A, 0))-INDEX('UA-normalized'!$E:$E, MATCH($A225, 'UA-normalized'!$A:$A, 0))), 0), 0))+(IFERROR(IF(6*INDEX('KZ-normalized'!$D:$D, MATCH($A225, 'KZ-normalized'!$A:$A, 0))-INDEX('KZ-normalized'!$E:$E, MATCH($A225, 'KZ-normalized'!$A:$A, 0))&gt;0, -(6*INDEX('KZ-normalized'!$D:$D, MATCH($A225, 'KZ-normalized'!$A:$A, 0))-INDEX('KZ-normalized'!$E:$E, MATCH($A225, 'KZ-normalized'!$A:$A, 0))), 0), 0))+(IFERROR(IF(6*INDEX('UZ-normalized'!$D:$D, MATCH($A225, 'UZ-normalized'!$A:$A, 0))-INDEX('UZ-normalized'!$E:$E, MATCH($A225, 'UZ-normalized'!$A:$A, 0))&gt;0, -(6*INDEX('UZ-normalized'!$D:$D, MATCH($A225, 'UZ-normalized'!$A:$A, 0))-INDEX('UZ-normalized'!$E:$E, MATCH($A225, 'UZ-normalized'!$A:$A, 0))), 0), 0)))</f>
        <v>0</v>
      </c>
      <c r="U225" s="6">
        <f>MIN(0, N225+(IFERROR(IF(7*INDEX('UA-normalized'!$D:$D, MATCH($A225, 'UA-normalized'!$A:$A, 0))-INDEX('UA-normalized'!$E:$E, MATCH($A225, 'UA-normalized'!$A:$A, 0))&gt;0, -(7*INDEX('UA-normalized'!$D:$D, MATCH($A225, 'UA-normalized'!$A:$A, 0))-INDEX('UA-normalized'!$E:$E, MATCH($A225, 'UA-normalized'!$A:$A, 0))), 0), 0))+(IFERROR(IF(7*INDEX('KZ-normalized'!$D:$D, MATCH($A225, 'KZ-normalized'!$A:$A, 0))-INDEX('KZ-normalized'!$E:$E, MATCH($A225, 'KZ-normalized'!$A:$A, 0))&gt;0, -(7*INDEX('KZ-normalized'!$D:$D, MATCH($A225, 'KZ-normalized'!$A:$A, 0))-INDEX('KZ-normalized'!$E:$E, MATCH($A225, 'KZ-normalized'!$A:$A, 0))), 0), 0))+(IFERROR(IF(7*INDEX('UZ-normalized'!$D:$D, MATCH($A225, 'UZ-normalized'!$A:$A, 0))-INDEX('UZ-normalized'!$E:$E, MATCH($A225, 'UZ-normalized'!$A:$A, 0))&gt;0, -(7*INDEX('UZ-normalized'!$D:$D, MATCH($A225, 'UZ-normalized'!$A:$A, 0))-INDEX('UZ-normalized'!$E:$E, MATCH($A225, 'UZ-normalized'!$A:$A, 0))), 0), 0)))</f>
        <v>0</v>
      </c>
      <c r="V225" s="6">
        <f>MIN(0, N225+(IFERROR(IF(8*INDEX('UA-normalized'!$D:$D, MATCH($A225, 'UA-normalized'!$A:$A, 0))-INDEX('UA-normalized'!$E:$E, MATCH($A225, 'UA-normalized'!$A:$A, 0))&gt;0, -(8*INDEX('UA-normalized'!$D:$D, MATCH($A225, 'UA-normalized'!$A:$A, 0))-INDEX('UA-normalized'!$E:$E, MATCH($A225, 'UA-normalized'!$A:$A, 0))), 0), 0))+(IFERROR(IF(8*INDEX('KZ-normalized'!$D:$D, MATCH($A225, 'KZ-normalized'!$A:$A, 0))-INDEX('KZ-normalized'!$E:$E, MATCH($A225, 'KZ-normalized'!$A:$A, 0))&gt;0, -(8*INDEX('KZ-normalized'!$D:$D, MATCH($A225, 'KZ-normalized'!$A:$A, 0))-INDEX('KZ-normalized'!$E:$E, MATCH($A225, 'KZ-normalized'!$A:$A, 0))), 0), 0))+(IFERROR(IF(8*INDEX('UZ-normalized'!$D:$D, MATCH($A225, 'UZ-normalized'!$A:$A, 0))-INDEX('UZ-normalized'!$E:$E, MATCH($A225, 'UZ-normalized'!$A:$A, 0))&gt;0, -(8*INDEX('UZ-normalized'!$D:$D, MATCH($A225, 'UZ-normalized'!$A:$A, 0))-INDEX('UZ-normalized'!$E:$E, MATCH($A225, 'UZ-normalized'!$A:$A, 0))), 0), 0)))</f>
        <v>0</v>
      </c>
      <c r="W225" s="6">
        <f>MIN(0, N225+(IFERROR(IF(9*INDEX('UA-normalized'!$D:$D, MATCH($A225, 'UA-normalized'!$A:$A, 0))-INDEX('UA-normalized'!$E:$E, MATCH($A225, 'UA-normalized'!$A:$A, 0))&gt;0, -(9*INDEX('UA-normalized'!$D:$D, MATCH($A225, 'UA-normalized'!$A:$A, 0))-INDEX('UA-normalized'!$E:$E, MATCH($A225, 'UA-normalized'!$A:$A, 0))), 0), 0))+(IFERROR(IF(9*INDEX('KZ-normalized'!$D:$D, MATCH($A225, 'KZ-normalized'!$A:$A, 0))-INDEX('KZ-normalized'!$E:$E, MATCH($A225, 'KZ-normalized'!$A:$A, 0))&gt;0, -(9*INDEX('KZ-normalized'!$D:$D, MATCH($A225, 'KZ-normalized'!$A:$A, 0))-INDEX('KZ-normalized'!$E:$E, MATCH($A225, 'KZ-normalized'!$A:$A, 0))), 0), 0))+(IFERROR(IF(9*INDEX('UZ-normalized'!$D:$D, MATCH($A225, 'UZ-normalized'!$A:$A, 0))-INDEX('UZ-normalized'!$E:$E, MATCH($A225, 'UZ-normalized'!$A:$A, 0))&gt;0, -(9*INDEX('UZ-normalized'!$D:$D, MATCH($A225, 'UZ-normalized'!$A:$A, 0))-INDEX('UZ-normalized'!$E:$E, MATCH($A225, 'UZ-normalized'!$A:$A, 0))), 0), 0)))</f>
        <v>0</v>
      </c>
      <c r="X225" s="6">
        <f>MIN(0, N225+(IFERROR(IF(10*INDEX('UA-normalized'!$D:$D, MATCH($A225, 'UA-normalized'!$A:$A, 0))-INDEX('UA-normalized'!$E:$E, MATCH($A225, 'UA-normalized'!$A:$A, 0))&gt;0, -(10*INDEX('UA-normalized'!$D:$D, MATCH($A225, 'UA-normalized'!$A:$A, 0))-INDEX('UA-normalized'!$E:$E, MATCH($A225, 'UA-normalized'!$A:$A, 0))), 0), 0))+(IFERROR(IF(10*INDEX('KZ-normalized'!$D:$D, MATCH($A225, 'KZ-normalized'!$A:$A, 0))-INDEX('KZ-normalized'!$E:$E, MATCH($A225, 'KZ-normalized'!$A:$A, 0))&gt;0, -(10*INDEX('KZ-normalized'!$D:$D, MATCH($A225, 'KZ-normalized'!$A:$A, 0))-INDEX('KZ-normalized'!$E:$E, MATCH($A225, 'KZ-normalized'!$A:$A, 0))), 0), 0))+(IFERROR(IF(10*INDEX('UZ-normalized'!$D:$D, MATCH($A225, 'UZ-normalized'!$A:$A, 0))-INDEX('UZ-normalized'!$E:$E, MATCH($A225, 'UZ-normalized'!$A:$A, 0))&gt;0, -(10*INDEX('UZ-normalized'!$D:$D, MATCH($A225, 'UZ-normalized'!$A:$A, 0))-INDEX('UZ-normalized'!$E:$E, MATCH($A225, 'UZ-normalized'!$A:$A, 0))), 0), 0)))</f>
        <v>0</v>
      </c>
      <c r="Y225" s="6">
        <f>MIN(0, N225+(IFERROR(IF(11*INDEX('UA-normalized'!$D:$D, MATCH($A225, 'UA-normalized'!$A:$A, 0))-INDEX('UA-normalized'!$E:$E, MATCH($A225, 'UA-normalized'!$A:$A, 0))&gt;0, -(11*INDEX('UA-normalized'!$D:$D, MATCH($A225, 'UA-normalized'!$A:$A, 0))-INDEX('UA-normalized'!$E:$E, MATCH($A225, 'UA-normalized'!$A:$A, 0))), 0), 0))+(IFERROR(IF(11*INDEX('KZ-normalized'!$D:$D, MATCH($A225, 'KZ-normalized'!$A:$A, 0))-INDEX('KZ-normalized'!$E:$E, MATCH($A225, 'KZ-normalized'!$A:$A, 0))&gt;0, -(11*INDEX('KZ-normalized'!$D:$D, MATCH($A225, 'KZ-normalized'!$A:$A, 0))-INDEX('KZ-normalized'!$E:$E, MATCH($A225, 'KZ-normalized'!$A:$A, 0))), 0), 0))+(IFERROR(IF(11*INDEX('UZ-normalized'!$D:$D, MATCH($A225, 'UZ-normalized'!$A:$A, 0))-INDEX('UZ-normalized'!$E:$E, MATCH($A225, 'UZ-normalized'!$A:$A, 0))&gt;0, -(11*INDEX('UZ-normalized'!$D:$D, MATCH($A225, 'UZ-normalized'!$A:$A, 0))-INDEX('UZ-normalized'!$E:$E, MATCH($A225, 'UZ-normalized'!$A:$A, 0))), 0), 0)))</f>
        <v>0</v>
      </c>
      <c r="Z225" s="6">
        <f>MIN(0, N225+(IFERROR(IF(12*INDEX('UA-normalized'!$D:$D, MATCH($A225, 'UA-normalized'!$A:$A, 0))-INDEX('UA-normalized'!$E:$E, MATCH($A225, 'UA-normalized'!$A:$A, 0))&gt;0, -(12*INDEX('UA-normalized'!$D:$D, MATCH($A225, 'UA-normalized'!$A:$A, 0))-INDEX('UA-normalized'!$E:$E, MATCH($A225, 'UA-normalized'!$A:$A, 0))), 0), 0))+(IFERROR(IF(12*INDEX('KZ-normalized'!$D:$D, MATCH($A225, 'KZ-normalized'!$A:$A, 0))-INDEX('KZ-normalized'!$E:$E, MATCH($A225, 'KZ-normalized'!$A:$A, 0))&gt;0, -(12*INDEX('KZ-normalized'!$D:$D, MATCH($A225, 'KZ-normalized'!$A:$A, 0))-INDEX('KZ-normalized'!$E:$E, MATCH($A225, 'KZ-normalized'!$A:$A, 0))), 0), 0))+(IFERROR(IF(12*INDEX('UZ-normalized'!$D:$D, MATCH($A225, 'UZ-normalized'!$A:$A, 0))-INDEX('UZ-normalized'!$E:$E, MATCH($A225, 'UZ-normalized'!$A:$A, 0))&gt;0, -(12*INDEX('UZ-normalized'!$D:$D, MATCH($A225, 'UZ-normalized'!$A:$A, 0))-INDEX('UZ-normalized'!$E:$E, MATCH($A225, 'UZ-normalized'!$A:$A, 0))), 0), 0)))</f>
        <v>0</v>
      </c>
      <c r="AA225" s="6">
        <f>MIN(0, N225+(IFERROR(IF(13*INDEX('UA-normalized'!$D:$D, MATCH($A225, 'UA-normalized'!$A:$A, 0))-INDEX('UA-normalized'!$E:$E, MATCH($A225, 'UA-normalized'!$A:$A, 0))&gt;0, -(13*INDEX('UA-normalized'!$D:$D, MATCH($A225, 'UA-normalized'!$A:$A, 0))-INDEX('UA-normalized'!$E:$E, MATCH($A225, 'UA-normalized'!$A:$A, 0))), 0), 0))+(IFERROR(IF(13*INDEX('KZ-normalized'!$D:$D, MATCH($A225, 'KZ-normalized'!$A:$A, 0))-INDEX('KZ-normalized'!$E:$E, MATCH($A225, 'KZ-normalized'!$A:$A, 0))&gt;0, -(13*INDEX('KZ-normalized'!$D:$D, MATCH($A225, 'KZ-normalized'!$A:$A, 0))-INDEX('KZ-normalized'!$E:$E, MATCH($A225, 'KZ-normalized'!$A:$A, 0))), 0), 0))+(IFERROR(IF(13*INDEX('UZ-normalized'!$D:$D, MATCH($A225, 'UZ-normalized'!$A:$A, 0))-INDEX('UZ-normalized'!$E:$E, MATCH($A225, 'UZ-normalized'!$A:$A, 0))&gt;0, -(13*INDEX('UZ-normalized'!$D:$D, MATCH($A225, 'UZ-normalized'!$A:$A, 0))-INDEX('UZ-normalized'!$E:$E, MATCH($A225, 'UZ-normalized'!$A:$A, 0))), 0), 0)))</f>
        <v>0</v>
      </c>
      <c r="AB225" s="6">
        <f>MIN(0, N225+(IFERROR(IF(14*INDEX('UA-normalized'!$D:$D, MATCH($A225, 'UA-normalized'!$A:$A, 0))-INDEX('UA-normalized'!$E:$E, MATCH($A225, 'UA-normalized'!$A:$A, 0))&gt;0, -(14*INDEX('UA-normalized'!$D:$D, MATCH($A225, 'UA-normalized'!$A:$A, 0))-INDEX('UA-normalized'!$E:$E, MATCH($A225, 'UA-normalized'!$A:$A, 0))), 0), 0))+(IFERROR(IF(14*INDEX('KZ-normalized'!$D:$D, MATCH($A225, 'KZ-normalized'!$A:$A, 0))-INDEX('KZ-normalized'!$E:$E, MATCH($A225, 'KZ-normalized'!$A:$A, 0))&gt;0, -(14*INDEX('KZ-normalized'!$D:$D, MATCH($A225, 'KZ-normalized'!$A:$A, 0))-INDEX('KZ-normalized'!$E:$E, MATCH($A225, 'KZ-normalized'!$A:$A, 0))), 0), 0))+(IFERROR(IF(14*INDEX('UZ-normalized'!$D:$D, MATCH($A225, 'UZ-normalized'!$A:$A, 0))-INDEX('UZ-normalized'!$E:$E, MATCH($A225, 'UZ-normalized'!$A:$A, 0))&gt;0, -(14*INDEX('UZ-normalized'!$D:$D, MATCH($A225, 'UZ-normalized'!$A:$A, 0))-INDEX('UZ-normalized'!$E:$E, MATCH($A225, 'UZ-normalized'!$A:$A, 0))), 0), 0)))</f>
        <v>0</v>
      </c>
      <c r="AC225" s="6">
        <f>MIN(0, N225+(IFERROR(IF(15*INDEX('UA-normalized'!$D:$D, MATCH($A225, 'UA-normalized'!$A:$A, 0))-INDEX('UA-normalized'!$E:$E, MATCH($A225, 'UA-normalized'!$A:$A, 0))&gt;0, -(15*INDEX('UA-normalized'!$D:$D, MATCH($A225, 'UA-normalized'!$A:$A, 0))-INDEX('UA-normalized'!$E:$E, MATCH($A225, 'UA-normalized'!$A:$A, 0))), 0), 0))+(IFERROR(IF(15*INDEX('KZ-normalized'!$D:$D, MATCH($A225, 'KZ-normalized'!$A:$A, 0))-INDEX('KZ-normalized'!$E:$E, MATCH($A225, 'KZ-normalized'!$A:$A, 0))&gt;0, -(15*INDEX('KZ-normalized'!$D:$D, MATCH($A225, 'KZ-normalized'!$A:$A, 0))-INDEX('KZ-normalized'!$E:$E, MATCH($A225, 'KZ-normalized'!$A:$A, 0))), 0), 0))+(IFERROR(IF(15*INDEX('UZ-normalized'!$D:$D, MATCH($A225, 'UZ-normalized'!$A:$A, 0))-INDEX('UZ-normalized'!$E:$E, MATCH($A225, 'UZ-normalized'!$A:$A, 0))&gt;0, -(15*INDEX('UZ-normalized'!$D:$D, MATCH($A225, 'UZ-normalized'!$A:$A, 0))-INDEX('UZ-normalized'!$E:$E, MATCH($A225, 'UZ-normalized'!$A:$A, 0))), 0), 0)))</f>
        <v>0</v>
      </c>
      <c r="AD225" s="6">
        <f>MIN(0, N225+(IFERROR(IF(16*INDEX('UA-normalized'!$D:$D, MATCH($A225, 'UA-normalized'!$A:$A, 0))-INDEX('UA-normalized'!$E:$E, MATCH($A225, 'UA-normalized'!$A:$A, 0))&gt;0, -(16*INDEX('UA-normalized'!$D:$D, MATCH($A225, 'UA-normalized'!$A:$A, 0))-INDEX('UA-normalized'!$E:$E, MATCH($A225, 'UA-normalized'!$A:$A, 0))), 0), 0))+(IFERROR(IF(16*INDEX('KZ-normalized'!$D:$D, MATCH($A225, 'KZ-normalized'!$A:$A, 0))-INDEX('KZ-normalized'!$E:$E, MATCH($A225, 'KZ-normalized'!$A:$A, 0))&gt;0, -(16*INDEX('KZ-normalized'!$D:$D, MATCH($A225, 'KZ-normalized'!$A:$A, 0))-INDEX('KZ-normalized'!$E:$E, MATCH($A225, 'KZ-normalized'!$A:$A, 0))), 0), 0))+(IFERROR(IF(16*INDEX('UZ-normalized'!$D:$D, MATCH($A225, 'UZ-normalized'!$A:$A, 0))-INDEX('UZ-normalized'!$E:$E, MATCH($A225, 'UZ-normalized'!$A:$A, 0))&gt;0, -(16*INDEX('UZ-normalized'!$D:$D, MATCH($A225, 'UZ-normalized'!$A:$A, 0))-INDEX('UZ-normalized'!$E:$E, MATCH($A225, 'UZ-normalized'!$A:$A, 0))), 0), 0)))</f>
        <v>0</v>
      </c>
      <c r="AE225" s="6">
        <f>MIN(0, N225+(IFERROR(IF(17*INDEX('UA-normalized'!$D:$D, MATCH($A225, 'UA-normalized'!$A:$A, 0))-INDEX('UA-normalized'!$E:$E, MATCH($A225, 'UA-normalized'!$A:$A, 0))&gt;0, -(17*INDEX('UA-normalized'!$D:$D, MATCH($A225, 'UA-normalized'!$A:$A, 0))-INDEX('UA-normalized'!$E:$E, MATCH($A225, 'UA-normalized'!$A:$A, 0))), 0), 0))+(IFERROR(IF(17*INDEX('KZ-normalized'!$D:$D, MATCH($A225, 'KZ-normalized'!$A:$A, 0))-INDEX('KZ-normalized'!$E:$E, MATCH($A225, 'KZ-normalized'!$A:$A, 0))&gt;0, -(17*INDEX('KZ-normalized'!$D:$D, MATCH($A225, 'KZ-normalized'!$A:$A, 0))-INDEX('KZ-normalized'!$E:$E, MATCH($A225, 'KZ-normalized'!$A:$A, 0))), 0), 0))+(IFERROR(IF(17*INDEX('UZ-normalized'!$D:$D, MATCH($A225, 'UZ-normalized'!$A:$A, 0))-INDEX('UZ-normalized'!$E:$E, MATCH($A225, 'UZ-normalized'!$A:$A, 0))&gt;0, -(17*INDEX('UZ-normalized'!$D:$D, MATCH($A225, 'UZ-normalized'!$A:$A, 0))-INDEX('UZ-normalized'!$E:$E, MATCH($A225, 'UZ-normalized'!$A:$A, 0))), 0), 0)))</f>
        <v>0</v>
      </c>
      <c r="AF225" s="6">
        <f>MIN(0, N225+(IFERROR(IF(18*INDEX('UA-normalized'!$D:$D, MATCH($A225, 'UA-normalized'!$A:$A, 0))-INDEX('UA-normalized'!$E:$E, MATCH($A225, 'UA-normalized'!$A:$A, 0))&gt;0, -(18*INDEX('UA-normalized'!$D:$D, MATCH($A225, 'UA-normalized'!$A:$A, 0))-INDEX('UA-normalized'!$E:$E, MATCH($A225, 'UA-normalized'!$A:$A, 0))), 0), 0))+(IFERROR(IF(18*INDEX('KZ-normalized'!$D:$D, MATCH($A225, 'KZ-normalized'!$A:$A, 0))-INDEX('KZ-normalized'!$E:$E, MATCH($A225, 'KZ-normalized'!$A:$A, 0))&gt;0, -(18*INDEX('KZ-normalized'!$D:$D, MATCH($A225, 'KZ-normalized'!$A:$A, 0))-INDEX('KZ-normalized'!$E:$E, MATCH($A225, 'KZ-normalized'!$A:$A, 0))), 0), 0))+(IFERROR(IF(18*INDEX('UZ-normalized'!$D:$D, MATCH($A225, 'UZ-normalized'!$A:$A, 0))-INDEX('UZ-normalized'!$E:$E, MATCH($A225, 'UZ-normalized'!$A:$A, 0))&gt;0, -(18*INDEX('UZ-normalized'!$D:$D, MATCH($A225, 'UZ-normalized'!$A:$A, 0))-INDEX('UZ-normalized'!$E:$E, MATCH($A225, 'UZ-normalized'!$A:$A, 0))), 0), 0)))</f>
        <v>0</v>
      </c>
      <c r="AG225" s="6">
        <f>MIN(0, N225+(IFERROR(IF(19*INDEX('UA-normalized'!$D:$D, MATCH($A225, 'UA-normalized'!$A:$A, 0))-INDEX('UA-normalized'!$E:$E, MATCH($A225, 'UA-normalized'!$A:$A, 0))&gt;0, -(19*INDEX('UA-normalized'!$D:$D, MATCH($A225, 'UA-normalized'!$A:$A, 0))-INDEX('UA-normalized'!$E:$E, MATCH($A225, 'UA-normalized'!$A:$A, 0))), 0), 0))+(IFERROR(IF(19*INDEX('KZ-normalized'!$D:$D, MATCH($A225, 'KZ-normalized'!$A:$A, 0))-INDEX('KZ-normalized'!$E:$E, MATCH($A225, 'KZ-normalized'!$A:$A, 0))&gt;0, -(19*INDEX('KZ-normalized'!$D:$D, MATCH($A225, 'KZ-normalized'!$A:$A, 0))-INDEX('KZ-normalized'!$E:$E, MATCH($A225, 'KZ-normalized'!$A:$A, 0))), 0), 0))+(IFERROR(IF(19*INDEX('UZ-normalized'!$D:$D, MATCH($A225, 'UZ-normalized'!$A:$A, 0))-INDEX('UZ-normalized'!$E:$E, MATCH($A225, 'UZ-normalized'!$A:$A, 0))&gt;0, -(19*INDEX('UZ-normalized'!$D:$D, MATCH($A225, 'UZ-normalized'!$A:$A, 0))-INDEX('UZ-normalized'!$E:$E, MATCH($A225, 'UZ-normalized'!$A:$A, 0))), 0), 0)))</f>
        <v>0</v>
      </c>
      <c r="AH225" s="6">
        <f>MIN(0, N225+(IFERROR(IF(20*INDEX('UA-normalized'!$D:$D, MATCH($A225, 'UA-normalized'!$A:$A, 0))-INDEX('UA-normalized'!$E:$E, MATCH($A225, 'UA-normalized'!$A:$A, 0))&gt;0, -(20*INDEX('UA-normalized'!$D:$D, MATCH($A225, 'UA-normalized'!$A:$A, 0))-INDEX('UA-normalized'!$E:$E, MATCH($A225, 'UA-normalized'!$A:$A, 0))), 0), 0))+(IFERROR(IF(20*INDEX('KZ-normalized'!$D:$D, MATCH($A225, 'KZ-normalized'!$A:$A, 0))-INDEX('KZ-normalized'!$E:$E, MATCH($A225, 'KZ-normalized'!$A:$A, 0))&gt;0, -(20*INDEX('KZ-normalized'!$D:$D, MATCH($A225, 'KZ-normalized'!$A:$A, 0))-INDEX('KZ-normalized'!$E:$E, MATCH($A225, 'KZ-normalized'!$A:$A, 0))), 0), 0))+(IFERROR(IF(20*INDEX('UZ-normalized'!$D:$D, MATCH($A225, 'UZ-normalized'!$A:$A, 0))-INDEX('UZ-normalized'!$E:$E, MATCH($A225, 'UZ-normalized'!$A:$A, 0))&gt;0, -(20*INDEX('UZ-normalized'!$D:$D, MATCH($A225, 'UZ-normalized'!$A:$A, 0))-INDEX('UZ-normalized'!$E:$E, MATCH($A225, 'UZ-normalized'!$A:$A, 0))), 0), 0)))</f>
        <v>0</v>
      </c>
      <c r="AI225" s="6">
        <f>MIN(0, N225+(IFERROR(IF(21*INDEX('UA-normalized'!$D:$D, MATCH($A225, 'UA-normalized'!$A:$A, 0))-INDEX('UA-normalized'!$E:$E, MATCH($A225, 'UA-normalized'!$A:$A, 0))&gt;0, -(21*INDEX('UA-normalized'!$D:$D, MATCH($A225, 'UA-normalized'!$A:$A, 0))-INDEX('UA-normalized'!$E:$E, MATCH($A225, 'UA-normalized'!$A:$A, 0))), 0), 0))+(IFERROR(IF(21*INDEX('KZ-normalized'!$D:$D, MATCH($A225, 'KZ-normalized'!$A:$A, 0))-INDEX('KZ-normalized'!$E:$E, MATCH($A225, 'KZ-normalized'!$A:$A, 0))&gt;0, -(21*INDEX('KZ-normalized'!$D:$D, MATCH($A225, 'KZ-normalized'!$A:$A, 0))-INDEX('KZ-normalized'!$E:$E, MATCH($A225, 'KZ-normalized'!$A:$A, 0))), 0), 0))+(IFERROR(IF(21*INDEX('UZ-normalized'!$D:$D, MATCH($A225, 'UZ-normalized'!$A:$A, 0))-INDEX('UZ-normalized'!$E:$E, MATCH($A225, 'UZ-normalized'!$A:$A, 0))&gt;0, -(21*INDEX('UZ-normalized'!$D:$D, MATCH($A225, 'UZ-normalized'!$A:$A, 0))-INDEX('UZ-normalized'!$E:$E, MATCH($A225, 'UZ-normalized'!$A:$A, 0))), 0), 0)))</f>
        <v>0</v>
      </c>
      <c r="AJ225" s="6">
        <f>MIN(0, N225+(IFERROR(IF(22*INDEX('UA-normalized'!$D:$D, MATCH($A225, 'UA-normalized'!$A:$A, 0))-INDEX('UA-normalized'!$E:$E, MATCH($A225, 'UA-normalized'!$A:$A, 0))&gt;0, -(22*INDEX('UA-normalized'!$D:$D, MATCH($A225, 'UA-normalized'!$A:$A, 0))-INDEX('UA-normalized'!$E:$E, MATCH($A225, 'UA-normalized'!$A:$A, 0))), 0), 0))+(IFERROR(IF(22*INDEX('KZ-normalized'!$D:$D, MATCH($A225, 'KZ-normalized'!$A:$A, 0))-INDEX('KZ-normalized'!$E:$E, MATCH($A225, 'KZ-normalized'!$A:$A, 0))&gt;0, -(22*INDEX('KZ-normalized'!$D:$D, MATCH($A225, 'KZ-normalized'!$A:$A, 0))-INDEX('KZ-normalized'!$E:$E, MATCH($A225, 'KZ-normalized'!$A:$A, 0))), 0), 0))+(IFERROR(IF(22*INDEX('UZ-normalized'!$D:$D, MATCH($A225, 'UZ-normalized'!$A:$A, 0))-INDEX('UZ-normalized'!$E:$E, MATCH($A225, 'UZ-normalized'!$A:$A, 0))&gt;0, -(22*INDEX('UZ-normalized'!$D:$D, MATCH($A225, 'UZ-normalized'!$A:$A, 0))-INDEX('UZ-normalized'!$E:$E, MATCH($A225, 'UZ-normalized'!$A:$A, 0))), 0), 0)))</f>
        <v>0</v>
      </c>
      <c r="AK225" s="6">
        <f>MIN(0, N225+(IFERROR(IF(23*INDEX('UA-normalized'!$D:$D, MATCH($A225, 'UA-normalized'!$A:$A, 0))-INDEX('UA-normalized'!$E:$E, MATCH($A225, 'UA-normalized'!$A:$A, 0))&gt;0, -(23*INDEX('UA-normalized'!$D:$D, MATCH($A225, 'UA-normalized'!$A:$A, 0))-INDEX('UA-normalized'!$E:$E, MATCH($A225, 'UA-normalized'!$A:$A, 0))), 0), 0))+(IFERROR(IF(23*INDEX('KZ-normalized'!$D:$D, MATCH($A225, 'KZ-normalized'!$A:$A, 0))-INDEX('KZ-normalized'!$E:$E, MATCH($A225, 'KZ-normalized'!$A:$A, 0))&gt;0, -(23*INDEX('KZ-normalized'!$D:$D, MATCH($A225, 'KZ-normalized'!$A:$A, 0))-INDEX('KZ-normalized'!$E:$E, MATCH($A225, 'KZ-normalized'!$A:$A, 0))), 0), 0))+(IFERROR(IF(23*INDEX('UZ-normalized'!$D:$D, MATCH($A225, 'UZ-normalized'!$A:$A, 0))-INDEX('UZ-normalized'!$E:$E, MATCH($A225, 'UZ-normalized'!$A:$A, 0))&gt;0, -(23*INDEX('UZ-normalized'!$D:$D, MATCH($A225, 'UZ-normalized'!$A:$A, 0))-INDEX('UZ-normalized'!$E:$E, MATCH($A225, 'UZ-normalized'!$A:$A, 0))), 0), 0)))</f>
        <v>0</v>
      </c>
      <c r="AL225" s="6">
        <f>MIN(0, N225+(IFERROR(IF(24*INDEX('UA-normalized'!$D:$D, MATCH($A225, 'UA-normalized'!$A:$A, 0))-INDEX('UA-normalized'!$E:$E, MATCH($A225, 'UA-normalized'!$A:$A, 0))&gt;0, -(24*INDEX('UA-normalized'!$D:$D, MATCH($A225, 'UA-normalized'!$A:$A, 0))-INDEX('UA-normalized'!$E:$E, MATCH($A225, 'UA-normalized'!$A:$A, 0))), 0), 0))+(IFERROR(IF(24*INDEX('KZ-normalized'!$D:$D, MATCH($A225, 'KZ-normalized'!$A:$A, 0))-INDEX('KZ-normalized'!$E:$E, MATCH($A225, 'KZ-normalized'!$A:$A, 0))&gt;0, -(24*INDEX('KZ-normalized'!$D:$D, MATCH($A225, 'KZ-normalized'!$A:$A, 0))-INDEX('KZ-normalized'!$E:$E, MATCH($A225, 'KZ-normalized'!$A:$A, 0))), 0), 0))+(IFERROR(IF(24*INDEX('UZ-normalized'!$D:$D, MATCH($A225, 'UZ-normalized'!$A:$A, 0))-INDEX('UZ-normalized'!$E:$E, MATCH($A225, 'UZ-normalized'!$A:$A, 0))&gt;0, -(24*INDEX('UZ-normalized'!$D:$D, MATCH($A225, 'UZ-normalized'!$A:$A, 0))-INDEX('UZ-normalized'!$E:$E, MATCH($A225, 'UZ-normalized'!$A:$A, 0))), 0), 0)))</f>
        <v>0</v>
      </c>
      <c r="AM225" s="6">
        <f>MIN(0, N225+(IFERROR(IF(25*INDEX('UA-normalized'!$D:$D, MATCH($A225, 'UA-normalized'!$A:$A, 0))-INDEX('UA-normalized'!$E:$E, MATCH($A225, 'UA-normalized'!$A:$A, 0))&gt;0, -(25*INDEX('UA-normalized'!$D:$D, MATCH($A225, 'UA-normalized'!$A:$A, 0))-INDEX('UA-normalized'!$E:$E, MATCH($A225, 'UA-normalized'!$A:$A, 0))), 0), 0))+(IFERROR(IF(25*INDEX('KZ-normalized'!$D:$D, MATCH($A225, 'KZ-normalized'!$A:$A, 0))-INDEX('KZ-normalized'!$E:$E, MATCH($A225, 'KZ-normalized'!$A:$A, 0))&gt;0, -(25*INDEX('KZ-normalized'!$D:$D, MATCH($A225, 'KZ-normalized'!$A:$A, 0))-INDEX('KZ-normalized'!$E:$E, MATCH($A225, 'KZ-normalized'!$A:$A, 0))), 0), 0))+(IFERROR(IF(25*INDEX('UZ-normalized'!$D:$D, MATCH($A225, 'UZ-normalized'!$A:$A, 0))-INDEX('UZ-normalized'!$E:$E, MATCH($A225, 'UZ-normalized'!$A:$A, 0))&gt;0, -(25*INDEX('UZ-normalized'!$D:$D, MATCH($A225, 'UZ-normalized'!$A:$A, 0))-INDEX('UZ-normalized'!$E:$E, MATCH($A225, 'UZ-normalized'!$A:$A, 0))), 0), 0)))</f>
        <v>0</v>
      </c>
      <c r="AN225" s="6">
        <f>MIN(0, N225+(IFERROR(IF(26*INDEX('UA-normalized'!$D:$D, MATCH($A225, 'UA-normalized'!$A:$A, 0))-INDEX('UA-normalized'!$E:$E, MATCH($A225, 'UA-normalized'!$A:$A, 0))&gt;0, -(26*INDEX('UA-normalized'!$D:$D, MATCH($A225, 'UA-normalized'!$A:$A, 0))-INDEX('UA-normalized'!$E:$E, MATCH($A225, 'UA-normalized'!$A:$A, 0))), 0), 0))+(IFERROR(IF(26*INDEX('KZ-normalized'!$D:$D, MATCH($A225, 'KZ-normalized'!$A:$A, 0))-INDEX('KZ-normalized'!$E:$E, MATCH($A225, 'KZ-normalized'!$A:$A, 0))&gt;0, -(26*INDEX('KZ-normalized'!$D:$D, MATCH($A225, 'KZ-normalized'!$A:$A, 0))-INDEX('KZ-normalized'!$E:$E, MATCH($A225, 'KZ-normalized'!$A:$A, 0))), 0), 0))+(IFERROR(IF(26*INDEX('UZ-normalized'!$D:$D, MATCH($A225, 'UZ-normalized'!$A:$A, 0))-INDEX('UZ-normalized'!$E:$E, MATCH($A225, 'UZ-normalized'!$A:$A, 0))&gt;0, -(26*INDEX('UZ-normalized'!$D:$D, MATCH($A225, 'UZ-normalized'!$A:$A, 0))-INDEX('UZ-normalized'!$E:$E, MATCH($A225, 'UZ-normalized'!$A:$A, 0))), 0), 0)))</f>
        <v>0</v>
      </c>
      <c r="AO225" s="6">
        <f>MIN(0, N225+(IFERROR(IF(27*INDEX('UA-normalized'!$D:$D, MATCH($A225, 'UA-normalized'!$A:$A, 0))-INDEX('UA-normalized'!$E:$E, MATCH($A225, 'UA-normalized'!$A:$A, 0))&gt;0, -(27*INDEX('UA-normalized'!$D:$D, MATCH($A225, 'UA-normalized'!$A:$A, 0))-INDEX('UA-normalized'!$E:$E, MATCH($A225, 'UA-normalized'!$A:$A, 0))), 0), 0))+(IFERROR(IF(27*INDEX('KZ-normalized'!$D:$D, MATCH($A225, 'KZ-normalized'!$A:$A, 0))-INDEX('KZ-normalized'!$E:$E, MATCH($A225, 'KZ-normalized'!$A:$A, 0))&gt;0, -(27*INDEX('KZ-normalized'!$D:$D, MATCH($A225, 'KZ-normalized'!$A:$A, 0))-INDEX('KZ-normalized'!$E:$E, MATCH($A225, 'KZ-normalized'!$A:$A, 0))), 0), 0))+(IFERROR(IF(27*INDEX('UZ-normalized'!$D:$D, MATCH($A225, 'UZ-normalized'!$A:$A, 0))-INDEX('UZ-normalized'!$E:$E, MATCH($A225, 'UZ-normalized'!$A:$A, 0))&gt;0, -(27*INDEX('UZ-normalized'!$D:$D, MATCH($A225, 'UZ-normalized'!$A:$A, 0))-INDEX('UZ-normalized'!$E:$E, MATCH($A225, 'UZ-normalized'!$A:$A, 0))), 0), 0)))</f>
        <v>0</v>
      </c>
      <c r="AP225" s="6">
        <f>MIN(0, N225+(IFERROR(IF(28*INDEX('UA-normalized'!$D:$D, MATCH($A225, 'UA-normalized'!$A:$A, 0))-INDEX('UA-normalized'!$E:$E, MATCH($A225, 'UA-normalized'!$A:$A, 0))&gt;0, -(28*INDEX('UA-normalized'!$D:$D, MATCH($A225, 'UA-normalized'!$A:$A, 0))-INDEX('UA-normalized'!$E:$E, MATCH($A225, 'UA-normalized'!$A:$A, 0))), 0), 0))+(IFERROR(IF(28*INDEX('KZ-normalized'!$D:$D, MATCH($A225, 'KZ-normalized'!$A:$A, 0))-INDEX('KZ-normalized'!$E:$E, MATCH($A225, 'KZ-normalized'!$A:$A, 0))&gt;0, -(28*INDEX('KZ-normalized'!$D:$D, MATCH($A225, 'KZ-normalized'!$A:$A, 0))-INDEX('KZ-normalized'!$E:$E, MATCH($A225, 'KZ-normalized'!$A:$A, 0))), 0), 0))+(IFERROR(IF(28*INDEX('UZ-normalized'!$D:$D, MATCH($A225, 'UZ-normalized'!$A:$A, 0))-INDEX('UZ-normalized'!$E:$E, MATCH($A225, 'UZ-normalized'!$A:$A, 0))&gt;0, -(28*INDEX('UZ-normalized'!$D:$D, MATCH($A225, 'UZ-normalized'!$A:$A, 0))-INDEX('UZ-normalized'!$E:$E, MATCH($A225, 'UZ-normalized'!$A:$A, 0))), 0), 0)))</f>
        <v>0</v>
      </c>
      <c r="AQ225" s="6">
        <f>MIN(0, N225+(IFERROR(IF(29*INDEX('UA-normalized'!$D:$D, MATCH($A225, 'UA-normalized'!$A:$A, 0))-INDEX('UA-normalized'!$E:$E, MATCH($A225, 'UA-normalized'!$A:$A, 0))&gt;0, -(29*INDEX('UA-normalized'!$D:$D, MATCH($A225, 'UA-normalized'!$A:$A, 0))-INDEX('UA-normalized'!$E:$E, MATCH($A225, 'UA-normalized'!$A:$A, 0))), 0), 0))+(IFERROR(IF(29*INDEX('KZ-normalized'!$D:$D, MATCH($A225, 'KZ-normalized'!$A:$A, 0))-INDEX('KZ-normalized'!$E:$E, MATCH($A225, 'KZ-normalized'!$A:$A, 0))&gt;0, -(29*INDEX('KZ-normalized'!$D:$D, MATCH($A225, 'KZ-normalized'!$A:$A, 0))-INDEX('KZ-normalized'!$E:$E, MATCH($A225, 'KZ-normalized'!$A:$A, 0))), 0), 0))+(IFERROR(IF(29*INDEX('UZ-normalized'!$D:$D, MATCH($A225, 'UZ-normalized'!$A:$A, 0))-INDEX('UZ-normalized'!$E:$E, MATCH($A225, 'UZ-normalized'!$A:$A, 0))&gt;0, -(29*INDEX('UZ-normalized'!$D:$D, MATCH($A225, 'UZ-normalized'!$A:$A, 0))-INDEX('UZ-normalized'!$E:$E, MATCH($A225, 'UZ-normalized'!$A:$A, 0))), 0), 0)))</f>
        <v>0</v>
      </c>
      <c r="AR225" s="6">
        <f>MIN(0, N225+(IFERROR(IF(30*INDEX('UA-normalized'!$D:$D, MATCH($A225, 'UA-normalized'!$A:$A, 0))-INDEX('UA-normalized'!$E:$E, MATCH($A225, 'UA-normalized'!$A:$A, 0))&gt;0, -(30*INDEX('UA-normalized'!$D:$D, MATCH($A225, 'UA-normalized'!$A:$A, 0))-INDEX('UA-normalized'!$E:$E, MATCH($A225, 'UA-normalized'!$A:$A, 0))), 0), 0))+(IFERROR(IF(30*INDEX('KZ-normalized'!$D:$D, MATCH($A225, 'KZ-normalized'!$A:$A, 0))-INDEX('KZ-normalized'!$E:$E, MATCH($A225, 'KZ-normalized'!$A:$A, 0))&gt;0, -(30*INDEX('KZ-normalized'!$D:$D, MATCH($A225, 'KZ-normalized'!$A:$A, 0))-INDEX('KZ-normalized'!$E:$E, MATCH($A225, 'KZ-normalized'!$A:$A, 0))), 0), 0))+(IFERROR(IF(30*INDEX('UZ-normalized'!$D:$D, MATCH($A225, 'UZ-normalized'!$A:$A, 0))-INDEX('UZ-normalized'!$E:$E, MATCH($A225, 'UZ-normalized'!$A:$A, 0))&gt;0, -(30*INDEX('UZ-normalized'!$D:$D, MATCH($A225, 'UZ-normalized'!$A:$A, 0))-INDEX('UZ-normalized'!$E:$E, MATCH($A225, 'UZ-normalized'!$A:$A, 0))), 0), 0)))</f>
        <v>0</v>
      </c>
    </row>
    <row r="226" spans="1:44" x14ac:dyDescent="0.25">
      <c r="A226" s="8" t="s">
        <v>535</v>
      </c>
      <c r="B226" s="8" t="s">
        <v>492</v>
      </c>
      <c r="C226" s="8" t="s">
        <v>529</v>
      </c>
      <c r="D226" s="8" t="s">
        <v>536</v>
      </c>
      <c r="N226">
        <f t="shared" si="3"/>
        <v>0</v>
      </c>
      <c r="O226" s="6">
        <f>MIN(0, N226+(IFERROR(IF(1*INDEX('UA-normalized'!$D:$D, MATCH($A226, 'UA-normalized'!$A:$A, 0))-INDEX('UA-normalized'!$E:$E, MATCH($A226, 'UA-normalized'!$A:$A, 0))&gt;0, -(1*INDEX('UA-normalized'!$D:$D, MATCH($A226, 'UA-normalized'!$A:$A, 0))-INDEX('UA-normalized'!$E:$E, MATCH($A226, 'UA-normalized'!$A:$A, 0))), 0), 0))+(IFERROR(IF(1*INDEX('KZ-normalized'!$D:$D, MATCH($A226, 'KZ-normalized'!$A:$A, 0))-INDEX('KZ-normalized'!$E:$E, MATCH($A226, 'KZ-normalized'!$A:$A, 0))&gt;0, -(1*INDEX('KZ-normalized'!$D:$D, MATCH($A226, 'KZ-normalized'!$A:$A, 0))-INDEX('KZ-normalized'!$E:$E, MATCH($A226, 'KZ-normalized'!$A:$A, 0))), 0), 0))+(IFERROR(IF(1*INDEX('UZ-normalized'!$D:$D, MATCH($A226, 'UZ-normalized'!$A:$A, 0))-INDEX('UZ-normalized'!$E:$E, MATCH($A226, 'UZ-normalized'!$A:$A, 0))&gt;0, -(1*INDEX('UZ-normalized'!$D:$D, MATCH($A226, 'UZ-normalized'!$A:$A, 0))-INDEX('UZ-normalized'!$E:$E, MATCH($A226, 'UZ-normalized'!$A:$A, 0))), 0), 0)))</f>
        <v>0</v>
      </c>
      <c r="P226" s="6">
        <f>MIN(0, N226+(IFERROR(IF(2*INDEX('UA-normalized'!$D:$D, MATCH($A226, 'UA-normalized'!$A:$A, 0))-INDEX('UA-normalized'!$E:$E, MATCH($A226, 'UA-normalized'!$A:$A, 0))&gt;0, -(2*INDEX('UA-normalized'!$D:$D, MATCH($A226, 'UA-normalized'!$A:$A, 0))-INDEX('UA-normalized'!$E:$E, MATCH($A226, 'UA-normalized'!$A:$A, 0))), 0), 0))+(IFERROR(IF(2*INDEX('KZ-normalized'!$D:$D, MATCH($A226, 'KZ-normalized'!$A:$A, 0))-INDEX('KZ-normalized'!$E:$E, MATCH($A226, 'KZ-normalized'!$A:$A, 0))&gt;0, -(2*INDEX('KZ-normalized'!$D:$D, MATCH($A226, 'KZ-normalized'!$A:$A, 0))-INDEX('KZ-normalized'!$E:$E, MATCH($A226, 'KZ-normalized'!$A:$A, 0))), 0), 0))+(IFERROR(IF(2*INDEX('UZ-normalized'!$D:$D, MATCH($A226, 'UZ-normalized'!$A:$A, 0))-INDEX('UZ-normalized'!$E:$E, MATCH($A226, 'UZ-normalized'!$A:$A, 0))&gt;0, -(2*INDEX('UZ-normalized'!$D:$D, MATCH($A226, 'UZ-normalized'!$A:$A, 0))-INDEX('UZ-normalized'!$E:$E, MATCH($A226, 'UZ-normalized'!$A:$A, 0))), 0), 0)))</f>
        <v>0</v>
      </c>
      <c r="Q226" s="6">
        <f>MIN(0, N226+(IFERROR(IF(3*INDEX('UA-normalized'!$D:$D, MATCH($A226, 'UA-normalized'!$A:$A, 0))-INDEX('UA-normalized'!$E:$E, MATCH($A226, 'UA-normalized'!$A:$A, 0))&gt;0, -(3*INDEX('UA-normalized'!$D:$D, MATCH($A226, 'UA-normalized'!$A:$A, 0))-INDEX('UA-normalized'!$E:$E, MATCH($A226, 'UA-normalized'!$A:$A, 0))), 0), 0))+(IFERROR(IF(3*INDEX('KZ-normalized'!$D:$D, MATCH($A226, 'KZ-normalized'!$A:$A, 0))-INDEX('KZ-normalized'!$E:$E, MATCH($A226, 'KZ-normalized'!$A:$A, 0))&gt;0, -(3*INDEX('KZ-normalized'!$D:$D, MATCH($A226, 'KZ-normalized'!$A:$A, 0))-INDEX('KZ-normalized'!$E:$E, MATCH($A226, 'KZ-normalized'!$A:$A, 0))), 0), 0))+(IFERROR(IF(3*INDEX('UZ-normalized'!$D:$D, MATCH($A226, 'UZ-normalized'!$A:$A, 0))-INDEX('UZ-normalized'!$E:$E, MATCH($A226, 'UZ-normalized'!$A:$A, 0))&gt;0, -(3*INDEX('UZ-normalized'!$D:$D, MATCH($A226, 'UZ-normalized'!$A:$A, 0))-INDEX('UZ-normalized'!$E:$E, MATCH($A226, 'UZ-normalized'!$A:$A, 0))), 0), 0)))</f>
        <v>0</v>
      </c>
      <c r="R226" s="6">
        <f>MIN(0, N226+(IFERROR(IF(4*INDEX('UA-normalized'!$D:$D, MATCH($A226, 'UA-normalized'!$A:$A, 0))-INDEX('UA-normalized'!$E:$E, MATCH($A226, 'UA-normalized'!$A:$A, 0))&gt;0, -(4*INDEX('UA-normalized'!$D:$D, MATCH($A226, 'UA-normalized'!$A:$A, 0))-INDEX('UA-normalized'!$E:$E, MATCH($A226, 'UA-normalized'!$A:$A, 0))), 0), 0))+(IFERROR(IF(4*INDEX('KZ-normalized'!$D:$D, MATCH($A226, 'KZ-normalized'!$A:$A, 0))-INDEX('KZ-normalized'!$E:$E, MATCH($A226, 'KZ-normalized'!$A:$A, 0))&gt;0, -(4*INDEX('KZ-normalized'!$D:$D, MATCH($A226, 'KZ-normalized'!$A:$A, 0))-INDEX('KZ-normalized'!$E:$E, MATCH($A226, 'KZ-normalized'!$A:$A, 0))), 0), 0))+(IFERROR(IF(4*INDEX('UZ-normalized'!$D:$D, MATCH($A226, 'UZ-normalized'!$A:$A, 0))-INDEX('UZ-normalized'!$E:$E, MATCH($A226, 'UZ-normalized'!$A:$A, 0))&gt;0, -(4*INDEX('UZ-normalized'!$D:$D, MATCH($A226, 'UZ-normalized'!$A:$A, 0))-INDEX('UZ-normalized'!$E:$E, MATCH($A226, 'UZ-normalized'!$A:$A, 0))), 0), 0)))</f>
        <v>0</v>
      </c>
      <c r="S226" s="6">
        <f>MIN(0, N226+(IFERROR(IF(5*INDEX('UA-normalized'!$D:$D, MATCH($A226, 'UA-normalized'!$A:$A, 0))-INDEX('UA-normalized'!$E:$E, MATCH($A226, 'UA-normalized'!$A:$A, 0))&gt;0, -(5*INDEX('UA-normalized'!$D:$D, MATCH($A226, 'UA-normalized'!$A:$A, 0))-INDEX('UA-normalized'!$E:$E, MATCH($A226, 'UA-normalized'!$A:$A, 0))), 0), 0))+(IFERROR(IF(5*INDEX('KZ-normalized'!$D:$D, MATCH($A226, 'KZ-normalized'!$A:$A, 0))-INDEX('KZ-normalized'!$E:$E, MATCH($A226, 'KZ-normalized'!$A:$A, 0))&gt;0, -(5*INDEX('KZ-normalized'!$D:$D, MATCH($A226, 'KZ-normalized'!$A:$A, 0))-INDEX('KZ-normalized'!$E:$E, MATCH($A226, 'KZ-normalized'!$A:$A, 0))), 0), 0))+(IFERROR(IF(5*INDEX('UZ-normalized'!$D:$D, MATCH($A226, 'UZ-normalized'!$A:$A, 0))-INDEX('UZ-normalized'!$E:$E, MATCH($A226, 'UZ-normalized'!$A:$A, 0))&gt;0, -(5*INDEX('UZ-normalized'!$D:$D, MATCH($A226, 'UZ-normalized'!$A:$A, 0))-INDEX('UZ-normalized'!$E:$E, MATCH($A226, 'UZ-normalized'!$A:$A, 0))), 0), 0)))</f>
        <v>0</v>
      </c>
      <c r="T226" s="6">
        <f>MIN(0, N226+(IFERROR(IF(6*INDEX('UA-normalized'!$D:$D, MATCH($A226, 'UA-normalized'!$A:$A, 0))-INDEX('UA-normalized'!$E:$E, MATCH($A226, 'UA-normalized'!$A:$A, 0))&gt;0, -(6*INDEX('UA-normalized'!$D:$D, MATCH($A226, 'UA-normalized'!$A:$A, 0))-INDEX('UA-normalized'!$E:$E, MATCH($A226, 'UA-normalized'!$A:$A, 0))), 0), 0))+(IFERROR(IF(6*INDEX('KZ-normalized'!$D:$D, MATCH($A226, 'KZ-normalized'!$A:$A, 0))-INDEX('KZ-normalized'!$E:$E, MATCH($A226, 'KZ-normalized'!$A:$A, 0))&gt;0, -(6*INDEX('KZ-normalized'!$D:$D, MATCH($A226, 'KZ-normalized'!$A:$A, 0))-INDEX('KZ-normalized'!$E:$E, MATCH($A226, 'KZ-normalized'!$A:$A, 0))), 0), 0))+(IFERROR(IF(6*INDEX('UZ-normalized'!$D:$D, MATCH($A226, 'UZ-normalized'!$A:$A, 0))-INDEX('UZ-normalized'!$E:$E, MATCH($A226, 'UZ-normalized'!$A:$A, 0))&gt;0, -(6*INDEX('UZ-normalized'!$D:$D, MATCH($A226, 'UZ-normalized'!$A:$A, 0))-INDEX('UZ-normalized'!$E:$E, MATCH($A226, 'UZ-normalized'!$A:$A, 0))), 0), 0)))</f>
        <v>0</v>
      </c>
      <c r="U226" s="6">
        <f>MIN(0, N226+(IFERROR(IF(7*INDEX('UA-normalized'!$D:$D, MATCH($A226, 'UA-normalized'!$A:$A, 0))-INDEX('UA-normalized'!$E:$E, MATCH($A226, 'UA-normalized'!$A:$A, 0))&gt;0, -(7*INDEX('UA-normalized'!$D:$D, MATCH($A226, 'UA-normalized'!$A:$A, 0))-INDEX('UA-normalized'!$E:$E, MATCH($A226, 'UA-normalized'!$A:$A, 0))), 0), 0))+(IFERROR(IF(7*INDEX('KZ-normalized'!$D:$D, MATCH($A226, 'KZ-normalized'!$A:$A, 0))-INDEX('KZ-normalized'!$E:$E, MATCH($A226, 'KZ-normalized'!$A:$A, 0))&gt;0, -(7*INDEX('KZ-normalized'!$D:$D, MATCH($A226, 'KZ-normalized'!$A:$A, 0))-INDEX('KZ-normalized'!$E:$E, MATCH($A226, 'KZ-normalized'!$A:$A, 0))), 0), 0))+(IFERROR(IF(7*INDEX('UZ-normalized'!$D:$D, MATCH($A226, 'UZ-normalized'!$A:$A, 0))-INDEX('UZ-normalized'!$E:$E, MATCH($A226, 'UZ-normalized'!$A:$A, 0))&gt;0, -(7*INDEX('UZ-normalized'!$D:$D, MATCH($A226, 'UZ-normalized'!$A:$A, 0))-INDEX('UZ-normalized'!$E:$E, MATCH($A226, 'UZ-normalized'!$A:$A, 0))), 0), 0)))</f>
        <v>0</v>
      </c>
      <c r="V226" s="6">
        <f>MIN(0, N226+(IFERROR(IF(8*INDEX('UA-normalized'!$D:$D, MATCH($A226, 'UA-normalized'!$A:$A, 0))-INDEX('UA-normalized'!$E:$E, MATCH($A226, 'UA-normalized'!$A:$A, 0))&gt;0, -(8*INDEX('UA-normalized'!$D:$D, MATCH($A226, 'UA-normalized'!$A:$A, 0))-INDEX('UA-normalized'!$E:$E, MATCH($A226, 'UA-normalized'!$A:$A, 0))), 0), 0))+(IFERROR(IF(8*INDEX('KZ-normalized'!$D:$D, MATCH($A226, 'KZ-normalized'!$A:$A, 0))-INDEX('KZ-normalized'!$E:$E, MATCH($A226, 'KZ-normalized'!$A:$A, 0))&gt;0, -(8*INDEX('KZ-normalized'!$D:$D, MATCH($A226, 'KZ-normalized'!$A:$A, 0))-INDEX('KZ-normalized'!$E:$E, MATCH($A226, 'KZ-normalized'!$A:$A, 0))), 0), 0))+(IFERROR(IF(8*INDEX('UZ-normalized'!$D:$D, MATCH($A226, 'UZ-normalized'!$A:$A, 0))-INDEX('UZ-normalized'!$E:$E, MATCH($A226, 'UZ-normalized'!$A:$A, 0))&gt;0, -(8*INDEX('UZ-normalized'!$D:$D, MATCH($A226, 'UZ-normalized'!$A:$A, 0))-INDEX('UZ-normalized'!$E:$E, MATCH($A226, 'UZ-normalized'!$A:$A, 0))), 0), 0)))</f>
        <v>0</v>
      </c>
      <c r="W226" s="6">
        <f>MIN(0, N226+(IFERROR(IF(9*INDEX('UA-normalized'!$D:$D, MATCH($A226, 'UA-normalized'!$A:$A, 0))-INDEX('UA-normalized'!$E:$E, MATCH($A226, 'UA-normalized'!$A:$A, 0))&gt;0, -(9*INDEX('UA-normalized'!$D:$D, MATCH($A226, 'UA-normalized'!$A:$A, 0))-INDEX('UA-normalized'!$E:$E, MATCH($A226, 'UA-normalized'!$A:$A, 0))), 0), 0))+(IFERROR(IF(9*INDEX('KZ-normalized'!$D:$D, MATCH($A226, 'KZ-normalized'!$A:$A, 0))-INDEX('KZ-normalized'!$E:$E, MATCH($A226, 'KZ-normalized'!$A:$A, 0))&gt;0, -(9*INDEX('KZ-normalized'!$D:$D, MATCH($A226, 'KZ-normalized'!$A:$A, 0))-INDEX('KZ-normalized'!$E:$E, MATCH($A226, 'KZ-normalized'!$A:$A, 0))), 0), 0))+(IFERROR(IF(9*INDEX('UZ-normalized'!$D:$D, MATCH($A226, 'UZ-normalized'!$A:$A, 0))-INDEX('UZ-normalized'!$E:$E, MATCH($A226, 'UZ-normalized'!$A:$A, 0))&gt;0, -(9*INDEX('UZ-normalized'!$D:$D, MATCH($A226, 'UZ-normalized'!$A:$A, 0))-INDEX('UZ-normalized'!$E:$E, MATCH($A226, 'UZ-normalized'!$A:$A, 0))), 0), 0)))</f>
        <v>0</v>
      </c>
      <c r="X226" s="6">
        <f>MIN(0, N226+(IFERROR(IF(10*INDEX('UA-normalized'!$D:$D, MATCH($A226, 'UA-normalized'!$A:$A, 0))-INDEX('UA-normalized'!$E:$E, MATCH($A226, 'UA-normalized'!$A:$A, 0))&gt;0, -(10*INDEX('UA-normalized'!$D:$D, MATCH($A226, 'UA-normalized'!$A:$A, 0))-INDEX('UA-normalized'!$E:$E, MATCH($A226, 'UA-normalized'!$A:$A, 0))), 0), 0))+(IFERROR(IF(10*INDEX('KZ-normalized'!$D:$D, MATCH($A226, 'KZ-normalized'!$A:$A, 0))-INDEX('KZ-normalized'!$E:$E, MATCH($A226, 'KZ-normalized'!$A:$A, 0))&gt;0, -(10*INDEX('KZ-normalized'!$D:$D, MATCH($A226, 'KZ-normalized'!$A:$A, 0))-INDEX('KZ-normalized'!$E:$E, MATCH($A226, 'KZ-normalized'!$A:$A, 0))), 0), 0))+(IFERROR(IF(10*INDEX('UZ-normalized'!$D:$D, MATCH($A226, 'UZ-normalized'!$A:$A, 0))-INDEX('UZ-normalized'!$E:$E, MATCH($A226, 'UZ-normalized'!$A:$A, 0))&gt;0, -(10*INDEX('UZ-normalized'!$D:$D, MATCH($A226, 'UZ-normalized'!$A:$A, 0))-INDEX('UZ-normalized'!$E:$E, MATCH($A226, 'UZ-normalized'!$A:$A, 0))), 0), 0)))</f>
        <v>0</v>
      </c>
      <c r="Y226" s="6">
        <f>MIN(0, N226+(IFERROR(IF(11*INDEX('UA-normalized'!$D:$D, MATCH($A226, 'UA-normalized'!$A:$A, 0))-INDEX('UA-normalized'!$E:$E, MATCH($A226, 'UA-normalized'!$A:$A, 0))&gt;0, -(11*INDEX('UA-normalized'!$D:$D, MATCH($A226, 'UA-normalized'!$A:$A, 0))-INDEX('UA-normalized'!$E:$E, MATCH($A226, 'UA-normalized'!$A:$A, 0))), 0), 0))+(IFERROR(IF(11*INDEX('KZ-normalized'!$D:$D, MATCH($A226, 'KZ-normalized'!$A:$A, 0))-INDEX('KZ-normalized'!$E:$E, MATCH($A226, 'KZ-normalized'!$A:$A, 0))&gt;0, -(11*INDEX('KZ-normalized'!$D:$D, MATCH($A226, 'KZ-normalized'!$A:$A, 0))-INDEX('KZ-normalized'!$E:$E, MATCH($A226, 'KZ-normalized'!$A:$A, 0))), 0), 0))+(IFERROR(IF(11*INDEX('UZ-normalized'!$D:$D, MATCH($A226, 'UZ-normalized'!$A:$A, 0))-INDEX('UZ-normalized'!$E:$E, MATCH($A226, 'UZ-normalized'!$A:$A, 0))&gt;0, -(11*INDEX('UZ-normalized'!$D:$D, MATCH($A226, 'UZ-normalized'!$A:$A, 0))-INDEX('UZ-normalized'!$E:$E, MATCH($A226, 'UZ-normalized'!$A:$A, 0))), 0), 0)))</f>
        <v>0</v>
      </c>
      <c r="Z226" s="6">
        <f>MIN(0, N226+(IFERROR(IF(12*INDEX('UA-normalized'!$D:$D, MATCH($A226, 'UA-normalized'!$A:$A, 0))-INDEX('UA-normalized'!$E:$E, MATCH($A226, 'UA-normalized'!$A:$A, 0))&gt;0, -(12*INDEX('UA-normalized'!$D:$D, MATCH($A226, 'UA-normalized'!$A:$A, 0))-INDEX('UA-normalized'!$E:$E, MATCH($A226, 'UA-normalized'!$A:$A, 0))), 0), 0))+(IFERROR(IF(12*INDEX('KZ-normalized'!$D:$D, MATCH($A226, 'KZ-normalized'!$A:$A, 0))-INDEX('KZ-normalized'!$E:$E, MATCH($A226, 'KZ-normalized'!$A:$A, 0))&gt;0, -(12*INDEX('KZ-normalized'!$D:$D, MATCH($A226, 'KZ-normalized'!$A:$A, 0))-INDEX('KZ-normalized'!$E:$E, MATCH($A226, 'KZ-normalized'!$A:$A, 0))), 0), 0))+(IFERROR(IF(12*INDEX('UZ-normalized'!$D:$D, MATCH($A226, 'UZ-normalized'!$A:$A, 0))-INDEX('UZ-normalized'!$E:$E, MATCH($A226, 'UZ-normalized'!$A:$A, 0))&gt;0, -(12*INDEX('UZ-normalized'!$D:$D, MATCH($A226, 'UZ-normalized'!$A:$A, 0))-INDEX('UZ-normalized'!$E:$E, MATCH($A226, 'UZ-normalized'!$A:$A, 0))), 0), 0)))</f>
        <v>0</v>
      </c>
      <c r="AA226" s="6">
        <f>MIN(0, N226+(IFERROR(IF(13*INDEX('UA-normalized'!$D:$D, MATCH($A226, 'UA-normalized'!$A:$A, 0))-INDEX('UA-normalized'!$E:$E, MATCH($A226, 'UA-normalized'!$A:$A, 0))&gt;0, -(13*INDEX('UA-normalized'!$D:$D, MATCH($A226, 'UA-normalized'!$A:$A, 0))-INDEX('UA-normalized'!$E:$E, MATCH($A226, 'UA-normalized'!$A:$A, 0))), 0), 0))+(IFERROR(IF(13*INDEX('KZ-normalized'!$D:$D, MATCH($A226, 'KZ-normalized'!$A:$A, 0))-INDEX('KZ-normalized'!$E:$E, MATCH($A226, 'KZ-normalized'!$A:$A, 0))&gt;0, -(13*INDEX('KZ-normalized'!$D:$D, MATCH($A226, 'KZ-normalized'!$A:$A, 0))-INDEX('KZ-normalized'!$E:$E, MATCH($A226, 'KZ-normalized'!$A:$A, 0))), 0), 0))+(IFERROR(IF(13*INDEX('UZ-normalized'!$D:$D, MATCH($A226, 'UZ-normalized'!$A:$A, 0))-INDEX('UZ-normalized'!$E:$E, MATCH($A226, 'UZ-normalized'!$A:$A, 0))&gt;0, -(13*INDEX('UZ-normalized'!$D:$D, MATCH($A226, 'UZ-normalized'!$A:$A, 0))-INDEX('UZ-normalized'!$E:$E, MATCH($A226, 'UZ-normalized'!$A:$A, 0))), 0), 0)))</f>
        <v>0</v>
      </c>
      <c r="AB226" s="6">
        <f>MIN(0, N226+(IFERROR(IF(14*INDEX('UA-normalized'!$D:$D, MATCH($A226, 'UA-normalized'!$A:$A, 0))-INDEX('UA-normalized'!$E:$E, MATCH($A226, 'UA-normalized'!$A:$A, 0))&gt;0, -(14*INDEX('UA-normalized'!$D:$D, MATCH($A226, 'UA-normalized'!$A:$A, 0))-INDEX('UA-normalized'!$E:$E, MATCH($A226, 'UA-normalized'!$A:$A, 0))), 0), 0))+(IFERROR(IF(14*INDEX('KZ-normalized'!$D:$D, MATCH($A226, 'KZ-normalized'!$A:$A, 0))-INDEX('KZ-normalized'!$E:$E, MATCH($A226, 'KZ-normalized'!$A:$A, 0))&gt;0, -(14*INDEX('KZ-normalized'!$D:$D, MATCH($A226, 'KZ-normalized'!$A:$A, 0))-INDEX('KZ-normalized'!$E:$E, MATCH($A226, 'KZ-normalized'!$A:$A, 0))), 0), 0))+(IFERROR(IF(14*INDEX('UZ-normalized'!$D:$D, MATCH($A226, 'UZ-normalized'!$A:$A, 0))-INDEX('UZ-normalized'!$E:$E, MATCH($A226, 'UZ-normalized'!$A:$A, 0))&gt;0, -(14*INDEX('UZ-normalized'!$D:$D, MATCH($A226, 'UZ-normalized'!$A:$A, 0))-INDEX('UZ-normalized'!$E:$E, MATCH($A226, 'UZ-normalized'!$A:$A, 0))), 0), 0)))</f>
        <v>0</v>
      </c>
      <c r="AC226" s="6">
        <f>MIN(0, N226+(IFERROR(IF(15*INDEX('UA-normalized'!$D:$D, MATCH($A226, 'UA-normalized'!$A:$A, 0))-INDEX('UA-normalized'!$E:$E, MATCH($A226, 'UA-normalized'!$A:$A, 0))&gt;0, -(15*INDEX('UA-normalized'!$D:$D, MATCH($A226, 'UA-normalized'!$A:$A, 0))-INDEX('UA-normalized'!$E:$E, MATCH($A226, 'UA-normalized'!$A:$A, 0))), 0), 0))+(IFERROR(IF(15*INDEX('KZ-normalized'!$D:$D, MATCH($A226, 'KZ-normalized'!$A:$A, 0))-INDEX('KZ-normalized'!$E:$E, MATCH($A226, 'KZ-normalized'!$A:$A, 0))&gt;0, -(15*INDEX('KZ-normalized'!$D:$D, MATCH($A226, 'KZ-normalized'!$A:$A, 0))-INDEX('KZ-normalized'!$E:$E, MATCH($A226, 'KZ-normalized'!$A:$A, 0))), 0), 0))+(IFERROR(IF(15*INDEX('UZ-normalized'!$D:$D, MATCH($A226, 'UZ-normalized'!$A:$A, 0))-INDEX('UZ-normalized'!$E:$E, MATCH($A226, 'UZ-normalized'!$A:$A, 0))&gt;0, -(15*INDEX('UZ-normalized'!$D:$D, MATCH($A226, 'UZ-normalized'!$A:$A, 0))-INDEX('UZ-normalized'!$E:$E, MATCH($A226, 'UZ-normalized'!$A:$A, 0))), 0), 0)))</f>
        <v>0</v>
      </c>
      <c r="AD226" s="6">
        <f>MIN(0, N226+(IFERROR(IF(16*INDEX('UA-normalized'!$D:$D, MATCH($A226, 'UA-normalized'!$A:$A, 0))-INDEX('UA-normalized'!$E:$E, MATCH($A226, 'UA-normalized'!$A:$A, 0))&gt;0, -(16*INDEX('UA-normalized'!$D:$D, MATCH($A226, 'UA-normalized'!$A:$A, 0))-INDEX('UA-normalized'!$E:$E, MATCH($A226, 'UA-normalized'!$A:$A, 0))), 0), 0))+(IFERROR(IF(16*INDEX('KZ-normalized'!$D:$D, MATCH($A226, 'KZ-normalized'!$A:$A, 0))-INDEX('KZ-normalized'!$E:$E, MATCH($A226, 'KZ-normalized'!$A:$A, 0))&gt;0, -(16*INDEX('KZ-normalized'!$D:$D, MATCH($A226, 'KZ-normalized'!$A:$A, 0))-INDEX('KZ-normalized'!$E:$E, MATCH($A226, 'KZ-normalized'!$A:$A, 0))), 0), 0))+(IFERROR(IF(16*INDEX('UZ-normalized'!$D:$D, MATCH($A226, 'UZ-normalized'!$A:$A, 0))-INDEX('UZ-normalized'!$E:$E, MATCH($A226, 'UZ-normalized'!$A:$A, 0))&gt;0, -(16*INDEX('UZ-normalized'!$D:$D, MATCH($A226, 'UZ-normalized'!$A:$A, 0))-INDEX('UZ-normalized'!$E:$E, MATCH($A226, 'UZ-normalized'!$A:$A, 0))), 0), 0)))</f>
        <v>0</v>
      </c>
      <c r="AE226" s="6">
        <f>MIN(0, N226+(IFERROR(IF(17*INDEX('UA-normalized'!$D:$D, MATCH($A226, 'UA-normalized'!$A:$A, 0))-INDEX('UA-normalized'!$E:$E, MATCH($A226, 'UA-normalized'!$A:$A, 0))&gt;0, -(17*INDEX('UA-normalized'!$D:$D, MATCH($A226, 'UA-normalized'!$A:$A, 0))-INDEX('UA-normalized'!$E:$E, MATCH($A226, 'UA-normalized'!$A:$A, 0))), 0), 0))+(IFERROR(IF(17*INDEX('KZ-normalized'!$D:$D, MATCH($A226, 'KZ-normalized'!$A:$A, 0))-INDEX('KZ-normalized'!$E:$E, MATCH($A226, 'KZ-normalized'!$A:$A, 0))&gt;0, -(17*INDEX('KZ-normalized'!$D:$D, MATCH($A226, 'KZ-normalized'!$A:$A, 0))-INDEX('KZ-normalized'!$E:$E, MATCH($A226, 'KZ-normalized'!$A:$A, 0))), 0), 0))+(IFERROR(IF(17*INDEX('UZ-normalized'!$D:$D, MATCH($A226, 'UZ-normalized'!$A:$A, 0))-INDEX('UZ-normalized'!$E:$E, MATCH($A226, 'UZ-normalized'!$A:$A, 0))&gt;0, -(17*INDEX('UZ-normalized'!$D:$D, MATCH($A226, 'UZ-normalized'!$A:$A, 0))-INDEX('UZ-normalized'!$E:$E, MATCH($A226, 'UZ-normalized'!$A:$A, 0))), 0), 0)))</f>
        <v>0</v>
      </c>
      <c r="AF226" s="6">
        <f>MIN(0, N226+(IFERROR(IF(18*INDEX('UA-normalized'!$D:$D, MATCH($A226, 'UA-normalized'!$A:$A, 0))-INDEX('UA-normalized'!$E:$E, MATCH($A226, 'UA-normalized'!$A:$A, 0))&gt;0, -(18*INDEX('UA-normalized'!$D:$D, MATCH($A226, 'UA-normalized'!$A:$A, 0))-INDEX('UA-normalized'!$E:$E, MATCH($A226, 'UA-normalized'!$A:$A, 0))), 0), 0))+(IFERROR(IF(18*INDEX('KZ-normalized'!$D:$D, MATCH($A226, 'KZ-normalized'!$A:$A, 0))-INDEX('KZ-normalized'!$E:$E, MATCH($A226, 'KZ-normalized'!$A:$A, 0))&gt;0, -(18*INDEX('KZ-normalized'!$D:$D, MATCH($A226, 'KZ-normalized'!$A:$A, 0))-INDEX('KZ-normalized'!$E:$E, MATCH($A226, 'KZ-normalized'!$A:$A, 0))), 0), 0))+(IFERROR(IF(18*INDEX('UZ-normalized'!$D:$D, MATCH($A226, 'UZ-normalized'!$A:$A, 0))-INDEX('UZ-normalized'!$E:$E, MATCH($A226, 'UZ-normalized'!$A:$A, 0))&gt;0, -(18*INDEX('UZ-normalized'!$D:$D, MATCH($A226, 'UZ-normalized'!$A:$A, 0))-INDEX('UZ-normalized'!$E:$E, MATCH($A226, 'UZ-normalized'!$A:$A, 0))), 0), 0)))</f>
        <v>0</v>
      </c>
      <c r="AG226" s="6">
        <f>MIN(0, N226+(IFERROR(IF(19*INDEX('UA-normalized'!$D:$D, MATCH($A226, 'UA-normalized'!$A:$A, 0))-INDEX('UA-normalized'!$E:$E, MATCH($A226, 'UA-normalized'!$A:$A, 0))&gt;0, -(19*INDEX('UA-normalized'!$D:$D, MATCH($A226, 'UA-normalized'!$A:$A, 0))-INDEX('UA-normalized'!$E:$E, MATCH($A226, 'UA-normalized'!$A:$A, 0))), 0), 0))+(IFERROR(IF(19*INDEX('KZ-normalized'!$D:$D, MATCH($A226, 'KZ-normalized'!$A:$A, 0))-INDEX('KZ-normalized'!$E:$E, MATCH($A226, 'KZ-normalized'!$A:$A, 0))&gt;0, -(19*INDEX('KZ-normalized'!$D:$D, MATCH($A226, 'KZ-normalized'!$A:$A, 0))-INDEX('KZ-normalized'!$E:$E, MATCH($A226, 'KZ-normalized'!$A:$A, 0))), 0), 0))+(IFERROR(IF(19*INDEX('UZ-normalized'!$D:$D, MATCH($A226, 'UZ-normalized'!$A:$A, 0))-INDEX('UZ-normalized'!$E:$E, MATCH($A226, 'UZ-normalized'!$A:$A, 0))&gt;0, -(19*INDEX('UZ-normalized'!$D:$D, MATCH($A226, 'UZ-normalized'!$A:$A, 0))-INDEX('UZ-normalized'!$E:$E, MATCH($A226, 'UZ-normalized'!$A:$A, 0))), 0), 0)))</f>
        <v>0</v>
      </c>
      <c r="AH226" s="6">
        <f>MIN(0, N226+(IFERROR(IF(20*INDEX('UA-normalized'!$D:$D, MATCH($A226, 'UA-normalized'!$A:$A, 0))-INDEX('UA-normalized'!$E:$E, MATCH($A226, 'UA-normalized'!$A:$A, 0))&gt;0, -(20*INDEX('UA-normalized'!$D:$D, MATCH($A226, 'UA-normalized'!$A:$A, 0))-INDEX('UA-normalized'!$E:$E, MATCH($A226, 'UA-normalized'!$A:$A, 0))), 0), 0))+(IFERROR(IF(20*INDEX('KZ-normalized'!$D:$D, MATCH($A226, 'KZ-normalized'!$A:$A, 0))-INDEX('KZ-normalized'!$E:$E, MATCH($A226, 'KZ-normalized'!$A:$A, 0))&gt;0, -(20*INDEX('KZ-normalized'!$D:$D, MATCH($A226, 'KZ-normalized'!$A:$A, 0))-INDEX('KZ-normalized'!$E:$E, MATCH($A226, 'KZ-normalized'!$A:$A, 0))), 0), 0))+(IFERROR(IF(20*INDEX('UZ-normalized'!$D:$D, MATCH($A226, 'UZ-normalized'!$A:$A, 0))-INDEX('UZ-normalized'!$E:$E, MATCH($A226, 'UZ-normalized'!$A:$A, 0))&gt;0, -(20*INDEX('UZ-normalized'!$D:$D, MATCH($A226, 'UZ-normalized'!$A:$A, 0))-INDEX('UZ-normalized'!$E:$E, MATCH($A226, 'UZ-normalized'!$A:$A, 0))), 0), 0)))</f>
        <v>0</v>
      </c>
      <c r="AI226" s="6">
        <f>MIN(0, N226+(IFERROR(IF(21*INDEX('UA-normalized'!$D:$D, MATCH($A226, 'UA-normalized'!$A:$A, 0))-INDEX('UA-normalized'!$E:$E, MATCH($A226, 'UA-normalized'!$A:$A, 0))&gt;0, -(21*INDEX('UA-normalized'!$D:$D, MATCH($A226, 'UA-normalized'!$A:$A, 0))-INDEX('UA-normalized'!$E:$E, MATCH($A226, 'UA-normalized'!$A:$A, 0))), 0), 0))+(IFERROR(IF(21*INDEX('KZ-normalized'!$D:$D, MATCH($A226, 'KZ-normalized'!$A:$A, 0))-INDEX('KZ-normalized'!$E:$E, MATCH($A226, 'KZ-normalized'!$A:$A, 0))&gt;0, -(21*INDEX('KZ-normalized'!$D:$D, MATCH($A226, 'KZ-normalized'!$A:$A, 0))-INDEX('KZ-normalized'!$E:$E, MATCH($A226, 'KZ-normalized'!$A:$A, 0))), 0), 0))+(IFERROR(IF(21*INDEX('UZ-normalized'!$D:$D, MATCH($A226, 'UZ-normalized'!$A:$A, 0))-INDEX('UZ-normalized'!$E:$E, MATCH($A226, 'UZ-normalized'!$A:$A, 0))&gt;0, -(21*INDEX('UZ-normalized'!$D:$D, MATCH($A226, 'UZ-normalized'!$A:$A, 0))-INDEX('UZ-normalized'!$E:$E, MATCH($A226, 'UZ-normalized'!$A:$A, 0))), 0), 0)))</f>
        <v>-0.5</v>
      </c>
      <c r="AJ226" s="6">
        <f>MIN(0, N226+(IFERROR(IF(22*INDEX('UA-normalized'!$D:$D, MATCH($A226, 'UA-normalized'!$A:$A, 0))-INDEX('UA-normalized'!$E:$E, MATCH($A226, 'UA-normalized'!$A:$A, 0))&gt;0, -(22*INDEX('UA-normalized'!$D:$D, MATCH($A226, 'UA-normalized'!$A:$A, 0))-INDEX('UA-normalized'!$E:$E, MATCH($A226, 'UA-normalized'!$A:$A, 0))), 0), 0))+(IFERROR(IF(22*INDEX('KZ-normalized'!$D:$D, MATCH($A226, 'KZ-normalized'!$A:$A, 0))-INDEX('KZ-normalized'!$E:$E, MATCH($A226, 'KZ-normalized'!$A:$A, 0))&gt;0, -(22*INDEX('KZ-normalized'!$D:$D, MATCH($A226, 'KZ-normalized'!$A:$A, 0))-INDEX('KZ-normalized'!$E:$E, MATCH($A226, 'KZ-normalized'!$A:$A, 0))), 0), 0))+(IFERROR(IF(22*INDEX('UZ-normalized'!$D:$D, MATCH($A226, 'UZ-normalized'!$A:$A, 0))-INDEX('UZ-normalized'!$E:$E, MATCH($A226, 'UZ-normalized'!$A:$A, 0))&gt;0, -(22*INDEX('UZ-normalized'!$D:$D, MATCH($A226, 'UZ-normalized'!$A:$A, 0))-INDEX('UZ-normalized'!$E:$E, MATCH($A226, 'UZ-normalized'!$A:$A, 0))), 0), 0)))</f>
        <v>-1</v>
      </c>
      <c r="AK226" s="6">
        <f>MIN(0, N226+(IFERROR(IF(23*INDEX('UA-normalized'!$D:$D, MATCH($A226, 'UA-normalized'!$A:$A, 0))-INDEX('UA-normalized'!$E:$E, MATCH($A226, 'UA-normalized'!$A:$A, 0))&gt;0, -(23*INDEX('UA-normalized'!$D:$D, MATCH($A226, 'UA-normalized'!$A:$A, 0))-INDEX('UA-normalized'!$E:$E, MATCH($A226, 'UA-normalized'!$A:$A, 0))), 0), 0))+(IFERROR(IF(23*INDEX('KZ-normalized'!$D:$D, MATCH($A226, 'KZ-normalized'!$A:$A, 0))-INDEX('KZ-normalized'!$E:$E, MATCH($A226, 'KZ-normalized'!$A:$A, 0))&gt;0, -(23*INDEX('KZ-normalized'!$D:$D, MATCH($A226, 'KZ-normalized'!$A:$A, 0))-INDEX('KZ-normalized'!$E:$E, MATCH($A226, 'KZ-normalized'!$A:$A, 0))), 0), 0))+(IFERROR(IF(23*INDEX('UZ-normalized'!$D:$D, MATCH($A226, 'UZ-normalized'!$A:$A, 0))-INDEX('UZ-normalized'!$E:$E, MATCH($A226, 'UZ-normalized'!$A:$A, 0))&gt;0, -(23*INDEX('UZ-normalized'!$D:$D, MATCH($A226, 'UZ-normalized'!$A:$A, 0))-INDEX('UZ-normalized'!$E:$E, MATCH($A226, 'UZ-normalized'!$A:$A, 0))), 0), 0)))</f>
        <v>-1.5</v>
      </c>
      <c r="AL226" s="6">
        <f>MIN(0, N226+(IFERROR(IF(24*INDEX('UA-normalized'!$D:$D, MATCH($A226, 'UA-normalized'!$A:$A, 0))-INDEX('UA-normalized'!$E:$E, MATCH($A226, 'UA-normalized'!$A:$A, 0))&gt;0, -(24*INDEX('UA-normalized'!$D:$D, MATCH($A226, 'UA-normalized'!$A:$A, 0))-INDEX('UA-normalized'!$E:$E, MATCH($A226, 'UA-normalized'!$A:$A, 0))), 0), 0))+(IFERROR(IF(24*INDEX('KZ-normalized'!$D:$D, MATCH($A226, 'KZ-normalized'!$A:$A, 0))-INDEX('KZ-normalized'!$E:$E, MATCH($A226, 'KZ-normalized'!$A:$A, 0))&gt;0, -(24*INDEX('KZ-normalized'!$D:$D, MATCH($A226, 'KZ-normalized'!$A:$A, 0))-INDEX('KZ-normalized'!$E:$E, MATCH($A226, 'KZ-normalized'!$A:$A, 0))), 0), 0))+(IFERROR(IF(24*INDEX('UZ-normalized'!$D:$D, MATCH($A226, 'UZ-normalized'!$A:$A, 0))-INDEX('UZ-normalized'!$E:$E, MATCH($A226, 'UZ-normalized'!$A:$A, 0))&gt;0, -(24*INDEX('UZ-normalized'!$D:$D, MATCH($A226, 'UZ-normalized'!$A:$A, 0))-INDEX('UZ-normalized'!$E:$E, MATCH($A226, 'UZ-normalized'!$A:$A, 0))), 0), 0)))</f>
        <v>-2</v>
      </c>
      <c r="AM226" s="6">
        <f>MIN(0, N226+(IFERROR(IF(25*INDEX('UA-normalized'!$D:$D, MATCH($A226, 'UA-normalized'!$A:$A, 0))-INDEX('UA-normalized'!$E:$E, MATCH($A226, 'UA-normalized'!$A:$A, 0))&gt;0, -(25*INDEX('UA-normalized'!$D:$D, MATCH($A226, 'UA-normalized'!$A:$A, 0))-INDEX('UA-normalized'!$E:$E, MATCH($A226, 'UA-normalized'!$A:$A, 0))), 0), 0))+(IFERROR(IF(25*INDEX('KZ-normalized'!$D:$D, MATCH($A226, 'KZ-normalized'!$A:$A, 0))-INDEX('KZ-normalized'!$E:$E, MATCH($A226, 'KZ-normalized'!$A:$A, 0))&gt;0, -(25*INDEX('KZ-normalized'!$D:$D, MATCH($A226, 'KZ-normalized'!$A:$A, 0))-INDEX('KZ-normalized'!$E:$E, MATCH($A226, 'KZ-normalized'!$A:$A, 0))), 0), 0))+(IFERROR(IF(25*INDEX('UZ-normalized'!$D:$D, MATCH($A226, 'UZ-normalized'!$A:$A, 0))-INDEX('UZ-normalized'!$E:$E, MATCH($A226, 'UZ-normalized'!$A:$A, 0))&gt;0, -(25*INDEX('UZ-normalized'!$D:$D, MATCH($A226, 'UZ-normalized'!$A:$A, 0))-INDEX('UZ-normalized'!$E:$E, MATCH($A226, 'UZ-normalized'!$A:$A, 0))), 0), 0)))</f>
        <v>-2.5</v>
      </c>
      <c r="AN226" s="6">
        <f>MIN(0, N226+(IFERROR(IF(26*INDEX('UA-normalized'!$D:$D, MATCH($A226, 'UA-normalized'!$A:$A, 0))-INDEX('UA-normalized'!$E:$E, MATCH($A226, 'UA-normalized'!$A:$A, 0))&gt;0, -(26*INDEX('UA-normalized'!$D:$D, MATCH($A226, 'UA-normalized'!$A:$A, 0))-INDEX('UA-normalized'!$E:$E, MATCH($A226, 'UA-normalized'!$A:$A, 0))), 0), 0))+(IFERROR(IF(26*INDEX('KZ-normalized'!$D:$D, MATCH($A226, 'KZ-normalized'!$A:$A, 0))-INDEX('KZ-normalized'!$E:$E, MATCH($A226, 'KZ-normalized'!$A:$A, 0))&gt;0, -(26*INDEX('KZ-normalized'!$D:$D, MATCH($A226, 'KZ-normalized'!$A:$A, 0))-INDEX('KZ-normalized'!$E:$E, MATCH($A226, 'KZ-normalized'!$A:$A, 0))), 0), 0))+(IFERROR(IF(26*INDEX('UZ-normalized'!$D:$D, MATCH($A226, 'UZ-normalized'!$A:$A, 0))-INDEX('UZ-normalized'!$E:$E, MATCH($A226, 'UZ-normalized'!$A:$A, 0))&gt;0, -(26*INDEX('UZ-normalized'!$D:$D, MATCH($A226, 'UZ-normalized'!$A:$A, 0))-INDEX('UZ-normalized'!$E:$E, MATCH($A226, 'UZ-normalized'!$A:$A, 0))), 0), 0)))</f>
        <v>-3</v>
      </c>
      <c r="AO226" s="6">
        <f>MIN(0, N226+(IFERROR(IF(27*INDEX('UA-normalized'!$D:$D, MATCH($A226, 'UA-normalized'!$A:$A, 0))-INDEX('UA-normalized'!$E:$E, MATCH($A226, 'UA-normalized'!$A:$A, 0))&gt;0, -(27*INDEX('UA-normalized'!$D:$D, MATCH($A226, 'UA-normalized'!$A:$A, 0))-INDEX('UA-normalized'!$E:$E, MATCH($A226, 'UA-normalized'!$A:$A, 0))), 0), 0))+(IFERROR(IF(27*INDEX('KZ-normalized'!$D:$D, MATCH($A226, 'KZ-normalized'!$A:$A, 0))-INDEX('KZ-normalized'!$E:$E, MATCH($A226, 'KZ-normalized'!$A:$A, 0))&gt;0, -(27*INDEX('KZ-normalized'!$D:$D, MATCH($A226, 'KZ-normalized'!$A:$A, 0))-INDEX('KZ-normalized'!$E:$E, MATCH($A226, 'KZ-normalized'!$A:$A, 0))), 0), 0))+(IFERROR(IF(27*INDEX('UZ-normalized'!$D:$D, MATCH($A226, 'UZ-normalized'!$A:$A, 0))-INDEX('UZ-normalized'!$E:$E, MATCH($A226, 'UZ-normalized'!$A:$A, 0))&gt;0, -(27*INDEX('UZ-normalized'!$D:$D, MATCH($A226, 'UZ-normalized'!$A:$A, 0))-INDEX('UZ-normalized'!$E:$E, MATCH($A226, 'UZ-normalized'!$A:$A, 0))), 0), 0)))</f>
        <v>-3.5</v>
      </c>
      <c r="AP226" s="6">
        <f>MIN(0, N226+(IFERROR(IF(28*INDEX('UA-normalized'!$D:$D, MATCH($A226, 'UA-normalized'!$A:$A, 0))-INDEX('UA-normalized'!$E:$E, MATCH($A226, 'UA-normalized'!$A:$A, 0))&gt;0, -(28*INDEX('UA-normalized'!$D:$D, MATCH($A226, 'UA-normalized'!$A:$A, 0))-INDEX('UA-normalized'!$E:$E, MATCH($A226, 'UA-normalized'!$A:$A, 0))), 0), 0))+(IFERROR(IF(28*INDEX('KZ-normalized'!$D:$D, MATCH($A226, 'KZ-normalized'!$A:$A, 0))-INDEX('KZ-normalized'!$E:$E, MATCH($A226, 'KZ-normalized'!$A:$A, 0))&gt;0, -(28*INDEX('KZ-normalized'!$D:$D, MATCH($A226, 'KZ-normalized'!$A:$A, 0))-INDEX('KZ-normalized'!$E:$E, MATCH($A226, 'KZ-normalized'!$A:$A, 0))), 0), 0))+(IFERROR(IF(28*INDEX('UZ-normalized'!$D:$D, MATCH($A226, 'UZ-normalized'!$A:$A, 0))-INDEX('UZ-normalized'!$E:$E, MATCH($A226, 'UZ-normalized'!$A:$A, 0))&gt;0, -(28*INDEX('UZ-normalized'!$D:$D, MATCH($A226, 'UZ-normalized'!$A:$A, 0))-INDEX('UZ-normalized'!$E:$E, MATCH($A226, 'UZ-normalized'!$A:$A, 0))), 0), 0)))</f>
        <v>-4</v>
      </c>
      <c r="AQ226" s="6">
        <f>MIN(0, N226+(IFERROR(IF(29*INDEX('UA-normalized'!$D:$D, MATCH($A226, 'UA-normalized'!$A:$A, 0))-INDEX('UA-normalized'!$E:$E, MATCH($A226, 'UA-normalized'!$A:$A, 0))&gt;0, -(29*INDEX('UA-normalized'!$D:$D, MATCH($A226, 'UA-normalized'!$A:$A, 0))-INDEX('UA-normalized'!$E:$E, MATCH($A226, 'UA-normalized'!$A:$A, 0))), 0), 0))+(IFERROR(IF(29*INDEX('KZ-normalized'!$D:$D, MATCH($A226, 'KZ-normalized'!$A:$A, 0))-INDEX('KZ-normalized'!$E:$E, MATCH($A226, 'KZ-normalized'!$A:$A, 0))&gt;0, -(29*INDEX('KZ-normalized'!$D:$D, MATCH($A226, 'KZ-normalized'!$A:$A, 0))-INDEX('KZ-normalized'!$E:$E, MATCH($A226, 'KZ-normalized'!$A:$A, 0))), 0), 0))+(IFERROR(IF(29*INDEX('UZ-normalized'!$D:$D, MATCH($A226, 'UZ-normalized'!$A:$A, 0))-INDEX('UZ-normalized'!$E:$E, MATCH($A226, 'UZ-normalized'!$A:$A, 0))&gt;0, -(29*INDEX('UZ-normalized'!$D:$D, MATCH($A226, 'UZ-normalized'!$A:$A, 0))-INDEX('UZ-normalized'!$E:$E, MATCH($A226, 'UZ-normalized'!$A:$A, 0))), 0), 0)))</f>
        <v>-4.5</v>
      </c>
      <c r="AR226" s="6">
        <f>MIN(0, N226+(IFERROR(IF(30*INDEX('UA-normalized'!$D:$D, MATCH($A226, 'UA-normalized'!$A:$A, 0))-INDEX('UA-normalized'!$E:$E, MATCH($A226, 'UA-normalized'!$A:$A, 0))&gt;0, -(30*INDEX('UA-normalized'!$D:$D, MATCH($A226, 'UA-normalized'!$A:$A, 0))-INDEX('UA-normalized'!$E:$E, MATCH($A226, 'UA-normalized'!$A:$A, 0))), 0), 0))+(IFERROR(IF(30*INDEX('KZ-normalized'!$D:$D, MATCH($A226, 'KZ-normalized'!$A:$A, 0))-INDEX('KZ-normalized'!$E:$E, MATCH($A226, 'KZ-normalized'!$A:$A, 0))&gt;0, -(30*INDEX('KZ-normalized'!$D:$D, MATCH($A226, 'KZ-normalized'!$A:$A, 0))-INDEX('KZ-normalized'!$E:$E, MATCH($A226, 'KZ-normalized'!$A:$A, 0))), 0), 0))+(IFERROR(IF(30*INDEX('UZ-normalized'!$D:$D, MATCH($A226, 'UZ-normalized'!$A:$A, 0))-INDEX('UZ-normalized'!$E:$E, MATCH($A226, 'UZ-normalized'!$A:$A, 0))&gt;0, -(30*INDEX('UZ-normalized'!$D:$D, MATCH($A226, 'UZ-normalized'!$A:$A, 0))-INDEX('UZ-normalized'!$E:$E, MATCH($A226, 'UZ-normalized'!$A:$A, 0))), 0), 0)))</f>
        <v>-5</v>
      </c>
    </row>
    <row r="227" spans="1:44" x14ac:dyDescent="0.25">
      <c r="A227" s="8" t="s">
        <v>537</v>
      </c>
      <c r="B227" s="8" t="s">
        <v>492</v>
      </c>
      <c r="C227" s="8" t="s">
        <v>529</v>
      </c>
      <c r="D227" s="8" t="s">
        <v>538</v>
      </c>
      <c r="N227">
        <f t="shared" si="3"/>
        <v>0</v>
      </c>
      <c r="O227" s="6">
        <f>MIN(0, N227+(IFERROR(IF(1*INDEX('UA-normalized'!$D:$D, MATCH($A227, 'UA-normalized'!$A:$A, 0))-INDEX('UA-normalized'!$E:$E, MATCH($A227, 'UA-normalized'!$A:$A, 0))&gt;0, -(1*INDEX('UA-normalized'!$D:$D, MATCH($A227, 'UA-normalized'!$A:$A, 0))-INDEX('UA-normalized'!$E:$E, MATCH($A227, 'UA-normalized'!$A:$A, 0))), 0), 0))+(IFERROR(IF(1*INDEX('KZ-normalized'!$D:$D, MATCH($A227, 'KZ-normalized'!$A:$A, 0))-INDEX('KZ-normalized'!$E:$E, MATCH($A227, 'KZ-normalized'!$A:$A, 0))&gt;0, -(1*INDEX('KZ-normalized'!$D:$D, MATCH($A227, 'KZ-normalized'!$A:$A, 0))-INDEX('KZ-normalized'!$E:$E, MATCH($A227, 'KZ-normalized'!$A:$A, 0))), 0), 0))+(IFERROR(IF(1*INDEX('UZ-normalized'!$D:$D, MATCH($A227, 'UZ-normalized'!$A:$A, 0))-INDEX('UZ-normalized'!$E:$E, MATCH($A227, 'UZ-normalized'!$A:$A, 0))&gt;0, -(1*INDEX('UZ-normalized'!$D:$D, MATCH($A227, 'UZ-normalized'!$A:$A, 0))-INDEX('UZ-normalized'!$E:$E, MATCH($A227, 'UZ-normalized'!$A:$A, 0))), 0), 0)))</f>
        <v>0</v>
      </c>
      <c r="P227" s="6">
        <f>MIN(0, N227+(IFERROR(IF(2*INDEX('UA-normalized'!$D:$D, MATCH($A227, 'UA-normalized'!$A:$A, 0))-INDEX('UA-normalized'!$E:$E, MATCH($A227, 'UA-normalized'!$A:$A, 0))&gt;0, -(2*INDEX('UA-normalized'!$D:$D, MATCH($A227, 'UA-normalized'!$A:$A, 0))-INDEX('UA-normalized'!$E:$E, MATCH($A227, 'UA-normalized'!$A:$A, 0))), 0), 0))+(IFERROR(IF(2*INDEX('KZ-normalized'!$D:$D, MATCH($A227, 'KZ-normalized'!$A:$A, 0))-INDEX('KZ-normalized'!$E:$E, MATCH($A227, 'KZ-normalized'!$A:$A, 0))&gt;0, -(2*INDEX('KZ-normalized'!$D:$D, MATCH($A227, 'KZ-normalized'!$A:$A, 0))-INDEX('KZ-normalized'!$E:$E, MATCH($A227, 'KZ-normalized'!$A:$A, 0))), 0), 0))+(IFERROR(IF(2*INDEX('UZ-normalized'!$D:$D, MATCH($A227, 'UZ-normalized'!$A:$A, 0))-INDEX('UZ-normalized'!$E:$E, MATCH($A227, 'UZ-normalized'!$A:$A, 0))&gt;0, -(2*INDEX('UZ-normalized'!$D:$D, MATCH($A227, 'UZ-normalized'!$A:$A, 0))-INDEX('UZ-normalized'!$E:$E, MATCH($A227, 'UZ-normalized'!$A:$A, 0))), 0), 0)))</f>
        <v>0</v>
      </c>
      <c r="Q227" s="6">
        <f>MIN(0, N227+(IFERROR(IF(3*INDEX('UA-normalized'!$D:$D, MATCH($A227, 'UA-normalized'!$A:$A, 0))-INDEX('UA-normalized'!$E:$E, MATCH($A227, 'UA-normalized'!$A:$A, 0))&gt;0, -(3*INDEX('UA-normalized'!$D:$D, MATCH($A227, 'UA-normalized'!$A:$A, 0))-INDEX('UA-normalized'!$E:$E, MATCH($A227, 'UA-normalized'!$A:$A, 0))), 0), 0))+(IFERROR(IF(3*INDEX('KZ-normalized'!$D:$D, MATCH($A227, 'KZ-normalized'!$A:$A, 0))-INDEX('KZ-normalized'!$E:$E, MATCH($A227, 'KZ-normalized'!$A:$A, 0))&gt;0, -(3*INDEX('KZ-normalized'!$D:$D, MATCH($A227, 'KZ-normalized'!$A:$A, 0))-INDEX('KZ-normalized'!$E:$E, MATCH($A227, 'KZ-normalized'!$A:$A, 0))), 0), 0))+(IFERROR(IF(3*INDEX('UZ-normalized'!$D:$D, MATCH($A227, 'UZ-normalized'!$A:$A, 0))-INDEX('UZ-normalized'!$E:$E, MATCH($A227, 'UZ-normalized'!$A:$A, 0))&gt;0, -(3*INDEX('UZ-normalized'!$D:$D, MATCH($A227, 'UZ-normalized'!$A:$A, 0))-INDEX('UZ-normalized'!$E:$E, MATCH($A227, 'UZ-normalized'!$A:$A, 0))), 0), 0)))</f>
        <v>0</v>
      </c>
      <c r="R227" s="6">
        <f>MIN(0, N227+(IFERROR(IF(4*INDEX('UA-normalized'!$D:$D, MATCH($A227, 'UA-normalized'!$A:$A, 0))-INDEX('UA-normalized'!$E:$E, MATCH($A227, 'UA-normalized'!$A:$A, 0))&gt;0, -(4*INDEX('UA-normalized'!$D:$D, MATCH($A227, 'UA-normalized'!$A:$A, 0))-INDEX('UA-normalized'!$E:$E, MATCH($A227, 'UA-normalized'!$A:$A, 0))), 0), 0))+(IFERROR(IF(4*INDEX('KZ-normalized'!$D:$D, MATCH($A227, 'KZ-normalized'!$A:$A, 0))-INDEX('KZ-normalized'!$E:$E, MATCH($A227, 'KZ-normalized'!$A:$A, 0))&gt;0, -(4*INDEX('KZ-normalized'!$D:$D, MATCH($A227, 'KZ-normalized'!$A:$A, 0))-INDEX('KZ-normalized'!$E:$E, MATCH($A227, 'KZ-normalized'!$A:$A, 0))), 0), 0))+(IFERROR(IF(4*INDEX('UZ-normalized'!$D:$D, MATCH($A227, 'UZ-normalized'!$A:$A, 0))-INDEX('UZ-normalized'!$E:$E, MATCH($A227, 'UZ-normalized'!$A:$A, 0))&gt;0, -(4*INDEX('UZ-normalized'!$D:$D, MATCH($A227, 'UZ-normalized'!$A:$A, 0))-INDEX('UZ-normalized'!$E:$E, MATCH($A227, 'UZ-normalized'!$A:$A, 0))), 0), 0)))</f>
        <v>0</v>
      </c>
      <c r="S227" s="6">
        <f>MIN(0, N227+(IFERROR(IF(5*INDEX('UA-normalized'!$D:$D, MATCH($A227, 'UA-normalized'!$A:$A, 0))-INDEX('UA-normalized'!$E:$E, MATCH($A227, 'UA-normalized'!$A:$A, 0))&gt;0, -(5*INDEX('UA-normalized'!$D:$D, MATCH($A227, 'UA-normalized'!$A:$A, 0))-INDEX('UA-normalized'!$E:$E, MATCH($A227, 'UA-normalized'!$A:$A, 0))), 0), 0))+(IFERROR(IF(5*INDEX('KZ-normalized'!$D:$D, MATCH($A227, 'KZ-normalized'!$A:$A, 0))-INDEX('KZ-normalized'!$E:$E, MATCH($A227, 'KZ-normalized'!$A:$A, 0))&gt;0, -(5*INDEX('KZ-normalized'!$D:$D, MATCH($A227, 'KZ-normalized'!$A:$A, 0))-INDEX('KZ-normalized'!$E:$E, MATCH($A227, 'KZ-normalized'!$A:$A, 0))), 0), 0))+(IFERROR(IF(5*INDEX('UZ-normalized'!$D:$D, MATCH($A227, 'UZ-normalized'!$A:$A, 0))-INDEX('UZ-normalized'!$E:$E, MATCH($A227, 'UZ-normalized'!$A:$A, 0))&gt;0, -(5*INDEX('UZ-normalized'!$D:$D, MATCH($A227, 'UZ-normalized'!$A:$A, 0))-INDEX('UZ-normalized'!$E:$E, MATCH($A227, 'UZ-normalized'!$A:$A, 0))), 0), 0)))</f>
        <v>0</v>
      </c>
      <c r="T227" s="6">
        <f>MIN(0, N227+(IFERROR(IF(6*INDEX('UA-normalized'!$D:$D, MATCH($A227, 'UA-normalized'!$A:$A, 0))-INDEX('UA-normalized'!$E:$E, MATCH($A227, 'UA-normalized'!$A:$A, 0))&gt;0, -(6*INDEX('UA-normalized'!$D:$D, MATCH($A227, 'UA-normalized'!$A:$A, 0))-INDEX('UA-normalized'!$E:$E, MATCH($A227, 'UA-normalized'!$A:$A, 0))), 0), 0))+(IFERROR(IF(6*INDEX('KZ-normalized'!$D:$D, MATCH($A227, 'KZ-normalized'!$A:$A, 0))-INDEX('KZ-normalized'!$E:$E, MATCH($A227, 'KZ-normalized'!$A:$A, 0))&gt;0, -(6*INDEX('KZ-normalized'!$D:$D, MATCH($A227, 'KZ-normalized'!$A:$A, 0))-INDEX('KZ-normalized'!$E:$E, MATCH($A227, 'KZ-normalized'!$A:$A, 0))), 0), 0))+(IFERROR(IF(6*INDEX('UZ-normalized'!$D:$D, MATCH($A227, 'UZ-normalized'!$A:$A, 0))-INDEX('UZ-normalized'!$E:$E, MATCH($A227, 'UZ-normalized'!$A:$A, 0))&gt;0, -(6*INDEX('UZ-normalized'!$D:$D, MATCH($A227, 'UZ-normalized'!$A:$A, 0))-INDEX('UZ-normalized'!$E:$E, MATCH($A227, 'UZ-normalized'!$A:$A, 0))), 0), 0)))</f>
        <v>0</v>
      </c>
      <c r="U227" s="6">
        <f>MIN(0, N227+(IFERROR(IF(7*INDEX('UA-normalized'!$D:$D, MATCH($A227, 'UA-normalized'!$A:$A, 0))-INDEX('UA-normalized'!$E:$E, MATCH($A227, 'UA-normalized'!$A:$A, 0))&gt;0, -(7*INDEX('UA-normalized'!$D:$D, MATCH($A227, 'UA-normalized'!$A:$A, 0))-INDEX('UA-normalized'!$E:$E, MATCH($A227, 'UA-normalized'!$A:$A, 0))), 0), 0))+(IFERROR(IF(7*INDEX('KZ-normalized'!$D:$D, MATCH($A227, 'KZ-normalized'!$A:$A, 0))-INDEX('KZ-normalized'!$E:$E, MATCH($A227, 'KZ-normalized'!$A:$A, 0))&gt;0, -(7*INDEX('KZ-normalized'!$D:$D, MATCH($A227, 'KZ-normalized'!$A:$A, 0))-INDEX('KZ-normalized'!$E:$E, MATCH($A227, 'KZ-normalized'!$A:$A, 0))), 0), 0))+(IFERROR(IF(7*INDEX('UZ-normalized'!$D:$D, MATCH($A227, 'UZ-normalized'!$A:$A, 0))-INDEX('UZ-normalized'!$E:$E, MATCH($A227, 'UZ-normalized'!$A:$A, 0))&gt;0, -(7*INDEX('UZ-normalized'!$D:$D, MATCH($A227, 'UZ-normalized'!$A:$A, 0))-INDEX('UZ-normalized'!$E:$E, MATCH($A227, 'UZ-normalized'!$A:$A, 0))), 0), 0)))</f>
        <v>0</v>
      </c>
      <c r="V227" s="6">
        <f>MIN(0, N227+(IFERROR(IF(8*INDEX('UA-normalized'!$D:$D, MATCH($A227, 'UA-normalized'!$A:$A, 0))-INDEX('UA-normalized'!$E:$E, MATCH($A227, 'UA-normalized'!$A:$A, 0))&gt;0, -(8*INDEX('UA-normalized'!$D:$D, MATCH($A227, 'UA-normalized'!$A:$A, 0))-INDEX('UA-normalized'!$E:$E, MATCH($A227, 'UA-normalized'!$A:$A, 0))), 0), 0))+(IFERROR(IF(8*INDEX('KZ-normalized'!$D:$D, MATCH($A227, 'KZ-normalized'!$A:$A, 0))-INDEX('KZ-normalized'!$E:$E, MATCH($A227, 'KZ-normalized'!$A:$A, 0))&gt;0, -(8*INDEX('KZ-normalized'!$D:$D, MATCH($A227, 'KZ-normalized'!$A:$A, 0))-INDEX('KZ-normalized'!$E:$E, MATCH($A227, 'KZ-normalized'!$A:$A, 0))), 0), 0))+(IFERROR(IF(8*INDEX('UZ-normalized'!$D:$D, MATCH($A227, 'UZ-normalized'!$A:$A, 0))-INDEX('UZ-normalized'!$E:$E, MATCH($A227, 'UZ-normalized'!$A:$A, 0))&gt;0, -(8*INDEX('UZ-normalized'!$D:$D, MATCH($A227, 'UZ-normalized'!$A:$A, 0))-INDEX('UZ-normalized'!$E:$E, MATCH($A227, 'UZ-normalized'!$A:$A, 0))), 0), 0)))</f>
        <v>0</v>
      </c>
      <c r="W227" s="6">
        <f>MIN(0, N227+(IFERROR(IF(9*INDEX('UA-normalized'!$D:$D, MATCH($A227, 'UA-normalized'!$A:$A, 0))-INDEX('UA-normalized'!$E:$E, MATCH($A227, 'UA-normalized'!$A:$A, 0))&gt;0, -(9*INDEX('UA-normalized'!$D:$D, MATCH($A227, 'UA-normalized'!$A:$A, 0))-INDEX('UA-normalized'!$E:$E, MATCH($A227, 'UA-normalized'!$A:$A, 0))), 0), 0))+(IFERROR(IF(9*INDEX('KZ-normalized'!$D:$D, MATCH($A227, 'KZ-normalized'!$A:$A, 0))-INDEX('KZ-normalized'!$E:$E, MATCH($A227, 'KZ-normalized'!$A:$A, 0))&gt;0, -(9*INDEX('KZ-normalized'!$D:$D, MATCH($A227, 'KZ-normalized'!$A:$A, 0))-INDEX('KZ-normalized'!$E:$E, MATCH($A227, 'KZ-normalized'!$A:$A, 0))), 0), 0))+(IFERROR(IF(9*INDEX('UZ-normalized'!$D:$D, MATCH($A227, 'UZ-normalized'!$A:$A, 0))-INDEX('UZ-normalized'!$E:$E, MATCH($A227, 'UZ-normalized'!$A:$A, 0))&gt;0, -(9*INDEX('UZ-normalized'!$D:$D, MATCH($A227, 'UZ-normalized'!$A:$A, 0))-INDEX('UZ-normalized'!$E:$E, MATCH($A227, 'UZ-normalized'!$A:$A, 0))), 0), 0)))</f>
        <v>0</v>
      </c>
      <c r="X227" s="6">
        <f>MIN(0, N227+(IFERROR(IF(10*INDEX('UA-normalized'!$D:$D, MATCH($A227, 'UA-normalized'!$A:$A, 0))-INDEX('UA-normalized'!$E:$E, MATCH($A227, 'UA-normalized'!$A:$A, 0))&gt;0, -(10*INDEX('UA-normalized'!$D:$D, MATCH($A227, 'UA-normalized'!$A:$A, 0))-INDEX('UA-normalized'!$E:$E, MATCH($A227, 'UA-normalized'!$A:$A, 0))), 0), 0))+(IFERROR(IF(10*INDEX('KZ-normalized'!$D:$D, MATCH($A227, 'KZ-normalized'!$A:$A, 0))-INDEX('KZ-normalized'!$E:$E, MATCH($A227, 'KZ-normalized'!$A:$A, 0))&gt;0, -(10*INDEX('KZ-normalized'!$D:$D, MATCH($A227, 'KZ-normalized'!$A:$A, 0))-INDEX('KZ-normalized'!$E:$E, MATCH($A227, 'KZ-normalized'!$A:$A, 0))), 0), 0))+(IFERROR(IF(10*INDEX('UZ-normalized'!$D:$D, MATCH($A227, 'UZ-normalized'!$A:$A, 0))-INDEX('UZ-normalized'!$E:$E, MATCH($A227, 'UZ-normalized'!$A:$A, 0))&gt;0, -(10*INDEX('UZ-normalized'!$D:$D, MATCH($A227, 'UZ-normalized'!$A:$A, 0))-INDEX('UZ-normalized'!$E:$E, MATCH($A227, 'UZ-normalized'!$A:$A, 0))), 0), 0)))</f>
        <v>0</v>
      </c>
      <c r="Y227" s="6">
        <f>MIN(0, N227+(IFERROR(IF(11*INDEX('UA-normalized'!$D:$D, MATCH($A227, 'UA-normalized'!$A:$A, 0))-INDEX('UA-normalized'!$E:$E, MATCH($A227, 'UA-normalized'!$A:$A, 0))&gt;0, -(11*INDEX('UA-normalized'!$D:$D, MATCH($A227, 'UA-normalized'!$A:$A, 0))-INDEX('UA-normalized'!$E:$E, MATCH($A227, 'UA-normalized'!$A:$A, 0))), 0), 0))+(IFERROR(IF(11*INDEX('KZ-normalized'!$D:$D, MATCH($A227, 'KZ-normalized'!$A:$A, 0))-INDEX('KZ-normalized'!$E:$E, MATCH($A227, 'KZ-normalized'!$A:$A, 0))&gt;0, -(11*INDEX('KZ-normalized'!$D:$D, MATCH($A227, 'KZ-normalized'!$A:$A, 0))-INDEX('KZ-normalized'!$E:$E, MATCH($A227, 'KZ-normalized'!$A:$A, 0))), 0), 0))+(IFERROR(IF(11*INDEX('UZ-normalized'!$D:$D, MATCH($A227, 'UZ-normalized'!$A:$A, 0))-INDEX('UZ-normalized'!$E:$E, MATCH($A227, 'UZ-normalized'!$A:$A, 0))&gt;0, -(11*INDEX('UZ-normalized'!$D:$D, MATCH($A227, 'UZ-normalized'!$A:$A, 0))-INDEX('UZ-normalized'!$E:$E, MATCH($A227, 'UZ-normalized'!$A:$A, 0))), 0), 0)))</f>
        <v>0</v>
      </c>
      <c r="Z227" s="6">
        <f>MIN(0, N227+(IFERROR(IF(12*INDEX('UA-normalized'!$D:$D, MATCH($A227, 'UA-normalized'!$A:$A, 0))-INDEX('UA-normalized'!$E:$E, MATCH($A227, 'UA-normalized'!$A:$A, 0))&gt;0, -(12*INDEX('UA-normalized'!$D:$D, MATCH($A227, 'UA-normalized'!$A:$A, 0))-INDEX('UA-normalized'!$E:$E, MATCH($A227, 'UA-normalized'!$A:$A, 0))), 0), 0))+(IFERROR(IF(12*INDEX('KZ-normalized'!$D:$D, MATCH($A227, 'KZ-normalized'!$A:$A, 0))-INDEX('KZ-normalized'!$E:$E, MATCH($A227, 'KZ-normalized'!$A:$A, 0))&gt;0, -(12*INDEX('KZ-normalized'!$D:$D, MATCH($A227, 'KZ-normalized'!$A:$A, 0))-INDEX('KZ-normalized'!$E:$E, MATCH($A227, 'KZ-normalized'!$A:$A, 0))), 0), 0))+(IFERROR(IF(12*INDEX('UZ-normalized'!$D:$D, MATCH($A227, 'UZ-normalized'!$A:$A, 0))-INDEX('UZ-normalized'!$E:$E, MATCH($A227, 'UZ-normalized'!$A:$A, 0))&gt;0, -(12*INDEX('UZ-normalized'!$D:$D, MATCH($A227, 'UZ-normalized'!$A:$A, 0))-INDEX('UZ-normalized'!$E:$E, MATCH($A227, 'UZ-normalized'!$A:$A, 0))), 0), 0)))</f>
        <v>0</v>
      </c>
      <c r="AA227" s="6">
        <f>MIN(0, N227+(IFERROR(IF(13*INDEX('UA-normalized'!$D:$D, MATCH($A227, 'UA-normalized'!$A:$A, 0))-INDEX('UA-normalized'!$E:$E, MATCH($A227, 'UA-normalized'!$A:$A, 0))&gt;0, -(13*INDEX('UA-normalized'!$D:$D, MATCH($A227, 'UA-normalized'!$A:$A, 0))-INDEX('UA-normalized'!$E:$E, MATCH($A227, 'UA-normalized'!$A:$A, 0))), 0), 0))+(IFERROR(IF(13*INDEX('KZ-normalized'!$D:$D, MATCH($A227, 'KZ-normalized'!$A:$A, 0))-INDEX('KZ-normalized'!$E:$E, MATCH($A227, 'KZ-normalized'!$A:$A, 0))&gt;0, -(13*INDEX('KZ-normalized'!$D:$D, MATCH($A227, 'KZ-normalized'!$A:$A, 0))-INDEX('KZ-normalized'!$E:$E, MATCH($A227, 'KZ-normalized'!$A:$A, 0))), 0), 0))+(IFERROR(IF(13*INDEX('UZ-normalized'!$D:$D, MATCH($A227, 'UZ-normalized'!$A:$A, 0))-INDEX('UZ-normalized'!$E:$E, MATCH($A227, 'UZ-normalized'!$A:$A, 0))&gt;0, -(13*INDEX('UZ-normalized'!$D:$D, MATCH($A227, 'UZ-normalized'!$A:$A, 0))-INDEX('UZ-normalized'!$E:$E, MATCH($A227, 'UZ-normalized'!$A:$A, 0))), 0), 0)))</f>
        <v>0</v>
      </c>
      <c r="AB227" s="6">
        <f>MIN(0, N227+(IFERROR(IF(14*INDEX('UA-normalized'!$D:$D, MATCH($A227, 'UA-normalized'!$A:$A, 0))-INDEX('UA-normalized'!$E:$E, MATCH($A227, 'UA-normalized'!$A:$A, 0))&gt;0, -(14*INDEX('UA-normalized'!$D:$D, MATCH($A227, 'UA-normalized'!$A:$A, 0))-INDEX('UA-normalized'!$E:$E, MATCH($A227, 'UA-normalized'!$A:$A, 0))), 0), 0))+(IFERROR(IF(14*INDEX('KZ-normalized'!$D:$D, MATCH($A227, 'KZ-normalized'!$A:$A, 0))-INDEX('KZ-normalized'!$E:$E, MATCH($A227, 'KZ-normalized'!$A:$A, 0))&gt;0, -(14*INDEX('KZ-normalized'!$D:$D, MATCH($A227, 'KZ-normalized'!$A:$A, 0))-INDEX('KZ-normalized'!$E:$E, MATCH($A227, 'KZ-normalized'!$A:$A, 0))), 0), 0))+(IFERROR(IF(14*INDEX('UZ-normalized'!$D:$D, MATCH($A227, 'UZ-normalized'!$A:$A, 0))-INDEX('UZ-normalized'!$E:$E, MATCH($A227, 'UZ-normalized'!$A:$A, 0))&gt;0, -(14*INDEX('UZ-normalized'!$D:$D, MATCH($A227, 'UZ-normalized'!$A:$A, 0))-INDEX('UZ-normalized'!$E:$E, MATCH($A227, 'UZ-normalized'!$A:$A, 0))), 0), 0)))</f>
        <v>0</v>
      </c>
      <c r="AC227" s="6">
        <f>MIN(0, N227+(IFERROR(IF(15*INDEX('UA-normalized'!$D:$D, MATCH($A227, 'UA-normalized'!$A:$A, 0))-INDEX('UA-normalized'!$E:$E, MATCH($A227, 'UA-normalized'!$A:$A, 0))&gt;0, -(15*INDEX('UA-normalized'!$D:$D, MATCH($A227, 'UA-normalized'!$A:$A, 0))-INDEX('UA-normalized'!$E:$E, MATCH($A227, 'UA-normalized'!$A:$A, 0))), 0), 0))+(IFERROR(IF(15*INDEX('KZ-normalized'!$D:$D, MATCH($A227, 'KZ-normalized'!$A:$A, 0))-INDEX('KZ-normalized'!$E:$E, MATCH($A227, 'KZ-normalized'!$A:$A, 0))&gt;0, -(15*INDEX('KZ-normalized'!$D:$D, MATCH($A227, 'KZ-normalized'!$A:$A, 0))-INDEX('KZ-normalized'!$E:$E, MATCH($A227, 'KZ-normalized'!$A:$A, 0))), 0), 0))+(IFERROR(IF(15*INDEX('UZ-normalized'!$D:$D, MATCH($A227, 'UZ-normalized'!$A:$A, 0))-INDEX('UZ-normalized'!$E:$E, MATCH($A227, 'UZ-normalized'!$A:$A, 0))&gt;0, -(15*INDEX('UZ-normalized'!$D:$D, MATCH($A227, 'UZ-normalized'!$A:$A, 0))-INDEX('UZ-normalized'!$E:$E, MATCH($A227, 'UZ-normalized'!$A:$A, 0))), 0), 0)))</f>
        <v>0</v>
      </c>
      <c r="AD227" s="6">
        <f>MIN(0, N227+(IFERROR(IF(16*INDEX('UA-normalized'!$D:$D, MATCH($A227, 'UA-normalized'!$A:$A, 0))-INDEX('UA-normalized'!$E:$E, MATCH($A227, 'UA-normalized'!$A:$A, 0))&gt;0, -(16*INDEX('UA-normalized'!$D:$D, MATCH($A227, 'UA-normalized'!$A:$A, 0))-INDEX('UA-normalized'!$E:$E, MATCH($A227, 'UA-normalized'!$A:$A, 0))), 0), 0))+(IFERROR(IF(16*INDEX('KZ-normalized'!$D:$D, MATCH($A227, 'KZ-normalized'!$A:$A, 0))-INDEX('KZ-normalized'!$E:$E, MATCH($A227, 'KZ-normalized'!$A:$A, 0))&gt;0, -(16*INDEX('KZ-normalized'!$D:$D, MATCH($A227, 'KZ-normalized'!$A:$A, 0))-INDEX('KZ-normalized'!$E:$E, MATCH($A227, 'KZ-normalized'!$A:$A, 0))), 0), 0))+(IFERROR(IF(16*INDEX('UZ-normalized'!$D:$D, MATCH($A227, 'UZ-normalized'!$A:$A, 0))-INDEX('UZ-normalized'!$E:$E, MATCH($A227, 'UZ-normalized'!$A:$A, 0))&gt;0, -(16*INDEX('UZ-normalized'!$D:$D, MATCH($A227, 'UZ-normalized'!$A:$A, 0))-INDEX('UZ-normalized'!$E:$E, MATCH($A227, 'UZ-normalized'!$A:$A, 0))), 0), 0)))</f>
        <v>0</v>
      </c>
      <c r="AE227" s="6">
        <f>MIN(0, N227+(IFERROR(IF(17*INDEX('UA-normalized'!$D:$D, MATCH($A227, 'UA-normalized'!$A:$A, 0))-INDEX('UA-normalized'!$E:$E, MATCH($A227, 'UA-normalized'!$A:$A, 0))&gt;0, -(17*INDEX('UA-normalized'!$D:$D, MATCH($A227, 'UA-normalized'!$A:$A, 0))-INDEX('UA-normalized'!$E:$E, MATCH($A227, 'UA-normalized'!$A:$A, 0))), 0), 0))+(IFERROR(IF(17*INDEX('KZ-normalized'!$D:$D, MATCH($A227, 'KZ-normalized'!$A:$A, 0))-INDEX('KZ-normalized'!$E:$E, MATCH($A227, 'KZ-normalized'!$A:$A, 0))&gt;0, -(17*INDEX('KZ-normalized'!$D:$D, MATCH($A227, 'KZ-normalized'!$A:$A, 0))-INDEX('KZ-normalized'!$E:$E, MATCH($A227, 'KZ-normalized'!$A:$A, 0))), 0), 0))+(IFERROR(IF(17*INDEX('UZ-normalized'!$D:$D, MATCH($A227, 'UZ-normalized'!$A:$A, 0))-INDEX('UZ-normalized'!$E:$E, MATCH($A227, 'UZ-normalized'!$A:$A, 0))&gt;0, -(17*INDEX('UZ-normalized'!$D:$D, MATCH($A227, 'UZ-normalized'!$A:$A, 0))-INDEX('UZ-normalized'!$E:$E, MATCH($A227, 'UZ-normalized'!$A:$A, 0))), 0), 0)))</f>
        <v>0</v>
      </c>
      <c r="AF227" s="6">
        <f>MIN(0, N227+(IFERROR(IF(18*INDEX('UA-normalized'!$D:$D, MATCH($A227, 'UA-normalized'!$A:$A, 0))-INDEX('UA-normalized'!$E:$E, MATCH($A227, 'UA-normalized'!$A:$A, 0))&gt;0, -(18*INDEX('UA-normalized'!$D:$D, MATCH($A227, 'UA-normalized'!$A:$A, 0))-INDEX('UA-normalized'!$E:$E, MATCH($A227, 'UA-normalized'!$A:$A, 0))), 0), 0))+(IFERROR(IF(18*INDEX('KZ-normalized'!$D:$D, MATCH($A227, 'KZ-normalized'!$A:$A, 0))-INDEX('KZ-normalized'!$E:$E, MATCH($A227, 'KZ-normalized'!$A:$A, 0))&gt;0, -(18*INDEX('KZ-normalized'!$D:$D, MATCH($A227, 'KZ-normalized'!$A:$A, 0))-INDEX('KZ-normalized'!$E:$E, MATCH($A227, 'KZ-normalized'!$A:$A, 0))), 0), 0))+(IFERROR(IF(18*INDEX('UZ-normalized'!$D:$D, MATCH($A227, 'UZ-normalized'!$A:$A, 0))-INDEX('UZ-normalized'!$E:$E, MATCH($A227, 'UZ-normalized'!$A:$A, 0))&gt;0, -(18*INDEX('UZ-normalized'!$D:$D, MATCH($A227, 'UZ-normalized'!$A:$A, 0))-INDEX('UZ-normalized'!$E:$E, MATCH($A227, 'UZ-normalized'!$A:$A, 0))), 0), 0)))</f>
        <v>0</v>
      </c>
      <c r="AG227" s="6">
        <f>MIN(0, N227+(IFERROR(IF(19*INDEX('UA-normalized'!$D:$D, MATCH($A227, 'UA-normalized'!$A:$A, 0))-INDEX('UA-normalized'!$E:$E, MATCH($A227, 'UA-normalized'!$A:$A, 0))&gt;0, -(19*INDEX('UA-normalized'!$D:$D, MATCH($A227, 'UA-normalized'!$A:$A, 0))-INDEX('UA-normalized'!$E:$E, MATCH($A227, 'UA-normalized'!$A:$A, 0))), 0), 0))+(IFERROR(IF(19*INDEX('KZ-normalized'!$D:$D, MATCH($A227, 'KZ-normalized'!$A:$A, 0))-INDEX('KZ-normalized'!$E:$E, MATCH($A227, 'KZ-normalized'!$A:$A, 0))&gt;0, -(19*INDEX('KZ-normalized'!$D:$D, MATCH($A227, 'KZ-normalized'!$A:$A, 0))-INDEX('KZ-normalized'!$E:$E, MATCH($A227, 'KZ-normalized'!$A:$A, 0))), 0), 0))+(IFERROR(IF(19*INDEX('UZ-normalized'!$D:$D, MATCH($A227, 'UZ-normalized'!$A:$A, 0))-INDEX('UZ-normalized'!$E:$E, MATCH($A227, 'UZ-normalized'!$A:$A, 0))&gt;0, -(19*INDEX('UZ-normalized'!$D:$D, MATCH($A227, 'UZ-normalized'!$A:$A, 0))-INDEX('UZ-normalized'!$E:$E, MATCH($A227, 'UZ-normalized'!$A:$A, 0))), 0), 0)))</f>
        <v>0</v>
      </c>
      <c r="AH227" s="6">
        <f>MIN(0, N227+(IFERROR(IF(20*INDEX('UA-normalized'!$D:$D, MATCH($A227, 'UA-normalized'!$A:$A, 0))-INDEX('UA-normalized'!$E:$E, MATCH($A227, 'UA-normalized'!$A:$A, 0))&gt;0, -(20*INDEX('UA-normalized'!$D:$D, MATCH($A227, 'UA-normalized'!$A:$A, 0))-INDEX('UA-normalized'!$E:$E, MATCH($A227, 'UA-normalized'!$A:$A, 0))), 0), 0))+(IFERROR(IF(20*INDEX('KZ-normalized'!$D:$D, MATCH($A227, 'KZ-normalized'!$A:$A, 0))-INDEX('KZ-normalized'!$E:$E, MATCH($A227, 'KZ-normalized'!$A:$A, 0))&gt;0, -(20*INDEX('KZ-normalized'!$D:$D, MATCH($A227, 'KZ-normalized'!$A:$A, 0))-INDEX('KZ-normalized'!$E:$E, MATCH($A227, 'KZ-normalized'!$A:$A, 0))), 0), 0))+(IFERROR(IF(20*INDEX('UZ-normalized'!$D:$D, MATCH($A227, 'UZ-normalized'!$A:$A, 0))-INDEX('UZ-normalized'!$E:$E, MATCH($A227, 'UZ-normalized'!$A:$A, 0))&gt;0, -(20*INDEX('UZ-normalized'!$D:$D, MATCH($A227, 'UZ-normalized'!$A:$A, 0))-INDEX('UZ-normalized'!$E:$E, MATCH($A227, 'UZ-normalized'!$A:$A, 0))), 0), 0)))</f>
        <v>0</v>
      </c>
      <c r="AI227" s="6">
        <f>MIN(0, N227+(IFERROR(IF(21*INDEX('UA-normalized'!$D:$D, MATCH($A227, 'UA-normalized'!$A:$A, 0))-INDEX('UA-normalized'!$E:$E, MATCH($A227, 'UA-normalized'!$A:$A, 0))&gt;0, -(21*INDEX('UA-normalized'!$D:$D, MATCH($A227, 'UA-normalized'!$A:$A, 0))-INDEX('UA-normalized'!$E:$E, MATCH($A227, 'UA-normalized'!$A:$A, 0))), 0), 0))+(IFERROR(IF(21*INDEX('KZ-normalized'!$D:$D, MATCH($A227, 'KZ-normalized'!$A:$A, 0))-INDEX('KZ-normalized'!$E:$E, MATCH($A227, 'KZ-normalized'!$A:$A, 0))&gt;0, -(21*INDEX('KZ-normalized'!$D:$D, MATCH($A227, 'KZ-normalized'!$A:$A, 0))-INDEX('KZ-normalized'!$E:$E, MATCH($A227, 'KZ-normalized'!$A:$A, 0))), 0), 0))+(IFERROR(IF(21*INDEX('UZ-normalized'!$D:$D, MATCH($A227, 'UZ-normalized'!$A:$A, 0))-INDEX('UZ-normalized'!$E:$E, MATCH($A227, 'UZ-normalized'!$A:$A, 0))&gt;0, -(21*INDEX('UZ-normalized'!$D:$D, MATCH($A227, 'UZ-normalized'!$A:$A, 0))-INDEX('UZ-normalized'!$E:$E, MATCH($A227, 'UZ-normalized'!$A:$A, 0))), 0), 0)))</f>
        <v>0</v>
      </c>
      <c r="AJ227" s="6">
        <f>MIN(0, N227+(IFERROR(IF(22*INDEX('UA-normalized'!$D:$D, MATCH($A227, 'UA-normalized'!$A:$A, 0))-INDEX('UA-normalized'!$E:$E, MATCH($A227, 'UA-normalized'!$A:$A, 0))&gt;0, -(22*INDEX('UA-normalized'!$D:$D, MATCH($A227, 'UA-normalized'!$A:$A, 0))-INDEX('UA-normalized'!$E:$E, MATCH($A227, 'UA-normalized'!$A:$A, 0))), 0), 0))+(IFERROR(IF(22*INDEX('KZ-normalized'!$D:$D, MATCH($A227, 'KZ-normalized'!$A:$A, 0))-INDEX('KZ-normalized'!$E:$E, MATCH($A227, 'KZ-normalized'!$A:$A, 0))&gt;0, -(22*INDEX('KZ-normalized'!$D:$D, MATCH($A227, 'KZ-normalized'!$A:$A, 0))-INDEX('KZ-normalized'!$E:$E, MATCH($A227, 'KZ-normalized'!$A:$A, 0))), 0), 0))+(IFERROR(IF(22*INDEX('UZ-normalized'!$D:$D, MATCH($A227, 'UZ-normalized'!$A:$A, 0))-INDEX('UZ-normalized'!$E:$E, MATCH($A227, 'UZ-normalized'!$A:$A, 0))&gt;0, -(22*INDEX('UZ-normalized'!$D:$D, MATCH($A227, 'UZ-normalized'!$A:$A, 0))-INDEX('UZ-normalized'!$E:$E, MATCH($A227, 'UZ-normalized'!$A:$A, 0))), 0), 0)))</f>
        <v>0</v>
      </c>
      <c r="AK227" s="6">
        <f>MIN(0, N227+(IFERROR(IF(23*INDEX('UA-normalized'!$D:$D, MATCH($A227, 'UA-normalized'!$A:$A, 0))-INDEX('UA-normalized'!$E:$E, MATCH($A227, 'UA-normalized'!$A:$A, 0))&gt;0, -(23*INDEX('UA-normalized'!$D:$D, MATCH($A227, 'UA-normalized'!$A:$A, 0))-INDEX('UA-normalized'!$E:$E, MATCH($A227, 'UA-normalized'!$A:$A, 0))), 0), 0))+(IFERROR(IF(23*INDEX('KZ-normalized'!$D:$D, MATCH($A227, 'KZ-normalized'!$A:$A, 0))-INDEX('KZ-normalized'!$E:$E, MATCH($A227, 'KZ-normalized'!$A:$A, 0))&gt;0, -(23*INDEX('KZ-normalized'!$D:$D, MATCH($A227, 'KZ-normalized'!$A:$A, 0))-INDEX('KZ-normalized'!$E:$E, MATCH($A227, 'KZ-normalized'!$A:$A, 0))), 0), 0))+(IFERROR(IF(23*INDEX('UZ-normalized'!$D:$D, MATCH($A227, 'UZ-normalized'!$A:$A, 0))-INDEX('UZ-normalized'!$E:$E, MATCH($A227, 'UZ-normalized'!$A:$A, 0))&gt;0, -(23*INDEX('UZ-normalized'!$D:$D, MATCH($A227, 'UZ-normalized'!$A:$A, 0))-INDEX('UZ-normalized'!$E:$E, MATCH($A227, 'UZ-normalized'!$A:$A, 0))), 0), 0)))</f>
        <v>0</v>
      </c>
      <c r="AL227" s="6">
        <f>MIN(0, N227+(IFERROR(IF(24*INDEX('UA-normalized'!$D:$D, MATCH($A227, 'UA-normalized'!$A:$A, 0))-INDEX('UA-normalized'!$E:$E, MATCH($A227, 'UA-normalized'!$A:$A, 0))&gt;0, -(24*INDEX('UA-normalized'!$D:$D, MATCH($A227, 'UA-normalized'!$A:$A, 0))-INDEX('UA-normalized'!$E:$E, MATCH($A227, 'UA-normalized'!$A:$A, 0))), 0), 0))+(IFERROR(IF(24*INDEX('KZ-normalized'!$D:$D, MATCH($A227, 'KZ-normalized'!$A:$A, 0))-INDEX('KZ-normalized'!$E:$E, MATCH($A227, 'KZ-normalized'!$A:$A, 0))&gt;0, -(24*INDEX('KZ-normalized'!$D:$D, MATCH($A227, 'KZ-normalized'!$A:$A, 0))-INDEX('KZ-normalized'!$E:$E, MATCH($A227, 'KZ-normalized'!$A:$A, 0))), 0), 0))+(IFERROR(IF(24*INDEX('UZ-normalized'!$D:$D, MATCH($A227, 'UZ-normalized'!$A:$A, 0))-INDEX('UZ-normalized'!$E:$E, MATCH($A227, 'UZ-normalized'!$A:$A, 0))&gt;0, -(24*INDEX('UZ-normalized'!$D:$D, MATCH($A227, 'UZ-normalized'!$A:$A, 0))-INDEX('UZ-normalized'!$E:$E, MATCH($A227, 'UZ-normalized'!$A:$A, 0))), 0), 0)))</f>
        <v>0</v>
      </c>
      <c r="AM227" s="6">
        <f>MIN(0, N227+(IFERROR(IF(25*INDEX('UA-normalized'!$D:$D, MATCH($A227, 'UA-normalized'!$A:$A, 0))-INDEX('UA-normalized'!$E:$E, MATCH($A227, 'UA-normalized'!$A:$A, 0))&gt;0, -(25*INDEX('UA-normalized'!$D:$D, MATCH($A227, 'UA-normalized'!$A:$A, 0))-INDEX('UA-normalized'!$E:$E, MATCH($A227, 'UA-normalized'!$A:$A, 0))), 0), 0))+(IFERROR(IF(25*INDEX('KZ-normalized'!$D:$D, MATCH($A227, 'KZ-normalized'!$A:$A, 0))-INDEX('KZ-normalized'!$E:$E, MATCH($A227, 'KZ-normalized'!$A:$A, 0))&gt;0, -(25*INDEX('KZ-normalized'!$D:$D, MATCH($A227, 'KZ-normalized'!$A:$A, 0))-INDEX('KZ-normalized'!$E:$E, MATCH($A227, 'KZ-normalized'!$A:$A, 0))), 0), 0))+(IFERROR(IF(25*INDEX('UZ-normalized'!$D:$D, MATCH($A227, 'UZ-normalized'!$A:$A, 0))-INDEX('UZ-normalized'!$E:$E, MATCH($A227, 'UZ-normalized'!$A:$A, 0))&gt;0, -(25*INDEX('UZ-normalized'!$D:$D, MATCH($A227, 'UZ-normalized'!$A:$A, 0))-INDEX('UZ-normalized'!$E:$E, MATCH($A227, 'UZ-normalized'!$A:$A, 0))), 0), 0)))</f>
        <v>0</v>
      </c>
      <c r="AN227" s="6">
        <f>MIN(0, N227+(IFERROR(IF(26*INDEX('UA-normalized'!$D:$D, MATCH($A227, 'UA-normalized'!$A:$A, 0))-INDEX('UA-normalized'!$E:$E, MATCH($A227, 'UA-normalized'!$A:$A, 0))&gt;0, -(26*INDEX('UA-normalized'!$D:$D, MATCH($A227, 'UA-normalized'!$A:$A, 0))-INDEX('UA-normalized'!$E:$E, MATCH($A227, 'UA-normalized'!$A:$A, 0))), 0), 0))+(IFERROR(IF(26*INDEX('KZ-normalized'!$D:$D, MATCH($A227, 'KZ-normalized'!$A:$A, 0))-INDEX('KZ-normalized'!$E:$E, MATCH($A227, 'KZ-normalized'!$A:$A, 0))&gt;0, -(26*INDEX('KZ-normalized'!$D:$D, MATCH($A227, 'KZ-normalized'!$A:$A, 0))-INDEX('KZ-normalized'!$E:$E, MATCH($A227, 'KZ-normalized'!$A:$A, 0))), 0), 0))+(IFERROR(IF(26*INDEX('UZ-normalized'!$D:$D, MATCH($A227, 'UZ-normalized'!$A:$A, 0))-INDEX('UZ-normalized'!$E:$E, MATCH($A227, 'UZ-normalized'!$A:$A, 0))&gt;0, -(26*INDEX('UZ-normalized'!$D:$D, MATCH($A227, 'UZ-normalized'!$A:$A, 0))-INDEX('UZ-normalized'!$E:$E, MATCH($A227, 'UZ-normalized'!$A:$A, 0))), 0), 0)))</f>
        <v>0</v>
      </c>
      <c r="AO227" s="6">
        <f>MIN(0, N227+(IFERROR(IF(27*INDEX('UA-normalized'!$D:$D, MATCH($A227, 'UA-normalized'!$A:$A, 0))-INDEX('UA-normalized'!$E:$E, MATCH($A227, 'UA-normalized'!$A:$A, 0))&gt;0, -(27*INDEX('UA-normalized'!$D:$D, MATCH($A227, 'UA-normalized'!$A:$A, 0))-INDEX('UA-normalized'!$E:$E, MATCH($A227, 'UA-normalized'!$A:$A, 0))), 0), 0))+(IFERROR(IF(27*INDEX('KZ-normalized'!$D:$D, MATCH($A227, 'KZ-normalized'!$A:$A, 0))-INDEX('KZ-normalized'!$E:$E, MATCH($A227, 'KZ-normalized'!$A:$A, 0))&gt;0, -(27*INDEX('KZ-normalized'!$D:$D, MATCH($A227, 'KZ-normalized'!$A:$A, 0))-INDEX('KZ-normalized'!$E:$E, MATCH($A227, 'KZ-normalized'!$A:$A, 0))), 0), 0))+(IFERROR(IF(27*INDEX('UZ-normalized'!$D:$D, MATCH($A227, 'UZ-normalized'!$A:$A, 0))-INDEX('UZ-normalized'!$E:$E, MATCH($A227, 'UZ-normalized'!$A:$A, 0))&gt;0, -(27*INDEX('UZ-normalized'!$D:$D, MATCH($A227, 'UZ-normalized'!$A:$A, 0))-INDEX('UZ-normalized'!$E:$E, MATCH($A227, 'UZ-normalized'!$A:$A, 0))), 0), 0)))</f>
        <v>0</v>
      </c>
      <c r="AP227" s="6">
        <f>MIN(0, N227+(IFERROR(IF(28*INDEX('UA-normalized'!$D:$D, MATCH($A227, 'UA-normalized'!$A:$A, 0))-INDEX('UA-normalized'!$E:$E, MATCH($A227, 'UA-normalized'!$A:$A, 0))&gt;0, -(28*INDEX('UA-normalized'!$D:$D, MATCH($A227, 'UA-normalized'!$A:$A, 0))-INDEX('UA-normalized'!$E:$E, MATCH($A227, 'UA-normalized'!$A:$A, 0))), 0), 0))+(IFERROR(IF(28*INDEX('KZ-normalized'!$D:$D, MATCH($A227, 'KZ-normalized'!$A:$A, 0))-INDEX('KZ-normalized'!$E:$E, MATCH($A227, 'KZ-normalized'!$A:$A, 0))&gt;0, -(28*INDEX('KZ-normalized'!$D:$D, MATCH($A227, 'KZ-normalized'!$A:$A, 0))-INDEX('KZ-normalized'!$E:$E, MATCH($A227, 'KZ-normalized'!$A:$A, 0))), 0), 0))+(IFERROR(IF(28*INDEX('UZ-normalized'!$D:$D, MATCH($A227, 'UZ-normalized'!$A:$A, 0))-INDEX('UZ-normalized'!$E:$E, MATCH($A227, 'UZ-normalized'!$A:$A, 0))&gt;0, -(28*INDEX('UZ-normalized'!$D:$D, MATCH($A227, 'UZ-normalized'!$A:$A, 0))-INDEX('UZ-normalized'!$E:$E, MATCH($A227, 'UZ-normalized'!$A:$A, 0))), 0), 0)))</f>
        <v>0</v>
      </c>
      <c r="AQ227" s="6">
        <f>MIN(0, N227+(IFERROR(IF(29*INDEX('UA-normalized'!$D:$D, MATCH($A227, 'UA-normalized'!$A:$A, 0))-INDEX('UA-normalized'!$E:$E, MATCH($A227, 'UA-normalized'!$A:$A, 0))&gt;0, -(29*INDEX('UA-normalized'!$D:$D, MATCH($A227, 'UA-normalized'!$A:$A, 0))-INDEX('UA-normalized'!$E:$E, MATCH($A227, 'UA-normalized'!$A:$A, 0))), 0), 0))+(IFERROR(IF(29*INDEX('KZ-normalized'!$D:$D, MATCH($A227, 'KZ-normalized'!$A:$A, 0))-INDEX('KZ-normalized'!$E:$E, MATCH($A227, 'KZ-normalized'!$A:$A, 0))&gt;0, -(29*INDEX('KZ-normalized'!$D:$D, MATCH($A227, 'KZ-normalized'!$A:$A, 0))-INDEX('KZ-normalized'!$E:$E, MATCH($A227, 'KZ-normalized'!$A:$A, 0))), 0), 0))+(IFERROR(IF(29*INDEX('UZ-normalized'!$D:$D, MATCH($A227, 'UZ-normalized'!$A:$A, 0))-INDEX('UZ-normalized'!$E:$E, MATCH($A227, 'UZ-normalized'!$A:$A, 0))&gt;0, -(29*INDEX('UZ-normalized'!$D:$D, MATCH($A227, 'UZ-normalized'!$A:$A, 0))-INDEX('UZ-normalized'!$E:$E, MATCH($A227, 'UZ-normalized'!$A:$A, 0))), 0), 0)))</f>
        <v>0</v>
      </c>
      <c r="AR227" s="6">
        <f>MIN(0, N227+(IFERROR(IF(30*INDEX('UA-normalized'!$D:$D, MATCH($A227, 'UA-normalized'!$A:$A, 0))-INDEX('UA-normalized'!$E:$E, MATCH($A227, 'UA-normalized'!$A:$A, 0))&gt;0, -(30*INDEX('UA-normalized'!$D:$D, MATCH($A227, 'UA-normalized'!$A:$A, 0))-INDEX('UA-normalized'!$E:$E, MATCH($A227, 'UA-normalized'!$A:$A, 0))), 0), 0))+(IFERROR(IF(30*INDEX('KZ-normalized'!$D:$D, MATCH($A227, 'KZ-normalized'!$A:$A, 0))-INDEX('KZ-normalized'!$E:$E, MATCH($A227, 'KZ-normalized'!$A:$A, 0))&gt;0, -(30*INDEX('KZ-normalized'!$D:$D, MATCH($A227, 'KZ-normalized'!$A:$A, 0))-INDEX('KZ-normalized'!$E:$E, MATCH($A227, 'KZ-normalized'!$A:$A, 0))), 0), 0))+(IFERROR(IF(30*INDEX('UZ-normalized'!$D:$D, MATCH($A227, 'UZ-normalized'!$A:$A, 0))-INDEX('UZ-normalized'!$E:$E, MATCH($A227, 'UZ-normalized'!$A:$A, 0))&gt;0, -(30*INDEX('UZ-normalized'!$D:$D, MATCH($A227, 'UZ-normalized'!$A:$A, 0))-INDEX('UZ-normalized'!$E:$E, MATCH($A227, 'UZ-normalized'!$A:$A, 0))), 0), 0)))</f>
        <v>0</v>
      </c>
    </row>
    <row r="228" spans="1:44" x14ac:dyDescent="0.25">
      <c r="A228" s="8" t="s">
        <v>539</v>
      </c>
      <c r="B228" s="8" t="s">
        <v>492</v>
      </c>
      <c r="C228" s="8" t="s">
        <v>529</v>
      </c>
      <c r="D228" s="8" t="s">
        <v>540</v>
      </c>
      <c r="N228">
        <f t="shared" si="3"/>
        <v>0</v>
      </c>
      <c r="O228" s="6">
        <f>MIN(0, N228+(IFERROR(IF(1*INDEX('UA-normalized'!$D:$D, MATCH($A228, 'UA-normalized'!$A:$A, 0))-INDEX('UA-normalized'!$E:$E, MATCH($A228, 'UA-normalized'!$A:$A, 0))&gt;0, -(1*INDEX('UA-normalized'!$D:$D, MATCH($A228, 'UA-normalized'!$A:$A, 0))-INDEX('UA-normalized'!$E:$E, MATCH($A228, 'UA-normalized'!$A:$A, 0))), 0), 0))+(IFERROR(IF(1*INDEX('KZ-normalized'!$D:$D, MATCH($A228, 'KZ-normalized'!$A:$A, 0))-INDEX('KZ-normalized'!$E:$E, MATCH($A228, 'KZ-normalized'!$A:$A, 0))&gt;0, -(1*INDEX('KZ-normalized'!$D:$D, MATCH($A228, 'KZ-normalized'!$A:$A, 0))-INDEX('KZ-normalized'!$E:$E, MATCH($A228, 'KZ-normalized'!$A:$A, 0))), 0), 0))+(IFERROR(IF(1*INDEX('UZ-normalized'!$D:$D, MATCH($A228, 'UZ-normalized'!$A:$A, 0))-INDEX('UZ-normalized'!$E:$E, MATCH($A228, 'UZ-normalized'!$A:$A, 0))&gt;0, -(1*INDEX('UZ-normalized'!$D:$D, MATCH($A228, 'UZ-normalized'!$A:$A, 0))-INDEX('UZ-normalized'!$E:$E, MATCH($A228, 'UZ-normalized'!$A:$A, 0))), 0), 0)))</f>
        <v>0</v>
      </c>
      <c r="P228" s="6">
        <f>MIN(0, N228+(IFERROR(IF(2*INDEX('UA-normalized'!$D:$D, MATCH($A228, 'UA-normalized'!$A:$A, 0))-INDEX('UA-normalized'!$E:$E, MATCH($A228, 'UA-normalized'!$A:$A, 0))&gt;0, -(2*INDEX('UA-normalized'!$D:$D, MATCH($A228, 'UA-normalized'!$A:$A, 0))-INDEX('UA-normalized'!$E:$E, MATCH($A228, 'UA-normalized'!$A:$A, 0))), 0), 0))+(IFERROR(IF(2*INDEX('KZ-normalized'!$D:$D, MATCH($A228, 'KZ-normalized'!$A:$A, 0))-INDEX('KZ-normalized'!$E:$E, MATCH($A228, 'KZ-normalized'!$A:$A, 0))&gt;0, -(2*INDEX('KZ-normalized'!$D:$D, MATCH($A228, 'KZ-normalized'!$A:$A, 0))-INDEX('KZ-normalized'!$E:$E, MATCH($A228, 'KZ-normalized'!$A:$A, 0))), 0), 0))+(IFERROR(IF(2*INDEX('UZ-normalized'!$D:$D, MATCH($A228, 'UZ-normalized'!$A:$A, 0))-INDEX('UZ-normalized'!$E:$E, MATCH($A228, 'UZ-normalized'!$A:$A, 0))&gt;0, -(2*INDEX('UZ-normalized'!$D:$D, MATCH($A228, 'UZ-normalized'!$A:$A, 0))-INDEX('UZ-normalized'!$E:$E, MATCH($A228, 'UZ-normalized'!$A:$A, 0))), 0), 0)))</f>
        <v>0</v>
      </c>
      <c r="Q228" s="6">
        <f>MIN(0, N228+(IFERROR(IF(3*INDEX('UA-normalized'!$D:$D, MATCH($A228, 'UA-normalized'!$A:$A, 0))-INDEX('UA-normalized'!$E:$E, MATCH($A228, 'UA-normalized'!$A:$A, 0))&gt;0, -(3*INDEX('UA-normalized'!$D:$D, MATCH($A228, 'UA-normalized'!$A:$A, 0))-INDEX('UA-normalized'!$E:$E, MATCH($A228, 'UA-normalized'!$A:$A, 0))), 0), 0))+(IFERROR(IF(3*INDEX('KZ-normalized'!$D:$D, MATCH($A228, 'KZ-normalized'!$A:$A, 0))-INDEX('KZ-normalized'!$E:$E, MATCH($A228, 'KZ-normalized'!$A:$A, 0))&gt;0, -(3*INDEX('KZ-normalized'!$D:$D, MATCH($A228, 'KZ-normalized'!$A:$A, 0))-INDEX('KZ-normalized'!$E:$E, MATCH($A228, 'KZ-normalized'!$A:$A, 0))), 0), 0))+(IFERROR(IF(3*INDEX('UZ-normalized'!$D:$D, MATCH($A228, 'UZ-normalized'!$A:$A, 0))-INDEX('UZ-normalized'!$E:$E, MATCH($A228, 'UZ-normalized'!$A:$A, 0))&gt;0, -(3*INDEX('UZ-normalized'!$D:$D, MATCH($A228, 'UZ-normalized'!$A:$A, 0))-INDEX('UZ-normalized'!$E:$E, MATCH($A228, 'UZ-normalized'!$A:$A, 0))), 0), 0)))</f>
        <v>0</v>
      </c>
      <c r="R228" s="6">
        <f>MIN(0, N228+(IFERROR(IF(4*INDEX('UA-normalized'!$D:$D, MATCH($A228, 'UA-normalized'!$A:$A, 0))-INDEX('UA-normalized'!$E:$E, MATCH($A228, 'UA-normalized'!$A:$A, 0))&gt;0, -(4*INDEX('UA-normalized'!$D:$D, MATCH($A228, 'UA-normalized'!$A:$A, 0))-INDEX('UA-normalized'!$E:$E, MATCH($A228, 'UA-normalized'!$A:$A, 0))), 0), 0))+(IFERROR(IF(4*INDEX('KZ-normalized'!$D:$D, MATCH($A228, 'KZ-normalized'!$A:$A, 0))-INDEX('KZ-normalized'!$E:$E, MATCH($A228, 'KZ-normalized'!$A:$A, 0))&gt;0, -(4*INDEX('KZ-normalized'!$D:$D, MATCH($A228, 'KZ-normalized'!$A:$A, 0))-INDEX('KZ-normalized'!$E:$E, MATCH($A228, 'KZ-normalized'!$A:$A, 0))), 0), 0))+(IFERROR(IF(4*INDEX('UZ-normalized'!$D:$D, MATCH($A228, 'UZ-normalized'!$A:$A, 0))-INDEX('UZ-normalized'!$E:$E, MATCH($A228, 'UZ-normalized'!$A:$A, 0))&gt;0, -(4*INDEX('UZ-normalized'!$D:$D, MATCH($A228, 'UZ-normalized'!$A:$A, 0))-INDEX('UZ-normalized'!$E:$E, MATCH($A228, 'UZ-normalized'!$A:$A, 0))), 0), 0)))</f>
        <v>0</v>
      </c>
      <c r="S228" s="6">
        <f>MIN(0, N228+(IFERROR(IF(5*INDEX('UA-normalized'!$D:$D, MATCH($A228, 'UA-normalized'!$A:$A, 0))-INDEX('UA-normalized'!$E:$E, MATCH($A228, 'UA-normalized'!$A:$A, 0))&gt;0, -(5*INDEX('UA-normalized'!$D:$D, MATCH($A228, 'UA-normalized'!$A:$A, 0))-INDEX('UA-normalized'!$E:$E, MATCH($A228, 'UA-normalized'!$A:$A, 0))), 0), 0))+(IFERROR(IF(5*INDEX('KZ-normalized'!$D:$D, MATCH($A228, 'KZ-normalized'!$A:$A, 0))-INDEX('KZ-normalized'!$E:$E, MATCH($A228, 'KZ-normalized'!$A:$A, 0))&gt;0, -(5*INDEX('KZ-normalized'!$D:$D, MATCH($A228, 'KZ-normalized'!$A:$A, 0))-INDEX('KZ-normalized'!$E:$E, MATCH($A228, 'KZ-normalized'!$A:$A, 0))), 0), 0))+(IFERROR(IF(5*INDEX('UZ-normalized'!$D:$D, MATCH($A228, 'UZ-normalized'!$A:$A, 0))-INDEX('UZ-normalized'!$E:$E, MATCH($A228, 'UZ-normalized'!$A:$A, 0))&gt;0, -(5*INDEX('UZ-normalized'!$D:$D, MATCH($A228, 'UZ-normalized'!$A:$A, 0))-INDEX('UZ-normalized'!$E:$E, MATCH($A228, 'UZ-normalized'!$A:$A, 0))), 0), 0)))</f>
        <v>0</v>
      </c>
      <c r="T228" s="6">
        <f>MIN(0, N228+(IFERROR(IF(6*INDEX('UA-normalized'!$D:$D, MATCH($A228, 'UA-normalized'!$A:$A, 0))-INDEX('UA-normalized'!$E:$E, MATCH($A228, 'UA-normalized'!$A:$A, 0))&gt;0, -(6*INDEX('UA-normalized'!$D:$D, MATCH($A228, 'UA-normalized'!$A:$A, 0))-INDEX('UA-normalized'!$E:$E, MATCH($A228, 'UA-normalized'!$A:$A, 0))), 0), 0))+(IFERROR(IF(6*INDEX('KZ-normalized'!$D:$D, MATCH($A228, 'KZ-normalized'!$A:$A, 0))-INDEX('KZ-normalized'!$E:$E, MATCH($A228, 'KZ-normalized'!$A:$A, 0))&gt;0, -(6*INDEX('KZ-normalized'!$D:$D, MATCH($A228, 'KZ-normalized'!$A:$A, 0))-INDEX('KZ-normalized'!$E:$E, MATCH($A228, 'KZ-normalized'!$A:$A, 0))), 0), 0))+(IFERROR(IF(6*INDEX('UZ-normalized'!$D:$D, MATCH($A228, 'UZ-normalized'!$A:$A, 0))-INDEX('UZ-normalized'!$E:$E, MATCH($A228, 'UZ-normalized'!$A:$A, 0))&gt;0, -(6*INDEX('UZ-normalized'!$D:$D, MATCH($A228, 'UZ-normalized'!$A:$A, 0))-INDEX('UZ-normalized'!$E:$E, MATCH($A228, 'UZ-normalized'!$A:$A, 0))), 0), 0)))</f>
        <v>0</v>
      </c>
      <c r="U228" s="6">
        <f>MIN(0, N228+(IFERROR(IF(7*INDEX('UA-normalized'!$D:$D, MATCH($A228, 'UA-normalized'!$A:$A, 0))-INDEX('UA-normalized'!$E:$E, MATCH($A228, 'UA-normalized'!$A:$A, 0))&gt;0, -(7*INDEX('UA-normalized'!$D:$D, MATCH($A228, 'UA-normalized'!$A:$A, 0))-INDEX('UA-normalized'!$E:$E, MATCH($A228, 'UA-normalized'!$A:$A, 0))), 0), 0))+(IFERROR(IF(7*INDEX('KZ-normalized'!$D:$D, MATCH($A228, 'KZ-normalized'!$A:$A, 0))-INDEX('KZ-normalized'!$E:$E, MATCH($A228, 'KZ-normalized'!$A:$A, 0))&gt;0, -(7*INDEX('KZ-normalized'!$D:$D, MATCH($A228, 'KZ-normalized'!$A:$A, 0))-INDEX('KZ-normalized'!$E:$E, MATCH($A228, 'KZ-normalized'!$A:$A, 0))), 0), 0))+(IFERROR(IF(7*INDEX('UZ-normalized'!$D:$D, MATCH($A228, 'UZ-normalized'!$A:$A, 0))-INDEX('UZ-normalized'!$E:$E, MATCH($A228, 'UZ-normalized'!$A:$A, 0))&gt;0, -(7*INDEX('UZ-normalized'!$D:$D, MATCH($A228, 'UZ-normalized'!$A:$A, 0))-INDEX('UZ-normalized'!$E:$E, MATCH($A228, 'UZ-normalized'!$A:$A, 0))), 0), 0)))</f>
        <v>0</v>
      </c>
      <c r="V228" s="6">
        <f>MIN(0, N228+(IFERROR(IF(8*INDEX('UA-normalized'!$D:$D, MATCH($A228, 'UA-normalized'!$A:$A, 0))-INDEX('UA-normalized'!$E:$E, MATCH($A228, 'UA-normalized'!$A:$A, 0))&gt;0, -(8*INDEX('UA-normalized'!$D:$D, MATCH($A228, 'UA-normalized'!$A:$A, 0))-INDEX('UA-normalized'!$E:$E, MATCH($A228, 'UA-normalized'!$A:$A, 0))), 0), 0))+(IFERROR(IF(8*INDEX('KZ-normalized'!$D:$D, MATCH($A228, 'KZ-normalized'!$A:$A, 0))-INDEX('KZ-normalized'!$E:$E, MATCH($A228, 'KZ-normalized'!$A:$A, 0))&gt;0, -(8*INDEX('KZ-normalized'!$D:$D, MATCH($A228, 'KZ-normalized'!$A:$A, 0))-INDEX('KZ-normalized'!$E:$E, MATCH($A228, 'KZ-normalized'!$A:$A, 0))), 0), 0))+(IFERROR(IF(8*INDEX('UZ-normalized'!$D:$D, MATCH($A228, 'UZ-normalized'!$A:$A, 0))-INDEX('UZ-normalized'!$E:$E, MATCH($A228, 'UZ-normalized'!$A:$A, 0))&gt;0, -(8*INDEX('UZ-normalized'!$D:$D, MATCH($A228, 'UZ-normalized'!$A:$A, 0))-INDEX('UZ-normalized'!$E:$E, MATCH($A228, 'UZ-normalized'!$A:$A, 0))), 0), 0)))</f>
        <v>0</v>
      </c>
      <c r="W228" s="6">
        <f>MIN(0, N228+(IFERROR(IF(9*INDEX('UA-normalized'!$D:$D, MATCH($A228, 'UA-normalized'!$A:$A, 0))-INDEX('UA-normalized'!$E:$E, MATCH($A228, 'UA-normalized'!$A:$A, 0))&gt;0, -(9*INDEX('UA-normalized'!$D:$D, MATCH($A228, 'UA-normalized'!$A:$A, 0))-INDEX('UA-normalized'!$E:$E, MATCH($A228, 'UA-normalized'!$A:$A, 0))), 0), 0))+(IFERROR(IF(9*INDEX('KZ-normalized'!$D:$D, MATCH($A228, 'KZ-normalized'!$A:$A, 0))-INDEX('KZ-normalized'!$E:$E, MATCH($A228, 'KZ-normalized'!$A:$A, 0))&gt;0, -(9*INDEX('KZ-normalized'!$D:$D, MATCH($A228, 'KZ-normalized'!$A:$A, 0))-INDEX('KZ-normalized'!$E:$E, MATCH($A228, 'KZ-normalized'!$A:$A, 0))), 0), 0))+(IFERROR(IF(9*INDEX('UZ-normalized'!$D:$D, MATCH($A228, 'UZ-normalized'!$A:$A, 0))-INDEX('UZ-normalized'!$E:$E, MATCH($A228, 'UZ-normalized'!$A:$A, 0))&gt;0, -(9*INDEX('UZ-normalized'!$D:$D, MATCH($A228, 'UZ-normalized'!$A:$A, 0))-INDEX('UZ-normalized'!$E:$E, MATCH($A228, 'UZ-normalized'!$A:$A, 0))), 0), 0)))</f>
        <v>0</v>
      </c>
      <c r="X228" s="6">
        <f>MIN(0, N228+(IFERROR(IF(10*INDEX('UA-normalized'!$D:$D, MATCH($A228, 'UA-normalized'!$A:$A, 0))-INDEX('UA-normalized'!$E:$E, MATCH($A228, 'UA-normalized'!$A:$A, 0))&gt;0, -(10*INDEX('UA-normalized'!$D:$D, MATCH($A228, 'UA-normalized'!$A:$A, 0))-INDEX('UA-normalized'!$E:$E, MATCH($A228, 'UA-normalized'!$A:$A, 0))), 0), 0))+(IFERROR(IF(10*INDEX('KZ-normalized'!$D:$D, MATCH($A228, 'KZ-normalized'!$A:$A, 0))-INDEX('KZ-normalized'!$E:$E, MATCH($A228, 'KZ-normalized'!$A:$A, 0))&gt;0, -(10*INDEX('KZ-normalized'!$D:$D, MATCH($A228, 'KZ-normalized'!$A:$A, 0))-INDEX('KZ-normalized'!$E:$E, MATCH($A228, 'KZ-normalized'!$A:$A, 0))), 0), 0))+(IFERROR(IF(10*INDEX('UZ-normalized'!$D:$D, MATCH($A228, 'UZ-normalized'!$A:$A, 0))-INDEX('UZ-normalized'!$E:$E, MATCH($A228, 'UZ-normalized'!$A:$A, 0))&gt;0, -(10*INDEX('UZ-normalized'!$D:$D, MATCH($A228, 'UZ-normalized'!$A:$A, 0))-INDEX('UZ-normalized'!$E:$E, MATCH($A228, 'UZ-normalized'!$A:$A, 0))), 0), 0)))</f>
        <v>0</v>
      </c>
      <c r="Y228" s="6">
        <f>MIN(0, N228+(IFERROR(IF(11*INDEX('UA-normalized'!$D:$D, MATCH($A228, 'UA-normalized'!$A:$A, 0))-INDEX('UA-normalized'!$E:$E, MATCH($A228, 'UA-normalized'!$A:$A, 0))&gt;0, -(11*INDEX('UA-normalized'!$D:$D, MATCH($A228, 'UA-normalized'!$A:$A, 0))-INDEX('UA-normalized'!$E:$E, MATCH($A228, 'UA-normalized'!$A:$A, 0))), 0), 0))+(IFERROR(IF(11*INDEX('KZ-normalized'!$D:$D, MATCH($A228, 'KZ-normalized'!$A:$A, 0))-INDEX('KZ-normalized'!$E:$E, MATCH($A228, 'KZ-normalized'!$A:$A, 0))&gt;0, -(11*INDEX('KZ-normalized'!$D:$D, MATCH($A228, 'KZ-normalized'!$A:$A, 0))-INDEX('KZ-normalized'!$E:$E, MATCH($A228, 'KZ-normalized'!$A:$A, 0))), 0), 0))+(IFERROR(IF(11*INDEX('UZ-normalized'!$D:$D, MATCH($A228, 'UZ-normalized'!$A:$A, 0))-INDEX('UZ-normalized'!$E:$E, MATCH($A228, 'UZ-normalized'!$A:$A, 0))&gt;0, -(11*INDEX('UZ-normalized'!$D:$D, MATCH($A228, 'UZ-normalized'!$A:$A, 0))-INDEX('UZ-normalized'!$E:$E, MATCH($A228, 'UZ-normalized'!$A:$A, 0))), 0), 0)))</f>
        <v>0</v>
      </c>
      <c r="Z228" s="6">
        <f>MIN(0, N228+(IFERROR(IF(12*INDEX('UA-normalized'!$D:$D, MATCH($A228, 'UA-normalized'!$A:$A, 0))-INDEX('UA-normalized'!$E:$E, MATCH($A228, 'UA-normalized'!$A:$A, 0))&gt;0, -(12*INDEX('UA-normalized'!$D:$D, MATCH($A228, 'UA-normalized'!$A:$A, 0))-INDEX('UA-normalized'!$E:$E, MATCH($A228, 'UA-normalized'!$A:$A, 0))), 0), 0))+(IFERROR(IF(12*INDEX('KZ-normalized'!$D:$D, MATCH($A228, 'KZ-normalized'!$A:$A, 0))-INDEX('KZ-normalized'!$E:$E, MATCH($A228, 'KZ-normalized'!$A:$A, 0))&gt;0, -(12*INDEX('KZ-normalized'!$D:$D, MATCH($A228, 'KZ-normalized'!$A:$A, 0))-INDEX('KZ-normalized'!$E:$E, MATCH($A228, 'KZ-normalized'!$A:$A, 0))), 0), 0))+(IFERROR(IF(12*INDEX('UZ-normalized'!$D:$D, MATCH($A228, 'UZ-normalized'!$A:$A, 0))-INDEX('UZ-normalized'!$E:$E, MATCH($A228, 'UZ-normalized'!$A:$A, 0))&gt;0, -(12*INDEX('UZ-normalized'!$D:$D, MATCH($A228, 'UZ-normalized'!$A:$A, 0))-INDEX('UZ-normalized'!$E:$E, MATCH($A228, 'UZ-normalized'!$A:$A, 0))), 0), 0)))</f>
        <v>0</v>
      </c>
      <c r="AA228" s="6">
        <f>MIN(0, N228+(IFERROR(IF(13*INDEX('UA-normalized'!$D:$D, MATCH($A228, 'UA-normalized'!$A:$A, 0))-INDEX('UA-normalized'!$E:$E, MATCH($A228, 'UA-normalized'!$A:$A, 0))&gt;0, -(13*INDEX('UA-normalized'!$D:$D, MATCH($A228, 'UA-normalized'!$A:$A, 0))-INDEX('UA-normalized'!$E:$E, MATCH($A228, 'UA-normalized'!$A:$A, 0))), 0), 0))+(IFERROR(IF(13*INDEX('KZ-normalized'!$D:$D, MATCH($A228, 'KZ-normalized'!$A:$A, 0))-INDEX('KZ-normalized'!$E:$E, MATCH($A228, 'KZ-normalized'!$A:$A, 0))&gt;0, -(13*INDEX('KZ-normalized'!$D:$D, MATCH($A228, 'KZ-normalized'!$A:$A, 0))-INDEX('KZ-normalized'!$E:$E, MATCH($A228, 'KZ-normalized'!$A:$A, 0))), 0), 0))+(IFERROR(IF(13*INDEX('UZ-normalized'!$D:$D, MATCH($A228, 'UZ-normalized'!$A:$A, 0))-INDEX('UZ-normalized'!$E:$E, MATCH($A228, 'UZ-normalized'!$A:$A, 0))&gt;0, -(13*INDEX('UZ-normalized'!$D:$D, MATCH($A228, 'UZ-normalized'!$A:$A, 0))-INDEX('UZ-normalized'!$E:$E, MATCH($A228, 'UZ-normalized'!$A:$A, 0))), 0), 0)))</f>
        <v>0</v>
      </c>
      <c r="AB228" s="6">
        <f>MIN(0, N228+(IFERROR(IF(14*INDEX('UA-normalized'!$D:$D, MATCH($A228, 'UA-normalized'!$A:$A, 0))-INDEX('UA-normalized'!$E:$E, MATCH($A228, 'UA-normalized'!$A:$A, 0))&gt;0, -(14*INDEX('UA-normalized'!$D:$D, MATCH($A228, 'UA-normalized'!$A:$A, 0))-INDEX('UA-normalized'!$E:$E, MATCH($A228, 'UA-normalized'!$A:$A, 0))), 0), 0))+(IFERROR(IF(14*INDEX('KZ-normalized'!$D:$D, MATCH($A228, 'KZ-normalized'!$A:$A, 0))-INDEX('KZ-normalized'!$E:$E, MATCH($A228, 'KZ-normalized'!$A:$A, 0))&gt;0, -(14*INDEX('KZ-normalized'!$D:$D, MATCH($A228, 'KZ-normalized'!$A:$A, 0))-INDEX('KZ-normalized'!$E:$E, MATCH($A228, 'KZ-normalized'!$A:$A, 0))), 0), 0))+(IFERROR(IF(14*INDEX('UZ-normalized'!$D:$D, MATCH($A228, 'UZ-normalized'!$A:$A, 0))-INDEX('UZ-normalized'!$E:$E, MATCH($A228, 'UZ-normalized'!$A:$A, 0))&gt;0, -(14*INDEX('UZ-normalized'!$D:$D, MATCH($A228, 'UZ-normalized'!$A:$A, 0))-INDEX('UZ-normalized'!$E:$E, MATCH($A228, 'UZ-normalized'!$A:$A, 0))), 0), 0)))</f>
        <v>0</v>
      </c>
      <c r="AC228" s="6">
        <f>MIN(0, N228+(IFERROR(IF(15*INDEX('UA-normalized'!$D:$D, MATCH($A228, 'UA-normalized'!$A:$A, 0))-INDEX('UA-normalized'!$E:$E, MATCH($A228, 'UA-normalized'!$A:$A, 0))&gt;0, -(15*INDEX('UA-normalized'!$D:$D, MATCH($A228, 'UA-normalized'!$A:$A, 0))-INDEX('UA-normalized'!$E:$E, MATCH($A228, 'UA-normalized'!$A:$A, 0))), 0), 0))+(IFERROR(IF(15*INDEX('KZ-normalized'!$D:$D, MATCH($A228, 'KZ-normalized'!$A:$A, 0))-INDEX('KZ-normalized'!$E:$E, MATCH($A228, 'KZ-normalized'!$A:$A, 0))&gt;0, -(15*INDEX('KZ-normalized'!$D:$D, MATCH($A228, 'KZ-normalized'!$A:$A, 0))-INDEX('KZ-normalized'!$E:$E, MATCH($A228, 'KZ-normalized'!$A:$A, 0))), 0), 0))+(IFERROR(IF(15*INDEX('UZ-normalized'!$D:$D, MATCH($A228, 'UZ-normalized'!$A:$A, 0))-INDEX('UZ-normalized'!$E:$E, MATCH($A228, 'UZ-normalized'!$A:$A, 0))&gt;0, -(15*INDEX('UZ-normalized'!$D:$D, MATCH($A228, 'UZ-normalized'!$A:$A, 0))-INDEX('UZ-normalized'!$E:$E, MATCH($A228, 'UZ-normalized'!$A:$A, 0))), 0), 0)))</f>
        <v>0</v>
      </c>
      <c r="AD228" s="6">
        <f>MIN(0, N228+(IFERROR(IF(16*INDEX('UA-normalized'!$D:$D, MATCH($A228, 'UA-normalized'!$A:$A, 0))-INDEX('UA-normalized'!$E:$E, MATCH($A228, 'UA-normalized'!$A:$A, 0))&gt;0, -(16*INDEX('UA-normalized'!$D:$D, MATCH($A228, 'UA-normalized'!$A:$A, 0))-INDEX('UA-normalized'!$E:$E, MATCH($A228, 'UA-normalized'!$A:$A, 0))), 0), 0))+(IFERROR(IF(16*INDEX('KZ-normalized'!$D:$D, MATCH($A228, 'KZ-normalized'!$A:$A, 0))-INDEX('KZ-normalized'!$E:$E, MATCH($A228, 'KZ-normalized'!$A:$A, 0))&gt;0, -(16*INDEX('KZ-normalized'!$D:$D, MATCH($A228, 'KZ-normalized'!$A:$A, 0))-INDEX('KZ-normalized'!$E:$E, MATCH($A228, 'KZ-normalized'!$A:$A, 0))), 0), 0))+(IFERROR(IF(16*INDEX('UZ-normalized'!$D:$D, MATCH($A228, 'UZ-normalized'!$A:$A, 0))-INDEX('UZ-normalized'!$E:$E, MATCH($A228, 'UZ-normalized'!$A:$A, 0))&gt;0, -(16*INDEX('UZ-normalized'!$D:$D, MATCH($A228, 'UZ-normalized'!$A:$A, 0))-INDEX('UZ-normalized'!$E:$E, MATCH($A228, 'UZ-normalized'!$A:$A, 0))), 0), 0)))</f>
        <v>0</v>
      </c>
      <c r="AE228" s="6">
        <f>MIN(0, N228+(IFERROR(IF(17*INDEX('UA-normalized'!$D:$D, MATCH($A228, 'UA-normalized'!$A:$A, 0))-INDEX('UA-normalized'!$E:$E, MATCH($A228, 'UA-normalized'!$A:$A, 0))&gt;0, -(17*INDEX('UA-normalized'!$D:$D, MATCH($A228, 'UA-normalized'!$A:$A, 0))-INDEX('UA-normalized'!$E:$E, MATCH($A228, 'UA-normalized'!$A:$A, 0))), 0), 0))+(IFERROR(IF(17*INDEX('KZ-normalized'!$D:$D, MATCH($A228, 'KZ-normalized'!$A:$A, 0))-INDEX('KZ-normalized'!$E:$E, MATCH($A228, 'KZ-normalized'!$A:$A, 0))&gt;0, -(17*INDEX('KZ-normalized'!$D:$D, MATCH($A228, 'KZ-normalized'!$A:$A, 0))-INDEX('KZ-normalized'!$E:$E, MATCH($A228, 'KZ-normalized'!$A:$A, 0))), 0), 0))+(IFERROR(IF(17*INDEX('UZ-normalized'!$D:$D, MATCH($A228, 'UZ-normalized'!$A:$A, 0))-INDEX('UZ-normalized'!$E:$E, MATCH($A228, 'UZ-normalized'!$A:$A, 0))&gt;0, -(17*INDEX('UZ-normalized'!$D:$D, MATCH($A228, 'UZ-normalized'!$A:$A, 0))-INDEX('UZ-normalized'!$E:$E, MATCH($A228, 'UZ-normalized'!$A:$A, 0))), 0), 0)))</f>
        <v>0</v>
      </c>
      <c r="AF228" s="6">
        <f>MIN(0, N228+(IFERROR(IF(18*INDEX('UA-normalized'!$D:$D, MATCH($A228, 'UA-normalized'!$A:$A, 0))-INDEX('UA-normalized'!$E:$E, MATCH($A228, 'UA-normalized'!$A:$A, 0))&gt;0, -(18*INDEX('UA-normalized'!$D:$D, MATCH($A228, 'UA-normalized'!$A:$A, 0))-INDEX('UA-normalized'!$E:$E, MATCH($A228, 'UA-normalized'!$A:$A, 0))), 0), 0))+(IFERROR(IF(18*INDEX('KZ-normalized'!$D:$D, MATCH($A228, 'KZ-normalized'!$A:$A, 0))-INDEX('KZ-normalized'!$E:$E, MATCH($A228, 'KZ-normalized'!$A:$A, 0))&gt;0, -(18*INDEX('KZ-normalized'!$D:$D, MATCH($A228, 'KZ-normalized'!$A:$A, 0))-INDEX('KZ-normalized'!$E:$E, MATCH($A228, 'KZ-normalized'!$A:$A, 0))), 0), 0))+(IFERROR(IF(18*INDEX('UZ-normalized'!$D:$D, MATCH($A228, 'UZ-normalized'!$A:$A, 0))-INDEX('UZ-normalized'!$E:$E, MATCH($A228, 'UZ-normalized'!$A:$A, 0))&gt;0, -(18*INDEX('UZ-normalized'!$D:$D, MATCH($A228, 'UZ-normalized'!$A:$A, 0))-INDEX('UZ-normalized'!$E:$E, MATCH($A228, 'UZ-normalized'!$A:$A, 0))), 0), 0)))</f>
        <v>-6.0000000000000053E-2</v>
      </c>
      <c r="AG228" s="6">
        <f>MIN(0, N228+(IFERROR(IF(19*INDEX('UA-normalized'!$D:$D, MATCH($A228, 'UA-normalized'!$A:$A, 0))-INDEX('UA-normalized'!$E:$E, MATCH($A228, 'UA-normalized'!$A:$A, 0))&gt;0, -(19*INDEX('UA-normalized'!$D:$D, MATCH($A228, 'UA-normalized'!$A:$A, 0))-INDEX('UA-normalized'!$E:$E, MATCH($A228, 'UA-normalized'!$A:$A, 0))), 0), 0))+(IFERROR(IF(19*INDEX('KZ-normalized'!$D:$D, MATCH($A228, 'KZ-normalized'!$A:$A, 0))-INDEX('KZ-normalized'!$E:$E, MATCH($A228, 'KZ-normalized'!$A:$A, 0))&gt;0, -(19*INDEX('KZ-normalized'!$D:$D, MATCH($A228, 'KZ-normalized'!$A:$A, 0))-INDEX('KZ-normalized'!$E:$E, MATCH($A228, 'KZ-normalized'!$A:$A, 0))), 0), 0))+(IFERROR(IF(19*INDEX('UZ-normalized'!$D:$D, MATCH($A228, 'UZ-normalized'!$A:$A, 0))-INDEX('UZ-normalized'!$E:$E, MATCH($A228, 'UZ-normalized'!$A:$A, 0))&gt;0, -(19*INDEX('UZ-normalized'!$D:$D, MATCH($A228, 'UZ-normalized'!$A:$A, 0))-INDEX('UZ-normalized'!$E:$E, MATCH($A228, 'UZ-normalized'!$A:$A, 0))), 0), 0)))</f>
        <v>-0.23000000000000043</v>
      </c>
      <c r="AH228" s="6">
        <f>MIN(0, N228+(IFERROR(IF(20*INDEX('UA-normalized'!$D:$D, MATCH($A228, 'UA-normalized'!$A:$A, 0))-INDEX('UA-normalized'!$E:$E, MATCH($A228, 'UA-normalized'!$A:$A, 0))&gt;0, -(20*INDEX('UA-normalized'!$D:$D, MATCH($A228, 'UA-normalized'!$A:$A, 0))-INDEX('UA-normalized'!$E:$E, MATCH($A228, 'UA-normalized'!$A:$A, 0))), 0), 0))+(IFERROR(IF(20*INDEX('KZ-normalized'!$D:$D, MATCH($A228, 'KZ-normalized'!$A:$A, 0))-INDEX('KZ-normalized'!$E:$E, MATCH($A228, 'KZ-normalized'!$A:$A, 0))&gt;0, -(20*INDEX('KZ-normalized'!$D:$D, MATCH($A228, 'KZ-normalized'!$A:$A, 0))-INDEX('KZ-normalized'!$E:$E, MATCH($A228, 'KZ-normalized'!$A:$A, 0))), 0), 0))+(IFERROR(IF(20*INDEX('UZ-normalized'!$D:$D, MATCH($A228, 'UZ-normalized'!$A:$A, 0))-INDEX('UZ-normalized'!$E:$E, MATCH($A228, 'UZ-normalized'!$A:$A, 0))&gt;0, -(20*INDEX('UZ-normalized'!$D:$D, MATCH($A228, 'UZ-normalized'!$A:$A, 0))-INDEX('UZ-normalized'!$E:$E, MATCH($A228, 'UZ-normalized'!$A:$A, 0))), 0), 0)))</f>
        <v>-0.40000000000000036</v>
      </c>
      <c r="AI228" s="6">
        <f>MIN(0, N228+(IFERROR(IF(21*INDEX('UA-normalized'!$D:$D, MATCH($A228, 'UA-normalized'!$A:$A, 0))-INDEX('UA-normalized'!$E:$E, MATCH($A228, 'UA-normalized'!$A:$A, 0))&gt;0, -(21*INDEX('UA-normalized'!$D:$D, MATCH($A228, 'UA-normalized'!$A:$A, 0))-INDEX('UA-normalized'!$E:$E, MATCH($A228, 'UA-normalized'!$A:$A, 0))), 0), 0))+(IFERROR(IF(21*INDEX('KZ-normalized'!$D:$D, MATCH($A228, 'KZ-normalized'!$A:$A, 0))-INDEX('KZ-normalized'!$E:$E, MATCH($A228, 'KZ-normalized'!$A:$A, 0))&gt;0, -(21*INDEX('KZ-normalized'!$D:$D, MATCH($A228, 'KZ-normalized'!$A:$A, 0))-INDEX('KZ-normalized'!$E:$E, MATCH($A228, 'KZ-normalized'!$A:$A, 0))), 0), 0))+(IFERROR(IF(21*INDEX('UZ-normalized'!$D:$D, MATCH($A228, 'UZ-normalized'!$A:$A, 0))-INDEX('UZ-normalized'!$E:$E, MATCH($A228, 'UZ-normalized'!$A:$A, 0))&gt;0, -(21*INDEX('UZ-normalized'!$D:$D, MATCH($A228, 'UZ-normalized'!$A:$A, 0))-INDEX('UZ-normalized'!$E:$E, MATCH($A228, 'UZ-normalized'!$A:$A, 0))), 0), 0)))</f>
        <v>-0.57000000000000028</v>
      </c>
      <c r="AJ228" s="6">
        <f>MIN(0, N228+(IFERROR(IF(22*INDEX('UA-normalized'!$D:$D, MATCH($A228, 'UA-normalized'!$A:$A, 0))-INDEX('UA-normalized'!$E:$E, MATCH($A228, 'UA-normalized'!$A:$A, 0))&gt;0, -(22*INDEX('UA-normalized'!$D:$D, MATCH($A228, 'UA-normalized'!$A:$A, 0))-INDEX('UA-normalized'!$E:$E, MATCH($A228, 'UA-normalized'!$A:$A, 0))), 0), 0))+(IFERROR(IF(22*INDEX('KZ-normalized'!$D:$D, MATCH($A228, 'KZ-normalized'!$A:$A, 0))-INDEX('KZ-normalized'!$E:$E, MATCH($A228, 'KZ-normalized'!$A:$A, 0))&gt;0, -(22*INDEX('KZ-normalized'!$D:$D, MATCH($A228, 'KZ-normalized'!$A:$A, 0))-INDEX('KZ-normalized'!$E:$E, MATCH($A228, 'KZ-normalized'!$A:$A, 0))), 0), 0))+(IFERROR(IF(22*INDEX('UZ-normalized'!$D:$D, MATCH($A228, 'UZ-normalized'!$A:$A, 0))-INDEX('UZ-normalized'!$E:$E, MATCH($A228, 'UZ-normalized'!$A:$A, 0))&gt;0, -(22*INDEX('UZ-normalized'!$D:$D, MATCH($A228, 'UZ-normalized'!$A:$A, 0))-INDEX('UZ-normalized'!$E:$E, MATCH($A228, 'UZ-normalized'!$A:$A, 0))), 0), 0)))</f>
        <v>-0.74000000000000021</v>
      </c>
      <c r="AK228" s="6">
        <f>MIN(0, N228+(IFERROR(IF(23*INDEX('UA-normalized'!$D:$D, MATCH($A228, 'UA-normalized'!$A:$A, 0))-INDEX('UA-normalized'!$E:$E, MATCH($A228, 'UA-normalized'!$A:$A, 0))&gt;0, -(23*INDEX('UA-normalized'!$D:$D, MATCH($A228, 'UA-normalized'!$A:$A, 0))-INDEX('UA-normalized'!$E:$E, MATCH($A228, 'UA-normalized'!$A:$A, 0))), 0), 0))+(IFERROR(IF(23*INDEX('KZ-normalized'!$D:$D, MATCH($A228, 'KZ-normalized'!$A:$A, 0))-INDEX('KZ-normalized'!$E:$E, MATCH($A228, 'KZ-normalized'!$A:$A, 0))&gt;0, -(23*INDEX('KZ-normalized'!$D:$D, MATCH($A228, 'KZ-normalized'!$A:$A, 0))-INDEX('KZ-normalized'!$E:$E, MATCH($A228, 'KZ-normalized'!$A:$A, 0))), 0), 0))+(IFERROR(IF(23*INDEX('UZ-normalized'!$D:$D, MATCH($A228, 'UZ-normalized'!$A:$A, 0))-INDEX('UZ-normalized'!$E:$E, MATCH($A228, 'UZ-normalized'!$A:$A, 0))&gt;0, -(23*INDEX('UZ-normalized'!$D:$D, MATCH($A228, 'UZ-normalized'!$A:$A, 0))-INDEX('UZ-normalized'!$E:$E, MATCH($A228, 'UZ-normalized'!$A:$A, 0))), 0), 0)))</f>
        <v>-0.91000000000000014</v>
      </c>
      <c r="AL228" s="6">
        <f>MIN(0, N228+(IFERROR(IF(24*INDEX('UA-normalized'!$D:$D, MATCH($A228, 'UA-normalized'!$A:$A, 0))-INDEX('UA-normalized'!$E:$E, MATCH($A228, 'UA-normalized'!$A:$A, 0))&gt;0, -(24*INDEX('UA-normalized'!$D:$D, MATCH($A228, 'UA-normalized'!$A:$A, 0))-INDEX('UA-normalized'!$E:$E, MATCH($A228, 'UA-normalized'!$A:$A, 0))), 0), 0))+(IFERROR(IF(24*INDEX('KZ-normalized'!$D:$D, MATCH($A228, 'KZ-normalized'!$A:$A, 0))-INDEX('KZ-normalized'!$E:$E, MATCH($A228, 'KZ-normalized'!$A:$A, 0))&gt;0, -(24*INDEX('KZ-normalized'!$D:$D, MATCH($A228, 'KZ-normalized'!$A:$A, 0))-INDEX('KZ-normalized'!$E:$E, MATCH($A228, 'KZ-normalized'!$A:$A, 0))), 0), 0))+(IFERROR(IF(24*INDEX('UZ-normalized'!$D:$D, MATCH($A228, 'UZ-normalized'!$A:$A, 0))-INDEX('UZ-normalized'!$E:$E, MATCH($A228, 'UZ-normalized'!$A:$A, 0))&gt;0, -(24*INDEX('UZ-normalized'!$D:$D, MATCH($A228, 'UZ-normalized'!$A:$A, 0))-INDEX('UZ-normalized'!$E:$E, MATCH($A228, 'UZ-normalized'!$A:$A, 0))), 0), 0)))</f>
        <v>-1.08</v>
      </c>
      <c r="AM228" s="6">
        <f>MIN(0, N228+(IFERROR(IF(25*INDEX('UA-normalized'!$D:$D, MATCH($A228, 'UA-normalized'!$A:$A, 0))-INDEX('UA-normalized'!$E:$E, MATCH($A228, 'UA-normalized'!$A:$A, 0))&gt;0, -(25*INDEX('UA-normalized'!$D:$D, MATCH($A228, 'UA-normalized'!$A:$A, 0))-INDEX('UA-normalized'!$E:$E, MATCH($A228, 'UA-normalized'!$A:$A, 0))), 0), 0))+(IFERROR(IF(25*INDEX('KZ-normalized'!$D:$D, MATCH($A228, 'KZ-normalized'!$A:$A, 0))-INDEX('KZ-normalized'!$E:$E, MATCH($A228, 'KZ-normalized'!$A:$A, 0))&gt;0, -(25*INDEX('KZ-normalized'!$D:$D, MATCH($A228, 'KZ-normalized'!$A:$A, 0))-INDEX('KZ-normalized'!$E:$E, MATCH($A228, 'KZ-normalized'!$A:$A, 0))), 0), 0))+(IFERROR(IF(25*INDEX('UZ-normalized'!$D:$D, MATCH($A228, 'UZ-normalized'!$A:$A, 0))-INDEX('UZ-normalized'!$E:$E, MATCH($A228, 'UZ-normalized'!$A:$A, 0))&gt;0, -(25*INDEX('UZ-normalized'!$D:$D, MATCH($A228, 'UZ-normalized'!$A:$A, 0))-INDEX('UZ-normalized'!$E:$E, MATCH($A228, 'UZ-normalized'!$A:$A, 0))), 0), 0)))</f>
        <v>-1.25</v>
      </c>
      <c r="AN228" s="6">
        <f>MIN(0, N228+(IFERROR(IF(26*INDEX('UA-normalized'!$D:$D, MATCH($A228, 'UA-normalized'!$A:$A, 0))-INDEX('UA-normalized'!$E:$E, MATCH($A228, 'UA-normalized'!$A:$A, 0))&gt;0, -(26*INDEX('UA-normalized'!$D:$D, MATCH($A228, 'UA-normalized'!$A:$A, 0))-INDEX('UA-normalized'!$E:$E, MATCH($A228, 'UA-normalized'!$A:$A, 0))), 0), 0))+(IFERROR(IF(26*INDEX('KZ-normalized'!$D:$D, MATCH($A228, 'KZ-normalized'!$A:$A, 0))-INDEX('KZ-normalized'!$E:$E, MATCH($A228, 'KZ-normalized'!$A:$A, 0))&gt;0, -(26*INDEX('KZ-normalized'!$D:$D, MATCH($A228, 'KZ-normalized'!$A:$A, 0))-INDEX('KZ-normalized'!$E:$E, MATCH($A228, 'KZ-normalized'!$A:$A, 0))), 0), 0))+(IFERROR(IF(26*INDEX('UZ-normalized'!$D:$D, MATCH($A228, 'UZ-normalized'!$A:$A, 0))-INDEX('UZ-normalized'!$E:$E, MATCH($A228, 'UZ-normalized'!$A:$A, 0))&gt;0, -(26*INDEX('UZ-normalized'!$D:$D, MATCH($A228, 'UZ-normalized'!$A:$A, 0))-INDEX('UZ-normalized'!$E:$E, MATCH($A228, 'UZ-normalized'!$A:$A, 0))), 0), 0)))</f>
        <v>-1.42</v>
      </c>
      <c r="AO228" s="6">
        <f>MIN(0, N228+(IFERROR(IF(27*INDEX('UA-normalized'!$D:$D, MATCH($A228, 'UA-normalized'!$A:$A, 0))-INDEX('UA-normalized'!$E:$E, MATCH($A228, 'UA-normalized'!$A:$A, 0))&gt;0, -(27*INDEX('UA-normalized'!$D:$D, MATCH($A228, 'UA-normalized'!$A:$A, 0))-INDEX('UA-normalized'!$E:$E, MATCH($A228, 'UA-normalized'!$A:$A, 0))), 0), 0))+(IFERROR(IF(27*INDEX('KZ-normalized'!$D:$D, MATCH($A228, 'KZ-normalized'!$A:$A, 0))-INDEX('KZ-normalized'!$E:$E, MATCH($A228, 'KZ-normalized'!$A:$A, 0))&gt;0, -(27*INDEX('KZ-normalized'!$D:$D, MATCH($A228, 'KZ-normalized'!$A:$A, 0))-INDEX('KZ-normalized'!$E:$E, MATCH($A228, 'KZ-normalized'!$A:$A, 0))), 0), 0))+(IFERROR(IF(27*INDEX('UZ-normalized'!$D:$D, MATCH($A228, 'UZ-normalized'!$A:$A, 0))-INDEX('UZ-normalized'!$E:$E, MATCH($A228, 'UZ-normalized'!$A:$A, 0))&gt;0, -(27*INDEX('UZ-normalized'!$D:$D, MATCH($A228, 'UZ-normalized'!$A:$A, 0))-INDEX('UZ-normalized'!$E:$E, MATCH($A228, 'UZ-normalized'!$A:$A, 0))), 0), 0)))</f>
        <v>-1.5900000000000007</v>
      </c>
      <c r="AP228" s="6">
        <f>MIN(0, N228+(IFERROR(IF(28*INDEX('UA-normalized'!$D:$D, MATCH($A228, 'UA-normalized'!$A:$A, 0))-INDEX('UA-normalized'!$E:$E, MATCH($A228, 'UA-normalized'!$A:$A, 0))&gt;0, -(28*INDEX('UA-normalized'!$D:$D, MATCH($A228, 'UA-normalized'!$A:$A, 0))-INDEX('UA-normalized'!$E:$E, MATCH($A228, 'UA-normalized'!$A:$A, 0))), 0), 0))+(IFERROR(IF(28*INDEX('KZ-normalized'!$D:$D, MATCH($A228, 'KZ-normalized'!$A:$A, 0))-INDEX('KZ-normalized'!$E:$E, MATCH($A228, 'KZ-normalized'!$A:$A, 0))&gt;0, -(28*INDEX('KZ-normalized'!$D:$D, MATCH($A228, 'KZ-normalized'!$A:$A, 0))-INDEX('KZ-normalized'!$E:$E, MATCH($A228, 'KZ-normalized'!$A:$A, 0))), 0), 0))+(IFERROR(IF(28*INDEX('UZ-normalized'!$D:$D, MATCH($A228, 'UZ-normalized'!$A:$A, 0))-INDEX('UZ-normalized'!$E:$E, MATCH($A228, 'UZ-normalized'!$A:$A, 0))&gt;0, -(28*INDEX('UZ-normalized'!$D:$D, MATCH($A228, 'UZ-normalized'!$A:$A, 0))-INDEX('UZ-normalized'!$E:$E, MATCH($A228, 'UZ-normalized'!$A:$A, 0))), 0), 0)))</f>
        <v>-1.7600000000000007</v>
      </c>
      <c r="AQ228" s="6">
        <f>MIN(0, N228+(IFERROR(IF(29*INDEX('UA-normalized'!$D:$D, MATCH($A228, 'UA-normalized'!$A:$A, 0))-INDEX('UA-normalized'!$E:$E, MATCH($A228, 'UA-normalized'!$A:$A, 0))&gt;0, -(29*INDEX('UA-normalized'!$D:$D, MATCH($A228, 'UA-normalized'!$A:$A, 0))-INDEX('UA-normalized'!$E:$E, MATCH($A228, 'UA-normalized'!$A:$A, 0))), 0), 0))+(IFERROR(IF(29*INDEX('KZ-normalized'!$D:$D, MATCH($A228, 'KZ-normalized'!$A:$A, 0))-INDEX('KZ-normalized'!$E:$E, MATCH($A228, 'KZ-normalized'!$A:$A, 0))&gt;0, -(29*INDEX('KZ-normalized'!$D:$D, MATCH($A228, 'KZ-normalized'!$A:$A, 0))-INDEX('KZ-normalized'!$E:$E, MATCH($A228, 'KZ-normalized'!$A:$A, 0))), 0), 0))+(IFERROR(IF(29*INDEX('UZ-normalized'!$D:$D, MATCH($A228, 'UZ-normalized'!$A:$A, 0))-INDEX('UZ-normalized'!$E:$E, MATCH($A228, 'UZ-normalized'!$A:$A, 0))&gt;0, -(29*INDEX('UZ-normalized'!$D:$D, MATCH($A228, 'UZ-normalized'!$A:$A, 0))-INDEX('UZ-normalized'!$E:$E, MATCH($A228, 'UZ-normalized'!$A:$A, 0))), 0), 0)))</f>
        <v>-1.9300000000000006</v>
      </c>
      <c r="AR228" s="6">
        <f>MIN(0, N228+(IFERROR(IF(30*INDEX('UA-normalized'!$D:$D, MATCH($A228, 'UA-normalized'!$A:$A, 0))-INDEX('UA-normalized'!$E:$E, MATCH($A228, 'UA-normalized'!$A:$A, 0))&gt;0, -(30*INDEX('UA-normalized'!$D:$D, MATCH($A228, 'UA-normalized'!$A:$A, 0))-INDEX('UA-normalized'!$E:$E, MATCH($A228, 'UA-normalized'!$A:$A, 0))), 0), 0))+(IFERROR(IF(30*INDEX('KZ-normalized'!$D:$D, MATCH($A228, 'KZ-normalized'!$A:$A, 0))-INDEX('KZ-normalized'!$E:$E, MATCH($A228, 'KZ-normalized'!$A:$A, 0))&gt;0, -(30*INDEX('KZ-normalized'!$D:$D, MATCH($A228, 'KZ-normalized'!$A:$A, 0))-INDEX('KZ-normalized'!$E:$E, MATCH($A228, 'KZ-normalized'!$A:$A, 0))), 0), 0))+(IFERROR(IF(30*INDEX('UZ-normalized'!$D:$D, MATCH($A228, 'UZ-normalized'!$A:$A, 0))-INDEX('UZ-normalized'!$E:$E, MATCH($A228, 'UZ-normalized'!$A:$A, 0))&gt;0, -(30*INDEX('UZ-normalized'!$D:$D, MATCH($A228, 'UZ-normalized'!$A:$A, 0))-INDEX('UZ-normalized'!$E:$E, MATCH($A228, 'UZ-normalized'!$A:$A, 0))), 0), 0)))</f>
        <v>-2.1000000000000005</v>
      </c>
    </row>
    <row r="229" spans="1:44" x14ac:dyDescent="0.25">
      <c r="A229" s="8" t="s">
        <v>541</v>
      </c>
      <c r="B229" s="8" t="s">
        <v>492</v>
      </c>
      <c r="C229" s="8" t="s">
        <v>542</v>
      </c>
      <c r="D229" s="8" t="s">
        <v>543</v>
      </c>
      <c r="G229">
        <v>-20</v>
      </c>
      <c r="N229">
        <f t="shared" si="3"/>
        <v>-20</v>
      </c>
      <c r="O229" s="6">
        <f>MIN(0, N229+(IFERROR(IF(1*INDEX('UA-normalized'!$D:$D, MATCH($A229, 'UA-normalized'!$A:$A, 0))-INDEX('UA-normalized'!$E:$E, MATCH($A229, 'UA-normalized'!$A:$A, 0))&gt;0, -(1*INDEX('UA-normalized'!$D:$D, MATCH($A229, 'UA-normalized'!$A:$A, 0))-INDEX('UA-normalized'!$E:$E, MATCH($A229, 'UA-normalized'!$A:$A, 0))), 0), 0))+(IFERROR(IF(1*INDEX('KZ-normalized'!$D:$D, MATCH($A229, 'KZ-normalized'!$A:$A, 0))-INDEX('KZ-normalized'!$E:$E, MATCH($A229, 'KZ-normalized'!$A:$A, 0))&gt;0, -(1*INDEX('KZ-normalized'!$D:$D, MATCH($A229, 'KZ-normalized'!$A:$A, 0))-INDEX('KZ-normalized'!$E:$E, MATCH($A229, 'KZ-normalized'!$A:$A, 0))), 0), 0))+(IFERROR(IF(1*INDEX('UZ-normalized'!$D:$D, MATCH($A229, 'UZ-normalized'!$A:$A, 0))-INDEX('UZ-normalized'!$E:$E, MATCH($A229, 'UZ-normalized'!$A:$A, 0))&gt;0, -(1*INDEX('UZ-normalized'!$D:$D, MATCH($A229, 'UZ-normalized'!$A:$A, 0))-INDEX('UZ-normalized'!$E:$E, MATCH($A229, 'UZ-normalized'!$A:$A, 0))), 0), 0)))</f>
        <v>-20</v>
      </c>
      <c r="P229" s="6">
        <f>MIN(0, N229+(IFERROR(IF(2*INDEX('UA-normalized'!$D:$D, MATCH($A229, 'UA-normalized'!$A:$A, 0))-INDEX('UA-normalized'!$E:$E, MATCH($A229, 'UA-normalized'!$A:$A, 0))&gt;0, -(2*INDEX('UA-normalized'!$D:$D, MATCH($A229, 'UA-normalized'!$A:$A, 0))-INDEX('UA-normalized'!$E:$E, MATCH($A229, 'UA-normalized'!$A:$A, 0))), 0), 0))+(IFERROR(IF(2*INDEX('KZ-normalized'!$D:$D, MATCH($A229, 'KZ-normalized'!$A:$A, 0))-INDEX('KZ-normalized'!$E:$E, MATCH($A229, 'KZ-normalized'!$A:$A, 0))&gt;0, -(2*INDEX('KZ-normalized'!$D:$D, MATCH($A229, 'KZ-normalized'!$A:$A, 0))-INDEX('KZ-normalized'!$E:$E, MATCH($A229, 'KZ-normalized'!$A:$A, 0))), 0), 0))+(IFERROR(IF(2*INDEX('UZ-normalized'!$D:$D, MATCH($A229, 'UZ-normalized'!$A:$A, 0))-INDEX('UZ-normalized'!$E:$E, MATCH($A229, 'UZ-normalized'!$A:$A, 0))&gt;0, -(2*INDEX('UZ-normalized'!$D:$D, MATCH($A229, 'UZ-normalized'!$A:$A, 0))-INDEX('UZ-normalized'!$E:$E, MATCH($A229, 'UZ-normalized'!$A:$A, 0))), 0), 0)))</f>
        <v>-20</v>
      </c>
      <c r="Q229" s="6">
        <f>MIN(0, N229+(IFERROR(IF(3*INDEX('UA-normalized'!$D:$D, MATCH($A229, 'UA-normalized'!$A:$A, 0))-INDEX('UA-normalized'!$E:$E, MATCH($A229, 'UA-normalized'!$A:$A, 0))&gt;0, -(3*INDEX('UA-normalized'!$D:$D, MATCH($A229, 'UA-normalized'!$A:$A, 0))-INDEX('UA-normalized'!$E:$E, MATCH($A229, 'UA-normalized'!$A:$A, 0))), 0), 0))+(IFERROR(IF(3*INDEX('KZ-normalized'!$D:$D, MATCH($A229, 'KZ-normalized'!$A:$A, 0))-INDEX('KZ-normalized'!$E:$E, MATCH($A229, 'KZ-normalized'!$A:$A, 0))&gt;0, -(3*INDEX('KZ-normalized'!$D:$D, MATCH($A229, 'KZ-normalized'!$A:$A, 0))-INDEX('KZ-normalized'!$E:$E, MATCH($A229, 'KZ-normalized'!$A:$A, 0))), 0), 0))+(IFERROR(IF(3*INDEX('UZ-normalized'!$D:$D, MATCH($A229, 'UZ-normalized'!$A:$A, 0))-INDEX('UZ-normalized'!$E:$E, MATCH($A229, 'UZ-normalized'!$A:$A, 0))&gt;0, -(3*INDEX('UZ-normalized'!$D:$D, MATCH($A229, 'UZ-normalized'!$A:$A, 0))-INDEX('UZ-normalized'!$E:$E, MATCH($A229, 'UZ-normalized'!$A:$A, 0))), 0), 0)))</f>
        <v>-20</v>
      </c>
      <c r="R229" s="6">
        <f>MIN(0, N229+(IFERROR(IF(4*INDEX('UA-normalized'!$D:$D, MATCH($A229, 'UA-normalized'!$A:$A, 0))-INDEX('UA-normalized'!$E:$E, MATCH($A229, 'UA-normalized'!$A:$A, 0))&gt;0, -(4*INDEX('UA-normalized'!$D:$D, MATCH($A229, 'UA-normalized'!$A:$A, 0))-INDEX('UA-normalized'!$E:$E, MATCH($A229, 'UA-normalized'!$A:$A, 0))), 0), 0))+(IFERROR(IF(4*INDEX('KZ-normalized'!$D:$D, MATCH($A229, 'KZ-normalized'!$A:$A, 0))-INDEX('KZ-normalized'!$E:$E, MATCH($A229, 'KZ-normalized'!$A:$A, 0))&gt;0, -(4*INDEX('KZ-normalized'!$D:$D, MATCH($A229, 'KZ-normalized'!$A:$A, 0))-INDEX('KZ-normalized'!$E:$E, MATCH($A229, 'KZ-normalized'!$A:$A, 0))), 0), 0))+(IFERROR(IF(4*INDEX('UZ-normalized'!$D:$D, MATCH($A229, 'UZ-normalized'!$A:$A, 0))-INDEX('UZ-normalized'!$E:$E, MATCH($A229, 'UZ-normalized'!$A:$A, 0))&gt;0, -(4*INDEX('UZ-normalized'!$D:$D, MATCH($A229, 'UZ-normalized'!$A:$A, 0))-INDEX('UZ-normalized'!$E:$E, MATCH($A229, 'UZ-normalized'!$A:$A, 0))), 0), 0)))</f>
        <v>-20</v>
      </c>
      <c r="S229" s="6">
        <f>MIN(0, N229+(IFERROR(IF(5*INDEX('UA-normalized'!$D:$D, MATCH($A229, 'UA-normalized'!$A:$A, 0))-INDEX('UA-normalized'!$E:$E, MATCH($A229, 'UA-normalized'!$A:$A, 0))&gt;0, -(5*INDEX('UA-normalized'!$D:$D, MATCH($A229, 'UA-normalized'!$A:$A, 0))-INDEX('UA-normalized'!$E:$E, MATCH($A229, 'UA-normalized'!$A:$A, 0))), 0), 0))+(IFERROR(IF(5*INDEX('KZ-normalized'!$D:$D, MATCH($A229, 'KZ-normalized'!$A:$A, 0))-INDEX('KZ-normalized'!$E:$E, MATCH($A229, 'KZ-normalized'!$A:$A, 0))&gt;0, -(5*INDEX('KZ-normalized'!$D:$D, MATCH($A229, 'KZ-normalized'!$A:$A, 0))-INDEX('KZ-normalized'!$E:$E, MATCH($A229, 'KZ-normalized'!$A:$A, 0))), 0), 0))+(IFERROR(IF(5*INDEX('UZ-normalized'!$D:$D, MATCH($A229, 'UZ-normalized'!$A:$A, 0))-INDEX('UZ-normalized'!$E:$E, MATCH($A229, 'UZ-normalized'!$A:$A, 0))&gt;0, -(5*INDEX('UZ-normalized'!$D:$D, MATCH($A229, 'UZ-normalized'!$A:$A, 0))-INDEX('UZ-normalized'!$E:$E, MATCH($A229, 'UZ-normalized'!$A:$A, 0))), 0), 0)))</f>
        <v>-26</v>
      </c>
      <c r="T229" s="6">
        <f>MIN(0, N229+(IFERROR(IF(6*INDEX('UA-normalized'!$D:$D, MATCH($A229, 'UA-normalized'!$A:$A, 0))-INDEX('UA-normalized'!$E:$E, MATCH($A229, 'UA-normalized'!$A:$A, 0))&gt;0, -(6*INDEX('UA-normalized'!$D:$D, MATCH($A229, 'UA-normalized'!$A:$A, 0))-INDEX('UA-normalized'!$E:$E, MATCH($A229, 'UA-normalized'!$A:$A, 0))), 0), 0))+(IFERROR(IF(6*INDEX('KZ-normalized'!$D:$D, MATCH($A229, 'KZ-normalized'!$A:$A, 0))-INDEX('KZ-normalized'!$E:$E, MATCH($A229, 'KZ-normalized'!$A:$A, 0))&gt;0, -(6*INDEX('KZ-normalized'!$D:$D, MATCH($A229, 'KZ-normalized'!$A:$A, 0))-INDEX('KZ-normalized'!$E:$E, MATCH($A229, 'KZ-normalized'!$A:$A, 0))), 0), 0))+(IFERROR(IF(6*INDEX('UZ-normalized'!$D:$D, MATCH($A229, 'UZ-normalized'!$A:$A, 0))-INDEX('UZ-normalized'!$E:$E, MATCH($A229, 'UZ-normalized'!$A:$A, 0))&gt;0, -(6*INDEX('UZ-normalized'!$D:$D, MATCH($A229, 'UZ-normalized'!$A:$A, 0))-INDEX('UZ-normalized'!$E:$E, MATCH($A229, 'UZ-normalized'!$A:$A, 0))), 0), 0)))</f>
        <v>-38.599999999999994</v>
      </c>
      <c r="U229" s="6">
        <f>MIN(0, N229+(IFERROR(IF(7*INDEX('UA-normalized'!$D:$D, MATCH($A229, 'UA-normalized'!$A:$A, 0))-INDEX('UA-normalized'!$E:$E, MATCH($A229, 'UA-normalized'!$A:$A, 0))&gt;0, -(7*INDEX('UA-normalized'!$D:$D, MATCH($A229, 'UA-normalized'!$A:$A, 0))-INDEX('UA-normalized'!$E:$E, MATCH($A229, 'UA-normalized'!$A:$A, 0))), 0), 0))+(IFERROR(IF(7*INDEX('KZ-normalized'!$D:$D, MATCH($A229, 'KZ-normalized'!$A:$A, 0))-INDEX('KZ-normalized'!$E:$E, MATCH($A229, 'KZ-normalized'!$A:$A, 0))&gt;0, -(7*INDEX('KZ-normalized'!$D:$D, MATCH($A229, 'KZ-normalized'!$A:$A, 0))-INDEX('KZ-normalized'!$E:$E, MATCH($A229, 'KZ-normalized'!$A:$A, 0))), 0), 0))+(IFERROR(IF(7*INDEX('UZ-normalized'!$D:$D, MATCH($A229, 'UZ-normalized'!$A:$A, 0))-INDEX('UZ-normalized'!$E:$E, MATCH($A229, 'UZ-normalized'!$A:$A, 0))&gt;0, -(7*INDEX('UZ-normalized'!$D:$D, MATCH($A229, 'UZ-normalized'!$A:$A, 0))-INDEX('UZ-normalized'!$E:$E, MATCH($A229, 'UZ-normalized'!$A:$A, 0))), 0), 0)))</f>
        <v>-51.2</v>
      </c>
      <c r="V229" s="6">
        <f>MIN(0, N229+(IFERROR(IF(8*INDEX('UA-normalized'!$D:$D, MATCH($A229, 'UA-normalized'!$A:$A, 0))-INDEX('UA-normalized'!$E:$E, MATCH($A229, 'UA-normalized'!$A:$A, 0))&gt;0, -(8*INDEX('UA-normalized'!$D:$D, MATCH($A229, 'UA-normalized'!$A:$A, 0))-INDEX('UA-normalized'!$E:$E, MATCH($A229, 'UA-normalized'!$A:$A, 0))), 0), 0))+(IFERROR(IF(8*INDEX('KZ-normalized'!$D:$D, MATCH($A229, 'KZ-normalized'!$A:$A, 0))-INDEX('KZ-normalized'!$E:$E, MATCH($A229, 'KZ-normalized'!$A:$A, 0))&gt;0, -(8*INDEX('KZ-normalized'!$D:$D, MATCH($A229, 'KZ-normalized'!$A:$A, 0))-INDEX('KZ-normalized'!$E:$E, MATCH($A229, 'KZ-normalized'!$A:$A, 0))), 0), 0))+(IFERROR(IF(8*INDEX('UZ-normalized'!$D:$D, MATCH($A229, 'UZ-normalized'!$A:$A, 0))-INDEX('UZ-normalized'!$E:$E, MATCH($A229, 'UZ-normalized'!$A:$A, 0))&gt;0, -(8*INDEX('UZ-normalized'!$D:$D, MATCH($A229, 'UZ-normalized'!$A:$A, 0))-INDEX('UZ-normalized'!$E:$E, MATCH($A229, 'UZ-normalized'!$A:$A, 0))), 0), 0)))</f>
        <v>-72.8</v>
      </c>
      <c r="W229" s="6">
        <f>MIN(0, N229+(IFERROR(IF(9*INDEX('UA-normalized'!$D:$D, MATCH($A229, 'UA-normalized'!$A:$A, 0))-INDEX('UA-normalized'!$E:$E, MATCH($A229, 'UA-normalized'!$A:$A, 0))&gt;0, -(9*INDEX('UA-normalized'!$D:$D, MATCH($A229, 'UA-normalized'!$A:$A, 0))-INDEX('UA-normalized'!$E:$E, MATCH($A229, 'UA-normalized'!$A:$A, 0))), 0), 0))+(IFERROR(IF(9*INDEX('KZ-normalized'!$D:$D, MATCH($A229, 'KZ-normalized'!$A:$A, 0))-INDEX('KZ-normalized'!$E:$E, MATCH($A229, 'KZ-normalized'!$A:$A, 0))&gt;0, -(9*INDEX('KZ-normalized'!$D:$D, MATCH($A229, 'KZ-normalized'!$A:$A, 0))-INDEX('KZ-normalized'!$E:$E, MATCH($A229, 'KZ-normalized'!$A:$A, 0))), 0), 0))+(IFERROR(IF(9*INDEX('UZ-normalized'!$D:$D, MATCH($A229, 'UZ-normalized'!$A:$A, 0))-INDEX('UZ-normalized'!$E:$E, MATCH($A229, 'UZ-normalized'!$A:$A, 0))&gt;0, -(9*INDEX('UZ-normalized'!$D:$D, MATCH($A229, 'UZ-normalized'!$A:$A, 0))-INDEX('UZ-normalized'!$E:$E, MATCH($A229, 'UZ-normalized'!$A:$A, 0))), 0), 0)))</f>
        <v>-96.399999999999991</v>
      </c>
      <c r="X229" s="6">
        <f>MIN(0, N229+(IFERROR(IF(10*INDEX('UA-normalized'!$D:$D, MATCH($A229, 'UA-normalized'!$A:$A, 0))-INDEX('UA-normalized'!$E:$E, MATCH($A229, 'UA-normalized'!$A:$A, 0))&gt;0, -(10*INDEX('UA-normalized'!$D:$D, MATCH($A229, 'UA-normalized'!$A:$A, 0))-INDEX('UA-normalized'!$E:$E, MATCH($A229, 'UA-normalized'!$A:$A, 0))), 0), 0))+(IFERROR(IF(10*INDEX('KZ-normalized'!$D:$D, MATCH($A229, 'KZ-normalized'!$A:$A, 0))-INDEX('KZ-normalized'!$E:$E, MATCH($A229, 'KZ-normalized'!$A:$A, 0))&gt;0, -(10*INDEX('KZ-normalized'!$D:$D, MATCH($A229, 'KZ-normalized'!$A:$A, 0))-INDEX('KZ-normalized'!$E:$E, MATCH($A229, 'KZ-normalized'!$A:$A, 0))), 0), 0))+(IFERROR(IF(10*INDEX('UZ-normalized'!$D:$D, MATCH($A229, 'UZ-normalized'!$A:$A, 0))-INDEX('UZ-normalized'!$E:$E, MATCH($A229, 'UZ-normalized'!$A:$A, 0))&gt;0, -(10*INDEX('UZ-normalized'!$D:$D, MATCH($A229, 'UZ-normalized'!$A:$A, 0))-INDEX('UZ-normalized'!$E:$E, MATCH($A229, 'UZ-normalized'!$A:$A, 0))), 0), 0)))</f>
        <v>-120</v>
      </c>
      <c r="Y229" s="6">
        <f>MIN(0, N229+(IFERROR(IF(11*INDEX('UA-normalized'!$D:$D, MATCH($A229, 'UA-normalized'!$A:$A, 0))-INDEX('UA-normalized'!$E:$E, MATCH($A229, 'UA-normalized'!$A:$A, 0))&gt;0, -(11*INDEX('UA-normalized'!$D:$D, MATCH($A229, 'UA-normalized'!$A:$A, 0))-INDEX('UA-normalized'!$E:$E, MATCH($A229, 'UA-normalized'!$A:$A, 0))), 0), 0))+(IFERROR(IF(11*INDEX('KZ-normalized'!$D:$D, MATCH($A229, 'KZ-normalized'!$A:$A, 0))-INDEX('KZ-normalized'!$E:$E, MATCH($A229, 'KZ-normalized'!$A:$A, 0))&gt;0, -(11*INDEX('KZ-normalized'!$D:$D, MATCH($A229, 'KZ-normalized'!$A:$A, 0))-INDEX('KZ-normalized'!$E:$E, MATCH($A229, 'KZ-normalized'!$A:$A, 0))), 0), 0))+(IFERROR(IF(11*INDEX('UZ-normalized'!$D:$D, MATCH($A229, 'UZ-normalized'!$A:$A, 0))-INDEX('UZ-normalized'!$E:$E, MATCH($A229, 'UZ-normalized'!$A:$A, 0))&gt;0, -(11*INDEX('UZ-normalized'!$D:$D, MATCH($A229, 'UZ-normalized'!$A:$A, 0))-INDEX('UZ-normalized'!$E:$E, MATCH($A229, 'UZ-normalized'!$A:$A, 0))), 0), 0)))</f>
        <v>-143.6</v>
      </c>
      <c r="Z229" s="6">
        <f>MIN(0, N229+(IFERROR(IF(12*INDEX('UA-normalized'!$D:$D, MATCH($A229, 'UA-normalized'!$A:$A, 0))-INDEX('UA-normalized'!$E:$E, MATCH($A229, 'UA-normalized'!$A:$A, 0))&gt;0, -(12*INDEX('UA-normalized'!$D:$D, MATCH($A229, 'UA-normalized'!$A:$A, 0))-INDEX('UA-normalized'!$E:$E, MATCH($A229, 'UA-normalized'!$A:$A, 0))), 0), 0))+(IFERROR(IF(12*INDEX('KZ-normalized'!$D:$D, MATCH($A229, 'KZ-normalized'!$A:$A, 0))-INDEX('KZ-normalized'!$E:$E, MATCH($A229, 'KZ-normalized'!$A:$A, 0))&gt;0, -(12*INDEX('KZ-normalized'!$D:$D, MATCH($A229, 'KZ-normalized'!$A:$A, 0))-INDEX('KZ-normalized'!$E:$E, MATCH($A229, 'KZ-normalized'!$A:$A, 0))), 0), 0))+(IFERROR(IF(12*INDEX('UZ-normalized'!$D:$D, MATCH($A229, 'UZ-normalized'!$A:$A, 0))-INDEX('UZ-normalized'!$E:$E, MATCH($A229, 'UZ-normalized'!$A:$A, 0))&gt;0, -(12*INDEX('UZ-normalized'!$D:$D, MATCH($A229, 'UZ-normalized'!$A:$A, 0))-INDEX('UZ-normalized'!$E:$E, MATCH($A229, 'UZ-normalized'!$A:$A, 0))), 0), 0)))</f>
        <v>-167.2</v>
      </c>
      <c r="AA229" s="6">
        <f>MIN(0, N229+(IFERROR(IF(13*INDEX('UA-normalized'!$D:$D, MATCH($A229, 'UA-normalized'!$A:$A, 0))-INDEX('UA-normalized'!$E:$E, MATCH($A229, 'UA-normalized'!$A:$A, 0))&gt;0, -(13*INDEX('UA-normalized'!$D:$D, MATCH($A229, 'UA-normalized'!$A:$A, 0))-INDEX('UA-normalized'!$E:$E, MATCH($A229, 'UA-normalized'!$A:$A, 0))), 0), 0))+(IFERROR(IF(13*INDEX('KZ-normalized'!$D:$D, MATCH($A229, 'KZ-normalized'!$A:$A, 0))-INDEX('KZ-normalized'!$E:$E, MATCH($A229, 'KZ-normalized'!$A:$A, 0))&gt;0, -(13*INDEX('KZ-normalized'!$D:$D, MATCH($A229, 'KZ-normalized'!$A:$A, 0))-INDEX('KZ-normalized'!$E:$E, MATCH($A229, 'KZ-normalized'!$A:$A, 0))), 0), 0))+(IFERROR(IF(13*INDEX('UZ-normalized'!$D:$D, MATCH($A229, 'UZ-normalized'!$A:$A, 0))-INDEX('UZ-normalized'!$E:$E, MATCH($A229, 'UZ-normalized'!$A:$A, 0))&gt;0, -(13*INDEX('UZ-normalized'!$D:$D, MATCH($A229, 'UZ-normalized'!$A:$A, 0))-INDEX('UZ-normalized'!$E:$E, MATCH($A229, 'UZ-normalized'!$A:$A, 0))), 0), 0)))</f>
        <v>-190.79999999999998</v>
      </c>
      <c r="AB229" s="6">
        <f>MIN(0, N229+(IFERROR(IF(14*INDEX('UA-normalized'!$D:$D, MATCH($A229, 'UA-normalized'!$A:$A, 0))-INDEX('UA-normalized'!$E:$E, MATCH($A229, 'UA-normalized'!$A:$A, 0))&gt;0, -(14*INDEX('UA-normalized'!$D:$D, MATCH($A229, 'UA-normalized'!$A:$A, 0))-INDEX('UA-normalized'!$E:$E, MATCH($A229, 'UA-normalized'!$A:$A, 0))), 0), 0))+(IFERROR(IF(14*INDEX('KZ-normalized'!$D:$D, MATCH($A229, 'KZ-normalized'!$A:$A, 0))-INDEX('KZ-normalized'!$E:$E, MATCH($A229, 'KZ-normalized'!$A:$A, 0))&gt;0, -(14*INDEX('KZ-normalized'!$D:$D, MATCH($A229, 'KZ-normalized'!$A:$A, 0))-INDEX('KZ-normalized'!$E:$E, MATCH($A229, 'KZ-normalized'!$A:$A, 0))), 0), 0))+(IFERROR(IF(14*INDEX('UZ-normalized'!$D:$D, MATCH($A229, 'UZ-normalized'!$A:$A, 0))-INDEX('UZ-normalized'!$E:$E, MATCH($A229, 'UZ-normalized'!$A:$A, 0))&gt;0, -(14*INDEX('UZ-normalized'!$D:$D, MATCH($A229, 'UZ-normalized'!$A:$A, 0))-INDEX('UZ-normalized'!$E:$E, MATCH($A229, 'UZ-normalized'!$A:$A, 0))), 0), 0)))</f>
        <v>-214.4</v>
      </c>
      <c r="AC229" s="6">
        <f>MIN(0, N229+(IFERROR(IF(15*INDEX('UA-normalized'!$D:$D, MATCH($A229, 'UA-normalized'!$A:$A, 0))-INDEX('UA-normalized'!$E:$E, MATCH($A229, 'UA-normalized'!$A:$A, 0))&gt;0, -(15*INDEX('UA-normalized'!$D:$D, MATCH($A229, 'UA-normalized'!$A:$A, 0))-INDEX('UA-normalized'!$E:$E, MATCH($A229, 'UA-normalized'!$A:$A, 0))), 0), 0))+(IFERROR(IF(15*INDEX('KZ-normalized'!$D:$D, MATCH($A229, 'KZ-normalized'!$A:$A, 0))-INDEX('KZ-normalized'!$E:$E, MATCH($A229, 'KZ-normalized'!$A:$A, 0))&gt;0, -(15*INDEX('KZ-normalized'!$D:$D, MATCH($A229, 'KZ-normalized'!$A:$A, 0))-INDEX('KZ-normalized'!$E:$E, MATCH($A229, 'KZ-normalized'!$A:$A, 0))), 0), 0))+(IFERROR(IF(15*INDEX('UZ-normalized'!$D:$D, MATCH($A229, 'UZ-normalized'!$A:$A, 0))-INDEX('UZ-normalized'!$E:$E, MATCH($A229, 'UZ-normalized'!$A:$A, 0))&gt;0, -(15*INDEX('UZ-normalized'!$D:$D, MATCH($A229, 'UZ-normalized'!$A:$A, 0))-INDEX('UZ-normalized'!$E:$E, MATCH($A229, 'UZ-normalized'!$A:$A, 0))), 0), 0)))</f>
        <v>-238</v>
      </c>
      <c r="AD229" s="6">
        <f>MIN(0, N229+(IFERROR(IF(16*INDEX('UA-normalized'!$D:$D, MATCH($A229, 'UA-normalized'!$A:$A, 0))-INDEX('UA-normalized'!$E:$E, MATCH($A229, 'UA-normalized'!$A:$A, 0))&gt;0, -(16*INDEX('UA-normalized'!$D:$D, MATCH($A229, 'UA-normalized'!$A:$A, 0))-INDEX('UA-normalized'!$E:$E, MATCH($A229, 'UA-normalized'!$A:$A, 0))), 0), 0))+(IFERROR(IF(16*INDEX('KZ-normalized'!$D:$D, MATCH($A229, 'KZ-normalized'!$A:$A, 0))-INDEX('KZ-normalized'!$E:$E, MATCH($A229, 'KZ-normalized'!$A:$A, 0))&gt;0, -(16*INDEX('KZ-normalized'!$D:$D, MATCH($A229, 'KZ-normalized'!$A:$A, 0))-INDEX('KZ-normalized'!$E:$E, MATCH($A229, 'KZ-normalized'!$A:$A, 0))), 0), 0))+(IFERROR(IF(16*INDEX('UZ-normalized'!$D:$D, MATCH($A229, 'UZ-normalized'!$A:$A, 0))-INDEX('UZ-normalized'!$E:$E, MATCH($A229, 'UZ-normalized'!$A:$A, 0))&gt;0, -(16*INDEX('UZ-normalized'!$D:$D, MATCH($A229, 'UZ-normalized'!$A:$A, 0))-INDEX('UZ-normalized'!$E:$E, MATCH($A229, 'UZ-normalized'!$A:$A, 0))), 0), 0)))</f>
        <v>-261.60000000000002</v>
      </c>
      <c r="AE229" s="6">
        <f>MIN(0, N229+(IFERROR(IF(17*INDEX('UA-normalized'!$D:$D, MATCH($A229, 'UA-normalized'!$A:$A, 0))-INDEX('UA-normalized'!$E:$E, MATCH($A229, 'UA-normalized'!$A:$A, 0))&gt;0, -(17*INDEX('UA-normalized'!$D:$D, MATCH($A229, 'UA-normalized'!$A:$A, 0))-INDEX('UA-normalized'!$E:$E, MATCH($A229, 'UA-normalized'!$A:$A, 0))), 0), 0))+(IFERROR(IF(17*INDEX('KZ-normalized'!$D:$D, MATCH($A229, 'KZ-normalized'!$A:$A, 0))-INDEX('KZ-normalized'!$E:$E, MATCH($A229, 'KZ-normalized'!$A:$A, 0))&gt;0, -(17*INDEX('KZ-normalized'!$D:$D, MATCH($A229, 'KZ-normalized'!$A:$A, 0))-INDEX('KZ-normalized'!$E:$E, MATCH($A229, 'KZ-normalized'!$A:$A, 0))), 0), 0))+(IFERROR(IF(17*INDEX('UZ-normalized'!$D:$D, MATCH($A229, 'UZ-normalized'!$A:$A, 0))-INDEX('UZ-normalized'!$E:$E, MATCH($A229, 'UZ-normalized'!$A:$A, 0))&gt;0, -(17*INDEX('UZ-normalized'!$D:$D, MATCH($A229, 'UZ-normalized'!$A:$A, 0))-INDEX('UZ-normalized'!$E:$E, MATCH($A229, 'UZ-normalized'!$A:$A, 0))), 0), 0)))</f>
        <v>-285.2</v>
      </c>
      <c r="AF229" s="6">
        <f>MIN(0, N229+(IFERROR(IF(18*INDEX('UA-normalized'!$D:$D, MATCH($A229, 'UA-normalized'!$A:$A, 0))-INDEX('UA-normalized'!$E:$E, MATCH($A229, 'UA-normalized'!$A:$A, 0))&gt;0, -(18*INDEX('UA-normalized'!$D:$D, MATCH($A229, 'UA-normalized'!$A:$A, 0))-INDEX('UA-normalized'!$E:$E, MATCH($A229, 'UA-normalized'!$A:$A, 0))), 0), 0))+(IFERROR(IF(18*INDEX('KZ-normalized'!$D:$D, MATCH($A229, 'KZ-normalized'!$A:$A, 0))-INDEX('KZ-normalized'!$E:$E, MATCH($A229, 'KZ-normalized'!$A:$A, 0))&gt;0, -(18*INDEX('KZ-normalized'!$D:$D, MATCH($A229, 'KZ-normalized'!$A:$A, 0))-INDEX('KZ-normalized'!$E:$E, MATCH($A229, 'KZ-normalized'!$A:$A, 0))), 0), 0))+(IFERROR(IF(18*INDEX('UZ-normalized'!$D:$D, MATCH($A229, 'UZ-normalized'!$A:$A, 0))-INDEX('UZ-normalized'!$E:$E, MATCH($A229, 'UZ-normalized'!$A:$A, 0))&gt;0, -(18*INDEX('UZ-normalized'!$D:$D, MATCH($A229, 'UZ-normalized'!$A:$A, 0))-INDEX('UZ-normalized'!$E:$E, MATCH($A229, 'UZ-normalized'!$A:$A, 0))), 0), 0)))</f>
        <v>-308.79999999999995</v>
      </c>
      <c r="AG229" s="6">
        <f>MIN(0, N229+(IFERROR(IF(19*INDEX('UA-normalized'!$D:$D, MATCH($A229, 'UA-normalized'!$A:$A, 0))-INDEX('UA-normalized'!$E:$E, MATCH($A229, 'UA-normalized'!$A:$A, 0))&gt;0, -(19*INDEX('UA-normalized'!$D:$D, MATCH($A229, 'UA-normalized'!$A:$A, 0))-INDEX('UA-normalized'!$E:$E, MATCH($A229, 'UA-normalized'!$A:$A, 0))), 0), 0))+(IFERROR(IF(19*INDEX('KZ-normalized'!$D:$D, MATCH($A229, 'KZ-normalized'!$A:$A, 0))-INDEX('KZ-normalized'!$E:$E, MATCH($A229, 'KZ-normalized'!$A:$A, 0))&gt;0, -(19*INDEX('KZ-normalized'!$D:$D, MATCH($A229, 'KZ-normalized'!$A:$A, 0))-INDEX('KZ-normalized'!$E:$E, MATCH($A229, 'KZ-normalized'!$A:$A, 0))), 0), 0))+(IFERROR(IF(19*INDEX('UZ-normalized'!$D:$D, MATCH($A229, 'UZ-normalized'!$A:$A, 0))-INDEX('UZ-normalized'!$E:$E, MATCH($A229, 'UZ-normalized'!$A:$A, 0))&gt;0, -(19*INDEX('UZ-normalized'!$D:$D, MATCH($A229, 'UZ-normalized'!$A:$A, 0))-INDEX('UZ-normalized'!$E:$E, MATCH($A229, 'UZ-normalized'!$A:$A, 0))), 0), 0)))</f>
        <v>-332.4</v>
      </c>
      <c r="AH229" s="6">
        <f>MIN(0, N229+(IFERROR(IF(20*INDEX('UA-normalized'!$D:$D, MATCH($A229, 'UA-normalized'!$A:$A, 0))-INDEX('UA-normalized'!$E:$E, MATCH($A229, 'UA-normalized'!$A:$A, 0))&gt;0, -(20*INDEX('UA-normalized'!$D:$D, MATCH($A229, 'UA-normalized'!$A:$A, 0))-INDEX('UA-normalized'!$E:$E, MATCH($A229, 'UA-normalized'!$A:$A, 0))), 0), 0))+(IFERROR(IF(20*INDEX('KZ-normalized'!$D:$D, MATCH($A229, 'KZ-normalized'!$A:$A, 0))-INDEX('KZ-normalized'!$E:$E, MATCH($A229, 'KZ-normalized'!$A:$A, 0))&gt;0, -(20*INDEX('KZ-normalized'!$D:$D, MATCH($A229, 'KZ-normalized'!$A:$A, 0))-INDEX('KZ-normalized'!$E:$E, MATCH($A229, 'KZ-normalized'!$A:$A, 0))), 0), 0))+(IFERROR(IF(20*INDEX('UZ-normalized'!$D:$D, MATCH($A229, 'UZ-normalized'!$A:$A, 0))-INDEX('UZ-normalized'!$E:$E, MATCH($A229, 'UZ-normalized'!$A:$A, 0))&gt;0, -(20*INDEX('UZ-normalized'!$D:$D, MATCH($A229, 'UZ-normalized'!$A:$A, 0))-INDEX('UZ-normalized'!$E:$E, MATCH($A229, 'UZ-normalized'!$A:$A, 0))), 0), 0)))</f>
        <v>-356</v>
      </c>
      <c r="AI229" s="6">
        <f>MIN(0, N229+(IFERROR(IF(21*INDEX('UA-normalized'!$D:$D, MATCH($A229, 'UA-normalized'!$A:$A, 0))-INDEX('UA-normalized'!$E:$E, MATCH($A229, 'UA-normalized'!$A:$A, 0))&gt;0, -(21*INDEX('UA-normalized'!$D:$D, MATCH($A229, 'UA-normalized'!$A:$A, 0))-INDEX('UA-normalized'!$E:$E, MATCH($A229, 'UA-normalized'!$A:$A, 0))), 0), 0))+(IFERROR(IF(21*INDEX('KZ-normalized'!$D:$D, MATCH($A229, 'KZ-normalized'!$A:$A, 0))-INDEX('KZ-normalized'!$E:$E, MATCH($A229, 'KZ-normalized'!$A:$A, 0))&gt;0, -(21*INDEX('KZ-normalized'!$D:$D, MATCH($A229, 'KZ-normalized'!$A:$A, 0))-INDEX('KZ-normalized'!$E:$E, MATCH($A229, 'KZ-normalized'!$A:$A, 0))), 0), 0))+(IFERROR(IF(21*INDEX('UZ-normalized'!$D:$D, MATCH($A229, 'UZ-normalized'!$A:$A, 0))-INDEX('UZ-normalized'!$E:$E, MATCH($A229, 'UZ-normalized'!$A:$A, 0))&gt;0, -(21*INDEX('UZ-normalized'!$D:$D, MATCH($A229, 'UZ-normalized'!$A:$A, 0))-INDEX('UZ-normalized'!$E:$E, MATCH($A229, 'UZ-normalized'!$A:$A, 0))), 0), 0)))</f>
        <v>-379.59999999999997</v>
      </c>
      <c r="AJ229" s="6">
        <f>MIN(0, N229+(IFERROR(IF(22*INDEX('UA-normalized'!$D:$D, MATCH($A229, 'UA-normalized'!$A:$A, 0))-INDEX('UA-normalized'!$E:$E, MATCH($A229, 'UA-normalized'!$A:$A, 0))&gt;0, -(22*INDEX('UA-normalized'!$D:$D, MATCH($A229, 'UA-normalized'!$A:$A, 0))-INDEX('UA-normalized'!$E:$E, MATCH($A229, 'UA-normalized'!$A:$A, 0))), 0), 0))+(IFERROR(IF(22*INDEX('KZ-normalized'!$D:$D, MATCH($A229, 'KZ-normalized'!$A:$A, 0))-INDEX('KZ-normalized'!$E:$E, MATCH($A229, 'KZ-normalized'!$A:$A, 0))&gt;0, -(22*INDEX('KZ-normalized'!$D:$D, MATCH($A229, 'KZ-normalized'!$A:$A, 0))-INDEX('KZ-normalized'!$E:$E, MATCH($A229, 'KZ-normalized'!$A:$A, 0))), 0), 0))+(IFERROR(IF(22*INDEX('UZ-normalized'!$D:$D, MATCH($A229, 'UZ-normalized'!$A:$A, 0))-INDEX('UZ-normalized'!$E:$E, MATCH($A229, 'UZ-normalized'!$A:$A, 0))&gt;0, -(22*INDEX('UZ-normalized'!$D:$D, MATCH($A229, 'UZ-normalized'!$A:$A, 0))-INDEX('UZ-normalized'!$E:$E, MATCH($A229, 'UZ-normalized'!$A:$A, 0))), 0), 0)))</f>
        <v>-403.2</v>
      </c>
      <c r="AK229" s="6">
        <f>MIN(0, N229+(IFERROR(IF(23*INDEX('UA-normalized'!$D:$D, MATCH($A229, 'UA-normalized'!$A:$A, 0))-INDEX('UA-normalized'!$E:$E, MATCH($A229, 'UA-normalized'!$A:$A, 0))&gt;0, -(23*INDEX('UA-normalized'!$D:$D, MATCH($A229, 'UA-normalized'!$A:$A, 0))-INDEX('UA-normalized'!$E:$E, MATCH($A229, 'UA-normalized'!$A:$A, 0))), 0), 0))+(IFERROR(IF(23*INDEX('KZ-normalized'!$D:$D, MATCH($A229, 'KZ-normalized'!$A:$A, 0))-INDEX('KZ-normalized'!$E:$E, MATCH($A229, 'KZ-normalized'!$A:$A, 0))&gt;0, -(23*INDEX('KZ-normalized'!$D:$D, MATCH($A229, 'KZ-normalized'!$A:$A, 0))-INDEX('KZ-normalized'!$E:$E, MATCH($A229, 'KZ-normalized'!$A:$A, 0))), 0), 0))+(IFERROR(IF(23*INDEX('UZ-normalized'!$D:$D, MATCH($A229, 'UZ-normalized'!$A:$A, 0))-INDEX('UZ-normalized'!$E:$E, MATCH($A229, 'UZ-normalized'!$A:$A, 0))&gt;0, -(23*INDEX('UZ-normalized'!$D:$D, MATCH($A229, 'UZ-normalized'!$A:$A, 0))-INDEX('UZ-normalized'!$E:$E, MATCH($A229, 'UZ-normalized'!$A:$A, 0))), 0), 0)))</f>
        <v>-426.8</v>
      </c>
      <c r="AL229" s="6">
        <f>MIN(0, N229+(IFERROR(IF(24*INDEX('UA-normalized'!$D:$D, MATCH($A229, 'UA-normalized'!$A:$A, 0))-INDEX('UA-normalized'!$E:$E, MATCH($A229, 'UA-normalized'!$A:$A, 0))&gt;0, -(24*INDEX('UA-normalized'!$D:$D, MATCH($A229, 'UA-normalized'!$A:$A, 0))-INDEX('UA-normalized'!$E:$E, MATCH($A229, 'UA-normalized'!$A:$A, 0))), 0), 0))+(IFERROR(IF(24*INDEX('KZ-normalized'!$D:$D, MATCH($A229, 'KZ-normalized'!$A:$A, 0))-INDEX('KZ-normalized'!$E:$E, MATCH($A229, 'KZ-normalized'!$A:$A, 0))&gt;0, -(24*INDEX('KZ-normalized'!$D:$D, MATCH($A229, 'KZ-normalized'!$A:$A, 0))-INDEX('KZ-normalized'!$E:$E, MATCH($A229, 'KZ-normalized'!$A:$A, 0))), 0), 0))+(IFERROR(IF(24*INDEX('UZ-normalized'!$D:$D, MATCH($A229, 'UZ-normalized'!$A:$A, 0))-INDEX('UZ-normalized'!$E:$E, MATCH($A229, 'UZ-normalized'!$A:$A, 0))&gt;0, -(24*INDEX('UZ-normalized'!$D:$D, MATCH($A229, 'UZ-normalized'!$A:$A, 0))-INDEX('UZ-normalized'!$E:$E, MATCH($A229, 'UZ-normalized'!$A:$A, 0))), 0), 0)))</f>
        <v>-450.4</v>
      </c>
      <c r="AM229" s="6">
        <f>MIN(0, N229+(IFERROR(IF(25*INDEX('UA-normalized'!$D:$D, MATCH($A229, 'UA-normalized'!$A:$A, 0))-INDEX('UA-normalized'!$E:$E, MATCH($A229, 'UA-normalized'!$A:$A, 0))&gt;0, -(25*INDEX('UA-normalized'!$D:$D, MATCH($A229, 'UA-normalized'!$A:$A, 0))-INDEX('UA-normalized'!$E:$E, MATCH($A229, 'UA-normalized'!$A:$A, 0))), 0), 0))+(IFERROR(IF(25*INDEX('KZ-normalized'!$D:$D, MATCH($A229, 'KZ-normalized'!$A:$A, 0))-INDEX('KZ-normalized'!$E:$E, MATCH($A229, 'KZ-normalized'!$A:$A, 0))&gt;0, -(25*INDEX('KZ-normalized'!$D:$D, MATCH($A229, 'KZ-normalized'!$A:$A, 0))-INDEX('KZ-normalized'!$E:$E, MATCH($A229, 'KZ-normalized'!$A:$A, 0))), 0), 0))+(IFERROR(IF(25*INDEX('UZ-normalized'!$D:$D, MATCH($A229, 'UZ-normalized'!$A:$A, 0))-INDEX('UZ-normalized'!$E:$E, MATCH($A229, 'UZ-normalized'!$A:$A, 0))&gt;0, -(25*INDEX('UZ-normalized'!$D:$D, MATCH($A229, 'UZ-normalized'!$A:$A, 0))-INDEX('UZ-normalized'!$E:$E, MATCH($A229, 'UZ-normalized'!$A:$A, 0))), 0), 0)))</f>
        <v>-474</v>
      </c>
      <c r="AN229" s="6">
        <f>MIN(0, N229+(IFERROR(IF(26*INDEX('UA-normalized'!$D:$D, MATCH($A229, 'UA-normalized'!$A:$A, 0))-INDEX('UA-normalized'!$E:$E, MATCH($A229, 'UA-normalized'!$A:$A, 0))&gt;0, -(26*INDEX('UA-normalized'!$D:$D, MATCH($A229, 'UA-normalized'!$A:$A, 0))-INDEX('UA-normalized'!$E:$E, MATCH($A229, 'UA-normalized'!$A:$A, 0))), 0), 0))+(IFERROR(IF(26*INDEX('KZ-normalized'!$D:$D, MATCH($A229, 'KZ-normalized'!$A:$A, 0))-INDEX('KZ-normalized'!$E:$E, MATCH($A229, 'KZ-normalized'!$A:$A, 0))&gt;0, -(26*INDEX('KZ-normalized'!$D:$D, MATCH($A229, 'KZ-normalized'!$A:$A, 0))-INDEX('KZ-normalized'!$E:$E, MATCH($A229, 'KZ-normalized'!$A:$A, 0))), 0), 0))+(IFERROR(IF(26*INDEX('UZ-normalized'!$D:$D, MATCH($A229, 'UZ-normalized'!$A:$A, 0))-INDEX('UZ-normalized'!$E:$E, MATCH($A229, 'UZ-normalized'!$A:$A, 0))&gt;0, -(26*INDEX('UZ-normalized'!$D:$D, MATCH($A229, 'UZ-normalized'!$A:$A, 0))-INDEX('UZ-normalized'!$E:$E, MATCH($A229, 'UZ-normalized'!$A:$A, 0))), 0), 0)))</f>
        <v>-497.59999999999997</v>
      </c>
      <c r="AO229" s="6">
        <f>MIN(0, N229+(IFERROR(IF(27*INDEX('UA-normalized'!$D:$D, MATCH($A229, 'UA-normalized'!$A:$A, 0))-INDEX('UA-normalized'!$E:$E, MATCH($A229, 'UA-normalized'!$A:$A, 0))&gt;0, -(27*INDEX('UA-normalized'!$D:$D, MATCH($A229, 'UA-normalized'!$A:$A, 0))-INDEX('UA-normalized'!$E:$E, MATCH($A229, 'UA-normalized'!$A:$A, 0))), 0), 0))+(IFERROR(IF(27*INDEX('KZ-normalized'!$D:$D, MATCH($A229, 'KZ-normalized'!$A:$A, 0))-INDEX('KZ-normalized'!$E:$E, MATCH($A229, 'KZ-normalized'!$A:$A, 0))&gt;0, -(27*INDEX('KZ-normalized'!$D:$D, MATCH($A229, 'KZ-normalized'!$A:$A, 0))-INDEX('KZ-normalized'!$E:$E, MATCH($A229, 'KZ-normalized'!$A:$A, 0))), 0), 0))+(IFERROR(IF(27*INDEX('UZ-normalized'!$D:$D, MATCH($A229, 'UZ-normalized'!$A:$A, 0))-INDEX('UZ-normalized'!$E:$E, MATCH($A229, 'UZ-normalized'!$A:$A, 0))&gt;0, -(27*INDEX('UZ-normalized'!$D:$D, MATCH($A229, 'UZ-normalized'!$A:$A, 0))-INDEX('UZ-normalized'!$E:$E, MATCH($A229, 'UZ-normalized'!$A:$A, 0))), 0), 0)))</f>
        <v>-521.20000000000005</v>
      </c>
      <c r="AP229" s="6">
        <f>MIN(0, N229+(IFERROR(IF(28*INDEX('UA-normalized'!$D:$D, MATCH($A229, 'UA-normalized'!$A:$A, 0))-INDEX('UA-normalized'!$E:$E, MATCH($A229, 'UA-normalized'!$A:$A, 0))&gt;0, -(28*INDEX('UA-normalized'!$D:$D, MATCH($A229, 'UA-normalized'!$A:$A, 0))-INDEX('UA-normalized'!$E:$E, MATCH($A229, 'UA-normalized'!$A:$A, 0))), 0), 0))+(IFERROR(IF(28*INDEX('KZ-normalized'!$D:$D, MATCH($A229, 'KZ-normalized'!$A:$A, 0))-INDEX('KZ-normalized'!$E:$E, MATCH($A229, 'KZ-normalized'!$A:$A, 0))&gt;0, -(28*INDEX('KZ-normalized'!$D:$D, MATCH($A229, 'KZ-normalized'!$A:$A, 0))-INDEX('KZ-normalized'!$E:$E, MATCH($A229, 'KZ-normalized'!$A:$A, 0))), 0), 0))+(IFERROR(IF(28*INDEX('UZ-normalized'!$D:$D, MATCH($A229, 'UZ-normalized'!$A:$A, 0))-INDEX('UZ-normalized'!$E:$E, MATCH($A229, 'UZ-normalized'!$A:$A, 0))&gt;0, -(28*INDEX('UZ-normalized'!$D:$D, MATCH($A229, 'UZ-normalized'!$A:$A, 0))-INDEX('UZ-normalized'!$E:$E, MATCH($A229, 'UZ-normalized'!$A:$A, 0))), 0), 0)))</f>
        <v>-544.79999999999995</v>
      </c>
      <c r="AQ229" s="6">
        <f>MIN(0, N229+(IFERROR(IF(29*INDEX('UA-normalized'!$D:$D, MATCH($A229, 'UA-normalized'!$A:$A, 0))-INDEX('UA-normalized'!$E:$E, MATCH($A229, 'UA-normalized'!$A:$A, 0))&gt;0, -(29*INDEX('UA-normalized'!$D:$D, MATCH($A229, 'UA-normalized'!$A:$A, 0))-INDEX('UA-normalized'!$E:$E, MATCH($A229, 'UA-normalized'!$A:$A, 0))), 0), 0))+(IFERROR(IF(29*INDEX('KZ-normalized'!$D:$D, MATCH($A229, 'KZ-normalized'!$A:$A, 0))-INDEX('KZ-normalized'!$E:$E, MATCH($A229, 'KZ-normalized'!$A:$A, 0))&gt;0, -(29*INDEX('KZ-normalized'!$D:$D, MATCH($A229, 'KZ-normalized'!$A:$A, 0))-INDEX('KZ-normalized'!$E:$E, MATCH($A229, 'KZ-normalized'!$A:$A, 0))), 0), 0))+(IFERROR(IF(29*INDEX('UZ-normalized'!$D:$D, MATCH($A229, 'UZ-normalized'!$A:$A, 0))-INDEX('UZ-normalized'!$E:$E, MATCH($A229, 'UZ-normalized'!$A:$A, 0))&gt;0, -(29*INDEX('UZ-normalized'!$D:$D, MATCH($A229, 'UZ-normalized'!$A:$A, 0))-INDEX('UZ-normalized'!$E:$E, MATCH($A229, 'UZ-normalized'!$A:$A, 0))), 0), 0)))</f>
        <v>-568.4</v>
      </c>
      <c r="AR229" s="6">
        <f>MIN(0, N229+(IFERROR(IF(30*INDEX('UA-normalized'!$D:$D, MATCH($A229, 'UA-normalized'!$A:$A, 0))-INDEX('UA-normalized'!$E:$E, MATCH($A229, 'UA-normalized'!$A:$A, 0))&gt;0, -(30*INDEX('UA-normalized'!$D:$D, MATCH($A229, 'UA-normalized'!$A:$A, 0))-INDEX('UA-normalized'!$E:$E, MATCH($A229, 'UA-normalized'!$A:$A, 0))), 0), 0))+(IFERROR(IF(30*INDEX('KZ-normalized'!$D:$D, MATCH($A229, 'KZ-normalized'!$A:$A, 0))-INDEX('KZ-normalized'!$E:$E, MATCH($A229, 'KZ-normalized'!$A:$A, 0))&gt;0, -(30*INDEX('KZ-normalized'!$D:$D, MATCH($A229, 'KZ-normalized'!$A:$A, 0))-INDEX('KZ-normalized'!$E:$E, MATCH($A229, 'KZ-normalized'!$A:$A, 0))), 0), 0))+(IFERROR(IF(30*INDEX('UZ-normalized'!$D:$D, MATCH($A229, 'UZ-normalized'!$A:$A, 0))-INDEX('UZ-normalized'!$E:$E, MATCH($A229, 'UZ-normalized'!$A:$A, 0))&gt;0, -(30*INDEX('UZ-normalized'!$D:$D, MATCH($A229, 'UZ-normalized'!$A:$A, 0))-INDEX('UZ-normalized'!$E:$E, MATCH($A229, 'UZ-normalized'!$A:$A, 0))), 0), 0)))</f>
        <v>-592</v>
      </c>
    </row>
    <row r="230" spans="1:44" x14ac:dyDescent="0.25">
      <c r="A230" s="8" t="s">
        <v>544</v>
      </c>
      <c r="B230" s="8" t="s">
        <v>492</v>
      </c>
      <c r="C230" s="8" t="s">
        <v>542</v>
      </c>
      <c r="D230" s="8" t="s">
        <v>545</v>
      </c>
      <c r="G230">
        <v>-20</v>
      </c>
      <c r="N230">
        <f t="shared" si="3"/>
        <v>-20</v>
      </c>
      <c r="O230" s="6">
        <f>MIN(0, N230+(IFERROR(IF(1*INDEX('UA-normalized'!$D:$D, MATCH($A230, 'UA-normalized'!$A:$A, 0))-INDEX('UA-normalized'!$E:$E, MATCH($A230, 'UA-normalized'!$A:$A, 0))&gt;0, -(1*INDEX('UA-normalized'!$D:$D, MATCH($A230, 'UA-normalized'!$A:$A, 0))-INDEX('UA-normalized'!$E:$E, MATCH($A230, 'UA-normalized'!$A:$A, 0))), 0), 0))+(IFERROR(IF(1*INDEX('KZ-normalized'!$D:$D, MATCH($A230, 'KZ-normalized'!$A:$A, 0))-INDEX('KZ-normalized'!$E:$E, MATCH($A230, 'KZ-normalized'!$A:$A, 0))&gt;0, -(1*INDEX('KZ-normalized'!$D:$D, MATCH($A230, 'KZ-normalized'!$A:$A, 0))-INDEX('KZ-normalized'!$E:$E, MATCH($A230, 'KZ-normalized'!$A:$A, 0))), 0), 0))+(IFERROR(IF(1*INDEX('UZ-normalized'!$D:$D, MATCH($A230, 'UZ-normalized'!$A:$A, 0))-INDEX('UZ-normalized'!$E:$E, MATCH($A230, 'UZ-normalized'!$A:$A, 0))&gt;0, -(1*INDEX('UZ-normalized'!$D:$D, MATCH($A230, 'UZ-normalized'!$A:$A, 0))-INDEX('UZ-normalized'!$E:$E, MATCH($A230, 'UZ-normalized'!$A:$A, 0))), 0), 0)))</f>
        <v>-20</v>
      </c>
      <c r="P230" s="6">
        <f>MIN(0, N230+(IFERROR(IF(2*INDEX('UA-normalized'!$D:$D, MATCH($A230, 'UA-normalized'!$A:$A, 0))-INDEX('UA-normalized'!$E:$E, MATCH($A230, 'UA-normalized'!$A:$A, 0))&gt;0, -(2*INDEX('UA-normalized'!$D:$D, MATCH($A230, 'UA-normalized'!$A:$A, 0))-INDEX('UA-normalized'!$E:$E, MATCH($A230, 'UA-normalized'!$A:$A, 0))), 0), 0))+(IFERROR(IF(2*INDEX('KZ-normalized'!$D:$D, MATCH($A230, 'KZ-normalized'!$A:$A, 0))-INDEX('KZ-normalized'!$E:$E, MATCH($A230, 'KZ-normalized'!$A:$A, 0))&gt;0, -(2*INDEX('KZ-normalized'!$D:$D, MATCH($A230, 'KZ-normalized'!$A:$A, 0))-INDEX('KZ-normalized'!$E:$E, MATCH($A230, 'KZ-normalized'!$A:$A, 0))), 0), 0))+(IFERROR(IF(2*INDEX('UZ-normalized'!$D:$D, MATCH($A230, 'UZ-normalized'!$A:$A, 0))-INDEX('UZ-normalized'!$E:$E, MATCH($A230, 'UZ-normalized'!$A:$A, 0))&gt;0, -(2*INDEX('UZ-normalized'!$D:$D, MATCH($A230, 'UZ-normalized'!$A:$A, 0))-INDEX('UZ-normalized'!$E:$E, MATCH($A230, 'UZ-normalized'!$A:$A, 0))), 0), 0)))</f>
        <v>-20</v>
      </c>
      <c r="Q230" s="6">
        <f>MIN(0, N230+(IFERROR(IF(3*INDEX('UA-normalized'!$D:$D, MATCH($A230, 'UA-normalized'!$A:$A, 0))-INDEX('UA-normalized'!$E:$E, MATCH($A230, 'UA-normalized'!$A:$A, 0))&gt;0, -(3*INDEX('UA-normalized'!$D:$D, MATCH($A230, 'UA-normalized'!$A:$A, 0))-INDEX('UA-normalized'!$E:$E, MATCH($A230, 'UA-normalized'!$A:$A, 0))), 0), 0))+(IFERROR(IF(3*INDEX('KZ-normalized'!$D:$D, MATCH($A230, 'KZ-normalized'!$A:$A, 0))-INDEX('KZ-normalized'!$E:$E, MATCH($A230, 'KZ-normalized'!$A:$A, 0))&gt;0, -(3*INDEX('KZ-normalized'!$D:$D, MATCH($A230, 'KZ-normalized'!$A:$A, 0))-INDEX('KZ-normalized'!$E:$E, MATCH($A230, 'KZ-normalized'!$A:$A, 0))), 0), 0))+(IFERROR(IF(3*INDEX('UZ-normalized'!$D:$D, MATCH($A230, 'UZ-normalized'!$A:$A, 0))-INDEX('UZ-normalized'!$E:$E, MATCH($A230, 'UZ-normalized'!$A:$A, 0))&gt;0, -(3*INDEX('UZ-normalized'!$D:$D, MATCH($A230, 'UZ-normalized'!$A:$A, 0))-INDEX('UZ-normalized'!$E:$E, MATCH($A230, 'UZ-normalized'!$A:$A, 0))), 0), 0)))</f>
        <v>-20</v>
      </c>
      <c r="R230" s="6">
        <f>MIN(0, N230+(IFERROR(IF(4*INDEX('UA-normalized'!$D:$D, MATCH($A230, 'UA-normalized'!$A:$A, 0))-INDEX('UA-normalized'!$E:$E, MATCH($A230, 'UA-normalized'!$A:$A, 0))&gt;0, -(4*INDEX('UA-normalized'!$D:$D, MATCH($A230, 'UA-normalized'!$A:$A, 0))-INDEX('UA-normalized'!$E:$E, MATCH($A230, 'UA-normalized'!$A:$A, 0))), 0), 0))+(IFERROR(IF(4*INDEX('KZ-normalized'!$D:$D, MATCH($A230, 'KZ-normalized'!$A:$A, 0))-INDEX('KZ-normalized'!$E:$E, MATCH($A230, 'KZ-normalized'!$A:$A, 0))&gt;0, -(4*INDEX('KZ-normalized'!$D:$D, MATCH($A230, 'KZ-normalized'!$A:$A, 0))-INDEX('KZ-normalized'!$E:$E, MATCH($A230, 'KZ-normalized'!$A:$A, 0))), 0), 0))+(IFERROR(IF(4*INDEX('UZ-normalized'!$D:$D, MATCH($A230, 'UZ-normalized'!$A:$A, 0))-INDEX('UZ-normalized'!$E:$E, MATCH($A230, 'UZ-normalized'!$A:$A, 0))&gt;0, -(4*INDEX('UZ-normalized'!$D:$D, MATCH($A230, 'UZ-normalized'!$A:$A, 0))-INDEX('UZ-normalized'!$E:$E, MATCH($A230, 'UZ-normalized'!$A:$A, 0))), 0), 0)))</f>
        <v>-20</v>
      </c>
      <c r="S230" s="6">
        <f>MIN(0, N230+(IFERROR(IF(5*INDEX('UA-normalized'!$D:$D, MATCH($A230, 'UA-normalized'!$A:$A, 0))-INDEX('UA-normalized'!$E:$E, MATCH($A230, 'UA-normalized'!$A:$A, 0))&gt;0, -(5*INDEX('UA-normalized'!$D:$D, MATCH($A230, 'UA-normalized'!$A:$A, 0))-INDEX('UA-normalized'!$E:$E, MATCH($A230, 'UA-normalized'!$A:$A, 0))), 0), 0))+(IFERROR(IF(5*INDEX('KZ-normalized'!$D:$D, MATCH($A230, 'KZ-normalized'!$A:$A, 0))-INDEX('KZ-normalized'!$E:$E, MATCH($A230, 'KZ-normalized'!$A:$A, 0))&gt;0, -(5*INDEX('KZ-normalized'!$D:$D, MATCH($A230, 'KZ-normalized'!$A:$A, 0))-INDEX('KZ-normalized'!$E:$E, MATCH($A230, 'KZ-normalized'!$A:$A, 0))), 0), 0))+(IFERROR(IF(5*INDEX('UZ-normalized'!$D:$D, MATCH($A230, 'UZ-normalized'!$A:$A, 0))-INDEX('UZ-normalized'!$E:$E, MATCH($A230, 'UZ-normalized'!$A:$A, 0))&gt;0, -(5*INDEX('UZ-normalized'!$D:$D, MATCH($A230, 'UZ-normalized'!$A:$A, 0))-INDEX('UZ-normalized'!$E:$E, MATCH($A230, 'UZ-normalized'!$A:$A, 0))), 0), 0)))</f>
        <v>-20</v>
      </c>
      <c r="T230" s="6">
        <f>MIN(0, N230+(IFERROR(IF(6*INDEX('UA-normalized'!$D:$D, MATCH($A230, 'UA-normalized'!$A:$A, 0))-INDEX('UA-normalized'!$E:$E, MATCH($A230, 'UA-normalized'!$A:$A, 0))&gt;0, -(6*INDEX('UA-normalized'!$D:$D, MATCH($A230, 'UA-normalized'!$A:$A, 0))-INDEX('UA-normalized'!$E:$E, MATCH($A230, 'UA-normalized'!$A:$A, 0))), 0), 0))+(IFERROR(IF(6*INDEX('KZ-normalized'!$D:$D, MATCH($A230, 'KZ-normalized'!$A:$A, 0))-INDEX('KZ-normalized'!$E:$E, MATCH($A230, 'KZ-normalized'!$A:$A, 0))&gt;0, -(6*INDEX('KZ-normalized'!$D:$D, MATCH($A230, 'KZ-normalized'!$A:$A, 0))-INDEX('KZ-normalized'!$E:$E, MATCH($A230, 'KZ-normalized'!$A:$A, 0))), 0), 0))+(IFERROR(IF(6*INDEX('UZ-normalized'!$D:$D, MATCH($A230, 'UZ-normalized'!$A:$A, 0))-INDEX('UZ-normalized'!$E:$E, MATCH($A230, 'UZ-normalized'!$A:$A, 0))&gt;0, -(6*INDEX('UZ-normalized'!$D:$D, MATCH($A230, 'UZ-normalized'!$A:$A, 0))-INDEX('UZ-normalized'!$E:$E, MATCH($A230, 'UZ-normalized'!$A:$A, 0))), 0), 0)))</f>
        <v>-26</v>
      </c>
      <c r="U230" s="6">
        <f>MIN(0, N230+(IFERROR(IF(7*INDEX('UA-normalized'!$D:$D, MATCH($A230, 'UA-normalized'!$A:$A, 0))-INDEX('UA-normalized'!$E:$E, MATCH($A230, 'UA-normalized'!$A:$A, 0))&gt;0, -(7*INDEX('UA-normalized'!$D:$D, MATCH($A230, 'UA-normalized'!$A:$A, 0))-INDEX('UA-normalized'!$E:$E, MATCH($A230, 'UA-normalized'!$A:$A, 0))), 0), 0))+(IFERROR(IF(7*INDEX('KZ-normalized'!$D:$D, MATCH($A230, 'KZ-normalized'!$A:$A, 0))-INDEX('KZ-normalized'!$E:$E, MATCH($A230, 'KZ-normalized'!$A:$A, 0))&gt;0, -(7*INDEX('KZ-normalized'!$D:$D, MATCH($A230, 'KZ-normalized'!$A:$A, 0))-INDEX('KZ-normalized'!$E:$E, MATCH($A230, 'KZ-normalized'!$A:$A, 0))), 0), 0))+(IFERROR(IF(7*INDEX('UZ-normalized'!$D:$D, MATCH($A230, 'UZ-normalized'!$A:$A, 0))-INDEX('UZ-normalized'!$E:$E, MATCH($A230, 'UZ-normalized'!$A:$A, 0))&gt;0, -(7*INDEX('UZ-normalized'!$D:$D, MATCH($A230, 'UZ-normalized'!$A:$A, 0))-INDEX('UZ-normalized'!$E:$E, MATCH($A230, 'UZ-normalized'!$A:$A, 0))), 0), 0)))</f>
        <v>-62</v>
      </c>
      <c r="V230" s="6">
        <f>MIN(0, N230+(IFERROR(IF(8*INDEX('UA-normalized'!$D:$D, MATCH($A230, 'UA-normalized'!$A:$A, 0))-INDEX('UA-normalized'!$E:$E, MATCH($A230, 'UA-normalized'!$A:$A, 0))&gt;0, -(8*INDEX('UA-normalized'!$D:$D, MATCH($A230, 'UA-normalized'!$A:$A, 0))-INDEX('UA-normalized'!$E:$E, MATCH($A230, 'UA-normalized'!$A:$A, 0))), 0), 0))+(IFERROR(IF(8*INDEX('KZ-normalized'!$D:$D, MATCH($A230, 'KZ-normalized'!$A:$A, 0))-INDEX('KZ-normalized'!$E:$E, MATCH($A230, 'KZ-normalized'!$A:$A, 0))&gt;0, -(8*INDEX('KZ-normalized'!$D:$D, MATCH($A230, 'KZ-normalized'!$A:$A, 0))-INDEX('KZ-normalized'!$E:$E, MATCH($A230, 'KZ-normalized'!$A:$A, 0))), 0), 0))+(IFERROR(IF(8*INDEX('UZ-normalized'!$D:$D, MATCH($A230, 'UZ-normalized'!$A:$A, 0))-INDEX('UZ-normalized'!$E:$E, MATCH($A230, 'UZ-normalized'!$A:$A, 0))&gt;0, -(8*INDEX('UZ-normalized'!$D:$D, MATCH($A230, 'UZ-normalized'!$A:$A, 0))-INDEX('UZ-normalized'!$E:$E, MATCH($A230, 'UZ-normalized'!$A:$A, 0))), 0), 0)))</f>
        <v>-105</v>
      </c>
      <c r="W230" s="6">
        <f>MIN(0, N230+(IFERROR(IF(9*INDEX('UA-normalized'!$D:$D, MATCH($A230, 'UA-normalized'!$A:$A, 0))-INDEX('UA-normalized'!$E:$E, MATCH($A230, 'UA-normalized'!$A:$A, 0))&gt;0, -(9*INDEX('UA-normalized'!$D:$D, MATCH($A230, 'UA-normalized'!$A:$A, 0))-INDEX('UA-normalized'!$E:$E, MATCH($A230, 'UA-normalized'!$A:$A, 0))), 0), 0))+(IFERROR(IF(9*INDEX('KZ-normalized'!$D:$D, MATCH($A230, 'KZ-normalized'!$A:$A, 0))-INDEX('KZ-normalized'!$E:$E, MATCH($A230, 'KZ-normalized'!$A:$A, 0))&gt;0, -(9*INDEX('KZ-normalized'!$D:$D, MATCH($A230, 'KZ-normalized'!$A:$A, 0))-INDEX('KZ-normalized'!$E:$E, MATCH($A230, 'KZ-normalized'!$A:$A, 0))), 0), 0))+(IFERROR(IF(9*INDEX('UZ-normalized'!$D:$D, MATCH($A230, 'UZ-normalized'!$A:$A, 0))-INDEX('UZ-normalized'!$E:$E, MATCH($A230, 'UZ-normalized'!$A:$A, 0))&gt;0, -(9*INDEX('UZ-normalized'!$D:$D, MATCH($A230, 'UZ-normalized'!$A:$A, 0))-INDEX('UZ-normalized'!$E:$E, MATCH($A230, 'UZ-normalized'!$A:$A, 0))), 0), 0)))</f>
        <v>-148</v>
      </c>
      <c r="X230" s="6">
        <f>MIN(0, N230+(IFERROR(IF(10*INDEX('UA-normalized'!$D:$D, MATCH($A230, 'UA-normalized'!$A:$A, 0))-INDEX('UA-normalized'!$E:$E, MATCH($A230, 'UA-normalized'!$A:$A, 0))&gt;0, -(10*INDEX('UA-normalized'!$D:$D, MATCH($A230, 'UA-normalized'!$A:$A, 0))-INDEX('UA-normalized'!$E:$E, MATCH($A230, 'UA-normalized'!$A:$A, 0))), 0), 0))+(IFERROR(IF(10*INDEX('KZ-normalized'!$D:$D, MATCH($A230, 'KZ-normalized'!$A:$A, 0))-INDEX('KZ-normalized'!$E:$E, MATCH($A230, 'KZ-normalized'!$A:$A, 0))&gt;0, -(10*INDEX('KZ-normalized'!$D:$D, MATCH($A230, 'KZ-normalized'!$A:$A, 0))-INDEX('KZ-normalized'!$E:$E, MATCH($A230, 'KZ-normalized'!$A:$A, 0))), 0), 0))+(IFERROR(IF(10*INDEX('UZ-normalized'!$D:$D, MATCH($A230, 'UZ-normalized'!$A:$A, 0))-INDEX('UZ-normalized'!$E:$E, MATCH($A230, 'UZ-normalized'!$A:$A, 0))&gt;0, -(10*INDEX('UZ-normalized'!$D:$D, MATCH($A230, 'UZ-normalized'!$A:$A, 0))-INDEX('UZ-normalized'!$E:$E, MATCH($A230, 'UZ-normalized'!$A:$A, 0))), 0), 0)))</f>
        <v>-191</v>
      </c>
      <c r="Y230" s="6">
        <f>MIN(0, N230+(IFERROR(IF(11*INDEX('UA-normalized'!$D:$D, MATCH($A230, 'UA-normalized'!$A:$A, 0))-INDEX('UA-normalized'!$E:$E, MATCH($A230, 'UA-normalized'!$A:$A, 0))&gt;0, -(11*INDEX('UA-normalized'!$D:$D, MATCH($A230, 'UA-normalized'!$A:$A, 0))-INDEX('UA-normalized'!$E:$E, MATCH($A230, 'UA-normalized'!$A:$A, 0))), 0), 0))+(IFERROR(IF(11*INDEX('KZ-normalized'!$D:$D, MATCH($A230, 'KZ-normalized'!$A:$A, 0))-INDEX('KZ-normalized'!$E:$E, MATCH($A230, 'KZ-normalized'!$A:$A, 0))&gt;0, -(11*INDEX('KZ-normalized'!$D:$D, MATCH($A230, 'KZ-normalized'!$A:$A, 0))-INDEX('KZ-normalized'!$E:$E, MATCH($A230, 'KZ-normalized'!$A:$A, 0))), 0), 0))+(IFERROR(IF(11*INDEX('UZ-normalized'!$D:$D, MATCH($A230, 'UZ-normalized'!$A:$A, 0))-INDEX('UZ-normalized'!$E:$E, MATCH($A230, 'UZ-normalized'!$A:$A, 0))&gt;0, -(11*INDEX('UZ-normalized'!$D:$D, MATCH($A230, 'UZ-normalized'!$A:$A, 0))-INDEX('UZ-normalized'!$E:$E, MATCH($A230, 'UZ-normalized'!$A:$A, 0))), 0), 0)))</f>
        <v>-234</v>
      </c>
      <c r="Z230" s="6">
        <f>MIN(0, N230+(IFERROR(IF(12*INDEX('UA-normalized'!$D:$D, MATCH($A230, 'UA-normalized'!$A:$A, 0))-INDEX('UA-normalized'!$E:$E, MATCH($A230, 'UA-normalized'!$A:$A, 0))&gt;0, -(12*INDEX('UA-normalized'!$D:$D, MATCH($A230, 'UA-normalized'!$A:$A, 0))-INDEX('UA-normalized'!$E:$E, MATCH($A230, 'UA-normalized'!$A:$A, 0))), 0), 0))+(IFERROR(IF(12*INDEX('KZ-normalized'!$D:$D, MATCH($A230, 'KZ-normalized'!$A:$A, 0))-INDEX('KZ-normalized'!$E:$E, MATCH($A230, 'KZ-normalized'!$A:$A, 0))&gt;0, -(12*INDEX('KZ-normalized'!$D:$D, MATCH($A230, 'KZ-normalized'!$A:$A, 0))-INDEX('KZ-normalized'!$E:$E, MATCH($A230, 'KZ-normalized'!$A:$A, 0))), 0), 0))+(IFERROR(IF(12*INDEX('UZ-normalized'!$D:$D, MATCH($A230, 'UZ-normalized'!$A:$A, 0))-INDEX('UZ-normalized'!$E:$E, MATCH($A230, 'UZ-normalized'!$A:$A, 0))&gt;0, -(12*INDEX('UZ-normalized'!$D:$D, MATCH($A230, 'UZ-normalized'!$A:$A, 0))-INDEX('UZ-normalized'!$E:$E, MATCH($A230, 'UZ-normalized'!$A:$A, 0))), 0), 0)))</f>
        <v>-277</v>
      </c>
      <c r="AA230" s="6">
        <f>MIN(0, N230+(IFERROR(IF(13*INDEX('UA-normalized'!$D:$D, MATCH($A230, 'UA-normalized'!$A:$A, 0))-INDEX('UA-normalized'!$E:$E, MATCH($A230, 'UA-normalized'!$A:$A, 0))&gt;0, -(13*INDEX('UA-normalized'!$D:$D, MATCH($A230, 'UA-normalized'!$A:$A, 0))-INDEX('UA-normalized'!$E:$E, MATCH($A230, 'UA-normalized'!$A:$A, 0))), 0), 0))+(IFERROR(IF(13*INDEX('KZ-normalized'!$D:$D, MATCH($A230, 'KZ-normalized'!$A:$A, 0))-INDEX('KZ-normalized'!$E:$E, MATCH($A230, 'KZ-normalized'!$A:$A, 0))&gt;0, -(13*INDEX('KZ-normalized'!$D:$D, MATCH($A230, 'KZ-normalized'!$A:$A, 0))-INDEX('KZ-normalized'!$E:$E, MATCH($A230, 'KZ-normalized'!$A:$A, 0))), 0), 0))+(IFERROR(IF(13*INDEX('UZ-normalized'!$D:$D, MATCH($A230, 'UZ-normalized'!$A:$A, 0))-INDEX('UZ-normalized'!$E:$E, MATCH($A230, 'UZ-normalized'!$A:$A, 0))&gt;0, -(13*INDEX('UZ-normalized'!$D:$D, MATCH($A230, 'UZ-normalized'!$A:$A, 0))-INDEX('UZ-normalized'!$E:$E, MATCH($A230, 'UZ-normalized'!$A:$A, 0))), 0), 0)))</f>
        <v>-320</v>
      </c>
      <c r="AB230" s="6">
        <f>MIN(0, N230+(IFERROR(IF(14*INDEX('UA-normalized'!$D:$D, MATCH($A230, 'UA-normalized'!$A:$A, 0))-INDEX('UA-normalized'!$E:$E, MATCH($A230, 'UA-normalized'!$A:$A, 0))&gt;0, -(14*INDEX('UA-normalized'!$D:$D, MATCH($A230, 'UA-normalized'!$A:$A, 0))-INDEX('UA-normalized'!$E:$E, MATCH($A230, 'UA-normalized'!$A:$A, 0))), 0), 0))+(IFERROR(IF(14*INDEX('KZ-normalized'!$D:$D, MATCH($A230, 'KZ-normalized'!$A:$A, 0))-INDEX('KZ-normalized'!$E:$E, MATCH($A230, 'KZ-normalized'!$A:$A, 0))&gt;0, -(14*INDEX('KZ-normalized'!$D:$D, MATCH($A230, 'KZ-normalized'!$A:$A, 0))-INDEX('KZ-normalized'!$E:$E, MATCH($A230, 'KZ-normalized'!$A:$A, 0))), 0), 0))+(IFERROR(IF(14*INDEX('UZ-normalized'!$D:$D, MATCH($A230, 'UZ-normalized'!$A:$A, 0))-INDEX('UZ-normalized'!$E:$E, MATCH($A230, 'UZ-normalized'!$A:$A, 0))&gt;0, -(14*INDEX('UZ-normalized'!$D:$D, MATCH($A230, 'UZ-normalized'!$A:$A, 0))-INDEX('UZ-normalized'!$E:$E, MATCH($A230, 'UZ-normalized'!$A:$A, 0))), 0), 0)))</f>
        <v>-363</v>
      </c>
      <c r="AC230" s="6">
        <f>MIN(0, N230+(IFERROR(IF(15*INDEX('UA-normalized'!$D:$D, MATCH($A230, 'UA-normalized'!$A:$A, 0))-INDEX('UA-normalized'!$E:$E, MATCH($A230, 'UA-normalized'!$A:$A, 0))&gt;0, -(15*INDEX('UA-normalized'!$D:$D, MATCH($A230, 'UA-normalized'!$A:$A, 0))-INDEX('UA-normalized'!$E:$E, MATCH($A230, 'UA-normalized'!$A:$A, 0))), 0), 0))+(IFERROR(IF(15*INDEX('KZ-normalized'!$D:$D, MATCH($A230, 'KZ-normalized'!$A:$A, 0))-INDEX('KZ-normalized'!$E:$E, MATCH($A230, 'KZ-normalized'!$A:$A, 0))&gt;0, -(15*INDEX('KZ-normalized'!$D:$D, MATCH($A230, 'KZ-normalized'!$A:$A, 0))-INDEX('KZ-normalized'!$E:$E, MATCH($A230, 'KZ-normalized'!$A:$A, 0))), 0), 0))+(IFERROR(IF(15*INDEX('UZ-normalized'!$D:$D, MATCH($A230, 'UZ-normalized'!$A:$A, 0))-INDEX('UZ-normalized'!$E:$E, MATCH($A230, 'UZ-normalized'!$A:$A, 0))&gt;0, -(15*INDEX('UZ-normalized'!$D:$D, MATCH($A230, 'UZ-normalized'!$A:$A, 0))-INDEX('UZ-normalized'!$E:$E, MATCH($A230, 'UZ-normalized'!$A:$A, 0))), 0), 0)))</f>
        <v>-406</v>
      </c>
      <c r="AD230" s="6">
        <f>MIN(0, N230+(IFERROR(IF(16*INDEX('UA-normalized'!$D:$D, MATCH($A230, 'UA-normalized'!$A:$A, 0))-INDEX('UA-normalized'!$E:$E, MATCH($A230, 'UA-normalized'!$A:$A, 0))&gt;0, -(16*INDEX('UA-normalized'!$D:$D, MATCH($A230, 'UA-normalized'!$A:$A, 0))-INDEX('UA-normalized'!$E:$E, MATCH($A230, 'UA-normalized'!$A:$A, 0))), 0), 0))+(IFERROR(IF(16*INDEX('KZ-normalized'!$D:$D, MATCH($A230, 'KZ-normalized'!$A:$A, 0))-INDEX('KZ-normalized'!$E:$E, MATCH($A230, 'KZ-normalized'!$A:$A, 0))&gt;0, -(16*INDEX('KZ-normalized'!$D:$D, MATCH($A230, 'KZ-normalized'!$A:$A, 0))-INDEX('KZ-normalized'!$E:$E, MATCH($A230, 'KZ-normalized'!$A:$A, 0))), 0), 0))+(IFERROR(IF(16*INDEX('UZ-normalized'!$D:$D, MATCH($A230, 'UZ-normalized'!$A:$A, 0))-INDEX('UZ-normalized'!$E:$E, MATCH($A230, 'UZ-normalized'!$A:$A, 0))&gt;0, -(16*INDEX('UZ-normalized'!$D:$D, MATCH($A230, 'UZ-normalized'!$A:$A, 0))-INDEX('UZ-normalized'!$E:$E, MATCH($A230, 'UZ-normalized'!$A:$A, 0))), 0), 0)))</f>
        <v>-449</v>
      </c>
      <c r="AE230" s="6">
        <f>MIN(0, N230+(IFERROR(IF(17*INDEX('UA-normalized'!$D:$D, MATCH($A230, 'UA-normalized'!$A:$A, 0))-INDEX('UA-normalized'!$E:$E, MATCH($A230, 'UA-normalized'!$A:$A, 0))&gt;0, -(17*INDEX('UA-normalized'!$D:$D, MATCH($A230, 'UA-normalized'!$A:$A, 0))-INDEX('UA-normalized'!$E:$E, MATCH($A230, 'UA-normalized'!$A:$A, 0))), 0), 0))+(IFERROR(IF(17*INDEX('KZ-normalized'!$D:$D, MATCH($A230, 'KZ-normalized'!$A:$A, 0))-INDEX('KZ-normalized'!$E:$E, MATCH($A230, 'KZ-normalized'!$A:$A, 0))&gt;0, -(17*INDEX('KZ-normalized'!$D:$D, MATCH($A230, 'KZ-normalized'!$A:$A, 0))-INDEX('KZ-normalized'!$E:$E, MATCH($A230, 'KZ-normalized'!$A:$A, 0))), 0), 0))+(IFERROR(IF(17*INDEX('UZ-normalized'!$D:$D, MATCH($A230, 'UZ-normalized'!$A:$A, 0))-INDEX('UZ-normalized'!$E:$E, MATCH($A230, 'UZ-normalized'!$A:$A, 0))&gt;0, -(17*INDEX('UZ-normalized'!$D:$D, MATCH($A230, 'UZ-normalized'!$A:$A, 0))-INDEX('UZ-normalized'!$E:$E, MATCH($A230, 'UZ-normalized'!$A:$A, 0))), 0), 0)))</f>
        <v>-492</v>
      </c>
      <c r="AF230" s="6">
        <f>MIN(0, N230+(IFERROR(IF(18*INDEX('UA-normalized'!$D:$D, MATCH($A230, 'UA-normalized'!$A:$A, 0))-INDEX('UA-normalized'!$E:$E, MATCH($A230, 'UA-normalized'!$A:$A, 0))&gt;0, -(18*INDEX('UA-normalized'!$D:$D, MATCH($A230, 'UA-normalized'!$A:$A, 0))-INDEX('UA-normalized'!$E:$E, MATCH($A230, 'UA-normalized'!$A:$A, 0))), 0), 0))+(IFERROR(IF(18*INDEX('KZ-normalized'!$D:$D, MATCH($A230, 'KZ-normalized'!$A:$A, 0))-INDEX('KZ-normalized'!$E:$E, MATCH($A230, 'KZ-normalized'!$A:$A, 0))&gt;0, -(18*INDEX('KZ-normalized'!$D:$D, MATCH($A230, 'KZ-normalized'!$A:$A, 0))-INDEX('KZ-normalized'!$E:$E, MATCH($A230, 'KZ-normalized'!$A:$A, 0))), 0), 0))+(IFERROR(IF(18*INDEX('UZ-normalized'!$D:$D, MATCH($A230, 'UZ-normalized'!$A:$A, 0))-INDEX('UZ-normalized'!$E:$E, MATCH($A230, 'UZ-normalized'!$A:$A, 0))&gt;0, -(18*INDEX('UZ-normalized'!$D:$D, MATCH($A230, 'UZ-normalized'!$A:$A, 0))-INDEX('UZ-normalized'!$E:$E, MATCH($A230, 'UZ-normalized'!$A:$A, 0))), 0), 0)))</f>
        <v>-535</v>
      </c>
      <c r="AG230" s="6">
        <f>MIN(0, N230+(IFERROR(IF(19*INDEX('UA-normalized'!$D:$D, MATCH($A230, 'UA-normalized'!$A:$A, 0))-INDEX('UA-normalized'!$E:$E, MATCH($A230, 'UA-normalized'!$A:$A, 0))&gt;0, -(19*INDEX('UA-normalized'!$D:$D, MATCH($A230, 'UA-normalized'!$A:$A, 0))-INDEX('UA-normalized'!$E:$E, MATCH($A230, 'UA-normalized'!$A:$A, 0))), 0), 0))+(IFERROR(IF(19*INDEX('KZ-normalized'!$D:$D, MATCH($A230, 'KZ-normalized'!$A:$A, 0))-INDEX('KZ-normalized'!$E:$E, MATCH($A230, 'KZ-normalized'!$A:$A, 0))&gt;0, -(19*INDEX('KZ-normalized'!$D:$D, MATCH($A230, 'KZ-normalized'!$A:$A, 0))-INDEX('KZ-normalized'!$E:$E, MATCH($A230, 'KZ-normalized'!$A:$A, 0))), 0), 0))+(IFERROR(IF(19*INDEX('UZ-normalized'!$D:$D, MATCH($A230, 'UZ-normalized'!$A:$A, 0))-INDEX('UZ-normalized'!$E:$E, MATCH($A230, 'UZ-normalized'!$A:$A, 0))&gt;0, -(19*INDEX('UZ-normalized'!$D:$D, MATCH($A230, 'UZ-normalized'!$A:$A, 0))-INDEX('UZ-normalized'!$E:$E, MATCH($A230, 'UZ-normalized'!$A:$A, 0))), 0), 0)))</f>
        <v>-578</v>
      </c>
      <c r="AH230" s="6">
        <f>MIN(0, N230+(IFERROR(IF(20*INDEX('UA-normalized'!$D:$D, MATCH($A230, 'UA-normalized'!$A:$A, 0))-INDEX('UA-normalized'!$E:$E, MATCH($A230, 'UA-normalized'!$A:$A, 0))&gt;0, -(20*INDEX('UA-normalized'!$D:$D, MATCH($A230, 'UA-normalized'!$A:$A, 0))-INDEX('UA-normalized'!$E:$E, MATCH($A230, 'UA-normalized'!$A:$A, 0))), 0), 0))+(IFERROR(IF(20*INDEX('KZ-normalized'!$D:$D, MATCH($A230, 'KZ-normalized'!$A:$A, 0))-INDEX('KZ-normalized'!$E:$E, MATCH($A230, 'KZ-normalized'!$A:$A, 0))&gt;0, -(20*INDEX('KZ-normalized'!$D:$D, MATCH($A230, 'KZ-normalized'!$A:$A, 0))-INDEX('KZ-normalized'!$E:$E, MATCH($A230, 'KZ-normalized'!$A:$A, 0))), 0), 0))+(IFERROR(IF(20*INDEX('UZ-normalized'!$D:$D, MATCH($A230, 'UZ-normalized'!$A:$A, 0))-INDEX('UZ-normalized'!$E:$E, MATCH($A230, 'UZ-normalized'!$A:$A, 0))&gt;0, -(20*INDEX('UZ-normalized'!$D:$D, MATCH($A230, 'UZ-normalized'!$A:$A, 0))-INDEX('UZ-normalized'!$E:$E, MATCH($A230, 'UZ-normalized'!$A:$A, 0))), 0), 0)))</f>
        <v>-621</v>
      </c>
      <c r="AI230" s="6">
        <f>MIN(0, N230+(IFERROR(IF(21*INDEX('UA-normalized'!$D:$D, MATCH($A230, 'UA-normalized'!$A:$A, 0))-INDEX('UA-normalized'!$E:$E, MATCH($A230, 'UA-normalized'!$A:$A, 0))&gt;0, -(21*INDEX('UA-normalized'!$D:$D, MATCH($A230, 'UA-normalized'!$A:$A, 0))-INDEX('UA-normalized'!$E:$E, MATCH($A230, 'UA-normalized'!$A:$A, 0))), 0), 0))+(IFERROR(IF(21*INDEX('KZ-normalized'!$D:$D, MATCH($A230, 'KZ-normalized'!$A:$A, 0))-INDEX('KZ-normalized'!$E:$E, MATCH($A230, 'KZ-normalized'!$A:$A, 0))&gt;0, -(21*INDEX('KZ-normalized'!$D:$D, MATCH($A230, 'KZ-normalized'!$A:$A, 0))-INDEX('KZ-normalized'!$E:$E, MATCH($A230, 'KZ-normalized'!$A:$A, 0))), 0), 0))+(IFERROR(IF(21*INDEX('UZ-normalized'!$D:$D, MATCH($A230, 'UZ-normalized'!$A:$A, 0))-INDEX('UZ-normalized'!$E:$E, MATCH($A230, 'UZ-normalized'!$A:$A, 0))&gt;0, -(21*INDEX('UZ-normalized'!$D:$D, MATCH($A230, 'UZ-normalized'!$A:$A, 0))-INDEX('UZ-normalized'!$E:$E, MATCH($A230, 'UZ-normalized'!$A:$A, 0))), 0), 0)))</f>
        <v>-664</v>
      </c>
      <c r="AJ230" s="6">
        <f>MIN(0, N230+(IFERROR(IF(22*INDEX('UA-normalized'!$D:$D, MATCH($A230, 'UA-normalized'!$A:$A, 0))-INDEX('UA-normalized'!$E:$E, MATCH($A230, 'UA-normalized'!$A:$A, 0))&gt;0, -(22*INDEX('UA-normalized'!$D:$D, MATCH($A230, 'UA-normalized'!$A:$A, 0))-INDEX('UA-normalized'!$E:$E, MATCH($A230, 'UA-normalized'!$A:$A, 0))), 0), 0))+(IFERROR(IF(22*INDEX('KZ-normalized'!$D:$D, MATCH($A230, 'KZ-normalized'!$A:$A, 0))-INDEX('KZ-normalized'!$E:$E, MATCH($A230, 'KZ-normalized'!$A:$A, 0))&gt;0, -(22*INDEX('KZ-normalized'!$D:$D, MATCH($A230, 'KZ-normalized'!$A:$A, 0))-INDEX('KZ-normalized'!$E:$E, MATCH($A230, 'KZ-normalized'!$A:$A, 0))), 0), 0))+(IFERROR(IF(22*INDEX('UZ-normalized'!$D:$D, MATCH($A230, 'UZ-normalized'!$A:$A, 0))-INDEX('UZ-normalized'!$E:$E, MATCH($A230, 'UZ-normalized'!$A:$A, 0))&gt;0, -(22*INDEX('UZ-normalized'!$D:$D, MATCH($A230, 'UZ-normalized'!$A:$A, 0))-INDEX('UZ-normalized'!$E:$E, MATCH($A230, 'UZ-normalized'!$A:$A, 0))), 0), 0)))</f>
        <v>-707</v>
      </c>
      <c r="AK230" s="6">
        <f>MIN(0, N230+(IFERROR(IF(23*INDEX('UA-normalized'!$D:$D, MATCH($A230, 'UA-normalized'!$A:$A, 0))-INDEX('UA-normalized'!$E:$E, MATCH($A230, 'UA-normalized'!$A:$A, 0))&gt;0, -(23*INDEX('UA-normalized'!$D:$D, MATCH($A230, 'UA-normalized'!$A:$A, 0))-INDEX('UA-normalized'!$E:$E, MATCH($A230, 'UA-normalized'!$A:$A, 0))), 0), 0))+(IFERROR(IF(23*INDEX('KZ-normalized'!$D:$D, MATCH($A230, 'KZ-normalized'!$A:$A, 0))-INDEX('KZ-normalized'!$E:$E, MATCH($A230, 'KZ-normalized'!$A:$A, 0))&gt;0, -(23*INDEX('KZ-normalized'!$D:$D, MATCH($A230, 'KZ-normalized'!$A:$A, 0))-INDEX('KZ-normalized'!$E:$E, MATCH($A230, 'KZ-normalized'!$A:$A, 0))), 0), 0))+(IFERROR(IF(23*INDEX('UZ-normalized'!$D:$D, MATCH($A230, 'UZ-normalized'!$A:$A, 0))-INDEX('UZ-normalized'!$E:$E, MATCH($A230, 'UZ-normalized'!$A:$A, 0))&gt;0, -(23*INDEX('UZ-normalized'!$D:$D, MATCH($A230, 'UZ-normalized'!$A:$A, 0))-INDEX('UZ-normalized'!$E:$E, MATCH($A230, 'UZ-normalized'!$A:$A, 0))), 0), 0)))</f>
        <v>-750</v>
      </c>
      <c r="AL230" s="6">
        <f>MIN(0, N230+(IFERROR(IF(24*INDEX('UA-normalized'!$D:$D, MATCH($A230, 'UA-normalized'!$A:$A, 0))-INDEX('UA-normalized'!$E:$E, MATCH($A230, 'UA-normalized'!$A:$A, 0))&gt;0, -(24*INDEX('UA-normalized'!$D:$D, MATCH($A230, 'UA-normalized'!$A:$A, 0))-INDEX('UA-normalized'!$E:$E, MATCH($A230, 'UA-normalized'!$A:$A, 0))), 0), 0))+(IFERROR(IF(24*INDEX('KZ-normalized'!$D:$D, MATCH($A230, 'KZ-normalized'!$A:$A, 0))-INDEX('KZ-normalized'!$E:$E, MATCH($A230, 'KZ-normalized'!$A:$A, 0))&gt;0, -(24*INDEX('KZ-normalized'!$D:$D, MATCH($A230, 'KZ-normalized'!$A:$A, 0))-INDEX('KZ-normalized'!$E:$E, MATCH($A230, 'KZ-normalized'!$A:$A, 0))), 0), 0))+(IFERROR(IF(24*INDEX('UZ-normalized'!$D:$D, MATCH($A230, 'UZ-normalized'!$A:$A, 0))-INDEX('UZ-normalized'!$E:$E, MATCH($A230, 'UZ-normalized'!$A:$A, 0))&gt;0, -(24*INDEX('UZ-normalized'!$D:$D, MATCH($A230, 'UZ-normalized'!$A:$A, 0))-INDEX('UZ-normalized'!$E:$E, MATCH($A230, 'UZ-normalized'!$A:$A, 0))), 0), 0)))</f>
        <v>-793</v>
      </c>
      <c r="AM230" s="6">
        <f>MIN(0, N230+(IFERROR(IF(25*INDEX('UA-normalized'!$D:$D, MATCH($A230, 'UA-normalized'!$A:$A, 0))-INDEX('UA-normalized'!$E:$E, MATCH($A230, 'UA-normalized'!$A:$A, 0))&gt;0, -(25*INDEX('UA-normalized'!$D:$D, MATCH($A230, 'UA-normalized'!$A:$A, 0))-INDEX('UA-normalized'!$E:$E, MATCH($A230, 'UA-normalized'!$A:$A, 0))), 0), 0))+(IFERROR(IF(25*INDEX('KZ-normalized'!$D:$D, MATCH($A230, 'KZ-normalized'!$A:$A, 0))-INDEX('KZ-normalized'!$E:$E, MATCH($A230, 'KZ-normalized'!$A:$A, 0))&gt;0, -(25*INDEX('KZ-normalized'!$D:$D, MATCH($A230, 'KZ-normalized'!$A:$A, 0))-INDEX('KZ-normalized'!$E:$E, MATCH($A230, 'KZ-normalized'!$A:$A, 0))), 0), 0))+(IFERROR(IF(25*INDEX('UZ-normalized'!$D:$D, MATCH($A230, 'UZ-normalized'!$A:$A, 0))-INDEX('UZ-normalized'!$E:$E, MATCH($A230, 'UZ-normalized'!$A:$A, 0))&gt;0, -(25*INDEX('UZ-normalized'!$D:$D, MATCH($A230, 'UZ-normalized'!$A:$A, 0))-INDEX('UZ-normalized'!$E:$E, MATCH($A230, 'UZ-normalized'!$A:$A, 0))), 0), 0)))</f>
        <v>-836</v>
      </c>
      <c r="AN230" s="6">
        <f>MIN(0, N230+(IFERROR(IF(26*INDEX('UA-normalized'!$D:$D, MATCH($A230, 'UA-normalized'!$A:$A, 0))-INDEX('UA-normalized'!$E:$E, MATCH($A230, 'UA-normalized'!$A:$A, 0))&gt;0, -(26*INDEX('UA-normalized'!$D:$D, MATCH($A230, 'UA-normalized'!$A:$A, 0))-INDEX('UA-normalized'!$E:$E, MATCH($A230, 'UA-normalized'!$A:$A, 0))), 0), 0))+(IFERROR(IF(26*INDEX('KZ-normalized'!$D:$D, MATCH($A230, 'KZ-normalized'!$A:$A, 0))-INDEX('KZ-normalized'!$E:$E, MATCH($A230, 'KZ-normalized'!$A:$A, 0))&gt;0, -(26*INDEX('KZ-normalized'!$D:$D, MATCH($A230, 'KZ-normalized'!$A:$A, 0))-INDEX('KZ-normalized'!$E:$E, MATCH($A230, 'KZ-normalized'!$A:$A, 0))), 0), 0))+(IFERROR(IF(26*INDEX('UZ-normalized'!$D:$D, MATCH($A230, 'UZ-normalized'!$A:$A, 0))-INDEX('UZ-normalized'!$E:$E, MATCH($A230, 'UZ-normalized'!$A:$A, 0))&gt;0, -(26*INDEX('UZ-normalized'!$D:$D, MATCH($A230, 'UZ-normalized'!$A:$A, 0))-INDEX('UZ-normalized'!$E:$E, MATCH($A230, 'UZ-normalized'!$A:$A, 0))), 0), 0)))</f>
        <v>-879</v>
      </c>
      <c r="AO230" s="6">
        <f>MIN(0, N230+(IFERROR(IF(27*INDEX('UA-normalized'!$D:$D, MATCH($A230, 'UA-normalized'!$A:$A, 0))-INDEX('UA-normalized'!$E:$E, MATCH($A230, 'UA-normalized'!$A:$A, 0))&gt;0, -(27*INDEX('UA-normalized'!$D:$D, MATCH($A230, 'UA-normalized'!$A:$A, 0))-INDEX('UA-normalized'!$E:$E, MATCH($A230, 'UA-normalized'!$A:$A, 0))), 0), 0))+(IFERROR(IF(27*INDEX('KZ-normalized'!$D:$D, MATCH($A230, 'KZ-normalized'!$A:$A, 0))-INDEX('KZ-normalized'!$E:$E, MATCH($A230, 'KZ-normalized'!$A:$A, 0))&gt;0, -(27*INDEX('KZ-normalized'!$D:$D, MATCH($A230, 'KZ-normalized'!$A:$A, 0))-INDEX('KZ-normalized'!$E:$E, MATCH($A230, 'KZ-normalized'!$A:$A, 0))), 0), 0))+(IFERROR(IF(27*INDEX('UZ-normalized'!$D:$D, MATCH($A230, 'UZ-normalized'!$A:$A, 0))-INDEX('UZ-normalized'!$E:$E, MATCH($A230, 'UZ-normalized'!$A:$A, 0))&gt;0, -(27*INDEX('UZ-normalized'!$D:$D, MATCH($A230, 'UZ-normalized'!$A:$A, 0))-INDEX('UZ-normalized'!$E:$E, MATCH($A230, 'UZ-normalized'!$A:$A, 0))), 0), 0)))</f>
        <v>-922</v>
      </c>
      <c r="AP230" s="6">
        <f>MIN(0, N230+(IFERROR(IF(28*INDEX('UA-normalized'!$D:$D, MATCH($A230, 'UA-normalized'!$A:$A, 0))-INDEX('UA-normalized'!$E:$E, MATCH($A230, 'UA-normalized'!$A:$A, 0))&gt;0, -(28*INDEX('UA-normalized'!$D:$D, MATCH($A230, 'UA-normalized'!$A:$A, 0))-INDEX('UA-normalized'!$E:$E, MATCH($A230, 'UA-normalized'!$A:$A, 0))), 0), 0))+(IFERROR(IF(28*INDEX('KZ-normalized'!$D:$D, MATCH($A230, 'KZ-normalized'!$A:$A, 0))-INDEX('KZ-normalized'!$E:$E, MATCH($A230, 'KZ-normalized'!$A:$A, 0))&gt;0, -(28*INDEX('KZ-normalized'!$D:$D, MATCH($A230, 'KZ-normalized'!$A:$A, 0))-INDEX('KZ-normalized'!$E:$E, MATCH($A230, 'KZ-normalized'!$A:$A, 0))), 0), 0))+(IFERROR(IF(28*INDEX('UZ-normalized'!$D:$D, MATCH($A230, 'UZ-normalized'!$A:$A, 0))-INDEX('UZ-normalized'!$E:$E, MATCH($A230, 'UZ-normalized'!$A:$A, 0))&gt;0, -(28*INDEX('UZ-normalized'!$D:$D, MATCH($A230, 'UZ-normalized'!$A:$A, 0))-INDEX('UZ-normalized'!$E:$E, MATCH($A230, 'UZ-normalized'!$A:$A, 0))), 0), 0)))</f>
        <v>-965</v>
      </c>
      <c r="AQ230" s="6">
        <f>MIN(0, N230+(IFERROR(IF(29*INDEX('UA-normalized'!$D:$D, MATCH($A230, 'UA-normalized'!$A:$A, 0))-INDEX('UA-normalized'!$E:$E, MATCH($A230, 'UA-normalized'!$A:$A, 0))&gt;0, -(29*INDEX('UA-normalized'!$D:$D, MATCH($A230, 'UA-normalized'!$A:$A, 0))-INDEX('UA-normalized'!$E:$E, MATCH($A230, 'UA-normalized'!$A:$A, 0))), 0), 0))+(IFERROR(IF(29*INDEX('KZ-normalized'!$D:$D, MATCH($A230, 'KZ-normalized'!$A:$A, 0))-INDEX('KZ-normalized'!$E:$E, MATCH($A230, 'KZ-normalized'!$A:$A, 0))&gt;0, -(29*INDEX('KZ-normalized'!$D:$D, MATCH($A230, 'KZ-normalized'!$A:$A, 0))-INDEX('KZ-normalized'!$E:$E, MATCH($A230, 'KZ-normalized'!$A:$A, 0))), 0), 0))+(IFERROR(IF(29*INDEX('UZ-normalized'!$D:$D, MATCH($A230, 'UZ-normalized'!$A:$A, 0))-INDEX('UZ-normalized'!$E:$E, MATCH($A230, 'UZ-normalized'!$A:$A, 0))&gt;0, -(29*INDEX('UZ-normalized'!$D:$D, MATCH($A230, 'UZ-normalized'!$A:$A, 0))-INDEX('UZ-normalized'!$E:$E, MATCH($A230, 'UZ-normalized'!$A:$A, 0))), 0), 0)))</f>
        <v>-1008</v>
      </c>
      <c r="AR230" s="6">
        <f>MIN(0, N230+(IFERROR(IF(30*INDEX('UA-normalized'!$D:$D, MATCH($A230, 'UA-normalized'!$A:$A, 0))-INDEX('UA-normalized'!$E:$E, MATCH($A230, 'UA-normalized'!$A:$A, 0))&gt;0, -(30*INDEX('UA-normalized'!$D:$D, MATCH($A230, 'UA-normalized'!$A:$A, 0))-INDEX('UA-normalized'!$E:$E, MATCH($A230, 'UA-normalized'!$A:$A, 0))), 0), 0))+(IFERROR(IF(30*INDEX('KZ-normalized'!$D:$D, MATCH($A230, 'KZ-normalized'!$A:$A, 0))-INDEX('KZ-normalized'!$E:$E, MATCH($A230, 'KZ-normalized'!$A:$A, 0))&gt;0, -(30*INDEX('KZ-normalized'!$D:$D, MATCH($A230, 'KZ-normalized'!$A:$A, 0))-INDEX('KZ-normalized'!$E:$E, MATCH($A230, 'KZ-normalized'!$A:$A, 0))), 0), 0))+(IFERROR(IF(30*INDEX('UZ-normalized'!$D:$D, MATCH($A230, 'UZ-normalized'!$A:$A, 0))-INDEX('UZ-normalized'!$E:$E, MATCH($A230, 'UZ-normalized'!$A:$A, 0))&gt;0, -(30*INDEX('UZ-normalized'!$D:$D, MATCH($A230, 'UZ-normalized'!$A:$A, 0))-INDEX('UZ-normalized'!$E:$E, MATCH($A230, 'UZ-normalized'!$A:$A, 0))), 0), 0)))</f>
        <v>-1051</v>
      </c>
    </row>
    <row r="231" spans="1:44" x14ac:dyDescent="0.25">
      <c r="A231" s="8" t="s">
        <v>546</v>
      </c>
      <c r="B231" s="8" t="s">
        <v>492</v>
      </c>
      <c r="C231" s="8" t="s">
        <v>542</v>
      </c>
      <c r="D231" s="8" t="s">
        <v>547</v>
      </c>
      <c r="G231">
        <v>-10</v>
      </c>
      <c r="N231">
        <f t="shared" si="3"/>
        <v>-10</v>
      </c>
      <c r="O231" s="6">
        <f>MIN(0, N231+(IFERROR(IF(1*INDEX('UA-normalized'!$D:$D, MATCH($A231, 'UA-normalized'!$A:$A, 0))-INDEX('UA-normalized'!$E:$E, MATCH($A231, 'UA-normalized'!$A:$A, 0))&gt;0, -(1*INDEX('UA-normalized'!$D:$D, MATCH($A231, 'UA-normalized'!$A:$A, 0))-INDEX('UA-normalized'!$E:$E, MATCH($A231, 'UA-normalized'!$A:$A, 0))), 0), 0))+(IFERROR(IF(1*INDEX('KZ-normalized'!$D:$D, MATCH($A231, 'KZ-normalized'!$A:$A, 0))-INDEX('KZ-normalized'!$E:$E, MATCH($A231, 'KZ-normalized'!$A:$A, 0))&gt;0, -(1*INDEX('KZ-normalized'!$D:$D, MATCH($A231, 'KZ-normalized'!$A:$A, 0))-INDEX('KZ-normalized'!$E:$E, MATCH($A231, 'KZ-normalized'!$A:$A, 0))), 0), 0))+(IFERROR(IF(1*INDEX('UZ-normalized'!$D:$D, MATCH($A231, 'UZ-normalized'!$A:$A, 0))-INDEX('UZ-normalized'!$E:$E, MATCH($A231, 'UZ-normalized'!$A:$A, 0))&gt;0, -(1*INDEX('UZ-normalized'!$D:$D, MATCH($A231, 'UZ-normalized'!$A:$A, 0))-INDEX('UZ-normalized'!$E:$E, MATCH($A231, 'UZ-normalized'!$A:$A, 0))), 0), 0)))</f>
        <v>-10</v>
      </c>
      <c r="P231" s="6">
        <f>MIN(0, N231+(IFERROR(IF(2*INDEX('UA-normalized'!$D:$D, MATCH($A231, 'UA-normalized'!$A:$A, 0))-INDEX('UA-normalized'!$E:$E, MATCH($A231, 'UA-normalized'!$A:$A, 0))&gt;0, -(2*INDEX('UA-normalized'!$D:$D, MATCH($A231, 'UA-normalized'!$A:$A, 0))-INDEX('UA-normalized'!$E:$E, MATCH($A231, 'UA-normalized'!$A:$A, 0))), 0), 0))+(IFERROR(IF(2*INDEX('KZ-normalized'!$D:$D, MATCH($A231, 'KZ-normalized'!$A:$A, 0))-INDEX('KZ-normalized'!$E:$E, MATCH($A231, 'KZ-normalized'!$A:$A, 0))&gt;0, -(2*INDEX('KZ-normalized'!$D:$D, MATCH($A231, 'KZ-normalized'!$A:$A, 0))-INDEX('KZ-normalized'!$E:$E, MATCH($A231, 'KZ-normalized'!$A:$A, 0))), 0), 0))+(IFERROR(IF(2*INDEX('UZ-normalized'!$D:$D, MATCH($A231, 'UZ-normalized'!$A:$A, 0))-INDEX('UZ-normalized'!$E:$E, MATCH($A231, 'UZ-normalized'!$A:$A, 0))&gt;0, -(2*INDEX('UZ-normalized'!$D:$D, MATCH($A231, 'UZ-normalized'!$A:$A, 0))-INDEX('UZ-normalized'!$E:$E, MATCH($A231, 'UZ-normalized'!$A:$A, 0))), 0), 0)))</f>
        <v>-10</v>
      </c>
      <c r="Q231" s="6">
        <f>MIN(0, N231+(IFERROR(IF(3*INDEX('UA-normalized'!$D:$D, MATCH($A231, 'UA-normalized'!$A:$A, 0))-INDEX('UA-normalized'!$E:$E, MATCH($A231, 'UA-normalized'!$A:$A, 0))&gt;0, -(3*INDEX('UA-normalized'!$D:$D, MATCH($A231, 'UA-normalized'!$A:$A, 0))-INDEX('UA-normalized'!$E:$E, MATCH($A231, 'UA-normalized'!$A:$A, 0))), 0), 0))+(IFERROR(IF(3*INDEX('KZ-normalized'!$D:$D, MATCH($A231, 'KZ-normalized'!$A:$A, 0))-INDEX('KZ-normalized'!$E:$E, MATCH($A231, 'KZ-normalized'!$A:$A, 0))&gt;0, -(3*INDEX('KZ-normalized'!$D:$D, MATCH($A231, 'KZ-normalized'!$A:$A, 0))-INDEX('KZ-normalized'!$E:$E, MATCH($A231, 'KZ-normalized'!$A:$A, 0))), 0), 0))+(IFERROR(IF(3*INDEX('UZ-normalized'!$D:$D, MATCH($A231, 'UZ-normalized'!$A:$A, 0))-INDEX('UZ-normalized'!$E:$E, MATCH($A231, 'UZ-normalized'!$A:$A, 0))&gt;0, -(3*INDEX('UZ-normalized'!$D:$D, MATCH($A231, 'UZ-normalized'!$A:$A, 0))-INDEX('UZ-normalized'!$E:$E, MATCH($A231, 'UZ-normalized'!$A:$A, 0))), 0), 0)))</f>
        <v>-10</v>
      </c>
      <c r="R231" s="6">
        <f>MIN(0, N231+(IFERROR(IF(4*INDEX('UA-normalized'!$D:$D, MATCH($A231, 'UA-normalized'!$A:$A, 0))-INDEX('UA-normalized'!$E:$E, MATCH($A231, 'UA-normalized'!$A:$A, 0))&gt;0, -(4*INDEX('UA-normalized'!$D:$D, MATCH($A231, 'UA-normalized'!$A:$A, 0))-INDEX('UA-normalized'!$E:$E, MATCH($A231, 'UA-normalized'!$A:$A, 0))), 0), 0))+(IFERROR(IF(4*INDEX('KZ-normalized'!$D:$D, MATCH($A231, 'KZ-normalized'!$A:$A, 0))-INDEX('KZ-normalized'!$E:$E, MATCH($A231, 'KZ-normalized'!$A:$A, 0))&gt;0, -(4*INDEX('KZ-normalized'!$D:$D, MATCH($A231, 'KZ-normalized'!$A:$A, 0))-INDEX('KZ-normalized'!$E:$E, MATCH($A231, 'KZ-normalized'!$A:$A, 0))), 0), 0))+(IFERROR(IF(4*INDEX('UZ-normalized'!$D:$D, MATCH($A231, 'UZ-normalized'!$A:$A, 0))-INDEX('UZ-normalized'!$E:$E, MATCH($A231, 'UZ-normalized'!$A:$A, 0))&gt;0, -(4*INDEX('UZ-normalized'!$D:$D, MATCH($A231, 'UZ-normalized'!$A:$A, 0))-INDEX('UZ-normalized'!$E:$E, MATCH($A231, 'UZ-normalized'!$A:$A, 0))), 0), 0)))</f>
        <v>-10</v>
      </c>
      <c r="S231" s="6">
        <f>MIN(0, N231+(IFERROR(IF(5*INDEX('UA-normalized'!$D:$D, MATCH($A231, 'UA-normalized'!$A:$A, 0))-INDEX('UA-normalized'!$E:$E, MATCH($A231, 'UA-normalized'!$A:$A, 0))&gt;0, -(5*INDEX('UA-normalized'!$D:$D, MATCH($A231, 'UA-normalized'!$A:$A, 0))-INDEX('UA-normalized'!$E:$E, MATCH($A231, 'UA-normalized'!$A:$A, 0))), 0), 0))+(IFERROR(IF(5*INDEX('KZ-normalized'!$D:$D, MATCH($A231, 'KZ-normalized'!$A:$A, 0))-INDEX('KZ-normalized'!$E:$E, MATCH($A231, 'KZ-normalized'!$A:$A, 0))&gt;0, -(5*INDEX('KZ-normalized'!$D:$D, MATCH($A231, 'KZ-normalized'!$A:$A, 0))-INDEX('KZ-normalized'!$E:$E, MATCH($A231, 'KZ-normalized'!$A:$A, 0))), 0), 0))+(IFERROR(IF(5*INDEX('UZ-normalized'!$D:$D, MATCH($A231, 'UZ-normalized'!$A:$A, 0))-INDEX('UZ-normalized'!$E:$E, MATCH($A231, 'UZ-normalized'!$A:$A, 0))&gt;0, -(5*INDEX('UZ-normalized'!$D:$D, MATCH($A231, 'UZ-normalized'!$A:$A, 0))-INDEX('UZ-normalized'!$E:$E, MATCH($A231, 'UZ-normalized'!$A:$A, 0))), 0), 0)))</f>
        <v>-17</v>
      </c>
      <c r="T231" s="6">
        <f>MIN(0, N231+(IFERROR(IF(6*INDEX('UA-normalized'!$D:$D, MATCH($A231, 'UA-normalized'!$A:$A, 0))-INDEX('UA-normalized'!$E:$E, MATCH($A231, 'UA-normalized'!$A:$A, 0))&gt;0, -(6*INDEX('UA-normalized'!$D:$D, MATCH($A231, 'UA-normalized'!$A:$A, 0))-INDEX('UA-normalized'!$E:$E, MATCH($A231, 'UA-normalized'!$A:$A, 0))), 0), 0))+(IFERROR(IF(6*INDEX('KZ-normalized'!$D:$D, MATCH($A231, 'KZ-normalized'!$A:$A, 0))-INDEX('KZ-normalized'!$E:$E, MATCH($A231, 'KZ-normalized'!$A:$A, 0))&gt;0, -(6*INDEX('KZ-normalized'!$D:$D, MATCH($A231, 'KZ-normalized'!$A:$A, 0))-INDEX('KZ-normalized'!$E:$E, MATCH($A231, 'KZ-normalized'!$A:$A, 0))), 0), 0))+(IFERROR(IF(6*INDEX('UZ-normalized'!$D:$D, MATCH($A231, 'UZ-normalized'!$A:$A, 0))-INDEX('UZ-normalized'!$E:$E, MATCH($A231, 'UZ-normalized'!$A:$A, 0))&gt;0, -(6*INDEX('UZ-normalized'!$D:$D, MATCH($A231, 'UZ-normalized'!$A:$A, 0))-INDEX('UZ-normalized'!$E:$E, MATCH($A231, 'UZ-normalized'!$A:$A, 0))), 0), 0)))</f>
        <v>-34.199999999999996</v>
      </c>
      <c r="U231" s="6">
        <f>MIN(0, N231+(IFERROR(IF(7*INDEX('UA-normalized'!$D:$D, MATCH($A231, 'UA-normalized'!$A:$A, 0))-INDEX('UA-normalized'!$E:$E, MATCH($A231, 'UA-normalized'!$A:$A, 0))&gt;0, -(7*INDEX('UA-normalized'!$D:$D, MATCH($A231, 'UA-normalized'!$A:$A, 0))-INDEX('UA-normalized'!$E:$E, MATCH($A231, 'UA-normalized'!$A:$A, 0))), 0), 0))+(IFERROR(IF(7*INDEX('KZ-normalized'!$D:$D, MATCH($A231, 'KZ-normalized'!$A:$A, 0))-INDEX('KZ-normalized'!$E:$E, MATCH($A231, 'KZ-normalized'!$A:$A, 0))&gt;0, -(7*INDEX('KZ-normalized'!$D:$D, MATCH($A231, 'KZ-normalized'!$A:$A, 0))-INDEX('KZ-normalized'!$E:$E, MATCH($A231, 'KZ-normalized'!$A:$A, 0))), 0), 0))+(IFERROR(IF(7*INDEX('UZ-normalized'!$D:$D, MATCH($A231, 'UZ-normalized'!$A:$A, 0))-INDEX('UZ-normalized'!$E:$E, MATCH($A231, 'UZ-normalized'!$A:$A, 0))&gt;0, -(7*INDEX('UZ-normalized'!$D:$D, MATCH($A231, 'UZ-normalized'!$A:$A, 0))-INDEX('UZ-normalized'!$E:$E, MATCH($A231, 'UZ-normalized'!$A:$A, 0))), 0), 0)))</f>
        <v>-61.899999999999991</v>
      </c>
      <c r="V231" s="6">
        <f>MIN(0, N231+(IFERROR(IF(8*INDEX('UA-normalized'!$D:$D, MATCH($A231, 'UA-normalized'!$A:$A, 0))-INDEX('UA-normalized'!$E:$E, MATCH($A231, 'UA-normalized'!$A:$A, 0))&gt;0, -(8*INDEX('UA-normalized'!$D:$D, MATCH($A231, 'UA-normalized'!$A:$A, 0))-INDEX('UA-normalized'!$E:$E, MATCH($A231, 'UA-normalized'!$A:$A, 0))), 0), 0))+(IFERROR(IF(8*INDEX('KZ-normalized'!$D:$D, MATCH($A231, 'KZ-normalized'!$A:$A, 0))-INDEX('KZ-normalized'!$E:$E, MATCH($A231, 'KZ-normalized'!$A:$A, 0))&gt;0, -(8*INDEX('KZ-normalized'!$D:$D, MATCH($A231, 'KZ-normalized'!$A:$A, 0))-INDEX('KZ-normalized'!$E:$E, MATCH($A231, 'KZ-normalized'!$A:$A, 0))), 0), 0))+(IFERROR(IF(8*INDEX('UZ-normalized'!$D:$D, MATCH($A231, 'UZ-normalized'!$A:$A, 0))-INDEX('UZ-normalized'!$E:$E, MATCH($A231, 'UZ-normalized'!$A:$A, 0))&gt;0, -(8*INDEX('UZ-normalized'!$D:$D, MATCH($A231, 'UZ-normalized'!$A:$A, 0))-INDEX('UZ-normalized'!$E:$E, MATCH($A231, 'UZ-normalized'!$A:$A, 0))), 0), 0)))</f>
        <v>-89.6</v>
      </c>
      <c r="W231" s="6">
        <f>MIN(0, N231+(IFERROR(IF(9*INDEX('UA-normalized'!$D:$D, MATCH($A231, 'UA-normalized'!$A:$A, 0))-INDEX('UA-normalized'!$E:$E, MATCH($A231, 'UA-normalized'!$A:$A, 0))&gt;0, -(9*INDEX('UA-normalized'!$D:$D, MATCH($A231, 'UA-normalized'!$A:$A, 0))-INDEX('UA-normalized'!$E:$E, MATCH($A231, 'UA-normalized'!$A:$A, 0))), 0), 0))+(IFERROR(IF(9*INDEX('KZ-normalized'!$D:$D, MATCH($A231, 'KZ-normalized'!$A:$A, 0))-INDEX('KZ-normalized'!$E:$E, MATCH($A231, 'KZ-normalized'!$A:$A, 0))&gt;0, -(9*INDEX('KZ-normalized'!$D:$D, MATCH($A231, 'KZ-normalized'!$A:$A, 0))-INDEX('KZ-normalized'!$E:$E, MATCH($A231, 'KZ-normalized'!$A:$A, 0))), 0), 0))+(IFERROR(IF(9*INDEX('UZ-normalized'!$D:$D, MATCH($A231, 'UZ-normalized'!$A:$A, 0))-INDEX('UZ-normalized'!$E:$E, MATCH($A231, 'UZ-normalized'!$A:$A, 0))&gt;0, -(9*INDEX('UZ-normalized'!$D:$D, MATCH($A231, 'UZ-normalized'!$A:$A, 0))-INDEX('UZ-normalized'!$E:$E, MATCH($A231, 'UZ-normalized'!$A:$A, 0))), 0), 0)))</f>
        <v>-117.3</v>
      </c>
      <c r="X231" s="6">
        <f>MIN(0, N231+(IFERROR(IF(10*INDEX('UA-normalized'!$D:$D, MATCH($A231, 'UA-normalized'!$A:$A, 0))-INDEX('UA-normalized'!$E:$E, MATCH($A231, 'UA-normalized'!$A:$A, 0))&gt;0, -(10*INDEX('UA-normalized'!$D:$D, MATCH($A231, 'UA-normalized'!$A:$A, 0))-INDEX('UA-normalized'!$E:$E, MATCH($A231, 'UA-normalized'!$A:$A, 0))), 0), 0))+(IFERROR(IF(10*INDEX('KZ-normalized'!$D:$D, MATCH($A231, 'KZ-normalized'!$A:$A, 0))-INDEX('KZ-normalized'!$E:$E, MATCH($A231, 'KZ-normalized'!$A:$A, 0))&gt;0, -(10*INDEX('KZ-normalized'!$D:$D, MATCH($A231, 'KZ-normalized'!$A:$A, 0))-INDEX('KZ-normalized'!$E:$E, MATCH($A231, 'KZ-normalized'!$A:$A, 0))), 0), 0))+(IFERROR(IF(10*INDEX('UZ-normalized'!$D:$D, MATCH($A231, 'UZ-normalized'!$A:$A, 0))-INDEX('UZ-normalized'!$E:$E, MATCH($A231, 'UZ-normalized'!$A:$A, 0))&gt;0, -(10*INDEX('UZ-normalized'!$D:$D, MATCH($A231, 'UZ-normalized'!$A:$A, 0))-INDEX('UZ-normalized'!$E:$E, MATCH($A231, 'UZ-normalized'!$A:$A, 0))), 0), 0)))</f>
        <v>-145</v>
      </c>
      <c r="Y231" s="6">
        <f>MIN(0, N231+(IFERROR(IF(11*INDEX('UA-normalized'!$D:$D, MATCH($A231, 'UA-normalized'!$A:$A, 0))-INDEX('UA-normalized'!$E:$E, MATCH($A231, 'UA-normalized'!$A:$A, 0))&gt;0, -(11*INDEX('UA-normalized'!$D:$D, MATCH($A231, 'UA-normalized'!$A:$A, 0))-INDEX('UA-normalized'!$E:$E, MATCH($A231, 'UA-normalized'!$A:$A, 0))), 0), 0))+(IFERROR(IF(11*INDEX('KZ-normalized'!$D:$D, MATCH($A231, 'KZ-normalized'!$A:$A, 0))-INDEX('KZ-normalized'!$E:$E, MATCH($A231, 'KZ-normalized'!$A:$A, 0))&gt;0, -(11*INDEX('KZ-normalized'!$D:$D, MATCH($A231, 'KZ-normalized'!$A:$A, 0))-INDEX('KZ-normalized'!$E:$E, MATCH($A231, 'KZ-normalized'!$A:$A, 0))), 0), 0))+(IFERROR(IF(11*INDEX('UZ-normalized'!$D:$D, MATCH($A231, 'UZ-normalized'!$A:$A, 0))-INDEX('UZ-normalized'!$E:$E, MATCH($A231, 'UZ-normalized'!$A:$A, 0))&gt;0, -(11*INDEX('UZ-normalized'!$D:$D, MATCH($A231, 'UZ-normalized'!$A:$A, 0))-INDEX('UZ-normalized'!$E:$E, MATCH($A231, 'UZ-normalized'!$A:$A, 0))), 0), 0)))</f>
        <v>-176.2</v>
      </c>
      <c r="Z231" s="6">
        <f>MIN(0, N231+(IFERROR(IF(12*INDEX('UA-normalized'!$D:$D, MATCH($A231, 'UA-normalized'!$A:$A, 0))-INDEX('UA-normalized'!$E:$E, MATCH($A231, 'UA-normalized'!$A:$A, 0))&gt;0, -(12*INDEX('UA-normalized'!$D:$D, MATCH($A231, 'UA-normalized'!$A:$A, 0))-INDEX('UA-normalized'!$E:$E, MATCH($A231, 'UA-normalized'!$A:$A, 0))), 0), 0))+(IFERROR(IF(12*INDEX('KZ-normalized'!$D:$D, MATCH($A231, 'KZ-normalized'!$A:$A, 0))-INDEX('KZ-normalized'!$E:$E, MATCH($A231, 'KZ-normalized'!$A:$A, 0))&gt;0, -(12*INDEX('KZ-normalized'!$D:$D, MATCH($A231, 'KZ-normalized'!$A:$A, 0))-INDEX('KZ-normalized'!$E:$E, MATCH($A231, 'KZ-normalized'!$A:$A, 0))), 0), 0))+(IFERROR(IF(12*INDEX('UZ-normalized'!$D:$D, MATCH($A231, 'UZ-normalized'!$A:$A, 0))-INDEX('UZ-normalized'!$E:$E, MATCH($A231, 'UZ-normalized'!$A:$A, 0))&gt;0, -(12*INDEX('UZ-normalized'!$D:$D, MATCH($A231, 'UZ-normalized'!$A:$A, 0))-INDEX('UZ-normalized'!$E:$E, MATCH($A231, 'UZ-normalized'!$A:$A, 0))), 0), 0)))</f>
        <v>-208.39999999999998</v>
      </c>
      <c r="AA231" s="6">
        <f>MIN(0, N231+(IFERROR(IF(13*INDEX('UA-normalized'!$D:$D, MATCH($A231, 'UA-normalized'!$A:$A, 0))-INDEX('UA-normalized'!$E:$E, MATCH($A231, 'UA-normalized'!$A:$A, 0))&gt;0, -(13*INDEX('UA-normalized'!$D:$D, MATCH($A231, 'UA-normalized'!$A:$A, 0))-INDEX('UA-normalized'!$E:$E, MATCH($A231, 'UA-normalized'!$A:$A, 0))), 0), 0))+(IFERROR(IF(13*INDEX('KZ-normalized'!$D:$D, MATCH($A231, 'KZ-normalized'!$A:$A, 0))-INDEX('KZ-normalized'!$E:$E, MATCH($A231, 'KZ-normalized'!$A:$A, 0))&gt;0, -(13*INDEX('KZ-normalized'!$D:$D, MATCH($A231, 'KZ-normalized'!$A:$A, 0))-INDEX('KZ-normalized'!$E:$E, MATCH($A231, 'KZ-normalized'!$A:$A, 0))), 0), 0))+(IFERROR(IF(13*INDEX('UZ-normalized'!$D:$D, MATCH($A231, 'UZ-normalized'!$A:$A, 0))-INDEX('UZ-normalized'!$E:$E, MATCH($A231, 'UZ-normalized'!$A:$A, 0))&gt;0, -(13*INDEX('UZ-normalized'!$D:$D, MATCH($A231, 'UZ-normalized'!$A:$A, 0))-INDEX('UZ-normalized'!$E:$E, MATCH($A231, 'UZ-normalized'!$A:$A, 0))), 0), 0)))</f>
        <v>-240.6</v>
      </c>
      <c r="AB231" s="6">
        <f>MIN(0, N231+(IFERROR(IF(14*INDEX('UA-normalized'!$D:$D, MATCH($A231, 'UA-normalized'!$A:$A, 0))-INDEX('UA-normalized'!$E:$E, MATCH($A231, 'UA-normalized'!$A:$A, 0))&gt;0, -(14*INDEX('UA-normalized'!$D:$D, MATCH($A231, 'UA-normalized'!$A:$A, 0))-INDEX('UA-normalized'!$E:$E, MATCH($A231, 'UA-normalized'!$A:$A, 0))), 0), 0))+(IFERROR(IF(14*INDEX('KZ-normalized'!$D:$D, MATCH($A231, 'KZ-normalized'!$A:$A, 0))-INDEX('KZ-normalized'!$E:$E, MATCH($A231, 'KZ-normalized'!$A:$A, 0))&gt;0, -(14*INDEX('KZ-normalized'!$D:$D, MATCH($A231, 'KZ-normalized'!$A:$A, 0))-INDEX('KZ-normalized'!$E:$E, MATCH($A231, 'KZ-normalized'!$A:$A, 0))), 0), 0))+(IFERROR(IF(14*INDEX('UZ-normalized'!$D:$D, MATCH($A231, 'UZ-normalized'!$A:$A, 0))-INDEX('UZ-normalized'!$E:$E, MATCH($A231, 'UZ-normalized'!$A:$A, 0))&gt;0, -(14*INDEX('UZ-normalized'!$D:$D, MATCH($A231, 'UZ-normalized'!$A:$A, 0))-INDEX('UZ-normalized'!$E:$E, MATCH($A231, 'UZ-normalized'!$A:$A, 0))), 0), 0)))</f>
        <v>-272.79999999999995</v>
      </c>
      <c r="AC231" s="6">
        <f>MIN(0, N231+(IFERROR(IF(15*INDEX('UA-normalized'!$D:$D, MATCH($A231, 'UA-normalized'!$A:$A, 0))-INDEX('UA-normalized'!$E:$E, MATCH($A231, 'UA-normalized'!$A:$A, 0))&gt;0, -(15*INDEX('UA-normalized'!$D:$D, MATCH($A231, 'UA-normalized'!$A:$A, 0))-INDEX('UA-normalized'!$E:$E, MATCH($A231, 'UA-normalized'!$A:$A, 0))), 0), 0))+(IFERROR(IF(15*INDEX('KZ-normalized'!$D:$D, MATCH($A231, 'KZ-normalized'!$A:$A, 0))-INDEX('KZ-normalized'!$E:$E, MATCH($A231, 'KZ-normalized'!$A:$A, 0))&gt;0, -(15*INDEX('KZ-normalized'!$D:$D, MATCH($A231, 'KZ-normalized'!$A:$A, 0))-INDEX('KZ-normalized'!$E:$E, MATCH($A231, 'KZ-normalized'!$A:$A, 0))), 0), 0))+(IFERROR(IF(15*INDEX('UZ-normalized'!$D:$D, MATCH($A231, 'UZ-normalized'!$A:$A, 0))-INDEX('UZ-normalized'!$E:$E, MATCH($A231, 'UZ-normalized'!$A:$A, 0))&gt;0, -(15*INDEX('UZ-normalized'!$D:$D, MATCH($A231, 'UZ-normalized'!$A:$A, 0))-INDEX('UZ-normalized'!$E:$E, MATCH($A231, 'UZ-normalized'!$A:$A, 0))), 0), 0)))</f>
        <v>-305</v>
      </c>
      <c r="AD231" s="6">
        <f>MIN(0, N231+(IFERROR(IF(16*INDEX('UA-normalized'!$D:$D, MATCH($A231, 'UA-normalized'!$A:$A, 0))-INDEX('UA-normalized'!$E:$E, MATCH($A231, 'UA-normalized'!$A:$A, 0))&gt;0, -(16*INDEX('UA-normalized'!$D:$D, MATCH($A231, 'UA-normalized'!$A:$A, 0))-INDEX('UA-normalized'!$E:$E, MATCH($A231, 'UA-normalized'!$A:$A, 0))), 0), 0))+(IFERROR(IF(16*INDEX('KZ-normalized'!$D:$D, MATCH($A231, 'KZ-normalized'!$A:$A, 0))-INDEX('KZ-normalized'!$E:$E, MATCH($A231, 'KZ-normalized'!$A:$A, 0))&gt;0, -(16*INDEX('KZ-normalized'!$D:$D, MATCH($A231, 'KZ-normalized'!$A:$A, 0))-INDEX('KZ-normalized'!$E:$E, MATCH($A231, 'KZ-normalized'!$A:$A, 0))), 0), 0))+(IFERROR(IF(16*INDEX('UZ-normalized'!$D:$D, MATCH($A231, 'UZ-normalized'!$A:$A, 0))-INDEX('UZ-normalized'!$E:$E, MATCH($A231, 'UZ-normalized'!$A:$A, 0))&gt;0, -(16*INDEX('UZ-normalized'!$D:$D, MATCH($A231, 'UZ-normalized'!$A:$A, 0))-INDEX('UZ-normalized'!$E:$E, MATCH($A231, 'UZ-normalized'!$A:$A, 0))), 0), 0)))</f>
        <v>-337.2</v>
      </c>
      <c r="AE231" s="6">
        <f>MIN(0, N231+(IFERROR(IF(17*INDEX('UA-normalized'!$D:$D, MATCH($A231, 'UA-normalized'!$A:$A, 0))-INDEX('UA-normalized'!$E:$E, MATCH($A231, 'UA-normalized'!$A:$A, 0))&gt;0, -(17*INDEX('UA-normalized'!$D:$D, MATCH($A231, 'UA-normalized'!$A:$A, 0))-INDEX('UA-normalized'!$E:$E, MATCH($A231, 'UA-normalized'!$A:$A, 0))), 0), 0))+(IFERROR(IF(17*INDEX('KZ-normalized'!$D:$D, MATCH($A231, 'KZ-normalized'!$A:$A, 0))-INDEX('KZ-normalized'!$E:$E, MATCH($A231, 'KZ-normalized'!$A:$A, 0))&gt;0, -(17*INDEX('KZ-normalized'!$D:$D, MATCH($A231, 'KZ-normalized'!$A:$A, 0))-INDEX('KZ-normalized'!$E:$E, MATCH($A231, 'KZ-normalized'!$A:$A, 0))), 0), 0))+(IFERROR(IF(17*INDEX('UZ-normalized'!$D:$D, MATCH($A231, 'UZ-normalized'!$A:$A, 0))-INDEX('UZ-normalized'!$E:$E, MATCH($A231, 'UZ-normalized'!$A:$A, 0))&gt;0, -(17*INDEX('UZ-normalized'!$D:$D, MATCH($A231, 'UZ-normalized'!$A:$A, 0))-INDEX('UZ-normalized'!$E:$E, MATCH($A231, 'UZ-normalized'!$A:$A, 0))), 0), 0)))</f>
        <v>-369.4</v>
      </c>
      <c r="AF231" s="6">
        <f>MIN(0, N231+(IFERROR(IF(18*INDEX('UA-normalized'!$D:$D, MATCH($A231, 'UA-normalized'!$A:$A, 0))-INDEX('UA-normalized'!$E:$E, MATCH($A231, 'UA-normalized'!$A:$A, 0))&gt;0, -(18*INDEX('UA-normalized'!$D:$D, MATCH($A231, 'UA-normalized'!$A:$A, 0))-INDEX('UA-normalized'!$E:$E, MATCH($A231, 'UA-normalized'!$A:$A, 0))), 0), 0))+(IFERROR(IF(18*INDEX('KZ-normalized'!$D:$D, MATCH($A231, 'KZ-normalized'!$A:$A, 0))-INDEX('KZ-normalized'!$E:$E, MATCH($A231, 'KZ-normalized'!$A:$A, 0))&gt;0, -(18*INDEX('KZ-normalized'!$D:$D, MATCH($A231, 'KZ-normalized'!$A:$A, 0))-INDEX('KZ-normalized'!$E:$E, MATCH($A231, 'KZ-normalized'!$A:$A, 0))), 0), 0))+(IFERROR(IF(18*INDEX('UZ-normalized'!$D:$D, MATCH($A231, 'UZ-normalized'!$A:$A, 0))-INDEX('UZ-normalized'!$E:$E, MATCH($A231, 'UZ-normalized'!$A:$A, 0))&gt;0, -(18*INDEX('UZ-normalized'!$D:$D, MATCH($A231, 'UZ-normalized'!$A:$A, 0))-INDEX('UZ-normalized'!$E:$E, MATCH($A231, 'UZ-normalized'!$A:$A, 0))), 0), 0)))</f>
        <v>-401.6</v>
      </c>
      <c r="AG231" s="6">
        <f>MIN(0, N231+(IFERROR(IF(19*INDEX('UA-normalized'!$D:$D, MATCH($A231, 'UA-normalized'!$A:$A, 0))-INDEX('UA-normalized'!$E:$E, MATCH($A231, 'UA-normalized'!$A:$A, 0))&gt;0, -(19*INDEX('UA-normalized'!$D:$D, MATCH($A231, 'UA-normalized'!$A:$A, 0))-INDEX('UA-normalized'!$E:$E, MATCH($A231, 'UA-normalized'!$A:$A, 0))), 0), 0))+(IFERROR(IF(19*INDEX('KZ-normalized'!$D:$D, MATCH($A231, 'KZ-normalized'!$A:$A, 0))-INDEX('KZ-normalized'!$E:$E, MATCH($A231, 'KZ-normalized'!$A:$A, 0))&gt;0, -(19*INDEX('KZ-normalized'!$D:$D, MATCH($A231, 'KZ-normalized'!$A:$A, 0))-INDEX('KZ-normalized'!$E:$E, MATCH($A231, 'KZ-normalized'!$A:$A, 0))), 0), 0))+(IFERROR(IF(19*INDEX('UZ-normalized'!$D:$D, MATCH($A231, 'UZ-normalized'!$A:$A, 0))-INDEX('UZ-normalized'!$E:$E, MATCH($A231, 'UZ-normalized'!$A:$A, 0))&gt;0, -(19*INDEX('UZ-normalized'!$D:$D, MATCH($A231, 'UZ-normalized'!$A:$A, 0))-INDEX('UZ-normalized'!$E:$E, MATCH($A231, 'UZ-normalized'!$A:$A, 0))), 0), 0)))</f>
        <v>-433.79999999999995</v>
      </c>
      <c r="AH231" s="6">
        <f>MIN(0, N231+(IFERROR(IF(20*INDEX('UA-normalized'!$D:$D, MATCH($A231, 'UA-normalized'!$A:$A, 0))-INDEX('UA-normalized'!$E:$E, MATCH($A231, 'UA-normalized'!$A:$A, 0))&gt;0, -(20*INDEX('UA-normalized'!$D:$D, MATCH($A231, 'UA-normalized'!$A:$A, 0))-INDEX('UA-normalized'!$E:$E, MATCH($A231, 'UA-normalized'!$A:$A, 0))), 0), 0))+(IFERROR(IF(20*INDEX('KZ-normalized'!$D:$D, MATCH($A231, 'KZ-normalized'!$A:$A, 0))-INDEX('KZ-normalized'!$E:$E, MATCH($A231, 'KZ-normalized'!$A:$A, 0))&gt;0, -(20*INDEX('KZ-normalized'!$D:$D, MATCH($A231, 'KZ-normalized'!$A:$A, 0))-INDEX('KZ-normalized'!$E:$E, MATCH($A231, 'KZ-normalized'!$A:$A, 0))), 0), 0))+(IFERROR(IF(20*INDEX('UZ-normalized'!$D:$D, MATCH($A231, 'UZ-normalized'!$A:$A, 0))-INDEX('UZ-normalized'!$E:$E, MATCH($A231, 'UZ-normalized'!$A:$A, 0))&gt;0, -(20*INDEX('UZ-normalized'!$D:$D, MATCH($A231, 'UZ-normalized'!$A:$A, 0))-INDEX('UZ-normalized'!$E:$E, MATCH($A231, 'UZ-normalized'!$A:$A, 0))), 0), 0)))</f>
        <v>-466</v>
      </c>
      <c r="AI231" s="6">
        <f>MIN(0, N231+(IFERROR(IF(21*INDEX('UA-normalized'!$D:$D, MATCH($A231, 'UA-normalized'!$A:$A, 0))-INDEX('UA-normalized'!$E:$E, MATCH($A231, 'UA-normalized'!$A:$A, 0))&gt;0, -(21*INDEX('UA-normalized'!$D:$D, MATCH($A231, 'UA-normalized'!$A:$A, 0))-INDEX('UA-normalized'!$E:$E, MATCH($A231, 'UA-normalized'!$A:$A, 0))), 0), 0))+(IFERROR(IF(21*INDEX('KZ-normalized'!$D:$D, MATCH($A231, 'KZ-normalized'!$A:$A, 0))-INDEX('KZ-normalized'!$E:$E, MATCH($A231, 'KZ-normalized'!$A:$A, 0))&gt;0, -(21*INDEX('KZ-normalized'!$D:$D, MATCH($A231, 'KZ-normalized'!$A:$A, 0))-INDEX('KZ-normalized'!$E:$E, MATCH($A231, 'KZ-normalized'!$A:$A, 0))), 0), 0))+(IFERROR(IF(21*INDEX('UZ-normalized'!$D:$D, MATCH($A231, 'UZ-normalized'!$A:$A, 0))-INDEX('UZ-normalized'!$E:$E, MATCH($A231, 'UZ-normalized'!$A:$A, 0))&gt;0, -(21*INDEX('UZ-normalized'!$D:$D, MATCH($A231, 'UZ-normalized'!$A:$A, 0))-INDEX('UZ-normalized'!$E:$E, MATCH($A231, 'UZ-normalized'!$A:$A, 0))), 0), 0)))</f>
        <v>-498.2</v>
      </c>
      <c r="AJ231" s="6">
        <f>MIN(0, N231+(IFERROR(IF(22*INDEX('UA-normalized'!$D:$D, MATCH($A231, 'UA-normalized'!$A:$A, 0))-INDEX('UA-normalized'!$E:$E, MATCH($A231, 'UA-normalized'!$A:$A, 0))&gt;0, -(22*INDEX('UA-normalized'!$D:$D, MATCH($A231, 'UA-normalized'!$A:$A, 0))-INDEX('UA-normalized'!$E:$E, MATCH($A231, 'UA-normalized'!$A:$A, 0))), 0), 0))+(IFERROR(IF(22*INDEX('KZ-normalized'!$D:$D, MATCH($A231, 'KZ-normalized'!$A:$A, 0))-INDEX('KZ-normalized'!$E:$E, MATCH($A231, 'KZ-normalized'!$A:$A, 0))&gt;0, -(22*INDEX('KZ-normalized'!$D:$D, MATCH($A231, 'KZ-normalized'!$A:$A, 0))-INDEX('KZ-normalized'!$E:$E, MATCH($A231, 'KZ-normalized'!$A:$A, 0))), 0), 0))+(IFERROR(IF(22*INDEX('UZ-normalized'!$D:$D, MATCH($A231, 'UZ-normalized'!$A:$A, 0))-INDEX('UZ-normalized'!$E:$E, MATCH($A231, 'UZ-normalized'!$A:$A, 0))&gt;0, -(22*INDEX('UZ-normalized'!$D:$D, MATCH($A231, 'UZ-normalized'!$A:$A, 0))-INDEX('UZ-normalized'!$E:$E, MATCH($A231, 'UZ-normalized'!$A:$A, 0))), 0), 0)))</f>
        <v>-530.4</v>
      </c>
      <c r="AK231" s="6">
        <f>MIN(0, N231+(IFERROR(IF(23*INDEX('UA-normalized'!$D:$D, MATCH($A231, 'UA-normalized'!$A:$A, 0))-INDEX('UA-normalized'!$E:$E, MATCH($A231, 'UA-normalized'!$A:$A, 0))&gt;0, -(23*INDEX('UA-normalized'!$D:$D, MATCH($A231, 'UA-normalized'!$A:$A, 0))-INDEX('UA-normalized'!$E:$E, MATCH($A231, 'UA-normalized'!$A:$A, 0))), 0), 0))+(IFERROR(IF(23*INDEX('KZ-normalized'!$D:$D, MATCH($A231, 'KZ-normalized'!$A:$A, 0))-INDEX('KZ-normalized'!$E:$E, MATCH($A231, 'KZ-normalized'!$A:$A, 0))&gt;0, -(23*INDEX('KZ-normalized'!$D:$D, MATCH($A231, 'KZ-normalized'!$A:$A, 0))-INDEX('KZ-normalized'!$E:$E, MATCH($A231, 'KZ-normalized'!$A:$A, 0))), 0), 0))+(IFERROR(IF(23*INDEX('UZ-normalized'!$D:$D, MATCH($A231, 'UZ-normalized'!$A:$A, 0))-INDEX('UZ-normalized'!$E:$E, MATCH($A231, 'UZ-normalized'!$A:$A, 0))&gt;0, -(23*INDEX('UZ-normalized'!$D:$D, MATCH($A231, 'UZ-normalized'!$A:$A, 0))-INDEX('UZ-normalized'!$E:$E, MATCH($A231, 'UZ-normalized'!$A:$A, 0))), 0), 0)))</f>
        <v>-562.6</v>
      </c>
      <c r="AL231" s="6">
        <f>MIN(0, N231+(IFERROR(IF(24*INDEX('UA-normalized'!$D:$D, MATCH($A231, 'UA-normalized'!$A:$A, 0))-INDEX('UA-normalized'!$E:$E, MATCH($A231, 'UA-normalized'!$A:$A, 0))&gt;0, -(24*INDEX('UA-normalized'!$D:$D, MATCH($A231, 'UA-normalized'!$A:$A, 0))-INDEX('UA-normalized'!$E:$E, MATCH($A231, 'UA-normalized'!$A:$A, 0))), 0), 0))+(IFERROR(IF(24*INDEX('KZ-normalized'!$D:$D, MATCH($A231, 'KZ-normalized'!$A:$A, 0))-INDEX('KZ-normalized'!$E:$E, MATCH($A231, 'KZ-normalized'!$A:$A, 0))&gt;0, -(24*INDEX('KZ-normalized'!$D:$D, MATCH($A231, 'KZ-normalized'!$A:$A, 0))-INDEX('KZ-normalized'!$E:$E, MATCH($A231, 'KZ-normalized'!$A:$A, 0))), 0), 0))+(IFERROR(IF(24*INDEX('UZ-normalized'!$D:$D, MATCH($A231, 'UZ-normalized'!$A:$A, 0))-INDEX('UZ-normalized'!$E:$E, MATCH($A231, 'UZ-normalized'!$A:$A, 0))&gt;0, -(24*INDEX('UZ-normalized'!$D:$D, MATCH($A231, 'UZ-normalized'!$A:$A, 0))-INDEX('UZ-normalized'!$E:$E, MATCH($A231, 'UZ-normalized'!$A:$A, 0))), 0), 0)))</f>
        <v>-594.79999999999995</v>
      </c>
      <c r="AM231" s="6">
        <f>MIN(0, N231+(IFERROR(IF(25*INDEX('UA-normalized'!$D:$D, MATCH($A231, 'UA-normalized'!$A:$A, 0))-INDEX('UA-normalized'!$E:$E, MATCH($A231, 'UA-normalized'!$A:$A, 0))&gt;0, -(25*INDEX('UA-normalized'!$D:$D, MATCH($A231, 'UA-normalized'!$A:$A, 0))-INDEX('UA-normalized'!$E:$E, MATCH($A231, 'UA-normalized'!$A:$A, 0))), 0), 0))+(IFERROR(IF(25*INDEX('KZ-normalized'!$D:$D, MATCH($A231, 'KZ-normalized'!$A:$A, 0))-INDEX('KZ-normalized'!$E:$E, MATCH($A231, 'KZ-normalized'!$A:$A, 0))&gt;0, -(25*INDEX('KZ-normalized'!$D:$D, MATCH($A231, 'KZ-normalized'!$A:$A, 0))-INDEX('KZ-normalized'!$E:$E, MATCH($A231, 'KZ-normalized'!$A:$A, 0))), 0), 0))+(IFERROR(IF(25*INDEX('UZ-normalized'!$D:$D, MATCH($A231, 'UZ-normalized'!$A:$A, 0))-INDEX('UZ-normalized'!$E:$E, MATCH($A231, 'UZ-normalized'!$A:$A, 0))&gt;0, -(25*INDEX('UZ-normalized'!$D:$D, MATCH($A231, 'UZ-normalized'!$A:$A, 0))-INDEX('UZ-normalized'!$E:$E, MATCH($A231, 'UZ-normalized'!$A:$A, 0))), 0), 0)))</f>
        <v>-627</v>
      </c>
      <c r="AN231" s="6">
        <f>MIN(0, N231+(IFERROR(IF(26*INDEX('UA-normalized'!$D:$D, MATCH($A231, 'UA-normalized'!$A:$A, 0))-INDEX('UA-normalized'!$E:$E, MATCH($A231, 'UA-normalized'!$A:$A, 0))&gt;0, -(26*INDEX('UA-normalized'!$D:$D, MATCH($A231, 'UA-normalized'!$A:$A, 0))-INDEX('UA-normalized'!$E:$E, MATCH($A231, 'UA-normalized'!$A:$A, 0))), 0), 0))+(IFERROR(IF(26*INDEX('KZ-normalized'!$D:$D, MATCH($A231, 'KZ-normalized'!$A:$A, 0))-INDEX('KZ-normalized'!$E:$E, MATCH($A231, 'KZ-normalized'!$A:$A, 0))&gt;0, -(26*INDEX('KZ-normalized'!$D:$D, MATCH($A231, 'KZ-normalized'!$A:$A, 0))-INDEX('KZ-normalized'!$E:$E, MATCH($A231, 'KZ-normalized'!$A:$A, 0))), 0), 0))+(IFERROR(IF(26*INDEX('UZ-normalized'!$D:$D, MATCH($A231, 'UZ-normalized'!$A:$A, 0))-INDEX('UZ-normalized'!$E:$E, MATCH($A231, 'UZ-normalized'!$A:$A, 0))&gt;0, -(26*INDEX('UZ-normalized'!$D:$D, MATCH($A231, 'UZ-normalized'!$A:$A, 0))-INDEX('UZ-normalized'!$E:$E, MATCH($A231, 'UZ-normalized'!$A:$A, 0))), 0), 0)))</f>
        <v>-659.2</v>
      </c>
      <c r="AO231" s="6">
        <f>MIN(0, N231+(IFERROR(IF(27*INDEX('UA-normalized'!$D:$D, MATCH($A231, 'UA-normalized'!$A:$A, 0))-INDEX('UA-normalized'!$E:$E, MATCH($A231, 'UA-normalized'!$A:$A, 0))&gt;0, -(27*INDEX('UA-normalized'!$D:$D, MATCH($A231, 'UA-normalized'!$A:$A, 0))-INDEX('UA-normalized'!$E:$E, MATCH($A231, 'UA-normalized'!$A:$A, 0))), 0), 0))+(IFERROR(IF(27*INDEX('KZ-normalized'!$D:$D, MATCH($A231, 'KZ-normalized'!$A:$A, 0))-INDEX('KZ-normalized'!$E:$E, MATCH($A231, 'KZ-normalized'!$A:$A, 0))&gt;0, -(27*INDEX('KZ-normalized'!$D:$D, MATCH($A231, 'KZ-normalized'!$A:$A, 0))-INDEX('KZ-normalized'!$E:$E, MATCH($A231, 'KZ-normalized'!$A:$A, 0))), 0), 0))+(IFERROR(IF(27*INDEX('UZ-normalized'!$D:$D, MATCH($A231, 'UZ-normalized'!$A:$A, 0))-INDEX('UZ-normalized'!$E:$E, MATCH($A231, 'UZ-normalized'!$A:$A, 0))&gt;0, -(27*INDEX('UZ-normalized'!$D:$D, MATCH($A231, 'UZ-normalized'!$A:$A, 0))-INDEX('UZ-normalized'!$E:$E, MATCH($A231, 'UZ-normalized'!$A:$A, 0))), 0), 0)))</f>
        <v>-691.4</v>
      </c>
      <c r="AP231" s="6">
        <f>MIN(0, N231+(IFERROR(IF(28*INDEX('UA-normalized'!$D:$D, MATCH($A231, 'UA-normalized'!$A:$A, 0))-INDEX('UA-normalized'!$E:$E, MATCH($A231, 'UA-normalized'!$A:$A, 0))&gt;0, -(28*INDEX('UA-normalized'!$D:$D, MATCH($A231, 'UA-normalized'!$A:$A, 0))-INDEX('UA-normalized'!$E:$E, MATCH($A231, 'UA-normalized'!$A:$A, 0))), 0), 0))+(IFERROR(IF(28*INDEX('KZ-normalized'!$D:$D, MATCH($A231, 'KZ-normalized'!$A:$A, 0))-INDEX('KZ-normalized'!$E:$E, MATCH($A231, 'KZ-normalized'!$A:$A, 0))&gt;0, -(28*INDEX('KZ-normalized'!$D:$D, MATCH($A231, 'KZ-normalized'!$A:$A, 0))-INDEX('KZ-normalized'!$E:$E, MATCH($A231, 'KZ-normalized'!$A:$A, 0))), 0), 0))+(IFERROR(IF(28*INDEX('UZ-normalized'!$D:$D, MATCH($A231, 'UZ-normalized'!$A:$A, 0))-INDEX('UZ-normalized'!$E:$E, MATCH($A231, 'UZ-normalized'!$A:$A, 0))&gt;0, -(28*INDEX('UZ-normalized'!$D:$D, MATCH($A231, 'UZ-normalized'!$A:$A, 0))-INDEX('UZ-normalized'!$E:$E, MATCH($A231, 'UZ-normalized'!$A:$A, 0))), 0), 0)))</f>
        <v>-723.59999999999991</v>
      </c>
      <c r="AQ231" s="6">
        <f>MIN(0, N231+(IFERROR(IF(29*INDEX('UA-normalized'!$D:$D, MATCH($A231, 'UA-normalized'!$A:$A, 0))-INDEX('UA-normalized'!$E:$E, MATCH($A231, 'UA-normalized'!$A:$A, 0))&gt;0, -(29*INDEX('UA-normalized'!$D:$D, MATCH($A231, 'UA-normalized'!$A:$A, 0))-INDEX('UA-normalized'!$E:$E, MATCH($A231, 'UA-normalized'!$A:$A, 0))), 0), 0))+(IFERROR(IF(29*INDEX('KZ-normalized'!$D:$D, MATCH($A231, 'KZ-normalized'!$A:$A, 0))-INDEX('KZ-normalized'!$E:$E, MATCH($A231, 'KZ-normalized'!$A:$A, 0))&gt;0, -(29*INDEX('KZ-normalized'!$D:$D, MATCH($A231, 'KZ-normalized'!$A:$A, 0))-INDEX('KZ-normalized'!$E:$E, MATCH($A231, 'KZ-normalized'!$A:$A, 0))), 0), 0))+(IFERROR(IF(29*INDEX('UZ-normalized'!$D:$D, MATCH($A231, 'UZ-normalized'!$A:$A, 0))-INDEX('UZ-normalized'!$E:$E, MATCH($A231, 'UZ-normalized'!$A:$A, 0))&gt;0, -(29*INDEX('UZ-normalized'!$D:$D, MATCH($A231, 'UZ-normalized'!$A:$A, 0))-INDEX('UZ-normalized'!$E:$E, MATCH($A231, 'UZ-normalized'!$A:$A, 0))), 0), 0)))</f>
        <v>-755.8</v>
      </c>
      <c r="AR231" s="6">
        <f>MIN(0, N231+(IFERROR(IF(30*INDEX('UA-normalized'!$D:$D, MATCH($A231, 'UA-normalized'!$A:$A, 0))-INDEX('UA-normalized'!$E:$E, MATCH($A231, 'UA-normalized'!$A:$A, 0))&gt;0, -(30*INDEX('UA-normalized'!$D:$D, MATCH($A231, 'UA-normalized'!$A:$A, 0))-INDEX('UA-normalized'!$E:$E, MATCH($A231, 'UA-normalized'!$A:$A, 0))), 0), 0))+(IFERROR(IF(30*INDEX('KZ-normalized'!$D:$D, MATCH($A231, 'KZ-normalized'!$A:$A, 0))-INDEX('KZ-normalized'!$E:$E, MATCH($A231, 'KZ-normalized'!$A:$A, 0))&gt;0, -(30*INDEX('KZ-normalized'!$D:$D, MATCH($A231, 'KZ-normalized'!$A:$A, 0))-INDEX('KZ-normalized'!$E:$E, MATCH($A231, 'KZ-normalized'!$A:$A, 0))), 0), 0))+(IFERROR(IF(30*INDEX('UZ-normalized'!$D:$D, MATCH($A231, 'UZ-normalized'!$A:$A, 0))-INDEX('UZ-normalized'!$E:$E, MATCH($A231, 'UZ-normalized'!$A:$A, 0))&gt;0, -(30*INDEX('UZ-normalized'!$D:$D, MATCH($A231, 'UZ-normalized'!$A:$A, 0))-INDEX('UZ-normalized'!$E:$E, MATCH($A231, 'UZ-normalized'!$A:$A, 0))), 0), 0)))</f>
        <v>-788</v>
      </c>
    </row>
    <row r="232" spans="1:44" x14ac:dyDescent="0.25">
      <c r="A232" s="8" t="s">
        <v>548</v>
      </c>
      <c r="B232" s="8" t="s">
        <v>492</v>
      </c>
      <c r="C232" s="8" t="s">
        <v>542</v>
      </c>
      <c r="D232" s="8" t="s">
        <v>549</v>
      </c>
      <c r="N232">
        <f t="shared" si="3"/>
        <v>0</v>
      </c>
      <c r="O232" s="6">
        <f>MIN(0, N232+(IFERROR(IF(1*INDEX('UA-normalized'!$D:$D, MATCH($A232, 'UA-normalized'!$A:$A, 0))-INDEX('UA-normalized'!$E:$E, MATCH($A232, 'UA-normalized'!$A:$A, 0))&gt;0, -(1*INDEX('UA-normalized'!$D:$D, MATCH($A232, 'UA-normalized'!$A:$A, 0))-INDEX('UA-normalized'!$E:$E, MATCH($A232, 'UA-normalized'!$A:$A, 0))), 0), 0))+(IFERROR(IF(1*INDEX('KZ-normalized'!$D:$D, MATCH($A232, 'KZ-normalized'!$A:$A, 0))-INDEX('KZ-normalized'!$E:$E, MATCH($A232, 'KZ-normalized'!$A:$A, 0))&gt;0, -(1*INDEX('KZ-normalized'!$D:$D, MATCH($A232, 'KZ-normalized'!$A:$A, 0))-INDEX('KZ-normalized'!$E:$E, MATCH($A232, 'KZ-normalized'!$A:$A, 0))), 0), 0))+(IFERROR(IF(1*INDEX('UZ-normalized'!$D:$D, MATCH($A232, 'UZ-normalized'!$A:$A, 0))-INDEX('UZ-normalized'!$E:$E, MATCH($A232, 'UZ-normalized'!$A:$A, 0))&gt;0, -(1*INDEX('UZ-normalized'!$D:$D, MATCH($A232, 'UZ-normalized'!$A:$A, 0))-INDEX('UZ-normalized'!$E:$E, MATCH($A232, 'UZ-normalized'!$A:$A, 0))), 0), 0)))</f>
        <v>0</v>
      </c>
      <c r="P232" s="6">
        <f>MIN(0, N232+(IFERROR(IF(2*INDEX('UA-normalized'!$D:$D, MATCH($A232, 'UA-normalized'!$A:$A, 0))-INDEX('UA-normalized'!$E:$E, MATCH($A232, 'UA-normalized'!$A:$A, 0))&gt;0, -(2*INDEX('UA-normalized'!$D:$D, MATCH($A232, 'UA-normalized'!$A:$A, 0))-INDEX('UA-normalized'!$E:$E, MATCH($A232, 'UA-normalized'!$A:$A, 0))), 0), 0))+(IFERROR(IF(2*INDEX('KZ-normalized'!$D:$D, MATCH($A232, 'KZ-normalized'!$A:$A, 0))-INDEX('KZ-normalized'!$E:$E, MATCH($A232, 'KZ-normalized'!$A:$A, 0))&gt;0, -(2*INDEX('KZ-normalized'!$D:$D, MATCH($A232, 'KZ-normalized'!$A:$A, 0))-INDEX('KZ-normalized'!$E:$E, MATCH($A232, 'KZ-normalized'!$A:$A, 0))), 0), 0))+(IFERROR(IF(2*INDEX('UZ-normalized'!$D:$D, MATCH($A232, 'UZ-normalized'!$A:$A, 0))-INDEX('UZ-normalized'!$E:$E, MATCH($A232, 'UZ-normalized'!$A:$A, 0))&gt;0, -(2*INDEX('UZ-normalized'!$D:$D, MATCH($A232, 'UZ-normalized'!$A:$A, 0))-INDEX('UZ-normalized'!$E:$E, MATCH($A232, 'UZ-normalized'!$A:$A, 0))), 0), 0)))</f>
        <v>0</v>
      </c>
      <c r="Q232" s="6">
        <f>MIN(0, N232+(IFERROR(IF(3*INDEX('UA-normalized'!$D:$D, MATCH($A232, 'UA-normalized'!$A:$A, 0))-INDEX('UA-normalized'!$E:$E, MATCH($A232, 'UA-normalized'!$A:$A, 0))&gt;0, -(3*INDEX('UA-normalized'!$D:$D, MATCH($A232, 'UA-normalized'!$A:$A, 0))-INDEX('UA-normalized'!$E:$E, MATCH($A232, 'UA-normalized'!$A:$A, 0))), 0), 0))+(IFERROR(IF(3*INDEX('KZ-normalized'!$D:$D, MATCH($A232, 'KZ-normalized'!$A:$A, 0))-INDEX('KZ-normalized'!$E:$E, MATCH($A232, 'KZ-normalized'!$A:$A, 0))&gt;0, -(3*INDEX('KZ-normalized'!$D:$D, MATCH($A232, 'KZ-normalized'!$A:$A, 0))-INDEX('KZ-normalized'!$E:$E, MATCH($A232, 'KZ-normalized'!$A:$A, 0))), 0), 0))+(IFERROR(IF(3*INDEX('UZ-normalized'!$D:$D, MATCH($A232, 'UZ-normalized'!$A:$A, 0))-INDEX('UZ-normalized'!$E:$E, MATCH($A232, 'UZ-normalized'!$A:$A, 0))&gt;0, -(3*INDEX('UZ-normalized'!$D:$D, MATCH($A232, 'UZ-normalized'!$A:$A, 0))-INDEX('UZ-normalized'!$E:$E, MATCH($A232, 'UZ-normalized'!$A:$A, 0))), 0), 0)))</f>
        <v>0</v>
      </c>
      <c r="R232" s="6">
        <f>MIN(0, N232+(IFERROR(IF(4*INDEX('UA-normalized'!$D:$D, MATCH($A232, 'UA-normalized'!$A:$A, 0))-INDEX('UA-normalized'!$E:$E, MATCH($A232, 'UA-normalized'!$A:$A, 0))&gt;0, -(4*INDEX('UA-normalized'!$D:$D, MATCH($A232, 'UA-normalized'!$A:$A, 0))-INDEX('UA-normalized'!$E:$E, MATCH($A232, 'UA-normalized'!$A:$A, 0))), 0), 0))+(IFERROR(IF(4*INDEX('KZ-normalized'!$D:$D, MATCH($A232, 'KZ-normalized'!$A:$A, 0))-INDEX('KZ-normalized'!$E:$E, MATCH($A232, 'KZ-normalized'!$A:$A, 0))&gt;0, -(4*INDEX('KZ-normalized'!$D:$D, MATCH($A232, 'KZ-normalized'!$A:$A, 0))-INDEX('KZ-normalized'!$E:$E, MATCH($A232, 'KZ-normalized'!$A:$A, 0))), 0), 0))+(IFERROR(IF(4*INDEX('UZ-normalized'!$D:$D, MATCH($A232, 'UZ-normalized'!$A:$A, 0))-INDEX('UZ-normalized'!$E:$E, MATCH($A232, 'UZ-normalized'!$A:$A, 0))&gt;0, -(4*INDEX('UZ-normalized'!$D:$D, MATCH($A232, 'UZ-normalized'!$A:$A, 0))-INDEX('UZ-normalized'!$E:$E, MATCH($A232, 'UZ-normalized'!$A:$A, 0))), 0), 0)))</f>
        <v>0</v>
      </c>
      <c r="S232" s="6">
        <f>MIN(0, N232+(IFERROR(IF(5*INDEX('UA-normalized'!$D:$D, MATCH($A232, 'UA-normalized'!$A:$A, 0))-INDEX('UA-normalized'!$E:$E, MATCH($A232, 'UA-normalized'!$A:$A, 0))&gt;0, -(5*INDEX('UA-normalized'!$D:$D, MATCH($A232, 'UA-normalized'!$A:$A, 0))-INDEX('UA-normalized'!$E:$E, MATCH($A232, 'UA-normalized'!$A:$A, 0))), 0), 0))+(IFERROR(IF(5*INDEX('KZ-normalized'!$D:$D, MATCH($A232, 'KZ-normalized'!$A:$A, 0))-INDEX('KZ-normalized'!$E:$E, MATCH($A232, 'KZ-normalized'!$A:$A, 0))&gt;0, -(5*INDEX('KZ-normalized'!$D:$D, MATCH($A232, 'KZ-normalized'!$A:$A, 0))-INDEX('KZ-normalized'!$E:$E, MATCH($A232, 'KZ-normalized'!$A:$A, 0))), 0), 0))+(IFERROR(IF(5*INDEX('UZ-normalized'!$D:$D, MATCH($A232, 'UZ-normalized'!$A:$A, 0))-INDEX('UZ-normalized'!$E:$E, MATCH($A232, 'UZ-normalized'!$A:$A, 0))&gt;0, -(5*INDEX('UZ-normalized'!$D:$D, MATCH($A232, 'UZ-normalized'!$A:$A, 0))-INDEX('UZ-normalized'!$E:$E, MATCH($A232, 'UZ-normalized'!$A:$A, 0))), 0), 0)))</f>
        <v>0</v>
      </c>
      <c r="T232" s="6">
        <f>MIN(0, N232+(IFERROR(IF(6*INDEX('UA-normalized'!$D:$D, MATCH($A232, 'UA-normalized'!$A:$A, 0))-INDEX('UA-normalized'!$E:$E, MATCH($A232, 'UA-normalized'!$A:$A, 0))&gt;0, -(6*INDEX('UA-normalized'!$D:$D, MATCH($A232, 'UA-normalized'!$A:$A, 0))-INDEX('UA-normalized'!$E:$E, MATCH($A232, 'UA-normalized'!$A:$A, 0))), 0), 0))+(IFERROR(IF(6*INDEX('KZ-normalized'!$D:$D, MATCH($A232, 'KZ-normalized'!$A:$A, 0))-INDEX('KZ-normalized'!$E:$E, MATCH($A232, 'KZ-normalized'!$A:$A, 0))&gt;0, -(6*INDEX('KZ-normalized'!$D:$D, MATCH($A232, 'KZ-normalized'!$A:$A, 0))-INDEX('KZ-normalized'!$E:$E, MATCH($A232, 'KZ-normalized'!$A:$A, 0))), 0), 0))+(IFERROR(IF(6*INDEX('UZ-normalized'!$D:$D, MATCH($A232, 'UZ-normalized'!$A:$A, 0))-INDEX('UZ-normalized'!$E:$E, MATCH($A232, 'UZ-normalized'!$A:$A, 0))&gt;0, -(6*INDEX('UZ-normalized'!$D:$D, MATCH($A232, 'UZ-normalized'!$A:$A, 0))-INDEX('UZ-normalized'!$E:$E, MATCH($A232, 'UZ-normalized'!$A:$A, 0))), 0), 0)))</f>
        <v>0</v>
      </c>
      <c r="U232" s="6">
        <f>MIN(0, N232+(IFERROR(IF(7*INDEX('UA-normalized'!$D:$D, MATCH($A232, 'UA-normalized'!$A:$A, 0))-INDEX('UA-normalized'!$E:$E, MATCH($A232, 'UA-normalized'!$A:$A, 0))&gt;0, -(7*INDEX('UA-normalized'!$D:$D, MATCH($A232, 'UA-normalized'!$A:$A, 0))-INDEX('UA-normalized'!$E:$E, MATCH($A232, 'UA-normalized'!$A:$A, 0))), 0), 0))+(IFERROR(IF(7*INDEX('KZ-normalized'!$D:$D, MATCH($A232, 'KZ-normalized'!$A:$A, 0))-INDEX('KZ-normalized'!$E:$E, MATCH($A232, 'KZ-normalized'!$A:$A, 0))&gt;0, -(7*INDEX('KZ-normalized'!$D:$D, MATCH($A232, 'KZ-normalized'!$A:$A, 0))-INDEX('KZ-normalized'!$E:$E, MATCH($A232, 'KZ-normalized'!$A:$A, 0))), 0), 0))+(IFERROR(IF(7*INDEX('UZ-normalized'!$D:$D, MATCH($A232, 'UZ-normalized'!$A:$A, 0))-INDEX('UZ-normalized'!$E:$E, MATCH($A232, 'UZ-normalized'!$A:$A, 0))&gt;0, -(7*INDEX('UZ-normalized'!$D:$D, MATCH($A232, 'UZ-normalized'!$A:$A, 0))-INDEX('UZ-normalized'!$E:$E, MATCH($A232, 'UZ-normalized'!$A:$A, 0))), 0), 0)))</f>
        <v>0</v>
      </c>
      <c r="V232" s="6">
        <f>MIN(0, N232+(IFERROR(IF(8*INDEX('UA-normalized'!$D:$D, MATCH($A232, 'UA-normalized'!$A:$A, 0))-INDEX('UA-normalized'!$E:$E, MATCH($A232, 'UA-normalized'!$A:$A, 0))&gt;0, -(8*INDEX('UA-normalized'!$D:$D, MATCH($A232, 'UA-normalized'!$A:$A, 0))-INDEX('UA-normalized'!$E:$E, MATCH($A232, 'UA-normalized'!$A:$A, 0))), 0), 0))+(IFERROR(IF(8*INDEX('KZ-normalized'!$D:$D, MATCH($A232, 'KZ-normalized'!$A:$A, 0))-INDEX('KZ-normalized'!$E:$E, MATCH($A232, 'KZ-normalized'!$A:$A, 0))&gt;0, -(8*INDEX('KZ-normalized'!$D:$D, MATCH($A232, 'KZ-normalized'!$A:$A, 0))-INDEX('KZ-normalized'!$E:$E, MATCH($A232, 'KZ-normalized'!$A:$A, 0))), 0), 0))+(IFERROR(IF(8*INDEX('UZ-normalized'!$D:$D, MATCH($A232, 'UZ-normalized'!$A:$A, 0))-INDEX('UZ-normalized'!$E:$E, MATCH($A232, 'UZ-normalized'!$A:$A, 0))&gt;0, -(8*INDEX('UZ-normalized'!$D:$D, MATCH($A232, 'UZ-normalized'!$A:$A, 0))-INDEX('UZ-normalized'!$E:$E, MATCH($A232, 'UZ-normalized'!$A:$A, 0))), 0), 0)))</f>
        <v>0</v>
      </c>
      <c r="W232" s="6">
        <f>MIN(0, N232+(IFERROR(IF(9*INDEX('UA-normalized'!$D:$D, MATCH($A232, 'UA-normalized'!$A:$A, 0))-INDEX('UA-normalized'!$E:$E, MATCH($A232, 'UA-normalized'!$A:$A, 0))&gt;0, -(9*INDEX('UA-normalized'!$D:$D, MATCH($A232, 'UA-normalized'!$A:$A, 0))-INDEX('UA-normalized'!$E:$E, MATCH($A232, 'UA-normalized'!$A:$A, 0))), 0), 0))+(IFERROR(IF(9*INDEX('KZ-normalized'!$D:$D, MATCH($A232, 'KZ-normalized'!$A:$A, 0))-INDEX('KZ-normalized'!$E:$E, MATCH($A232, 'KZ-normalized'!$A:$A, 0))&gt;0, -(9*INDEX('KZ-normalized'!$D:$D, MATCH($A232, 'KZ-normalized'!$A:$A, 0))-INDEX('KZ-normalized'!$E:$E, MATCH($A232, 'KZ-normalized'!$A:$A, 0))), 0), 0))+(IFERROR(IF(9*INDEX('UZ-normalized'!$D:$D, MATCH($A232, 'UZ-normalized'!$A:$A, 0))-INDEX('UZ-normalized'!$E:$E, MATCH($A232, 'UZ-normalized'!$A:$A, 0))&gt;0, -(9*INDEX('UZ-normalized'!$D:$D, MATCH($A232, 'UZ-normalized'!$A:$A, 0))-INDEX('UZ-normalized'!$E:$E, MATCH($A232, 'UZ-normalized'!$A:$A, 0))), 0), 0)))</f>
        <v>0</v>
      </c>
      <c r="X232" s="6">
        <f>MIN(0, N232+(IFERROR(IF(10*INDEX('UA-normalized'!$D:$D, MATCH($A232, 'UA-normalized'!$A:$A, 0))-INDEX('UA-normalized'!$E:$E, MATCH($A232, 'UA-normalized'!$A:$A, 0))&gt;0, -(10*INDEX('UA-normalized'!$D:$D, MATCH($A232, 'UA-normalized'!$A:$A, 0))-INDEX('UA-normalized'!$E:$E, MATCH($A232, 'UA-normalized'!$A:$A, 0))), 0), 0))+(IFERROR(IF(10*INDEX('KZ-normalized'!$D:$D, MATCH($A232, 'KZ-normalized'!$A:$A, 0))-INDEX('KZ-normalized'!$E:$E, MATCH($A232, 'KZ-normalized'!$A:$A, 0))&gt;0, -(10*INDEX('KZ-normalized'!$D:$D, MATCH($A232, 'KZ-normalized'!$A:$A, 0))-INDEX('KZ-normalized'!$E:$E, MATCH($A232, 'KZ-normalized'!$A:$A, 0))), 0), 0))+(IFERROR(IF(10*INDEX('UZ-normalized'!$D:$D, MATCH($A232, 'UZ-normalized'!$A:$A, 0))-INDEX('UZ-normalized'!$E:$E, MATCH($A232, 'UZ-normalized'!$A:$A, 0))&gt;0, -(10*INDEX('UZ-normalized'!$D:$D, MATCH($A232, 'UZ-normalized'!$A:$A, 0))-INDEX('UZ-normalized'!$E:$E, MATCH($A232, 'UZ-normalized'!$A:$A, 0))), 0), 0)))</f>
        <v>0</v>
      </c>
      <c r="Y232" s="6">
        <f>MIN(0, N232+(IFERROR(IF(11*INDEX('UA-normalized'!$D:$D, MATCH($A232, 'UA-normalized'!$A:$A, 0))-INDEX('UA-normalized'!$E:$E, MATCH($A232, 'UA-normalized'!$A:$A, 0))&gt;0, -(11*INDEX('UA-normalized'!$D:$D, MATCH($A232, 'UA-normalized'!$A:$A, 0))-INDEX('UA-normalized'!$E:$E, MATCH($A232, 'UA-normalized'!$A:$A, 0))), 0), 0))+(IFERROR(IF(11*INDEX('KZ-normalized'!$D:$D, MATCH($A232, 'KZ-normalized'!$A:$A, 0))-INDEX('KZ-normalized'!$E:$E, MATCH($A232, 'KZ-normalized'!$A:$A, 0))&gt;0, -(11*INDEX('KZ-normalized'!$D:$D, MATCH($A232, 'KZ-normalized'!$A:$A, 0))-INDEX('KZ-normalized'!$E:$E, MATCH($A232, 'KZ-normalized'!$A:$A, 0))), 0), 0))+(IFERROR(IF(11*INDEX('UZ-normalized'!$D:$D, MATCH($A232, 'UZ-normalized'!$A:$A, 0))-INDEX('UZ-normalized'!$E:$E, MATCH($A232, 'UZ-normalized'!$A:$A, 0))&gt;0, -(11*INDEX('UZ-normalized'!$D:$D, MATCH($A232, 'UZ-normalized'!$A:$A, 0))-INDEX('UZ-normalized'!$E:$E, MATCH($A232, 'UZ-normalized'!$A:$A, 0))), 0), 0)))</f>
        <v>0</v>
      </c>
      <c r="Z232" s="6">
        <f>MIN(0, N232+(IFERROR(IF(12*INDEX('UA-normalized'!$D:$D, MATCH($A232, 'UA-normalized'!$A:$A, 0))-INDEX('UA-normalized'!$E:$E, MATCH($A232, 'UA-normalized'!$A:$A, 0))&gt;0, -(12*INDEX('UA-normalized'!$D:$D, MATCH($A232, 'UA-normalized'!$A:$A, 0))-INDEX('UA-normalized'!$E:$E, MATCH($A232, 'UA-normalized'!$A:$A, 0))), 0), 0))+(IFERROR(IF(12*INDEX('KZ-normalized'!$D:$D, MATCH($A232, 'KZ-normalized'!$A:$A, 0))-INDEX('KZ-normalized'!$E:$E, MATCH($A232, 'KZ-normalized'!$A:$A, 0))&gt;0, -(12*INDEX('KZ-normalized'!$D:$D, MATCH($A232, 'KZ-normalized'!$A:$A, 0))-INDEX('KZ-normalized'!$E:$E, MATCH($A232, 'KZ-normalized'!$A:$A, 0))), 0), 0))+(IFERROR(IF(12*INDEX('UZ-normalized'!$D:$D, MATCH($A232, 'UZ-normalized'!$A:$A, 0))-INDEX('UZ-normalized'!$E:$E, MATCH($A232, 'UZ-normalized'!$A:$A, 0))&gt;0, -(12*INDEX('UZ-normalized'!$D:$D, MATCH($A232, 'UZ-normalized'!$A:$A, 0))-INDEX('UZ-normalized'!$E:$E, MATCH($A232, 'UZ-normalized'!$A:$A, 0))), 0), 0)))</f>
        <v>0</v>
      </c>
      <c r="AA232" s="6">
        <f>MIN(0, N232+(IFERROR(IF(13*INDEX('UA-normalized'!$D:$D, MATCH($A232, 'UA-normalized'!$A:$A, 0))-INDEX('UA-normalized'!$E:$E, MATCH($A232, 'UA-normalized'!$A:$A, 0))&gt;0, -(13*INDEX('UA-normalized'!$D:$D, MATCH($A232, 'UA-normalized'!$A:$A, 0))-INDEX('UA-normalized'!$E:$E, MATCH($A232, 'UA-normalized'!$A:$A, 0))), 0), 0))+(IFERROR(IF(13*INDEX('KZ-normalized'!$D:$D, MATCH($A232, 'KZ-normalized'!$A:$A, 0))-INDEX('KZ-normalized'!$E:$E, MATCH($A232, 'KZ-normalized'!$A:$A, 0))&gt;0, -(13*INDEX('KZ-normalized'!$D:$D, MATCH($A232, 'KZ-normalized'!$A:$A, 0))-INDEX('KZ-normalized'!$E:$E, MATCH($A232, 'KZ-normalized'!$A:$A, 0))), 0), 0))+(IFERROR(IF(13*INDEX('UZ-normalized'!$D:$D, MATCH($A232, 'UZ-normalized'!$A:$A, 0))-INDEX('UZ-normalized'!$E:$E, MATCH($A232, 'UZ-normalized'!$A:$A, 0))&gt;0, -(13*INDEX('UZ-normalized'!$D:$D, MATCH($A232, 'UZ-normalized'!$A:$A, 0))-INDEX('UZ-normalized'!$E:$E, MATCH($A232, 'UZ-normalized'!$A:$A, 0))), 0), 0)))</f>
        <v>0</v>
      </c>
      <c r="AB232" s="6">
        <f>MIN(0, N232+(IFERROR(IF(14*INDEX('UA-normalized'!$D:$D, MATCH($A232, 'UA-normalized'!$A:$A, 0))-INDEX('UA-normalized'!$E:$E, MATCH($A232, 'UA-normalized'!$A:$A, 0))&gt;0, -(14*INDEX('UA-normalized'!$D:$D, MATCH($A232, 'UA-normalized'!$A:$A, 0))-INDEX('UA-normalized'!$E:$E, MATCH($A232, 'UA-normalized'!$A:$A, 0))), 0), 0))+(IFERROR(IF(14*INDEX('KZ-normalized'!$D:$D, MATCH($A232, 'KZ-normalized'!$A:$A, 0))-INDEX('KZ-normalized'!$E:$E, MATCH($A232, 'KZ-normalized'!$A:$A, 0))&gt;0, -(14*INDEX('KZ-normalized'!$D:$D, MATCH($A232, 'KZ-normalized'!$A:$A, 0))-INDEX('KZ-normalized'!$E:$E, MATCH($A232, 'KZ-normalized'!$A:$A, 0))), 0), 0))+(IFERROR(IF(14*INDEX('UZ-normalized'!$D:$D, MATCH($A232, 'UZ-normalized'!$A:$A, 0))-INDEX('UZ-normalized'!$E:$E, MATCH($A232, 'UZ-normalized'!$A:$A, 0))&gt;0, -(14*INDEX('UZ-normalized'!$D:$D, MATCH($A232, 'UZ-normalized'!$A:$A, 0))-INDEX('UZ-normalized'!$E:$E, MATCH($A232, 'UZ-normalized'!$A:$A, 0))), 0), 0)))</f>
        <v>0</v>
      </c>
      <c r="AC232" s="6">
        <f>MIN(0, N232+(IFERROR(IF(15*INDEX('UA-normalized'!$D:$D, MATCH($A232, 'UA-normalized'!$A:$A, 0))-INDEX('UA-normalized'!$E:$E, MATCH($A232, 'UA-normalized'!$A:$A, 0))&gt;0, -(15*INDEX('UA-normalized'!$D:$D, MATCH($A232, 'UA-normalized'!$A:$A, 0))-INDEX('UA-normalized'!$E:$E, MATCH($A232, 'UA-normalized'!$A:$A, 0))), 0), 0))+(IFERROR(IF(15*INDEX('KZ-normalized'!$D:$D, MATCH($A232, 'KZ-normalized'!$A:$A, 0))-INDEX('KZ-normalized'!$E:$E, MATCH($A232, 'KZ-normalized'!$A:$A, 0))&gt;0, -(15*INDEX('KZ-normalized'!$D:$D, MATCH($A232, 'KZ-normalized'!$A:$A, 0))-INDEX('KZ-normalized'!$E:$E, MATCH($A232, 'KZ-normalized'!$A:$A, 0))), 0), 0))+(IFERROR(IF(15*INDEX('UZ-normalized'!$D:$D, MATCH($A232, 'UZ-normalized'!$A:$A, 0))-INDEX('UZ-normalized'!$E:$E, MATCH($A232, 'UZ-normalized'!$A:$A, 0))&gt;0, -(15*INDEX('UZ-normalized'!$D:$D, MATCH($A232, 'UZ-normalized'!$A:$A, 0))-INDEX('UZ-normalized'!$E:$E, MATCH($A232, 'UZ-normalized'!$A:$A, 0))), 0), 0)))</f>
        <v>0</v>
      </c>
      <c r="AD232" s="6">
        <f>MIN(0, N232+(IFERROR(IF(16*INDEX('UA-normalized'!$D:$D, MATCH($A232, 'UA-normalized'!$A:$A, 0))-INDEX('UA-normalized'!$E:$E, MATCH($A232, 'UA-normalized'!$A:$A, 0))&gt;0, -(16*INDEX('UA-normalized'!$D:$D, MATCH($A232, 'UA-normalized'!$A:$A, 0))-INDEX('UA-normalized'!$E:$E, MATCH($A232, 'UA-normalized'!$A:$A, 0))), 0), 0))+(IFERROR(IF(16*INDEX('KZ-normalized'!$D:$D, MATCH($A232, 'KZ-normalized'!$A:$A, 0))-INDEX('KZ-normalized'!$E:$E, MATCH($A232, 'KZ-normalized'!$A:$A, 0))&gt;0, -(16*INDEX('KZ-normalized'!$D:$D, MATCH($A232, 'KZ-normalized'!$A:$A, 0))-INDEX('KZ-normalized'!$E:$E, MATCH($A232, 'KZ-normalized'!$A:$A, 0))), 0), 0))+(IFERROR(IF(16*INDEX('UZ-normalized'!$D:$D, MATCH($A232, 'UZ-normalized'!$A:$A, 0))-INDEX('UZ-normalized'!$E:$E, MATCH($A232, 'UZ-normalized'!$A:$A, 0))&gt;0, -(16*INDEX('UZ-normalized'!$D:$D, MATCH($A232, 'UZ-normalized'!$A:$A, 0))-INDEX('UZ-normalized'!$E:$E, MATCH($A232, 'UZ-normalized'!$A:$A, 0))), 0), 0)))</f>
        <v>0</v>
      </c>
      <c r="AE232" s="6">
        <f>MIN(0, N232+(IFERROR(IF(17*INDEX('UA-normalized'!$D:$D, MATCH($A232, 'UA-normalized'!$A:$A, 0))-INDEX('UA-normalized'!$E:$E, MATCH($A232, 'UA-normalized'!$A:$A, 0))&gt;0, -(17*INDEX('UA-normalized'!$D:$D, MATCH($A232, 'UA-normalized'!$A:$A, 0))-INDEX('UA-normalized'!$E:$E, MATCH($A232, 'UA-normalized'!$A:$A, 0))), 0), 0))+(IFERROR(IF(17*INDEX('KZ-normalized'!$D:$D, MATCH($A232, 'KZ-normalized'!$A:$A, 0))-INDEX('KZ-normalized'!$E:$E, MATCH($A232, 'KZ-normalized'!$A:$A, 0))&gt;0, -(17*INDEX('KZ-normalized'!$D:$D, MATCH($A232, 'KZ-normalized'!$A:$A, 0))-INDEX('KZ-normalized'!$E:$E, MATCH($A232, 'KZ-normalized'!$A:$A, 0))), 0), 0))+(IFERROR(IF(17*INDEX('UZ-normalized'!$D:$D, MATCH($A232, 'UZ-normalized'!$A:$A, 0))-INDEX('UZ-normalized'!$E:$E, MATCH($A232, 'UZ-normalized'!$A:$A, 0))&gt;0, -(17*INDEX('UZ-normalized'!$D:$D, MATCH($A232, 'UZ-normalized'!$A:$A, 0))-INDEX('UZ-normalized'!$E:$E, MATCH($A232, 'UZ-normalized'!$A:$A, 0))), 0), 0)))</f>
        <v>0</v>
      </c>
      <c r="AF232" s="6">
        <f>MIN(0, N232+(IFERROR(IF(18*INDEX('UA-normalized'!$D:$D, MATCH($A232, 'UA-normalized'!$A:$A, 0))-INDEX('UA-normalized'!$E:$E, MATCH($A232, 'UA-normalized'!$A:$A, 0))&gt;0, -(18*INDEX('UA-normalized'!$D:$D, MATCH($A232, 'UA-normalized'!$A:$A, 0))-INDEX('UA-normalized'!$E:$E, MATCH($A232, 'UA-normalized'!$A:$A, 0))), 0), 0))+(IFERROR(IF(18*INDEX('KZ-normalized'!$D:$D, MATCH($A232, 'KZ-normalized'!$A:$A, 0))-INDEX('KZ-normalized'!$E:$E, MATCH($A232, 'KZ-normalized'!$A:$A, 0))&gt;0, -(18*INDEX('KZ-normalized'!$D:$D, MATCH($A232, 'KZ-normalized'!$A:$A, 0))-INDEX('KZ-normalized'!$E:$E, MATCH($A232, 'KZ-normalized'!$A:$A, 0))), 0), 0))+(IFERROR(IF(18*INDEX('UZ-normalized'!$D:$D, MATCH($A232, 'UZ-normalized'!$A:$A, 0))-INDEX('UZ-normalized'!$E:$E, MATCH($A232, 'UZ-normalized'!$A:$A, 0))&gt;0, -(18*INDEX('UZ-normalized'!$D:$D, MATCH($A232, 'UZ-normalized'!$A:$A, 0))-INDEX('UZ-normalized'!$E:$E, MATCH($A232, 'UZ-normalized'!$A:$A, 0))), 0), 0)))</f>
        <v>0</v>
      </c>
      <c r="AG232" s="6">
        <f>MIN(0, N232+(IFERROR(IF(19*INDEX('UA-normalized'!$D:$D, MATCH($A232, 'UA-normalized'!$A:$A, 0))-INDEX('UA-normalized'!$E:$E, MATCH($A232, 'UA-normalized'!$A:$A, 0))&gt;0, -(19*INDEX('UA-normalized'!$D:$D, MATCH($A232, 'UA-normalized'!$A:$A, 0))-INDEX('UA-normalized'!$E:$E, MATCH($A232, 'UA-normalized'!$A:$A, 0))), 0), 0))+(IFERROR(IF(19*INDEX('KZ-normalized'!$D:$D, MATCH($A232, 'KZ-normalized'!$A:$A, 0))-INDEX('KZ-normalized'!$E:$E, MATCH($A232, 'KZ-normalized'!$A:$A, 0))&gt;0, -(19*INDEX('KZ-normalized'!$D:$D, MATCH($A232, 'KZ-normalized'!$A:$A, 0))-INDEX('KZ-normalized'!$E:$E, MATCH($A232, 'KZ-normalized'!$A:$A, 0))), 0), 0))+(IFERROR(IF(19*INDEX('UZ-normalized'!$D:$D, MATCH($A232, 'UZ-normalized'!$A:$A, 0))-INDEX('UZ-normalized'!$E:$E, MATCH($A232, 'UZ-normalized'!$A:$A, 0))&gt;0, -(19*INDEX('UZ-normalized'!$D:$D, MATCH($A232, 'UZ-normalized'!$A:$A, 0))-INDEX('UZ-normalized'!$E:$E, MATCH($A232, 'UZ-normalized'!$A:$A, 0))), 0), 0)))</f>
        <v>0</v>
      </c>
      <c r="AH232" s="6">
        <f>MIN(0, N232+(IFERROR(IF(20*INDEX('UA-normalized'!$D:$D, MATCH($A232, 'UA-normalized'!$A:$A, 0))-INDEX('UA-normalized'!$E:$E, MATCH($A232, 'UA-normalized'!$A:$A, 0))&gt;0, -(20*INDEX('UA-normalized'!$D:$D, MATCH($A232, 'UA-normalized'!$A:$A, 0))-INDEX('UA-normalized'!$E:$E, MATCH($A232, 'UA-normalized'!$A:$A, 0))), 0), 0))+(IFERROR(IF(20*INDEX('KZ-normalized'!$D:$D, MATCH($A232, 'KZ-normalized'!$A:$A, 0))-INDEX('KZ-normalized'!$E:$E, MATCH($A232, 'KZ-normalized'!$A:$A, 0))&gt;0, -(20*INDEX('KZ-normalized'!$D:$D, MATCH($A232, 'KZ-normalized'!$A:$A, 0))-INDEX('KZ-normalized'!$E:$E, MATCH($A232, 'KZ-normalized'!$A:$A, 0))), 0), 0))+(IFERROR(IF(20*INDEX('UZ-normalized'!$D:$D, MATCH($A232, 'UZ-normalized'!$A:$A, 0))-INDEX('UZ-normalized'!$E:$E, MATCH($A232, 'UZ-normalized'!$A:$A, 0))&gt;0, -(20*INDEX('UZ-normalized'!$D:$D, MATCH($A232, 'UZ-normalized'!$A:$A, 0))-INDEX('UZ-normalized'!$E:$E, MATCH($A232, 'UZ-normalized'!$A:$A, 0))), 0), 0)))</f>
        <v>0</v>
      </c>
      <c r="AI232" s="6">
        <f>MIN(0, N232+(IFERROR(IF(21*INDEX('UA-normalized'!$D:$D, MATCH($A232, 'UA-normalized'!$A:$A, 0))-INDEX('UA-normalized'!$E:$E, MATCH($A232, 'UA-normalized'!$A:$A, 0))&gt;0, -(21*INDEX('UA-normalized'!$D:$D, MATCH($A232, 'UA-normalized'!$A:$A, 0))-INDEX('UA-normalized'!$E:$E, MATCH($A232, 'UA-normalized'!$A:$A, 0))), 0), 0))+(IFERROR(IF(21*INDEX('KZ-normalized'!$D:$D, MATCH($A232, 'KZ-normalized'!$A:$A, 0))-INDEX('KZ-normalized'!$E:$E, MATCH($A232, 'KZ-normalized'!$A:$A, 0))&gt;0, -(21*INDEX('KZ-normalized'!$D:$D, MATCH($A232, 'KZ-normalized'!$A:$A, 0))-INDEX('KZ-normalized'!$E:$E, MATCH($A232, 'KZ-normalized'!$A:$A, 0))), 0), 0))+(IFERROR(IF(21*INDEX('UZ-normalized'!$D:$D, MATCH($A232, 'UZ-normalized'!$A:$A, 0))-INDEX('UZ-normalized'!$E:$E, MATCH($A232, 'UZ-normalized'!$A:$A, 0))&gt;0, -(21*INDEX('UZ-normalized'!$D:$D, MATCH($A232, 'UZ-normalized'!$A:$A, 0))-INDEX('UZ-normalized'!$E:$E, MATCH($A232, 'UZ-normalized'!$A:$A, 0))), 0), 0)))</f>
        <v>0</v>
      </c>
      <c r="AJ232" s="6">
        <f>MIN(0, N232+(IFERROR(IF(22*INDEX('UA-normalized'!$D:$D, MATCH($A232, 'UA-normalized'!$A:$A, 0))-INDEX('UA-normalized'!$E:$E, MATCH($A232, 'UA-normalized'!$A:$A, 0))&gt;0, -(22*INDEX('UA-normalized'!$D:$D, MATCH($A232, 'UA-normalized'!$A:$A, 0))-INDEX('UA-normalized'!$E:$E, MATCH($A232, 'UA-normalized'!$A:$A, 0))), 0), 0))+(IFERROR(IF(22*INDEX('KZ-normalized'!$D:$D, MATCH($A232, 'KZ-normalized'!$A:$A, 0))-INDEX('KZ-normalized'!$E:$E, MATCH($A232, 'KZ-normalized'!$A:$A, 0))&gt;0, -(22*INDEX('KZ-normalized'!$D:$D, MATCH($A232, 'KZ-normalized'!$A:$A, 0))-INDEX('KZ-normalized'!$E:$E, MATCH($A232, 'KZ-normalized'!$A:$A, 0))), 0), 0))+(IFERROR(IF(22*INDEX('UZ-normalized'!$D:$D, MATCH($A232, 'UZ-normalized'!$A:$A, 0))-INDEX('UZ-normalized'!$E:$E, MATCH($A232, 'UZ-normalized'!$A:$A, 0))&gt;0, -(22*INDEX('UZ-normalized'!$D:$D, MATCH($A232, 'UZ-normalized'!$A:$A, 0))-INDEX('UZ-normalized'!$E:$E, MATCH($A232, 'UZ-normalized'!$A:$A, 0))), 0), 0)))</f>
        <v>0</v>
      </c>
      <c r="AK232" s="6">
        <f>MIN(0, N232+(IFERROR(IF(23*INDEX('UA-normalized'!$D:$D, MATCH($A232, 'UA-normalized'!$A:$A, 0))-INDEX('UA-normalized'!$E:$E, MATCH($A232, 'UA-normalized'!$A:$A, 0))&gt;0, -(23*INDEX('UA-normalized'!$D:$D, MATCH($A232, 'UA-normalized'!$A:$A, 0))-INDEX('UA-normalized'!$E:$E, MATCH($A232, 'UA-normalized'!$A:$A, 0))), 0), 0))+(IFERROR(IF(23*INDEX('KZ-normalized'!$D:$D, MATCH($A232, 'KZ-normalized'!$A:$A, 0))-INDEX('KZ-normalized'!$E:$E, MATCH($A232, 'KZ-normalized'!$A:$A, 0))&gt;0, -(23*INDEX('KZ-normalized'!$D:$D, MATCH($A232, 'KZ-normalized'!$A:$A, 0))-INDEX('KZ-normalized'!$E:$E, MATCH($A232, 'KZ-normalized'!$A:$A, 0))), 0), 0))+(IFERROR(IF(23*INDEX('UZ-normalized'!$D:$D, MATCH($A232, 'UZ-normalized'!$A:$A, 0))-INDEX('UZ-normalized'!$E:$E, MATCH($A232, 'UZ-normalized'!$A:$A, 0))&gt;0, -(23*INDEX('UZ-normalized'!$D:$D, MATCH($A232, 'UZ-normalized'!$A:$A, 0))-INDEX('UZ-normalized'!$E:$E, MATCH($A232, 'UZ-normalized'!$A:$A, 0))), 0), 0)))</f>
        <v>0</v>
      </c>
      <c r="AL232" s="6">
        <f>MIN(0, N232+(IFERROR(IF(24*INDEX('UA-normalized'!$D:$D, MATCH($A232, 'UA-normalized'!$A:$A, 0))-INDEX('UA-normalized'!$E:$E, MATCH($A232, 'UA-normalized'!$A:$A, 0))&gt;0, -(24*INDEX('UA-normalized'!$D:$D, MATCH($A232, 'UA-normalized'!$A:$A, 0))-INDEX('UA-normalized'!$E:$E, MATCH($A232, 'UA-normalized'!$A:$A, 0))), 0), 0))+(IFERROR(IF(24*INDEX('KZ-normalized'!$D:$D, MATCH($A232, 'KZ-normalized'!$A:$A, 0))-INDEX('KZ-normalized'!$E:$E, MATCH($A232, 'KZ-normalized'!$A:$A, 0))&gt;0, -(24*INDEX('KZ-normalized'!$D:$D, MATCH($A232, 'KZ-normalized'!$A:$A, 0))-INDEX('KZ-normalized'!$E:$E, MATCH($A232, 'KZ-normalized'!$A:$A, 0))), 0), 0))+(IFERROR(IF(24*INDEX('UZ-normalized'!$D:$D, MATCH($A232, 'UZ-normalized'!$A:$A, 0))-INDEX('UZ-normalized'!$E:$E, MATCH($A232, 'UZ-normalized'!$A:$A, 0))&gt;0, -(24*INDEX('UZ-normalized'!$D:$D, MATCH($A232, 'UZ-normalized'!$A:$A, 0))-INDEX('UZ-normalized'!$E:$E, MATCH($A232, 'UZ-normalized'!$A:$A, 0))), 0), 0)))</f>
        <v>0</v>
      </c>
      <c r="AM232" s="6">
        <f>MIN(0, N232+(IFERROR(IF(25*INDEX('UA-normalized'!$D:$D, MATCH($A232, 'UA-normalized'!$A:$A, 0))-INDEX('UA-normalized'!$E:$E, MATCH($A232, 'UA-normalized'!$A:$A, 0))&gt;0, -(25*INDEX('UA-normalized'!$D:$D, MATCH($A232, 'UA-normalized'!$A:$A, 0))-INDEX('UA-normalized'!$E:$E, MATCH($A232, 'UA-normalized'!$A:$A, 0))), 0), 0))+(IFERROR(IF(25*INDEX('KZ-normalized'!$D:$D, MATCH($A232, 'KZ-normalized'!$A:$A, 0))-INDEX('KZ-normalized'!$E:$E, MATCH($A232, 'KZ-normalized'!$A:$A, 0))&gt;0, -(25*INDEX('KZ-normalized'!$D:$D, MATCH($A232, 'KZ-normalized'!$A:$A, 0))-INDEX('KZ-normalized'!$E:$E, MATCH($A232, 'KZ-normalized'!$A:$A, 0))), 0), 0))+(IFERROR(IF(25*INDEX('UZ-normalized'!$D:$D, MATCH($A232, 'UZ-normalized'!$A:$A, 0))-INDEX('UZ-normalized'!$E:$E, MATCH($A232, 'UZ-normalized'!$A:$A, 0))&gt;0, -(25*INDEX('UZ-normalized'!$D:$D, MATCH($A232, 'UZ-normalized'!$A:$A, 0))-INDEX('UZ-normalized'!$E:$E, MATCH($A232, 'UZ-normalized'!$A:$A, 0))), 0), 0)))</f>
        <v>0</v>
      </c>
      <c r="AN232" s="6">
        <f>MIN(0, N232+(IFERROR(IF(26*INDEX('UA-normalized'!$D:$D, MATCH($A232, 'UA-normalized'!$A:$A, 0))-INDEX('UA-normalized'!$E:$E, MATCH($A232, 'UA-normalized'!$A:$A, 0))&gt;0, -(26*INDEX('UA-normalized'!$D:$D, MATCH($A232, 'UA-normalized'!$A:$A, 0))-INDEX('UA-normalized'!$E:$E, MATCH($A232, 'UA-normalized'!$A:$A, 0))), 0), 0))+(IFERROR(IF(26*INDEX('KZ-normalized'!$D:$D, MATCH($A232, 'KZ-normalized'!$A:$A, 0))-INDEX('KZ-normalized'!$E:$E, MATCH($A232, 'KZ-normalized'!$A:$A, 0))&gt;0, -(26*INDEX('KZ-normalized'!$D:$D, MATCH($A232, 'KZ-normalized'!$A:$A, 0))-INDEX('KZ-normalized'!$E:$E, MATCH($A232, 'KZ-normalized'!$A:$A, 0))), 0), 0))+(IFERROR(IF(26*INDEX('UZ-normalized'!$D:$D, MATCH($A232, 'UZ-normalized'!$A:$A, 0))-INDEX('UZ-normalized'!$E:$E, MATCH($A232, 'UZ-normalized'!$A:$A, 0))&gt;0, -(26*INDEX('UZ-normalized'!$D:$D, MATCH($A232, 'UZ-normalized'!$A:$A, 0))-INDEX('UZ-normalized'!$E:$E, MATCH($A232, 'UZ-normalized'!$A:$A, 0))), 0), 0)))</f>
        <v>-0.80000000000000071</v>
      </c>
      <c r="AO232" s="6">
        <f>MIN(0, N232+(IFERROR(IF(27*INDEX('UA-normalized'!$D:$D, MATCH($A232, 'UA-normalized'!$A:$A, 0))-INDEX('UA-normalized'!$E:$E, MATCH($A232, 'UA-normalized'!$A:$A, 0))&gt;0, -(27*INDEX('UA-normalized'!$D:$D, MATCH($A232, 'UA-normalized'!$A:$A, 0))-INDEX('UA-normalized'!$E:$E, MATCH($A232, 'UA-normalized'!$A:$A, 0))), 0), 0))+(IFERROR(IF(27*INDEX('KZ-normalized'!$D:$D, MATCH($A232, 'KZ-normalized'!$A:$A, 0))-INDEX('KZ-normalized'!$E:$E, MATCH($A232, 'KZ-normalized'!$A:$A, 0))&gt;0, -(27*INDEX('KZ-normalized'!$D:$D, MATCH($A232, 'KZ-normalized'!$A:$A, 0))-INDEX('KZ-normalized'!$E:$E, MATCH($A232, 'KZ-normalized'!$A:$A, 0))), 0), 0))+(IFERROR(IF(27*INDEX('UZ-normalized'!$D:$D, MATCH($A232, 'UZ-normalized'!$A:$A, 0))-INDEX('UZ-normalized'!$E:$E, MATCH($A232, 'UZ-normalized'!$A:$A, 0))&gt;0, -(27*INDEX('UZ-normalized'!$D:$D, MATCH($A232, 'UZ-normalized'!$A:$A, 0))-INDEX('UZ-normalized'!$E:$E, MATCH($A232, 'UZ-normalized'!$A:$A, 0))), 0), 0)))</f>
        <v>-1.6000000000000014</v>
      </c>
      <c r="AP232" s="6">
        <f>MIN(0, N232+(IFERROR(IF(28*INDEX('UA-normalized'!$D:$D, MATCH($A232, 'UA-normalized'!$A:$A, 0))-INDEX('UA-normalized'!$E:$E, MATCH($A232, 'UA-normalized'!$A:$A, 0))&gt;0, -(28*INDEX('UA-normalized'!$D:$D, MATCH($A232, 'UA-normalized'!$A:$A, 0))-INDEX('UA-normalized'!$E:$E, MATCH($A232, 'UA-normalized'!$A:$A, 0))), 0), 0))+(IFERROR(IF(28*INDEX('KZ-normalized'!$D:$D, MATCH($A232, 'KZ-normalized'!$A:$A, 0))-INDEX('KZ-normalized'!$E:$E, MATCH($A232, 'KZ-normalized'!$A:$A, 0))&gt;0, -(28*INDEX('KZ-normalized'!$D:$D, MATCH($A232, 'KZ-normalized'!$A:$A, 0))-INDEX('KZ-normalized'!$E:$E, MATCH($A232, 'KZ-normalized'!$A:$A, 0))), 0), 0))+(IFERROR(IF(28*INDEX('UZ-normalized'!$D:$D, MATCH($A232, 'UZ-normalized'!$A:$A, 0))-INDEX('UZ-normalized'!$E:$E, MATCH($A232, 'UZ-normalized'!$A:$A, 0))&gt;0, -(28*INDEX('UZ-normalized'!$D:$D, MATCH($A232, 'UZ-normalized'!$A:$A, 0))-INDEX('UZ-normalized'!$E:$E, MATCH($A232, 'UZ-normalized'!$A:$A, 0))), 0), 0)))</f>
        <v>-2.4000000000000021</v>
      </c>
      <c r="AQ232" s="6">
        <f>MIN(0, N232+(IFERROR(IF(29*INDEX('UA-normalized'!$D:$D, MATCH($A232, 'UA-normalized'!$A:$A, 0))-INDEX('UA-normalized'!$E:$E, MATCH($A232, 'UA-normalized'!$A:$A, 0))&gt;0, -(29*INDEX('UA-normalized'!$D:$D, MATCH($A232, 'UA-normalized'!$A:$A, 0))-INDEX('UA-normalized'!$E:$E, MATCH($A232, 'UA-normalized'!$A:$A, 0))), 0), 0))+(IFERROR(IF(29*INDEX('KZ-normalized'!$D:$D, MATCH($A232, 'KZ-normalized'!$A:$A, 0))-INDEX('KZ-normalized'!$E:$E, MATCH($A232, 'KZ-normalized'!$A:$A, 0))&gt;0, -(29*INDEX('KZ-normalized'!$D:$D, MATCH($A232, 'KZ-normalized'!$A:$A, 0))-INDEX('KZ-normalized'!$E:$E, MATCH($A232, 'KZ-normalized'!$A:$A, 0))), 0), 0))+(IFERROR(IF(29*INDEX('UZ-normalized'!$D:$D, MATCH($A232, 'UZ-normalized'!$A:$A, 0))-INDEX('UZ-normalized'!$E:$E, MATCH($A232, 'UZ-normalized'!$A:$A, 0))&gt;0, -(29*INDEX('UZ-normalized'!$D:$D, MATCH($A232, 'UZ-normalized'!$A:$A, 0))-INDEX('UZ-normalized'!$E:$E, MATCH($A232, 'UZ-normalized'!$A:$A, 0))), 0), 0)))</f>
        <v>-3.2000000000000028</v>
      </c>
      <c r="AR232" s="6">
        <f>MIN(0, N232+(IFERROR(IF(30*INDEX('UA-normalized'!$D:$D, MATCH($A232, 'UA-normalized'!$A:$A, 0))-INDEX('UA-normalized'!$E:$E, MATCH($A232, 'UA-normalized'!$A:$A, 0))&gt;0, -(30*INDEX('UA-normalized'!$D:$D, MATCH($A232, 'UA-normalized'!$A:$A, 0))-INDEX('UA-normalized'!$E:$E, MATCH($A232, 'UA-normalized'!$A:$A, 0))), 0), 0))+(IFERROR(IF(30*INDEX('KZ-normalized'!$D:$D, MATCH($A232, 'KZ-normalized'!$A:$A, 0))-INDEX('KZ-normalized'!$E:$E, MATCH($A232, 'KZ-normalized'!$A:$A, 0))&gt;0, -(30*INDEX('KZ-normalized'!$D:$D, MATCH($A232, 'KZ-normalized'!$A:$A, 0))-INDEX('KZ-normalized'!$E:$E, MATCH($A232, 'KZ-normalized'!$A:$A, 0))), 0), 0))+(IFERROR(IF(30*INDEX('UZ-normalized'!$D:$D, MATCH($A232, 'UZ-normalized'!$A:$A, 0))-INDEX('UZ-normalized'!$E:$E, MATCH($A232, 'UZ-normalized'!$A:$A, 0))&gt;0, -(30*INDEX('UZ-normalized'!$D:$D, MATCH($A232, 'UZ-normalized'!$A:$A, 0))-INDEX('UZ-normalized'!$E:$E, MATCH($A232, 'UZ-normalized'!$A:$A, 0))), 0), 0)))</f>
        <v>-4.1000000000000005</v>
      </c>
    </row>
    <row r="233" spans="1:44" x14ac:dyDescent="0.25">
      <c r="A233" s="8" t="s">
        <v>550</v>
      </c>
      <c r="B233" s="8" t="s">
        <v>492</v>
      </c>
      <c r="C233" s="8" t="s">
        <v>542</v>
      </c>
      <c r="D233" s="8" t="s">
        <v>551</v>
      </c>
      <c r="N233">
        <f t="shared" si="3"/>
        <v>0</v>
      </c>
      <c r="O233" s="6">
        <f>MIN(0, N233+(IFERROR(IF(1*INDEX('UA-normalized'!$D:$D, MATCH($A233, 'UA-normalized'!$A:$A, 0))-INDEX('UA-normalized'!$E:$E, MATCH($A233, 'UA-normalized'!$A:$A, 0))&gt;0, -(1*INDEX('UA-normalized'!$D:$D, MATCH($A233, 'UA-normalized'!$A:$A, 0))-INDEX('UA-normalized'!$E:$E, MATCH($A233, 'UA-normalized'!$A:$A, 0))), 0), 0))+(IFERROR(IF(1*INDEX('KZ-normalized'!$D:$D, MATCH($A233, 'KZ-normalized'!$A:$A, 0))-INDEX('KZ-normalized'!$E:$E, MATCH($A233, 'KZ-normalized'!$A:$A, 0))&gt;0, -(1*INDEX('KZ-normalized'!$D:$D, MATCH($A233, 'KZ-normalized'!$A:$A, 0))-INDEX('KZ-normalized'!$E:$E, MATCH($A233, 'KZ-normalized'!$A:$A, 0))), 0), 0))+(IFERROR(IF(1*INDEX('UZ-normalized'!$D:$D, MATCH($A233, 'UZ-normalized'!$A:$A, 0))-INDEX('UZ-normalized'!$E:$E, MATCH($A233, 'UZ-normalized'!$A:$A, 0))&gt;0, -(1*INDEX('UZ-normalized'!$D:$D, MATCH($A233, 'UZ-normalized'!$A:$A, 0))-INDEX('UZ-normalized'!$E:$E, MATCH($A233, 'UZ-normalized'!$A:$A, 0))), 0), 0)))</f>
        <v>0</v>
      </c>
      <c r="P233" s="6">
        <f>MIN(0, N233+(IFERROR(IF(2*INDEX('UA-normalized'!$D:$D, MATCH($A233, 'UA-normalized'!$A:$A, 0))-INDEX('UA-normalized'!$E:$E, MATCH($A233, 'UA-normalized'!$A:$A, 0))&gt;0, -(2*INDEX('UA-normalized'!$D:$D, MATCH($A233, 'UA-normalized'!$A:$A, 0))-INDEX('UA-normalized'!$E:$E, MATCH($A233, 'UA-normalized'!$A:$A, 0))), 0), 0))+(IFERROR(IF(2*INDEX('KZ-normalized'!$D:$D, MATCH($A233, 'KZ-normalized'!$A:$A, 0))-INDEX('KZ-normalized'!$E:$E, MATCH($A233, 'KZ-normalized'!$A:$A, 0))&gt;0, -(2*INDEX('KZ-normalized'!$D:$D, MATCH($A233, 'KZ-normalized'!$A:$A, 0))-INDEX('KZ-normalized'!$E:$E, MATCH($A233, 'KZ-normalized'!$A:$A, 0))), 0), 0))+(IFERROR(IF(2*INDEX('UZ-normalized'!$D:$D, MATCH($A233, 'UZ-normalized'!$A:$A, 0))-INDEX('UZ-normalized'!$E:$E, MATCH($A233, 'UZ-normalized'!$A:$A, 0))&gt;0, -(2*INDEX('UZ-normalized'!$D:$D, MATCH($A233, 'UZ-normalized'!$A:$A, 0))-INDEX('UZ-normalized'!$E:$E, MATCH($A233, 'UZ-normalized'!$A:$A, 0))), 0), 0)))</f>
        <v>0</v>
      </c>
      <c r="Q233" s="6">
        <f>MIN(0, N233+(IFERROR(IF(3*INDEX('UA-normalized'!$D:$D, MATCH($A233, 'UA-normalized'!$A:$A, 0))-INDEX('UA-normalized'!$E:$E, MATCH($A233, 'UA-normalized'!$A:$A, 0))&gt;0, -(3*INDEX('UA-normalized'!$D:$D, MATCH($A233, 'UA-normalized'!$A:$A, 0))-INDEX('UA-normalized'!$E:$E, MATCH($A233, 'UA-normalized'!$A:$A, 0))), 0), 0))+(IFERROR(IF(3*INDEX('KZ-normalized'!$D:$D, MATCH($A233, 'KZ-normalized'!$A:$A, 0))-INDEX('KZ-normalized'!$E:$E, MATCH($A233, 'KZ-normalized'!$A:$A, 0))&gt;0, -(3*INDEX('KZ-normalized'!$D:$D, MATCH($A233, 'KZ-normalized'!$A:$A, 0))-INDEX('KZ-normalized'!$E:$E, MATCH($A233, 'KZ-normalized'!$A:$A, 0))), 0), 0))+(IFERROR(IF(3*INDEX('UZ-normalized'!$D:$D, MATCH($A233, 'UZ-normalized'!$A:$A, 0))-INDEX('UZ-normalized'!$E:$E, MATCH($A233, 'UZ-normalized'!$A:$A, 0))&gt;0, -(3*INDEX('UZ-normalized'!$D:$D, MATCH($A233, 'UZ-normalized'!$A:$A, 0))-INDEX('UZ-normalized'!$E:$E, MATCH($A233, 'UZ-normalized'!$A:$A, 0))), 0), 0)))</f>
        <v>0</v>
      </c>
      <c r="R233" s="6">
        <f>MIN(0, N233+(IFERROR(IF(4*INDEX('UA-normalized'!$D:$D, MATCH($A233, 'UA-normalized'!$A:$A, 0))-INDEX('UA-normalized'!$E:$E, MATCH($A233, 'UA-normalized'!$A:$A, 0))&gt;0, -(4*INDEX('UA-normalized'!$D:$D, MATCH($A233, 'UA-normalized'!$A:$A, 0))-INDEX('UA-normalized'!$E:$E, MATCH($A233, 'UA-normalized'!$A:$A, 0))), 0), 0))+(IFERROR(IF(4*INDEX('KZ-normalized'!$D:$D, MATCH($A233, 'KZ-normalized'!$A:$A, 0))-INDEX('KZ-normalized'!$E:$E, MATCH($A233, 'KZ-normalized'!$A:$A, 0))&gt;0, -(4*INDEX('KZ-normalized'!$D:$D, MATCH($A233, 'KZ-normalized'!$A:$A, 0))-INDEX('KZ-normalized'!$E:$E, MATCH($A233, 'KZ-normalized'!$A:$A, 0))), 0), 0))+(IFERROR(IF(4*INDEX('UZ-normalized'!$D:$D, MATCH($A233, 'UZ-normalized'!$A:$A, 0))-INDEX('UZ-normalized'!$E:$E, MATCH($A233, 'UZ-normalized'!$A:$A, 0))&gt;0, -(4*INDEX('UZ-normalized'!$D:$D, MATCH($A233, 'UZ-normalized'!$A:$A, 0))-INDEX('UZ-normalized'!$E:$E, MATCH($A233, 'UZ-normalized'!$A:$A, 0))), 0), 0)))</f>
        <v>0</v>
      </c>
      <c r="S233" s="6">
        <f>MIN(0, N233+(IFERROR(IF(5*INDEX('UA-normalized'!$D:$D, MATCH($A233, 'UA-normalized'!$A:$A, 0))-INDEX('UA-normalized'!$E:$E, MATCH($A233, 'UA-normalized'!$A:$A, 0))&gt;0, -(5*INDEX('UA-normalized'!$D:$D, MATCH($A233, 'UA-normalized'!$A:$A, 0))-INDEX('UA-normalized'!$E:$E, MATCH($A233, 'UA-normalized'!$A:$A, 0))), 0), 0))+(IFERROR(IF(5*INDEX('KZ-normalized'!$D:$D, MATCH($A233, 'KZ-normalized'!$A:$A, 0))-INDEX('KZ-normalized'!$E:$E, MATCH($A233, 'KZ-normalized'!$A:$A, 0))&gt;0, -(5*INDEX('KZ-normalized'!$D:$D, MATCH($A233, 'KZ-normalized'!$A:$A, 0))-INDEX('KZ-normalized'!$E:$E, MATCH($A233, 'KZ-normalized'!$A:$A, 0))), 0), 0))+(IFERROR(IF(5*INDEX('UZ-normalized'!$D:$D, MATCH($A233, 'UZ-normalized'!$A:$A, 0))-INDEX('UZ-normalized'!$E:$E, MATCH($A233, 'UZ-normalized'!$A:$A, 0))&gt;0, -(5*INDEX('UZ-normalized'!$D:$D, MATCH($A233, 'UZ-normalized'!$A:$A, 0))-INDEX('UZ-normalized'!$E:$E, MATCH($A233, 'UZ-normalized'!$A:$A, 0))), 0), 0)))</f>
        <v>0</v>
      </c>
      <c r="T233" s="6">
        <f>MIN(0, N233+(IFERROR(IF(6*INDEX('UA-normalized'!$D:$D, MATCH($A233, 'UA-normalized'!$A:$A, 0))-INDEX('UA-normalized'!$E:$E, MATCH($A233, 'UA-normalized'!$A:$A, 0))&gt;0, -(6*INDEX('UA-normalized'!$D:$D, MATCH($A233, 'UA-normalized'!$A:$A, 0))-INDEX('UA-normalized'!$E:$E, MATCH($A233, 'UA-normalized'!$A:$A, 0))), 0), 0))+(IFERROR(IF(6*INDEX('KZ-normalized'!$D:$D, MATCH($A233, 'KZ-normalized'!$A:$A, 0))-INDEX('KZ-normalized'!$E:$E, MATCH($A233, 'KZ-normalized'!$A:$A, 0))&gt;0, -(6*INDEX('KZ-normalized'!$D:$D, MATCH($A233, 'KZ-normalized'!$A:$A, 0))-INDEX('KZ-normalized'!$E:$E, MATCH($A233, 'KZ-normalized'!$A:$A, 0))), 0), 0))+(IFERROR(IF(6*INDEX('UZ-normalized'!$D:$D, MATCH($A233, 'UZ-normalized'!$A:$A, 0))-INDEX('UZ-normalized'!$E:$E, MATCH($A233, 'UZ-normalized'!$A:$A, 0))&gt;0, -(6*INDEX('UZ-normalized'!$D:$D, MATCH($A233, 'UZ-normalized'!$A:$A, 0))-INDEX('UZ-normalized'!$E:$E, MATCH($A233, 'UZ-normalized'!$A:$A, 0))), 0), 0)))</f>
        <v>0</v>
      </c>
      <c r="U233" s="6">
        <f>MIN(0, N233+(IFERROR(IF(7*INDEX('UA-normalized'!$D:$D, MATCH($A233, 'UA-normalized'!$A:$A, 0))-INDEX('UA-normalized'!$E:$E, MATCH($A233, 'UA-normalized'!$A:$A, 0))&gt;0, -(7*INDEX('UA-normalized'!$D:$D, MATCH($A233, 'UA-normalized'!$A:$A, 0))-INDEX('UA-normalized'!$E:$E, MATCH($A233, 'UA-normalized'!$A:$A, 0))), 0), 0))+(IFERROR(IF(7*INDEX('KZ-normalized'!$D:$D, MATCH($A233, 'KZ-normalized'!$A:$A, 0))-INDEX('KZ-normalized'!$E:$E, MATCH($A233, 'KZ-normalized'!$A:$A, 0))&gt;0, -(7*INDEX('KZ-normalized'!$D:$D, MATCH($A233, 'KZ-normalized'!$A:$A, 0))-INDEX('KZ-normalized'!$E:$E, MATCH($A233, 'KZ-normalized'!$A:$A, 0))), 0), 0))+(IFERROR(IF(7*INDEX('UZ-normalized'!$D:$D, MATCH($A233, 'UZ-normalized'!$A:$A, 0))-INDEX('UZ-normalized'!$E:$E, MATCH($A233, 'UZ-normalized'!$A:$A, 0))&gt;0, -(7*INDEX('UZ-normalized'!$D:$D, MATCH($A233, 'UZ-normalized'!$A:$A, 0))-INDEX('UZ-normalized'!$E:$E, MATCH($A233, 'UZ-normalized'!$A:$A, 0))), 0), 0)))</f>
        <v>0</v>
      </c>
      <c r="V233" s="6">
        <f>MIN(0, N233+(IFERROR(IF(8*INDEX('UA-normalized'!$D:$D, MATCH($A233, 'UA-normalized'!$A:$A, 0))-INDEX('UA-normalized'!$E:$E, MATCH($A233, 'UA-normalized'!$A:$A, 0))&gt;0, -(8*INDEX('UA-normalized'!$D:$D, MATCH($A233, 'UA-normalized'!$A:$A, 0))-INDEX('UA-normalized'!$E:$E, MATCH($A233, 'UA-normalized'!$A:$A, 0))), 0), 0))+(IFERROR(IF(8*INDEX('KZ-normalized'!$D:$D, MATCH($A233, 'KZ-normalized'!$A:$A, 0))-INDEX('KZ-normalized'!$E:$E, MATCH($A233, 'KZ-normalized'!$A:$A, 0))&gt;0, -(8*INDEX('KZ-normalized'!$D:$D, MATCH($A233, 'KZ-normalized'!$A:$A, 0))-INDEX('KZ-normalized'!$E:$E, MATCH($A233, 'KZ-normalized'!$A:$A, 0))), 0), 0))+(IFERROR(IF(8*INDEX('UZ-normalized'!$D:$D, MATCH($A233, 'UZ-normalized'!$A:$A, 0))-INDEX('UZ-normalized'!$E:$E, MATCH($A233, 'UZ-normalized'!$A:$A, 0))&gt;0, -(8*INDEX('UZ-normalized'!$D:$D, MATCH($A233, 'UZ-normalized'!$A:$A, 0))-INDEX('UZ-normalized'!$E:$E, MATCH($A233, 'UZ-normalized'!$A:$A, 0))), 0), 0)))</f>
        <v>-0.63999999999999968</v>
      </c>
      <c r="W233" s="6">
        <f>MIN(0, N233+(IFERROR(IF(9*INDEX('UA-normalized'!$D:$D, MATCH($A233, 'UA-normalized'!$A:$A, 0))-INDEX('UA-normalized'!$E:$E, MATCH($A233, 'UA-normalized'!$A:$A, 0))&gt;0, -(9*INDEX('UA-normalized'!$D:$D, MATCH($A233, 'UA-normalized'!$A:$A, 0))-INDEX('UA-normalized'!$E:$E, MATCH($A233, 'UA-normalized'!$A:$A, 0))), 0), 0))+(IFERROR(IF(9*INDEX('KZ-normalized'!$D:$D, MATCH($A233, 'KZ-normalized'!$A:$A, 0))-INDEX('KZ-normalized'!$E:$E, MATCH($A233, 'KZ-normalized'!$A:$A, 0))&gt;0, -(9*INDEX('KZ-normalized'!$D:$D, MATCH($A233, 'KZ-normalized'!$A:$A, 0))-INDEX('KZ-normalized'!$E:$E, MATCH($A233, 'KZ-normalized'!$A:$A, 0))), 0), 0))+(IFERROR(IF(9*INDEX('UZ-normalized'!$D:$D, MATCH($A233, 'UZ-normalized'!$A:$A, 0))-INDEX('UZ-normalized'!$E:$E, MATCH($A233, 'UZ-normalized'!$A:$A, 0))&gt;0, -(9*INDEX('UZ-normalized'!$D:$D, MATCH($A233, 'UZ-normalized'!$A:$A, 0))-INDEX('UZ-normalized'!$E:$E, MATCH($A233, 'UZ-normalized'!$A:$A, 0))), 0), 0)))</f>
        <v>-2.4699999999999998</v>
      </c>
      <c r="X233" s="6">
        <f>MIN(0, N233+(IFERROR(IF(10*INDEX('UA-normalized'!$D:$D, MATCH($A233, 'UA-normalized'!$A:$A, 0))-INDEX('UA-normalized'!$E:$E, MATCH($A233, 'UA-normalized'!$A:$A, 0))&gt;0, -(10*INDEX('UA-normalized'!$D:$D, MATCH($A233, 'UA-normalized'!$A:$A, 0))-INDEX('UA-normalized'!$E:$E, MATCH($A233, 'UA-normalized'!$A:$A, 0))), 0), 0))+(IFERROR(IF(10*INDEX('KZ-normalized'!$D:$D, MATCH($A233, 'KZ-normalized'!$A:$A, 0))-INDEX('KZ-normalized'!$E:$E, MATCH($A233, 'KZ-normalized'!$A:$A, 0))&gt;0, -(10*INDEX('KZ-normalized'!$D:$D, MATCH($A233, 'KZ-normalized'!$A:$A, 0))-INDEX('KZ-normalized'!$E:$E, MATCH($A233, 'KZ-normalized'!$A:$A, 0))), 0), 0))+(IFERROR(IF(10*INDEX('UZ-normalized'!$D:$D, MATCH($A233, 'UZ-normalized'!$A:$A, 0))-INDEX('UZ-normalized'!$E:$E, MATCH($A233, 'UZ-normalized'!$A:$A, 0))&gt;0, -(10*INDEX('UZ-normalized'!$D:$D, MATCH($A233, 'UZ-normalized'!$A:$A, 0))-INDEX('UZ-normalized'!$E:$E, MATCH($A233, 'UZ-normalized'!$A:$A, 0))), 0), 0)))</f>
        <v>-5.2999999999999989</v>
      </c>
      <c r="Y233" s="6">
        <f>MIN(0, N233+(IFERROR(IF(11*INDEX('UA-normalized'!$D:$D, MATCH($A233, 'UA-normalized'!$A:$A, 0))-INDEX('UA-normalized'!$E:$E, MATCH($A233, 'UA-normalized'!$A:$A, 0))&gt;0, -(11*INDEX('UA-normalized'!$D:$D, MATCH($A233, 'UA-normalized'!$A:$A, 0))-INDEX('UA-normalized'!$E:$E, MATCH($A233, 'UA-normalized'!$A:$A, 0))), 0), 0))+(IFERROR(IF(11*INDEX('KZ-normalized'!$D:$D, MATCH($A233, 'KZ-normalized'!$A:$A, 0))-INDEX('KZ-normalized'!$E:$E, MATCH($A233, 'KZ-normalized'!$A:$A, 0))&gt;0, -(11*INDEX('KZ-normalized'!$D:$D, MATCH($A233, 'KZ-normalized'!$A:$A, 0))-INDEX('KZ-normalized'!$E:$E, MATCH($A233, 'KZ-normalized'!$A:$A, 0))), 0), 0))+(IFERROR(IF(11*INDEX('UZ-normalized'!$D:$D, MATCH($A233, 'UZ-normalized'!$A:$A, 0))-INDEX('UZ-normalized'!$E:$E, MATCH($A233, 'UZ-normalized'!$A:$A, 0))&gt;0, -(11*INDEX('UZ-normalized'!$D:$D, MATCH($A233, 'UZ-normalized'!$A:$A, 0))-INDEX('UZ-normalized'!$E:$E, MATCH($A233, 'UZ-normalized'!$A:$A, 0))), 0), 0)))</f>
        <v>-8.129999999999999</v>
      </c>
      <c r="Z233" s="6">
        <f>MIN(0, N233+(IFERROR(IF(12*INDEX('UA-normalized'!$D:$D, MATCH($A233, 'UA-normalized'!$A:$A, 0))-INDEX('UA-normalized'!$E:$E, MATCH($A233, 'UA-normalized'!$A:$A, 0))&gt;0, -(12*INDEX('UA-normalized'!$D:$D, MATCH($A233, 'UA-normalized'!$A:$A, 0))-INDEX('UA-normalized'!$E:$E, MATCH($A233, 'UA-normalized'!$A:$A, 0))), 0), 0))+(IFERROR(IF(12*INDEX('KZ-normalized'!$D:$D, MATCH($A233, 'KZ-normalized'!$A:$A, 0))-INDEX('KZ-normalized'!$E:$E, MATCH($A233, 'KZ-normalized'!$A:$A, 0))&gt;0, -(12*INDEX('KZ-normalized'!$D:$D, MATCH($A233, 'KZ-normalized'!$A:$A, 0))-INDEX('KZ-normalized'!$E:$E, MATCH($A233, 'KZ-normalized'!$A:$A, 0))), 0), 0))+(IFERROR(IF(12*INDEX('UZ-normalized'!$D:$D, MATCH($A233, 'UZ-normalized'!$A:$A, 0))-INDEX('UZ-normalized'!$E:$E, MATCH($A233, 'UZ-normalized'!$A:$A, 0))&gt;0, -(12*INDEX('UZ-normalized'!$D:$D, MATCH($A233, 'UZ-normalized'!$A:$A, 0))-INDEX('UZ-normalized'!$E:$E, MATCH($A233, 'UZ-normalized'!$A:$A, 0))), 0), 0)))</f>
        <v>-10.959999999999999</v>
      </c>
      <c r="AA233" s="6">
        <f>MIN(0, N233+(IFERROR(IF(13*INDEX('UA-normalized'!$D:$D, MATCH($A233, 'UA-normalized'!$A:$A, 0))-INDEX('UA-normalized'!$E:$E, MATCH($A233, 'UA-normalized'!$A:$A, 0))&gt;0, -(13*INDEX('UA-normalized'!$D:$D, MATCH($A233, 'UA-normalized'!$A:$A, 0))-INDEX('UA-normalized'!$E:$E, MATCH($A233, 'UA-normalized'!$A:$A, 0))), 0), 0))+(IFERROR(IF(13*INDEX('KZ-normalized'!$D:$D, MATCH($A233, 'KZ-normalized'!$A:$A, 0))-INDEX('KZ-normalized'!$E:$E, MATCH($A233, 'KZ-normalized'!$A:$A, 0))&gt;0, -(13*INDEX('KZ-normalized'!$D:$D, MATCH($A233, 'KZ-normalized'!$A:$A, 0))-INDEX('KZ-normalized'!$E:$E, MATCH($A233, 'KZ-normalized'!$A:$A, 0))), 0), 0))+(IFERROR(IF(13*INDEX('UZ-normalized'!$D:$D, MATCH($A233, 'UZ-normalized'!$A:$A, 0))-INDEX('UZ-normalized'!$E:$E, MATCH($A233, 'UZ-normalized'!$A:$A, 0))&gt;0, -(13*INDEX('UZ-normalized'!$D:$D, MATCH($A233, 'UZ-normalized'!$A:$A, 0))-INDEX('UZ-normalized'!$E:$E, MATCH($A233, 'UZ-normalized'!$A:$A, 0))), 0), 0)))</f>
        <v>-13.79</v>
      </c>
      <c r="AB233" s="6">
        <f>MIN(0, N233+(IFERROR(IF(14*INDEX('UA-normalized'!$D:$D, MATCH($A233, 'UA-normalized'!$A:$A, 0))-INDEX('UA-normalized'!$E:$E, MATCH($A233, 'UA-normalized'!$A:$A, 0))&gt;0, -(14*INDEX('UA-normalized'!$D:$D, MATCH($A233, 'UA-normalized'!$A:$A, 0))-INDEX('UA-normalized'!$E:$E, MATCH($A233, 'UA-normalized'!$A:$A, 0))), 0), 0))+(IFERROR(IF(14*INDEX('KZ-normalized'!$D:$D, MATCH($A233, 'KZ-normalized'!$A:$A, 0))-INDEX('KZ-normalized'!$E:$E, MATCH($A233, 'KZ-normalized'!$A:$A, 0))&gt;0, -(14*INDEX('KZ-normalized'!$D:$D, MATCH($A233, 'KZ-normalized'!$A:$A, 0))-INDEX('KZ-normalized'!$E:$E, MATCH($A233, 'KZ-normalized'!$A:$A, 0))), 0), 0))+(IFERROR(IF(14*INDEX('UZ-normalized'!$D:$D, MATCH($A233, 'UZ-normalized'!$A:$A, 0))-INDEX('UZ-normalized'!$E:$E, MATCH($A233, 'UZ-normalized'!$A:$A, 0))&gt;0, -(14*INDEX('UZ-normalized'!$D:$D, MATCH($A233, 'UZ-normalized'!$A:$A, 0))-INDEX('UZ-normalized'!$E:$E, MATCH($A233, 'UZ-normalized'!$A:$A, 0))), 0), 0)))</f>
        <v>-16.619999999999997</v>
      </c>
      <c r="AC233" s="6">
        <f>MIN(0, N233+(IFERROR(IF(15*INDEX('UA-normalized'!$D:$D, MATCH($A233, 'UA-normalized'!$A:$A, 0))-INDEX('UA-normalized'!$E:$E, MATCH($A233, 'UA-normalized'!$A:$A, 0))&gt;0, -(15*INDEX('UA-normalized'!$D:$D, MATCH($A233, 'UA-normalized'!$A:$A, 0))-INDEX('UA-normalized'!$E:$E, MATCH($A233, 'UA-normalized'!$A:$A, 0))), 0), 0))+(IFERROR(IF(15*INDEX('KZ-normalized'!$D:$D, MATCH($A233, 'KZ-normalized'!$A:$A, 0))-INDEX('KZ-normalized'!$E:$E, MATCH($A233, 'KZ-normalized'!$A:$A, 0))&gt;0, -(15*INDEX('KZ-normalized'!$D:$D, MATCH($A233, 'KZ-normalized'!$A:$A, 0))-INDEX('KZ-normalized'!$E:$E, MATCH($A233, 'KZ-normalized'!$A:$A, 0))), 0), 0))+(IFERROR(IF(15*INDEX('UZ-normalized'!$D:$D, MATCH($A233, 'UZ-normalized'!$A:$A, 0))-INDEX('UZ-normalized'!$E:$E, MATCH($A233, 'UZ-normalized'!$A:$A, 0))&gt;0, -(15*INDEX('UZ-normalized'!$D:$D, MATCH($A233, 'UZ-normalized'!$A:$A, 0))-INDEX('UZ-normalized'!$E:$E, MATCH($A233, 'UZ-normalized'!$A:$A, 0))), 0), 0)))</f>
        <v>-19.45</v>
      </c>
      <c r="AD233" s="6">
        <f>MIN(0, N233+(IFERROR(IF(16*INDEX('UA-normalized'!$D:$D, MATCH($A233, 'UA-normalized'!$A:$A, 0))-INDEX('UA-normalized'!$E:$E, MATCH($A233, 'UA-normalized'!$A:$A, 0))&gt;0, -(16*INDEX('UA-normalized'!$D:$D, MATCH($A233, 'UA-normalized'!$A:$A, 0))-INDEX('UA-normalized'!$E:$E, MATCH($A233, 'UA-normalized'!$A:$A, 0))), 0), 0))+(IFERROR(IF(16*INDEX('KZ-normalized'!$D:$D, MATCH($A233, 'KZ-normalized'!$A:$A, 0))-INDEX('KZ-normalized'!$E:$E, MATCH($A233, 'KZ-normalized'!$A:$A, 0))&gt;0, -(16*INDEX('KZ-normalized'!$D:$D, MATCH($A233, 'KZ-normalized'!$A:$A, 0))-INDEX('KZ-normalized'!$E:$E, MATCH($A233, 'KZ-normalized'!$A:$A, 0))), 0), 0))+(IFERROR(IF(16*INDEX('UZ-normalized'!$D:$D, MATCH($A233, 'UZ-normalized'!$A:$A, 0))-INDEX('UZ-normalized'!$E:$E, MATCH($A233, 'UZ-normalized'!$A:$A, 0))&gt;0, -(16*INDEX('UZ-normalized'!$D:$D, MATCH($A233, 'UZ-normalized'!$A:$A, 0))-INDEX('UZ-normalized'!$E:$E, MATCH($A233, 'UZ-normalized'!$A:$A, 0))), 0), 0)))</f>
        <v>-22.28</v>
      </c>
      <c r="AE233" s="6">
        <f>MIN(0, N233+(IFERROR(IF(17*INDEX('UA-normalized'!$D:$D, MATCH($A233, 'UA-normalized'!$A:$A, 0))-INDEX('UA-normalized'!$E:$E, MATCH($A233, 'UA-normalized'!$A:$A, 0))&gt;0, -(17*INDEX('UA-normalized'!$D:$D, MATCH($A233, 'UA-normalized'!$A:$A, 0))-INDEX('UA-normalized'!$E:$E, MATCH($A233, 'UA-normalized'!$A:$A, 0))), 0), 0))+(IFERROR(IF(17*INDEX('KZ-normalized'!$D:$D, MATCH($A233, 'KZ-normalized'!$A:$A, 0))-INDEX('KZ-normalized'!$E:$E, MATCH($A233, 'KZ-normalized'!$A:$A, 0))&gt;0, -(17*INDEX('KZ-normalized'!$D:$D, MATCH($A233, 'KZ-normalized'!$A:$A, 0))-INDEX('KZ-normalized'!$E:$E, MATCH($A233, 'KZ-normalized'!$A:$A, 0))), 0), 0))+(IFERROR(IF(17*INDEX('UZ-normalized'!$D:$D, MATCH($A233, 'UZ-normalized'!$A:$A, 0))-INDEX('UZ-normalized'!$E:$E, MATCH($A233, 'UZ-normalized'!$A:$A, 0))&gt;0, -(17*INDEX('UZ-normalized'!$D:$D, MATCH($A233, 'UZ-normalized'!$A:$A, 0))-INDEX('UZ-normalized'!$E:$E, MATCH($A233, 'UZ-normalized'!$A:$A, 0))), 0), 0)))</f>
        <v>-25.11</v>
      </c>
      <c r="AF233" s="6">
        <f>MIN(0, N233+(IFERROR(IF(18*INDEX('UA-normalized'!$D:$D, MATCH($A233, 'UA-normalized'!$A:$A, 0))-INDEX('UA-normalized'!$E:$E, MATCH($A233, 'UA-normalized'!$A:$A, 0))&gt;0, -(18*INDEX('UA-normalized'!$D:$D, MATCH($A233, 'UA-normalized'!$A:$A, 0))-INDEX('UA-normalized'!$E:$E, MATCH($A233, 'UA-normalized'!$A:$A, 0))), 0), 0))+(IFERROR(IF(18*INDEX('KZ-normalized'!$D:$D, MATCH($A233, 'KZ-normalized'!$A:$A, 0))-INDEX('KZ-normalized'!$E:$E, MATCH($A233, 'KZ-normalized'!$A:$A, 0))&gt;0, -(18*INDEX('KZ-normalized'!$D:$D, MATCH($A233, 'KZ-normalized'!$A:$A, 0))-INDEX('KZ-normalized'!$E:$E, MATCH($A233, 'KZ-normalized'!$A:$A, 0))), 0), 0))+(IFERROR(IF(18*INDEX('UZ-normalized'!$D:$D, MATCH($A233, 'UZ-normalized'!$A:$A, 0))-INDEX('UZ-normalized'!$E:$E, MATCH($A233, 'UZ-normalized'!$A:$A, 0))&gt;0, -(18*INDEX('UZ-normalized'!$D:$D, MATCH($A233, 'UZ-normalized'!$A:$A, 0))-INDEX('UZ-normalized'!$E:$E, MATCH($A233, 'UZ-normalized'!$A:$A, 0))), 0), 0)))</f>
        <v>-27.939999999999998</v>
      </c>
      <c r="AG233" s="6">
        <f>MIN(0, N233+(IFERROR(IF(19*INDEX('UA-normalized'!$D:$D, MATCH($A233, 'UA-normalized'!$A:$A, 0))-INDEX('UA-normalized'!$E:$E, MATCH($A233, 'UA-normalized'!$A:$A, 0))&gt;0, -(19*INDEX('UA-normalized'!$D:$D, MATCH($A233, 'UA-normalized'!$A:$A, 0))-INDEX('UA-normalized'!$E:$E, MATCH($A233, 'UA-normalized'!$A:$A, 0))), 0), 0))+(IFERROR(IF(19*INDEX('KZ-normalized'!$D:$D, MATCH($A233, 'KZ-normalized'!$A:$A, 0))-INDEX('KZ-normalized'!$E:$E, MATCH($A233, 'KZ-normalized'!$A:$A, 0))&gt;0, -(19*INDEX('KZ-normalized'!$D:$D, MATCH($A233, 'KZ-normalized'!$A:$A, 0))-INDEX('KZ-normalized'!$E:$E, MATCH($A233, 'KZ-normalized'!$A:$A, 0))), 0), 0))+(IFERROR(IF(19*INDEX('UZ-normalized'!$D:$D, MATCH($A233, 'UZ-normalized'!$A:$A, 0))-INDEX('UZ-normalized'!$E:$E, MATCH($A233, 'UZ-normalized'!$A:$A, 0))&gt;0, -(19*INDEX('UZ-normalized'!$D:$D, MATCH($A233, 'UZ-normalized'!$A:$A, 0))-INDEX('UZ-normalized'!$E:$E, MATCH($A233, 'UZ-normalized'!$A:$A, 0))), 0), 0)))</f>
        <v>-30.77</v>
      </c>
      <c r="AH233" s="6">
        <f>MIN(0, N233+(IFERROR(IF(20*INDEX('UA-normalized'!$D:$D, MATCH($A233, 'UA-normalized'!$A:$A, 0))-INDEX('UA-normalized'!$E:$E, MATCH($A233, 'UA-normalized'!$A:$A, 0))&gt;0, -(20*INDEX('UA-normalized'!$D:$D, MATCH($A233, 'UA-normalized'!$A:$A, 0))-INDEX('UA-normalized'!$E:$E, MATCH($A233, 'UA-normalized'!$A:$A, 0))), 0), 0))+(IFERROR(IF(20*INDEX('KZ-normalized'!$D:$D, MATCH($A233, 'KZ-normalized'!$A:$A, 0))-INDEX('KZ-normalized'!$E:$E, MATCH($A233, 'KZ-normalized'!$A:$A, 0))&gt;0, -(20*INDEX('KZ-normalized'!$D:$D, MATCH($A233, 'KZ-normalized'!$A:$A, 0))-INDEX('KZ-normalized'!$E:$E, MATCH($A233, 'KZ-normalized'!$A:$A, 0))), 0), 0))+(IFERROR(IF(20*INDEX('UZ-normalized'!$D:$D, MATCH($A233, 'UZ-normalized'!$A:$A, 0))-INDEX('UZ-normalized'!$E:$E, MATCH($A233, 'UZ-normalized'!$A:$A, 0))&gt;0, -(20*INDEX('UZ-normalized'!$D:$D, MATCH($A233, 'UZ-normalized'!$A:$A, 0))-INDEX('UZ-normalized'!$E:$E, MATCH($A233, 'UZ-normalized'!$A:$A, 0))), 0), 0)))</f>
        <v>-33.599999999999994</v>
      </c>
      <c r="AI233" s="6">
        <f>MIN(0, N233+(IFERROR(IF(21*INDEX('UA-normalized'!$D:$D, MATCH($A233, 'UA-normalized'!$A:$A, 0))-INDEX('UA-normalized'!$E:$E, MATCH($A233, 'UA-normalized'!$A:$A, 0))&gt;0, -(21*INDEX('UA-normalized'!$D:$D, MATCH($A233, 'UA-normalized'!$A:$A, 0))-INDEX('UA-normalized'!$E:$E, MATCH($A233, 'UA-normalized'!$A:$A, 0))), 0), 0))+(IFERROR(IF(21*INDEX('KZ-normalized'!$D:$D, MATCH($A233, 'KZ-normalized'!$A:$A, 0))-INDEX('KZ-normalized'!$E:$E, MATCH($A233, 'KZ-normalized'!$A:$A, 0))&gt;0, -(21*INDEX('KZ-normalized'!$D:$D, MATCH($A233, 'KZ-normalized'!$A:$A, 0))-INDEX('KZ-normalized'!$E:$E, MATCH($A233, 'KZ-normalized'!$A:$A, 0))), 0), 0))+(IFERROR(IF(21*INDEX('UZ-normalized'!$D:$D, MATCH($A233, 'UZ-normalized'!$A:$A, 0))-INDEX('UZ-normalized'!$E:$E, MATCH($A233, 'UZ-normalized'!$A:$A, 0))&gt;0, -(21*INDEX('UZ-normalized'!$D:$D, MATCH($A233, 'UZ-normalized'!$A:$A, 0))-INDEX('UZ-normalized'!$E:$E, MATCH($A233, 'UZ-normalized'!$A:$A, 0))), 0), 0)))</f>
        <v>-36.43</v>
      </c>
      <c r="AJ233" s="6">
        <f>MIN(0, N233+(IFERROR(IF(22*INDEX('UA-normalized'!$D:$D, MATCH($A233, 'UA-normalized'!$A:$A, 0))-INDEX('UA-normalized'!$E:$E, MATCH($A233, 'UA-normalized'!$A:$A, 0))&gt;0, -(22*INDEX('UA-normalized'!$D:$D, MATCH($A233, 'UA-normalized'!$A:$A, 0))-INDEX('UA-normalized'!$E:$E, MATCH($A233, 'UA-normalized'!$A:$A, 0))), 0), 0))+(IFERROR(IF(22*INDEX('KZ-normalized'!$D:$D, MATCH($A233, 'KZ-normalized'!$A:$A, 0))-INDEX('KZ-normalized'!$E:$E, MATCH($A233, 'KZ-normalized'!$A:$A, 0))&gt;0, -(22*INDEX('KZ-normalized'!$D:$D, MATCH($A233, 'KZ-normalized'!$A:$A, 0))-INDEX('KZ-normalized'!$E:$E, MATCH($A233, 'KZ-normalized'!$A:$A, 0))), 0), 0))+(IFERROR(IF(22*INDEX('UZ-normalized'!$D:$D, MATCH($A233, 'UZ-normalized'!$A:$A, 0))-INDEX('UZ-normalized'!$E:$E, MATCH($A233, 'UZ-normalized'!$A:$A, 0))&gt;0, -(22*INDEX('UZ-normalized'!$D:$D, MATCH($A233, 'UZ-normalized'!$A:$A, 0))-INDEX('UZ-normalized'!$E:$E, MATCH($A233, 'UZ-normalized'!$A:$A, 0))), 0), 0)))</f>
        <v>-39.26</v>
      </c>
      <c r="AK233" s="6">
        <f>MIN(0, N233+(IFERROR(IF(23*INDEX('UA-normalized'!$D:$D, MATCH($A233, 'UA-normalized'!$A:$A, 0))-INDEX('UA-normalized'!$E:$E, MATCH($A233, 'UA-normalized'!$A:$A, 0))&gt;0, -(23*INDEX('UA-normalized'!$D:$D, MATCH($A233, 'UA-normalized'!$A:$A, 0))-INDEX('UA-normalized'!$E:$E, MATCH($A233, 'UA-normalized'!$A:$A, 0))), 0), 0))+(IFERROR(IF(23*INDEX('KZ-normalized'!$D:$D, MATCH($A233, 'KZ-normalized'!$A:$A, 0))-INDEX('KZ-normalized'!$E:$E, MATCH($A233, 'KZ-normalized'!$A:$A, 0))&gt;0, -(23*INDEX('KZ-normalized'!$D:$D, MATCH($A233, 'KZ-normalized'!$A:$A, 0))-INDEX('KZ-normalized'!$E:$E, MATCH($A233, 'KZ-normalized'!$A:$A, 0))), 0), 0))+(IFERROR(IF(23*INDEX('UZ-normalized'!$D:$D, MATCH($A233, 'UZ-normalized'!$A:$A, 0))-INDEX('UZ-normalized'!$E:$E, MATCH($A233, 'UZ-normalized'!$A:$A, 0))&gt;0, -(23*INDEX('UZ-normalized'!$D:$D, MATCH($A233, 'UZ-normalized'!$A:$A, 0))-INDEX('UZ-normalized'!$E:$E, MATCH($A233, 'UZ-normalized'!$A:$A, 0))), 0), 0)))</f>
        <v>-42.09</v>
      </c>
      <c r="AL233" s="6">
        <f>MIN(0, N233+(IFERROR(IF(24*INDEX('UA-normalized'!$D:$D, MATCH($A233, 'UA-normalized'!$A:$A, 0))-INDEX('UA-normalized'!$E:$E, MATCH($A233, 'UA-normalized'!$A:$A, 0))&gt;0, -(24*INDEX('UA-normalized'!$D:$D, MATCH($A233, 'UA-normalized'!$A:$A, 0))-INDEX('UA-normalized'!$E:$E, MATCH($A233, 'UA-normalized'!$A:$A, 0))), 0), 0))+(IFERROR(IF(24*INDEX('KZ-normalized'!$D:$D, MATCH($A233, 'KZ-normalized'!$A:$A, 0))-INDEX('KZ-normalized'!$E:$E, MATCH($A233, 'KZ-normalized'!$A:$A, 0))&gt;0, -(24*INDEX('KZ-normalized'!$D:$D, MATCH($A233, 'KZ-normalized'!$A:$A, 0))-INDEX('KZ-normalized'!$E:$E, MATCH($A233, 'KZ-normalized'!$A:$A, 0))), 0), 0))+(IFERROR(IF(24*INDEX('UZ-normalized'!$D:$D, MATCH($A233, 'UZ-normalized'!$A:$A, 0))-INDEX('UZ-normalized'!$E:$E, MATCH($A233, 'UZ-normalized'!$A:$A, 0))&gt;0, -(24*INDEX('UZ-normalized'!$D:$D, MATCH($A233, 'UZ-normalized'!$A:$A, 0))-INDEX('UZ-normalized'!$E:$E, MATCH($A233, 'UZ-normalized'!$A:$A, 0))), 0), 0)))</f>
        <v>-44.92</v>
      </c>
      <c r="AM233" s="6">
        <f>MIN(0, N233+(IFERROR(IF(25*INDEX('UA-normalized'!$D:$D, MATCH($A233, 'UA-normalized'!$A:$A, 0))-INDEX('UA-normalized'!$E:$E, MATCH($A233, 'UA-normalized'!$A:$A, 0))&gt;0, -(25*INDEX('UA-normalized'!$D:$D, MATCH($A233, 'UA-normalized'!$A:$A, 0))-INDEX('UA-normalized'!$E:$E, MATCH($A233, 'UA-normalized'!$A:$A, 0))), 0), 0))+(IFERROR(IF(25*INDEX('KZ-normalized'!$D:$D, MATCH($A233, 'KZ-normalized'!$A:$A, 0))-INDEX('KZ-normalized'!$E:$E, MATCH($A233, 'KZ-normalized'!$A:$A, 0))&gt;0, -(25*INDEX('KZ-normalized'!$D:$D, MATCH($A233, 'KZ-normalized'!$A:$A, 0))-INDEX('KZ-normalized'!$E:$E, MATCH($A233, 'KZ-normalized'!$A:$A, 0))), 0), 0))+(IFERROR(IF(25*INDEX('UZ-normalized'!$D:$D, MATCH($A233, 'UZ-normalized'!$A:$A, 0))-INDEX('UZ-normalized'!$E:$E, MATCH($A233, 'UZ-normalized'!$A:$A, 0))&gt;0, -(25*INDEX('UZ-normalized'!$D:$D, MATCH($A233, 'UZ-normalized'!$A:$A, 0))-INDEX('UZ-normalized'!$E:$E, MATCH($A233, 'UZ-normalized'!$A:$A, 0))), 0), 0)))</f>
        <v>-47.75</v>
      </c>
      <c r="AN233" s="6">
        <f>MIN(0, N233+(IFERROR(IF(26*INDEX('UA-normalized'!$D:$D, MATCH($A233, 'UA-normalized'!$A:$A, 0))-INDEX('UA-normalized'!$E:$E, MATCH($A233, 'UA-normalized'!$A:$A, 0))&gt;0, -(26*INDEX('UA-normalized'!$D:$D, MATCH($A233, 'UA-normalized'!$A:$A, 0))-INDEX('UA-normalized'!$E:$E, MATCH($A233, 'UA-normalized'!$A:$A, 0))), 0), 0))+(IFERROR(IF(26*INDEX('KZ-normalized'!$D:$D, MATCH($A233, 'KZ-normalized'!$A:$A, 0))-INDEX('KZ-normalized'!$E:$E, MATCH($A233, 'KZ-normalized'!$A:$A, 0))&gt;0, -(26*INDEX('KZ-normalized'!$D:$D, MATCH($A233, 'KZ-normalized'!$A:$A, 0))-INDEX('KZ-normalized'!$E:$E, MATCH($A233, 'KZ-normalized'!$A:$A, 0))), 0), 0))+(IFERROR(IF(26*INDEX('UZ-normalized'!$D:$D, MATCH($A233, 'UZ-normalized'!$A:$A, 0))-INDEX('UZ-normalized'!$E:$E, MATCH($A233, 'UZ-normalized'!$A:$A, 0))&gt;0, -(26*INDEX('UZ-normalized'!$D:$D, MATCH($A233, 'UZ-normalized'!$A:$A, 0))-INDEX('UZ-normalized'!$E:$E, MATCH($A233, 'UZ-normalized'!$A:$A, 0))), 0), 0)))</f>
        <v>-50.58</v>
      </c>
      <c r="AO233" s="6">
        <f>MIN(0, N233+(IFERROR(IF(27*INDEX('UA-normalized'!$D:$D, MATCH($A233, 'UA-normalized'!$A:$A, 0))-INDEX('UA-normalized'!$E:$E, MATCH($A233, 'UA-normalized'!$A:$A, 0))&gt;0, -(27*INDEX('UA-normalized'!$D:$D, MATCH($A233, 'UA-normalized'!$A:$A, 0))-INDEX('UA-normalized'!$E:$E, MATCH($A233, 'UA-normalized'!$A:$A, 0))), 0), 0))+(IFERROR(IF(27*INDEX('KZ-normalized'!$D:$D, MATCH($A233, 'KZ-normalized'!$A:$A, 0))-INDEX('KZ-normalized'!$E:$E, MATCH($A233, 'KZ-normalized'!$A:$A, 0))&gt;0, -(27*INDEX('KZ-normalized'!$D:$D, MATCH($A233, 'KZ-normalized'!$A:$A, 0))-INDEX('KZ-normalized'!$E:$E, MATCH($A233, 'KZ-normalized'!$A:$A, 0))), 0), 0))+(IFERROR(IF(27*INDEX('UZ-normalized'!$D:$D, MATCH($A233, 'UZ-normalized'!$A:$A, 0))-INDEX('UZ-normalized'!$E:$E, MATCH($A233, 'UZ-normalized'!$A:$A, 0))&gt;0, -(27*INDEX('UZ-normalized'!$D:$D, MATCH($A233, 'UZ-normalized'!$A:$A, 0))-INDEX('UZ-normalized'!$E:$E, MATCH($A233, 'UZ-normalized'!$A:$A, 0))), 0), 0)))</f>
        <v>-53.41</v>
      </c>
      <c r="AP233" s="6">
        <f>MIN(0, N233+(IFERROR(IF(28*INDEX('UA-normalized'!$D:$D, MATCH($A233, 'UA-normalized'!$A:$A, 0))-INDEX('UA-normalized'!$E:$E, MATCH($A233, 'UA-normalized'!$A:$A, 0))&gt;0, -(28*INDEX('UA-normalized'!$D:$D, MATCH($A233, 'UA-normalized'!$A:$A, 0))-INDEX('UA-normalized'!$E:$E, MATCH($A233, 'UA-normalized'!$A:$A, 0))), 0), 0))+(IFERROR(IF(28*INDEX('KZ-normalized'!$D:$D, MATCH($A233, 'KZ-normalized'!$A:$A, 0))-INDEX('KZ-normalized'!$E:$E, MATCH($A233, 'KZ-normalized'!$A:$A, 0))&gt;0, -(28*INDEX('KZ-normalized'!$D:$D, MATCH($A233, 'KZ-normalized'!$A:$A, 0))-INDEX('KZ-normalized'!$E:$E, MATCH($A233, 'KZ-normalized'!$A:$A, 0))), 0), 0))+(IFERROR(IF(28*INDEX('UZ-normalized'!$D:$D, MATCH($A233, 'UZ-normalized'!$A:$A, 0))-INDEX('UZ-normalized'!$E:$E, MATCH($A233, 'UZ-normalized'!$A:$A, 0))&gt;0, -(28*INDEX('UZ-normalized'!$D:$D, MATCH($A233, 'UZ-normalized'!$A:$A, 0))-INDEX('UZ-normalized'!$E:$E, MATCH($A233, 'UZ-normalized'!$A:$A, 0))), 0), 0)))</f>
        <v>-56.239999999999995</v>
      </c>
      <c r="AQ233" s="6">
        <f>MIN(0, N233+(IFERROR(IF(29*INDEX('UA-normalized'!$D:$D, MATCH($A233, 'UA-normalized'!$A:$A, 0))-INDEX('UA-normalized'!$E:$E, MATCH($A233, 'UA-normalized'!$A:$A, 0))&gt;0, -(29*INDEX('UA-normalized'!$D:$D, MATCH($A233, 'UA-normalized'!$A:$A, 0))-INDEX('UA-normalized'!$E:$E, MATCH($A233, 'UA-normalized'!$A:$A, 0))), 0), 0))+(IFERROR(IF(29*INDEX('KZ-normalized'!$D:$D, MATCH($A233, 'KZ-normalized'!$A:$A, 0))-INDEX('KZ-normalized'!$E:$E, MATCH($A233, 'KZ-normalized'!$A:$A, 0))&gt;0, -(29*INDEX('KZ-normalized'!$D:$D, MATCH($A233, 'KZ-normalized'!$A:$A, 0))-INDEX('KZ-normalized'!$E:$E, MATCH($A233, 'KZ-normalized'!$A:$A, 0))), 0), 0))+(IFERROR(IF(29*INDEX('UZ-normalized'!$D:$D, MATCH($A233, 'UZ-normalized'!$A:$A, 0))-INDEX('UZ-normalized'!$E:$E, MATCH($A233, 'UZ-normalized'!$A:$A, 0))&gt;0, -(29*INDEX('UZ-normalized'!$D:$D, MATCH($A233, 'UZ-normalized'!$A:$A, 0))-INDEX('UZ-normalized'!$E:$E, MATCH($A233, 'UZ-normalized'!$A:$A, 0))), 0), 0)))</f>
        <v>-59.07</v>
      </c>
      <c r="AR233" s="6">
        <f>MIN(0, N233+(IFERROR(IF(30*INDEX('UA-normalized'!$D:$D, MATCH($A233, 'UA-normalized'!$A:$A, 0))-INDEX('UA-normalized'!$E:$E, MATCH($A233, 'UA-normalized'!$A:$A, 0))&gt;0, -(30*INDEX('UA-normalized'!$D:$D, MATCH($A233, 'UA-normalized'!$A:$A, 0))-INDEX('UA-normalized'!$E:$E, MATCH($A233, 'UA-normalized'!$A:$A, 0))), 0), 0))+(IFERROR(IF(30*INDEX('KZ-normalized'!$D:$D, MATCH($A233, 'KZ-normalized'!$A:$A, 0))-INDEX('KZ-normalized'!$E:$E, MATCH($A233, 'KZ-normalized'!$A:$A, 0))&gt;0, -(30*INDEX('KZ-normalized'!$D:$D, MATCH($A233, 'KZ-normalized'!$A:$A, 0))-INDEX('KZ-normalized'!$E:$E, MATCH($A233, 'KZ-normalized'!$A:$A, 0))), 0), 0))+(IFERROR(IF(30*INDEX('UZ-normalized'!$D:$D, MATCH($A233, 'UZ-normalized'!$A:$A, 0))-INDEX('UZ-normalized'!$E:$E, MATCH($A233, 'UZ-normalized'!$A:$A, 0))&gt;0, -(30*INDEX('UZ-normalized'!$D:$D, MATCH($A233, 'UZ-normalized'!$A:$A, 0))-INDEX('UZ-normalized'!$E:$E, MATCH($A233, 'UZ-normalized'!$A:$A, 0))), 0), 0)))</f>
        <v>-61.9</v>
      </c>
    </row>
    <row r="234" spans="1:44" x14ac:dyDescent="0.25">
      <c r="A234" s="8" t="s">
        <v>552</v>
      </c>
      <c r="B234" s="8" t="s">
        <v>492</v>
      </c>
      <c r="C234" s="8" t="s">
        <v>542</v>
      </c>
      <c r="D234" s="8" t="s">
        <v>553</v>
      </c>
      <c r="N234">
        <f t="shared" si="3"/>
        <v>0</v>
      </c>
      <c r="O234" s="6">
        <f>MIN(0, N234+(IFERROR(IF(1*INDEX('UA-normalized'!$D:$D, MATCH($A234, 'UA-normalized'!$A:$A, 0))-INDEX('UA-normalized'!$E:$E, MATCH($A234, 'UA-normalized'!$A:$A, 0))&gt;0, -(1*INDEX('UA-normalized'!$D:$D, MATCH($A234, 'UA-normalized'!$A:$A, 0))-INDEX('UA-normalized'!$E:$E, MATCH($A234, 'UA-normalized'!$A:$A, 0))), 0), 0))+(IFERROR(IF(1*INDEX('KZ-normalized'!$D:$D, MATCH($A234, 'KZ-normalized'!$A:$A, 0))-INDEX('KZ-normalized'!$E:$E, MATCH($A234, 'KZ-normalized'!$A:$A, 0))&gt;0, -(1*INDEX('KZ-normalized'!$D:$D, MATCH($A234, 'KZ-normalized'!$A:$A, 0))-INDEX('KZ-normalized'!$E:$E, MATCH($A234, 'KZ-normalized'!$A:$A, 0))), 0), 0))+(IFERROR(IF(1*INDEX('UZ-normalized'!$D:$D, MATCH($A234, 'UZ-normalized'!$A:$A, 0))-INDEX('UZ-normalized'!$E:$E, MATCH($A234, 'UZ-normalized'!$A:$A, 0))&gt;0, -(1*INDEX('UZ-normalized'!$D:$D, MATCH($A234, 'UZ-normalized'!$A:$A, 0))-INDEX('UZ-normalized'!$E:$E, MATCH($A234, 'UZ-normalized'!$A:$A, 0))), 0), 0)))</f>
        <v>0</v>
      </c>
      <c r="P234" s="6">
        <f>MIN(0, N234+(IFERROR(IF(2*INDEX('UA-normalized'!$D:$D, MATCH($A234, 'UA-normalized'!$A:$A, 0))-INDEX('UA-normalized'!$E:$E, MATCH($A234, 'UA-normalized'!$A:$A, 0))&gt;0, -(2*INDEX('UA-normalized'!$D:$D, MATCH($A234, 'UA-normalized'!$A:$A, 0))-INDEX('UA-normalized'!$E:$E, MATCH($A234, 'UA-normalized'!$A:$A, 0))), 0), 0))+(IFERROR(IF(2*INDEX('KZ-normalized'!$D:$D, MATCH($A234, 'KZ-normalized'!$A:$A, 0))-INDEX('KZ-normalized'!$E:$E, MATCH($A234, 'KZ-normalized'!$A:$A, 0))&gt;0, -(2*INDEX('KZ-normalized'!$D:$D, MATCH($A234, 'KZ-normalized'!$A:$A, 0))-INDEX('KZ-normalized'!$E:$E, MATCH($A234, 'KZ-normalized'!$A:$A, 0))), 0), 0))+(IFERROR(IF(2*INDEX('UZ-normalized'!$D:$D, MATCH($A234, 'UZ-normalized'!$A:$A, 0))-INDEX('UZ-normalized'!$E:$E, MATCH($A234, 'UZ-normalized'!$A:$A, 0))&gt;0, -(2*INDEX('UZ-normalized'!$D:$D, MATCH($A234, 'UZ-normalized'!$A:$A, 0))-INDEX('UZ-normalized'!$E:$E, MATCH($A234, 'UZ-normalized'!$A:$A, 0))), 0), 0)))</f>
        <v>0</v>
      </c>
      <c r="Q234" s="6">
        <f>MIN(0, N234+(IFERROR(IF(3*INDEX('UA-normalized'!$D:$D, MATCH($A234, 'UA-normalized'!$A:$A, 0))-INDEX('UA-normalized'!$E:$E, MATCH($A234, 'UA-normalized'!$A:$A, 0))&gt;0, -(3*INDEX('UA-normalized'!$D:$D, MATCH($A234, 'UA-normalized'!$A:$A, 0))-INDEX('UA-normalized'!$E:$E, MATCH($A234, 'UA-normalized'!$A:$A, 0))), 0), 0))+(IFERROR(IF(3*INDEX('KZ-normalized'!$D:$D, MATCH($A234, 'KZ-normalized'!$A:$A, 0))-INDEX('KZ-normalized'!$E:$E, MATCH($A234, 'KZ-normalized'!$A:$A, 0))&gt;0, -(3*INDEX('KZ-normalized'!$D:$D, MATCH($A234, 'KZ-normalized'!$A:$A, 0))-INDEX('KZ-normalized'!$E:$E, MATCH($A234, 'KZ-normalized'!$A:$A, 0))), 0), 0))+(IFERROR(IF(3*INDEX('UZ-normalized'!$D:$D, MATCH($A234, 'UZ-normalized'!$A:$A, 0))-INDEX('UZ-normalized'!$E:$E, MATCH($A234, 'UZ-normalized'!$A:$A, 0))&gt;0, -(3*INDEX('UZ-normalized'!$D:$D, MATCH($A234, 'UZ-normalized'!$A:$A, 0))-INDEX('UZ-normalized'!$E:$E, MATCH($A234, 'UZ-normalized'!$A:$A, 0))), 0), 0)))</f>
        <v>0</v>
      </c>
      <c r="R234" s="6">
        <f>MIN(0, N234+(IFERROR(IF(4*INDEX('UA-normalized'!$D:$D, MATCH($A234, 'UA-normalized'!$A:$A, 0))-INDEX('UA-normalized'!$E:$E, MATCH($A234, 'UA-normalized'!$A:$A, 0))&gt;0, -(4*INDEX('UA-normalized'!$D:$D, MATCH($A234, 'UA-normalized'!$A:$A, 0))-INDEX('UA-normalized'!$E:$E, MATCH($A234, 'UA-normalized'!$A:$A, 0))), 0), 0))+(IFERROR(IF(4*INDEX('KZ-normalized'!$D:$D, MATCH($A234, 'KZ-normalized'!$A:$A, 0))-INDEX('KZ-normalized'!$E:$E, MATCH($A234, 'KZ-normalized'!$A:$A, 0))&gt;0, -(4*INDEX('KZ-normalized'!$D:$D, MATCH($A234, 'KZ-normalized'!$A:$A, 0))-INDEX('KZ-normalized'!$E:$E, MATCH($A234, 'KZ-normalized'!$A:$A, 0))), 0), 0))+(IFERROR(IF(4*INDEX('UZ-normalized'!$D:$D, MATCH($A234, 'UZ-normalized'!$A:$A, 0))-INDEX('UZ-normalized'!$E:$E, MATCH($A234, 'UZ-normalized'!$A:$A, 0))&gt;0, -(4*INDEX('UZ-normalized'!$D:$D, MATCH($A234, 'UZ-normalized'!$A:$A, 0))-INDEX('UZ-normalized'!$E:$E, MATCH($A234, 'UZ-normalized'!$A:$A, 0))), 0), 0)))</f>
        <v>0</v>
      </c>
      <c r="S234" s="6">
        <f>MIN(0, N234+(IFERROR(IF(5*INDEX('UA-normalized'!$D:$D, MATCH($A234, 'UA-normalized'!$A:$A, 0))-INDEX('UA-normalized'!$E:$E, MATCH($A234, 'UA-normalized'!$A:$A, 0))&gt;0, -(5*INDEX('UA-normalized'!$D:$D, MATCH($A234, 'UA-normalized'!$A:$A, 0))-INDEX('UA-normalized'!$E:$E, MATCH($A234, 'UA-normalized'!$A:$A, 0))), 0), 0))+(IFERROR(IF(5*INDEX('KZ-normalized'!$D:$D, MATCH($A234, 'KZ-normalized'!$A:$A, 0))-INDEX('KZ-normalized'!$E:$E, MATCH($A234, 'KZ-normalized'!$A:$A, 0))&gt;0, -(5*INDEX('KZ-normalized'!$D:$D, MATCH($A234, 'KZ-normalized'!$A:$A, 0))-INDEX('KZ-normalized'!$E:$E, MATCH($A234, 'KZ-normalized'!$A:$A, 0))), 0), 0))+(IFERROR(IF(5*INDEX('UZ-normalized'!$D:$D, MATCH($A234, 'UZ-normalized'!$A:$A, 0))-INDEX('UZ-normalized'!$E:$E, MATCH($A234, 'UZ-normalized'!$A:$A, 0))&gt;0, -(5*INDEX('UZ-normalized'!$D:$D, MATCH($A234, 'UZ-normalized'!$A:$A, 0))-INDEX('UZ-normalized'!$E:$E, MATCH($A234, 'UZ-normalized'!$A:$A, 0))), 0), 0)))</f>
        <v>0</v>
      </c>
      <c r="T234" s="6">
        <f>MIN(0, N234+(IFERROR(IF(6*INDEX('UA-normalized'!$D:$D, MATCH($A234, 'UA-normalized'!$A:$A, 0))-INDEX('UA-normalized'!$E:$E, MATCH($A234, 'UA-normalized'!$A:$A, 0))&gt;0, -(6*INDEX('UA-normalized'!$D:$D, MATCH($A234, 'UA-normalized'!$A:$A, 0))-INDEX('UA-normalized'!$E:$E, MATCH($A234, 'UA-normalized'!$A:$A, 0))), 0), 0))+(IFERROR(IF(6*INDEX('KZ-normalized'!$D:$D, MATCH($A234, 'KZ-normalized'!$A:$A, 0))-INDEX('KZ-normalized'!$E:$E, MATCH($A234, 'KZ-normalized'!$A:$A, 0))&gt;0, -(6*INDEX('KZ-normalized'!$D:$D, MATCH($A234, 'KZ-normalized'!$A:$A, 0))-INDEX('KZ-normalized'!$E:$E, MATCH($A234, 'KZ-normalized'!$A:$A, 0))), 0), 0))+(IFERROR(IF(6*INDEX('UZ-normalized'!$D:$D, MATCH($A234, 'UZ-normalized'!$A:$A, 0))-INDEX('UZ-normalized'!$E:$E, MATCH($A234, 'UZ-normalized'!$A:$A, 0))&gt;0, -(6*INDEX('UZ-normalized'!$D:$D, MATCH($A234, 'UZ-normalized'!$A:$A, 0))-INDEX('UZ-normalized'!$E:$E, MATCH($A234, 'UZ-normalized'!$A:$A, 0))), 0), 0)))</f>
        <v>0</v>
      </c>
      <c r="U234" s="6">
        <f>MIN(0, N234+(IFERROR(IF(7*INDEX('UA-normalized'!$D:$D, MATCH($A234, 'UA-normalized'!$A:$A, 0))-INDEX('UA-normalized'!$E:$E, MATCH($A234, 'UA-normalized'!$A:$A, 0))&gt;0, -(7*INDEX('UA-normalized'!$D:$D, MATCH($A234, 'UA-normalized'!$A:$A, 0))-INDEX('UA-normalized'!$E:$E, MATCH($A234, 'UA-normalized'!$A:$A, 0))), 0), 0))+(IFERROR(IF(7*INDEX('KZ-normalized'!$D:$D, MATCH($A234, 'KZ-normalized'!$A:$A, 0))-INDEX('KZ-normalized'!$E:$E, MATCH($A234, 'KZ-normalized'!$A:$A, 0))&gt;0, -(7*INDEX('KZ-normalized'!$D:$D, MATCH($A234, 'KZ-normalized'!$A:$A, 0))-INDEX('KZ-normalized'!$E:$E, MATCH($A234, 'KZ-normalized'!$A:$A, 0))), 0), 0))+(IFERROR(IF(7*INDEX('UZ-normalized'!$D:$D, MATCH($A234, 'UZ-normalized'!$A:$A, 0))-INDEX('UZ-normalized'!$E:$E, MATCH($A234, 'UZ-normalized'!$A:$A, 0))&gt;0, -(7*INDEX('UZ-normalized'!$D:$D, MATCH($A234, 'UZ-normalized'!$A:$A, 0))-INDEX('UZ-normalized'!$E:$E, MATCH($A234, 'UZ-normalized'!$A:$A, 0))), 0), 0)))</f>
        <v>0</v>
      </c>
      <c r="V234" s="6">
        <f>MIN(0, N234+(IFERROR(IF(8*INDEX('UA-normalized'!$D:$D, MATCH($A234, 'UA-normalized'!$A:$A, 0))-INDEX('UA-normalized'!$E:$E, MATCH($A234, 'UA-normalized'!$A:$A, 0))&gt;0, -(8*INDEX('UA-normalized'!$D:$D, MATCH($A234, 'UA-normalized'!$A:$A, 0))-INDEX('UA-normalized'!$E:$E, MATCH($A234, 'UA-normalized'!$A:$A, 0))), 0), 0))+(IFERROR(IF(8*INDEX('KZ-normalized'!$D:$D, MATCH($A234, 'KZ-normalized'!$A:$A, 0))-INDEX('KZ-normalized'!$E:$E, MATCH($A234, 'KZ-normalized'!$A:$A, 0))&gt;0, -(8*INDEX('KZ-normalized'!$D:$D, MATCH($A234, 'KZ-normalized'!$A:$A, 0))-INDEX('KZ-normalized'!$E:$E, MATCH($A234, 'KZ-normalized'!$A:$A, 0))), 0), 0))+(IFERROR(IF(8*INDEX('UZ-normalized'!$D:$D, MATCH($A234, 'UZ-normalized'!$A:$A, 0))-INDEX('UZ-normalized'!$E:$E, MATCH($A234, 'UZ-normalized'!$A:$A, 0))&gt;0, -(8*INDEX('UZ-normalized'!$D:$D, MATCH($A234, 'UZ-normalized'!$A:$A, 0))-INDEX('UZ-normalized'!$E:$E, MATCH($A234, 'UZ-normalized'!$A:$A, 0))), 0), 0)))</f>
        <v>0</v>
      </c>
      <c r="W234" s="6">
        <f>MIN(0, N234+(IFERROR(IF(9*INDEX('UA-normalized'!$D:$D, MATCH($A234, 'UA-normalized'!$A:$A, 0))-INDEX('UA-normalized'!$E:$E, MATCH($A234, 'UA-normalized'!$A:$A, 0))&gt;0, -(9*INDEX('UA-normalized'!$D:$D, MATCH($A234, 'UA-normalized'!$A:$A, 0))-INDEX('UA-normalized'!$E:$E, MATCH($A234, 'UA-normalized'!$A:$A, 0))), 0), 0))+(IFERROR(IF(9*INDEX('KZ-normalized'!$D:$D, MATCH($A234, 'KZ-normalized'!$A:$A, 0))-INDEX('KZ-normalized'!$E:$E, MATCH($A234, 'KZ-normalized'!$A:$A, 0))&gt;0, -(9*INDEX('KZ-normalized'!$D:$D, MATCH($A234, 'KZ-normalized'!$A:$A, 0))-INDEX('KZ-normalized'!$E:$E, MATCH($A234, 'KZ-normalized'!$A:$A, 0))), 0), 0))+(IFERROR(IF(9*INDEX('UZ-normalized'!$D:$D, MATCH($A234, 'UZ-normalized'!$A:$A, 0))-INDEX('UZ-normalized'!$E:$E, MATCH($A234, 'UZ-normalized'!$A:$A, 0))&gt;0, -(9*INDEX('UZ-normalized'!$D:$D, MATCH($A234, 'UZ-normalized'!$A:$A, 0))-INDEX('UZ-normalized'!$E:$E, MATCH($A234, 'UZ-normalized'!$A:$A, 0))), 0), 0)))</f>
        <v>0</v>
      </c>
      <c r="X234" s="6">
        <f>MIN(0, N234+(IFERROR(IF(10*INDEX('UA-normalized'!$D:$D, MATCH($A234, 'UA-normalized'!$A:$A, 0))-INDEX('UA-normalized'!$E:$E, MATCH($A234, 'UA-normalized'!$A:$A, 0))&gt;0, -(10*INDEX('UA-normalized'!$D:$D, MATCH($A234, 'UA-normalized'!$A:$A, 0))-INDEX('UA-normalized'!$E:$E, MATCH($A234, 'UA-normalized'!$A:$A, 0))), 0), 0))+(IFERROR(IF(10*INDEX('KZ-normalized'!$D:$D, MATCH($A234, 'KZ-normalized'!$A:$A, 0))-INDEX('KZ-normalized'!$E:$E, MATCH($A234, 'KZ-normalized'!$A:$A, 0))&gt;0, -(10*INDEX('KZ-normalized'!$D:$D, MATCH($A234, 'KZ-normalized'!$A:$A, 0))-INDEX('KZ-normalized'!$E:$E, MATCH($A234, 'KZ-normalized'!$A:$A, 0))), 0), 0))+(IFERROR(IF(10*INDEX('UZ-normalized'!$D:$D, MATCH($A234, 'UZ-normalized'!$A:$A, 0))-INDEX('UZ-normalized'!$E:$E, MATCH($A234, 'UZ-normalized'!$A:$A, 0))&gt;0, -(10*INDEX('UZ-normalized'!$D:$D, MATCH($A234, 'UZ-normalized'!$A:$A, 0))-INDEX('UZ-normalized'!$E:$E, MATCH($A234, 'UZ-normalized'!$A:$A, 0))), 0), 0)))</f>
        <v>-0.5</v>
      </c>
      <c r="Y234" s="6">
        <f>MIN(0, N234+(IFERROR(IF(11*INDEX('UA-normalized'!$D:$D, MATCH($A234, 'UA-normalized'!$A:$A, 0))-INDEX('UA-normalized'!$E:$E, MATCH($A234, 'UA-normalized'!$A:$A, 0))&gt;0, -(11*INDEX('UA-normalized'!$D:$D, MATCH($A234, 'UA-normalized'!$A:$A, 0))-INDEX('UA-normalized'!$E:$E, MATCH($A234, 'UA-normalized'!$A:$A, 0))), 0), 0))+(IFERROR(IF(11*INDEX('KZ-normalized'!$D:$D, MATCH($A234, 'KZ-normalized'!$A:$A, 0))-INDEX('KZ-normalized'!$E:$E, MATCH($A234, 'KZ-normalized'!$A:$A, 0))&gt;0, -(11*INDEX('KZ-normalized'!$D:$D, MATCH($A234, 'KZ-normalized'!$A:$A, 0))-INDEX('KZ-normalized'!$E:$E, MATCH($A234, 'KZ-normalized'!$A:$A, 0))), 0), 0))+(IFERROR(IF(11*INDEX('UZ-normalized'!$D:$D, MATCH($A234, 'UZ-normalized'!$A:$A, 0))-INDEX('UZ-normalized'!$E:$E, MATCH($A234, 'UZ-normalized'!$A:$A, 0))&gt;0, -(11*INDEX('UZ-normalized'!$D:$D, MATCH($A234, 'UZ-normalized'!$A:$A, 0))-INDEX('UZ-normalized'!$E:$E, MATCH($A234, 'UZ-normalized'!$A:$A, 0))), 0), 0)))</f>
        <v>-1.25</v>
      </c>
      <c r="Z234" s="6">
        <f>MIN(0, N234+(IFERROR(IF(12*INDEX('UA-normalized'!$D:$D, MATCH($A234, 'UA-normalized'!$A:$A, 0))-INDEX('UA-normalized'!$E:$E, MATCH($A234, 'UA-normalized'!$A:$A, 0))&gt;0, -(12*INDEX('UA-normalized'!$D:$D, MATCH($A234, 'UA-normalized'!$A:$A, 0))-INDEX('UA-normalized'!$E:$E, MATCH($A234, 'UA-normalized'!$A:$A, 0))), 0), 0))+(IFERROR(IF(12*INDEX('KZ-normalized'!$D:$D, MATCH($A234, 'KZ-normalized'!$A:$A, 0))-INDEX('KZ-normalized'!$E:$E, MATCH($A234, 'KZ-normalized'!$A:$A, 0))&gt;0, -(12*INDEX('KZ-normalized'!$D:$D, MATCH($A234, 'KZ-normalized'!$A:$A, 0))-INDEX('KZ-normalized'!$E:$E, MATCH($A234, 'KZ-normalized'!$A:$A, 0))), 0), 0))+(IFERROR(IF(12*INDEX('UZ-normalized'!$D:$D, MATCH($A234, 'UZ-normalized'!$A:$A, 0))-INDEX('UZ-normalized'!$E:$E, MATCH($A234, 'UZ-normalized'!$A:$A, 0))&gt;0, -(12*INDEX('UZ-normalized'!$D:$D, MATCH($A234, 'UZ-normalized'!$A:$A, 0))-INDEX('UZ-normalized'!$E:$E, MATCH($A234, 'UZ-normalized'!$A:$A, 0))), 0), 0)))</f>
        <v>-2</v>
      </c>
      <c r="AA234" s="6">
        <f>MIN(0, N234+(IFERROR(IF(13*INDEX('UA-normalized'!$D:$D, MATCH($A234, 'UA-normalized'!$A:$A, 0))-INDEX('UA-normalized'!$E:$E, MATCH($A234, 'UA-normalized'!$A:$A, 0))&gt;0, -(13*INDEX('UA-normalized'!$D:$D, MATCH($A234, 'UA-normalized'!$A:$A, 0))-INDEX('UA-normalized'!$E:$E, MATCH($A234, 'UA-normalized'!$A:$A, 0))), 0), 0))+(IFERROR(IF(13*INDEX('KZ-normalized'!$D:$D, MATCH($A234, 'KZ-normalized'!$A:$A, 0))-INDEX('KZ-normalized'!$E:$E, MATCH($A234, 'KZ-normalized'!$A:$A, 0))&gt;0, -(13*INDEX('KZ-normalized'!$D:$D, MATCH($A234, 'KZ-normalized'!$A:$A, 0))-INDEX('KZ-normalized'!$E:$E, MATCH($A234, 'KZ-normalized'!$A:$A, 0))), 0), 0))+(IFERROR(IF(13*INDEX('UZ-normalized'!$D:$D, MATCH($A234, 'UZ-normalized'!$A:$A, 0))-INDEX('UZ-normalized'!$E:$E, MATCH($A234, 'UZ-normalized'!$A:$A, 0))&gt;0, -(13*INDEX('UZ-normalized'!$D:$D, MATCH($A234, 'UZ-normalized'!$A:$A, 0))-INDEX('UZ-normalized'!$E:$E, MATCH($A234, 'UZ-normalized'!$A:$A, 0))), 0), 0)))</f>
        <v>-2.75</v>
      </c>
      <c r="AB234" s="6">
        <f>MIN(0, N234+(IFERROR(IF(14*INDEX('UA-normalized'!$D:$D, MATCH($A234, 'UA-normalized'!$A:$A, 0))-INDEX('UA-normalized'!$E:$E, MATCH($A234, 'UA-normalized'!$A:$A, 0))&gt;0, -(14*INDEX('UA-normalized'!$D:$D, MATCH($A234, 'UA-normalized'!$A:$A, 0))-INDEX('UA-normalized'!$E:$E, MATCH($A234, 'UA-normalized'!$A:$A, 0))), 0), 0))+(IFERROR(IF(14*INDEX('KZ-normalized'!$D:$D, MATCH($A234, 'KZ-normalized'!$A:$A, 0))-INDEX('KZ-normalized'!$E:$E, MATCH($A234, 'KZ-normalized'!$A:$A, 0))&gt;0, -(14*INDEX('KZ-normalized'!$D:$D, MATCH($A234, 'KZ-normalized'!$A:$A, 0))-INDEX('KZ-normalized'!$E:$E, MATCH($A234, 'KZ-normalized'!$A:$A, 0))), 0), 0))+(IFERROR(IF(14*INDEX('UZ-normalized'!$D:$D, MATCH($A234, 'UZ-normalized'!$A:$A, 0))-INDEX('UZ-normalized'!$E:$E, MATCH($A234, 'UZ-normalized'!$A:$A, 0))&gt;0, -(14*INDEX('UZ-normalized'!$D:$D, MATCH($A234, 'UZ-normalized'!$A:$A, 0))-INDEX('UZ-normalized'!$E:$E, MATCH($A234, 'UZ-normalized'!$A:$A, 0))), 0), 0)))</f>
        <v>-3.8800000000000008</v>
      </c>
      <c r="AC234" s="6">
        <f>MIN(0, N234+(IFERROR(IF(15*INDEX('UA-normalized'!$D:$D, MATCH($A234, 'UA-normalized'!$A:$A, 0))-INDEX('UA-normalized'!$E:$E, MATCH($A234, 'UA-normalized'!$A:$A, 0))&gt;0, -(15*INDEX('UA-normalized'!$D:$D, MATCH($A234, 'UA-normalized'!$A:$A, 0))-INDEX('UA-normalized'!$E:$E, MATCH($A234, 'UA-normalized'!$A:$A, 0))), 0), 0))+(IFERROR(IF(15*INDEX('KZ-normalized'!$D:$D, MATCH($A234, 'KZ-normalized'!$A:$A, 0))-INDEX('KZ-normalized'!$E:$E, MATCH($A234, 'KZ-normalized'!$A:$A, 0))&gt;0, -(15*INDEX('KZ-normalized'!$D:$D, MATCH($A234, 'KZ-normalized'!$A:$A, 0))-INDEX('KZ-normalized'!$E:$E, MATCH($A234, 'KZ-normalized'!$A:$A, 0))), 0), 0))+(IFERROR(IF(15*INDEX('UZ-normalized'!$D:$D, MATCH($A234, 'UZ-normalized'!$A:$A, 0))-INDEX('UZ-normalized'!$E:$E, MATCH($A234, 'UZ-normalized'!$A:$A, 0))&gt;0, -(15*INDEX('UZ-normalized'!$D:$D, MATCH($A234, 'UZ-normalized'!$A:$A, 0))-INDEX('UZ-normalized'!$E:$E, MATCH($A234, 'UZ-normalized'!$A:$A, 0))), 0), 0)))</f>
        <v>-5.3000000000000007</v>
      </c>
      <c r="AD234" s="6">
        <f>MIN(0, N234+(IFERROR(IF(16*INDEX('UA-normalized'!$D:$D, MATCH($A234, 'UA-normalized'!$A:$A, 0))-INDEX('UA-normalized'!$E:$E, MATCH($A234, 'UA-normalized'!$A:$A, 0))&gt;0, -(16*INDEX('UA-normalized'!$D:$D, MATCH($A234, 'UA-normalized'!$A:$A, 0))-INDEX('UA-normalized'!$E:$E, MATCH($A234, 'UA-normalized'!$A:$A, 0))), 0), 0))+(IFERROR(IF(16*INDEX('KZ-normalized'!$D:$D, MATCH($A234, 'KZ-normalized'!$A:$A, 0))-INDEX('KZ-normalized'!$E:$E, MATCH($A234, 'KZ-normalized'!$A:$A, 0))&gt;0, -(16*INDEX('KZ-normalized'!$D:$D, MATCH($A234, 'KZ-normalized'!$A:$A, 0))-INDEX('KZ-normalized'!$E:$E, MATCH($A234, 'KZ-normalized'!$A:$A, 0))), 0), 0))+(IFERROR(IF(16*INDEX('UZ-normalized'!$D:$D, MATCH($A234, 'UZ-normalized'!$A:$A, 0))-INDEX('UZ-normalized'!$E:$E, MATCH($A234, 'UZ-normalized'!$A:$A, 0))&gt;0, -(16*INDEX('UZ-normalized'!$D:$D, MATCH($A234, 'UZ-normalized'!$A:$A, 0))-INDEX('UZ-normalized'!$E:$E, MATCH($A234, 'UZ-normalized'!$A:$A, 0))), 0), 0)))</f>
        <v>-6.7200000000000006</v>
      </c>
      <c r="AE234" s="6">
        <f>MIN(0, N234+(IFERROR(IF(17*INDEX('UA-normalized'!$D:$D, MATCH($A234, 'UA-normalized'!$A:$A, 0))-INDEX('UA-normalized'!$E:$E, MATCH($A234, 'UA-normalized'!$A:$A, 0))&gt;0, -(17*INDEX('UA-normalized'!$D:$D, MATCH($A234, 'UA-normalized'!$A:$A, 0))-INDEX('UA-normalized'!$E:$E, MATCH($A234, 'UA-normalized'!$A:$A, 0))), 0), 0))+(IFERROR(IF(17*INDEX('KZ-normalized'!$D:$D, MATCH($A234, 'KZ-normalized'!$A:$A, 0))-INDEX('KZ-normalized'!$E:$E, MATCH($A234, 'KZ-normalized'!$A:$A, 0))&gt;0, -(17*INDEX('KZ-normalized'!$D:$D, MATCH($A234, 'KZ-normalized'!$A:$A, 0))-INDEX('KZ-normalized'!$E:$E, MATCH($A234, 'KZ-normalized'!$A:$A, 0))), 0), 0))+(IFERROR(IF(17*INDEX('UZ-normalized'!$D:$D, MATCH($A234, 'UZ-normalized'!$A:$A, 0))-INDEX('UZ-normalized'!$E:$E, MATCH($A234, 'UZ-normalized'!$A:$A, 0))&gt;0, -(17*INDEX('UZ-normalized'!$D:$D, MATCH($A234, 'UZ-normalized'!$A:$A, 0))-INDEX('UZ-normalized'!$E:$E, MATCH($A234, 'UZ-normalized'!$A:$A, 0))), 0), 0)))</f>
        <v>-8.14</v>
      </c>
      <c r="AF234" s="6">
        <f>MIN(0, N234+(IFERROR(IF(18*INDEX('UA-normalized'!$D:$D, MATCH($A234, 'UA-normalized'!$A:$A, 0))-INDEX('UA-normalized'!$E:$E, MATCH($A234, 'UA-normalized'!$A:$A, 0))&gt;0, -(18*INDEX('UA-normalized'!$D:$D, MATCH($A234, 'UA-normalized'!$A:$A, 0))-INDEX('UA-normalized'!$E:$E, MATCH($A234, 'UA-normalized'!$A:$A, 0))), 0), 0))+(IFERROR(IF(18*INDEX('KZ-normalized'!$D:$D, MATCH($A234, 'KZ-normalized'!$A:$A, 0))-INDEX('KZ-normalized'!$E:$E, MATCH($A234, 'KZ-normalized'!$A:$A, 0))&gt;0, -(18*INDEX('KZ-normalized'!$D:$D, MATCH($A234, 'KZ-normalized'!$A:$A, 0))-INDEX('KZ-normalized'!$E:$E, MATCH($A234, 'KZ-normalized'!$A:$A, 0))), 0), 0))+(IFERROR(IF(18*INDEX('UZ-normalized'!$D:$D, MATCH($A234, 'UZ-normalized'!$A:$A, 0))-INDEX('UZ-normalized'!$E:$E, MATCH($A234, 'UZ-normalized'!$A:$A, 0))&gt;0, -(18*INDEX('UZ-normalized'!$D:$D, MATCH($A234, 'UZ-normalized'!$A:$A, 0))-INDEX('UZ-normalized'!$E:$E, MATCH($A234, 'UZ-normalized'!$A:$A, 0))), 0), 0)))</f>
        <v>-9.56</v>
      </c>
      <c r="AG234" s="6">
        <f>MIN(0, N234+(IFERROR(IF(19*INDEX('UA-normalized'!$D:$D, MATCH($A234, 'UA-normalized'!$A:$A, 0))-INDEX('UA-normalized'!$E:$E, MATCH($A234, 'UA-normalized'!$A:$A, 0))&gt;0, -(19*INDEX('UA-normalized'!$D:$D, MATCH($A234, 'UA-normalized'!$A:$A, 0))-INDEX('UA-normalized'!$E:$E, MATCH($A234, 'UA-normalized'!$A:$A, 0))), 0), 0))+(IFERROR(IF(19*INDEX('KZ-normalized'!$D:$D, MATCH($A234, 'KZ-normalized'!$A:$A, 0))-INDEX('KZ-normalized'!$E:$E, MATCH($A234, 'KZ-normalized'!$A:$A, 0))&gt;0, -(19*INDEX('KZ-normalized'!$D:$D, MATCH($A234, 'KZ-normalized'!$A:$A, 0))-INDEX('KZ-normalized'!$E:$E, MATCH($A234, 'KZ-normalized'!$A:$A, 0))), 0), 0))+(IFERROR(IF(19*INDEX('UZ-normalized'!$D:$D, MATCH($A234, 'UZ-normalized'!$A:$A, 0))-INDEX('UZ-normalized'!$E:$E, MATCH($A234, 'UZ-normalized'!$A:$A, 0))&gt;0, -(19*INDEX('UZ-normalized'!$D:$D, MATCH($A234, 'UZ-normalized'!$A:$A, 0))-INDEX('UZ-normalized'!$E:$E, MATCH($A234, 'UZ-normalized'!$A:$A, 0))), 0), 0)))</f>
        <v>-10.98</v>
      </c>
      <c r="AH234" s="6">
        <f>MIN(0, N234+(IFERROR(IF(20*INDEX('UA-normalized'!$D:$D, MATCH($A234, 'UA-normalized'!$A:$A, 0))-INDEX('UA-normalized'!$E:$E, MATCH($A234, 'UA-normalized'!$A:$A, 0))&gt;0, -(20*INDEX('UA-normalized'!$D:$D, MATCH($A234, 'UA-normalized'!$A:$A, 0))-INDEX('UA-normalized'!$E:$E, MATCH($A234, 'UA-normalized'!$A:$A, 0))), 0), 0))+(IFERROR(IF(20*INDEX('KZ-normalized'!$D:$D, MATCH($A234, 'KZ-normalized'!$A:$A, 0))-INDEX('KZ-normalized'!$E:$E, MATCH($A234, 'KZ-normalized'!$A:$A, 0))&gt;0, -(20*INDEX('KZ-normalized'!$D:$D, MATCH($A234, 'KZ-normalized'!$A:$A, 0))-INDEX('KZ-normalized'!$E:$E, MATCH($A234, 'KZ-normalized'!$A:$A, 0))), 0), 0))+(IFERROR(IF(20*INDEX('UZ-normalized'!$D:$D, MATCH($A234, 'UZ-normalized'!$A:$A, 0))-INDEX('UZ-normalized'!$E:$E, MATCH($A234, 'UZ-normalized'!$A:$A, 0))&gt;0, -(20*INDEX('UZ-normalized'!$D:$D, MATCH($A234, 'UZ-normalized'!$A:$A, 0))-INDEX('UZ-normalized'!$E:$E, MATCH($A234, 'UZ-normalized'!$A:$A, 0))), 0), 0)))</f>
        <v>-12.4</v>
      </c>
      <c r="AI234" s="6">
        <f>MIN(0, N234+(IFERROR(IF(21*INDEX('UA-normalized'!$D:$D, MATCH($A234, 'UA-normalized'!$A:$A, 0))-INDEX('UA-normalized'!$E:$E, MATCH($A234, 'UA-normalized'!$A:$A, 0))&gt;0, -(21*INDEX('UA-normalized'!$D:$D, MATCH($A234, 'UA-normalized'!$A:$A, 0))-INDEX('UA-normalized'!$E:$E, MATCH($A234, 'UA-normalized'!$A:$A, 0))), 0), 0))+(IFERROR(IF(21*INDEX('KZ-normalized'!$D:$D, MATCH($A234, 'KZ-normalized'!$A:$A, 0))-INDEX('KZ-normalized'!$E:$E, MATCH($A234, 'KZ-normalized'!$A:$A, 0))&gt;0, -(21*INDEX('KZ-normalized'!$D:$D, MATCH($A234, 'KZ-normalized'!$A:$A, 0))-INDEX('KZ-normalized'!$E:$E, MATCH($A234, 'KZ-normalized'!$A:$A, 0))), 0), 0))+(IFERROR(IF(21*INDEX('UZ-normalized'!$D:$D, MATCH($A234, 'UZ-normalized'!$A:$A, 0))-INDEX('UZ-normalized'!$E:$E, MATCH($A234, 'UZ-normalized'!$A:$A, 0))&gt;0, -(21*INDEX('UZ-normalized'!$D:$D, MATCH($A234, 'UZ-normalized'!$A:$A, 0))-INDEX('UZ-normalized'!$E:$E, MATCH($A234, 'UZ-normalized'!$A:$A, 0))), 0), 0)))</f>
        <v>-13.82</v>
      </c>
      <c r="AJ234" s="6">
        <f>MIN(0, N234+(IFERROR(IF(22*INDEX('UA-normalized'!$D:$D, MATCH($A234, 'UA-normalized'!$A:$A, 0))-INDEX('UA-normalized'!$E:$E, MATCH($A234, 'UA-normalized'!$A:$A, 0))&gt;0, -(22*INDEX('UA-normalized'!$D:$D, MATCH($A234, 'UA-normalized'!$A:$A, 0))-INDEX('UA-normalized'!$E:$E, MATCH($A234, 'UA-normalized'!$A:$A, 0))), 0), 0))+(IFERROR(IF(22*INDEX('KZ-normalized'!$D:$D, MATCH($A234, 'KZ-normalized'!$A:$A, 0))-INDEX('KZ-normalized'!$E:$E, MATCH($A234, 'KZ-normalized'!$A:$A, 0))&gt;0, -(22*INDEX('KZ-normalized'!$D:$D, MATCH($A234, 'KZ-normalized'!$A:$A, 0))-INDEX('KZ-normalized'!$E:$E, MATCH($A234, 'KZ-normalized'!$A:$A, 0))), 0), 0))+(IFERROR(IF(22*INDEX('UZ-normalized'!$D:$D, MATCH($A234, 'UZ-normalized'!$A:$A, 0))-INDEX('UZ-normalized'!$E:$E, MATCH($A234, 'UZ-normalized'!$A:$A, 0))&gt;0, -(22*INDEX('UZ-normalized'!$D:$D, MATCH($A234, 'UZ-normalized'!$A:$A, 0))-INDEX('UZ-normalized'!$E:$E, MATCH($A234, 'UZ-normalized'!$A:$A, 0))), 0), 0)))</f>
        <v>-15.24</v>
      </c>
      <c r="AK234" s="6">
        <f>MIN(0, N234+(IFERROR(IF(23*INDEX('UA-normalized'!$D:$D, MATCH($A234, 'UA-normalized'!$A:$A, 0))-INDEX('UA-normalized'!$E:$E, MATCH($A234, 'UA-normalized'!$A:$A, 0))&gt;0, -(23*INDEX('UA-normalized'!$D:$D, MATCH($A234, 'UA-normalized'!$A:$A, 0))-INDEX('UA-normalized'!$E:$E, MATCH($A234, 'UA-normalized'!$A:$A, 0))), 0), 0))+(IFERROR(IF(23*INDEX('KZ-normalized'!$D:$D, MATCH($A234, 'KZ-normalized'!$A:$A, 0))-INDEX('KZ-normalized'!$E:$E, MATCH($A234, 'KZ-normalized'!$A:$A, 0))&gt;0, -(23*INDEX('KZ-normalized'!$D:$D, MATCH($A234, 'KZ-normalized'!$A:$A, 0))-INDEX('KZ-normalized'!$E:$E, MATCH($A234, 'KZ-normalized'!$A:$A, 0))), 0), 0))+(IFERROR(IF(23*INDEX('UZ-normalized'!$D:$D, MATCH($A234, 'UZ-normalized'!$A:$A, 0))-INDEX('UZ-normalized'!$E:$E, MATCH($A234, 'UZ-normalized'!$A:$A, 0))&gt;0, -(23*INDEX('UZ-normalized'!$D:$D, MATCH($A234, 'UZ-normalized'!$A:$A, 0))-INDEX('UZ-normalized'!$E:$E, MATCH($A234, 'UZ-normalized'!$A:$A, 0))), 0), 0)))</f>
        <v>-16.66</v>
      </c>
      <c r="AL234" s="6">
        <f>MIN(0, N234+(IFERROR(IF(24*INDEX('UA-normalized'!$D:$D, MATCH($A234, 'UA-normalized'!$A:$A, 0))-INDEX('UA-normalized'!$E:$E, MATCH($A234, 'UA-normalized'!$A:$A, 0))&gt;0, -(24*INDEX('UA-normalized'!$D:$D, MATCH($A234, 'UA-normalized'!$A:$A, 0))-INDEX('UA-normalized'!$E:$E, MATCH($A234, 'UA-normalized'!$A:$A, 0))), 0), 0))+(IFERROR(IF(24*INDEX('KZ-normalized'!$D:$D, MATCH($A234, 'KZ-normalized'!$A:$A, 0))-INDEX('KZ-normalized'!$E:$E, MATCH($A234, 'KZ-normalized'!$A:$A, 0))&gt;0, -(24*INDEX('KZ-normalized'!$D:$D, MATCH($A234, 'KZ-normalized'!$A:$A, 0))-INDEX('KZ-normalized'!$E:$E, MATCH($A234, 'KZ-normalized'!$A:$A, 0))), 0), 0))+(IFERROR(IF(24*INDEX('UZ-normalized'!$D:$D, MATCH($A234, 'UZ-normalized'!$A:$A, 0))-INDEX('UZ-normalized'!$E:$E, MATCH($A234, 'UZ-normalized'!$A:$A, 0))&gt;0, -(24*INDEX('UZ-normalized'!$D:$D, MATCH($A234, 'UZ-normalized'!$A:$A, 0))-INDEX('UZ-normalized'!$E:$E, MATCH($A234, 'UZ-normalized'!$A:$A, 0))), 0), 0)))</f>
        <v>-18.080000000000002</v>
      </c>
      <c r="AM234" s="6">
        <f>MIN(0, N234+(IFERROR(IF(25*INDEX('UA-normalized'!$D:$D, MATCH($A234, 'UA-normalized'!$A:$A, 0))-INDEX('UA-normalized'!$E:$E, MATCH($A234, 'UA-normalized'!$A:$A, 0))&gt;0, -(25*INDEX('UA-normalized'!$D:$D, MATCH($A234, 'UA-normalized'!$A:$A, 0))-INDEX('UA-normalized'!$E:$E, MATCH($A234, 'UA-normalized'!$A:$A, 0))), 0), 0))+(IFERROR(IF(25*INDEX('KZ-normalized'!$D:$D, MATCH($A234, 'KZ-normalized'!$A:$A, 0))-INDEX('KZ-normalized'!$E:$E, MATCH($A234, 'KZ-normalized'!$A:$A, 0))&gt;0, -(25*INDEX('KZ-normalized'!$D:$D, MATCH($A234, 'KZ-normalized'!$A:$A, 0))-INDEX('KZ-normalized'!$E:$E, MATCH($A234, 'KZ-normalized'!$A:$A, 0))), 0), 0))+(IFERROR(IF(25*INDEX('UZ-normalized'!$D:$D, MATCH($A234, 'UZ-normalized'!$A:$A, 0))-INDEX('UZ-normalized'!$E:$E, MATCH($A234, 'UZ-normalized'!$A:$A, 0))&gt;0, -(25*INDEX('UZ-normalized'!$D:$D, MATCH($A234, 'UZ-normalized'!$A:$A, 0))-INDEX('UZ-normalized'!$E:$E, MATCH($A234, 'UZ-normalized'!$A:$A, 0))), 0), 0)))</f>
        <v>-19.5</v>
      </c>
      <c r="AN234" s="6">
        <f>MIN(0, N234+(IFERROR(IF(26*INDEX('UA-normalized'!$D:$D, MATCH($A234, 'UA-normalized'!$A:$A, 0))-INDEX('UA-normalized'!$E:$E, MATCH($A234, 'UA-normalized'!$A:$A, 0))&gt;0, -(26*INDEX('UA-normalized'!$D:$D, MATCH($A234, 'UA-normalized'!$A:$A, 0))-INDEX('UA-normalized'!$E:$E, MATCH($A234, 'UA-normalized'!$A:$A, 0))), 0), 0))+(IFERROR(IF(26*INDEX('KZ-normalized'!$D:$D, MATCH($A234, 'KZ-normalized'!$A:$A, 0))-INDEX('KZ-normalized'!$E:$E, MATCH($A234, 'KZ-normalized'!$A:$A, 0))&gt;0, -(26*INDEX('KZ-normalized'!$D:$D, MATCH($A234, 'KZ-normalized'!$A:$A, 0))-INDEX('KZ-normalized'!$E:$E, MATCH($A234, 'KZ-normalized'!$A:$A, 0))), 0), 0))+(IFERROR(IF(26*INDEX('UZ-normalized'!$D:$D, MATCH($A234, 'UZ-normalized'!$A:$A, 0))-INDEX('UZ-normalized'!$E:$E, MATCH($A234, 'UZ-normalized'!$A:$A, 0))&gt;0, -(26*INDEX('UZ-normalized'!$D:$D, MATCH($A234, 'UZ-normalized'!$A:$A, 0))-INDEX('UZ-normalized'!$E:$E, MATCH($A234, 'UZ-normalized'!$A:$A, 0))), 0), 0)))</f>
        <v>-20.92</v>
      </c>
      <c r="AO234" s="6">
        <f>MIN(0, N234+(IFERROR(IF(27*INDEX('UA-normalized'!$D:$D, MATCH($A234, 'UA-normalized'!$A:$A, 0))-INDEX('UA-normalized'!$E:$E, MATCH($A234, 'UA-normalized'!$A:$A, 0))&gt;0, -(27*INDEX('UA-normalized'!$D:$D, MATCH($A234, 'UA-normalized'!$A:$A, 0))-INDEX('UA-normalized'!$E:$E, MATCH($A234, 'UA-normalized'!$A:$A, 0))), 0), 0))+(IFERROR(IF(27*INDEX('KZ-normalized'!$D:$D, MATCH($A234, 'KZ-normalized'!$A:$A, 0))-INDEX('KZ-normalized'!$E:$E, MATCH($A234, 'KZ-normalized'!$A:$A, 0))&gt;0, -(27*INDEX('KZ-normalized'!$D:$D, MATCH($A234, 'KZ-normalized'!$A:$A, 0))-INDEX('KZ-normalized'!$E:$E, MATCH($A234, 'KZ-normalized'!$A:$A, 0))), 0), 0))+(IFERROR(IF(27*INDEX('UZ-normalized'!$D:$D, MATCH($A234, 'UZ-normalized'!$A:$A, 0))-INDEX('UZ-normalized'!$E:$E, MATCH($A234, 'UZ-normalized'!$A:$A, 0))&gt;0, -(27*INDEX('UZ-normalized'!$D:$D, MATCH($A234, 'UZ-normalized'!$A:$A, 0))-INDEX('UZ-normalized'!$E:$E, MATCH($A234, 'UZ-normalized'!$A:$A, 0))), 0), 0)))</f>
        <v>-22.34</v>
      </c>
      <c r="AP234" s="6">
        <f>MIN(0, N234+(IFERROR(IF(28*INDEX('UA-normalized'!$D:$D, MATCH($A234, 'UA-normalized'!$A:$A, 0))-INDEX('UA-normalized'!$E:$E, MATCH($A234, 'UA-normalized'!$A:$A, 0))&gt;0, -(28*INDEX('UA-normalized'!$D:$D, MATCH($A234, 'UA-normalized'!$A:$A, 0))-INDEX('UA-normalized'!$E:$E, MATCH($A234, 'UA-normalized'!$A:$A, 0))), 0), 0))+(IFERROR(IF(28*INDEX('KZ-normalized'!$D:$D, MATCH($A234, 'KZ-normalized'!$A:$A, 0))-INDEX('KZ-normalized'!$E:$E, MATCH($A234, 'KZ-normalized'!$A:$A, 0))&gt;0, -(28*INDEX('KZ-normalized'!$D:$D, MATCH($A234, 'KZ-normalized'!$A:$A, 0))-INDEX('KZ-normalized'!$E:$E, MATCH($A234, 'KZ-normalized'!$A:$A, 0))), 0), 0))+(IFERROR(IF(28*INDEX('UZ-normalized'!$D:$D, MATCH($A234, 'UZ-normalized'!$A:$A, 0))-INDEX('UZ-normalized'!$E:$E, MATCH($A234, 'UZ-normalized'!$A:$A, 0))&gt;0, -(28*INDEX('UZ-normalized'!$D:$D, MATCH($A234, 'UZ-normalized'!$A:$A, 0))-INDEX('UZ-normalized'!$E:$E, MATCH($A234, 'UZ-normalized'!$A:$A, 0))), 0), 0)))</f>
        <v>-23.76</v>
      </c>
      <c r="AQ234" s="6">
        <f>MIN(0, N234+(IFERROR(IF(29*INDEX('UA-normalized'!$D:$D, MATCH($A234, 'UA-normalized'!$A:$A, 0))-INDEX('UA-normalized'!$E:$E, MATCH($A234, 'UA-normalized'!$A:$A, 0))&gt;0, -(29*INDEX('UA-normalized'!$D:$D, MATCH($A234, 'UA-normalized'!$A:$A, 0))-INDEX('UA-normalized'!$E:$E, MATCH($A234, 'UA-normalized'!$A:$A, 0))), 0), 0))+(IFERROR(IF(29*INDEX('KZ-normalized'!$D:$D, MATCH($A234, 'KZ-normalized'!$A:$A, 0))-INDEX('KZ-normalized'!$E:$E, MATCH($A234, 'KZ-normalized'!$A:$A, 0))&gt;0, -(29*INDEX('KZ-normalized'!$D:$D, MATCH($A234, 'KZ-normalized'!$A:$A, 0))-INDEX('KZ-normalized'!$E:$E, MATCH($A234, 'KZ-normalized'!$A:$A, 0))), 0), 0))+(IFERROR(IF(29*INDEX('UZ-normalized'!$D:$D, MATCH($A234, 'UZ-normalized'!$A:$A, 0))-INDEX('UZ-normalized'!$E:$E, MATCH($A234, 'UZ-normalized'!$A:$A, 0))&gt;0, -(29*INDEX('UZ-normalized'!$D:$D, MATCH($A234, 'UZ-normalized'!$A:$A, 0))-INDEX('UZ-normalized'!$E:$E, MATCH($A234, 'UZ-normalized'!$A:$A, 0))), 0), 0)))</f>
        <v>-25.18</v>
      </c>
      <c r="AR234" s="6">
        <f>MIN(0, N234+(IFERROR(IF(30*INDEX('UA-normalized'!$D:$D, MATCH($A234, 'UA-normalized'!$A:$A, 0))-INDEX('UA-normalized'!$E:$E, MATCH($A234, 'UA-normalized'!$A:$A, 0))&gt;0, -(30*INDEX('UA-normalized'!$D:$D, MATCH($A234, 'UA-normalized'!$A:$A, 0))-INDEX('UA-normalized'!$E:$E, MATCH($A234, 'UA-normalized'!$A:$A, 0))), 0), 0))+(IFERROR(IF(30*INDEX('KZ-normalized'!$D:$D, MATCH($A234, 'KZ-normalized'!$A:$A, 0))-INDEX('KZ-normalized'!$E:$E, MATCH($A234, 'KZ-normalized'!$A:$A, 0))&gt;0, -(30*INDEX('KZ-normalized'!$D:$D, MATCH($A234, 'KZ-normalized'!$A:$A, 0))-INDEX('KZ-normalized'!$E:$E, MATCH($A234, 'KZ-normalized'!$A:$A, 0))), 0), 0))+(IFERROR(IF(30*INDEX('UZ-normalized'!$D:$D, MATCH($A234, 'UZ-normalized'!$A:$A, 0))-INDEX('UZ-normalized'!$E:$E, MATCH($A234, 'UZ-normalized'!$A:$A, 0))&gt;0, -(30*INDEX('UZ-normalized'!$D:$D, MATCH($A234, 'UZ-normalized'!$A:$A, 0))-INDEX('UZ-normalized'!$E:$E, MATCH($A234, 'UZ-normalized'!$A:$A, 0))), 0), 0)))</f>
        <v>-26.6</v>
      </c>
    </row>
    <row r="235" spans="1:44" x14ac:dyDescent="0.25">
      <c r="A235" s="8" t="s">
        <v>554</v>
      </c>
      <c r="B235" s="8" t="s">
        <v>492</v>
      </c>
      <c r="C235" s="8" t="s">
        <v>555</v>
      </c>
      <c r="D235" s="8" t="s">
        <v>556</v>
      </c>
      <c r="G235">
        <v>-20</v>
      </c>
      <c r="N235">
        <f t="shared" si="3"/>
        <v>-20</v>
      </c>
      <c r="O235" s="6">
        <f>MIN(0, N235+(IFERROR(IF(1*INDEX('UA-normalized'!$D:$D, MATCH($A235, 'UA-normalized'!$A:$A, 0))-INDEX('UA-normalized'!$E:$E, MATCH($A235, 'UA-normalized'!$A:$A, 0))&gt;0, -(1*INDEX('UA-normalized'!$D:$D, MATCH($A235, 'UA-normalized'!$A:$A, 0))-INDEX('UA-normalized'!$E:$E, MATCH($A235, 'UA-normalized'!$A:$A, 0))), 0), 0))+(IFERROR(IF(1*INDEX('KZ-normalized'!$D:$D, MATCH($A235, 'KZ-normalized'!$A:$A, 0))-INDEX('KZ-normalized'!$E:$E, MATCH($A235, 'KZ-normalized'!$A:$A, 0))&gt;0, -(1*INDEX('KZ-normalized'!$D:$D, MATCH($A235, 'KZ-normalized'!$A:$A, 0))-INDEX('KZ-normalized'!$E:$E, MATCH($A235, 'KZ-normalized'!$A:$A, 0))), 0), 0))+(IFERROR(IF(1*INDEX('UZ-normalized'!$D:$D, MATCH($A235, 'UZ-normalized'!$A:$A, 0))-INDEX('UZ-normalized'!$E:$E, MATCH($A235, 'UZ-normalized'!$A:$A, 0))&gt;0, -(1*INDEX('UZ-normalized'!$D:$D, MATCH($A235, 'UZ-normalized'!$A:$A, 0))-INDEX('UZ-normalized'!$E:$E, MATCH($A235, 'UZ-normalized'!$A:$A, 0))), 0), 0)))</f>
        <v>-20</v>
      </c>
      <c r="P235" s="6">
        <f>MIN(0, N235+(IFERROR(IF(2*INDEX('UA-normalized'!$D:$D, MATCH($A235, 'UA-normalized'!$A:$A, 0))-INDEX('UA-normalized'!$E:$E, MATCH($A235, 'UA-normalized'!$A:$A, 0))&gt;0, -(2*INDEX('UA-normalized'!$D:$D, MATCH($A235, 'UA-normalized'!$A:$A, 0))-INDEX('UA-normalized'!$E:$E, MATCH($A235, 'UA-normalized'!$A:$A, 0))), 0), 0))+(IFERROR(IF(2*INDEX('KZ-normalized'!$D:$D, MATCH($A235, 'KZ-normalized'!$A:$A, 0))-INDEX('KZ-normalized'!$E:$E, MATCH($A235, 'KZ-normalized'!$A:$A, 0))&gt;0, -(2*INDEX('KZ-normalized'!$D:$D, MATCH($A235, 'KZ-normalized'!$A:$A, 0))-INDEX('KZ-normalized'!$E:$E, MATCH($A235, 'KZ-normalized'!$A:$A, 0))), 0), 0))+(IFERROR(IF(2*INDEX('UZ-normalized'!$D:$D, MATCH($A235, 'UZ-normalized'!$A:$A, 0))-INDEX('UZ-normalized'!$E:$E, MATCH($A235, 'UZ-normalized'!$A:$A, 0))&gt;0, -(2*INDEX('UZ-normalized'!$D:$D, MATCH($A235, 'UZ-normalized'!$A:$A, 0))-INDEX('UZ-normalized'!$E:$E, MATCH($A235, 'UZ-normalized'!$A:$A, 0))), 0), 0)))</f>
        <v>-20</v>
      </c>
      <c r="Q235" s="6">
        <f>MIN(0, N235+(IFERROR(IF(3*INDEX('UA-normalized'!$D:$D, MATCH($A235, 'UA-normalized'!$A:$A, 0))-INDEX('UA-normalized'!$E:$E, MATCH($A235, 'UA-normalized'!$A:$A, 0))&gt;0, -(3*INDEX('UA-normalized'!$D:$D, MATCH($A235, 'UA-normalized'!$A:$A, 0))-INDEX('UA-normalized'!$E:$E, MATCH($A235, 'UA-normalized'!$A:$A, 0))), 0), 0))+(IFERROR(IF(3*INDEX('KZ-normalized'!$D:$D, MATCH($A235, 'KZ-normalized'!$A:$A, 0))-INDEX('KZ-normalized'!$E:$E, MATCH($A235, 'KZ-normalized'!$A:$A, 0))&gt;0, -(3*INDEX('KZ-normalized'!$D:$D, MATCH($A235, 'KZ-normalized'!$A:$A, 0))-INDEX('KZ-normalized'!$E:$E, MATCH($A235, 'KZ-normalized'!$A:$A, 0))), 0), 0))+(IFERROR(IF(3*INDEX('UZ-normalized'!$D:$D, MATCH($A235, 'UZ-normalized'!$A:$A, 0))-INDEX('UZ-normalized'!$E:$E, MATCH($A235, 'UZ-normalized'!$A:$A, 0))&gt;0, -(3*INDEX('UZ-normalized'!$D:$D, MATCH($A235, 'UZ-normalized'!$A:$A, 0))-INDEX('UZ-normalized'!$E:$E, MATCH($A235, 'UZ-normalized'!$A:$A, 0))), 0), 0)))</f>
        <v>-20</v>
      </c>
      <c r="R235" s="6">
        <f>MIN(0, N235+(IFERROR(IF(4*INDEX('UA-normalized'!$D:$D, MATCH($A235, 'UA-normalized'!$A:$A, 0))-INDEX('UA-normalized'!$E:$E, MATCH($A235, 'UA-normalized'!$A:$A, 0))&gt;0, -(4*INDEX('UA-normalized'!$D:$D, MATCH($A235, 'UA-normalized'!$A:$A, 0))-INDEX('UA-normalized'!$E:$E, MATCH($A235, 'UA-normalized'!$A:$A, 0))), 0), 0))+(IFERROR(IF(4*INDEX('KZ-normalized'!$D:$D, MATCH($A235, 'KZ-normalized'!$A:$A, 0))-INDEX('KZ-normalized'!$E:$E, MATCH($A235, 'KZ-normalized'!$A:$A, 0))&gt;0, -(4*INDEX('KZ-normalized'!$D:$D, MATCH($A235, 'KZ-normalized'!$A:$A, 0))-INDEX('KZ-normalized'!$E:$E, MATCH($A235, 'KZ-normalized'!$A:$A, 0))), 0), 0))+(IFERROR(IF(4*INDEX('UZ-normalized'!$D:$D, MATCH($A235, 'UZ-normalized'!$A:$A, 0))-INDEX('UZ-normalized'!$E:$E, MATCH($A235, 'UZ-normalized'!$A:$A, 0))&gt;0, -(4*INDEX('UZ-normalized'!$D:$D, MATCH($A235, 'UZ-normalized'!$A:$A, 0))-INDEX('UZ-normalized'!$E:$E, MATCH($A235, 'UZ-normalized'!$A:$A, 0))), 0), 0)))</f>
        <v>-20</v>
      </c>
      <c r="S235" s="6">
        <f>MIN(0, N235+(IFERROR(IF(5*INDEX('UA-normalized'!$D:$D, MATCH($A235, 'UA-normalized'!$A:$A, 0))-INDEX('UA-normalized'!$E:$E, MATCH($A235, 'UA-normalized'!$A:$A, 0))&gt;0, -(5*INDEX('UA-normalized'!$D:$D, MATCH($A235, 'UA-normalized'!$A:$A, 0))-INDEX('UA-normalized'!$E:$E, MATCH($A235, 'UA-normalized'!$A:$A, 0))), 0), 0))+(IFERROR(IF(5*INDEX('KZ-normalized'!$D:$D, MATCH($A235, 'KZ-normalized'!$A:$A, 0))-INDEX('KZ-normalized'!$E:$E, MATCH($A235, 'KZ-normalized'!$A:$A, 0))&gt;0, -(5*INDEX('KZ-normalized'!$D:$D, MATCH($A235, 'KZ-normalized'!$A:$A, 0))-INDEX('KZ-normalized'!$E:$E, MATCH($A235, 'KZ-normalized'!$A:$A, 0))), 0), 0))+(IFERROR(IF(5*INDEX('UZ-normalized'!$D:$D, MATCH($A235, 'UZ-normalized'!$A:$A, 0))-INDEX('UZ-normalized'!$E:$E, MATCH($A235, 'UZ-normalized'!$A:$A, 0))&gt;0, -(5*INDEX('UZ-normalized'!$D:$D, MATCH($A235, 'UZ-normalized'!$A:$A, 0))-INDEX('UZ-normalized'!$E:$E, MATCH($A235, 'UZ-normalized'!$A:$A, 0))), 0), 0)))</f>
        <v>-20</v>
      </c>
      <c r="T235" s="6">
        <f>MIN(0, N235+(IFERROR(IF(6*INDEX('UA-normalized'!$D:$D, MATCH($A235, 'UA-normalized'!$A:$A, 0))-INDEX('UA-normalized'!$E:$E, MATCH($A235, 'UA-normalized'!$A:$A, 0))&gt;0, -(6*INDEX('UA-normalized'!$D:$D, MATCH($A235, 'UA-normalized'!$A:$A, 0))-INDEX('UA-normalized'!$E:$E, MATCH($A235, 'UA-normalized'!$A:$A, 0))), 0), 0))+(IFERROR(IF(6*INDEX('KZ-normalized'!$D:$D, MATCH($A235, 'KZ-normalized'!$A:$A, 0))-INDEX('KZ-normalized'!$E:$E, MATCH($A235, 'KZ-normalized'!$A:$A, 0))&gt;0, -(6*INDEX('KZ-normalized'!$D:$D, MATCH($A235, 'KZ-normalized'!$A:$A, 0))-INDEX('KZ-normalized'!$E:$E, MATCH($A235, 'KZ-normalized'!$A:$A, 0))), 0), 0))+(IFERROR(IF(6*INDEX('UZ-normalized'!$D:$D, MATCH($A235, 'UZ-normalized'!$A:$A, 0))-INDEX('UZ-normalized'!$E:$E, MATCH($A235, 'UZ-normalized'!$A:$A, 0))&gt;0, -(6*INDEX('UZ-normalized'!$D:$D, MATCH($A235, 'UZ-normalized'!$A:$A, 0))-INDEX('UZ-normalized'!$E:$E, MATCH($A235, 'UZ-normalized'!$A:$A, 0))), 0), 0)))</f>
        <v>-20</v>
      </c>
      <c r="U235" s="6">
        <f>MIN(0, N235+(IFERROR(IF(7*INDEX('UA-normalized'!$D:$D, MATCH($A235, 'UA-normalized'!$A:$A, 0))-INDEX('UA-normalized'!$E:$E, MATCH($A235, 'UA-normalized'!$A:$A, 0))&gt;0, -(7*INDEX('UA-normalized'!$D:$D, MATCH($A235, 'UA-normalized'!$A:$A, 0))-INDEX('UA-normalized'!$E:$E, MATCH($A235, 'UA-normalized'!$A:$A, 0))), 0), 0))+(IFERROR(IF(7*INDEX('KZ-normalized'!$D:$D, MATCH($A235, 'KZ-normalized'!$A:$A, 0))-INDEX('KZ-normalized'!$E:$E, MATCH($A235, 'KZ-normalized'!$A:$A, 0))&gt;0, -(7*INDEX('KZ-normalized'!$D:$D, MATCH($A235, 'KZ-normalized'!$A:$A, 0))-INDEX('KZ-normalized'!$E:$E, MATCH($A235, 'KZ-normalized'!$A:$A, 0))), 0), 0))+(IFERROR(IF(7*INDEX('UZ-normalized'!$D:$D, MATCH($A235, 'UZ-normalized'!$A:$A, 0))-INDEX('UZ-normalized'!$E:$E, MATCH($A235, 'UZ-normalized'!$A:$A, 0))&gt;0, -(7*INDEX('UZ-normalized'!$D:$D, MATCH($A235, 'UZ-normalized'!$A:$A, 0))-INDEX('UZ-normalized'!$E:$E, MATCH($A235, 'UZ-normalized'!$A:$A, 0))), 0), 0)))</f>
        <v>-20</v>
      </c>
      <c r="V235" s="6">
        <f>MIN(0, N235+(IFERROR(IF(8*INDEX('UA-normalized'!$D:$D, MATCH($A235, 'UA-normalized'!$A:$A, 0))-INDEX('UA-normalized'!$E:$E, MATCH($A235, 'UA-normalized'!$A:$A, 0))&gt;0, -(8*INDEX('UA-normalized'!$D:$D, MATCH($A235, 'UA-normalized'!$A:$A, 0))-INDEX('UA-normalized'!$E:$E, MATCH($A235, 'UA-normalized'!$A:$A, 0))), 0), 0))+(IFERROR(IF(8*INDEX('KZ-normalized'!$D:$D, MATCH($A235, 'KZ-normalized'!$A:$A, 0))-INDEX('KZ-normalized'!$E:$E, MATCH($A235, 'KZ-normalized'!$A:$A, 0))&gt;0, -(8*INDEX('KZ-normalized'!$D:$D, MATCH($A235, 'KZ-normalized'!$A:$A, 0))-INDEX('KZ-normalized'!$E:$E, MATCH($A235, 'KZ-normalized'!$A:$A, 0))), 0), 0))+(IFERROR(IF(8*INDEX('UZ-normalized'!$D:$D, MATCH($A235, 'UZ-normalized'!$A:$A, 0))-INDEX('UZ-normalized'!$E:$E, MATCH($A235, 'UZ-normalized'!$A:$A, 0))&gt;0, -(8*INDEX('UZ-normalized'!$D:$D, MATCH($A235, 'UZ-normalized'!$A:$A, 0))-INDEX('UZ-normalized'!$E:$E, MATCH($A235, 'UZ-normalized'!$A:$A, 0))), 0), 0)))</f>
        <v>-26</v>
      </c>
      <c r="W235" s="6">
        <f>MIN(0, N235+(IFERROR(IF(9*INDEX('UA-normalized'!$D:$D, MATCH($A235, 'UA-normalized'!$A:$A, 0))-INDEX('UA-normalized'!$E:$E, MATCH($A235, 'UA-normalized'!$A:$A, 0))&gt;0, -(9*INDEX('UA-normalized'!$D:$D, MATCH($A235, 'UA-normalized'!$A:$A, 0))-INDEX('UA-normalized'!$E:$E, MATCH($A235, 'UA-normalized'!$A:$A, 0))), 0), 0))+(IFERROR(IF(9*INDEX('KZ-normalized'!$D:$D, MATCH($A235, 'KZ-normalized'!$A:$A, 0))-INDEX('KZ-normalized'!$E:$E, MATCH($A235, 'KZ-normalized'!$A:$A, 0))&gt;0, -(9*INDEX('KZ-normalized'!$D:$D, MATCH($A235, 'KZ-normalized'!$A:$A, 0))-INDEX('KZ-normalized'!$E:$E, MATCH($A235, 'KZ-normalized'!$A:$A, 0))), 0), 0))+(IFERROR(IF(9*INDEX('UZ-normalized'!$D:$D, MATCH($A235, 'UZ-normalized'!$A:$A, 0))-INDEX('UZ-normalized'!$E:$E, MATCH($A235, 'UZ-normalized'!$A:$A, 0))&gt;0, -(9*INDEX('UZ-normalized'!$D:$D, MATCH($A235, 'UZ-normalized'!$A:$A, 0))-INDEX('UZ-normalized'!$E:$E, MATCH($A235, 'UZ-normalized'!$A:$A, 0))), 0), 0)))</f>
        <v>-38</v>
      </c>
      <c r="X235" s="6">
        <f>MIN(0, N235+(IFERROR(IF(10*INDEX('UA-normalized'!$D:$D, MATCH($A235, 'UA-normalized'!$A:$A, 0))-INDEX('UA-normalized'!$E:$E, MATCH($A235, 'UA-normalized'!$A:$A, 0))&gt;0, -(10*INDEX('UA-normalized'!$D:$D, MATCH($A235, 'UA-normalized'!$A:$A, 0))-INDEX('UA-normalized'!$E:$E, MATCH($A235, 'UA-normalized'!$A:$A, 0))), 0), 0))+(IFERROR(IF(10*INDEX('KZ-normalized'!$D:$D, MATCH($A235, 'KZ-normalized'!$A:$A, 0))-INDEX('KZ-normalized'!$E:$E, MATCH($A235, 'KZ-normalized'!$A:$A, 0))&gt;0, -(10*INDEX('KZ-normalized'!$D:$D, MATCH($A235, 'KZ-normalized'!$A:$A, 0))-INDEX('KZ-normalized'!$E:$E, MATCH($A235, 'KZ-normalized'!$A:$A, 0))), 0), 0))+(IFERROR(IF(10*INDEX('UZ-normalized'!$D:$D, MATCH($A235, 'UZ-normalized'!$A:$A, 0))-INDEX('UZ-normalized'!$E:$E, MATCH($A235, 'UZ-normalized'!$A:$A, 0))&gt;0, -(10*INDEX('UZ-normalized'!$D:$D, MATCH($A235, 'UZ-normalized'!$A:$A, 0))-INDEX('UZ-normalized'!$E:$E, MATCH($A235, 'UZ-normalized'!$A:$A, 0))), 0), 0)))</f>
        <v>-50</v>
      </c>
      <c r="Y235" s="6">
        <f>MIN(0, N235+(IFERROR(IF(11*INDEX('UA-normalized'!$D:$D, MATCH($A235, 'UA-normalized'!$A:$A, 0))-INDEX('UA-normalized'!$E:$E, MATCH($A235, 'UA-normalized'!$A:$A, 0))&gt;0, -(11*INDEX('UA-normalized'!$D:$D, MATCH($A235, 'UA-normalized'!$A:$A, 0))-INDEX('UA-normalized'!$E:$E, MATCH($A235, 'UA-normalized'!$A:$A, 0))), 0), 0))+(IFERROR(IF(11*INDEX('KZ-normalized'!$D:$D, MATCH($A235, 'KZ-normalized'!$A:$A, 0))-INDEX('KZ-normalized'!$E:$E, MATCH($A235, 'KZ-normalized'!$A:$A, 0))&gt;0, -(11*INDEX('KZ-normalized'!$D:$D, MATCH($A235, 'KZ-normalized'!$A:$A, 0))-INDEX('KZ-normalized'!$E:$E, MATCH($A235, 'KZ-normalized'!$A:$A, 0))), 0), 0))+(IFERROR(IF(11*INDEX('UZ-normalized'!$D:$D, MATCH($A235, 'UZ-normalized'!$A:$A, 0))-INDEX('UZ-normalized'!$E:$E, MATCH($A235, 'UZ-normalized'!$A:$A, 0))&gt;0, -(11*INDEX('UZ-normalized'!$D:$D, MATCH($A235, 'UZ-normalized'!$A:$A, 0))-INDEX('UZ-normalized'!$E:$E, MATCH($A235, 'UZ-normalized'!$A:$A, 0))), 0), 0)))</f>
        <v>-62.7</v>
      </c>
      <c r="Z235" s="6">
        <f>MIN(0, N235+(IFERROR(IF(12*INDEX('UA-normalized'!$D:$D, MATCH($A235, 'UA-normalized'!$A:$A, 0))-INDEX('UA-normalized'!$E:$E, MATCH($A235, 'UA-normalized'!$A:$A, 0))&gt;0, -(12*INDEX('UA-normalized'!$D:$D, MATCH($A235, 'UA-normalized'!$A:$A, 0))-INDEX('UA-normalized'!$E:$E, MATCH($A235, 'UA-normalized'!$A:$A, 0))), 0), 0))+(IFERROR(IF(12*INDEX('KZ-normalized'!$D:$D, MATCH($A235, 'KZ-normalized'!$A:$A, 0))-INDEX('KZ-normalized'!$E:$E, MATCH($A235, 'KZ-normalized'!$A:$A, 0))&gt;0, -(12*INDEX('KZ-normalized'!$D:$D, MATCH($A235, 'KZ-normalized'!$A:$A, 0))-INDEX('KZ-normalized'!$E:$E, MATCH($A235, 'KZ-normalized'!$A:$A, 0))), 0), 0))+(IFERROR(IF(12*INDEX('UZ-normalized'!$D:$D, MATCH($A235, 'UZ-normalized'!$A:$A, 0))-INDEX('UZ-normalized'!$E:$E, MATCH($A235, 'UZ-normalized'!$A:$A, 0))&gt;0, -(12*INDEX('UZ-normalized'!$D:$D, MATCH($A235, 'UZ-normalized'!$A:$A, 0))-INDEX('UZ-normalized'!$E:$E, MATCH($A235, 'UZ-normalized'!$A:$A, 0))), 0), 0)))</f>
        <v>-76.400000000000006</v>
      </c>
      <c r="AA235" s="6">
        <f>MIN(0, N235+(IFERROR(IF(13*INDEX('UA-normalized'!$D:$D, MATCH($A235, 'UA-normalized'!$A:$A, 0))-INDEX('UA-normalized'!$E:$E, MATCH($A235, 'UA-normalized'!$A:$A, 0))&gt;0, -(13*INDEX('UA-normalized'!$D:$D, MATCH($A235, 'UA-normalized'!$A:$A, 0))-INDEX('UA-normalized'!$E:$E, MATCH($A235, 'UA-normalized'!$A:$A, 0))), 0), 0))+(IFERROR(IF(13*INDEX('KZ-normalized'!$D:$D, MATCH($A235, 'KZ-normalized'!$A:$A, 0))-INDEX('KZ-normalized'!$E:$E, MATCH($A235, 'KZ-normalized'!$A:$A, 0))&gt;0, -(13*INDEX('KZ-normalized'!$D:$D, MATCH($A235, 'KZ-normalized'!$A:$A, 0))-INDEX('KZ-normalized'!$E:$E, MATCH($A235, 'KZ-normalized'!$A:$A, 0))), 0), 0))+(IFERROR(IF(13*INDEX('UZ-normalized'!$D:$D, MATCH($A235, 'UZ-normalized'!$A:$A, 0))-INDEX('UZ-normalized'!$E:$E, MATCH($A235, 'UZ-normalized'!$A:$A, 0))&gt;0, -(13*INDEX('UZ-normalized'!$D:$D, MATCH($A235, 'UZ-normalized'!$A:$A, 0))-INDEX('UZ-normalized'!$E:$E, MATCH($A235, 'UZ-normalized'!$A:$A, 0))), 0), 0)))</f>
        <v>-92</v>
      </c>
      <c r="AB235" s="6">
        <f>MIN(0, N235+(IFERROR(IF(14*INDEX('UA-normalized'!$D:$D, MATCH($A235, 'UA-normalized'!$A:$A, 0))-INDEX('UA-normalized'!$E:$E, MATCH($A235, 'UA-normalized'!$A:$A, 0))&gt;0, -(14*INDEX('UA-normalized'!$D:$D, MATCH($A235, 'UA-normalized'!$A:$A, 0))-INDEX('UA-normalized'!$E:$E, MATCH($A235, 'UA-normalized'!$A:$A, 0))), 0), 0))+(IFERROR(IF(14*INDEX('KZ-normalized'!$D:$D, MATCH($A235, 'KZ-normalized'!$A:$A, 0))-INDEX('KZ-normalized'!$E:$E, MATCH($A235, 'KZ-normalized'!$A:$A, 0))&gt;0, -(14*INDEX('KZ-normalized'!$D:$D, MATCH($A235, 'KZ-normalized'!$A:$A, 0))-INDEX('KZ-normalized'!$E:$E, MATCH($A235, 'KZ-normalized'!$A:$A, 0))), 0), 0))+(IFERROR(IF(14*INDEX('UZ-normalized'!$D:$D, MATCH($A235, 'UZ-normalized'!$A:$A, 0))-INDEX('UZ-normalized'!$E:$E, MATCH($A235, 'UZ-normalized'!$A:$A, 0))&gt;0, -(14*INDEX('UZ-normalized'!$D:$D, MATCH($A235, 'UZ-normalized'!$A:$A, 0))-INDEX('UZ-normalized'!$E:$E, MATCH($A235, 'UZ-normalized'!$A:$A, 0))), 0), 0)))</f>
        <v>-108.99999999999999</v>
      </c>
      <c r="AC235" s="6">
        <f>MIN(0, N235+(IFERROR(IF(15*INDEX('UA-normalized'!$D:$D, MATCH($A235, 'UA-normalized'!$A:$A, 0))-INDEX('UA-normalized'!$E:$E, MATCH($A235, 'UA-normalized'!$A:$A, 0))&gt;0, -(15*INDEX('UA-normalized'!$D:$D, MATCH($A235, 'UA-normalized'!$A:$A, 0))-INDEX('UA-normalized'!$E:$E, MATCH($A235, 'UA-normalized'!$A:$A, 0))), 0), 0))+(IFERROR(IF(15*INDEX('KZ-normalized'!$D:$D, MATCH($A235, 'KZ-normalized'!$A:$A, 0))-INDEX('KZ-normalized'!$E:$E, MATCH($A235, 'KZ-normalized'!$A:$A, 0))&gt;0, -(15*INDEX('KZ-normalized'!$D:$D, MATCH($A235, 'KZ-normalized'!$A:$A, 0))-INDEX('KZ-normalized'!$E:$E, MATCH($A235, 'KZ-normalized'!$A:$A, 0))), 0), 0))+(IFERROR(IF(15*INDEX('UZ-normalized'!$D:$D, MATCH($A235, 'UZ-normalized'!$A:$A, 0))-INDEX('UZ-normalized'!$E:$E, MATCH($A235, 'UZ-normalized'!$A:$A, 0))&gt;0, -(15*INDEX('UZ-normalized'!$D:$D, MATCH($A235, 'UZ-normalized'!$A:$A, 0))-INDEX('UZ-normalized'!$E:$E, MATCH($A235, 'UZ-normalized'!$A:$A, 0))), 0), 0)))</f>
        <v>-126</v>
      </c>
      <c r="AD235" s="6">
        <f>MIN(0, N235+(IFERROR(IF(16*INDEX('UA-normalized'!$D:$D, MATCH($A235, 'UA-normalized'!$A:$A, 0))-INDEX('UA-normalized'!$E:$E, MATCH($A235, 'UA-normalized'!$A:$A, 0))&gt;0, -(16*INDEX('UA-normalized'!$D:$D, MATCH($A235, 'UA-normalized'!$A:$A, 0))-INDEX('UA-normalized'!$E:$E, MATCH($A235, 'UA-normalized'!$A:$A, 0))), 0), 0))+(IFERROR(IF(16*INDEX('KZ-normalized'!$D:$D, MATCH($A235, 'KZ-normalized'!$A:$A, 0))-INDEX('KZ-normalized'!$E:$E, MATCH($A235, 'KZ-normalized'!$A:$A, 0))&gt;0, -(16*INDEX('KZ-normalized'!$D:$D, MATCH($A235, 'KZ-normalized'!$A:$A, 0))-INDEX('KZ-normalized'!$E:$E, MATCH($A235, 'KZ-normalized'!$A:$A, 0))), 0), 0))+(IFERROR(IF(16*INDEX('UZ-normalized'!$D:$D, MATCH($A235, 'UZ-normalized'!$A:$A, 0))-INDEX('UZ-normalized'!$E:$E, MATCH($A235, 'UZ-normalized'!$A:$A, 0))&gt;0, -(16*INDEX('UZ-normalized'!$D:$D, MATCH($A235, 'UZ-normalized'!$A:$A, 0))-INDEX('UZ-normalized'!$E:$E, MATCH($A235, 'UZ-normalized'!$A:$A, 0))), 0), 0)))</f>
        <v>-143</v>
      </c>
      <c r="AE235" s="6">
        <f>MIN(0, N235+(IFERROR(IF(17*INDEX('UA-normalized'!$D:$D, MATCH($A235, 'UA-normalized'!$A:$A, 0))-INDEX('UA-normalized'!$E:$E, MATCH($A235, 'UA-normalized'!$A:$A, 0))&gt;0, -(17*INDEX('UA-normalized'!$D:$D, MATCH($A235, 'UA-normalized'!$A:$A, 0))-INDEX('UA-normalized'!$E:$E, MATCH($A235, 'UA-normalized'!$A:$A, 0))), 0), 0))+(IFERROR(IF(17*INDEX('KZ-normalized'!$D:$D, MATCH($A235, 'KZ-normalized'!$A:$A, 0))-INDEX('KZ-normalized'!$E:$E, MATCH($A235, 'KZ-normalized'!$A:$A, 0))&gt;0, -(17*INDEX('KZ-normalized'!$D:$D, MATCH($A235, 'KZ-normalized'!$A:$A, 0))-INDEX('KZ-normalized'!$E:$E, MATCH($A235, 'KZ-normalized'!$A:$A, 0))), 0), 0))+(IFERROR(IF(17*INDEX('UZ-normalized'!$D:$D, MATCH($A235, 'UZ-normalized'!$A:$A, 0))-INDEX('UZ-normalized'!$E:$E, MATCH($A235, 'UZ-normalized'!$A:$A, 0))&gt;0, -(17*INDEX('UZ-normalized'!$D:$D, MATCH($A235, 'UZ-normalized'!$A:$A, 0))-INDEX('UZ-normalized'!$E:$E, MATCH($A235, 'UZ-normalized'!$A:$A, 0))), 0), 0)))</f>
        <v>-160</v>
      </c>
      <c r="AF235" s="6">
        <f>MIN(0, N235+(IFERROR(IF(18*INDEX('UA-normalized'!$D:$D, MATCH($A235, 'UA-normalized'!$A:$A, 0))-INDEX('UA-normalized'!$E:$E, MATCH($A235, 'UA-normalized'!$A:$A, 0))&gt;0, -(18*INDEX('UA-normalized'!$D:$D, MATCH($A235, 'UA-normalized'!$A:$A, 0))-INDEX('UA-normalized'!$E:$E, MATCH($A235, 'UA-normalized'!$A:$A, 0))), 0), 0))+(IFERROR(IF(18*INDEX('KZ-normalized'!$D:$D, MATCH($A235, 'KZ-normalized'!$A:$A, 0))-INDEX('KZ-normalized'!$E:$E, MATCH($A235, 'KZ-normalized'!$A:$A, 0))&gt;0, -(18*INDEX('KZ-normalized'!$D:$D, MATCH($A235, 'KZ-normalized'!$A:$A, 0))-INDEX('KZ-normalized'!$E:$E, MATCH($A235, 'KZ-normalized'!$A:$A, 0))), 0), 0))+(IFERROR(IF(18*INDEX('UZ-normalized'!$D:$D, MATCH($A235, 'UZ-normalized'!$A:$A, 0))-INDEX('UZ-normalized'!$E:$E, MATCH($A235, 'UZ-normalized'!$A:$A, 0))&gt;0, -(18*INDEX('UZ-normalized'!$D:$D, MATCH($A235, 'UZ-normalized'!$A:$A, 0))-INDEX('UZ-normalized'!$E:$E, MATCH($A235, 'UZ-normalized'!$A:$A, 0))), 0), 0)))</f>
        <v>-177</v>
      </c>
      <c r="AG235" s="6">
        <f>MIN(0, N235+(IFERROR(IF(19*INDEX('UA-normalized'!$D:$D, MATCH($A235, 'UA-normalized'!$A:$A, 0))-INDEX('UA-normalized'!$E:$E, MATCH($A235, 'UA-normalized'!$A:$A, 0))&gt;0, -(19*INDEX('UA-normalized'!$D:$D, MATCH($A235, 'UA-normalized'!$A:$A, 0))-INDEX('UA-normalized'!$E:$E, MATCH($A235, 'UA-normalized'!$A:$A, 0))), 0), 0))+(IFERROR(IF(19*INDEX('KZ-normalized'!$D:$D, MATCH($A235, 'KZ-normalized'!$A:$A, 0))-INDEX('KZ-normalized'!$E:$E, MATCH($A235, 'KZ-normalized'!$A:$A, 0))&gt;0, -(19*INDEX('KZ-normalized'!$D:$D, MATCH($A235, 'KZ-normalized'!$A:$A, 0))-INDEX('KZ-normalized'!$E:$E, MATCH($A235, 'KZ-normalized'!$A:$A, 0))), 0), 0))+(IFERROR(IF(19*INDEX('UZ-normalized'!$D:$D, MATCH($A235, 'UZ-normalized'!$A:$A, 0))-INDEX('UZ-normalized'!$E:$E, MATCH($A235, 'UZ-normalized'!$A:$A, 0))&gt;0, -(19*INDEX('UZ-normalized'!$D:$D, MATCH($A235, 'UZ-normalized'!$A:$A, 0))-INDEX('UZ-normalized'!$E:$E, MATCH($A235, 'UZ-normalized'!$A:$A, 0))), 0), 0)))</f>
        <v>-194</v>
      </c>
      <c r="AH235" s="6">
        <f>MIN(0, N235+(IFERROR(IF(20*INDEX('UA-normalized'!$D:$D, MATCH($A235, 'UA-normalized'!$A:$A, 0))-INDEX('UA-normalized'!$E:$E, MATCH($A235, 'UA-normalized'!$A:$A, 0))&gt;0, -(20*INDEX('UA-normalized'!$D:$D, MATCH($A235, 'UA-normalized'!$A:$A, 0))-INDEX('UA-normalized'!$E:$E, MATCH($A235, 'UA-normalized'!$A:$A, 0))), 0), 0))+(IFERROR(IF(20*INDEX('KZ-normalized'!$D:$D, MATCH($A235, 'KZ-normalized'!$A:$A, 0))-INDEX('KZ-normalized'!$E:$E, MATCH($A235, 'KZ-normalized'!$A:$A, 0))&gt;0, -(20*INDEX('KZ-normalized'!$D:$D, MATCH($A235, 'KZ-normalized'!$A:$A, 0))-INDEX('KZ-normalized'!$E:$E, MATCH($A235, 'KZ-normalized'!$A:$A, 0))), 0), 0))+(IFERROR(IF(20*INDEX('UZ-normalized'!$D:$D, MATCH($A235, 'UZ-normalized'!$A:$A, 0))-INDEX('UZ-normalized'!$E:$E, MATCH($A235, 'UZ-normalized'!$A:$A, 0))&gt;0, -(20*INDEX('UZ-normalized'!$D:$D, MATCH($A235, 'UZ-normalized'!$A:$A, 0))-INDEX('UZ-normalized'!$E:$E, MATCH($A235, 'UZ-normalized'!$A:$A, 0))), 0), 0)))</f>
        <v>-211</v>
      </c>
      <c r="AI235" s="6">
        <f>MIN(0, N235+(IFERROR(IF(21*INDEX('UA-normalized'!$D:$D, MATCH($A235, 'UA-normalized'!$A:$A, 0))-INDEX('UA-normalized'!$E:$E, MATCH($A235, 'UA-normalized'!$A:$A, 0))&gt;0, -(21*INDEX('UA-normalized'!$D:$D, MATCH($A235, 'UA-normalized'!$A:$A, 0))-INDEX('UA-normalized'!$E:$E, MATCH($A235, 'UA-normalized'!$A:$A, 0))), 0), 0))+(IFERROR(IF(21*INDEX('KZ-normalized'!$D:$D, MATCH($A235, 'KZ-normalized'!$A:$A, 0))-INDEX('KZ-normalized'!$E:$E, MATCH($A235, 'KZ-normalized'!$A:$A, 0))&gt;0, -(21*INDEX('KZ-normalized'!$D:$D, MATCH($A235, 'KZ-normalized'!$A:$A, 0))-INDEX('KZ-normalized'!$E:$E, MATCH($A235, 'KZ-normalized'!$A:$A, 0))), 0), 0))+(IFERROR(IF(21*INDEX('UZ-normalized'!$D:$D, MATCH($A235, 'UZ-normalized'!$A:$A, 0))-INDEX('UZ-normalized'!$E:$E, MATCH($A235, 'UZ-normalized'!$A:$A, 0))&gt;0, -(21*INDEX('UZ-normalized'!$D:$D, MATCH($A235, 'UZ-normalized'!$A:$A, 0))-INDEX('UZ-normalized'!$E:$E, MATCH($A235, 'UZ-normalized'!$A:$A, 0))), 0), 0)))</f>
        <v>-228</v>
      </c>
      <c r="AJ235" s="6">
        <f>MIN(0, N235+(IFERROR(IF(22*INDEX('UA-normalized'!$D:$D, MATCH($A235, 'UA-normalized'!$A:$A, 0))-INDEX('UA-normalized'!$E:$E, MATCH($A235, 'UA-normalized'!$A:$A, 0))&gt;0, -(22*INDEX('UA-normalized'!$D:$D, MATCH($A235, 'UA-normalized'!$A:$A, 0))-INDEX('UA-normalized'!$E:$E, MATCH($A235, 'UA-normalized'!$A:$A, 0))), 0), 0))+(IFERROR(IF(22*INDEX('KZ-normalized'!$D:$D, MATCH($A235, 'KZ-normalized'!$A:$A, 0))-INDEX('KZ-normalized'!$E:$E, MATCH($A235, 'KZ-normalized'!$A:$A, 0))&gt;0, -(22*INDEX('KZ-normalized'!$D:$D, MATCH($A235, 'KZ-normalized'!$A:$A, 0))-INDEX('KZ-normalized'!$E:$E, MATCH($A235, 'KZ-normalized'!$A:$A, 0))), 0), 0))+(IFERROR(IF(22*INDEX('UZ-normalized'!$D:$D, MATCH($A235, 'UZ-normalized'!$A:$A, 0))-INDEX('UZ-normalized'!$E:$E, MATCH($A235, 'UZ-normalized'!$A:$A, 0))&gt;0, -(22*INDEX('UZ-normalized'!$D:$D, MATCH($A235, 'UZ-normalized'!$A:$A, 0))-INDEX('UZ-normalized'!$E:$E, MATCH($A235, 'UZ-normalized'!$A:$A, 0))), 0), 0)))</f>
        <v>-245</v>
      </c>
      <c r="AK235" s="6">
        <f>MIN(0, N235+(IFERROR(IF(23*INDEX('UA-normalized'!$D:$D, MATCH($A235, 'UA-normalized'!$A:$A, 0))-INDEX('UA-normalized'!$E:$E, MATCH($A235, 'UA-normalized'!$A:$A, 0))&gt;0, -(23*INDEX('UA-normalized'!$D:$D, MATCH($A235, 'UA-normalized'!$A:$A, 0))-INDEX('UA-normalized'!$E:$E, MATCH($A235, 'UA-normalized'!$A:$A, 0))), 0), 0))+(IFERROR(IF(23*INDEX('KZ-normalized'!$D:$D, MATCH($A235, 'KZ-normalized'!$A:$A, 0))-INDEX('KZ-normalized'!$E:$E, MATCH($A235, 'KZ-normalized'!$A:$A, 0))&gt;0, -(23*INDEX('KZ-normalized'!$D:$D, MATCH($A235, 'KZ-normalized'!$A:$A, 0))-INDEX('KZ-normalized'!$E:$E, MATCH($A235, 'KZ-normalized'!$A:$A, 0))), 0), 0))+(IFERROR(IF(23*INDEX('UZ-normalized'!$D:$D, MATCH($A235, 'UZ-normalized'!$A:$A, 0))-INDEX('UZ-normalized'!$E:$E, MATCH($A235, 'UZ-normalized'!$A:$A, 0))&gt;0, -(23*INDEX('UZ-normalized'!$D:$D, MATCH($A235, 'UZ-normalized'!$A:$A, 0))-INDEX('UZ-normalized'!$E:$E, MATCH($A235, 'UZ-normalized'!$A:$A, 0))), 0), 0)))</f>
        <v>-262</v>
      </c>
      <c r="AL235" s="6">
        <f>MIN(0, N235+(IFERROR(IF(24*INDEX('UA-normalized'!$D:$D, MATCH($A235, 'UA-normalized'!$A:$A, 0))-INDEX('UA-normalized'!$E:$E, MATCH($A235, 'UA-normalized'!$A:$A, 0))&gt;0, -(24*INDEX('UA-normalized'!$D:$D, MATCH($A235, 'UA-normalized'!$A:$A, 0))-INDEX('UA-normalized'!$E:$E, MATCH($A235, 'UA-normalized'!$A:$A, 0))), 0), 0))+(IFERROR(IF(24*INDEX('KZ-normalized'!$D:$D, MATCH($A235, 'KZ-normalized'!$A:$A, 0))-INDEX('KZ-normalized'!$E:$E, MATCH($A235, 'KZ-normalized'!$A:$A, 0))&gt;0, -(24*INDEX('KZ-normalized'!$D:$D, MATCH($A235, 'KZ-normalized'!$A:$A, 0))-INDEX('KZ-normalized'!$E:$E, MATCH($A235, 'KZ-normalized'!$A:$A, 0))), 0), 0))+(IFERROR(IF(24*INDEX('UZ-normalized'!$D:$D, MATCH($A235, 'UZ-normalized'!$A:$A, 0))-INDEX('UZ-normalized'!$E:$E, MATCH($A235, 'UZ-normalized'!$A:$A, 0))&gt;0, -(24*INDEX('UZ-normalized'!$D:$D, MATCH($A235, 'UZ-normalized'!$A:$A, 0))-INDEX('UZ-normalized'!$E:$E, MATCH($A235, 'UZ-normalized'!$A:$A, 0))), 0), 0)))</f>
        <v>-279</v>
      </c>
      <c r="AM235" s="6">
        <f>MIN(0, N235+(IFERROR(IF(25*INDEX('UA-normalized'!$D:$D, MATCH($A235, 'UA-normalized'!$A:$A, 0))-INDEX('UA-normalized'!$E:$E, MATCH($A235, 'UA-normalized'!$A:$A, 0))&gt;0, -(25*INDEX('UA-normalized'!$D:$D, MATCH($A235, 'UA-normalized'!$A:$A, 0))-INDEX('UA-normalized'!$E:$E, MATCH($A235, 'UA-normalized'!$A:$A, 0))), 0), 0))+(IFERROR(IF(25*INDEX('KZ-normalized'!$D:$D, MATCH($A235, 'KZ-normalized'!$A:$A, 0))-INDEX('KZ-normalized'!$E:$E, MATCH($A235, 'KZ-normalized'!$A:$A, 0))&gt;0, -(25*INDEX('KZ-normalized'!$D:$D, MATCH($A235, 'KZ-normalized'!$A:$A, 0))-INDEX('KZ-normalized'!$E:$E, MATCH($A235, 'KZ-normalized'!$A:$A, 0))), 0), 0))+(IFERROR(IF(25*INDEX('UZ-normalized'!$D:$D, MATCH($A235, 'UZ-normalized'!$A:$A, 0))-INDEX('UZ-normalized'!$E:$E, MATCH($A235, 'UZ-normalized'!$A:$A, 0))&gt;0, -(25*INDEX('UZ-normalized'!$D:$D, MATCH($A235, 'UZ-normalized'!$A:$A, 0))-INDEX('UZ-normalized'!$E:$E, MATCH($A235, 'UZ-normalized'!$A:$A, 0))), 0), 0)))</f>
        <v>-296</v>
      </c>
      <c r="AN235" s="6">
        <f>MIN(0, N235+(IFERROR(IF(26*INDEX('UA-normalized'!$D:$D, MATCH($A235, 'UA-normalized'!$A:$A, 0))-INDEX('UA-normalized'!$E:$E, MATCH($A235, 'UA-normalized'!$A:$A, 0))&gt;0, -(26*INDEX('UA-normalized'!$D:$D, MATCH($A235, 'UA-normalized'!$A:$A, 0))-INDEX('UA-normalized'!$E:$E, MATCH($A235, 'UA-normalized'!$A:$A, 0))), 0), 0))+(IFERROR(IF(26*INDEX('KZ-normalized'!$D:$D, MATCH($A235, 'KZ-normalized'!$A:$A, 0))-INDEX('KZ-normalized'!$E:$E, MATCH($A235, 'KZ-normalized'!$A:$A, 0))&gt;0, -(26*INDEX('KZ-normalized'!$D:$D, MATCH($A235, 'KZ-normalized'!$A:$A, 0))-INDEX('KZ-normalized'!$E:$E, MATCH($A235, 'KZ-normalized'!$A:$A, 0))), 0), 0))+(IFERROR(IF(26*INDEX('UZ-normalized'!$D:$D, MATCH($A235, 'UZ-normalized'!$A:$A, 0))-INDEX('UZ-normalized'!$E:$E, MATCH($A235, 'UZ-normalized'!$A:$A, 0))&gt;0, -(26*INDEX('UZ-normalized'!$D:$D, MATCH($A235, 'UZ-normalized'!$A:$A, 0))-INDEX('UZ-normalized'!$E:$E, MATCH($A235, 'UZ-normalized'!$A:$A, 0))), 0), 0)))</f>
        <v>-313</v>
      </c>
      <c r="AO235" s="6">
        <f>MIN(0, N235+(IFERROR(IF(27*INDEX('UA-normalized'!$D:$D, MATCH($A235, 'UA-normalized'!$A:$A, 0))-INDEX('UA-normalized'!$E:$E, MATCH($A235, 'UA-normalized'!$A:$A, 0))&gt;0, -(27*INDEX('UA-normalized'!$D:$D, MATCH($A235, 'UA-normalized'!$A:$A, 0))-INDEX('UA-normalized'!$E:$E, MATCH($A235, 'UA-normalized'!$A:$A, 0))), 0), 0))+(IFERROR(IF(27*INDEX('KZ-normalized'!$D:$D, MATCH($A235, 'KZ-normalized'!$A:$A, 0))-INDEX('KZ-normalized'!$E:$E, MATCH($A235, 'KZ-normalized'!$A:$A, 0))&gt;0, -(27*INDEX('KZ-normalized'!$D:$D, MATCH($A235, 'KZ-normalized'!$A:$A, 0))-INDEX('KZ-normalized'!$E:$E, MATCH($A235, 'KZ-normalized'!$A:$A, 0))), 0), 0))+(IFERROR(IF(27*INDEX('UZ-normalized'!$D:$D, MATCH($A235, 'UZ-normalized'!$A:$A, 0))-INDEX('UZ-normalized'!$E:$E, MATCH($A235, 'UZ-normalized'!$A:$A, 0))&gt;0, -(27*INDEX('UZ-normalized'!$D:$D, MATCH($A235, 'UZ-normalized'!$A:$A, 0))-INDEX('UZ-normalized'!$E:$E, MATCH($A235, 'UZ-normalized'!$A:$A, 0))), 0), 0)))</f>
        <v>-330</v>
      </c>
      <c r="AP235" s="6">
        <f>MIN(0, N235+(IFERROR(IF(28*INDEX('UA-normalized'!$D:$D, MATCH($A235, 'UA-normalized'!$A:$A, 0))-INDEX('UA-normalized'!$E:$E, MATCH($A235, 'UA-normalized'!$A:$A, 0))&gt;0, -(28*INDEX('UA-normalized'!$D:$D, MATCH($A235, 'UA-normalized'!$A:$A, 0))-INDEX('UA-normalized'!$E:$E, MATCH($A235, 'UA-normalized'!$A:$A, 0))), 0), 0))+(IFERROR(IF(28*INDEX('KZ-normalized'!$D:$D, MATCH($A235, 'KZ-normalized'!$A:$A, 0))-INDEX('KZ-normalized'!$E:$E, MATCH($A235, 'KZ-normalized'!$A:$A, 0))&gt;0, -(28*INDEX('KZ-normalized'!$D:$D, MATCH($A235, 'KZ-normalized'!$A:$A, 0))-INDEX('KZ-normalized'!$E:$E, MATCH($A235, 'KZ-normalized'!$A:$A, 0))), 0), 0))+(IFERROR(IF(28*INDEX('UZ-normalized'!$D:$D, MATCH($A235, 'UZ-normalized'!$A:$A, 0))-INDEX('UZ-normalized'!$E:$E, MATCH($A235, 'UZ-normalized'!$A:$A, 0))&gt;0, -(28*INDEX('UZ-normalized'!$D:$D, MATCH($A235, 'UZ-normalized'!$A:$A, 0))-INDEX('UZ-normalized'!$E:$E, MATCH($A235, 'UZ-normalized'!$A:$A, 0))), 0), 0)))</f>
        <v>-347</v>
      </c>
      <c r="AQ235" s="6">
        <f>MIN(0, N235+(IFERROR(IF(29*INDEX('UA-normalized'!$D:$D, MATCH($A235, 'UA-normalized'!$A:$A, 0))-INDEX('UA-normalized'!$E:$E, MATCH($A235, 'UA-normalized'!$A:$A, 0))&gt;0, -(29*INDEX('UA-normalized'!$D:$D, MATCH($A235, 'UA-normalized'!$A:$A, 0))-INDEX('UA-normalized'!$E:$E, MATCH($A235, 'UA-normalized'!$A:$A, 0))), 0), 0))+(IFERROR(IF(29*INDEX('KZ-normalized'!$D:$D, MATCH($A235, 'KZ-normalized'!$A:$A, 0))-INDEX('KZ-normalized'!$E:$E, MATCH($A235, 'KZ-normalized'!$A:$A, 0))&gt;0, -(29*INDEX('KZ-normalized'!$D:$D, MATCH($A235, 'KZ-normalized'!$A:$A, 0))-INDEX('KZ-normalized'!$E:$E, MATCH($A235, 'KZ-normalized'!$A:$A, 0))), 0), 0))+(IFERROR(IF(29*INDEX('UZ-normalized'!$D:$D, MATCH($A235, 'UZ-normalized'!$A:$A, 0))-INDEX('UZ-normalized'!$E:$E, MATCH($A235, 'UZ-normalized'!$A:$A, 0))&gt;0, -(29*INDEX('UZ-normalized'!$D:$D, MATCH($A235, 'UZ-normalized'!$A:$A, 0))-INDEX('UZ-normalized'!$E:$E, MATCH($A235, 'UZ-normalized'!$A:$A, 0))), 0), 0)))</f>
        <v>-364</v>
      </c>
      <c r="AR235" s="6">
        <f>MIN(0, N235+(IFERROR(IF(30*INDEX('UA-normalized'!$D:$D, MATCH($A235, 'UA-normalized'!$A:$A, 0))-INDEX('UA-normalized'!$E:$E, MATCH($A235, 'UA-normalized'!$A:$A, 0))&gt;0, -(30*INDEX('UA-normalized'!$D:$D, MATCH($A235, 'UA-normalized'!$A:$A, 0))-INDEX('UA-normalized'!$E:$E, MATCH($A235, 'UA-normalized'!$A:$A, 0))), 0), 0))+(IFERROR(IF(30*INDEX('KZ-normalized'!$D:$D, MATCH($A235, 'KZ-normalized'!$A:$A, 0))-INDEX('KZ-normalized'!$E:$E, MATCH($A235, 'KZ-normalized'!$A:$A, 0))&gt;0, -(30*INDEX('KZ-normalized'!$D:$D, MATCH($A235, 'KZ-normalized'!$A:$A, 0))-INDEX('KZ-normalized'!$E:$E, MATCH($A235, 'KZ-normalized'!$A:$A, 0))), 0), 0))+(IFERROR(IF(30*INDEX('UZ-normalized'!$D:$D, MATCH($A235, 'UZ-normalized'!$A:$A, 0))-INDEX('UZ-normalized'!$E:$E, MATCH($A235, 'UZ-normalized'!$A:$A, 0))&gt;0, -(30*INDEX('UZ-normalized'!$D:$D, MATCH($A235, 'UZ-normalized'!$A:$A, 0))-INDEX('UZ-normalized'!$E:$E, MATCH($A235, 'UZ-normalized'!$A:$A, 0))), 0), 0)))</f>
        <v>-381</v>
      </c>
    </row>
    <row r="236" spans="1:44" x14ac:dyDescent="0.25">
      <c r="A236" s="8" t="s">
        <v>557</v>
      </c>
      <c r="B236" s="8" t="s">
        <v>492</v>
      </c>
      <c r="C236" s="8" t="s">
        <v>555</v>
      </c>
      <c r="D236" s="8" t="s">
        <v>558</v>
      </c>
      <c r="N236">
        <f t="shared" si="3"/>
        <v>0</v>
      </c>
      <c r="O236" s="6">
        <f>MIN(0, N236+(IFERROR(IF(1*INDEX('UA-normalized'!$D:$D, MATCH($A236, 'UA-normalized'!$A:$A, 0))-INDEX('UA-normalized'!$E:$E, MATCH($A236, 'UA-normalized'!$A:$A, 0))&gt;0, -(1*INDEX('UA-normalized'!$D:$D, MATCH($A236, 'UA-normalized'!$A:$A, 0))-INDEX('UA-normalized'!$E:$E, MATCH($A236, 'UA-normalized'!$A:$A, 0))), 0), 0))+(IFERROR(IF(1*INDEX('KZ-normalized'!$D:$D, MATCH($A236, 'KZ-normalized'!$A:$A, 0))-INDEX('KZ-normalized'!$E:$E, MATCH($A236, 'KZ-normalized'!$A:$A, 0))&gt;0, -(1*INDEX('KZ-normalized'!$D:$D, MATCH($A236, 'KZ-normalized'!$A:$A, 0))-INDEX('KZ-normalized'!$E:$E, MATCH($A236, 'KZ-normalized'!$A:$A, 0))), 0), 0))+(IFERROR(IF(1*INDEX('UZ-normalized'!$D:$D, MATCH($A236, 'UZ-normalized'!$A:$A, 0))-INDEX('UZ-normalized'!$E:$E, MATCH($A236, 'UZ-normalized'!$A:$A, 0))&gt;0, -(1*INDEX('UZ-normalized'!$D:$D, MATCH($A236, 'UZ-normalized'!$A:$A, 0))-INDEX('UZ-normalized'!$E:$E, MATCH($A236, 'UZ-normalized'!$A:$A, 0))), 0), 0)))</f>
        <v>0</v>
      </c>
      <c r="P236" s="6">
        <f>MIN(0, N236+(IFERROR(IF(2*INDEX('UA-normalized'!$D:$D, MATCH($A236, 'UA-normalized'!$A:$A, 0))-INDEX('UA-normalized'!$E:$E, MATCH($A236, 'UA-normalized'!$A:$A, 0))&gt;0, -(2*INDEX('UA-normalized'!$D:$D, MATCH($A236, 'UA-normalized'!$A:$A, 0))-INDEX('UA-normalized'!$E:$E, MATCH($A236, 'UA-normalized'!$A:$A, 0))), 0), 0))+(IFERROR(IF(2*INDEX('KZ-normalized'!$D:$D, MATCH($A236, 'KZ-normalized'!$A:$A, 0))-INDEX('KZ-normalized'!$E:$E, MATCH($A236, 'KZ-normalized'!$A:$A, 0))&gt;0, -(2*INDEX('KZ-normalized'!$D:$D, MATCH($A236, 'KZ-normalized'!$A:$A, 0))-INDEX('KZ-normalized'!$E:$E, MATCH($A236, 'KZ-normalized'!$A:$A, 0))), 0), 0))+(IFERROR(IF(2*INDEX('UZ-normalized'!$D:$D, MATCH($A236, 'UZ-normalized'!$A:$A, 0))-INDEX('UZ-normalized'!$E:$E, MATCH($A236, 'UZ-normalized'!$A:$A, 0))&gt;0, -(2*INDEX('UZ-normalized'!$D:$D, MATCH($A236, 'UZ-normalized'!$A:$A, 0))-INDEX('UZ-normalized'!$E:$E, MATCH($A236, 'UZ-normalized'!$A:$A, 0))), 0), 0)))</f>
        <v>0</v>
      </c>
      <c r="Q236" s="6">
        <f>MIN(0, N236+(IFERROR(IF(3*INDEX('UA-normalized'!$D:$D, MATCH($A236, 'UA-normalized'!$A:$A, 0))-INDEX('UA-normalized'!$E:$E, MATCH($A236, 'UA-normalized'!$A:$A, 0))&gt;0, -(3*INDEX('UA-normalized'!$D:$D, MATCH($A236, 'UA-normalized'!$A:$A, 0))-INDEX('UA-normalized'!$E:$E, MATCH($A236, 'UA-normalized'!$A:$A, 0))), 0), 0))+(IFERROR(IF(3*INDEX('KZ-normalized'!$D:$D, MATCH($A236, 'KZ-normalized'!$A:$A, 0))-INDEX('KZ-normalized'!$E:$E, MATCH($A236, 'KZ-normalized'!$A:$A, 0))&gt;0, -(3*INDEX('KZ-normalized'!$D:$D, MATCH($A236, 'KZ-normalized'!$A:$A, 0))-INDEX('KZ-normalized'!$E:$E, MATCH($A236, 'KZ-normalized'!$A:$A, 0))), 0), 0))+(IFERROR(IF(3*INDEX('UZ-normalized'!$D:$D, MATCH($A236, 'UZ-normalized'!$A:$A, 0))-INDEX('UZ-normalized'!$E:$E, MATCH($A236, 'UZ-normalized'!$A:$A, 0))&gt;0, -(3*INDEX('UZ-normalized'!$D:$D, MATCH($A236, 'UZ-normalized'!$A:$A, 0))-INDEX('UZ-normalized'!$E:$E, MATCH($A236, 'UZ-normalized'!$A:$A, 0))), 0), 0)))</f>
        <v>0</v>
      </c>
      <c r="R236" s="6">
        <f>MIN(0, N236+(IFERROR(IF(4*INDEX('UA-normalized'!$D:$D, MATCH($A236, 'UA-normalized'!$A:$A, 0))-INDEX('UA-normalized'!$E:$E, MATCH($A236, 'UA-normalized'!$A:$A, 0))&gt;0, -(4*INDEX('UA-normalized'!$D:$D, MATCH($A236, 'UA-normalized'!$A:$A, 0))-INDEX('UA-normalized'!$E:$E, MATCH($A236, 'UA-normalized'!$A:$A, 0))), 0), 0))+(IFERROR(IF(4*INDEX('KZ-normalized'!$D:$D, MATCH($A236, 'KZ-normalized'!$A:$A, 0))-INDEX('KZ-normalized'!$E:$E, MATCH($A236, 'KZ-normalized'!$A:$A, 0))&gt;0, -(4*INDEX('KZ-normalized'!$D:$D, MATCH($A236, 'KZ-normalized'!$A:$A, 0))-INDEX('KZ-normalized'!$E:$E, MATCH($A236, 'KZ-normalized'!$A:$A, 0))), 0), 0))+(IFERROR(IF(4*INDEX('UZ-normalized'!$D:$D, MATCH($A236, 'UZ-normalized'!$A:$A, 0))-INDEX('UZ-normalized'!$E:$E, MATCH($A236, 'UZ-normalized'!$A:$A, 0))&gt;0, -(4*INDEX('UZ-normalized'!$D:$D, MATCH($A236, 'UZ-normalized'!$A:$A, 0))-INDEX('UZ-normalized'!$E:$E, MATCH($A236, 'UZ-normalized'!$A:$A, 0))), 0), 0)))</f>
        <v>0</v>
      </c>
      <c r="S236" s="6">
        <f>MIN(0, N236+(IFERROR(IF(5*INDEX('UA-normalized'!$D:$D, MATCH($A236, 'UA-normalized'!$A:$A, 0))-INDEX('UA-normalized'!$E:$E, MATCH($A236, 'UA-normalized'!$A:$A, 0))&gt;0, -(5*INDEX('UA-normalized'!$D:$D, MATCH($A236, 'UA-normalized'!$A:$A, 0))-INDEX('UA-normalized'!$E:$E, MATCH($A236, 'UA-normalized'!$A:$A, 0))), 0), 0))+(IFERROR(IF(5*INDEX('KZ-normalized'!$D:$D, MATCH($A236, 'KZ-normalized'!$A:$A, 0))-INDEX('KZ-normalized'!$E:$E, MATCH($A236, 'KZ-normalized'!$A:$A, 0))&gt;0, -(5*INDEX('KZ-normalized'!$D:$D, MATCH($A236, 'KZ-normalized'!$A:$A, 0))-INDEX('KZ-normalized'!$E:$E, MATCH($A236, 'KZ-normalized'!$A:$A, 0))), 0), 0))+(IFERROR(IF(5*INDEX('UZ-normalized'!$D:$D, MATCH($A236, 'UZ-normalized'!$A:$A, 0))-INDEX('UZ-normalized'!$E:$E, MATCH($A236, 'UZ-normalized'!$A:$A, 0))&gt;0, -(5*INDEX('UZ-normalized'!$D:$D, MATCH($A236, 'UZ-normalized'!$A:$A, 0))-INDEX('UZ-normalized'!$E:$E, MATCH($A236, 'UZ-normalized'!$A:$A, 0))), 0), 0)))</f>
        <v>0</v>
      </c>
      <c r="T236" s="6">
        <f>MIN(0, N236+(IFERROR(IF(6*INDEX('UA-normalized'!$D:$D, MATCH($A236, 'UA-normalized'!$A:$A, 0))-INDEX('UA-normalized'!$E:$E, MATCH($A236, 'UA-normalized'!$A:$A, 0))&gt;0, -(6*INDEX('UA-normalized'!$D:$D, MATCH($A236, 'UA-normalized'!$A:$A, 0))-INDEX('UA-normalized'!$E:$E, MATCH($A236, 'UA-normalized'!$A:$A, 0))), 0), 0))+(IFERROR(IF(6*INDEX('KZ-normalized'!$D:$D, MATCH($A236, 'KZ-normalized'!$A:$A, 0))-INDEX('KZ-normalized'!$E:$E, MATCH($A236, 'KZ-normalized'!$A:$A, 0))&gt;0, -(6*INDEX('KZ-normalized'!$D:$D, MATCH($A236, 'KZ-normalized'!$A:$A, 0))-INDEX('KZ-normalized'!$E:$E, MATCH($A236, 'KZ-normalized'!$A:$A, 0))), 0), 0))+(IFERROR(IF(6*INDEX('UZ-normalized'!$D:$D, MATCH($A236, 'UZ-normalized'!$A:$A, 0))-INDEX('UZ-normalized'!$E:$E, MATCH($A236, 'UZ-normalized'!$A:$A, 0))&gt;0, -(6*INDEX('UZ-normalized'!$D:$D, MATCH($A236, 'UZ-normalized'!$A:$A, 0))-INDEX('UZ-normalized'!$E:$E, MATCH($A236, 'UZ-normalized'!$A:$A, 0))), 0), 0)))</f>
        <v>-11</v>
      </c>
      <c r="U236" s="6">
        <f>MIN(0, N236+(IFERROR(IF(7*INDEX('UA-normalized'!$D:$D, MATCH($A236, 'UA-normalized'!$A:$A, 0))-INDEX('UA-normalized'!$E:$E, MATCH($A236, 'UA-normalized'!$A:$A, 0))&gt;0, -(7*INDEX('UA-normalized'!$D:$D, MATCH($A236, 'UA-normalized'!$A:$A, 0))-INDEX('UA-normalized'!$E:$E, MATCH($A236, 'UA-normalized'!$A:$A, 0))), 0), 0))+(IFERROR(IF(7*INDEX('KZ-normalized'!$D:$D, MATCH($A236, 'KZ-normalized'!$A:$A, 0))-INDEX('KZ-normalized'!$E:$E, MATCH($A236, 'KZ-normalized'!$A:$A, 0))&gt;0, -(7*INDEX('KZ-normalized'!$D:$D, MATCH($A236, 'KZ-normalized'!$A:$A, 0))-INDEX('KZ-normalized'!$E:$E, MATCH($A236, 'KZ-normalized'!$A:$A, 0))), 0), 0))+(IFERROR(IF(7*INDEX('UZ-normalized'!$D:$D, MATCH($A236, 'UZ-normalized'!$A:$A, 0))-INDEX('UZ-normalized'!$E:$E, MATCH($A236, 'UZ-normalized'!$A:$A, 0))&gt;0, -(7*INDEX('UZ-normalized'!$D:$D, MATCH($A236, 'UZ-normalized'!$A:$A, 0))-INDEX('UZ-normalized'!$E:$E, MATCH($A236, 'UZ-normalized'!$A:$A, 0))), 0), 0)))</f>
        <v>-22</v>
      </c>
      <c r="V236" s="6">
        <f>MIN(0, N236+(IFERROR(IF(8*INDEX('UA-normalized'!$D:$D, MATCH($A236, 'UA-normalized'!$A:$A, 0))-INDEX('UA-normalized'!$E:$E, MATCH($A236, 'UA-normalized'!$A:$A, 0))&gt;0, -(8*INDEX('UA-normalized'!$D:$D, MATCH($A236, 'UA-normalized'!$A:$A, 0))-INDEX('UA-normalized'!$E:$E, MATCH($A236, 'UA-normalized'!$A:$A, 0))), 0), 0))+(IFERROR(IF(8*INDEX('KZ-normalized'!$D:$D, MATCH($A236, 'KZ-normalized'!$A:$A, 0))-INDEX('KZ-normalized'!$E:$E, MATCH($A236, 'KZ-normalized'!$A:$A, 0))&gt;0, -(8*INDEX('KZ-normalized'!$D:$D, MATCH($A236, 'KZ-normalized'!$A:$A, 0))-INDEX('KZ-normalized'!$E:$E, MATCH($A236, 'KZ-normalized'!$A:$A, 0))), 0), 0))+(IFERROR(IF(8*INDEX('UZ-normalized'!$D:$D, MATCH($A236, 'UZ-normalized'!$A:$A, 0))-INDEX('UZ-normalized'!$E:$E, MATCH($A236, 'UZ-normalized'!$A:$A, 0))&gt;0, -(8*INDEX('UZ-normalized'!$D:$D, MATCH($A236, 'UZ-normalized'!$A:$A, 0))-INDEX('UZ-normalized'!$E:$E, MATCH($A236, 'UZ-normalized'!$A:$A, 0))), 0), 0)))</f>
        <v>-33</v>
      </c>
      <c r="W236" s="6">
        <f>MIN(0, N236+(IFERROR(IF(9*INDEX('UA-normalized'!$D:$D, MATCH($A236, 'UA-normalized'!$A:$A, 0))-INDEX('UA-normalized'!$E:$E, MATCH($A236, 'UA-normalized'!$A:$A, 0))&gt;0, -(9*INDEX('UA-normalized'!$D:$D, MATCH($A236, 'UA-normalized'!$A:$A, 0))-INDEX('UA-normalized'!$E:$E, MATCH($A236, 'UA-normalized'!$A:$A, 0))), 0), 0))+(IFERROR(IF(9*INDEX('KZ-normalized'!$D:$D, MATCH($A236, 'KZ-normalized'!$A:$A, 0))-INDEX('KZ-normalized'!$E:$E, MATCH($A236, 'KZ-normalized'!$A:$A, 0))&gt;0, -(9*INDEX('KZ-normalized'!$D:$D, MATCH($A236, 'KZ-normalized'!$A:$A, 0))-INDEX('KZ-normalized'!$E:$E, MATCH($A236, 'KZ-normalized'!$A:$A, 0))), 0), 0))+(IFERROR(IF(9*INDEX('UZ-normalized'!$D:$D, MATCH($A236, 'UZ-normalized'!$A:$A, 0))-INDEX('UZ-normalized'!$E:$E, MATCH($A236, 'UZ-normalized'!$A:$A, 0))&gt;0, -(9*INDEX('UZ-normalized'!$D:$D, MATCH($A236, 'UZ-normalized'!$A:$A, 0))-INDEX('UZ-normalized'!$E:$E, MATCH($A236, 'UZ-normalized'!$A:$A, 0))), 0), 0)))</f>
        <v>-44</v>
      </c>
      <c r="X236" s="6">
        <f>MIN(0, N236+(IFERROR(IF(10*INDEX('UA-normalized'!$D:$D, MATCH($A236, 'UA-normalized'!$A:$A, 0))-INDEX('UA-normalized'!$E:$E, MATCH($A236, 'UA-normalized'!$A:$A, 0))&gt;0, -(10*INDEX('UA-normalized'!$D:$D, MATCH($A236, 'UA-normalized'!$A:$A, 0))-INDEX('UA-normalized'!$E:$E, MATCH($A236, 'UA-normalized'!$A:$A, 0))), 0), 0))+(IFERROR(IF(10*INDEX('KZ-normalized'!$D:$D, MATCH($A236, 'KZ-normalized'!$A:$A, 0))-INDEX('KZ-normalized'!$E:$E, MATCH($A236, 'KZ-normalized'!$A:$A, 0))&gt;0, -(10*INDEX('KZ-normalized'!$D:$D, MATCH($A236, 'KZ-normalized'!$A:$A, 0))-INDEX('KZ-normalized'!$E:$E, MATCH($A236, 'KZ-normalized'!$A:$A, 0))), 0), 0))+(IFERROR(IF(10*INDEX('UZ-normalized'!$D:$D, MATCH($A236, 'UZ-normalized'!$A:$A, 0))-INDEX('UZ-normalized'!$E:$E, MATCH($A236, 'UZ-normalized'!$A:$A, 0))&gt;0, -(10*INDEX('UZ-normalized'!$D:$D, MATCH($A236, 'UZ-normalized'!$A:$A, 0))-INDEX('UZ-normalized'!$E:$E, MATCH($A236, 'UZ-normalized'!$A:$A, 0))), 0), 0)))</f>
        <v>-57</v>
      </c>
      <c r="Y236" s="6">
        <f>MIN(0, N236+(IFERROR(IF(11*INDEX('UA-normalized'!$D:$D, MATCH($A236, 'UA-normalized'!$A:$A, 0))-INDEX('UA-normalized'!$E:$E, MATCH($A236, 'UA-normalized'!$A:$A, 0))&gt;0, -(11*INDEX('UA-normalized'!$D:$D, MATCH($A236, 'UA-normalized'!$A:$A, 0))-INDEX('UA-normalized'!$E:$E, MATCH($A236, 'UA-normalized'!$A:$A, 0))), 0), 0))+(IFERROR(IF(11*INDEX('KZ-normalized'!$D:$D, MATCH($A236, 'KZ-normalized'!$A:$A, 0))-INDEX('KZ-normalized'!$E:$E, MATCH($A236, 'KZ-normalized'!$A:$A, 0))&gt;0, -(11*INDEX('KZ-normalized'!$D:$D, MATCH($A236, 'KZ-normalized'!$A:$A, 0))-INDEX('KZ-normalized'!$E:$E, MATCH($A236, 'KZ-normalized'!$A:$A, 0))), 0), 0))+(IFERROR(IF(11*INDEX('UZ-normalized'!$D:$D, MATCH($A236, 'UZ-normalized'!$A:$A, 0))-INDEX('UZ-normalized'!$E:$E, MATCH($A236, 'UZ-normalized'!$A:$A, 0))&gt;0, -(11*INDEX('UZ-normalized'!$D:$D, MATCH($A236, 'UZ-normalized'!$A:$A, 0))-INDEX('UZ-normalized'!$E:$E, MATCH($A236, 'UZ-normalized'!$A:$A, 0))), 0), 0)))</f>
        <v>-71</v>
      </c>
      <c r="Z236" s="6">
        <f>MIN(0, N236+(IFERROR(IF(12*INDEX('UA-normalized'!$D:$D, MATCH($A236, 'UA-normalized'!$A:$A, 0))-INDEX('UA-normalized'!$E:$E, MATCH($A236, 'UA-normalized'!$A:$A, 0))&gt;0, -(12*INDEX('UA-normalized'!$D:$D, MATCH($A236, 'UA-normalized'!$A:$A, 0))-INDEX('UA-normalized'!$E:$E, MATCH($A236, 'UA-normalized'!$A:$A, 0))), 0), 0))+(IFERROR(IF(12*INDEX('KZ-normalized'!$D:$D, MATCH($A236, 'KZ-normalized'!$A:$A, 0))-INDEX('KZ-normalized'!$E:$E, MATCH($A236, 'KZ-normalized'!$A:$A, 0))&gt;0, -(12*INDEX('KZ-normalized'!$D:$D, MATCH($A236, 'KZ-normalized'!$A:$A, 0))-INDEX('KZ-normalized'!$E:$E, MATCH($A236, 'KZ-normalized'!$A:$A, 0))), 0), 0))+(IFERROR(IF(12*INDEX('UZ-normalized'!$D:$D, MATCH($A236, 'UZ-normalized'!$A:$A, 0))-INDEX('UZ-normalized'!$E:$E, MATCH($A236, 'UZ-normalized'!$A:$A, 0))&gt;0, -(12*INDEX('UZ-normalized'!$D:$D, MATCH($A236, 'UZ-normalized'!$A:$A, 0))-INDEX('UZ-normalized'!$E:$E, MATCH($A236, 'UZ-normalized'!$A:$A, 0))), 0), 0)))</f>
        <v>-85</v>
      </c>
      <c r="AA236" s="6">
        <f>MIN(0, N236+(IFERROR(IF(13*INDEX('UA-normalized'!$D:$D, MATCH($A236, 'UA-normalized'!$A:$A, 0))-INDEX('UA-normalized'!$E:$E, MATCH($A236, 'UA-normalized'!$A:$A, 0))&gt;0, -(13*INDEX('UA-normalized'!$D:$D, MATCH($A236, 'UA-normalized'!$A:$A, 0))-INDEX('UA-normalized'!$E:$E, MATCH($A236, 'UA-normalized'!$A:$A, 0))), 0), 0))+(IFERROR(IF(13*INDEX('KZ-normalized'!$D:$D, MATCH($A236, 'KZ-normalized'!$A:$A, 0))-INDEX('KZ-normalized'!$E:$E, MATCH($A236, 'KZ-normalized'!$A:$A, 0))&gt;0, -(13*INDEX('KZ-normalized'!$D:$D, MATCH($A236, 'KZ-normalized'!$A:$A, 0))-INDEX('KZ-normalized'!$E:$E, MATCH($A236, 'KZ-normalized'!$A:$A, 0))), 0), 0))+(IFERROR(IF(13*INDEX('UZ-normalized'!$D:$D, MATCH($A236, 'UZ-normalized'!$A:$A, 0))-INDEX('UZ-normalized'!$E:$E, MATCH($A236, 'UZ-normalized'!$A:$A, 0))&gt;0, -(13*INDEX('UZ-normalized'!$D:$D, MATCH($A236, 'UZ-normalized'!$A:$A, 0))-INDEX('UZ-normalized'!$E:$E, MATCH($A236, 'UZ-normalized'!$A:$A, 0))), 0), 0)))</f>
        <v>-99</v>
      </c>
      <c r="AB236" s="6">
        <f>MIN(0, N236+(IFERROR(IF(14*INDEX('UA-normalized'!$D:$D, MATCH($A236, 'UA-normalized'!$A:$A, 0))-INDEX('UA-normalized'!$E:$E, MATCH($A236, 'UA-normalized'!$A:$A, 0))&gt;0, -(14*INDEX('UA-normalized'!$D:$D, MATCH($A236, 'UA-normalized'!$A:$A, 0))-INDEX('UA-normalized'!$E:$E, MATCH($A236, 'UA-normalized'!$A:$A, 0))), 0), 0))+(IFERROR(IF(14*INDEX('KZ-normalized'!$D:$D, MATCH($A236, 'KZ-normalized'!$A:$A, 0))-INDEX('KZ-normalized'!$E:$E, MATCH($A236, 'KZ-normalized'!$A:$A, 0))&gt;0, -(14*INDEX('KZ-normalized'!$D:$D, MATCH($A236, 'KZ-normalized'!$A:$A, 0))-INDEX('KZ-normalized'!$E:$E, MATCH($A236, 'KZ-normalized'!$A:$A, 0))), 0), 0))+(IFERROR(IF(14*INDEX('UZ-normalized'!$D:$D, MATCH($A236, 'UZ-normalized'!$A:$A, 0))-INDEX('UZ-normalized'!$E:$E, MATCH($A236, 'UZ-normalized'!$A:$A, 0))&gt;0, -(14*INDEX('UZ-normalized'!$D:$D, MATCH($A236, 'UZ-normalized'!$A:$A, 0))-INDEX('UZ-normalized'!$E:$E, MATCH($A236, 'UZ-normalized'!$A:$A, 0))), 0), 0)))</f>
        <v>-113</v>
      </c>
      <c r="AC236" s="6">
        <f>MIN(0, N236+(IFERROR(IF(15*INDEX('UA-normalized'!$D:$D, MATCH($A236, 'UA-normalized'!$A:$A, 0))-INDEX('UA-normalized'!$E:$E, MATCH($A236, 'UA-normalized'!$A:$A, 0))&gt;0, -(15*INDEX('UA-normalized'!$D:$D, MATCH($A236, 'UA-normalized'!$A:$A, 0))-INDEX('UA-normalized'!$E:$E, MATCH($A236, 'UA-normalized'!$A:$A, 0))), 0), 0))+(IFERROR(IF(15*INDEX('KZ-normalized'!$D:$D, MATCH($A236, 'KZ-normalized'!$A:$A, 0))-INDEX('KZ-normalized'!$E:$E, MATCH($A236, 'KZ-normalized'!$A:$A, 0))&gt;0, -(15*INDEX('KZ-normalized'!$D:$D, MATCH($A236, 'KZ-normalized'!$A:$A, 0))-INDEX('KZ-normalized'!$E:$E, MATCH($A236, 'KZ-normalized'!$A:$A, 0))), 0), 0))+(IFERROR(IF(15*INDEX('UZ-normalized'!$D:$D, MATCH($A236, 'UZ-normalized'!$A:$A, 0))-INDEX('UZ-normalized'!$E:$E, MATCH($A236, 'UZ-normalized'!$A:$A, 0))&gt;0, -(15*INDEX('UZ-normalized'!$D:$D, MATCH($A236, 'UZ-normalized'!$A:$A, 0))-INDEX('UZ-normalized'!$E:$E, MATCH($A236, 'UZ-normalized'!$A:$A, 0))), 0), 0)))</f>
        <v>-127</v>
      </c>
      <c r="AD236" s="6">
        <f>MIN(0, N236+(IFERROR(IF(16*INDEX('UA-normalized'!$D:$D, MATCH($A236, 'UA-normalized'!$A:$A, 0))-INDEX('UA-normalized'!$E:$E, MATCH($A236, 'UA-normalized'!$A:$A, 0))&gt;0, -(16*INDEX('UA-normalized'!$D:$D, MATCH($A236, 'UA-normalized'!$A:$A, 0))-INDEX('UA-normalized'!$E:$E, MATCH($A236, 'UA-normalized'!$A:$A, 0))), 0), 0))+(IFERROR(IF(16*INDEX('KZ-normalized'!$D:$D, MATCH($A236, 'KZ-normalized'!$A:$A, 0))-INDEX('KZ-normalized'!$E:$E, MATCH($A236, 'KZ-normalized'!$A:$A, 0))&gt;0, -(16*INDEX('KZ-normalized'!$D:$D, MATCH($A236, 'KZ-normalized'!$A:$A, 0))-INDEX('KZ-normalized'!$E:$E, MATCH($A236, 'KZ-normalized'!$A:$A, 0))), 0), 0))+(IFERROR(IF(16*INDEX('UZ-normalized'!$D:$D, MATCH($A236, 'UZ-normalized'!$A:$A, 0))-INDEX('UZ-normalized'!$E:$E, MATCH($A236, 'UZ-normalized'!$A:$A, 0))&gt;0, -(16*INDEX('UZ-normalized'!$D:$D, MATCH($A236, 'UZ-normalized'!$A:$A, 0))-INDEX('UZ-normalized'!$E:$E, MATCH($A236, 'UZ-normalized'!$A:$A, 0))), 0), 0)))</f>
        <v>-141</v>
      </c>
      <c r="AE236" s="6">
        <f>MIN(0, N236+(IFERROR(IF(17*INDEX('UA-normalized'!$D:$D, MATCH($A236, 'UA-normalized'!$A:$A, 0))-INDEX('UA-normalized'!$E:$E, MATCH($A236, 'UA-normalized'!$A:$A, 0))&gt;0, -(17*INDEX('UA-normalized'!$D:$D, MATCH($A236, 'UA-normalized'!$A:$A, 0))-INDEX('UA-normalized'!$E:$E, MATCH($A236, 'UA-normalized'!$A:$A, 0))), 0), 0))+(IFERROR(IF(17*INDEX('KZ-normalized'!$D:$D, MATCH($A236, 'KZ-normalized'!$A:$A, 0))-INDEX('KZ-normalized'!$E:$E, MATCH($A236, 'KZ-normalized'!$A:$A, 0))&gt;0, -(17*INDEX('KZ-normalized'!$D:$D, MATCH($A236, 'KZ-normalized'!$A:$A, 0))-INDEX('KZ-normalized'!$E:$E, MATCH($A236, 'KZ-normalized'!$A:$A, 0))), 0), 0))+(IFERROR(IF(17*INDEX('UZ-normalized'!$D:$D, MATCH($A236, 'UZ-normalized'!$A:$A, 0))-INDEX('UZ-normalized'!$E:$E, MATCH($A236, 'UZ-normalized'!$A:$A, 0))&gt;0, -(17*INDEX('UZ-normalized'!$D:$D, MATCH($A236, 'UZ-normalized'!$A:$A, 0))-INDEX('UZ-normalized'!$E:$E, MATCH($A236, 'UZ-normalized'!$A:$A, 0))), 0), 0)))</f>
        <v>-155</v>
      </c>
      <c r="AF236" s="6">
        <f>MIN(0, N236+(IFERROR(IF(18*INDEX('UA-normalized'!$D:$D, MATCH($A236, 'UA-normalized'!$A:$A, 0))-INDEX('UA-normalized'!$E:$E, MATCH($A236, 'UA-normalized'!$A:$A, 0))&gt;0, -(18*INDEX('UA-normalized'!$D:$D, MATCH($A236, 'UA-normalized'!$A:$A, 0))-INDEX('UA-normalized'!$E:$E, MATCH($A236, 'UA-normalized'!$A:$A, 0))), 0), 0))+(IFERROR(IF(18*INDEX('KZ-normalized'!$D:$D, MATCH($A236, 'KZ-normalized'!$A:$A, 0))-INDEX('KZ-normalized'!$E:$E, MATCH($A236, 'KZ-normalized'!$A:$A, 0))&gt;0, -(18*INDEX('KZ-normalized'!$D:$D, MATCH($A236, 'KZ-normalized'!$A:$A, 0))-INDEX('KZ-normalized'!$E:$E, MATCH($A236, 'KZ-normalized'!$A:$A, 0))), 0), 0))+(IFERROR(IF(18*INDEX('UZ-normalized'!$D:$D, MATCH($A236, 'UZ-normalized'!$A:$A, 0))-INDEX('UZ-normalized'!$E:$E, MATCH($A236, 'UZ-normalized'!$A:$A, 0))&gt;0, -(18*INDEX('UZ-normalized'!$D:$D, MATCH($A236, 'UZ-normalized'!$A:$A, 0))-INDEX('UZ-normalized'!$E:$E, MATCH($A236, 'UZ-normalized'!$A:$A, 0))), 0), 0)))</f>
        <v>-169</v>
      </c>
      <c r="AG236" s="6">
        <f>MIN(0, N236+(IFERROR(IF(19*INDEX('UA-normalized'!$D:$D, MATCH($A236, 'UA-normalized'!$A:$A, 0))-INDEX('UA-normalized'!$E:$E, MATCH($A236, 'UA-normalized'!$A:$A, 0))&gt;0, -(19*INDEX('UA-normalized'!$D:$D, MATCH($A236, 'UA-normalized'!$A:$A, 0))-INDEX('UA-normalized'!$E:$E, MATCH($A236, 'UA-normalized'!$A:$A, 0))), 0), 0))+(IFERROR(IF(19*INDEX('KZ-normalized'!$D:$D, MATCH($A236, 'KZ-normalized'!$A:$A, 0))-INDEX('KZ-normalized'!$E:$E, MATCH($A236, 'KZ-normalized'!$A:$A, 0))&gt;0, -(19*INDEX('KZ-normalized'!$D:$D, MATCH($A236, 'KZ-normalized'!$A:$A, 0))-INDEX('KZ-normalized'!$E:$E, MATCH($A236, 'KZ-normalized'!$A:$A, 0))), 0), 0))+(IFERROR(IF(19*INDEX('UZ-normalized'!$D:$D, MATCH($A236, 'UZ-normalized'!$A:$A, 0))-INDEX('UZ-normalized'!$E:$E, MATCH($A236, 'UZ-normalized'!$A:$A, 0))&gt;0, -(19*INDEX('UZ-normalized'!$D:$D, MATCH($A236, 'UZ-normalized'!$A:$A, 0))-INDEX('UZ-normalized'!$E:$E, MATCH($A236, 'UZ-normalized'!$A:$A, 0))), 0), 0)))</f>
        <v>-183</v>
      </c>
      <c r="AH236" s="6">
        <f>MIN(0, N236+(IFERROR(IF(20*INDEX('UA-normalized'!$D:$D, MATCH($A236, 'UA-normalized'!$A:$A, 0))-INDEX('UA-normalized'!$E:$E, MATCH($A236, 'UA-normalized'!$A:$A, 0))&gt;0, -(20*INDEX('UA-normalized'!$D:$D, MATCH($A236, 'UA-normalized'!$A:$A, 0))-INDEX('UA-normalized'!$E:$E, MATCH($A236, 'UA-normalized'!$A:$A, 0))), 0), 0))+(IFERROR(IF(20*INDEX('KZ-normalized'!$D:$D, MATCH($A236, 'KZ-normalized'!$A:$A, 0))-INDEX('KZ-normalized'!$E:$E, MATCH($A236, 'KZ-normalized'!$A:$A, 0))&gt;0, -(20*INDEX('KZ-normalized'!$D:$D, MATCH($A236, 'KZ-normalized'!$A:$A, 0))-INDEX('KZ-normalized'!$E:$E, MATCH($A236, 'KZ-normalized'!$A:$A, 0))), 0), 0))+(IFERROR(IF(20*INDEX('UZ-normalized'!$D:$D, MATCH($A236, 'UZ-normalized'!$A:$A, 0))-INDEX('UZ-normalized'!$E:$E, MATCH($A236, 'UZ-normalized'!$A:$A, 0))&gt;0, -(20*INDEX('UZ-normalized'!$D:$D, MATCH($A236, 'UZ-normalized'!$A:$A, 0))-INDEX('UZ-normalized'!$E:$E, MATCH($A236, 'UZ-normalized'!$A:$A, 0))), 0), 0)))</f>
        <v>-197</v>
      </c>
      <c r="AI236" s="6">
        <f>MIN(0, N236+(IFERROR(IF(21*INDEX('UA-normalized'!$D:$D, MATCH($A236, 'UA-normalized'!$A:$A, 0))-INDEX('UA-normalized'!$E:$E, MATCH($A236, 'UA-normalized'!$A:$A, 0))&gt;0, -(21*INDEX('UA-normalized'!$D:$D, MATCH($A236, 'UA-normalized'!$A:$A, 0))-INDEX('UA-normalized'!$E:$E, MATCH($A236, 'UA-normalized'!$A:$A, 0))), 0), 0))+(IFERROR(IF(21*INDEX('KZ-normalized'!$D:$D, MATCH($A236, 'KZ-normalized'!$A:$A, 0))-INDEX('KZ-normalized'!$E:$E, MATCH($A236, 'KZ-normalized'!$A:$A, 0))&gt;0, -(21*INDEX('KZ-normalized'!$D:$D, MATCH($A236, 'KZ-normalized'!$A:$A, 0))-INDEX('KZ-normalized'!$E:$E, MATCH($A236, 'KZ-normalized'!$A:$A, 0))), 0), 0))+(IFERROR(IF(21*INDEX('UZ-normalized'!$D:$D, MATCH($A236, 'UZ-normalized'!$A:$A, 0))-INDEX('UZ-normalized'!$E:$E, MATCH($A236, 'UZ-normalized'!$A:$A, 0))&gt;0, -(21*INDEX('UZ-normalized'!$D:$D, MATCH($A236, 'UZ-normalized'!$A:$A, 0))-INDEX('UZ-normalized'!$E:$E, MATCH($A236, 'UZ-normalized'!$A:$A, 0))), 0), 0)))</f>
        <v>-211</v>
      </c>
      <c r="AJ236" s="6">
        <f>MIN(0, N236+(IFERROR(IF(22*INDEX('UA-normalized'!$D:$D, MATCH($A236, 'UA-normalized'!$A:$A, 0))-INDEX('UA-normalized'!$E:$E, MATCH($A236, 'UA-normalized'!$A:$A, 0))&gt;0, -(22*INDEX('UA-normalized'!$D:$D, MATCH($A236, 'UA-normalized'!$A:$A, 0))-INDEX('UA-normalized'!$E:$E, MATCH($A236, 'UA-normalized'!$A:$A, 0))), 0), 0))+(IFERROR(IF(22*INDEX('KZ-normalized'!$D:$D, MATCH($A236, 'KZ-normalized'!$A:$A, 0))-INDEX('KZ-normalized'!$E:$E, MATCH($A236, 'KZ-normalized'!$A:$A, 0))&gt;0, -(22*INDEX('KZ-normalized'!$D:$D, MATCH($A236, 'KZ-normalized'!$A:$A, 0))-INDEX('KZ-normalized'!$E:$E, MATCH($A236, 'KZ-normalized'!$A:$A, 0))), 0), 0))+(IFERROR(IF(22*INDEX('UZ-normalized'!$D:$D, MATCH($A236, 'UZ-normalized'!$A:$A, 0))-INDEX('UZ-normalized'!$E:$E, MATCH($A236, 'UZ-normalized'!$A:$A, 0))&gt;0, -(22*INDEX('UZ-normalized'!$D:$D, MATCH($A236, 'UZ-normalized'!$A:$A, 0))-INDEX('UZ-normalized'!$E:$E, MATCH($A236, 'UZ-normalized'!$A:$A, 0))), 0), 0)))</f>
        <v>-225</v>
      </c>
      <c r="AK236" s="6">
        <f>MIN(0, N236+(IFERROR(IF(23*INDEX('UA-normalized'!$D:$D, MATCH($A236, 'UA-normalized'!$A:$A, 0))-INDEX('UA-normalized'!$E:$E, MATCH($A236, 'UA-normalized'!$A:$A, 0))&gt;0, -(23*INDEX('UA-normalized'!$D:$D, MATCH($A236, 'UA-normalized'!$A:$A, 0))-INDEX('UA-normalized'!$E:$E, MATCH($A236, 'UA-normalized'!$A:$A, 0))), 0), 0))+(IFERROR(IF(23*INDEX('KZ-normalized'!$D:$D, MATCH($A236, 'KZ-normalized'!$A:$A, 0))-INDEX('KZ-normalized'!$E:$E, MATCH($A236, 'KZ-normalized'!$A:$A, 0))&gt;0, -(23*INDEX('KZ-normalized'!$D:$D, MATCH($A236, 'KZ-normalized'!$A:$A, 0))-INDEX('KZ-normalized'!$E:$E, MATCH($A236, 'KZ-normalized'!$A:$A, 0))), 0), 0))+(IFERROR(IF(23*INDEX('UZ-normalized'!$D:$D, MATCH($A236, 'UZ-normalized'!$A:$A, 0))-INDEX('UZ-normalized'!$E:$E, MATCH($A236, 'UZ-normalized'!$A:$A, 0))&gt;0, -(23*INDEX('UZ-normalized'!$D:$D, MATCH($A236, 'UZ-normalized'!$A:$A, 0))-INDEX('UZ-normalized'!$E:$E, MATCH($A236, 'UZ-normalized'!$A:$A, 0))), 0), 0)))</f>
        <v>-239</v>
      </c>
      <c r="AL236" s="6">
        <f>MIN(0, N236+(IFERROR(IF(24*INDEX('UA-normalized'!$D:$D, MATCH($A236, 'UA-normalized'!$A:$A, 0))-INDEX('UA-normalized'!$E:$E, MATCH($A236, 'UA-normalized'!$A:$A, 0))&gt;0, -(24*INDEX('UA-normalized'!$D:$D, MATCH($A236, 'UA-normalized'!$A:$A, 0))-INDEX('UA-normalized'!$E:$E, MATCH($A236, 'UA-normalized'!$A:$A, 0))), 0), 0))+(IFERROR(IF(24*INDEX('KZ-normalized'!$D:$D, MATCH($A236, 'KZ-normalized'!$A:$A, 0))-INDEX('KZ-normalized'!$E:$E, MATCH($A236, 'KZ-normalized'!$A:$A, 0))&gt;0, -(24*INDEX('KZ-normalized'!$D:$D, MATCH($A236, 'KZ-normalized'!$A:$A, 0))-INDEX('KZ-normalized'!$E:$E, MATCH($A236, 'KZ-normalized'!$A:$A, 0))), 0), 0))+(IFERROR(IF(24*INDEX('UZ-normalized'!$D:$D, MATCH($A236, 'UZ-normalized'!$A:$A, 0))-INDEX('UZ-normalized'!$E:$E, MATCH($A236, 'UZ-normalized'!$A:$A, 0))&gt;0, -(24*INDEX('UZ-normalized'!$D:$D, MATCH($A236, 'UZ-normalized'!$A:$A, 0))-INDEX('UZ-normalized'!$E:$E, MATCH($A236, 'UZ-normalized'!$A:$A, 0))), 0), 0)))</f>
        <v>-253</v>
      </c>
      <c r="AM236" s="6">
        <f>MIN(0, N236+(IFERROR(IF(25*INDEX('UA-normalized'!$D:$D, MATCH($A236, 'UA-normalized'!$A:$A, 0))-INDEX('UA-normalized'!$E:$E, MATCH($A236, 'UA-normalized'!$A:$A, 0))&gt;0, -(25*INDEX('UA-normalized'!$D:$D, MATCH($A236, 'UA-normalized'!$A:$A, 0))-INDEX('UA-normalized'!$E:$E, MATCH($A236, 'UA-normalized'!$A:$A, 0))), 0), 0))+(IFERROR(IF(25*INDEX('KZ-normalized'!$D:$D, MATCH($A236, 'KZ-normalized'!$A:$A, 0))-INDEX('KZ-normalized'!$E:$E, MATCH($A236, 'KZ-normalized'!$A:$A, 0))&gt;0, -(25*INDEX('KZ-normalized'!$D:$D, MATCH($A236, 'KZ-normalized'!$A:$A, 0))-INDEX('KZ-normalized'!$E:$E, MATCH($A236, 'KZ-normalized'!$A:$A, 0))), 0), 0))+(IFERROR(IF(25*INDEX('UZ-normalized'!$D:$D, MATCH($A236, 'UZ-normalized'!$A:$A, 0))-INDEX('UZ-normalized'!$E:$E, MATCH($A236, 'UZ-normalized'!$A:$A, 0))&gt;0, -(25*INDEX('UZ-normalized'!$D:$D, MATCH($A236, 'UZ-normalized'!$A:$A, 0))-INDEX('UZ-normalized'!$E:$E, MATCH($A236, 'UZ-normalized'!$A:$A, 0))), 0), 0)))</f>
        <v>-267</v>
      </c>
      <c r="AN236" s="6">
        <f>MIN(0, N236+(IFERROR(IF(26*INDEX('UA-normalized'!$D:$D, MATCH($A236, 'UA-normalized'!$A:$A, 0))-INDEX('UA-normalized'!$E:$E, MATCH($A236, 'UA-normalized'!$A:$A, 0))&gt;0, -(26*INDEX('UA-normalized'!$D:$D, MATCH($A236, 'UA-normalized'!$A:$A, 0))-INDEX('UA-normalized'!$E:$E, MATCH($A236, 'UA-normalized'!$A:$A, 0))), 0), 0))+(IFERROR(IF(26*INDEX('KZ-normalized'!$D:$D, MATCH($A236, 'KZ-normalized'!$A:$A, 0))-INDEX('KZ-normalized'!$E:$E, MATCH($A236, 'KZ-normalized'!$A:$A, 0))&gt;0, -(26*INDEX('KZ-normalized'!$D:$D, MATCH($A236, 'KZ-normalized'!$A:$A, 0))-INDEX('KZ-normalized'!$E:$E, MATCH($A236, 'KZ-normalized'!$A:$A, 0))), 0), 0))+(IFERROR(IF(26*INDEX('UZ-normalized'!$D:$D, MATCH($A236, 'UZ-normalized'!$A:$A, 0))-INDEX('UZ-normalized'!$E:$E, MATCH($A236, 'UZ-normalized'!$A:$A, 0))&gt;0, -(26*INDEX('UZ-normalized'!$D:$D, MATCH($A236, 'UZ-normalized'!$A:$A, 0))-INDEX('UZ-normalized'!$E:$E, MATCH($A236, 'UZ-normalized'!$A:$A, 0))), 0), 0)))</f>
        <v>-281</v>
      </c>
      <c r="AO236" s="6">
        <f>MIN(0, N236+(IFERROR(IF(27*INDEX('UA-normalized'!$D:$D, MATCH($A236, 'UA-normalized'!$A:$A, 0))-INDEX('UA-normalized'!$E:$E, MATCH($A236, 'UA-normalized'!$A:$A, 0))&gt;0, -(27*INDEX('UA-normalized'!$D:$D, MATCH($A236, 'UA-normalized'!$A:$A, 0))-INDEX('UA-normalized'!$E:$E, MATCH($A236, 'UA-normalized'!$A:$A, 0))), 0), 0))+(IFERROR(IF(27*INDEX('KZ-normalized'!$D:$D, MATCH($A236, 'KZ-normalized'!$A:$A, 0))-INDEX('KZ-normalized'!$E:$E, MATCH($A236, 'KZ-normalized'!$A:$A, 0))&gt;0, -(27*INDEX('KZ-normalized'!$D:$D, MATCH($A236, 'KZ-normalized'!$A:$A, 0))-INDEX('KZ-normalized'!$E:$E, MATCH($A236, 'KZ-normalized'!$A:$A, 0))), 0), 0))+(IFERROR(IF(27*INDEX('UZ-normalized'!$D:$D, MATCH($A236, 'UZ-normalized'!$A:$A, 0))-INDEX('UZ-normalized'!$E:$E, MATCH($A236, 'UZ-normalized'!$A:$A, 0))&gt;0, -(27*INDEX('UZ-normalized'!$D:$D, MATCH($A236, 'UZ-normalized'!$A:$A, 0))-INDEX('UZ-normalized'!$E:$E, MATCH($A236, 'UZ-normalized'!$A:$A, 0))), 0), 0)))</f>
        <v>-295</v>
      </c>
      <c r="AP236" s="6">
        <f>MIN(0, N236+(IFERROR(IF(28*INDEX('UA-normalized'!$D:$D, MATCH($A236, 'UA-normalized'!$A:$A, 0))-INDEX('UA-normalized'!$E:$E, MATCH($A236, 'UA-normalized'!$A:$A, 0))&gt;0, -(28*INDEX('UA-normalized'!$D:$D, MATCH($A236, 'UA-normalized'!$A:$A, 0))-INDEX('UA-normalized'!$E:$E, MATCH($A236, 'UA-normalized'!$A:$A, 0))), 0), 0))+(IFERROR(IF(28*INDEX('KZ-normalized'!$D:$D, MATCH($A236, 'KZ-normalized'!$A:$A, 0))-INDEX('KZ-normalized'!$E:$E, MATCH($A236, 'KZ-normalized'!$A:$A, 0))&gt;0, -(28*INDEX('KZ-normalized'!$D:$D, MATCH($A236, 'KZ-normalized'!$A:$A, 0))-INDEX('KZ-normalized'!$E:$E, MATCH($A236, 'KZ-normalized'!$A:$A, 0))), 0), 0))+(IFERROR(IF(28*INDEX('UZ-normalized'!$D:$D, MATCH($A236, 'UZ-normalized'!$A:$A, 0))-INDEX('UZ-normalized'!$E:$E, MATCH($A236, 'UZ-normalized'!$A:$A, 0))&gt;0, -(28*INDEX('UZ-normalized'!$D:$D, MATCH($A236, 'UZ-normalized'!$A:$A, 0))-INDEX('UZ-normalized'!$E:$E, MATCH($A236, 'UZ-normalized'!$A:$A, 0))), 0), 0)))</f>
        <v>-309</v>
      </c>
      <c r="AQ236" s="6">
        <f>MIN(0, N236+(IFERROR(IF(29*INDEX('UA-normalized'!$D:$D, MATCH($A236, 'UA-normalized'!$A:$A, 0))-INDEX('UA-normalized'!$E:$E, MATCH($A236, 'UA-normalized'!$A:$A, 0))&gt;0, -(29*INDEX('UA-normalized'!$D:$D, MATCH($A236, 'UA-normalized'!$A:$A, 0))-INDEX('UA-normalized'!$E:$E, MATCH($A236, 'UA-normalized'!$A:$A, 0))), 0), 0))+(IFERROR(IF(29*INDEX('KZ-normalized'!$D:$D, MATCH($A236, 'KZ-normalized'!$A:$A, 0))-INDEX('KZ-normalized'!$E:$E, MATCH($A236, 'KZ-normalized'!$A:$A, 0))&gt;0, -(29*INDEX('KZ-normalized'!$D:$D, MATCH($A236, 'KZ-normalized'!$A:$A, 0))-INDEX('KZ-normalized'!$E:$E, MATCH($A236, 'KZ-normalized'!$A:$A, 0))), 0), 0))+(IFERROR(IF(29*INDEX('UZ-normalized'!$D:$D, MATCH($A236, 'UZ-normalized'!$A:$A, 0))-INDEX('UZ-normalized'!$E:$E, MATCH($A236, 'UZ-normalized'!$A:$A, 0))&gt;0, -(29*INDEX('UZ-normalized'!$D:$D, MATCH($A236, 'UZ-normalized'!$A:$A, 0))-INDEX('UZ-normalized'!$E:$E, MATCH($A236, 'UZ-normalized'!$A:$A, 0))), 0), 0)))</f>
        <v>-323</v>
      </c>
      <c r="AR236" s="6">
        <f>MIN(0, N236+(IFERROR(IF(30*INDEX('UA-normalized'!$D:$D, MATCH($A236, 'UA-normalized'!$A:$A, 0))-INDEX('UA-normalized'!$E:$E, MATCH($A236, 'UA-normalized'!$A:$A, 0))&gt;0, -(30*INDEX('UA-normalized'!$D:$D, MATCH($A236, 'UA-normalized'!$A:$A, 0))-INDEX('UA-normalized'!$E:$E, MATCH($A236, 'UA-normalized'!$A:$A, 0))), 0), 0))+(IFERROR(IF(30*INDEX('KZ-normalized'!$D:$D, MATCH($A236, 'KZ-normalized'!$A:$A, 0))-INDEX('KZ-normalized'!$E:$E, MATCH($A236, 'KZ-normalized'!$A:$A, 0))&gt;0, -(30*INDEX('KZ-normalized'!$D:$D, MATCH($A236, 'KZ-normalized'!$A:$A, 0))-INDEX('KZ-normalized'!$E:$E, MATCH($A236, 'KZ-normalized'!$A:$A, 0))), 0), 0))+(IFERROR(IF(30*INDEX('UZ-normalized'!$D:$D, MATCH($A236, 'UZ-normalized'!$A:$A, 0))-INDEX('UZ-normalized'!$E:$E, MATCH($A236, 'UZ-normalized'!$A:$A, 0))&gt;0, -(30*INDEX('UZ-normalized'!$D:$D, MATCH($A236, 'UZ-normalized'!$A:$A, 0))-INDEX('UZ-normalized'!$E:$E, MATCH($A236, 'UZ-normalized'!$A:$A, 0))), 0), 0)))</f>
        <v>-337</v>
      </c>
    </row>
    <row r="237" spans="1:44" x14ac:dyDescent="0.25">
      <c r="A237" s="8" t="s">
        <v>559</v>
      </c>
      <c r="B237" s="8" t="s">
        <v>492</v>
      </c>
      <c r="C237" s="8" t="s">
        <v>555</v>
      </c>
      <c r="D237" s="8" t="s">
        <v>560</v>
      </c>
      <c r="G237">
        <v>-10</v>
      </c>
      <c r="N237">
        <f t="shared" si="3"/>
        <v>-10</v>
      </c>
      <c r="O237" s="6">
        <f>MIN(0, N237+(IFERROR(IF(1*INDEX('UA-normalized'!$D:$D, MATCH($A237, 'UA-normalized'!$A:$A, 0))-INDEX('UA-normalized'!$E:$E, MATCH($A237, 'UA-normalized'!$A:$A, 0))&gt;0, -(1*INDEX('UA-normalized'!$D:$D, MATCH($A237, 'UA-normalized'!$A:$A, 0))-INDEX('UA-normalized'!$E:$E, MATCH($A237, 'UA-normalized'!$A:$A, 0))), 0), 0))+(IFERROR(IF(1*INDEX('KZ-normalized'!$D:$D, MATCH($A237, 'KZ-normalized'!$A:$A, 0))-INDEX('KZ-normalized'!$E:$E, MATCH($A237, 'KZ-normalized'!$A:$A, 0))&gt;0, -(1*INDEX('KZ-normalized'!$D:$D, MATCH($A237, 'KZ-normalized'!$A:$A, 0))-INDEX('KZ-normalized'!$E:$E, MATCH($A237, 'KZ-normalized'!$A:$A, 0))), 0), 0))+(IFERROR(IF(1*INDEX('UZ-normalized'!$D:$D, MATCH($A237, 'UZ-normalized'!$A:$A, 0))-INDEX('UZ-normalized'!$E:$E, MATCH($A237, 'UZ-normalized'!$A:$A, 0))&gt;0, -(1*INDEX('UZ-normalized'!$D:$D, MATCH($A237, 'UZ-normalized'!$A:$A, 0))-INDEX('UZ-normalized'!$E:$E, MATCH($A237, 'UZ-normalized'!$A:$A, 0))), 0), 0)))</f>
        <v>-10</v>
      </c>
      <c r="P237" s="6">
        <f>MIN(0, N237+(IFERROR(IF(2*INDEX('UA-normalized'!$D:$D, MATCH($A237, 'UA-normalized'!$A:$A, 0))-INDEX('UA-normalized'!$E:$E, MATCH($A237, 'UA-normalized'!$A:$A, 0))&gt;0, -(2*INDEX('UA-normalized'!$D:$D, MATCH($A237, 'UA-normalized'!$A:$A, 0))-INDEX('UA-normalized'!$E:$E, MATCH($A237, 'UA-normalized'!$A:$A, 0))), 0), 0))+(IFERROR(IF(2*INDEX('KZ-normalized'!$D:$D, MATCH($A237, 'KZ-normalized'!$A:$A, 0))-INDEX('KZ-normalized'!$E:$E, MATCH($A237, 'KZ-normalized'!$A:$A, 0))&gt;0, -(2*INDEX('KZ-normalized'!$D:$D, MATCH($A237, 'KZ-normalized'!$A:$A, 0))-INDEX('KZ-normalized'!$E:$E, MATCH($A237, 'KZ-normalized'!$A:$A, 0))), 0), 0))+(IFERROR(IF(2*INDEX('UZ-normalized'!$D:$D, MATCH($A237, 'UZ-normalized'!$A:$A, 0))-INDEX('UZ-normalized'!$E:$E, MATCH($A237, 'UZ-normalized'!$A:$A, 0))&gt;0, -(2*INDEX('UZ-normalized'!$D:$D, MATCH($A237, 'UZ-normalized'!$A:$A, 0))-INDEX('UZ-normalized'!$E:$E, MATCH($A237, 'UZ-normalized'!$A:$A, 0))), 0), 0)))</f>
        <v>-10</v>
      </c>
      <c r="Q237" s="6">
        <f>MIN(0, N237+(IFERROR(IF(3*INDEX('UA-normalized'!$D:$D, MATCH($A237, 'UA-normalized'!$A:$A, 0))-INDEX('UA-normalized'!$E:$E, MATCH($A237, 'UA-normalized'!$A:$A, 0))&gt;0, -(3*INDEX('UA-normalized'!$D:$D, MATCH($A237, 'UA-normalized'!$A:$A, 0))-INDEX('UA-normalized'!$E:$E, MATCH($A237, 'UA-normalized'!$A:$A, 0))), 0), 0))+(IFERROR(IF(3*INDEX('KZ-normalized'!$D:$D, MATCH($A237, 'KZ-normalized'!$A:$A, 0))-INDEX('KZ-normalized'!$E:$E, MATCH($A237, 'KZ-normalized'!$A:$A, 0))&gt;0, -(3*INDEX('KZ-normalized'!$D:$D, MATCH($A237, 'KZ-normalized'!$A:$A, 0))-INDEX('KZ-normalized'!$E:$E, MATCH($A237, 'KZ-normalized'!$A:$A, 0))), 0), 0))+(IFERROR(IF(3*INDEX('UZ-normalized'!$D:$D, MATCH($A237, 'UZ-normalized'!$A:$A, 0))-INDEX('UZ-normalized'!$E:$E, MATCH($A237, 'UZ-normalized'!$A:$A, 0))&gt;0, -(3*INDEX('UZ-normalized'!$D:$D, MATCH($A237, 'UZ-normalized'!$A:$A, 0))-INDEX('UZ-normalized'!$E:$E, MATCH($A237, 'UZ-normalized'!$A:$A, 0))), 0), 0)))</f>
        <v>-10</v>
      </c>
      <c r="R237" s="6">
        <f>MIN(0, N237+(IFERROR(IF(4*INDEX('UA-normalized'!$D:$D, MATCH($A237, 'UA-normalized'!$A:$A, 0))-INDEX('UA-normalized'!$E:$E, MATCH($A237, 'UA-normalized'!$A:$A, 0))&gt;0, -(4*INDEX('UA-normalized'!$D:$D, MATCH($A237, 'UA-normalized'!$A:$A, 0))-INDEX('UA-normalized'!$E:$E, MATCH($A237, 'UA-normalized'!$A:$A, 0))), 0), 0))+(IFERROR(IF(4*INDEX('KZ-normalized'!$D:$D, MATCH($A237, 'KZ-normalized'!$A:$A, 0))-INDEX('KZ-normalized'!$E:$E, MATCH($A237, 'KZ-normalized'!$A:$A, 0))&gt;0, -(4*INDEX('KZ-normalized'!$D:$D, MATCH($A237, 'KZ-normalized'!$A:$A, 0))-INDEX('KZ-normalized'!$E:$E, MATCH($A237, 'KZ-normalized'!$A:$A, 0))), 0), 0))+(IFERROR(IF(4*INDEX('UZ-normalized'!$D:$D, MATCH($A237, 'UZ-normalized'!$A:$A, 0))-INDEX('UZ-normalized'!$E:$E, MATCH($A237, 'UZ-normalized'!$A:$A, 0))&gt;0, -(4*INDEX('UZ-normalized'!$D:$D, MATCH($A237, 'UZ-normalized'!$A:$A, 0))-INDEX('UZ-normalized'!$E:$E, MATCH($A237, 'UZ-normalized'!$A:$A, 0))), 0), 0)))</f>
        <v>-10</v>
      </c>
      <c r="S237" s="6">
        <f>MIN(0, N237+(IFERROR(IF(5*INDEX('UA-normalized'!$D:$D, MATCH($A237, 'UA-normalized'!$A:$A, 0))-INDEX('UA-normalized'!$E:$E, MATCH($A237, 'UA-normalized'!$A:$A, 0))&gt;0, -(5*INDEX('UA-normalized'!$D:$D, MATCH($A237, 'UA-normalized'!$A:$A, 0))-INDEX('UA-normalized'!$E:$E, MATCH($A237, 'UA-normalized'!$A:$A, 0))), 0), 0))+(IFERROR(IF(5*INDEX('KZ-normalized'!$D:$D, MATCH($A237, 'KZ-normalized'!$A:$A, 0))-INDEX('KZ-normalized'!$E:$E, MATCH($A237, 'KZ-normalized'!$A:$A, 0))&gt;0, -(5*INDEX('KZ-normalized'!$D:$D, MATCH($A237, 'KZ-normalized'!$A:$A, 0))-INDEX('KZ-normalized'!$E:$E, MATCH($A237, 'KZ-normalized'!$A:$A, 0))), 0), 0))+(IFERROR(IF(5*INDEX('UZ-normalized'!$D:$D, MATCH($A237, 'UZ-normalized'!$A:$A, 0))-INDEX('UZ-normalized'!$E:$E, MATCH($A237, 'UZ-normalized'!$A:$A, 0))&gt;0, -(5*INDEX('UZ-normalized'!$D:$D, MATCH($A237, 'UZ-normalized'!$A:$A, 0))-INDEX('UZ-normalized'!$E:$E, MATCH($A237, 'UZ-normalized'!$A:$A, 0))), 0), 0)))</f>
        <v>-10</v>
      </c>
      <c r="T237" s="6">
        <f>MIN(0, N237+(IFERROR(IF(6*INDEX('UA-normalized'!$D:$D, MATCH($A237, 'UA-normalized'!$A:$A, 0))-INDEX('UA-normalized'!$E:$E, MATCH($A237, 'UA-normalized'!$A:$A, 0))&gt;0, -(6*INDEX('UA-normalized'!$D:$D, MATCH($A237, 'UA-normalized'!$A:$A, 0))-INDEX('UA-normalized'!$E:$E, MATCH($A237, 'UA-normalized'!$A:$A, 0))), 0), 0))+(IFERROR(IF(6*INDEX('KZ-normalized'!$D:$D, MATCH($A237, 'KZ-normalized'!$A:$A, 0))-INDEX('KZ-normalized'!$E:$E, MATCH($A237, 'KZ-normalized'!$A:$A, 0))&gt;0, -(6*INDEX('KZ-normalized'!$D:$D, MATCH($A237, 'KZ-normalized'!$A:$A, 0))-INDEX('KZ-normalized'!$E:$E, MATCH($A237, 'KZ-normalized'!$A:$A, 0))), 0), 0))+(IFERROR(IF(6*INDEX('UZ-normalized'!$D:$D, MATCH($A237, 'UZ-normalized'!$A:$A, 0))-INDEX('UZ-normalized'!$E:$E, MATCH($A237, 'UZ-normalized'!$A:$A, 0))&gt;0, -(6*INDEX('UZ-normalized'!$D:$D, MATCH($A237, 'UZ-normalized'!$A:$A, 0))-INDEX('UZ-normalized'!$E:$E, MATCH($A237, 'UZ-normalized'!$A:$A, 0))), 0), 0)))</f>
        <v>-10</v>
      </c>
      <c r="U237" s="6">
        <f>MIN(0, N237+(IFERROR(IF(7*INDEX('UA-normalized'!$D:$D, MATCH($A237, 'UA-normalized'!$A:$A, 0))-INDEX('UA-normalized'!$E:$E, MATCH($A237, 'UA-normalized'!$A:$A, 0))&gt;0, -(7*INDEX('UA-normalized'!$D:$D, MATCH($A237, 'UA-normalized'!$A:$A, 0))-INDEX('UA-normalized'!$E:$E, MATCH($A237, 'UA-normalized'!$A:$A, 0))), 0), 0))+(IFERROR(IF(7*INDEX('KZ-normalized'!$D:$D, MATCH($A237, 'KZ-normalized'!$A:$A, 0))-INDEX('KZ-normalized'!$E:$E, MATCH($A237, 'KZ-normalized'!$A:$A, 0))&gt;0, -(7*INDEX('KZ-normalized'!$D:$D, MATCH($A237, 'KZ-normalized'!$A:$A, 0))-INDEX('KZ-normalized'!$E:$E, MATCH($A237, 'KZ-normalized'!$A:$A, 0))), 0), 0))+(IFERROR(IF(7*INDEX('UZ-normalized'!$D:$D, MATCH($A237, 'UZ-normalized'!$A:$A, 0))-INDEX('UZ-normalized'!$E:$E, MATCH($A237, 'UZ-normalized'!$A:$A, 0))&gt;0, -(7*INDEX('UZ-normalized'!$D:$D, MATCH($A237, 'UZ-normalized'!$A:$A, 0))-INDEX('UZ-normalized'!$E:$E, MATCH($A237, 'UZ-normalized'!$A:$A, 0))), 0), 0)))</f>
        <v>-10</v>
      </c>
      <c r="V237" s="6">
        <f>MIN(0, N237+(IFERROR(IF(8*INDEX('UA-normalized'!$D:$D, MATCH($A237, 'UA-normalized'!$A:$A, 0))-INDEX('UA-normalized'!$E:$E, MATCH($A237, 'UA-normalized'!$A:$A, 0))&gt;0, -(8*INDEX('UA-normalized'!$D:$D, MATCH($A237, 'UA-normalized'!$A:$A, 0))-INDEX('UA-normalized'!$E:$E, MATCH($A237, 'UA-normalized'!$A:$A, 0))), 0), 0))+(IFERROR(IF(8*INDEX('KZ-normalized'!$D:$D, MATCH($A237, 'KZ-normalized'!$A:$A, 0))-INDEX('KZ-normalized'!$E:$E, MATCH($A237, 'KZ-normalized'!$A:$A, 0))&gt;0, -(8*INDEX('KZ-normalized'!$D:$D, MATCH($A237, 'KZ-normalized'!$A:$A, 0))-INDEX('KZ-normalized'!$E:$E, MATCH($A237, 'KZ-normalized'!$A:$A, 0))), 0), 0))+(IFERROR(IF(8*INDEX('UZ-normalized'!$D:$D, MATCH($A237, 'UZ-normalized'!$A:$A, 0))-INDEX('UZ-normalized'!$E:$E, MATCH($A237, 'UZ-normalized'!$A:$A, 0))&gt;0, -(8*INDEX('UZ-normalized'!$D:$D, MATCH($A237, 'UZ-normalized'!$A:$A, 0))-INDEX('UZ-normalized'!$E:$E, MATCH($A237, 'UZ-normalized'!$A:$A, 0))), 0), 0)))</f>
        <v>-10</v>
      </c>
      <c r="W237" s="6">
        <f>MIN(0, N237+(IFERROR(IF(9*INDEX('UA-normalized'!$D:$D, MATCH($A237, 'UA-normalized'!$A:$A, 0))-INDEX('UA-normalized'!$E:$E, MATCH($A237, 'UA-normalized'!$A:$A, 0))&gt;0, -(9*INDEX('UA-normalized'!$D:$D, MATCH($A237, 'UA-normalized'!$A:$A, 0))-INDEX('UA-normalized'!$E:$E, MATCH($A237, 'UA-normalized'!$A:$A, 0))), 0), 0))+(IFERROR(IF(9*INDEX('KZ-normalized'!$D:$D, MATCH($A237, 'KZ-normalized'!$A:$A, 0))-INDEX('KZ-normalized'!$E:$E, MATCH($A237, 'KZ-normalized'!$A:$A, 0))&gt;0, -(9*INDEX('KZ-normalized'!$D:$D, MATCH($A237, 'KZ-normalized'!$A:$A, 0))-INDEX('KZ-normalized'!$E:$E, MATCH($A237, 'KZ-normalized'!$A:$A, 0))), 0), 0))+(IFERROR(IF(9*INDEX('UZ-normalized'!$D:$D, MATCH($A237, 'UZ-normalized'!$A:$A, 0))-INDEX('UZ-normalized'!$E:$E, MATCH($A237, 'UZ-normalized'!$A:$A, 0))&gt;0, -(9*INDEX('UZ-normalized'!$D:$D, MATCH($A237, 'UZ-normalized'!$A:$A, 0))-INDEX('UZ-normalized'!$E:$E, MATCH($A237, 'UZ-normalized'!$A:$A, 0))), 0), 0)))</f>
        <v>-12.199999999999996</v>
      </c>
      <c r="X237" s="6">
        <f>MIN(0, N237+(IFERROR(IF(10*INDEX('UA-normalized'!$D:$D, MATCH($A237, 'UA-normalized'!$A:$A, 0))-INDEX('UA-normalized'!$E:$E, MATCH($A237, 'UA-normalized'!$A:$A, 0))&gt;0, -(10*INDEX('UA-normalized'!$D:$D, MATCH($A237, 'UA-normalized'!$A:$A, 0))-INDEX('UA-normalized'!$E:$E, MATCH($A237, 'UA-normalized'!$A:$A, 0))), 0), 0))+(IFERROR(IF(10*INDEX('KZ-normalized'!$D:$D, MATCH($A237, 'KZ-normalized'!$A:$A, 0))-INDEX('KZ-normalized'!$E:$E, MATCH($A237, 'KZ-normalized'!$A:$A, 0))&gt;0, -(10*INDEX('KZ-normalized'!$D:$D, MATCH($A237, 'KZ-normalized'!$A:$A, 0))-INDEX('KZ-normalized'!$E:$E, MATCH($A237, 'KZ-normalized'!$A:$A, 0))), 0), 0))+(IFERROR(IF(10*INDEX('UZ-normalized'!$D:$D, MATCH($A237, 'UZ-normalized'!$A:$A, 0))-INDEX('UZ-normalized'!$E:$E, MATCH($A237, 'UZ-normalized'!$A:$A, 0))&gt;0, -(10*INDEX('UZ-normalized'!$D:$D, MATCH($A237, 'UZ-normalized'!$A:$A, 0))-INDEX('UZ-normalized'!$E:$E, MATCH($A237, 'UZ-normalized'!$A:$A, 0))), 0), 0)))</f>
        <v>-16</v>
      </c>
      <c r="Y237" s="6">
        <f>MIN(0, N237+(IFERROR(IF(11*INDEX('UA-normalized'!$D:$D, MATCH($A237, 'UA-normalized'!$A:$A, 0))-INDEX('UA-normalized'!$E:$E, MATCH($A237, 'UA-normalized'!$A:$A, 0))&gt;0, -(11*INDEX('UA-normalized'!$D:$D, MATCH($A237, 'UA-normalized'!$A:$A, 0))-INDEX('UA-normalized'!$E:$E, MATCH($A237, 'UA-normalized'!$A:$A, 0))), 0), 0))+(IFERROR(IF(11*INDEX('KZ-normalized'!$D:$D, MATCH($A237, 'KZ-normalized'!$A:$A, 0))-INDEX('KZ-normalized'!$E:$E, MATCH($A237, 'KZ-normalized'!$A:$A, 0))&gt;0, -(11*INDEX('KZ-normalized'!$D:$D, MATCH($A237, 'KZ-normalized'!$A:$A, 0))-INDEX('KZ-normalized'!$E:$E, MATCH($A237, 'KZ-normalized'!$A:$A, 0))), 0), 0))+(IFERROR(IF(11*INDEX('UZ-normalized'!$D:$D, MATCH($A237, 'UZ-normalized'!$A:$A, 0))-INDEX('UZ-normalized'!$E:$E, MATCH($A237, 'UZ-normalized'!$A:$A, 0))&gt;0, -(11*INDEX('UZ-normalized'!$D:$D, MATCH($A237, 'UZ-normalized'!$A:$A, 0))-INDEX('UZ-normalized'!$E:$E, MATCH($A237, 'UZ-normalized'!$A:$A, 0))), 0), 0)))</f>
        <v>-19.799999999999997</v>
      </c>
      <c r="Z237" s="6">
        <f>MIN(0, N237+(IFERROR(IF(12*INDEX('UA-normalized'!$D:$D, MATCH($A237, 'UA-normalized'!$A:$A, 0))-INDEX('UA-normalized'!$E:$E, MATCH($A237, 'UA-normalized'!$A:$A, 0))&gt;0, -(12*INDEX('UA-normalized'!$D:$D, MATCH($A237, 'UA-normalized'!$A:$A, 0))-INDEX('UA-normalized'!$E:$E, MATCH($A237, 'UA-normalized'!$A:$A, 0))), 0), 0))+(IFERROR(IF(12*INDEX('KZ-normalized'!$D:$D, MATCH($A237, 'KZ-normalized'!$A:$A, 0))-INDEX('KZ-normalized'!$E:$E, MATCH($A237, 'KZ-normalized'!$A:$A, 0))&gt;0, -(12*INDEX('KZ-normalized'!$D:$D, MATCH($A237, 'KZ-normalized'!$A:$A, 0))-INDEX('KZ-normalized'!$E:$E, MATCH($A237, 'KZ-normalized'!$A:$A, 0))), 0), 0))+(IFERROR(IF(12*INDEX('UZ-normalized'!$D:$D, MATCH($A237, 'UZ-normalized'!$A:$A, 0))-INDEX('UZ-normalized'!$E:$E, MATCH($A237, 'UZ-normalized'!$A:$A, 0))&gt;0, -(12*INDEX('UZ-normalized'!$D:$D, MATCH($A237, 'UZ-normalized'!$A:$A, 0))-INDEX('UZ-normalized'!$E:$E, MATCH($A237, 'UZ-normalized'!$A:$A, 0))), 0), 0)))</f>
        <v>-23.599999999999994</v>
      </c>
      <c r="AA237" s="6">
        <f>MIN(0, N237+(IFERROR(IF(13*INDEX('UA-normalized'!$D:$D, MATCH($A237, 'UA-normalized'!$A:$A, 0))-INDEX('UA-normalized'!$E:$E, MATCH($A237, 'UA-normalized'!$A:$A, 0))&gt;0, -(13*INDEX('UA-normalized'!$D:$D, MATCH($A237, 'UA-normalized'!$A:$A, 0))-INDEX('UA-normalized'!$E:$E, MATCH($A237, 'UA-normalized'!$A:$A, 0))), 0), 0))+(IFERROR(IF(13*INDEX('KZ-normalized'!$D:$D, MATCH($A237, 'KZ-normalized'!$A:$A, 0))-INDEX('KZ-normalized'!$E:$E, MATCH($A237, 'KZ-normalized'!$A:$A, 0))&gt;0, -(13*INDEX('KZ-normalized'!$D:$D, MATCH($A237, 'KZ-normalized'!$A:$A, 0))-INDEX('KZ-normalized'!$E:$E, MATCH($A237, 'KZ-normalized'!$A:$A, 0))), 0), 0))+(IFERROR(IF(13*INDEX('UZ-normalized'!$D:$D, MATCH($A237, 'UZ-normalized'!$A:$A, 0))-INDEX('UZ-normalized'!$E:$E, MATCH($A237, 'UZ-normalized'!$A:$A, 0))&gt;0, -(13*INDEX('UZ-normalized'!$D:$D, MATCH($A237, 'UZ-normalized'!$A:$A, 0))-INDEX('UZ-normalized'!$E:$E, MATCH($A237, 'UZ-normalized'!$A:$A, 0))), 0), 0)))</f>
        <v>-28.65</v>
      </c>
      <c r="AB237" s="6">
        <f>MIN(0, N237+(IFERROR(IF(14*INDEX('UA-normalized'!$D:$D, MATCH($A237, 'UA-normalized'!$A:$A, 0))-INDEX('UA-normalized'!$E:$E, MATCH($A237, 'UA-normalized'!$A:$A, 0))&gt;0, -(14*INDEX('UA-normalized'!$D:$D, MATCH($A237, 'UA-normalized'!$A:$A, 0))-INDEX('UA-normalized'!$E:$E, MATCH($A237, 'UA-normalized'!$A:$A, 0))), 0), 0))+(IFERROR(IF(14*INDEX('KZ-normalized'!$D:$D, MATCH($A237, 'KZ-normalized'!$A:$A, 0))-INDEX('KZ-normalized'!$E:$E, MATCH($A237, 'KZ-normalized'!$A:$A, 0))&gt;0, -(14*INDEX('KZ-normalized'!$D:$D, MATCH($A237, 'KZ-normalized'!$A:$A, 0))-INDEX('KZ-normalized'!$E:$E, MATCH($A237, 'KZ-normalized'!$A:$A, 0))), 0), 0))+(IFERROR(IF(14*INDEX('UZ-normalized'!$D:$D, MATCH($A237, 'UZ-normalized'!$A:$A, 0))-INDEX('UZ-normalized'!$E:$E, MATCH($A237, 'UZ-normalized'!$A:$A, 0))&gt;0, -(14*INDEX('UZ-normalized'!$D:$D, MATCH($A237, 'UZ-normalized'!$A:$A, 0))-INDEX('UZ-normalized'!$E:$E, MATCH($A237, 'UZ-normalized'!$A:$A, 0))), 0), 0)))</f>
        <v>-33.699999999999996</v>
      </c>
      <c r="AC237" s="6">
        <f>MIN(0, N237+(IFERROR(IF(15*INDEX('UA-normalized'!$D:$D, MATCH($A237, 'UA-normalized'!$A:$A, 0))-INDEX('UA-normalized'!$E:$E, MATCH($A237, 'UA-normalized'!$A:$A, 0))&gt;0, -(15*INDEX('UA-normalized'!$D:$D, MATCH($A237, 'UA-normalized'!$A:$A, 0))-INDEX('UA-normalized'!$E:$E, MATCH($A237, 'UA-normalized'!$A:$A, 0))), 0), 0))+(IFERROR(IF(15*INDEX('KZ-normalized'!$D:$D, MATCH($A237, 'KZ-normalized'!$A:$A, 0))-INDEX('KZ-normalized'!$E:$E, MATCH($A237, 'KZ-normalized'!$A:$A, 0))&gt;0, -(15*INDEX('KZ-normalized'!$D:$D, MATCH($A237, 'KZ-normalized'!$A:$A, 0))-INDEX('KZ-normalized'!$E:$E, MATCH($A237, 'KZ-normalized'!$A:$A, 0))), 0), 0))+(IFERROR(IF(15*INDEX('UZ-normalized'!$D:$D, MATCH($A237, 'UZ-normalized'!$A:$A, 0))-INDEX('UZ-normalized'!$E:$E, MATCH($A237, 'UZ-normalized'!$A:$A, 0))&gt;0, -(15*INDEX('UZ-normalized'!$D:$D, MATCH($A237, 'UZ-normalized'!$A:$A, 0))-INDEX('UZ-normalized'!$E:$E, MATCH($A237, 'UZ-normalized'!$A:$A, 0))), 0), 0)))</f>
        <v>-38.75</v>
      </c>
      <c r="AD237" s="6">
        <f>MIN(0, N237+(IFERROR(IF(16*INDEX('UA-normalized'!$D:$D, MATCH($A237, 'UA-normalized'!$A:$A, 0))-INDEX('UA-normalized'!$E:$E, MATCH($A237, 'UA-normalized'!$A:$A, 0))&gt;0, -(16*INDEX('UA-normalized'!$D:$D, MATCH($A237, 'UA-normalized'!$A:$A, 0))-INDEX('UA-normalized'!$E:$E, MATCH($A237, 'UA-normalized'!$A:$A, 0))), 0), 0))+(IFERROR(IF(16*INDEX('KZ-normalized'!$D:$D, MATCH($A237, 'KZ-normalized'!$A:$A, 0))-INDEX('KZ-normalized'!$E:$E, MATCH($A237, 'KZ-normalized'!$A:$A, 0))&gt;0, -(16*INDEX('KZ-normalized'!$D:$D, MATCH($A237, 'KZ-normalized'!$A:$A, 0))-INDEX('KZ-normalized'!$E:$E, MATCH($A237, 'KZ-normalized'!$A:$A, 0))), 0), 0))+(IFERROR(IF(16*INDEX('UZ-normalized'!$D:$D, MATCH($A237, 'UZ-normalized'!$A:$A, 0))-INDEX('UZ-normalized'!$E:$E, MATCH($A237, 'UZ-normalized'!$A:$A, 0))&gt;0, -(16*INDEX('UZ-normalized'!$D:$D, MATCH($A237, 'UZ-normalized'!$A:$A, 0))-INDEX('UZ-normalized'!$E:$E, MATCH($A237, 'UZ-normalized'!$A:$A, 0))), 0), 0)))</f>
        <v>-43.8</v>
      </c>
      <c r="AE237" s="6">
        <f>MIN(0, N237+(IFERROR(IF(17*INDEX('UA-normalized'!$D:$D, MATCH($A237, 'UA-normalized'!$A:$A, 0))-INDEX('UA-normalized'!$E:$E, MATCH($A237, 'UA-normalized'!$A:$A, 0))&gt;0, -(17*INDEX('UA-normalized'!$D:$D, MATCH($A237, 'UA-normalized'!$A:$A, 0))-INDEX('UA-normalized'!$E:$E, MATCH($A237, 'UA-normalized'!$A:$A, 0))), 0), 0))+(IFERROR(IF(17*INDEX('KZ-normalized'!$D:$D, MATCH($A237, 'KZ-normalized'!$A:$A, 0))-INDEX('KZ-normalized'!$E:$E, MATCH($A237, 'KZ-normalized'!$A:$A, 0))&gt;0, -(17*INDEX('KZ-normalized'!$D:$D, MATCH($A237, 'KZ-normalized'!$A:$A, 0))-INDEX('KZ-normalized'!$E:$E, MATCH($A237, 'KZ-normalized'!$A:$A, 0))), 0), 0))+(IFERROR(IF(17*INDEX('UZ-normalized'!$D:$D, MATCH($A237, 'UZ-normalized'!$A:$A, 0))-INDEX('UZ-normalized'!$E:$E, MATCH($A237, 'UZ-normalized'!$A:$A, 0))&gt;0, -(17*INDEX('UZ-normalized'!$D:$D, MATCH($A237, 'UZ-normalized'!$A:$A, 0))-INDEX('UZ-normalized'!$E:$E, MATCH($A237, 'UZ-normalized'!$A:$A, 0))), 0), 0)))</f>
        <v>-48.849999999999994</v>
      </c>
      <c r="AF237" s="6">
        <f>MIN(0, N237+(IFERROR(IF(18*INDEX('UA-normalized'!$D:$D, MATCH($A237, 'UA-normalized'!$A:$A, 0))-INDEX('UA-normalized'!$E:$E, MATCH($A237, 'UA-normalized'!$A:$A, 0))&gt;0, -(18*INDEX('UA-normalized'!$D:$D, MATCH($A237, 'UA-normalized'!$A:$A, 0))-INDEX('UA-normalized'!$E:$E, MATCH($A237, 'UA-normalized'!$A:$A, 0))), 0), 0))+(IFERROR(IF(18*INDEX('KZ-normalized'!$D:$D, MATCH($A237, 'KZ-normalized'!$A:$A, 0))-INDEX('KZ-normalized'!$E:$E, MATCH($A237, 'KZ-normalized'!$A:$A, 0))&gt;0, -(18*INDEX('KZ-normalized'!$D:$D, MATCH($A237, 'KZ-normalized'!$A:$A, 0))-INDEX('KZ-normalized'!$E:$E, MATCH($A237, 'KZ-normalized'!$A:$A, 0))), 0), 0))+(IFERROR(IF(18*INDEX('UZ-normalized'!$D:$D, MATCH($A237, 'UZ-normalized'!$A:$A, 0))-INDEX('UZ-normalized'!$E:$E, MATCH($A237, 'UZ-normalized'!$A:$A, 0))&gt;0, -(18*INDEX('UZ-normalized'!$D:$D, MATCH($A237, 'UZ-normalized'!$A:$A, 0))-INDEX('UZ-normalized'!$E:$E, MATCH($A237, 'UZ-normalized'!$A:$A, 0))), 0), 0)))</f>
        <v>-53.899999999999991</v>
      </c>
      <c r="AG237" s="6">
        <f>MIN(0, N237+(IFERROR(IF(19*INDEX('UA-normalized'!$D:$D, MATCH($A237, 'UA-normalized'!$A:$A, 0))-INDEX('UA-normalized'!$E:$E, MATCH($A237, 'UA-normalized'!$A:$A, 0))&gt;0, -(19*INDEX('UA-normalized'!$D:$D, MATCH($A237, 'UA-normalized'!$A:$A, 0))-INDEX('UA-normalized'!$E:$E, MATCH($A237, 'UA-normalized'!$A:$A, 0))), 0), 0))+(IFERROR(IF(19*INDEX('KZ-normalized'!$D:$D, MATCH($A237, 'KZ-normalized'!$A:$A, 0))-INDEX('KZ-normalized'!$E:$E, MATCH($A237, 'KZ-normalized'!$A:$A, 0))&gt;0, -(19*INDEX('KZ-normalized'!$D:$D, MATCH($A237, 'KZ-normalized'!$A:$A, 0))-INDEX('KZ-normalized'!$E:$E, MATCH($A237, 'KZ-normalized'!$A:$A, 0))), 0), 0))+(IFERROR(IF(19*INDEX('UZ-normalized'!$D:$D, MATCH($A237, 'UZ-normalized'!$A:$A, 0))-INDEX('UZ-normalized'!$E:$E, MATCH($A237, 'UZ-normalized'!$A:$A, 0))&gt;0, -(19*INDEX('UZ-normalized'!$D:$D, MATCH($A237, 'UZ-normalized'!$A:$A, 0))-INDEX('UZ-normalized'!$E:$E, MATCH($A237, 'UZ-normalized'!$A:$A, 0))), 0), 0)))</f>
        <v>-58.95</v>
      </c>
      <c r="AH237" s="6">
        <f>MIN(0, N237+(IFERROR(IF(20*INDEX('UA-normalized'!$D:$D, MATCH($A237, 'UA-normalized'!$A:$A, 0))-INDEX('UA-normalized'!$E:$E, MATCH($A237, 'UA-normalized'!$A:$A, 0))&gt;0, -(20*INDEX('UA-normalized'!$D:$D, MATCH($A237, 'UA-normalized'!$A:$A, 0))-INDEX('UA-normalized'!$E:$E, MATCH($A237, 'UA-normalized'!$A:$A, 0))), 0), 0))+(IFERROR(IF(20*INDEX('KZ-normalized'!$D:$D, MATCH($A237, 'KZ-normalized'!$A:$A, 0))-INDEX('KZ-normalized'!$E:$E, MATCH($A237, 'KZ-normalized'!$A:$A, 0))&gt;0, -(20*INDEX('KZ-normalized'!$D:$D, MATCH($A237, 'KZ-normalized'!$A:$A, 0))-INDEX('KZ-normalized'!$E:$E, MATCH($A237, 'KZ-normalized'!$A:$A, 0))), 0), 0))+(IFERROR(IF(20*INDEX('UZ-normalized'!$D:$D, MATCH($A237, 'UZ-normalized'!$A:$A, 0))-INDEX('UZ-normalized'!$E:$E, MATCH($A237, 'UZ-normalized'!$A:$A, 0))&gt;0, -(20*INDEX('UZ-normalized'!$D:$D, MATCH($A237, 'UZ-normalized'!$A:$A, 0))-INDEX('UZ-normalized'!$E:$E, MATCH($A237, 'UZ-normalized'!$A:$A, 0))), 0), 0)))</f>
        <v>-64</v>
      </c>
      <c r="AI237" s="6">
        <f>MIN(0, N237+(IFERROR(IF(21*INDEX('UA-normalized'!$D:$D, MATCH($A237, 'UA-normalized'!$A:$A, 0))-INDEX('UA-normalized'!$E:$E, MATCH($A237, 'UA-normalized'!$A:$A, 0))&gt;0, -(21*INDEX('UA-normalized'!$D:$D, MATCH($A237, 'UA-normalized'!$A:$A, 0))-INDEX('UA-normalized'!$E:$E, MATCH($A237, 'UA-normalized'!$A:$A, 0))), 0), 0))+(IFERROR(IF(21*INDEX('KZ-normalized'!$D:$D, MATCH($A237, 'KZ-normalized'!$A:$A, 0))-INDEX('KZ-normalized'!$E:$E, MATCH($A237, 'KZ-normalized'!$A:$A, 0))&gt;0, -(21*INDEX('KZ-normalized'!$D:$D, MATCH($A237, 'KZ-normalized'!$A:$A, 0))-INDEX('KZ-normalized'!$E:$E, MATCH($A237, 'KZ-normalized'!$A:$A, 0))), 0), 0))+(IFERROR(IF(21*INDEX('UZ-normalized'!$D:$D, MATCH($A237, 'UZ-normalized'!$A:$A, 0))-INDEX('UZ-normalized'!$E:$E, MATCH($A237, 'UZ-normalized'!$A:$A, 0))&gt;0, -(21*INDEX('UZ-normalized'!$D:$D, MATCH($A237, 'UZ-normalized'!$A:$A, 0))-INDEX('UZ-normalized'!$E:$E, MATCH($A237, 'UZ-normalized'!$A:$A, 0))), 0), 0)))</f>
        <v>-69.05</v>
      </c>
      <c r="AJ237" s="6">
        <f>MIN(0, N237+(IFERROR(IF(22*INDEX('UA-normalized'!$D:$D, MATCH($A237, 'UA-normalized'!$A:$A, 0))-INDEX('UA-normalized'!$E:$E, MATCH($A237, 'UA-normalized'!$A:$A, 0))&gt;0, -(22*INDEX('UA-normalized'!$D:$D, MATCH($A237, 'UA-normalized'!$A:$A, 0))-INDEX('UA-normalized'!$E:$E, MATCH($A237, 'UA-normalized'!$A:$A, 0))), 0), 0))+(IFERROR(IF(22*INDEX('KZ-normalized'!$D:$D, MATCH($A237, 'KZ-normalized'!$A:$A, 0))-INDEX('KZ-normalized'!$E:$E, MATCH($A237, 'KZ-normalized'!$A:$A, 0))&gt;0, -(22*INDEX('KZ-normalized'!$D:$D, MATCH($A237, 'KZ-normalized'!$A:$A, 0))-INDEX('KZ-normalized'!$E:$E, MATCH($A237, 'KZ-normalized'!$A:$A, 0))), 0), 0))+(IFERROR(IF(22*INDEX('UZ-normalized'!$D:$D, MATCH($A237, 'UZ-normalized'!$A:$A, 0))-INDEX('UZ-normalized'!$E:$E, MATCH($A237, 'UZ-normalized'!$A:$A, 0))&gt;0, -(22*INDEX('UZ-normalized'!$D:$D, MATCH($A237, 'UZ-normalized'!$A:$A, 0))-INDEX('UZ-normalized'!$E:$E, MATCH($A237, 'UZ-normalized'!$A:$A, 0))), 0), 0)))</f>
        <v>-74.099999999999994</v>
      </c>
      <c r="AK237" s="6">
        <f>MIN(0, N237+(IFERROR(IF(23*INDEX('UA-normalized'!$D:$D, MATCH($A237, 'UA-normalized'!$A:$A, 0))-INDEX('UA-normalized'!$E:$E, MATCH($A237, 'UA-normalized'!$A:$A, 0))&gt;0, -(23*INDEX('UA-normalized'!$D:$D, MATCH($A237, 'UA-normalized'!$A:$A, 0))-INDEX('UA-normalized'!$E:$E, MATCH($A237, 'UA-normalized'!$A:$A, 0))), 0), 0))+(IFERROR(IF(23*INDEX('KZ-normalized'!$D:$D, MATCH($A237, 'KZ-normalized'!$A:$A, 0))-INDEX('KZ-normalized'!$E:$E, MATCH($A237, 'KZ-normalized'!$A:$A, 0))&gt;0, -(23*INDEX('KZ-normalized'!$D:$D, MATCH($A237, 'KZ-normalized'!$A:$A, 0))-INDEX('KZ-normalized'!$E:$E, MATCH($A237, 'KZ-normalized'!$A:$A, 0))), 0), 0))+(IFERROR(IF(23*INDEX('UZ-normalized'!$D:$D, MATCH($A237, 'UZ-normalized'!$A:$A, 0))-INDEX('UZ-normalized'!$E:$E, MATCH($A237, 'UZ-normalized'!$A:$A, 0))&gt;0, -(23*INDEX('UZ-normalized'!$D:$D, MATCH($A237, 'UZ-normalized'!$A:$A, 0))-INDEX('UZ-normalized'!$E:$E, MATCH($A237, 'UZ-normalized'!$A:$A, 0))), 0), 0)))</f>
        <v>-79.149999999999991</v>
      </c>
      <c r="AL237" s="6">
        <f>MIN(0, N237+(IFERROR(IF(24*INDEX('UA-normalized'!$D:$D, MATCH($A237, 'UA-normalized'!$A:$A, 0))-INDEX('UA-normalized'!$E:$E, MATCH($A237, 'UA-normalized'!$A:$A, 0))&gt;0, -(24*INDEX('UA-normalized'!$D:$D, MATCH($A237, 'UA-normalized'!$A:$A, 0))-INDEX('UA-normalized'!$E:$E, MATCH($A237, 'UA-normalized'!$A:$A, 0))), 0), 0))+(IFERROR(IF(24*INDEX('KZ-normalized'!$D:$D, MATCH($A237, 'KZ-normalized'!$A:$A, 0))-INDEX('KZ-normalized'!$E:$E, MATCH($A237, 'KZ-normalized'!$A:$A, 0))&gt;0, -(24*INDEX('KZ-normalized'!$D:$D, MATCH($A237, 'KZ-normalized'!$A:$A, 0))-INDEX('KZ-normalized'!$E:$E, MATCH($A237, 'KZ-normalized'!$A:$A, 0))), 0), 0))+(IFERROR(IF(24*INDEX('UZ-normalized'!$D:$D, MATCH($A237, 'UZ-normalized'!$A:$A, 0))-INDEX('UZ-normalized'!$E:$E, MATCH($A237, 'UZ-normalized'!$A:$A, 0))&gt;0, -(24*INDEX('UZ-normalized'!$D:$D, MATCH($A237, 'UZ-normalized'!$A:$A, 0))-INDEX('UZ-normalized'!$E:$E, MATCH($A237, 'UZ-normalized'!$A:$A, 0))), 0), 0)))</f>
        <v>-84.199999999999989</v>
      </c>
      <c r="AM237" s="6">
        <f>MIN(0, N237+(IFERROR(IF(25*INDEX('UA-normalized'!$D:$D, MATCH($A237, 'UA-normalized'!$A:$A, 0))-INDEX('UA-normalized'!$E:$E, MATCH($A237, 'UA-normalized'!$A:$A, 0))&gt;0, -(25*INDEX('UA-normalized'!$D:$D, MATCH($A237, 'UA-normalized'!$A:$A, 0))-INDEX('UA-normalized'!$E:$E, MATCH($A237, 'UA-normalized'!$A:$A, 0))), 0), 0))+(IFERROR(IF(25*INDEX('KZ-normalized'!$D:$D, MATCH($A237, 'KZ-normalized'!$A:$A, 0))-INDEX('KZ-normalized'!$E:$E, MATCH($A237, 'KZ-normalized'!$A:$A, 0))&gt;0, -(25*INDEX('KZ-normalized'!$D:$D, MATCH($A237, 'KZ-normalized'!$A:$A, 0))-INDEX('KZ-normalized'!$E:$E, MATCH($A237, 'KZ-normalized'!$A:$A, 0))), 0), 0))+(IFERROR(IF(25*INDEX('UZ-normalized'!$D:$D, MATCH($A237, 'UZ-normalized'!$A:$A, 0))-INDEX('UZ-normalized'!$E:$E, MATCH($A237, 'UZ-normalized'!$A:$A, 0))&gt;0, -(25*INDEX('UZ-normalized'!$D:$D, MATCH($A237, 'UZ-normalized'!$A:$A, 0))-INDEX('UZ-normalized'!$E:$E, MATCH($A237, 'UZ-normalized'!$A:$A, 0))), 0), 0)))</f>
        <v>-89.25</v>
      </c>
      <c r="AN237" s="6">
        <f>MIN(0, N237+(IFERROR(IF(26*INDEX('UA-normalized'!$D:$D, MATCH($A237, 'UA-normalized'!$A:$A, 0))-INDEX('UA-normalized'!$E:$E, MATCH($A237, 'UA-normalized'!$A:$A, 0))&gt;0, -(26*INDEX('UA-normalized'!$D:$D, MATCH($A237, 'UA-normalized'!$A:$A, 0))-INDEX('UA-normalized'!$E:$E, MATCH($A237, 'UA-normalized'!$A:$A, 0))), 0), 0))+(IFERROR(IF(26*INDEX('KZ-normalized'!$D:$D, MATCH($A237, 'KZ-normalized'!$A:$A, 0))-INDEX('KZ-normalized'!$E:$E, MATCH($A237, 'KZ-normalized'!$A:$A, 0))&gt;0, -(26*INDEX('KZ-normalized'!$D:$D, MATCH($A237, 'KZ-normalized'!$A:$A, 0))-INDEX('KZ-normalized'!$E:$E, MATCH($A237, 'KZ-normalized'!$A:$A, 0))), 0), 0))+(IFERROR(IF(26*INDEX('UZ-normalized'!$D:$D, MATCH($A237, 'UZ-normalized'!$A:$A, 0))-INDEX('UZ-normalized'!$E:$E, MATCH($A237, 'UZ-normalized'!$A:$A, 0))&gt;0, -(26*INDEX('UZ-normalized'!$D:$D, MATCH($A237, 'UZ-normalized'!$A:$A, 0))-INDEX('UZ-normalized'!$E:$E, MATCH($A237, 'UZ-normalized'!$A:$A, 0))), 0), 0)))</f>
        <v>-94.3</v>
      </c>
      <c r="AO237" s="6">
        <f>MIN(0, N237+(IFERROR(IF(27*INDEX('UA-normalized'!$D:$D, MATCH($A237, 'UA-normalized'!$A:$A, 0))-INDEX('UA-normalized'!$E:$E, MATCH($A237, 'UA-normalized'!$A:$A, 0))&gt;0, -(27*INDEX('UA-normalized'!$D:$D, MATCH($A237, 'UA-normalized'!$A:$A, 0))-INDEX('UA-normalized'!$E:$E, MATCH($A237, 'UA-normalized'!$A:$A, 0))), 0), 0))+(IFERROR(IF(27*INDEX('KZ-normalized'!$D:$D, MATCH($A237, 'KZ-normalized'!$A:$A, 0))-INDEX('KZ-normalized'!$E:$E, MATCH($A237, 'KZ-normalized'!$A:$A, 0))&gt;0, -(27*INDEX('KZ-normalized'!$D:$D, MATCH($A237, 'KZ-normalized'!$A:$A, 0))-INDEX('KZ-normalized'!$E:$E, MATCH($A237, 'KZ-normalized'!$A:$A, 0))), 0), 0))+(IFERROR(IF(27*INDEX('UZ-normalized'!$D:$D, MATCH($A237, 'UZ-normalized'!$A:$A, 0))-INDEX('UZ-normalized'!$E:$E, MATCH($A237, 'UZ-normalized'!$A:$A, 0))&gt;0, -(27*INDEX('UZ-normalized'!$D:$D, MATCH($A237, 'UZ-normalized'!$A:$A, 0))-INDEX('UZ-normalized'!$E:$E, MATCH($A237, 'UZ-normalized'!$A:$A, 0))), 0), 0)))</f>
        <v>-99.35</v>
      </c>
      <c r="AP237" s="6">
        <f>MIN(0, N237+(IFERROR(IF(28*INDEX('UA-normalized'!$D:$D, MATCH($A237, 'UA-normalized'!$A:$A, 0))-INDEX('UA-normalized'!$E:$E, MATCH($A237, 'UA-normalized'!$A:$A, 0))&gt;0, -(28*INDEX('UA-normalized'!$D:$D, MATCH($A237, 'UA-normalized'!$A:$A, 0))-INDEX('UA-normalized'!$E:$E, MATCH($A237, 'UA-normalized'!$A:$A, 0))), 0), 0))+(IFERROR(IF(28*INDEX('KZ-normalized'!$D:$D, MATCH($A237, 'KZ-normalized'!$A:$A, 0))-INDEX('KZ-normalized'!$E:$E, MATCH($A237, 'KZ-normalized'!$A:$A, 0))&gt;0, -(28*INDEX('KZ-normalized'!$D:$D, MATCH($A237, 'KZ-normalized'!$A:$A, 0))-INDEX('KZ-normalized'!$E:$E, MATCH($A237, 'KZ-normalized'!$A:$A, 0))), 0), 0))+(IFERROR(IF(28*INDEX('UZ-normalized'!$D:$D, MATCH($A237, 'UZ-normalized'!$A:$A, 0))-INDEX('UZ-normalized'!$E:$E, MATCH($A237, 'UZ-normalized'!$A:$A, 0))&gt;0, -(28*INDEX('UZ-normalized'!$D:$D, MATCH($A237, 'UZ-normalized'!$A:$A, 0))-INDEX('UZ-normalized'!$E:$E, MATCH($A237, 'UZ-normalized'!$A:$A, 0))), 0), 0)))</f>
        <v>-104.39999999999999</v>
      </c>
      <c r="AQ237" s="6">
        <f>MIN(0, N237+(IFERROR(IF(29*INDEX('UA-normalized'!$D:$D, MATCH($A237, 'UA-normalized'!$A:$A, 0))-INDEX('UA-normalized'!$E:$E, MATCH($A237, 'UA-normalized'!$A:$A, 0))&gt;0, -(29*INDEX('UA-normalized'!$D:$D, MATCH($A237, 'UA-normalized'!$A:$A, 0))-INDEX('UA-normalized'!$E:$E, MATCH($A237, 'UA-normalized'!$A:$A, 0))), 0), 0))+(IFERROR(IF(29*INDEX('KZ-normalized'!$D:$D, MATCH($A237, 'KZ-normalized'!$A:$A, 0))-INDEX('KZ-normalized'!$E:$E, MATCH($A237, 'KZ-normalized'!$A:$A, 0))&gt;0, -(29*INDEX('KZ-normalized'!$D:$D, MATCH($A237, 'KZ-normalized'!$A:$A, 0))-INDEX('KZ-normalized'!$E:$E, MATCH($A237, 'KZ-normalized'!$A:$A, 0))), 0), 0))+(IFERROR(IF(29*INDEX('UZ-normalized'!$D:$D, MATCH($A237, 'UZ-normalized'!$A:$A, 0))-INDEX('UZ-normalized'!$E:$E, MATCH($A237, 'UZ-normalized'!$A:$A, 0))&gt;0, -(29*INDEX('UZ-normalized'!$D:$D, MATCH($A237, 'UZ-normalized'!$A:$A, 0))-INDEX('UZ-normalized'!$E:$E, MATCH($A237, 'UZ-normalized'!$A:$A, 0))), 0), 0)))</f>
        <v>-109.44999999999999</v>
      </c>
      <c r="AR237" s="6">
        <f>MIN(0, N237+(IFERROR(IF(30*INDEX('UA-normalized'!$D:$D, MATCH($A237, 'UA-normalized'!$A:$A, 0))-INDEX('UA-normalized'!$E:$E, MATCH($A237, 'UA-normalized'!$A:$A, 0))&gt;0, -(30*INDEX('UA-normalized'!$D:$D, MATCH($A237, 'UA-normalized'!$A:$A, 0))-INDEX('UA-normalized'!$E:$E, MATCH($A237, 'UA-normalized'!$A:$A, 0))), 0), 0))+(IFERROR(IF(30*INDEX('KZ-normalized'!$D:$D, MATCH($A237, 'KZ-normalized'!$A:$A, 0))-INDEX('KZ-normalized'!$E:$E, MATCH($A237, 'KZ-normalized'!$A:$A, 0))&gt;0, -(30*INDEX('KZ-normalized'!$D:$D, MATCH($A237, 'KZ-normalized'!$A:$A, 0))-INDEX('KZ-normalized'!$E:$E, MATCH($A237, 'KZ-normalized'!$A:$A, 0))), 0), 0))+(IFERROR(IF(30*INDEX('UZ-normalized'!$D:$D, MATCH($A237, 'UZ-normalized'!$A:$A, 0))-INDEX('UZ-normalized'!$E:$E, MATCH($A237, 'UZ-normalized'!$A:$A, 0))&gt;0, -(30*INDEX('UZ-normalized'!$D:$D, MATCH($A237, 'UZ-normalized'!$A:$A, 0))-INDEX('UZ-normalized'!$E:$E, MATCH($A237, 'UZ-normalized'!$A:$A, 0))), 0), 0)))</f>
        <v>-114.5</v>
      </c>
    </row>
    <row r="238" spans="1:44" x14ac:dyDescent="0.25">
      <c r="A238" s="8" t="s">
        <v>561</v>
      </c>
      <c r="B238" s="8" t="s">
        <v>492</v>
      </c>
      <c r="C238" s="8" t="s">
        <v>555</v>
      </c>
      <c r="D238" s="8" t="s">
        <v>562</v>
      </c>
      <c r="G238">
        <v>-40</v>
      </c>
      <c r="N238">
        <f t="shared" si="3"/>
        <v>-40</v>
      </c>
      <c r="O238" s="6">
        <f>MIN(0, N238+(IFERROR(IF(1*INDEX('UA-normalized'!$D:$D, MATCH($A238, 'UA-normalized'!$A:$A, 0))-INDEX('UA-normalized'!$E:$E, MATCH($A238, 'UA-normalized'!$A:$A, 0))&gt;0, -(1*INDEX('UA-normalized'!$D:$D, MATCH($A238, 'UA-normalized'!$A:$A, 0))-INDEX('UA-normalized'!$E:$E, MATCH($A238, 'UA-normalized'!$A:$A, 0))), 0), 0))+(IFERROR(IF(1*INDEX('KZ-normalized'!$D:$D, MATCH($A238, 'KZ-normalized'!$A:$A, 0))-INDEX('KZ-normalized'!$E:$E, MATCH($A238, 'KZ-normalized'!$A:$A, 0))&gt;0, -(1*INDEX('KZ-normalized'!$D:$D, MATCH($A238, 'KZ-normalized'!$A:$A, 0))-INDEX('KZ-normalized'!$E:$E, MATCH($A238, 'KZ-normalized'!$A:$A, 0))), 0), 0))+(IFERROR(IF(1*INDEX('UZ-normalized'!$D:$D, MATCH($A238, 'UZ-normalized'!$A:$A, 0))-INDEX('UZ-normalized'!$E:$E, MATCH($A238, 'UZ-normalized'!$A:$A, 0))&gt;0, -(1*INDEX('UZ-normalized'!$D:$D, MATCH($A238, 'UZ-normalized'!$A:$A, 0))-INDEX('UZ-normalized'!$E:$E, MATCH($A238, 'UZ-normalized'!$A:$A, 0))), 0), 0)))</f>
        <v>-40</v>
      </c>
      <c r="P238" s="6">
        <f>MIN(0, N238+(IFERROR(IF(2*INDEX('UA-normalized'!$D:$D, MATCH($A238, 'UA-normalized'!$A:$A, 0))-INDEX('UA-normalized'!$E:$E, MATCH($A238, 'UA-normalized'!$A:$A, 0))&gt;0, -(2*INDEX('UA-normalized'!$D:$D, MATCH($A238, 'UA-normalized'!$A:$A, 0))-INDEX('UA-normalized'!$E:$E, MATCH($A238, 'UA-normalized'!$A:$A, 0))), 0), 0))+(IFERROR(IF(2*INDEX('KZ-normalized'!$D:$D, MATCH($A238, 'KZ-normalized'!$A:$A, 0))-INDEX('KZ-normalized'!$E:$E, MATCH($A238, 'KZ-normalized'!$A:$A, 0))&gt;0, -(2*INDEX('KZ-normalized'!$D:$D, MATCH($A238, 'KZ-normalized'!$A:$A, 0))-INDEX('KZ-normalized'!$E:$E, MATCH($A238, 'KZ-normalized'!$A:$A, 0))), 0), 0))+(IFERROR(IF(2*INDEX('UZ-normalized'!$D:$D, MATCH($A238, 'UZ-normalized'!$A:$A, 0))-INDEX('UZ-normalized'!$E:$E, MATCH($A238, 'UZ-normalized'!$A:$A, 0))&gt;0, -(2*INDEX('UZ-normalized'!$D:$D, MATCH($A238, 'UZ-normalized'!$A:$A, 0))-INDEX('UZ-normalized'!$E:$E, MATCH($A238, 'UZ-normalized'!$A:$A, 0))), 0), 0)))</f>
        <v>-40</v>
      </c>
      <c r="Q238" s="6">
        <f>MIN(0, N238+(IFERROR(IF(3*INDEX('UA-normalized'!$D:$D, MATCH($A238, 'UA-normalized'!$A:$A, 0))-INDEX('UA-normalized'!$E:$E, MATCH($A238, 'UA-normalized'!$A:$A, 0))&gt;0, -(3*INDEX('UA-normalized'!$D:$D, MATCH($A238, 'UA-normalized'!$A:$A, 0))-INDEX('UA-normalized'!$E:$E, MATCH($A238, 'UA-normalized'!$A:$A, 0))), 0), 0))+(IFERROR(IF(3*INDEX('KZ-normalized'!$D:$D, MATCH($A238, 'KZ-normalized'!$A:$A, 0))-INDEX('KZ-normalized'!$E:$E, MATCH($A238, 'KZ-normalized'!$A:$A, 0))&gt;0, -(3*INDEX('KZ-normalized'!$D:$D, MATCH($A238, 'KZ-normalized'!$A:$A, 0))-INDEX('KZ-normalized'!$E:$E, MATCH($A238, 'KZ-normalized'!$A:$A, 0))), 0), 0))+(IFERROR(IF(3*INDEX('UZ-normalized'!$D:$D, MATCH($A238, 'UZ-normalized'!$A:$A, 0))-INDEX('UZ-normalized'!$E:$E, MATCH($A238, 'UZ-normalized'!$A:$A, 0))&gt;0, -(3*INDEX('UZ-normalized'!$D:$D, MATCH($A238, 'UZ-normalized'!$A:$A, 0))-INDEX('UZ-normalized'!$E:$E, MATCH($A238, 'UZ-normalized'!$A:$A, 0))), 0), 0)))</f>
        <v>-40</v>
      </c>
      <c r="R238" s="6">
        <f>MIN(0, N238+(IFERROR(IF(4*INDEX('UA-normalized'!$D:$D, MATCH($A238, 'UA-normalized'!$A:$A, 0))-INDEX('UA-normalized'!$E:$E, MATCH($A238, 'UA-normalized'!$A:$A, 0))&gt;0, -(4*INDEX('UA-normalized'!$D:$D, MATCH($A238, 'UA-normalized'!$A:$A, 0))-INDEX('UA-normalized'!$E:$E, MATCH($A238, 'UA-normalized'!$A:$A, 0))), 0), 0))+(IFERROR(IF(4*INDEX('KZ-normalized'!$D:$D, MATCH($A238, 'KZ-normalized'!$A:$A, 0))-INDEX('KZ-normalized'!$E:$E, MATCH($A238, 'KZ-normalized'!$A:$A, 0))&gt;0, -(4*INDEX('KZ-normalized'!$D:$D, MATCH($A238, 'KZ-normalized'!$A:$A, 0))-INDEX('KZ-normalized'!$E:$E, MATCH($A238, 'KZ-normalized'!$A:$A, 0))), 0), 0))+(IFERROR(IF(4*INDEX('UZ-normalized'!$D:$D, MATCH($A238, 'UZ-normalized'!$A:$A, 0))-INDEX('UZ-normalized'!$E:$E, MATCH($A238, 'UZ-normalized'!$A:$A, 0))&gt;0, -(4*INDEX('UZ-normalized'!$D:$D, MATCH($A238, 'UZ-normalized'!$A:$A, 0))-INDEX('UZ-normalized'!$E:$E, MATCH($A238, 'UZ-normalized'!$A:$A, 0))), 0), 0)))</f>
        <v>-40</v>
      </c>
      <c r="S238" s="6">
        <f>MIN(0, N238+(IFERROR(IF(5*INDEX('UA-normalized'!$D:$D, MATCH($A238, 'UA-normalized'!$A:$A, 0))-INDEX('UA-normalized'!$E:$E, MATCH($A238, 'UA-normalized'!$A:$A, 0))&gt;0, -(5*INDEX('UA-normalized'!$D:$D, MATCH($A238, 'UA-normalized'!$A:$A, 0))-INDEX('UA-normalized'!$E:$E, MATCH($A238, 'UA-normalized'!$A:$A, 0))), 0), 0))+(IFERROR(IF(5*INDEX('KZ-normalized'!$D:$D, MATCH($A238, 'KZ-normalized'!$A:$A, 0))-INDEX('KZ-normalized'!$E:$E, MATCH($A238, 'KZ-normalized'!$A:$A, 0))&gt;0, -(5*INDEX('KZ-normalized'!$D:$D, MATCH($A238, 'KZ-normalized'!$A:$A, 0))-INDEX('KZ-normalized'!$E:$E, MATCH($A238, 'KZ-normalized'!$A:$A, 0))), 0), 0))+(IFERROR(IF(5*INDEX('UZ-normalized'!$D:$D, MATCH($A238, 'UZ-normalized'!$A:$A, 0))-INDEX('UZ-normalized'!$E:$E, MATCH($A238, 'UZ-normalized'!$A:$A, 0))&gt;0, -(5*INDEX('UZ-normalized'!$D:$D, MATCH($A238, 'UZ-normalized'!$A:$A, 0))-INDEX('UZ-normalized'!$E:$E, MATCH($A238, 'UZ-normalized'!$A:$A, 0))), 0), 0)))</f>
        <v>-42</v>
      </c>
      <c r="T238" s="6">
        <f>MIN(0, N238+(IFERROR(IF(6*INDEX('UA-normalized'!$D:$D, MATCH($A238, 'UA-normalized'!$A:$A, 0))-INDEX('UA-normalized'!$E:$E, MATCH($A238, 'UA-normalized'!$A:$A, 0))&gt;0, -(6*INDEX('UA-normalized'!$D:$D, MATCH($A238, 'UA-normalized'!$A:$A, 0))-INDEX('UA-normalized'!$E:$E, MATCH($A238, 'UA-normalized'!$A:$A, 0))), 0), 0))+(IFERROR(IF(6*INDEX('KZ-normalized'!$D:$D, MATCH($A238, 'KZ-normalized'!$A:$A, 0))-INDEX('KZ-normalized'!$E:$E, MATCH($A238, 'KZ-normalized'!$A:$A, 0))&gt;0, -(6*INDEX('KZ-normalized'!$D:$D, MATCH($A238, 'KZ-normalized'!$A:$A, 0))-INDEX('KZ-normalized'!$E:$E, MATCH($A238, 'KZ-normalized'!$A:$A, 0))), 0), 0))+(IFERROR(IF(6*INDEX('UZ-normalized'!$D:$D, MATCH($A238, 'UZ-normalized'!$A:$A, 0))-INDEX('UZ-normalized'!$E:$E, MATCH($A238, 'UZ-normalized'!$A:$A, 0))&gt;0, -(6*INDEX('UZ-normalized'!$D:$D, MATCH($A238, 'UZ-normalized'!$A:$A, 0))-INDEX('UZ-normalized'!$E:$E, MATCH($A238, 'UZ-normalized'!$A:$A, 0))), 0), 0)))</f>
        <v>-50.599999999999994</v>
      </c>
      <c r="U238" s="6">
        <f>MIN(0, N238+(IFERROR(IF(7*INDEX('UA-normalized'!$D:$D, MATCH($A238, 'UA-normalized'!$A:$A, 0))-INDEX('UA-normalized'!$E:$E, MATCH($A238, 'UA-normalized'!$A:$A, 0))&gt;0, -(7*INDEX('UA-normalized'!$D:$D, MATCH($A238, 'UA-normalized'!$A:$A, 0))-INDEX('UA-normalized'!$E:$E, MATCH($A238, 'UA-normalized'!$A:$A, 0))), 0), 0))+(IFERROR(IF(7*INDEX('KZ-normalized'!$D:$D, MATCH($A238, 'KZ-normalized'!$A:$A, 0))-INDEX('KZ-normalized'!$E:$E, MATCH($A238, 'KZ-normalized'!$A:$A, 0))&gt;0, -(7*INDEX('KZ-normalized'!$D:$D, MATCH($A238, 'KZ-normalized'!$A:$A, 0))-INDEX('KZ-normalized'!$E:$E, MATCH($A238, 'KZ-normalized'!$A:$A, 0))), 0), 0))+(IFERROR(IF(7*INDEX('UZ-normalized'!$D:$D, MATCH($A238, 'UZ-normalized'!$A:$A, 0))-INDEX('UZ-normalized'!$E:$E, MATCH($A238, 'UZ-normalized'!$A:$A, 0))&gt;0, -(7*INDEX('UZ-normalized'!$D:$D, MATCH($A238, 'UZ-normalized'!$A:$A, 0))-INDEX('UZ-normalized'!$E:$E, MATCH($A238, 'UZ-normalized'!$A:$A, 0))), 0), 0)))</f>
        <v>-59.199999999999996</v>
      </c>
      <c r="V238" s="6">
        <f>MIN(0, N238+(IFERROR(IF(8*INDEX('UA-normalized'!$D:$D, MATCH($A238, 'UA-normalized'!$A:$A, 0))-INDEX('UA-normalized'!$E:$E, MATCH($A238, 'UA-normalized'!$A:$A, 0))&gt;0, -(8*INDEX('UA-normalized'!$D:$D, MATCH($A238, 'UA-normalized'!$A:$A, 0))-INDEX('UA-normalized'!$E:$E, MATCH($A238, 'UA-normalized'!$A:$A, 0))), 0), 0))+(IFERROR(IF(8*INDEX('KZ-normalized'!$D:$D, MATCH($A238, 'KZ-normalized'!$A:$A, 0))-INDEX('KZ-normalized'!$E:$E, MATCH($A238, 'KZ-normalized'!$A:$A, 0))&gt;0, -(8*INDEX('KZ-normalized'!$D:$D, MATCH($A238, 'KZ-normalized'!$A:$A, 0))-INDEX('KZ-normalized'!$E:$E, MATCH($A238, 'KZ-normalized'!$A:$A, 0))), 0), 0))+(IFERROR(IF(8*INDEX('UZ-normalized'!$D:$D, MATCH($A238, 'UZ-normalized'!$A:$A, 0))-INDEX('UZ-normalized'!$E:$E, MATCH($A238, 'UZ-normalized'!$A:$A, 0))&gt;0, -(8*INDEX('UZ-normalized'!$D:$D, MATCH($A238, 'UZ-normalized'!$A:$A, 0))-INDEX('UZ-normalized'!$E:$E, MATCH($A238, 'UZ-normalized'!$A:$A, 0))), 0), 0)))</f>
        <v>-67.8</v>
      </c>
      <c r="W238" s="6">
        <f>MIN(0, N238+(IFERROR(IF(9*INDEX('UA-normalized'!$D:$D, MATCH($A238, 'UA-normalized'!$A:$A, 0))-INDEX('UA-normalized'!$E:$E, MATCH($A238, 'UA-normalized'!$A:$A, 0))&gt;0, -(9*INDEX('UA-normalized'!$D:$D, MATCH($A238, 'UA-normalized'!$A:$A, 0))-INDEX('UA-normalized'!$E:$E, MATCH($A238, 'UA-normalized'!$A:$A, 0))), 0), 0))+(IFERROR(IF(9*INDEX('KZ-normalized'!$D:$D, MATCH($A238, 'KZ-normalized'!$A:$A, 0))-INDEX('KZ-normalized'!$E:$E, MATCH($A238, 'KZ-normalized'!$A:$A, 0))&gt;0, -(9*INDEX('KZ-normalized'!$D:$D, MATCH($A238, 'KZ-normalized'!$A:$A, 0))-INDEX('KZ-normalized'!$E:$E, MATCH($A238, 'KZ-normalized'!$A:$A, 0))), 0), 0))+(IFERROR(IF(9*INDEX('UZ-normalized'!$D:$D, MATCH($A238, 'UZ-normalized'!$A:$A, 0))-INDEX('UZ-normalized'!$E:$E, MATCH($A238, 'UZ-normalized'!$A:$A, 0))&gt;0, -(9*INDEX('UZ-normalized'!$D:$D, MATCH($A238, 'UZ-normalized'!$A:$A, 0))-INDEX('UZ-normalized'!$E:$E, MATCH($A238, 'UZ-normalized'!$A:$A, 0))), 0), 0)))</f>
        <v>-76.399999999999991</v>
      </c>
      <c r="X238" s="6">
        <f>MIN(0, N238+(IFERROR(IF(10*INDEX('UA-normalized'!$D:$D, MATCH($A238, 'UA-normalized'!$A:$A, 0))-INDEX('UA-normalized'!$E:$E, MATCH($A238, 'UA-normalized'!$A:$A, 0))&gt;0, -(10*INDEX('UA-normalized'!$D:$D, MATCH($A238, 'UA-normalized'!$A:$A, 0))-INDEX('UA-normalized'!$E:$E, MATCH($A238, 'UA-normalized'!$A:$A, 0))), 0), 0))+(IFERROR(IF(10*INDEX('KZ-normalized'!$D:$D, MATCH($A238, 'KZ-normalized'!$A:$A, 0))-INDEX('KZ-normalized'!$E:$E, MATCH($A238, 'KZ-normalized'!$A:$A, 0))&gt;0, -(10*INDEX('KZ-normalized'!$D:$D, MATCH($A238, 'KZ-normalized'!$A:$A, 0))-INDEX('KZ-normalized'!$E:$E, MATCH($A238, 'KZ-normalized'!$A:$A, 0))), 0), 0))+(IFERROR(IF(10*INDEX('UZ-normalized'!$D:$D, MATCH($A238, 'UZ-normalized'!$A:$A, 0))-INDEX('UZ-normalized'!$E:$E, MATCH($A238, 'UZ-normalized'!$A:$A, 0))&gt;0, -(10*INDEX('UZ-normalized'!$D:$D, MATCH($A238, 'UZ-normalized'!$A:$A, 0))-INDEX('UZ-normalized'!$E:$E, MATCH($A238, 'UZ-normalized'!$A:$A, 0))), 0), 0)))</f>
        <v>-85</v>
      </c>
      <c r="Y238" s="6">
        <f>MIN(0, N238+(IFERROR(IF(11*INDEX('UA-normalized'!$D:$D, MATCH($A238, 'UA-normalized'!$A:$A, 0))-INDEX('UA-normalized'!$E:$E, MATCH($A238, 'UA-normalized'!$A:$A, 0))&gt;0, -(11*INDEX('UA-normalized'!$D:$D, MATCH($A238, 'UA-normalized'!$A:$A, 0))-INDEX('UA-normalized'!$E:$E, MATCH($A238, 'UA-normalized'!$A:$A, 0))), 0), 0))+(IFERROR(IF(11*INDEX('KZ-normalized'!$D:$D, MATCH($A238, 'KZ-normalized'!$A:$A, 0))-INDEX('KZ-normalized'!$E:$E, MATCH($A238, 'KZ-normalized'!$A:$A, 0))&gt;0, -(11*INDEX('KZ-normalized'!$D:$D, MATCH($A238, 'KZ-normalized'!$A:$A, 0))-INDEX('KZ-normalized'!$E:$E, MATCH($A238, 'KZ-normalized'!$A:$A, 0))), 0), 0))+(IFERROR(IF(11*INDEX('UZ-normalized'!$D:$D, MATCH($A238, 'UZ-normalized'!$A:$A, 0))-INDEX('UZ-normalized'!$E:$E, MATCH($A238, 'UZ-normalized'!$A:$A, 0))&gt;0, -(11*INDEX('UZ-normalized'!$D:$D, MATCH($A238, 'UZ-normalized'!$A:$A, 0))-INDEX('UZ-normalized'!$E:$E, MATCH($A238, 'UZ-normalized'!$A:$A, 0))), 0), 0)))</f>
        <v>-93.6</v>
      </c>
      <c r="Z238" s="6">
        <f>MIN(0, N238+(IFERROR(IF(12*INDEX('UA-normalized'!$D:$D, MATCH($A238, 'UA-normalized'!$A:$A, 0))-INDEX('UA-normalized'!$E:$E, MATCH($A238, 'UA-normalized'!$A:$A, 0))&gt;0, -(12*INDEX('UA-normalized'!$D:$D, MATCH($A238, 'UA-normalized'!$A:$A, 0))-INDEX('UA-normalized'!$E:$E, MATCH($A238, 'UA-normalized'!$A:$A, 0))), 0), 0))+(IFERROR(IF(12*INDEX('KZ-normalized'!$D:$D, MATCH($A238, 'KZ-normalized'!$A:$A, 0))-INDEX('KZ-normalized'!$E:$E, MATCH($A238, 'KZ-normalized'!$A:$A, 0))&gt;0, -(12*INDEX('KZ-normalized'!$D:$D, MATCH($A238, 'KZ-normalized'!$A:$A, 0))-INDEX('KZ-normalized'!$E:$E, MATCH($A238, 'KZ-normalized'!$A:$A, 0))), 0), 0))+(IFERROR(IF(12*INDEX('UZ-normalized'!$D:$D, MATCH($A238, 'UZ-normalized'!$A:$A, 0))-INDEX('UZ-normalized'!$E:$E, MATCH($A238, 'UZ-normalized'!$A:$A, 0))&gt;0, -(12*INDEX('UZ-normalized'!$D:$D, MATCH($A238, 'UZ-normalized'!$A:$A, 0))-INDEX('UZ-normalized'!$E:$E, MATCH($A238, 'UZ-normalized'!$A:$A, 0))), 0), 0)))</f>
        <v>-102.19999999999999</v>
      </c>
      <c r="AA238" s="6">
        <f>MIN(0, N238+(IFERROR(IF(13*INDEX('UA-normalized'!$D:$D, MATCH($A238, 'UA-normalized'!$A:$A, 0))-INDEX('UA-normalized'!$E:$E, MATCH($A238, 'UA-normalized'!$A:$A, 0))&gt;0, -(13*INDEX('UA-normalized'!$D:$D, MATCH($A238, 'UA-normalized'!$A:$A, 0))-INDEX('UA-normalized'!$E:$E, MATCH($A238, 'UA-normalized'!$A:$A, 0))), 0), 0))+(IFERROR(IF(13*INDEX('KZ-normalized'!$D:$D, MATCH($A238, 'KZ-normalized'!$A:$A, 0))-INDEX('KZ-normalized'!$E:$E, MATCH($A238, 'KZ-normalized'!$A:$A, 0))&gt;0, -(13*INDEX('KZ-normalized'!$D:$D, MATCH($A238, 'KZ-normalized'!$A:$A, 0))-INDEX('KZ-normalized'!$E:$E, MATCH($A238, 'KZ-normalized'!$A:$A, 0))), 0), 0))+(IFERROR(IF(13*INDEX('UZ-normalized'!$D:$D, MATCH($A238, 'UZ-normalized'!$A:$A, 0))-INDEX('UZ-normalized'!$E:$E, MATCH($A238, 'UZ-normalized'!$A:$A, 0))&gt;0, -(13*INDEX('UZ-normalized'!$D:$D, MATCH($A238, 'UZ-normalized'!$A:$A, 0))-INDEX('UZ-normalized'!$E:$E, MATCH($A238, 'UZ-normalized'!$A:$A, 0))), 0), 0)))</f>
        <v>-110.8</v>
      </c>
      <c r="AB238" s="6">
        <f>MIN(0, N238+(IFERROR(IF(14*INDEX('UA-normalized'!$D:$D, MATCH($A238, 'UA-normalized'!$A:$A, 0))-INDEX('UA-normalized'!$E:$E, MATCH($A238, 'UA-normalized'!$A:$A, 0))&gt;0, -(14*INDEX('UA-normalized'!$D:$D, MATCH($A238, 'UA-normalized'!$A:$A, 0))-INDEX('UA-normalized'!$E:$E, MATCH($A238, 'UA-normalized'!$A:$A, 0))), 0), 0))+(IFERROR(IF(14*INDEX('KZ-normalized'!$D:$D, MATCH($A238, 'KZ-normalized'!$A:$A, 0))-INDEX('KZ-normalized'!$E:$E, MATCH($A238, 'KZ-normalized'!$A:$A, 0))&gt;0, -(14*INDEX('KZ-normalized'!$D:$D, MATCH($A238, 'KZ-normalized'!$A:$A, 0))-INDEX('KZ-normalized'!$E:$E, MATCH($A238, 'KZ-normalized'!$A:$A, 0))), 0), 0))+(IFERROR(IF(14*INDEX('UZ-normalized'!$D:$D, MATCH($A238, 'UZ-normalized'!$A:$A, 0))-INDEX('UZ-normalized'!$E:$E, MATCH($A238, 'UZ-normalized'!$A:$A, 0))&gt;0, -(14*INDEX('UZ-normalized'!$D:$D, MATCH($A238, 'UZ-normalized'!$A:$A, 0))-INDEX('UZ-normalized'!$E:$E, MATCH($A238, 'UZ-normalized'!$A:$A, 0))), 0), 0)))</f>
        <v>-119.39999999999999</v>
      </c>
      <c r="AC238" s="6">
        <f>MIN(0, N238+(IFERROR(IF(15*INDEX('UA-normalized'!$D:$D, MATCH($A238, 'UA-normalized'!$A:$A, 0))-INDEX('UA-normalized'!$E:$E, MATCH($A238, 'UA-normalized'!$A:$A, 0))&gt;0, -(15*INDEX('UA-normalized'!$D:$D, MATCH($A238, 'UA-normalized'!$A:$A, 0))-INDEX('UA-normalized'!$E:$E, MATCH($A238, 'UA-normalized'!$A:$A, 0))), 0), 0))+(IFERROR(IF(15*INDEX('KZ-normalized'!$D:$D, MATCH($A238, 'KZ-normalized'!$A:$A, 0))-INDEX('KZ-normalized'!$E:$E, MATCH($A238, 'KZ-normalized'!$A:$A, 0))&gt;0, -(15*INDEX('KZ-normalized'!$D:$D, MATCH($A238, 'KZ-normalized'!$A:$A, 0))-INDEX('KZ-normalized'!$E:$E, MATCH($A238, 'KZ-normalized'!$A:$A, 0))), 0), 0))+(IFERROR(IF(15*INDEX('UZ-normalized'!$D:$D, MATCH($A238, 'UZ-normalized'!$A:$A, 0))-INDEX('UZ-normalized'!$E:$E, MATCH($A238, 'UZ-normalized'!$A:$A, 0))&gt;0, -(15*INDEX('UZ-normalized'!$D:$D, MATCH($A238, 'UZ-normalized'!$A:$A, 0))-INDEX('UZ-normalized'!$E:$E, MATCH($A238, 'UZ-normalized'!$A:$A, 0))), 0), 0)))</f>
        <v>-128</v>
      </c>
      <c r="AD238" s="6">
        <f>MIN(0, N238+(IFERROR(IF(16*INDEX('UA-normalized'!$D:$D, MATCH($A238, 'UA-normalized'!$A:$A, 0))-INDEX('UA-normalized'!$E:$E, MATCH($A238, 'UA-normalized'!$A:$A, 0))&gt;0, -(16*INDEX('UA-normalized'!$D:$D, MATCH($A238, 'UA-normalized'!$A:$A, 0))-INDEX('UA-normalized'!$E:$E, MATCH($A238, 'UA-normalized'!$A:$A, 0))), 0), 0))+(IFERROR(IF(16*INDEX('KZ-normalized'!$D:$D, MATCH($A238, 'KZ-normalized'!$A:$A, 0))-INDEX('KZ-normalized'!$E:$E, MATCH($A238, 'KZ-normalized'!$A:$A, 0))&gt;0, -(16*INDEX('KZ-normalized'!$D:$D, MATCH($A238, 'KZ-normalized'!$A:$A, 0))-INDEX('KZ-normalized'!$E:$E, MATCH($A238, 'KZ-normalized'!$A:$A, 0))), 0), 0))+(IFERROR(IF(16*INDEX('UZ-normalized'!$D:$D, MATCH($A238, 'UZ-normalized'!$A:$A, 0))-INDEX('UZ-normalized'!$E:$E, MATCH($A238, 'UZ-normalized'!$A:$A, 0))&gt;0, -(16*INDEX('UZ-normalized'!$D:$D, MATCH($A238, 'UZ-normalized'!$A:$A, 0))-INDEX('UZ-normalized'!$E:$E, MATCH($A238, 'UZ-normalized'!$A:$A, 0))), 0), 0)))</f>
        <v>-136.6</v>
      </c>
      <c r="AE238" s="6">
        <f>MIN(0, N238+(IFERROR(IF(17*INDEX('UA-normalized'!$D:$D, MATCH($A238, 'UA-normalized'!$A:$A, 0))-INDEX('UA-normalized'!$E:$E, MATCH($A238, 'UA-normalized'!$A:$A, 0))&gt;0, -(17*INDEX('UA-normalized'!$D:$D, MATCH($A238, 'UA-normalized'!$A:$A, 0))-INDEX('UA-normalized'!$E:$E, MATCH($A238, 'UA-normalized'!$A:$A, 0))), 0), 0))+(IFERROR(IF(17*INDEX('KZ-normalized'!$D:$D, MATCH($A238, 'KZ-normalized'!$A:$A, 0))-INDEX('KZ-normalized'!$E:$E, MATCH($A238, 'KZ-normalized'!$A:$A, 0))&gt;0, -(17*INDEX('KZ-normalized'!$D:$D, MATCH($A238, 'KZ-normalized'!$A:$A, 0))-INDEX('KZ-normalized'!$E:$E, MATCH($A238, 'KZ-normalized'!$A:$A, 0))), 0), 0))+(IFERROR(IF(17*INDEX('UZ-normalized'!$D:$D, MATCH($A238, 'UZ-normalized'!$A:$A, 0))-INDEX('UZ-normalized'!$E:$E, MATCH($A238, 'UZ-normalized'!$A:$A, 0))&gt;0, -(17*INDEX('UZ-normalized'!$D:$D, MATCH($A238, 'UZ-normalized'!$A:$A, 0))-INDEX('UZ-normalized'!$E:$E, MATCH($A238, 'UZ-normalized'!$A:$A, 0))), 0), 0)))</f>
        <v>-145.19999999999999</v>
      </c>
      <c r="AF238" s="6">
        <f>MIN(0, N238+(IFERROR(IF(18*INDEX('UA-normalized'!$D:$D, MATCH($A238, 'UA-normalized'!$A:$A, 0))-INDEX('UA-normalized'!$E:$E, MATCH($A238, 'UA-normalized'!$A:$A, 0))&gt;0, -(18*INDEX('UA-normalized'!$D:$D, MATCH($A238, 'UA-normalized'!$A:$A, 0))-INDEX('UA-normalized'!$E:$E, MATCH($A238, 'UA-normalized'!$A:$A, 0))), 0), 0))+(IFERROR(IF(18*INDEX('KZ-normalized'!$D:$D, MATCH($A238, 'KZ-normalized'!$A:$A, 0))-INDEX('KZ-normalized'!$E:$E, MATCH($A238, 'KZ-normalized'!$A:$A, 0))&gt;0, -(18*INDEX('KZ-normalized'!$D:$D, MATCH($A238, 'KZ-normalized'!$A:$A, 0))-INDEX('KZ-normalized'!$E:$E, MATCH($A238, 'KZ-normalized'!$A:$A, 0))), 0), 0))+(IFERROR(IF(18*INDEX('UZ-normalized'!$D:$D, MATCH($A238, 'UZ-normalized'!$A:$A, 0))-INDEX('UZ-normalized'!$E:$E, MATCH($A238, 'UZ-normalized'!$A:$A, 0))&gt;0, -(18*INDEX('UZ-normalized'!$D:$D, MATCH($A238, 'UZ-normalized'!$A:$A, 0))-INDEX('UZ-normalized'!$E:$E, MATCH($A238, 'UZ-normalized'!$A:$A, 0))), 0), 0)))</f>
        <v>-153.79999999999998</v>
      </c>
      <c r="AG238" s="6">
        <f>MIN(0, N238+(IFERROR(IF(19*INDEX('UA-normalized'!$D:$D, MATCH($A238, 'UA-normalized'!$A:$A, 0))-INDEX('UA-normalized'!$E:$E, MATCH($A238, 'UA-normalized'!$A:$A, 0))&gt;0, -(19*INDEX('UA-normalized'!$D:$D, MATCH($A238, 'UA-normalized'!$A:$A, 0))-INDEX('UA-normalized'!$E:$E, MATCH($A238, 'UA-normalized'!$A:$A, 0))), 0), 0))+(IFERROR(IF(19*INDEX('KZ-normalized'!$D:$D, MATCH($A238, 'KZ-normalized'!$A:$A, 0))-INDEX('KZ-normalized'!$E:$E, MATCH($A238, 'KZ-normalized'!$A:$A, 0))&gt;0, -(19*INDEX('KZ-normalized'!$D:$D, MATCH($A238, 'KZ-normalized'!$A:$A, 0))-INDEX('KZ-normalized'!$E:$E, MATCH($A238, 'KZ-normalized'!$A:$A, 0))), 0), 0))+(IFERROR(IF(19*INDEX('UZ-normalized'!$D:$D, MATCH($A238, 'UZ-normalized'!$A:$A, 0))-INDEX('UZ-normalized'!$E:$E, MATCH($A238, 'UZ-normalized'!$A:$A, 0))&gt;0, -(19*INDEX('UZ-normalized'!$D:$D, MATCH($A238, 'UZ-normalized'!$A:$A, 0))-INDEX('UZ-normalized'!$E:$E, MATCH($A238, 'UZ-normalized'!$A:$A, 0))), 0), 0)))</f>
        <v>-162.4</v>
      </c>
      <c r="AH238" s="6">
        <f>MIN(0, N238+(IFERROR(IF(20*INDEX('UA-normalized'!$D:$D, MATCH($A238, 'UA-normalized'!$A:$A, 0))-INDEX('UA-normalized'!$E:$E, MATCH($A238, 'UA-normalized'!$A:$A, 0))&gt;0, -(20*INDEX('UA-normalized'!$D:$D, MATCH($A238, 'UA-normalized'!$A:$A, 0))-INDEX('UA-normalized'!$E:$E, MATCH($A238, 'UA-normalized'!$A:$A, 0))), 0), 0))+(IFERROR(IF(20*INDEX('KZ-normalized'!$D:$D, MATCH($A238, 'KZ-normalized'!$A:$A, 0))-INDEX('KZ-normalized'!$E:$E, MATCH($A238, 'KZ-normalized'!$A:$A, 0))&gt;0, -(20*INDEX('KZ-normalized'!$D:$D, MATCH($A238, 'KZ-normalized'!$A:$A, 0))-INDEX('KZ-normalized'!$E:$E, MATCH($A238, 'KZ-normalized'!$A:$A, 0))), 0), 0))+(IFERROR(IF(20*INDEX('UZ-normalized'!$D:$D, MATCH($A238, 'UZ-normalized'!$A:$A, 0))-INDEX('UZ-normalized'!$E:$E, MATCH($A238, 'UZ-normalized'!$A:$A, 0))&gt;0, -(20*INDEX('UZ-normalized'!$D:$D, MATCH($A238, 'UZ-normalized'!$A:$A, 0))-INDEX('UZ-normalized'!$E:$E, MATCH($A238, 'UZ-normalized'!$A:$A, 0))), 0), 0)))</f>
        <v>-171</v>
      </c>
      <c r="AI238" s="6">
        <f>MIN(0, N238+(IFERROR(IF(21*INDEX('UA-normalized'!$D:$D, MATCH($A238, 'UA-normalized'!$A:$A, 0))-INDEX('UA-normalized'!$E:$E, MATCH($A238, 'UA-normalized'!$A:$A, 0))&gt;0, -(21*INDEX('UA-normalized'!$D:$D, MATCH($A238, 'UA-normalized'!$A:$A, 0))-INDEX('UA-normalized'!$E:$E, MATCH($A238, 'UA-normalized'!$A:$A, 0))), 0), 0))+(IFERROR(IF(21*INDEX('KZ-normalized'!$D:$D, MATCH($A238, 'KZ-normalized'!$A:$A, 0))-INDEX('KZ-normalized'!$E:$E, MATCH($A238, 'KZ-normalized'!$A:$A, 0))&gt;0, -(21*INDEX('KZ-normalized'!$D:$D, MATCH($A238, 'KZ-normalized'!$A:$A, 0))-INDEX('KZ-normalized'!$E:$E, MATCH($A238, 'KZ-normalized'!$A:$A, 0))), 0), 0))+(IFERROR(IF(21*INDEX('UZ-normalized'!$D:$D, MATCH($A238, 'UZ-normalized'!$A:$A, 0))-INDEX('UZ-normalized'!$E:$E, MATCH($A238, 'UZ-normalized'!$A:$A, 0))&gt;0, -(21*INDEX('UZ-normalized'!$D:$D, MATCH($A238, 'UZ-normalized'!$A:$A, 0))-INDEX('UZ-normalized'!$E:$E, MATCH($A238, 'UZ-normalized'!$A:$A, 0))), 0), 0)))</f>
        <v>-179.6</v>
      </c>
      <c r="AJ238" s="6">
        <f>MIN(0, N238+(IFERROR(IF(22*INDEX('UA-normalized'!$D:$D, MATCH($A238, 'UA-normalized'!$A:$A, 0))-INDEX('UA-normalized'!$E:$E, MATCH($A238, 'UA-normalized'!$A:$A, 0))&gt;0, -(22*INDEX('UA-normalized'!$D:$D, MATCH($A238, 'UA-normalized'!$A:$A, 0))-INDEX('UA-normalized'!$E:$E, MATCH($A238, 'UA-normalized'!$A:$A, 0))), 0), 0))+(IFERROR(IF(22*INDEX('KZ-normalized'!$D:$D, MATCH($A238, 'KZ-normalized'!$A:$A, 0))-INDEX('KZ-normalized'!$E:$E, MATCH($A238, 'KZ-normalized'!$A:$A, 0))&gt;0, -(22*INDEX('KZ-normalized'!$D:$D, MATCH($A238, 'KZ-normalized'!$A:$A, 0))-INDEX('KZ-normalized'!$E:$E, MATCH($A238, 'KZ-normalized'!$A:$A, 0))), 0), 0))+(IFERROR(IF(22*INDEX('UZ-normalized'!$D:$D, MATCH($A238, 'UZ-normalized'!$A:$A, 0))-INDEX('UZ-normalized'!$E:$E, MATCH($A238, 'UZ-normalized'!$A:$A, 0))&gt;0, -(22*INDEX('UZ-normalized'!$D:$D, MATCH($A238, 'UZ-normalized'!$A:$A, 0))-INDEX('UZ-normalized'!$E:$E, MATCH($A238, 'UZ-normalized'!$A:$A, 0))), 0), 0)))</f>
        <v>-188.2</v>
      </c>
      <c r="AK238" s="6">
        <f>MIN(0, N238+(IFERROR(IF(23*INDEX('UA-normalized'!$D:$D, MATCH($A238, 'UA-normalized'!$A:$A, 0))-INDEX('UA-normalized'!$E:$E, MATCH($A238, 'UA-normalized'!$A:$A, 0))&gt;0, -(23*INDEX('UA-normalized'!$D:$D, MATCH($A238, 'UA-normalized'!$A:$A, 0))-INDEX('UA-normalized'!$E:$E, MATCH($A238, 'UA-normalized'!$A:$A, 0))), 0), 0))+(IFERROR(IF(23*INDEX('KZ-normalized'!$D:$D, MATCH($A238, 'KZ-normalized'!$A:$A, 0))-INDEX('KZ-normalized'!$E:$E, MATCH($A238, 'KZ-normalized'!$A:$A, 0))&gt;0, -(23*INDEX('KZ-normalized'!$D:$D, MATCH($A238, 'KZ-normalized'!$A:$A, 0))-INDEX('KZ-normalized'!$E:$E, MATCH($A238, 'KZ-normalized'!$A:$A, 0))), 0), 0))+(IFERROR(IF(23*INDEX('UZ-normalized'!$D:$D, MATCH($A238, 'UZ-normalized'!$A:$A, 0))-INDEX('UZ-normalized'!$E:$E, MATCH($A238, 'UZ-normalized'!$A:$A, 0))&gt;0, -(23*INDEX('UZ-normalized'!$D:$D, MATCH($A238, 'UZ-normalized'!$A:$A, 0))-INDEX('UZ-normalized'!$E:$E, MATCH($A238, 'UZ-normalized'!$A:$A, 0))), 0), 0)))</f>
        <v>-196.79999999999998</v>
      </c>
      <c r="AL238" s="6">
        <f>MIN(0, N238+(IFERROR(IF(24*INDEX('UA-normalized'!$D:$D, MATCH($A238, 'UA-normalized'!$A:$A, 0))-INDEX('UA-normalized'!$E:$E, MATCH($A238, 'UA-normalized'!$A:$A, 0))&gt;0, -(24*INDEX('UA-normalized'!$D:$D, MATCH($A238, 'UA-normalized'!$A:$A, 0))-INDEX('UA-normalized'!$E:$E, MATCH($A238, 'UA-normalized'!$A:$A, 0))), 0), 0))+(IFERROR(IF(24*INDEX('KZ-normalized'!$D:$D, MATCH($A238, 'KZ-normalized'!$A:$A, 0))-INDEX('KZ-normalized'!$E:$E, MATCH($A238, 'KZ-normalized'!$A:$A, 0))&gt;0, -(24*INDEX('KZ-normalized'!$D:$D, MATCH($A238, 'KZ-normalized'!$A:$A, 0))-INDEX('KZ-normalized'!$E:$E, MATCH($A238, 'KZ-normalized'!$A:$A, 0))), 0), 0))+(IFERROR(IF(24*INDEX('UZ-normalized'!$D:$D, MATCH($A238, 'UZ-normalized'!$A:$A, 0))-INDEX('UZ-normalized'!$E:$E, MATCH($A238, 'UZ-normalized'!$A:$A, 0))&gt;0, -(24*INDEX('UZ-normalized'!$D:$D, MATCH($A238, 'UZ-normalized'!$A:$A, 0))-INDEX('UZ-normalized'!$E:$E, MATCH($A238, 'UZ-normalized'!$A:$A, 0))), 0), 0)))</f>
        <v>-205.39999999999998</v>
      </c>
      <c r="AM238" s="6">
        <f>MIN(0, N238+(IFERROR(IF(25*INDEX('UA-normalized'!$D:$D, MATCH($A238, 'UA-normalized'!$A:$A, 0))-INDEX('UA-normalized'!$E:$E, MATCH($A238, 'UA-normalized'!$A:$A, 0))&gt;0, -(25*INDEX('UA-normalized'!$D:$D, MATCH($A238, 'UA-normalized'!$A:$A, 0))-INDEX('UA-normalized'!$E:$E, MATCH($A238, 'UA-normalized'!$A:$A, 0))), 0), 0))+(IFERROR(IF(25*INDEX('KZ-normalized'!$D:$D, MATCH($A238, 'KZ-normalized'!$A:$A, 0))-INDEX('KZ-normalized'!$E:$E, MATCH($A238, 'KZ-normalized'!$A:$A, 0))&gt;0, -(25*INDEX('KZ-normalized'!$D:$D, MATCH($A238, 'KZ-normalized'!$A:$A, 0))-INDEX('KZ-normalized'!$E:$E, MATCH($A238, 'KZ-normalized'!$A:$A, 0))), 0), 0))+(IFERROR(IF(25*INDEX('UZ-normalized'!$D:$D, MATCH($A238, 'UZ-normalized'!$A:$A, 0))-INDEX('UZ-normalized'!$E:$E, MATCH($A238, 'UZ-normalized'!$A:$A, 0))&gt;0, -(25*INDEX('UZ-normalized'!$D:$D, MATCH($A238, 'UZ-normalized'!$A:$A, 0))-INDEX('UZ-normalized'!$E:$E, MATCH($A238, 'UZ-normalized'!$A:$A, 0))), 0), 0)))</f>
        <v>-214</v>
      </c>
      <c r="AN238" s="6">
        <f>MIN(0, N238+(IFERROR(IF(26*INDEX('UA-normalized'!$D:$D, MATCH($A238, 'UA-normalized'!$A:$A, 0))-INDEX('UA-normalized'!$E:$E, MATCH($A238, 'UA-normalized'!$A:$A, 0))&gt;0, -(26*INDEX('UA-normalized'!$D:$D, MATCH($A238, 'UA-normalized'!$A:$A, 0))-INDEX('UA-normalized'!$E:$E, MATCH($A238, 'UA-normalized'!$A:$A, 0))), 0), 0))+(IFERROR(IF(26*INDEX('KZ-normalized'!$D:$D, MATCH($A238, 'KZ-normalized'!$A:$A, 0))-INDEX('KZ-normalized'!$E:$E, MATCH($A238, 'KZ-normalized'!$A:$A, 0))&gt;0, -(26*INDEX('KZ-normalized'!$D:$D, MATCH($A238, 'KZ-normalized'!$A:$A, 0))-INDEX('KZ-normalized'!$E:$E, MATCH($A238, 'KZ-normalized'!$A:$A, 0))), 0), 0))+(IFERROR(IF(26*INDEX('UZ-normalized'!$D:$D, MATCH($A238, 'UZ-normalized'!$A:$A, 0))-INDEX('UZ-normalized'!$E:$E, MATCH($A238, 'UZ-normalized'!$A:$A, 0))&gt;0, -(26*INDEX('UZ-normalized'!$D:$D, MATCH($A238, 'UZ-normalized'!$A:$A, 0))-INDEX('UZ-normalized'!$E:$E, MATCH($A238, 'UZ-normalized'!$A:$A, 0))), 0), 0)))</f>
        <v>-222.6</v>
      </c>
      <c r="AO238" s="6">
        <f>MIN(0, N238+(IFERROR(IF(27*INDEX('UA-normalized'!$D:$D, MATCH($A238, 'UA-normalized'!$A:$A, 0))-INDEX('UA-normalized'!$E:$E, MATCH($A238, 'UA-normalized'!$A:$A, 0))&gt;0, -(27*INDEX('UA-normalized'!$D:$D, MATCH($A238, 'UA-normalized'!$A:$A, 0))-INDEX('UA-normalized'!$E:$E, MATCH($A238, 'UA-normalized'!$A:$A, 0))), 0), 0))+(IFERROR(IF(27*INDEX('KZ-normalized'!$D:$D, MATCH($A238, 'KZ-normalized'!$A:$A, 0))-INDEX('KZ-normalized'!$E:$E, MATCH($A238, 'KZ-normalized'!$A:$A, 0))&gt;0, -(27*INDEX('KZ-normalized'!$D:$D, MATCH($A238, 'KZ-normalized'!$A:$A, 0))-INDEX('KZ-normalized'!$E:$E, MATCH($A238, 'KZ-normalized'!$A:$A, 0))), 0), 0))+(IFERROR(IF(27*INDEX('UZ-normalized'!$D:$D, MATCH($A238, 'UZ-normalized'!$A:$A, 0))-INDEX('UZ-normalized'!$E:$E, MATCH($A238, 'UZ-normalized'!$A:$A, 0))&gt;0, -(27*INDEX('UZ-normalized'!$D:$D, MATCH($A238, 'UZ-normalized'!$A:$A, 0))-INDEX('UZ-normalized'!$E:$E, MATCH($A238, 'UZ-normalized'!$A:$A, 0))), 0), 0)))</f>
        <v>-231.2</v>
      </c>
      <c r="AP238" s="6">
        <f>MIN(0, N238+(IFERROR(IF(28*INDEX('UA-normalized'!$D:$D, MATCH($A238, 'UA-normalized'!$A:$A, 0))-INDEX('UA-normalized'!$E:$E, MATCH($A238, 'UA-normalized'!$A:$A, 0))&gt;0, -(28*INDEX('UA-normalized'!$D:$D, MATCH($A238, 'UA-normalized'!$A:$A, 0))-INDEX('UA-normalized'!$E:$E, MATCH($A238, 'UA-normalized'!$A:$A, 0))), 0), 0))+(IFERROR(IF(28*INDEX('KZ-normalized'!$D:$D, MATCH($A238, 'KZ-normalized'!$A:$A, 0))-INDEX('KZ-normalized'!$E:$E, MATCH($A238, 'KZ-normalized'!$A:$A, 0))&gt;0, -(28*INDEX('KZ-normalized'!$D:$D, MATCH($A238, 'KZ-normalized'!$A:$A, 0))-INDEX('KZ-normalized'!$E:$E, MATCH($A238, 'KZ-normalized'!$A:$A, 0))), 0), 0))+(IFERROR(IF(28*INDEX('UZ-normalized'!$D:$D, MATCH($A238, 'UZ-normalized'!$A:$A, 0))-INDEX('UZ-normalized'!$E:$E, MATCH($A238, 'UZ-normalized'!$A:$A, 0))&gt;0, -(28*INDEX('UZ-normalized'!$D:$D, MATCH($A238, 'UZ-normalized'!$A:$A, 0))-INDEX('UZ-normalized'!$E:$E, MATCH($A238, 'UZ-normalized'!$A:$A, 0))), 0), 0)))</f>
        <v>-239.79999999999998</v>
      </c>
      <c r="AQ238" s="6">
        <f>MIN(0, N238+(IFERROR(IF(29*INDEX('UA-normalized'!$D:$D, MATCH($A238, 'UA-normalized'!$A:$A, 0))-INDEX('UA-normalized'!$E:$E, MATCH($A238, 'UA-normalized'!$A:$A, 0))&gt;0, -(29*INDEX('UA-normalized'!$D:$D, MATCH($A238, 'UA-normalized'!$A:$A, 0))-INDEX('UA-normalized'!$E:$E, MATCH($A238, 'UA-normalized'!$A:$A, 0))), 0), 0))+(IFERROR(IF(29*INDEX('KZ-normalized'!$D:$D, MATCH($A238, 'KZ-normalized'!$A:$A, 0))-INDEX('KZ-normalized'!$E:$E, MATCH($A238, 'KZ-normalized'!$A:$A, 0))&gt;0, -(29*INDEX('KZ-normalized'!$D:$D, MATCH($A238, 'KZ-normalized'!$A:$A, 0))-INDEX('KZ-normalized'!$E:$E, MATCH($A238, 'KZ-normalized'!$A:$A, 0))), 0), 0))+(IFERROR(IF(29*INDEX('UZ-normalized'!$D:$D, MATCH($A238, 'UZ-normalized'!$A:$A, 0))-INDEX('UZ-normalized'!$E:$E, MATCH($A238, 'UZ-normalized'!$A:$A, 0))&gt;0, -(29*INDEX('UZ-normalized'!$D:$D, MATCH($A238, 'UZ-normalized'!$A:$A, 0))-INDEX('UZ-normalized'!$E:$E, MATCH($A238, 'UZ-normalized'!$A:$A, 0))), 0), 0)))</f>
        <v>-248.39999999999998</v>
      </c>
      <c r="AR238" s="6">
        <f>MIN(0, N238+(IFERROR(IF(30*INDEX('UA-normalized'!$D:$D, MATCH($A238, 'UA-normalized'!$A:$A, 0))-INDEX('UA-normalized'!$E:$E, MATCH($A238, 'UA-normalized'!$A:$A, 0))&gt;0, -(30*INDEX('UA-normalized'!$D:$D, MATCH($A238, 'UA-normalized'!$A:$A, 0))-INDEX('UA-normalized'!$E:$E, MATCH($A238, 'UA-normalized'!$A:$A, 0))), 0), 0))+(IFERROR(IF(30*INDEX('KZ-normalized'!$D:$D, MATCH($A238, 'KZ-normalized'!$A:$A, 0))-INDEX('KZ-normalized'!$E:$E, MATCH($A238, 'KZ-normalized'!$A:$A, 0))&gt;0, -(30*INDEX('KZ-normalized'!$D:$D, MATCH($A238, 'KZ-normalized'!$A:$A, 0))-INDEX('KZ-normalized'!$E:$E, MATCH($A238, 'KZ-normalized'!$A:$A, 0))), 0), 0))+(IFERROR(IF(30*INDEX('UZ-normalized'!$D:$D, MATCH($A238, 'UZ-normalized'!$A:$A, 0))-INDEX('UZ-normalized'!$E:$E, MATCH($A238, 'UZ-normalized'!$A:$A, 0))&gt;0, -(30*INDEX('UZ-normalized'!$D:$D, MATCH($A238, 'UZ-normalized'!$A:$A, 0))-INDEX('UZ-normalized'!$E:$E, MATCH($A238, 'UZ-normalized'!$A:$A, 0))), 0), 0)))</f>
        <v>-257</v>
      </c>
    </row>
    <row r="239" spans="1:44" x14ac:dyDescent="0.25">
      <c r="A239" s="8" t="s">
        <v>563</v>
      </c>
      <c r="B239" s="8" t="s">
        <v>492</v>
      </c>
      <c r="C239" s="8" t="s">
        <v>555</v>
      </c>
      <c r="D239" s="8" t="s">
        <v>564</v>
      </c>
      <c r="G239">
        <v>-30</v>
      </c>
      <c r="N239">
        <f t="shared" si="3"/>
        <v>-30</v>
      </c>
      <c r="O239" s="6">
        <f>MIN(0, N239+(IFERROR(IF(1*INDEX('UA-normalized'!$D:$D, MATCH($A239, 'UA-normalized'!$A:$A, 0))-INDEX('UA-normalized'!$E:$E, MATCH($A239, 'UA-normalized'!$A:$A, 0))&gt;0, -(1*INDEX('UA-normalized'!$D:$D, MATCH($A239, 'UA-normalized'!$A:$A, 0))-INDEX('UA-normalized'!$E:$E, MATCH($A239, 'UA-normalized'!$A:$A, 0))), 0), 0))+(IFERROR(IF(1*INDEX('KZ-normalized'!$D:$D, MATCH($A239, 'KZ-normalized'!$A:$A, 0))-INDEX('KZ-normalized'!$E:$E, MATCH($A239, 'KZ-normalized'!$A:$A, 0))&gt;0, -(1*INDEX('KZ-normalized'!$D:$D, MATCH($A239, 'KZ-normalized'!$A:$A, 0))-INDEX('KZ-normalized'!$E:$E, MATCH($A239, 'KZ-normalized'!$A:$A, 0))), 0), 0))+(IFERROR(IF(1*INDEX('UZ-normalized'!$D:$D, MATCH($A239, 'UZ-normalized'!$A:$A, 0))-INDEX('UZ-normalized'!$E:$E, MATCH($A239, 'UZ-normalized'!$A:$A, 0))&gt;0, -(1*INDEX('UZ-normalized'!$D:$D, MATCH($A239, 'UZ-normalized'!$A:$A, 0))-INDEX('UZ-normalized'!$E:$E, MATCH($A239, 'UZ-normalized'!$A:$A, 0))), 0), 0)))</f>
        <v>-30</v>
      </c>
      <c r="P239" s="6">
        <f>MIN(0, N239+(IFERROR(IF(2*INDEX('UA-normalized'!$D:$D, MATCH($A239, 'UA-normalized'!$A:$A, 0))-INDEX('UA-normalized'!$E:$E, MATCH($A239, 'UA-normalized'!$A:$A, 0))&gt;0, -(2*INDEX('UA-normalized'!$D:$D, MATCH($A239, 'UA-normalized'!$A:$A, 0))-INDEX('UA-normalized'!$E:$E, MATCH($A239, 'UA-normalized'!$A:$A, 0))), 0), 0))+(IFERROR(IF(2*INDEX('KZ-normalized'!$D:$D, MATCH($A239, 'KZ-normalized'!$A:$A, 0))-INDEX('KZ-normalized'!$E:$E, MATCH($A239, 'KZ-normalized'!$A:$A, 0))&gt;0, -(2*INDEX('KZ-normalized'!$D:$D, MATCH($A239, 'KZ-normalized'!$A:$A, 0))-INDEX('KZ-normalized'!$E:$E, MATCH($A239, 'KZ-normalized'!$A:$A, 0))), 0), 0))+(IFERROR(IF(2*INDEX('UZ-normalized'!$D:$D, MATCH($A239, 'UZ-normalized'!$A:$A, 0))-INDEX('UZ-normalized'!$E:$E, MATCH($A239, 'UZ-normalized'!$A:$A, 0))&gt;0, -(2*INDEX('UZ-normalized'!$D:$D, MATCH($A239, 'UZ-normalized'!$A:$A, 0))-INDEX('UZ-normalized'!$E:$E, MATCH($A239, 'UZ-normalized'!$A:$A, 0))), 0), 0)))</f>
        <v>-30</v>
      </c>
      <c r="Q239" s="6">
        <f>MIN(0, N239+(IFERROR(IF(3*INDEX('UA-normalized'!$D:$D, MATCH($A239, 'UA-normalized'!$A:$A, 0))-INDEX('UA-normalized'!$E:$E, MATCH($A239, 'UA-normalized'!$A:$A, 0))&gt;0, -(3*INDEX('UA-normalized'!$D:$D, MATCH($A239, 'UA-normalized'!$A:$A, 0))-INDEX('UA-normalized'!$E:$E, MATCH($A239, 'UA-normalized'!$A:$A, 0))), 0), 0))+(IFERROR(IF(3*INDEX('KZ-normalized'!$D:$D, MATCH($A239, 'KZ-normalized'!$A:$A, 0))-INDEX('KZ-normalized'!$E:$E, MATCH($A239, 'KZ-normalized'!$A:$A, 0))&gt;0, -(3*INDEX('KZ-normalized'!$D:$D, MATCH($A239, 'KZ-normalized'!$A:$A, 0))-INDEX('KZ-normalized'!$E:$E, MATCH($A239, 'KZ-normalized'!$A:$A, 0))), 0), 0))+(IFERROR(IF(3*INDEX('UZ-normalized'!$D:$D, MATCH($A239, 'UZ-normalized'!$A:$A, 0))-INDEX('UZ-normalized'!$E:$E, MATCH($A239, 'UZ-normalized'!$A:$A, 0))&gt;0, -(3*INDEX('UZ-normalized'!$D:$D, MATCH($A239, 'UZ-normalized'!$A:$A, 0))-INDEX('UZ-normalized'!$E:$E, MATCH($A239, 'UZ-normalized'!$A:$A, 0))), 0), 0)))</f>
        <v>-30</v>
      </c>
      <c r="R239" s="6">
        <f>MIN(0, N239+(IFERROR(IF(4*INDEX('UA-normalized'!$D:$D, MATCH($A239, 'UA-normalized'!$A:$A, 0))-INDEX('UA-normalized'!$E:$E, MATCH($A239, 'UA-normalized'!$A:$A, 0))&gt;0, -(4*INDEX('UA-normalized'!$D:$D, MATCH($A239, 'UA-normalized'!$A:$A, 0))-INDEX('UA-normalized'!$E:$E, MATCH($A239, 'UA-normalized'!$A:$A, 0))), 0), 0))+(IFERROR(IF(4*INDEX('KZ-normalized'!$D:$D, MATCH($A239, 'KZ-normalized'!$A:$A, 0))-INDEX('KZ-normalized'!$E:$E, MATCH($A239, 'KZ-normalized'!$A:$A, 0))&gt;0, -(4*INDEX('KZ-normalized'!$D:$D, MATCH($A239, 'KZ-normalized'!$A:$A, 0))-INDEX('KZ-normalized'!$E:$E, MATCH($A239, 'KZ-normalized'!$A:$A, 0))), 0), 0))+(IFERROR(IF(4*INDEX('UZ-normalized'!$D:$D, MATCH($A239, 'UZ-normalized'!$A:$A, 0))-INDEX('UZ-normalized'!$E:$E, MATCH($A239, 'UZ-normalized'!$A:$A, 0))&gt;0, -(4*INDEX('UZ-normalized'!$D:$D, MATCH($A239, 'UZ-normalized'!$A:$A, 0))-INDEX('UZ-normalized'!$E:$E, MATCH($A239, 'UZ-normalized'!$A:$A, 0))), 0), 0)))</f>
        <v>-30</v>
      </c>
      <c r="S239" s="6">
        <f>MIN(0, N239+(IFERROR(IF(5*INDEX('UA-normalized'!$D:$D, MATCH($A239, 'UA-normalized'!$A:$A, 0))-INDEX('UA-normalized'!$E:$E, MATCH($A239, 'UA-normalized'!$A:$A, 0))&gt;0, -(5*INDEX('UA-normalized'!$D:$D, MATCH($A239, 'UA-normalized'!$A:$A, 0))-INDEX('UA-normalized'!$E:$E, MATCH($A239, 'UA-normalized'!$A:$A, 0))), 0), 0))+(IFERROR(IF(5*INDEX('KZ-normalized'!$D:$D, MATCH($A239, 'KZ-normalized'!$A:$A, 0))-INDEX('KZ-normalized'!$E:$E, MATCH($A239, 'KZ-normalized'!$A:$A, 0))&gt;0, -(5*INDEX('KZ-normalized'!$D:$D, MATCH($A239, 'KZ-normalized'!$A:$A, 0))-INDEX('KZ-normalized'!$E:$E, MATCH($A239, 'KZ-normalized'!$A:$A, 0))), 0), 0))+(IFERROR(IF(5*INDEX('UZ-normalized'!$D:$D, MATCH($A239, 'UZ-normalized'!$A:$A, 0))-INDEX('UZ-normalized'!$E:$E, MATCH($A239, 'UZ-normalized'!$A:$A, 0))&gt;0, -(5*INDEX('UZ-normalized'!$D:$D, MATCH($A239, 'UZ-normalized'!$A:$A, 0))-INDEX('UZ-normalized'!$E:$E, MATCH($A239, 'UZ-normalized'!$A:$A, 0))), 0), 0)))</f>
        <v>-30</v>
      </c>
      <c r="T239" s="6">
        <f>MIN(0, N239+(IFERROR(IF(6*INDEX('UA-normalized'!$D:$D, MATCH($A239, 'UA-normalized'!$A:$A, 0))-INDEX('UA-normalized'!$E:$E, MATCH($A239, 'UA-normalized'!$A:$A, 0))&gt;0, -(6*INDEX('UA-normalized'!$D:$D, MATCH($A239, 'UA-normalized'!$A:$A, 0))-INDEX('UA-normalized'!$E:$E, MATCH($A239, 'UA-normalized'!$A:$A, 0))), 0), 0))+(IFERROR(IF(6*INDEX('KZ-normalized'!$D:$D, MATCH($A239, 'KZ-normalized'!$A:$A, 0))-INDEX('KZ-normalized'!$E:$E, MATCH($A239, 'KZ-normalized'!$A:$A, 0))&gt;0, -(6*INDEX('KZ-normalized'!$D:$D, MATCH($A239, 'KZ-normalized'!$A:$A, 0))-INDEX('KZ-normalized'!$E:$E, MATCH($A239, 'KZ-normalized'!$A:$A, 0))), 0), 0))+(IFERROR(IF(6*INDEX('UZ-normalized'!$D:$D, MATCH($A239, 'UZ-normalized'!$A:$A, 0))-INDEX('UZ-normalized'!$E:$E, MATCH($A239, 'UZ-normalized'!$A:$A, 0))&gt;0, -(6*INDEX('UZ-normalized'!$D:$D, MATCH($A239, 'UZ-normalized'!$A:$A, 0))-INDEX('UZ-normalized'!$E:$E, MATCH($A239, 'UZ-normalized'!$A:$A, 0))), 0), 0)))</f>
        <v>-30</v>
      </c>
      <c r="U239" s="6">
        <f>MIN(0, N239+(IFERROR(IF(7*INDEX('UA-normalized'!$D:$D, MATCH($A239, 'UA-normalized'!$A:$A, 0))-INDEX('UA-normalized'!$E:$E, MATCH($A239, 'UA-normalized'!$A:$A, 0))&gt;0, -(7*INDEX('UA-normalized'!$D:$D, MATCH($A239, 'UA-normalized'!$A:$A, 0))-INDEX('UA-normalized'!$E:$E, MATCH($A239, 'UA-normalized'!$A:$A, 0))), 0), 0))+(IFERROR(IF(7*INDEX('KZ-normalized'!$D:$D, MATCH($A239, 'KZ-normalized'!$A:$A, 0))-INDEX('KZ-normalized'!$E:$E, MATCH($A239, 'KZ-normalized'!$A:$A, 0))&gt;0, -(7*INDEX('KZ-normalized'!$D:$D, MATCH($A239, 'KZ-normalized'!$A:$A, 0))-INDEX('KZ-normalized'!$E:$E, MATCH($A239, 'KZ-normalized'!$A:$A, 0))), 0), 0))+(IFERROR(IF(7*INDEX('UZ-normalized'!$D:$D, MATCH($A239, 'UZ-normalized'!$A:$A, 0))-INDEX('UZ-normalized'!$E:$E, MATCH($A239, 'UZ-normalized'!$A:$A, 0))&gt;0, -(7*INDEX('UZ-normalized'!$D:$D, MATCH($A239, 'UZ-normalized'!$A:$A, 0))-INDEX('UZ-normalized'!$E:$E, MATCH($A239, 'UZ-normalized'!$A:$A, 0))), 0), 0)))</f>
        <v>-37.200000000000003</v>
      </c>
      <c r="V239" s="6">
        <f>MIN(0, N239+(IFERROR(IF(8*INDEX('UA-normalized'!$D:$D, MATCH($A239, 'UA-normalized'!$A:$A, 0))-INDEX('UA-normalized'!$E:$E, MATCH($A239, 'UA-normalized'!$A:$A, 0))&gt;0, -(8*INDEX('UA-normalized'!$D:$D, MATCH($A239, 'UA-normalized'!$A:$A, 0))-INDEX('UA-normalized'!$E:$E, MATCH($A239, 'UA-normalized'!$A:$A, 0))), 0), 0))+(IFERROR(IF(8*INDEX('KZ-normalized'!$D:$D, MATCH($A239, 'KZ-normalized'!$A:$A, 0))-INDEX('KZ-normalized'!$E:$E, MATCH($A239, 'KZ-normalized'!$A:$A, 0))&gt;0, -(8*INDEX('KZ-normalized'!$D:$D, MATCH($A239, 'KZ-normalized'!$A:$A, 0))-INDEX('KZ-normalized'!$E:$E, MATCH($A239, 'KZ-normalized'!$A:$A, 0))), 0), 0))+(IFERROR(IF(8*INDEX('UZ-normalized'!$D:$D, MATCH($A239, 'UZ-normalized'!$A:$A, 0))-INDEX('UZ-normalized'!$E:$E, MATCH($A239, 'UZ-normalized'!$A:$A, 0))&gt;0, -(8*INDEX('UZ-normalized'!$D:$D, MATCH($A239, 'UZ-normalized'!$A:$A, 0))-INDEX('UZ-normalized'!$E:$E, MATCH($A239, 'UZ-normalized'!$A:$A, 0))), 0), 0)))</f>
        <v>-46.8</v>
      </c>
      <c r="W239" s="6">
        <f>MIN(0, N239+(IFERROR(IF(9*INDEX('UA-normalized'!$D:$D, MATCH($A239, 'UA-normalized'!$A:$A, 0))-INDEX('UA-normalized'!$E:$E, MATCH($A239, 'UA-normalized'!$A:$A, 0))&gt;0, -(9*INDEX('UA-normalized'!$D:$D, MATCH($A239, 'UA-normalized'!$A:$A, 0))-INDEX('UA-normalized'!$E:$E, MATCH($A239, 'UA-normalized'!$A:$A, 0))), 0), 0))+(IFERROR(IF(9*INDEX('KZ-normalized'!$D:$D, MATCH($A239, 'KZ-normalized'!$A:$A, 0))-INDEX('KZ-normalized'!$E:$E, MATCH($A239, 'KZ-normalized'!$A:$A, 0))&gt;0, -(9*INDEX('KZ-normalized'!$D:$D, MATCH($A239, 'KZ-normalized'!$A:$A, 0))-INDEX('KZ-normalized'!$E:$E, MATCH($A239, 'KZ-normalized'!$A:$A, 0))), 0), 0))+(IFERROR(IF(9*INDEX('UZ-normalized'!$D:$D, MATCH($A239, 'UZ-normalized'!$A:$A, 0))-INDEX('UZ-normalized'!$E:$E, MATCH($A239, 'UZ-normalized'!$A:$A, 0))&gt;0, -(9*INDEX('UZ-normalized'!$D:$D, MATCH($A239, 'UZ-normalized'!$A:$A, 0))-INDEX('UZ-normalized'!$E:$E, MATCH($A239, 'UZ-normalized'!$A:$A, 0))), 0), 0)))</f>
        <v>-56.399999999999991</v>
      </c>
      <c r="X239" s="6">
        <f>MIN(0, N239+(IFERROR(IF(10*INDEX('UA-normalized'!$D:$D, MATCH($A239, 'UA-normalized'!$A:$A, 0))-INDEX('UA-normalized'!$E:$E, MATCH($A239, 'UA-normalized'!$A:$A, 0))&gt;0, -(10*INDEX('UA-normalized'!$D:$D, MATCH($A239, 'UA-normalized'!$A:$A, 0))-INDEX('UA-normalized'!$E:$E, MATCH($A239, 'UA-normalized'!$A:$A, 0))), 0), 0))+(IFERROR(IF(10*INDEX('KZ-normalized'!$D:$D, MATCH($A239, 'KZ-normalized'!$A:$A, 0))-INDEX('KZ-normalized'!$E:$E, MATCH($A239, 'KZ-normalized'!$A:$A, 0))&gt;0, -(10*INDEX('KZ-normalized'!$D:$D, MATCH($A239, 'KZ-normalized'!$A:$A, 0))-INDEX('KZ-normalized'!$E:$E, MATCH($A239, 'KZ-normalized'!$A:$A, 0))), 0), 0))+(IFERROR(IF(10*INDEX('UZ-normalized'!$D:$D, MATCH($A239, 'UZ-normalized'!$A:$A, 0))-INDEX('UZ-normalized'!$E:$E, MATCH($A239, 'UZ-normalized'!$A:$A, 0))&gt;0, -(10*INDEX('UZ-normalized'!$D:$D, MATCH($A239, 'UZ-normalized'!$A:$A, 0))-INDEX('UZ-normalized'!$E:$E, MATCH($A239, 'UZ-normalized'!$A:$A, 0))), 0), 0)))</f>
        <v>-66</v>
      </c>
      <c r="Y239" s="6">
        <f>MIN(0, N239+(IFERROR(IF(11*INDEX('UA-normalized'!$D:$D, MATCH($A239, 'UA-normalized'!$A:$A, 0))-INDEX('UA-normalized'!$E:$E, MATCH($A239, 'UA-normalized'!$A:$A, 0))&gt;0, -(11*INDEX('UA-normalized'!$D:$D, MATCH($A239, 'UA-normalized'!$A:$A, 0))-INDEX('UA-normalized'!$E:$E, MATCH($A239, 'UA-normalized'!$A:$A, 0))), 0), 0))+(IFERROR(IF(11*INDEX('KZ-normalized'!$D:$D, MATCH($A239, 'KZ-normalized'!$A:$A, 0))-INDEX('KZ-normalized'!$E:$E, MATCH($A239, 'KZ-normalized'!$A:$A, 0))&gt;0, -(11*INDEX('KZ-normalized'!$D:$D, MATCH($A239, 'KZ-normalized'!$A:$A, 0))-INDEX('KZ-normalized'!$E:$E, MATCH($A239, 'KZ-normalized'!$A:$A, 0))), 0), 0))+(IFERROR(IF(11*INDEX('UZ-normalized'!$D:$D, MATCH($A239, 'UZ-normalized'!$A:$A, 0))-INDEX('UZ-normalized'!$E:$E, MATCH($A239, 'UZ-normalized'!$A:$A, 0))&gt;0, -(11*INDEX('UZ-normalized'!$D:$D, MATCH($A239, 'UZ-normalized'!$A:$A, 0))-INDEX('UZ-normalized'!$E:$E, MATCH($A239, 'UZ-normalized'!$A:$A, 0))), 0), 0)))</f>
        <v>-75.599999999999994</v>
      </c>
      <c r="Z239" s="6">
        <f>MIN(0, N239+(IFERROR(IF(12*INDEX('UA-normalized'!$D:$D, MATCH($A239, 'UA-normalized'!$A:$A, 0))-INDEX('UA-normalized'!$E:$E, MATCH($A239, 'UA-normalized'!$A:$A, 0))&gt;0, -(12*INDEX('UA-normalized'!$D:$D, MATCH($A239, 'UA-normalized'!$A:$A, 0))-INDEX('UA-normalized'!$E:$E, MATCH($A239, 'UA-normalized'!$A:$A, 0))), 0), 0))+(IFERROR(IF(12*INDEX('KZ-normalized'!$D:$D, MATCH($A239, 'KZ-normalized'!$A:$A, 0))-INDEX('KZ-normalized'!$E:$E, MATCH($A239, 'KZ-normalized'!$A:$A, 0))&gt;0, -(12*INDEX('KZ-normalized'!$D:$D, MATCH($A239, 'KZ-normalized'!$A:$A, 0))-INDEX('KZ-normalized'!$E:$E, MATCH($A239, 'KZ-normalized'!$A:$A, 0))), 0), 0))+(IFERROR(IF(12*INDEX('UZ-normalized'!$D:$D, MATCH($A239, 'UZ-normalized'!$A:$A, 0))-INDEX('UZ-normalized'!$E:$E, MATCH($A239, 'UZ-normalized'!$A:$A, 0))&gt;0, -(12*INDEX('UZ-normalized'!$D:$D, MATCH($A239, 'UZ-normalized'!$A:$A, 0))-INDEX('UZ-normalized'!$E:$E, MATCH($A239, 'UZ-normalized'!$A:$A, 0))), 0), 0)))</f>
        <v>-85.199999999999989</v>
      </c>
      <c r="AA239" s="6">
        <f>MIN(0, N239+(IFERROR(IF(13*INDEX('UA-normalized'!$D:$D, MATCH($A239, 'UA-normalized'!$A:$A, 0))-INDEX('UA-normalized'!$E:$E, MATCH($A239, 'UA-normalized'!$A:$A, 0))&gt;0, -(13*INDEX('UA-normalized'!$D:$D, MATCH($A239, 'UA-normalized'!$A:$A, 0))-INDEX('UA-normalized'!$E:$E, MATCH($A239, 'UA-normalized'!$A:$A, 0))), 0), 0))+(IFERROR(IF(13*INDEX('KZ-normalized'!$D:$D, MATCH($A239, 'KZ-normalized'!$A:$A, 0))-INDEX('KZ-normalized'!$E:$E, MATCH($A239, 'KZ-normalized'!$A:$A, 0))&gt;0, -(13*INDEX('KZ-normalized'!$D:$D, MATCH($A239, 'KZ-normalized'!$A:$A, 0))-INDEX('KZ-normalized'!$E:$E, MATCH($A239, 'KZ-normalized'!$A:$A, 0))), 0), 0))+(IFERROR(IF(13*INDEX('UZ-normalized'!$D:$D, MATCH($A239, 'UZ-normalized'!$A:$A, 0))-INDEX('UZ-normalized'!$E:$E, MATCH($A239, 'UZ-normalized'!$A:$A, 0))&gt;0, -(13*INDEX('UZ-normalized'!$D:$D, MATCH($A239, 'UZ-normalized'!$A:$A, 0))-INDEX('UZ-normalized'!$E:$E, MATCH($A239, 'UZ-normalized'!$A:$A, 0))), 0), 0)))</f>
        <v>-94.8</v>
      </c>
      <c r="AB239" s="6">
        <f>MIN(0, N239+(IFERROR(IF(14*INDEX('UA-normalized'!$D:$D, MATCH($A239, 'UA-normalized'!$A:$A, 0))-INDEX('UA-normalized'!$E:$E, MATCH($A239, 'UA-normalized'!$A:$A, 0))&gt;0, -(14*INDEX('UA-normalized'!$D:$D, MATCH($A239, 'UA-normalized'!$A:$A, 0))-INDEX('UA-normalized'!$E:$E, MATCH($A239, 'UA-normalized'!$A:$A, 0))), 0), 0))+(IFERROR(IF(14*INDEX('KZ-normalized'!$D:$D, MATCH($A239, 'KZ-normalized'!$A:$A, 0))-INDEX('KZ-normalized'!$E:$E, MATCH($A239, 'KZ-normalized'!$A:$A, 0))&gt;0, -(14*INDEX('KZ-normalized'!$D:$D, MATCH($A239, 'KZ-normalized'!$A:$A, 0))-INDEX('KZ-normalized'!$E:$E, MATCH($A239, 'KZ-normalized'!$A:$A, 0))), 0), 0))+(IFERROR(IF(14*INDEX('UZ-normalized'!$D:$D, MATCH($A239, 'UZ-normalized'!$A:$A, 0))-INDEX('UZ-normalized'!$E:$E, MATCH($A239, 'UZ-normalized'!$A:$A, 0))&gt;0, -(14*INDEX('UZ-normalized'!$D:$D, MATCH($A239, 'UZ-normalized'!$A:$A, 0))-INDEX('UZ-normalized'!$E:$E, MATCH($A239, 'UZ-normalized'!$A:$A, 0))), 0), 0)))</f>
        <v>-104.4</v>
      </c>
      <c r="AC239" s="6">
        <f>MIN(0, N239+(IFERROR(IF(15*INDEX('UA-normalized'!$D:$D, MATCH($A239, 'UA-normalized'!$A:$A, 0))-INDEX('UA-normalized'!$E:$E, MATCH($A239, 'UA-normalized'!$A:$A, 0))&gt;0, -(15*INDEX('UA-normalized'!$D:$D, MATCH($A239, 'UA-normalized'!$A:$A, 0))-INDEX('UA-normalized'!$E:$E, MATCH($A239, 'UA-normalized'!$A:$A, 0))), 0), 0))+(IFERROR(IF(15*INDEX('KZ-normalized'!$D:$D, MATCH($A239, 'KZ-normalized'!$A:$A, 0))-INDEX('KZ-normalized'!$E:$E, MATCH($A239, 'KZ-normalized'!$A:$A, 0))&gt;0, -(15*INDEX('KZ-normalized'!$D:$D, MATCH($A239, 'KZ-normalized'!$A:$A, 0))-INDEX('KZ-normalized'!$E:$E, MATCH($A239, 'KZ-normalized'!$A:$A, 0))), 0), 0))+(IFERROR(IF(15*INDEX('UZ-normalized'!$D:$D, MATCH($A239, 'UZ-normalized'!$A:$A, 0))-INDEX('UZ-normalized'!$E:$E, MATCH($A239, 'UZ-normalized'!$A:$A, 0))&gt;0, -(15*INDEX('UZ-normalized'!$D:$D, MATCH($A239, 'UZ-normalized'!$A:$A, 0))-INDEX('UZ-normalized'!$E:$E, MATCH($A239, 'UZ-normalized'!$A:$A, 0))), 0), 0)))</f>
        <v>-114</v>
      </c>
      <c r="AD239" s="6">
        <f>MIN(0, N239+(IFERROR(IF(16*INDEX('UA-normalized'!$D:$D, MATCH($A239, 'UA-normalized'!$A:$A, 0))-INDEX('UA-normalized'!$E:$E, MATCH($A239, 'UA-normalized'!$A:$A, 0))&gt;0, -(16*INDEX('UA-normalized'!$D:$D, MATCH($A239, 'UA-normalized'!$A:$A, 0))-INDEX('UA-normalized'!$E:$E, MATCH($A239, 'UA-normalized'!$A:$A, 0))), 0), 0))+(IFERROR(IF(16*INDEX('KZ-normalized'!$D:$D, MATCH($A239, 'KZ-normalized'!$A:$A, 0))-INDEX('KZ-normalized'!$E:$E, MATCH($A239, 'KZ-normalized'!$A:$A, 0))&gt;0, -(16*INDEX('KZ-normalized'!$D:$D, MATCH($A239, 'KZ-normalized'!$A:$A, 0))-INDEX('KZ-normalized'!$E:$E, MATCH($A239, 'KZ-normalized'!$A:$A, 0))), 0), 0))+(IFERROR(IF(16*INDEX('UZ-normalized'!$D:$D, MATCH($A239, 'UZ-normalized'!$A:$A, 0))-INDEX('UZ-normalized'!$E:$E, MATCH($A239, 'UZ-normalized'!$A:$A, 0))&gt;0, -(16*INDEX('UZ-normalized'!$D:$D, MATCH($A239, 'UZ-normalized'!$A:$A, 0))-INDEX('UZ-normalized'!$E:$E, MATCH($A239, 'UZ-normalized'!$A:$A, 0))), 0), 0)))</f>
        <v>-123.6</v>
      </c>
      <c r="AE239" s="6">
        <f>MIN(0, N239+(IFERROR(IF(17*INDEX('UA-normalized'!$D:$D, MATCH($A239, 'UA-normalized'!$A:$A, 0))-INDEX('UA-normalized'!$E:$E, MATCH($A239, 'UA-normalized'!$A:$A, 0))&gt;0, -(17*INDEX('UA-normalized'!$D:$D, MATCH($A239, 'UA-normalized'!$A:$A, 0))-INDEX('UA-normalized'!$E:$E, MATCH($A239, 'UA-normalized'!$A:$A, 0))), 0), 0))+(IFERROR(IF(17*INDEX('KZ-normalized'!$D:$D, MATCH($A239, 'KZ-normalized'!$A:$A, 0))-INDEX('KZ-normalized'!$E:$E, MATCH($A239, 'KZ-normalized'!$A:$A, 0))&gt;0, -(17*INDEX('KZ-normalized'!$D:$D, MATCH($A239, 'KZ-normalized'!$A:$A, 0))-INDEX('KZ-normalized'!$E:$E, MATCH($A239, 'KZ-normalized'!$A:$A, 0))), 0), 0))+(IFERROR(IF(17*INDEX('UZ-normalized'!$D:$D, MATCH($A239, 'UZ-normalized'!$A:$A, 0))-INDEX('UZ-normalized'!$E:$E, MATCH($A239, 'UZ-normalized'!$A:$A, 0))&gt;0, -(17*INDEX('UZ-normalized'!$D:$D, MATCH($A239, 'UZ-normalized'!$A:$A, 0))-INDEX('UZ-normalized'!$E:$E, MATCH($A239, 'UZ-normalized'!$A:$A, 0))), 0), 0)))</f>
        <v>-133.19999999999999</v>
      </c>
      <c r="AF239" s="6">
        <f>MIN(0, N239+(IFERROR(IF(18*INDEX('UA-normalized'!$D:$D, MATCH($A239, 'UA-normalized'!$A:$A, 0))-INDEX('UA-normalized'!$E:$E, MATCH($A239, 'UA-normalized'!$A:$A, 0))&gt;0, -(18*INDEX('UA-normalized'!$D:$D, MATCH($A239, 'UA-normalized'!$A:$A, 0))-INDEX('UA-normalized'!$E:$E, MATCH($A239, 'UA-normalized'!$A:$A, 0))), 0), 0))+(IFERROR(IF(18*INDEX('KZ-normalized'!$D:$D, MATCH($A239, 'KZ-normalized'!$A:$A, 0))-INDEX('KZ-normalized'!$E:$E, MATCH($A239, 'KZ-normalized'!$A:$A, 0))&gt;0, -(18*INDEX('KZ-normalized'!$D:$D, MATCH($A239, 'KZ-normalized'!$A:$A, 0))-INDEX('KZ-normalized'!$E:$E, MATCH($A239, 'KZ-normalized'!$A:$A, 0))), 0), 0))+(IFERROR(IF(18*INDEX('UZ-normalized'!$D:$D, MATCH($A239, 'UZ-normalized'!$A:$A, 0))-INDEX('UZ-normalized'!$E:$E, MATCH($A239, 'UZ-normalized'!$A:$A, 0))&gt;0, -(18*INDEX('UZ-normalized'!$D:$D, MATCH($A239, 'UZ-normalized'!$A:$A, 0))-INDEX('UZ-normalized'!$E:$E, MATCH($A239, 'UZ-normalized'!$A:$A, 0))), 0), 0)))</f>
        <v>-142.79999999999998</v>
      </c>
      <c r="AG239" s="6">
        <f>MIN(0, N239+(IFERROR(IF(19*INDEX('UA-normalized'!$D:$D, MATCH($A239, 'UA-normalized'!$A:$A, 0))-INDEX('UA-normalized'!$E:$E, MATCH($A239, 'UA-normalized'!$A:$A, 0))&gt;0, -(19*INDEX('UA-normalized'!$D:$D, MATCH($A239, 'UA-normalized'!$A:$A, 0))-INDEX('UA-normalized'!$E:$E, MATCH($A239, 'UA-normalized'!$A:$A, 0))), 0), 0))+(IFERROR(IF(19*INDEX('KZ-normalized'!$D:$D, MATCH($A239, 'KZ-normalized'!$A:$A, 0))-INDEX('KZ-normalized'!$E:$E, MATCH($A239, 'KZ-normalized'!$A:$A, 0))&gt;0, -(19*INDEX('KZ-normalized'!$D:$D, MATCH($A239, 'KZ-normalized'!$A:$A, 0))-INDEX('KZ-normalized'!$E:$E, MATCH($A239, 'KZ-normalized'!$A:$A, 0))), 0), 0))+(IFERROR(IF(19*INDEX('UZ-normalized'!$D:$D, MATCH($A239, 'UZ-normalized'!$A:$A, 0))-INDEX('UZ-normalized'!$E:$E, MATCH($A239, 'UZ-normalized'!$A:$A, 0))&gt;0, -(19*INDEX('UZ-normalized'!$D:$D, MATCH($A239, 'UZ-normalized'!$A:$A, 0))-INDEX('UZ-normalized'!$E:$E, MATCH($A239, 'UZ-normalized'!$A:$A, 0))), 0), 0)))</f>
        <v>-152.4</v>
      </c>
      <c r="AH239" s="6">
        <f>MIN(0, N239+(IFERROR(IF(20*INDEX('UA-normalized'!$D:$D, MATCH($A239, 'UA-normalized'!$A:$A, 0))-INDEX('UA-normalized'!$E:$E, MATCH($A239, 'UA-normalized'!$A:$A, 0))&gt;0, -(20*INDEX('UA-normalized'!$D:$D, MATCH($A239, 'UA-normalized'!$A:$A, 0))-INDEX('UA-normalized'!$E:$E, MATCH($A239, 'UA-normalized'!$A:$A, 0))), 0), 0))+(IFERROR(IF(20*INDEX('KZ-normalized'!$D:$D, MATCH($A239, 'KZ-normalized'!$A:$A, 0))-INDEX('KZ-normalized'!$E:$E, MATCH($A239, 'KZ-normalized'!$A:$A, 0))&gt;0, -(20*INDEX('KZ-normalized'!$D:$D, MATCH($A239, 'KZ-normalized'!$A:$A, 0))-INDEX('KZ-normalized'!$E:$E, MATCH($A239, 'KZ-normalized'!$A:$A, 0))), 0), 0))+(IFERROR(IF(20*INDEX('UZ-normalized'!$D:$D, MATCH($A239, 'UZ-normalized'!$A:$A, 0))-INDEX('UZ-normalized'!$E:$E, MATCH($A239, 'UZ-normalized'!$A:$A, 0))&gt;0, -(20*INDEX('UZ-normalized'!$D:$D, MATCH($A239, 'UZ-normalized'!$A:$A, 0))-INDEX('UZ-normalized'!$E:$E, MATCH($A239, 'UZ-normalized'!$A:$A, 0))), 0), 0)))</f>
        <v>-162</v>
      </c>
      <c r="AI239" s="6">
        <f>MIN(0, N239+(IFERROR(IF(21*INDEX('UA-normalized'!$D:$D, MATCH($A239, 'UA-normalized'!$A:$A, 0))-INDEX('UA-normalized'!$E:$E, MATCH($A239, 'UA-normalized'!$A:$A, 0))&gt;0, -(21*INDEX('UA-normalized'!$D:$D, MATCH($A239, 'UA-normalized'!$A:$A, 0))-INDEX('UA-normalized'!$E:$E, MATCH($A239, 'UA-normalized'!$A:$A, 0))), 0), 0))+(IFERROR(IF(21*INDEX('KZ-normalized'!$D:$D, MATCH($A239, 'KZ-normalized'!$A:$A, 0))-INDEX('KZ-normalized'!$E:$E, MATCH($A239, 'KZ-normalized'!$A:$A, 0))&gt;0, -(21*INDEX('KZ-normalized'!$D:$D, MATCH($A239, 'KZ-normalized'!$A:$A, 0))-INDEX('KZ-normalized'!$E:$E, MATCH($A239, 'KZ-normalized'!$A:$A, 0))), 0), 0))+(IFERROR(IF(21*INDEX('UZ-normalized'!$D:$D, MATCH($A239, 'UZ-normalized'!$A:$A, 0))-INDEX('UZ-normalized'!$E:$E, MATCH($A239, 'UZ-normalized'!$A:$A, 0))&gt;0, -(21*INDEX('UZ-normalized'!$D:$D, MATCH($A239, 'UZ-normalized'!$A:$A, 0))-INDEX('UZ-normalized'!$E:$E, MATCH($A239, 'UZ-normalized'!$A:$A, 0))), 0), 0)))</f>
        <v>-171.6</v>
      </c>
      <c r="AJ239" s="6">
        <f>MIN(0, N239+(IFERROR(IF(22*INDEX('UA-normalized'!$D:$D, MATCH($A239, 'UA-normalized'!$A:$A, 0))-INDEX('UA-normalized'!$E:$E, MATCH($A239, 'UA-normalized'!$A:$A, 0))&gt;0, -(22*INDEX('UA-normalized'!$D:$D, MATCH($A239, 'UA-normalized'!$A:$A, 0))-INDEX('UA-normalized'!$E:$E, MATCH($A239, 'UA-normalized'!$A:$A, 0))), 0), 0))+(IFERROR(IF(22*INDEX('KZ-normalized'!$D:$D, MATCH($A239, 'KZ-normalized'!$A:$A, 0))-INDEX('KZ-normalized'!$E:$E, MATCH($A239, 'KZ-normalized'!$A:$A, 0))&gt;0, -(22*INDEX('KZ-normalized'!$D:$D, MATCH($A239, 'KZ-normalized'!$A:$A, 0))-INDEX('KZ-normalized'!$E:$E, MATCH($A239, 'KZ-normalized'!$A:$A, 0))), 0), 0))+(IFERROR(IF(22*INDEX('UZ-normalized'!$D:$D, MATCH($A239, 'UZ-normalized'!$A:$A, 0))-INDEX('UZ-normalized'!$E:$E, MATCH($A239, 'UZ-normalized'!$A:$A, 0))&gt;0, -(22*INDEX('UZ-normalized'!$D:$D, MATCH($A239, 'UZ-normalized'!$A:$A, 0))-INDEX('UZ-normalized'!$E:$E, MATCH($A239, 'UZ-normalized'!$A:$A, 0))), 0), 0)))</f>
        <v>-181.2</v>
      </c>
      <c r="AK239" s="6">
        <f>MIN(0, N239+(IFERROR(IF(23*INDEX('UA-normalized'!$D:$D, MATCH($A239, 'UA-normalized'!$A:$A, 0))-INDEX('UA-normalized'!$E:$E, MATCH($A239, 'UA-normalized'!$A:$A, 0))&gt;0, -(23*INDEX('UA-normalized'!$D:$D, MATCH($A239, 'UA-normalized'!$A:$A, 0))-INDEX('UA-normalized'!$E:$E, MATCH($A239, 'UA-normalized'!$A:$A, 0))), 0), 0))+(IFERROR(IF(23*INDEX('KZ-normalized'!$D:$D, MATCH($A239, 'KZ-normalized'!$A:$A, 0))-INDEX('KZ-normalized'!$E:$E, MATCH($A239, 'KZ-normalized'!$A:$A, 0))&gt;0, -(23*INDEX('KZ-normalized'!$D:$D, MATCH($A239, 'KZ-normalized'!$A:$A, 0))-INDEX('KZ-normalized'!$E:$E, MATCH($A239, 'KZ-normalized'!$A:$A, 0))), 0), 0))+(IFERROR(IF(23*INDEX('UZ-normalized'!$D:$D, MATCH($A239, 'UZ-normalized'!$A:$A, 0))-INDEX('UZ-normalized'!$E:$E, MATCH($A239, 'UZ-normalized'!$A:$A, 0))&gt;0, -(23*INDEX('UZ-normalized'!$D:$D, MATCH($A239, 'UZ-normalized'!$A:$A, 0))-INDEX('UZ-normalized'!$E:$E, MATCH($A239, 'UZ-normalized'!$A:$A, 0))), 0), 0)))</f>
        <v>-190.79999999999998</v>
      </c>
      <c r="AL239" s="6">
        <f>MIN(0, N239+(IFERROR(IF(24*INDEX('UA-normalized'!$D:$D, MATCH($A239, 'UA-normalized'!$A:$A, 0))-INDEX('UA-normalized'!$E:$E, MATCH($A239, 'UA-normalized'!$A:$A, 0))&gt;0, -(24*INDEX('UA-normalized'!$D:$D, MATCH($A239, 'UA-normalized'!$A:$A, 0))-INDEX('UA-normalized'!$E:$E, MATCH($A239, 'UA-normalized'!$A:$A, 0))), 0), 0))+(IFERROR(IF(24*INDEX('KZ-normalized'!$D:$D, MATCH($A239, 'KZ-normalized'!$A:$A, 0))-INDEX('KZ-normalized'!$E:$E, MATCH($A239, 'KZ-normalized'!$A:$A, 0))&gt;0, -(24*INDEX('KZ-normalized'!$D:$D, MATCH($A239, 'KZ-normalized'!$A:$A, 0))-INDEX('KZ-normalized'!$E:$E, MATCH($A239, 'KZ-normalized'!$A:$A, 0))), 0), 0))+(IFERROR(IF(24*INDEX('UZ-normalized'!$D:$D, MATCH($A239, 'UZ-normalized'!$A:$A, 0))-INDEX('UZ-normalized'!$E:$E, MATCH($A239, 'UZ-normalized'!$A:$A, 0))&gt;0, -(24*INDEX('UZ-normalized'!$D:$D, MATCH($A239, 'UZ-normalized'!$A:$A, 0))-INDEX('UZ-normalized'!$E:$E, MATCH($A239, 'UZ-normalized'!$A:$A, 0))), 0), 0)))</f>
        <v>-200.39999999999998</v>
      </c>
      <c r="AM239" s="6">
        <f>MIN(0, N239+(IFERROR(IF(25*INDEX('UA-normalized'!$D:$D, MATCH($A239, 'UA-normalized'!$A:$A, 0))-INDEX('UA-normalized'!$E:$E, MATCH($A239, 'UA-normalized'!$A:$A, 0))&gt;0, -(25*INDEX('UA-normalized'!$D:$D, MATCH($A239, 'UA-normalized'!$A:$A, 0))-INDEX('UA-normalized'!$E:$E, MATCH($A239, 'UA-normalized'!$A:$A, 0))), 0), 0))+(IFERROR(IF(25*INDEX('KZ-normalized'!$D:$D, MATCH($A239, 'KZ-normalized'!$A:$A, 0))-INDEX('KZ-normalized'!$E:$E, MATCH($A239, 'KZ-normalized'!$A:$A, 0))&gt;0, -(25*INDEX('KZ-normalized'!$D:$D, MATCH($A239, 'KZ-normalized'!$A:$A, 0))-INDEX('KZ-normalized'!$E:$E, MATCH($A239, 'KZ-normalized'!$A:$A, 0))), 0), 0))+(IFERROR(IF(25*INDEX('UZ-normalized'!$D:$D, MATCH($A239, 'UZ-normalized'!$A:$A, 0))-INDEX('UZ-normalized'!$E:$E, MATCH($A239, 'UZ-normalized'!$A:$A, 0))&gt;0, -(25*INDEX('UZ-normalized'!$D:$D, MATCH($A239, 'UZ-normalized'!$A:$A, 0))-INDEX('UZ-normalized'!$E:$E, MATCH($A239, 'UZ-normalized'!$A:$A, 0))), 0), 0)))</f>
        <v>-210</v>
      </c>
      <c r="AN239" s="6">
        <f>MIN(0, N239+(IFERROR(IF(26*INDEX('UA-normalized'!$D:$D, MATCH($A239, 'UA-normalized'!$A:$A, 0))-INDEX('UA-normalized'!$E:$E, MATCH($A239, 'UA-normalized'!$A:$A, 0))&gt;0, -(26*INDEX('UA-normalized'!$D:$D, MATCH($A239, 'UA-normalized'!$A:$A, 0))-INDEX('UA-normalized'!$E:$E, MATCH($A239, 'UA-normalized'!$A:$A, 0))), 0), 0))+(IFERROR(IF(26*INDEX('KZ-normalized'!$D:$D, MATCH($A239, 'KZ-normalized'!$A:$A, 0))-INDEX('KZ-normalized'!$E:$E, MATCH($A239, 'KZ-normalized'!$A:$A, 0))&gt;0, -(26*INDEX('KZ-normalized'!$D:$D, MATCH($A239, 'KZ-normalized'!$A:$A, 0))-INDEX('KZ-normalized'!$E:$E, MATCH($A239, 'KZ-normalized'!$A:$A, 0))), 0), 0))+(IFERROR(IF(26*INDEX('UZ-normalized'!$D:$D, MATCH($A239, 'UZ-normalized'!$A:$A, 0))-INDEX('UZ-normalized'!$E:$E, MATCH($A239, 'UZ-normalized'!$A:$A, 0))&gt;0, -(26*INDEX('UZ-normalized'!$D:$D, MATCH($A239, 'UZ-normalized'!$A:$A, 0))-INDEX('UZ-normalized'!$E:$E, MATCH($A239, 'UZ-normalized'!$A:$A, 0))), 0), 0)))</f>
        <v>-219.6</v>
      </c>
      <c r="AO239" s="6">
        <f>MIN(0, N239+(IFERROR(IF(27*INDEX('UA-normalized'!$D:$D, MATCH($A239, 'UA-normalized'!$A:$A, 0))-INDEX('UA-normalized'!$E:$E, MATCH($A239, 'UA-normalized'!$A:$A, 0))&gt;0, -(27*INDEX('UA-normalized'!$D:$D, MATCH($A239, 'UA-normalized'!$A:$A, 0))-INDEX('UA-normalized'!$E:$E, MATCH($A239, 'UA-normalized'!$A:$A, 0))), 0), 0))+(IFERROR(IF(27*INDEX('KZ-normalized'!$D:$D, MATCH($A239, 'KZ-normalized'!$A:$A, 0))-INDEX('KZ-normalized'!$E:$E, MATCH($A239, 'KZ-normalized'!$A:$A, 0))&gt;0, -(27*INDEX('KZ-normalized'!$D:$D, MATCH($A239, 'KZ-normalized'!$A:$A, 0))-INDEX('KZ-normalized'!$E:$E, MATCH($A239, 'KZ-normalized'!$A:$A, 0))), 0), 0))+(IFERROR(IF(27*INDEX('UZ-normalized'!$D:$D, MATCH($A239, 'UZ-normalized'!$A:$A, 0))-INDEX('UZ-normalized'!$E:$E, MATCH($A239, 'UZ-normalized'!$A:$A, 0))&gt;0, -(27*INDEX('UZ-normalized'!$D:$D, MATCH($A239, 'UZ-normalized'!$A:$A, 0))-INDEX('UZ-normalized'!$E:$E, MATCH($A239, 'UZ-normalized'!$A:$A, 0))), 0), 0)))</f>
        <v>-229.2</v>
      </c>
      <c r="AP239" s="6">
        <f>MIN(0, N239+(IFERROR(IF(28*INDEX('UA-normalized'!$D:$D, MATCH($A239, 'UA-normalized'!$A:$A, 0))-INDEX('UA-normalized'!$E:$E, MATCH($A239, 'UA-normalized'!$A:$A, 0))&gt;0, -(28*INDEX('UA-normalized'!$D:$D, MATCH($A239, 'UA-normalized'!$A:$A, 0))-INDEX('UA-normalized'!$E:$E, MATCH($A239, 'UA-normalized'!$A:$A, 0))), 0), 0))+(IFERROR(IF(28*INDEX('KZ-normalized'!$D:$D, MATCH($A239, 'KZ-normalized'!$A:$A, 0))-INDEX('KZ-normalized'!$E:$E, MATCH($A239, 'KZ-normalized'!$A:$A, 0))&gt;0, -(28*INDEX('KZ-normalized'!$D:$D, MATCH($A239, 'KZ-normalized'!$A:$A, 0))-INDEX('KZ-normalized'!$E:$E, MATCH($A239, 'KZ-normalized'!$A:$A, 0))), 0), 0))+(IFERROR(IF(28*INDEX('UZ-normalized'!$D:$D, MATCH($A239, 'UZ-normalized'!$A:$A, 0))-INDEX('UZ-normalized'!$E:$E, MATCH($A239, 'UZ-normalized'!$A:$A, 0))&gt;0, -(28*INDEX('UZ-normalized'!$D:$D, MATCH($A239, 'UZ-normalized'!$A:$A, 0))-INDEX('UZ-normalized'!$E:$E, MATCH($A239, 'UZ-normalized'!$A:$A, 0))), 0), 0)))</f>
        <v>-238.8</v>
      </c>
      <c r="AQ239" s="6">
        <f>MIN(0, N239+(IFERROR(IF(29*INDEX('UA-normalized'!$D:$D, MATCH($A239, 'UA-normalized'!$A:$A, 0))-INDEX('UA-normalized'!$E:$E, MATCH($A239, 'UA-normalized'!$A:$A, 0))&gt;0, -(29*INDEX('UA-normalized'!$D:$D, MATCH($A239, 'UA-normalized'!$A:$A, 0))-INDEX('UA-normalized'!$E:$E, MATCH($A239, 'UA-normalized'!$A:$A, 0))), 0), 0))+(IFERROR(IF(29*INDEX('KZ-normalized'!$D:$D, MATCH($A239, 'KZ-normalized'!$A:$A, 0))-INDEX('KZ-normalized'!$E:$E, MATCH($A239, 'KZ-normalized'!$A:$A, 0))&gt;0, -(29*INDEX('KZ-normalized'!$D:$D, MATCH($A239, 'KZ-normalized'!$A:$A, 0))-INDEX('KZ-normalized'!$E:$E, MATCH($A239, 'KZ-normalized'!$A:$A, 0))), 0), 0))+(IFERROR(IF(29*INDEX('UZ-normalized'!$D:$D, MATCH($A239, 'UZ-normalized'!$A:$A, 0))-INDEX('UZ-normalized'!$E:$E, MATCH($A239, 'UZ-normalized'!$A:$A, 0))&gt;0, -(29*INDEX('UZ-normalized'!$D:$D, MATCH($A239, 'UZ-normalized'!$A:$A, 0))-INDEX('UZ-normalized'!$E:$E, MATCH($A239, 'UZ-normalized'!$A:$A, 0))), 0), 0)))</f>
        <v>-248.39999999999998</v>
      </c>
      <c r="AR239" s="6">
        <f>MIN(0, N239+(IFERROR(IF(30*INDEX('UA-normalized'!$D:$D, MATCH($A239, 'UA-normalized'!$A:$A, 0))-INDEX('UA-normalized'!$E:$E, MATCH($A239, 'UA-normalized'!$A:$A, 0))&gt;0, -(30*INDEX('UA-normalized'!$D:$D, MATCH($A239, 'UA-normalized'!$A:$A, 0))-INDEX('UA-normalized'!$E:$E, MATCH($A239, 'UA-normalized'!$A:$A, 0))), 0), 0))+(IFERROR(IF(30*INDEX('KZ-normalized'!$D:$D, MATCH($A239, 'KZ-normalized'!$A:$A, 0))-INDEX('KZ-normalized'!$E:$E, MATCH($A239, 'KZ-normalized'!$A:$A, 0))&gt;0, -(30*INDEX('KZ-normalized'!$D:$D, MATCH($A239, 'KZ-normalized'!$A:$A, 0))-INDEX('KZ-normalized'!$E:$E, MATCH($A239, 'KZ-normalized'!$A:$A, 0))), 0), 0))+(IFERROR(IF(30*INDEX('UZ-normalized'!$D:$D, MATCH($A239, 'UZ-normalized'!$A:$A, 0))-INDEX('UZ-normalized'!$E:$E, MATCH($A239, 'UZ-normalized'!$A:$A, 0))&gt;0, -(30*INDEX('UZ-normalized'!$D:$D, MATCH($A239, 'UZ-normalized'!$A:$A, 0))-INDEX('UZ-normalized'!$E:$E, MATCH($A239, 'UZ-normalized'!$A:$A, 0))), 0), 0)))</f>
        <v>-258</v>
      </c>
    </row>
    <row r="240" spans="1:44" x14ac:dyDescent="0.25">
      <c r="A240" s="8" t="s">
        <v>565</v>
      </c>
      <c r="B240" s="8" t="s">
        <v>492</v>
      </c>
      <c r="C240" s="8" t="s">
        <v>555</v>
      </c>
      <c r="D240" s="8" t="s">
        <v>566</v>
      </c>
      <c r="G240">
        <v>-50</v>
      </c>
      <c r="N240">
        <f t="shared" si="3"/>
        <v>-50</v>
      </c>
      <c r="O240" s="6">
        <f>MIN(0, N240+(IFERROR(IF(1*INDEX('UA-normalized'!$D:$D, MATCH($A240, 'UA-normalized'!$A:$A, 0))-INDEX('UA-normalized'!$E:$E, MATCH($A240, 'UA-normalized'!$A:$A, 0))&gt;0, -(1*INDEX('UA-normalized'!$D:$D, MATCH($A240, 'UA-normalized'!$A:$A, 0))-INDEX('UA-normalized'!$E:$E, MATCH($A240, 'UA-normalized'!$A:$A, 0))), 0), 0))+(IFERROR(IF(1*INDEX('KZ-normalized'!$D:$D, MATCH($A240, 'KZ-normalized'!$A:$A, 0))-INDEX('KZ-normalized'!$E:$E, MATCH($A240, 'KZ-normalized'!$A:$A, 0))&gt;0, -(1*INDEX('KZ-normalized'!$D:$D, MATCH($A240, 'KZ-normalized'!$A:$A, 0))-INDEX('KZ-normalized'!$E:$E, MATCH($A240, 'KZ-normalized'!$A:$A, 0))), 0), 0))+(IFERROR(IF(1*INDEX('UZ-normalized'!$D:$D, MATCH($A240, 'UZ-normalized'!$A:$A, 0))-INDEX('UZ-normalized'!$E:$E, MATCH($A240, 'UZ-normalized'!$A:$A, 0))&gt;0, -(1*INDEX('UZ-normalized'!$D:$D, MATCH($A240, 'UZ-normalized'!$A:$A, 0))-INDEX('UZ-normalized'!$E:$E, MATCH($A240, 'UZ-normalized'!$A:$A, 0))), 0), 0)))</f>
        <v>-50</v>
      </c>
      <c r="P240" s="6">
        <f>MIN(0, N240+(IFERROR(IF(2*INDEX('UA-normalized'!$D:$D, MATCH($A240, 'UA-normalized'!$A:$A, 0))-INDEX('UA-normalized'!$E:$E, MATCH($A240, 'UA-normalized'!$A:$A, 0))&gt;0, -(2*INDEX('UA-normalized'!$D:$D, MATCH($A240, 'UA-normalized'!$A:$A, 0))-INDEX('UA-normalized'!$E:$E, MATCH($A240, 'UA-normalized'!$A:$A, 0))), 0), 0))+(IFERROR(IF(2*INDEX('KZ-normalized'!$D:$D, MATCH($A240, 'KZ-normalized'!$A:$A, 0))-INDEX('KZ-normalized'!$E:$E, MATCH($A240, 'KZ-normalized'!$A:$A, 0))&gt;0, -(2*INDEX('KZ-normalized'!$D:$D, MATCH($A240, 'KZ-normalized'!$A:$A, 0))-INDEX('KZ-normalized'!$E:$E, MATCH($A240, 'KZ-normalized'!$A:$A, 0))), 0), 0))+(IFERROR(IF(2*INDEX('UZ-normalized'!$D:$D, MATCH($A240, 'UZ-normalized'!$A:$A, 0))-INDEX('UZ-normalized'!$E:$E, MATCH($A240, 'UZ-normalized'!$A:$A, 0))&gt;0, -(2*INDEX('UZ-normalized'!$D:$D, MATCH($A240, 'UZ-normalized'!$A:$A, 0))-INDEX('UZ-normalized'!$E:$E, MATCH($A240, 'UZ-normalized'!$A:$A, 0))), 0), 0)))</f>
        <v>-50</v>
      </c>
      <c r="Q240" s="6">
        <f>MIN(0, N240+(IFERROR(IF(3*INDEX('UA-normalized'!$D:$D, MATCH($A240, 'UA-normalized'!$A:$A, 0))-INDEX('UA-normalized'!$E:$E, MATCH($A240, 'UA-normalized'!$A:$A, 0))&gt;0, -(3*INDEX('UA-normalized'!$D:$D, MATCH($A240, 'UA-normalized'!$A:$A, 0))-INDEX('UA-normalized'!$E:$E, MATCH($A240, 'UA-normalized'!$A:$A, 0))), 0), 0))+(IFERROR(IF(3*INDEX('KZ-normalized'!$D:$D, MATCH($A240, 'KZ-normalized'!$A:$A, 0))-INDEX('KZ-normalized'!$E:$E, MATCH($A240, 'KZ-normalized'!$A:$A, 0))&gt;0, -(3*INDEX('KZ-normalized'!$D:$D, MATCH($A240, 'KZ-normalized'!$A:$A, 0))-INDEX('KZ-normalized'!$E:$E, MATCH($A240, 'KZ-normalized'!$A:$A, 0))), 0), 0))+(IFERROR(IF(3*INDEX('UZ-normalized'!$D:$D, MATCH($A240, 'UZ-normalized'!$A:$A, 0))-INDEX('UZ-normalized'!$E:$E, MATCH($A240, 'UZ-normalized'!$A:$A, 0))&gt;0, -(3*INDEX('UZ-normalized'!$D:$D, MATCH($A240, 'UZ-normalized'!$A:$A, 0))-INDEX('UZ-normalized'!$E:$E, MATCH($A240, 'UZ-normalized'!$A:$A, 0))), 0), 0)))</f>
        <v>-50</v>
      </c>
      <c r="R240" s="6">
        <f>MIN(0, N240+(IFERROR(IF(4*INDEX('UA-normalized'!$D:$D, MATCH($A240, 'UA-normalized'!$A:$A, 0))-INDEX('UA-normalized'!$E:$E, MATCH($A240, 'UA-normalized'!$A:$A, 0))&gt;0, -(4*INDEX('UA-normalized'!$D:$D, MATCH($A240, 'UA-normalized'!$A:$A, 0))-INDEX('UA-normalized'!$E:$E, MATCH($A240, 'UA-normalized'!$A:$A, 0))), 0), 0))+(IFERROR(IF(4*INDEX('KZ-normalized'!$D:$D, MATCH($A240, 'KZ-normalized'!$A:$A, 0))-INDEX('KZ-normalized'!$E:$E, MATCH($A240, 'KZ-normalized'!$A:$A, 0))&gt;0, -(4*INDEX('KZ-normalized'!$D:$D, MATCH($A240, 'KZ-normalized'!$A:$A, 0))-INDEX('KZ-normalized'!$E:$E, MATCH($A240, 'KZ-normalized'!$A:$A, 0))), 0), 0))+(IFERROR(IF(4*INDEX('UZ-normalized'!$D:$D, MATCH($A240, 'UZ-normalized'!$A:$A, 0))-INDEX('UZ-normalized'!$E:$E, MATCH($A240, 'UZ-normalized'!$A:$A, 0))&gt;0, -(4*INDEX('UZ-normalized'!$D:$D, MATCH($A240, 'UZ-normalized'!$A:$A, 0))-INDEX('UZ-normalized'!$E:$E, MATCH($A240, 'UZ-normalized'!$A:$A, 0))), 0), 0)))</f>
        <v>-50</v>
      </c>
      <c r="S240" s="6">
        <f>MIN(0, N240+(IFERROR(IF(5*INDEX('UA-normalized'!$D:$D, MATCH($A240, 'UA-normalized'!$A:$A, 0))-INDEX('UA-normalized'!$E:$E, MATCH($A240, 'UA-normalized'!$A:$A, 0))&gt;0, -(5*INDEX('UA-normalized'!$D:$D, MATCH($A240, 'UA-normalized'!$A:$A, 0))-INDEX('UA-normalized'!$E:$E, MATCH($A240, 'UA-normalized'!$A:$A, 0))), 0), 0))+(IFERROR(IF(5*INDEX('KZ-normalized'!$D:$D, MATCH($A240, 'KZ-normalized'!$A:$A, 0))-INDEX('KZ-normalized'!$E:$E, MATCH($A240, 'KZ-normalized'!$A:$A, 0))&gt;0, -(5*INDEX('KZ-normalized'!$D:$D, MATCH($A240, 'KZ-normalized'!$A:$A, 0))-INDEX('KZ-normalized'!$E:$E, MATCH($A240, 'KZ-normalized'!$A:$A, 0))), 0), 0))+(IFERROR(IF(5*INDEX('UZ-normalized'!$D:$D, MATCH($A240, 'UZ-normalized'!$A:$A, 0))-INDEX('UZ-normalized'!$E:$E, MATCH($A240, 'UZ-normalized'!$A:$A, 0))&gt;0, -(5*INDEX('UZ-normalized'!$D:$D, MATCH($A240, 'UZ-normalized'!$A:$A, 0))-INDEX('UZ-normalized'!$E:$E, MATCH($A240, 'UZ-normalized'!$A:$A, 0))), 0), 0)))</f>
        <v>-50</v>
      </c>
      <c r="T240" s="6">
        <f>MIN(0, N240+(IFERROR(IF(6*INDEX('UA-normalized'!$D:$D, MATCH($A240, 'UA-normalized'!$A:$A, 0))-INDEX('UA-normalized'!$E:$E, MATCH($A240, 'UA-normalized'!$A:$A, 0))&gt;0, -(6*INDEX('UA-normalized'!$D:$D, MATCH($A240, 'UA-normalized'!$A:$A, 0))-INDEX('UA-normalized'!$E:$E, MATCH($A240, 'UA-normalized'!$A:$A, 0))), 0), 0))+(IFERROR(IF(6*INDEX('KZ-normalized'!$D:$D, MATCH($A240, 'KZ-normalized'!$A:$A, 0))-INDEX('KZ-normalized'!$E:$E, MATCH($A240, 'KZ-normalized'!$A:$A, 0))&gt;0, -(6*INDEX('KZ-normalized'!$D:$D, MATCH($A240, 'KZ-normalized'!$A:$A, 0))-INDEX('KZ-normalized'!$E:$E, MATCH($A240, 'KZ-normalized'!$A:$A, 0))), 0), 0))+(IFERROR(IF(6*INDEX('UZ-normalized'!$D:$D, MATCH($A240, 'UZ-normalized'!$A:$A, 0))-INDEX('UZ-normalized'!$E:$E, MATCH($A240, 'UZ-normalized'!$A:$A, 0))&gt;0, -(6*INDEX('UZ-normalized'!$D:$D, MATCH($A240, 'UZ-normalized'!$A:$A, 0))-INDEX('UZ-normalized'!$E:$E, MATCH($A240, 'UZ-normalized'!$A:$A, 0))), 0), 0)))</f>
        <v>-50</v>
      </c>
      <c r="U240" s="6">
        <f>MIN(0, N240+(IFERROR(IF(7*INDEX('UA-normalized'!$D:$D, MATCH($A240, 'UA-normalized'!$A:$A, 0))-INDEX('UA-normalized'!$E:$E, MATCH($A240, 'UA-normalized'!$A:$A, 0))&gt;0, -(7*INDEX('UA-normalized'!$D:$D, MATCH($A240, 'UA-normalized'!$A:$A, 0))-INDEX('UA-normalized'!$E:$E, MATCH($A240, 'UA-normalized'!$A:$A, 0))), 0), 0))+(IFERROR(IF(7*INDEX('KZ-normalized'!$D:$D, MATCH($A240, 'KZ-normalized'!$A:$A, 0))-INDEX('KZ-normalized'!$E:$E, MATCH($A240, 'KZ-normalized'!$A:$A, 0))&gt;0, -(7*INDEX('KZ-normalized'!$D:$D, MATCH($A240, 'KZ-normalized'!$A:$A, 0))-INDEX('KZ-normalized'!$E:$E, MATCH($A240, 'KZ-normalized'!$A:$A, 0))), 0), 0))+(IFERROR(IF(7*INDEX('UZ-normalized'!$D:$D, MATCH($A240, 'UZ-normalized'!$A:$A, 0))-INDEX('UZ-normalized'!$E:$E, MATCH($A240, 'UZ-normalized'!$A:$A, 0))&gt;0, -(7*INDEX('UZ-normalized'!$D:$D, MATCH($A240, 'UZ-normalized'!$A:$A, 0))-INDEX('UZ-normalized'!$E:$E, MATCH($A240, 'UZ-normalized'!$A:$A, 0))), 0), 0)))</f>
        <v>-50</v>
      </c>
      <c r="V240" s="6">
        <f>MIN(0, N240+(IFERROR(IF(8*INDEX('UA-normalized'!$D:$D, MATCH($A240, 'UA-normalized'!$A:$A, 0))-INDEX('UA-normalized'!$E:$E, MATCH($A240, 'UA-normalized'!$A:$A, 0))&gt;0, -(8*INDEX('UA-normalized'!$D:$D, MATCH($A240, 'UA-normalized'!$A:$A, 0))-INDEX('UA-normalized'!$E:$E, MATCH($A240, 'UA-normalized'!$A:$A, 0))), 0), 0))+(IFERROR(IF(8*INDEX('KZ-normalized'!$D:$D, MATCH($A240, 'KZ-normalized'!$A:$A, 0))-INDEX('KZ-normalized'!$E:$E, MATCH($A240, 'KZ-normalized'!$A:$A, 0))&gt;0, -(8*INDEX('KZ-normalized'!$D:$D, MATCH($A240, 'KZ-normalized'!$A:$A, 0))-INDEX('KZ-normalized'!$E:$E, MATCH($A240, 'KZ-normalized'!$A:$A, 0))), 0), 0))+(IFERROR(IF(8*INDEX('UZ-normalized'!$D:$D, MATCH($A240, 'UZ-normalized'!$A:$A, 0))-INDEX('UZ-normalized'!$E:$E, MATCH($A240, 'UZ-normalized'!$A:$A, 0))&gt;0, -(8*INDEX('UZ-normalized'!$D:$D, MATCH($A240, 'UZ-normalized'!$A:$A, 0))-INDEX('UZ-normalized'!$E:$E, MATCH($A240, 'UZ-normalized'!$A:$A, 0))), 0), 0)))</f>
        <v>-50</v>
      </c>
      <c r="W240" s="6">
        <f>MIN(0, N240+(IFERROR(IF(9*INDEX('UA-normalized'!$D:$D, MATCH($A240, 'UA-normalized'!$A:$A, 0))-INDEX('UA-normalized'!$E:$E, MATCH($A240, 'UA-normalized'!$A:$A, 0))&gt;0, -(9*INDEX('UA-normalized'!$D:$D, MATCH($A240, 'UA-normalized'!$A:$A, 0))-INDEX('UA-normalized'!$E:$E, MATCH($A240, 'UA-normalized'!$A:$A, 0))), 0), 0))+(IFERROR(IF(9*INDEX('KZ-normalized'!$D:$D, MATCH($A240, 'KZ-normalized'!$A:$A, 0))-INDEX('KZ-normalized'!$E:$E, MATCH($A240, 'KZ-normalized'!$A:$A, 0))&gt;0, -(9*INDEX('KZ-normalized'!$D:$D, MATCH($A240, 'KZ-normalized'!$A:$A, 0))-INDEX('KZ-normalized'!$E:$E, MATCH($A240, 'KZ-normalized'!$A:$A, 0))), 0), 0))+(IFERROR(IF(9*INDEX('UZ-normalized'!$D:$D, MATCH($A240, 'UZ-normalized'!$A:$A, 0))-INDEX('UZ-normalized'!$E:$E, MATCH($A240, 'UZ-normalized'!$A:$A, 0))&gt;0, -(9*INDEX('UZ-normalized'!$D:$D, MATCH($A240, 'UZ-normalized'!$A:$A, 0))-INDEX('UZ-normalized'!$E:$E, MATCH($A240, 'UZ-normalized'!$A:$A, 0))), 0), 0)))</f>
        <v>-50</v>
      </c>
      <c r="X240" s="6">
        <f>MIN(0, N240+(IFERROR(IF(10*INDEX('UA-normalized'!$D:$D, MATCH($A240, 'UA-normalized'!$A:$A, 0))-INDEX('UA-normalized'!$E:$E, MATCH($A240, 'UA-normalized'!$A:$A, 0))&gt;0, -(10*INDEX('UA-normalized'!$D:$D, MATCH($A240, 'UA-normalized'!$A:$A, 0))-INDEX('UA-normalized'!$E:$E, MATCH($A240, 'UA-normalized'!$A:$A, 0))), 0), 0))+(IFERROR(IF(10*INDEX('KZ-normalized'!$D:$D, MATCH($A240, 'KZ-normalized'!$A:$A, 0))-INDEX('KZ-normalized'!$E:$E, MATCH($A240, 'KZ-normalized'!$A:$A, 0))&gt;0, -(10*INDEX('KZ-normalized'!$D:$D, MATCH($A240, 'KZ-normalized'!$A:$A, 0))-INDEX('KZ-normalized'!$E:$E, MATCH($A240, 'KZ-normalized'!$A:$A, 0))), 0), 0))+(IFERROR(IF(10*INDEX('UZ-normalized'!$D:$D, MATCH($A240, 'UZ-normalized'!$A:$A, 0))-INDEX('UZ-normalized'!$E:$E, MATCH($A240, 'UZ-normalized'!$A:$A, 0))&gt;0, -(10*INDEX('UZ-normalized'!$D:$D, MATCH($A240, 'UZ-normalized'!$A:$A, 0))-INDEX('UZ-normalized'!$E:$E, MATCH($A240, 'UZ-normalized'!$A:$A, 0))), 0), 0)))</f>
        <v>-50</v>
      </c>
      <c r="Y240" s="6">
        <f>MIN(0, N240+(IFERROR(IF(11*INDEX('UA-normalized'!$D:$D, MATCH($A240, 'UA-normalized'!$A:$A, 0))-INDEX('UA-normalized'!$E:$E, MATCH($A240, 'UA-normalized'!$A:$A, 0))&gt;0, -(11*INDEX('UA-normalized'!$D:$D, MATCH($A240, 'UA-normalized'!$A:$A, 0))-INDEX('UA-normalized'!$E:$E, MATCH($A240, 'UA-normalized'!$A:$A, 0))), 0), 0))+(IFERROR(IF(11*INDEX('KZ-normalized'!$D:$D, MATCH($A240, 'KZ-normalized'!$A:$A, 0))-INDEX('KZ-normalized'!$E:$E, MATCH($A240, 'KZ-normalized'!$A:$A, 0))&gt;0, -(11*INDEX('KZ-normalized'!$D:$D, MATCH($A240, 'KZ-normalized'!$A:$A, 0))-INDEX('KZ-normalized'!$E:$E, MATCH($A240, 'KZ-normalized'!$A:$A, 0))), 0), 0))+(IFERROR(IF(11*INDEX('UZ-normalized'!$D:$D, MATCH($A240, 'UZ-normalized'!$A:$A, 0))-INDEX('UZ-normalized'!$E:$E, MATCH($A240, 'UZ-normalized'!$A:$A, 0))&gt;0, -(11*INDEX('UZ-normalized'!$D:$D, MATCH($A240, 'UZ-normalized'!$A:$A, 0))-INDEX('UZ-normalized'!$E:$E, MATCH($A240, 'UZ-normalized'!$A:$A, 0))), 0), 0)))</f>
        <v>-50.7</v>
      </c>
      <c r="Z240" s="6">
        <f>MIN(0, N240+(IFERROR(IF(12*INDEX('UA-normalized'!$D:$D, MATCH($A240, 'UA-normalized'!$A:$A, 0))-INDEX('UA-normalized'!$E:$E, MATCH($A240, 'UA-normalized'!$A:$A, 0))&gt;0, -(12*INDEX('UA-normalized'!$D:$D, MATCH($A240, 'UA-normalized'!$A:$A, 0))-INDEX('UA-normalized'!$E:$E, MATCH($A240, 'UA-normalized'!$A:$A, 0))), 0), 0))+(IFERROR(IF(12*INDEX('KZ-normalized'!$D:$D, MATCH($A240, 'KZ-normalized'!$A:$A, 0))-INDEX('KZ-normalized'!$E:$E, MATCH($A240, 'KZ-normalized'!$A:$A, 0))&gt;0, -(12*INDEX('KZ-normalized'!$D:$D, MATCH($A240, 'KZ-normalized'!$A:$A, 0))-INDEX('KZ-normalized'!$E:$E, MATCH($A240, 'KZ-normalized'!$A:$A, 0))), 0), 0))+(IFERROR(IF(12*INDEX('UZ-normalized'!$D:$D, MATCH($A240, 'UZ-normalized'!$A:$A, 0))-INDEX('UZ-normalized'!$E:$E, MATCH($A240, 'UZ-normalized'!$A:$A, 0))&gt;0, -(12*INDEX('UZ-normalized'!$D:$D, MATCH($A240, 'UZ-normalized'!$A:$A, 0))-INDEX('UZ-normalized'!$E:$E, MATCH($A240, 'UZ-normalized'!$A:$A, 0))), 0), 0)))</f>
        <v>-55.400000000000006</v>
      </c>
      <c r="AA240" s="6">
        <f>MIN(0, N240+(IFERROR(IF(13*INDEX('UA-normalized'!$D:$D, MATCH($A240, 'UA-normalized'!$A:$A, 0))-INDEX('UA-normalized'!$E:$E, MATCH($A240, 'UA-normalized'!$A:$A, 0))&gt;0, -(13*INDEX('UA-normalized'!$D:$D, MATCH($A240, 'UA-normalized'!$A:$A, 0))-INDEX('UA-normalized'!$E:$E, MATCH($A240, 'UA-normalized'!$A:$A, 0))), 0), 0))+(IFERROR(IF(13*INDEX('KZ-normalized'!$D:$D, MATCH($A240, 'KZ-normalized'!$A:$A, 0))-INDEX('KZ-normalized'!$E:$E, MATCH($A240, 'KZ-normalized'!$A:$A, 0))&gt;0, -(13*INDEX('KZ-normalized'!$D:$D, MATCH($A240, 'KZ-normalized'!$A:$A, 0))-INDEX('KZ-normalized'!$E:$E, MATCH($A240, 'KZ-normalized'!$A:$A, 0))), 0), 0))+(IFERROR(IF(13*INDEX('UZ-normalized'!$D:$D, MATCH($A240, 'UZ-normalized'!$A:$A, 0))-INDEX('UZ-normalized'!$E:$E, MATCH($A240, 'UZ-normalized'!$A:$A, 0))&gt;0, -(13*INDEX('UZ-normalized'!$D:$D, MATCH($A240, 'UZ-normalized'!$A:$A, 0))-INDEX('UZ-normalized'!$E:$E, MATCH($A240, 'UZ-normalized'!$A:$A, 0))), 0), 0)))</f>
        <v>-60.1</v>
      </c>
      <c r="AB240" s="6">
        <f>MIN(0, N240+(IFERROR(IF(14*INDEX('UA-normalized'!$D:$D, MATCH($A240, 'UA-normalized'!$A:$A, 0))-INDEX('UA-normalized'!$E:$E, MATCH($A240, 'UA-normalized'!$A:$A, 0))&gt;0, -(14*INDEX('UA-normalized'!$D:$D, MATCH($A240, 'UA-normalized'!$A:$A, 0))-INDEX('UA-normalized'!$E:$E, MATCH($A240, 'UA-normalized'!$A:$A, 0))), 0), 0))+(IFERROR(IF(14*INDEX('KZ-normalized'!$D:$D, MATCH($A240, 'KZ-normalized'!$A:$A, 0))-INDEX('KZ-normalized'!$E:$E, MATCH($A240, 'KZ-normalized'!$A:$A, 0))&gt;0, -(14*INDEX('KZ-normalized'!$D:$D, MATCH($A240, 'KZ-normalized'!$A:$A, 0))-INDEX('KZ-normalized'!$E:$E, MATCH($A240, 'KZ-normalized'!$A:$A, 0))), 0), 0))+(IFERROR(IF(14*INDEX('UZ-normalized'!$D:$D, MATCH($A240, 'UZ-normalized'!$A:$A, 0))-INDEX('UZ-normalized'!$E:$E, MATCH($A240, 'UZ-normalized'!$A:$A, 0))&gt;0, -(14*INDEX('UZ-normalized'!$D:$D, MATCH($A240, 'UZ-normalized'!$A:$A, 0))-INDEX('UZ-normalized'!$E:$E, MATCH($A240, 'UZ-normalized'!$A:$A, 0))), 0), 0)))</f>
        <v>-64.8</v>
      </c>
      <c r="AC240" s="6">
        <f>MIN(0, N240+(IFERROR(IF(15*INDEX('UA-normalized'!$D:$D, MATCH($A240, 'UA-normalized'!$A:$A, 0))-INDEX('UA-normalized'!$E:$E, MATCH($A240, 'UA-normalized'!$A:$A, 0))&gt;0, -(15*INDEX('UA-normalized'!$D:$D, MATCH($A240, 'UA-normalized'!$A:$A, 0))-INDEX('UA-normalized'!$E:$E, MATCH($A240, 'UA-normalized'!$A:$A, 0))), 0), 0))+(IFERROR(IF(15*INDEX('KZ-normalized'!$D:$D, MATCH($A240, 'KZ-normalized'!$A:$A, 0))-INDEX('KZ-normalized'!$E:$E, MATCH($A240, 'KZ-normalized'!$A:$A, 0))&gt;0, -(15*INDEX('KZ-normalized'!$D:$D, MATCH($A240, 'KZ-normalized'!$A:$A, 0))-INDEX('KZ-normalized'!$E:$E, MATCH($A240, 'KZ-normalized'!$A:$A, 0))), 0), 0))+(IFERROR(IF(15*INDEX('UZ-normalized'!$D:$D, MATCH($A240, 'UZ-normalized'!$A:$A, 0))-INDEX('UZ-normalized'!$E:$E, MATCH($A240, 'UZ-normalized'!$A:$A, 0))&gt;0, -(15*INDEX('UZ-normalized'!$D:$D, MATCH($A240, 'UZ-normalized'!$A:$A, 0))-INDEX('UZ-normalized'!$E:$E, MATCH($A240, 'UZ-normalized'!$A:$A, 0))), 0), 0)))</f>
        <v>-69.5</v>
      </c>
      <c r="AD240" s="6">
        <f>MIN(0, N240+(IFERROR(IF(16*INDEX('UA-normalized'!$D:$D, MATCH($A240, 'UA-normalized'!$A:$A, 0))-INDEX('UA-normalized'!$E:$E, MATCH($A240, 'UA-normalized'!$A:$A, 0))&gt;0, -(16*INDEX('UA-normalized'!$D:$D, MATCH($A240, 'UA-normalized'!$A:$A, 0))-INDEX('UA-normalized'!$E:$E, MATCH($A240, 'UA-normalized'!$A:$A, 0))), 0), 0))+(IFERROR(IF(16*INDEX('KZ-normalized'!$D:$D, MATCH($A240, 'KZ-normalized'!$A:$A, 0))-INDEX('KZ-normalized'!$E:$E, MATCH($A240, 'KZ-normalized'!$A:$A, 0))&gt;0, -(16*INDEX('KZ-normalized'!$D:$D, MATCH($A240, 'KZ-normalized'!$A:$A, 0))-INDEX('KZ-normalized'!$E:$E, MATCH($A240, 'KZ-normalized'!$A:$A, 0))), 0), 0))+(IFERROR(IF(16*INDEX('UZ-normalized'!$D:$D, MATCH($A240, 'UZ-normalized'!$A:$A, 0))-INDEX('UZ-normalized'!$E:$E, MATCH($A240, 'UZ-normalized'!$A:$A, 0))&gt;0, -(16*INDEX('UZ-normalized'!$D:$D, MATCH($A240, 'UZ-normalized'!$A:$A, 0))-INDEX('UZ-normalized'!$E:$E, MATCH($A240, 'UZ-normalized'!$A:$A, 0))), 0), 0)))</f>
        <v>-74.2</v>
      </c>
      <c r="AE240" s="6">
        <f>MIN(0, N240+(IFERROR(IF(17*INDEX('UA-normalized'!$D:$D, MATCH($A240, 'UA-normalized'!$A:$A, 0))-INDEX('UA-normalized'!$E:$E, MATCH($A240, 'UA-normalized'!$A:$A, 0))&gt;0, -(17*INDEX('UA-normalized'!$D:$D, MATCH($A240, 'UA-normalized'!$A:$A, 0))-INDEX('UA-normalized'!$E:$E, MATCH($A240, 'UA-normalized'!$A:$A, 0))), 0), 0))+(IFERROR(IF(17*INDEX('KZ-normalized'!$D:$D, MATCH($A240, 'KZ-normalized'!$A:$A, 0))-INDEX('KZ-normalized'!$E:$E, MATCH($A240, 'KZ-normalized'!$A:$A, 0))&gt;0, -(17*INDEX('KZ-normalized'!$D:$D, MATCH($A240, 'KZ-normalized'!$A:$A, 0))-INDEX('KZ-normalized'!$E:$E, MATCH($A240, 'KZ-normalized'!$A:$A, 0))), 0), 0))+(IFERROR(IF(17*INDEX('UZ-normalized'!$D:$D, MATCH($A240, 'UZ-normalized'!$A:$A, 0))-INDEX('UZ-normalized'!$E:$E, MATCH($A240, 'UZ-normalized'!$A:$A, 0))&gt;0, -(17*INDEX('UZ-normalized'!$D:$D, MATCH($A240, 'UZ-normalized'!$A:$A, 0))-INDEX('UZ-normalized'!$E:$E, MATCH($A240, 'UZ-normalized'!$A:$A, 0))), 0), 0)))</f>
        <v>-78.900000000000006</v>
      </c>
      <c r="AF240" s="6">
        <f>MIN(0, N240+(IFERROR(IF(18*INDEX('UA-normalized'!$D:$D, MATCH($A240, 'UA-normalized'!$A:$A, 0))-INDEX('UA-normalized'!$E:$E, MATCH($A240, 'UA-normalized'!$A:$A, 0))&gt;0, -(18*INDEX('UA-normalized'!$D:$D, MATCH($A240, 'UA-normalized'!$A:$A, 0))-INDEX('UA-normalized'!$E:$E, MATCH($A240, 'UA-normalized'!$A:$A, 0))), 0), 0))+(IFERROR(IF(18*INDEX('KZ-normalized'!$D:$D, MATCH($A240, 'KZ-normalized'!$A:$A, 0))-INDEX('KZ-normalized'!$E:$E, MATCH($A240, 'KZ-normalized'!$A:$A, 0))&gt;0, -(18*INDEX('KZ-normalized'!$D:$D, MATCH($A240, 'KZ-normalized'!$A:$A, 0))-INDEX('KZ-normalized'!$E:$E, MATCH($A240, 'KZ-normalized'!$A:$A, 0))), 0), 0))+(IFERROR(IF(18*INDEX('UZ-normalized'!$D:$D, MATCH($A240, 'UZ-normalized'!$A:$A, 0))-INDEX('UZ-normalized'!$E:$E, MATCH($A240, 'UZ-normalized'!$A:$A, 0))&gt;0, -(18*INDEX('UZ-normalized'!$D:$D, MATCH($A240, 'UZ-normalized'!$A:$A, 0))-INDEX('UZ-normalized'!$E:$E, MATCH($A240, 'UZ-normalized'!$A:$A, 0))), 0), 0)))</f>
        <v>-83.600000000000009</v>
      </c>
      <c r="AG240" s="6">
        <f>MIN(0, N240+(IFERROR(IF(19*INDEX('UA-normalized'!$D:$D, MATCH($A240, 'UA-normalized'!$A:$A, 0))-INDEX('UA-normalized'!$E:$E, MATCH($A240, 'UA-normalized'!$A:$A, 0))&gt;0, -(19*INDEX('UA-normalized'!$D:$D, MATCH($A240, 'UA-normalized'!$A:$A, 0))-INDEX('UA-normalized'!$E:$E, MATCH($A240, 'UA-normalized'!$A:$A, 0))), 0), 0))+(IFERROR(IF(19*INDEX('KZ-normalized'!$D:$D, MATCH($A240, 'KZ-normalized'!$A:$A, 0))-INDEX('KZ-normalized'!$E:$E, MATCH($A240, 'KZ-normalized'!$A:$A, 0))&gt;0, -(19*INDEX('KZ-normalized'!$D:$D, MATCH($A240, 'KZ-normalized'!$A:$A, 0))-INDEX('KZ-normalized'!$E:$E, MATCH($A240, 'KZ-normalized'!$A:$A, 0))), 0), 0))+(IFERROR(IF(19*INDEX('UZ-normalized'!$D:$D, MATCH($A240, 'UZ-normalized'!$A:$A, 0))-INDEX('UZ-normalized'!$E:$E, MATCH($A240, 'UZ-normalized'!$A:$A, 0))&gt;0, -(19*INDEX('UZ-normalized'!$D:$D, MATCH($A240, 'UZ-normalized'!$A:$A, 0))-INDEX('UZ-normalized'!$E:$E, MATCH($A240, 'UZ-normalized'!$A:$A, 0))), 0), 0)))</f>
        <v>-88.3</v>
      </c>
      <c r="AH240" s="6">
        <f>MIN(0, N240+(IFERROR(IF(20*INDEX('UA-normalized'!$D:$D, MATCH($A240, 'UA-normalized'!$A:$A, 0))-INDEX('UA-normalized'!$E:$E, MATCH($A240, 'UA-normalized'!$A:$A, 0))&gt;0, -(20*INDEX('UA-normalized'!$D:$D, MATCH($A240, 'UA-normalized'!$A:$A, 0))-INDEX('UA-normalized'!$E:$E, MATCH($A240, 'UA-normalized'!$A:$A, 0))), 0), 0))+(IFERROR(IF(20*INDEX('KZ-normalized'!$D:$D, MATCH($A240, 'KZ-normalized'!$A:$A, 0))-INDEX('KZ-normalized'!$E:$E, MATCH($A240, 'KZ-normalized'!$A:$A, 0))&gt;0, -(20*INDEX('KZ-normalized'!$D:$D, MATCH($A240, 'KZ-normalized'!$A:$A, 0))-INDEX('KZ-normalized'!$E:$E, MATCH($A240, 'KZ-normalized'!$A:$A, 0))), 0), 0))+(IFERROR(IF(20*INDEX('UZ-normalized'!$D:$D, MATCH($A240, 'UZ-normalized'!$A:$A, 0))-INDEX('UZ-normalized'!$E:$E, MATCH($A240, 'UZ-normalized'!$A:$A, 0))&gt;0, -(20*INDEX('UZ-normalized'!$D:$D, MATCH($A240, 'UZ-normalized'!$A:$A, 0))-INDEX('UZ-normalized'!$E:$E, MATCH($A240, 'UZ-normalized'!$A:$A, 0))), 0), 0)))</f>
        <v>-93.4</v>
      </c>
      <c r="AI240" s="6">
        <f>MIN(0, N240+(IFERROR(IF(21*INDEX('UA-normalized'!$D:$D, MATCH($A240, 'UA-normalized'!$A:$A, 0))-INDEX('UA-normalized'!$E:$E, MATCH($A240, 'UA-normalized'!$A:$A, 0))&gt;0, -(21*INDEX('UA-normalized'!$D:$D, MATCH($A240, 'UA-normalized'!$A:$A, 0))-INDEX('UA-normalized'!$E:$E, MATCH($A240, 'UA-normalized'!$A:$A, 0))), 0), 0))+(IFERROR(IF(21*INDEX('KZ-normalized'!$D:$D, MATCH($A240, 'KZ-normalized'!$A:$A, 0))-INDEX('KZ-normalized'!$E:$E, MATCH($A240, 'KZ-normalized'!$A:$A, 0))&gt;0, -(21*INDEX('KZ-normalized'!$D:$D, MATCH($A240, 'KZ-normalized'!$A:$A, 0))-INDEX('KZ-normalized'!$E:$E, MATCH($A240, 'KZ-normalized'!$A:$A, 0))), 0), 0))+(IFERROR(IF(21*INDEX('UZ-normalized'!$D:$D, MATCH($A240, 'UZ-normalized'!$A:$A, 0))-INDEX('UZ-normalized'!$E:$E, MATCH($A240, 'UZ-normalized'!$A:$A, 0))&gt;0, -(21*INDEX('UZ-normalized'!$D:$D, MATCH($A240, 'UZ-normalized'!$A:$A, 0))-INDEX('UZ-normalized'!$E:$E, MATCH($A240, 'UZ-normalized'!$A:$A, 0))), 0), 0)))</f>
        <v>-98.52000000000001</v>
      </c>
      <c r="AJ240" s="6">
        <f>MIN(0, N240+(IFERROR(IF(22*INDEX('UA-normalized'!$D:$D, MATCH($A240, 'UA-normalized'!$A:$A, 0))-INDEX('UA-normalized'!$E:$E, MATCH($A240, 'UA-normalized'!$A:$A, 0))&gt;0, -(22*INDEX('UA-normalized'!$D:$D, MATCH($A240, 'UA-normalized'!$A:$A, 0))-INDEX('UA-normalized'!$E:$E, MATCH($A240, 'UA-normalized'!$A:$A, 0))), 0), 0))+(IFERROR(IF(22*INDEX('KZ-normalized'!$D:$D, MATCH($A240, 'KZ-normalized'!$A:$A, 0))-INDEX('KZ-normalized'!$E:$E, MATCH($A240, 'KZ-normalized'!$A:$A, 0))&gt;0, -(22*INDEX('KZ-normalized'!$D:$D, MATCH($A240, 'KZ-normalized'!$A:$A, 0))-INDEX('KZ-normalized'!$E:$E, MATCH($A240, 'KZ-normalized'!$A:$A, 0))), 0), 0))+(IFERROR(IF(22*INDEX('UZ-normalized'!$D:$D, MATCH($A240, 'UZ-normalized'!$A:$A, 0))-INDEX('UZ-normalized'!$E:$E, MATCH($A240, 'UZ-normalized'!$A:$A, 0))&gt;0, -(22*INDEX('UZ-normalized'!$D:$D, MATCH($A240, 'UZ-normalized'!$A:$A, 0))-INDEX('UZ-normalized'!$E:$E, MATCH($A240, 'UZ-normalized'!$A:$A, 0))), 0), 0)))</f>
        <v>-103.64000000000001</v>
      </c>
      <c r="AK240" s="6">
        <f>MIN(0, N240+(IFERROR(IF(23*INDEX('UA-normalized'!$D:$D, MATCH($A240, 'UA-normalized'!$A:$A, 0))-INDEX('UA-normalized'!$E:$E, MATCH($A240, 'UA-normalized'!$A:$A, 0))&gt;0, -(23*INDEX('UA-normalized'!$D:$D, MATCH($A240, 'UA-normalized'!$A:$A, 0))-INDEX('UA-normalized'!$E:$E, MATCH($A240, 'UA-normalized'!$A:$A, 0))), 0), 0))+(IFERROR(IF(23*INDEX('KZ-normalized'!$D:$D, MATCH($A240, 'KZ-normalized'!$A:$A, 0))-INDEX('KZ-normalized'!$E:$E, MATCH($A240, 'KZ-normalized'!$A:$A, 0))&gt;0, -(23*INDEX('KZ-normalized'!$D:$D, MATCH($A240, 'KZ-normalized'!$A:$A, 0))-INDEX('KZ-normalized'!$E:$E, MATCH($A240, 'KZ-normalized'!$A:$A, 0))), 0), 0))+(IFERROR(IF(23*INDEX('UZ-normalized'!$D:$D, MATCH($A240, 'UZ-normalized'!$A:$A, 0))-INDEX('UZ-normalized'!$E:$E, MATCH($A240, 'UZ-normalized'!$A:$A, 0))&gt;0, -(23*INDEX('UZ-normalized'!$D:$D, MATCH($A240, 'UZ-normalized'!$A:$A, 0))-INDEX('UZ-normalized'!$E:$E, MATCH($A240, 'UZ-normalized'!$A:$A, 0))), 0), 0)))</f>
        <v>-108.76</v>
      </c>
      <c r="AL240" s="6">
        <f>MIN(0, N240+(IFERROR(IF(24*INDEX('UA-normalized'!$D:$D, MATCH($A240, 'UA-normalized'!$A:$A, 0))-INDEX('UA-normalized'!$E:$E, MATCH($A240, 'UA-normalized'!$A:$A, 0))&gt;0, -(24*INDEX('UA-normalized'!$D:$D, MATCH($A240, 'UA-normalized'!$A:$A, 0))-INDEX('UA-normalized'!$E:$E, MATCH($A240, 'UA-normalized'!$A:$A, 0))), 0), 0))+(IFERROR(IF(24*INDEX('KZ-normalized'!$D:$D, MATCH($A240, 'KZ-normalized'!$A:$A, 0))-INDEX('KZ-normalized'!$E:$E, MATCH($A240, 'KZ-normalized'!$A:$A, 0))&gt;0, -(24*INDEX('KZ-normalized'!$D:$D, MATCH($A240, 'KZ-normalized'!$A:$A, 0))-INDEX('KZ-normalized'!$E:$E, MATCH($A240, 'KZ-normalized'!$A:$A, 0))), 0), 0))+(IFERROR(IF(24*INDEX('UZ-normalized'!$D:$D, MATCH($A240, 'UZ-normalized'!$A:$A, 0))-INDEX('UZ-normalized'!$E:$E, MATCH($A240, 'UZ-normalized'!$A:$A, 0))&gt;0, -(24*INDEX('UZ-normalized'!$D:$D, MATCH($A240, 'UZ-normalized'!$A:$A, 0))-INDEX('UZ-normalized'!$E:$E, MATCH($A240, 'UZ-normalized'!$A:$A, 0))), 0), 0)))</f>
        <v>-113.88000000000001</v>
      </c>
      <c r="AM240" s="6">
        <f>MIN(0, N240+(IFERROR(IF(25*INDEX('UA-normalized'!$D:$D, MATCH($A240, 'UA-normalized'!$A:$A, 0))-INDEX('UA-normalized'!$E:$E, MATCH($A240, 'UA-normalized'!$A:$A, 0))&gt;0, -(25*INDEX('UA-normalized'!$D:$D, MATCH($A240, 'UA-normalized'!$A:$A, 0))-INDEX('UA-normalized'!$E:$E, MATCH($A240, 'UA-normalized'!$A:$A, 0))), 0), 0))+(IFERROR(IF(25*INDEX('KZ-normalized'!$D:$D, MATCH($A240, 'KZ-normalized'!$A:$A, 0))-INDEX('KZ-normalized'!$E:$E, MATCH($A240, 'KZ-normalized'!$A:$A, 0))&gt;0, -(25*INDEX('KZ-normalized'!$D:$D, MATCH($A240, 'KZ-normalized'!$A:$A, 0))-INDEX('KZ-normalized'!$E:$E, MATCH($A240, 'KZ-normalized'!$A:$A, 0))), 0), 0))+(IFERROR(IF(25*INDEX('UZ-normalized'!$D:$D, MATCH($A240, 'UZ-normalized'!$A:$A, 0))-INDEX('UZ-normalized'!$E:$E, MATCH($A240, 'UZ-normalized'!$A:$A, 0))&gt;0, -(25*INDEX('UZ-normalized'!$D:$D, MATCH($A240, 'UZ-normalized'!$A:$A, 0))-INDEX('UZ-normalized'!$E:$E, MATCH($A240, 'UZ-normalized'!$A:$A, 0))), 0), 0)))</f>
        <v>-119</v>
      </c>
      <c r="AN240" s="6">
        <f>MIN(0, N240+(IFERROR(IF(26*INDEX('UA-normalized'!$D:$D, MATCH($A240, 'UA-normalized'!$A:$A, 0))-INDEX('UA-normalized'!$E:$E, MATCH($A240, 'UA-normalized'!$A:$A, 0))&gt;0, -(26*INDEX('UA-normalized'!$D:$D, MATCH($A240, 'UA-normalized'!$A:$A, 0))-INDEX('UA-normalized'!$E:$E, MATCH($A240, 'UA-normalized'!$A:$A, 0))), 0), 0))+(IFERROR(IF(26*INDEX('KZ-normalized'!$D:$D, MATCH($A240, 'KZ-normalized'!$A:$A, 0))-INDEX('KZ-normalized'!$E:$E, MATCH($A240, 'KZ-normalized'!$A:$A, 0))&gt;0, -(26*INDEX('KZ-normalized'!$D:$D, MATCH($A240, 'KZ-normalized'!$A:$A, 0))-INDEX('KZ-normalized'!$E:$E, MATCH($A240, 'KZ-normalized'!$A:$A, 0))), 0), 0))+(IFERROR(IF(26*INDEX('UZ-normalized'!$D:$D, MATCH($A240, 'UZ-normalized'!$A:$A, 0))-INDEX('UZ-normalized'!$E:$E, MATCH($A240, 'UZ-normalized'!$A:$A, 0))&gt;0, -(26*INDEX('UZ-normalized'!$D:$D, MATCH($A240, 'UZ-normalized'!$A:$A, 0))-INDEX('UZ-normalized'!$E:$E, MATCH($A240, 'UZ-normalized'!$A:$A, 0))), 0), 0)))</f>
        <v>-124.12</v>
      </c>
      <c r="AO240" s="6">
        <f>MIN(0, N240+(IFERROR(IF(27*INDEX('UA-normalized'!$D:$D, MATCH($A240, 'UA-normalized'!$A:$A, 0))-INDEX('UA-normalized'!$E:$E, MATCH($A240, 'UA-normalized'!$A:$A, 0))&gt;0, -(27*INDEX('UA-normalized'!$D:$D, MATCH($A240, 'UA-normalized'!$A:$A, 0))-INDEX('UA-normalized'!$E:$E, MATCH($A240, 'UA-normalized'!$A:$A, 0))), 0), 0))+(IFERROR(IF(27*INDEX('KZ-normalized'!$D:$D, MATCH($A240, 'KZ-normalized'!$A:$A, 0))-INDEX('KZ-normalized'!$E:$E, MATCH($A240, 'KZ-normalized'!$A:$A, 0))&gt;0, -(27*INDEX('KZ-normalized'!$D:$D, MATCH($A240, 'KZ-normalized'!$A:$A, 0))-INDEX('KZ-normalized'!$E:$E, MATCH($A240, 'KZ-normalized'!$A:$A, 0))), 0), 0))+(IFERROR(IF(27*INDEX('UZ-normalized'!$D:$D, MATCH($A240, 'UZ-normalized'!$A:$A, 0))-INDEX('UZ-normalized'!$E:$E, MATCH($A240, 'UZ-normalized'!$A:$A, 0))&gt;0, -(27*INDEX('UZ-normalized'!$D:$D, MATCH($A240, 'UZ-normalized'!$A:$A, 0))-INDEX('UZ-normalized'!$E:$E, MATCH($A240, 'UZ-normalized'!$A:$A, 0))), 0), 0)))</f>
        <v>-129.24</v>
      </c>
      <c r="AP240" s="6">
        <f>MIN(0, N240+(IFERROR(IF(28*INDEX('UA-normalized'!$D:$D, MATCH($A240, 'UA-normalized'!$A:$A, 0))-INDEX('UA-normalized'!$E:$E, MATCH($A240, 'UA-normalized'!$A:$A, 0))&gt;0, -(28*INDEX('UA-normalized'!$D:$D, MATCH($A240, 'UA-normalized'!$A:$A, 0))-INDEX('UA-normalized'!$E:$E, MATCH($A240, 'UA-normalized'!$A:$A, 0))), 0), 0))+(IFERROR(IF(28*INDEX('KZ-normalized'!$D:$D, MATCH($A240, 'KZ-normalized'!$A:$A, 0))-INDEX('KZ-normalized'!$E:$E, MATCH($A240, 'KZ-normalized'!$A:$A, 0))&gt;0, -(28*INDEX('KZ-normalized'!$D:$D, MATCH($A240, 'KZ-normalized'!$A:$A, 0))-INDEX('KZ-normalized'!$E:$E, MATCH($A240, 'KZ-normalized'!$A:$A, 0))), 0), 0))+(IFERROR(IF(28*INDEX('UZ-normalized'!$D:$D, MATCH($A240, 'UZ-normalized'!$A:$A, 0))-INDEX('UZ-normalized'!$E:$E, MATCH($A240, 'UZ-normalized'!$A:$A, 0))&gt;0, -(28*INDEX('UZ-normalized'!$D:$D, MATCH($A240, 'UZ-normalized'!$A:$A, 0))-INDEX('UZ-normalized'!$E:$E, MATCH($A240, 'UZ-normalized'!$A:$A, 0))), 0), 0)))</f>
        <v>-134.35999999999999</v>
      </c>
      <c r="AQ240" s="6">
        <f>MIN(0, N240+(IFERROR(IF(29*INDEX('UA-normalized'!$D:$D, MATCH($A240, 'UA-normalized'!$A:$A, 0))-INDEX('UA-normalized'!$E:$E, MATCH($A240, 'UA-normalized'!$A:$A, 0))&gt;0, -(29*INDEX('UA-normalized'!$D:$D, MATCH($A240, 'UA-normalized'!$A:$A, 0))-INDEX('UA-normalized'!$E:$E, MATCH($A240, 'UA-normalized'!$A:$A, 0))), 0), 0))+(IFERROR(IF(29*INDEX('KZ-normalized'!$D:$D, MATCH($A240, 'KZ-normalized'!$A:$A, 0))-INDEX('KZ-normalized'!$E:$E, MATCH($A240, 'KZ-normalized'!$A:$A, 0))&gt;0, -(29*INDEX('KZ-normalized'!$D:$D, MATCH($A240, 'KZ-normalized'!$A:$A, 0))-INDEX('KZ-normalized'!$E:$E, MATCH($A240, 'KZ-normalized'!$A:$A, 0))), 0), 0))+(IFERROR(IF(29*INDEX('UZ-normalized'!$D:$D, MATCH($A240, 'UZ-normalized'!$A:$A, 0))-INDEX('UZ-normalized'!$E:$E, MATCH($A240, 'UZ-normalized'!$A:$A, 0))&gt;0, -(29*INDEX('UZ-normalized'!$D:$D, MATCH($A240, 'UZ-normalized'!$A:$A, 0))-INDEX('UZ-normalized'!$E:$E, MATCH($A240, 'UZ-normalized'!$A:$A, 0))), 0), 0)))</f>
        <v>-139.48000000000002</v>
      </c>
      <c r="AR240" s="6">
        <f>MIN(0, N240+(IFERROR(IF(30*INDEX('UA-normalized'!$D:$D, MATCH($A240, 'UA-normalized'!$A:$A, 0))-INDEX('UA-normalized'!$E:$E, MATCH($A240, 'UA-normalized'!$A:$A, 0))&gt;0, -(30*INDEX('UA-normalized'!$D:$D, MATCH($A240, 'UA-normalized'!$A:$A, 0))-INDEX('UA-normalized'!$E:$E, MATCH($A240, 'UA-normalized'!$A:$A, 0))), 0), 0))+(IFERROR(IF(30*INDEX('KZ-normalized'!$D:$D, MATCH($A240, 'KZ-normalized'!$A:$A, 0))-INDEX('KZ-normalized'!$E:$E, MATCH($A240, 'KZ-normalized'!$A:$A, 0))&gt;0, -(30*INDEX('KZ-normalized'!$D:$D, MATCH($A240, 'KZ-normalized'!$A:$A, 0))-INDEX('KZ-normalized'!$E:$E, MATCH($A240, 'KZ-normalized'!$A:$A, 0))), 0), 0))+(IFERROR(IF(30*INDEX('UZ-normalized'!$D:$D, MATCH($A240, 'UZ-normalized'!$A:$A, 0))-INDEX('UZ-normalized'!$E:$E, MATCH($A240, 'UZ-normalized'!$A:$A, 0))&gt;0, -(30*INDEX('UZ-normalized'!$D:$D, MATCH($A240, 'UZ-normalized'!$A:$A, 0))-INDEX('UZ-normalized'!$E:$E, MATCH($A240, 'UZ-normalized'!$A:$A, 0))), 0), 0)))</f>
        <v>-144.6</v>
      </c>
    </row>
    <row r="241" spans="1:44" x14ac:dyDescent="0.25">
      <c r="A241" s="8" t="s">
        <v>567</v>
      </c>
      <c r="B241" s="8" t="s">
        <v>568</v>
      </c>
      <c r="C241" s="8" t="s">
        <v>569</v>
      </c>
      <c r="D241" s="8" t="s">
        <v>570</v>
      </c>
      <c r="E241">
        <v>1150</v>
      </c>
      <c r="F241">
        <v>743</v>
      </c>
      <c r="N241">
        <f t="shared" si="3"/>
        <v>1893</v>
      </c>
      <c r="O241" s="6">
        <f>MIN(0, N241+(IFERROR(IF(1*INDEX('UA-normalized'!$D:$D, MATCH($A241, 'UA-normalized'!$A:$A, 0))-INDEX('UA-normalized'!$E:$E, MATCH($A241, 'UA-normalized'!$A:$A, 0))&gt;0, -(1*INDEX('UA-normalized'!$D:$D, MATCH($A241, 'UA-normalized'!$A:$A, 0))-INDEX('UA-normalized'!$E:$E, MATCH($A241, 'UA-normalized'!$A:$A, 0))), 0), 0))+(IFERROR(IF(1*INDEX('KZ-normalized'!$D:$D, MATCH($A241, 'KZ-normalized'!$A:$A, 0))-INDEX('KZ-normalized'!$E:$E, MATCH($A241, 'KZ-normalized'!$A:$A, 0))&gt;0, -(1*INDEX('KZ-normalized'!$D:$D, MATCH($A241, 'KZ-normalized'!$A:$A, 0))-INDEX('KZ-normalized'!$E:$E, MATCH($A241, 'KZ-normalized'!$A:$A, 0))), 0), 0))+(IFERROR(IF(1*INDEX('UZ-normalized'!$D:$D, MATCH($A241, 'UZ-normalized'!$A:$A, 0))-INDEX('UZ-normalized'!$E:$E, MATCH($A241, 'UZ-normalized'!$A:$A, 0))&gt;0, -(1*INDEX('UZ-normalized'!$D:$D, MATCH($A241, 'UZ-normalized'!$A:$A, 0))-INDEX('UZ-normalized'!$E:$E, MATCH($A241, 'UZ-normalized'!$A:$A, 0))), 0), 0)))</f>
        <v>0</v>
      </c>
      <c r="P241" s="6">
        <f>MIN(0, N241+(IFERROR(IF(2*INDEX('UA-normalized'!$D:$D, MATCH($A241, 'UA-normalized'!$A:$A, 0))-INDEX('UA-normalized'!$E:$E, MATCH($A241, 'UA-normalized'!$A:$A, 0))&gt;0, -(2*INDEX('UA-normalized'!$D:$D, MATCH($A241, 'UA-normalized'!$A:$A, 0))-INDEX('UA-normalized'!$E:$E, MATCH($A241, 'UA-normalized'!$A:$A, 0))), 0), 0))+(IFERROR(IF(2*INDEX('KZ-normalized'!$D:$D, MATCH($A241, 'KZ-normalized'!$A:$A, 0))-INDEX('KZ-normalized'!$E:$E, MATCH($A241, 'KZ-normalized'!$A:$A, 0))&gt;0, -(2*INDEX('KZ-normalized'!$D:$D, MATCH($A241, 'KZ-normalized'!$A:$A, 0))-INDEX('KZ-normalized'!$E:$E, MATCH($A241, 'KZ-normalized'!$A:$A, 0))), 0), 0))+(IFERROR(IF(2*INDEX('UZ-normalized'!$D:$D, MATCH($A241, 'UZ-normalized'!$A:$A, 0))-INDEX('UZ-normalized'!$E:$E, MATCH($A241, 'UZ-normalized'!$A:$A, 0))&gt;0, -(2*INDEX('UZ-normalized'!$D:$D, MATCH($A241, 'UZ-normalized'!$A:$A, 0))-INDEX('UZ-normalized'!$E:$E, MATCH($A241, 'UZ-normalized'!$A:$A, 0))), 0), 0)))</f>
        <v>0</v>
      </c>
      <c r="Q241" s="6">
        <f>MIN(0, N241+(IFERROR(IF(3*INDEX('UA-normalized'!$D:$D, MATCH($A241, 'UA-normalized'!$A:$A, 0))-INDEX('UA-normalized'!$E:$E, MATCH($A241, 'UA-normalized'!$A:$A, 0))&gt;0, -(3*INDEX('UA-normalized'!$D:$D, MATCH($A241, 'UA-normalized'!$A:$A, 0))-INDEX('UA-normalized'!$E:$E, MATCH($A241, 'UA-normalized'!$A:$A, 0))), 0), 0))+(IFERROR(IF(3*INDEX('KZ-normalized'!$D:$D, MATCH($A241, 'KZ-normalized'!$A:$A, 0))-INDEX('KZ-normalized'!$E:$E, MATCH($A241, 'KZ-normalized'!$A:$A, 0))&gt;0, -(3*INDEX('KZ-normalized'!$D:$D, MATCH($A241, 'KZ-normalized'!$A:$A, 0))-INDEX('KZ-normalized'!$E:$E, MATCH($A241, 'KZ-normalized'!$A:$A, 0))), 0), 0))+(IFERROR(IF(3*INDEX('UZ-normalized'!$D:$D, MATCH($A241, 'UZ-normalized'!$A:$A, 0))-INDEX('UZ-normalized'!$E:$E, MATCH($A241, 'UZ-normalized'!$A:$A, 0))&gt;0, -(3*INDEX('UZ-normalized'!$D:$D, MATCH($A241, 'UZ-normalized'!$A:$A, 0))-INDEX('UZ-normalized'!$E:$E, MATCH($A241, 'UZ-normalized'!$A:$A, 0))), 0), 0)))</f>
        <v>0</v>
      </c>
      <c r="R241" s="6">
        <f>MIN(0, N241+(IFERROR(IF(4*INDEX('UA-normalized'!$D:$D, MATCH($A241, 'UA-normalized'!$A:$A, 0))-INDEX('UA-normalized'!$E:$E, MATCH($A241, 'UA-normalized'!$A:$A, 0))&gt;0, -(4*INDEX('UA-normalized'!$D:$D, MATCH($A241, 'UA-normalized'!$A:$A, 0))-INDEX('UA-normalized'!$E:$E, MATCH($A241, 'UA-normalized'!$A:$A, 0))), 0), 0))+(IFERROR(IF(4*INDEX('KZ-normalized'!$D:$D, MATCH($A241, 'KZ-normalized'!$A:$A, 0))-INDEX('KZ-normalized'!$E:$E, MATCH($A241, 'KZ-normalized'!$A:$A, 0))&gt;0, -(4*INDEX('KZ-normalized'!$D:$D, MATCH($A241, 'KZ-normalized'!$A:$A, 0))-INDEX('KZ-normalized'!$E:$E, MATCH($A241, 'KZ-normalized'!$A:$A, 0))), 0), 0))+(IFERROR(IF(4*INDEX('UZ-normalized'!$D:$D, MATCH($A241, 'UZ-normalized'!$A:$A, 0))-INDEX('UZ-normalized'!$E:$E, MATCH($A241, 'UZ-normalized'!$A:$A, 0))&gt;0, -(4*INDEX('UZ-normalized'!$D:$D, MATCH($A241, 'UZ-normalized'!$A:$A, 0))-INDEX('UZ-normalized'!$E:$E, MATCH($A241, 'UZ-normalized'!$A:$A, 0))), 0), 0)))</f>
        <v>0</v>
      </c>
      <c r="S241" s="6">
        <f>MIN(0, N241+(IFERROR(IF(5*INDEX('UA-normalized'!$D:$D, MATCH($A241, 'UA-normalized'!$A:$A, 0))-INDEX('UA-normalized'!$E:$E, MATCH($A241, 'UA-normalized'!$A:$A, 0))&gt;0, -(5*INDEX('UA-normalized'!$D:$D, MATCH($A241, 'UA-normalized'!$A:$A, 0))-INDEX('UA-normalized'!$E:$E, MATCH($A241, 'UA-normalized'!$A:$A, 0))), 0), 0))+(IFERROR(IF(5*INDEX('KZ-normalized'!$D:$D, MATCH($A241, 'KZ-normalized'!$A:$A, 0))-INDEX('KZ-normalized'!$E:$E, MATCH($A241, 'KZ-normalized'!$A:$A, 0))&gt;0, -(5*INDEX('KZ-normalized'!$D:$D, MATCH($A241, 'KZ-normalized'!$A:$A, 0))-INDEX('KZ-normalized'!$E:$E, MATCH($A241, 'KZ-normalized'!$A:$A, 0))), 0), 0))+(IFERROR(IF(5*INDEX('UZ-normalized'!$D:$D, MATCH($A241, 'UZ-normalized'!$A:$A, 0))-INDEX('UZ-normalized'!$E:$E, MATCH($A241, 'UZ-normalized'!$A:$A, 0))&gt;0, -(5*INDEX('UZ-normalized'!$D:$D, MATCH($A241, 'UZ-normalized'!$A:$A, 0))-INDEX('UZ-normalized'!$E:$E, MATCH($A241, 'UZ-normalized'!$A:$A, 0))), 0), 0)))</f>
        <v>0</v>
      </c>
      <c r="T241" s="6">
        <f>MIN(0, N241+(IFERROR(IF(6*INDEX('UA-normalized'!$D:$D, MATCH($A241, 'UA-normalized'!$A:$A, 0))-INDEX('UA-normalized'!$E:$E, MATCH($A241, 'UA-normalized'!$A:$A, 0))&gt;0, -(6*INDEX('UA-normalized'!$D:$D, MATCH($A241, 'UA-normalized'!$A:$A, 0))-INDEX('UA-normalized'!$E:$E, MATCH($A241, 'UA-normalized'!$A:$A, 0))), 0), 0))+(IFERROR(IF(6*INDEX('KZ-normalized'!$D:$D, MATCH($A241, 'KZ-normalized'!$A:$A, 0))-INDEX('KZ-normalized'!$E:$E, MATCH($A241, 'KZ-normalized'!$A:$A, 0))&gt;0, -(6*INDEX('KZ-normalized'!$D:$D, MATCH($A241, 'KZ-normalized'!$A:$A, 0))-INDEX('KZ-normalized'!$E:$E, MATCH($A241, 'KZ-normalized'!$A:$A, 0))), 0), 0))+(IFERROR(IF(6*INDEX('UZ-normalized'!$D:$D, MATCH($A241, 'UZ-normalized'!$A:$A, 0))-INDEX('UZ-normalized'!$E:$E, MATCH($A241, 'UZ-normalized'!$A:$A, 0))&gt;0, -(6*INDEX('UZ-normalized'!$D:$D, MATCH($A241, 'UZ-normalized'!$A:$A, 0))-INDEX('UZ-normalized'!$E:$E, MATCH($A241, 'UZ-normalized'!$A:$A, 0))), 0), 0)))</f>
        <v>0</v>
      </c>
      <c r="U241" s="6">
        <f>MIN(0, N241+(IFERROR(IF(7*INDEX('UA-normalized'!$D:$D, MATCH($A241, 'UA-normalized'!$A:$A, 0))-INDEX('UA-normalized'!$E:$E, MATCH($A241, 'UA-normalized'!$A:$A, 0))&gt;0, -(7*INDEX('UA-normalized'!$D:$D, MATCH($A241, 'UA-normalized'!$A:$A, 0))-INDEX('UA-normalized'!$E:$E, MATCH($A241, 'UA-normalized'!$A:$A, 0))), 0), 0))+(IFERROR(IF(7*INDEX('KZ-normalized'!$D:$D, MATCH($A241, 'KZ-normalized'!$A:$A, 0))-INDEX('KZ-normalized'!$E:$E, MATCH($A241, 'KZ-normalized'!$A:$A, 0))&gt;0, -(7*INDEX('KZ-normalized'!$D:$D, MATCH($A241, 'KZ-normalized'!$A:$A, 0))-INDEX('KZ-normalized'!$E:$E, MATCH($A241, 'KZ-normalized'!$A:$A, 0))), 0), 0))+(IFERROR(IF(7*INDEX('UZ-normalized'!$D:$D, MATCH($A241, 'UZ-normalized'!$A:$A, 0))-INDEX('UZ-normalized'!$E:$E, MATCH($A241, 'UZ-normalized'!$A:$A, 0))&gt;0, -(7*INDEX('UZ-normalized'!$D:$D, MATCH($A241, 'UZ-normalized'!$A:$A, 0))-INDEX('UZ-normalized'!$E:$E, MATCH($A241, 'UZ-normalized'!$A:$A, 0))), 0), 0)))</f>
        <v>0</v>
      </c>
      <c r="V241" s="6">
        <f>MIN(0, N241+(IFERROR(IF(8*INDEX('UA-normalized'!$D:$D, MATCH($A241, 'UA-normalized'!$A:$A, 0))-INDEX('UA-normalized'!$E:$E, MATCH($A241, 'UA-normalized'!$A:$A, 0))&gt;0, -(8*INDEX('UA-normalized'!$D:$D, MATCH($A241, 'UA-normalized'!$A:$A, 0))-INDEX('UA-normalized'!$E:$E, MATCH($A241, 'UA-normalized'!$A:$A, 0))), 0), 0))+(IFERROR(IF(8*INDEX('KZ-normalized'!$D:$D, MATCH($A241, 'KZ-normalized'!$A:$A, 0))-INDEX('KZ-normalized'!$E:$E, MATCH($A241, 'KZ-normalized'!$A:$A, 0))&gt;0, -(8*INDEX('KZ-normalized'!$D:$D, MATCH($A241, 'KZ-normalized'!$A:$A, 0))-INDEX('KZ-normalized'!$E:$E, MATCH($A241, 'KZ-normalized'!$A:$A, 0))), 0), 0))+(IFERROR(IF(8*INDEX('UZ-normalized'!$D:$D, MATCH($A241, 'UZ-normalized'!$A:$A, 0))-INDEX('UZ-normalized'!$E:$E, MATCH($A241, 'UZ-normalized'!$A:$A, 0))&gt;0, -(8*INDEX('UZ-normalized'!$D:$D, MATCH($A241, 'UZ-normalized'!$A:$A, 0))-INDEX('UZ-normalized'!$E:$E, MATCH($A241, 'UZ-normalized'!$A:$A, 0))), 0), 0)))</f>
        <v>0</v>
      </c>
      <c r="W241" s="6">
        <f>MIN(0, N241+(IFERROR(IF(9*INDEX('UA-normalized'!$D:$D, MATCH($A241, 'UA-normalized'!$A:$A, 0))-INDEX('UA-normalized'!$E:$E, MATCH($A241, 'UA-normalized'!$A:$A, 0))&gt;0, -(9*INDEX('UA-normalized'!$D:$D, MATCH($A241, 'UA-normalized'!$A:$A, 0))-INDEX('UA-normalized'!$E:$E, MATCH($A241, 'UA-normalized'!$A:$A, 0))), 0), 0))+(IFERROR(IF(9*INDEX('KZ-normalized'!$D:$D, MATCH($A241, 'KZ-normalized'!$A:$A, 0))-INDEX('KZ-normalized'!$E:$E, MATCH($A241, 'KZ-normalized'!$A:$A, 0))&gt;0, -(9*INDEX('KZ-normalized'!$D:$D, MATCH($A241, 'KZ-normalized'!$A:$A, 0))-INDEX('KZ-normalized'!$E:$E, MATCH($A241, 'KZ-normalized'!$A:$A, 0))), 0), 0))+(IFERROR(IF(9*INDEX('UZ-normalized'!$D:$D, MATCH($A241, 'UZ-normalized'!$A:$A, 0))-INDEX('UZ-normalized'!$E:$E, MATCH($A241, 'UZ-normalized'!$A:$A, 0))&gt;0, -(9*INDEX('UZ-normalized'!$D:$D, MATCH($A241, 'UZ-normalized'!$A:$A, 0))-INDEX('UZ-normalized'!$E:$E, MATCH($A241, 'UZ-normalized'!$A:$A, 0))), 0), 0)))</f>
        <v>0</v>
      </c>
      <c r="X241" s="6">
        <f>MIN(0, N241+(IFERROR(IF(10*INDEX('UA-normalized'!$D:$D, MATCH($A241, 'UA-normalized'!$A:$A, 0))-INDEX('UA-normalized'!$E:$E, MATCH($A241, 'UA-normalized'!$A:$A, 0))&gt;0, -(10*INDEX('UA-normalized'!$D:$D, MATCH($A241, 'UA-normalized'!$A:$A, 0))-INDEX('UA-normalized'!$E:$E, MATCH($A241, 'UA-normalized'!$A:$A, 0))), 0), 0))+(IFERROR(IF(10*INDEX('KZ-normalized'!$D:$D, MATCH($A241, 'KZ-normalized'!$A:$A, 0))-INDEX('KZ-normalized'!$E:$E, MATCH($A241, 'KZ-normalized'!$A:$A, 0))&gt;0, -(10*INDEX('KZ-normalized'!$D:$D, MATCH($A241, 'KZ-normalized'!$A:$A, 0))-INDEX('KZ-normalized'!$E:$E, MATCH($A241, 'KZ-normalized'!$A:$A, 0))), 0), 0))+(IFERROR(IF(10*INDEX('UZ-normalized'!$D:$D, MATCH($A241, 'UZ-normalized'!$A:$A, 0))-INDEX('UZ-normalized'!$E:$E, MATCH($A241, 'UZ-normalized'!$A:$A, 0))&gt;0, -(10*INDEX('UZ-normalized'!$D:$D, MATCH($A241, 'UZ-normalized'!$A:$A, 0))-INDEX('UZ-normalized'!$E:$E, MATCH($A241, 'UZ-normalized'!$A:$A, 0))), 0), 0)))</f>
        <v>0</v>
      </c>
      <c r="Y241" s="6">
        <f>MIN(0, N241+(IFERROR(IF(11*INDEX('UA-normalized'!$D:$D, MATCH($A241, 'UA-normalized'!$A:$A, 0))-INDEX('UA-normalized'!$E:$E, MATCH($A241, 'UA-normalized'!$A:$A, 0))&gt;0, -(11*INDEX('UA-normalized'!$D:$D, MATCH($A241, 'UA-normalized'!$A:$A, 0))-INDEX('UA-normalized'!$E:$E, MATCH($A241, 'UA-normalized'!$A:$A, 0))), 0), 0))+(IFERROR(IF(11*INDEX('KZ-normalized'!$D:$D, MATCH($A241, 'KZ-normalized'!$A:$A, 0))-INDEX('KZ-normalized'!$E:$E, MATCH($A241, 'KZ-normalized'!$A:$A, 0))&gt;0, -(11*INDEX('KZ-normalized'!$D:$D, MATCH($A241, 'KZ-normalized'!$A:$A, 0))-INDEX('KZ-normalized'!$E:$E, MATCH($A241, 'KZ-normalized'!$A:$A, 0))), 0), 0))+(IFERROR(IF(11*INDEX('UZ-normalized'!$D:$D, MATCH($A241, 'UZ-normalized'!$A:$A, 0))-INDEX('UZ-normalized'!$E:$E, MATCH($A241, 'UZ-normalized'!$A:$A, 0))&gt;0, -(11*INDEX('UZ-normalized'!$D:$D, MATCH($A241, 'UZ-normalized'!$A:$A, 0))-INDEX('UZ-normalized'!$E:$E, MATCH($A241, 'UZ-normalized'!$A:$A, 0))), 0), 0)))</f>
        <v>0</v>
      </c>
      <c r="Z241" s="6">
        <f>MIN(0, N241+(IFERROR(IF(12*INDEX('UA-normalized'!$D:$D, MATCH($A241, 'UA-normalized'!$A:$A, 0))-INDEX('UA-normalized'!$E:$E, MATCH($A241, 'UA-normalized'!$A:$A, 0))&gt;0, -(12*INDEX('UA-normalized'!$D:$D, MATCH($A241, 'UA-normalized'!$A:$A, 0))-INDEX('UA-normalized'!$E:$E, MATCH($A241, 'UA-normalized'!$A:$A, 0))), 0), 0))+(IFERROR(IF(12*INDEX('KZ-normalized'!$D:$D, MATCH($A241, 'KZ-normalized'!$A:$A, 0))-INDEX('KZ-normalized'!$E:$E, MATCH($A241, 'KZ-normalized'!$A:$A, 0))&gt;0, -(12*INDEX('KZ-normalized'!$D:$D, MATCH($A241, 'KZ-normalized'!$A:$A, 0))-INDEX('KZ-normalized'!$E:$E, MATCH($A241, 'KZ-normalized'!$A:$A, 0))), 0), 0))+(IFERROR(IF(12*INDEX('UZ-normalized'!$D:$D, MATCH($A241, 'UZ-normalized'!$A:$A, 0))-INDEX('UZ-normalized'!$E:$E, MATCH($A241, 'UZ-normalized'!$A:$A, 0))&gt;0, -(12*INDEX('UZ-normalized'!$D:$D, MATCH($A241, 'UZ-normalized'!$A:$A, 0))-INDEX('UZ-normalized'!$E:$E, MATCH($A241, 'UZ-normalized'!$A:$A, 0))), 0), 0)))</f>
        <v>0</v>
      </c>
      <c r="AA241" s="6">
        <f>MIN(0, N241+(IFERROR(IF(13*INDEX('UA-normalized'!$D:$D, MATCH($A241, 'UA-normalized'!$A:$A, 0))-INDEX('UA-normalized'!$E:$E, MATCH($A241, 'UA-normalized'!$A:$A, 0))&gt;0, -(13*INDEX('UA-normalized'!$D:$D, MATCH($A241, 'UA-normalized'!$A:$A, 0))-INDEX('UA-normalized'!$E:$E, MATCH($A241, 'UA-normalized'!$A:$A, 0))), 0), 0))+(IFERROR(IF(13*INDEX('KZ-normalized'!$D:$D, MATCH($A241, 'KZ-normalized'!$A:$A, 0))-INDEX('KZ-normalized'!$E:$E, MATCH($A241, 'KZ-normalized'!$A:$A, 0))&gt;0, -(13*INDEX('KZ-normalized'!$D:$D, MATCH($A241, 'KZ-normalized'!$A:$A, 0))-INDEX('KZ-normalized'!$E:$E, MATCH($A241, 'KZ-normalized'!$A:$A, 0))), 0), 0))+(IFERROR(IF(13*INDEX('UZ-normalized'!$D:$D, MATCH($A241, 'UZ-normalized'!$A:$A, 0))-INDEX('UZ-normalized'!$E:$E, MATCH($A241, 'UZ-normalized'!$A:$A, 0))&gt;0, -(13*INDEX('UZ-normalized'!$D:$D, MATCH($A241, 'UZ-normalized'!$A:$A, 0))-INDEX('UZ-normalized'!$E:$E, MATCH($A241, 'UZ-normalized'!$A:$A, 0))), 0), 0)))</f>
        <v>0</v>
      </c>
      <c r="AB241" s="6">
        <f>MIN(0, N241+(IFERROR(IF(14*INDEX('UA-normalized'!$D:$D, MATCH($A241, 'UA-normalized'!$A:$A, 0))-INDEX('UA-normalized'!$E:$E, MATCH($A241, 'UA-normalized'!$A:$A, 0))&gt;0, -(14*INDEX('UA-normalized'!$D:$D, MATCH($A241, 'UA-normalized'!$A:$A, 0))-INDEX('UA-normalized'!$E:$E, MATCH($A241, 'UA-normalized'!$A:$A, 0))), 0), 0))+(IFERROR(IF(14*INDEX('KZ-normalized'!$D:$D, MATCH($A241, 'KZ-normalized'!$A:$A, 0))-INDEX('KZ-normalized'!$E:$E, MATCH($A241, 'KZ-normalized'!$A:$A, 0))&gt;0, -(14*INDEX('KZ-normalized'!$D:$D, MATCH($A241, 'KZ-normalized'!$A:$A, 0))-INDEX('KZ-normalized'!$E:$E, MATCH($A241, 'KZ-normalized'!$A:$A, 0))), 0), 0))+(IFERROR(IF(14*INDEX('UZ-normalized'!$D:$D, MATCH($A241, 'UZ-normalized'!$A:$A, 0))-INDEX('UZ-normalized'!$E:$E, MATCH($A241, 'UZ-normalized'!$A:$A, 0))&gt;0, -(14*INDEX('UZ-normalized'!$D:$D, MATCH($A241, 'UZ-normalized'!$A:$A, 0))-INDEX('UZ-normalized'!$E:$E, MATCH($A241, 'UZ-normalized'!$A:$A, 0))), 0), 0)))</f>
        <v>0</v>
      </c>
      <c r="AC241" s="6">
        <f>MIN(0, N241+(IFERROR(IF(15*INDEX('UA-normalized'!$D:$D, MATCH($A241, 'UA-normalized'!$A:$A, 0))-INDEX('UA-normalized'!$E:$E, MATCH($A241, 'UA-normalized'!$A:$A, 0))&gt;0, -(15*INDEX('UA-normalized'!$D:$D, MATCH($A241, 'UA-normalized'!$A:$A, 0))-INDEX('UA-normalized'!$E:$E, MATCH($A241, 'UA-normalized'!$A:$A, 0))), 0), 0))+(IFERROR(IF(15*INDEX('KZ-normalized'!$D:$D, MATCH($A241, 'KZ-normalized'!$A:$A, 0))-INDEX('KZ-normalized'!$E:$E, MATCH($A241, 'KZ-normalized'!$A:$A, 0))&gt;0, -(15*INDEX('KZ-normalized'!$D:$D, MATCH($A241, 'KZ-normalized'!$A:$A, 0))-INDEX('KZ-normalized'!$E:$E, MATCH($A241, 'KZ-normalized'!$A:$A, 0))), 0), 0))+(IFERROR(IF(15*INDEX('UZ-normalized'!$D:$D, MATCH($A241, 'UZ-normalized'!$A:$A, 0))-INDEX('UZ-normalized'!$E:$E, MATCH($A241, 'UZ-normalized'!$A:$A, 0))&gt;0, -(15*INDEX('UZ-normalized'!$D:$D, MATCH($A241, 'UZ-normalized'!$A:$A, 0))-INDEX('UZ-normalized'!$E:$E, MATCH($A241, 'UZ-normalized'!$A:$A, 0))), 0), 0)))</f>
        <v>0</v>
      </c>
      <c r="AD241" s="6">
        <f>MIN(0, N241+(IFERROR(IF(16*INDEX('UA-normalized'!$D:$D, MATCH($A241, 'UA-normalized'!$A:$A, 0))-INDEX('UA-normalized'!$E:$E, MATCH($A241, 'UA-normalized'!$A:$A, 0))&gt;0, -(16*INDEX('UA-normalized'!$D:$D, MATCH($A241, 'UA-normalized'!$A:$A, 0))-INDEX('UA-normalized'!$E:$E, MATCH($A241, 'UA-normalized'!$A:$A, 0))), 0), 0))+(IFERROR(IF(16*INDEX('KZ-normalized'!$D:$D, MATCH($A241, 'KZ-normalized'!$A:$A, 0))-INDEX('KZ-normalized'!$E:$E, MATCH($A241, 'KZ-normalized'!$A:$A, 0))&gt;0, -(16*INDEX('KZ-normalized'!$D:$D, MATCH($A241, 'KZ-normalized'!$A:$A, 0))-INDEX('KZ-normalized'!$E:$E, MATCH($A241, 'KZ-normalized'!$A:$A, 0))), 0), 0))+(IFERROR(IF(16*INDEX('UZ-normalized'!$D:$D, MATCH($A241, 'UZ-normalized'!$A:$A, 0))-INDEX('UZ-normalized'!$E:$E, MATCH($A241, 'UZ-normalized'!$A:$A, 0))&gt;0, -(16*INDEX('UZ-normalized'!$D:$D, MATCH($A241, 'UZ-normalized'!$A:$A, 0))-INDEX('UZ-normalized'!$E:$E, MATCH($A241, 'UZ-normalized'!$A:$A, 0))), 0), 0)))</f>
        <v>0</v>
      </c>
      <c r="AE241" s="6">
        <f>MIN(0, N241+(IFERROR(IF(17*INDEX('UA-normalized'!$D:$D, MATCH($A241, 'UA-normalized'!$A:$A, 0))-INDEX('UA-normalized'!$E:$E, MATCH($A241, 'UA-normalized'!$A:$A, 0))&gt;0, -(17*INDEX('UA-normalized'!$D:$D, MATCH($A241, 'UA-normalized'!$A:$A, 0))-INDEX('UA-normalized'!$E:$E, MATCH($A241, 'UA-normalized'!$A:$A, 0))), 0), 0))+(IFERROR(IF(17*INDEX('KZ-normalized'!$D:$D, MATCH($A241, 'KZ-normalized'!$A:$A, 0))-INDEX('KZ-normalized'!$E:$E, MATCH($A241, 'KZ-normalized'!$A:$A, 0))&gt;0, -(17*INDEX('KZ-normalized'!$D:$D, MATCH($A241, 'KZ-normalized'!$A:$A, 0))-INDEX('KZ-normalized'!$E:$E, MATCH($A241, 'KZ-normalized'!$A:$A, 0))), 0), 0))+(IFERROR(IF(17*INDEX('UZ-normalized'!$D:$D, MATCH($A241, 'UZ-normalized'!$A:$A, 0))-INDEX('UZ-normalized'!$E:$E, MATCH($A241, 'UZ-normalized'!$A:$A, 0))&gt;0, -(17*INDEX('UZ-normalized'!$D:$D, MATCH($A241, 'UZ-normalized'!$A:$A, 0))-INDEX('UZ-normalized'!$E:$E, MATCH($A241, 'UZ-normalized'!$A:$A, 0))), 0), 0)))</f>
        <v>0</v>
      </c>
      <c r="AF241" s="6">
        <f>MIN(0, N241+(IFERROR(IF(18*INDEX('UA-normalized'!$D:$D, MATCH($A241, 'UA-normalized'!$A:$A, 0))-INDEX('UA-normalized'!$E:$E, MATCH($A241, 'UA-normalized'!$A:$A, 0))&gt;0, -(18*INDEX('UA-normalized'!$D:$D, MATCH($A241, 'UA-normalized'!$A:$A, 0))-INDEX('UA-normalized'!$E:$E, MATCH($A241, 'UA-normalized'!$A:$A, 0))), 0), 0))+(IFERROR(IF(18*INDEX('KZ-normalized'!$D:$D, MATCH($A241, 'KZ-normalized'!$A:$A, 0))-INDEX('KZ-normalized'!$E:$E, MATCH($A241, 'KZ-normalized'!$A:$A, 0))&gt;0, -(18*INDEX('KZ-normalized'!$D:$D, MATCH($A241, 'KZ-normalized'!$A:$A, 0))-INDEX('KZ-normalized'!$E:$E, MATCH($A241, 'KZ-normalized'!$A:$A, 0))), 0), 0))+(IFERROR(IF(18*INDEX('UZ-normalized'!$D:$D, MATCH($A241, 'UZ-normalized'!$A:$A, 0))-INDEX('UZ-normalized'!$E:$E, MATCH($A241, 'UZ-normalized'!$A:$A, 0))&gt;0, -(18*INDEX('UZ-normalized'!$D:$D, MATCH($A241, 'UZ-normalized'!$A:$A, 0))-INDEX('UZ-normalized'!$E:$E, MATCH($A241, 'UZ-normalized'!$A:$A, 0))), 0), 0)))</f>
        <v>0</v>
      </c>
      <c r="AG241" s="6">
        <f>MIN(0, N241+(IFERROR(IF(19*INDEX('UA-normalized'!$D:$D, MATCH($A241, 'UA-normalized'!$A:$A, 0))-INDEX('UA-normalized'!$E:$E, MATCH($A241, 'UA-normalized'!$A:$A, 0))&gt;0, -(19*INDEX('UA-normalized'!$D:$D, MATCH($A241, 'UA-normalized'!$A:$A, 0))-INDEX('UA-normalized'!$E:$E, MATCH($A241, 'UA-normalized'!$A:$A, 0))), 0), 0))+(IFERROR(IF(19*INDEX('KZ-normalized'!$D:$D, MATCH($A241, 'KZ-normalized'!$A:$A, 0))-INDEX('KZ-normalized'!$E:$E, MATCH($A241, 'KZ-normalized'!$A:$A, 0))&gt;0, -(19*INDEX('KZ-normalized'!$D:$D, MATCH($A241, 'KZ-normalized'!$A:$A, 0))-INDEX('KZ-normalized'!$E:$E, MATCH($A241, 'KZ-normalized'!$A:$A, 0))), 0), 0))+(IFERROR(IF(19*INDEX('UZ-normalized'!$D:$D, MATCH($A241, 'UZ-normalized'!$A:$A, 0))-INDEX('UZ-normalized'!$E:$E, MATCH($A241, 'UZ-normalized'!$A:$A, 0))&gt;0, -(19*INDEX('UZ-normalized'!$D:$D, MATCH($A241, 'UZ-normalized'!$A:$A, 0))-INDEX('UZ-normalized'!$E:$E, MATCH($A241, 'UZ-normalized'!$A:$A, 0))), 0), 0)))</f>
        <v>0</v>
      </c>
      <c r="AH241" s="6">
        <f>MIN(0, N241+(IFERROR(IF(20*INDEX('UA-normalized'!$D:$D, MATCH($A241, 'UA-normalized'!$A:$A, 0))-INDEX('UA-normalized'!$E:$E, MATCH($A241, 'UA-normalized'!$A:$A, 0))&gt;0, -(20*INDEX('UA-normalized'!$D:$D, MATCH($A241, 'UA-normalized'!$A:$A, 0))-INDEX('UA-normalized'!$E:$E, MATCH($A241, 'UA-normalized'!$A:$A, 0))), 0), 0))+(IFERROR(IF(20*INDEX('KZ-normalized'!$D:$D, MATCH($A241, 'KZ-normalized'!$A:$A, 0))-INDEX('KZ-normalized'!$E:$E, MATCH($A241, 'KZ-normalized'!$A:$A, 0))&gt;0, -(20*INDEX('KZ-normalized'!$D:$D, MATCH($A241, 'KZ-normalized'!$A:$A, 0))-INDEX('KZ-normalized'!$E:$E, MATCH($A241, 'KZ-normalized'!$A:$A, 0))), 0), 0))+(IFERROR(IF(20*INDEX('UZ-normalized'!$D:$D, MATCH($A241, 'UZ-normalized'!$A:$A, 0))-INDEX('UZ-normalized'!$E:$E, MATCH($A241, 'UZ-normalized'!$A:$A, 0))&gt;0, -(20*INDEX('UZ-normalized'!$D:$D, MATCH($A241, 'UZ-normalized'!$A:$A, 0))-INDEX('UZ-normalized'!$E:$E, MATCH($A241, 'UZ-normalized'!$A:$A, 0))), 0), 0)))</f>
        <v>0</v>
      </c>
      <c r="AI241" s="6">
        <f>MIN(0, N241+(IFERROR(IF(21*INDEX('UA-normalized'!$D:$D, MATCH($A241, 'UA-normalized'!$A:$A, 0))-INDEX('UA-normalized'!$E:$E, MATCH($A241, 'UA-normalized'!$A:$A, 0))&gt;0, -(21*INDEX('UA-normalized'!$D:$D, MATCH($A241, 'UA-normalized'!$A:$A, 0))-INDEX('UA-normalized'!$E:$E, MATCH($A241, 'UA-normalized'!$A:$A, 0))), 0), 0))+(IFERROR(IF(21*INDEX('KZ-normalized'!$D:$D, MATCH($A241, 'KZ-normalized'!$A:$A, 0))-INDEX('KZ-normalized'!$E:$E, MATCH($A241, 'KZ-normalized'!$A:$A, 0))&gt;0, -(21*INDEX('KZ-normalized'!$D:$D, MATCH($A241, 'KZ-normalized'!$A:$A, 0))-INDEX('KZ-normalized'!$E:$E, MATCH($A241, 'KZ-normalized'!$A:$A, 0))), 0), 0))+(IFERROR(IF(21*INDEX('UZ-normalized'!$D:$D, MATCH($A241, 'UZ-normalized'!$A:$A, 0))-INDEX('UZ-normalized'!$E:$E, MATCH($A241, 'UZ-normalized'!$A:$A, 0))&gt;0, -(21*INDEX('UZ-normalized'!$D:$D, MATCH($A241, 'UZ-normalized'!$A:$A, 0))-INDEX('UZ-normalized'!$E:$E, MATCH($A241, 'UZ-normalized'!$A:$A, 0))), 0), 0)))</f>
        <v>0</v>
      </c>
      <c r="AJ241" s="6">
        <f>MIN(0, N241+(IFERROR(IF(22*INDEX('UA-normalized'!$D:$D, MATCH($A241, 'UA-normalized'!$A:$A, 0))-INDEX('UA-normalized'!$E:$E, MATCH($A241, 'UA-normalized'!$A:$A, 0))&gt;0, -(22*INDEX('UA-normalized'!$D:$D, MATCH($A241, 'UA-normalized'!$A:$A, 0))-INDEX('UA-normalized'!$E:$E, MATCH($A241, 'UA-normalized'!$A:$A, 0))), 0), 0))+(IFERROR(IF(22*INDEX('KZ-normalized'!$D:$D, MATCH($A241, 'KZ-normalized'!$A:$A, 0))-INDEX('KZ-normalized'!$E:$E, MATCH($A241, 'KZ-normalized'!$A:$A, 0))&gt;0, -(22*INDEX('KZ-normalized'!$D:$D, MATCH($A241, 'KZ-normalized'!$A:$A, 0))-INDEX('KZ-normalized'!$E:$E, MATCH($A241, 'KZ-normalized'!$A:$A, 0))), 0), 0))+(IFERROR(IF(22*INDEX('UZ-normalized'!$D:$D, MATCH($A241, 'UZ-normalized'!$A:$A, 0))-INDEX('UZ-normalized'!$E:$E, MATCH($A241, 'UZ-normalized'!$A:$A, 0))&gt;0, -(22*INDEX('UZ-normalized'!$D:$D, MATCH($A241, 'UZ-normalized'!$A:$A, 0))-INDEX('UZ-normalized'!$E:$E, MATCH($A241, 'UZ-normalized'!$A:$A, 0))), 0), 0)))</f>
        <v>0</v>
      </c>
      <c r="AK241" s="6">
        <f>MIN(0, N241+(IFERROR(IF(23*INDEX('UA-normalized'!$D:$D, MATCH($A241, 'UA-normalized'!$A:$A, 0))-INDEX('UA-normalized'!$E:$E, MATCH($A241, 'UA-normalized'!$A:$A, 0))&gt;0, -(23*INDEX('UA-normalized'!$D:$D, MATCH($A241, 'UA-normalized'!$A:$A, 0))-INDEX('UA-normalized'!$E:$E, MATCH($A241, 'UA-normalized'!$A:$A, 0))), 0), 0))+(IFERROR(IF(23*INDEX('KZ-normalized'!$D:$D, MATCH($A241, 'KZ-normalized'!$A:$A, 0))-INDEX('KZ-normalized'!$E:$E, MATCH($A241, 'KZ-normalized'!$A:$A, 0))&gt;0, -(23*INDEX('KZ-normalized'!$D:$D, MATCH($A241, 'KZ-normalized'!$A:$A, 0))-INDEX('KZ-normalized'!$E:$E, MATCH($A241, 'KZ-normalized'!$A:$A, 0))), 0), 0))+(IFERROR(IF(23*INDEX('UZ-normalized'!$D:$D, MATCH($A241, 'UZ-normalized'!$A:$A, 0))-INDEX('UZ-normalized'!$E:$E, MATCH($A241, 'UZ-normalized'!$A:$A, 0))&gt;0, -(23*INDEX('UZ-normalized'!$D:$D, MATCH($A241, 'UZ-normalized'!$A:$A, 0))-INDEX('UZ-normalized'!$E:$E, MATCH($A241, 'UZ-normalized'!$A:$A, 0))), 0), 0)))</f>
        <v>0</v>
      </c>
      <c r="AL241" s="6">
        <f>MIN(0, N241+(IFERROR(IF(24*INDEX('UA-normalized'!$D:$D, MATCH($A241, 'UA-normalized'!$A:$A, 0))-INDEX('UA-normalized'!$E:$E, MATCH($A241, 'UA-normalized'!$A:$A, 0))&gt;0, -(24*INDEX('UA-normalized'!$D:$D, MATCH($A241, 'UA-normalized'!$A:$A, 0))-INDEX('UA-normalized'!$E:$E, MATCH($A241, 'UA-normalized'!$A:$A, 0))), 0), 0))+(IFERROR(IF(24*INDEX('KZ-normalized'!$D:$D, MATCH($A241, 'KZ-normalized'!$A:$A, 0))-INDEX('KZ-normalized'!$E:$E, MATCH($A241, 'KZ-normalized'!$A:$A, 0))&gt;0, -(24*INDEX('KZ-normalized'!$D:$D, MATCH($A241, 'KZ-normalized'!$A:$A, 0))-INDEX('KZ-normalized'!$E:$E, MATCH($A241, 'KZ-normalized'!$A:$A, 0))), 0), 0))+(IFERROR(IF(24*INDEX('UZ-normalized'!$D:$D, MATCH($A241, 'UZ-normalized'!$A:$A, 0))-INDEX('UZ-normalized'!$E:$E, MATCH($A241, 'UZ-normalized'!$A:$A, 0))&gt;0, -(24*INDEX('UZ-normalized'!$D:$D, MATCH($A241, 'UZ-normalized'!$A:$A, 0))-INDEX('UZ-normalized'!$E:$E, MATCH($A241, 'UZ-normalized'!$A:$A, 0))), 0), 0)))</f>
        <v>0</v>
      </c>
      <c r="AM241" s="6">
        <f>MIN(0, N241+(IFERROR(IF(25*INDEX('UA-normalized'!$D:$D, MATCH($A241, 'UA-normalized'!$A:$A, 0))-INDEX('UA-normalized'!$E:$E, MATCH($A241, 'UA-normalized'!$A:$A, 0))&gt;0, -(25*INDEX('UA-normalized'!$D:$D, MATCH($A241, 'UA-normalized'!$A:$A, 0))-INDEX('UA-normalized'!$E:$E, MATCH($A241, 'UA-normalized'!$A:$A, 0))), 0), 0))+(IFERROR(IF(25*INDEX('KZ-normalized'!$D:$D, MATCH($A241, 'KZ-normalized'!$A:$A, 0))-INDEX('KZ-normalized'!$E:$E, MATCH($A241, 'KZ-normalized'!$A:$A, 0))&gt;0, -(25*INDEX('KZ-normalized'!$D:$D, MATCH($A241, 'KZ-normalized'!$A:$A, 0))-INDEX('KZ-normalized'!$E:$E, MATCH($A241, 'KZ-normalized'!$A:$A, 0))), 0), 0))+(IFERROR(IF(25*INDEX('UZ-normalized'!$D:$D, MATCH($A241, 'UZ-normalized'!$A:$A, 0))-INDEX('UZ-normalized'!$E:$E, MATCH($A241, 'UZ-normalized'!$A:$A, 0))&gt;0, -(25*INDEX('UZ-normalized'!$D:$D, MATCH($A241, 'UZ-normalized'!$A:$A, 0))-INDEX('UZ-normalized'!$E:$E, MATCH($A241, 'UZ-normalized'!$A:$A, 0))), 0), 0)))</f>
        <v>0</v>
      </c>
      <c r="AN241" s="6">
        <f>MIN(0, N241+(IFERROR(IF(26*INDEX('UA-normalized'!$D:$D, MATCH($A241, 'UA-normalized'!$A:$A, 0))-INDEX('UA-normalized'!$E:$E, MATCH($A241, 'UA-normalized'!$A:$A, 0))&gt;0, -(26*INDEX('UA-normalized'!$D:$D, MATCH($A241, 'UA-normalized'!$A:$A, 0))-INDEX('UA-normalized'!$E:$E, MATCH($A241, 'UA-normalized'!$A:$A, 0))), 0), 0))+(IFERROR(IF(26*INDEX('KZ-normalized'!$D:$D, MATCH($A241, 'KZ-normalized'!$A:$A, 0))-INDEX('KZ-normalized'!$E:$E, MATCH($A241, 'KZ-normalized'!$A:$A, 0))&gt;0, -(26*INDEX('KZ-normalized'!$D:$D, MATCH($A241, 'KZ-normalized'!$A:$A, 0))-INDEX('KZ-normalized'!$E:$E, MATCH($A241, 'KZ-normalized'!$A:$A, 0))), 0), 0))+(IFERROR(IF(26*INDEX('UZ-normalized'!$D:$D, MATCH($A241, 'UZ-normalized'!$A:$A, 0))-INDEX('UZ-normalized'!$E:$E, MATCH($A241, 'UZ-normalized'!$A:$A, 0))&gt;0, -(26*INDEX('UZ-normalized'!$D:$D, MATCH($A241, 'UZ-normalized'!$A:$A, 0))-INDEX('UZ-normalized'!$E:$E, MATCH($A241, 'UZ-normalized'!$A:$A, 0))), 0), 0)))</f>
        <v>0</v>
      </c>
      <c r="AO241" s="6">
        <f>MIN(0, N241+(IFERROR(IF(27*INDEX('UA-normalized'!$D:$D, MATCH($A241, 'UA-normalized'!$A:$A, 0))-INDEX('UA-normalized'!$E:$E, MATCH($A241, 'UA-normalized'!$A:$A, 0))&gt;0, -(27*INDEX('UA-normalized'!$D:$D, MATCH($A241, 'UA-normalized'!$A:$A, 0))-INDEX('UA-normalized'!$E:$E, MATCH($A241, 'UA-normalized'!$A:$A, 0))), 0), 0))+(IFERROR(IF(27*INDEX('KZ-normalized'!$D:$D, MATCH($A241, 'KZ-normalized'!$A:$A, 0))-INDEX('KZ-normalized'!$E:$E, MATCH($A241, 'KZ-normalized'!$A:$A, 0))&gt;0, -(27*INDEX('KZ-normalized'!$D:$D, MATCH($A241, 'KZ-normalized'!$A:$A, 0))-INDEX('KZ-normalized'!$E:$E, MATCH($A241, 'KZ-normalized'!$A:$A, 0))), 0), 0))+(IFERROR(IF(27*INDEX('UZ-normalized'!$D:$D, MATCH($A241, 'UZ-normalized'!$A:$A, 0))-INDEX('UZ-normalized'!$E:$E, MATCH($A241, 'UZ-normalized'!$A:$A, 0))&gt;0, -(27*INDEX('UZ-normalized'!$D:$D, MATCH($A241, 'UZ-normalized'!$A:$A, 0))-INDEX('UZ-normalized'!$E:$E, MATCH($A241, 'UZ-normalized'!$A:$A, 0))), 0), 0)))</f>
        <v>0</v>
      </c>
      <c r="AP241" s="6">
        <f>MIN(0, N241+(IFERROR(IF(28*INDEX('UA-normalized'!$D:$D, MATCH($A241, 'UA-normalized'!$A:$A, 0))-INDEX('UA-normalized'!$E:$E, MATCH($A241, 'UA-normalized'!$A:$A, 0))&gt;0, -(28*INDEX('UA-normalized'!$D:$D, MATCH($A241, 'UA-normalized'!$A:$A, 0))-INDEX('UA-normalized'!$E:$E, MATCH($A241, 'UA-normalized'!$A:$A, 0))), 0), 0))+(IFERROR(IF(28*INDEX('KZ-normalized'!$D:$D, MATCH($A241, 'KZ-normalized'!$A:$A, 0))-INDEX('KZ-normalized'!$E:$E, MATCH($A241, 'KZ-normalized'!$A:$A, 0))&gt;0, -(28*INDEX('KZ-normalized'!$D:$D, MATCH($A241, 'KZ-normalized'!$A:$A, 0))-INDEX('KZ-normalized'!$E:$E, MATCH($A241, 'KZ-normalized'!$A:$A, 0))), 0), 0))+(IFERROR(IF(28*INDEX('UZ-normalized'!$D:$D, MATCH($A241, 'UZ-normalized'!$A:$A, 0))-INDEX('UZ-normalized'!$E:$E, MATCH($A241, 'UZ-normalized'!$A:$A, 0))&gt;0, -(28*INDEX('UZ-normalized'!$D:$D, MATCH($A241, 'UZ-normalized'!$A:$A, 0))-INDEX('UZ-normalized'!$E:$E, MATCH($A241, 'UZ-normalized'!$A:$A, 0))), 0), 0)))</f>
        <v>0</v>
      </c>
      <c r="AQ241" s="6">
        <f>MIN(0, N241+(IFERROR(IF(29*INDEX('UA-normalized'!$D:$D, MATCH($A241, 'UA-normalized'!$A:$A, 0))-INDEX('UA-normalized'!$E:$E, MATCH($A241, 'UA-normalized'!$A:$A, 0))&gt;0, -(29*INDEX('UA-normalized'!$D:$D, MATCH($A241, 'UA-normalized'!$A:$A, 0))-INDEX('UA-normalized'!$E:$E, MATCH($A241, 'UA-normalized'!$A:$A, 0))), 0), 0))+(IFERROR(IF(29*INDEX('KZ-normalized'!$D:$D, MATCH($A241, 'KZ-normalized'!$A:$A, 0))-INDEX('KZ-normalized'!$E:$E, MATCH($A241, 'KZ-normalized'!$A:$A, 0))&gt;0, -(29*INDEX('KZ-normalized'!$D:$D, MATCH($A241, 'KZ-normalized'!$A:$A, 0))-INDEX('KZ-normalized'!$E:$E, MATCH($A241, 'KZ-normalized'!$A:$A, 0))), 0), 0))+(IFERROR(IF(29*INDEX('UZ-normalized'!$D:$D, MATCH($A241, 'UZ-normalized'!$A:$A, 0))-INDEX('UZ-normalized'!$E:$E, MATCH($A241, 'UZ-normalized'!$A:$A, 0))&gt;0, -(29*INDEX('UZ-normalized'!$D:$D, MATCH($A241, 'UZ-normalized'!$A:$A, 0))-INDEX('UZ-normalized'!$E:$E, MATCH($A241, 'UZ-normalized'!$A:$A, 0))), 0), 0)))</f>
        <v>0</v>
      </c>
      <c r="AR241" s="6">
        <f>MIN(0, N241+(IFERROR(IF(30*INDEX('UA-normalized'!$D:$D, MATCH($A241, 'UA-normalized'!$A:$A, 0))-INDEX('UA-normalized'!$E:$E, MATCH($A241, 'UA-normalized'!$A:$A, 0))&gt;0, -(30*INDEX('UA-normalized'!$D:$D, MATCH($A241, 'UA-normalized'!$A:$A, 0))-INDEX('UA-normalized'!$E:$E, MATCH($A241, 'UA-normalized'!$A:$A, 0))), 0), 0))+(IFERROR(IF(30*INDEX('KZ-normalized'!$D:$D, MATCH($A241, 'KZ-normalized'!$A:$A, 0))-INDEX('KZ-normalized'!$E:$E, MATCH($A241, 'KZ-normalized'!$A:$A, 0))&gt;0, -(30*INDEX('KZ-normalized'!$D:$D, MATCH($A241, 'KZ-normalized'!$A:$A, 0))-INDEX('KZ-normalized'!$E:$E, MATCH($A241, 'KZ-normalized'!$A:$A, 0))), 0), 0))+(IFERROR(IF(30*INDEX('UZ-normalized'!$D:$D, MATCH($A241, 'UZ-normalized'!$A:$A, 0))-INDEX('UZ-normalized'!$E:$E, MATCH($A241, 'UZ-normalized'!$A:$A, 0))&gt;0, -(30*INDEX('UZ-normalized'!$D:$D, MATCH($A241, 'UZ-normalized'!$A:$A, 0))-INDEX('UZ-normalized'!$E:$E, MATCH($A241, 'UZ-normalized'!$A:$A, 0))), 0), 0)))</f>
        <v>0</v>
      </c>
    </row>
    <row r="242" spans="1:44" x14ac:dyDescent="0.25">
      <c r="A242" s="8" t="s">
        <v>571</v>
      </c>
      <c r="B242" s="8" t="s">
        <v>568</v>
      </c>
      <c r="C242" s="8" t="s">
        <v>569</v>
      </c>
      <c r="D242" s="8" t="s">
        <v>570</v>
      </c>
      <c r="N242">
        <f t="shared" si="3"/>
        <v>0</v>
      </c>
      <c r="O242" s="6">
        <f>MIN(0, N242+(IFERROR(IF(1*INDEX('UA-normalized'!$D:$D, MATCH($A242, 'UA-normalized'!$A:$A, 0))-INDEX('UA-normalized'!$E:$E, MATCH($A242, 'UA-normalized'!$A:$A, 0))&gt;0, -(1*INDEX('UA-normalized'!$D:$D, MATCH($A242, 'UA-normalized'!$A:$A, 0))-INDEX('UA-normalized'!$E:$E, MATCH($A242, 'UA-normalized'!$A:$A, 0))), 0), 0))+(IFERROR(IF(1*INDEX('KZ-normalized'!$D:$D, MATCH($A242, 'KZ-normalized'!$A:$A, 0))-INDEX('KZ-normalized'!$E:$E, MATCH($A242, 'KZ-normalized'!$A:$A, 0))&gt;0, -(1*INDEX('KZ-normalized'!$D:$D, MATCH($A242, 'KZ-normalized'!$A:$A, 0))-INDEX('KZ-normalized'!$E:$E, MATCH($A242, 'KZ-normalized'!$A:$A, 0))), 0), 0))+(IFERROR(IF(1*INDEX('UZ-normalized'!$D:$D, MATCH($A242, 'UZ-normalized'!$A:$A, 0))-INDEX('UZ-normalized'!$E:$E, MATCH($A242, 'UZ-normalized'!$A:$A, 0))&gt;0, -(1*INDEX('UZ-normalized'!$D:$D, MATCH($A242, 'UZ-normalized'!$A:$A, 0))-INDEX('UZ-normalized'!$E:$E, MATCH($A242, 'UZ-normalized'!$A:$A, 0))), 0), 0)))</f>
        <v>0</v>
      </c>
      <c r="P242" s="6">
        <f>MIN(0, N242+(IFERROR(IF(2*INDEX('UA-normalized'!$D:$D, MATCH($A242, 'UA-normalized'!$A:$A, 0))-INDEX('UA-normalized'!$E:$E, MATCH($A242, 'UA-normalized'!$A:$A, 0))&gt;0, -(2*INDEX('UA-normalized'!$D:$D, MATCH($A242, 'UA-normalized'!$A:$A, 0))-INDEX('UA-normalized'!$E:$E, MATCH($A242, 'UA-normalized'!$A:$A, 0))), 0), 0))+(IFERROR(IF(2*INDEX('KZ-normalized'!$D:$D, MATCH($A242, 'KZ-normalized'!$A:$A, 0))-INDEX('KZ-normalized'!$E:$E, MATCH($A242, 'KZ-normalized'!$A:$A, 0))&gt;0, -(2*INDEX('KZ-normalized'!$D:$D, MATCH($A242, 'KZ-normalized'!$A:$A, 0))-INDEX('KZ-normalized'!$E:$E, MATCH($A242, 'KZ-normalized'!$A:$A, 0))), 0), 0))+(IFERROR(IF(2*INDEX('UZ-normalized'!$D:$D, MATCH($A242, 'UZ-normalized'!$A:$A, 0))-INDEX('UZ-normalized'!$E:$E, MATCH($A242, 'UZ-normalized'!$A:$A, 0))&gt;0, -(2*INDEX('UZ-normalized'!$D:$D, MATCH($A242, 'UZ-normalized'!$A:$A, 0))-INDEX('UZ-normalized'!$E:$E, MATCH($A242, 'UZ-normalized'!$A:$A, 0))), 0), 0)))</f>
        <v>0</v>
      </c>
      <c r="Q242" s="6">
        <f>MIN(0, N242+(IFERROR(IF(3*INDEX('UA-normalized'!$D:$D, MATCH($A242, 'UA-normalized'!$A:$A, 0))-INDEX('UA-normalized'!$E:$E, MATCH($A242, 'UA-normalized'!$A:$A, 0))&gt;0, -(3*INDEX('UA-normalized'!$D:$D, MATCH($A242, 'UA-normalized'!$A:$A, 0))-INDEX('UA-normalized'!$E:$E, MATCH($A242, 'UA-normalized'!$A:$A, 0))), 0), 0))+(IFERROR(IF(3*INDEX('KZ-normalized'!$D:$D, MATCH($A242, 'KZ-normalized'!$A:$A, 0))-INDEX('KZ-normalized'!$E:$E, MATCH($A242, 'KZ-normalized'!$A:$A, 0))&gt;0, -(3*INDEX('KZ-normalized'!$D:$D, MATCH($A242, 'KZ-normalized'!$A:$A, 0))-INDEX('KZ-normalized'!$E:$E, MATCH($A242, 'KZ-normalized'!$A:$A, 0))), 0), 0))+(IFERROR(IF(3*INDEX('UZ-normalized'!$D:$D, MATCH($A242, 'UZ-normalized'!$A:$A, 0))-INDEX('UZ-normalized'!$E:$E, MATCH($A242, 'UZ-normalized'!$A:$A, 0))&gt;0, -(3*INDEX('UZ-normalized'!$D:$D, MATCH($A242, 'UZ-normalized'!$A:$A, 0))-INDEX('UZ-normalized'!$E:$E, MATCH($A242, 'UZ-normalized'!$A:$A, 0))), 0), 0)))</f>
        <v>0</v>
      </c>
      <c r="R242" s="6">
        <f>MIN(0, N242+(IFERROR(IF(4*INDEX('UA-normalized'!$D:$D, MATCH($A242, 'UA-normalized'!$A:$A, 0))-INDEX('UA-normalized'!$E:$E, MATCH($A242, 'UA-normalized'!$A:$A, 0))&gt;0, -(4*INDEX('UA-normalized'!$D:$D, MATCH($A242, 'UA-normalized'!$A:$A, 0))-INDEX('UA-normalized'!$E:$E, MATCH($A242, 'UA-normalized'!$A:$A, 0))), 0), 0))+(IFERROR(IF(4*INDEX('KZ-normalized'!$D:$D, MATCH($A242, 'KZ-normalized'!$A:$A, 0))-INDEX('KZ-normalized'!$E:$E, MATCH($A242, 'KZ-normalized'!$A:$A, 0))&gt;0, -(4*INDEX('KZ-normalized'!$D:$D, MATCH($A242, 'KZ-normalized'!$A:$A, 0))-INDEX('KZ-normalized'!$E:$E, MATCH($A242, 'KZ-normalized'!$A:$A, 0))), 0), 0))+(IFERROR(IF(4*INDEX('UZ-normalized'!$D:$D, MATCH($A242, 'UZ-normalized'!$A:$A, 0))-INDEX('UZ-normalized'!$E:$E, MATCH($A242, 'UZ-normalized'!$A:$A, 0))&gt;0, -(4*INDEX('UZ-normalized'!$D:$D, MATCH($A242, 'UZ-normalized'!$A:$A, 0))-INDEX('UZ-normalized'!$E:$E, MATCH($A242, 'UZ-normalized'!$A:$A, 0))), 0), 0)))</f>
        <v>0</v>
      </c>
      <c r="S242" s="6">
        <f>MIN(0, N242+(IFERROR(IF(5*INDEX('UA-normalized'!$D:$D, MATCH($A242, 'UA-normalized'!$A:$A, 0))-INDEX('UA-normalized'!$E:$E, MATCH($A242, 'UA-normalized'!$A:$A, 0))&gt;0, -(5*INDEX('UA-normalized'!$D:$D, MATCH($A242, 'UA-normalized'!$A:$A, 0))-INDEX('UA-normalized'!$E:$E, MATCH($A242, 'UA-normalized'!$A:$A, 0))), 0), 0))+(IFERROR(IF(5*INDEX('KZ-normalized'!$D:$D, MATCH($A242, 'KZ-normalized'!$A:$A, 0))-INDEX('KZ-normalized'!$E:$E, MATCH($A242, 'KZ-normalized'!$A:$A, 0))&gt;0, -(5*INDEX('KZ-normalized'!$D:$D, MATCH($A242, 'KZ-normalized'!$A:$A, 0))-INDEX('KZ-normalized'!$E:$E, MATCH($A242, 'KZ-normalized'!$A:$A, 0))), 0), 0))+(IFERROR(IF(5*INDEX('UZ-normalized'!$D:$D, MATCH($A242, 'UZ-normalized'!$A:$A, 0))-INDEX('UZ-normalized'!$E:$E, MATCH($A242, 'UZ-normalized'!$A:$A, 0))&gt;0, -(5*INDEX('UZ-normalized'!$D:$D, MATCH($A242, 'UZ-normalized'!$A:$A, 0))-INDEX('UZ-normalized'!$E:$E, MATCH($A242, 'UZ-normalized'!$A:$A, 0))), 0), 0)))</f>
        <v>0</v>
      </c>
      <c r="T242" s="6">
        <f>MIN(0, N242+(IFERROR(IF(6*INDEX('UA-normalized'!$D:$D, MATCH($A242, 'UA-normalized'!$A:$A, 0))-INDEX('UA-normalized'!$E:$E, MATCH($A242, 'UA-normalized'!$A:$A, 0))&gt;0, -(6*INDEX('UA-normalized'!$D:$D, MATCH($A242, 'UA-normalized'!$A:$A, 0))-INDEX('UA-normalized'!$E:$E, MATCH($A242, 'UA-normalized'!$A:$A, 0))), 0), 0))+(IFERROR(IF(6*INDEX('KZ-normalized'!$D:$D, MATCH($A242, 'KZ-normalized'!$A:$A, 0))-INDEX('KZ-normalized'!$E:$E, MATCH($A242, 'KZ-normalized'!$A:$A, 0))&gt;0, -(6*INDEX('KZ-normalized'!$D:$D, MATCH($A242, 'KZ-normalized'!$A:$A, 0))-INDEX('KZ-normalized'!$E:$E, MATCH($A242, 'KZ-normalized'!$A:$A, 0))), 0), 0))+(IFERROR(IF(6*INDEX('UZ-normalized'!$D:$D, MATCH($A242, 'UZ-normalized'!$A:$A, 0))-INDEX('UZ-normalized'!$E:$E, MATCH($A242, 'UZ-normalized'!$A:$A, 0))&gt;0, -(6*INDEX('UZ-normalized'!$D:$D, MATCH($A242, 'UZ-normalized'!$A:$A, 0))-INDEX('UZ-normalized'!$E:$E, MATCH($A242, 'UZ-normalized'!$A:$A, 0))), 0), 0)))</f>
        <v>0</v>
      </c>
      <c r="U242" s="6">
        <f>MIN(0, N242+(IFERROR(IF(7*INDEX('UA-normalized'!$D:$D, MATCH($A242, 'UA-normalized'!$A:$A, 0))-INDEX('UA-normalized'!$E:$E, MATCH($A242, 'UA-normalized'!$A:$A, 0))&gt;0, -(7*INDEX('UA-normalized'!$D:$D, MATCH($A242, 'UA-normalized'!$A:$A, 0))-INDEX('UA-normalized'!$E:$E, MATCH($A242, 'UA-normalized'!$A:$A, 0))), 0), 0))+(IFERROR(IF(7*INDEX('KZ-normalized'!$D:$D, MATCH($A242, 'KZ-normalized'!$A:$A, 0))-INDEX('KZ-normalized'!$E:$E, MATCH($A242, 'KZ-normalized'!$A:$A, 0))&gt;0, -(7*INDEX('KZ-normalized'!$D:$D, MATCH($A242, 'KZ-normalized'!$A:$A, 0))-INDEX('KZ-normalized'!$E:$E, MATCH($A242, 'KZ-normalized'!$A:$A, 0))), 0), 0))+(IFERROR(IF(7*INDEX('UZ-normalized'!$D:$D, MATCH($A242, 'UZ-normalized'!$A:$A, 0))-INDEX('UZ-normalized'!$E:$E, MATCH($A242, 'UZ-normalized'!$A:$A, 0))&gt;0, -(7*INDEX('UZ-normalized'!$D:$D, MATCH($A242, 'UZ-normalized'!$A:$A, 0))-INDEX('UZ-normalized'!$E:$E, MATCH($A242, 'UZ-normalized'!$A:$A, 0))), 0), 0)))</f>
        <v>0</v>
      </c>
      <c r="V242" s="6">
        <f>MIN(0, N242+(IFERROR(IF(8*INDEX('UA-normalized'!$D:$D, MATCH($A242, 'UA-normalized'!$A:$A, 0))-INDEX('UA-normalized'!$E:$E, MATCH($A242, 'UA-normalized'!$A:$A, 0))&gt;0, -(8*INDEX('UA-normalized'!$D:$D, MATCH($A242, 'UA-normalized'!$A:$A, 0))-INDEX('UA-normalized'!$E:$E, MATCH($A242, 'UA-normalized'!$A:$A, 0))), 0), 0))+(IFERROR(IF(8*INDEX('KZ-normalized'!$D:$D, MATCH($A242, 'KZ-normalized'!$A:$A, 0))-INDEX('KZ-normalized'!$E:$E, MATCH($A242, 'KZ-normalized'!$A:$A, 0))&gt;0, -(8*INDEX('KZ-normalized'!$D:$D, MATCH($A242, 'KZ-normalized'!$A:$A, 0))-INDEX('KZ-normalized'!$E:$E, MATCH($A242, 'KZ-normalized'!$A:$A, 0))), 0), 0))+(IFERROR(IF(8*INDEX('UZ-normalized'!$D:$D, MATCH($A242, 'UZ-normalized'!$A:$A, 0))-INDEX('UZ-normalized'!$E:$E, MATCH($A242, 'UZ-normalized'!$A:$A, 0))&gt;0, -(8*INDEX('UZ-normalized'!$D:$D, MATCH($A242, 'UZ-normalized'!$A:$A, 0))-INDEX('UZ-normalized'!$E:$E, MATCH($A242, 'UZ-normalized'!$A:$A, 0))), 0), 0)))</f>
        <v>0</v>
      </c>
      <c r="W242" s="6">
        <f>MIN(0, N242+(IFERROR(IF(9*INDEX('UA-normalized'!$D:$D, MATCH($A242, 'UA-normalized'!$A:$A, 0))-INDEX('UA-normalized'!$E:$E, MATCH($A242, 'UA-normalized'!$A:$A, 0))&gt;0, -(9*INDEX('UA-normalized'!$D:$D, MATCH($A242, 'UA-normalized'!$A:$A, 0))-INDEX('UA-normalized'!$E:$E, MATCH($A242, 'UA-normalized'!$A:$A, 0))), 0), 0))+(IFERROR(IF(9*INDEX('KZ-normalized'!$D:$D, MATCH($A242, 'KZ-normalized'!$A:$A, 0))-INDEX('KZ-normalized'!$E:$E, MATCH($A242, 'KZ-normalized'!$A:$A, 0))&gt;0, -(9*INDEX('KZ-normalized'!$D:$D, MATCH($A242, 'KZ-normalized'!$A:$A, 0))-INDEX('KZ-normalized'!$E:$E, MATCH($A242, 'KZ-normalized'!$A:$A, 0))), 0), 0))+(IFERROR(IF(9*INDEX('UZ-normalized'!$D:$D, MATCH($A242, 'UZ-normalized'!$A:$A, 0))-INDEX('UZ-normalized'!$E:$E, MATCH($A242, 'UZ-normalized'!$A:$A, 0))&gt;0, -(9*INDEX('UZ-normalized'!$D:$D, MATCH($A242, 'UZ-normalized'!$A:$A, 0))-INDEX('UZ-normalized'!$E:$E, MATCH($A242, 'UZ-normalized'!$A:$A, 0))), 0), 0)))</f>
        <v>0</v>
      </c>
      <c r="X242" s="6">
        <f>MIN(0, N242+(IFERROR(IF(10*INDEX('UA-normalized'!$D:$D, MATCH($A242, 'UA-normalized'!$A:$A, 0))-INDEX('UA-normalized'!$E:$E, MATCH($A242, 'UA-normalized'!$A:$A, 0))&gt;0, -(10*INDEX('UA-normalized'!$D:$D, MATCH($A242, 'UA-normalized'!$A:$A, 0))-INDEX('UA-normalized'!$E:$E, MATCH($A242, 'UA-normalized'!$A:$A, 0))), 0), 0))+(IFERROR(IF(10*INDEX('KZ-normalized'!$D:$D, MATCH($A242, 'KZ-normalized'!$A:$A, 0))-INDEX('KZ-normalized'!$E:$E, MATCH($A242, 'KZ-normalized'!$A:$A, 0))&gt;0, -(10*INDEX('KZ-normalized'!$D:$D, MATCH($A242, 'KZ-normalized'!$A:$A, 0))-INDEX('KZ-normalized'!$E:$E, MATCH($A242, 'KZ-normalized'!$A:$A, 0))), 0), 0))+(IFERROR(IF(10*INDEX('UZ-normalized'!$D:$D, MATCH($A242, 'UZ-normalized'!$A:$A, 0))-INDEX('UZ-normalized'!$E:$E, MATCH($A242, 'UZ-normalized'!$A:$A, 0))&gt;0, -(10*INDEX('UZ-normalized'!$D:$D, MATCH($A242, 'UZ-normalized'!$A:$A, 0))-INDEX('UZ-normalized'!$E:$E, MATCH($A242, 'UZ-normalized'!$A:$A, 0))), 0), 0)))</f>
        <v>0</v>
      </c>
      <c r="Y242" s="6">
        <f>MIN(0, N242+(IFERROR(IF(11*INDEX('UA-normalized'!$D:$D, MATCH($A242, 'UA-normalized'!$A:$A, 0))-INDEX('UA-normalized'!$E:$E, MATCH($A242, 'UA-normalized'!$A:$A, 0))&gt;0, -(11*INDEX('UA-normalized'!$D:$D, MATCH($A242, 'UA-normalized'!$A:$A, 0))-INDEX('UA-normalized'!$E:$E, MATCH($A242, 'UA-normalized'!$A:$A, 0))), 0), 0))+(IFERROR(IF(11*INDEX('KZ-normalized'!$D:$D, MATCH($A242, 'KZ-normalized'!$A:$A, 0))-INDEX('KZ-normalized'!$E:$E, MATCH($A242, 'KZ-normalized'!$A:$A, 0))&gt;0, -(11*INDEX('KZ-normalized'!$D:$D, MATCH($A242, 'KZ-normalized'!$A:$A, 0))-INDEX('KZ-normalized'!$E:$E, MATCH($A242, 'KZ-normalized'!$A:$A, 0))), 0), 0))+(IFERROR(IF(11*INDEX('UZ-normalized'!$D:$D, MATCH($A242, 'UZ-normalized'!$A:$A, 0))-INDEX('UZ-normalized'!$E:$E, MATCH($A242, 'UZ-normalized'!$A:$A, 0))&gt;0, -(11*INDEX('UZ-normalized'!$D:$D, MATCH($A242, 'UZ-normalized'!$A:$A, 0))-INDEX('UZ-normalized'!$E:$E, MATCH($A242, 'UZ-normalized'!$A:$A, 0))), 0), 0)))</f>
        <v>0</v>
      </c>
      <c r="Z242" s="6">
        <f>MIN(0, N242+(IFERROR(IF(12*INDEX('UA-normalized'!$D:$D, MATCH($A242, 'UA-normalized'!$A:$A, 0))-INDEX('UA-normalized'!$E:$E, MATCH($A242, 'UA-normalized'!$A:$A, 0))&gt;0, -(12*INDEX('UA-normalized'!$D:$D, MATCH($A242, 'UA-normalized'!$A:$A, 0))-INDEX('UA-normalized'!$E:$E, MATCH($A242, 'UA-normalized'!$A:$A, 0))), 0), 0))+(IFERROR(IF(12*INDEX('KZ-normalized'!$D:$D, MATCH($A242, 'KZ-normalized'!$A:$A, 0))-INDEX('KZ-normalized'!$E:$E, MATCH($A242, 'KZ-normalized'!$A:$A, 0))&gt;0, -(12*INDEX('KZ-normalized'!$D:$D, MATCH($A242, 'KZ-normalized'!$A:$A, 0))-INDEX('KZ-normalized'!$E:$E, MATCH($A242, 'KZ-normalized'!$A:$A, 0))), 0), 0))+(IFERROR(IF(12*INDEX('UZ-normalized'!$D:$D, MATCH($A242, 'UZ-normalized'!$A:$A, 0))-INDEX('UZ-normalized'!$E:$E, MATCH($A242, 'UZ-normalized'!$A:$A, 0))&gt;0, -(12*INDEX('UZ-normalized'!$D:$D, MATCH($A242, 'UZ-normalized'!$A:$A, 0))-INDEX('UZ-normalized'!$E:$E, MATCH($A242, 'UZ-normalized'!$A:$A, 0))), 0), 0)))</f>
        <v>0</v>
      </c>
      <c r="AA242" s="6">
        <f>MIN(0, N242+(IFERROR(IF(13*INDEX('UA-normalized'!$D:$D, MATCH($A242, 'UA-normalized'!$A:$A, 0))-INDEX('UA-normalized'!$E:$E, MATCH($A242, 'UA-normalized'!$A:$A, 0))&gt;0, -(13*INDEX('UA-normalized'!$D:$D, MATCH($A242, 'UA-normalized'!$A:$A, 0))-INDEX('UA-normalized'!$E:$E, MATCH($A242, 'UA-normalized'!$A:$A, 0))), 0), 0))+(IFERROR(IF(13*INDEX('KZ-normalized'!$D:$D, MATCH($A242, 'KZ-normalized'!$A:$A, 0))-INDEX('KZ-normalized'!$E:$E, MATCH($A242, 'KZ-normalized'!$A:$A, 0))&gt;0, -(13*INDEX('KZ-normalized'!$D:$D, MATCH($A242, 'KZ-normalized'!$A:$A, 0))-INDEX('KZ-normalized'!$E:$E, MATCH($A242, 'KZ-normalized'!$A:$A, 0))), 0), 0))+(IFERROR(IF(13*INDEX('UZ-normalized'!$D:$D, MATCH($A242, 'UZ-normalized'!$A:$A, 0))-INDEX('UZ-normalized'!$E:$E, MATCH($A242, 'UZ-normalized'!$A:$A, 0))&gt;0, -(13*INDEX('UZ-normalized'!$D:$D, MATCH($A242, 'UZ-normalized'!$A:$A, 0))-INDEX('UZ-normalized'!$E:$E, MATCH($A242, 'UZ-normalized'!$A:$A, 0))), 0), 0)))</f>
        <v>0</v>
      </c>
      <c r="AB242" s="6">
        <f>MIN(0, N242+(IFERROR(IF(14*INDEX('UA-normalized'!$D:$D, MATCH($A242, 'UA-normalized'!$A:$A, 0))-INDEX('UA-normalized'!$E:$E, MATCH($A242, 'UA-normalized'!$A:$A, 0))&gt;0, -(14*INDEX('UA-normalized'!$D:$D, MATCH($A242, 'UA-normalized'!$A:$A, 0))-INDEX('UA-normalized'!$E:$E, MATCH($A242, 'UA-normalized'!$A:$A, 0))), 0), 0))+(IFERROR(IF(14*INDEX('KZ-normalized'!$D:$D, MATCH($A242, 'KZ-normalized'!$A:$A, 0))-INDEX('KZ-normalized'!$E:$E, MATCH($A242, 'KZ-normalized'!$A:$A, 0))&gt;0, -(14*INDEX('KZ-normalized'!$D:$D, MATCH($A242, 'KZ-normalized'!$A:$A, 0))-INDEX('KZ-normalized'!$E:$E, MATCH($A242, 'KZ-normalized'!$A:$A, 0))), 0), 0))+(IFERROR(IF(14*INDEX('UZ-normalized'!$D:$D, MATCH($A242, 'UZ-normalized'!$A:$A, 0))-INDEX('UZ-normalized'!$E:$E, MATCH($A242, 'UZ-normalized'!$A:$A, 0))&gt;0, -(14*INDEX('UZ-normalized'!$D:$D, MATCH($A242, 'UZ-normalized'!$A:$A, 0))-INDEX('UZ-normalized'!$E:$E, MATCH($A242, 'UZ-normalized'!$A:$A, 0))), 0), 0)))</f>
        <v>0</v>
      </c>
      <c r="AC242" s="6">
        <f>MIN(0, N242+(IFERROR(IF(15*INDEX('UA-normalized'!$D:$D, MATCH($A242, 'UA-normalized'!$A:$A, 0))-INDEX('UA-normalized'!$E:$E, MATCH($A242, 'UA-normalized'!$A:$A, 0))&gt;0, -(15*INDEX('UA-normalized'!$D:$D, MATCH($A242, 'UA-normalized'!$A:$A, 0))-INDEX('UA-normalized'!$E:$E, MATCH($A242, 'UA-normalized'!$A:$A, 0))), 0), 0))+(IFERROR(IF(15*INDEX('KZ-normalized'!$D:$D, MATCH($A242, 'KZ-normalized'!$A:$A, 0))-INDEX('KZ-normalized'!$E:$E, MATCH($A242, 'KZ-normalized'!$A:$A, 0))&gt;0, -(15*INDEX('KZ-normalized'!$D:$D, MATCH($A242, 'KZ-normalized'!$A:$A, 0))-INDEX('KZ-normalized'!$E:$E, MATCH($A242, 'KZ-normalized'!$A:$A, 0))), 0), 0))+(IFERROR(IF(15*INDEX('UZ-normalized'!$D:$D, MATCH($A242, 'UZ-normalized'!$A:$A, 0))-INDEX('UZ-normalized'!$E:$E, MATCH($A242, 'UZ-normalized'!$A:$A, 0))&gt;0, -(15*INDEX('UZ-normalized'!$D:$D, MATCH($A242, 'UZ-normalized'!$A:$A, 0))-INDEX('UZ-normalized'!$E:$E, MATCH($A242, 'UZ-normalized'!$A:$A, 0))), 0), 0)))</f>
        <v>0</v>
      </c>
      <c r="AD242" s="6">
        <f>MIN(0, N242+(IFERROR(IF(16*INDEX('UA-normalized'!$D:$D, MATCH($A242, 'UA-normalized'!$A:$A, 0))-INDEX('UA-normalized'!$E:$E, MATCH($A242, 'UA-normalized'!$A:$A, 0))&gt;0, -(16*INDEX('UA-normalized'!$D:$D, MATCH($A242, 'UA-normalized'!$A:$A, 0))-INDEX('UA-normalized'!$E:$E, MATCH($A242, 'UA-normalized'!$A:$A, 0))), 0), 0))+(IFERROR(IF(16*INDEX('KZ-normalized'!$D:$D, MATCH($A242, 'KZ-normalized'!$A:$A, 0))-INDEX('KZ-normalized'!$E:$E, MATCH($A242, 'KZ-normalized'!$A:$A, 0))&gt;0, -(16*INDEX('KZ-normalized'!$D:$D, MATCH($A242, 'KZ-normalized'!$A:$A, 0))-INDEX('KZ-normalized'!$E:$E, MATCH($A242, 'KZ-normalized'!$A:$A, 0))), 0), 0))+(IFERROR(IF(16*INDEX('UZ-normalized'!$D:$D, MATCH($A242, 'UZ-normalized'!$A:$A, 0))-INDEX('UZ-normalized'!$E:$E, MATCH($A242, 'UZ-normalized'!$A:$A, 0))&gt;0, -(16*INDEX('UZ-normalized'!$D:$D, MATCH($A242, 'UZ-normalized'!$A:$A, 0))-INDEX('UZ-normalized'!$E:$E, MATCH($A242, 'UZ-normalized'!$A:$A, 0))), 0), 0)))</f>
        <v>0</v>
      </c>
      <c r="AE242" s="6">
        <f>MIN(0, N242+(IFERROR(IF(17*INDEX('UA-normalized'!$D:$D, MATCH($A242, 'UA-normalized'!$A:$A, 0))-INDEX('UA-normalized'!$E:$E, MATCH($A242, 'UA-normalized'!$A:$A, 0))&gt;0, -(17*INDEX('UA-normalized'!$D:$D, MATCH($A242, 'UA-normalized'!$A:$A, 0))-INDEX('UA-normalized'!$E:$E, MATCH($A242, 'UA-normalized'!$A:$A, 0))), 0), 0))+(IFERROR(IF(17*INDEX('KZ-normalized'!$D:$D, MATCH($A242, 'KZ-normalized'!$A:$A, 0))-INDEX('KZ-normalized'!$E:$E, MATCH($A242, 'KZ-normalized'!$A:$A, 0))&gt;0, -(17*INDEX('KZ-normalized'!$D:$D, MATCH($A242, 'KZ-normalized'!$A:$A, 0))-INDEX('KZ-normalized'!$E:$E, MATCH($A242, 'KZ-normalized'!$A:$A, 0))), 0), 0))+(IFERROR(IF(17*INDEX('UZ-normalized'!$D:$D, MATCH($A242, 'UZ-normalized'!$A:$A, 0))-INDEX('UZ-normalized'!$E:$E, MATCH($A242, 'UZ-normalized'!$A:$A, 0))&gt;0, -(17*INDEX('UZ-normalized'!$D:$D, MATCH($A242, 'UZ-normalized'!$A:$A, 0))-INDEX('UZ-normalized'!$E:$E, MATCH($A242, 'UZ-normalized'!$A:$A, 0))), 0), 0)))</f>
        <v>0</v>
      </c>
      <c r="AF242" s="6">
        <f>MIN(0, N242+(IFERROR(IF(18*INDEX('UA-normalized'!$D:$D, MATCH($A242, 'UA-normalized'!$A:$A, 0))-INDEX('UA-normalized'!$E:$E, MATCH($A242, 'UA-normalized'!$A:$A, 0))&gt;0, -(18*INDEX('UA-normalized'!$D:$D, MATCH($A242, 'UA-normalized'!$A:$A, 0))-INDEX('UA-normalized'!$E:$E, MATCH($A242, 'UA-normalized'!$A:$A, 0))), 0), 0))+(IFERROR(IF(18*INDEX('KZ-normalized'!$D:$D, MATCH($A242, 'KZ-normalized'!$A:$A, 0))-INDEX('KZ-normalized'!$E:$E, MATCH($A242, 'KZ-normalized'!$A:$A, 0))&gt;0, -(18*INDEX('KZ-normalized'!$D:$D, MATCH($A242, 'KZ-normalized'!$A:$A, 0))-INDEX('KZ-normalized'!$E:$E, MATCH($A242, 'KZ-normalized'!$A:$A, 0))), 0), 0))+(IFERROR(IF(18*INDEX('UZ-normalized'!$D:$D, MATCH($A242, 'UZ-normalized'!$A:$A, 0))-INDEX('UZ-normalized'!$E:$E, MATCH($A242, 'UZ-normalized'!$A:$A, 0))&gt;0, -(18*INDEX('UZ-normalized'!$D:$D, MATCH($A242, 'UZ-normalized'!$A:$A, 0))-INDEX('UZ-normalized'!$E:$E, MATCH($A242, 'UZ-normalized'!$A:$A, 0))), 0), 0)))</f>
        <v>0</v>
      </c>
      <c r="AG242" s="6">
        <f>MIN(0, N242+(IFERROR(IF(19*INDEX('UA-normalized'!$D:$D, MATCH($A242, 'UA-normalized'!$A:$A, 0))-INDEX('UA-normalized'!$E:$E, MATCH($A242, 'UA-normalized'!$A:$A, 0))&gt;0, -(19*INDEX('UA-normalized'!$D:$D, MATCH($A242, 'UA-normalized'!$A:$A, 0))-INDEX('UA-normalized'!$E:$E, MATCH($A242, 'UA-normalized'!$A:$A, 0))), 0), 0))+(IFERROR(IF(19*INDEX('KZ-normalized'!$D:$D, MATCH($A242, 'KZ-normalized'!$A:$A, 0))-INDEX('KZ-normalized'!$E:$E, MATCH($A242, 'KZ-normalized'!$A:$A, 0))&gt;0, -(19*INDEX('KZ-normalized'!$D:$D, MATCH($A242, 'KZ-normalized'!$A:$A, 0))-INDEX('KZ-normalized'!$E:$E, MATCH($A242, 'KZ-normalized'!$A:$A, 0))), 0), 0))+(IFERROR(IF(19*INDEX('UZ-normalized'!$D:$D, MATCH($A242, 'UZ-normalized'!$A:$A, 0))-INDEX('UZ-normalized'!$E:$E, MATCH($A242, 'UZ-normalized'!$A:$A, 0))&gt;0, -(19*INDEX('UZ-normalized'!$D:$D, MATCH($A242, 'UZ-normalized'!$A:$A, 0))-INDEX('UZ-normalized'!$E:$E, MATCH($A242, 'UZ-normalized'!$A:$A, 0))), 0), 0)))</f>
        <v>0</v>
      </c>
      <c r="AH242" s="6">
        <f>MIN(0, N242+(IFERROR(IF(20*INDEX('UA-normalized'!$D:$D, MATCH($A242, 'UA-normalized'!$A:$A, 0))-INDEX('UA-normalized'!$E:$E, MATCH($A242, 'UA-normalized'!$A:$A, 0))&gt;0, -(20*INDEX('UA-normalized'!$D:$D, MATCH($A242, 'UA-normalized'!$A:$A, 0))-INDEX('UA-normalized'!$E:$E, MATCH($A242, 'UA-normalized'!$A:$A, 0))), 0), 0))+(IFERROR(IF(20*INDEX('KZ-normalized'!$D:$D, MATCH($A242, 'KZ-normalized'!$A:$A, 0))-INDEX('KZ-normalized'!$E:$E, MATCH($A242, 'KZ-normalized'!$A:$A, 0))&gt;0, -(20*INDEX('KZ-normalized'!$D:$D, MATCH($A242, 'KZ-normalized'!$A:$A, 0))-INDEX('KZ-normalized'!$E:$E, MATCH($A242, 'KZ-normalized'!$A:$A, 0))), 0), 0))+(IFERROR(IF(20*INDEX('UZ-normalized'!$D:$D, MATCH($A242, 'UZ-normalized'!$A:$A, 0))-INDEX('UZ-normalized'!$E:$E, MATCH($A242, 'UZ-normalized'!$A:$A, 0))&gt;0, -(20*INDEX('UZ-normalized'!$D:$D, MATCH($A242, 'UZ-normalized'!$A:$A, 0))-INDEX('UZ-normalized'!$E:$E, MATCH($A242, 'UZ-normalized'!$A:$A, 0))), 0), 0)))</f>
        <v>0</v>
      </c>
      <c r="AI242" s="6">
        <f>MIN(0, N242+(IFERROR(IF(21*INDEX('UA-normalized'!$D:$D, MATCH($A242, 'UA-normalized'!$A:$A, 0))-INDEX('UA-normalized'!$E:$E, MATCH($A242, 'UA-normalized'!$A:$A, 0))&gt;0, -(21*INDEX('UA-normalized'!$D:$D, MATCH($A242, 'UA-normalized'!$A:$A, 0))-INDEX('UA-normalized'!$E:$E, MATCH($A242, 'UA-normalized'!$A:$A, 0))), 0), 0))+(IFERROR(IF(21*INDEX('KZ-normalized'!$D:$D, MATCH($A242, 'KZ-normalized'!$A:$A, 0))-INDEX('KZ-normalized'!$E:$E, MATCH($A242, 'KZ-normalized'!$A:$A, 0))&gt;0, -(21*INDEX('KZ-normalized'!$D:$D, MATCH($A242, 'KZ-normalized'!$A:$A, 0))-INDEX('KZ-normalized'!$E:$E, MATCH($A242, 'KZ-normalized'!$A:$A, 0))), 0), 0))+(IFERROR(IF(21*INDEX('UZ-normalized'!$D:$D, MATCH($A242, 'UZ-normalized'!$A:$A, 0))-INDEX('UZ-normalized'!$E:$E, MATCH($A242, 'UZ-normalized'!$A:$A, 0))&gt;0, -(21*INDEX('UZ-normalized'!$D:$D, MATCH($A242, 'UZ-normalized'!$A:$A, 0))-INDEX('UZ-normalized'!$E:$E, MATCH($A242, 'UZ-normalized'!$A:$A, 0))), 0), 0)))</f>
        <v>0</v>
      </c>
      <c r="AJ242" s="6">
        <f>MIN(0, N242+(IFERROR(IF(22*INDEX('UA-normalized'!$D:$D, MATCH($A242, 'UA-normalized'!$A:$A, 0))-INDEX('UA-normalized'!$E:$E, MATCH($A242, 'UA-normalized'!$A:$A, 0))&gt;0, -(22*INDEX('UA-normalized'!$D:$D, MATCH($A242, 'UA-normalized'!$A:$A, 0))-INDEX('UA-normalized'!$E:$E, MATCH($A242, 'UA-normalized'!$A:$A, 0))), 0), 0))+(IFERROR(IF(22*INDEX('KZ-normalized'!$D:$D, MATCH($A242, 'KZ-normalized'!$A:$A, 0))-INDEX('KZ-normalized'!$E:$E, MATCH($A242, 'KZ-normalized'!$A:$A, 0))&gt;0, -(22*INDEX('KZ-normalized'!$D:$D, MATCH($A242, 'KZ-normalized'!$A:$A, 0))-INDEX('KZ-normalized'!$E:$E, MATCH($A242, 'KZ-normalized'!$A:$A, 0))), 0), 0))+(IFERROR(IF(22*INDEX('UZ-normalized'!$D:$D, MATCH($A242, 'UZ-normalized'!$A:$A, 0))-INDEX('UZ-normalized'!$E:$E, MATCH($A242, 'UZ-normalized'!$A:$A, 0))&gt;0, -(22*INDEX('UZ-normalized'!$D:$D, MATCH($A242, 'UZ-normalized'!$A:$A, 0))-INDEX('UZ-normalized'!$E:$E, MATCH($A242, 'UZ-normalized'!$A:$A, 0))), 0), 0)))</f>
        <v>0</v>
      </c>
      <c r="AK242" s="6">
        <f>MIN(0, N242+(IFERROR(IF(23*INDEX('UA-normalized'!$D:$D, MATCH($A242, 'UA-normalized'!$A:$A, 0))-INDEX('UA-normalized'!$E:$E, MATCH($A242, 'UA-normalized'!$A:$A, 0))&gt;0, -(23*INDEX('UA-normalized'!$D:$D, MATCH($A242, 'UA-normalized'!$A:$A, 0))-INDEX('UA-normalized'!$E:$E, MATCH($A242, 'UA-normalized'!$A:$A, 0))), 0), 0))+(IFERROR(IF(23*INDEX('KZ-normalized'!$D:$D, MATCH($A242, 'KZ-normalized'!$A:$A, 0))-INDEX('KZ-normalized'!$E:$E, MATCH($A242, 'KZ-normalized'!$A:$A, 0))&gt;0, -(23*INDEX('KZ-normalized'!$D:$D, MATCH($A242, 'KZ-normalized'!$A:$A, 0))-INDEX('KZ-normalized'!$E:$E, MATCH($A242, 'KZ-normalized'!$A:$A, 0))), 0), 0))+(IFERROR(IF(23*INDEX('UZ-normalized'!$D:$D, MATCH($A242, 'UZ-normalized'!$A:$A, 0))-INDEX('UZ-normalized'!$E:$E, MATCH($A242, 'UZ-normalized'!$A:$A, 0))&gt;0, -(23*INDEX('UZ-normalized'!$D:$D, MATCH($A242, 'UZ-normalized'!$A:$A, 0))-INDEX('UZ-normalized'!$E:$E, MATCH($A242, 'UZ-normalized'!$A:$A, 0))), 0), 0)))</f>
        <v>0</v>
      </c>
      <c r="AL242" s="6">
        <f>MIN(0, N242+(IFERROR(IF(24*INDEX('UA-normalized'!$D:$D, MATCH($A242, 'UA-normalized'!$A:$A, 0))-INDEX('UA-normalized'!$E:$E, MATCH($A242, 'UA-normalized'!$A:$A, 0))&gt;0, -(24*INDEX('UA-normalized'!$D:$D, MATCH($A242, 'UA-normalized'!$A:$A, 0))-INDEX('UA-normalized'!$E:$E, MATCH($A242, 'UA-normalized'!$A:$A, 0))), 0), 0))+(IFERROR(IF(24*INDEX('KZ-normalized'!$D:$D, MATCH($A242, 'KZ-normalized'!$A:$A, 0))-INDEX('KZ-normalized'!$E:$E, MATCH($A242, 'KZ-normalized'!$A:$A, 0))&gt;0, -(24*INDEX('KZ-normalized'!$D:$D, MATCH($A242, 'KZ-normalized'!$A:$A, 0))-INDEX('KZ-normalized'!$E:$E, MATCH($A242, 'KZ-normalized'!$A:$A, 0))), 0), 0))+(IFERROR(IF(24*INDEX('UZ-normalized'!$D:$D, MATCH($A242, 'UZ-normalized'!$A:$A, 0))-INDEX('UZ-normalized'!$E:$E, MATCH($A242, 'UZ-normalized'!$A:$A, 0))&gt;0, -(24*INDEX('UZ-normalized'!$D:$D, MATCH($A242, 'UZ-normalized'!$A:$A, 0))-INDEX('UZ-normalized'!$E:$E, MATCH($A242, 'UZ-normalized'!$A:$A, 0))), 0), 0)))</f>
        <v>0</v>
      </c>
      <c r="AM242" s="6">
        <f>MIN(0, N242+(IFERROR(IF(25*INDEX('UA-normalized'!$D:$D, MATCH($A242, 'UA-normalized'!$A:$A, 0))-INDEX('UA-normalized'!$E:$E, MATCH($A242, 'UA-normalized'!$A:$A, 0))&gt;0, -(25*INDEX('UA-normalized'!$D:$D, MATCH($A242, 'UA-normalized'!$A:$A, 0))-INDEX('UA-normalized'!$E:$E, MATCH($A242, 'UA-normalized'!$A:$A, 0))), 0), 0))+(IFERROR(IF(25*INDEX('KZ-normalized'!$D:$D, MATCH($A242, 'KZ-normalized'!$A:$A, 0))-INDEX('KZ-normalized'!$E:$E, MATCH($A242, 'KZ-normalized'!$A:$A, 0))&gt;0, -(25*INDEX('KZ-normalized'!$D:$D, MATCH($A242, 'KZ-normalized'!$A:$A, 0))-INDEX('KZ-normalized'!$E:$E, MATCH($A242, 'KZ-normalized'!$A:$A, 0))), 0), 0))+(IFERROR(IF(25*INDEX('UZ-normalized'!$D:$D, MATCH($A242, 'UZ-normalized'!$A:$A, 0))-INDEX('UZ-normalized'!$E:$E, MATCH($A242, 'UZ-normalized'!$A:$A, 0))&gt;0, -(25*INDEX('UZ-normalized'!$D:$D, MATCH($A242, 'UZ-normalized'!$A:$A, 0))-INDEX('UZ-normalized'!$E:$E, MATCH($A242, 'UZ-normalized'!$A:$A, 0))), 0), 0)))</f>
        <v>0</v>
      </c>
      <c r="AN242" s="6">
        <f>MIN(0, N242+(IFERROR(IF(26*INDEX('UA-normalized'!$D:$D, MATCH($A242, 'UA-normalized'!$A:$A, 0))-INDEX('UA-normalized'!$E:$E, MATCH($A242, 'UA-normalized'!$A:$A, 0))&gt;0, -(26*INDEX('UA-normalized'!$D:$D, MATCH($A242, 'UA-normalized'!$A:$A, 0))-INDEX('UA-normalized'!$E:$E, MATCH($A242, 'UA-normalized'!$A:$A, 0))), 0), 0))+(IFERROR(IF(26*INDEX('KZ-normalized'!$D:$D, MATCH($A242, 'KZ-normalized'!$A:$A, 0))-INDEX('KZ-normalized'!$E:$E, MATCH($A242, 'KZ-normalized'!$A:$A, 0))&gt;0, -(26*INDEX('KZ-normalized'!$D:$D, MATCH($A242, 'KZ-normalized'!$A:$A, 0))-INDEX('KZ-normalized'!$E:$E, MATCH($A242, 'KZ-normalized'!$A:$A, 0))), 0), 0))+(IFERROR(IF(26*INDEX('UZ-normalized'!$D:$D, MATCH($A242, 'UZ-normalized'!$A:$A, 0))-INDEX('UZ-normalized'!$E:$E, MATCH($A242, 'UZ-normalized'!$A:$A, 0))&gt;0, -(26*INDEX('UZ-normalized'!$D:$D, MATCH($A242, 'UZ-normalized'!$A:$A, 0))-INDEX('UZ-normalized'!$E:$E, MATCH($A242, 'UZ-normalized'!$A:$A, 0))), 0), 0)))</f>
        <v>0</v>
      </c>
      <c r="AO242" s="6">
        <f>MIN(0, N242+(IFERROR(IF(27*INDEX('UA-normalized'!$D:$D, MATCH($A242, 'UA-normalized'!$A:$A, 0))-INDEX('UA-normalized'!$E:$E, MATCH($A242, 'UA-normalized'!$A:$A, 0))&gt;0, -(27*INDEX('UA-normalized'!$D:$D, MATCH($A242, 'UA-normalized'!$A:$A, 0))-INDEX('UA-normalized'!$E:$E, MATCH($A242, 'UA-normalized'!$A:$A, 0))), 0), 0))+(IFERROR(IF(27*INDEX('KZ-normalized'!$D:$D, MATCH($A242, 'KZ-normalized'!$A:$A, 0))-INDEX('KZ-normalized'!$E:$E, MATCH($A242, 'KZ-normalized'!$A:$A, 0))&gt;0, -(27*INDEX('KZ-normalized'!$D:$D, MATCH($A242, 'KZ-normalized'!$A:$A, 0))-INDEX('KZ-normalized'!$E:$E, MATCH($A242, 'KZ-normalized'!$A:$A, 0))), 0), 0))+(IFERROR(IF(27*INDEX('UZ-normalized'!$D:$D, MATCH($A242, 'UZ-normalized'!$A:$A, 0))-INDEX('UZ-normalized'!$E:$E, MATCH($A242, 'UZ-normalized'!$A:$A, 0))&gt;0, -(27*INDEX('UZ-normalized'!$D:$D, MATCH($A242, 'UZ-normalized'!$A:$A, 0))-INDEX('UZ-normalized'!$E:$E, MATCH($A242, 'UZ-normalized'!$A:$A, 0))), 0), 0)))</f>
        <v>0</v>
      </c>
      <c r="AP242" s="6">
        <f>MIN(0, N242+(IFERROR(IF(28*INDEX('UA-normalized'!$D:$D, MATCH($A242, 'UA-normalized'!$A:$A, 0))-INDEX('UA-normalized'!$E:$E, MATCH($A242, 'UA-normalized'!$A:$A, 0))&gt;0, -(28*INDEX('UA-normalized'!$D:$D, MATCH($A242, 'UA-normalized'!$A:$A, 0))-INDEX('UA-normalized'!$E:$E, MATCH($A242, 'UA-normalized'!$A:$A, 0))), 0), 0))+(IFERROR(IF(28*INDEX('KZ-normalized'!$D:$D, MATCH($A242, 'KZ-normalized'!$A:$A, 0))-INDEX('KZ-normalized'!$E:$E, MATCH($A242, 'KZ-normalized'!$A:$A, 0))&gt;0, -(28*INDEX('KZ-normalized'!$D:$D, MATCH($A242, 'KZ-normalized'!$A:$A, 0))-INDEX('KZ-normalized'!$E:$E, MATCH($A242, 'KZ-normalized'!$A:$A, 0))), 0), 0))+(IFERROR(IF(28*INDEX('UZ-normalized'!$D:$D, MATCH($A242, 'UZ-normalized'!$A:$A, 0))-INDEX('UZ-normalized'!$E:$E, MATCH($A242, 'UZ-normalized'!$A:$A, 0))&gt;0, -(28*INDEX('UZ-normalized'!$D:$D, MATCH($A242, 'UZ-normalized'!$A:$A, 0))-INDEX('UZ-normalized'!$E:$E, MATCH($A242, 'UZ-normalized'!$A:$A, 0))), 0), 0)))</f>
        <v>0</v>
      </c>
      <c r="AQ242" s="6">
        <f>MIN(0, N242+(IFERROR(IF(29*INDEX('UA-normalized'!$D:$D, MATCH($A242, 'UA-normalized'!$A:$A, 0))-INDEX('UA-normalized'!$E:$E, MATCH($A242, 'UA-normalized'!$A:$A, 0))&gt;0, -(29*INDEX('UA-normalized'!$D:$D, MATCH($A242, 'UA-normalized'!$A:$A, 0))-INDEX('UA-normalized'!$E:$E, MATCH($A242, 'UA-normalized'!$A:$A, 0))), 0), 0))+(IFERROR(IF(29*INDEX('KZ-normalized'!$D:$D, MATCH($A242, 'KZ-normalized'!$A:$A, 0))-INDEX('KZ-normalized'!$E:$E, MATCH($A242, 'KZ-normalized'!$A:$A, 0))&gt;0, -(29*INDEX('KZ-normalized'!$D:$D, MATCH($A242, 'KZ-normalized'!$A:$A, 0))-INDEX('KZ-normalized'!$E:$E, MATCH($A242, 'KZ-normalized'!$A:$A, 0))), 0), 0))+(IFERROR(IF(29*INDEX('UZ-normalized'!$D:$D, MATCH($A242, 'UZ-normalized'!$A:$A, 0))-INDEX('UZ-normalized'!$E:$E, MATCH($A242, 'UZ-normalized'!$A:$A, 0))&gt;0, -(29*INDEX('UZ-normalized'!$D:$D, MATCH($A242, 'UZ-normalized'!$A:$A, 0))-INDEX('UZ-normalized'!$E:$E, MATCH($A242, 'UZ-normalized'!$A:$A, 0))), 0), 0)))</f>
        <v>0</v>
      </c>
      <c r="AR242" s="6">
        <f>MIN(0, N242+(IFERROR(IF(30*INDEX('UA-normalized'!$D:$D, MATCH($A242, 'UA-normalized'!$A:$A, 0))-INDEX('UA-normalized'!$E:$E, MATCH($A242, 'UA-normalized'!$A:$A, 0))&gt;0, -(30*INDEX('UA-normalized'!$D:$D, MATCH($A242, 'UA-normalized'!$A:$A, 0))-INDEX('UA-normalized'!$E:$E, MATCH($A242, 'UA-normalized'!$A:$A, 0))), 0), 0))+(IFERROR(IF(30*INDEX('KZ-normalized'!$D:$D, MATCH($A242, 'KZ-normalized'!$A:$A, 0))-INDEX('KZ-normalized'!$E:$E, MATCH($A242, 'KZ-normalized'!$A:$A, 0))&gt;0, -(30*INDEX('KZ-normalized'!$D:$D, MATCH($A242, 'KZ-normalized'!$A:$A, 0))-INDEX('KZ-normalized'!$E:$E, MATCH($A242, 'KZ-normalized'!$A:$A, 0))), 0), 0))+(IFERROR(IF(30*INDEX('UZ-normalized'!$D:$D, MATCH($A242, 'UZ-normalized'!$A:$A, 0))-INDEX('UZ-normalized'!$E:$E, MATCH($A242, 'UZ-normalized'!$A:$A, 0))&gt;0, -(30*INDEX('UZ-normalized'!$D:$D, MATCH($A242, 'UZ-normalized'!$A:$A, 0))-INDEX('UZ-normalized'!$E:$E, MATCH($A242, 'UZ-normalized'!$A:$A, 0))), 0), 0)))</f>
        <v>0</v>
      </c>
    </row>
    <row r="243" spans="1:44" x14ac:dyDescent="0.25">
      <c r="A243" s="8" t="s">
        <v>572</v>
      </c>
      <c r="B243" s="8" t="s">
        <v>568</v>
      </c>
      <c r="C243" s="8" t="s">
        <v>573</v>
      </c>
      <c r="D243" s="8" t="s">
        <v>574</v>
      </c>
      <c r="E243">
        <v>521.33333333333337</v>
      </c>
      <c r="N243">
        <f t="shared" si="3"/>
        <v>521.33333333333337</v>
      </c>
      <c r="O243" s="6">
        <f>MIN(0, N243+(IFERROR(IF(1*INDEX('UA-normalized'!$D:$D, MATCH($A243, 'UA-normalized'!$A:$A, 0))-INDEX('UA-normalized'!$E:$E, MATCH($A243, 'UA-normalized'!$A:$A, 0))&gt;0, -(1*INDEX('UA-normalized'!$D:$D, MATCH($A243, 'UA-normalized'!$A:$A, 0))-INDEX('UA-normalized'!$E:$E, MATCH($A243, 'UA-normalized'!$A:$A, 0))), 0), 0))+(IFERROR(IF(1*INDEX('KZ-normalized'!$D:$D, MATCH($A243, 'KZ-normalized'!$A:$A, 0))-INDEX('KZ-normalized'!$E:$E, MATCH($A243, 'KZ-normalized'!$A:$A, 0))&gt;0, -(1*INDEX('KZ-normalized'!$D:$D, MATCH($A243, 'KZ-normalized'!$A:$A, 0))-INDEX('KZ-normalized'!$E:$E, MATCH($A243, 'KZ-normalized'!$A:$A, 0))), 0), 0))+(IFERROR(IF(1*INDEX('UZ-normalized'!$D:$D, MATCH($A243, 'UZ-normalized'!$A:$A, 0))-INDEX('UZ-normalized'!$E:$E, MATCH($A243, 'UZ-normalized'!$A:$A, 0))&gt;0, -(1*INDEX('UZ-normalized'!$D:$D, MATCH($A243, 'UZ-normalized'!$A:$A, 0))-INDEX('UZ-normalized'!$E:$E, MATCH($A243, 'UZ-normalized'!$A:$A, 0))), 0), 0)))</f>
        <v>0</v>
      </c>
      <c r="P243" s="6">
        <f>MIN(0, N243+(IFERROR(IF(2*INDEX('UA-normalized'!$D:$D, MATCH($A243, 'UA-normalized'!$A:$A, 0))-INDEX('UA-normalized'!$E:$E, MATCH($A243, 'UA-normalized'!$A:$A, 0))&gt;0, -(2*INDEX('UA-normalized'!$D:$D, MATCH($A243, 'UA-normalized'!$A:$A, 0))-INDEX('UA-normalized'!$E:$E, MATCH($A243, 'UA-normalized'!$A:$A, 0))), 0), 0))+(IFERROR(IF(2*INDEX('KZ-normalized'!$D:$D, MATCH($A243, 'KZ-normalized'!$A:$A, 0))-INDEX('KZ-normalized'!$E:$E, MATCH($A243, 'KZ-normalized'!$A:$A, 0))&gt;0, -(2*INDEX('KZ-normalized'!$D:$D, MATCH($A243, 'KZ-normalized'!$A:$A, 0))-INDEX('KZ-normalized'!$E:$E, MATCH($A243, 'KZ-normalized'!$A:$A, 0))), 0), 0))+(IFERROR(IF(2*INDEX('UZ-normalized'!$D:$D, MATCH($A243, 'UZ-normalized'!$A:$A, 0))-INDEX('UZ-normalized'!$E:$E, MATCH($A243, 'UZ-normalized'!$A:$A, 0))&gt;0, -(2*INDEX('UZ-normalized'!$D:$D, MATCH($A243, 'UZ-normalized'!$A:$A, 0))-INDEX('UZ-normalized'!$E:$E, MATCH($A243, 'UZ-normalized'!$A:$A, 0))), 0), 0)))</f>
        <v>0</v>
      </c>
      <c r="Q243" s="6">
        <f>MIN(0, N243+(IFERROR(IF(3*INDEX('UA-normalized'!$D:$D, MATCH($A243, 'UA-normalized'!$A:$A, 0))-INDEX('UA-normalized'!$E:$E, MATCH($A243, 'UA-normalized'!$A:$A, 0))&gt;0, -(3*INDEX('UA-normalized'!$D:$D, MATCH($A243, 'UA-normalized'!$A:$A, 0))-INDEX('UA-normalized'!$E:$E, MATCH($A243, 'UA-normalized'!$A:$A, 0))), 0), 0))+(IFERROR(IF(3*INDEX('KZ-normalized'!$D:$D, MATCH($A243, 'KZ-normalized'!$A:$A, 0))-INDEX('KZ-normalized'!$E:$E, MATCH($A243, 'KZ-normalized'!$A:$A, 0))&gt;0, -(3*INDEX('KZ-normalized'!$D:$D, MATCH($A243, 'KZ-normalized'!$A:$A, 0))-INDEX('KZ-normalized'!$E:$E, MATCH($A243, 'KZ-normalized'!$A:$A, 0))), 0), 0))+(IFERROR(IF(3*INDEX('UZ-normalized'!$D:$D, MATCH($A243, 'UZ-normalized'!$A:$A, 0))-INDEX('UZ-normalized'!$E:$E, MATCH($A243, 'UZ-normalized'!$A:$A, 0))&gt;0, -(3*INDEX('UZ-normalized'!$D:$D, MATCH($A243, 'UZ-normalized'!$A:$A, 0))-INDEX('UZ-normalized'!$E:$E, MATCH($A243, 'UZ-normalized'!$A:$A, 0))), 0), 0)))</f>
        <v>0</v>
      </c>
      <c r="R243" s="6">
        <f>MIN(0, N243+(IFERROR(IF(4*INDEX('UA-normalized'!$D:$D, MATCH($A243, 'UA-normalized'!$A:$A, 0))-INDEX('UA-normalized'!$E:$E, MATCH($A243, 'UA-normalized'!$A:$A, 0))&gt;0, -(4*INDEX('UA-normalized'!$D:$D, MATCH($A243, 'UA-normalized'!$A:$A, 0))-INDEX('UA-normalized'!$E:$E, MATCH($A243, 'UA-normalized'!$A:$A, 0))), 0), 0))+(IFERROR(IF(4*INDEX('KZ-normalized'!$D:$D, MATCH($A243, 'KZ-normalized'!$A:$A, 0))-INDEX('KZ-normalized'!$E:$E, MATCH($A243, 'KZ-normalized'!$A:$A, 0))&gt;0, -(4*INDEX('KZ-normalized'!$D:$D, MATCH($A243, 'KZ-normalized'!$A:$A, 0))-INDEX('KZ-normalized'!$E:$E, MATCH($A243, 'KZ-normalized'!$A:$A, 0))), 0), 0))+(IFERROR(IF(4*INDEX('UZ-normalized'!$D:$D, MATCH($A243, 'UZ-normalized'!$A:$A, 0))-INDEX('UZ-normalized'!$E:$E, MATCH($A243, 'UZ-normalized'!$A:$A, 0))&gt;0, -(4*INDEX('UZ-normalized'!$D:$D, MATCH($A243, 'UZ-normalized'!$A:$A, 0))-INDEX('UZ-normalized'!$E:$E, MATCH($A243, 'UZ-normalized'!$A:$A, 0))), 0), 0)))</f>
        <v>0</v>
      </c>
      <c r="S243" s="6">
        <f>MIN(0, N243+(IFERROR(IF(5*INDEX('UA-normalized'!$D:$D, MATCH($A243, 'UA-normalized'!$A:$A, 0))-INDEX('UA-normalized'!$E:$E, MATCH($A243, 'UA-normalized'!$A:$A, 0))&gt;0, -(5*INDEX('UA-normalized'!$D:$D, MATCH($A243, 'UA-normalized'!$A:$A, 0))-INDEX('UA-normalized'!$E:$E, MATCH($A243, 'UA-normalized'!$A:$A, 0))), 0), 0))+(IFERROR(IF(5*INDEX('KZ-normalized'!$D:$D, MATCH($A243, 'KZ-normalized'!$A:$A, 0))-INDEX('KZ-normalized'!$E:$E, MATCH($A243, 'KZ-normalized'!$A:$A, 0))&gt;0, -(5*INDEX('KZ-normalized'!$D:$D, MATCH($A243, 'KZ-normalized'!$A:$A, 0))-INDEX('KZ-normalized'!$E:$E, MATCH($A243, 'KZ-normalized'!$A:$A, 0))), 0), 0))+(IFERROR(IF(5*INDEX('UZ-normalized'!$D:$D, MATCH($A243, 'UZ-normalized'!$A:$A, 0))-INDEX('UZ-normalized'!$E:$E, MATCH($A243, 'UZ-normalized'!$A:$A, 0))&gt;0, -(5*INDEX('UZ-normalized'!$D:$D, MATCH($A243, 'UZ-normalized'!$A:$A, 0))-INDEX('UZ-normalized'!$E:$E, MATCH($A243, 'UZ-normalized'!$A:$A, 0))), 0), 0)))</f>
        <v>0</v>
      </c>
      <c r="T243" s="6">
        <f>MIN(0, N243+(IFERROR(IF(6*INDEX('UA-normalized'!$D:$D, MATCH($A243, 'UA-normalized'!$A:$A, 0))-INDEX('UA-normalized'!$E:$E, MATCH($A243, 'UA-normalized'!$A:$A, 0))&gt;0, -(6*INDEX('UA-normalized'!$D:$D, MATCH($A243, 'UA-normalized'!$A:$A, 0))-INDEX('UA-normalized'!$E:$E, MATCH($A243, 'UA-normalized'!$A:$A, 0))), 0), 0))+(IFERROR(IF(6*INDEX('KZ-normalized'!$D:$D, MATCH($A243, 'KZ-normalized'!$A:$A, 0))-INDEX('KZ-normalized'!$E:$E, MATCH($A243, 'KZ-normalized'!$A:$A, 0))&gt;0, -(6*INDEX('KZ-normalized'!$D:$D, MATCH($A243, 'KZ-normalized'!$A:$A, 0))-INDEX('KZ-normalized'!$E:$E, MATCH($A243, 'KZ-normalized'!$A:$A, 0))), 0), 0))+(IFERROR(IF(6*INDEX('UZ-normalized'!$D:$D, MATCH($A243, 'UZ-normalized'!$A:$A, 0))-INDEX('UZ-normalized'!$E:$E, MATCH($A243, 'UZ-normalized'!$A:$A, 0))&gt;0, -(6*INDEX('UZ-normalized'!$D:$D, MATCH($A243, 'UZ-normalized'!$A:$A, 0))-INDEX('UZ-normalized'!$E:$E, MATCH($A243, 'UZ-normalized'!$A:$A, 0))), 0), 0)))</f>
        <v>0</v>
      </c>
      <c r="U243" s="6">
        <f>MIN(0, N243+(IFERROR(IF(7*INDEX('UA-normalized'!$D:$D, MATCH($A243, 'UA-normalized'!$A:$A, 0))-INDEX('UA-normalized'!$E:$E, MATCH($A243, 'UA-normalized'!$A:$A, 0))&gt;0, -(7*INDEX('UA-normalized'!$D:$D, MATCH($A243, 'UA-normalized'!$A:$A, 0))-INDEX('UA-normalized'!$E:$E, MATCH($A243, 'UA-normalized'!$A:$A, 0))), 0), 0))+(IFERROR(IF(7*INDEX('KZ-normalized'!$D:$D, MATCH($A243, 'KZ-normalized'!$A:$A, 0))-INDEX('KZ-normalized'!$E:$E, MATCH($A243, 'KZ-normalized'!$A:$A, 0))&gt;0, -(7*INDEX('KZ-normalized'!$D:$D, MATCH($A243, 'KZ-normalized'!$A:$A, 0))-INDEX('KZ-normalized'!$E:$E, MATCH($A243, 'KZ-normalized'!$A:$A, 0))), 0), 0))+(IFERROR(IF(7*INDEX('UZ-normalized'!$D:$D, MATCH($A243, 'UZ-normalized'!$A:$A, 0))-INDEX('UZ-normalized'!$E:$E, MATCH($A243, 'UZ-normalized'!$A:$A, 0))&gt;0, -(7*INDEX('UZ-normalized'!$D:$D, MATCH($A243, 'UZ-normalized'!$A:$A, 0))-INDEX('UZ-normalized'!$E:$E, MATCH($A243, 'UZ-normalized'!$A:$A, 0))), 0), 0)))</f>
        <v>0</v>
      </c>
      <c r="V243" s="6">
        <f>MIN(0, N243+(IFERROR(IF(8*INDEX('UA-normalized'!$D:$D, MATCH($A243, 'UA-normalized'!$A:$A, 0))-INDEX('UA-normalized'!$E:$E, MATCH($A243, 'UA-normalized'!$A:$A, 0))&gt;0, -(8*INDEX('UA-normalized'!$D:$D, MATCH($A243, 'UA-normalized'!$A:$A, 0))-INDEX('UA-normalized'!$E:$E, MATCH($A243, 'UA-normalized'!$A:$A, 0))), 0), 0))+(IFERROR(IF(8*INDEX('KZ-normalized'!$D:$D, MATCH($A243, 'KZ-normalized'!$A:$A, 0))-INDEX('KZ-normalized'!$E:$E, MATCH($A243, 'KZ-normalized'!$A:$A, 0))&gt;0, -(8*INDEX('KZ-normalized'!$D:$D, MATCH($A243, 'KZ-normalized'!$A:$A, 0))-INDEX('KZ-normalized'!$E:$E, MATCH($A243, 'KZ-normalized'!$A:$A, 0))), 0), 0))+(IFERROR(IF(8*INDEX('UZ-normalized'!$D:$D, MATCH($A243, 'UZ-normalized'!$A:$A, 0))-INDEX('UZ-normalized'!$E:$E, MATCH($A243, 'UZ-normalized'!$A:$A, 0))&gt;0, -(8*INDEX('UZ-normalized'!$D:$D, MATCH($A243, 'UZ-normalized'!$A:$A, 0))-INDEX('UZ-normalized'!$E:$E, MATCH($A243, 'UZ-normalized'!$A:$A, 0))), 0), 0)))</f>
        <v>0</v>
      </c>
      <c r="W243" s="6">
        <f>MIN(0, N243+(IFERROR(IF(9*INDEX('UA-normalized'!$D:$D, MATCH($A243, 'UA-normalized'!$A:$A, 0))-INDEX('UA-normalized'!$E:$E, MATCH($A243, 'UA-normalized'!$A:$A, 0))&gt;0, -(9*INDEX('UA-normalized'!$D:$D, MATCH($A243, 'UA-normalized'!$A:$A, 0))-INDEX('UA-normalized'!$E:$E, MATCH($A243, 'UA-normalized'!$A:$A, 0))), 0), 0))+(IFERROR(IF(9*INDEX('KZ-normalized'!$D:$D, MATCH($A243, 'KZ-normalized'!$A:$A, 0))-INDEX('KZ-normalized'!$E:$E, MATCH($A243, 'KZ-normalized'!$A:$A, 0))&gt;0, -(9*INDEX('KZ-normalized'!$D:$D, MATCH($A243, 'KZ-normalized'!$A:$A, 0))-INDEX('KZ-normalized'!$E:$E, MATCH($A243, 'KZ-normalized'!$A:$A, 0))), 0), 0))+(IFERROR(IF(9*INDEX('UZ-normalized'!$D:$D, MATCH($A243, 'UZ-normalized'!$A:$A, 0))-INDEX('UZ-normalized'!$E:$E, MATCH($A243, 'UZ-normalized'!$A:$A, 0))&gt;0, -(9*INDEX('UZ-normalized'!$D:$D, MATCH($A243, 'UZ-normalized'!$A:$A, 0))-INDEX('UZ-normalized'!$E:$E, MATCH($A243, 'UZ-normalized'!$A:$A, 0))), 0), 0)))</f>
        <v>0</v>
      </c>
      <c r="X243" s="6">
        <f>MIN(0, N243+(IFERROR(IF(10*INDEX('UA-normalized'!$D:$D, MATCH($A243, 'UA-normalized'!$A:$A, 0))-INDEX('UA-normalized'!$E:$E, MATCH($A243, 'UA-normalized'!$A:$A, 0))&gt;0, -(10*INDEX('UA-normalized'!$D:$D, MATCH($A243, 'UA-normalized'!$A:$A, 0))-INDEX('UA-normalized'!$E:$E, MATCH($A243, 'UA-normalized'!$A:$A, 0))), 0), 0))+(IFERROR(IF(10*INDEX('KZ-normalized'!$D:$D, MATCH($A243, 'KZ-normalized'!$A:$A, 0))-INDEX('KZ-normalized'!$E:$E, MATCH($A243, 'KZ-normalized'!$A:$A, 0))&gt;0, -(10*INDEX('KZ-normalized'!$D:$D, MATCH($A243, 'KZ-normalized'!$A:$A, 0))-INDEX('KZ-normalized'!$E:$E, MATCH($A243, 'KZ-normalized'!$A:$A, 0))), 0), 0))+(IFERROR(IF(10*INDEX('UZ-normalized'!$D:$D, MATCH($A243, 'UZ-normalized'!$A:$A, 0))-INDEX('UZ-normalized'!$E:$E, MATCH($A243, 'UZ-normalized'!$A:$A, 0))&gt;0, -(10*INDEX('UZ-normalized'!$D:$D, MATCH($A243, 'UZ-normalized'!$A:$A, 0))-INDEX('UZ-normalized'!$E:$E, MATCH($A243, 'UZ-normalized'!$A:$A, 0))), 0), 0)))</f>
        <v>0</v>
      </c>
      <c r="Y243" s="6">
        <f>MIN(0, N243+(IFERROR(IF(11*INDEX('UA-normalized'!$D:$D, MATCH($A243, 'UA-normalized'!$A:$A, 0))-INDEX('UA-normalized'!$E:$E, MATCH($A243, 'UA-normalized'!$A:$A, 0))&gt;0, -(11*INDEX('UA-normalized'!$D:$D, MATCH($A243, 'UA-normalized'!$A:$A, 0))-INDEX('UA-normalized'!$E:$E, MATCH($A243, 'UA-normalized'!$A:$A, 0))), 0), 0))+(IFERROR(IF(11*INDEX('KZ-normalized'!$D:$D, MATCH($A243, 'KZ-normalized'!$A:$A, 0))-INDEX('KZ-normalized'!$E:$E, MATCH($A243, 'KZ-normalized'!$A:$A, 0))&gt;0, -(11*INDEX('KZ-normalized'!$D:$D, MATCH($A243, 'KZ-normalized'!$A:$A, 0))-INDEX('KZ-normalized'!$E:$E, MATCH($A243, 'KZ-normalized'!$A:$A, 0))), 0), 0))+(IFERROR(IF(11*INDEX('UZ-normalized'!$D:$D, MATCH($A243, 'UZ-normalized'!$A:$A, 0))-INDEX('UZ-normalized'!$E:$E, MATCH($A243, 'UZ-normalized'!$A:$A, 0))&gt;0, -(11*INDEX('UZ-normalized'!$D:$D, MATCH($A243, 'UZ-normalized'!$A:$A, 0))-INDEX('UZ-normalized'!$E:$E, MATCH($A243, 'UZ-normalized'!$A:$A, 0))), 0), 0)))</f>
        <v>0</v>
      </c>
      <c r="Z243" s="6">
        <f>MIN(0, N243+(IFERROR(IF(12*INDEX('UA-normalized'!$D:$D, MATCH($A243, 'UA-normalized'!$A:$A, 0))-INDEX('UA-normalized'!$E:$E, MATCH($A243, 'UA-normalized'!$A:$A, 0))&gt;0, -(12*INDEX('UA-normalized'!$D:$D, MATCH($A243, 'UA-normalized'!$A:$A, 0))-INDEX('UA-normalized'!$E:$E, MATCH($A243, 'UA-normalized'!$A:$A, 0))), 0), 0))+(IFERROR(IF(12*INDEX('KZ-normalized'!$D:$D, MATCH($A243, 'KZ-normalized'!$A:$A, 0))-INDEX('KZ-normalized'!$E:$E, MATCH($A243, 'KZ-normalized'!$A:$A, 0))&gt;0, -(12*INDEX('KZ-normalized'!$D:$D, MATCH($A243, 'KZ-normalized'!$A:$A, 0))-INDEX('KZ-normalized'!$E:$E, MATCH($A243, 'KZ-normalized'!$A:$A, 0))), 0), 0))+(IFERROR(IF(12*INDEX('UZ-normalized'!$D:$D, MATCH($A243, 'UZ-normalized'!$A:$A, 0))-INDEX('UZ-normalized'!$E:$E, MATCH($A243, 'UZ-normalized'!$A:$A, 0))&gt;0, -(12*INDEX('UZ-normalized'!$D:$D, MATCH($A243, 'UZ-normalized'!$A:$A, 0))-INDEX('UZ-normalized'!$E:$E, MATCH($A243, 'UZ-normalized'!$A:$A, 0))), 0), 0)))</f>
        <v>0</v>
      </c>
      <c r="AA243" s="6">
        <f>MIN(0, N243+(IFERROR(IF(13*INDEX('UA-normalized'!$D:$D, MATCH($A243, 'UA-normalized'!$A:$A, 0))-INDEX('UA-normalized'!$E:$E, MATCH($A243, 'UA-normalized'!$A:$A, 0))&gt;0, -(13*INDEX('UA-normalized'!$D:$D, MATCH($A243, 'UA-normalized'!$A:$A, 0))-INDEX('UA-normalized'!$E:$E, MATCH($A243, 'UA-normalized'!$A:$A, 0))), 0), 0))+(IFERROR(IF(13*INDEX('KZ-normalized'!$D:$D, MATCH($A243, 'KZ-normalized'!$A:$A, 0))-INDEX('KZ-normalized'!$E:$E, MATCH($A243, 'KZ-normalized'!$A:$A, 0))&gt;0, -(13*INDEX('KZ-normalized'!$D:$D, MATCH($A243, 'KZ-normalized'!$A:$A, 0))-INDEX('KZ-normalized'!$E:$E, MATCH($A243, 'KZ-normalized'!$A:$A, 0))), 0), 0))+(IFERROR(IF(13*INDEX('UZ-normalized'!$D:$D, MATCH($A243, 'UZ-normalized'!$A:$A, 0))-INDEX('UZ-normalized'!$E:$E, MATCH($A243, 'UZ-normalized'!$A:$A, 0))&gt;0, -(13*INDEX('UZ-normalized'!$D:$D, MATCH($A243, 'UZ-normalized'!$A:$A, 0))-INDEX('UZ-normalized'!$E:$E, MATCH($A243, 'UZ-normalized'!$A:$A, 0))), 0), 0)))</f>
        <v>0</v>
      </c>
      <c r="AB243" s="6">
        <f>MIN(0, N243+(IFERROR(IF(14*INDEX('UA-normalized'!$D:$D, MATCH($A243, 'UA-normalized'!$A:$A, 0))-INDEX('UA-normalized'!$E:$E, MATCH($A243, 'UA-normalized'!$A:$A, 0))&gt;0, -(14*INDEX('UA-normalized'!$D:$D, MATCH($A243, 'UA-normalized'!$A:$A, 0))-INDEX('UA-normalized'!$E:$E, MATCH($A243, 'UA-normalized'!$A:$A, 0))), 0), 0))+(IFERROR(IF(14*INDEX('KZ-normalized'!$D:$D, MATCH($A243, 'KZ-normalized'!$A:$A, 0))-INDEX('KZ-normalized'!$E:$E, MATCH($A243, 'KZ-normalized'!$A:$A, 0))&gt;0, -(14*INDEX('KZ-normalized'!$D:$D, MATCH($A243, 'KZ-normalized'!$A:$A, 0))-INDEX('KZ-normalized'!$E:$E, MATCH($A243, 'KZ-normalized'!$A:$A, 0))), 0), 0))+(IFERROR(IF(14*INDEX('UZ-normalized'!$D:$D, MATCH($A243, 'UZ-normalized'!$A:$A, 0))-INDEX('UZ-normalized'!$E:$E, MATCH($A243, 'UZ-normalized'!$A:$A, 0))&gt;0, -(14*INDEX('UZ-normalized'!$D:$D, MATCH($A243, 'UZ-normalized'!$A:$A, 0))-INDEX('UZ-normalized'!$E:$E, MATCH($A243, 'UZ-normalized'!$A:$A, 0))), 0), 0)))</f>
        <v>0</v>
      </c>
      <c r="AC243" s="6">
        <f>MIN(0, N243+(IFERROR(IF(15*INDEX('UA-normalized'!$D:$D, MATCH($A243, 'UA-normalized'!$A:$A, 0))-INDEX('UA-normalized'!$E:$E, MATCH($A243, 'UA-normalized'!$A:$A, 0))&gt;0, -(15*INDEX('UA-normalized'!$D:$D, MATCH($A243, 'UA-normalized'!$A:$A, 0))-INDEX('UA-normalized'!$E:$E, MATCH($A243, 'UA-normalized'!$A:$A, 0))), 0), 0))+(IFERROR(IF(15*INDEX('KZ-normalized'!$D:$D, MATCH($A243, 'KZ-normalized'!$A:$A, 0))-INDEX('KZ-normalized'!$E:$E, MATCH($A243, 'KZ-normalized'!$A:$A, 0))&gt;0, -(15*INDEX('KZ-normalized'!$D:$D, MATCH($A243, 'KZ-normalized'!$A:$A, 0))-INDEX('KZ-normalized'!$E:$E, MATCH($A243, 'KZ-normalized'!$A:$A, 0))), 0), 0))+(IFERROR(IF(15*INDEX('UZ-normalized'!$D:$D, MATCH($A243, 'UZ-normalized'!$A:$A, 0))-INDEX('UZ-normalized'!$E:$E, MATCH($A243, 'UZ-normalized'!$A:$A, 0))&gt;0, -(15*INDEX('UZ-normalized'!$D:$D, MATCH($A243, 'UZ-normalized'!$A:$A, 0))-INDEX('UZ-normalized'!$E:$E, MATCH($A243, 'UZ-normalized'!$A:$A, 0))), 0), 0)))</f>
        <v>0</v>
      </c>
      <c r="AD243" s="6">
        <f>MIN(0, N243+(IFERROR(IF(16*INDEX('UA-normalized'!$D:$D, MATCH($A243, 'UA-normalized'!$A:$A, 0))-INDEX('UA-normalized'!$E:$E, MATCH($A243, 'UA-normalized'!$A:$A, 0))&gt;0, -(16*INDEX('UA-normalized'!$D:$D, MATCH($A243, 'UA-normalized'!$A:$A, 0))-INDEX('UA-normalized'!$E:$E, MATCH($A243, 'UA-normalized'!$A:$A, 0))), 0), 0))+(IFERROR(IF(16*INDEX('KZ-normalized'!$D:$D, MATCH($A243, 'KZ-normalized'!$A:$A, 0))-INDEX('KZ-normalized'!$E:$E, MATCH($A243, 'KZ-normalized'!$A:$A, 0))&gt;0, -(16*INDEX('KZ-normalized'!$D:$D, MATCH($A243, 'KZ-normalized'!$A:$A, 0))-INDEX('KZ-normalized'!$E:$E, MATCH($A243, 'KZ-normalized'!$A:$A, 0))), 0), 0))+(IFERROR(IF(16*INDEX('UZ-normalized'!$D:$D, MATCH($A243, 'UZ-normalized'!$A:$A, 0))-INDEX('UZ-normalized'!$E:$E, MATCH($A243, 'UZ-normalized'!$A:$A, 0))&gt;0, -(16*INDEX('UZ-normalized'!$D:$D, MATCH($A243, 'UZ-normalized'!$A:$A, 0))-INDEX('UZ-normalized'!$E:$E, MATCH($A243, 'UZ-normalized'!$A:$A, 0))), 0), 0)))</f>
        <v>0</v>
      </c>
      <c r="AE243" s="6">
        <f>MIN(0, N243+(IFERROR(IF(17*INDEX('UA-normalized'!$D:$D, MATCH($A243, 'UA-normalized'!$A:$A, 0))-INDEX('UA-normalized'!$E:$E, MATCH($A243, 'UA-normalized'!$A:$A, 0))&gt;0, -(17*INDEX('UA-normalized'!$D:$D, MATCH($A243, 'UA-normalized'!$A:$A, 0))-INDEX('UA-normalized'!$E:$E, MATCH($A243, 'UA-normalized'!$A:$A, 0))), 0), 0))+(IFERROR(IF(17*INDEX('KZ-normalized'!$D:$D, MATCH($A243, 'KZ-normalized'!$A:$A, 0))-INDEX('KZ-normalized'!$E:$E, MATCH($A243, 'KZ-normalized'!$A:$A, 0))&gt;0, -(17*INDEX('KZ-normalized'!$D:$D, MATCH($A243, 'KZ-normalized'!$A:$A, 0))-INDEX('KZ-normalized'!$E:$E, MATCH($A243, 'KZ-normalized'!$A:$A, 0))), 0), 0))+(IFERROR(IF(17*INDEX('UZ-normalized'!$D:$D, MATCH($A243, 'UZ-normalized'!$A:$A, 0))-INDEX('UZ-normalized'!$E:$E, MATCH($A243, 'UZ-normalized'!$A:$A, 0))&gt;0, -(17*INDEX('UZ-normalized'!$D:$D, MATCH($A243, 'UZ-normalized'!$A:$A, 0))-INDEX('UZ-normalized'!$E:$E, MATCH($A243, 'UZ-normalized'!$A:$A, 0))), 0), 0)))</f>
        <v>0</v>
      </c>
      <c r="AF243" s="6">
        <f>MIN(0, N243+(IFERROR(IF(18*INDEX('UA-normalized'!$D:$D, MATCH($A243, 'UA-normalized'!$A:$A, 0))-INDEX('UA-normalized'!$E:$E, MATCH($A243, 'UA-normalized'!$A:$A, 0))&gt;0, -(18*INDEX('UA-normalized'!$D:$D, MATCH($A243, 'UA-normalized'!$A:$A, 0))-INDEX('UA-normalized'!$E:$E, MATCH($A243, 'UA-normalized'!$A:$A, 0))), 0), 0))+(IFERROR(IF(18*INDEX('KZ-normalized'!$D:$D, MATCH($A243, 'KZ-normalized'!$A:$A, 0))-INDEX('KZ-normalized'!$E:$E, MATCH($A243, 'KZ-normalized'!$A:$A, 0))&gt;0, -(18*INDEX('KZ-normalized'!$D:$D, MATCH($A243, 'KZ-normalized'!$A:$A, 0))-INDEX('KZ-normalized'!$E:$E, MATCH($A243, 'KZ-normalized'!$A:$A, 0))), 0), 0))+(IFERROR(IF(18*INDEX('UZ-normalized'!$D:$D, MATCH($A243, 'UZ-normalized'!$A:$A, 0))-INDEX('UZ-normalized'!$E:$E, MATCH($A243, 'UZ-normalized'!$A:$A, 0))&gt;0, -(18*INDEX('UZ-normalized'!$D:$D, MATCH($A243, 'UZ-normalized'!$A:$A, 0))-INDEX('UZ-normalized'!$E:$E, MATCH($A243, 'UZ-normalized'!$A:$A, 0))), 0), 0)))</f>
        <v>0</v>
      </c>
      <c r="AG243" s="6">
        <f>MIN(0, N243+(IFERROR(IF(19*INDEX('UA-normalized'!$D:$D, MATCH($A243, 'UA-normalized'!$A:$A, 0))-INDEX('UA-normalized'!$E:$E, MATCH($A243, 'UA-normalized'!$A:$A, 0))&gt;0, -(19*INDEX('UA-normalized'!$D:$D, MATCH($A243, 'UA-normalized'!$A:$A, 0))-INDEX('UA-normalized'!$E:$E, MATCH($A243, 'UA-normalized'!$A:$A, 0))), 0), 0))+(IFERROR(IF(19*INDEX('KZ-normalized'!$D:$D, MATCH($A243, 'KZ-normalized'!$A:$A, 0))-INDEX('KZ-normalized'!$E:$E, MATCH($A243, 'KZ-normalized'!$A:$A, 0))&gt;0, -(19*INDEX('KZ-normalized'!$D:$D, MATCH($A243, 'KZ-normalized'!$A:$A, 0))-INDEX('KZ-normalized'!$E:$E, MATCH($A243, 'KZ-normalized'!$A:$A, 0))), 0), 0))+(IFERROR(IF(19*INDEX('UZ-normalized'!$D:$D, MATCH($A243, 'UZ-normalized'!$A:$A, 0))-INDEX('UZ-normalized'!$E:$E, MATCH($A243, 'UZ-normalized'!$A:$A, 0))&gt;0, -(19*INDEX('UZ-normalized'!$D:$D, MATCH($A243, 'UZ-normalized'!$A:$A, 0))-INDEX('UZ-normalized'!$E:$E, MATCH($A243, 'UZ-normalized'!$A:$A, 0))), 0), 0)))</f>
        <v>0</v>
      </c>
      <c r="AH243" s="6">
        <f>MIN(0, N243+(IFERROR(IF(20*INDEX('UA-normalized'!$D:$D, MATCH($A243, 'UA-normalized'!$A:$A, 0))-INDEX('UA-normalized'!$E:$E, MATCH($A243, 'UA-normalized'!$A:$A, 0))&gt;0, -(20*INDEX('UA-normalized'!$D:$D, MATCH($A243, 'UA-normalized'!$A:$A, 0))-INDEX('UA-normalized'!$E:$E, MATCH($A243, 'UA-normalized'!$A:$A, 0))), 0), 0))+(IFERROR(IF(20*INDEX('KZ-normalized'!$D:$D, MATCH($A243, 'KZ-normalized'!$A:$A, 0))-INDEX('KZ-normalized'!$E:$E, MATCH($A243, 'KZ-normalized'!$A:$A, 0))&gt;0, -(20*INDEX('KZ-normalized'!$D:$D, MATCH($A243, 'KZ-normalized'!$A:$A, 0))-INDEX('KZ-normalized'!$E:$E, MATCH($A243, 'KZ-normalized'!$A:$A, 0))), 0), 0))+(IFERROR(IF(20*INDEX('UZ-normalized'!$D:$D, MATCH($A243, 'UZ-normalized'!$A:$A, 0))-INDEX('UZ-normalized'!$E:$E, MATCH($A243, 'UZ-normalized'!$A:$A, 0))&gt;0, -(20*INDEX('UZ-normalized'!$D:$D, MATCH($A243, 'UZ-normalized'!$A:$A, 0))-INDEX('UZ-normalized'!$E:$E, MATCH($A243, 'UZ-normalized'!$A:$A, 0))), 0), 0)))</f>
        <v>0</v>
      </c>
      <c r="AI243" s="6">
        <f>MIN(0, N243+(IFERROR(IF(21*INDEX('UA-normalized'!$D:$D, MATCH($A243, 'UA-normalized'!$A:$A, 0))-INDEX('UA-normalized'!$E:$E, MATCH($A243, 'UA-normalized'!$A:$A, 0))&gt;0, -(21*INDEX('UA-normalized'!$D:$D, MATCH($A243, 'UA-normalized'!$A:$A, 0))-INDEX('UA-normalized'!$E:$E, MATCH($A243, 'UA-normalized'!$A:$A, 0))), 0), 0))+(IFERROR(IF(21*INDEX('KZ-normalized'!$D:$D, MATCH($A243, 'KZ-normalized'!$A:$A, 0))-INDEX('KZ-normalized'!$E:$E, MATCH($A243, 'KZ-normalized'!$A:$A, 0))&gt;0, -(21*INDEX('KZ-normalized'!$D:$D, MATCH($A243, 'KZ-normalized'!$A:$A, 0))-INDEX('KZ-normalized'!$E:$E, MATCH($A243, 'KZ-normalized'!$A:$A, 0))), 0), 0))+(IFERROR(IF(21*INDEX('UZ-normalized'!$D:$D, MATCH($A243, 'UZ-normalized'!$A:$A, 0))-INDEX('UZ-normalized'!$E:$E, MATCH($A243, 'UZ-normalized'!$A:$A, 0))&gt;0, -(21*INDEX('UZ-normalized'!$D:$D, MATCH($A243, 'UZ-normalized'!$A:$A, 0))-INDEX('UZ-normalized'!$E:$E, MATCH($A243, 'UZ-normalized'!$A:$A, 0))), 0), 0)))</f>
        <v>0</v>
      </c>
      <c r="AJ243" s="6">
        <f>MIN(0, N243+(IFERROR(IF(22*INDEX('UA-normalized'!$D:$D, MATCH($A243, 'UA-normalized'!$A:$A, 0))-INDEX('UA-normalized'!$E:$E, MATCH($A243, 'UA-normalized'!$A:$A, 0))&gt;0, -(22*INDEX('UA-normalized'!$D:$D, MATCH($A243, 'UA-normalized'!$A:$A, 0))-INDEX('UA-normalized'!$E:$E, MATCH($A243, 'UA-normalized'!$A:$A, 0))), 0), 0))+(IFERROR(IF(22*INDEX('KZ-normalized'!$D:$D, MATCH($A243, 'KZ-normalized'!$A:$A, 0))-INDEX('KZ-normalized'!$E:$E, MATCH($A243, 'KZ-normalized'!$A:$A, 0))&gt;0, -(22*INDEX('KZ-normalized'!$D:$D, MATCH($A243, 'KZ-normalized'!$A:$A, 0))-INDEX('KZ-normalized'!$E:$E, MATCH($A243, 'KZ-normalized'!$A:$A, 0))), 0), 0))+(IFERROR(IF(22*INDEX('UZ-normalized'!$D:$D, MATCH($A243, 'UZ-normalized'!$A:$A, 0))-INDEX('UZ-normalized'!$E:$E, MATCH($A243, 'UZ-normalized'!$A:$A, 0))&gt;0, -(22*INDEX('UZ-normalized'!$D:$D, MATCH($A243, 'UZ-normalized'!$A:$A, 0))-INDEX('UZ-normalized'!$E:$E, MATCH($A243, 'UZ-normalized'!$A:$A, 0))), 0), 0)))</f>
        <v>0</v>
      </c>
      <c r="AK243" s="6">
        <f>MIN(0, N243+(IFERROR(IF(23*INDEX('UA-normalized'!$D:$D, MATCH($A243, 'UA-normalized'!$A:$A, 0))-INDEX('UA-normalized'!$E:$E, MATCH($A243, 'UA-normalized'!$A:$A, 0))&gt;0, -(23*INDEX('UA-normalized'!$D:$D, MATCH($A243, 'UA-normalized'!$A:$A, 0))-INDEX('UA-normalized'!$E:$E, MATCH($A243, 'UA-normalized'!$A:$A, 0))), 0), 0))+(IFERROR(IF(23*INDEX('KZ-normalized'!$D:$D, MATCH($A243, 'KZ-normalized'!$A:$A, 0))-INDEX('KZ-normalized'!$E:$E, MATCH($A243, 'KZ-normalized'!$A:$A, 0))&gt;0, -(23*INDEX('KZ-normalized'!$D:$D, MATCH($A243, 'KZ-normalized'!$A:$A, 0))-INDEX('KZ-normalized'!$E:$E, MATCH($A243, 'KZ-normalized'!$A:$A, 0))), 0), 0))+(IFERROR(IF(23*INDEX('UZ-normalized'!$D:$D, MATCH($A243, 'UZ-normalized'!$A:$A, 0))-INDEX('UZ-normalized'!$E:$E, MATCH($A243, 'UZ-normalized'!$A:$A, 0))&gt;0, -(23*INDEX('UZ-normalized'!$D:$D, MATCH($A243, 'UZ-normalized'!$A:$A, 0))-INDEX('UZ-normalized'!$E:$E, MATCH($A243, 'UZ-normalized'!$A:$A, 0))), 0), 0)))</f>
        <v>0</v>
      </c>
      <c r="AL243" s="6">
        <f>MIN(0, N243+(IFERROR(IF(24*INDEX('UA-normalized'!$D:$D, MATCH($A243, 'UA-normalized'!$A:$A, 0))-INDEX('UA-normalized'!$E:$E, MATCH($A243, 'UA-normalized'!$A:$A, 0))&gt;0, -(24*INDEX('UA-normalized'!$D:$D, MATCH($A243, 'UA-normalized'!$A:$A, 0))-INDEX('UA-normalized'!$E:$E, MATCH($A243, 'UA-normalized'!$A:$A, 0))), 0), 0))+(IFERROR(IF(24*INDEX('KZ-normalized'!$D:$D, MATCH($A243, 'KZ-normalized'!$A:$A, 0))-INDEX('KZ-normalized'!$E:$E, MATCH($A243, 'KZ-normalized'!$A:$A, 0))&gt;0, -(24*INDEX('KZ-normalized'!$D:$D, MATCH($A243, 'KZ-normalized'!$A:$A, 0))-INDEX('KZ-normalized'!$E:$E, MATCH($A243, 'KZ-normalized'!$A:$A, 0))), 0), 0))+(IFERROR(IF(24*INDEX('UZ-normalized'!$D:$D, MATCH($A243, 'UZ-normalized'!$A:$A, 0))-INDEX('UZ-normalized'!$E:$E, MATCH($A243, 'UZ-normalized'!$A:$A, 0))&gt;0, -(24*INDEX('UZ-normalized'!$D:$D, MATCH($A243, 'UZ-normalized'!$A:$A, 0))-INDEX('UZ-normalized'!$E:$E, MATCH($A243, 'UZ-normalized'!$A:$A, 0))), 0), 0)))</f>
        <v>0</v>
      </c>
      <c r="AM243" s="6">
        <f>MIN(0, N243+(IFERROR(IF(25*INDEX('UA-normalized'!$D:$D, MATCH($A243, 'UA-normalized'!$A:$A, 0))-INDEX('UA-normalized'!$E:$E, MATCH($A243, 'UA-normalized'!$A:$A, 0))&gt;0, -(25*INDEX('UA-normalized'!$D:$D, MATCH($A243, 'UA-normalized'!$A:$A, 0))-INDEX('UA-normalized'!$E:$E, MATCH($A243, 'UA-normalized'!$A:$A, 0))), 0), 0))+(IFERROR(IF(25*INDEX('KZ-normalized'!$D:$D, MATCH($A243, 'KZ-normalized'!$A:$A, 0))-INDEX('KZ-normalized'!$E:$E, MATCH($A243, 'KZ-normalized'!$A:$A, 0))&gt;0, -(25*INDEX('KZ-normalized'!$D:$D, MATCH($A243, 'KZ-normalized'!$A:$A, 0))-INDEX('KZ-normalized'!$E:$E, MATCH($A243, 'KZ-normalized'!$A:$A, 0))), 0), 0))+(IFERROR(IF(25*INDEX('UZ-normalized'!$D:$D, MATCH($A243, 'UZ-normalized'!$A:$A, 0))-INDEX('UZ-normalized'!$E:$E, MATCH($A243, 'UZ-normalized'!$A:$A, 0))&gt;0, -(25*INDEX('UZ-normalized'!$D:$D, MATCH($A243, 'UZ-normalized'!$A:$A, 0))-INDEX('UZ-normalized'!$E:$E, MATCH($A243, 'UZ-normalized'!$A:$A, 0))), 0), 0)))</f>
        <v>0</v>
      </c>
      <c r="AN243" s="6">
        <f>MIN(0, N243+(IFERROR(IF(26*INDEX('UA-normalized'!$D:$D, MATCH($A243, 'UA-normalized'!$A:$A, 0))-INDEX('UA-normalized'!$E:$E, MATCH($A243, 'UA-normalized'!$A:$A, 0))&gt;0, -(26*INDEX('UA-normalized'!$D:$D, MATCH($A243, 'UA-normalized'!$A:$A, 0))-INDEX('UA-normalized'!$E:$E, MATCH($A243, 'UA-normalized'!$A:$A, 0))), 0), 0))+(IFERROR(IF(26*INDEX('KZ-normalized'!$D:$D, MATCH($A243, 'KZ-normalized'!$A:$A, 0))-INDEX('KZ-normalized'!$E:$E, MATCH($A243, 'KZ-normalized'!$A:$A, 0))&gt;0, -(26*INDEX('KZ-normalized'!$D:$D, MATCH($A243, 'KZ-normalized'!$A:$A, 0))-INDEX('KZ-normalized'!$E:$E, MATCH($A243, 'KZ-normalized'!$A:$A, 0))), 0), 0))+(IFERROR(IF(26*INDEX('UZ-normalized'!$D:$D, MATCH($A243, 'UZ-normalized'!$A:$A, 0))-INDEX('UZ-normalized'!$E:$E, MATCH($A243, 'UZ-normalized'!$A:$A, 0))&gt;0, -(26*INDEX('UZ-normalized'!$D:$D, MATCH($A243, 'UZ-normalized'!$A:$A, 0))-INDEX('UZ-normalized'!$E:$E, MATCH($A243, 'UZ-normalized'!$A:$A, 0))), 0), 0)))</f>
        <v>0</v>
      </c>
      <c r="AO243" s="6">
        <f>MIN(0, N243+(IFERROR(IF(27*INDEX('UA-normalized'!$D:$D, MATCH($A243, 'UA-normalized'!$A:$A, 0))-INDEX('UA-normalized'!$E:$E, MATCH($A243, 'UA-normalized'!$A:$A, 0))&gt;0, -(27*INDEX('UA-normalized'!$D:$D, MATCH($A243, 'UA-normalized'!$A:$A, 0))-INDEX('UA-normalized'!$E:$E, MATCH($A243, 'UA-normalized'!$A:$A, 0))), 0), 0))+(IFERROR(IF(27*INDEX('KZ-normalized'!$D:$D, MATCH($A243, 'KZ-normalized'!$A:$A, 0))-INDEX('KZ-normalized'!$E:$E, MATCH($A243, 'KZ-normalized'!$A:$A, 0))&gt;0, -(27*INDEX('KZ-normalized'!$D:$D, MATCH($A243, 'KZ-normalized'!$A:$A, 0))-INDEX('KZ-normalized'!$E:$E, MATCH($A243, 'KZ-normalized'!$A:$A, 0))), 0), 0))+(IFERROR(IF(27*INDEX('UZ-normalized'!$D:$D, MATCH($A243, 'UZ-normalized'!$A:$A, 0))-INDEX('UZ-normalized'!$E:$E, MATCH($A243, 'UZ-normalized'!$A:$A, 0))&gt;0, -(27*INDEX('UZ-normalized'!$D:$D, MATCH($A243, 'UZ-normalized'!$A:$A, 0))-INDEX('UZ-normalized'!$E:$E, MATCH($A243, 'UZ-normalized'!$A:$A, 0))), 0), 0)))</f>
        <v>0</v>
      </c>
      <c r="AP243" s="6">
        <f>MIN(0, N243+(IFERROR(IF(28*INDEX('UA-normalized'!$D:$D, MATCH($A243, 'UA-normalized'!$A:$A, 0))-INDEX('UA-normalized'!$E:$E, MATCH($A243, 'UA-normalized'!$A:$A, 0))&gt;0, -(28*INDEX('UA-normalized'!$D:$D, MATCH($A243, 'UA-normalized'!$A:$A, 0))-INDEX('UA-normalized'!$E:$E, MATCH($A243, 'UA-normalized'!$A:$A, 0))), 0), 0))+(IFERROR(IF(28*INDEX('KZ-normalized'!$D:$D, MATCH($A243, 'KZ-normalized'!$A:$A, 0))-INDEX('KZ-normalized'!$E:$E, MATCH($A243, 'KZ-normalized'!$A:$A, 0))&gt;0, -(28*INDEX('KZ-normalized'!$D:$D, MATCH($A243, 'KZ-normalized'!$A:$A, 0))-INDEX('KZ-normalized'!$E:$E, MATCH($A243, 'KZ-normalized'!$A:$A, 0))), 0), 0))+(IFERROR(IF(28*INDEX('UZ-normalized'!$D:$D, MATCH($A243, 'UZ-normalized'!$A:$A, 0))-INDEX('UZ-normalized'!$E:$E, MATCH($A243, 'UZ-normalized'!$A:$A, 0))&gt;0, -(28*INDEX('UZ-normalized'!$D:$D, MATCH($A243, 'UZ-normalized'!$A:$A, 0))-INDEX('UZ-normalized'!$E:$E, MATCH($A243, 'UZ-normalized'!$A:$A, 0))), 0), 0)))</f>
        <v>0</v>
      </c>
      <c r="AQ243" s="6">
        <f>MIN(0, N243+(IFERROR(IF(29*INDEX('UA-normalized'!$D:$D, MATCH($A243, 'UA-normalized'!$A:$A, 0))-INDEX('UA-normalized'!$E:$E, MATCH($A243, 'UA-normalized'!$A:$A, 0))&gt;0, -(29*INDEX('UA-normalized'!$D:$D, MATCH($A243, 'UA-normalized'!$A:$A, 0))-INDEX('UA-normalized'!$E:$E, MATCH($A243, 'UA-normalized'!$A:$A, 0))), 0), 0))+(IFERROR(IF(29*INDEX('KZ-normalized'!$D:$D, MATCH($A243, 'KZ-normalized'!$A:$A, 0))-INDEX('KZ-normalized'!$E:$E, MATCH($A243, 'KZ-normalized'!$A:$A, 0))&gt;0, -(29*INDEX('KZ-normalized'!$D:$D, MATCH($A243, 'KZ-normalized'!$A:$A, 0))-INDEX('KZ-normalized'!$E:$E, MATCH($A243, 'KZ-normalized'!$A:$A, 0))), 0), 0))+(IFERROR(IF(29*INDEX('UZ-normalized'!$D:$D, MATCH($A243, 'UZ-normalized'!$A:$A, 0))-INDEX('UZ-normalized'!$E:$E, MATCH($A243, 'UZ-normalized'!$A:$A, 0))&gt;0, -(29*INDEX('UZ-normalized'!$D:$D, MATCH($A243, 'UZ-normalized'!$A:$A, 0))-INDEX('UZ-normalized'!$E:$E, MATCH($A243, 'UZ-normalized'!$A:$A, 0))), 0), 0)))</f>
        <v>0</v>
      </c>
      <c r="AR243" s="6">
        <f>MIN(0, N243+(IFERROR(IF(30*INDEX('UA-normalized'!$D:$D, MATCH($A243, 'UA-normalized'!$A:$A, 0))-INDEX('UA-normalized'!$E:$E, MATCH($A243, 'UA-normalized'!$A:$A, 0))&gt;0, -(30*INDEX('UA-normalized'!$D:$D, MATCH($A243, 'UA-normalized'!$A:$A, 0))-INDEX('UA-normalized'!$E:$E, MATCH($A243, 'UA-normalized'!$A:$A, 0))), 0), 0))+(IFERROR(IF(30*INDEX('KZ-normalized'!$D:$D, MATCH($A243, 'KZ-normalized'!$A:$A, 0))-INDEX('KZ-normalized'!$E:$E, MATCH($A243, 'KZ-normalized'!$A:$A, 0))&gt;0, -(30*INDEX('KZ-normalized'!$D:$D, MATCH($A243, 'KZ-normalized'!$A:$A, 0))-INDEX('KZ-normalized'!$E:$E, MATCH($A243, 'KZ-normalized'!$A:$A, 0))), 0), 0))+(IFERROR(IF(30*INDEX('UZ-normalized'!$D:$D, MATCH($A243, 'UZ-normalized'!$A:$A, 0))-INDEX('UZ-normalized'!$E:$E, MATCH($A243, 'UZ-normalized'!$A:$A, 0))&gt;0, -(30*INDEX('UZ-normalized'!$D:$D, MATCH($A243, 'UZ-normalized'!$A:$A, 0))-INDEX('UZ-normalized'!$E:$E, MATCH($A243, 'UZ-normalized'!$A:$A, 0))), 0), 0)))</f>
        <v>0</v>
      </c>
    </row>
    <row r="244" spans="1:44" x14ac:dyDescent="0.25">
      <c r="A244" s="8" t="s">
        <v>575</v>
      </c>
      <c r="B244" s="8" t="s">
        <v>576</v>
      </c>
      <c r="C244" s="8" t="s">
        <v>577</v>
      </c>
      <c r="D244" s="8" t="s">
        <v>578</v>
      </c>
      <c r="N244">
        <f t="shared" si="3"/>
        <v>0</v>
      </c>
      <c r="O244" s="6">
        <f>MIN(0, N244+(IFERROR(IF(1*INDEX('UA-normalized'!$D:$D, MATCH($A244, 'UA-normalized'!$A:$A, 0))-INDEX('UA-normalized'!$E:$E, MATCH($A244, 'UA-normalized'!$A:$A, 0))&gt;0, -(1*INDEX('UA-normalized'!$D:$D, MATCH($A244, 'UA-normalized'!$A:$A, 0))-INDEX('UA-normalized'!$E:$E, MATCH($A244, 'UA-normalized'!$A:$A, 0))), 0), 0))+(IFERROR(IF(1*INDEX('KZ-normalized'!$D:$D, MATCH($A244, 'KZ-normalized'!$A:$A, 0))-INDEX('KZ-normalized'!$E:$E, MATCH($A244, 'KZ-normalized'!$A:$A, 0))&gt;0, -(1*INDEX('KZ-normalized'!$D:$D, MATCH($A244, 'KZ-normalized'!$A:$A, 0))-INDEX('KZ-normalized'!$E:$E, MATCH($A244, 'KZ-normalized'!$A:$A, 0))), 0), 0))+(IFERROR(IF(1*INDEX('UZ-normalized'!$D:$D, MATCH($A244, 'UZ-normalized'!$A:$A, 0))-INDEX('UZ-normalized'!$E:$E, MATCH($A244, 'UZ-normalized'!$A:$A, 0))&gt;0, -(1*INDEX('UZ-normalized'!$D:$D, MATCH($A244, 'UZ-normalized'!$A:$A, 0))-INDEX('UZ-normalized'!$E:$E, MATCH($A244, 'UZ-normalized'!$A:$A, 0))), 0), 0)))</f>
        <v>0</v>
      </c>
      <c r="P244" s="6">
        <f>MIN(0, N244+(IFERROR(IF(2*INDEX('UA-normalized'!$D:$D, MATCH($A244, 'UA-normalized'!$A:$A, 0))-INDEX('UA-normalized'!$E:$E, MATCH($A244, 'UA-normalized'!$A:$A, 0))&gt;0, -(2*INDEX('UA-normalized'!$D:$D, MATCH($A244, 'UA-normalized'!$A:$A, 0))-INDEX('UA-normalized'!$E:$E, MATCH($A244, 'UA-normalized'!$A:$A, 0))), 0), 0))+(IFERROR(IF(2*INDEX('KZ-normalized'!$D:$D, MATCH($A244, 'KZ-normalized'!$A:$A, 0))-INDEX('KZ-normalized'!$E:$E, MATCH($A244, 'KZ-normalized'!$A:$A, 0))&gt;0, -(2*INDEX('KZ-normalized'!$D:$D, MATCH($A244, 'KZ-normalized'!$A:$A, 0))-INDEX('KZ-normalized'!$E:$E, MATCH($A244, 'KZ-normalized'!$A:$A, 0))), 0), 0))+(IFERROR(IF(2*INDEX('UZ-normalized'!$D:$D, MATCH($A244, 'UZ-normalized'!$A:$A, 0))-INDEX('UZ-normalized'!$E:$E, MATCH($A244, 'UZ-normalized'!$A:$A, 0))&gt;0, -(2*INDEX('UZ-normalized'!$D:$D, MATCH($A244, 'UZ-normalized'!$A:$A, 0))-INDEX('UZ-normalized'!$E:$E, MATCH($A244, 'UZ-normalized'!$A:$A, 0))), 0), 0)))</f>
        <v>0</v>
      </c>
      <c r="Q244" s="6">
        <f>MIN(0, N244+(IFERROR(IF(3*INDEX('UA-normalized'!$D:$D, MATCH($A244, 'UA-normalized'!$A:$A, 0))-INDEX('UA-normalized'!$E:$E, MATCH($A244, 'UA-normalized'!$A:$A, 0))&gt;0, -(3*INDEX('UA-normalized'!$D:$D, MATCH($A244, 'UA-normalized'!$A:$A, 0))-INDEX('UA-normalized'!$E:$E, MATCH($A244, 'UA-normalized'!$A:$A, 0))), 0), 0))+(IFERROR(IF(3*INDEX('KZ-normalized'!$D:$D, MATCH($A244, 'KZ-normalized'!$A:$A, 0))-INDEX('KZ-normalized'!$E:$E, MATCH($A244, 'KZ-normalized'!$A:$A, 0))&gt;0, -(3*INDEX('KZ-normalized'!$D:$D, MATCH($A244, 'KZ-normalized'!$A:$A, 0))-INDEX('KZ-normalized'!$E:$E, MATCH($A244, 'KZ-normalized'!$A:$A, 0))), 0), 0))+(IFERROR(IF(3*INDEX('UZ-normalized'!$D:$D, MATCH($A244, 'UZ-normalized'!$A:$A, 0))-INDEX('UZ-normalized'!$E:$E, MATCH($A244, 'UZ-normalized'!$A:$A, 0))&gt;0, -(3*INDEX('UZ-normalized'!$D:$D, MATCH($A244, 'UZ-normalized'!$A:$A, 0))-INDEX('UZ-normalized'!$E:$E, MATCH($A244, 'UZ-normalized'!$A:$A, 0))), 0), 0)))</f>
        <v>0</v>
      </c>
      <c r="R244" s="6">
        <f>MIN(0, N244+(IFERROR(IF(4*INDEX('UA-normalized'!$D:$D, MATCH($A244, 'UA-normalized'!$A:$A, 0))-INDEX('UA-normalized'!$E:$E, MATCH($A244, 'UA-normalized'!$A:$A, 0))&gt;0, -(4*INDEX('UA-normalized'!$D:$D, MATCH($A244, 'UA-normalized'!$A:$A, 0))-INDEX('UA-normalized'!$E:$E, MATCH($A244, 'UA-normalized'!$A:$A, 0))), 0), 0))+(IFERROR(IF(4*INDEX('KZ-normalized'!$D:$D, MATCH($A244, 'KZ-normalized'!$A:$A, 0))-INDEX('KZ-normalized'!$E:$E, MATCH($A244, 'KZ-normalized'!$A:$A, 0))&gt;0, -(4*INDEX('KZ-normalized'!$D:$D, MATCH($A244, 'KZ-normalized'!$A:$A, 0))-INDEX('KZ-normalized'!$E:$E, MATCH($A244, 'KZ-normalized'!$A:$A, 0))), 0), 0))+(IFERROR(IF(4*INDEX('UZ-normalized'!$D:$D, MATCH($A244, 'UZ-normalized'!$A:$A, 0))-INDEX('UZ-normalized'!$E:$E, MATCH($A244, 'UZ-normalized'!$A:$A, 0))&gt;0, -(4*INDEX('UZ-normalized'!$D:$D, MATCH($A244, 'UZ-normalized'!$A:$A, 0))-INDEX('UZ-normalized'!$E:$E, MATCH($A244, 'UZ-normalized'!$A:$A, 0))), 0), 0)))</f>
        <v>0</v>
      </c>
      <c r="S244" s="6">
        <f>MIN(0, N244+(IFERROR(IF(5*INDEX('UA-normalized'!$D:$D, MATCH($A244, 'UA-normalized'!$A:$A, 0))-INDEX('UA-normalized'!$E:$E, MATCH($A244, 'UA-normalized'!$A:$A, 0))&gt;0, -(5*INDEX('UA-normalized'!$D:$D, MATCH($A244, 'UA-normalized'!$A:$A, 0))-INDEX('UA-normalized'!$E:$E, MATCH($A244, 'UA-normalized'!$A:$A, 0))), 0), 0))+(IFERROR(IF(5*INDEX('KZ-normalized'!$D:$D, MATCH($A244, 'KZ-normalized'!$A:$A, 0))-INDEX('KZ-normalized'!$E:$E, MATCH($A244, 'KZ-normalized'!$A:$A, 0))&gt;0, -(5*INDEX('KZ-normalized'!$D:$D, MATCH($A244, 'KZ-normalized'!$A:$A, 0))-INDEX('KZ-normalized'!$E:$E, MATCH($A244, 'KZ-normalized'!$A:$A, 0))), 0), 0))+(IFERROR(IF(5*INDEX('UZ-normalized'!$D:$D, MATCH($A244, 'UZ-normalized'!$A:$A, 0))-INDEX('UZ-normalized'!$E:$E, MATCH($A244, 'UZ-normalized'!$A:$A, 0))&gt;0, -(5*INDEX('UZ-normalized'!$D:$D, MATCH($A244, 'UZ-normalized'!$A:$A, 0))-INDEX('UZ-normalized'!$E:$E, MATCH($A244, 'UZ-normalized'!$A:$A, 0))), 0), 0)))</f>
        <v>0</v>
      </c>
      <c r="T244" s="6">
        <f>MIN(0, N244+(IFERROR(IF(6*INDEX('UA-normalized'!$D:$D, MATCH($A244, 'UA-normalized'!$A:$A, 0))-INDEX('UA-normalized'!$E:$E, MATCH($A244, 'UA-normalized'!$A:$A, 0))&gt;0, -(6*INDEX('UA-normalized'!$D:$D, MATCH($A244, 'UA-normalized'!$A:$A, 0))-INDEX('UA-normalized'!$E:$E, MATCH($A244, 'UA-normalized'!$A:$A, 0))), 0), 0))+(IFERROR(IF(6*INDEX('KZ-normalized'!$D:$D, MATCH($A244, 'KZ-normalized'!$A:$A, 0))-INDEX('KZ-normalized'!$E:$E, MATCH($A244, 'KZ-normalized'!$A:$A, 0))&gt;0, -(6*INDEX('KZ-normalized'!$D:$D, MATCH($A244, 'KZ-normalized'!$A:$A, 0))-INDEX('KZ-normalized'!$E:$E, MATCH($A244, 'KZ-normalized'!$A:$A, 0))), 0), 0))+(IFERROR(IF(6*INDEX('UZ-normalized'!$D:$D, MATCH($A244, 'UZ-normalized'!$A:$A, 0))-INDEX('UZ-normalized'!$E:$E, MATCH($A244, 'UZ-normalized'!$A:$A, 0))&gt;0, -(6*INDEX('UZ-normalized'!$D:$D, MATCH($A244, 'UZ-normalized'!$A:$A, 0))-INDEX('UZ-normalized'!$E:$E, MATCH($A244, 'UZ-normalized'!$A:$A, 0))), 0), 0)))</f>
        <v>0</v>
      </c>
      <c r="U244" s="6">
        <f>MIN(0, N244+(IFERROR(IF(7*INDEX('UA-normalized'!$D:$D, MATCH($A244, 'UA-normalized'!$A:$A, 0))-INDEX('UA-normalized'!$E:$E, MATCH($A244, 'UA-normalized'!$A:$A, 0))&gt;0, -(7*INDEX('UA-normalized'!$D:$D, MATCH($A244, 'UA-normalized'!$A:$A, 0))-INDEX('UA-normalized'!$E:$E, MATCH($A244, 'UA-normalized'!$A:$A, 0))), 0), 0))+(IFERROR(IF(7*INDEX('KZ-normalized'!$D:$D, MATCH($A244, 'KZ-normalized'!$A:$A, 0))-INDEX('KZ-normalized'!$E:$E, MATCH($A244, 'KZ-normalized'!$A:$A, 0))&gt;0, -(7*INDEX('KZ-normalized'!$D:$D, MATCH($A244, 'KZ-normalized'!$A:$A, 0))-INDEX('KZ-normalized'!$E:$E, MATCH($A244, 'KZ-normalized'!$A:$A, 0))), 0), 0))+(IFERROR(IF(7*INDEX('UZ-normalized'!$D:$D, MATCH($A244, 'UZ-normalized'!$A:$A, 0))-INDEX('UZ-normalized'!$E:$E, MATCH($A244, 'UZ-normalized'!$A:$A, 0))&gt;0, -(7*INDEX('UZ-normalized'!$D:$D, MATCH($A244, 'UZ-normalized'!$A:$A, 0))-INDEX('UZ-normalized'!$E:$E, MATCH($A244, 'UZ-normalized'!$A:$A, 0))), 0), 0)))</f>
        <v>0</v>
      </c>
      <c r="V244" s="6">
        <f>MIN(0, N244+(IFERROR(IF(8*INDEX('UA-normalized'!$D:$D, MATCH($A244, 'UA-normalized'!$A:$A, 0))-INDEX('UA-normalized'!$E:$E, MATCH($A244, 'UA-normalized'!$A:$A, 0))&gt;0, -(8*INDEX('UA-normalized'!$D:$D, MATCH($A244, 'UA-normalized'!$A:$A, 0))-INDEX('UA-normalized'!$E:$E, MATCH($A244, 'UA-normalized'!$A:$A, 0))), 0), 0))+(IFERROR(IF(8*INDEX('KZ-normalized'!$D:$D, MATCH($A244, 'KZ-normalized'!$A:$A, 0))-INDEX('KZ-normalized'!$E:$E, MATCH($A244, 'KZ-normalized'!$A:$A, 0))&gt;0, -(8*INDEX('KZ-normalized'!$D:$D, MATCH($A244, 'KZ-normalized'!$A:$A, 0))-INDEX('KZ-normalized'!$E:$E, MATCH($A244, 'KZ-normalized'!$A:$A, 0))), 0), 0))+(IFERROR(IF(8*INDEX('UZ-normalized'!$D:$D, MATCH($A244, 'UZ-normalized'!$A:$A, 0))-INDEX('UZ-normalized'!$E:$E, MATCH($A244, 'UZ-normalized'!$A:$A, 0))&gt;0, -(8*INDEX('UZ-normalized'!$D:$D, MATCH($A244, 'UZ-normalized'!$A:$A, 0))-INDEX('UZ-normalized'!$E:$E, MATCH($A244, 'UZ-normalized'!$A:$A, 0))), 0), 0)))</f>
        <v>0</v>
      </c>
      <c r="W244" s="6">
        <f>MIN(0, N244+(IFERROR(IF(9*INDEX('UA-normalized'!$D:$D, MATCH($A244, 'UA-normalized'!$A:$A, 0))-INDEX('UA-normalized'!$E:$E, MATCH($A244, 'UA-normalized'!$A:$A, 0))&gt;0, -(9*INDEX('UA-normalized'!$D:$D, MATCH($A244, 'UA-normalized'!$A:$A, 0))-INDEX('UA-normalized'!$E:$E, MATCH($A244, 'UA-normalized'!$A:$A, 0))), 0), 0))+(IFERROR(IF(9*INDEX('KZ-normalized'!$D:$D, MATCH($A244, 'KZ-normalized'!$A:$A, 0))-INDEX('KZ-normalized'!$E:$E, MATCH($A244, 'KZ-normalized'!$A:$A, 0))&gt;0, -(9*INDEX('KZ-normalized'!$D:$D, MATCH($A244, 'KZ-normalized'!$A:$A, 0))-INDEX('KZ-normalized'!$E:$E, MATCH($A244, 'KZ-normalized'!$A:$A, 0))), 0), 0))+(IFERROR(IF(9*INDEX('UZ-normalized'!$D:$D, MATCH($A244, 'UZ-normalized'!$A:$A, 0))-INDEX('UZ-normalized'!$E:$E, MATCH($A244, 'UZ-normalized'!$A:$A, 0))&gt;0, -(9*INDEX('UZ-normalized'!$D:$D, MATCH($A244, 'UZ-normalized'!$A:$A, 0))-INDEX('UZ-normalized'!$E:$E, MATCH($A244, 'UZ-normalized'!$A:$A, 0))), 0), 0)))</f>
        <v>0</v>
      </c>
      <c r="X244" s="6">
        <f>MIN(0, N244+(IFERROR(IF(10*INDEX('UA-normalized'!$D:$D, MATCH($A244, 'UA-normalized'!$A:$A, 0))-INDEX('UA-normalized'!$E:$E, MATCH($A244, 'UA-normalized'!$A:$A, 0))&gt;0, -(10*INDEX('UA-normalized'!$D:$D, MATCH($A244, 'UA-normalized'!$A:$A, 0))-INDEX('UA-normalized'!$E:$E, MATCH($A244, 'UA-normalized'!$A:$A, 0))), 0), 0))+(IFERROR(IF(10*INDEX('KZ-normalized'!$D:$D, MATCH($A244, 'KZ-normalized'!$A:$A, 0))-INDEX('KZ-normalized'!$E:$E, MATCH($A244, 'KZ-normalized'!$A:$A, 0))&gt;0, -(10*INDEX('KZ-normalized'!$D:$D, MATCH($A244, 'KZ-normalized'!$A:$A, 0))-INDEX('KZ-normalized'!$E:$E, MATCH($A244, 'KZ-normalized'!$A:$A, 0))), 0), 0))+(IFERROR(IF(10*INDEX('UZ-normalized'!$D:$D, MATCH($A244, 'UZ-normalized'!$A:$A, 0))-INDEX('UZ-normalized'!$E:$E, MATCH($A244, 'UZ-normalized'!$A:$A, 0))&gt;0, -(10*INDEX('UZ-normalized'!$D:$D, MATCH($A244, 'UZ-normalized'!$A:$A, 0))-INDEX('UZ-normalized'!$E:$E, MATCH($A244, 'UZ-normalized'!$A:$A, 0))), 0), 0)))</f>
        <v>0</v>
      </c>
      <c r="Y244" s="6">
        <f>MIN(0, N244+(IFERROR(IF(11*INDEX('UA-normalized'!$D:$D, MATCH($A244, 'UA-normalized'!$A:$A, 0))-INDEX('UA-normalized'!$E:$E, MATCH($A244, 'UA-normalized'!$A:$A, 0))&gt;0, -(11*INDEX('UA-normalized'!$D:$D, MATCH($A244, 'UA-normalized'!$A:$A, 0))-INDEX('UA-normalized'!$E:$E, MATCH($A244, 'UA-normalized'!$A:$A, 0))), 0), 0))+(IFERROR(IF(11*INDEX('KZ-normalized'!$D:$D, MATCH($A244, 'KZ-normalized'!$A:$A, 0))-INDEX('KZ-normalized'!$E:$E, MATCH($A244, 'KZ-normalized'!$A:$A, 0))&gt;0, -(11*INDEX('KZ-normalized'!$D:$D, MATCH($A244, 'KZ-normalized'!$A:$A, 0))-INDEX('KZ-normalized'!$E:$E, MATCH($A244, 'KZ-normalized'!$A:$A, 0))), 0), 0))+(IFERROR(IF(11*INDEX('UZ-normalized'!$D:$D, MATCH($A244, 'UZ-normalized'!$A:$A, 0))-INDEX('UZ-normalized'!$E:$E, MATCH($A244, 'UZ-normalized'!$A:$A, 0))&gt;0, -(11*INDEX('UZ-normalized'!$D:$D, MATCH($A244, 'UZ-normalized'!$A:$A, 0))-INDEX('UZ-normalized'!$E:$E, MATCH($A244, 'UZ-normalized'!$A:$A, 0))), 0), 0)))</f>
        <v>0</v>
      </c>
      <c r="Z244" s="6">
        <f>MIN(0, N244+(IFERROR(IF(12*INDEX('UA-normalized'!$D:$D, MATCH($A244, 'UA-normalized'!$A:$A, 0))-INDEX('UA-normalized'!$E:$E, MATCH($A244, 'UA-normalized'!$A:$A, 0))&gt;0, -(12*INDEX('UA-normalized'!$D:$D, MATCH($A244, 'UA-normalized'!$A:$A, 0))-INDEX('UA-normalized'!$E:$E, MATCH($A244, 'UA-normalized'!$A:$A, 0))), 0), 0))+(IFERROR(IF(12*INDEX('KZ-normalized'!$D:$D, MATCH($A244, 'KZ-normalized'!$A:$A, 0))-INDEX('KZ-normalized'!$E:$E, MATCH($A244, 'KZ-normalized'!$A:$A, 0))&gt;0, -(12*INDEX('KZ-normalized'!$D:$D, MATCH($A244, 'KZ-normalized'!$A:$A, 0))-INDEX('KZ-normalized'!$E:$E, MATCH($A244, 'KZ-normalized'!$A:$A, 0))), 0), 0))+(IFERROR(IF(12*INDEX('UZ-normalized'!$D:$D, MATCH($A244, 'UZ-normalized'!$A:$A, 0))-INDEX('UZ-normalized'!$E:$E, MATCH($A244, 'UZ-normalized'!$A:$A, 0))&gt;0, -(12*INDEX('UZ-normalized'!$D:$D, MATCH($A244, 'UZ-normalized'!$A:$A, 0))-INDEX('UZ-normalized'!$E:$E, MATCH($A244, 'UZ-normalized'!$A:$A, 0))), 0), 0)))</f>
        <v>0</v>
      </c>
      <c r="AA244" s="6">
        <f>MIN(0, N244+(IFERROR(IF(13*INDEX('UA-normalized'!$D:$D, MATCH($A244, 'UA-normalized'!$A:$A, 0))-INDEX('UA-normalized'!$E:$E, MATCH($A244, 'UA-normalized'!$A:$A, 0))&gt;0, -(13*INDEX('UA-normalized'!$D:$D, MATCH($A244, 'UA-normalized'!$A:$A, 0))-INDEX('UA-normalized'!$E:$E, MATCH($A244, 'UA-normalized'!$A:$A, 0))), 0), 0))+(IFERROR(IF(13*INDEX('KZ-normalized'!$D:$D, MATCH($A244, 'KZ-normalized'!$A:$A, 0))-INDEX('KZ-normalized'!$E:$E, MATCH($A244, 'KZ-normalized'!$A:$A, 0))&gt;0, -(13*INDEX('KZ-normalized'!$D:$D, MATCH($A244, 'KZ-normalized'!$A:$A, 0))-INDEX('KZ-normalized'!$E:$E, MATCH($A244, 'KZ-normalized'!$A:$A, 0))), 0), 0))+(IFERROR(IF(13*INDEX('UZ-normalized'!$D:$D, MATCH($A244, 'UZ-normalized'!$A:$A, 0))-INDEX('UZ-normalized'!$E:$E, MATCH($A244, 'UZ-normalized'!$A:$A, 0))&gt;0, -(13*INDEX('UZ-normalized'!$D:$D, MATCH($A244, 'UZ-normalized'!$A:$A, 0))-INDEX('UZ-normalized'!$E:$E, MATCH($A244, 'UZ-normalized'!$A:$A, 0))), 0), 0)))</f>
        <v>0</v>
      </c>
      <c r="AB244" s="6">
        <f>MIN(0, N244+(IFERROR(IF(14*INDEX('UA-normalized'!$D:$D, MATCH($A244, 'UA-normalized'!$A:$A, 0))-INDEX('UA-normalized'!$E:$E, MATCH($A244, 'UA-normalized'!$A:$A, 0))&gt;0, -(14*INDEX('UA-normalized'!$D:$D, MATCH($A244, 'UA-normalized'!$A:$A, 0))-INDEX('UA-normalized'!$E:$E, MATCH($A244, 'UA-normalized'!$A:$A, 0))), 0), 0))+(IFERROR(IF(14*INDEX('KZ-normalized'!$D:$D, MATCH($A244, 'KZ-normalized'!$A:$A, 0))-INDEX('KZ-normalized'!$E:$E, MATCH($A244, 'KZ-normalized'!$A:$A, 0))&gt;0, -(14*INDEX('KZ-normalized'!$D:$D, MATCH($A244, 'KZ-normalized'!$A:$A, 0))-INDEX('KZ-normalized'!$E:$E, MATCH($A244, 'KZ-normalized'!$A:$A, 0))), 0), 0))+(IFERROR(IF(14*INDEX('UZ-normalized'!$D:$D, MATCH($A244, 'UZ-normalized'!$A:$A, 0))-INDEX('UZ-normalized'!$E:$E, MATCH($A244, 'UZ-normalized'!$A:$A, 0))&gt;0, -(14*INDEX('UZ-normalized'!$D:$D, MATCH($A244, 'UZ-normalized'!$A:$A, 0))-INDEX('UZ-normalized'!$E:$E, MATCH($A244, 'UZ-normalized'!$A:$A, 0))), 0), 0)))</f>
        <v>0</v>
      </c>
      <c r="AC244" s="6">
        <f>MIN(0, N244+(IFERROR(IF(15*INDEX('UA-normalized'!$D:$D, MATCH($A244, 'UA-normalized'!$A:$A, 0))-INDEX('UA-normalized'!$E:$E, MATCH($A244, 'UA-normalized'!$A:$A, 0))&gt;0, -(15*INDEX('UA-normalized'!$D:$D, MATCH($A244, 'UA-normalized'!$A:$A, 0))-INDEX('UA-normalized'!$E:$E, MATCH($A244, 'UA-normalized'!$A:$A, 0))), 0), 0))+(IFERROR(IF(15*INDEX('KZ-normalized'!$D:$D, MATCH($A244, 'KZ-normalized'!$A:$A, 0))-INDEX('KZ-normalized'!$E:$E, MATCH($A244, 'KZ-normalized'!$A:$A, 0))&gt;0, -(15*INDEX('KZ-normalized'!$D:$D, MATCH($A244, 'KZ-normalized'!$A:$A, 0))-INDEX('KZ-normalized'!$E:$E, MATCH($A244, 'KZ-normalized'!$A:$A, 0))), 0), 0))+(IFERROR(IF(15*INDEX('UZ-normalized'!$D:$D, MATCH($A244, 'UZ-normalized'!$A:$A, 0))-INDEX('UZ-normalized'!$E:$E, MATCH($A244, 'UZ-normalized'!$A:$A, 0))&gt;0, -(15*INDEX('UZ-normalized'!$D:$D, MATCH($A244, 'UZ-normalized'!$A:$A, 0))-INDEX('UZ-normalized'!$E:$E, MATCH($A244, 'UZ-normalized'!$A:$A, 0))), 0), 0)))</f>
        <v>0</v>
      </c>
      <c r="AD244" s="6">
        <f>MIN(0, N244+(IFERROR(IF(16*INDEX('UA-normalized'!$D:$D, MATCH($A244, 'UA-normalized'!$A:$A, 0))-INDEX('UA-normalized'!$E:$E, MATCH($A244, 'UA-normalized'!$A:$A, 0))&gt;0, -(16*INDEX('UA-normalized'!$D:$D, MATCH($A244, 'UA-normalized'!$A:$A, 0))-INDEX('UA-normalized'!$E:$E, MATCH($A244, 'UA-normalized'!$A:$A, 0))), 0), 0))+(IFERROR(IF(16*INDEX('KZ-normalized'!$D:$D, MATCH($A244, 'KZ-normalized'!$A:$A, 0))-INDEX('KZ-normalized'!$E:$E, MATCH($A244, 'KZ-normalized'!$A:$A, 0))&gt;0, -(16*INDEX('KZ-normalized'!$D:$D, MATCH($A244, 'KZ-normalized'!$A:$A, 0))-INDEX('KZ-normalized'!$E:$E, MATCH($A244, 'KZ-normalized'!$A:$A, 0))), 0), 0))+(IFERROR(IF(16*INDEX('UZ-normalized'!$D:$D, MATCH($A244, 'UZ-normalized'!$A:$A, 0))-INDEX('UZ-normalized'!$E:$E, MATCH($A244, 'UZ-normalized'!$A:$A, 0))&gt;0, -(16*INDEX('UZ-normalized'!$D:$D, MATCH($A244, 'UZ-normalized'!$A:$A, 0))-INDEX('UZ-normalized'!$E:$E, MATCH($A244, 'UZ-normalized'!$A:$A, 0))), 0), 0)))</f>
        <v>0</v>
      </c>
      <c r="AE244" s="6">
        <f>MIN(0, N244+(IFERROR(IF(17*INDEX('UA-normalized'!$D:$D, MATCH($A244, 'UA-normalized'!$A:$A, 0))-INDEX('UA-normalized'!$E:$E, MATCH($A244, 'UA-normalized'!$A:$A, 0))&gt;0, -(17*INDEX('UA-normalized'!$D:$D, MATCH($A244, 'UA-normalized'!$A:$A, 0))-INDEX('UA-normalized'!$E:$E, MATCH($A244, 'UA-normalized'!$A:$A, 0))), 0), 0))+(IFERROR(IF(17*INDEX('KZ-normalized'!$D:$D, MATCH($A244, 'KZ-normalized'!$A:$A, 0))-INDEX('KZ-normalized'!$E:$E, MATCH($A244, 'KZ-normalized'!$A:$A, 0))&gt;0, -(17*INDEX('KZ-normalized'!$D:$D, MATCH($A244, 'KZ-normalized'!$A:$A, 0))-INDEX('KZ-normalized'!$E:$E, MATCH($A244, 'KZ-normalized'!$A:$A, 0))), 0), 0))+(IFERROR(IF(17*INDEX('UZ-normalized'!$D:$D, MATCH($A244, 'UZ-normalized'!$A:$A, 0))-INDEX('UZ-normalized'!$E:$E, MATCH($A244, 'UZ-normalized'!$A:$A, 0))&gt;0, -(17*INDEX('UZ-normalized'!$D:$D, MATCH($A244, 'UZ-normalized'!$A:$A, 0))-INDEX('UZ-normalized'!$E:$E, MATCH($A244, 'UZ-normalized'!$A:$A, 0))), 0), 0)))</f>
        <v>0</v>
      </c>
      <c r="AF244" s="6">
        <f>MIN(0, N244+(IFERROR(IF(18*INDEX('UA-normalized'!$D:$D, MATCH($A244, 'UA-normalized'!$A:$A, 0))-INDEX('UA-normalized'!$E:$E, MATCH($A244, 'UA-normalized'!$A:$A, 0))&gt;0, -(18*INDEX('UA-normalized'!$D:$D, MATCH($A244, 'UA-normalized'!$A:$A, 0))-INDEX('UA-normalized'!$E:$E, MATCH($A244, 'UA-normalized'!$A:$A, 0))), 0), 0))+(IFERROR(IF(18*INDEX('KZ-normalized'!$D:$D, MATCH($A244, 'KZ-normalized'!$A:$A, 0))-INDEX('KZ-normalized'!$E:$E, MATCH($A244, 'KZ-normalized'!$A:$A, 0))&gt;0, -(18*INDEX('KZ-normalized'!$D:$D, MATCH($A244, 'KZ-normalized'!$A:$A, 0))-INDEX('KZ-normalized'!$E:$E, MATCH($A244, 'KZ-normalized'!$A:$A, 0))), 0), 0))+(IFERROR(IF(18*INDEX('UZ-normalized'!$D:$D, MATCH($A244, 'UZ-normalized'!$A:$A, 0))-INDEX('UZ-normalized'!$E:$E, MATCH($A244, 'UZ-normalized'!$A:$A, 0))&gt;0, -(18*INDEX('UZ-normalized'!$D:$D, MATCH($A244, 'UZ-normalized'!$A:$A, 0))-INDEX('UZ-normalized'!$E:$E, MATCH($A244, 'UZ-normalized'!$A:$A, 0))), 0), 0)))</f>
        <v>0</v>
      </c>
      <c r="AG244" s="6">
        <f>MIN(0, N244+(IFERROR(IF(19*INDEX('UA-normalized'!$D:$D, MATCH($A244, 'UA-normalized'!$A:$A, 0))-INDEX('UA-normalized'!$E:$E, MATCH($A244, 'UA-normalized'!$A:$A, 0))&gt;0, -(19*INDEX('UA-normalized'!$D:$D, MATCH($A244, 'UA-normalized'!$A:$A, 0))-INDEX('UA-normalized'!$E:$E, MATCH($A244, 'UA-normalized'!$A:$A, 0))), 0), 0))+(IFERROR(IF(19*INDEX('KZ-normalized'!$D:$D, MATCH($A244, 'KZ-normalized'!$A:$A, 0))-INDEX('KZ-normalized'!$E:$E, MATCH($A244, 'KZ-normalized'!$A:$A, 0))&gt;0, -(19*INDEX('KZ-normalized'!$D:$D, MATCH($A244, 'KZ-normalized'!$A:$A, 0))-INDEX('KZ-normalized'!$E:$E, MATCH($A244, 'KZ-normalized'!$A:$A, 0))), 0), 0))+(IFERROR(IF(19*INDEX('UZ-normalized'!$D:$D, MATCH($A244, 'UZ-normalized'!$A:$A, 0))-INDEX('UZ-normalized'!$E:$E, MATCH($A244, 'UZ-normalized'!$A:$A, 0))&gt;0, -(19*INDEX('UZ-normalized'!$D:$D, MATCH($A244, 'UZ-normalized'!$A:$A, 0))-INDEX('UZ-normalized'!$E:$E, MATCH($A244, 'UZ-normalized'!$A:$A, 0))), 0), 0)))</f>
        <v>0</v>
      </c>
      <c r="AH244" s="6">
        <f>MIN(0, N244+(IFERROR(IF(20*INDEX('UA-normalized'!$D:$D, MATCH($A244, 'UA-normalized'!$A:$A, 0))-INDEX('UA-normalized'!$E:$E, MATCH($A244, 'UA-normalized'!$A:$A, 0))&gt;0, -(20*INDEX('UA-normalized'!$D:$D, MATCH($A244, 'UA-normalized'!$A:$A, 0))-INDEX('UA-normalized'!$E:$E, MATCH($A244, 'UA-normalized'!$A:$A, 0))), 0), 0))+(IFERROR(IF(20*INDEX('KZ-normalized'!$D:$D, MATCH($A244, 'KZ-normalized'!$A:$A, 0))-INDEX('KZ-normalized'!$E:$E, MATCH($A244, 'KZ-normalized'!$A:$A, 0))&gt;0, -(20*INDEX('KZ-normalized'!$D:$D, MATCH($A244, 'KZ-normalized'!$A:$A, 0))-INDEX('KZ-normalized'!$E:$E, MATCH($A244, 'KZ-normalized'!$A:$A, 0))), 0), 0))+(IFERROR(IF(20*INDEX('UZ-normalized'!$D:$D, MATCH($A244, 'UZ-normalized'!$A:$A, 0))-INDEX('UZ-normalized'!$E:$E, MATCH($A244, 'UZ-normalized'!$A:$A, 0))&gt;0, -(20*INDEX('UZ-normalized'!$D:$D, MATCH($A244, 'UZ-normalized'!$A:$A, 0))-INDEX('UZ-normalized'!$E:$E, MATCH($A244, 'UZ-normalized'!$A:$A, 0))), 0), 0)))</f>
        <v>0</v>
      </c>
      <c r="AI244" s="6">
        <f>MIN(0, N244+(IFERROR(IF(21*INDEX('UA-normalized'!$D:$D, MATCH($A244, 'UA-normalized'!$A:$A, 0))-INDEX('UA-normalized'!$E:$E, MATCH($A244, 'UA-normalized'!$A:$A, 0))&gt;0, -(21*INDEX('UA-normalized'!$D:$D, MATCH($A244, 'UA-normalized'!$A:$A, 0))-INDEX('UA-normalized'!$E:$E, MATCH($A244, 'UA-normalized'!$A:$A, 0))), 0), 0))+(IFERROR(IF(21*INDEX('KZ-normalized'!$D:$D, MATCH($A244, 'KZ-normalized'!$A:$A, 0))-INDEX('KZ-normalized'!$E:$E, MATCH($A244, 'KZ-normalized'!$A:$A, 0))&gt;0, -(21*INDEX('KZ-normalized'!$D:$D, MATCH($A244, 'KZ-normalized'!$A:$A, 0))-INDEX('KZ-normalized'!$E:$E, MATCH($A244, 'KZ-normalized'!$A:$A, 0))), 0), 0))+(IFERROR(IF(21*INDEX('UZ-normalized'!$D:$D, MATCH($A244, 'UZ-normalized'!$A:$A, 0))-INDEX('UZ-normalized'!$E:$E, MATCH($A244, 'UZ-normalized'!$A:$A, 0))&gt;0, -(21*INDEX('UZ-normalized'!$D:$D, MATCH($A244, 'UZ-normalized'!$A:$A, 0))-INDEX('UZ-normalized'!$E:$E, MATCH($A244, 'UZ-normalized'!$A:$A, 0))), 0), 0)))</f>
        <v>0</v>
      </c>
      <c r="AJ244" s="6">
        <f>MIN(0, N244+(IFERROR(IF(22*INDEX('UA-normalized'!$D:$D, MATCH($A244, 'UA-normalized'!$A:$A, 0))-INDEX('UA-normalized'!$E:$E, MATCH($A244, 'UA-normalized'!$A:$A, 0))&gt;0, -(22*INDEX('UA-normalized'!$D:$D, MATCH($A244, 'UA-normalized'!$A:$A, 0))-INDEX('UA-normalized'!$E:$E, MATCH($A244, 'UA-normalized'!$A:$A, 0))), 0), 0))+(IFERROR(IF(22*INDEX('KZ-normalized'!$D:$D, MATCH($A244, 'KZ-normalized'!$A:$A, 0))-INDEX('KZ-normalized'!$E:$E, MATCH($A244, 'KZ-normalized'!$A:$A, 0))&gt;0, -(22*INDEX('KZ-normalized'!$D:$D, MATCH($A244, 'KZ-normalized'!$A:$A, 0))-INDEX('KZ-normalized'!$E:$E, MATCH($A244, 'KZ-normalized'!$A:$A, 0))), 0), 0))+(IFERROR(IF(22*INDEX('UZ-normalized'!$D:$D, MATCH($A244, 'UZ-normalized'!$A:$A, 0))-INDEX('UZ-normalized'!$E:$E, MATCH($A244, 'UZ-normalized'!$A:$A, 0))&gt;0, -(22*INDEX('UZ-normalized'!$D:$D, MATCH($A244, 'UZ-normalized'!$A:$A, 0))-INDEX('UZ-normalized'!$E:$E, MATCH($A244, 'UZ-normalized'!$A:$A, 0))), 0), 0)))</f>
        <v>0</v>
      </c>
      <c r="AK244" s="6">
        <f>MIN(0, N244+(IFERROR(IF(23*INDEX('UA-normalized'!$D:$D, MATCH($A244, 'UA-normalized'!$A:$A, 0))-INDEX('UA-normalized'!$E:$E, MATCH($A244, 'UA-normalized'!$A:$A, 0))&gt;0, -(23*INDEX('UA-normalized'!$D:$D, MATCH($A244, 'UA-normalized'!$A:$A, 0))-INDEX('UA-normalized'!$E:$E, MATCH($A244, 'UA-normalized'!$A:$A, 0))), 0), 0))+(IFERROR(IF(23*INDEX('KZ-normalized'!$D:$D, MATCH($A244, 'KZ-normalized'!$A:$A, 0))-INDEX('KZ-normalized'!$E:$E, MATCH($A244, 'KZ-normalized'!$A:$A, 0))&gt;0, -(23*INDEX('KZ-normalized'!$D:$D, MATCH($A244, 'KZ-normalized'!$A:$A, 0))-INDEX('KZ-normalized'!$E:$E, MATCH($A244, 'KZ-normalized'!$A:$A, 0))), 0), 0))+(IFERROR(IF(23*INDEX('UZ-normalized'!$D:$D, MATCH($A244, 'UZ-normalized'!$A:$A, 0))-INDEX('UZ-normalized'!$E:$E, MATCH($A244, 'UZ-normalized'!$A:$A, 0))&gt;0, -(23*INDEX('UZ-normalized'!$D:$D, MATCH($A244, 'UZ-normalized'!$A:$A, 0))-INDEX('UZ-normalized'!$E:$E, MATCH($A244, 'UZ-normalized'!$A:$A, 0))), 0), 0)))</f>
        <v>0</v>
      </c>
      <c r="AL244" s="6">
        <f>MIN(0, N244+(IFERROR(IF(24*INDEX('UA-normalized'!$D:$D, MATCH($A244, 'UA-normalized'!$A:$A, 0))-INDEX('UA-normalized'!$E:$E, MATCH($A244, 'UA-normalized'!$A:$A, 0))&gt;0, -(24*INDEX('UA-normalized'!$D:$D, MATCH($A244, 'UA-normalized'!$A:$A, 0))-INDEX('UA-normalized'!$E:$E, MATCH($A244, 'UA-normalized'!$A:$A, 0))), 0), 0))+(IFERROR(IF(24*INDEX('KZ-normalized'!$D:$D, MATCH($A244, 'KZ-normalized'!$A:$A, 0))-INDEX('KZ-normalized'!$E:$E, MATCH($A244, 'KZ-normalized'!$A:$A, 0))&gt;0, -(24*INDEX('KZ-normalized'!$D:$D, MATCH($A244, 'KZ-normalized'!$A:$A, 0))-INDEX('KZ-normalized'!$E:$E, MATCH($A244, 'KZ-normalized'!$A:$A, 0))), 0), 0))+(IFERROR(IF(24*INDEX('UZ-normalized'!$D:$D, MATCH($A244, 'UZ-normalized'!$A:$A, 0))-INDEX('UZ-normalized'!$E:$E, MATCH($A244, 'UZ-normalized'!$A:$A, 0))&gt;0, -(24*INDEX('UZ-normalized'!$D:$D, MATCH($A244, 'UZ-normalized'!$A:$A, 0))-INDEX('UZ-normalized'!$E:$E, MATCH($A244, 'UZ-normalized'!$A:$A, 0))), 0), 0)))</f>
        <v>0</v>
      </c>
      <c r="AM244" s="6">
        <f>MIN(0, N244+(IFERROR(IF(25*INDEX('UA-normalized'!$D:$D, MATCH($A244, 'UA-normalized'!$A:$A, 0))-INDEX('UA-normalized'!$E:$E, MATCH($A244, 'UA-normalized'!$A:$A, 0))&gt;0, -(25*INDEX('UA-normalized'!$D:$D, MATCH($A244, 'UA-normalized'!$A:$A, 0))-INDEX('UA-normalized'!$E:$E, MATCH($A244, 'UA-normalized'!$A:$A, 0))), 0), 0))+(IFERROR(IF(25*INDEX('KZ-normalized'!$D:$D, MATCH($A244, 'KZ-normalized'!$A:$A, 0))-INDEX('KZ-normalized'!$E:$E, MATCH($A244, 'KZ-normalized'!$A:$A, 0))&gt;0, -(25*INDEX('KZ-normalized'!$D:$D, MATCH($A244, 'KZ-normalized'!$A:$A, 0))-INDEX('KZ-normalized'!$E:$E, MATCH($A244, 'KZ-normalized'!$A:$A, 0))), 0), 0))+(IFERROR(IF(25*INDEX('UZ-normalized'!$D:$D, MATCH($A244, 'UZ-normalized'!$A:$A, 0))-INDEX('UZ-normalized'!$E:$E, MATCH($A244, 'UZ-normalized'!$A:$A, 0))&gt;0, -(25*INDEX('UZ-normalized'!$D:$D, MATCH($A244, 'UZ-normalized'!$A:$A, 0))-INDEX('UZ-normalized'!$E:$E, MATCH($A244, 'UZ-normalized'!$A:$A, 0))), 0), 0)))</f>
        <v>0</v>
      </c>
      <c r="AN244" s="6">
        <f>MIN(0, N244+(IFERROR(IF(26*INDEX('UA-normalized'!$D:$D, MATCH($A244, 'UA-normalized'!$A:$A, 0))-INDEX('UA-normalized'!$E:$E, MATCH($A244, 'UA-normalized'!$A:$A, 0))&gt;0, -(26*INDEX('UA-normalized'!$D:$D, MATCH($A244, 'UA-normalized'!$A:$A, 0))-INDEX('UA-normalized'!$E:$E, MATCH($A244, 'UA-normalized'!$A:$A, 0))), 0), 0))+(IFERROR(IF(26*INDEX('KZ-normalized'!$D:$D, MATCH($A244, 'KZ-normalized'!$A:$A, 0))-INDEX('KZ-normalized'!$E:$E, MATCH($A244, 'KZ-normalized'!$A:$A, 0))&gt;0, -(26*INDEX('KZ-normalized'!$D:$D, MATCH($A244, 'KZ-normalized'!$A:$A, 0))-INDEX('KZ-normalized'!$E:$E, MATCH($A244, 'KZ-normalized'!$A:$A, 0))), 0), 0))+(IFERROR(IF(26*INDEX('UZ-normalized'!$D:$D, MATCH($A244, 'UZ-normalized'!$A:$A, 0))-INDEX('UZ-normalized'!$E:$E, MATCH($A244, 'UZ-normalized'!$A:$A, 0))&gt;0, -(26*INDEX('UZ-normalized'!$D:$D, MATCH($A244, 'UZ-normalized'!$A:$A, 0))-INDEX('UZ-normalized'!$E:$E, MATCH($A244, 'UZ-normalized'!$A:$A, 0))), 0), 0)))</f>
        <v>0</v>
      </c>
      <c r="AO244" s="6">
        <f>MIN(0, N244+(IFERROR(IF(27*INDEX('UA-normalized'!$D:$D, MATCH($A244, 'UA-normalized'!$A:$A, 0))-INDEX('UA-normalized'!$E:$E, MATCH($A244, 'UA-normalized'!$A:$A, 0))&gt;0, -(27*INDEX('UA-normalized'!$D:$D, MATCH($A244, 'UA-normalized'!$A:$A, 0))-INDEX('UA-normalized'!$E:$E, MATCH($A244, 'UA-normalized'!$A:$A, 0))), 0), 0))+(IFERROR(IF(27*INDEX('KZ-normalized'!$D:$D, MATCH($A244, 'KZ-normalized'!$A:$A, 0))-INDEX('KZ-normalized'!$E:$E, MATCH($A244, 'KZ-normalized'!$A:$A, 0))&gt;0, -(27*INDEX('KZ-normalized'!$D:$D, MATCH($A244, 'KZ-normalized'!$A:$A, 0))-INDEX('KZ-normalized'!$E:$E, MATCH($A244, 'KZ-normalized'!$A:$A, 0))), 0), 0))+(IFERROR(IF(27*INDEX('UZ-normalized'!$D:$D, MATCH($A244, 'UZ-normalized'!$A:$A, 0))-INDEX('UZ-normalized'!$E:$E, MATCH($A244, 'UZ-normalized'!$A:$A, 0))&gt;0, -(27*INDEX('UZ-normalized'!$D:$D, MATCH($A244, 'UZ-normalized'!$A:$A, 0))-INDEX('UZ-normalized'!$E:$E, MATCH($A244, 'UZ-normalized'!$A:$A, 0))), 0), 0)))</f>
        <v>0</v>
      </c>
      <c r="AP244" s="6">
        <f>MIN(0, N244+(IFERROR(IF(28*INDEX('UA-normalized'!$D:$D, MATCH($A244, 'UA-normalized'!$A:$A, 0))-INDEX('UA-normalized'!$E:$E, MATCH($A244, 'UA-normalized'!$A:$A, 0))&gt;0, -(28*INDEX('UA-normalized'!$D:$D, MATCH($A244, 'UA-normalized'!$A:$A, 0))-INDEX('UA-normalized'!$E:$E, MATCH($A244, 'UA-normalized'!$A:$A, 0))), 0), 0))+(IFERROR(IF(28*INDEX('KZ-normalized'!$D:$D, MATCH($A244, 'KZ-normalized'!$A:$A, 0))-INDEX('KZ-normalized'!$E:$E, MATCH($A244, 'KZ-normalized'!$A:$A, 0))&gt;0, -(28*INDEX('KZ-normalized'!$D:$D, MATCH($A244, 'KZ-normalized'!$A:$A, 0))-INDEX('KZ-normalized'!$E:$E, MATCH($A244, 'KZ-normalized'!$A:$A, 0))), 0), 0))+(IFERROR(IF(28*INDEX('UZ-normalized'!$D:$D, MATCH($A244, 'UZ-normalized'!$A:$A, 0))-INDEX('UZ-normalized'!$E:$E, MATCH($A244, 'UZ-normalized'!$A:$A, 0))&gt;0, -(28*INDEX('UZ-normalized'!$D:$D, MATCH($A244, 'UZ-normalized'!$A:$A, 0))-INDEX('UZ-normalized'!$E:$E, MATCH($A244, 'UZ-normalized'!$A:$A, 0))), 0), 0)))</f>
        <v>0</v>
      </c>
      <c r="AQ244" s="6">
        <f>MIN(0, N244+(IFERROR(IF(29*INDEX('UA-normalized'!$D:$D, MATCH($A244, 'UA-normalized'!$A:$A, 0))-INDEX('UA-normalized'!$E:$E, MATCH($A244, 'UA-normalized'!$A:$A, 0))&gt;0, -(29*INDEX('UA-normalized'!$D:$D, MATCH($A244, 'UA-normalized'!$A:$A, 0))-INDEX('UA-normalized'!$E:$E, MATCH($A244, 'UA-normalized'!$A:$A, 0))), 0), 0))+(IFERROR(IF(29*INDEX('KZ-normalized'!$D:$D, MATCH($A244, 'KZ-normalized'!$A:$A, 0))-INDEX('KZ-normalized'!$E:$E, MATCH($A244, 'KZ-normalized'!$A:$A, 0))&gt;0, -(29*INDEX('KZ-normalized'!$D:$D, MATCH($A244, 'KZ-normalized'!$A:$A, 0))-INDEX('KZ-normalized'!$E:$E, MATCH($A244, 'KZ-normalized'!$A:$A, 0))), 0), 0))+(IFERROR(IF(29*INDEX('UZ-normalized'!$D:$D, MATCH($A244, 'UZ-normalized'!$A:$A, 0))-INDEX('UZ-normalized'!$E:$E, MATCH($A244, 'UZ-normalized'!$A:$A, 0))&gt;0, -(29*INDEX('UZ-normalized'!$D:$D, MATCH($A244, 'UZ-normalized'!$A:$A, 0))-INDEX('UZ-normalized'!$E:$E, MATCH($A244, 'UZ-normalized'!$A:$A, 0))), 0), 0)))</f>
        <v>0</v>
      </c>
      <c r="AR244" s="6">
        <f>MIN(0, N244+(IFERROR(IF(30*INDEX('UA-normalized'!$D:$D, MATCH($A244, 'UA-normalized'!$A:$A, 0))-INDEX('UA-normalized'!$E:$E, MATCH($A244, 'UA-normalized'!$A:$A, 0))&gt;0, -(30*INDEX('UA-normalized'!$D:$D, MATCH($A244, 'UA-normalized'!$A:$A, 0))-INDEX('UA-normalized'!$E:$E, MATCH($A244, 'UA-normalized'!$A:$A, 0))), 0), 0))+(IFERROR(IF(30*INDEX('KZ-normalized'!$D:$D, MATCH($A244, 'KZ-normalized'!$A:$A, 0))-INDEX('KZ-normalized'!$E:$E, MATCH($A244, 'KZ-normalized'!$A:$A, 0))&gt;0, -(30*INDEX('KZ-normalized'!$D:$D, MATCH($A244, 'KZ-normalized'!$A:$A, 0))-INDEX('KZ-normalized'!$E:$E, MATCH($A244, 'KZ-normalized'!$A:$A, 0))), 0), 0))+(IFERROR(IF(30*INDEX('UZ-normalized'!$D:$D, MATCH($A244, 'UZ-normalized'!$A:$A, 0))-INDEX('UZ-normalized'!$E:$E, MATCH($A244, 'UZ-normalized'!$A:$A, 0))&gt;0, -(30*INDEX('UZ-normalized'!$D:$D, MATCH($A244, 'UZ-normalized'!$A:$A, 0))-INDEX('UZ-normalized'!$E:$E, MATCH($A244, 'UZ-normalized'!$A:$A, 0))), 0), 0)))</f>
        <v>0</v>
      </c>
    </row>
    <row r="245" spans="1:44" x14ac:dyDescent="0.25">
      <c r="A245" s="8" t="s">
        <v>579</v>
      </c>
      <c r="B245" s="8" t="s">
        <v>576</v>
      </c>
      <c r="C245" s="8" t="s">
        <v>577</v>
      </c>
      <c r="D245" s="8" t="s">
        <v>580</v>
      </c>
      <c r="N245">
        <f t="shared" si="3"/>
        <v>0</v>
      </c>
      <c r="O245" s="6">
        <f>MIN(0, N245+(IFERROR(IF(1*INDEX('UA-normalized'!$D:$D, MATCH($A245, 'UA-normalized'!$A:$A, 0))-INDEX('UA-normalized'!$E:$E, MATCH($A245, 'UA-normalized'!$A:$A, 0))&gt;0, -(1*INDEX('UA-normalized'!$D:$D, MATCH($A245, 'UA-normalized'!$A:$A, 0))-INDEX('UA-normalized'!$E:$E, MATCH($A245, 'UA-normalized'!$A:$A, 0))), 0), 0))+(IFERROR(IF(1*INDEX('KZ-normalized'!$D:$D, MATCH($A245, 'KZ-normalized'!$A:$A, 0))-INDEX('KZ-normalized'!$E:$E, MATCH($A245, 'KZ-normalized'!$A:$A, 0))&gt;0, -(1*INDEX('KZ-normalized'!$D:$D, MATCH($A245, 'KZ-normalized'!$A:$A, 0))-INDEX('KZ-normalized'!$E:$E, MATCH($A245, 'KZ-normalized'!$A:$A, 0))), 0), 0))+(IFERROR(IF(1*INDEX('UZ-normalized'!$D:$D, MATCH($A245, 'UZ-normalized'!$A:$A, 0))-INDEX('UZ-normalized'!$E:$E, MATCH($A245, 'UZ-normalized'!$A:$A, 0))&gt;0, -(1*INDEX('UZ-normalized'!$D:$D, MATCH($A245, 'UZ-normalized'!$A:$A, 0))-INDEX('UZ-normalized'!$E:$E, MATCH($A245, 'UZ-normalized'!$A:$A, 0))), 0), 0)))</f>
        <v>0</v>
      </c>
      <c r="P245" s="6">
        <f>MIN(0, N245+(IFERROR(IF(2*INDEX('UA-normalized'!$D:$D, MATCH($A245, 'UA-normalized'!$A:$A, 0))-INDEX('UA-normalized'!$E:$E, MATCH($A245, 'UA-normalized'!$A:$A, 0))&gt;0, -(2*INDEX('UA-normalized'!$D:$D, MATCH($A245, 'UA-normalized'!$A:$A, 0))-INDEX('UA-normalized'!$E:$E, MATCH($A245, 'UA-normalized'!$A:$A, 0))), 0), 0))+(IFERROR(IF(2*INDEX('KZ-normalized'!$D:$D, MATCH($A245, 'KZ-normalized'!$A:$A, 0))-INDEX('KZ-normalized'!$E:$E, MATCH($A245, 'KZ-normalized'!$A:$A, 0))&gt;0, -(2*INDEX('KZ-normalized'!$D:$D, MATCH($A245, 'KZ-normalized'!$A:$A, 0))-INDEX('KZ-normalized'!$E:$E, MATCH($A245, 'KZ-normalized'!$A:$A, 0))), 0), 0))+(IFERROR(IF(2*INDEX('UZ-normalized'!$D:$D, MATCH($A245, 'UZ-normalized'!$A:$A, 0))-INDEX('UZ-normalized'!$E:$E, MATCH($A245, 'UZ-normalized'!$A:$A, 0))&gt;0, -(2*INDEX('UZ-normalized'!$D:$D, MATCH($A245, 'UZ-normalized'!$A:$A, 0))-INDEX('UZ-normalized'!$E:$E, MATCH($A245, 'UZ-normalized'!$A:$A, 0))), 0), 0)))</f>
        <v>0</v>
      </c>
      <c r="Q245" s="6">
        <f>MIN(0, N245+(IFERROR(IF(3*INDEX('UA-normalized'!$D:$D, MATCH($A245, 'UA-normalized'!$A:$A, 0))-INDEX('UA-normalized'!$E:$E, MATCH($A245, 'UA-normalized'!$A:$A, 0))&gt;0, -(3*INDEX('UA-normalized'!$D:$D, MATCH($A245, 'UA-normalized'!$A:$A, 0))-INDEX('UA-normalized'!$E:$E, MATCH($A245, 'UA-normalized'!$A:$A, 0))), 0), 0))+(IFERROR(IF(3*INDEX('KZ-normalized'!$D:$D, MATCH($A245, 'KZ-normalized'!$A:$A, 0))-INDEX('KZ-normalized'!$E:$E, MATCH($A245, 'KZ-normalized'!$A:$A, 0))&gt;0, -(3*INDEX('KZ-normalized'!$D:$D, MATCH($A245, 'KZ-normalized'!$A:$A, 0))-INDEX('KZ-normalized'!$E:$E, MATCH($A245, 'KZ-normalized'!$A:$A, 0))), 0), 0))+(IFERROR(IF(3*INDEX('UZ-normalized'!$D:$D, MATCH($A245, 'UZ-normalized'!$A:$A, 0))-INDEX('UZ-normalized'!$E:$E, MATCH($A245, 'UZ-normalized'!$A:$A, 0))&gt;0, -(3*INDEX('UZ-normalized'!$D:$D, MATCH($A245, 'UZ-normalized'!$A:$A, 0))-INDEX('UZ-normalized'!$E:$E, MATCH($A245, 'UZ-normalized'!$A:$A, 0))), 0), 0)))</f>
        <v>0</v>
      </c>
      <c r="R245" s="6">
        <f>MIN(0, N245+(IFERROR(IF(4*INDEX('UA-normalized'!$D:$D, MATCH($A245, 'UA-normalized'!$A:$A, 0))-INDEX('UA-normalized'!$E:$E, MATCH($A245, 'UA-normalized'!$A:$A, 0))&gt;0, -(4*INDEX('UA-normalized'!$D:$D, MATCH($A245, 'UA-normalized'!$A:$A, 0))-INDEX('UA-normalized'!$E:$E, MATCH($A245, 'UA-normalized'!$A:$A, 0))), 0), 0))+(IFERROR(IF(4*INDEX('KZ-normalized'!$D:$D, MATCH($A245, 'KZ-normalized'!$A:$A, 0))-INDEX('KZ-normalized'!$E:$E, MATCH($A245, 'KZ-normalized'!$A:$A, 0))&gt;0, -(4*INDEX('KZ-normalized'!$D:$D, MATCH($A245, 'KZ-normalized'!$A:$A, 0))-INDEX('KZ-normalized'!$E:$E, MATCH($A245, 'KZ-normalized'!$A:$A, 0))), 0), 0))+(IFERROR(IF(4*INDEX('UZ-normalized'!$D:$D, MATCH($A245, 'UZ-normalized'!$A:$A, 0))-INDEX('UZ-normalized'!$E:$E, MATCH($A245, 'UZ-normalized'!$A:$A, 0))&gt;0, -(4*INDEX('UZ-normalized'!$D:$D, MATCH($A245, 'UZ-normalized'!$A:$A, 0))-INDEX('UZ-normalized'!$E:$E, MATCH($A245, 'UZ-normalized'!$A:$A, 0))), 0), 0)))</f>
        <v>0</v>
      </c>
      <c r="S245" s="6">
        <f>MIN(0, N245+(IFERROR(IF(5*INDEX('UA-normalized'!$D:$D, MATCH($A245, 'UA-normalized'!$A:$A, 0))-INDEX('UA-normalized'!$E:$E, MATCH($A245, 'UA-normalized'!$A:$A, 0))&gt;0, -(5*INDEX('UA-normalized'!$D:$D, MATCH($A245, 'UA-normalized'!$A:$A, 0))-INDEX('UA-normalized'!$E:$E, MATCH($A245, 'UA-normalized'!$A:$A, 0))), 0), 0))+(IFERROR(IF(5*INDEX('KZ-normalized'!$D:$D, MATCH($A245, 'KZ-normalized'!$A:$A, 0))-INDEX('KZ-normalized'!$E:$E, MATCH($A245, 'KZ-normalized'!$A:$A, 0))&gt;0, -(5*INDEX('KZ-normalized'!$D:$D, MATCH($A245, 'KZ-normalized'!$A:$A, 0))-INDEX('KZ-normalized'!$E:$E, MATCH($A245, 'KZ-normalized'!$A:$A, 0))), 0), 0))+(IFERROR(IF(5*INDEX('UZ-normalized'!$D:$D, MATCH($A245, 'UZ-normalized'!$A:$A, 0))-INDEX('UZ-normalized'!$E:$E, MATCH($A245, 'UZ-normalized'!$A:$A, 0))&gt;0, -(5*INDEX('UZ-normalized'!$D:$D, MATCH($A245, 'UZ-normalized'!$A:$A, 0))-INDEX('UZ-normalized'!$E:$E, MATCH($A245, 'UZ-normalized'!$A:$A, 0))), 0), 0)))</f>
        <v>0</v>
      </c>
      <c r="T245" s="6">
        <f>MIN(0, N245+(IFERROR(IF(6*INDEX('UA-normalized'!$D:$D, MATCH($A245, 'UA-normalized'!$A:$A, 0))-INDEX('UA-normalized'!$E:$E, MATCH($A245, 'UA-normalized'!$A:$A, 0))&gt;0, -(6*INDEX('UA-normalized'!$D:$D, MATCH($A245, 'UA-normalized'!$A:$A, 0))-INDEX('UA-normalized'!$E:$E, MATCH($A245, 'UA-normalized'!$A:$A, 0))), 0), 0))+(IFERROR(IF(6*INDEX('KZ-normalized'!$D:$D, MATCH($A245, 'KZ-normalized'!$A:$A, 0))-INDEX('KZ-normalized'!$E:$E, MATCH($A245, 'KZ-normalized'!$A:$A, 0))&gt;0, -(6*INDEX('KZ-normalized'!$D:$D, MATCH($A245, 'KZ-normalized'!$A:$A, 0))-INDEX('KZ-normalized'!$E:$E, MATCH($A245, 'KZ-normalized'!$A:$A, 0))), 0), 0))+(IFERROR(IF(6*INDEX('UZ-normalized'!$D:$D, MATCH($A245, 'UZ-normalized'!$A:$A, 0))-INDEX('UZ-normalized'!$E:$E, MATCH($A245, 'UZ-normalized'!$A:$A, 0))&gt;0, -(6*INDEX('UZ-normalized'!$D:$D, MATCH($A245, 'UZ-normalized'!$A:$A, 0))-INDEX('UZ-normalized'!$E:$E, MATCH($A245, 'UZ-normalized'!$A:$A, 0))), 0), 0)))</f>
        <v>0</v>
      </c>
      <c r="U245" s="6">
        <f>MIN(0, N245+(IFERROR(IF(7*INDEX('UA-normalized'!$D:$D, MATCH($A245, 'UA-normalized'!$A:$A, 0))-INDEX('UA-normalized'!$E:$E, MATCH($A245, 'UA-normalized'!$A:$A, 0))&gt;0, -(7*INDEX('UA-normalized'!$D:$D, MATCH($A245, 'UA-normalized'!$A:$A, 0))-INDEX('UA-normalized'!$E:$E, MATCH($A245, 'UA-normalized'!$A:$A, 0))), 0), 0))+(IFERROR(IF(7*INDEX('KZ-normalized'!$D:$D, MATCH($A245, 'KZ-normalized'!$A:$A, 0))-INDEX('KZ-normalized'!$E:$E, MATCH($A245, 'KZ-normalized'!$A:$A, 0))&gt;0, -(7*INDEX('KZ-normalized'!$D:$D, MATCH($A245, 'KZ-normalized'!$A:$A, 0))-INDEX('KZ-normalized'!$E:$E, MATCH($A245, 'KZ-normalized'!$A:$A, 0))), 0), 0))+(IFERROR(IF(7*INDEX('UZ-normalized'!$D:$D, MATCH($A245, 'UZ-normalized'!$A:$A, 0))-INDEX('UZ-normalized'!$E:$E, MATCH($A245, 'UZ-normalized'!$A:$A, 0))&gt;0, -(7*INDEX('UZ-normalized'!$D:$D, MATCH($A245, 'UZ-normalized'!$A:$A, 0))-INDEX('UZ-normalized'!$E:$E, MATCH($A245, 'UZ-normalized'!$A:$A, 0))), 0), 0)))</f>
        <v>0</v>
      </c>
      <c r="V245" s="6">
        <f>MIN(0, N245+(IFERROR(IF(8*INDEX('UA-normalized'!$D:$D, MATCH($A245, 'UA-normalized'!$A:$A, 0))-INDEX('UA-normalized'!$E:$E, MATCH($A245, 'UA-normalized'!$A:$A, 0))&gt;0, -(8*INDEX('UA-normalized'!$D:$D, MATCH($A245, 'UA-normalized'!$A:$A, 0))-INDEX('UA-normalized'!$E:$E, MATCH($A245, 'UA-normalized'!$A:$A, 0))), 0), 0))+(IFERROR(IF(8*INDEX('KZ-normalized'!$D:$D, MATCH($A245, 'KZ-normalized'!$A:$A, 0))-INDEX('KZ-normalized'!$E:$E, MATCH($A245, 'KZ-normalized'!$A:$A, 0))&gt;0, -(8*INDEX('KZ-normalized'!$D:$D, MATCH($A245, 'KZ-normalized'!$A:$A, 0))-INDEX('KZ-normalized'!$E:$E, MATCH($A245, 'KZ-normalized'!$A:$A, 0))), 0), 0))+(IFERROR(IF(8*INDEX('UZ-normalized'!$D:$D, MATCH($A245, 'UZ-normalized'!$A:$A, 0))-INDEX('UZ-normalized'!$E:$E, MATCH($A245, 'UZ-normalized'!$A:$A, 0))&gt;0, -(8*INDEX('UZ-normalized'!$D:$D, MATCH($A245, 'UZ-normalized'!$A:$A, 0))-INDEX('UZ-normalized'!$E:$E, MATCH($A245, 'UZ-normalized'!$A:$A, 0))), 0), 0)))</f>
        <v>0</v>
      </c>
      <c r="W245" s="6">
        <f>MIN(0, N245+(IFERROR(IF(9*INDEX('UA-normalized'!$D:$D, MATCH($A245, 'UA-normalized'!$A:$A, 0))-INDEX('UA-normalized'!$E:$E, MATCH($A245, 'UA-normalized'!$A:$A, 0))&gt;0, -(9*INDEX('UA-normalized'!$D:$D, MATCH($A245, 'UA-normalized'!$A:$A, 0))-INDEX('UA-normalized'!$E:$E, MATCH($A245, 'UA-normalized'!$A:$A, 0))), 0), 0))+(IFERROR(IF(9*INDEX('KZ-normalized'!$D:$D, MATCH($A245, 'KZ-normalized'!$A:$A, 0))-INDEX('KZ-normalized'!$E:$E, MATCH($A245, 'KZ-normalized'!$A:$A, 0))&gt;0, -(9*INDEX('KZ-normalized'!$D:$D, MATCH($A245, 'KZ-normalized'!$A:$A, 0))-INDEX('KZ-normalized'!$E:$E, MATCH($A245, 'KZ-normalized'!$A:$A, 0))), 0), 0))+(IFERROR(IF(9*INDEX('UZ-normalized'!$D:$D, MATCH($A245, 'UZ-normalized'!$A:$A, 0))-INDEX('UZ-normalized'!$E:$E, MATCH($A245, 'UZ-normalized'!$A:$A, 0))&gt;0, -(9*INDEX('UZ-normalized'!$D:$D, MATCH($A245, 'UZ-normalized'!$A:$A, 0))-INDEX('UZ-normalized'!$E:$E, MATCH($A245, 'UZ-normalized'!$A:$A, 0))), 0), 0)))</f>
        <v>0</v>
      </c>
      <c r="X245" s="6">
        <f>MIN(0, N245+(IFERROR(IF(10*INDEX('UA-normalized'!$D:$D, MATCH($A245, 'UA-normalized'!$A:$A, 0))-INDEX('UA-normalized'!$E:$E, MATCH($A245, 'UA-normalized'!$A:$A, 0))&gt;0, -(10*INDEX('UA-normalized'!$D:$D, MATCH($A245, 'UA-normalized'!$A:$A, 0))-INDEX('UA-normalized'!$E:$E, MATCH($A245, 'UA-normalized'!$A:$A, 0))), 0), 0))+(IFERROR(IF(10*INDEX('KZ-normalized'!$D:$D, MATCH($A245, 'KZ-normalized'!$A:$A, 0))-INDEX('KZ-normalized'!$E:$E, MATCH($A245, 'KZ-normalized'!$A:$A, 0))&gt;0, -(10*INDEX('KZ-normalized'!$D:$D, MATCH($A245, 'KZ-normalized'!$A:$A, 0))-INDEX('KZ-normalized'!$E:$E, MATCH($A245, 'KZ-normalized'!$A:$A, 0))), 0), 0))+(IFERROR(IF(10*INDEX('UZ-normalized'!$D:$D, MATCH($A245, 'UZ-normalized'!$A:$A, 0))-INDEX('UZ-normalized'!$E:$E, MATCH($A245, 'UZ-normalized'!$A:$A, 0))&gt;0, -(10*INDEX('UZ-normalized'!$D:$D, MATCH($A245, 'UZ-normalized'!$A:$A, 0))-INDEX('UZ-normalized'!$E:$E, MATCH($A245, 'UZ-normalized'!$A:$A, 0))), 0), 0)))</f>
        <v>0</v>
      </c>
      <c r="Y245" s="6">
        <f>MIN(0, N245+(IFERROR(IF(11*INDEX('UA-normalized'!$D:$D, MATCH($A245, 'UA-normalized'!$A:$A, 0))-INDEX('UA-normalized'!$E:$E, MATCH($A245, 'UA-normalized'!$A:$A, 0))&gt;0, -(11*INDEX('UA-normalized'!$D:$D, MATCH($A245, 'UA-normalized'!$A:$A, 0))-INDEX('UA-normalized'!$E:$E, MATCH($A245, 'UA-normalized'!$A:$A, 0))), 0), 0))+(IFERROR(IF(11*INDEX('KZ-normalized'!$D:$D, MATCH($A245, 'KZ-normalized'!$A:$A, 0))-INDEX('KZ-normalized'!$E:$E, MATCH($A245, 'KZ-normalized'!$A:$A, 0))&gt;0, -(11*INDEX('KZ-normalized'!$D:$D, MATCH($A245, 'KZ-normalized'!$A:$A, 0))-INDEX('KZ-normalized'!$E:$E, MATCH($A245, 'KZ-normalized'!$A:$A, 0))), 0), 0))+(IFERROR(IF(11*INDEX('UZ-normalized'!$D:$D, MATCH($A245, 'UZ-normalized'!$A:$A, 0))-INDEX('UZ-normalized'!$E:$E, MATCH($A245, 'UZ-normalized'!$A:$A, 0))&gt;0, -(11*INDEX('UZ-normalized'!$D:$D, MATCH($A245, 'UZ-normalized'!$A:$A, 0))-INDEX('UZ-normalized'!$E:$E, MATCH($A245, 'UZ-normalized'!$A:$A, 0))), 0), 0)))</f>
        <v>0</v>
      </c>
      <c r="Z245" s="6">
        <f>MIN(0, N245+(IFERROR(IF(12*INDEX('UA-normalized'!$D:$D, MATCH($A245, 'UA-normalized'!$A:$A, 0))-INDEX('UA-normalized'!$E:$E, MATCH($A245, 'UA-normalized'!$A:$A, 0))&gt;0, -(12*INDEX('UA-normalized'!$D:$D, MATCH($A245, 'UA-normalized'!$A:$A, 0))-INDEX('UA-normalized'!$E:$E, MATCH($A245, 'UA-normalized'!$A:$A, 0))), 0), 0))+(IFERROR(IF(12*INDEX('KZ-normalized'!$D:$D, MATCH($A245, 'KZ-normalized'!$A:$A, 0))-INDEX('KZ-normalized'!$E:$E, MATCH($A245, 'KZ-normalized'!$A:$A, 0))&gt;0, -(12*INDEX('KZ-normalized'!$D:$D, MATCH($A245, 'KZ-normalized'!$A:$A, 0))-INDEX('KZ-normalized'!$E:$E, MATCH($A245, 'KZ-normalized'!$A:$A, 0))), 0), 0))+(IFERROR(IF(12*INDEX('UZ-normalized'!$D:$D, MATCH($A245, 'UZ-normalized'!$A:$A, 0))-INDEX('UZ-normalized'!$E:$E, MATCH($A245, 'UZ-normalized'!$A:$A, 0))&gt;0, -(12*INDEX('UZ-normalized'!$D:$D, MATCH($A245, 'UZ-normalized'!$A:$A, 0))-INDEX('UZ-normalized'!$E:$E, MATCH($A245, 'UZ-normalized'!$A:$A, 0))), 0), 0)))</f>
        <v>0</v>
      </c>
      <c r="AA245" s="6">
        <f>MIN(0, N245+(IFERROR(IF(13*INDEX('UA-normalized'!$D:$D, MATCH($A245, 'UA-normalized'!$A:$A, 0))-INDEX('UA-normalized'!$E:$E, MATCH($A245, 'UA-normalized'!$A:$A, 0))&gt;0, -(13*INDEX('UA-normalized'!$D:$D, MATCH($A245, 'UA-normalized'!$A:$A, 0))-INDEX('UA-normalized'!$E:$E, MATCH($A245, 'UA-normalized'!$A:$A, 0))), 0), 0))+(IFERROR(IF(13*INDEX('KZ-normalized'!$D:$D, MATCH($A245, 'KZ-normalized'!$A:$A, 0))-INDEX('KZ-normalized'!$E:$E, MATCH($A245, 'KZ-normalized'!$A:$A, 0))&gt;0, -(13*INDEX('KZ-normalized'!$D:$D, MATCH($A245, 'KZ-normalized'!$A:$A, 0))-INDEX('KZ-normalized'!$E:$E, MATCH($A245, 'KZ-normalized'!$A:$A, 0))), 0), 0))+(IFERROR(IF(13*INDEX('UZ-normalized'!$D:$D, MATCH($A245, 'UZ-normalized'!$A:$A, 0))-INDEX('UZ-normalized'!$E:$E, MATCH($A245, 'UZ-normalized'!$A:$A, 0))&gt;0, -(13*INDEX('UZ-normalized'!$D:$D, MATCH($A245, 'UZ-normalized'!$A:$A, 0))-INDEX('UZ-normalized'!$E:$E, MATCH($A245, 'UZ-normalized'!$A:$A, 0))), 0), 0)))</f>
        <v>0</v>
      </c>
      <c r="AB245" s="6">
        <f>MIN(0, N245+(IFERROR(IF(14*INDEX('UA-normalized'!$D:$D, MATCH($A245, 'UA-normalized'!$A:$A, 0))-INDEX('UA-normalized'!$E:$E, MATCH($A245, 'UA-normalized'!$A:$A, 0))&gt;0, -(14*INDEX('UA-normalized'!$D:$D, MATCH($A245, 'UA-normalized'!$A:$A, 0))-INDEX('UA-normalized'!$E:$E, MATCH($A245, 'UA-normalized'!$A:$A, 0))), 0), 0))+(IFERROR(IF(14*INDEX('KZ-normalized'!$D:$D, MATCH($A245, 'KZ-normalized'!$A:$A, 0))-INDEX('KZ-normalized'!$E:$E, MATCH($A245, 'KZ-normalized'!$A:$A, 0))&gt;0, -(14*INDEX('KZ-normalized'!$D:$D, MATCH($A245, 'KZ-normalized'!$A:$A, 0))-INDEX('KZ-normalized'!$E:$E, MATCH($A245, 'KZ-normalized'!$A:$A, 0))), 0), 0))+(IFERROR(IF(14*INDEX('UZ-normalized'!$D:$D, MATCH($A245, 'UZ-normalized'!$A:$A, 0))-INDEX('UZ-normalized'!$E:$E, MATCH($A245, 'UZ-normalized'!$A:$A, 0))&gt;0, -(14*INDEX('UZ-normalized'!$D:$D, MATCH($A245, 'UZ-normalized'!$A:$A, 0))-INDEX('UZ-normalized'!$E:$E, MATCH($A245, 'UZ-normalized'!$A:$A, 0))), 0), 0)))</f>
        <v>0</v>
      </c>
      <c r="AC245" s="6">
        <f>MIN(0, N245+(IFERROR(IF(15*INDEX('UA-normalized'!$D:$D, MATCH($A245, 'UA-normalized'!$A:$A, 0))-INDEX('UA-normalized'!$E:$E, MATCH($A245, 'UA-normalized'!$A:$A, 0))&gt;0, -(15*INDEX('UA-normalized'!$D:$D, MATCH($A245, 'UA-normalized'!$A:$A, 0))-INDEX('UA-normalized'!$E:$E, MATCH($A245, 'UA-normalized'!$A:$A, 0))), 0), 0))+(IFERROR(IF(15*INDEX('KZ-normalized'!$D:$D, MATCH($A245, 'KZ-normalized'!$A:$A, 0))-INDEX('KZ-normalized'!$E:$E, MATCH($A245, 'KZ-normalized'!$A:$A, 0))&gt;0, -(15*INDEX('KZ-normalized'!$D:$D, MATCH($A245, 'KZ-normalized'!$A:$A, 0))-INDEX('KZ-normalized'!$E:$E, MATCH($A245, 'KZ-normalized'!$A:$A, 0))), 0), 0))+(IFERROR(IF(15*INDEX('UZ-normalized'!$D:$D, MATCH($A245, 'UZ-normalized'!$A:$A, 0))-INDEX('UZ-normalized'!$E:$E, MATCH($A245, 'UZ-normalized'!$A:$A, 0))&gt;0, -(15*INDEX('UZ-normalized'!$D:$D, MATCH($A245, 'UZ-normalized'!$A:$A, 0))-INDEX('UZ-normalized'!$E:$E, MATCH($A245, 'UZ-normalized'!$A:$A, 0))), 0), 0)))</f>
        <v>0</v>
      </c>
      <c r="AD245" s="6">
        <f>MIN(0, N245+(IFERROR(IF(16*INDEX('UA-normalized'!$D:$D, MATCH($A245, 'UA-normalized'!$A:$A, 0))-INDEX('UA-normalized'!$E:$E, MATCH($A245, 'UA-normalized'!$A:$A, 0))&gt;0, -(16*INDEX('UA-normalized'!$D:$D, MATCH($A245, 'UA-normalized'!$A:$A, 0))-INDEX('UA-normalized'!$E:$E, MATCH($A245, 'UA-normalized'!$A:$A, 0))), 0), 0))+(IFERROR(IF(16*INDEX('KZ-normalized'!$D:$D, MATCH($A245, 'KZ-normalized'!$A:$A, 0))-INDEX('KZ-normalized'!$E:$E, MATCH($A245, 'KZ-normalized'!$A:$A, 0))&gt;0, -(16*INDEX('KZ-normalized'!$D:$D, MATCH($A245, 'KZ-normalized'!$A:$A, 0))-INDEX('KZ-normalized'!$E:$E, MATCH($A245, 'KZ-normalized'!$A:$A, 0))), 0), 0))+(IFERROR(IF(16*INDEX('UZ-normalized'!$D:$D, MATCH($A245, 'UZ-normalized'!$A:$A, 0))-INDEX('UZ-normalized'!$E:$E, MATCH($A245, 'UZ-normalized'!$A:$A, 0))&gt;0, -(16*INDEX('UZ-normalized'!$D:$D, MATCH($A245, 'UZ-normalized'!$A:$A, 0))-INDEX('UZ-normalized'!$E:$E, MATCH($A245, 'UZ-normalized'!$A:$A, 0))), 0), 0)))</f>
        <v>0</v>
      </c>
      <c r="AE245" s="6">
        <f>MIN(0, N245+(IFERROR(IF(17*INDEX('UA-normalized'!$D:$D, MATCH($A245, 'UA-normalized'!$A:$A, 0))-INDEX('UA-normalized'!$E:$E, MATCH($A245, 'UA-normalized'!$A:$A, 0))&gt;0, -(17*INDEX('UA-normalized'!$D:$D, MATCH($A245, 'UA-normalized'!$A:$A, 0))-INDEX('UA-normalized'!$E:$E, MATCH($A245, 'UA-normalized'!$A:$A, 0))), 0), 0))+(IFERROR(IF(17*INDEX('KZ-normalized'!$D:$D, MATCH($A245, 'KZ-normalized'!$A:$A, 0))-INDEX('KZ-normalized'!$E:$E, MATCH($A245, 'KZ-normalized'!$A:$A, 0))&gt;0, -(17*INDEX('KZ-normalized'!$D:$D, MATCH($A245, 'KZ-normalized'!$A:$A, 0))-INDEX('KZ-normalized'!$E:$E, MATCH($A245, 'KZ-normalized'!$A:$A, 0))), 0), 0))+(IFERROR(IF(17*INDEX('UZ-normalized'!$D:$D, MATCH($A245, 'UZ-normalized'!$A:$A, 0))-INDEX('UZ-normalized'!$E:$E, MATCH($A245, 'UZ-normalized'!$A:$A, 0))&gt;0, -(17*INDEX('UZ-normalized'!$D:$D, MATCH($A245, 'UZ-normalized'!$A:$A, 0))-INDEX('UZ-normalized'!$E:$E, MATCH($A245, 'UZ-normalized'!$A:$A, 0))), 0), 0)))</f>
        <v>0</v>
      </c>
      <c r="AF245" s="6">
        <f>MIN(0, N245+(IFERROR(IF(18*INDEX('UA-normalized'!$D:$D, MATCH($A245, 'UA-normalized'!$A:$A, 0))-INDEX('UA-normalized'!$E:$E, MATCH($A245, 'UA-normalized'!$A:$A, 0))&gt;0, -(18*INDEX('UA-normalized'!$D:$D, MATCH($A245, 'UA-normalized'!$A:$A, 0))-INDEX('UA-normalized'!$E:$E, MATCH($A245, 'UA-normalized'!$A:$A, 0))), 0), 0))+(IFERROR(IF(18*INDEX('KZ-normalized'!$D:$D, MATCH($A245, 'KZ-normalized'!$A:$A, 0))-INDEX('KZ-normalized'!$E:$E, MATCH($A245, 'KZ-normalized'!$A:$A, 0))&gt;0, -(18*INDEX('KZ-normalized'!$D:$D, MATCH($A245, 'KZ-normalized'!$A:$A, 0))-INDEX('KZ-normalized'!$E:$E, MATCH($A245, 'KZ-normalized'!$A:$A, 0))), 0), 0))+(IFERROR(IF(18*INDEX('UZ-normalized'!$D:$D, MATCH($A245, 'UZ-normalized'!$A:$A, 0))-INDEX('UZ-normalized'!$E:$E, MATCH($A245, 'UZ-normalized'!$A:$A, 0))&gt;0, -(18*INDEX('UZ-normalized'!$D:$D, MATCH($A245, 'UZ-normalized'!$A:$A, 0))-INDEX('UZ-normalized'!$E:$E, MATCH($A245, 'UZ-normalized'!$A:$A, 0))), 0), 0)))</f>
        <v>0</v>
      </c>
      <c r="AG245" s="6">
        <f>MIN(0, N245+(IFERROR(IF(19*INDEX('UA-normalized'!$D:$D, MATCH($A245, 'UA-normalized'!$A:$A, 0))-INDEX('UA-normalized'!$E:$E, MATCH($A245, 'UA-normalized'!$A:$A, 0))&gt;0, -(19*INDEX('UA-normalized'!$D:$D, MATCH($A245, 'UA-normalized'!$A:$A, 0))-INDEX('UA-normalized'!$E:$E, MATCH($A245, 'UA-normalized'!$A:$A, 0))), 0), 0))+(IFERROR(IF(19*INDEX('KZ-normalized'!$D:$D, MATCH($A245, 'KZ-normalized'!$A:$A, 0))-INDEX('KZ-normalized'!$E:$E, MATCH($A245, 'KZ-normalized'!$A:$A, 0))&gt;0, -(19*INDEX('KZ-normalized'!$D:$D, MATCH($A245, 'KZ-normalized'!$A:$A, 0))-INDEX('KZ-normalized'!$E:$E, MATCH($A245, 'KZ-normalized'!$A:$A, 0))), 0), 0))+(IFERROR(IF(19*INDEX('UZ-normalized'!$D:$D, MATCH($A245, 'UZ-normalized'!$A:$A, 0))-INDEX('UZ-normalized'!$E:$E, MATCH($A245, 'UZ-normalized'!$A:$A, 0))&gt;0, -(19*INDEX('UZ-normalized'!$D:$D, MATCH($A245, 'UZ-normalized'!$A:$A, 0))-INDEX('UZ-normalized'!$E:$E, MATCH($A245, 'UZ-normalized'!$A:$A, 0))), 0), 0)))</f>
        <v>0</v>
      </c>
      <c r="AH245" s="6">
        <f>MIN(0, N245+(IFERROR(IF(20*INDEX('UA-normalized'!$D:$D, MATCH($A245, 'UA-normalized'!$A:$A, 0))-INDEX('UA-normalized'!$E:$E, MATCH($A245, 'UA-normalized'!$A:$A, 0))&gt;0, -(20*INDEX('UA-normalized'!$D:$D, MATCH($A245, 'UA-normalized'!$A:$A, 0))-INDEX('UA-normalized'!$E:$E, MATCH($A245, 'UA-normalized'!$A:$A, 0))), 0), 0))+(IFERROR(IF(20*INDEX('KZ-normalized'!$D:$D, MATCH($A245, 'KZ-normalized'!$A:$A, 0))-INDEX('KZ-normalized'!$E:$E, MATCH($A245, 'KZ-normalized'!$A:$A, 0))&gt;0, -(20*INDEX('KZ-normalized'!$D:$D, MATCH($A245, 'KZ-normalized'!$A:$A, 0))-INDEX('KZ-normalized'!$E:$E, MATCH($A245, 'KZ-normalized'!$A:$A, 0))), 0), 0))+(IFERROR(IF(20*INDEX('UZ-normalized'!$D:$D, MATCH($A245, 'UZ-normalized'!$A:$A, 0))-INDEX('UZ-normalized'!$E:$E, MATCH($A245, 'UZ-normalized'!$A:$A, 0))&gt;0, -(20*INDEX('UZ-normalized'!$D:$D, MATCH($A245, 'UZ-normalized'!$A:$A, 0))-INDEX('UZ-normalized'!$E:$E, MATCH($A245, 'UZ-normalized'!$A:$A, 0))), 0), 0)))</f>
        <v>0</v>
      </c>
      <c r="AI245" s="6">
        <f>MIN(0, N245+(IFERROR(IF(21*INDEX('UA-normalized'!$D:$D, MATCH($A245, 'UA-normalized'!$A:$A, 0))-INDEX('UA-normalized'!$E:$E, MATCH($A245, 'UA-normalized'!$A:$A, 0))&gt;0, -(21*INDEX('UA-normalized'!$D:$D, MATCH($A245, 'UA-normalized'!$A:$A, 0))-INDEX('UA-normalized'!$E:$E, MATCH($A245, 'UA-normalized'!$A:$A, 0))), 0), 0))+(IFERROR(IF(21*INDEX('KZ-normalized'!$D:$D, MATCH($A245, 'KZ-normalized'!$A:$A, 0))-INDEX('KZ-normalized'!$E:$E, MATCH($A245, 'KZ-normalized'!$A:$A, 0))&gt;0, -(21*INDEX('KZ-normalized'!$D:$D, MATCH($A245, 'KZ-normalized'!$A:$A, 0))-INDEX('KZ-normalized'!$E:$E, MATCH($A245, 'KZ-normalized'!$A:$A, 0))), 0), 0))+(IFERROR(IF(21*INDEX('UZ-normalized'!$D:$D, MATCH($A245, 'UZ-normalized'!$A:$A, 0))-INDEX('UZ-normalized'!$E:$E, MATCH($A245, 'UZ-normalized'!$A:$A, 0))&gt;0, -(21*INDEX('UZ-normalized'!$D:$D, MATCH($A245, 'UZ-normalized'!$A:$A, 0))-INDEX('UZ-normalized'!$E:$E, MATCH($A245, 'UZ-normalized'!$A:$A, 0))), 0), 0)))</f>
        <v>0</v>
      </c>
      <c r="AJ245" s="6">
        <f>MIN(0, N245+(IFERROR(IF(22*INDEX('UA-normalized'!$D:$D, MATCH($A245, 'UA-normalized'!$A:$A, 0))-INDEX('UA-normalized'!$E:$E, MATCH($A245, 'UA-normalized'!$A:$A, 0))&gt;0, -(22*INDEX('UA-normalized'!$D:$D, MATCH($A245, 'UA-normalized'!$A:$A, 0))-INDEX('UA-normalized'!$E:$E, MATCH($A245, 'UA-normalized'!$A:$A, 0))), 0), 0))+(IFERROR(IF(22*INDEX('KZ-normalized'!$D:$D, MATCH($A245, 'KZ-normalized'!$A:$A, 0))-INDEX('KZ-normalized'!$E:$E, MATCH($A245, 'KZ-normalized'!$A:$A, 0))&gt;0, -(22*INDEX('KZ-normalized'!$D:$D, MATCH($A245, 'KZ-normalized'!$A:$A, 0))-INDEX('KZ-normalized'!$E:$E, MATCH($A245, 'KZ-normalized'!$A:$A, 0))), 0), 0))+(IFERROR(IF(22*INDEX('UZ-normalized'!$D:$D, MATCH($A245, 'UZ-normalized'!$A:$A, 0))-INDEX('UZ-normalized'!$E:$E, MATCH($A245, 'UZ-normalized'!$A:$A, 0))&gt;0, -(22*INDEX('UZ-normalized'!$D:$D, MATCH($A245, 'UZ-normalized'!$A:$A, 0))-INDEX('UZ-normalized'!$E:$E, MATCH($A245, 'UZ-normalized'!$A:$A, 0))), 0), 0)))</f>
        <v>0</v>
      </c>
      <c r="AK245" s="6">
        <f>MIN(0, N245+(IFERROR(IF(23*INDEX('UA-normalized'!$D:$D, MATCH($A245, 'UA-normalized'!$A:$A, 0))-INDEX('UA-normalized'!$E:$E, MATCH($A245, 'UA-normalized'!$A:$A, 0))&gt;0, -(23*INDEX('UA-normalized'!$D:$D, MATCH($A245, 'UA-normalized'!$A:$A, 0))-INDEX('UA-normalized'!$E:$E, MATCH($A245, 'UA-normalized'!$A:$A, 0))), 0), 0))+(IFERROR(IF(23*INDEX('KZ-normalized'!$D:$D, MATCH($A245, 'KZ-normalized'!$A:$A, 0))-INDEX('KZ-normalized'!$E:$E, MATCH($A245, 'KZ-normalized'!$A:$A, 0))&gt;0, -(23*INDEX('KZ-normalized'!$D:$D, MATCH($A245, 'KZ-normalized'!$A:$A, 0))-INDEX('KZ-normalized'!$E:$E, MATCH($A245, 'KZ-normalized'!$A:$A, 0))), 0), 0))+(IFERROR(IF(23*INDEX('UZ-normalized'!$D:$D, MATCH($A245, 'UZ-normalized'!$A:$A, 0))-INDEX('UZ-normalized'!$E:$E, MATCH($A245, 'UZ-normalized'!$A:$A, 0))&gt;0, -(23*INDEX('UZ-normalized'!$D:$D, MATCH($A245, 'UZ-normalized'!$A:$A, 0))-INDEX('UZ-normalized'!$E:$E, MATCH($A245, 'UZ-normalized'!$A:$A, 0))), 0), 0)))</f>
        <v>0</v>
      </c>
      <c r="AL245" s="6">
        <f>MIN(0, N245+(IFERROR(IF(24*INDEX('UA-normalized'!$D:$D, MATCH($A245, 'UA-normalized'!$A:$A, 0))-INDEX('UA-normalized'!$E:$E, MATCH($A245, 'UA-normalized'!$A:$A, 0))&gt;0, -(24*INDEX('UA-normalized'!$D:$D, MATCH($A245, 'UA-normalized'!$A:$A, 0))-INDEX('UA-normalized'!$E:$E, MATCH($A245, 'UA-normalized'!$A:$A, 0))), 0), 0))+(IFERROR(IF(24*INDEX('KZ-normalized'!$D:$D, MATCH($A245, 'KZ-normalized'!$A:$A, 0))-INDEX('KZ-normalized'!$E:$E, MATCH($A245, 'KZ-normalized'!$A:$A, 0))&gt;0, -(24*INDEX('KZ-normalized'!$D:$D, MATCH($A245, 'KZ-normalized'!$A:$A, 0))-INDEX('KZ-normalized'!$E:$E, MATCH($A245, 'KZ-normalized'!$A:$A, 0))), 0), 0))+(IFERROR(IF(24*INDEX('UZ-normalized'!$D:$D, MATCH($A245, 'UZ-normalized'!$A:$A, 0))-INDEX('UZ-normalized'!$E:$E, MATCH($A245, 'UZ-normalized'!$A:$A, 0))&gt;0, -(24*INDEX('UZ-normalized'!$D:$D, MATCH($A245, 'UZ-normalized'!$A:$A, 0))-INDEX('UZ-normalized'!$E:$E, MATCH($A245, 'UZ-normalized'!$A:$A, 0))), 0), 0)))</f>
        <v>0</v>
      </c>
      <c r="AM245" s="6">
        <f>MIN(0, N245+(IFERROR(IF(25*INDEX('UA-normalized'!$D:$D, MATCH($A245, 'UA-normalized'!$A:$A, 0))-INDEX('UA-normalized'!$E:$E, MATCH($A245, 'UA-normalized'!$A:$A, 0))&gt;0, -(25*INDEX('UA-normalized'!$D:$D, MATCH($A245, 'UA-normalized'!$A:$A, 0))-INDEX('UA-normalized'!$E:$E, MATCH($A245, 'UA-normalized'!$A:$A, 0))), 0), 0))+(IFERROR(IF(25*INDEX('KZ-normalized'!$D:$D, MATCH($A245, 'KZ-normalized'!$A:$A, 0))-INDEX('KZ-normalized'!$E:$E, MATCH($A245, 'KZ-normalized'!$A:$A, 0))&gt;0, -(25*INDEX('KZ-normalized'!$D:$D, MATCH($A245, 'KZ-normalized'!$A:$A, 0))-INDEX('KZ-normalized'!$E:$E, MATCH($A245, 'KZ-normalized'!$A:$A, 0))), 0), 0))+(IFERROR(IF(25*INDEX('UZ-normalized'!$D:$D, MATCH($A245, 'UZ-normalized'!$A:$A, 0))-INDEX('UZ-normalized'!$E:$E, MATCH($A245, 'UZ-normalized'!$A:$A, 0))&gt;0, -(25*INDEX('UZ-normalized'!$D:$D, MATCH($A245, 'UZ-normalized'!$A:$A, 0))-INDEX('UZ-normalized'!$E:$E, MATCH($A245, 'UZ-normalized'!$A:$A, 0))), 0), 0)))</f>
        <v>0</v>
      </c>
      <c r="AN245" s="6">
        <f>MIN(0, N245+(IFERROR(IF(26*INDEX('UA-normalized'!$D:$D, MATCH($A245, 'UA-normalized'!$A:$A, 0))-INDEX('UA-normalized'!$E:$E, MATCH($A245, 'UA-normalized'!$A:$A, 0))&gt;0, -(26*INDEX('UA-normalized'!$D:$D, MATCH($A245, 'UA-normalized'!$A:$A, 0))-INDEX('UA-normalized'!$E:$E, MATCH($A245, 'UA-normalized'!$A:$A, 0))), 0), 0))+(IFERROR(IF(26*INDEX('KZ-normalized'!$D:$D, MATCH($A245, 'KZ-normalized'!$A:$A, 0))-INDEX('KZ-normalized'!$E:$E, MATCH($A245, 'KZ-normalized'!$A:$A, 0))&gt;0, -(26*INDEX('KZ-normalized'!$D:$D, MATCH($A245, 'KZ-normalized'!$A:$A, 0))-INDEX('KZ-normalized'!$E:$E, MATCH($A245, 'KZ-normalized'!$A:$A, 0))), 0), 0))+(IFERROR(IF(26*INDEX('UZ-normalized'!$D:$D, MATCH($A245, 'UZ-normalized'!$A:$A, 0))-INDEX('UZ-normalized'!$E:$E, MATCH($A245, 'UZ-normalized'!$A:$A, 0))&gt;0, -(26*INDEX('UZ-normalized'!$D:$D, MATCH($A245, 'UZ-normalized'!$A:$A, 0))-INDEX('UZ-normalized'!$E:$E, MATCH($A245, 'UZ-normalized'!$A:$A, 0))), 0), 0)))</f>
        <v>0</v>
      </c>
      <c r="AO245" s="6">
        <f>MIN(0, N245+(IFERROR(IF(27*INDEX('UA-normalized'!$D:$D, MATCH($A245, 'UA-normalized'!$A:$A, 0))-INDEX('UA-normalized'!$E:$E, MATCH($A245, 'UA-normalized'!$A:$A, 0))&gt;0, -(27*INDEX('UA-normalized'!$D:$D, MATCH($A245, 'UA-normalized'!$A:$A, 0))-INDEX('UA-normalized'!$E:$E, MATCH($A245, 'UA-normalized'!$A:$A, 0))), 0), 0))+(IFERROR(IF(27*INDEX('KZ-normalized'!$D:$D, MATCH($A245, 'KZ-normalized'!$A:$A, 0))-INDEX('KZ-normalized'!$E:$E, MATCH($A245, 'KZ-normalized'!$A:$A, 0))&gt;0, -(27*INDEX('KZ-normalized'!$D:$D, MATCH($A245, 'KZ-normalized'!$A:$A, 0))-INDEX('KZ-normalized'!$E:$E, MATCH($A245, 'KZ-normalized'!$A:$A, 0))), 0), 0))+(IFERROR(IF(27*INDEX('UZ-normalized'!$D:$D, MATCH($A245, 'UZ-normalized'!$A:$A, 0))-INDEX('UZ-normalized'!$E:$E, MATCH($A245, 'UZ-normalized'!$A:$A, 0))&gt;0, -(27*INDEX('UZ-normalized'!$D:$D, MATCH($A245, 'UZ-normalized'!$A:$A, 0))-INDEX('UZ-normalized'!$E:$E, MATCH($A245, 'UZ-normalized'!$A:$A, 0))), 0), 0)))</f>
        <v>0</v>
      </c>
      <c r="AP245" s="6">
        <f>MIN(0, N245+(IFERROR(IF(28*INDEX('UA-normalized'!$D:$D, MATCH($A245, 'UA-normalized'!$A:$A, 0))-INDEX('UA-normalized'!$E:$E, MATCH($A245, 'UA-normalized'!$A:$A, 0))&gt;0, -(28*INDEX('UA-normalized'!$D:$D, MATCH($A245, 'UA-normalized'!$A:$A, 0))-INDEX('UA-normalized'!$E:$E, MATCH($A245, 'UA-normalized'!$A:$A, 0))), 0), 0))+(IFERROR(IF(28*INDEX('KZ-normalized'!$D:$D, MATCH($A245, 'KZ-normalized'!$A:$A, 0))-INDEX('KZ-normalized'!$E:$E, MATCH($A245, 'KZ-normalized'!$A:$A, 0))&gt;0, -(28*INDEX('KZ-normalized'!$D:$D, MATCH($A245, 'KZ-normalized'!$A:$A, 0))-INDEX('KZ-normalized'!$E:$E, MATCH($A245, 'KZ-normalized'!$A:$A, 0))), 0), 0))+(IFERROR(IF(28*INDEX('UZ-normalized'!$D:$D, MATCH($A245, 'UZ-normalized'!$A:$A, 0))-INDEX('UZ-normalized'!$E:$E, MATCH($A245, 'UZ-normalized'!$A:$A, 0))&gt;0, -(28*INDEX('UZ-normalized'!$D:$D, MATCH($A245, 'UZ-normalized'!$A:$A, 0))-INDEX('UZ-normalized'!$E:$E, MATCH($A245, 'UZ-normalized'!$A:$A, 0))), 0), 0)))</f>
        <v>0</v>
      </c>
      <c r="AQ245" s="6">
        <f>MIN(0, N245+(IFERROR(IF(29*INDEX('UA-normalized'!$D:$D, MATCH($A245, 'UA-normalized'!$A:$A, 0))-INDEX('UA-normalized'!$E:$E, MATCH($A245, 'UA-normalized'!$A:$A, 0))&gt;0, -(29*INDEX('UA-normalized'!$D:$D, MATCH($A245, 'UA-normalized'!$A:$A, 0))-INDEX('UA-normalized'!$E:$E, MATCH($A245, 'UA-normalized'!$A:$A, 0))), 0), 0))+(IFERROR(IF(29*INDEX('KZ-normalized'!$D:$D, MATCH($A245, 'KZ-normalized'!$A:$A, 0))-INDEX('KZ-normalized'!$E:$E, MATCH($A245, 'KZ-normalized'!$A:$A, 0))&gt;0, -(29*INDEX('KZ-normalized'!$D:$D, MATCH($A245, 'KZ-normalized'!$A:$A, 0))-INDEX('KZ-normalized'!$E:$E, MATCH($A245, 'KZ-normalized'!$A:$A, 0))), 0), 0))+(IFERROR(IF(29*INDEX('UZ-normalized'!$D:$D, MATCH($A245, 'UZ-normalized'!$A:$A, 0))-INDEX('UZ-normalized'!$E:$E, MATCH($A245, 'UZ-normalized'!$A:$A, 0))&gt;0, -(29*INDEX('UZ-normalized'!$D:$D, MATCH($A245, 'UZ-normalized'!$A:$A, 0))-INDEX('UZ-normalized'!$E:$E, MATCH($A245, 'UZ-normalized'!$A:$A, 0))), 0), 0)))</f>
        <v>0</v>
      </c>
      <c r="AR245" s="6">
        <f>MIN(0, N245+(IFERROR(IF(30*INDEX('UA-normalized'!$D:$D, MATCH($A245, 'UA-normalized'!$A:$A, 0))-INDEX('UA-normalized'!$E:$E, MATCH($A245, 'UA-normalized'!$A:$A, 0))&gt;0, -(30*INDEX('UA-normalized'!$D:$D, MATCH($A245, 'UA-normalized'!$A:$A, 0))-INDEX('UA-normalized'!$E:$E, MATCH($A245, 'UA-normalized'!$A:$A, 0))), 0), 0))+(IFERROR(IF(30*INDEX('KZ-normalized'!$D:$D, MATCH($A245, 'KZ-normalized'!$A:$A, 0))-INDEX('KZ-normalized'!$E:$E, MATCH($A245, 'KZ-normalized'!$A:$A, 0))&gt;0, -(30*INDEX('KZ-normalized'!$D:$D, MATCH($A245, 'KZ-normalized'!$A:$A, 0))-INDEX('KZ-normalized'!$E:$E, MATCH($A245, 'KZ-normalized'!$A:$A, 0))), 0), 0))+(IFERROR(IF(30*INDEX('UZ-normalized'!$D:$D, MATCH($A245, 'UZ-normalized'!$A:$A, 0))-INDEX('UZ-normalized'!$E:$E, MATCH($A245, 'UZ-normalized'!$A:$A, 0))&gt;0, -(30*INDEX('UZ-normalized'!$D:$D, MATCH($A245, 'UZ-normalized'!$A:$A, 0))-INDEX('UZ-normalized'!$E:$E, MATCH($A245, 'UZ-normalized'!$A:$A, 0))), 0), 0)))</f>
        <v>0</v>
      </c>
    </row>
    <row r="246" spans="1:44" x14ac:dyDescent="0.25">
      <c r="A246" s="8" t="s">
        <v>581</v>
      </c>
      <c r="B246" s="8" t="s">
        <v>576</v>
      </c>
      <c r="C246" s="8" t="s">
        <v>577</v>
      </c>
      <c r="D246" s="8" t="s">
        <v>582</v>
      </c>
      <c r="N246">
        <f t="shared" si="3"/>
        <v>0</v>
      </c>
      <c r="O246" s="6">
        <f>MIN(0, N246+(IFERROR(IF(1*INDEX('UA-normalized'!$D:$D, MATCH($A246, 'UA-normalized'!$A:$A, 0))-INDEX('UA-normalized'!$E:$E, MATCH($A246, 'UA-normalized'!$A:$A, 0))&gt;0, -(1*INDEX('UA-normalized'!$D:$D, MATCH($A246, 'UA-normalized'!$A:$A, 0))-INDEX('UA-normalized'!$E:$E, MATCH($A246, 'UA-normalized'!$A:$A, 0))), 0), 0))+(IFERROR(IF(1*INDEX('KZ-normalized'!$D:$D, MATCH($A246, 'KZ-normalized'!$A:$A, 0))-INDEX('KZ-normalized'!$E:$E, MATCH($A246, 'KZ-normalized'!$A:$A, 0))&gt;0, -(1*INDEX('KZ-normalized'!$D:$D, MATCH($A246, 'KZ-normalized'!$A:$A, 0))-INDEX('KZ-normalized'!$E:$E, MATCH($A246, 'KZ-normalized'!$A:$A, 0))), 0), 0))+(IFERROR(IF(1*INDEX('UZ-normalized'!$D:$D, MATCH($A246, 'UZ-normalized'!$A:$A, 0))-INDEX('UZ-normalized'!$E:$E, MATCH($A246, 'UZ-normalized'!$A:$A, 0))&gt;0, -(1*INDEX('UZ-normalized'!$D:$D, MATCH($A246, 'UZ-normalized'!$A:$A, 0))-INDEX('UZ-normalized'!$E:$E, MATCH($A246, 'UZ-normalized'!$A:$A, 0))), 0), 0)))</f>
        <v>0</v>
      </c>
      <c r="P246" s="6">
        <f>MIN(0, N246+(IFERROR(IF(2*INDEX('UA-normalized'!$D:$D, MATCH($A246, 'UA-normalized'!$A:$A, 0))-INDEX('UA-normalized'!$E:$E, MATCH($A246, 'UA-normalized'!$A:$A, 0))&gt;0, -(2*INDEX('UA-normalized'!$D:$D, MATCH($A246, 'UA-normalized'!$A:$A, 0))-INDEX('UA-normalized'!$E:$E, MATCH($A246, 'UA-normalized'!$A:$A, 0))), 0), 0))+(IFERROR(IF(2*INDEX('KZ-normalized'!$D:$D, MATCH($A246, 'KZ-normalized'!$A:$A, 0))-INDEX('KZ-normalized'!$E:$E, MATCH($A246, 'KZ-normalized'!$A:$A, 0))&gt;0, -(2*INDEX('KZ-normalized'!$D:$D, MATCH($A246, 'KZ-normalized'!$A:$A, 0))-INDEX('KZ-normalized'!$E:$E, MATCH($A246, 'KZ-normalized'!$A:$A, 0))), 0), 0))+(IFERROR(IF(2*INDEX('UZ-normalized'!$D:$D, MATCH($A246, 'UZ-normalized'!$A:$A, 0))-INDEX('UZ-normalized'!$E:$E, MATCH($A246, 'UZ-normalized'!$A:$A, 0))&gt;0, -(2*INDEX('UZ-normalized'!$D:$D, MATCH($A246, 'UZ-normalized'!$A:$A, 0))-INDEX('UZ-normalized'!$E:$E, MATCH($A246, 'UZ-normalized'!$A:$A, 0))), 0), 0)))</f>
        <v>0</v>
      </c>
      <c r="Q246" s="6">
        <f>MIN(0, N246+(IFERROR(IF(3*INDEX('UA-normalized'!$D:$D, MATCH($A246, 'UA-normalized'!$A:$A, 0))-INDEX('UA-normalized'!$E:$E, MATCH($A246, 'UA-normalized'!$A:$A, 0))&gt;0, -(3*INDEX('UA-normalized'!$D:$D, MATCH($A246, 'UA-normalized'!$A:$A, 0))-INDEX('UA-normalized'!$E:$E, MATCH($A246, 'UA-normalized'!$A:$A, 0))), 0), 0))+(IFERROR(IF(3*INDEX('KZ-normalized'!$D:$D, MATCH($A246, 'KZ-normalized'!$A:$A, 0))-INDEX('KZ-normalized'!$E:$E, MATCH($A246, 'KZ-normalized'!$A:$A, 0))&gt;0, -(3*INDEX('KZ-normalized'!$D:$D, MATCH($A246, 'KZ-normalized'!$A:$A, 0))-INDEX('KZ-normalized'!$E:$E, MATCH($A246, 'KZ-normalized'!$A:$A, 0))), 0), 0))+(IFERROR(IF(3*INDEX('UZ-normalized'!$D:$D, MATCH($A246, 'UZ-normalized'!$A:$A, 0))-INDEX('UZ-normalized'!$E:$E, MATCH($A246, 'UZ-normalized'!$A:$A, 0))&gt;0, -(3*INDEX('UZ-normalized'!$D:$D, MATCH($A246, 'UZ-normalized'!$A:$A, 0))-INDEX('UZ-normalized'!$E:$E, MATCH($A246, 'UZ-normalized'!$A:$A, 0))), 0), 0)))</f>
        <v>0</v>
      </c>
      <c r="R246" s="6">
        <f>MIN(0, N246+(IFERROR(IF(4*INDEX('UA-normalized'!$D:$D, MATCH($A246, 'UA-normalized'!$A:$A, 0))-INDEX('UA-normalized'!$E:$E, MATCH($A246, 'UA-normalized'!$A:$A, 0))&gt;0, -(4*INDEX('UA-normalized'!$D:$D, MATCH($A246, 'UA-normalized'!$A:$A, 0))-INDEX('UA-normalized'!$E:$E, MATCH($A246, 'UA-normalized'!$A:$A, 0))), 0), 0))+(IFERROR(IF(4*INDEX('KZ-normalized'!$D:$D, MATCH($A246, 'KZ-normalized'!$A:$A, 0))-INDEX('KZ-normalized'!$E:$E, MATCH($A246, 'KZ-normalized'!$A:$A, 0))&gt;0, -(4*INDEX('KZ-normalized'!$D:$D, MATCH($A246, 'KZ-normalized'!$A:$A, 0))-INDEX('KZ-normalized'!$E:$E, MATCH($A246, 'KZ-normalized'!$A:$A, 0))), 0), 0))+(IFERROR(IF(4*INDEX('UZ-normalized'!$D:$D, MATCH($A246, 'UZ-normalized'!$A:$A, 0))-INDEX('UZ-normalized'!$E:$E, MATCH($A246, 'UZ-normalized'!$A:$A, 0))&gt;0, -(4*INDEX('UZ-normalized'!$D:$D, MATCH($A246, 'UZ-normalized'!$A:$A, 0))-INDEX('UZ-normalized'!$E:$E, MATCH($A246, 'UZ-normalized'!$A:$A, 0))), 0), 0)))</f>
        <v>0</v>
      </c>
      <c r="S246" s="6">
        <f>MIN(0, N246+(IFERROR(IF(5*INDEX('UA-normalized'!$D:$D, MATCH($A246, 'UA-normalized'!$A:$A, 0))-INDEX('UA-normalized'!$E:$E, MATCH($A246, 'UA-normalized'!$A:$A, 0))&gt;0, -(5*INDEX('UA-normalized'!$D:$D, MATCH($A246, 'UA-normalized'!$A:$A, 0))-INDEX('UA-normalized'!$E:$E, MATCH($A246, 'UA-normalized'!$A:$A, 0))), 0), 0))+(IFERROR(IF(5*INDEX('KZ-normalized'!$D:$D, MATCH($A246, 'KZ-normalized'!$A:$A, 0))-INDEX('KZ-normalized'!$E:$E, MATCH($A246, 'KZ-normalized'!$A:$A, 0))&gt;0, -(5*INDEX('KZ-normalized'!$D:$D, MATCH($A246, 'KZ-normalized'!$A:$A, 0))-INDEX('KZ-normalized'!$E:$E, MATCH($A246, 'KZ-normalized'!$A:$A, 0))), 0), 0))+(IFERROR(IF(5*INDEX('UZ-normalized'!$D:$D, MATCH($A246, 'UZ-normalized'!$A:$A, 0))-INDEX('UZ-normalized'!$E:$E, MATCH($A246, 'UZ-normalized'!$A:$A, 0))&gt;0, -(5*INDEX('UZ-normalized'!$D:$D, MATCH($A246, 'UZ-normalized'!$A:$A, 0))-INDEX('UZ-normalized'!$E:$E, MATCH($A246, 'UZ-normalized'!$A:$A, 0))), 0), 0)))</f>
        <v>0</v>
      </c>
      <c r="T246" s="6">
        <f>MIN(0, N246+(IFERROR(IF(6*INDEX('UA-normalized'!$D:$D, MATCH($A246, 'UA-normalized'!$A:$A, 0))-INDEX('UA-normalized'!$E:$E, MATCH($A246, 'UA-normalized'!$A:$A, 0))&gt;0, -(6*INDEX('UA-normalized'!$D:$D, MATCH($A246, 'UA-normalized'!$A:$A, 0))-INDEX('UA-normalized'!$E:$E, MATCH($A246, 'UA-normalized'!$A:$A, 0))), 0), 0))+(IFERROR(IF(6*INDEX('KZ-normalized'!$D:$D, MATCH($A246, 'KZ-normalized'!$A:$A, 0))-INDEX('KZ-normalized'!$E:$E, MATCH($A246, 'KZ-normalized'!$A:$A, 0))&gt;0, -(6*INDEX('KZ-normalized'!$D:$D, MATCH($A246, 'KZ-normalized'!$A:$A, 0))-INDEX('KZ-normalized'!$E:$E, MATCH($A246, 'KZ-normalized'!$A:$A, 0))), 0), 0))+(IFERROR(IF(6*INDEX('UZ-normalized'!$D:$D, MATCH($A246, 'UZ-normalized'!$A:$A, 0))-INDEX('UZ-normalized'!$E:$E, MATCH($A246, 'UZ-normalized'!$A:$A, 0))&gt;0, -(6*INDEX('UZ-normalized'!$D:$D, MATCH($A246, 'UZ-normalized'!$A:$A, 0))-INDEX('UZ-normalized'!$E:$E, MATCH($A246, 'UZ-normalized'!$A:$A, 0))), 0), 0)))</f>
        <v>0</v>
      </c>
      <c r="U246" s="6">
        <f>MIN(0, N246+(IFERROR(IF(7*INDEX('UA-normalized'!$D:$D, MATCH($A246, 'UA-normalized'!$A:$A, 0))-INDEX('UA-normalized'!$E:$E, MATCH($A246, 'UA-normalized'!$A:$A, 0))&gt;0, -(7*INDEX('UA-normalized'!$D:$D, MATCH($A246, 'UA-normalized'!$A:$A, 0))-INDEX('UA-normalized'!$E:$E, MATCH($A246, 'UA-normalized'!$A:$A, 0))), 0), 0))+(IFERROR(IF(7*INDEX('KZ-normalized'!$D:$D, MATCH($A246, 'KZ-normalized'!$A:$A, 0))-INDEX('KZ-normalized'!$E:$E, MATCH($A246, 'KZ-normalized'!$A:$A, 0))&gt;0, -(7*INDEX('KZ-normalized'!$D:$D, MATCH($A246, 'KZ-normalized'!$A:$A, 0))-INDEX('KZ-normalized'!$E:$E, MATCH($A246, 'KZ-normalized'!$A:$A, 0))), 0), 0))+(IFERROR(IF(7*INDEX('UZ-normalized'!$D:$D, MATCH($A246, 'UZ-normalized'!$A:$A, 0))-INDEX('UZ-normalized'!$E:$E, MATCH($A246, 'UZ-normalized'!$A:$A, 0))&gt;0, -(7*INDEX('UZ-normalized'!$D:$D, MATCH($A246, 'UZ-normalized'!$A:$A, 0))-INDEX('UZ-normalized'!$E:$E, MATCH($A246, 'UZ-normalized'!$A:$A, 0))), 0), 0)))</f>
        <v>0</v>
      </c>
      <c r="V246" s="6">
        <f>MIN(0, N246+(IFERROR(IF(8*INDEX('UA-normalized'!$D:$D, MATCH($A246, 'UA-normalized'!$A:$A, 0))-INDEX('UA-normalized'!$E:$E, MATCH($A246, 'UA-normalized'!$A:$A, 0))&gt;0, -(8*INDEX('UA-normalized'!$D:$D, MATCH($A246, 'UA-normalized'!$A:$A, 0))-INDEX('UA-normalized'!$E:$E, MATCH($A246, 'UA-normalized'!$A:$A, 0))), 0), 0))+(IFERROR(IF(8*INDEX('KZ-normalized'!$D:$D, MATCH($A246, 'KZ-normalized'!$A:$A, 0))-INDEX('KZ-normalized'!$E:$E, MATCH($A246, 'KZ-normalized'!$A:$A, 0))&gt;0, -(8*INDEX('KZ-normalized'!$D:$D, MATCH($A246, 'KZ-normalized'!$A:$A, 0))-INDEX('KZ-normalized'!$E:$E, MATCH($A246, 'KZ-normalized'!$A:$A, 0))), 0), 0))+(IFERROR(IF(8*INDEX('UZ-normalized'!$D:$D, MATCH($A246, 'UZ-normalized'!$A:$A, 0))-INDEX('UZ-normalized'!$E:$E, MATCH($A246, 'UZ-normalized'!$A:$A, 0))&gt;0, -(8*INDEX('UZ-normalized'!$D:$D, MATCH($A246, 'UZ-normalized'!$A:$A, 0))-INDEX('UZ-normalized'!$E:$E, MATCH($A246, 'UZ-normalized'!$A:$A, 0))), 0), 0)))</f>
        <v>0</v>
      </c>
      <c r="W246" s="6">
        <f>MIN(0, N246+(IFERROR(IF(9*INDEX('UA-normalized'!$D:$D, MATCH($A246, 'UA-normalized'!$A:$A, 0))-INDEX('UA-normalized'!$E:$E, MATCH($A246, 'UA-normalized'!$A:$A, 0))&gt;0, -(9*INDEX('UA-normalized'!$D:$D, MATCH($A246, 'UA-normalized'!$A:$A, 0))-INDEX('UA-normalized'!$E:$E, MATCH($A246, 'UA-normalized'!$A:$A, 0))), 0), 0))+(IFERROR(IF(9*INDEX('KZ-normalized'!$D:$D, MATCH($A246, 'KZ-normalized'!$A:$A, 0))-INDEX('KZ-normalized'!$E:$E, MATCH($A246, 'KZ-normalized'!$A:$A, 0))&gt;0, -(9*INDEX('KZ-normalized'!$D:$D, MATCH($A246, 'KZ-normalized'!$A:$A, 0))-INDEX('KZ-normalized'!$E:$E, MATCH($A246, 'KZ-normalized'!$A:$A, 0))), 0), 0))+(IFERROR(IF(9*INDEX('UZ-normalized'!$D:$D, MATCH($A246, 'UZ-normalized'!$A:$A, 0))-INDEX('UZ-normalized'!$E:$E, MATCH($A246, 'UZ-normalized'!$A:$A, 0))&gt;0, -(9*INDEX('UZ-normalized'!$D:$D, MATCH($A246, 'UZ-normalized'!$A:$A, 0))-INDEX('UZ-normalized'!$E:$E, MATCH($A246, 'UZ-normalized'!$A:$A, 0))), 0), 0)))</f>
        <v>0</v>
      </c>
      <c r="X246" s="6">
        <f>MIN(0, N246+(IFERROR(IF(10*INDEX('UA-normalized'!$D:$D, MATCH($A246, 'UA-normalized'!$A:$A, 0))-INDEX('UA-normalized'!$E:$E, MATCH($A246, 'UA-normalized'!$A:$A, 0))&gt;0, -(10*INDEX('UA-normalized'!$D:$D, MATCH($A246, 'UA-normalized'!$A:$A, 0))-INDEX('UA-normalized'!$E:$E, MATCH($A246, 'UA-normalized'!$A:$A, 0))), 0), 0))+(IFERROR(IF(10*INDEX('KZ-normalized'!$D:$D, MATCH($A246, 'KZ-normalized'!$A:$A, 0))-INDEX('KZ-normalized'!$E:$E, MATCH($A246, 'KZ-normalized'!$A:$A, 0))&gt;0, -(10*INDEX('KZ-normalized'!$D:$D, MATCH($A246, 'KZ-normalized'!$A:$A, 0))-INDEX('KZ-normalized'!$E:$E, MATCH($A246, 'KZ-normalized'!$A:$A, 0))), 0), 0))+(IFERROR(IF(10*INDEX('UZ-normalized'!$D:$D, MATCH($A246, 'UZ-normalized'!$A:$A, 0))-INDEX('UZ-normalized'!$E:$E, MATCH($A246, 'UZ-normalized'!$A:$A, 0))&gt;0, -(10*INDEX('UZ-normalized'!$D:$D, MATCH($A246, 'UZ-normalized'!$A:$A, 0))-INDEX('UZ-normalized'!$E:$E, MATCH($A246, 'UZ-normalized'!$A:$A, 0))), 0), 0)))</f>
        <v>0</v>
      </c>
      <c r="Y246" s="6">
        <f>MIN(0, N246+(IFERROR(IF(11*INDEX('UA-normalized'!$D:$D, MATCH($A246, 'UA-normalized'!$A:$A, 0))-INDEX('UA-normalized'!$E:$E, MATCH($A246, 'UA-normalized'!$A:$A, 0))&gt;0, -(11*INDEX('UA-normalized'!$D:$D, MATCH($A246, 'UA-normalized'!$A:$A, 0))-INDEX('UA-normalized'!$E:$E, MATCH($A246, 'UA-normalized'!$A:$A, 0))), 0), 0))+(IFERROR(IF(11*INDEX('KZ-normalized'!$D:$D, MATCH($A246, 'KZ-normalized'!$A:$A, 0))-INDEX('KZ-normalized'!$E:$E, MATCH($A246, 'KZ-normalized'!$A:$A, 0))&gt;0, -(11*INDEX('KZ-normalized'!$D:$D, MATCH($A246, 'KZ-normalized'!$A:$A, 0))-INDEX('KZ-normalized'!$E:$E, MATCH($A246, 'KZ-normalized'!$A:$A, 0))), 0), 0))+(IFERROR(IF(11*INDEX('UZ-normalized'!$D:$D, MATCH($A246, 'UZ-normalized'!$A:$A, 0))-INDEX('UZ-normalized'!$E:$E, MATCH($A246, 'UZ-normalized'!$A:$A, 0))&gt;0, -(11*INDEX('UZ-normalized'!$D:$D, MATCH($A246, 'UZ-normalized'!$A:$A, 0))-INDEX('UZ-normalized'!$E:$E, MATCH($A246, 'UZ-normalized'!$A:$A, 0))), 0), 0)))</f>
        <v>0</v>
      </c>
      <c r="Z246" s="6">
        <f>MIN(0, N246+(IFERROR(IF(12*INDEX('UA-normalized'!$D:$D, MATCH($A246, 'UA-normalized'!$A:$A, 0))-INDEX('UA-normalized'!$E:$E, MATCH($A246, 'UA-normalized'!$A:$A, 0))&gt;0, -(12*INDEX('UA-normalized'!$D:$D, MATCH($A246, 'UA-normalized'!$A:$A, 0))-INDEX('UA-normalized'!$E:$E, MATCH($A246, 'UA-normalized'!$A:$A, 0))), 0), 0))+(IFERROR(IF(12*INDEX('KZ-normalized'!$D:$D, MATCH($A246, 'KZ-normalized'!$A:$A, 0))-INDEX('KZ-normalized'!$E:$E, MATCH($A246, 'KZ-normalized'!$A:$A, 0))&gt;0, -(12*INDEX('KZ-normalized'!$D:$D, MATCH($A246, 'KZ-normalized'!$A:$A, 0))-INDEX('KZ-normalized'!$E:$E, MATCH($A246, 'KZ-normalized'!$A:$A, 0))), 0), 0))+(IFERROR(IF(12*INDEX('UZ-normalized'!$D:$D, MATCH($A246, 'UZ-normalized'!$A:$A, 0))-INDEX('UZ-normalized'!$E:$E, MATCH($A246, 'UZ-normalized'!$A:$A, 0))&gt;0, -(12*INDEX('UZ-normalized'!$D:$D, MATCH($A246, 'UZ-normalized'!$A:$A, 0))-INDEX('UZ-normalized'!$E:$E, MATCH($A246, 'UZ-normalized'!$A:$A, 0))), 0), 0)))</f>
        <v>0</v>
      </c>
      <c r="AA246" s="6">
        <f>MIN(0, N246+(IFERROR(IF(13*INDEX('UA-normalized'!$D:$D, MATCH($A246, 'UA-normalized'!$A:$A, 0))-INDEX('UA-normalized'!$E:$E, MATCH($A246, 'UA-normalized'!$A:$A, 0))&gt;0, -(13*INDEX('UA-normalized'!$D:$D, MATCH($A246, 'UA-normalized'!$A:$A, 0))-INDEX('UA-normalized'!$E:$E, MATCH($A246, 'UA-normalized'!$A:$A, 0))), 0), 0))+(IFERROR(IF(13*INDEX('KZ-normalized'!$D:$D, MATCH($A246, 'KZ-normalized'!$A:$A, 0))-INDEX('KZ-normalized'!$E:$E, MATCH($A246, 'KZ-normalized'!$A:$A, 0))&gt;0, -(13*INDEX('KZ-normalized'!$D:$D, MATCH($A246, 'KZ-normalized'!$A:$A, 0))-INDEX('KZ-normalized'!$E:$E, MATCH($A246, 'KZ-normalized'!$A:$A, 0))), 0), 0))+(IFERROR(IF(13*INDEX('UZ-normalized'!$D:$D, MATCH($A246, 'UZ-normalized'!$A:$A, 0))-INDEX('UZ-normalized'!$E:$E, MATCH($A246, 'UZ-normalized'!$A:$A, 0))&gt;0, -(13*INDEX('UZ-normalized'!$D:$D, MATCH($A246, 'UZ-normalized'!$A:$A, 0))-INDEX('UZ-normalized'!$E:$E, MATCH($A246, 'UZ-normalized'!$A:$A, 0))), 0), 0)))</f>
        <v>0</v>
      </c>
      <c r="AB246" s="6">
        <f>MIN(0, N246+(IFERROR(IF(14*INDEX('UA-normalized'!$D:$D, MATCH($A246, 'UA-normalized'!$A:$A, 0))-INDEX('UA-normalized'!$E:$E, MATCH($A246, 'UA-normalized'!$A:$A, 0))&gt;0, -(14*INDEX('UA-normalized'!$D:$D, MATCH($A246, 'UA-normalized'!$A:$A, 0))-INDEX('UA-normalized'!$E:$E, MATCH($A246, 'UA-normalized'!$A:$A, 0))), 0), 0))+(IFERROR(IF(14*INDEX('KZ-normalized'!$D:$D, MATCH($A246, 'KZ-normalized'!$A:$A, 0))-INDEX('KZ-normalized'!$E:$E, MATCH($A246, 'KZ-normalized'!$A:$A, 0))&gt;0, -(14*INDEX('KZ-normalized'!$D:$D, MATCH($A246, 'KZ-normalized'!$A:$A, 0))-INDEX('KZ-normalized'!$E:$E, MATCH($A246, 'KZ-normalized'!$A:$A, 0))), 0), 0))+(IFERROR(IF(14*INDEX('UZ-normalized'!$D:$D, MATCH($A246, 'UZ-normalized'!$A:$A, 0))-INDEX('UZ-normalized'!$E:$E, MATCH($A246, 'UZ-normalized'!$A:$A, 0))&gt;0, -(14*INDEX('UZ-normalized'!$D:$D, MATCH($A246, 'UZ-normalized'!$A:$A, 0))-INDEX('UZ-normalized'!$E:$E, MATCH($A246, 'UZ-normalized'!$A:$A, 0))), 0), 0)))</f>
        <v>0</v>
      </c>
      <c r="AC246" s="6">
        <f>MIN(0, N246+(IFERROR(IF(15*INDEX('UA-normalized'!$D:$D, MATCH($A246, 'UA-normalized'!$A:$A, 0))-INDEX('UA-normalized'!$E:$E, MATCH($A246, 'UA-normalized'!$A:$A, 0))&gt;0, -(15*INDEX('UA-normalized'!$D:$D, MATCH($A246, 'UA-normalized'!$A:$A, 0))-INDEX('UA-normalized'!$E:$E, MATCH($A246, 'UA-normalized'!$A:$A, 0))), 0), 0))+(IFERROR(IF(15*INDEX('KZ-normalized'!$D:$D, MATCH($A246, 'KZ-normalized'!$A:$A, 0))-INDEX('KZ-normalized'!$E:$E, MATCH($A246, 'KZ-normalized'!$A:$A, 0))&gt;0, -(15*INDEX('KZ-normalized'!$D:$D, MATCH($A246, 'KZ-normalized'!$A:$A, 0))-INDEX('KZ-normalized'!$E:$E, MATCH($A246, 'KZ-normalized'!$A:$A, 0))), 0), 0))+(IFERROR(IF(15*INDEX('UZ-normalized'!$D:$D, MATCH($A246, 'UZ-normalized'!$A:$A, 0))-INDEX('UZ-normalized'!$E:$E, MATCH($A246, 'UZ-normalized'!$A:$A, 0))&gt;0, -(15*INDEX('UZ-normalized'!$D:$D, MATCH($A246, 'UZ-normalized'!$A:$A, 0))-INDEX('UZ-normalized'!$E:$E, MATCH($A246, 'UZ-normalized'!$A:$A, 0))), 0), 0)))</f>
        <v>0</v>
      </c>
      <c r="AD246" s="6">
        <f>MIN(0, N246+(IFERROR(IF(16*INDEX('UA-normalized'!$D:$D, MATCH($A246, 'UA-normalized'!$A:$A, 0))-INDEX('UA-normalized'!$E:$E, MATCH($A246, 'UA-normalized'!$A:$A, 0))&gt;0, -(16*INDEX('UA-normalized'!$D:$D, MATCH($A246, 'UA-normalized'!$A:$A, 0))-INDEX('UA-normalized'!$E:$E, MATCH($A246, 'UA-normalized'!$A:$A, 0))), 0), 0))+(IFERROR(IF(16*INDEX('KZ-normalized'!$D:$D, MATCH($A246, 'KZ-normalized'!$A:$A, 0))-INDEX('KZ-normalized'!$E:$E, MATCH($A246, 'KZ-normalized'!$A:$A, 0))&gt;0, -(16*INDEX('KZ-normalized'!$D:$D, MATCH($A246, 'KZ-normalized'!$A:$A, 0))-INDEX('KZ-normalized'!$E:$E, MATCH($A246, 'KZ-normalized'!$A:$A, 0))), 0), 0))+(IFERROR(IF(16*INDEX('UZ-normalized'!$D:$D, MATCH($A246, 'UZ-normalized'!$A:$A, 0))-INDEX('UZ-normalized'!$E:$E, MATCH($A246, 'UZ-normalized'!$A:$A, 0))&gt;0, -(16*INDEX('UZ-normalized'!$D:$D, MATCH($A246, 'UZ-normalized'!$A:$A, 0))-INDEX('UZ-normalized'!$E:$E, MATCH($A246, 'UZ-normalized'!$A:$A, 0))), 0), 0)))</f>
        <v>0</v>
      </c>
      <c r="AE246" s="6">
        <f>MIN(0, N246+(IFERROR(IF(17*INDEX('UA-normalized'!$D:$D, MATCH($A246, 'UA-normalized'!$A:$A, 0))-INDEX('UA-normalized'!$E:$E, MATCH($A246, 'UA-normalized'!$A:$A, 0))&gt;0, -(17*INDEX('UA-normalized'!$D:$D, MATCH($A246, 'UA-normalized'!$A:$A, 0))-INDEX('UA-normalized'!$E:$E, MATCH($A246, 'UA-normalized'!$A:$A, 0))), 0), 0))+(IFERROR(IF(17*INDEX('KZ-normalized'!$D:$D, MATCH($A246, 'KZ-normalized'!$A:$A, 0))-INDEX('KZ-normalized'!$E:$E, MATCH($A246, 'KZ-normalized'!$A:$A, 0))&gt;0, -(17*INDEX('KZ-normalized'!$D:$D, MATCH($A246, 'KZ-normalized'!$A:$A, 0))-INDEX('KZ-normalized'!$E:$E, MATCH($A246, 'KZ-normalized'!$A:$A, 0))), 0), 0))+(IFERROR(IF(17*INDEX('UZ-normalized'!$D:$D, MATCH($A246, 'UZ-normalized'!$A:$A, 0))-INDEX('UZ-normalized'!$E:$E, MATCH($A246, 'UZ-normalized'!$A:$A, 0))&gt;0, -(17*INDEX('UZ-normalized'!$D:$D, MATCH($A246, 'UZ-normalized'!$A:$A, 0))-INDEX('UZ-normalized'!$E:$E, MATCH($A246, 'UZ-normalized'!$A:$A, 0))), 0), 0)))</f>
        <v>0</v>
      </c>
      <c r="AF246" s="6">
        <f>MIN(0, N246+(IFERROR(IF(18*INDEX('UA-normalized'!$D:$D, MATCH($A246, 'UA-normalized'!$A:$A, 0))-INDEX('UA-normalized'!$E:$E, MATCH($A246, 'UA-normalized'!$A:$A, 0))&gt;0, -(18*INDEX('UA-normalized'!$D:$D, MATCH($A246, 'UA-normalized'!$A:$A, 0))-INDEX('UA-normalized'!$E:$E, MATCH($A246, 'UA-normalized'!$A:$A, 0))), 0), 0))+(IFERROR(IF(18*INDEX('KZ-normalized'!$D:$D, MATCH($A246, 'KZ-normalized'!$A:$A, 0))-INDEX('KZ-normalized'!$E:$E, MATCH($A246, 'KZ-normalized'!$A:$A, 0))&gt;0, -(18*INDEX('KZ-normalized'!$D:$D, MATCH($A246, 'KZ-normalized'!$A:$A, 0))-INDEX('KZ-normalized'!$E:$E, MATCH($A246, 'KZ-normalized'!$A:$A, 0))), 0), 0))+(IFERROR(IF(18*INDEX('UZ-normalized'!$D:$D, MATCH($A246, 'UZ-normalized'!$A:$A, 0))-INDEX('UZ-normalized'!$E:$E, MATCH($A246, 'UZ-normalized'!$A:$A, 0))&gt;0, -(18*INDEX('UZ-normalized'!$D:$D, MATCH($A246, 'UZ-normalized'!$A:$A, 0))-INDEX('UZ-normalized'!$E:$E, MATCH($A246, 'UZ-normalized'!$A:$A, 0))), 0), 0)))</f>
        <v>0</v>
      </c>
      <c r="AG246" s="6">
        <f>MIN(0, N246+(IFERROR(IF(19*INDEX('UA-normalized'!$D:$D, MATCH($A246, 'UA-normalized'!$A:$A, 0))-INDEX('UA-normalized'!$E:$E, MATCH($A246, 'UA-normalized'!$A:$A, 0))&gt;0, -(19*INDEX('UA-normalized'!$D:$D, MATCH($A246, 'UA-normalized'!$A:$A, 0))-INDEX('UA-normalized'!$E:$E, MATCH($A246, 'UA-normalized'!$A:$A, 0))), 0), 0))+(IFERROR(IF(19*INDEX('KZ-normalized'!$D:$D, MATCH($A246, 'KZ-normalized'!$A:$A, 0))-INDEX('KZ-normalized'!$E:$E, MATCH($A246, 'KZ-normalized'!$A:$A, 0))&gt;0, -(19*INDEX('KZ-normalized'!$D:$D, MATCH($A246, 'KZ-normalized'!$A:$A, 0))-INDEX('KZ-normalized'!$E:$E, MATCH($A246, 'KZ-normalized'!$A:$A, 0))), 0), 0))+(IFERROR(IF(19*INDEX('UZ-normalized'!$D:$D, MATCH($A246, 'UZ-normalized'!$A:$A, 0))-INDEX('UZ-normalized'!$E:$E, MATCH($A246, 'UZ-normalized'!$A:$A, 0))&gt;0, -(19*INDEX('UZ-normalized'!$D:$D, MATCH($A246, 'UZ-normalized'!$A:$A, 0))-INDEX('UZ-normalized'!$E:$E, MATCH($A246, 'UZ-normalized'!$A:$A, 0))), 0), 0)))</f>
        <v>0</v>
      </c>
      <c r="AH246" s="6">
        <f>MIN(0, N246+(IFERROR(IF(20*INDEX('UA-normalized'!$D:$D, MATCH($A246, 'UA-normalized'!$A:$A, 0))-INDEX('UA-normalized'!$E:$E, MATCH($A246, 'UA-normalized'!$A:$A, 0))&gt;0, -(20*INDEX('UA-normalized'!$D:$D, MATCH($A246, 'UA-normalized'!$A:$A, 0))-INDEX('UA-normalized'!$E:$E, MATCH($A246, 'UA-normalized'!$A:$A, 0))), 0), 0))+(IFERROR(IF(20*INDEX('KZ-normalized'!$D:$D, MATCH($A246, 'KZ-normalized'!$A:$A, 0))-INDEX('KZ-normalized'!$E:$E, MATCH($A246, 'KZ-normalized'!$A:$A, 0))&gt;0, -(20*INDEX('KZ-normalized'!$D:$D, MATCH($A246, 'KZ-normalized'!$A:$A, 0))-INDEX('KZ-normalized'!$E:$E, MATCH($A246, 'KZ-normalized'!$A:$A, 0))), 0), 0))+(IFERROR(IF(20*INDEX('UZ-normalized'!$D:$D, MATCH($A246, 'UZ-normalized'!$A:$A, 0))-INDEX('UZ-normalized'!$E:$E, MATCH($A246, 'UZ-normalized'!$A:$A, 0))&gt;0, -(20*INDEX('UZ-normalized'!$D:$D, MATCH($A246, 'UZ-normalized'!$A:$A, 0))-INDEX('UZ-normalized'!$E:$E, MATCH($A246, 'UZ-normalized'!$A:$A, 0))), 0), 0)))</f>
        <v>0</v>
      </c>
      <c r="AI246" s="6">
        <f>MIN(0, N246+(IFERROR(IF(21*INDEX('UA-normalized'!$D:$D, MATCH($A246, 'UA-normalized'!$A:$A, 0))-INDEX('UA-normalized'!$E:$E, MATCH($A246, 'UA-normalized'!$A:$A, 0))&gt;0, -(21*INDEX('UA-normalized'!$D:$D, MATCH($A246, 'UA-normalized'!$A:$A, 0))-INDEX('UA-normalized'!$E:$E, MATCH($A246, 'UA-normalized'!$A:$A, 0))), 0), 0))+(IFERROR(IF(21*INDEX('KZ-normalized'!$D:$D, MATCH($A246, 'KZ-normalized'!$A:$A, 0))-INDEX('KZ-normalized'!$E:$E, MATCH($A246, 'KZ-normalized'!$A:$A, 0))&gt;0, -(21*INDEX('KZ-normalized'!$D:$D, MATCH($A246, 'KZ-normalized'!$A:$A, 0))-INDEX('KZ-normalized'!$E:$E, MATCH($A246, 'KZ-normalized'!$A:$A, 0))), 0), 0))+(IFERROR(IF(21*INDEX('UZ-normalized'!$D:$D, MATCH($A246, 'UZ-normalized'!$A:$A, 0))-INDEX('UZ-normalized'!$E:$E, MATCH($A246, 'UZ-normalized'!$A:$A, 0))&gt;0, -(21*INDEX('UZ-normalized'!$D:$D, MATCH($A246, 'UZ-normalized'!$A:$A, 0))-INDEX('UZ-normalized'!$E:$E, MATCH($A246, 'UZ-normalized'!$A:$A, 0))), 0), 0)))</f>
        <v>0</v>
      </c>
      <c r="AJ246" s="6">
        <f>MIN(0, N246+(IFERROR(IF(22*INDEX('UA-normalized'!$D:$D, MATCH($A246, 'UA-normalized'!$A:$A, 0))-INDEX('UA-normalized'!$E:$E, MATCH($A246, 'UA-normalized'!$A:$A, 0))&gt;0, -(22*INDEX('UA-normalized'!$D:$D, MATCH($A246, 'UA-normalized'!$A:$A, 0))-INDEX('UA-normalized'!$E:$E, MATCH($A246, 'UA-normalized'!$A:$A, 0))), 0), 0))+(IFERROR(IF(22*INDEX('KZ-normalized'!$D:$D, MATCH($A246, 'KZ-normalized'!$A:$A, 0))-INDEX('KZ-normalized'!$E:$E, MATCH($A246, 'KZ-normalized'!$A:$A, 0))&gt;0, -(22*INDEX('KZ-normalized'!$D:$D, MATCH($A246, 'KZ-normalized'!$A:$A, 0))-INDEX('KZ-normalized'!$E:$E, MATCH($A246, 'KZ-normalized'!$A:$A, 0))), 0), 0))+(IFERROR(IF(22*INDEX('UZ-normalized'!$D:$D, MATCH($A246, 'UZ-normalized'!$A:$A, 0))-INDEX('UZ-normalized'!$E:$E, MATCH($A246, 'UZ-normalized'!$A:$A, 0))&gt;0, -(22*INDEX('UZ-normalized'!$D:$D, MATCH($A246, 'UZ-normalized'!$A:$A, 0))-INDEX('UZ-normalized'!$E:$E, MATCH($A246, 'UZ-normalized'!$A:$A, 0))), 0), 0)))</f>
        <v>0</v>
      </c>
      <c r="AK246" s="6">
        <f>MIN(0, N246+(IFERROR(IF(23*INDEX('UA-normalized'!$D:$D, MATCH($A246, 'UA-normalized'!$A:$A, 0))-INDEX('UA-normalized'!$E:$E, MATCH($A246, 'UA-normalized'!$A:$A, 0))&gt;0, -(23*INDEX('UA-normalized'!$D:$D, MATCH($A246, 'UA-normalized'!$A:$A, 0))-INDEX('UA-normalized'!$E:$E, MATCH($A246, 'UA-normalized'!$A:$A, 0))), 0), 0))+(IFERROR(IF(23*INDEX('KZ-normalized'!$D:$D, MATCH($A246, 'KZ-normalized'!$A:$A, 0))-INDEX('KZ-normalized'!$E:$E, MATCH($A246, 'KZ-normalized'!$A:$A, 0))&gt;0, -(23*INDEX('KZ-normalized'!$D:$D, MATCH($A246, 'KZ-normalized'!$A:$A, 0))-INDEX('KZ-normalized'!$E:$E, MATCH($A246, 'KZ-normalized'!$A:$A, 0))), 0), 0))+(IFERROR(IF(23*INDEX('UZ-normalized'!$D:$D, MATCH($A246, 'UZ-normalized'!$A:$A, 0))-INDEX('UZ-normalized'!$E:$E, MATCH($A246, 'UZ-normalized'!$A:$A, 0))&gt;0, -(23*INDEX('UZ-normalized'!$D:$D, MATCH($A246, 'UZ-normalized'!$A:$A, 0))-INDEX('UZ-normalized'!$E:$E, MATCH($A246, 'UZ-normalized'!$A:$A, 0))), 0), 0)))</f>
        <v>0</v>
      </c>
      <c r="AL246" s="6">
        <f>MIN(0, N246+(IFERROR(IF(24*INDEX('UA-normalized'!$D:$D, MATCH($A246, 'UA-normalized'!$A:$A, 0))-INDEX('UA-normalized'!$E:$E, MATCH($A246, 'UA-normalized'!$A:$A, 0))&gt;0, -(24*INDEX('UA-normalized'!$D:$D, MATCH($A246, 'UA-normalized'!$A:$A, 0))-INDEX('UA-normalized'!$E:$E, MATCH($A246, 'UA-normalized'!$A:$A, 0))), 0), 0))+(IFERROR(IF(24*INDEX('KZ-normalized'!$D:$D, MATCH($A246, 'KZ-normalized'!$A:$A, 0))-INDEX('KZ-normalized'!$E:$E, MATCH($A246, 'KZ-normalized'!$A:$A, 0))&gt;0, -(24*INDEX('KZ-normalized'!$D:$D, MATCH($A246, 'KZ-normalized'!$A:$A, 0))-INDEX('KZ-normalized'!$E:$E, MATCH($A246, 'KZ-normalized'!$A:$A, 0))), 0), 0))+(IFERROR(IF(24*INDEX('UZ-normalized'!$D:$D, MATCH($A246, 'UZ-normalized'!$A:$A, 0))-INDEX('UZ-normalized'!$E:$E, MATCH($A246, 'UZ-normalized'!$A:$A, 0))&gt;0, -(24*INDEX('UZ-normalized'!$D:$D, MATCH($A246, 'UZ-normalized'!$A:$A, 0))-INDEX('UZ-normalized'!$E:$E, MATCH($A246, 'UZ-normalized'!$A:$A, 0))), 0), 0)))</f>
        <v>0</v>
      </c>
      <c r="AM246" s="6">
        <f>MIN(0, N246+(IFERROR(IF(25*INDEX('UA-normalized'!$D:$D, MATCH($A246, 'UA-normalized'!$A:$A, 0))-INDEX('UA-normalized'!$E:$E, MATCH($A246, 'UA-normalized'!$A:$A, 0))&gt;0, -(25*INDEX('UA-normalized'!$D:$D, MATCH($A246, 'UA-normalized'!$A:$A, 0))-INDEX('UA-normalized'!$E:$E, MATCH($A246, 'UA-normalized'!$A:$A, 0))), 0), 0))+(IFERROR(IF(25*INDEX('KZ-normalized'!$D:$D, MATCH($A246, 'KZ-normalized'!$A:$A, 0))-INDEX('KZ-normalized'!$E:$E, MATCH($A246, 'KZ-normalized'!$A:$A, 0))&gt;0, -(25*INDEX('KZ-normalized'!$D:$D, MATCH($A246, 'KZ-normalized'!$A:$A, 0))-INDEX('KZ-normalized'!$E:$E, MATCH($A246, 'KZ-normalized'!$A:$A, 0))), 0), 0))+(IFERROR(IF(25*INDEX('UZ-normalized'!$D:$D, MATCH($A246, 'UZ-normalized'!$A:$A, 0))-INDEX('UZ-normalized'!$E:$E, MATCH($A246, 'UZ-normalized'!$A:$A, 0))&gt;0, -(25*INDEX('UZ-normalized'!$D:$D, MATCH($A246, 'UZ-normalized'!$A:$A, 0))-INDEX('UZ-normalized'!$E:$E, MATCH($A246, 'UZ-normalized'!$A:$A, 0))), 0), 0)))</f>
        <v>0</v>
      </c>
      <c r="AN246" s="6">
        <f>MIN(0, N246+(IFERROR(IF(26*INDEX('UA-normalized'!$D:$D, MATCH($A246, 'UA-normalized'!$A:$A, 0))-INDEX('UA-normalized'!$E:$E, MATCH($A246, 'UA-normalized'!$A:$A, 0))&gt;0, -(26*INDEX('UA-normalized'!$D:$D, MATCH($A246, 'UA-normalized'!$A:$A, 0))-INDEX('UA-normalized'!$E:$E, MATCH($A246, 'UA-normalized'!$A:$A, 0))), 0), 0))+(IFERROR(IF(26*INDEX('KZ-normalized'!$D:$D, MATCH($A246, 'KZ-normalized'!$A:$A, 0))-INDEX('KZ-normalized'!$E:$E, MATCH($A246, 'KZ-normalized'!$A:$A, 0))&gt;0, -(26*INDEX('KZ-normalized'!$D:$D, MATCH($A246, 'KZ-normalized'!$A:$A, 0))-INDEX('KZ-normalized'!$E:$E, MATCH($A246, 'KZ-normalized'!$A:$A, 0))), 0), 0))+(IFERROR(IF(26*INDEX('UZ-normalized'!$D:$D, MATCH($A246, 'UZ-normalized'!$A:$A, 0))-INDEX('UZ-normalized'!$E:$E, MATCH($A246, 'UZ-normalized'!$A:$A, 0))&gt;0, -(26*INDEX('UZ-normalized'!$D:$D, MATCH($A246, 'UZ-normalized'!$A:$A, 0))-INDEX('UZ-normalized'!$E:$E, MATCH($A246, 'UZ-normalized'!$A:$A, 0))), 0), 0)))</f>
        <v>0</v>
      </c>
      <c r="AO246" s="6">
        <f>MIN(0, N246+(IFERROR(IF(27*INDEX('UA-normalized'!$D:$D, MATCH($A246, 'UA-normalized'!$A:$A, 0))-INDEX('UA-normalized'!$E:$E, MATCH($A246, 'UA-normalized'!$A:$A, 0))&gt;0, -(27*INDEX('UA-normalized'!$D:$D, MATCH($A246, 'UA-normalized'!$A:$A, 0))-INDEX('UA-normalized'!$E:$E, MATCH($A246, 'UA-normalized'!$A:$A, 0))), 0), 0))+(IFERROR(IF(27*INDEX('KZ-normalized'!$D:$D, MATCH($A246, 'KZ-normalized'!$A:$A, 0))-INDEX('KZ-normalized'!$E:$E, MATCH($A246, 'KZ-normalized'!$A:$A, 0))&gt;0, -(27*INDEX('KZ-normalized'!$D:$D, MATCH($A246, 'KZ-normalized'!$A:$A, 0))-INDEX('KZ-normalized'!$E:$E, MATCH($A246, 'KZ-normalized'!$A:$A, 0))), 0), 0))+(IFERROR(IF(27*INDEX('UZ-normalized'!$D:$D, MATCH($A246, 'UZ-normalized'!$A:$A, 0))-INDEX('UZ-normalized'!$E:$E, MATCH($A246, 'UZ-normalized'!$A:$A, 0))&gt;0, -(27*INDEX('UZ-normalized'!$D:$D, MATCH($A246, 'UZ-normalized'!$A:$A, 0))-INDEX('UZ-normalized'!$E:$E, MATCH($A246, 'UZ-normalized'!$A:$A, 0))), 0), 0)))</f>
        <v>0</v>
      </c>
      <c r="AP246" s="6">
        <f>MIN(0, N246+(IFERROR(IF(28*INDEX('UA-normalized'!$D:$D, MATCH($A246, 'UA-normalized'!$A:$A, 0))-INDEX('UA-normalized'!$E:$E, MATCH($A246, 'UA-normalized'!$A:$A, 0))&gt;0, -(28*INDEX('UA-normalized'!$D:$D, MATCH($A246, 'UA-normalized'!$A:$A, 0))-INDEX('UA-normalized'!$E:$E, MATCH($A246, 'UA-normalized'!$A:$A, 0))), 0), 0))+(IFERROR(IF(28*INDEX('KZ-normalized'!$D:$D, MATCH($A246, 'KZ-normalized'!$A:$A, 0))-INDEX('KZ-normalized'!$E:$E, MATCH($A246, 'KZ-normalized'!$A:$A, 0))&gt;0, -(28*INDEX('KZ-normalized'!$D:$D, MATCH($A246, 'KZ-normalized'!$A:$A, 0))-INDEX('KZ-normalized'!$E:$E, MATCH($A246, 'KZ-normalized'!$A:$A, 0))), 0), 0))+(IFERROR(IF(28*INDEX('UZ-normalized'!$D:$D, MATCH($A246, 'UZ-normalized'!$A:$A, 0))-INDEX('UZ-normalized'!$E:$E, MATCH($A246, 'UZ-normalized'!$A:$A, 0))&gt;0, -(28*INDEX('UZ-normalized'!$D:$D, MATCH($A246, 'UZ-normalized'!$A:$A, 0))-INDEX('UZ-normalized'!$E:$E, MATCH($A246, 'UZ-normalized'!$A:$A, 0))), 0), 0)))</f>
        <v>0</v>
      </c>
      <c r="AQ246" s="6">
        <f>MIN(0, N246+(IFERROR(IF(29*INDEX('UA-normalized'!$D:$D, MATCH($A246, 'UA-normalized'!$A:$A, 0))-INDEX('UA-normalized'!$E:$E, MATCH($A246, 'UA-normalized'!$A:$A, 0))&gt;0, -(29*INDEX('UA-normalized'!$D:$D, MATCH($A246, 'UA-normalized'!$A:$A, 0))-INDEX('UA-normalized'!$E:$E, MATCH($A246, 'UA-normalized'!$A:$A, 0))), 0), 0))+(IFERROR(IF(29*INDEX('KZ-normalized'!$D:$D, MATCH($A246, 'KZ-normalized'!$A:$A, 0))-INDEX('KZ-normalized'!$E:$E, MATCH($A246, 'KZ-normalized'!$A:$A, 0))&gt;0, -(29*INDEX('KZ-normalized'!$D:$D, MATCH($A246, 'KZ-normalized'!$A:$A, 0))-INDEX('KZ-normalized'!$E:$E, MATCH($A246, 'KZ-normalized'!$A:$A, 0))), 0), 0))+(IFERROR(IF(29*INDEX('UZ-normalized'!$D:$D, MATCH($A246, 'UZ-normalized'!$A:$A, 0))-INDEX('UZ-normalized'!$E:$E, MATCH($A246, 'UZ-normalized'!$A:$A, 0))&gt;0, -(29*INDEX('UZ-normalized'!$D:$D, MATCH($A246, 'UZ-normalized'!$A:$A, 0))-INDEX('UZ-normalized'!$E:$E, MATCH($A246, 'UZ-normalized'!$A:$A, 0))), 0), 0)))</f>
        <v>0</v>
      </c>
      <c r="AR246" s="6">
        <f>MIN(0, N246+(IFERROR(IF(30*INDEX('UA-normalized'!$D:$D, MATCH($A246, 'UA-normalized'!$A:$A, 0))-INDEX('UA-normalized'!$E:$E, MATCH($A246, 'UA-normalized'!$A:$A, 0))&gt;0, -(30*INDEX('UA-normalized'!$D:$D, MATCH($A246, 'UA-normalized'!$A:$A, 0))-INDEX('UA-normalized'!$E:$E, MATCH($A246, 'UA-normalized'!$A:$A, 0))), 0), 0))+(IFERROR(IF(30*INDEX('KZ-normalized'!$D:$D, MATCH($A246, 'KZ-normalized'!$A:$A, 0))-INDEX('KZ-normalized'!$E:$E, MATCH($A246, 'KZ-normalized'!$A:$A, 0))&gt;0, -(30*INDEX('KZ-normalized'!$D:$D, MATCH($A246, 'KZ-normalized'!$A:$A, 0))-INDEX('KZ-normalized'!$E:$E, MATCH($A246, 'KZ-normalized'!$A:$A, 0))), 0), 0))+(IFERROR(IF(30*INDEX('UZ-normalized'!$D:$D, MATCH($A246, 'UZ-normalized'!$A:$A, 0))-INDEX('UZ-normalized'!$E:$E, MATCH($A246, 'UZ-normalized'!$A:$A, 0))&gt;0, -(30*INDEX('UZ-normalized'!$D:$D, MATCH($A246, 'UZ-normalized'!$A:$A, 0))-INDEX('UZ-normalized'!$E:$E, MATCH($A246, 'UZ-normalized'!$A:$A, 0))), 0), 0)))</f>
        <v>0</v>
      </c>
    </row>
    <row r="247" spans="1:44" x14ac:dyDescent="0.25">
      <c r="A247" s="8" t="s">
        <v>583</v>
      </c>
      <c r="B247" s="8" t="s">
        <v>576</v>
      </c>
      <c r="C247" s="8" t="s">
        <v>577</v>
      </c>
      <c r="D247" s="8" t="s">
        <v>584</v>
      </c>
      <c r="N247">
        <f t="shared" si="3"/>
        <v>0</v>
      </c>
      <c r="O247" s="6">
        <f>MIN(0, N247+(IFERROR(IF(1*INDEX('UA-normalized'!$D:$D, MATCH($A247, 'UA-normalized'!$A:$A, 0))-INDEX('UA-normalized'!$E:$E, MATCH($A247, 'UA-normalized'!$A:$A, 0))&gt;0, -(1*INDEX('UA-normalized'!$D:$D, MATCH($A247, 'UA-normalized'!$A:$A, 0))-INDEX('UA-normalized'!$E:$E, MATCH($A247, 'UA-normalized'!$A:$A, 0))), 0), 0))+(IFERROR(IF(1*INDEX('KZ-normalized'!$D:$D, MATCH($A247, 'KZ-normalized'!$A:$A, 0))-INDEX('KZ-normalized'!$E:$E, MATCH($A247, 'KZ-normalized'!$A:$A, 0))&gt;0, -(1*INDEX('KZ-normalized'!$D:$D, MATCH($A247, 'KZ-normalized'!$A:$A, 0))-INDEX('KZ-normalized'!$E:$E, MATCH($A247, 'KZ-normalized'!$A:$A, 0))), 0), 0))+(IFERROR(IF(1*INDEX('UZ-normalized'!$D:$D, MATCH($A247, 'UZ-normalized'!$A:$A, 0))-INDEX('UZ-normalized'!$E:$E, MATCH($A247, 'UZ-normalized'!$A:$A, 0))&gt;0, -(1*INDEX('UZ-normalized'!$D:$D, MATCH($A247, 'UZ-normalized'!$A:$A, 0))-INDEX('UZ-normalized'!$E:$E, MATCH($A247, 'UZ-normalized'!$A:$A, 0))), 0), 0)))</f>
        <v>0</v>
      </c>
      <c r="P247" s="6">
        <f>MIN(0, N247+(IFERROR(IF(2*INDEX('UA-normalized'!$D:$D, MATCH($A247, 'UA-normalized'!$A:$A, 0))-INDEX('UA-normalized'!$E:$E, MATCH($A247, 'UA-normalized'!$A:$A, 0))&gt;0, -(2*INDEX('UA-normalized'!$D:$D, MATCH($A247, 'UA-normalized'!$A:$A, 0))-INDEX('UA-normalized'!$E:$E, MATCH($A247, 'UA-normalized'!$A:$A, 0))), 0), 0))+(IFERROR(IF(2*INDEX('KZ-normalized'!$D:$D, MATCH($A247, 'KZ-normalized'!$A:$A, 0))-INDEX('KZ-normalized'!$E:$E, MATCH($A247, 'KZ-normalized'!$A:$A, 0))&gt;0, -(2*INDEX('KZ-normalized'!$D:$D, MATCH($A247, 'KZ-normalized'!$A:$A, 0))-INDEX('KZ-normalized'!$E:$E, MATCH($A247, 'KZ-normalized'!$A:$A, 0))), 0), 0))+(IFERROR(IF(2*INDEX('UZ-normalized'!$D:$D, MATCH($A247, 'UZ-normalized'!$A:$A, 0))-INDEX('UZ-normalized'!$E:$E, MATCH($A247, 'UZ-normalized'!$A:$A, 0))&gt;0, -(2*INDEX('UZ-normalized'!$D:$D, MATCH($A247, 'UZ-normalized'!$A:$A, 0))-INDEX('UZ-normalized'!$E:$E, MATCH($A247, 'UZ-normalized'!$A:$A, 0))), 0), 0)))</f>
        <v>0</v>
      </c>
      <c r="Q247" s="6">
        <f>MIN(0, N247+(IFERROR(IF(3*INDEX('UA-normalized'!$D:$D, MATCH($A247, 'UA-normalized'!$A:$A, 0))-INDEX('UA-normalized'!$E:$E, MATCH($A247, 'UA-normalized'!$A:$A, 0))&gt;0, -(3*INDEX('UA-normalized'!$D:$D, MATCH($A247, 'UA-normalized'!$A:$A, 0))-INDEX('UA-normalized'!$E:$E, MATCH($A247, 'UA-normalized'!$A:$A, 0))), 0), 0))+(IFERROR(IF(3*INDEX('KZ-normalized'!$D:$D, MATCH($A247, 'KZ-normalized'!$A:$A, 0))-INDEX('KZ-normalized'!$E:$E, MATCH($A247, 'KZ-normalized'!$A:$A, 0))&gt;0, -(3*INDEX('KZ-normalized'!$D:$D, MATCH($A247, 'KZ-normalized'!$A:$A, 0))-INDEX('KZ-normalized'!$E:$E, MATCH($A247, 'KZ-normalized'!$A:$A, 0))), 0), 0))+(IFERROR(IF(3*INDEX('UZ-normalized'!$D:$D, MATCH($A247, 'UZ-normalized'!$A:$A, 0))-INDEX('UZ-normalized'!$E:$E, MATCH($A247, 'UZ-normalized'!$A:$A, 0))&gt;0, -(3*INDEX('UZ-normalized'!$D:$D, MATCH($A247, 'UZ-normalized'!$A:$A, 0))-INDEX('UZ-normalized'!$E:$E, MATCH($A247, 'UZ-normalized'!$A:$A, 0))), 0), 0)))</f>
        <v>0</v>
      </c>
      <c r="R247" s="6">
        <f>MIN(0, N247+(IFERROR(IF(4*INDEX('UA-normalized'!$D:$D, MATCH($A247, 'UA-normalized'!$A:$A, 0))-INDEX('UA-normalized'!$E:$E, MATCH($A247, 'UA-normalized'!$A:$A, 0))&gt;0, -(4*INDEX('UA-normalized'!$D:$D, MATCH($A247, 'UA-normalized'!$A:$A, 0))-INDEX('UA-normalized'!$E:$E, MATCH($A247, 'UA-normalized'!$A:$A, 0))), 0), 0))+(IFERROR(IF(4*INDEX('KZ-normalized'!$D:$D, MATCH($A247, 'KZ-normalized'!$A:$A, 0))-INDEX('KZ-normalized'!$E:$E, MATCH($A247, 'KZ-normalized'!$A:$A, 0))&gt;0, -(4*INDEX('KZ-normalized'!$D:$D, MATCH($A247, 'KZ-normalized'!$A:$A, 0))-INDEX('KZ-normalized'!$E:$E, MATCH($A247, 'KZ-normalized'!$A:$A, 0))), 0), 0))+(IFERROR(IF(4*INDEX('UZ-normalized'!$D:$D, MATCH($A247, 'UZ-normalized'!$A:$A, 0))-INDEX('UZ-normalized'!$E:$E, MATCH($A247, 'UZ-normalized'!$A:$A, 0))&gt;0, -(4*INDEX('UZ-normalized'!$D:$D, MATCH($A247, 'UZ-normalized'!$A:$A, 0))-INDEX('UZ-normalized'!$E:$E, MATCH($A247, 'UZ-normalized'!$A:$A, 0))), 0), 0)))</f>
        <v>0</v>
      </c>
      <c r="S247" s="6">
        <f>MIN(0, N247+(IFERROR(IF(5*INDEX('UA-normalized'!$D:$D, MATCH($A247, 'UA-normalized'!$A:$A, 0))-INDEX('UA-normalized'!$E:$E, MATCH($A247, 'UA-normalized'!$A:$A, 0))&gt;0, -(5*INDEX('UA-normalized'!$D:$D, MATCH($A247, 'UA-normalized'!$A:$A, 0))-INDEX('UA-normalized'!$E:$E, MATCH($A247, 'UA-normalized'!$A:$A, 0))), 0), 0))+(IFERROR(IF(5*INDEX('KZ-normalized'!$D:$D, MATCH($A247, 'KZ-normalized'!$A:$A, 0))-INDEX('KZ-normalized'!$E:$E, MATCH($A247, 'KZ-normalized'!$A:$A, 0))&gt;0, -(5*INDEX('KZ-normalized'!$D:$D, MATCH($A247, 'KZ-normalized'!$A:$A, 0))-INDEX('KZ-normalized'!$E:$E, MATCH($A247, 'KZ-normalized'!$A:$A, 0))), 0), 0))+(IFERROR(IF(5*INDEX('UZ-normalized'!$D:$D, MATCH($A247, 'UZ-normalized'!$A:$A, 0))-INDEX('UZ-normalized'!$E:$E, MATCH($A247, 'UZ-normalized'!$A:$A, 0))&gt;0, -(5*INDEX('UZ-normalized'!$D:$D, MATCH($A247, 'UZ-normalized'!$A:$A, 0))-INDEX('UZ-normalized'!$E:$E, MATCH($A247, 'UZ-normalized'!$A:$A, 0))), 0), 0)))</f>
        <v>0</v>
      </c>
      <c r="T247" s="6">
        <f>MIN(0, N247+(IFERROR(IF(6*INDEX('UA-normalized'!$D:$D, MATCH($A247, 'UA-normalized'!$A:$A, 0))-INDEX('UA-normalized'!$E:$E, MATCH($A247, 'UA-normalized'!$A:$A, 0))&gt;0, -(6*INDEX('UA-normalized'!$D:$D, MATCH($A247, 'UA-normalized'!$A:$A, 0))-INDEX('UA-normalized'!$E:$E, MATCH($A247, 'UA-normalized'!$A:$A, 0))), 0), 0))+(IFERROR(IF(6*INDEX('KZ-normalized'!$D:$D, MATCH($A247, 'KZ-normalized'!$A:$A, 0))-INDEX('KZ-normalized'!$E:$E, MATCH($A247, 'KZ-normalized'!$A:$A, 0))&gt;0, -(6*INDEX('KZ-normalized'!$D:$D, MATCH($A247, 'KZ-normalized'!$A:$A, 0))-INDEX('KZ-normalized'!$E:$E, MATCH($A247, 'KZ-normalized'!$A:$A, 0))), 0), 0))+(IFERROR(IF(6*INDEX('UZ-normalized'!$D:$D, MATCH($A247, 'UZ-normalized'!$A:$A, 0))-INDEX('UZ-normalized'!$E:$E, MATCH($A247, 'UZ-normalized'!$A:$A, 0))&gt;0, -(6*INDEX('UZ-normalized'!$D:$D, MATCH($A247, 'UZ-normalized'!$A:$A, 0))-INDEX('UZ-normalized'!$E:$E, MATCH($A247, 'UZ-normalized'!$A:$A, 0))), 0), 0)))</f>
        <v>0</v>
      </c>
      <c r="U247" s="6">
        <f>MIN(0, N247+(IFERROR(IF(7*INDEX('UA-normalized'!$D:$D, MATCH($A247, 'UA-normalized'!$A:$A, 0))-INDEX('UA-normalized'!$E:$E, MATCH($A247, 'UA-normalized'!$A:$A, 0))&gt;0, -(7*INDEX('UA-normalized'!$D:$D, MATCH($A247, 'UA-normalized'!$A:$A, 0))-INDEX('UA-normalized'!$E:$E, MATCH($A247, 'UA-normalized'!$A:$A, 0))), 0), 0))+(IFERROR(IF(7*INDEX('KZ-normalized'!$D:$D, MATCH($A247, 'KZ-normalized'!$A:$A, 0))-INDEX('KZ-normalized'!$E:$E, MATCH($A247, 'KZ-normalized'!$A:$A, 0))&gt;0, -(7*INDEX('KZ-normalized'!$D:$D, MATCH($A247, 'KZ-normalized'!$A:$A, 0))-INDEX('KZ-normalized'!$E:$E, MATCH($A247, 'KZ-normalized'!$A:$A, 0))), 0), 0))+(IFERROR(IF(7*INDEX('UZ-normalized'!$D:$D, MATCH($A247, 'UZ-normalized'!$A:$A, 0))-INDEX('UZ-normalized'!$E:$E, MATCH($A247, 'UZ-normalized'!$A:$A, 0))&gt;0, -(7*INDEX('UZ-normalized'!$D:$D, MATCH($A247, 'UZ-normalized'!$A:$A, 0))-INDEX('UZ-normalized'!$E:$E, MATCH($A247, 'UZ-normalized'!$A:$A, 0))), 0), 0)))</f>
        <v>0</v>
      </c>
      <c r="V247" s="6">
        <f>MIN(0, N247+(IFERROR(IF(8*INDEX('UA-normalized'!$D:$D, MATCH($A247, 'UA-normalized'!$A:$A, 0))-INDEX('UA-normalized'!$E:$E, MATCH($A247, 'UA-normalized'!$A:$A, 0))&gt;0, -(8*INDEX('UA-normalized'!$D:$D, MATCH($A247, 'UA-normalized'!$A:$A, 0))-INDEX('UA-normalized'!$E:$E, MATCH($A247, 'UA-normalized'!$A:$A, 0))), 0), 0))+(IFERROR(IF(8*INDEX('KZ-normalized'!$D:$D, MATCH($A247, 'KZ-normalized'!$A:$A, 0))-INDEX('KZ-normalized'!$E:$E, MATCH($A247, 'KZ-normalized'!$A:$A, 0))&gt;0, -(8*INDEX('KZ-normalized'!$D:$D, MATCH($A247, 'KZ-normalized'!$A:$A, 0))-INDEX('KZ-normalized'!$E:$E, MATCH($A247, 'KZ-normalized'!$A:$A, 0))), 0), 0))+(IFERROR(IF(8*INDEX('UZ-normalized'!$D:$D, MATCH($A247, 'UZ-normalized'!$A:$A, 0))-INDEX('UZ-normalized'!$E:$E, MATCH($A247, 'UZ-normalized'!$A:$A, 0))&gt;0, -(8*INDEX('UZ-normalized'!$D:$D, MATCH($A247, 'UZ-normalized'!$A:$A, 0))-INDEX('UZ-normalized'!$E:$E, MATCH($A247, 'UZ-normalized'!$A:$A, 0))), 0), 0)))</f>
        <v>0</v>
      </c>
      <c r="W247" s="6">
        <f>MIN(0, N247+(IFERROR(IF(9*INDEX('UA-normalized'!$D:$D, MATCH($A247, 'UA-normalized'!$A:$A, 0))-INDEX('UA-normalized'!$E:$E, MATCH($A247, 'UA-normalized'!$A:$A, 0))&gt;0, -(9*INDEX('UA-normalized'!$D:$D, MATCH($A247, 'UA-normalized'!$A:$A, 0))-INDEX('UA-normalized'!$E:$E, MATCH($A247, 'UA-normalized'!$A:$A, 0))), 0), 0))+(IFERROR(IF(9*INDEX('KZ-normalized'!$D:$D, MATCH($A247, 'KZ-normalized'!$A:$A, 0))-INDEX('KZ-normalized'!$E:$E, MATCH($A247, 'KZ-normalized'!$A:$A, 0))&gt;0, -(9*INDEX('KZ-normalized'!$D:$D, MATCH($A247, 'KZ-normalized'!$A:$A, 0))-INDEX('KZ-normalized'!$E:$E, MATCH($A247, 'KZ-normalized'!$A:$A, 0))), 0), 0))+(IFERROR(IF(9*INDEX('UZ-normalized'!$D:$D, MATCH($A247, 'UZ-normalized'!$A:$A, 0))-INDEX('UZ-normalized'!$E:$E, MATCH($A247, 'UZ-normalized'!$A:$A, 0))&gt;0, -(9*INDEX('UZ-normalized'!$D:$D, MATCH($A247, 'UZ-normalized'!$A:$A, 0))-INDEX('UZ-normalized'!$E:$E, MATCH($A247, 'UZ-normalized'!$A:$A, 0))), 0), 0)))</f>
        <v>0</v>
      </c>
      <c r="X247" s="6">
        <f>MIN(0, N247+(IFERROR(IF(10*INDEX('UA-normalized'!$D:$D, MATCH($A247, 'UA-normalized'!$A:$A, 0))-INDEX('UA-normalized'!$E:$E, MATCH($A247, 'UA-normalized'!$A:$A, 0))&gt;0, -(10*INDEX('UA-normalized'!$D:$D, MATCH($A247, 'UA-normalized'!$A:$A, 0))-INDEX('UA-normalized'!$E:$E, MATCH($A247, 'UA-normalized'!$A:$A, 0))), 0), 0))+(IFERROR(IF(10*INDEX('KZ-normalized'!$D:$D, MATCH($A247, 'KZ-normalized'!$A:$A, 0))-INDEX('KZ-normalized'!$E:$E, MATCH($A247, 'KZ-normalized'!$A:$A, 0))&gt;0, -(10*INDEX('KZ-normalized'!$D:$D, MATCH($A247, 'KZ-normalized'!$A:$A, 0))-INDEX('KZ-normalized'!$E:$E, MATCH($A247, 'KZ-normalized'!$A:$A, 0))), 0), 0))+(IFERROR(IF(10*INDEX('UZ-normalized'!$D:$D, MATCH($A247, 'UZ-normalized'!$A:$A, 0))-INDEX('UZ-normalized'!$E:$E, MATCH($A247, 'UZ-normalized'!$A:$A, 0))&gt;0, -(10*INDEX('UZ-normalized'!$D:$D, MATCH($A247, 'UZ-normalized'!$A:$A, 0))-INDEX('UZ-normalized'!$E:$E, MATCH($A247, 'UZ-normalized'!$A:$A, 0))), 0), 0)))</f>
        <v>0</v>
      </c>
      <c r="Y247" s="6">
        <f>MIN(0, N247+(IFERROR(IF(11*INDEX('UA-normalized'!$D:$D, MATCH($A247, 'UA-normalized'!$A:$A, 0))-INDEX('UA-normalized'!$E:$E, MATCH($A247, 'UA-normalized'!$A:$A, 0))&gt;0, -(11*INDEX('UA-normalized'!$D:$D, MATCH($A247, 'UA-normalized'!$A:$A, 0))-INDEX('UA-normalized'!$E:$E, MATCH($A247, 'UA-normalized'!$A:$A, 0))), 0), 0))+(IFERROR(IF(11*INDEX('KZ-normalized'!$D:$D, MATCH($A247, 'KZ-normalized'!$A:$A, 0))-INDEX('KZ-normalized'!$E:$E, MATCH($A247, 'KZ-normalized'!$A:$A, 0))&gt;0, -(11*INDEX('KZ-normalized'!$D:$D, MATCH($A247, 'KZ-normalized'!$A:$A, 0))-INDEX('KZ-normalized'!$E:$E, MATCH($A247, 'KZ-normalized'!$A:$A, 0))), 0), 0))+(IFERROR(IF(11*INDEX('UZ-normalized'!$D:$D, MATCH($A247, 'UZ-normalized'!$A:$A, 0))-INDEX('UZ-normalized'!$E:$E, MATCH($A247, 'UZ-normalized'!$A:$A, 0))&gt;0, -(11*INDEX('UZ-normalized'!$D:$D, MATCH($A247, 'UZ-normalized'!$A:$A, 0))-INDEX('UZ-normalized'!$E:$E, MATCH($A247, 'UZ-normalized'!$A:$A, 0))), 0), 0)))</f>
        <v>0</v>
      </c>
      <c r="Z247" s="6">
        <f>MIN(0, N247+(IFERROR(IF(12*INDEX('UA-normalized'!$D:$D, MATCH($A247, 'UA-normalized'!$A:$A, 0))-INDEX('UA-normalized'!$E:$E, MATCH($A247, 'UA-normalized'!$A:$A, 0))&gt;0, -(12*INDEX('UA-normalized'!$D:$D, MATCH($A247, 'UA-normalized'!$A:$A, 0))-INDEX('UA-normalized'!$E:$E, MATCH($A247, 'UA-normalized'!$A:$A, 0))), 0), 0))+(IFERROR(IF(12*INDEX('KZ-normalized'!$D:$D, MATCH($A247, 'KZ-normalized'!$A:$A, 0))-INDEX('KZ-normalized'!$E:$E, MATCH($A247, 'KZ-normalized'!$A:$A, 0))&gt;0, -(12*INDEX('KZ-normalized'!$D:$D, MATCH($A247, 'KZ-normalized'!$A:$A, 0))-INDEX('KZ-normalized'!$E:$E, MATCH($A247, 'KZ-normalized'!$A:$A, 0))), 0), 0))+(IFERROR(IF(12*INDEX('UZ-normalized'!$D:$D, MATCH($A247, 'UZ-normalized'!$A:$A, 0))-INDEX('UZ-normalized'!$E:$E, MATCH($A247, 'UZ-normalized'!$A:$A, 0))&gt;0, -(12*INDEX('UZ-normalized'!$D:$D, MATCH($A247, 'UZ-normalized'!$A:$A, 0))-INDEX('UZ-normalized'!$E:$E, MATCH($A247, 'UZ-normalized'!$A:$A, 0))), 0), 0)))</f>
        <v>0</v>
      </c>
      <c r="AA247" s="6">
        <f>MIN(0, N247+(IFERROR(IF(13*INDEX('UA-normalized'!$D:$D, MATCH($A247, 'UA-normalized'!$A:$A, 0))-INDEX('UA-normalized'!$E:$E, MATCH($A247, 'UA-normalized'!$A:$A, 0))&gt;0, -(13*INDEX('UA-normalized'!$D:$D, MATCH($A247, 'UA-normalized'!$A:$A, 0))-INDEX('UA-normalized'!$E:$E, MATCH($A247, 'UA-normalized'!$A:$A, 0))), 0), 0))+(IFERROR(IF(13*INDEX('KZ-normalized'!$D:$D, MATCH($A247, 'KZ-normalized'!$A:$A, 0))-INDEX('KZ-normalized'!$E:$E, MATCH($A247, 'KZ-normalized'!$A:$A, 0))&gt;0, -(13*INDEX('KZ-normalized'!$D:$D, MATCH($A247, 'KZ-normalized'!$A:$A, 0))-INDEX('KZ-normalized'!$E:$E, MATCH($A247, 'KZ-normalized'!$A:$A, 0))), 0), 0))+(IFERROR(IF(13*INDEX('UZ-normalized'!$D:$D, MATCH($A247, 'UZ-normalized'!$A:$A, 0))-INDEX('UZ-normalized'!$E:$E, MATCH($A247, 'UZ-normalized'!$A:$A, 0))&gt;0, -(13*INDEX('UZ-normalized'!$D:$D, MATCH($A247, 'UZ-normalized'!$A:$A, 0))-INDEX('UZ-normalized'!$E:$E, MATCH($A247, 'UZ-normalized'!$A:$A, 0))), 0), 0)))</f>
        <v>0</v>
      </c>
      <c r="AB247" s="6">
        <f>MIN(0, N247+(IFERROR(IF(14*INDEX('UA-normalized'!$D:$D, MATCH($A247, 'UA-normalized'!$A:$A, 0))-INDEX('UA-normalized'!$E:$E, MATCH($A247, 'UA-normalized'!$A:$A, 0))&gt;0, -(14*INDEX('UA-normalized'!$D:$D, MATCH($A247, 'UA-normalized'!$A:$A, 0))-INDEX('UA-normalized'!$E:$E, MATCH($A247, 'UA-normalized'!$A:$A, 0))), 0), 0))+(IFERROR(IF(14*INDEX('KZ-normalized'!$D:$D, MATCH($A247, 'KZ-normalized'!$A:$A, 0))-INDEX('KZ-normalized'!$E:$E, MATCH($A247, 'KZ-normalized'!$A:$A, 0))&gt;0, -(14*INDEX('KZ-normalized'!$D:$D, MATCH($A247, 'KZ-normalized'!$A:$A, 0))-INDEX('KZ-normalized'!$E:$E, MATCH($A247, 'KZ-normalized'!$A:$A, 0))), 0), 0))+(IFERROR(IF(14*INDEX('UZ-normalized'!$D:$D, MATCH($A247, 'UZ-normalized'!$A:$A, 0))-INDEX('UZ-normalized'!$E:$E, MATCH($A247, 'UZ-normalized'!$A:$A, 0))&gt;0, -(14*INDEX('UZ-normalized'!$D:$D, MATCH($A247, 'UZ-normalized'!$A:$A, 0))-INDEX('UZ-normalized'!$E:$E, MATCH($A247, 'UZ-normalized'!$A:$A, 0))), 0), 0)))</f>
        <v>0</v>
      </c>
      <c r="AC247" s="6">
        <f>MIN(0, N247+(IFERROR(IF(15*INDEX('UA-normalized'!$D:$D, MATCH($A247, 'UA-normalized'!$A:$A, 0))-INDEX('UA-normalized'!$E:$E, MATCH($A247, 'UA-normalized'!$A:$A, 0))&gt;0, -(15*INDEX('UA-normalized'!$D:$D, MATCH($A247, 'UA-normalized'!$A:$A, 0))-INDEX('UA-normalized'!$E:$E, MATCH($A247, 'UA-normalized'!$A:$A, 0))), 0), 0))+(IFERROR(IF(15*INDEX('KZ-normalized'!$D:$D, MATCH($A247, 'KZ-normalized'!$A:$A, 0))-INDEX('KZ-normalized'!$E:$E, MATCH($A247, 'KZ-normalized'!$A:$A, 0))&gt;0, -(15*INDEX('KZ-normalized'!$D:$D, MATCH($A247, 'KZ-normalized'!$A:$A, 0))-INDEX('KZ-normalized'!$E:$E, MATCH($A247, 'KZ-normalized'!$A:$A, 0))), 0), 0))+(IFERROR(IF(15*INDEX('UZ-normalized'!$D:$D, MATCH($A247, 'UZ-normalized'!$A:$A, 0))-INDEX('UZ-normalized'!$E:$E, MATCH($A247, 'UZ-normalized'!$A:$A, 0))&gt;0, -(15*INDEX('UZ-normalized'!$D:$D, MATCH($A247, 'UZ-normalized'!$A:$A, 0))-INDEX('UZ-normalized'!$E:$E, MATCH($A247, 'UZ-normalized'!$A:$A, 0))), 0), 0)))</f>
        <v>0</v>
      </c>
      <c r="AD247" s="6">
        <f>MIN(0, N247+(IFERROR(IF(16*INDEX('UA-normalized'!$D:$D, MATCH($A247, 'UA-normalized'!$A:$A, 0))-INDEX('UA-normalized'!$E:$E, MATCH($A247, 'UA-normalized'!$A:$A, 0))&gt;0, -(16*INDEX('UA-normalized'!$D:$D, MATCH($A247, 'UA-normalized'!$A:$A, 0))-INDEX('UA-normalized'!$E:$E, MATCH($A247, 'UA-normalized'!$A:$A, 0))), 0), 0))+(IFERROR(IF(16*INDEX('KZ-normalized'!$D:$D, MATCH($A247, 'KZ-normalized'!$A:$A, 0))-INDEX('KZ-normalized'!$E:$E, MATCH($A247, 'KZ-normalized'!$A:$A, 0))&gt;0, -(16*INDEX('KZ-normalized'!$D:$D, MATCH($A247, 'KZ-normalized'!$A:$A, 0))-INDEX('KZ-normalized'!$E:$E, MATCH($A247, 'KZ-normalized'!$A:$A, 0))), 0), 0))+(IFERROR(IF(16*INDEX('UZ-normalized'!$D:$D, MATCH($A247, 'UZ-normalized'!$A:$A, 0))-INDEX('UZ-normalized'!$E:$E, MATCH($A247, 'UZ-normalized'!$A:$A, 0))&gt;0, -(16*INDEX('UZ-normalized'!$D:$D, MATCH($A247, 'UZ-normalized'!$A:$A, 0))-INDEX('UZ-normalized'!$E:$E, MATCH($A247, 'UZ-normalized'!$A:$A, 0))), 0), 0)))</f>
        <v>0</v>
      </c>
      <c r="AE247" s="6">
        <f>MIN(0, N247+(IFERROR(IF(17*INDEX('UA-normalized'!$D:$D, MATCH($A247, 'UA-normalized'!$A:$A, 0))-INDEX('UA-normalized'!$E:$E, MATCH($A247, 'UA-normalized'!$A:$A, 0))&gt;0, -(17*INDEX('UA-normalized'!$D:$D, MATCH($A247, 'UA-normalized'!$A:$A, 0))-INDEX('UA-normalized'!$E:$E, MATCH($A247, 'UA-normalized'!$A:$A, 0))), 0), 0))+(IFERROR(IF(17*INDEX('KZ-normalized'!$D:$D, MATCH($A247, 'KZ-normalized'!$A:$A, 0))-INDEX('KZ-normalized'!$E:$E, MATCH($A247, 'KZ-normalized'!$A:$A, 0))&gt;0, -(17*INDEX('KZ-normalized'!$D:$D, MATCH($A247, 'KZ-normalized'!$A:$A, 0))-INDEX('KZ-normalized'!$E:$E, MATCH($A247, 'KZ-normalized'!$A:$A, 0))), 0), 0))+(IFERROR(IF(17*INDEX('UZ-normalized'!$D:$D, MATCH($A247, 'UZ-normalized'!$A:$A, 0))-INDEX('UZ-normalized'!$E:$E, MATCH($A247, 'UZ-normalized'!$A:$A, 0))&gt;0, -(17*INDEX('UZ-normalized'!$D:$D, MATCH($A247, 'UZ-normalized'!$A:$A, 0))-INDEX('UZ-normalized'!$E:$E, MATCH($A247, 'UZ-normalized'!$A:$A, 0))), 0), 0)))</f>
        <v>0</v>
      </c>
      <c r="AF247" s="6">
        <f>MIN(0, N247+(IFERROR(IF(18*INDEX('UA-normalized'!$D:$D, MATCH($A247, 'UA-normalized'!$A:$A, 0))-INDEX('UA-normalized'!$E:$E, MATCH($A247, 'UA-normalized'!$A:$A, 0))&gt;0, -(18*INDEX('UA-normalized'!$D:$D, MATCH($A247, 'UA-normalized'!$A:$A, 0))-INDEX('UA-normalized'!$E:$E, MATCH($A247, 'UA-normalized'!$A:$A, 0))), 0), 0))+(IFERROR(IF(18*INDEX('KZ-normalized'!$D:$D, MATCH($A247, 'KZ-normalized'!$A:$A, 0))-INDEX('KZ-normalized'!$E:$E, MATCH($A247, 'KZ-normalized'!$A:$A, 0))&gt;0, -(18*INDEX('KZ-normalized'!$D:$D, MATCH($A247, 'KZ-normalized'!$A:$A, 0))-INDEX('KZ-normalized'!$E:$E, MATCH($A247, 'KZ-normalized'!$A:$A, 0))), 0), 0))+(IFERROR(IF(18*INDEX('UZ-normalized'!$D:$D, MATCH($A247, 'UZ-normalized'!$A:$A, 0))-INDEX('UZ-normalized'!$E:$E, MATCH($A247, 'UZ-normalized'!$A:$A, 0))&gt;0, -(18*INDEX('UZ-normalized'!$D:$D, MATCH($A247, 'UZ-normalized'!$A:$A, 0))-INDEX('UZ-normalized'!$E:$E, MATCH($A247, 'UZ-normalized'!$A:$A, 0))), 0), 0)))</f>
        <v>0</v>
      </c>
      <c r="AG247" s="6">
        <f>MIN(0, N247+(IFERROR(IF(19*INDEX('UA-normalized'!$D:$D, MATCH($A247, 'UA-normalized'!$A:$A, 0))-INDEX('UA-normalized'!$E:$E, MATCH($A247, 'UA-normalized'!$A:$A, 0))&gt;0, -(19*INDEX('UA-normalized'!$D:$D, MATCH($A247, 'UA-normalized'!$A:$A, 0))-INDEX('UA-normalized'!$E:$E, MATCH($A247, 'UA-normalized'!$A:$A, 0))), 0), 0))+(IFERROR(IF(19*INDEX('KZ-normalized'!$D:$D, MATCH($A247, 'KZ-normalized'!$A:$A, 0))-INDEX('KZ-normalized'!$E:$E, MATCH($A247, 'KZ-normalized'!$A:$A, 0))&gt;0, -(19*INDEX('KZ-normalized'!$D:$D, MATCH($A247, 'KZ-normalized'!$A:$A, 0))-INDEX('KZ-normalized'!$E:$E, MATCH($A247, 'KZ-normalized'!$A:$A, 0))), 0), 0))+(IFERROR(IF(19*INDEX('UZ-normalized'!$D:$D, MATCH($A247, 'UZ-normalized'!$A:$A, 0))-INDEX('UZ-normalized'!$E:$E, MATCH($A247, 'UZ-normalized'!$A:$A, 0))&gt;0, -(19*INDEX('UZ-normalized'!$D:$D, MATCH($A247, 'UZ-normalized'!$A:$A, 0))-INDEX('UZ-normalized'!$E:$E, MATCH($A247, 'UZ-normalized'!$A:$A, 0))), 0), 0)))</f>
        <v>0</v>
      </c>
      <c r="AH247" s="6">
        <f>MIN(0, N247+(IFERROR(IF(20*INDEX('UA-normalized'!$D:$D, MATCH($A247, 'UA-normalized'!$A:$A, 0))-INDEX('UA-normalized'!$E:$E, MATCH($A247, 'UA-normalized'!$A:$A, 0))&gt;0, -(20*INDEX('UA-normalized'!$D:$D, MATCH($A247, 'UA-normalized'!$A:$A, 0))-INDEX('UA-normalized'!$E:$E, MATCH($A247, 'UA-normalized'!$A:$A, 0))), 0), 0))+(IFERROR(IF(20*INDEX('KZ-normalized'!$D:$D, MATCH($A247, 'KZ-normalized'!$A:$A, 0))-INDEX('KZ-normalized'!$E:$E, MATCH($A247, 'KZ-normalized'!$A:$A, 0))&gt;0, -(20*INDEX('KZ-normalized'!$D:$D, MATCH($A247, 'KZ-normalized'!$A:$A, 0))-INDEX('KZ-normalized'!$E:$E, MATCH($A247, 'KZ-normalized'!$A:$A, 0))), 0), 0))+(IFERROR(IF(20*INDEX('UZ-normalized'!$D:$D, MATCH($A247, 'UZ-normalized'!$A:$A, 0))-INDEX('UZ-normalized'!$E:$E, MATCH($A247, 'UZ-normalized'!$A:$A, 0))&gt;0, -(20*INDEX('UZ-normalized'!$D:$D, MATCH($A247, 'UZ-normalized'!$A:$A, 0))-INDEX('UZ-normalized'!$E:$E, MATCH($A247, 'UZ-normalized'!$A:$A, 0))), 0), 0)))</f>
        <v>0</v>
      </c>
      <c r="AI247" s="6">
        <f>MIN(0, N247+(IFERROR(IF(21*INDEX('UA-normalized'!$D:$D, MATCH($A247, 'UA-normalized'!$A:$A, 0))-INDEX('UA-normalized'!$E:$E, MATCH($A247, 'UA-normalized'!$A:$A, 0))&gt;0, -(21*INDEX('UA-normalized'!$D:$D, MATCH($A247, 'UA-normalized'!$A:$A, 0))-INDEX('UA-normalized'!$E:$E, MATCH($A247, 'UA-normalized'!$A:$A, 0))), 0), 0))+(IFERROR(IF(21*INDEX('KZ-normalized'!$D:$D, MATCH($A247, 'KZ-normalized'!$A:$A, 0))-INDEX('KZ-normalized'!$E:$E, MATCH($A247, 'KZ-normalized'!$A:$A, 0))&gt;0, -(21*INDEX('KZ-normalized'!$D:$D, MATCH($A247, 'KZ-normalized'!$A:$A, 0))-INDEX('KZ-normalized'!$E:$E, MATCH($A247, 'KZ-normalized'!$A:$A, 0))), 0), 0))+(IFERROR(IF(21*INDEX('UZ-normalized'!$D:$D, MATCH($A247, 'UZ-normalized'!$A:$A, 0))-INDEX('UZ-normalized'!$E:$E, MATCH($A247, 'UZ-normalized'!$A:$A, 0))&gt;0, -(21*INDEX('UZ-normalized'!$D:$D, MATCH($A247, 'UZ-normalized'!$A:$A, 0))-INDEX('UZ-normalized'!$E:$E, MATCH($A247, 'UZ-normalized'!$A:$A, 0))), 0), 0)))</f>
        <v>0</v>
      </c>
      <c r="AJ247" s="6">
        <f>MIN(0, N247+(IFERROR(IF(22*INDEX('UA-normalized'!$D:$D, MATCH($A247, 'UA-normalized'!$A:$A, 0))-INDEX('UA-normalized'!$E:$E, MATCH($A247, 'UA-normalized'!$A:$A, 0))&gt;0, -(22*INDEX('UA-normalized'!$D:$D, MATCH($A247, 'UA-normalized'!$A:$A, 0))-INDEX('UA-normalized'!$E:$E, MATCH($A247, 'UA-normalized'!$A:$A, 0))), 0), 0))+(IFERROR(IF(22*INDEX('KZ-normalized'!$D:$D, MATCH($A247, 'KZ-normalized'!$A:$A, 0))-INDEX('KZ-normalized'!$E:$E, MATCH($A247, 'KZ-normalized'!$A:$A, 0))&gt;0, -(22*INDEX('KZ-normalized'!$D:$D, MATCH($A247, 'KZ-normalized'!$A:$A, 0))-INDEX('KZ-normalized'!$E:$E, MATCH($A247, 'KZ-normalized'!$A:$A, 0))), 0), 0))+(IFERROR(IF(22*INDEX('UZ-normalized'!$D:$D, MATCH($A247, 'UZ-normalized'!$A:$A, 0))-INDEX('UZ-normalized'!$E:$E, MATCH($A247, 'UZ-normalized'!$A:$A, 0))&gt;0, -(22*INDEX('UZ-normalized'!$D:$D, MATCH($A247, 'UZ-normalized'!$A:$A, 0))-INDEX('UZ-normalized'!$E:$E, MATCH($A247, 'UZ-normalized'!$A:$A, 0))), 0), 0)))</f>
        <v>0</v>
      </c>
      <c r="AK247" s="6">
        <f>MIN(0, N247+(IFERROR(IF(23*INDEX('UA-normalized'!$D:$D, MATCH($A247, 'UA-normalized'!$A:$A, 0))-INDEX('UA-normalized'!$E:$E, MATCH($A247, 'UA-normalized'!$A:$A, 0))&gt;0, -(23*INDEX('UA-normalized'!$D:$D, MATCH($A247, 'UA-normalized'!$A:$A, 0))-INDEX('UA-normalized'!$E:$E, MATCH($A247, 'UA-normalized'!$A:$A, 0))), 0), 0))+(IFERROR(IF(23*INDEX('KZ-normalized'!$D:$D, MATCH($A247, 'KZ-normalized'!$A:$A, 0))-INDEX('KZ-normalized'!$E:$E, MATCH($A247, 'KZ-normalized'!$A:$A, 0))&gt;0, -(23*INDEX('KZ-normalized'!$D:$D, MATCH($A247, 'KZ-normalized'!$A:$A, 0))-INDEX('KZ-normalized'!$E:$E, MATCH($A247, 'KZ-normalized'!$A:$A, 0))), 0), 0))+(IFERROR(IF(23*INDEX('UZ-normalized'!$D:$D, MATCH($A247, 'UZ-normalized'!$A:$A, 0))-INDEX('UZ-normalized'!$E:$E, MATCH($A247, 'UZ-normalized'!$A:$A, 0))&gt;0, -(23*INDEX('UZ-normalized'!$D:$D, MATCH($A247, 'UZ-normalized'!$A:$A, 0))-INDEX('UZ-normalized'!$E:$E, MATCH($A247, 'UZ-normalized'!$A:$A, 0))), 0), 0)))</f>
        <v>0</v>
      </c>
      <c r="AL247" s="6">
        <f>MIN(0, N247+(IFERROR(IF(24*INDEX('UA-normalized'!$D:$D, MATCH($A247, 'UA-normalized'!$A:$A, 0))-INDEX('UA-normalized'!$E:$E, MATCH($A247, 'UA-normalized'!$A:$A, 0))&gt;0, -(24*INDEX('UA-normalized'!$D:$D, MATCH($A247, 'UA-normalized'!$A:$A, 0))-INDEX('UA-normalized'!$E:$E, MATCH($A247, 'UA-normalized'!$A:$A, 0))), 0), 0))+(IFERROR(IF(24*INDEX('KZ-normalized'!$D:$D, MATCH($A247, 'KZ-normalized'!$A:$A, 0))-INDEX('KZ-normalized'!$E:$E, MATCH($A247, 'KZ-normalized'!$A:$A, 0))&gt;0, -(24*INDEX('KZ-normalized'!$D:$D, MATCH($A247, 'KZ-normalized'!$A:$A, 0))-INDEX('KZ-normalized'!$E:$E, MATCH($A247, 'KZ-normalized'!$A:$A, 0))), 0), 0))+(IFERROR(IF(24*INDEX('UZ-normalized'!$D:$D, MATCH($A247, 'UZ-normalized'!$A:$A, 0))-INDEX('UZ-normalized'!$E:$E, MATCH($A247, 'UZ-normalized'!$A:$A, 0))&gt;0, -(24*INDEX('UZ-normalized'!$D:$D, MATCH($A247, 'UZ-normalized'!$A:$A, 0))-INDEX('UZ-normalized'!$E:$E, MATCH($A247, 'UZ-normalized'!$A:$A, 0))), 0), 0)))</f>
        <v>0</v>
      </c>
      <c r="AM247" s="6">
        <f>MIN(0, N247+(IFERROR(IF(25*INDEX('UA-normalized'!$D:$D, MATCH($A247, 'UA-normalized'!$A:$A, 0))-INDEX('UA-normalized'!$E:$E, MATCH($A247, 'UA-normalized'!$A:$A, 0))&gt;0, -(25*INDEX('UA-normalized'!$D:$D, MATCH($A247, 'UA-normalized'!$A:$A, 0))-INDEX('UA-normalized'!$E:$E, MATCH($A247, 'UA-normalized'!$A:$A, 0))), 0), 0))+(IFERROR(IF(25*INDEX('KZ-normalized'!$D:$D, MATCH($A247, 'KZ-normalized'!$A:$A, 0))-INDEX('KZ-normalized'!$E:$E, MATCH($A247, 'KZ-normalized'!$A:$A, 0))&gt;0, -(25*INDEX('KZ-normalized'!$D:$D, MATCH($A247, 'KZ-normalized'!$A:$A, 0))-INDEX('KZ-normalized'!$E:$E, MATCH($A247, 'KZ-normalized'!$A:$A, 0))), 0), 0))+(IFERROR(IF(25*INDEX('UZ-normalized'!$D:$D, MATCH($A247, 'UZ-normalized'!$A:$A, 0))-INDEX('UZ-normalized'!$E:$E, MATCH($A247, 'UZ-normalized'!$A:$A, 0))&gt;0, -(25*INDEX('UZ-normalized'!$D:$D, MATCH($A247, 'UZ-normalized'!$A:$A, 0))-INDEX('UZ-normalized'!$E:$E, MATCH($A247, 'UZ-normalized'!$A:$A, 0))), 0), 0)))</f>
        <v>0</v>
      </c>
      <c r="AN247" s="6">
        <f>MIN(0, N247+(IFERROR(IF(26*INDEX('UA-normalized'!$D:$D, MATCH($A247, 'UA-normalized'!$A:$A, 0))-INDEX('UA-normalized'!$E:$E, MATCH($A247, 'UA-normalized'!$A:$A, 0))&gt;0, -(26*INDEX('UA-normalized'!$D:$D, MATCH($A247, 'UA-normalized'!$A:$A, 0))-INDEX('UA-normalized'!$E:$E, MATCH($A247, 'UA-normalized'!$A:$A, 0))), 0), 0))+(IFERROR(IF(26*INDEX('KZ-normalized'!$D:$D, MATCH($A247, 'KZ-normalized'!$A:$A, 0))-INDEX('KZ-normalized'!$E:$E, MATCH($A247, 'KZ-normalized'!$A:$A, 0))&gt;0, -(26*INDEX('KZ-normalized'!$D:$D, MATCH($A247, 'KZ-normalized'!$A:$A, 0))-INDEX('KZ-normalized'!$E:$E, MATCH($A247, 'KZ-normalized'!$A:$A, 0))), 0), 0))+(IFERROR(IF(26*INDEX('UZ-normalized'!$D:$D, MATCH($A247, 'UZ-normalized'!$A:$A, 0))-INDEX('UZ-normalized'!$E:$E, MATCH($A247, 'UZ-normalized'!$A:$A, 0))&gt;0, -(26*INDEX('UZ-normalized'!$D:$D, MATCH($A247, 'UZ-normalized'!$A:$A, 0))-INDEX('UZ-normalized'!$E:$E, MATCH($A247, 'UZ-normalized'!$A:$A, 0))), 0), 0)))</f>
        <v>0</v>
      </c>
      <c r="AO247" s="6">
        <f>MIN(0, N247+(IFERROR(IF(27*INDEX('UA-normalized'!$D:$D, MATCH($A247, 'UA-normalized'!$A:$A, 0))-INDEX('UA-normalized'!$E:$E, MATCH($A247, 'UA-normalized'!$A:$A, 0))&gt;0, -(27*INDEX('UA-normalized'!$D:$D, MATCH($A247, 'UA-normalized'!$A:$A, 0))-INDEX('UA-normalized'!$E:$E, MATCH($A247, 'UA-normalized'!$A:$A, 0))), 0), 0))+(IFERROR(IF(27*INDEX('KZ-normalized'!$D:$D, MATCH($A247, 'KZ-normalized'!$A:$A, 0))-INDEX('KZ-normalized'!$E:$E, MATCH($A247, 'KZ-normalized'!$A:$A, 0))&gt;0, -(27*INDEX('KZ-normalized'!$D:$D, MATCH($A247, 'KZ-normalized'!$A:$A, 0))-INDEX('KZ-normalized'!$E:$E, MATCH($A247, 'KZ-normalized'!$A:$A, 0))), 0), 0))+(IFERROR(IF(27*INDEX('UZ-normalized'!$D:$D, MATCH($A247, 'UZ-normalized'!$A:$A, 0))-INDEX('UZ-normalized'!$E:$E, MATCH($A247, 'UZ-normalized'!$A:$A, 0))&gt;0, -(27*INDEX('UZ-normalized'!$D:$D, MATCH($A247, 'UZ-normalized'!$A:$A, 0))-INDEX('UZ-normalized'!$E:$E, MATCH($A247, 'UZ-normalized'!$A:$A, 0))), 0), 0)))</f>
        <v>0</v>
      </c>
      <c r="AP247" s="6">
        <f>MIN(0, N247+(IFERROR(IF(28*INDEX('UA-normalized'!$D:$D, MATCH($A247, 'UA-normalized'!$A:$A, 0))-INDEX('UA-normalized'!$E:$E, MATCH($A247, 'UA-normalized'!$A:$A, 0))&gt;0, -(28*INDEX('UA-normalized'!$D:$D, MATCH($A247, 'UA-normalized'!$A:$A, 0))-INDEX('UA-normalized'!$E:$E, MATCH($A247, 'UA-normalized'!$A:$A, 0))), 0), 0))+(IFERROR(IF(28*INDEX('KZ-normalized'!$D:$D, MATCH($A247, 'KZ-normalized'!$A:$A, 0))-INDEX('KZ-normalized'!$E:$E, MATCH($A247, 'KZ-normalized'!$A:$A, 0))&gt;0, -(28*INDEX('KZ-normalized'!$D:$D, MATCH($A247, 'KZ-normalized'!$A:$A, 0))-INDEX('KZ-normalized'!$E:$E, MATCH($A247, 'KZ-normalized'!$A:$A, 0))), 0), 0))+(IFERROR(IF(28*INDEX('UZ-normalized'!$D:$D, MATCH($A247, 'UZ-normalized'!$A:$A, 0))-INDEX('UZ-normalized'!$E:$E, MATCH($A247, 'UZ-normalized'!$A:$A, 0))&gt;0, -(28*INDEX('UZ-normalized'!$D:$D, MATCH($A247, 'UZ-normalized'!$A:$A, 0))-INDEX('UZ-normalized'!$E:$E, MATCH($A247, 'UZ-normalized'!$A:$A, 0))), 0), 0)))</f>
        <v>0</v>
      </c>
      <c r="AQ247" s="6">
        <f>MIN(0, N247+(IFERROR(IF(29*INDEX('UA-normalized'!$D:$D, MATCH($A247, 'UA-normalized'!$A:$A, 0))-INDEX('UA-normalized'!$E:$E, MATCH($A247, 'UA-normalized'!$A:$A, 0))&gt;0, -(29*INDEX('UA-normalized'!$D:$D, MATCH($A247, 'UA-normalized'!$A:$A, 0))-INDEX('UA-normalized'!$E:$E, MATCH($A247, 'UA-normalized'!$A:$A, 0))), 0), 0))+(IFERROR(IF(29*INDEX('KZ-normalized'!$D:$D, MATCH($A247, 'KZ-normalized'!$A:$A, 0))-INDEX('KZ-normalized'!$E:$E, MATCH($A247, 'KZ-normalized'!$A:$A, 0))&gt;0, -(29*INDEX('KZ-normalized'!$D:$D, MATCH($A247, 'KZ-normalized'!$A:$A, 0))-INDEX('KZ-normalized'!$E:$E, MATCH($A247, 'KZ-normalized'!$A:$A, 0))), 0), 0))+(IFERROR(IF(29*INDEX('UZ-normalized'!$D:$D, MATCH($A247, 'UZ-normalized'!$A:$A, 0))-INDEX('UZ-normalized'!$E:$E, MATCH($A247, 'UZ-normalized'!$A:$A, 0))&gt;0, -(29*INDEX('UZ-normalized'!$D:$D, MATCH($A247, 'UZ-normalized'!$A:$A, 0))-INDEX('UZ-normalized'!$E:$E, MATCH($A247, 'UZ-normalized'!$A:$A, 0))), 0), 0)))</f>
        <v>0</v>
      </c>
      <c r="AR247" s="6">
        <f>MIN(0, N247+(IFERROR(IF(30*INDEX('UA-normalized'!$D:$D, MATCH($A247, 'UA-normalized'!$A:$A, 0))-INDEX('UA-normalized'!$E:$E, MATCH($A247, 'UA-normalized'!$A:$A, 0))&gt;0, -(30*INDEX('UA-normalized'!$D:$D, MATCH($A247, 'UA-normalized'!$A:$A, 0))-INDEX('UA-normalized'!$E:$E, MATCH($A247, 'UA-normalized'!$A:$A, 0))), 0), 0))+(IFERROR(IF(30*INDEX('KZ-normalized'!$D:$D, MATCH($A247, 'KZ-normalized'!$A:$A, 0))-INDEX('KZ-normalized'!$E:$E, MATCH($A247, 'KZ-normalized'!$A:$A, 0))&gt;0, -(30*INDEX('KZ-normalized'!$D:$D, MATCH($A247, 'KZ-normalized'!$A:$A, 0))-INDEX('KZ-normalized'!$E:$E, MATCH($A247, 'KZ-normalized'!$A:$A, 0))), 0), 0))+(IFERROR(IF(30*INDEX('UZ-normalized'!$D:$D, MATCH($A247, 'UZ-normalized'!$A:$A, 0))-INDEX('UZ-normalized'!$E:$E, MATCH($A247, 'UZ-normalized'!$A:$A, 0))&gt;0, -(30*INDEX('UZ-normalized'!$D:$D, MATCH($A247, 'UZ-normalized'!$A:$A, 0))-INDEX('UZ-normalized'!$E:$E, MATCH($A247, 'UZ-normalized'!$A:$A, 0))), 0), 0)))</f>
        <v>0</v>
      </c>
    </row>
    <row r="248" spans="1:44" x14ac:dyDescent="0.25">
      <c r="A248" s="8" t="s">
        <v>585</v>
      </c>
      <c r="B248" s="8" t="s">
        <v>576</v>
      </c>
      <c r="C248" s="8" t="s">
        <v>586</v>
      </c>
      <c r="D248" s="8" t="s">
        <v>587</v>
      </c>
      <c r="I248">
        <v>250</v>
      </c>
      <c r="N248">
        <f t="shared" si="3"/>
        <v>250</v>
      </c>
      <c r="O248" s="6">
        <f>MIN(0, N248+(IFERROR(IF(1*INDEX('UA-normalized'!$D:$D, MATCH($A248, 'UA-normalized'!$A:$A, 0))-INDEX('UA-normalized'!$E:$E, MATCH($A248, 'UA-normalized'!$A:$A, 0))&gt;0, -(1*INDEX('UA-normalized'!$D:$D, MATCH($A248, 'UA-normalized'!$A:$A, 0))-INDEX('UA-normalized'!$E:$E, MATCH($A248, 'UA-normalized'!$A:$A, 0))), 0), 0))+(IFERROR(IF(1*INDEX('KZ-normalized'!$D:$D, MATCH($A248, 'KZ-normalized'!$A:$A, 0))-INDEX('KZ-normalized'!$E:$E, MATCH($A248, 'KZ-normalized'!$A:$A, 0))&gt;0, -(1*INDEX('KZ-normalized'!$D:$D, MATCH($A248, 'KZ-normalized'!$A:$A, 0))-INDEX('KZ-normalized'!$E:$E, MATCH($A248, 'KZ-normalized'!$A:$A, 0))), 0), 0))+(IFERROR(IF(1*INDEX('UZ-normalized'!$D:$D, MATCH($A248, 'UZ-normalized'!$A:$A, 0))-INDEX('UZ-normalized'!$E:$E, MATCH($A248, 'UZ-normalized'!$A:$A, 0))&gt;0, -(1*INDEX('UZ-normalized'!$D:$D, MATCH($A248, 'UZ-normalized'!$A:$A, 0))-INDEX('UZ-normalized'!$E:$E, MATCH($A248, 'UZ-normalized'!$A:$A, 0))), 0), 0)))</f>
        <v>0</v>
      </c>
      <c r="P248" s="6">
        <f>MIN(0, N248+(IFERROR(IF(2*INDEX('UA-normalized'!$D:$D, MATCH($A248, 'UA-normalized'!$A:$A, 0))-INDEX('UA-normalized'!$E:$E, MATCH($A248, 'UA-normalized'!$A:$A, 0))&gt;0, -(2*INDEX('UA-normalized'!$D:$D, MATCH($A248, 'UA-normalized'!$A:$A, 0))-INDEX('UA-normalized'!$E:$E, MATCH($A248, 'UA-normalized'!$A:$A, 0))), 0), 0))+(IFERROR(IF(2*INDEX('KZ-normalized'!$D:$D, MATCH($A248, 'KZ-normalized'!$A:$A, 0))-INDEX('KZ-normalized'!$E:$E, MATCH($A248, 'KZ-normalized'!$A:$A, 0))&gt;0, -(2*INDEX('KZ-normalized'!$D:$D, MATCH($A248, 'KZ-normalized'!$A:$A, 0))-INDEX('KZ-normalized'!$E:$E, MATCH($A248, 'KZ-normalized'!$A:$A, 0))), 0), 0))+(IFERROR(IF(2*INDEX('UZ-normalized'!$D:$D, MATCH($A248, 'UZ-normalized'!$A:$A, 0))-INDEX('UZ-normalized'!$E:$E, MATCH($A248, 'UZ-normalized'!$A:$A, 0))&gt;0, -(2*INDEX('UZ-normalized'!$D:$D, MATCH($A248, 'UZ-normalized'!$A:$A, 0))-INDEX('UZ-normalized'!$E:$E, MATCH($A248, 'UZ-normalized'!$A:$A, 0))), 0), 0)))</f>
        <v>0</v>
      </c>
      <c r="Q248" s="6">
        <f>MIN(0, N248+(IFERROR(IF(3*INDEX('UA-normalized'!$D:$D, MATCH($A248, 'UA-normalized'!$A:$A, 0))-INDEX('UA-normalized'!$E:$E, MATCH($A248, 'UA-normalized'!$A:$A, 0))&gt;0, -(3*INDEX('UA-normalized'!$D:$D, MATCH($A248, 'UA-normalized'!$A:$A, 0))-INDEX('UA-normalized'!$E:$E, MATCH($A248, 'UA-normalized'!$A:$A, 0))), 0), 0))+(IFERROR(IF(3*INDEX('KZ-normalized'!$D:$D, MATCH($A248, 'KZ-normalized'!$A:$A, 0))-INDEX('KZ-normalized'!$E:$E, MATCH($A248, 'KZ-normalized'!$A:$A, 0))&gt;0, -(3*INDEX('KZ-normalized'!$D:$D, MATCH($A248, 'KZ-normalized'!$A:$A, 0))-INDEX('KZ-normalized'!$E:$E, MATCH($A248, 'KZ-normalized'!$A:$A, 0))), 0), 0))+(IFERROR(IF(3*INDEX('UZ-normalized'!$D:$D, MATCH($A248, 'UZ-normalized'!$A:$A, 0))-INDEX('UZ-normalized'!$E:$E, MATCH($A248, 'UZ-normalized'!$A:$A, 0))&gt;0, -(3*INDEX('UZ-normalized'!$D:$D, MATCH($A248, 'UZ-normalized'!$A:$A, 0))-INDEX('UZ-normalized'!$E:$E, MATCH($A248, 'UZ-normalized'!$A:$A, 0))), 0), 0)))</f>
        <v>0</v>
      </c>
      <c r="R248" s="6">
        <f>MIN(0, N248+(IFERROR(IF(4*INDEX('UA-normalized'!$D:$D, MATCH($A248, 'UA-normalized'!$A:$A, 0))-INDEX('UA-normalized'!$E:$E, MATCH($A248, 'UA-normalized'!$A:$A, 0))&gt;0, -(4*INDEX('UA-normalized'!$D:$D, MATCH($A248, 'UA-normalized'!$A:$A, 0))-INDEX('UA-normalized'!$E:$E, MATCH($A248, 'UA-normalized'!$A:$A, 0))), 0), 0))+(IFERROR(IF(4*INDEX('KZ-normalized'!$D:$D, MATCH($A248, 'KZ-normalized'!$A:$A, 0))-INDEX('KZ-normalized'!$E:$E, MATCH($A248, 'KZ-normalized'!$A:$A, 0))&gt;0, -(4*INDEX('KZ-normalized'!$D:$D, MATCH($A248, 'KZ-normalized'!$A:$A, 0))-INDEX('KZ-normalized'!$E:$E, MATCH($A248, 'KZ-normalized'!$A:$A, 0))), 0), 0))+(IFERROR(IF(4*INDEX('UZ-normalized'!$D:$D, MATCH($A248, 'UZ-normalized'!$A:$A, 0))-INDEX('UZ-normalized'!$E:$E, MATCH($A248, 'UZ-normalized'!$A:$A, 0))&gt;0, -(4*INDEX('UZ-normalized'!$D:$D, MATCH($A248, 'UZ-normalized'!$A:$A, 0))-INDEX('UZ-normalized'!$E:$E, MATCH($A248, 'UZ-normalized'!$A:$A, 0))), 0), 0)))</f>
        <v>0</v>
      </c>
      <c r="S248" s="6">
        <f>MIN(0, N248+(IFERROR(IF(5*INDEX('UA-normalized'!$D:$D, MATCH($A248, 'UA-normalized'!$A:$A, 0))-INDEX('UA-normalized'!$E:$E, MATCH($A248, 'UA-normalized'!$A:$A, 0))&gt;0, -(5*INDEX('UA-normalized'!$D:$D, MATCH($A248, 'UA-normalized'!$A:$A, 0))-INDEX('UA-normalized'!$E:$E, MATCH($A248, 'UA-normalized'!$A:$A, 0))), 0), 0))+(IFERROR(IF(5*INDEX('KZ-normalized'!$D:$D, MATCH($A248, 'KZ-normalized'!$A:$A, 0))-INDEX('KZ-normalized'!$E:$E, MATCH($A248, 'KZ-normalized'!$A:$A, 0))&gt;0, -(5*INDEX('KZ-normalized'!$D:$D, MATCH($A248, 'KZ-normalized'!$A:$A, 0))-INDEX('KZ-normalized'!$E:$E, MATCH($A248, 'KZ-normalized'!$A:$A, 0))), 0), 0))+(IFERROR(IF(5*INDEX('UZ-normalized'!$D:$D, MATCH($A248, 'UZ-normalized'!$A:$A, 0))-INDEX('UZ-normalized'!$E:$E, MATCH($A248, 'UZ-normalized'!$A:$A, 0))&gt;0, -(5*INDEX('UZ-normalized'!$D:$D, MATCH($A248, 'UZ-normalized'!$A:$A, 0))-INDEX('UZ-normalized'!$E:$E, MATCH($A248, 'UZ-normalized'!$A:$A, 0))), 0), 0)))</f>
        <v>0</v>
      </c>
      <c r="T248" s="6">
        <f>MIN(0, N248+(IFERROR(IF(6*INDEX('UA-normalized'!$D:$D, MATCH($A248, 'UA-normalized'!$A:$A, 0))-INDEX('UA-normalized'!$E:$E, MATCH($A248, 'UA-normalized'!$A:$A, 0))&gt;0, -(6*INDEX('UA-normalized'!$D:$D, MATCH($A248, 'UA-normalized'!$A:$A, 0))-INDEX('UA-normalized'!$E:$E, MATCH($A248, 'UA-normalized'!$A:$A, 0))), 0), 0))+(IFERROR(IF(6*INDEX('KZ-normalized'!$D:$D, MATCH($A248, 'KZ-normalized'!$A:$A, 0))-INDEX('KZ-normalized'!$E:$E, MATCH($A248, 'KZ-normalized'!$A:$A, 0))&gt;0, -(6*INDEX('KZ-normalized'!$D:$D, MATCH($A248, 'KZ-normalized'!$A:$A, 0))-INDEX('KZ-normalized'!$E:$E, MATCH($A248, 'KZ-normalized'!$A:$A, 0))), 0), 0))+(IFERROR(IF(6*INDEX('UZ-normalized'!$D:$D, MATCH($A248, 'UZ-normalized'!$A:$A, 0))-INDEX('UZ-normalized'!$E:$E, MATCH($A248, 'UZ-normalized'!$A:$A, 0))&gt;0, -(6*INDEX('UZ-normalized'!$D:$D, MATCH($A248, 'UZ-normalized'!$A:$A, 0))-INDEX('UZ-normalized'!$E:$E, MATCH($A248, 'UZ-normalized'!$A:$A, 0))), 0), 0)))</f>
        <v>0</v>
      </c>
      <c r="U248" s="6">
        <f>MIN(0, N248+(IFERROR(IF(7*INDEX('UA-normalized'!$D:$D, MATCH($A248, 'UA-normalized'!$A:$A, 0))-INDEX('UA-normalized'!$E:$E, MATCH($A248, 'UA-normalized'!$A:$A, 0))&gt;0, -(7*INDEX('UA-normalized'!$D:$D, MATCH($A248, 'UA-normalized'!$A:$A, 0))-INDEX('UA-normalized'!$E:$E, MATCH($A248, 'UA-normalized'!$A:$A, 0))), 0), 0))+(IFERROR(IF(7*INDEX('KZ-normalized'!$D:$D, MATCH($A248, 'KZ-normalized'!$A:$A, 0))-INDEX('KZ-normalized'!$E:$E, MATCH($A248, 'KZ-normalized'!$A:$A, 0))&gt;0, -(7*INDEX('KZ-normalized'!$D:$D, MATCH($A248, 'KZ-normalized'!$A:$A, 0))-INDEX('KZ-normalized'!$E:$E, MATCH($A248, 'KZ-normalized'!$A:$A, 0))), 0), 0))+(IFERROR(IF(7*INDEX('UZ-normalized'!$D:$D, MATCH($A248, 'UZ-normalized'!$A:$A, 0))-INDEX('UZ-normalized'!$E:$E, MATCH($A248, 'UZ-normalized'!$A:$A, 0))&gt;0, -(7*INDEX('UZ-normalized'!$D:$D, MATCH($A248, 'UZ-normalized'!$A:$A, 0))-INDEX('UZ-normalized'!$E:$E, MATCH($A248, 'UZ-normalized'!$A:$A, 0))), 0), 0)))</f>
        <v>0</v>
      </c>
      <c r="V248" s="6">
        <f>MIN(0, N248+(IFERROR(IF(8*INDEX('UA-normalized'!$D:$D, MATCH($A248, 'UA-normalized'!$A:$A, 0))-INDEX('UA-normalized'!$E:$E, MATCH($A248, 'UA-normalized'!$A:$A, 0))&gt;0, -(8*INDEX('UA-normalized'!$D:$D, MATCH($A248, 'UA-normalized'!$A:$A, 0))-INDEX('UA-normalized'!$E:$E, MATCH($A248, 'UA-normalized'!$A:$A, 0))), 0), 0))+(IFERROR(IF(8*INDEX('KZ-normalized'!$D:$D, MATCH($A248, 'KZ-normalized'!$A:$A, 0))-INDEX('KZ-normalized'!$E:$E, MATCH($A248, 'KZ-normalized'!$A:$A, 0))&gt;0, -(8*INDEX('KZ-normalized'!$D:$D, MATCH($A248, 'KZ-normalized'!$A:$A, 0))-INDEX('KZ-normalized'!$E:$E, MATCH($A248, 'KZ-normalized'!$A:$A, 0))), 0), 0))+(IFERROR(IF(8*INDEX('UZ-normalized'!$D:$D, MATCH($A248, 'UZ-normalized'!$A:$A, 0))-INDEX('UZ-normalized'!$E:$E, MATCH($A248, 'UZ-normalized'!$A:$A, 0))&gt;0, -(8*INDEX('UZ-normalized'!$D:$D, MATCH($A248, 'UZ-normalized'!$A:$A, 0))-INDEX('UZ-normalized'!$E:$E, MATCH($A248, 'UZ-normalized'!$A:$A, 0))), 0), 0)))</f>
        <v>0</v>
      </c>
      <c r="W248" s="6">
        <f>MIN(0, N248+(IFERROR(IF(9*INDEX('UA-normalized'!$D:$D, MATCH($A248, 'UA-normalized'!$A:$A, 0))-INDEX('UA-normalized'!$E:$E, MATCH($A248, 'UA-normalized'!$A:$A, 0))&gt;0, -(9*INDEX('UA-normalized'!$D:$D, MATCH($A248, 'UA-normalized'!$A:$A, 0))-INDEX('UA-normalized'!$E:$E, MATCH($A248, 'UA-normalized'!$A:$A, 0))), 0), 0))+(IFERROR(IF(9*INDEX('KZ-normalized'!$D:$D, MATCH($A248, 'KZ-normalized'!$A:$A, 0))-INDEX('KZ-normalized'!$E:$E, MATCH($A248, 'KZ-normalized'!$A:$A, 0))&gt;0, -(9*INDEX('KZ-normalized'!$D:$D, MATCH($A248, 'KZ-normalized'!$A:$A, 0))-INDEX('KZ-normalized'!$E:$E, MATCH($A248, 'KZ-normalized'!$A:$A, 0))), 0), 0))+(IFERROR(IF(9*INDEX('UZ-normalized'!$D:$D, MATCH($A248, 'UZ-normalized'!$A:$A, 0))-INDEX('UZ-normalized'!$E:$E, MATCH($A248, 'UZ-normalized'!$A:$A, 0))&gt;0, -(9*INDEX('UZ-normalized'!$D:$D, MATCH($A248, 'UZ-normalized'!$A:$A, 0))-INDEX('UZ-normalized'!$E:$E, MATCH($A248, 'UZ-normalized'!$A:$A, 0))), 0), 0)))</f>
        <v>0</v>
      </c>
      <c r="X248" s="6">
        <f>MIN(0, N248+(IFERROR(IF(10*INDEX('UA-normalized'!$D:$D, MATCH($A248, 'UA-normalized'!$A:$A, 0))-INDEX('UA-normalized'!$E:$E, MATCH($A248, 'UA-normalized'!$A:$A, 0))&gt;0, -(10*INDEX('UA-normalized'!$D:$D, MATCH($A248, 'UA-normalized'!$A:$A, 0))-INDEX('UA-normalized'!$E:$E, MATCH($A248, 'UA-normalized'!$A:$A, 0))), 0), 0))+(IFERROR(IF(10*INDEX('KZ-normalized'!$D:$D, MATCH($A248, 'KZ-normalized'!$A:$A, 0))-INDEX('KZ-normalized'!$E:$E, MATCH($A248, 'KZ-normalized'!$A:$A, 0))&gt;0, -(10*INDEX('KZ-normalized'!$D:$D, MATCH($A248, 'KZ-normalized'!$A:$A, 0))-INDEX('KZ-normalized'!$E:$E, MATCH($A248, 'KZ-normalized'!$A:$A, 0))), 0), 0))+(IFERROR(IF(10*INDEX('UZ-normalized'!$D:$D, MATCH($A248, 'UZ-normalized'!$A:$A, 0))-INDEX('UZ-normalized'!$E:$E, MATCH($A248, 'UZ-normalized'!$A:$A, 0))&gt;0, -(10*INDEX('UZ-normalized'!$D:$D, MATCH($A248, 'UZ-normalized'!$A:$A, 0))-INDEX('UZ-normalized'!$E:$E, MATCH($A248, 'UZ-normalized'!$A:$A, 0))), 0), 0)))</f>
        <v>0</v>
      </c>
      <c r="Y248" s="6">
        <f>MIN(0, N248+(IFERROR(IF(11*INDEX('UA-normalized'!$D:$D, MATCH($A248, 'UA-normalized'!$A:$A, 0))-INDEX('UA-normalized'!$E:$E, MATCH($A248, 'UA-normalized'!$A:$A, 0))&gt;0, -(11*INDEX('UA-normalized'!$D:$D, MATCH($A248, 'UA-normalized'!$A:$A, 0))-INDEX('UA-normalized'!$E:$E, MATCH($A248, 'UA-normalized'!$A:$A, 0))), 0), 0))+(IFERROR(IF(11*INDEX('KZ-normalized'!$D:$D, MATCH($A248, 'KZ-normalized'!$A:$A, 0))-INDEX('KZ-normalized'!$E:$E, MATCH($A248, 'KZ-normalized'!$A:$A, 0))&gt;0, -(11*INDEX('KZ-normalized'!$D:$D, MATCH($A248, 'KZ-normalized'!$A:$A, 0))-INDEX('KZ-normalized'!$E:$E, MATCH($A248, 'KZ-normalized'!$A:$A, 0))), 0), 0))+(IFERROR(IF(11*INDEX('UZ-normalized'!$D:$D, MATCH($A248, 'UZ-normalized'!$A:$A, 0))-INDEX('UZ-normalized'!$E:$E, MATCH($A248, 'UZ-normalized'!$A:$A, 0))&gt;0, -(11*INDEX('UZ-normalized'!$D:$D, MATCH($A248, 'UZ-normalized'!$A:$A, 0))-INDEX('UZ-normalized'!$E:$E, MATCH($A248, 'UZ-normalized'!$A:$A, 0))), 0), 0)))</f>
        <v>0</v>
      </c>
      <c r="Z248" s="6">
        <f>MIN(0, N248+(IFERROR(IF(12*INDEX('UA-normalized'!$D:$D, MATCH($A248, 'UA-normalized'!$A:$A, 0))-INDEX('UA-normalized'!$E:$E, MATCH($A248, 'UA-normalized'!$A:$A, 0))&gt;0, -(12*INDEX('UA-normalized'!$D:$D, MATCH($A248, 'UA-normalized'!$A:$A, 0))-INDEX('UA-normalized'!$E:$E, MATCH($A248, 'UA-normalized'!$A:$A, 0))), 0), 0))+(IFERROR(IF(12*INDEX('KZ-normalized'!$D:$D, MATCH($A248, 'KZ-normalized'!$A:$A, 0))-INDEX('KZ-normalized'!$E:$E, MATCH($A248, 'KZ-normalized'!$A:$A, 0))&gt;0, -(12*INDEX('KZ-normalized'!$D:$D, MATCH($A248, 'KZ-normalized'!$A:$A, 0))-INDEX('KZ-normalized'!$E:$E, MATCH($A248, 'KZ-normalized'!$A:$A, 0))), 0), 0))+(IFERROR(IF(12*INDEX('UZ-normalized'!$D:$D, MATCH($A248, 'UZ-normalized'!$A:$A, 0))-INDEX('UZ-normalized'!$E:$E, MATCH($A248, 'UZ-normalized'!$A:$A, 0))&gt;0, -(12*INDEX('UZ-normalized'!$D:$D, MATCH($A248, 'UZ-normalized'!$A:$A, 0))-INDEX('UZ-normalized'!$E:$E, MATCH($A248, 'UZ-normalized'!$A:$A, 0))), 0), 0)))</f>
        <v>0</v>
      </c>
      <c r="AA248" s="6">
        <f>MIN(0, N248+(IFERROR(IF(13*INDEX('UA-normalized'!$D:$D, MATCH($A248, 'UA-normalized'!$A:$A, 0))-INDEX('UA-normalized'!$E:$E, MATCH($A248, 'UA-normalized'!$A:$A, 0))&gt;0, -(13*INDEX('UA-normalized'!$D:$D, MATCH($A248, 'UA-normalized'!$A:$A, 0))-INDEX('UA-normalized'!$E:$E, MATCH($A248, 'UA-normalized'!$A:$A, 0))), 0), 0))+(IFERROR(IF(13*INDEX('KZ-normalized'!$D:$D, MATCH($A248, 'KZ-normalized'!$A:$A, 0))-INDEX('KZ-normalized'!$E:$E, MATCH($A248, 'KZ-normalized'!$A:$A, 0))&gt;0, -(13*INDEX('KZ-normalized'!$D:$D, MATCH($A248, 'KZ-normalized'!$A:$A, 0))-INDEX('KZ-normalized'!$E:$E, MATCH($A248, 'KZ-normalized'!$A:$A, 0))), 0), 0))+(IFERROR(IF(13*INDEX('UZ-normalized'!$D:$D, MATCH($A248, 'UZ-normalized'!$A:$A, 0))-INDEX('UZ-normalized'!$E:$E, MATCH($A248, 'UZ-normalized'!$A:$A, 0))&gt;0, -(13*INDEX('UZ-normalized'!$D:$D, MATCH($A248, 'UZ-normalized'!$A:$A, 0))-INDEX('UZ-normalized'!$E:$E, MATCH($A248, 'UZ-normalized'!$A:$A, 0))), 0), 0)))</f>
        <v>0</v>
      </c>
      <c r="AB248" s="6">
        <f>MIN(0, N248+(IFERROR(IF(14*INDEX('UA-normalized'!$D:$D, MATCH($A248, 'UA-normalized'!$A:$A, 0))-INDEX('UA-normalized'!$E:$E, MATCH($A248, 'UA-normalized'!$A:$A, 0))&gt;0, -(14*INDEX('UA-normalized'!$D:$D, MATCH($A248, 'UA-normalized'!$A:$A, 0))-INDEX('UA-normalized'!$E:$E, MATCH($A248, 'UA-normalized'!$A:$A, 0))), 0), 0))+(IFERROR(IF(14*INDEX('KZ-normalized'!$D:$D, MATCH($A248, 'KZ-normalized'!$A:$A, 0))-INDEX('KZ-normalized'!$E:$E, MATCH($A248, 'KZ-normalized'!$A:$A, 0))&gt;0, -(14*INDEX('KZ-normalized'!$D:$D, MATCH($A248, 'KZ-normalized'!$A:$A, 0))-INDEX('KZ-normalized'!$E:$E, MATCH($A248, 'KZ-normalized'!$A:$A, 0))), 0), 0))+(IFERROR(IF(14*INDEX('UZ-normalized'!$D:$D, MATCH($A248, 'UZ-normalized'!$A:$A, 0))-INDEX('UZ-normalized'!$E:$E, MATCH($A248, 'UZ-normalized'!$A:$A, 0))&gt;0, -(14*INDEX('UZ-normalized'!$D:$D, MATCH($A248, 'UZ-normalized'!$A:$A, 0))-INDEX('UZ-normalized'!$E:$E, MATCH($A248, 'UZ-normalized'!$A:$A, 0))), 0), 0)))</f>
        <v>0</v>
      </c>
      <c r="AC248" s="6">
        <f>MIN(0, N248+(IFERROR(IF(15*INDEX('UA-normalized'!$D:$D, MATCH($A248, 'UA-normalized'!$A:$A, 0))-INDEX('UA-normalized'!$E:$E, MATCH($A248, 'UA-normalized'!$A:$A, 0))&gt;0, -(15*INDEX('UA-normalized'!$D:$D, MATCH($A248, 'UA-normalized'!$A:$A, 0))-INDEX('UA-normalized'!$E:$E, MATCH($A248, 'UA-normalized'!$A:$A, 0))), 0), 0))+(IFERROR(IF(15*INDEX('KZ-normalized'!$D:$D, MATCH($A248, 'KZ-normalized'!$A:$A, 0))-INDEX('KZ-normalized'!$E:$E, MATCH($A248, 'KZ-normalized'!$A:$A, 0))&gt;0, -(15*INDEX('KZ-normalized'!$D:$D, MATCH($A248, 'KZ-normalized'!$A:$A, 0))-INDEX('KZ-normalized'!$E:$E, MATCH($A248, 'KZ-normalized'!$A:$A, 0))), 0), 0))+(IFERROR(IF(15*INDEX('UZ-normalized'!$D:$D, MATCH($A248, 'UZ-normalized'!$A:$A, 0))-INDEX('UZ-normalized'!$E:$E, MATCH($A248, 'UZ-normalized'!$A:$A, 0))&gt;0, -(15*INDEX('UZ-normalized'!$D:$D, MATCH($A248, 'UZ-normalized'!$A:$A, 0))-INDEX('UZ-normalized'!$E:$E, MATCH($A248, 'UZ-normalized'!$A:$A, 0))), 0), 0)))</f>
        <v>0</v>
      </c>
      <c r="AD248" s="6">
        <f>MIN(0, N248+(IFERROR(IF(16*INDEX('UA-normalized'!$D:$D, MATCH($A248, 'UA-normalized'!$A:$A, 0))-INDEX('UA-normalized'!$E:$E, MATCH($A248, 'UA-normalized'!$A:$A, 0))&gt;0, -(16*INDEX('UA-normalized'!$D:$D, MATCH($A248, 'UA-normalized'!$A:$A, 0))-INDEX('UA-normalized'!$E:$E, MATCH($A248, 'UA-normalized'!$A:$A, 0))), 0), 0))+(IFERROR(IF(16*INDEX('KZ-normalized'!$D:$D, MATCH($A248, 'KZ-normalized'!$A:$A, 0))-INDEX('KZ-normalized'!$E:$E, MATCH($A248, 'KZ-normalized'!$A:$A, 0))&gt;0, -(16*INDEX('KZ-normalized'!$D:$D, MATCH($A248, 'KZ-normalized'!$A:$A, 0))-INDEX('KZ-normalized'!$E:$E, MATCH($A248, 'KZ-normalized'!$A:$A, 0))), 0), 0))+(IFERROR(IF(16*INDEX('UZ-normalized'!$D:$D, MATCH($A248, 'UZ-normalized'!$A:$A, 0))-INDEX('UZ-normalized'!$E:$E, MATCH($A248, 'UZ-normalized'!$A:$A, 0))&gt;0, -(16*INDEX('UZ-normalized'!$D:$D, MATCH($A248, 'UZ-normalized'!$A:$A, 0))-INDEX('UZ-normalized'!$E:$E, MATCH($A248, 'UZ-normalized'!$A:$A, 0))), 0), 0)))</f>
        <v>0</v>
      </c>
      <c r="AE248" s="6">
        <f>MIN(0, N248+(IFERROR(IF(17*INDEX('UA-normalized'!$D:$D, MATCH($A248, 'UA-normalized'!$A:$A, 0))-INDEX('UA-normalized'!$E:$E, MATCH($A248, 'UA-normalized'!$A:$A, 0))&gt;0, -(17*INDEX('UA-normalized'!$D:$D, MATCH($A248, 'UA-normalized'!$A:$A, 0))-INDEX('UA-normalized'!$E:$E, MATCH($A248, 'UA-normalized'!$A:$A, 0))), 0), 0))+(IFERROR(IF(17*INDEX('KZ-normalized'!$D:$D, MATCH($A248, 'KZ-normalized'!$A:$A, 0))-INDEX('KZ-normalized'!$E:$E, MATCH($A248, 'KZ-normalized'!$A:$A, 0))&gt;0, -(17*INDEX('KZ-normalized'!$D:$D, MATCH($A248, 'KZ-normalized'!$A:$A, 0))-INDEX('KZ-normalized'!$E:$E, MATCH($A248, 'KZ-normalized'!$A:$A, 0))), 0), 0))+(IFERROR(IF(17*INDEX('UZ-normalized'!$D:$D, MATCH($A248, 'UZ-normalized'!$A:$A, 0))-INDEX('UZ-normalized'!$E:$E, MATCH($A248, 'UZ-normalized'!$A:$A, 0))&gt;0, -(17*INDEX('UZ-normalized'!$D:$D, MATCH($A248, 'UZ-normalized'!$A:$A, 0))-INDEX('UZ-normalized'!$E:$E, MATCH($A248, 'UZ-normalized'!$A:$A, 0))), 0), 0)))</f>
        <v>0</v>
      </c>
      <c r="AF248" s="6">
        <f>MIN(0, N248+(IFERROR(IF(18*INDEX('UA-normalized'!$D:$D, MATCH($A248, 'UA-normalized'!$A:$A, 0))-INDEX('UA-normalized'!$E:$E, MATCH($A248, 'UA-normalized'!$A:$A, 0))&gt;0, -(18*INDEX('UA-normalized'!$D:$D, MATCH($A248, 'UA-normalized'!$A:$A, 0))-INDEX('UA-normalized'!$E:$E, MATCH($A248, 'UA-normalized'!$A:$A, 0))), 0), 0))+(IFERROR(IF(18*INDEX('KZ-normalized'!$D:$D, MATCH($A248, 'KZ-normalized'!$A:$A, 0))-INDEX('KZ-normalized'!$E:$E, MATCH($A248, 'KZ-normalized'!$A:$A, 0))&gt;0, -(18*INDEX('KZ-normalized'!$D:$D, MATCH($A248, 'KZ-normalized'!$A:$A, 0))-INDEX('KZ-normalized'!$E:$E, MATCH($A248, 'KZ-normalized'!$A:$A, 0))), 0), 0))+(IFERROR(IF(18*INDEX('UZ-normalized'!$D:$D, MATCH($A248, 'UZ-normalized'!$A:$A, 0))-INDEX('UZ-normalized'!$E:$E, MATCH($A248, 'UZ-normalized'!$A:$A, 0))&gt;0, -(18*INDEX('UZ-normalized'!$D:$D, MATCH($A248, 'UZ-normalized'!$A:$A, 0))-INDEX('UZ-normalized'!$E:$E, MATCH($A248, 'UZ-normalized'!$A:$A, 0))), 0), 0)))</f>
        <v>0</v>
      </c>
      <c r="AG248" s="6">
        <f>MIN(0, N248+(IFERROR(IF(19*INDEX('UA-normalized'!$D:$D, MATCH($A248, 'UA-normalized'!$A:$A, 0))-INDEX('UA-normalized'!$E:$E, MATCH($A248, 'UA-normalized'!$A:$A, 0))&gt;0, -(19*INDEX('UA-normalized'!$D:$D, MATCH($A248, 'UA-normalized'!$A:$A, 0))-INDEX('UA-normalized'!$E:$E, MATCH($A248, 'UA-normalized'!$A:$A, 0))), 0), 0))+(IFERROR(IF(19*INDEX('KZ-normalized'!$D:$D, MATCH($A248, 'KZ-normalized'!$A:$A, 0))-INDEX('KZ-normalized'!$E:$E, MATCH($A248, 'KZ-normalized'!$A:$A, 0))&gt;0, -(19*INDEX('KZ-normalized'!$D:$D, MATCH($A248, 'KZ-normalized'!$A:$A, 0))-INDEX('KZ-normalized'!$E:$E, MATCH($A248, 'KZ-normalized'!$A:$A, 0))), 0), 0))+(IFERROR(IF(19*INDEX('UZ-normalized'!$D:$D, MATCH($A248, 'UZ-normalized'!$A:$A, 0))-INDEX('UZ-normalized'!$E:$E, MATCH($A248, 'UZ-normalized'!$A:$A, 0))&gt;0, -(19*INDEX('UZ-normalized'!$D:$D, MATCH($A248, 'UZ-normalized'!$A:$A, 0))-INDEX('UZ-normalized'!$E:$E, MATCH($A248, 'UZ-normalized'!$A:$A, 0))), 0), 0)))</f>
        <v>0</v>
      </c>
      <c r="AH248" s="6">
        <f>MIN(0, N248+(IFERROR(IF(20*INDEX('UA-normalized'!$D:$D, MATCH($A248, 'UA-normalized'!$A:$A, 0))-INDEX('UA-normalized'!$E:$E, MATCH($A248, 'UA-normalized'!$A:$A, 0))&gt;0, -(20*INDEX('UA-normalized'!$D:$D, MATCH($A248, 'UA-normalized'!$A:$A, 0))-INDEX('UA-normalized'!$E:$E, MATCH($A248, 'UA-normalized'!$A:$A, 0))), 0), 0))+(IFERROR(IF(20*INDEX('KZ-normalized'!$D:$D, MATCH($A248, 'KZ-normalized'!$A:$A, 0))-INDEX('KZ-normalized'!$E:$E, MATCH($A248, 'KZ-normalized'!$A:$A, 0))&gt;0, -(20*INDEX('KZ-normalized'!$D:$D, MATCH($A248, 'KZ-normalized'!$A:$A, 0))-INDEX('KZ-normalized'!$E:$E, MATCH($A248, 'KZ-normalized'!$A:$A, 0))), 0), 0))+(IFERROR(IF(20*INDEX('UZ-normalized'!$D:$D, MATCH($A248, 'UZ-normalized'!$A:$A, 0))-INDEX('UZ-normalized'!$E:$E, MATCH($A248, 'UZ-normalized'!$A:$A, 0))&gt;0, -(20*INDEX('UZ-normalized'!$D:$D, MATCH($A248, 'UZ-normalized'!$A:$A, 0))-INDEX('UZ-normalized'!$E:$E, MATCH($A248, 'UZ-normalized'!$A:$A, 0))), 0), 0)))</f>
        <v>0</v>
      </c>
      <c r="AI248" s="6">
        <f>MIN(0, N248+(IFERROR(IF(21*INDEX('UA-normalized'!$D:$D, MATCH($A248, 'UA-normalized'!$A:$A, 0))-INDEX('UA-normalized'!$E:$E, MATCH($A248, 'UA-normalized'!$A:$A, 0))&gt;0, -(21*INDEX('UA-normalized'!$D:$D, MATCH($A248, 'UA-normalized'!$A:$A, 0))-INDEX('UA-normalized'!$E:$E, MATCH($A248, 'UA-normalized'!$A:$A, 0))), 0), 0))+(IFERROR(IF(21*INDEX('KZ-normalized'!$D:$D, MATCH($A248, 'KZ-normalized'!$A:$A, 0))-INDEX('KZ-normalized'!$E:$E, MATCH($A248, 'KZ-normalized'!$A:$A, 0))&gt;0, -(21*INDEX('KZ-normalized'!$D:$D, MATCH($A248, 'KZ-normalized'!$A:$A, 0))-INDEX('KZ-normalized'!$E:$E, MATCH($A248, 'KZ-normalized'!$A:$A, 0))), 0), 0))+(IFERROR(IF(21*INDEX('UZ-normalized'!$D:$D, MATCH($A248, 'UZ-normalized'!$A:$A, 0))-INDEX('UZ-normalized'!$E:$E, MATCH($A248, 'UZ-normalized'!$A:$A, 0))&gt;0, -(21*INDEX('UZ-normalized'!$D:$D, MATCH($A248, 'UZ-normalized'!$A:$A, 0))-INDEX('UZ-normalized'!$E:$E, MATCH($A248, 'UZ-normalized'!$A:$A, 0))), 0), 0)))</f>
        <v>0</v>
      </c>
      <c r="AJ248" s="6">
        <f>MIN(0, N248+(IFERROR(IF(22*INDEX('UA-normalized'!$D:$D, MATCH($A248, 'UA-normalized'!$A:$A, 0))-INDEX('UA-normalized'!$E:$E, MATCH($A248, 'UA-normalized'!$A:$A, 0))&gt;0, -(22*INDEX('UA-normalized'!$D:$D, MATCH($A248, 'UA-normalized'!$A:$A, 0))-INDEX('UA-normalized'!$E:$E, MATCH($A248, 'UA-normalized'!$A:$A, 0))), 0), 0))+(IFERROR(IF(22*INDEX('KZ-normalized'!$D:$D, MATCH($A248, 'KZ-normalized'!$A:$A, 0))-INDEX('KZ-normalized'!$E:$E, MATCH($A248, 'KZ-normalized'!$A:$A, 0))&gt;0, -(22*INDEX('KZ-normalized'!$D:$D, MATCH($A248, 'KZ-normalized'!$A:$A, 0))-INDEX('KZ-normalized'!$E:$E, MATCH($A248, 'KZ-normalized'!$A:$A, 0))), 0), 0))+(IFERROR(IF(22*INDEX('UZ-normalized'!$D:$D, MATCH($A248, 'UZ-normalized'!$A:$A, 0))-INDEX('UZ-normalized'!$E:$E, MATCH($A248, 'UZ-normalized'!$A:$A, 0))&gt;0, -(22*INDEX('UZ-normalized'!$D:$D, MATCH($A248, 'UZ-normalized'!$A:$A, 0))-INDEX('UZ-normalized'!$E:$E, MATCH($A248, 'UZ-normalized'!$A:$A, 0))), 0), 0)))</f>
        <v>0</v>
      </c>
      <c r="AK248" s="6">
        <f>MIN(0, N248+(IFERROR(IF(23*INDEX('UA-normalized'!$D:$D, MATCH($A248, 'UA-normalized'!$A:$A, 0))-INDEX('UA-normalized'!$E:$E, MATCH($A248, 'UA-normalized'!$A:$A, 0))&gt;0, -(23*INDEX('UA-normalized'!$D:$D, MATCH($A248, 'UA-normalized'!$A:$A, 0))-INDEX('UA-normalized'!$E:$E, MATCH($A248, 'UA-normalized'!$A:$A, 0))), 0), 0))+(IFERROR(IF(23*INDEX('KZ-normalized'!$D:$D, MATCH($A248, 'KZ-normalized'!$A:$A, 0))-INDEX('KZ-normalized'!$E:$E, MATCH($A248, 'KZ-normalized'!$A:$A, 0))&gt;0, -(23*INDEX('KZ-normalized'!$D:$D, MATCH($A248, 'KZ-normalized'!$A:$A, 0))-INDEX('KZ-normalized'!$E:$E, MATCH($A248, 'KZ-normalized'!$A:$A, 0))), 0), 0))+(IFERROR(IF(23*INDEX('UZ-normalized'!$D:$D, MATCH($A248, 'UZ-normalized'!$A:$A, 0))-INDEX('UZ-normalized'!$E:$E, MATCH($A248, 'UZ-normalized'!$A:$A, 0))&gt;0, -(23*INDEX('UZ-normalized'!$D:$D, MATCH($A248, 'UZ-normalized'!$A:$A, 0))-INDEX('UZ-normalized'!$E:$E, MATCH($A248, 'UZ-normalized'!$A:$A, 0))), 0), 0)))</f>
        <v>0</v>
      </c>
      <c r="AL248" s="6">
        <f>MIN(0, N248+(IFERROR(IF(24*INDEX('UA-normalized'!$D:$D, MATCH($A248, 'UA-normalized'!$A:$A, 0))-INDEX('UA-normalized'!$E:$E, MATCH($A248, 'UA-normalized'!$A:$A, 0))&gt;0, -(24*INDEX('UA-normalized'!$D:$D, MATCH($A248, 'UA-normalized'!$A:$A, 0))-INDEX('UA-normalized'!$E:$E, MATCH($A248, 'UA-normalized'!$A:$A, 0))), 0), 0))+(IFERROR(IF(24*INDEX('KZ-normalized'!$D:$D, MATCH($A248, 'KZ-normalized'!$A:$A, 0))-INDEX('KZ-normalized'!$E:$E, MATCH($A248, 'KZ-normalized'!$A:$A, 0))&gt;0, -(24*INDEX('KZ-normalized'!$D:$D, MATCH($A248, 'KZ-normalized'!$A:$A, 0))-INDEX('KZ-normalized'!$E:$E, MATCH($A248, 'KZ-normalized'!$A:$A, 0))), 0), 0))+(IFERROR(IF(24*INDEX('UZ-normalized'!$D:$D, MATCH($A248, 'UZ-normalized'!$A:$A, 0))-INDEX('UZ-normalized'!$E:$E, MATCH($A248, 'UZ-normalized'!$A:$A, 0))&gt;0, -(24*INDEX('UZ-normalized'!$D:$D, MATCH($A248, 'UZ-normalized'!$A:$A, 0))-INDEX('UZ-normalized'!$E:$E, MATCH($A248, 'UZ-normalized'!$A:$A, 0))), 0), 0)))</f>
        <v>0</v>
      </c>
      <c r="AM248" s="6">
        <f>MIN(0, N248+(IFERROR(IF(25*INDEX('UA-normalized'!$D:$D, MATCH($A248, 'UA-normalized'!$A:$A, 0))-INDEX('UA-normalized'!$E:$E, MATCH($A248, 'UA-normalized'!$A:$A, 0))&gt;0, -(25*INDEX('UA-normalized'!$D:$D, MATCH($A248, 'UA-normalized'!$A:$A, 0))-INDEX('UA-normalized'!$E:$E, MATCH($A248, 'UA-normalized'!$A:$A, 0))), 0), 0))+(IFERROR(IF(25*INDEX('KZ-normalized'!$D:$D, MATCH($A248, 'KZ-normalized'!$A:$A, 0))-INDEX('KZ-normalized'!$E:$E, MATCH($A248, 'KZ-normalized'!$A:$A, 0))&gt;0, -(25*INDEX('KZ-normalized'!$D:$D, MATCH($A248, 'KZ-normalized'!$A:$A, 0))-INDEX('KZ-normalized'!$E:$E, MATCH($A248, 'KZ-normalized'!$A:$A, 0))), 0), 0))+(IFERROR(IF(25*INDEX('UZ-normalized'!$D:$D, MATCH($A248, 'UZ-normalized'!$A:$A, 0))-INDEX('UZ-normalized'!$E:$E, MATCH($A248, 'UZ-normalized'!$A:$A, 0))&gt;0, -(25*INDEX('UZ-normalized'!$D:$D, MATCH($A248, 'UZ-normalized'!$A:$A, 0))-INDEX('UZ-normalized'!$E:$E, MATCH($A248, 'UZ-normalized'!$A:$A, 0))), 0), 0)))</f>
        <v>0</v>
      </c>
      <c r="AN248" s="6">
        <f>MIN(0, N248+(IFERROR(IF(26*INDEX('UA-normalized'!$D:$D, MATCH($A248, 'UA-normalized'!$A:$A, 0))-INDEX('UA-normalized'!$E:$E, MATCH($A248, 'UA-normalized'!$A:$A, 0))&gt;0, -(26*INDEX('UA-normalized'!$D:$D, MATCH($A248, 'UA-normalized'!$A:$A, 0))-INDEX('UA-normalized'!$E:$E, MATCH($A248, 'UA-normalized'!$A:$A, 0))), 0), 0))+(IFERROR(IF(26*INDEX('KZ-normalized'!$D:$D, MATCH($A248, 'KZ-normalized'!$A:$A, 0))-INDEX('KZ-normalized'!$E:$E, MATCH($A248, 'KZ-normalized'!$A:$A, 0))&gt;0, -(26*INDEX('KZ-normalized'!$D:$D, MATCH($A248, 'KZ-normalized'!$A:$A, 0))-INDEX('KZ-normalized'!$E:$E, MATCH($A248, 'KZ-normalized'!$A:$A, 0))), 0), 0))+(IFERROR(IF(26*INDEX('UZ-normalized'!$D:$D, MATCH($A248, 'UZ-normalized'!$A:$A, 0))-INDEX('UZ-normalized'!$E:$E, MATCH($A248, 'UZ-normalized'!$A:$A, 0))&gt;0, -(26*INDEX('UZ-normalized'!$D:$D, MATCH($A248, 'UZ-normalized'!$A:$A, 0))-INDEX('UZ-normalized'!$E:$E, MATCH($A248, 'UZ-normalized'!$A:$A, 0))), 0), 0)))</f>
        <v>0</v>
      </c>
      <c r="AO248" s="6">
        <f>MIN(0, N248+(IFERROR(IF(27*INDEX('UA-normalized'!$D:$D, MATCH($A248, 'UA-normalized'!$A:$A, 0))-INDEX('UA-normalized'!$E:$E, MATCH($A248, 'UA-normalized'!$A:$A, 0))&gt;0, -(27*INDEX('UA-normalized'!$D:$D, MATCH($A248, 'UA-normalized'!$A:$A, 0))-INDEX('UA-normalized'!$E:$E, MATCH($A248, 'UA-normalized'!$A:$A, 0))), 0), 0))+(IFERROR(IF(27*INDEX('KZ-normalized'!$D:$D, MATCH($A248, 'KZ-normalized'!$A:$A, 0))-INDEX('KZ-normalized'!$E:$E, MATCH($A248, 'KZ-normalized'!$A:$A, 0))&gt;0, -(27*INDEX('KZ-normalized'!$D:$D, MATCH($A248, 'KZ-normalized'!$A:$A, 0))-INDEX('KZ-normalized'!$E:$E, MATCH($A248, 'KZ-normalized'!$A:$A, 0))), 0), 0))+(IFERROR(IF(27*INDEX('UZ-normalized'!$D:$D, MATCH($A248, 'UZ-normalized'!$A:$A, 0))-INDEX('UZ-normalized'!$E:$E, MATCH($A248, 'UZ-normalized'!$A:$A, 0))&gt;0, -(27*INDEX('UZ-normalized'!$D:$D, MATCH($A248, 'UZ-normalized'!$A:$A, 0))-INDEX('UZ-normalized'!$E:$E, MATCH($A248, 'UZ-normalized'!$A:$A, 0))), 0), 0)))</f>
        <v>0</v>
      </c>
      <c r="AP248" s="6">
        <f>MIN(0, N248+(IFERROR(IF(28*INDEX('UA-normalized'!$D:$D, MATCH($A248, 'UA-normalized'!$A:$A, 0))-INDEX('UA-normalized'!$E:$E, MATCH($A248, 'UA-normalized'!$A:$A, 0))&gt;0, -(28*INDEX('UA-normalized'!$D:$D, MATCH($A248, 'UA-normalized'!$A:$A, 0))-INDEX('UA-normalized'!$E:$E, MATCH($A248, 'UA-normalized'!$A:$A, 0))), 0), 0))+(IFERROR(IF(28*INDEX('KZ-normalized'!$D:$D, MATCH($A248, 'KZ-normalized'!$A:$A, 0))-INDEX('KZ-normalized'!$E:$E, MATCH($A248, 'KZ-normalized'!$A:$A, 0))&gt;0, -(28*INDEX('KZ-normalized'!$D:$D, MATCH($A248, 'KZ-normalized'!$A:$A, 0))-INDEX('KZ-normalized'!$E:$E, MATCH($A248, 'KZ-normalized'!$A:$A, 0))), 0), 0))+(IFERROR(IF(28*INDEX('UZ-normalized'!$D:$D, MATCH($A248, 'UZ-normalized'!$A:$A, 0))-INDEX('UZ-normalized'!$E:$E, MATCH($A248, 'UZ-normalized'!$A:$A, 0))&gt;0, -(28*INDEX('UZ-normalized'!$D:$D, MATCH($A248, 'UZ-normalized'!$A:$A, 0))-INDEX('UZ-normalized'!$E:$E, MATCH($A248, 'UZ-normalized'!$A:$A, 0))), 0), 0)))</f>
        <v>0</v>
      </c>
      <c r="AQ248" s="6">
        <f>MIN(0, N248+(IFERROR(IF(29*INDEX('UA-normalized'!$D:$D, MATCH($A248, 'UA-normalized'!$A:$A, 0))-INDEX('UA-normalized'!$E:$E, MATCH($A248, 'UA-normalized'!$A:$A, 0))&gt;0, -(29*INDEX('UA-normalized'!$D:$D, MATCH($A248, 'UA-normalized'!$A:$A, 0))-INDEX('UA-normalized'!$E:$E, MATCH($A248, 'UA-normalized'!$A:$A, 0))), 0), 0))+(IFERROR(IF(29*INDEX('KZ-normalized'!$D:$D, MATCH($A248, 'KZ-normalized'!$A:$A, 0))-INDEX('KZ-normalized'!$E:$E, MATCH($A248, 'KZ-normalized'!$A:$A, 0))&gt;0, -(29*INDEX('KZ-normalized'!$D:$D, MATCH($A248, 'KZ-normalized'!$A:$A, 0))-INDEX('KZ-normalized'!$E:$E, MATCH($A248, 'KZ-normalized'!$A:$A, 0))), 0), 0))+(IFERROR(IF(29*INDEX('UZ-normalized'!$D:$D, MATCH($A248, 'UZ-normalized'!$A:$A, 0))-INDEX('UZ-normalized'!$E:$E, MATCH($A248, 'UZ-normalized'!$A:$A, 0))&gt;0, -(29*INDEX('UZ-normalized'!$D:$D, MATCH($A248, 'UZ-normalized'!$A:$A, 0))-INDEX('UZ-normalized'!$E:$E, MATCH($A248, 'UZ-normalized'!$A:$A, 0))), 0), 0)))</f>
        <v>0</v>
      </c>
      <c r="AR248" s="6">
        <f>MIN(0, N248+(IFERROR(IF(30*INDEX('UA-normalized'!$D:$D, MATCH($A248, 'UA-normalized'!$A:$A, 0))-INDEX('UA-normalized'!$E:$E, MATCH($A248, 'UA-normalized'!$A:$A, 0))&gt;0, -(30*INDEX('UA-normalized'!$D:$D, MATCH($A248, 'UA-normalized'!$A:$A, 0))-INDEX('UA-normalized'!$E:$E, MATCH($A248, 'UA-normalized'!$A:$A, 0))), 0), 0))+(IFERROR(IF(30*INDEX('KZ-normalized'!$D:$D, MATCH($A248, 'KZ-normalized'!$A:$A, 0))-INDEX('KZ-normalized'!$E:$E, MATCH($A248, 'KZ-normalized'!$A:$A, 0))&gt;0, -(30*INDEX('KZ-normalized'!$D:$D, MATCH($A248, 'KZ-normalized'!$A:$A, 0))-INDEX('KZ-normalized'!$E:$E, MATCH($A248, 'KZ-normalized'!$A:$A, 0))), 0), 0))+(IFERROR(IF(30*INDEX('UZ-normalized'!$D:$D, MATCH($A248, 'UZ-normalized'!$A:$A, 0))-INDEX('UZ-normalized'!$E:$E, MATCH($A248, 'UZ-normalized'!$A:$A, 0))&gt;0, -(30*INDEX('UZ-normalized'!$D:$D, MATCH($A248, 'UZ-normalized'!$A:$A, 0))-INDEX('UZ-normalized'!$E:$E, MATCH($A248, 'UZ-normalized'!$A:$A, 0))), 0), 0)))</f>
        <v>0</v>
      </c>
    </row>
  </sheetData>
  <conditionalFormatting sqref="O2:AR248">
    <cfRule type="cellIs" dxfId="0" priority="1" operator="less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2"/>
  <sheetViews>
    <sheetView workbookViewId="0"/>
  </sheetViews>
  <sheetFormatPr defaultRowHeight="15" x14ac:dyDescent="0.25"/>
  <cols>
    <col min="1" max="2" width="24" customWidth="1"/>
    <col min="3" max="3" width="10" customWidth="1"/>
  </cols>
  <sheetData>
    <row r="1" spans="1:3" x14ac:dyDescent="0.25">
      <c r="A1" t="s">
        <v>588</v>
      </c>
      <c r="B1" t="s">
        <v>0</v>
      </c>
      <c r="C1" t="s">
        <v>589</v>
      </c>
    </row>
    <row r="2" spans="1:3" x14ac:dyDescent="0.25">
      <c r="A2" t="s">
        <v>590</v>
      </c>
      <c r="B2" t="s">
        <v>590</v>
      </c>
      <c r="C2">
        <v>100</v>
      </c>
    </row>
    <row r="3" spans="1:3" x14ac:dyDescent="0.25">
      <c r="A3" t="s">
        <v>591</v>
      </c>
      <c r="B3" t="s">
        <v>591</v>
      </c>
      <c r="C3">
        <v>120</v>
      </c>
    </row>
    <row r="4" spans="1:3" x14ac:dyDescent="0.25">
      <c r="A4" t="s">
        <v>592</v>
      </c>
      <c r="B4" t="s">
        <v>592</v>
      </c>
      <c r="C4">
        <v>120</v>
      </c>
    </row>
    <row r="5" spans="1:3" x14ac:dyDescent="0.25">
      <c r="A5" t="s">
        <v>593</v>
      </c>
      <c r="B5" t="s">
        <v>593</v>
      </c>
      <c r="C5">
        <v>100</v>
      </c>
    </row>
    <row r="6" spans="1:3" x14ac:dyDescent="0.25">
      <c r="A6" t="s">
        <v>594</v>
      </c>
      <c r="B6" t="s">
        <v>594</v>
      </c>
      <c r="C6">
        <v>4000</v>
      </c>
    </row>
    <row r="7" spans="1:3" x14ac:dyDescent="0.25">
      <c r="A7" t="s">
        <v>595</v>
      </c>
      <c r="B7" t="s">
        <v>595</v>
      </c>
      <c r="C7">
        <v>4400</v>
      </c>
    </row>
    <row r="8" spans="1:3" x14ac:dyDescent="0.25">
      <c r="A8" t="s">
        <v>596</v>
      </c>
      <c r="B8" t="s">
        <v>596</v>
      </c>
      <c r="C8">
        <v>14800</v>
      </c>
    </row>
    <row r="9" spans="1:3" x14ac:dyDescent="0.25">
      <c r="A9" t="s">
        <v>597</v>
      </c>
      <c r="B9" t="s">
        <v>597</v>
      </c>
      <c r="C9">
        <v>23200</v>
      </c>
    </row>
    <row r="10" spans="1:3" x14ac:dyDescent="0.25">
      <c r="A10" t="s">
        <v>598</v>
      </c>
      <c r="B10" t="s">
        <v>598</v>
      </c>
      <c r="C10">
        <v>4704</v>
      </c>
    </row>
    <row r="11" spans="1:3" x14ac:dyDescent="0.25">
      <c r="A11" t="s">
        <v>599</v>
      </c>
      <c r="B11" t="s">
        <v>599</v>
      </c>
      <c r="C11">
        <v>1600</v>
      </c>
    </row>
    <row r="12" spans="1:3" x14ac:dyDescent="0.25">
      <c r="A12" t="s">
        <v>600</v>
      </c>
      <c r="B12" t="s">
        <v>600</v>
      </c>
      <c r="C12">
        <v>1600</v>
      </c>
    </row>
    <row r="13" spans="1:3" x14ac:dyDescent="0.25">
      <c r="A13" t="s">
        <v>601</v>
      </c>
      <c r="B13" t="s">
        <v>601</v>
      </c>
      <c r="C13">
        <v>2800</v>
      </c>
    </row>
    <row r="14" spans="1:3" x14ac:dyDescent="0.25">
      <c r="A14" t="s">
        <v>602</v>
      </c>
      <c r="B14" t="s">
        <v>602</v>
      </c>
      <c r="C14">
        <v>100</v>
      </c>
    </row>
    <row r="15" spans="1:3" x14ac:dyDescent="0.25">
      <c r="A15" t="s">
        <v>603</v>
      </c>
      <c r="B15" t="s">
        <v>603</v>
      </c>
      <c r="C15">
        <v>200</v>
      </c>
    </row>
    <row r="16" spans="1:3" x14ac:dyDescent="0.25">
      <c r="A16" t="s">
        <v>604</v>
      </c>
      <c r="B16" t="s">
        <v>604</v>
      </c>
      <c r="C16">
        <v>200</v>
      </c>
    </row>
    <row r="17" spans="1:3" x14ac:dyDescent="0.25">
      <c r="A17" t="s">
        <v>605</v>
      </c>
      <c r="B17" t="s">
        <v>605</v>
      </c>
      <c r="C17">
        <v>120</v>
      </c>
    </row>
    <row r="18" spans="1:3" x14ac:dyDescent="0.25">
      <c r="A18" t="s">
        <v>606</v>
      </c>
      <c r="B18" t="s">
        <v>606</v>
      </c>
      <c r="C18">
        <v>200</v>
      </c>
    </row>
    <row r="19" spans="1:3" x14ac:dyDescent="0.25">
      <c r="A19" t="s">
        <v>607</v>
      </c>
      <c r="B19" t="s">
        <v>607</v>
      </c>
      <c r="C19">
        <v>100</v>
      </c>
    </row>
    <row r="20" spans="1:3" x14ac:dyDescent="0.25">
      <c r="A20" t="s">
        <v>608</v>
      </c>
      <c r="B20" t="s">
        <v>608</v>
      </c>
      <c r="C20">
        <v>200</v>
      </c>
    </row>
    <row r="21" spans="1:3" x14ac:dyDescent="0.25">
      <c r="A21" t="s">
        <v>609</v>
      </c>
      <c r="B21" t="s">
        <v>609</v>
      </c>
      <c r="C21">
        <v>480</v>
      </c>
    </row>
    <row r="22" spans="1:3" x14ac:dyDescent="0.25">
      <c r="A22" t="s">
        <v>610</v>
      </c>
      <c r="B22" t="s">
        <v>610</v>
      </c>
      <c r="C22">
        <v>80</v>
      </c>
    </row>
    <row r="23" spans="1:3" x14ac:dyDescent="0.25">
      <c r="A23" t="s">
        <v>611</v>
      </c>
      <c r="B23" t="s">
        <v>611</v>
      </c>
      <c r="C23">
        <v>240</v>
      </c>
    </row>
    <row r="24" spans="1:3" x14ac:dyDescent="0.25">
      <c r="A24" t="s">
        <v>612</v>
      </c>
      <c r="B24" t="s">
        <v>612</v>
      </c>
      <c r="C24">
        <v>480</v>
      </c>
    </row>
    <row r="25" spans="1:3" x14ac:dyDescent="0.25">
      <c r="A25" t="s">
        <v>613</v>
      </c>
      <c r="B25" t="s">
        <v>613</v>
      </c>
      <c r="C25">
        <v>720</v>
      </c>
    </row>
    <row r="26" spans="1:3" x14ac:dyDescent="0.25">
      <c r="A26" t="s">
        <v>614</v>
      </c>
      <c r="B26" t="s">
        <v>614</v>
      </c>
      <c r="C26">
        <v>800</v>
      </c>
    </row>
    <row r="27" spans="1:3" x14ac:dyDescent="0.25">
      <c r="A27" t="s">
        <v>615</v>
      </c>
      <c r="B27" t="s">
        <v>615</v>
      </c>
      <c r="C27">
        <v>3000</v>
      </c>
    </row>
    <row r="28" spans="1:3" x14ac:dyDescent="0.25">
      <c r="A28" t="s">
        <v>616</v>
      </c>
      <c r="B28" t="s">
        <v>616</v>
      </c>
      <c r="C28">
        <v>100</v>
      </c>
    </row>
    <row r="29" spans="1:3" x14ac:dyDescent="0.25">
      <c r="A29" t="s">
        <v>617</v>
      </c>
      <c r="B29" s="1" t="s">
        <v>617</v>
      </c>
      <c r="C29">
        <v>100</v>
      </c>
    </row>
    <row r="30" spans="1:3" x14ac:dyDescent="0.25">
      <c r="A30" t="s">
        <v>618</v>
      </c>
      <c r="B30" t="s">
        <v>618</v>
      </c>
      <c r="C30">
        <v>8</v>
      </c>
    </row>
    <row r="31" spans="1:3" x14ac:dyDescent="0.25">
      <c r="A31" t="s">
        <v>619</v>
      </c>
      <c r="B31" s="1" t="s">
        <v>619</v>
      </c>
      <c r="C31">
        <v>100</v>
      </c>
    </row>
    <row r="32" spans="1:3" x14ac:dyDescent="0.25">
      <c r="A32" t="s">
        <v>620</v>
      </c>
      <c r="B32" t="s">
        <v>620</v>
      </c>
      <c r="C32">
        <v>4</v>
      </c>
    </row>
    <row r="33" spans="1:3" x14ac:dyDescent="0.25">
      <c r="A33" t="s">
        <v>621</v>
      </c>
      <c r="B33" t="s">
        <v>621</v>
      </c>
      <c r="C33">
        <v>20</v>
      </c>
    </row>
    <row r="34" spans="1:3" x14ac:dyDescent="0.25">
      <c r="A34" t="s">
        <v>622</v>
      </c>
      <c r="B34" t="s">
        <v>622</v>
      </c>
      <c r="C34">
        <v>40</v>
      </c>
    </row>
    <row r="35" spans="1:3" x14ac:dyDescent="0.25">
      <c r="A35" t="s">
        <v>623</v>
      </c>
      <c r="B35" t="s">
        <v>623</v>
      </c>
      <c r="C35">
        <v>200</v>
      </c>
    </row>
    <row r="36" spans="1:3" x14ac:dyDescent="0.25">
      <c r="A36" t="s">
        <v>624</v>
      </c>
      <c r="B36" t="s">
        <v>624</v>
      </c>
      <c r="C36">
        <v>40</v>
      </c>
    </row>
    <row r="37" spans="1:3" x14ac:dyDescent="0.25">
      <c r="A37" t="s">
        <v>625</v>
      </c>
      <c r="B37" t="s">
        <v>625</v>
      </c>
      <c r="C37">
        <v>500</v>
      </c>
    </row>
    <row r="38" spans="1:3" x14ac:dyDescent="0.25">
      <c r="A38" t="s">
        <v>626</v>
      </c>
      <c r="B38" t="s">
        <v>626</v>
      </c>
      <c r="C38">
        <v>180</v>
      </c>
    </row>
    <row r="39" spans="1:3" x14ac:dyDescent="0.25">
      <c r="A39" t="s">
        <v>627</v>
      </c>
      <c r="B39" t="s">
        <v>627</v>
      </c>
      <c r="C39">
        <v>75</v>
      </c>
    </row>
    <row r="40" spans="1:3" x14ac:dyDescent="0.25">
      <c r="A40" t="s">
        <v>628</v>
      </c>
      <c r="B40" t="s">
        <v>628</v>
      </c>
      <c r="C40">
        <v>8400</v>
      </c>
    </row>
    <row r="41" spans="1:3" x14ac:dyDescent="0.25">
      <c r="A41" t="s">
        <v>629</v>
      </c>
      <c r="B41" t="s">
        <v>629</v>
      </c>
      <c r="C41">
        <v>400</v>
      </c>
    </row>
    <row r="42" spans="1:3" x14ac:dyDescent="0.25">
      <c r="A42" t="s">
        <v>630</v>
      </c>
      <c r="B42" t="s">
        <v>630</v>
      </c>
      <c r="C42">
        <v>14000</v>
      </c>
    </row>
    <row r="43" spans="1:3" x14ac:dyDescent="0.25">
      <c r="A43" t="s">
        <v>631</v>
      </c>
      <c r="B43" t="s">
        <v>631</v>
      </c>
      <c r="C43">
        <v>200</v>
      </c>
    </row>
    <row r="44" spans="1:3" x14ac:dyDescent="0.25">
      <c r="A44" t="s">
        <v>632</v>
      </c>
      <c r="B44" t="s">
        <v>632</v>
      </c>
      <c r="C44">
        <v>13400</v>
      </c>
    </row>
    <row r="45" spans="1:3" x14ac:dyDescent="0.25">
      <c r="A45" t="s">
        <v>633</v>
      </c>
      <c r="B45" t="s">
        <v>633</v>
      </c>
      <c r="C45">
        <v>2900</v>
      </c>
    </row>
    <row r="46" spans="1:3" x14ac:dyDescent="0.25">
      <c r="A46" t="s">
        <v>634</v>
      </c>
      <c r="B46" t="s">
        <v>634</v>
      </c>
      <c r="C46">
        <v>4800</v>
      </c>
    </row>
    <row r="47" spans="1:3" x14ac:dyDescent="0.25">
      <c r="A47" t="s">
        <v>635</v>
      </c>
      <c r="B47" t="s">
        <v>635</v>
      </c>
      <c r="C47">
        <v>1600</v>
      </c>
    </row>
    <row r="48" spans="1:3" x14ac:dyDescent="0.25">
      <c r="A48" t="s">
        <v>636</v>
      </c>
      <c r="B48" s="2" t="s">
        <v>637</v>
      </c>
      <c r="C48">
        <v>200</v>
      </c>
    </row>
    <row r="49" spans="1:3" x14ac:dyDescent="0.25">
      <c r="A49" t="s">
        <v>638</v>
      </c>
      <c r="B49" t="s">
        <v>638</v>
      </c>
      <c r="C49">
        <v>2600</v>
      </c>
    </row>
    <row r="50" spans="1:3" x14ac:dyDescent="0.25">
      <c r="A50" t="s">
        <v>639</v>
      </c>
      <c r="B50" t="s">
        <v>639</v>
      </c>
      <c r="C50">
        <v>5600</v>
      </c>
    </row>
    <row r="51" spans="1:3" x14ac:dyDescent="0.25">
      <c r="A51" t="s">
        <v>640</v>
      </c>
      <c r="B51" s="2" t="s">
        <v>641</v>
      </c>
      <c r="C51">
        <v>200</v>
      </c>
    </row>
    <row r="52" spans="1:3" x14ac:dyDescent="0.25">
      <c r="A52" t="s">
        <v>642</v>
      </c>
      <c r="B52" t="s">
        <v>642</v>
      </c>
      <c r="C52">
        <v>400</v>
      </c>
    </row>
    <row r="53" spans="1:3" x14ac:dyDescent="0.25">
      <c r="A53" t="s">
        <v>643</v>
      </c>
      <c r="B53" t="s">
        <v>643</v>
      </c>
      <c r="C53">
        <v>300</v>
      </c>
    </row>
    <row r="54" spans="1:3" x14ac:dyDescent="0.25">
      <c r="A54" t="s">
        <v>644</v>
      </c>
      <c r="B54" s="2" t="s">
        <v>645</v>
      </c>
      <c r="C54">
        <v>300</v>
      </c>
    </row>
    <row r="55" spans="1:3" x14ac:dyDescent="0.25">
      <c r="A55" t="s">
        <v>646</v>
      </c>
      <c r="B55" s="2" t="s">
        <v>647</v>
      </c>
      <c r="C55">
        <v>200</v>
      </c>
    </row>
    <row r="56" spans="1:3" x14ac:dyDescent="0.25">
      <c r="A56" t="s">
        <v>648</v>
      </c>
      <c r="B56" t="s">
        <v>648</v>
      </c>
      <c r="C56">
        <v>20</v>
      </c>
    </row>
    <row r="57" spans="1:3" x14ac:dyDescent="0.25">
      <c r="A57" t="s">
        <v>57</v>
      </c>
      <c r="B57" t="s">
        <v>57</v>
      </c>
      <c r="C57">
        <v>10</v>
      </c>
    </row>
    <row r="58" spans="1:3" x14ac:dyDescent="0.25">
      <c r="A58" t="s">
        <v>94</v>
      </c>
      <c r="B58" t="s">
        <v>94</v>
      </c>
      <c r="C58">
        <v>35</v>
      </c>
    </row>
    <row r="59" spans="1:3" x14ac:dyDescent="0.25">
      <c r="A59" t="s">
        <v>96</v>
      </c>
      <c r="B59" t="s">
        <v>96</v>
      </c>
      <c r="C59">
        <v>5</v>
      </c>
    </row>
    <row r="60" spans="1:3" x14ac:dyDescent="0.25">
      <c r="A60" t="s">
        <v>114</v>
      </c>
      <c r="B60" t="s">
        <v>114</v>
      </c>
      <c r="C60">
        <v>10</v>
      </c>
    </row>
    <row r="61" spans="1:3" x14ac:dyDescent="0.25">
      <c r="A61" t="s">
        <v>136</v>
      </c>
      <c r="B61" t="s">
        <v>136</v>
      </c>
      <c r="C61">
        <v>5</v>
      </c>
    </row>
    <row r="62" spans="1:3" x14ac:dyDescent="0.25">
      <c r="A62" t="s">
        <v>138</v>
      </c>
      <c r="B62" t="s">
        <v>138</v>
      </c>
      <c r="C62">
        <v>5</v>
      </c>
    </row>
    <row r="63" spans="1:3" x14ac:dyDescent="0.25">
      <c r="A63" t="s">
        <v>157</v>
      </c>
      <c r="B63" t="s">
        <v>157</v>
      </c>
      <c r="C63">
        <v>20</v>
      </c>
    </row>
    <row r="64" spans="1:3" x14ac:dyDescent="0.25">
      <c r="A64" t="s">
        <v>159</v>
      </c>
      <c r="B64" t="s">
        <v>159</v>
      </c>
      <c r="C64">
        <v>5</v>
      </c>
    </row>
    <row r="65" spans="1:3" x14ac:dyDescent="0.25">
      <c r="A65" t="s">
        <v>161</v>
      </c>
      <c r="B65" t="s">
        <v>161</v>
      </c>
      <c r="C65">
        <v>5</v>
      </c>
    </row>
    <row r="66" spans="1:3" x14ac:dyDescent="0.25">
      <c r="A66" t="s">
        <v>179</v>
      </c>
      <c r="B66" t="s">
        <v>179</v>
      </c>
      <c r="C66">
        <v>20</v>
      </c>
    </row>
    <row r="67" spans="1:3" x14ac:dyDescent="0.25">
      <c r="A67" t="s">
        <v>185</v>
      </c>
      <c r="B67" t="s">
        <v>185</v>
      </c>
      <c r="C67">
        <v>20</v>
      </c>
    </row>
    <row r="68" spans="1:3" x14ac:dyDescent="0.25">
      <c r="A68" t="s">
        <v>189</v>
      </c>
      <c r="B68" t="s">
        <v>189</v>
      </c>
      <c r="C68">
        <v>30</v>
      </c>
    </row>
    <row r="69" spans="1:3" x14ac:dyDescent="0.25">
      <c r="A69" t="s">
        <v>205</v>
      </c>
      <c r="B69" t="s">
        <v>205</v>
      </c>
      <c r="C69">
        <v>40</v>
      </c>
    </row>
    <row r="70" spans="1:3" x14ac:dyDescent="0.25">
      <c r="A70" t="s">
        <v>208</v>
      </c>
      <c r="B70" t="s">
        <v>208</v>
      </c>
      <c r="C70">
        <v>30</v>
      </c>
    </row>
    <row r="71" spans="1:3" x14ac:dyDescent="0.25">
      <c r="A71" t="s">
        <v>212</v>
      </c>
      <c r="B71" t="s">
        <v>212</v>
      </c>
      <c r="C71">
        <v>50</v>
      </c>
    </row>
    <row r="72" spans="1:3" x14ac:dyDescent="0.25">
      <c r="A72" t="s">
        <v>234</v>
      </c>
      <c r="B72" t="s">
        <v>234</v>
      </c>
      <c r="C72">
        <v>450</v>
      </c>
    </row>
    <row r="73" spans="1:3" x14ac:dyDescent="0.25">
      <c r="A73" t="s">
        <v>237</v>
      </c>
      <c r="B73" t="s">
        <v>237</v>
      </c>
      <c r="C73">
        <v>650</v>
      </c>
    </row>
    <row r="74" spans="1:3" x14ac:dyDescent="0.25">
      <c r="A74" t="s">
        <v>239</v>
      </c>
      <c r="B74" t="s">
        <v>239</v>
      </c>
      <c r="C74">
        <v>300</v>
      </c>
    </row>
    <row r="75" spans="1:3" x14ac:dyDescent="0.25">
      <c r="A75" t="s">
        <v>243</v>
      </c>
      <c r="B75" t="s">
        <v>243</v>
      </c>
      <c r="C75">
        <v>30</v>
      </c>
    </row>
    <row r="76" spans="1:3" x14ac:dyDescent="0.25">
      <c r="A76" t="s">
        <v>245</v>
      </c>
      <c r="B76" t="s">
        <v>245</v>
      </c>
      <c r="C76">
        <v>20</v>
      </c>
    </row>
    <row r="77" spans="1:3" x14ac:dyDescent="0.25">
      <c r="A77" t="s">
        <v>247</v>
      </c>
      <c r="B77" t="s">
        <v>247</v>
      </c>
      <c r="C77">
        <v>10</v>
      </c>
    </row>
    <row r="78" spans="1:3" x14ac:dyDescent="0.25">
      <c r="A78" t="s">
        <v>255</v>
      </c>
      <c r="B78" t="s">
        <v>255</v>
      </c>
      <c r="C78">
        <v>200</v>
      </c>
    </row>
    <row r="79" spans="1:3" x14ac:dyDescent="0.25">
      <c r="A79" t="s">
        <v>260</v>
      </c>
      <c r="B79" t="s">
        <v>260</v>
      </c>
      <c r="C79">
        <v>100</v>
      </c>
    </row>
    <row r="80" spans="1:3" x14ac:dyDescent="0.25">
      <c r="A80" t="s">
        <v>262</v>
      </c>
      <c r="B80" t="s">
        <v>262</v>
      </c>
      <c r="C80">
        <v>50</v>
      </c>
    </row>
    <row r="81" spans="1:3" x14ac:dyDescent="0.25">
      <c r="A81" t="s">
        <v>264</v>
      </c>
      <c r="B81" t="s">
        <v>264</v>
      </c>
      <c r="C81">
        <v>650</v>
      </c>
    </row>
    <row r="82" spans="1:3" x14ac:dyDescent="0.25">
      <c r="A82" t="s">
        <v>266</v>
      </c>
      <c r="B82" t="s">
        <v>266</v>
      </c>
      <c r="C82">
        <v>350</v>
      </c>
    </row>
    <row r="83" spans="1:3" x14ac:dyDescent="0.25">
      <c r="A83" t="s">
        <v>268</v>
      </c>
      <c r="B83" t="s">
        <v>268</v>
      </c>
      <c r="C83">
        <v>350</v>
      </c>
    </row>
    <row r="84" spans="1:3" x14ac:dyDescent="0.25">
      <c r="A84" t="s">
        <v>280</v>
      </c>
      <c r="B84" t="s">
        <v>280</v>
      </c>
      <c r="C84">
        <v>20</v>
      </c>
    </row>
    <row r="85" spans="1:3" x14ac:dyDescent="0.25">
      <c r="A85" t="s">
        <v>199</v>
      </c>
      <c r="B85" t="s">
        <v>199</v>
      </c>
      <c r="C85">
        <v>20</v>
      </c>
    </row>
    <row r="86" spans="1:3" x14ac:dyDescent="0.25">
      <c r="A86" t="s">
        <v>201</v>
      </c>
      <c r="B86" t="s">
        <v>201</v>
      </c>
      <c r="C86">
        <v>10</v>
      </c>
    </row>
    <row r="87" spans="1:3" x14ac:dyDescent="0.25">
      <c r="A87" t="s">
        <v>203</v>
      </c>
      <c r="B87" t="s">
        <v>203</v>
      </c>
      <c r="C87">
        <v>10</v>
      </c>
    </row>
    <row r="88" spans="1:3" x14ac:dyDescent="0.25">
      <c r="A88" t="s">
        <v>226</v>
      </c>
      <c r="B88" t="s">
        <v>226</v>
      </c>
      <c r="C88">
        <v>30</v>
      </c>
    </row>
    <row r="89" spans="1:3" x14ac:dyDescent="0.25">
      <c r="A89" t="s">
        <v>249</v>
      </c>
      <c r="B89" t="s">
        <v>249</v>
      </c>
      <c r="C89">
        <v>200</v>
      </c>
    </row>
    <row r="90" spans="1:3" x14ac:dyDescent="0.25">
      <c r="A90" t="s">
        <v>251</v>
      </c>
      <c r="B90" t="s">
        <v>251</v>
      </c>
      <c r="C90">
        <v>100</v>
      </c>
    </row>
    <row r="91" spans="1:3" x14ac:dyDescent="0.25">
      <c r="A91" t="s">
        <v>253</v>
      </c>
      <c r="B91" t="s">
        <v>253</v>
      </c>
      <c r="C91">
        <v>100</v>
      </c>
    </row>
    <row r="92" spans="1:3" x14ac:dyDescent="0.25">
      <c r="A92" t="s">
        <v>270</v>
      </c>
      <c r="B92" t="s">
        <v>270</v>
      </c>
      <c r="C92">
        <v>850</v>
      </c>
    </row>
    <row r="93" spans="1:3" x14ac:dyDescent="0.25">
      <c r="A93" t="s">
        <v>274</v>
      </c>
      <c r="B93" t="s">
        <v>274</v>
      </c>
      <c r="C93">
        <v>750</v>
      </c>
    </row>
    <row r="94" spans="1:3" x14ac:dyDescent="0.25">
      <c r="A94" t="s">
        <v>278</v>
      </c>
      <c r="B94" t="s">
        <v>278</v>
      </c>
      <c r="C94">
        <v>250</v>
      </c>
    </row>
    <row r="95" spans="1:3" x14ac:dyDescent="0.25">
      <c r="A95" t="s">
        <v>293</v>
      </c>
      <c r="B95" t="s">
        <v>293</v>
      </c>
      <c r="C95">
        <v>10</v>
      </c>
    </row>
    <row r="96" spans="1:3" x14ac:dyDescent="0.25">
      <c r="A96" t="s">
        <v>362</v>
      </c>
      <c r="B96" t="s">
        <v>362</v>
      </c>
      <c r="C96">
        <v>50</v>
      </c>
    </row>
    <row r="97" spans="1:3" x14ac:dyDescent="0.25">
      <c r="A97" t="s">
        <v>368</v>
      </c>
      <c r="B97" t="s">
        <v>368</v>
      </c>
      <c r="C97">
        <v>50</v>
      </c>
    </row>
    <row r="98" spans="1:3" x14ac:dyDescent="0.25">
      <c r="A98" t="s">
        <v>382</v>
      </c>
      <c r="B98" t="s">
        <v>382</v>
      </c>
      <c r="C98">
        <v>50</v>
      </c>
    </row>
    <row r="99" spans="1:3" x14ac:dyDescent="0.25">
      <c r="A99" t="s">
        <v>386</v>
      </c>
      <c r="B99" t="s">
        <v>386</v>
      </c>
      <c r="C99">
        <v>50</v>
      </c>
    </row>
    <row r="100" spans="1:3" x14ac:dyDescent="0.25">
      <c r="A100" t="s">
        <v>392</v>
      </c>
      <c r="B100" t="s">
        <v>392</v>
      </c>
      <c r="C100">
        <v>50</v>
      </c>
    </row>
    <row r="101" spans="1:3" x14ac:dyDescent="0.25">
      <c r="A101" t="s">
        <v>404</v>
      </c>
      <c r="B101" t="s">
        <v>404</v>
      </c>
      <c r="C101">
        <v>20</v>
      </c>
    </row>
    <row r="102" spans="1:3" x14ac:dyDescent="0.25">
      <c r="A102" t="s">
        <v>417</v>
      </c>
      <c r="B102" t="s">
        <v>417</v>
      </c>
      <c r="C102">
        <v>20</v>
      </c>
    </row>
    <row r="103" spans="1:3" x14ac:dyDescent="0.25">
      <c r="A103" t="s">
        <v>447</v>
      </c>
      <c r="B103" t="s">
        <v>447</v>
      </c>
      <c r="C103">
        <v>50</v>
      </c>
    </row>
    <row r="104" spans="1:3" x14ac:dyDescent="0.25">
      <c r="A104" t="s">
        <v>453</v>
      </c>
      <c r="B104" t="s">
        <v>453</v>
      </c>
      <c r="C104">
        <v>10</v>
      </c>
    </row>
    <row r="105" spans="1:3" x14ac:dyDescent="0.25">
      <c r="A105" t="s">
        <v>459</v>
      </c>
      <c r="B105" t="s">
        <v>459</v>
      </c>
      <c r="C105">
        <v>5</v>
      </c>
    </row>
    <row r="106" spans="1:3" x14ac:dyDescent="0.25">
      <c r="A106" t="s">
        <v>463</v>
      </c>
      <c r="B106" t="s">
        <v>463</v>
      </c>
      <c r="C106">
        <v>5</v>
      </c>
    </row>
    <row r="107" spans="1:3" x14ac:dyDescent="0.25">
      <c r="A107" t="s">
        <v>470</v>
      </c>
      <c r="B107" t="s">
        <v>470</v>
      </c>
      <c r="C107">
        <v>25</v>
      </c>
    </row>
    <row r="108" spans="1:3" x14ac:dyDescent="0.25">
      <c r="A108" t="s">
        <v>541</v>
      </c>
      <c r="B108" t="s">
        <v>541</v>
      </c>
      <c r="C108">
        <v>20</v>
      </c>
    </row>
    <row r="109" spans="1:3" x14ac:dyDescent="0.25">
      <c r="A109" t="s">
        <v>544</v>
      </c>
      <c r="B109" t="s">
        <v>544</v>
      </c>
      <c r="C109">
        <v>20</v>
      </c>
    </row>
    <row r="110" spans="1:3" x14ac:dyDescent="0.25">
      <c r="A110" t="s">
        <v>546</v>
      </c>
      <c r="B110" t="s">
        <v>546</v>
      </c>
      <c r="C110">
        <v>10</v>
      </c>
    </row>
    <row r="111" spans="1:3" x14ac:dyDescent="0.25">
      <c r="A111" t="s">
        <v>554</v>
      </c>
      <c r="B111" t="s">
        <v>554</v>
      </c>
      <c r="C111">
        <v>20</v>
      </c>
    </row>
    <row r="112" spans="1:3" x14ac:dyDescent="0.25">
      <c r="A112" t="s">
        <v>559</v>
      </c>
      <c r="B112" t="s">
        <v>559</v>
      </c>
      <c r="C112">
        <v>10</v>
      </c>
    </row>
    <row r="113" spans="1:3" x14ac:dyDescent="0.25">
      <c r="A113" t="s">
        <v>509</v>
      </c>
      <c r="B113" t="s">
        <v>509</v>
      </c>
      <c r="C113">
        <v>20</v>
      </c>
    </row>
    <row r="114" spans="1:3" x14ac:dyDescent="0.25">
      <c r="A114" t="s">
        <v>561</v>
      </c>
      <c r="B114" t="s">
        <v>561</v>
      </c>
      <c r="C114">
        <v>40</v>
      </c>
    </row>
    <row r="115" spans="1:3" x14ac:dyDescent="0.25">
      <c r="A115" t="s">
        <v>563</v>
      </c>
      <c r="B115" t="s">
        <v>563</v>
      </c>
      <c r="C115">
        <v>30</v>
      </c>
    </row>
    <row r="116" spans="1:3" x14ac:dyDescent="0.25">
      <c r="A116" t="s">
        <v>565</v>
      </c>
      <c r="B116" t="s">
        <v>565</v>
      </c>
      <c r="C116">
        <v>50</v>
      </c>
    </row>
    <row r="117" spans="1:3" x14ac:dyDescent="0.25">
      <c r="A117" t="s">
        <v>649</v>
      </c>
      <c r="B117" t="s">
        <v>649</v>
      </c>
      <c r="C117">
        <v>100</v>
      </c>
    </row>
    <row r="118" spans="1:3" x14ac:dyDescent="0.25">
      <c r="A118" t="s">
        <v>650</v>
      </c>
      <c r="B118" t="s">
        <v>650</v>
      </c>
      <c r="C118">
        <v>160</v>
      </c>
    </row>
    <row r="119" spans="1:3" x14ac:dyDescent="0.25">
      <c r="A119" t="s">
        <v>651</v>
      </c>
      <c r="B119" t="s">
        <v>651</v>
      </c>
      <c r="C119">
        <v>300</v>
      </c>
    </row>
    <row r="120" spans="1:3" x14ac:dyDescent="0.25">
      <c r="A120" t="s">
        <v>652</v>
      </c>
      <c r="B120" t="s">
        <v>652</v>
      </c>
      <c r="C120">
        <v>200</v>
      </c>
    </row>
    <row r="121" spans="1:3" x14ac:dyDescent="0.25">
      <c r="A121" t="s">
        <v>653</v>
      </c>
      <c r="B121" t="s">
        <v>653</v>
      </c>
      <c r="C121">
        <v>42</v>
      </c>
    </row>
    <row r="122" spans="1:3" x14ac:dyDescent="0.25">
      <c r="A122" t="s">
        <v>654</v>
      </c>
      <c r="B122" t="s">
        <v>654</v>
      </c>
      <c r="C122">
        <v>100</v>
      </c>
    </row>
    <row r="123" spans="1:3" x14ac:dyDescent="0.25">
      <c r="A123" t="s">
        <v>655</v>
      </c>
      <c r="B123" t="s">
        <v>655</v>
      </c>
      <c r="C123">
        <v>200</v>
      </c>
    </row>
    <row r="124" spans="1:3" x14ac:dyDescent="0.25">
      <c r="A124" t="s">
        <v>656</v>
      </c>
      <c r="B124" t="s">
        <v>656</v>
      </c>
      <c r="C124">
        <v>100</v>
      </c>
    </row>
    <row r="125" spans="1:3" x14ac:dyDescent="0.25">
      <c r="A125" t="s">
        <v>657</v>
      </c>
      <c r="B125" t="s">
        <v>657</v>
      </c>
      <c r="C125">
        <v>3</v>
      </c>
    </row>
    <row r="126" spans="1:3" x14ac:dyDescent="0.25">
      <c r="A126" t="s">
        <v>658</v>
      </c>
      <c r="B126" t="s">
        <v>658</v>
      </c>
      <c r="C126">
        <v>4</v>
      </c>
    </row>
    <row r="127" spans="1:3" x14ac:dyDescent="0.25">
      <c r="A127" t="s">
        <v>659</v>
      </c>
      <c r="B127" t="s">
        <v>659</v>
      </c>
      <c r="C127">
        <v>2</v>
      </c>
    </row>
    <row r="128" spans="1:3" x14ac:dyDescent="0.25">
      <c r="A128" t="s">
        <v>660</v>
      </c>
      <c r="B128" t="s">
        <v>660</v>
      </c>
      <c r="C128">
        <v>15</v>
      </c>
    </row>
    <row r="129" spans="1:3" x14ac:dyDescent="0.25">
      <c r="A129" t="s">
        <v>661</v>
      </c>
      <c r="B129" t="s">
        <v>661</v>
      </c>
      <c r="C129">
        <v>12</v>
      </c>
    </row>
    <row r="130" spans="1:3" x14ac:dyDescent="0.25">
      <c r="A130" t="s">
        <v>662</v>
      </c>
      <c r="B130" t="s">
        <v>662</v>
      </c>
      <c r="C130">
        <v>6</v>
      </c>
    </row>
    <row r="131" spans="1:3" x14ac:dyDescent="0.25">
      <c r="A131" t="s">
        <v>663</v>
      </c>
      <c r="B131" t="s">
        <v>663</v>
      </c>
      <c r="C131">
        <v>18</v>
      </c>
    </row>
    <row r="132" spans="1:3" x14ac:dyDescent="0.25">
      <c r="A132" t="s">
        <v>664</v>
      </c>
      <c r="B132" t="s">
        <v>664</v>
      </c>
      <c r="C132">
        <v>4</v>
      </c>
    </row>
    <row r="133" spans="1:3" x14ac:dyDescent="0.25">
      <c r="A133" t="s">
        <v>665</v>
      </c>
      <c r="B133" t="s">
        <v>665</v>
      </c>
      <c r="C133">
        <v>29</v>
      </c>
    </row>
    <row r="134" spans="1:3" x14ac:dyDescent="0.25">
      <c r="A134" t="s">
        <v>666</v>
      </c>
      <c r="B134" t="s">
        <v>666</v>
      </c>
      <c r="C134">
        <v>24</v>
      </c>
    </row>
    <row r="135" spans="1:3" x14ac:dyDescent="0.25">
      <c r="A135" t="s">
        <v>667</v>
      </c>
      <c r="B135" t="s">
        <v>667</v>
      </c>
      <c r="C135">
        <v>42</v>
      </c>
    </row>
    <row r="136" spans="1:3" x14ac:dyDescent="0.25">
      <c r="A136" t="s">
        <v>668</v>
      </c>
      <c r="B136" t="s">
        <v>668</v>
      </c>
      <c r="C136">
        <v>21</v>
      </c>
    </row>
    <row r="137" spans="1:3" x14ac:dyDescent="0.25">
      <c r="A137" t="s">
        <v>669</v>
      </c>
      <c r="B137" t="s">
        <v>669</v>
      </c>
      <c r="C137">
        <v>2</v>
      </c>
    </row>
    <row r="138" spans="1:3" x14ac:dyDescent="0.25">
      <c r="A138" t="s">
        <v>670</v>
      </c>
      <c r="B138" t="s">
        <v>670</v>
      </c>
      <c r="C138">
        <v>20</v>
      </c>
    </row>
    <row r="139" spans="1:3" x14ac:dyDescent="0.25">
      <c r="A139" t="s">
        <v>671</v>
      </c>
      <c r="B139" t="s">
        <v>671</v>
      </c>
      <c r="C139">
        <v>8</v>
      </c>
    </row>
    <row r="140" spans="1:3" x14ac:dyDescent="0.25">
      <c r="A140" t="s">
        <v>672</v>
      </c>
      <c r="B140" t="s">
        <v>672</v>
      </c>
      <c r="C140">
        <v>12</v>
      </c>
    </row>
    <row r="141" spans="1:3" x14ac:dyDescent="0.25">
      <c r="A141" t="s">
        <v>673</v>
      </c>
      <c r="B141" t="s">
        <v>673</v>
      </c>
      <c r="C141">
        <v>20</v>
      </c>
    </row>
    <row r="142" spans="1:3" x14ac:dyDescent="0.25">
      <c r="A142" t="s">
        <v>674</v>
      </c>
      <c r="B142" t="s">
        <v>674</v>
      </c>
      <c r="C142">
        <v>3</v>
      </c>
    </row>
    <row r="143" spans="1:3" x14ac:dyDescent="0.25">
      <c r="A143" t="s">
        <v>675</v>
      </c>
      <c r="B143" t="s">
        <v>675</v>
      </c>
      <c r="C143">
        <v>3</v>
      </c>
    </row>
    <row r="144" spans="1:3" x14ac:dyDescent="0.25">
      <c r="A144" t="s">
        <v>676</v>
      </c>
      <c r="B144" t="s">
        <v>676</v>
      </c>
      <c r="C144">
        <v>3</v>
      </c>
    </row>
    <row r="145" spans="1:3" x14ac:dyDescent="0.25">
      <c r="A145" t="s">
        <v>677</v>
      </c>
      <c r="B145" t="s">
        <v>677</v>
      </c>
      <c r="C145">
        <v>5</v>
      </c>
    </row>
    <row r="146" spans="1:3" x14ac:dyDescent="0.25">
      <c r="A146" t="s">
        <v>678</v>
      </c>
      <c r="B146" t="s">
        <v>678</v>
      </c>
      <c r="C146">
        <v>3</v>
      </c>
    </row>
    <row r="147" spans="1:3" x14ac:dyDescent="0.25">
      <c r="A147" t="s">
        <v>679</v>
      </c>
      <c r="B147" t="s">
        <v>679</v>
      </c>
      <c r="C147">
        <v>5</v>
      </c>
    </row>
    <row r="148" spans="1:3" x14ac:dyDescent="0.25">
      <c r="A148" t="s">
        <v>680</v>
      </c>
      <c r="B148" t="s">
        <v>680</v>
      </c>
      <c r="C148">
        <v>2</v>
      </c>
    </row>
    <row r="149" spans="1:3" x14ac:dyDescent="0.25">
      <c r="A149" t="s">
        <v>681</v>
      </c>
      <c r="B149" t="s">
        <v>681</v>
      </c>
      <c r="C149">
        <v>6</v>
      </c>
    </row>
    <row r="150" spans="1:3" x14ac:dyDescent="0.25">
      <c r="A150" t="s">
        <v>682</v>
      </c>
      <c r="B150" t="s">
        <v>682</v>
      </c>
      <c r="C150">
        <v>2</v>
      </c>
    </row>
    <row r="151" spans="1:3" x14ac:dyDescent="0.25">
      <c r="A151" t="s">
        <v>683</v>
      </c>
      <c r="B151" t="s">
        <v>683</v>
      </c>
      <c r="C151">
        <v>2</v>
      </c>
    </row>
    <row r="152" spans="1:3" x14ac:dyDescent="0.25">
      <c r="A152" t="s">
        <v>684</v>
      </c>
      <c r="B152" t="s">
        <v>684</v>
      </c>
      <c r="C152">
        <v>3</v>
      </c>
    </row>
    <row r="153" spans="1:3" x14ac:dyDescent="0.25">
      <c r="A153" t="s">
        <v>685</v>
      </c>
      <c r="B153" t="s">
        <v>685</v>
      </c>
      <c r="C153">
        <v>2</v>
      </c>
    </row>
    <row r="154" spans="1:3" x14ac:dyDescent="0.25">
      <c r="A154" t="s">
        <v>686</v>
      </c>
      <c r="B154" t="s">
        <v>686</v>
      </c>
      <c r="C154">
        <v>2</v>
      </c>
    </row>
    <row r="155" spans="1:3" x14ac:dyDescent="0.25">
      <c r="A155" t="s">
        <v>687</v>
      </c>
      <c r="B155" t="s">
        <v>687</v>
      </c>
      <c r="C155">
        <v>5</v>
      </c>
    </row>
    <row r="156" spans="1:3" x14ac:dyDescent="0.25">
      <c r="A156" t="s">
        <v>688</v>
      </c>
      <c r="B156" t="s">
        <v>688</v>
      </c>
      <c r="C156">
        <v>5</v>
      </c>
    </row>
    <row r="157" spans="1:3" x14ac:dyDescent="0.25">
      <c r="A157" t="s">
        <v>689</v>
      </c>
      <c r="B157" t="s">
        <v>689</v>
      </c>
      <c r="C157">
        <v>2</v>
      </c>
    </row>
    <row r="158" spans="1:3" x14ac:dyDescent="0.25">
      <c r="A158" t="s">
        <v>690</v>
      </c>
      <c r="B158" t="s">
        <v>690</v>
      </c>
      <c r="C158">
        <v>2</v>
      </c>
    </row>
    <row r="159" spans="1:3" x14ac:dyDescent="0.25">
      <c r="A159" t="s">
        <v>691</v>
      </c>
      <c r="B159" t="s">
        <v>691</v>
      </c>
      <c r="C159">
        <v>3</v>
      </c>
    </row>
    <row r="160" spans="1:3" x14ac:dyDescent="0.25">
      <c r="A160" t="s">
        <v>692</v>
      </c>
      <c r="B160" t="s">
        <v>692</v>
      </c>
      <c r="C160">
        <v>3</v>
      </c>
    </row>
    <row r="161" spans="1:3" x14ac:dyDescent="0.25">
      <c r="A161" t="s">
        <v>693</v>
      </c>
      <c r="B161" t="s">
        <v>693</v>
      </c>
      <c r="C161">
        <v>5</v>
      </c>
    </row>
    <row r="162" spans="1:3" x14ac:dyDescent="0.25">
      <c r="A162" t="s">
        <v>694</v>
      </c>
      <c r="B162" t="s">
        <v>694</v>
      </c>
      <c r="C162">
        <v>2</v>
      </c>
    </row>
    <row r="163" spans="1:3" x14ac:dyDescent="0.25">
      <c r="A163" t="s">
        <v>695</v>
      </c>
      <c r="B163" t="s">
        <v>695</v>
      </c>
      <c r="C163">
        <v>4</v>
      </c>
    </row>
    <row r="164" spans="1:3" x14ac:dyDescent="0.25">
      <c r="A164" t="s">
        <v>696</v>
      </c>
      <c r="B164" t="s">
        <v>696</v>
      </c>
      <c r="C164">
        <v>2</v>
      </c>
    </row>
    <row r="165" spans="1:3" x14ac:dyDescent="0.25">
      <c r="A165" t="s">
        <v>697</v>
      </c>
      <c r="B165" t="s">
        <v>697</v>
      </c>
      <c r="C165">
        <v>20</v>
      </c>
    </row>
    <row r="166" spans="1:3" x14ac:dyDescent="0.25">
      <c r="A166" t="s">
        <v>698</v>
      </c>
      <c r="B166" t="s">
        <v>698</v>
      </c>
      <c r="C166">
        <v>400</v>
      </c>
    </row>
    <row r="167" spans="1:3" x14ac:dyDescent="0.25">
      <c r="A167" t="s">
        <v>699</v>
      </c>
      <c r="B167" t="s">
        <v>699</v>
      </c>
      <c r="C167">
        <v>400</v>
      </c>
    </row>
    <row r="168" spans="1:3" x14ac:dyDescent="0.25">
      <c r="A168" t="s">
        <v>700</v>
      </c>
      <c r="B168" t="s">
        <v>700</v>
      </c>
      <c r="C168">
        <v>40</v>
      </c>
    </row>
    <row r="169" spans="1:3" x14ac:dyDescent="0.25">
      <c r="A169" t="s">
        <v>701</v>
      </c>
      <c r="B169" t="s">
        <v>701</v>
      </c>
      <c r="C169">
        <v>120</v>
      </c>
    </row>
    <row r="170" spans="1:3" x14ac:dyDescent="0.25">
      <c r="A170" t="s">
        <v>702</v>
      </c>
      <c r="B170" t="s">
        <v>702</v>
      </c>
      <c r="C170">
        <v>200</v>
      </c>
    </row>
    <row r="171" spans="1:3" x14ac:dyDescent="0.25">
      <c r="A171" t="s">
        <v>703</v>
      </c>
      <c r="B171" t="s">
        <v>703</v>
      </c>
      <c r="C171">
        <v>864</v>
      </c>
    </row>
    <row r="172" spans="1:3" x14ac:dyDescent="0.25">
      <c r="A172" t="s">
        <v>704</v>
      </c>
      <c r="B172" t="s">
        <v>704</v>
      </c>
      <c r="C172">
        <v>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 x14ac:dyDescent="0.25"/>
  <cols>
    <col min="1" max="2" width="24" customWidth="1"/>
    <col min="3" max="3" width="10" customWidth="1"/>
  </cols>
  <sheetData>
    <row r="1" spans="1:3" x14ac:dyDescent="0.25">
      <c r="A1" t="s">
        <v>588</v>
      </c>
      <c r="B1" t="s">
        <v>0</v>
      </c>
      <c r="C1" t="s">
        <v>589</v>
      </c>
    </row>
    <row r="2" spans="1:3" x14ac:dyDescent="0.25">
      <c r="A2" t="s">
        <v>590</v>
      </c>
      <c r="B2" t="s">
        <v>590</v>
      </c>
      <c r="C2">
        <v>100</v>
      </c>
    </row>
    <row r="3" spans="1:3" x14ac:dyDescent="0.25">
      <c r="A3" t="s">
        <v>593</v>
      </c>
      <c r="B3" t="s">
        <v>593</v>
      </c>
      <c r="C3">
        <v>100</v>
      </c>
    </row>
    <row r="4" spans="1:3" x14ac:dyDescent="0.25">
      <c r="A4" t="s">
        <v>596</v>
      </c>
      <c r="B4" t="s">
        <v>596</v>
      </c>
      <c r="C4">
        <v>800</v>
      </c>
    </row>
    <row r="5" spans="1:3" x14ac:dyDescent="0.25">
      <c r="A5" t="s">
        <v>597</v>
      </c>
      <c r="B5" t="s">
        <v>597</v>
      </c>
      <c r="C5">
        <v>4000</v>
      </c>
    </row>
    <row r="6" spans="1:3" x14ac:dyDescent="0.25">
      <c r="A6" t="s">
        <v>598</v>
      </c>
      <c r="B6" t="s">
        <v>598</v>
      </c>
      <c r="C6">
        <v>864</v>
      </c>
    </row>
    <row r="7" spans="1:3" x14ac:dyDescent="0.25">
      <c r="A7" t="s">
        <v>602</v>
      </c>
      <c r="B7" t="s">
        <v>602</v>
      </c>
      <c r="C7">
        <v>100</v>
      </c>
    </row>
    <row r="8" spans="1:3" x14ac:dyDescent="0.25">
      <c r="A8" t="s">
        <v>603</v>
      </c>
      <c r="B8" t="s">
        <v>603</v>
      </c>
      <c r="C8">
        <v>200</v>
      </c>
    </row>
    <row r="9" spans="1:3" x14ac:dyDescent="0.25">
      <c r="A9" t="s">
        <v>607</v>
      </c>
      <c r="B9" t="s">
        <v>607</v>
      </c>
      <c r="C9">
        <v>100</v>
      </c>
    </row>
    <row r="10" spans="1:3" x14ac:dyDescent="0.25">
      <c r="A10" t="s">
        <v>608</v>
      </c>
      <c r="B10" t="s">
        <v>608</v>
      </c>
      <c r="C10">
        <v>200</v>
      </c>
    </row>
    <row r="11" spans="1:3" x14ac:dyDescent="0.25">
      <c r="A11" t="s">
        <v>610</v>
      </c>
      <c r="B11" t="s">
        <v>610</v>
      </c>
      <c r="C11">
        <v>80</v>
      </c>
    </row>
    <row r="12" spans="1:3" x14ac:dyDescent="0.25">
      <c r="A12" t="s">
        <v>614</v>
      </c>
      <c r="B12" t="s">
        <v>614</v>
      </c>
      <c r="C12">
        <v>800</v>
      </c>
    </row>
    <row r="13" spans="1:3" x14ac:dyDescent="0.25">
      <c r="A13" t="s">
        <v>615</v>
      </c>
      <c r="B13" t="s">
        <v>615</v>
      </c>
      <c r="C13">
        <v>3000</v>
      </c>
    </row>
    <row r="14" spans="1:3" x14ac:dyDescent="0.25">
      <c r="A14" t="s">
        <v>616</v>
      </c>
      <c r="B14" t="s">
        <v>616</v>
      </c>
      <c r="C14">
        <v>100</v>
      </c>
    </row>
    <row r="15" spans="1:3" x14ac:dyDescent="0.25">
      <c r="A15" t="s">
        <v>617</v>
      </c>
      <c r="B15" s="1" t="s">
        <v>617</v>
      </c>
      <c r="C15">
        <v>100</v>
      </c>
    </row>
    <row r="16" spans="1:3" x14ac:dyDescent="0.25">
      <c r="A16" t="s">
        <v>619</v>
      </c>
      <c r="B16" s="1" t="s">
        <v>619</v>
      </c>
      <c r="C16">
        <v>100</v>
      </c>
    </row>
    <row r="17" spans="1:3" x14ac:dyDescent="0.25">
      <c r="A17" t="s">
        <v>623</v>
      </c>
      <c r="B17" t="s">
        <v>623</v>
      </c>
      <c r="C17">
        <v>200</v>
      </c>
    </row>
    <row r="18" spans="1:3" x14ac:dyDescent="0.25">
      <c r="A18" t="s">
        <v>625</v>
      </c>
      <c r="B18" t="s">
        <v>625</v>
      </c>
      <c r="C18">
        <v>500</v>
      </c>
    </row>
    <row r="19" spans="1:3" x14ac:dyDescent="0.25">
      <c r="A19" t="s">
        <v>626</v>
      </c>
      <c r="B19" t="s">
        <v>626</v>
      </c>
      <c r="C19">
        <v>100</v>
      </c>
    </row>
    <row r="20" spans="1:3" x14ac:dyDescent="0.25">
      <c r="A20" t="s">
        <v>627</v>
      </c>
      <c r="B20" t="s">
        <v>627</v>
      </c>
      <c r="C20">
        <v>75</v>
      </c>
    </row>
    <row r="21" spans="1:3" x14ac:dyDescent="0.25">
      <c r="A21" t="s">
        <v>628</v>
      </c>
      <c r="B21" t="s">
        <v>628</v>
      </c>
      <c r="C21">
        <v>1400</v>
      </c>
    </row>
    <row r="22" spans="1:3" x14ac:dyDescent="0.25">
      <c r="A22" t="s">
        <v>630</v>
      </c>
      <c r="B22" t="s">
        <v>630</v>
      </c>
      <c r="C22">
        <v>3500</v>
      </c>
    </row>
    <row r="23" spans="1:3" x14ac:dyDescent="0.25">
      <c r="A23" t="s">
        <v>632</v>
      </c>
      <c r="B23" t="s">
        <v>632</v>
      </c>
      <c r="C23">
        <v>1600</v>
      </c>
    </row>
    <row r="24" spans="1:3" x14ac:dyDescent="0.25">
      <c r="A24" t="s">
        <v>634</v>
      </c>
      <c r="B24" t="s">
        <v>634</v>
      </c>
      <c r="C24">
        <v>600</v>
      </c>
    </row>
    <row r="25" spans="1:3" x14ac:dyDescent="0.25">
      <c r="A25" t="s">
        <v>638</v>
      </c>
      <c r="B25" t="s">
        <v>638</v>
      </c>
      <c r="C25">
        <v>500</v>
      </c>
    </row>
    <row r="26" spans="1:3" x14ac:dyDescent="0.25">
      <c r="A26" t="s">
        <v>639</v>
      </c>
      <c r="B26" t="s">
        <v>639</v>
      </c>
      <c r="C26">
        <v>1200</v>
      </c>
    </row>
    <row r="27" spans="1:3" x14ac:dyDescent="0.25">
      <c r="A27" t="s">
        <v>57</v>
      </c>
      <c r="B27" t="s">
        <v>57</v>
      </c>
      <c r="C27">
        <v>10</v>
      </c>
    </row>
    <row r="28" spans="1:3" x14ac:dyDescent="0.25">
      <c r="A28" t="s">
        <v>94</v>
      </c>
      <c r="B28" t="s">
        <v>94</v>
      </c>
      <c r="C28">
        <v>30</v>
      </c>
    </row>
    <row r="29" spans="1:3" x14ac:dyDescent="0.25">
      <c r="A29" t="s">
        <v>114</v>
      </c>
      <c r="B29" t="s">
        <v>114</v>
      </c>
      <c r="C29">
        <v>10</v>
      </c>
    </row>
    <row r="30" spans="1:3" x14ac:dyDescent="0.25">
      <c r="A30" t="s">
        <v>392</v>
      </c>
      <c r="B30" t="s">
        <v>392</v>
      </c>
      <c r="C30">
        <v>50</v>
      </c>
    </row>
    <row r="31" spans="1:3" x14ac:dyDescent="0.25">
      <c r="A31" t="s">
        <v>404</v>
      </c>
      <c r="B31" t="s">
        <v>404</v>
      </c>
      <c r="C31">
        <v>20</v>
      </c>
    </row>
    <row r="32" spans="1:3" x14ac:dyDescent="0.25">
      <c r="A32" t="s">
        <v>417</v>
      </c>
      <c r="B32" t="s">
        <v>417</v>
      </c>
      <c r="C32">
        <v>20</v>
      </c>
    </row>
    <row r="33" spans="1:3" x14ac:dyDescent="0.25">
      <c r="A33" t="s">
        <v>447</v>
      </c>
      <c r="B33" t="s">
        <v>447</v>
      </c>
      <c r="C33">
        <v>50</v>
      </c>
    </row>
    <row r="34" spans="1:3" x14ac:dyDescent="0.25">
      <c r="A34" t="s">
        <v>453</v>
      </c>
      <c r="B34" t="s">
        <v>453</v>
      </c>
      <c r="C34">
        <v>10</v>
      </c>
    </row>
    <row r="35" spans="1:3" x14ac:dyDescent="0.25">
      <c r="A35" t="s">
        <v>470</v>
      </c>
      <c r="B35" t="s">
        <v>470</v>
      </c>
      <c r="C35">
        <v>20</v>
      </c>
    </row>
    <row r="36" spans="1:3" x14ac:dyDescent="0.25">
      <c r="A36" t="s">
        <v>653</v>
      </c>
      <c r="B36" t="s">
        <v>653</v>
      </c>
      <c r="C36">
        <v>42</v>
      </c>
    </row>
    <row r="37" spans="1:3" x14ac:dyDescent="0.25">
      <c r="A37" t="s">
        <v>660</v>
      </c>
      <c r="B37" t="s">
        <v>660</v>
      </c>
      <c r="C37">
        <v>12</v>
      </c>
    </row>
    <row r="38" spans="1:3" x14ac:dyDescent="0.25">
      <c r="A38" t="s">
        <v>661</v>
      </c>
      <c r="B38" t="s">
        <v>661</v>
      </c>
      <c r="C38">
        <v>12</v>
      </c>
    </row>
    <row r="39" spans="1:3" x14ac:dyDescent="0.25">
      <c r="A39" t="s">
        <v>665</v>
      </c>
      <c r="B39" t="s">
        <v>665</v>
      </c>
      <c r="C39">
        <v>24</v>
      </c>
    </row>
    <row r="40" spans="1:3" x14ac:dyDescent="0.25">
      <c r="A40" t="s">
        <v>666</v>
      </c>
      <c r="B40" t="s">
        <v>666</v>
      </c>
      <c r="C40">
        <v>24</v>
      </c>
    </row>
    <row r="41" spans="1:3" x14ac:dyDescent="0.25">
      <c r="A41" t="s">
        <v>667</v>
      </c>
      <c r="B41" t="s">
        <v>667</v>
      </c>
      <c r="C41">
        <v>42</v>
      </c>
    </row>
    <row r="42" spans="1:3" x14ac:dyDescent="0.25">
      <c r="A42" t="s">
        <v>668</v>
      </c>
      <c r="B42" t="s">
        <v>668</v>
      </c>
      <c r="C42">
        <v>18</v>
      </c>
    </row>
    <row r="43" spans="1:3" x14ac:dyDescent="0.25">
      <c r="A43" t="s">
        <v>670</v>
      </c>
      <c r="B43" t="s">
        <v>670</v>
      </c>
      <c r="C43">
        <v>20</v>
      </c>
    </row>
    <row r="44" spans="1:3" x14ac:dyDescent="0.25">
      <c r="A44" t="s">
        <v>671</v>
      </c>
      <c r="B44" t="s">
        <v>671</v>
      </c>
      <c r="C44">
        <v>8</v>
      </c>
    </row>
    <row r="45" spans="1:3" x14ac:dyDescent="0.25">
      <c r="A45" t="s">
        <v>672</v>
      </c>
      <c r="B45" t="s">
        <v>672</v>
      </c>
      <c r="C45">
        <v>12</v>
      </c>
    </row>
    <row r="46" spans="1:3" x14ac:dyDescent="0.25">
      <c r="A46" t="s">
        <v>673</v>
      </c>
      <c r="B46" t="s">
        <v>673</v>
      </c>
      <c r="C46">
        <v>20</v>
      </c>
    </row>
    <row r="47" spans="1:3" x14ac:dyDescent="0.25">
      <c r="A47" t="s">
        <v>697</v>
      </c>
      <c r="B47" t="s">
        <v>697</v>
      </c>
      <c r="C47">
        <v>20</v>
      </c>
    </row>
    <row r="48" spans="1:3" x14ac:dyDescent="0.25">
      <c r="A48" t="s">
        <v>698</v>
      </c>
      <c r="B48" t="s">
        <v>698</v>
      </c>
      <c r="C48">
        <v>400</v>
      </c>
    </row>
    <row r="49" spans="1:3" x14ac:dyDescent="0.25">
      <c r="A49" t="s">
        <v>699</v>
      </c>
      <c r="B49" t="s">
        <v>699</v>
      </c>
      <c r="C49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3"/>
  <sheetViews>
    <sheetView workbookViewId="0"/>
  </sheetViews>
  <sheetFormatPr defaultRowHeight="15" x14ac:dyDescent="0.25"/>
  <cols>
    <col min="1" max="2" width="24" customWidth="1"/>
    <col min="3" max="3" width="10" customWidth="1"/>
  </cols>
  <sheetData>
    <row r="1" spans="1:3" x14ac:dyDescent="0.25">
      <c r="A1" t="s">
        <v>588</v>
      </c>
      <c r="B1" t="s">
        <v>0</v>
      </c>
      <c r="C1" t="s">
        <v>589</v>
      </c>
    </row>
    <row r="2" spans="1:3" x14ac:dyDescent="0.25">
      <c r="A2" t="s">
        <v>705</v>
      </c>
      <c r="B2" t="s">
        <v>705</v>
      </c>
      <c r="C2">
        <v>40</v>
      </c>
    </row>
    <row r="3" spans="1:3" x14ac:dyDescent="0.25">
      <c r="A3" t="s">
        <v>591</v>
      </c>
      <c r="B3" t="s">
        <v>591</v>
      </c>
      <c r="C3">
        <v>120</v>
      </c>
    </row>
    <row r="4" spans="1:3" x14ac:dyDescent="0.25">
      <c r="A4" t="s">
        <v>592</v>
      </c>
      <c r="B4" t="s">
        <v>592</v>
      </c>
      <c r="C4">
        <v>120</v>
      </c>
    </row>
    <row r="5" spans="1:3" x14ac:dyDescent="0.25">
      <c r="A5" t="s">
        <v>594</v>
      </c>
      <c r="B5" t="s">
        <v>594</v>
      </c>
      <c r="C5">
        <v>4000</v>
      </c>
    </row>
    <row r="6" spans="1:3" x14ac:dyDescent="0.25">
      <c r="A6" t="s">
        <v>595</v>
      </c>
      <c r="B6" t="s">
        <v>595</v>
      </c>
      <c r="C6">
        <v>4400</v>
      </c>
    </row>
    <row r="7" spans="1:3" x14ac:dyDescent="0.25">
      <c r="A7" t="s">
        <v>596</v>
      </c>
      <c r="B7" t="s">
        <v>596</v>
      </c>
      <c r="C7">
        <v>14000</v>
      </c>
    </row>
    <row r="8" spans="1:3" x14ac:dyDescent="0.25">
      <c r="A8" t="s">
        <v>597</v>
      </c>
      <c r="B8" t="s">
        <v>597</v>
      </c>
      <c r="C8">
        <v>19200</v>
      </c>
    </row>
    <row r="9" spans="1:3" x14ac:dyDescent="0.25">
      <c r="A9" t="s">
        <v>598</v>
      </c>
      <c r="B9" t="s">
        <v>598</v>
      </c>
      <c r="C9">
        <v>3840</v>
      </c>
    </row>
    <row r="10" spans="1:3" x14ac:dyDescent="0.25">
      <c r="A10" t="s">
        <v>599</v>
      </c>
      <c r="B10" t="s">
        <v>599</v>
      </c>
      <c r="C10">
        <v>4400</v>
      </c>
    </row>
    <row r="11" spans="1:3" x14ac:dyDescent="0.25">
      <c r="A11" t="s">
        <v>600</v>
      </c>
      <c r="B11" t="s">
        <v>600</v>
      </c>
      <c r="C11">
        <v>5000</v>
      </c>
    </row>
    <row r="12" spans="1:3" x14ac:dyDescent="0.25">
      <c r="A12" t="s">
        <v>601</v>
      </c>
      <c r="B12" t="s">
        <v>601</v>
      </c>
      <c r="C12">
        <v>12340</v>
      </c>
    </row>
    <row r="13" spans="1:3" x14ac:dyDescent="0.25">
      <c r="A13" t="s">
        <v>602</v>
      </c>
      <c r="B13" t="s">
        <v>602</v>
      </c>
      <c r="C13">
        <v>17100</v>
      </c>
    </row>
    <row r="14" spans="1:3" x14ac:dyDescent="0.25">
      <c r="A14" t="s">
        <v>604</v>
      </c>
      <c r="B14" t="s">
        <v>604</v>
      </c>
      <c r="C14">
        <v>200</v>
      </c>
    </row>
    <row r="15" spans="1:3" x14ac:dyDescent="0.25">
      <c r="A15" t="s">
        <v>605</v>
      </c>
      <c r="B15" t="s">
        <v>605</v>
      </c>
      <c r="C15">
        <v>140</v>
      </c>
    </row>
    <row r="16" spans="1:3" x14ac:dyDescent="0.25">
      <c r="A16" t="s">
        <v>606</v>
      </c>
      <c r="B16" t="s">
        <v>606</v>
      </c>
      <c r="C16">
        <v>360</v>
      </c>
    </row>
    <row r="17" spans="1:3" x14ac:dyDescent="0.25">
      <c r="A17" t="s">
        <v>607</v>
      </c>
      <c r="B17" t="s">
        <v>607</v>
      </c>
      <c r="C17">
        <v>240</v>
      </c>
    </row>
    <row r="18" spans="1:3" x14ac:dyDescent="0.25">
      <c r="A18" t="s">
        <v>609</v>
      </c>
      <c r="B18" t="s">
        <v>609</v>
      </c>
      <c r="C18">
        <v>480</v>
      </c>
    </row>
    <row r="19" spans="1:3" x14ac:dyDescent="0.25">
      <c r="A19" t="s">
        <v>610</v>
      </c>
      <c r="B19" t="s">
        <v>610</v>
      </c>
      <c r="C19">
        <v>240</v>
      </c>
    </row>
    <row r="20" spans="1:3" x14ac:dyDescent="0.25">
      <c r="A20" t="s">
        <v>611</v>
      </c>
      <c r="B20" t="s">
        <v>611</v>
      </c>
      <c r="C20">
        <v>360</v>
      </c>
    </row>
    <row r="21" spans="1:3" x14ac:dyDescent="0.25">
      <c r="A21" t="s">
        <v>612</v>
      </c>
      <c r="B21" t="s">
        <v>612</v>
      </c>
      <c r="C21">
        <v>480</v>
      </c>
    </row>
    <row r="22" spans="1:3" x14ac:dyDescent="0.25">
      <c r="A22" t="s">
        <v>613</v>
      </c>
      <c r="B22" t="s">
        <v>613</v>
      </c>
      <c r="C22">
        <v>960</v>
      </c>
    </row>
    <row r="23" spans="1:3" x14ac:dyDescent="0.25">
      <c r="A23" t="s">
        <v>618</v>
      </c>
      <c r="B23" t="s">
        <v>618</v>
      </c>
      <c r="C23">
        <v>8</v>
      </c>
    </row>
    <row r="24" spans="1:3" x14ac:dyDescent="0.25">
      <c r="A24" t="s">
        <v>620</v>
      </c>
      <c r="B24" t="s">
        <v>620</v>
      </c>
      <c r="C24">
        <v>4</v>
      </c>
    </row>
    <row r="25" spans="1:3" x14ac:dyDescent="0.25">
      <c r="A25" t="s">
        <v>621</v>
      </c>
      <c r="B25" t="s">
        <v>621</v>
      </c>
      <c r="C25">
        <v>20</v>
      </c>
    </row>
    <row r="26" spans="1:3" x14ac:dyDescent="0.25">
      <c r="A26" t="s">
        <v>622</v>
      </c>
      <c r="B26" t="s">
        <v>622</v>
      </c>
      <c r="C26">
        <v>40</v>
      </c>
    </row>
    <row r="27" spans="1:3" x14ac:dyDescent="0.25">
      <c r="A27" t="s">
        <v>706</v>
      </c>
      <c r="B27" t="s">
        <v>706</v>
      </c>
      <c r="C27">
        <v>40</v>
      </c>
    </row>
    <row r="28" spans="1:3" x14ac:dyDescent="0.25">
      <c r="A28" t="s">
        <v>624</v>
      </c>
      <c r="B28" t="s">
        <v>624</v>
      </c>
      <c r="C28">
        <v>140</v>
      </c>
    </row>
    <row r="29" spans="1:3" x14ac:dyDescent="0.25">
      <c r="A29" t="s">
        <v>626</v>
      </c>
      <c r="B29" t="s">
        <v>626</v>
      </c>
      <c r="C29">
        <v>180</v>
      </c>
    </row>
    <row r="30" spans="1:3" x14ac:dyDescent="0.25">
      <c r="A30" t="s">
        <v>628</v>
      </c>
      <c r="B30" t="s">
        <v>628</v>
      </c>
      <c r="C30">
        <v>7400</v>
      </c>
    </row>
    <row r="31" spans="1:3" x14ac:dyDescent="0.25">
      <c r="A31" t="s">
        <v>629</v>
      </c>
      <c r="B31" t="s">
        <v>629</v>
      </c>
      <c r="C31">
        <v>700</v>
      </c>
    </row>
    <row r="32" spans="1:3" x14ac:dyDescent="0.25">
      <c r="A32" t="s">
        <v>630</v>
      </c>
      <c r="B32" t="s">
        <v>630</v>
      </c>
      <c r="C32">
        <v>10500</v>
      </c>
    </row>
    <row r="33" spans="1:3" x14ac:dyDescent="0.25">
      <c r="A33" t="s">
        <v>631</v>
      </c>
      <c r="B33" t="s">
        <v>631</v>
      </c>
      <c r="C33">
        <v>500</v>
      </c>
    </row>
    <row r="34" spans="1:3" x14ac:dyDescent="0.25">
      <c r="A34" t="s">
        <v>707</v>
      </c>
      <c r="B34" t="s">
        <v>707</v>
      </c>
      <c r="C34">
        <v>100</v>
      </c>
    </row>
    <row r="35" spans="1:3" x14ac:dyDescent="0.25">
      <c r="A35" t="s">
        <v>632</v>
      </c>
      <c r="B35" t="s">
        <v>632</v>
      </c>
      <c r="C35">
        <v>16500</v>
      </c>
    </row>
    <row r="36" spans="1:3" x14ac:dyDescent="0.25">
      <c r="A36" t="s">
        <v>633</v>
      </c>
      <c r="B36" t="s">
        <v>633</v>
      </c>
      <c r="C36">
        <v>2900</v>
      </c>
    </row>
    <row r="37" spans="1:3" x14ac:dyDescent="0.25">
      <c r="A37" t="s">
        <v>634</v>
      </c>
      <c r="B37" t="s">
        <v>634</v>
      </c>
      <c r="C37">
        <v>9400</v>
      </c>
    </row>
    <row r="38" spans="1:3" x14ac:dyDescent="0.25">
      <c r="A38" t="s">
        <v>635</v>
      </c>
      <c r="B38" t="s">
        <v>635</v>
      </c>
      <c r="C38">
        <v>1600</v>
      </c>
    </row>
    <row r="39" spans="1:3" x14ac:dyDescent="0.25">
      <c r="A39" t="s">
        <v>637</v>
      </c>
      <c r="B39" s="2" t="s">
        <v>637</v>
      </c>
      <c r="C39">
        <v>600</v>
      </c>
    </row>
    <row r="40" spans="1:3" x14ac:dyDescent="0.25">
      <c r="A40" t="s">
        <v>638</v>
      </c>
      <c r="B40" t="s">
        <v>638</v>
      </c>
      <c r="C40">
        <v>3300</v>
      </c>
    </row>
    <row r="41" spans="1:3" x14ac:dyDescent="0.25">
      <c r="A41" t="s">
        <v>639</v>
      </c>
      <c r="B41" t="s">
        <v>639</v>
      </c>
      <c r="C41">
        <v>7700</v>
      </c>
    </row>
    <row r="42" spans="1:3" x14ac:dyDescent="0.25">
      <c r="A42" t="s">
        <v>641</v>
      </c>
      <c r="B42" s="2" t="s">
        <v>641</v>
      </c>
      <c r="C42">
        <v>700</v>
      </c>
    </row>
    <row r="43" spans="1:3" x14ac:dyDescent="0.25">
      <c r="A43" t="s">
        <v>642</v>
      </c>
      <c r="B43" t="s">
        <v>642</v>
      </c>
      <c r="C43">
        <v>400</v>
      </c>
    </row>
    <row r="44" spans="1:3" x14ac:dyDescent="0.25">
      <c r="A44" t="s">
        <v>643</v>
      </c>
      <c r="B44" t="s">
        <v>643</v>
      </c>
      <c r="C44">
        <v>700</v>
      </c>
    </row>
    <row r="45" spans="1:3" x14ac:dyDescent="0.25">
      <c r="A45" t="s">
        <v>645</v>
      </c>
      <c r="B45" s="2" t="s">
        <v>645</v>
      </c>
      <c r="C45">
        <v>900</v>
      </c>
    </row>
    <row r="46" spans="1:3" x14ac:dyDescent="0.25">
      <c r="A46" t="s">
        <v>647</v>
      </c>
      <c r="B46" s="2" t="s">
        <v>647</v>
      </c>
      <c r="C46">
        <v>900</v>
      </c>
    </row>
    <row r="47" spans="1:3" x14ac:dyDescent="0.25">
      <c r="A47" t="s">
        <v>648</v>
      </c>
      <c r="B47" t="s">
        <v>648</v>
      </c>
      <c r="C47">
        <v>20</v>
      </c>
    </row>
    <row r="48" spans="1:3" x14ac:dyDescent="0.25">
      <c r="A48" t="s">
        <v>52</v>
      </c>
      <c r="B48" t="s">
        <v>52</v>
      </c>
      <c r="C48">
        <v>2</v>
      </c>
    </row>
    <row r="49" spans="1:3" x14ac:dyDescent="0.25">
      <c r="A49" t="s">
        <v>66</v>
      </c>
      <c r="B49" t="s">
        <v>66</v>
      </c>
      <c r="C49">
        <v>3</v>
      </c>
    </row>
    <row r="50" spans="1:3" x14ac:dyDescent="0.25">
      <c r="A50" t="s">
        <v>68</v>
      </c>
      <c r="B50" t="s">
        <v>68</v>
      </c>
      <c r="C50">
        <v>3</v>
      </c>
    </row>
    <row r="51" spans="1:3" x14ac:dyDescent="0.25">
      <c r="A51" t="s">
        <v>94</v>
      </c>
      <c r="B51" t="s">
        <v>94</v>
      </c>
      <c r="C51">
        <v>5</v>
      </c>
    </row>
    <row r="52" spans="1:3" x14ac:dyDescent="0.25">
      <c r="A52" t="s">
        <v>96</v>
      </c>
      <c r="B52" t="s">
        <v>96</v>
      </c>
      <c r="C52">
        <v>5</v>
      </c>
    </row>
    <row r="53" spans="1:3" x14ac:dyDescent="0.25">
      <c r="A53" t="s">
        <v>134</v>
      </c>
      <c r="B53" t="s">
        <v>134</v>
      </c>
      <c r="C53">
        <v>10</v>
      </c>
    </row>
    <row r="54" spans="1:3" x14ac:dyDescent="0.25">
      <c r="A54" t="s">
        <v>136</v>
      </c>
      <c r="B54" t="s">
        <v>136</v>
      </c>
      <c r="C54">
        <v>15</v>
      </c>
    </row>
    <row r="55" spans="1:3" x14ac:dyDescent="0.25">
      <c r="A55" t="s">
        <v>138</v>
      </c>
      <c r="B55" t="s">
        <v>138</v>
      </c>
      <c r="C55">
        <v>10</v>
      </c>
    </row>
    <row r="56" spans="1:3" x14ac:dyDescent="0.25">
      <c r="A56" t="s">
        <v>155</v>
      </c>
      <c r="B56" t="s">
        <v>155</v>
      </c>
      <c r="C56">
        <v>30</v>
      </c>
    </row>
    <row r="57" spans="1:3" x14ac:dyDescent="0.25">
      <c r="A57" t="s">
        <v>157</v>
      </c>
      <c r="B57" t="s">
        <v>157</v>
      </c>
      <c r="C57">
        <v>20</v>
      </c>
    </row>
    <row r="58" spans="1:3" x14ac:dyDescent="0.25">
      <c r="A58" t="s">
        <v>159</v>
      </c>
      <c r="B58" t="s">
        <v>159</v>
      </c>
      <c r="C58">
        <v>5</v>
      </c>
    </row>
    <row r="59" spans="1:3" x14ac:dyDescent="0.25">
      <c r="A59" t="s">
        <v>161</v>
      </c>
      <c r="B59" t="s">
        <v>161</v>
      </c>
      <c r="C59">
        <v>5</v>
      </c>
    </row>
    <row r="60" spans="1:3" x14ac:dyDescent="0.25">
      <c r="A60" t="s">
        <v>179</v>
      </c>
      <c r="B60" t="s">
        <v>179</v>
      </c>
      <c r="C60">
        <v>70</v>
      </c>
    </row>
    <row r="61" spans="1:3" x14ac:dyDescent="0.25">
      <c r="A61" t="s">
        <v>185</v>
      </c>
      <c r="B61" t="s">
        <v>185</v>
      </c>
      <c r="C61">
        <v>90</v>
      </c>
    </row>
    <row r="62" spans="1:3" x14ac:dyDescent="0.25">
      <c r="A62" t="s">
        <v>189</v>
      </c>
      <c r="B62" t="s">
        <v>189</v>
      </c>
      <c r="C62">
        <v>30</v>
      </c>
    </row>
    <row r="63" spans="1:3" x14ac:dyDescent="0.25">
      <c r="A63" t="s">
        <v>205</v>
      </c>
      <c r="B63" t="s">
        <v>205</v>
      </c>
      <c r="C63">
        <v>80</v>
      </c>
    </row>
    <row r="64" spans="1:3" x14ac:dyDescent="0.25">
      <c r="A64" t="s">
        <v>208</v>
      </c>
      <c r="B64" t="s">
        <v>208</v>
      </c>
      <c r="C64">
        <v>80</v>
      </c>
    </row>
    <row r="65" spans="1:3" x14ac:dyDescent="0.25">
      <c r="A65" t="s">
        <v>212</v>
      </c>
      <c r="B65" t="s">
        <v>212</v>
      </c>
      <c r="C65">
        <v>100</v>
      </c>
    </row>
    <row r="66" spans="1:3" x14ac:dyDescent="0.25">
      <c r="A66" t="s">
        <v>214</v>
      </c>
      <c r="B66" t="s">
        <v>214</v>
      </c>
      <c r="C66">
        <v>20</v>
      </c>
    </row>
    <row r="67" spans="1:3" x14ac:dyDescent="0.25">
      <c r="A67" t="s">
        <v>234</v>
      </c>
      <c r="B67" t="s">
        <v>234</v>
      </c>
      <c r="C67">
        <v>750</v>
      </c>
    </row>
    <row r="68" spans="1:3" x14ac:dyDescent="0.25">
      <c r="A68" t="s">
        <v>237</v>
      </c>
      <c r="B68" t="s">
        <v>237</v>
      </c>
      <c r="C68">
        <v>1000</v>
      </c>
    </row>
    <row r="69" spans="1:3" x14ac:dyDescent="0.25">
      <c r="A69" t="s">
        <v>239</v>
      </c>
      <c r="B69" t="s">
        <v>239</v>
      </c>
      <c r="C69">
        <v>400</v>
      </c>
    </row>
    <row r="70" spans="1:3" x14ac:dyDescent="0.25">
      <c r="A70" t="s">
        <v>243</v>
      </c>
      <c r="B70" t="s">
        <v>243</v>
      </c>
      <c r="C70">
        <v>30</v>
      </c>
    </row>
    <row r="71" spans="1:3" x14ac:dyDescent="0.25">
      <c r="A71" t="s">
        <v>245</v>
      </c>
      <c r="B71" t="s">
        <v>245</v>
      </c>
      <c r="C71">
        <v>40</v>
      </c>
    </row>
    <row r="72" spans="1:3" x14ac:dyDescent="0.25">
      <c r="A72" t="s">
        <v>247</v>
      </c>
      <c r="B72" t="s">
        <v>247</v>
      </c>
      <c r="C72">
        <v>20</v>
      </c>
    </row>
    <row r="73" spans="1:3" x14ac:dyDescent="0.25">
      <c r="A73" t="s">
        <v>255</v>
      </c>
      <c r="B73" t="s">
        <v>255</v>
      </c>
      <c r="C73">
        <v>200</v>
      </c>
    </row>
    <row r="74" spans="1:3" x14ac:dyDescent="0.25">
      <c r="A74" t="s">
        <v>260</v>
      </c>
      <c r="B74" t="s">
        <v>260</v>
      </c>
      <c r="C74">
        <v>150</v>
      </c>
    </row>
    <row r="75" spans="1:3" x14ac:dyDescent="0.25">
      <c r="A75" t="s">
        <v>262</v>
      </c>
      <c r="B75" t="s">
        <v>262</v>
      </c>
      <c r="C75">
        <v>70</v>
      </c>
    </row>
    <row r="76" spans="1:3" x14ac:dyDescent="0.25">
      <c r="A76" t="s">
        <v>264</v>
      </c>
      <c r="B76" t="s">
        <v>264</v>
      </c>
      <c r="C76">
        <v>800</v>
      </c>
    </row>
    <row r="77" spans="1:3" x14ac:dyDescent="0.25">
      <c r="A77" t="s">
        <v>266</v>
      </c>
      <c r="B77" t="s">
        <v>266</v>
      </c>
      <c r="C77">
        <v>650</v>
      </c>
    </row>
    <row r="78" spans="1:3" x14ac:dyDescent="0.25">
      <c r="A78" t="s">
        <v>268</v>
      </c>
      <c r="B78" t="s">
        <v>268</v>
      </c>
      <c r="C78">
        <v>350</v>
      </c>
    </row>
    <row r="79" spans="1:3" x14ac:dyDescent="0.25">
      <c r="A79" t="s">
        <v>280</v>
      </c>
      <c r="B79" t="s">
        <v>280</v>
      </c>
      <c r="C79">
        <v>30</v>
      </c>
    </row>
    <row r="80" spans="1:3" x14ac:dyDescent="0.25">
      <c r="A80" t="s">
        <v>199</v>
      </c>
      <c r="B80" t="s">
        <v>199</v>
      </c>
      <c r="C80">
        <v>20</v>
      </c>
    </row>
    <row r="81" spans="1:3" x14ac:dyDescent="0.25">
      <c r="A81" t="s">
        <v>201</v>
      </c>
      <c r="B81" t="s">
        <v>201</v>
      </c>
      <c r="C81">
        <v>30</v>
      </c>
    </row>
    <row r="82" spans="1:3" x14ac:dyDescent="0.25">
      <c r="A82" t="s">
        <v>203</v>
      </c>
      <c r="B82" t="s">
        <v>203</v>
      </c>
      <c r="C82">
        <v>20</v>
      </c>
    </row>
    <row r="83" spans="1:3" x14ac:dyDescent="0.25">
      <c r="A83" t="s">
        <v>224</v>
      </c>
      <c r="B83" t="s">
        <v>224</v>
      </c>
      <c r="C83">
        <v>20</v>
      </c>
    </row>
    <row r="84" spans="1:3" x14ac:dyDescent="0.25">
      <c r="A84" t="s">
        <v>226</v>
      </c>
      <c r="B84" t="s">
        <v>226</v>
      </c>
      <c r="C84">
        <v>60</v>
      </c>
    </row>
    <row r="85" spans="1:3" x14ac:dyDescent="0.25">
      <c r="A85" t="s">
        <v>230</v>
      </c>
      <c r="B85" t="s">
        <v>230</v>
      </c>
      <c r="C85">
        <v>10</v>
      </c>
    </row>
    <row r="86" spans="1:3" x14ac:dyDescent="0.25">
      <c r="A86" t="s">
        <v>249</v>
      </c>
      <c r="B86" t="s">
        <v>249</v>
      </c>
      <c r="C86">
        <v>350</v>
      </c>
    </row>
    <row r="87" spans="1:3" x14ac:dyDescent="0.25">
      <c r="A87" t="s">
        <v>251</v>
      </c>
      <c r="B87" t="s">
        <v>251</v>
      </c>
      <c r="C87">
        <v>250</v>
      </c>
    </row>
    <row r="88" spans="1:3" x14ac:dyDescent="0.25">
      <c r="A88" t="s">
        <v>253</v>
      </c>
      <c r="B88" t="s">
        <v>253</v>
      </c>
      <c r="C88">
        <v>150</v>
      </c>
    </row>
    <row r="89" spans="1:3" x14ac:dyDescent="0.25">
      <c r="A89" t="s">
        <v>270</v>
      </c>
      <c r="B89" t="s">
        <v>270</v>
      </c>
      <c r="C89">
        <v>1150</v>
      </c>
    </row>
    <row r="90" spans="1:3" x14ac:dyDescent="0.25">
      <c r="A90" t="s">
        <v>274</v>
      </c>
      <c r="B90" t="s">
        <v>274</v>
      </c>
      <c r="C90">
        <v>1250</v>
      </c>
    </row>
    <row r="91" spans="1:3" x14ac:dyDescent="0.25">
      <c r="A91" t="s">
        <v>278</v>
      </c>
      <c r="B91" t="s">
        <v>278</v>
      </c>
      <c r="C91">
        <v>750</v>
      </c>
    </row>
    <row r="92" spans="1:3" x14ac:dyDescent="0.25">
      <c r="A92" t="s">
        <v>293</v>
      </c>
      <c r="B92" t="s">
        <v>293</v>
      </c>
      <c r="C92">
        <v>20</v>
      </c>
    </row>
    <row r="93" spans="1:3" x14ac:dyDescent="0.25">
      <c r="A93" t="s">
        <v>297</v>
      </c>
      <c r="B93" t="s">
        <v>297</v>
      </c>
      <c r="C93">
        <v>5</v>
      </c>
    </row>
    <row r="94" spans="1:3" x14ac:dyDescent="0.25">
      <c r="A94" t="s">
        <v>307</v>
      </c>
      <c r="B94" t="s">
        <v>307</v>
      </c>
      <c r="C94">
        <v>50</v>
      </c>
    </row>
    <row r="95" spans="1:3" x14ac:dyDescent="0.25">
      <c r="A95" t="s">
        <v>362</v>
      </c>
      <c r="B95" t="s">
        <v>362</v>
      </c>
      <c r="C95">
        <v>100</v>
      </c>
    </row>
    <row r="96" spans="1:3" x14ac:dyDescent="0.25">
      <c r="A96" t="s">
        <v>366</v>
      </c>
      <c r="B96" t="s">
        <v>366</v>
      </c>
      <c r="C96">
        <v>3</v>
      </c>
    </row>
    <row r="97" spans="1:3" x14ac:dyDescent="0.25">
      <c r="A97" t="s">
        <v>368</v>
      </c>
      <c r="B97" t="s">
        <v>368</v>
      </c>
      <c r="C97">
        <v>150</v>
      </c>
    </row>
    <row r="98" spans="1:3" x14ac:dyDescent="0.25">
      <c r="A98" t="s">
        <v>372</v>
      </c>
      <c r="B98" t="s">
        <v>372</v>
      </c>
      <c r="C98">
        <v>60</v>
      </c>
    </row>
    <row r="99" spans="1:3" x14ac:dyDescent="0.25">
      <c r="A99" t="s">
        <v>382</v>
      </c>
      <c r="B99" t="s">
        <v>382</v>
      </c>
      <c r="C99">
        <v>70</v>
      </c>
    </row>
    <row r="100" spans="1:3" x14ac:dyDescent="0.25">
      <c r="A100" t="s">
        <v>386</v>
      </c>
      <c r="B100" t="s">
        <v>386</v>
      </c>
      <c r="C100">
        <v>100</v>
      </c>
    </row>
    <row r="101" spans="1:3" x14ac:dyDescent="0.25">
      <c r="A101" t="s">
        <v>392</v>
      </c>
      <c r="B101" t="s">
        <v>392</v>
      </c>
      <c r="C101">
        <v>5</v>
      </c>
    </row>
    <row r="102" spans="1:3" x14ac:dyDescent="0.25">
      <c r="A102" t="s">
        <v>459</v>
      </c>
      <c r="B102" t="s">
        <v>459</v>
      </c>
      <c r="C102">
        <v>10</v>
      </c>
    </row>
    <row r="103" spans="1:3" x14ac:dyDescent="0.25">
      <c r="A103" t="s">
        <v>463</v>
      </c>
      <c r="B103" t="s">
        <v>463</v>
      </c>
      <c r="C103">
        <v>10</v>
      </c>
    </row>
    <row r="104" spans="1:3" x14ac:dyDescent="0.25">
      <c r="A104" t="s">
        <v>465</v>
      </c>
      <c r="B104" t="s">
        <v>465</v>
      </c>
      <c r="C104">
        <v>10</v>
      </c>
    </row>
    <row r="105" spans="1:3" x14ac:dyDescent="0.25">
      <c r="A105" t="s">
        <v>470</v>
      </c>
      <c r="B105" t="s">
        <v>470</v>
      </c>
      <c r="C105">
        <v>5</v>
      </c>
    </row>
    <row r="106" spans="1:3" x14ac:dyDescent="0.25">
      <c r="A106" t="s">
        <v>478</v>
      </c>
      <c r="B106" t="s">
        <v>478</v>
      </c>
      <c r="C106">
        <v>10</v>
      </c>
    </row>
    <row r="107" spans="1:3" x14ac:dyDescent="0.25">
      <c r="A107" t="s">
        <v>491</v>
      </c>
      <c r="B107" t="s">
        <v>491</v>
      </c>
      <c r="C107">
        <v>100</v>
      </c>
    </row>
    <row r="108" spans="1:3" x14ac:dyDescent="0.25">
      <c r="A108" t="s">
        <v>495</v>
      </c>
      <c r="B108" t="s">
        <v>495</v>
      </c>
      <c r="C108">
        <v>20</v>
      </c>
    </row>
    <row r="109" spans="1:3" x14ac:dyDescent="0.25">
      <c r="A109" t="s">
        <v>541</v>
      </c>
      <c r="B109" t="s">
        <v>541</v>
      </c>
      <c r="C109">
        <v>70</v>
      </c>
    </row>
    <row r="110" spans="1:3" x14ac:dyDescent="0.25">
      <c r="A110" t="s">
        <v>544</v>
      </c>
      <c r="B110" t="s">
        <v>544</v>
      </c>
      <c r="C110">
        <v>60</v>
      </c>
    </row>
    <row r="111" spans="1:3" x14ac:dyDescent="0.25">
      <c r="A111" t="s">
        <v>546</v>
      </c>
      <c r="B111" t="s">
        <v>546</v>
      </c>
      <c r="C111">
        <v>20</v>
      </c>
    </row>
    <row r="112" spans="1:3" x14ac:dyDescent="0.25">
      <c r="A112" t="s">
        <v>554</v>
      </c>
      <c r="B112" t="s">
        <v>554</v>
      </c>
      <c r="C112">
        <v>90</v>
      </c>
    </row>
    <row r="113" spans="1:3" x14ac:dyDescent="0.25">
      <c r="A113" t="s">
        <v>557</v>
      </c>
      <c r="B113" t="s">
        <v>557</v>
      </c>
      <c r="C113">
        <v>40</v>
      </c>
    </row>
    <row r="114" spans="1:3" x14ac:dyDescent="0.25">
      <c r="A114" t="s">
        <v>559</v>
      </c>
      <c r="B114" t="s">
        <v>559</v>
      </c>
      <c r="C114">
        <v>30</v>
      </c>
    </row>
    <row r="115" spans="1:3" x14ac:dyDescent="0.25">
      <c r="A115" t="s">
        <v>509</v>
      </c>
      <c r="B115" t="s">
        <v>509</v>
      </c>
      <c r="C115">
        <v>20</v>
      </c>
    </row>
    <row r="116" spans="1:3" x14ac:dyDescent="0.25">
      <c r="A116" t="s">
        <v>515</v>
      </c>
      <c r="B116" t="s">
        <v>515</v>
      </c>
      <c r="C116">
        <v>10</v>
      </c>
    </row>
    <row r="117" spans="1:3" x14ac:dyDescent="0.25">
      <c r="A117" t="s">
        <v>561</v>
      </c>
      <c r="B117" t="s">
        <v>561</v>
      </c>
      <c r="C117">
        <v>40</v>
      </c>
    </row>
    <row r="118" spans="1:3" x14ac:dyDescent="0.25">
      <c r="A118" t="s">
        <v>563</v>
      </c>
      <c r="B118" t="s">
        <v>563</v>
      </c>
      <c r="C118">
        <v>60</v>
      </c>
    </row>
    <row r="119" spans="1:3" x14ac:dyDescent="0.25">
      <c r="A119" t="s">
        <v>565</v>
      </c>
      <c r="B119" t="s">
        <v>565</v>
      </c>
      <c r="C119">
        <v>50</v>
      </c>
    </row>
    <row r="120" spans="1:3" x14ac:dyDescent="0.25">
      <c r="A120" t="s">
        <v>649</v>
      </c>
      <c r="B120" t="s">
        <v>649</v>
      </c>
      <c r="C120">
        <v>400</v>
      </c>
    </row>
    <row r="121" spans="1:3" x14ac:dyDescent="0.25">
      <c r="A121" t="s">
        <v>650</v>
      </c>
      <c r="B121" t="s">
        <v>650</v>
      </c>
      <c r="C121">
        <v>460</v>
      </c>
    </row>
    <row r="122" spans="1:3" x14ac:dyDescent="0.25">
      <c r="A122" t="s">
        <v>651</v>
      </c>
      <c r="B122" t="s">
        <v>651</v>
      </c>
      <c r="C122">
        <v>500</v>
      </c>
    </row>
    <row r="123" spans="1:3" x14ac:dyDescent="0.25">
      <c r="A123" t="s">
        <v>652</v>
      </c>
      <c r="B123" t="s">
        <v>652</v>
      </c>
      <c r="C123">
        <v>600</v>
      </c>
    </row>
    <row r="124" spans="1:3" x14ac:dyDescent="0.25">
      <c r="A124" t="s">
        <v>654</v>
      </c>
      <c r="B124" t="s">
        <v>654</v>
      </c>
      <c r="C124">
        <v>100</v>
      </c>
    </row>
    <row r="125" spans="1:3" x14ac:dyDescent="0.25">
      <c r="A125" t="s">
        <v>655</v>
      </c>
      <c r="B125" t="s">
        <v>655</v>
      </c>
      <c r="C125">
        <v>400</v>
      </c>
    </row>
    <row r="126" spans="1:3" x14ac:dyDescent="0.25">
      <c r="A126" t="s">
        <v>708</v>
      </c>
      <c r="B126" t="s">
        <v>708</v>
      </c>
      <c r="C126">
        <v>500</v>
      </c>
    </row>
    <row r="127" spans="1:3" x14ac:dyDescent="0.25">
      <c r="A127" t="s">
        <v>656</v>
      </c>
      <c r="B127" t="s">
        <v>656</v>
      </c>
      <c r="C127">
        <v>100</v>
      </c>
    </row>
    <row r="128" spans="1:3" x14ac:dyDescent="0.25">
      <c r="A128" t="s">
        <v>709</v>
      </c>
      <c r="B128" t="s">
        <v>709</v>
      </c>
      <c r="C128">
        <v>2</v>
      </c>
    </row>
    <row r="129" spans="1:3" x14ac:dyDescent="0.25">
      <c r="A129" t="s">
        <v>657</v>
      </c>
      <c r="B129" t="s">
        <v>657</v>
      </c>
      <c r="C129">
        <v>3</v>
      </c>
    </row>
    <row r="130" spans="1:3" x14ac:dyDescent="0.25">
      <c r="A130" t="s">
        <v>658</v>
      </c>
      <c r="B130" t="s">
        <v>658</v>
      </c>
      <c r="C130">
        <v>7</v>
      </c>
    </row>
    <row r="131" spans="1:3" x14ac:dyDescent="0.25">
      <c r="A131" t="s">
        <v>710</v>
      </c>
      <c r="B131" t="s">
        <v>710</v>
      </c>
      <c r="C131">
        <v>1</v>
      </c>
    </row>
    <row r="132" spans="1:3" x14ac:dyDescent="0.25">
      <c r="A132" t="s">
        <v>659</v>
      </c>
      <c r="B132" t="s">
        <v>659</v>
      </c>
      <c r="C132">
        <v>2</v>
      </c>
    </row>
    <row r="133" spans="1:3" x14ac:dyDescent="0.25">
      <c r="A133" t="s">
        <v>660</v>
      </c>
      <c r="B133" t="s">
        <v>660</v>
      </c>
      <c r="C133">
        <v>3</v>
      </c>
    </row>
    <row r="134" spans="1:3" x14ac:dyDescent="0.25">
      <c r="A134" t="s">
        <v>662</v>
      </c>
      <c r="B134" t="s">
        <v>662</v>
      </c>
      <c r="C134">
        <v>6</v>
      </c>
    </row>
    <row r="135" spans="1:3" x14ac:dyDescent="0.25">
      <c r="A135" t="s">
        <v>663</v>
      </c>
      <c r="B135" t="s">
        <v>663</v>
      </c>
      <c r="C135">
        <v>18</v>
      </c>
    </row>
    <row r="136" spans="1:3" x14ac:dyDescent="0.25">
      <c r="A136" t="s">
        <v>711</v>
      </c>
      <c r="B136" t="s">
        <v>711</v>
      </c>
      <c r="C136">
        <v>5</v>
      </c>
    </row>
    <row r="137" spans="1:3" x14ac:dyDescent="0.25">
      <c r="A137" t="s">
        <v>664</v>
      </c>
      <c r="B137" t="s">
        <v>664</v>
      </c>
      <c r="C137">
        <v>4</v>
      </c>
    </row>
    <row r="138" spans="1:3" x14ac:dyDescent="0.25">
      <c r="A138" t="s">
        <v>712</v>
      </c>
      <c r="B138" t="s">
        <v>712</v>
      </c>
      <c r="C138">
        <v>1</v>
      </c>
    </row>
    <row r="139" spans="1:3" x14ac:dyDescent="0.25">
      <c r="A139" t="s">
        <v>713</v>
      </c>
      <c r="B139" t="s">
        <v>713</v>
      </c>
      <c r="C139">
        <v>2</v>
      </c>
    </row>
    <row r="140" spans="1:3" x14ac:dyDescent="0.25">
      <c r="A140" t="s">
        <v>714</v>
      </c>
      <c r="B140" t="s">
        <v>714</v>
      </c>
      <c r="C140">
        <v>2</v>
      </c>
    </row>
    <row r="141" spans="1:3" x14ac:dyDescent="0.25">
      <c r="A141" t="s">
        <v>665</v>
      </c>
      <c r="B141" t="s">
        <v>665</v>
      </c>
      <c r="C141">
        <v>5</v>
      </c>
    </row>
    <row r="142" spans="1:3" x14ac:dyDescent="0.25">
      <c r="A142" t="s">
        <v>715</v>
      </c>
      <c r="B142" t="s">
        <v>715</v>
      </c>
      <c r="C142">
        <v>2</v>
      </c>
    </row>
    <row r="143" spans="1:3" x14ac:dyDescent="0.25">
      <c r="A143" t="s">
        <v>716</v>
      </c>
      <c r="B143" t="s">
        <v>716</v>
      </c>
      <c r="C143">
        <v>2</v>
      </c>
    </row>
    <row r="144" spans="1:3" x14ac:dyDescent="0.25">
      <c r="A144" t="s">
        <v>717</v>
      </c>
      <c r="B144" t="s">
        <v>717</v>
      </c>
      <c r="C144">
        <v>2</v>
      </c>
    </row>
    <row r="145" spans="1:3" x14ac:dyDescent="0.25">
      <c r="A145" t="s">
        <v>668</v>
      </c>
      <c r="B145" t="s">
        <v>668</v>
      </c>
      <c r="C145">
        <v>5</v>
      </c>
    </row>
    <row r="146" spans="1:3" x14ac:dyDescent="0.25">
      <c r="A146" t="s">
        <v>669</v>
      </c>
      <c r="B146" t="s">
        <v>669</v>
      </c>
      <c r="C146">
        <v>3</v>
      </c>
    </row>
    <row r="147" spans="1:3" x14ac:dyDescent="0.25">
      <c r="A147" t="s">
        <v>674</v>
      </c>
      <c r="B147" t="s">
        <v>674</v>
      </c>
      <c r="C147">
        <v>3</v>
      </c>
    </row>
    <row r="148" spans="1:3" x14ac:dyDescent="0.25">
      <c r="A148" t="s">
        <v>718</v>
      </c>
      <c r="B148" t="s">
        <v>718</v>
      </c>
      <c r="C148">
        <v>2</v>
      </c>
    </row>
    <row r="149" spans="1:3" x14ac:dyDescent="0.25">
      <c r="A149" t="s">
        <v>675</v>
      </c>
      <c r="B149" t="s">
        <v>675</v>
      </c>
      <c r="C149">
        <v>3</v>
      </c>
    </row>
    <row r="150" spans="1:3" x14ac:dyDescent="0.25">
      <c r="A150" t="s">
        <v>676</v>
      </c>
      <c r="B150" t="s">
        <v>676</v>
      </c>
      <c r="C150">
        <v>3</v>
      </c>
    </row>
    <row r="151" spans="1:3" x14ac:dyDescent="0.25">
      <c r="A151" t="s">
        <v>677</v>
      </c>
      <c r="B151" t="s">
        <v>677</v>
      </c>
      <c r="C151">
        <v>5</v>
      </c>
    </row>
    <row r="152" spans="1:3" x14ac:dyDescent="0.25">
      <c r="A152" t="s">
        <v>719</v>
      </c>
      <c r="B152" t="s">
        <v>719</v>
      </c>
      <c r="C152">
        <v>2</v>
      </c>
    </row>
    <row r="153" spans="1:3" x14ac:dyDescent="0.25">
      <c r="A153" t="s">
        <v>678</v>
      </c>
      <c r="B153" t="s">
        <v>678</v>
      </c>
      <c r="C153">
        <v>3</v>
      </c>
    </row>
    <row r="154" spans="1:3" x14ac:dyDescent="0.25">
      <c r="A154" t="s">
        <v>679</v>
      </c>
      <c r="B154" t="s">
        <v>679</v>
      </c>
      <c r="C154">
        <v>5</v>
      </c>
    </row>
    <row r="155" spans="1:3" x14ac:dyDescent="0.25">
      <c r="A155" t="s">
        <v>720</v>
      </c>
      <c r="B155" t="s">
        <v>720</v>
      </c>
      <c r="C155">
        <v>2</v>
      </c>
    </row>
    <row r="156" spans="1:3" x14ac:dyDescent="0.25">
      <c r="A156" t="s">
        <v>680</v>
      </c>
      <c r="B156" t="s">
        <v>680</v>
      </c>
      <c r="C156">
        <v>4</v>
      </c>
    </row>
    <row r="157" spans="1:3" x14ac:dyDescent="0.25">
      <c r="A157" t="s">
        <v>721</v>
      </c>
      <c r="B157" t="s">
        <v>721</v>
      </c>
      <c r="C157">
        <v>3</v>
      </c>
    </row>
    <row r="158" spans="1:3" x14ac:dyDescent="0.25">
      <c r="A158" t="s">
        <v>722</v>
      </c>
      <c r="B158" t="s">
        <v>722</v>
      </c>
      <c r="C158">
        <v>3</v>
      </c>
    </row>
    <row r="159" spans="1:3" x14ac:dyDescent="0.25">
      <c r="A159" t="s">
        <v>723</v>
      </c>
      <c r="B159" t="s">
        <v>723</v>
      </c>
      <c r="C159">
        <v>3</v>
      </c>
    </row>
    <row r="160" spans="1:3" x14ac:dyDescent="0.25">
      <c r="A160" t="s">
        <v>724</v>
      </c>
      <c r="B160" t="s">
        <v>724</v>
      </c>
      <c r="C160">
        <v>6</v>
      </c>
    </row>
    <row r="161" spans="1:3" x14ac:dyDescent="0.25">
      <c r="A161" t="s">
        <v>725</v>
      </c>
      <c r="B161" t="s">
        <v>725</v>
      </c>
      <c r="C161">
        <v>3</v>
      </c>
    </row>
    <row r="162" spans="1:3" x14ac:dyDescent="0.25">
      <c r="A162" t="s">
        <v>681</v>
      </c>
      <c r="B162" t="s">
        <v>681</v>
      </c>
      <c r="C162">
        <v>6</v>
      </c>
    </row>
    <row r="163" spans="1:3" x14ac:dyDescent="0.25">
      <c r="A163" t="s">
        <v>682</v>
      </c>
      <c r="B163" t="s">
        <v>682</v>
      </c>
      <c r="C163">
        <v>4</v>
      </c>
    </row>
    <row r="164" spans="1:3" x14ac:dyDescent="0.25">
      <c r="A164" t="s">
        <v>683</v>
      </c>
      <c r="B164" t="s">
        <v>683</v>
      </c>
      <c r="C164">
        <v>2</v>
      </c>
    </row>
    <row r="165" spans="1:3" x14ac:dyDescent="0.25">
      <c r="A165" t="s">
        <v>684</v>
      </c>
      <c r="B165" t="s">
        <v>684</v>
      </c>
      <c r="C165">
        <v>3</v>
      </c>
    </row>
    <row r="166" spans="1:3" x14ac:dyDescent="0.25">
      <c r="A166" t="s">
        <v>685</v>
      </c>
      <c r="B166" t="s">
        <v>685</v>
      </c>
      <c r="C166">
        <v>3</v>
      </c>
    </row>
    <row r="167" spans="1:3" x14ac:dyDescent="0.25">
      <c r="A167" t="s">
        <v>686</v>
      </c>
      <c r="B167" t="s">
        <v>686</v>
      </c>
      <c r="C167">
        <v>10</v>
      </c>
    </row>
    <row r="168" spans="1:3" x14ac:dyDescent="0.25">
      <c r="A168" t="s">
        <v>687</v>
      </c>
      <c r="B168" t="s">
        <v>687</v>
      </c>
      <c r="C168">
        <v>5</v>
      </c>
    </row>
    <row r="169" spans="1:3" x14ac:dyDescent="0.25">
      <c r="A169" t="s">
        <v>688</v>
      </c>
      <c r="B169" t="s">
        <v>688</v>
      </c>
      <c r="C169">
        <v>5</v>
      </c>
    </row>
    <row r="170" spans="1:3" x14ac:dyDescent="0.25">
      <c r="A170" t="s">
        <v>689</v>
      </c>
      <c r="B170" t="s">
        <v>689</v>
      </c>
      <c r="C170">
        <v>2</v>
      </c>
    </row>
    <row r="171" spans="1:3" x14ac:dyDescent="0.25">
      <c r="A171" t="s">
        <v>726</v>
      </c>
      <c r="B171" t="s">
        <v>726</v>
      </c>
      <c r="C171">
        <v>6</v>
      </c>
    </row>
    <row r="172" spans="1:3" x14ac:dyDescent="0.25">
      <c r="A172" t="s">
        <v>690</v>
      </c>
      <c r="B172" t="s">
        <v>690</v>
      </c>
      <c r="C172">
        <v>4</v>
      </c>
    </row>
    <row r="173" spans="1:3" x14ac:dyDescent="0.25">
      <c r="A173" t="s">
        <v>691</v>
      </c>
      <c r="B173" t="s">
        <v>691</v>
      </c>
      <c r="C173">
        <v>10</v>
      </c>
    </row>
    <row r="174" spans="1:3" x14ac:dyDescent="0.25">
      <c r="A174" t="s">
        <v>727</v>
      </c>
      <c r="B174" t="s">
        <v>727</v>
      </c>
      <c r="C174">
        <v>1</v>
      </c>
    </row>
    <row r="175" spans="1:3" x14ac:dyDescent="0.25">
      <c r="A175" t="s">
        <v>728</v>
      </c>
      <c r="B175" t="s">
        <v>728</v>
      </c>
      <c r="C175">
        <v>8</v>
      </c>
    </row>
    <row r="176" spans="1:3" x14ac:dyDescent="0.25">
      <c r="A176" t="s">
        <v>692</v>
      </c>
      <c r="B176" t="s">
        <v>692</v>
      </c>
      <c r="C176">
        <v>5</v>
      </c>
    </row>
    <row r="177" spans="1:3" x14ac:dyDescent="0.25">
      <c r="A177" t="s">
        <v>693</v>
      </c>
      <c r="B177" t="s">
        <v>693</v>
      </c>
      <c r="C177">
        <v>5</v>
      </c>
    </row>
    <row r="178" spans="1:3" x14ac:dyDescent="0.25">
      <c r="A178" t="s">
        <v>694</v>
      </c>
      <c r="B178" t="s">
        <v>694</v>
      </c>
      <c r="C178">
        <v>2</v>
      </c>
    </row>
    <row r="179" spans="1:3" x14ac:dyDescent="0.25">
      <c r="A179" t="s">
        <v>695</v>
      </c>
      <c r="B179" t="s">
        <v>695</v>
      </c>
      <c r="C179">
        <v>14</v>
      </c>
    </row>
    <row r="180" spans="1:3" x14ac:dyDescent="0.25">
      <c r="A180" t="s">
        <v>696</v>
      </c>
      <c r="B180" t="s">
        <v>696</v>
      </c>
      <c r="C180">
        <v>2</v>
      </c>
    </row>
    <row r="181" spans="1:3" x14ac:dyDescent="0.25">
      <c r="A181" t="s">
        <v>729</v>
      </c>
      <c r="B181" t="s">
        <v>729</v>
      </c>
      <c r="C181">
        <v>3</v>
      </c>
    </row>
    <row r="182" spans="1:3" x14ac:dyDescent="0.25">
      <c r="A182" t="s">
        <v>730</v>
      </c>
      <c r="B182" t="s">
        <v>730</v>
      </c>
      <c r="C182">
        <v>5</v>
      </c>
    </row>
    <row r="183" spans="1:3" x14ac:dyDescent="0.25">
      <c r="A183" t="s">
        <v>731</v>
      </c>
      <c r="B183" t="s">
        <v>731</v>
      </c>
      <c r="C183">
        <v>40</v>
      </c>
    </row>
    <row r="184" spans="1:3" x14ac:dyDescent="0.25">
      <c r="A184" t="s">
        <v>732</v>
      </c>
      <c r="B184" t="s">
        <v>732</v>
      </c>
      <c r="C184">
        <v>40</v>
      </c>
    </row>
    <row r="185" spans="1:3" x14ac:dyDescent="0.25">
      <c r="A185" t="s">
        <v>733</v>
      </c>
      <c r="B185" t="s">
        <v>733</v>
      </c>
      <c r="C185">
        <v>20</v>
      </c>
    </row>
    <row r="186" spans="1:3" x14ac:dyDescent="0.25">
      <c r="A186" t="s">
        <v>700</v>
      </c>
      <c r="B186" t="s">
        <v>700</v>
      </c>
      <c r="C186">
        <v>40</v>
      </c>
    </row>
    <row r="187" spans="1:3" x14ac:dyDescent="0.25">
      <c r="A187" t="s">
        <v>734</v>
      </c>
      <c r="B187" t="s">
        <v>734</v>
      </c>
      <c r="C187">
        <v>20</v>
      </c>
    </row>
    <row r="188" spans="1:3" x14ac:dyDescent="0.25">
      <c r="A188" t="s">
        <v>735</v>
      </c>
      <c r="B188" t="s">
        <v>735</v>
      </c>
      <c r="C188">
        <v>60</v>
      </c>
    </row>
    <row r="189" spans="1:3" x14ac:dyDescent="0.25">
      <c r="A189" t="s">
        <v>701</v>
      </c>
      <c r="B189" t="s">
        <v>701</v>
      </c>
      <c r="C189">
        <v>120</v>
      </c>
    </row>
    <row r="190" spans="1:3" x14ac:dyDescent="0.25">
      <c r="A190" t="s">
        <v>702</v>
      </c>
      <c r="B190" t="s">
        <v>702</v>
      </c>
      <c r="C190">
        <v>200</v>
      </c>
    </row>
    <row r="191" spans="1:3" x14ac:dyDescent="0.25">
      <c r="A191" t="s">
        <v>703</v>
      </c>
      <c r="B191" t="s">
        <v>703</v>
      </c>
      <c r="C191">
        <v>864</v>
      </c>
    </row>
    <row r="192" spans="1:3" x14ac:dyDescent="0.25">
      <c r="A192" t="s">
        <v>704</v>
      </c>
      <c r="B192" t="s">
        <v>704</v>
      </c>
      <c r="C192">
        <v>432</v>
      </c>
    </row>
    <row r="193" spans="1:3" x14ac:dyDescent="0.25">
      <c r="A193" t="s">
        <v>736</v>
      </c>
      <c r="B193" t="s">
        <v>736</v>
      </c>
      <c r="C193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Views>
    <sheetView workbookViewId="0"/>
  </sheetViews>
  <sheetFormatPr defaultRowHeight="15" x14ac:dyDescent="0.25"/>
  <cols>
    <col min="1" max="2" width="24" customWidth="1"/>
    <col min="3" max="3" width="10" customWidth="1"/>
  </cols>
  <sheetData>
    <row r="1" spans="1:3" x14ac:dyDescent="0.25">
      <c r="A1" t="s">
        <v>588</v>
      </c>
      <c r="B1" t="s">
        <v>0</v>
      </c>
      <c r="C1" t="s">
        <v>589</v>
      </c>
    </row>
    <row r="2" spans="1:3" x14ac:dyDescent="0.25">
      <c r="A2" t="s">
        <v>737</v>
      </c>
      <c r="B2" t="s">
        <v>737</v>
      </c>
      <c r="C2">
        <v>3000</v>
      </c>
    </row>
    <row r="3" spans="1:3" x14ac:dyDescent="0.25">
      <c r="A3" t="s">
        <v>738</v>
      </c>
      <c r="B3" t="s">
        <v>738</v>
      </c>
      <c r="C3">
        <v>600</v>
      </c>
    </row>
    <row r="4" spans="1:3" x14ac:dyDescent="0.25">
      <c r="A4" t="s">
        <v>590</v>
      </c>
      <c r="B4" t="s">
        <v>590</v>
      </c>
      <c r="C4">
        <v>100</v>
      </c>
    </row>
    <row r="5" spans="1:3" x14ac:dyDescent="0.25">
      <c r="A5" t="s">
        <v>705</v>
      </c>
      <c r="B5" t="s">
        <v>705</v>
      </c>
      <c r="C5">
        <v>500</v>
      </c>
    </row>
    <row r="6" spans="1:3" x14ac:dyDescent="0.25">
      <c r="A6" t="s">
        <v>591</v>
      </c>
      <c r="B6" t="s">
        <v>591</v>
      </c>
      <c r="C6">
        <v>1000</v>
      </c>
    </row>
    <row r="7" spans="1:3" x14ac:dyDescent="0.25">
      <c r="A7" t="s">
        <v>739</v>
      </c>
      <c r="B7" t="s">
        <v>739</v>
      </c>
      <c r="C7">
        <v>99</v>
      </c>
    </row>
    <row r="8" spans="1:3" x14ac:dyDescent="0.25">
      <c r="A8" t="s">
        <v>740</v>
      </c>
      <c r="B8" t="s">
        <v>740</v>
      </c>
      <c r="C8">
        <v>100</v>
      </c>
    </row>
    <row r="9" spans="1:3" x14ac:dyDescent="0.25">
      <c r="A9" t="s">
        <v>741</v>
      </c>
      <c r="B9" t="s">
        <v>741</v>
      </c>
      <c r="C9">
        <v>160</v>
      </c>
    </row>
    <row r="10" spans="1:3" x14ac:dyDescent="0.25">
      <c r="A10" t="s">
        <v>742</v>
      </c>
      <c r="B10" t="s">
        <v>742</v>
      </c>
      <c r="C10">
        <v>160</v>
      </c>
    </row>
    <row r="11" spans="1:3" x14ac:dyDescent="0.25">
      <c r="A11" t="s">
        <v>743</v>
      </c>
      <c r="B11" t="s">
        <v>743</v>
      </c>
      <c r="C11">
        <v>64</v>
      </c>
    </row>
    <row r="12" spans="1:3" x14ac:dyDescent="0.25">
      <c r="A12" t="s">
        <v>601</v>
      </c>
      <c r="B12" t="s">
        <v>601</v>
      </c>
      <c r="C12">
        <v>500</v>
      </c>
    </row>
    <row r="13" spans="1:3" x14ac:dyDescent="0.25">
      <c r="A13" t="s">
        <v>602</v>
      </c>
      <c r="B13" t="s">
        <v>602</v>
      </c>
      <c r="C13">
        <v>500</v>
      </c>
    </row>
    <row r="14" spans="1:3" x14ac:dyDescent="0.25">
      <c r="A14" t="s">
        <v>604</v>
      </c>
      <c r="B14" t="s">
        <v>604</v>
      </c>
      <c r="C14">
        <v>40</v>
      </c>
    </row>
    <row r="15" spans="1:3" x14ac:dyDescent="0.25">
      <c r="A15" t="s">
        <v>605</v>
      </c>
      <c r="B15" t="s">
        <v>605</v>
      </c>
      <c r="C15">
        <v>40</v>
      </c>
    </row>
    <row r="16" spans="1:3" x14ac:dyDescent="0.25">
      <c r="A16" t="s">
        <v>606</v>
      </c>
      <c r="B16" t="s">
        <v>606</v>
      </c>
      <c r="C16">
        <v>160</v>
      </c>
    </row>
    <row r="17" spans="1:3" x14ac:dyDescent="0.25">
      <c r="A17" t="s">
        <v>609</v>
      </c>
      <c r="B17" t="s">
        <v>609</v>
      </c>
      <c r="C17">
        <v>680</v>
      </c>
    </row>
    <row r="18" spans="1:3" x14ac:dyDescent="0.25">
      <c r="A18" t="s">
        <v>613</v>
      </c>
      <c r="B18" t="s">
        <v>613</v>
      </c>
      <c r="C18">
        <v>680</v>
      </c>
    </row>
    <row r="19" spans="1:3" x14ac:dyDescent="0.25">
      <c r="A19" t="s">
        <v>744</v>
      </c>
      <c r="B19" t="s">
        <v>744</v>
      </c>
      <c r="C19">
        <v>200</v>
      </c>
    </row>
    <row r="20" spans="1:3" x14ac:dyDescent="0.25">
      <c r="A20" t="s">
        <v>620</v>
      </c>
      <c r="B20" t="s">
        <v>620</v>
      </c>
      <c r="C20">
        <v>200</v>
      </c>
    </row>
    <row r="21" spans="1:3" x14ac:dyDescent="0.25">
      <c r="A21" t="s">
        <v>622</v>
      </c>
      <c r="B21" t="s">
        <v>622</v>
      </c>
      <c r="C21">
        <v>100</v>
      </c>
    </row>
    <row r="22" spans="1:3" x14ac:dyDescent="0.25">
      <c r="A22" t="s">
        <v>626</v>
      </c>
      <c r="B22" t="s">
        <v>626</v>
      </c>
      <c r="C22">
        <v>100</v>
      </c>
    </row>
    <row r="23" spans="1:3" x14ac:dyDescent="0.25">
      <c r="A23" t="s">
        <v>745</v>
      </c>
      <c r="B23" t="s">
        <v>745</v>
      </c>
      <c r="C23">
        <v>9900</v>
      </c>
    </row>
    <row r="24" spans="1:3" x14ac:dyDescent="0.25">
      <c r="A24" t="s">
        <v>629</v>
      </c>
      <c r="B24" t="s">
        <v>629</v>
      </c>
      <c r="C24">
        <v>1600</v>
      </c>
    </row>
    <row r="25" spans="1:3" x14ac:dyDescent="0.25">
      <c r="A25" t="s">
        <v>631</v>
      </c>
      <c r="B25" t="s">
        <v>631</v>
      </c>
      <c r="C25">
        <v>1400</v>
      </c>
    </row>
    <row r="26" spans="1:3" x14ac:dyDescent="0.25">
      <c r="A26" t="s">
        <v>632</v>
      </c>
      <c r="B26" t="s">
        <v>632</v>
      </c>
      <c r="C26">
        <v>200</v>
      </c>
    </row>
    <row r="27" spans="1:3" x14ac:dyDescent="0.25">
      <c r="A27" t="s">
        <v>634</v>
      </c>
      <c r="B27" t="s">
        <v>634</v>
      </c>
      <c r="C27">
        <v>100</v>
      </c>
    </row>
    <row r="28" spans="1:3" x14ac:dyDescent="0.25">
      <c r="A28" t="s">
        <v>637</v>
      </c>
      <c r="B28" t="s">
        <v>637</v>
      </c>
      <c r="C28">
        <v>800</v>
      </c>
    </row>
    <row r="29" spans="1:3" x14ac:dyDescent="0.25">
      <c r="A29" t="s">
        <v>641</v>
      </c>
      <c r="B29" t="s">
        <v>641</v>
      </c>
      <c r="C29">
        <v>800</v>
      </c>
    </row>
    <row r="30" spans="1:3" x14ac:dyDescent="0.25">
      <c r="A30" t="s">
        <v>746</v>
      </c>
      <c r="B30" t="s">
        <v>746</v>
      </c>
      <c r="C30">
        <v>100</v>
      </c>
    </row>
    <row r="31" spans="1:3" x14ac:dyDescent="0.25">
      <c r="A31" t="s">
        <v>648</v>
      </c>
      <c r="B31" t="s">
        <v>648</v>
      </c>
      <c r="C31">
        <v>100</v>
      </c>
    </row>
    <row r="32" spans="1:3" x14ac:dyDescent="0.25">
      <c r="A32" t="s">
        <v>747</v>
      </c>
      <c r="B32" t="s">
        <v>747</v>
      </c>
      <c r="C32">
        <v>20</v>
      </c>
    </row>
    <row r="33" spans="1:3" x14ac:dyDescent="0.25">
      <c r="A33" t="s">
        <v>748</v>
      </c>
      <c r="B33" t="s">
        <v>748</v>
      </c>
      <c r="C33">
        <v>40</v>
      </c>
    </row>
    <row r="34" spans="1:3" x14ac:dyDescent="0.25">
      <c r="A34" t="s">
        <v>749</v>
      </c>
      <c r="B34" t="s">
        <v>749</v>
      </c>
      <c r="C34">
        <v>20</v>
      </c>
    </row>
    <row r="35" spans="1:3" x14ac:dyDescent="0.25">
      <c r="A35" t="s">
        <v>66</v>
      </c>
      <c r="B35" t="s">
        <v>66</v>
      </c>
      <c r="C35">
        <v>550</v>
      </c>
    </row>
    <row r="36" spans="1:3" x14ac:dyDescent="0.25">
      <c r="A36" t="s">
        <v>68</v>
      </c>
      <c r="B36" t="s">
        <v>68</v>
      </c>
      <c r="C36">
        <v>300</v>
      </c>
    </row>
    <row r="37" spans="1:3" x14ac:dyDescent="0.25">
      <c r="A37" t="s">
        <v>70</v>
      </c>
      <c r="B37" t="s">
        <v>70</v>
      </c>
      <c r="C37">
        <v>150</v>
      </c>
    </row>
    <row r="38" spans="1:3" x14ac:dyDescent="0.25">
      <c r="A38" t="s">
        <v>72</v>
      </c>
      <c r="B38" t="s">
        <v>72</v>
      </c>
      <c r="C38">
        <v>50</v>
      </c>
    </row>
    <row r="39" spans="1:3" x14ac:dyDescent="0.25">
      <c r="A39" t="s">
        <v>94</v>
      </c>
      <c r="B39" t="s">
        <v>94</v>
      </c>
      <c r="C39">
        <v>7000</v>
      </c>
    </row>
    <row r="40" spans="1:3" x14ac:dyDescent="0.25">
      <c r="A40" t="s">
        <v>96</v>
      </c>
      <c r="B40" t="s">
        <v>96</v>
      </c>
      <c r="C40">
        <v>3500</v>
      </c>
    </row>
    <row r="41" spans="1:3" x14ac:dyDescent="0.25">
      <c r="A41" t="s">
        <v>98</v>
      </c>
      <c r="B41" t="s">
        <v>98</v>
      </c>
      <c r="C41">
        <v>6200</v>
      </c>
    </row>
    <row r="42" spans="1:3" x14ac:dyDescent="0.25">
      <c r="A42" t="s">
        <v>100</v>
      </c>
      <c r="B42" t="s">
        <v>100</v>
      </c>
      <c r="C42">
        <v>300</v>
      </c>
    </row>
    <row r="43" spans="1:3" x14ac:dyDescent="0.25">
      <c r="A43" t="s">
        <v>112</v>
      </c>
      <c r="B43" t="s">
        <v>112</v>
      </c>
      <c r="C43">
        <v>300</v>
      </c>
    </row>
    <row r="44" spans="1:3" x14ac:dyDescent="0.25">
      <c r="A44" t="s">
        <v>114</v>
      </c>
      <c r="B44" t="s">
        <v>114</v>
      </c>
      <c r="C44">
        <v>400</v>
      </c>
    </row>
    <row r="45" spans="1:3" x14ac:dyDescent="0.25">
      <c r="A45" t="s">
        <v>117</v>
      </c>
      <c r="B45" t="s">
        <v>117</v>
      </c>
      <c r="C45">
        <v>150</v>
      </c>
    </row>
    <row r="46" spans="1:3" x14ac:dyDescent="0.25">
      <c r="A46" t="s">
        <v>120</v>
      </c>
      <c r="B46" t="s">
        <v>120</v>
      </c>
      <c r="C46">
        <v>350</v>
      </c>
    </row>
    <row r="47" spans="1:3" x14ac:dyDescent="0.25">
      <c r="A47" t="s">
        <v>134</v>
      </c>
      <c r="B47" t="s">
        <v>134</v>
      </c>
      <c r="C47">
        <v>1100</v>
      </c>
    </row>
    <row r="48" spans="1:3" x14ac:dyDescent="0.25">
      <c r="A48" t="s">
        <v>136</v>
      </c>
      <c r="B48" t="s">
        <v>136</v>
      </c>
      <c r="C48">
        <v>600</v>
      </c>
    </row>
    <row r="49" spans="1:3" x14ac:dyDescent="0.25">
      <c r="A49" t="s">
        <v>155</v>
      </c>
      <c r="B49" t="s">
        <v>155</v>
      </c>
      <c r="C49">
        <v>1300</v>
      </c>
    </row>
    <row r="50" spans="1:3" x14ac:dyDescent="0.25">
      <c r="A50" t="s">
        <v>157</v>
      </c>
      <c r="B50" t="s">
        <v>157</v>
      </c>
      <c r="C50">
        <v>1000</v>
      </c>
    </row>
    <row r="51" spans="1:3" x14ac:dyDescent="0.25">
      <c r="A51" t="s">
        <v>159</v>
      </c>
      <c r="B51" t="s">
        <v>159</v>
      </c>
      <c r="C51">
        <v>750</v>
      </c>
    </row>
    <row r="52" spans="1:3" x14ac:dyDescent="0.25">
      <c r="A52" t="s">
        <v>189</v>
      </c>
      <c r="B52" t="s">
        <v>189</v>
      </c>
      <c r="C52">
        <v>100</v>
      </c>
    </row>
    <row r="53" spans="1:3" x14ac:dyDescent="0.25">
      <c r="A53" t="s">
        <v>208</v>
      </c>
      <c r="B53" t="s">
        <v>208</v>
      </c>
      <c r="C53">
        <v>150</v>
      </c>
    </row>
    <row r="54" spans="1:3" x14ac:dyDescent="0.25">
      <c r="A54" t="s">
        <v>212</v>
      </c>
      <c r="B54" t="s">
        <v>212</v>
      </c>
      <c r="C54">
        <v>50</v>
      </c>
    </row>
    <row r="55" spans="1:3" x14ac:dyDescent="0.25">
      <c r="A55" t="s">
        <v>214</v>
      </c>
      <c r="B55" t="s">
        <v>214</v>
      </c>
      <c r="C55">
        <v>50</v>
      </c>
    </row>
    <row r="56" spans="1:3" x14ac:dyDescent="0.25">
      <c r="A56" t="s">
        <v>234</v>
      </c>
      <c r="B56" t="s">
        <v>234</v>
      </c>
      <c r="C56">
        <v>50</v>
      </c>
    </row>
    <row r="57" spans="1:3" x14ac:dyDescent="0.25">
      <c r="A57" t="s">
        <v>237</v>
      </c>
      <c r="B57" t="s">
        <v>237</v>
      </c>
      <c r="C57">
        <v>50</v>
      </c>
    </row>
    <row r="58" spans="1:3" x14ac:dyDescent="0.25">
      <c r="A58" t="s">
        <v>239</v>
      </c>
      <c r="B58" t="s">
        <v>239</v>
      </c>
      <c r="C58">
        <v>100</v>
      </c>
    </row>
    <row r="59" spans="1:3" x14ac:dyDescent="0.25">
      <c r="A59" t="s">
        <v>260</v>
      </c>
      <c r="B59" t="s">
        <v>260</v>
      </c>
      <c r="C59">
        <v>20</v>
      </c>
    </row>
    <row r="60" spans="1:3" x14ac:dyDescent="0.25">
      <c r="A60" t="s">
        <v>270</v>
      </c>
      <c r="B60" t="s">
        <v>270</v>
      </c>
      <c r="C60">
        <v>100</v>
      </c>
    </row>
    <row r="61" spans="1:3" x14ac:dyDescent="0.25">
      <c r="A61" t="s">
        <v>274</v>
      </c>
      <c r="B61" t="s">
        <v>274</v>
      </c>
      <c r="C61">
        <v>100</v>
      </c>
    </row>
    <row r="62" spans="1:3" x14ac:dyDescent="0.25">
      <c r="A62" t="s">
        <v>297</v>
      </c>
      <c r="B62" t="s">
        <v>297</v>
      </c>
      <c r="C62">
        <v>50</v>
      </c>
    </row>
    <row r="63" spans="1:3" x14ac:dyDescent="0.25">
      <c r="A63" t="s">
        <v>307</v>
      </c>
      <c r="B63" t="s">
        <v>307</v>
      </c>
      <c r="C63">
        <v>50</v>
      </c>
    </row>
    <row r="64" spans="1:3" x14ac:dyDescent="0.25">
      <c r="A64" t="s">
        <v>349</v>
      </c>
      <c r="B64" t="s">
        <v>349</v>
      </c>
      <c r="C64">
        <v>300</v>
      </c>
    </row>
    <row r="65" spans="1:3" x14ac:dyDescent="0.25">
      <c r="A65" t="s">
        <v>352</v>
      </c>
      <c r="B65" t="s">
        <v>352</v>
      </c>
      <c r="C65">
        <v>200</v>
      </c>
    </row>
    <row r="66" spans="1:3" x14ac:dyDescent="0.25">
      <c r="A66" t="s">
        <v>343</v>
      </c>
      <c r="B66" t="s">
        <v>343</v>
      </c>
      <c r="C66">
        <v>150</v>
      </c>
    </row>
    <row r="67" spans="1:3" x14ac:dyDescent="0.25">
      <c r="A67" t="s">
        <v>345</v>
      </c>
      <c r="B67" t="s">
        <v>345</v>
      </c>
      <c r="C67">
        <v>300</v>
      </c>
    </row>
    <row r="68" spans="1:3" x14ac:dyDescent="0.25">
      <c r="A68" t="s">
        <v>347</v>
      </c>
      <c r="B68" t="s">
        <v>347</v>
      </c>
      <c r="C68">
        <v>150</v>
      </c>
    </row>
    <row r="69" spans="1:3" x14ac:dyDescent="0.25">
      <c r="A69" t="s">
        <v>356</v>
      </c>
      <c r="B69" t="s">
        <v>356</v>
      </c>
      <c r="C69">
        <v>2600</v>
      </c>
    </row>
    <row r="70" spans="1:3" x14ac:dyDescent="0.25">
      <c r="A70" t="s">
        <v>358</v>
      </c>
      <c r="B70" t="s">
        <v>358</v>
      </c>
      <c r="C70">
        <v>400</v>
      </c>
    </row>
    <row r="71" spans="1:3" x14ac:dyDescent="0.25">
      <c r="A71" t="s">
        <v>360</v>
      </c>
      <c r="B71" t="s">
        <v>360</v>
      </c>
      <c r="C71">
        <v>600</v>
      </c>
    </row>
    <row r="72" spans="1:3" x14ac:dyDescent="0.25">
      <c r="A72" t="s">
        <v>491</v>
      </c>
      <c r="B72" t="s">
        <v>491</v>
      </c>
      <c r="C72">
        <v>200</v>
      </c>
    </row>
    <row r="73" spans="1:3" x14ac:dyDescent="0.25">
      <c r="A73" t="s">
        <v>495</v>
      </c>
      <c r="B73" t="s">
        <v>495</v>
      </c>
      <c r="C73">
        <v>300</v>
      </c>
    </row>
    <row r="74" spans="1:3" x14ac:dyDescent="0.25">
      <c r="A74" t="s">
        <v>524</v>
      </c>
      <c r="B74" t="s">
        <v>524</v>
      </c>
      <c r="C74">
        <v>20</v>
      </c>
    </row>
    <row r="75" spans="1:3" x14ac:dyDescent="0.25">
      <c r="A75" t="s">
        <v>546</v>
      </c>
      <c r="B75" t="s">
        <v>546</v>
      </c>
      <c r="C75">
        <v>20</v>
      </c>
    </row>
    <row r="76" spans="1:3" x14ac:dyDescent="0.25">
      <c r="A76" t="s">
        <v>559</v>
      </c>
      <c r="B76" t="s">
        <v>559</v>
      </c>
      <c r="C76">
        <v>10</v>
      </c>
    </row>
    <row r="77" spans="1:3" x14ac:dyDescent="0.25">
      <c r="A77" t="s">
        <v>509</v>
      </c>
      <c r="B77" t="s">
        <v>509</v>
      </c>
      <c r="C77">
        <v>50</v>
      </c>
    </row>
    <row r="78" spans="1:3" x14ac:dyDescent="0.25">
      <c r="A78" t="s">
        <v>513</v>
      </c>
      <c r="B78" t="s">
        <v>513</v>
      </c>
      <c r="C78">
        <v>50</v>
      </c>
    </row>
    <row r="79" spans="1:3" x14ac:dyDescent="0.25">
      <c r="A79" t="s">
        <v>517</v>
      </c>
      <c r="B79" t="s">
        <v>517</v>
      </c>
      <c r="C79">
        <v>20</v>
      </c>
    </row>
    <row r="80" spans="1:3" x14ac:dyDescent="0.25">
      <c r="A80" t="s">
        <v>750</v>
      </c>
      <c r="B80" t="s">
        <v>750</v>
      </c>
      <c r="C80">
        <v>200</v>
      </c>
    </row>
    <row r="81" spans="1:3" x14ac:dyDescent="0.25">
      <c r="A81" t="s">
        <v>751</v>
      </c>
      <c r="B81" t="s">
        <v>751</v>
      </c>
      <c r="C81">
        <v>200</v>
      </c>
    </row>
    <row r="82" spans="1:3" x14ac:dyDescent="0.25">
      <c r="A82" t="s">
        <v>752</v>
      </c>
      <c r="B82" t="s">
        <v>752</v>
      </c>
      <c r="C82">
        <v>1000</v>
      </c>
    </row>
    <row r="83" spans="1:3" x14ac:dyDescent="0.25">
      <c r="A83" t="s">
        <v>753</v>
      </c>
      <c r="B83" t="s">
        <v>753</v>
      </c>
      <c r="C83">
        <v>1000</v>
      </c>
    </row>
    <row r="84" spans="1:3" x14ac:dyDescent="0.25">
      <c r="A84" t="s">
        <v>754</v>
      </c>
      <c r="B84" t="s">
        <v>754</v>
      </c>
      <c r="C84">
        <v>10</v>
      </c>
    </row>
    <row r="85" spans="1:3" x14ac:dyDescent="0.25">
      <c r="A85" t="s">
        <v>755</v>
      </c>
      <c r="B85" t="s">
        <v>755</v>
      </c>
      <c r="C85">
        <v>10</v>
      </c>
    </row>
    <row r="86" spans="1:3" x14ac:dyDescent="0.25">
      <c r="A86" t="s">
        <v>756</v>
      </c>
      <c r="B86" t="s">
        <v>756</v>
      </c>
      <c r="C86">
        <v>5</v>
      </c>
    </row>
    <row r="87" spans="1:3" x14ac:dyDescent="0.25">
      <c r="A87" t="s">
        <v>757</v>
      </c>
      <c r="B87" t="s">
        <v>757</v>
      </c>
      <c r="C87">
        <v>5</v>
      </c>
    </row>
    <row r="88" spans="1:3" x14ac:dyDescent="0.25">
      <c r="A88" t="s">
        <v>758</v>
      </c>
      <c r="B88" t="s">
        <v>758</v>
      </c>
      <c r="C88">
        <v>5</v>
      </c>
    </row>
    <row r="89" spans="1:3" x14ac:dyDescent="0.25">
      <c r="A89" t="s">
        <v>759</v>
      </c>
      <c r="B89" t="s">
        <v>759</v>
      </c>
      <c r="C89">
        <v>5</v>
      </c>
    </row>
    <row r="90" spans="1:3" x14ac:dyDescent="0.25">
      <c r="A90" t="s">
        <v>760</v>
      </c>
      <c r="B90" t="s">
        <v>760</v>
      </c>
      <c r="C90">
        <v>15</v>
      </c>
    </row>
    <row r="91" spans="1:3" x14ac:dyDescent="0.25">
      <c r="A91" t="s">
        <v>761</v>
      </c>
      <c r="B91" t="s">
        <v>761</v>
      </c>
      <c r="C91">
        <v>5</v>
      </c>
    </row>
    <row r="92" spans="1:3" x14ac:dyDescent="0.25">
      <c r="A92" t="s">
        <v>762</v>
      </c>
      <c r="B92" t="s">
        <v>762</v>
      </c>
      <c r="C92">
        <v>5</v>
      </c>
    </row>
    <row r="93" spans="1:3" x14ac:dyDescent="0.25">
      <c r="A93" t="s">
        <v>763</v>
      </c>
      <c r="B93" t="s">
        <v>763</v>
      </c>
      <c r="C93">
        <v>10</v>
      </c>
    </row>
    <row r="94" spans="1:3" x14ac:dyDescent="0.25">
      <c r="A94" t="s">
        <v>717</v>
      </c>
      <c r="B94" t="s">
        <v>717</v>
      </c>
      <c r="C94">
        <v>10</v>
      </c>
    </row>
    <row r="95" spans="1:3" x14ac:dyDescent="0.25">
      <c r="A95" t="s">
        <v>720</v>
      </c>
      <c r="B95" t="s">
        <v>720</v>
      </c>
      <c r="C95">
        <v>5</v>
      </c>
    </row>
    <row r="96" spans="1:3" x14ac:dyDescent="0.25">
      <c r="A96" t="s">
        <v>764</v>
      </c>
      <c r="B96" t="s">
        <v>764</v>
      </c>
      <c r="C96">
        <v>5</v>
      </c>
    </row>
    <row r="97" spans="1:3" x14ac:dyDescent="0.25">
      <c r="A97" t="s">
        <v>765</v>
      </c>
      <c r="B97" t="s">
        <v>765</v>
      </c>
      <c r="C97">
        <v>5</v>
      </c>
    </row>
    <row r="98" spans="1:3" x14ac:dyDescent="0.25">
      <c r="A98" t="s">
        <v>766</v>
      </c>
      <c r="B98" t="s">
        <v>766</v>
      </c>
      <c r="C98">
        <v>4</v>
      </c>
    </row>
    <row r="99" spans="1:3" x14ac:dyDescent="0.25">
      <c r="A99" t="s">
        <v>767</v>
      </c>
      <c r="B99" t="s">
        <v>767</v>
      </c>
      <c r="C99">
        <v>4</v>
      </c>
    </row>
    <row r="100" spans="1:3" x14ac:dyDescent="0.25">
      <c r="A100" t="s">
        <v>768</v>
      </c>
      <c r="B100" t="s">
        <v>768</v>
      </c>
      <c r="C100">
        <v>100</v>
      </c>
    </row>
    <row r="101" spans="1:3" x14ac:dyDescent="0.25">
      <c r="A101" t="s">
        <v>769</v>
      </c>
      <c r="B101" t="s">
        <v>769</v>
      </c>
      <c r="C101">
        <v>100</v>
      </c>
    </row>
    <row r="102" spans="1:3" x14ac:dyDescent="0.25">
      <c r="A102" t="s">
        <v>770</v>
      </c>
      <c r="B102" t="s">
        <v>770</v>
      </c>
      <c r="C102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18"/>
  <sheetViews>
    <sheetView workbookViewId="0"/>
  </sheetViews>
  <sheetFormatPr defaultRowHeight="15" x14ac:dyDescent="0.25"/>
  <cols>
    <col min="1" max="2" width="24" customWidth="1"/>
    <col min="3" max="3" width="10" customWidth="1"/>
    <col min="4" max="4" width="13" customWidth="1"/>
    <col min="5" max="5" width="10" customWidth="1"/>
    <col min="6" max="6" width="16" customWidth="1"/>
    <col min="7" max="18" width="10" customWidth="1"/>
    <col min="19" max="19" width="21" customWidth="1"/>
    <col min="20" max="21" width="10" customWidth="1"/>
    <col min="22" max="22" width="22" customWidth="1"/>
    <col min="23" max="23" width="13" customWidth="1"/>
  </cols>
  <sheetData>
    <row r="1" spans="1:23" x14ac:dyDescent="0.25">
      <c r="A1" t="s">
        <v>0</v>
      </c>
      <c r="B1" t="s">
        <v>771</v>
      </c>
      <c r="C1" t="s">
        <v>772</v>
      </c>
      <c r="D1" t="s">
        <v>773</v>
      </c>
      <c r="E1" t="s">
        <v>774</v>
      </c>
      <c r="F1" t="s">
        <v>775</v>
      </c>
      <c r="G1" t="s">
        <v>776</v>
      </c>
      <c r="H1" t="s">
        <v>777</v>
      </c>
      <c r="I1" t="s">
        <v>778</v>
      </c>
      <c r="J1" t="s">
        <v>779</v>
      </c>
      <c r="K1" t="s">
        <v>780</v>
      </c>
      <c r="L1" t="s">
        <v>781</v>
      </c>
      <c r="M1" t="s">
        <v>782</v>
      </c>
      <c r="N1" t="s">
        <v>783</v>
      </c>
      <c r="O1" t="s">
        <v>784</v>
      </c>
      <c r="P1" t="s">
        <v>785</v>
      </c>
      <c r="Q1" t="s">
        <v>786</v>
      </c>
      <c r="R1" t="s">
        <v>787</v>
      </c>
      <c r="S1" t="s">
        <v>788</v>
      </c>
      <c r="T1" t="s">
        <v>789</v>
      </c>
      <c r="U1" t="s">
        <v>1</v>
      </c>
      <c r="V1" t="s">
        <v>2</v>
      </c>
      <c r="W1" t="s">
        <v>3</v>
      </c>
    </row>
    <row r="2" spans="1:23" x14ac:dyDescent="0.25">
      <c r="A2" t="s">
        <v>319</v>
      </c>
      <c r="B2" s="1" t="s">
        <v>319</v>
      </c>
      <c r="C2">
        <v>0</v>
      </c>
      <c r="D2" s="3">
        <v>0</v>
      </c>
      <c r="E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23" x14ac:dyDescent="0.25">
      <c r="A3" t="s">
        <v>326</v>
      </c>
      <c r="B3" s="1" t="s">
        <v>326</v>
      </c>
      <c r="C3">
        <v>0</v>
      </c>
      <c r="D3" s="3">
        <v>0</v>
      </c>
      <c r="E3">
        <v>60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100</v>
      </c>
      <c r="Q3">
        <v>0</v>
      </c>
      <c r="R3">
        <v>0</v>
      </c>
      <c r="S3">
        <v>100</v>
      </c>
    </row>
    <row r="4" spans="1:23" x14ac:dyDescent="0.25">
      <c r="A4" t="s">
        <v>790</v>
      </c>
      <c r="B4" s="1" t="s">
        <v>790</v>
      </c>
      <c r="C4">
        <v>0</v>
      </c>
      <c r="D4" s="3">
        <v>0</v>
      </c>
      <c r="E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23" x14ac:dyDescent="0.25">
      <c r="A5" t="s">
        <v>791</v>
      </c>
      <c r="B5" s="1" t="s">
        <v>791</v>
      </c>
      <c r="C5">
        <v>0</v>
      </c>
      <c r="D5" s="3">
        <v>0</v>
      </c>
      <c r="E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23" x14ac:dyDescent="0.25">
      <c r="A6" t="s">
        <v>792</v>
      </c>
      <c r="B6" s="1" t="s">
        <v>792</v>
      </c>
      <c r="C6">
        <v>0</v>
      </c>
      <c r="D6" s="3">
        <v>0</v>
      </c>
      <c r="E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23" x14ac:dyDescent="0.25">
      <c r="A7" t="s">
        <v>793</v>
      </c>
      <c r="B7" s="1" t="s">
        <v>793</v>
      </c>
      <c r="C7">
        <v>0</v>
      </c>
      <c r="D7" s="3">
        <v>0</v>
      </c>
      <c r="E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23" x14ac:dyDescent="0.25">
      <c r="A8" t="s">
        <v>794</v>
      </c>
      <c r="B8" s="1" t="s">
        <v>794</v>
      </c>
      <c r="C8">
        <v>0</v>
      </c>
      <c r="D8" s="3">
        <v>0</v>
      </c>
      <c r="E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23" x14ac:dyDescent="0.25">
      <c r="A9" t="s">
        <v>795</v>
      </c>
      <c r="B9" s="1" t="s">
        <v>795</v>
      </c>
      <c r="C9">
        <v>0</v>
      </c>
      <c r="D9" s="3">
        <v>0</v>
      </c>
      <c r="E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23" x14ac:dyDescent="0.25">
      <c r="A10" t="s">
        <v>796</v>
      </c>
      <c r="B10" s="1" t="s">
        <v>796</v>
      </c>
      <c r="C10">
        <v>0</v>
      </c>
      <c r="D10" s="3">
        <v>0</v>
      </c>
      <c r="E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23" x14ac:dyDescent="0.25">
      <c r="A11" t="s">
        <v>797</v>
      </c>
      <c r="B11" s="1" t="s">
        <v>797</v>
      </c>
      <c r="C11">
        <v>0</v>
      </c>
      <c r="D11" s="3">
        <v>0</v>
      </c>
      <c r="E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23" x14ac:dyDescent="0.25">
      <c r="A12" t="s">
        <v>798</v>
      </c>
      <c r="B12" s="1" t="s">
        <v>798</v>
      </c>
      <c r="C12">
        <v>0</v>
      </c>
      <c r="D12" s="3">
        <v>0</v>
      </c>
      <c r="E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23" x14ac:dyDescent="0.25">
      <c r="A13" t="s">
        <v>799</v>
      </c>
      <c r="B13" s="1" t="s">
        <v>799</v>
      </c>
      <c r="C13">
        <v>0</v>
      </c>
      <c r="D13" s="3">
        <v>0</v>
      </c>
      <c r="E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23" x14ac:dyDescent="0.25">
      <c r="A14" t="s">
        <v>800</v>
      </c>
      <c r="B14" s="1" t="s">
        <v>800</v>
      </c>
      <c r="C14">
        <v>0</v>
      </c>
      <c r="D14" s="3">
        <v>0</v>
      </c>
      <c r="E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23" x14ac:dyDescent="0.25">
      <c r="A15" t="s">
        <v>801</v>
      </c>
      <c r="B15" s="1" t="s">
        <v>801</v>
      </c>
      <c r="C15">
        <v>0</v>
      </c>
      <c r="D15" s="3">
        <v>0</v>
      </c>
      <c r="E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23" x14ac:dyDescent="0.25">
      <c r="A16" t="s">
        <v>802</v>
      </c>
      <c r="B16" s="1" t="s">
        <v>802</v>
      </c>
      <c r="C16">
        <v>0</v>
      </c>
      <c r="D16" s="3">
        <v>0</v>
      </c>
      <c r="E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23" x14ac:dyDescent="0.25">
      <c r="A17" t="s">
        <v>803</v>
      </c>
      <c r="B17" s="1" t="s">
        <v>803</v>
      </c>
      <c r="C17">
        <v>0</v>
      </c>
      <c r="D17" s="3">
        <v>0</v>
      </c>
      <c r="E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23" x14ac:dyDescent="0.25">
      <c r="A18" t="s">
        <v>804</v>
      </c>
      <c r="B18" s="1" t="s">
        <v>804</v>
      </c>
      <c r="C18">
        <v>0</v>
      </c>
      <c r="D18" s="3">
        <v>0</v>
      </c>
      <c r="E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23" x14ac:dyDescent="0.25">
      <c r="A19" t="s">
        <v>805</v>
      </c>
      <c r="B19" s="1" t="s">
        <v>805</v>
      </c>
      <c r="C19">
        <v>0</v>
      </c>
      <c r="D19" s="3">
        <v>0</v>
      </c>
      <c r="E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23" x14ac:dyDescent="0.25">
      <c r="A20" t="s">
        <v>806</v>
      </c>
      <c r="B20" s="1" t="s">
        <v>806</v>
      </c>
      <c r="C20">
        <v>0</v>
      </c>
      <c r="D20" s="3">
        <v>0</v>
      </c>
      <c r="E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23" x14ac:dyDescent="0.25">
      <c r="A21" t="s">
        <v>807</v>
      </c>
      <c r="B21" s="1" t="s">
        <v>807</v>
      </c>
      <c r="C21">
        <v>0</v>
      </c>
      <c r="D21" s="3">
        <v>0</v>
      </c>
      <c r="E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23" x14ac:dyDescent="0.25">
      <c r="A22" t="s">
        <v>808</v>
      </c>
      <c r="B22" s="1" t="s">
        <v>808</v>
      </c>
      <c r="C22">
        <v>0</v>
      </c>
      <c r="D22" s="3">
        <v>0</v>
      </c>
      <c r="E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23" x14ac:dyDescent="0.25">
      <c r="A23" t="s">
        <v>809</v>
      </c>
      <c r="B23" s="1" t="s">
        <v>809</v>
      </c>
      <c r="C23">
        <v>0</v>
      </c>
      <c r="D23" s="3">
        <v>0</v>
      </c>
      <c r="E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23" x14ac:dyDescent="0.25">
      <c r="A24" t="s">
        <v>810</v>
      </c>
      <c r="B24" s="1" t="s">
        <v>810</v>
      </c>
      <c r="C24">
        <v>0</v>
      </c>
      <c r="D24" s="3">
        <v>0</v>
      </c>
      <c r="E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23" x14ac:dyDescent="0.25">
      <c r="A25" t="s">
        <v>811</v>
      </c>
      <c r="B25" s="1" t="s">
        <v>811</v>
      </c>
      <c r="C25">
        <v>0</v>
      </c>
      <c r="D25" s="3">
        <v>0</v>
      </c>
      <c r="E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23" x14ac:dyDescent="0.25">
      <c r="A26" t="s">
        <v>812</v>
      </c>
      <c r="B26" s="1" t="s">
        <v>812</v>
      </c>
      <c r="C26">
        <v>0</v>
      </c>
      <c r="D26" s="3">
        <v>0</v>
      </c>
      <c r="E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23" x14ac:dyDescent="0.25">
      <c r="A27" t="s">
        <v>44</v>
      </c>
      <c r="B27" t="s">
        <v>44</v>
      </c>
      <c r="C27">
        <v>61</v>
      </c>
      <c r="D27" s="4">
        <v>60</v>
      </c>
      <c r="E27">
        <v>222</v>
      </c>
      <c r="G27">
        <v>71</v>
      </c>
      <c r="H27">
        <v>75</v>
      </c>
      <c r="I27">
        <v>34</v>
      </c>
      <c r="J27">
        <v>53</v>
      </c>
      <c r="K27">
        <v>77</v>
      </c>
      <c r="L27">
        <v>87</v>
      </c>
      <c r="M27">
        <v>56</v>
      </c>
      <c r="N27">
        <v>34</v>
      </c>
      <c r="O27">
        <v>38</v>
      </c>
      <c r="P27">
        <v>72</v>
      </c>
      <c r="Q27">
        <v>64</v>
      </c>
      <c r="R27">
        <v>58</v>
      </c>
      <c r="S27">
        <v>719</v>
      </c>
      <c r="T27" t="s">
        <v>813</v>
      </c>
      <c r="U27" t="s">
        <v>45</v>
      </c>
      <c r="V27" t="s">
        <v>46</v>
      </c>
      <c r="W27" t="s">
        <v>47</v>
      </c>
    </row>
    <row r="28" spans="1:23" x14ac:dyDescent="0.25">
      <c r="A28" t="s">
        <v>48</v>
      </c>
      <c r="B28" t="s">
        <v>48</v>
      </c>
      <c r="C28">
        <v>14</v>
      </c>
      <c r="D28" s="3">
        <v>14</v>
      </c>
      <c r="E28">
        <v>80</v>
      </c>
      <c r="G28">
        <v>14</v>
      </c>
      <c r="H28">
        <v>12</v>
      </c>
      <c r="I28">
        <v>22</v>
      </c>
      <c r="J28">
        <v>11</v>
      </c>
      <c r="K28">
        <v>4</v>
      </c>
      <c r="L28">
        <v>11</v>
      </c>
      <c r="M28">
        <v>14</v>
      </c>
      <c r="N28">
        <v>20</v>
      </c>
      <c r="O28">
        <v>15</v>
      </c>
      <c r="P28">
        <v>22</v>
      </c>
      <c r="Q28">
        <v>3</v>
      </c>
      <c r="R28">
        <v>16</v>
      </c>
      <c r="S28">
        <v>164</v>
      </c>
      <c r="T28" t="s">
        <v>813</v>
      </c>
      <c r="U28" t="s">
        <v>45</v>
      </c>
      <c r="V28" t="s">
        <v>46</v>
      </c>
      <c r="W28" t="s">
        <v>49</v>
      </c>
    </row>
    <row r="29" spans="1:23" x14ac:dyDescent="0.25">
      <c r="A29" t="s">
        <v>50</v>
      </c>
      <c r="B29" t="s">
        <v>50</v>
      </c>
      <c r="C29">
        <v>15</v>
      </c>
      <c r="D29" s="4">
        <v>14</v>
      </c>
      <c r="E29">
        <v>54</v>
      </c>
      <c r="G29">
        <v>10</v>
      </c>
      <c r="H29">
        <v>15</v>
      </c>
      <c r="I29">
        <v>12</v>
      </c>
      <c r="J29">
        <v>15</v>
      </c>
      <c r="K29">
        <v>17</v>
      </c>
      <c r="L29">
        <v>19</v>
      </c>
      <c r="M29">
        <v>15</v>
      </c>
      <c r="N29">
        <v>17</v>
      </c>
      <c r="O29">
        <v>9</v>
      </c>
      <c r="P29">
        <v>18</v>
      </c>
      <c r="Q29">
        <v>5</v>
      </c>
      <c r="R29">
        <v>20</v>
      </c>
      <c r="S29">
        <v>172</v>
      </c>
      <c r="T29" t="s">
        <v>813</v>
      </c>
      <c r="U29" t="s">
        <v>45</v>
      </c>
      <c r="V29" t="s">
        <v>46</v>
      </c>
      <c r="W29" t="s">
        <v>51</v>
      </c>
    </row>
    <row r="30" spans="1:23" x14ac:dyDescent="0.25">
      <c r="A30" t="s">
        <v>52</v>
      </c>
      <c r="B30" t="s">
        <v>52</v>
      </c>
      <c r="C30">
        <v>5.5</v>
      </c>
      <c r="D30" s="4">
        <v>6.6</v>
      </c>
      <c r="E30">
        <v>48</v>
      </c>
      <c r="G30">
        <v>9</v>
      </c>
      <c r="H30">
        <v>3</v>
      </c>
      <c r="I30">
        <v>5</v>
      </c>
      <c r="J30">
        <v>12</v>
      </c>
      <c r="K30">
        <v>4</v>
      </c>
      <c r="L30">
        <v>11</v>
      </c>
      <c r="M30">
        <v>5</v>
      </c>
      <c r="N30">
        <v>1</v>
      </c>
      <c r="O30">
        <v>6</v>
      </c>
      <c r="P30">
        <v>7</v>
      </c>
      <c r="Q30">
        <v>12</v>
      </c>
      <c r="R30">
        <v>4</v>
      </c>
      <c r="S30">
        <v>79</v>
      </c>
      <c r="T30" t="s">
        <v>813</v>
      </c>
      <c r="U30" t="s">
        <v>45</v>
      </c>
      <c r="V30" t="s">
        <v>53</v>
      </c>
      <c r="W30" t="s">
        <v>54</v>
      </c>
    </row>
    <row r="31" spans="1:23" x14ac:dyDescent="0.25">
      <c r="A31" t="s">
        <v>55</v>
      </c>
      <c r="B31" t="s">
        <v>55</v>
      </c>
      <c r="C31">
        <v>3</v>
      </c>
      <c r="D31" s="4">
        <v>3.9</v>
      </c>
      <c r="E31">
        <v>18</v>
      </c>
      <c r="G31">
        <v>3</v>
      </c>
      <c r="H31">
        <v>1</v>
      </c>
      <c r="I31">
        <v>3</v>
      </c>
      <c r="J31">
        <v>3</v>
      </c>
      <c r="K31">
        <v>6</v>
      </c>
      <c r="L31">
        <v>7</v>
      </c>
      <c r="M31">
        <v>2</v>
      </c>
      <c r="N31">
        <v>9</v>
      </c>
      <c r="O31">
        <v>2</v>
      </c>
      <c r="P31">
        <v>3</v>
      </c>
      <c r="Q31">
        <v>0</v>
      </c>
      <c r="R31">
        <v>8</v>
      </c>
      <c r="S31">
        <v>47</v>
      </c>
      <c r="T31" t="s">
        <v>813</v>
      </c>
      <c r="U31" t="s">
        <v>45</v>
      </c>
      <c r="V31" t="s">
        <v>53</v>
      </c>
      <c r="W31" t="s">
        <v>56</v>
      </c>
    </row>
    <row r="32" spans="1:23" x14ac:dyDescent="0.25">
      <c r="A32" t="s">
        <v>57</v>
      </c>
      <c r="B32" t="s">
        <v>57</v>
      </c>
      <c r="C32">
        <v>6.5</v>
      </c>
      <c r="D32" s="4">
        <v>6.3</v>
      </c>
      <c r="E32">
        <v>28</v>
      </c>
      <c r="F32">
        <v>10</v>
      </c>
      <c r="G32">
        <v>8</v>
      </c>
      <c r="H32">
        <v>2</v>
      </c>
      <c r="I32">
        <v>8</v>
      </c>
      <c r="J32">
        <v>14</v>
      </c>
      <c r="K32">
        <v>4</v>
      </c>
      <c r="L32">
        <v>7</v>
      </c>
      <c r="M32">
        <v>3</v>
      </c>
      <c r="N32">
        <v>2</v>
      </c>
      <c r="O32">
        <v>8</v>
      </c>
      <c r="P32">
        <v>6</v>
      </c>
      <c r="Q32">
        <v>4</v>
      </c>
      <c r="R32">
        <v>9</v>
      </c>
      <c r="S32">
        <v>75</v>
      </c>
      <c r="T32" t="s">
        <v>813</v>
      </c>
      <c r="U32" t="s">
        <v>45</v>
      </c>
      <c r="V32" t="s">
        <v>53</v>
      </c>
      <c r="W32" t="s">
        <v>58</v>
      </c>
    </row>
    <row r="33" spans="1:23" x14ac:dyDescent="0.25">
      <c r="A33" t="s">
        <v>59</v>
      </c>
      <c r="B33" t="s">
        <v>59</v>
      </c>
      <c r="C33">
        <v>0</v>
      </c>
      <c r="D33" s="3">
        <v>0</v>
      </c>
      <c r="E33">
        <v>10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813</v>
      </c>
      <c r="U33" t="s">
        <v>45</v>
      </c>
      <c r="V33" t="s">
        <v>60</v>
      </c>
      <c r="W33" t="s">
        <v>61</v>
      </c>
    </row>
    <row r="34" spans="1:23" x14ac:dyDescent="0.25">
      <c r="A34" t="s">
        <v>62</v>
      </c>
      <c r="B34" t="s">
        <v>62</v>
      </c>
      <c r="C34">
        <v>0</v>
      </c>
      <c r="D34" s="3">
        <v>0</v>
      </c>
      <c r="E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813</v>
      </c>
      <c r="U34" t="s">
        <v>45</v>
      </c>
      <c r="V34" t="s">
        <v>60</v>
      </c>
      <c r="W34" t="s">
        <v>63</v>
      </c>
    </row>
    <row r="35" spans="1:23" x14ac:dyDescent="0.25">
      <c r="A35" t="s">
        <v>64</v>
      </c>
      <c r="B35" t="s">
        <v>64</v>
      </c>
      <c r="C35">
        <v>0</v>
      </c>
      <c r="D35" s="3">
        <v>0</v>
      </c>
      <c r="E35">
        <v>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813</v>
      </c>
      <c r="U35" t="s">
        <v>45</v>
      </c>
      <c r="V35" t="s">
        <v>60</v>
      </c>
      <c r="W35" t="s">
        <v>65</v>
      </c>
    </row>
    <row r="36" spans="1:23" x14ac:dyDescent="0.25">
      <c r="A36" t="s">
        <v>66</v>
      </c>
      <c r="B36" t="s">
        <v>66</v>
      </c>
      <c r="C36">
        <v>7</v>
      </c>
      <c r="D36" s="4">
        <v>7.2</v>
      </c>
      <c r="E36">
        <v>31</v>
      </c>
      <c r="G36">
        <v>8</v>
      </c>
      <c r="H36">
        <v>6</v>
      </c>
      <c r="I36">
        <v>5</v>
      </c>
      <c r="J36">
        <v>13</v>
      </c>
      <c r="K36">
        <v>7</v>
      </c>
      <c r="L36">
        <v>7</v>
      </c>
      <c r="M36">
        <v>11</v>
      </c>
      <c r="N36">
        <v>4</v>
      </c>
      <c r="O36">
        <v>3</v>
      </c>
      <c r="P36">
        <v>9</v>
      </c>
      <c r="Q36">
        <v>6</v>
      </c>
      <c r="R36">
        <v>7</v>
      </c>
      <c r="S36">
        <v>86</v>
      </c>
      <c r="T36" t="s">
        <v>813</v>
      </c>
      <c r="U36" t="s">
        <v>45</v>
      </c>
      <c r="V36" t="s">
        <v>60</v>
      </c>
      <c r="W36" t="s">
        <v>67</v>
      </c>
    </row>
    <row r="37" spans="1:23" x14ac:dyDescent="0.25">
      <c r="A37" t="s">
        <v>68</v>
      </c>
      <c r="B37" t="s">
        <v>68</v>
      </c>
      <c r="C37">
        <v>1</v>
      </c>
      <c r="D37" s="4">
        <v>1.8</v>
      </c>
      <c r="E37">
        <v>13</v>
      </c>
      <c r="G37">
        <v>4</v>
      </c>
      <c r="H37">
        <v>1</v>
      </c>
      <c r="I37">
        <v>0</v>
      </c>
      <c r="J37">
        <v>4</v>
      </c>
      <c r="K37">
        <v>3</v>
      </c>
      <c r="L37">
        <v>1</v>
      </c>
      <c r="M37">
        <v>0</v>
      </c>
      <c r="N37">
        <v>3</v>
      </c>
      <c r="O37">
        <v>1</v>
      </c>
      <c r="P37">
        <v>2</v>
      </c>
      <c r="Q37">
        <v>0</v>
      </c>
      <c r="R37">
        <v>0</v>
      </c>
      <c r="S37">
        <v>19</v>
      </c>
      <c r="T37" t="s">
        <v>813</v>
      </c>
      <c r="U37" t="s">
        <v>45</v>
      </c>
      <c r="V37" t="s">
        <v>60</v>
      </c>
      <c r="W37" t="s">
        <v>69</v>
      </c>
    </row>
    <row r="38" spans="1:23" x14ac:dyDescent="0.25">
      <c r="A38" t="s">
        <v>70</v>
      </c>
      <c r="B38" t="s">
        <v>70</v>
      </c>
      <c r="C38">
        <v>4</v>
      </c>
      <c r="D38" s="4">
        <v>4.5</v>
      </c>
      <c r="E38">
        <v>23</v>
      </c>
      <c r="G38">
        <v>6</v>
      </c>
      <c r="H38">
        <v>3</v>
      </c>
      <c r="I38">
        <v>2</v>
      </c>
      <c r="J38">
        <v>5</v>
      </c>
      <c r="K38">
        <v>8</v>
      </c>
      <c r="L38">
        <v>2</v>
      </c>
      <c r="M38">
        <v>6</v>
      </c>
      <c r="N38">
        <v>5</v>
      </c>
      <c r="O38">
        <v>2</v>
      </c>
      <c r="P38">
        <v>9</v>
      </c>
      <c r="Q38">
        <v>1</v>
      </c>
      <c r="R38">
        <v>1</v>
      </c>
      <c r="S38">
        <v>50</v>
      </c>
      <c r="T38" t="s">
        <v>813</v>
      </c>
      <c r="U38" t="s">
        <v>45</v>
      </c>
      <c r="V38" t="s">
        <v>60</v>
      </c>
      <c r="W38" t="s">
        <v>71</v>
      </c>
    </row>
    <row r="39" spans="1:23" x14ac:dyDescent="0.25">
      <c r="A39" t="s">
        <v>72</v>
      </c>
      <c r="B39" t="s">
        <v>72</v>
      </c>
      <c r="C39">
        <v>0</v>
      </c>
      <c r="D39" s="4">
        <v>0.1</v>
      </c>
      <c r="E39">
        <v>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1</v>
      </c>
      <c r="T39" t="s">
        <v>813</v>
      </c>
      <c r="U39" t="s">
        <v>45</v>
      </c>
      <c r="V39" t="s">
        <v>60</v>
      </c>
      <c r="W39" t="s">
        <v>73</v>
      </c>
    </row>
    <row r="40" spans="1:23" x14ac:dyDescent="0.25">
      <c r="A40" t="s">
        <v>74</v>
      </c>
      <c r="B40" t="s">
        <v>74</v>
      </c>
      <c r="C40">
        <v>0</v>
      </c>
      <c r="D40" s="4">
        <v>0.25</v>
      </c>
      <c r="E40">
        <v>7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1</v>
      </c>
      <c r="R40">
        <v>0</v>
      </c>
      <c r="S40">
        <v>3</v>
      </c>
      <c r="T40" t="s">
        <v>813</v>
      </c>
      <c r="U40" t="s">
        <v>45</v>
      </c>
      <c r="V40" t="s">
        <v>60</v>
      </c>
      <c r="W40" t="s">
        <v>75</v>
      </c>
    </row>
    <row r="41" spans="1:23" x14ac:dyDescent="0.25">
      <c r="A41" t="s">
        <v>76</v>
      </c>
      <c r="B41" t="s">
        <v>76</v>
      </c>
      <c r="C41">
        <v>0</v>
      </c>
      <c r="D41" s="4">
        <v>2</v>
      </c>
      <c r="E41">
        <v>20</v>
      </c>
      <c r="G41">
        <v>2</v>
      </c>
      <c r="H41">
        <v>7</v>
      </c>
      <c r="I41">
        <v>0</v>
      </c>
      <c r="J41">
        <v>0</v>
      </c>
      <c r="K41">
        <v>8</v>
      </c>
      <c r="L41">
        <v>5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23</v>
      </c>
      <c r="T41" t="s">
        <v>813</v>
      </c>
      <c r="U41" t="s">
        <v>77</v>
      </c>
      <c r="V41" t="s">
        <v>78</v>
      </c>
      <c r="W41" t="s">
        <v>79</v>
      </c>
    </row>
    <row r="42" spans="1:23" x14ac:dyDescent="0.25">
      <c r="A42" t="s">
        <v>80</v>
      </c>
      <c r="B42" t="s">
        <v>80</v>
      </c>
      <c r="C42">
        <v>1.5</v>
      </c>
      <c r="D42" s="4">
        <v>1.6</v>
      </c>
      <c r="E42">
        <v>22</v>
      </c>
      <c r="G42">
        <v>0</v>
      </c>
      <c r="H42">
        <v>0</v>
      </c>
      <c r="I42">
        <v>4</v>
      </c>
      <c r="J42">
        <v>2</v>
      </c>
      <c r="K42">
        <v>3</v>
      </c>
      <c r="L42">
        <v>4</v>
      </c>
      <c r="M42">
        <v>2</v>
      </c>
      <c r="N42">
        <v>1</v>
      </c>
      <c r="O42">
        <v>0</v>
      </c>
      <c r="P42">
        <v>2</v>
      </c>
      <c r="Q42">
        <v>0</v>
      </c>
      <c r="R42">
        <v>0</v>
      </c>
      <c r="S42">
        <v>18</v>
      </c>
      <c r="T42" t="s">
        <v>813</v>
      </c>
      <c r="U42" t="s">
        <v>77</v>
      </c>
      <c r="V42" t="s">
        <v>78</v>
      </c>
      <c r="W42" t="s">
        <v>81</v>
      </c>
    </row>
    <row r="43" spans="1:23" x14ac:dyDescent="0.25">
      <c r="A43" t="s">
        <v>82</v>
      </c>
      <c r="B43" t="s">
        <v>82</v>
      </c>
      <c r="C43">
        <v>0</v>
      </c>
      <c r="D43" s="3">
        <v>0</v>
      </c>
      <c r="E43">
        <v>11</v>
      </c>
      <c r="G43">
        <v>0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</v>
      </c>
      <c r="T43" t="s">
        <v>813</v>
      </c>
      <c r="U43" t="s">
        <v>83</v>
      </c>
      <c r="V43" t="s">
        <v>84</v>
      </c>
      <c r="W43" t="s">
        <v>85</v>
      </c>
    </row>
    <row r="44" spans="1:23" x14ac:dyDescent="0.25">
      <c r="A44" t="s">
        <v>86</v>
      </c>
      <c r="B44" t="s">
        <v>86</v>
      </c>
      <c r="C44">
        <v>0</v>
      </c>
      <c r="D44" s="3">
        <v>0</v>
      </c>
      <c r="E44">
        <v>16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1</v>
      </c>
      <c r="Q44">
        <v>0</v>
      </c>
      <c r="R44">
        <v>0</v>
      </c>
      <c r="S44">
        <v>3</v>
      </c>
      <c r="T44" t="s">
        <v>813</v>
      </c>
      <c r="U44" t="s">
        <v>83</v>
      </c>
      <c r="V44" t="s">
        <v>84</v>
      </c>
      <c r="W44" t="s">
        <v>87</v>
      </c>
    </row>
    <row r="45" spans="1:23" x14ac:dyDescent="0.25">
      <c r="A45" t="s">
        <v>88</v>
      </c>
      <c r="B45" t="s">
        <v>88</v>
      </c>
      <c r="C45">
        <v>0</v>
      </c>
      <c r="D45" s="3">
        <v>0</v>
      </c>
      <c r="E45">
        <v>17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3</v>
      </c>
      <c r="T45" t="s">
        <v>813</v>
      </c>
      <c r="U45" t="s">
        <v>83</v>
      </c>
      <c r="V45" t="s">
        <v>84</v>
      </c>
      <c r="W45" t="s">
        <v>89</v>
      </c>
    </row>
    <row r="46" spans="1:23" x14ac:dyDescent="0.25">
      <c r="A46" t="s">
        <v>90</v>
      </c>
      <c r="B46" t="s">
        <v>90</v>
      </c>
      <c r="C46">
        <v>0</v>
      </c>
      <c r="D46" s="3">
        <v>0</v>
      </c>
      <c r="E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813</v>
      </c>
      <c r="U46" t="s">
        <v>83</v>
      </c>
      <c r="V46" t="s">
        <v>84</v>
      </c>
      <c r="W46" t="s">
        <v>91</v>
      </c>
    </row>
    <row r="47" spans="1:23" x14ac:dyDescent="0.25">
      <c r="A47" t="s">
        <v>92</v>
      </c>
      <c r="B47" t="s">
        <v>92</v>
      </c>
      <c r="C47">
        <v>0</v>
      </c>
      <c r="D47" s="3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813</v>
      </c>
      <c r="U47" t="s">
        <v>83</v>
      </c>
      <c r="V47" t="s">
        <v>84</v>
      </c>
      <c r="W47" t="s">
        <v>93</v>
      </c>
    </row>
    <row r="48" spans="1:23" x14ac:dyDescent="0.25">
      <c r="A48" t="s">
        <v>94</v>
      </c>
      <c r="B48" t="s">
        <v>94</v>
      </c>
      <c r="C48">
        <v>6</v>
      </c>
      <c r="D48" s="4">
        <v>6.5</v>
      </c>
      <c r="E48">
        <v>44</v>
      </c>
      <c r="F48">
        <v>30</v>
      </c>
      <c r="G48">
        <v>8</v>
      </c>
      <c r="H48">
        <v>3</v>
      </c>
      <c r="I48">
        <v>10</v>
      </c>
      <c r="J48">
        <v>5</v>
      </c>
      <c r="K48">
        <v>5</v>
      </c>
      <c r="L48">
        <v>8</v>
      </c>
      <c r="M48">
        <v>7</v>
      </c>
      <c r="N48">
        <v>4</v>
      </c>
      <c r="O48">
        <v>1</v>
      </c>
      <c r="P48">
        <v>11</v>
      </c>
      <c r="Q48">
        <v>5</v>
      </c>
      <c r="R48">
        <v>13</v>
      </c>
      <c r="S48">
        <v>80</v>
      </c>
      <c r="T48" t="s">
        <v>813</v>
      </c>
      <c r="U48" t="s">
        <v>83</v>
      </c>
      <c r="V48" t="s">
        <v>84</v>
      </c>
      <c r="W48" t="s">
        <v>95</v>
      </c>
    </row>
    <row r="49" spans="1:23" x14ac:dyDescent="0.25">
      <c r="A49" t="s">
        <v>96</v>
      </c>
      <c r="B49" t="s">
        <v>96</v>
      </c>
      <c r="C49">
        <v>3.5</v>
      </c>
      <c r="D49" s="3">
        <v>3.5</v>
      </c>
      <c r="E49">
        <v>21</v>
      </c>
      <c r="G49">
        <v>4</v>
      </c>
      <c r="H49">
        <v>3</v>
      </c>
      <c r="I49">
        <v>5</v>
      </c>
      <c r="J49">
        <v>2</v>
      </c>
      <c r="K49">
        <v>0</v>
      </c>
      <c r="L49">
        <v>4</v>
      </c>
      <c r="M49">
        <v>8</v>
      </c>
      <c r="N49">
        <v>6</v>
      </c>
      <c r="O49">
        <v>1</v>
      </c>
      <c r="P49">
        <v>4</v>
      </c>
      <c r="Q49">
        <v>1</v>
      </c>
      <c r="R49">
        <v>3</v>
      </c>
      <c r="S49">
        <v>41</v>
      </c>
      <c r="T49" t="s">
        <v>813</v>
      </c>
      <c r="U49" t="s">
        <v>83</v>
      </c>
      <c r="V49" t="s">
        <v>84</v>
      </c>
      <c r="W49" t="s">
        <v>97</v>
      </c>
    </row>
    <row r="50" spans="1:23" x14ac:dyDescent="0.25">
      <c r="A50" t="s">
        <v>98</v>
      </c>
      <c r="B50" t="s">
        <v>98</v>
      </c>
      <c r="C50">
        <v>4.5</v>
      </c>
      <c r="D50" s="4">
        <v>4</v>
      </c>
      <c r="E50">
        <v>21</v>
      </c>
      <c r="G50">
        <v>4</v>
      </c>
      <c r="H50">
        <v>5</v>
      </c>
      <c r="I50">
        <v>9</v>
      </c>
      <c r="J50">
        <v>6</v>
      </c>
      <c r="K50">
        <v>1</v>
      </c>
      <c r="L50">
        <v>2</v>
      </c>
      <c r="M50">
        <v>2</v>
      </c>
      <c r="N50">
        <v>7</v>
      </c>
      <c r="O50">
        <v>1</v>
      </c>
      <c r="P50">
        <v>5</v>
      </c>
      <c r="Q50">
        <v>1</v>
      </c>
      <c r="R50">
        <v>5</v>
      </c>
      <c r="S50">
        <v>48</v>
      </c>
      <c r="T50" t="s">
        <v>813</v>
      </c>
      <c r="U50" t="s">
        <v>83</v>
      </c>
      <c r="V50" t="s">
        <v>84</v>
      </c>
      <c r="W50" t="s">
        <v>99</v>
      </c>
    </row>
    <row r="51" spans="1:23" x14ac:dyDescent="0.25">
      <c r="A51" t="s">
        <v>100</v>
      </c>
      <c r="B51" t="s">
        <v>100</v>
      </c>
      <c r="C51">
        <v>0</v>
      </c>
      <c r="D51" s="4">
        <v>0.25</v>
      </c>
      <c r="E51">
        <v>15</v>
      </c>
      <c r="G51">
        <v>0</v>
      </c>
      <c r="H51">
        <v>0</v>
      </c>
      <c r="I51">
        <v>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</v>
      </c>
      <c r="T51" t="s">
        <v>813</v>
      </c>
      <c r="U51" t="s">
        <v>83</v>
      </c>
      <c r="V51" t="s">
        <v>84</v>
      </c>
      <c r="W51" t="s">
        <v>101</v>
      </c>
    </row>
    <row r="52" spans="1:23" x14ac:dyDescent="0.25">
      <c r="A52" t="s">
        <v>102</v>
      </c>
      <c r="B52" t="s">
        <v>102</v>
      </c>
      <c r="C52">
        <v>0</v>
      </c>
      <c r="D52" s="4">
        <v>0.33</v>
      </c>
      <c r="E52">
        <v>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</v>
      </c>
      <c r="O52">
        <v>0</v>
      </c>
      <c r="P52">
        <v>2</v>
      </c>
      <c r="Q52">
        <v>0</v>
      </c>
      <c r="R52">
        <v>0</v>
      </c>
      <c r="S52">
        <v>4</v>
      </c>
      <c r="T52" t="s">
        <v>813</v>
      </c>
      <c r="U52" t="s">
        <v>83</v>
      </c>
      <c r="V52" t="s">
        <v>84</v>
      </c>
      <c r="W52" t="s">
        <v>103</v>
      </c>
    </row>
    <row r="53" spans="1:23" x14ac:dyDescent="0.25">
      <c r="A53" t="s">
        <v>104</v>
      </c>
      <c r="B53" t="s">
        <v>104</v>
      </c>
      <c r="C53">
        <v>0</v>
      </c>
      <c r="D53" s="3">
        <v>0</v>
      </c>
      <c r="E53">
        <v>14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813</v>
      </c>
      <c r="U53" t="s">
        <v>83</v>
      </c>
      <c r="V53" t="s">
        <v>105</v>
      </c>
      <c r="W53" t="s">
        <v>106</v>
      </c>
    </row>
    <row r="54" spans="1:23" x14ac:dyDescent="0.25">
      <c r="A54" t="s">
        <v>107</v>
      </c>
      <c r="B54" t="s">
        <v>107</v>
      </c>
      <c r="C54">
        <v>0</v>
      </c>
      <c r="D54" s="3">
        <v>0</v>
      </c>
      <c r="E54">
        <v>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813</v>
      </c>
      <c r="U54" t="s">
        <v>83</v>
      </c>
      <c r="V54" t="s">
        <v>105</v>
      </c>
      <c r="W54" t="s">
        <v>106</v>
      </c>
    </row>
    <row r="55" spans="1:23" x14ac:dyDescent="0.25">
      <c r="A55" t="s">
        <v>108</v>
      </c>
      <c r="B55" t="s">
        <v>108</v>
      </c>
      <c r="C55">
        <v>0</v>
      </c>
      <c r="D55" s="3">
        <v>0</v>
      </c>
      <c r="E55">
        <v>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813</v>
      </c>
      <c r="U55" t="s">
        <v>83</v>
      </c>
      <c r="V55" t="s">
        <v>105</v>
      </c>
      <c r="W55" t="s">
        <v>109</v>
      </c>
    </row>
    <row r="56" spans="1:23" x14ac:dyDescent="0.25">
      <c r="A56" t="s">
        <v>110</v>
      </c>
      <c r="B56" t="s">
        <v>110</v>
      </c>
      <c r="C56">
        <v>0</v>
      </c>
      <c r="D56" s="3">
        <v>0</v>
      </c>
      <c r="E56">
        <v>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813</v>
      </c>
      <c r="U56" t="s">
        <v>83</v>
      </c>
      <c r="V56" t="s">
        <v>105</v>
      </c>
      <c r="W56" t="s">
        <v>111</v>
      </c>
    </row>
    <row r="57" spans="1:23" x14ac:dyDescent="0.25">
      <c r="A57" t="s">
        <v>112</v>
      </c>
      <c r="B57" t="s">
        <v>112</v>
      </c>
      <c r="C57">
        <v>4</v>
      </c>
      <c r="D57" s="4">
        <v>5.5</v>
      </c>
      <c r="E57">
        <v>49</v>
      </c>
      <c r="G57">
        <v>5</v>
      </c>
      <c r="H57">
        <v>3</v>
      </c>
      <c r="I57">
        <v>8</v>
      </c>
      <c r="J57">
        <v>4</v>
      </c>
      <c r="K57">
        <v>3</v>
      </c>
      <c r="L57">
        <v>4</v>
      </c>
      <c r="M57">
        <v>4</v>
      </c>
      <c r="N57">
        <v>4</v>
      </c>
      <c r="O57">
        <v>4</v>
      </c>
      <c r="P57">
        <v>13</v>
      </c>
      <c r="Q57">
        <v>8</v>
      </c>
      <c r="R57">
        <v>3</v>
      </c>
      <c r="S57">
        <v>63</v>
      </c>
      <c r="T57" t="s">
        <v>813</v>
      </c>
      <c r="U57" t="s">
        <v>83</v>
      </c>
      <c r="V57" t="s">
        <v>105</v>
      </c>
      <c r="W57" t="s">
        <v>113</v>
      </c>
    </row>
    <row r="58" spans="1:23" x14ac:dyDescent="0.25">
      <c r="A58" t="s">
        <v>114</v>
      </c>
      <c r="B58" t="s">
        <v>114</v>
      </c>
      <c r="C58">
        <v>1</v>
      </c>
      <c r="D58" s="4">
        <v>1.9</v>
      </c>
      <c r="E58">
        <v>15</v>
      </c>
      <c r="F58">
        <v>10</v>
      </c>
      <c r="G58">
        <v>0</v>
      </c>
      <c r="H58">
        <v>0</v>
      </c>
      <c r="I58">
        <v>8</v>
      </c>
      <c r="J58">
        <v>0</v>
      </c>
      <c r="K58">
        <v>0</v>
      </c>
      <c r="L58">
        <v>2</v>
      </c>
      <c r="M58">
        <v>2</v>
      </c>
      <c r="N58">
        <v>1</v>
      </c>
      <c r="O58">
        <v>1</v>
      </c>
      <c r="P58">
        <v>1</v>
      </c>
      <c r="Q58">
        <v>4</v>
      </c>
      <c r="R58">
        <v>4</v>
      </c>
      <c r="S58">
        <v>23</v>
      </c>
      <c r="T58" t="s">
        <v>813</v>
      </c>
      <c r="U58" t="s">
        <v>83</v>
      </c>
      <c r="V58" t="s">
        <v>105</v>
      </c>
      <c r="W58" t="s">
        <v>113</v>
      </c>
    </row>
    <row r="59" spans="1:23" x14ac:dyDescent="0.25">
      <c r="A59" t="s">
        <v>115</v>
      </c>
      <c r="B59" t="s">
        <v>115</v>
      </c>
      <c r="C59">
        <v>1</v>
      </c>
      <c r="D59" s="4">
        <v>0.9</v>
      </c>
      <c r="E59">
        <v>12</v>
      </c>
      <c r="G59">
        <v>0</v>
      </c>
      <c r="H59">
        <v>1</v>
      </c>
      <c r="I59">
        <v>0</v>
      </c>
      <c r="J59">
        <v>2</v>
      </c>
      <c r="K59">
        <v>1</v>
      </c>
      <c r="L59">
        <v>0</v>
      </c>
      <c r="M59">
        <v>3</v>
      </c>
      <c r="N59">
        <v>2</v>
      </c>
      <c r="O59">
        <v>0</v>
      </c>
      <c r="P59">
        <v>0</v>
      </c>
      <c r="Q59">
        <v>1</v>
      </c>
      <c r="R59">
        <v>1</v>
      </c>
      <c r="S59">
        <v>11</v>
      </c>
      <c r="T59" t="s">
        <v>813</v>
      </c>
      <c r="U59" t="s">
        <v>83</v>
      </c>
      <c r="V59" t="s">
        <v>105</v>
      </c>
      <c r="W59" t="s">
        <v>116</v>
      </c>
    </row>
    <row r="60" spans="1:23" x14ac:dyDescent="0.25">
      <c r="A60" t="s">
        <v>117</v>
      </c>
      <c r="B60" t="s">
        <v>117</v>
      </c>
      <c r="C60">
        <v>0</v>
      </c>
      <c r="D60" s="4">
        <v>0.25</v>
      </c>
      <c r="E60">
        <v>6</v>
      </c>
      <c r="G60">
        <v>0</v>
      </c>
      <c r="H60">
        <v>0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3</v>
      </c>
      <c r="T60" t="s">
        <v>813</v>
      </c>
      <c r="U60" t="s">
        <v>83</v>
      </c>
      <c r="V60" t="s">
        <v>105</v>
      </c>
      <c r="W60" t="s">
        <v>116</v>
      </c>
    </row>
    <row r="61" spans="1:23" x14ac:dyDescent="0.25">
      <c r="A61" t="s">
        <v>118</v>
      </c>
      <c r="B61" t="s">
        <v>118</v>
      </c>
      <c r="C61">
        <v>1.5</v>
      </c>
      <c r="D61" s="3">
        <v>1.5</v>
      </c>
      <c r="E61">
        <v>13</v>
      </c>
      <c r="G61">
        <v>2</v>
      </c>
      <c r="H61">
        <v>1</v>
      </c>
      <c r="I61">
        <v>0</v>
      </c>
      <c r="J61">
        <v>5</v>
      </c>
      <c r="K61">
        <v>2</v>
      </c>
      <c r="L61">
        <v>0</v>
      </c>
      <c r="M61">
        <v>1</v>
      </c>
      <c r="N61">
        <v>2</v>
      </c>
      <c r="O61">
        <v>0</v>
      </c>
      <c r="P61">
        <v>2</v>
      </c>
      <c r="Q61">
        <v>0</v>
      </c>
      <c r="R61">
        <v>3</v>
      </c>
      <c r="S61">
        <v>18</v>
      </c>
      <c r="T61" t="s">
        <v>813</v>
      </c>
      <c r="U61" t="s">
        <v>83</v>
      </c>
      <c r="V61" t="s">
        <v>105</v>
      </c>
      <c r="W61" t="s">
        <v>119</v>
      </c>
    </row>
    <row r="62" spans="1:23" x14ac:dyDescent="0.25">
      <c r="A62" t="s">
        <v>120</v>
      </c>
      <c r="B62" t="s">
        <v>120</v>
      </c>
      <c r="C62">
        <v>0</v>
      </c>
      <c r="D62" s="4">
        <v>0.25</v>
      </c>
      <c r="E62">
        <v>10</v>
      </c>
      <c r="G62">
        <v>0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3</v>
      </c>
      <c r="T62" t="s">
        <v>813</v>
      </c>
      <c r="U62" t="s">
        <v>83</v>
      </c>
      <c r="V62" t="s">
        <v>105</v>
      </c>
      <c r="W62" t="s">
        <v>119</v>
      </c>
    </row>
    <row r="63" spans="1:23" x14ac:dyDescent="0.25">
      <c r="A63" t="s">
        <v>121</v>
      </c>
      <c r="B63" t="s">
        <v>121</v>
      </c>
      <c r="C63">
        <v>0</v>
      </c>
      <c r="D63" s="4">
        <v>0.17</v>
      </c>
      <c r="E63">
        <v>16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</v>
      </c>
      <c r="R63">
        <v>0</v>
      </c>
      <c r="S63">
        <v>2</v>
      </c>
      <c r="T63" t="s">
        <v>813</v>
      </c>
      <c r="U63" t="s">
        <v>83</v>
      </c>
      <c r="V63" t="s">
        <v>105</v>
      </c>
      <c r="W63" t="s">
        <v>122</v>
      </c>
    </row>
    <row r="64" spans="1:23" x14ac:dyDescent="0.25">
      <c r="A64" t="s">
        <v>123</v>
      </c>
      <c r="B64" t="s">
        <v>123</v>
      </c>
      <c r="C64">
        <v>0</v>
      </c>
      <c r="D64" s="4">
        <v>0.01</v>
      </c>
      <c r="E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1</v>
      </c>
      <c r="T64" t="s">
        <v>813</v>
      </c>
      <c r="U64" t="s">
        <v>83</v>
      </c>
      <c r="V64" t="s">
        <v>105</v>
      </c>
      <c r="W64" t="s">
        <v>122</v>
      </c>
    </row>
    <row r="65" spans="1:23" x14ac:dyDescent="0.25">
      <c r="A65" t="s">
        <v>124</v>
      </c>
      <c r="B65" t="s">
        <v>124</v>
      </c>
      <c r="C65">
        <v>0</v>
      </c>
      <c r="D65" s="4">
        <v>0.25</v>
      </c>
      <c r="E65">
        <v>17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2</v>
      </c>
      <c r="R65">
        <v>0</v>
      </c>
      <c r="S65">
        <v>3</v>
      </c>
      <c r="T65" t="s">
        <v>813</v>
      </c>
      <c r="U65" t="s">
        <v>83</v>
      </c>
      <c r="V65" t="s">
        <v>105</v>
      </c>
      <c r="W65" t="s">
        <v>125</v>
      </c>
    </row>
    <row r="66" spans="1:23" x14ac:dyDescent="0.25">
      <c r="A66" t="s">
        <v>126</v>
      </c>
      <c r="B66" t="s">
        <v>126</v>
      </c>
      <c r="C66">
        <v>0</v>
      </c>
      <c r="D66" s="4">
        <v>0.1</v>
      </c>
      <c r="E66">
        <v>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1</v>
      </c>
      <c r="T66" t="s">
        <v>813</v>
      </c>
      <c r="U66" t="s">
        <v>83</v>
      </c>
      <c r="V66" t="s">
        <v>105</v>
      </c>
      <c r="W66" t="s">
        <v>125</v>
      </c>
    </row>
    <row r="67" spans="1:23" x14ac:dyDescent="0.25">
      <c r="A67" t="s">
        <v>127</v>
      </c>
      <c r="B67" t="s">
        <v>127</v>
      </c>
      <c r="C67">
        <v>0</v>
      </c>
      <c r="D67" s="4">
        <v>1.33</v>
      </c>
      <c r="E67">
        <v>42</v>
      </c>
      <c r="G67">
        <v>2</v>
      </c>
      <c r="H67">
        <v>0</v>
      </c>
      <c r="I67">
        <v>0</v>
      </c>
      <c r="J67">
        <v>2</v>
      </c>
      <c r="K67">
        <v>0</v>
      </c>
      <c r="L67">
        <v>3</v>
      </c>
      <c r="M67">
        <v>0</v>
      </c>
      <c r="N67">
        <v>7</v>
      </c>
      <c r="O67">
        <v>0</v>
      </c>
      <c r="P67">
        <v>0</v>
      </c>
      <c r="Q67">
        <v>2</v>
      </c>
      <c r="R67">
        <v>0</v>
      </c>
      <c r="S67">
        <v>16</v>
      </c>
      <c r="T67" t="s">
        <v>813</v>
      </c>
      <c r="U67" t="s">
        <v>83</v>
      </c>
      <c r="V67" t="s">
        <v>128</v>
      </c>
      <c r="W67" t="s">
        <v>129</v>
      </c>
    </row>
    <row r="68" spans="1:23" x14ac:dyDescent="0.25">
      <c r="A68" t="s">
        <v>130</v>
      </c>
      <c r="B68" t="s">
        <v>130</v>
      </c>
      <c r="C68">
        <v>0</v>
      </c>
      <c r="D68" s="4">
        <v>1.2</v>
      </c>
      <c r="E68">
        <v>10</v>
      </c>
      <c r="G68">
        <v>0</v>
      </c>
      <c r="H68">
        <v>0</v>
      </c>
      <c r="I68">
        <v>0</v>
      </c>
      <c r="J68">
        <v>2</v>
      </c>
      <c r="K68">
        <v>0</v>
      </c>
      <c r="L68">
        <v>0</v>
      </c>
      <c r="M68">
        <v>3</v>
      </c>
      <c r="N68">
        <v>2</v>
      </c>
      <c r="O68">
        <v>0</v>
      </c>
      <c r="P68">
        <v>0</v>
      </c>
      <c r="Q68">
        <v>5</v>
      </c>
      <c r="R68">
        <v>2</v>
      </c>
      <c r="S68">
        <v>14</v>
      </c>
      <c r="T68" t="s">
        <v>813</v>
      </c>
      <c r="U68" t="s">
        <v>83</v>
      </c>
      <c r="V68" t="s">
        <v>128</v>
      </c>
      <c r="W68" t="s">
        <v>131</v>
      </c>
    </row>
    <row r="69" spans="1:23" x14ac:dyDescent="0.25">
      <c r="A69" t="s">
        <v>132</v>
      </c>
      <c r="B69" t="s">
        <v>132</v>
      </c>
      <c r="C69">
        <v>1.5</v>
      </c>
      <c r="D69" s="3">
        <v>1.5</v>
      </c>
      <c r="E69">
        <v>16</v>
      </c>
      <c r="G69">
        <v>0</v>
      </c>
      <c r="H69">
        <v>2</v>
      </c>
      <c r="I69">
        <v>3</v>
      </c>
      <c r="J69">
        <v>1</v>
      </c>
      <c r="K69">
        <v>2</v>
      </c>
      <c r="L69">
        <v>3</v>
      </c>
      <c r="M69">
        <v>1</v>
      </c>
      <c r="N69">
        <v>3</v>
      </c>
      <c r="O69">
        <v>2</v>
      </c>
      <c r="P69">
        <v>0</v>
      </c>
      <c r="Q69">
        <v>0</v>
      </c>
      <c r="R69">
        <v>0</v>
      </c>
      <c r="S69">
        <v>17</v>
      </c>
      <c r="T69" t="s">
        <v>813</v>
      </c>
      <c r="U69" t="s">
        <v>83</v>
      </c>
      <c r="V69" t="s">
        <v>128</v>
      </c>
      <c r="W69" t="s">
        <v>133</v>
      </c>
    </row>
    <row r="70" spans="1:23" x14ac:dyDescent="0.25">
      <c r="A70" t="s">
        <v>134</v>
      </c>
      <c r="B70" t="s">
        <v>134</v>
      </c>
      <c r="C70">
        <v>30</v>
      </c>
      <c r="D70" s="4">
        <v>32</v>
      </c>
      <c r="E70">
        <v>116</v>
      </c>
      <c r="G70">
        <v>29</v>
      </c>
      <c r="H70">
        <v>30</v>
      </c>
      <c r="I70">
        <v>15</v>
      </c>
      <c r="J70">
        <v>43</v>
      </c>
      <c r="K70">
        <v>41</v>
      </c>
      <c r="L70">
        <v>24</v>
      </c>
      <c r="M70">
        <v>15</v>
      </c>
      <c r="N70">
        <v>31</v>
      </c>
      <c r="O70">
        <v>30</v>
      </c>
      <c r="P70">
        <v>63</v>
      </c>
      <c r="Q70">
        <v>44</v>
      </c>
      <c r="R70">
        <v>16</v>
      </c>
      <c r="S70">
        <v>381</v>
      </c>
      <c r="T70" t="s">
        <v>813</v>
      </c>
      <c r="U70" t="s">
        <v>83</v>
      </c>
      <c r="V70" t="s">
        <v>128</v>
      </c>
      <c r="W70" t="s">
        <v>135</v>
      </c>
    </row>
    <row r="71" spans="1:23" x14ac:dyDescent="0.25">
      <c r="A71" t="s">
        <v>136</v>
      </c>
      <c r="B71" t="s">
        <v>136</v>
      </c>
      <c r="C71">
        <v>11.5</v>
      </c>
      <c r="D71" s="4">
        <v>11</v>
      </c>
      <c r="E71">
        <v>45</v>
      </c>
      <c r="G71">
        <v>17</v>
      </c>
      <c r="H71">
        <v>11</v>
      </c>
      <c r="I71">
        <v>8</v>
      </c>
      <c r="J71">
        <v>13</v>
      </c>
      <c r="K71">
        <v>6</v>
      </c>
      <c r="L71">
        <v>13</v>
      </c>
      <c r="M71">
        <v>3</v>
      </c>
      <c r="N71">
        <v>12</v>
      </c>
      <c r="O71">
        <v>16</v>
      </c>
      <c r="P71">
        <v>10</v>
      </c>
      <c r="Q71">
        <v>12</v>
      </c>
      <c r="R71">
        <v>7</v>
      </c>
      <c r="S71">
        <v>128</v>
      </c>
      <c r="T71" t="s">
        <v>813</v>
      </c>
      <c r="U71" t="s">
        <v>83</v>
      </c>
      <c r="V71" t="s">
        <v>128</v>
      </c>
      <c r="W71" t="s">
        <v>137</v>
      </c>
    </row>
    <row r="72" spans="1:23" x14ac:dyDescent="0.25">
      <c r="A72" t="s">
        <v>138</v>
      </c>
      <c r="B72" t="s">
        <v>138</v>
      </c>
      <c r="C72">
        <v>11.5</v>
      </c>
      <c r="D72" s="4">
        <v>14.5</v>
      </c>
      <c r="E72">
        <v>64</v>
      </c>
      <c r="G72">
        <v>23</v>
      </c>
      <c r="H72">
        <v>10</v>
      </c>
      <c r="I72">
        <v>11</v>
      </c>
      <c r="J72">
        <v>28</v>
      </c>
      <c r="K72">
        <v>14</v>
      </c>
      <c r="L72">
        <v>8</v>
      </c>
      <c r="M72">
        <v>20</v>
      </c>
      <c r="N72">
        <v>12</v>
      </c>
      <c r="O72">
        <v>10</v>
      </c>
      <c r="P72">
        <v>19</v>
      </c>
      <c r="Q72">
        <v>9</v>
      </c>
      <c r="R72">
        <v>6</v>
      </c>
      <c r="S72">
        <v>170</v>
      </c>
      <c r="T72" t="s">
        <v>813</v>
      </c>
      <c r="U72" t="s">
        <v>83</v>
      </c>
      <c r="V72" t="s">
        <v>128</v>
      </c>
      <c r="W72" t="s">
        <v>139</v>
      </c>
    </row>
    <row r="73" spans="1:23" x14ac:dyDescent="0.25">
      <c r="A73" t="s">
        <v>140</v>
      </c>
      <c r="B73" t="s">
        <v>140</v>
      </c>
      <c r="C73">
        <v>1.5</v>
      </c>
      <c r="D73" s="3">
        <v>1.5</v>
      </c>
      <c r="E73">
        <v>22</v>
      </c>
      <c r="G73">
        <v>3</v>
      </c>
      <c r="H73">
        <v>4</v>
      </c>
      <c r="I73">
        <v>1</v>
      </c>
      <c r="J73">
        <v>0</v>
      </c>
      <c r="K73">
        <v>0</v>
      </c>
      <c r="L73">
        <v>2</v>
      </c>
      <c r="M73">
        <v>1</v>
      </c>
      <c r="N73">
        <v>0</v>
      </c>
      <c r="O73">
        <v>3</v>
      </c>
      <c r="P73">
        <v>0</v>
      </c>
      <c r="Q73">
        <v>2</v>
      </c>
      <c r="R73">
        <v>2</v>
      </c>
      <c r="S73">
        <v>18</v>
      </c>
      <c r="T73" t="s">
        <v>813</v>
      </c>
      <c r="U73" t="s">
        <v>83</v>
      </c>
      <c r="V73" t="s">
        <v>128</v>
      </c>
      <c r="W73" t="s">
        <v>141</v>
      </c>
    </row>
    <row r="74" spans="1:23" x14ac:dyDescent="0.25">
      <c r="A74" t="s">
        <v>142</v>
      </c>
      <c r="B74" t="s">
        <v>142</v>
      </c>
      <c r="C74">
        <v>2</v>
      </c>
      <c r="D74" s="3">
        <v>2</v>
      </c>
      <c r="E74">
        <v>7</v>
      </c>
      <c r="G74">
        <v>3</v>
      </c>
      <c r="H74">
        <v>2</v>
      </c>
      <c r="I74">
        <v>2</v>
      </c>
      <c r="J74">
        <v>1</v>
      </c>
      <c r="K74">
        <v>3</v>
      </c>
      <c r="L74">
        <v>0</v>
      </c>
      <c r="M74">
        <v>4</v>
      </c>
      <c r="N74">
        <v>2</v>
      </c>
      <c r="O74">
        <v>1</v>
      </c>
      <c r="P74">
        <v>1</v>
      </c>
      <c r="Q74">
        <v>0</v>
      </c>
      <c r="R74">
        <v>2</v>
      </c>
      <c r="S74">
        <v>21</v>
      </c>
      <c r="T74" t="s">
        <v>813</v>
      </c>
      <c r="U74" t="s">
        <v>83</v>
      </c>
      <c r="V74" t="s">
        <v>128</v>
      </c>
      <c r="W74" t="s">
        <v>143</v>
      </c>
    </row>
    <row r="75" spans="1:23" x14ac:dyDescent="0.25">
      <c r="A75" t="s">
        <v>144</v>
      </c>
      <c r="B75" t="s">
        <v>144</v>
      </c>
      <c r="C75">
        <v>10.5</v>
      </c>
      <c r="D75" s="4">
        <v>10</v>
      </c>
      <c r="E75">
        <v>35</v>
      </c>
      <c r="G75">
        <v>6</v>
      </c>
      <c r="H75">
        <v>14</v>
      </c>
      <c r="I75">
        <v>4</v>
      </c>
      <c r="J75">
        <v>6</v>
      </c>
      <c r="K75">
        <v>10</v>
      </c>
      <c r="L75">
        <v>17</v>
      </c>
      <c r="M75">
        <v>15</v>
      </c>
      <c r="N75">
        <v>4</v>
      </c>
      <c r="O75">
        <v>3</v>
      </c>
      <c r="P75">
        <v>11</v>
      </c>
      <c r="Q75">
        <v>14</v>
      </c>
      <c r="R75">
        <v>13</v>
      </c>
      <c r="S75">
        <v>117</v>
      </c>
      <c r="T75" t="s">
        <v>813</v>
      </c>
      <c r="U75" t="s">
        <v>83</v>
      </c>
      <c r="V75" t="s">
        <v>145</v>
      </c>
      <c r="W75" t="s">
        <v>146</v>
      </c>
    </row>
    <row r="76" spans="1:23" x14ac:dyDescent="0.25">
      <c r="A76" t="s">
        <v>147</v>
      </c>
      <c r="B76" t="s">
        <v>147</v>
      </c>
      <c r="C76">
        <v>3.5</v>
      </c>
      <c r="D76" s="4">
        <v>4.3</v>
      </c>
      <c r="E76">
        <v>54</v>
      </c>
      <c r="G76">
        <v>2</v>
      </c>
      <c r="H76">
        <v>14</v>
      </c>
      <c r="I76">
        <v>1</v>
      </c>
      <c r="J76">
        <v>5</v>
      </c>
      <c r="K76">
        <v>0</v>
      </c>
      <c r="L76">
        <v>6</v>
      </c>
      <c r="M76">
        <v>7</v>
      </c>
      <c r="N76">
        <v>1</v>
      </c>
      <c r="O76">
        <v>9</v>
      </c>
      <c r="P76">
        <v>1</v>
      </c>
      <c r="Q76">
        <v>1</v>
      </c>
      <c r="R76">
        <v>7</v>
      </c>
      <c r="S76">
        <v>54</v>
      </c>
      <c r="T76" t="s">
        <v>813</v>
      </c>
      <c r="U76" t="s">
        <v>83</v>
      </c>
      <c r="V76" t="s">
        <v>145</v>
      </c>
      <c r="W76" t="s">
        <v>148</v>
      </c>
    </row>
    <row r="77" spans="1:23" x14ac:dyDescent="0.25">
      <c r="A77" t="s">
        <v>149</v>
      </c>
      <c r="B77" t="s">
        <v>149</v>
      </c>
      <c r="C77">
        <v>0</v>
      </c>
      <c r="D77" s="4">
        <v>0.1</v>
      </c>
      <c r="E77">
        <v>43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1</v>
      </c>
      <c r="T77" t="s">
        <v>813</v>
      </c>
      <c r="U77" t="s">
        <v>83</v>
      </c>
      <c r="V77" t="s">
        <v>145</v>
      </c>
      <c r="W77" t="s">
        <v>150</v>
      </c>
    </row>
    <row r="78" spans="1:23" x14ac:dyDescent="0.25">
      <c r="A78" t="s">
        <v>151</v>
      </c>
      <c r="B78" t="s">
        <v>151</v>
      </c>
      <c r="C78">
        <v>1</v>
      </c>
      <c r="D78" s="4">
        <v>1.1499999999999999</v>
      </c>
      <c r="E78">
        <v>9</v>
      </c>
      <c r="G78">
        <v>0</v>
      </c>
      <c r="H78">
        <v>0</v>
      </c>
      <c r="I78">
        <v>2</v>
      </c>
      <c r="J78">
        <v>1</v>
      </c>
      <c r="K78">
        <v>3</v>
      </c>
      <c r="L78">
        <v>0</v>
      </c>
      <c r="M78">
        <v>1</v>
      </c>
      <c r="N78">
        <v>1</v>
      </c>
      <c r="O78">
        <v>1</v>
      </c>
      <c r="P78">
        <v>0</v>
      </c>
      <c r="Q78">
        <v>0</v>
      </c>
      <c r="R78">
        <v>5</v>
      </c>
      <c r="S78">
        <v>14</v>
      </c>
      <c r="T78" t="s">
        <v>813</v>
      </c>
      <c r="U78" t="s">
        <v>83</v>
      </c>
      <c r="V78" t="s">
        <v>145</v>
      </c>
      <c r="W78" t="s">
        <v>152</v>
      </c>
    </row>
    <row r="79" spans="1:23" x14ac:dyDescent="0.25">
      <c r="A79" t="s">
        <v>153</v>
      </c>
      <c r="B79" t="s">
        <v>153</v>
      </c>
      <c r="C79">
        <v>0</v>
      </c>
      <c r="D79" s="4">
        <v>0.92</v>
      </c>
      <c r="E79">
        <v>15</v>
      </c>
      <c r="G79">
        <v>0</v>
      </c>
      <c r="H79">
        <v>0</v>
      </c>
      <c r="I79">
        <v>3</v>
      </c>
      <c r="J79">
        <v>3</v>
      </c>
      <c r="K79">
        <v>0</v>
      </c>
      <c r="L79">
        <v>4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11</v>
      </c>
      <c r="T79" t="s">
        <v>813</v>
      </c>
      <c r="U79" t="s">
        <v>83</v>
      </c>
      <c r="V79" t="s">
        <v>145</v>
      </c>
      <c r="W79" t="s">
        <v>154</v>
      </c>
    </row>
    <row r="80" spans="1:23" x14ac:dyDescent="0.25">
      <c r="A80" t="s">
        <v>155</v>
      </c>
      <c r="B80" t="s">
        <v>155</v>
      </c>
      <c r="C80">
        <v>141.5</v>
      </c>
      <c r="D80" s="4">
        <v>140</v>
      </c>
      <c r="E80">
        <v>531</v>
      </c>
      <c r="G80">
        <v>164</v>
      </c>
      <c r="H80">
        <v>87</v>
      </c>
      <c r="I80">
        <v>147</v>
      </c>
      <c r="J80">
        <v>136</v>
      </c>
      <c r="K80">
        <v>142</v>
      </c>
      <c r="L80">
        <v>167</v>
      </c>
      <c r="M80">
        <v>123</v>
      </c>
      <c r="N80">
        <v>107</v>
      </c>
      <c r="O80">
        <v>163</v>
      </c>
      <c r="P80">
        <v>197</v>
      </c>
      <c r="Q80">
        <v>108</v>
      </c>
      <c r="R80">
        <v>141</v>
      </c>
      <c r="S80">
        <v>1682</v>
      </c>
      <c r="T80" t="s">
        <v>813</v>
      </c>
      <c r="U80" t="s">
        <v>83</v>
      </c>
      <c r="V80" t="s">
        <v>145</v>
      </c>
      <c r="W80" t="s">
        <v>156</v>
      </c>
    </row>
    <row r="81" spans="1:23" x14ac:dyDescent="0.25">
      <c r="A81" t="s">
        <v>157</v>
      </c>
      <c r="B81" t="s">
        <v>157</v>
      </c>
      <c r="C81">
        <v>38.5</v>
      </c>
      <c r="D81" s="4">
        <v>40</v>
      </c>
      <c r="E81">
        <v>164</v>
      </c>
      <c r="G81">
        <v>40</v>
      </c>
      <c r="H81">
        <v>25</v>
      </c>
      <c r="I81">
        <v>53</v>
      </c>
      <c r="J81">
        <v>47</v>
      </c>
      <c r="K81">
        <v>52</v>
      </c>
      <c r="L81">
        <v>37</v>
      </c>
      <c r="M81">
        <v>33</v>
      </c>
      <c r="N81">
        <v>27</v>
      </c>
      <c r="O81">
        <v>52</v>
      </c>
      <c r="P81">
        <v>33</v>
      </c>
      <c r="Q81">
        <v>46</v>
      </c>
      <c r="R81">
        <v>15</v>
      </c>
      <c r="S81">
        <v>460</v>
      </c>
      <c r="T81" t="s">
        <v>813</v>
      </c>
      <c r="U81" t="s">
        <v>83</v>
      </c>
      <c r="V81" t="s">
        <v>145</v>
      </c>
      <c r="W81" t="s">
        <v>158</v>
      </c>
    </row>
    <row r="82" spans="1:23" x14ac:dyDescent="0.25">
      <c r="A82" t="s">
        <v>159</v>
      </c>
      <c r="B82" t="s">
        <v>159</v>
      </c>
      <c r="C82">
        <v>62.5</v>
      </c>
      <c r="D82" s="4">
        <v>60</v>
      </c>
      <c r="E82">
        <v>217</v>
      </c>
      <c r="G82">
        <v>61</v>
      </c>
      <c r="H82">
        <v>41</v>
      </c>
      <c r="I82">
        <v>79</v>
      </c>
      <c r="J82">
        <v>79</v>
      </c>
      <c r="K82">
        <v>34</v>
      </c>
      <c r="L82">
        <v>73</v>
      </c>
      <c r="M82">
        <v>44</v>
      </c>
      <c r="N82">
        <v>45</v>
      </c>
      <c r="O82">
        <v>81</v>
      </c>
      <c r="P82">
        <v>80</v>
      </c>
      <c r="Q82">
        <v>64</v>
      </c>
      <c r="R82">
        <v>38</v>
      </c>
      <c r="S82">
        <v>719</v>
      </c>
      <c r="T82" t="s">
        <v>813</v>
      </c>
      <c r="U82" t="s">
        <v>83</v>
      </c>
      <c r="V82" t="s">
        <v>145</v>
      </c>
      <c r="W82" t="s">
        <v>160</v>
      </c>
    </row>
    <row r="83" spans="1:23" x14ac:dyDescent="0.25">
      <c r="A83" t="s">
        <v>161</v>
      </c>
      <c r="B83" t="s">
        <v>161</v>
      </c>
      <c r="C83">
        <v>7.5</v>
      </c>
      <c r="D83" s="3">
        <v>7.5</v>
      </c>
      <c r="E83">
        <v>17</v>
      </c>
      <c r="G83">
        <v>9</v>
      </c>
      <c r="H83">
        <v>11</v>
      </c>
      <c r="I83">
        <v>5</v>
      </c>
      <c r="J83">
        <v>13</v>
      </c>
      <c r="K83">
        <v>6</v>
      </c>
      <c r="L83">
        <v>1</v>
      </c>
      <c r="M83">
        <v>10</v>
      </c>
      <c r="N83">
        <v>4</v>
      </c>
      <c r="O83">
        <v>7</v>
      </c>
      <c r="P83">
        <v>6</v>
      </c>
      <c r="Q83">
        <v>8</v>
      </c>
      <c r="R83">
        <v>10</v>
      </c>
      <c r="S83">
        <v>90</v>
      </c>
      <c r="T83" t="s">
        <v>813</v>
      </c>
      <c r="U83" t="s">
        <v>83</v>
      </c>
      <c r="V83" t="s">
        <v>145</v>
      </c>
      <c r="W83" t="s">
        <v>162</v>
      </c>
    </row>
    <row r="84" spans="1:23" x14ac:dyDescent="0.25">
      <c r="A84" t="s">
        <v>163</v>
      </c>
      <c r="B84" t="s">
        <v>163</v>
      </c>
      <c r="C84">
        <v>10</v>
      </c>
      <c r="D84" s="4">
        <v>10.3</v>
      </c>
      <c r="E84">
        <v>62</v>
      </c>
      <c r="G84">
        <v>16</v>
      </c>
      <c r="H84">
        <v>10</v>
      </c>
      <c r="I84">
        <v>10</v>
      </c>
      <c r="J84">
        <v>6</v>
      </c>
      <c r="K84">
        <v>18</v>
      </c>
      <c r="L84">
        <v>16</v>
      </c>
      <c r="M84">
        <v>6</v>
      </c>
      <c r="N84">
        <v>10</v>
      </c>
      <c r="O84">
        <v>12</v>
      </c>
      <c r="P84">
        <v>6</v>
      </c>
      <c r="Q84">
        <v>6</v>
      </c>
      <c r="R84">
        <v>6</v>
      </c>
      <c r="S84">
        <v>122</v>
      </c>
      <c r="T84" t="s">
        <v>813</v>
      </c>
      <c r="U84" t="s">
        <v>83</v>
      </c>
      <c r="V84" t="s">
        <v>145</v>
      </c>
      <c r="W84" t="s">
        <v>164</v>
      </c>
    </row>
    <row r="85" spans="1:23" x14ac:dyDescent="0.25">
      <c r="A85" t="s">
        <v>169</v>
      </c>
      <c r="B85" t="s">
        <v>169</v>
      </c>
      <c r="C85">
        <v>1</v>
      </c>
      <c r="D85" s="4">
        <v>3</v>
      </c>
      <c r="E85">
        <v>215</v>
      </c>
      <c r="G85">
        <v>5</v>
      </c>
      <c r="H85">
        <v>0</v>
      </c>
      <c r="I85">
        <v>1</v>
      </c>
      <c r="J85">
        <v>0</v>
      </c>
      <c r="K85">
        <v>0</v>
      </c>
      <c r="L85">
        <v>0</v>
      </c>
      <c r="M85">
        <v>21</v>
      </c>
      <c r="N85">
        <v>0</v>
      </c>
      <c r="O85">
        <v>2</v>
      </c>
      <c r="P85">
        <v>2</v>
      </c>
      <c r="Q85">
        <v>1</v>
      </c>
      <c r="R85">
        <v>15</v>
      </c>
      <c r="S85">
        <v>47</v>
      </c>
      <c r="T85" t="s">
        <v>813</v>
      </c>
      <c r="U85" t="s">
        <v>166</v>
      </c>
      <c r="V85" t="s">
        <v>167</v>
      </c>
      <c r="W85" t="s">
        <v>168</v>
      </c>
    </row>
    <row r="86" spans="1:23" x14ac:dyDescent="0.25">
      <c r="A86" t="s">
        <v>170</v>
      </c>
      <c r="B86" t="s">
        <v>170</v>
      </c>
      <c r="C86">
        <v>0</v>
      </c>
      <c r="D86" s="4">
        <v>0.8</v>
      </c>
      <c r="E86">
        <v>16</v>
      </c>
      <c r="G86">
        <v>4</v>
      </c>
      <c r="H86">
        <v>2</v>
      </c>
      <c r="I86">
        <v>1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9</v>
      </c>
      <c r="T86" t="s">
        <v>813</v>
      </c>
      <c r="U86" t="s">
        <v>166</v>
      </c>
      <c r="V86" t="s">
        <v>171</v>
      </c>
      <c r="W86" t="s">
        <v>172</v>
      </c>
    </row>
    <row r="87" spans="1:23" x14ac:dyDescent="0.25">
      <c r="A87" t="s">
        <v>176</v>
      </c>
      <c r="B87" t="s">
        <v>176</v>
      </c>
      <c r="C87">
        <v>0</v>
      </c>
      <c r="D87" s="4">
        <v>0.9</v>
      </c>
      <c r="E87">
        <v>27</v>
      </c>
      <c r="G87">
        <v>4</v>
      </c>
      <c r="H87">
        <v>0</v>
      </c>
      <c r="I87">
        <v>0</v>
      </c>
      <c r="J87">
        <v>0</v>
      </c>
      <c r="K87">
        <v>0</v>
      </c>
      <c r="L87">
        <v>2</v>
      </c>
      <c r="M87">
        <v>2</v>
      </c>
      <c r="N87">
        <v>0</v>
      </c>
      <c r="O87">
        <v>0</v>
      </c>
      <c r="P87">
        <v>0</v>
      </c>
      <c r="Q87">
        <v>0</v>
      </c>
      <c r="R87">
        <v>3</v>
      </c>
      <c r="S87">
        <v>11</v>
      </c>
      <c r="T87" t="s">
        <v>813</v>
      </c>
      <c r="U87" t="s">
        <v>166</v>
      </c>
      <c r="V87" t="s">
        <v>174</v>
      </c>
      <c r="W87" t="s">
        <v>175</v>
      </c>
    </row>
    <row r="88" spans="1:23" x14ac:dyDescent="0.25">
      <c r="A88" t="s">
        <v>177</v>
      </c>
      <c r="B88" t="s">
        <v>177</v>
      </c>
      <c r="C88">
        <v>0.5</v>
      </c>
      <c r="D88" s="4">
        <v>0.7</v>
      </c>
      <c r="E88">
        <v>28</v>
      </c>
      <c r="G88">
        <v>1</v>
      </c>
      <c r="H88">
        <v>0</v>
      </c>
      <c r="I88">
        <v>3</v>
      </c>
      <c r="J88">
        <v>1</v>
      </c>
      <c r="K88">
        <v>1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8</v>
      </c>
      <c r="T88" t="s">
        <v>813</v>
      </c>
      <c r="U88" t="s">
        <v>166</v>
      </c>
      <c r="V88" t="s">
        <v>174</v>
      </c>
      <c r="W88" t="s">
        <v>178</v>
      </c>
    </row>
    <row r="89" spans="1:23" x14ac:dyDescent="0.25">
      <c r="A89" t="s">
        <v>179</v>
      </c>
      <c r="B89" t="s">
        <v>179</v>
      </c>
      <c r="C89">
        <v>46</v>
      </c>
      <c r="D89" s="4">
        <v>52</v>
      </c>
      <c r="E89">
        <v>260</v>
      </c>
      <c r="G89">
        <v>62</v>
      </c>
      <c r="H89">
        <v>27</v>
      </c>
      <c r="I89">
        <v>73</v>
      </c>
      <c r="J89">
        <v>62</v>
      </c>
      <c r="K89">
        <v>31</v>
      </c>
      <c r="L89">
        <v>92</v>
      </c>
      <c r="M89">
        <v>46</v>
      </c>
      <c r="N89">
        <v>38</v>
      </c>
      <c r="O89">
        <v>63</v>
      </c>
      <c r="P89">
        <v>46</v>
      </c>
      <c r="Q89">
        <v>46</v>
      </c>
      <c r="R89">
        <v>18</v>
      </c>
      <c r="S89">
        <v>604</v>
      </c>
      <c r="T89" t="s">
        <v>813</v>
      </c>
      <c r="U89" t="s">
        <v>180</v>
      </c>
      <c r="V89" t="s">
        <v>181</v>
      </c>
      <c r="W89" t="s">
        <v>182</v>
      </c>
    </row>
    <row r="90" spans="1:23" x14ac:dyDescent="0.25">
      <c r="A90" t="s">
        <v>185</v>
      </c>
      <c r="B90" t="s">
        <v>185</v>
      </c>
      <c r="C90">
        <v>69</v>
      </c>
      <c r="D90" s="4">
        <v>70</v>
      </c>
      <c r="E90">
        <v>263</v>
      </c>
      <c r="G90">
        <v>118</v>
      </c>
      <c r="H90">
        <v>41</v>
      </c>
      <c r="I90">
        <v>78</v>
      </c>
      <c r="J90">
        <v>67</v>
      </c>
      <c r="K90">
        <v>65</v>
      </c>
      <c r="L90">
        <v>76</v>
      </c>
      <c r="M90">
        <v>43</v>
      </c>
      <c r="N90">
        <v>96</v>
      </c>
      <c r="O90">
        <v>50</v>
      </c>
      <c r="P90">
        <v>79</v>
      </c>
      <c r="Q90">
        <v>71</v>
      </c>
      <c r="R90">
        <v>39</v>
      </c>
      <c r="S90">
        <v>823</v>
      </c>
      <c r="T90" t="s">
        <v>813</v>
      </c>
      <c r="U90" t="s">
        <v>180</v>
      </c>
      <c r="V90" t="s">
        <v>181</v>
      </c>
      <c r="W90" t="s">
        <v>186</v>
      </c>
    </row>
    <row r="91" spans="1:23" x14ac:dyDescent="0.25">
      <c r="A91" t="s">
        <v>187</v>
      </c>
      <c r="B91" t="s">
        <v>187</v>
      </c>
      <c r="C91">
        <v>0.5</v>
      </c>
      <c r="D91" s="4">
        <v>2</v>
      </c>
      <c r="E91">
        <v>19</v>
      </c>
      <c r="G91">
        <v>5</v>
      </c>
      <c r="H91">
        <v>5</v>
      </c>
      <c r="I91">
        <v>0</v>
      </c>
      <c r="J91">
        <v>5</v>
      </c>
      <c r="K91">
        <v>0</v>
      </c>
      <c r="L91">
        <v>0</v>
      </c>
      <c r="M91">
        <v>0</v>
      </c>
      <c r="N91">
        <v>2</v>
      </c>
      <c r="O91">
        <v>4</v>
      </c>
      <c r="P91">
        <v>0</v>
      </c>
      <c r="Q91">
        <v>1</v>
      </c>
      <c r="R91">
        <v>0</v>
      </c>
      <c r="S91">
        <v>22</v>
      </c>
      <c r="T91" t="s">
        <v>813</v>
      </c>
      <c r="U91" t="s">
        <v>180</v>
      </c>
      <c r="V91" t="s">
        <v>181</v>
      </c>
      <c r="W91" t="s">
        <v>188</v>
      </c>
    </row>
    <row r="92" spans="1:23" x14ac:dyDescent="0.25">
      <c r="A92" t="s">
        <v>189</v>
      </c>
      <c r="B92" t="s">
        <v>189</v>
      </c>
      <c r="C92">
        <v>41.5</v>
      </c>
      <c r="D92" s="4">
        <v>46</v>
      </c>
      <c r="E92">
        <v>243</v>
      </c>
      <c r="G92">
        <v>63</v>
      </c>
      <c r="H92">
        <v>33</v>
      </c>
      <c r="I92">
        <v>83</v>
      </c>
      <c r="J92">
        <v>44</v>
      </c>
      <c r="K92">
        <v>44</v>
      </c>
      <c r="L92">
        <v>70</v>
      </c>
      <c r="M92">
        <v>39</v>
      </c>
      <c r="N92">
        <v>28</v>
      </c>
      <c r="O92">
        <v>31</v>
      </c>
      <c r="P92">
        <v>37</v>
      </c>
      <c r="Q92">
        <v>46</v>
      </c>
      <c r="R92">
        <v>33</v>
      </c>
      <c r="S92">
        <v>551</v>
      </c>
      <c r="T92" t="s">
        <v>813</v>
      </c>
      <c r="U92" t="s">
        <v>180</v>
      </c>
      <c r="V92" t="s">
        <v>181</v>
      </c>
      <c r="W92" t="s">
        <v>190</v>
      </c>
    </row>
    <row r="93" spans="1:23" x14ac:dyDescent="0.25">
      <c r="A93" t="s">
        <v>191</v>
      </c>
      <c r="B93" t="s">
        <v>191</v>
      </c>
      <c r="C93">
        <v>1</v>
      </c>
      <c r="D93" s="4">
        <v>1.7</v>
      </c>
      <c r="E93">
        <v>9</v>
      </c>
      <c r="G93">
        <v>1</v>
      </c>
      <c r="H93">
        <v>2</v>
      </c>
      <c r="I93">
        <v>0</v>
      </c>
      <c r="J93">
        <v>5</v>
      </c>
      <c r="K93">
        <v>2</v>
      </c>
      <c r="L93">
        <v>1</v>
      </c>
      <c r="M93">
        <v>5</v>
      </c>
      <c r="N93">
        <v>0</v>
      </c>
      <c r="O93">
        <v>2</v>
      </c>
      <c r="P93">
        <v>1</v>
      </c>
      <c r="Q93">
        <v>0</v>
      </c>
      <c r="R93">
        <v>1</v>
      </c>
      <c r="S93">
        <v>20</v>
      </c>
      <c r="T93" t="s">
        <v>813</v>
      </c>
      <c r="U93" t="s">
        <v>180</v>
      </c>
      <c r="V93" t="s">
        <v>181</v>
      </c>
      <c r="W93" t="s">
        <v>192</v>
      </c>
    </row>
    <row r="94" spans="1:23" x14ac:dyDescent="0.25">
      <c r="A94" t="s">
        <v>193</v>
      </c>
      <c r="B94" t="s">
        <v>193</v>
      </c>
      <c r="C94">
        <v>0.5</v>
      </c>
      <c r="D94" s="4">
        <v>1.2</v>
      </c>
      <c r="E94">
        <v>16</v>
      </c>
      <c r="G94">
        <v>0</v>
      </c>
      <c r="H94">
        <v>1</v>
      </c>
      <c r="I94">
        <v>2</v>
      </c>
      <c r="J94">
        <v>1</v>
      </c>
      <c r="K94">
        <v>0</v>
      </c>
      <c r="L94">
        <v>1</v>
      </c>
      <c r="M94">
        <v>0</v>
      </c>
      <c r="N94">
        <v>0</v>
      </c>
      <c r="O94">
        <v>1</v>
      </c>
      <c r="P94">
        <v>8</v>
      </c>
      <c r="Q94">
        <v>0</v>
      </c>
      <c r="R94">
        <v>0</v>
      </c>
      <c r="S94">
        <v>14</v>
      </c>
      <c r="T94" t="s">
        <v>813</v>
      </c>
      <c r="U94" t="s">
        <v>180</v>
      </c>
      <c r="V94" t="s">
        <v>181</v>
      </c>
      <c r="W94" t="s">
        <v>194</v>
      </c>
    </row>
    <row r="95" spans="1:23" x14ac:dyDescent="0.25">
      <c r="A95" t="s">
        <v>195</v>
      </c>
      <c r="B95" t="s">
        <v>195</v>
      </c>
      <c r="C95">
        <v>1.5</v>
      </c>
      <c r="D95" s="4">
        <v>2.9</v>
      </c>
      <c r="E95">
        <v>42</v>
      </c>
      <c r="G95">
        <v>5</v>
      </c>
      <c r="H95">
        <v>15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5</v>
      </c>
      <c r="P95">
        <v>2</v>
      </c>
      <c r="Q95">
        <v>3</v>
      </c>
      <c r="R95">
        <v>4</v>
      </c>
      <c r="S95">
        <v>35</v>
      </c>
      <c r="T95" t="s">
        <v>813</v>
      </c>
      <c r="U95" t="s">
        <v>180</v>
      </c>
      <c r="V95" t="s">
        <v>181</v>
      </c>
      <c r="W95" t="s">
        <v>196</v>
      </c>
    </row>
    <row r="96" spans="1:23" x14ac:dyDescent="0.25">
      <c r="A96" t="s">
        <v>197</v>
      </c>
      <c r="B96" t="s">
        <v>197</v>
      </c>
      <c r="C96">
        <v>1</v>
      </c>
      <c r="D96" s="4">
        <v>2.2999999999999998</v>
      </c>
      <c r="E96">
        <v>18</v>
      </c>
      <c r="G96">
        <v>0</v>
      </c>
      <c r="H96">
        <v>6</v>
      </c>
      <c r="I96">
        <v>0</v>
      </c>
      <c r="J96">
        <v>7</v>
      </c>
      <c r="K96">
        <v>1</v>
      </c>
      <c r="L96">
        <v>2</v>
      </c>
      <c r="M96">
        <v>0</v>
      </c>
      <c r="N96">
        <v>2</v>
      </c>
      <c r="O96">
        <v>1</v>
      </c>
      <c r="P96">
        <v>8</v>
      </c>
      <c r="Q96">
        <v>0</v>
      </c>
      <c r="R96">
        <v>0</v>
      </c>
      <c r="S96">
        <v>27</v>
      </c>
      <c r="T96" t="s">
        <v>813</v>
      </c>
      <c r="U96" t="s">
        <v>180</v>
      </c>
      <c r="V96" t="s">
        <v>181</v>
      </c>
      <c r="W96" t="s">
        <v>198</v>
      </c>
    </row>
    <row r="97" spans="1:23" x14ac:dyDescent="0.25">
      <c r="A97" t="s">
        <v>199</v>
      </c>
      <c r="B97" t="s">
        <v>199</v>
      </c>
      <c r="C97">
        <v>9.5</v>
      </c>
      <c r="D97" s="4">
        <v>8.6</v>
      </c>
      <c r="E97">
        <v>22</v>
      </c>
      <c r="G97">
        <v>12</v>
      </c>
      <c r="H97">
        <v>2</v>
      </c>
      <c r="I97">
        <v>9</v>
      </c>
      <c r="J97">
        <v>13</v>
      </c>
      <c r="K97">
        <v>13</v>
      </c>
      <c r="L97">
        <v>13</v>
      </c>
      <c r="M97">
        <v>10</v>
      </c>
      <c r="N97">
        <v>-1</v>
      </c>
      <c r="O97">
        <v>12</v>
      </c>
      <c r="P97">
        <v>7</v>
      </c>
      <c r="Q97">
        <v>4</v>
      </c>
      <c r="R97">
        <v>9</v>
      </c>
      <c r="S97">
        <v>103</v>
      </c>
      <c r="T97" t="s">
        <v>813</v>
      </c>
      <c r="U97" t="s">
        <v>180</v>
      </c>
      <c r="V97" t="s">
        <v>181</v>
      </c>
      <c r="W97" t="s">
        <v>200</v>
      </c>
    </row>
    <row r="98" spans="1:23" x14ac:dyDescent="0.25">
      <c r="A98" t="s">
        <v>201</v>
      </c>
      <c r="B98" t="s">
        <v>201</v>
      </c>
      <c r="C98">
        <v>7</v>
      </c>
      <c r="D98" s="4">
        <v>8.6</v>
      </c>
      <c r="E98">
        <v>43</v>
      </c>
      <c r="G98">
        <v>8</v>
      </c>
      <c r="H98">
        <v>4</v>
      </c>
      <c r="I98">
        <v>11</v>
      </c>
      <c r="J98">
        <v>18</v>
      </c>
      <c r="K98">
        <v>18</v>
      </c>
      <c r="L98">
        <v>12</v>
      </c>
      <c r="M98">
        <v>2</v>
      </c>
      <c r="N98">
        <v>5</v>
      </c>
      <c r="O98">
        <v>6</v>
      </c>
      <c r="P98">
        <v>8</v>
      </c>
      <c r="Q98">
        <v>6</v>
      </c>
      <c r="R98">
        <v>0</v>
      </c>
      <c r="S98">
        <v>98</v>
      </c>
      <c r="T98" t="s">
        <v>813</v>
      </c>
      <c r="U98" t="s">
        <v>180</v>
      </c>
      <c r="V98" t="s">
        <v>181</v>
      </c>
      <c r="W98" t="s">
        <v>202</v>
      </c>
    </row>
    <row r="99" spans="1:23" x14ac:dyDescent="0.25">
      <c r="A99" t="s">
        <v>203</v>
      </c>
      <c r="B99" t="s">
        <v>203</v>
      </c>
      <c r="C99">
        <v>5.5</v>
      </c>
      <c r="D99" s="4">
        <v>6.5</v>
      </c>
      <c r="E99">
        <v>42</v>
      </c>
      <c r="G99">
        <v>10</v>
      </c>
      <c r="H99">
        <v>6</v>
      </c>
      <c r="I99">
        <v>9</v>
      </c>
      <c r="J99">
        <v>18</v>
      </c>
      <c r="K99">
        <v>3</v>
      </c>
      <c r="L99">
        <v>2</v>
      </c>
      <c r="M99">
        <v>3</v>
      </c>
      <c r="N99">
        <v>7</v>
      </c>
      <c r="O99">
        <v>9</v>
      </c>
      <c r="P99">
        <v>5</v>
      </c>
      <c r="Q99">
        <v>1</v>
      </c>
      <c r="R99">
        <v>5</v>
      </c>
      <c r="S99">
        <v>78</v>
      </c>
      <c r="T99" t="s">
        <v>813</v>
      </c>
      <c r="U99" t="s">
        <v>180</v>
      </c>
      <c r="V99" t="s">
        <v>181</v>
      </c>
      <c r="W99" t="s">
        <v>204</v>
      </c>
    </row>
    <row r="100" spans="1:23" x14ac:dyDescent="0.25">
      <c r="A100" t="s">
        <v>205</v>
      </c>
      <c r="B100" t="s">
        <v>205</v>
      </c>
      <c r="C100">
        <v>47.5</v>
      </c>
      <c r="D100" s="4">
        <v>61</v>
      </c>
      <c r="E100">
        <v>346</v>
      </c>
      <c r="G100">
        <v>47</v>
      </c>
      <c r="H100">
        <v>31</v>
      </c>
      <c r="I100">
        <v>64</v>
      </c>
      <c r="J100">
        <v>48</v>
      </c>
      <c r="K100">
        <v>45</v>
      </c>
      <c r="L100">
        <v>83</v>
      </c>
      <c r="M100">
        <v>43</v>
      </c>
      <c r="N100">
        <v>16</v>
      </c>
      <c r="O100">
        <v>56</v>
      </c>
      <c r="P100">
        <v>200</v>
      </c>
      <c r="Q100">
        <v>40</v>
      </c>
      <c r="R100">
        <v>50</v>
      </c>
      <c r="S100">
        <v>723</v>
      </c>
      <c r="T100" t="s">
        <v>813</v>
      </c>
      <c r="U100" t="s">
        <v>180</v>
      </c>
      <c r="V100" t="s">
        <v>206</v>
      </c>
      <c r="W100" t="s">
        <v>207</v>
      </c>
    </row>
    <row r="101" spans="1:23" x14ac:dyDescent="0.25">
      <c r="A101" t="s">
        <v>208</v>
      </c>
      <c r="B101" t="s">
        <v>208</v>
      </c>
      <c r="C101">
        <v>28.5</v>
      </c>
      <c r="D101" s="4">
        <v>31</v>
      </c>
      <c r="E101">
        <v>90</v>
      </c>
      <c r="G101">
        <v>38</v>
      </c>
      <c r="H101">
        <v>45</v>
      </c>
      <c r="I101">
        <v>50</v>
      </c>
      <c r="J101">
        <v>19</v>
      </c>
      <c r="K101">
        <v>13</v>
      </c>
      <c r="L101">
        <v>58</v>
      </c>
      <c r="M101">
        <v>21</v>
      </c>
      <c r="N101">
        <v>22</v>
      </c>
      <c r="O101">
        <v>35</v>
      </c>
      <c r="P101">
        <v>15</v>
      </c>
      <c r="Q101">
        <v>39</v>
      </c>
      <c r="R101">
        <v>13</v>
      </c>
      <c r="S101">
        <v>368</v>
      </c>
      <c r="T101" t="s">
        <v>813</v>
      </c>
      <c r="U101" t="s">
        <v>180</v>
      </c>
      <c r="V101" t="s">
        <v>206</v>
      </c>
      <c r="W101" t="s">
        <v>209</v>
      </c>
    </row>
    <row r="102" spans="1:23" x14ac:dyDescent="0.25">
      <c r="A102" t="s">
        <v>210</v>
      </c>
      <c r="B102" t="s">
        <v>210</v>
      </c>
      <c r="C102">
        <v>1.5</v>
      </c>
      <c r="D102" s="4">
        <v>2.8</v>
      </c>
      <c r="E102">
        <v>168</v>
      </c>
      <c r="G102">
        <v>1</v>
      </c>
      <c r="H102">
        <v>0</v>
      </c>
      <c r="I102">
        <v>1</v>
      </c>
      <c r="J102">
        <v>8</v>
      </c>
      <c r="K102">
        <v>0</v>
      </c>
      <c r="L102">
        <v>5</v>
      </c>
      <c r="M102">
        <v>0</v>
      </c>
      <c r="N102">
        <v>1</v>
      </c>
      <c r="O102">
        <v>2</v>
      </c>
      <c r="P102">
        <v>11</v>
      </c>
      <c r="Q102">
        <v>2</v>
      </c>
      <c r="R102">
        <v>3</v>
      </c>
      <c r="S102">
        <v>34</v>
      </c>
      <c r="T102" t="s">
        <v>813</v>
      </c>
      <c r="U102" t="s">
        <v>180</v>
      </c>
      <c r="V102" t="s">
        <v>206</v>
      </c>
      <c r="W102" t="s">
        <v>211</v>
      </c>
    </row>
    <row r="103" spans="1:23" x14ac:dyDescent="0.25">
      <c r="A103" t="s">
        <v>212</v>
      </c>
      <c r="B103" t="s">
        <v>212</v>
      </c>
      <c r="C103">
        <v>25</v>
      </c>
      <c r="D103" s="4">
        <v>31</v>
      </c>
      <c r="E103">
        <v>149</v>
      </c>
      <c r="G103">
        <v>33</v>
      </c>
      <c r="H103">
        <v>23</v>
      </c>
      <c r="I103">
        <v>19</v>
      </c>
      <c r="J103">
        <v>39</v>
      </c>
      <c r="K103">
        <v>31</v>
      </c>
      <c r="L103">
        <v>37</v>
      </c>
      <c r="M103">
        <v>17</v>
      </c>
      <c r="N103">
        <v>23</v>
      </c>
      <c r="O103">
        <v>27</v>
      </c>
      <c r="P103">
        <v>76</v>
      </c>
      <c r="Q103">
        <v>20</v>
      </c>
      <c r="R103">
        <v>13</v>
      </c>
      <c r="S103">
        <v>358</v>
      </c>
      <c r="T103" t="s">
        <v>813</v>
      </c>
      <c r="U103" t="s">
        <v>180</v>
      </c>
      <c r="V103" t="s">
        <v>206</v>
      </c>
      <c r="W103" t="s">
        <v>213</v>
      </c>
    </row>
    <row r="104" spans="1:23" x14ac:dyDescent="0.25">
      <c r="A104" t="s">
        <v>214</v>
      </c>
      <c r="B104" t="s">
        <v>214</v>
      </c>
      <c r="C104">
        <v>15</v>
      </c>
      <c r="D104" s="4">
        <v>13.1</v>
      </c>
      <c r="E104">
        <v>66</v>
      </c>
      <c r="G104">
        <v>15</v>
      </c>
      <c r="H104">
        <v>6</v>
      </c>
      <c r="I104">
        <v>18</v>
      </c>
      <c r="J104">
        <v>15</v>
      </c>
      <c r="K104">
        <v>12</v>
      </c>
      <c r="L104">
        <v>15</v>
      </c>
      <c r="M104">
        <v>5</v>
      </c>
      <c r="N104">
        <v>10</v>
      </c>
      <c r="O104">
        <v>15</v>
      </c>
      <c r="P104">
        <v>20</v>
      </c>
      <c r="Q104">
        <v>19</v>
      </c>
      <c r="R104">
        <v>1</v>
      </c>
      <c r="S104">
        <v>151</v>
      </c>
      <c r="T104" t="s">
        <v>813</v>
      </c>
      <c r="U104" t="s">
        <v>180</v>
      </c>
      <c r="V104" t="s">
        <v>206</v>
      </c>
      <c r="W104" t="s">
        <v>215</v>
      </c>
    </row>
    <row r="105" spans="1:23" x14ac:dyDescent="0.25">
      <c r="A105" t="s">
        <v>216</v>
      </c>
      <c r="B105" t="s">
        <v>216</v>
      </c>
      <c r="C105">
        <v>0</v>
      </c>
      <c r="D105" s="4">
        <v>0.9</v>
      </c>
      <c r="E105">
        <v>24</v>
      </c>
      <c r="G105">
        <v>0</v>
      </c>
      <c r="H105">
        <v>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2</v>
      </c>
      <c r="P105">
        <v>1</v>
      </c>
      <c r="Q105">
        <v>0</v>
      </c>
      <c r="R105">
        <v>0</v>
      </c>
      <c r="S105">
        <v>11</v>
      </c>
      <c r="T105" t="s">
        <v>813</v>
      </c>
      <c r="U105" t="s">
        <v>180</v>
      </c>
      <c r="V105" t="s">
        <v>206</v>
      </c>
      <c r="W105" t="s">
        <v>217</v>
      </c>
    </row>
    <row r="106" spans="1:23" x14ac:dyDescent="0.25">
      <c r="A106" t="s">
        <v>218</v>
      </c>
      <c r="B106" t="s">
        <v>218</v>
      </c>
      <c r="C106">
        <v>1</v>
      </c>
      <c r="D106" s="4">
        <v>0.83</v>
      </c>
      <c r="E106">
        <v>3</v>
      </c>
      <c r="G106">
        <v>0</v>
      </c>
      <c r="H106">
        <v>2</v>
      </c>
      <c r="I106">
        <v>0</v>
      </c>
      <c r="J106">
        <v>0</v>
      </c>
      <c r="K106">
        <v>2</v>
      </c>
      <c r="L106">
        <v>1</v>
      </c>
      <c r="M106">
        <v>2</v>
      </c>
      <c r="N106">
        <v>-3</v>
      </c>
      <c r="O106">
        <v>0</v>
      </c>
      <c r="P106">
        <v>3</v>
      </c>
      <c r="Q106">
        <v>2</v>
      </c>
      <c r="R106">
        <v>1</v>
      </c>
      <c r="S106">
        <v>10</v>
      </c>
      <c r="T106" t="s">
        <v>813</v>
      </c>
      <c r="U106" t="s">
        <v>180</v>
      </c>
      <c r="V106" t="s">
        <v>206</v>
      </c>
      <c r="W106" t="s">
        <v>219</v>
      </c>
    </row>
    <row r="107" spans="1:23" x14ac:dyDescent="0.25">
      <c r="A107" t="s">
        <v>220</v>
      </c>
      <c r="B107" t="s">
        <v>220</v>
      </c>
      <c r="C107">
        <v>0</v>
      </c>
      <c r="D107" s="4">
        <v>0.75</v>
      </c>
      <c r="E107">
        <v>8</v>
      </c>
      <c r="G107">
        <v>0</v>
      </c>
      <c r="H107">
        <v>0</v>
      </c>
      <c r="I107">
        <v>0</v>
      </c>
      <c r="J107">
        <v>5</v>
      </c>
      <c r="K107">
        <v>0</v>
      </c>
      <c r="L107">
        <v>2</v>
      </c>
      <c r="M107">
        <v>0</v>
      </c>
      <c r="N107">
        <v>-3</v>
      </c>
      <c r="O107">
        <v>3</v>
      </c>
      <c r="P107">
        <v>1</v>
      </c>
      <c r="Q107">
        <v>0</v>
      </c>
      <c r="R107">
        <v>1</v>
      </c>
      <c r="S107">
        <v>9</v>
      </c>
      <c r="T107" t="s">
        <v>813</v>
      </c>
      <c r="U107" t="s">
        <v>180</v>
      </c>
      <c r="V107" t="s">
        <v>206</v>
      </c>
      <c r="W107" t="s">
        <v>221</v>
      </c>
    </row>
    <row r="108" spans="1:23" x14ac:dyDescent="0.25">
      <c r="A108" t="s">
        <v>222</v>
      </c>
      <c r="B108" t="s">
        <v>222</v>
      </c>
      <c r="C108">
        <v>0.5</v>
      </c>
      <c r="D108" s="4">
        <v>1.1000000000000001</v>
      </c>
      <c r="E108">
        <v>11</v>
      </c>
      <c r="G108">
        <v>3</v>
      </c>
      <c r="H108">
        <v>1</v>
      </c>
      <c r="I108">
        <v>0</v>
      </c>
      <c r="J108">
        <v>0</v>
      </c>
      <c r="K108">
        <v>0</v>
      </c>
      <c r="L108">
        <v>2</v>
      </c>
      <c r="M108">
        <v>0</v>
      </c>
      <c r="N108">
        <v>1</v>
      </c>
      <c r="O108">
        <v>5</v>
      </c>
      <c r="P108">
        <v>1</v>
      </c>
      <c r="Q108">
        <v>0</v>
      </c>
      <c r="R108">
        <v>0</v>
      </c>
      <c r="S108">
        <v>13</v>
      </c>
      <c r="T108" t="s">
        <v>813</v>
      </c>
      <c r="U108" t="s">
        <v>180</v>
      </c>
      <c r="V108" t="s">
        <v>206</v>
      </c>
      <c r="W108" t="s">
        <v>223</v>
      </c>
    </row>
    <row r="109" spans="1:23" x14ac:dyDescent="0.25">
      <c r="A109" t="s">
        <v>224</v>
      </c>
      <c r="B109" t="s">
        <v>224</v>
      </c>
      <c r="C109">
        <v>25.5</v>
      </c>
      <c r="D109" s="4">
        <v>26.5</v>
      </c>
      <c r="E109">
        <v>144</v>
      </c>
      <c r="G109">
        <v>26</v>
      </c>
      <c r="H109">
        <v>54</v>
      </c>
      <c r="I109">
        <v>29</v>
      </c>
      <c r="J109">
        <v>22</v>
      </c>
      <c r="K109">
        <v>30</v>
      </c>
      <c r="L109">
        <v>15</v>
      </c>
      <c r="M109">
        <v>46</v>
      </c>
      <c r="N109">
        <v>17</v>
      </c>
      <c r="O109">
        <v>29</v>
      </c>
      <c r="P109">
        <v>25</v>
      </c>
      <c r="Q109">
        <v>7</v>
      </c>
      <c r="R109">
        <v>13</v>
      </c>
      <c r="S109">
        <v>313</v>
      </c>
      <c r="T109" t="s">
        <v>813</v>
      </c>
      <c r="U109" t="s">
        <v>180</v>
      </c>
      <c r="V109" t="s">
        <v>206</v>
      </c>
      <c r="W109" t="s">
        <v>225</v>
      </c>
    </row>
    <row r="110" spans="1:23" x14ac:dyDescent="0.25">
      <c r="A110" t="s">
        <v>226</v>
      </c>
      <c r="B110" t="s">
        <v>226</v>
      </c>
      <c r="C110">
        <v>8</v>
      </c>
      <c r="D110" s="4">
        <v>9</v>
      </c>
      <c r="E110">
        <v>33</v>
      </c>
      <c r="G110">
        <v>12</v>
      </c>
      <c r="H110">
        <v>9</v>
      </c>
      <c r="I110">
        <v>8</v>
      </c>
      <c r="J110">
        <v>6</v>
      </c>
      <c r="K110">
        <v>7</v>
      </c>
      <c r="L110">
        <v>14</v>
      </c>
      <c r="M110">
        <v>8</v>
      </c>
      <c r="N110">
        <v>4</v>
      </c>
      <c r="O110">
        <v>9</v>
      </c>
      <c r="P110">
        <v>18</v>
      </c>
      <c r="Q110">
        <v>7</v>
      </c>
      <c r="R110">
        <v>5</v>
      </c>
      <c r="S110">
        <v>107</v>
      </c>
      <c r="T110" t="s">
        <v>813</v>
      </c>
      <c r="U110" t="s">
        <v>180</v>
      </c>
      <c r="V110" t="s">
        <v>206</v>
      </c>
      <c r="W110" t="s">
        <v>227</v>
      </c>
    </row>
    <row r="111" spans="1:23" x14ac:dyDescent="0.25">
      <c r="A111" t="s">
        <v>228</v>
      </c>
      <c r="B111" t="s">
        <v>228</v>
      </c>
      <c r="C111">
        <v>0</v>
      </c>
      <c r="D111" s="4">
        <v>0.4</v>
      </c>
      <c r="E111">
        <v>16</v>
      </c>
      <c r="G111">
        <v>0</v>
      </c>
      <c r="H111">
        <v>1</v>
      </c>
      <c r="I111">
        <v>1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5</v>
      </c>
      <c r="T111" t="s">
        <v>813</v>
      </c>
      <c r="U111" t="s">
        <v>180</v>
      </c>
      <c r="V111" t="s">
        <v>206</v>
      </c>
      <c r="W111" t="s">
        <v>229</v>
      </c>
    </row>
    <row r="112" spans="1:23" x14ac:dyDescent="0.25">
      <c r="A112" t="s">
        <v>230</v>
      </c>
      <c r="B112" t="s">
        <v>230</v>
      </c>
      <c r="C112">
        <v>2.5</v>
      </c>
      <c r="D112" s="4">
        <v>2.9</v>
      </c>
      <c r="E112">
        <v>38</v>
      </c>
      <c r="G112">
        <v>6</v>
      </c>
      <c r="H112">
        <v>3</v>
      </c>
      <c r="I112">
        <v>2</v>
      </c>
      <c r="J112">
        <v>5</v>
      </c>
      <c r="K112">
        <v>1</v>
      </c>
      <c r="L112">
        <v>4</v>
      </c>
      <c r="M112">
        <v>2</v>
      </c>
      <c r="N112">
        <v>-1</v>
      </c>
      <c r="O112">
        <v>5</v>
      </c>
      <c r="P112">
        <v>6</v>
      </c>
      <c r="Q112">
        <v>1</v>
      </c>
      <c r="R112">
        <v>1</v>
      </c>
      <c r="S112">
        <v>35</v>
      </c>
      <c r="T112" t="s">
        <v>813</v>
      </c>
      <c r="U112" t="s">
        <v>180</v>
      </c>
      <c r="V112" t="s">
        <v>206</v>
      </c>
      <c r="W112" t="s">
        <v>231</v>
      </c>
    </row>
    <row r="113" spans="1:23" x14ac:dyDescent="0.25">
      <c r="A113" t="s">
        <v>232</v>
      </c>
      <c r="B113" t="s">
        <v>232</v>
      </c>
      <c r="C113">
        <v>3</v>
      </c>
      <c r="D113" s="4">
        <v>4.2</v>
      </c>
      <c r="E113">
        <v>35</v>
      </c>
      <c r="G113">
        <v>8</v>
      </c>
      <c r="H113">
        <v>3</v>
      </c>
      <c r="I113">
        <v>3</v>
      </c>
      <c r="J113">
        <v>2</v>
      </c>
      <c r="K113">
        <v>2</v>
      </c>
      <c r="L113">
        <v>10</v>
      </c>
      <c r="M113">
        <v>6</v>
      </c>
      <c r="N113">
        <v>5</v>
      </c>
      <c r="O113">
        <v>0</v>
      </c>
      <c r="P113">
        <v>9</v>
      </c>
      <c r="Q113">
        <v>0</v>
      </c>
      <c r="R113">
        <v>1</v>
      </c>
      <c r="S113">
        <v>49</v>
      </c>
      <c r="T113" t="s">
        <v>813</v>
      </c>
      <c r="U113" t="s">
        <v>180</v>
      </c>
      <c r="V113" t="s">
        <v>206</v>
      </c>
      <c r="W113" t="s">
        <v>233</v>
      </c>
    </row>
    <row r="114" spans="1:23" x14ac:dyDescent="0.25">
      <c r="A114" t="s">
        <v>234</v>
      </c>
      <c r="B114" t="s">
        <v>234</v>
      </c>
      <c r="C114">
        <v>119</v>
      </c>
      <c r="D114" s="4">
        <v>121</v>
      </c>
      <c r="E114">
        <v>443</v>
      </c>
      <c r="G114">
        <v>159</v>
      </c>
      <c r="H114">
        <v>143</v>
      </c>
      <c r="I114">
        <v>145</v>
      </c>
      <c r="J114">
        <v>96</v>
      </c>
      <c r="K114">
        <v>158</v>
      </c>
      <c r="L114">
        <v>154</v>
      </c>
      <c r="M114">
        <v>77</v>
      </c>
      <c r="N114">
        <v>87</v>
      </c>
      <c r="O114">
        <v>109</v>
      </c>
      <c r="P114">
        <v>-24</v>
      </c>
      <c r="Q114">
        <v>73</v>
      </c>
      <c r="R114">
        <v>129</v>
      </c>
      <c r="S114">
        <v>1306</v>
      </c>
      <c r="T114" t="s">
        <v>813</v>
      </c>
      <c r="U114" t="s">
        <v>180</v>
      </c>
      <c r="V114" t="s">
        <v>235</v>
      </c>
      <c r="W114" t="s">
        <v>236</v>
      </c>
    </row>
    <row r="115" spans="1:23" x14ac:dyDescent="0.25">
      <c r="A115" t="s">
        <v>237</v>
      </c>
      <c r="B115" t="s">
        <v>237</v>
      </c>
      <c r="C115">
        <v>111.5</v>
      </c>
      <c r="D115" s="4">
        <v>118</v>
      </c>
      <c r="E115">
        <v>502</v>
      </c>
      <c r="G115">
        <v>157</v>
      </c>
      <c r="H115">
        <v>113</v>
      </c>
      <c r="I115">
        <v>188</v>
      </c>
      <c r="J115">
        <v>91</v>
      </c>
      <c r="K115">
        <v>127</v>
      </c>
      <c r="L115">
        <v>114</v>
      </c>
      <c r="M115">
        <v>110</v>
      </c>
      <c r="N115">
        <v>107</v>
      </c>
      <c r="O115">
        <v>97</v>
      </c>
      <c r="P115">
        <v>83</v>
      </c>
      <c r="Q115">
        <v>124</v>
      </c>
      <c r="R115">
        <v>100</v>
      </c>
      <c r="S115">
        <v>1411</v>
      </c>
      <c r="T115" t="s">
        <v>813</v>
      </c>
      <c r="U115" t="s">
        <v>180</v>
      </c>
      <c r="V115" t="s">
        <v>235</v>
      </c>
      <c r="W115" t="s">
        <v>238</v>
      </c>
    </row>
    <row r="116" spans="1:23" x14ac:dyDescent="0.25">
      <c r="A116" t="s">
        <v>239</v>
      </c>
      <c r="B116" t="s">
        <v>239</v>
      </c>
      <c r="C116">
        <v>47.5</v>
      </c>
      <c r="D116" s="4">
        <v>43</v>
      </c>
      <c r="E116">
        <v>168</v>
      </c>
      <c r="G116">
        <v>56</v>
      </c>
      <c r="H116">
        <v>51</v>
      </c>
      <c r="I116">
        <v>57</v>
      </c>
      <c r="J116">
        <v>67</v>
      </c>
      <c r="K116">
        <v>33</v>
      </c>
      <c r="L116">
        <v>41</v>
      </c>
      <c r="M116">
        <v>33</v>
      </c>
      <c r="N116">
        <v>48</v>
      </c>
      <c r="O116">
        <v>62</v>
      </c>
      <c r="P116">
        <v>4</v>
      </c>
      <c r="Q116">
        <v>18</v>
      </c>
      <c r="R116">
        <v>47</v>
      </c>
      <c r="S116">
        <v>517</v>
      </c>
      <c r="T116" t="s">
        <v>813</v>
      </c>
      <c r="U116" t="s">
        <v>180</v>
      </c>
      <c r="V116" t="s">
        <v>235</v>
      </c>
      <c r="W116" t="s">
        <v>240</v>
      </c>
    </row>
    <row r="117" spans="1:23" x14ac:dyDescent="0.25">
      <c r="A117" t="s">
        <v>241</v>
      </c>
      <c r="B117" t="s">
        <v>241</v>
      </c>
      <c r="C117">
        <v>5.5</v>
      </c>
      <c r="D117" s="4">
        <v>6.6</v>
      </c>
      <c r="E117">
        <v>40</v>
      </c>
      <c r="G117">
        <v>5</v>
      </c>
      <c r="H117">
        <v>6</v>
      </c>
      <c r="I117">
        <v>4</v>
      </c>
      <c r="J117">
        <v>16</v>
      </c>
      <c r="K117">
        <v>13</v>
      </c>
      <c r="L117">
        <v>6</v>
      </c>
      <c r="M117">
        <v>8</v>
      </c>
      <c r="N117">
        <v>2</v>
      </c>
      <c r="O117">
        <v>4</v>
      </c>
      <c r="P117">
        <v>3</v>
      </c>
      <c r="Q117">
        <v>5</v>
      </c>
      <c r="R117">
        <v>7</v>
      </c>
      <c r="S117">
        <v>79</v>
      </c>
      <c r="T117" t="s">
        <v>813</v>
      </c>
      <c r="U117" t="s">
        <v>180</v>
      </c>
      <c r="V117" t="s">
        <v>235</v>
      </c>
      <c r="W117" t="s">
        <v>242</v>
      </c>
    </row>
    <row r="118" spans="1:23" x14ac:dyDescent="0.25">
      <c r="A118" t="s">
        <v>243</v>
      </c>
      <c r="B118" t="s">
        <v>243</v>
      </c>
      <c r="C118">
        <v>7.5</v>
      </c>
      <c r="D118" s="4">
        <v>7.3</v>
      </c>
      <c r="E118">
        <v>65</v>
      </c>
      <c r="G118">
        <v>11</v>
      </c>
      <c r="H118">
        <v>5</v>
      </c>
      <c r="I118">
        <v>10</v>
      </c>
      <c r="J118">
        <v>5</v>
      </c>
      <c r="K118">
        <v>5</v>
      </c>
      <c r="L118">
        <v>11</v>
      </c>
      <c r="M118">
        <v>7</v>
      </c>
      <c r="N118">
        <v>8</v>
      </c>
      <c r="O118">
        <v>0</v>
      </c>
      <c r="P118">
        <v>11</v>
      </c>
      <c r="Q118">
        <v>10</v>
      </c>
      <c r="R118">
        <v>3</v>
      </c>
      <c r="S118">
        <v>86</v>
      </c>
      <c r="T118" t="s">
        <v>813</v>
      </c>
      <c r="U118" t="s">
        <v>180</v>
      </c>
      <c r="V118" t="s">
        <v>235</v>
      </c>
      <c r="W118" t="s">
        <v>244</v>
      </c>
    </row>
    <row r="119" spans="1:23" x14ac:dyDescent="0.25">
      <c r="A119" t="s">
        <v>245</v>
      </c>
      <c r="B119" t="s">
        <v>245</v>
      </c>
      <c r="C119">
        <v>8</v>
      </c>
      <c r="D119" s="4">
        <v>10.3</v>
      </c>
      <c r="E119">
        <v>89</v>
      </c>
      <c r="G119">
        <v>0</v>
      </c>
      <c r="H119">
        <v>0</v>
      </c>
      <c r="I119">
        <v>3</v>
      </c>
      <c r="J119">
        <v>22</v>
      </c>
      <c r="K119">
        <v>12</v>
      </c>
      <c r="L119">
        <v>18</v>
      </c>
      <c r="M119">
        <v>9</v>
      </c>
      <c r="N119">
        <v>0</v>
      </c>
      <c r="O119">
        <v>16</v>
      </c>
      <c r="P119">
        <v>14</v>
      </c>
      <c r="Q119">
        <v>7</v>
      </c>
      <c r="R119">
        <v>2</v>
      </c>
      <c r="S119">
        <v>103</v>
      </c>
      <c r="T119" t="s">
        <v>813</v>
      </c>
      <c r="U119" t="s">
        <v>180</v>
      </c>
      <c r="V119" t="s">
        <v>235</v>
      </c>
      <c r="W119" t="s">
        <v>246</v>
      </c>
    </row>
    <row r="120" spans="1:23" x14ac:dyDescent="0.25">
      <c r="A120" t="s">
        <v>247</v>
      </c>
      <c r="B120" t="s">
        <v>247</v>
      </c>
      <c r="C120">
        <v>2.5</v>
      </c>
      <c r="D120" s="4">
        <v>4.5999999999999996</v>
      </c>
      <c r="E120">
        <v>53</v>
      </c>
      <c r="G120">
        <v>0</v>
      </c>
      <c r="H120">
        <v>0</v>
      </c>
      <c r="I120">
        <v>2</v>
      </c>
      <c r="J120">
        <v>11</v>
      </c>
      <c r="K120">
        <v>2</v>
      </c>
      <c r="L120">
        <v>11</v>
      </c>
      <c r="M120">
        <v>5</v>
      </c>
      <c r="N120">
        <v>3</v>
      </c>
      <c r="O120">
        <v>1</v>
      </c>
      <c r="P120">
        <v>4</v>
      </c>
      <c r="Q120">
        <v>5</v>
      </c>
      <c r="R120">
        <v>0</v>
      </c>
      <c r="S120">
        <v>44</v>
      </c>
      <c r="T120" t="s">
        <v>813</v>
      </c>
      <c r="U120" t="s">
        <v>180</v>
      </c>
      <c r="V120" t="s">
        <v>235</v>
      </c>
      <c r="W120" t="s">
        <v>248</v>
      </c>
    </row>
    <row r="121" spans="1:23" x14ac:dyDescent="0.25">
      <c r="A121" t="s">
        <v>249</v>
      </c>
      <c r="B121" t="s">
        <v>249</v>
      </c>
      <c r="C121">
        <v>20.5</v>
      </c>
      <c r="D121" s="4">
        <v>22</v>
      </c>
      <c r="E121">
        <v>102</v>
      </c>
      <c r="G121">
        <v>27</v>
      </c>
      <c r="H121">
        <v>17</v>
      </c>
      <c r="I121">
        <v>22</v>
      </c>
      <c r="J121">
        <v>39</v>
      </c>
      <c r="K121">
        <v>15</v>
      </c>
      <c r="L121">
        <v>32</v>
      </c>
      <c r="M121">
        <v>15</v>
      </c>
      <c r="N121">
        <v>22</v>
      </c>
      <c r="O121">
        <v>20</v>
      </c>
      <c r="P121">
        <v>21</v>
      </c>
      <c r="Q121">
        <v>15</v>
      </c>
      <c r="R121">
        <v>19</v>
      </c>
      <c r="S121">
        <v>264</v>
      </c>
      <c r="T121" t="s">
        <v>813</v>
      </c>
      <c r="U121" t="s">
        <v>180</v>
      </c>
      <c r="V121" t="s">
        <v>235</v>
      </c>
      <c r="W121" t="s">
        <v>250</v>
      </c>
    </row>
    <row r="122" spans="1:23" x14ac:dyDescent="0.25">
      <c r="A122" t="s">
        <v>251</v>
      </c>
      <c r="B122" t="s">
        <v>251</v>
      </c>
      <c r="C122">
        <v>16.5</v>
      </c>
      <c r="D122" s="4">
        <v>17.5</v>
      </c>
      <c r="E122">
        <v>88</v>
      </c>
      <c r="G122">
        <v>33</v>
      </c>
      <c r="H122">
        <v>9</v>
      </c>
      <c r="I122">
        <v>34</v>
      </c>
      <c r="J122">
        <v>15</v>
      </c>
      <c r="K122">
        <v>18</v>
      </c>
      <c r="L122">
        <v>17</v>
      </c>
      <c r="M122">
        <v>14</v>
      </c>
      <c r="N122">
        <v>10</v>
      </c>
      <c r="O122">
        <v>16</v>
      </c>
      <c r="P122">
        <v>18</v>
      </c>
      <c r="Q122">
        <v>8</v>
      </c>
      <c r="R122">
        <v>18</v>
      </c>
      <c r="S122">
        <v>210</v>
      </c>
      <c r="T122" t="s">
        <v>813</v>
      </c>
      <c r="U122" t="s">
        <v>180</v>
      </c>
      <c r="V122" t="s">
        <v>235</v>
      </c>
      <c r="W122" t="s">
        <v>252</v>
      </c>
    </row>
    <row r="123" spans="1:23" x14ac:dyDescent="0.25">
      <c r="A123" t="s">
        <v>253</v>
      </c>
      <c r="B123" t="s">
        <v>253</v>
      </c>
      <c r="C123">
        <v>6.5</v>
      </c>
      <c r="D123" s="4">
        <v>7.4</v>
      </c>
      <c r="E123">
        <v>43</v>
      </c>
      <c r="G123">
        <v>13</v>
      </c>
      <c r="H123">
        <v>7</v>
      </c>
      <c r="I123">
        <v>20</v>
      </c>
      <c r="J123">
        <v>6</v>
      </c>
      <c r="K123">
        <v>1</v>
      </c>
      <c r="L123">
        <v>8</v>
      </c>
      <c r="M123">
        <v>5</v>
      </c>
      <c r="N123">
        <v>11</v>
      </c>
      <c r="O123">
        <v>5</v>
      </c>
      <c r="P123">
        <v>8</v>
      </c>
      <c r="Q123">
        <v>1</v>
      </c>
      <c r="R123">
        <v>1</v>
      </c>
      <c r="S123">
        <v>86</v>
      </c>
      <c r="T123" t="s">
        <v>813</v>
      </c>
      <c r="U123" t="s">
        <v>180</v>
      </c>
      <c r="V123" t="s">
        <v>235</v>
      </c>
      <c r="W123" t="s">
        <v>254</v>
      </c>
    </row>
    <row r="124" spans="1:23" x14ac:dyDescent="0.25">
      <c r="A124" t="s">
        <v>255</v>
      </c>
      <c r="B124" t="s">
        <v>255</v>
      </c>
      <c r="C124">
        <v>2</v>
      </c>
      <c r="D124" s="4">
        <v>2.6</v>
      </c>
      <c r="E124">
        <v>25</v>
      </c>
      <c r="G124">
        <v>0</v>
      </c>
      <c r="H124">
        <v>0</v>
      </c>
      <c r="I124">
        <v>5</v>
      </c>
      <c r="J124">
        <v>5</v>
      </c>
      <c r="K124">
        <v>5</v>
      </c>
      <c r="L124">
        <v>0</v>
      </c>
      <c r="M124">
        <v>2</v>
      </c>
      <c r="N124">
        <v>1</v>
      </c>
      <c r="O124">
        <v>7</v>
      </c>
      <c r="P124">
        <v>2</v>
      </c>
      <c r="Q124">
        <v>4</v>
      </c>
      <c r="R124">
        <v>0</v>
      </c>
      <c r="S124">
        <v>31</v>
      </c>
      <c r="T124" t="s">
        <v>813</v>
      </c>
      <c r="U124" t="s">
        <v>180</v>
      </c>
      <c r="V124" t="s">
        <v>256</v>
      </c>
      <c r="W124" t="s">
        <v>257</v>
      </c>
    </row>
    <row r="125" spans="1:23" x14ac:dyDescent="0.25">
      <c r="A125" t="s">
        <v>258</v>
      </c>
      <c r="B125" t="s">
        <v>258</v>
      </c>
      <c r="C125">
        <v>1.5</v>
      </c>
      <c r="D125" s="4">
        <v>1.6</v>
      </c>
      <c r="E125">
        <v>31</v>
      </c>
      <c r="G125">
        <v>1</v>
      </c>
      <c r="H125">
        <v>3</v>
      </c>
      <c r="I125">
        <v>3</v>
      </c>
      <c r="J125">
        <v>0</v>
      </c>
      <c r="K125">
        <v>1</v>
      </c>
      <c r="L125">
        <v>0</v>
      </c>
      <c r="M125">
        <v>0</v>
      </c>
      <c r="N125">
        <v>2</v>
      </c>
      <c r="O125">
        <v>2</v>
      </c>
      <c r="P125">
        <v>3</v>
      </c>
      <c r="Q125">
        <v>3</v>
      </c>
      <c r="R125">
        <v>1</v>
      </c>
      <c r="S125">
        <v>19</v>
      </c>
      <c r="T125" t="s">
        <v>813</v>
      </c>
      <c r="U125" t="s">
        <v>180</v>
      </c>
      <c r="V125" t="s">
        <v>256</v>
      </c>
      <c r="W125" t="s">
        <v>259</v>
      </c>
    </row>
    <row r="126" spans="1:23" x14ac:dyDescent="0.25">
      <c r="A126" t="s">
        <v>260</v>
      </c>
      <c r="B126" t="s">
        <v>260</v>
      </c>
      <c r="C126">
        <v>0</v>
      </c>
      <c r="D126" s="4">
        <v>0.75</v>
      </c>
      <c r="E126">
        <v>13</v>
      </c>
      <c r="G126">
        <v>0</v>
      </c>
      <c r="H126">
        <v>4</v>
      </c>
      <c r="I126">
        <v>0</v>
      </c>
      <c r="J126">
        <v>0</v>
      </c>
      <c r="K126">
        <v>2</v>
      </c>
      <c r="L126">
        <v>0</v>
      </c>
      <c r="M126">
        <v>0</v>
      </c>
      <c r="N126">
        <v>2</v>
      </c>
      <c r="O126">
        <v>0</v>
      </c>
      <c r="P126">
        <v>1</v>
      </c>
      <c r="Q126">
        <v>0</v>
      </c>
      <c r="R126">
        <v>0</v>
      </c>
      <c r="S126">
        <v>9</v>
      </c>
      <c r="T126" t="s">
        <v>813</v>
      </c>
      <c r="U126" t="s">
        <v>180</v>
      </c>
      <c r="V126" t="s">
        <v>256</v>
      </c>
      <c r="W126" t="s">
        <v>261</v>
      </c>
    </row>
    <row r="127" spans="1:23" x14ac:dyDescent="0.25">
      <c r="A127" t="s">
        <v>262</v>
      </c>
      <c r="B127" t="s">
        <v>262</v>
      </c>
      <c r="C127">
        <v>0</v>
      </c>
      <c r="D127" s="3">
        <v>0</v>
      </c>
      <c r="E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813</v>
      </c>
      <c r="U127" t="s">
        <v>180</v>
      </c>
      <c r="V127" t="s">
        <v>256</v>
      </c>
      <c r="W127" t="s">
        <v>263</v>
      </c>
    </row>
    <row r="128" spans="1:23" x14ac:dyDescent="0.25">
      <c r="A128" t="s">
        <v>264</v>
      </c>
      <c r="B128" t="s">
        <v>264</v>
      </c>
      <c r="C128">
        <v>12</v>
      </c>
      <c r="D128" s="4">
        <v>13.3</v>
      </c>
      <c r="E128">
        <v>36</v>
      </c>
      <c r="G128">
        <v>13</v>
      </c>
      <c r="H128">
        <v>12</v>
      </c>
      <c r="I128">
        <v>11</v>
      </c>
      <c r="J128">
        <v>25</v>
      </c>
      <c r="K128">
        <v>8</v>
      </c>
      <c r="L128">
        <v>6</v>
      </c>
      <c r="M128">
        <v>9</v>
      </c>
      <c r="N128">
        <v>14</v>
      </c>
      <c r="O128">
        <v>5</v>
      </c>
      <c r="P128">
        <v>31</v>
      </c>
      <c r="Q128">
        <v>14</v>
      </c>
      <c r="R128">
        <v>12</v>
      </c>
      <c r="S128">
        <v>160</v>
      </c>
      <c r="T128" t="s">
        <v>813</v>
      </c>
      <c r="U128" t="s">
        <v>180</v>
      </c>
      <c r="V128" t="s">
        <v>256</v>
      </c>
      <c r="W128" t="s">
        <v>265</v>
      </c>
    </row>
    <row r="129" spans="1:23" x14ac:dyDescent="0.25">
      <c r="A129" t="s">
        <v>266</v>
      </c>
      <c r="B129" t="s">
        <v>266</v>
      </c>
      <c r="C129">
        <v>5</v>
      </c>
      <c r="D129" s="4">
        <v>6.7</v>
      </c>
      <c r="E129">
        <v>31</v>
      </c>
      <c r="G129">
        <v>7</v>
      </c>
      <c r="H129">
        <v>5</v>
      </c>
      <c r="I129">
        <v>4</v>
      </c>
      <c r="J129">
        <v>4</v>
      </c>
      <c r="K129">
        <v>5</v>
      </c>
      <c r="L129">
        <v>9</v>
      </c>
      <c r="M129">
        <v>5</v>
      </c>
      <c r="N129">
        <v>12</v>
      </c>
      <c r="O129">
        <v>3</v>
      </c>
      <c r="P129">
        <v>12</v>
      </c>
      <c r="Q129">
        <v>10</v>
      </c>
      <c r="R129">
        <v>2</v>
      </c>
      <c r="S129">
        <v>78</v>
      </c>
      <c r="T129" t="s">
        <v>813</v>
      </c>
      <c r="U129" t="s">
        <v>180</v>
      </c>
      <c r="V129" t="s">
        <v>256</v>
      </c>
      <c r="W129" t="s">
        <v>267</v>
      </c>
    </row>
    <row r="130" spans="1:23" x14ac:dyDescent="0.25">
      <c r="A130" t="s">
        <v>270</v>
      </c>
      <c r="B130" t="s">
        <v>270</v>
      </c>
      <c r="C130">
        <v>11.5</v>
      </c>
      <c r="D130" s="4">
        <v>12</v>
      </c>
      <c r="E130">
        <v>56</v>
      </c>
      <c r="G130">
        <v>16</v>
      </c>
      <c r="H130">
        <v>1</v>
      </c>
      <c r="I130">
        <v>14</v>
      </c>
      <c r="J130">
        <v>9</v>
      </c>
      <c r="K130">
        <v>17</v>
      </c>
      <c r="L130">
        <v>9</v>
      </c>
      <c r="M130">
        <v>10</v>
      </c>
      <c r="N130">
        <v>20</v>
      </c>
      <c r="O130">
        <v>13</v>
      </c>
      <c r="P130">
        <v>20</v>
      </c>
      <c r="Q130">
        <v>5</v>
      </c>
      <c r="R130">
        <v>3</v>
      </c>
      <c r="S130">
        <v>137</v>
      </c>
      <c r="T130" t="s">
        <v>813</v>
      </c>
      <c r="U130" t="s">
        <v>180</v>
      </c>
      <c r="V130" t="s">
        <v>256</v>
      </c>
      <c r="W130" t="s">
        <v>271</v>
      </c>
    </row>
    <row r="131" spans="1:23" x14ac:dyDescent="0.25">
      <c r="A131" t="s">
        <v>272</v>
      </c>
      <c r="B131" t="s">
        <v>272</v>
      </c>
      <c r="C131">
        <v>0</v>
      </c>
      <c r="D131" s="3">
        <v>0</v>
      </c>
      <c r="E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813</v>
      </c>
      <c r="U131" t="s">
        <v>180</v>
      </c>
      <c r="V131" t="s">
        <v>256</v>
      </c>
      <c r="W131" t="s">
        <v>273</v>
      </c>
    </row>
    <row r="132" spans="1:23" x14ac:dyDescent="0.25">
      <c r="A132" t="s">
        <v>274</v>
      </c>
      <c r="B132" t="s">
        <v>274</v>
      </c>
      <c r="C132">
        <v>6</v>
      </c>
      <c r="D132" s="4">
        <v>6.9</v>
      </c>
      <c r="E132">
        <v>33</v>
      </c>
      <c r="G132">
        <v>7</v>
      </c>
      <c r="H132">
        <v>8</v>
      </c>
      <c r="I132">
        <v>5</v>
      </c>
      <c r="J132">
        <v>12</v>
      </c>
      <c r="K132">
        <v>14</v>
      </c>
      <c r="L132">
        <v>6</v>
      </c>
      <c r="M132">
        <v>2</v>
      </c>
      <c r="N132">
        <v>6</v>
      </c>
      <c r="O132">
        <v>3</v>
      </c>
      <c r="P132">
        <v>9</v>
      </c>
      <c r="Q132">
        <v>5</v>
      </c>
      <c r="R132">
        <v>6</v>
      </c>
      <c r="S132">
        <v>83</v>
      </c>
      <c r="T132" t="s">
        <v>813</v>
      </c>
      <c r="U132" t="s">
        <v>180</v>
      </c>
      <c r="V132" t="s">
        <v>256</v>
      </c>
      <c r="W132" t="s">
        <v>275</v>
      </c>
    </row>
    <row r="133" spans="1:23" x14ac:dyDescent="0.25">
      <c r="A133" t="s">
        <v>276</v>
      </c>
      <c r="B133" t="s">
        <v>276</v>
      </c>
      <c r="C133">
        <v>0</v>
      </c>
      <c r="D133" s="4">
        <v>0.7</v>
      </c>
      <c r="E133">
        <v>7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3</v>
      </c>
      <c r="N133">
        <v>0</v>
      </c>
      <c r="O133">
        <v>2</v>
      </c>
      <c r="P133">
        <v>1</v>
      </c>
      <c r="Q133">
        <v>0</v>
      </c>
      <c r="R133">
        <v>0</v>
      </c>
      <c r="S133">
        <v>8</v>
      </c>
      <c r="T133" t="s">
        <v>813</v>
      </c>
      <c r="U133" t="s">
        <v>180</v>
      </c>
      <c r="V133" t="s">
        <v>256</v>
      </c>
      <c r="W133" t="s">
        <v>277</v>
      </c>
    </row>
    <row r="134" spans="1:23" x14ac:dyDescent="0.25">
      <c r="A134" t="s">
        <v>278</v>
      </c>
      <c r="B134" t="s">
        <v>278</v>
      </c>
      <c r="C134">
        <v>1.5</v>
      </c>
      <c r="D134" s="4">
        <v>2.7</v>
      </c>
      <c r="E134">
        <v>129</v>
      </c>
      <c r="G134">
        <v>2</v>
      </c>
      <c r="H134">
        <v>3</v>
      </c>
      <c r="I134">
        <v>1</v>
      </c>
      <c r="J134">
        <v>1</v>
      </c>
      <c r="K134">
        <v>6</v>
      </c>
      <c r="L134">
        <v>1</v>
      </c>
      <c r="M134">
        <v>3</v>
      </c>
      <c r="N134">
        <v>0</v>
      </c>
      <c r="O134">
        <v>12</v>
      </c>
      <c r="P134">
        <v>2</v>
      </c>
      <c r="Q134">
        <v>0</v>
      </c>
      <c r="R134">
        <v>0</v>
      </c>
      <c r="S134">
        <v>31</v>
      </c>
      <c r="T134" t="s">
        <v>813</v>
      </c>
      <c r="U134" t="s">
        <v>180</v>
      </c>
      <c r="V134" t="s">
        <v>256</v>
      </c>
      <c r="W134" t="s">
        <v>279</v>
      </c>
    </row>
    <row r="135" spans="1:23" x14ac:dyDescent="0.25">
      <c r="A135" t="s">
        <v>280</v>
      </c>
      <c r="B135" t="s">
        <v>280</v>
      </c>
      <c r="C135">
        <v>7.5</v>
      </c>
      <c r="D135" s="4">
        <v>8.6</v>
      </c>
      <c r="E135">
        <v>55</v>
      </c>
      <c r="G135">
        <v>8</v>
      </c>
      <c r="H135">
        <v>2</v>
      </c>
      <c r="I135">
        <v>21</v>
      </c>
      <c r="J135">
        <v>0</v>
      </c>
      <c r="K135">
        <v>15</v>
      </c>
      <c r="L135">
        <v>3</v>
      </c>
      <c r="M135">
        <v>7</v>
      </c>
      <c r="N135">
        <v>6</v>
      </c>
      <c r="O135">
        <v>20</v>
      </c>
      <c r="P135">
        <v>8</v>
      </c>
      <c r="Q135">
        <v>8</v>
      </c>
      <c r="R135">
        <v>4</v>
      </c>
      <c r="S135">
        <v>102</v>
      </c>
      <c r="T135" t="s">
        <v>813</v>
      </c>
      <c r="U135" t="s">
        <v>180</v>
      </c>
      <c r="V135" t="s">
        <v>281</v>
      </c>
      <c r="W135" t="s">
        <v>282</v>
      </c>
    </row>
    <row r="136" spans="1:23" x14ac:dyDescent="0.25">
      <c r="A136" t="s">
        <v>283</v>
      </c>
      <c r="B136" t="s">
        <v>283</v>
      </c>
      <c r="C136">
        <v>2.5</v>
      </c>
      <c r="D136" s="4">
        <v>3.5</v>
      </c>
      <c r="E136">
        <v>11</v>
      </c>
      <c r="G136">
        <v>5</v>
      </c>
      <c r="H136">
        <v>0</v>
      </c>
      <c r="I136">
        <v>3</v>
      </c>
      <c r="J136">
        <v>8</v>
      </c>
      <c r="K136">
        <v>5</v>
      </c>
      <c r="L136">
        <v>1</v>
      </c>
      <c r="M136">
        <v>2</v>
      </c>
      <c r="N136">
        <v>1</v>
      </c>
      <c r="O136">
        <v>3</v>
      </c>
      <c r="P136">
        <v>9</v>
      </c>
      <c r="Q136">
        <v>2</v>
      </c>
      <c r="R136">
        <v>2</v>
      </c>
      <c r="S136">
        <v>41</v>
      </c>
      <c r="T136" t="s">
        <v>813</v>
      </c>
      <c r="U136" t="s">
        <v>180</v>
      </c>
      <c r="V136" t="s">
        <v>281</v>
      </c>
      <c r="W136" t="s">
        <v>284</v>
      </c>
    </row>
    <row r="137" spans="1:23" x14ac:dyDescent="0.25">
      <c r="A137" t="s">
        <v>285</v>
      </c>
      <c r="B137" t="s">
        <v>285</v>
      </c>
      <c r="C137">
        <v>0</v>
      </c>
      <c r="D137" s="4">
        <v>0.9</v>
      </c>
      <c r="E137">
        <v>45</v>
      </c>
      <c r="G137">
        <v>2</v>
      </c>
      <c r="H137">
        <v>0</v>
      </c>
      <c r="I137">
        <v>0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</v>
      </c>
      <c r="T137" t="s">
        <v>813</v>
      </c>
      <c r="U137" t="s">
        <v>180</v>
      </c>
      <c r="V137" t="s">
        <v>281</v>
      </c>
      <c r="W137" t="s">
        <v>286</v>
      </c>
    </row>
    <row r="138" spans="1:23" x14ac:dyDescent="0.25">
      <c r="A138" t="s">
        <v>287</v>
      </c>
      <c r="B138" t="s">
        <v>287</v>
      </c>
      <c r="C138">
        <v>0</v>
      </c>
      <c r="D138" s="3">
        <v>0</v>
      </c>
      <c r="E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813</v>
      </c>
      <c r="U138" t="s">
        <v>180</v>
      </c>
      <c r="V138" t="s">
        <v>281</v>
      </c>
      <c r="W138" t="s">
        <v>288</v>
      </c>
    </row>
    <row r="139" spans="1:23" x14ac:dyDescent="0.25">
      <c r="A139" t="s">
        <v>289</v>
      </c>
      <c r="B139" t="s">
        <v>289</v>
      </c>
      <c r="C139">
        <v>0</v>
      </c>
      <c r="D139" s="3">
        <v>0</v>
      </c>
      <c r="E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813</v>
      </c>
      <c r="U139" t="s">
        <v>180</v>
      </c>
      <c r="V139" t="s">
        <v>281</v>
      </c>
      <c r="W139" t="s">
        <v>290</v>
      </c>
    </row>
    <row r="140" spans="1:23" x14ac:dyDescent="0.25">
      <c r="A140" t="s">
        <v>293</v>
      </c>
      <c r="B140" t="s">
        <v>293</v>
      </c>
      <c r="C140">
        <v>15</v>
      </c>
      <c r="D140" s="4">
        <v>14.3</v>
      </c>
      <c r="E140">
        <v>51</v>
      </c>
      <c r="G140">
        <v>16</v>
      </c>
      <c r="H140">
        <v>20</v>
      </c>
      <c r="I140">
        <v>20</v>
      </c>
      <c r="J140">
        <v>18</v>
      </c>
      <c r="K140">
        <v>9</v>
      </c>
      <c r="L140">
        <v>11</v>
      </c>
      <c r="M140">
        <v>18</v>
      </c>
      <c r="N140">
        <v>8</v>
      </c>
      <c r="O140">
        <v>8</v>
      </c>
      <c r="P140">
        <v>16</v>
      </c>
      <c r="Q140">
        <v>14</v>
      </c>
      <c r="R140">
        <v>13</v>
      </c>
      <c r="S140">
        <v>171</v>
      </c>
      <c r="T140" t="s">
        <v>813</v>
      </c>
      <c r="U140" t="s">
        <v>294</v>
      </c>
      <c r="V140" t="s">
        <v>295</v>
      </c>
      <c r="W140" t="s">
        <v>296</v>
      </c>
    </row>
    <row r="141" spans="1:23" x14ac:dyDescent="0.25">
      <c r="A141" t="s">
        <v>297</v>
      </c>
      <c r="B141" t="s">
        <v>297</v>
      </c>
      <c r="C141">
        <v>2</v>
      </c>
      <c r="D141" s="4">
        <v>3.2</v>
      </c>
      <c r="E141">
        <v>25</v>
      </c>
      <c r="G141">
        <v>3</v>
      </c>
      <c r="H141">
        <v>7</v>
      </c>
      <c r="I141">
        <v>1</v>
      </c>
      <c r="J141">
        <v>4</v>
      </c>
      <c r="K141">
        <v>6</v>
      </c>
      <c r="L141">
        <v>0</v>
      </c>
      <c r="M141">
        <v>10</v>
      </c>
      <c r="N141">
        <v>1</v>
      </c>
      <c r="O141">
        <v>0</v>
      </c>
      <c r="P141">
        <v>0</v>
      </c>
      <c r="Q141">
        <v>5</v>
      </c>
      <c r="R141">
        <v>0</v>
      </c>
      <c r="S141">
        <v>37</v>
      </c>
      <c r="T141" t="s">
        <v>813</v>
      </c>
      <c r="U141" t="s">
        <v>294</v>
      </c>
      <c r="V141" t="s">
        <v>295</v>
      </c>
      <c r="W141" t="s">
        <v>298</v>
      </c>
    </row>
    <row r="142" spans="1:23" x14ac:dyDescent="0.25">
      <c r="A142" t="s">
        <v>299</v>
      </c>
      <c r="B142" t="s">
        <v>299</v>
      </c>
      <c r="C142">
        <v>0</v>
      </c>
      <c r="D142" s="4">
        <v>0.25</v>
      </c>
      <c r="E142">
        <v>119</v>
      </c>
      <c r="G142">
        <v>0</v>
      </c>
      <c r="H142">
        <v>0</v>
      </c>
      <c r="I142">
        <v>2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3</v>
      </c>
      <c r="T142" t="s">
        <v>813</v>
      </c>
      <c r="U142" t="s">
        <v>294</v>
      </c>
      <c r="V142" t="s">
        <v>295</v>
      </c>
      <c r="W142" t="s">
        <v>300</v>
      </c>
    </row>
    <row r="143" spans="1:23" x14ac:dyDescent="0.25">
      <c r="A143" t="s">
        <v>301</v>
      </c>
      <c r="B143" t="s">
        <v>301</v>
      </c>
      <c r="C143">
        <v>0</v>
      </c>
      <c r="D143" s="4">
        <v>0.17</v>
      </c>
      <c r="E143">
        <v>46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</v>
      </c>
      <c r="T143" t="s">
        <v>813</v>
      </c>
      <c r="U143" t="s">
        <v>294</v>
      </c>
      <c r="V143" t="s">
        <v>295</v>
      </c>
      <c r="W143" t="s">
        <v>302</v>
      </c>
    </row>
    <row r="144" spans="1:23" x14ac:dyDescent="0.25">
      <c r="A144" t="s">
        <v>303</v>
      </c>
      <c r="B144" t="s">
        <v>303</v>
      </c>
      <c r="C144">
        <v>0</v>
      </c>
      <c r="D144" s="3">
        <v>0</v>
      </c>
      <c r="E144">
        <v>17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813</v>
      </c>
      <c r="U144" t="s">
        <v>294</v>
      </c>
      <c r="V144" t="s">
        <v>295</v>
      </c>
      <c r="W144" t="s">
        <v>304</v>
      </c>
    </row>
    <row r="145" spans="1:23" x14ac:dyDescent="0.25">
      <c r="A145" t="s">
        <v>307</v>
      </c>
      <c r="B145" t="s">
        <v>307</v>
      </c>
      <c r="C145">
        <v>3.5</v>
      </c>
      <c r="D145" s="4">
        <v>4.5999999999999996</v>
      </c>
      <c r="E145">
        <v>57</v>
      </c>
      <c r="G145">
        <v>5</v>
      </c>
      <c r="H145">
        <v>7</v>
      </c>
      <c r="I145">
        <v>0</v>
      </c>
      <c r="J145">
        <v>0</v>
      </c>
      <c r="K145">
        <v>10</v>
      </c>
      <c r="L145">
        <v>5</v>
      </c>
      <c r="M145">
        <v>15</v>
      </c>
      <c r="N145">
        <v>3</v>
      </c>
      <c r="O145">
        <v>0</v>
      </c>
      <c r="P145">
        <v>4</v>
      </c>
      <c r="Q145">
        <v>3</v>
      </c>
      <c r="R145">
        <v>3</v>
      </c>
      <c r="S145">
        <v>55</v>
      </c>
      <c r="T145" t="s">
        <v>813</v>
      </c>
      <c r="U145" t="s">
        <v>294</v>
      </c>
      <c r="V145" t="s">
        <v>308</v>
      </c>
      <c r="W145" t="s">
        <v>309</v>
      </c>
    </row>
    <row r="146" spans="1:23" x14ac:dyDescent="0.25">
      <c r="A146" t="s">
        <v>310</v>
      </c>
      <c r="B146" t="s">
        <v>310</v>
      </c>
      <c r="C146">
        <v>0</v>
      </c>
      <c r="D146" s="4">
        <v>0.5</v>
      </c>
      <c r="E146">
        <v>273</v>
      </c>
      <c r="G146">
        <v>0</v>
      </c>
      <c r="H146">
        <v>2</v>
      </c>
      <c r="I146">
        <v>0</v>
      </c>
      <c r="J146">
        <v>1</v>
      </c>
      <c r="K146">
        <v>2</v>
      </c>
      <c r="L146">
        <v>0</v>
      </c>
      <c r="M146">
        <v>0</v>
      </c>
      <c r="N146">
        <v>-2</v>
      </c>
      <c r="O146">
        <v>0</v>
      </c>
      <c r="P146">
        <v>1</v>
      </c>
      <c r="Q146">
        <v>2</v>
      </c>
      <c r="R146">
        <v>0</v>
      </c>
      <c r="S146">
        <v>6</v>
      </c>
      <c r="T146" t="s">
        <v>813</v>
      </c>
      <c r="U146" t="s">
        <v>294</v>
      </c>
      <c r="V146" t="s">
        <v>308</v>
      </c>
      <c r="W146" t="s">
        <v>311</v>
      </c>
    </row>
    <row r="147" spans="1:23" x14ac:dyDescent="0.25">
      <c r="A147" t="s">
        <v>320</v>
      </c>
      <c r="B147" t="s">
        <v>320</v>
      </c>
      <c r="C147">
        <v>34</v>
      </c>
      <c r="D147" s="4">
        <v>50</v>
      </c>
      <c r="E147">
        <v>304</v>
      </c>
      <c r="G147">
        <v>84</v>
      </c>
      <c r="H147">
        <v>80</v>
      </c>
      <c r="I147">
        <v>54</v>
      </c>
      <c r="J147">
        <v>140</v>
      </c>
      <c r="K147">
        <v>33</v>
      </c>
      <c r="L147">
        <v>28</v>
      </c>
      <c r="M147">
        <v>70</v>
      </c>
      <c r="N147">
        <v>10</v>
      </c>
      <c r="O147">
        <v>28</v>
      </c>
      <c r="P147">
        <v>21</v>
      </c>
      <c r="Q147">
        <v>35</v>
      </c>
      <c r="R147">
        <v>18</v>
      </c>
      <c r="S147">
        <v>601</v>
      </c>
      <c r="T147" t="s">
        <v>813</v>
      </c>
      <c r="U147" t="s">
        <v>317</v>
      </c>
      <c r="V147" t="s">
        <v>318</v>
      </c>
      <c r="W147" t="s">
        <v>319</v>
      </c>
    </row>
    <row r="148" spans="1:23" x14ac:dyDescent="0.25">
      <c r="A148" t="s">
        <v>324</v>
      </c>
      <c r="B148" t="s">
        <v>324</v>
      </c>
      <c r="C148">
        <v>11.5</v>
      </c>
      <c r="D148" s="4">
        <v>14.5</v>
      </c>
      <c r="E148">
        <v>161</v>
      </c>
      <c r="G148">
        <v>35</v>
      </c>
      <c r="H148">
        <v>30</v>
      </c>
      <c r="I148">
        <v>15</v>
      </c>
      <c r="J148">
        <v>28</v>
      </c>
      <c r="K148">
        <v>22</v>
      </c>
      <c r="L148">
        <v>5</v>
      </c>
      <c r="M148">
        <v>0</v>
      </c>
      <c r="N148">
        <v>5</v>
      </c>
      <c r="O148">
        <v>8</v>
      </c>
      <c r="P148">
        <v>1</v>
      </c>
      <c r="Q148">
        <v>15</v>
      </c>
      <c r="R148">
        <v>2</v>
      </c>
      <c r="S148">
        <v>166</v>
      </c>
      <c r="T148" t="s">
        <v>813</v>
      </c>
      <c r="U148" t="s">
        <v>317</v>
      </c>
      <c r="V148" t="s">
        <v>325</v>
      </c>
      <c r="W148" t="s">
        <v>326</v>
      </c>
    </row>
    <row r="149" spans="1:23" x14ac:dyDescent="0.25">
      <c r="A149" t="s">
        <v>335</v>
      </c>
      <c r="B149" t="s">
        <v>335</v>
      </c>
      <c r="C149">
        <v>0</v>
      </c>
      <c r="D149" s="3">
        <v>0</v>
      </c>
      <c r="E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813</v>
      </c>
      <c r="U149" t="s">
        <v>336</v>
      </c>
      <c r="V149" t="s">
        <v>337</v>
      </c>
      <c r="W149" t="s">
        <v>338</v>
      </c>
    </row>
    <row r="150" spans="1:23" x14ac:dyDescent="0.25">
      <c r="A150" t="s">
        <v>339</v>
      </c>
      <c r="B150" t="s">
        <v>339</v>
      </c>
      <c r="C150">
        <v>0</v>
      </c>
      <c r="D150" s="3">
        <v>0</v>
      </c>
      <c r="E150">
        <v>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813</v>
      </c>
      <c r="U150" t="s">
        <v>336</v>
      </c>
      <c r="V150" t="s">
        <v>337</v>
      </c>
      <c r="W150" t="s">
        <v>340</v>
      </c>
    </row>
    <row r="151" spans="1:23" x14ac:dyDescent="0.25">
      <c r="A151" t="s">
        <v>341</v>
      </c>
      <c r="B151" t="s">
        <v>341</v>
      </c>
      <c r="C151">
        <v>0</v>
      </c>
      <c r="D151" s="3">
        <v>0</v>
      </c>
      <c r="E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813</v>
      </c>
      <c r="U151" t="s">
        <v>336</v>
      </c>
      <c r="V151" t="s">
        <v>337</v>
      </c>
      <c r="W151" t="s">
        <v>342</v>
      </c>
    </row>
    <row r="152" spans="1:23" x14ac:dyDescent="0.25">
      <c r="A152" t="s">
        <v>343</v>
      </c>
      <c r="B152" t="s">
        <v>343</v>
      </c>
      <c r="C152">
        <v>0</v>
      </c>
      <c r="D152" s="3">
        <v>0</v>
      </c>
      <c r="E152">
        <v>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813</v>
      </c>
      <c r="U152" t="s">
        <v>336</v>
      </c>
      <c r="V152" t="s">
        <v>337</v>
      </c>
      <c r="W152" t="s">
        <v>344</v>
      </c>
    </row>
    <row r="153" spans="1:23" x14ac:dyDescent="0.25">
      <c r="A153" t="s">
        <v>345</v>
      </c>
      <c r="B153" t="s">
        <v>345</v>
      </c>
      <c r="C153">
        <v>0</v>
      </c>
      <c r="D153" s="3">
        <v>0</v>
      </c>
      <c r="E153">
        <v>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 t="s">
        <v>813</v>
      </c>
      <c r="U153" t="s">
        <v>336</v>
      </c>
      <c r="V153" t="s">
        <v>337</v>
      </c>
      <c r="W153" t="s">
        <v>346</v>
      </c>
    </row>
    <row r="154" spans="1:23" x14ac:dyDescent="0.25">
      <c r="A154" t="s">
        <v>347</v>
      </c>
      <c r="B154" t="s">
        <v>347</v>
      </c>
      <c r="C154">
        <v>0</v>
      </c>
      <c r="D154" s="3">
        <v>0</v>
      </c>
      <c r="E154">
        <v>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813</v>
      </c>
      <c r="U154" t="s">
        <v>336</v>
      </c>
      <c r="V154" t="s">
        <v>337</v>
      </c>
      <c r="W154" t="s">
        <v>348</v>
      </c>
    </row>
    <row r="155" spans="1:23" x14ac:dyDescent="0.25">
      <c r="A155" t="s">
        <v>349</v>
      </c>
      <c r="B155" t="s">
        <v>349</v>
      </c>
      <c r="C155">
        <v>0</v>
      </c>
      <c r="D155" s="3">
        <v>0</v>
      </c>
      <c r="E155">
        <v>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813</v>
      </c>
      <c r="U155" t="s">
        <v>336</v>
      </c>
      <c r="V155" t="s">
        <v>350</v>
      </c>
      <c r="W155" t="s">
        <v>351</v>
      </c>
    </row>
    <row r="156" spans="1:23" x14ac:dyDescent="0.25">
      <c r="A156" t="s">
        <v>352</v>
      </c>
      <c r="B156" t="s">
        <v>352</v>
      </c>
      <c r="C156">
        <v>0</v>
      </c>
      <c r="D156" s="3">
        <v>0</v>
      </c>
      <c r="E156">
        <v>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813</v>
      </c>
      <c r="U156" t="s">
        <v>336</v>
      </c>
      <c r="V156" t="s">
        <v>350</v>
      </c>
      <c r="W156" t="s">
        <v>353</v>
      </c>
    </row>
    <row r="157" spans="1:23" x14ac:dyDescent="0.25">
      <c r="A157" t="s">
        <v>354</v>
      </c>
      <c r="B157" t="s">
        <v>354</v>
      </c>
      <c r="C157">
        <v>0</v>
      </c>
      <c r="D157" s="3">
        <v>0</v>
      </c>
      <c r="E157">
        <v>10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813</v>
      </c>
      <c r="U157" t="s">
        <v>336</v>
      </c>
      <c r="V157" t="s">
        <v>350</v>
      </c>
      <c r="W157" t="s">
        <v>355</v>
      </c>
    </row>
    <row r="158" spans="1:23" x14ac:dyDescent="0.25">
      <c r="A158" t="s">
        <v>356</v>
      </c>
      <c r="B158" t="s">
        <v>356</v>
      </c>
      <c r="C158">
        <v>0</v>
      </c>
      <c r="D158" s="4">
        <v>0.6</v>
      </c>
      <c r="E158">
        <v>18</v>
      </c>
      <c r="G158">
        <v>0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2</v>
      </c>
      <c r="S158">
        <v>7</v>
      </c>
      <c r="T158" t="s">
        <v>813</v>
      </c>
      <c r="U158" t="s">
        <v>336</v>
      </c>
      <c r="V158" t="s">
        <v>350</v>
      </c>
      <c r="W158" t="s">
        <v>357</v>
      </c>
    </row>
    <row r="159" spans="1:23" x14ac:dyDescent="0.25">
      <c r="A159" t="s">
        <v>358</v>
      </c>
      <c r="B159" t="s">
        <v>358</v>
      </c>
      <c r="C159">
        <v>0</v>
      </c>
      <c r="D159" s="4">
        <v>0.1</v>
      </c>
      <c r="E159">
        <v>16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 t="s">
        <v>813</v>
      </c>
      <c r="U159" t="s">
        <v>336</v>
      </c>
      <c r="V159" t="s">
        <v>350</v>
      </c>
      <c r="W159" t="s">
        <v>359</v>
      </c>
    </row>
    <row r="160" spans="1:23" x14ac:dyDescent="0.25">
      <c r="A160" t="s">
        <v>360</v>
      </c>
      <c r="B160" t="s">
        <v>360</v>
      </c>
      <c r="C160">
        <v>0.5</v>
      </c>
      <c r="D160" s="4">
        <v>1</v>
      </c>
      <c r="E160">
        <v>17</v>
      </c>
      <c r="G160">
        <v>0</v>
      </c>
      <c r="H160">
        <v>1</v>
      </c>
      <c r="I160">
        <v>1</v>
      </c>
      <c r="J160">
        <v>0</v>
      </c>
      <c r="K160">
        <v>4</v>
      </c>
      <c r="L160">
        <v>2</v>
      </c>
      <c r="M160">
        <v>2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11</v>
      </c>
      <c r="T160" t="s">
        <v>813</v>
      </c>
      <c r="U160" t="s">
        <v>336</v>
      </c>
      <c r="V160" t="s">
        <v>350</v>
      </c>
      <c r="W160" t="s">
        <v>361</v>
      </c>
    </row>
    <row r="161" spans="1:23" x14ac:dyDescent="0.25">
      <c r="A161" t="s">
        <v>362</v>
      </c>
      <c r="B161" t="s">
        <v>362</v>
      </c>
      <c r="C161">
        <v>0</v>
      </c>
      <c r="D161" s="4">
        <v>0.5</v>
      </c>
      <c r="E161">
        <v>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5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6</v>
      </c>
      <c r="T161" t="s">
        <v>813</v>
      </c>
      <c r="U161" t="s">
        <v>363</v>
      </c>
      <c r="V161" t="s">
        <v>364</v>
      </c>
      <c r="W161" t="s">
        <v>365</v>
      </c>
    </row>
    <row r="162" spans="1:23" x14ac:dyDescent="0.25">
      <c r="A162" t="s">
        <v>366</v>
      </c>
      <c r="B162" t="s">
        <v>366</v>
      </c>
      <c r="C162">
        <v>0</v>
      </c>
      <c r="D162" s="4">
        <v>0.33</v>
      </c>
      <c r="E162">
        <v>10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4</v>
      </c>
      <c r="T162" t="s">
        <v>813</v>
      </c>
      <c r="U162" t="s">
        <v>363</v>
      </c>
      <c r="V162" t="s">
        <v>364</v>
      </c>
      <c r="W162" t="s">
        <v>367</v>
      </c>
    </row>
    <row r="163" spans="1:23" x14ac:dyDescent="0.25">
      <c r="A163" t="s">
        <v>368</v>
      </c>
      <c r="B163" t="s">
        <v>368</v>
      </c>
      <c r="C163">
        <v>0</v>
      </c>
      <c r="D163" s="4">
        <v>0.75</v>
      </c>
      <c r="E163">
        <v>18</v>
      </c>
      <c r="G163">
        <v>2</v>
      </c>
      <c r="H163">
        <v>0</v>
      </c>
      <c r="I163">
        <v>2</v>
      </c>
      <c r="J163">
        <v>1</v>
      </c>
      <c r="K163">
        <v>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9</v>
      </c>
      <c r="T163" t="s">
        <v>813</v>
      </c>
      <c r="U163" t="s">
        <v>363</v>
      </c>
      <c r="V163" t="s">
        <v>364</v>
      </c>
      <c r="W163" t="s">
        <v>369</v>
      </c>
    </row>
    <row r="164" spans="1:23" x14ac:dyDescent="0.25">
      <c r="A164" t="s">
        <v>370</v>
      </c>
      <c r="B164" t="s">
        <v>370</v>
      </c>
      <c r="C164">
        <v>0</v>
      </c>
      <c r="D164" s="3">
        <v>0</v>
      </c>
      <c r="E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813</v>
      </c>
      <c r="U164" t="s">
        <v>363</v>
      </c>
      <c r="V164" t="s">
        <v>364</v>
      </c>
      <c r="W164" t="s">
        <v>371</v>
      </c>
    </row>
    <row r="165" spans="1:23" x14ac:dyDescent="0.25">
      <c r="A165" t="s">
        <v>372</v>
      </c>
      <c r="B165" t="s">
        <v>372</v>
      </c>
      <c r="C165">
        <v>0</v>
      </c>
      <c r="D165" s="4">
        <v>0.45</v>
      </c>
      <c r="E165">
        <v>5</v>
      </c>
      <c r="G165">
        <v>0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2</v>
      </c>
      <c r="Q165">
        <v>0</v>
      </c>
      <c r="R165">
        <v>0</v>
      </c>
      <c r="S165">
        <v>5</v>
      </c>
      <c r="T165" t="s">
        <v>813</v>
      </c>
      <c r="U165" t="s">
        <v>363</v>
      </c>
      <c r="V165" t="s">
        <v>364</v>
      </c>
      <c r="W165" t="s">
        <v>373</v>
      </c>
    </row>
    <row r="166" spans="1:23" x14ac:dyDescent="0.25">
      <c r="A166" t="s">
        <v>374</v>
      </c>
      <c r="B166" t="s">
        <v>374</v>
      </c>
      <c r="C166">
        <v>0</v>
      </c>
      <c r="D166" s="3">
        <v>0</v>
      </c>
      <c r="E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813</v>
      </c>
      <c r="U166" t="s">
        <v>363</v>
      </c>
      <c r="V166" t="s">
        <v>364</v>
      </c>
      <c r="W166" t="s">
        <v>375</v>
      </c>
    </row>
    <row r="167" spans="1:23" x14ac:dyDescent="0.25">
      <c r="A167" t="s">
        <v>376</v>
      </c>
      <c r="B167" t="s">
        <v>376</v>
      </c>
      <c r="C167">
        <v>0</v>
      </c>
      <c r="D167" s="3">
        <v>0</v>
      </c>
      <c r="E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813</v>
      </c>
      <c r="U167" t="s">
        <v>363</v>
      </c>
      <c r="V167" t="s">
        <v>364</v>
      </c>
      <c r="W167" t="s">
        <v>377</v>
      </c>
    </row>
    <row r="168" spans="1:23" x14ac:dyDescent="0.25">
      <c r="A168" t="s">
        <v>378</v>
      </c>
      <c r="B168" t="s">
        <v>378</v>
      </c>
      <c r="C168">
        <v>0</v>
      </c>
      <c r="D168" s="3">
        <v>0</v>
      </c>
      <c r="E168">
        <v>10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 t="s">
        <v>813</v>
      </c>
      <c r="U168" t="s">
        <v>363</v>
      </c>
      <c r="V168" t="s">
        <v>364</v>
      </c>
      <c r="W168" t="s">
        <v>379</v>
      </c>
    </row>
    <row r="169" spans="1:23" x14ac:dyDescent="0.25">
      <c r="A169" t="s">
        <v>380</v>
      </c>
      <c r="B169" t="s">
        <v>380</v>
      </c>
      <c r="C169">
        <v>0</v>
      </c>
      <c r="D169" s="3">
        <v>0</v>
      </c>
      <c r="E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 t="s">
        <v>813</v>
      </c>
      <c r="U169" t="s">
        <v>363</v>
      </c>
      <c r="V169" t="s">
        <v>364</v>
      </c>
      <c r="W169" t="s">
        <v>381</v>
      </c>
    </row>
    <row r="170" spans="1:23" x14ac:dyDescent="0.25">
      <c r="A170" t="s">
        <v>382</v>
      </c>
      <c r="B170" t="s">
        <v>382</v>
      </c>
      <c r="C170">
        <v>0</v>
      </c>
      <c r="D170" s="4">
        <v>0.25</v>
      </c>
      <c r="E170">
        <v>33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1</v>
      </c>
      <c r="Q170">
        <v>1</v>
      </c>
      <c r="R170">
        <v>0</v>
      </c>
      <c r="S170">
        <v>3</v>
      </c>
      <c r="T170" t="s">
        <v>813</v>
      </c>
      <c r="U170" t="s">
        <v>363</v>
      </c>
      <c r="V170" t="s">
        <v>364</v>
      </c>
      <c r="W170" t="s">
        <v>383</v>
      </c>
    </row>
    <row r="171" spans="1:23" x14ac:dyDescent="0.25">
      <c r="A171" t="s">
        <v>386</v>
      </c>
      <c r="B171" t="s">
        <v>386</v>
      </c>
      <c r="C171">
        <v>0</v>
      </c>
      <c r="D171" s="4">
        <v>0.5</v>
      </c>
      <c r="E171">
        <v>13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1</v>
      </c>
      <c r="N171">
        <v>1</v>
      </c>
      <c r="O171">
        <v>0</v>
      </c>
      <c r="P171">
        <v>2</v>
      </c>
      <c r="Q171">
        <v>1</v>
      </c>
      <c r="R171">
        <v>0</v>
      </c>
      <c r="S171">
        <v>6</v>
      </c>
      <c r="T171" t="s">
        <v>813</v>
      </c>
      <c r="U171" t="s">
        <v>363</v>
      </c>
      <c r="V171" t="s">
        <v>364</v>
      </c>
      <c r="W171" t="s">
        <v>387</v>
      </c>
    </row>
    <row r="172" spans="1:23" x14ac:dyDescent="0.25">
      <c r="A172" t="s">
        <v>388</v>
      </c>
      <c r="B172" t="s">
        <v>388</v>
      </c>
      <c r="C172">
        <v>0</v>
      </c>
      <c r="D172" s="3">
        <v>0</v>
      </c>
      <c r="E172">
        <v>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 t="s">
        <v>813</v>
      </c>
      <c r="U172" t="s">
        <v>363</v>
      </c>
      <c r="V172" t="s">
        <v>364</v>
      </c>
      <c r="W172" t="s">
        <v>389</v>
      </c>
    </row>
    <row r="173" spans="1:23" x14ac:dyDescent="0.25">
      <c r="A173" t="s">
        <v>392</v>
      </c>
      <c r="B173" t="s">
        <v>392</v>
      </c>
      <c r="C173">
        <v>76.5</v>
      </c>
      <c r="D173" s="4">
        <v>82</v>
      </c>
      <c r="E173">
        <v>313</v>
      </c>
      <c r="F173">
        <v>50</v>
      </c>
      <c r="G173">
        <v>78</v>
      </c>
      <c r="H173">
        <v>22</v>
      </c>
      <c r="I173">
        <v>154</v>
      </c>
      <c r="J173">
        <v>57</v>
      </c>
      <c r="K173">
        <v>75</v>
      </c>
      <c r="L173">
        <v>87</v>
      </c>
      <c r="M173">
        <v>43</v>
      </c>
      <c r="N173">
        <v>89</v>
      </c>
      <c r="O173">
        <v>71</v>
      </c>
      <c r="P173">
        <v>146</v>
      </c>
      <c r="Q173">
        <v>98</v>
      </c>
      <c r="R173">
        <v>62</v>
      </c>
      <c r="S173">
        <v>982</v>
      </c>
      <c r="T173" t="s">
        <v>813</v>
      </c>
      <c r="U173" t="s">
        <v>393</v>
      </c>
      <c r="V173" t="s">
        <v>394</v>
      </c>
      <c r="W173" t="s">
        <v>395</v>
      </c>
    </row>
    <row r="174" spans="1:23" x14ac:dyDescent="0.25">
      <c r="A174" t="s">
        <v>396</v>
      </c>
      <c r="B174" t="s">
        <v>396</v>
      </c>
      <c r="C174">
        <v>17.5</v>
      </c>
      <c r="D174" s="4">
        <v>20.5</v>
      </c>
      <c r="E174">
        <v>83</v>
      </c>
      <c r="G174">
        <v>32</v>
      </c>
      <c r="H174">
        <v>11</v>
      </c>
      <c r="I174">
        <v>26</v>
      </c>
      <c r="J174">
        <v>11</v>
      </c>
      <c r="K174">
        <v>21</v>
      </c>
      <c r="L174">
        <v>44</v>
      </c>
      <c r="M174">
        <v>9</v>
      </c>
      <c r="N174">
        <v>19</v>
      </c>
      <c r="O174">
        <v>16</v>
      </c>
      <c r="P174">
        <v>26</v>
      </c>
      <c r="Q174">
        <v>14</v>
      </c>
      <c r="R174">
        <v>11</v>
      </c>
      <c r="S174">
        <v>240</v>
      </c>
      <c r="T174" t="s">
        <v>813</v>
      </c>
      <c r="U174" t="s">
        <v>393</v>
      </c>
      <c r="V174" t="s">
        <v>394</v>
      </c>
      <c r="W174" t="s">
        <v>397</v>
      </c>
    </row>
    <row r="175" spans="1:23" x14ac:dyDescent="0.25">
      <c r="A175" t="s">
        <v>398</v>
      </c>
      <c r="B175" t="s">
        <v>398</v>
      </c>
      <c r="C175">
        <v>38</v>
      </c>
      <c r="D175" s="4">
        <v>42</v>
      </c>
      <c r="E175">
        <v>201</v>
      </c>
      <c r="G175">
        <v>40</v>
      </c>
      <c r="H175">
        <v>7</v>
      </c>
      <c r="I175">
        <v>60</v>
      </c>
      <c r="J175">
        <v>33</v>
      </c>
      <c r="K175">
        <v>32</v>
      </c>
      <c r="L175">
        <v>64</v>
      </c>
      <c r="M175">
        <v>36</v>
      </c>
      <c r="N175">
        <v>61</v>
      </c>
      <c r="O175">
        <v>61</v>
      </c>
      <c r="P175">
        <v>66</v>
      </c>
      <c r="Q175">
        <v>14</v>
      </c>
      <c r="R175">
        <v>19</v>
      </c>
      <c r="S175">
        <v>493</v>
      </c>
      <c r="T175" t="s">
        <v>813</v>
      </c>
      <c r="U175" t="s">
        <v>393</v>
      </c>
      <c r="V175" t="s">
        <v>394</v>
      </c>
      <c r="W175" t="s">
        <v>399</v>
      </c>
    </row>
    <row r="176" spans="1:23" x14ac:dyDescent="0.25">
      <c r="A176" t="s">
        <v>400</v>
      </c>
      <c r="B176" t="s">
        <v>400</v>
      </c>
      <c r="C176">
        <v>9</v>
      </c>
      <c r="D176" s="4">
        <v>9.5</v>
      </c>
      <c r="E176">
        <v>27</v>
      </c>
      <c r="G176">
        <v>5</v>
      </c>
      <c r="H176">
        <v>14</v>
      </c>
      <c r="I176">
        <v>1</v>
      </c>
      <c r="J176">
        <v>17</v>
      </c>
      <c r="K176">
        <v>7</v>
      </c>
      <c r="L176">
        <v>10</v>
      </c>
      <c r="M176">
        <v>19</v>
      </c>
      <c r="N176">
        <v>8</v>
      </c>
      <c r="O176">
        <v>7</v>
      </c>
      <c r="P176">
        <v>13</v>
      </c>
      <c r="Q176">
        <v>3</v>
      </c>
      <c r="R176">
        <v>12</v>
      </c>
      <c r="S176">
        <v>116</v>
      </c>
      <c r="T176" t="s">
        <v>813</v>
      </c>
      <c r="U176" t="s">
        <v>393</v>
      </c>
      <c r="V176" t="s">
        <v>394</v>
      </c>
      <c r="W176" t="s">
        <v>401</v>
      </c>
    </row>
    <row r="177" spans="1:23" x14ac:dyDescent="0.25">
      <c r="A177" t="s">
        <v>402</v>
      </c>
      <c r="B177" t="s">
        <v>402</v>
      </c>
      <c r="C177">
        <v>2</v>
      </c>
      <c r="D177" s="4">
        <v>1.85</v>
      </c>
      <c r="E177">
        <v>15</v>
      </c>
      <c r="G177">
        <v>3</v>
      </c>
      <c r="H177">
        <v>1</v>
      </c>
      <c r="I177">
        <v>3</v>
      </c>
      <c r="J177">
        <v>3</v>
      </c>
      <c r="K177">
        <v>1</v>
      </c>
      <c r="L177">
        <v>1</v>
      </c>
      <c r="M177">
        <v>1</v>
      </c>
      <c r="N177">
        <v>2</v>
      </c>
      <c r="O177">
        <v>2</v>
      </c>
      <c r="P177">
        <v>2</v>
      </c>
      <c r="Q177">
        <v>2</v>
      </c>
      <c r="R177">
        <v>1</v>
      </c>
      <c r="S177">
        <v>22</v>
      </c>
      <c r="T177" t="s">
        <v>813</v>
      </c>
      <c r="U177" t="s">
        <v>393</v>
      </c>
      <c r="V177" t="s">
        <v>394</v>
      </c>
      <c r="W177" t="s">
        <v>403</v>
      </c>
    </row>
    <row r="178" spans="1:23" x14ac:dyDescent="0.25">
      <c r="A178" t="s">
        <v>404</v>
      </c>
      <c r="B178" t="s">
        <v>404</v>
      </c>
      <c r="C178">
        <v>4</v>
      </c>
      <c r="D178" s="4">
        <v>4.55</v>
      </c>
      <c r="E178">
        <v>27</v>
      </c>
      <c r="F178">
        <v>20</v>
      </c>
      <c r="G178">
        <v>4</v>
      </c>
      <c r="H178">
        <v>6</v>
      </c>
      <c r="I178">
        <v>5</v>
      </c>
      <c r="J178">
        <v>1</v>
      </c>
      <c r="K178">
        <v>4</v>
      </c>
      <c r="L178">
        <v>4</v>
      </c>
      <c r="M178">
        <v>7</v>
      </c>
      <c r="N178">
        <v>8</v>
      </c>
      <c r="O178">
        <v>4</v>
      </c>
      <c r="P178">
        <v>1</v>
      </c>
      <c r="Q178">
        <v>7</v>
      </c>
      <c r="R178">
        <v>3</v>
      </c>
      <c r="S178">
        <v>54</v>
      </c>
      <c r="T178" t="s">
        <v>813</v>
      </c>
      <c r="U178" t="s">
        <v>393</v>
      </c>
      <c r="V178" t="s">
        <v>394</v>
      </c>
      <c r="W178" t="s">
        <v>405</v>
      </c>
    </row>
    <row r="179" spans="1:23" x14ac:dyDescent="0.25">
      <c r="A179" t="s">
        <v>406</v>
      </c>
      <c r="B179" t="s">
        <v>406</v>
      </c>
      <c r="C179">
        <v>6.5</v>
      </c>
      <c r="D179" s="4">
        <v>8.5</v>
      </c>
      <c r="E179">
        <v>35</v>
      </c>
      <c r="G179">
        <v>16</v>
      </c>
      <c r="H179">
        <v>1</v>
      </c>
      <c r="I179">
        <v>4</v>
      </c>
      <c r="J179">
        <v>4</v>
      </c>
      <c r="K179">
        <v>14</v>
      </c>
      <c r="L179">
        <v>19</v>
      </c>
      <c r="M179">
        <v>15</v>
      </c>
      <c r="N179">
        <v>-2</v>
      </c>
      <c r="O179">
        <v>7</v>
      </c>
      <c r="P179">
        <v>13</v>
      </c>
      <c r="Q179">
        <v>4</v>
      </c>
      <c r="R179">
        <v>6</v>
      </c>
      <c r="S179">
        <v>101</v>
      </c>
      <c r="T179" t="s">
        <v>813</v>
      </c>
      <c r="U179" t="s">
        <v>393</v>
      </c>
      <c r="V179" t="s">
        <v>407</v>
      </c>
      <c r="W179" t="s">
        <v>408</v>
      </c>
    </row>
    <row r="180" spans="1:23" x14ac:dyDescent="0.25">
      <c r="A180" t="s">
        <v>409</v>
      </c>
      <c r="B180" t="s">
        <v>409</v>
      </c>
      <c r="C180">
        <v>0</v>
      </c>
      <c r="D180" s="4">
        <v>0.7</v>
      </c>
      <c r="E180">
        <v>15</v>
      </c>
      <c r="G180">
        <v>1</v>
      </c>
      <c r="H180">
        <v>0</v>
      </c>
      <c r="I180">
        <v>2</v>
      </c>
      <c r="J180">
        <v>3</v>
      </c>
      <c r="K180">
        <v>2</v>
      </c>
      <c r="L180">
        <v>0</v>
      </c>
      <c r="M180">
        <v>0</v>
      </c>
      <c r="N180">
        <v>-2</v>
      </c>
      <c r="O180">
        <v>2</v>
      </c>
      <c r="P180">
        <v>0</v>
      </c>
      <c r="Q180">
        <v>0</v>
      </c>
      <c r="R180">
        <v>0</v>
      </c>
      <c r="S180">
        <v>8</v>
      </c>
      <c r="T180" t="s">
        <v>813</v>
      </c>
      <c r="U180" t="s">
        <v>393</v>
      </c>
      <c r="V180" t="s">
        <v>407</v>
      </c>
      <c r="W180" t="s">
        <v>410</v>
      </c>
    </row>
    <row r="181" spans="1:23" x14ac:dyDescent="0.25">
      <c r="A181" t="s">
        <v>411</v>
      </c>
      <c r="B181" t="s">
        <v>411</v>
      </c>
      <c r="C181">
        <v>4.5</v>
      </c>
      <c r="D181" s="4">
        <v>4.2</v>
      </c>
      <c r="E181">
        <v>18</v>
      </c>
      <c r="G181">
        <v>6</v>
      </c>
      <c r="H181">
        <v>5</v>
      </c>
      <c r="I181">
        <v>3</v>
      </c>
      <c r="J181">
        <v>1</v>
      </c>
      <c r="K181">
        <v>3</v>
      </c>
      <c r="L181">
        <v>4</v>
      </c>
      <c r="M181">
        <v>1</v>
      </c>
      <c r="N181">
        <v>0</v>
      </c>
      <c r="O181">
        <v>6</v>
      </c>
      <c r="P181">
        <v>7</v>
      </c>
      <c r="Q181">
        <v>10</v>
      </c>
      <c r="R181">
        <v>5</v>
      </c>
      <c r="S181">
        <v>51</v>
      </c>
      <c r="T181" t="s">
        <v>813</v>
      </c>
      <c r="U181" t="s">
        <v>393</v>
      </c>
      <c r="V181" t="s">
        <v>407</v>
      </c>
      <c r="W181" t="s">
        <v>412</v>
      </c>
    </row>
    <row r="182" spans="1:23" x14ac:dyDescent="0.25">
      <c r="A182" t="s">
        <v>413</v>
      </c>
      <c r="B182" t="s">
        <v>413</v>
      </c>
      <c r="C182">
        <v>9.5</v>
      </c>
      <c r="D182" s="4">
        <v>10.8</v>
      </c>
      <c r="E182">
        <v>20</v>
      </c>
      <c r="G182">
        <v>7</v>
      </c>
      <c r="H182">
        <v>6</v>
      </c>
      <c r="I182">
        <v>6</v>
      </c>
      <c r="J182">
        <v>11</v>
      </c>
      <c r="K182">
        <v>14</v>
      </c>
      <c r="L182">
        <v>3</v>
      </c>
      <c r="M182">
        <v>34</v>
      </c>
      <c r="N182">
        <v>10</v>
      </c>
      <c r="O182">
        <v>9</v>
      </c>
      <c r="P182">
        <v>7</v>
      </c>
      <c r="Q182">
        <v>11</v>
      </c>
      <c r="R182">
        <v>12</v>
      </c>
      <c r="S182">
        <v>130</v>
      </c>
      <c r="T182" t="s">
        <v>813</v>
      </c>
      <c r="U182" t="s">
        <v>393</v>
      </c>
      <c r="V182" t="s">
        <v>407</v>
      </c>
      <c r="W182" t="s">
        <v>414</v>
      </c>
    </row>
    <row r="183" spans="1:23" x14ac:dyDescent="0.25">
      <c r="A183" t="s">
        <v>415</v>
      </c>
      <c r="B183" t="s">
        <v>415</v>
      </c>
      <c r="C183">
        <v>2.5</v>
      </c>
      <c r="D183" s="3">
        <v>2.5</v>
      </c>
      <c r="E183">
        <v>21</v>
      </c>
      <c r="G183">
        <v>0</v>
      </c>
      <c r="H183">
        <v>0</v>
      </c>
      <c r="I183">
        <v>4</v>
      </c>
      <c r="J183">
        <v>5</v>
      </c>
      <c r="K183">
        <v>8</v>
      </c>
      <c r="L183">
        <v>0</v>
      </c>
      <c r="M183">
        <v>3</v>
      </c>
      <c r="N183">
        <v>-4</v>
      </c>
      <c r="O183">
        <v>8</v>
      </c>
      <c r="P183">
        <v>3</v>
      </c>
      <c r="Q183">
        <v>0</v>
      </c>
      <c r="R183">
        <v>2</v>
      </c>
      <c r="S183">
        <v>29</v>
      </c>
      <c r="T183" t="s">
        <v>813</v>
      </c>
      <c r="U183" t="s">
        <v>393</v>
      </c>
      <c r="V183" t="s">
        <v>407</v>
      </c>
      <c r="W183" t="s">
        <v>416</v>
      </c>
    </row>
    <row r="184" spans="1:23" x14ac:dyDescent="0.25">
      <c r="A184" t="s">
        <v>417</v>
      </c>
      <c r="B184" t="s">
        <v>417</v>
      </c>
      <c r="C184">
        <v>5</v>
      </c>
      <c r="D184" s="3">
        <v>5</v>
      </c>
      <c r="E184">
        <v>21</v>
      </c>
      <c r="F184">
        <v>20</v>
      </c>
      <c r="G184">
        <v>7</v>
      </c>
      <c r="H184">
        <v>6</v>
      </c>
      <c r="I184">
        <v>0</v>
      </c>
      <c r="J184">
        <v>7</v>
      </c>
      <c r="K184">
        <v>7</v>
      </c>
      <c r="L184">
        <v>5</v>
      </c>
      <c r="M184">
        <v>3</v>
      </c>
      <c r="N184">
        <v>5</v>
      </c>
      <c r="O184">
        <v>3</v>
      </c>
      <c r="P184">
        <v>3</v>
      </c>
      <c r="Q184">
        <v>9</v>
      </c>
      <c r="R184">
        <v>3</v>
      </c>
      <c r="S184">
        <v>58</v>
      </c>
      <c r="T184" t="s">
        <v>813</v>
      </c>
      <c r="U184" t="s">
        <v>393</v>
      </c>
      <c r="V184" t="s">
        <v>407</v>
      </c>
      <c r="W184" t="s">
        <v>418</v>
      </c>
    </row>
    <row r="185" spans="1:23" x14ac:dyDescent="0.25">
      <c r="A185" t="s">
        <v>419</v>
      </c>
      <c r="B185" t="s">
        <v>419</v>
      </c>
      <c r="C185">
        <v>2</v>
      </c>
      <c r="D185" s="4">
        <v>2.2999999999999998</v>
      </c>
      <c r="E185">
        <v>10</v>
      </c>
      <c r="G185">
        <v>2</v>
      </c>
      <c r="H185">
        <v>6</v>
      </c>
      <c r="I185">
        <v>2</v>
      </c>
      <c r="J185">
        <v>5</v>
      </c>
      <c r="K185">
        <v>0</v>
      </c>
      <c r="L185">
        <v>2</v>
      </c>
      <c r="M185">
        <v>3</v>
      </c>
      <c r="N185">
        <v>0</v>
      </c>
      <c r="O185">
        <v>0</v>
      </c>
      <c r="P185">
        <v>4</v>
      </c>
      <c r="Q185">
        <v>4</v>
      </c>
      <c r="R185">
        <v>0</v>
      </c>
      <c r="S185">
        <v>28</v>
      </c>
      <c r="T185" t="s">
        <v>813</v>
      </c>
      <c r="U185" t="s">
        <v>420</v>
      </c>
      <c r="V185" t="s">
        <v>421</v>
      </c>
      <c r="W185" t="s">
        <v>422</v>
      </c>
    </row>
    <row r="186" spans="1:23" x14ac:dyDescent="0.25">
      <c r="A186" t="s">
        <v>423</v>
      </c>
      <c r="B186" t="s">
        <v>423</v>
      </c>
      <c r="C186">
        <v>0</v>
      </c>
      <c r="D186" s="4">
        <v>0.7</v>
      </c>
      <c r="E186">
        <v>19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3</v>
      </c>
      <c r="P186">
        <v>2</v>
      </c>
      <c r="Q186">
        <v>2</v>
      </c>
      <c r="R186">
        <v>0</v>
      </c>
      <c r="S186">
        <v>8</v>
      </c>
      <c r="T186" t="s">
        <v>813</v>
      </c>
      <c r="U186" t="s">
        <v>420</v>
      </c>
      <c r="V186" t="s">
        <v>421</v>
      </c>
      <c r="W186" t="s">
        <v>424</v>
      </c>
    </row>
    <row r="187" spans="1:23" x14ac:dyDescent="0.25">
      <c r="A187" t="s">
        <v>425</v>
      </c>
      <c r="B187" t="s">
        <v>425</v>
      </c>
      <c r="C187">
        <v>5</v>
      </c>
      <c r="D187" s="4">
        <v>4.5</v>
      </c>
      <c r="E187">
        <v>30</v>
      </c>
      <c r="G187">
        <v>5</v>
      </c>
      <c r="H187">
        <v>5</v>
      </c>
      <c r="I187">
        <v>5</v>
      </c>
      <c r="J187">
        <v>2</v>
      </c>
      <c r="K187">
        <v>5</v>
      </c>
      <c r="L187">
        <v>7</v>
      </c>
      <c r="M187">
        <v>5</v>
      </c>
      <c r="N187">
        <v>5</v>
      </c>
      <c r="O187">
        <v>2</v>
      </c>
      <c r="P187">
        <v>11</v>
      </c>
      <c r="Q187">
        <v>0</v>
      </c>
      <c r="R187">
        <v>0</v>
      </c>
      <c r="S187">
        <v>52</v>
      </c>
      <c r="T187" t="s">
        <v>813</v>
      </c>
      <c r="U187" t="s">
        <v>420</v>
      </c>
      <c r="V187" t="s">
        <v>426</v>
      </c>
      <c r="W187" t="s">
        <v>427</v>
      </c>
    </row>
    <row r="188" spans="1:23" x14ac:dyDescent="0.25">
      <c r="A188" t="s">
        <v>428</v>
      </c>
      <c r="B188" t="s">
        <v>428</v>
      </c>
      <c r="C188">
        <v>0</v>
      </c>
      <c r="D188" s="4">
        <v>2</v>
      </c>
      <c r="E188">
        <v>25</v>
      </c>
      <c r="G188">
        <v>11</v>
      </c>
      <c r="H188">
        <v>0</v>
      </c>
      <c r="I188">
        <v>5</v>
      </c>
      <c r="J188">
        <v>0</v>
      </c>
      <c r="K188">
        <v>5</v>
      </c>
      <c r="L188">
        <v>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26</v>
      </c>
      <c r="T188" t="s">
        <v>813</v>
      </c>
      <c r="U188" t="s">
        <v>420</v>
      </c>
      <c r="V188" t="s">
        <v>426</v>
      </c>
      <c r="W188" t="s">
        <v>429</v>
      </c>
    </row>
    <row r="189" spans="1:23" x14ac:dyDescent="0.25">
      <c r="A189" t="s">
        <v>441</v>
      </c>
      <c r="B189" t="s">
        <v>441</v>
      </c>
      <c r="C189">
        <v>49</v>
      </c>
      <c r="D189" s="4">
        <v>48</v>
      </c>
      <c r="E189">
        <v>141</v>
      </c>
      <c r="G189">
        <v>48</v>
      </c>
      <c r="H189">
        <v>49</v>
      </c>
      <c r="I189">
        <v>43</v>
      </c>
      <c r="J189">
        <v>52</v>
      </c>
      <c r="K189">
        <v>52</v>
      </c>
      <c r="L189">
        <v>56</v>
      </c>
      <c r="M189">
        <v>49</v>
      </c>
      <c r="N189">
        <v>13</v>
      </c>
      <c r="O189">
        <v>47</v>
      </c>
      <c r="P189">
        <v>72</v>
      </c>
      <c r="Q189">
        <v>51</v>
      </c>
      <c r="R189">
        <v>32</v>
      </c>
      <c r="S189">
        <v>564</v>
      </c>
      <c r="T189" t="s">
        <v>813</v>
      </c>
      <c r="U189" t="s">
        <v>442</v>
      </c>
      <c r="V189" t="s">
        <v>443</v>
      </c>
      <c r="W189" t="s">
        <v>444</v>
      </c>
    </row>
    <row r="190" spans="1:23" x14ac:dyDescent="0.25">
      <c r="A190" t="s">
        <v>445</v>
      </c>
      <c r="B190" t="s">
        <v>445</v>
      </c>
      <c r="C190">
        <v>7.5</v>
      </c>
      <c r="D190" s="4">
        <v>7</v>
      </c>
      <c r="E190">
        <v>35</v>
      </c>
      <c r="G190">
        <v>9</v>
      </c>
      <c r="H190">
        <v>10</v>
      </c>
      <c r="I190">
        <v>8</v>
      </c>
      <c r="J190">
        <v>2</v>
      </c>
      <c r="K190">
        <v>3</v>
      </c>
      <c r="L190">
        <v>7</v>
      </c>
      <c r="M190">
        <v>8</v>
      </c>
      <c r="N190">
        <v>11</v>
      </c>
      <c r="O190">
        <v>7</v>
      </c>
      <c r="P190">
        <v>1</v>
      </c>
      <c r="Q190">
        <v>4</v>
      </c>
      <c r="R190">
        <v>14</v>
      </c>
      <c r="S190">
        <v>84</v>
      </c>
      <c r="T190" t="s">
        <v>813</v>
      </c>
      <c r="U190" t="s">
        <v>442</v>
      </c>
      <c r="V190" t="s">
        <v>443</v>
      </c>
      <c r="W190" t="s">
        <v>446</v>
      </c>
    </row>
    <row r="191" spans="1:23" x14ac:dyDescent="0.25">
      <c r="A191" t="s">
        <v>447</v>
      </c>
      <c r="B191" t="s">
        <v>447</v>
      </c>
      <c r="C191">
        <v>41</v>
      </c>
      <c r="D191" s="4">
        <v>35.299999999999997</v>
      </c>
      <c r="E191">
        <v>152</v>
      </c>
      <c r="F191">
        <v>50</v>
      </c>
      <c r="G191">
        <v>44</v>
      </c>
      <c r="H191">
        <v>22</v>
      </c>
      <c r="I191">
        <v>58</v>
      </c>
      <c r="J191">
        <v>49</v>
      </c>
      <c r="K191">
        <v>5</v>
      </c>
      <c r="L191">
        <v>45</v>
      </c>
      <c r="M191">
        <v>25</v>
      </c>
      <c r="N191">
        <v>29</v>
      </c>
      <c r="O191">
        <v>45</v>
      </c>
      <c r="P191">
        <v>46</v>
      </c>
      <c r="Q191">
        <v>19</v>
      </c>
      <c r="R191">
        <v>38</v>
      </c>
      <c r="S191">
        <v>425</v>
      </c>
      <c r="T191" t="s">
        <v>813</v>
      </c>
      <c r="U191" t="s">
        <v>442</v>
      </c>
      <c r="V191" t="s">
        <v>443</v>
      </c>
      <c r="W191" t="s">
        <v>448</v>
      </c>
    </row>
    <row r="192" spans="1:23" x14ac:dyDescent="0.25">
      <c r="A192" t="s">
        <v>449</v>
      </c>
      <c r="B192" t="s">
        <v>449</v>
      </c>
      <c r="C192">
        <v>12.5</v>
      </c>
      <c r="D192" s="3">
        <v>12.5</v>
      </c>
      <c r="E192">
        <v>55</v>
      </c>
      <c r="G192">
        <v>4</v>
      </c>
      <c r="H192">
        <v>8</v>
      </c>
      <c r="I192">
        <v>14</v>
      </c>
      <c r="J192">
        <v>30</v>
      </c>
      <c r="K192">
        <v>11</v>
      </c>
      <c r="L192">
        <v>20</v>
      </c>
      <c r="M192">
        <v>4</v>
      </c>
      <c r="N192">
        <v>17</v>
      </c>
      <c r="O192">
        <v>4</v>
      </c>
      <c r="P192">
        <v>22</v>
      </c>
      <c r="Q192">
        <v>1</v>
      </c>
      <c r="R192">
        <v>19</v>
      </c>
      <c r="S192">
        <v>154</v>
      </c>
      <c r="T192" t="s">
        <v>813</v>
      </c>
      <c r="U192" t="s">
        <v>442</v>
      </c>
      <c r="V192" t="s">
        <v>443</v>
      </c>
      <c r="W192" t="s">
        <v>450</v>
      </c>
    </row>
    <row r="193" spans="1:23" x14ac:dyDescent="0.25">
      <c r="A193" t="s">
        <v>451</v>
      </c>
      <c r="B193" t="s">
        <v>451</v>
      </c>
      <c r="C193">
        <v>4.5</v>
      </c>
      <c r="D193" s="4">
        <v>5</v>
      </c>
      <c r="E193">
        <v>27</v>
      </c>
      <c r="G193">
        <v>5</v>
      </c>
      <c r="H193">
        <v>4</v>
      </c>
      <c r="I193">
        <v>5</v>
      </c>
      <c r="J193">
        <v>18</v>
      </c>
      <c r="K193">
        <v>1</v>
      </c>
      <c r="L193">
        <v>1</v>
      </c>
      <c r="M193">
        <v>7</v>
      </c>
      <c r="N193">
        <v>12</v>
      </c>
      <c r="O193">
        <v>1</v>
      </c>
      <c r="P193">
        <v>5</v>
      </c>
      <c r="Q193">
        <v>1</v>
      </c>
      <c r="R193">
        <v>0</v>
      </c>
      <c r="S193">
        <v>60</v>
      </c>
      <c r="T193" t="s">
        <v>813</v>
      </c>
      <c r="U193" t="s">
        <v>442</v>
      </c>
      <c r="V193" t="s">
        <v>443</v>
      </c>
      <c r="W193" t="s">
        <v>452</v>
      </c>
    </row>
    <row r="194" spans="1:23" x14ac:dyDescent="0.25">
      <c r="A194" t="s">
        <v>453</v>
      </c>
      <c r="B194" t="s">
        <v>453</v>
      </c>
      <c r="C194">
        <v>1.5</v>
      </c>
      <c r="D194" s="4">
        <v>2</v>
      </c>
      <c r="E194">
        <v>12</v>
      </c>
      <c r="F194">
        <v>10</v>
      </c>
      <c r="G194">
        <v>4</v>
      </c>
      <c r="H194">
        <v>0</v>
      </c>
      <c r="I194">
        <v>0</v>
      </c>
      <c r="J194">
        <v>2</v>
      </c>
      <c r="K194">
        <v>0</v>
      </c>
      <c r="L194">
        <v>1</v>
      </c>
      <c r="M194">
        <v>5</v>
      </c>
      <c r="N194">
        <v>6</v>
      </c>
      <c r="O194">
        <v>1</v>
      </c>
      <c r="P194">
        <v>4</v>
      </c>
      <c r="Q194">
        <v>2</v>
      </c>
      <c r="R194">
        <v>0</v>
      </c>
      <c r="S194">
        <v>25</v>
      </c>
      <c r="T194" t="s">
        <v>813</v>
      </c>
      <c r="U194" t="s">
        <v>442</v>
      </c>
      <c r="V194" t="s">
        <v>443</v>
      </c>
      <c r="W194" t="s">
        <v>454</v>
      </c>
    </row>
    <row r="195" spans="1:23" x14ac:dyDescent="0.25">
      <c r="A195" t="s">
        <v>455</v>
      </c>
      <c r="B195" t="s">
        <v>455</v>
      </c>
      <c r="C195">
        <v>2.5</v>
      </c>
      <c r="D195" s="3">
        <v>2.5</v>
      </c>
      <c r="E195">
        <v>112</v>
      </c>
      <c r="G195">
        <v>2</v>
      </c>
      <c r="H195">
        <v>4</v>
      </c>
      <c r="I195">
        <v>3</v>
      </c>
      <c r="J195">
        <v>5</v>
      </c>
      <c r="K195">
        <v>3</v>
      </c>
      <c r="L195">
        <v>2</v>
      </c>
      <c r="M195">
        <v>1</v>
      </c>
      <c r="N195">
        <v>1</v>
      </c>
      <c r="O195">
        <v>2</v>
      </c>
      <c r="P195">
        <v>3</v>
      </c>
      <c r="Q195">
        <v>3</v>
      </c>
      <c r="R195">
        <v>0</v>
      </c>
      <c r="S195">
        <v>29</v>
      </c>
      <c r="T195" t="s">
        <v>813</v>
      </c>
      <c r="U195" t="s">
        <v>442</v>
      </c>
      <c r="V195" t="s">
        <v>443</v>
      </c>
      <c r="W195" t="s">
        <v>456</v>
      </c>
    </row>
    <row r="196" spans="1:23" x14ac:dyDescent="0.25">
      <c r="A196" t="s">
        <v>457</v>
      </c>
      <c r="B196" t="s">
        <v>457</v>
      </c>
      <c r="C196">
        <v>1</v>
      </c>
      <c r="D196" s="4">
        <v>1.3</v>
      </c>
      <c r="E196">
        <v>173</v>
      </c>
      <c r="G196">
        <v>3</v>
      </c>
      <c r="H196">
        <v>0</v>
      </c>
      <c r="I196">
        <v>3</v>
      </c>
      <c r="J196">
        <v>1</v>
      </c>
      <c r="K196">
        <v>0</v>
      </c>
      <c r="L196">
        <v>0</v>
      </c>
      <c r="M196">
        <v>6</v>
      </c>
      <c r="N196">
        <v>0</v>
      </c>
      <c r="O196">
        <v>1</v>
      </c>
      <c r="P196">
        <v>1</v>
      </c>
      <c r="Q196">
        <v>0</v>
      </c>
      <c r="R196">
        <v>1</v>
      </c>
      <c r="S196">
        <v>16</v>
      </c>
      <c r="T196" t="s">
        <v>813</v>
      </c>
      <c r="U196" t="s">
        <v>442</v>
      </c>
      <c r="V196" t="s">
        <v>443</v>
      </c>
      <c r="W196" t="s">
        <v>458</v>
      </c>
    </row>
    <row r="197" spans="1:23" x14ac:dyDescent="0.25">
      <c r="A197" t="s">
        <v>459</v>
      </c>
      <c r="B197" t="s">
        <v>459</v>
      </c>
      <c r="C197">
        <v>7</v>
      </c>
      <c r="D197" s="4">
        <v>8.1999999999999993</v>
      </c>
      <c r="E197">
        <v>50</v>
      </c>
      <c r="G197">
        <v>20</v>
      </c>
      <c r="H197">
        <v>1</v>
      </c>
      <c r="I197">
        <v>20</v>
      </c>
      <c r="J197">
        <v>12</v>
      </c>
      <c r="K197">
        <v>0</v>
      </c>
      <c r="L197">
        <v>10</v>
      </c>
      <c r="M197">
        <v>2</v>
      </c>
      <c r="N197">
        <v>11</v>
      </c>
      <c r="O197">
        <v>5</v>
      </c>
      <c r="P197">
        <v>8</v>
      </c>
      <c r="Q197">
        <v>6</v>
      </c>
      <c r="R197">
        <v>0</v>
      </c>
      <c r="S197">
        <v>95</v>
      </c>
      <c r="T197" t="s">
        <v>813</v>
      </c>
      <c r="U197" t="s">
        <v>460</v>
      </c>
      <c r="V197" t="s">
        <v>461</v>
      </c>
      <c r="W197" t="s">
        <v>462</v>
      </c>
    </row>
    <row r="198" spans="1:23" x14ac:dyDescent="0.25">
      <c r="A198" t="s">
        <v>463</v>
      </c>
      <c r="B198" t="s">
        <v>463</v>
      </c>
      <c r="C198">
        <v>0</v>
      </c>
      <c r="D198" s="4">
        <v>3.4</v>
      </c>
      <c r="E198">
        <v>65</v>
      </c>
      <c r="G198">
        <v>23</v>
      </c>
      <c r="H198">
        <v>0</v>
      </c>
      <c r="I198">
        <v>7</v>
      </c>
      <c r="J198">
        <v>0</v>
      </c>
      <c r="K198">
        <v>0</v>
      </c>
      <c r="L198">
        <v>5</v>
      </c>
      <c r="M198">
        <v>0</v>
      </c>
      <c r="N198">
        <v>-2</v>
      </c>
      <c r="O198">
        <v>0</v>
      </c>
      <c r="P198">
        <v>0</v>
      </c>
      <c r="Q198">
        <v>6</v>
      </c>
      <c r="R198">
        <v>0</v>
      </c>
      <c r="S198">
        <v>39</v>
      </c>
      <c r="T198" t="s">
        <v>813</v>
      </c>
      <c r="U198" t="s">
        <v>460</v>
      </c>
      <c r="V198" t="s">
        <v>461</v>
      </c>
      <c r="W198" t="s">
        <v>464</v>
      </c>
    </row>
    <row r="199" spans="1:23" x14ac:dyDescent="0.25">
      <c r="A199" t="s">
        <v>465</v>
      </c>
      <c r="B199" t="s">
        <v>465</v>
      </c>
      <c r="C199">
        <v>20</v>
      </c>
      <c r="D199" s="4">
        <v>19.2</v>
      </c>
      <c r="E199">
        <v>80</v>
      </c>
      <c r="G199">
        <v>21</v>
      </c>
      <c r="H199">
        <v>8</v>
      </c>
      <c r="I199">
        <v>34</v>
      </c>
      <c r="J199">
        <v>18</v>
      </c>
      <c r="K199">
        <v>25</v>
      </c>
      <c r="L199">
        <v>21</v>
      </c>
      <c r="M199">
        <v>14</v>
      </c>
      <c r="N199">
        <v>19</v>
      </c>
      <c r="O199">
        <v>23</v>
      </c>
      <c r="P199">
        <v>21</v>
      </c>
      <c r="Q199">
        <v>7</v>
      </c>
      <c r="R199">
        <v>4</v>
      </c>
      <c r="S199">
        <v>215</v>
      </c>
      <c r="T199" t="s">
        <v>813</v>
      </c>
      <c r="U199" t="s">
        <v>460</v>
      </c>
      <c r="V199" t="s">
        <v>466</v>
      </c>
      <c r="W199" t="s">
        <v>467</v>
      </c>
    </row>
    <row r="200" spans="1:23" x14ac:dyDescent="0.25">
      <c r="A200" t="s">
        <v>468</v>
      </c>
      <c r="B200" t="s">
        <v>468</v>
      </c>
      <c r="C200">
        <v>21.5</v>
      </c>
      <c r="D200" s="4">
        <v>20.399999999999999</v>
      </c>
      <c r="E200">
        <v>72</v>
      </c>
      <c r="G200">
        <v>25</v>
      </c>
      <c r="H200">
        <v>2</v>
      </c>
      <c r="I200">
        <v>24</v>
      </c>
      <c r="J200">
        <v>32</v>
      </c>
      <c r="K200">
        <v>21</v>
      </c>
      <c r="L200">
        <v>32</v>
      </c>
      <c r="M200">
        <v>16</v>
      </c>
      <c r="N200">
        <v>13</v>
      </c>
      <c r="O200">
        <v>15</v>
      </c>
      <c r="P200">
        <v>22</v>
      </c>
      <c r="Q200">
        <v>26</v>
      </c>
      <c r="R200">
        <v>15</v>
      </c>
      <c r="S200">
        <v>243</v>
      </c>
      <c r="T200" t="s">
        <v>813</v>
      </c>
      <c r="U200" t="s">
        <v>460</v>
      </c>
      <c r="V200" t="s">
        <v>466</v>
      </c>
      <c r="W200" t="s">
        <v>469</v>
      </c>
    </row>
    <row r="201" spans="1:23" x14ac:dyDescent="0.25">
      <c r="A201" t="s">
        <v>470</v>
      </c>
      <c r="B201" t="s">
        <v>470</v>
      </c>
      <c r="C201">
        <v>8</v>
      </c>
      <c r="D201" s="4">
        <v>9</v>
      </c>
      <c r="E201">
        <v>48</v>
      </c>
      <c r="F201">
        <v>20</v>
      </c>
      <c r="G201">
        <v>8</v>
      </c>
      <c r="H201">
        <v>1</v>
      </c>
      <c r="I201">
        <v>8</v>
      </c>
      <c r="J201">
        <v>4</v>
      </c>
      <c r="K201">
        <v>10</v>
      </c>
      <c r="L201">
        <v>14</v>
      </c>
      <c r="M201">
        <v>7</v>
      </c>
      <c r="N201">
        <v>4</v>
      </c>
      <c r="O201">
        <v>16</v>
      </c>
      <c r="P201">
        <v>11</v>
      </c>
      <c r="Q201">
        <v>16</v>
      </c>
      <c r="R201">
        <v>1</v>
      </c>
      <c r="S201">
        <v>100</v>
      </c>
      <c r="T201" t="s">
        <v>813</v>
      </c>
      <c r="U201" t="s">
        <v>460</v>
      </c>
      <c r="V201" t="s">
        <v>466</v>
      </c>
      <c r="W201" t="s">
        <v>471</v>
      </c>
    </row>
    <row r="202" spans="1:23" x14ac:dyDescent="0.25">
      <c r="A202" t="s">
        <v>472</v>
      </c>
      <c r="B202" t="s">
        <v>472</v>
      </c>
      <c r="C202">
        <v>0</v>
      </c>
      <c r="D202" s="4">
        <v>0.6</v>
      </c>
      <c r="E202">
        <v>182</v>
      </c>
      <c r="G202">
        <v>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7</v>
      </c>
      <c r="T202" t="s">
        <v>813</v>
      </c>
      <c r="U202" t="s">
        <v>460</v>
      </c>
      <c r="V202" t="s">
        <v>466</v>
      </c>
      <c r="W202" t="s">
        <v>473</v>
      </c>
    </row>
    <row r="203" spans="1:23" x14ac:dyDescent="0.25">
      <c r="A203" t="s">
        <v>474</v>
      </c>
      <c r="B203" t="s">
        <v>474</v>
      </c>
      <c r="C203">
        <v>0</v>
      </c>
      <c r="D203" s="4">
        <v>0.6</v>
      </c>
      <c r="E203">
        <v>11</v>
      </c>
      <c r="G203">
        <v>2</v>
      </c>
      <c r="H203">
        <v>0</v>
      </c>
      <c r="I203">
        <v>3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7</v>
      </c>
      <c r="T203" t="s">
        <v>813</v>
      </c>
      <c r="U203" t="s">
        <v>460</v>
      </c>
      <c r="V203" t="s">
        <v>466</v>
      </c>
      <c r="W203" t="s">
        <v>475</v>
      </c>
    </row>
    <row r="204" spans="1:23" x14ac:dyDescent="0.25">
      <c r="A204" t="s">
        <v>476</v>
      </c>
      <c r="B204" t="s">
        <v>476</v>
      </c>
      <c r="C204">
        <v>0</v>
      </c>
      <c r="D204" s="4">
        <v>0.1</v>
      </c>
      <c r="E204">
        <v>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1</v>
      </c>
      <c r="T204" t="s">
        <v>813</v>
      </c>
      <c r="U204" t="s">
        <v>460</v>
      </c>
      <c r="V204" t="s">
        <v>466</v>
      </c>
      <c r="W204" t="s">
        <v>477</v>
      </c>
    </row>
    <row r="205" spans="1:23" x14ac:dyDescent="0.25">
      <c r="A205" t="s">
        <v>478</v>
      </c>
      <c r="B205" t="s">
        <v>478</v>
      </c>
      <c r="C205">
        <v>1</v>
      </c>
      <c r="D205" s="4">
        <v>1.8</v>
      </c>
      <c r="E205">
        <v>31</v>
      </c>
      <c r="G205">
        <v>8</v>
      </c>
      <c r="H205">
        <v>2</v>
      </c>
      <c r="I205">
        <v>1</v>
      </c>
      <c r="J205">
        <v>2</v>
      </c>
      <c r="K205">
        <v>1</v>
      </c>
      <c r="L205">
        <v>7</v>
      </c>
      <c r="M205">
        <v>2</v>
      </c>
      <c r="N205">
        <v>-2</v>
      </c>
      <c r="O205">
        <v>0</v>
      </c>
      <c r="P205">
        <v>0</v>
      </c>
      <c r="Q205">
        <v>0</v>
      </c>
      <c r="R205">
        <v>0</v>
      </c>
      <c r="S205">
        <v>21</v>
      </c>
      <c r="T205" t="s">
        <v>813</v>
      </c>
      <c r="U205" t="s">
        <v>460</v>
      </c>
      <c r="V205" t="s">
        <v>479</v>
      </c>
      <c r="W205" t="s">
        <v>480</v>
      </c>
    </row>
    <row r="206" spans="1:23" x14ac:dyDescent="0.25">
      <c r="A206" t="s">
        <v>481</v>
      </c>
      <c r="B206" t="s">
        <v>481</v>
      </c>
      <c r="C206">
        <v>0</v>
      </c>
      <c r="D206" s="4">
        <v>0.9</v>
      </c>
      <c r="E206">
        <v>4</v>
      </c>
      <c r="G206">
        <v>1</v>
      </c>
      <c r="H206">
        <v>0</v>
      </c>
      <c r="I206">
        <v>0</v>
      </c>
      <c r="J206">
        <v>0</v>
      </c>
      <c r="K206">
        <v>3</v>
      </c>
      <c r="L206">
        <v>0</v>
      </c>
      <c r="M206">
        <v>0</v>
      </c>
      <c r="N206">
        <v>0</v>
      </c>
      <c r="O206">
        <v>0</v>
      </c>
      <c r="P206">
        <v>5</v>
      </c>
      <c r="Q206">
        <v>0</v>
      </c>
      <c r="R206">
        <v>2</v>
      </c>
      <c r="S206">
        <v>11</v>
      </c>
      <c r="T206" t="s">
        <v>813</v>
      </c>
      <c r="U206" t="s">
        <v>460</v>
      </c>
      <c r="V206" t="s">
        <v>479</v>
      </c>
      <c r="W206" t="s">
        <v>482</v>
      </c>
    </row>
    <row r="207" spans="1:23" x14ac:dyDescent="0.25">
      <c r="A207" t="s">
        <v>483</v>
      </c>
      <c r="B207" t="s">
        <v>483</v>
      </c>
      <c r="C207">
        <v>0</v>
      </c>
      <c r="D207" s="4">
        <v>0.1</v>
      </c>
      <c r="E207">
        <v>13</v>
      </c>
      <c r="G207">
        <v>0</v>
      </c>
      <c r="H207">
        <v>0</v>
      </c>
      <c r="I207">
        <v>2</v>
      </c>
      <c r="J207">
        <v>0</v>
      </c>
      <c r="K207">
        <v>0</v>
      </c>
      <c r="L207">
        <v>0</v>
      </c>
      <c r="M207">
        <v>2</v>
      </c>
      <c r="N207">
        <v>-5</v>
      </c>
      <c r="O207">
        <v>1</v>
      </c>
      <c r="P207">
        <v>0</v>
      </c>
      <c r="Q207">
        <v>0</v>
      </c>
      <c r="R207">
        <v>0</v>
      </c>
      <c r="S207">
        <v>0</v>
      </c>
      <c r="T207" t="s">
        <v>813</v>
      </c>
      <c r="U207" t="s">
        <v>460</v>
      </c>
      <c r="V207" t="s">
        <v>479</v>
      </c>
      <c r="W207" t="s">
        <v>484</v>
      </c>
    </row>
    <row r="208" spans="1:23" x14ac:dyDescent="0.25">
      <c r="A208" t="s">
        <v>485</v>
      </c>
      <c r="B208" t="s">
        <v>485</v>
      </c>
      <c r="C208">
        <v>0</v>
      </c>
      <c r="D208" s="4">
        <v>0.17</v>
      </c>
      <c r="E208">
        <v>7</v>
      </c>
      <c r="G208">
        <v>0</v>
      </c>
      <c r="H208">
        <v>0</v>
      </c>
      <c r="I208">
        <v>0</v>
      </c>
      <c r="J208">
        <v>0</v>
      </c>
      <c r="K208">
        <v>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</v>
      </c>
      <c r="T208" t="s">
        <v>813</v>
      </c>
      <c r="U208" t="s">
        <v>460</v>
      </c>
      <c r="V208" t="s">
        <v>479</v>
      </c>
      <c r="W208" t="s">
        <v>486</v>
      </c>
    </row>
    <row r="209" spans="1:23" x14ac:dyDescent="0.25">
      <c r="A209" t="s">
        <v>487</v>
      </c>
      <c r="B209" t="s">
        <v>487</v>
      </c>
      <c r="C209">
        <v>0</v>
      </c>
      <c r="D209" s="4">
        <v>0.33</v>
      </c>
      <c r="E209">
        <v>11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</v>
      </c>
      <c r="Q209">
        <v>0</v>
      </c>
      <c r="R209">
        <v>0</v>
      </c>
      <c r="S209">
        <v>4</v>
      </c>
      <c r="T209" t="s">
        <v>813</v>
      </c>
      <c r="U209" t="s">
        <v>460</v>
      </c>
      <c r="V209" t="s">
        <v>479</v>
      </c>
      <c r="W209" t="s">
        <v>488</v>
      </c>
    </row>
    <row r="210" spans="1:23" x14ac:dyDescent="0.25">
      <c r="A210" t="s">
        <v>491</v>
      </c>
      <c r="B210" t="s">
        <v>491</v>
      </c>
      <c r="C210">
        <v>75.5</v>
      </c>
      <c r="D210" s="4">
        <v>83</v>
      </c>
      <c r="E210">
        <v>373</v>
      </c>
      <c r="G210">
        <v>130</v>
      </c>
      <c r="H210">
        <v>56</v>
      </c>
      <c r="I210">
        <v>116</v>
      </c>
      <c r="J210">
        <v>90</v>
      </c>
      <c r="K210">
        <v>60</v>
      </c>
      <c r="L210">
        <v>135</v>
      </c>
      <c r="M210">
        <v>51</v>
      </c>
      <c r="N210">
        <v>99</v>
      </c>
      <c r="O210">
        <v>48</v>
      </c>
      <c r="P210">
        <v>92</v>
      </c>
      <c r="Q210">
        <v>50</v>
      </c>
      <c r="R210">
        <v>61</v>
      </c>
      <c r="S210">
        <v>988</v>
      </c>
      <c r="T210" t="s">
        <v>813</v>
      </c>
      <c r="U210" t="s">
        <v>492</v>
      </c>
      <c r="V210" t="s">
        <v>493</v>
      </c>
      <c r="W210" t="s">
        <v>494</v>
      </c>
    </row>
    <row r="211" spans="1:23" x14ac:dyDescent="0.25">
      <c r="A211" t="s">
        <v>495</v>
      </c>
      <c r="B211" t="s">
        <v>495</v>
      </c>
      <c r="C211">
        <v>21</v>
      </c>
      <c r="D211" s="4">
        <v>25.6</v>
      </c>
      <c r="E211">
        <v>100</v>
      </c>
      <c r="G211">
        <v>22</v>
      </c>
      <c r="H211">
        <v>7</v>
      </c>
      <c r="I211">
        <v>66</v>
      </c>
      <c r="J211">
        <v>6</v>
      </c>
      <c r="K211">
        <v>31</v>
      </c>
      <c r="L211">
        <v>53</v>
      </c>
      <c r="M211">
        <v>17</v>
      </c>
      <c r="N211">
        <v>33</v>
      </c>
      <c r="O211">
        <v>21</v>
      </c>
      <c r="P211">
        <v>21</v>
      </c>
      <c r="Q211">
        <v>10</v>
      </c>
      <c r="R211">
        <v>15</v>
      </c>
      <c r="S211">
        <v>302</v>
      </c>
      <c r="T211" t="s">
        <v>813</v>
      </c>
      <c r="U211" t="s">
        <v>492</v>
      </c>
      <c r="V211" t="s">
        <v>493</v>
      </c>
      <c r="W211" t="s">
        <v>496</v>
      </c>
    </row>
    <row r="212" spans="1:23" x14ac:dyDescent="0.25">
      <c r="A212" t="s">
        <v>497</v>
      </c>
      <c r="B212" t="s">
        <v>497</v>
      </c>
      <c r="C212">
        <v>9</v>
      </c>
      <c r="D212" s="4">
        <v>8</v>
      </c>
      <c r="E212">
        <v>55</v>
      </c>
      <c r="G212">
        <v>11</v>
      </c>
      <c r="H212">
        <v>3</v>
      </c>
      <c r="I212">
        <v>17</v>
      </c>
      <c r="J212">
        <v>9</v>
      </c>
      <c r="K212">
        <v>3</v>
      </c>
      <c r="L212">
        <v>16</v>
      </c>
      <c r="M212">
        <v>1</v>
      </c>
      <c r="N212">
        <v>5</v>
      </c>
      <c r="O212">
        <v>11</v>
      </c>
      <c r="P212">
        <v>9</v>
      </c>
      <c r="Q212">
        <v>3</v>
      </c>
      <c r="R212">
        <v>10</v>
      </c>
      <c r="S212">
        <v>98</v>
      </c>
      <c r="T212" t="s">
        <v>813</v>
      </c>
      <c r="U212" t="s">
        <v>492</v>
      </c>
      <c r="V212" t="s">
        <v>493</v>
      </c>
      <c r="W212" t="s">
        <v>498</v>
      </c>
    </row>
    <row r="213" spans="1:23" x14ac:dyDescent="0.25">
      <c r="A213" t="s">
        <v>499</v>
      </c>
      <c r="B213" t="s">
        <v>499</v>
      </c>
      <c r="C213">
        <v>2</v>
      </c>
      <c r="D213" s="4">
        <v>2.4</v>
      </c>
      <c r="E213">
        <v>11</v>
      </c>
      <c r="G213">
        <v>6</v>
      </c>
      <c r="H213">
        <v>2</v>
      </c>
      <c r="I213">
        <v>2</v>
      </c>
      <c r="J213">
        <v>3</v>
      </c>
      <c r="K213">
        <v>1</v>
      </c>
      <c r="L213">
        <v>0</v>
      </c>
      <c r="M213">
        <v>0</v>
      </c>
      <c r="N213">
        <v>8</v>
      </c>
      <c r="O213">
        <v>1</v>
      </c>
      <c r="P213">
        <v>3</v>
      </c>
      <c r="Q213">
        <v>0</v>
      </c>
      <c r="R213">
        <v>3</v>
      </c>
      <c r="S213">
        <v>29</v>
      </c>
      <c r="T213" t="s">
        <v>813</v>
      </c>
      <c r="U213" t="s">
        <v>492</v>
      </c>
      <c r="V213" t="s">
        <v>493</v>
      </c>
      <c r="W213" t="s">
        <v>500</v>
      </c>
    </row>
    <row r="214" spans="1:23" x14ac:dyDescent="0.25">
      <c r="A214" t="s">
        <v>501</v>
      </c>
      <c r="B214" t="s">
        <v>501</v>
      </c>
      <c r="C214">
        <v>1.5</v>
      </c>
      <c r="D214" s="4">
        <v>1.75</v>
      </c>
      <c r="E214">
        <v>14</v>
      </c>
      <c r="G214">
        <v>3</v>
      </c>
      <c r="H214">
        <v>0</v>
      </c>
      <c r="I214">
        <v>6</v>
      </c>
      <c r="J214">
        <v>3</v>
      </c>
      <c r="K214">
        <v>3</v>
      </c>
      <c r="L214">
        <v>1</v>
      </c>
      <c r="M214">
        <v>0</v>
      </c>
      <c r="N214">
        <v>0</v>
      </c>
      <c r="O214">
        <v>0</v>
      </c>
      <c r="P214">
        <v>2</v>
      </c>
      <c r="Q214">
        <v>0</v>
      </c>
      <c r="R214">
        <v>3</v>
      </c>
      <c r="S214">
        <v>21</v>
      </c>
      <c r="T214" t="s">
        <v>813</v>
      </c>
      <c r="U214" t="s">
        <v>492</v>
      </c>
      <c r="V214" t="s">
        <v>493</v>
      </c>
      <c r="W214" t="s">
        <v>502</v>
      </c>
    </row>
    <row r="215" spans="1:23" x14ac:dyDescent="0.25">
      <c r="A215" t="s">
        <v>503</v>
      </c>
      <c r="B215" t="s">
        <v>503</v>
      </c>
      <c r="C215">
        <v>0</v>
      </c>
      <c r="D215" s="4">
        <v>0.9</v>
      </c>
      <c r="E215">
        <v>10</v>
      </c>
      <c r="G215">
        <v>0</v>
      </c>
      <c r="H215">
        <v>3</v>
      </c>
      <c r="I215">
        <v>2</v>
      </c>
      <c r="J215">
        <v>2</v>
      </c>
      <c r="K215">
        <v>0</v>
      </c>
      <c r="L215">
        <v>0</v>
      </c>
      <c r="M215">
        <v>2</v>
      </c>
      <c r="N215">
        <v>0</v>
      </c>
      <c r="O215">
        <v>0</v>
      </c>
      <c r="P215">
        <v>0</v>
      </c>
      <c r="Q215">
        <v>0</v>
      </c>
      <c r="R215">
        <v>2</v>
      </c>
      <c r="S215">
        <v>11</v>
      </c>
      <c r="T215" t="s">
        <v>813</v>
      </c>
      <c r="U215" t="s">
        <v>492</v>
      </c>
      <c r="V215" t="s">
        <v>493</v>
      </c>
      <c r="W215" t="s">
        <v>504</v>
      </c>
    </row>
    <row r="216" spans="1:23" x14ac:dyDescent="0.25">
      <c r="A216" t="s">
        <v>505</v>
      </c>
      <c r="B216" t="s">
        <v>505</v>
      </c>
      <c r="C216">
        <v>0</v>
      </c>
      <c r="D216" s="3">
        <v>0</v>
      </c>
      <c r="E216">
        <v>20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 t="s">
        <v>813</v>
      </c>
      <c r="U216" t="s">
        <v>492</v>
      </c>
      <c r="V216" t="s">
        <v>493</v>
      </c>
      <c r="W216" t="s">
        <v>506</v>
      </c>
    </row>
    <row r="217" spans="1:23" x14ac:dyDescent="0.25">
      <c r="A217" t="s">
        <v>509</v>
      </c>
      <c r="B217" t="s">
        <v>509</v>
      </c>
      <c r="C217">
        <v>5</v>
      </c>
      <c r="D217" s="4">
        <v>5.7</v>
      </c>
      <c r="E217">
        <v>36</v>
      </c>
      <c r="G217">
        <v>4</v>
      </c>
      <c r="H217">
        <v>5</v>
      </c>
      <c r="I217">
        <v>3</v>
      </c>
      <c r="J217">
        <v>13</v>
      </c>
      <c r="K217">
        <v>0</v>
      </c>
      <c r="L217">
        <v>10</v>
      </c>
      <c r="M217">
        <v>5</v>
      </c>
      <c r="N217">
        <v>6</v>
      </c>
      <c r="O217">
        <v>0</v>
      </c>
      <c r="P217">
        <v>10</v>
      </c>
      <c r="Q217">
        <v>2</v>
      </c>
      <c r="R217">
        <v>10</v>
      </c>
      <c r="S217">
        <v>68</v>
      </c>
      <c r="T217" t="s">
        <v>813</v>
      </c>
      <c r="U217" t="s">
        <v>492</v>
      </c>
      <c r="V217" t="s">
        <v>493</v>
      </c>
      <c r="W217" t="s">
        <v>510</v>
      </c>
    </row>
    <row r="218" spans="1:23" x14ac:dyDescent="0.25">
      <c r="A218" t="s">
        <v>511</v>
      </c>
      <c r="B218" t="s">
        <v>511</v>
      </c>
      <c r="C218">
        <v>0</v>
      </c>
      <c r="D218" s="4">
        <v>0.5</v>
      </c>
      <c r="E218">
        <v>94</v>
      </c>
      <c r="G218">
        <v>0</v>
      </c>
      <c r="H218">
        <v>1</v>
      </c>
      <c r="I218">
        <v>1</v>
      </c>
      <c r="J218">
        <v>0</v>
      </c>
      <c r="K218">
        <v>2</v>
      </c>
      <c r="L218">
        <v>0</v>
      </c>
      <c r="M218">
        <v>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6</v>
      </c>
      <c r="T218" t="s">
        <v>813</v>
      </c>
      <c r="U218" t="s">
        <v>492</v>
      </c>
      <c r="V218" t="s">
        <v>493</v>
      </c>
      <c r="W218" t="s">
        <v>512</v>
      </c>
    </row>
    <row r="219" spans="1:23" x14ac:dyDescent="0.25">
      <c r="A219" t="s">
        <v>513</v>
      </c>
      <c r="B219" t="s">
        <v>513</v>
      </c>
      <c r="C219">
        <v>0</v>
      </c>
      <c r="D219" s="4">
        <v>1</v>
      </c>
      <c r="E219">
        <v>58</v>
      </c>
      <c r="G219">
        <v>0</v>
      </c>
      <c r="H219">
        <v>0</v>
      </c>
      <c r="I219">
        <v>2</v>
      </c>
      <c r="J219">
        <v>0</v>
      </c>
      <c r="K219">
        <v>0</v>
      </c>
      <c r="L219">
        <v>7</v>
      </c>
      <c r="M219">
        <v>0</v>
      </c>
      <c r="N219">
        <v>0</v>
      </c>
      <c r="O219">
        <v>0</v>
      </c>
      <c r="P219">
        <v>2</v>
      </c>
      <c r="Q219">
        <v>0</v>
      </c>
      <c r="R219">
        <v>0</v>
      </c>
      <c r="S219">
        <v>11</v>
      </c>
      <c r="T219" t="s">
        <v>813</v>
      </c>
      <c r="U219" t="s">
        <v>492</v>
      </c>
      <c r="V219" t="s">
        <v>493</v>
      </c>
      <c r="W219" t="s">
        <v>514</v>
      </c>
    </row>
    <row r="220" spans="1:23" x14ac:dyDescent="0.25">
      <c r="A220" t="s">
        <v>515</v>
      </c>
      <c r="B220" t="s">
        <v>515</v>
      </c>
      <c r="C220">
        <v>0</v>
      </c>
      <c r="D220" s="4">
        <v>0.1</v>
      </c>
      <c r="E220">
        <v>67</v>
      </c>
      <c r="G220">
        <v>0</v>
      </c>
      <c r="H220">
        <v>0</v>
      </c>
      <c r="I220">
        <v>2</v>
      </c>
      <c r="J220">
        <v>1</v>
      </c>
      <c r="K220">
        <v>0</v>
      </c>
      <c r="L220">
        <v>0</v>
      </c>
      <c r="M220">
        <v>0</v>
      </c>
      <c r="N220">
        <v>-6</v>
      </c>
      <c r="O220">
        <v>0</v>
      </c>
      <c r="P220">
        <v>0</v>
      </c>
      <c r="Q220">
        <v>0</v>
      </c>
      <c r="R220">
        <v>4</v>
      </c>
      <c r="S220">
        <v>1</v>
      </c>
      <c r="T220" t="s">
        <v>813</v>
      </c>
      <c r="U220" t="s">
        <v>492</v>
      </c>
      <c r="V220" t="s">
        <v>493</v>
      </c>
      <c r="W220" t="s">
        <v>516</v>
      </c>
    </row>
    <row r="221" spans="1:23" x14ac:dyDescent="0.25">
      <c r="A221" t="s">
        <v>517</v>
      </c>
      <c r="B221" t="s">
        <v>517</v>
      </c>
      <c r="C221">
        <v>0</v>
      </c>
      <c r="D221" s="4">
        <v>0.1</v>
      </c>
      <c r="E221">
        <v>13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1</v>
      </c>
      <c r="T221" t="s">
        <v>813</v>
      </c>
      <c r="U221" t="s">
        <v>492</v>
      </c>
      <c r="V221" t="s">
        <v>493</v>
      </c>
      <c r="W221" t="s">
        <v>518</v>
      </c>
    </row>
    <row r="222" spans="1:23" x14ac:dyDescent="0.25">
      <c r="A222" t="s">
        <v>519</v>
      </c>
      <c r="B222" t="s">
        <v>519</v>
      </c>
      <c r="C222">
        <v>7.5</v>
      </c>
      <c r="D222" s="4">
        <v>8.3000000000000007</v>
      </c>
      <c r="E222">
        <v>81</v>
      </c>
      <c r="G222">
        <v>18</v>
      </c>
      <c r="H222">
        <v>5</v>
      </c>
      <c r="I222">
        <v>7</v>
      </c>
      <c r="J222">
        <v>10</v>
      </c>
      <c r="K222">
        <v>18</v>
      </c>
      <c r="L222">
        <v>8</v>
      </c>
      <c r="M222">
        <v>2</v>
      </c>
      <c r="N222">
        <v>10</v>
      </c>
      <c r="O222">
        <v>12</v>
      </c>
      <c r="P222">
        <v>0</v>
      </c>
      <c r="Q222">
        <v>5</v>
      </c>
      <c r="R222">
        <v>4</v>
      </c>
      <c r="S222">
        <v>99</v>
      </c>
      <c r="T222" t="s">
        <v>813</v>
      </c>
      <c r="U222" t="s">
        <v>492</v>
      </c>
      <c r="V222" t="s">
        <v>520</v>
      </c>
      <c r="W222" t="s">
        <v>521</v>
      </c>
    </row>
    <row r="223" spans="1:23" x14ac:dyDescent="0.25">
      <c r="A223" t="s">
        <v>522</v>
      </c>
      <c r="B223" t="s">
        <v>522</v>
      </c>
      <c r="C223">
        <v>1.5</v>
      </c>
      <c r="D223" s="4">
        <v>2.4</v>
      </c>
      <c r="E223">
        <v>51</v>
      </c>
      <c r="G223">
        <v>2</v>
      </c>
      <c r="H223">
        <v>5</v>
      </c>
      <c r="I223">
        <v>10</v>
      </c>
      <c r="J223">
        <v>0</v>
      </c>
      <c r="K223">
        <v>1</v>
      </c>
      <c r="L223">
        <v>0</v>
      </c>
      <c r="M223">
        <v>2</v>
      </c>
      <c r="N223">
        <v>1</v>
      </c>
      <c r="O223">
        <v>4</v>
      </c>
      <c r="P223">
        <v>0</v>
      </c>
      <c r="Q223">
        <v>1</v>
      </c>
      <c r="R223">
        <v>3</v>
      </c>
      <c r="S223">
        <v>29</v>
      </c>
      <c r="T223" t="s">
        <v>813</v>
      </c>
      <c r="U223" t="s">
        <v>492</v>
      </c>
      <c r="V223" t="s">
        <v>520</v>
      </c>
      <c r="W223" t="s">
        <v>523</v>
      </c>
    </row>
    <row r="224" spans="1:23" x14ac:dyDescent="0.25">
      <c r="A224" t="s">
        <v>524</v>
      </c>
      <c r="B224" t="s">
        <v>524</v>
      </c>
      <c r="C224">
        <v>0.5</v>
      </c>
      <c r="D224" s="4">
        <v>1.7</v>
      </c>
      <c r="E224">
        <v>110</v>
      </c>
      <c r="G224">
        <v>9</v>
      </c>
      <c r="H224">
        <v>4</v>
      </c>
      <c r="I224">
        <v>0</v>
      </c>
      <c r="J224">
        <v>0</v>
      </c>
      <c r="K224">
        <v>1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4</v>
      </c>
      <c r="R224">
        <v>1</v>
      </c>
      <c r="S224">
        <v>20</v>
      </c>
      <c r="T224" t="s">
        <v>813</v>
      </c>
      <c r="U224" t="s">
        <v>492</v>
      </c>
      <c r="V224" t="s">
        <v>520</v>
      </c>
      <c r="W224" t="s">
        <v>525</v>
      </c>
    </row>
    <row r="225" spans="1:23" x14ac:dyDescent="0.25">
      <c r="A225" t="s">
        <v>526</v>
      </c>
      <c r="B225" t="s">
        <v>526</v>
      </c>
      <c r="C225">
        <v>0</v>
      </c>
      <c r="D225" s="3">
        <v>0</v>
      </c>
      <c r="E225">
        <v>180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-3</v>
      </c>
      <c r="S225">
        <v>-3</v>
      </c>
      <c r="T225" t="s">
        <v>813</v>
      </c>
      <c r="U225" t="s">
        <v>492</v>
      </c>
      <c r="V225" t="s">
        <v>520</v>
      </c>
      <c r="W225" t="s">
        <v>527</v>
      </c>
    </row>
    <row r="226" spans="1:23" x14ac:dyDescent="0.25">
      <c r="A226" t="s">
        <v>528</v>
      </c>
      <c r="B226" t="s">
        <v>528</v>
      </c>
      <c r="C226">
        <v>0.5</v>
      </c>
      <c r="D226" s="4">
        <v>0.67</v>
      </c>
      <c r="E226">
        <v>8</v>
      </c>
      <c r="G226">
        <v>0</v>
      </c>
      <c r="H226">
        <v>0</v>
      </c>
      <c r="I226">
        <v>0</v>
      </c>
      <c r="J226">
        <v>0</v>
      </c>
      <c r="K226">
        <v>2</v>
      </c>
      <c r="L226">
        <v>1</v>
      </c>
      <c r="M226">
        <v>1</v>
      </c>
      <c r="N226">
        <v>1</v>
      </c>
      <c r="O226">
        <v>1</v>
      </c>
      <c r="P226">
        <v>0</v>
      </c>
      <c r="Q226">
        <v>0</v>
      </c>
      <c r="R226">
        <v>2</v>
      </c>
      <c r="S226">
        <v>8</v>
      </c>
      <c r="T226" t="s">
        <v>813</v>
      </c>
      <c r="U226" t="s">
        <v>492</v>
      </c>
      <c r="V226" t="s">
        <v>529</v>
      </c>
      <c r="W226" t="s">
        <v>530</v>
      </c>
    </row>
    <row r="227" spans="1:23" x14ac:dyDescent="0.25">
      <c r="A227" t="s">
        <v>531</v>
      </c>
      <c r="B227" t="s">
        <v>531</v>
      </c>
      <c r="C227">
        <v>0</v>
      </c>
      <c r="D227" s="4">
        <v>0.6</v>
      </c>
      <c r="E227">
        <v>28</v>
      </c>
      <c r="G227">
        <v>5</v>
      </c>
      <c r="H227">
        <v>0</v>
      </c>
      <c r="I227">
        <v>0</v>
      </c>
      <c r="J227">
        <v>-2</v>
      </c>
      <c r="K227">
        <v>0</v>
      </c>
      <c r="L227">
        <v>0</v>
      </c>
      <c r="M227">
        <v>5</v>
      </c>
      <c r="N227">
        <v>-1</v>
      </c>
      <c r="O227">
        <v>0</v>
      </c>
      <c r="P227">
        <v>0</v>
      </c>
      <c r="Q227">
        <v>0</v>
      </c>
      <c r="R227">
        <v>0</v>
      </c>
      <c r="S227">
        <v>7</v>
      </c>
      <c r="T227" t="s">
        <v>813</v>
      </c>
      <c r="U227" t="s">
        <v>492</v>
      </c>
      <c r="V227" t="s">
        <v>529</v>
      </c>
      <c r="W227" t="s">
        <v>532</v>
      </c>
    </row>
    <row r="228" spans="1:23" x14ac:dyDescent="0.25">
      <c r="A228" t="s">
        <v>533</v>
      </c>
      <c r="B228" t="s">
        <v>533</v>
      </c>
      <c r="C228">
        <v>0</v>
      </c>
      <c r="D228" s="4">
        <v>0.17</v>
      </c>
      <c r="E228">
        <v>13</v>
      </c>
      <c r="G228">
        <v>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</v>
      </c>
      <c r="T228" t="s">
        <v>813</v>
      </c>
      <c r="U228" t="s">
        <v>492</v>
      </c>
      <c r="V228" t="s">
        <v>529</v>
      </c>
      <c r="W228" t="s">
        <v>534</v>
      </c>
    </row>
    <row r="229" spans="1:23" x14ac:dyDescent="0.25">
      <c r="A229" t="s">
        <v>535</v>
      </c>
      <c r="B229" t="s">
        <v>535</v>
      </c>
      <c r="C229">
        <v>0</v>
      </c>
      <c r="D229" s="4">
        <v>0.5</v>
      </c>
      <c r="E229">
        <v>10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</v>
      </c>
      <c r="N229">
        <v>0</v>
      </c>
      <c r="O229">
        <v>2</v>
      </c>
      <c r="P229">
        <v>0</v>
      </c>
      <c r="Q229">
        <v>0</v>
      </c>
      <c r="R229">
        <v>0</v>
      </c>
      <c r="S229">
        <v>6</v>
      </c>
      <c r="T229" t="s">
        <v>813</v>
      </c>
      <c r="U229" t="s">
        <v>492</v>
      </c>
      <c r="V229" t="s">
        <v>529</v>
      </c>
      <c r="W229" t="s">
        <v>536</v>
      </c>
    </row>
    <row r="230" spans="1:23" x14ac:dyDescent="0.25">
      <c r="A230" t="s">
        <v>537</v>
      </c>
      <c r="B230" t="s">
        <v>537</v>
      </c>
      <c r="C230">
        <v>0</v>
      </c>
      <c r="D230" s="4">
        <v>0.17</v>
      </c>
      <c r="E230">
        <v>13</v>
      </c>
      <c r="G230">
        <v>0</v>
      </c>
      <c r="H230">
        <v>0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</v>
      </c>
      <c r="T230" t="s">
        <v>813</v>
      </c>
      <c r="U230" t="s">
        <v>492</v>
      </c>
      <c r="V230" t="s">
        <v>529</v>
      </c>
      <c r="W230" t="s">
        <v>538</v>
      </c>
    </row>
    <row r="231" spans="1:23" x14ac:dyDescent="0.25">
      <c r="A231" t="s">
        <v>539</v>
      </c>
      <c r="B231" t="s">
        <v>539</v>
      </c>
      <c r="C231">
        <v>0</v>
      </c>
      <c r="D231" s="4">
        <v>0.17</v>
      </c>
      <c r="E231">
        <v>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</v>
      </c>
      <c r="T231" t="s">
        <v>813</v>
      </c>
      <c r="U231" t="s">
        <v>492</v>
      </c>
      <c r="V231" t="s">
        <v>529</v>
      </c>
      <c r="W231" t="s">
        <v>540</v>
      </c>
    </row>
    <row r="232" spans="1:23" x14ac:dyDescent="0.25">
      <c r="A232" t="s">
        <v>541</v>
      </c>
      <c r="B232" t="s">
        <v>541</v>
      </c>
      <c r="C232">
        <v>10</v>
      </c>
      <c r="D232" s="4">
        <v>12.6</v>
      </c>
      <c r="E232">
        <v>57</v>
      </c>
      <c r="G232">
        <v>12</v>
      </c>
      <c r="H232">
        <v>13</v>
      </c>
      <c r="I232">
        <v>33</v>
      </c>
      <c r="J232">
        <v>3</v>
      </c>
      <c r="K232">
        <v>8</v>
      </c>
      <c r="L232">
        <v>7</v>
      </c>
      <c r="M232">
        <v>5</v>
      </c>
      <c r="N232">
        <v>9</v>
      </c>
      <c r="O232">
        <v>16</v>
      </c>
      <c r="P232">
        <v>25</v>
      </c>
      <c r="Q232">
        <v>8</v>
      </c>
      <c r="R232">
        <v>11</v>
      </c>
      <c r="S232">
        <v>150</v>
      </c>
      <c r="T232" t="s">
        <v>813</v>
      </c>
      <c r="U232" t="s">
        <v>492</v>
      </c>
      <c r="V232" t="s">
        <v>542</v>
      </c>
      <c r="W232" t="s">
        <v>543</v>
      </c>
    </row>
    <row r="233" spans="1:23" x14ac:dyDescent="0.25">
      <c r="A233" t="s">
        <v>544</v>
      </c>
      <c r="B233" t="s">
        <v>544</v>
      </c>
      <c r="C233">
        <v>24</v>
      </c>
      <c r="D233" s="4">
        <v>27</v>
      </c>
      <c r="E233">
        <v>169</v>
      </c>
      <c r="G233">
        <v>62</v>
      </c>
      <c r="H233">
        <v>14</v>
      </c>
      <c r="I233">
        <v>36</v>
      </c>
      <c r="J233">
        <v>26</v>
      </c>
      <c r="K233">
        <v>16</v>
      </c>
      <c r="L233">
        <v>39</v>
      </c>
      <c r="M233">
        <v>29</v>
      </c>
      <c r="N233">
        <v>13</v>
      </c>
      <c r="O233">
        <v>26</v>
      </c>
      <c r="P233">
        <v>22</v>
      </c>
      <c r="Q233">
        <v>21</v>
      </c>
      <c r="R233">
        <v>9</v>
      </c>
      <c r="S233">
        <v>313</v>
      </c>
      <c r="T233" t="s">
        <v>813</v>
      </c>
      <c r="U233" t="s">
        <v>492</v>
      </c>
      <c r="V233" t="s">
        <v>542</v>
      </c>
      <c r="W233" t="s">
        <v>545</v>
      </c>
    </row>
    <row r="234" spans="1:23" x14ac:dyDescent="0.25">
      <c r="A234" t="s">
        <v>546</v>
      </c>
      <c r="B234" t="s">
        <v>546</v>
      </c>
      <c r="C234">
        <v>19</v>
      </c>
      <c r="D234" s="4">
        <v>17.5</v>
      </c>
      <c r="E234">
        <v>98</v>
      </c>
      <c r="G234">
        <v>30</v>
      </c>
      <c r="H234">
        <v>20</v>
      </c>
      <c r="I234">
        <v>29</v>
      </c>
      <c r="J234">
        <v>9</v>
      </c>
      <c r="K234">
        <v>8</v>
      </c>
      <c r="L234">
        <v>25</v>
      </c>
      <c r="M234">
        <v>6</v>
      </c>
      <c r="N234">
        <v>18</v>
      </c>
      <c r="O234">
        <v>27</v>
      </c>
      <c r="P234">
        <v>22</v>
      </c>
      <c r="Q234">
        <v>5</v>
      </c>
      <c r="R234">
        <v>8</v>
      </c>
      <c r="S234">
        <v>207</v>
      </c>
      <c r="T234" t="s">
        <v>813</v>
      </c>
      <c r="U234" t="s">
        <v>492</v>
      </c>
      <c r="V234" t="s">
        <v>542</v>
      </c>
      <c r="W234" t="s">
        <v>547</v>
      </c>
    </row>
    <row r="235" spans="1:23" x14ac:dyDescent="0.25">
      <c r="A235" t="s">
        <v>548</v>
      </c>
      <c r="B235" t="s">
        <v>548</v>
      </c>
      <c r="C235">
        <v>0</v>
      </c>
      <c r="D235" s="4">
        <v>0.17</v>
      </c>
      <c r="E235">
        <v>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1</v>
      </c>
      <c r="R235">
        <v>0</v>
      </c>
      <c r="S235">
        <v>2</v>
      </c>
      <c r="T235" t="s">
        <v>813</v>
      </c>
      <c r="U235" t="s">
        <v>492</v>
      </c>
      <c r="V235" t="s">
        <v>542</v>
      </c>
      <c r="W235" t="s">
        <v>549</v>
      </c>
    </row>
    <row r="236" spans="1:23" x14ac:dyDescent="0.25">
      <c r="A236" t="s">
        <v>550</v>
      </c>
      <c r="B236" t="s">
        <v>550</v>
      </c>
      <c r="C236">
        <v>0</v>
      </c>
      <c r="D236" s="4">
        <v>0.83</v>
      </c>
      <c r="E236">
        <v>6</v>
      </c>
      <c r="G236">
        <v>2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2</v>
      </c>
      <c r="O236">
        <v>0</v>
      </c>
      <c r="P236">
        <v>5</v>
      </c>
      <c r="Q236">
        <v>0</v>
      </c>
      <c r="R236">
        <v>0</v>
      </c>
      <c r="S236">
        <v>10</v>
      </c>
      <c r="T236" t="s">
        <v>813</v>
      </c>
      <c r="U236" t="s">
        <v>492</v>
      </c>
      <c r="V236" t="s">
        <v>542</v>
      </c>
      <c r="W236" t="s">
        <v>551</v>
      </c>
    </row>
    <row r="237" spans="1:23" x14ac:dyDescent="0.25">
      <c r="A237" t="s">
        <v>552</v>
      </c>
      <c r="B237" t="s">
        <v>552</v>
      </c>
      <c r="C237">
        <v>0</v>
      </c>
      <c r="D237" s="4">
        <v>0.67</v>
      </c>
      <c r="E237">
        <v>9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1</v>
      </c>
      <c r="M237">
        <v>0</v>
      </c>
      <c r="N237">
        <v>2</v>
      </c>
      <c r="O237">
        <v>0</v>
      </c>
      <c r="P237">
        <v>3</v>
      </c>
      <c r="Q237">
        <v>1</v>
      </c>
      <c r="R237">
        <v>0</v>
      </c>
      <c r="S237">
        <v>8</v>
      </c>
      <c r="T237" t="s">
        <v>813</v>
      </c>
      <c r="U237" t="s">
        <v>492</v>
      </c>
      <c r="V237" t="s">
        <v>542</v>
      </c>
      <c r="W237" t="s">
        <v>553</v>
      </c>
    </row>
    <row r="238" spans="1:23" x14ac:dyDescent="0.25">
      <c r="A238" t="s">
        <v>554</v>
      </c>
      <c r="B238" t="s">
        <v>554</v>
      </c>
      <c r="C238">
        <v>3</v>
      </c>
      <c r="D238" s="4">
        <v>3.3</v>
      </c>
      <c r="E238">
        <v>41</v>
      </c>
      <c r="G238">
        <v>10</v>
      </c>
      <c r="H238">
        <v>3</v>
      </c>
      <c r="I238">
        <v>6</v>
      </c>
      <c r="J238">
        <v>5</v>
      </c>
      <c r="K238">
        <v>3</v>
      </c>
      <c r="L238">
        <v>4</v>
      </c>
      <c r="M238">
        <v>5</v>
      </c>
      <c r="N238">
        <v>-1</v>
      </c>
      <c r="O238">
        <v>2</v>
      </c>
      <c r="P238">
        <v>0</v>
      </c>
      <c r="Q238">
        <v>0</v>
      </c>
      <c r="R238">
        <v>1</v>
      </c>
      <c r="S238">
        <v>38</v>
      </c>
      <c r="T238" t="s">
        <v>813</v>
      </c>
      <c r="U238" t="s">
        <v>492</v>
      </c>
      <c r="V238" t="s">
        <v>555</v>
      </c>
      <c r="W238" t="s">
        <v>556</v>
      </c>
    </row>
    <row r="239" spans="1:23" x14ac:dyDescent="0.25">
      <c r="A239" t="s">
        <v>557</v>
      </c>
      <c r="B239" t="s">
        <v>557</v>
      </c>
      <c r="C239">
        <v>0.5</v>
      </c>
      <c r="D239" s="4">
        <v>1.2</v>
      </c>
      <c r="E239">
        <v>11</v>
      </c>
      <c r="G239">
        <v>1</v>
      </c>
      <c r="H239">
        <v>1</v>
      </c>
      <c r="I239">
        <v>0</v>
      </c>
      <c r="J239">
        <v>2</v>
      </c>
      <c r="K239">
        <v>0</v>
      </c>
      <c r="L239">
        <v>0</v>
      </c>
      <c r="M239">
        <v>7</v>
      </c>
      <c r="N239">
        <v>2</v>
      </c>
      <c r="O239">
        <v>2</v>
      </c>
      <c r="P239">
        <v>0</v>
      </c>
      <c r="Q239">
        <v>-1</v>
      </c>
      <c r="R239">
        <v>0</v>
      </c>
      <c r="S239">
        <v>14</v>
      </c>
      <c r="T239" t="s">
        <v>813</v>
      </c>
      <c r="U239" t="s">
        <v>492</v>
      </c>
      <c r="V239" t="s">
        <v>555</v>
      </c>
      <c r="W239" t="s">
        <v>558</v>
      </c>
    </row>
    <row r="240" spans="1:23" x14ac:dyDescent="0.25">
      <c r="A240" t="s">
        <v>559</v>
      </c>
      <c r="B240" t="s">
        <v>559</v>
      </c>
      <c r="C240">
        <v>0</v>
      </c>
      <c r="D240" s="4">
        <v>0.17</v>
      </c>
      <c r="E240">
        <v>36</v>
      </c>
      <c r="G240">
        <v>1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-1</v>
      </c>
      <c r="O240">
        <v>0</v>
      </c>
      <c r="P240">
        <v>1</v>
      </c>
      <c r="Q240">
        <v>0</v>
      </c>
      <c r="R240">
        <v>0</v>
      </c>
      <c r="S240">
        <v>2</v>
      </c>
      <c r="T240" t="s">
        <v>813</v>
      </c>
      <c r="U240" t="s">
        <v>492</v>
      </c>
      <c r="V240" t="s">
        <v>555</v>
      </c>
      <c r="W240" t="s">
        <v>560</v>
      </c>
    </row>
    <row r="241" spans="1:23" x14ac:dyDescent="0.25">
      <c r="A241" t="s">
        <v>561</v>
      </c>
      <c r="B241" t="s">
        <v>561</v>
      </c>
      <c r="C241">
        <v>1</v>
      </c>
      <c r="D241" s="3">
        <v>1</v>
      </c>
      <c r="E241">
        <v>40</v>
      </c>
      <c r="G241">
        <v>1</v>
      </c>
      <c r="H241">
        <v>0</v>
      </c>
      <c r="I241">
        <v>0</v>
      </c>
      <c r="J241">
        <v>2</v>
      </c>
      <c r="K241">
        <v>1</v>
      </c>
      <c r="L241">
        <v>1</v>
      </c>
      <c r="M241">
        <v>2</v>
      </c>
      <c r="N241">
        <v>0</v>
      </c>
      <c r="O241">
        <v>0</v>
      </c>
      <c r="P241">
        <v>3</v>
      </c>
      <c r="Q241">
        <v>0</v>
      </c>
      <c r="R241">
        <v>2</v>
      </c>
      <c r="S241">
        <v>12</v>
      </c>
      <c r="T241" t="s">
        <v>813</v>
      </c>
      <c r="U241" t="s">
        <v>492</v>
      </c>
      <c r="V241" t="s">
        <v>555</v>
      </c>
      <c r="W241" t="s">
        <v>562</v>
      </c>
    </row>
    <row r="242" spans="1:23" x14ac:dyDescent="0.25">
      <c r="A242" t="s">
        <v>563</v>
      </c>
      <c r="B242" t="s">
        <v>563</v>
      </c>
      <c r="C242">
        <v>0</v>
      </c>
      <c r="D242" s="4">
        <v>0.25</v>
      </c>
      <c r="E242">
        <v>8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3</v>
      </c>
      <c r="T242" t="s">
        <v>813</v>
      </c>
      <c r="U242" t="s">
        <v>492</v>
      </c>
      <c r="V242" t="s">
        <v>555</v>
      </c>
      <c r="W242" t="s">
        <v>564</v>
      </c>
    </row>
    <row r="243" spans="1:23" x14ac:dyDescent="0.25">
      <c r="A243" t="s">
        <v>565</v>
      </c>
      <c r="B243" t="s">
        <v>565</v>
      </c>
      <c r="C243">
        <v>0</v>
      </c>
      <c r="D243" s="4">
        <v>0.42</v>
      </c>
      <c r="E243">
        <v>8</v>
      </c>
      <c r="G243">
        <v>0</v>
      </c>
      <c r="H243">
        <v>0</v>
      </c>
      <c r="I243">
        <v>0</v>
      </c>
      <c r="J243">
        <v>2</v>
      </c>
      <c r="K243">
        <v>1</v>
      </c>
      <c r="L243">
        <v>0</v>
      </c>
      <c r="M243">
        <v>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5</v>
      </c>
      <c r="T243" t="s">
        <v>813</v>
      </c>
      <c r="U243" t="s">
        <v>492</v>
      </c>
      <c r="V243" t="s">
        <v>555</v>
      </c>
      <c r="W243" t="s">
        <v>566</v>
      </c>
    </row>
    <row r="244" spans="1:23" x14ac:dyDescent="0.25">
      <c r="A244" t="s">
        <v>567</v>
      </c>
      <c r="B244" t="s">
        <v>567</v>
      </c>
      <c r="C244">
        <v>6.5</v>
      </c>
      <c r="D244" s="3">
        <v>6.5</v>
      </c>
      <c r="E244">
        <v>132</v>
      </c>
      <c r="G244">
        <v>16</v>
      </c>
      <c r="H244">
        <v>0</v>
      </c>
      <c r="I244">
        <v>28</v>
      </c>
      <c r="J244">
        <v>16</v>
      </c>
      <c r="K244">
        <v>16</v>
      </c>
      <c r="L244">
        <v>19</v>
      </c>
      <c r="M244">
        <v>0</v>
      </c>
      <c r="N244">
        <v>5</v>
      </c>
      <c r="O244">
        <v>0</v>
      </c>
      <c r="P244">
        <v>0</v>
      </c>
      <c r="Q244">
        <v>0</v>
      </c>
      <c r="R244">
        <v>8</v>
      </c>
      <c r="S244">
        <v>108</v>
      </c>
      <c r="T244" t="s">
        <v>813</v>
      </c>
      <c r="U244" t="s">
        <v>568</v>
      </c>
      <c r="V244" t="s">
        <v>569</v>
      </c>
      <c r="W244" t="s">
        <v>570</v>
      </c>
    </row>
    <row r="245" spans="1:23" x14ac:dyDescent="0.25">
      <c r="A245" t="s">
        <v>571</v>
      </c>
      <c r="B245" t="s">
        <v>571</v>
      </c>
      <c r="C245">
        <v>0</v>
      </c>
      <c r="D245" s="3">
        <v>0</v>
      </c>
      <c r="E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 t="s">
        <v>813</v>
      </c>
      <c r="U245" t="s">
        <v>568</v>
      </c>
      <c r="V245" t="s">
        <v>569</v>
      </c>
      <c r="W245" t="s">
        <v>570</v>
      </c>
    </row>
    <row r="246" spans="1:23" x14ac:dyDescent="0.25">
      <c r="A246" t="s">
        <v>572</v>
      </c>
      <c r="B246" t="s">
        <v>572</v>
      </c>
      <c r="C246">
        <v>3</v>
      </c>
      <c r="D246" s="4">
        <v>3.1</v>
      </c>
      <c r="E246">
        <v>188</v>
      </c>
      <c r="G246">
        <v>7</v>
      </c>
      <c r="H246">
        <v>3</v>
      </c>
      <c r="I246">
        <v>4</v>
      </c>
      <c r="J246">
        <v>6</v>
      </c>
      <c r="K246">
        <v>0</v>
      </c>
      <c r="L246">
        <v>3</v>
      </c>
      <c r="M246">
        <v>3</v>
      </c>
      <c r="N246">
        <v>3</v>
      </c>
      <c r="O246">
        <v>3</v>
      </c>
      <c r="P246">
        <v>2</v>
      </c>
      <c r="Q246">
        <v>0</v>
      </c>
      <c r="R246">
        <v>3</v>
      </c>
      <c r="S246">
        <v>37</v>
      </c>
      <c r="T246" t="s">
        <v>813</v>
      </c>
      <c r="U246" t="s">
        <v>568</v>
      </c>
      <c r="V246" t="s">
        <v>573</v>
      </c>
      <c r="W246" t="s">
        <v>574</v>
      </c>
    </row>
    <row r="247" spans="1:23" x14ac:dyDescent="0.25">
      <c r="A247" t="s">
        <v>575</v>
      </c>
      <c r="B247" t="s">
        <v>575</v>
      </c>
      <c r="C247">
        <v>0</v>
      </c>
      <c r="D247" s="4">
        <v>3.6</v>
      </c>
      <c r="E247">
        <v>108</v>
      </c>
      <c r="G247">
        <v>0</v>
      </c>
      <c r="H247">
        <v>0</v>
      </c>
      <c r="I247">
        <v>0</v>
      </c>
      <c r="J247">
        <v>1</v>
      </c>
      <c r="K247">
        <v>7</v>
      </c>
      <c r="L247">
        <v>20</v>
      </c>
      <c r="M247">
        <v>10</v>
      </c>
      <c r="N247">
        <v>0</v>
      </c>
      <c r="O247">
        <v>5</v>
      </c>
      <c r="P247">
        <v>0</v>
      </c>
      <c r="Q247">
        <v>0</v>
      </c>
      <c r="R247">
        <v>0</v>
      </c>
      <c r="S247">
        <v>43</v>
      </c>
      <c r="T247" t="s">
        <v>813</v>
      </c>
      <c r="U247" t="s">
        <v>576</v>
      </c>
      <c r="V247" t="s">
        <v>577</v>
      </c>
      <c r="W247" t="s">
        <v>578</v>
      </c>
    </row>
    <row r="248" spans="1:23" x14ac:dyDescent="0.25">
      <c r="A248" t="s">
        <v>579</v>
      </c>
      <c r="B248" t="s">
        <v>579</v>
      </c>
      <c r="C248">
        <v>0</v>
      </c>
      <c r="D248" s="4">
        <v>0.5</v>
      </c>
      <c r="E248">
        <v>24</v>
      </c>
      <c r="G248">
        <v>0</v>
      </c>
      <c r="H248">
        <v>0</v>
      </c>
      <c r="I248">
        <v>0</v>
      </c>
      <c r="J248">
        <v>1</v>
      </c>
      <c r="K248">
        <v>2</v>
      </c>
      <c r="L248">
        <v>0</v>
      </c>
      <c r="M248">
        <v>2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6</v>
      </c>
      <c r="T248" t="s">
        <v>813</v>
      </c>
      <c r="U248" t="s">
        <v>576</v>
      </c>
      <c r="V248" t="s">
        <v>577</v>
      </c>
      <c r="W248" t="s">
        <v>580</v>
      </c>
    </row>
    <row r="249" spans="1:23" x14ac:dyDescent="0.25">
      <c r="A249" t="s">
        <v>581</v>
      </c>
      <c r="B249" t="s">
        <v>581</v>
      </c>
      <c r="C249">
        <v>0</v>
      </c>
      <c r="D249" s="4">
        <v>0.33</v>
      </c>
      <c r="E249">
        <v>56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1</v>
      </c>
      <c r="M249">
        <v>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4</v>
      </c>
      <c r="T249" t="s">
        <v>813</v>
      </c>
      <c r="U249" t="s">
        <v>576</v>
      </c>
      <c r="V249" t="s">
        <v>577</v>
      </c>
      <c r="W249" t="s">
        <v>582</v>
      </c>
    </row>
    <row r="250" spans="1:23" x14ac:dyDescent="0.25">
      <c r="A250" t="s">
        <v>583</v>
      </c>
      <c r="B250" t="s">
        <v>583</v>
      </c>
      <c r="C250">
        <v>0</v>
      </c>
      <c r="D250" s="3">
        <v>0</v>
      </c>
      <c r="E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t="s">
        <v>813</v>
      </c>
      <c r="U250" t="s">
        <v>576</v>
      </c>
      <c r="V250" t="s">
        <v>577</v>
      </c>
      <c r="W250" t="s">
        <v>584</v>
      </c>
    </row>
    <row r="251" spans="1:23" x14ac:dyDescent="0.25">
      <c r="A251" t="s">
        <v>814</v>
      </c>
      <c r="B251" t="s">
        <v>814</v>
      </c>
      <c r="C251">
        <v>5</v>
      </c>
      <c r="D251" s="3">
        <v>5</v>
      </c>
      <c r="E251">
        <v>23.75</v>
      </c>
      <c r="G251">
        <v>4</v>
      </c>
      <c r="H251">
        <v>5</v>
      </c>
      <c r="I251">
        <v>10</v>
      </c>
      <c r="J251">
        <v>2</v>
      </c>
      <c r="K251">
        <v>0</v>
      </c>
      <c r="L251">
        <v>9</v>
      </c>
      <c r="M251">
        <v>10</v>
      </c>
      <c r="N251">
        <v>5</v>
      </c>
      <c r="O251">
        <v>2</v>
      </c>
      <c r="P251">
        <v>7</v>
      </c>
      <c r="Q251">
        <v>9</v>
      </c>
      <c r="R251">
        <v>2</v>
      </c>
      <c r="S251">
        <v>65</v>
      </c>
      <c r="T251" t="s">
        <v>815</v>
      </c>
      <c r="U251" t="s">
        <v>45</v>
      </c>
      <c r="V251" t="s">
        <v>816</v>
      </c>
      <c r="W251" t="s">
        <v>817</v>
      </c>
    </row>
    <row r="252" spans="1:23" x14ac:dyDescent="0.25">
      <c r="A252" t="s">
        <v>616</v>
      </c>
      <c r="B252" t="s">
        <v>616</v>
      </c>
      <c r="C252">
        <v>22.25</v>
      </c>
      <c r="D252" s="3">
        <v>22.25</v>
      </c>
      <c r="E252">
        <v>173.5</v>
      </c>
      <c r="F252">
        <v>100</v>
      </c>
      <c r="G252">
        <v>22.5</v>
      </c>
      <c r="H252">
        <v>21</v>
      </c>
      <c r="I252">
        <v>34</v>
      </c>
      <c r="J252">
        <v>30</v>
      </c>
      <c r="K252">
        <v>44</v>
      </c>
      <c r="L252">
        <v>22</v>
      </c>
      <c r="M252">
        <v>18</v>
      </c>
      <c r="N252">
        <v>11</v>
      </c>
      <c r="O252">
        <v>38</v>
      </c>
      <c r="P252">
        <v>13</v>
      </c>
      <c r="Q252">
        <v>17</v>
      </c>
      <c r="R252">
        <v>30</v>
      </c>
      <c r="S252">
        <v>300.5</v>
      </c>
      <c r="T252" t="s">
        <v>815</v>
      </c>
      <c r="U252" t="s">
        <v>45</v>
      </c>
      <c r="V252" t="s">
        <v>816</v>
      </c>
      <c r="W252" t="s">
        <v>818</v>
      </c>
    </row>
    <row r="253" spans="1:23" x14ac:dyDescent="0.25">
      <c r="A253" t="s">
        <v>819</v>
      </c>
      <c r="B253" t="s">
        <v>819</v>
      </c>
      <c r="C253">
        <v>8.5</v>
      </c>
      <c r="D253" s="3">
        <v>8.5</v>
      </c>
      <c r="E253">
        <v>56.75</v>
      </c>
      <c r="G253">
        <v>8</v>
      </c>
      <c r="H253">
        <v>14</v>
      </c>
      <c r="I253">
        <v>9</v>
      </c>
      <c r="J253">
        <v>8</v>
      </c>
      <c r="K253">
        <v>5</v>
      </c>
      <c r="L253">
        <v>15</v>
      </c>
      <c r="M253">
        <v>13</v>
      </c>
      <c r="N253">
        <v>15.25</v>
      </c>
      <c r="O253">
        <v>1</v>
      </c>
      <c r="P253">
        <v>17</v>
      </c>
      <c r="Q253">
        <v>-10</v>
      </c>
      <c r="R253">
        <v>5</v>
      </c>
      <c r="S253">
        <v>100.25</v>
      </c>
      <c r="T253" t="s">
        <v>815</v>
      </c>
      <c r="U253" t="s">
        <v>45</v>
      </c>
      <c r="V253" t="s">
        <v>820</v>
      </c>
      <c r="W253" t="s">
        <v>821</v>
      </c>
    </row>
    <row r="254" spans="1:23" x14ac:dyDescent="0.25">
      <c r="A254" t="s">
        <v>822</v>
      </c>
      <c r="B254" t="s">
        <v>822</v>
      </c>
      <c r="C254">
        <v>43.5</v>
      </c>
      <c r="D254" s="3">
        <v>43.5</v>
      </c>
      <c r="E254">
        <v>171.75</v>
      </c>
      <c r="G254">
        <v>48</v>
      </c>
      <c r="H254">
        <v>26.25</v>
      </c>
      <c r="I254">
        <v>36</v>
      </c>
      <c r="J254">
        <v>63</v>
      </c>
      <c r="K254">
        <v>32</v>
      </c>
      <c r="L254">
        <v>39</v>
      </c>
      <c r="M254">
        <v>51</v>
      </c>
      <c r="N254">
        <v>32</v>
      </c>
      <c r="O254">
        <v>58</v>
      </c>
      <c r="P254">
        <v>61</v>
      </c>
      <c r="Q254">
        <v>49</v>
      </c>
      <c r="R254">
        <v>36</v>
      </c>
      <c r="S254">
        <v>531.25</v>
      </c>
      <c r="T254" t="s">
        <v>815</v>
      </c>
      <c r="U254" t="s">
        <v>45</v>
      </c>
      <c r="V254" t="s">
        <v>820</v>
      </c>
      <c r="W254" t="s">
        <v>823</v>
      </c>
    </row>
    <row r="255" spans="1:23" x14ac:dyDescent="0.25">
      <c r="A255" t="s">
        <v>824</v>
      </c>
      <c r="B255" t="s">
        <v>824</v>
      </c>
      <c r="C255">
        <v>7.5</v>
      </c>
      <c r="D255" s="3">
        <v>7.5</v>
      </c>
      <c r="E255">
        <v>40</v>
      </c>
      <c r="G255">
        <v>0</v>
      </c>
      <c r="H255">
        <v>18</v>
      </c>
      <c r="I255">
        <v>8</v>
      </c>
      <c r="J255">
        <v>11</v>
      </c>
      <c r="K255">
        <v>11</v>
      </c>
      <c r="L255">
        <v>7</v>
      </c>
      <c r="M255">
        <v>19</v>
      </c>
      <c r="N255">
        <v>2</v>
      </c>
      <c r="O255">
        <v>3</v>
      </c>
      <c r="P255">
        <v>14</v>
      </c>
      <c r="Q255">
        <v>5</v>
      </c>
      <c r="R255">
        <v>4</v>
      </c>
      <c r="S255">
        <v>102</v>
      </c>
      <c r="T255" t="s">
        <v>815</v>
      </c>
      <c r="U255" t="s">
        <v>45</v>
      </c>
      <c r="V255" t="s">
        <v>825</v>
      </c>
      <c r="W255" t="s">
        <v>817</v>
      </c>
    </row>
    <row r="256" spans="1:23" x14ac:dyDescent="0.25">
      <c r="A256" t="s">
        <v>826</v>
      </c>
      <c r="B256" t="s">
        <v>826</v>
      </c>
      <c r="C256">
        <v>4.5</v>
      </c>
      <c r="D256" s="3">
        <v>4.5</v>
      </c>
      <c r="E256">
        <v>54.5</v>
      </c>
      <c r="G256">
        <v>8</v>
      </c>
      <c r="H256">
        <v>24</v>
      </c>
      <c r="I256">
        <v>2</v>
      </c>
      <c r="J256">
        <v>2</v>
      </c>
      <c r="K256">
        <v>0</v>
      </c>
      <c r="L256">
        <v>4</v>
      </c>
      <c r="M256">
        <v>0</v>
      </c>
      <c r="N256">
        <v>5</v>
      </c>
      <c r="O256">
        <v>6</v>
      </c>
      <c r="P256">
        <v>9</v>
      </c>
      <c r="Q256">
        <v>6</v>
      </c>
      <c r="R256">
        <v>0</v>
      </c>
      <c r="S256">
        <v>66</v>
      </c>
      <c r="T256" t="s">
        <v>815</v>
      </c>
      <c r="U256" t="s">
        <v>45</v>
      </c>
      <c r="V256" t="s">
        <v>825</v>
      </c>
      <c r="W256" t="s">
        <v>818</v>
      </c>
    </row>
    <row r="257" spans="1:23" x14ac:dyDescent="0.25">
      <c r="A257" t="s">
        <v>827</v>
      </c>
      <c r="B257" t="s">
        <v>827</v>
      </c>
      <c r="C257">
        <v>8.5</v>
      </c>
      <c r="D257" s="3">
        <v>8.5</v>
      </c>
      <c r="E257">
        <v>23</v>
      </c>
      <c r="G257">
        <v>8</v>
      </c>
      <c r="H257">
        <v>18</v>
      </c>
      <c r="I257">
        <v>9</v>
      </c>
      <c r="J257">
        <v>8</v>
      </c>
      <c r="K257">
        <v>9</v>
      </c>
      <c r="L257">
        <v>9</v>
      </c>
      <c r="M257">
        <v>10</v>
      </c>
      <c r="N257">
        <v>7</v>
      </c>
      <c r="O257">
        <v>18</v>
      </c>
      <c r="P257">
        <v>2</v>
      </c>
      <c r="Q257">
        <v>7</v>
      </c>
      <c r="R257">
        <v>5</v>
      </c>
      <c r="S257">
        <v>110</v>
      </c>
      <c r="T257" t="s">
        <v>815</v>
      </c>
      <c r="U257" t="s">
        <v>45</v>
      </c>
      <c r="V257" t="s">
        <v>828</v>
      </c>
      <c r="W257" t="s">
        <v>821</v>
      </c>
    </row>
    <row r="258" spans="1:23" x14ac:dyDescent="0.25">
      <c r="A258" t="s">
        <v>829</v>
      </c>
      <c r="B258" t="s">
        <v>829</v>
      </c>
      <c r="C258">
        <v>5</v>
      </c>
      <c r="D258" s="3">
        <v>5</v>
      </c>
      <c r="E258">
        <v>53</v>
      </c>
      <c r="G258">
        <v>15</v>
      </c>
      <c r="H258">
        <v>25</v>
      </c>
      <c r="I258">
        <v>2</v>
      </c>
      <c r="J258">
        <v>6</v>
      </c>
      <c r="K258">
        <v>4</v>
      </c>
      <c r="L258">
        <v>4</v>
      </c>
      <c r="M258">
        <v>19</v>
      </c>
      <c r="N258">
        <v>1.5</v>
      </c>
      <c r="O258">
        <v>6</v>
      </c>
      <c r="P258">
        <v>10</v>
      </c>
      <c r="Q258">
        <v>2</v>
      </c>
      <c r="R258">
        <v>0</v>
      </c>
      <c r="S258">
        <v>94.5</v>
      </c>
      <c r="T258" t="s">
        <v>815</v>
      </c>
      <c r="U258" t="s">
        <v>45</v>
      </c>
      <c r="V258" t="s">
        <v>828</v>
      </c>
      <c r="W258" t="s">
        <v>823</v>
      </c>
    </row>
    <row r="259" spans="1:23" x14ac:dyDescent="0.25">
      <c r="A259" t="s">
        <v>618</v>
      </c>
      <c r="B259" t="s">
        <v>618</v>
      </c>
      <c r="C259">
        <v>7</v>
      </c>
      <c r="D259" s="3">
        <v>7</v>
      </c>
      <c r="E259">
        <v>9.75</v>
      </c>
      <c r="G259">
        <v>14</v>
      </c>
      <c r="H259">
        <v>2</v>
      </c>
      <c r="I259">
        <v>4</v>
      </c>
      <c r="J259">
        <v>3</v>
      </c>
      <c r="K259">
        <v>7.5</v>
      </c>
      <c r="L259">
        <v>11</v>
      </c>
      <c r="M259">
        <v>7</v>
      </c>
      <c r="N259">
        <v>17</v>
      </c>
      <c r="O259">
        <v>3</v>
      </c>
      <c r="P259">
        <v>7</v>
      </c>
      <c r="Q259">
        <v>5.25</v>
      </c>
      <c r="R259">
        <v>8</v>
      </c>
      <c r="S259">
        <v>88.75</v>
      </c>
      <c r="T259" t="s">
        <v>815</v>
      </c>
      <c r="U259" t="s">
        <v>45</v>
      </c>
      <c r="V259" t="s">
        <v>830</v>
      </c>
      <c r="W259" t="s">
        <v>818</v>
      </c>
    </row>
    <row r="260" spans="1:23" x14ac:dyDescent="0.25">
      <c r="A260" t="s">
        <v>831</v>
      </c>
      <c r="B260" t="s">
        <v>831</v>
      </c>
      <c r="C260">
        <v>6</v>
      </c>
      <c r="D260" s="3">
        <v>6</v>
      </c>
      <c r="E260">
        <v>17</v>
      </c>
      <c r="G260">
        <v>13</v>
      </c>
      <c r="H260">
        <v>8</v>
      </c>
      <c r="I260">
        <v>4.25</v>
      </c>
      <c r="J260">
        <v>2</v>
      </c>
      <c r="K260">
        <v>4.5</v>
      </c>
      <c r="L260">
        <v>9</v>
      </c>
      <c r="M260">
        <v>6</v>
      </c>
      <c r="N260">
        <v>17.5</v>
      </c>
      <c r="O260">
        <v>0</v>
      </c>
      <c r="P260">
        <v>2</v>
      </c>
      <c r="Q260">
        <v>6</v>
      </c>
      <c r="R260">
        <v>11.25</v>
      </c>
      <c r="S260">
        <v>83.5</v>
      </c>
      <c r="T260" t="s">
        <v>815</v>
      </c>
      <c r="U260" t="s">
        <v>45</v>
      </c>
      <c r="V260" t="s">
        <v>832</v>
      </c>
      <c r="W260" t="s">
        <v>823</v>
      </c>
    </row>
    <row r="261" spans="1:23" x14ac:dyDescent="0.25">
      <c r="A261" t="s">
        <v>833</v>
      </c>
      <c r="B261" t="s">
        <v>833</v>
      </c>
      <c r="C261">
        <v>0</v>
      </c>
      <c r="D261" s="3">
        <v>0</v>
      </c>
      <c r="E261">
        <v>13.5</v>
      </c>
      <c r="G261">
        <v>0.75</v>
      </c>
      <c r="H261">
        <v>2.5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-2</v>
      </c>
      <c r="O261">
        <v>2</v>
      </c>
      <c r="P261">
        <v>0</v>
      </c>
      <c r="Q261">
        <v>0</v>
      </c>
      <c r="R261">
        <v>0</v>
      </c>
      <c r="S261">
        <v>3.25</v>
      </c>
      <c r="T261" t="s">
        <v>815</v>
      </c>
      <c r="U261" t="s">
        <v>45</v>
      </c>
      <c r="V261" t="s">
        <v>834</v>
      </c>
      <c r="W261" t="s">
        <v>818</v>
      </c>
    </row>
    <row r="262" spans="1:23" x14ac:dyDescent="0.25">
      <c r="A262" t="s">
        <v>835</v>
      </c>
      <c r="B262" t="s">
        <v>835</v>
      </c>
      <c r="C262">
        <v>1.5</v>
      </c>
      <c r="D262" s="3">
        <v>1.5</v>
      </c>
      <c r="E262">
        <v>10.25</v>
      </c>
      <c r="G262">
        <v>3</v>
      </c>
      <c r="H262">
        <v>4</v>
      </c>
      <c r="I262">
        <v>0.75</v>
      </c>
      <c r="J262">
        <v>1</v>
      </c>
      <c r="K262">
        <v>2</v>
      </c>
      <c r="L262">
        <v>0</v>
      </c>
      <c r="M262">
        <v>2.25</v>
      </c>
      <c r="N262">
        <v>-1.5</v>
      </c>
      <c r="O262">
        <v>2</v>
      </c>
      <c r="P262">
        <v>2.5</v>
      </c>
      <c r="Q262">
        <v>0</v>
      </c>
      <c r="R262">
        <v>0</v>
      </c>
      <c r="S262">
        <v>16</v>
      </c>
      <c r="T262" t="s">
        <v>815</v>
      </c>
      <c r="U262" t="s">
        <v>45</v>
      </c>
      <c r="V262" t="s">
        <v>836</v>
      </c>
      <c r="W262" t="s">
        <v>823</v>
      </c>
    </row>
    <row r="263" spans="1:23" x14ac:dyDescent="0.25">
      <c r="A263" t="s">
        <v>744</v>
      </c>
      <c r="B263" t="s">
        <v>744</v>
      </c>
      <c r="C263">
        <v>0</v>
      </c>
      <c r="D263" s="3">
        <v>0</v>
      </c>
      <c r="E263">
        <v>7</v>
      </c>
      <c r="G263">
        <v>0</v>
      </c>
      <c r="H263">
        <v>4</v>
      </c>
      <c r="I263">
        <v>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</v>
      </c>
      <c r="P263">
        <v>0</v>
      </c>
      <c r="Q263">
        <v>0</v>
      </c>
      <c r="R263">
        <v>1</v>
      </c>
      <c r="S263">
        <v>9</v>
      </c>
      <c r="T263" t="s">
        <v>815</v>
      </c>
      <c r="U263" t="s">
        <v>45</v>
      </c>
      <c r="V263" t="s">
        <v>837</v>
      </c>
      <c r="W263" t="s">
        <v>818</v>
      </c>
    </row>
    <row r="264" spans="1:23" x14ac:dyDescent="0.25">
      <c r="A264" t="s">
        <v>620</v>
      </c>
      <c r="B264" t="s">
        <v>620</v>
      </c>
      <c r="C264">
        <v>0.125</v>
      </c>
      <c r="D264" s="3">
        <v>0.125</v>
      </c>
      <c r="E264">
        <v>10.5</v>
      </c>
      <c r="G264">
        <v>0</v>
      </c>
      <c r="H264">
        <v>2</v>
      </c>
      <c r="I264">
        <v>0</v>
      </c>
      <c r="J264">
        <v>0</v>
      </c>
      <c r="K264">
        <v>1</v>
      </c>
      <c r="L264">
        <v>0</v>
      </c>
      <c r="M264">
        <v>0.25</v>
      </c>
      <c r="N264">
        <v>0</v>
      </c>
      <c r="O264">
        <v>2.25</v>
      </c>
      <c r="P264">
        <v>0</v>
      </c>
      <c r="Q264">
        <v>2</v>
      </c>
      <c r="R264">
        <v>1</v>
      </c>
      <c r="S264">
        <v>8.5</v>
      </c>
      <c r="T264" t="s">
        <v>815</v>
      </c>
      <c r="U264" t="s">
        <v>45</v>
      </c>
      <c r="V264" t="s">
        <v>838</v>
      </c>
      <c r="W264" t="s">
        <v>823</v>
      </c>
    </row>
    <row r="265" spans="1:23" x14ac:dyDescent="0.25">
      <c r="A265" t="s">
        <v>839</v>
      </c>
      <c r="B265" t="s">
        <v>839</v>
      </c>
      <c r="C265">
        <v>0</v>
      </c>
      <c r="D265" s="3">
        <v>0</v>
      </c>
      <c r="E265">
        <v>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t="s">
        <v>815</v>
      </c>
      <c r="U265" t="s">
        <v>45</v>
      </c>
      <c r="V265" t="s">
        <v>840</v>
      </c>
      <c r="W265" t="s">
        <v>818</v>
      </c>
    </row>
    <row r="266" spans="1:23" x14ac:dyDescent="0.25">
      <c r="A266" t="s">
        <v>841</v>
      </c>
      <c r="B266" t="s">
        <v>841</v>
      </c>
      <c r="C266">
        <v>0</v>
      </c>
      <c r="D266" s="3">
        <v>0</v>
      </c>
      <c r="E266">
        <v>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815</v>
      </c>
      <c r="U266" t="s">
        <v>45</v>
      </c>
      <c r="V266" t="s">
        <v>842</v>
      </c>
      <c r="W266" t="s">
        <v>823</v>
      </c>
    </row>
    <row r="267" spans="1:23" x14ac:dyDescent="0.25">
      <c r="A267" t="s">
        <v>843</v>
      </c>
      <c r="B267" t="s">
        <v>843</v>
      </c>
      <c r="C267">
        <v>2</v>
      </c>
      <c r="D267" s="3">
        <v>2</v>
      </c>
      <c r="E267">
        <v>16</v>
      </c>
      <c r="G267">
        <v>4</v>
      </c>
      <c r="H267">
        <v>0</v>
      </c>
      <c r="I267">
        <v>8</v>
      </c>
      <c r="J267">
        <v>4</v>
      </c>
      <c r="K267">
        <v>0</v>
      </c>
      <c r="L267">
        <v>0</v>
      </c>
      <c r="M267">
        <v>8</v>
      </c>
      <c r="N267">
        <v>0</v>
      </c>
      <c r="O267">
        <v>0</v>
      </c>
      <c r="P267">
        <v>12</v>
      </c>
      <c r="Q267">
        <v>0</v>
      </c>
      <c r="R267">
        <v>8</v>
      </c>
      <c r="S267">
        <v>44</v>
      </c>
      <c r="T267" t="s">
        <v>815</v>
      </c>
      <c r="U267" t="s">
        <v>77</v>
      </c>
      <c r="V267" t="s">
        <v>844</v>
      </c>
      <c r="W267" t="s">
        <v>818</v>
      </c>
    </row>
    <row r="268" spans="1:23" x14ac:dyDescent="0.25">
      <c r="A268" t="s">
        <v>845</v>
      </c>
      <c r="B268" t="s">
        <v>845</v>
      </c>
      <c r="C268">
        <v>0</v>
      </c>
      <c r="D268" s="3">
        <v>0</v>
      </c>
      <c r="E268">
        <v>36</v>
      </c>
      <c r="G268">
        <v>4</v>
      </c>
      <c r="H268">
        <v>0</v>
      </c>
      <c r="I268">
        <v>8</v>
      </c>
      <c r="J268">
        <v>4</v>
      </c>
      <c r="K268">
        <v>0</v>
      </c>
      <c r="L268">
        <v>0</v>
      </c>
      <c r="M268">
        <v>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24</v>
      </c>
      <c r="T268" t="s">
        <v>815</v>
      </c>
      <c r="U268" t="s">
        <v>77</v>
      </c>
      <c r="V268" t="s">
        <v>846</v>
      </c>
      <c r="W268" t="s">
        <v>847</v>
      </c>
    </row>
    <row r="269" spans="1:23" x14ac:dyDescent="0.25">
      <c r="A269" t="s">
        <v>848</v>
      </c>
      <c r="B269" t="s">
        <v>848</v>
      </c>
      <c r="C269">
        <v>1</v>
      </c>
      <c r="D269" s="3">
        <v>1</v>
      </c>
      <c r="E269">
        <v>12</v>
      </c>
      <c r="G269">
        <v>5</v>
      </c>
      <c r="H269">
        <v>1</v>
      </c>
      <c r="I269">
        <v>7</v>
      </c>
      <c r="J269">
        <v>1</v>
      </c>
      <c r="K269">
        <v>0</v>
      </c>
      <c r="L269">
        <v>2</v>
      </c>
      <c r="M269">
        <v>3</v>
      </c>
      <c r="N269">
        <v>0</v>
      </c>
      <c r="O269">
        <v>6</v>
      </c>
      <c r="P269">
        <v>0</v>
      </c>
      <c r="Q269">
        <v>1</v>
      </c>
      <c r="R269">
        <v>0</v>
      </c>
      <c r="S269">
        <v>26</v>
      </c>
      <c r="T269" t="s">
        <v>815</v>
      </c>
      <c r="U269" t="s">
        <v>83</v>
      </c>
      <c r="V269" t="s">
        <v>849</v>
      </c>
      <c r="W269" t="s">
        <v>817</v>
      </c>
    </row>
    <row r="270" spans="1:23" x14ac:dyDescent="0.25">
      <c r="A270" t="s">
        <v>850</v>
      </c>
      <c r="B270" t="s">
        <v>850</v>
      </c>
      <c r="C270">
        <v>0</v>
      </c>
      <c r="D270" s="3">
        <v>0</v>
      </c>
      <c r="E270">
        <v>10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815</v>
      </c>
      <c r="U270" t="s">
        <v>83</v>
      </c>
      <c r="V270" t="s">
        <v>849</v>
      </c>
      <c r="W270" t="s">
        <v>851</v>
      </c>
    </row>
    <row r="271" spans="1:23" x14ac:dyDescent="0.25">
      <c r="A271" t="s">
        <v>621</v>
      </c>
      <c r="B271" t="s">
        <v>621</v>
      </c>
      <c r="C271">
        <v>0.5</v>
      </c>
      <c r="D271" s="3">
        <v>0.5</v>
      </c>
      <c r="E271">
        <v>16</v>
      </c>
      <c r="G271">
        <v>5</v>
      </c>
      <c r="H271">
        <v>0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-7</v>
      </c>
      <c r="O271">
        <v>1</v>
      </c>
      <c r="P271">
        <v>1</v>
      </c>
      <c r="Q271">
        <v>0</v>
      </c>
      <c r="R271">
        <v>2</v>
      </c>
      <c r="S271">
        <v>4</v>
      </c>
      <c r="T271" t="s">
        <v>815</v>
      </c>
      <c r="U271" t="s">
        <v>83</v>
      </c>
      <c r="V271" t="s">
        <v>849</v>
      </c>
      <c r="W271" t="s">
        <v>818</v>
      </c>
    </row>
    <row r="272" spans="1:23" x14ac:dyDescent="0.25">
      <c r="A272" t="s">
        <v>852</v>
      </c>
      <c r="B272" t="s">
        <v>852</v>
      </c>
      <c r="C272">
        <v>1</v>
      </c>
      <c r="D272" s="3">
        <v>1</v>
      </c>
      <c r="E272">
        <v>14</v>
      </c>
      <c r="G272">
        <v>10</v>
      </c>
      <c r="H272">
        <v>1</v>
      </c>
      <c r="I272">
        <v>6</v>
      </c>
      <c r="J272">
        <v>1</v>
      </c>
      <c r="K272">
        <v>1</v>
      </c>
      <c r="L272">
        <v>2</v>
      </c>
      <c r="M272">
        <v>5</v>
      </c>
      <c r="N272">
        <v>0</v>
      </c>
      <c r="O272">
        <v>10</v>
      </c>
      <c r="P272">
        <v>0</v>
      </c>
      <c r="Q272">
        <v>1</v>
      </c>
      <c r="R272">
        <v>1</v>
      </c>
      <c r="S272">
        <v>38</v>
      </c>
      <c r="T272" t="s">
        <v>815</v>
      </c>
      <c r="U272" t="s">
        <v>83</v>
      </c>
      <c r="V272" t="s">
        <v>853</v>
      </c>
      <c r="W272" t="s">
        <v>821</v>
      </c>
    </row>
    <row r="273" spans="1:23" x14ac:dyDescent="0.25">
      <c r="A273" t="s">
        <v>854</v>
      </c>
      <c r="B273" t="s">
        <v>854</v>
      </c>
      <c r="C273">
        <v>0</v>
      </c>
      <c r="D273" s="3">
        <v>0</v>
      </c>
      <c r="E273">
        <v>10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 t="s">
        <v>815</v>
      </c>
      <c r="U273" t="s">
        <v>83</v>
      </c>
      <c r="V273" t="s">
        <v>853</v>
      </c>
      <c r="W273" t="s">
        <v>855</v>
      </c>
    </row>
    <row r="274" spans="1:23" x14ac:dyDescent="0.25">
      <c r="A274" t="s">
        <v>622</v>
      </c>
      <c r="B274" t="s">
        <v>622</v>
      </c>
      <c r="C274">
        <v>1</v>
      </c>
      <c r="D274" s="3">
        <v>1</v>
      </c>
      <c r="E274">
        <v>13.5</v>
      </c>
      <c r="G274">
        <v>5</v>
      </c>
      <c r="H274">
        <v>0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-7</v>
      </c>
      <c r="O274">
        <v>1</v>
      </c>
      <c r="P274">
        <v>1</v>
      </c>
      <c r="Q274">
        <v>1</v>
      </c>
      <c r="R274">
        <v>2</v>
      </c>
      <c r="S274">
        <v>5</v>
      </c>
      <c r="T274" t="s">
        <v>815</v>
      </c>
      <c r="U274" t="s">
        <v>83</v>
      </c>
      <c r="V274" t="s">
        <v>853</v>
      </c>
      <c r="W274" t="s">
        <v>823</v>
      </c>
    </row>
    <row r="275" spans="1:23" x14ac:dyDescent="0.25">
      <c r="A275" t="s">
        <v>856</v>
      </c>
      <c r="B275" t="s">
        <v>856</v>
      </c>
      <c r="C275">
        <v>17.5</v>
      </c>
      <c r="D275" s="3">
        <v>17.5</v>
      </c>
      <c r="E275">
        <v>71.5</v>
      </c>
      <c r="G275">
        <v>64</v>
      </c>
      <c r="H275">
        <v>2</v>
      </c>
      <c r="I275">
        <v>13</v>
      </c>
      <c r="J275">
        <v>17</v>
      </c>
      <c r="K275">
        <v>18</v>
      </c>
      <c r="L275">
        <v>20</v>
      </c>
      <c r="M275">
        <v>9</v>
      </c>
      <c r="N275">
        <v>14</v>
      </c>
      <c r="O275">
        <v>19</v>
      </c>
      <c r="P275">
        <v>23</v>
      </c>
      <c r="Q275">
        <v>6.5</v>
      </c>
      <c r="R275">
        <v>19</v>
      </c>
      <c r="S275">
        <v>224.5</v>
      </c>
      <c r="T275" t="s">
        <v>815</v>
      </c>
      <c r="U275" t="s">
        <v>83</v>
      </c>
      <c r="V275" t="s">
        <v>857</v>
      </c>
      <c r="W275" t="s">
        <v>817</v>
      </c>
    </row>
    <row r="276" spans="1:23" x14ac:dyDescent="0.25">
      <c r="A276" t="s">
        <v>858</v>
      </c>
      <c r="B276" t="s">
        <v>858</v>
      </c>
      <c r="C276">
        <v>9</v>
      </c>
      <c r="D276" s="3">
        <v>9</v>
      </c>
      <c r="E276">
        <v>29.5</v>
      </c>
      <c r="G276">
        <v>11</v>
      </c>
      <c r="H276">
        <v>4</v>
      </c>
      <c r="I276">
        <v>14</v>
      </c>
      <c r="J276">
        <v>4</v>
      </c>
      <c r="K276">
        <v>14</v>
      </c>
      <c r="L276">
        <v>4</v>
      </c>
      <c r="M276">
        <v>9</v>
      </c>
      <c r="N276">
        <v>0</v>
      </c>
      <c r="O276">
        <v>9</v>
      </c>
      <c r="P276">
        <v>8</v>
      </c>
      <c r="Q276">
        <v>15</v>
      </c>
      <c r="R276">
        <v>16</v>
      </c>
      <c r="S276">
        <v>108</v>
      </c>
      <c r="T276" t="s">
        <v>815</v>
      </c>
      <c r="U276" t="s">
        <v>83</v>
      </c>
      <c r="V276" t="s">
        <v>857</v>
      </c>
      <c r="W276" t="s">
        <v>818</v>
      </c>
    </row>
    <row r="277" spans="1:23" x14ac:dyDescent="0.25">
      <c r="A277" t="s">
        <v>859</v>
      </c>
      <c r="B277" t="s">
        <v>859</v>
      </c>
      <c r="C277">
        <v>18.75</v>
      </c>
      <c r="D277" s="3">
        <v>18.75</v>
      </c>
      <c r="E277">
        <v>95.5</v>
      </c>
      <c r="G277">
        <v>36</v>
      </c>
      <c r="H277">
        <v>9</v>
      </c>
      <c r="I277">
        <v>13</v>
      </c>
      <c r="J277">
        <v>18</v>
      </c>
      <c r="K277">
        <v>23</v>
      </c>
      <c r="L277">
        <v>29</v>
      </c>
      <c r="M277">
        <v>35</v>
      </c>
      <c r="N277">
        <v>13</v>
      </c>
      <c r="O277">
        <v>16</v>
      </c>
      <c r="P277">
        <v>32</v>
      </c>
      <c r="Q277">
        <v>18.5</v>
      </c>
      <c r="R277">
        <v>19</v>
      </c>
      <c r="S277">
        <v>261.5</v>
      </c>
      <c r="T277" t="s">
        <v>815</v>
      </c>
      <c r="U277" t="s">
        <v>83</v>
      </c>
      <c r="V277" t="s">
        <v>860</v>
      </c>
      <c r="W277" t="s">
        <v>821</v>
      </c>
    </row>
    <row r="278" spans="1:23" x14ac:dyDescent="0.25">
      <c r="A278" t="s">
        <v>706</v>
      </c>
      <c r="B278" t="s">
        <v>706</v>
      </c>
      <c r="C278">
        <v>10.625</v>
      </c>
      <c r="D278" s="3">
        <v>10.625</v>
      </c>
      <c r="E278">
        <v>36</v>
      </c>
      <c r="G278">
        <v>7</v>
      </c>
      <c r="H278">
        <v>15</v>
      </c>
      <c r="I278">
        <v>21</v>
      </c>
      <c r="J278">
        <v>6</v>
      </c>
      <c r="K278">
        <v>20</v>
      </c>
      <c r="L278">
        <v>11.25</v>
      </c>
      <c r="M278">
        <v>8</v>
      </c>
      <c r="N278">
        <v>4</v>
      </c>
      <c r="O278">
        <v>12</v>
      </c>
      <c r="P278">
        <v>10</v>
      </c>
      <c r="Q278">
        <v>16</v>
      </c>
      <c r="R278">
        <v>10</v>
      </c>
      <c r="S278">
        <v>140.25</v>
      </c>
      <c r="T278" t="s">
        <v>815</v>
      </c>
      <c r="U278" t="s">
        <v>83</v>
      </c>
      <c r="V278" t="s">
        <v>860</v>
      </c>
      <c r="W278" t="s">
        <v>823</v>
      </c>
    </row>
    <row r="279" spans="1:23" x14ac:dyDescent="0.25">
      <c r="A279" t="s">
        <v>861</v>
      </c>
      <c r="B279" t="s">
        <v>861</v>
      </c>
      <c r="C279">
        <v>10</v>
      </c>
      <c r="D279" s="3">
        <v>10</v>
      </c>
      <c r="E279">
        <v>25.5</v>
      </c>
      <c r="G279">
        <v>18</v>
      </c>
      <c r="H279">
        <v>17</v>
      </c>
      <c r="I279">
        <v>4</v>
      </c>
      <c r="J279">
        <v>11</v>
      </c>
      <c r="K279">
        <v>15</v>
      </c>
      <c r="L279">
        <v>6</v>
      </c>
      <c r="M279">
        <v>11.5</v>
      </c>
      <c r="N279">
        <v>10</v>
      </c>
      <c r="O279">
        <v>10</v>
      </c>
      <c r="P279">
        <v>2</v>
      </c>
      <c r="Q279">
        <v>10</v>
      </c>
      <c r="R279">
        <v>9</v>
      </c>
      <c r="S279">
        <v>123.5</v>
      </c>
      <c r="T279" t="s">
        <v>815</v>
      </c>
      <c r="U279" t="s">
        <v>83</v>
      </c>
      <c r="V279" t="s">
        <v>862</v>
      </c>
      <c r="W279" t="s">
        <v>818</v>
      </c>
    </row>
    <row r="280" spans="1:23" x14ac:dyDescent="0.25">
      <c r="A280" t="s">
        <v>863</v>
      </c>
      <c r="B280" t="s">
        <v>863</v>
      </c>
      <c r="C280">
        <v>13</v>
      </c>
      <c r="D280" s="3">
        <v>13</v>
      </c>
      <c r="E280">
        <v>23.5</v>
      </c>
      <c r="G280">
        <v>27</v>
      </c>
      <c r="H280">
        <v>14.25</v>
      </c>
      <c r="I280">
        <v>4</v>
      </c>
      <c r="J280">
        <v>16</v>
      </c>
      <c r="K280">
        <v>15</v>
      </c>
      <c r="L280">
        <v>2</v>
      </c>
      <c r="M280">
        <v>12</v>
      </c>
      <c r="N280">
        <v>7</v>
      </c>
      <c r="O280">
        <v>5</v>
      </c>
      <c r="P280">
        <v>2</v>
      </c>
      <c r="Q280">
        <v>17</v>
      </c>
      <c r="R280">
        <v>14</v>
      </c>
      <c r="S280">
        <v>135.25</v>
      </c>
      <c r="T280" t="s">
        <v>815</v>
      </c>
      <c r="U280" t="s">
        <v>83</v>
      </c>
      <c r="V280" t="s">
        <v>864</v>
      </c>
      <c r="W280" t="s">
        <v>823</v>
      </c>
    </row>
    <row r="281" spans="1:23" x14ac:dyDescent="0.25">
      <c r="A281" t="s">
        <v>623</v>
      </c>
      <c r="B281" t="s">
        <v>623</v>
      </c>
      <c r="C281">
        <v>74</v>
      </c>
      <c r="D281" s="3">
        <v>74</v>
      </c>
      <c r="E281">
        <v>503.75</v>
      </c>
      <c r="F281">
        <v>200</v>
      </c>
      <c r="G281">
        <v>64</v>
      </c>
      <c r="H281">
        <v>56.25</v>
      </c>
      <c r="I281">
        <v>70</v>
      </c>
      <c r="J281">
        <v>78</v>
      </c>
      <c r="K281">
        <v>36.25</v>
      </c>
      <c r="L281">
        <v>91</v>
      </c>
      <c r="M281">
        <v>64</v>
      </c>
      <c r="N281">
        <v>37</v>
      </c>
      <c r="O281">
        <v>98</v>
      </c>
      <c r="P281">
        <v>100.25</v>
      </c>
      <c r="Q281">
        <v>127</v>
      </c>
      <c r="R281">
        <v>84</v>
      </c>
      <c r="S281">
        <v>905.75</v>
      </c>
      <c r="T281" t="s">
        <v>815</v>
      </c>
      <c r="U281" t="s">
        <v>83</v>
      </c>
      <c r="V281" t="s">
        <v>865</v>
      </c>
      <c r="W281" t="s">
        <v>817</v>
      </c>
    </row>
    <row r="282" spans="1:23" x14ac:dyDescent="0.25">
      <c r="A282" t="s">
        <v>624</v>
      </c>
      <c r="B282" t="s">
        <v>624</v>
      </c>
      <c r="C282">
        <v>30</v>
      </c>
      <c r="D282" s="3">
        <v>30</v>
      </c>
      <c r="E282">
        <v>165.25</v>
      </c>
      <c r="G282">
        <v>69</v>
      </c>
      <c r="H282">
        <v>19</v>
      </c>
      <c r="I282">
        <v>34</v>
      </c>
      <c r="J282">
        <v>28</v>
      </c>
      <c r="K282">
        <v>28</v>
      </c>
      <c r="L282">
        <v>27</v>
      </c>
      <c r="M282">
        <v>33</v>
      </c>
      <c r="N282">
        <v>29</v>
      </c>
      <c r="O282">
        <v>12</v>
      </c>
      <c r="P282">
        <v>31</v>
      </c>
      <c r="Q282">
        <v>32</v>
      </c>
      <c r="R282">
        <v>46.25</v>
      </c>
      <c r="S282">
        <v>388.25</v>
      </c>
      <c r="T282" t="s">
        <v>815</v>
      </c>
      <c r="U282" t="s">
        <v>83</v>
      </c>
      <c r="V282" t="s">
        <v>865</v>
      </c>
      <c r="W282" t="s">
        <v>818</v>
      </c>
    </row>
    <row r="283" spans="1:23" x14ac:dyDescent="0.25">
      <c r="A283" t="s">
        <v>625</v>
      </c>
      <c r="B283" t="s">
        <v>625</v>
      </c>
      <c r="C283">
        <v>98.5</v>
      </c>
      <c r="D283" s="3">
        <v>98.5</v>
      </c>
      <c r="E283">
        <v>839.75</v>
      </c>
      <c r="F283">
        <v>500</v>
      </c>
      <c r="G283">
        <v>83</v>
      </c>
      <c r="H283">
        <v>103</v>
      </c>
      <c r="I283">
        <v>135</v>
      </c>
      <c r="J283">
        <v>93.5</v>
      </c>
      <c r="K283">
        <v>62</v>
      </c>
      <c r="L283">
        <v>143.25</v>
      </c>
      <c r="M283">
        <v>83</v>
      </c>
      <c r="N283">
        <v>68.25</v>
      </c>
      <c r="O283">
        <v>98</v>
      </c>
      <c r="P283">
        <v>134.75</v>
      </c>
      <c r="Q283">
        <v>179.75</v>
      </c>
      <c r="R283">
        <v>99</v>
      </c>
      <c r="S283">
        <v>1282.5</v>
      </c>
      <c r="T283" t="s">
        <v>815</v>
      </c>
      <c r="U283" t="s">
        <v>83</v>
      </c>
      <c r="V283" t="s">
        <v>866</v>
      </c>
      <c r="W283" t="s">
        <v>821</v>
      </c>
    </row>
    <row r="284" spans="1:23" x14ac:dyDescent="0.25">
      <c r="A284" t="s">
        <v>626</v>
      </c>
      <c r="B284" t="s">
        <v>626</v>
      </c>
      <c r="C284">
        <v>35.75</v>
      </c>
      <c r="D284" s="3">
        <v>35.75</v>
      </c>
      <c r="E284">
        <v>211.25</v>
      </c>
      <c r="F284">
        <v>100</v>
      </c>
      <c r="G284">
        <v>68</v>
      </c>
      <c r="H284">
        <v>28</v>
      </c>
      <c r="I284">
        <v>62</v>
      </c>
      <c r="J284">
        <v>32</v>
      </c>
      <c r="K284">
        <v>72</v>
      </c>
      <c r="L284">
        <v>34</v>
      </c>
      <c r="M284">
        <v>26</v>
      </c>
      <c r="N284">
        <v>28</v>
      </c>
      <c r="O284">
        <v>13</v>
      </c>
      <c r="P284">
        <v>49</v>
      </c>
      <c r="Q284">
        <v>37.5</v>
      </c>
      <c r="R284">
        <v>73</v>
      </c>
      <c r="S284">
        <v>522.5</v>
      </c>
      <c r="T284" t="s">
        <v>815</v>
      </c>
      <c r="U284" t="s">
        <v>83</v>
      </c>
      <c r="V284" t="s">
        <v>866</v>
      </c>
      <c r="W284" t="s">
        <v>823</v>
      </c>
    </row>
    <row r="285" spans="1:23" x14ac:dyDescent="0.25">
      <c r="A285" t="s">
        <v>627</v>
      </c>
      <c r="B285" t="s">
        <v>627</v>
      </c>
      <c r="C285">
        <v>3.5</v>
      </c>
      <c r="D285" s="3">
        <v>3.5</v>
      </c>
      <c r="E285">
        <v>99</v>
      </c>
      <c r="F285">
        <v>75</v>
      </c>
      <c r="G285">
        <v>5</v>
      </c>
      <c r="H285">
        <v>6</v>
      </c>
      <c r="I285">
        <v>0</v>
      </c>
      <c r="J285">
        <v>3</v>
      </c>
      <c r="K285">
        <v>3</v>
      </c>
      <c r="L285">
        <v>5</v>
      </c>
      <c r="M285">
        <v>1</v>
      </c>
      <c r="N285">
        <v>6</v>
      </c>
      <c r="O285">
        <v>4</v>
      </c>
      <c r="P285">
        <v>0</v>
      </c>
      <c r="Q285">
        <v>11</v>
      </c>
      <c r="R285">
        <v>2</v>
      </c>
      <c r="S285">
        <v>46</v>
      </c>
      <c r="T285" t="s">
        <v>815</v>
      </c>
      <c r="U285" t="s">
        <v>83</v>
      </c>
      <c r="V285" t="s">
        <v>867</v>
      </c>
      <c r="W285" t="s">
        <v>868</v>
      </c>
    </row>
    <row r="286" spans="1:23" x14ac:dyDescent="0.25">
      <c r="A286" t="s">
        <v>745</v>
      </c>
      <c r="B286" t="s">
        <v>745</v>
      </c>
      <c r="C286">
        <v>2.5</v>
      </c>
      <c r="D286" s="3">
        <v>2.5</v>
      </c>
      <c r="E286">
        <v>15</v>
      </c>
      <c r="G286">
        <v>0</v>
      </c>
      <c r="H286">
        <v>3</v>
      </c>
      <c r="I286">
        <v>4</v>
      </c>
      <c r="J286">
        <v>1</v>
      </c>
      <c r="K286">
        <v>4</v>
      </c>
      <c r="L286">
        <v>4</v>
      </c>
      <c r="M286">
        <v>2</v>
      </c>
      <c r="N286">
        <v>1</v>
      </c>
      <c r="O286">
        <v>2</v>
      </c>
      <c r="P286">
        <v>7</v>
      </c>
      <c r="Q286">
        <v>5.33</v>
      </c>
      <c r="R286">
        <v>0</v>
      </c>
      <c r="S286">
        <v>33.33</v>
      </c>
      <c r="T286" t="s">
        <v>815</v>
      </c>
      <c r="U286" t="s">
        <v>83</v>
      </c>
      <c r="V286" t="s">
        <v>867</v>
      </c>
      <c r="W286" t="s">
        <v>851</v>
      </c>
    </row>
    <row r="287" spans="1:23" x14ac:dyDescent="0.25">
      <c r="A287" t="s">
        <v>869</v>
      </c>
      <c r="B287" t="s">
        <v>869</v>
      </c>
      <c r="C287">
        <v>0</v>
      </c>
      <c r="D287" s="3">
        <v>0</v>
      </c>
      <c r="E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-1</v>
      </c>
      <c r="O287">
        <v>0.33</v>
      </c>
      <c r="P287">
        <v>0</v>
      </c>
      <c r="Q287">
        <v>0</v>
      </c>
      <c r="R287">
        <v>0</v>
      </c>
      <c r="S287">
        <v>-0.66999999999999993</v>
      </c>
      <c r="T287" t="s">
        <v>815</v>
      </c>
      <c r="U287" t="s">
        <v>83</v>
      </c>
      <c r="V287" t="s">
        <v>867</v>
      </c>
      <c r="W287" t="s">
        <v>818</v>
      </c>
    </row>
    <row r="288" spans="1:23" x14ac:dyDescent="0.25">
      <c r="A288" t="s">
        <v>870</v>
      </c>
      <c r="B288" t="s">
        <v>870</v>
      </c>
      <c r="C288">
        <v>4.5</v>
      </c>
      <c r="D288" s="3">
        <v>4.5</v>
      </c>
      <c r="E288">
        <v>70</v>
      </c>
      <c r="G288">
        <v>6</v>
      </c>
      <c r="H288">
        <v>6</v>
      </c>
      <c r="I288">
        <v>0</v>
      </c>
      <c r="J288">
        <v>5</v>
      </c>
      <c r="K288">
        <v>1</v>
      </c>
      <c r="L288">
        <v>6</v>
      </c>
      <c r="M288">
        <v>1</v>
      </c>
      <c r="N288">
        <v>4</v>
      </c>
      <c r="O288">
        <v>4</v>
      </c>
      <c r="P288">
        <v>6</v>
      </c>
      <c r="Q288">
        <v>11</v>
      </c>
      <c r="R288">
        <v>1</v>
      </c>
      <c r="S288">
        <v>51</v>
      </c>
      <c r="T288" t="s">
        <v>815</v>
      </c>
      <c r="U288" t="s">
        <v>83</v>
      </c>
      <c r="V288" t="s">
        <v>871</v>
      </c>
      <c r="W288" t="s">
        <v>872</v>
      </c>
    </row>
    <row r="289" spans="1:23" x14ac:dyDescent="0.25">
      <c r="A289" t="s">
        <v>873</v>
      </c>
      <c r="B289" t="s">
        <v>873</v>
      </c>
      <c r="C289">
        <v>2</v>
      </c>
      <c r="D289" s="3">
        <v>2</v>
      </c>
      <c r="E289">
        <v>20.67</v>
      </c>
      <c r="G289">
        <v>0</v>
      </c>
      <c r="H289">
        <v>0</v>
      </c>
      <c r="I289">
        <v>8</v>
      </c>
      <c r="J289">
        <v>1</v>
      </c>
      <c r="K289">
        <v>1</v>
      </c>
      <c r="L289">
        <v>5</v>
      </c>
      <c r="M289">
        <v>2</v>
      </c>
      <c r="N289">
        <v>2</v>
      </c>
      <c r="O289">
        <v>0.67</v>
      </c>
      <c r="P289">
        <v>2</v>
      </c>
      <c r="Q289">
        <v>3.33</v>
      </c>
      <c r="R289">
        <v>2</v>
      </c>
      <c r="S289">
        <v>27</v>
      </c>
      <c r="T289" t="s">
        <v>815</v>
      </c>
      <c r="U289" t="s">
        <v>83</v>
      </c>
      <c r="V289" t="s">
        <v>871</v>
      </c>
      <c r="W289" t="s">
        <v>874</v>
      </c>
    </row>
    <row r="290" spans="1:23" x14ac:dyDescent="0.25">
      <c r="A290" t="s">
        <v>875</v>
      </c>
      <c r="B290" t="s">
        <v>875</v>
      </c>
      <c r="C290">
        <v>0</v>
      </c>
      <c r="D290" s="3">
        <v>0</v>
      </c>
      <c r="E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815</v>
      </c>
      <c r="U290" t="s">
        <v>83</v>
      </c>
      <c r="V290" t="s">
        <v>871</v>
      </c>
      <c r="W290" t="s">
        <v>847</v>
      </c>
    </row>
    <row r="291" spans="1:23" x14ac:dyDescent="0.25">
      <c r="A291" t="s">
        <v>876</v>
      </c>
      <c r="B291" t="s">
        <v>876</v>
      </c>
      <c r="C291">
        <v>0</v>
      </c>
      <c r="D291" s="3">
        <v>0</v>
      </c>
      <c r="E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815</v>
      </c>
      <c r="U291" t="s">
        <v>877</v>
      </c>
      <c r="V291" t="s">
        <v>878</v>
      </c>
      <c r="W291" t="s">
        <v>821</v>
      </c>
    </row>
    <row r="292" spans="1:23" x14ac:dyDescent="0.25">
      <c r="A292" t="s">
        <v>879</v>
      </c>
      <c r="B292" t="s">
        <v>879</v>
      </c>
      <c r="C292">
        <v>0</v>
      </c>
      <c r="D292" s="3">
        <v>0</v>
      </c>
      <c r="E292">
        <v>36</v>
      </c>
      <c r="G292">
        <v>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6</v>
      </c>
      <c r="T292" t="s">
        <v>815</v>
      </c>
      <c r="U292" t="s">
        <v>877</v>
      </c>
      <c r="V292" t="s">
        <v>878</v>
      </c>
      <c r="W292" t="s">
        <v>818</v>
      </c>
    </row>
    <row r="293" spans="1:23" x14ac:dyDescent="0.25">
      <c r="A293" t="s">
        <v>880</v>
      </c>
      <c r="B293" t="s">
        <v>880</v>
      </c>
      <c r="C293">
        <v>0</v>
      </c>
      <c r="D293" s="3">
        <v>0</v>
      </c>
      <c r="E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815</v>
      </c>
      <c r="U293" t="s">
        <v>877</v>
      </c>
      <c r="V293" t="s">
        <v>881</v>
      </c>
      <c r="W293" t="s">
        <v>821</v>
      </c>
    </row>
    <row r="294" spans="1:23" x14ac:dyDescent="0.25">
      <c r="A294" t="s">
        <v>882</v>
      </c>
      <c r="B294" t="s">
        <v>882</v>
      </c>
      <c r="C294">
        <v>0</v>
      </c>
      <c r="D294" s="3">
        <v>0</v>
      </c>
      <c r="E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 t="s">
        <v>815</v>
      </c>
      <c r="U294" t="s">
        <v>877</v>
      </c>
      <c r="V294" t="s">
        <v>881</v>
      </c>
      <c r="W294" t="s">
        <v>883</v>
      </c>
    </row>
    <row r="295" spans="1:23" x14ac:dyDescent="0.25">
      <c r="A295" t="s">
        <v>884</v>
      </c>
      <c r="B295" t="s">
        <v>884</v>
      </c>
      <c r="C295">
        <v>0</v>
      </c>
      <c r="D295" s="3">
        <v>0</v>
      </c>
      <c r="E295">
        <v>30</v>
      </c>
      <c r="G295">
        <v>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6</v>
      </c>
      <c r="T295" t="s">
        <v>815</v>
      </c>
      <c r="U295" t="s">
        <v>877</v>
      </c>
      <c r="V295" t="s">
        <v>881</v>
      </c>
      <c r="W295" t="s">
        <v>818</v>
      </c>
    </row>
    <row r="296" spans="1:23" x14ac:dyDescent="0.25">
      <c r="A296" t="s">
        <v>885</v>
      </c>
      <c r="B296" t="s">
        <v>885</v>
      </c>
      <c r="C296">
        <v>14</v>
      </c>
      <c r="D296" s="3">
        <v>14</v>
      </c>
      <c r="E296">
        <v>77</v>
      </c>
      <c r="G296">
        <v>32</v>
      </c>
      <c r="H296">
        <v>12</v>
      </c>
      <c r="I296">
        <v>0</v>
      </c>
      <c r="J296">
        <v>12</v>
      </c>
      <c r="K296">
        <v>0</v>
      </c>
      <c r="L296">
        <v>28</v>
      </c>
      <c r="M296">
        <v>20</v>
      </c>
      <c r="N296">
        <v>12</v>
      </c>
      <c r="O296">
        <v>28</v>
      </c>
      <c r="P296">
        <v>8</v>
      </c>
      <c r="Q296">
        <v>16</v>
      </c>
      <c r="R296">
        <v>20</v>
      </c>
      <c r="S296">
        <v>188</v>
      </c>
      <c r="T296" t="s">
        <v>815</v>
      </c>
      <c r="U296" t="s">
        <v>886</v>
      </c>
      <c r="V296" t="s">
        <v>887</v>
      </c>
      <c r="W296" t="s">
        <v>818</v>
      </c>
    </row>
    <row r="297" spans="1:23" x14ac:dyDescent="0.25">
      <c r="A297" t="s">
        <v>888</v>
      </c>
      <c r="B297" t="s">
        <v>888</v>
      </c>
      <c r="C297">
        <v>14</v>
      </c>
      <c r="D297" s="3">
        <v>14</v>
      </c>
      <c r="E297">
        <v>189</v>
      </c>
      <c r="G297">
        <v>36</v>
      </c>
      <c r="H297">
        <v>12</v>
      </c>
      <c r="I297">
        <v>0</v>
      </c>
      <c r="J297">
        <v>8</v>
      </c>
      <c r="K297">
        <v>0</v>
      </c>
      <c r="L297">
        <v>32</v>
      </c>
      <c r="M297">
        <v>20</v>
      </c>
      <c r="N297">
        <v>12</v>
      </c>
      <c r="O297">
        <v>24</v>
      </c>
      <c r="P297">
        <v>8</v>
      </c>
      <c r="Q297">
        <v>16</v>
      </c>
      <c r="R297">
        <v>20</v>
      </c>
      <c r="S297">
        <v>188</v>
      </c>
      <c r="T297" t="s">
        <v>815</v>
      </c>
      <c r="U297" t="s">
        <v>886</v>
      </c>
      <c r="V297" t="s">
        <v>889</v>
      </c>
      <c r="W297" t="s">
        <v>823</v>
      </c>
    </row>
    <row r="298" spans="1:23" x14ac:dyDescent="0.25">
      <c r="A298" t="s">
        <v>890</v>
      </c>
      <c r="B298" t="s">
        <v>890</v>
      </c>
      <c r="C298">
        <v>0</v>
      </c>
      <c r="D298" s="3">
        <v>0</v>
      </c>
      <c r="E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t="s">
        <v>815</v>
      </c>
      <c r="U298" t="s">
        <v>886</v>
      </c>
      <c r="V298" t="s">
        <v>889</v>
      </c>
      <c r="W298" t="s">
        <v>847</v>
      </c>
    </row>
    <row r="299" spans="1:23" x14ac:dyDescent="0.25">
      <c r="A299" t="s">
        <v>891</v>
      </c>
      <c r="B299" t="s">
        <v>891</v>
      </c>
      <c r="C299">
        <v>0</v>
      </c>
      <c r="D299" s="3">
        <v>0</v>
      </c>
      <c r="E299">
        <v>89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815</v>
      </c>
      <c r="U299" t="s">
        <v>886</v>
      </c>
      <c r="V299" t="s">
        <v>892</v>
      </c>
      <c r="W299" t="s">
        <v>818</v>
      </c>
    </row>
    <row r="300" spans="1:23" x14ac:dyDescent="0.25">
      <c r="A300" t="s">
        <v>893</v>
      </c>
      <c r="B300" t="s">
        <v>893</v>
      </c>
      <c r="C300">
        <v>0</v>
      </c>
      <c r="D300" s="3">
        <v>0</v>
      </c>
      <c r="E300">
        <v>89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t="s">
        <v>815</v>
      </c>
      <c r="U300" t="s">
        <v>886</v>
      </c>
      <c r="V300" t="s">
        <v>894</v>
      </c>
      <c r="W300" t="s">
        <v>818</v>
      </c>
    </row>
    <row r="301" spans="1:23" x14ac:dyDescent="0.25">
      <c r="A301" t="s">
        <v>895</v>
      </c>
      <c r="B301" t="s">
        <v>895</v>
      </c>
      <c r="C301">
        <v>0</v>
      </c>
      <c r="D301" s="3">
        <v>0</v>
      </c>
      <c r="E301">
        <v>44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815</v>
      </c>
      <c r="U301" t="s">
        <v>886</v>
      </c>
      <c r="V301" t="s">
        <v>896</v>
      </c>
      <c r="W301" t="s">
        <v>818</v>
      </c>
    </row>
    <row r="302" spans="1:23" x14ac:dyDescent="0.25">
      <c r="A302" t="s">
        <v>897</v>
      </c>
      <c r="B302" t="s">
        <v>897</v>
      </c>
      <c r="C302">
        <v>0</v>
      </c>
      <c r="D302" s="3">
        <v>0</v>
      </c>
      <c r="E302">
        <v>52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815</v>
      </c>
      <c r="U302" t="s">
        <v>886</v>
      </c>
      <c r="V302" t="s">
        <v>898</v>
      </c>
      <c r="W302" t="s">
        <v>847</v>
      </c>
    </row>
    <row r="303" spans="1:23" x14ac:dyDescent="0.25">
      <c r="A303" t="s">
        <v>899</v>
      </c>
      <c r="B303" t="s">
        <v>899</v>
      </c>
      <c r="C303">
        <v>67.5</v>
      </c>
      <c r="D303" s="3">
        <v>67.5</v>
      </c>
      <c r="E303">
        <v>472</v>
      </c>
      <c r="G303">
        <v>44</v>
      </c>
      <c r="H303">
        <v>116</v>
      </c>
      <c r="I303">
        <v>215</v>
      </c>
      <c r="J303">
        <v>67</v>
      </c>
      <c r="K303">
        <v>12</v>
      </c>
      <c r="L303">
        <v>157</v>
      </c>
      <c r="M303">
        <v>95</v>
      </c>
      <c r="N303">
        <v>68</v>
      </c>
      <c r="O303">
        <v>34</v>
      </c>
      <c r="P303">
        <v>260</v>
      </c>
      <c r="Q303">
        <v>17</v>
      </c>
      <c r="R303">
        <v>59</v>
      </c>
      <c r="S303">
        <v>1144</v>
      </c>
      <c r="T303" t="s">
        <v>815</v>
      </c>
      <c r="U303" t="s">
        <v>166</v>
      </c>
      <c r="V303" t="s">
        <v>900</v>
      </c>
      <c r="W303" t="s">
        <v>851</v>
      </c>
    </row>
    <row r="304" spans="1:23" x14ac:dyDescent="0.25">
      <c r="A304" t="s">
        <v>901</v>
      </c>
      <c r="B304" t="s">
        <v>901</v>
      </c>
      <c r="C304">
        <v>0</v>
      </c>
      <c r="D304" s="3">
        <v>0</v>
      </c>
      <c r="E304">
        <v>5</v>
      </c>
      <c r="G304">
        <v>88</v>
      </c>
      <c r="H304">
        <v>40</v>
      </c>
      <c r="I304">
        <v>8</v>
      </c>
      <c r="J304">
        <v>10</v>
      </c>
      <c r="K304">
        <v>0</v>
      </c>
      <c r="L304">
        <v>0</v>
      </c>
      <c r="M304">
        <v>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151</v>
      </c>
      <c r="T304" t="s">
        <v>815</v>
      </c>
      <c r="U304" t="s">
        <v>166</v>
      </c>
      <c r="V304" t="s">
        <v>900</v>
      </c>
      <c r="W304" t="s">
        <v>818</v>
      </c>
    </row>
    <row r="305" spans="1:23" x14ac:dyDescent="0.25">
      <c r="A305" t="s">
        <v>902</v>
      </c>
      <c r="B305" t="s">
        <v>902</v>
      </c>
      <c r="C305">
        <v>72.5</v>
      </c>
      <c r="D305" s="3">
        <v>72.5</v>
      </c>
      <c r="E305">
        <v>511</v>
      </c>
      <c r="G305">
        <v>24</v>
      </c>
      <c r="H305">
        <v>120</v>
      </c>
      <c r="I305">
        <v>196</v>
      </c>
      <c r="J305">
        <v>92</v>
      </c>
      <c r="K305">
        <v>44</v>
      </c>
      <c r="L305">
        <v>201</v>
      </c>
      <c r="M305">
        <v>69</v>
      </c>
      <c r="N305">
        <v>31</v>
      </c>
      <c r="O305">
        <v>76</v>
      </c>
      <c r="P305">
        <v>235</v>
      </c>
      <c r="Q305">
        <v>22</v>
      </c>
      <c r="R305">
        <v>52</v>
      </c>
      <c r="S305">
        <v>1162</v>
      </c>
      <c r="T305" t="s">
        <v>815</v>
      </c>
      <c r="U305" t="s">
        <v>166</v>
      </c>
      <c r="V305" t="s">
        <v>903</v>
      </c>
      <c r="W305" t="s">
        <v>874</v>
      </c>
    </row>
    <row r="306" spans="1:23" x14ac:dyDescent="0.25">
      <c r="A306" t="s">
        <v>904</v>
      </c>
      <c r="B306" t="s">
        <v>904</v>
      </c>
      <c r="C306">
        <v>0</v>
      </c>
      <c r="D306" s="3">
        <v>0</v>
      </c>
      <c r="E306">
        <v>2</v>
      </c>
      <c r="G306">
        <v>80</v>
      </c>
      <c r="H306">
        <v>84</v>
      </c>
      <c r="I306">
        <v>8</v>
      </c>
      <c r="J306">
        <v>0</v>
      </c>
      <c r="K306">
        <v>-4</v>
      </c>
      <c r="L306">
        <v>0</v>
      </c>
      <c r="M306">
        <v>3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172</v>
      </c>
      <c r="T306" t="s">
        <v>815</v>
      </c>
      <c r="U306" t="s">
        <v>166</v>
      </c>
      <c r="V306" t="s">
        <v>903</v>
      </c>
      <c r="W306" t="s">
        <v>847</v>
      </c>
    </row>
    <row r="307" spans="1:23" x14ac:dyDescent="0.25">
      <c r="A307" t="s">
        <v>628</v>
      </c>
      <c r="B307" t="s">
        <v>628</v>
      </c>
      <c r="C307">
        <v>211.625</v>
      </c>
      <c r="D307" s="3">
        <v>211.625</v>
      </c>
      <c r="E307">
        <v>1988</v>
      </c>
      <c r="F307">
        <v>1400</v>
      </c>
      <c r="G307">
        <v>238</v>
      </c>
      <c r="H307">
        <v>202</v>
      </c>
      <c r="I307">
        <v>237</v>
      </c>
      <c r="J307">
        <v>168</v>
      </c>
      <c r="K307">
        <v>149</v>
      </c>
      <c r="L307">
        <v>254</v>
      </c>
      <c r="M307">
        <v>99</v>
      </c>
      <c r="N307">
        <v>122</v>
      </c>
      <c r="O307">
        <v>241</v>
      </c>
      <c r="P307">
        <v>246</v>
      </c>
      <c r="Q307">
        <v>221.25</v>
      </c>
      <c r="R307">
        <v>143</v>
      </c>
      <c r="S307">
        <v>2320.25</v>
      </c>
      <c r="T307" t="s">
        <v>815</v>
      </c>
      <c r="U307" t="s">
        <v>180</v>
      </c>
      <c r="V307" t="s">
        <v>905</v>
      </c>
      <c r="W307" t="s">
        <v>817</v>
      </c>
    </row>
    <row r="308" spans="1:23" x14ac:dyDescent="0.25">
      <c r="A308" t="s">
        <v>629</v>
      </c>
      <c r="B308" t="s">
        <v>629</v>
      </c>
      <c r="C308">
        <v>65</v>
      </c>
      <c r="D308" s="3">
        <v>65</v>
      </c>
      <c r="E308">
        <v>220</v>
      </c>
      <c r="G308">
        <v>92</v>
      </c>
      <c r="H308">
        <v>61</v>
      </c>
      <c r="I308">
        <v>99</v>
      </c>
      <c r="J308">
        <v>43</v>
      </c>
      <c r="K308">
        <v>63</v>
      </c>
      <c r="L308">
        <v>65</v>
      </c>
      <c r="M308">
        <v>83</v>
      </c>
      <c r="N308">
        <v>54</v>
      </c>
      <c r="O308">
        <v>65</v>
      </c>
      <c r="P308">
        <v>97</v>
      </c>
      <c r="Q308">
        <v>32</v>
      </c>
      <c r="R308">
        <v>80</v>
      </c>
      <c r="S308">
        <v>834</v>
      </c>
      <c r="T308" t="s">
        <v>815</v>
      </c>
      <c r="U308" t="s">
        <v>180</v>
      </c>
      <c r="V308" t="s">
        <v>905</v>
      </c>
      <c r="W308" t="s">
        <v>818</v>
      </c>
    </row>
    <row r="309" spans="1:23" x14ac:dyDescent="0.25">
      <c r="A309" t="s">
        <v>630</v>
      </c>
      <c r="B309" t="s">
        <v>630</v>
      </c>
      <c r="C309">
        <v>232.375</v>
      </c>
      <c r="D309" s="3">
        <v>232.375</v>
      </c>
      <c r="E309">
        <v>3975.75</v>
      </c>
      <c r="F309">
        <v>3500</v>
      </c>
      <c r="G309">
        <v>337.5</v>
      </c>
      <c r="H309">
        <v>189</v>
      </c>
      <c r="I309">
        <v>292</v>
      </c>
      <c r="J309">
        <v>208.25</v>
      </c>
      <c r="K309">
        <v>253.5</v>
      </c>
      <c r="L309">
        <v>226</v>
      </c>
      <c r="M309">
        <v>181</v>
      </c>
      <c r="N309">
        <v>201</v>
      </c>
      <c r="O309">
        <v>268</v>
      </c>
      <c r="P309">
        <v>284</v>
      </c>
      <c r="Q309">
        <v>238.75</v>
      </c>
      <c r="R309">
        <v>187</v>
      </c>
      <c r="S309">
        <v>2866</v>
      </c>
      <c r="T309" t="s">
        <v>815</v>
      </c>
      <c r="U309" t="s">
        <v>180</v>
      </c>
      <c r="V309" t="s">
        <v>906</v>
      </c>
      <c r="W309" t="s">
        <v>821</v>
      </c>
    </row>
    <row r="310" spans="1:23" x14ac:dyDescent="0.25">
      <c r="A310" t="s">
        <v>631</v>
      </c>
      <c r="B310" t="s">
        <v>631</v>
      </c>
      <c r="C310">
        <v>77</v>
      </c>
      <c r="D310" s="3">
        <v>77</v>
      </c>
      <c r="E310">
        <v>280</v>
      </c>
      <c r="G310">
        <v>107</v>
      </c>
      <c r="H310">
        <v>80</v>
      </c>
      <c r="I310">
        <v>156</v>
      </c>
      <c r="J310">
        <v>62</v>
      </c>
      <c r="K310">
        <v>79</v>
      </c>
      <c r="L310">
        <v>54</v>
      </c>
      <c r="M310">
        <v>94</v>
      </c>
      <c r="N310">
        <v>49</v>
      </c>
      <c r="O310">
        <v>75</v>
      </c>
      <c r="P310">
        <v>149</v>
      </c>
      <c r="Q310">
        <v>58</v>
      </c>
      <c r="R310">
        <v>54</v>
      </c>
      <c r="S310">
        <v>1017</v>
      </c>
      <c r="T310" t="s">
        <v>815</v>
      </c>
      <c r="U310" t="s">
        <v>180</v>
      </c>
      <c r="V310" t="s">
        <v>906</v>
      </c>
      <c r="W310" t="s">
        <v>823</v>
      </c>
    </row>
    <row r="311" spans="1:23" x14ac:dyDescent="0.25">
      <c r="A311" t="s">
        <v>707</v>
      </c>
      <c r="B311" t="s">
        <v>707</v>
      </c>
      <c r="C311">
        <v>25.5</v>
      </c>
      <c r="D311" s="3">
        <v>25.5</v>
      </c>
      <c r="E311">
        <v>56.75</v>
      </c>
      <c r="G311">
        <v>36</v>
      </c>
      <c r="H311">
        <v>9</v>
      </c>
      <c r="I311">
        <v>29</v>
      </c>
      <c r="J311">
        <v>26</v>
      </c>
      <c r="K311">
        <v>31</v>
      </c>
      <c r="L311">
        <v>25</v>
      </c>
      <c r="M311">
        <v>33.5</v>
      </c>
      <c r="N311">
        <v>12</v>
      </c>
      <c r="O311">
        <v>21</v>
      </c>
      <c r="P311">
        <v>23</v>
      </c>
      <c r="Q311">
        <v>39</v>
      </c>
      <c r="R311">
        <v>13</v>
      </c>
      <c r="S311">
        <v>297.5</v>
      </c>
      <c r="T311" t="s">
        <v>815</v>
      </c>
      <c r="U311" t="s">
        <v>180</v>
      </c>
      <c r="V311" t="s">
        <v>907</v>
      </c>
      <c r="W311" t="s">
        <v>817</v>
      </c>
    </row>
    <row r="312" spans="1:23" x14ac:dyDescent="0.25">
      <c r="A312" t="s">
        <v>908</v>
      </c>
      <c r="B312" t="s">
        <v>908</v>
      </c>
      <c r="C312">
        <v>3.5</v>
      </c>
      <c r="D312" s="3">
        <v>3.5</v>
      </c>
      <c r="E312">
        <v>23.25</v>
      </c>
      <c r="G312">
        <v>2</v>
      </c>
      <c r="H312">
        <v>10</v>
      </c>
      <c r="I312">
        <v>16</v>
      </c>
      <c r="J312">
        <v>18</v>
      </c>
      <c r="K312">
        <v>0</v>
      </c>
      <c r="L312">
        <v>5.5</v>
      </c>
      <c r="M312">
        <v>3</v>
      </c>
      <c r="N312">
        <v>4</v>
      </c>
      <c r="O312">
        <v>3</v>
      </c>
      <c r="P312">
        <v>3</v>
      </c>
      <c r="Q312">
        <v>11</v>
      </c>
      <c r="R312">
        <v>3</v>
      </c>
      <c r="S312">
        <v>78.5</v>
      </c>
      <c r="T312" t="s">
        <v>815</v>
      </c>
      <c r="U312" t="s">
        <v>180</v>
      </c>
      <c r="V312" t="s">
        <v>907</v>
      </c>
      <c r="W312" t="s">
        <v>818</v>
      </c>
    </row>
    <row r="313" spans="1:23" x14ac:dyDescent="0.25">
      <c r="A313" t="s">
        <v>632</v>
      </c>
      <c r="B313" t="s">
        <v>632</v>
      </c>
      <c r="C313">
        <v>333.125</v>
      </c>
      <c r="D313" s="3">
        <v>333.125</v>
      </c>
      <c r="E313">
        <v>2179</v>
      </c>
      <c r="F313">
        <v>1600</v>
      </c>
      <c r="G313">
        <v>407</v>
      </c>
      <c r="H313">
        <v>332.25</v>
      </c>
      <c r="I313">
        <v>446.25</v>
      </c>
      <c r="J313">
        <v>265.5</v>
      </c>
      <c r="K313">
        <v>226.25</v>
      </c>
      <c r="L313">
        <v>498.25</v>
      </c>
      <c r="M313">
        <v>225.5</v>
      </c>
      <c r="N313">
        <v>220</v>
      </c>
      <c r="O313">
        <v>363</v>
      </c>
      <c r="P313">
        <v>334</v>
      </c>
      <c r="Q313">
        <v>365.25</v>
      </c>
      <c r="R313">
        <v>237</v>
      </c>
      <c r="S313">
        <v>3920.25</v>
      </c>
      <c r="T313" t="s">
        <v>815</v>
      </c>
      <c r="U313" t="s">
        <v>180</v>
      </c>
      <c r="V313" t="s">
        <v>909</v>
      </c>
      <c r="W313" t="s">
        <v>821</v>
      </c>
    </row>
    <row r="314" spans="1:23" x14ac:dyDescent="0.25">
      <c r="A314" t="s">
        <v>633</v>
      </c>
      <c r="B314" t="s">
        <v>633</v>
      </c>
      <c r="C314">
        <v>156.125</v>
      </c>
      <c r="D314" s="3">
        <v>156.125</v>
      </c>
      <c r="E314">
        <v>493.5</v>
      </c>
      <c r="G314">
        <v>196</v>
      </c>
      <c r="H314">
        <v>157.25</v>
      </c>
      <c r="I314">
        <v>214</v>
      </c>
      <c r="J314">
        <v>191</v>
      </c>
      <c r="K314">
        <v>131</v>
      </c>
      <c r="L314">
        <v>254</v>
      </c>
      <c r="M314">
        <v>155</v>
      </c>
      <c r="N314">
        <v>122</v>
      </c>
      <c r="O314">
        <v>206</v>
      </c>
      <c r="P314">
        <v>150</v>
      </c>
      <c r="Q314">
        <v>137</v>
      </c>
      <c r="R314">
        <v>153</v>
      </c>
      <c r="S314">
        <v>2066.25</v>
      </c>
      <c r="T314" t="s">
        <v>815</v>
      </c>
      <c r="U314" t="s">
        <v>180</v>
      </c>
      <c r="V314" t="s">
        <v>909</v>
      </c>
      <c r="W314" t="s">
        <v>823</v>
      </c>
    </row>
    <row r="315" spans="1:23" x14ac:dyDescent="0.25">
      <c r="A315" t="s">
        <v>634</v>
      </c>
      <c r="B315" t="s">
        <v>634</v>
      </c>
      <c r="C315">
        <v>231.5</v>
      </c>
      <c r="D315" s="3">
        <v>231.5</v>
      </c>
      <c r="E315">
        <v>1291.75</v>
      </c>
      <c r="F315">
        <v>600</v>
      </c>
      <c r="G315">
        <v>367.25</v>
      </c>
      <c r="H315">
        <v>170</v>
      </c>
      <c r="I315">
        <v>262</v>
      </c>
      <c r="J315">
        <v>223.5</v>
      </c>
      <c r="K315">
        <v>139</v>
      </c>
      <c r="L315">
        <v>310</v>
      </c>
      <c r="M315">
        <v>128</v>
      </c>
      <c r="N315">
        <v>162.25</v>
      </c>
      <c r="O315">
        <v>243</v>
      </c>
      <c r="P315">
        <v>235</v>
      </c>
      <c r="Q315">
        <v>239.25</v>
      </c>
      <c r="R315">
        <v>228</v>
      </c>
      <c r="S315">
        <v>2707.25</v>
      </c>
      <c r="T315" t="s">
        <v>815</v>
      </c>
      <c r="U315" t="s">
        <v>180</v>
      </c>
      <c r="V315" t="s">
        <v>910</v>
      </c>
      <c r="W315" t="s">
        <v>817</v>
      </c>
    </row>
    <row r="316" spans="1:23" x14ac:dyDescent="0.25">
      <c r="A316" t="s">
        <v>635</v>
      </c>
      <c r="B316" t="s">
        <v>635</v>
      </c>
      <c r="C316">
        <v>128.5</v>
      </c>
      <c r="D316" s="3">
        <v>128.5</v>
      </c>
      <c r="E316">
        <v>527.5</v>
      </c>
      <c r="G316">
        <v>201</v>
      </c>
      <c r="H316">
        <v>112</v>
      </c>
      <c r="I316">
        <v>165</v>
      </c>
      <c r="J316">
        <v>141</v>
      </c>
      <c r="K316">
        <v>133</v>
      </c>
      <c r="L316">
        <v>178</v>
      </c>
      <c r="M316">
        <v>124</v>
      </c>
      <c r="N316">
        <v>119</v>
      </c>
      <c r="O316">
        <v>95</v>
      </c>
      <c r="P316">
        <v>139</v>
      </c>
      <c r="Q316">
        <v>85</v>
      </c>
      <c r="R316">
        <v>112</v>
      </c>
      <c r="S316">
        <v>1604</v>
      </c>
      <c r="T316" t="s">
        <v>815</v>
      </c>
      <c r="U316" t="s">
        <v>180</v>
      </c>
      <c r="V316" t="s">
        <v>910</v>
      </c>
      <c r="W316" t="s">
        <v>818</v>
      </c>
    </row>
    <row r="317" spans="1:23" x14ac:dyDescent="0.25">
      <c r="A317" t="s">
        <v>911</v>
      </c>
      <c r="B317" t="s">
        <v>911</v>
      </c>
      <c r="C317">
        <v>0</v>
      </c>
      <c r="D317" s="3">
        <v>0</v>
      </c>
      <c r="E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t="s">
        <v>815</v>
      </c>
      <c r="U317" t="s">
        <v>180</v>
      </c>
      <c r="V317" t="s">
        <v>912</v>
      </c>
      <c r="W317" t="s">
        <v>817</v>
      </c>
    </row>
    <row r="318" spans="1:23" x14ac:dyDescent="0.25">
      <c r="A318" t="s">
        <v>637</v>
      </c>
      <c r="B318" t="s">
        <v>637</v>
      </c>
      <c r="C318">
        <v>5</v>
      </c>
      <c r="D318" s="3">
        <v>5</v>
      </c>
      <c r="E318">
        <v>198</v>
      </c>
      <c r="G318">
        <v>0</v>
      </c>
      <c r="H318">
        <v>0</v>
      </c>
      <c r="I318">
        <v>0</v>
      </c>
      <c r="J318">
        <v>3</v>
      </c>
      <c r="K318">
        <v>16</v>
      </c>
      <c r="L318">
        <v>98</v>
      </c>
      <c r="M318">
        <v>26</v>
      </c>
      <c r="N318">
        <v>4</v>
      </c>
      <c r="O318">
        <v>4</v>
      </c>
      <c r="P318">
        <v>6</v>
      </c>
      <c r="Q318">
        <v>8</v>
      </c>
      <c r="R318">
        <v>10</v>
      </c>
      <c r="S318">
        <v>175</v>
      </c>
      <c r="T318" t="s">
        <v>815</v>
      </c>
      <c r="U318" t="s">
        <v>180</v>
      </c>
      <c r="V318" t="s">
        <v>912</v>
      </c>
      <c r="W318" t="s">
        <v>851</v>
      </c>
    </row>
    <row r="319" spans="1:23" x14ac:dyDescent="0.25">
      <c r="A319" t="s">
        <v>638</v>
      </c>
      <c r="B319" t="s">
        <v>638</v>
      </c>
      <c r="C319">
        <v>63.125</v>
      </c>
      <c r="D319" s="3">
        <v>63.125</v>
      </c>
      <c r="E319">
        <v>663.5</v>
      </c>
      <c r="F319">
        <v>500</v>
      </c>
      <c r="G319">
        <v>84.5</v>
      </c>
      <c r="H319">
        <v>50</v>
      </c>
      <c r="I319">
        <v>75</v>
      </c>
      <c r="J319">
        <v>103.25</v>
      </c>
      <c r="K319">
        <v>31</v>
      </c>
      <c r="L319">
        <v>-6</v>
      </c>
      <c r="M319">
        <v>57</v>
      </c>
      <c r="N319">
        <v>55</v>
      </c>
      <c r="O319">
        <v>61.25</v>
      </c>
      <c r="P319">
        <v>128</v>
      </c>
      <c r="Q319">
        <v>125</v>
      </c>
      <c r="R319">
        <v>65</v>
      </c>
      <c r="S319">
        <v>829</v>
      </c>
      <c r="T319" t="s">
        <v>815</v>
      </c>
      <c r="U319" t="s">
        <v>180</v>
      </c>
      <c r="V319" t="s">
        <v>912</v>
      </c>
      <c r="W319" t="s">
        <v>818</v>
      </c>
    </row>
    <row r="320" spans="1:23" x14ac:dyDescent="0.25">
      <c r="A320" t="s">
        <v>913</v>
      </c>
      <c r="B320" t="s">
        <v>913</v>
      </c>
      <c r="C320">
        <v>0</v>
      </c>
      <c r="D320" s="3">
        <v>0</v>
      </c>
      <c r="E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 t="s">
        <v>815</v>
      </c>
      <c r="U320" t="s">
        <v>180</v>
      </c>
      <c r="V320" t="s">
        <v>914</v>
      </c>
      <c r="W320" t="s">
        <v>821</v>
      </c>
    </row>
    <row r="321" spans="1:23" x14ac:dyDescent="0.25">
      <c r="A321" t="s">
        <v>639</v>
      </c>
      <c r="B321" t="s">
        <v>639</v>
      </c>
      <c r="C321">
        <v>97</v>
      </c>
      <c r="D321" s="3">
        <v>97</v>
      </c>
      <c r="E321">
        <v>1293</v>
      </c>
      <c r="F321">
        <v>1200</v>
      </c>
      <c r="G321">
        <v>135.5</v>
      </c>
      <c r="H321">
        <v>73</v>
      </c>
      <c r="I321">
        <v>143</v>
      </c>
      <c r="J321">
        <v>101</v>
      </c>
      <c r="K321">
        <v>66</v>
      </c>
      <c r="L321">
        <v>51</v>
      </c>
      <c r="M321">
        <v>71</v>
      </c>
      <c r="N321">
        <v>106</v>
      </c>
      <c r="O321">
        <v>72</v>
      </c>
      <c r="P321">
        <v>164</v>
      </c>
      <c r="Q321">
        <v>197</v>
      </c>
      <c r="R321">
        <v>93</v>
      </c>
      <c r="S321">
        <v>1272.5</v>
      </c>
      <c r="T321" t="s">
        <v>815</v>
      </c>
      <c r="U321" t="s">
        <v>180</v>
      </c>
      <c r="V321" t="s">
        <v>914</v>
      </c>
      <c r="W321" t="s">
        <v>823</v>
      </c>
    </row>
    <row r="322" spans="1:23" x14ac:dyDescent="0.25">
      <c r="A322" t="s">
        <v>641</v>
      </c>
      <c r="B322" t="s">
        <v>641</v>
      </c>
      <c r="C322">
        <v>8.5</v>
      </c>
      <c r="D322" s="3">
        <v>8.5</v>
      </c>
      <c r="E322">
        <v>386</v>
      </c>
      <c r="G322">
        <v>0</v>
      </c>
      <c r="H322">
        <v>0</v>
      </c>
      <c r="I322">
        <v>0</v>
      </c>
      <c r="J322">
        <v>3</v>
      </c>
      <c r="K322">
        <v>2</v>
      </c>
      <c r="L322">
        <v>95</v>
      </c>
      <c r="M322">
        <v>26</v>
      </c>
      <c r="N322">
        <v>8</v>
      </c>
      <c r="O322">
        <v>9</v>
      </c>
      <c r="P322">
        <v>12</v>
      </c>
      <c r="Q322">
        <v>11</v>
      </c>
      <c r="R322">
        <v>15</v>
      </c>
      <c r="S322">
        <v>181</v>
      </c>
      <c r="T322" t="s">
        <v>815</v>
      </c>
      <c r="U322" t="s">
        <v>180</v>
      </c>
      <c r="V322" t="s">
        <v>914</v>
      </c>
      <c r="W322" t="s">
        <v>874</v>
      </c>
    </row>
    <row r="323" spans="1:23" x14ac:dyDescent="0.25">
      <c r="A323" t="s">
        <v>642</v>
      </c>
      <c r="B323" t="s">
        <v>642</v>
      </c>
      <c r="C323">
        <v>0</v>
      </c>
      <c r="D323" s="3">
        <v>0</v>
      </c>
      <c r="E323">
        <v>25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t="s">
        <v>815</v>
      </c>
      <c r="U323" t="s">
        <v>180</v>
      </c>
      <c r="V323" t="s">
        <v>915</v>
      </c>
      <c r="W323" t="s">
        <v>818</v>
      </c>
    </row>
    <row r="324" spans="1:23" x14ac:dyDescent="0.25">
      <c r="A324" t="s">
        <v>643</v>
      </c>
      <c r="B324" t="s">
        <v>643</v>
      </c>
      <c r="C324">
        <v>0</v>
      </c>
      <c r="D324" s="3">
        <v>0</v>
      </c>
      <c r="E324">
        <v>19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4</v>
      </c>
      <c r="T324" t="s">
        <v>815</v>
      </c>
      <c r="U324" t="s">
        <v>180</v>
      </c>
      <c r="V324" t="s">
        <v>916</v>
      </c>
      <c r="W324" t="s">
        <v>847</v>
      </c>
    </row>
    <row r="325" spans="1:23" x14ac:dyDescent="0.25">
      <c r="A325" t="s">
        <v>645</v>
      </c>
      <c r="B325" t="s">
        <v>645</v>
      </c>
      <c r="C325">
        <v>0</v>
      </c>
      <c r="D325" s="3">
        <v>0</v>
      </c>
      <c r="E325">
        <v>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t="s">
        <v>815</v>
      </c>
      <c r="U325" t="s">
        <v>180</v>
      </c>
      <c r="V325" t="s">
        <v>917</v>
      </c>
      <c r="W325" t="s">
        <v>851</v>
      </c>
    </row>
    <row r="326" spans="1:23" x14ac:dyDescent="0.25">
      <c r="A326" t="s">
        <v>647</v>
      </c>
      <c r="B326" t="s">
        <v>647</v>
      </c>
      <c r="C326">
        <v>0</v>
      </c>
      <c r="D326" s="3">
        <v>0</v>
      </c>
      <c r="E326">
        <v>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1</v>
      </c>
      <c r="T326" t="s">
        <v>815</v>
      </c>
      <c r="U326" t="s">
        <v>180</v>
      </c>
      <c r="V326" t="s">
        <v>918</v>
      </c>
      <c r="W326" t="s">
        <v>874</v>
      </c>
    </row>
    <row r="327" spans="1:23" x14ac:dyDescent="0.25">
      <c r="A327" t="s">
        <v>746</v>
      </c>
      <c r="B327" t="s">
        <v>746</v>
      </c>
      <c r="C327">
        <v>5.5</v>
      </c>
      <c r="D327" s="3">
        <v>5.5</v>
      </c>
      <c r="E327">
        <v>22.25</v>
      </c>
      <c r="G327">
        <v>15</v>
      </c>
      <c r="H327">
        <v>1</v>
      </c>
      <c r="I327">
        <v>10</v>
      </c>
      <c r="J327">
        <v>14</v>
      </c>
      <c r="K327">
        <v>5</v>
      </c>
      <c r="L327">
        <v>6</v>
      </c>
      <c r="M327">
        <v>5</v>
      </c>
      <c r="N327">
        <v>3</v>
      </c>
      <c r="O327">
        <v>4</v>
      </c>
      <c r="P327">
        <v>9.25</v>
      </c>
      <c r="Q327">
        <v>9</v>
      </c>
      <c r="R327">
        <v>2</v>
      </c>
      <c r="S327">
        <v>83.25</v>
      </c>
      <c r="T327" t="s">
        <v>815</v>
      </c>
      <c r="U327" t="s">
        <v>294</v>
      </c>
      <c r="V327" t="s">
        <v>919</v>
      </c>
      <c r="W327" t="s">
        <v>817</v>
      </c>
    </row>
    <row r="328" spans="1:23" x14ac:dyDescent="0.25">
      <c r="A328" t="s">
        <v>920</v>
      </c>
      <c r="B328" t="s">
        <v>920</v>
      </c>
      <c r="C328">
        <v>0</v>
      </c>
      <c r="D328" s="3">
        <v>0</v>
      </c>
      <c r="E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 t="s">
        <v>815</v>
      </c>
      <c r="U328" t="s">
        <v>294</v>
      </c>
      <c r="V328" t="s">
        <v>919</v>
      </c>
      <c r="W328" t="s">
        <v>818</v>
      </c>
    </row>
    <row r="329" spans="1:23" x14ac:dyDescent="0.25">
      <c r="A329" t="s">
        <v>648</v>
      </c>
      <c r="B329" t="s">
        <v>648</v>
      </c>
      <c r="C329">
        <v>5.125</v>
      </c>
      <c r="D329" s="3">
        <v>5.125</v>
      </c>
      <c r="E329">
        <v>24.25</v>
      </c>
      <c r="G329">
        <v>16</v>
      </c>
      <c r="H329">
        <v>6</v>
      </c>
      <c r="I329">
        <v>4</v>
      </c>
      <c r="J329">
        <v>23</v>
      </c>
      <c r="K329">
        <v>4.25</v>
      </c>
      <c r="L329">
        <v>3</v>
      </c>
      <c r="M329">
        <v>3</v>
      </c>
      <c r="N329">
        <v>10</v>
      </c>
      <c r="O329">
        <v>4</v>
      </c>
      <c r="P329">
        <v>8</v>
      </c>
      <c r="Q329">
        <v>16</v>
      </c>
      <c r="R329">
        <v>1.25</v>
      </c>
      <c r="S329">
        <v>98.5</v>
      </c>
      <c r="T329" t="s">
        <v>815</v>
      </c>
      <c r="U329" t="s">
        <v>294</v>
      </c>
      <c r="V329" t="s">
        <v>921</v>
      </c>
      <c r="W329" t="s">
        <v>821</v>
      </c>
    </row>
    <row r="330" spans="1:23" x14ac:dyDescent="0.25">
      <c r="A330" t="s">
        <v>922</v>
      </c>
      <c r="B330" t="s">
        <v>922</v>
      </c>
      <c r="C330">
        <v>0</v>
      </c>
      <c r="D330" s="3">
        <v>0</v>
      </c>
      <c r="E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t="s">
        <v>815</v>
      </c>
      <c r="U330" t="s">
        <v>294</v>
      </c>
      <c r="V330" t="s">
        <v>921</v>
      </c>
      <c r="W330" t="s">
        <v>823</v>
      </c>
    </row>
    <row r="331" spans="1:23" x14ac:dyDescent="0.25">
      <c r="A331" t="s">
        <v>747</v>
      </c>
      <c r="B331" t="s">
        <v>747</v>
      </c>
      <c r="C331">
        <v>308.5</v>
      </c>
      <c r="D331" s="3">
        <v>308.5</v>
      </c>
      <c r="E331">
        <v>1041</v>
      </c>
      <c r="G331">
        <v>755</v>
      </c>
      <c r="H331">
        <v>695</v>
      </c>
      <c r="I331">
        <v>517</v>
      </c>
      <c r="J331">
        <v>453</v>
      </c>
      <c r="K331">
        <v>263</v>
      </c>
      <c r="L331">
        <v>334</v>
      </c>
      <c r="M331">
        <v>268</v>
      </c>
      <c r="N331">
        <v>144</v>
      </c>
      <c r="O331">
        <v>510</v>
      </c>
      <c r="P331">
        <v>236</v>
      </c>
      <c r="Q331">
        <v>283</v>
      </c>
      <c r="R331">
        <v>252</v>
      </c>
      <c r="S331">
        <v>4710</v>
      </c>
      <c r="T331" t="s">
        <v>815</v>
      </c>
      <c r="U331" t="s">
        <v>317</v>
      </c>
      <c r="V331" t="s">
        <v>923</v>
      </c>
      <c r="W331" t="s">
        <v>817</v>
      </c>
    </row>
    <row r="332" spans="1:23" x14ac:dyDescent="0.25">
      <c r="A332" t="s">
        <v>748</v>
      </c>
      <c r="B332" t="s">
        <v>748</v>
      </c>
      <c r="C332">
        <v>458.5</v>
      </c>
      <c r="D332" s="3">
        <v>458.5</v>
      </c>
      <c r="E332">
        <v>1842</v>
      </c>
      <c r="G332">
        <v>844</v>
      </c>
      <c r="H332">
        <v>940</v>
      </c>
      <c r="I332">
        <v>704</v>
      </c>
      <c r="J332">
        <v>509</v>
      </c>
      <c r="K332">
        <v>294</v>
      </c>
      <c r="L332">
        <v>434</v>
      </c>
      <c r="M332">
        <v>258</v>
      </c>
      <c r="N332">
        <v>186</v>
      </c>
      <c r="O332">
        <v>553</v>
      </c>
      <c r="P332">
        <v>249</v>
      </c>
      <c r="Q332">
        <v>387</v>
      </c>
      <c r="R332">
        <v>483</v>
      </c>
      <c r="S332">
        <v>5841</v>
      </c>
      <c r="T332" t="s">
        <v>815</v>
      </c>
      <c r="U332" t="s">
        <v>317</v>
      </c>
      <c r="V332" t="s">
        <v>924</v>
      </c>
      <c r="W332" t="s">
        <v>847</v>
      </c>
    </row>
    <row r="333" spans="1:23" x14ac:dyDescent="0.25">
      <c r="A333" t="s">
        <v>925</v>
      </c>
      <c r="B333" t="s">
        <v>925</v>
      </c>
      <c r="C333">
        <v>104</v>
      </c>
      <c r="D333" s="3">
        <v>104</v>
      </c>
      <c r="E333">
        <v>957</v>
      </c>
      <c r="G333">
        <v>346</v>
      </c>
      <c r="H333">
        <v>312</v>
      </c>
      <c r="I333">
        <v>324</v>
      </c>
      <c r="J333">
        <v>48</v>
      </c>
      <c r="K333">
        <v>120</v>
      </c>
      <c r="L333">
        <v>112</v>
      </c>
      <c r="M333">
        <v>44</v>
      </c>
      <c r="N333">
        <v>20</v>
      </c>
      <c r="O333">
        <v>96</v>
      </c>
      <c r="P333">
        <v>126</v>
      </c>
      <c r="Q333">
        <v>90</v>
      </c>
      <c r="R333">
        <v>80</v>
      </c>
      <c r="S333">
        <v>1718</v>
      </c>
      <c r="T333" t="s">
        <v>815</v>
      </c>
      <c r="U333" t="s">
        <v>317</v>
      </c>
      <c r="V333" t="s">
        <v>924</v>
      </c>
      <c r="W333" t="s">
        <v>817</v>
      </c>
    </row>
    <row r="334" spans="1:23" x14ac:dyDescent="0.25">
      <c r="A334" t="s">
        <v>749</v>
      </c>
      <c r="B334" t="s">
        <v>749</v>
      </c>
      <c r="C334">
        <v>208</v>
      </c>
      <c r="D334" s="3">
        <v>208</v>
      </c>
      <c r="E334">
        <v>975</v>
      </c>
      <c r="G334">
        <v>472</v>
      </c>
      <c r="H334">
        <v>514</v>
      </c>
      <c r="I334">
        <v>412</v>
      </c>
      <c r="J334">
        <v>214</v>
      </c>
      <c r="K334">
        <v>107</v>
      </c>
      <c r="L334">
        <v>164</v>
      </c>
      <c r="M334">
        <v>146</v>
      </c>
      <c r="N334">
        <v>88</v>
      </c>
      <c r="O334">
        <v>228</v>
      </c>
      <c r="P334">
        <v>88</v>
      </c>
      <c r="Q334">
        <v>202</v>
      </c>
      <c r="R334">
        <v>217</v>
      </c>
      <c r="S334">
        <v>2852</v>
      </c>
      <c r="T334" t="s">
        <v>815</v>
      </c>
      <c r="U334" t="s">
        <v>317</v>
      </c>
      <c r="V334" t="s">
        <v>926</v>
      </c>
      <c r="W334" t="s">
        <v>818</v>
      </c>
    </row>
    <row r="335" spans="1:23" x14ac:dyDescent="0.25">
      <c r="A335" t="s">
        <v>649</v>
      </c>
      <c r="B335" t="s">
        <v>649</v>
      </c>
      <c r="C335">
        <v>0</v>
      </c>
      <c r="D335" s="3">
        <v>0</v>
      </c>
      <c r="E335">
        <v>17.25</v>
      </c>
      <c r="G335">
        <v>0</v>
      </c>
      <c r="H335">
        <v>2</v>
      </c>
      <c r="I335">
        <v>5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1</v>
      </c>
      <c r="P335">
        <v>2</v>
      </c>
      <c r="Q335">
        <v>0</v>
      </c>
      <c r="R335">
        <v>0</v>
      </c>
      <c r="S335">
        <v>11</v>
      </c>
      <c r="T335" t="s">
        <v>815</v>
      </c>
      <c r="U335" t="s">
        <v>363</v>
      </c>
      <c r="V335" t="s">
        <v>927</v>
      </c>
      <c r="W335" t="s">
        <v>817</v>
      </c>
    </row>
    <row r="336" spans="1:23" x14ac:dyDescent="0.25">
      <c r="A336" t="s">
        <v>928</v>
      </c>
      <c r="B336" t="s">
        <v>928</v>
      </c>
      <c r="C336">
        <v>0</v>
      </c>
      <c r="D336" s="3">
        <v>0</v>
      </c>
      <c r="E336">
        <v>16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3</v>
      </c>
      <c r="T336" t="s">
        <v>815</v>
      </c>
      <c r="U336" t="s">
        <v>363</v>
      </c>
      <c r="V336" t="s">
        <v>927</v>
      </c>
      <c r="W336" t="s">
        <v>818</v>
      </c>
    </row>
    <row r="337" spans="1:23" x14ac:dyDescent="0.25">
      <c r="A337" t="s">
        <v>650</v>
      </c>
      <c r="B337" t="s">
        <v>650</v>
      </c>
      <c r="C337">
        <v>1</v>
      </c>
      <c r="D337" s="3">
        <v>1</v>
      </c>
      <c r="E337">
        <v>14.5</v>
      </c>
      <c r="G337">
        <v>2</v>
      </c>
      <c r="H337">
        <v>0</v>
      </c>
      <c r="I337">
        <v>4</v>
      </c>
      <c r="J337">
        <v>2</v>
      </c>
      <c r="K337">
        <v>1</v>
      </c>
      <c r="L337">
        <v>0</v>
      </c>
      <c r="M337">
        <v>1</v>
      </c>
      <c r="N337">
        <v>0</v>
      </c>
      <c r="O337">
        <v>0</v>
      </c>
      <c r="P337">
        <v>3</v>
      </c>
      <c r="Q337">
        <v>0</v>
      </c>
      <c r="R337">
        <v>1</v>
      </c>
      <c r="S337">
        <v>14</v>
      </c>
      <c r="T337" t="s">
        <v>815</v>
      </c>
      <c r="U337" t="s">
        <v>363</v>
      </c>
      <c r="V337" t="s">
        <v>929</v>
      </c>
      <c r="W337" t="s">
        <v>821</v>
      </c>
    </row>
    <row r="338" spans="1:23" x14ac:dyDescent="0.25">
      <c r="A338" t="s">
        <v>930</v>
      </c>
      <c r="B338" t="s">
        <v>930</v>
      </c>
      <c r="C338">
        <v>0</v>
      </c>
      <c r="D338" s="3">
        <v>0</v>
      </c>
      <c r="E338">
        <v>10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2</v>
      </c>
      <c r="M338">
        <v>0</v>
      </c>
      <c r="N338">
        <v>0</v>
      </c>
      <c r="O338">
        <v>1</v>
      </c>
      <c r="P338">
        <v>0</v>
      </c>
      <c r="Q338">
        <v>1</v>
      </c>
      <c r="R338">
        <v>0</v>
      </c>
      <c r="S338">
        <v>4</v>
      </c>
      <c r="T338" t="s">
        <v>815</v>
      </c>
      <c r="U338" t="s">
        <v>363</v>
      </c>
      <c r="V338" t="s">
        <v>929</v>
      </c>
      <c r="W338" t="s">
        <v>823</v>
      </c>
    </row>
    <row r="339" spans="1:23" x14ac:dyDescent="0.25">
      <c r="A339" t="s">
        <v>651</v>
      </c>
      <c r="B339" t="s">
        <v>651</v>
      </c>
      <c r="C339">
        <v>0</v>
      </c>
      <c r="D339" s="3">
        <v>0</v>
      </c>
      <c r="E339">
        <v>34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815</v>
      </c>
      <c r="U339" t="s">
        <v>363</v>
      </c>
      <c r="V339" t="s">
        <v>931</v>
      </c>
      <c r="W339" t="s">
        <v>868</v>
      </c>
    </row>
    <row r="340" spans="1:23" x14ac:dyDescent="0.25">
      <c r="A340" t="s">
        <v>750</v>
      </c>
      <c r="B340" t="s">
        <v>750</v>
      </c>
      <c r="C340">
        <v>0.875</v>
      </c>
      <c r="D340" s="3">
        <v>0.875</v>
      </c>
      <c r="E340">
        <v>15.75</v>
      </c>
      <c r="G340">
        <v>0</v>
      </c>
      <c r="H340">
        <v>2</v>
      </c>
      <c r="I340">
        <v>2</v>
      </c>
      <c r="J340">
        <v>2</v>
      </c>
      <c r="K340">
        <v>0</v>
      </c>
      <c r="L340">
        <v>1.75</v>
      </c>
      <c r="M340">
        <v>0</v>
      </c>
      <c r="N340">
        <v>0</v>
      </c>
      <c r="O340">
        <v>0</v>
      </c>
      <c r="P340">
        <v>0</v>
      </c>
      <c r="Q340">
        <v>2</v>
      </c>
      <c r="R340">
        <v>2</v>
      </c>
      <c r="S340">
        <v>11.75</v>
      </c>
      <c r="T340" t="s">
        <v>815</v>
      </c>
      <c r="U340" t="s">
        <v>363</v>
      </c>
      <c r="V340" t="s">
        <v>931</v>
      </c>
      <c r="W340" t="s">
        <v>818</v>
      </c>
    </row>
    <row r="341" spans="1:23" x14ac:dyDescent="0.25">
      <c r="A341" t="s">
        <v>652</v>
      </c>
      <c r="B341" t="s">
        <v>652</v>
      </c>
      <c r="C341">
        <v>0</v>
      </c>
      <c r="D341" s="3">
        <v>0</v>
      </c>
      <c r="E341">
        <v>41.75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</v>
      </c>
      <c r="S341">
        <v>2</v>
      </c>
      <c r="T341" t="s">
        <v>815</v>
      </c>
      <c r="U341" t="s">
        <v>363</v>
      </c>
      <c r="V341" t="s">
        <v>932</v>
      </c>
      <c r="W341" t="s">
        <v>933</v>
      </c>
    </row>
    <row r="342" spans="1:23" x14ac:dyDescent="0.25">
      <c r="A342" t="s">
        <v>751</v>
      </c>
      <c r="B342" t="s">
        <v>751</v>
      </c>
      <c r="C342">
        <v>0</v>
      </c>
      <c r="D342" s="3">
        <v>0</v>
      </c>
      <c r="E342">
        <v>24.25</v>
      </c>
      <c r="G342">
        <v>0</v>
      </c>
      <c r="H342">
        <v>2</v>
      </c>
      <c r="I342">
        <v>2</v>
      </c>
      <c r="J342">
        <v>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4</v>
      </c>
      <c r="R342">
        <v>2</v>
      </c>
      <c r="S342">
        <v>12</v>
      </c>
      <c r="T342" t="s">
        <v>815</v>
      </c>
      <c r="U342" t="s">
        <v>363</v>
      </c>
      <c r="V342" t="s">
        <v>932</v>
      </c>
      <c r="W342" t="s">
        <v>823</v>
      </c>
    </row>
    <row r="343" spans="1:23" x14ac:dyDescent="0.25">
      <c r="A343" t="s">
        <v>653</v>
      </c>
      <c r="B343" t="s">
        <v>653</v>
      </c>
      <c r="C343">
        <v>42</v>
      </c>
      <c r="D343" s="3">
        <v>42</v>
      </c>
      <c r="E343">
        <v>149</v>
      </c>
      <c r="F343">
        <v>42</v>
      </c>
      <c r="G343">
        <v>116</v>
      </c>
      <c r="H343">
        <v>40</v>
      </c>
      <c r="I343">
        <v>40</v>
      </c>
      <c r="J343">
        <v>44</v>
      </c>
      <c r="K343">
        <v>36</v>
      </c>
      <c r="L343">
        <v>88</v>
      </c>
      <c r="M343">
        <v>72</v>
      </c>
      <c r="N343">
        <v>8</v>
      </c>
      <c r="O343">
        <v>56</v>
      </c>
      <c r="P343">
        <v>88</v>
      </c>
      <c r="Q343">
        <v>16</v>
      </c>
      <c r="R343">
        <v>40</v>
      </c>
      <c r="S343">
        <v>644</v>
      </c>
      <c r="T343" t="s">
        <v>815</v>
      </c>
      <c r="U343" t="s">
        <v>420</v>
      </c>
      <c r="V343" t="s">
        <v>934</v>
      </c>
      <c r="W343" t="s">
        <v>817</v>
      </c>
    </row>
    <row r="344" spans="1:23" x14ac:dyDescent="0.25">
      <c r="A344" t="s">
        <v>935</v>
      </c>
      <c r="B344" t="s">
        <v>935</v>
      </c>
      <c r="C344">
        <v>48.5</v>
      </c>
      <c r="D344" s="3">
        <v>48.5</v>
      </c>
      <c r="E344">
        <v>248</v>
      </c>
      <c r="G344">
        <v>144</v>
      </c>
      <c r="H344">
        <v>68</v>
      </c>
      <c r="I344">
        <v>28</v>
      </c>
      <c r="J344">
        <v>56</v>
      </c>
      <c r="K344">
        <v>29</v>
      </c>
      <c r="L344">
        <v>80</v>
      </c>
      <c r="M344">
        <v>88</v>
      </c>
      <c r="N344">
        <v>8</v>
      </c>
      <c r="O344">
        <v>41</v>
      </c>
      <c r="P344">
        <v>104</v>
      </c>
      <c r="Q344">
        <v>36</v>
      </c>
      <c r="R344">
        <v>36</v>
      </c>
      <c r="S344">
        <v>718</v>
      </c>
      <c r="T344" t="s">
        <v>815</v>
      </c>
      <c r="U344" t="s">
        <v>420</v>
      </c>
      <c r="V344" t="s">
        <v>936</v>
      </c>
      <c r="W344" t="s">
        <v>817</v>
      </c>
    </row>
    <row r="345" spans="1:23" x14ac:dyDescent="0.25">
      <c r="A345" t="s">
        <v>937</v>
      </c>
      <c r="B345" t="s">
        <v>937</v>
      </c>
      <c r="C345">
        <v>0</v>
      </c>
      <c r="D345" s="3">
        <v>0</v>
      </c>
      <c r="E345">
        <v>48</v>
      </c>
      <c r="G345">
        <v>0</v>
      </c>
      <c r="H345">
        <v>0</v>
      </c>
      <c r="I345">
        <v>2</v>
      </c>
      <c r="J345">
        <v>2</v>
      </c>
      <c r="K345">
        <v>0</v>
      </c>
      <c r="L345">
        <v>0</v>
      </c>
      <c r="M345">
        <v>3</v>
      </c>
      <c r="N345">
        <v>1</v>
      </c>
      <c r="O345">
        <v>0</v>
      </c>
      <c r="P345">
        <v>0</v>
      </c>
      <c r="Q345">
        <v>2</v>
      </c>
      <c r="R345">
        <v>0</v>
      </c>
      <c r="S345">
        <v>10</v>
      </c>
      <c r="T345" t="s">
        <v>815</v>
      </c>
      <c r="U345" t="s">
        <v>460</v>
      </c>
      <c r="V345" t="s">
        <v>938</v>
      </c>
      <c r="W345" t="s">
        <v>817</v>
      </c>
    </row>
    <row r="346" spans="1:23" x14ac:dyDescent="0.25">
      <c r="A346" t="s">
        <v>939</v>
      </c>
      <c r="B346" t="s">
        <v>939</v>
      </c>
      <c r="C346">
        <v>0</v>
      </c>
      <c r="D346" s="3">
        <v>0</v>
      </c>
      <c r="E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815</v>
      </c>
      <c r="U346" t="s">
        <v>460</v>
      </c>
      <c r="V346" t="s">
        <v>938</v>
      </c>
      <c r="W346" t="s">
        <v>818</v>
      </c>
    </row>
    <row r="347" spans="1:23" x14ac:dyDescent="0.25">
      <c r="A347" t="s">
        <v>654</v>
      </c>
      <c r="B347" t="s">
        <v>654</v>
      </c>
      <c r="C347">
        <v>7.5</v>
      </c>
      <c r="D347" s="3">
        <v>7.5</v>
      </c>
      <c r="E347">
        <v>55.5</v>
      </c>
      <c r="G347">
        <v>20</v>
      </c>
      <c r="H347">
        <v>15</v>
      </c>
      <c r="I347">
        <v>18</v>
      </c>
      <c r="J347">
        <v>9</v>
      </c>
      <c r="K347">
        <v>7</v>
      </c>
      <c r="L347">
        <v>14</v>
      </c>
      <c r="M347">
        <v>3</v>
      </c>
      <c r="N347">
        <v>4</v>
      </c>
      <c r="O347">
        <v>8</v>
      </c>
      <c r="P347">
        <v>2</v>
      </c>
      <c r="Q347">
        <v>6</v>
      </c>
      <c r="R347">
        <v>1</v>
      </c>
      <c r="S347">
        <v>107</v>
      </c>
      <c r="T347" t="s">
        <v>815</v>
      </c>
      <c r="U347" t="s">
        <v>460</v>
      </c>
      <c r="V347" t="s">
        <v>940</v>
      </c>
      <c r="W347" t="s">
        <v>821</v>
      </c>
    </row>
    <row r="348" spans="1:23" x14ac:dyDescent="0.25">
      <c r="A348" t="s">
        <v>941</v>
      </c>
      <c r="B348" t="s">
        <v>941</v>
      </c>
      <c r="C348">
        <v>0</v>
      </c>
      <c r="D348" s="3">
        <v>0</v>
      </c>
      <c r="E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 t="s">
        <v>815</v>
      </c>
      <c r="U348" t="s">
        <v>460</v>
      </c>
      <c r="V348" t="s">
        <v>940</v>
      </c>
      <c r="W348" t="s">
        <v>823</v>
      </c>
    </row>
    <row r="349" spans="1:23" x14ac:dyDescent="0.25">
      <c r="A349" t="s">
        <v>942</v>
      </c>
      <c r="B349" t="s">
        <v>942</v>
      </c>
      <c r="C349">
        <v>24.5</v>
      </c>
      <c r="D349" s="3">
        <v>24.5</v>
      </c>
      <c r="E349">
        <v>147</v>
      </c>
      <c r="G349">
        <v>77</v>
      </c>
      <c r="H349">
        <v>108</v>
      </c>
      <c r="I349">
        <v>55</v>
      </c>
      <c r="J349">
        <v>24</v>
      </c>
      <c r="K349">
        <v>23</v>
      </c>
      <c r="L349">
        <v>33</v>
      </c>
      <c r="M349">
        <v>18</v>
      </c>
      <c r="N349">
        <v>24</v>
      </c>
      <c r="O349">
        <v>49</v>
      </c>
      <c r="P349">
        <v>25</v>
      </c>
      <c r="Q349">
        <v>7</v>
      </c>
      <c r="R349">
        <v>17</v>
      </c>
      <c r="S349">
        <v>460</v>
      </c>
      <c r="T349" t="s">
        <v>815</v>
      </c>
      <c r="U349" t="s">
        <v>943</v>
      </c>
      <c r="V349" t="s">
        <v>944</v>
      </c>
      <c r="W349" t="s">
        <v>868</v>
      </c>
    </row>
    <row r="350" spans="1:23" x14ac:dyDescent="0.25">
      <c r="A350" t="s">
        <v>945</v>
      </c>
      <c r="B350" t="s">
        <v>945</v>
      </c>
      <c r="C350">
        <v>42</v>
      </c>
      <c r="D350" s="3">
        <v>42</v>
      </c>
      <c r="E350">
        <v>154</v>
      </c>
      <c r="G350">
        <v>100</v>
      </c>
      <c r="H350">
        <v>83</v>
      </c>
      <c r="I350">
        <v>122</v>
      </c>
      <c r="J350">
        <v>21</v>
      </c>
      <c r="K350">
        <v>20</v>
      </c>
      <c r="L350">
        <v>43</v>
      </c>
      <c r="M350">
        <v>44</v>
      </c>
      <c r="N350">
        <v>24</v>
      </c>
      <c r="O350">
        <v>63</v>
      </c>
      <c r="P350">
        <v>41</v>
      </c>
      <c r="Q350">
        <v>1</v>
      </c>
      <c r="R350">
        <v>25</v>
      </c>
      <c r="S350">
        <v>587</v>
      </c>
      <c r="T350" t="s">
        <v>815</v>
      </c>
      <c r="U350" t="s">
        <v>943</v>
      </c>
      <c r="V350" t="s">
        <v>946</v>
      </c>
      <c r="W350" t="s">
        <v>868</v>
      </c>
    </row>
    <row r="351" spans="1:23" x14ac:dyDescent="0.25">
      <c r="A351" t="s">
        <v>947</v>
      </c>
      <c r="B351" t="s">
        <v>947</v>
      </c>
      <c r="C351">
        <v>20.5</v>
      </c>
      <c r="D351" s="3">
        <v>20.5</v>
      </c>
      <c r="E351">
        <v>207.5</v>
      </c>
      <c r="G351">
        <v>33</v>
      </c>
      <c r="H351">
        <v>59</v>
      </c>
      <c r="I351">
        <v>79</v>
      </c>
      <c r="J351">
        <v>41</v>
      </c>
      <c r="K351">
        <v>13</v>
      </c>
      <c r="L351">
        <v>80</v>
      </c>
      <c r="M351">
        <v>17</v>
      </c>
      <c r="N351">
        <v>-2</v>
      </c>
      <c r="O351">
        <v>22</v>
      </c>
      <c r="P351">
        <v>19</v>
      </c>
      <c r="Q351">
        <v>6</v>
      </c>
      <c r="R351">
        <v>15</v>
      </c>
      <c r="S351">
        <v>382</v>
      </c>
      <c r="T351" t="s">
        <v>815</v>
      </c>
      <c r="U351" t="s">
        <v>492</v>
      </c>
      <c r="V351" t="s">
        <v>948</v>
      </c>
      <c r="W351" t="s">
        <v>821</v>
      </c>
    </row>
    <row r="352" spans="1:23" x14ac:dyDescent="0.25">
      <c r="A352" t="s">
        <v>655</v>
      </c>
      <c r="B352" t="s">
        <v>655</v>
      </c>
      <c r="C352">
        <v>69.25</v>
      </c>
      <c r="D352" s="3">
        <v>69.25</v>
      </c>
      <c r="E352">
        <v>239.5</v>
      </c>
      <c r="G352">
        <v>57</v>
      </c>
      <c r="H352">
        <v>137</v>
      </c>
      <c r="I352">
        <v>108</v>
      </c>
      <c r="J352">
        <v>79.25</v>
      </c>
      <c r="K352">
        <v>35</v>
      </c>
      <c r="L352">
        <v>133</v>
      </c>
      <c r="M352">
        <v>39</v>
      </c>
      <c r="N352">
        <v>35</v>
      </c>
      <c r="O352">
        <v>75.5</v>
      </c>
      <c r="P352">
        <v>56</v>
      </c>
      <c r="Q352">
        <v>80</v>
      </c>
      <c r="R352">
        <v>63</v>
      </c>
      <c r="S352">
        <v>897.75</v>
      </c>
      <c r="T352" t="s">
        <v>815</v>
      </c>
      <c r="U352" t="s">
        <v>492</v>
      </c>
      <c r="V352" t="s">
        <v>949</v>
      </c>
      <c r="W352" t="s">
        <v>817</v>
      </c>
    </row>
    <row r="353" spans="1:23" x14ac:dyDescent="0.25">
      <c r="A353" t="s">
        <v>752</v>
      </c>
      <c r="B353" t="s">
        <v>752</v>
      </c>
      <c r="C353">
        <v>13.5</v>
      </c>
      <c r="D353" s="3">
        <v>13.5</v>
      </c>
      <c r="E353">
        <v>47.5</v>
      </c>
      <c r="G353">
        <v>17</v>
      </c>
      <c r="H353">
        <v>4</v>
      </c>
      <c r="I353">
        <v>12</v>
      </c>
      <c r="J353">
        <v>47</v>
      </c>
      <c r="K353">
        <v>9</v>
      </c>
      <c r="L353">
        <v>27</v>
      </c>
      <c r="M353">
        <v>15</v>
      </c>
      <c r="N353">
        <v>5</v>
      </c>
      <c r="O353">
        <v>10.25</v>
      </c>
      <c r="P353">
        <v>16</v>
      </c>
      <c r="Q353">
        <v>15.25</v>
      </c>
      <c r="R353">
        <v>9</v>
      </c>
      <c r="S353">
        <v>186.5</v>
      </c>
      <c r="T353" t="s">
        <v>815</v>
      </c>
      <c r="U353" t="s">
        <v>492</v>
      </c>
      <c r="V353" t="s">
        <v>949</v>
      </c>
      <c r="W353" t="s">
        <v>818</v>
      </c>
    </row>
    <row r="354" spans="1:23" x14ac:dyDescent="0.25">
      <c r="A354" t="s">
        <v>708</v>
      </c>
      <c r="B354" t="s">
        <v>708</v>
      </c>
      <c r="C354">
        <v>46</v>
      </c>
      <c r="D354" s="3">
        <v>46</v>
      </c>
      <c r="E354">
        <v>122.25</v>
      </c>
      <c r="G354">
        <v>58</v>
      </c>
      <c r="H354">
        <v>63.75</v>
      </c>
      <c r="I354">
        <v>94</v>
      </c>
      <c r="J354">
        <v>42</v>
      </c>
      <c r="K354">
        <v>38.25</v>
      </c>
      <c r="L354">
        <v>60</v>
      </c>
      <c r="M354">
        <v>25</v>
      </c>
      <c r="N354">
        <v>18</v>
      </c>
      <c r="O354">
        <v>50</v>
      </c>
      <c r="P354">
        <v>35</v>
      </c>
      <c r="Q354">
        <v>21.5</v>
      </c>
      <c r="R354">
        <v>65</v>
      </c>
      <c r="S354">
        <v>570.5</v>
      </c>
      <c r="T354" t="s">
        <v>815</v>
      </c>
      <c r="U354" t="s">
        <v>492</v>
      </c>
      <c r="V354" t="s">
        <v>950</v>
      </c>
      <c r="W354" t="s">
        <v>821</v>
      </c>
    </row>
    <row r="355" spans="1:23" x14ac:dyDescent="0.25">
      <c r="A355" t="s">
        <v>753</v>
      </c>
      <c r="B355" t="s">
        <v>753</v>
      </c>
      <c r="C355">
        <v>12.5</v>
      </c>
      <c r="D355" s="3">
        <v>12.5</v>
      </c>
      <c r="E355">
        <v>61.75</v>
      </c>
      <c r="G355">
        <v>26</v>
      </c>
      <c r="H355">
        <v>9</v>
      </c>
      <c r="I355">
        <v>13</v>
      </c>
      <c r="J355">
        <v>40</v>
      </c>
      <c r="K355">
        <v>6.75</v>
      </c>
      <c r="L355">
        <v>25</v>
      </c>
      <c r="M355">
        <v>14</v>
      </c>
      <c r="N355">
        <v>12</v>
      </c>
      <c r="O355">
        <v>10</v>
      </c>
      <c r="P355">
        <v>12</v>
      </c>
      <c r="Q355">
        <v>15</v>
      </c>
      <c r="R355">
        <v>10</v>
      </c>
      <c r="S355">
        <v>192.75</v>
      </c>
      <c r="T355" t="s">
        <v>815</v>
      </c>
      <c r="U355" t="s">
        <v>492</v>
      </c>
      <c r="V355" t="s">
        <v>950</v>
      </c>
      <c r="W355" t="s">
        <v>823</v>
      </c>
    </row>
    <row r="356" spans="1:23" x14ac:dyDescent="0.25">
      <c r="A356" t="s">
        <v>656</v>
      </c>
      <c r="B356" t="s">
        <v>656</v>
      </c>
      <c r="C356">
        <v>0</v>
      </c>
      <c r="D356" s="3">
        <v>0</v>
      </c>
      <c r="E356">
        <v>45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3</v>
      </c>
      <c r="S356">
        <v>3</v>
      </c>
      <c r="T356" t="s">
        <v>815</v>
      </c>
      <c r="U356" t="s">
        <v>492</v>
      </c>
      <c r="V356" t="s">
        <v>951</v>
      </c>
      <c r="W356" t="s">
        <v>818</v>
      </c>
    </row>
    <row r="357" spans="1:23" x14ac:dyDescent="0.25">
      <c r="A357" t="s">
        <v>768</v>
      </c>
      <c r="B357" t="s">
        <v>768</v>
      </c>
      <c r="C357">
        <v>112</v>
      </c>
      <c r="D357" s="3">
        <v>112</v>
      </c>
      <c r="E357">
        <v>548</v>
      </c>
      <c r="G357">
        <v>96</v>
      </c>
      <c r="H357">
        <v>474</v>
      </c>
      <c r="I357">
        <v>112</v>
      </c>
      <c r="J357">
        <v>112</v>
      </c>
      <c r="K357">
        <v>121</v>
      </c>
      <c r="L357">
        <v>211</v>
      </c>
      <c r="M357">
        <v>100</v>
      </c>
      <c r="N357">
        <v>42</v>
      </c>
      <c r="O357">
        <v>128</v>
      </c>
      <c r="P357">
        <v>177</v>
      </c>
      <c r="Q357">
        <v>66</v>
      </c>
      <c r="R357">
        <v>78</v>
      </c>
      <c r="S357">
        <v>1717</v>
      </c>
      <c r="T357" t="s">
        <v>815</v>
      </c>
      <c r="U357" t="s">
        <v>568</v>
      </c>
      <c r="V357" t="s">
        <v>952</v>
      </c>
      <c r="W357" t="s">
        <v>818</v>
      </c>
    </row>
    <row r="358" spans="1:23" x14ac:dyDescent="0.25">
      <c r="A358" t="s">
        <v>953</v>
      </c>
      <c r="B358" t="s">
        <v>953</v>
      </c>
      <c r="C358">
        <v>0</v>
      </c>
      <c r="D358" s="3">
        <v>0</v>
      </c>
      <c r="E358">
        <v>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0</v>
      </c>
      <c r="Q358">
        <v>0</v>
      </c>
      <c r="R358">
        <v>0</v>
      </c>
      <c r="S358">
        <v>2</v>
      </c>
      <c r="T358" t="s">
        <v>815</v>
      </c>
      <c r="U358" t="s">
        <v>568</v>
      </c>
      <c r="V358" t="s">
        <v>954</v>
      </c>
      <c r="W358" t="s">
        <v>883</v>
      </c>
    </row>
    <row r="359" spans="1:23" x14ac:dyDescent="0.25">
      <c r="A359" t="s">
        <v>955</v>
      </c>
      <c r="B359" t="s">
        <v>955</v>
      </c>
      <c r="C359">
        <v>0</v>
      </c>
      <c r="D359" s="3">
        <v>0</v>
      </c>
      <c r="E359">
        <v>113</v>
      </c>
      <c r="G359">
        <v>0</v>
      </c>
      <c r="H359">
        <v>8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8</v>
      </c>
      <c r="T359" t="s">
        <v>815</v>
      </c>
      <c r="U359" t="s">
        <v>568</v>
      </c>
      <c r="V359" t="s">
        <v>954</v>
      </c>
      <c r="W359" t="s">
        <v>818</v>
      </c>
    </row>
    <row r="360" spans="1:23" x14ac:dyDescent="0.25">
      <c r="A360" t="s">
        <v>769</v>
      </c>
      <c r="B360" t="s">
        <v>769</v>
      </c>
      <c r="C360">
        <v>91</v>
      </c>
      <c r="D360" s="3">
        <v>91</v>
      </c>
      <c r="E360">
        <v>465</v>
      </c>
      <c r="G360">
        <v>79</v>
      </c>
      <c r="H360">
        <v>480</v>
      </c>
      <c r="I360">
        <v>100</v>
      </c>
      <c r="J360">
        <v>77</v>
      </c>
      <c r="K360">
        <v>85</v>
      </c>
      <c r="L360">
        <v>249</v>
      </c>
      <c r="M360">
        <v>97</v>
      </c>
      <c r="N360">
        <v>26</v>
      </c>
      <c r="O360">
        <v>102</v>
      </c>
      <c r="P360">
        <v>144</v>
      </c>
      <c r="Q360">
        <v>52</v>
      </c>
      <c r="R360">
        <v>70</v>
      </c>
      <c r="S360">
        <v>1561</v>
      </c>
      <c r="T360" t="s">
        <v>815</v>
      </c>
      <c r="U360" t="s">
        <v>568</v>
      </c>
      <c r="V360" t="s">
        <v>956</v>
      </c>
      <c r="W360" t="s">
        <v>847</v>
      </c>
    </row>
    <row r="361" spans="1:23" x14ac:dyDescent="0.25">
      <c r="A361" t="s">
        <v>957</v>
      </c>
      <c r="B361" t="s">
        <v>957</v>
      </c>
      <c r="C361">
        <v>0</v>
      </c>
      <c r="D361" s="3">
        <v>0</v>
      </c>
      <c r="E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815</v>
      </c>
      <c r="U361" t="s">
        <v>568</v>
      </c>
      <c r="V361" t="s">
        <v>956</v>
      </c>
      <c r="W361" t="s">
        <v>958</v>
      </c>
    </row>
    <row r="362" spans="1:23" x14ac:dyDescent="0.25">
      <c r="A362" t="s">
        <v>698</v>
      </c>
      <c r="B362" t="s">
        <v>698</v>
      </c>
      <c r="C362">
        <v>84.625</v>
      </c>
      <c r="D362" s="3">
        <v>84.625</v>
      </c>
      <c r="E362">
        <v>635</v>
      </c>
      <c r="F362">
        <v>400</v>
      </c>
      <c r="G362">
        <v>61</v>
      </c>
      <c r="H362">
        <v>39</v>
      </c>
      <c r="I362">
        <v>101</v>
      </c>
      <c r="J362">
        <v>89</v>
      </c>
      <c r="K362">
        <v>56</v>
      </c>
      <c r="L362">
        <v>105</v>
      </c>
      <c r="M362">
        <v>56</v>
      </c>
      <c r="N362">
        <v>37</v>
      </c>
      <c r="O362">
        <v>86.25</v>
      </c>
      <c r="P362">
        <v>123</v>
      </c>
      <c r="Q362">
        <v>90</v>
      </c>
      <c r="R362">
        <v>83</v>
      </c>
      <c r="S362">
        <v>926.25</v>
      </c>
      <c r="T362" t="s">
        <v>815</v>
      </c>
      <c r="U362" t="s">
        <v>959</v>
      </c>
      <c r="V362" t="s">
        <v>960</v>
      </c>
      <c r="W362" t="s">
        <v>817</v>
      </c>
    </row>
    <row r="363" spans="1:23" x14ac:dyDescent="0.25">
      <c r="A363" t="s">
        <v>961</v>
      </c>
      <c r="B363" t="s">
        <v>961</v>
      </c>
      <c r="C363">
        <v>0</v>
      </c>
      <c r="D363" s="3">
        <v>0</v>
      </c>
      <c r="E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815</v>
      </c>
      <c r="U363" t="s">
        <v>959</v>
      </c>
      <c r="V363" t="s">
        <v>960</v>
      </c>
      <c r="W363" t="s">
        <v>818</v>
      </c>
    </row>
    <row r="364" spans="1:23" x14ac:dyDescent="0.25">
      <c r="A364" t="s">
        <v>699</v>
      </c>
      <c r="B364" t="s">
        <v>699</v>
      </c>
      <c r="C364">
        <v>102.125</v>
      </c>
      <c r="D364" s="3">
        <v>102.125</v>
      </c>
      <c r="E364">
        <v>649</v>
      </c>
      <c r="F364">
        <v>400</v>
      </c>
      <c r="G364">
        <v>85</v>
      </c>
      <c r="H364">
        <v>101</v>
      </c>
      <c r="I364">
        <v>104.25</v>
      </c>
      <c r="J364">
        <v>85</v>
      </c>
      <c r="K364">
        <v>101</v>
      </c>
      <c r="L364">
        <v>140</v>
      </c>
      <c r="M364">
        <v>43</v>
      </c>
      <c r="N364">
        <v>56</v>
      </c>
      <c r="O364">
        <v>107</v>
      </c>
      <c r="P364">
        <v>103.25</v>
      </c>
      <c r="Q364">
        <v>151</v>
      </c>
      <c r="R364">
        <v>117</v>
      </c>
      <c r="S364">
        <v>1193.5</v>
      </c>
      <c r="T364" t="s">
        <v>815</v>
      </c>
      <c r="U364" t="s">
        <v>959</v>
      </c>
      <c r="V364" t="s">
        <v>962</v>
      </c>
      <c r="W364" t="s">
        <v>821</v>
      </c>
    </row>
    <row r="365" spans="1:23" x14ac:dyDescent="0.25">
      <c r="A365" t="s">
        <v>963</v>
      </c>
      <c r="B365" t="s">
        <v>963</v>
      </c>
      <c r="C365">
        <v>0</v>
      </c>
      <c r="D365" s="3">
        <v>0</v>
      </c>
      <c r="E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t="s">
        <v>815</v>
      </c>
      <c r="U365" t="s">
        <v>959</v>
      </c>
      <c r="V365" t="s">
        <v>962</v>
      </c>
      <c r="W365" t="s">
        <v>823</v>
      </c>
    </row>
    <row r="366" spans="1:23" x14ac:dyDescent="0.25">
      <c r="A366" t="s">
        <v>964</v>
      </c>
      <c r="B366" t="s">
        <v>964</v>
      </c>
      <c r="C366">
        <v>16.5</v>
      </c>
      <c r="D366" s="3">
        <v>16.5</v>
      </c>
      <c r="E366">
        <v>304</v>
      </c>
      <c r="G366">
        <v>20</v>
      </c>
      <c r="H366">
        <v>68</v>
      </c>
      <c r="I366">
        <v>30</v>
      </c>
      <c r="J366">
        <v>52</v>
      </c>
      <c r="K366">
        <v>40</v>
      </c>
      <c r="L366">
        <v>164</v>
      </c>
      <c r="M366">
        <v>0</v>
      </c>
      <c r="N366">
        <v>6</v>
      </c>
      <c r="O366">
        <v>0</v>
      </c>
      <c r="P366">
        <v>0</v>
      </c>
      <c r="Q366">
        <v>13</v>
      </c>
      <c r="R366">
        <v>0</v>
      </c>
      <c r="S366">
        <v>393</v>
      </c>
      <c r="T366" t="s">
        <v>815</v>
      </c>
      <c r="U366" t="s">
        <v>576</v>
      </c>
      <c r="V366" t="s">
        <v>965</v>
      </c>
      <c r="W366" t="s">
        <v>818</v>
      </c>
    </row>
    <row r="367" spans="1:23" x14ac:dyDescent="0.25">
      <c r="A367" t="s">
        <v>966</v>
      </c>
      <c r="B367" t="s">
        <v>966</v>
      </c>
      <c r="C367">
        <v>9.5</v>
      </c>
      <c r="D367" s="3">
        <v>9.5</v>
      </c>
      <c r="E367">
        <v>252</v>
      </c>
      <c r="G367">
        <v>12</v>
      </c>
      <c r="H367">
        <v>100</v>
      </c>
      <c r="I367">
        <v>0</v>
      </c>
      <c r="J367">
        <v>36</v>
      </c>
      <c r="K367">
        <v>24</v>
      </c>
      <c r="L367">
        <v>100</v>
      </c>
      <c r="M367">
        <v>8</v>
      </c>
      <c r="N367">
        <v>8</v>
      </c>
      <c r="O367">
        <v>6</v>
      </c>
      <c r="P367">
        <v>0</v>
      </c>
      <c r="Q367">
        <v>11</v>
      </c>
      <c r="R367">
        <v>0</v>
      </c>
      <c r="S367">
        <v>305</v>
      </c>
      <c r="T367" t="s">
        <v>815</v>
      </c>
      <c r="U367" t="s">
        <v>576</v>
      </c>
      <c r="V367" t="s">
        <v>967</v>
      </c>
      <c r="W367" t="s">
        <v>847</v>
      </c>
    </row>
    <row r="368" spans="1:23" x14ac:dyDescent="0.25">
      <c r="A368" t="s">
        <v>590</v>
      </c>
      <c r="B368" t="s">
        <v>590</v>
      </c>
      <c r="C368">
        <v>15.5</v>
      </c>
      <c r="D368" s="3">
        <v>15.5</v>
      </c>
      <c r="E368">
        <v>163.5</v>
      </c>
      <c r="F368">
        <v>100</v>
      </c>
      <c r="G368">
        <v>15</v>
      </c>
      <c r="H368">
        <v>3</v>
      </c>
      <c r="I368">
        <v>39</v>
      </c>
      <c r="J368">
        <v>20</v>
      </c>
      <c r="K368">
        <v>16</v>
      </c>
      <c r="L368">
        <v>11</v>
      </c>
      <c r="M368">
        <v>14</v>
      </c>
      <c r="N368">
        <v>3</v>
      </c>
      <c r="O368">
        <v>41.5</v>
      </c>
      <c r="P368">
        <v>25</v>
      </c>
      <c r="Q368">
        <v>15</v>
      </c>
      <c r="R368">
        <v>24</v>
      </c>
      <c r="S368">
        <v>226.5</v>
      </c>
      <c r="T368" t="s">
        <v>968</v>
      </c>
      <c r="U368" t="s">
        <v>45</v>
      </c>
      <c r="V368" t="s">
        <v>969</v>
      </c>
      <c r="W368" t="s">
        <v>970</v>
      </c>
    </row>
    <row r="369" spans="1:23" x14ac:dyDescent="0.25">
      <c r="A369" t="s">
        <v>971</v>
      </c>
      <c r="B369" t="s">
        <v>971</v>
      </c>
      <c r="C369">
        <v>0</v>
      </c>
      <c r="D369" s="3">
        <v>0</v>
      </c>
      <c r="E369">
        <v>41</v>
      </c>
      <c r="G369">
        <v>0</v>
      </c>
      <c r="H369">
        <v>0</v>
      </c>
      <c r="I369">
        <v>0</v>
      </c>
      <c r="J369">
        <v>7</v>
      </c>
      <c r="K369">
        <v>3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-1</v>
      </c>
      <c r="S369">
        <v>9</v>
      </c>
      <c r="T369" t="s">
        <v>968</v>
      </c>
      <c r="U369" t="s">
        <v>45</v>
      </c>
      <c r="V369" t="s">
        <v>969</v>
      </c>
      <c r="W369" t="s">
        <v>813</v>
      </c>
    </row>
    <row r="370" spans="1:23" x14ac:dyDescent="0.25">
      <c r="A370" t="s">
        <v>972</v>
      </c>
      <c r="B370" t="s">
        <v>972</v>
      </c>
      <c r="C370">
        <v>0</v>
      </c>
      <c r="D370" s="3">
        <v>0</v>
      </c>
      <c r="E370">
        <v>206.75</v>
      </c>
      <c r="G370">
        <v>2.5</v>
      </c>
      <c r="H370">
        <v>0</v>
      </c>
      <c r="I370">
        <v>4</v>
      </c>
      <c r="J370">
        <v>0</v>
      </c>
      <c r="K370">
        <v>4</v>
      </c>
      <c r="L370">
        <v>0</v>
      </c>
      <c r="M370">
        <v>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13.5</v>
      </c>
      <c r="T370" t="s">
        <v>968</v>
      </c>
      <c r="U370" t="s">
        <v>45</v>
      </c>
      <c r="V370" t="s">
        <v>973</v>
      </c>
      <c r="W370" t="s">
        <v>970</v>
      </c>
    </row>
    <row r="371" spans="1:23" x14ac:dyDescent="0.25">
      <c r="A371" t="s">
        <v>705</v>
      </c>
      <c r="B371" t="s">
        <v>705</v>
      </c>
      <c r="C371">
        <v>0</v>
      </c>
      <c r="D371" s="3">
        <v>0</v>
      </c>
      <c r="E371">
        <v>207.75</v>
      </c>
      <c r="G371">
        <v>0</v>
      </c>
      <c r="H371">
        <v>4</v>
      </c>
      <c r="I371">
        <v>0</v>
      </c>
      <c r="J371">
        <v>0</v>
      </c>
      <c r="K371">
        <v>0</v>
      </c>
      <c r="L371">
        <v>2</v>
      </c>
      <c r="M371">
        <v>0</v>
      </c>
      <c r="N371">
        <v>0</v>
      </c>
      <c r="O371">
        <v>0.5</v>
      </c>
      <c r="P371">
        <v>0</v>
      </c>
      <c r="Q371">
        <v>0</v>
      </c>
      <c r="R371">
        <v>0</v>
      </c>
      <c r="S371">
        <v>6.5</v>
      </c>
      <c r="T371" t="s">
        <v>968</v>
      </c>
      <c r="U371" t="s">
        <v>45</v>
      </c>
      <c r="V371" t="s">
        <v>974</v>
      </c>
      <c r="W371" t="s">
        <v>970</v>
      </c>
    </row>
    <row r="372" spans="1:23" x14ac:dyDescent="0.25">
      <c r="A372" t="s">
        <v>975</v>
      </c>
      <c r="B372" t="s">
        <v>975</v>
      </c>
      <c r="C372">
        <v>3</v>
      </c>
      <c r="D372" s="3">
        <v>3</v>
      </c>
      <c r="E372">
        <v>129</v>
      </c>
      <c r="G372">
        <v>6</v>
      </c>
      <c r="H372">
        <v>7</v>
      </c>
      <c r="I372">
        <v>0</v>
      </c>
      <c r="J372">
        <v>3</v>
      </c>
      <c r="K372">
        <v>3</v>
      </c>
      <c r="L372">
        <v>8</v>
      </c>
      <c r="M372">
        <v>0</v>
      </c>
      <c r="N372">
        <v>6</v>
      </c>
      <c r="O372">
        <v>0</v>
      </c>
      <c r="P372">
        <v>0</v>
      </c>
      <c r="Q372">
        <v>5</v>
      </c>
      <c r="R372">
        <v>0</v>
      </c>
      <c r="S372">
        <v>38</v>
      </c>
      <c r="T372" t="s">
        <v>968</v>
      </c>
      <c r="U372" t="s">
        <v>83</v>
      </c>
      <c r="V372" t="s">
        <v>976</v>
      </c>
      <c r="W372" t="s">
        <v>970</v>
      </c>
    </row>
    <row r="373" spans="1:23" x14ac:dyDescent="0.25">
      <c r="A373" t="s">
        <v>591</v>
      </c>
      <c r="B373" t="s">
        <v>591</v>
      </c>
      <c r="C373">
        <v>21</v>
      </c>
      <c r="D373" s="3">
        <v>21</v>
      </c>
      <c r="E373">
        <v>135</v>
      </c>
      <c r="G373">
        <v>15</v>
      </c>
      <c r="H373">
        <v>22</v>
      </c>
      <c r="I373">
        <v>20</v>
      </c>
      <c r="J373">
        <v>6</v>
      </c>
      <c r="K373">
        <v>37</v>
      </c>
      <c r="L373">
        <v>40</v>
      </c>
      <c r="M373">
        <v>42</v>
      </c>
      <c r="N373">
        <v>12</v>
      </c>
      <c r="O373">
        <v>15</v>
      </c>
      <c r="P373">
        <v>38</v>
      </c>
      <c r="Q373">
        <v>12</v>
      </c>
      <c r="R373">
        <v>28</v>
      </c>
      <c r="S373">
        <v>287</v>
      </c>
      <c r="T373" t="s">
        <v>968</v>
      </c>
      <c r="U373" t="s">
        <v>83</v>
      </c>
      <c r="V373" t="s">
        <v>976</v>
      </c>
      <c r="W373" t="s">
        <v>970</v>
      </c>
    </row>
    <row r="374" spans="1:23" x14ac:dyDescent="0.25">
      <c r="A374" t="s">
        <v>977</v>
      </c>
      <c r="B374" t="s">
        <v>977</v>
      </c>
      <c r="C374">
        <v>1.5</v>
      </c>
      <c r="D374" s="3">
        <v>1.5</v>
      </c>
      <c r="E374">
        <v>19</v>
      </c>
      <c r="G374">
        <v>2</v>
      </c>
      <c r="H374">
        <v>3</v>
      </c>
      <c r="I374">
        <v>2</v>
      </c>
      <c r="J374">
        <v>0</v>
      </c>
      <c r="K374">
        <v>5</v>
      </c>
      <c r="L374">
        <v>0</v>
      </c>
      <c r="M374">
        <v>11</v>
      </c>
      <c r="N374">
        <v>0</v>
      </c>
      <c r="O374">
        <v>0</v>
      </c>
      <c r="P374">
        <v>0</v>
      </c>
      <c r="Q374">
        <v>3</v>
      </c>
      <c r="R374">
        <v>1</v>
      </c>
      <c r="S374">
        <v>27</v>
      </c>
      <c r="T374" t="s">
        <v>968</v>
      </c>
      <c r="U374" t="s">
        <v>83</v>
      </c>
      <c r="V374" t="s">
        <v>790</v>
      </c>
      <c r="W374" t="s">
        <v>970</v>
      </c>
    </row>
    <row r="375" spans="1:23" x14ac:dyDescent="0.25">
      <c r="A375" t="s">
        <v>592</v>
      </c>
      <c r="B375" t="s">
        <v>592</v>
      </c>
      <c r="C375">
        <v>4</v>
      </c>
      <c r="D375" s="3">
        <v>4</v>
      </c>
      <c r="E375">
        <v>7.3</v>
      </c>
      <c r="G375">
        <v>0</v>
      </c>
      <c r="H375">
        <v>0</v>
      </c>
      <c r="I375">
        <v>10</v>
      </c>
      <c r="J375">
        <v>6</v>
      </c>
      <c r="K375">
        <v>2</v>
      </c>
      <c r="L375">
        <v>7</v>
      </c>
      <c r="M375">
        <v>8</v>
      </c>
      <c r="N375">
        <v>-4</v>
      </c>
      <c r="O375">
        <v>0</v>
      </c>
      <c r="P375">
        <v>0</v>
      </c>
      <c r="Q375">
        <v>9</v>
      </c>
      <c r="R375">
        <v>7</v>
      </c>
      <c r="S375">
        <v>45</v>
      </c>
      <c r="T375" t="s">
        <v>968</v>
      </c>
      <c r="U375" t="s">
        <v>83</v>
      </c>
      <c r="V375" t="s">
        <v>790</v>
      </c>
      <c r="W375" t="s">
        <v>970</v>
      </c>
    </row>
    <row r="376" spans="1:23" x14ac:dyDescent="0.25">
      <c r="A376" t="s">
        <v>739</v>
      </c>
      <c r="B376" t="s">
        <v>739</v>
      </c>
      <c r="C376">
        <v>0</v>
      </c>
      <c r="D376" s="3">
        <v>0</v>
      </c>
      <c r="E376">
        <v>51</v>
      </c>
      <c r="G376">
        <v>0</v>
      </c>
      <c r="H376">
        <v>0</v>
      </c>
      <c r="I376">
        <v>0</v>
      </c>
      <c r="J376">
        <v>4</v>
      </c>
      <c r="K376">
        <v>10</v>
      </c>
      <c r="L376">
        <v>-10</v>
      </c>
      <c r="M376">
        <v>2</v>
      </c>
      <c r="N376">
        <v>0</v>
      </c>
      <c r="O376">
        <v>0</v>
      </c>
      <c r="P376">
        <v>0</v>
      </c>
      <c r="Q376">
        <v>0</v>
      </c>
      <c r="R376">
        <v>3</v>
      </c>
      <c r="S376">
        <v>9</v>
      </c>
      <c r="T376" t="s">
        <v>968</v>
      </c>
      <c r="U376" t="s">
        <v>83</v>
      </c>
      <c r="V376" t="s">
        <v>790</v>
      </c>
      <c r="W376" t="s">
        <v>813</v>
      </c>
    </row>
    <row r="377" spans="1:23" x14ac:dyDescent="0.25">
      <c r="A377" t="s">
        <v>593</v>
      </c>
      <c r="B377" t="s">
        <v>593</v>
      </c>
      <c r="C377">
        <v>15.5</v>
      </c>
      <c r="D377" s="3">
        <v>15.5</v>
      </c>
      <c r="E377">
        <v>180</v>
      </c>
      <c r="F377">
        <v>100</v>
      </c>
      <c r="G377">
        <v>16</v>
      </c>
      <c r="H377">
        <v>13</v>
      </c>
      <c r="I377">
        <v>16</v>
      </c>
      <c r="J377">
        <v>25</v>
      </c>
      <c r="K377">
        <v>15</v>
      </c>
      <c r="L377">
        <v>-3</v>
      </c>
      <c r="M377">
        <v>15</v>
      </c>
      <c r="N377">
        <v>9</v>
      </c>
      <c r="O377">
        <v>43</v>
      </c>
      <c r="P377">
        <v>17</v>
      </c>
      <c r="Q377">
        <v>10</v>
      </c>
      <c r="R377">
        <v>30</v>
      </c>
      <c r="S377">
        <v>206</v>
      </c>
      <c r="T377" t="s">
        <v>968</v>
      </c>
      <c r="U377" t="s">
        <v>83</v>
      </c>
      <c r="V377" t="s">
        <v>978</v>
      </c>
      <c r="W377" t="s">
        <v>970</v>
      </c>
    </row>
    <row r="378" spans="1:23" x14ac:dyDescent="0.25">
      <c r="A378" t="s">
        <v>979</v>
      </c>
      <c r="B378" t="s">
        <v>979</v>
      </c>
      <c r="C378">
        <v>113</v>
      </c>
      <c r="D378" s="3">
        <v>113</v>
      </c>
      <c r="E378">
        <v>329.5</v>
      </c>
      <c r="G378">
        <v>60.25</v>
      </c>
      <c r="H378">
        <v>116</v>
      </c>
      <c r="I378">
        <v>118</v>
      </c>
      <c r="J378">
        <v>83</v>
      </c>
      <c r="K378">
        <v>112</v>
      </c>
      <c r="L378">
        <v>142</v>
      </c>
      <c r="M378">
        <v>118</v>
      </c>
      <c r="N378">
        <v>41</v>
      </c>
      <c r="O378">
        <v>0</v>
      </c>
      <c r="P378">
        <v>128</v>
      </c>
      <c r="Q378">
        <v>114</v>
      </c>
      <c r="R378">
        <v>78</v>
      </c>
      <c r="S378">
        <v>1110.25</v>
      </c>
      <c r="T378" t="s">
        <v>968</v>
      </c>
      <c r="U378" t="s">
        <v>83</v>
      </c>
      <c r="V378" t="s">
        <v>978</v>
      </c>
      <c r="W378" t="s">
        <v>970</v>
      </c>
    </row>
    <row r="379" spans="1:23" x14ac:dyDescent="0.25">
      <c r="A379" t="s">
        <v>740</v>
      </c>
      <c r="B379" t="s">
        <v>740</v>
      </c>
      <c r="C379">
        <v>0</v>
      </c>
      <c r="D379" s="3">
        <v>0</v>
      </c>
      <c r="E379">
        <v>84</v>
      </c>
      <c r="G379">
        <v>0</v>
      </c>
      <c r="H379">
        <v>0</v>
      </c>
      <c r="I379">
        <v>0</v>
      </c>
      <c r="J379">
        <v>11</v>
      </c>
      <c r="K379">
        <v>2</v>
      </c>
      <c r="L379">
        <v>2</v>
      </c>
      <c r="M379">
        <v>0</v>
      </c>
      <c r="N379">
        <v>2</v>
      </c>
      <c r="O379">
        <v>2</v>
      </c>
      <c r="P379">
        <v>0</v>
      </c>
      <c r="Q379">
        <v>0</v>
      </c>
      <c r="R379">
        <v>-3</v>
      </c>
      <c r="S379">
        <v>16</v>
      </c>
      <c r="T379" t="s">
        <v>968</v>
      </c>
      <c r="U379" t="s">
        <v>83</v>
      </c>
      <c r="V379" t="s">
        <v>978</v>
      </c>
      <c r="W379" t="s">
        <v>813</v>
      </c>
    </row>
    <row r="380" spans="1:23" x14ac:dyDescent="0.25">
      <c r="A380" t="s">
        <v>980</v>
      </c>
      <c r="B380" t="s">
        <v>980</v>
      </c>
      <c r="C380">
        <v>0</v>
      </c>
      <c r="D380" s="3">
        <v>0</v>
      </c>
      <c r="E380">
        <v>54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t="s">
        <v>968</v>
      </c>
      <c r="U380" t="s">
        <v>877</v>
      </c>
      <c r="V380" t="s">
        <v>981</v>
      </c>
      <c r="W380" t="s">
        <v>970</v>
      </c>
    </row>
    <row r="381" spans="1:23" x14ac:dyDescent="0.25">
      <c r="A381" t="s">
        <v>982</v>
      </c>
      <c r="B381" t="s">
        <v>982</v>
      </c>
      <c r="C381">
        <v>0</v>
      </c>
      <c r="D381" s="3">
        <v>0</v>
      </c>
      <c r="E381">
        <v>26</v>
      </c>
      <c r="G381">
        <v>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6</v>
      </c>
      <c r="O381">
        <v>0</v>
      </c>
      <c r="P381">
        <v>0</v>
      </c>
      <c r="Q381">
        <v>0</v>
      </c>
      <c r="R381">
        <v>0</v>
      </c>
      <c r="S381">
        <v>12</v>
      </c>
      <c r="T381" t="s">
        <v>968</v>
      </c>
      <c r="U381" t="s">
        <v>877</v>
      </c>
      <c r="V381" t="s">
        <v>983</v>
      </c>
      <c r="W381" t="s">
        <v>970</v>
      </c>
    </row>
    <row r="382" spans="1:23" x14ac:dyDescent="0.25">
      <c r="A382" t="s">
        <v>984</v>
      </c>
      <c r="B382" t="s">
        <v>984</v>
      </c>
      <c r="C382">
        <v>20</v>
      </c>
      <c r="D382" s="3">
        <v>20</v>
      </c>
      <c r="E382">
        <v>210</v>
      </c>
      <c r="G382">
        <v>29</v>
      </c>
      <c r="H382">
        <v>32</v>
      </c>
      <c r="I382">
        <v>0</v>
      </c>
      <c r="J382">
        <v>16</v>
      </c>
      <c r="K382">
        <v>0</v>
      </c>
      <c r="L382">
        <v>24</v>
      </c>
      <c r="M382">
        <v>4</v>
      </c>
      <c r="N382">
        <v>16</v>
      </c>
      <c r="O382">
        <v>24</v>
      </c>
      <c r="P382">
        <v>0</v>
      </c>
      <c r="Q382">
        <v>24</v>
      </c>
      <c r="R382">
        <v>32</v>
      </c>
      <c r="S382">
        <v>201</v>
      </c>
      <c r="T382" t="s">
        <v>968</v>
      </c>
      <c r="U382" t="s">
        <v>886</v>
      </c>
      <c r="V382" t="s">
        <v>985</v>
      </c>
      <c r="W382" t="s">
        <v>970</v>
      </c>
    </row>
    <row r="383" spans="1:23" x14ac:dyDescent="0.25">
      <c r="A383" t="s">
        <v>986</v>
      </c>
      <c r="B383" t="s">
        <v>986</v>
      </c>
      <c r="C383">
        <v>0</v>
      </c>
      <c r="D383" s="3">
        <v>0</v>
      </c>
      <c r="E383">
        <v>190</v>
      </c>
      <c r="G383">
        <v>32</v>
      </c>
      <c r="H383">
        <v>0</v>
      </c>
      <c r="I383">
        <v>0</v>
      </c>
      <c r="J383">
        <v>0</v>
      </c>
      <c r="K383">
        <v>0</v>
      </c>
      <c r="L383">
        <v>24</v>
      </c>
      <c r="M383">
        <v>3</v>
      </c>
      <c r="N383">
        <v>0</v>
      </c>
      <c r="O383">
        <v>0</v>
      </c>
      <c r="P383">
        <v>0</v>
      </c>
      <c r="Q383">
        <v>16</v>
      </c>
      <c r="R383">
        <v>24</v>
      </c>
      <c r="S383">
        <v>99</v>
      </c>
      <c r="T383" t="s">
        <v>968</v>
      </c>
      <c r="U383" t="s">
        <v>166</v>
      </c>
      <c r="V383" t="s">
        <v>987</v>
      </c>
      <c r="W383" t="s">
        <v>970</v>
      </c>
    </row>
    <row r="384" spans="1:23" x14ac:dyDescent="0.25">
      <c r="A384" t="s">
        <v>988</v>
      </c>
      <c r="B384" t="s">
        <v>988</v>
      </c>
      <c r="C384">
        <v>337</v>
      </c>
      <c r="D384" s="3">
        <v>337</v>
      </c>
      <c r="E384">
        <v>945</v>
      </c>
      <c r="G384">
        <v>331</v>
      </c>
      <c r="H384">
        <v>446</v>
      </c>
      <c r="I384">
        <v>476</v>
      </c>
      <c r="J384">
        <v>343</v>
      </c>
      <c r="K384">
        <v>252</v>
      </c>
      <c r="L384">
        <v>530</v>
      </c>
      <c r="M384">
        <v>139</v>
      </c>
      <c r="N384">
        <v>172</v>
      </c>
      <c r="O384">
        <v>348</v>
      </c>
      <c r="P384">
        <v>592</v>
      </c>
      <c r="Q384">
        <v>180</v>
      </c>
      <c r="R384">
        <v>104</v>
      </c>
      <c r="S384">
        <v>3913</v>
      </c>
      <c r="T384" t="s">
        <v>968</v>
      </c>
      <c r="U384" t="s">
        <v>166</v>
      </c>
      <c r="V384" t="s">
        <v>987</v>
      </c>
      <c r="W384" t="s">
        <v>970</v>
      </c>
    </row>
    <row r="385" spans="1:23" x14ac:dyDescent="0.25">
      <c r="A385" t="s">
        <v>989</v>
      </c>
      <c r="B385" t="s">
        <v>989</v>
      </c>
      <c r="C385">
        <v>0</v>
      </c>
      <c r="D385" s="3">
        <v>0</v>
      </c>
      <c r="E385">
        <v>405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22</v>
      </c>
      <c r="M385">
        <v>32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54</v>
      </c>
      <c r="T385" t="s">
        <v>968</v>
      </c>
      <c r="U385" t="s">
        <v>166</v>
      </c>
      <c r="V385" t="s">
        <v>987</v>
      </c>
      <c r="W385" t="s">
        <v>815</v>
      </c>
    </row>
    <row r="386" spans="1:23" x14ac:dyDescent="0.25">
      <c r="A386" t="s">
        <v>990</v>
      </c>
      <c r="B386" t="s">
        <v>990</v>
      </c>
      <c r="C386">
        <v>8</v>
      </c>
      <c r="D386" s="3">
        <v>8</v>
      </c>
      <c r="E386">
        <v>224</v>
      </c>
      <c r="G386">
        <v>15</v>
      </c>
      <c r="H386">
        <v>8</v>
      </c>
      <c r="I386">
        <v>4</v>
      </c>
      <c r="J386">
        <v>0</v>
      </c>
      <c r="K386">
        <v>4</v>
      </c>
      <c r="L386">
        <v>13</v>
      </c>
      <c r="M386">
        <v>16</v>
      </c>
      <c r="N386">
        <v>0</v>
      </c>
      <c r="O386">
        <v>12</v>
      </c>
      <c r="P386">
        <v>8</v>
      </c>
      <c r="Q386">
        <v>8</v>
      </c>
      <c r="R386">
        <v>0</v>
      </c>
      <c r="S386">
        <v>88</v>
      </c>
      <c r="T386" t="s">
        <v>968</v>
      </c>
      <c r="U386" t="s">
        <v>166</v>
      </c>
      <c r="V386" t="s">
        <v>987</v>
      </c>
      <c r="W386" t="s">
        <v>815</v>
      </c>
    </row>
    <row r="387" spans="1:23" x14ac:dyDescent="0.25">
      <c r="A387" t="s">
        <v>594</v>
      </c>
      <c r="B387" t="s">
        <v>594</v>
      </c>
      <c r="C387">
        <v>80</v>
      </c>
      <c r="D387" s="3">
        <v>80</v>
      </c>
      <c r="E387">
        <v>474</v>
      </c>
      <c r="G387">
        <v>198</v>
      </c>
      <c r="H387">
        <v>466</v>
      </c>
      <c r="I387">
        <v>94</v>
      </c>
      <c r="J387">
        <v>20</v>
      </c>
      <c r="K387">
        <v>75</v>
      </c>
      <c r="L387">
        <v>177</v>
      </c>
      <c r="M387">
        <v>47</v>
      </c>
      <c r="N387">
        <v>34</v>
      </c>
      <c r="O387">
        <v>22</v>
      </c>
      <c r="P387">
        <v>181</v>
      </c>
      <c r="Q387">
        <v>61</v>
      </c>
      <c r="R387">
        <v>85</v>
      </c>
      <c r="S387">
        <v>1460</v>
      </c>
      <c r="T387" t="s">
        <v>968</v>
      </c>
      <c r="U387" t="s">
        <v>180</v>
      </c>
      <c r="V387" t="s">
        <v>991</v>
      </c>
      <c r="W387" t="s">
        <v>970</v>
      </c>
    </row>
    <row r="388" spans="1:23" x14ac:dyDescent="0.25">
      <c r="A388" t="s">
        <v>595</v>
      </c>
      <c r="B388" t="s">
        <v>595</v>
      </c>
      <c r="C388">
        <v>93</v>
      </c>
      <c r="D388" s="3">
        <v>93</v>
      </c>
      <c r="E388">
        <v>449</v>
      </c>
      <c r="G388">
        <v>233</v>
      </c>
      <c r="H388">
        <v>512</v>
      </c>
      <c r="I388">
        <v>44</v>
      </c>
      <c r="J388">
        <v>38</v>
      </c>
      <c r="K388">
        <v>90</v>
      </c>
      <c r="L388">
        <v>167</v>
      </c>
      <c r="M388">
        <v>68</v>
      </c>
      <c r="N388">
        <v>32</v>
      </c>
      <c r="O388">
        <v>50</v>
      </c>
      <c r="P388">
        <v>183</v>
      </c>
      <c r="Q388">
        <v>102</v>
      </c>
      <c r="R388">
        <v>96</v>
      </c>
      <c r="S388">
        <v>1615</v>
      </c>
      <c r="T388" t="s">
        <v>968</v>
      </c>
      <c r="U388" t="s">
        <v>180</v>
      </c>
      <c r="V388" t="s">
        <v>992</v>
      </c>
      <c r="W388" t="s">
        <v>970</v>
      </c>
    </row>
    <row r="389" spans="1:23" x14ac:dyDescent="0.25">
      <c r="A389" t="s">
        <v>596</v>
      </c>
      <c r="B389" t="s">
        <v>596</v>
      </c>
      <c r="C389">
        <v>148.5</v>
      </c>
      <c r="D389" s="3">
        <v>148.5</v>
      </c>
      <c r="E389">
        <v>1418</v>
      </c>
      <c r="F389">
        <v>800</v>
      </c>
      <c r="G389">
        <v>263</v>
      </c>
      <c r="H389">
        <v>180</v>
      </c>
      <c r="I389">
        <v>151</v>
      </c>
      <c r="J389">
        <v>75</v>
      </c>
      <c r="K389">
        <v>119</v>
      </c>
      <c r="L389">
        <v>213</v>
      </c>
      <c r="M389">
        <v>81</v>
      </c>
      <c r="N389">
        <v>83</v>
      </c>
      <c r="O389">
        <v>146</v>
      </c>
      <c r="P389">
        <v>260</v>
      </c>
      <c r="Q389">
        <v>103</v>
      </c>
      <c r="R389">
        <v>201</v>
      </c>
      <c r="S389">
        <v>1875</v>
      </c>
      <c r="T389" t="s">
        <v>968</v>
      </c>
      <c r="U389" t="s">
        <v>180</v>
      </c>
      <c r="V389" t="s">
        <v>993</v>
      </c>
      <c r="W389" t="s">
        <v>970</v>
      </c>
    </row>
    <row r="390" spans="1:23" x14ac:dyDescent="0.25">
      <c r="A390" t="s">
        <v>597</v>
      </c>
      <c r="B390" t="s">
        <v>597</v>
      </c>
      <c r="C390">
        <v>184</v>
      </c>
      <c r="D390" s="3">
        <v>184</v>
      </c>
      <c r="E390">
        <v>4935</v>
      </c>
      <c r="F390">
        <v>4000</v>
      </c>
      <c r="G390">
        <v>414</v>
      </c>
      <c r="H390">
        <v>194</v>
      </c>
      <c r="I390">
        <v>136</v>
      </c>
      <c r="J390">
        <v>177</v>
      </c>
      <c r="K390">
        <v>145</v>
      </c>
      <c r="L390">
        <v>299</v>
      </c>
      <c r="M390">
        <v>130</v>
      </c>
      <c r="N390">
        <v>139</v>
      </c>
      <c r="O390">
        <v>191</v>
      </c>
      <c r="P390">
        <v>303</v>
      </c>
      <c r="Q390">
        <v>158</v>
      </c>
      <c r="R390">
        <v>192</v>
      </c>
      <c r="S390">
        <v>2478</v>
      </c>
      <c r="T390" t="s">
        <v>968</v>
      </c>
      <c r="U390" t="s">
        <v>180</v>
      </c>
      <c r="V390" t="s">
        <v>994</v>
      </c>
      <c r="W390" t="s">
        <v>970</v>
      </c>
    </row>
    <row r="391" spans="1:23" x14ac:dyDescent="0.25">
      <c r="A391" t="s">
        <v>598</v>
      </c>
      <c r="B391" t="s">
        <v>598</v>
      </c>
      <c r="C391">
        <v>5.5</v>
      </c>
      <c r="D391" s="3">
        <v>5.5</v>
      </c>
      <c r="E391">
        <v>911.69</v>
      </c>
      <c r="F391">
        <v>864</v>
      </c>
      <c r="G391">
        <v>0</v>
      </c>
      <c r="H391">
        <v>0</v>
      </c>
      <c r="I391">
        <v>6</v>
      </c>
      <c r="J391">
        <v>17</v>
      </c>
      <c r="K391">
        <v>5</v>
      </c>
      <c r="L391">
        <v>13</v>
      </c>
      <c r="M391">
        <v>2</v>
      </c>
      <c r="N391">
        <v>25.75</v>
      </c>
      <c r="O391">
        <v>2</v>
      </c>
      <c r="P391">
        <v>17.5</v>
      </c>
      <c r="Q391">
        <v>14.5</v>
      </c>
      <c r="R391">
        <v>5</v>
      </c>
      <c r="S391">
        <v>107.75</v>
      </c>
      <c r="T391" t="s">
        <v>968</v>
      </c>
      <c r="U391" t="s">
        <v>180</v>
      </c>
      <c r="V391" t="s">
        <v>995</v>
      </c>
      <c r="W391" t="s">
        <v>970</v>
      </c>
    </row>
    <row r="392" spans="1:23" x14ac:dyDescent="0.25">
      <c r="A392" t="s">
        <v>741</v>
      </c>
      <c r="B392" t="s">
        <v>741</v>
      </c>
      <c r="C392">
        <v>0</v>
      </c>
      <c r="D392" s="3">
        <v>0</v>
      </c>
      <c r="E392">
        <v>6</v>
      </c>
      <c r="G392">
        <v>0</v>
      </c>
      <c r="H392">
        <v>1</v>
      </c>
      <c r="I392">
        <v>2</v>
      </c>
      <c r="J392">
        <v>0</v>
      </c>
      <c r="K392">
        <v>4</v>
      </c>
      <c r="L392">
        <v>2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10</v>
      </c>
      <c r="T392" t="s">
        <v>968</v>
      </c>
      <c r="U392" t="s">
        <v>180</v>
      </c>
      <c r="V392" t="s">
        <v>995</v>
      </c>
      <c r="W392" t="s">
        <v>813</v>
      </c>
    </row>
    <row r="393" spans="1:23" x14ac:dyDescent="0.25">
      <c r="A393" t="s">
        <v>742</v>
      </c>
      <c r="B393" t="s">
        <v>742</v>
      </c>
      <c r="C393">
        <v>0</v>
      </c>
      <c r="D393" s="3">
        <v>0</v>
      </c>
      <c r="E393">
        <v>2.75</v>
      </c>
      <c r="G393">
        <v>0</v>
      </c>
      <c r="H393">
        <v>0</v>
      </c>
      <c r="I393">
        <v>0.25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-1</v>
      </c>
      <c r="R393">
        <v>0</v>
      </c>
      <c r="S393">
        <v>-0.75</v>
      </c>
      <c r="T393" t="s">
        <v>968</v>
      </c>
      <c r="U393" t="s">
        <v>180</v>
      </c>
      <c r="V393" t="s">
        <v>995</v>
      </c>
      <c r="W393" t="s">
        <v>815</v>
      </c>
    </row>
    <row r="394" spans="1:23" x14ac:dyDescent="0.25">
      <c r="A394" t="s">
        <v>743</v>
      </c>
      <c r="B394" t="s">
        <v>743</v>
      </c>
      <c r="C394">
        <v>0</v>
      </c>
      <c r="D394" s="3">
        <v>0</v>
      </c>
      <c r="E394">
        <v>13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 t="s">
        <v>968</v>
      </c>
      <c r="U394" t="s">
        <v>180</v>
      </c>
      <c r="V394" t="s">
        <v>996</v>
      </c>
      <c r="W394" t="s">
        <v>970</v>
      </c>
    </row>
    <row r="395" spans="1:23" x14ac:dyDescent="0.25">
      <c r="A395" t="s">
        <v>599</v>
      </c>
      <c r="B395" t="s">
        <v>599</v>
      </c>
      <c r="C395">
        <v>50</v>
      </c>
      <c r="D395" s="3">
        <v>50</v>
      </c>
      <c r="E395">
        <v>458</v>
      </c>
      <c r="G395">
        <v>130</v>
      </c>
      <c r="H395">
        <v>19</v>
      </c>
      <c r="I395">
        <v>66</v>
      </c>
      <c r="J395">
        <v>36</v>
      </c>
      <c r="K395">
        <v>43</v>
      </c>
      <c r="L395">
        <v>124</v>
      </c>
      <c r="M395">
        <v>124</v>
      </c>
      <c r="N395">
        <v>183</v>
      </c>
      <c r="O395">
        <v>19</v>
      </c>
      <c r="P395">
        <v>57</v>
      </c>
      <c r="Q395">
        <v>40</v>
      </c>
      <c r="R395">
        <v>22</v>
      </c>
      <c r="S395">
        <v>863</v>
      </c>
      <c r="T395" t="s">
        <v>968</v>
      </c>
      <c r="U395" t="s">
        <v>180</v>
      </c>
      <c r="V395" t="s">
        <v>997</v>
      </c>
      <c r="W395" t="s">
        <v>970</v>
      </c>
    </row>
    <row r="396" spans="1:23" x14ac:dyDescent="0.25">
      <c r="A396" t="s">
        <v>998</v>
      </c>
      <c r="B396" t="s">
        <v>998</v>
      </c>
      <c r="C396">
        <v>2.5</v>
      </c>
      <c r="D396" s="3">
        <v>2.5</v>
      </c>
      <c r="E396">
        <v>43</v>
      </c>
      <c r="G396">
        <v>4</v>
      </c>
      <c r="H396">
        <v>0</v>
      </c>
      <c r="I396">
        <v>3</v>
      </c>
      <c r="J396">
        <v>4</v>
      </c>
      <c r="K396">
        <v>3</v>
      </c>
      <c r="L396">
        <v>0</v>
      </c>
      <c r="M396">
        <v>1</v>
      </c>
      <c r="N396">
        <v>10</v>
      </c>
      <c r="O396">
        <v>1</v>
      </c>
      <c r="P396">
        <v>10</v>
      </c>
      <c r="Q396">
        <v>1</v>
      </c>
      <c r="R396">
        <v>2</v>
      </c>
      <c r="S396">
        <v>39</v>
      </c>
      <c r="T396" t="s">
        <v>968</v>
      </c>
      <c r="U396" t="s">
        <v>180</v>
      </c>
      <c r="V396" t="s">
        <v>997</v>
      </c>
      <c r="W396" t="s">
        <v>813</v>
      </c>
    </row>
    <row r="397" spans="1:23" x14ac:dyDescent="0.25">
      <c r="A397" t="s">
        <v>999</v>
      </c>
      <c r="B397" t="s">
        <v>999</v>
      </c>
      <c r="C397">
        <v>0</v>
      </c>
      <c r="D397" s="3">
        <v>0</v>
      </c>
      <c r="E397">
        <v>61</v>
      </c>
      <c r="G397">
        <v>1</v>
      </c>
      <c r="H397">
        <v>0</v>
      </c>
      <c r="I397">
        <v>3</v>
      </c>
      <c r="J397">
        <v>0</v>
      </c>
      <c r="K397">
        <v>0</v>
      </c>
      <c r="L397">
        <v>0</v>
      </c>
      <c r="M397">
        <v>0</v>
      </c>
      <c r="N397">
        <v>7</v>
      </c>
      <c r="O397">
        <v>0</v>
      </c>
      <c r="P397">
        <v>1</v>
      </c>
      <c r="Q397">
        <v>1</v>
      </c>
      <c r="R397">
        <v>0</v>
      </c>
      <c r="S397">
        <v>13</v>
      </c>
      <c r="T397" t="s">
        <v>968</v>
      </c>
      <c r="U397" t="s">
        <v>180</v>
      </c>
      <c r="V397" t="s">
        <v>997</v>
      </c>
      <c r="W397" t="s">
        <v>815</v>
      </c>
    </row>
    <row r="398" spans="1:23" x14ac:dyDescent="0.25">
      <c r="A398" t="s">
        <v>1000</v>
      </c>
      <c r="B398" t="s">
        <v>1000</v>
      </c>
      <c r="C398">
        <v>0</v>
      </c>
      <c r="D398" s="3">
        <v>0</v>
      </c>
      <c r="E398">
        <v>29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2</v>
      </c>
      <c r="M398">
        <v>0</v>
      </c>
      <c r="N398">
        <v>0</v>
      </c>
      <c r="O398">
        <v>1</v>
      </c>
      <c r="P398">
        <v>0</v>
      </c>
      <c r="Q398">
        <v>2</v>
      </c>
      <c r="R398">
        <v>0</v>
      </c>
      <c r="S398">
        <v>6</v>
      </c>
      <c r="T398" t="s">
        <v>968</v>
      </c>
      <c r="U398" t="s">
        <v>180</v>
      </c>
      <c r="V398" t="s">
        <v>997</v>
      </c>
      <c r="W398" t="s">
        <v>968</v>
      </c>
    </row>
    <row r="399" spans="1:23" x14ac:dyDescent="0.25">
      <c r="A399" t="s">
        <v>600</v>
      </c>
      <c r="B399" t="s">
        <v>600</v>
      </c>
      <c r="C399">
        <v>83.5</v>
      </c>
      <c r="D399" s="3">
        <v>83.5</v>
      </c>
      <c r="E399">
        <v>468</v>
      </c>
      <c r="G399">
        <v>154</v>
      </c>
      <c r="H399">
        <v>41</v>
      </c>
      <c r="I399">
        <v>79</v>
      </c>
      <c r="J399">
        <v>94</v>
      </c>
      <c r="K399">
        <v>29</v>
      </c>
      <c r="L399">
        <v>104</v>
      </c>
      <c r="M399">
        <v>136</v>
      </c>
      <c r="N399">
        <v>184</v>
      </c>
      <c r="O399">
        <v>88</v>
      </c>
      <c r="P399">
        <v>62</v>
      </c>
      <c r="Q399">
        <v>12</v>
      </c>
      <c r="R399">
        <v>35</v>
      </c>
      <c r="S399">
        <v>1018</v>
      </c>
      <c r="T399" t="s">
        <v>968</v>
      </c>
      <c r="U399" t="s">
        <v>180</v>
      </c>
      <c r="V399" t="s">
        <v>1001</v>
      </c>
      <c r="W399" t="s">
        <v>970</v>
      </c>
    </row>
    <row r="400" spans="1:23" x14ac:dyDescent="0.25">
      <c r="A400" t="s">
        <v>1002</v>
      </c>
      <c r="B400" t="s">
        <v>1002</v>
      </c>
      <c r="C400">
        <v>3.5</v>
      </c>
      <c r="D400" s="3">
        <v>3.5</v>
      </c>
      <c r="E400">
        <v>31</v>
      </c>
      <c r="G400">
        <v>9</v>
      </c>
      <c r="H400">
        <v>2</v>
      </c>
      <c r="I400">
        <v>0</v>
      </c>
      <c r="J400">
        <v>10</v>
      </c>
      <c r="K400">
        <v>3</v>
      </c>
      <c r="L400">
        <v>0</v>
      </c>
      <c r="M400">
        <v>1</v>
      </c>
      <c r="N400">
        <v>10</v>
      </c>
      <c r="O400">
        <v>8</v>
      </c>
      <c r="P400">
        <v>4</v>
      </c>
      <c r="Q400">
        <v>1</v>
      </c>
      <c r="R400">
        <v>4</v>
      </c>
      <c r="S400">
        <v>52</v>
      </c>
      <c r="T400" t="s">
        <v>968</v>
      </c>
      <c r="U400" t="s">
        <v>180</v>
      </c>
      <c r="V400" t="s">
        <v>1001</v>
      </c>
      <c r="W400" t="s">
        <v>813</v>
      </c>
    </row>
    <row r="401" spans="1:23" x14ac:dyDescent="0.25">
      <c r="A401" t="s">
        <v>1003</v>
      </c>
      <c r="B401" t="s">
        <v>1003</v>
      </c>
      <c r="C401">
        <v>1</v>
      </c>
      <c r="D401" s="3">
        <v>1</v>
      </c>
      <c r="E401">
        <v>28</v>
      </c>
      <c r="G401">
        <v>3</v>
      </c>
      <c r="H401">
        <v>4</v>
      </c>
      <c r="I401">
        <v>9</v>
      </c>
      <c r="J401">
        <v>1</v>
      </c>
      <c r="K401">
        <v>0</v>
      </c>
      <c r="L401">
        <v>1</v>
      </c>
      <c r="M401">
        <v>1</v>
      </c>
      <c r="N401">
        <v>7</v>
      </c>
      <c r="O401">
        <v>0</v>
      </c>
      <c r="P401">
        <v>4</v>
      </c>
      <c r="Q401">
        <v>0</v>
      </c>
      <c r="R401">
        <v>1</v>
      </c>
      <c r="S401">
        <v>31</v>
      </c>
      <c r="T401" t="s">
        <v>968</v>
      </c>
      <c r="U401" t="s">
        <v>180</v>
      </c>
      <c r="V401" t="s">
        <v>1001</v>
      </c>
      <c r="W401" t="s">
        <v>815</v>
      </c>
    </row>
    <row r="402" spans="1:23" x14ac:dyDescent="0.25">
      <c r="A402" t="s">
        <v>1004</v>
      </c>
      <c r="B402" t="s">
        <v>1004</v>
      </c>
      <c r="C402">
        <v>0</v>
      </c>
      <c r="D402" s="3">
        <v>0</v>
      </c>
      <c r="E402">
        <v>22</v>
      </c>
      <c r="G402">
        <v>0</v>
      </c>
      <c r="H402">
        <v>0</v>
      </c>
      <c r="I402">
        <v>0</v>
      </c>
      <c r="J402">
        <v>2</v>
      </c>
      <c r="K402">
        <v>0</v>
      </c>
      <c r="L402">
        <v>1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1</v>
      </c>
      <c r="S402">
        <v>6</v>
      </c>
      <c r="T402" t="s">
        <v>968</v>
      </c>
      <c r="U402" t="s">
        <v>180</v>
      </c>
      <c r="V402" t="s">
        <v>1001</v>
      </c>
      <c r="W402" t="s">
        <v>968</v>
      </c>
    </row>
    <row r="403" spans="1:23" x14ac:dyDescent="0.25">
      <c r="A403" t="s">
        <v>601</v>
      </c>
      <c r="B403" t="s">
        <v>601</v>
      </c>
      <c r="C403">
        <v>68.5</v>
      </c>
      <c r="D403" s="3">
        <v>68.5</v>
      </c>
      <c r="E403">
        <v>547</v>
      </c>
      <c r="G403">
        <v>57</v>
      </c>
      <c r="H403">
        <v>130</v>
      </c>
      <c r="I403">
        <v>64</v>
      </c>
      <c r="J403">
        <v>156</v>
      </c>
      <c r="K403">
        <v>61</v>
      </c>
      <c r="L403">
        <v>53</v>
      </c>
      <c r="M403">
        <v>154</v>
      </c>
      <c r="N403">
        <v>371</v>
      </c>
      <c r="O403">
        <v>70</v>
      </c>
      <c r="P403">
        <v>184</v>
      </c>
      <c r="Q403">
        <v>62</v>
      </c>
      <c r="R403">
        <v>67</v>
      </c>
      <c r="S403">
        <v>1429</v>
      </c>
      <c r="T403" t="s">
        <v>968</v>
      </c>
      <c r="U403" t="s">
        <v>180</v>
      </c>
      <c r="V403" t="s">
        <v>1005</v>
      </c>
      <c r="W403" t="s">
        <v>970</v>
      </c>
    </row>
    <row r="404" spans="1:23" x14ac:dyDescent="0.25">
      <c r="A404" t="s">
        <v>1006</v>
      </c>
      <c r="B404" t="s">
        <v>1006</v>
      </c>
      <c r="C404">
        <v>6.5</v>
      </c>
      <c r="D404" s="3">
        <v>6.5</v>
      </c>
      <c r="E404">
        <v>255</v>
      </c>
      <c r="G404">
        <v>7</v>
      </c>
      <c r="H404">
        <v>16</v>
      </c>
      <c r="I404">
        <v>7</v>
      </c>
      <c r="J404">
        <v>13</v>
      </c>
      <c r="K404">
        <v>11</v>
      </c>
      <c r="L404">
        <v>4</v>
      </c>
      <c r="M404">
        <v>6</v>
      </c>
      <c r="N404">
        <v>10</v>
      </c>
      <c r="O404">
        <v>0</v>
      </c>
      <c r="P404">
        <v>3</v>
      </c>
      <c r="Q404">
        <v>2</v>
      </c>
      <c r="R404">
        <v>0</v>
      </c>
      <c r="S404">
        <v>79</v>
      </c>
      <c r="T404" t="s">
        <v>968</v>
      </c>
      <c r="U404" t="s">
        <v>180</v>
      </c>
      <c r="V404" t="s">
        <v>1005</v>
      </c>
      <c r="W404" t="s">
        <v>813</v>
      </c>
    </row>
    <row r="405" spans="1:23" x14ac:dyDescent="0.25">
      <c r="A405" t="s">
        <v>1007</v>
      </c>
      <c r="B405" t="s">
        <v>1007</v>
      </c>
      <c r="C405">
        <v>0</v>
      </c>
      <c r="D405" s="3">
        <v>0</v>
      </c>
      <c r="E405">
        <v>28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6</v>
      </c>
      <c r="N405">
        <v>5</v>
      </c>
      <c r="O405">
        <v>0</v>
      </c>
      <c r="P405">
        <v>1</v>
      </c>
      <c r="Q405">
        <v>0</v>
      </c>
      <c r="R405">
        <v>0</v>
      </c>
      <c r="S405">
        <v>12</v>
      </c>
      <c r="T405" t="s">
        <v>968</v>
      </c>
      <c r="U405" t="s">
        <v>180</v>
      </c>
      <c r="V405" t="s">
        <v>1005</v>
      </c>
      <c r="W405" t="s">
        <v>815</v>
      </c>
    </row>
    <row r="406" spans="1:23" x14ac:dyDescent="0.25">
      <c r="A406" t="s">
        <v>1008</v>
      </c>
      <c r="B406" t="s">
        <v>1008</v>
      </c>
      <c r="C406">
        <v>0</v>
      </c>
      <c r="D406" s="3">
        <v>0</v>
      </c>
      <c r="E406">
        <v>18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2</v>
      </c>
      <c r="T406" t="s">
        <v>968</v>
      </c>
      <c r="U406" t="s">
        <v>180</v>
      </c>
      <c r="V406" t="s">
        <v>1005</v>
      </c>
      <c r="W406" t="s">
        <v>968</v>
      </c>
    </row>
    <row r="407" spans="1:23" x14ac:dyDescent="0.25">
      <c r="A407" t="s">
        <v>602</v>
      </c>
      <c r="B407" t="s">
        <v>602</v>
      </c>
      <c r="C407">
        <v>127</v>
      </c>
      <c r="D407" s="3">
        <v>127</v>
      </c>
      <c r="E407">
        <v>594</v>
      </c>
      <c r="F407">
        <v>100</v>
      </c>
      <c r="G407">
        <v>136</v>
      </c>
      <c r="H407">
        <v>133</v>
      </c>
      <c r="I407">
        <v>99</v>
      </c>
      <c r="J407">
        <v>194</v>
      </c>
      <c r="K407">
        <v>49</v>
      </c>
      <c r="L407">
        <v>78</v>
      </c>
      <c r="M407">
        <v>174</v>
      </c>
      <c r="N407">
        <v>375</v>
      </c>
      <c r="O407">
        <v>74</v>
      </c>
      <c r="P407">
        <v>183</v>
      </c>
      <c r="Q407">
        <v>76</v>
      </c>
      <c r="R407">
        <v>121</v>
      </c>
      <c r="S407">
        <v>1692</v>
      </c>
      <c r="T407" t="s">
        <v>968</v>
      </c>
      <c r="U407" t="s">
        <v>180</v>
      </c>
      <c r="V407" t="s">
        <v>1009</v>
      </c>
      <c r="W407" t="s">
        <v>970</v>
      </c>
    </row>
    <row r="408" spans="1:23" x14ac:dyDescent="0.25">
      <c r="A408" t="s">
        <v>1010</v>
      </c>
      <c r="B408" t="s">
        <v>1010</v>
      </c>
      <c r="C408">
        <v>6.5</v>
      </c>
      <c r="D408" s="3">
        <v>6.5</v>
      </c>
      <c r="E408">
        <v>226</v>
      </c>
      <c r="G408">
        <v>7</v>
      </c>
      <c r="H408">
        <v>17</v>
      </c>
      <c r="I408">
        <v>8</v>
      </c>
      <c r="J408">
        <v>15</v>
      </c>
      <c r="K408">
        <v>6</v>
      </c>
      <c r="L408">
        <v>4</v>
      </c>
      <c r="M408">
        <v>6</v>
      </c>
      <c r="N408">
        <v>11</v>
      </c>
      <c r="O408">
        <v>0</v>
      </c>
      <c r="P408">
        <v>13</v>
      </c>
      <c r="Q408">
        <v>4</v>
      </c>
      <c r="R408">
        <v>6</v>
      </c>
      <c r="S408">
        <v>97</v>
      </c>
      <c r="T408" t="s">
        <v>968</v>
      </c>
      <c r="U408" t="s">
        <v>180</v>
      </c>
      <c r="V408" t="s">
        <v>1009</v>
      </c>
      <c r="W408" t="s">
        <v>813</v>
      </c>
    </row>
    <row r="409" spans="1:23" x14ac:dyDescent="0.25">
      <c r="A409" t="s">
        <v>1011</v>
      </c>
      <c r="B409" t="s">
        <v>1011</v>
      </c>
      <c r="C409">
        <v>0</v>
      </c>
      <c r="D409" s="3">
        <v>0</v>
      </c>
      <c r="E409">
        <v>26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6</v>
      </c>
      <c r="N409">
        <v>6</v>
      </c>
      <c r="O409">
        <v>0</v>
      </c>
      <c r="P409">
        <v>0</v>
      </c>
      <c r="Q409">
        <v>0</v>
      </c>
      <c r="R409">
        <v>2</v>
      </c>
      <c r="S409">
        <v>14</v>
      </c>
      <c r="T409" t="s">
        <v>968</v>
      </c>
      <c r="U409" t="s">
        <v>180</v>
      </c>
      <c r="V409" t="s">
        <v>1009</v>
      </c>
      <c r="W409" t="s">
        <v>815</v>
      </c>
    </row>
    <row r="410" spans="1:23" x14ac:dyDescent="0.25">
      <c r="A410" t="s">
        <v>1012</v>
      </c>
      <c r="B410" t="s">
        <v>1012</v>
      </c>
      <c r="C410">
        <v>0</v>
      </c>
      <c r="D410" s="3">
        <v>0</v>
      </c>
      <c r="E410">
        <v>18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</v>
      </c>
      <c r="T410" t="s">
        <v>968</v>
      </c>
      <c r="U410" t="s">
        <v>180</v>
      </c>
      <c r="V410" t="s">
        <v>1009</v>
      </c>
      <c r="W410" t="s">
        <v>968</v>
      </c>
    </row>
    <row r="411" spans="1:23" x14ac:dyDescent="0.25">
      <c r="A411" t="s">
        <v>1013</v>
      </c>
      <c r="B411" t="s">
        <v>1013</v>
      </c>
      <c r="C411">
        <v>5</v>
      </c>
      <c r="D411" s="3">
        <v>5</v>
      </c>
      <c r="E411">
        <v>22</v>
      </c>
      <c r="G411">
        <v>6</v>
      </c>
      <c r="H411">
        <v>5</v>
      </c>
      <c r="I411">
        <v>1</v>
      </c>
      <c r="J411">
        <v>12</v>
      </c>
      <c r="K411">
        <v>5</v>
      </c>
      <c r="L411">
        <v>8</v>
      </c>
      <c r="M411">
        <v>3</v>
      </c>
      <c r="N411">
        <v>0</v>
      </c>
      <c r="O411">
        <v>2</v>
      </c>
      <c r="P411">
        <v>7</v>
      </c>
      <c r="Q411">
        <v>8</v>
      </c>
      <c r="R411">
        <v>1</v>
      </c>
      <c r="S411">
        <v>58</v>
      </c>
      <c r="T411" t="s">
        <v>968</v>
      </c>
      <c r="U411" t="s">
        <v>294</v>
      </c>
      <c r="V411" t="s">
        <v>1014</v>
      </c>
      <c r="W411" t="s">
        <v>970</v>
      </c>
    </row>
    <row r="412" spans="1:23" x14ac:dyDescent="0.25">
      <c r="A412" t="s">
        <v>1015</v>
      </c>
      <c r="B412" t="s">
        <v>1015</v>
      </c>
      <c r="C412">
        <v>4.5</v>
      </c>
      <c r="D412" s="3">
        <v>4.5</v>
      </c>
      <c r="E412">
        <v>26</v>
      </c>
      <c r="G412">
        <v>5</v>
      </c>
      <c r="H412">
        <v>5</v>
      </c>
      <c r="I412">
        <v>3</v>
      </c>
      <c r="J412">
        <v>13</v>
      </c>
      <c r="K412">
        <v>14</v>
      </c>
      <c r="L412">
        <v>4</v>
      </c>
      <c r="M412">
        <v>4</v>
      </c>
      <c r="N412">
        <v>0</v>
      </c>
      <c r="O412">
        <v>5</v>
      </c>
      <c r="P412">
        <v>4</v>
      </c>
      <c r="Q412">
        <v>8</v>
      </c>
      <c r="R412">
        <v>1</v>
      </c>
      <c r="S412">
        <v>66</v>
      </c>
      <c r="T412" t="s">
        <v>968</v>
      </c>
      <c r="U412" t="s">
        <v>294</v>
      </c>
      <c r="V412" t="s">
        <v>1016</v>
      </c>
      <c r="W412" t="s">
        <v>970</v>
      </c>
    </row>
    <row r="413" spans="1:23" x14ac:dyDescent="0.25">
      <c r="A413" t="s">
        <v>1017</v>
      </c>
      <c r="B413" t="s">
        <v>1017</v>
      </c>
      <c r="C413">
        <v>0</v>
      </c>
      <c r="D413" s="3">
        <v>0</v>
      </c>
      <c r="E413">
        <v>2</v>
      </c>
      <c r="G413">
        <v>224</v>
      </c>
      <c r="H413">
        <v>170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394</v>
      </c>
      <c r="T413" t="s">
        <v>968</v>
      </c>
      <c r="U413" t="s">
        <v>317</v>
      </c>
      <c r="V413" t="s">
        <v>1018</v>
      </c>
      <c r="W413" t="s">
        <v>970</v>
      </c>
    </row>
    <row r="414" spans="1:23" x14ac:dyDescent="0.25">
      <c r="A414" t="s">
        <v>603</v>
      </c>
      <c r="B414" t="s">
        <v>603</v>
      </c>
      <c r="C414">
        <v>725.5</v>
      </c>
      <c r="D414" s="3">
        <v>725.5</v>
      </c>
      <c r="E414">
        <v>1976</v>
      </c>
      <c r="F414">
        <v>200</v>
      </c>
      <c r="G414">
        <v>1361</v>
      </c>
      <c r="H414">
        <v>16</v>
      </c>
      <c r="I414">
        <v>4495</v>
      </c>
      <c r="J414">
        <v>2066</v>
      </c>
      <c r="K414">
        <v>176</v>
      </c>
      <c r="L414">
        <v>3</v>
      </c>
      <c r="M414">
        <v>3140</v>
      </c>
      <c r="N414">
        <v>253</v>
      </c>
      <c r="O414">
        <v>382</v>
      </c>
      <c r="P414">
        <v>806</v>
      </c>
      <c r="Q414">
        <v>772</v>
      </c>
      <c r="R414">
        <v>679</v>
      </c>
      <c r="S414">
        <v>14149</v>
      </c>
      <c r="T414" t="s">
        <v>968</v>
      </c>
      <c r="U414" t="s">
        <v>317</v>
      </c>
      <c r="V414" t="s">
        <v>1018</v>
      </c>
      <c r="W414" t="s">
        <v>970</v>
      </c>
    </row>
    <row r="415" spans="1:23" x14ac:dyDescent="0.25">
      <c r="A415" t="s">
        <v>1019</v>
      </c>
      <c r="B415" t="s">
        <v>1019</v>
      </c>
      <c r="C415">
        <v>2</v>
      </c>
      <c r="D415" s="3">
        <v>2</v>
      </c>
      <c r="E415">
        <v>271</v>
      </c>
      <c r="G415">
        <v>16</v>
      </c>
      <c r="H415">
        <v>25</v>
      </c>
      <c r="I415">
        <v>32</v>
      </c>
      <c r="J415">
        <v>20</v>
      </c>
      <c r="K415">
        <v>0</v>
      </c>
      <c r="L415">
        <v>0</v>
      </c>
      <c r="M415">
        <v>6</v>
      </c>
      <c r="N415">
        <v>4</v>
      </c>
      <c r="O415">
        <v>0</v>
      </c>
      <c r="P415">
        <v>0</v>
      </c>
      <c r="Q415">
        <v>0</v>
      </c>
      <c r="R415">
        <v>0</v>
      </c>
      <c r="S415">
        <v>103</v>
      </c>
      <c r="T415" t="s">
        <v>968</v>
      </c>
      <c r="U415" t="s">
        <v>317</v>
      </c>
      <c r="V415" t="s">
        <v>1018</v>
      </c>
      <c r="W415" t="s">
        <v>813</v>
      </c>
    </row>
    <row r="416" spans="1:23" x14ac:dyDescent="0.25">
      <c r="A416" t="s">
        <v>1020</v>
      </c>
      <c r="B416" t="s">
        <v>1020</v>
      </c>
      <c r="C416">
        <v>84</v>
      </c>
      <c r="D416" s="3">
        <v>84</v>
      </c>
      <c r="E416">
        <v>1019</v>
      </c>
      <c r="G416">
        <v>276</v>
      </c>
      <c r="H416">
        <v>313</v>
      </c>
      <c r="I416">
        <v>268</v>
      </c>
      <c r="J416">
        <v>96</v>
      </c>
      <c r="K416">
        <v>96</v>
      </c>
      <c r="L416">
        <v>300</v>
      </c>
      <c r="M416">
        <v>16</v>
      </c>
      <c r="N416">
        <v>72</v>
      </c>
      <c r="O416">
        <v>52</v>
      </c>
      <c r="P416">
        <v>16</v>
      </c>
      <c r="Q416">
        <v>8</v>
      </c>
      <c r="R416">
        <v>41</v>
      </c>
      <c r="S416">
        <v>1554</v>
      </c>
      <c r="T416" t="s">
        <v>968</v>
      </c>
      <c r="U416" t="s">
        <v>317</v>
      </c>
      <c r="V416" t="s">
        <v>1018</v>
      </c>
      <c r="W416" t="s">
        <v>813</v>
      </c>
    </row>
    <row r="417" spans="1:23" x14ac:dyDescent="0.25">
      <c r="A417" t="s">
        <v>1021</v>
      </c>
      <c r="B417" t="s">
        <v>1021</v>
      </c>
      <c r="C417">
        <v>0</v>
      </c>
      <c r="D417" s="3">
        <v>0</v>
      </c>
      <c r="E417">
        <v>375</v>
      </c>
      <c r="G417">
        <v>0</v>
      </c>
      <c r="H417">
        <v>16</v>
      </c>
      <c r="I417">
        <v>16</v>
      </c>
      <c r="J417">
        <v>12</v>
      </c>
      <c r="K417">
        <v>0</v>
      </c>
      <c r="L417">
        <v>0</v>
      </c>
      <c r="M417">
        <v>4</v>
      </c>
      <c r="N417">
        <v>40</v>
      </c>
      <c r="O417">
        <v>0</v>
      </c>
      <c r="P417">
        <v>0</v>
      </c>
      <c r="Q417">
        <v>0</v>
      </c>
      <c r="R417">
        <v>0</v>
      </c>
      <c r="S417">
        <v>88</v>
      </c>
      <c r="T417" t="s">
        <v>968</v>
      </c>
      <c r="U417" t="s">
        <v>317</v>
      </c>
      <c r="V417" t="s">
        <v>1018</v>
      </c>
      <c r="W417" t="s">
        <v>815</v>
      </c>
    </row>
    <row r="418" spans="1:23" x14ac:dyDescent="0.25">
      <c r="A418" t="s">
        <v>1022</v>
      </c>
      <c r="B418" t="s">
        <v>1022</v>
      </c>
      <c r="C418">
        <v>0</v>
      </c>
      <c r="D418" s="3">
        <v>0</v>
      </c>
      <c r="E418">
        <v>51</v>
      </c>
      <c r="G418">
        <v>16</v>
      </c>
      <c r="H418">
        <v>8</v>
      </c>
      <c r="I418">
        <v>0</v>
      </c>
      <c r="J418">
        <v>1</v>
      </c>
      <c r="K418">
        <v>0</v>
      </c>
      <c r="L418">
        <v>0</v>
      </c>
      <c r="M418">
        <v>16</v>
      </c>
      <c r="N418">
        <v>8</v>
      </c>
      <c r="O418">
        <v>0</v>
      </c>
      <c r="P418">
        <v>0</v>
      </c>
      <c r="Q418">
        <v>0</v>
      </c>
      <c r="R418">
        <v>0</v>
      </c>
      <c r="S418">
        <v>49</v>
      </c>
      <c r="T418" t="s">
        <v>968</v>
      </c>
      <c r="U418" t="s">
        <v>317</v>
      </c>
      <c r="V418" t="s">
        <v>1018</v>
      </c>
      <c r="W418" t="s">
        <v>815</v>
      </c>
    </row>
    <row r="419" spans="1:23" x14ac:dyDescent="0.25">
      <c r="A419" t="s">
        <v>1023</v>
      </c>
      <c r="B419" t="s">
        <v>1023</v>
      </c>
      <c r="C419">
        <v>0</v>
      </c>
      <c r="D419" s="3">
        <v>0</v>
      </c>
      <c r="E419">
        <v>71.75</v>
      </c>
      <c r="G419">
        <v>0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</v>
      </c>
      <c r="T419" t="s">
        <v>968</v>
      </c>
      <c r="U419" t="s">
        <v>1024</v>
      </c>
      <c r="V419" t="s">
        <v>1025</v>
      </c>
      <c r="W419" t="s">
        <v>970</v>
      </c>
    </row>
    <row r="420" spans="1:23" x14ac:dyDescent="0.25">
      <c r="A420" t="s">
        <v>1026</v>
      </c>
      <c r="B420" t="s">
        <v>1026</v>
      </c>
      <c r="C420">
        <v>13.25</v>
      </c>
      <c r="D420" s="3">
        <v>13.25</v>
      </c>
      <c r="E420">
        <v>55</v>
      </c>
      <c r="G420">
        <v>26</v>
      </c>
      <c r="H420">
        <v>6</v>
      </c>
      <c r="I420">
        <v>10</v>
      </c>
      <c r="J420">
        <v>6</v>
      </c>
      <c r="K420">
        <v>16.5</v>
      </c>
      <c r="L420">
        <v>20</v>
      </c>
      <c r="M420">
        <v>18</v>
      </c>
      <c r="N420">
        <v>23</v>
      </c>
      <c r="O420">
        <v>6</v>
      </c>
      <c r="P420">
        <v>6</v>
      </c>
      <c r="Q420">
        <v>18</v>
      </c>
      <c r="R420">
        <v>8</v>
      </c>
      <c r="S420">
        <v>163.5</v>
      </c>
      <c r="T420" t="s">
        <v>968</v>
      </c>
      <c r="U420" t="s">
        <v>1024</v>
      </c>
      <c r="V420" t="s">
        <v>1025</v>
      </c>
      <c r="W420" t="s">
        <v>970</v>
      </c>
    </row>
    <row r="421" spans="1:23" x14ac:dyDescent="0.25">
      <c r="A421" t="s">
        <v>1027</v>
      </c>
      <c r="B421" t="s">
        <v>1027</v>
      </c>
      <c r="C421">
        <v>0</v>
      </c>
      <c r="D421" s="3">
        <v>0</v>
      </c>
      <c r="E421">
        <v>76.75</v>
      </c>
      <c r="G421">
        <v>0</v>
      </c>
      <c r="H421">
        <v>2</v>
      </c>
      <c r="I421">
        <v>0</v>
      </c>
      <c r="J421">
        <v>0</v>
      </c>
      <c r="K421">
        <v>2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4</v>
      </c>
      <c r="T421" t="s">
        <v>968</v>
      </c>
      <c r="U421" t="s">
        <v>1024</v>
      </c>
      <c r="V421" t="s">
        <v>1028</v>
      </c>
      <c r="W421" t="s">
        <v>970</v>
      </c>
    </row>
    <row r="422" spans="1:23" x14ac:dyDescent="0.25">
      <c r="A422" t="s">
        <v>1029</v>
      </c>
      <c r="B422" t="s">
        <v>1029</v>
      </c>
      <c r="C422">
        <v>12.5</v>
      </c>
      <c r="D422" s="3">
        <v>12.5</v>
      </c>
      <c r="E422">
        <v>34.5</v>
      </c>
      <c r="G422">
        <v>19</v>
      </c>
      <c r="H422">
        <v>5</v>
      </c>
      <c r="I422">
        <v>8</v>
      </c>
      <c r="J422">
        <v>4</v>
      </c>
      <c r="K422">
        <v>16</v>
      </c>
      <c r="L422">
        <v>18</v>
      </c>
      <c r="M422">
        <v>18</v>
      </c>
      <c r="N422">
        <v>17</v>
      </c>
      <c r="O422">
        <v>6</v>
      </c>
      <c r="P422">
        <v>10</v>
      </c>
      <c r="Q422">
        <v>15</v>
      </c>
      <c r="R422">
        <v>6</v>
      </c>
      <c r="S422">
        <v>142</v>
      </c>
      <c r="T422" t="s">
        <v>968</v>
      </c>
      <c r="U422" t="s">
        <v>1024</v>
      </c>
      <c r="V422" t="s">
        <v>1028</v>
      </c>
      <c r="W422" t="s">
        <v>970</v>
      </c>
    </row>
    <row r="423" spans="1:23" x14ac:dyDescent="0.25">
      <c r="A423" t="s">
        <v>604</v>
      </c>
      <c r="B423" t="s">
        <v>604</v>
      </c>
      <c r="C423">
        <v>0</v>
      </c>
      <c r="D423" s="3">
        <v>0</v>
      </c>
      <c r="E423">
        <v>159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2</v>
      </c>
      <c r="M423">
        <v>0</v>
      </c>
      <c r="N423">
        <v>0</v>
      </c>
      <c r="O423">
        <v>3</v>
      </c>
      <c r="P423">
        <v>2</v>
      </c>
      <c r="Q423">
        <v>0</v>
      </c>
      <c r="R423">
        <v>0</v>
      </c>
      <c r="S423">
        <v>8</v>
      </c>
      <c r="T423" t="s">
        <v>968</v>
      </c>
      <c r="U423" t="s">
        <v>363</v>
      </c>
      <c r="V423" t="s">
        <v>1030</v>
      </c>
      <c r="W423" t="s">
        <v>970</v>
      </c>
    </row>
    <row r="424" spans="1:23" x14ac:dyDescent="0.25">
      <c r="A424" t="s">
        <v>605</v>
      </c>
      <c r="B424" t="s">
        <v>605</v>
      </c>
      <c r="C424">
        <v>0</v>
      </c>
      <c r="D424" s="3">
        <v>0</v>
      </c>
      <c r="E424">
        <v>158.5</v>
      </c>
      <c r="G424">
        <v>3</v>
      </c>
      <c r="H424">
        <v>0</v>
      </c>
      <c r="I424">
        <v>0</v>
      </c>
      <c r="J424">
        <v>0</v>
      </c>
      <c r="K424">
        <v>1</v>
      </c>
      <c r="L424">
        <v>2</v>
      </c>
      <c r="M424">
        <v>0</v>
      </c>
      <c r="N424">
        <v>0</v>
      </c>
      <c r="O424">
        <v>1</v>
      </c>
      <c r="P424">
        <v>2</v>
      </c>
      <c r="Q424">
        <v>0</v>
      </c>
      <c r="R424">
        <v>0</v>
      </c>
      <c r="S424">
        <v>9</v>
      </c>
      <c r="T424" t="s">
        <v>968</v>
      </c>
      <c r="U424" t="s">
        <v>363</v>
      </c>
      <c r="V424" t="s">
        <v>1031</v>
      </c>
      <c r="W424" t="s">
        <v>970</v>
      </c>
    </row>
    <row r="425" spans="1:23" x14ac:dyDescent="0.25">
      <c r="A425" t="s">
        <v>606</v>
      </c>
      <c r="B425" t="s">
        <v>606</v>
      </c>
      <c r="C425">
        <v>0</v>
      </c>
      <c r="D425" s="3">
        <v>0</v>
      </c>
      <c r="E425">
        <v>274</v>
      </c>
      <c r="G425">
        <v>0</v>
      </c>
      <c r="H425">
        <v>0</v>
      </c>
      <c r="I425">
        <v>4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</v>
      </c>
      <c r="S425">
        <v>6</v>
      </c>
      <c r="T425" t="s">
        <v>968</v>
      </c>
      <c r="U425" t="s">
        <v>363</v>
      </c>
      <c r="V425" t="s">
        <v>1032</v>
      </c>
      <c r="W425" t="s">
        <v>970</v>
      </c>
    </row>
    <row r="426" spans="1:23" x14ac:dyDescent="0.25">
      <c r="A426" t="s">
        <v>1033</v>
      </c>
      <c r="B426" t="s">
        <v>1033</v>
      </c>
      <c r="C426">
        <v>8</v>
      </c>
      <c r="D426" s="3">
        <v>8</v>
      </c>
      <c r="E426">
        <v>279</v>
      </c>
      <c r="G426">
        <v>104</v>
      </c>
      <c r="H426">
        <v>12</v>
      </c>
      <c r="I426">
        <v>8</v>
      </c>
      <c r="J426">
        <v>0</v>
      </c>
      <c r="K426">
        <v>0</v>
      </c>
      <c r="L426">
        <v>32</v>
      </c>
      <c r="M426">
        <v>8</v>
      </c>
      <c r="N426">
        <v>8</v>
      </c>
      <c r="O426">
        <v>8</v>
      </c>
      <c r="P426">
        <v>0</v>
      </c>
      <c r="Q426">
        <v>32</v>
      </c>
      <c r="R426">
        <v>8</v>
      </c>
      <c r="S426">
        <v>220</v>
      </c>
      <c r="T426" t="s">
        <v>968</v>
      </c>
      <c r="U426" t="s">
        <v>420</v>
      </c>
      <c r="V426" t="s">
        <v>1034</v>
      </c>
      <c r="W426" t="s">
        <v>970</v>
      </c>
    </row>
    <row r="427" spans="1:23" x14ac:dyDescent="0.25">
      <c r="A427" t="s">
        <v>1035</v>
      </c>
      <c r="B427" t="s">
        <v>1035</v>
      </c>
      <c r="C427">
        <v>118</v>
      </c>
      <c r="D427" s="3">
        <v>118</v>
      </c>
      <c r="E427">
        <v>888</v>
      </c>
      <c r="G427">
        <v>124</v>
      </c>
      <c r="H427">
        <v>196</v>
      </c>
      <c r="I427">
        <v>112</v>
      </c>
      <c r="J427">
        <v>232</v>
      </c>
      <c r="K427">
        <v>64</v>
      </c>
      <c r="L427">
        <v>144</v>
      </c>
      <c r="M427">
        <v>88</v>
      </c>
      <c r="N427">
        <v>136</v>
      </c>
      <c r="O427">
        <v>196</v>
      </c>
      <c r="P427">
        <v>24</v>
      </c>
      <c r="Q427">
        <v>32</v>
      </c>
      <c r="R427">
        <v>32</v>
      </c>
      <c r="S427">
        <v>1380</v>
      </c>
      <c r="T427" t="s">
        <v>968</v>
      </c>
      <c r="U427" t="s">
        <v>420</v>
      </c>
      <c r="V427" t="s">
        <v>1034</v>
      </c>
      <c r="W427" t="s">
        <v>970</v>
      </c>
    </row>
    <row r="428" spans="1:23" x14ac:dyDescent="0.25">
      <c r="A428" t="s">
        <v>1036</v>
      </c>
      <c r="B428" t="s">
        <v>1036</v>
      </c>
      <c r="C428">
        <v>0</v>
      </c>
      <c r="D428" s="3">
        <v>0</v>
      </c>
      <c r="E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t="s">
        <v>968</v>
      </c>
      <c r="U428" t="s">
        <v>943</v>
      </c>
      <c r="V428" t="s">
        <v>1037</v>
      </c>
      <c r="W428" t="s">
        <v>970</v>
      </c>
    </row>
    <row r="429" spans="1:23" x14ac:dyDescent="0.25">
      <c r="A429" t="s">
        <v>1038</v>
      </c>
      <c r="B429" t="s">
        <v>1038</v>
      </c>
      <c r="C429">
        <v>0</v>
      </c>
      <c r="D429" s="3">
        <v>0</v>
      </c>
      <c r="E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 t="s">
        <v>968</v>
      </c>
      <c r="U429" t="s">
        <v>943</v>
      </c>
      <c r="V429" t="s">
        <v>1039</v>
      </c>
      <c r="W429" t="s">
        <v>813</v>
      </c>
    </row>
    <row r="430" spans="1:23" x14ac:dyDescent="0.25">
      <c r="A430" t="s">
        <v>1040</v>
      </c>
      <c r="B430" t="s">
        <v>1040</v>
      </c>
      <c r="C430">
        <v>8</v>
      </c>
      <c r="D430" s="3">
        <v>8</v>
      </c>
      <c r="E430">
        <v>63</v>
      </c>
      <c r="G430">
        <v>44</v>
      </c>
      <c r="H430">
        <v>8</v>
      </c>
      <c r="I430">
        <v>0</v>
      </c>
      <c r="J430">
        <v>0</v>
      </c>
      <c r="K430">
        <v>16</v>
      </c>
      <c r="L430">
        <v>0</v>
      </c>
      <c r="M430">
        <v>8</v>
      </c>
      <c r="N430">
        <v>16</v>
      </c>
      <c r="O430">
        <v>16</v>
      </c>
      <c r="P430">
        <v>8</v>
      </c>
      <c r="Q430">
        <v>0</v>
      </c>
      <c r="R430">
        <v>0</v>
      </c>
      <c r="S430">
        <v>116</v>
      </c>
      <c r="T430" t="s">
        <v>968</v>
      </c>
      <c r="U430" t="s">
        <v>943</v>
      </c>
      <c r="V430" t="s">
        <v>1041</v>
      </c>
      <c r="W430" t="s">
        <v>970</v>
      </c>
    </row>
    <row r="431" spans="1:23" x14ac:dyDescent="0.25">
      <c r="A431" t="s">
        <v>1042</v>
      </c>
      <c r="B431" t="s">
        <v>1042</v>
      </c>
      <c r="C431">
        <v>77</v>
      </c>
      <c r="D431" s="3">
        <v>77</v>
      </c>
      <c r="E431">
        <v>633</v>
      </c>
      <c r="G431">
        <v>149</v>
      </c>
      <c r="H431">
        <v>202</v>
      </c>
      <c r="I431">
        <v>277</v>
      </c>
      <c r="J431">
        <v>156</v>
      </c>
      <c r="K431">
        <v>190</v>
      </c>
      <c r="L431">
        <v>30</v>
      </c>
      <c r="M431">
        <v>48</v>
      </c>
      <c r="N431">
        <v>22</v>
      </c>
      <c r="O431">
        <v>59</v>
      </c>
      <c r="P431">
        <v>86</v>
      </c>
      <c r="Q431">
        <v>50</v>
      </c>
      <c r="R431">
        <v>68</v>
      </c>
      <c r="S431">
        <v>1337</v>
      </c>
      <c r="T431" t="s">
        <v>968</v>
      </c>
      <c r="U431" t="s">
        <v>943</v>
      </c>
      <c r="V431" t="s">
        <v>1041</v>
      </c>
      <c r="W431" t="s">
        <v>970</v>
      </c>
    </row>
    <row r="432" spans="1:23" x14ac:dyDescent="0.25">
      <c r="A432" t="s">
        <v>607</v>
      </c>
      <c r="B432" t="s">
        <v>607</v>
      </c>
      <c r="C432">
        <v>0</v>
      </c>
      <c r="D432" s="3">
        <v>0</v>
      </c>
      <c r="E432">
        <v>111</v>
      </c>
      <c r="F432">
        <v>100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-5</v>
      </c>
      <c r="O432">
        <v>1</v>
      </c>
      <c r="P432">
        <v>3</v>
      </c>
      <c r="Q432">
        <v>4</v>
      </c>
      <c r="R432">
        <v>6</v>
      </c>
      <c r="S432">
        <v>11</v>
      </c>
      <c r="T432" t="s">
        <v>968</v>
      </c>
      <c r="U432" t="s">
        <v>492</v>
      </c>
      <c r="V432" t="s">
        <v>1043</v>
      </c>
      <c r="W432" t="s">
        <v>970</v>
      </c>
    </row>
    <row r="433" spans="1:23" x14ac:dyDescent="0.25">
      <c r="A433" t="s">
        <v>608</v>
      </c>
      <c r="B433" t="s">
        <v>608</v>
      </c>
      <c r="C433">
        <v>12.5</v>
      </c>
      <c r="D433" s="3">
        <v>12.5</v>
      </c>
      <c r="E433">
        <v>250.75</v>
      </c>
      <c r="F433">
        <v>200</v>
      </c>
      <c r="G433">
        <v>0</v>
      </c>
      <c r="H433">
        <v>1</v>
      </c>
      <c r="I433">
        <v>0</v>
      </c>
      <c r="J433">
        <v>17</v>
      </c>
      <c r="K433">
        <v>41</v>
      </c>
      <c r="L433">
        <v>14</v>
      </c>
      <c r="M433">
        <v>6</v>
      </c>
      <c r="N433">
        <v>1</v>
      </c>
      <c r="O433">
        <v>13</v>
      </c>
      <c r="P433">
        <v>12</v>
      </c>
      <c r="Q433">
        <v>18</v>
      </c>
      <c r="R433">
        <v>21</v>
      </c>
      <c r="S433">
        <v>144</v>
      </c>
      <c r="T433" t="s">
        <v>968</v>
      </c>
      <c r="U433" t="s">
        <v>492</v>
      </c>
      <c r="V433" t="s">
        <v>1043</v>
      </c>
      <c r="W433" t="s">
        <v>970</v>
      </c>
    </row>
    <row r="434" spans="1:23" x14ac:dyDescent="0.25">
      <c r="A434" t="s">
        <v>1044</v>
      </c>
      <c r="B434" t="s">
        <v>1044</v>
      </c>
      <c r="C434">
        <v>3.5</v>
      </c>
      <c r="D434" s="3">
        <v>3.5</v>
      </c>
      <c r="E434">
        <v>37</v>
      </c>
      <c r="G434">
        <v>5</v>
      </c>
      <c r="H434">
        <v>5</v>
      </c>
      <c r="I434">
        <v>16</v>
      </c>
      <c r="J434">
        <v>4</v>
      </c>
      <c r="K434">
        <v>2</v>
      </c>
      <c r="L434">
        <v>12</v>
      </c>
      <c r="M434">
        <v>0</v>
      </c>
      <c r="N434">
        <v>6</v>
      </c>
      <c r="O434">
        <v>0</v>
      </c>
      <c r="P434">
        <v>0</v>
      </c>
      <c r="Q434">
        <v>0</v>
      </c>
      <c r="R434">
        <v>3</v>
      </c>
      <c r="S434">
        <v>53</v>
      </c>
      <c r="T434" t="s">
        <v>968</v>
      </c>
      <c r="U434" t="s">
        <v>492</v>
      </c>
      <c r="V434" t="s">
        <v>1043</v>
      </c>
      <c r="W434" t="s">
        <v>813</v>
      </c>
    </row>
    <row r="435" spans="1:23" x14ac:dyDescent="0.25">
      <c r="A435" t="s">
        <v>609</v>
      </c>
      <c r="B435" t="s">
        <v>609</v>
      </c>
      <c r="C435">
        <v>35.5</v>
      </c>
      <c r="D435" s="3">
        <v>35.5</v>
      </c>
      <c r="E435">
        <v>525</v>
      </c>
      <c r="G435">
        <v>80</v>
      </c>
      <c r="H435">
        <v>72</v>
      </c>
      <c r="I435">
        <v>91</v>
      </c>
      <c r="J435">
        <v>54</v>
      </c>
      <c r="K435">
        <v>36</v>
      </c>
      <c r="L435">
        <v>59</v>
      </c>
      <c r="M435">
        <v>25</v>
      </c>
      <c r="N435">
        <v>18</v>
      </c>
      <c r="O435">
        <v>21</v>
      </c>
      <c r="P435">
        <v>35</v>
      </c>
      <c r="Q435">
        <v>23</v>
      </c>
      <c r="R435">
        <v>15</v>
      </c>
      <c r="S435">
        <v>529</v>
      </c>
      <c r="T435" t="s">
        <v>968</v>
      </c>
      <c r="U435" t="s">
        <v>492</v>
      </c>
      <c r="V435" t="s">
        <v>1043</v>
      </c>
      <c r="W435" t="s">
        <v>813</v>
      </c>
    </row>
    <row r="436" spans="1:23" x14ac:dyDescent="0.25">
      <c r="A436" t="s">
        <v>1045</v>
      </c>
      <c r="B436" t="s">
        <v>1045</v>
      </c>
      <c r="C436">
        <v>1</v>
      </c>
      <c r="D436" s="3">
        <v>1</v>
      </c>
      <c r="E436">
        <v>27.25</v>
      </c>
      <c r="G436">
        <v>10</v>
      </c>
      <c r="H436">
        <v>1</v>
      </c>
      <c r="I436">
        <v>0</v>
      </c>
      <c r="J436">
        <v>10</v>
      </c>
      <c r="K436">
        <v>0</v>
      </c>
      <c r="L436">
        <v>9</v>
      </c>
      <c r="M436">
        <v>7</v>
      </c>
      <c r="N436">
        <v>-2</v>
      </c>
      <c r="O436">
        <v>2</v>
      </c>
      <c r="P436">
        <v>0</v>
      </c>
      <c r="Q436">
        <v>1</v>
      </c>
      <c r="R436">
        <v>0</v>
      </c>
      <c r="S436">
        <v>38</v>
      </c>
      <c r="T436" t="s">
        <v>968</v>
      </c>
      <c r="U436" t="s">
        <v>492</v>
      </c>
      <c r="V436" t="s">
        <v>1043</v>
      </c>
      <c r="W436" t="s">
        <v>815</v>
      </c>
    </row>
    <row r="437" spans="1:23" x14ac:dyDescent="0.25">
      <c r="A437" t="s">
        <v>1046</v>
      </c>
      <c r="B437" t="s">
        <v>1046</v>
      </c>
      <c r="C437">
        <v>4.5</v>
      </c>
      <c r="D437" s="3">
        <v>4.5</v>
      </c>
      <c r="E437">
        <v>53</v>
      </c>
      <c r="G437">
        <v>26</v>
      </c>
      <c r="H437">
        <v>18</v>
      </c>
      <c r="I437">
        <v>1</v>
      </c>
      <c r="J437">
        <v>7</v>
      </c>
      <c r="K437">
        <v>0</v>
      </c>
      <c r="L437">
        <v>5</v>
      </c>
      <c r="M437">
        <v>3</v>
      </c>
      <c r="N437">
        <v>-3</v>
      </c>
      <c r="O437">
        <v>4</v>
      </c>
      <c r="P437">
        <v>4</v>
      </c>
      <c r="Q437">
        <v>5</v>
      </c>
      <c r="R437">
        <v>8</v>
      </c>
      <c r="S437">
        <v>78</v>
      </c>
      <c r="T437" t="s">
        <v>968</v>
      </c>
      <c r="U437" t="s">
        <v>492</v>
      </c>
      <c r="V437" t="s">
        <v>1043</v>
      </c>
      <c r="W437" t="s">
        <v>815</v>
      </c>
    </row>
    <row r="438" spans="1:23" x14ac:dyDescent="0.25">
      <c r="A438" t="s">
        <v>610</v>
      </c>
      <c r="B438" t="s">
        <v>610</v>
      </c>
      <c r="C438">
        <v>0</v>
      </c>
      <c r="D438" s="3">
        <v>0</v>
      </c>
      <c r="E438">
        <v>112</v>
      </c>
      <c r="F438">
        <v>80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-1</v>
      </c>
      <c r="M438">
        <v>1</v>
      </c>
      <c r="N438">
        <v>-1</v>
      </c>
      <c r="O438">
        <v>1</v>
      </c>
      <c r="P438">
        <v>2</v>
      </c>
      <c r="Q438">
        <v>2</v>
      </c>
      <c r="R438">
        <v>4</v>
      </c>
      <c r="S438">
        <v>8</v>
      </c>
      <c r="T438" t="s">
        <v>968</v>
      </c>
      <c r="U438" t="s">
        <v>492</v>
      </c>
      <c r="V438" t="s">
        <v>1047</v>
      </c>
      <c r="W438" t="s">
        <v>970</v>
      </c>
    </row>
    <row r="439" spans="1:23" x14ac:dyDescent="0.25">
      <c r="A439" t="s">
        <v>612</v>
      </c>
      <c r="B439" t="s">
        <v>612</v>
      </c>
      <c r="C439">
        <v>15</v>
      </c>
      <c r="D439" s="3">
        <v>15</v>
      </c>
      <c r="E439">
        <v>50</v>
      </c>
      <c r="G439">
        <v>2</v>
      </c>
      <c r="H439">
        <v>13</v>
      </c>
      <c r="I439">
        <v>20</v>
      </c>
      <c r="J439">
        <v>63</v>
      </c>
      <c r="K439">
        <v>36</v>
      </c>
      <c r="L439">
        <v>16</v>
      </c>
      <c r="M439">
        <v>6</v>
      </c>
      <c r="N439">
        <v>6</v>
      </c>
      <c r="O439">
        <v>16</v>
      </c>
      <c r="P439">
        <v>14</v>
      </c>
      <c r="Q439">
        <v>14</v>
      </c>
      <c r="R439">
        <v>25</v>
      </c>
      <c r="S439">
        <v>231</v>
      </c>
      <c r="T439" t="s">
        <v>968</v>
      </c>
      <c r="U439" t="s">
        <v>492</v>
      </c>
      <c r="V439" t="s">
        <v>1047</v>
      </c>
      <c r="W439" t="s">
        <v>970</v>
      </c>
    </row>
    <row r="440" spans="1:23" x14ac:dyDescent="0.25">
      <c r="A440" t="s">
        <v>611</v>
      </c>
      <c r="B440" t="s">
        <v>611</v>
      </c>
      <c r="C440">
        <v>2.5</v>
      </c>
      <c r="D440" s="3">
        <v>2.5</v>
      </c>
      <c r="E440">
        <v>63</v>
      </c>
      <c r="G440">
        <v>0</v>
      </c>
      <c r="H440">
        <v>4</v>
      </c>
      <c r="I440">
        <v>16</v>
      </c>
      <c r="J440">
        <v>4</v>
      </c>
      <c r="K440">
        <v>4</v>
      </c>
      <c r="L440">
        <v>12</v>
      </c>
      <c r="M440">
        <v>1</v>
      </c>
      <c r="N440">
        <v>-1</v>
      </c>
      <c r="O440">
        <v>0</v>
      </c>
      <c r="P440">
        <v>2</v>
      </c>
      <c r="Q440">
        <v>2</v>
      </c>
      <c r="R440">
        <v>3</v>
      </c>
      <c r="S440">
        <v>47</v>
      </c>
      <c r="T440" t="s">
        <v>968</v>
      </c>
      <c r="U440" t="s">
        <v>492</v>
      </c>
      <c r="V440" t="s">
        <v>1047</v>
      </c>
      <c r="W440" t="s">
        <v>813</v>
      </c>
    </row>
    <row r="441" spans="1:23" x14ac:dyDescent="0.25">
      <c r="A441" t="s">
        <v>613</v>
      </c>
      <c r="B441" t="s">
        <v>613</v>
      </c>
      <c r="C441">
        <v>34</v>
      </c>
      <c r="D441" s="3">
        <v>34</v>
      </c>
      <c r="E441">
        <v>427</v>
      </c>
      <c r="G441">
        <v>115</v>
      </c>
      <c r="H441">
        <v>82</v>
      </c>
      <c r="I441">
        <v>76</v>
      </c>
      <c r="J441">
        <v>50</v>
      </c>
      <c r="K441">
        <v>36</v>
      </c>
      <c r="L441">
        <v>59</v>
      </c>
      <c r="M441">
        <v>19</v>
      </c>
      <c r="N441">
        <v>18</v>
      </c>
      <c r="O441">
        <v>32</v>
      </c>
      <c r="P441">
        <v>28</v>
      </c>
      <c r="Q441">
        <v>26</v>
      </c>
      <c r="R441">
        <v>16</v>
      </c>
      <c r="S441">
        <v>557</v>
      </c>
      <c r="T441" t="s">
        <v>968</v>
      </c>
      <c r="U441" t="s">
        <v>492</v>
      </c>
      <c r="V441" t="s">
        <v>1047</v>
      </c>
      <c r="W441" t="s">
        <v>813</v>
      </c>
    </row>
    <row r="442" spans="1:23" x14ac:dyDescent="0.25">
      <c r="A442" t="s">
        <v>1048</v>
      </c>
      <c r="B442" t="s">
        <v>1048</v>
      </c>
      <c r="C442">
        <v>1.5</v>
      </c>
      <c r="D442" s="3">
        <v>1.5</v>
      </c>
      <c r="E442">
        <v>349</v>
      </c>
      <c r="G442">
        <v>19</v>
      </c>
      <c r="H442">
        <v>8</v>
      </c>
      <c r="I442">
        <v>0</v>
      </c>
      <c r="J442">
        <v>10</v>
      </c>
      <c r="K442">
        <v>0</v>
      </c>
      <c r="L442">
        <v>17</v>
      </c>
      <c r="M442">
        <v>5</v>
      </c>
      <c r="N442">
        <v>-4</v>
      </c>
      <c r="O442">
        <v>2</v>
      </c>
      <c r="P442">
        <v>0</v>
      </c>
      <c r="Q442">
        <v>1</v>
      </c>
      <c r="R442">
        <v>0</v>
      </c>
      <c r="S442">
        <v>58</v>
      </c>
      <c r="T442" t="s">
        <v>968</v>
      </c>
      <c r="U442" t="s">
        <v>492</v>
      </c>
      <c r="V442" t="s">
        <v>1047</v>
      </c>
      <c r="W442" t="s">
        <v>815</v>
      </c>
    </row>
    <row r="443" spans="1:23" x14ac:dyDescent="0.25">
      <c r="A443" t="s">
        <v>1049</v>
      </c>
      <c r="B443" t="s">
        <v>1049</v>
      </c>
      <c r="C443">
        <v>0</v>
      </c>
      <c r="D443" s="3">
        <v>0</v>
      </c>
      <c r="E443">
        <v>57</v>
      </c>
      <c r="G443">
        <v>0</v>
      </c>
      <c r="H443">
        <v>10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-5</v>
      </c>
      <c r="O443">
        <v>5</v>
      </c>
      <c r="P443">
        <v>21</v>
      </c>
      <c r="Q443">
        <v>2</v>
      </c>
      <c r="R443">
        <v>13</v>
      </c>
      <c r="S443">
        <v>46</v>
      </c>
      <c r="T443" t="s">
        <v>968</v>
      </c>
      <c r="U443" t="s">
        <v>492</v>
      </c>
      <c r="V443" t="s">
        <v>1047</v>
      </c>
      <c r="W443" t="s">
        <v>815</v>
      </c>
    </row>
    <row r="444" spans="1:23" x14ac:dyDescent="0.25">
      <c r="A444" t="s">
        <v>614</v>
      </c>
      <c r="B444" t="s">
        <v>614</v>
      </c>
      <c r="C444">
        <v>24</v>
      </c>
      <c r="D444" s="3">
        <v>24</v>
      </c>
      <c r="E444">
        <v>800</v>
      </c>
      <c r="F444">
        <v>800</v>
      </c>
      <c r="G444">
        <v>32</v>
      </c>
      <c r="H444">
        <v>0</v>
      </c>
      <c r="I444">
        <v>40</v>
      </c>
      <c r="J444">
        <v>12</v>
      </c>
      <c r="K444">
        <v>12</v>
      </c>
      <c r="L444">
        <v>208</v>
      </c>
      <c r="M444">
        <v>187</v>
      </c>
      <c r="N444">
        <v>478</v>
      </c>
      <c r="O444">
        <v>196</v>
      </c>
      <c r="P444">
        <v>16</v>
      </c>
      <c r="Q444">
        <v>2</v>
      </c>
      <c r="R444">
        <v>0</v>
      </c>
      <c r="S444">
        <v>1183</v>
      </c>
      <c r="T444" t="s">
        <v>968</v>
      </c>
      <c r="U444" t="s">
        <v>568</v>
      </c>
      <c r="V444" t="s">
        <v>1050</v>
      </c>
      <c r="W444" t="s">
        <v>970</v>
      </c>
    </row>
    <row r="445" spans="1:23" x14ac:dyDescent="0.25">
      <c r="A445" t="s">
        <v>615</v>
      </c>
      <c r="B445" t="s">
        <v>615</v>
      </c>
      <c r="C445">
        <v>324</v>
      </c>
      <c r="D445" s="3">
        <v>324</v>
      </c>
      <c r="E445">
        <v>3000</v>
      </c>
      <c r="F445">
        <v>3000</v>
      </c>
      <c r="G445">
        <v>404</v>
      </c>
      <c r="H445">
        <v>1040</v>
      </c>
      <c r="I445">
        <v>990</v>
      </c>
      <c r="J445">
        <v>260</v>
      </c>
      <c r="K445">
        <v>465</v>
      </c>
      <c r="L445">
        <v>388</v>
      </c>
      <c r="M445">
        <v>12</v>
      </c>
      <c r="N445">
        <v>2</v>
      </c>
      <c r="O445">
        <v>0</v>
      </c>
      <c r="P445">
        <v>472</v>
      </c>
      <c r="Q445">
        <v>0</v>
      </c>
      <c r="R445">
        <v>0</v>
      </c>
      <c r="S445">
        <v>4033</v>
      </c>
      <c r="T445" t="s">
        <v>968</v>
      </c>
      <c r="U445" t="s">
        <v>568</v>
      </c>
      <c r="V445" t="s">
        <v>1050</v>
      </c>
      <c r="W445" t="s">
        <v>970</v>
      </c>
    </row>
    <row r="446" spans="1:23" x14ac:dyDescent="0.25">
      <c r="A446" t="s">
        <v>1051</v>
      </c>
      <c r="B446" t="s">
        <v>1051</v>
      </c>
      <c r="C446">
        <v>49</v>
      </c>
      <c r="D446" s="3">
        <v>49</v>
      </c>
      <c r="E446">
        <v>247</v>
      </c>
      <c r="G446">
        <v>173</v>
      </c>
      <c r="H446">
        <v>168</v>
      </c>
      <c r="I446">
        <v>84</v>
      </c>
      <c r="J446">
        <v>51</v>
      </c>
      <c r="K446">
        <v>37</v>
      </c>
      <c r="L446">
        <v>47</v>
      </c>
      <c r="M446">
        <v>109</v>
      </c>
      <c r="N446">
        <v>24</v>
      </c>
      <c r="O446">
        <v>31</v>
      </c>
      <c r="P446">
        <v>41</v>
      </c>
      <c r="Q446">
        <v>25</v>
      </c>
      <c r="R446">
        <v>73</v>
      </c>
      <c r="S446">
        <v>863</v>
      </c>
      <c r="T446" t="s">
        <v>968</v>
      </c>
      <c r="U446" t="s">
        <v>959</v>
      </c>
      <c r="V446" t="s">
        <v>1052</v>
      </c>
      <c r="W446" t="s">
        <v>970</v>
      </c>
    </row>
    <row r="447" spans="1:23" x14ac:dyDescent="0.25">
      <c r="A447" t="s">
        <v>1053</v>
      </c>
      <c r="B447" t="s">
        <v>1053</v>
      </c>
      <c r="C447">
        <v>49.5</v>
      </c>
      <c r="D447" s="3">
        <v>49.5</v>
      </c>
      <c r="E447">
        <v>243</v>
      </c>
      <c r="G447">
        <v>191</v>
      </c>
      <c r="H447">
        <v>160</v>
      </c>
      <c r="I447">
        <v>104</v>
      </c>
      <c r="J447">
        <v>52</v>
      </c>
      <c r="K447">
        <v>44</v>
      </c>
      <c r="L447">
        <v>29</v>
      </c>
      <c r="M447">
        <v>113</v>
      </c>
      <c r="N447">
        <v>19</v>
      </c>
      <c r="O447">
        <v>32</v>
      </c>
      <c r="P447">
        <v>67</v>
      </c>
      <c r="Q447">
        <v>46</v>
      </c>
      <c r="R447">
        <v>47</v>
      </c>
      <c r="S447">
        <v>904</v>
      </c>
      <c r="T447" t="s">
        <v>968</v>
      </c>
      <c r="U447" t="s">
        <v>959</v>
      </c>
      <c r="V447" t="s">
        <v>1054</v>
      </c>
      <c r="W447" t="s">
        <v>970</v>
      </c>
    </row>
    <row r="448" spans="1:23" x14ac:dyDescent="0.25">
      <c r="A448" t="s">
        <v>1055</v>
      </c>
      <c r="B448" t="s">
        <v>1055</v>
      </c>
      <c r="C448">
        <v>8</v>
      </c>
      <c r="D448" s="3">
        <v>8</v>
      </c>
      <c r="E448">
        <v>128</v>
      </c>
      <c r="G448">
        <v>28</v>
      </c>
      <c r="H448">
        <v>16</v>
      </c>
      <c r="I448">
        <v>12</v>
      </c>
      <c r="J448">
        <v>20</v>
      </c>
      <c r="K448">
        <v>0</v>
      </c>
      <c r="L448">
        <v>0</v>
      </c>
      <c r="M448">
        <v>0</v>
      </c>
      <c r="N448">
        <v>16</v>
      </c>
      <c r="O448">
        <v>8</v>
      </c>
      <c r="P448">
        <v>8</v>
      </c>
      <c r="Q448">
        <v>0</v>
      </c>
      <c r="R448">
        <v>0</v>
      </c>
      <c r="S448">
        <v>108</v>
      </c>
      <c r="T448" t="s">
        <v>968</v>
      </c>
      <c r="U448" t="s">
        <v>576</v>
      </c>
      <c r="V448" t="s">
        <v>1056</v>
      </c>
      <c r="W448" t="s">
        <v>970</v>
      </c>
    </row>
    <row r="449" spans="1:23" x14ac:dyDescent="0.25">
      <c r="A449" t="s">
        <v>1057</v>
      </c>
      <c r="B449" t="s">
        <v>1057</v>
      </c>
      <c r="C449">
        <v>52</v>
      </c>
      <c r="D449" s="3">
        <v>52</v>
      </c>
      <c r="E449">
        <v>474</v>
      </c>
      <c r="G449">
        <v>132</v>
      </c>
      <c r="H449">
        <v>160</v>
      </c>
      <c r="I449">
        <v>92</v>
      </c>
      <c r="J449">
        <v>62</v>
      </c>
      <c r="K449">
        <v>-50</v>
      </c>
      <c r="L449">
        <v>112</v>
      </c>
      <c r="M449">
        <v>25</v>
      </c>
      <c r="N449">
        <v>33</v>
      </c>
      <c r="O449">
        <v>56</v>
      </c>
      <c r="P449">
        <v>48</v>
      </c>
      <c r="Q449">
        <v>12</v>
      </c>
      <c r="R449">
        <v>8</v>
      </c>
      <c r="S449">
        <v>690</v>
      </c>
      <c r="T449" t="s">
        <v>968</v>
      </c>
      <c r="U449" t="s">
        <v>576</v>
      </c>
      <c r="V449" t="s">
        <v>1056</v>
      </c>
      <c r="W449" t="s">
        <v>970</v>
      </c>
    </row>
    <row r="450" spans="1:23" x14ac:dyDescent="0.25">
      <c r="A450" t="s">
        <v>1058</v>
      </c>
      <c r="B450" t="s">
        <v>1058</v>
      </c>
      <c r="C450">
        <v>0</v>
      </c>
      <c r="D450" s="3">
        <v>0</v>
      </c>
      <c r="E450">
        <v>300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 t="s">
        <v>968</v>
      </c>
      <c r="U450" t="s">
        <v>576</v>
      </c>
      <c r="V450" t="s">
        <v>1056</v>
      </c>
      <c r="W450" t="s">
        <v>813</v>
      </c>
    </row>
    <row r="451" spans="1:23" x14ac:dyDescent="0.25">
      <c r="A451" t="s">
        <v>1059</v>
      </c>
      <c r="B451" t="s">
        <v>1059</v>
      </c>
      <c r="C451">
        <v>0</v>
      </c>
      <c r="D451" s="3">
        <v>0</v>
      </c>
      <c r="E451">
        <v>114</v>
      </c>
      <c r="G451">
        <v>0</v>
      </c>
      <c r="H451">
        <v>0</v>
      </c>
      <c r="I451">
        <v>8</v>
      </c>
      <c r="J451">
        <v>6</v>
      </c>
      <c r="K451">
        <v>0</v>
      </c>
      <c r="L451">
        <v>0</v>
      </c>
      <c r="M451">
        <v>12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26</v>
      </c>
      <c r="T451" t="s">
        <v>968</v>
      </c>
      <c r="U451" t="s">
        <v>576</v>
      </c>
      <c r="V451" t="s">
        <v>1056</v>
      </c>
      <c r="W451" t="s">
        <v>813</v>
      </c>
    </row>
    <row r="452" spans="1:23" x14ac:dyDescent="0.25">
      <c r="A452" t="s">
        <v>1060</v>
      </c>
      <c r="B452" t="s">
        <v>1060</v>
      </c>
      <c r="C452">
        <v>0</v>
      </c>
      <c r="D452" s="3">
        <v>0</v>
      </c>
      <c r="E452">
        <v>215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968</v>
      </c>
      <c r="U452" t="s">
        <v>576</v>
      </c>
      <c r="V452" t="s">
        <v>1056</v>
      </c>
      <c r="W452" t="s">
        <v>815</v>
      </c>
    </row>
    <row r="453" spans="1:23" x14ac:dyDescent="0.25">
      <c r="A453" t="s">
        <v>1061</v>
      </c>
      <c r="B453" t="s">
        <v>1061</v>
      </c>
      <c r="C453">
        <v>0</v>
      </c>
      <c r="D453" s="3">
        <v>0</v>
      </c>
      <c r="E453">
        <v>72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 t="s">
        <v>968</v>
      </c>
      <c r="U453" t="s">
        <v>576</v>
      </c>
      <c r="V453" t="s">
        <v>1056</v>
      </c>
      <c r="W453" t="s">
        <v>815</v>
      </c>
    </row>
    <row r="454" spans="1:23" x14ac:dyDescent="0.25">
      <c r="A454" t="s">
        <v>1062</v>
      </c>
      <c r="B454" t="s">
        <v>1062</v>
      </c>
      <c r="C454">
        <v>7.5</v>
      </c>
      <c r="D454" s="3">
        <v>7.5</v>
      </c>
      <c r="E454">
        <v>73</v>
      </c>
      <c r="G454">
        <v>0</v>
      </c>
      <c r="H454">
        <v>16</v>
      </c>
      <c r="I454">
        <v>0</v>
      </c>
      <c r="J454">
        <v>20</v>
      </c>
      <c r="K454">
        <v>0</v>
      </c>
      <c r="L454">
        <v>8</v>
      </c>
      <c r="M454">
        <v>24</v>
      </c>
      <c r="N454">
        <v>40</v>
      </c>
      <c r="O454">
        <v>7</v>
      </c>
      <c r="P454">
        <v>0</v>
      </c>
      <c r="Q454">
        <v>12</v>
      </c>
      <c r="R454">
        <v>0</v>
      </c>
      <c r="S454">
        <v>127</v>
      </c>
      <c r="T454" t="s">
        <v>968</v>
      </c>
      <c r="U454" t="s">
        <v>576</v>
      </c>
      <c r="V454" t="s">
        <v>1063</v>
      </c>
      <c r="W454" t="s">
        <v>970</v>
      </c>
    </row>
    <row r="455" spans="1:23" x14ac:dyDescent="0.25">
      <c r="A455" t="s">
        <v>1064</v>
      </c>
      <c r="B455" t="s">
        <v>1064</v>
      </c>
      <c r="C455">
        <v>54</v>
      </c>
      <c r="D455" s="3">
        <v>54</v>
      </c>
      <c r="E455">
        <v>284</v>
      </c>
      <c r="G455">
        <v>184</v>
      </c>
      <c r="H455">
        <v>185</v>
      </c>
      <c r="I455">
        <v>84</v>
      </c>
      <c r="J455">
        <v>52</v>
      </c>
      <c r="K455">
        <v>56</v>
      </c>
      <c r="L455">
        <v>107</v>
      </c>
      <c r="M455">
        <v>0</v>
      </c>
      <c r="N455">
        <v>0</v>
      </c>
      <c r="O455">
        <v>0</v>
      </c>
      <c r="P455">
        <v>72</v>
      </c>
      <c r="Q455">
        <v>12</v>
      </c>
      <c r="R455">
        <v>16</v>
      </c>
      <c r="S455">
        <v>768</v>
      </c>
      <c r="T455" t="s">
        <v>968</v>
      </c>
      <c r="U455" t="s">
        <v>576</v>
      </c>
      <c r="V455" t="s">
        <v>1063</v>
      </c>
      <c r="W455" t="s">
        <v>970</v>
      </c>
    </row>
    <row r="456" spans="1:23" x14ac:dyDescent="0.25">
      <c r="A456" t="s">
        <v>1065</v>
      </c>
      <c r="B456" t="s">
        <v>1065</v>
      </c>
      <c r="C456">
        <v>0</v>
      </c>
      <c r="D456" s="3">
        <v>0</v>
      </c>
      <c r="E456">
        <v>268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968</v>
      </c>
      <c r="U456" t="s">
        <v>576</v>
      </c>
      <c r="V456" t="s">
        <v>1063</v>
      </c>
      <c r="W456" t="s">
        <v>813</v>
      </c>
    </row>
    <row r="457" spans="1:23" x14ac:dyDescent="0.25">
      <c r="A457" t="s">
        <v>1066</v>
      </c>
      <c r="B457" t="s">
        <v>1066</v>
      </c>
      <c r="C457">
        <v>0</v>
      </c>
      <c r="D457" s="3">
        <v>0</v>
      </c>
      <c r="E457">
        <v>91</v>
      </c>
      <c r="G457">
        <v>0</v>
      </c>
      <c r="H457">
        <v>0</v>
      </c>
      <c r="I457">
        <v>8</v>
      </c>
      <c r="J457">
        <v>0</v>
      </c>
      <c r="K457">
        <v>0</v>
      </c>
      <c r="L457">
        <v>0</v>
      </c>
      <c r="M457">
        <v>13</v>
      </c>
      <c r="N457">
        <v>0</v>
      </c>
      <c r="O457">
        <v>8</v>
      </c>
      <c r="P457">
        <v>0</v>
      </c>
      <c r="Q457">
        <v>0</v>
      </c>
      <c r="R457">
        <v>0</v>
      </c>
      <c r="S457">
        <v>29</v>
      </c>
      <c r="T457" t="s">
        <v>968</v>
      </c>
      <c r="U457" t="s">
        <v>576</v>
      </c>
      <c r="V457" t="s">
        <v>1063</v>
      </c>
      <c r="W457" t="s">
        <v>813</v>
      </c>
    </row>
    <row r="458" spans="1:23" x14ac:dyDescent="0.25">
      <c r="A458" t="s">
        <v>1067</v>
      </c>
      <c r="B458" t="s">
        <v>1067</v>
      </c>
      <c r="C458">
        <v>0</v>
      </c>
      <c r="D458" s="3">
        <v>0</v>
      </c>
      <c r="E458">
        <v>244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 t="s">
        <v>968</v>
      </c>
      <c r="U458" t="s">
        <v>576</v>
      </c>
      <c r="V458" t="s">
        <v>1063</v>
      </c>
      <c r="W458" t="s">
        <v>815</v>
      </c>
    </row>
    <row r="459" spans="1:23" x14ac:dyDescent="0.25">
      <c r="A459" t="s">
        <v>1068</v>
      </c>
      <c r="B459" t="s">
        <v>1068</v>
      </c>
      <c r="C459">
        <v>0</v>
      </c>
      <c r="D459" s="3">
        <v>0</v>
      </c>
      <c r="E459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4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4</v>
      </c>
      <c r="T459" t="s">
        <v>968</v>
      </c>
      <c r="U459" t="s">
        <v>576</v>
      </c>
      <c r="V459" t="s">
        <v>1063</v>
      </c>
      <c r="W459" t="s">
        <v>815</v>
      </c>
    </row>
    <row r="460" spans="1:23" x14ac:dyDescent="0.25">
      <c r="A460" t="s">
        <v>770</v>
      </c>
      <c r="B460" t="s">
        <v>770</v>
      </c>
      <c r="C460">
        <v>0</v>
      </c>
      <c r="D460" s="3">
        <v>0</v>
      </c>
      <c r="E460">
        <v>50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1069</v>
      </c>
      <c r="U460" t="s">
        <v>83</v>
      </c>
      <c r="V460" t="s">
        <v>770</v>
      </c>
    </row>
    <row r="461" spans="1:23" x14ac:dyDescent="0.25">
      <c r="A461" t="s">
        <v>1070</v>
      </c>
      <c r="B461" t="s">
        <v>1070</v>
      </c>
      <c r="C461">
        <v>0.5</v>
      </c>
      <c r="D461" s="3">
        <v>0.5</v>
      </c>
      <c r="E461">
        <v>59</v>
      </c>
      <c r="G461">
        <v>9</v>
      </c>
      <c r="H461">
        <v>0</v>
      </c>
      <c r="I461">
        <v>1</v>
      </c>
      <c r="J461">
        <v>1</v>
      </c>
      <c r="K461">
        <v>-1</v>
      </c>
      <c r="L461">
        <v>1</v>
      </c>
      <c r="M461">
        <v>2</v>
      </c>
      <c r="N461">
        <v>0</v>
      </c>
      <c r="O461">
        <v>0</v>
      </c>
      <c r="P461">
        <v>2</v>
      </c>
      <c r="Q461">
        <v>0</v>
      </c>
      <c r="R461">
        <v>0</v>
      </c>
      <c r="S461">
        <v>15</v>
      </c>
      <c r="T461" t="s">
        <v>1069</v>
      </c>
      <c r="U461" t="s">
        <v>83</v>
      </c>
      <c r="V461" t="s">
        <v>1070</v>
      </c>
    </row>
    <row r="462" spans="1:23" x14ac:dyDescent="0.25">
      <c r="A462" t="s">
        <v>1071</v>
      </c>
      <c r="B462" t="s">
        <v>1071</v>
      </c>
      <c r="C462">
        <v>0</v>
      </c>
      <c r="D462" s="3">
        <v>0</v>
      </c>
      <c r="E462">
        <v>1503</v>
      </c>
      <c r="G462">
        <v>0</v>
      </c>
      <c r="H462">
        <v>0</v>
      </c>
      <c r="I462">
        <v>0</v>
      </c>
      <c r="J462">
        <v>0</v>
      </c>
      <c r="K462">
        <v>6</v>
      </c>
      <c r="L462">
        <v>0</v>
      </c>
      <c r="M462">
        <v>0</v>
      </c>
      <c r="N462">
        <v>0</v>
      </c>
      <c r="O462">
        <v>0</v>
      </c>
      <c r="P462">
        <v>5</v>
      </c>
      <c r="Q462">
        <v>10</v>
      </c>
      <c r="R462">
        <v>0</v>
      </c>
      <c r="S462">
        <v>21</v>
      </c>
      <c r="T462" t="s">
        <v>1069</v>
      </c>
      <c r="U462" t="s">
        <v>166</v>
      </c>
      <c r="V462" t="s">
        <v>1071</v>
      </c>
    </row>
    <row r="463" spans="1:23" x14ac:dyDescent="0.25">
      <c r="A463" t="s">
        <v>731</v>
      </c>
      <c r="B463" t="s">
        <v>731</v>
      </c>
      <c r="C463">
        <v>5.5</v>
      </c>
      <c r="D463" s="3">
        <v>5.5</v>
      </c>
      <c r="E463">
        <v>17</v>
      </c>
      <c r="G463">
        <v>10</v>
      </c>
      <c r="H463">
        <v>6</v>
      </c>
      <c r="I463">
        <v>3</v>
      </c>
      <c r="J463">
        <v>6</v>
      </c>
      <c r="K463">
        <v>3</v>
      </c>
      <c r="L463">
        <v>5</v>
      </c>
      <c r="M463">
        <v>0</v>
      </c>
      <c r="N463">
        <v>-3</v>
      </c>
      <c r="O463">
        <v>6</v>
      </c>
      <c r="P463">
        <v>6</v>
      </c>
      <c r="Q463">
        <v>6</v>
      </c>
      <c r="R463">
        <v>5</v>
      </c>
      <c r="S463">
        <v>53</v>
      </c>
      <c r="T463" t="s">
        <v>1069</v>
      </c>
      <c r="U463" t="s">
        <v>180</v>
      </c>
      <c r="V463" t="s">
        <v>731</v>
      </c>
    </row>
    <row r="464" spans="1:23" x14ac:dyDescent="0.25">
      <c r="A464" t="s">
        <v>732</v>
      </c>
      <c r="B464" t="s">
        <v>732</v>
      </c>
      <c r="C464">
        <v>14.5</v>
      </c>
      <c r="D464" s="3">
        <v>14.5</v>
      </c>
      <c r="E464">
        <v>61.5</v>
      </c>
      <c r="G464">
        <v>23</v>
      </c>
      <c r="H464">
        <v>7</v>
      </c>
      <c r="I464">
        <v>17</v>
      </c>
      <c r="J464">
        <v>21</v>
      </c>
      <c r="K464">
        <v>13</v>
      </c>
      <c r="L464">
        <v>10</v>
      </c>
      <c r="M464">
        <v>6</v>
      </c>
      <c r="N464">
        <v>16</v>
      </c>
      <c r="O464">
        <v>11</v>
      </c>
      <c r="P464">
        <v>25</v>
      </c>
      <c r="Q464">
        <v>23</v>
      </c>
      <c r="R464">
        <v>13</v>
      </c>
      <c r="S464">
        <v>185</v>
      </c>
      <c r="T464" t="s">
        <v>1069</v>
      </c>
      <c r="U464" t="s">
        <v>180</v>
      </c>
      <c r="V464" t="s">
        <v>1072</v>
      </c>
      <c r="W464" t="s">
        <v>1073</v>
      </c>
    </row>
    <row r="465" spans="1:23" x14ac:dyDescent="0.25">
      <c r="A465" t="s">
        <v>733</v>
      </c>
      <c r="B465" t="s">
        <v>733</v>
      </c>
      <c r="C465">
        <v>20</v>
      </c>
      <c r="D465" s="3">
        <v>20</v>
      </c>
      <c r="E465">
        <v>94</v>
      </c>
      <c r="G465">
        <v>35</v>
      </c>
      <c r="H465">
        <v>22</v>
      </c>
      <c r="I465">
        <v>17</v>
      </c>
      <c r="J465">
        <v>26</v>
      </c>
      <c r="K465">
        <v>23</v>
      </c>
      <c r="L465">
        <v>8</v>
      </c>
      <c r="M465">
        <v>2</v>
      </c>
      <c r="N465">
        <v>23</v>
      </c>
      <c r="O465">
        <v>6</v>
      </c>
      <c r="P465">
        <v>25</v>
      </c>
      <c r="Q465">
        <v>18</v>
      </c>
      <c r="R465">
        <v>6</v>
      </c>
      <c r="S465">
        <v>211</v>
      </c>
      <c r="T465" t="s">
        <v>1069</v>
      </c>
      <c r="U465" t="s">
        <v>180</v>
      </c>
      <c r="V465" t="s">
        <v>1072</v>
      </c>
      <c r="W465" t="s">
        <v>1074</v>
      </c>
    </row>
    <row r="466" spans="1:23" x14ac:dyDescent="0.25">
      <c r="A466" t="s">
        <v>1075</v>
      </c>
      <c r="B466" t="s">
        <v>1075</v>
      </c>
      <c r="C466">
        <v>5</v>
      </c>
      <c r="D466" s="3">
        <v>5</v>
      </c>
      <c r="E466">
        <v>12</v>
      </c>
      <c r="G466">
        <v>1</v>
      </c>
      <c r="H466">
        <v>10</v>
      </c>
      <c r="I466">
        <v>16</v>
      </c>
      <c r="J466">
        <v>5</v>
      </c>
      <c r="K466">
        <v>10</v>
      </c>
      <c r="L466">
        <v>6</v>
      </c>
      <c r="M466">
        <v>4</v>
      </c>
      <c r="N466">
        <v>-4</v>
      </c>
      <c r="O466">
        <v>22</v>
      </c>
      <c r="P466">
        <v>5</v>
      </c>
      <c r="Q466">
        <v>4</v>
      </c>
      <c r="R466">
        <v>0</v>
      </c>
      <c r="S466">
        <v>79</v>
      </c>
      <c r="T466" t="s">
        <v>1069</v>
      </c>
      <c r="U466" t="s">
        <v>180</v>
      </c>
      <c r="V466" t="s">
        <v>1072</v>
      </c>
      <c r="W466" t="s">
        <v>1076</v>
      </c>
    </row>
    <row r="467" spans="1:23" x14ac:dyDescent="0.25">
      <c r="A467" t="s">
        <v>700</v>
      </c>
      <c r="B467" t="s">
        <v>700</v>
      </c>
      <c r="C467">
        <v>51</v>
      </c>
      <c r="D467" s="3">
        <v>51</v>
      </c>
      <c r="E467">
        <v>166</v>
      </c>
      <c r="G467">
        <v>48</v>
      </c>
      <c r="H467">
        <v>79</v>
      </c>
      <c r="I467">
        <v>95</v>
      </c>
      <c r="J467">
        <v>36</v>
      </c>
      <c r="K467">
        <v>54</v>
      </c>
      <c r="L467">
        <v>112</v>
      </c>
      <c r="M467">
        <v>32</v>
      </c>
      <c r="N467">
        <v>31</v>
      </c>
      <c r="O467">
        <v>62</v>
      </c>
      <c r="P467">
        <v>48</v>
      </c>
      <c r="Q467">
        <v>47</v>
      </c>
      <c r="R467">
        <v>64</v>
      </c>
      <c r="S467">
        <v>708</v>
      </c>
      <c r="T467" t="s">
        <v>1069</v>
      </c>
      <c r="U467" t="s">
        <v>180</v>
      </c>
      <c r="V467" t="s">
        <v>1077</v>
      </c>
      <c r="W467" t="s">
        <v>1073</v>
      </c>
    </row>
    <row r="468" spans="1:23" x14ac:dyDescent="0.25">
      <c r="A468" t="s">
        <v>734</v>
      </c>
      <c r="B468" t="s">
        <v>734</v>
      </c>
      <c r="C468">
        <v>65.5</v>
      </c>
      <c r="D468" s="3">
        <v>65.5</v>
      </c>
      <c r="E468">
        <v>246</v>
      </c>
      <c r="G468">
        <v>153</v>
      </c>
      <c r="H468">
        <v>48</v>
      </c>
      <c r="I468">
        <v>128</v>
      </c>
      <c r="J468">
        <v>38</v>
      </c>
      <c r="K468">
        <v>80</v>
      </c>
      <c r="L468">
        <v>156</v>
      </c>
      <c r="M468">
        <v>36</v>
      </c>
      <c r="N468">
        <v>13</v>
      </c>
      <c r="O468">
        <v>93</v>
      </c>
      <c r="P468">
        <v>48</v>
      </c>
      <c r="Q468">
        <v>61</v>
      </c>
      <c r="R468">
        <v>70</v>
      </c>
      <c r="S468">
        <v>924</v>
      </c>
      <c r="T468" t="s">
        <v>1069</v>
      </c>
      <c r="U468" t="s">
        <v>180</v>
      </c>
      <c r="V468" t="s">
        <v>1077</v>
      </c>
      <c r="W468" t="s">
        <v>1074</v>
      </c>
    </row>
    <row r="469" spans="1:23" x14ac:dyDescent="0.25">
      <c r="A469" t="s">
        <v>735</v>
      </c>
      <c r="B469" t="s">
        <v>735</v>
      </c>
      <c r="C469">
        <v>13.5</v>
      </c>
      <c r="D469" s="3">
        <v>13.5</v>
      </c>
      <c r="E469">
        <v>94</v>
      </c>
      <c r="G469">
        <v>36</v>
      </c>
      <c r="H469">
        <v>14</v>
      </c>
      <c r="I469">
        <v>53</v>
      </c>
      <c r="J469">
        <v>5</v>
      </c>
      <c r="K469">
        <v>16</v>
      </c>
      <c r="L469">
        <v>24</v>
      </c>
      <c r="M469">
        <v>9</v>
      </c>
      <c r="N469">
        <v>15</v>
      </c>
      <c r="O469">
        <v>13</v>
      </c>
      <c r="P469">
        <v>11</v>
      </c>
      <c r="Q469">
        <v>10</v>
      </c>
      <c r="R469">
        <v>2</v>
      </c>
      <c r="S469">
        <v>208</v>
      </c>
      <c r="T469" t="s">
        <v>1069</v>
      </c>
      <c r="U469" t="s">
        <v>180</v>
      </c>
      <c r="V469" t="s">
        <v>1077</v>
      </c>
      <c r="W469" t="s">
        <v>1076</v>
      </c>
    </row>
    <row r="470" spans="1:23" x14ac:dyDescent="0.25">
      <c r="A470" t="s">
        <v>1078</v>
      </c>
      <c r="B470" t="s">
        <v>1078</v>
      </c>
      <c r="C470">
        <v>91</v>
      </c>
      <c r="D470" s="3">
        <v>91</v>
      </c>
      <c r="E470">
        <v>646</v>
      </c>
      <c r="G470">
        <v>192</v>
      </c>
      <c r="H470">
        <v>324</v>
      </c>
      <c r="I470">
        <v>102</v>
      </c>
      <c r="J470">
        <v>12</v>
      </c>
      <c r="K470">
        <v>112</v>
      </c>
      <c r="L470">
        <v>24</v>
      </c>
      <c r="M470">
        <v>136</v>
      </c>
      <c r="N470">
        <v>140</v>
      </c>
      <c r="O470">
        <v>56</v>
      </c>
      <c r="P470">
        <v>80</v>
      </c>
      <c r="Q470">
        <v>16</v>
      </c>
      <c r="R470">
        <v>48</v>
      </c>
      <c r="S470">
        <v>1242</v>
      </c>
      <c r="T470" t="s">
        <v>1069</v>
      </c>
      <c r="U470" t="s">
        <v>317</v>
      </c>
      <c r="V470" t="s">
        <v>1078</v>
      </c>
    </row>
    <row r="471" spans="1:23" x14ac:dyDescent="0.25">
      <c r="A471" t="s">
        <v>1079</v>
      </c>
      <c r="B471" t="s">
        <v>1079</v>
      </c>
      <c r="C471">
        <v>18</v>
      </c>
      <c r="D471" s="3">
        <v>18</v>
      </c>
      <c r="E471">
        <v>193.25</v>
      </c>
      <c r="G471">
        <v>46</v>
      </c>
      <c r="H471">
        <v>57</v>
      </c>
      <c r="I471">
        <v>11</v>
      </c>
      <c r="J471">
        <v>17</v>
      </c>
      <c r="K471">
        <v>5</v>
      </c>
      <c r="L471">
        <v>19</v>
      </c>
      <c r="M471">
        <v>52</v>
      </c>
      <c r="N471">
        <v>565</v>
      </c>
      <c r="O471">
        <v>19</v>
      </c>
      <c r="P471">
        <v>11</v>
      </c>
      <c r="Q471">
        <v>6</v>
      </c>
      <c r="R471">
        <v>6</v>
      </c>
      <c r="S471">
        <v>814</v>
      </c>
      <c r="T471" t="s">
        <v>1069</v>
      </c>
      <c r="U471" t="s">
        <v>460</v>
      </c>
      <c r="V471" t="s">
        <v>1080</v>
      </c>
      <c r="W471" t="s">
        <v>1074</v>
      </c>
    </row>
    <row r="472" spans="1:23" x14ac:dyDescent="0.25">
      <c r="A472" t="s">
        <v>1081</v>
      </c>
      <c r="B472" t="s">
        <v>1081</v>
      </c>
      <c r="C472">
        <v>4.5</v>
      </c>
      <c r="D472" s="3">
        <v>4.5</v>
      </c>
      <c r="E472">
        <v>39.25</v>
      </c>
      <c r="G472">
        <v>33</v>
      </c>
      <c r="H472">
        <v>4</v>
      </c>
      <c r="I472">
        <v>6</v>
      </c>
      <c r="J472">
        <v>5</v>
      </c>
      <c r="K472">
        <v>6</v>
      </c>
      <c r="L472">
        <v>1</v>
      </c>
      <c r="M472">
        <v>3</v>
      </c>
      <c r="N472">
        <v>8</v>
      </c>
      <c r="O472">
        <v>5</v>
      </c>
      <c r="P472">
        <v>0</v>
      </c>
      <c r="Q472">
        <v>1</v>
      </c>
      <c r="R472">
        <v>0</v>
      </c>
      <c r="S472">
        <v>72</v>
      </c>
      <c r="T472" t="s">
        <v>1069</v>
      </c>
      <c r="U472" t="s">
        <v>460</v>
      </c>
      <c r="V472" t="s">
        <v>1080</v>
      </c>
      <c r="W472" t="s">
        <v>1076</v>
      </c>
    </row>
    <row r="473" spans="1:23" x14ac:dyDescent="0.25">
      <c r="A473" t="s">
        <v>701</v>
      </c>
      <c r="B473" t="s">
        <v>701</v>
      </c>
      <c r="C473">
        <v>0</v>
      </c>
      <c r="D473" s="3">
        <v>0</v>
      </c>
      <c r="E473">
        <v>565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25</v>
      </c>
      <c r="O473">
        <v>41</v>
      </c>
      <c r="P473">
        <v>9</v>
      </c>
      <c r="Q473">
        <v>6</v>
      </c>
      <c r="R473">
        <v>0</v>
      </c>
      <c r="S473">
        <v>81</v>
      </c>
      <c r="T473" t="s">
        <v>1069</v>
      </c>
      <c r="U473" t="s">
        <v>460</v>
      </c>
      <c r="V473" t="s">
        <v>1080</v>
      </c>
      <c r="W473" t="s">
        <v>1082</v>
      </c>
    </row>
    <row r="474" spans="1:23" x14ac:dyDescent="0.25">
      <c r="A474" t="s">
        <v>1083</v>
      </c>
      <c r="B474" t="s">
        <v>1083</v>
      </c>
      <c r="C474">
        <v>0</v>
      </c>
      <c r="D474" s="3">
        <v>0</v>
      </c>
      <c r="E474">
        <v>52.75</v>
      </c>
      <c r="G474">
        <v>0</v>
      </c>
      <c r="H474">
        <v>0</v>
      </c>
      <c r="I474">
        <v>0</v>
      </c>
      <c r="J474">
        <v>10</v>
      </c>
      <c r="K474">
        <v>2</v>
      </c>
      <c r="L474">
        <v>0</v>
      </c>
      <c r="M474">
        <v>0</v>
      </c>
      <c r="N474">
        <v>0</v>
      </c>
      <c r="O474">
        <v>2</v>
      </c>
      <c r="P474">
        <v>0</v>
      </c>
      <c r="Q474">
        <v>0</v>
      </c>
      <c r="R474">
        <v>0</v>
      </c>
      <c r="S474">
        <v>14</v>
      </c>
      <c r="T474" t="s">
        <v>1069</v>
      </c>
      <c r="U474" t="s">
        <v>460</v>
      </c>
      <c r="V474" t="s">
        <v>1080</v>
      </c>
      <c r="W474" t="s">
        <v>1084</v>
      </c>
    </row>
    <row r="475" spans="1:23" x14ac:dyDescent="0.25">
      <c r="A475" t="s">
        <v>702</v>
      </c>
      <c r="B475" t="s">
        <v>702</v>
      </c>
      <c r="C475">
        <v>9.5</v>
      </c>
      <c r="D475" s="3">
        <v>9.5</v>
      </c>
      <c r="E475">
        <v>63.75</v>
      </c>
      <c r="G475">
        <v>28</v>
      </c>
      <c r="H475">
        <v>4</v>
      </c>
      <c r="I475">
        <v>13</v>
      </c>
      <c r="J475">
        <v>4</v>
      </c>
      <c r="K475">
        <v>1</v>
      </c>
      <c r="L475">
        <v>11</v>
      </c>
      <c r="M475">
        <v>12</v>
      </c>
      <c r="N475">
        <v>2</v>
      </c>
      <c r="O475">
        <v>10</v>
      </c>
      <c r="P475">
        <v>14</v>
      </c>
      <c r="Q475">
        <v>6</v>
      </c>
      <c r="R475">
        <v>9</v>
      </c>
      <c r="S475">
        <v>114</v>
      </c>
      <c r="T475" t="s">
        <v>1069</v>
      </c>
      <c r="U475" t="s">
        <v>492</v>
      </c>
      <c r="V475" t="s">
        <v>1085</v>
      </c>
      <c r="W475" t="s">
        <v>1074</v>
      </c>
    </row>
    <row r="476" spans="1:23" x14ac:dyDescent="0.25">
      <c r="A476" t="s">
        <v>1086</v>
      </c>
      <c r="B476" t="s">
        <v>1086</v>
      </c>
      <c r="C476">
        <v>2</v>
      </c>
      <c r="D476" s="3">
        <v>2</v>
      </c>
      <c r="E476">
        <v>39</v>
      </c>
      <c r="G476">
        <v>19</v>
      </c>
      <c r="H476">
        <v>8</v>
      </c>
      <c r="I476">
        <v>14</v>
      </c>
      <c r="J476">
        <v>2</v>
      </c>
      <c r="K476">
        <v>1</v>
      </c>
      <c r="L476">
        <v>0</v>
      </c>
      <c r="M476">
        <v>2</v>
      </c>
      <c r="N476">
        <v>0</v>
      </c>
      <c r="O476">
        <v>3</v>
      </c>
      <c r="P476">
        <v>1</v>
      </c>
      <c r="Q476">
        <v>2</v>
      </c>
      <c r="R476">
        <v>6</v>
      </c>
      <c r="S476">
        <v>58</v>
      </c>
      <c r="T476" t="s">
        <v>1069</v>
      </c>
      <c r="U476" t="s">
        <v>492</v>
      </c>
      <c r="V476" t="s">
        <v>1085</v>
      </c>
      <c r="W476" t="s">
        <v>1076</v>
      </c>
    </row>
    <row r="477" spans="1:23" x14ac:dyDescent="0.25">
      <c r="A477" t="s">
        <v>703</v>
      </c>
      <c r="B477" t="s">
        <v>703</v>
      </c>
      <c r="C477">
        <v>17.5</v>
      </c>
      <c r="D477" s="3">
        <v>17.5</v>
      </c>
      <c r="E477">
        <v>72</v>
      </c>
      <c r="G477">
        <v>25</v>
      </c>
      <c r="H477">
        <v>18</v>
      </c>
      <c r="I477">
        <v>48</v>
      </c>
      <c r="J477">
        <v>20</v>
      </c>
      <c r="K477">
        <v>4</v>
      </c>
      <c r="L477">
        <v>4</v>
      </c>
      <c r="M477">
        <v>22</v>
      </c>
      <c r="N477">
        <v>17</v>
      </c>
      <c r="O477">
        <v>21</v>
      </c>
      <c r="P477">
        <v>8</v>
      </c>
      <c r="Q477">
        <v>12</v>
      </c>
      <c r="R477">
        <v>11</v>
      </c>
      <c r="S477">
        <v>210</v>
      </c>
      <c r="T477" t="s">
        <v>1069</v>
      </c>
      <c r="U477" t="s">
        <v>492</v>
      </c>
      <c r="V477" t="s">
        <v>1085</v>
      </c>
      <c r="W477" t="s">
        <v>1082</v>
      </c>
    </row>
    <row r="478" spans="1:23" x14ac:dyDescent="0.25">
      <c r="A478" t="s">
        <v>1087</v>
      </c>
      <c r="B478" t="s">
        <v>1087</v>
      </c>
      <c r="C478">
        <v>1.5</v>
      </c>
      <c r="D478" s="3">
        <v>1.5</v>
      </c>
      <c r="E478">
        <v>55.5</v>
      </c>
      <c r="G478">
        <v>4</v>
      </c>
      <c r="H478">
        <v>2</v>
      </c>
      <c r="I478">
        <v>4</v>
      </c>
      <c r="J478">
        <v>5</v>
      </c>
      <c r="K478">
        <v>1</v>
      </c>
      <c r="L478">
        <v>0</v>
      </c>
      <c r="M478">
        <v>2</v>
      </c>
      <c r="N478">
        <v>-11</v>
      </c>
      <c r="O478">
        <v>3</v>
      </c>
      <c r="P478">
        <v>1</v>
      </c>
      <c r="Q478">
        <v>1</v>
      </c>
      <c r="R478">
        <v>0</v>
      </c>
      <c r="S478">
        <v>12</v>
      </c>
      <c r="T478" t="s">
        <v>1069</v>
      </c>
      <c r="U478" t="s">
        <v>492</v>
      </c>
      <c r="V478" t="s">
        <v>1085</v>
      </c>
      <c r="W478" t="s">
        <v>1084</v>
      </c>
    </row>
    <row r="479" spans="1:23" x14ac:dyDescent="0.25">
      <c r="A479" t="s">
        <v>1088</v>
      </c>
      <c r="B479" t="s">
        <v>1088</v>
      </c>
      <c r="C479">
        <v>10.5</v>
      </c>
      <c r="D479" s="3">
        <v>10.5</v>
      </c>
      <c r="E479">
        <v>621.5</v>
      </c>
      <c r="G479">
        <v>4</v>
      </c>
      <c r="H479">
        <v>14</v>
      </c>
      <c r="I479">
        <v>15</v>
      </c>
      <c r="J479">
        <v>12</v>
      </c>
      <c r="K479">
        <v>16</v>
      </c>
      <c r="L479">
        <v>6</v>
      </c>
      <c r="M479">
        <v>11</v>
      </c>
      <c r="N479">
        <v>-554</v>
      </c>
      <c r="O479">
        <v>10</v>
      </c>
      <c r="P479">
        <v>15</v>
      </c>
      <c r="Q479">
        <v>0</v>
      </c>
      <c r="R479">
        <v>0</v>
      </c>
      <c r="S479">
        <v>-451</v>
      </c>
      <c r="T479" t="s">
        <v>1069</v>
      </c>
      <c r="U479" t="s">
        <v>492</v>
      </c>
      <c r="V479" t="s">
        <v>1089</v>
      </c>
      <c r="W479" t="s">
        <v>1074</v>
      </c>
    </row>
    <row r="480" spans="1:23" x14ac:dyDescent="0.25">
      <c r="A480" t="s">
        <v>1090</v>
      </c>
      <c r="B480" t="s">
        <v>1090</v>
      </c>
      <c r="C480">
        <v>4.5</v>
      </c>
      <c r="D480" s="3">
        <v>4.5</v>
      </c>
      <c r="E480">
        <v>33.5</v>
      </c>
      <c r="G480">
        <v>14</v>
      </c>
      <c r="H480">
        <v>8</v>
      </c>
      <c r="I480">
        <v>0</v>
      </c>
      <c r="J480">
        <v>3</v>
      </c>
      <c r="K480">
        <v>8</v>
      </c>
      <c r="L480">
        <v>10</v>
      </c>
      <c r="M480">
        <v>1</v>
      </c>
      <c r="N480">
        <v>6</v>
      </c>
      <c r="O480">
        <v>2</v>
      </c>
      <c r="P480">
        <v>7</v>
      </c>
      <c r="Q480">
        <v>0</v>
      </c>
      <c r="R480">
        <v>0</v>
      </c>
      <c r="S480">
        <v>59</v>
      </c>
      <c r="T480" t="s">
        <v>1069</v>
      </c>
      <c r="U480" t="s">
        <v>492</v>
      </c>
      <c r="V480" t="s">
        <v>1089</v>
      </c>
      <c r="W480" t="s">
        <v>1076</v>
      </c>
    </row>
    <row r="481" spans="1:23" x14ac:dyDescent="0.25">
      <c r="A481" t="s">
        <v>1091</v>
      </c>
      <c r="B481" t="s">
        <v>1091</v>
      </c>
      <c r="C481">
        <v>6.5</v>
      </c>
      <c r="D481" s="3">
        <v>6.5</v>
      </c>
      <c r="E481">
        <v>63</v>
      </c>
      <c r="G481">
        <v>8</v>
      </c>
      <c r="H481">
        <v>16</v>
      </c>
      <c r="I481">
        <v>3</v>
      </c>
      <c r="J481">
        <v>16</v>
      </c>
      <c r="K481">
        <v>5</v>
      </c>
      <c r="L481">
        <v>4</v>
      </c>
      <c r="M481">
        <v>9</v>
      </c>
      <c r="N481">
        <v>1</v>
      </c>
      <c r="O481">
        <v>5</v>
      </c>
      <c r="P481">
        <v>9</v>
      </c>
      <c r="Q481">
        <v>8</v>
      </c>
      <c r="R481">
        <v>1</v>
      </c>
      <c r="S481">
        <v>85</v>
      </c>
      <c r="T481" t="s">
        <v>1069</v>
      </c>
      <c r="U481" t="s">
        <v>492</v>
      </c>
      <c r="V481" t="s">
        <v>1089</v>
      </c>
      <c r="W481" t="s">
        <v>1082</v>
      </c>
    </row>
    <row r="482" spans="1:23" x14ac:dyDescent="0.25">
      <c r="A482" t="s">
        <v>1092</v>
      </c>
      <c r="B482" t="s">
        <v>1092</v>
      </c>
      <c r="C482">
        <v>1</v>
      </c>
      <c r="D482" s="3">
        <v>1</v>
      </c>
      <c r="E482">
        <v>15.75</v>
      </c>
      <c r="G482">
        <v>3</v>
      </c>
      <c r="H482">
        <v>3</v>
      </c>
      <c r="I482">
        <v>0</v>
      </c>
      <c r="J482">
        <v>0</v>
      </c>
      <c r="K482">
        <v>6</v>
      </c>
      <c r="L482">
        <v>0</v>
      </c>
      <c r="M482">
        <v>0</v>
      </c>
      <c r="N482">
        <v>3</v>
      </c>
      <c r="O482">
        <v>0</v>
      </c>
      <c r="P482">
        <v>5</v>
      </c>
      <c r="Q482">
        <v>2</v>
      </c>
      <c r="R482">
        <v>0</v>
      </c>
      <c r="S482">
        <v>22</v>
      </c>
      <c r="T482" t="s">
        <v>1069</v>
      </c>
      <c r="U482" t="s">
        <v>492</v>
      </c>
      <c r="V482" t="s">
        <v>1089</v>
      </c>
      <c r="W482" t="s">
        <v>1084</v>
      </c>
    </row>
    <row r="483" spans="1:23" x14ac:dyDescent="0.25">
      <c r="A483" t="s">
        <v>1093</v>
      </c>
      <c r="B483" t="s">
        <v>1093</v>
      </c>
      <c r="C483">
        <v>3.5</v>
      </c>
      <c r="D483" s="3">
        <v>3.5</v>
      </c>
      <c r="E483">
        <v>71.5</v>
      </c>
      <c r="G483">
        <v>17</v>
      </c>
      <c r="H483">
        <v>15</v>
      </c>
      <c r="I483">
        <v>12</v>
      </c>
      <c r="J483">
        <v>2</v>
      </c>
      <c r="K483">
        <v>4</v>
      </c>
      <c r="L483">
        <v>14</v>
      </c>
      <c r="M483">
        <v>3</v>
      </c>
      <c r="N483">
        <v>1</v>
      </c>
      <c r="O483">
        <v>3</v>
      </c>
      <c r="P483">
        <v>7</v>
      </c>
      <c r="Q483">
        <v>1</v>
      </c>
      <c r="R483">
        <v>2</v>
      </c>
      <c r="S483">
        <v>81</v>
      </c>
      <c r="T483" t="s">
        <v>1069</v>
      </c>
      <c r="U483" t="s">
        <v>492</v>
      </c>
      <c r="V483" t="s">
        <v>1094</v>
      </c>
      <c r="W483" t="s">
        <v>1074</v>
      </c>
    </row>
    <row r="484" spans="1:23" x14ac:dyDescent="0.25">
      <c r="A484" t="s">
        <v>1095</v>
      </c>
      <c r="B484" t="s">
        <v>1095</v>
      </c>
      <c r="C484">
        <v>1.5</v>
      </c>
      <c r="D484" s="3">
        <v>1.5</v>
      </c>
      <c r="E484">
        <v>47</v>
      </c>
      <c r="G484">
        <v>10</v>
      </c>
      <c r="H484">
        <v>6</v>
      </c>
      <c r="I484">
        <v>1</v>
      </c>
      <c r="J484">
        <v>1</v>
      </c>
      <c r="K484">
        <v>6</v>
      </c>
      <c r="L484">
        <v>10</v>
      </c>
      <c r="M484">
        <v>2</v>
      </c>
      <c r="N484">
        <v>0</v>
      </c>
      <c r="O484">
        <v>0</v>
      </c>
      <c r="P484">
        <v>2</v>
      </c>
      <c r="Q484">
        <v>1</v>
      </c>
      <c r="R484">
        <v>0</v>
      </c>
      <c r="S484">
        <v>39</v>
      </c>
      <c r="T484" t="s">
        <v>1069</v>
      </c>
      <c r="U484" t="s">
        <v>492</v>
      </c>
      <c r="V484" t="s">
        <v>1094</v>
      </c>
      <c r="W484" t="s">
        <v>1076</v>
      </c>
    </row>
    <row r="485" spans="1:23" x14ac:dyDescent="0.25">
      <c r="A485" t="s">
        <v>704</v>
      </c>
      <c r="B485" t="s">
        <v>704</v>
      </c>
      <c r="C485">
        <v>9</v>
      </c>
      <c r="D485" s="3">
        <v>9</v>
      </c>
      <c r="E485">
        <v>30.5</v>
      </c>
      <c r="G485">
        <v>22</v>
      </c>
      <c r="H485">
        <v>6</v>
      </c>
      <c r="I485">
        <v>17</v>
      </c>
      <c r="J485">
        <v>5</v>
      </c>
      <c r="K485">
        <v>4</v>
      </c>
      <c r="L485">
        <v>20</v>
      </c>
      <c r="M485">
        <v>6</v>
      </c>
      <c r="N485">
        <v>11</v>
      </c>
      <c r="O485">
        <v>8</v>
      </c>
      <c r="P485">
        <v>10</v>
      </c>
      <c r="Q485">
        <v>19</v>
      </c>
      <c r="R485">
        <v>3</v>
      </c>
      <c r="S485">
        <v>131</v>
      </c>
      <c r="T485" t="s">
        <v>1069</v>
      </c>
      <c r="U485" t="s">
        <v>492</v>
      </c>
      <c r="V485" t="s">
        <v>1094</v>
      </c>
      <c r="W485" t="s">
        <v>1082</v>
      </c>
    </row>
    <row r="486" spans="1:23" x14ac:dyDescent="0.25">
      <c r="A486" t="s">
        <v>736</v>
      </c>
      <c r="B486" t="s">
        <v>736</v>
      </c>
      <c r="C486">
        <v>1</v>
      </c>
      <c r="D486" s="3">
        <v>1</v>
      </c>
      <c r="E486">
        <v>40</v>
      </c>
      <c r="G486">
        <v>6</v>
      </c>
      <c r="H486">
        <v>0</v>
      </c>
      <c r="I486">
        <v>2</v>
      </c>
      <c r="J486">
        <v>3</v>
      </c>
      <c r="K486">
        <v>0</v>
      </c>
      <c r="L486">
        <v>3</v>
      </c>
      <c r="M486">
        <v>10</v>
      </c>
      <c r="N486">
        <v>-2</v>
      </c>
      <c r="O486">
        <v>0</v>
      </c>
      <c r="P486">
        <v>0</v>
      </c>
      <c r="Q486">
        <v>2</v>
      </c>
      <c r="R486">
        <v>0</v>
      </c>
      <c r="S486">
        <v>24</v>
      </c>
      <c r="T486" t="s">
        <v>1069</v>
      </c>
      <c r="U486" t="s">
        <v>492</v>
      </c>
      <c r="V486" t="s">
        <v>1094</v>
      </c>
      <c r="W486" t="s">
        <v>1084</v>
      </c>
    </row>
    <row r="487" spans="1:23" x14ac:dyDescent="0.25">
      <c r="A487" t="s">
        <v>1096</v>
      </c>
      <c r="B487" t="s">
        <v>1096</v>
      </c>
      <c r="C487">
        <v>15</v>
      </c>
      <c r="D487" s="3">
        <v>15</v>
      </c>
      <c r="E487">
        <v>1451</v>
      </c>
      <c r="G487">
        <v>0</v>
      </c>
      <c r="H487">
        <v>21</v>
      </c>
      <c r="I487">
        <v>14</v>
      </c>
      <c r="J487">
        <v>0</v>
      </c>
      <c r="K487">
        <v>0</v>
      </c>
      <c r="L487">
        <v>0</v>
      </c>
      <c r="M487">
        <v>16</v>
      </c>
      <c r="N487">
        <v>32</v>
      </c>
      <c r="O487">
        <v>24</v>
      </c>
      <c r="P487">
        <v>76</v>
      </c>
      <c r="Q487">
        <v>25</v>
      </c>
      <c r="R487">
        <v>0</v>
      </c>
      <c r="S487">
        <v>208</v>
      </c>
      <c r="T487" t="s">
        <v>1069</v>
      </c>
      <c r="U487" t="s">
        <v>568</v>
      </c>
      <c r="V487" t="s">
        <v>1096</v>
      </c>
    </row>
    <row r="488" spans="1:23" x14ac:dyDescent="0.25">
      <c r="A488" t="s">
        <v>1097</v>
      </c>
      <c r="B488" t="s">
        <v>1097</v>
      </c>
      <c r="C488">
        <v>5</v>
      </c>
      <c r="D488" s="3">
        <v>5</v>
      </c>
      <c r="E488">
        <v>690</v>
      </c>
      <c r="G488">
        <v>5</v>
      </c>
      <c r="H488">
        <v>0</v>
      </c>
      <c r="I488">
        <v>2</v>
      </c>
      <c r="J488">
        <v>11</v>
      </c>
      <c r="K488">
        <v>27</v>
      </c>
      <c r="L488">
        <v>23</v>
      </c>
      <c r="M488">
        <v>5</v>
      </c>
      <c r="N488">
        <v>7</v>
      </c>
      <c r="O488">
        <v>3</v>
      </c>
      <c r="P488">
        <v>13</v>
      </c>
      <c r="Q488">
        <v>-5</v>
      </c>
      <c r="R488">
        <v>3</v>
      </c>
      <c r="S488">
        <v>94</v>
      </c>
      <c r="T488" t="s">
        <v>1069</v>
      </c>
      <c r="U488" t="s">
        <v>959</v>
      </c>
      <c r="V488" t="s">
        <v>1098</v>
      </c>
      <c r="W488" t="s">
        <v>1074</v>
      </c>
    </row>
    <row r="489" spans="1:23" x14ac:dyDescent="0.25">
      <c r="A489" t="s">
        <v>1099</v>
      </c>
      <c r="B489" t="s">
        <v>1099</v>
      </c>
      <c r="C489">
        <v>7.5</v>
      </c>
      <c r="D489" s="3">
        <v>7.5</v>
      </c>
      <c r="E489">
        <v>1394</v>
      </c>
      <c r="G489">
        <v>870</v>
      </c>
      <c r="H489">
        <v>8</v>
      </c>
      <c r="I489">
        <v>34</v>
      </c>
      <c r="J489">
        <v>12</v>
      </c>
      <c r="K489">
        <v>16</v>
      </c>
      <c r="L489">
        <v>2</v>
      </c>
      <c r="M489">
        <v>4</v>
      </c>
      <c r="N489">
        <v>47</v>
      </c>
      <c r="O489">
        <v>7</v>
      </c>
      <c r="P489">
        <v>5</v>
      </c>
      <c r="Q489">
        <v>5</v>
      </c>
      <c r="R489">
        <v>0</v>
      </c>
      <c r="S489">
        <v>1010</v>
      </c>
      <c r="T489" t="s">
        <v>1069</v>
      </c>
      <c r="U489" t="s">
        <v>959</v>
      </c>
      <c r="V489" t="s">
        <v>1098</v>
      </c>
      <c r="W489" t="s">
        <v>1076</v>
      </c>
    </row>
    <row r="490" spans="1:23" x14ac:dyDescent="0.25">
      <c r="A490" t="s">
        <v>1100</v>
      </c>
      <c r="B490" t="s">
        <v>1100</v>
      </c>
      <c r="C490">
        <v>10.5</v>
      </c>
      <c r="D490" s="3">
        <v>10.5</v>
      </c>
      <c r="E490">
        <v>76</v>
      </c>
      <c r="G490">
        <v>447</v>
      </c>
      <c r="H490">
        <v>68</v>
      </c>
      <c r="I490">
        <v>2</v>
      </c>
      <c r="J490">
        <v>6</v>
      </c>
      <c r="K490">
        <v>11.75</v>
      </c>
      <c r="L490">
        <v>11</v>
      </c>
      <c r="M490">
        <v>0</v>
      </c>
      <c r="N490">
        <v>32</v>
      </c>
      <c r="O490">
        <v>0</v>
      </c>
      <c r="P490">
        <v>3</v>
      </c>
      <c r="Q490">
        <v>10</v>
      </c>
      <c r="R490">
        <v>22</v>
      </c>
      <c r="S490">
        <v>612.75</v>
      </c>
      <c r="T490" t="s">
        <v>1069</v>
      </c>
      <c r="U490" t="s">
        <v>959</v>
      </c>
      <c r="V490" t="s">
        <v>1098</v>
      </c>
      <c r="W490" t="s">
        <v>1084</v>
      </c>
    </row>
    <row r="491" spans="1:23" x14ac:dyDescent="0.25">
      <c r="A491" t="s">
        <v>1101</v>
      </c>
      <c r="B491" t="s">
        <v>1101</v>
      </c>
      <c r="C491">
        <v>3</v>
      </c>
      <c r="D491" s="3">
        <v>3</v>
      </c>
      <c r="E491">
        <v>11</v>
      </c>
      <c r="G491">
        <v>3</v>
      </c>
      <c r="H491">
        <v>2</v>
      </c>
      <c r="I491">
        <v>3</v>
      </c>
      <c r="J491">
        <v>4</v>
      </c>
      <c r="K491">
        <v>0</v>
      </c>
      <c r="L491">
        <v>5</v>
      </c>
      <c r="M491">
        <v>1</v>
      </c>
      <c r="N491">
        <v>-1</v>
      </c>
      <c r="O491">
        <v>3</v>
      </c>
      <c r="P491">
        <v>2</v>
      </c>
      <c r="Q491">
        <v>3</v>
      </c>
      <c r="R491">
        <v>3</v>
      </c>
      <c r="S491">
        <v>28</v>
      </c>
      <c r="T491" t="s">
        <v>1102</v>
      </c>
      <c r="U491" t="s">
        <v>45</v>
      </c>
      <c r="V491" t="s">
        <v>1103</v>
      </c>
      <c r="W491" t="s">
        <v>1104</v>
      </c>
    </row>
    <row r="492" spans="1:23" x14ac:dyDescent="0.25">
      <c r="A492" t="s">
        <v>1105</v>
      </c>
      <c r="B492" t="s">
        <v>1105</v>
      </c>
      <c r="C492">
        <v>2</v>
      </c>
      <c r="D492" s="3">
        <v>2</v>
      </c>
      <c r="E492">
        <v>15.75</v>
      </c>
      <c r="G492">
        <v>4</v>
      </c>
      <c r="H492">
        <v>0</v>
      </c>
      <c r="I492">
        <v>1</v>
      </c>
      <c r="J492">
        <v>2</v>
      </c>
      <c r="K492">
        <v>3</v>
      </c>
      <c r="L492">
        <v>4</v>
      </c>
      <c r="M492">
        <v>2</v>
      </c>
      <c r="N492">
        <v>5</v>
      </c>
      <c r="O492">
        <v>2</v>
      </c>
      <c r="P492">
        <v>1</v>
      </c>
      <c r="Q492">
        <v>0</v>
      </c>
      <c r="R492">
        <v>7</v>
      </c>
      <c r="S492">
        <v>31</v>
      </c>
      <c r="T492" t="s">
        <v>1102</v>
      </c>
      <c r="U492" t="s">
        <v>45</v>
      </c>
      <c r="V492" t="s">
        <v>1103</v>
      </c>
      <c r="W492" t="s">
        <v>1106</v>
      </c>
    </row>
    <row r="493" spans="1:23" x14ac:dyDescent="0.25">
      <c r="A493" t="s">
        <v>1107</v>
      </c>
      <c r="B493" t="s">
        <v>1107</v>
      </c>
      <c r="C493">
        <v>5</v>
      </c>
      <c r="D493" s="3">
        <v>5</v>
      </c>
      <c r="E493">
        <v>19.25</v>
      </c>
      <c r="G493">
        <v>5</v>
      </c>
      <c r="H493">
        <v>2</v>
      </c>
      <c r="I493">
        <v>11</v>
      </c>
      <c r="J493">
        <v>11</v>
      </c>
      <c r="K493">
        <v>9</v>
      </c>
      <c r="L493">
        <v>8</v>
      </c>
      <c r="M493">
        <v>3</v>
      </c>
      <c r="N493">
        <v>4</v>
      </c>
      <c r="O493">
        <v>1</v>
      </c>
      <c r="P493">
        <v>10</v>
      </c>
      <c r="Q493">
        <v>1.25</v>
      </c>
      <c r="R493">
        <v>5</v>
      </c>
      <c r="S493">
        <v>70.25</v>
      </c>
      <c r="T493" t="s">
        <v>1102</v>
      </c>
      <c r="U493" t="s">
        <v>45</v>
      </c>
      <c r="V493" t="s">
        <v>1103</v>
      </c>
      <c r="W493" t="s">
        <v>1108</v>
      </c>
    </row>
    <row r="494" spans="1:23" x14ac:dyDescent="0.25">
      <c r="A494" t="s">
        <v>1109</v>
      </c>
      <c r="B494" t="s">
        <v>1109</v>
      </c>
      <c r="C494">
        <v>0</v>
      </c>
      <c r="D494" s="3">
        <v>0</v>
      </c>
      <c r="E494">
        <v>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1</v>
      </c>
      <c r="T494" t="s">
        <v>1102</v>
      </c>
      <c r="U494" t="s">
        <v>45</v>
      </c>
      <c r="V494" t="s">
        <v>1110</v>
      </c>
      <c r="W494" t="s">
        <v>1104</v>
      </c>
    </row>
    <row r="495" spans="1:23" x14ac:dyDescent="0.25">
      <c r="A495" t="s">
        <v>1111</v>
      </c>
      <c r="B495" t="s">
        <v>1111</v>
      </c>
      <c r="C495">
        <v>0</v>
      </c>
      <c r="D495" s="3">
        <v>0</v>
      </c>
      <c r="E495">
        <v>34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2</v>
      </c>
      <c r="M495">
        <v>0</v>
      </c>
      <c r="N495">
        <v>0</v>
      </c>
      <c r="O495">
        <v>2</v>
      </c>
      <c r="P495">
        <v>2</v>
      </c>
      <c r="Q495">
        <v>1</v>
      </c>
      <c r="R495">
        <v>0</v>
      </c>
      <c r="S495">
        <v>8</v>
      </c>
      <c r="T495" t="s">
        <v>1102</v>
      </c>
      <c r="U495" t="s">
        <v>45</v>
      </c>
      <c r="V495" t="s">
        <v>1110</v>
      </c>
      <c r="W495" t="s">
        <v>1106</v>
      </c>
    </row>
    <row r="496" spans="1:23" x14ac:dyDescent="0.25">
      <c r="A496" t="s">
        <v>1112</v>
      </c>
      <c r="B496" t="s">
        <v>1112</v>
      </c>
      <c r="C496">
        <v>0</v>
      </c>
      <c r="D496" s="3">
        <v>0</v>
      </c>
      <c r="E496">
        <v>14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2</v>
      </c>
      <c r="O496">
        <v>1</v>
      </c>
      <c r="P496">
        <v>0</v>
      </c>
      <c r="Q496">
        <v>1</v>
      </c>
      <c r="R496">
        <v>0</v>
      </c>
      <c r="S496">
        <v>4</v>
      </c>
      <c r="T496" t="s">
        <v>1102</v>
      </c>
      <c r="U496" t="s">
        <v>45</v>
      </c>
      <c r="V496" t="s">
        <v>1110</v>
      </c>
      <c r="W496" t="s">
        <v>1108</v>
      </c>
    </row>
    <row r="497" spans="1:23" x14ac:dyDescent="0.25">
      <c r="A497" t="s">
        <v>1113</v>
      </c>
      <c r="B497" t="s">
        <v>1113</v>
      </c>
      <c r="C497">
        <v>8</v>
      </c>
      <c r="D497" s="3">
        <v>8</v>
      </c>
      <c r="E497">
        <v>37</v>
      </c>
      <c r="G497">
        <v>8</v>
      </c>
      <c r="H497">
        <v>10</v>
      </c>
      <c r="I497">
        <v>11</v>
      </c>
      <c r="J497">
        <v>26</v>
      </c>
      <c r="K497">
        <v>3</v>
      </c>
      <c r="L497">
        <v>8</v>
      </c>
      <c r="M497">
        <v>11</v>
      </c>
      <c r="N497">
        <v>7</v>
      </c>
      <c r="O497">
        <v>12</v>
      </c>
      <c r="P497">
        <v>8</v>
      </c>
      <c r="Q497">
        <v>8</v>
      </c>
      <c r="R497">
        <v>3</v>
      </c>
      <c r="S497">
        <v>115</v>
      </c>
      <c r="T497" t="s">
        <v>1102</v>
      </c>
      <c r="U497" t="s">
        <v>45</v>
      </c>
      <c r="V497" t="s">
        <v>1114</v>
      </c>
      <c r="W497" t="s">
        <v>1104</v>
      </c>
    </row>
    <row r="498" spans="1:23" x14ac:dyDescent="0.25">
      <c r="A498" t="s">
        <v>709</v>
      </c>
      <c r="B498" t="s">
        <v>709</v>
      </c>
      <c r="C498">
        <v>9.5</v>
      </c>
      <c r="D498" s="3">
        <v>9.5</v>
      </c>
      <c r="E498">
        <v>117</v>
      </c>
      <c r="G498">
        <v>11</v>
      </c>
      <c r="H498">
        <v>8</v>
      </c>
      <c r="I498">
        <v>13</v>
      </c>
      <c r="J498">
        <v>18</v>
      </c>
      <c r="K498">
        <v>9</v>
      </c>
      <c r="L498">
        <v>9</v>
      </c>
      <c r="M498">
        <v>4</v>
      </c>
      <c r="N498">
        <v>7</v>
      </c>
      <c r="O498">
        <v>11</v>
      </c>
      <c r="P498">
        <v>13</v>
      </c>
      <c r="Q498">
        <v>10</v>
      </c>
      <c r="R498">
        <v>7</v>
      </c>
      <c r="S498">
        <v>120</v>
      </c>
      <c r="T498" t="s">
        <v>1102</v>
      </c>
      <c r="U498" t="s">
        <v>45</v>
      </c>
      <c r="V498" t="s">
        <v>1114</v>
      </c>
      <c r="W498" t="s">
        <v>1106</v>
      </c>
    </row>
    <row r="499" spans="1:23" x14ac:dyDescent="0.25">
      <c r="A499" t="s">
        <v>1115</v>
      </c>
      <c r="B499" t="s">
        <v>1115</v>
      </c>
      <c r="C499">
        <v>13.5</v>
      </c>
      <c r="D499" s="3">
        <v>13.5</v>
      </c>
      <c r="E499">
        <v>131</v>
      </c>
      <c r="G499">
        <v>24</v>
      </c>
      <c r="H499">
        <v>17</v>
      </c>
      <c r="I499">
        <v>11</v>
      </c>
      <c r="J499">
        <v>8</v>
      </c>
      <c r="K499">
        <v>13</v>
      </c>
      <c r="L499">
        <v>12</v>
      </c>
      <c r="M499">
        <v>15</v>
      </c>
      <c r="N499">
        <v>14</v>
      </c>
      <c r="O499">
        <v>8</v>
      </c>
      <c r="P499">
        <v>17</v>
      </c>
      <c r="Q499">
        <v>10</v>
      </c>
      <c r="R499">
        <v>18</v>
      </c>
      <c r="S499">
        <v>167</v>
      </c>
      <c r="T499" t="s">
        <v>1102</v>
      </c>
      <c r="U499" t="s">
        <v>45</v>
      </c>
      <c r="V499" t="s">
        <v>1114</v>
      </c>
      <c r="W499" t="s">
        <v>1108</v>
      </c>
    </row>
    <row r="500" spans="1:23" x14ac:dyDescent="0.25">
      <c r="A500" t="s">
        <v>1116</v>
      </c>
      <c r="B500" t="s">
        <v>1116</v>
      </c>
      <c r="C500">
        <v>0</v>
      </c>
      <c r="D500" s="3">
        <v>0</v>
      </c>
      <c r="E500">
        <v>0.75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 t="s">
        <v>1102</v>
      </c>
      <c r="U500" t="s">
        <v>45</v>
      </c>
      <c r="V500" t="s">
        <v>1117</v>
      </c>
      <c r="W500" t="s">
        <v>1104</v>
      </c>
    </row>
    <row r="501" spans="1:23" x14ac:dyDescent="0.25">
      <c r="A501" t="s">
        <v>1118</v>
      </c>
      <c r="B501" t="s">
        <v>1118</v>
      </c>
      <c r="C501">
        <v>0</v>
      </c>
      <c r="D501" s="3">
        <v>0</v>
      </c>
      <c r="E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1102</v>
      </c>
      <c r="U501" t="s">
        <v>45</v>
      </c>
      <c r="V501" t="s">
        <v>1117</v>
      </c>
      <c r="W501" t="s">
        <v>1106</v>
      </c>
    </row>
    <row r="502" spans="1:23" x14ac:dyDescent="0.25">
      <c r="A502" t="s">
        <v>1119</v>
      </c>
      <c r="B502" t="s">
        <v>1119</v>
      </c>
      <c r="C502">
        <v>0</v>
      </c>
      <c r="D502" s="3">
        <v>0</v>
      </c>
      <c r="E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-1</v>
      </c>
      <c r="O502">
        <v>1</v>
      </c>
      <c r="P502">
        <v>0</v>
      </c>
      <c r="Q502">
        <v>0</v>
      </c>
      <c r="R502">
        <v>0</v>
      </c>
      <c r="S502">
        <v>0</v>
      </c>
      <c r="T502" t="s">
        <v>1102</v>
      </c>
      <c r="U502" t="s">
        <v>45</v>
      </c>
      <c r="V502" t="s">
        <v>1117</v>
      </c>
      <c r="W502" t="s">
        <v>1108</v>
      </c>
    </row>
    <row r="503" spans="1:23" x14ac:dyDescent="0.25">
      <c r="A503" t="s">
        <v>1120</v>
      </c>
      <c r="B503" t="s">
        <v>1120</v>
      </c>
      <c r="C503">
        <v>2</v>
      </c>
      <c r="D503" s="3">
        <v>2</v>
      </c>
      <c r="E503">
        <v>12</v>
      </c>
      <c r="G503">
        <v>3</v>
      </c>
      <c r="H503">
        <v>1</v>
      </c>
      <c r="I503">
        <v>4</v>
      </c>
      <c r="J503">
        <v>2</v>
      </c>
      <c r="K503">
        <v>0</v>
      </c>
      <c r="L503">
        <v>3</v>
      </c>
      <c r="M503">
        <v>2</v>
      </c>
      <c r="N503">
        <v>0</v>
      </c>
      <c r="O503">
        <v>2</v>
      </c>
      <c r="P503">
        <v>2</v>
      </c>
      <c r="Q503">
        <v>2</v>
      </c>
      <c r="R503">
        <v>0</v>
      </c>
      <c r="S503">
        <v>21</v>
      </c>
      <c r="T503" t="s">
        <v>1102</v>
      </c>
      <c r="U503" t="s">
        <v>45</v>
      </c>
      <c r="V503" t="s">
        <v>1121</v>
      </c>
      <c r="W503" t="s">
        <v>1104</v>
      </c>
    </row>
    <row r="504" spans="1:23" x14ac:dyDescent="0.25">
      <c r="A504" t="s">
        <v>1122</v>
      </c>
      <c r="B504" t="s">
        <v>1122</v>
      </c>
      <c r="C504">
        <v>0</v>
      </c>
      <c r="D504" s="3">
        <v>0</v>
      </c>
      <c r="E504">
        <v>0</v>
      </c>
      <c r="G504">
        <v>4</v>
      </c>
      <c r="H504">
        <v>3</v>
      </c>
      <c r="I504">
        <v>0</v>
      </c>
      <c r="J504">
        <v>3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10</v>
      </c>
      <c r="T504" t="s">
        <v>1102</v>
      </c>
      <c r="U504" t="s">
        <v>45</v>
      </c>
      <c r="V504" t="s">
        <v>1121</v>
      </c>
      <c r="W504" t="s">
        <v>1106</v>
      </c>
    </row>
    <row r="505" spans="1:23" x14ac:dyDescent="0.25">
      <c r="A505" t="s">
        <v>1123</v>
      </c>
      <c r="B505" t="s">
        <v>1123</v>
      </c>
      <c r="C505">
        <v>2</v>
      </c>
      <c r="D505" s="3">
        <v>2</v>
      </c>
      <c r="E505">
        <v>0</v>
      </c>
      <c r="G505">
        <v>2</v>
      </c>
      <c r="H505">
        <v>5</v>
      </c>
      <c r="I505">
        <v>2</v>
      </c>
      <c r="J505">
        <v>5</v>
      </c>
      <c r="K505">
        <v>6</v>
      </c>
      <c r="L505">
        <v>6</v>
      </c>
      <c r="M505">
        <v>4</v>
      </c>
      <c r="N505">
        <v>-1</v>
      </c>
      <c r="O505">
        <v>1</v>
      </c>
      <c r="P505">
        <v>2</v>
      </c>
      <c r="Q505">
        <v>2</v>
      </c>
      <c r="R505">
        <v>0</v>
      </c>
      <c r="S505">
        <v>34</v>
      </c>
      <c r="T505" t="s">
        <v>1102</v>
      </c>
      <c r="U505" t="s">
        <v>45</v>
      </c>
      <c r="V505" t="s">
        <v>1121</v>
      </c>
      <c r="W505" t="s">
        <v>1108</v>
      </c>
    </row>
    <row r="506" spans="1:23" x14ac:dyDescent="0.25">
      <c r="A506" t="s">
        <v>1124</v>
      </c>
      <c r="B506" t="s">
        <v>1124</v>
      </c>
      <c r="C506">
        <v>0.5</v>
      </c>
      <c r="D506" s="3">
        <v>0.5</v>
      </c>
      <c r="E506">
        <v>42</v>
      </c>
      <c r="G506">
        <v>1</v>
      </c>
      <c r="H506">
        <v>6</v>
      </c>
      <c r="I506">
        <v>0</v>
      </c>
      <c r="J506">
        <v>0</v>
      </c>
      <c r="K506">
        <v>8</v>
      </c>
      <c r="L506">
        <v>9</v>
      </c>
      <c r="M506">
        <v>0</v>
      </c>
      <c r="N506">
        <v>3</v>
      </c>
      <c r="O506">
        <v>0</v>
      </c>
      <c r="P506">
        <v>6</v>
      </c>
      <c r="Q506">
        <v>0</v>
      </c>
      <c r="R506">
        <v>0</v>
      </c>
      <c r="S506">
        <v>33</v>
      </c>
      <c r="T506" t="s">
        <v>1102</v>
      </c>
      <c r="U506" t="s">
        <v>77</v>
      </c>
      <c r="V506" t="s">
        <v>1125</v>
      </c>
      <c r="W506" t="s">
        <v>1104</v>
      </c>
    </row>
    <row r="507" spans="1:23" x14ac:dyDescent="0.25">
      <c r="A507" t="s">
        <v>1126</v>
      </c>
      <c r="B507" t="s">
        <v>1126</v>
      </c>
      <c r="C507">
        <v>6.5</v>
      </c>
      <c r="D507" s="3">
        <v>6.5</v>
      </c>
      <c r="E507">
        <v>63</v>
      </c>
      <c r="G507">
        <v>8</v>
      </c>
      <c r="H507">
        <v>0</v>
      </c>
      <c r="I507">
        <v>12</v>
      </c>
      <c r="J507">
        <v>12</v>
      </c>
      <c r="K507">
        <v>5</v>
      </c>
      <c r="L507">
        <v>19</v>
      </c>
      <c r="M507">
        <v>0</v>
      </c>
      <c r="N507">
        <v>8</v>
      </c>
      <c r="O507">
        <v>0</v>
      </c>
      <c r="P507">
        <v>10</v>
      </c>
      <c r="Q507">
        <v>0</v>
      </c>
      <c r="R507">
        <v>0</v>
      </c>
      <c r="S507">
        <v>74</v>
      </c>
      <c r="T507" t="s">
        <v>1102</v>
      </c>
      <c r="U507" t="s">
        <v>77</v>
      </c>
      <c r="V507" t="s">
        <v>1125</v>
      </c>
      <c r="W507" t="s">
        <v>1108</v>
      </c>
    </row>
    <row r="508" spans="1:23" x14ac:dyDescent="0.25">
      <c r="A508" t="s">
        <v>657</v>
      </c>
      <c r="B508" t="s">
        <v>657</v>
      </c>
      <c r="C508">
        <v>1</v>
      </c>
      <c r="D508" s="3">
        <v>1</v>
      </c>
      <c r="E508">
        <v>4.68</v>
      </c>
      <c r="G508">
        <v>2</v>
      </c>
      <c r="H508">
        <v>1</v>
      </c>
      <c r="I508">
        <v>1</v>
      </c>
      <c r="J508">
        <v>0</v>
      </c>
      <c r="K508">
        <v>0</v>
      </c>
      <c r="L508">
        <v>1</v>
      </c>
      <c r="M508">
        <v>1</v>
      </c>
      <c r="N508">
        <v>1</v>
      </c>
      <c r="O508">
        <v>0</v>
      </c>
      <c r="P508">
        <v>2</v>
      </c>
      <c r="Q508">
        <v>2.3199999999999998</v>
      </c>
      <c r="R508">
        <v>2</v>
      </c>
      <c r="S508">
        <v>13.32</v>
      </c>
      <c r="T508" t="s">
        <v>1102</v>
      </c>
      <c r="U508" t="s">
        <v>83</v>
      </c>
      <c r="V508" t="s">
        <v>1127</v>
      </c>
      <c r="W508" t="s">
        <v>1104</v>
      </c>
    </row>
    <row r="509" spans="1:23" x14ac:dyDescent="0.25">
      <c r="A509" t="s">
        <v>658</v>
      </c>
      <c r="B509" t="s">
        <v>658</v>
      </c>
      <c r="C509">
        <v>2.5</v>
      </c>
      <c r="D509" s="3">
        <v>2.5</v>
      </c>
      <c r="E509">
        <v>13</v>
      </c>
      <c r="G509">
        <v>3</v>
      </c>
      <c r="H509">
        <v>1</v>
      </c>
      <c r="I509">
        <v>3</v>
      </c>
      <c r="J509">
        <v>1</v>
      </c>
      <c r="K509">
        <v>1</v>
      </c>
      <c r="L509">
        <v>4</v>
      </c>
      <c r="M509">
        <v>10</v>
      </c>
      <c r="N509">
        <v>2</v>
      </c>
      <c r="O509">
        <v>2</v>
      </c>
      <c r="P509">
        <v>4</v>
      </c>
      <c r="Q509">
        <v>2</v>
      </c>
      <c r="R509">
        <v>3</v>
      </c>
      <c r="S509">
        <v>36</v>
      </c>
      <c r="T509" t="s">
        <v>1102</v>
      </c>
      <c r="U509" t="s">
        <v>83</v>
      </c>
      <c r="V509" t="s">
        <v>1127</v>
      </c>
      <c r="W509" t="s">
        <v>1106</v>
      </c>
    </row>
    <row r="510" spans="1:23" x14ac:dyDescent="0.25">
      <c r="A510" t="s">
        <v>710</v>
      </c>
      <c r="B510" t="s">
        <v>710</v>
      </c>
      <c r="C510">
        <v>3.5</v>
      </c>
      <c r="D510" s="3">
        <v>3.5</v>
      </c>
      <c r="E510">
        <v>21</v>
      </c>
      <c r="G510">
        <v>3</v>
      </c>
      <c r="H510">
        <v>1</v>
      </c>
      <c r="I510">
        <v>7</v>
      </c>
      <c r="J510">
        <v>7</v>
      </c>
      <c r="K510">
        <v>1</v>
      </c>
      <c r="L510">
        <v>7</v>
      </c>
      <c r="M510">
        <v>1</v>
      </c>
      <c r="N510">
        <v>4</v>
      </c>
      <c r="O510">
        <v>3</v>
      </c>
      <c r="P510">
        <v>5</v>
      </c>
      <c r="Q510">
        <v>4</v>
      </c>
      <c r="R510">
        <v>0</v>
      </c>
      <c r="S510">
        <v>43</v>
      </c>
      <c r="T510" t="s">
        <v>1102</v>
      </c>
      <c r="U510" t="s">
        <v>83</v>
      </c>
      <c r="V510" t="s">
        <v>1127</v>
      </c>
      <c r="W510" t="s">
        <v>1108</v>
      </c>
    </row>
    <row r="511" spans="1:23" x14ac:dyDescent="0.25">
      <c r="A511" t="s">
        <v>1128</v>
      </c>
      <c r="B511" t="s">
        <v>1128</v>
      </c>
      <c r="C511">
        <v>0</v>
      </c>
      <c r="D511" s="3">
        <v>0</v>
      </c>
      <c r="E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 t="s">
        <v>1102</v>
      </c>
      <c r="U511" t="s">
        <v>83</v>
      </c>
      <c r="V511" t="s">
        <v>1127</v>
      </c>
      <c r="W511" t="s">
        <v>1129</v>
      </c>
    </row>
    <row r="512" spans="1:23" x14ac:dyDescent="0.25">
      <c r="A512" t="s">
        <v>1130</v>
      </c>
      <c r="B512" t="s">
        <v>1130</v>
      </c>
      <c r="C512">
        <v>0</v>
      </c>
      <c r="D512" s="3">
        <v>0</v>
      </c>
      <c r="E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 t="s">
        <v>1102</v>
      </c>
      <c r="U512" t="s">
        <v>83</v>
      </c>
      <c r="V512" t="s">
        <v>1127</v>
      </c>
      <c r="W512" t="s">
        <v>1131</v>
      </c>
    </row>
    <row r="513" spans="1:23" x14ac:dyDescent="0.25">
      <c r="A513" t="s">
        <v>1132</v>
      </c>
      <c r="B513" t="s">
        <v>1132</v>
      </c>
      <c r="C513">
        <v>2</v>
      </c>
      <c r="D513" s="3">
        <v>2</v>
      </c>
      <c r="E513">
        <v>104</v>
      </c>
      <c r="G513">
        <v>2</v>
      </c>
      <c r="H513">
        <v>1</v>
      </c>
      <c r="I513">
        <v>8</v>
      </c>
      <c r="J513">
        <v>1</v>
      </c>
      <c r="K513">
        <v>0</v>
      </c>
      <c r="L513">
        <v>2</v>
      </c>
      <c r="M513">
        <v>2</v>
      </c>
      <c r="N513">
        <v>3</v>
      </c>
      <c r="O513">
        <v>4</v>
      </c>
      <c r="P513">
        <v>8</v>
      </c>
      <c r="Q513">
        <v>2</v>
      </c>
      <c r="R513">
        <v>2</v>
      </c>
      <c r="S513">
        <v>35</v>
      </c>
      <c r="T513" t="s">
        <v>1102</v>
      </c>
      <c r="U513" t="s">
        <v>83</v>
      </c>
      <c r="V513" t="s">
        <v>1133</v>
      </c>
      <c r="W513" t="s">
        <v>1104</v>
      </c>
    </row>
    <row r="514" spans="1:23" x14ac:dyDescent="0.25">
      <c r="A514" t="s">
        <v>1134</v>
      </c>
      <c r="B514" t="s">
        <v>1134</v>
      </c>
      <c r="C514">
        <v>0</v>
      </c>
      <c r="D514" s="3">
        <v>0</v>
      </c>
      <c r="E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 t="s">
        <v>1102</v>
      </c>
      <c r="U514" t="s">
        <v>83</v>
      </c>
      <c r="V514" t="s">
        <v>1133</v>
      </c>
      <c r="W514" t="s">
        <v>1106</v>
      </c>
    </row>
    <row r="515" spans="1:23" x14ac:dyDescent="0.25">
      <c r="A515" t="s">
        <v>1135</v>
      </c>
      <c r="B515" t="s">
        <v>1135</v>
      </c>
      <c r="C515">
        <v>0</v>
      </c>
      <c r="D515" s="3">
        <v>0</v>
      </c>
      <c r="E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t="s">
        <v>1102</v>
      </c>
      <c r="U515" t="s">
        <v>83</v>
      </c>
      <c r="V515" t="s">
        <v>1133</v>
      </c>
      <c r="W515" t="s">
        <v>1108</v>
      </c>
    </row>
    <row r="516" spans="1:23" x14ac:dyDescent="0.25">
      <c r="A516" t="s">
        <v>1136</v>
      </c>
      <c r="B516" t="s">
        <v>1136</v>
      </c>
      <c r="C516">
        <v>0</v>
      </c>
      <c r="D516" s="3">
        <v>0</v>
      </c>
      <c r="E516">
        <v>23</v>
      </c>
      <c r="G516">
        <v>0</v>
      </c>
      <c r="H516">
        <v>0</v>
      </c>
      <c r="I516">
        <v>3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1</v>
      </c>
      <c r="Q516">
        <v>2</v>
      </c>
      <c r="R516">
        <v>0</v>
      </c>
      <c r="S516">
        <v>7</v>
      </c>
      <c r="T516" t="s">
        <v>1102</v>
      </c>
      <c r="U516" t="s">
        <v>83</v>
      </c>
      <c r="V516" t="s">
        <v>1133</v>
      </c>
      <c r="W516" t="s">
        <v>1129</v>
      </c>
    </row>
    <row r="517" spans="1:23" x14ac:dyDescent="0.25">
      <c r="A517" t="s">
        <v>1137</v>
      </c>
      <c r="B517" t="s">
        <v>1137</v>
      </c>
      <c r="C517">
        <v>0</v>
      </c>
      <c r="D517" s="3">
        <v>0</v>
      </c>
      <c r="E517">
        <v>29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</v>
      </c>
      <c r="N517">
        <v>0</v>
      </c>
      <c r="O517">
        <v>0</v>
      </c>
      <c r="P517">
        <v>1</v>
      </c>
      <c r="Q517">
        <v>3</v>
      </c>
      <c r="R517">
        <v>0</v>
      </c>
      <c r="S517">
        <v>6</v>
      </c>
      <c r="T517" t="s">
        <v>1102</v>
      </c>
      <c r="U517" t="s">
        <v>83</v>
      </c>
      <c r="V517" t="s">
        <v>1133</v>
      </c>
      <c r="W517" t="s">
        <v>1131</v>
      </c>
    </row>
    <row r="518" spans="1:23" x14ac:dyDescent="0.25">
      <c r="A518" t="s">
        <v>659</v>
      </c>
      <c r="B518" t="s">
        <v>659</v>
      </c>
      <c r="C518">
        <v>2</v>
      </c>
      <c r="D518" s="3">
        <v>2</v>
      </c>
      <c r="E518">
        <v>11</v>
      </c>
      <c r="G518">
        <v>2</v>
      </c>
      <c r="H518">
        <v>1</v>
      </c>
      <c r="I518">
        <v>1</v>
      </c>
      <c r="J518">
        <v>2</v>
      </c>
      <c r="K518">
        <v>3</v>
      </c>
      <c r="L518">
        <v>3</v>
      </c>
      <c r="M518">
        <v>1</v>
      </c>
      <c r="N518">
        <v>1</v>
      </c>
      <c r="O518">
        <v>2</v>
      </c>
      <c r="P518">
        <v>3</v>
      </c>
      <c r="Q518">
        <v>3</v>
      </c>
      <c r="R518">
        <v>3</v>
      </c>
      <c r="S518">
        <v>25</v>
      </c>
      <c r="T518" t="s">
        <v>1102</v>
      </c>
      <c r="U518" t="s">
        <v>83</v>
      </c>
      <c r="V518" t="s">
        <v>1138</v>
      </c>
      <c r="W518" t="s">
        <v>1104</v>
      </c>
    </row>
    <row r="519" spans="1:23" x14ac:dyDescent="0.25">
      <c r="A519" t="s">
        <v>660</v>
      </c>
      <c r="B519" t="s">
        <v>660</v>
      </c>
      <c r="C519">
        <v>4</v>
      </c>
      <c r="D519" s="3">
        <v>4</v>
      </c>
      <c r="E519">
        <v>12</v>
      </c>
      <c r="F519">
        <v>12</v>
      </c>
      <c r="G519">
        <v>6</v>
      </c>
      <c r="H519">
        <v>1</v>
      </c>
      <c r="I519">
        <v>8</v>
      </c>
      <c r="J519">
        <v>6</v>
      </c>
      <c r="K519">
        <v>4</v>
      </c>
      <c r="L519">
        <v>2</v>
      </c>
      <c r="M519">
        <v>3</v>
      </c>
      <c r="N519">
        <v>7</v>
      </c>
      <c r="O519">
        <v>3</v>
      </c>
      <c r="P519">
        <v>2</v>
      </c>
      <c r="Q519">
        <v>4</v>
      </c>
      <c r="R519">
        <v>5</v>
      </c>
      <c r="S519">
        <v>51</v>
      </c>
      <c r="T519" t="s">
        <v>1102</v>
      </c>
      <c r="U519" t="s">
        <v>83</v>
      </c>
      <c r="V519" t="s">
        <v>1138</v>
      </c>
      <c r="W519" t="s">
        <v>1106</v>
      </c>
    </row>
    <row r="520" spans="1:23" x14ac:dyDescent="0.25">
      <c r="A520" t="s">
        <v>661</v>
      </c>
      <c r="B520" t="s">
        <v>661</v>
      </c>
      <c r="C520">
        <v>6.5</v>
      </c>
      <c r="D520" s="3">
        <v>6.5</v>
      </c>
      <c r="E520">
        <v>12</v>
      </c>
      <c r="F520">
        <v>12</v>
      </c>
      <c r="G520">
        <v>7</v>
      </c>
      <c r="H520">
        <v>1</v>
      </c>
      <c r="I520">
        <v>3</v>
      </c>
      <c r="J520">
        <v>7</v>
      </c>
      <c r="K520">
        <v>9</v>
      </c>
      <c r="L520">
        <v>8</v>
      </c>
      <c r="M520">
        <v>7</v>
      </c>
      <c r="N520">
        <v>4</v>
      </c>
      <c r="O520">
        <v>7</v>
      </c>
      <c r="P520">
        <v>5</v>
      </c>
      <c r="Q520">
        <v>2</v>
      </c>
      <c r="R520">
        <v>6</v>
      </c>
      <c r="S520">
        <v>66</v>
      </c>
      <c r="T520" t="s">
        <v>1102</v>
      </c>
      <c r="U520" t="s">
        <v>83</v>
      </c>
      <c r="V520" t="s">
        <v>1138</v>
      </c>
      <c r="W520" t="s">
        <v>1108</v>
      </c>
    </row>
    <row r="521" spans="1:23" x14ac:dyDescent="0.25">
      <c r="A521" t="s">
        <v>1139</v>
      </c>
      <c r="B521" t="s">
        <v>1139</v>
      </c>
      <c r="C521">
        <v>0</v>
      </c>
      <c r="D521" s="3">
        <v>0</v>
      </c>
      <c r="E521">
        <v>11</v>
      </c>
      <c r="G521">
        <v>1</v>
      </c>
      <c r="H521">
        <v>0</v>
      </c>
      <c r="I521">
        <v>2</v>
      </c>
      <c r="J521">
        <v>2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6</v>
      </c>
      <c r="T521" t="s">
        <v>1102</v>
      </c>
      <c r="U521" t="s">
        <v>83</v>
      </c>
      <c r="V521" t="s">
        <v>1138</v>
      </c>
      <c r="W521" t="s">
        <v>1129</v>
      </c>
    </row>
    <row r="522" spans="1:23" x14ac:dyDescent="0.25">
      <c r="A522" t="s">
        <v>1140</v>
      </c>
      <c r="B522" t="s">
        <v>1140</v>
      </c>
      <c r="C522">
        <v>0</v>
      </c>
      <c r="D522" s="3">
        <v>0</v>
      </c>
      <c r="E522">
        <v>3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1</v>
      </c>
      <c r="T522" t="s">
        <v>1102</v>
      </c>
      <c r="U522" t="s">
        <v>83</v>
      </c>
      <c r="V522" t="s">
        <v>1138</v>
      </c>
      <c r="W522" t="s">
        <v>1131</v>
      </c>
    </row>
    <row r="523" spans="1:23" x14ac:dyDescent="0.25">
      <c r="A523" t="s">
        <v>1141</v>
      </c>
      <c r="B523" t="s">
        <v>1141</v>
      </c>
      <c r="C523">
        <v>1</v>
      </c>
      <c r="D523" s="3">
        <v>1</v>
      </c>
      <c r="E523">
        <v>47</v>
      </c>
      <c r="G523">
        <v>2</v>
      </c>
      <c r="H523">
        <v>0</v>
      </c>
      <c r="I523">
        <v>1</v>
      </c>
      <c r="J523">
        <v>-1</v>
      </c>
      <c r="K523">
        <v>2</v>
      </c>
      <c r="L523">
        <v>1</v>
      </c>
      <c r="M523">
        <v>0</v>
      </c>
      <c r="N523">
        <v>2</v>
      </c>
      <c r="O523">
        <v>1</v>
      </c>
      <c r="P523">
        <v>1</v>
      </c>
      <c r="Q523">
        <v>2</v>
      </c>
      <c r="R523">
        <v>1</v>
      </c>
      <c r="S523">
        <v>12</v>
      </c>
      <c r="T523" t="s">
        <v>1102</v>
      </c>
      <c r="U523" t="s">
        <v>83</v>
      </c>
      <c r="V523" t="s">
        <v>1142</v>
      </c>
      <c r="W523" t="s">
        <v>1104</v>
      </c>
    </row>
    <row r="524" spans="1:23" x14ac:dyDescent="0.25">
      <c r="A524" t="s">
        <v>1143</v>
      </c>
      <c r="B524" t="s">
        <v>1143</v>
      </c>
      <c r="C524">
        <v>2.5</v>
      </c>
      <c r="D524" s="3">
        <v>2.5</v>
      </c>
      <c r="E524">
        <v>30</v>
      </c>
      <c r="G524">
        <v>3</v>
      </c>
      <c r="H524">
        <v>0</v>
      </c>
      <c r="I524">
        <v>0</v>
      </c>
      <c r="J524">
        <v>0</v>
      </c>
      <c r="K524">
        <v>3</v>
      </c>
      <c r="L524">
        <v>0</v>
      </c>
      <c r="M524">
        <v>6</v>
      </c>
      <c r="N524">
        <v>2</v>
      </c>
      <c r="O524">
        <v>1</v>
      </c>
      <c r="P524">
        <v>3</v>
      </c>
      <c r="Q524">
        <v>4</v>
      </c>
      <c r="R524">
        <v>4</v>
      </c>
      <c r="S524">
        <v>26</v>
      </c>
      <c r="T524" t="s">
        <v>1102</v>
      </c>
      <c r="U524" t="s">
        <v>83</v>
      </c>
      <c r="V524" t="s">
        <v>1142</v>
      </c>
      <c r="W524" t="s">
        <v>1106</v>
      </c>
    </row>
    <row r="525" spans="1:23" x14ac:dyDescent="0.25">
      <c r="A525" t="s">
        <v>1144</v>
      </c>
      <c r="B525" t="s">
        <v>1144</v>
      </c>
      <c r="C525">
        <v>7</v>
      </c>
      <c r="D525" s="3">
        <v>7</v>
      </c>
      <c r="E525">
        <v>21</v>
      </c>
      <c r="G525">
        <v>8</v>
      </c>
      <c r="H525">
        <v>6</v>
      </c>
      <c r="I525">
        <v>4</v>
      </c>
      <c r="J525">
        <v>11</v>
      </c>
      <c r="K525">
        <v>6</v>
      </c>
      <c r="L525">
        <v>9</v>
      </c>
      <c r="M525">
        <v>8</v>
      </c>
      <c r="N525">
        <v>8</v>
      </c>
      <c r="O525">
        <v>3</v>
      </c>
      <c r="P525">
        <v>9</v>
      </c>
      <c r="Q525">
        <v>5</v>
      </c>
      <c r="R525">
        <v>3</v>
      </c>
      <c r="S525">
        <v>80</v>
      </c>
      <c r="T525" t="s">
        <v>1102</v>
      </c>
      <c r="U525" t="s">
        <v>83</v>
      </c>
      <c r="V525" t="s">
        <v>1142</v>
      </c>
      <c r="W525" t="s">
        <v>1108</v>
      </c>
    </row>
    <row r="526" spans="1:23" x14ac:dyDescent="0.25">
      <c r="A526" t="s">
        <v>1145</v>
      </c>
      <c r="B526" t="s">
        <v>1145</v>
      </c>
      <c r="C526">
        <v>0</v>
      </c>
      <c r="D526" s="3">
        <v>0</v>
      </c>
      <c r="E526">
        <v>16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2</v>
      </c>
      <c r="T526" t="s">
        <v>1102</v>
      </c>
      <c r="U526" t="s">
        <v>83</v>
      </c>
      <c r="V526" t="s">
        <v>1142</v>
      </c>
      <c r="W526" t="s">
        <v>1129</v>
      </c>
    </row>
    <row r="527" spans="1:23" x14ac:dyDescent="0.25">
      <c r="A527" t="s">
        <v>1146</v>
      </c>
      <c r="B527" t="s">
        <v>1146</v>
      </c>
      <c r="C527">
        <v>0</v>
      </c>
      <c r="D527" s="3">
        <v>0</v>
      </c>
      <c r="E527">
        <v>20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3</v>
      </c>
      <c r="T527" t="s">
        <v>1102</v>
      </c>
      <c r="U527" t="s">
        <v>83</v>
      </c>
      <c r="V527" t="s">
        <v>1142</v>
      </c>
      <c r="W527" t="s">
        <v>1131</v>
      </c>
    </row>
    <row r="528" spans="1:23" x14ac:dyDescent="0.25">
      <c r="A528" t="s">
        <v>1147</v>
      </c>
      <c r="B528" t="s">
        <v>1147</v>
      </c>
      <c r="C528">
        <v>0</v>
      </c>
      <c r="D528" s="3">
        <v>0</v>
      </c>
      <c r="E528">
        <v>36</v>
      </c>
      <c r="G528">
        <v>1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</v>
      </c>
      <c r="T528" t="s">
        <v>1102</v>
      </c>
      <c r="U528" t="s">
        <v>83</v>
      </c>
      <c r="V528" t="s">
        <v>1148</v>
      </c>
      <c r="W528" t="s">
        <v>1104</v>
      </c>
    </row>
    <row r="529" spans="1:23" x14ac:dyDescent="0.25">
      <c r="A529" t="s">
        <v>1149</v>
      </c>
      <c r="B529" t="s">
        <v>1149</v>
      </c>
      <c r="C529">
        <v>0.5</v>
      </c>
      <c r="D529" s="3">
        <v>0.5</v>
      </c>
      <c r="E529">
        <v>18</v>
      </c>
      <c r="G529">
        <v>0</v>
      </c>
      <c r="H529">
        <v>1</v>
      </c>
      <c r="I529">
        <v>1</v>
      </c>
      <c r="J529">
        <v>0</v>
      </c>
      <c r="K529">
        <v>1</v>
      </c>
      <c r="L529">
        <v>0</v>
      </c>
      <c r="M529">
        <v>1</v>
      </c>
      <c r="N529">
        <v>0</v>
      </c>
      <c r="O529">
        <v>0</v>
      </c>
      <c r="P529">
        <v>1</v>
      </c>
      <c r="Q529">
        <v>0</v>
      </c>
      <c r="R529">
        <v>1</v>
      </c>
      <c r="S529">
        <v>6</v>
      </c>
      <c r="T529" t="s">
        <v>1102</v>
      </c>
      <c r="U529" t="s">
        <v>83</v>
      </c>
      <c r="V529" t="s">
        <v>1148</v>
      </c>
      <c r="W529" t="s">
        <v>1106</v>
      </c>
    </row>
    <row r="530" spans="1:23" x14ac:dyDescent="0.25">
      <c r="A530" t="s">
        <v>1150</v>
      </c>
      <c r="B530" t="s">
        <v>1150</v>
      </c>
      <c r="C530">
        <v>1</v>
      </c>
      <c r="D530" s="3">
        <v>1</v>
      </c>
      <c r="E530">
        <v>32</v>
      </c>
      <c r="G530">
        <v>3</v>
      </c>
      <c r="H530">
        <v>0</v>
      </c>
      <c r="I530">
        <v>0</v>
      </c>
      <c r="J530">
        <v>2</v>
      </c>
      <c r="K530">
        <v>1</v>
      </c>
      <c r="L530">
        <v>0</v>
      </c>
      <c r="M530">
        <v>1</v>
      </c>
      <c r="N530">
        <v>2</v>
      </c>
      <c r="O530">
        <v>1</v>
      </c>
      <c r="P530">
        <v>1</v>
      </c>
      <c r="Q530">
        <v>2</v>
      </c>
      <c r="R530">
        <v>1</v>
      </c>
      <c r="S530">
        <v>14</v>
      </c>
      <c r="T530" t="s">
        <v>1102</v>
      </c>
      <c r="U530" t="s">
        <v>83</v>
      </c>
      <c r="V530" t="s">
        <v>1148</v>
      </c>
      <c r="W530" t="s">
        <v>1108</v>
      </c>
    </row>
    <row r="531" spans="1:23" x14ac:dyDescent="0.25">
      <c r="A531" t="s">
        <v>755</v>
      </c>
      <c r="B531" t="s">
        <v>755</v>
      </c>
      <c r="C531">
        <v>0</v>
      </c>
      <c r="D531" s="3">
        <v>0</v>
      </c>
      <c r="E531">
        <v>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1102</v>
      </c>
      <c r="U531" t="s">
        <v>83</v>
      </c>
      <c r="V531" t="s">
        <v>1148</v>
      </c>
      <c r="W531" t="s">
        <v>1129</v>
      </c>
    </row>
    <row r="532" spans="1:23" x14ac:dyDescent="0.25">
      <c r="A532" t="s">
        <v>1151</v>
      </c>
      <c r="B532" t="s">
        <v>1151</v>
      </c>
      <c r="C532">
        <v>0</v>
      </c>
      <c r="D532" s="3">
        <v>0</v>
      </c>
      <c r="E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 t="s">
        <v>1102</v>
      </c>
      <c r="U532" t="s">
        <v>83</v>
      </c>
      <c r="V532" t="s">
        <v>1148</v>
      </c>
      <c r="W532" t="s">
        <v>1131</v>
      </c>
    </row>
    <row r="533" spans="1:23" x14ac:dyDescent="0.25">
      <c r="A533" t="s">
        <v>662</v>
      </c>
      <c r="B533" t="s">
        <v>662</v>
      </c>
      <c r="C533">
        <v>10</v>
      </c>
      <c r="D533" s="3">
        <v>10</v>
      </c>
      <c r="E533">
        <v>15</v>
      </c>
      <c r="G533">
        <v>1</v>
      </c>
      <c r="H533">
        <v>3</v>
      </c>
      <c r="I533">
        <v>11</v>
      </c>
      <c r="J533">
        <v>11</v>
      </c>
      <c r="K533">
        <v>14</v>
      </c>
      <c r="L533">
        <v>8</v>
      </c>
      <c r="M533">
        <v>2</v>
      </c>
      <c r="N533">
        <v>9</v>
      </c>
      <c r="O533">
        <v>13</v>
      </c>
      <c r="P533">
        <v>13</v>
      </c>
      <c r="Q533">
        <v>8</v>
      </c>
      <c r="R533">
        <v>13</v>
      </c>
      <c r="S533">
        <v>106</v>
      </c>
      <c r="T533" t="s">
        <v>1102</v>
      </c>
      <c r="U533" t="s">
        <v>83</v>
      </c>
      <c r="V533" t="s">
        <v>1152</v>
      </c>
      <c r="W533" t="s">
        <v>1104</v>
      </c>
    </row>
    <row r="534" spans="1:23" x14ac:dyDescent="0.25">
      <c r="A534" t="s">
        <v>663</v>
      </c>
      <c r="B534" t="s">
        <v>663</v>
      </c>
      <c r="C534">
        <v>7.5</v>
      </c>
      <c r="D534" s="3">
        <v>7.5</v>
      </c>
      <c r="E534">
        <v>15</v>
      </c>
      <c r="G534">
        <v>5</v>
      </c>
      <c r="H534">
        <v>6</v>
      </c>
      <c r="I534">
        <v>5</v>
      </c>
      <c r="J534">
        <v>8</v>
      </c>
      <c r="K534">
        <v>11</v>
      </c>
      <c r="L534">
        <v>7</v>
      </c>
      <c r="M534">
        <v>11</v>
      </c>
      <c r="N534">
        <v>6</v>
      </c>
      <c r="O534">
        <v>16</v>
      </c>
      <c r="P534">
        <v>9</v>
      </c>
      <c r="Q534">
        <v>5</v>
      </c>
      <c r="R534">
        <v>14</v>
      </c>
      <c r="S534">
        <v>103</v>
      </c>
      <c r="T534" t="s">
        <v>1102</v>
      </c>
      <c r="U534" t="s">
        <v>83</v>
      </c>
      <c r="V534" t="s">
        <v>1152</v>
      </c>
      <c r="W534" t="s">
        <v>1106</v>
      </c>
    </row>
    <row r="535" spans="1:23" x14ac:dyDescent="0.25">
      <c r="A535" t="s">
        <v>711</v>
      </c>
      <c r="B535" t="s">
        <v>711</v>
      </c>
      <c r="C535">
        <v>18</v>
      </c>
      <c r="D535" s="3">
        <v>18</v>
      </c>
      <c r="E535">
        <v>93</v>
      </c>
      <c r="G535">
        <v>17</v>
      </c>
      <c r="H535">
        <v>13</v>
      </c>
      <c r="I535">
        <v>31</v>
      </c>
      <c r="J535">
        <v>27</v>
      </c>
      <c r="K535">
        <v>32</v>
      </c>
      <c r="L535">
        <v>9</v>
      </c>
      <c r="M535">
        <v>19</v>
      </c>
      <c r="N535">
        <v>10</v>
      </c>
      <c r="O535">
        <v>31</v>
      </c>
      <c r="P535">
        <v>25</v>
      </c>
      <c r="Q535">
        <v>6</v>
      </c>
      <c r="R535">
        <v>6</v>
      </c>
      <c r="S535">
        <v>226</v>
      </c>
      <c r="T535" t="s">
        <v>1102</v>
      </c>
      <c r="U535" t="s">
        <v>83</v>
      </c>
      <c r="V535" t="s">
        <v>1152</v>
      </c>
      <c r="W535" t="s">
        <v>1108</v>
      </c>
    </row>
    <row r="536" spans="1:23" x14ac:dyDescent="0.25">
      <c r="A536" t="s">
        <v>664</v>
      </c>
      <c r="B536" t="s">
        <v>664</v>
      </c>
      <c r="C536">
        <v>2</v>
      </c>
      <c r="D536" s="3">
        <v>2</v>
      </c>
      <c r="E536">
        <v>14</v>
      </c>
      <c r="G536">
        <v>2</v>
      </c>
      <c r="H536">
        <v>4</v>
      </c>
      <c r="I536">
        <v>1</v>
      </c>
      <c r="J536">
        <v>6</v>
      </c>
      <c r="K536">
        <v>2</v>
      </c>
      <c r="L536">
        <v>2</v>
      </c>
      <c r="M536">
        <v>3</v>
      </c>
      <c r="N536">
        <v>2</v>
      </c>
      <c r="O536">
        <v>1</v>
      </c>
      <c r="P536">
        <v>2</v>
      </c>
      <c r="Q536">
        <v>0</v>
      </c>
      <c r="R536">
        <v>1</v>
      </c>
      <c r="S536">
        <v>26</v>
      </c>
      <c r="T536" t="s">
        <v>1102</v>
      </c>
      <c r="U536" t="s">
        <v>83</v>
      </c>
      <c r="V536" t="s">
        <v>1152</v>
      </c>
      <c r="W536" t="s">
        <v>1129</v>
      </c>
    </row>
    <row r="537" spans="1:23" x14ac:dyDescent="0.25">
      <c r="A537" t="s">
        <v>712</v>
      </c>
      <c r="B537" t="s">
        <v>712</v>
      </c>
      <c r="C537">
        <v>3</v>
      </c>
      <c r="D537" s="3">
        <v>3</v>
      </c>
      <c r="E537">
        <v>36.75</v>
      </c>
      <c r="G537">
        <v>5</v>
      </c>
      <c r="H537">
        <v>3</v>
      </c>
      <c r="I537">
        <v>15</v>
      </c>
      <c r="J537">
        <v>8</v>
      </c>
      <c r="K537">
        <v>13</v>
      </c>
      <c r="L537">
        <v>4</v>
      </c>
      <c r="M537">
        <v>3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51</v>
      </c>
      <c r="T537" t="s">
        <v>1102</v>
      </c>
      <c r="U537" t="s">
        <v>83</v>
      </c>
      <c r="V537" t="s">
        <v>1152</v>
      </c>
      <c r="W537" t="s">
        <v>1131</v>
      </c>
    </row>
    <row r="538" spans="1:23" x14ac:dyDescent="0.25">
      <c r="A538" t="s">
        <v>1153</v>
      </c>
      <c r="B538" t="s">
        <v>1153</v>
      </c>
      <c r="C538">
        <v>0</v>
      </c>
      <c r="D538" s="3">
        <v>0</v>
      </c>
      <c r="E538">
        <v>57</v>
      </c>
      <c r="G538">
        <v>1</v>
      </c>
      <c r="H538">
        <v>0</v>
      </c>
      <c r="I538">
        <v>1</v>
      </c>
      <c r="J538">
        <v>0</v>
      </c>
      <c r="K538">
        <v>1</v>
      </c>
      <c r="L538">
        <v>-1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2</v>
      </c>
      <c r="T538" t="s">
        <v>1102</v>
      </c>
      <c r="U538" t="s">
        <v>83</v>
      </c>
      <c r="V538" t="s">
        <v>1154</v>
      </c>
      <c r="W538" t="s">
        <v>1104</v>
      </c>
    </row>
    <row r="539" spans="1:23" x14ac:dyDescent="0.25">
      <c r="A539" t="s">
        <v>1155</v>
      </c>
      <c r="B539" t="s">
        <v>1155</v>
      </c>
      <c r="C539">
        <v>0</v>
      </c>
      <c r="D539" s="3">
        <v>0</v>
      </c>
      <c r="E539">
        <v>39</v>
      </c>
      <c r="G539">
        <v>0</v>
      </c>
      <c r="H539">
        <v>0</v>
      </c>
      <c r="I539">
        <v>2</v>
      </c>
      <c r="J539">
        <v>3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6</v>
      </c>
      <c r="T539" t="s">
        <v>1102</v>
      </c>
      <c r="U539" t="s">
        <v>83</v>
      </c>
      <c r="V539" t="s">
        <v>1154</v>
      </c>
      <c r="W539" t="s">
        <v>1106</v>
      </c>
    </row>
    <row r="540" spans="1:23" x14ac:dyDescent="0.25">
      <c r="A540" t="s">
        <v>1156</v>
      </c>
      <c r="B540" t="s">
        <v>1156</v>
      </c>
      <c r="C540">
        <v>0</v>
      </c>
      <c r="D540" s="3">
        <v>0</v>
      </c>
      <c r="E540">
        <v>35</v>
      </c>
      <c r="G540">
        <v>0</v>
      </c>
      <c r="H540">
        <v>0</v>
      </c>
      <c r="I540">
        <v>7</v>
      </c>
      <c r="J540">
        <v>0</v>
      </c>
      <c r="K540">
        <v>1</v>
      </c>
      <c r="L540">
        <v>0</v>
      </c>
      <c r="M540">
        <v>1</v>
      </c>
      <c r="N540">
        <v>2</v>
      </c>
      <c r="O540">
        <v>0</v>
      </c>
      <c r="P540">
        <v>0</v>
      </c>
      <c r="Q540">
        <v>1</v>
      </c>
      <c r="R540">
        <v>0</v>
      </c>
      <c r="S540">
        <v>12</v>
      </c>
      <c r="T540" t="s">
        <v>1102</v>
      </c>
      <c r="U540" t="s">
        <v>83</v>
      </c>
      <c r="V540" t="s">
        <v>1154</v>
      </c>
      <c r="W540" t="s">
        <v>1108</v>
      </c>
    </row>
    <row r="541" spans="1:23" x14ac:dyDescent="0.25">
      <c r="A541" t="s">
        <v>1157</v>
      </c>
      <c r="B541" t="s">
        <v>1157</v>
      </c>
      <c r="C541">
        <v>0</v>
      </c>
      <c r="D541" s="3">
        <v>0</v>
      </c>
      <c r="E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-1</v>
      </c>
      <c r="O541">
        <v>0</v>
      </c>
      <c r="P541">
        <v>0</v>
      </c>
      <c r="Q541">
        <v>0</v>
      </c>
      <c r="R541">
        <v>0</v>
      </c>
      <c r="S541">
        <v>-1</v>
      </c>
      <c r="T541" t="s">
        <v>1102</v>
      </c>
      <c r="U541" t="s">
        <v>83</v>
      </c>
      <c r="V541" t="s">
        <v>1158</v>
      </c>
      <c r="W541" t="s">
        <v>1104</v>
      </c>
    </row>
    <row r="542" spans="1:23" x14ac:dyDescent="0.25">
      <c r="A542" t="s">
        <v>1159</v>
      </c>
      <c r="B542" t="s">
        <v>1159</v>
      </c>
      <c r="C542">
        <v>0</v>
      </c>
      <c r="D542" s="3">
        <v>0</v>
      </c>
      <c r="E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-1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-1</v>
      </c>
      <c r="T542" t="s">
        <v>1102</v>
      </c>
      <c r="U542" t="s">
        <v>83</v>
      </c>
      <c r="V542" t="s">
        <v>1158</v>
      </c>
      <c r="W542" t="s">
        <v>1106</v>
      </c>
    </row>
    <row r="543" spans="1:23" x14ac:dyDescent="0.25">
      <c r="A543" t="s">
        <v>1160</v>
      </c>
      <c r="B543" t="s">
        <v>1160</v>
      </c>
      <c r="C543">
        <v>0</v>
      </c>
      <c r="D543" s="3">
        <v>0</v>
      </c>
      <c r="E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 t="s">
        <v>1102</v>
      </c>
      <c r="U543" t="s">
        <v>83</v>
      </c>
      <c r="V543" t="s">
        <v>1158</v>
      </c>
      <c r="W543" t="s">
        <v>1108</v>
      </c>
    </row>
    <row r="544" spans="1:23" x14ac:dyDescent="0.25">
      <c r="A544" t="s">
        <v>1161</v>
      </c>
      <c r="B544" t="s">
        <v>1161</v>
      </c>
      <c r="C544">
        <v>0</v>
      </c>
      <c r="D544" s="3">
        <v>0</v>
      </c>
      <c r="E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-2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-1</v>
      </c>
      <c r="T544" t="s">
        <v>1102</v>
      </c>
      <c r="U544" t="s">
        <v>83</v>
      </c>
      <c r="V544" t="s">
        <v>1158</v>
      </c>
      <c r="W544" t="s">
        <v>1129</v>
      </c>
    </row>
    <row r="545" spans="1:23" x14ac:dyDescent="0.25">
      <c r="A545" t="s">
        <v>1162</v>
      </c>
      <c r="B545" t="s">
        <v>1162</v>
      </c>
      <c r="C545">
        <v>0</v>
      </c>
      <c r="D545" s="3">
        <v>0</v>
      </c>
      <c r="E545">
        <v>7</v>
      </c>
      <c r="G545">
        <v>1</v>
      </c>
      <c r="H545">
        <v>0</v>
      </c>
      <c r="I545">
        <v>0</v>
      </c>
      <c r="J545">
        <v>2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1</v>
      </c>
      <c r="Q545">
        <v>0</v>
      </c>
      <c r="R545">
        <v>0</v>
      </c>
      <c r="S545">
        <v>5</v>
      </c>
      <c r="T545" t="s">
        <v>1102</v>
      </c>
      <c r="U545" t="s">
        <v>83</v>
      </c>
      <c r="V545" t="s">
        <v>1158</v>
      </c>
      <c r="W545" t="s">
        <v>1131</v>
      </c>
    </row>
    <row r="546" spans="1:23" x14ac:dyDescent="0.25">
      <c r="A546" t="s">
        <v>1163</v>
      </c>
      <c r="B546" t="s">
        <v>1163</v>
      </c>
      <c r="C546">
        <v>2.5</v>
      </c>
      <c r="D546" s="3">
        <v>2.5</v>
      </c>
      <c r="E546">
        <v>39</v>
      </c>
      <c r="G546">
        <v>3</v>
      </c>
      <c r="H546">
        <v>4</v>
      </c>
      <c r="I546">
        <v>1</v>
      </c>
      <c r="J546">
        <v>0</v>
      </c>
      <c r="K546">
        <v>0</v>
      </c>
      <c r="L546">
        <v>7</v>
      </c>
      <c r="M546">
        <v>2</v>
      </c>
      <c r="N546">
        <v>3</v>
      </c>
      <c r="O546">
        <v>8</v>
      </c>
      <c r="P546">
        <v>13</v>
      </c>
      <c r="Q546">
        <v>0</v>
      </c>
      <c r="R546">
        <v>0</v>
      </c>
      <c r="S546">
        <v>41</v>
      </c>
      <c r="T546" t="s">
        <v>1102</v>
      </c>
      <c r="U546" t="s">
        <v>83</v>
      </c>
      <c r="V546" t="s">
        <v>1164</v>
      </c>
      <c r="W546" t="s">
        <v>1104</v>
      </c>
    </row>
    <row r="547" spans="1:23" x14ac:dyDescent="0.25">
      <c r="A547" t="s">
        <v>1165</v>
      </c>
      <c r="B547" t="s">
        <v>1165</v>
      </c>
      <c r="C547">
        <v>2</v>
      </c>
      <c r="D547" s="3">
        <v>2</v>
      </c>
      <c r="E547">
        <v>82</v>
      </c>
      <c r="G547">
        <v>7</v>
      </c>
      <c r="H547">
        <v>0</v>
      </c>
      <c r="I547">
        <v>1</v>
      </c>
      <c r="J547">
        <v>4</v>
      </c>
      <c r="K547">
        <v>1</v>
      </c>
      <c r="L547">
        <v>0</v>
      </c>
      <c r="M547">
        <v>1</v>
      </c>
      <c r="N547">
        <v>3</v>
      </c>
      <c r="O547">
        <v>8</v>
      </c>
      <c r="P547">
        <v>4</v>
      </c>
      <c r="Q547">
        <v>6</v>
      </c>
      <c r="R547">
        <v>1</v>
      </c>
      <c r="S547">
        <v>36</v>
      </c>
      <c r="T547" t="s">
        <v>1102</v>
      </c>
      <c r="U547" t="s">
        <v>83</v>
      </c>
      <c r="V547" t="s">
        <v>1164</v>
      </c>
      <c r="W547" t="s">
        <v>1106</v>
      </c>
    </row>
    <row r="548" spans="1:23" x14ac:dyDescent="0.25">
      <c r="A548" t="s">
        <v>1166</v>
      </c>
      <c r="B548" t="s">
        <v>1166</v>
      </c>
      <c r="C548">
        <v>3.5</v>
      </c>
      <c r="D548" s="3">
        <v>3.5</v>
      </c>
      <c r="E548">
        <v>224</v>
      </c>
      <c r="G548">
        <v>5</v>
      </c>
      <c r="H548">
        <v>3</v>
      </c>
      <c r="I548">
        <v>4</v>
      </c>
      <c r="J548">
        <v>3</v>
      </c>
      <c r="K548">
        <v>3</v>
      </c>
      <c r="L548">
        <v>7</v>
      </c>
      <c r="M548">
        <v>6</v>
      </c>
      <c r="N548">
        <v>0</v>
      </c>
      <c r="O548">
        <v>2</v>
      </c>
      <c r="P548">
        <v>8</v>
      </c>
      <c r="Q548">
        <v>4</v>
      </c>
      <c r="R548">
        <v>1</v>
      </c>
      <c r="S548">
        <v>46</v>
      </c>
      <c r="T548" t="s">
        <v>1102</v>
      </c>
      <c r="U548" t="s">
        <v>83</v>
      </c>
      <c r="V548" t="s">
        <v>1164</v>
      </c>
      <c r="W548" t="s">
        <v>1108</v>
      </c>
    </row>
    <row r="549" spans="1:23" x14ac:dyDescent="0.25">
      <c r="A549" t="s">
        <v>1167</v>
      </c>
      <c r="B549" t="s">
        <v>1167</v>
      </c>
      <c r="C549">
        <v>0</v>
      </c>
      <c r="D549" s="3">
        <v>0</v>
      </c>
      <c r="E549">
        <v>35.75</v>
      </c>
      <c r="G549">
        <v>1</v>
      </c>
      <c r="H549">
        <v>1</v>
      </c>
      <c r="I549">
        <v>0</v>
      </c>
      <c r="J549">
        <v>0</v>
      </c>
      <c r="K549">
        <v>3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6</v>
      </c>
      <c r="T549" t="s">
        <v>1102</v>
      </c>
      <c r="U549" t="s">
        <v>83</v>
      </c>
      <c r="V549" t="s">
        <v>1164</v>
      </c>
      <c r="W549" t="s">
        <v>1129</v>
      </c>
    </row>
    <row r="550" spans="1:23" x14ac:dyDescent="0.25">
      <c r="A550" t="s">
        <v>1168</v>
      </c>
      <c r="B550" t="s">
        <v>1168</v>
      </c>
      <c r="C550">
        <v>0</v>
      </c>
      <c r="D550" s="3">
        <v>0</v>
      </c>
      <c r="E550">
        <v>49</v>
      </c>
      <c r="G550">
        <v>0</v>
      </c>
      <c r="H550">
        <v>1</v>
      </c>
      <c r="I550">
        <v>0</v>
      </c>
      <c r="J550">
        <v>1</v>
      </c>
      <c r="K550">
        <v>1</v>
      </c>
      <c r="L550">
        <v>0</v>
      </c>
      <c r="M550">
        <v>1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5</v>
      </c>
      <c r="T550" t="s">
        <v>1102</v>
      </c>
      <c r="U550" t="s">
        <v>83</v>
      </c>
      <c r="V550" t="s">
        <v>1164</v>
      </c>
      <c r="W550" t="s">
        <v>1131</v>
      </c>
    </row>
    <row r="551" spans="1:23" x14ac:dyDescent="0.25">
      <c r="A551" t="s">
        <v>1169</v>
      </c>
      <c r="B551" t="s">
        <v>1169</v>
      </c>
      <c r="C551">
        <v>0.5</v>
      </c>
      <c r="D551" s="3">
        <v>0.5</v>
      </c>
      <c r="E551">
        <v>90</v>
      </c>
      <c r="G551">
        <v>0</v>
      </c>
      <c r="H551">
        <v>0</v>
      </c>
      <c r="I551">
        <v>3</v>
      </c>
      <c r="J551">
        <v>1</v>
      </c>
      <c r="K551">
        <v>2</v>
      </c>
      <c r="L551">
        <v>3</v>
      </c>
      <c r="M551">
        <v>0</v>
      </c>
      <c r="N551">
        <v>0</v>
      </c>
      <c r="O551">
        <v>0</v>
      </c>
      <c r="P551">
        <v>2</v>
      </c>
      <c r="Q551">
        <v>0</v>
      </c>
      <c r="R551">
        <v>2</v>
      </c>
      <c r="S551">
        <v>13</v>
      </c>
      <c r="T551" t="s">
        <v>1102</v>
      </c>
      <c r="U551" t="s">
        <v>83</v>
      </c>
      <c r="V551" t="s">
        <v>1170</v>
      </c>
      <c r="W551" t="s">
        <v>1104</v>
      </c>
    </row>
    <row r="552" spans="1:23" x14ac:dyDescent="0.25">
      <c r="A552" t="s">
        <v>1171</v>
      </c>
      <c r="B552" t="s">
        <v>1171</v>
      </c>
      <c r="C552">
        <v>0</v>
      </c>
      <c r="D552" s="3">
        <v>0</v>
      </c>
      <c r="E552">
        <v>12</v>
      </c>
      <c r="G552">
        <v>1</v>
      </c>
      <c r="H552">
        <v>2</v>
      </c>
      <c r="I552">
        <v>0</v>
      </c>
      <c r="J552">
        <v>0</v>
      </c>
      <c r="K552">
        <v>0</v>
      </c>
      <c r="L552">
        <v>2</v>
      </c>
      <c r="M552">
        <v>0</v>
      </c>
      <c r="N552">
        <v>-2</v>
      </c>
      <c r="O552">
        <v>2</v>
      </c>
      <c r="P552">
        <v>0</v>
      </c>
      <c r="Q552">
        <v>-1</v>
      </c>
      <c r="R552">
        <v>0</v>
      </c>
      <c r="S552">
        <v>4</v>
      </c>
      <c r="T552" t="s">
        <v>1102</v>
      </c>
      <c r="U552" t="s">
        <v>83</v>
      </c>
      <c r="V552" t="s">
        <v>1170</v>
      </c>
      <c r="W552" t="s">
        <v>1106</v>
      </c>
    </row>
    <row r="553" spans="1:23" x14ac:dyDescent="0.25">
      <c r="A553" t="s">
        <v>1172</v>
      </c>
      <c r="B553" t="s">
        <v>1172</v>
      </c>
      <c r="C553">
        <v>0.5</v>
      </c>
      <c r="D553" s="3">
        <v>0.5</v>
      </c>
      <c r="E553">
        <v>0</v>
      </c>
      <c r="G553">
        <v>0</v>
      </c>
      <c r="H553">
        <v>1</v>
      </c>
      <c r="I553">
        <v>1</v>
      </c>
      <c r="J553">
        <v>1</v>
      </c>
      <c r="K553">
        <v>2</v>
      </c>
      <c r="L553">
        <v>5</v>
      </c>
      <c r="M553">
        <v>0</v>
      </c>
      <c r="N553">
        <v>-1</v>
      </c>
      <c r="O553">
        <v>0</v>
      </c>
      <c r="P553">
        <v>1</v>
      </c>
      <c r="Q553">
        <v>0</v>
      </c>
      <c r="R553">
        <v>0</v>
      </c>
      <c r="S553">
        <v>10</v>
      </c>
      <c r="T553" t="s">
        <v>1102</v>
      </c>
      <c r="U553" t="s">
        <v>83</v>
      </c>
      <c r="V553" t="s">
        <v>1170</v>
      </c>
      <c r="W553" t="s">
        <v>1108</v>
      </c>
    </row>
    <row r="554" spans="1:23" x14ac:dyDescent="0.25">
      <c r="A554" t="s">
        <v>1173</v>
      </c>
      <c r="B554" t="s">
        <v>1173</v>
      </c>
      <c r="C554">
        <v>0</v>
      </c>
      <c r="D554" s="3">
        <v>0</v>
      </c>
      <c r="E554">
        <v>48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2</v>
      </c>
      <c r="T554" t="s">
        <v>1102</v>
      </c>
      <c r="U554" t="s">
        <v>83</v>
      </c>
      <c r="V554" t="s">
        <v>1170</v>
      </c>
      <c r="W554" t="s">
        <v>1129</v>
      </c>
    </row>
    <row r="555" spans="1:23" x14ac:dyDescent="0.25">
      <c r="A555" t="s">
        <v>1174</v>
      </c>
      <c r="B555" t="s">
        <v>1174</v>
      </c>
      <c r="C555">
        <v>0</v>
      </c>
      <c r="D555" s="3">
        <v>0</v>
      </c>
      <c r="E555">
        <v>56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 t="s">
        <v>1102</v>
      </c>
      <c r="U555" t="s">
        <v>83</v>
      </c>
      <c r="V555" t="s">
        <v>1170</v>
      </c>
      <c r="W555" t="s">
        <v>1131</v>
      </c>
    </row>
    <row r="556" spans="1:23" x14ac:dyDescent="0.25">
      <c r="A556" t="s">
        <v>1175</v>
      </c>
      <c r="B556" t="s">
        <v>1175</v>
      </c>
      <c r="C556">
        <v>12</v>
      </c>
      <c r="D556" s="3">
        <v>12</v>
      </c>
      <c r="E556">
        <v>199.75</v>
      </c>
      <c r="G556">
        <v>6</v>
      </c>
      <c r="H556">
        <v>10</v>
      </c>
      <c r="I556">
        <v>10</v>
      </c>
      <c r="J556">
        <v>16</v>
      </c>
      <c r="K556">
        <v>17</v>
      </c>
      <c r="L556">
        <v>24</v>
      </c>
      <c r="M556">
        <v>13</v>
      </c>
      <c r="N556">
        <v>9</v>
      </c>
      <c r="O556">
        <v>11</v>
      </c>
      <c r="P556">
        <v>16</v>
      </c>
      <c r="Q556">
        <v>18</v>
      </c>
      <c r="R556">
        <v>10</v>
      </c>
      <c r="S556">
        <v>160</v>
      </c>
      <c r="T556" t="s">
        <v>1102</v>
      </c>
      <c r="U556" t="s">
        <v>83</v>
      </c>
      <c r="V556" t="s">
        <v>1176</v>
      </c>
      <c r="W556" t="s">
        <v>1104</v>
      </c>
    </row>
    <row r="557" spans="1:23" x14ac:dyDescent="0.25">
      <c r="A557" t="s">
        <v>1177</v>
      </c>
      <c r="B557" t="s">
        <v>1177</v>
      </c>
      <c r="C557">
        <v>27.5</v>
      </c>
      <c r="D557" s="3">
        <v>27.5</v>
      </c>
      <c r="E557">
        <v>107</v>
      </c>
      <c r="G557">
        <v>19</v>
      </c>
      <c r="H557">
        <v>19</v>
      </c>
      <c r="I557">
        <v>44</v>
      </c>
      <c r="J557">
        <v>52</v>
      </c>
      <c r="K557">
        <v>23</v>
      </c>
      <c r="L557">
        <v>28</v>
      </c>
      <c r="M557">
        <v>27</v>
      </c>
      <c r="N557">
        <v>36</v>
      </c>
      <c r="O557">
        <v>27</v>
      </c>
      <c r="P557">
        <v>31</v>
      </c>
      <c r="Q557">
        <v>51</v>
      </c>
      <c r="R557">
        <v>14</v>
      </c>
      <c r="S557">
        <v>371</v>
      </c>
      <c r="T557" t="s">
        <v>1102</v>
      </c>
      <c r="U557" t="s">
        <v>83</v>
      </c>
      <c r="V557" t="s">
        <v>1176</v>
      </c>
      <c r="W557" t="s">
        <v>1106</v>
      </c>
    </row>
    <row r="558" spans="1:23" x14ac:dyDescent="0.25">
      <c r="A558" t="s">
        <v>1178</v>
      </c>
      <c r="B558" t="s">
        <v>1178</v>
      </c>
      <c r="C558">
        <v>29</v>
      </c>
      <c r="D558" s="3">
        <v>29</v>
      </c>
      <c r="E558">
        <v>771</v>
      </c>
      <c r="G558">
        <v>23</v>
      </c>
      <c r="H558">
        <v>27</v>
      </c>
      <c r="I558">
        <v>41</v>
      </c>
      <c r="J558">
        <v>48</v>
      </c>
      <c r="K558">
        <v>27</v>
      </c>
      <c r="L558">
        <v>58</v>
      </c>
      <c r="M558">
        <v>26</v>
      </c>
      <c r="N558">
        <v>28</v>
      </c>
      <c r="O558">
        <v>30</v>
      </c>
      <c r="P558">
        <v>67</v>
      </c>
      <c r="Q558">
        <v>28</v>
      </c>
      <c r="R558">
        <v>35</v>
      </c>
      <c r="S558">
        <v>438</v>
      </c>
      <c r="T558" t="s">
        <v>1102</v>
      </c>
      <c r="U558" t="s">
        <v>83</v>
      </c>
      <c r="V558" t="s">
        <v>1176</v>
      </c>
      <c r="W558" t="s">
        <v>1108</v>
      </c>
    </row>
    <row r="559" spans="1:23" x14ac:dyDescent="0.25">
      <c r="A559" t="s">
        <v>1179</v>
      </c>
      <c r="B559" t="s">
        <v>1179</v>
      </c>
      <c r="C559">
        <v>2</v>
      </c>
      <c r="D559" s="3">
        <v>2</v>
      </c>
      <c r="E559">
        <v>36.5</v>
      </c>
      <c r="G559">
        <v>2</v>
      </c>
      <c r="H559">
        <v>3</v>
      </c>
      <c r="I559">
        <v>7</v>
      </c>
      <c r="J559">
        <v>-5</v>
      </c>
      <c r="K559">
        <v>1</v>
      </c>
      <c r="L559">
        <v>0</v>
      </c>
      <c r="M559">
        <v>0</v>
      </c>
      <c r="N559">
        <v>4</v>
      </c>
      <c r="O559">
        <v>3</v>
      </c>
      <c r="P559">
        <v>2</v>
      </c>
      <c r="Q559">
        <v>9</v>
      </c>
      <c r="R559">
        <v>1</v>
      </c>
      <c r="S559">
        <v>27</v>
      </c>
      <c r="T559" t="s">
        <v>1102</v>
      </c>
      <c r="U559" t="s">
        <v>83</v>
      </c>
      <c r="V559" t="s">
        <v>1176</v>
      </c>
      <c r="W559" t="s">
        <v>1129</v>
      </c>
    </row>
    <row r="560" spans="1:23" x14ac:dyDescent="0.25">
      <c r="A560" t="s">
        <v>1180</v>
      </c>
      <c r="B560" t="s">
        <v>1180</v>
      </c>
      <c r="C560">
        <v>2.5</v>
      </c>
      <c r="D560" s="3">
        <v>2.5</v>
      </c>
      <c r="E560">
        <v>91.75</v>
      </c>
      <c r="G560">
        <v>3</v>
      </c>
      <c r="H560">
        <v>2</v>
      </c>
      <c r="I560">
        <v>4</v>
      </c>
      <c r="J560">
        <v>-2</v>
      </c>
      <c r="K560">
        <v>8</v>
      </c>
      <c r="L560">
        <v>2</v>
      </c>
      <c r="M560">
        <v>1</v>
      </c>
      <c r="N560">
        <v>2</v>
      </c>
      <c r="O560">
        <v>2</v>
      </c>
      <c r="P560">
        <v>5</v>
      </c>
      <c r="Q560">
        <v>8</v>
      </c>
      <c r="R560">
        <v>6</v>
      </c>
      <c r="S560">
        <v>41</v>
      </c>
      <c r="T560" t="s">
        <v>1102</v>
      </c>
      <c r="U560" t="s">
        <v>83</v>
      </c>
      <c r="V560" t="s">
        <v>1176</v>
      </c>
      <c r="W560" t="s">
        <v>1131</v>
      </c>
    </row>
    <row r="561" spans="1:23" x14ac:dyDescent="0.25">
      <c r="A561" t="s">
        <v>1181</v>
      </c>
      <c r="B561" t="s">
        <v>1181</v>
      </c>
      <c r="C561">
        <v>0</v>
      </c>
      <c r="D561" s="3">
        <v>0</v>
      </c>
      <c r="E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t="s">
        <v>1102</v>
      </c>
      <c r="U561" t="s">
        <v>180</v>
      </c>
      <c r="V561" t="s">
        <v>1181</v>
      </c>
      <c r="W561" t="s">
        <v>1104</v>
      </c>
    </row>
    <row r="562" spans="1:23" x14ac:dyDescent="0.25">
      <c r="A562" t="s">
        <v>1182</v>
      </c>
      <c r="B562" t="s">
        <v>1182</v>
      </c>
      <c r="C562">
        <v>0</v>
      </c>
      <c r="D562" s="3">
        <v>0</v>
      </c>
      <c r="E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 t="s">
        <v>1102</v>
      </c>
      <c r="U562" t="s">
        <v>180</v>
      </c>
      <c r="V562" t="s">
        <v>1181</v>
      </c>
      <c r="W562" t="s">
        <v>1183</v>
      </c>
    </row>
    <row r="563" spans="1:23" x14ac:dyDescent="0.25">
      <c r="A563" t="s">
        <v>1184</v>
      </c>
      <c r="B563" t="s">
        <v>1184</v>
      </c>
      <c r="C563">
        <v>2.5</v>
      </c>
      <c r="D563" s="3">
        <v>2.5</v>
      </c>
      <c r="E563">
        <v>30</v>
      </c>
      <c r="G563">
        <v>0</v>
      </c>
      <c r="H563">
        <v>2</v>
      </c>
      <c r="I563">
        <v>3</v>
      </c>
      <c r="J563">
        <v>7</v>
      </c>
      <c r="K563">
        <v>2</v>
      </c>
      <c r="L563">
        <v>4</v>
      </c>
      <c r="M563">
        <v>0</v>
      </c>
      <c r="N563">
        <v>6</v>
      </c>
      <c r="O563">
        <v>2</v>
      </c>
      <c r="P563">
        <v>2</v>
      </c>
      <c r="Q563">
        <v>5</v>
      </c>
      <c r="R563">
        <v>4</v>
      </c>
      <c r="S563">
        <v>37</v>
      </c>
      <c r="T563" t="s">
        <v>1102</v>
      </c>
      <c r="U563" t="s">
        <v>180</v>
      </c>
      <c r="V563" t="s">
        <v>1181</v>
      </c>
      <c r="W563" t="s">
        <v>1185</v>
      </c>
    </row>
    <row r="564" spans="1:23" x14ac:dyDescent="0.25">
      <c r="A564" t="s">
        <v>1186</v>
      </c>
      <c r="B564" t="s">
        <v>1186</v>
      </c>
      <c r="C564">
        <v>0</v>
      </c>
      <c r="D564" s="3">
        <v>0</v>
      </c>
      <c r="E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 t="s">
        <v>1102</v>
      </c>
      <c r="U564" t="s">
        <v>180</v>
      </c>
      <c r="V564" t="s">
        <v>1181</v>
      </c>
      <c r="W564" t="s">
        <v>1187</v>
      </c>
    </row>
    <row r="565" spans="1:23" x14ac:dyDescent="0.25">
      <c r="A565" t="s">
        <v>1188</v>
      </c>
      <c r="B565" t="s">
        <v>1188</v>
      </c>
      <c r="C565">
        <v>0</v>
      </c>
      <c r="D565" s="3">
        <v>0</v>
      </c>
      <c r="E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 t="s">
        <v>1102</v>
      </c>
      <c r="U565" t="s">
        <v>180</v>
      </c>
      <c r="V565" t="s">
        <v>1181</v>
      </c>
      <c r="W565" t="s">
        <v>1189</v>
      </c>
    </row>
    <row r="566" spans="1:23" x14ac:dyDescent="0.25">
      <c r="A566" t="s">
        <v>1190</v>
      </c>
      <c r="B566" t="s">
        <v>1190</v>
      </c>
      <c r="C566">
        <v>0</v>
      </c>
      <c r="D566" s="3">
        <v>0</v>
      </c>
      <c r="E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t="s">
        <v>1102</v>
      </c>
      <c r="U566" t="s">
        <v>180</v>
      </c>
      <c r="V566" t="s">
        <v>1181</v>
      </c>
      <c r="W566" t="s">
        <v>1191</v>
      </c>
    </row>
    <row r="567" spans="1:23" x14ac:dyDescent="0.25">
      <c r="A567" t="s">
        <v>1192</v>
      </c>
      <c r="B567" t="s">
        <v>1192</v>
      </c>
      <c r="C567">
        <v>0</v>
      </c>
      <c r="D567" s="3">
        <v>0</v>
      </c>
      <c r="E567">
        <v>4</v>
      </c>
      <c r="G567">
        <v>2</v>
      </c>
      <c r="H567">
        <v>0</v>
      </c>
      <c r="I567">
        <v>0</v>
      </c>
      <c r="J567">
        <v>0</v>
      </c>
      <c r="K567">
        <v>0</v>
      </c>
      <c r="L567">
        <v>2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4</v>
      </c>
      <c r="T567" t="s">
        <v>1102</v>
      </c>
      <c r="U567" t="s">
        <v>180</v>
      </c>
      <c r="V567" t="s">
        <v>1193</v>
      </c>
      <c r="W567" t="s">
        <v>1185</v>
      </c>
    </row>
    <row r="568" spans="1:23" x14ac:dyDescent="0.25">
      <c r="A568" t="s">
        <v>1194</v>
      </c>
      <c r="B568" t="s">
        <v>1194</v>
      </c>
      <c r="C568">
        <v>0</v>
      </c>
      <c r="D568" s="3">
        <v>0</v>
      </c>
      <c r="E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 t="s">
        <v>1102</v>
      </c>
      <c r="U568" t="s">
        <v>180</v>
      </c>
      <c r="V568" t="s">
        <v>1194</v>
      </c>
      <c r="W568" t="s">
        <v>1195</v>
      </c>
    </row>
    <row r="569" spans="1:23" x14ac:dyDescent="0.25">
      <c r="A569" t="s">
        <v>1196</v>
      </c>
      <c r="B569" t="s">
        <v>1196</v>
      </c>
      <c r="C569">
        <v>0</v>
      </c>
      <c r="D569" s="3">
        <v>0</v>
      </c>
      <c r="E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 t="s">
        <v>1102</v>
      </c>
      <c r="U569" t="s">
        <v>180</v>
      </c>
      <c r="V569" t="s">
        <v>1194</v>
      </c>
      <c r="W569" t="s">
        <v>1183</v>
      </c>
    </row>
    <row r="570" spans="1:23" x14ac:dyDescent="0.25">
      <c r="A570" t="s">
        <v>756</v>
      </c>
      <c r="B570" t="s">
        <v>756</v>
      </c>
      <c r="C570">
        <v>20</v>
      </c>
      <c r="D570" s="3">
        <v>20</v>
      </c>
      <c r="E570">
        <v>72</v>
      </c>
      <c r="G570">
        <v>23</v>
      </c>
      <c r="H570">
        <v>19</v>
      </c>
      <c r="I570">
        <v>14</v>
      </c>
      <c r="J570">
        <v>24</v>
      </c>
      <c r="K570">
        <v>15</v>
      </c>
      <c r="L570">
        <v>24</v>
      </c>
      <c r="M570">
        <v>18</v>
      </c>
      <c r="N570">
        <v>20</v>
      </c>
      <c r="O570">
        <v>20</v>
      </c>
      <c r="P570">
        <v>26</v>
      </c>
      <c r="Q570">
        <v>38</v>
      </c>
      <c r="R570">
        <v>17</v>
      </c>
      <c r="S570">
        <v>258</v>
      </c>
      <c r="T570" t="s">
        <v>1102</v>
      </c>
      <c r="U570" t="s">
        <v>180</v>
      </c>
      <c r="V570" t="s">
        <v>1194</v>
      </c>
      <c r="W570" t="s">
        <v>1185</v>
      </c>
    </row>
    <row r="571" spans="1:23" x14ac:dyDescent="0.25">
      <c r="A571" t="s">
        <v>1197</v>
      </c>
      <c r="B571" t="s">
        <v>1197</v>
      </c>
      <c r="C571">
        <v>0</v>
      </c>
      <c r="D571" s="3">
        <v>0</v>
      </c>
      <c r="E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 t="s">
        <v>1102</v>
      </c>
      <c r="U571" t="s">
        <v>180</v>
      </c>
      <c r="V571" t="s">
        <v>1194</v>
      </c>
      <c r="W571" t="s">
        <v>1187</v>
      </c>
    </row>
    <row r="572" spans="1:23" x14ac:dyDescent="0.25">
      <c r="A572" t="s">
        <v>1198</v>
      </c>
      <c r="B572" t="s">
        <v>1198</v>
      </c>
      <c r="C572">
        <v>0</v>
      </c>
      <c r="D572" s="3">
        <v>0</v>
      </c>
      <c r="E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1102</v>
      </c>
      <c r="U572" t="s">
        <v>180</v>
      </c>
      <c r="V572" t="s">
        <v>1194</v>
      </c>
      <c r="W572" t="s">
        <v>1189</v>
      </c>
    </row>
    <row r="573" spans="1:23" x14ac:dyDescent="0.25">
      <c r="A573" t="s">
        <v>1199</v>
      </c>
      <c r="B573" t="s">
        <v>1199</v>
      </c>
      <c r="C573">
        <v>0</v>
      </c>
      <c r="D573" s="3">
        <v>0</v>
      </c>
      <c r="E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1102</v>
      </c>
      <c r="U573" t="s">
        <v>180</v>
      </c>
      <c r="V573" t="s">
        <v>1194</v>
      </c>
      <c r="W573" t="s">
        <v>1191</v>
      </c>
    </row>
    <row r="574" spans="1:23" x14ac:dyDescent="0.25">
      <c r="A574" t="s">
        <v>1200</v>
      </c>
      <c r="B574" t="s">
        <v>1200</v>
      </c>
      <c r="C574">
        <v>0</v>
      </c>
      <c r="D574" s="3">
        <v>0</v>
      </c>
      <c r="E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 t="s">
        <v>1102</v>
      </c>
      <c r="U574" t="s">
        <v>180</v>
      </c>
      <c r="V574" t="s">
        <v>1200</v>
      </c>
      <c r="W574" t="s">
        <v>1201</v>
      </c>
    </row>
    <row r="575" spans="1:23" x14ac:dyDescent="0.25">
      <c r="A575" t="s">
        <v>1202</v>
      </c>
      <c r="B575" t="s">
        <v>1202</v>
      </c>
      <c r="C575">
        <v>0</v>
      </c>
      <c r="D575" s="3">
        <v>0</v>
      </c>
      <c r="E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1102</v>
      </c>
      <c r="U575" t="s">
        <v>180</v>
      </c>
      <c r="V575" t="s">
        <v>1200</v>
      </c>
      <c r="W575" t="s">
        <v>1183</v>
      </c>
    </row>
    <row r="576" spans="1:23" x14ac:dyDescent="0.25">
      <c r="A576" t="s">
        <v>1203</v>
      </c>
      <c r="B576" t="s">
        <v>1203</v>
      </c>
      <c r="C576">
        <v>0</v>
      </c>
      <c r="D576" s="3">
        <v>0</v>
      </c>
      <c r="E576">
        <v>24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1</v>
      </c>
      <c r="Q576">
        <v>4</v>
      </c>
      <c r="R576">
        <v>0</v>
      </c>
      <c r="S576">
        <v>6</v>
      </c>
      <c r="T576" t="s">
        <v>1102</v>
      </c>
      <c r="U576" t="s">
        <v>180</v>
      </c>
      <c r="V576" t="s">
        <v>1200</v>
      </c>
      <c r="W576" t="s">
        <v>1185</v>
      </c>
    </row>
    <row r="577" spans="1:23" x14ac:dyDescent="0.25">
      <c r="A577" t="s">
        <v>1204</v>
      </c>
      <c r="B577" t="s">
        <v>1204</v>
      </c>
      <c r="C577">
        <v>0</v>
      </c>
      <c r="D577" s="3">
        <v>0</v>
      </c>
      <c r="E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 t="s">
        <v>1102</v>
      </c>
      <c r="U577" t="s">
        <v>180</v>
      </c>
      <c r="V577" t="s">
        <v>1200</v>
      </c>
      <c r="W577" t="s">
        <v>1187</v>
      </c>
    </row>
    <row r="578" spans="1:23" x14ac:dyDescent="0.25">
      <c r="A578" t="s">
        <v>1205</v>
      </c>
      <c r="B578" t="s">
        <v>1205</v>
      </c>
      <c r="C578">
        <v>0</v>
      </c>
      <c r="D578" s="3">
        <v>0</v>
      </c>
      <c r="E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1102</v>
      </c>
      <c r="U578" t="s">
        <v>180</v>
      </c>
      <c r="V578" t="s">
        <v>1200</v>
      </c>
      <c r="W578" t="s">
        <v>1189</v>
      </c>
    </row>
    <row r="579" spans="1:23" x14ac:dyDescent="0.25">
      <c r="A579" t="s">
        <v>1206</v>
      </c>
      <c r="B579" t="s">
        <v>1206</v>
      </c>
      <c r="C579">
        <v>0</v>
      </c>
      <c r="D579" s="3">
        <v>0</v>
      </c>
      <c r="E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t="s">
        <v>1102</v>
      </c>
      <c r="U579" t="s">
        <v>180</v>
      </c>
      <c r="V579" t="s">
        <v>1200</v>
      </c>
      <c r="W579" t="s">
        <v>1191</v>
      </c>
    </row>
    <row r="580" spans="1:23" x14ac:dyDescent="0.25">
      <c r="A580" t="s">
        <v>1207</v>
      </c>
      <c r="B580" t="s">
        <v>1207</v>
      </c>
      <c r="C580">
        <v>0</v>
      </c>
      <c r="D580" s="3">
        <v>0</v>
      </c>
      <c r="E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1102</v>
      </c>
      <c r="U580" t="s">
        <v>180</v>
      </c>
      <c r="V580" t="s">
        <v>1207</v>
      </c>
      <c r="W580" t="s">
        <v>1208</v>
      </c>
    </row>
    <row r="581" spans="1:23" x14ac:dyDescent="0.25">
      <c r="A581" t="s">
        <v>1209</v>
      </c>
      <c r="B581" t="s">
        <v>1209</v>
      </c>
      <c r="C581">
        <v>0</v>
      </c>
      <c r="D581" s="3">
        <v>0</v>
      </c>
      <c r="E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 t="s">
        <v>1102</v>
      </c>
      <c r="U581" t="s">
        <v>180</v>
      </c>
      <c r="V581" t="s">
        <v>1207</v>
      </c>
      <c r="W581" t="s">
        <v>1183</v>
      </c>
    </row>
    <row r="582" spans="1:23" x14ac:dyDescent="0.25">
      <c r="A582" t="s">
        <v>757</v>
      </c>
      <c r="B582" t="s">
        <v>757</v>
      </c>
      <c r="C582">
        <v>12</v>
      </c>
      <c r="D582" s="3">
        <v>12</v>
      </c>
      <c r="E582">
        <v>46</v>
      </c>
      <c r="G582">
        <v>13</v>
      </c>
      <c r="H582">
        <v>8</v>
      </c>
      <c r="I582">
        <v>23</v>
      </c>
      <c r="J582">
        <v>19</v>
      </c>
      <c r="K582">
        <v>13</v>
      </c>
      <c r="L582">
        <v>5</v>
      </c>
      <c r="M582">
        <v>11</v>
      </c>
      <c r="N582">
        <v>7</v>
      </c>
      <c r="O582">
        <v>10</v>
      </c>
      <c r="P582">
        <v>18</v>
      </c>
      <c r="Q582">
        <v>15</v>
      </c>
      <c r="R582">
        <v>8</v>
      </c>
      <c r="S582">
        <v>150</v>
      </c>
      <c r="T582" t="s">
        <v>1102</v>
      </c>
      <c r="U582" t="s">
        <v>180</v>
      </c>
      <c r="V582" t="s">
        <v>1207</v>
      </c>
      <c r="W582" t="s">
        <v>1185</v>
      </c>
    </row>
    <row r="583" spans="1:23" x14ac:dyDescent="0.25">
      <c r="A583" t="s">
        <v>1210</v>
      </c>
      <c r="B583" t="s">
        <v>1210</v>
      </c>
      <c r="C583">
        <v>0</v>
      </c>
      <c r="D583" s="3">
        <v>0</v>
      </c>
      <c r="E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 t="s">
        <v>1102</v>
      </c>
      <c r="U583" t="s">
        <v>180</v>
      </c>
      <c r="V583" t="s">
        <v>1207</v>
      </c>
      <c r="W583" t="s">
        <v>1187</v>
      </c>
    </row>
    <row r="584" spans="1:23" x14ac:dyDescent="0.25">
      <c r="A584" t="s">
        <v>1211</v>
      </c>
      <c r="B584" t="s">
        <v>1211</v>
      </c>
      <c r="C584">
        <v>0</v>
      </c>
      <c r="D584" s="3">
        <v>0</v>
      </c>
      <c r="E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 t="s">
        <v>1102</v>
      </c>
      <c r="U584" t="s">
        <v>180</v>
      </c>
      <c r="V584" t="s">
        <v>1207</v>
      </c>
      <c r="W584" t="s">
        <v>1189</v>
      </c>
    </row>
    <row r="585" spans="1:23" x14ac:dyDescent="0.25">
      <c r="A585" t="s">
        <v>1212</v>
      </c>
      <c r="B585" t="s">
        <v>1212</v>
      </c>
      <c r="C585">
        <v>0</v>
      </c>
      <c r="D585" s="3">
        <v>0</v>
      </c>
      <c r="E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 t="s">
        <v>1102</v>
      </c>
      <c r="U585" t="s">
        <v>180</v>
      </c>
      <c r="V585" t="s">
        <v>1207</v>
      </c>
      <c r="W585" t="s">
        <v>1191</v>
      </c>
    </row>
    <row r="586" spans="1:23" x14ac:dyDescent="0.25">
      <c r="A586" t="s">
        <v>1213</v>
      </c>
      <c r="B586" t="s">
        <v>1213</v>
      </c>
      <c r="C586">
        <v>0</v>
      </c>
      <c r="D586" s="3">
        <v>0</v>
      </c>
      <c r="E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 t="s">
        <v>1102</v>
      </c>
      <c r="U586" t="s">
        <v>180</v>
      </c>
      <c r="V586" t="s">
        <v>1213</v>
      </c>
      <c r="W586" t="s">
        <v>1131</v>
      </c>
    </row>
    <row r="587" spans="1:23" x14ac:dyDescent="0.25">
      <c r="A587" t="s">
        <v>1214</v>
      </c>
      <c r="B587" t="s">
        <v>1214</v>
      </c>
      <c r="C587">
        <v>0</v>
      </c>
      <c r="D587" s="3">
        <v>0</v>
      </c>
      <c r="E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 t="s">
        <v>1102</v>
      </c>
      <c r="U587" t="s">
        <v>180</v>
      </c>
      <c r="V587" t="s">
        <v>1213</v>
      </c>
      <c r="W587" t="s">
        <v>1183</v>
      </c>
    </row>
    <row r="588" spans="1:23" x14ac:dyDescent="0.25">
      <c r="A588" t="s">
        <v>1215</v>
      </c>
      <c r="B588" t="s">
        <v>1215</v>
      </c>
      <c r="C588">
        <v>0</v>
      </c>
      <c r="D588" s="3">
        <v>0</v>
      </c>
      <c r="E588">
        <v>23</v>
      </c>
      <c r="G588">
        <v>1</v>
      </c>
      <c r="H588">
        <v>0</v>
      </c>
      <c r="I588">
        <v>0</v>
      </c>
      <c r="J588">
        <v>0</v>
      </c>
      <c r="K588">
        <v>1</v>
      </c>
      <c r="L588">
        <v>2</v>
      </c>
      <c r="M588">
        <v>3</v>
      </c>
      <c r="N588">
        <v>-2</v>
      </c>
      <c r="O588">
        <v>0</v>
      </c>
      <c r="P588">
        <v>1</v>
      </c>
      <c r="Q588">
        <v>0</v>
      </c>
      <c r="R588">
        <v>0</v>
      </c>
      <c r="S588">
        <v>6</v>
      </c>
      <c r="T588" t="s">
        <v>1102</v>
      </c>
      <c r="U588" t="s">
        <v>180</v>
      </c>
      <c r="V588" t="s">
        <v>1213</v>
      </c>
      <c r="W588" t="s">
        <v>1185</v>
      </c>
    </row>
    <row r="589" spans="1:23" x14ac:dyDescent="0.25">
      <c r="A589" t="s">
        <v>1216</v>
      </c>
      <c r="B589" t="s">
        <v>1216</v>
      </c>
      <c r="C589">
        <v>0</v>
      </c>
      <c r="D589" s="3">
        <v>0</v>
      </c>
      <c r="E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 t="s">
        <v>1102</v>
      </c>
      <c r="U589" t="s">
        <v>180</v>
      </c>
      <c r="V589" t="s">
        <v>1213</v>
      </c>
      <c r="W589" t="s">
        <v>1187</v>
      </c>
    </row>
    <row r="590" spans="1:23" x14ac:dyDescent="0.25">
      <c r="A590" t="s">
        <v>1217</v>
      </c>
      <c r="B590" t="s">
        <v>1217</v>
      </c>
      <c r="C590">
        <v>0</v>
      </c>
      <c r="D590" s="3">
        <v>0</v>
      </c>
      <c r="E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 t="s">
        <v>1102</v>
      </c>
      <c r="U590" t="s">
        <v>180</v>
      </c>
      <c r="V590" t="s">
        <v>1213</v>
      </c>
      <c r="W590" t="s">
        <v>1189</v>
      </c>
    </row>
    <row r="591" spans="1:23" x14ac:dyDescent="0.25">
      <c r="A591" t="s">
        <v>1218</v>
      </c>
      <c r="B591" t="s">
        <v>1218</v>
      </c>
      <c r="C591">
        <v>0</v>
      </c>
      <c r="D591" s="3">
        <v>0</v>
      </c>
      <c r="E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 t="s">
        <v>1102</v>
      </c>
      <c r="U591" t="s">
        <v>180</v>
      </c>
      <c r="V591" t="s">
        <v>1213</v>
      </c>
      <c r="W591" t="s">
        <v>1191</v>
      </c>
    </row>
    <row r="592" spans="1:23" x14ac:dyDescent="0.25">
      <c r="A592" t="s">
        <v>1219</v>
      </c>
      <c r="B592" t="s">
        <v>1219</v>
      </c>
      <c r="C592">
        <v>0</v>
      </c>
      <c r="D592" s="3">
        <v>0</v>
      </c>
      <c r="E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 t="s">
        <v>1102</v>
      </c>
      <c r="U592" t="s">
        <v>180</v>
      </c>
      <c r="V592" t="s">
        <v>1219</v>
      </c>
      <c r="W592" t="s">
        <v>1104</v>
      </c>
    </row>
    <row r="593" spans="1:23" x14ac:dyDescent="0.25">
      <c r="A593" t="s">
        <v>1220</v>
      </c>
      <c r="B593" t="s">
        <v>1220</v>
      </c>
      <c r="C593">
        <v>1</v>
      </c>
      <c r="D593" s="3">
        <v>1</v>
      </c>
      <c r="E593">
        <v>5</v>
      </c>
      <c r="G593">
        <v>0</v>
      </c>
      <c r="H593">
        <v>0</v>
      </c>
      <c r="I593">
        <v>1</v>
      </c>
      <c r="J593">
        <v>8</v>
      </c>
      <c r="K593">
        <v>3</v>
      </c>
      <c r="L593">
        <v>2</v>
      </c>
      <c r="M593">
        <v>1</v>
      </c>
      <c r="N593">
        <v>1</v>
      </c>
      <c r="O593">
        <v>0</v>
      </c>
      <c r="P593">
        <v>1</v>
      </c>
      <c r="Q593">
        <v>0</v>
      </c>
      <c r="R593">
        <v>1</v>
      </c>
      <c r="S593">
        <v>18</v>
      </c>
      <c r="T593" t="s">
        <v>1102</v>
      </c>
      <c r="U593" t="s">
        <v>180</v>
      </c>
      <c r="V593" t="s">
        <v>1219</v>
      </c>
      <c r="W593" t="s">
        <v>1183</v>
      </c>
    </row>
    <row r="594" spans="1:23" x14ac:dyDescent="0.25">
      <c r="A594" t="s">
        <v>1221</v>
      </c>
      <c r="B594" t="s">
        <v>1221</v>
      </c>
      <c r="C594">
        <v>0</v>
      </c>
      <c r="D594" s="3">
        <v>0</v>
      </c>
      <c r="E594">
        <v>16</v>
      </c>
      <c r="G594">
        <v>0</v>
      </c>
      <c r="H594">
        <v>0</v>
      </c>
      <c r="I594">
        <v>2</v>
      </c>
      <c r="J594">
        <v>4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7</v>
      </c>
      <c r="T594" t="s">
        <v>1102</v>
      </c>
      <c r="U594" t="s">
        <v>180</v>
      </c>
      <c r="V594" t="s">
        <v>1219</v>
      </c>
      <c r="W594" t="s">
        <v>1185</v>
      </c>
    </row>
    <row r="595" spans="1:23" x14ac:dyDescent="0.25">
      <c r="A595" t="s">
        <v>1222</v>
      </c>
      <c r="B595" t="s">
        <v>1222</v>
      </c>
      <c r="C595">
        <v>0</v>
      </c>
      <c r="D595" s="3">
        <v>0</v>
      </c>
      <c r="E595">
        <v>0.25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 t="s">
        <v>1102</v>
      </c>
      <c r="U595" t="s">
        <v>180</v>
      </c>
      <c r="V595" t="s">
        <v>1219</v>
      </c>
      <c r="W595" t="s">
        <v>1187</v>
      </c>
    </row>
    <row r="596" spans="1:23" x14ac:dyDescent="0.25">
      <c r="A596" t="s">
        <v>1223</v>
      </c>
      <c r="B596" t="s">
        <v>1223</v>
      </c>
      <c r="C596">
        <v>0</v>
      </c>
      <c r="D596" s="3">
        <v>0</v>
      </c>
      <c r="E596">
        <v>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 t="s">
        <v>1102</v>
      </c>
      <c r="U596" t="s">
        <v>180</v>
      </c>
      <c r="V596" t="s">
        <v>1219</v>
      </c>
      <c r="W596" t="s">
        <v>1189</v>
      </c>
    </row>
    <row r="597" spans="1:23" x14ac:dyDescent="0.25">
      <c r="A597" t="s">
        <v>1224</v>
      </c>
      <c r="B597" t="s">
        <v>1224</v>
      </c>
      <c r="C597">
        <v>0</v>
      </c>
      <c r="D597" s="3">
        <v>0</v>
      </c>
      <c r="E597">
        <v>2.25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 t="s">
        <v>1102</v>
      </c>
      <c r="U597" t="s">
        <v>180</v>
      </c>
      <c r="V597" t="s">
        <v>1219</v>
      </c>
      <c r="W597" t="s">
        <v>1191</v>
      </c>
    </row>
    <row r="598" spans="1:23" x14ac:dyDescent="0.25">
      <c r="A598" t="s">
        <v>1225</v>
      </c>
      <c r="B598" t="s">
        <v>1225</v>
      </c>
      <c r="C598">
        <v>0</v>
      </c>
      <c r="D598" s="3">
        <v>0</v>
      </c>
      <c r="E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 t="s">
        <v>1102</v>
      </c>
      <c r="U598" t="s">
        <v>180</v>
      </c>
      <c r="V598" t="s">
        <v>1225</v>
      </c>
      <c r="W598" t="s">
        <v>1226</v>
      </c>
    </row>
    <row r="599" spans="1:23" x14ac:dyDescent="0.25">
      <c r="A599" t="s">
        <v>1227</v>
      </c>
      <c r="B599" t="s">
        <v>1227</v>
      </c>
      <c r="C599">
        <v>0</v>
      </c>
      <c r="D599" s="3">
        <v>0</v>
      </c>
      <c r="E599">
        <v>11</v>
      </c>
      <c r="G599">
        <v>0</v>
      </c>
      <c r="H599">
        <v>0</v>
      </c>
      <c r="I599">
        <v>1</v>
      </c>
      <c r="J599">
        <v>2</v>
      </c>
      <c r="K599">
        <v>0</v>
      </c>
      <c r="L599">
        <v>0</v>
      </c>
      <c r="M599">
        <v>0</v>
      </c>
      <c r="N599">
        <v>-2</v>
      </c>
      <c r="O599">
        <v>0</v>
      </c>
      <c r="P599">
        <v>0</v>
      </c>
      <c r="Q599">
        <v>0</v>
      </c>
      <c r="R599">
        <v>0</v>
      </c>
      <c r="S599">
        <v>1</v>
      </c>
      <c r="T599" t="s">
        <v>1102</v>
      </c>
      <c r="U599" t="s">
        <v>180</v>
      </c>
      <c r="V599" t="s">
        <v>1225</v>
      </c>
      <c r="W599" t="s">
        <v>1185</v>
      </c>
    </row>
    <row r="600" spans="1:23" x14ac:dyDescent="0.25">
      <c r="A600" t="s">
        <v>1228</v>
      </c>
      <c r="B600" t="s">
        <v>1228</v>
      </c>
      <c r="C600">
        <v>0</v>
      </c>
      <c r="D600" s="3">
        <v>0</v>
      </c>
      <c r="E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1102</v>
      </c>
      <c r="U600" t="s">
        <v>180</v>
      </c>
      <c r="V600" t="s">
        <v>1228</v>
      </c>
      <c r="W600" t="s">
        <v>1195</v>
      </c>
    </row>
    <row r="601" spans="1:23" x14ac:dyDescent="0.25">
      <c r="A601" t="s">
        <v>1229</v>
      </c>
      <c r="B601" t="s">
        <v>1229</v>
      </c>
      <c r="C601">
        <v>0.5</v>
      </c>
      <c r="D601" s="3">
        <v>0.5</v>
      </c>
      <c r="E601">
        <v>6.25</v>
      </c>
      <c r="G601">
        <v>0</v>
      </c>
      <c r="H601">
        <v>0</v>
      </c>
      <c r="I601">
        <v>0</v>
      </c>
      <c r="J601">
        <v>8</v>
      </c>
      <c r="K601">
        <v>4</v>
      </c>
      <c r="L601">
        <v>0</v>
      </c>
      <c r="M601">
        <v>1</v>
      </c>
      <c r="N601">
        <v>6</v>
      </c>
      <c r="O601">
        <v>1</v>
      </c>
      <c r="P601">
        <v>0</v>
      </c>
      <c r="Q601">
        <v>4</v>
      </c>
      <c r="R601">
        <v>0</v>
      </c>
      <c r="S601">
        <v>24</v>
      </c>
      <c r="T601" t="s">
        <v>1102</v>
      </c>
      <c r="U601" t="s">
        <v>180</v>
      </c>
      <c r="V601" t="s">
        <v>1228</v>
      </c>
      <c r="W601" t="s">
        <v>1183</v>
      </c>
    </row>
    <row r="602" spans="1:23" x14ac:dyDescent="0.25">
      <c r="A602" t="s">
        <v>1230</v>
      </c>
      <c r="B602" t="s">
        <v>1230</v>
      </c>
      <c r="C602">
        <v>2</v>
      </c>
      <c r="D602" s="3">
        <v>2</v>
      </c>
      <c r="E602">
        <v>28</v>
      </c>
      <c r="G602">
        <v>0</v>
      </c>
      <c r="H602">
        <v>0</v>
      </c>
      <c r="I602">
        <v>3</v>
      </c>
      <c r="J602">
        <v>2</v>
      </c>
      <c r="K602">
        <v>5</v>
      </c>
      <c r="L602">
        <v>2</v>
      </c>
      <c r="M602">
        <v>5</v>
      </c>
      <c r="N602">
        <v>2</v>
      </c>
      <c r="O602">
        <v>1</v>
      </c>
      <c r="P602">
        <v>1</v>
      </c>
      <c r="Q602">
        <v>4</v>
      </c>
      <c r="R602">
        <v>0</v>
      </c>
      <c r="S602">
        <v>25</v>
      </c>
      <c r="T602" t="s">
        <v>1102</v>
      </c>
      <c r="U602" t="s">
        <v>180</v>
      </c>
      <c r="V602" t="s">
        <v>1228</v>
      </c>
      <c r="W602" t="s">
        <v>1185</v>
      </c>
    </row>
    <row r="603" spans="1:23" x14ac:dyDescent="0.25">
      <c r="A603" t="s">
        <v>1231</v>
      </c>
      <c r="B603" t="s">
        <v>1231</v>
      </c>
      <c r="C603">
        <v>0</v>
      </c>
      <c r="D603" s="3">
        <v>0</v>
      </c>
      <c r="E603">
        <v>0.75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t="s">
        <v>1102</v>
      </c>
      <c r="U603" t="s">
        <v>180</v>
      </c>
      <c r="V603" t="s">
        <v>1228</v>
      </c>
      <c r="W603" t="s">
        <v>1187</v>
      </c>
    </row>
    <row r="604" spans="1:23" x14ac:dyDescent="0.25">
      <c r="A604" t="s">
        <v>1232</v>
      </c>
      <c r="B604" t="s">
        <v>1232</v>
      </c>
      <c r="C604">
        <v>0</v>
      </c>
      <c r="D604" s="3">
        <v>0</v>
      </c>
      <c r="E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 t="s">
        <v>1102</v>
      </c>
      <c r="U604" t="s">
        <v>180</v>
      </c>
      <c r="V604" t="s">
        <v>1228</v>
      </c>
      <c r="W604" t="s">
        <v>1189</v>
      </c>
    </row>
    <row r="605" spans="1:23" x14ac:dyDescent="0.25">
      <c r="A605" t="s">
        <v>1233</v>
      </c>
      <c r="B605" t="s">
        <v>1233</v>
      </c>
      <c r="C605">
        <v>0</v>
      </c>
      <c r="D605" s="3">
        <v>0</v>
      </c>
      <c r="E605">
        <v>0.5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 t="s">
        <v>1102</v>
      </c>
      <c r="U605" t="s">
        <v>180</v>
      </c>
      <c r="V605" t="s">
        <v>1228</v>
      </c>
      <c r="W605" t="s">
        <v>1191</v>
      </c>
    </row>
    <row r="606" spans="1:23" x14ac:dyDescent="0.25">
      <c r="A606" t="s">
        <v>1234</v>
      </c>
      <c r="B606" t="s">
        <v>1234</v>
      </c>
      <c r="C606">
        <v>0</v>
      </c>
      <c r="D606" s="3">
        <v>0</v>
      </c>
      <c r="E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 t="s">
        <v>1102</v>
      </c>
      <c r="U606" t="s">
        <v>180</v>
      </c>
      <c r="V606" t="s">
        <v>1234</v>
      </c>
      <c r="W606" t="s">
        <v>1201</v>
      </c>
    </row>
    <row r="607" spans="1:23" x14ac:dyDescent="0.25">
      <c r="A607" t="s">
        <v>1235</v>
      </c>
      <c r="B607" t="s">
        <v>1235</v>
      </c>
      <c r="C607">
        <v>0</v>
      </c>
      <c r="D607" s="3">
        <v>0</v>
      </c>
      <c r="E607">
        <v>11.25</v>
      </c>
      <c r="G607">
        <v>0</v>
      </c>
      <c r="H607">
        <v>0</v>
      </c>
      <c r="I607">
        <v>1</v>
      </c>
      <c r="J607">
        <v>5</v>
      </c>
      <c r="K607">
        <v>0</v>
      </c>
      <c r="L607">
        <v>0</v>
      </c>
      <c r="M607">
        <v>0</v>
      </c>
      <c r="N607">
        <v>-2</v>
      </c>
      <c r="O607">
        <v>0</v>
      </c>
      <c r="P607">
        <v>0</v>
      </c>
      <c r="Q607">
        <v>-1</v>
      </c>
      <c r="R607">
        <v>0</v>
      </c>
      <c r="S607">
        <v>3</v>
      </c>
      <c r="T607" t="s">
        <v>1102</v>
      </c>
      <c r="U607" t="s">
        <v>180</v>
      </c>
      <c r="V607" t="s">
        <v>1234</v>
      </c>
      <c r="W607" t="s">
        <v>1185</v>
      </c>
    </row>
    <row r="608" spans="1:23" x14ac:dyDescent="0.25">
      <c r="A608" t="s">
        <v>1236</v>
      </c>
      <c r="B608" t="s">
        <v>1236</v>
      </c>
      <c r="C608">
        <v>0</v>
      </c>
      <c r="D608" s="3">
        <v>0</v>
      </c>
      <c r="E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 t="s">
        <v>1102</v>
      </c>
      <c r="U608" t="s">
        <v>180</v>
      </c>
      <c r="V608" t="s">
        <v>1236</v>
      </c>
      <c r="W608" t="s">
        <v>1208</v>
      </c>
    </row>
    <row r="609" spans="1:23" x14ac:dyDescent="0.25">
      <c r="A609" t="s">
        <v>1237</v>
      </c>
      <c r="B609" t="s">
        <v>1237</v>
      </c>
      <c r="C609">
        <v>2</v>
      </c>
      <c r="D609" s="3">
        <v>2</v>
      </c>
      <c r="E609">
        <v>19.25</v>
      </c>
      <c r="G609">
        <v>0</v>
      </c>
      <c r="H609">
        <v>0</v>
      </c>
      <c r="I609">
        <v>0</v>
      </c>
      <c r="J609">
        <v>7</v>
      </c>
      <c r="K609">
        <v>5</v>
      </c>
      <c r="L609">
        <v>2</v>
      </c>
      <c r="M609">
        <v>3</v>
      </c>
      <c r="N609">
        <v>2</v>
      </c>
      <c r="O609">
        <v>4</v>
      </c>
      <c r="P609">
        <v>3</v>
      </c>
      <c r="Q609">
        <v>0</v>
      </c>
      <c r="R609">
        <v>1</v>
      </c>
      <c r="S609">
        <v>27</v>
      </c>
      <c r="T609" t="s">
        <v>1102</v>
      </c>
      <c r="U609" t="s">
        <v>180</v>
      </c>
      <c r="V609" t="s">
        <v>1236</v>
      </c>
      <c r="W609" t="s">
        <v>1183</v>
      </c>
    </row>
    <row r="610" spans="1:23" x14ac:dyDescent="0.25">
      <c r="A610" t="s">
        <v>1238</v>
      </c>
      <c r="B610" t="s">
        <v>1238</v>
      </c>
      <c r="C610">
        <v>2.5</v>
      </c>
      <c r="D610" s="3">
        <v>2.5</v>
      </c>
      <c r="E610">
        <v>14</v>
      </c>
      <c r="G610">
        <v>0</v>
      </c>
      <c r="H610">
        <v>0</v>
      </c>
      <c r="I610">
        <v>4</v>
      </c>
      <c r="J610">
        <v>5</v>
      </c>
      <c r="K610">
        <v>3</v>
      </c>
      <c r="L610">
        <v>1</v>
      </c>
      <c r="M610">
        <v>1</v>
      </c>
      <c r="N610">
        <v>2</v>
      </c>
      <c r="O610">
        <v>3</v>
      </c>
      <c r="P610">
        <v>3</v>
      </c>
      <c r="Q610">
        <v>3</v>
      </c>
      <c r="R610">
        <v>0</v>
      </c>
      <c r="S610">
        <v>25</v>
      </c>
      <c r="T610" t="s">
        <v>1102</v>
      </c>
      <c r="U610" t="s">
        <v>180</v>
      </c>
      <c r="V610" t="s">
        <v>1236</v>
      </c>
      <c r="W610" t="s">
        <v>1185</v>
      </c>
    </row>
    <row r="611" spans="1:23" x14ac:dyDescent="0.25">
      <c r="A611" t="s">
        <v>1239</v>
      </c>
      <c r="B611" t="s">
        <v>1239</v>
      </c>
      <c r="C611">
        <v>0.5</v>
      </c>
      <c r="D611" s="3">
        <v>0.5</v>
      </c>
      <c r="E611">
        <v>0.75</v>
      </c>
      <c r="G611">
        <v>0</v>
      </c>
      <c r="H611">
        <v>0</v>
      </c>
      <c r="I611">
        <v>0</v>
      </c>
      <c r="J611">
        <v>6</v>
      </c>
      <c r="K611">
        <v>1</v>
      </c>
      <c r="L611">
        <v>1</v>
      </c>
      <c r="M611">
        <v>1</v>
      </c>
      <c r="N611">
        <v>0</v>
      </c>
      <c r="O611">
        <v>1</v>
      </c>
      <c r="P611">
        <v>2</v>
      </c>
      <c r="Q611">
        <v>0</v>
      </c>
      <c r="R611">
        <v>0</v>
      </c>
      <c r="S611">
        <v>12</v>
      </c>
      <c r="T611" t="s">
        <v>1102</v>
      </c>
      <c r="U611" t="s">
        <v>180</v>
      </c>
      <c r="V611" t="s">
        <v>1236</v>
      </c>
      <c r="W611" t="s">
        <v>1187</v>
      </c>
    </row>
    <row r="612" spans="1:23" x14ac:dyDescent="0.25">
      <c r="A612" t="s">
        <v>1240</v>
      </c>
      <c r="B612" t="s">
        <v>1240</v>
      </c>
      <c r="C612">
        <v>0</v>
      </c>
      <c r="D612" s="3">
        <v>0</v>
      </c>
      <c r="E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 t="s">
        <v>1102</v>
      </c>
      <c r="U612" t="s">
        <v>180</v>
      </c>
      <c r="V612" t="s">
        <v>1236</v>
      </c>
      <c r="W612" t="s">
        <v>1189</v>
      </c>
    </row>
    <row r="613" spans="1:23" x14ac:dyDescent="0.25">
      <c r="A613" t="s">
        <v>1241</v>
      </c>
      <c r="B613" t="s">
        <v>1241</v>
      </c>
      <c r="C613">
        <v>0</v>
      </c>
      <c r="D613" s="3">
        <v>0</v>
      </c>
      <c r="E613">
        <v>0.5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 t="s">
        <v>1102</v>
      </c>
      <c r="U613" t="s">
        <v>180</v>
      </c>
      <c r="V613" t="s">
        <v>1236</v>
      </c>
      <c r="W613" t="s">
        <v>1191</v>
      </c>
    </row>
    <row r="614" spans="1:23" x14ac:dyDescent="0.25">
      <c r="A614" t="s">
        <v>1242</v>
      </c>
      <c r="B614" t="s">
        <v>1242</v>
      </c>
      <c r="C614">
        <v>0</v>
      </c>
      <c r="D614" s="3">
        <v>0</v>
      </c>
      <c r="E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 t="s">
        <v>1102</v>
      </c>
      <c r="U614" t="s">
        <v>180</v>
      </c>
      <c r="V614" t="s">
        <v>1242</v>
      </c>
      <c r="W614" t="s">
        <v>1131</v>
      </c>
    </row>
    <row r="615" spans="1:23" x14ac:dyDescent="0.25">
      <c r="A615" t="s">
        <v>1243</v>
      </c>
      <c r="B615" t="s">
        <v>1243</v>
      </c>
      <c r="C615">
        <v>0</v>
      </c>
      <c r="D615" s="3">
        <v>0</v>
      </c>
      <c r="E615">
        <v>3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 t="s">
        <v>1102</v>
      </c>
      <c r="U615" t="s">
        <v>180</v>
      </c>
      <c r="V615" t="s">
        <v>1242</v>
      </c>
      <c r="W615" t="s">
        <v>1183</v>
      </c>
    </row>
    <row r="616" spans="1:23" x14ac:dyDescent="0.25">
      <c r="A616" t="s">
        <v>1244</v>
      </c>
      <c r="B616" t="s">
        <v>1244</v>
      </c>
      <c r="C616">
        <v>0</v>
      </c>
      <c r="D616" s="3">
        <v>0</v>
      </c>
      <c r="E616">
        <v>11.5</v>
      </c>
      <c r="G616">
        <v>0</v>
      </c>
      <c r="H616">
        <v>0</v>
      </c>
      <c r="I616">
        <v>3</v>
      </c>
      <c r="J616">
        <v>4</v>
      </c>
      <c r="K616">
        <v>0</v>
      </c>
      <c r="L616">
        <v>3</v>
      </c>
      <c r="M616">
        <v>0</v>
      </c>
      <c r="N616">
        <v>-1</v>
      </c>
      <c r="O616">
        <v>0</v>
      </c>
      <c r="P616">
        <v>1</v>
      </c>
      <c r="Q616">
        <v>0</v>
      </c>
      <c r="R616">
        <v>0</v>
      </c>
      <c r="S616">
        <v>10</v>
      </c>
      <c r="T616" t="s">
        <v>1102</v>
      </c>
      <c r="U616" t="s">
        <v>180</v>
      </c>
      <c r="V616" t="s">
        <v>1242</v>
      </c>
      <c r="W616" t="s">
        <v>1185</v>
      </c>
    </row>
    <row r="617" spans="1:23" x14ac:dyDescent="0.25">
      <c r="A617" t="s">
        <v>1245</v>
      </c>
      <c r="B617" t="s">
        <v>1245</v>
      </c>
      <c r="C617">
        <v>0</v>
      </c>
      <c r="D617" s="3">
        <v>0</v>
      </c>
      <c r="E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 t="s">
        <v>1102</v>
      </c>
      <c r="U617" t="s">
        <v>180</v>
      </c>
      <c r="V617" t="s">
        <v>1245</v>
      </c>
      <c r="W617" t="s">
        <v>1104</v>
      </c>
    </row>
    <row r="618" spans="1:23" x14ac:dyDescent="0.25">
      <c r="A618" t="s">
        <v>1246</v>
      </c>
      <c r="B618" t="s">
        <v>1246</v>
      </c>
      <c r="C618">
        <v>0</v>
      </c>
      <c r="D618" s="3">
        <v>0</v>
      </c>
      <c r="E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 t="s">
        <v>1102</v>
      </c>
      <c r="U618" t="s">
        <v>180</v>
      </c>
      <c r="V618" t="s">
        <v>1245</v>
      </c>
      <c r="W618" t="s">
        <v>1183</v>
      </c>
    </row>
    <row r="619" spans="1:23" x14ac:dyDescent="0.25">
      <c r="A619" t="s">
        <v>1247</v>
      </c>
      <c r="B619" t="s">
        <v>1247</v>
      </c>
      <c r="C619">
        <v>3</v>
      </c>
      <c r="D619" s="3">
        <v>3</v>
      </c>
      <c r="E619">
        <v>30</v>
      </c>
      <c r="G619">
        <v>5</v>
      </c>
      <c r="H619">
        <v>8</v>
      </c>
      <c r="I619">
        <v>7</v>
      </c>
      <c r="J619">
        <v>8</v>
      </c>
      <c r="K619">
        <v>6</v>
      </c>
      <c r="L619">
        <v>3</v>
      </c>
      <c r="M619">
        <v>1</v>
      </c>
      <c r="N619">
        <v>2</v>
      </c>
      <c r="O619">
        <v>3</v>
      </c>
      <c r="P619">
        <v>1</v>
      </c>
      <c r="Q619">
        <v>3</v>
      </c>
      <c r="R619">
        <v>1</v>
      </c>
      <c r="S619">
        <v>48</v>
      </c>
      <c r="T619" t="s">
        <v>1102</v>
      </c>
      <c r="U619" t="s">
        <v>180</v>
      </c>
      <c r="V619" t="s">
        <v>1245</v>
      </c>
      <c r="W619" t="s">
        <v>1185</v>
      </c>
    </row>
    <row r="620" spans="1:23" x14ac:dyDescent="0.25">
      <c r="A620" t="s">
        <v>1248</v>
      </c>
      <c r="B620" t="s">
        <v>1248</v>
      </c>
      <c r="C620">
        <v>0</v>
      </c>
      <c r="D620" s="3">
        <v>0</v>
      </c>
      <c r="E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 t="s">
        <v>1102</v>
      </c>
      <c r="U620" t="s">
        <v>180</v>
      </c>
      <c r="V620" t="s">
        <v>1245</v>
      </c>
      <c r="W620" t="s">
        <v>1187</v>
      </c>
    </row>
    <row r="621" spans="1:23" x14ac:dyDescent="0.25">
      <c r="A621" t="s">
        <v>1249</v>
      </c>
      <c r="B621" t="s">
        <v>1249</v>
      </c>
      <c r="C621">
        <v>0</v>
      </c>
      <c r="D621" s="3">
        <v>0</v>
      </c>
      <c r="E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 t="s">
        <v>1102</v>
      </c>
      <c r="U621" t="s">
        <v>180</v>
      </c>
      <c r="V621" t="s">
        <v>1245</v>
      </c>
      <c r="W621" t="s">
        <v>1189</v>
      </c>
    </row>
    <row r="622" spans="1:23" x14ac:dyDescent="0.25">
      <c r="A622" t="s">
        <v>758</v>
      </c>
      <c r="B622" t="s">
        <v>758</v>
      </c>
      <c r="C622">
        <v>0</v>
      </c>
      <c r="D622" s="3">
        <v>0</v>
      </c>
      <c r="E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 t="s">
        <v>1102</v>
      </c>
      <c r="U622" t="s">
        <v>180</v>
      </c>
      <c r="V622" t="s">
        <v>1245</v>
      </c>
      <c r="W622" t="s">
        <v>1191</v>
      </c>
    </row>
    <row r="623" spans="1:23" x14ac:dyDescent="0.25">
      <c r="A623" t="s">
        <v>1250</v>
      </c>
      <c r="B623" t="s">
        <v>1250</v>
      </c>
      <c r="C623">
        <v>2</v>
      </c>
      <c r="D623" s="3">
        <v>2</v>
      </c>
      <c r="E623">
        <v>18.75</v>
      </c>
      <c r="G623">
        <v>6</v>
      </c>
      <c r="H623">
        <v>4</v>
      </c>
      <c r="I623">
        <v>2</v>
      </c>
      <c r="J623">
        <v>5</v>
      </c>
      <c r="K623">
        <v>5</v>
      </c>
      <c r="L623">
        <v>1</v>
      </c>
      <c r="M623">
        <v>0</v>
      </c>
      <c r="N623">
        <v>0</v>
      </c>
      <c r="O623">
        <v>0</v>
      </c>
      <c r="P623">
        <v>2</v>
      </c>
      <c r="Q623">
        <v>1</v>
      </c>
      <c r="R623">
        <v>4</v>
      </c>
      <c r="S623">
        <v>30</v>
      </c>
      <c r="T623" t="s">
        <v>1102</v>
      </c>
      <c r="U623" t="s">
        <v>180</v>
      </c>
      <c r="V623" t="s">
        <v>1251</v>
      </c>
      <c r="W623" t="s">
        <v>1183</v>
      </c>
    </row>
    <row r="624" spans="1:23" x14ac:dyDescent="0.25">
      <c r="A624" t="s">
        <v>1252</v>
      </c>
      <c r="B624" t="s">
        <v>1252</v>
      </c>
      <c r="C624">
        <v>2</v>
      </c>
      <c r="D624" s="3">
        <v>2</v>
      </c>
      <c r="E624">
        <v>6</v>
      </c>
      <c r="G624">
        <v>2</v>
      </c>
      <c r="H624">
        <v>2</v>
      </c>
      <c r="I624">
        <v>2</v>
      </c>
      <c r="J624">
        <v>4</v>
      </c>
      <c r="K624">
        <v>2</v>
      </c>
      <c r="L624">
        <v>0</v>
      </c>
      <c r="M624">
        <v>2</v>
      </c>
      <c r="N624">
        <v>0</v>
      </c>
      <c r="O624">
        <v>0</v>
      </c>
      <c r="P624">
        <v>3</v>
      </c>
      <c r="Q624">
        <v>5</v>
      </c>
      <c r="R624">
        <v>2</v>
      </c>
      <c r="S624">
        <v>24</v>
      </c>
      <c r="T624" t="s">
        <v>1102</v>
      </c>
      <c r="U624" t="s">
        <v>180</v>
      </c>
      <c r="V624" t="s">
        <v>1251</v>
      </c>
      <c r="W624" t="s">
        <v>1185</v>
      </c>
    </row>
    <row r="625" spans="1:23" x14ac:dyDescent="0.25">
      <c r="A625" t="s">
        <v>1253</v>
      </c>
      <c r="B625" t="s">
        <v>1253</v>
      </c>
      <c r="C625">
        <v>0</v>
      </c>
      <c r="D625" s="3">
        <v>0</v>
      </c>
      <c r="E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 t="s">
        <v>1102</v>
      </c>
      <c r="U625" t="s">
        <v>180</v>
      </c>
      <c r="V625" t="s">
        <v>1251</v>
      </c>
      <c r="W625" t="s">
        <v>1187</v>
      </c>
    </row>
    <row r="626" spans="1:23" x14ac:dyDescent="0.25">
      <c r="A626" t="s">
        <v>1254</v>
      </c>
      <c r="B626" t="s">
        <v>1254</v>
      </c>
      <c r="C626">
        <v>0</v>
      </c>
      <c r="D626" s="3">
        <v>0</v>
      </c>
      <c r="E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-1</v>
      </c>
      <c r="R626">
        <v>0</v>
      </c>
      <c r="S626">
        <v>-1</v>
      </c>
      <c r="T626" t="s">
        <v>1102</v>
      </c>
      <c r="U626" t="s">
        <v>180</v>
      </c>
      <c r="V626" t="s">
        <v>1251</v>
      </c>
      <c r="W626" t="s">
        <v>1189</v>
      </c>
    </row>
    <row r="627" spans="1:23" x14ac:dyDescent="0.25">
      <c r="A627" t="s">
        <v>1255</v>
      </c>
      <c r="B627" t="s">
        <v>1255</v>
      </c>
      <c r="C627">
        <v>0</v>
      </c>
      <c r="D627" s="3">
        <v>0</v>
      </c>
      <c r="E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 t="s">
        <v>1102</v>
      </c>
      <c r="U627" t="s">
        <v>180</v>
      </c>
      <c r="V627" t="s">
        <v>1251</v>
      </c>
      <c r="W627" t="s">
        <v>1191</v>
      </c>
    </row>
    <row r="628" spans="1:23" x14ac:dyDescent="0.25">
      <c r="A628" t="s">
        <v>1256</v>
      </c>
      <c r="B628" t="s">
        <v>1256</v>
      </c>
      <c r="C628">
        <v>0</v>
      </c>
      <c r="D628" s="3">
        <v>0</v>
      </c>
      <c r="E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 t="s">
        <v>1102</v>
      </c>
      <c r="U628" t="s">
        <v>180</v>
      </c>
      <c r="V628" t="s">
        <v>1256</v>
      </c>
      <c r="W628" t="s">
        <v>1195</v>
      </c>
    </row>
    <row r="629" spans="1:23" x14ac:dyDescent="0.25">
      <c r="A629" t="s">
        <v>1257</v>
      </c>
      <c r="B629" t="s">
        <v>1257</v>
      </c>
      <c r="C629">
        <v>0</v>
      </c>
      <c r="D629" s="3">
        <v>0</v>
      </c>
      <c r="E629">
        <v>0</v>
      </c>
      <c r="G629">
        <v>2</v>
      </c>
      <c r="H629">
        <v>7</v>
      </c>
      <c r="I629">
        <v>0</v>
      </c>
      <c r="J629">
        <v>6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15</v>
      </c>
      <c r="T629" t="s">
        <v>1102</v>
      </c>
      <c r="U629" t="s">
        <v>180</v>
      </c>
      <c r="V629" t="s">
        <v>1256</v>
      </c>
      <c r="W629" t="s">
        <v>1183</v>
      </c>
    </row>
    <row r="630" spans="1:23" x14ac:dyDescent="0.25">
      <c r="A630" t="s">
        <v>760</v>
      </c>
      <c r="B630" t="s">
        <v>760</v>
      </c>
      <c r="C630">
        <v>4</v>
      </c>
      <c r="D630" s="3">
        <v>4</v>
      </c>
      <c r="E630">
        <v>49</v>
      </c>
      <c r="G630">
        <v>3</v>
      </c>
      <c r="H630">
        <v>5</v>
      </c>
      <c r="I630">
        <v>6</v>
      </c>
      <c r="J630">
        <v>6</v>
      </c>
      <c r="K630">
        <v>9</v>
      </c>
      <c r="L630">
        <v>2</v>
      </c>
      <c r="M630">
        <v>8</v>
      </c>
      <c r="N630">
        <v>7</v>
      </c>
      <c r="O630">
        <v>0</v>
      </c>
      <c r="P630">
        <v>1</v>
      </c>
      <c r="Q630">
        <v>2</v>
      </c>
      <c r="R630">
        <v>3</v>
      </c>
      <c r="S630">
        <v>52</v>
      </c>
      <c r="T630" t="s">
        <v>1102</v>
      </c>
      <c r="U630" t="s">
        <v>180</v>
      </c>
      <c r="V630" t="s">
        <v>1256</v>
      </c>
      <c r="W630" t="s">
        <v>1185</v>
      </c>
    </row>
    <row r="631" spans="1:23" x14ac:dyDescent="0.25">
      <c r="A631" t="s">
        <v>1258</v>
      </c>
      <c r="B631" t="s">
        <v>1258</v>
      </c>
      <c r="C631">
        <v>0</v>
      </c>
      <c r="D631" s="3">
        <v>0</v>
      </c>
      <c r="E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 t="s">
        <v>1102</v>
      </c>
      <c r="U631" t="s">
        <v>180</v>
      </c>
      <c r="V631" t="s">
        <v>1256</v>
      </c>
      <c r="W631" t="s">
        <v>1187</v>
      </c>
    </row>
    <row r="632" spans="1:23" x14ac:dyDescent="0.25">
      <c r="A632" t="s">
        <v>1259</v>
      </c>
      <c r="B632" t="s">
        <v>1259</v>
      </c>
      <c r="C632">
        <v>0</v>
      </c>
      <c r="D632" s="3">
        <v>0</v>
      </c>
      <c r="E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 t="s">
        <v>1102</v>
      </c>
      <c r="U632" t="s">
        <v>180</v>
      </c>
      <c r="V632" t="s">
        <v>1256</v>
      </c>
      <c r="W632" t="s">
        <v>1189</v>
      </c>
    </row>
    <row r="633" spans="1:23" x14ac:dyDescent="0.25">
      <c r="A633" t="s">
        <v>1260</v>
      </c>
      <c r="B633" t="s">
        <v>1260</v>
      </c>
      <c r="C633">
        <v>0</v>
      </c>
      <c r="D633" s="3">
        <v>0</v>
      </c>
      <c r="E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 t="s">
        <v>1102</v>
      </c>
      <c r="U633" t="s">
        <v>180</v>
      </c>
      <c r="V633" t="s">
        <v>1256</v>
      </c>
      <c r="W633" t="s">
        <v>1191</v>
      </c>
    </row>
    <row r="634" spans="1:23" x14ac:dyDescent="0.25">
      <c r="A634" t="s">
        <v>1261</v>
      </c>
      <c r="B634" t="s">
        <v>1261</v>
      </c>
      <c r="C634">
        <v>1.5</v>
      </c>
      <c r="D634" s="3">
        <v>1.5</v>
      </c>
      <c r="E634">
        <v>9</v>
      </c>
      <c r="G634">
        <v>3</v>
      </c>
      <c r="H634">
        <v>0</v>
      </c>
      <c r="I634">
        <v>0</v>
      </c>
      <c r="J634">
        <v>1</v>
      </c>
      <c r="K634">
        <v>1</v>
      </c>
      <c r="L634">
        <v>3</v>
      </c>
      <c r="M634">
        <v>2</v>
      </c>
      <c r="N634">
        <v>0</v>
      </c>
      <c r="O634">
        <v>3</v>
      </c>
      <c r="P634">
        <v>1</v>
      </c>
      <c r="Q634">
        <v>3</v>
      </c>
      <c r="R634">
        <v>2</v>
      </c>
      <c r="S634">
        <v>19</v>
      </c>
      <c r="T634" t="s">
        <v>1102</v>
      </c>
      <c r="U634" t="s">
        <v>180</v>
      </c>
      <c r="V634" t="s">
        <v>1262</v>
      </c>
      <c r="W634" t="s">
        <v>1183</v>
      </c>
    </row>
    <row r="635" spans="1:23" x14ac:dyDescent="0.25">
      <c r="A635" t="s">
        <v>759</v>
      </c>
      <c r="B635" t="s">
        <v>759</v>
      </c>
      <c r="C635">
        <v>2.5</v>
      </c>
      <c r="D635" s="3">
        <v>2.5</v>
      </c>
      <c r="E635">
        <v>1</v>
      </c>
      <c r="G635">
        <v>5</v>
      </c>
      <c r="H635">
        <v>1</v>
      </c>
      <c r="I635">
        <v>6</v>
      </c>
      <c r="J635">
        <v>4</v>
      </c>
      <c r="K635">
        <v>4</v>
      </c>
      <c r="L635">
        <v>1</v>
      </c>
      <c r="M635">
        <v>2</v>
      </c>
      <c r="N635">
        <v>2</v>
      </c>
      <c r="O635">
        <v>0</v>
      </c>
      <c r="P635">
        <v>3</v>
      </c>
      <c r="Q635">
        <v>5</v>
      </c>
      <c r="R635">
        <v>0</v>
      </c>
      <c r="S635">
        <v>33</v>
      </c>
      <c r="T635" t="s">
        <v>1102</v>
      </c>
      <c r="U635" t="s">
        <v>180</v>
      </c>
      <c r="V635" t="s">
        <v>1262</v>
      </c>
      <c r="W635" t="s">
        <v>1185</v>
      </c>
    </row>
    <row r="636" spans="1:23" x14ac:dyDescent="0.25">
      <c r="A636" t="s">
        <v>1263</v>
      </c>
      <c r="B636" t="s">
        <v>1263</v>
      </c>
      <c r="C636">
        <v>0</v>
      </c>
      <c r="D636" s="3">
        <v>0</v>
      </c>
      <c r="E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 t="s">
        <v>1102</v>
      </c>
      <c r="U636" t="s">
        <v>180</v>
      </c>
      <c r="V636" t="s">
        <v>1262</v>
      </c>
      <c r="W636" t="s">
        <v>1187</v>
      </c>
    </row>
    <row r="637" spans="1:23" x14ac:dyDescent="0.25">
      <c r="A637" t="s">
        <v>1264</v>
      </c>
      <c r="B637" t="s">
        <v>1264</v>
      </c>
      <c r="C637">
        <v>2.5</v>
      </c>
      <c r="D637" s="3">
        <v>2.5</v>
      </c>
      <c r="E637">
        <v>16</v>
      </c>
      <c r="G637">
        <v>1</v>
      </c>
      <c r="H637">
        <v>2</v>
      </c>
      <c r="I637">
        <v>3</v>
      </c>
      <c r="J637">
        <v>3</v>
      </c>
      <c r="K637">
        <v>0</v>
      </c>
      <c r="L637">
        <v>3</v>
      </c>
      <c r="M637">
        <v>1</v>
      </c>
      <c r="N637">
        <v>3</v>
      </c>
      <c r="O637">
        <v>2</v>
      </c>
      <c r="P637">
        <v>5</v>
      </c>
      <c r="Q637">
        <v>1</v>
      </c>
      <c r="R637">
        <v>3</v>
      </c>
      <c r="S637">
        <v>27</v>
      </c>
      <c r="T637" t="s">
        <v>1102</v>
      </c>
      <c r="U637" t="s">
        <v>180</v>
      </c>
      <c r="V637" t="s">
        <v>1262</v>
      </c>
      <c r="W637" t="s">
        <v>1189</v>
      </c>
    </row>
    <row r="638" spans="1:23" x14ac:dyDescent="0.25">
      <c r="A638" t="s">
        <v>1265</v>
      </c>
      <c r="B638" t="s">
        <v>1265</v>
      </c>
      <c r="C638">
        <v>0</v>
      </c>
      <c r="D638" s="3">
        <v>0</v>
      </c>
      <c r="E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 t="s">
        <v>1102</v>
      </c>
      <c r="U638" t="s">
        <v>180</v>
      </c>
      <c r="V638" t="s">
        <v>1262</v>
      </c>
      <c r="W638" t="s">
        <v>1191</v>
      </c>
    </row>
    <row r="639" spans="1:23" x14ac:dyDescent="0.25">
      <c r="A639" t="s">
        <v>1266</v>
      </c>
      <c r="B639" t="s">
        <v>1266</v>
      </c>
      <c r="C639">
        <v>0</v>
      </c>
      <c r="D639" s="3">
        <v>0</v>
      </c>
      <c r="E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 t="s">
        <v>1102</v>
      </c>
      <c r="U639" t="s">
        <v>180</v>
      </c>
      <c r="V639" t="s">
        <v>1266</v>
      </c>
      <c r="W639" t="s">
        <v>1267</v>
      </c>
    </row>
    <row r="640" spans="1:23" x14ac:dyDescent="0.25">
      <c r="A640" t="s">
        <v>1268</v>
      </c>
      <c r="B640" t="s">
        <v>1268</v>
      </c>
      <c r="C640">
        <v>0</v>
      </c>
      <c r="D640" s="3">
        <v>0</v>
      </c>
      <c r="E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 t="s">
        <v>1102</v>
      </c>
      <c r="U640" t="s">
        <v>180</v>
      </c>
      <c r="V640" t="s">
        <v>1266</v>
      </c>
      <c r="W640" t="s">
        <v>1183</v>
      </c>
    </row>
    <row r="641" spans="1:23" x14ac:dyDescent="0.25">
      <c r="A641" t="s">
        <v>1269</v>
      </c>
      <c r="B641" t="s">
        <v>1269</v>
      </c>
      <c r="C641">
        <v>0</v>
      </c>
      <c r="D641" s="3">
        <v>0</v>
      </c>
      <c r="E641">
        <v>4</v>
      </c>
      <c r="G641">
        <v>0</v>
      </c>
      <c r="H641">
        <v>0</v>
      </c>
      <c r="I641">
        <v>0</v>
      </c>
      <c r="J641">
        <v>3</v>
      </c>
      <c r="K641">
        <v>0</v>
      </c>
      <c r="L641">
        <v>2</v>
      </c>
      <c r="M641">
        <v>1</v>
      </c>
      <c r="N641">
        <v>2</v>
      </c>
      <c r="O641">
        <v>0</v>
      </c>
      <c r="P641">
        <v>0</v>
      </c>
      <c r="Q641">
        <v>0</v>
      </c>
      <c r="R641">
        <v>0</v>
      </c>
      <c r="S641">
        <v>8</v>
      </c>
      <c r="T641" t="s">
        <v>1102</v>
      </c>
      <c r="U641" t="s">
        <v>180</v>
      </c>
      <c r="V641" t="s">
        <v>1266</v>
      </c>
      <c r="W641" t="s">
        <v>1185</v>
      </c>
    </row>
    <row r="642" spans="1:23" x14ac:dyDescent="0.25">
      <c r="A642" t="s">
        <v>1270</v>
      </c>
      <c r="B642" t="s">
        <v>1270</v>
      </c>
      <c r="C642">
        <v>0</v>
      </c>
      <c r="D642" s="3">
        <v>0</v>
      </c>
      <c r="E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 t="s">
        <v>1102</v>
      </c>
      <c r="U642" t="s">
        <v>180</v>
      </c>
      <c r="V642" t="s">
        <v>1266</v>
      </c>
      <c r="W642" t="s">
        <v>1187</v>
      </c>
    </row>
    <row r="643" spans="1:23" x14ac:dyDescent="0.25">
      <c r="A643" t="s">
        <v>1271</v>
      </c>
      <c r="B643" t="s">
        <v>1271</v>
      </c>
      <c r="C643">
        <v>0</v>
      </c>
      <c r="D643" s="3">
        <v>0</v>
      </c>
      <c r="E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 t="s">
        <v>1102</v>
      </c>
      <c r="U643" t="s">
        <v>180</v>
      </c>
      <c r="V643" t="s">
        <v>1266</v>
      </c>
      <c r="W643" t="s">
        <v>1189</v>
      </c>
    </row>
    <row r="644" spans="1:23" x14ac:dyDescent="0.25">
      <c r="A644" t="s">
        <v>1272</v>
      </c>
      <c r="B644" t="s">
        <v>1272</v>
      </c>
      <c r="C644">
        <v>0</v>
      </c>
      <c r="D644" s="3">
        <v>0</v>
      </c>
      <c r="E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 t="s">
        <v>1102</v>
      </c>
      <c r="U644" t="s">
        <v>180</v>
      </c>
      <c r="V644" t="s">
        <v>1266</v>
      </c>
      <c r="W644" t="s">
        <v>1191</v>
      </c>
    </row>
    <row r="645" spans="1:23" x14ac:dyDescent="0.25">
      <c r="A645" t="s">
        <v>1273</v>
      </c>
      <c r="B645" t="s">
        <v>1273</v>
      </c>
      <c r="C645">
        <v>0.5</v>
      </c>
      <c r="D645" s="3">
        <v>0.5</v>
      </c>
      <c r="E645">
        <v>70</v>
      </c>
      <c r="G645">
        <v>3</v>
      </c>
      <c r="H645">
        <v>0</v>
      </c>
      <c r="I645">
        <v>1</v>
      </c>
      <c r="J645">
        <v>0</v>
      </c>
      <c r="K645">
        <v>0</v>
      </c>
      <c r="L645">
        <v>3</v>
      </c>
      <c r="M645">
        <v>1</v>
      </c>
      <c r="N645">
        <v>1</v>
      </c>
      <c r="O645">
        <v>1</v>
      </c>
      <c r="P645">
        <v>0</v>
      </c>
      <c r="Q645">
        <v>0</v>
      </c>
      <c r="R645">
        <v>0</v>
      </c>
      <c r="S645">
        <v>10</v>
      </c>
      <c r="T645" t="s">
        <v>1102</v>
      </c>
      <c r="U645" t="s">
        <v>180</v>
      </c>
      <c r="V645" t="s">
        <v>1274</v>
      </c>
      <c r="W645" t="s">
        <v>1183</v>
      </c>
    </row>
    <row r="646" spans="1:23" x14ac:dyDescent="0.25">
      <c r="A646" t="s">
        <v>1275</v>
      </c>
      <c r="B646" t="s">
        <v>1275</v>
      </c>
      <c r="C646">
        <v>0</v>
      </c>
      <c r="D646" s="3">
        <v>0</v>
      </c>
      <c r="E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 t="s">
        <v>1102</v>
      </c>
      <c r="U646" t="s">
        <v>180</v>
      </c>
      <c r="V646" t="s">
        <v>1274</v>
      </c>
      <c r="W646" t="s">
        <v>1185</v>
      </c>
    </row>
    <row r="647" spans="1:23" x14ac:dyDescent="0.25">
      <c r="A647" t="s">
        <v>1276</v>
      </c>
      <c r="B647" t="s">
        <v>1276</v>
      </c>
      <c r="C647">
        <v>0</v>
      </c>
      <c r="D647" s="3">
        <v>0</v>
      </c>
      <c r="E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 t="s">
        <v>1102</v>
      </c>
      <c r="U647" t="s">
        <v>180</v>
      </c>
      <c r="V647" t="s">
        <v>1274</v>
      </c>
      <c r="W647" t="s">
        <v>1187</v>
      </c>
    </row>
    <row r="648" spans="1:23" x14ac:dyDescent="0.25">
      <c r="A648" t="s">
        <v>1277</v>
      </c>
      <c r="B648" t="s">
        <v>1277</v>
      </c>
      <c r="C648">
        <v>0</v>
      </c>
      <c r="D648" s="3">
        <v>0</v>
      </c>
      <c r="E648">
        <v>6</v>
      </c>
      <c r="G648">
        <v>0</v>
      </c>
      <c r="H648">
        <v>0</v>
      </c>
      <c r="I648">
        <v>0</v>
      </c>
      <c r="J648">
        <v>0</v>
      </c>
      <c r="K648">
        <v>2</v>
      </c>
      <c r="L648">
        <v>1</v>
      </c>
      <c r="M648">
        <v>1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5</v>
      </c>
      <c r="T648" t="s">
        <v>1102</v>
      </c>
      <c r="U648" t="s">
        <v>180</v>
      </c>
      <c r="V648" t="s">
        <v>1274</v>
      </c>
      <c r="W648" t="s">
        <v>1189</v>
      </c>
    </row>
    <row r="649" spans="1:23" x14ac:dyDescent="0.25">
      <c r="A649" t="s">
        <v>1278</v>
      </c>
      <c r="B649" t="s">
        <v>1278</v>
      </c>
      <c r="C649">
        <v>0</v>
      </c>
      <c r="D649" s="3">
        <v>0</v>
      </c>
      <c r="E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 t="s">
        <v>1102</v>
      </c>
      <c r="U649" t="s">
        <v>180</v>
      </c>
      <c r="V649" t="s">
        <v>1274</v>
      </c>
      <c r="W649" t="s">
        <v>1191</v>
      </c>
    </row>
    <row r="650" spans="1:23" x14ac:dyDescent="0.25">
      <c r="A650" t="s">
        <v>1279</v>
      </c>
      <c r="B650" t="s">
        <v>1279</v>
      </c>
      <c r="C650">
        <v>0</v>
      </c>
      <c r="D650" s="3">
        <v>0</v>
      </c>
      <c r="E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 t="s">
        <v>1102</v>
      </c>
      <c r="U650" t="s">
        <v>180</v>
      </c>
      <c r="V650" t="s">
        <v>1279</v>
      </c>
      <c r="W650" t="s">
        <v>1208</v>
      </c>
    </row>
    <row r="651" spans="1:23" x14ac:dyDescent="0.25">
      <c r="A651" t="s">
        <v>1280</v>
      </c>
      <c r="B651" t="s">
        <v>1280</v>
      </c>
      <c r="C651">
        <v>0.5</v>
      </c>
      <c r="D651" s="3">
        <v>0.5</v>
      </c>
      <c r="E651">
        <v>45</v>
      </c>
      <c r="G651">
        <v>0</v>
      </c>
      <c r="H651">
        <v>0</v>
      </c>
      <c r="I651">
        <v>0</v>
      </c>
      <c r="J651">
        <v>0</v>
      </c>
      <c r="K651">
        <v>2</v>
      </c>
      <c r="L651">
        <v>1</v>
      </c>
      <c r="M651">
        <v>3</v>
      </c>
      <c r="N651">
        <v>1</v>
      </c>
      <c r="O651">
        <v>0</v>
      </c>
      <c r="P651">
        <v>3</v>
      </c>
      <c r="Q651">
        <v>3</v>
      </c>
      <c r="R651">
        <v>0</v>
      </c>
      <c r="S651">
        <v>13</v>
      </c>
      <c r="T651" t="s">
        <v>1102</v>
      </c>
      <c r="U651" t="s">
        <v>180</v>
      </c>
      <c r="V651" t="s">
        <v>1279</v>
      </c>
      <c r="W651" t="s">
        <v>1183</v>
      </c>
    </row>
    <row r="652" spans="1:23" x14ac:dyDescent="0.25">
      <c r="A652" t="s">
        <v>762</v>
      </c>
      <c r="B652" t="s">
        <v>762</v>
      </c>
      <c r="C652">
        <v>1</v>
      </c>
      <c r="D652" s="3">
        <v>1</v>
      </c>
      <c r="E652">
        <v>0.75</v>
      </c>
      <c r="G652">
        <v>5</v>
      </c>
      <c r="H652">
        <v>3</v>
      </c>
      <c r="I652">
        <v>4</v>
      </c>
      <c r="J652">
        <v>5</v>
      </c>
      <c r="K652">
        <v>8</v>
      </c>
      <c r="L652">
        <v>2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27</v>
      </c>
      <c r="T652" t="s">
        <v>1102</v>
      </c>
      <c r="U652" t="s">
        <v>180</v>
      </c>
      <c r="V652" t="s">
        <v>1279</v>
      </c>
      <c r="W652" t="s">
        <v>1185</v>
      </c>
    </row>
    <row r="653" spans="1:23" x14ac:dyDescent="0.25">
      <c r="A653" t="s">
        <v>1281</v>
      </c>
      <c r="B653" t="s">
        <v>1281</v>
      </c>
      <c r="C653">
        <v>0</v>
      </c>
      <c r="D653" s="3">
        <v>0</v>
      </c>
      <c r="E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 t="s">
        <v>1102</v>
      </c>
      <c r="U653" t="s">
        <v>180</v>
      </c>
      <c r="V653" t="s">
        <v>1279</v>
      </c>
      <c r="W653" t="s">
        <v>1187</v>
      </c>
    </row>
    <row r="654" spans="1:23" x14ac:dyDescent="0.25">
      <c r="A654" t="s">
        <v>1282</v>
      </c>
      <c r="B654" t="s">
        <v>1282</v>
      </c>
      <c r="C654">
        <v>0</v>
      </c>
      <c r="D654" s="3">
        <v>0</v>
      </c>
      <c r="E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 t="s">
        <v>1102</v>
      </c>
      <c r="U654" t="s">
        <v>180</v>
      </c>
      <c r="V654" t="s">
        <v>1279</v>
      </c>
      <c r="W654" t="s">
        <v>1189</v>
      </c>
    </row>
    <row r="655" spans="1:23" x14ac:dyDescent="0.25">
      <c r="A655" t="s">
        <v>1283</v>
      </c>
      <c r="B655" t="s">
        <v>1283</v>
      </c>
      <c r="C655">
        <v>0</v>
      </c>
      <c r="D655" s="3">
        <v>0</v>
      </c>
      <c r="E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 t="s">
        <v>1102</v>
      </c>
      <c r="U655" t="s">
        <v>180</v>
      </c>
      <c r="V655" t="s">
        <v>1279</v>
      </c>
      <c r="W655" t="s">
        <v>1191</v>
      </c>
    </row>
    <row r="656" spans="1:23" x14ac:dyDescent="0.25">
      <c r="A656" t="s">
        <v>1284</v>
      </c>
      <c r="B656" t="s">
        <v>1284</v>
      </c>
      <c r="C656">
        <v>0</v>
      </c>
      <c r="D656" s="3">
        <v>0</v>
      </c>
      <c r="E656">
        <v>0</v>
      </c>
      <c r="G656">
        <v>3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3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9</v>
      </c>
      <c r="T656" t="s">
        <v>1102</v>
      </c>
      <c r="U656" t="s">
        <v>180</v>
      </c>
      <c r="V656" t="s">
        <v>1285</v>
      </c>
      <c r="W656" t="s">
        <v>1183</v>
      </c>
    </row>
    <row r="657" spans="1:23" x14ac:dyDescent="0.25">
      <c r="A657" t="s">
        <v>761</v>
      </c>
      <c r="B657" t="s">
        <v>761</v>
      </c>
      <c r="C657">
        <v>3</v>
      </c>
      <c r="D657" s="3">
        <v>3</v>
      </c>
      <c r="E657">
        <v>22.75</v>
      </c>
      <c r="G657">
        <v>13</v>
      </c>
      <c r="H657">
        <v>2</v>
      </c>
      <c r="I657">
        <v>10</v>
      </c>
      <c r="J657">
        <v>3</v>
      </c>
      <c r="K657">
        <v>4</v>
      </c>
      <c r="L657">
        <v>3</v>
      </c>
      <c r="M657">
        <v>0</v>
      </c>
      <c r="N657">
        <v>4</v>
      </c>
      <c r="O657">
        <v>3</v>
      </c>
      <c r="P657">
        <v>4</v>
      </c>
      <c r="Q657">
        <v>0</v>
      </c>
      <c r="R657">
        <v>3</v>
      </c>
      <c r="S657">
        <v>49</v>
      </c>
      <c r="T657" t="s">
        <v>1102</v>
      </c>
      <c r="U657" t="s">
        <v>180</v>
      </c>
      <c r="V657" t="s">
        <v>1285</v>
      </c>
      <c r="W657" t="s">
        <v>1185</v>
      </c>
    </row>
    <row r="658" spans="1:23" x14ac:dyDescent="0.25">
      <c r="A658" t="s">
        <v>1286</v>
      </c>
      <c r="B658" t="s">
        <v>1286</v>
      </c>
      <c r="C658">
        <v>0</v>
      </c>
      <c r="D658" s="3">
        <v>0</v>
      </c>
      <c r="E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 t="s">
        <v>1102</v>
      </c>
      <c r="U658" t="s">
        <v>180</v>
      </c>
      <c r="V658" t="s">
        <v>1285</v>
      </c>
      <c r="W658" t="s">
        <v>1187</v>
      </c>
    </row>
    <row r="659" spans="1:23" x14ac:dyDescent="0.25">
      <c r="A659" t="s">
        <v>1287</v>
      </c>
      <c r="B659" t="s">
        <v>1287</v>
      </c>
      <c r="C659">
        <v>0</v>
      </c>
      <c r="D659" s="3">
        <v>0</v>
      </c>
      <c r="E659">
        <v>16</v>
      </c>
      <c r="G659">
        <v>0</v>
      </c>
      <c r="H659">
        <v>1</v>
      </c>
      <c r="I659">
        <v>0</v>
      </c>
      <c r="J659">
        <v>2</v>
      </c>
      <c r="K659">
        <v>1</v>
      </c>
      <c r="L659">
        <v>0</v>
      </c>
      <c r="M659">
        <v>0</v>
      </c>
      <c r="N659">
        <v>1</v>
      </c>
      <c r="O659">
        <v>0</v>
      </c>
      <c r="P659">
        <v>1</v>
      </c>
      <c r="Q659">
        <v>-1</v>
      </c>
      <c r="R659">
        <v>0</v>
      </c>
      <c r="S659">
        <v>5</v>
      </c>
      <c r="T659" t="s">
        <v>1102</v>
      </c>
      <c r="U659" t="s">
        <v>180</v>
      </c>
      <c r="V659" t="s">
        <v>1285</v>
      </c>
      <c r="W659" t="s">
        <v>1189</v>
      </c>
    </row>
    <row r="660" spans="1:23" x14ac:dyDescent="0.25">
      <c r="A660" t="s">
        <v>1288</v>
      </c>
      <c r="B660" t="s">
        <v>1288</v>
      </c>
      <c r="C660">
        <v>0</v>
      </c>
      <c r="D660" s="3">
        <v>0</v>
      </c>
      <c r="E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 t="s">
        <v>1102</v>
      </c>
      <c r="U660" t="s">
        <v>180</v>
      </c>
      <c r="V660" t="s">
        <v>1285</v>
      </c>
      <c r="W660" t="s">
        <v>1191</v>
      </c>
    </row>
    <row r="661" spans="1:23" x14ac:dyDescent="0.25">
      <c r="A661" t="s">
        <v>1289</v>
      </c>
      <c r="B661" t="s">
        <v>1289</v>
      </c>
      <c r="C661">
        <v>0</v>
      </c>
      <c r="D661" s="3">
        <v>0</v>
      </c>
      <c r="E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 t="s">
        <v>1102</v>
      </c>
      <c r="U661" t="s">
        <v>180</v>
      </c>
      <c r="V661" t="s">
        <v>1289</v>
      </c>
      <c r="W661" t="s">
        <v>1131</v>
      </c>
    </row>
    <row r="662" spans="1:23" x14ac:dyDescent="0.25">
      <c r="A662" t="s">
        <v>1290</v>
      </c>
      <c r="B662" t="s">
        <v>1290</v>
      </c>
      <c r="C662">
        <v>0</v>
      </c>
      <c r="D662" s="3">
        <v>0</v>
      </c>
      <c r="E662">
        <v>75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1</v>
      </c>
      <c r="N662">
        <v>0</v>
      </c>
      <c r="O662">
        <v>0</v>
      </c>
      <c r="P662">
        <v>0</v>
      </c>
      <c r="Q662">
        <v>2</v>
      </c>
      <c r="R662">
        <v>1</v>
      </c>
      <c r="S662">
        <v>6</v>
      </c>
      <c r="T662" t="s">
        <v>1102</v>
      </c>
      <c r="U662" t="s">
        <v>180</v>
      </c>
      <c r="V662" t="s">
        <v>1289</v>
      </c>
      <c r="W662" t="s">
        <v>1183</v>
      </c>
    </row>
    <row r="663" spans="1:23" x14ac:dyDescent="0.25">
      <c r="A663" t="s">
        <v>763</v>
      </c>
      <c r="B663" t="s">
        <v>763</v>
      </c>
      <c r="C663">
        <v>1</v>
      </c>
      <c r="D663" s="3">
        <v>1</v>
      </c>
      <c r="E663">
        <v>0</v>
      </c>
      <c r="G663">
        <v>2</v>
      </c>
      <c r="H663">
        <v>4</v>
      </c>
      <c r="I663">
        <v>2</v>
      </c>
      <c r="J663">
        <v>9</v>
      </c>
      <c r="K663">
        <v>1</v>
      </c>
      <c r="L663">
        <v>0</v>
      </c>
      <c r="M663">
        <v>1</v>
      </c>
      <c r="N663">
        <v>0</v>
      </c>
      <c r="O663">
        <v>4</v>
      </c>
      <c r="P663">
        <v>0</v>
      </c>
      <c r="Q663">
        <v>0</v>
      </c>
      <c r="R663">
        <v>0</v>
      </c>
      <c r="S663">
        <v>23</v>
      </c>
      <c r="T663" t="s">
        <v>1102</v>
      </c>
      <c r="U663" t="s">
        <v>180</v>
      </c>
      <c r="V663" t="s">
        <v>1289</v>
      </c>
      <c r="W663" t="s">
        <v>1185</v>
      </c>
    </row>
    <row r="664" spans="1:23" x14ac:dyDescent="0.25">
      <c r="A664" t="s">
        <v>1291</v>
      </c>
      <c r="B664" t="s">
        <v>1291</v>
      </c>
      <c r="C664">
        <v>0</v>
      </c>
      <c r="D664" s="3">
        <v>0</v>
      </c>
      <c r="E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 t="s">
        <v>1102</v>
      </c>
      <c r="U664" t="s">
        <v>180</v>
      </c>
      <c r="V664" t="s">
        <v>1289</v>
      </c>
      <c r="W664" t="s">
        <v>1187</v>
      </c>
    </row>
    <row r="665" spans="1:23" x14ac:dyDescent="0.25">
      <c r="A665" t="s">
        <v>1292</v>
      </c>
      <c r="B665" t="s">
        <v>1292</v>
      </c>
      <c r="C665">
        <v>0</v>
      </c>
      <c r="D665" s="3">
        <v>0</v>
      </c>
      <c r="E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 t="s">
        <v>1102</v>
      </c>
      <c r="U665" t="s">
        <v>180</v>
      </c>
      <c r="V665" t="s">
        <v>1289</v>
      </c>
      <c r="W665" t="s">
        <v>1189</v>
      </c>
    </row>
    <row r="666" spans="1:23" x14ac:dyDescent="0.25">
      <c r="A666" t="s">
        <v>1293</v>
      </c>
      <c r="B666" t="s">
        <v>1293</v>
      </c>
      <c r="C666">
        <v>0</v>
      </c>
      <c r="D666" s="3">
        <v>0</v>
      </c>
      <c r="E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 t="s">
        <v>1102</v>
      </c>
      <c r="U666" t="s">
        <v>180</v>
      </c>
      <c r="V666" t="s">
        <v>1289</v>
      </c>
      <c r="W666" t="s">
        <v>1191</v>
      </c>
    </row>
    <row r="667" spans="1:23" x14ac:dyDescent="0.25">
      <c r="A667" t="s">
        <v>1294</v>
      </c>
      <c r="B667" t="s">
        <v>1294</v>
      </c>
      <c r="C667">
        <v>1</v>
      </c>
      <c r="D667" s="3">
        <v>1</v>
      </c>
      <c r="E667">
        <v>8</v>
      </c>
      <c r="G667">
        <v>3</v>
      </c>
      <c r="H667">
        <v>0</v>
      </c>
      <c r="I667">
        <v>0</v>
      </c>
      <c r="J667">
        <v>4</v>
      </c>
      <c r="K667">
        <v>1</v>
      </c>
      <c r="L667">
        <v>0</v>
      </c>
      <c r="M667">
        <v>1</v>
      </c>
      <c r="N667">
        <v>1</v>
      </c>
      <c r="O667">
        <v>1</v>
      </c>
      <c r="P667">
        <v>1</v>
      </c>
      <c r="Q667">
        <v>2</v>
      </c>
      <c r="R667">
        <v>0</v>
      </c>
      <c r="S667">
        <v>14</v>
      </c>
      <c r="T667" t="s">
        <v>1102</v>
      </c>
      <c r="U667" t="s">
        <v>180</v>
      </c>
      <c r="V667" t="s">
        <v>1295</v>
      </c>
      <c r="W667" t="s">
        <v>1183</v>
      </c>
    </row>
    <row r="668" spans="1:23" x14ac:dyDescent="0.25">
      <c r="A668" t="s">
        <v>1296</v>
      </c>
      <c r="B668" t="s">
        <v>1296</v>
      </c>
      <c r="C668">
        <v>3</v>
      </c>
      <c r="D668" s="3">
        <v>3</v>
      </c>
      <c r="E668">
        <v>62</v>
      </c>
      <c r="G668">
        <v>3</v>
      </c>
      <c r="H668">
        <v>0</v>
      </c>
      <c r="I668">
        <v>0</v>
      </c>
      <c r="J668">
        <v>1</v>
      </c>
      <c r="K668">
        <v>4</v>
      </c>
      <c r="L668">
        <v>3</v>
      </c>
      <c r="M668">
        <v>0</v>
      </c>
      <c r="N668">
        <v>5</v>
      </c>
      <c r="O668">
        <v>7</v>
      </c>
      <c r="P668">
        <v>3</v>
      </c>
      <c r="Q668">
        <v>4</v>
      </c>
      <c r="R668">
        <v>0</v>
      </c>
      <c r="S668">
        <v>30</v>
      </c>
      <c r="T668" t="s">
        <v>1102</v>
      </c>
      <c r="U668" t="s">
        <v>180</v>
      </c>
      <c r="V668" t="s">
        <v>1295</v>
      </c>
      <c r="W668" t="s">
        <v>1185</v>
      </c>
    </row>
    <row r="669" spans="1:23" x14ac:dyDescent="0.25">
      <c r="A669" t="s">
        <v>1297</v>
      </c>
      <c r="B669" t="s">
        <v>1297</v>
      </c>
      <c r="C669">
        <v>0</v>
      </c>
      <c r="D669" s="3">
        <v>0</v>
      </c>
      <c r="E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 t="s">
        <v>1102</v>
      </c>
      <c r="U669" t="s">
        <v>180</v>
      </c>
      <c r="V669" t="s">
        <v>1295</v>
      </c>
      <c r="W669" t="s">
        <v>1187</v>
      </c>
    </row>
    <row r="670" spans="1:23" x14ac:dyDescent="0.25">
      <c r="A670" t="s">
        <v>1298</v>
      </c>
      <c r="B670" t="s">
        <v>1298</v>
      </c>
      <c r="C670">
        <v>0</v>
      </c>
      <c r="D670" s="3">
        <v>0</v>
      </c>
      <c r="E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t="s">
        <v>1102</v>
      </c>
      <c r="U670" t="s">
        <v>180</v>
      </c>
      <c r="V670" t="s">
        <v>1295</v>
      </c>
      <c r="W670" t="s">
        <v>1189</v>
      </c>
    </row>
    <row r="671" spans="1:23" x14ac:dyDescent="0.25">
      <c r="A671" t="s">
        <v>1299</v>
      </c>
      <c r="B671" t="s">
        <v>1299</v>
      </c>
      <c r="C671">
        <v>0</v>
      </c>
      <c r="D671" s="3">
        <v>0</v>
      </c>
      <c r="E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 t="s">
        <v>1102</v>
      </c>
      <c r="U671" t="s">
        <v>180</v>
      </c>
      <c r="V671" t="s">
        <v>1295</v>
      </c>
      <c r="W671" t="s">
        <v>1191</v>
      </c>
    </row>
    <row r="672" spans="1:23" x14ac:dyDescent="0.25">
      <c r="A672" t="s">
        <v>1251</v>
      </c>
      <c r="B672" t="s">
        <v>1251</v>
      </c>
      <c r="C672">
        <v>0</v>
      </c>
      <c r="D672" s="3">
        <v>0</v>
      </c>
      <c r="E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 t="s">
        <v>1102</v>
      </c>
      <c r="U672" t="s">
        <v>180</v>
      </c>
      <c r="V672" t="s">
        <v>1300</v>
      </c>
      <c r="W672" t="s">
        <v>1104</v>
      </c>
    </row>
    <row r="673" spans="1:23" x14ac:dyDescent="0.25">
      <c r="A673" t="s">
        <v>1262</v>
      </c>
      <c r="B673" t="s">
        <v>1262</v>
      </c>
      <c r="C673">
        <v>0</v>
      </c>
      <c r="D673" s="3">
        <v>0</v>
      </c>
      <c r="E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 t="s">
        <v>1102</v>
      </c>
      <c r="U673" t="s">
        <v>180</v>
      </c>
      <c r="V673" t="s">
        <v>1300</v>
      </c>
      <c r="W673" t="s">
        <v>1195</v>
      </c>
    </row>
    <row r="674" spans="1:23" x14ac:dyDescent="0.25">
      <c r="A674" t="s">
        <v>1274</v>
      </c>
      <c r="B674" t="s">
        <v>1274</v>
      </c>
      <c r="C674">
        <v>0</v>
      </c>
      <c r="D674" s="3">
        <v>0</v>
      </c>
      <c r="E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 t="s">
        <v>1102</v>
      </c>
      <c r="U674" t="s">
        <v>180</v>
      </c>
      <c r="V674" t="s">
        <v>1300</v>
      </c>
      <c r="W674" t="s">
        <v>1267</v>
      </c>
    </row>
    <row r="675" spans="1:23" x14ac:dyDescent="0.25">
      <c r="A675" t="s">
        <v>1285</v>
      </c>
      <c r="B675" t="s">
        <v>1285</v>
      </c>
      <c r="C675">
        <v>0</v>
      </c>
      <c r="D675" s="3">
        <v>0</v>
      </c>
      <c r="E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 t="s">
        <v>1102</v>
      </c>
      <c r="U675" t="s">
        <v>180</v>
      </c>
      <c r="V675" t="s">
        <v>1300</v>
      </c>
      <c r="W675" t="s">
        <v>1208</v>
      </c>
    </row>
    <row r="676" spans="1:23" x14ac:dyDescent="0.25">
      <c r="A676" t="s">
        <v>1295</v>
      </c>
      <c r="B676" t="s">
        <v>1295</v>
      </c>
      <c r="C676">
        <v>0</v>
      </c>
      <c r="D676" s="3">
        <v>0</v>
      </c>
      <c r="E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1102</v>
      </c>
      <c r="U676" t="s">
        <v>180</v>
      </c>
      <c r="V676" t="s">
        <v>1300</v>
      </c>
      <c r="W676" t="s">
        <v>1131</v>
      </c>
    </row>
    <row r="677" spans="1:23" x14ac:dyDescent="0.25">
      <c r="A677" t="s">
        <v>1301</v>
      </c>
      <c r="B677" t="s">
        <v>1301</v>
      </c>
      <c r="C677">
        <v>0</v>
      </c>
      <c r="D677" s="3">
        <v>0</v>
      </c>
      <c r="E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1102</v>
      </c>
      <c r="U677" t="s">
        <v>180</v>
      </c>
      <c r="V677" t="s">
        <v>1301</v>
      </c>
      <c r="W677" t="s">
        <v>1104</v>
      </c>
    </row>
    <row r="678" spans="1:23" x14ac:dyDescent="0.25">
      <c r="A678" t="s">
        <v>1302</v>
      </c>
      <c r="B678" t="s">
        <v>1302</v>
      </c>
      <c r="C678">
        <v>4</v>
      </c>
      <c r="D678" s="3">
        <v>4</v>
      </c>
      <c r="E678">
        <v>13</v>
      </c>
      <c r="G678">
        <v>4</v>
      </c>
      <c r="H678">
        <v>5</v>
      </c>
      <c r="I678">
        <v>4</v>
      </c>
      <c r="J678">
        <v>1</v>
      </c>
      <c r="K678">
        <v>10</v>
      </c>
      <c r="L678">
        <v>8</v>
      </c>
      <c r="M678">
        <v>5</v>
      </c>
      <c r="N678">
        <v>0</v>
      </c>
      <c r="O678">
        <v>2</v>
      </c>
      <c r="P678">
        <v>4</v>
      </c>
      <c r="Q678">
        <v>2</v>
      </c>
      <c r="R678">
        <v>0</v>
      </c>
      <c r="S678">
        <v>45</v>
      </c>
      <c r="T678" t="s">
        <v>1102</v>
      </c>
      <c r="U678" t="s">
        <v>180</v>
      </c>
      <c r="V678" t="s">
        <v>1301</v>
      </c>
      <c r="W678" t="s">
        <v>1183</v>
      </c>
    </row>
    <row r="679" spans="1:23" x14ac:dyDescent="0.25">
      <c r="A679" t="s">
        <v>1303</v>
      </c>
      <c r="B679" t="s">
        <v>1303</v>
      </c>
      <c r="C679">
        <v>3</v>
      </c>
      <c r="D679" s="3">
        <v>3</v>
      </c>
      <c r="E679">
        <v>11</v>
      </c>
      <c r="G679">
        <v>6</v>
      </c>
      <c r="H679">
        <v>1</v>
      </c>
      <c r="I679">
        <v>4</v>
      </c>
      <c r="J679">
        <v>8</v>
      </c>
      <c r="K679">
        <v>5</v>
      </c>
      <c r="L679">
        <v>2</v>
      </c>
      <c r="M679">
        <v>3</v>
      </c>
      <c r="N679">
        <v>3</v>
      </c>
      <c r="O679">
        <v>1</v>
      </c>
      <c r="P679">
        <v>3</v>
      </c>
      <c r="Q679">
        <v>5</v>
      </c>
      <c r="R679">
        <v>3</v>
      </c>
      <c r="S679">
        <v>44</v>
      </c>
      <c r="T679" t="s">
        <v>1102</v>
      </c>
      <c r="U679" t="s">
        <v>180</v>
      </c>
      <c r="V679" t="s">
        <v>1301</v>
      </c>
      <c r="W679" t="s">
        <v>1185</v>
      </c>
    </row>
    <row r="680" spans="1:23" x14ac:dyDescent="0.25">
      <c r="A680" t="s">
        <v>1304</v>
      </c>
      <c r="B680" t="s">
        <v>1304</v>
      </c>
      <c r="C680">
        <v>2</v>
      </c>
      <c r="D680" s="3">
        <v>2</v>
      </c>
      <c r="E680">
        <v>82</v>
      </c>
      <c r="G680">
        <v>2</v>
      </c>
      <c r="H680">
        <v>5</v>
      </c>
      <c r="I680">
        <v>1</v>
      </c>
      <c r="J680">
        <v>0</v>
      </c>
      <c r="K680">
        <v>3</v>
      </c>
      <c r="L680">
        <v>1</v>
      </c>
      <c r="M680">
        <v>2</v>
      </c>
      <c r="N680">
        <v>1</v>
      </c>
      <c r="O680">
        <v>3</v>
      </c>
      <c r="P680">
        <v>3</v>
      </c>
      <c r="Q680">
        <v>2</v>
      </c>
      <c r="R680">
        <v>1</v>
      </c>
      <c r="S680">
        <v>24</v>
      </c>
      <c r="T680" t="s">
        <v>1102</v>
      </c>
      <c r="U680" t="s">
        <v>180</v>
      </c>
      <c r="V680" t="s">
        <v>1301</v>
      </c>
      <c r="W680" t="s">
        <v>1187</v>
      </c>
    </row>
    <row r="681" spans="1:23" x14ac:dyDescent="0.25">
      <c r="A681" t="s">
        <v>1305</v>
      </c>
      <c r="B681" t="s">
        <v>1305</v>
      </c>
      <c r="C681">
        <v>0</v>
      </c>
      <c r="D681" s="3">
        <v>0</v>
      </c>
      <c r="E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 t="s">
        <v>1102</v>
      </c>
      <c r="U681" t="s">
        <v>180</v>
      </c>
      <c r="V681" t="s">
        <v>1301</v>
      </c>
      <c r="W681" t="s">
        <v>1189</v>
      </c>
    </row>
    <row r="682" spans="1:23" x14ac:dyDescent="0.25">
      <c r="A682" t="s">
        <v>713</v>
      </c>
      <c r="B682" t="s">
        <v>713</v>
      </c>
      <c r="C682">
        <v>2</v>
      </c>
      <c r="D682" s="3">
        <v>2</v>
      </c>
      <c r="E682">
        <v>13</v>
      </c>
      <c r="G682">
        <v>1</v>
      </c>
      <c r="H682">
        <v>1</v>
      </c>
      <c r="I682">
        <v>9</v>
      </c>
      <c r="J682">
        <v>1</v>
      </c>
      <c r="K682">
        <v>2</v>
      </c>
      <c r="L682">
        <v>3</v>
      </c>
      <c r="M682">
        <v>3</v>
      </c>
      <c r="N682">
        <v>3</v>
      </c>
      <c r="O682">
        <v>3</v>
      </c>
      <c r="P682">
        <v>2</v>
      </c>
      <c r="Q682">
        <v>2</v>
      </c>
      <c r="R682">
        <v>0</v>
      </c>
      <c r="S682">
        <v>30</v>
      </c>
      <c r="T682" t="s">
        <v>1102</v>
      </c>
      <c r="U682" t="s">
        <v>180</v>
      </c>
      <c r="V682" t="s">
        <v>1301</v>
      </c>
      <c r="W682" t="s">
        <v>1191</v>
      </c>
    </row>
    <row r="683" spans="1:23" x14ac:dyDescent="0.25">
      <c r="A683" t="s">
        <v>1306</v>
      </c>
      <c r="B683" t="s">
        <v>1306</v>
      </c>
      <c r="C683">
        <v>0</v>
      </c>
      <c r="D683" s="3">
        <v>0</v>
      </c>
      <c r="E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 t="s">
        <v>1102</v>
      </c>
      <c r="U683" t="s">
        <v>180</v>
      </c>
      <c r="V683" t="s">
        <v>1306</v>
      </c>
      <c r="W683" t="s">
        <v>1195</v>
      </c>
    </row>
    <row r="684" spans="1:23" x14ac:dyDescent="0.25">
      <c r="A684" t="s">
        <v>714</v>
      </c>
      <c r="B684" t="s">
        <v>714</v>
      </c>
      <c r="C684">
        <v>0</v>
      </c>
      <c r="D684" s="3">
        <v>0</v>
      </c>
      <c r="E684">
        <v>0.75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 t="s">
        <v>1102</v>
      </c>
      <c r="U684" t="s">
        <v>180</v>
      </c>
      <c r="V684" t="s">
        <v>1306</v>
      </c>
      <c r="W684" t="s">
        <v>1183</v>
      </c>
    </row>
    <row r="685" spans="1:23" x14ac:dyDescent="0.25">
      <c r="A685" t="s">
        <v>665</v>
      </c>
      <c r="B685" t="s">
        <v>665</v>
      </c>
      <c r="C685">
        <v>31</v>
      </c>
      <c r="D685" s="3">
        <v>31</v>
      </c>
      <c r="E685">
        <v>98</v>
      </c>
      <c r="F685">
        <v>24</v>
      </c>
      <c r="G685">
        <v>30</v>
      </c>
      <c r="H685">
        <v>30</v>
      </c>
      <c r="I685">
        <v>43</v>
      </c>
      <c r="J685">
        <v>45</v>
      </c>
      <c r="K685">
        <v>26</v>
      </c>
      <c r="L685">
        <v>28</v>
      </c>
      <c r="M685">
        <v>42</v>
      </c>
      <c r="N685">
        <v>32</v>
      </c>
      <c r="O685">
        <v>28</v>
      </c>
      <c r="P685">
        <v>36</v>
      </c>
      <c r="Q685">
        <v>28</v>
      </c>
      <c r="R685">
        <v>42</v>
      </c>
      <c r="S685">
        <v>410</v>
      </c>
      <c r="T685" t="s">
        <v>1102</v>
      </c>
      <c r="U685" t="s">
        <v>180</v>
      </c>
      <c r="V685" t="s">
        <v>1306</v>
      </c>
      <c r="W685" t="s">
        <v>1185</v>
      </c>
    </row>
    <row r="686" spans="1:23" x14ac:dyDescent="0.25">
      <c r="A686" t="s">
        <v>1307</v>
      </c>
      <c r="B686" t="s">
        <v>1307</v>
      </c>
      <c r="C686">
        <v>4</v>
      </c>
      <c r="D686" s="3">
        <v>4</v>
      </c>
      <c r="E686">
        <v>10</v>
      </c>
      <c r="G686">
        <v>5</v>
      </c>
      <c r="H686">
        <v>3</v>
      </c>
      <c r="I686">
        <v>4</v>
      </c>
      <c r="J686">
        <v>7</v>
      </c>
      <c r="K686">
        <v>6</v>
      </c>
      <c r="L686">
        <v>1</v>
      </c>
      <c r="M686">
        <v>5</v>
      </c>
      <c r="N686">
        <v>0</v>
      </c>
      <c r="O686">
        <v>1</v>
      </c>
      <c r="P686">
        <v>4</v>
      </c>
      <c r="Q686">
        <v>4</v>
      </c>
      <c r="R686">
        <v>8</v>
      </c>
      <c r="S686">
        <v>48</v>
      </c>
      <c r="T686" t="s">
        <v>1102</v>
      </c>
      <c r="U686" t="s">
        <v>180</v>
      </c>
      <c r="V686" t="s">
        <v>1306</v>
      </c>
      <c r="W686" t="s">
        <v>1187</v>
      </c>
    </row>
    <row r="687" spans="1:23" x14ac:dyDescent="0.25">
      <c r="A687" t="s">
        <v>1308</v>
      </c>
      <c r="B687" t="s">
        <v>1308</v>
      </c>
      <c r="C687">
        <v>0</v>
      </c>
      <c r="D687" s="3">
        <v>0</v>
      </c>
      <c r="E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 t="s">
        <v>1102</v>
      </c>
      <c r="U687" t="s">
        <v>180</v>
      </c>
      <c r="V687" t="s">
        <v>1306</v>
      </c>
      <c r="W687" t="s">
        <v>1189</v>
      </c>
    </row>
    <row r="688" spans="1:23" x14ac:dyDescent="0.25">
      <c r="A688" t="s">
        <v>1309</v>
      </c>
      <c r="B688" t="s">
        <v>1309</v>
      </c>
      <c r="C688">
        <v>1</v>
      </c>
      <c r="D688" s="3">
        <v>1</v>
      </c>
      <c r="E688">
        <v>7</v>
      </c>
      <c r="G688">
        <v>2</v>
      </c>
      <c r="H688">
        <v>0</v>
      </c>
      <c r="I688">
        <v>0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0</v>
      </c>
      <c r="P688">
        <v>3</v>
      </c>
      <c r="Q688">
        <v>1</v>
      </c>
      <c r="R688">
        <v>0</v>
      </c>
      <c r="S688">
        <v>11</v>
      </c>
      <c r="T688" t="s">
        <v>1102</v>
      </c>
      <c r="U688" t="s">
        <v>180</v>
      </c>
      <c r="V688" t="s">
        <v>1306</v>
      </c>
      <c r="W688" t="s">
        <v>1191</v>
      </c>
    </row>
    <row r="689" spans="1:23" x14ac:dyDescent="0.25">
      <c r="A689" t="s">
        <v>1310</v>
      </c>
      <c r="B689" t="s">
        <v>1310</v>
      </c>
      <c r="C689">
        <v>0</v>
      </c>
      <c r="D689" s="3">
        <v>0</v>
      </c>
      <c r="E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 t="s">
        <v>1102</v>
      </c>
      <c r="U689" t="s">
        <v>180</v>
      </c>
      <c r="V689" t="s">
        <v>1310</v>
      </c>
      <c r="W689" t="s">
        <v>1201</v>
      </c>
    </row>
    <row r="690" spans="1:23" x14ac:dyDescent="0.25">
      <c r="A690" t="s">
        <v>1311</v>
      </c>
      <c r="B690" t="s">
        <v>1311</v>
      </c>
      <c r="C690">
        <v>0</v>
      </c>
      <c r="D690" s="3">
        <v>0</v>
      </c>
      <c r="E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 t="s">
        <v>1102</v>
      </c>
      <c r="U690" t="s">
        <v>180</v>
      </c>
      <c r="V690" t="s">
        <v>1311</v>
      </c>
      <c r="W690" t="s">
        <v>1208</v>
      </c>
    </row>
    <row r="691" spans="1:23" x14ac:dyDescent="0.25">
      <c r="A691" t="s">
        <v>715</v>
      </c>
      <c r="B691" t="s">
        <v>715</v>
      </c>
      <c r="C691">
        <v>0</v>
      </c>
      <c r="D691" s="3">
        <v>0</v>
      </c>
      <c r="E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 t="s">
        <v>1102</v>
      </c>
      <c r="U691" t="s">
        <v>180</v>
      </c>
      <c r="V691" t="s">
        <v>1311</v>
      </c>
      <c r="W691" t="s">
        <v>1183</v>
      </c>
    </row>
    <row r="692" spans="1:23" x14ac:dyDescent="0.25">
      <c r="A692" t="s">
        <v>716</v>
      </c>
      <c r="B692" t="s">
        <v>716</v>
      </c>
      <c r="C692">
        <v>15.5</v>
      </c>
      <c r="D692" s="3">
        <v>15.5</v>
      </c>
      <c r="E692">
        <v>57</v>
      </c>
      <c r="G692">
        <v>10</v>
      </c>
      <c r="H692">
        <v>11</v>
      </c>
      <c r="I692">
        <v>21</v>
      </c>
      <c r="J692">
        <v>12</v>
      </c>
      <c r="K692">
        <v>12</v>
      </c>
      <c r="L692">
        <v>4</v>
      </c>
      <c r="M692">
        <v>21</v>
      </c>
      <c r="N692">
        <v>21</v>
      </c>
      <c r="O692">
        <v>25</v>
      </c>
      <c r="P692">
        <v>18</v>
      </c>
      <c r="Q692">
        <v>21</v>
      </c>
      <c r="R692">
        <v>13</v>
      </c>
      <c r="S692">
        <v>189</v>
      </c>
      <c r="T692" t="s">
        <v>1102</v>
      </c>
      <c r="U692" t="s">
        <v>180</v>
      </c>
      <c r="V692" t="s">
        <v>1311</v>
      </c>
      <c r="W692" t="s">
        <v>1185</v>
      </c>
    </row>
    <row r="693" spans="1:23" x14ac:dyDescent="0.25">
      <c r="A693" t="s">
        <v>1312</v>
      </c>
      <c r="B693" t="s">
        <v>1312</v>
      </c>
      <c r="C693">
        <v>0</v>
      </c>
      <c r="D693" s="3">
        <v>0</v>
      </c>
      <c r="E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 t="s">
        <v>1102</v>
      </c>
      <c r="U693" t="s">
        <v>180</v>
      </c>
      <c r="V693" t="s">
        <v>1311</v>
      </c>
      <c r="W693" t="s">
        <v>1187</v>
      </c>
    </row>
    <row r="694" spans="1:23" x14ac:dyDescent="0.25">
      <c r="A694" t="s">
        <v>1313</v>
      </c>
      <c r="B694" t="s">
        <v>1313</v>
      </c>
      <c r="C694">
        <v>0</v>
      </c>
      <c r="D694" s="3">
        <v>0</v>
      </c>
      <c r="E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 t="s">
        <v>1102</v>
      </c>
      <c r="U694" t="s">
        <v>180</v>
      </c>
      <c r="V694" t="s">
        <v>1311</v>
      </c>
      <c r="W694" t="s">
        <v>1189</v>
      </c>
    </row>
    <row r="695" spans="1:23" x14ac:dyDescent="0.25">
      <c r="A695" t="s">
        <v>1314</v>
      </c>
      <c r="B695" t="s">
        <v>1314</v>
      </c>
      <c r="C695">
        <v>0</v>
      </c>
      <c r="D695" s="3">
        <v>0</v>
      </c>
      <c r="E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 t="s">
        <v>1102</v>
      </c>
      <c r="U695" t="s">
        <v>180</v>
      </c>
      <c r="V695" t="s">
        <v>1311</v>
      </c>
      <c r="W695" t="s">
        <v>1191</v>
      </c>
    </row>
    <row r="696" spans="1:23" x14ac:dyDescent="0.25">
      <c r="A696" t="s">
        <v>1315</v>
      </c>
      <c r="B696" t="s">
        <v>1315</v>
      </c>
      <c r="C696">
        <v>0</v>
      </c>
      <c r="D696" s="3">
        <v>0</v>
      </c>
      <c r="E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 t="s">
        <v>1102</v>
      </c>
      <c r="U696" t="s">
        <v>180</v>
      </c>
      <c r="V696" t="s">
        <v>1315</v>
      </c>
      <c r="W696" t="s">
        <v>1131</v>
      </c>
    </row>
    <row r="697" spans="1:23" x14ac:dyDescent="0.25">
      <c r="A697" t="s">
        <v>1316</v>
      </c>
      <c r="B697" t="s">
        <v>1316</v>
      </c>
      <c r="C697">
        <v>0</v>
      </c>
      <c r="D697" s="3">
        <v>0</v>
      </c>
      <c r="E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 t="s">
        <v>1102</v>
      </c>
      <c r="U697" t="s">
        <v>180</v>
      </c>
      <c r="V697" t="s">
        <v>1315</v>
      </c>
      <c r="W697" t="s">
        <v>1183</v>
      </c>
    </row>
    <row r="698" spans="1:23" x14ac:dyDescent="0.25">
      <c r="A698" t="s">
        <v>717</v>
      </c>
      <c r="B698" t="s">
        <v>717</v>
      </c>
      <c r="C698">
        <v>1</v>
      </c>
      <c r="D698" s="3">
        <v>1</v>
      </c>
      <c r="E698">
        <v>9</v>
      </c>
      <c r="G698">
        <v>3</v>
      </c>
      <c r="H698">
        <v>0</v>
      </c>
      <c r="I698">
        <v>2</v>
      </c>
      <c r="J698">
        <v>1</v>
      </c>
      <c r="K698">
        <v>1</v>
      </c>
      <c r="L698">
        <v>1</v>
      </c>
      <c r="M698">
        <v>1</v>
      </c>
      <c r="N698">
        <v>4</v>
      </c>
      <c r="O698">
        <v>0</v>
      </c>
      <c r="P698">
        <v>2</v>
      </c>
      <c r="Q698">
        <v>1</v>
      </c>
      <c r="R698">
        <v>1</v>
      </c>
      <c r="S698">
        <v>17</v>
      </c>
      <c r="T698" t="s">
        <v>1102</v>
      </c>
      <c r="U698" t="s">
        <v>180</v>
      </c>
      <c r="V698" t="s">
        <v>1315</v>
      </c>
      <c r="W698" t="s">
        <v>1185</v>
      </c>
    </row>
    <row r="699" spans="1:23" x14ac:dyDescent="0.25">
      <c r="A699" t="s">
        <v>1317</v>
      </c>
      <c r="B699" t="s">
        <v>1317</v>
      </c>
      <c r="C699">
        <v>0</v>
      </c>
      <c r="D699" s="3">
        <v>0</v>
      </c>
      <c r="E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 t="s">
        <v>1102</v>
      </c>
      <c r="U699" t="s">
        <v>180</v>
      </c>
      <c r="V699" t="s">
        <v>1315</v>
      </c>
      <c r="W699" t="s">
        <v>1187</v>
      </c>
    </row>
    <row r="700" spans="1:23" x14ac:dyDescent="0.25">
      <c r="A700" t="s">
        <v>1318</v>
      </c>
      <c r="B700" t="s">
        <v>1318</v>
      </c>
      <c r="C700">
        <v>0</v>
      </c>
      <c r="D700" s="3">
        <v>0</v>
      </c>
      <c r="E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 t="s">
        <v>1102</v>
      </c>
      <c r="U700" t="s">
        <v>180</v>
      </c>
      <c r="V700" t="s">
        <v>1315</v>
      </c>
      <c r="W700" t="s">
        <v>1189</v>
      </c>
    </row>
    <row r="701" spans="1:23" x14ac:dyDescent="0.25">
      <c r="A701" t="s">
        <v>1319</v>
      </c>
      <c r="B701" t="s">
        <v>1319</v>
      </c>
      <c r="C701">
        <v>0</v>
      </c>
      <c r="D701" s="3">
        <v>0</v>
      </c>
      <c r="E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1102</v>
      </c>
      <c r="U701" t="s">
        <v>180</v>
      </c>
      <c r="V701" t="s">
        <v>1315</v>
      </c>
      <c r="W701" t="s">
        <v>1191</v>
      </c>
    </row>
    <row r="702" spans="1:23" x14ac:dyDescent="0.25">
      <c r="A702" t="s">
        <v>1320</v>
      </c>
      <c r="B702" t="s">
        <v>1320</v>
      </c>
      <c r="C702">
        <v>0</v>
      </c>
      <c r="D702" s="3">
        <v>0</v>
      </c>
      <c r="E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 t="s">
        <v>1102</v>
      </c>
      <c r="U702" t="s">
        <v>180</v>
      </c>
      <c r="V702" t="s">
        <v>1320</v>
      </c>
      <c r="W702" t="s">
        <v>1104</v>
      </c>
    </row>
    <row r="703" spans="1:23" x14ac:dyDescent="0.25">
      <c r="A703" t="s">
        <v>1321</v>
      </c>
      <c r="B703" t="s">
        <v>1321</v>
      </c>
      <c r="C703">
        <v>6.5</v>
      </c>
      <c r="D703" s="3">
        <v>6.5</v>
      </c>
      <c r="E703">
        <v>15</v>
      </c>
      <c r="G703">
        <v>14</v>
      </c>
      <c r="H703">
        <v>5</v>
      </c>
      <c r="I703">
        <v>5</v>
      </c>
      <c r="J703">
        <v>15</v>
      </c>
      <c r="K703">
        <v>4</v>
      </c>
      <c r="L703">
        <v>10</v>
      </c>
      <c r="M703">
        <v>4</v>
      </c>
      <c r="N703">
        <v>8</v>
      </c>
      <c r="O703">
        <v>3</v>
      </c>
      <c r="P703">
        <v>10</v>
      </c>
      <c r="Q703">
        <v>12</v>
      </c>
      <c r="R703">
        <v>2</v>
      </c>
      <c r="S703">
        <v>92</v>
      </c>
      <c r="T703" t="s">
        <v>1102</v>
      </c>
      <c r="U703" t="s">
        <v>180</v>
      </c>
      <c r="V703" t="s">
        <v>1320</v>
      </c>
      <c r="W703" t="s">
        <v>1183</v>
      </c>
    </row>
    <row r="704" spans="1:23" x14ac:dyDescent="0.25">
      <c r="A704" t="s">
        <v>1322</v>
      </c>
      <c r="B704" t="s">
        <v>1322</v>
      </c>
      <c r="C704">
        <v>0</v>
      </c>
      <c r="D704" s="3">
        <v>0</v>
      </c>
      <c r="E704">
        <v>15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10</v>
      </c>
      <c r="Q704">
        <v>0</v>
      </c>
      <c r="R704">
        <v>0</v>
      </c>
      <c r="S704">
        <v>10</v>
      </c>
      <c r="T704" t="s">
        <v>1102</v>
      </c>
      <c r="U704" t="s">
        <v>180</v>
      </c>
      <c r="V704" t="s">
        <v>1320</v>
      </c>
      <c r="W704" t="s">
        <v>1185</v>
      </c>
    </row>
    <row r="705" spans="1:23" x14ac:dyDescent="0.25">
      <c r="A705" t="s">
        <v>666</v>
      </c>
      <c r="B705" t="s">
        <v>666</v>
      </c>
      <c r="C705">
        <v>0</v>
      </c>
      <c r="D705" s="3">
        <v>0</v>
      </c>
      <c r="E705">
        <v>24</v>
      </c>
      <c r="F705">
        <v>24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1102</v>
      </c>
      <c r="U705" t="s">
        <v>180</v>
      </c>
      <c r="V705" t="s">
        <v>1320</v>
      </c>
      <c r="W705" t="s">
        <v>1187</v>
      </c>
    </row>
    <row r="706" spans="1:23" x14ac:dyDescent="0.25">
      <c r="A706" t="s">
        <v>667</v>
      </c>
      <c r="B706" t="s">
        <v>667</v>
      </c>
      <c r="C706">
        <v>0</v>
      </c>
      <c r="D706" s="3">
        <v>0</v>
      </c>
      <c r="E706">
        <v>42</v>
      </c>
      <c r="F706">
        <v>42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 t="s">
        <v>1102</v>
      </c>
      <c r="U706" t="s">
        <v>180</v>
      </c>
      <c r="V706" t="s">
        <v>1320</v>
      </c>
      <c r="W706" t="s">
        <v>1189</v>
      </c>
    </row>
    <row r="707" spans="1:23" x14ac:dyDescent="0.25">
      <c r="A707" t="s">
        <v>668</v>
      </c>
      <c r="B707" t="s">
        <v>668</v>
      </c>
      <c r="C707">
        <v>0</v>
      </c>
      <c r="D707" s="3">
        <v>0</v>
      </c>
      <c r="E707">
        <v>20</v>
      </c>
      <c r="F707">
        <v>18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6</v>
      </c>
      <c r="O707">
        <v>12</v>
      </c>
      <c r="P707">
        <v>7</v>
      </c>
      <c r="Q707">
        <v>5</v>
      </c>
      <c r="R707">
        <v>7</v>
      </c>
      <c r="S707">
        <v>37</v>
      </c>
      <c r="T707" t="s">
        <v>1102</v>
      </c>
      <c r="U707" t="s">
        <v>180</v>
      </c>
      <c r="V707" t="s">
        <v>1320</v>
      </c>
      <c r="W707" t="s">
        <v>1191</v>
      </c>
    </row>
    <row r="708" spans="1:23" x14ac:dyDescent="0.25">
      <c r="A708" t="s">
        <v>1323</v>
      </c>
      <c r="B708" t="s">
        <v>1323</v>
      </c>
      <c r="C708">
        <v>0</v>
      </c>
      <c r="D708" s="3">
        <v>0</v>
      </c>
      <c r="E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 t="s">
        <v>1102</v>
      </c>
      <c r="U708" t="s">
        <v>180</v>
      </c>
      <c r="V708" t="s">
        <v>1323</v>
      </c>
      <c r="W708" t="s">
        <v>1106</v>
      </c>
    </row>
    <row r="709" spans="1:23" x14ac:dyDescent="0.25">
      <c r="A709" t="s">
        <v>1324</v>
      </c>
      <c r="B709" t="s">
        <v>1324</v>
      </c>
      <c r="C709">
        <v>1</v>
      </c>
      <c r="D709" s="3">
        <v>1</v>
      </c>
      <c r="E709">
        <v>5</v>
      </c>
      <c r="G709">
        <v>2</v>
      </c>
      <c r="H709">
        <v>1</v>
      </c>
      <c r="I709">
        <v>1</v>
      </c>
      <c r="J709">
        <v>2</v>
      </c>
      <c r="K709">
        <v>4</v>
      </c>
      <c r="L709">
        <v>0</v>
      </c>
      <c r="M709">
        <v>0</v>
      </c>
      <c r="N709">
        <v>0</v>
      </c>
      <c r="O709">
        <v>3</v>
      </c>
      <c r="P709">
        <v>0</v>
      </c>
      <c r="Q709">
        <v>0</v>
      </c>
      <c r="R709">
        <v>1</v>
      </c>
      <c r="S709">
        <v>14</v>
      </c>
      <c r="T709" t="s">
        <v>1102</v>
      </c>
      <c r="U709" t="s">
        <v>180</v>
      </c>
      <c r="V709" t="s">
        <v>1323</v>
      </c>
      <c r="W709" t="s">
        <v>1183</v>
      </c>
    </row>
    <row r="710" spans="1:23" x14ac:dyDescent="0.25">
      <c r="A710" t="s">
        <v>1325</v>
      </c>
      <c r="B710" t="s">
        <v>1325</v>
      </c>
      <c r="C710">
        <v>0</v>
      </c>
      <c r="D710" s="3">
        <v>0</v>
      </c>
      <c r="E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 t="s">
        <v>1102</v>
      </c>
      <c r="U710" t="s">
        <v>180</v>
      </c>
      <c r="V710" t="s">
        <v>1323</v>
      </c>
      <c r="W710" t="s">
        <v>1185</v>
      </c>
    </row>
    <row r="711" spans="1:23" x14ac:dyDescent="0.25">
      <c r="A711" t="s">
        <v>1326</v>
      </c>
      <c r="B711" t="s">
        <v>1326</v>
      </c>
      <c r="C711">
        <v>0</v>
      </c>
      <c r="D711" s="3">
        <v>0</v>
      </c>
      <c r="E711">
        <v>4</v>
      </c>
      <c r="G711">
        <v>1</v>
      </c>
      <c r="H711">
        <v>0</v>
      </c>
      <c r="I711">
        <v>2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5</v>
      </c>
      <c r="T711" t="s">
        <v>1102</v>
      </c>
      <c r="U711" t="s">
        <v>180</v>
      </c>
      <c r="V711" t="s">
        <v>1323</v>
      </c>
      <c r="W711" t="s">
        <v>1187</v>
      </c>
    </row>
    <row r="712" spans="1:23" x14ac:dyDescent="0.25">
      <c r="A712" t="s">
        <v>1327</v>
      </c>
      <c r="B712" t="s">
        <v>1327</v>
      </c>
      <c r="C712">
        <v>0</v>
      </c>
      <c r="D712" s="3">
        <v>0</v>
      </c>
      <c r="E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 t="s">
        <v>1102</v>
      </c>
      <c r="U712" t="s">
        <v>180</v>
      </c>
      <c r="V712" t="s">
        <v>1323</v>
      </c>
      <c r="W712" t="s">
        <v>1189</v>
      </c>
    </row>
    <row r="713" spans="1:23" x14ac:dyDescent="0.25">
      <c r="A713" t="s">
        <v>1328</v>
      </c>
      <c r="B713" t="s">
        <v>1328</v>
      </c>
      <c r="C713">
        <v>0</v>
      </c>
      <c r="D713" s="3">
        <v>0</v>
      </c>
      <c r="E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 t="s">
        <v>1102</v>
      </c>
      <c r="U713" t="s">
        <v>180</v>
      </c>
      <c r="V713" t="s">
        <v>1323</v>
      </c>
      <c r="W713" t="s">
        <v>1191</v>
      </c>
    </row>
    <row r="714" spans="1:23" x14ac:dyDescent="0.25">
      <c r="A714" t="s">
        <v>1329</v>
      </c>
      <c r="B714" t="s">
        <v>1329</v>
      </c>
      <c r="C714">
        <v>0</v>
      </c>
      <c r="D714" s="3">
        <v>0</v>
      </c>
      <c r="E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 t="s">
        <v>1102</v>
      </c>
      <c r="U714" t="s">
        <v>180</v>
      </c>
      <c r="V714" t="s">
        <v>1329</v>
      </c>
      <c r="W714" t="s">
        <v>1108</v>
      </c>
    </row>
    <row r="715" spans="1:23" x14ac:dyDescent="0.25">
      <c r="A715" t="s">
        <v>1330</v>
      </c>
      <c r="B715" t="s">
        <v>1330</v>
      </c>
      <c r="C715">
        <v>0.5</v>
      </c>
      <c r="D715" s="3">
        <v>0.5</v>
      </c>
      <c r="E715">
        <v>3</v>
      </c>
      <c r="G715">
        <v>6</v>
      </c>
      <c r="H715">
        <v>1</v>
      </c>
      <c r="I715">
        <v>1</v>
      </c>
      <c r="J715">
        <v>4</v>
      </c>
      <c r="K715">
        <v>10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3</v>
      </c>
      <c r="S715">
        <v>25</v>
      </c>
      <c r="T715" t="s">
        <v>1102</v>
      </c>
      <c r="U715" t="s">
        <v>180</v>
      </c>
      <c r="V715" t="s">
        <v>1329</v>
      </c>
      <c r="W715" t="s">
        <v>1183</v>
      </c>
    </row>
    <row r="716" spans="1:23" x14ac:dyDescent="0.25">
      <c r="A716" t="s">
        <v>1331</v>
      </c>
      <c r="B716" t="s">
        <v>1331</v>
      </c>
      <c r="C716">
        <v>8</v>
      </c>
      <c r="D716" s="3">
        <v>8</v>
      </c>
      <c r="E716">
        <v>60</v>
      </c>
      <c r="G716">
        <v>12</v>
      </c>
      <c r="H716">
        <v>9</v>
      </c>
      <c r="I716">
        <v>8</v>
      </c>
      <c r="J716">
        <v>6</v>
      </c>
      <c r="K716">
        <v>8</v>
      </c>
      <c r="L716">
        <v>5</v>
      </c>
      <c r="M716">
        <v>2</v>
      </c>
      <c r="N716">
        <v>8</v>
      </c>
      <c r="O716">
        <v>8</v>
      </c>
      <c r="P716">
        <v>5</v>
      </c>
      <c r="Q716">
        <v>20</v>
      </c>
      <c r="R716">
        <v>4</v>
      </c>
      <c r="S716">
        <v>95</v>
      </c>
      <c r="T716" t="s">
        <v>1102</v>
      </c>
      <c r="U716" t="s">
        <v>180</v>
      </c>
      <c r="V716" t="s">
        <v>1329</v>
      </c>
      <c r="W716" t="s">
        <v>1185</v>
      </c>
    </row>
    <row r="717" spans="1:23" x14ac:dyDescent="0.25">
      <c r="A717" t="s">
        <v>1332</v>
      </c>
      <c r="B717" t="s">
        <v>1332</v>
      </c>
      <c r="C717">
        <v>0</v>
      </c>
      <c r="D717" s="3">
        <v>0</v>
      </c>
      <c r="E717">
        <v>6</v>
      </c>
      <c r="G717">
        <v>2</v>
      </c>
      <c r="H717">
        <v>0</v>
      </c>
      <c r="I717">
        <v>0</v>
      </c>
      <c r="J717">
        <v>0</v>
      </c>
      <c r="K717">
        <v>0</v>
      </c>
      <c r="L717">
        <v>2</v>
      </c>
      <c r="M717">
        <v>0</v>
      </c>
      <c r="N717">
        <v>2</v>
      </c>
      <c r="O717">
        <v>0</v>
      </c>
      <c r="P717">
        <v>4</v>
      </c>
      <c r="Q717">
        <v>0</v>
      </c>
      <c r="R717">
        <v>3</v>
      </c>
      <c r="S717">
        <v>13</v>
      </c>
      <c r="T717" t="s">
        <v>1102</v>
      </c>
      <c r="U717" t="s">
        <v>180</v>
      </c>
      <c r="V717" t="s">
        <v>1329</v>
      </c>
      <c r="W717" t="s">
        <v>1187</v>
      </c>
    </row>
    <row r="718" spans="1:23" x14ac:dyDescent="0.25">
      <c r="A718" t="s">
        <v>1333</v>
      </c>
      <c r="B718" t="s">
        <v>1333</v>
      </c>
      <c r="C718">
        <v>0</v>
      </c>
      <c r="D718" s="3">
        <v>0</v>
      </c>
      <c r="E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 t="s">
        <v>1102</v>
      </c>
      <c r="U718" t="s">
        <v>180</v>
      </c>
      <c r="V718" t="s">
        <v>1329</v>
      </c>
      <c r="W718" t="s">
        <v>1189</v>
      </c>
    </row>
    <row r="719" spans="1:23" x14ac:dyDescent="0.25">
      <c r="A719" t="s">
        <v>1334</v>
      </c>
      <c r="B719" t="s">
        <v>1334</v>
      </c>
      <c r="C719">
        <v>0</v>
      </c>
      <c r="D719" s="3">
        <v>0</v>
      </c>
      <c r="E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 t="s">
        <v>1102</v>
      </c>
      <c r="U719" t="s">
        <v>180</v>
      </c>
      <c r="V719" t="s">
        <v>1329</v>
      </c>
      <c r="W719" t="s">
        <v>1191</v>
      </c>
    </row>
    <row r="720" spans="1:23" x14ac:dyDescent="0.25">
      <c r="A720" t="s">
        <v>1335</v>
      </c>
      <c r="B720" t="s">
        <v>1335</v>
      </c>
      <c r="C720">
        <v>0</v>
      </c>
      <c r="D720" s="3">
        <v>0</v>
      </c>
      <c r="E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 t="s">
        <v>1102</v>
      </c>
      <c r="U720" t="s">
        <v>180</v>
      </c>
      <c r="V720" t="s">
        <v>1335</v>
      </c>
      <c r="W720" t="s">
        <v>1129</v>
      </c>
    </row>
    <row r="721" spans="1:23" x14ac:dyDescent="0.25">
      <c r="A721" t="s">
        <v>1336</v>
      </c>
      <c r="B721" t="s">
        <v>1336</v>
      </c>
      <c r="C721">
        <v>0</v>
      </c>
      <c r="D721" s="3">
        <v>0</v>
      </c>
      <c r="E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 t="s">
        <v>1102</v>
      </c>
      <c r="U721" t="s">
        <v>180</v>
      </c>
      <c r="V721" t="s">
        <v>1335</v>
      </c>
      <c r="W721" t="s">
        <v>1183</v>
      </c>
    </row>
    <row r="722" spans="1:23" x14ac:dyDescent="0.25">
      <c r="A722" t="s">
        <v>1337</v>
      </c>
      <c r="B722" t="s">
        <v>1337</v>
      </c>
      <c r="C722">
        <v>0</v>
      </c>
      <c r="D722" s="3">
        <v>0</v>
      </c>
      <c r="E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1102</v>
      </c>
      <c r="U722" t="s">
        <v>180</v>
      </c>
      <c r="V722" t="s">
        <v>1335</v>
      </c>
      <c r="W722" t="s">
        <v>1185</v>
      </c>
    </row>
    <row r="723" spans="1:23" x14ac:dyDescent="0.25">
      <c r="A723" t="s">
        <v>1338</v>
      </c>
      <c r="B723" t="s">
        <v>1338</v>
      </c>
      <c r="C723">
        <v>0</v>
      </c>
      <c r="D723" s="3">
        <v>0</v>
      </c>
      <c r="E723">
        <v>7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2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4</v>
      </c>
      <c r="T723" t="s">
        <v>1102</v>
      </c>
      <c r="U723" t="s">
        <v>180</v>
      </c>
      <c r="V723" t="s">
        <v>1335</v>
      </c>
      <c r="W723" t="s">
        <v>1187</v>
      </c>
    </row>
    <row r="724" spans="1:23" x14ac:dyDescent="0.25">
      <c r="A724" t="s">
        <v>1339</v>
      </c>
      <c r="B724" t="s">
        <v>1339</v>
      </c>
      <c r="C724">
        <v>0</v>
      </c>
      <c r="D724" s="3">
        <v>0</v>
      </c>
      <c r="E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1102</v>
      </c>
      <c r="U724" t="s">
        <v>180</v>
      </c>
      <c r="V724" t="s">
        <v>1335</v>
      </c>
      <c r="W724" t="s">
        <v>1189</v>
      </c>
    </row>
    <row r="725" spans="1:23" x14ac:dyDescent="0.25">
      <c r="A725" t="s">
        <v>1340</v>
      </c>
      <c r="B725" t="s">
        <v>1340</v>
      </c>
      <c r="C725">
        <v>0</v>
      </c>
      <c r="D725" s="3">
        <v>0</v>
      </c>
      <c r="E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 t="s">
        <v>1102</v>
      </c>
      <c r="U725" t="s">
        <v>180</v>
      </c>
      <c r="V725" t="s">
        <v>1335</v>
      </c>
      <c r="W725" t="s">
        <v>1191</v>
      </c>
    </row>
    <row r="726" spans="1:23" x14ac:dyDescent="0.25">
      <c r="A726" t="s">
        <v>1341</v>
      </c>
      <c r="B726" t="s">
        <v>1341</v>
      </c>
      <c r="C726">
        <v>0</v>
      </c>
      <c r="D726" s="3">
        <v>0</v>
      </c>
      <c r="E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t="s">
        <v>1102</v>
      </c>
      <c r="U726" t="s">
        <v>180</v>
      </c>
      <c r="V726" t="s">
        <v>1341</v>
      </c>
      <c r="W726" t="s">
        <v>1131</v>
      </c>
    </row>
    <row r="727" spans="1:23" x14ac:dyDescent="0.25">
      <c r="A727" t="s">
        <v>669</v>
      </c>
      <c r="B727" t="s">
        <v>669</v>
      </c>
      <c r="C727">
        <v>0</v>
      </c>
      <c r="D727" s="3">
        <v>0</v>
      </c>
      <c r="E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 t="s">
        <v>1102</v>
      </c>
      <c r="U727" t="s">
        <v>180</v>
      </c>
      <c r="V727" t="s">
        <v>1341</v>
      </c>
      <c r="W727" t="s">
        <v>1183</v>
      </c>
    </row>
    <row r="728" spans="1:23" x14ac:dyDescent="0.25">
      <c r="A728" t="s">
        <v>1342</v>
      </c>
      <c r="B728" t="s">
        <v>1342</v>
      </c>
      <c r="C728">
        <v>0</v>
      </c>
      <c r="D728" s="3">
        <v>0</v>
      </c>
      <c r="E728">
        <v>14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1</v>
      </c>
      <c r="M728">
        <v>1</v>
      </c>
      <c r="N728">
        <v>0</v>
      </c>
      <c r="O728">
        <v>3</v>
      </c>
      <c r="P728">
        <v>0</v>
      </c>
      <c r="Q728">
        <v>0</v>
      </c>
      <c r="R728">
        <v>0</v>
      </c>
      <c r="S728">
        <v>6</v>
      </c>
      <c r="T728" t="s">
        <v>1102</v>
      </c>
      <c r="U728" t="s">
        <v>180</v>
      </c>
      <c r="V728" t="s">
        <v>1341</v>
      </c>
      <c r="W728" t="s">
        <v>1185</v>
      </c>
    </row>
    <row r="729" spans="1:23" x14ac:dyDescent="0.25">
      <c r="A729" t="s">
        <v>1343</v>
      </c>
      <c r="B729" t="s">
        <v>1343</v>
      </c>
      <c r="C729">
        <v>0</v>
      </c>
      <c r="D729" s="3">
        <v>0</v>
      </c>
      <c r="E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 t="s">
        <v>1102</v>
      </c>
      <c r="U729" t="s">
        <v>180</v>
      </c>
      <c r="V729" t="s">
        <v>1341</v>
      </c>
      <c r="W729" t="s">
        <v>1187</v>
      </c>
    </row>
    <row r="730" spans="1:23" x14ac:dyDescent="0.25">
      <c r="A730" t="s">
        <v>1344</v>
      </c>
      <c r="B730" t="s">
        <v>1344</v>
      </c>
      <c r="C730">
        <v>0</v>
      </c>
      <c r="D730" s="3">
        <v>0</v>
      </c>
      <c r="E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 t="s">
        <v>1102</v>
      </c>
      <c r="U730" t="s">
        <v>180</v>
      </c>
      <c r="V730" t="s">
        <v>1341</v>
      </c>
      <c r="W730" t="s">
        <v>1189</v>
      </c>
    </row>
    <row r="731" spans="1:23" x14ac:dyDescent="0.25">
      <c r="A731" t="s">
        <v>1345</v>
      </c>
      <c r="B731" t="s">
        <v>1345</v>
      </c>
      <c r="C731">
        <v>0</v>
      </c>
      <c r="D731" s="3">
        <v>0</v>
      </c>
      <c r="E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 t="s">
        <v>1102</v>
      </c>
      <c r="U731" t="s">
        <v>180</v>
      </c>
      <c r="V731" t="s">
        <v>1341</v>
      </c>
      <c r="W731" t="s">
        <v>1191</v>
      </c>
    </row>
    <row r="732" spans="1:23" x14ac:dyDescent="0.25">
      <c r="A732" t="s">
        <v>1346</v>
      </c>
      <c r="B732" t="s">
        <v>1346</v>
      </c>
      <c r="C732">
        <v>0</v>
      </c>
      <c r="D732" s="3">
        <v>0</v>
      </c>
      <c r="E732">
        <v>4</v>
      </c>
      <c r="G732">
        <v>0</v>
      </c>
      <c r="H732">
        <v>0</v>
      </c>
      <c r="I732">
        <v>1</v>
      </c>
      <c r="J732">
        <v>0</v>
      </c>
      <c r="K732">
        <v>3</v>
      </c>
      <c r="L732">
        <v>2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7</v>
      </c>
      <c r="T732" t="s">
        <v>1102</v>
      </c>
      <c r="U732" t="s">
        <v>180</v>
      </c>
      <c r="V732" t="s">
        <v>1347</v>
      </c>
      <c r="W732" t="s">
        <v>1183</v>
      </c>
    </row>
    <row r="733" spans="1:23" x14ac:dyDescent="0.25">
      <c r="A733" t="s">
        <v>1348</v>
      </c>
      <c r="B733" t="s">
        <v>1348</v>
      </c>
      <c r="C733">
        <v>0</v>
      </c>
      <c r="D733" s="3">
        <v>0</v>
      </c>
      <c r="E733">
        <v>8</v>
      </c>
      <c r="G733">
        <v>0</v>
      </c>
      <c r="H733">
        <v>0</v>
      </c>
      <c r="I733">
        <v>1</v>
      </c>
      <c r="J733">
        <v>0</v>
      </c>
      <c r="K733">
        <v>2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4</v>
      </c>
      <c r="T733" t="s">
        <v>1102</v>
      </c>
      <c r="U733" t="s">
        <v>180</v>
      </c>
      <c r="V733" t="s">
        <v>1347</v>
      </c>
      <c r="W733" t="s">
        <v>1185</v>
      </c>
    </row>
    <row r="734" spans="1:23" x14ac:dyDescent="0.25">
      <c r="A734" t="s">
        <v>1349</v>
      </c>
      <c r="B734" t="s">
        <v>1349</v>
      </c>
      <c r="C734">
        <v>3</v>
      </c>
      <c r="D734" s="3">
        <v>3</v>
      </c>
      <c r="E734">
        <v>13</v>
      </c>
      <c r="G734">
        <v>7</v>
      </c>
      <c r="H734">
        <v>5</v>
      </c>
      <c r="I734">
        <v>3</v>
      </c>
      <c r="J734">
        <v>5</v>
      </c>
      <c r="K734">
        <v>2</v>
      </c>
      <c r="L734">
        <v>2</v>
      </c>
      <c r="M734">
        <v>0</v>
      </c>
      <c r="N734">
        <v>5</v>
      </c>
      <c r="O734">
        <v>3</v>
      </c>
      <c r="P734">
        <v>5</v>
      </c>
      <c r="Q734">
        <v>2</v>
      </c>
      <c r="R734">
        <v>1</v>
      </c>
      <c r="S734">
        <v>40</v>
      </c>
      <c r="T734" t="s">
        <v>1102</v>
      </c>
      <c r="U734" t="s">
        <v>180</v>
      </c>
      <c r="V734" t="s">
        <v>1347</v>
      </c>
      <c r="W734" t="s">
        <v>1187</v>
      </c>
    </row>
    <row r="735" spans="1:23" x14ac:dyDescent="0.25">
      <c r="A735" t="s">
        <v>1350</v>
      </c>
      <c r="B735" t="s">
        <v>1350</v>
      </c>
      <c r="C735">
        <v>0</v>
      </c>
      <c r="D735" s="3">
        <v>0</v>
      </c>
      <c r="E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 t="s">
        <v>1102</v>
      </c>
      <c r="U735" t="s">
        <v>180</v>
      </c>
      <c r="V735" t="s">
        <v>1351</v>
      </c>
      <c r="W735" t="s">
        <v>1183</v>
      </c>
    </row>
    <row r="736" spans="1:23" x14ac:dyDescent="0.25">
      <c r="A736" t="s">
        <v>1352</v>
      </c>
      <c r="B736" t="s">
        <v>1352</v>
      </c>
      <c r="C736">
        <v>2</v>
      </c>
      <c r="D736" s="3">
        <v>2</v>
      </c>
      <c r="E736">
        <v>24</v>
      </c>
      <c r="G736">
        <v>0</v>
      </c>
      <c r="H736">
        <v>0</v>
      </c>
      <c r="I736">
        <v>0</v>
      </c>
      <c r="J736">
        <v>0</v>
      </c>
      <c r="K736">
        <v>3</v>
      </c>
      <c r="L736">
        <v>2</v>
      </c>
      <c r="M736">
        <v>2</v>
      </c>
      <c r="N736">
        <v>4</v>
      </c>
      <c r="O736">
        <v>3</v>
      </c>
      <c r="P736">
        <v>10</v>
      </c>
      <c r="Q736">
        <v>4</v>
      </c>
      <c r="R736">
        <v>1</v>
      </c>
      <c r="S736">
        <v>29</v>
      </c>
      <c r="T736" t="s">
        <v>1102</v>
      </c>
      <c r="U736" t="s">
        <v>180</v>
      </c>
      <c r="V736" t="s">
        <v>1351</v>
      </c>
      <c r="W736" t="s">
        <v>1185</v>
      </c>
    </row>
    <row r="737" spans="1:23" x14ac:dyDescent="0.25">
      <c r="A737" t="s">
        <v>1353</v>
      </c>
      <c r="B737" t="s">
        <v>1353</v>
      </c>
      <c r="C737">
        <v>0</v>
      </c>
      <c r="D737" s="3">
        <v>0</v>
      </c>
      <c r="E737">
        <v>0</v>
      </c>
      <c r="G737">
        <v>6</v>
      </c>
      <c r="H737">
        <v>5</v>
      </c>
      <c r="I737">
        <v>7</v>
      </c>
      <c r="J737">
        <v>5</v>
      </c>
      <c r="K737">
        <v>0</v>
      </c>
      <c r="L737">
        <v>2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25</v>
      </c>
      <c r="T737" t="s">
        <v>1102</v>
      </c>
      <c r="U737" t="s">
        <v>180</v>
      </c>
      <c r="V737" t="s">
        <v>1351</v>
      </c>
      <c r="W737" t="s">
        <v>1187</v>
      </c>
    </row>
    <row r="738" spans="1:23" x14ac:dyDescent="0.25">
      <c r="A738" t="s">
        <v>1354</v>
      </c>
      <c r="B738" t="s">
        <v>1354</v>
      </c>
      <c r="C738">
        <v>0</v>
      </c>
      <c r="D738" s="3">
        <v>0</v>
      </c>
      <c r="E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 t="s">
        <v>1102</v>
      </c>
      <c r="U738" t="s">
        <v>180</v>
      </c>
      <c r="V738" t="s">
        <v>1355</v>
      </c>
      <c r="W738" t="s">
        <v>1183</v>
      </c>
    </row>
    <row r="739" spans="1:23" x14ac:dyDescent="0.25">
      <c r="A739" t="s">
        <v>1356</v>
      </c>
      <c r="B739" t="s">
        <v>1356</v>
      </c>
      <c r="C739">
        <v>0</v>
      </c>
      <c r="D739" s="3">
        <v>0</v>
      </c>
      <c r="E739">
        <v>6</v>
      </c>
      <c r="G739">
        <v>2</v>
      </c>
      <c r="H739">
        <v>1</v>
      </c>
      <c r="I739">
        <v>2</v>
      </c>
      <c r="J739">
        <v>2</v>
      </c>
      <c r="K739">
        <v>0</v>
      </c>
      <c r="L739">
        <v>0</v>
      </c>
      <c r="M739">
        <v>0</v>
      </c>
      <c r="N739">
        <v>-2</v>
      </c>
      <c r="O739">
        <v>0</v>
      </c>
      <c r="P739">
        <v>0</v>
      </c>
      <c r="Q739">
        <v>0</v>
      </c>
      <c r="R739">
        <v>0</v>
      </c>
      <c r="S739">
        <v>5</v>
      </c>
      <c r="T739" t="s">
        <v>1102</v>
      </c>
      <c r="U739" t="s">
        <v>180</v>
      </c>
      <c r="V739" t="s">
        <v>1355</v>
      </c>
      <c r="W739" t="s">
        <v>1185</v>
      </c>
    </row>
    <row r="740" spans="1:23" x14ac:dyDescent="0.25">
      <c r="A740" t="s">
        <v>1357</v>
      </c>
      <c r="B740" t="s">
        <v>1357</v>
      </c>
      <c r="C740">
        <v>0</v>
      </c>
      <c r="D740" s="3">
        <v>0</v>
      </c>
      <c r="E740">
        <v>11</v>
      </c>
      <c r="G740">
        <v>0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 t="s">
        <v>1102</v>
      </c>
      <c r="U740" t="s">
        <v>180</v>
      </c>
      <c r="V740" t="s">
        <v>1355</v>
      </c>
      <c r="W740" t="s">
        <v>1187</v>
      </c>
    </row>
    <row r="741" spans="1:23" x14ac:dyDescent="0.25">
      <c r="A741" t="s">
        <v>1358</v>
      </c>
      <c r="B741" t="s">
        <v>1358</v>
      </c>
      <c r="C741">
        <v>0</v>
      </c>
      <c r="D741" s="3">
        <v>0</v>
      </c>
      <c r="E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 t="s">
        <v>1102</v>
      </c>
      <c r="U741" t="s">
        <v>180</v>
      </c>
      <c r="V741" t="s">
        <v>1359</v>
      </c>
      <c r="W741" t="s">
        <v>1183</v>
      </c>
    </row>
    <row r="742" spans="1:23" x14ac:dyDescent="0.25">
      <c r="A742" t="s">
        <v>1360</v>
      </c>
      <c r="B742" t="s">
        <v>1360</v>
      </c>
      <c r="C742">
        <v>2</v>
      </c>
      <c r="D742" s="3">
        <v>2</v>
      </c>
      <c r="E742">
        <v>0.5</v>
      </c>
      <c r="G742">
        <v>2</v>
      </c>
      <c r="H742">
        <v>1</v>
      </c>
      <c r="I742">
        <v>4</v>
      </c>
      <c r="J742">
        <v>0</v>
      </c>
      <c r="K742">
        <v>9</v>
      </c>
      <c r="L742">
        <v>0</v>
      </c>
      <c r="M742">
        <v>10.5</v>
      </c>
      <c r="N742">
        <v>2</v>
      </c>
      <c r="O742">
        <v>4</v>
      </c>
      <c r="P742">
        <v>2</v>
      </c>
      <c r="Q742">
        <v>0</v>
      </c>
      <c r="R742">
        <v>0</v>
      </c>
      <c r="S742">
        <v>34.5</v>
      </c>
      <c r="T742" t="s">
        <v>1102</v>
      </c>
      <c r="U742" t="s">
        <v>180</v>
      </c>
      <c r="V742" t="s">
        <v>1359</v>
      </c>
      <c r="W742" t="s">
        <v>1185</v>
      </c>
    </row>
    <row r="743" spans="1:23" x14ac:dyDescent="0.25">
      <c r="A743" t="s">
        <v>1361</v>
      </c>
      <c r="B743" t="s">
        <v>1361</v>
      </c>
      <c r="C743">
        <v>0</v>
      </c>
      <c r="D743" s="3">
        <v>0</v>
      </c>
      <c r="E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2</v>
      </c>
      <c r="O743">
        <v>3</v>
      </c>
      <c r="P743">
        <v>0</v>
      </c>
      <c r="Q743">
        <v>0</v>
      </c>
      <c r="R743">
        <v>2</v>
      </c>
      <c r="S743">
        <v>7</v>
      </c>
      <c r="T743" t="s">
        <v>1102</v>
      </c>
      <c r="U743" t="s">
        <v>180</v>
      </c>
      <c r="V743" t="s">
        <v>1359</v>
      </c>
      <c r="W743" t="s">
        <v>1187</v>
      </c>
    </row>
    <row r="744" spans="1:23" x14ac:dyDescent="0.25">
      <c r="A744" t="s">
        <v>1362</v>
      </c>
      <c r="B744" t="s">
        <v>1362</v>
      </c>
      <c r="C744">
        <v>0</v>
      </c>
      <c r="D744" s="3">
        <v>0</v>
      </c>
      <c r="E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 t="s">
        <v>1102</v>
      </c>
      <c r="U744" t="s">
        <v>180</v>
      </c>
      <c r="V744" t="s">
        <v>1359</v>
      </c>
      <c r="W744" t="s">
        <v>1189</v>
      </c>
    </row>
    <row r="745" spans="1:23" x14ac:dyDescent="0.25">
      <c r="A745" t="s">
        <v>1363</v>
      </c>
      <c r="B745" t="s">
        <v>1363</v>
      </c>
      <c r="C745">
        <v>2</v>
      </c>
      <c r="D745" s="3">
        <v>2</v>
      </c>
      <c r="E745">
        <v>30</v>
      </c>
      <c r="G745">
        <v>5</v>
      </c>
      <c r="H745">
        <v>0</v>
      </c>
      <c r="I745">
        <v>3</v>
      </c>
      <c r="J745">
        <v>4</v>
      </c>
      <c r="K745">
        <v>3</v>
      </c>
      <c r="L745">
        <v>3</v>
      </c>
      <c r="M745">
        <v>1</v>
      </c>
      <c r="N745">
        <v>1</v>
      </c>
      <c r="O745">
        <v>1</v>
      </c>
      <c r="P745">
        <v>2</v>
      </c>
      <c r="Q745">
        <v>1</v>
      </c>
      <c r="R745">
        <v>2</v>
      </c>
      <c r="S745">
        <v>26</v>
      </c>
      <c r="T745" t="s">
        <v>1102</v>
      </c>
      <c r="U745" t="s">
        <v>180</v>
      </c>
      <c r="V745" t="s">
        <v>1359</v>
      </c>
      <c r="W745" t="s">
        <v>1191</v>
      </c>
    </row>
    <row r="746" spans="1:23" x14ac:dyDescent="0.25">
      <c r="A746" t="s">
        <v>1364</v>
      </c>
      <c r="B746" t="s">
        <v>1364</v>
      </c>
      <c r="C746">
        <v>0</v>
      </c>
      <c r="D746" s="3">
        <v>0</v>
      </c>
      <c r="E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 t="s">
        <v>1102</v>
      </c>
      <c r="U746" t="s">
        <v>180</v>
      </c>
      <c r="V746" t="s">
        <v>1365</v>
      </c>
      <c r="W746" t="s">
        <v>1183</v>
      </c>
    </row>
    <row r="747" spans="1:23" x14ac:dyDescent="0.25">
      <c r="A747" t="s">
        <v>1366</v>
      </c>
      <c r="B747" t="s">
        <v>1366</v>
      </c>
      <c r="C747">
        <v>10.5</v>
      </c>
      <c r="D747" s="3">
        <v>10.5</v>
      </c>
      <c r="E747">
        <v>24</v>
      </c>
      <c r="G747">
        <v>7</v>
      </c>
      <c r="H747">
        <v>10</v>
      </c>
      <c r="I747">
        <v>12</v>
      </c>
      <c r="J747">
        <v>17</v>
      </c>
      <c r="K747">
        <v>11</v>
      </c>
      <c r="L747">
        <v>9</v>
      </c>
      <c r="M747">
        <v>16</v>
      </c>
      <c r="N747">
        <v>8</v>
      </c>
      <c r="O747">
        <v>6</v>
      </c>
      <c r="P747">
        <v>11</v>
      </c>
      <c r="Q747">
        <v>10</v>
      </c>
      <c r="R747">
        <v>13</v>
      </c>
      <c r="S747">
        <v>130</v>
      </c>
      <c r="T747" t="s">
        <v>1102</v>
      </c>
      <c r="U747" t="s">
        <v>180</v>
      </c>
      <c r="V747" t="s">
        <v>1365</v>
      </c>
      <c r="W747" t="s">
        <v>1185</v>
      </c>
    </row>
    <row r="748" spans="1:23" x14ac:dyDescent="0.25">
      <c r="A748" t="s">
        <v>1367</v>
      </c>
      <c r="B748" t="s">
        <v>1367</v>
      </c>
      <c r="C748">
        <v>0</v>
      </c>
      <c r="D748" s="3">
        <v>0</v>
      </c>
      <c r="E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 t="s">
        <v>1102</v>
      </c>
      <c r="U748" t="s">
        <v>180</v>
      </c>
      <c r="V748" t="s">
        <v>1365</v>
      </c>
      <c r="W748" t="s">
        <v>1187</v>
      </c>
    </row>
    <row r="749" spans="1:23" x14ac:dyDescent="0.25">
      <c r="A749" t="s">
        <v>1368</v>
      </c>
      <c r="B749" t="s">
        <v>1368</v>
      </c>
      <c r="C749">
        <v>0</v>
      </c>
      <c r="D749" s="3">
        <v>0</v>
      </c>
      <c r="E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 t="s">
        <v>1102</v>
      </c>
      <c r="U749" t="s">
        <v>180</v>
      </c>
      <c r="V749" t="s">
        <v>1365</v>
      </c>
      <c r="W749" t="s">
        <v>1189</v>
      </c>
    </row>
    <row r="750" spans="1:23" x14ac:dyDescent="0.25">
      <c r="A750" t="s">
        <v>1369</v>
      </c>
      <c r="B750" t="s">
        <v>1369</v>
      </c>
      <c r="C750">
        <v>0</v>
      </c>
      <c r="D750" s="3">
        <v>0</v>
      </c>
      <c r="E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 t="s">
        <v>1102</v>
      </c>
      <c r="U750" t="s">
        <v>180</v>
      </c>
      <c r="V750" t="s">
        <v>1365</v>
      </c>
      <c r="W750" t="s">
        <v>1191</v>
      </c>
    </row>
    <row r="751" spans="1:23" x14ac:dyDescent="0.25">
      <c r="A751" t="s">
        <v>1370</v>
      </c>
      <c r="B751" t="s">
        <v>1370</v>
      </c>
      <c r="C751">
        <v>0</v>
      </c>
      <c r="D751" s="3">
        <v>0</v>
      </c>
      <c r="E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 t="s">
        <v>1102</v>
      </c>
      <c r="U751" t="s">
        <v>180</v>
      </c>
      <c r="V751" t="s">
        <v>1371</v>
      </c>
      <c r="W751" t="s">
        <v>1183</v>
      </c>
    </row>
    <row r="752" spans="1:23" x14ac:dyDescent="0.25">
      <c r="A752" t="s">
        <v>1372</v>
      </c>
      <c r="B752" t="s">
        <v>1372</v>
      </c>
      <c r="C752">
        <v>1</v>
      </c>
      <c r="D752" s="3">
        <v>1</v>
      </c>
      <c r="E752">
        <v>8</v>
      </c>
      <c r="G752">
        <v>0</v>
      </c>
      <c r="H752">
        <v>1</v>
      </c>
      <c r="I752">
        <v>4</v>
      </c>
      <c r="J752">
        <v>1</v>
      </c>
      <c r="K752">
        <v>3</v>
      </c>
      <c r="L752">
        <v>0</v>
      </c>
      <c r="M752">
        <v>1</v>
      </c>
      <c r="N752">
        <v>2</v>
      </c>
      <c r="O752">
        <v>0</v>
      </c>
      <c r="P752">
        <v>1</v>
      </c>
      <c r="Q752">
        <v>-1</v>
      </c>
      <c r="R752">
        <v>1</v>
      </c>
      <c r="S752">
        <v>13</v>
      </c>
      <c r="T752" t="s">
        <v>1102</v>
      </c>
      <c r="U752" t="s">
        <v>180</v>
      </c>
      <c r="V752" t="s">
        <v>1371</v>
      </c>
      <c r="W752" t="s">
        <v>1185</v>
      </c>
    </row>
    <row r="753" spans="1:23" x14ac:dyDescent="0.25">
      <c r="A753" t="s">
        <v>1373</v>
      </c>
      <c r="B753" t="s">
        <v>1373</v>
      </c>
      <c r="C753">
        <v>0</v>
      </c>
      <c r="D753" s="3">
        <v>0</v>
      </c>
      <c r="E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 t="s">
        <v>1102</v>
      </c>
      <c r="U753" t="s">
        <v>180</v>
      </c>
      <c r="V753" t="s">
        <v>1371</v>
      </c>
      <c r="W753" t="s">
        <v>1187</v>
      </c>
    </row>
    <row r="754" spans="1:23" x14ac:dyDescent="0.25">
      <c r="A754" t="s">
        <v>1374</v>
      </c>
      <c r="B754" t="s">
        <v>1374</v>
      </c>
      <c r="C754">
        <v>0</v>
      </c>
      <c r="D754" s="3">
        <v>0</v>
      </c>
      <c r="E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 t="s">
        <v>1102</v>
      </c>
      <c r="U754" t="s">
        <v>180</v>
      </c>
      <c r="V754" t="s">
        <v>1371</v>
      </c>
      <c r="W754" t="s">
        <v>1189</v>
      </c>
    </row>
    <row r="755" spans="1:23" x14ac:dyDescent="0.25">
      <c r="A755" t="s">
        <v>1375</v>
      </c>
      <c r="B755" t="s">
        <v>1375</v>
      </c>
      <c r="C755">
        <v>0</v>
      </c>
      <c r="D755" s="3">
        <v>0</v>
      </c>
      <c r="E755">
        <v>13</v>
      </c>
      <c r="G755">
        <v>1</v>
      </c>
      <c r="H755">
        <v>0</v>
      </c>
      <c r="I755">
        <v>1</v>
      </c>
      <c r="J755">
        <v>0</v>
      </c>
      <c r="K755">
        <v>1</v>
      </c>
      <c r="L755">
        <v>2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5</v>
      </c>
      <c r="T755" t="s">
        <v>1102</v>
      </c>
      <c r="U755" t="s">
        <v>180</v>
      </c>
      <c r="V755" t="s">
        <v>1371</v>
      </c>
      <c r="W755" t="s">
        <v>1191</v>
      </c>
    </row>
    <row r="756" spans="1:23" x14ac:dyDescent="0.25">
      <c r="A756" t="s">
        <v>1376</v>
      </c>
      <c r="B756" t="s">
        <v>1376</v>
      </c>
      <c r="C756">
        <v>0</v>
      </c>
      <c r="D756" s="3">
        <v>0</v>
      </c>
      <c r="E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 t="s">
        <v>1102</v>
      </c>
      <c r="U756" t="s">
        <v>180</v>
      </c>
      <c r="V756" t="s">
        <v>1377</v>
      </c>
      <c r="W756" t="s">
        <v>1183</v>
      </c>
    </row>
    <row r="757" spans="1:23" x14ac:dyDescent="0.25">
      <c r="A757" t="s">
        <v>1378</v>
      </c>
      <c r="B757" t="s">
        <v>1378</v>
      </c>
      <c r="C757">
        <v>0</v>
      </c>
      <c r="D757" s="3">
        <v>0</v>
      </c>
      <c r="E757">
        <v>7</v>
      </c>
      <c r="G757">
        <v>1</v>
      </c>
      <c r="H757">
        <v>1</v>
      </c>
      <c r="I757">
        <v>2</v>
      </c>
      <c r="J757">
        <v>1</v>
      </c>
      <c r="K757">
        <v>0</v>
      </c>
      <c r="L757">
        <v>0</v>
      </c>
      <c r="M757">
        <v>0</v>
      </c>
      <c r="N757">
        <v>-1</v>
      </c>
      <c r="O757">
        <v>1</v>
      </c>
      <c r="P757">
        <v>0</v>
      </c>
      <c r="Q757">
        <v>0</v>
      </c>
      <c r="R757">
        <v>0</v>
      </c>
      <c r="S757">
        <v>5</v>
      </c>
      <c r="T757" t="s">
        <v>1102</v>
      </c>
      <c r="U757" t="s">
        <v>180</v>
      </c>
      <c r="V757" t="s">
        <v>1377</v>
      </c>
      <c r="W757" t="s">
        <v>1185</v>
      </c>
    </row>
    <row r="758" spans="1:23" x14ac:dyDescent="0.25">
      <c r="A758" t="s">
        <v>1379</v>
      </c>
      <c r="B758" t="s">
        <v>1379</v>
      </c>
      <c r="C758">
        <v>0</v>
      </c>
      <c r="D758" s="3">
        <v>0</v>
      </c>
      <c r="E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 t="s">
        <v>1102</v>
      </c>
      <c r="U758" t="s">
        <v>180</v>
      </c>
      <c r="V758" t="s">
        <v>1377</v>
      </c>
      <c r="W758" t="s">
        <v>1187</v>
      </c>
    </row>
    <row r="759" spans="1:23" x14ac:dyDescent="0.25">
      <c r="A759" t="s">
        <v>1380</v>
      </c>
      <c r="B759" t="s">
        <v>1380</v>
      </c>
      <c r="C759">
        <v>0</v>
      </c>
      <c r="D759" s="3">
        <v>0</v>
      </c>
      <c r="E759">
        <v>5</v>
      </c>
      <c r="G759">
        <v>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2</v>
      </c>
      <c r="T759" t="s">
        <v>1102</v>
      </c>
      <c r="U759" t="s">
        <v>180</v>
      </c>
      <c r="V759" t="s">
        <v>1377</v>
      </c>
      <c r="W759" t="s">
        <v>1189</v>
      </c>
    </row>
    <row r="760" spans="1:23" x14ac:dyDescent="0.25">
      <c r="A760" t="s">
        <v>1381</v>
      </c>
      <c r="B760" t="s">
        <v>1381</v>
      </c>
      <c r="C760">
        <v>0</v>
      </c>
      <c r="D760" s="3">
        <v>0</v>
      </c>
      <c r="E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 t="s">
        <v>1102</v>
      </c>
      <c r="U760" t="s">
        <v>180</v>
      </c>
      <c r="V760" t="s">
        <v>1377</v>
      </c>
      <c r="W760" t="s">
        <v>1191</v>
      </c>
    </row>
    <row r="761" spans="1:23" x14ac:dyDescent="0.25">
      <c r="A761" t="s">
        <v>1382</v>
      </c>
      <c r="B761" t="s">
        <v>1382</v>
      </c>
      <c r="C761">
        <v>0</v>
      </c>
      <c r="D761" s="3">
        <v>0</v>
      </c>
      <c r="E761">
        <v>35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7</v>
      </c>
      <c r="N761">
        <v>0</v>
      </c>
      <c r="O761">
        <v>3</v>
      </c>
      <c r="P761">
        <v>0</v>
      </c>
      <c r="Q761">
        <v>1</v>
      </c>
      <c r="R761">
        <v>2</v>
      </c>
      <c r="S761">
        <v>13</v>
      </c>
      <c r="T761" t="s">
        <v>1102</v>
      </c>
      <c r="U761" t="s">
        <v>180</v>
      </c>
      <c r="V761" t="s">
        <v>1383</v>
      </c>
      <c r="W761" t="s">
        <v>1183</v>
      </c>
    </row>
    <row r="762" spans="1:23" x14ac:dyDescent="0.25">
      <c r="A762" t="s">
        <v>670</v>
      </c>
      <c r="B762" t="s">
        <v>670</v>
      </c>
      <c r="C762">
        <v>1</v>
      </c>
      <c r="D762" s="3">
        <v>1</v>
      </c>
      <c r="E762">
        <v>20</v>
      </c>
      <c r="F762">
        <v>20</v>
      </c>
      <c r="G762">
        <v>3</v>
      </c>
      <c r="H762">
        <v>6</v>
      </c>
      <c r="I762">
        <v>12</v>
      </c>
      <c r="J762">
        <v>8</v>
      </c>
      <c r="K762">
        <v>6</v>
      </c>
      <c r="L762">
        <v>0</v>
      </c>
      <c r="M762">
        <v>0</v>
      </c>
      <c r="N762">
        <v>1</v>
      </c>
      <c r="O762">
        <v>1</v>
      </c>
      <c r="P762">
        <v>1</v>
      </c>
      <c r="Q762">
        <v>1</v>
      </c>
      <c r="R762">
        <v>0</v>
      </c>
      <c r="S762">
        <v>39</v>
      </c>
      <c r="T762" t="s">
        <v>1102</v>
      </c>
      <c r="U762" t="s">
        <v>180</v>
      </c>
      <c r="V762" t="s">
        <v>1383</v>
      </c>
      <c r="W762" t="s">
        <v>1185</v>
      </c>
    </row>
    <row r="763" spans="1:23" x14ac:dyDescent="0.25">
      <c r="A763" t="s">
        <v>1384</v>
      </c>
      <c r="B763" t="s">
        <v>1384</v>
      </c>
      <c r="C763">
        <v>0</v>
      </c>
      <c r="D763" s="3">
        <v>0</v>
      </c>
      <c r="E763">
        <v>1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2</v>
      </c>
      <c r="O763">
        <v>0</v>
      </c>
      <c r="P763">
        <v>0</v>
      </c>
      <c r="Q763">
        <v>2</v>
      </c>
      <c r="R763">
        <v>0</v>
      </c>
      <c r="S763">
        <v>5</v>
      </c>
      <c r="T763" t="s">
        <v>1102</v>
      </c>
      <c r="U763" t="s">
        <v>180</v>
      </c>
      <c r="V763" t="s">
        <v>1383</v>
      </c>
      <c r="W763" t="s">
        <v>1187</v>
      </c>
    </row>
    <row r="764" spans="1:23" x14ac:dyDescent="0.25">
      <c r="A764" t="s">
        <v>1385</v>
      </c>
      <c r="B764" t="s">
        <v>1385</v>
      </c>
      <c r="C764">
        <v>0</v>
      </c>
      <c r="D764" s="3">
        <v>0</v>
      </c>
      <c r="E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 t="s">
        <v>1102</v>
      </c>
      <c r="U764" t="s">
        <v>180</v>
      </c>
      <c r="V764" t="s">
        <v>1383</v>
      </c>
      <c r="W764" t="s">
        <v>1189</v>
      </c>
    </row>
    <row r="765" spans="1:23" x14ac:dyDescent="0.25">
      <c r="A765" t="s">
        <v>1386</v>
      </c>
      <c r="B765" t="s">
        <v>1386</v>
      </c>
      <c r="C765">
        <v>4</v>
      </c>
      <c r="D765" s="3">
        <v>4</v>
      </c>
      <c r="E765">
        <v>18</v>
      </c>
      <c r="G765">
        <v>3</v>
      </c>
      <c r="H765">
        <v>5</v>
      </c>
      <c r="I765">
        <v>7</v>
      </c>
      <c r="J765">
        <v>6</v>
      </c>
      <c r="K765">
        <v>8</v>
      </c>
      <c r="L765">
        <v>7</v>
      </c>
      <c r="M765">
        <v>4</v>
      </c>
      <c r="N765">
        <v>0</v>
      </c>
      <c r="O765">
        <v>4</v>
      </c>
      <c r="P765">
        <v>3</v>
      </c>
      <c r="Q765">
        <v>0</v>
      </c>
      <c r="R765">
        <v>0</v>
      </c>
      <c r="S765">
        <v>47</v>
      </c>
      <c r="T765" t="s">
        <v>1102</v>
      </c>
      <c r="U765" t="s">
        <v>180</v>
      </c>
      <c r="V765" t="s">
        <v>1383</v>
      </c>
      <c r="W765" t="s">
        <v>1191</v>
      </c>
    </row>
    <row r="766" spans="1:23" x14ac:dyDescent="0.25">
      <c r="A766" t="s">
        <v>1387</v>
      </c>
      <c r="B766" t="s">
        <v>1387</v>
      </c>
      <c r="C766">
        <v>9</v>
      </c>
      <c r="D766" s="3">
        <v>9</v>
      </c>
      <c r="E766">
        <v>91</v>
      </c>
      <c r="G766">
        <v>0</v>
      </c>
      <c r="H766">
        <v>0</v>
      </c>
      <c r="I766">
        <v>10</v>
      </c>
      <c r="J766">
        <v>27</v>
      </c>
      <c r="K766">
        <v>13</v>
      </c>
      <c r="L766">
        <v>0</v>
      </c>
      <c r="M766">
        <v>0</v>
      </c>
      <c r="N766">
        <v>5</v>
      </c>
      <c r="O766">
        <v>8</v>
      </c>
      <c r="P766">
        <v>16</v>
      </c>
      <c r="Q766">
        <v>10</v>
      </c>
      <c r="R766">
        <v>13</v>
      </c>
      <c r="S766">
        <v>102</v>
      </c>
      <c r="T766" t="s">
        <v>1102</v>
      </c>
      <c r="U766" t="s">
        <v>180</v>
      </c>
      <c r="V766" t="s">
        <v>1388</v>
      </c>
      <c r="W766" t="s">
        <v>1183</v>
      </c>
    </row>
    <row r="767" spans="1:23" x14ac:dyDescent="0.25">
      <c r="A767" t="s">
        <v>1389</v>
      </c>
      <c r="B767" t="s">
        <v>1389</v>
      </c>
      <c r="C767">
        <v>15.5</v>
      </c>
      <c r="D767" s="3">
        <v>15.5</v>
      </c>
      <c r="E767">
        <v>55</v>
      </c>
      <c r="G767">
        <v>0</v>
      </c>
      <c r="H767">
        <v>0</v>
      </c>
      <c r="I767">
        <v>13</v>
      </c>
      <c r="J767">
        <v>44</v>
      </c>
      <c r="K767">
        <v>24</v>
      </c>
      <c r="L767">
        <v>23</v>
      </c>
      <c r="M767">
        <v>27</v>
      </c>
      <c r="N767">
        <v>20</v>
      </c>
      <c r="O767">
        <v>15</v>
      </c>
      <c r="P767">
        <v>16</v>
      </c>
      <c r="Q767">
        <v>6</v>
      </c>
      <c r="R767">
        <v>5</v>
      </c>
      <c r="S767">
        <v>193</v>
      </c>
      <c r="T767" t="s">
        <v>1102</v>
      </c>
      <c r="U767" t="s">
        <v>180</v>
      </c>
      <c r="V767" t="s">
        <v>1388</v>
      </c>
      <c r="W767" t="s">
        <v>1185</v>
      </c>
    </row>
    <row r="768" spans="1:23" x14ac:dyDescent="0.25">
      <c r="A768" t="s">
        <v>1390</v>
      </c>
      <c r="B768" t="s">
        <v>1390</v>
      </c>
      <c r="C768">
        <v>0</v>
      </c>
      <c r="D768" s="3">
        <v>0</v>
      </c>
      <c r="E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 t="s">
        <v>1102</v>
      </c>
      <c r="U768" t="s">
        <v>180</v>
      </c>
      <c r="V768" t="s">
        <v>1388</v>
      </c>
      <c r="W768" t="s">
        <v>1187</v>
      </c>
    </row>
    <row r="769" spans="1:23" x14ac:dyDescent="0.25">
      <c r="A769" t="s">
        <v>1391</v>
      </c>
      <c r="B769" t="s">
        <v>1391</v>
      </c>
      <c r="C769">
        <v>0</v>
      </c>
      <c r="D769" s="3">
        <v>0</v>
      </c>
      <c r="E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 t="s">
        <v>1102</v>
      </c>
      <c r="U769" t="s">
        <v>180</v>
      </c>
      <c r="V769" t="s">
        <v>1388</v>
      </c>
      <c r="W769" t="s">
        <v>1189</v>
      </c>
    </row>
    <row r="770" spans="1:23" x14ac:dyDescent="0.25">
      <c r="A770" t="s">
        <v>1392</v>
      </c>
      <c r="B770" t="s">
        <v>1392</v>
      </c>
      <c r="C770">
        <v>0</v>
      </c>
      <c r="D770" s="3">
        <v>0</v>
      </c>
      <c r="E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 t="s">
        <v>1102</v>
      </c>
      <c r="U770" t="s">
        <v>180</v>
      </c>
      <c r="V770" t="s">
        <v>1388</v>
      </c>
      <c r="W770" t="s">
        <v>1191</v>
      </c>
    </row>
    <row r="771" spans="1:23" x14ac:dyDescent="0.25">
      <c r="A771" t="s">
        <v>671</v>
      </c>
      <c r="B771" t="s">
        <v>671</v>
      </c>
      <c r="C771">
        <v>6</v>
      </c>
      <c r="D771" s="3">
        <v>6</v>
      </c>
      <c r="E771">
        <v>17</v>
      </c>
      <c r="F771">
        <v>8</v>
      </c>
      <c r="G771">
        <v>0</v>
      </c>
      <c r="H771">
        <v>0</v>
      </c>
      <c r="I771">
        <v>1</v>
      </c>
      <c r="J771">
        <v>10</v>
      </c>
      <c r="K771">
        <v>5</v>
      </c>
      <c r="L771">
        <v>8</v>
      </c>
      <c r="M771">
        <v>8</v>
      </c>
      <c r="N771">
        <v>5</v>
      </c>
      <c r="O771">
        <v>5</v>
      </c>
      <c r="P771">
        <v>10</v>
      </c>
      <c r="Q771">
        <v>7</v>
      </c>
      <c r="R771">
        <v>15</v>
      </c>
      <c r="S771">
        <v>74</v>
      </c>
      <c r="T771" t="s">
        <v>1102</v>
      </c>
      <c r="U771" t="s">
        <v>180</v>
      </c>
      <c r="V771" t="s">
        <v>1393</v>
      </c>
      <c r="W771" t="s">
        <v>1183</v>
      </c>
    </row>
    <row r="772" spans="1:23" x14ac:dyDescent="0.25">
      <c r="A772" t="s">
        <v>672</v>
      </c>
      <c r="B772" t="s">
        <v>672</v>
      </c>
      <c r="C772">
        <v>6</v>
      </c>
      <c r="D772" s="3">
        <v>6</v>
      </c>
      <c r="E772">
        <v>25</v>
      </c>
      <c r="F772">
        <v>12</v>
      </c>
      <c r="G772">
        <v>23</v>
      </c>
      <c r="H772">
        <v>4</v>
      </c>
      <c r="I772">
        <v>18</v>
      </c>
      <c r="J772">
        <v>7</v>
      </c>
      <c r="K772">
        <v>8</v>
      </c>
      <c r="L772">
        <v>3</v>
      </c>
      <c r="M772">
        <v>1</v>
      </c>
      <c r="N772">
        <v>6</v>
      </c>
      <c r="O772">
        <v>6</v>
      </c>
      <c r="P772">
        <v>6</v>
      </c>
      <c r="Q772">
        <v>9</v>
      </c>
      <c r="R772">
        <v>1</v>
      </c>
      <c r="S772">
        <v>92</v>
      </c>
      <c r="T772" t="s">
        <v>1102</v>
      </c>
      <c r="U772" t="s">
        <v>180</v>
      </c>
      <c r="V772" t="s">
        <v>1393</v>
      </c>
      <c r="W772" t="s">
        <v>1185</v>
      </c>
    </row>
    <row r="773" spans="1:23" x14ac:dyDescent="0.25">
      <c r="A773" t="s">
        <v>1394</v>
      </c>
      <c r="B773" t="s">
        <v>1394</v>
      </c>
      <c r="C773">
        <v>0</v>
      </c>
      <c r="D773" s="3">
        <v>0</v>
      </c>
      <c r="E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 t="s">
        <v>1102</v>
      </c>
      <c r="U773" t="s">
        <v>180</v>
      </c>
      <c r="V773" t="s">
        <v>1393</v>
      </c>
      <c r="W773" t="s">
        <v>1187</v>
      </c>
    </row>
    <row r="774" spans="1:23" x14ac:dyDescent="0.25">
      <c r="A774" t="s">
        <v>1395</v>
      </c>
      <c r="B774" t="s">
        <v>1395</v>
      </c>
      <c r="C774">
        <v>0</v>
      </c>
      <c r="D774" s="3">
        <v>0</v>
      </c>
      <c r="E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 t="s">
        <v>1102</v>
      </c>
      <c r="U774" t="s">
        <v>180</v>
      </c>
      <c r="V774" t="s">
        <v>1393</v>
      </c>
      <c r="W774" t="s">
        <v>1189</v>
      </c>
    </row>
    <row r="775" spans="1:23" x14ac:dyDescent="0.25">
      <c r="A775" t="s">
        <v>1396</v>
      </c>
      <c r="B775" t="s">
        <v>1396</v>
      </c>
      <c r="C775">
        <v>0</v>
      </c>
      <c r="D775" s="3">
        <v>0</v>
      </c>
      <c r="E775">
        <v>0</v>
      </c>
      <c r="G775">
        <v>9</v>
      </c>
      <c r="H775">
        <v>4</v>
      </c>
      <c r="I775">
        <v>7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20</v>
      </c>
      <c r="T775" t="s">
        <v>1102</v>
      </c>
      <c r="U775" t="s">
        <v>180</v>
      </c>
      <c r="V775" t="s">
        <v>1393</v>
      </c>
      <c r="W775" t="s">
        <v>1191</v>
      </c>
    </row>
    <row r="776" spans="1:23" x14ac:dyDescent="0.25">
      <c r="A776" t="s">
        <v>1397</v>
      </c>
      <c r="B776" t="s">
        <v>1397</v>
      </c>
      <c r="C776">
        <v>0</v>
      </c>
      <c r="D776" s="3">
        <v>0</v>
      </c>
      <c r="E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 t="s">
        <v>1102</v>
      </c>
      <c r="U776" t="s">
        <v>180</v>
      </c>
      <c r="V776" t="s">
        <v>1398</v>
      </c>
      <c r="W776" t="s">
        <v>1183</v>
      </c>
    </row>
    <row r="777" spans="1:23" x14ac:dyDescent="0.25">
      <c r="A777" t="s">
        <v>673</v>
      </c>
      <c r="B777" t="s">
        <v>673</v>
      </c>
      <c r="C777">
        <v>0</v>
      </c>
      <c r="D777" s="3">
        <v>0</v>
      </c>
      <c r="E777">
        <v>20</v>
      </c>
      <c r="F777">
        <v>20</v>
      </c>
      <c r="G777">
        <v>2</v>
      </c>
      <c r="H777">
        <v>8</v>
      </c>
      <c r="I777">
        <v>6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16</v>
      </c>
      <c r="T777" t="s">
        <v>1102</v>
      </c>
      <c r="U777" t="s">
        <v>180</v>
      </c>
      <c r="V777" t="s">
        <v>1398</v>
      </c>
      <c r="W777" t="s">
        <v>1185</v>
      </c>
    </row>
    <row r="778" spans="1:23" x14ac:dyDescent="0.25">
      <c r="A778" t="s">
        <v>1399</v>
      </c>
      <c r="B778" t="s">
        <v>1399</v>
      </c>
      <c r="C778">
        <v>0</v>
      </c>
      <c r="D778" s="3">
        <v>0</v>
      </c>
      <c r="E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 t="s">
        <v>1102</v>
      </c>
      <c r="U778" t="s">
        <v>180</v>
      </c>
      <c r="V778" t="s">
        <v>1398</v>
      </c>
      <c r="W778" t="s">
        <v>1187</v>
      </c>
    </row>
    <row r="779" spans="1:23" x14ac:dyDescent="0.25">
      <c r="A779" t="s">
        <v>1400</v>
      </c>
      <c r="B779" t="s">
        <v>1400</v>
      </c>
      <c r="C779">
        <v>0</v>
      </c>
      <c r="D779" s="3">
        <v>0</v>
      </c>
      <c r="E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2</v>
      </c>
      <c r="M779">
        <v>0</v>
      </c>
      <c r="N779">
        <v>1</v>
      </c>
      <c r="O779">
        <v>1</v>
      </c>
      <c r="P779">
        <v>0</v>
      </c>
      <c r="Q779">
        <v>0</v>
      </c>
      <c r="R779">
        <v>0</v>
      </c>
      <c r="S779">
        <v>5</v>
      </c>
      <c r="T779" t="s">
        <v>1102</v>
      </c>
      <c r="U779" t="s">
        <v>180</v>
      </c>
      <c r="V779" t="s">
        <v>1398</v>
      </c>
      <c r="W779" t="s">
        <v>1189</v>
      </c>
    </row>
    <row r="780" spans="1:23" x14ac:dyDescent="0.25">
      <c r="A780" t="s">
        <v>1401</v>
      </c>
      <c r="B780" t="s">
        <v>1401</v>
      </c>
      <c r="C780">
        <v>0</v>
      </c>
      <c r="D780" s="3">
        <v>0</v>
      </c>
      <c r="E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 t="s">
        <v>1102</v>
      </c>
      <c r="U780" t="s">
        <v>180</v>
      </c>
      <c r="V780" t="s">
        <v>1398</v>
      </c>
      <c r="W780" t="s">
        <v>1191</v>
      </c>
    </row>
    <row r="781" spans="1:23" x14ac:dyDescent="0.25">
      <c r="A781" t="s">
        <v>1402</v>
      </c>
      <c r="B781" t="s">
        <v>1402</v>
      </c>
      <c r="C781">
        <v>0</v>
      </c>
      <c r="D781" s="3">
        <v>0</v>
      </c>
      <c r="E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 t="s">
        <v>1102</v>
      </c>
      <c r="U781" t="s">
        <v>180</v>
      </c>
      <c r="V781" t="s">
        <v>1403</v>
      </c>
      <c r="W781" t="s">
        <v>1183</v>
      </c>
    </row>
    <row r="782" spans="1:23" x14ac:dyDescent="0.25">
      <c r="A782" t="s">
        <v>1404</v>
      </c>
      <c r="B782" t="s">
        <v>1404</v>
      </c>
      <c r="C782">
        <v>0</v>
      </c>
      <c r="D782" s="3">
        <v>0</v>
      </c>
      <c r="E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 t="s">
        <v>1102</v>
      </c>
      <c r="U782" t="s">
        <v>180</v>
      </c>
      <c r="V782" t="s">
        <v>1403</v>
      </c>
      <c r="W782" t="s">
        <v>1185</v>
      </c>
    </row>
    <row r="783" spans="1:23" x14ac:dyDescent="0.25">
      <c r="A783" t="s">
        <v>674</v>
      </c>
      <c r="B783" t="s">
        <v>674</v>
      </c>
      <c r="C783">
        <v>0</v>
      </c>
      <c r="D783" s="3">
        <v>0</v>
      </c>
      <c r="E783">
        <v>20</v>
      </c>
      <c r="G783">
        <v>1</v>
      </c>
      <c r="H783">
        <v>0</v>
      </c>
      <c r="I783">
        <v>1</v>
      </c>
      <c r="J783">
        <v>1</v>
      </c>
      <c r="K783">
        <v>1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5</v>
      </c>
      <c r="T783" t="s">
        <v>1102</v>
      </c>
      <c r="U783" t="s">
        <v>180</v>
      </c>
      <c r="V783" t="s">
        <v>1403</v>
      </c>
      <c r="W783" t="s">
        <v>1187</v>
      </c>
    </row>
    <row r="784" spans="1:23" x14ac:dyDescent="0.25">
      <c r="A784" t="s">
        <v>718</v>
      </c>
      <c r="B784" t="s">
        <v>718</v>
      </c>
      <c r="C784">
        <v>0</v>
      </c>
      <c r="D784" s="3">
        <v>0</v>
      </c>
      <c r="E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1102</v>
      </c>
      <c r="U784" t="s">
        <v>180</v>
      </c>
      <c r="V784" t="s">
        <v>1405</v>
      </c>
      <c r="W784" t="s">
        <v>1183</v>
      </c>
    </row>
    <row r="785" spans="1:23" x14ac:dyDescent="0.25">
      <c r="A785" t="s">
        <v>1406</v>
      </c>
      <c r="B785" t="s">
        <v>1406</v>
      </c>
      <c r="C785">
        <v>0.5</v>
      </c>
      <c r="D785" s="3">
        <v>0.5</v>
      </c>
      <c r="E785">
        <v>5</v>
      </c>
      <c r="G785">
        <v>1</v>
      </c>
      <c r="H785">
        <v>1</v>
      </c>
      <c r="I785">
        <v>1</v>
      </c>
      <c r="J785">
        <v>0</v>
      </c>
      <c r="K785">
        <v>1</v>
      </c>
      <c r="L785">
        <v>0</v>
      </c>
      <c r="M785">
        <v>2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7</v>
      </c>
      <c r="T785" t="s">
        <v>1102</v>
      </c>
      <c r="U785" t="s">
        <v>180</v>
      </c>
      <c r="V785" t="s">
        <v>1405</v>
      </c>
      <c r="W785" t="s">
        <v>1185</v>
      </c>
    </row>
    <row r="786" spans="1:23" x14ac:dyDescent="0.25">
      <c r="A786" t="s">
        <v>1407</v>
      </c>
      <c r="B786" t="s">
        <v>1407</v>
      </c>
      <c r="C786">
        <v>0</v>
      </c>
      <c r="D786" s="3">
        <v>0</v>
      </c>
      <c r="E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 t="s">
        <v>1102</v>
      </c>
      <c r="U786" t="s">
        <v>180</v>
      </c>
      <c r="V786" t="s">
        <v>1405</v>
      </c>
      <c r="W786" t="s">
        <v>1187</v>
      </c>
    </row>
    <row r="787" spans="1:23" x14ac:dyDescent="0.25">
      <c r="A787" t="s">
        <v>675</v>
      </c>
      <c r="B787" t="s">
        <v>675</v>
      </c>
      <c r="C787">
        <v>0</v>
      </c>
      <c r="D787" s="3">
        <v>0</v>
      </c>
      <c r="E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 t="s">
        <v>1102</v>
      </c>
      <c r="U787" t="s">
        <v>180</v>
      </c>
      <c r="V787" t="s">
        <v>1408</v>
      </c>
      <c r="W787" t="s">
        <v>1183</v>
      </c>
    </row>
    <row r="788" spans="1:23" x14ac:dyDescent="0.25">
      <c r="A788" t="s">
        <v>676</v>
      </c>
      <c r="B788" t="s">
        <v>676</v>
      </c>
      <c r="C788">
        <v>0</v>
      </c>
      <c r="D788" s="3">
        <v>0</v>
      </c>
      <c r="E788">
        <v>6</v>
      </c>
      <c r="G788">
        <v>1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4</v>
      </c>
      <c r="T788" t="s">
        <v>1102</v>
      </c>
      <c r="U788" t="s">
        <v>180</v>
      </c>
      <c r="V788" t="s">
        <v>1408</v>
      </c>
      <c r="W788" t="s">
        <v>1185</v>
      </c>
    </row>
    <row r="789" spans="1:23" x14ac:dyDescent="0.25">
      <c r="A789" t="s">
        <v>1409</v>
      </c>
      <c r="B789" t="s">
        <v>1409</v>
      </c>
      <c r="C789">
        <v>0</v>
      </c>
      <c r="D789" s="3">
        <v>0</v>
      </c>
      <c r="E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 t="s">
        <v>1102</v>
      </c>
      <c r="U789" t="s">
        <v>180</v>
      </c>
      <c r="V789" t="s">
        <v>1408</v>
      </c>
      <c r="W789" t="s">
        <v>1187</v>
      </c>
    </row>
    <row r="790" spans="1:23" x14ac:dyDescent="0.25">
      <c r="A790" t="s">
        <v>1410</v>
      </c>
      <c r="B790" t="s">
        <v>1410</v>
      </c>
      <c r="C790">
        <v>0</v>
      </c>
      <c r="D790" s="3">
        <v>0</v>
      </c>
      <c r="E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 t="s">
        <v>1102</v>
      </c>
      <c r="U790" t="s">
        <v>180</v>
      </c>
      <c r="V790" t="s">
        <v>1410</v>
      </c>
      <c r="W790" t="s">
        <v>1104</v>
      </c>
    </row>
    <row r="791" spans="1:23" x14ac:dyDescent="0.25">
      <c r="A791" t="s">
        <v>1411</v>
      </c>
      <c r="B791" t="s">
        <v>1411</v>
      </c>
      <c r="C791">
        <v>0</v>
      </c>
      <c r="D791" s="3">
        <v>0</v>
      </c>
      <c r="E791">
        <v>10</v>
      </c>
      <c r="G791">
        <v>1</v>
      </c>
      <c r="H791">
        <v>4</v>
      </c>
      <c r="I791">
        <v>0</v>
      </c>
      <c r="J791">
        <v>3</v>
      </c>
      <c r="K791">
        <v>0</v>
      </c>
      <c r="L791">
        <v>0</v>
      </c>
      <c r="M791">
        <v>4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13</v>
      </c>
      <c r="T791" t="s">
        <v>1102</v>
      </c>
      <c r="U791" t="s">
        <v>180</v>
      </c>
      <c r="V791" t="s">
        <v>1410</v>
      </c>
      <c r="W791" t="s">
        <v>1183</v>
      </c>
    </row>
    <row r="792" spans="1:23" x14ac:dyDescent="0.25">
      <c r="A792" t="s">
        <v>1412</v>
      </c>
      <c r="B792" t="s">
        <v>1412</v>
      </c>
      <c r="C792">
        <v>2.5</v>
      </c>
      <c r="D792" s="3">
        <v>2.5</v>
      </c>
      <c r="E792">
        <v>11</v>
      </c>
      <c r="G792">
        <v>3</v>
      </c>
      <c r="H792">
        <v>4</v>
      </c>
      <c r="I792">
        <v>2</v>
      </c>
      <c r="J792">
        <v>3</v>
      </c>
      <c r="K792">
        <v>2</v>
      </c>
      <c r="L792">
        <v>3</v>
      </c>
      <c r="M792">
        <v>2</v>
      </c>
      <c r="N792">
        <v>4</v>
      </c>
      <c r="O792">
        <v>2</v>
      </c>
      <c r="P792">
        <v>3</v>
      </c>
      <c r="Q792">
        <v>0</v>
      </c>
      <c r="R792">
        <v>0</v>
      </c>
      <c r="S792">
        <v>28</v>
      </c>
      <c r="T792" t="s">
        <v>1102</v>
      </c>
      <c r="U792" t="s">
        <v>180</v>
      </c>
      <c r="V792" t="s">
        <v>1410</v>
      </c>
      <c r="W792" t="s">
        <v>1185</v>
      </c>
    </row>
    <row r="793" spans="1:23" x14ac:dyDescent="0.25">
      <c r="A793" t="s">
        <v>677</v>
      </c>
      <c r="B793" t="s">
        <v>677</v>
      </c>
      <c r="C793">
        <v>1</v>
      </c>
      <c r="D793" s="3">
        <v>1</v>
      </c>
      <c r="E793">
        <v>8</v>
      </c>
      <c r="G793">
        <v>3</v>
      </c>
      <c r="H793">
        <v>1</v>
      </c>
      <c r="I793">
        <v>2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3</v>
      </c>
      <c r="P793">
        <v>0</v>
      </c>
      <c r="Q793">
        <v>1</v>
      </c>
      <c r="R793">
        <v>3</v>
      </c>
      <c r="S793">
        <v>17</v>
      </c>
      <c r="T793" t="s">
        <v>1102</v>
      </c>
      <c r="U793" t="s">
        <v>180</v>
      </c>
      <c r="V793" t="s">
        <v>1410</v>
      </c>
      <c r="W793" t="s">
        <v>1187</v>
      </c>
    </row>
    <row r="794" spans="1:23" x14ac:dyDescent="0.25">
      <c r="A794" t="s">
        <v>1413</v>
      </c>
      <c r="B794" t="s">
        <v>1413</v>
      </c>
      <c r="C794">
        <v>0</v>
      </c>
      <c r="D794" s="3">
        <v>0</v>
      </c>
      <c r="E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1102</v>
      </c>
      <c r="U794" t="s">
        <v>180</v>
      </c>
      <c r="V794" t="s">
        <v>1410</v>
      </c>
      <c r="W794" t="s">
        <v>1189</v>
      </c>
    </row>
    <row r="795" spans="1:23" x14ac:dyDescent="0.25">
      <c r="A795" t="s">
        <v>719</v>
      </c>
      <c r="B795" t="s">
        <v>719</v>
      </c>
      <c r="C795">
        <v>0</v>
      </c>
      <c r="D795" s="3">
        <v>0</v>
      </c>
      <c r="E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 t="s">
        <v>1102</v>
      </c>
      <c r="U795" t="s">
        <v>180</v>
      </c>
      <c r="V795" t="s">
        <v>1410</v>
      </c>
      <c r="W795" t="s">
        <v>1191</v>
      </c>
    </row>
    <row r="796" spans="1:23" x14ac:dyDescent="0.25">
      <c r="A796" t="s">
        <v>1414</v>
      </c>
      <c r="B796" t="s">
        <v>1414</v>
      </c>
      <c r="C796">
        <v>0</v>
      </c>
      <c r="D796" s="3">
        <v>0</v>
      </c>
      <c r="E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 t="s">
        <v>1102</v>
      </c>
      <c r="U796" t="s">
        <v>180</v>
      </c>
      <c r="V796" t="s">
        <v>1414</v>
      </c>
      <c r="W796" t="s">
        <v>1195</v>
      </c>
    </row>
    <row r="797" spans="1:23" x14ac:dyDescent="0.25">
      <c r="A797" t="s">
        <v>678</v>
      </c>
      <c r="B797" t="s">
        <v>678</v>
      </c>
      <c r="C797">
        <v>5.5</v>
      </c>
      <c r="D797" s="3">
        <v>5.5</v>
      </c>
      <c r="E797">
        <v>12</v>
      </c>
      <c r="G797">
        <v>3</v>
      </c>
      <c r="H797">
        <v>10</v>
      </c>
      <c r="I797">
        <v>7</v>
      </c>
      <c r="J797">
        <v>6</v>
      </c>
      <c r="K797">
        <v>10</v>
      </c>
      <c r="L797">
        <v>8</v>
      </c>
      <c r="M797">
        <v>4</v>
      </c>
      <c r="N797">
        <v>3</v>
      </c>
      <c r="O797">
        <v>5</v>
      </c>
      <c r="P797">
        <v>11</v>
      </c>
      <c r="Q797">
        <v>3</v>
      </c>
      <c r="R797">
        <v>3</v>
      </c>
      <c r="S797">
        <v>73</v>
      </c>
      <c r="T797" t="s">
        <v>1102</v>
      </c>
      <c r="U797" t="s">
        <v>180</v>
      </c>
      <c r="V797" t="s">
        <v>1414</v>
      </c>
      <c r="W797" t="s">
        <v>1183</v>
      </c>
    </row>
    <row r="798" spans="1:23" x14ac:dyDescent="0.25">
      <c r="A798" t="s">
        <v>679</v>
      </c>
      <c r="B798" t="s">
        <v>679</v>
      </c>
      <c r="C798">
        <v>13</v>
      </c>
      <c r="D798" s="3">
        <v>13</v>
      </c>
      <c r="E798">
        <v>78</v>
      </c>
      <c r="G798">
        <v>27</v>
      </c>
      <c r="H798">
        <v>9</v>
      </c>
      <c r="I798">
        <v>16</v>
      </c>
      <c r="J798">
        <v>11</v>
      </c>
      <c r="K798">
        <v>14</v>
      </c>
      <c r="L798">
        <v>12</v>
      </c>
      <c r="M798">
        <v>13</v>
      </c>
      <c r="N798">
        <v>6</v>
      </c>
      <c r="O798">
        <v>13</v>
      </c>
      <c r="P798">
        <v>17</v>
      </c>
      <c r="Q798">
        <v>13</v>
      </c>
      <c r="R798">
        <v>3</v>
      </c>
      <c r="S798">
        <v>154</v>
      </c>
      <c r="T798" t="s">
        <v>1102</v>
      </c>
      <c r="U798" t="s">
        <v>180</v>
      </c>
      <c r="V798" t="s">
        <v>1414</v>
      </c>
      <c r="W798" t="s">
        <v>1185</v>
      </c>
    </row>
    <row r="799" spans="1:23" x14ac:dyDescent="0.25">
      <c r="A799" t="s">
        <v>1415</v>
      </c>
      <c r="B799" t="s">
        <v>1415</v>
      </c>
      <c r="C799">
        <v>0</v>
      </c>
      <c r="D799" s="3">
        <v>0</v>
      </c>
      <c r="E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 t="s">
        <v>1102</v>
      </c>
      <c r="U799" t="s">
        <v>180</v>
      </c>
      <c r="V799" t="s">
        <v>1414</v>
      </c>
      <c r="W799" t="s">
        <v>1187</v>
      </c>
    </row>
    <row r="800" spans="1:23" x14ac:dyDescent="0.25">
      <c r="A800" t="s">
        <v>1416</v>
      </c>
      <c r="B800" t="s">
        <v>1416</v>
      </c>
      <c r="C800">
        <v>0</v>
      </c>
      <c r="D800" s="3">
        <v>0</v>
      </c>
      <c r="E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 t="s">
        <v>1102</v>
      </c>
      <c r="U800" t="s">
        <v>180</v>
      </c>
      <c r="V800" t="s">
        <v>1414</v>
      </c>
      <c r="W800" t="s">
        <v>1189</v>
      </c>
    </row>
    <row r="801" spans="1:23" x14ac:dyDescent="0.25">
      <c r="A801" t="s">
        <v>1417</v>
      </c>
      <c r="B801" t="s">
        <v>1417</v>
      </c>
      <c r="C801">
        <v>0</v>
      </c>
      <c r="D801" s="3">
        <v>0</v>
      </c>
      <c r="E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 t="s">
        <v>1102</v>
      </c>
      <c r="U801" t="s">
        <v>180</v>
      </c>
      <c r="V801" t="s">
        <v>1414</v>
      </c>
      <c r="W801" t="s">
        <v>1191</v>
      </c>
    </row>
    <row r="802" spans="1:23" x14ac:dyDescent="0.25">
      <c r="A802" t="s">
        <v>1418</v>
      </c>
      <c r="B802" t="s">
        <v>1418</v>
      </c>
      <c r="C802">
        <v>0</v>
      </c>
      <c r="D802" s="3">
        <v>0</v>
      </c>
      <c r="E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 t="s">
        <v>1102</v>
      </c>
      <c r="U802" t="s">
        <v>180</v>
      </c>
      <c r="V802" t="s">
        <v>1418</v>
      </c>
      <c r="W802" t="s">
        <v>1208</v>
      </c>
    </row>
    <row r="803" spans="1:23" x14ac:dyDescent="0.25">
      <c r="A803" t="s">
        <v>720</v>
      </c>
      <c r="B803" t="s">
        <v>720</v>
      </c>
      <c r="C803">
        <v>0</v>
      </c>
      <c r="D803" s="3">
        <v>0</v>
      </c>
      <c r="E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 t="s">
        <v>1102</v>
      </c>
      <c r="U803" t="s">
        <v>180</v>
      </c>
      <c r="V803" t="s">
        <v>1418</v>
      </c>
      <c r="W803" t="s">
        <v>1183</v>
      </c>
    </row>
    <row r="804" spans="1:23" x14ac:dyDescent="0.25">
      <c r="A804" t="s">
        <v>680</v>
      </c>
      <c r="B804" t="s">
        <v>680</v>
      </c>
      <c r="C804">
        <v>3.5</v>
      </c>
      <c r="D804" s="3">
        <v>3.5</v>
      </c>
      <c r="E804">
        <v>0</v>
      </c>
      <c r="G804">
        <v>5</v>
      </c>
      <c r="H804">
        <v>0</v>
      </c>
      <c r="I804">
        <v>4</v>
      </c>
      <c r="J804">
        <v>4</v>
      </c>
      <c r="K804">
        <v>6</v>
      </c>
      <c r="L804">
        <v>0</v>
      </c>
      <c r="M804">
        <v>0</v>
      </c>
      <c r="N804">
        <v>4</v>
      </c>
      <c r="O804">
        <v>4</v>
      </c>
      <c r="P804">
        <v>3</v>
      </c>
      <c r="Q804">
        <v>2</v>
      </c>
      <c r="R804">
        <v>3</v>
      </c>
      <c r="S804">
        <v>35</v>
      </c>
      <c r="T804" t="s">
        <v>1102</v>
      </c>
      <c r="U804" t="s">
        <v>180</v>
      </c>
      <c r="V804" t="s">
        <v>1418</v>
      </c>
      <c r="W804" t="s">
        <v>1185</v>
      </c>
    </row>
    <row r="805" spans="1:23" x14ac:dyDescent="0.25">
      <c r="A805" t="s">
        <v>1419</v>
      </c>
      <c r="B805" t="s">
        <v>1419</v>
      </c>
      <c r="C805">
        <v>0.5</v>
      </c>
      <c r="D805" s="3">
        <v>0.5</v>
      </c>
      <c r="E805">
        <v>26</v>
      </c>
      <c r="G805">
        <v>0</v>
      </c>
      <c r="H805">
        <v>0</v>
      </c>
      <c r="I805">
        <v>1</v>
      </c>
      <c r="J805">
        <v>0</v>
      </c>
      <c r="K805">
        <v>1</v>
      </c>
      <c r="L805">
        <v>2</v>
      </c>
      <c r="M805">
        <v>1</v>
      </c>
      <c r="N805">
        <v>0</v>
      </c>
      <c r="O805">
        <v>1</v>
      </c>
      <c r="P805">
        <v>1</v>
      </c>
      <c r="Q805">
        <v>0</v>
      </c>
      <c r="R805">
        <v>0</v>
      </c>
      <c r="S805">
        <v>7</v>
      </c>
      <c r="T805" t="s">
        <v>1102</v>
      </c>
      <c r="U805" t="s">
        <v>180</v>
      </c>
      <c r="V805" t="s">
        <v>1418</v>
      </c>
      <c r="W805" t="s">
        <v>1187</v>
      </c>
    </row>
    <row r="806" spans="1:23" x14ac:dyDescent="0.25">
      <c r="A806" t="s">
        <v>1420</v>
      </c>
      <c r="B806" t="s">
        <v>1420</v>
      </c>
      <c r="C806">
        <v>0</v>
      </c>
      <c r="D806" s="3">
        <v>0</v>
      </c>
      <c r="E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 t="s">
        <v>1102</v>
      </c>
      <c r="U806" t="s">
        <v>180</v>
      </c>
      <c r="V806" t="s">
        <v>1418</v>
      </c>
      <c r="W806" t="s">
        <v>1189</v>
      </c>
    </row>
    <row r="807" spans="1:23" x14ac:dyDescent="0.25">
      <c r="A807" t="s">
        <v>1421</v>
      </c>
      <c r="B807" t="s">
        <v>1421</v>
      </c>
      <c r="C807">
        <v>0</v>
      </c>
      <c r="D807" s="3">
        <v>0</v>
      </c>
      <c r="E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 t="s">
        <v>1102</v>
      </c>
      <c r="U807" t="s">
        <v>180</v>
      </c>
      <c r="V807" t="s">
        <v>1418</v>
      </c>
      <c r="W807" t="s">
        <v>1191</v>
      </c>
    </row>
    <row r="808" spans="1:23" x14ac:dyDescent="0.25">
      <c r="A808" t="s">
        <v>1422</v>
      </c>
      <c r="B808" t="s">
        <v>1422</v>
      </c>
      <c r="C808">
        <v>0</v>
      </c>
      <c r="D808" s="3">
        <v>0</v>
      </c>
      <c r="E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 t="s">
        <v>1102</v>
      </c>
      <c r="U808" t="s">
        <v>180</v>
      </c>
      <c r="V808" t="s">
        <v>1422</v>
      </c>
      <c r="W808" t="s">
        <v>1131</v>
      </c>
    </row>
    <row r="809" spans="1:23" x14ac:dyDescent="0.25">
      <c r="A809" t="s">
        <v>1423</v>
      </c>
      <c r="B809" t="s">
        <v>1423</v>
      </c>
      <c r="C809">
        <v>0</v>
      </c>
      <c r="D809" s="3">
        <v>0</v>
      </c>
      <c r="E809">
        <v>4</v>
      </c>
      <c r="G809">
        <v>2</v>
      </c>
      <c r="H809">
        <v>0</v>
      </c>
      <c r="I809">
        <v>2</v>
      </c>
      <c r="J809">
        <v>0</v>
      </c>
      <c r="K809">
        <v>0</v>
      </c>
      <c r="L809">
        <v>2</v>
      </c>
      <c r="M809">
        <v>0</v>
      </c>
      <c r="N809">
        <v>0</v>
      </c>
      <c r="O809">
        <v>3</v>
      </c>
      <c r="P809">
        <v>0</v>
      </c>
      <c r="Q809">
        <v>0</v>
      </c>
      <c r="R809">
        <v>0</v>
      </c>
      <c r="S809">
        <v>9</v>
      </c>
      <c r="T809" t="s">
        <v>1102</v>
      </c>
      <c r="U809" t="s">
        <v>180</v>
      </c>
      <c r="V809" t="s">
        <v>1422</v>
      </c>
      <c r="W809" t="s">
        <v>1183</v>
      </c>
    </row>
    <row r="810" spans="1:23" x14ac:dyDescent="0.25">
      <c r="A810" t="s">
        <v>1424</v>
      </c>
      <c r="B810" t="s">
        <v>1424</v>
      </c>
      <c r="C810">
        <v>0</v>
      </c>
      <c r="D810" s="3">
        <v>0</v>
      </c>
      <c r="E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 t="s">
        <v>1102</v>
      </c>
      <c r="U810" t="s">
        <v>180</v>
      </c>
      <c r="V810" t="s">
        <v>1422</v>
      </c>
      <c r="W810" t="s">
        <v>1185</v>
      </c>
    </row>
    <row r="811" spans="1:23" x14ac:dyDescent="0.25">
      <c r="A811" t="s">
        <v>1425</v>
      </c>
      <c r="B811" t="s">
        <v>1425</v>
      </c>
      <c r="C811">
        <v>0</v>
      </c>
      <c r="D811" s="3">
        <v>0</v>
      </c>
      <c r="E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 t="s">
        <v>1102</v>
      </c>
      <c r="U811" t="s">
        <v>180</v>
      </c>
      <c r="V811" t="s">
        <v>1422</v>
      </c>
      <c r="W811" t="s">
        <v>1187</v>
      </c>
    </row>
    <row r="812" spans="1:23" x14ac:dyDescent="0.25">
      <c r="A812" t="s">
        <v>1426</v>
      </c>
      <c r="B812" t="s">
        <v>1426</v>
      </c>
      <c r="C812">
        <v>0</v>
      </c>
      <c r="D812" s="3">
        <v>0</v>
      </c>
      <c r="E812">
        <v>6</v>
      </c>
      <c r="G812">
        <v>0</v>
      </c>
      <c r="H812">
        <v>2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2</v>
      </c>
      <c r="T812" t="s">
        <v>1102</v>
      </c>
      <c r="U812" t="s">
        <v>180</v>
      </c>
      <c r="V812" t="s">
        <v>1422</v>
      </c>
      <c r="W812" t="s">
        <v>1189</v>
      </c>
    </row>
    <row r="813" spans="1:23" x14ac:dyDescent="0.25">
      <c r="A813" t="s">
        <v>1427</v>
      </c>
      <c r="B813" t="s">
        <v>1427</v>
      </c>
      <c r="C813">
        <v>0</v>
      </c>
      <c r="D813" s="3">
        <v>0</v>
      </c>
      <c r="E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 t="s">
        <v>1102</v>
      </c>
      <c r="U813" t="s">
        <v>180</v>
      </c>
      <c r="V813" t="s">
        <v>1422</v>
      </c>
      <c r="W813" t="s">
        <v>1191</v>
      </c>
    </row>
    <row r="814" spans="1:23" x14ac:dyDescent="0.25">
      <c r="A814" t="s">
        <v>1428</v>
      </c>
      <c r="B814" t="s">
        <v>1428</v>
      </c>
      <c r="C814">
        <v>0</v>
      </c>
      <c r="D814" s="3">
        <v>0</v>
      </c>
      <c r="E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 t="s">
        <v>1102</v>
      </c>
      <c r="U814" t="s">
        <v>180</v>
      </c>
      <c r="V814" t="s">
        <v>1429</v>
      </c>
      <c r="W814" t="s">
        <v>1183</v>
      </c>
    </row>
    <row r="815" spans="1:23" x14ac:dyDescent="0.25">
      <c r="A815" t="s">
        <v>1430</v>
      </c>
      <c r="B815" t="s">
        <v>1430</v>
      </c>
      <c r="C815">
        <v>0</v>
      </c>
      <c r="D815" s="3">
        <v>0</v>
      </c>
      <c r="E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 t="s">
        <v>1102</v>
      </c>
      <c r="U815" t="s">
        <v>180</v>
      </c>
      <c r="V815" t="s">
        <v>1429</v>
      </c>
      <c r="W815" t="s">
        <v>1185</v>
      </c>
    </row>
    <row r="816" spans="1:23" x14ac:dyDescent="0.25">
      <c r="A816" t="s">
        <v>721</v>
      </c>
      <c r="B816" t="s">
        <v>721</v>
      </c>
      <c r="C816">
        <v>0</v>
      </c>
      <c r="D816" s="3">
        <v>0</v>
      </c>
      <c r="E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 t="s">
        <v>1102</v>
      </c>
      <c r="U816" t="s">
        <v>180</v>
      </c>
      <c r="V816" t="s">
        <v>1429</v>
      </c>
      <c r="W816" t="s">
        <v>1187</v>
      </c>
    </row>
    <row r="817" spans="1:23" x14ac:dyDescent="0.25">
      <c r="A817" t="s">
        <v>723</v>
      </c>
      <c r="B817" t="s">
        <v>723</v>
      </c>
      <c r="C817">
        <v>0</v>
      </c>
      <c r="D817" s="3">
        <v>0</v>
      </c>
      <c r="E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 t="s">
        <v>1102</v>
      </c>
      <c r="U817" t="s">
        <v>180</v>
      </c>
      <c r="V817" t="s">
        <v>1429</v>
      </c>
      <c r="W817" t="s">
        <v>1191</v>
      </c>
    </row>
    <row r="818" spans="1:23" x14ac:dyDescent="0.25">
      <c r="A818" t="s">
        <v>724</v>
      </c>
      <c r="B818" t="s">
        <v>724</v>
      </c>
      <c r="C818">
        <v>0</v>
      </c>
      <c r="D818" s="3">
        <v>0</v>
      </c>
      <c r="E818">
        <v>2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 t="s">
        <v>1102</v>
      </c>
      <c r="U818" t="s">
        <v>180</v>
      </c>
      <c r="V818" t="s">
        <v>1431</v>
      </c>
      <c r="W818" t="s">
        <v>1183</v>
      </c>
    </row>
    <row r="819" spans="1:23" x14ac:dyDescent="0.25">
      <c r="A819" t="s">
        <v>725</v>
      </c>
      <c r="B819" t="s">
        <v>725</v>
      </c>
      <c r="C819">
        <v>0</v>
      </c>
      <c r="D819" s="3">
        <v>0</v>
      </c>
      <c r="E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 t="s">
        <v>1102</v>
      </c>
      <c r="U819" t="s">
        <v>180</v>
      </c>
      <c r="V819" t="s">
        <v>1431</v>
      </c>
      <c r="W819" t="s">
        <v>1185</v>
      </c>
    </row>
    <row r="820" spans="1:23" x14ac:dyDescent="0.25">
      <c r="A820" t="s">
        <v>1432</v>
      </c>
      <c r="B820" t="s">
        <v>1432</v>
      </c>
      <c r="C820">
        <v>0</v>
      </c>
      <c r="D820" s="3">
        <v>0</v>
      </c>
      <c r="E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 t="s">
        <v>1102</v>
      </c>
      <c r="U820" t="s">
        <v>180</v>
      </c>
      <c r="V820" t="s">
        <v>1431</v>
      </c>
      <c r="W820" t="s">
        <v>1187</v>
      </c>
    </row>
    <row r="821" spans="1:23" x14ac:dyDescent="0.25">
      <c r="A821" t="s">
        <v>1433</v>
      </c>
      <c r="B821" t="s">
        <v>1433</v>
      </c>
      <c r="C821">
        <v>0</v>
      </c>
      <c r="D821" s="3">
        <v>0</v>
      </c>
      <c r="E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 t="s">
        <v>1102</v>
      </c>
      <c r="U821" t="s">
        <v>180</v>
      </c>
      <c r="V821" t="s">
        <v>1434</v>
      </c>
      <c r="W821" t="s">
        <v>1183</v>
      </c>
    </row>
    <row r="822" spans="1:23" x14ac:dyDescent="0.25">
      <c r="A822" t="s">
        <v>1435</v>
      </c>
      <c r="B822" t="s">
        <v>1435</v>
      </c>
      <c r="C822">
        <v>0</v>
      </c>
      <c r="D822" s="3">
        <v>0</v>
      </c>
      <c r="E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 t="s">
        <v>1102</v>
      </c>
      <c r="U822" t="s">
        <v>180</v>
      </c>
      <c r="V822" t="s">
        <v>1436</v>
      </c>
      <c r="W822" t="s">
        <v>1183</v>
      </c>
    </row>
    <row r="823" spans="1:23" x14ac:dyDescent="0.25">
      <c r="A823" t="s">
        <v>764</v>
      </c>
      <c r="B823" t="s">
        <v>764</v>
      </c>
      <c r="C823">
        <v>0</v>
      </c>
      <c r="D823" s="3">
        <v>0</v>
      </c>
      <c r="E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 t="s">
        <v>1102</v>
      </c>
      <c r="U823" t="s">
        <v>180</v>
      </c>
      <c r="V823" t="s">
        <v>1436</v>
      </c>
      <c r="W823" t="s">
        <v>1185</v>
      </c>
    </row>
    <row r="824" spans="1:23" x14ac:dyDescent="0.25">
      <c r="A824" t="s">
        <v>681</v>
      </c>
      <c r="B824" t="s">
        <v>681</v>
      </c>
      <c r="C824">
        <v>0</v>
      </c>
      <c r="D824" s="3">
        <v>0</v>
      </c>
      <c r="E824">
        <v>3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2</v>
      </c>
      <c r="T824" t="s">
        <v>1102</v>
      </c>
      <c r="U824" t="s">
        <v>180</v>
      </c>
      <c r="V824" t="s">
        <v>1436</v>
      </c>
      <c r="W824" t="s">
        <v>1187</v>
      </c>
    </row>
    <row r="825" spans="1:23" x14ac:dyDescent="0.25">
      <c r="A825" t="s">
        <v>682</v>
      </c>
      <c r="B825" t="s">
        <v>682</v>
      </c>
      <c r="C825">
        <v>0</v>
      </c>
      <c r="D825" s="3">
        <v>0</v>
      </c>
      <c r="E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 t="s">
        <v>1102</v>
      </c>
      <c r="U825" t="s">
        <v>180</v>
      </c>
      <c r="V825" t="s">
        <v>1437</v>
      </c>
      <c r="W825" t="s">
        <v>1183</v>
      </c>
    </row>
    <row r="826" spans="1:23" x14ac:dyDescent="0.25">
      <c r="A826" t="s">
        <v>1438</v>
      </c>
      <c r="B826" t="s">
        <v>1438</v>
      </c>
      <c r="C826">
        <v>0</v>
      </c>
      <c r="D826" s="3">
        <v>0</v>
      </c>
      <c r="E826">
        <v>4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</v>
      </c>
      <c r="T826" t="s">
        <v>1102</v>
      </c>
      <c r="U826" t="s">
        <v>180</v>
      </c>
      <c r="V826" t="s">
        <v>1437</v>
      </c>
      <c r="W826" t="s">
        <v>1185</v>
      </c>
    </row>
    <row r="827" spans="1:23" x14ac:dyDescent="0.25">
      <c r="A827" t="s">
        <v>1439</v>
      </c>
      <c r="B827" t="s">
        <v>1439</v>
      </c>
      <c r="C827">
        <v>0</v>
      </c>
      <c r="D827" s="3">
        <v>0</v>
      </c>
      <c r="E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t="s">
        <v>1102</v>
      </c>
      <c r="U827" t="s">
        <v>180</v>
      </c>
      <c r="V827" t="s">
        <v>1437</v>
      </c>
      <c r="W827" t="s">
        <v>1187</v>
      </c>
    </row>
    <row r="828" spans="1:23" x14ac:dyDescent="0.25">
      <c r="A828" t="s">
        <v>1440</v>
      </c>
      <c r="B828" t="s">
        <v>1440</v>
      </c>
      <c r="C828">
        <v>0</v>
      </c>
      <c r="D828" s="3">
        <v>0</v>
      </c>
      <c r="E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 t="s">
        <v>1102</v>
      </c>
      <c r="U828" t="s">
        <v>180</v>
      </c>
      <c r="V828" t="s">
        <v>1441</v>
      </c>
      <c r="W828" t="s">
        <v>1183</v>
      </c>
    </row>
    <row r="829" spans="1:23" x14ac:dyDescent="0.25">
      <c r="A829" t="s">
        <v>1442</v>
      </c>
      <c r="B829" t="s">
        <v>1442</v>
      </c>
      <c r="C829">
        <v>0</v>
      </c>
      <c r="D829" s="3">
        <v>0</v>
      </c>
      <c r="E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t="s">
        <v>1102</v>
      </c>
      <c r="U829" t="s">
        <v>180</v>
      </c>
      <c r="V829" t="s">
        <v>1441</v>
      </c>
      <c r="W829" t="s">
        <v>1185</v>
      </c>
    </row>
    <row r="830" spans="1:23" x14ac:dyDescent="0.25">
      <c r="A830" t="s">
        <v>1443</v>
      </c>
      <c r="B830" t="s">
        <v>1443</v>
      </c>
      <c r="C830">
        <v>0</v>
      </c>
      <c r="D830" s="3">
        <v>0</v>
      </c>
      <c r="E830">
        <v>1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 t="s">
        <v>1102</v>
      </c>
      <c r="U830" t="s">
        <v>180</v>
      </c>
      <c r="V830" t="s">
        <v>1441</v>
      </c>
      <c r="W830" t="s">
        <v>1187</v>
      </c>
    </row>
    <row r="831" spans="1:23" x14ac:dyDescent="0.25">
      <c r="A831" t="s">
        <v>1444</v>
      </c>
      <c r="B831" t="s">
        <v>1444</v>
      </c>
      <c r="C831">
        <v>0</v>
      </c>
      <c r="D831" s="3">
        <v>0</v>
      </c>
      <c r="E831">
        <v>31</v>
      </c>
      <c r="G831">
        <v>9</v>
      </c>
      <c r="H831">
        <v>0</v>
      </c>
      <c r="I831">
        <v>3</v>
      </c>
      <c r="J831">
        <v>0</v>
      </c>
      <c r="K831">
        <v>0</v>
      </c>
      <c r="L831">
        <v>0</v>
      </c>
      <c r="M831">
        <v>1</v>
      </c>
      <c r="N831">
        <v>6</v>
      </c>
      <c r="O831">
        <v>0</v>
      </c>
      <c r="P831">
        <v>0</v>
      </c>
      <c r="Q831">
        <v>0</v>
      </c>
      <c r="R831">
        <v>1</v>
      </c>
      <c r="S831">
        <v>20</v>
      </c>
      <c r="T831" t="s">
        <v>1102</v>
      </c>
      <c r="U831" t="s">
        <v>294</v>
      </c>
      <c r="V831" t="s">
        <v>1445</v>
      </c>
      <c r="W831" t="s">
        <v>1185</v>
      </c>
    </row>
    <row r="832" spans="1:23" x14ac:dyDescent="0.25">
      <c r="A832" t="s">
        <v>1446</v>
      </c>
      <c r="B832" t="s">
        <v>1446</v>
      </c>
      <c r="C832">
        <v>0</v>
      </c>
      <c r="D832" s="3">
        <v>0</v>
      </c>
      <c r="E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 t="s">
        <v>1102</v>
      </c>
      <c r="U832" t="s">
        <v>294</v>
      </c>
      <c r="V832" t="s">
        <v>1447</v>
      </c>
      <c r="W832" t="s">
        <v>1183</v>
      </c>
    </row>
    <row r="833" spans="1:23" x14ac:dyDescent="0.25">
      <c r="A833" t="s">
        <v>1448</v>
      </c>
      <c r="B833" t="s">
        <v>1448</v>
      </c>
      <c r="C833">
        <v>1</v>
      </c>
      <c r="D833" s="3">
        <v>1</v>
      </c>
      <c r="E833">
        <v>46</v>
      </c>
      <c r="G833">
        <v>5</v>
      </c>
      <c r="H833">
        <v>0</v>
      </c>
      <c r="I833">
        <v>1</v>
      </c>
      <c r="J833">
        <v>0</v>
      </c>
      <c r="K833">
        <v>1</v>
      </c>
      <c r="L833">
        <v>0</v>
      </c>
      <c r="M833">
        <v>1</v>
      </c>
      <c r="N833">
        <v>1</v>
      </c>
      <c r="O833">
        <v>2</v>
      </c>
      <c r="P833">
        <v>0</v>
      </c>
      <c r="Q833">
        <v>1</v>
      </c>
      <c r="R833">
        <v>1</v>
      </c>
      <c r="S833">
        <v>13</v>
      </c>
      <c r="T833" t="s">
        <v>1102</v>
      </c>
      <c r="U833" t="s">
        <v>294</v>
      </c>
      <c r="V833" t="s">
        <v>1447</v>
      </c>
      <c r="W833" t="s">
        <v>1185</v>
      </c>
    </row>
    <row r="834" spans="1:23" x14ac:dyDescent="0.25">
      <c r="A834" t="s">
        <v>1449</v>
      </c>
      <c r="B834" t="s">
        <v>1449</v>
      </c>
      <c r="C834">
        <v>0</v>
      </c>
      <c r="D834" s="3">
        <v>0</v>
      </c>
      <c r="E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 t="s">
        <v>1102</v>
      </c>
      <c r="U834" t="s">
        <v>294</v>
      </c>
      <c r="V834" t="s">
        <v>1447</v>
      </c>
      <c r="W834" t="s">
        <v>1187</v>
      </c>
    </row>
    <row r="835" spans="1:23" x14ac:dyDescent="0.25">
      <c r="A835" t="s">
        <v>1450</v>
      </c>
      <c r="B835" t="s">
        <v>1450</v>
      </c>
      <c r="C835">
        <v>0</v>
      </c>
      <c r="D835" s="3">
        <v>0</v>
      </c>
      <c r="E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 t="s">
        <v>1102</v>
      </c>
      <c r="U835" t="s">
        <v>294</v>
      </c>
      <c r="V835" t="s">
        <v>1451</v>
      </c>
      <c r="W835" t="s">
        <v>1183</v>
      </c>
    </row>
    <row r="836" spans="1:23" x14ac:dyDescent="0.25">
      <c r="A836" t="s">
        <v>1452</v>
      </c>
      <c r="B836" t="s">
        <v>1452</v>
      </c>
      <c r="C836">
        <v>0</v>
      </c>
      <c r="D836" s="3">
        <v>0</v>
      </c>
      <c r="E836">
        <v>15</v>
      </c>
      <c r="G836">
        <v>3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4</v>
      </c>
      <c r="T836" t="s">
        <v>1102</v>
      </c>
      <c r="U836" t="s">
        <v>294</v>
      </c>
      <c r="V836" t="s">
        <v>1451</v>
      </c>
      <c r="W836" t="s">
        <v>1185</v>
      </c>
    </row>
    <row r="837" spans="1:23" x14ac:dyDescent="0.25">
      <c r="A837" t="s">
        <v>1453</v>
      </c>
      <c r="B837" t="s">
        <v>1453</v>
      </c>
      <c r="C837">
        <v>0</v>
      </c>
      <c r="D837" s="3">
        <v>0</v>
      </c>
      <c r="E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1102</v>
      </c>
      <c r="U837" t="s">
        <v>294</v>
      </c>
      <c r="V837" t="s">
        <v>1451</v>
      </c>
      <c r="W837" t="s">
        <v>1187</v>
      </c>
    </row>
    <row r="838" spans="1:23" x14ac:dyDescent="0.25">
      <c r="A838" t="s">
        <v>1454</v>
      </c>
      <c r="B838" t="s">
        <v>1454</v>
      </c>
      <c r="C838">
        <v>0</v>
      </c>
      <c r="D838" s="3">
        <v>0</v>
      </c>
      <c r="E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 t="s">
        <v>1102</v>
      </c>
      <c r="U838" t="s">
        <v>294</v>
      </c>
      <c r="V838" t="s">
        <v>1455</v>
      </c>
      <c r="W838" t="s">
        <v>1183</v>
      </c>
    </row>
    <row r="839" spans="1:23" x14ac:dyDescent="0.25">
      <c r="A839" t="s">
        <v>765</v>
      </c>
      <c r="B839" t="s">
        <v>765</v>
      </c>
      <c r="C839">
        <v>0</v>
      </c>
      <c r="D839" s="3">
        <v>0</v>
      </c>
      <c r="E839">
        <v>49</v>
      </c>
      <c r="G839">
        <v>8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9</v>
      </c>
      <c r="T839" t="s">
        <v>1102</v>
      </c>
      <c r="U839" t="s">
        <v>294</v>
      </c>
      <c r="V839" t="s">
        <v>1455</v>
      </c>
      <c r="W839" t="s">
        <v>1185</v>
      </c>
    </row>
    <row r="840" spans="1:23" x14ac:dyDescent="0.25">
      <c r="A840" t="s">
        <v>1456</v>
      </c>
      <c r="B840" t="s">
        <v>1456</v>
      </c>
      <c r="C840">
        <v>0</v>
      </c>
      <c r="D840" s="3">
        <v>0</v>
      </c>
      <c r="E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 t="s">
        <v>1102</v>
      </c>
      <c r="U840" t="s">
        <v>294</v>
      </c>
      <c r="V840" t="s">
        <v>1455</v>
      </c>
      <c r="W840" t="s">
        <v>1187</v>
      </c>
    </row>
    <row r="841" spans="1:23" x14ac:dyDescent="0.25">
      <c r="A841" t="s">
        <v>1457</v>
      </c>
      <c r="B841" t="s">
        <v>1457</v>
      </c>
      <c r="C841">
        <v>0</v>
      </c>
      <c r="D841" s="3">
        <v>0</v>
      </c>
      <c r="E841">
        <v>13</v>
      </c>
      <c r="G841">
        <v>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1</v>
      </c>
      <c r="S841">
        <v>5</v>
      </c>
      <c r="T841" t="s">
        <v>1102</v>
      </c>
      <c r="U841" t="s">
        <v>294</v>
      </c>
      <c r="V841" t="s">
        <v>1458</v>
      </c>
      <c r="W841" t="s">
        <v>1185</v>
      </c>
    </row>
    <row r="842" spans="1:23" x14ac:dyDescent="0.25">
      <c r="A842" t="s">
        <v>1459</v>
      </c>
      <c r="B842" t="s">
        <v>1459</v>
      </c>
      <c r="C842">
        <v>0</v>
      </c>
      <c r="D842" s="3">
        <v>0</v>
      </c>
      <c r="E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 t="s">
        <v>1102</v>
      </c>
      <c r="U842" t="s">
        <v>294</v>
      </c>
      <c r="V842" t="s">
        <v>1458</v>
      </c>
      <c r="W842" t="s">
        <v>1187</v>
      </c>
    </row>
    <row r="843" spans="1:23" x14ac:dyDescent="0.25">
      <c r="A843" t="s">
        <v>1460</v>
      </c>
      <c r="B843" t="s">
        <v>1460</v>
      </c>
      <c r="C843">
        <v>0</v>
      </c>
      <c r="D843" s="3">
        <v>0</v>
      </c>
      <c r="E843">
        <v>4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 t="s">
        <v>1102</v>
      </c>
      <c r="U843" t="s">
        <v>317</v>
      </c>
      <c r="V843" t="s">
        <v>1461</v>
      </c>
      <c r="W843" t="s">
        <v>1104</v>
      </c>
    </row>
    <row r="844" spans="1:23" x14ac:dyDescent="0.25">
      <c r="A844" t="s">
        <v>1462</v>
      </c>
      <c r="B844" t="s">
        <v>1462</v>
      </c>
      <c r="C844">
        <v>0</v>
      </c>
      <c r="D844" s="3">
        <v>0</v>
      </c>
      <c r="E844">
        <v>33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 t="s">
        <v>1102</v>
      </c>
      <c r="U844" t="s">
        <v>336</v>
      </c>
      <c r="V844" t="s">
        <v>1463</v>
      </c>
      <c r="W844" t="s">
        <v>1104</v>
      </c>
    </row>
    <row r="845" spans="1:23" x14ac:dyDescent="0.25">
      <c r="A845" t="s">
        <v>1464</v>
      </c>
      <c r="B845" t="s">
        <v>1464</v>
      </c>
      <c r="C845">
        <v>0</v>
      </c>
      <c r="D845" s="3">
        <v>0</v>
      </c>
      <c r="E845">
        <v>33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1102</v>
      </c>
      <c r="U845" t="s">
        <v>336</v>
      </c>
      <c r="V845" t="s">
        <v>1463</v>
      </c>
      <c r="W845" t="s">
        <v>1106</v>
      </c>
    </row>
    <row r="846" spans="1:23" x14ac:dyDescent="0.25">
      <c r="A846" t="s">
        <v>1465</v>
      </c>
      <c r="B846" t="s">
        <v>1465</v>
      </c>
      <c r="C846">
        <v>0</v>
      </c>
      <c r="D846" s="3">
        <v>0</v>
      </c>
      <c r="E846">
        <v>40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 t="s">
        <v>1102</v>
      </c>
      <c r="U846" t="s">
        <v>336</v>
      </c>
      <c r="V846" t="s">
        <v>1463</v>
      </c>
      <c r="W846" t="s">
        <v>1108</v>
      </c>
    </row>
    <row r="847" spans="1:23" x14ac:dyDescent="0.25">
      <c r="A847" t="s">
        <v>1466</v>
      </c>
      <c r="B847" t="s">
        <v>1466</v>
      </c>
      <c r="C847">
        <v>0</v>
      </c>
      <c r="D847" s="3">
        <v>0</v>
      </c>
      <c r="E847">
        <v>57</v>
      </c>
      <c r="G847">
        <v>0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3</v>
      </c>
      <c r="T847" t="s">
        <v>1102</v>
      </c>
      <c r="U847" t="s">
        <v>336</v>
      </c>
      <c r="V847" t="s">
        <v>1467</v>
      </c>
      <c r="W847" t="s">
        <v>1104</v>
      </c>
    </row>
    <row r="848" spans="1:23" x14ac:dyDescent="0.25">
      <c r="A848" t="s">
        <v>1468</v>
      </c>
      <c r="B848" t="s">
        <v>1468</v>
      </c>
      <c r="C848">
        <v>0</v>
      </c>
      <c r="D848" s="3">
        <v>0</v>
      </c>
      <c r="E848">
        <v>37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1</v>
      </c>
      <c r="T848" t="s">
        <v>1102</v>
      </c>
      <c r="U848" t="s">
        <v>336</v>
      </c>
      <c r="V848" t="s">
        <v>1467</v>
      </c>
      <c r="W848" t="s">
        <v>1106</v>
      </c>
    </row>
    <row r="849" spans="1:23" x14ac:dyDescent="0.25">
      <c r="A849" t="s">
        <v>1469</v>
      </c>
      <c r="B849" t="s">
        <v>1469</v>
      </c>
      <c r="C849">
        <v>0</v>
      </c>
      <c r="D849" s="3">
        <v>0</v>
      </c>
      <c r="E849">
        <v>39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1</v>
      </c>
      <c r="T849" t="s">
        <v>1102</v>
      </c>
      <c r="U849" t="s">
        <v>336</v>
      </c>
      <c r="V849" t="s">
        <v>1467</v>
      </c>
      <c r="W849" t="s">
        <v>1108</v>
      </c>
    </row>
    <row r="850" spans="1:23" x14ac:dyDescent="0.25">
      <c r="A850" t="s">
        <v>684</v>
      </c>
      <c r="B850" t="s">
        <v>684</v>
      </c>
      <c r="C850">
        <v>0</v>
      </c>
      <c r="D850" s="3">
        <v>0</v>
      </c>
      <c r="E850">
        <v>13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3</v>
      </c>
      <c r="R850">
        <v>0</v>
      </c>
      <c r="S850">
        <v>4</v>
      </c>
      <c r="T850" t="s">
        <v>1102</v>
      </c>
      <c r="U850" t="s">
        <v>363</v>
      </c>
      <c r="V850" t="s">
        <v>1470</v>
      </c>
      <c r="W850" t="s">
        <v>1187</v>
      </c>
    </row>
    <row r="851" spans="1:23" x14ac:dyDescent="0.25">
      <c r="A851" t="s">
        <v>1471</v>
      </c>
      <c r="B851" t="s">
        <v>1471</v>
      </c>
      <c r="C851">
        <v>0</v>
      </c>
      <c r="D851" s="3">
        <v>0</v>
      </c>
      <c r="E851">
        <v>7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1</v>
      </c>
      <c r="T851" t="s">
        <v>1102</v>
      </c>
      <c r="U851" t="s">
        <v>363</v>
      </c>
      <c r="V851" t="s">
        <v>1472</v>
      </c>
      <c r="W851" t="s">
        <v>1187</v>
      </c>
    </row>
    <row r="852" spans="1:23" x14ac:dyDescent="0.25">
      <c r="A852" t="s">
        <v>689</v>
      </c>
      <c r="B852" t="s">
        <v>689</v>
      </c>
      <c r="C852">
        <v>0</v>
      </c>
      <c r="D852" s="3">
        <v>0</v>
      </c>
      <c r="E852">
        <v>28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-1</v>
      </c>
      <c r="R852">
        <v>0</v>
      </c>
      <c r="S852">
        <v>1</v>
      </c>
      <c r="T852" t="s">
        <v>1102</v>
      </c>
      <c r="U852" t="s">
        <v>363</v>
      </c>
      <c r="V852" t="s">
        <v>1473</v>
      </c>
      <c r="W852" t="s">
        <v>1187</v>
      </c>
    </row>
    <row r="853" spans="1:23" x14ac:dyDescent="0.25">
      <c r="A853" t="s">
        <v>1474</v>
      </c>
      <c r="B853" t="s">
        <v>1474</v>
      </c>
      <c r="C853">
        <v>0</v>
      </c>
      <c r="D853" s="3">
        <v>0</v>
      </c>
      <c r="E853">
        <v>5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1102</v>
      </c>
      <c r="U853" t="s">
        <v>363</v>
      </c>
      <c r="V853" t="s">
        <v>1475</v>
      </c>
      <c r="W853" t="s">
        <v>1187</v>
      </c>
    </row>
    <row r="854" spans="1:23" x14ac:dyDescent="0.25">
      <c r="A854" t="s">
        <v>1476</v>
      </c>
      <c r="B854" t="s">
        <v>1476</v>
      </c>
      <c r="C854">
        <v>0</v>
      </c>
      <c r="D854" s="3">
        <v>0</v>
      </c>
      <c r="E854">
        <v>8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</v>
      </c>
      <c r="T854" t="s">
        <v>1102</v>
      </c>
      <c r="U854" t="s">
        <v>363</v>
      </c>
      <c r="V854" t="s">
        <v>1477</v>
      </c>
      <c r="W854" t="s">
        <v>1187</v>
      </c>
    </row>
    <row r="855" spans="1:23" x14ac:dyDescent="0.25">
      <c r="A855" t="s">
        <v>691</v>
      </c>
      <c r="B855" t="s">
        <v>691</v>
      </c>
      <c r="C855">
        <v>0</v>
      </c>
      <c r="D855" s="3">
        <v>0</v>
      </c>
      <c r="E855">
        <v>12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2</v>
      </c>
      <c r="R855">
        <v>0</v>
      </c>
      <c r="S855">
        <v>3</v>
      </c>
      <c r="T855" t="s">
        <v>1102</v>
      </c>
      <c r="U855" t="s">
        <v>363</v>
      </c>
      <c r="V855" t="s">
        <v>1478</v>
      </c>
      <c r="W855" t="s">
        <v>1187</v>
      </c>
    </row>
    <row r="856" spans="1:23" x14ac:dyDescent="0.25">
      <c r="A856" t="s">
        <v>1479</v>
      </c>
      <c r="B856" t="s">
        <v>1479</v>
      </c>
      <c r="C856">
        <v>0</v>
      </c>
      <c r="D856" s="3">
        <v>0</v>
      </c>
      <c r="E856">
        <v>11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</v>
      </c>
      <c r="T856" t="s">
        <v>1102</v>
      </c>
      <c r="U856" t="s">
        <v>363</v>
      </c>
      <c r="V856" t="s">
        <v>1480</v>
      </c>
      <c r="W856" t="s">
        <v>1187</v>
      </c>
    </row>
    <row r="857" spans="1:23" x14ac:dyDescent="0.25">
      <c r="A857" t="s">
        <v>694</v>
      </c>
      <c r="B857" t="s">
        <v>694</v>
      </c>
      <c r="C857">
        <v>0</v>
      </c>
      <c r="D857" s="3">
        <v>0</v>
      </c>
      <c r="E857">
        <v>18.75</v>
      </c>
      <c r="G857">
        <v>0</v>
      </c>
      <c r="H857">
        <v>1</v>
      </c>
      <c r="I857">
        <v>1</v>
      </c>
      <c r="J857">
        <v>6</v>
      </c>
      <c r="K857">
        <v>-1</v>
      </c>
      <c r="L857">
        <v>0</v>
      </c>
      <c r="M857">
        <v>4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12</v>
      </c>
      <c r="T857" t="s">
        <v>1102</v>
      </c>
      <c r="U857" t="s">
        <v>363</v>
      </c>
      <c r="V857" t="s">
        <v>1481</v>
      </c>
      <c r="W857" t="s">
        <v>1187</v>
      </c>
    </row>
    <row r="858" spans="1:23" x14ac:dyDescent="0.25">
      <c r="A858" t="s">
        <v>1482</v>
      </c>
      <c r="B858" t="s">
        <v>1482</v>
      </c>
      <c r="C858">
        <v>0</v>
      </c>
      <c r="D858" s="3">
        <v>0</v>
      </c>
      <c r="E858">
        <v>5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 t="s">
        <v>1102</v>
      </c>
      <c r="U858" t="s">
        <v>363</v>
      </c>
      <c r="V858" t="s">
        <v>1483</v>
      </c>
      <c r="W858" t="s">
        <v>1187</v>
      </c>
    </row>
    <row r="859" spans="1:23" x14ac:dyDescent="0.25">
      <c r="A859" t="s">
        <v>1484</v>
      </c>
      <c r="B859" t="s">
        <v>1484</v>
      </c>
      <c r="C859">
        <v>0</v>
      </c>
      <c r="D859" s="3">
        <v>0</v>
      </c>
      <c r="E859">
        <v>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1102</v>
      </c>
      <c r="U859" t="s">
        <v>363</v>
      </c>
      <c r="V859" t="s">
        <v>1485</v>
      </c>
      <c r="W859" t="s">
        <v>1187</v>
      </c>
    </row>
    <row r="860" spans="1:23" x14ac:dyDescent="0.25">
      <c r="A860" t="s">
        <v>1486</v>
      </c>
      <c r="B860" t="s">
        <v>1486</v>
      </c>
      <c r="C860">
        <v>5</v>
      </c>
      <c r="D860" s="3">
        <v>5</v>
      </c>
      <c r="E860">
        <v>135</v>
      </c>
      <c r="G860">
        <v>8</v>
      </c>
      <c r="H860">
        <v>3</v>
      </c>
      <c r="I860">
        <v>2</v>
      </c>
      <c r="J860">
        <v>10</v>
      </c>
      <c r="K860">
        <v>9</v>
      </c>
      <c r="L860">
        <v>3</v>
      </c>
      <c r="M860">
        <v>7</v>
      </c>
      <c r="N860">
        <v>3</v>
      </c>
      <c r="O860">
        <v>8</v>
      </c>
      <c r="P860">
        <v>13</v>
      </c>
      <c r="Q860">
        <v>2</v>
      </c>
      <c r="R860">
        <v>2</v>
      </c>
      <c r="S860">
        <v>70</v>
      </c>
      <c r="T860" t="s">
        <v>1102</v>
      </c>
      <c r="U860" t="s">
        <v>393</v>
      </c>
      <c r="V860" t="s">
        <v>1487</v>
      </c>
      <c r="W860" t="s">
        <v>1104</v>
      </c>
    </row>
    <row r="861" spans="1:23" x14ac:dyDescent="0.25">
      <c r="A861" t="s">
        <v>1488</v>
      </c>
      <c r="B861" t="s">
        <v>1488</v>
      </c>
      <c r="C861">
        <v>2</v>
      </c>
      <c r="D861" s="3">
        <v>2</v>
      </c>
      <c r="E861">
        <v>56</v>
      </c>
      <c r="G861">
        <v>4</v>
      </c>
      <c r="H861">
        <v>0</v>
      </c>
      <c r="I861">
        <v>2</v>
      </c>
      <c r="J861">
        <v>4</v>
      </c>
      <c r="K861">
        <v>1</v>
      </c>
      <c r="L861">
        <v>4</v>
      </c>
      <c r="M861">
        <v>2</v>
      </c>
      <c r="N861">
        <v>2</v>
      </c>
      <c r="O861">
        <v>7</v>
      </c>
      <c r="P861">
        <v>1</v>
      </c>
      <c r="Q861">
        <v>3</v>
      </c>
      <c r="R861">
        <v>1</v>
      </c>
      <c r="S861">
        <v>31</v>
      </c>
      <c r="T861" t="s">
        <v>1102</v>
      </c>
      <c r="U861" t="s">
        <v>393</v>
      </c>
      <c r="V861" t="s">
        <v>1487</v>
      </c>
      <c r="W861" t="s">
        <v>1106</v>
      </c>
    </row>
    <row r="862" spans="1:23" x14ac:dyDescent="0.25">
      <c r="A862" t="s">
        <v>1489</v>
      </c>
      <c r="B862" t="s">
        <v>1489</v>
      </c>
      <c r="C862">
        <v>8</v>
      </c>
      <c r="D862" s="3">
        <v>8</v>
      </c>
      <c r="E862">
        <v>271</v>
      </c>
      <c r="G862">
        <v>12</v>
      </c>
      <c r="H862">
        <v>7</v>
      </c>
      <c r="I862">
        <v>6</v>
      </c>
      <c r="J862">
        <v>9</v>
      </c>
      <c r="K862">
        <v>10</v>
      </c>
      <c r="L862">
        <v>9</v>
      </c>
      <c r="M862">
        <v>5</v>
      </c>
      <c r="N862">
        <v>6</v>
      </c>
      <c r="O862">
        <v>9</v>
      </c>
      <c r="P862">
        <v>10</v>
      </c>
      <c r="Q862">
        <v>6</v>
      </c>
      <c r="R862">
        <v>4</v>
      </c>
      <c r="S862">
        <v>93</v>
      </c>
      <c r="T862" t="s">
        <v>1102</v>
      </c>
      <c r="U862" t="s">
        <v>393</v>
      </c>
      <c r="V862" t="s">
        <v>1487</v>
      </c>
      <c r="W862" t="s">
        <v>1108</v>
      </c>
    </row>
    <row r="863" spans="1:23" x14ac:dyDescent="0.25">
      <c r="A863" t="s">
        <v>1490</v>
      </c>
      <c r="B863" t="s">
        <v>1490</v>
      </c>
      <c r="C863">
        <v>1</v>
      </c>
      <c r="D863" s="3">
        <v>1</v>
      </c>
      <c r="E863">
        <v>177</v>
      </c>
      <c r="G863">
        <v>1</v>
      </c>
      <c r="H863">
        <v>1</v>
      </c>
      <c r="I863">
        <v>0</v>
      </c>
      <c r="J863">
        <v>1</v>
      </c>
      <c r="K863">
        <v>1</v>
      </c>
      <c r="L863">
        <v>1</v>
      </c>
      <c r="M863">
        <v>2</v>
      </c>
      <c r="N863">
        <v>1</v>
      </c>
      <c r="O863">
        <v>0</v>
      </c>
      <c r="P863">
        <v>0</v>
      </c>
      <c r="Q863">
        <v>0</v>
      </c>
      <c r="R863">
        <v>2</v>
      </c>
      <c r="S863">
        <v>10</v>
      </c>
      <c r="T863" t="s">
        <v>1102</v>
      </c>
      <c r="U863" t="s">
        <v>393</v>
      </c>
      <c r="V863" t="s">
        <v>1491</v>
      </c>
      <c r="W863" t="s">
        <v>1104</v>
      </c>
    </row>
    <row r="864" spans="1:23" x14ac:dyDescent="0.25">
      <c r="A864" t="s">
        <v>1492</v>
      </c>
      <c r="B864" t="s">
        <v>1492</v>
      </c>
      <c r="C864">
        <v>0</v>
      </c>
      <c r="D864" s="3">
        <v>0</v>
      </c>
      <c r="E864">
        <v>76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1</v>
      </c>
      <c r="Q864">
        <v>0</v>
      </c>
      <c r="R864">
        <v>0</v>
      </c>
      <c r="S864">
        <v>2</v>
      </c>
      <c r="T864" t="s">
        <v>1102</v>
      </c>
      <c r="U864" t="s">
        <v>393</v>
      </c>
      <c r="V864" t="s">
        <v>1491</v>
      </c>
      <c r="W864" t="s">
        <v>1106</v>
      </c>
    </row>
    <row r="865" spans="1:23" x14ac:dyDescent="0.25">
      <c r="A865" t="s">
        <v>1493</v>
      </c>
      <c r="B865" t="s">
        <v>1493</v>
      </c>
      <c r="C865">
        <v>0</v>
      </c>
      <c r="D865" s="3">
        <v>0</v>
      </c>
      <c r="E865">
        <v>177</v>
      </c>
      <c r="G865">
        <v>1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1</v>
      </c>
      <c r="O865">
        <v>2</v>
      </c>
      <c r="P865">
        <v>4</v>
      </c>
      <c r="Q865">
        <v>0</v>
      </c>
      <c r="R865">
        <v>0</v>
      </c>
      <c r="S865">
        <v>9</v>
      </c>
      <c r="T865" t="s">
        <v>1102</v>
      </c>
      <c r="U865" t="s">
        <v>393</v>
      </c>
      <c r="V865" t="s">
        <v>1491</v>
      </c>
      <c r="W865" t="s">
        <v>1108</v>
      </c>
    </row>
    <row r="866" spans="1:23" x14ac:dyDescent="0.25">
      <c r="A866" t="s">
        <v>729</v>
      </c>
      <c r="B866" t="s">
        <v>729</v>
      </c>
      <c r="C866">
        <v>24.5</v>
      </c>
      <c r="D866" s="3">
        <v>24.5</v>
      </c>
      <c r="E866">
        <v>106</v>
      </c>
      <c r="G866">
        <v>23</v>
      </c>
      <c r="H866">
        <v>7</v>
      </c>
      <c r="I866">
        <v>24</v>
      </c>
      <c r="J866">
        <v>35</v>
      </c>
      <c r="K866">
        <v>10</v>
      </c>
      <c r="L866">
        <v>36</v>
      </c>
      <c r="M866">
        <v>15</v>
      </c>
      <c r="N866">
        <v>25</v>
      </c>
      <c r="O866">
        <v>27</v>
      </c>
      <c r="P866">
        <v>27</v>
      </c>
      <c r="Q866">
        <v>35</v>
      </c>
      <c r="R866">
        <v>16</v>
      </c>
      <c r="S866">
        <v>280</v>
      </c>
      <c r="T866" t="s">
        <v>1102</v>
      </c>
      <c r="U866" t="s">
        <v>393</v>
      </c>
      <c r="V866" t="s">
        <v>1494</v>
      </c>
      <c r="W866" t="s">
        <v>1104</v>
      </c>
    </row>
    <row r="867" spans="1:23" x14ac:dyDescent="0.25">
      <c r="A867" t="s">
        <v>1495</v>
      </c>
      <c r="B867" t="s">
        <v>1495</v>
      </c>
      <c r="C867">
        <v>12</v>
      </c>
      <c r="D867" s="3">
        <v>12</v>
      </c>
      <c r="E867">
        <v>112</v>
      </c>
      <c r="G867">
        <v>7</v>
      </c>
      <c r="H867">
        <v>31</v>
      </c>
      <c r="I867">
        <v>13</v>
      </c>
      <c r="J867">
        <v>10</v>
      </c>
      <c r="K867">
        <v>22</v>
      </c>
      <c r="L867">
        <v>15</v>
      </c>
      <c r="M867">
        <v>13</v>
      </c>
      <c r="N867">
        <v>20</v>
      </c>
      <c r="O867">
        <v>2</v>
      </c>
      <c r="P867">
        <v>11</v>
      </c>
      <c r="Q867">
        <v>7</v>
      </c>
      <c r="R867">
        <v>7</v>
      </c>
      <c r="S867">
        <v>158</v>
      </c>
      <c r="T867" t="s">
        <v>1102</v>
      </c>
      <c r="U867" t="s">
        <v>393</v>
      </c>
      <c r="V867" t="s">
        <v>1494</v>
      </c>
      <c r="W867" t="s">
        <v>1106</v>
      </c>
    </row>
    <row r="868" spans="1:23" x14ac:dyDescent="0.25">
      <c r="A868" t="s">
        <v>730</v>
      </c>
      <c r="B868" t="s">
        <v>730</v>
      </c>
      <c r="C868">
        <v>29</v>
      </c>
      <c r="D868" s="3">
        <v>29</v>
      </c>
      <c r="E868">
        <v>207.75</v>
      </c>
      <c r="G868">
        <v>26</v>
      </c>
      <c r="H868">
        <v>39</v>
      </c>
      <c r="I868">
        <v>10</v>
      </c>
      <c r="J868">
        <v>25</v>
      </c>
      <c r="K868">
        <v>35</v>
      </c>
      <c r="L868">
        <v>56</v>
      </c>
      <c r="M868">
        <v>26</v>
      </c>
      <c r="N868">
        <v>36</v>
      </c>
      <c r="O868">
        <v>36</v>
      </c>
      <c r="P868">
        <v>32</v>
      </c>
      <c r="Q868">
        <v>26</v>
      </c>
      <c r="R868">
        <v>19</v>
      </c>
      <c r="S868">
        <v>366</v>
      </c>
      <c r="T868" t="s">
        <v>1102</v>
      </c>
      <c r="U868" t="s">
        <v>393</v>
      </c>
      <c r="V868" t="s">
        <v>1494</v>
      </c>
      <c r="W868" t="s">
        <v>1108</v>
      </c>
    </row>
    <row r="869" spans="1:23" x14ac:dyDescent="0.25">
      <c r="A869" t="s">
        <v>1496</v>
      </c>
      <c r="B869" t="s">
        <v>1496</v>
      </c>
      <c r="C869">
        <v>5</v>
      </c>
      <c r="D869" s="3">
        <v>5</v>
      </c>
      <c r="E869">
        <v>25</v>
      </c>
      <c r="G869">
        <v>4</v>
      </c>
      <c r="H869">
        <v>5</v>
      </c>
      <c r="I869">
        <v>0</v>
      </c>
      <c r="J869">
        <v>10</v>
      </c>
      <c r="K869">
        <v>13</v>
      </c>
      <c r="L869">
        <v>6</v>
      </c>
      <c r="M869">
        <v>5</v>
      </c>
      <c r="N869">
        <v>14</v>
      </c>
      <c r="O869">
        <v>3</v>
      </c>
      <c r="P869">
        <v>3</v>
      </c>
      <c r="Q869">
        <v>6</v>
      </c>
      <c r="R869">
        <v>5</v>
      </c>
      <c r="S869">
        <v>74</v>
      </c>
      <c r="T869" t="s">
        <v>1102</v>
      </c>
      <c r="U869" t="s">
        <v>393</v>
      </c>
      <c r="V869" t="s">
        <v>1497</v>
      </c>
      <c r="W869" t="s">
        <v>1104</v>
      </c>
    </row>
    <row r="870" spans="1:23" x14ac:dyDescent="0.25">
      <c r="A870" t="s">
        <v>1498</v>
      </c>
      <c r="B870" t="s">
        <v>1498</v>
      </c>
      <c r="C870">
        <v>3</v>
      </c>
      <c r="D870" s="3">
        <v>3</v>
      </c>
      <c r="E870">
        <v>36</v>
      </c>
      <c r="G870">
        <v>0</v>
      </c>
      <c r="H870">
        <v>0</v>
      </c>
      <c r="I870">
        <v>4</v>
      </c>
      <c r="J870">
        <v>1</v>
      </c>
      <c r="K870">
        <v>11</v>
      </c>
      <c r="L870">
        <v>4</v>
      </c>
      <c r="M870">
        <v>1</v>
      </c>
      <c r="N870">
        <v>-1</v>
      </c>
      <c r="O870">
        <v>4</v>
      </c>
      <c r="P870">
        <v>4</v>
      </c>
      <c r="Q870">
        <v>3</v>
      </c>
      <c r="R870">
        <v>3</v>
      </c>
      <c r="S870">
        <v>34</v>
      </c>
      <c r="T870" t="s">
        <v>1102</v>
      </c>
      <c r="U870" t="s">
        <v>393</v>
      </c>
      <c r="V870" t="s">
        <v>1497</v>
      </c>
      <c r="W870" t="s">
        <v>1106</v>
      </c>
    </row>
    <row r="871" spans="1:23" x14ac:dyDescent="0.25">
      <c r="A871" t="s">
        <v>1499</v>
      </c>
      <c r="B871" t="s">
        <v>1499</v>
      </c>
      <c r="C871">
        <v>3.5</v>
      </c>
      <c r="D871" s="3">
        <v>3.5</v>
      </c>
      <c r="E871">
        <v>73</v>
      </c>
      <c r="G871">
        <v>9</v>
      </c>
      <c r="H871">
        <v>2</v>
      </c>
      <c r="I871">
        <v>0</v>
      </c>
      <c r="J871">
        <v>4</v>
      </c>
      <c r="K871">
        <v>3</v>
      </c>
      <c r="L871">
        <v>9</v>
      </c>
      <c r="M871">
        <v>1</v>
      </c>
      <c r="N871">
        <v>1</v>
      </c>
      <c r="O871">
        <v>6</v>
      </c>
      <c r="P871">
        <v>6</v>
      </c>
      <c r="Q871">
        <v>7</v>
      </c>
      <c r="R871">
        <v>2</v>
      </c>
      <c r="S871">
        <v>50</v>
      </c>
      <c r="T871" t="s">
        <v>1102</v>
      </c>
      <c r="U871" t="s">
        <v>393</v>
      </c>
      <c r="V871" t="s">
        <v>1497</v>
      </c>
      <c r="W871" t="s">
        <v>1108</v>
      </c>
    </row>
    <row r="872" spans="1:23" x14ac:dyDescent="0.25">
      <c r="A872" t="s">
        <v>1500</v>
      </c>
      <c r="B872" t="s">
        <v>1500</v>
      </c>
      <c r="C872">
        <v>0</v>
      </c>
      <c r="D872" s="3">
        <v>0</v>
      </c>
      <c r="E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 t="s">
        <v>1102</v>
      </c>
      <c r="U872" t="s">
        <v>393</v>
      </c>
      <c r="V872" t="s">
        <v>1501</v>
      </c>
      <c r="W872" t="s">
        <v>1104</v>
      </c>
    </row>
    <row r="873" spans="1:23" x14ac:dyDescent="0.25">
      <c r="A873" t="s">
        <v>1502</v>
      </c>
      <c r="B873" t="s">
        <v>1502</v>
      </c>
      <c r="C873">
        <v>0</v>
      </c>
      <c r="D873" s="3">
        <v>0</v>
      </c>
      <c r="E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1102</v>
      </c>
      <c r="U873" t="s">
        <v>393</v>
      </c>
      <c r="V873" t="s">
        <v>1501</v>
      </c>
      <c r="W873" t="s">
        <v>1106</v>
      </c>
    </row>
    <row r="874" spans="1:23" x14ac:dyDescent="0.25">
      <c r="A874" t="s">
        <v>1503</v>
      </c>
      <c r="B874" t="s">
        <v>1503</v>
      </c>
      <c r="C874">
        <v>0</v>
      </c>
      <c r="D874" s="3">
        <v>0</v>
      </c>
      <c r="E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 t="s">
        <v>1102</v>
      </c>
      <c r="U874" t="s">
        <v>393</v>
      </c>
      <c r="V874" t="s">
        <v>1501</v>
      </c>
      <c r="W874" t="s">
        <v>1108</v>
      </c>
    </row>
    <row r="875" spans="1:23" x14ac:dyDescent="0.25">
      <c r="A875" t="s">
        <v>1504</v>
      </c>
      <c r="B875" t="s">
        <v>1504</v>
      </c>
      <c r="C875">
        <v>0</v>
      </c>
      <c r="D875" s="3">
        <v>0</v>
      </c>
      <c r="E875">
        <v>25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3</v>
      </c>
      <c r="O875">
        <v>2</v>
      </c>
      <c r="P875">
        <v>17</v>
      </c>
      <c r="Q875">
        <v>-7</v>
      </c>
      <c r="R875">
        <v>2</v>
      </c>
      <c r="S875">
        <v>17</v>
      </c>
      <c r="T875" t="s">
        <v>1102</v>
      </c>
      <c r="U875" t="s">
        <v>442</v>
      </c>
      <c r="V875" t="s">
        <v>1505</v>
      </c>
      <c r="W875" t="s">
        <v>1104</v>
      </c>
    </row>
    <row r="876" spans="1:23" x14ac:dyDescent="0.25">
      <c r="A876" t="s">
        <v>1506</v>
      </c>
      <c r="B876" t="s">
        <v>1506</v>
      </c>
      <c r="C876">
        <v>0</v>
      </c>
      <c r="D876" s="3">
        <v>0</v>
      </c>
      <c r="E876">
        <v>102</v>
      </c>
      <c r="G876">
        <v>0</v>
      </c>
      <c r="H876">
        <v>0</v>
      </c>
      <c r="I876">
        <v>0</v>
      </c>
      <c r="J876">
        <v>1</v>
      </c>
      <c r="K876">
        <v>-1</v>
      </c>
      <c r="L876">
        <v>0</v>
      </c>
      <c r="M876">
        <v>1</v>
      </c>
      <c r="N876">
        <v>1</v>
      </c>
      <c r="O876">
        <v>0</v>
      </c>
      <c r="P876">
        <v>0</v>
      </c>
      <c r="Q876">
        <v>1</v>
      </c>
      <c r="R876">
        <v>1</v>
      </c>
      <c r="S876">
        <v>4</v>
      </c>
      <c r="T876" t="s">
        <v>1102</v>
      </c>
      <c r="U876" t="s">
        <v>442</v>
      </c>
      <c r="V876" t="s">
        <v>1505</v>
      </c>
      <c r="W876" t="s">
        <v>1106</v>
      </c>
    </row>
    <row r="877" spans="1:23" x14ac:dyDescent="0.25">
      <c r="A877" t="s">
        <v>1507</v>
      </c>
      <c r="B877" t="s">
        <v>1507</v>
      </c>
      <c r="C877">
        <v>1</v>
      </c>
      <c r="D877" s="3">
        <v>1</v>
      </c>
      <c r="E877">
        <v>309</v>
      </c>
      <c r="G877">
        <v>0</v>
      </c>
      <c r="H877">
        <v>0</v>
      </c>
      <c r="I877">
        <v>0</v>
      </c>
      <c r="J877">
        <v>2</v>
      </c>
      <c r="K877">
        <v>1</v>
      </c>
      <c r="L877">
        <v>0</v>
      </c>
      <c r="M877">
        <v>1</v>
      </c>
      <c r="N877">
        <v>1</v>
      </c>
      <c r="O877">
        <v>5</v>
      </c>
      <c r="P877">
        <v>0</v>
      </c>
      <c r="Q877">
        <v>3</v>
      </c>
      <c r="R877">
        <v>1</v>
      </c>
      <c r="S877">
        <v>14</v>
      </c>
      <c r="T877" t="s">
        <v>1102</v>
      </c>
      <c r="U877" t="s">
        <v>442</v>
      </c>
      <c r="V877" t="s">
        <v>1505</v>
      </c>
      <c r="W877" t="s">
        <v>1108</v>
      </c>
    </row>
    <row r="878" spans="1:23" x14ac:dyDescent="0.25">
      <c r="A878" t="s">
        <v>1508</v>
      </c>
      <c r="B878" t="s">
        <v>1508</v>
      </c>
      <c r="C878">
        <v>0</v>
      </c>
      <c r="D878" s="3">
        <v>0</v>
      </c>
      <c r="E878">
        <v>142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1</v>
      </c>
      <c r="O878">
        <v>3</v>
      </c>
      <c r="P878">
        <v>0</v>
      </c>
      <c r="Q878">
        <v>3</v>
      </c>
      <c r="R878">
        <v>0</v>
      </c>
      <c r="S878">
        <v>9</v>
      </c>
      <c r="T878" t="s">
        <v>1102</v>
      </c>
      <c r="U878" t="s">
        <v>442</v>
      </c>
      <c r="V878" t="s">
        <v>1505</v>
      </c>
      <c r="W878" t="s">
        <v>1131</v>
      </c>
    </row>
    <row r="879" spans="1:23" x14ac:dyDescent="0.25">
      <c r="A879" t="s">
        <v>1509</v>
      </c>
      <c r="B879" t="s">
        <v>1509</v>
      </c>
      <c r="C879">
        <v>1</v>
      </c>
      <c r="D879" s="3">
        <v>1</v>
      </c>
      <c r="E879">
        <v>51</v>
      </c>
      <c r="G879">
        <v>3</v>
      </c>
      <c r="H879">
        <v>4</v>
      </c>
      <c r="I879">
        <v>10</v>
      </c>
      <c r="J879">
        <v>1</v>
      </c>
      <c r="K879">
        <v>0</v>
      </c>
      <c r="L879">
        <v>2</v>
      </c>
      <c r="M879">
        <v>3</v>
      </c>
      <c r="N879">
        <v>0</v>
      </c>
      <c r="O879">
        <v>0</v>
      </c>
      <c r="P879">
        <v>0</v>
      </c>
      <c r="Q879">
        <v>-1</v>
      </c>
      <c r="R879">
        <v>1</v>
      </c>
      <c r="S879">
        <v>23</v>
      </c>
      <c r="T879" t="s">
        <v>1102</v>
      </c>
      <c r="U879" t="s">
        <v>442</v>
      </c>
      <c r="V879" t="s">
        <v>1510</v>
      </c>
      <c r="W879" t="s">
        <v>1104</v>
      </c>
    </row>
    <row r="880" spans="1:23" x14ac:dyDescent="0.25">
      <c r="A880" t="s">
        <v>1511</v>
      </c>
      <c r="B880" t="s">
        <v>1511</v>
      </c>
      <c r="C880">
        <v>1</v>
      </c>
      <c r="D880" s="3">
        <v>1</v>
      </c>
      <c r="E880">
        <v>142</v>
      </c>
      <c r="G880">
        <v>2</v>
      </c>
      <c r="H880">
        <v>1</v>
      </c>
      <c r="I880">
        <v>1</v>
      </c>
      <c r="J880">
        <v>0</v>
      </c>
      <c r="K880">
        <v>3</v>
      </c>
      <c r="L880">
        <v>0</v>
      </c>
      <c r="M880">
        <v>4</v>
      </c>
      <c r="N880">
        <v>1</v>
      </c>
      <c r="O880">
        <v>1</v>
      </c>
      <c r="P880">
        <v>1</v>
      </c>
      <c r="Q880">
        <v>2</v>
      </c>
      <c r="R880">
        <v>4</v>
      </c>
      <c r="S880">
        <v>20</v>
      </c>
      <c r="T880" t="s">
        <v>1102</v>
      </c>
      <c r="U880" t="s">
        <v>442</v>
      </c>
      <c r="V880" t="s">
        <v>1510</v>
      </c>
      <c r="W880" t="s">
        <v>1106</v>
      </c>
    </row>
    <row r="881" spans="1:23" x14ac:dyDescent="0.25">
      <c r="A881" t="s">
        <v>1512</v>
      </c>
      <c r="B881" t="s">
        <v>1512</v>
      </c>
      <c r="C881">
        <v>7.5</v>
      </c>
      <c r="D881" s="3">
        <v>7.5</v>
      </c>
      <c r="E881">
        <v>70</v>
      </c>
      <c r="G881">
        <v>9</v>
      </c>
      <c r="H881">
        <v>3</v>
      </c>
      <c r="I881">
        <v>9</v>
      </c>
      <c r="J881">
        <v>11</v>
      </c>
      <c r="K881">
        <v>7</v>
      </c>
      <c r="L881">
        <v>9</v>
      </c>
      <c r="M881">
        <v>8</v>
      </c>
      <c r="N881">
        <v>5</v>
      </c>
      <c r="O881">
        <v>9</v>
      </c>
      <c r="P881">
        <v>7</v>
      </c>
      <c r="Q881">
        <v>4</v>
      </c>
      <c r="R881">
        <v>3</v>
      </c>
      <c r="S881">
        <v>84</v>
      </c>
      <c r="T881" t="s">
        <v>1102</v>
      </c>
      <c r="U881" t="s">
        <v>442</v>
      </c>
      <c r="V881" t="s">
        <v>1510</v>
      </c>
      <c r="W881" t="s">
        <v>1108</v>
      </c>
    </row>
    <row r="882" spans="1:23" x14ac:dyDescent="0.25">
      <c r="A882" t="s">
        <v>1513</v>
      </c>
      <c r="B882" t="s">
        <v>1513</v>
      </c>
      <c r="C882">
        <v>3</v>
      </c>
      <c r="D882" s="3">
        <v>3</v>
      </c>
      <c r="E882">
        <v>59</v>
      </c>
      <c r="G882">
        <v>4</v>
      </c>
      <c r="H882">
        <v>0</v>
      </c>
      <c r="I882">
        <v>7</v>
      </c>
      <c r="J882">
        <v>4</v>
      </c>
      <c r="K882">
        <v>2</v>
      </c>
      <c r="L882">
        <v>2</v>
      </c>
      <c r="M882">
        <v>3</v>
      </c>
      <c r="N882">
        <v>3</v>
      </c>
      <c r="O882">
        <v>3</v>
      </c>
      <c r="P882">
        <v>5</v>
      </c>
      <c r="Q882">
        <v>1</v>
      </c>
      <c r="R882">
        <v>3</v>
      </c>
      <c r="S882">
        <v>37</v>
      </c>
      <c r="T882" t="s">
        <v>1102</v>
      </c>
      <c r="U882" t="s">
        <v>442</v>
      </c>
      <c r="V882" t="s">
        <v>1510</v>
      </c>
      <c r="W882" t="s">
        <v>1131</v>
      </c>
    </row>
    <row r="883" spans="1:23" x14ac:dyDescent="0.25">
      <c r="A883" t="s">
        <v>1514</v>
      </c>
      <c r="B883" t="s">
        <v>1514</v>
      </c>
      <c r="C883">
        <v>8.5</v>
      </c>
      <c r="D883" s="3">
        <v>8.5</v>
      </c>
      <c r="E883">
        <v>141</v>
      </c>
      <c r="G883">
        <v>12</v>
      </c>
      <c r="H883">
        <v>4</v>
      </c>
      <c r="I883">
        <v>11</v>
      </c>
      <c r="J883">
        <v>6</v>
      </c>
      <c r="K883">
        <v>5</v>
      </c>
      <c r="L883">
        <v>8</v>
      </c>
      <c r="M883">
        <v>16</v>
      </c>
      <c r="N883">
        <v>9</v>
      </c>
      <c r="O883">
        <v>7</v>
      </c>
      <c r="P883">
        <v>16</v>
      </c>
      <c r="Q883">
        <v>12</v>
      </c>
      <c r="R883">
        <v>5</v>
      </c>
      <c r="S883">
        <v>111</v>
      </c>
      <c r="T883" t="s">
        <v>1102</v>
      </c>
      <c r="U883" t="s">
        <v>442</v>
      </c>
      <c r="V883" t="s">
        <v>1515</v>
      </c>
      <c r="W883" t="s">
        <v>1104</v>
      </c>
    </row>
    <row r="884" spans="1:23" x14ac:dyDescent="0.25">
      <c r="A884" t="s">
        <v>1516</v>
      </c>
      <c r="B884" t="s">
        <v>1516</v>
      </c>
      <c r="C884">
        <v>3</v>
      </c>
      <c r="D884" s="3">
        <v>3</v>
      </c>
      <c r="E884">
        <v>46</v>
      </c>
      <c r="G884">
        <v>12</v>
      </c>
      <c r="H884">
        <v>0</v>
      </c>
      <c r="I884">
        <v>0</v>
      </c>
      <c r="J884">
        <v>7</v>
      </c>
      <c r="K884">
        <v>11</v>
      </c>
      <c r="L884">
        <v>3</v>
      </c>
      <c r="M884">
        <v>2</v>
      </c>
      <c r="N884">
        <v>4</v>
      </c>
      <c r="O884">
        <v>0</v>
      </c>
      <c r="P884">
        <v>3</v>
      </c>
      <c r="Q884">
        <v>3</v>
      </c>
      <c r="R884">
        <v>7</v>
      </c>
      <c r="S884">
        <v>52</v>
      </c>
      <c r="T884" t="s">
        <v>1102</v>
      </c>
      <c r="U884" t="s">
        <v>442</v>
      </c>
      <c r="V884" t="s">
        <v>1515</v>
      </c>
      <c r="W884" t="s">
        <v>1106</v>
      </c>
    </row>
    <row r="885" spans="1:23" x14ac:dyDescent="0.25">
      <c r="A885" t="s">
        <v>1517</v>
      </c>
      <c r="B885" t="s">
        <v>1517</v>
      </c>
      <c r="C885">
        <v>16.5</v>
      </c>
      <c r="D885" s="3">
        <v>16.5</v>
      </c>
      <c r="E885">
        <v>125</v>
      </c>
      <c r="G885">
        <v>35</v>
      </c>
      <c r="H885">
        <v>9</v>
      </c>
      <c r="I885">
        <v>11</v>
      </c>
      <c r="J885">
        <v>29</v>
      </c>
      <c r="K885">
        <v>18</v>
      </c>
      <c r="L885">
        <v>21</v>
      </c>
      <c r="M885">
        <v>28</v>
      </c>
      <c r="N885">
        <v>6</v>
      </c>
      <c r="O885">
        <v>24</v>
      </c>
      <c r="P885">
        <v>15</v>
      </c>
      <c r="Q885">
        <v>15</v>
      </c>
      <c r="R885">
        <v>9</v>
      </c>
      <c r="S885">
        <v>220</v>
      </c>
      <c r="T885" t="s">
        <v>1102</v>
      </c>
      <c r="U885" t="s">
        <v>442</v>
      </c>
      <c r="V885" t="s">
        <v>1515</v>
      </c>
      <c r="W885" t="s">
        <v>1108</v>
      </c>
    </row>
    <row r="886" spans="1:23" x14ac:dyDescent="0.25">
      <c r="A886" t="s">
        <v>1518</v>
      </c>
      <c r="B886" t="s">
        <v>1518</v>
      </c>
      <c r="C886">
        <v>6.5</v>
      </c>
      <c r="D886" s="3">
        <v>6.5</v>
      </c>
      <c r="E886">
        <v>49</v>
      </c>
      <c r="G886">
        <v>8</v>
      </c>
      <c r="H886">
        <v>1</v>
      </c>
      <c r="I886">
        <v>5</v>
      </c>
      <c r="J886">
        <v>15</v>
      </c>
      <c r="K886">
        <v>1</v>
      </c>
      <c r="L886">
        <v>13</v>
      </c>
      <c r="M886">
        <v>17</v>
      </c>
      <c r="N886">
        <v>12</v>
      </c>
      <c r="O886">
        <v>3</v>
      </c>
      <c r="P886">
        <v>9</v>
      </c>
      <c r="Q886">
        <v>1</v>
      </c>
      <c r="R886">
        <v>1</v>
      </c>
      <c r="S886">
        <v>86</v>
      </c>
      <c r="T886" t="s">
        <v>1102</v>
      </c>
      <c r="U886" t="s">
        <v>442</v>
      </c>
      <c r="V886" t="s">
        <v>1515</v>
      </c>
      <c r="W886" t="s">
        <v>1131</v>
      </c>
    </row>
    <row r="887" spans="1:23" x14ac:dyDescent="0.25">
      <c r="A887" t="s">
        <v>1519</v>
      </c>
      <c r="B887" t="s">
        <v>1519</v>
      </c>
      <c r="C887">
        <v>0</v>
      </c>
      <c r="D887" s="3">
        <v>0</v>
      </c>
      <c r="E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 t="s">
        <v>1102</v>
      </c>
      <c r="U887" t="s">
        <v>442</v>
      </c>
      <c r="V887" t="s">
        <v>1520</v>
      </c>
      <c r="W887" t="s">
        <v>1104</v>
      </c>
    </row>
    <row r="888" spans="1:23" x14ac:dyDescent="0.25">
      <c r="A888" t="s">
        <v>1521</v>
      </c>
      <c r="B888" t="s">
        <v>1521</v>
      </c>
      <c r="C888">
        <v>0</v>
      </c>
      <c r="D888" s="3">
        <v>0</v>
      </c>
      <c r="E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 t="s">
        <v>1102</v>
      </c>
      <c r="U888" t="s">
        <v>442</v>
      </c>
      <c r="V888" t="s">
        <v>1520</v>
      </c>
      <c r="W888" t="s">
        <v>1106</v>
      </c>
    </row>
    <row r="889" spans="1:23" x14ac:dyDescent="0.25">
      <c r="A889" t="s">
        <v>1522</v>
      </c>
      <c r="B889" t="s">
        <v>1522</v>
      </c>
      <c r="C889">
        <v>0</v>
      </c>
      <c r="D889" s="3">
        <v>0</v>
      </c>
      <c r="E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 t="s">
        <v>1102</v>
      </c>
      <c r="U889" t="s">
        <v>442</v>
      </c>
      <c r="V889" t="s">
        <v>1520</v>
      </c>
      <c r="W889" t="s">
        <v>1108</v>
      </c>
    </row>
    <row r="890" spans="1:23" x14ac:dyDescent="0.25">
      <c r="A890" t="s">
        <v>1523</v>
      </c>
      <c r="B890" t="s">
        <v>1523</v>
      </c>
      <c r="C890">
        <v>0</v>
      </c>
      <c r="D890" s="3">
        <v>0</v>
      </c>
      <c r="E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 t="s">
        <v>1102</v>
      </c>
      <c r="U890" t="s">
        <v>442</v>
      </c>
      <c r="V890" t="s">
        <v>1520</v>
      </c>
      <c r="W890" t="s">
        <v>1131</v>
      </c>
    </row>
    <row r="891" spans="1:23" x14ac:dyDescent="0.25">
      <c r="A891" t="s">
        <v>1524</v>
      </c>
      <c r="B891" t="s">
        <v>1524</v>
      </c>
      <c r="C891">
        <v>0</v>
      </c>
      <c r="D891" s="3">
        <v>0</v>
      </c>
      <c r="E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 t="s">
        <v>1102</v>
      </c>
      <c r="U891" t="s">
        <v>460</v>
      </c>
      <c r="V891" t="s">
        <v>1525</v>
      </c>
      <c r="W891" t="s">
        <v>1183</v>
      </c>
    </row>
    <row r="892" spans="1:23" x14ac:dyDescent="0.25">
      <c r="A892" t="s">
        <v>1526</v>
      </c>
      <c r="B892" t="s">
        <v>1526</v>
      </c>
      <c r="C892">
        <v>0</v>
      </c>
      <c r="D892" s="3">
        <v>0</v>
      </c>
      <c r="E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 t="s">
        <v>1102</v>
      </c>
      <c r="U892" t="s">
        <v>460</v>
      </c>
      <c r="V892" t="s">
        <v>1525</v>
      </c>
      <c r="W892" t="s">
        <v>1185</v>
      </c>
    </row>
    <row r="893" spans="1:23" x14ac:dyDescent="0.25">
      <c r="A893" t="s">
        <v>1527</v>
      </c>
      <c r="B893" t="s">
        <v>1527</v>
      </c>
      <c r="C893">
        <v>0</v>
      </c>
      <c r="D893" s="3">
        <v>0</v>
      </c>
      <c r="E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 t="s">
        <v>1102</v>
      </c>
      <c r="U893" t="s">
        <v>460</v>
      </c>
      <c r="V893" t="s">
        <v>1525</v>
      </c>
      <c r="W893" t="s">
        <v>1187</v>
      </c>
    </row>
    <row r="894" spans="1:23" x14ac:dyDescent="0.25">
      <c r="A894" t="s">
        <v>1528</v>
      </c>
      <c r="B894" t="s">
        <v>1528</v>
      </c>
      <c r="C894">
        <v>0</v>
      </c>
      <c r="D894" s="3">
        <v>0</v>
      </c>
      <c r="E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 t="s">
        <v>1102</v>
      </c>
      <c r="U894" t="s">
        <v>460</v>
      </c>
      <c r="V894" t="s">
        <v>1525</v>
      </c>
      <c r="W894" t="s">
        <v>1189</v>
      </c>
    </row>
    <row r="895" spans="1:23" x14ac:dyDescent="0.25">
      <c r="A895" t="s">
        <v>1529</v>
      </c>
      <c r="B895" t="s">
        <v>1529</v>
      </c>
      <c r="C895">
        <v>0</v>
      </c>
      <c r="D895" s="3">
        <v>0</v>
      </c>
      <c r="E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 t="s">
        <v>1102</v>
      </c>
      <c r="U895" t="s">
        <v>460</v>
      </c>
      <c r="V895" t="s">
        <v>1525</v>
      </c>
      <c r="W895" t="s">
        <v>1191</v>
      </c>
    </row>
    <row r="896" spans="1:23" x14ac:dyDescent="0.25">
      <c r="A896" t="s">
        <v>1530</v>
      </c>
      <c r="B896" t="s">
        <v>1530</v>
      </c>
      <c r="C896">
        <v>0</v>
      </c>
      <c r="D896" s="3">
        <v>0</v>
      </c>
      <c r="E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 t="s">
        <v>1102</v>
      </c>
      <c r="U896" t="s">
        <v>460</v>
      </c>
      <c r="V896" t="s">
        <v>1531</v>
      </c>
      <c r="W896" t="s">
        <v>1183</v>
      </c>
    </row>
    <row r="897" spans="1:23" x14ac:dyDescent="0.25">
      <c r="A897" t="s">
        <v>1532</v>
      </c>
      <c r="B897" t="s">
        <v>1532</v>
      </c>
      <c r="C897">
        <v>0</v>
      </c>
      <c r="D897" s="3">
        <v>0</v>
      </c>
      <c r="E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 t="s">
        <v>1102</v>
      </c>
      <c r="U897" t="s">
        <v>460</v>
      </c>
      <c r="V897" t="s">
        <v>1531</v>
      </c>
      <c r="W897" t="s">
        <v>1185</v>
      </c>
    </row>
    <row r="898" spans="1:23" x14ac:dyDescent="0.25">
      <c r="A898" t="s">
        <v>1533</v>
      </c>
      <c r="B898" t="s">
        <v>1533</v>
      </c>
      <c r="C898">
        <v>0</v>
      </c>
      <c r="D898" s="3">
        <v>0</v>
      </c>
      <c r="E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 t="s">
        <v>1102</v>
      </c>
      <c r="U898" t="s">
        <v>460</v>
      </c>
      <c r="V898" t="s">
        <v>1531</v>
      </c>
      <c r="W898" t="s">
        <v>1187</v>
      </c>
    </row>
    <row r="899" spans="1:23" x14ac:dyDescent="0.25">
      <c r="A899" t="s">
        <v>1534</v>
      </c>
      <c r="B899" t="s">
        <v>1534</v>
      </c>
      <c r="C899">
        <v>0</v>
      </c>
      <c r="D899" s="3">
        <v>0</v>
      </c>
      <c r="E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 t="s">
        <v>1102</v>
      </c>
      <c r="U899" t="s">
        <v>460</v>
      </c>
      <c r="V899" t="s">
        <v>1535</v>
      </c>
      <c r="W899" t="s">
        <v>1183</v>
      </c>
    </row>
    <row r="900" spans="1:23" x14ac:dyDescent="0.25">
      <c r="A900" t="s">
        <v>1536</v>
      </c>
      <c r="B900" t="s">
        <v>1536</v>
      </c>
      <c r="C900">
        <v>0</v>
      </c>
      <c r="D900" s="3">
        <v>0</v>
      </c>
      <c r="E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 t="s">
        <v>1102</v>
      </c>
      <c r="U900" t="s">
        <v>460</v>
      </c>
      <c r="V900" t="s">
        <v>1535</v>
      </c>
      <c r="W900" t="s">
        <v>1185</v>
      </c>
    </row>
    <row r="901" spans="1:23" x14ac:dyDescent="0.25">
      <c r="A901" t="s">
        <v>1537</v>
      </c>
      <c r="B901" t="s">
        <v>1537</v>
      </c>
      <c r="C901">
        <v>0</v>
      </c>
      <c r="D901" s="3">
        <v>0</v>
      </c>
      <c r="E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t="s">
        <v>1102</v>
      </c>
      <c r="U901" t="s">
        <v>460</v>
      </c>
      <c r="V901" t="s">
        <v>1535</v>
      </c>
      <c r="W901" t="s">
        <v>1187</v>
      </c>
    </row>
    <row r="902" spans="1:23" x14ac:dyDescent="0.25">
      <c r="A902" t="s">
        <v>1538</v>
      </c>
      <c r="B902" t="s">
        <v>1538</v>
      </c>
      <c r="C902">
        <v>0</v>
      </c>
      <c r="D902" s="3">
        <v>0</v>
      </c>
      <c r="E902">
        <v>24</v>
      </c>
      <c r="G902">
        <v>0</v>
      </c>
      <c r="H902">
        <v>0</v>
      </c>
      <c r="I902">
        <v>0</v>
      </c>
      <c r="J902">
        <v>0</v>
      </c>
      <c r="K902">
        <v>5</v>
      </c>
      <c r="L902">
        <v>3</v>
      </c>
      <c r="M902">
        <v>0</v>
      </c>
      <c r="N902">
        <v>3</v>
      </c>
      <c r="O902">
        <v>0</v>
      </c>
      <c r="P902">
        <v>6</v>
      </c>
      <c r="Q902">
        <v>0</v>
      </c>
      <c r="R902">
        <v>2</v>
      </c>
      <c r="S902">
        <v>19</v>
      </c>
      <c r="T902" t="s">
        <v>1102</v>
      </c>
      <c r="U902" t="s">
        <v>460</v>
      </c>
      <c r="V902" t="s">
        <v>1539</v>
      </c>
      <c r="W902" t="s">
        <v>1183</v>
      </c>
    </row>
    <row r="903" spans="1:23" x14ac:dyDescent="0.25">
      <c r="A903" t="s">
        <v>1540</v>
      </c>
      <c r="B903" t="s">
        <v>1540</v>
      </c>
      <c r="C903">
        <v>6</v>
      </c>
      <c r="D903" s="3">
        <v>6</v>
      </c>
      <c r="E903">
        <v>2</v>
      </c>
      <c r="G903">
        <v>0</v>
      </c>
      <c r="H903">
        <v>15</v>
      </c>
      <c r="I903">
        <v>23</v>
      </c>
      <c r="J903">
        <v>19</v>
      </c>
      <c r="K903">
        <v>7</v>
      </c>
      <c r="L903">
        <v>0</v>
      </c>
      <c r="M903">
        <v>0</v>
      </c>
      <c r="N903">
        <v>15</v>
      </c>
      <c r="O903">
        <v>0</v>
      </c>
      <c r="P903">
        <v>8</v>
      </c>
      <c r="Q903">
        <v>2</v>
      </c>
      <c r="R903">
        <v>5</v>
      </c>
      <c r="S903">
        <v>94</v>
      </c>
      <c r="T903" t="s">
        <v>1102</v>
      </c>
      <c r="U903" t="s">
        <v>460</v>
      </c>
      <c r="V903" t="s">
        <v>1539</v>
      </c>
      <c r="W903" t="s">
        <v>1185</v>
      </c>
    </row>
    <row r="904" spans="1:23" x14ac:dyDescent="0.25">
      <c r="A904" t="s">
        <v>766</v>
      </c>
      <c r="B904" t="s">
        <v>766</v>
      </c>
      <c r="C904">
        <v>3</v>
      </c>
      <c r="D904" s="3">
        <v>3</v>
      </c>
      <c r="E904">
        <v>56</v>
      </c>
      <c r="G904">
        <v>0</v>
      </c>
      <c r="H904">
        <v>21</v>
      </c>
      <c r="I904">
        <v>3</v>
      </c>
      <c r="J904">
        <v>5</v>
      </c>
      <c r="K904">
        <v>3</v>
      </c>
      <c r="L904">
        <v>3</v>
      </c>
      <c r="M904">
        <v>3</v>
      </c>
      <c r="N904">
        <v>5</v>
      </c>
      <c r="O904">
        <v>1</v>
      </c>
      <c r="P904">
        <v>0</v>
      </c>
      <c r="Q904">
        <v>0</v>
      </c>
      <c r="R904">
        <v>0</v>
      </c>
      <c r="S904">
        <v>44</v>
      </c>
      <c r="T904" t="s">
        <v>1102</v>
      </c>
      <c r="U904" t="s">
        <v>460</v>
      </c>
      <c r="V904" t="s">
        <v>1539</v>
      </c>
      <c r="W904" t="s">
        <v>1187</v>
      </c>
    </row>
    <row r="905" spans="1:23" x14ac:dyDescent="0.25">
      <c r="A905" t="s">
        <v>1541</v>
      </c>
      <c r="B905" t="s">
        <v>1541</v>
      </c>
      <c r="C905">
        <v>0</v>
      </c>
      <c r="D905" s="3">
        <v>0</v>
      </c>
      <c r="E905">
        <v>13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0</v>
      </c>
      <c r="P905">
        <v>4</v>
      </c>
      <c r="Q905">
        <v>0</v>
      </c>
      <c r="R905">
        <v>0</v>
      </c>
      <c r="S905">
        <v>5</v>
      </c>
      <c r="T905" t="s">
        <v>1102</v>
      </c>
      <c r="U905" t="s">
        <v>460</v>
      </c>
      <c r="V905" t="s">
        <v>1539</v>
      </c>
      <c r="W905" t="s">
        <v>1189</v>
      </c>
    </row>
    <row r="906" spans="1:23" x14ac:dyDescent="0.25">
      <c r="A906" t="s">
        <v>1542</v>
      </c>
      <c r="B906" t="s">
        <v>1542</v>
      </c>
      <c r="C906">
        <v>0</v>
      </c>
      <c r="D906" s="3">
        <v>0</v>
      </c>
      <c r="E906">
        <v>15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1</v>
      </c>
      <c r="P906">
        <v>1</v>
      </c>
      <c r="Q906">
        <v>1</v>
      </c>
      <c r="R906">
        <v>0</v>
      </c>
      <c r="S906">
        <v>4</v>
      </c>
      <c r="T906" t="s">
        <v>1102</v>
      </c>
      <c r="U906" t="s">
        <v>460</v>
      </c>
      <c r="V906" t="s">
        <v>1539</v>
      </c>
      <c r="W906" t="s">
        <v>1191</v>
      </c>
    </row>
    <row r="907" spans="1:23" x14ac:dyDescent="0.25">
      <c r="A907" t="s">
        <v>1543</v>
      </c>
      <c r="B907" t="s">
        <v>1543</v>
      </c>
      <c r="C907">
        <v>2.5</v>
      </c>
      <c r="D907" s="3">
        <v>2.5</v>
      </c>
      <c r="E907">
        <v>102</v>
      </c>
      <c r="G907">
        <v>0</v>
      </c>
      <c r="H907">
        <v>0</v>
      </c>
      <c r="I907">
        <v>4</v>
      </c>
      <c r="J907">
        <v>5</v>
      </c>
      <c r="K907">
        <v>0</v>
      </c>
      <c r="L907">
        <v>0</v>
      </c>
      <c r="M907">
        <v>4</v>
      </c>
      <c r="N907">
        <v>6</v>
      </c>
      <c r="O907">
        <v>5</v>
      </c>
      <c r="P907">
        <v>5</v>
      </c>
      <c r="Q907">
        <v>1</v>
      </c>
      <c r="R907">
        <v>1</v>
      </c>
      <c r="S907">
        <v>31</v>
      </c>
      <c r="T907" t="s">
        <v>1102</v>
      </c>
      <c r="U907" t="s">
        <v>460</v>
      </c>
      <c r="V907" t="s">
        <v>1544</v>
      </c>
      <c r="W907" t="s">
        <v>1183</v>
      </c>
    </row>
    <row r="908" spans="1:23" x14ac:dyDescent="0.25">
      <c r="A908" t="s">
        <v>1545</v>
      </c>
      <c r="B908" t="s">
        <v>1545</v>
      </c>
      <c r="C908">
        <v>8.5</v>
      </c>
      <c r="D908" s="3">
        <v>8.5</v>
      </c>
      <c r="E908">
        <v>68</v>
      </c>
      <c r="G908">
        <v>0</v>
      </c>
      <c r="H908">
        <v>25</v>
      </c>
      <c r="I908">
        <v>26</v>
      </c>
      <c r="J908">
        <v>12</v>
      </c>
      <c r="K908">
        <v>0</v>
      </c>
      <c r="L908">
        <v>0</v>
      </c>
      <c r="M908">
        <v>0</v>
      </c>
      <c r="N908">
        <v>28</v>
      </c>
      <c r="O908">
        <v>6</v>
      </c>
      <c r="P908">
        <v>15</v>
      </c>
      <c r="Q908">
        <v>7</v>
      </c>
      <c r="R908">
        <v>10</v>
      </c>
      <c r="S908">
        <v>129</v>
      </c>
      <c r="T908" t="s">
        <v>1102</v>
      </c>
      <c r="U908" t="s">
        <v>460</v>
      </c>
      <c r="V908" t="s">
        <v>1544</v>
      </c>
      <c r="W908" t="s">
        <v>1185</v>
      </c>
    </row>
    <row r="909" spans="1:23" x14ac:dyDescent="0.25">
      <c r="A909" t="s">
        <v>1546</v>
      </c>
      <c r="B909" t="s">
        <v>1546</v>
      </c>
      <c r="C909">
        <v>1.5</v>
      </c>
      <c r="D909" s="3">
        <v>1.5</v>
      </c>
      <c r="E909">
        <v>16</v>
      </c>
      <c r="G909">
        <v>0</v>
      </c>
      <c r="H909">
        <v>9</v>
      </c>
      <c r="I909">
        <v>11</v>
      </c>
      <c r="J909">
        <v>10</v>
      </c>
      <c r="K909">
        <v>10</v>
      </c>
      <c r="L909">
        <v>0</v>
      </c>
      <c r="M909">
        <v>1</v>
      </c>
      <c r="N909">
        <v>2</v>
      </c>
      <c r="O909">
        <v>2</v>
      </c>
      <c r="P909">
        <v>0</v>
      </c>
      <c r="Q909">
        <v>0</v>
      </c>
      <c r="R909">
        <v>0</v>
      </c>
      <c r="S909">
        <v>45</v>
      </c>
      <c r="T909" t="s">
        <v>1102</v>
      </c>
      <c r="U909" t="s">
        <v>460</v>
      </c>
      <c r="V909" t="s">
        <v>1544</v>
      </c>
      <c r="W909" t="s">
        <v>1187</v>
      </c>
    </row>
    <row r="910" spans="1:23" x14ac:dyDescent="0.25">
      <c r="A910" t="s">
        <v>1547</v>
      </c>
      <c r="B910" t="s">
        <v>1547</v>
      </c>
      <c r="C910">
        <v>0</v>
      </c>
      <c r="D910" s="3">
        <v>0</v>
      </c>
      <c r="E910">
        <v>28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9</v>
      </c>
      <c r="P910">
        <v>7</v>
      </c>
      <c r="Q910">
        <v>0</v>
      </c>
      <c r="R910">
        <v>1</v>
      </c>
      <c r="S910">
        <v>18</v>
      </c>
      <c r="T910" t="s">
        <v>1102</v>
      </c>
      <c r="U910" t="s">
        <v>460</v>
      </c>
      <c r="V910" t="s">
        <v>1548</v>
      </c>
      <c r="W910" t="s">
        <v>1183</v>
      </c>
    </row>
    <row r="911" spans="1:23" x14ac:dyDescent="0.25">
      <c r="A911" t="s">
        <v>1549</v>
      </c>
      <c r="B911" t="s">
        <v>1549</v>
      </c>
      <c r="C911">
        <v>1</v>
      </c>
      <c r="D911" s="3">
        <v>1</v>
      </c>
      <c r="E911">
        <v>76</v>
      </c>
      <c r="G911">
        <v>0</v>
      </c>
      <c r="H911">
        <v>6</v>
      </c>
      <c r="I911">
        <v>13</v>
      </c>
      <c r="J911">
        <v>0</v>
      </c>
      <c r="K911">
        <v>0</v>
      </c>
      <c r="L911">
        <v>0</v>
      </c>
      <c r="M911">
        <v>2</v>
      </c>
      <c r="N911">
        <v>6</v>
      </c>
      <c r="O911">
        <v>10</v>
      </c>
      <c r="P911">
        <v>7</v>
      </c>
      <c r="Q911">
        <v>0</v>
      </c>
      <c r="R911">
        <v>0</v>
      </c>
      <c r="S911">
        <v>44</v>
      </c>
      <c r="T911" t="s">
        <v>1102</v>
      </c>
      <c r="U911" t="s">
        <v>460</v>
      </c>
      <c r="V911" t="s">
        <v>1548</v>
      </c>
      <c r="W911" t="s">
        <v>1185</v>
      </c>
    </row>
    <row r="912" spans="1:23" x14ac:dyDescent="0.25">
      <c r="A912" t="s">
        <v>1550</v>
      </c>
      <c r="B912" t="s">
        <v>1550</v>
      </c>
      <c r="C912">
        <v>2.5</v>
      </c>
      <c r="D912" s="3">
        <v>2.5</v>
      </c>
      <c r="E912">
        <v>6</v>
      </c>
      <c r="G912">
        <v>0</v>
      </c>
      <c r="H912">
        <v>5</v>
      </c>
      <c r="I912">
        <v>11</v>
      </c>
      <c r="J912">
        <v>11</v>
      </c>
      <c r="K912">
        <v>3</v>
      </c>
      <c r="L912">
        <v>0</v>
      </c>
      <c r="M912">
        <v>0</v>
      </c>
      <c r="N912">
        <v>9</v>
      </c>
      <c r="O912">
        <v>2</v>
      </c>
      <c r="P912">
        <v>3</v>
      </c>
      <c r="Q912">
        <v>0</v>
      </c>
      <c r="R912">
        <v>0</v>
      </c>
      <c r="S912">
        <v>44</v>
      </c>
      <c r="T912" t="s">
        <v>1102</v>
      </c>
      <c r="U912" t="s">
        <v>460</v>
      </c>
      <c r="V912" t="s">
        <v>1548</v>
      </c>
      <c r="W912" t="s">
        <v>1187</v>
      </c>
    </row>
    <row r="913" spans="1:23" x14ac:dyDescent="0.25">
      <c r="A913" t="s">
        <v>767</v>
      </c>
      <c r="B913" t="s">
        <v>767</v>
      </c>
      <c r="C913">
        <v>1.5</v>
      </c>
      <c r="D913" s="3">
        <v>1.5</v>
      </c>
      <c r="E913">
        <v>32</v>
      </c>
      <c r="G913">
        <v>5</v>
      </c>
      <c r="H913">
        <v>1</v>
      </c>
      <c r="I913">
        <v>10</v>
      </c>
      <c r="J913">
        <v>5</v>
      </c>
      <c r="K913">
        <v>6</v>
      </c>
      <c r="L913">
        <v>1</v>
      </c>
      <c r="M913">
        <v>2</v>
      </c>
      <c r="N913">
        <v>0</v>
      </c>
      <c r="O913">
        <v>1</v>
      </c>
      <c r="P913">
        <v>0</v>
      </c>
      <c r="Q913">
        <v>1</v>
      </c>
      <c r="R913">
        <v>3</v>
      </c>
      <c r="S913">
        <v>35</v>
      </c>
      <c r="T913" t="s">
        <v>1102</v>
      </c>
      <c r="U913" t="s">
        <v>492</v>
      </c>
      <c r="V913" t="s">
        <v>1551</v>
      </c>
      <c r="W913" t="s">
        <v>1183</v>
      </c>
    </row>
    <row r="914" spans="1:23" x14ac:dyDescent="0.25">
      <c r="A914" t="s">
        <v>1552</v>
      </c>
      <c r="B914" t="s">
        <v>1552</v>
      </c>
      <c r="C914">
        <v>2</v>
      </c>
      <c r="D914" s="3">
        <v>2</v>
      </c>
      <c r="E914">
        <v>20</v>
      </c>
      <c r="G914">
        <v>14</v>
      </c>
      <c r="H914">
        <v>2</v>
      </c>
      <c r="I914">
        <v>5</v>
      </c>
      <c r="J914">
        <v>1</v>
      </c>
      <c r="K914">
        <v>7</v>
      </c>
      <c r="L914">
        <v>2</v>
      </c>
      <c r="M914">
        <v>3</v>
      </c>
      <c r="N914">
        <v>0</v>
      </c>
      <c r="O914">
        <v>0</v>
      </c>
      <c r="P914">
        <v>0</v>
      </c>
      <c r="Q914">
        <v>1</v>
      </c>
      <c r="R914">
        <v>3</v>
      </c>
      <c r="S914">
        <v>38</v>
      </c>
      <c r="T914" t="s">
        <v>1102</v>
      </c>
      <c r="U914" t="s">
        <v>492</v>
      </c>
      <c r="V914" t="s">
        <v>1551</v>
      </c>
      <c r="W914" t="s">
        <v>1185</v>
      </c>
    </row>
    <row r="915" spans="1:23" x14ac:dyDescent="0.25">
      <c r="A915" t="s">
        <v>1553</v>
      </c>
      <c r="B915" t="s">
        <v>1553</v>
      </c>
      <c r="C915">
        <v>0</v>
      </c>
      <c r="D915" s="3">
        <v>0</v>
      </c>
      <c r="E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 t="s">
        <v>1102</v>
      </c>
      <c r="U915" t="s">
        <v>492</v>
      </c>
      <c r="V915" t="s">
        <v>1551</v>
      </c>
      <c r="W915" t="s">
        <v>1187</v>
      </c>
    </row>
    <row r="916" spans="1:23" x14ac:dyDescent="0.25">
      <c r="A916" t="s">
        <v>1554</v>
      </c>
      <c r="B916" t="s">
        <v>1554</v>
      </c>
      <c r="C916">
        <v>0</v>
      </c>
      <c r="D916" s="3">
        <v>0</v>
      </c>
      <c r="E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 t="s">
        <v>1102</v>
      </c>
      <c r="U916" t="s">
        <v>492</v>
      </c>
      <c r="V916" t="s">
        <v>1555</v>
      </c>
      <c r="W916" t="s">
        <v>1183</v>
      </c>
    </row>
    <row r="917" spans="1:23" x14ac:dyDescent="0.25">
      <c r="A917" t="s">
        <v>1556</v>
      </c>
      <c r="B917" t="s">
        <v>1556</v>
      </c>
      <c r="C917">
        <v>0</v>
      </c>
      <c r="D917" s="3">
        <v>0</v>
      </c>
      <c r="E917">
        <v>17</v>
      </c>
      <c r="G917">
        <v>1</v>
      </c>
      <c r="H917">
        <v>0</v>
      </c>
      <c r="I917">
        <v>3</v>
      </c>
      <c r="J917">
        <v>0</v>
      </c>
      <c r="K917">
        <v>1</v>
      </c>
      <c r="L917">
        <v>0</v>
      </c>
      <c r="M917">
        <v>0</v>
      </c>
      <c r="N917">
        <v>-2</v>
      </c>
      <c r="O917">
        <v>-1</v>
      </c>
      <c r="P917">
        <v>0</v>
      </c>
      <c r="Q917">
        <v>0</v>
      </c>
      <c r="R917">
        <v>0</v>
      </c>
      <c r="S917">
        <v>2</v>
      </c>
      <c r="T917" t="s">
        <v>1102</v>
      </c>
      <c r="U917" t="s">
        <v>492</v>
      </c>
      <c r="V917" t="s">
        <v>1555</v>
      </c>
      <c r="W917" t="s">
        <v>1185</v>
      </c>
    </row>
    <row r="918" spans="1:23" x14ac:dyDescent="0.25">
      <c r="A918" t="s">
        <v>1557</v>
      </c>
      <c r="B918" t="s">
        <v>1557</v>
      </c>
      <c r="C918">
        <v>0</v>
      </c>
      <c r="D918" s="3">
        <v>0</v>
      </c>
      <c r="E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 t="s">
        <v>1102</v>
      </c>
      <c r="U918" t="s">
        <v>492</v>
      </c>
      <c r="V918" t="s">
        <v>1555</v>
      </c>
      <c r="W918" t="s">
        <v>1187</v>
      </c>
    </row>
    <row r="919" spans="1:23" x14ac:dyDescent="0.25">
      <c r="A919" t="s">
        <v>1558</v>
      </c>
      <c r="B919" t="s">
        <v>1558</v>
      </c>
      <c r="C919">
        <v>2</v>
      </c>
      <c r="D919" s="3">
        <v>2</v>
      </c>
      <c r="E919">
        <v>27</v>
      </c>
      <c r="G919">
        <v>7</v>
      </c>
      <c r="H919">
        <v>10</v>
      </c>
      <c r="I919">
        <v>2</v>
      </c>
      <c r="J919">
        <v>5</v>
      </c>
      <c r="K919">
        <v>3</v>
      </c>
      <c r="L919">
        <v>0</v>
      </c>
      <c r="M919">
        <v>8</v>
      </c>
      <c r="N919">
        <v>0</v>
      </c>
      <c r="O919">
        <v>1</v>
      </c>
      <c r="P919">
        <v>1</v>
      </c>
      <c r="Q919">
        <v>2</v>
      </c>
      <c r="R919">
        <v>0</v>
      </c>
      <c r="S919">
        <v>39</v>
      </c>
      <c r="T919" t="s">
        <v>1102</v>
      </c>
      <c r="U919" t="s">
        <v>492</v>
      </c>
      <c r="V919" t="s">
        <v>1559</v>
      </c>
      <c r="W919" t="s">
        <v>1183</v>
      </c>
    </row>
    <row r="920" spans="1:23" x14ac:dyDescent="0.25">
      <c r="A920" t="s">
        <v>1560</v>
      </c>
      <c r="B920" t="s">
        <v>1560</v>
      </c>
      <c r="C920">
        <v>5</v>
      </c>
      <c r="D920" s="3">
        <v>5</v>
      </c>
      <c r="E920">
        <v>36</v>
      </c>
      <c r="G920">
        <v>6</v>
      </c>
      <c r="H920">
        <v>8</v>
      </c>
      <c r="I920">
        <v>2</v>
      </c>
      <c r="J920">
        <v>4</v>
      </c>
      <c r="K920">
        <v>7</v>
      </c>
      <c r="L920">
        <v>3</v>
      </c>
      <c r="M920">
        <v>11</v>
      </c>
      <c r="N920">
        <v>2</v>
      </c>
      <c r="O920">
        <v>1</v>
      </c>
      <c r="P920">
        <v>7</v>
      </c>
      <c r="Q920">
        <v>6</v>
      </c>
      <c r="R920">
        <v>4</v>
      </c>
      <c r="S920">
        <v>61</v>
      </c>
      <c r="T920" t="s">
        <v>1102</v>
      </c>
      <c r="U920" t="s">
        <v>492</v>
      </c>
      <c r="V920" t="s">
        <v>1559</v>
      </c>
      <c r="W920" t="s">
        <v>1185</v>
      </c>
    </row>
    <row r="921" spans="1:23" x14ac:dyDescent="0.25">
      <c r="A921" t="s">
        <v>1561</v>
      </c>
      <c r="B921" t="s">
        <v>1561</v>
      </c>
      <c r="C921">
        <v>1</v>
      </c>
      <c r="D921" s="3">
        <v>1</v>
      </c>
      <c r="E921">
        <v>3</v>
      </c>
      <c r="G921">
        <v>3</v>
      </c>
      <c r="H921">
        <v>0</v>
      </c>
      <c r="I921">
        <v>0</v>
      </c>
      <c r="J921">
        <v>1</v>
      </c>
      <c r="K921">
        <v>3</v>
      </c>
      <c r="L921">
        <v>1</v>
      </c>
      <c r="M921">
        <v>4</v>
      </c>
      <c r="N921">
        <v>0</v>
      </c>
      <c r="O921">
        <v>0</v>
      </c>
      <c r="P921">
        <v>4</v>
      </c>
      <c r="Q921">
        <v>1</v>
      </c>
      <c r="R921">
        <v>0</v>
      </c>
      <c r="S921">
        <v>17</v>
      </c>
      <c r="T921" t="s">
        <v>1102</v>
      </c>
      <c r="U921" t="s">
        <v>492</v>
      </c>
      <c r="V921" t="s">
        <v>1559</v>
      </c>
      <c r="W921" t="s">
        <v>1187</v>
      </c>
    </row>
    <row r="922" spans="1:23" x14ac:dyDescent="0.25">
      <c r="A922" t="s">
        <v>1562</v>
      </c>
      <c r="B922" t="s">
        <v>1562</v>
      </c>
      <c r="C922">
        <v>0</v>
      </c>
      <c r="D922" s="3">
        <v>0</v>
      </c>
      <c r="E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 t="s">
        <v>1102</v>
      </c>
      <c r="U922" t="s">
        <v>492</v>
      </c>
      <c r="V922" t="s">
        <v>1563</v>
      </c>
      <c r="W922" t="s">
        <v>1183</v>
      </c>
    </row>
    <row r="923" spans="1:23" x14ac:dyDescent="0.25">
      <c r="A923" t="s">
        <v>1564</v>
      </c>
      <c r="B923" t="s">
        <v>1564</v>
      </c>
      <c r="C923">
        <v>3</v>
      </c>
      <c r="D923" s="3">
        <v>3</v>
      </c>
      <c r="E923">
        <v>19</v>
      </c>
      <c r="G923">
        <v>9</v>
      </c>
      <c r="H923">
        <v>4</v>
      </c>
      <c r="I923">
        <v>3</v>
      </c>
      <c r="J923">
        <v>3</v>
      </c>
      <c r="K923">
        <v>4</v>
      </c>
      <c r="L923">
        <v>3</v>
      </c>
      <c r="M923">
        <v>1</v>
      </c>
      <c r="N923">
        <v>0</v>
      </c>
      <c r="O923">
        <v>4</v>
      </c>
      <c r="P923">
        <v>1</v>
      </c>
      <c r="Q923">
        <v>0</v>
      </c>
      <c r="R923">
        <v>4</v>
      </c>
      <c r="S923">
        <v>36</v>
      </c>
      <c r="T923" t="s">
        <v>1102</v>
      </c>
      <c r="U923" t="s">
        <v>492</v>
      </c>
      <c r="V923" t="s">
        <v>1563</v>
      </c>
      <c r="W923" t="s">
        <v>1185</v>
      </c>
    </row>
    <row r="924" spans="1:23" x14ac:dyDescent="0.25">
      <c r="A924" t="s">
        <v>1565</v>
      </c>
      <c r="B924" t="s">
        <v>1565</v>
      </c>
      <c r="C924">
        <v>0</v>
      </c>
      <c r="D924" s="3">
        <v>0</v>
      </c>
      <c r="E924">
        <v>16</v>
      </c>
      <c r="G924">
        <v>3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4</v>
      </c>
      <c r="T924" t="s">
        <v>1102</v>
      </c>
      <c r="U924" t="s">
        <v>492</v>
      </c>
      <c r="V924" t="s">
        <v>1563</v>
      </c>
      <c r="W924" t="s">
        <v>1187</v>
      </c>
    </row>
    <row r="925" spans="1:23" x14ac:dyDescent="0.25">
      <c r="A925" t="s">
        <v>1566</v>
      </c>
      <c r="B925" t="s">
        <v>1566</v>
      </c>
      <c r="C925">
        <v>0</v>
      </c>
      <c r="D925" s="3">
        <v>0</v>
      </c>
      <c r="E925">
        <v>4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 t="s">
        <v>1102</v>
      </c>
      <c r="U925" t="s">
        <v>492</v>
      </c>
      <c r="V925" t="s">
        <v>1567</v>
      </c>
      <c r="W925" t="s">
        <v>1183</v>
      </c>
    </row>
    <row r="926" spans="1:23" x14ac:dyDescent="0.25">
      <c r="A926" t="s">
        <v>1568</v>
      </c>
      <c r="B926" t="s">
        <v>1568</v>
      </c>
      <c r="C926">
        <v>0</v>
      </c>
      <c r="D926" s="3">
        <v>0</v>
      </c>
      <c r="E926">
        <v>14</v>
      </c>
      <c r="G926">
        <v>4</v>
      </c>
      <c r="H926">
        <v>2</v>
      </c>
      <c r="I926">
        <v>4</v>
      </c>
      <c r="J926">
        <v>-2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8</v>
      </c>
      <c r="T926" t="s">
        <v>1102</v>
      </c>
      <c r="U926" t="s">
        <v>492</v>
      </c>
      <c r="V926" t="s">
        <v>1567</v>
      </c>
      <c r="W926" t="s">
        <v>1185</v>
      </c>
    </row>
    <row r="927" spans="1:23" x14ac:dyDescent="0.25">
      <c r="A927" t="s">
        <v>1569</v>
      </c>
      <c r="B927" t="s">
        <v>1569</v>
      </c>
      <c r="C927">
        <v>0</v>
      </c>
      <c r="D927" s="3">
        <v>0</v>
      </c>
      <c r="E927">
        <v>9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 t="s">
        <v>1102</v>
      </c>
      <c r="U927" t="s">
        <v>492</v>
      </c>
      <c r="V927" t="s">
        <v>1567</v>
      </c>
      <c r="W927" t="s">
        <v>1187</v>
      </c>
    </row>
    <row r="928" spans="1:23" x14ac:dyDescent="0.25">
      <c r="A928" t="s">
        <v>1570</v>
      </c>
      <c r="B928" t="s">
        <v>1570</v>
      </c>
      <c r="C928">
        <v>0</v>
      </c>
      <c r="D928" s="3">
        <v>0</v>
      </c>
      <c r="E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 t="s">
        <v>1102</v>
      </c>
      <c r="U928" t="s">
        <v>492</v>
      </c>
      <c r="V928" t="s">
        <v>1571</v>
      </c>
      <c r="W928" t="s">
        <v>1183</v>
      </c>
    </row>
    <row r="929" spans="1:23" x14ac:dyDescent="0.25">
      <c r="A929" t="s">
        <v>1572</v>
      </c>
      <c r="B929" t="s">
        <v>1572</v>
      </c>
      <c r="C929">
        <v>0</v>
      </c>
      <c r="D929" s="3">
        <v>0</v>
      </c>
      <c r="E929">
        <v>37</v>
      </c>
      <c r="G929">
        <v>0</v>
      </c>
      <c r="H929">
        <v>0</v>
      </c>
      <c r="I929">
        <v>0</v>
      </c>
      <c r="J929">
        <v>1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2</v>
      </c>
      <c r="T929" t="s">
        <v>1102</v>
      </c>
      <c r="U929" t="s">
        <v>492</v>
      </c>
      <c r="V929" t="s">
        <v>1571</v>
      </c>
      <c r="W929" t="s">
        <v>1185</v>
      </c>
    </row>
    <row r="930" spans="1:23" x14ac:dyDescent="0.25">
      <c r="A930" t="s">
        <v>1573</v>
      </c>
      <c r="B930" t="s">
        <v>1573</v>
      </c>
      <c r="C930">
        <v>0</v>
      </c>
      <c r="D930" s="3">
        <v>0</v>
      </c>
      <c r="E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 t="s">
        <v>1102</v>
      </c>
      <c r="U930" t="s">
        <v>492</v>
      </c>
      <c r="V930" t="s">
        <v>1571</v>
      </c>
      <c r="W930" t="s">
        <v>1187</v>
      </c>
    </row>
    <row r="931" spans="1:23" x14ac:dyDescent="0.25">
      <c r="A931" t="s">
        <v>1574</v>
      </c>
      <c r="B931" t="s">
        <v>1574</v>
      </c>
      <c r="C931">
        <v>0</v>
      </c>
      <c r="D931" s="3">
        <v>0</v>
      </c>
      <c r="E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 t="s">
        <v>1102</v>
      </c>
      <c r="U931" t="s">
        <v>492</v>
      </c>
      <c r="V931" t="s">
        <v>1575</v>
      </c>
      <c r="W931" t="s">
        <v>1183</v>
      </c>
    </row>
    <row r="932" spans="1:23" x14ac:dyDescent="0.25">
      <c r="A932" t="s">
        <v>1576</v>
      </c>
      <c r="B932" t="s">
        <v>1576</v>
      </c>
      <c r="C932">
        <v>0</v>
      </c>
      <c r="D932" s="3">
        <v>0</v>
      </c>
      <c r="E932">
        <v>35</v>
      </c>
      <c r="G932">
        <v>0</v>
      </c>
      <c r="H932">
        <v>0</v>
      </c>
      <c r="I932">
        <v>0</v>
      </c>
      <c r="J932">
        <v>1</v>
      </c>
      <c r="K932">
        <v>2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4</v>
      </c>
      <c r="T932" t="s">
        <v>1102</v>
      </c>
      <c r="U932" t="s">
        <v>492</v>
      </c>
      <c r="V932" t="s">
        <v>1575</v>
      </c>
      <c r="W932" t="s">
        <v>1185</v>
      </c>
    </row>
    <row r="933" spans="1:23" x14ac:dyDescent="0.25">
      <c r="A933" t="s">
        <v>1577</v>
      </c>
      <c r="B933" t="s">
        <v>1577</v>
      </c>
      <c r="C933">
        <v>0</v>
      </c>
      <c r="D933" s="3">
        <v>0</v>
      </c>
      <c r="E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 t="s">
        <v>1102</v>
      </c>
      <c r="U933" t="s">
        <v>492</v>
      </c>
      <c r="V933" t="s">
        <v>1575</v>
      </c>
      <c r="W933" t="s">
        <v>1187</v>
      </c>
    </row>
    <row r="934" spans="1:23" x14ac:dyDescent="0.25">
      <c r="A934" t="s">
        <v>1578</v>
      </c>
      <c r="B934" t="s">
        <v>1578</v>
      </c>
      <c r="C934">
        <v>0</v>
      </c>
      <c r="D934" s="3">
        <v>0</v>
      </c>
      <c r="E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 t="s">
        <v>1102</v>
      </c>
      <c r="U934" t="s">
        <v>492</v>
      </c>
      <c r="V934" t="s">
        <v>1579</v>
      </c>
      <c r="W934" t="s">
        <v>1183</v>
      </c>
    </row>
    <row r="935" spans="1:23" x14ac:dyDescent="0.25">
      <c r="A935" t="s">
        <v>1580</v>
      </c>
      <c r="B935" t="s">
        <v>1580</v>
      </c>
      <c r="C935">
        <v>0</v>
      </c>
      <c r="D935" s="3">
        <v>0</v>
      </c>
      <c r="E935">
        <v>37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2</v>
      </c>
      <c r="T935" t="s">
        <v>1102</v>
      </c>
      <c r="U935" t="s">
        <v>492</v>
      </c>
      <c r="V935" t="s">
        <v>1579</v>
      </c>
      <c r="W935" t="s">
        <v>1185</v>
      </c>
    </row>
    <row r="936" spans="1:23" x14ac:dyDescent="0.25">
      <c r="A936" t="s">
        <v>1581</v>
      </c>
      <c r="B936" t="s">
        <v>1581</v>
      </c>
      <c r="C936">
        <v>0</v>
      </c>
      <c r="D936" s="3">
        <v>0</v>
      </c>
      <c r="E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 t="s">
        <v>1102</v>
      </c>
      <c r="U936" t="s">
        <v>492</v>
      </c>
      <c r="V936" t="s">
        <v>1579</v>
      </c>
      <c r="W936" t="s">
        <v>1187</v>
      </c>
    </row>
    <row r="937" spans="1:23" x14ac:dyDescent="0.25">
      <c r="A937" t="s">
        <v>1582</v>
      </c>
      <c r="B937" t="s">
        <v>1582</v>
      </c>
      <c r="C937">
        <v>0</v>
      </c>
      <c r="D937" s="3">
        <v>0</v>
      </c>
      <c r="E937">
        <v>20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 t="s">
        <v>1102</v>
      </c>
      <c r="U937" t="s">
        <v>492</v>
      </c>
      <c r="V937" t="s">
        <v>1583</v>
      </c>
      <c r="W937" t="s">
        <v>1183</v>
      </c>
    </row>
    <row r="938" spans="1:23" x14ac:dyDescent="0.25">
      <c r="A938" t="s">
        <v>1584</v>
      </c>
      <c r="B938" t="s">
        <v>1584</v>
      </c>
      <c r="C938">
        <v>3.5</v>
      </c>
      <c r="D938" s="3">
        <v>3.5</v>
      </c>
      <c r="E938">
        <v>42</v>
      </c>
      <c r="G938">
        <v>0</v>
      </c>
      <c r="H938">
        <v>4</v>
      </c>
      <c r="I938">
        <v>12</v>
      </c>
      <c r="J938">
        <v>15</v>
      </c>
      <c r="K938">
        <v>2</v>
      </c>
      <c r="L938">
        <v>2</v>
      </c>
      <c r="M938">
        <v>5</v>
      </c>
      <c r="N938">
        <v>5</v>
      </c>
      <c r="O938">
        <v>2</v>
      </c>
      <c r="P938">
        <v>5</v>
      </c>
      <c r="Q938">
        <v>2</v>
      </c>
      <c r="R938">
        <v>3</v>
      </c>
      <c r="S938">
        <v>57</v>
      </c>
      <c r="T938" t="s">
        <v>1102</v>
      </c>
      <c r="U938" t="s">
        <v>492</v>
      </c>
      <c r="V938" t="s">
        <v>1583</v>
      </c>
      <c r="W938" t="s">
        <v>1185</v>
      </c>
    </row>
    <row r="939" spans="1:23" x14ac:dyDescent="0.25">
      <c r="A939" t="s">
        <v>1585</v>
      </c>
      <c r="B939" t="s">
        <v>1585</v>
      </c>
      <c r="C939">
        <v>1</v>
      </c>
      <c r="D939" s="3">
        <v>1</v>
      </c>
      <c r="E939">
        <v>29</v>
      </c>
      <c r="G939">
        <v>0</v>
      </c>
      <c r="H939">
        <v>1</v>
      </c>
      <c r="I939">
        <v>4</v>
      </c>
      <c r="J939">
        <v>4</v>
      </c>
      <c r="K939">
        <v>3</v>
      </c>
      <c r="L939">
        <v>0</v>
      </c>
      <c r="M939">
        <v>0</v>
      </c>
      <c r="N939">
        <v>3</v>
      </c>
      <c r="O939">
        <v>0</v>
      </c>
      <c r="P939">
        <v>1</v>
      </c>
      <c r="Q939">
        <v>2</v>
      </c>
      <c r="R939">
        <v>1</v>
      </c>
      <c r="S939">
        <v>19</v>
      </c>
      <c r="T939" t="s">
        <v>1102</v>
      </c>
      <c r="U939" t="s">
        <v>492</v>
      </c>
      <c r="V939" t="s">
        <v>1583</v>
      </c>
      <c r="W939" t="s">
        <v>1187</v>
      </c>
    </row>
    <row r="940" spans="1:23" x14ac:dyDescent="0.25">
      <c r="A940" t="s">
        <v>1586</v>
      </c>
      <c r="B940" t="s">
        <v>1586</v>
      </c>
      <c r="C940">
        <v>0</v>
      </c>
      <c r="D940" s="3">
        <v>0</v>
      </c>
      <c r="E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 t="s">
        <v>1102</v>
      </c>
      <c r="U940" t="s">
        <v>492</v>
      </c>
      <c r="V940" t="s">
        <v>1583</v>
      </c>
      <c r="W940" t="s">
        <v>1189</v>
      </c>
    </row>
    <row r="941" spans="1:23" x14ac:dyDescent="0.25">
      <c r="A941" t="s">
        <v>1587</v>
      </c>
      <c r="B941" t="s">
        <v>1587</v>
      </c>
      <c r="C941">
        <v>0</v>
      </c>
      <c r="D941" s="3">
        <v>0</v>
      </c>
      <c r="E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 t="s">
        <v>1102</v>
      </c>
      <c r="U941" t="s">
        <v>492</v>
      </c>
      <c r="V941" t="s">
        <v>1583</v>
      </c>
      <c r="W941" t="s">
        <v>1191</v>
      </c>
    </row>
    <row r="942" spans="1:23" x14ac:dyDescent="0.25">
      <c r="A942" t="s">
        <v>1588</v>
      </c>
      <c r="B942" t="s">
        <v>1588</v>
      </c>
      <c r="C942">
        <v>0</v>
      </c>
      <c r="D942" s="3">
        <v>0</v>
      </c>
      <c r="E942">
        <v>4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 t="s">
        <v>1102</v>
      </c>
      <c r="U942" t="s">
        <v>492</v>
      </c>
      <c r="V942" t="s">
        <v>1589</v>
      </c>
      <c r="W942" t="s">
        <v>1183</v>
      </c>
    </row>
    <row r="943" spans="1:23" x14ac:dyDescent="0.25">
      <c r="A943" t="s">
        <v>1590</v>
      </c>
      <c r="B943" t="s">
        <v>1590</v>
      </c>
      <c r="C943">
        <v>0</v>
      </c>
      <c r="D943" s="3">
        <v>0</v>
      </c>
      <c r="E943">
        <v>16</v>
      </c>
      <c r="G943">
        <v>0</v>
      </c>
      <c r="H943">
        <v>2</v>
      </c>
      <c r="I943">
        <v>4</v>
      </c>
      <c r="J943">
        <v>2</v>
      </c>
      <c r="K943">
        <v>1</v>
      </c>
      <c r="L943">
        <v>0</v>
      </c>
      <c r="M943">
        <v>1</v>
      </c>
      <c r="N943">
        <v>-3</v>
      </c>
      <c r="O943">
        <v>0</v>
      </c>
      <c r="P943">
        <v>0</v>
      </c>
      <c r="Q943">
        <v>0</v>
      </c>
      <c r="R943">
        <v>0</v>
      </c>
      <c r="S943">
        <v>7</v>
      </c>
      <c r="T943" t="s">
        <v>1102</v>
      </c>
      <c r="U943" t="s">
        <v>492</v>
      </c>
      <c r="V943" t="s">
        <v>1589</v>
      </c>
      <c r="W943" t="s">
        <v>1185</v>
      </c>
    </row>
    <row r="944" spans="1:23" x14ac:dyDescent="0.25">
      <c r="A944" t="s">
        <v>1591</v>
      </c>
      <c r="B944" t="s">
        <v>1591</v>
      </c>
      <c r="C944">
        <v>0</v>
      </c>
      <c r="D944" s="3">
        <v>0</v>
      </c>
      <c r="E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 t="s">
        <v>1102</v>
      </c>
      <c r="U944" t="s">
        <v>492</v>
      </c>
      <c r="V944" t="s">
        <v>1589</v>
      </c>
      <c r="W944" t="s">
        <v>1187</v>
      </c>
    </row>
    <row r="945" spans="1:23" x14ac:dyDescent="0.25">
      <c r="A945" t="s">
        <v>1592</v>
      </c>
      <c r="B945" t="s">
        <v>1592</v>
      </c>
      <c r="C945">
        <v>0</v>
      </c>
      <c r="D945" s="3">
        <v>0</v>
      </c>
      <c r="E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 t="s">
        <v>1102</v>
      </c>
      <c r="U945" t="s">
        <v>492</v>
      </c>
      <c r="V945" t="s">
        <v>1593</v>
      </c>
      <c r="W945" t="s">
        <v>1183</v>
      </c>
    </row>
    <row r="946" spans="1:23" x14ac:dyDescent="0.25">
      <c r="A946" t="s">
        <v>1594</v>
      </c>
      <c r="B946" t="s">
        <v>1594</v>
      </c>
      <c r="C946">
        <v>16</v>
      </c>
      <c r="D946" s="3">
        <v>16</v>
      </c>
      <c r="E946">
        <v>63</v>
      </c>
      <c r="G946">
        <v>0</v>
      </c>
      <c r="H946">
        <v>4</v>
      </c>
      <c r="I946">
        <v>24</v>
      </c>
      <c r="J946">
        <v>42</v>
      </c>
      <c r="K946">
        <v>21</v>
      </c>
      <c r="L946">
        <v>5</v>
      </c>
      <c r="M946">
        <v>22</v>
      </c>
      <c r="N946">
        <v>12</v>
      </c>
      <c r="O946">
        <v>22</v>
      </c>
      <c r="P946">
        <v>9</v>
      </c>
      <c r="Q946">
        <v>20</v>
      </c>
      <c r="R946">
        <v>9</v>
      </c>
      <c r="S946">
        <v>190</v>
      </c>
      <c r="T946" t="s">
        <v>1102</v>
      </c>
      <c r="U946" t="s">
        <v>492</v>
      </c>
      <c r="V946" t="s">
        <v>1593</v>
      </c>
      <c r="W946" t="s">
        <v>1185</v>
      </c>
    </row>
    <row r="947" spans="1:23" x14ac:dyDescent="0.25">
      <c r="A947" t="s">
        <v>1595</v>
      </c>
      <c r="B947" t="s">
        <v>1595</v>
      </c>
      <c r="C947">
        <v>1</v>
      </c>
      <c r="D947" s="3">
        <v>1</v>
      </c>
      <c r="E947">
        <v>73</v>
      </c>
      <c r="G947">
        <v>0</v>
      </c>
      <c r="H947">
        <v>1</v>
      </c>
      <c r="I947">
        <v>9</v>
      </c>
      <c r="J947">
        <v>7</v>
      </c>
      <c r="K947">
        <v>1</v>
      </c>
      <c r="L947">
        <v>0</v>
      </c>
      <c r="M947">
        <v>1</v>
      </c>
      <c r="N947">
        <v>6</v>
      </c>
      <c r="O947">
        <v>2</v>
      </c>
      <c r="P947">
        <v>1</v>
      </c>
      <c r="Q947">
        <v>-1</v>
      </c>
      <c r="R947">
        <v>0</v>
      </c>
      <c r="S947">
        <v>27</v>
      </c>
      <c r="T947" t="s">
        <v>1102</v>
      </c>
      <c r="U947" t="s">
        <v>492</v>
      </c>
      <c r="V947" t="s">
        <v>1593</v>
      </c>
      <c r="W947" t="s">
        <v>1187</v>
      </c>
    </row>
    <row r="948" spans="1:23" x14ac:dyDescent="0.25">
      <c r="A948" t="s">
        <v>1596</v>
      </c>
      <c r="B948" t="s">
        <v>1596</v>
      </c>
      <c r="C948">
        <v>0</v>
      </c>
      <c r="D948" s="3">
        <v>0</v>
      </c>
      <c r="E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 t="s">
        <v>1102</v>
      </c>
      <c r="U948" t="s">
        <v>492</v>
      </c>
      <c r="V948" t="s">
        <v>1597</v>
      </c>
      <c r="W948" t="s">
        <v>1183</v>
      </c>
    </row>
    <row r="949" spans="1:23" x14ac:dyDescent="0.25">
      <c r="A949" t="s">
        <v>1598</v>
      </c>
      <c r="B949" t="s">
        <v>1598</v>
      </c>
      <c r="C949">
        <v>9</v>
      </c>
      <c r="D949" s="3">
        <v>9</v>
      </c>
      <c r="E949">
        <v>74</v>
      </c>
      <c r="G949">
        <v>0</v>
      </c>
      <c r="H949">
        <v>5</v>
      </c>
      <c r="I949">
        <v>9</v>
      </c>
      <c r="J949">
        <v>13</v>
      </c>
      <c r="K949">
        <v>19</v>
      </c>
      <c r="L949">
        <v>9</v>
      </c>
      <c r="M949">
        <v>0</v>
      </c>
      <c r="N949">
        <v>13</v>
      </c>
      <c r="O949">
        <v>11</v>
      </c>
      <c r="P949">
        <v>7</v>
      </c>
      <c r="Q949">
        <v>2</v>
      </c>
      <c r="R949">
        <v>10</v>
      </c>
      <c r="S949">
        <v>98</v>
      </c>
      <c r="T949" t="s">
        <v>1102</v>
      </c>
      <c r="U949" t="s">
        <v>492</v>
      </c>
      <c r="V949" t="s">
        <v>1597</v>
      </c>
      <c r="W949" t="s">
        <v>1185</v>
      </c>
    </row>
    <row r="950" spans="1:23" x14ac:dyDescent="0.25">
      <c r="A950" t="s">
        <v>1599</v>
      </c>
      <c r="B950" t="s">
        <v>1599</v>
      </c>
      <c r="C950">
        <v>1</v>
      </c>
      <c r="D950" s="3">
        <v>1</v>
      </c>
      <c r="E950">
        <v>74</v>
      </c>
      <c r="G950">
        <v>0</v>
      </c>
      <c r="H950">
        <v>1</v>
      </c>
      <c r="I950">
        <v>3</v>
      </c>
      <c r="J950">
        <v>5</v>
      </c>
      <c r="K950">
        <v>1</v>
      </c>
      <c r="L950">
        <v>1</v>
      </c>
      <c r="M950">
        <v>9</v>
      </c>
      <c r="N950">
        <v>6</v>
      </c>
      <c r="O950">
        <v>0</v>
      </c>
      <c r="P950">
        <v>0</v>
      </c>
      <c r="Q950">
        <v>0</v>
      </c>
      <c r="R950">
        <v>0</v>
      </c>
      <c r="S950">
        <v>26</v>
      </c>
      <c r="T950" t="s">
        <v>1102</v>
      </c>
      <c r="U950" t="s">
        <v>492</v>
      </c>
      <c r="V950" t="s">
        <v>1597</v>
      </c>
      <c r="W950" t="s">
        <v>1187</v>
      </c>
    </row>
    <row r="951" spans="1:23" x14ac:dyDescent="0.25">
      <c r="A951" t="s">
        <v>1600</v>
      </c>
      <c r="B951" t="s">
        <v>1600</v>
      </c>
      <c r="C951">
        <v>0</v>
      </c>
      <c r="D951" s="3">
        <v>0</v>
      </c>
      <c r="E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 t="s">
        <v>1102</v>
      </c>
      <c r="U951" t="s">
        <v>492</v>
      </c>
      <c r="V951" t="s">
        <v>1601</v>
      </c>
      <c r="W951" t="s">
        <v>1183</v>
      </c>
    </row>
    <row r="952" spans="1:23" x14ac:dyDescent="0.25">
      <c r="A952" t="s">
        <v>1602</v>
      </c>
      <c r="B952" t="s">
        <v>1602</v>
      </c>
      <c r="C952">
        <v>0.5</v>
      </c>
      <c r="D952" s="3">
        <v>0.5</v>
      </c>
      <c r="E952">
        <v>47</v>
      </c>
      <c r="G952">
        <v>0</v>
      </c>
      <c r="H952">
        <v>2</v>
      </c>
      <c r="I952">
        <v>4</v>
      </c>
      <c r="J952">
        <v>0</v>
      </c>
      <c r="K952">
        <v>0</v>
      </c>
      <c r="L952">
        <v>0</v>
      </c>
      <c r="M952">
        <v>0</v>
      </c>
      <c r="N952">
        <v>2</v>
      </c>
      <c r="O952">
        <v>2</v>
      </c>
      <c r="P952">
        <v>1</v>
      </c>
      <c r="Q952">
        <v>1</v>
      </c>
      <c r="R952">
        <v>0</v>
      </c>
      <c r="S952">
        <v>12</v>
      </c>
      <c r="T952" t="s">
        <v>1102</v>
      </c>
      <c r="U952" t="s">
        <v>492</v>
      </c>
      <c r="V952" t="s">
        <v>1601</v>
      </c>
      <c r="W952" t="s">
        <v>1185</v>
      </c>
    </row>
    <row r="953" spans="1:23" x14ac:dyDescent="0.25">
      <c r="A953" t="s">
        <v>1603</v>
      </c>
      <c r="B953" t="s">
        <v>1603</v>
      </c>
      <c r="C953">
        <v>0</v>
      </c>
      <c r="D953" s="3">
        <v>0</v>
      </c>
      <c r="E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 t="s">
        <v>1102</v>
      </c>
      <c r="U953" t="s">
        <v>492</v>
      </c>
      <c r="V953" t="s">
        <v>1601</v>
      </c>
      <c r="W953" t="s">
        <v>1187</v>
      </c>
    </row>
    <row r="954" spans="1:23" x14ac:dyDescent="0.25">
      <c r="A954" t="s">
        <v>1604</v>
      </c>
      <c r="B954" t="s">
        <v>1604</v>
      </c>
      <c r="C954">
        <v>0</v>
      </c>
      <c r="D954" s="3">
        <v>0</v>
      </c>
      <c r="E954">
        <v>8</v>
      </c>
      <c r="G954">
        <v>0</v>
      </c>
      <c r="H954">
        <v>5</v>
      </c>
      <c r="I954">
        <v>7</v>
      </c>
      <c r="J954">
        <v>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14</v>
      </c>
      <c r="T954" t="s">
        <v>1102</v>
      </c>
      <c r="U954" t="s">
        <v>492</v>
      </c>
      <c r="V954" t="s">
        <v>1605</v>
      </c>
      <c r="W954" t="s">
        <v>1183</v>
      </c>
    </row>
    <row r="955" spans="1:23" x14ac:dyDescent="0.25">
      <c r="A955" t="s">
        <v>1606</v>
      </c>
      <c r="B955" t="s">
        <v>1606</v>
      </c>
      <c r="C955">
        <v>0</v>
      </c>
      <c r="D955" s="3">
        <v>0</v>
      </c>
      <c r="E955">
        <v>3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 t="s">
        <v>1102</v>
      </c>
      <c r="U955" t="s">
        <v>492</v>
      </c>
      <c r="V955" t="s">
        <v>1605</v>
      </c>
      <c r="W955" t="s">
        <v>1185</v>
      </c>
    </row>
    <row r="956" spans="1:23" x14ac:dyDescent="0.25">
      <c r="A956" t="s">
        <v>1607</v>
      </c>
      <c r="B956" t="s">
        <v>1607</v>
      </c>
      <c r="C956">
        <v>0</v>
      </c>
      <c r="D956" s="3">
        <v>0</v>
      </c>
      <c r="E956">
        <v>12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 t="s">
        <v>1102</v>
      </c>
      <c r="U956" t="s">
        <v>492</v>
      </c>
      <c r="V956" t="s">
        <v>1605</v>
      </c>
      <c r="W956" t="s">
        <v>1187</v>
      </c>
    </row>
    <row r="957" spans="1:23" x14ac:dyDescent="0.25">
      <c r="A957" t="s">
        <v>1608</v>
      </c>
      <c r="B957" t="s">
        <v>1608</v>
      </c>
      <c r="C957">
        <v>0</v>
      </c>
      <c r="D957" s="3">
        <v>0</v>
      </c>
      <c r="E957">
        <v>4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 t="s">
        <v>1102</v>
      </c>
      <c r="U957" t="s">
        <v>492</v>
      </c>
      <c r="V957" t="s">
        <v>1605</v>
      </c>
      <c r="W957" t="s">
        <v>1189</v>
      </c>
    </row>
    <row r="958" spans="1:23" x14ac:dyDescent="0.25">
      <c r="A958" t="s">
        <v>1609</v>
      </c>
      <c r="B958" t="s">
        <v>1609</v>
      </c>
      <c r="C958">
        <v>0</v>
      </c>
      <c r="D958" s="3">
        <v>0</v>
      </c>
      <c r="E958">
        <v>20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 t="s">
        <v>1102</v>
      </c>
      <c r="U958" t="s">
        <v>492</v>
      </c>
      <c r="V958" t="s">
        <v>1605</v>
      </c>
      <c r="W958" t="s">
        <v>1191</v>
      </c>
    </row>
    <row r="959" spans="1:23" x14ac:dyDescent="0.25">
      <c r="A959" t="s">
        <v>1610</v>
      </c>
      <c r="B959" t="s">
        <v>1610</v>
      </c>
      <c r="C959">
        <v>0</v>
      </c>
      <c r="D959" s="3">
        <v>0</v>
      </c>
      <c r="E959">
        <v>58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 t="s">
        <v>1102</v>
      </c>
      <c r="U959" t="s">
        <v>492</v>
      </c>
      <c r="V959" t="s">
        <v>1611</v>
      </c>
      <c r="W959" t="s">
        <v>1183</v>
      </c>
    </row>
    <row r="960" spans="1:23" x14ac:dyDescent="0.25">
      <c r="A960" t="s">
        <v>1612</v>
      </c>
      <c r="B960" t="s">
        <v>1612</v>
      </c>
      <c r="C960">
        <v>0</v>
      </c>
      <c r="D960" s="3">
        <v>0</v>
      </c>
      <c r="E960">
        <v>20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 t="s">
        <v>1102</v>
      </c>
      <c r="U960" t="s">
        <v>492</v>
      </c>
      <c r="V960" t="s">
        <v>1611</v>
      </c>
      <c r="W960" t="s">
        <v>1185</v>
      </c>
    </row>
    <row r="961" spans="1:23" x14ac:dyDescent="0.25">
      <c r="A961" t="s">
        <v>1613</v>
      </c>
      <c r="B961" t="s">
        <v>1613</v>
      </c>
      <c r="C961">
        <v>0</v>
      </c>
      <c r="D961" s="3">
        <v>0</v>
      </c>
      <c r="E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 t="s">
        <v>1102</v>
      </c>
      <c r="U961" t="s">
        <v>492</v>
      </c>
      <c r="V961" t="s">
        <v>1611</v>
      </c>
      <c r="W961" t="s">
        <v>1187</v>
      </c>
    </row>
    <row r="962" spans="1:23" x14ac:dyDescent="0.25">
      <c r="A962" t="s">
        <v>1614</v>
      </c>
      <c r="B962" t="s">
        <v>1614</v>
      </c>
      <c r="C962">
        <v>0</v>
      </c>
      <c r="D962" s="3">
        <v>0</v>
      </c>
      <c r="E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 t="s">
        <v>1102</v>
      </c>
      <c r="U962" t="s">
        <v>492</v>
      </c>
      <c r="V962" t="s">
        <v>1611</v>
      </c>
      <c r="W962" t="s">
        <v>1189</v>
      </c>
    </row>
    <row r="963" spans="1:23" x14ac:dyDescent="0.25">
      <c r="A963" t="s">
        <v>1615</v>
      </c>
      <c r="B963" t="s">
        <v>1615</v>
      </c>
      <c r="C963">
        <v>0</v>
      </c>
      <c r="D963" s="3">
        <v>0</v>
      </c>
      <c r="E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 t="s">
        <v>1102</v>
      </c>
      <c r="U963" t="s">
        <v>492</v>
      </c>
      <c r="V963" t="s">
        <v>1611</v>
      </c>
      <c r="W963" t="s">
        <v>1191</v>
      </c>
    </row>
    <row r="964" spans="1:23" x14ac:dyDescent="0.25">
      <c r="A964" t="s">
        <v>1616</v>
      </c>
      <c r="B964" t="s">
        <v>1616</v>
      </c>
      <c r="C964">
        <v>0</v>
      </c>
      <c r="D964" s="3">
        <v>0</v>
      </c>
      <c r="E964">
        <v>39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 t="s">
        <v>1102</v>
      </c>
      <c r="U964" t="s">
        <v>492</v>
      </c>
      <c r="V964" t="s">
        <v>1617</v>
      </c>
      <c r="W964" t="s">
        <v>1183</v>
      </c>
    </row>
    <row r="965" spans="1:23" x14ac:dyDescent="0.25">
      <c r="A965" t="s">
        <v>1618</v>
      </c>
      <c r="B965" t="s">
        <v>1618</v>
      </c>
      <c r="C965">
        <v>0</v>
      </c>
      <c r="D965" s="3">
        <v>0</v>
      </c>
      <c r="E965">
        <v>8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 t="s">
        <v>1102</v>
      </c>
      <c r="U965" t="s">
        <v>492</v>
      </c>
      <c r="V965" t="s">
        <v>1617</v>
      </c>
      <c r="W965" t="s">
        <v>1185</v>
      </c>
    </row>
    <row r="966" spans="1:23" x14ac:dyDescent="0.25">
      <c r="A966" t="s">
        <v>1619</v>
      </c>
      <c r="B966" t="s">
        <v>1619</v>
      </c>
      <c r="C966">
        <v>0</v>
      </c>
      <c r="D966" s="3">
        <v>0</v>
      </c>
      <c r="E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 t="s">
        <v>1102</v>
      </c>
      <c r="U966" t="s">
        <v>492</v>
      </c>
      <c r="V966" t="s">
        <v>1617</v>
      </c>
      <c r="W966" t="s">
        <v>1187</v>
      </c>
    </row>
    <row r="967" spans="1:23" x14ac:dyDescent="0.25">
      <c r="A967" t="s">
        <v>1620</v>
      </c>
      <c r="B967" t="s">
        <v>1620</v>
      </c>
      <c r="C967">
        <v>0</v>
      </c>
      <c r="D967" s="3">
        <v>0</v>
      </c>
      <c r="E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 t="s">
        <v>1102</v>
      </c>
      <c r="U967" t="s">
        <v>492</v>
      </c>
      <c r="V967" t="s">
        <v>1617</v>
      </c>
      <c r="W967" t="s">
        <v>1189</v>
      </c>
    </row>
    <row r="968" spans="1:23" x14ac:dyDescent="0.25">
      <c r="A968" t="s">
        <v>1621</v>
      </c>
      <c r="B968" t="s">
        <v>1621</v>
      </c>
      <c r="C968">
        <v>0</v>
      </c>
      <c r="D968" s="3">
        <v>0</v>
      </c>
      <c r="E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 t="s">
        <v>1102</v>
      </c>
      <c r="U968" t="s">
        <v>492</v>
      </c>
      <c r="V968" t="s">
        <v>1617</v>
      </c>
      <c r="W968" t="s">
        <v>1191</v>
      </c>
    </row>
    <row r="969" spans="1:23" x14ac:dyDescent="0.25">
      <c r="A969" t="s">
        <v>1622</v>
      </c>
      <c r="B969" t="s">
        <v>1622</v>
      </c>
      <c r="C969">
        <v>0</v>
      </c>
      <c r="D969" s="3">
        <v>0</v>
      </c>
      <c r="E969">
        <v>3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 t="s">
        <v>1102</v>
      </c>
      <c r="U969" t="s">
        <v>492</v>
      </c>
      <c r="V969" t="s">
        <v>1623</v>
      </c>
      <c r="W969" t="s">
        <v>1183</v>
      </c>
    </row>
    <row r="970" spans="1:23" x14ac:dyDescent="0.25">
      <c r="A970" t="s">
        <v>1624</v>
      </c>
      <c r="B970" t="s">
        <v>1624</v>
      </c>
      <c r="C970">
        <v>0</v>
      </c>
      <c r="D970" s="3">
        <v>0</v>
      </c>
      <c r="E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 t="s">
        <v>1102</v>
      </c>
      <c r="U970" t="s">
        <v>492</v>
      </c>
      <c r="V970" t="s">
        <v>1623</v>
      </c>
      <c r="W970" t="s">
        <v>1185</v>
      </c>
    </row>
    <row r="971" spans="1:23" x14ac:dyDescent="0.25">
      <c r="A971" t="s">
        <v>1625</v>
      </c>
      <c r="B971" t="s">
        <v>1625</v>
      </c>
      <c r="C971">
        <v>0</v>
      </c>
      <c r="D971" s="3">
        <v>0</v>
      </c>
      <c r="E971">
        <v>3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1</v>
      </c>
      <c r="T971" t="s">
        <v>1102</v>
      </c>
      <c r="U971" t="s">
        <v>492</v>
      </c>
      <c r="V971" t="s">
        <v>1623</v>
      </c>
      <c r="W971" t="s">
        <v>1187</v>
      </c>
    </row>
    <row r="972" spans="1:23" x14ac:dyDescent="0.25">
      <c r="A972" t="s">
        <v>1626</v>
      </c>
      <c r="B972" t="s">
        <v>1626</v>
      </c>
      <c r="C972">
        <v>0</v>
      </c>
      <c r="D972" s="3">
        <v>0</v>
      </c>
      <c r="E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 t="s">
        <v>1102</v>
      </c>
      <c r="U972" t="s">
        <v>492</v>
      </c>
      <c r="V972" t="s">
        <v>1623</v>
      </c>
      <c r="W972" t="s">
        <v>1189</v>
      </c>
    </row>
    <row r="973" spans="1:23" x14ac:dyDescent="0.25">
      <c r="A973" t="s">
        <v>1627</v>
      </c>
      <c r="B973" t="s">
        <v>1627</v>
      </c>
      <c r="C973">
        <v>0</v>
      </c>
      <c r="D973" s="3">
        <v>0</v>
      </c>
      <c r="E973">
        <v>9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2</v>
      </c>
      <c r="S973">
        <v>2</v>
      </c>
      <c r="T973" t="s">
        <v>1102</v>
      </c>
      <c r="U973" t="s">
        <v>492</v>
      </c>
      <c r="V973" t="s">
        <v>1623</v>
      </c>
      <c r="W973" t="s">
        <v>1191</v>
      </c>
    </row>
    <row r="974" spans="1:23" x14ac:dyDescent="0.25">
      <c r="A974" t="s">
        <v>1628</v>
      </c>
      <c r="B974" t="s">
        <v>1628</v>
      </c>
      <c r="C974">
        <v>0</v>
      </c>
      <c r="D974" s="3">
        <v>0</v>
      </c>
      <c r="E974">
        <v>29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3</v>
      </c>
      <c r="S974">
        <v>3</v>
      </c>
      <c r="T974" t="s">
        <v>1102</v>
      </c>
      <c r="U974" t="s">
        <v>492</v>
      </c>
      <c r="V974" t="s">
        <v>1629</v>
      </c>
      <c r="W974" t="s">
        <v>1183</v>
      </c>
    </row>
    <row r="975" spans="1:23" x14ac:dyDescent="0.25">
      <c r="A975" t="s">
        <v>1630</v>
      </c>
      <c r="B975" t="s">
        <v>1630</v>
      </c>
      <c r="C975">
        <v>0</v>
      </c>
      <c r="D975" s="3">
        <v>0</v>
      </c>
      <c r="E975">
        <v>10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1</v>
      </c>
      <c r="T975" t="s">
        <v>1102</v>
      </c>
      <c r="U975" t="s">
        <v>492</v>
      </c>
      <c r="V975" t="s">
        <v>1629</v>
      </c>
      <c r="W975" t="s">
        <v>1185</v>
      </c>
    </row>
    <row r="976" spans="1:23" x14ac:dyDescent="0.25">
      <c r="A976" t="s">
        <v>1631</v>
      </c>
      <c r="B976" t="s">
        <v>1631</v>
      </c>
      <c r="C976">
        <v>0</v>
      </c>
      <c r="D976" s="3">
        <v>0</v>
      </c>
      <c r="E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 t="s">
        <v>1102</v>
      </c>
      <c r="U976" t="s">
        <v>492</v>
      </c>
      <c r="V976" t="s">
        <v>1629</v>
      </c>
      <c r="W976" t="s">
        <v>1187</v>
      </c>
    </row>
    <row r="977" spans="1:23" x14ac:dyDescent="0.25">
      <c r="A977" t="s">
        <v>1632</v>
      </c>
      <c r="B977" t="s">
        <v>1632</v>
      </c>
      <c r="C977">
        <v>0</v>
      </c>
      <c r="D977" s="3">
        <v>0</v>
      </c>
      <c r="E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 t="s">
        <v>1102</v>
      </c>
      <c r="U977" t="s">
        <v>492</v>
      </c>
      <c r="V977" t="s">
        <v>1629</v>
      </c>
      <c r="W977" t="s">
        <v>1189</v>
      </c>
    </row>
    <row r="978" spans="1:23" x14ac:dyDescent="0.25">
      <c r="A978" t="s">
        <v>1633</v>
      </c>
      <c r="B978" t="s">
        <v>1633</v>
      </c>
      <c r="C978">
        <v>0</v>
      </c>
      <c r="D978" s="3">
        <v>0</v>
      </c>
      <c r="E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 t="s">
        <v>1102</v>
      </c>
      <c r="U978" t="s">
        <v>492</v>
      </c>
      <c r="V978" t="s">
        <v>1629</v>
      </c>
      <c r="W978" t="s">
        <v>1191</v>
      </c>
    </row>
    <row r="979" spans="1:23" x14ac:dyDescent="0.25">
      <c r="A979" t="s">
        <v>1634</v>
      </c>
      <c r="B979" t="s">
        <v>1634</v>
      </c>
      <c r="C979">
        <v>0</v>
      </c>
      <c r="D979" s="3">
        <v>0</v>
      </c>
      <c r="E979">
        <v>16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3</v>
      </c>
      <c r="S979">
        <v>3</v>
      </c>
      <c r="T979" t="s">
        <v>1102</v>
      </c>
      <c r="U979" t="s">
        <v>492</v>
      </c>
      <c r="V979" t="s">
        <v>1635</v>
      </c>
      <c r="W979" t="s">
        <v>1183</v>
      </c>
    </row>
    <row r="980" spans="1:23" x14ac:dyDescent="0.25">
      <c r="A980" t="s">
        <v>1636</v>
      </c>
      <c r="B980" t="s">
        <v>1636</v>
      </c>
      <c r="C980">
        <v>0</v>
      </c>
      <c r="D980" s="3">
        <v>0</v>
      </c>
      <c r="E980">
        <v>7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</v>
      </c>
      <c r="S980">
        <v>1</v>
      </c>
      <c r="T980" t="s">
        <v>1102</v>
      </c>
      <c r="U980" t="s">
        <v>492</v>
      </c>
      <c r="V980" t="s">
        <v>1635</v>
      </c>
      <c r="W980" t="s">
        <v>1185</v>
      </c>
    </row>
    <row r="981" spans="1:23" x14ac:dyDescent="0.25">
      <c r="A981" t="s">
        <v>1637</v>
      </c>
      <c r="B981" t="s">
        <v>1637</v>
      </c>
      <c r="C981">
        <v>0</v>
      </c>
      <c r="D981" s="3">
        <v>0</v>
      </c>
      <c r="E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 t="s">
        <v>1102</v>
      </c>
      <c r="U981" t="s">
        <v>492</v>
      </c>
      <c r="V981" t="s">
        <v>1635</v>
      </c>
      <c r="W981" t="s">
        <v>1187</v>
      </c>
    </row>
    <row r="982" spans="1:23" x14ac:dyDescent="0.25">
      <c r="A982" t="s">
        <v>1638</v>
      </c>
      <c r="B982" t="s">
        <v>1638</v>
      </c>
      <c r="C982">
        <v>0</v>
      </c>
      <c r="D982" s="3">
        <v>0</v>
      </c>
      <c r="E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 t="s">
        <v>1102</v>
      </c>
      <c r="U982" t="s">
        <v>492</v>
      </c>
      <c r="V982" t="s">
        <v>1635</v>
      </c>
      <c r="W982" t="s">
        <v>1189</v>
      </c>
    </row>
    <row r="983" spans="1:23" x14ac:dyDescent="0.25">
      <c r="A983" t="s">
        <v>1639</v>
      </c>
      <c r="B983" t="s">
        <v>1639</v>
      </c>
      <c r="C983">
        <v>0</v>
      </c>
      <c r="D983" s="3">
        <v>0</v>
      </c>
      <c r="E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 t="s">
        <v>1102</v>
      </c>
      <c r="U983" t="s">
        <v>492</v>
      </c>
      <c r="V983" t="s">
        <v>1635</v>
      </c>
      <c r="W983" t="s">
        <v>1191</v>
      </c>
    </row>
    <row r="984" spans="1:23" x14ac:dyDescent="0.25">
      <c r="A984" t="s">
        <v>1640</v>
      </c>
      <c r="B984" t="s">
        <v>1640</v>
      </c>
      <c r="C984">
        <v>4</v>
      </c>
      <c r="D984" s="3">
        <v>4</v>
      </c>
      <c r="E984">
        <v>7</v>
      </c>
      <c r="G984">
        <v>5</v>
      </c>
      <c r="H984">
        <v>6</v>
      </c>
      <c r="I984">
        <v>1</v>
      </c>
      <c r="J984">
        <v>6</v>
      </c>
      <c r="K984">
        <v>3</v>
      </c>
      <c r="L984">
        <v>4</v>
      </c>
      <c r="M984">
        <v>3</v>
      </c>
      <c r="N984">
        <v>4</v>
      </c>
      <c r="O984">
        <v>4</v>
      </c>
      <c r="P984">
        <v>4</v>
      </c>
      <c r="Q984">
        <v>2</v>
      </c>
      <c r="R984">
        <v>0</v>
      </c>
      <c r="S984">
        <v>42</v>
      </c>
      <c r="T984" t="s">
        <v>1102</v>
      </c>
      <c r="U984" t="s">
        <v>492</v>
      </c>
      <c r="V984" t="s">
        <v>1641</v>
      </c>
      <c r="W984" t="s">
        <v>1183</v>
      </c>
    </row>
    <row r="985" spans="1:23" x14ac:dyDescent="0.25">
      <c r="A985" t="s">
        <v>1642</v>
      </c>
      <c r="B985" t="s">
        <v>1642</v>
      </c>
      <c r="C985">
        <v>0.5</v>
      </c>
      <c r="D985" s="3">
        <v>0.5</v>
      </c>
      <c r="E985">
        <v>21</v>
      </c>
      <c r="G985">
        <v>13</v>
      </c>
      <c r="H985">
        <v>9</v>
      </c>
      <c r="I985">
        <v>4</v>
      </c>
      <c r="J985">
        <v>0</v>
      </c>
      <c r="K985">
        <v>0</v>
      </c>
      <c r="L985">
        <v>0</v>
      </c>
      <c r="M985">
        <v>0</v>
      </c>
      <c r="N985">
        <v>6</v>
      </c>
      <c r="O985">
        <v>1</v>
      </c>
      <c r="P985">
        <v>2</v>
      </c>
      <c r="Q985">
        <v>0</v>
      </c>
      <c r="R985">
        <v>0</v>
      </c>
      <c r="S985">
        <v>35</v>
      </c>
      <c r="T985" t="s">
        <v>1102</v>
      </c>
      <c r="U985" t="s">
        <v>492</v>
      </c>
      <c r="V985" t="s">
        <v>1641</v>
      </c>
      <c r="W985" t="s">
        <v>1185</v>
      </c>
    </row>
    <row r="986" spans="1:23" x14ac:dyDescent="0.25">
      <c r="A986" t="s">
        <v>1643</v>
      </c>
      <c r="B986" t="s">
        <v>1643</v>
      </c>
      <c r="C986">
        <v>0</v>
      </c>
      <c r="D986" s="3">
        <v>0</v>
      </c>
      <c r="E986">
        <v>8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 t="s">
        <v>1102</v>
      </c>
      <c r="U986" t="s">
        <v>492</v>
      </c>
      <c r="V986" t="s">
        <v>1641</v>
      </c>
      <c r="W986" t="s">
        <v>1187</v>
      </c>
    </row>
    <row r="987" spans="1:23" x14ac:dyDescent="0.25">
      <c r="A987" t="s">
        <v>1644</v>
      </c>
      <c r="B987" t="s">
        <v>1644</v>
      </c>
      <c r="C987">
        <v>0</v>
      </c>
      <c r="D987" s="3">
        <v>0</v>
      </c>
      <c r="E987">
        <v>6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1</v>
      </c>
      <c r="R987">
        <v>0</v>
      </c>
      <c r="S987">
        <v>2</v>
      </c>
      <c r="T987" t="s">
        <v>1102</v>
      </c>
      <c r="U987" t="s">
        <v>492</v>
      </c>
      <c r="V987" t="s">
        <v>1641</v>
      </c>
      <c r="W987" t="s">
        <v>1189</v>
      </c>
    </row>
    <row r="988" spans="1:23" x14ac:dyDescent="0.25">
      <c r="A988" t="s">
        <v>1645</v>
      </c>
      <c r="B988" t="s">
        <v>1645</v>
      </c>
      <c r="C988">
        <v>0</v>
      </c>
      <c r="D988" s="3">
        <v>0</v>
      </c>
      <c r="E988">
        <v>4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</v>
      </c>
      <c r="Q988">
        <v>0</v>
      </c>
      <c r="R988">
        <v>0</v>
      </c>
      <c r="S988">
        <v>4</v>
      </c>
      <c r="T988" t="s">
        <v>1102</v>
      </c>
      <c r="U988" t="s">
        <v>492</v>
      </c>
      <c r="V988" t="s">
        <v>1641</v>
      </c>
      <c r="W988" t="s">
        <v>1191</v>
      </c>
    </row>
    <row r="989" spans="1:23" x14ac:dyDescent="0.25">
      <c r="A989" t="s">
        <v>1646</v>
      </c>
      <c r="B989" t="s">
        <v>1646</v>
      </c>
      <c r="C989">
        <v>11.5</v>
      </c>
      <c r="D989" s="3">
        <v>11.5</v>
      </c>
      <c r="E989">
        <v>65</v>
      </c>
      <c r="G989">
        <v>16</v>
      </c>
      <c r="H989">
        <v>12</v>
      </c>
      <c r="I989">
        <v>12</v>
      </c>
      <c r="J989">
        <v>0</v>
      </c>
      <c r="K989">
        <v>0</v>
      </c>
      <c r="L989">
        <v>0</v>
      </c>
      <c r="M989">
        <v>0</v>
      </c>
      <c r="N989">
        <v>16</v>
      </c>
      <c r="O989">
        <v>15</v>
      </c>
      <c r="P989">
        <v>11</v>
      </c>
      <c r="Q989">
        <v>15</v>
      </c>
      <c r="R989">
        <v>3</v>
      </c>
      <c r="S989">
        <v>100</v>
      </c>
      <c r="T989" t="s">
        <v>1102</v>
      </c>
      <c r="U989" t="s">
        <v>492</v>
      </c>
      <c r="V989" t="s">
        <v>1647</v>
      </c>
      <c r="W989" t="s">
        <v>1183</v>
      </c>
    </row>
    <row r="990" spans="1:23" x14ac:dyDescent="0.25">
      <c r="A990" t="s">
        <v>1648</v>
      </c>
      <c r="B990" t="s">
        <v>1648</v>
      </c>
      <c r="C990">
        <v>6</v>
      </c>
      <c r="D990" s="3">
        <v>6</v>
      </c>
      <c r="E990">
        <v>112</v>
      </c>
      <c r="G990">
        <v>15</v>
      </c>
      <c r="H990">
        <v>33</v>
      </c>
      <c r="I990">
        <v>20</v>
      </c>
      <c r="J990">
        <v>0</v>
      </c>
      <c r="K990">
        <v>0</v>
      </c>
      <c r="L990">
        <v>0</v>
      </c>
      <c r="M990">
        <v>7</v>
      </c>
      <c r="N990">
        <v>20</v>
      </c>
      <c r="O990">
        <v>9</v>
      </c>
      <c r="P990">
        <v>5</v>
      </c>
      <c r="Q990">
        <v>4</v>
      </c>
      <c r="R990">
        <v>4</v>
      </c>
      <c r="S990">
        <v>117</v>
      </c>
      <c r="T990" t="s">
        <v>1102</v>
      </c>
      <c r="U990" t="s">
        <v>492</v>
      </c>
      <c r="V990" t="s">
        <v>1647</v>
      </c>
      <c r="W990" t="s">
        <v>1185</v>
      </c>
    </row>
    <row r="991" spans="1:23" x14ac:dyDescent="0.25">
      <c r="A991" t="s">
        <v>1649</v>
      </c>
      <c r="B991" t="s">
        <v>1649</v>
      </c>
      <c r="C991">
        <v>0</v>
      </c>
      <c r="D991" s="3">
        <v>0</v>
      </c>
      <c r="E991">
        <v>0</v>
      </c>
      <c r="G991">
        <v>0</v>
      </c>
      <c r="H991">
        <v>5</v>
      </c>
      <c r="I991">
        <v>4</v>
      </c>
      <c r="J991">
        <v>4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13</v>
      </c>
      <c r="T991" t="s">
        <v>1102</v>
      </c>
      <c r="U991" t="s">
        <v>492</v>
      </c>
      <c r="V991" t="s">
        <v>1647</v>
      </c>
      <c r="W991" t="s">
        <v>1187</v>
      </c>
    </row>
    <row r="992" spans="1:23" x14ac:dyDescent="0.25">
      <c r="A992" t="s">
        <v>697</v>
      </c>
      <c r="B992" t="s">
        <v>697</v>
      </c>
      <c r="C992">
        <v>4.5</v>
      </c>
      <c r="D992" s="3">
        <v>4.5</v>
      </c>
      <c r="E992">
        <v>20</v>
      </c>
      <c r="F992">
        <v>20</v>
      </c>
      <c r="G992">
        <v>9</v>
      </c>
      <c r="H992">
        <v>10</v>
      </c>
      <c r="I992">
        <v>4</v>
      </c>
      <c r="J992">
        <v>0</v>
      </c>
      <c r="K992">
        <v>0</v>
      </c>
      <c r="L992">
        <v>0</v>
      </c>
      <c r="M992">
        <v>24</v>
      </c>
      <c r="N992">
        <v>8</v>
      </c>
      <c r="O992">
        <v>9</v>
      </c>
      <c r="P992">
        <v>3</v>
      </c>
      <c r="Q992">
        <v>5</v>
      </c>
      <c r="R992">
        <v>3</v>
      </c>
      <c r="S992">
        <v>75</v>
      </c>
      <c r="T992" t="s">
        <v>1102</v>
      </c>
      <c r="U992" t="s">
        <v>492</v>
      </c>
      <c r="V992" t="s">
        <v>1650</v>
      </c>
      <c r="W992" t="s">
        <v>1183</v>
      </c>
    </row>
    <row r="993" spans="1:23" x14ac:dyDescent="0.25">
      <c r="A993" t="s">
        <v>1651</v>
      </c>
      <c r="B993" t="s">
        <v>1651</v>
      </c>
      <c r="C993">
        <v>3</v>
      </c>
      <c r="D993" s="3">
        <v>3</v>
      </c>
      <c r="E993">
        <v>74</v>
      </c>
      <c r="G993">
        <v>12</v>
      </c>
      <c r="H993">
        <v>31</v>
      </c>
      <c r="I993">
        <v>3</v>
      </c>
      <c r="J993">
        <v>0</v>
      </c>
      <c r="K993">
        <v>0</v>
      </c>
      <c r="L993">
        <v>0</v>
      </c>
      <c r="M993">
        <v>34</v>
      </c>
      <c r="N993">
        <v>15</v>
      </c>
      <c r="O993">
        <v>3</v>
      </c>
      <c r="P993">
        <v>3</v>
      </c>
      <c r="Q993">
        <v>2</v>
      </c>
      <c r="R993">
        <v>2</v>
      </c>
      <c r="S993">
        <v>105</v>
      </c>
      <c r="T993" t="s">
        <v>1102</v>
      </c>
      <c r="U993" t="s">
        <v>492</v>
      </c>
      <c r="V993" t="s">
        <v>1650</v>
      </c>
      <c r="W993" t="s">
        <v>1185</v>
      </c>
    </row>
    <row r="994" spans="1:23" x14ac:dyDescent="0.25">
      <c r="A994" t="s">
        <v>1652</v>
      </c>
      <c r="B994" t="s">
        <v>1652</v>
      </c>
      <c r="C994">
        <v>0</v>
      </c>
      <c r="D994" s="3">
        <v>0</v>
      </c>
      <c r="E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 t="s">
        <v>1102</v>
      </c>
      <c r="U994" t="s">
        <v>492</v>
      </c>
      <c r="V994" t="s">
        <v>1650</v>
      </c>
      <c r="W994" t="s">
        <v>1187</v>
      </c>
    </row>
    <row r="995" spans="1:23" x14ac:dyDescent="0.25">
      <c r="A995" t="s">
        <v>1653</v>
      </c>
      <c r="B995" t="s">
        <v>1653</v>
      </c>
      <c r="C995">
        <v>0</v>
      </c>
      <c r="D995" s="3">
        <v>0</v>
      </c>
      <c r="E995">
        <v>3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 t="s">
        <v>1102</v>
      </c>
      <c r="U995" t="s">
        <v>492</v>
      </c>
      <c r="V995" t="s">
        <v>1654</v>
      </c>
      <c r="W995" t="s">
        <v>1183</v>
      </c>
    </row>
    <row r="996" spans="1:23" x14ac:dyDescent="0.25">
      <c r="A996" t="s">
        <v>1655</v>
      </c>
      <c r="B996" t="s">
        <v>1655</v>
      </c>
      <c r="C996">
        <v>0</v>
      </c>
      <c r="D996" s="3">
        <v>0</v>
      </c>
      <c r="E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 t="s">
        <v>1102</v>
      </c>
      <c r="U996" t="s">
        <v>492</v>
      </c>
      <c r="V996" t="s">
        <v>1654</v>
      </c>
      <c r="W996" t="s">
        <v>1185</v>
      </c>
    </row>
    <row r="997" spans="1:23" x14ac:dyDescent="0.25">
      <c r="A997" t="s">
        <v>1656</v>
      </c>
      <c r="B997" t="s">
        <v>1656</v>
      </c>
      <c r="C997">
        <v>0</v>
      </c>
      <c r="D997" s="3">
        <v>0</v>
      </c>
      <c r="E997">
        <v>4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 t="s">
        <v>1102</v>
      </c>
      <c r="U997" t="s">
        <v>492</v>
      </c>
      <c r="V997" t="s">
        <v>1654</v>
      </c>
      <c r="W997" t="s">
        <v>1187</v>
      </c>
    </row>
    <row r="998" spans="1:23" x14ac:dyDescent="0.25">
      <c r="A998" t="s">
        <v>1657</v>
      </c>
      <c r="B998" t="s">
        <v>1657</v>
      </c>
      <c r="C998">
        <v>0</v>
      </c>
      <c r="D998" s="3">
        <v>0</v>
      </c>
      <c r="E998">
        <v>12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 t="s">
        <v>1102</v>
      </c>
      <c r="U998" t="s">
        <v>492</v>
      </c>
      <c r="V998" t="s">
        <v>1654</v>
      </c>
      <c r="W998" t="s">
        <v>1191</v>
      </c>
    </row>
    <row r="999" spans="1:23" x14ac:dyDescent="0.25">
      <c r="A999" t="s">
        <v>1658</v>
      </c>
      <c r="B999" t="s">
        <v>1658</v>
      </c>
      <c r="C999">
        <v>0</v>
      </c>
      <c r="D999" s="3">
        <v>0</v>
      </c>
      <c r="E999">
        <v>27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 t="s">
        <v>1102</v>
      </c>
      <c r="U999" t="s">
        <v>492</v>
      </c>
      <c r="V999" t="s">
        <v>1659</v>
      </c>
      <c r="W999" t="s">
        <v>1183</v>
      </c>
    </row>
    <row r="1000" spans="1:23" x14ac:dyDescent="0.25">
      <c r="A1000" t="s">
        <v>1660</v>
      </c>
      <c r="B1000" t="s">
        <v>1660</v>
      </c>
      <c r="C1000">
        <v>0</v>
      </c>
      <c r="D1000" s="3">
        <v>0</v>
      </c>
      <c r="E1000">
        <v>12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 t="s">
        <v>1102</v>
      </c>
      <c r="U1000" t="s">
        <v>492</v>
      </c>
      <c r="V1000" t="s">
        <v>1659</v>
      </c>
      <c r="W1000" t="s">
        <v>1185</v>
      </c>
    </row>
    <row r="1001" spans="1:23" x14ac:dyDescent="0.25">
      <c r="A1001" t="s">
        <v>1661</v>
      </c>
      <c r="B1001" t="s">
        <v>1661</v>
      </c>
      <c r="C1001">
        <v>0</v>
      </c>
      <c r="D1001" s="3">
        <v>0</v>
      </c>
      <c r="E1001">
        <v>19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 t="s">
        <v>1102</v>
      </c>
      <c r="U1001" t="s">
        <v>492</v>
      </c>
      <c r="V1001" t="s">
        <v>1662</v>
      </c>
      <c r="W1001" t="s">
        <v>1183</v>
      </c>
    </row>
    <row r="1002" spans="1:23" x14ac:dyDescent="0.25">
      <c r="A1002" t="s">
        <v>1663</v>
      </c>
      <c r="B1002" t="s">
        <v>1663</v>
      </c>
      <c r="C1002">
        <v>0</v>
      </c>
      <c r="D1002" s="3">
        <v>0</v>
      </c>
      <c r="E1002">
        <v>8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 t="s">
        <v>1102</v>
      </c>
      <c r="U1002" t="s">
        <v>492</v>
      </c>
      <c r="V1002" t="s">
        <v>1662</v>
      </c>
      <c r="W1002" t="s">
        <v>1185</v>
      </c>
    </row>
    <row r="1003" spans="1:23" x14ac:dyDescent="0.25">
      <c r="A1003" t="s">
        <v>1664</v>
      </c>
      <c r="B1003" t="s">
        <v>1664</v>
      </c>
      <c r="C1003">
        <v>0</v>
      </c>
      <c r="D1003" s="3">
        <v>0</v>
      </c>
      <c r="E1003">
        <v>4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 t="s">
        <v>1102</v>
      </c>
      <c r="U1003" t="s">
        <v>492</v>
      </c>
      <c r="V1003" t="s">
        <v>1665</v>
      </c>
      <c r="W1003" t="s">
        <v>1183</v>
      </c>
    </row>
    <row r="1004" spans="1:23" x14ac:dyDescent="0.25">
      <c r="A1004" t="s">
        <v>1666</v>
      </c>
      <c r="B1004" t="s">
        <v>1666</v>
      </c>
      <c r="C1004">
        <v>0</v>
      </c>
      <c r="D1004" s="3">
        <v>0</v>
      </c>
      <c r="E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 t="s">
        <v>1102</v>
      </c>
      <c r="U1004" t="s">
        <v>492</v>
      </c>
      <c r="V1004" t="s">
        <v>1665</v>
      </c>
      <c r="W1004" t="s">
        <v>1185</v>
      </c>
    </row>
    <row r="1005" spans="1:23" x14ac:dyDescent="0.25">
      <c r="A1005" t="s">
        <v>1667</v>
      </c>
      <c r="B1005" t="s">
        <v>1667</v>
      </c>
      <c r="C1005">
        <v>0</v>
      </c>
      <c r="D1005" s="3">
        <v>0</v>
      </c>
      <c r="E1005">
        <v>3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 t="s">
        <v>1102</v>
      </c>
      <c r="U1005" t="s">
        <v>492</v>
      </c>
      <c r="V1005" t="s">
        <v>1665</v>
      </c>
      <c r="W1005" t="s">
        <v>1187</v>
      </c>
    </row>
    <row r="1006" spans="1:23" x14ac:dyDescent="0.25">
      <c r="A1006" t="s">
        <v>1668</v>
      </c>
      <c r="B1006" t="s">
        <v>1668</v>
      </c>
      <c r="C1006">
        <v>0</v>
      </c>
      <c r="D1006" s="3">
        <v>0</v>
      </c>
      <c r="E1006">
        <v>12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 t="s">
        <v>1102</v>
      </c>
      <c r="U1006" t="s">
        <v>492</v>
      </c>
      <c r="V1006" t="s">
        <v>1665</v>
      </c>
      <c r="W1006" t="s">
        <v>1191</v>
      </c>
    </row>
    <row r="1007" spans="1:23" x14ac:dyDescent="0.25">
      <c r="A1007" t="s">
        <v>1669</v>
      </c>
      <c r="B1007" t="s">
        <v>1669</v>
      </c>
      <c r="C1007">
        <v>0</v>
      </c>
      <c r="D1007" s="3">
        <v>0</v>
      </c>
      <c r="E1007">
        <v>38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 t="s">
        <v>1102</v>
      </c>
      <c r="U1007" t="s">
        <v>492</v>
      </c>
      <c r="V1007" t="s">
        <v>1670</v>
      </c>
      <c r="W1007" t="s">
        <v>1183</v>
      </c>
    </row>
    <row r="1008" spans="1:23" x14ac:dyDescent="0.25">
      <c r="A1008" t="s">
        <v>1671</v>
      </c>
      <c r="B1008" t="s">
        <v>1671</v>
      </c>
      <c r="C1008">
        <v>0</v>
      </c>
      <c r="D1008" s="3">
        <v>0</v>
      </c>
      <c r="E1008">
        <v>8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 t="s">
        <v>1102</v>
      </c>
      <c r="U1008" t="s">
        <v>492</v>
      </c>
      <c r="V1008" t="s">
        <v>1670</v>
      </c>
      <c r="W1008" t="s">
        <v>1185</v>
      </c>
    </row>
    <row r="1009" spans="1:23" x14ac:dyDescent="0.25">
      <c r="A1009" t="s">
        <v>1672</v>
      </c>
      <c r="B1009" t="s">
        <v>1672</v>
      </c>
      <c r="C1009">
        <v>0</v>
      </c>
      <c r="D1009" s="3">
        <v>0</v>
      </c>
      <c r="E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 t="s">
        <v>1102</v>
      </c>
      <c r="U1009" t="s">
        <v>492</v>
      </c>
      <c r="V1009" t="s">
        <v>1670</v>
      </c>
      <c r="W1009" t="s">
        <v>1187</v>
      </c>
    </row>
    <row r="1010" spans="1:23" x14ac:dyDescent="0.25">
      <c r="A1010" t="s">
        <v>1673</v>
      </c>
      <c r="B1010" t="s">
        <v>1673</v>
      </c>
      <c r="C1010">
        <v>0</v>
      </c>
      <c r="D1010" s="3">
        <v>0</v>
      </c>
      <c r="E1010">
        <v>19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 t="s">
        <v>1102</v>
      </c>
      <c r="U1010" t="s">
        <v>492</v>
      </c>
      <c r="V1010" t="s">
        <v>1674</v>
      </c>
      <c r="W1010" t="s">
        <v>1183</v>
      </c>
    </row>
    <row r="1011" spans="1:23" x14ac:dyDescent="0.25">
      <c r="A1011" t="s">
        <v>1675</v>
      </c>
      <c r="B1011" t="s">
        <v>1675</v>
      </c>
      <c r="C1011">
        <v>0</v>
      </c>
      <c r="D1011" s="3">
        <v>0</v>
      </c>
      <c r="E1011">
        <v>8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 t="s">
        <v>1102</v>
      </c>
      <c r="U1011" t="s">
        <v>492</v>
      </c>
      <c r="V1011" t="s">
        <v>1674</v>
      </c>
      <c r="W1011" t="s">
        <v>1185</v>
      </c>
    </row>
    <row r="1012" spans="1:23" x14ac:dyDescent="0.25">
      <c r="A1012" t="s">
        <v>1676</v>
      </c>
      <c r="B1012" t="s">
        <v>1676</v>
      </c>
      <c r="C1012">
        <v>0</v>
      </c>
      <c r="D1012" s="3">
        <v>0</v>
      </c>
      <c r="E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 t="s">
        <v>1102</v>
      </c>
      <c r="U1012" t="s">
        <v>492</v>
      </c>
      <c r="V1012" t="s">
        <v>1674</v>
      </c>
      <c r="W1012" t="s">
        <v>1187</v>
      </c>
    </row>
    <row r="1013" spans="1:23" x14ac:dyDescent="0.25">
      <c r="A1013" t="s">
        <v>1677</v>
      </c>
      <c r="B1013" t="s">
        <v>1677</v>
      </c>
      <c r="C1013">
        <v>708</v>
      </c>
      <c r="D1013" s="3">
        <v>708</v>
      </c>
      <c r="E1013">
        <v>3411</v>
      </c>
      <c r="G1013">
        <v>1092</v>
      </c>
      <c r="H1013">
        <v>636</v>
      </c>
      <c r="I1013">
        <v>1140</v>
      </c>
      <c r="J1013">
        <v>688</v>
      </c>
      <c r="K1013">
        <v>592</v>
      </c>
      <c r="L1013">
        <v>884</v>
      </c>
      <c r="M1013">
        <v>728</v>
      </c>
      <c r="N1013">
        <v>444</v>
      </c>
      <c r="O1013">
        <v>780</v>
      </c>
      <c r="P1013">
        <v>980</v>
      </c>
      <c r="Q1013">
        <v>588</v>
      </c>
      <c r="R1013">
        <v>544</v>
      </c>
      <c r="S1013">
        <v>9096</v>
      </c>
      <c r="T1013" t="s">
        <v>1678</v>
      </c>
      <c r="U1013" t="s">
        <v>1679</v>
      </c>
      <c r="V1013" t="s">
        <v>1680</v>
      </c>
    </row>
    <row r="1014" spans="1:23" x14ac:dyDescent="0.25">
      <c r="A1014" t="s">
        <v>1681</v>
      </c>
      <c r="B1014" t="s">
        <v>1681</v>
      </c>
      <c r="C1014">
        <v>0</v>
      </c>
      <c r="D1014" s="3">
        <v>0</v>
      </c>
      <c r="E1014">
        <v>216</v>
      </c>
      <c r="G1014">
        <v>4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-8</v>
      </c>
      <c r="R1014">
        <v>0</v>
      </c>
      <c r="S1014">
        <v>-4</v>
      </c>
      <c r="T1014" t="s">
        <v>1678</v>
      </c>
      <c r="U1014" t="s">
        <v>1679</v>
      </c>
      <c r="V1014" t="s">
        <v>1680</v>
      </c>
    </row>
    <row r="1015" spans="1:23" x14ac:dyDescent="0.25">
      <c r="A1015" t="s">
        <v>1682</v>
      </c>
      <c r="B1015" t="s">
        <v>1682</v>
      </c>
      <c r="C1015">
        <v>0</v>
      </c>
      <c r="D1015" s="3">
        <v>0</v>
      </c>
      <c r="E1015">
        <v>892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12</v>
      </c>
      <c r="M1015">
        <v>0</v>
      </c>
      <c r="N1015">
        <v>12</v>
      </c>
      <c r="O1015">
        <v>20</v>
      </c>
      <c r="P1015">
        <v>0</v>
      </c>
      <c r="Q1015">
        <v>-24</v>
      </c>
      <c r="R1015">
        <v>0</v>
      </c>
      <c r="S1015">
        <v>20</v>
      </c>
      <c r="T1015" t="s">
        <v>1678</v>
      </c>
      <c r="U1015" t="s">
        <v>1679</v>
      </c>
      <c r="V1015" t="s">
        <v>1680</v>
      </c>
    </row>
    <row r="1016" spans="1:23" x14ac:dyDescent="0.25">
      <c r="A1016" t="s">
        <v>1683</v>
      </c>
      <c r="B1016" t="s">
        <v>1683</v>
      </c>
      <c r="C1016">
        <v>0</v>
      </c>
      <c r="D1016" s="3">
        <v>0</v>
      </c>
      <c r="E1016">
        <v>476</v>
      </c>
      <c r="G1016">
        <v>0</v>
      </c>
      <c r="H1016">
        <v>0</v>
      </c>
      <c r="I1016">
        <v>0</v>
      </c>
      <c r="J1016">
        <v>0</v>
      </c>
      <c r="K1016">
        <v>20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16</v>
      </c>
      <c r="R1016">
        <v>0</v>
      </c>
      <c r="S1016">
        <v>36</v>
      </c>
      <c r="T1016" t="s">
        <v>1678</v>
      </c>
      <c r="U1016" t="s">
        <v>1679</v>
      </c>
      <c r="V1016" t="s">
        <v>1680</v>
      </c>
    </row>
    <row r="1017" spans="1:23" x14ac:dyDescent="0.25">
      <c r="A1017" t="s">
        <v>737</v>
      </c>
      <c r="B1017" t="s">
        <v>737</v>
      </c>
      <c r="C1017">
        <v>1578</v>
      </c>
      <c r="D1017" s="3">
        <v>1578</v>
      </c>
      <c r="E1017">
        <v>6365</v>
      </c>
      <c r="G1017">
        <v>2664</v>
      </c>
      <c r="H1017">
        <v>1592</v>
      </c>
      <c r="I1017">
        <v>2632</v>
      </c>
      <c r="J1017">
        <v>1364</v>
      </c>
      <c r="K1017">
        <v>1000</v>
      </c>
      <c r="L1017">
        <v>2124</v>
      </c>
      <c r="M1017">
        <v>1292</v>
      </c>
      <c r="N1017">
        <v>1104</v>
      </c>
      <c r="O1017">
        <v>1564</v>
      </c>
      <c r="P1017">
        <v>1704</v>
      </c>
      <c r="Q1017">
        <v>2088</v>
      </c>
      <c r="R1017">
        <v>1396</v>
      </c>
      <c r="S1017">
        <v>20524</v>
      </c>
      <c r="T1017" t="s">
        <v>1678</v>
      </c>
      <c r="U1017" t="s">
        <v>1679</v>
      </c>
      <c r="V1017" t="s">
        <v>1680</v>
      </c>
    </row>
    <row r="1018" spans="1:23" x14ac:dyDescent="0.25">
      <c r="A1018" t="s">
        <v>738</v>
      </c>
      <c r="B1018" t="s">
        <v>738</v>
      </c>
      <c r="C1018">
        <v>276</v>
      </c>
      <c r="D1018" s="3">
        <v>276</v>
      </c>
      <c r="E1018">
        <v>4</v>
      </c>
      <c r="G1018">
        <v>500</v>
      </c>
      <c r="H1018">
        <v>220</v>
      </c>
      <c r="I1018">
        <v>316</v>
      </c>
      <c r="J1018">
        <v>400</v>
      </c>
      <c r="K1018">
        <v>236</v>
      </c>
      <c r="L1018">
        <v>184</v>
      </c>
      <c r="M1018">
        <v>184</v>
      </c>
      <c r="N1018">
        <v>160</v>
      </c>
      <c r="O1018">
        <v>380</v>
      </c>
      <c r="P1018">
        <v>364</v>
      </c>
      <c r="Q1018">
        <v>1069</v>
      </c>
      <c r="R1018">
        <v>180</v>
      </c>
      <c r="S1018">
        <v>4193</v>
      </c>
      <c r="T1018" t="s">
        <v>1678</v>
      </c>
      <c r="U1018" t="s">
        <v>1679</v>
      </c>
      <c r="V1018" t="s">
        <v>1680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6"/>
  <sheetViews>
    <sheetView workbookViewId="0"/>
  </sheetViews>
  <sheetFormatPr defaultRowHeight="15" x14ac:dyDescent="0.25"/>
  <cols>
    <col min="1" max="1" width="26" customWidth="1"/>
    <col min="2" max="2" width="24" customWidth="1"/>
    <col min="3" max="3" width="10" customWidth="1"/>
    <col min="4" max="4" width="13" customWidth="1"/>
    <col min="5" max="5" width="10" customWidth="1"/>
    <col min="6" max="6" width="16" customWidth="1"/>
    <col min="7" max="21" width="10" customWidth="1"/>
    <col min="22" max="22" width="20" customWidth="1"/>
    <col min="23" max="23" width="13" customWidth="1"/>
  </cols>
  <sheetData>
    <row r="1" spans="1:23" x14ac:dyDescent="0.25">
      <c r="A1" t="s">
        <v>0</v>
      </c>
      <c r="B1" t="s">
        <v>771</v>
      </c>
      <c r="C1" t="s">
        <v>772</v>
      </c>
      <c r="D1" t="s">
        <v>773</v>
      </c>
      <c r="E1" t="s">
        <v>774</v>
      </c>
      <c r="F1" t="s">
        <v>775</v>
      </c>
      <c r="G1" t="s">
        <v>776</v>
      </c>
      <c r="H1" t="s">
        <v>777</v>
      </c>
      <c r="I1" t="s">
        <v>778</v>
      </c>
      <c r="J1" t="s">
        <v>779</v>
      </c>
      <c r="K1" t="s">
        <v>780</v>
      </c>
      <c r="L1" t="s">
        <v>781</v>
      </c>
      <c r="M1" t="s">
        <v>782</v>
      </c>
      <c r="N1" t="s">
        <v>783</v>
      </c>
      <c r="O1" t="s">
        <v>784</v>
      </c>
      <c r="P1" t="s">
        <v>785</v>
      </c>
      <c r="Q1" t="s">
        <v>786</v>
      </c>
      <c r="R1" t="s">
        <v>787</v>
      </c>
      <c r="S1" t="s">
        <v>788</v>
      </c>
      <c r="T1" t="s">
        <v>789</v>
      </c>
      <c r="U1" t="s">
        <v>1</v>
      </c>
      <c r="V1" t="s">
        <v>2</v>
      </c>
      <c r="W1" t="s">
        <v>3</v>
      </c>
    </row>
    <row r="2" spans="1:23" x14ac:dyDescent="0.25">
      <c r="A2" t="s">
        <v>76</v>
      </c>
      <c r="B2" t="s">
        <v>76</v>
      </c>
      <c r="C2">
        <v>0</v>
      </c>
      <c r="D2" s="3">
        <v>0</v>
      </c>
      <c r="E2">
        <v>4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10</v>
      </c>
      <c r="R2">
        <v>0</v>
      </c>
      <c r="S2">
        <v>11</v>
      </c>
      <c r="T2" t="s">
        <v>813</v>
      </c>
      <c r="U2" t="s">
        <v>77</v>
      </c>
      <c r="V2" t="s">
        <v>78</v>
      </c>
      <c r="W2" t="s">
        <v>79</v>
      </c>
    </row>
    <row r="3" spans="1:23" x14ac:dyDescent="0.25">
      <c r="A3" t="s">
        <v>80</v>
      </c>
      <c r="B3" t="s">
        <v>80</v>
      </c>
      <c r="C3">
        <v>0</v>
      </c>
      <c r="D3" s="3">
        <v>0</v>
      </c>
      <c r="E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t="s">
        <v>813</v>
      </c>
      <c r="U3" t="s">
        <v>77</v>
      </c>
      <c r="V3" t="s">
        <v>78</v>
      </c>
      <c r="W3" t="s">
        <v>81</v>
      </c>
    </row>
    <row r="4" spans="1:23" x14ac:dyDescent="0.25">
      <c r="A4" t="s">
        <v>90</v>
      </c>
      <c r="B4" t="s">
        <v>90</v>
      </c>
      <c r="C4">
        <v>0</v>
      </c>
      <c r="D4" s="3">
        <v>0</v>
      </c>
      <c r="E4">
        <v>3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</v>
      </c>
      <c r="T4" t="s">
        <v>813</v>
      </c>
      <c r="U4" t="s">
        <v>83</v>
      </c>
      <c r="V4" t="s">
        <v>84</v>
      </c>
      <c r="W4" t="s">
        <v>91</v>
      </c>
    </row>
    <row r="5" spans="1:23" x14ac:dyDescent="0.25">
      <c r="A5" t="s">
        <v>94</v>
      </c>
      <c r="B5" t="s">
        <v>94</v>
      </c>
      <c r="C5">
        <v>1</v>
      </c>
      <c r="D5" s="4">
        <v>1.6</v>
      </c>
      <c r="E5">
        <v>12</v>
      </c>
      <c r="F5">
        <v>5</v>
      </c>
      <c r="G5">
        <v>1</v>
      </c>
      <c r="H5">
        <v>0</v>
      </c>
      <c r="I5">
        <v>2</v>
      </c>
      <c r="J5">
        <v>1</v>
      </c>
      <c r="K5">
        <v>1</v>
      </c>
      <c r="L5">
        <v>5</v>
      </c>
      <c r="M5">
        <v>0</v>
      </c>
      <c r="N5">
        <v>0</v>
      </c>
      <c r="O5">
        <v>5</v>
      </c>
      <c r="P5">
        <v>0</v>
      </c>
      <c r="Q5">
        <v>2</v>
      </c>
      <c r="R5">
        <v>2</v>
      </c>
      <c r="S5">
        <v>19</v>
      </c>
      <c r="T5" t="s">
        <v>813</v>
      </c>
      <c r="U5" t="s">
        <v>83</v>
      </c>
      <c r="V5" t="s">
        <v>84</v>
      </c>
      <c r="W5" t="s">
        <v>95</v>
      </c>
    </row>
    <row r="6" spans="1:23" x14ac:dyDescent="0.25">
      <c r="A6" t="s">
        <v>96</v>
      </c>
      <c r="B6" t="s">
        <v>96</v>
      </c>
      <c r="C6">
        <v>2</v>
      </c>
      <c r="D6" s="3">
        <v>2</v>
      </c>
      <c r="E6">
        <v>15</v>
      </c>
      <c r="F6">
        <v>5</v>
      </c>
      <c r="G6">
        <v>1</v>
      </c>
      <c r="H6">
        <v>3</v>
      </c>
      <c r="I6">
        <v>3</v>
      </c>
      <c r="J6">
        <v>0</v>
      </c>
      <c r="K6">
        <v>2</v>
      </c>
      <c r="L6">
        <v>3</v>
      </c>
      <c r="M6">
        <v>3</v>
      </c>
      <c r="N6">
        <v>0</v>
      </c>
      <c r="O6">
        <v>6</v>
      </c>
      <c r="P6">
        <v>0</v>
      </c>
      <c r="Q6">
        <v>0</v>
      </c>
      <c r="R6">
        <v>2</v>
      </c>
      <c r="S6">
        <v>23</v>
      </c>
      <c r="T6" t="s">
        <v>813</v>
      </c>
      <c r="U6" t="s">
        <v>83</v>
      </c>
      <c r="V6" t="s">
        <v>84</v>
      </c>
      <c r="W6" t="s">
        <v>97</v>
      </c>
    </row>
    <row r="7" spans="1:23" x14ac:dyDescent="0.25">
      <c r="A7" t="s">
        <v>98</v>
      </c>
      <c r="B7" t="s">
        <v>98</v>
      </c>
      <c r="C7">
        <v>2</v>
      </c>
      <c r="D7" s="4">
        <v>2.8</v>
      </c>
      <c r="E7">
        <v>23</v>
      </c>
      <c r="G7">
        <v>5</v>
      </c>
      <c r="H7">
        <v>1</v>
      </c>
      <c r="I7">
        <v>4</v>
      </c>
      <c r="J7">
        <v>2</v>
      </c>
      <c r="K7">
        <v>1</v>
      </c>
      <c r="L7">
        <v>6</v>
      </c>
      <c r="M7">
        <v>5</v>
      </c>
      <c r="N7">
        <v>5</v>
      </c>
      <c r="O7">
        <v>2</v>
      </c>
      <c r="P7">
        <v>1</v>
      </c>
      <c r="Q7">
        <v>2</v>
      </c>
      <c r="R7">
        <v>0</v>
      </c>
      <c r="S7">
        <v>34</v>
      </c>
      <c r="T7" t="s">
        <v>813</v>
      </c>
      <c r="U7" t="s">
        <v>83</v>
      </c>
      <c r="V7" t="s">
        <v>84</v>
      </c>
      <c r="W7" t="s">
        <v>99</v>
      </c>
    </row>
    <row r="8" spans="1:23" x14ac:dyDescent="0.25">
      <c r="A8" t="s">
        <v>100</v>
      </c>
      <c r="B8" t="s">
        <v>100</v>
      </c>
      <c r="C8">
        <v>1</v>
      </c>
      <c r="D8" s="4">
        <v>1.3</v>
      </c>
      <c r="E8">
        <v>12</v>
      </c>
      <c r="G8">
        <v>4</v>
      </c>
      <c r="H8">
        <v>2</v>
      </c>
      <c r="I8">
        <v>0</v>
      </c>
      <c r="J8">
        <v>0</v>
      </c>
      <c r="K8">
        <v>3</v>
      </c>
      <c r="L8">
        <v>4</v>
      </c>
      <c r="M8">
        <v>0</v>
      </c>
      <c r="N8">
        <v>1</v>
      </c>
      <c r="O8">
        <v>0</v>
      </c>
      <c r="P8">
        <v>0</v>
      </c>
      <c r="Q8">
        <v>1</v>
      </c>
      <c r="R8">
        <v>1</v>
      </c>
      <c r="S8">
        <v>16</v>
      </c>
      <c r="T8" t="s">
        <v>813</v>
      </c>
      <c r="U8" t="s">
        <v>83</v>
      </c>
      <c r="V8" t="s">
        <v>84</v>
      </c>
      <c r="W8" t="s">
        <v>101</v>
      </c>
    </row>
    <row r="9" spans="1:23" x14ac:dyDescent="0.25">
      <c r="A9" t="s">
        <v>102</v>
      </c>
      <c r="B9" t="s">
        <v>102</v>
      </c>
      <c r="C9">
        <v>0</v>
      </c>
      <c r="D9" s="3">
        <v>0</v>
      </c>
      <c r="E9">
        <v>18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813</v>
      </c>
      <c r="U9" t="s">
        <v>83</v>
      </c>
      <c r="V9" t="s">
        <v>84</v>
      </c>
      <c r="W9" t="s">
        <v>103</v>
      </c>
    </row>
    <row r="10" spans="1:23" x14ac:dyDescent="0.25">
      <c r="A10" t="s">
        <v>127</v>
      </c>
      <c r="B10" t="s">
        <v>127</v>
      </c>
      <c r="C10">
        <v>0</v>
      </c>
      <c r="D10" s="3">
        <v>0</v>
      </c>
      <c r="E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813</v>
      </c>
      <c r="U10" t="s">
        <v>83</v>
      </c>
      <c r="V10" t="s">
        <v>128</v>
      </c>
      <c r="W10" t="s">
        <v>129</v>
      </c>
    </row>
    <row r="11" spans="1:23" x14ac:dyDescent="0.25">
      <c r="A11" t="s">
        <v>134</v>
      </c>
      <c r="B11" t="s">
        <v>134</v>
      </c>
      <c r="C11">
        <v>6.5</v>
      </c>
      <c r="D11" s="4">
        <v>7</v>
      </c>
      <c r="E11">
        <v>40</v>
      </c>
      <c r="F11">
        <v>10</v>
      </c>
      <c r="G11">
        <v>6</v>
      </c>
      <c r="H11">
        <v>13</v>
      </c>
      <c r="I11">
        <v>6</v>
      </c>
      <c r="J11">
        <v>8</v>
      </c>
      <c r="K11">
        <v>4</v>
      </c>
      <c r="L11">
        <v>12</v>
      </c>
      <c r="M11">
        <v>8</v>
      </c>
      <c r="N11">
        <v>1</v>
      </c>
      <c r="O11">
        <v>12</v>
      </c>
      <c r="P11">
        <v>6</v>
      </c>
      <c r="Q11">
        <v>7</v>
      </c>
      <c r="R11">
        <v>1</v>
      </c>
      <c r="S11">
        <v>84</v>
      </c>
      <c r="T11" t="s">
        <v>813</v>
      </c>
      <c r="U11" t="s">
        <v>83</v>
      </c>
      <c r="V11" t="s">
        <v>128</v>
      </c>
      <c r="W11" t="s">
        <v>135</v>
      </c>
    </row>
    <row r="12" spans="1:23" x14ac:dyDescent="0.25">
      <c r="A12" t="s">
        <v>136</v>
      </c>
      <c r="B12" t="s">
        <v>136</v>
      </c>
      <c r="C12">
        <v>5</v>
      </c>
      <c r="D12" s="3">
        <v>5</v>
      </c>
      <c r="E12">
        <v>27</v>
      </c>
      <c r="F12">
        <v>15</v>
      </c>
      <c r="G12">
        <v>5</v>
      </c>
      <c r="H12">
        <v>2</v>
      </c>
      <c r="I12">
        <v>9</v>
      </c>
      <c r="J12">
        <v>6</v>
      </c>
      <c r="K12">
        <v>1</v>
      </c>
      <c r="L12">
        <v>5</v>
      </c>
      <c r="M12">
        <v>6</v>
      </c>
      <c r="N12">
        <v>6</v>
      </c>
      <c r="O12">
        <v>5</v>
      </c>
      <c r="P12">
        <v>2</v>
      </c>
      <c r="Q12">
        <v>10</v>
      </c>
      <c r="R12">
        <v>0</v>
      </c>
      <c r="S12">
        <v>57</v>
      </c>
      <c r="T12" t="s">
        <v>813</v>
      </c>
      <c r="U12" t="s">
        <v>83</v>
      </c>
      <c r="V12" t="s">
        <v>128</v>
      </c>
      <c r="W12" t="s">
        <v>137</v>
      </c>
    </row>
    <row r="13" spans="1:23" x14ac:dyDescent="0.25">
      <c r="A13" t="s">
        <v>138</v>
      </c>
      <c r="B13" t="s">
        <v>138</v>
      </c>
      <c r="C13">
        <v>3.5</v>
      </c>
      <c r="D13" s="4">
        <v>4.5</v>
      </c>
      <c r="E13">
        <v>27</v>
      </c>
      <c r="F13">
        <v>10</v>
      </c>
      <c r="G13">
        <v>6</v>
      </c>
      <c r="H13">
        <v>0</v>
      </c>
      <c r="I13">
        <v>7</v>
      </c>
      <c r="J13">
        <v>10</v>
      </c>
      <c r="K13">
        <v>0</v>
      </c>
      <c r="L13">
        <v>2</v>
      </c>
      <c r="M13">
        <v>3</v>
      </c>
      <c r="N13">
        <v>14</v>
      </c>
      <c r="O13">
        <v>3</v>
      </c>
      <c r="P13">
        <v>1</v>
      </c>
      <c r="Q13">
        <v>4</v>
      </c>
      <c r="R13">
        <v>4</v>
      </c>
      <c r="S13">
        <v>54</v>
      </c>
      <c r="T13" t="s">
        <v>813</v>
      </c>
      <c r="U13" t="s">
        <v>83</v>
      </c>
      <c r="V13" t="s">
        <v>128</v>
      </c>
      <c r="W13" t="s">
        <v>139</v>
      </c>
    </row>
    <row r="14" spans="1:23" x14ac:dyDescent="0.25">
      <c r="A14" t="s">
        <v>140</v>
      </c>
      <c r="B14" t="s">
        <v>140</v>
      </c>
      <c r="C14">
        <v>0</v>
      </c>
      <c r="D14" s="4">
        <v>0.1</v>
      </c>
      <c r="E14">
        <v>10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 t="s">
        <v>813</v>
      </c>
      <c r="U14" t="s">
        <v>83</v>
      </c>
      <c r="V14" t="s">
        <v>128</v>
      </c>
      <c r="W14" t="s">
        <v>141</v>
      </c>
    </row>
    <row r="15" spans="1:23" x14ac:dyDescent="0.25">
      <c r="A15" t="s">
        <v>142</v>
      </c>
      <c r="B15" t="s">
        <v>142</v>
      </c>
      <c r="C15">
        <v>0</v>
      </c>
      <c r="D15" s="3">
        <v>0</v>
      </c>
      <c r="E15">
        <v>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813</v>
      </c>
      <c r="U15" t="s">
        <v>83</v>
      </c>
      <c r="V15" t="s">
        <v>128</v>
      </c>
      <c r="W15" t="s">
        <v>143</v>
      </c>
    </row>
    <row r="16" spans="1:23" x14ac:dyDescent="0.25">
      <c r="A16" t="s">
        <v>144</v>
      </c>
      <c r="B16" t="s">
        <v>144</v>
      </c>
      <c r="C16">
        <v>0</v>
      </c>
      <c r="D16" s="3">
        <v>0</v>
      </c>
      <c r="E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813</v>
      </c>
      <c r="U16" t="s">
        <v>83</v>
      </c>
      <c r="V16" t="s">
        <v>145</v>
      </c>
      <c r="W16" t="s">
        <v>146</v>
      </c>
    </row>
    <row r="17" spans="1:23" x14ac:dyDescent="0.25">
      <c r="A17" t="s">
        <v>147</v>
      </c>
      <c r="B17" t="s">
        <v>147</v>
      </c>
      <c r="C17">
        <v>0</v>
      </c>
      <c r="D17" s="3">
        <v>0</v>
      </c>
      <c r="E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813</v>
      </c>
      <c r="U17" t="s">
        <v>83</v>
      </c>
      <c r="V17" t="s">
        <v>145</v>
      </c>
      <c r="W17" t="s">
        <v>148</v>
      </c>
    </row>
    <row r="18" spans="1:23" x14ac:dyDescent="0.25">
      <c r="A18" t="s">
        <v>149</v>
      </c>
      <c r="B18" t="s">
        <v>149</v>
      </c>
      <c r="C18">
        <v>0</v>
      </c>
      <c r="D18" s="3">
        <v>0</v>
      </c>
      <c r="E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813</v>
      </c>
      <c r="U18" t="s">
        <v>83</v>
      </c>
      <c r="V18" t="s">
        <v>145</v>
      </c>
      <c r="W18" t="s">
        <v>150</v>
      </c>
    </row>
    <row r="19" spans="1:23" x14ac:dyDescent="0.25">
      <c r="A19" t="s">
        <v>155</v>
      </c>
      <c r="B19" t="s">
        <v>155</v>
      </c>
      <c r="C19">
        <v>20</v>
      </c>
      <c r="D19" s="3">
        <v>20</v>
      </c>
      <c r="E19">
        <v>102</v>
      </c>
      <c r="F19">
        <v>30</v>
      </c>
      <c r="G19">
        <v>19</v>
      </c>
      <c r="H19">
        <v>21</v>
      </c>
      <c r="I19">
        <v>10</v>
      </c>
      <c r="J19">
        <v>23</v>
      </c>
      <c r="K19">
        <v>21</v>
      </c>
      <c r="L19">
        <v>25</v>
      </c>
      <c r="M19">
        <v>21</v>
      </c>
      <c r="N19">
        <v>9</v>
      </c>
      <c r="O19">
        <v>25</v>
      </c>
      <c r="P19">
        <v>17</v>
      </c>
      <c r="Q19">
        <v>16</v>
      </c>
      <c r="R19">
        <v>3</v>
      </c>
      <c r="S19">
        <v>210</v>
      </c>
      <c r="T19" t="s">
        <v>813</v>
      </c>
      <c r="U19" t="s">
        <v>83</v>
      </c>
      <c r="V19" t="s">
        <v>145</v>
      </c>
      <c r="W19" t="s">
        <v>156</v>
      </c>
    </row>
    <row r="20" spans="1:23" x14ac:dyDescent="0.25">
      <c r="A20" t="s">
        <v>157</v>
      </c>
      <c r="B20" t="s">
        <v>157</v>
      </c>
      <c r="C20">
        <v>7.5</v>
      </c>
      <c r="D20" s="4">
        <v>9</v>
      </c>
      <c r="E20">
        <v>45</v>
      </c>
      <c r="F20">
        <v>20</v>
      </c>
      <c r="G20">
        <v>30</v>
      </c>
      <c r="H20">
        <v>8</v>
      </c>
      <c r="I20">
        <v>4</v>
      </c>
      <c r="J20">
        <v>7</v>
      </c>
      <c r="K20">
        <v>8</v>
      </c>
      <c r="L20">
        <v>8</v>
      </c>
      <c r="M20">
        <v>12</v>
      </c>
      <c r="N20">
        <v>1</v>
      </c>
      <c r="O20">
        <v>7</v>
      </c>
      <c r="P20">
        <v>3</v>
      </c>
      <c r="Q20">
        <v>14</v>
      </c>
      <c r="R20">
        <v>4</v>
      </c>
      <c r="S20">
        <v>106</v>
      </c>
      <c r="T20" t="s">
        <v>813</v>
      </c>
      <c r="U20" t="s">
        <v>83</v>
      </c>
      <c r="V20" t="s">
        <v>145</v>
      </c>
      <c r="W20" t="s">
        <v>158</v>
      </c>
    </row>
    <row r="21" spans="1:23" x14ac:dyDescent="0.25">
      <c r="A21" t="s">
        <v>159</v>
      </c>
      <c r="B21" t="s">
        <v>159</v>
      </c>
      <c r="C21">
        <v>4.5</v>
      </c>
      <c r="D21" s="3">
        <v>4.5</v>
      </c>
      <c r="E21">
        <v>21</v>
      </c>
      <c r="F21">
        <v>5</v>
      </c>
      <c r="G21">
        <v>6</v>
      </c>
      <c r="H21">
        <v>7</v>
      </c>
      <c r="I21">
        <v>1</v>
      </c>
      <c r="J21">
        <v>3</v>
      </c>
      <c r="K21">
        <v>9</v>
      </c>
      <c r="L21">
        <v>4</v>
      </c>
      <c r="M21">
        <v>3</v>
      </c>
      <c r="N21">
        <v>0</v>
      </c>
      <c r="O21">
        <v>6</v>
      </c>
      <c r="P21">
        <v>5</v>
      </c>
      <c r="Q21">
        <v>2</v>
      </c>
      <c r="R21">
        <v>8</v>
      </c>
      <c r="S21">
        <v>54</v>
      </c>
      <c r="T21" t="s">
        <v>813</v>
      </c>
      <c r="U21" t="s">
        <v>83</v>
      </c>
      <c r="V21" t="s">
        <v>145</v>
      </c>
      <c r="W21" t="s">
        <v>160</v>
      </c>
    </row>
    <row r="22" spans="1:23" x14ac:dyDescent="0.25">
      <c r="A22" t="s">
        <v>161</v>
      </c>
      <c r="B22" t="s">
        <v>161</v>
      </c>
      <c r="C22">
        <v>1</v>
      </c>
      <c r="D22" s="4">
        <v>1.5</v>
      </c>
      <c r="E22">
        <v>10</v>
      </c>
      <c r="F22">
        <v>5</v>
      </c>
      <c r="G22">
        <v>1</v>
      </c>
      <c r="H22">
        <v>4</v>
      </c>
      <c r="I22">
        <v>1</v>
      </c>
      <c r="J22">
        <v>1</v>
      </c>
      <c r="K22">
        <v>1</v>
      </c>
      <c r="L22">
        <v>0</v>
      </c>
      <c r="M22">
        <v>2</v>
      </c>
      <c r="N22">
        <v>1</v>
      </c>
      <c r="O22">
        <v>1</v>
      </c>
      <c r="P22">
        <v>2</v>
      </c>
      <c r="Q22">
        <v>1</v>
      </c>
      <c r="R22">
        <v>3</v>
      </c>
      <c r="S22">
        <v>18</v>
      </c>
      <c r="T22" t="s">
        <v>813</v>
      </c>
      <c r="U22" t="s">
        <v>83</v>
      </c>
      <c r="V22" t="s">
        <v>145</v>
      </c>
      <c r="W22" t="s">
        <v>162</v>
      </c>
    </row>
    <row r="23" spans="1:23" x14ac:dyDescent="0.25">
      <c r="A23" t="s">
        <v>163</v>
      </c>
      <c r="B23" t="s">
        <v>163</v>
      </c>
      <c r="C23">
        <v>0.5</v>
      </c>
      <c r="D23" s="4">
        <v>0.9</v>
      </c>
      <c r="E23">
        <v>6</v>
      </c>
      <c r="G23">
        <v>0</v>
      </c>
      <c r="H23">
        <v>0</v>
      </c>
      <c r="I23">
        <v>2</v>
      </c>
      <c r="J23">
        <v>0</v>
      </c>
      <c r="K23">
        <v>3</v>
      </c>
      <c r="L23">
        <v>0</v>
      </c>
      <c r="M23">
        <v>1</v>
      </c>
      <c r="N23">
        <v>0</v>
      </c>
      <c r="O23">
        <v>3</v>
      </c>
      <c r="P23">
        <v>1</v>
      </c>
      <c r="Q23">
        <v>1</v>
      </c>
      <c r="R23">
        <v>0</v>
      </c>
      <c r="S23">
        <v>11</v>
      </c>
      <c r="T23" t="s">
        <v>813</v>
      </c>
      <c r="U23" t="s">
        <v>83</v>
      </c>
      <c r="V23" t="s">
        <v>145</v>
      </c>
      <c r="W23" t="s">
        <v>164</v>
      </c>
    </row>
    <row r="24" spans="1:23" x14ac:dyDescent="0.25">
      <c r="A24" t="s">
        <v>169</v>
      </c>
      <c r="B24" t="s">
        <v>169</v>
      </c>
      <c r="C24">
        <v>0</v>
      </c>
      <c r="D24" s="3">
        <v>0</v>
      </c>
      <c r="E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 t="s">
        <v>813</v>
      </c>
      <c r="U24" t="s">
        <v>166</v>
      </c>
      <c r="V24" t="s">
        <v>167</v>
      </c>
      <c r="W24" t="s">
        <v>168</v>
      </c>
    </row>
    <row r="25" spans="1:23" x14ac:dyDescent="0.25">
      <c r="A25" t="s">
        <v>170</v>
      </c>
      <c r="B25" t="s">
        <v>170</v>
      </c>
      <c r="C25">
        <v>0</v>
      </c>
      <c r="D25" s="3">
        <v>0</v>
      </c>
      <c r="E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 t="s">
        <v>813</v>
      </c>
      <c r="U25" t="s">
        <v>166</v>
      </c>
      <c r="V25" t="s">
        <v>171</v>
      </c>
      <c r="W25" t="s">
        <v>172</v>
      </c>
    </row>
    <row r="26" spans="1:23" x14ac:dyDescent="0.25">
      <c r="A26" t="s">
        <v>176</v>
      </c>
      <c r="B26" t="s">
        <v>176</v>
      </c>
      <c r="C26">
        <v>0</v>
      </c>
      <c r="D26" s="3">
        <v>0</v>
      </c>
      <c r="E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  <c r="T26" t="s">
        <v>813</v>
      </c>
      <c r="U26" t="s">
        <v>166</v>
      </c>
      <c r="V26" t="s">
        <v>174</v>
      </c>
      <c r="W26" t="s">
        <v>175</v>
      </c>
    </row>
    <row r="27" spans="1:23" x14ac:dyDescent="0.25">
      <c r="A27" t="s">
        <v>177</v>
      </c>
      <c r="B27" t="s">
        <v>177</v>
      </c>
      <c r="C27">
        <v>0</v>
      </c>
      <c r="D27" s="3">
        <v>0</v>
      </c>
      <c r="E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 t="s">
        <v>813</v>
      </c>
      <c r="U27" t="s">
        <v>166</v>
      </c>
      <c r="V27" t="s">
        <v>174</v>
      </c>
      <c r="W27" t="s">
        <v>178</v>
      </c>
    </row>
    <row r="28" spans="1:23" x14ac:dyDescent="0.25">
      <c r="A28" t="s">
        <v>179</v>
      </c>
      <c r="B28" t="s">
        <v>179</v>
      </c>
      <c r="C28">
        <v>30</v>
      </c>
      <c r="D28" s="4">
        <v>32</v>
      </c>
      <c r="E28">
        <v>162</v>
      </c>
      <c r="F28">
        <v>70</v>
      </c>
      <c r="G28">
        <v>23</v>
      </c>
      <c r="H28">
        <v>62</v>
      </c>
      <c r="I28">
        <v>47</v>
      </c>
      <c r="J28">
        <v>32</v>
      </c>
      <c r="K28">
        <v>22</v>
      </c>
      <c r="L28">
        <v>30</v>
      </c>
      <c r="M28">
        <v>13</v>
      </c>
      <c r="N28">
        <v>30</v>
      </c>
      <c r="O28">
        <v>26</v>
      </c>
      <c r="P28">
        <v>35</v>
      </c>
      <c r="Q28">
        <v>32</v>
      </c>
      <c r="R28">
        <v>10</v>
      </c>
      <c r="S28">
        <v>362</v>
      </c>
      <c r="T28" t="s">
        <v>813</v>
      </c>
      <c r="U28" t="s">
        <v>180</v>
      </c>
      <c r="V28" t="s">
        <v>181</v>
      </c>
      <c r="W28" t="s">
        <v>182</v>
      </c>
    </row>
    <row r="29" spans="1:23" x14ac:dyDescent="0.25">
      <c r="A29" t="s">
        <v>185</v>
      </c>
      <c r="B29" t="s">
        <v>185</v>
      </c>
      <c r="C29">
        <v>24</v>
      </c>
      <c r="D29" s="4">
        <v>28</v>
      </c>
      <c r="E29">
        <v>151</v>
      </c>
      <c r="F29">
        <v>90</v>
      </c>
      <c r="G29">
        <v>12</v>
      </c>
      <c r="H29">
        <v>31</v>
      </c>
      <c r="I29">
        <v>15</v>
      </c>
      <c r="J29">
        <v>24</v>
      </c>
      <c r="K29">
        <v>41</v>
      </c>
      <c r="L29">
        <v>35</v>
      </c>
      <c r="M29">
        <v>24</v>
      </c>
      <c r="N29">
        <v>22</v>
      </c>
      <c r="O29">
        <v>22</v>
      </c>
      <c r="P29">
        <v>62</v>
      </c>
      <c r="Q29">
        <v>25</v>
      </c>
      <c r="R29">
        <v>7</v>
      </c>
      <c r="S29">
        <v>320</v>
      </c>
      <c r="T29" t="s">
        <v>813</v>
      </c>
      <c r="U29" t="s">
        <v>180</v>
      </c>
      <c r="V29" t="s">
        <v>181</v>
      </c>
      <c r="W29" t="s">
        <v>186</v>
      </c>
    </row>
    <row r="30" spans="1:23" x14ac:dyDescent="0.25">
      <c r="A30" t="s">
        <v>189</v>
      </c>
      <c r="B30" t="s">
        <v>189</v>
      </c>
      <c r="C30">
        <v>14.5</v>
      </c>
      <c r="D30" s="4">
        <v>17</v>
      </c>
      <c r="E30">
        <v>91</v>
      </c>
      <c r="F30">
        <v>30</v>
      </c>
      <c r="G30">
        <v>11</v>
      </c>
      <c r="H30">
        <v>19</v>
      </c>
      <c r="I30">
        <v>23</v>
      </c>
      <c r="J30">
        <v>7</v>
      </c>
      <c r="K30">
        <v>35</v>
      </c>
      <c r="L30">
        <v>25</v>
      </c>
      <c r="M30">
        <v>13</v>
      </c>
      <c r="N30">
        <v>17</v>
      </c>
      <c r="O30">
        <v>15</v>
      </c>
      <c r="P30">
        <v>12</v>
      </c>
      <c r="Q30">
        <v>8</v>
      </c>
      <c r="R30">
        <v>14</v>
      </c>
      <c r="S30">
        <v>199</v>
      </c>
      <c r="T30" t="s">
        <v>813</v>
      </c>
      <c r="U30" t="s">
        <v>180</v>
      </c>
      <c r="V30" t="s">
        <v>181</v>
      </c>
      <c r="W30" t="s">
        <v>190</v>
      </c>
    </row>
    <row r="31" spans="1:23" x14ac:dyDescent="0.25">
      <c r="A31" t="s">
        <v>199</v>
      </c>
      <c r="B31" t="s">
        <v>199</v>
      </c>
      <c r="C31">
        <v>5.5</v>
      </c>
      <c r="D31" s="4">
        <v>5</v>
      </c>
      <c r="E31">
        <v>38</v>
      </c>
      <c r="F31">
        <v>20</v>
      </c>
      <c r="G31">
        <v>6</v>
      </c>
      <c r="H31">
        <v>8</v>
      </c>
      <c r="I31">
        <v>3</v>
      </c>
      <c r="J31">
        <v>5</v>
      </c>
      <c r="K31">
        <v>8</v>
      </c>
      <c r="L31">
        <v>2</v>
      </c>
      <c r="M31">
        <v>7</v>
      </c>
      <c r="N31">
        <v>5</v>
      </c>
      <c r="O31">
        <v>1</v>
      </c>
      <c r="P31">
        <v>6</v>
      </c>
      <c r="Q31">
        <v>0</v>
      </c>
      <c r="R31">
        <v>7</v>
      </c>
      <c r="S31">
        <v>58</v>
      </c>
      <c r="T31" t="s">
        <v>813</v>
      </c>
      <c r="U31" t="s">
        <v>180</v>
      </c>
      <c r="V31" t="s">
        <v>181</v>
      </c>
      <c r="W31" t="s">
        <v>200</v>
      </c>
    </row>
    <row r="32" spans="1:23" x14ac:dyDescent="0.25">
      <c r="A32" t="s">
        <v>201</v>
      </c>
      <c r="B32" t="s">
        <v>201</v>
      </c>
      <c r="C32">
        <v>4.5</v>
      </c>
      <c r="D32" s="3">
        <v>4.5</v>
      </c>
      <c r="E32">
        <v>30</v>
      </c>
      <c r="F32">
        <v>30</v>
      </c>
      <c r="G32">
        <v>4</v>
      </c>
      <c r="H32">
        <v>0</v>
      </c>
      <c r="I32">
        <v>5</v>
      </c>
      <c r="J32">
        <v>6</v>
      </c>
      <c r="K32">
        <v>2</v>
      </c>
      <c r="L32">
        <v>1</v>
      </c>
      <c r="M32">
        <v>5</v>
      </c>
      <c r="N32">
        <v>0</v>
      </c>
      <c r="O32">
        <v>5</v>
      </c>
      <c r="P32">
        <v>5</v>
      </c>
      <c r="Q32">
        <v>16</v>
      </c>
      <c r="R32">
        <v>0</v>
      </c>
      <c r="S32">
        <v>49</v>
      </c>
      <c r="T32" t="s">
        <v>813</v>
      </c>
      <c r="U32" t="s">
        <v>180</v>
      </c>
      <c r="V32" t="s">
        <v>181</v>
      </c>
      <c r="W32" t="s">
        <v>202</v>
      </c>
    </row>
    <row r="33" spans="1:23" x14ac:dyDescent="0.25">
      <c r="A33" t="s">
        <v>203</v>
      </c>
      <c r="B33" t="s">
        <v>203</v>
      </c>
      <c r="C33">
        <v>5</v>
      </c>
      <c r="D33" s="3">
        <v>5</v>
      </c>
      <c r="E33">
        <v>35</v>
      </c>
      <c r="F33">
        <v>20</v>
      </c>
      <c r="G33">
        <v>6</v>
      </c>
      <c r="H33">
        <v>2</v>
      </c>
      <c r="I33">
        <v>7</v>
      </c>
      <c r="J33">
        <v>7</v>
      </c>
      <c r="K33">
        <v>5</v>
      </c>
      <c r="L33">
        <v>5</v>
      </c>
      <c r="M33">
        <v>0</v>
      </c>
      <c r="N33">
        <v>4</v>
      </c>
      <c r="O33">
        <v>5</v>
      </c>
      <c r="P33">
        <v>0</v>
      </c>
      <c r="Q33">
        <v>10</v>
      </c>
      <c r="R33">
        <v>0</v>
      </c>
      <c r="S33">
        <v>51</v>
      </c>
      <c r="T33" t="s">
        <v>813</v>
      </c>
      <c r="U33" t="s">
        <v>180</v>
      </c>
      <c r="V33" t="s">
        <v>181</v>
      </c>
      <c r="W33" t="s">
        <v>204</v>
      </c>
    </row>
    <row r="34" spans="1:23" x14ac:dyDescent="0.25">
      <c r="A34" t="s">
        <v>205</v>
      </c>
      <c r="B34" t="s">
        <v>205</v>
      </c>
      <c r="C34">
        <v>29</v>
      </c>
      <c r="D34" s="3">
        <v>29</v>
      </c>
      <c r="E34">
        <v>145</v>
      </c>
      <c r="F34">
        <v>80</v>
      </c>
      <c r="G34">
        <v>20</v>
      </c>
      <c r="H34">
        <v>29</v>
      </c>
      <c r="I34">
        <v>24</v>
      </c>
      <c r="J34">
        <v>32</v>
      </c>
      <c r="K34">
        <v>19</v>
      </c>
      <c r="L34">
        <v>37</v>
      </c>
      <c r="M34">
        <v>26</v>
      </c>
      <c r="N34">
        <v>29</v>
      </c>
      <c r="O34">
        <v>33</v>
      </c>
      <c r="P34">
        <v>31</v>
      </c>
      <c r="Q34">
        <v>28</v>
      </c>
      <c r="R34">
        <v>35</v>
      </c>
      <c r="S34">
        <v>343</v>
      </c>
      <c r="T34" t="s">
        <v>813</v>
      </c>
      <c r="U34" t="s">
        <v>180</v>
      </c>
      <c r="V34" t="s">
        <v>206</v>
      </c>
      <c r="W34" t="s">
        <v>207</v>
      </c>
    </row>
    <row r="35" spans="1:23" x14ac:dyDescent="0.25">
      <c r="A35" t="s">
        <v>208</v>
      </c>
      <c r="B35" t="s">
        <v>208</v>
      </c>
      <c r="C35">
        <v>57.5</v>
      </c>
      <c r="D35" s="3">
        <v>57.5</v>
      </c>
      <c r="E35">
        <v>270</v>
      </c>
      <c r="F35">
        <v>80</v>
      </c>
      <c r="G35">
        <v>76</v>
      </c>
      <c r="H35">
        <v>28</v>
      </c>
      <c r="I35">
        <v>66</v>
      </c>
      <c r="J35">
        <v>73</v>
      </c>
      <c r="K35">
        <v>83</v>
      </c>
      <c r="L35">
        <v>54</v>
      </c>
      <c r="M35">
        <v>59</v>
      </c>
      <c r="N35">
        <v>51</v>
      </c>
      <c r="O35">
        <v>59</v>
      </c>
      <c r="P35">
        <v>56</v>
      </c>
      <c r="Q35">
        <v>27</v>
      </c>
      <c r="R35">
        <v>38</v>
      </c>
      <c r="S35">
        <v>670</v>
      </c>
      <c r="T35" t="s">
        <v>813</v>
      </c>
      <c r="U35" t="s">
        <v>180</v>
      </c>
      <c r="V35" t="s">
        <v>206</v>
      </c>
      <c r="W35" t="s">
        <v>209</v>
      </c>
    </row>
    <row r="36" spans="1:23" x14ac:dyDescent="0.25">
      <c r="A36" t="s">
        <v>212</v>
      </c>
      <c r="B36" t="s">
        <v>212</v>
      </c>
      <c r="C36">
        <v>21.5</v>
      </c>
      <c r="D36" s="4">
        <v>22</v>
      </c>
      <c r="E36">
        <v>113</v>
      </c>
      <c r="F36">
        <v>100</v>
      </c>
      <c r="G36">
        <v>21</v>
      </c>
      <c r="H36">
        <v>21</v>
      </c>
      <c r="I36">
        <v>11</v>
      </c>
      <c r="J36">
        <v>26</v>
      </c>
      <c r="K36">
        <v>15</v>
      </c>
      <c r="L36">
        <v>35</v>
      </c>
      <c r="M36">
        <v>22</v>
      </c>
      <c r="N36">
        <v>0</v>
      </c>
      <c r="O36">
        <v>21</v>
      </c>
      <c r="P36">
        <v>44</v>
      </c>
      <c r="Q36">
        <v>26</v>
      </c>
      <c r="R36">
        <v>26</v>
      </c>
      <c r="S36">
        <v>268</v>
      </c>
      <c r="T36" t="s">
        <v>813</v>
      </c>
      <c r="U36" t="s">
        <v>180</v>
      </c>
      <c r="V36" t="s">
        <v>206</v>
      </c>
      <c r="W36" t="s">
        <v>213</v>
      </c>
    </row>
    <row r="37" spans="1:23" x14ac:dyDescent="0.25">
      <c r="A37" t="s">
        <v>214</v>
      </c>
      <c r="B37" t="s">
        <v>214</v>
      </c>
      <c r="C37">
        <v>9</v>
      </c>
      <c r="D37" s="4">
        <v>11.2</v>
      </c>
      <c r="E37">
        <v>58</v>
      </c>
      <c r="F37">
        <v>20</v>
      </c>
      <c r="G37">
        <v>13</v>
      </c>
      <c r="H37">
        <v>2</v>
      </c>
      <c r="I37">
        <v>29</v>
      </c>
      <c r="J37">
        <v>12</v>
      </c>
      <c r="K37">
        <v>8</v>
      </c>
      <c r="L37">
        <v>7</v>
      </c>
      <c r="M37">
        <v>20</v>
      </c>
      <c r="N37">
        <v>10</v>
      </c>
      <c r="O37">
        <v>8</v>
      </c>
      <c r="P37">
        <v>7</v>
      </c>
      <c r="Q37">
        <v>8</v>
      </c>
      <c r="R37">
        <v>10</v>
      </c>
      <c r="S37">
        <v>134</v>
      </c>
      <c r="T37" t="s">
        <v>813</v>
      </c>
      <c r="U37" t="s">
        <v>180</v>
      </c>
      <c r="V37" t="s">
        <v>206</v>
      </c>
      <c r="W37" t="s">
        <v>215</v>
      </c>
    </row>
    <row r="38" spans="1:23" x14ac:dyDescent="0.25">
      <c r="A38" t="s">
        <v>224</v>
      </c>
      <c r="B38" t="s">
        <v>224</v>
      </c>
      <c r="C38">
        <v>6</v>
      </c>
      <c r="D38" s="4">
        <v>6.2</v>
      </c>
      <c r="E38">
        <v>30</v>
      </c>
      <c r="F38">
        <v>20</v>
      </c>
      <c r="G38">
        <v>14</v>
      </c>
      <c r="H38">
        <v>0</v>
      </c>
      <c r="I38">
        <v>5</v>
      </c>
      <c r="J38">
        <v>3</v>
      </c>
      <c r="K38">
        <v>2</v>
      </c>
      <c r="L38">
        <v>7</v>
      </c>
      <c r="M38">
        <v>2</v>
      </c>
      <c r="N38">
        <v>10</v>
      </c>
      <c r="O38">
        <v>13</v>
      </c>
      <c r="P38">
        <v>3</v>
      </c>
      <c r="Q38">
        <v>8</v>
      </c>
      <c r="R38">
        <v>12</v>
      </c>
      <c r="S38">
        <v>79</v>
      </c>
      <c r="T38" t="s">
        <v>813</v>
      </c>
      <c r="U38" t="s">
        <v>180</v>
      </c>
      <c r="V38" t="s">
        <v>206</v>
      </c>
      <c r="W38" t="s">
        <v>225</v>
      </c>
    </row>
    <row r="39" spans="1:23" x14ac:dyDescent="0.25">
      <c r="A39" t="s">
        <v>226</v>
      </c>
      <c r="B39" t="s">
        <v>226</v>
      </c>
      <c r="C39">
        <v>13</v>
      </c>
      <c r="D39" s="4">
        <v>15</v>
      </c>
      <c r="E39">
        <v>76</v>
      </c>
      <c r="F39">
        <v>60</v>
      </c>
      <c r="G39">
        <v>25</v>
      </c>
      <c r="H39">
        <v>19</v>
      </c>
      <c r="I39">
        <v>2</v>
      </c>
      <c r="J39">
        <v>2</v>
      </c>
      <c r="K39">
        <v>27</v>
      </c>
      <c r="L39">
        <v>0</v>
      </c>
      <c r="M39">
        <v>0</v>
      </c>
      <c r="N39">
        <v>0</v>
      </c>
      <c r="O39">
        <v>37</v>
      </c>
      <c r="P39">
        <v>20</v>
      </c>
      <c r="Q39">
        <v>7</v>
      </c>
      <c r="R39">
        <v>40</v>
      </c>
      <c r="S39">
        <v>179</v>
      </c>
      <c r="T39" t="s">
        <v>813</v>
      </c>
      <c r="U39" t="s">
        <v>180</v>
      </c>
      <c r="V39" t="s">
        <v>206</v>
      </c>
      <c r="W39" t="s">
        <v>227</v>
      </c>
    </row>
    <row r="40" spans="1:23" x14ac:dyDescent="0.25">
      <c r="A40" t="s">
        <v>230</v>
      </c>
      <c r="B40" t="s">
        <v>230</v>
      </c>
      <c r="C40">
        <v>4.5</v>
      </c>
      <c r="D40" s="4">
        <v>5</v>
      </c>
      <c r="E40">
        <v>31</v>
      </c>
      <c r="F40">
        <v>10</v>
      </c>
      <c r="G40">
        <v>9</v>
      </c>
      <c r="H40">
        <v>3</v>
      </c>
      <c r="I40">
        <v>3</v>
      </c>
      <c r="J40">
        <v>7</v>
      </c>
      <c r="K40">
        <v>4</v>
      </c>
      <c r="L40">
        <v>4</v>
      </c>
      <c r="M40">
        <v>10</v>
      </c>
      <c r="N40">
        <v>5</v>
      </c>
      <c r="O40">
        <v>6</v>
      </c>
      <c r="P40">
        <v>4</v>
      </c>
      <c r="Q40">
        <v>6</v>
      </c>
      <c r="R40">
        <v>3</v>
      </c>
      <c r="S40">
        <v>64</v>
      </c>
      <c r="T40" t="s">
        <v>813</v>
      </c>
      <c r="U40" t="s">
        <v>180</v>
      </c>
      <c r="V40" t="s">
        <v>206</v>
      </c>
      <c r="W40" t="s">
        <v>231</v>
      </c>
    </row>
    <row r="41" spans="1:23" x14ac:dyDescent="0.25">
      <c r="A41" t="s">
        <v>234</v>
      </c>
      <c r="B41" t="s">
        <v>234</v>
      </c>
      <c r="C41">
        <v>283</v>
      </c>
      <c r="D41" s="4">
        <v>300</v>
      </c>
      <c r="E41">
        <v>1397</v>
      </c>
      <c r="F41">
        <v>750</v>
      </c>
      <c r="G41">
        <v>190</v>
      </c>
      <c r="H41">
        <v>473</v>
      </c>
      <c r="I41">
        <v>257</v>
      </c>
      <c r="J41">
        <v>214</v>
      </c>
      <c r="K41">
        <v>284</v>
      </c>
      <c r="L41">
        <v>279</v>
      </c>
      <c r="M41">
        <v>282</v>
      </c>
      <c r="N41">
        <v>382</v>
      </c>
      <c r="O41">
        <v>309</v>
      </c>
      <c r="P41">
        <v>251</v>
      </c>
      <c r="Q41">
        <v>323</v>
      </c>
      <c r="R41">
        <v>371</v>
      </c>
      <c r="S41">
        <v>3615</v>
      </c>
      <c r="T41" t="s">
        <v>813</v>
      </c>
      <c r="U41" t="s">
        <v>180</v>
      </c>
      <c r="V41" t="s">
        <v>235</v>
      </c>
      <c r="W41" t="s">
        <v>236</v>
      </c>
    </row>
    <row r="42" spans="1:23" x14ac:dyDescent="0.25">
      <c r="A42" t="s">
        <v>237</v>
      </c>
      <c r="B42" t="s">
        <v>237</v>
      </c>
      <c r="C42">
        <v>349</v>
      </c>
      <c r="D42" s="3">
        <v>349</v>
      </c>
      <c r="E42">
        <v>1364</v>
      </c>
      <c r="F42">
        <v>1000</v>
      </c>
      <c r="G42">
        <v>230</v>
      </c>
      <c r="H42">
        <v>472</v>
      </c>
      <c r="I42">
        <v>326</v>
      </c>
      <c r="J42">
        <v>288</v>
      </c>
      <c r="K42">
        <v>396</v>
      </c>
      <c r="L42">
        <v>259</v>
      </c>
      <c r="M42">
        <v>382</v>
      </c>
      <c r="N42">
        <v>400</v>
      </c>
      <c r="O42">
        <v>231</v>
      </c>
      <c r="P42">
        <v>321</v>
      </c>
      <c r="Q42">
        <v>372</v>
      </c>
      <c r="R42">
        <v>555</v>
      </c>
      <c r="S42">
        <v>4232</v>
      </c>
      <c r="T42" t="s">
        <v>813</v>
      </c>
      <c r="U42" t="s">
        <v>180</v>
      </c>
      <c r="V42" t="s">
        <v>235</v>
      </c>
      <c r="W42" t="s">
        <v>238</v>
      </c>
    </row>
    <row r="43" spans="1:23" x14ac:dyDescent="0.25">
      <c r="A43" t="s">
        <v>239</v>
      </c>
      <c r="B43" t="s">
        <v>239</v>
      </c>
      <c r="C43">
        <v>119.5</v>
      </c>
      <c r="D43" s="3">
        <v>119.5</v>
      </c>
      <c r="E43">
        <v>559</v>
      </c>
      <c r="F43">
        <v>400</v>
      </c>
      <c r="G43">
        <v>128</v>
      </c>
      <c r="H43">
        <v>96</v>
      </c>
      <c r="I43">
        <v>101</v>
      </c>
      <c r="J43">
        <v>119</v>
      </c>
      <c r="K43">
        <v>260</v>
      </c>
      <c r="L43">
        <v>66</v>
      </c>
      <c r="M43">
        <v>120</v>
      </c>
      <c r="N43">
        <v>0</v>
      </c>
      <c r="O43">
        <v>152</v>
      </c>
      <c r="P43">
        <v>89</v>
      </c>
      <c r="Q43">
        <v>137</v>
      </c>
      <c r="R43">
        <v>213</v>
      </c>
      <c r="S43">
        <v>1481</v>
      </c>
      <c r="T43" t="s">
        <v>813</v>
      </c>
      <c r="U43" t="s">
        <v>180</v>
      </c>
      <c r="V43" t="s">
        <v>235</v>
      </c>
      <c r="W43" t="s">
        <v>240</v>
      </c>
    </row>
    <row r="44" spans="1:23" x14ac:dyDescent="0.25">
      <c r="A44" t="s">
        <v>241</v>
      </c>
      <c r="B44" t="s">
        <v>241</v>
      </c>
      <c r="C44">
        <v>0</v>
      </c>
      <c r="D44" s="3">
        <v>0</v>
      </c>
      <c r="E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</v>
      </c>
      <c r="R44">
        <v>0</v>
      </c>
      <c r="S44">
        <v>2</v>
      </c>
      <c r="T44" t="s">
        <v>813</v>
      </c>
      <c r="U44" t="s">
        <v>180</v>
      </c>
      <c r="V44" t="s">
        <v>235</v>
      </c>
      <c r="W44" t="s">
        <v>242</v>
      </c>
    </row>
    <row r="45" spans="1:23" x14ac:dyDescent="0.25">
      <c r="A45" t="s">
        <v>243</v>
      </c>
      <c r="B45" t="s">
        <v>243</v>
      </c>
      <c r="C45">
        <v>6</v>
      </c>
      <c r="D45" s="4">
        <v>21</v>
      </c>
      <c r="E45">
        <v>113</v>
      </c>
      <c r="F45">
        <v>30</v>
      </c>
      <c r="G45">
        <v>0</v>
      </c>
      <c r="H45">
        <v>0</v>
      </c>
      <c r="I45">
        <v>0</v>
      </c>
      <c r="J45">
        <v>0</v>
      </c>
      <c r="K45">
        <v>71</v>
      </c>
      <c r="L45">
        <v>14</v>
      </c>
      <c r="M45">
        <v>6</v>
      </c>
      <c r="N45">
        <v>6</v>
      </c>
      <c r="O45">
        <v>19</v>
      </c>
      <c r="P45">
        <v>7</v>
      </c>
      <c r="Q45">
        <v>6</v>
      </c>
      <c r="R45">
        <v>38</v>
      </c>
      <c r="S45">
        <v>167</v>
      </c>
      <c r="T45" t="s">
        <v>813</v>
      </c>
      <c r="U45" t="s">
        <v>180</v>
      </c>
      <c r="V45" t="s">
        <v>235</v>
      </c>
      <c r="W45" t="s">
        <v>244</v>
      </c>
    </row>
    <row r="46" spans="1:23" x14ac:dyDescent="0.25">
      <c r="A46" t="s">
        <v>245</v>
      </c>
      <c r="B46" t="s">
        <v>245</v>
      </c>
      <c r="C46">
        <v>5.5</v>
      </c>
      <c r="D46" s="4">
        <v>17</v>
      </c>
      <c r="E46">
        <v>101</v>
      </c>
      <c r="F46">
        <v>40</v>
      </c>
      <c r="G46">
        <v>0</v>
      </c>
      <c r="H46">
        <v>0</v>
      </c>
      <c r="I46">
        <v>0</v>
      </c>
      <c r="J46">
        <v>0</v>
      </c>
      <c r="K46">
        <v>47</v>
      </c>
      <c r="L46">
        <v>16</v>
      </c>
      <c r="M46">
        <v>0</v>
      </c>
      <c r="N46">
        <v>21</v>
      </c>
      <c r="O46">
        <v>24</v>
      </c>
      <c r="P46">
        <v>20</v>
      </c>
      <c r="Q46">
        <v>1</v>
      </c>
      <c r="R46">
        <v>10</v>
      </c>
      <c r="S46">
        <v>139</v>
      </c>
      <c r="T46" t="s">
        <v>813</v>
      </c>
      <c r="U46" t="s">
        <v>180</v>
      </c>
      <c r="V46" t="s">
        <v>235</v>
      </c>
      <c r="W46" t="s">
        <v>246</v>
      </c>
    </row>
    <row r="47" spans="1:23" x14ac:dyDescent="0.25">
      <c r="A47" t="s">
        <v>247</v>
      </c>
      <c r="B47" t="s">
        <v>247</v>
      </c>
      <c r="C47">
        <v>2</v>
      </c>
      <c r="D47" s="4">
        <v>10</v>
      </c>
      <c r="E47">
        <v>62</v>
      </c>
      <c r="F47">
        <v>20</v>
      </c>
      <c r="G47">
        <v>0</v>
      </c>
      <c r="H47">
        <v>0</v>
      </c>
      <c r="I47">
        <v>0</v>
      </c>
      <c r="J47">
        <v>0</v>
      </c>
      <c r="K47">
        <v>27</v>
      </c>
      <c r="L47">
        <v>12</v>
      </c>
      <c r="M47">
        <v>11</v>
      </c>
      <c r="N47">
        <v>0</v>
      </c>
      <c r="O47">
        <v>14</v>
      </c>
      <c r="P47">
        <v>10</v>
      </c>
      <c r="Q47">
        <v>1</v>
      </c>
      <c r="R47">
        <v>3</v>
      </c>
      <c r="S47">
        <v>78</v>
      </c>
      <c r="T47" t="s">
        <v>813</v>
      </c>
      <c r="U47" t="s">
        <v>180</v>
      </c>
      <c r="V47" t="s">
        <v>235</v>
      </c>
      <c r="W47" t="s">
        <v>248</v>
      </c>
    </row>
    <row r="48" spans="1:23" x14ac:dyDescent="0.25">
      <c r="A48" t="s">
        <v>249</v>
      </c>
      <c r="B48" t="s">
        <v>249</v>
      </c>
      <c r="C48">
        <v>97</v>
      </c>
      <c r="D48" s="4">
        <v>105</v>
      </c>
      <c r="E48">
        <v>523</v>
      </c>
      <c r="F48">
        <v>350</v>
      </c>
      <c r="G48">
        <v>100</v>
      </c>
      <c r="H48">
        <v>224</v>
      </c>
      <c r="I48">
        <v>151</v>
      </c>
      <c r="J48">
        <v>45</v>
      </c>
      <c r="K48">
        <v>52</v>
      </c>
      <c r="L48">
        <v>94</v>
      </c>
      <c r="M48">
        <v>84</v>
      </c>
      <c r="N48">
        <v>123</v>
      </c>
      <c r="O48">
        <v>88</v>
      </c>
      <c r="P48">
        <v>88</v>
      </c>
      <c r="Q48">
        <v>100</v>
      </c>
      <c r="R48">
        <v>127</v>
      </c>
      <c r="S48">
        <v>1276</v>
      </c>
      <c r="T48" t="s">
        <v>813</v>
      </c>
      <c r="U48" t="s">
        <v>180</v>
      </c>
      <c r="V48" t="s">
        <v>235</v>
      </c>
      <c r="W48" t="s">
        <v>250</v>
      </c>
    </row>
    <row r="49" spans="1:23" x14ac:dyDescent="0.25">
      <c r="A49" t="s">
        <v>251</v>
      </c>
      <c r="B49" t="s">
        <v>251</v>
      </c>
      <c r="C49">
        <v>92</v>
      </c>
      <c r="D49" s="4">
        <v>102</v>
      </c>
      <c r="E49">
        <v>483</v>
      </c>
      <c r="F49">
        <v>250</v>
      </c>
      <c r="G49">
        <v>116</v>
      </c>
      <c r="H49">
        <v>139</v>
      </c>
      <c r="I49">
        <v>78</v>
      </c>
      <c r="J49">
        <v>90</v>
      </c>
      <c r="K49">
        <v>56</v>
      </c>
      <c r="L49">
        <v>76</v>
      </c>
      <c r="M49">
        <v>69</v>
      </c>
      <c r="N49">
        <v>154</v>
      </c>
      <c r="O49">
        <v>94</v>
      </c>
      <c r="P49">
        <v>8</v>
      </c>
      <c r="Q49">
        <v>200</v>
      </c>
      <c r="R49">
        <v>167</v>
      </c>
      <c r="S49">
        <v>1247</v>
      </c>
      <c r="T49" t="s">
        <v>813</v>
      </c>
      <c r="U49" t="s">
        <v>180</v>
      </c>
      <c r="V49" t="s">
        <v>235</v>
      </c>
      <c r="W49" t="s">
        <v>252</v>
      </c>
    </row>
    <row r="50" spans="1:23" x14ac:dyDescent="0.25">
      <c r="A50" t="s">
        <v>253</v>
      </c>
      <c r="B50" t="s">
        <v>253</v>
      </c>
      <c r="C50">
        <v>49</v>
      </c>
      <c r="D50" s="4">
        <v>54</v>
      </c>
      <c r="E50">
        <v>217</v>
      </c>
      <c r="F50">
        <v>150</v>
      </c>
      <c r="G50">
        <v>69</v>
      </c>
      <c r="H50">
        <v>48</v>
      </c>
      <c r="I50">
        <v>0</v>
      </c>
      <c r="J50">
        <v>0</v>
      </c>
      <c r="K50">
        <v>44</v>
      </c>
      <c r="L50">
        <v>38</v>
      </c>
      <c r="M50">
        <v>66</v>
      </c>
      <c r="N50">
        <v>48</v>
      </c>
      <c r="O50">
        <v>52</v>
      </c>
      <c r="P50">
        <v>52</v>
      </c>
      <c r="Q50">
        <v>50</v>
      </c>
      <c r="R50">
        <v>83</v>
      </c>
      <c r="S50">
        <v>550</v>
      </c>
      <c r="T50" t="s">
        <v>813</v>
      </c>
      <c r="U50" t="s">
        <v>180</v>
      </c>
      <c r="V50" t="s">
        <v>235</v>
      </c>
      <c r="W50" t="s">
        <v>254</v>
      </c>
    </row>
    <row r="51" spans="1:23" x14ac:dyDescent="0.25">
      <c r="A51" t="s">
        <v>255</v>
      </c>
      <c r="B51" t="s">
        <v>255</v>
      </c>
      <c r="C51">
        <v>25</v>
      </c>
      <c r="D51" s="4">
        <v>58</v>
      </c>
      <c r="E51">
        <v>288</v>
      </c>
      <c r="F51">
        <v>200</v>
      </c>
      <c r="G51">
        <v>0</v>
      </c>
      <c r="H51">
        <v>0</v>
      </c>
      <c r="I51">
        <v>0</v>
      </c>
      <c r="J51">
        <v>0</v>
      </c>
      <c r="K51">
        <v>95</v>
      </c>
      <c r="L51">
        <v>30</v>
      </c>
      <c r="M51">
        <v>25</v>
      </c>
      <c r="N51">
        <v>0</v>
      </c>
      <c r="O51">
        <v>115</v>
      </c>
      <c r="P51">
        <v>25</v>
      </c>
      <c r="Q51">
        <v>73</v>
      </c>
      <c r="R51">
        <v>99</v>
      </c>
      <c r="S51">
        <v>462</v>
      </c>
      <c r="T51" t="s">
        <v>813</v>
      </c>
      <c r="U51" t="s">
        <v>180</v>
      </c>
      <c r="V51" t="s">
        <v>256</v>
      </c>
      <c r="W51" t="s">
        <v>257</v>
      </c>
    </row>
    <row r="52" spans="1:23" x14ac:dyDescent="0.25">
      <c r="A52" t="s">
        <v>260</v>
      </c>
      <c r="B52" t="s">
        <v>260</v>
      </c>
      <c r="C52">
        <v>19</v>
      </c>
      <c r="D52" s="4">
        <v>45</v>
      </c>
      <c r="E52">
        <v>200</v>
      </c>
      <c r="F52">
        <v>150</v>
      </c>
      <c r="G52">
        <v>0</v>
      </c>
      <c r="H52">
        <v>0</v>
      </c>
      <c r="I52">
        <v>0</v>
      </c>
      <c r="J52">
        <v>0</v>
      </c>
      <c r="K52">
        <v>57</v>
      </c>
      <c r="L52">
        <v>43</v>
      </c>
      <c r="M52">
        <v>0</v>
      </c>
      <c r="N52">
        <v>0</v>
      </c>
      <c r="O52">
        <v>90</v>
      </c>
      <c r="P52">
        <v>38</v>
      </c>
      <c r="Q52">
        <v>59</v>
      </c>
      <c r="R52">
        <v>63</v>
      </c>
      <c r="S52">
        <v>350</v>
      </c>
      <c r="T52" t="s">
        <v>813</v>
      </c>
      <c r="U52" t="s">
        <v>180</v>
      </c>
      <c r="V52" t="s">
        <v>256</v>
      </c>
      <c r="W52" t="s">
        <v>261</v>
      </c>
    </row>
    <row r="53" spans="1:23" x14ac:dyDescent="0.25">
      <c r="A53" t="s">
        <v>262</v>
      </c>
      <c r="B53" t="s">
        <v>262</v>
      </c>
      <c r="C53">
        <v>4</v>
      </c>
      <c r="D53" s="4">
        <v>20</v>
      </c>
      <c r="E53">
        <v>113</v>
      </c>
      <c r="F53">
        <v>70</v>
      </c>
      <c r="G53">
        <v>0</v>
      </c>
      <c r="H53">
        <v>0</v>
      </c>
      <c r="I53">
        <v>0</v>
      </c>
      <c r="J53">
        <v>0</v>
      </c>
      <c r="K53">
        <v>27</v>
      </c>
      <c r="L53">
        <v>23</v>
      </c>
      <c r="M53">
        <v>0</v>
      </c>
      <c r="N53">
        <v>0</v>
      </c>
      <c r="O53">
        <v>36</v>
      </c>
      <c r="P53">
        <v>24</v>
      </c>
      <c r="Q53">
        <v>39</v>
      </c>
      <c r="R53">
        <v>8</v>
      </c>
      <c r="S53">
        <v>157</v>
      </c>
      <c r="T53" t="s">
        <v>813</v>
      </c>
      <c r="U53" t="s">
        <v>180</v>
      </c>
      <c r="V53" t="s">
        <v>256</v>
      </c>
      <c r="W53" t="s">
        <v>263</v>
      </c>
    </row>
    <row r="54" spans="1:23" x14ac:dyDescent="0.25">
      <c r="A54" t="s">
        <v>264</v>
      </c>
      <c r="B54" t="s">
        <v>264</v>
      </c>
      <c r="C54">
        <v>187.5</v>
      </c>
      <c r="D54" s="4">
        <v>225</v>
      </c>
      <c r="E54">
        <v>977</v>
      </c>
      <c r="F54">
        <v>800</v>
      </c>
      <c r="G54">
        <v>155</v>
      </c>
      <c r="H54">
        <v>208</v>
      </c>
      <c r="I54">
        <v>151</v>
      </c>
      <c r="J54">
        <v>119</v>
      </c>
      <c r="K54">
        <v>362</v>
      </c>
      <c r="L54">
        <v>83</v>
      </c>
      <c r="M54">
        <v>268</v>
      </c>
      <c r="N54">
        <v>149</v>
      </c>
      <c r="O54">
        <v>333</v>
      </c>
      <c r="P54">
        <v>167</v>
      </c>
      <c r="Q54">
        <v>295</v>
      </c>
      <c r="R54">
        <v>428</v>
      </c>
      <c r="S54">
        <v>2718</v>
      </c>
      <c r="T54" t="s">
        <v>813</v>
      </c>
      <c r="U54" t="s">
        <v>180</v>
      </c>
      <c r="V54" t="s">
        <v>256</v>
      </c>
      <c r="W54" t="s">
        <v>265</v>
      </c>
    </row>
    <row r="55" spans="1:23" x14ac:dyDescent="0.25">
      <c r="A55" t="s">
        <v>266</v>
      </c>
      <c r="B55" t="s">
        <v>266</v>
      </c>
      <c r="C55">
        <v>130.5</v>
      </c>
      <c r="D55" s="4">
        <v>180</v>
      </c>
      <c r="E55">
        <v>742</v>
      </c>
      <c r="F55">
        <v>650</v>
      </c>
      <c r="G55">
        <v>53</v>
      </c>
      <c r="H55">
        <v>154</v>
      </c>
      <c r="I55">
        <v>107</v>
      </c>
      <c r="J55">
        <v>206</v>
      </c>
      <c r="K55">
        <v>291</v>
      </c>
      <c r="L55">
        <v>58</v>
      </c>
      <c r="M55">
        <v>77</v>
      </c>
      <c r="N55">
        <v>88</v>
      </c>
      <c r="O55">
        <v>369</v>
      </c>
      <c r="P55">
        <v>208</v>
      </c>
      <c r="Q55">
        <v>72</v>
      </c>
      <c r="R55">
        <v>458</v>
      </c>
      <c r="S55">
        <v>2141</v>
      </c>
      <c r="T55" t="s">
        <v>813</v>
      </c>
      <c r="U55" t="s">
        <v>180</v>
      </c>
      <c r="V55" t="s">
        <v>256</v>
      </c>
      <c r="W55" t="s">
        <v>267</v>
      </c>
    </row>
    <row r="56" spans="1:23" x14ac:dyDescent="0.25">
      <c r="A56" t="s">
        <v>268</v>
      </c>
      <c r="B56" t="s">
        <v>268</v>
      </c>
      <c r="C56">
        <v>45.5</v>
      </c>
      <c r="D56" s="4">
        <v>65</v>
      </c>
      <c r="E56">
        <v>350</v>
      </c>
      <c r="F56">
        <v>350</v>
      </c>
      <c r="G56">
        <v>80</v>
      </c>
      <c r="H56">
        <v>57</v>
      </c>
      <c r="I56">
        <v>67</v>
      </c>
      <c r="J56">
        <v>17</v>
      </c>
      <c r="K56">
        <v>124</v>
      </c>
      <c r="L56">
        <v>40</v>
      </c>
      <c r="M56">
        <v>59</v>
      </c>
      <c r="N56">
        <v>51</v>
      </c>
      <c r="O56">
        <v>7</v>
      </c>
      <c r="P56">
        <v>0</v>
      </c>
      <c r="Q56">
        <v>0</v>
      </c>
      <c r="R56">
        <v>0</v>
      </c>
      <c r="S56">
        <v>502</v>
      </c>
      <c r="T56" t="s">
        <v>813</v>
      </c>
      <c r="U56" t="s">
        <v>180</v>
      </c>
      <c r="V56" t="s">
        <v>256</v>
      </c>
      <c r="W56" t="s">
        <v>269</v>
      </c>
    </row>
    <row r="57" spans="1:23" x14ac:dyDescent="0.25">
      <c r="A57" t="s">
        <v>270</v>
      </c>
      <c r="B57" t="s">
        <v>270</v>
      </c>
      <c r="C57">
        <v>275.5</v>
      </c>
      <c r="D57" s="4">
        <v>305</v>
      </c>
      <c r="E57">
        <v>1595</v>
      </c>
      <c r="F57">
        <v>1150</v>
      </c>
      <c r="G57">
        <v>206</v>
      </c>
      <c r="H57">
        <v>368</v>
      </c>
      <c r="I57">
        <v>253</v>
      </c>
      <c r="J57">
        <v>224</v>
      </c>
      <c r="K57">
        <v>236</v>
      </c>
      <c r="L57">
        <v>217</v>
      </c>
      <c r="M57">
        <v>298</v>
      </c>
      <c r="N57">
        <v>359</v>
      </c>
      <c r="O57">
        <v>405</v>
      </c>
      <c r="P57">
        <v>171</v>
      </c>
      <c r="Q57">
        <v>540</v>
      </c>
      <c r="R57">
        <v>415</v>
      </c>
      <c r="S57">
        <v>3692</v>
      </c>
      <c r="T57" t="s">
        <v>813</v>
      </c>
      <c r="U57" t="s">
        <v>180</v>
      </c>
      <c r="V57" t="s">
        <v>256</v>
      </c>
      <c r="W57" t="s">
        <v>271</v>
      </c>
    </row>
    <row r="58" spans="1:23" x14ac:dyDescent="0.25">
      <c r="A58" t="s">
        <v>272</v>
      </c>
      <c r="B58" t="s">
        <v>272</v>
      </c>
      <c r="C58">
        <v>0</v>
      </c>
      <c r="D58" s="3">
        <v>0</v>
      </c>
      <c r="E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813</v>
      </c>
      <c r="U58" t="s">
        <v>180</v>
      </c>
      <c r="V58" t="s">
        <v>256</v>
      </c>
      <c r="W58" t="s">
        <v>273</v>
      </c>
    </row>
    <row r="59" spans="1:23" x14ac:dyDescent="0.25">
      <c r="A59" t="s">
        <v>274</v>
      </c>
      <c r="B59" t="s">
        <v>274</v>
      </c>
      <c r="C59">
        <v>308.5</v>
      </c>
      <c r="D59" s="4">
        <v>380</v>
      </c>
      <c r="E59">
        <v>1526</v>
      </c>
      <c r="F59">
        <v>1250</v>
      </c>
      <c r="G59">
        <v>0</v>
      </c>
      <c r="H59">
        <v>0</v>
      </c>
      <c r="I59">
        <v>898</v>
      </c>
      <c r="J59">
        <v>332</v>
      </c>
      <c r="K59">
        <v>284</v>
      </c>
      <c r="L59">
        <v>241</v>
      </c>
      <c r="M59">
        <v>283</v>
      </c>
      <c r="N59">
        <v>297</v>
      </c>
      <c r="O59">
        <v>336</v>
      </c>
      <c r="P59">
        <v>320</v>
      </c>
      <c r="Q59">
        <v>395</v>
      </c>
      <c r="R59">
        <v>424</v>
      </c>
      <c r="S59">
        <v>3810</v>
      </c>
      <c r="T59" t="s">
        <v>813</v>
      </c>
      <c r="U59" t="s">
        <v>180</v>
      </c>
      <c r="V59" t="s">
        <v>256</v>
      </c>
      <c r="W59" t="s">
        <v>275</v>
      </c>
    </row>
    <row r="60" spans="1:23" x14ac:dyDescent="0.25">
      <c r="A60" t="s">
        <v>276</v>
      </c>
      <c r="B60" t="s">
        <v>276</v>
      </c>
      <c r="C60">
        <v>0</v>
      </c>
      <c r="D60" s="3">
        <v>0</v>
      </c>
      <c r="E60">
        <v>5</v>
      </c>
      <c r="G60">
        <v>1</v>
      </c>
      <c r="H60">
        <v>3</v>
      </c>
      <c r="I60">
        <v>0</v>
      </c>
      <c r="J60">
        <v>0</v>
      </c>
      <c r="K60">
        <v>1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6</v>
      </c>
      <c r="T60" t="s">
        <v>813</v>
      </c>
      <c r="U60" t="s">
        <v>180</v>
      </c>
      <c r="V60" t="s">
        <v>256</v>
      </c>
      <c r="W60" t="s">
        <v>277</v>
      </c>
    </row>
    <row r="61" spans="1:23" x14ac:dyDescent="0.25">
      <c r="A61" t="s">
        <v>278</v>
      </c>
      <c r="B61" t="s">
        <v>278</v>
      </c>
      <c r="C61">
        <v>117.5</v>
      </c>
      <c r="D61" s="4">
        <v>130</v>
      </c>
      <c r="E61">
        <v>755</v>
      </c>
      <c r="F61">
        <v>750</v>
      </c>
      <c r="G61">
        <v>84</v>
      </c>
      <c r="H61">
        <v>42</v>
      </c>
      <c r="I61">
        <v>224</v>
      </c>
      <c r="J61">
        <v>118</v>
      </c>
      <c r="K61">
        <v>78</v>
      </c>
      <c r="L61">
        <v>169</v>
      </c>
      <c r="M61">
        <v>67</v>
      </c>
      <c r="N61">
        <v>99</v>
      </c>
      <c r="O61">
        <v>121</v>
      </c>
      <c r="P61">
        <v>117</v>
      </c>
      <c r="Q61">
        <v>247</v>
      </c>
      <c r="R61">
        <v>175</v>
      </c>
      <c r="S61">
        <v>1541</v>
      </c>
      <c r="T61" t="s">
        <v>813</v>
      </c>
      <c r="U61" t="s">
        <v>180</v>
      </c>
      <c r="V61" t="s">
        <v>256</v>
      </c>
      <c r="W61" t="s">
        <v>279</v>
      </c>
    </row>
    <row r="62" spans="1:23" x14ac:dyDescent="0.25">
      <c r="A62" t="s">
        <v>280</v>
      </c>
      <c r="B62" t="s">
        <v>280</v>
      </c>
      <c r="C62">
        <v>3.5</v>
      </c>
      <c r="D62" s="4">
        <v>8</v>
      </c>
      <c r="E62">
        <v>50</v>
      </c>
      <c r="F62">
        <v>30</v>
      </c>
      <c r="G62">
        <v>1</v>
      </c>
      <c r="H62">
        <v>2</v>
      </c>
      <c r="I62">
        <v>19</v>
      </c>
      <c r="J62">
        <v>3</v>
      </c>
      <c r="K62">
        <v>4</v>
      </c>
      <c r="L62">
        <v>2</v>
      </c>
      <c r="M62">
        <v>13</v>
      </c>
      <c r="N62">
        <v>2</v>
      </c>
      <c r="O62">
        <v>12</v>
      </c>
      <c r="P62">
        <v>13</v>
      </c>
      <c r="Q62">
        <v>0</v>
      </c>
      <c r="R62">
        <v>16</v>
      </c>
      <c r="S62">
        <v>87</v>
      </c>
      <c r="T62" t="s">
        <v>813</v>
      </c>
      <c r="U62" t="s">
        <v>180</v>
      </c>
      <c r="V62" t="s">
        <v>281</v>
      </c>
      <c r="W62" t="s">
        <v>282</v>
      </c>
    </row>
    <row r="63" spans="1:23" x14ac:dyDescent="0.25">
      <c r="A63" t="s">
        <v>283</v>
      </c>
      <c r="B63" t="s">
        <v>283</v>
      </c>
      <c r="C63">
        <v>5.5</v>
      </c>
      <c r="D63" s="4">
        <v>6.3</v>
      </c>
      <c r="E63">
        <v>24</v>
      </c>
      <c r="G63">
        <v>3</v>
      </c>
      <c r="H63">
        <v>0</v>
      </c>
      <c r="I63">
        <v>9</v>
      </c>
      <c r="J63">
        <v>8</v>
      </c>
      <c r="K63">
        <v>6</v>
      </c>
      <c r="L63">
        <v>3</v>
      </c>
      <c r="M63">
        <v>15</v>
      </c>
      <c r="N63">
        <v>8</v>
      </c>
      <c r="O63">
        <v>2</v>
      </c>
      <c r="P63">
        <v>5</v>
      </c>
      <c r="Q63">
        <v>5</v>
      </c>
      <c r="R63">
        <v>11</v>
      </c>
      <c r="S63">
        <v>75</v>
      </c>
      <c r="T63" t="s">
        <v>813</v>
      </c>
      <c r="U63" t="s">
        <v>180</v>
      </c>
      <c r="V63" t="s">
        <v>281</v>
      </c>
      <c r="W63" t="s">
        <v>284</v>
      </c>
    </row>
    <row r="64" spans="1:23" x14ac:dyDescent="0.25">
      <c r="A64" t="s">
        <v>293</v>
      </c>
      <c r="B64" t="s">
        <v>293</v>
      </c>
      <c r="C64">
        <v>10.5</v>
      </c>
      <c r="D64" s="4">
        <v>12.2</v>
      </c>
      <c r="E64">
        <v>68</v>
      </c>
      <c r="F64">
        <v>20</v>
      </c>
      <c r="G64">
        <v>31</v>
      </c>
      <c r="H64">
        <v>4</v>
      </c>
      <c r="I64">
        <v>14</v>
      </c>
      <c r="J64">
        <v>3</v>
      </c>
      <c r="K64">
        <v>10</v>
      </c>
      <c r="L64">
        <v>5</v>
      </c>
      <c r="M64">
        <v>27</v>
      </c>
      <c r="N64">
        <v>9</v>
      </c>
      <c r="O64">
        <v>15</v>
      </c>
      <c r="P64">
        <v>6</v>
      </c>
      <c r="Q64">
        <v>11</v>
      </c>
      <c r="R64">
        <v>11</v>
      </c>
      <c r="S64">
        <v>146</v>
      </c>
      <c r="T64" t="s">
        <v>813</v>
      </c>
      <c r="U64" t="s">
        <v>294</v>
      </c>
      <c r="V64" t="s">
        <v>295</v>
      </c>
      <c r="W64" t="s">
        <v>296</v>
      </c>
    </row>
    <row r="65" spans="1:23" x14ac:dyDescent="0.25">
      <c r="A65" t="s">
        <v>297</v>
      </c>
      <c r="B65" t="s">
        <v>297</v>
      </c>
      <c r="C65">
        <v>1</v>
      </c>
      <c r="D65" s="4">
        <v>1.5</v>
      </c>
      <c r="E65">
        <v>14</v>
      </c>
      <c r="F65">
        <v>5</v>
      </c>
      <c r="G65">
        <v>0</v>
      </c>
      <c r="H65">
        <v>0</v>
      </c>
      <c r="I65">
        <v>7</v>
      </c>
      <c r="J65">
        <v>1</v>
      </c>
      <c r="K65">
        <v>2</v>
      </c>
      <c r="L65">
        <v>3</v>
      </c>
      <c r="M65">
        <v>2</v>
      </c>
      <c r="N65">
        <v>0</v>
      </c>
      <c r="O65">
        <v>1</v>
      </c>
      <c r="P65">
        <v>2</v>
      </c>
      <c r="Q65">
        <v>0</v>
      </c>
      <c r="R65">
        <v>0</v>
      </c>
      <c r="S65">
        <v>18</v>
      </c>
      <c r="T65" t="s">
        <v>813</v>
      </c>
      <c r="U65" t="s">
        <v>294</v>
      </c>
      <c r="V65" t="s">
        <v>295</v>
      </c>
      <c r="W65" t="s">
        <v>298</v>
      </c>
    </row>
    <row r="66" spans="1:23" x14ac:dyDescent="0.25">
      <c r="A66" t="s">
        <v>307</v>
      </c>
      <c r="B66" t="s">
        <v>307</v>
      </c>
      <c r="C66">
        <v>17</v>
      </c>
      <c r="D66" s="4">
        <v>40</v>
      </c>
      <c r="E66">
        <v>206</v>
      </c>
      <c r="F66">
        <v>50</v>
      </c>
      <c r="G66">
        <v>90</v>
      </c>
      <c r="H66">
        <v>48</v>
      </c>
      <c r="I66">
        <v>12</v>
      </c>
      <c r="J66">
        <v>0</v>
      </c>
      <c r="K66">
        <v>153</v>
      </c>
      <c r="L66">
        <v>20</v>
      </c>
      <c r="M66">
        <v>14</v>
      </c>
      <c r="N66">
        <v>13</v>
      </c>
      <c r="O66">
        <v>21</v>
      </c>
      <c r="P66">
        <v>57</v>
      </c>
      <c r="Q66">
        <v>14</v>
      </c>
      <c r="R66">
        <v>2</v>
      </c>
      <c r="S66">
        <v>444</v>
      </c>
      <c r="T66" t="s">
        <v>813</v>
      </c>
      <c r="U66" t="s">
        <v>294</v>
      </c>
      <c r="V66" t="s">
        <v>308</v>
      </c>
      <c r="W66" t="s">
        <v>309</v>
      </c>
    </row>
    <row r="67" spans="1:23" x14ac:dyDescent="0.25">
      <c r="A67" t="s">
        <v>310</v>
      </c>
      <c r="B67" t="s">
        <v>310</v>
      </c>
      <c r="C67">
        <v>0</v>
      </c>
      <c r="D67" s="4">
        <v>1.6</v>
      </c>
      <c r="E67">
        <v>30</v>
      </c>
      <c r="G67">
        <v>0</v>
      </c>
      <c r="H67">
        <v>5</v>
      </c>
      <c r="I67">
        <v>5</v>
      </c>
      <c r="J67">
        <v>0</v>
      </c>
      <c r="K67">
        <v>5</v>
      </c>
      <c r="L67">
        <v>0</v>
      </c>
      <c r="M67">
        <v>0</v>
      </c>
      <c r="N67">
        <v>0</v>
      </c>
      <c r="O67">
        <v>5</v>
      </c>
      <c r="P67">
        <v>0</v>
      </c>
      <c r="Q67">
        <v>-1</v>
      </c>
      <c r="R67">
        <v>0</v>
      </c>
      <c r="S67">
        <v>19</v>
      </c>
      <c r="T67" t="s">
        <v>813</v>
      </c>
      <c r="U67" t="s">
        <v>294</v>
      </c>
      <c r="V67" t="s">
        <v>308</v>
      </c>
      <c r="W67" t="s">
        <v>311</v>
      </c>
    </row>
    <row r="68" spans="1:23" x14ac:dyDescent="0.25">
      <c r="A68" t="s">
        <v>362</v>
      </c>
      <c r="B68" t="s">
        <v>362</v>
      </c>
      <c r="C68">
        <v>50.5</v>
      </c>
      <c r="D68" s="4">
        <v>54.2</v>
      </c>
      <c r="E68">
        <v>316</v>
      </c>
      <c r="F68">
        <v>100</v>
      </c>
      <c r="G68">
        <v>126</v>
      </c>
      <c r="H68">
        <v>27</v>
      </c>
      <c r="I68">
        <v>76</v>
      </c>
      <c r="J68">
        <v>32</v>
      </c>
      <c r="K68">
        <v>74</v>
      </c>
      <c r="L68">
        <v>52</v>
      </c>
      <c r="M68">
        <v>70</v>
      </c>
      <c r="N68">
        <v>49</v>
      </c>
      <c r="O68">
        <v>57</v>
      </c>
      <c r="P68">
        <v>21</v>
      </c>
      <c r="Q68">
        <v>37</v>
      </c>
      <c r="R68">
        <v>29</v>
      </c>
      <c r="S68">
        <v>650</v>
      </c>
      <c r="T68" t="s">
        <v>813</v>
      </c>
      <c r="U68" t="s">
        <v>363</v>
      </c>
      <c r="V68" t="s">
        <v>364</v>
      </c>
      <c r="W68" t="s">
        <v>365</v>
      </c>
    </row>
    <row r="69" spans="1:23" x14ac:dyDescent="0.25">
      <c r="A69" t="s">
        <v>366</v>
      </c>
      <c r="B69" t="s">
        <v>366</v>
      </c>
      <c r="C69">
        <v>0</v>
      </c>
      <c r="D69" s="4">
        <v>5</v>
      </c>
      <c r="E69">
        <v>3</v>
      </c>
      <c r="F69">
        <v>3</v>
      </c>
      <c r="G69">
        <v>0</v>
      </c>
      <c r="H69">
        <v>0</v>
      </c>
      <c r="I69">
        <v>4</v>
      </c>
      <c r="J69">
        <v>0</v>
      </c>
      <c r="K69">
        <v>10</v>
      </c>
      <c r="L69">
        <v>0</v>
      </c>
      <c r="M69">
        <v>12</v>
      </c>
      <c r="N69">
        <v>0</v>
      </c>
      <c r="O69">
        <v>0</v>
      </c>
      <c r="P69">
        <v>0</v>
      </c>
      <c r="Q69">
        <v>25</v>
      </c>
      <c r="R69">
        <v>0</v>
      </c>
      <c r="S69">
        <v>51</v>
      </c>
      <c r="T69" t="s">
        <v>813</v>
      </c>
      <c r="U69" t="s">
        <v>363</v>
      </c>
      <c r="V69" t="s">
        <v>364</v>
      </c>
      <c r="W69" t="s">
        <v>367</v>
      </c>
    </row>
    <row r="70" spans="1:23" x14ac:dyDescent="0.25">
      <c r="A70" t="s">
        <v>368</v>
      </c>
      <c r="B70" t="s">
        <v>368</v>
      </c>
      <c r="C70">
        <v>64</v>
      </c>
      <c r="D70" s="3">
        <v>64</v>
      </c>
      <c r="E70">
        <v>319</v>
      </c>
      <c r="F70">
        <v>150</v>
      </c>
      <c r="G70">
        <v>69</v>
      </c>
      <c r="H70">
        <v>46</v>
      </c>
      <c r="I70">
        <v>88</v>
      </c>
      <c r="J70">
        <v>62</v>
      </c>
      <c r="K70">
        <v>72</v>
      </c>
      <c r="L70">
        <v>35</v>
      </c>
      <c r="M70">
        <v>86</v>
      </c>
      <c r="N70">
        <v>63</v>
      </c>
      <c r="O70">
        <v>64</v>
      </c>
      <c r="P70">
        <v>80</v>
      </c>
      <c r="Q70">
        <v>49</v>
      </c>
      <c r="R70">
        <v>64</v>
      </c>
      <c r="S70">
        <v>778</v>
      </c>
      <c r="T70" t="s">
        <v>813</v>
      </c>
      <c r="U70" t="s">
        <v>363</v>
      </c>
      <c r="V70" t="s">
        <v>364</v>
      </c>
      <c r="W70" t="s">
        <v>369</v>
      </c>
    </row>
    <row r="71" spans="1:23" x14ac:dyDescent="0.25">
      <c r="A71" t="s">
        <v>372</v>
      </c>
      <c r="B71" t="s">
        <v>372</v>
      </c>
      <c r="C71">
        <v>0</v>
      </c>
      <c r="D71" s="4">
        <v>3</v>
      </c>
      <c r="E71">
        <v>60</v>
      </c>
      <c r="F71">
        <v>60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16</v>
      </c>
      <c r="N71">
        <v>0</v>
      </c>
      <c r="O71">
        <v>0</v>
      </c>
      <c r="P71">
        <v>0</v>
      </c>
      <c r="Q71">
        <v>20</v>
      </c>
      <c r="R71">
        <v>0</v>
      </c>
      <c r="S71">
        <v>37</v>
      </c>
      <c r="T71" t="s">
        <v>813</v>
      </c>
      <c r="U71" t="s">
        <v>363</v>
      </c>
      <c r="V71" t="s">
        <v>364</v>
      </c>
      <c r="W71" t="s">
        <v>373</v>
      </c>
    </row>
    <row r="72" spans="1:23" x14ac:dyDescent="0.25">
      <c r="A72" t="s">
        <v>374</v>
      </c>
      <c r="B72" t="s">
        <v>374</v>
      </c>
      <c r="C72">
        <v>0.5</v>
      </c>
      <c r="D72" s="4">
        <v>5</v>
      </c>
      <c r="E72">
        <v>62</v>
      </c>
      <c r="G72">
        <v>0</v>
      </c>
      <c r="H72">
        <v>0</v>
      </c>
      <c r="I72">
        <v>0</v>
      </c>
      <c r="J72">
        <v>0</v>
      </c>
      <c r="K72">
        <v>2</v>
      </c>
      <c r="L72">
        <v>3</v>
      </c>
      <c r="M72">
        <v>15</v>
      </c>
      <c r="N72">
        <v>1</v>
      </c>
      <c r="O72">
        <v>0</v>
      </c>
      <c r="P72">
        <v>16</v>
      </c>
      <c r="Q72">
        <v>1</v>
      </c>
      <c r="R72">
        <v>0</v>
      </c>
      <c r="S72">
        <v>38</v>
      </c>
      <c r="T72" t="s">
        <v>813</v>
      </c>
      <c r="U72" t="s">
        <v>363</v>
      </c>
      <c r="V72" t="s">
        <v>364</v>
      </c>
      <c r="W72" t="s">
        <v>375</v>
      </c>
    </row>
    <row r="73" spans="1:23" x14ac:dyDescent="0.25">
      <c r="A73" t="s">
        <v>378</v>
      </c>
      <c r="B73" t="s">
        <v>378</v>
      </c>
      <c r="C73">
        <v>0.5</v>
      </c>
      <c r="D73" s="4">
        <v>5</v>
      </c>
      <c r="E73">
        <v>116</v>
      </c>
      <c r="G73">
        <v>0</v>
      </c>
      <c r="H73">
        <v>0</v>
      </c>
      <c r="I73">
        <v>0</v>
      </c>
      <c r="J73">
        <v>0</v>
      </c>
      <c r="K73">
        <v>2</v>
      </c>
      <c r="L73">
        <v>2</v>
      </c>
      <c r="M73">
        <v>11</v>
      </c>
      <c r="N73">
        <v>0</v>
      </c>
      <c r="O73">
        <v>1</v>
      </c>
      <c r="P73">
        <v>15</v>
      </c>
      <c r="Q73">
        <v>0</v>
      </c>
      <c r="R73">
        <v>3</v>
      </c>
      <c r="S73">
        <v>34</v>
      </c>
      <c r="T73" t="s">
        <v>813</v>
      </c>
      <c r="U73" t="s">
        <v>363</v>
      </c>
      <c r="V73" t="s">
        <v>364</v>
      </c>
      <c r="W73" t="s">
        <v>379</v>
      </c>
    </row>
    <row r="74" spans="1:23" x14ac:dyDescent="0.25">
      <c r="A74" t="s">
        <v>382</v>
      </c>
      <c r="B74" t="s">
        <v>382</v>
      </c>
      <c r="C74">
        <v>14</v>
      </c>
      <c r="D74" s="4">
        <v>16</v>
      </c>
      <c r="E74">
        <v>91</v>
      </c>
      <c r="F74">
        <v>70</v>
      </c>
      <c r="G74">
        <v>38</v>
      </c>
      <c r="H74">
        <v>13</v>
      </c>
      <c r="I74">
        <v>10</v>
      </c>
      <c r="J74">
        <v>12</v>
      </c>
      <c r="K74">
        <v>16</v>
      </c>
      <c r="L74">
        <v>7</v>
      </c>
      <c r="M74">
        <v>20</v>
      </c>
      <c r="N74">
        <v>6</v>
      </c>
      <c r="O74">
        <v>15</v>
      </c>
      <c r="P74">
        <v>14</v>
      </c>
      <c r="Q74">
        <v>14</v>
      </c>
      <c r="R74">
        <v>29</v>
      </c>
      <c r="S74">
        <v>194</v>
      </c>
      <c r="T74" t="s">
        <v>813</v>
      </c>
      <c r="U74" t="s">
        <v>363</v>
      </c>
      <c r="V74" t="s">
        <v>364</v>
      </c>
      <c r="W74" t="s">
        <v>383</v>
      </c>
    </row>
    <row r="75" spans="1:23" x14ac:dyDescent="0.25">
      <c r="A75" t="s">
        <v>386</v>
      </c>
      <c r="B75" t="s">
        <v>386</v>
      </c>
      <c r="C75">
        <v>26</v>
      </c>
      <c r="D75" s="4">
        <v>25</v>
      </c>
      <c r="E75">
        <v>138</v>
      </c>
      <c r="F75">
        <v>100</v>
      </c>
      <c r="G75">
        <v>25</v>
      </c>
      <c r="H75">
        <v>7</v>
      </c>
      <c r="I75">
        <v>6</v>
      </c>
      <c r="J75">
        <v>30</v>
      </c>
      <c r="K75">
        <v>34</v>
      </c>
      <c r="L75">
        <v>7</v>
      </c>
      <c r="M75">
        <v>45</v>
      </c>
      <c r="N75">
        <v>13</v>
      </c>
      <c r="O75">
        <v>40</v>
      </c>
      <c r="P75">
        <v>27</v>
      </c>
      <c r="Q75">
        <v>43</v>
      </c>
      <c r="R75">
        <v>16</v>
      </c>
      <c r="S75">
        <v>293</v>
      </c>
      <c r="T75" t="s">
        <v>813</v>
      </c>
      <c r="U75" t="s">
        <v>363</v>
      </c>
      <c r="V75" t="s">
        <v>364</v>
      </c>
      <c r="W75" t="s">
        <v>387</v>
      </c>
    </row>
    <row r="76" spans="1:23" x14ac:dyDescent="0.25">
      <c r="A76" t="s">
        <v>459</v>
      </c>
      <c r="B76" t="s">
        <v>459</v>
      </c>
      <c r="C76">
        <v>2</v>
      </c>
      <c r="D76" s="3">
        <v>2</v>
      </c>
      <c r="E76">
        <v>12</v>
      </c>
      <c r="F76">
        <v>10</v>
      </c>
      <c r="G76">
        <v>0</v>
      </c>
      <c r="H76">
        <v>0</v>
      </c>
      <c r="I76">
        <v>0</v>
      </c>
      <c r="J76">
        <v>2</v>
      </c>
      <c r="K76">
        <v>5</v>
      </c>
      <c r="L76">
        <v>4</v>
      </c>
      <c r="M76">
        <v>0</v>
      </c>
      <c r="N76">
        <v>4</v>
      </c>
      <c r="O76">
        <v>2</v>
      </c>
      <c r="P76">
        <v>1</v>
      </c>
      <c r="Q76">
        <v>5</v>
      </c>
      <c r="R76">
        <v>3</v>
      </c>
      <c r="S76">
        <v>26</v>
      </c>
      <c r="T76" t="s">
        <v>813</v>
      </c>
      <c r="U76" t="s">
        <v>460</v>
      </c>
      <c r="V76" t="s">
        <v>461</v>
      </c>
      <c r="W76" t="s">
        <v>462</v>
      </c>
    </row>
    <row r="77" spans="1:23" x14ac:dyDescent="0.25">
      <c r="A77" t="s">
        <v>463</v>
      </c>
      <c r="B77" t="s">
        <v>463</v>
      </c>
      <c r="C77">
        <v>0.5</v>
      </c>
      <c r="D77" s="4">
        <v>1.3</v>
      </c>
      <c r="E77">
        <v>10</v>
      </c>
      <c r="F77">
        <v>10</v>
      </c>
      <c r="G77">
        <v>3</v>
      </c>
      <c r="H77">
        <v>1</v>
      </c>
      <c r="I77">
        <v>0</v>
      </c>
      <c r="J77">
        <v>3</v>
      </c>
      <c r="K77">
        <v>1</v>
      </c>
      <c r="L77">
        <v>0</v>
      </c>
      <c r="M77">
        <v>0</v>
      </c>
      <c r="N77">
        <v>0</v>
      </c>
      <c r="O77">
        <v>1</v>
      </c>
      <c r="P77">
        <v>0</v>
      </c>
      <c r="Q77">
        <v>6</v>
      </c>
      <c r="R77">
        <v>0</v>
      </c>
      <c r="S77">
        <v>15</v>
      </c>
      <c r="T77" t="s">
        <v>813</v>
      </c>
      <c r="U77" t="s">
        <v>460</v>
      </c>
      <c r="V77" t="s">
        <v>461</v>
      </c>
      <c r="W77" t="s">
        <v>464</v>
      </c>
    </row>
    <row r="78" spans="1:23" x14ac:dyDescent="0.25">
      <c r="A78" t="s">
        <v>465</v>
      </c>
      <c r="B78" t="s">
        <v>465</v>
      </c>
      <c r="C78">
        <v>9</v>
      </c>
      <c r="D78" s="3">
        <v>9</v>
      </c>
      <c r="E78">
        <v>49</v>
      </c>
      <c r="F78">
        <v>10</v>
      </c>
      <c r="G78">
        <v>3</v>
      </c>
      <c r="H78">
        <v>15</v>
      </c>
      <c r="I78">
        <v>9</v>
      </c>
      <c r="J78">
        <v>1</v>
      </c>
      <c r="K78">
        <v>7</v>
      </c>
      <c r="L78">
        <v>12</v>
      </c>
      <c r="M78">
        <v>4</v>
      </c>
      <c r="N78">
        <v>19</v>
      </c>
      <c r="O78">
        <v>11</v>
      </c>
      <c r="P78">
        <v>9</v>
      </c>
      <c r="Q78">
        <v>0</v>
      </c>
      <c r="R78">
        <v>11</v>
      </c>
      <c r="S78">
        <v>101</v>
      </c>
      <c r="T78" t="s">
        <v>813</v>
      </c>
      <c r="U78" t="s">
        <v>460</v>
      </c>
      <c r="V78" t="s">
        <v>466</v>
      </c>
      <c r="W78" t="s">
        <v>467</v>
      </c>
    </row>
    <row r="79" spans="1:23" x14ac:dyDescent="0.25">
      <c r="A79" t="s">
        <v>468</v>
      </c>
      <c r="B79" t="s">
        <v>468</v>
      </c>
      <c r="C79">
        <v>3.5</v>
      </c>
      <c r="D79" s="4">
        <v>5</v>
      </c>
      <c r="E79">
        <v>34</v>
      </c>
      <c r="G79">
        <v>0</v>
      </c>
      <c r="H79">
        <v>2</v>
      </c>
      <c r="I79">
        <v>6</v>
      </c>
      <c r="J79">
        <v>5</v>
      </c>
      <c r="K79">
        <v>2</v>
      </c>
      <c r="L79">
        <v>2</v>
      </c>
      <c r="M79">
        <v>8</v>
      </c>
      <c r="N79">
        <v>12</v>
      </c>
      <c r="O79">
        <v>10</v>
      </c>
      <c r="P79">
        <v>2</v>
      </c>
      <c r="Q79">
        <v>2</v>
      </c>
      <c r="R79">
        <v>9</v>
      </c>
      <c r="S79">
        <v>60</v>
      </c>
      <c r="T79" t="s">
        <v>813</v>
      </c>
      <c r="U79" t="s">
        <v>460</v>
      </c>
      <c r="V79" t="s">
        <v>466</v>
      </c>
      <c r="W79" t="s">
        <v>469</v>
      </c>
    </row>
    <row r="80" spans="1:23" x14ac:dyDescent="0.25">
      <c r="A80" t="s">
        <v>470</v>
      </c>
      <c r="B80" t="s">
        <v>470</v>
      </c>
      <c r="C80">
        <v>1</v>
      </c>
      <c r="D80" s="4">
        <v>2</v>
      </c>
      <c r="E80">
        <v>20</v>
      </c>
      <c r="F80">
        <v>5</v>
      </c>
      <c r="G80">
        <v>1</v>
      </c>
      <c r="H80">
        <v>0</v>
      </c>
      <c r="I80">
        <v>8</v>
      </c>
      <c r="J80">
        <v>2</v>
      </c>
      <c r="K80">
        <v>0</v>
      </c>
      <c r="L80">
        <v>0</v>
      </c>
      <c r="M80">
        <v>7</v>
      </c>
      <c r="N80">
        <v>2</v>
      </c>
      <c r="O80">
        <v>0</v>
      </c>
      <c r="P80">
        <v>3</v>
      </c>
      <c r="Q80">
        <v>0</v>
      </c>
      <c r="R80">
        <v>1</v>
      </c>
      <c r="S80">
        <v>24</v>
      </c>
      <c r="T80" t="s">
        <v>813</v>
      </c>
      <c r="U80" t="s">
        <v>460</v>
      </c>
      <c r="V80" t="s">
        <v>466</v>
      </c>
      <c r="W80" t="s">
        <v>471</v>
      </c>
    </row>
    <row r="81" spans="1:23" x14ac:dyDescent="0.25">
      <c r="A81" t="s">
        <v>478</v>
      </c>
      <c r="B81" t="s">
        <v>478</v>
      </c>
      <c r="C81">
        <v>1.5</v>
      </c>
      <c r="D81" s="4">
        <v>1.8</v>
      </c>
      <c r="E81">
        <v>12</v>
      </c>
      <c r="F81">
        <v>10</v>
      </c>
      <c r="G81">
        <v>4</v>
      </c>
      <c r="H81">
        <v>3</v>
      </c>
      <c r="I81">
        <v>0</v>
      </c>
      <c r="J81">
        <v>1</v>
      </c>
      <c r="K81">
        <v>1</v>
      </c>
      <c r="L81">
        <v>0</v>
      </c>
      <c r="M81">
        <v>0</v>
      </c>
      <c r="N81">
        <v>3</v>
      </c>
      <c r="O81">
        <v>2</v>
      </c>
      <c r="P81">
        <v>4</v>
      </c>
      <c r="Q81">
        <v>3</v>
      </c>
      <c r="R81">
        <v>0</v>
      </c>
      <c r="S81">
        <v>21</v>
      </c>
      <c r="T81" t="s">
        <v>813</v>
      </c>
      <c r="U81" t="s">
        <v>460</v>
      </c>
      <c r="V81" t="s">
        <v>479</v>
      </c>
      <c r="W81" t="s">
        <v>480</v>
      </c>
    </row>
    <row r="82" spans="1:23" x14ac:dyDescent="0.25">
      <c r="A82" t="s">
        <v>481</v>
      </c>
      <c r="B82" t="s">
        <v>481</v>
      </c>
      <c r="C82">
        <v>0</v>
      </c>
      <c r="D82" s="4">
        <v>0.7</v>
      </c>
      <c r="E82">
        <v>15</v>
      </c>
      <c r="G82">
        <v>0</v>
      </c>
      <c r="H82">
        <v>4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>
        <v>0</v>
      </c>
      <c r="Q82">
        <v>0</v>
      </c>
      <c r="R82">
        <v>2</v>
      </c>
      <c r="S82">
        <v>8</v>
      </c>
      <c r="T82" t="s">
        <v>813</v>
      </c>
      <c r="U82" t="s">
        <v>460</v>
      </c>
      <c r="V82" t="s">
        <v>479</v>
      </c>
      <c r="W82" t="s">
        <v>482</v>
      </c>
    </row>
    <row r="83" spans="1:23" x14ac:dyDescent="0.25">
      <c r="A83" t="s">
        <v>483</v>
      </c>
      <c r="B83" t="s">
        <v>483</v>
      </c>
      <c r="C83">
        <v>0</v>
      </c>
      <c r="D83" s="4">
        <v>0.6</v>
      </c>
      <c r="E83">
        <v>12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4</v>
      </c>
      <c r="N83">
        <v>1</v>
      </c>
      <c r="O83">
        <v>0</v>
      </c>
      <c r="P83">
        <v>1</v>
      </c>
      <c r="Q83">
        <v>0</v>
      </c>
      <c r="R83">
        <v>0</v>
      </c>
      <c r="S83">
        <v>7</v>
      </c>
      <c r="T83" t="s">
        <v>813</v>
      </c>
      <c r="U83" t="s">
        <v>460</v>
      </c>
      <c r="V83" t="s">
        <v>479</v>
      </c>
      <c r="W83" t="s">
        <v>484</v>
      </c>
    </row>
    <row r="84" spans="1:23" x14ac:dyDescent="0.25">
      <c r="A84" t="s">
        <v>491</v>
      </c>
      <c r="B84" t="s">
        <v>491</v>
      </c>
      <c r="C84">
        <v>37.5</v>
      </c>
      <c r="D84" s="4">
        <v>45</v>
      </c>
      <c r="E84">
        <v>219</v>
      </c>
      <c r="F84">
        <v>100</v>
      </c>
      <c r="G84">
        <v>63</v>
      </c>
      <c r="H84">
        <v>77</v>
      </c>
      <c r="I84">
        <v>21</v>
      </c>
      <c r="J84">
        <v>32</v>
      </c>
      <c r="K84">
        <v>88</v>
      </c>
      <c r="L84">
        <v>19</v>
      </c>
      <c r="M84">
        <v>57</v>
      </c>
      <c r="N84">
        <v>16</v>
      </c>
      <c r="O84">
        <v>35</v>
      </c>
      <c r="P84">
        <v>40</v>
      </c>
      <c r="Q84">
        <v>44</v>
      </c>
      <c r="R84">
        <v>16</v>
      </c>
      <c r="S84">
        <v>508</v>
      </c>
      <c r="T84" t="s">
        <v>813</v>
      </c>
      <c r="U84" t="s">
        <v>492</v>
      </c>
      <c r="V84" t="s">
        <v>493</v>
      </c>
      <c r="W84" t="s">
        <v>494</v>
      </c>
    </row>
    <row r="85" spans="1:23" x14ac:dyDescent="0.25">
      <c r="A85" t="s">
        <v>495</v>
      </c>
      <c r="B85" t="s">
        <v>495</v>
      </c>
      <c r="C85">
        <v>14</v>
      </c>
      <c r="D85" s="4">
        <v>18</v>
      </c>
      <c r="E85">
        <v>100</v>
      </c>
      <c r="F85">
        <v>20</v>
      </c>
      <c r="G85">
        <v>10</v>
      </c>
      <c r="H85">
        <v>36</v>
      </c>
      <c r="I85">
        <v>17</v>
      </c>
      <c r="J85">
        <v>28</v>
      </c>
      <c r="K85">
        <v>50</v>
      </c>
      <c r="L85">
        <v>0</v>
      </c>
      <c r="M85">
        <v>17</v>
      </c>
      <c r="N85">
        <v>10</v>
      </c>
      <c r="O85">
        <v>11</v>
      </c>
      <c r="P85">
        <v>21</v>
      </c>
      <c r="Q85">
        <v>1</v>
      </c>
      <c r="R85">
        <v>10</v>
      </c>
      <c r="S85">
        <v>211</v>
      </c>
      <c r="T85" t="s">
        <v>813</v>
      </c>
      <c r="U85" t="s">
        <v>492</v>
      </c>
      <c r="V85" t="s">
        <v>493</v>
      </c>
      <c r="W85" t="s">
        <v>496</v>
      </c>
    </row>
    <row r="86" spans="1:23" x14ac:dyDescent="0.25">
      <c r="A86" t="s">
        <v>497</v>
      </c>
      <c r="B86" t="s">
        <v>497</v>
      </c>
      <c r="C86">
        <v>7</v>
      </c>
      <c r="D86" s="4">
        <v>8.4</v>
      </c>
      <c r="E86">
        <v>39</v>
      </c>
      <c r="G86">
        <v>3</v>
      </c>
      <c r="H86">
        <v>0</v>
      </c>
      <c r="I86">
        <v>5</v>
      </c>
      <c r="J86">
        <v>10</v>
      </c>
      <c r="K86">
        <v>29</v>
      </c>
      <c r="L86">
        <v>6</v>
      </c>
      <c r="M86">
        <v>9</v>
      </c>
      <c r="N86">
        <v>6</v>
      </c>
      <c r="O86">
        <v>12</v>
      </c>
      <c r="P86">
        <v>8</v>
      </c>
      <c r="Q86">
        <v>0</v>
      </c>
      <c r="R86">
        <v>13</v>
      </c>
      <c r="S86">
        <v>101</v>
      </c>
      <c r="T86" t="s">
        <v>813</v>
      </c>
      <c r="U86" t="s">
        <v>492</v>
      </c>
      <c r="V86" t="s">
        <v>493</v>
      </c>
      <c r="W86" t="s">
        <v>498</v>
      </c>
    </row>
    <row r="87" spans="1:23" x14ac:dyDescent="0.25">
      <c r="A87" t="s">
        <v>509</v>
      </c>
      <c r="B87" t="s">
        <v>509</v>
      </c>
      <c r="C87">
        <v>3.5</v>
      </c>
      <c r="D87" s="4">
        <v>4</v>
      </c>
      <c r="E87">
        <v>28</v>
      </c>
      <c r="F87">
        <v>20</v>
      </c>
      <c r="G87">
        <v>0</v>
      </c>
      <c r="H87">
        <v>4</v>
      </c>
      <c r="I87">
        <v>8</v>
      </c>
      <c r="J87">
        <v>11</v>
      </c>
      <c r="K87">
        <v>1</v>
      </c>
      <c r="L87">
        <v>0</v>
      </c>
      <c r="M87">
        <v>5</v>
      </c>
      <c r="N87">
        <v>6</v>
      </c>
      <c r="O87">
        <v>2</v>
      </c>
      <c r="P87">
        <v>0</v>
      </c>
      <c r="Q87">
        <v>7</v>
      </c>
      <c r="R87">
        <v>3</v>
      </c>
      <c r="S87">
        <v>47</v>
      </c>
      <c r="T87" t="s">
        <v>813</v>
      </c>
      <c r="U87" t="s">
        <v>492</v>
      </c>
      <c r="V87" t="s">
        <v>493</v>
      </c>
      <c r="W87" t="s">
        <v>510</v>
      </c>
    </row>
    <row r="88" spans="1:23" x14ac:dyDescent="0.25">
      <c r="A88" t="s">
        <v>513</v>
      </c>
      <c r="B88" t="s">
        <v>513</v>
      </c>
      <c r="C88">
        <v>1</v>
      </c>
      <c r="D88" s="4">
        <v>2</v>
      </c>
      <c r="E88">
        <v>9</v>
      </c>
      <c r="G88">
        <v>0</v>
      </c>
      <c r="H88">
        <v>1</v>
      </c>
      <c r="I88">
        <v>2</v>
      </c>
      <c r="J88">
        <v>6</v>
      </c>
      <c r="K88">
        <v>2</v>
      </c>
      <c r="L88">
        <v>1</v>
      </c>
      <c r="M88">
        <v>1</v>
      </c>
      <c r="N88">
        <v>0</v>
      </c>
      <c r="O88">
        <v>5</v>
      </c>
      <c r="P88">
        <v>1</v>
      </c>
      <c r="Q88">
        <v>0</v>
      </c>
      <c r="R88">
        <v>6</v>
      </c>
      <c r="S88">
        <v>25</v>
      </c>
      <c r="T88" t="s">
        <v>813</v>
      </c>
      <c r="U88" t="s">
        <v>492</v>
      </c>
      <c r="V88" t="s">
        <v>493</v>
      </c>
      <c r="W88" t="s">
        <v>514</v>
      </c>
    </row>
    <row r="89" spans="1:23" x14ac:dyDescent="0.25">
      <c r="A89" t="s">
        <v>515</v>
      </c>
      <c r="B89" t="s">
        <v>515</v>
      </c>
      <c r="C89">
        <v>1</v>
      </c>
      <c r="D89" s="4">
        <v>1.2</v>
      </c>
      <c r="E89">
        <v>13</v>
      </c>
      <c r="F89">
        <v>10</v>
      </c>
      <c r="G89">
        <v>1</v>
      </c>
      <c r="H89">
        <v>0</v>
      </c>
      <c r="I89">
        <v>1</v>
      </c>
      <c r="J89">
        <v>1</v>
      </c>
      <c r="K89">
        <v>3</v>
      </c>
      <c r="L89">
        <v>1</v>
      </c>
      <c r="M89">
        <v>1</v>
      </c>
      <c r="N89">
        <v>1</v>
      </c>
      <c r="O89">
        <v>1</v>
      </c>
      <c r="P89">
        <v>2</v>
      </c>
      <c r="Q89">
        <v>0</v>
      </c>
      <c r="R89">
        <v>2</v>
      </c>
      <c r="S89">
        <v>14</v>
      </c>
      <c r="T89" t="s">
        <v>813</v>
      </c>
      <c r="U89" t="s">
        <v>492</v>
      </c>
      <c r="V89" t="s">
        <v>493</v>
      </c>
      <c r="W89" t="s">
        <v>516</v>
      </c>
    </row>
    <row r="90" spans="1:23" x14ac:dyDescent="0.25">
      <c r="A90" t="s">
        <v>541</v>
      </c>
      <c r="B90" t="s">
        <v>541</v>
      </c>
      <c r="C90">
        <v>9.5</v>
      </c>
      <c r="D90" s="4">
        <v>11</v>
      </c>
      <c r="E90">
        <v>79</v>
      </c>
      <c r="F90">
        <v>70</v>
      </c>
      <c r="G90">
        <v>4</v>
      </c>
      <c r="H90">
        <v>8</v>
      </c>
      <c r="I90">
        <v>2</v>
      </c>
      <c r="J90">
        <v>20</v>
      </c>
      <c r="K90">
        <v>18</v>
      </c>
      <c r="L90">
        <v>13</v>
      </c>
      <c r="M90">
        <v>2</v>
      </c>
      <c r="N90">
        <v>0</v>
      </c>
      <c r="O90">
        <v>11</v>
      </c>
      <c r="P90">
        <v>30</v>
      </c>
      <c r="Q90">
        <v>14</v>
      </c>
      <c r="R90">
        <v>6</v>
      </c>
      <c r="S90">
        <v>128</v>
      </c>
      <c r="T90" t="s">
        <v>813</v>
      </c>
      <c r="U90" t="s">
        <v>492</v>
      </c>
      <c r="V90" t="s">
        <v>542</v>
      </c>
      <c r="W90" t="s">
        <v>543</v>
      </c>
    </row>
    <row r="91" spans="1:23" x14ac:dyDescent="0.25">
      <c r="A91" t="s">
        <v>544</v>
      </c>
      <c r="B91" t="s">
        <v>544</v>
      </c>
      <c r="C91">
        <v>16</v>
      </c>
      <c r="D91" s="3">
        <v>16</v>
      </c>
      <c r="E91">
        <v>90</v>
      </c>
      <c r="F91">
        <v>60</v>
      </c>
      <c r="G91">
        <v>13</v>
      </c>
      <c r="H91">
        <v>25</v>
      </c>
      <c r="I91">
        <v>11</v>
      </c>
      <c r="J91">
        <v>23</v>
      </c>
      <c r="K91">
        <v>20</v>
      </c>
      <c r="L91">
        <v>14</v>
      </c>
      <c r="M91">
        <v>10</v>
      </c>
      <c r="N91">
        <v>7</v>
      </c>
      <c r="O91">
        <v>18</v>
      </c>
      <c r="P91">
        <v>27</v>
      </c>
      <c r="Q91">
        <v>5</v>
      </c>
      <c r="R91">
        <v>24</v>
      </c>
      <c r="S91">
        <v>197</v>
      </c>
      <c r="T91" t="s">
        <v>813</v>
      </c>
      <c r="U91" t="s">
        <v>492</v>
      </c>
      <c r="V91" t="s">
        <v>542</v>
      </c>
      <c r="W91" t="s">
        <v>545</v>
      </c>
    </row>
    <row r="92" spans="1:23" x14ac:dyDescent="0.25">
      <c r="A92" t="s">
        <v>546</v>
      </c>
      <c r="B92" t="s">
        <v>546</v>
      </c>
      <c r="C92">
        <v>9</v>
      </c>
      <c r="D92" s="4">
        <v>10.199999999999999</v>
      </c>
      <c r="E92">
        <v>44</v>
      </c>
      <c r="F92">
        <v>20</v>
      </c>
      <c r="G92">
        <v>16</v>
      </c>
      <c r="H92">
        <v>13</v>
      </c>
      <c r="I92">
        <v>4</v>
      </c>
      <c r="J92">
        <v>9</v>
      </c>
      <c r="K92">
        <v>8</v>
      </c>
      <c r="L92">
        <v>6</v>
      </c>
      <c r="M92">
        <v>22</v>
      </c>
      <c r="N92">
        <v>5</v>
      </c>
      <c r="O92">
        <v>15</v>
      </c>
      <c r="P92">
        <v>5</v>
      </c>
      <c r="Q92">
        <v>9</v>
      </c>
      <c r="R92">
        <v>14</v>
      </c>
      <c r="S92">
        <v>126</v>
      </c>
      <c r="T92" t="s">
        <v>813</v>
      </c>
      <c r="U92" t="s">
        <v>492</v>
      </c>
      <c r="V92" t="s">
        <v>542</v>
      </c>
      <c r="W92" t="s">
        <v>547</v>
      </c>
    </row>
    <row r="93" spans="1:23" x14ac:dyDescent="0.25">
      <c r="A93" t="s">
        <v>548</v>
      </c>
      <c r="B93" t="s">
        <v>548</v>
      </c>
      <c r="C93">
        <v>0.5</v>
      </c>
      <c r="D93" s="4">
        <v>0.8</v>
      </c>
      <c r="E93">
        <v>20</v>
      </c>
      <c r="G93">
        <v>0</v>
      </c>
      <c r="H93">
        <v>1</v>
      </c>
      <c r="I93">
        <v>1</v>
      </c>
      <c r="J93">
        <v>1</v>
      </c>
      <c r="K93">
        <v>2</v>
      </c>
      <c r="L93">
        <v>0</v>
      </c>
      <c r="M93">
        <v>0</v>
      </c>
      <c r="N93">
        <v>0</v>
      </c>
      <c r="O93">
        <v>0</v>
      </c>
      <c r="P93">
        <v>3</v>
      </c>
      <c r="Q93">
        <v>0</v>
      </c>
      <c r="R93">
        <v>2</v>
      </c>
      <c r="S93">
        <v>10</v>
      </c>
      <c r="T93" t="s">
        <v>813</v>
      </c>
      <c r="U93" t="s">
        <v>492</v>
      </c>
      <c r="V93" t="s">
        <v>542</v>
      </c>
      <c r="W93" t="s">
        <v>549</v>
      </c>
    </row>
    <row r="94" spans="1:23" x14ac:dyDescent="0.25">
      <c r="A94" t="s">
        <v>550</v>
      </c>
      <c r="B94" t="s">
        <v>550</v>
      </c>
      <c r="C94">
        <v>1.5</v>
      </c>
      <c r="D94" s="4">
        <v>2</v>
      </c>
      <c r="E94">
        <v>17</v>
      </c>
      <c r="G94">
        <v>1</v>
      </c>
      <c r="H94">
        <v>1</v>
      </c>
      <c r="I94">
        <v>2</v>
      </c>
      <c r="J94">
        <v>2</v>
      </c>
      <c r="K94">
        <v>0</v>
      </c>
      <c r="L94">
        <v>1</v>
      </c>
      <c r="M94">
        <v>3</v>
      </c>
      <c r="N94">
        <v>1</v>
      </c>
      <c r="O94">
        <v>2</v>
      </c>
      <c r="P94">
        <v>1</v>
      </c>
      <c r="Q94">
        <v>5</v>
      </c>
      <c r="R94">
        <v>5</v>
      </c>
      <c r="S94">
        <v>24</v>
      </c>
      <c r="T94" t="s">
        <v>813</v>
      </c>
      <c r="U94" t="s">
        <v>492</v>
      </c>
      <c r="V94" t="s">
        <v>542</v>
      </c>
      <c r="W94" t="s">
        <v>551</v>
      </c>
    </row>
    <row r="95" spans="1:23" x14ac:dyDescent="0.25">
      <c r="A95" t="s">
        <v>552</v>
      </c>
      <c r="B95" t="s">
        <v>552</v>
      </c>
      <c r="C95">
        <v>0.5</v>
      </c>
      <c r="D95" s="4">
        <v>0.75</v>
      </c>
      <c r="E95">
        <v>7</v>
      </c>
      <c r="G95">
        <v>0</v>
      </c>
      <c r="H95">
        <v>1</v>
      </c>
      <c r="I95">
        <v>1</v>
      </c>
      <c r="J95">
        <v>1</v>
      </c>
      <c r="K95">
        <v>2</v>
      </c>
      <c r="L95">
        <v>1</v>
      </c>
      <c r="M95">
        <v>0</v>
      </c>
      <c r="N95">
        <v>0</v>
      </c>
      <c r="O95">
        <v>0</v>
      </c>
      <c r="P95">
        <v>3</v>
      </c>
      <c r="Q95">
        <v>0</v>
      </c>
      <c r="R95">
        <v>0</v>
      </c>
      <c r="S95">
        <v>9</v>
      </c>
      <c r="T95" t="s">
        <v>813</v>
      </c>
      <c r="U95" t="s">
        <v>492</v>
      </c>
      <c r="V95" t="s">
        <v>542</v>
      </c>
      <c r="W95" t="s">
        <v>553</v>
      </c>
    </row>
    <row r="96" spans="1:23" x14ac:dyDescent="0.25">
      <c r="A96" t="s">
        <v>554</v>
      </c>
      <c r="B96" t="s">
        <v>554</v>
      </c>
      <c r="C96">
        <v>10</v>
      </c>
      <c r="D96" s="4">
        <v>12</v>
      </c>
      <c r="E96">
        <v>90</v>
      </c>
      <c r="F96">
        <v>90</v>
      </c>
      <c r="G96">
        <v>4</v>
      </c>
      <c r="H96">
        <v>10</v>
      </c>
      <c r="I96">
        <v>10</v>
      </c>
      <c r="J96">
        <v>21</v>
      </c>
      <c r="K96">
        <v>22</v>
      </c>
      <c r="L96">
        <v>0</v>
      </c>
      <c r="M96">
        <v>9</v>
      </c>
      <c r="N96">
        <v>1</v>
      </c>
      <c r="O96">
        <v>10</v>
      </c>
      <c r="P96">
        <v>35</v>
      </c>
      <c r="Q96">
        <v>15</v>
      </c>
      <c r="R96">
        <v>10</v>
      </c>
      <c r="S96">
        <v>147</v>
      </c>
      <c r="T96" t="s">
        <v>813</v>
      </c>
      <c r="U96" t="s">
        <v>492</v>
      </c>
      <c r="V96" t="s">
        <v>555</v>
      </c>
      <c r="W96" t="s">
        <v>556</v>
      </c>
    </row>
    <row r="97" spans="1:23" x14ac:dyDescent="0.25">
      <c r="A97" t="s">
        <v>557</v>
      </c>
      <c r="B97" t="s">
        <v>557</v>
      </c>
      <c r="C97">
        <v>11</v>
      </c>
      <c r="D97" s="3">
        <v>11</v>
      </c>
      <c r="E97">
        <v>55</v>
      </c>
      <c r="F97">
        <v>40</v>
      </c>
      <c r="G97">
        <v>5</v>
      </c>
      <c r="H97">
        <v>11</v>
      </c>
      <c r="I97">
        <v>13</v>
      </c>
      <c r="J97">
        <v>14</v>
      </c>
      <c r="K97">
        <v>9</v>
      </c>
      <c r="L97">
        <v>11</v>
      </c>
      <c r="M97">
        <v>5</v>
      </c>
      <c r="N97">
        <v>11</v>
      </c>
      <c r="O97">
        <v>12</v>
      </c>
      <c r="P97">
        <v>24</v>
      </c>
      <c r="Q97">
        <v>0</v>
      </c>
      <c r="R97">
        <v>15</v>
      </c>
      <c r="S97">
        <v>130</v>
      </c>
      <c r="T97" t="s">
        <v>813</v>
      </c>
      <c r="U97" t="s">
        <v>492</v>
      </c>
      <c r="V97" t="s">
        <v>555</v>
      </c>
      <c r="W97" t="s">
        <v>558</v>
      </c>
    </row>
    <row r="98" spans="1:23" x14ac:dyDescent="0.25">
      <c r="A98" t="s">
        <v>559</v>
      </c>
      <c r="B98" t="s">
        <v>559</v>
      </c>
      <c r="C98">
        <v>3</v>
      </c>
      <c r="D98" s="4">
        <v>3.8</v>
      </c>
      <c r="E98">
        <v>32</v>
      </c>
      <c r="F98">
        <v>30</v>
      </c>
      <c r="G98">
        <v>5</v>
      </c>
      <c r="H98">
        <v>0</v>
      </c>
      <c r="I98">
        <v>6</v>
      </c>
      <c r="J98">
        <v>5</v>
      </c>
      <c r="K98">
        <v>1</v>
      </c>
      <c r="L98">
        <v>0</v>
      </c>
      <c r="M98">
        <v>0</v>
      </c>
      <c r="N98">
        <v>0</v>
      </c>
      <c r="O98">
        <v>10</v>
      </c>
      <c r="P98">
        <v>10</v>
      </c>
      <c r="Q98">
        <v>0</v>
      </c>
      <c r="R98">
        <v>8</v>
      </c>
      <c r="S98">
        <v>45</v>
      </c>
      <c r="T98" t="s">
        <v>813</v>
      </c>
      <c r="U98" t="s">
        <v>492</v>
      </c>
      <c r="V98" t="s">
        <v>555</v>
      </c>
      <c r="W98" t="s">
        <v>560</v>
      </c>
    </row>
    <row r="99" spans="1:23" x14ac:dyDescent="0.25">
      <c r="A99" t="s">
        <v>561</v>
      </c>
      <c r="B99" t="s">
        <v>561</v>
      </c>
      <c r="C99">
        <v>8.5</v>
      </c>
      <c r="D99" s="4">
        <v>8.6</v>
      </c>
      <c r="E99">
        <v>41</v>
      </c>
      <c r="F99">
        <v>40</v>
      </c>
      <c r="G99">
        <v>8</v>
      </c>
      <c r="H99">
        <v>16</v>
      </c>
      <c r="I99">
        <v>2</v>
      </c>
      <c r="J99">
        <v>9</v>
      </c>
      <c r="K99">
        <v>0</v>
      </c>
      <c r="L99">
        <v>0</v>
      </c>
      <c r="M99">
        <v>20</v>
      </c>
      <c r="N99">
        <v>0</v>
      </c>
      <c r="O99">
        <v>9</v>
      </c>
      <c r="P99">
        <v>1</v>
      </c>
      <c r="Q99">
        <v>30</v>
      </c>
      <c r="R99">
        <v>9</v>
      </c>
      <c r="S99">
        <v>104</v>
      </c>
      <c r="T99" t="s">
        <v>813</v>
      </c>
      <c r="U99" t="s">
        <v>492</v>
      </c>
      <c r="V99" t="s">
        <v>555</v>
      </c>
      <c r="W99" t="s">
        <v>562</v>
      </c>
    </row>
    <row r="100" spans="1:23" x14ac:dyDescent="0.25">
      <c r="A100" t="s">
        <v>563</v>
      </c>
      <c r="B100" t="s">
        <v>563</v>
      </c>
      <c r="C100">
        <v>7</v>
      </c>
      <c r="D100" s="4">
        <v>9.6</v>
      </c>
      <c r="E100">
        <v>60</v>
      </c>
      <c r="F100">
        <v>60</v>
      </c>
      <c r="G100">
        <v>6</v>
      </c>
      <c r="H100">
        <v>13</v>
      </c>
      <c r="I100">
        <v>1</v>
      </c>
      <c r="J100">
        <v>16</v>
      </c>
      <c r="K100">
        <v>10</v>
      </c>
      <c r="L100">
        <v>8</v>
      </c>
      <c r="M100">
        <v>2</v>
      </c>
      <c r="N100">
        <v>0</v>
      </c>
      <c r="O100">
        <v>4</v>
      </c>
      <c r="P100">
        <v>25</v>
      </c>
      <c r="Q100">
        <v>21</v>
      </c>
      <c r="R100">
        <v>0</v>
      </c>
      <c r="S100">
        <v>106</v>
      </c>
      <c r="T100" t="s">
        <v>813</v>
      </c>
      <c r="U100" t="s">
        <v>492</v>
      </c>
      <c r="V100" t="s">
        <v>555</v>
      </c>
      <c r="W100" t="s">
        <v>564</v>
      </c>
    </row>
    <row r="101" spans="1:23" x14ac:dyDescent="0.25">
      <c r="A101" t="s">
        <v>565</v>
      </c>
      <c r="B101" t="s">
        <v>565</v>
      </c>
      <c r="C101">
        <v>2.5</v>
      </c>
      <c r="D101" s="4">
        <v>4.7</v>
      </c>
      <c r="E101">
        <v>51</v>
      </c>
      <c r="F101">
        <v>50</v>
      </c>
      <c r="G101">
        <v>1</v>
      </c>
      <c r="H101">
        <v>0</v>
      </c>
      <c r="I101">
        <v>3</v>
      </c>
      <c r="J101">
        <v>10</v>
      </c>
      <c r="K101">
        <v>4</v>
      </c>
      <c r="L101">
        <v>1</v>
      </c>
      <c r="M101">
        <v>0</v>
      </c>
      <c r="N101">
        <v>5</v>
      </c>
      <c r="O101">
        <v>2</v>
      </c>
      <c r="P101">
        <v>4</v>
      </c>
      <c r="Q101">
        <v>24</v>
      </c>
      <c r="R101">
        <v>0</v>
      </c>
      <c r="S101">
        <v>54</v>
      </c>
      <c r="T101" t="s">
        <v>813</v>
      </c>
      <c r="U101" t="s">
        <v>492</v>
      </c>
      <c r="V101" t="s">
        <v>555</v>
      </c>
      <c r="W101" t="s">
        <v>566</v>
      </c>
    </row>
    <row r="102" spans="1:23" x14ac:dyDescent="0.25">
      <c r="A102" t="s">
        <v>567</v>
      </c>
      <c r="B102" t="s">
        <v>567</v>
      </c>
      <c r="C102">
        <v>0</v>
      </c>
      <c r="D102" s="3">
        <v>0</v>
      </c>
      <c r="E102">
        <v>10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813</v>
      </c>
      <c r="U102" t="s">
        <v>568</v>
      </c>
      <c r="V102" t="s">
        <v>569</v>
      </c>
      <c r="W102" t="s">
        <v>570</v>
      </c>
    </row>
    <row r="103" spans="1:23" x14ac:dyDescent="0.25">
      <c r="A103" t="s">
        <v>1684</v>
      </c>
      <c r="B103" t="s">
        <v>1684</v>
      </c>
      <c r="C103">
        <v>0</v>
      </c>
      <c r="D103" s="3">
        <v>0</v>
      </c>
      <c r="E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815</v>
      </c>
      <c r="U103" t="s">
        <v>45</v>
      </c>
      <c r="V103" t="s">
        <v>1685</v>
      </c>
      <c r="W103" t="s">
        <v>817</v>
      </c>
    </row>
    <row r="104" spans="1:23" x14ac:dyDescent="0.25">
      <c r="A104" t="s">
        <v>826</v>
      </c>
      <c r="B104" t="s">
        <v>826</v>
      </c>
      <c r="C104">
        <v>0</v>
      </c>
      <c r="D104" s="3">
        <v>0</v>
      </c>
      <c r="E104">
        <v>44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20</v>
      </c>
      <c r="M104">
        <v>8</v>
      </c>
      <c r="N104">
        <v>8</v>
      </c>
      <c r="O104">
        <v>0</v>
      </c>
      <c r="P104">
        <v>0</v>
      </c>
      <c r="Q104">
        <v>8</v>
      </c>
      <c r="R104">
        <v>-8</v>
      </c>
      <c r="S104">
        <v>36</v>
      </c>
      <c r="T104" t="s">
        <v>815</v>
      </c>
      <c r="U104" t="s">
        <v>45</v>
      </c>
      <c r="V104" t="s">
        <v>825</v>
      </c>
      <c r="W104" t="s">
        <v>818</v>
      </c>
    </row>
    <row r="105" spans="1:23" x14ac:dyDescent="0.25">
      <c r="A105" t="s">
        <v>829</v>
      </c>
      <c r="B105" t="s">
        <v>829</v>
      </c>
      <c r="C105">
        <v>8</v>
      </c>
      <c r="D105" s="3">
        <v>8</v>
      </c>
      <c r="E105">
        <v>44</v>
      </c>
      <c r="G105">
        <v>8</v>
      </c>
      <c r="H105">
        <v>0</v>
      </c>
      <c r="I105">
        <v>0</v>
      </c>
      <c r="J105">
        <v>0</v>
      </c>
      <c r="K105">
        <v>8</v>
      </c>
      <c r="L105">
        <v>20</v>
      </c>
      <c r="M105">
        <v>8</v>
      </c>
      <c r="N105">
        <v>8</v>
      </c>
      <c r="O105">
        <v>12</v>
      </c>
      <c r="P105">
        <v>4</v>
      </c>
      <c r="Q105">
        <v>8</v>
      </c>
      <c r="R105">
        <v>-8</v>
      </c>
      <c r="S105">
        <v>68</v>
      </c>
      <c r="T105" t="s">
        <v>815</v>
      </c>
      <c r="U105" t="s">
        <v>45</v>
      </c>
      <c r="V105" t="s">
        <v>828</v>
      </c>
      <c r="W105" t="s">
        <v>823</v>
      </c>
    </row>
    <row r="106" spans="1:23" x14ac:dyDescent="0.25">
      <c r="A106" t="s">
        <v>618</v>
      </c>
      <c r="B106" t="s">
        <v>618</v>
      </c>
      <c r="C106">
        <v>0</v>
      </c>
      <c r="D106" s="3">
        <v>0</v>
      </c>
      <c r="E106">
        <v>12</v>
      </c>
      <c r="F106">
        <v>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8</v>
      </c>
      <c r="N106">
        <v>0</v>
      </c>
      <c r="O106">
        <v>0</v>
      </c>
      <c r="P106">
        <v>0</v>
      </c>
      <c r="Q106">
        <v>24</v>
      </c>
      <c r="R106">
        <v>0</v>
      </c>
      <c r="S106">
        <v>32</v>
      </c>
      <c r="T106" t="s">
        <v>815</v>
      </c>
      <c r="U106" t="s">
        <v>45</v>
      </c>
      <c r="V106" t="s">
        <v>830</v>
      </c>
      <c r="W106" t="s">
        <v>818</v>
      </c>
    </row>
    <row r="107" spans="1:23" x14ac:dyDescent="0.25">
      <c r="A107" t="s">
        <v>831</v>
      </c>
      <c r="B107" t="s">
        <v>831</v>
      </c>
      <c r="C107">
        <v>0</v>
      </c>
      <c r="D107" s="3">
        <v>0</v>
      </c>
      <c r="E107">
        <v>12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24</v>
      </c>
      <c r="R107">
        <v>0</v>
      </c>
      <c r="S107">
        <v>24</v>
      </c>
      <c r="T107" t="s">
        <v>815</v>
      </c>
      <c r="U107" t="s">
        <v>45</v>
      </c>
      <c r="V107" t="s">
        <v>832</v>
      </c>
      <c r="W107" t="s">
        <v>823</v>
      </c>
    </row>
    <row r="108" spans="1:23" x14ac:dyDescent="0.25">
      <c r="A108" t="s">
        <v>833</v>
      </c>
      <c r="B108" t="s">
        <v>833</v>
      </c>
      <c r="C108">
        <v>0</v>
      </c>
      <c r="D108" s="3">
        <v>0</v>
      </c>
      <c r="E108">
        <v>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815</v>
      </c>
      <c r="U108" t="s">
        <v>45</v>
      </c>
      <c r="V108" t="s">
        <v>834</v>
      </c>
      <c r="W108" t="s">
        <v>818</v>
      </c>
    </row>
    <row r="109" spans="1:23" x14ac:dyDescent="0.25">
      <c r="A109" t="s">
        <v>835</v>
      </c>
      <c r="B109" t="s">
        <v>835</v>
      </c>
      <c r="C109">
        <v>0</v>
      </c>
      <c r="D109" s="3">
        <v>0</v>
      </c>
      <c r="E109">
        <v>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815</v>
      </c>
      <c r="U109" t="s">
        <v>45</v>
      </c>
      <c r="V109" t="s">
        <v>836</v>
      </c>
      <c r="W109" t="s">
        <v>823</v>
      </c>
    </row>
    <row r="110" spans="1:23" x14ac:dyDescent="0.25">
      <c r="A110" t="s">
        <v>744</v>
      </c>
      <c r="B110" t="s">
        <v>744</v>
      </c>
      <c r="C110">
        <v>0</v>
      </c>
      <c r="D110" s="3">
        <v>0</v>
      </c>
      <c r="E110">
        <v>20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815</v>
      </c>
      <c r="U110" t="s">
        <v>45</v>
      </c>
      <c r="V110" t="s">
        <v>837</v>
      </c>
      <c r="W110" t="s">
        <v>818</v>
      </c>
    </row>
    <row r="111" spans="1:23" x14ac:dyDescent="0.25">
      <c r="A111" t="s">
        <v>620</v>
      </c>
      <c r="B111" t="s">
        <v>620</v>
      </c>
      <c r="C111">
        <v>0</v>
      </c>
      <c r="D111" s="3">
        <v>0</v>
      </c>
      <c r="E111">
        <v>8</v>
      </c>
      <c r="F111">
        <v>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815</v>
      </c>
      <c r="U111" t="s">
        <v>45</v>
      </c>
      <c r="V111" t="s">
        <v>838</v>
      </c>
      <c r="W111" t="s">
        <v>823</v>
      </c>
    </row>
    <row r="112" spans="1:23" x14ac:dyDescent="0.25">
      <c r="A112" t="s">
        <v>839</v>
      </c>
      <c r="B112" t="s">
        <v>839</v>
      </c>
      <c r="C112">
        <v>0</v>
      </c>
      <c r="D112" s="3">
        <v>0</v>
      </c>
      <c r="E112">
        <v>12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815</v>
      </c>
      <c r="U112" t="s">
        <v>45</v>
      </c>
      <c r="V112" t="s">
        <v>840</v>
      </c>
      <c r="W112" t="s">
        <v>818</v>
      </c>
    </row>
    <row r="113" spans="1:23" x14ac:dyDescent="0.25">
      <c r="A113" t="s">
        <v>841</v>
      </c>
      <c r="B113" t="s">
        <v>841</v>
      </c>
      <c r="C113">
        <v>0</v>
      </c>
      <c r="D113" s="3">
        <v>0</v>
      </c>
      <c r="E113">
        <v>12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815</v>
      </c>
      <c r="U113" t="s">
        <v>45</v>
      </c>
      <c r="V113" t="s">
        <v>842</v>
      </c>
      <c r="W113" t="s">
        <v>823</v>
      </c>
    </row>
    <row r="114" spans="1:23" x14ac:dyDescent="0.25">
      <c r="A114" t="s">
        <v>1686</v>
      </c>
      <c r="B114" t="s">
        <v>1686</v>
      </c>
      <c r="C114">
        <v>0</v>
      </c>
      <c r="D114" s="3">
        <v>0</v>
      </c>
      <c r="E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815</v>
      </c>
      <c r="U114" t="s">
        <v>83</v>
      </c>
      <c r="V114" t="s">
        <v>1687</v>
      </c>
      <c r="W114" t="s">
        <v>868</v>
      </c>
    </row>
    <row r="115" spans="1:23" x14ac:dyDescent="0.25">
      <c r="A115" t="s">
        <v>1688</v>
      </c>
      <c r="B115" t="s">
        <v>1688</v>
      </c>
      <c r="C115">
        <v>0</v>
      </c>
      <c r="D115" s="3">
        <v>0</v>
      </c>
      <c r="E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815</v>
      </c>
      <c r="U115" t="s">
        <v>83</v>
      </c>
      <c r="V115" t="s">
        <v>1689</v>
      </c>
      <c r="W115" t="s">
        <v>933</v>
      </c>
    </row>
    <row r="116" spans="1:23" x14ac:dyDescent="0.25">
      <c r="A116" t="s">
        <v>848</v>
      </c>
      <c r="B116" t="s">
        <v>848</v>
      </c>
      <c r="C116">
        <v>0</v>
      </c>
      <c r="D116" s="3">
        <v>0</v>
      </c>
      <c r="E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815</v>
      </c>
      <c r="U116" t="s">
        <v>83</v>
      </c>
      <c r="V116" t="s">
        <v>849</v>
      </c>
      <c r="W116" t="s">
        <v>817</v>
      </c>
    </row>
    <row r="117" spans="1:23" x14ac:dyDescent="0.25">
      <c r="A117" t="s">
        <v>621</v>
      </c>
      <c r="B117" t="s">
        <v>621</v>
      </c>
      <c r="C117">
        <v>4</v>
      </c>
      <c r="D117" s="3">
        <v>4</v>
      </c>
      <c r="E117">
        <v>44</v>
      </c>
      <c r="F117">
        <v>20</v>
      </c>
      <c r="G117">
        <v>0</v>
      </c>
      <c r="H117">
        <v>16</v>
      </c>
      <c r="I117">
        <v>4</v>
      </c>
      <c r="J117">
        <v>8</v>
      </c>
      <c r="K117">
        <v>16</v>
      </c>
      <c r="L117">
        <v>4</v>
      </c>
      <c r="M117">
        <v>0</v>
      </c>
      <c r="N117">
        <v>0</v>
      </c>
      <c r="O117">
        <v>20</v>
      </c>
      <c r="P117">
        <v>0</v>
      </c>
      <c r="Q117">
        <v>0</v>
      </c>
      <c r="R117">
        <v>16</v>
      </c>
      <c r="S117">
        <v>84</v>
      </c>
      <c r="T117" t="s">
        <v>815</v>
      </c>
      <c r="U117" t="s">
        <v>83</v>
      </c>
      <c r="V117" t="s">
        <v>849</v>
      </c>
      <c r="W117" t="s">
        <v>818</v>
      </c>
    </row>
    <row r="118" spans="1:23" x14ac:dyDescent="0.25">
      <c r="A118" t="s">
        <v>852</v>
      </c>
      <c r="B118" t="s">
        <v>852</v>
      </c>
      <c r="C118">
        <v>0</v>
      </c>
      <c r="D118" s="3">
        <v>0</v>
      </c>
      <c r="E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815</v>
      </c>
      <c r="U118" t="s">
        <v>83</v>
      </c>
      <c r="V118" t="s">
        <v>853</v>
      </c>
      <c r="W118" t="s">
        <v>821</v>
      </c>
    </row>
    <row r="119" spans="1:23" x14ac:dyDescent="0.25">
      <c r="A119" t="s">
        <v>622</v>
      </c>
      <c r="B119" t="s">
        <v>622</v>
      </c>
      <c r="C119">
        <v>12</v>
      </c>
      <c r="D119" s="3">
        <v>12</v>
      </c>
      <c r="E119">
        <v>68</v>
      </c>
      <c r="F119">
        <v>40</v>
      </c>
      <c r="G119">
        <v>4</v>
      </c>
      <c r="H119">
        <v>12</v>
      </c>
      <c r="I119">
        <v>12</v>
      </c>
      <c r="J119">
        <v>8</v>
      </c>
      <c r="K119">
        <v>4</v>
      </c>
      <c r="L119">
        <v>12</v>
      </c>
      <c r="M119">
        <v>32</v>
      </c>
      <c r="N119">
        <v>0</v>
      </c>
      <c r="O119">
        <v>16</v>
      </c>
      <c r="P119">
        <v>4</v>
      </c>
      <c r="Q119">
        <v>12</v>
      </c>
      <c r="R119">
        <v>40</v>
      </c>
      <c r="S119">
        <v>156</v>
      </c>
      <c r="T119" t="s">
        <v>815</v>
      </c>
      <c r="U119" t="s">
        <v>83</v>
      </c>
      <c r="V119" t="s">
        <v>853</v>
      </c>
      <c r="W119" t="s">
        <v>823</v>
      </c>
    </row>
    <row r="120" spans="1:23" x14ac:dyDescent="0.25">
      <c r="A120" t="s">
        <v>856</v>
      </c>
      <c r="B120" t="s">
        <v>856</v>
      </c>
      <c r="C120">
        <v>0</v>
      </c>
      <c r="D120" s="3">
        <v>0</v>
      </c>
      <c r="E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815</v>
      </c>
      <c r="U120" t="s">
        <v>83</v>
      </c>
      <c r="V120" t="s">
        <v>857</v>
      </c>
      <c r="W120" t="s">
        <v>817</v>
      </c>
    </row>
    <row r="121" spans="1:23" x14ac:dyDescent="0.25">
      <c r="A121" t="s">
        <v>858</v>
      </c>
      <c r="B121" t="s">
        <v>858</v>
      </c>
      <c r="C121">
        <v>20</v>
      </c>
      <c r="D121" s="3">
        <v>20</v>
      </c>
      <c r="E121">
        <v>116</v>
      </c>
      <c r="G121">
        <v>8</v>
      </c>
      <c r="H121">
        <v>8</v>
      </c>
      <c r="I121">
        <v>28</v>
      </c>
      <c r="J121">
        <v>28</v>
      </c>
      <c r="K121">
        <v>24</v>
      </c>
      <c r="L121">
        <v>20</v>
      </c>
      <c r="M121">
        <v>0</v>
      </c>
      <c r="N121">
        <v>20</v>
      </c>
      <c r="O121">
        <v>48</v>
      </c>
      <c r="P121">
        <v>8</v>
      </c>
      <c r="Q121">
        <v>0</v>
      </c>
      <c r="R121">
        <v>20</v>
      </c>
      <c r="S121">
        <v>212</v>
      </c>
      <c r="T121" t="s">
        <v>815</v>
      </c>
      <c r="U121" t="s">
        <v>83</v>
      </c>
      <c r="V121" t="s">
        <v>857</v>
      </c>
      <c r="W121" t="s">
        <v>818</v>
      </c>
    </row>
    <row r="122" spans="1:23" x14ac:dyDescent="0.25">
      <c r="A122" t="s">
        <v>859</v>
      </c>
      <c r="B122" t="s">
        <v>859</v>
      </c>
      <c r="C122">
        <v>0</v>
      </c>
      <c r="D122" s="3">
        <v>0</v>
      </c>
      <c r="E122">
        <v>124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815</v>
      </c>
      <c r="U122" t="s">
        <v>83</v>
      </c>
      <c r="V122" t="s">
        <v>860</v>
      </c>
      <c r="W122" t="s">
        <v>821</v>
      </c>
    </row>
    <row r="123" spans="1:23" x14ac:dyDescent="0.25">
      <c r="A123" t="s">
        <v>706</v>
      </c>
      <c r="B123" t="s">
        <v>706</v>
      </c>
      <c r="C123">
        <v>16</v>
      </c>
      <c r="D123" s="3">
        <v>16</v>
      </c>
      <c r="E123">
        <v>160</v>
      </c>
      <c r="F123">
        <v>40</v>
      </c>
      <c r="G123">
        <v>4</v>
      </c>
      <c r="H123">
        <v>36</v>
      </c>
      <c r="I123">
        <v>20</v>
      </c>
      <c r="J123">
        <v>52</v>
      </c>
      <c r="K123">
        <v>16</v>
      </c>
      <c r="L123">
        <v>16</v>
      </c>
      <c r="M123">
        <v>4</v>
      </c>
      <c r="N123">
        <v>20</v>
      </c>
      <c r="O123">
        <v>48</v>
      </c>
      <c r="P123">
        <v>12</v>
      </c>
      <c r="Q123">
        <v>12</v>
      </c>
      <c r="R123">
        <v>8</v>
      </c>
      <c r="S123">
        <v>248</v>
      </c>
      <c r="T123" t="s">
        <v>815</v>
      </c>
      <c r="U123" t="s">
        <v>83</v>
      </c>
      <c r="V123" t="s">
        <v>860</v>
      </c>
      <c r="W123" t="s">
        <v>823</v>
      </c>
    </row>
    <row r="124" spans="1:23" x14ac:dyDescent="0.25">
      <c r="A124" t="s">
        <v>1690</v>
      </c>
      <c r="B124" t="s">
        <v>1690</v>
      </c>
      <c r="C124">
        <v>0</v>
      </c>
      <c r="D124" s="3">
        <v>0</v>
      </c>
      <c r="E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815</v>
      </c>
      <c r="U124" t="s">
        <v>83</v>
      </c>
      <c r="V124" t="s">
        <v>1691</v>
      </c>
      <c r="W124" t="s">
        <v>821</v>
      </c>
    </row>
    <row r="125" spans="1:23" x14ac:dyDescent="0.25">
      <c r="A125" t="s">
        <v>861</v>
      </c>
      <c r="B125" t="s">
        <v>861</v>
      </c>
      <c r="C125">
        <v>0</v>
      </c>
      <c r="D125" s="3">
        <v>0</v>
      </c>
      <c r="E125">
        <v>36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815</v>
      </c>
      <c r="U125" t="s">
        <v>83</v>
      </c>
      <c r="V125" t="s">
        <v>862</v>
      </c>
      <c r="W125" t="s">
        <v>818</v>
      </c>
    </row>
    <row r="126" spans="1:23" x14ac:dyDescent="0.25">
      <c r="A126" t="s">
        <v>863</v>
      </c>
      <c r="B126" t="s">
        <v>863</v>
      </c>
      <c r="C126">
        <v>0</v>
      </c>
      <c r="D126" s="3">
        <v>0</v>
      </c>
      <c r="E126">
        <v>36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815</v>
      </c>
      <c r="U126" t="s">
        <v>83</v>
      </c>
      <c r="V126" t="s">
        <v>864</v>
      </c>
      <c r="W126" t="s">
        <v>823</v>
      </c>
    </row>
    <row r="127" spans="1:23" x14ac:dyDescent="0.25">
      <c r="A127" t="s">
        <v>623</v>
      </c>
      <c r="B127" t="s">
        <v>623</v>
      </c>
      <c r="C127">
        <v>0</v>
      </c>
      <c r="D127" s="3">
        <v>0</v>
      </c>
      <c r="E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815</v>
      </c>
      <c r="U127" t="s">
        <v>83</v>
      </c>
      <c r="V127" t="s">
        <v>865</v>
      </c>
      <c r="W127" t="s">
        <v>817</v>
      </c>
    </row>
    <row r="128" spans="1:23" x14ac:dyDescent="0.25">
      <c r="A128" t="s">
        <v>624</v>
      </c>
      <c r="B128" t="s">
        <v>624</v>
      </c>
      <c r="C128">
        <v>26</v>
      </c>
      <c r="D128" s="3">
        <v>26</v>
      </c>
      <c r="E128">
        <v>180</v>
      </c>
      <c r="F128">
        <v>140</v>
      </c>
      <c r="G128">
        <v>0</v>
      </c>
      <c r="H128">
        <v>32</v>
      </c>
      <c r="I128">
        <v>40</v>
      </c>
      <c r="J128">
        <v>68</v>
      </c>
      <c r="K128">
        <v>16</v>
      </c>
      <c r="L128">
        <v>44</v>
      </c>
      <c r="M128">
        <v>16</v>
      </c>
      <c r="N128">
        <v>4</v>
      </c>
      <c r="O128">
        <v>36</v>
      </c>
      <c r="P128">
        <v>104</v>
      </c>
      <c r="Q128">
        <v>0</v>
      </c>
      <c r="R128">
        <v>20</v>
      </c>
      <c r="S128">
        <v>380</v>
      </c>
      <c r="T128" t="s">
        <v>815</v>
      </c>
      <c r="U128" t="s">
        <v>83</v>
      </c>
      <c r="V128" t="s">
        <v>865</v>
      </c>
      <c r="W128" t="s">
        <v>818</v>
      </c>
    </row>
    <row r="129" spans="1:23" x14ac:dyDescent="0.25">
      <c r="A129" t="s">
        <v>625</v>
      </c>
      <c r="B129" t="s">
        <v>625</v>
      </c>
      <c r="C129">
        <v>0</v>
      </c>
      <c r="D129" s="3">
        <v>0</v>
      </c>
      <c r="E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815</v>
      </c>
      <c r="U129" t="s">
        <v>83</v>
      </c>
      <c r="V129" t="s">
        <v>866</v>
      </c>
      <c r="W129" t="s">
        <v>821</v>
      </c>
    </row>
    <row r="130" spans="1:23" x14ac:dyDescent="0.25">
      <c r="A130" t="s">
        <v>626</v>
      </c>
      <c r="B130" t="s">
        <v>626</v>
      </c>
      <c r="C130">
        <v>42</v>
      </c>
      <c r="D130" s="3">
        <v>42</v>
      </c>
      <c r="E130">
        <v>256</v>
      </c>
      <c r="F130">
        <v>180</v>
      </c>
      <c r="G130">
        <v>12</v>
      </c>
      <c r="H130">
        <v>48</v>
      </c>
      <c r="I130">
        <v>56</v>
      </c>
      <c r="J130">
        <v>72</v>
      </c>
      <c r="K130">
        <v>24</v>
      </c>
      <c r="L130">
        <v>52</v>
      </c>
      <c r="M130">
        <v>52</v>
      </c>
      <c r="N130">
        <v>16</v>
      </c>
      <c r="O130">
        <v>36</v>
      </c>
      <c r="P130">
        <v>112</v>
      </c>
      <c r="Q130">
        <v>20</v>
      </c>
      <c r="R130">
        <v>36</v>
      </c>
      <c r="S130">
        <v>536</v>
      </c>
      <c r="T130" t="s">
        <v>815</v>
      </c>
      <c r="U130" t="s">
        <v>83</v>
      </c>
      <c r="V130" t="s">
        <v>866</v>
      </c>
      <c r="W130" t="s">
        <v>823</v>
      </c>
    </row>
    <row r="131" spans="1:23" x14ac:dyDescent="0.25">
      <c r="A131" t="s">
        <v>1692</v>
      </c>
      <c r="B131" t="s">
        <v>1692</v>
      </c>
      <c r="C131">
        <v>0</v>
      </c>
      <c r="D131" s="3">
        <v>0</v>
      </c>
      <c r="E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815</v>
      </c>
      <c r="U131" t="s">
        <v>83</v>
      </c>
      <c r="V131" t="s">
        <v>867</v>
      </c>
      <c r="W131" t="s">
        <v>817</v>
      </c>
    </row>
    <row r="132" spans="1:23" x14ac:dyDescent="0.25">
      <c r="A132" t="s">
        <v>745</v>
      </c>
      <c r="B132" t="s">
        <v>745</v>
      </c>
      <c r="C132">
        <v>0</v>
      </c>
      <c r="D132" s="3">
        <v>0</v>
      </c>
      <c r="E132">
        <v>78</v>
      </c>
      <c r="G132">
        <v>0</v>
      </c>
      <c r="H132">
        <v>0</v>
      </c>
      <c r="I132">
        <v>30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30</v>
      </c>
      <c r="T132" t="s">
        <v>815</v>
      </c>
      <c r="U132" t="s">
        <v>83</v>
      </c>
      <c r="V132" t="s">
        <v>867</v>
      </c>
      <c r="W132" t="s">
        <v>851</v>
      </c>
    </row>
    <row r="133" spans="1:23" x14ac:dyDescent="0.25">
      <c r="A133" t="s">
        <v>869</v>
      </c>
      <c r="B133" t="s">
        <v>869</v>
      </c>
      <c r="C133">
        <v>0</v>
      </c>
      <c r="D133" s="3">
        <v>0</v>
      </c>
      <c r="E133">
        <v>0</v>
      </c>
      <c r="G133">
        <v>0</v>
      </c>
      <c r="H133">
        <v>0</v>
      </c>
      <c r="I133">
        <v>0</v>
      </c>
      <c r="J133">
        <v>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</v>
      </c>
      <c r="T133" t="s">
        <v>815</v>
      </c>
      <c r="U133" t="s">
        <v>83</v>
      </c>
      <c r="V133" t="s">
        <v>867</v>
      </c>
      <c r="W133" t="s">
        <v>818</v>
      </c>
    </row>
    <row r="134" spans="1:23" x14ac:dyDescent="0.25">
      <c r="A134" t="s">
        <v>1693</v>
      </c>
      <c r="B134" t="s">
        <v>1693</v>
      </c>
      <c r="C134">
        <v>0</v>
      </c>
      <c r="D134" s="3">
        <v>0</v>
      </c>
      <c r="E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815</v>
      </c>
      <c r="U134" t="s">
        <v>83</v>
      </c>
      <c r="V134" t="s">
        <v>871</v>
      </c>
      <c r="W134" t="s">
        <v>821</v>
      </c>
    </row>
    <row r="135" spans="1:23" x14ac:dyDescent="0.25">
      <c r="A135" t="s">
        <v>873</v>
      </c>
      <c r="B135" t="s">
        <v>873</v>
      </c>
      <c r="C135">
        <v>0</v>
      </c>
      <c r="D135" s="3">
        <v>0</v>
      </c>
      <c r="E135">
        <v>192</v>
      </c>
      <c r="G135">
        <v>0</v>
      </c>
      <c r="H135">
        <v>0</v>
      </c>
      <c r="I135">
        <v>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12</v>
      </c>
      <c r="R135">
        <v>0</v>
      </c>
      <c r="S135">
        <v>18</v>
      </c>
      <c r="T135" t="s">
        <v>815</v>
      </c>
      <c r="U135" t="s">
        <v>83</v>
      </c>
      <c r="V135" t="s">
        <v>871</v>
      </c>
      <c r="W135" t="s">
        <v>874</v>
      </c>
    </row>
    <row r="136" spans="1:23" x14ac:dyDescent="0.25">
      <c r="A136" t="s">
        <v>875</v>
      </c>
      <c r="B136" t="s">
        <v>875</v>
      </c>
      <c r="C136">
        <v>0</v>
      </c>
      <c r="D136" s="3">
        <v>0</v>
      </c>
      <c r="E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815</v>
      </c>
      <c r="U136" t="s">
        <v>83</v>
      </c>
      <c r="V136" t="s">
        <v>871</v>
      </c>
      <c r="W136" t="s">
        <v>847</v>
      </c>
    </row>
    <row r="137" spans="1:23" x14ac:dyDescent="0.25">
      <c r="A137" t="s">
        <v>885</v>
      </c>
      <c r="B137" t="s">
        <v>885</v>
      </c>
      <c r="C137">
        <v>0</v>
      </c>
      <c r="D137" s="3">
        <v>0</v>
      </c>
      <c r="E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815</v>
      </c>
      <c r="U137" t="s">
        <v>886</v>
      </c>
      <c r="V137" t="s">
        <v>887</v>
      </c>
      <c r="W137" t="s">
        <v>818</v>
      </c>
    </row>
    <row r="138" spans="1:23" x14ac:dyDescent="0.25">
      <c r="A138" t="s">
        <v>888</v>
      </c>
      <c r="B138" t="s">
        <v>888</v>
      </c>
      <c r="C138">
        <v>0</v>
      </c>
      <c r="D138" s="3">
        <v>0</v>
      </c>
      <c r="E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815</v>
      </c>
      <c r="U138" t="s">
        <v>886</v>
      </c>
      <c r="V138" t="s">
        <v>889</v>
      </c>
      <c r="W138" t="s">
        <v>823</v>
      </c>
    </row>
    <row r="139" spans="1:23" x14ac:dyDescent="0.25">
      <c r="A139" t="s">
        <v>890</v>
      </c>
      <c r="B139" t="s">
        <v>890</v>
      </c>
      <c r="C139">
        <v>0</v>
      </c>
      <c r="D139" s="3">
        <v>0</v>
      </c>
      <c r="E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815</v>
      </c>
      <c r="U139" t="s">
        <v>886</v>
      </c>
      <c r="V139" t="s">
        <v>889</v>
      </c>
      <c r="W139" t="s">
        <v>847</v>
      </c>
    </row>
    <row r="140" spans="1:23" x14ac:dyDescent="0.25">
      <c r="A140" t="s">
        <v>891</v>
      </c>
      <c r="B140" t="s">
        <v>891</v>
      </c>
      <c r="C140">
        <v>0</v>
      </c>
      <c r="D140" s="3">
        <v>0</v>
      </c>
      <c r="E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815</v>
      </c>
      <c r="U140" t="s">
        <v>886</v>
      </c>
      <c r="V140" t="s">
        <v>892</v>
      </c>
      <c r="W140" t="s">
        <v>818</v>
      </c>
    </row>
    <row r="141" spans="1:23" x14ac:dyDescent="0.25">
      <c r="A141" t="s">
        <v>893</v>
      </c>
      <c r="B141" t="s">
        <v>893</v>
      </c>
      <c r="C141">
        <v>0</v>
      </c>
      <c r="D141" s="3">
        <v>0</v>
      </c>
      <c r="E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815</v>
      </c>
      <c r="U141" t="s">
        <v>886</v>
      </c>
      <c r="V141" t="s">
        <v>894</v>
      </c>
      <c r="W141" t="s">
        <v>818</v>
      </c>
    </row>
    <row r="142" spans="1:23" x14ac:dyDescent="0.25">
      <c r="A142" t="s">
        <v>899</v>
      </c>
      <c r="B142" t="s">
        <v>899</v>
      </c>
      <c r="C142">
        <v>0</v>
      </c>
      <c r="D142" s="3">
        <v>0</v>
      </c>
      <c r="E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815</v>
      </c>
      <c r="U142" t="s">
        <v>166</v>
      </c>
      <c r="V142" t="s">
        <v>900</v>
      </c>
      <c r="W142" t="s">
        <v>851</v>
      </c>
    </row>
    <row r="143" spans="1:23" x14ac:dyDescent="0.25">
      <c r="A143" t="s">
        <v>901</v>
      </c>
      <c r="B143" s="2" t="s">
        <v>901</v>
      </c>
      <c r="C143">
        <v>0</v>
      </c>
      <c r="D143" s="3">
        <v>0</v>
      </c>
      <c r="E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815</v>
      </c>
      <c r="U143" t="s">
        <v>166</v>
      </c>
      <c r="V143" t="s">
        <v>900</v>
      </c>
      <c r="W143" t="s">
        <v>818</v>
      </c>
    </row>
    <row r="144" spans="1:23" x14ac:dyDescent="0.25">
      <c r="A144" t="s">
        <v>902</v>
      </c>
      <c r="B144" t="s">
        <v>902</v>
      </c>
      <c r="C144">
        <v>0</v>
      </c>
      <c r="D144" s="3">
        <v>0</v>
      </c>
      <c r="E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815</v>
      </c>
      <c r="U144" t="s">
        <v>166</v>
      </c>
      <c r="V144" t="s">
        <v>903</v>
      </c>
      <c r="W144" t="s">
        <v>874</v>
      </c>
    </row>
    <row r="145" spans="1:23" x14ac:dyDescent="0.25">
      <c r="A145" t="s">
        <v>904</v>
      </c>
      <c r="B145" s="2" t="s">
        <v>904</v>
      </c>
      <c r="C145">
        <v>0</v>
      </c>
      <c r="D145" s="3">
        <v>0</v>
      </c>
      <c r="E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815</v>
      </c>
      <c r="U145" t="s">
        <v>166</v>
      </c>
      <c r="V145" t="s">
        <v>903</v>
      </c>
      <c r="W145" t="s">
        <v>847</v>
      </c>
    </row>
    <row r="146" spans="1:23" x14ac:dyDescent="0.25">
      <c r="A146" t="s">
        <v>628</v>
      </c>
      <c r="B146" t="s">
        <v>628</v>
      </c>
      <c r="C146">
        <v>1728</v>
      </c>
      <c r="D146" s="3">
        <v>1728</v>
      </c>
      <c r="E146">
        <v>9504</v>
      </c>
      <c r="F146">
        <v>7400</v>
      </c>
      <c r="G146">
        <v>788</v>
      </c>
      <c r="H146">
        <v>1584</v>
      </c>
      <c r="I146">
        <v>1736</v>
      </c>
      <c r="J146">
        <v>1736</v>
      </c>
      <c r="K146">
        <v>1720</v>
      </c>
      <c r="L146">
        <v>1468</v>
      </c>
      <c r="M146">
        <v>1968</v>
      </c>
      <c r="N146">
        <v>1804</v>
      </c>
      <c r="O146">
        <v>2580</v>
      </c>
      <c r="P146">
        <v>1088</v>
      </c>
      <c r="Q146">
        <v>1688</v>
      </c>
      <c r="R146">
        <v>2908</v>
      </c>
      <c r="S146">
        <v>21068</v>
      </c>
      <c r="T146" t="s">
        <v>815</v>
      </c>
      <c r="U146" t="s">
        <v>180</v>
      </c>
      <c r="V146" t="s">
        <v>905</v>
      </c>
      <c r="W146" t="s">
        <v>817</v>
      </c>
    </row>
    <row r="147" spans="1:23" x14ac:dyDescent="0.25">
      <c r="A147" t="s">
        <v>629</v>
      </c>
      <c r="B147" t="s">
        <v>629</v>
      </c>
      <c r="C147">
        <v>146</v>
      </c>
      <c r="D147" s="3">
        <v>146</v>
      </c>
      <c r="E147">
        <v>828</v>
      </c>
      <c r="F147">
        <v>700</v>
      </c>
      <c r="G147">
        <v>152</v>
      </c>
      <c r="H147">
        <v>104</v>
      </c>
      <c r="I147">
        <v>60</v>
      </c>
      <c r="J147">
        <v>88</v>
      </c>
      <c r="K147">
        <v>148</v>
      </c>
      <c r="L147">
        <v>176</v>
      </c>
      <c r="M147">
        <v>68</v>
      </c>
      <c r="N147">
        <v>180</v>
      </c>
      <c r="O147">
        <v>132</v>
      </c>
      <c r="P147">
        <v>160</v>
      </c>
      <c r="Q147">
        <v>144</v>
      </c>
      <c r="R147">
        <v>228</v>
      </c>
      <c r="S147">
        <v>1640</v>
      </c>
      <c r="T147" t="s">
        <v>815</v>
      </c>
      <c r="U147" t="s">
        <v>180</v>
      </c>
      <c r="V147" t="s">
        <v>905</v>
      </c>
      <c r="W147" t="s">
        <v>818</v>
      </c>
    </row>
    <row r="148" spans="1:23" x14ac:dyDescent="0.25">
      <c r="A148" t="s">
        <v>630</v>
      </c>
      <c r="B148" t="s">
        <v>630</v>
      </c>
      <c r="C148">
        <v>2392</v>
      </c>
      <c r="D148" s="3">
        <v>2392</v>
      </c>
      <c r="E148">
        <v>13768</v>
      </c>
      <c r="F148">
        <v>10500</v>
      </c>
      <c r="G148">
        <v>1440</v>
      </c>
      <c r="H148">
        <v>2580</v>
      </c>
      <c r="I148">
        <v>2396</v>
      </c>
      <c r="J148">
        <v>2724</v>
      </c>
      <c r="K148">
        <v>2180</v>
      </c>
      <c r="L148">
        <v>1904</v>
      </c>
      <c r="M148">
        <v>2372</v>
      </c>
      <c r="N148">
        <v>2624</v>
      </c>
      <c r="O148">
        <v>3340</v>
      </c>
      <c r="P148">
        <v>1860</v>
      </c>
      <c r="Q148">
        <v>2388</v>
      </c>
      <c r="R148">
        <v>3844</v>
      </c>
      <c r="S148">
        <v>29652</v>
      </c>
      <c r="T148" t="s">
        <v>815</v>
      </c>
      <c r="U148" t="s">
        <v>180</v>
      </c>
      <c r="V148" t="s">
        <v>906</v>
      </c>
      <c r="W148" t="s">
        <v>821</v>
      </c>
    </row>
    <row r="149" spans="1:23" x14ac:dyDescent="0.25">
      <c r="A149" t="s">
        <v>631</v>
      </c>
      <c r="B149" t="s">
        <v>631</v>
      </c>
      <c r="C149">
        <v>144</v>
      </c>
      <c r="D149" s="3">
        <v>144</v>
      </c>
      <c r="E149">
        <v>856</v>
      </c>
      <c r="F149">
        <v>500</v>
      </c>
      <c r="G149">
        <v>108</v>
      </c>
      <c r="H149">
        <v>128</v>
      </c>
      <c r="I149">
        <v>164</v>
      </c>
      <c r="J149">
        <v>100</v>
      </c>
      <c r="K149">
        <v>120</v>
      </c>
      <c r="L149">
        <v>144</v>
      </c>
      <c r="M149">
        <v>216</v>
      </c>
      <c r="N149">
        <v>196</v>
      </c>
      <c r="O149">
        <v>128</v>
      </c>
      <c r="P149">
        <v>144</v>
      </c>
      <c r="Q149">
        <v>156</v>
      </c>
      <c r="R149">
        <v>188</v>
      </c>
      <c r="S149">
        <v>1792</v>
      </c>
      <c r="T149" t="s">
        <v>815</v>
      </c>
      <c r="U149" t="s">
        <v>180</v>
      </c>
      <c r="V149" t="s">
        <v>906</v>
      </c>
      <c r="W149" t="s">
        <v>823</v>
      </c>
    </row>
    <row r="150" spans="1:23" x14ac:dyDescent="0.25">
      <c r="A150" t="s">
        <v>707</v>
      </c>
      <c r="B150" t="s">
        <v>707</v>
      </c>
      <c r="C150">
        <v>42</v>
      </c>
      <c r="D150" s="3">
        <v>42</v>
      </c>
      <c r="E150">
        <v>324</v>
      </c>
      <c r="F150">
        <v>100</v>
      </c>
      <c r="G150">
        <v>20</v>
      </c>
      <c r="H150">
        <v>100</v>
      </c>
      <c r="I150">
        <v>36</v>
      </c>
      <c r="J150">
        <v>28</v>
      </c>
      <c r="K150">
        <v>48</v>
      </c>
      <c r="L150">
        <v>44</v>
      </c>
      <c r="M150">
        <v>44</v>
      </c>
      <c r="N150">
        <v>40</v>
      </c>
      <c r="O150">
        <v>68</v>
      </c>
      <c r="P150">
        <v>68</v>
      </c>
      <c r="Q150">
        <v>28</v>
      </c>
      <c r="R150">
        <v>12</v>
      </c>
      <c r="S150">
        <v>536</v>
      </c>
      <c r="T150" t="s">
        <v>815</v>
      </c>
      <c r="U150" t="s">
        <v>180</v>
      </c>
      <c r="V150" t="s">
        <v>907</v>
      </c>
      <c r="W150" t="s">
        <v>817</v>
      </c>
    </row>
    <row r="151" spans="1:23" x14ac:dyDescent="0.25">
      <c r="A151" t="s">
        <v>908</v>
      </c>
      <c r="B151" t="s">
        <v>908</v>
      </c>
      <c r="C151">
        <v>0</v>
      </c>
      <c r="D151" s="3">
        <v>0</v>
      </c>
      <c r="E151">
        <v>0</v>
      </c>
      <c r="G151">
        <v>0</v>
      </c>
      <c r="H151">
        <v>0</v>
      </c>
      <c r="I151">
        <v>0</v>
      </c>
      <c r="J151">
        <v>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</v>
      </c>
      <c r="T151" t="s">
        <v>815</v>
      </c>
      <c r="U151" t="s">
        <v>180</v>
      </c>
      <c r="V151" t="s">
        <v>907</v>
      </c>
      <c r="W151" t="s">
        <v>818</v>
      </c>
    </row>
    <row r="152" spans="1:23" x14ac:dyDescent="0.25">
      <c r="A152" t="s">
        <v>632</v>
      </c>
      <c r="B152" t="s">
        <v>632</v>
      </c>
      <c r="C152">
        <v>4036</v>
      </c>
      <c r="D152" s="3">
        <v>4036</v>
      </c>
      <c r="E152">
        <v>22640</v>
      </c>
      <c r="F152">
        <v>16500</v>
      </c>
      <c r="G152">
        <v>3152</v>
      </c>
      <c r="H152">
        <v>3996</v>
      </c>
      <c r="I152">
        <v>4784</v>
      </c>
      <c r="J152">
        <v>4556</v>
      </c>
      <c r="K152">
        <v>3640</v>
      </c>
      <c r="L152">
        <v>3492</v>
      </c>
      <c r="M152">
        <v>4196</v>
      </c>
      <c r="N152">
        <v>4024</v>
      </c>
      <c r="O152">
        <v>5740</v>
      </c>
      <c r="P152">
        <v>4048</v>
      </c>
      <c r="Q152">
        <v>3808</v>
      </c>
      <c r="R152">
        <v>5668</v>
      </c>
      <c r="S152">
        <v>51104</v>
      </c>
      <c r="T152" t="s">
        <v>815</v>
      </c>
      <c r="U152" t="s">
        <v>180</v>
      </c>
      <c r="V152" t="s">
        <v>909</v>
      </c>
      <c r="W152" t="s">
        <v>821</v>
      </c>
    </row>
    <row r="153" spans="1:23" x14ac:dyDescent="0.25">
      <c r="A153" t="s">
        <v>633</v>
      </c>
      <c r="B153" t="s">
        <v>633</v>
      </c>
      <c r="C153">
        <v>614</v>
      </c>
      <c r="D153" s="3">
        <v>614</v>
      </c>
      <c r="E153">
        <v>3540</v>
      </c>
      <c r="F153">
        <v>2900</v>
      </c>
      <c r="G153">
        <v>584</v>
      </c>
      <c r="H153">
        <v>552</v>
      </c>
      <c r="I153">
        <v>704</v>
      </c>
      <c r="J153">
        <v>500</v>
      </c>
      <c r="K153">
        <v>428</v>
      </c>
      <c r="L153">
        <v>212</v>
      </c>
      <c r="M153">
        <v>564</v>
      </c>
      <c r="N153">
        <v>644</v>
      </c>
      <c r="O153">
        <v>828</v>
      </c>
      <c r="P153">
        <v>720</v>
      </c>
      <c r="Q153">
        <v>700</v>
      </c>
      <c r="R153">
        <v>708</v>
      </c>
      <c r="S153">
        <v>7144</v>
      </c>
      <c r="T153" t="s">
        <v>815</v>
      </c>
      <c r="U153" t="s">
        <v>180</v>
      </c>
      <c r="V153" t="s">
        <v>909</v>
      </c>
      <c r="W153" t="s">
        <v>823</v>
      </c>
    </row>
    <row r="154" spans="1:23" x14ac:dyDescent="0.25">
      <c r="A154" t="s">
        <v>634</v>
      </c>
      <c r="B154" t="s">
        <v>634</v>
      </c>
      <c r="C154">
        <v>2376</v>
      </c>
      <c r="D154" s="3">
        <v>2376</v>
      </c>
      <c r="E154">
        <v>13216</v>
      </c>
      <c r="F154">
        <v>9400</v>
      </c>
      <c r="G154">
        <v>1668</v>
      </c>
      <c r="H154">
        <v>2308</v>
      </c>
      <c r="I154">
        <v>1852</v>
      </c>
      <c r="J154">
        <v>2444</v>
      </c>
      <c r="K154">
        <v>2568</v>
      </c>
      <c r="L154">
        <v>2056</v>
      </c>
      <c r="M154">
        <v>2708</v>
      </c>
      <c r="N154">
        <v>2156</v>
      </c>
      <c r="O154">
        <v>3232</v>
      </c>
      <c r="P154">
        <v>2764</v>
      </c>
      <c r="Q154">
        <v>2244</v>
      </c>
      <c r="R154">
        <v>2892</v>
      </c>
      <c r="S154">
        <v>28892</v>
      </c>
      <c r="T154" t="s">
        <v>815</v>
      </c>
      <c r="U154" t="s">
        <v>180</v>
      </c>
      <c r="V154" t="s">
        <v>910</v>
      </c>
      <c r="W154" t="s">
        <v>817</v>
      </c>
    </row>
    <row r="155" spans="1:23" x14ac:dyDescent="0.25">
      <c r="A155" t="s">
        <v>635</v>
      </c>
      <c r="B155" t="s">
        <v>635</v>
      </c>
      <c r="C155">
        <v>374</v>
      </c>
      <c r="D155" s="3">
        <v>374</v>
      </c>
      <c r="E155">
        <v>2224</v>
      </c>
      <c r="F155">
        <v>1600</v>
      </c>
      <c r="G155">
        <v>380</v>
      </c>
      <c r="H155">
        <v>348</v>
      </c>
      <c r="I155">
        <v>288</v>
      </c>
      <c r="J155">
        <v>488</v>
      </c>
      <c r="K155">
        <v>232</v>
      </c>
      <c r="L155">
        <v>276</v>
      </c>
      <c r="M155">
        <v>396</v>
      </c>
      <c r="N155">
        <v>368</v>
      </c>
      <c r="O155">
        <v>676</v>
      </c>
      <c r="P155">
        <v>496</v>
      </c>
      <c r="Q155">
        <v>356</v>
      </c>
      <c r="R155">
        <v>396</v>
      </c>
      <c r="S155">
        <v>4700</v>
      </c>
      <c r="T155" t="s">
        <v>815</v>
      </c>
      <c r="U155" t="s">
        <v>180</v>
      </c>
      <c r="V155" t="s">
        <v>910</v>
      </c>
      <c r="W155" t="s">
        <v>818</v>
      </c>
    </row>
    <row r="156" spans="1:23" x14ac:dyDescent="0.25">
      <c r="A156" t="s">
        <v>636</v>
      </c>
      <c r="B156" s="2" t="s">
        <v>637</v>
      </c>
      <c r="C156">
        <v>20</v>
      </c>
      <c r="D156" s="3">
        <v>20</v>
      </c>
      <c r="E156">
        <v>648</v>
      </c>
      <c r="F156">
        <v>600</v>
      </c>
      <c r="G156">
        <v>0</v>
      </c>
      <c r="H156">
        <v>0</v>
      </c>
      <c r="I156">
        <v>124</v>
      </c>
      <c r="J156">
        <v>4</v>
      </c>
      <c r="K156">
        <v>0</v>
      </c>
      <c r="L156">
        <v>24</v>
      </c>
      <c r="M156">
        <v>48</v>
      </c>
      <c r="N156">
        <v>8</v>
      </c>
      <c r="O156">
        <v>128</v>
      </c>
      <c r="P156">
        <v>244</v>
      </c>
      <c r="Q156">
        <v>16</v>
      </c>
      <c r="R156">
        <v>56</v>
      </c>
      <c r="S156">
        <v>652</v>
      </c>
      <c r="T156" t="s">
        <v>815</v>
      </c>
      <c r="U156" t="s">
        <v>180</v>
      </c>
      <c r="V156" t="s">
        <v>912</v>
      </c>
      <c r="W156" t="s">
        <v>851</v>
      </c>
    </row>
    <row r="157" spans="1:23" x14ac:dyDescent="0.25">
      <c r="A157" t="s">
        <v>638</v>
      </c>
      <c r="B157" t="s">
        <v>638</v>
      </c>
      <c r="C157">
        <v>1210</v>
      </c>
      <c r="D157" s="3">
        <v>1210</v>
      </c>
      <c r="E157">
        <v>6444</v>
      </c>
      <c r="F157">
        <v>3300</v>
      </c>
      <c r="G157">
        <v>708</v>
      </c>
      <c r="H157">
        <v>888</v>
      </c>
      <c r="I157">
        <v>1460</v>
      </c>
      <c r="J157">
        <v>1248</v>
      </c>
      <c r="K157">
        <v>1044</v>
      </c>
      <c r="L157">
        <v>1096</v>
      </c>
      <c r="M157">
        <v>1664</v>
      </c>
      <c r="N157">
        <v>1172</v>
      </c>
      <c r="O157">
        <v>2328</v>
      </c>
      <c r="P157">
        <v>436</v>
      </c>
      <c r="Q157">
        <v>1436</v>
      </c>
      <c r="R157">
        <v>1820</v>
      </c>
      <c r="S157">
        <v>15300</v>
      </c>
      <c r="T157" t="s">
        <v>815</v>
      </c>
      <c r="U157" t="s">
        <v>180</v>
      </c>
      <c r="V157" t="s">
        <v>912</v>
      </c>
      <c r="W157" t="s">
        <v>818</v>
      </c>
    </row>
    <row r="158" spans="1:23" x14ac:dyDescent="0.25">
      <c r="A158" t="s">
        <v>639</v>
      </c>
      <c r="B158" t="s">
        <v>639</v>
      </c>
      <c r="C158">
        <v>2348</v>
      </c>
      <c r="D158" s="3">
        <v>2348</v>
      </c>
      <c r="E158">
        <v>13168</v>
      </c>
      <c r="F158">
        <v>7700</v>
      </c>
      <c r="G158">
        <v>1424</v>
      </c>
      <c r="H158">
        <v>2376</v>
      </c>
      <c r="I158">
        <v>2792</v>
      </c>
      <c r="J158">
        <v>2320</v>
      </c>
      <c r="K158">
        <v>2016</v>
      </c>
      <c r="L158">
        <v>2196</v>
      </c>
      <c r="M158">
        <v>3184</v>
      </c>
      <c r="N158">
        <v>1848</v>
      </c>
      <c r="O158">
        <v>3772</v>
      </c>
      <c r="P158">
        <v>2092</v>
      </c>
      <c r="Q158">
        <v>2728</v>
      </c>
      <c r="R158">
        <v>2700</v>
      </c>
      <c r="S158">
        <v>29448</v>
      </c>
      <c r="T158" t="s">
        <v>815</v>
      </c>
      <c r="U158" t="s">
        <v>180</v>
      </c>
      <c r="V158" t="s">
        <v>914</v>
      </c>
      <c r="W158" t="s">
        <v>823</v>
      </c>
    </row>
    <row r="159" spans="1:23" x14ac:dyDescent="0.25">
      <c r="A159" t="s">
        <v>640</v>
      </c>
      <c r="B159" s="2" t="s">
        <v>641</v>
      </c>
      <c r="C159">
        <v>14</v>
      </c>
      <c r="D159" s="3">
        <v>14</v>
      </c>
      <c r="E159">
        <v>804</v>
      </c>
      <c r="F159">
        <v>700</v>
      </c>
      <c r="G159">
        <v>0</v>
      </c>
      <c r="H159">
        <v>0</v>
      </c>
      <c r="I159">
        <v>124</v>
      </c>
      <c r="J159">
        <v>4</v>
      </c>
      <c r="K159">
        <v>0</v>
      </c>
      <c r="L159">
        <v>24</v>
      </c>
      <c r="M159">
        <v>100</v>
      </c>
      <c r="N159">
        <v>4</v>
      </c>
      <c r="O159">
        <v>160</v>
      </c>
      <c r="P159">
        <v>284</v>
      </c>
      <c r="Q159">
        <v>0</v>
      </c>
      <c r="R159">
        <v>96</v>
      </c>
      <c r="S159">
        <v>796</v>
      </c>
      <c r="T159" t="s">
        <v>815</v>
      </c>
      <c r="U159" t="s">
        <v>180</v>
      </c>
      <c r="V159" t="s">
        <v>914</v>
      </c>
      <c r="W159" t="s">
        <v>874</v>
      </c>
    </row>
    <row r="160" spans="1:23" x14ac:dyDescent="0.25">
      <c r="A160" t="s">
        <v>642</v>
      </c>
      <c r="B160" t="s">
        <v>642</v>
      </c>
      <c r="C160">
        <v>76</v>
      </c>
      <c r="D160" s="3">
        <v>76</v>
      </c>
      <c r="E160">
        <v>712</v>
      </c>
      <c r="F160">
        <v>400</v>
      </c>
      <c r="G160">
        <v>20</v>
      </c>
      <c r="H160">
        <v>64</v>
      </c>
      <c r="I160">
        <v>40</v>
      </c>
      <c r="J160">
        <v>156</v>
      </c>
      <c r="K160">
        <v>88</v>
      </c>
      <c r="L160">
        <v>64</v>
      </c>
      <c r="M160">
        <v>180</v>
      </c>
      <c r="N160">
        <v>0</v>
      </c>
      <c r="O160">
        <v>100</v>
      </c>
      <c r="P160">
        <v>0</v>
      </c>
      <c r="Q160">
        <v>244</v>
      </c>
      <c r="R160">
        <v>144</v>
      </c>
      <c r="S160">
        <v>1100</v>
      </c>
      <c r="T160" t="s">
        <v>815</v>
      </c>
      <c r="U160" t="s">
        <v>180</v>
      </c>
      <c r="V160" t="s">
        <v>915</v>
      </c>
      <c r="W160" t="s">
        <v>818</v>
      </c>
    </row>
    <row r="161" spans="1:23" x14ac:dyDescent="0.25">
      <c r="A161" t="s">
        <v>643</v>
      </c>
      <c r="B161" t="s">
        <v>643</v>
      </c>
      <c r="C161">
        <v>128</v>
      </c>
      <c r="D161" s="3">
        <v>128</v>
      </c>
      <c r="E161">
        <v>1092</v>
      </c>
      <c r="F161">
        <v>700</v>
      </c>
      <c r="G161">
        <v>64</v>
      </c>
      <c r="H161">
        <v>116</v>
      </c>
      <c r="I161">
        <v>124</v>
      </c>
      <c r="J161">
        <v>212</v>
      </c>
      <c r="K161">
        <v>120</v>
      </c>
      <c r="L161">
        <v>72</v>
      </c>
      <c r="M161">
        <v>176</v>
      </c>
      <c r="N161">
        <v>48</v>
      </c>
      <c r="O161">
        <v>132</v>
      </c>
      <c r="P161">
        <v>132</v>
      </c>
      <c r="Q161">
        <v>256</v>
      </c>
      <c r="R161">
        <v>192</v>
      </c>
      <c r="S161">
        <v>1644</v>
      </c>
      <c r="T161" t="s">
        <v>815</v>
      </c>
      <c r="U161" t="s">
        <v>180</v>
      </c>
      <c r="V161" t="s">
        <v>916</v>
      </c>
      <c r="W161" t="s">
        <v>847</v>
      </c>
    </row>
    <row r="162" spans="1:23" x14ac:dyDescent="0.25">
      <c r="A162" t="s">
        <v>644</v>
      </c>
      <c r="B162" s="2" t="s">
        <v>645</v>
      </c>
      <c r="C162">
        <v>138</v>
      </c>
      <c r="D162" s="3">
        <v>138</v>
      </c>
      <c r="E162">
        <v>988</v>
      </c>
      <c r="F162">
        <v>900</v>
      </c>
      <c r="G162">
        <v>152</v>
      </c>
      <c r="H162">
        <v>432</v>
      </c>
      <c r="I162">
        <v>176</v>
      </c>
      <c r="J162">
        <v>140</v>
      </c>
      <c r="K162">
        <v>96</v>
      </c>
      <c r="L162">
        <v>196</v>
      </c>
      <c r="M162">
        <v>128</v>
      </c>
      <c r="N162">
        <v>-8</v>
      </c>
      <c r="O162">
        <v>124</v>
      </c>
      <c r="P162">
        <v>76</v>
      </c>
      <c r="Q162">
        <v>136</v>
      </c>
      <c r="R162">
        <v>188</v>
      </c>
      <c r="S162">
        <v>1836</v>
      </c>
      <c r="T162" t="s">
        <v>815</v>
      </c>
      <c r="U162" t="s">
        <v>180</v>
      </c>
      <c r="V162" t="s">
        <v>917</v>
      </c>
      <c r="W162" t="s">
        <v>851</v>
      </c>
    </row>
    <row r="163" spans="1:23" x14ac:dyDescent="0.25">
      <c r="A163" t="s">
        <v>646</v>
      </c>
      <c r="B163" s="2" t="s">
        <v>647</v>
      </c>
      <c r="C163">
        <v>174</v>
      </c>
      <c r="D163" s="3">
        <v>174</v>
      </c>
      <c r="E163">
        <v>1192</v>
      </c>
      <c r="F163">
        <v>900</v>
      </c>
      <c r="G163">
        <v>152</v>
      </c>
      <c r="H163">
        <v>540</v>
      </c>
      <c r="I163">
        <v>216</v>
      </c>
      <c r="J163">
        <v>92</v>
      </c>
      <c r="K163">
        <v>172</v>
      </c>
      <c r="L163">
        <v>232</v>
      </c>
      <c r="M163">
        <v>112</v>
      </c>
      <c r="N163">
        <v>84</v>
      </c>
      <c r="O163">
        <v>208</v>
      </c>
      <c r="P163">
        <v>96</v>
      </c>
      <c r="Q163">
        <v>176</v>
      </c>
      <c r="R163">
        <v>212</v>
      </c>
      <c r="S163">
        <v>2292</v>
      </c>
      <c r="T163" t="s">
        <v>815</v>
      </c>
      <c r="U163" t="s">
        <v>180</v>
      </c>
      <c r="V163" t="s">
        <v>918</v>
      </c>
      <c r="W163" t="s">
        <v>874</v>
      </c>
    </row>
    <row r="164" spans="1:23" x14ac:dyDescent="0.25">
      <c r="A164" t="s">
        <v>746</v>
      </c>
      <c r="B164" t="s">
        <v>746</v>
      </c>
      <c r="C164">
        <v>2</v>
      </c>
      <c r="D164" s="3">
        <v>2</v>
      </c>
      <c r="E164">
        <v>24</v>
      </c>
      <c r="G164">
        <v>4</v>
      </c>
      <c r="H164">
        <v>16</v>
      </c>
      <c r="I164">
        <v>4</v>
      </c>
      <c r="J164">
        <v>0</v>
      </c>
      <c r="K164">
        <v>0</v>
      </c>
      <c r="L164">
        <v>0</v>
      </c>
      <c r="M164">
        <v>4</v>
      </c>
      <c r="N164">
        <v>0</v>
      </c>
      <c r="O164">
        <v>4</v>
      </c>
      <c r="P164">
        <v>8</v>
      </c>
      <c r="Q164">
        <v>0</v>
      </c>
      <c r="R164">
        <v>0</v>
      </c>
      <c r="S164">
        <v>40</v>
      </c>
      <c r="T164" t="s">
        <v>815</v>
      </c>
      <c r="U164" t="s">
        <v>294</v>
      </c>
      <c r="V164" t="s">
        <v>919</v>
      </c>
      <c r="W164" t="s">
        <v>817</v>
      </c>
    </row>
    <row r="165" spans="1:23" x14ac:dyDescent="0.25">
      <c r="A165" t="s">
        <v>648</v>
      </c>
      <c r="B165" t="s">
        <v>648</v>
      </c>
      <c r="C165">
        <v>4</v>
      </c>
      <c r="D165" s="3">
        <v>4</v>
      </c>
      <c r="E165">
        <v>56</v>
      </c>
      <c r="F165">
        <v>20</v>
      </c>
      <c r="G165">
        <v>4</v>
      </c>
      <c r="H165">
        <v>20</v>
      </c>
      <c r="I165">
        <v>4</v>
      </c>
      <c r="J165">
        <v>12</v>
      </c>
      <c r="K165">
        <v>4</v>
      </c>
      <c r="L165">
        <v>4</v>
      </c>
      <c r="M165">
        <v>4</v>
      </c>
      <c r="N165">
        <v>0</v>
      </c>
      <c r="O165">
        <v>8</v>
      </c>
      <c r="P165">
        <v>8</v>
      </c>
      <c r="Q165">
        <v>4</v>
      </c>
      <c r="R165">
        <v>0</v>
      </c>
      <c r="S165">
        <v>72</v>
      </c>
      <c r="T165" t="s">
        <v>815</v>
      </c>
      <c r="U165" t="s">
        <v>294</v>
      </c>
      <c r="V165" t="s">
        <v>921</v>
      </c>
      <c r="W165" t="s">
        <v>821</v>
      </c>
    </row>
    <row r="166" spans="1:23" x14ac:dyDescent="0.25">
      <c r="A166" t="s">
        <v>747</v>
      </c>
      <c r="B166" t="s">
        <v>747</v>
      </c>
      <c r="C166">
        <v>0</v>
      </c>
      <c r="D166" s="3">
        <v>0</v>
      </c>
      <c r="E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815</v>
      </c>
      <c r="U166" t="s">
        <v>317</v>
      </c>
      <c r="V166" t="s">
        <v>923</v>
      </c>
      <c r="W166" t="s">
        <v>817</v>
      </c>
    </row>
    <row r="167" spans="1:23" x14ac:dyDescent="0.25">
      <c r="A167" t="s">
        <v>748</v>
      </c>
      <c r="B167" t="s">
        <v>748</v>
      </c>
      <c r="C167">
        <v>0</v>
      </c>
      <c r="D167" s="3">
        <v>0</v>
      </c>
      <c r="E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815</v>
      </c>
      <c r="U167" t="s">
        <v>317</v>
      </c>
      <c r="V167" t="s">
        <v>924</v>
      </c>
      <c r="W167" t="s">
        <v>847</v>
      </c>
    </row>
    <row r="168" spans="1:23" x14ac:dyDescent="0.25">
      <c r="A168" t="s">
        <v>749</v>
      </c>
      <c r="B168" t="s">
        <v>749</v>
      </c>
      <c r="C168">
        <v>0</v>
      </c>
      <c r="D168" s="3">
        <v>0</v>
      </c>
      <c r="E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 t="s">
        <v>815</v>
      </c>
      <c r="U168" t="s">
        <v>317</v>
      </c>
      <c r="V168" t="s">
        <v>926</v>
      </c>
      <c r="W168" t="s">
        <v>818</v>
      </c>
    </row>
    <row r="169" spans="1:23" x14ac:dyDescent="0.25">
      <c r="A169" t="s">
        <v>649</v>
      </c>
      <c r="B169" t="s">
        <v>649</v>
      </c>
      <c r="C169">
        <v>96</v>
      </c>
      <c r="D169" s="3">
        <v>96</v>
      </c>
      <c r="E169">
        <v>640</v>
      </c>
      <c r="F169">
        <v>400</v>
      </c>
      <c r="G169">
        <v>64</v>
      </c>
      <c r="H169">
        <v>84</v>
      </c>
      <c r="I169">
        <v>124</v>
      </c>
      <c r="J169">
        <v>20</v>
      </c>
      <c r="K169">
        <v>68</v>
      </c>
      <c r="L169">
        <v>100</v>
      </c>
      <c r="M169">
        <v>112</v>
      </c>
      <c r="N169">
        <v>92</v>
      </c>
      <c r="O169">
        <v>152</v>
      </c>
      <c r="P169">
        <v>244</v>
      </c>
      <c r="Q169">
        <v>144</v>
      </c>
      <c r="R169">
        <v>72</v>
      </c>
      <c r="S169">
        <v>1276</v>
      </c>
      <c r="T169" t="s">
        <v>815</v>
      </c>
      <c r="U169" t="s">
        <v>363</v>
      </c>
      <c r="V169" t="s">
        <v>927</v>
      </c>
      <c r="W169" t="s">
        <v>817</v>
      </c>
    </row>
    <row r="170" spans="1:23" x14ac:dyDescent="0.25">
      <c r="A170" t="s">
        <v>650</v>
      </c>
      <c r="B170" t="s">
        <v>650</v>
      </c>
      <c r="C170">
        <v>112</v>
      </c>
      <c r="D170" s="3">
        <v>112</v>
      </c>
      <c r="E170">
        <v>824</v>
      </c>
      <c r="F170">
        <v>460</v>
      </c>
      <c r="G170">
        <v>92</v>
      </c>
      <c r="H170">
        <v>100</v>
      </c>
      <c r="I170">
        <v>180</v>
      </c>
      <c r="J170">
        <v>52</v>
      </c>
      <c r="K170">
        <v>92</v>
      </c>
      <c r="L170">
        <v>140</v>
      </c>
      <c r="M170">
        <v>88</v>
      </c>
      <c r="N170">
        <v>116</v>
      </c>
      <c r="O170">
        <v>220</v>
      </c>
      <c r="P170">
        <v>280</v>
      </c>
      <c r="Q170">
        <v>108</v>
      </c>
      <c r="R170">
        <v>136</v>
      </c>
      <c r="S170">
        <v>1604</v>
      </c>
      <c r="T170" t="s">
        <v>815</v>
      </c>
      <c r="U170" t="s">
        <v>363</v>
      </c>
      <c r="V170" t="s">
        <v>929</v>
      </c>
      <c r="W170" t="s">
        <v>821</v>
      </c>
    </row>
    <row r="171" spans="1:23" x14ac:dyDescent="0.25">
      <c r="A171" t="s">
        <v>651</v>
      </c>
      <c r="B171" t="s">
        <v>651</v>
      </c>
      <c r="C171">
        <v>124</v>
      </c>
      <c r="D171" s="3">
        <v>124</v>
      </c>
      <c r="E171">
        <v>1016</v>
      </c>
      <c r="F171">
        <v>500</v>
      </c>
      <c r="G171">
        <v>84</v>
      </c>
      <c r="H171">
        <v>36</v>
      </c>
      <c r="I171">
        <v>132</v>
      </c>
      <c r="J171">
        <v>268</v>
      </c>
      <c r="K171">
        <v>176</v>
      </c>
      <c r="L171">
        <v>116</v>
      </c>
      <c r="M171">
        <v>196</v>
      </c>
      <c r="N171">
        <v>116</v>
      </c>
      <c r="O171">
        <v>280</v>
      </c>
      <c r="P171">
        <v>108</v>
      </c>
      <c r="Q171">
        <v>88</v>
      </c>
      <c r="R171">
        <v>192</v>
      </c>
      <c r="S171">
        <v>1792</v>
      </c>
      <c r="T171" t="s">
        <v>815</v>
      </c>
      <c r="U171" t="s">
        <v>363</v>
      </c>
      <c r="V171" t="s">
        <v>931</v>
      </c>
      <c r="W171" t="s">
        <v>868</v>
      </c>
    </row>
    <row r="172" spans="1:23" x14ac:dyDescent="0.25">
      <c r="A172" t="s">
        <v>652</v>
      </c>
      <c r="B172" t="s">
        <v>652</v>
      </c>
      <c r="C172">
        <v>148</v>
      </c>
      <c r="D172" s="3">
        <v>148</v>
      </c>
      <c r="E172">
        <v>1180</v>
      </c>
      <c r="F172">
        <v>600</v>
      </c>
      <c r="G172">
        <v>84</v>
      </c>
      <c r="H172">
        <v>100</v>
      </c>
      <c r="I172">
        <v>124</v>
      </c>
      <c r="J172">
        <v>256</v>
      </c>
      <c r="K172">
        <v>212</v>
      </c>
      <c r="L172">
        <v>184</v>
      </c>
      <c r="M172">
        <v>176</v>
      </c>
      <c r="N172">
        <v>92</v>
      </c>
      <c r="O172">
        <v>376</v>
      </c>
      <c r="P172">
        <v>104</v>
      </c>
      <c r="Q172">
        <v>108</v>
      </c>
      <c r="R172">
        <v>172</v>
      </c>
      <c r="S172">
        <v>1988</v>
      </c>
      <c r="T172" t="s">
        <v>815</v>
      </c>
      <c r="U172" t="s">
        <v>363</v>
      </c>
      <c r="V172" t="s">
        <v>932</v>
      </c>
      <c r="W172" t="s">
        <v>933</v>
      </c>
    </row>
    <row r="173" spans="1:23" x14ac:dyDescent="0.25">
      <c r="A173" t="s">
        <v>1694</v>
      </c>
      <c r="B173" t="s">
        <v>1694</v>
      </c>
      <c r="C173">
        <v>0</v>
      </c>
      <c r="D173" s="3">
        <v>0</v>
      </c>
      <c r="E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815</v>
      </c>
      <c r="U173" t="s">
        <v>1695</v>
      </c>
      <c r="V173" t="s">
        <v>1696</v>
      </c>
      <c r="W173" t="s">
        <v>847</v>
      </c>
    </row>
    <row r="174" spans="1:23" x14ac:dyDescent="0.25">
      <c r="A174" t="s">
        <v>1697</v>
      </c>
      <c r="B174" t="s">
        <v>1697</v>
      </c>
      <c r="C174">
        <v>0</v>
      </c>
      <c r="D174" s="3">
        <v>0</v>
      </c>
      <c r="E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815</v>
      </c>
      <c r="U174" t="s">
        <v>1698</v>
      </c>
      <c r="V174" t="s">
        <v>1699</v>
      </c>
      <c r="W174" t="s">
        <v>817</v>
      </c>
    </row>
    <row r="175" spans="1:23" x14ac:dyDescent="0.25">
      <c r="A175" t="s">
        <v>1700</v>
      </c>
      <c r="B175" t="s">
        <v>1700</v>
      </c>
      <c r="C175">
        <v>0</v>
      </c>
      <c r="D175" s="3">
        <v>0</v>
      </c>
      <c r="E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 t="s">
        <v>815</v>
      </c>
      <c r="U175" t="s">
        <v>1698</v>
      </c>
      <c r="V175" t="s">
        <v>1701</v>
      </c>
      <c r="W175" t="s">
        <v>821</v>
      </c>
    </row>
    <row r="176" spans="1:23" x14ac:dyDescent="0.25">
      <c r="A176" t="s">
        <v>1702</v>
      </c>
      <c r="B176" t="s">
        <v>1702</v>
      </c>
      <c r="C176">
        <v>0</v>
      </c>
      <c r="D176" s="3">
        <v>0</v>
      </c>
      <c r="E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 t="s">
        <v>815</v>
      </c>
      <c r="U176" t="s">
        <v>1703</v>
      </c>
      <c r="V176" t="s">
        <v>1704</v>
      </c>
      <c r="W176" t="s">
        <v>847</v>
      </c>
    </row>
    <row r="177" spans="1:23" x14ac:dyDescent="0.25">
      <c r="A177" t="s">
        <v>1705</v>
      </c>
      <c r="B177" s="2" t="s">
        <v>1705</v>
      </c>
      <c r="C177">
        <v>0</v>
      </c>
      <c r="D177" s="3">
        <v>0</v>
      </c>
      <c r="E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t="s">
        <v>815</v>
      </c>
      <c r="U177" t="s">
        <v>1703</v>
      </c>
      <c r="V177" t="s">
        <v>1706</v>
      </c>
      <c r="W177" t="s">
        <v>958</v>
      </c>
    </row>
    <row r="178" spans="1:23" x14ac:dyDescent="0.25">
      <c r="A178" t="s">
        <v>937</v>
      </c>
      <c r="B178" t="s">
        <v>937</v>
      </c>
      <c r="C178">
        <v>0</v>
      </c>
      <c r="D178" s="3">
        <v>0</v>
      </c>
      <c r="E178">
        <v>20</v>
      </c>
      <c r="G178">
        <v>16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8</v>
      </c>
      <c r="O178">
        <v>0</v>
      </c>
      <c r="P178">
        <v>8</v>
      </c>
      <c r="Q178">
        <v>0</v>
      </c>
      <c r="R178">
        <v>0</v>
      </c>
      <c r="S178">
        <v>32</v>
      </c>
      <c r="T178" t="s">
        <v>815</v>
      </c>
      <c r="U178" t="s">
        <v>460</v>
      </c>
      <c r="V178" t="s">
        <v>938</v>
      </c>
      <c r="W178" t="s">
        <v>817</v>
      </c>
    </row>
    <row r="179" spans="1:23" x14ac:dyDescent="0.25">
      <c r="A179" t="s">
        <v>654</v>
      </c>
      <c r="B179" t="s">
        <v>654</v>
      </c>
      <c r="C179">
        <v>10</v>
      </c>
      <c r="D179" s="3">
        <v>10</v>
      </c>
      <c r="E179">
        <v>108</v>
      </c>
      <c r="F179">
        <v>100</v>
      </c>
      <c r="G179">
        <v>0</v>
      </c>
      <c r="H179">
        <v>32</v>
      </c>
      <c r="I179">
        <v>0</v>
      </c>
      <c r="J179">
        <v>24</v>
      </c>
      <c r="K179">
        <v>0</v>
      </c>
      <c r="L179">
        <v>32</v>
      </c>
      <c r="M179">
        <v>12</v>
      </c>
      <c r="N179">
        <v>8</v>
      </c>
      <c r="O179">
        <v>0</v>
      </c>
      <c r="P179">
        <v>0</v>
      </c>
      <c r="Q179">
        <v>36</v>
      </c>
      <c r="R179">
        <v>12</v>
      </c>
      <c r="S179">
        <v>156</v>
      </c>
      <c r="T179" t="s">
        <v>815</v>
      </c>
      <c r="U179" t="s">
        <v>460</v>
      </c>
      <c r="V179" t="s">
        <v>940</v>
      </c>
      <c r="W179" t="s">
        <v>821</v>
      </c>
    </row>
    <row r="180" spans="1:23" x14ac:dyDescent="0.25">
      <c r="A180" t="s">
        <v>947</v>
      </c>
      <c r="B180" t="s">
        <v>947</v>
      </c>
      <c r="C180">
        <v>32</v>
      </c>
      <c r="D180" s="3">
        <v>32</v>
      </c>
      <c r="E180">
        <v>260</v>
      </c>
      <c r="G180">
        <v>76</v>
      </c>
      <c r="H180">
        <v>4</v>
      </c>
      <c r="I180">
        <v>88</v>
      </c>
      <c r="J180">
        <v>4</v>
      </c>
      <c r="K180">
        <v>4</v>
      </c>
      <c r="L180">
        <v>32</v>
      </c>
      <c r="M180">
        <v>32</v>
      </c>
      <c r="N180">
        <v>40</v>
      </c>
      <c r="O180">
        <v>60</v>
      </c>
      <c r="P180">
        <v>40</v>
      </c>
      <c r="Q180">
        <v>4</v>
      </c>
      <c r="R180">
        <v>0</v>
      </c>
      <c r="S180">
        <v>384</v>
      </c>
      <c r="T180" t="s">
        <v>815</v>
      </c>
      <c r="U180" t="s">
        <v>492</v>
      </c>
      <c r="V180" t="s">
        <v>948</v>
      </c>
      <c r="W180" t="s">
        <v>821</v>
      </c>
    </row>
    <row r="181" spans="1:23" x14ac:dyDescent="0.25">
      <c r="A181" t="s">
        <v>655</v>
      </c>
      <c r="B181" t="s">
        <v>655</v>
      </c>
      <c r="C181">
        <v>128</v>
      </c>
      <c r="D181" s="3">
        <v>128</v>
      </c>
      <c r="E181">
        <v>816</v>
      </c>
      <c r="F181">
        <v>400</v>
      </c>
      <c r="G181">
        <v>188</v>
      </c>
      <c r="H181">
        <v>132</v>
      </c>
      <c r="I181">
        <v>164</v>
      </c>
      <c r="J181">
        <v>124</v>
      </c>
      <c r="K181">
        <v>76</v>
      </c>
      <c r="L181">
        <v>112</v>
      </c>
      <c r="M181">
        <v>216</v>
      </c>
      <c r="N181">
        <v>116</v>
      </c>
      <c r="O181">
        <v>164</v>
      </c>
      <c r="P181">
        <v>88</v>
      </c>
      <c r="Q181">
        <v>72</v>
      </c>
      <c r="R181">
        <v>192</v>
      </c>
      <c r="S181">
        <v>1644</v>
      </c>
      <c r="T181" t="s">
        <v>815</v>
      </c>
      <c r="U181" t="s">
        <v>492</v>
      </c>
      <c r="V181" t="s">
        <v>949</v>
      </c>
      <c r="W181" t="s">
        <v>817</v>
      </c>
    </row>
    <row r="182" spans="1:23" x14ac:dyDescent="0.25">
      <c r="A182" t="s">
        <v>752</v>
      </c>
      <c r="B182" t="s">
        <v>752</v>
      </c>
      <c r="C182">
        <v>2</v>
      </c>
      <c r="D182" s="3">
        <v>2</v>
      </c>
      <c r="E182">
        <v>184</v>
      </c>
      <c r="G182">
        <v>0</v>
      </c>
      <c r="H182">
        <v>0</v>
      </c>
      <c r="I182">
        <v>8</v>
      </c>
      <c r="J182">
        <v>0</v>
      </c>
      <c r="K182">
        <v>20</v>
      </c>
      <c r="L182">
        <v>0</v>
      </c>
      <c r="M182">
        <v>20</v>
      </c>
      <c r="N182">
        <v>4</v>
      </c>
      <c r="O182">
        <v>4</v>
      </c>
      <c r="P182">
        <v>28</v>
      </c>
      <c r="Q182">
        <v>0</v>
      </c>
      <c r="R182">
        <v>0</v>
      </c>
      <c r="S182">
        <v>84</v>
      </c>
      <c r="T182" t="s">
        <v>815</v>
      </c>
      <c r="U182" t="s">
        <v>492</v>
      </c>
      <c r="V182" t="s">
        <v>949</v>
      </c>
      <c r="W182" t="s">
        <v>818</v>
      </c>
    </row>
    <row r="183" spans="1:23" x14ac:dyDescent="0.25">
      <c r="A183" t="s">
        <v>708</v>
      </c>
      <c r="B183" t="s">
        <v>708</v>
      </c>
      <c r="C183">
        <v>156</v>
      </c>
      <c r="D183" s="3">
        <v>156</v>
      </c>
      <c r="E183">
        <v>1100</v>
      </c>
      <c r="F183">
        <v>500</v>
      </c>
      <c r="G183">
        <v>152</v>
      </c>
      <c r="H183">
        <v>152</v>
      </c>
      <c r="I183">
        <v>376</v>
      </c>
      <c r="J183">
        <v>152</v>
      </c>
      <c r="K183">
        <v>140</v>
      </c>
      <c r="L183">
        <v>184</v>
      </c>
      <c r="M183">
        <v>200</v>
      </c>
      <c r="N183">
        <v>144</v>
      </c>
      <c r="O183">
        <v>208</v>
      </c>
      <c r="P183">
        <v>136</v>
      </c>
      <c r="Q183">
        <v>220</v>
      </c>
      <c r="R183">
        <v>160</v>
      </c>
      <c r="S183">
        <v>2224</v>
      </c>
      <c r="T183" t="s">
        <v>815</v>
      </c>
      <c r="U183" t="s">
        <v>492</v>
      </c>
      <c r="V183" t="s">
        <v>950</v>
      </c>
      <c r="W183" t="s">
        <v>821</v>
      </c>
    </row>
    <row r="184" spans="1:23" x14ac:dyDescent="0.25">
      <c r="A184" t="s">
        <v>753</v>
      </c>
      <c r="B184" t="s">
        <v>753</v>
      </c>
      <c r="C184">
        <v>18</v>
      </c>
      <c r="D184" s="3">
        <v>18</v>
      </c>
      <c r="E184">
        <v>356</v>
      </c>
      <c r="G184">
        <v>0</v>
      </c>
      <c r="H184">
        <v>0</v>
      </c>
      <c r="I184">
        <v>40</v>
      </c>
      <c r="J184">
        <v>20</v>
      </c>
      <c r="K184">
        <v>4</v>
      </c>
      <c r="L184">
        <v>20</v>
      </c>
      <c r="M184">
        <v>36</v>
      </c>
      <c r="N184">
        <v>0</v>
      </c>
      <c r="O184">
        <v>108</v>
      </c>
      <c r="P184">
        <v>40</v>
      </c>
      <c r="Q184">
        <v>16</v>
      </c>
      <c r="R184">
        <v>8</v>
      </c>
      <c r="S184">
        <v>292</v>
      </c>
      <c r="T184" t="s">
        <v>815</v>
      </c>
      <c r="U184" t="s">
        <v>492</v>
      </c>
      <c r="V184" t="s">
        <v>950</v>
      </c>
      <c r="W184" t="s">
        <v>823</v>
      </c>
    </row>
    <row r="185" spans="1:23" x14ac:dyDescent="0.25">
      <c r="A185" t="s">
        <v>656</v>
      </c>
      <c r="B185" t="s">
        <v>656</v>
      </c>
      <c r="C185">
        <v>0</v>
      </c>
      <c r="D185" s="3">
        <v>0</v>
      </c>
      <c r="E185">
        <v>244</v>
      </c>
      <c r="F185">
        <v>100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56</v>
      </c>
      <c r="S185">
        <v>56</v>
      </c>
      <c r="T185" t="s">
        <v>815</v>
      </c>
      <c r="U185" t="s">
        <v>492</v>
      </c>
      <c r="V185" t="s">
        <v>951</v>
      </c>
      <c r="W185" t="s">
        <v>818</v>
      </c>
    </row>
    <row r="186" spans="1:23" x14ac:dyDescent="0.25">
      <c r="A186" t="s">
        <v>768</v>
      </c>
      <c r="B186" t="s">
        <v>768</v>
      </c>
      <c r="C186">
        <v>0</v>
      </c>
      <c r="D186" s="3">
        <v>0</v>
      </c>
      <c r="E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815</v>
      </c>
      <c r="U186" t="s">
        <v>568</v>
      </c>
      <c r="V186" t="s">
        <v>952</v>
      </c>
      <c r="W186" t="s">
        <v>818</v>
      </c>
    </row>
    <row r="187" spans="1:23" x14ac:dyDescent="0.25">
      <c r="A187" t="s">
        <v>769</v>
      </c>
      <c r="B187" t="s">
        <v>769</v>
      </c>
      <c r="C187">
        <v>0</v>
      </c>
      <c r="D187" s="3">
        <v>0</v>
      </c>
      <c r="E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 t="s">
        <v>815</v>
      </c>
      <c r="U187" t="s">
        <v>568</v>
      </c>
      <c r="V187" t="s">
        <v>956</v>
      </c>
      <c r="W187" t="s">
        <v>847</v>
      </c>
    </row>
    <row r="188" spans="1:23" x14ac:dyDescent="0.25">
      <c r="A188" t="s">
        <v>1707</v>
      </c>
      <c r="B188" t="s">
        <v>1707</v>
      </c>
      <c r="C188">
        <v>0</v>
      </c>
      <c r="D188" s="3">
        <v>0</v>
      </c>
      <c r="E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 t="s">
        <v>815</v>
      </c>
      <c r="U188" t="s">
        <v>568</v>
      </c>
      <c r="V188" t="s">
        <v>1708</v>
      </c>
      <c r="W188" t="s">
        <v>847</v>
      </c>
    </row>
    <row r="189" spans="1:23" x14ac:dyDescent="0.25">
      <c r="A189" t="s">
        <v>964</v>
      </c>
      <c r="B189" t="s">
        <v>964</v>
      </c>
      <c r="C189">
        <v>0</v>
      </c>
      <c r="D189" s="3">
        <v>0</v>
      </c>
      <c r="E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 t="s">
        <v>815</v>
      </c>
      <c r="U189" t="s">
        <v>576</v>
      </c>
      <c r="V189" t="s">
        <v>965</v>
      </c>
      <c r="W189" t="s">
        <v>818</v>
      </c>
    </row>
    <row r="190" spans="1:23" x14ac:dyDescent="0.25">
      <c r="A190" t="s">
        <v>966</v>
      </c>
      <c r="B190" t="s">
        <v>966</v>
      </c>
      <c r="C190">
        <v>0</v>
      </c>
      <c r="D190" s="3">
        <v>0</v>
      </c>
      <c r="E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 t="s">
        <v>815</v>
      </c>
      <c r="U190" t="s">
        <v>576</v>
      </c>
      <c r="V190" t="s">
        <v>967</v>
      </c>
      <c r="W190" t="s">
        <v>847</v>
      </c>
    </row>
    <row r="191" spans="1:23" x14ac:dyDescent="0.25">
      <c r="A191" t="s">
        <v>590</v>
      </c>
      <c r="B191" t="s">
        <v>590</v>
      </c>
      <c r="C191">
        <v>0</v>
      </c>
      <c r="D191" s="3">
        <v>0</v>
      </c>
      <c r="E191">
        <v>20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 t="s">
        <v>968</v>
      </c>
      <c r="U191" t="s">
        <v>45</v>
      </c>
      <c r="V191" t="s">
        <v>969</v>
      </c>
      <c r="W191" t="s">
        <v>970</v>
      </c>
    </row>
    <row r="192" spans="1:23" x14ac:dyDescent="0.25">
      <c r="A192" t="s">
        <v>972</v>
      </c>
      <c r="B192" t="s">
        <v>972</v>
      </c>
      <c r="C192">
        <v>0</v>
      </c>
      <c r="D192" s="3">
        <v>0</v>
      </c>
      <c r="E192">
        <v>20</v>
      </c>
      <c r="G192">
        <v>0</v>
      </c>
      <c r="H192">
        <v>0</v>
      </c>
      <c r="I192">
        <v>0</v>
      </c>
      <c r="J192">
        <v>0</v>
      </c>
      <c r="K192">
        <v>12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12</v>
      </c>
      <c r="T192" t="s">
        <v>968</v>
      </c>
      <c r="U192" t="s">
        <v>45</v>
      </c>
      <c r="V192" t="s">
        <v>973</v>
      </c>
      <c r="W192" t="s">
        <v>970</v>
      </c>
    </row>
    <row r="193" spans="1:23" x14ac:dyDescent="0.25">
      <c r="A193" t="s">
        <v>705</v>
      </c>
      <c r="B193" t="s">
        <v>705</v>
      </c>
      <c r="C193">
        <v>4</v>
      </c>
      <c r="D193" s="3">
        <v>4</v>
      </c>
      <c r="E193">
        <v>60</v>
      </c>
      <c r="F193">
        <v>40</v>
      </c>
      <c r="G193">
        <v>8</v>
      </c>
      <c r="H193">
        <v>0</v>
      </c>
      <c r="I193">
        <v>12</v>
      </c>
      <c r="J193">
        <v>12</v>
      </c>
      <c r="K193">
        <v>0</v>
      </c>
      <c r="L193">
        <v>0</v>
      </c>
      <c r="M193">
        <v>8</v>
      </c>
      <c r="N193">
        <v>32</v>
      </c>
      <c r="O193">
        <v>-20</v>
      </c>
      <c r="P193">
        <v>0</v>
      </c>
      <c r="Q193">
        <v>20</v>
      </c>
      <c r="R193">
        <v>0</v>
      </c>
      <c r="S193">
        <v>72</v>
      </c>
      <c r="T193" t="s">
        <v>968</v>
      </c>
      <c r="U193" t="s">
        <v>45</v>
      </c>
      <c r="V193" t="s">
        <v>974</v>
      </c>
      <c r="W193" t="s">
        <v>970</v>
      </c>
    </row>
    <row r="194" spans="1:23" x14ac:dyDescent="0.25">
      <c r="A194" t="s">
        <v>975</v>
      </c>
      <c r="B194" t="s">
        <v>975</v>
      </c>
      <c r="C194">
        <v>0</v>
      </c>
      <c r="D194" s="3">
        <v>0</v>
      </c>
      <c r="E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 t="s">
        <v>968</v>
      </c>
      <c r="U194" t="s">
        <v>83</v>
      </c>
      <c r="V194" t="s">
        <v>976</v>
      </c>
      <c r="W194" t="s">
        <v>970</v>
      </c>
    </row>
    <row r="195" spans="1:23" x14ac:dyDescent="0.25">
      <c r="A195" t="s">
        <v>591</v>
      </c>
      <c r="B195" t="s">
        <v>591</v>
      </c>
      <c r="C195">
        <v>16</v>
      </c>
      <c r="D195" s="3">
        <v>16</v>
      </c>
      <c r="E195">
        <v>252</v>
      </c>
      <c r="F195">
        <v>120</v>
      </c>
      <c r="G195">
        <v>0</v>
      </c>
      <c r="H195">
        <v>16</v>
      </c>
      <c r="I195">
        <v>64</v>
      </c>
      <c r="J195">
        <v>32</v>
      </c>
      <c r="K195">
        <v>32</v>
      </c>
      <c r="L195">
        <v>16</v>
      </c>
      <c r="M195">
        <v>76</v>
      </c>
      <c r="N195">
        <v>0</v>
      </c>
      <c r="O195">
        <v>0</v>
      </c>
      <c r="P195">
        <v>0</v>
      </c>
      <c r="Q195">
        <v>0</v>
      </c>
      <c r="R195">
        <v>68</v>
      </c>
      <c r="S195">
        <v>304</v>
      </c>
      <c r="T195" t="s">
        <v>968</v>
      </c>
      <c r="U195" t="s">
        <v>83</v>
      </c>
      <c r="V195" t="s">
        <v>976</v>
      </c>
      <c r="W195" t="s">
        <v>970</v>
      </c>
    </row>
    <row r="196" spans="1:23" x14ac:dyDescent="0.25">
      <c r="A196" t="s">
        <v>977</v>
      </c>
      <c r="B196" t="s">
        <v>977</v>
      </c>
      <c r="C196">
        <v>0</v>
      </c>
      <c r="D196" s="3">
        <v>0</v>
      </c>
      <c r="E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 t="s">
        <v>968</v>
      </c>
      <c r="U196" t="s">
        <v>83</v>
      </c>
      <c r="V196" t="s">
        <v>790</v>
      </c>
      <c r="W196" t="s">
        <v>970</v>
      </c>
    </row>
    <row r="197" spans="1:23" x14ac:dyDescent="0.25">
      <c r="A197" t="s">
        <v>592</v>
      </c>
      <c r="B197" t="s">
        <v>592</v>
      </c>
      <c r="C197">
        <v>13.5</v>
      </c>
      <c r="D197" s="3">
        <v>13.5</v>
      </c>
      <c r="E197">
        <v>171</v>
      </c>
      <c r="F197">
        <v>120</v>
      </c>
      <c r="G197">
        <v>3</v>
      </c>
      <c r="H197">
        <v>45</v>
      </c>
      <c r="I197">
        <v>15</v>
      </c>
      <c r="J197">
        <v>15</v>
      </c>
      <c r="K197">
        <v>0</v>
      </c>
      <c r="L197">
        <v>36</v>
      </c>
      <c r="M197">
        <v>8</v>
      </c>
      <c r="N197">
        <v>0</v>
      </c>
      <c r="O197">
        <v>42</v>
      </c>
      <c r="P197">
        <v>0</v>
      </c>
      <c r="Q197">
        <v>12</v>
      </c>
      <c r="R197">
        <v>45</v>
      </c>
      <c r="S197">
        <v>221</v>
      </c>
      <c r="T197" t="s">
        <v>968</v>
      </c>
      <c r="U197" t="s">
        <v>83</v>
      </c>
      <c r="V197" t="s">
        <v>790</v>
      </c>
      <c r="W197" t="s">
        <v>970</v>
      </c>
    </row>
    <row r="198" spans="1:23" x14ac:dyDescent="0.25">
      <c r="A198" t="s">
        <v>1709</v>
      </c>
      <c r="B198" s="2" t="s">
        <v>593</v>
      </c>
      <c r="C198">
        <v>0</v>
      </c>
      <c r="D198" s="3">
        <v>0</v>
      </c>
      <c r="E198">
        <v>20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 t="s">
        <v>968</v>
      </c>
      <c r="U198" t="s">
        <v>83</v>
      </c>
      <c r="V198" t="s">
        <v>978</v>
      </c>
      <c r="W198" t="s">
        <v>970</v>
      </c>
    </row>
    <row r="199" spans="1:23" x14ac:dyDescent="0.25">
      <c r="A199" t="s">
        <v>979</v>
      </c>
      <c r="B199" t="s">
        <v>979</v>
      </c>
      <c r="C199">
        <v>20</v>
      </c>
      <c r="D199" s="3">
        <v>20</v>
      </c>
      <c r="E199">
        <v>192</v>
      </c>
      <c r="G199">
        <v>8</v>
      </c>
      <c r="H199">
        <v>16</v>
      </c>
      <c r="I199">
        <v>36</v>
      </c>
      <c r="J199">
        <v>0</v>
      </c>
      <c r="K199">
        <v>8</v>
      </c>
      <c r="L199">
        <v>44</v>
      </c>
      <c r="M199">
        <v>80</v>
      </c>
      <c r="N199">
        <v>48</v>
      </c>
      <c r="O199">
        <v>40</v>
      </c>
      <c r="P199">
        <v>16</v>
      </c>
      <c r="Q199">
        <v>0</v>
      </c>
      <c r="R199">
        <v>24</v>
      </c>
      <c r="S199">
        <v>320</v>
      </c>
      <c r="T199" t="s">
        <v>968</v>
      </c>
      <c r="U199" t="s">
        <v>83</v>
      </c>
      <c r="V199" t="s">
        <v>978</v>
      </c>
      <c r="W199" t="s">
        <v>970</v>
      </c>
    </row>
    <row r="200" spans="1:23" x14ac:dyDescent="0.25">
      <c r="A200" t="s">
        <v>1710</v>
      </c>
      <c r="B200" t="s">
        <v>1710</v>
      </c>
      <c r="C200">
        <v>0</v>
      </c>
      <c r="D200" s="3">
        <v>0</v>
      </c>
      <c r="E200">
        <v>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 t="s">
        <v>968</v>
      </c>
      <c r="U200" t="s">
        <v>1711</v>
      </c>
      <c r="V200" t="s">
        <v>1712</v>
      </c>
      <c r="W200" t="s">
        <v>970</v>
      </c>
    </row>
    <row r="201" spans="1:23" x14ac:dyDescent="0.25">
      <c r="A201" t="s">
        <v>1713</v>
      </c>
      <c r="B201" t="s">
        <v>1713</v>
      </c>
      <c r="C201">
        <v>0</v>
      </c>
      <c r="D201" s="3">
        <v>0</v>
      </c>
      <c r="E201">
        <v>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 t="s">
        <v>968</v>
      </c>
      <c r="U201" t="s">
        <v>1711</v>
      </c>
      <c r="V201" t="s">
        <v>1714</v>
      </c>
      <c r="W201" t="s">
        <v>970</v>
      </c>
    </row>
    <row r="202" spans="1:23" x14ac:dyDescent="0.25">
      <c r="A202" t="s">
        <v>1715</v>
      </c>
      <c r="B202" t="s">
        <v>1715</v>
      </c>
      <c r="C202">
        <v>0</v>
      </c>
      <c r="D202" s="3">
        <v>0</v>
      </c>
      <c r="E202">
        <v>20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 t="s">
        <v>968</v>
      </c>
      <c r="U202" t="s">
        <v>1711</v>
      </c>
      <c r="V202" t="s">
        <v>1716</v>
      </c>
      <c r="W202" t="s">
        <v>970</v>
      </c>
    </row>
    <row r="203" spans="1:23" x14ac:dyDescent="0.25">
      <c r="A203" t="s">
        <v>1717</v>
      </c>
      <c r="B203" t="s">
        <v>1717</v>
      </c>
      <c r="C203">
        <v>0</v>
      </c>
      <c r="D203" s="3">
        <v>0</v>
      </c>
      <c r="E203">
        <v>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 t="s">
        <v>968</v>
      </c>
      <c r="U203" t="s">
        <v>1711</v>
      </c>
      <c r="V203" t="s">
        <v>1718</v>
      </c>
      <c r="W203" t="s">
        <v>970</v>
      </c>
    </row>
    <row r="204" spans="1:23" x14ac:dyDescent="0.25">
      <c r="A204" t="s">
        <v>984</v>
      </c>
      <c r="B204" t="s">
        <v>984</v>
      </c>
      <c r="C204">
        <v>0</v>
      </c>
      <c r="D204" s="3">
        <v>0</v>
      </c>
      <c r="E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 t="s">
        <v>968</v>
      </c>
      <c r="U204" t="s">
        <v>886</v>
      </c>
      <c r="V204" t="s">
        <v>985</v>
      </c>
      <c r="W204" t="s">
        <v>970</v>
      </c>
    </row>
    <row r="205" spans="1:23" x14ac:dyDescent="0.25">
      <c r="A205" t="s">
        <v>986</v>
      </c>
      <c r="B205" t="s">
        <v>986</v>
      </c>
      <c r="C205">
        <v>0</v>
      </c>
      <c r="D205" s="3">
        <v>0</v>
      </c>
      <c r="E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 t="s">
        <v>968</v>
      </c>
      <c r="U205" t="s">
        <v>166</v>
      </c>
      <c r="V205" t="s">
        <v>987</v>
      </c>
      <c r="W205" t="s">
        <v>970</v>
      </c>
    </row>
    <row r="206" spans="1:23" x14ac:dyDescent="0.25">
      <c r="A206" t="s">
        <v>988</v>
      </c>
      <c r="B206" t="s">
        <v>988</v>
      </c>
      <c r="C206">
        <v>0</v>
      </c>
      <c r="D206" s="3">
        <v>0</v>
      </c>
      <c r="E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 t="s">
        <v>968</v>
      </c>
      <c r="U206" t="s">
        <v>166</v>
      </c>
      <c r="V206" t="s">
        <v>987</v>
      </c>
      <c r="W206" t="s">
        <v>970</v>
      </c>
    </row>
    <row r="207" spans="1:23" x14ac:dyDescent="0.25">
      <c r="A207" t="s">
        <v>1719</v>
      </c>
      <c r="B207" s="2" t="s">
        <v>989</v>
      </c>
      <c r="C207">
        <v>0</v>
      </c>
      <c r="D207" s="3">
        <v>0</v>
      </c>
      <c r="E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 t="s">
        <v>968</v>
      </c>
      <c r="U207" t="s">
        <v>166</v>
      </c>
      <c r="V207" t="s">
        <v>987</v>
      </c>
      <c r="W207" t="s">
        <v>815</v>
      </c>
    </row>
    <row r="208" spans="1:23" x14ac:dyDescent="0.25">
      <c r="A208" t="s">
        <v>1720</v>
      </c>
      <c r="B208" s="2" t="s">
        <v>990</v>
      </c>
      <c r="C208">
        <v>0</v>
      </c>
      <c r="D208" s="3">
        <v>0</v>
      </c>
      <c r="E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 t="s">
        <v>968</v>
      </c>
      <c r="U208" t="s">
        <v>166</v>
      </c>
      <c r="V208" t="s">
        <v>987</v>
      </c>
      <c r="W208" t="s">
        <v>815</v>
      </c>
    </row>
    <row r="209" spans="1:23" x14ac:dyDescent="0.25">
      <c r="A209" t="s">
        <v>594</v>
      </c>
      <c r="B209" t="s">
        <v>594</v>
      </c>
      <c r="C209">
        <v>852</v>
      </c>
      <c r="D209" s="3">
        <v>852</v>
      </c>
      <c r="E209">
        <v>6912</v>
      </c>
      <c r="F209">
        <v>4000</v>
      </c>
      <c r="G209">
        <v>1396</v>
      </c>
      <c r="H209">
        <v>2700</v>
      </c>
      <c r="I209">
        <v>1276</v>
      </c>
      <c r="J209">
        <v>980</v>
      </c>
      <c r="K209">
        <v>1260</v>
      </c>
      <c r="L209">
        <v>724</v>
      </c>
      <c r="M209">
        <v>1000</v>
      </c>
      <c r="N209">
        <v>616</v>
      </c>
      <c r="O209">
        <v>0</v>
      </c>
      <c r="P209">
        <v>0</v>
      </c>
      <c r="Q209">
        <v>12</v>
      </c>
      <c r="R209">
        <v>608</v>
      </c>
      <c r="S209">
        <v>10572</v>
      </c>
      <c r="T209" t="s">
        <v>968</v>
      </c>
      <c r="U209" t="s">
        <v>180</v>
      </c>
      <c r="V209" t="s">
        <v>991</v>
      </c>
      <c r="W209" t="s">
        <v>970</v>
      </c>
    </row>
    <row r="210" spans="1:23" x14ac:dyDescent="0.25">
      <c r="A210" t="s">
        <v>595</v>
      </c>
      <c r="B210" t="s">
        <v>595</v>
      </c>
      <c r="C210">
        <v>844</v>
      </c>
      <c r="D210" s="3">
        <v>844</v>
      </c>
      <c r="E210">
        <v>7752</v>
      </c>
      <c r="F210">
        <v>4400</v>
      </c>
      <c r="G210">
        <v>1452</v>
      </c>
      <c r="H210">
        <v>2532</v>
      </c>
      <c r="I210">
        <v>1224</v>
      </c>
      <c r="J210">
        <v>1100</v>
      </c>
      <c r="K210">
        <v>1684</v>
      </c>
      <c r="L210">
        <v>664</v>
      </c>
      <c r="M210">
        <v>1024</v>
      </c>
      <c r="N210">
        <v>612</v>
      </c>
      <c r="O210">
        <v>396</v>
      </c>
      <c r="P210">
        <v>164</v>
      </c>
      <c r="Q210">
        <v>272</v>
      </c>
      <c r="R210">
        <v>576</v>
      </c>
      <c r="S210">
        <v>11700</v>
      </c>
      <c r="T210" t="s">
        <v>968</v>
      </c>
      <c r="U210" t="s">
        <v>180</v>
      </c>
      <c r="V210" t="s">
        <v>992</v>
      </c>
      <c r="W210" t="s">
        <v>970</v>
      </c>
    </row>
    <row r="211" spans="1:23" x14ac:dyDescent="0.25">
      <c r="A211" t="s">
        <v>596</v>
      </c>
      <c r="B211" t="s">
        <v>596</v>
      </c>
      <c r="C211">
        <v>2526</v>
      </c>
      <c r="D211" s="3">
        <v>2526</v>
      </c>
      <c r="E211">
        <v>14000</v>
      </c>
      <c r="F211">
        <v>14000</v>
      </c>
      <c r="G211">
        <v>4800</v>
      </c>
      <c r="H211">
        <v>1448</v>
      </c>
      <c r="I211">
        <v>2440</v>
      </c>
      <c r="J211">
        <v>852</v>
      </c>
      <c r="K211">
        <v>4128</v>
      </c>
      <c r="L211">
        <v>1020</v>
      </c>
      <c r="M211">
        <v>4324</v>
      </c>
      <c r="N211">
        <v>3904</v>
      </c>
      <c r="O211">
        <v>2612</v>
      </c>
      <c r="P211">
        <v>2672</v>
      </c>
      <c r="Q211">
        <v>480</v>
      </c>
      <c r="R211">
        <v>0</v>
      </c>
      <c r="S211">
        <v>28680</v>
      </c>
      <c r="T211" t="s">
        <v>968</v>
      </c>
      <c r="U211" t="s">
        <v>180</v>
      </c>
      <c r="V211" t="s">
        <v>993</v>
      </c>
      <c r="W211" t="s">
        <v>970</v>
      </c>
    </row>
    <row r="212" spans="1:23" x14ac:dyDescent="0.25">
      <c r="A212" t="s">
        <v>597</v>
      </c>
      <c r="B212" t="s">
        <v>597</v>
      </c>
      <c r="C212">
        <v>3014</v>
      </c>
      <c r="D212" s="3">
        <v>3014</v>
      </c>
      <c r="E212">
        <v>19200</v>
      </c>
      <c r="F212">
        <v>19200</v>
      </c>
      <c r="G212">
        <v>4452</v>
      </c>
      <c r="H212">
        <v>1552</v>
      </c>
      <c r="I212">
        <v>2828</v>
      </c>
      <c r="J212">
        <v>52</v>
      </c>
      <c r="K212">
        <v>7020</v>
      </c>
      <c r="L212">
        <v>2556</v>
      </c>
      <c r="M212">
        <v>5988</v>
      </c>
      <c r="N212">
        <v>5208</v>
      </c>
      <c r="O212">
        <v>4188</v>
      </c>
      <c r="P212">
        <v>3200</v>
      </c>
      <c r="Q212">
        <v>2156</v>
      </c>
      <c r="R212">
        <v>400</v>
      </c>
      <c r="S212">
        <v>39600</v>
      </c>
      <c r="T212" t="s">
        <v>968</v>
      </c>
      <c r="U212" t="s">
        <v>180</v>
      </c>
      <c r="V212" t="s">
        <v>994</v>
      </c>
      <c r="W212" t="s">
        <v>970</v>
      </c>
    </row>
    <row r="213" spans="1:23" x14ac:dyDescent="0.25">
      <c r="A213" t="s">
        <v>598</v>
      </c>
      <c r="B213" t="s">
        <v>598</v>
      </c>
      <c r="C213">
        <v>0</v>
      </c>
      <c r="D213" s="3">
        <v>0</v>
      </c>
      <c r="E213">
        <v>3856</v>
      </c>
      <c r="F213">
        <v>3840</v>
      </c>
      <c r="G213">
        <v>0</v>
      </c>
      <c r="H213">
        <v>0</v>
      </c>
      <c r="I213">
        <v>0</v>
      </c>
      <c r="J213">
        <v>0</v>
      </c>
      <c r="K213">
        <v>1240</v>
      </c>
      <c r="L213">
        <v>1728</v>
      </c>
      <c r="M213">
        <v>480</v>
      </c>
      <c r="N213">
        <v>0</v>
      </c>
      <c r="O213">
        <v>1568</v>
      </c>
      <c r="P213">
        <v>864</v>
      </c>
      <c r="Q213">
        <v>0</v>
      </c>
      <c r="R213">
        <v>0</v>
      </c>
      <c r="S213">
        <v>5880</v>
      </c>
      <c r="T213" t="s">
        <v>968</v>
      </c>
      <c r="U213" t="s">
        <v>180</v>
      </c>
      <c r="V213" t="s">
        <v>995</v>
      </c>
      <c r="W213" t="s">
        <v>970</v>
      </c>
    </row>
    <row r="214" spans="1:23" x14ac:dyDescent="0.25">
      <c r="A214" t="s">
        <v>743</v>
      </c>
      <c r="B214" t="s">
        <v>743</v>
      </c>
      <c r="C214">
        <v>92</v>
      </c>
      <c r="D214" s="3">
        <v>92</v>
      </c>
      <c r="E214">
        <v>1456</v>
      </c>
      <c r="G214">
        <v>32</v>
      </c>
      <c r="H214">
        <v>96</v>
      </c>
      <c r="I214">
        <v>144</v>
      </c>
      <c r="J214">
        <v>152</v>
      </c>
      <c r="K214">
        <v>104</v>
      </c>
      <c r="L214">
        <v>296</v>
      </c>
      <c r="M214">
        <v>40</v>
      </c>
      <c r="N214">
        <v>208</v>
      </c>
      <c r="O214">
        <v>88</v>
      </c>
      <c r="P214">
        <v>32</v>
      </c>
      <c r="Q214">
        <v>64</v>
      </c>
      <c r="R214">
        <v>-16</v>
      </c>
      <c r="S214">
        <v>1240</v>
      </c>
      <c r="T214" t="s">
        <v>968</v>
      </c>
      <c r="U214" t="s">
        <v>180</v>
      </c>
      <c r="V214" t="s">
        <v>996</v>
      </c>
      <c r="W214" t="s">
        <v>970</v>
      </c>
    </row>
    <row r="215" spans="1:23" x14ac:dyDescent="0.25">
      <c r="A215" t="s">
        <v>599</v>
      </c>
      <c r="B215" t="s">
        <v>599</v>
      </c>
      <c r="C215">
        <v>712</v>
      </c>
      <c r="D215" s="3">
        <v>712</v>
      </c>
      <c r="E215">
        <v>6076</v>
      </c>
      <c r="F215">
        <v>4400</v>
      </c>
      <c r="G215">
        <v>528</v>
      </c>
      <c r="H215">
        <v>628</v>
      </c>
      <c r="I215">
        <v>896</v>
      </c>
      <c r="J215">
        <v>588</v>
      </c>
      <c r="K215">
        <v>584</v>
      </c>
      <c r="L215">
        <v>476</v>
      </c>
      <c r="M215">
        <v>796</v>
      </c>
      <c r="N215">
        <v>572</v>
      </c>
      <c r="O215">
        <v>1604</v>
      </c>
      <c r="P215">
        <v>1472</v>
      </c>
      <c r="Q215">
        <v>1692</v>
      </c>
      <c r="R215">
        <v>1204</v>
      </c>
      <c r="S215">
        <v>11040</v>
      </c>
      <c r="T215" t="s">
        <v>968</v>
      </c>
      <c r="U215" t="s">
        <v>180</v>
      </c>
      <c r="V215" t="s">
        <v>997</v>
      </c>
      <c r="W215" t="s">
        <v>970</v>
      </c>
    </row>
    <row r="216" spans="1:23" x14ac:dyDescent="0.25">
      <c r="A216" t="s">
        <v>998</v>
      </c>
      <c r="B216" t="s">
        <v>998</v>
      </c>
      <c r="C216">
        <v>6</v>
      </c>
      <c r="D216" s="3">
        <v>6</v>
      </c>
      <c r="E216">
        <v>136</v>
      </c>
      <c r="G216">
        <v>40</v>
      </c>
      <c r="H216">
        <v>60</v>
      </c>
      <c r="I216">
        <v>0</v>
      </c>
      <c r="J216">
        <v>0</v>
      </c>
      <c r="K216">
        <v>28</v>
      </c>
      <c r="L216">
        <v>8</v>
      </c>
      <c r="M216">
        <v>8</v>
      </c>
      <c r="N216">
        <v>4</v>
      </c>
      <c r="O216">
        <v>28</v>
      </c>
      <c r="P216">
        <v>4</v>
      </c>
      <c r="Q216">
        <v>-20</v>
      </c>
      <c r="R216">
        <v>4</v>
      </c>
      <c r="S216">
        <v>164</v>
      </c>
      <c r="T216" t="s">
        <v>968</v>
      </c>
      <c r="U216" t="s">
        <v>180</v>
      </c>
      <c r="V216" t="s">
        <v>997</v>
      </c>
      <c r="W216" t="s">
        <v>813</v>
      </c>
    </row>
    <row r="217" spans="1:23" x14ac:dyDescent="0.25">
      <c r="A217" t="s">
        <v>600</v>
      </c>
      <c r="B217" t="s">
        <v>600</v>
      </c>
      <c r="C217">
        <v>1054</v>
      </c>
      <c r="D217" s="3">
        <v>1054</v>
      </c>
      <c r="E217">
        <v>7244</v>
      </c>
      <c r="F217">
        <v>5000</v>
      </c>
      <c r="G217">
        <v>768</v>
      </c>
      <c r="H217">
        <v>932</v>
      </c>
      <c r="I217">
        <v>1232</v>
      </c>
      <c r="J217">
        <v>1152</v>
      </c>
      <c r="K217">
        <v>776</v>
      </c>
      <c r="L217">
        <v>568</v>
      </c>
      <c r="M217">
        <v>956</v>
      </c>
      <c r="N217">
        <v>664</v>
      </c>
      <c r="O217">
        <v>1456</v>
      </c>
      <c r="P217">
        <v>1408</v>
      </c>
      <c r="Q217">
        <v>1660</v>
      </c>
      <c r="R217">
        <v>1260</v>
      </c>
      <c r="S217">
        <v>12832</v>
      </c>
      <c r="T217" t="s">
        <v>968</v>
      </c>
      <c r="U217" t="s">
        <v>180</v>
      </c>
      <c r="V217" t="s">
        <v>1001</v>
      </c>
      <c r="W217" t="s">
        <v>970</v>
      </c>
    </row>
    <row r="218" spans="1:23" x14ac:dyDescent="0.25">
      <c r="A218" t="s">
        <v>1002</v>
      </c>
      <c r="B218" t="s">
        <v>1002</v>
      </c>
      <c r="C218">
        <v>12</v>
      </c>
      <c r="D218" s="3">
        <v>12</v>
      </c>
      <c r="E218">
        <v>156</v>
      </c>
      <c r="G218">
        <v>40</v>
      </c>
      <c r="H218">
        <v>60</v>
      </c>
      <c r="I218">
        <v>0</v>
      </c>
      <c r="J218">
        <v>0</v>
      </c>
      <c r="K218">
        <v>8</v>
      </c>
      <c r="L218">
        <v>28</v>
      </c>
      <c r="M218">
        <v>16</v>
      </c>
      <c r="N218">
        <v>44</v>
      </c>
      <c r="O218">
        <v>16</v>
      </c>
      <c r="P218">
        <v>8</v>
      </c>
      <c r="Q218">
        <v>-20</v>
      </c>
      <c r="R218">
        <v>4</v>
      </c>
      <c r="S218">
        <v>204</v>
      </c>
      <c r="T218" t="s">
        <v>968</v>
      </c>
      <c r="U218" t="s">
        <v>180</v>
      </c>
      <c r="V218" t="s">
        <v>1001</v>
      </c>
      <c r="W218" t="s">
        <v>813</v>
      </c>
    </row>
    <row r="219" spans="1:23" x14ac:dyDescent="0.25">
      <c r="A219" t="s">
        <v>601</v>
      </c>
      <c r="B219" t="s">
        <v>601</v>
      </c>
      <c r="C219">
        <v>1638</v>
      </c>
      <c r="D219" s="3">
        <v>1638</v>
      </c>
      <c r="E219">
        <v>14784</v>
      </c>
      <c r="F219">
        <v>12340</v>
      </c>
      <c r="G219">
        <v>1712</v>
      </c>
      <c r="H219">
        <v>1528</v>
      </c>
      <c r="I219">
        <v>4032</v>
      </c>
      <c r="J219">
        <v>704</v>
      </c>
      <c r="K219">
        <v>3256</v>
      </c>
      <c r="L219">
        <v>560</v>
      </c>
      <c r="M219">
        <v>1196</v>
      </c>
      <c r="N219">
        <v>412</v>
      </c>
      <c r="O219">
        <v>1588</v>
      </c>
      <c r="P219">
        <v>1688</v>
      </c>
      <c r="Q219">
        <v>2660</v>
      </c>
      <c r="R219">
        <v>2756</v>
      </c>
      <c r="S219">
        <v>22092</v>
      </c>
      <c r="T219" t="s">
        <v>968</v>
      </c>
      <c r="U219" t="s">
        <v>180</v>
      </c>
      <c r="V219" t="s">
        <v>1005</v>
      </c>
      <c r="W219" t="s">
        <v>970</v>
      </c>
    </row>
    <row r="220" spans="1:23" x14ac:dyDescent="0.25">
      <c r="A220" t="s">
        <v>1006</v>
      </c>
      <c r="B220" t="s">
        <v>1006</v>
      </c>
      <c r="C220">
        <v>14</v>
      </c>
      <c r="D220" s="3">
        <v>14</v>
      </c>
      <c r="E220">
        <v>328</v>
      </c>
      <c r="G220">
        <v>264</v>
      </c>
      <c r="H220">
        <v>88</v>
      </c>
      <c r="I220">
        <v>8</v>
      </c>
      <c r="J220">
        <v>40</v>
      </c>
      <c r="K220">
        <v>20</v>
      </c>
      <c r="L220">
        <v>28</v>
      </c>
      <c r="M220">
        <v>16</v>
      </c>
      <c r="N220">
        <v>12</v>
      </c>
      <c r="O220">
        <v>0</v>
      </c>
      <c r="P220">
        <v>8</v>
      </c>
      <c r="Q220">
        <v>-20</v>
      </c>
      <c r="R220">
        <v>8</v>
      </c>
      <c r="S220">
        <v>472</v>
      </c>
      <c r="T220" t="s">
        <v>968</v>
      </c>
      <c r="U220" t="s">
        <v>180</v>
      </c>
      <c r="V220" t="s">
        <v>1005</v>
      </c>
      <c r="W220" t="s">
        <v>813</v>
      </c>
    </row>
    <row r="221" spans="1:23" x14ac:dyDescent="0.25">
      <c r="A221" t="s">
        <v>1007</v>
      </c>
      <c r="B221" t="s">
        <v>1007</v>
      </c>
      <c r="C221">
        <v>0</v>
      </c>
      <c r="D221" s="3">
        <v>0</v>
      </c>
      <c r="E221">
        <v>60</v>
      </c>
      <c r="G221">
        <v>20</v>
      </c>
      <c r="H221">
        <v>0</v>
      </c>
      <c r="I221">
        <v>0</v>
      </c>
      <c r="J221">
        <v>8</v>
      </c>
      <c r="K221">
        <v>0</v>
      </c>
      <c r="L221">
        <v>0</v>
      </c>
      <c r="M221">
        <v>0</v>
      </c>
      <c r="N221">
        <v>8</v>
      </c>
      <c r="O221">
        <v>0</v>
      </c>
      <c r="P221">
        <v>4</v>
      </c>
      <c r="Q221">
        <v>0</v>
      </c>
      <c r="R221">
        <v>0</v>
      </c>
      <c r="S221">
        <v>40</v>
      </c>
      <c r="T221" t="s">
        <v>968</v>
      </c>
      <c r="U221" t="s">
        <v>180</v>
      </c>
      <c r="V221" t="s">
        <v>1005</v>
      </c>
      <c r="W221" t="s">
        <v>815</v>
      </c>
    </row>
    <row r="222" spans="1:23" x14ac:dyDescent="0.25">
      <c r="A222" t="s">
        <v>602</v>
      </c>
      <c r="B222" t="s">
        <v>602</v>
      </c>
      <c r="C222">
        <v>2520</v>
      </c>
      <c r="D222" s="3">
        <v>2520</v>
      </c>
      <c r="E222">
        <v>19804</v>
      </c>
      <c r="F222">
        <v>17100</v>
      </c>
      <c r="G222">
        <v>2448</v>
      </c>
      <c r="H222">
        <v>2592</v>
      </c>
      <c r="I222">
        <v>4632</v>
      </c>
      <c r="J222">
        <v>1224</v>
      </c>
      <c r="K222">
        <v>3744</v>
      </c>
      <c r="L222">
        <v>732</v>
      </c>
      <c r="M222">
        <v>1364</v>
      </c>
      <c r="N222">
        <v>0</v>
      </c>
      <c r="O222">
        <v>3308</v>
      </c>
      <c r="P222">
        <v>2036</v>
      </c>
      <c r="Q222">
        <v>3048</v>
      </c>
      <c r="R222">
        <v>4264</v>
      </c>
      <c r="S222">
        <v>29392</v>
      </c>
      <c r="T222" t="s">
        <v>968</v>
      </c>
      <c r="U222" t="s">
        <v>180</v>
      </c>
      <c r="V222" t="s">
        <v>1009</v>
      </c>
      <c r="W222" t="s">
        <v>970</v>
      </c>
    </row>
    <row r="223" spans="1:23" x14ac:dyDescent="0.25">
      <c r="A223" t="s">
        <v>1010</v>
      </c>
      <c r="B223" t="s">
        <v>1010</v>
      </c>
      <c r="C223">
        <v>26</v>
      </c>
      <c r="D223" s="3">
        <v>26</v>
      </c>
      <c r="E223">
        <v>316</v>
      </c>
      <c r="G223">
        <v>264</v>
      </c>
      <c r="H223">
        <v>96</v>
      </c>
      <c r="I223">
        <v>0</v>
      </c>
      <c r="J223">
        <v>40</v>
      </c>
      <c r="K223">
        <v>20</v>
      </c>
      <c r="L223">
        <v>32</v>
      </c>
      <c r="M223">
        <v>8</v>
      </c>
      <c r="N223">
        <v>56</v>
      </c>
      <c r="O223">
        <v>8</v>
      </c>
      <c r="P223">
        <v>0</v>
      </c>
      <c r="Q223">
        <v>-12</v>
      </c>
      <c r="R223">
        <v>52</v>
      </c>
      <c r="S223">
        <v>564</v>
      </c>
      <c r="T223" t="s">
        <v>968</v>
      </c>
      <c r="U223" t="s">
        <v>180</v>
      </c>
      <c r="V223" t="s">
        <v>1009</v>
      </c>
      <c r="W223" t="s">
        <v>813</v>
      </c>
    </row>
    <row r="224" spans="1:23" x14ac:dyDescent="0.25">
      <c r="A224" t="s">
        <v>1011</v>
      </c>
      <c r="B224" t="s">
        <v>1011</v>
      </c>
      <c r="C224">
        <v>0</v>
      </c>
      <c r="D224" s="3">
        <v>0</v>
      </c>
      <c r="E224">
        <v>68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12</v>
      </c>
      <c r="Q224">
        <v>20</v>
      </c>
      <c r="R224">
        <v>0</v>
      </c>
      <c r="S224">
        <v>32</v>
      </c>
      <c r="T224" t="s">
        <v>968</v>
      </c>
      <c r="U224" t="s">
        <v>180</v>
      </c>
      <c r="V224" t="s">
        <v>1009</v>
      </c>
      <c r="W224" t="s">
        <v>815</v>
      </c>
    </row>
    <row r="225" spans="1:23" x14ac:dyDescent="0.25">
      <c r="A225" t="s">
        <v>1017</v>
      </c>
      <c r="B225" t="s">
        <v>1017</v>
      </c>
      <c r="C225">
        <v>0</v>
      </c>
      <c r="D225" s="3">
        <v>0</v>
      </c>
      <c r="E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t="s">
        <v>968</v>
      </c>
      <c r="U225" t="s">
        <v>317</v>
      </c>
      <c r="V225" t="s">
        <v>1018</v>
      </c>
      <c r="W225" t="s">
        <v>970</v>
      </c>
    </row>
    <row r="226" spans="1:23" x14ac:dyDescent="0.25">
      <c r="A226" t="s">
        <v>603</v>
      </c>
      <c r="B226" t="s">
        <v>603</v>
      </c>
      <c r="C226">
        <v>0</v>
      </c>
      <c r="D226" s="3">
        <v>0</v>
      </c>
      <c r="E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968</v>
      </c>
      <c r="U226" t="s">
        <v>317</v>
      </c>
      <c r="V226" t="s">
        <v>1018</v>
      </c>
      <c r="W226" t="s">
        <v>970</v>
      </c>
    </row>
    <row r="227" spans="1:23" x14ac:dyDescent="0.25">
      <c r="A227" t="s">
        <v>1721</v>
      </c>
      <c r="B227" s="2" t="s">
        <v>1019</v>
      </c>
      <c r="C227">
        <v>0</v>
      </c>
      <c r="D227" s="3">
        <v>0</v>
      </c>
      <c r="E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968</v>
      </c>
      <c r="U227" t="s">
        <v>317</v>
      </c>
      <c r="V227" t="s">
        <v>1018</v>
      </c>
      <c r="W227" t="s">
        <v>813</v>
      </c>
    </row>
    <row r="228" spans="1:23" x14ac:dyDescent="0.25">
      <c r="A228" t="s">
        <v>1020</v>
      </c>
      <c r="B228" t="s">
        <v>1020</v>
      </c>
      <c r="C228">
        <v>0</v>
      </c>
      <c r="D228" s="3">
        <v>0</v>
      </c>
      <c r="E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968</v>
      </c>
      <c r="U228" t="s">
        <v>317</v>
      </c>
      <c r="V228" t="s">
        <v>1018</v>
      </c>
      <c r="W228" t="s">
        <v>813</v>
      </c>
    </row>
    <row r="229" spans="1:23" x14ac:dyDescent="0.25">
      <c r="A229" t="s">
        <v>1021</v>
      </c>
      <c r="B229" t="s">
        <v>1021</v>
      </c>
      <c r="C229">
        <v>0</v>
      </c>
      <c r="D229" s="3">
        <v>0</v>
      </c>
      <c r="E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 t="s">
        <v>968</v>
      </c>
      <c r="U229" t="s">
        <v>317</v>
      </c>
      <c r="V229" t="s">
        <v>1018</v>
      </c>
      <c r="W229" t="s">
        <v>815</v>
      </c>
    </row>
    <row r="230" spans="1:23" x14ac:dyDescent="0.25">
      <c r="A230" t="s">
        <v>1022</v>
      </c>
      <c r="B230" t="s">
        <v>1022</v>
      </c>
      <c r="C230">
        <v>0</v>
      </c>
      <c r="D230" s="3">
        <v>0</v>
      </c>
      <c r="E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 t="s">
        <v>968</v>
      </c>
      <c r="U230" t="s">
        <v>317</v>
      </c>
      <c r="V230" t="s">
        <v>1018</v>
      </c>
      <c r="W230" t="s">
        <v>815</v>
      </c>
    </row>
    <row r="231" spans="1:23" x14ac:dyDescent="0.25">
      <c r="A231" t="s">
        <v>604</v>
      </c>
      <c r="B231" t="s">
        <v>604</v>
      </c>
      <c r="C231">
        <v>48</v>
      </c>
      <c r="D231" s="3">
        <v>48</v>
      </c>
      <c r="E231">
        <v>352</v>
      </c>
      <c r="F231">
        <v>200</v>
      </c>
      <c r="G231">
        <v>48</v>
      </c>
      <c r="H231">
        <v>40</v>
      </c>
      <c r="I231">
        <v>60</v>
      </c>
      <c r="J231">
        <v>92</v>
      </c>
      <c r="K231">
        <v>40</v>
      </c>
      <c r="L231">
        <v>16</v>
      </c>
      <c r="M231">
        <v>40</v>
      </c>
      <c r="N231">
        <v>48</v>
      </c>
      <c r="O231">
        <v>60</v>
      </c>
      <c r="P231">
        <v>16</v>
      </c>
      <c r="Q231">
        <v>48</v>
      </c>
      <c r="R231">
        <v>84</v>
      </c>
      <c r="S231">
        <v>592</v>
      </c>
      <c r="T231" t="s">
        <v>968</v>
      </c>
      <c r="U231" t="s">
        <v>363</v>
      </c>
      <c r="V231" t="s">
        <v>1030</v>
      </c>
      <c r="W231" t="s">
        <v>970</v>
      </c>
    </row>
    <row r="232" spans="1:23" x14ac:dyDescent="0.25">
      <c r="A232" t="s">
        <v>605</v>
      </c>
      <c r="B232" t="s">
        <v>605</v>
      </c>
      <c r="C232">
        <v>42</v>
      </c>
      <c r="D232" s="3">
        <v>42</v>
      </c>
      <c r="E232">
        <v>284</v>
      </c>
      <c r="F232">
        <v>140</v>
      </c>
      <c r="G232">
        <v>16</v>
      </c>
      <c r="H232">
        <v>36</v>
      </c>
      <c r="I232">
        <v>48</v>
      </c>
      <c r="J232">
        <v>80</v>
      </c>
      <c r="K232">
        <v>36</v>
      </c>
      <c r="L232">
        <v>16</v>
      </c>
      <c r="M232">
        <v>20</v>
      </c>
      <c r="N232">
        <v>48</v>
      </c>
      <c r="O232">
        <v>60</v>
      </c>
      <c r="P232">
        <v>16</v>
      </c>
      <c r="Q232">
        <v>72</v>
      </c>
      <c r="R232">
        <v>52</v>
      </c>
      <c r="S232">
        <v>500</v>
      </c>
      <c r="T232" t="s">
        <v>968</v>
      </c>
      <c r="U232" t="s">
        <v>363</v>
      </c>
      <c r="V232" t="s">
        <v>1031</v>
      </c>
      <c r="W232" t="s">
        <v>970</v>
      </c>
    </row>
    <row r="233" spans="1:23" x14ac:dyDescent="0.25">
      <c r="A233" t="s">
        <v>606</v>
      </c>
      <c r="B233" t="s">
        <v>606</v>
      </c>
      <c r="C233">
        <v>144</v>
      </c>
      <c r="D233" s="3">
        <v>144</v>
      </c>
      <c r="E233">
        <v>992</v>
      </c>
      <c r="F233">
        <v>360</v>
      </c>
      <c r="G233">
        <v>112</v>
      </c>
      <c r="H233">
        <v>212</v>
      </c>
      <c r="I233">
        <v>180</v>
      </c>
      <c r="J233">
        <v>136</v>
      </c>
      <c r="K233">
        <v>80</v>
      </c>
      <c r="L233">
        <v>156</v>
      </c>
      <c r="M233">
        <v>244</v>
      </c>
      <c r="N233">
        <v>36</v>
      </c>
      <c r="O233">
        <v>184</v>
      </c>
      <c r="P233">
        <v>152</v>
      </c>
      <c r="Q233">
        <v>44</v>
      </c>
      <c r="R233">
        <v>16</v>
      </c>
      <c r="S233">
        <v>1552</v>
      </c>
      <c r="T233" t="s">
        <v>968</v>
      </c>
      <c r="U233" t="s">
        <v>363</v>
      </c>
      <c r="V233" t="s">
        <v>1032</v>
      </c>
      <c r="W233" t="s">
        <v>970</v>
      </c>
    </row>
    <row r="234" spans="1:23" x14ac:dyDescent="0.25">
      <c r="A234" t="s">
        <v>1722</v>
      </c>
      <c r="B234" t="s">
        <v>1722</v>
      </c>
      <c r="C234">
        <v>0</v>
      </c>
      <c r="D234" s="3">
        <v>0</v>
      </c>
      <c r="E234">
        <v>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968</v>
      </c>
      <c r="U234" t="s">
        <v>1723</v>
      </c>
      <c r="V234" t="s">
        <v>1724</v>
      </c>
      <c r="W234" t="s">
        <v>970</v>
      </c>
    </row>
    <row r="235" spans="1:23" x14ac:dyDescent="0.25">
      <c r="A235" t="s">
        <v>607</v>
      </c>
      <c r="B235" t="s">
        <v>607</v>
      </c>
      <c r="C235">
        <v>0</v>
      </c>
      <c r="D235" s="3">
        <v>0</v>
      </c>
      <c r="E235">
        <v>936</v>
      </c>
      <c r="F235">
        <v>240</v>
      </c>
      <c r="G235">
        <v>0</v>
      </c>
      <c r="H235">
        <v>0</v>
      </c>
      <c r="I235">
        <v>168</v>
      </c>
      <c r="J235">
        <v>392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24</v>
      </c>
      <c r="S235">
        <v>584</v>
      </c>
      <c r="T235" t="s">
        <v>968</v>
      </c>
      <c r="U235" t="s">
        <v>492</v>
      </c>
      <c r="V235" t="s">
        <v>1043</v>
      </c>
      <c r="W235" t="s">
        <v>970</v>
      </c>
    </row>
    <row r="236" spans="1:23" x14ac:dyDescent="0.25">
      <c r="A236" t="s">
        <v>608</v>
      </c>
      <c r="B236" t="s">
        <v>608</v>
      </c>
      <c r="C236">
        <v>124</v>
      </c>
      <c r="D236" s="3">
        <v>124</v>
      </c>
      <c r="E236">
        <v>620</v>
      </c>
      <c r="G236">
        <v>0</v>
      </c>
      <c r="H236">
        <v>0</v>
      </c>
      <c r="I236">
        <v>348</v>
      </c>
      <c r="J236">
        <v>152</v>
      </c>
      <c r="K236">
        <v>96</v>
      </c>
      <c r="L236">
        <v>16</v>
      </c>
      <c r="M236">
        <v>212</v>
      </c>
      <c r="N236">
        <v>228</v>
      </c>
      <c r="O236">
        <v>180</v>
      </c>
      <c r="P236">
        <v>88</v>
      </c>
      <c r="Q236">
        <v>32</v>
      </c>
      <c r="R236">
        <v>248</v>
      </c>
      <c r="S236">
        <v>1600</v>
      </c>
      <c r="T236" t="s">
        <v>968</v>
      </c>
      <c r="U236" t="s">
        <v>492</v>
      </c>
      <c r="V236" t="s">
        <v>1043</v>
      </c>
      <c r="W236" t="s">
        <v>970</v>
      </c>
    </row>
    <row r="237" spans="1:23" x14ac:dyDescent="0.25">
      <c r="A237" t="s">
        <v>1044</v>
      </c>
      <c r="B237" t="s">
        <v>1044</v>
      </c>
      <c r="C237">
        <v>126</v>
      </c>
      <c r="D237" s="3">
        <v>126</v>
      </c>
      <c r="E237">
        <v>792</v>
      </c>
      <c r="G237">
        <v>0</v>
      </c>
      <c r="H237">
        <v>0</v>
      </c>
      <c r="I237">
        <v>220</v>
      </c>
      <c r="J237">
        <v>240</v>
      </c>
      <c r="K237">
        <v>208</v>
      </c>
      <c r="L237">
        <v>132</v>
      </c>
      <c r="M237">
        <v>64</v>
      </c>
      <c r="N237">
        <v>140</v>
      </c>
      <c r="O237">
        <v>156</v>
      </c>
      <c r="P237">
        <v>88</v>
      </c>
      <c r="Q237">
        <v>0</v>
      </c>
      <c r="R237">
        <v>120</v>
      </c>
      <c r="S237">
        <v>1368</v>
      </c>
      <c r="T237" t="s">
        <v>968</v>
      </c>
      <c r="U237" t="s">
        <v>492</v>
      </c>
      <c r="V237" t="s">
        <v>1043</v>
      </c>
      <c r="W237" t="s">
        <v>813</v>
      </c>
    </row>
    <row r="238" spans="1:23" x14ac:dyDescent="0.25">
      <c r="A238" t="s">
        <v>609</v>
      </c>
      <c r="B238" t="s">
        <v>609</v>
      </c>
      <c r="C238">
        <v>270</v>
      </c>
      <c r="D238" s="3">
        <v>270</v>
      </c>
      <c r="E238">
        <v>1320</v>
      </c>
      <c r="F238">
        <v>480</v>
      </c>
      <c r="G238">
        <v>324</v>
      </c>
      <c r="H238">
        <v>404</v>
      </c>
      <c r="I238">
        <v>320</v>
      </c>
      <c r="J238">
        <v>436</v>
      </c>
      <c r="K238">
        <v>32</v>
      </c>
      <c r="L238">
        <v>160</v>
      </c>
      <c r="M238">
        <v>220</v>
      </c>
      <c r="N238">
        <v>208</v>
      </c>
      <c r="O238">
        <v>344</v>
      </c>
      <c r="P238">
        <v>56</v>
      </c>
      <c r="Q238">
        <v>172</v>
      </c>
      <c r="R238">
        <v>364</v>
      </c>
      <c r="S238">
        <v>3040</v>
      </c>
      <c r="T238" t="s">
        <v>968</v>
      </c>
      <c r="U238" t="s">
        <v>492</v>
      </c>
      <c r="V238" t="s">
        <v>1043</v>
      </c>
      <c r="W238" t="s">
        <v>813</v>
      </c>
    </row>
    <row r="239" spans="1:23" x14ac:dyDescent="0.25">
      <c r="A239" t="s">
        <v>1045</v>
      </c>
      <c r="B239" t="s">
        <v>1045</v>
      </c>
      <c r="C239">
        <v>26</v>
      </c>
      <c r="D239" s="3">
        <v>26</v>
      </c>
      <c r="E239">
        <v>324</v>
      </c>
      <c r="G239">
        <v>64</v>
      </c>
      <c r="H239">
        <v>188</v>
      </c>
      <c r="I239">
        <v>64</v>
      </c>
      <c r="J239">
        <v>8</v>
      </c>
      <c r="K239">
        <v>24</v>
      </c>
      <c r="L239">
        <v>80</v>
      </c>
      <c r="M239">
        <v>24</v>
      </c>
      <c r="N239">
        <v>4</v>
      </c>
      <c r="O239">
        <v>4</v>
      </c>
      <c r="P239">
        <v>36</v>
      </c>
      <c r="Q239">
        <v>-4</v>
      </c>
      <c r="R239">
        <v>28</v>
      </c>
      <c r="S239">
        <v>520</v>
      </c>
      <c r="T239" t="s">
        <v>968</v>
      </c>
      <c r="U239" t="s">
        <v>492</v>
      </c>
      <c r="V239" t="s">
        <v>1043</v>
      </c>
      <c r="W239" t="s">
        <v>815</v>
      </c>
    </row>
    <row r="240" spans="1:23" x14ac:dyDescent="0.25">
      <c r="A240" t="s">
        <v>1046</v>
      </c>
      <c r="B240" t="s">
        <v>1046</v>
      </c>
      <c r="C240">
        <v>0</v>
      </c>
      <c r="D240" s="3">
        <v>0</v>
      </c>
      <c r="E240">
        <v>264</v>
      </c>
      <c r="G240">
        <v>0</v>
      </c>
      <c r="H240">
        <v>0</v>
      </c>
      <c r="I240">
        <v>8</v>
      </c>
      <c r="J240">
        <v>0</v>
      </c>
      <c r="K240">
        <v>8</v>
      </c>
      <c r="L240">
        <v>0</v>
      </c>
      <c r="M240">
        <v>0</v>
      </c>
      <c r="N240">
        <v>20</v>
      </c>
      <c r="O240">
        <v>0</v>
      </c>
      <c r="P240">
        <v>12</v>
      </c>
      <c r="Q240">
        <v>4</v>
      </c>
      <c r="R240">
        <v>0</v>
      </c>
      <c r="S240">
        <v>52</v>
      </c>
      <c r="T240" t="s">
        <v>968</v>
      </c>
      <c r="U240" t="s">
        <v>492</v>
      </c>
      <c r="V240" t="s">
        <v>1043</v>
      </c>
      <c r="W240" t="s">
        <v>815</v>
      </c>
    </row>
    <row r="241" spans="1:23" x14ac:dyDescent="0.25">
      <c r="A241" t="s">
        <v>610</v>
      </c>
      <c r="B241" t="s">
        <v>610</v>
      </c>
      <c r="C241">
        <v>2</v>
      </c>
      <c r="D241" s="3">
        <v>2</v>
      </c>
      <c r="E241">
        <v>852</v>
      </c>
      <c r="F241">
        <v>240</v>
      </c>
      <c r="G241">
        <v>0</v>
      </c>
      <c r="H241">
        <v>0</v>
      </c>
      <c r="I241">
        <v>112</v>
      </c>
      <c r="J241">
        <v>352</v>
      </c>
      <c r="K241">
        <v>104</v>
      </c>
      <c r="L241">
        <v>68</v>
      </c>
      <c r="M241">
        <v>4</v>
      </c>
      <c r="N241">
        <v>0</v>
      </c>
      <c r="O241">
        <v>0</v>
      </c>
      <c r="P241">
        <v>0</v>
      </c>
      <c r="Q241">
        <v>0</v>
      </c>
      <c r="R241">
        <v>108</v>
      </c>
      <c r="S241">
        <v>748</v>
      </c>
      <c r="T241" t="s">
        <v>968</v>
      </c>
      <c r="U241" t="s">
        <v>492</v>
      </c>
      <c r="V241" t="s">
        <v>1047</v>
      </c>
      <c r="W241" t="s">
        <v>970</v>
      </c>
    </row>
    <row r="242" spans="1:23" x14ac:dyDescent="0.25">
      <c r="A242" t="s">
        <v>612</v>
      </c>
      <c r="B242" t="s">
        <v>612</v>
      </c>
      <c r="C242">
        <v>116</v>
      </c>
      <c r="D242" s="3">
        <v>116</v>
      </c>
      <c r="E242">
        <v>840</v>
      </c>
      <c r="F242">
        <v>480</v>
      </c>
      <c r="G242">
        <v>0</v>
      </c>
      <c r="H242">
        <v>0</v>
      </c>
      <c r="I242">
        <v>540</v>
      </c>
      <c r="J242">
        <v>160</v>
      </c>
      <c r="K242">
        <v>20</v>
      </c>
      <c r="L242">
        <v>0</v>
      </c>
      <c r="M242">
        <v>252</v>
      </c>
      <c r="N242">
        <v>216</v>
      </c>
      <c r="O242">
        <v>216</v>
      </c>
      <c r="P242">
        <v>72</v>
      </c>
      <c r="Q242">
        <v>56</v>
      </c>
      <c r="R242">
        <v>508</v>
      </c>
      <c r="S242">
        <v>2040</v>
      </c>
      <c r="T242" t="s">
        <v>968</v>
      </c>
      <c r="U242" t="s">
        <v>492</v>
      </c>
      <c r="V242" t="s">
        <v>1047</v>
      </c>
      <c r="W242" t="s">
        <v>970</v>
      </c>
    </row>
    <row r="243" spans="1:23" x14ac:dyDescent="0.25">
      <c r="A243" t="s">
        <v>611</v>
      </c>
      <c r="B243" t="s">
        <v>611</v>
      </c>
      <c r="C243">
        <v>116</v>
      </c>
      <c r="D243" s="3">
        <v>116</v>
      </c>
      <c r="E243">
        <v>884</v>
      </c>
      <c r="F243">
        <v>360</v>
      </c>
      <c r="G243">
        <v>0</v>
      </c>
      <c r="H243">
        <v>0</v>
      </c>
      <c r="I243">
        <v>184</v>
      </c>
      <c r="J243">
        <v>264</v>
      </c>
      <c r="K243">
        <v>100</v>
      </c>
      <c r="L243">
        <v>212</v>
      </c>
      <c r="M243">
        <v>116</v>
      </c>
      <c r="N243">
        <v>116</v>
      </c>
      <c r="O243">
        <v>112</v>
      </c>
      <c r="P243">
        <v>136</v>
      </c>
      <c r="Q243">
        <v>48</v>
      </c>
      <c r="R243">
        <v>228</v>
      </c>
      <c r="S243">
        <v>1516</v>
      </c>
      <c r="T243" t="s">
        <v>968</v>
      </c>
      <c r="U243" t="s">
        <v>492</v>
      </c>
      <c r="V243" t="s">
        <v>1047</v>
      </c>
      <c r="W243" t="s">
        <v>813</v>
      </c>
    </row>
    <row r="244" spans="1:23" x14ac:dyDescent="0.25">
      <c r="A244" t="s">
        <v>613</v>
      </c>
      <c r="B244" t="s">
        <v>613</v>
      </c>
      <c r="C244">
        <v>286</v>
      </c>
      <c r="D244" s="3">
        <v>286</v>
      </c>
      <c r="E244">
        <v>1568</v>
      </c>
      <c r="F244">
        <v>960</v>
      </c>
      <c r="G244">
        <v>608</v>
      </c>
      <c r="H244">
        <v>204</v>
      </c>
      <c r="I244">
        <v>480</v>
      </c>
      <c r="J244">
        <v>432</v>
      </c>
      <c r="K244">
        <v>68</v>
      </c>
      <c r="L244">
        <v>48</v>
      </c>
      <c r="M244">
        <v>176</v>
      </c>
      <c r="N244">
        <v>272</v>
      </c>
      <c r="O244">
        <v>300</v>
      </c>
      <c r="P244">
        <v>92</v>
      </c>
      <c r="Q244">
        <v>300</v>
      </c>
      <c r="R244">
        <v>412</v>
      </c>
      <c r="S244">
        <v>3392</v>
      </c>
      <c r="T244" t="s">
        <v>968</v>
      </c>
      <c r="U244" t="s">
        <v>492</v>
      </c>
      <c r="V244" t="s">
        <v>1047</v>
      </c>
      <c r="W244" t="s">
        <v>813</v>
      </c>
    </row>
    <row r="245" spans="1:23" x14ac:dyDescent="0.25">
      <c r="A245" t="s">
        <v>1048</v>
      </c>
      <c r="B245" t="s">
        <v>1048</v>
      </c>
      <c r="C245">
        <v>32</v>
      </c>
      <c r="D245" s="3">
        <v>32</v>
      </c>
      <c r="E245">
        <v>436</v>
      </c>
      <c r="G245">
        <v>36</v>
      </c>
      <c r="H245">
        <v>60</v>
      </c>
      <c r="I245">
        <v>64</v>
      </c>
      <c r="J245">
        <v>140</v>
      </c>
      <c r="K245">
        <v>32</v>
      </c>
      <c r="L245">
        <v>52</v>
      </c>
      <c r="M245">
        <v>24</v>
      </c>
      <c r="N245">
        <v>32</v>
      </c>
      <c r="O245">
        <v>4</v>
      </c>
      <c r="P245">
        <v>32</v>
      </c>
      <c r="Q245">
        <v>24</v>
      </c>
      <c r="R245">
        <v>16</v>
      </c>
      <c r="S245">
        <v>516</v>
      </c>
      <c r="T245" t="s">
        <v>968</v>
      </c>
      <c r="U245" t="s">
        <v>492</v>
      </c>
      <c r="V245" t="s">
        <v>1047</v>
      </c>
      <c r="W245" t="s">
        <v>815</v>
      </c>
    </row>
    <row r="246" spans="1:23" x14ac:dyDescent="0.25">
      <c r="A246" t="s">
        <v>1049</v>
      </c>
      <c r="B246" t="s">
        <v>1049</v>
      </c>
      <c r="C246">
        <v>12</v>
      </c>
      <c r="D246" s="3">
        <v>12</v>
      </c>
      <c r="E246">
        <v>268</v>
      </c>
      <c r="G246">
        <v>0</v>
      </c>
      <c r="H246">
        <v>0</v>
      </c>
      <c r="I246">
        <v>92</v>
      </c>
      <c r="J246">
        <v>32</v>
      </c>
      <c r="K246">
        <v>20</v>
      </c>
      <c r="L246">
        <v>0</v>
      </c>
      <c r="M246">
        <v>0</v>
      </c>
      <c r="N246">
        <v>32</v>
      </c>
      <c r="O246">
        <v>40</v>
      </c>
      <c r="P246">
        <v>12</v>
      </c>
      <c r="Q246">
        <v>12</v>
      </c>
      <c r="R246">
        <v>4</v>
      </c>
      <c r="S246">
        <v>244</v>
      </c>
      <c r="T246" t="s">
        <v>968</v>
      </c>
      <c r="U246" t="s">
        <v>492</v>
      </c>
      <c r="V246" t="s">
        <v>1047</v>
      </c>
      <c r="W246" t="s">
        <v>815</v>
      </c>
    </row>
    <row r="247" spans="1:23" x14ac:dyDescent="0.25">
      <c r="A247" t="s">
        <v>614</v>
      </c>
      <c r="B247" t="s">
        <v>614</v>
      </c>
      <c r="C247">
        <v>0</v>
      </c>
      <c r="D247" s="3">
        <v>0</v>
      </c>
      <c r="E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968</v>
      </c>
      <c r="U247" t="s">
        <v>568</v>
      </c>
      <c r="V247" t="s">
        <v>1050</v>
      </c>
      <c r="W247" t="s">
        <v>970</v>
      </c>
    </row>
    <row r="248" spans="1:23" x14ac:dyDescent="0.25">
      <c r="A248" t="s">
        <v>615</v>
      </c>
      <c r="B248" t="s">
        <v>615</v>
      </c>
      <c r="C248">
        <v>0</v>
      </c>
      <c r="D248" s="3">
        <v>0</v>
      </c>
      <c r="E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968</v>
      </c>
      <c r="U248" t="s">
        <v>568</v>
      </c>
      <c r="V248" t="s">
        <v>1050</v>
      </c>
      <c r="W248" t="s">
        <v>970</v>
      </c>
    </row>
    <row r="249" spans="1:23" x14ac:dyDescent="0.25">
      <c r="A249" t="s">
        <v>1725</v>
      </c>
      <c r="B249" s="2" t="s">
        <v>1055</v>
      </c>
      <c r="C249">
        <v>0</v>
      </c>
      <c r="D249" s="3">
        <v>0</v>
      </c>
      <c r="E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t="s">
        <v>968</v>
      </c>
      <c r="U249" t="s">
        <v>576</v>
      </c>
      <c r="V249" t="s">
        <v>1056</v>
      </c>
      <c r="W249" t="s">
        <v>970</v>
      </c>
    </row>
    <row r="250" spans="1:23" x14ac:dyDescent="0.25">
      <c r="A250" t="s">
        <v>1057</v>
      </c>
      <c r="B250" t="s">
        <v>1057</v>
      </c>
      <c r="C250">
        <v>0</v>
      </c>
      <c r="D250" s="3">
        <v>0</v>
      </c>
      <c r="E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t="s">
        <v>968</v>
      </c>
      <c r="U250" t="s">
        <v>576</v>
      </c>
      <c r="V250" t="s">
        <v>1056</v>
      </c>
      <c r="W250" t="s">
        <v>970</v>
      </c>
    </row>
    <row r="251" spans="1:23" x14ac:dyDescent="0.25">
      <c r="A251" t="s">
        <v>1726</v>
      </c>
      <c r="B251" s="2" t="s">
        <v>1058</v>
      </c>
      <c r="C251">
        <v>0</v>
      </c>
      <c r="D251" s="3">
        <v>0</v>
      </c>
      <c r="E251">
        <v>12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968</v>
      </c>
      <c r="U251" t="s">
        <v>576</v>
      </c>
      <c r="V251" t="s">
        <v>1056</v>
      </c>
      <c r="W251" t="s">
        <v>813</v>
      </c>
    </row>
    <row r="252" spans="1:23" x14ac:dyDescent="0.25">
      <c r="A252" t="s">
        <v>1727</v>
      </c>
      <c r="B252" s="2" t="s">
        <v>1059</v>
      </c>
      <c r="C252">
        <v>0</v>
      </c>
      <c r="D252" s="3">
        <v>0</v>
      </c>
      <c r="E252">
        <v>12</v>
      </c>
      <c r="G252">
        <v>0</v>
      </c>
      <c r="H252">
        <v>8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8</v>
      </c>
      <c r="T252" t="s">
        <v>968</v>
      </c>
      <c r="U252" t="s">
        <v>576</v>
      </c>
      <c r="V252" t="s">
        <v>1056</v>
      </c>
      <c r="W252" t="s">
        <v>813</v>
      </c>
    </row>
    <row r="253" spans="1:23" x14ac:dyDescent="0.25">
      <c r="A253" t="s">
        <v>1728</v>
      </c>
      <c r="B253" s="2" t="s">
        <v>1060</v>
      </c>
      <c r="C253">
        <v>0</v>
      </c>
      <c r="D253" s="3">
        <v>0</v>
      </c>
      <c r="E253">
        <v>16</v>
      </c>
      <c r="G253">
        <v>0</v>
      </c>
      <c r="H253">
        <v>0</v>
      </c>
      <c r="I253">
        <v>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8</v>
      </c>
      <c r="T253" t="s">
        <v>968</v>
      </c>
      <c r="U253" t="s">
        <v>576</v>
      </c>
      <c r="V253" t="s">
        <v>1056</v>
      </c>
      <c r="W253" t="s">
        <v>815</v>
      </c>
    </row>
    <row r="254" spans="1:23" x14ac:dyDescent="0.25">
      <c r="A254" t="s">
        <v>1729</v>
      </c>
      <c r="B254" s="2" t="s">
        <v>1061</v>
      </c>
      <c r="C254">
        <v>0</v>
      </c>
      <c r="D254" s="3">
        <v>0</v>
      </c>
      <c r="E254">
        <v>20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968</v>
      </c>
      <c r="U254" t="s">
        <v>576</v>
      </c>
      <c r="V254" t="s">
        <v>1056</v>
      </c>
      <c r="W254" t="s">
        <v>815</v>
      </c>
    </row>
    <row r="255" spans="1:23" x14ac:dyDescent="0.25">
      <c r="A255" t="s">
        <v>1730</v>
      </c>
      <c r="B255" s="2" t="s">
        <v>1062</v>
      </c>
      <c r="C255">
        <v>0</v>
      </c>
      <c r="D255" s="3">
        <v>0</v>
      </c>
      <c r="E255">
        <v>36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 t="s">
        <v>968</v>
      </c>
      <c r="U255" t="s">
        <v>576</v>
      </c>
      <c r="V255" t="s">
        <v>1063</v>
      </c>
      <c r="W255" t="s">
        <v>970</v>
      </c>
    </row>
    <row r="256" spans="1:23" x14ac:dyDescent="0.25">
      <c r="A256" t="s">
        <v>1064</v>
      </c>
      <c r="B256" t="s">
        <v>1064</v>
      </c>
      <c r="C256">
        <v>0</v>
      </c>
      <c r="D256" s="3">
        <v>0</v>
      </c>
      <c r="E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968</v>
      </c>
      <c r="U256" t="s">
        <v>576</v>
      </c>
      <c r="V256" t="s">
        <v>1063</v>
      </c>
      <c r="W256" t="s">
        <v>970</v>
      </c>
    </row>
    <row r="257" spans="1:23" x14ac:dyDescent="0.25">
      <c r="A257" t="s">
        <v>1731</v>
      </c>
      <c r="B257" s="2" t="s">
        <v>1065</v>
      </c>
      <c r="C257">
        <v>0</v>
      </c>
      <c r="D257" s="3">
        <v>0</v>
      </c>
      <c r="E257">
        <v>32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t="s">
        <v>968</v>
      </c>
      <c r="U257" t="s">
        <v>576</v>
      </c>
      <c r="V257" t="s">
        <v>1063</v>
      </c>
      <c r="W257" t="s">
        <v>813</v>
      </c>
    </row>
    <row r="258" spans="1:23" x14ac:dyDescent="0.25">
      <c r="A258" t="s">
        <v>1732</v>
      </c>
      <c r="B258" s="2" t="s">
        <v>1066</v>
      </c>
      <c r="C258">
        <v>0</v>
      </c>
      <c r="D258" s="3">
        <v>0</v>
      </c>
      <c r="E258">
        <v>12</v>
      </c>
      <c r="G258">
        <v>0</v>
      </c>
      <c r="H258">
        <v>8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8</v>
      </c>
      <c r="T258" t="s">
        <v>968</v>
      </c>
      <c r="U258" t="s">
        <v>576</v>
      </c>
      <c r="V258" t="s">
        <v>1063</v>
      </c>
      <c r="W258" t="s">
        <v>813</v>
      </c>
    </row>
    <row r="259" spans="1:23" x14ac:dyDescent="0.25">
      <c r="A259" t="s">
        <v>1733</v>
      </c>
      <c r="B259" s="2" t="s">
        <v>1067</v>
      </c>
      <c r="C259">
        <v>0</v>
      </c>
      <c r="D259" s="3">
        <v>0</v>
      </c>
      <c r="E259">
        <v>16</v>
      </c>
      <c r="G259">
        <v>0</v>
      </c>
      <c r="H259">
        <v>0</v>
      </c>
      <c r="I259">
        <v>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8</v>
      </c>
      <c r="T259" t="s">
        <v>968</v>
      </c>
      <c r="U259" t="s">
        <v>576</v>
      </c>
      <c r="V259" t="s">
        <v>1063</v>
      </c>
      <c r="W259" t="s">
        <v>815</v>
      </c>
    </row>
    <row r="260" spans="1:23" x14ac:dyDescent="0.25">
      <c r="A260" t="s">
        <v>1734</v>
      </c>
      <c r="B260" s="2" t="s">
        <v>1068</v>
      </c>
      <c r="C260">
        <v>0</v>
      </c>
      <c r="D260" s="3">
        <v>0</v>
      </c>
      <c r="E260">
        <v>20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968</v>
      </c>
      <c r="U260" t="s">
        <v>576</v>
      </c>
      <c r="V260" t="s">
        <v>1063</v>
      </c>
      <c r="W260" t="s">
        <v>815</v>
      </c>
    </row>
    <row r="261" spans="1:23" x14ac:dyDescent="0.25">
      <c r="A261" t="s">
        <v>1071</v>
      </c>
      <c r="B261" t="s">
        <v>1071</v>
      </c>
      <c r="C261">
        <v>0</v>
      </c>
      <c r="D261" s="3">
        <v>0</v>
      </c>
      <c r="E261">
        <v>32</v>
      </c>
      <c r="G261">
        <v>0</v>
      </c>
      <c r="H261">
        <v>8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8</v>
      </c>
      <c r="T261" t="s">
        <v>1069</v>
      </c>
      <c r="U261" t="s">
        <v>166</v>
      </c>
      <c r="V261" t="s">
        <v>1071</v>
      </c>
    </row>
    <row r="262" spans="1:23" x14ac:dyDescent="0.25">
      <c r="A262" t="s">
        <v>1735</v>
      </c>
      <c r="B262" s="2" t="s">
        <v>731</v>
      </c>
      <c r="C262">
        <v>10</v>
      </c>
      <c r="D262" s="3">
        <v>10</v>
      </c>
      <c r="E262">
        <v>108</v>
      </c>
      <c r="F262">
        <v>40</v>
      </c>
      <c r="G262">
        <v>16</v>
      </c>
      <c r="H262">
        <v>8</v>
      </c>
      <c r="I262">
        <v>0</v>
      </c>
      <c r="J262">
        <v>12</v>
      </c>
      <c r="K262">
        <v>4</v>
      </c>
      <c r="L262">
        <v>4</v>
      </c>
      <c r="M262">
        <v>16</v>
      </c>
      <c r="N262">
        <v>36</v>
      </c>
      <c r="O262">
        <v>8</v>
      </c>
      <c r="P262">
        <v>24</v>
      </c>
      <c r="Q262">
        <v>0</v>
      </c>
      <c r="R262">
        <v>12</v>
      </c>
      <c r="S262">
        <v>140</v>
      </c>
      <c r="T262" t="s">
        <v>1069</v>
      </c>
      <c r="U262" t="s">
        <v>180</v>
      </c>
      <c r="V262" t="s">
        <v>731</v>
      </c>
    </row>
    <row r="263" spans="1:23" x14ac:dyDescent="0.25">
      <c r="A263" t="s">
        <v>732</v>
      </c>
      <c r="B263" t="s">
        <v>732</v>
      </c>
      <c r="C263">
        <v>4</v>
      </c>
      <c r="D263" s="3">
        <v>4</v>
      </c>
      <c r="E263">
        <v>76</v>
      </c>
      <c r="F263">
        <v>40</v>
      </c>
      <c r="G263">
        <v>20</v>
      </c>
      <c r="H263">
        <v>0</v>
      </c>
      <c r="I263">
        <v>40</v>
      </c>
      <c r="J263">
        <v>0</v>
      </c>
      <c r="K263">
        <v>0</v>
      </c>
      <c r="L263">
        <v>12</v>
      </c>
      <c r="M263">
        <v>12</v>
      </c>
      <c r="N263">
        <v>0</v>
      </c>
      <c r="O263">
        <v>4</v>
      </c>
      <c r="P263">
        <v>12</v>
      </c>
      <c r="Q263">
        <v>4</v>
      </c>
      <c r="R263">
        <v>0</v>
      </c>
      <c r="S263">
        <v>104</v>
      </c>
      <c r="T263" t="s">
        <v>1069</v>
      </c>
      <c r="U263" t="s">
        <v>180</v>
      </c>
      <c r="V263" t="s">
        <v>1072</v>
      </c>
      <c r="W263" t="s">
        <v>1073</v>
      </c>
    </row>
    <row r="264" spans="1:23" x14ac:dyDescent="0.25">
      <c r="A264" t="s">
        <v>733</v>
      </c>
      <c r="B264" t="s">
        <v>733</v>
      </c>
      <c r="C264">
        <v>6</v>
      </c>
      <c r="D264" s="3">
        <v>6</v>
      </c>
      <c r="E264">
        <v>84</v>
      </c>
      <c r="F264">
        <v>20</v>
      </c>
      <c r="G264">
        <v>16</v>
      </c>
      <c r="H264">
        <v>8</v>
      </c>
      <c r="I264">
        <v>4</v>
      </c>
      <c r="J264">
        <v>8</v>
      </c>
      <c r="K264">
        <v>0</v>
      </c>
      <c r="L264">
        <v>0</v>
      </c>
      <c r="M264">
        <v>28</v>
      </c>
      <c r="N264">
        <v>12</v>
      </c>
      <c r="O264">
        <v>0</v>
      </c>
      <c r="P264">
        <v>16</v>
      </c>
      <c r="Q264">
        <v>0</v>
      </c>
      <c r="R264">
        <v>0</v>
      </c>
      <c r="S264">
        <v>92</v>
      </c>
      <c r="T264" t="s">
        <v>1069</v>
      </c>
      <c r="U264" t="s">
        <v>180</v>
      </c>
      <c r="V264" t="s">
        <v>1072</v>
      </c>
      <c r="W264" t="s">
        <v>1074</v>
      </c>
    </row>
    <row r="265" spans="1:23" x14ac:dyDescent="0.25">
      <c r="A265" t="s">
        <v>1075</v>
      </c>
      <c r="B265" t="s">
        <v>1075</v>
      </c>
      <c r="C265">
        <v>0</v>
      </c>
      <c r="D265" s="3">
        <v>0</v>
      </c>
      <c r="E265">
        <v>44</v>
      </c>
      <c r="G265">
        <v>0</v>
      </c>
      <c r="H265">
        <v>0</v>
      </c>
      <c r="I265">
        <v>12</v>
      </c>
      <c r="J265">
        <v>4</v>
      </c>
      <c r="K265">
        <v>0</v>
      </c>
      <c r="L265">
        <v>-4</v>
      </c>
      <c r="M265">
        <v>0</v>
      </c>
      <c r="N265">
        <v>0</v>
      </c>
      <c r="O265">
        <v>0</v>
      </c>
      <c r="P265">
        <v>4</v>
      </c>
      <c r="Q265">
        <v>0</v>
      </c>
      <c r="R265">
        <v>0</v>
      </c>
      <c r="S265">
        <v>16</v>
      </c>
      <c r="T265" t="s">
        <v>1069</v>
      </c>
      <c r="U265" t="s">
        <v>180</v>
      </c>
      <c r="V265" t="s">
        <v>1072</v>
      </c>
      <c r="W265" t="s">
        <v>1076</v>
      </c>
    </row>
    <row r="266" spans="1:23" x14ac:dyDescent="0.25">
      <c r="A266" t="s">
        <v>700</v>
      </c>
      <c r="B266" t="s">
        <v>700</v>
      </c>
      <c r="C266">
        <v>8</v>
      </c>
      <c r="D266" s="3">
        <v>8</v>
      </c>
      <c r="E266">
        <v>52</v>
      </c>
      <c r="F266">
        <v>40</v>
      </c>
      <c r="G266">
        <v>16</v>
      </c>
      <c r="H266">
        <v>8</v>
      </c>
      <c r="I266">
        <v>0</v>
      </c>
      <c r="J266">
        <v>0</v>
      </c>
      <c r="K266">
        <v>0</v>
      </c>
      <c r="L266">
        <v>0</v>
      </c>
      <c r="M266">
        <v>8</v>
      </c>
      <c r="N266">
        <v>8</v>
      </c>
      <c r="O266">
        <v>0</v>
      </c>
      <c r="P266">
        <v>12</v>
      </c>
      <c r="Q266">
        <v>12</v>
      </c>
      <c r="R266">
        <v>8</v>
      </c>
      <c r="S266">
        <v>72</v>
      </c>
      <c r="T266" t="s">
        <v>1069</v>
      </c>
      <c r="U266" t="s">
        <v>180</v>
      </c>
      <c r="V266" t="s">
        <v>1077</v>
      </c>
      <c r="W266" t="s">
        <v>1073</v>
      </c>
    </row>
    <row r="267" spans="1:23" x14ac:dyDescent="0.25">
      <c r="A267" t="s">
        <v>734</v>
      </c>
      <c r="B267" t="s">
        <v>734</v>
      </c>
      <c r="C267">
        <v>10</v>
      </c>
      <c r="D267" s="3">
        <v>10</v>
      </c>
      <c r="E267">
        <v>56</v>
      </c>
      <c r="F267">
        <v>20</v>
      </c>
      <c r="G267">
        <v>16</v>
      </c>
      <c r="H267">
        <v>0</v>
      </c>
      <c r="I267">
        <v>8</v>
      </c>
      <c r="J267">
        <v>24</v>
      </c>
      <c r="K267">
        <v>0</v>
      </c>
      <c r="L267">
        <v>4</v>
      </c>
      <c r="M267">
        <v>12</v>
      </c>
      <c r="N267">
        <v>24</v>
      </c>
      <c r="O267">
        <v>4</v>
      </c>
      <c r="P267">
        <v>12</v>
      </c>
      <c r="Q267">
        <v>0</v>
      </c>
      <c r="R267">
        <v>20</v>
      </c>
      <c r="S267">
        <v>124</v>
      </c>
      <c r="T267" t="s">
        <v>1069</v>
      </c>
      <c r="U267" t="s">
        <v>180</v>
      </c>
      <c r="V267" t="s">
        <v>1077</v>
      </c>
      <c r="W267" t="s">
        <v>1074</v>
      </c>
    </row>
    <row r="268" spans="1:23" x14ac:dyDescent="0.25">
      <c r="A268" t="s">
        <v>735</v>
      </c>
      <c r="B268" t="s">
        <v>735</v>
      </c>
      <c r="C268">
        <v>4</v>
      </c>
      <c r="D268" s="3">
        <v>4</v>
      </c>
      <c r="E268">
        <v>100</v>
      </c>
      <c r="F268">
        <v>60</v>
      </c>
      <c r="G268">
        <v>20</v>
      </c>
      <c r="H268">
        <v>4</v>
      </c>
      <c r="I268">
        <v>36</v>
      </c>
      <c r="J268">
        <v>0</v>
      </c>
      <c r="K268">
        <v>4</v>
      </c>
      <c r="L268">
        <v>16</v>
      </c>
      <c r="M268">
        <v>4</v>
      </c>
      <c r="N268">
        <v>12</v>
      </c>
      <c r="O268">
        <v>4</v>
      </c>
      <c r="P268">
        <v>40</v>
      </c>
      <c r="Q268">
        <v>0</v>
      </c>
      <c r="R268">
        <v>0</v>
      </c>
      <c r="S268">
        <v>140</v>
      </c>
      <c r="T268" t="s">
        <v>1069</v>
      </c>
      <c r="U268" t="s">
        <v>180</v>
      </c>
      <c r="V268" t="s">
        <v>1077</v>
      </c>
      <c r="W268" t="s">
        <v>1076</v>
      </c>
    </row>
    <row r="269" spans="1:23" x14ac:dyDescent="0.25">
      <c r="A269" t="s">
        <v>1078</v>
      </c>
      <c r="B269" t="s">
        <v>1078</v>
      </c>
      <c r="C269">
        <v>0</v>
      </c>
      <c r="D269" s="3">
        <v>0</v>
      </c>
      <c r="E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 t="s">
        <v>1069</v>
      </c>
      <c r="U269" t="s">
        <v>317</v>
      </c>
      <c r="V269" t="s">
        <v>1078</v>
      </c>
    </row>
    <row r="270" spans="1:23" x14ac:dyDescent="0.25">
      <c r="A270" t="s">
        <v>1079</v>
      </c>
      <c r="B270" t="s">
        <v>1079</v>
      </c>
      <c r="C270">
        <v>0</v>
      </c>
      <c r="D270" s="3">
        <v>0</v>
      </c>
      <c r="E270">
        <v>16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8</v>
      </c>
      <c r="O270">
        <v>0</v>
      </c>
      <c r="P270">
        <v>0</v>
      </c>
      <c r="Q270">
        <v>0</v>
      </c>
      <c r="R270">
        <v>0</v>
      </c>
      <c r="S270">
        <v>8</v>
      </c>
      <c r="T270" t="s">
        <v>1069</v>
      </c>
      <c r="U270" t="s">
        <v>460</v>
      </c>
      <c r="V270" t="s">
        <v>1080</v>
      </c>
      <c r="W270" t="s">
        <v>1074</v>
      </c>
    </row>
    <row r="271" spans="1:23" x14ac:dyDescent="0.25">
      <c r="A271" t="s">
        <v>701</v>
      </c>
      <c r="B271" t="s">
        <v>701</v>
      </c>
      <c r="C271">
        <v>0</v>
      </c>
      <c r="D271" s="3">
        <v>0</v>
      </c>
      <c r="E271">
        <v>120</v>
      </c>
      <c r="F271">
        <v>120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24</v>
      </c>
      <c r="O271">
        <v>40</v>
      </c>
      <c r="P271">
        <v>16</v>
      </c>
      <c r="Q271">
        <v>0</v>
      </c>
      <c r="R271">
        <v>0</v>
      </c>
      <c r="S271">
        <v>80</v>
      </c>
      <c r="T271" t="s">
        <v>1069</v>
      </c>
      <c r="U271" t="s">
        <v>460</v>
      </c>
      <c r="V271" t="s">
        <v>1080</v>
      </c>
      <c r="W271" t="s">
        <v>1082</v>
      </c>
    </row>
    <row r="272" spans="1:23" x14ac:dyDescent="0.25">
      <c r="A272" t="s">
        <v>1083</v>
      </c>
      <c r="B272" t="s">
        <v>1083</v>
      </c>
      <c r="C272">
        <v>0</v>
      </c>
      <c r="D272" s="3">
        <v>0</v>
      </c>
      <c r="E272">
        <v>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4</v>
      </c>
      <c r="O272">
        <v>0</v>
      </c>
      <c r="P272">
        <v>0</v>
      </c>
      <c r="Q272">
        <v>4</v>
      </c>
      <c r="R272">
        <v>0</v>
      </c>
      <c r="S272">
        <v>8</v>
      </c>
      <c r="T272" t="s">
        <v>1069</v>
      </c>
      <c r="U272" t="s">
        <v>460</v>
      </c>
      <c r="V272" t="s">
        <v>1080</v>
      </c>
      <c r="W272" t="s">
        <v>1084</v>
      </c>
    </row>
    <row r="273" spans="1:23" x14ac:dyDescent="0.25">
      <c r="A273" t="s">
        <v>702</v>
      </c>
      <c r="B273" t="s">
        <v>702</v>
      </c>
      <c r="C273">
        <v>22</v>
      </c>
      <c r="D273" s="3">
        <v>22</v>
      </c>
      <c r="E273">
        <v>200</v>
      </c>
      <c r="F273">
        <v>200</v>
      </c>
      <c r="G273">
        <v>40</v>
      </c>
      <c r="H273">
        <v>0</v>
      </c>
      <c r="I273">
        <v>80</v>
      </c>
      <c r="J273">
        <v>28</v>
      </c>
      <c r="K273">
        <v>16</v>
      </c>
      <c r="L273">
        <v>4</v>
      </c>
      <c r="M273">
        <v>8</v>
      </c>
      <c r="N273">
        <v>48</v>
      </c>
      <c r="O273">
        <v>16</v>
      </c>
      <c r="P273">
        <v>40</v>
      </c>
      <c r="Q273">
        <v>76</v>
      </c>
      <c r="R273">
        <v>0</v>
      </c>
      <c r="S273">
        <v>356</v>
      </c>
      <c r="T273" t="s">
        <v>1069</v>
      </c>
      <c r="U273" t="s">
        <v>492</v>
      </c>
      <c r="V273" t="s">
        <v>1085</v>
      </c>
      <c r="W273" t="s">
        <v>1074</v>
      </c>
    </row>
    <row r="274" spans="1:23" x14ac:dyDescent="0.25">
      <c r="A274" t="s">
        <v>1086</v>
      </c>
      <c r="B274" t="s">
        <v>1086</v>
      </c>
      <c r="C274">
        <v>0</v>
      </c>
      <c r="D274" s="3">
        <v>0</v>
      </c>
      <c r="E274">
        <v>12</v>
      </c>
      <c r="G274">
        <v>0</v>
      </c>
      <c r="H274">
        <v>0</v>
      </c>
      <c r="I274">
        <v>0</v>
      </c>
      <c r="J274">
        <v>0</v>
      </c>
      <c r="K274">
        <v>12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4</v>
      </c>
      <c r="R274">
        <v>0</v>
      </c>
      <c r="S274">
        <v>16</v>
      </c>
      <c r="T274" t="s">
        <v>1069</v>
      </c>
      <c r="U274" t="s">
        <v>492</v>
      </c>
      <c r="V274" t="s">
        <v>1085</v>
      </c>
      <c r="W274" t="s">
        <v>1076</v>
      </c>
    </row>
    <row r="275" spans="1:23" x14ac:dyDescent="0.25">
      <c r="A275" t="s">
        <v>703</v>
      </c>
      <c r="B275" t="s">
        <v>703</v>
      </c>
      <c r="C275">
        <v>194</v>
      </c>
      <c r="D275" s="3">
        <v>194</v>
      </c>
      <c r="E275">
        <v>1064</v>
      </c>
      <c r="F275">
        <v>864</v>
      </c>
      <c r="G275">
        <v>260</v>
      </c>
      <c r="H275">
        <v>420</v>
      </c>
      <c r="I275">
        <v>212</v>
      </c>
      <c r="J275">
        <v>176</v>
      </c>
      <c r="K275">
        <v>140</v>
      </c>
      <c r="L275">
        <v>160</v>
      </c>
      <c r="M275">
        <v>336</v>
      </c>
      <c r="N275">
        <v>172</v>
      </c>
      <c r="O275">
        <v>148</v>
      </c>
      <c r="P275">
        <v>256</v>
      </c>
      <c r="Q275">
        <v>272</v>
      </c>
      <c r="R275">
        <v>128</v>
      </c>
      <c r="S275">
        <v>2680</v>
      </c>
      <c r="T275" t="s">
        <v>1069</v>
      </c>
      <c r="U275" t="s">
        <v>492</v>
      </c>
      <c r="V275" t="s">
        <v>1085</v>
      </c>
      <c r="W275" t="s">
        <v>1082</v>
      </c>
    </row>
    <row r="276" spans="1:23" x14ac:dyDescent="0.25">
      <c r="A276" t="s">
        <v>1087</v>
      </c>
      <c r="B276" t="s">
        <v>1087</v>
      </c>
      <c r="C276">
        <v>0</v>
      </c>
      <c r="D276" s="3">
        <v>0</v>
      </c>
      <c r="E276">
        <v>8</v>
      </c>
      <c r="G276">
        <v>0</v>
      </c>
      <c r="H276">
        <v>0</v>
      </c>
      <c r="I276">
        <v>4</v>
      </c>
      <c r="J276">
        <v>0</v>
      </c>
      <c r="K276">
        <v>4</v>
      </c>
      <c r="L276">
        <v>0</v>
      </c>
      <c r="M276">
        <v>4</v>
      </c>
      <c r="N276">
        <v>0</v>
      </c>
      <c r="O276">
        <v>0</v>
      </c>
      <c r="P276">
        <v>0</v>
      </c>
      <c r="Q276">
        <v>4</v>
      </c>
      <c r="R276">
        <v>0</v>
      </c>
      <c r="S276">
        <v>16</v>
      </c>
      <c r="T276" t="s">
        <v>1069</v>
      </c>
      <c r="U276" t="s">
        <v>492</v>
      </c>
      <c r="V276" t="s">
        <v>1085</v>
      </c>
      <c r="W276" t="s">
        <v>1084</v>
      </c>
    </row>
    <row r="277" spans="1:23" x14ac:dyDescent="0.25">
      <c r="A277" t="s">
        <v>1093</v>
      </c>
      <c r="B277" t="s">
        <v>1093</v>
      </c>
      <c r="C277">
        <v>10</v>
      </c>
      <c r="D277" s="3">
        <v>10</v>
      </c>
      <c r="E277">
        <v>200</v>
      </c>
      <c r="G277">
        <v>36</v>
      </c>
      <c r="H277">
        <v>40</v>
      </c>
      <c r="I277">
        <v>44</v>
      </c>
      <c r="J277">
        <v>4</v>
      </c>
      <c r="K277">
        <v>0</v>
      </c>
      <c r="L277">
        <v>4</v>
      </c>
      <c r="M277">
        <v>0</v>
      </c>
      <c r="N277">
        <v>116</v>
      </c>
      <c r="O277">
        <v>24</v>
      </c>
      <c r="P277">
        <v>16</v>
      </c>
      <c r="Q277">
        <v>-20</v>
      </c>
      <c r="R277">
        <v>0</v>
      </c>
      <c r="S277">
        <v>264</v>
      </c>
      <c r="T277" t="s">
        <v>1069</v>
      </c>
      <c r="U277" t="s">
        <v>492</v>
      </c>
      <c r="V277" t="s">
        <v>1094</v>
      </c>
      <c r="W277" t="s">
        <v>1074</v>
      </c>
    </row>
    <row r="278" spans="1:23" x14ac:dyDescent="0.25">
      <c r="A278" t="s">
        <v>704</v>
      </c>
      <c r="B278" t="s">
        <v>704</v>
      </c>
      <c r="C278">
        <v>66</v>
      </c>
      <c r="D278" s="3">
        <v>66</v>
      </c>
      <c r="E278">
        <v>552</v>
      </c>
      <c r="F278">
        <v>432</v>
      </c>
      <c r="G278">
        <v>20</v>
      </c>
      <c r="H278">
        <v>44</v>
      </c>
      <c r="I278">
        <v>96</v>
      </c>
      <c r="J278">
        <v>52</v>
      </c>
      <c r="K278">
        <v>20</v>
      </c>
      <c r="L278">
        <v>112</v>
      </c>
      <c r="M278">
        <v>4</v>
      </c>
      <c r="N278">
        <v>124</v>
      </c>
      <c r="O278">
        <v>20</v>
      </c>
      <c r="P278">
        <v>180</v>
      </c>
      <c r="Q278">
        <v>176</v>
      </c>
      <c r="R278">
        <v>80</v>
      </c>
      <c r="S278">
        <v>928</v>
      </c>
      <c r="T278" t="s">
        <v>1069</v>
      </c>
      <c r="U278" t="s">
        <v>492</v>
      </c>
      <c r="V278" t="s">
        <v>1094</v>
      </c>
      <c r="W278" t="s">
        <v>1082</v>
      </c>
    </row>
    <row r="279" spans="1:23" x14ac:dyDescent="0.25">
      <c r="A279" t="s">
        <v>736</v>
      </c>
      <c r="B279" t="s">
        <v>736</v>
      </c>
      <c r="C279">
        <v>4</v>
      </c>
      <c r="D279" s="3">
        <v>4</v>
      </c>
      <c r="E279">
        <v>56</v>
      </c>
      <c r="F279">
        <v>40</v>
      </c>
      <c r="G279">
        <v>4</v>
      </c>
      <c r="H279">
        <v>8</v>
      </c>
      <c r="I279">
        <v>0</v>
      </c>
      <c r="J279">
        <v>8</v>
      </c>
      <c r="K279">
        <v>4</v>
      </c>
      <c r="L279">
        <v>0</v>
      </c>
      <c r="M279">
        <v>0</v>
      </c>
      <c r="N279">
        <v>20</v>
      </c>
      <c r="O279">
        <v>0</v>
      </c>
      <c r="P279">
        <v>40</v>
      </c>
      <c r="Q279">
        <v>8</v>
      </c>
      <c r="R279">
        <v>0</v>
      </c>
      <c r="S279">
        <v>92</v>
      </c>
      <c r="T279" t="s">
        <v>1069</v>
      </c>
      <c r="U279" t="s">
        <v>492</v>
      </c>
      <c r="V279" t="s">
        <v>1094</v>
      </c>
      <c r="W279" t="s">
        <v>1084</v>
      </c>
    </row>
    <row r="280" spans="1:23" x14ac:dyDescent="0.25">
      <c r="A280" t="s">
        <v>1736</v>
      </c>
      <c r="B280" s="2" t="s">
        <v>1096</v>
      </c>
      <c r="C280">
        <v>0</v>
      </c>
      <c r="D280" s="3">
        <v>0</v>
      </c>
      <c r="E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1069</v>
      </c>
      <c r="U280" t="s">
        <v>568</v>
      </c>
      <c r="V280" t="s">
        <v>1096</v>
      </c>
    </row>
    <row r="281" spans="1:23" x14ac:dyDescent="0.25">
      <c r="A281" t="s">
        <v>1737</v>
      </c>
      <c r="B281" s="2" t="s">
        <v>1124</v>
      </c>
      <c r="C281">
        <v>0</v>
      </c>
      <c r="D281" s="3">
        <v>0</v>
      </c>
      <c r="E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1102</v>
      </c>
      <c r="U281" t="s">
        <v>77</v>
      </c>
      <c r="V281" t="s">
        <v>1125</v>
      </c>
      <c r="W281" t="s">
        <v>1104</v>
      </c>
    </row>
    <row r="282" spans="1:23" x14ac:dyDescent="0.25">
      <c r="A282" t="s">
        <v>1126</v>
      </c>
      <c r="B282" t="s">
        <v>1126</v>
      </c>
      <c r="C282">
        <v>0</v>
      </c>
      <c r="D282" s="3">
        <v>0</v>
      </c>
      <c r="E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 t="s">
        <v>1102</v>
      </c>
      <c r="U282" t="s">
        <v>77</v>
      </c>
      <c r="V282" t="s">
        <v>1125</v>
      </c>
      <c r="W282" t="s">
        <v>1108</v>
      </c>
    </row>
    <row r="283" spans="1:23" x14ac:dyDescent="0.25">
      <c r="A283" t="s">
        <v>657</v>
      </c>
      <c r="B283" t="s">
        <v>657</v>
      </c>
      <c r="C283">
        <v>1</v>
      </c>
      <c r="D283" s="3">
        <v>1</v>
      </c>
      <c r="E283">
        <v>4</v>
      </c>
      <c r="F283">
        <v>3</v>
      </c>
      <c r="G283">
        <v>1</v>
      </c>
      <c r="H283">
        <v>2</v>
      </c>
      <c r="I283">
        <v>0</v>
      </c>
      <c r="J283">
        <v>0</v>
      </c>
      <c r="K283">
        <v>1</v>
      </c>
      <c r="L283">
        <v>1</v>
      </c>
      <c r="M283">
        <v>0</v>
      </c>
      <c r="N283">
        <v>0</v>
      </c>
      <c r="O283">
        <v>1</v>
      </c>
      <c r="P283">
        <v>0</v>
      </c>
      <c r="Q283">
        <v>1</v>
      </c>
      <c r="R283">
        <v>1</v>
      </c>
      <c r="S283">
        <v>8</v>
      </c>
      <c r="T283" t="s">
        <v>1102</v>
      </c>
      <c r="U283" t="s">
        <v>83</v>
      </c>
      <c r="V283" t="s">
        <v>1127</v>
      </c>
      <c r="W283" t="s">
        <v>1104</v>
      </c>
    </row>
    <row r="284" spans="1:23" x14ac:dyDescent="0.25">
      <c r="A284" t="s">
        <v>658</v>
      </c>
      <c r="B284" t="s">
        <v>658</v>
      </c>
      <c r="C284">
        <v>1</v>
      </c>
      <c r="D284" s="3">
        <v>1</v>
      </c>
      <c r="E284">
        <v>7</v>
      </c>
      <c r="F284">
        <v>7</v>
      </c>
      <c r="G284">
        <v>3</v>
      </c>
      <c r="H284">
        <v>0</v>
      </c>
      <c r="I284">
        <v>2</v>
      </c>
      <c r="J284">
        <v>0</v>
      </c>
      <c r="K284">
        <v>1</v>
      </c>
      <c r="L284">
        <v>3</v>
      </c>
      <c r="M284">
        <v>1</v>
      </c>
      <c r="N284">
        <v>0</v>
      </c>
      <c r="O284">
        <v>5</v>
      </c>
      <c r="P284">
        <v>1</v>
      </c>
      <c r="Q284">
        <v>0</v>
      </c>
      <c r="R284">
        <v>0</v>
      </c>
      <c r="S284">
        <v>16</v>
      </c>
      <c r="T284" t="s">
        <v>1102</v>
      </c>
      <c r="U284" t="s">
        <v>83</v>
      </c>
      <c r="V284" t="s">
        <v>1127</v>
      </c>
      <c r="W284" t="s">
        <v>1106</v>
      </c>
    </row>
    <row r="285" spans="1:23" x14ac:dyDescent="0.25">
      <c r="A285" t="s">
        <v>710</v>
      </c>
      <c r="B285" t="s">
        <v>710</v>
      </c>
      <c r="C285">
        <v>0</v>
      </c>
      <c r="D285" s="3">
        <v>0</v>
      </c>
      <c r="E285">
        <v>7</v>
      </c>
      <c r="F285">
        <v>1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1</v>
      </c>
      <c r="O285">
        <v>0</v>
      </c>
      <c r="P285">
        <v>0</v>
      </c>
      <c r="Q285">
        <v>2</v>
      </c>
      <c r="R285">
        <v>0</v>
      </c>
      <c r="S285">
        <v>6</v>
      </c>
      <c r="T285" t="s">
        <v>1102</v>
      </c>
      <c r="U285" t="s">
        <v>83</v>
      </c>
      <c r="V285" t="s">
        <v>1127</v>
      </c>
      <c r="W285" t="s">
        <v>1108</v>
      </c>
    </row>
    <row r="286" spans="1:23" x14ac:dyDescent="0.25">
      <c r="A286" t="s">
        <v>1128</v>
      </c>
      <c r="B286" t="s">
        <v>1128</v>
      </c>
      <c r="C286">
        <v>0</v>
      </c>
      <c r="D286" s="3">
        <v>0</v>
      </c>
      <c r="E286">
        <v>2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 t="s">
        <v>1102</v>
      </c>
      <c r="U286" t="s">
        <v>83</v>
      </c>
      <c r="V286" t="s">
        <v>1127</v>
      </c>
      <c r="W286" t="s">
        <v>1129</v>
      </c>
    </row>
    <row r="287" spans="1:23" x14ac:dyDescent="0.25">
      <c r="A287" t="s">
        <v>1130</v>
      </c>
      <c r="B287" t="s">
        <v>1130</v>
      </c>
      <c r="C287">
        <v>0</v>
      </c>
      <c r="D287" s="3">
        <v>0</v>
      </c>
      <c r="E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1102</v>
      </c>
      <c r="U287" t="s">
        <v>83</v>
      </c>
      <c r="V287" t="s">
        <v>1127</v>
      </c>
      <c r="W287" t="s">
        <v>1131</v>
      </c>
    </row>
    <row r="288" spans="1:23" x14ac:dyDescent="0.25">
      <c r="A288" t="s">
        <v>659</v>
      </c>
      <c r="B288" t="s">
        <v>659</v>
      </c>
      <c r="C288">
        <v>0.5</v>
      </c>
      <c r="D288" s="3">
        <v>0.5</v>
      </c>
      <c r="E288">
        <v>5</v>
      </c>
      <c r="F288">
        <v>2</v>
      </c>
      <c r="G288">
        <v>6</v>
      </c>
      <c r="H288">
        <v>1</v>
      </c>
      <c r="I288">
        <v>0</v>
      </c>
      <c r="J288">
        <v>0</v>
      </c>
      <c r="K288">
        <v>1</v>
      </c>
      <c r="L288">
        <v>0</v>
      </c>
      <c r="M288">
        <v>2</v>
      </c>
      <c r="N288">
        <v>0</v>
      </c>
      <c r="O288">
        <v>1</v>
      </c>
      <c r="P288">
        <v>1</v>
      </c>
      <c r="Q288">
        <v>0</v>
      </c>
      <c r="R288">
        <v>0</v>
      </c>
      <c r="S288">
        <v>12</v>
      </c>
      <c r="T288" t="s">
        <v>1102</v>
      </c>
      <c r="U288" t="s">
        <v>83</v>
      </c>
      <c r="V288" t="s">
        <v>1138</v>
      </c>
      <c r="W288" t="s">
        <v>1104</v>
      </c>
    </row>
    <row r="289" spans="1:23" x14ac:dyDescent="0.25">
      <c r="A289" t="s">
        <v>660</v>
      </c>
      <c r="B289" t="s">
        <v>660</v>
      </c>
      <c r="C289">
        <v>3</v>
      </c>
      <c r="D289" s="3">
        <v>3</v>
      </c>
      <c r="E289">
        <v>11</v>
      </c>
      <c r="F289">
        <v>3</v>
      </c>
      <c r="G289">
        <v>4</v>
      </c>
      <c r="H289">
        <v>2</v>
      </c>
      <c r="I289">
        <v>4</v>
      </c>
      <c r="J289">
        <v>3</v>
      </c>
      <c r="K289">
        <v>4</v>
      </c>
      <c r="L289">
        <v>3</v>
      </c>
      <c r="M289">
        <v>3</v>
      </c>
      <c r="N289">
        <v>0</v>
      </c>
      <c r="O289">
        <v>3</v>
      </c>
      <c r="P289">
        <v>2</v>
      </c>
      <c r="Q289">
        <v>0</v>
      </c>
      <c r="R289">
        <v>1</v>
      </c>
      <c r="S289">
        <v>29</v>
      </c>
      <c r="T289" t="s">
        <v>1102</v>
      </c>
      <c r="U289" t="s">
        <v>83</v>
      </c>
      <c r="V289" t="s">
        <v>1138</v>
      </c>
      <c r="W289" t="s">
        <v>1106</v>
      </c>
    </row>
    <row r="290" spans="1:23" x14ac:dyDescent="0.25">
      <c r="A290" t="s">
        <v>661</v>
      </c>
      <c r="B290" t="s">
        <v>661</v>
      </c>
      <c r="C290">
        <v>0</v>
      </c>
      <c r="D290" s="3">
        <v>0</v>
      </c>
      <c r="E290">
        <v>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3</v>
      </c>
      <c r="N290">
        <v>0</v>
      </c>
      <c r="O290">
        <v>0</v>
      </c>
      <c r="P290">
        <v>0</v>
      </c>
      <c r="Q290">
        <v>1</v>
      </c>
      <c r="R290">
        <v>1</v>
      </c>
      <c r="S290">
        <v>5</v>
      </c>
      <c r="T290" t="s">
        <v>1102</v>
      </c>
      <c r="U290" t="s">
        <v>83</v>
      </c>
      <c r="V290" t="s">
        <v>1138</v>
      </c>
      <c r="W290" t="s">
        <v>1108</v>
      </c>
    </row>
    <row r="291" spans="1:23" x14ac:dyDescent="0.25">
      <c r="A291" t="s">
        <v>1139</v>
      </c>
      <c r="B291" t="s">
        <v>1139</v>
      </c>
      <c r="C291">
        <v>0</v>
      </c>
      <c r="D291" s="3">
        <v>0</v>
      </c>
      <c r="E291">
        <v>2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3</v>
      </c>
      <c r="T291" t="s">
        <v>1102</v>
      </c>
      <c r="U291" t="s">
        <v>83</v>
      </c>
      <c r="V291" t="s">
        <v>1138</v>
      </c>
      <c r="W291" t="s">
        <v>1129</v>
      </c>
    </row>
    <row r="292" spans="1:23" x14ac:dyDescent="0.25">
      <c r="A292" t="s">
        <v>1140</v>
      </c>
      <c r="B292" t="s">
        <v>1140</v>
      </c>
      <c r="C292">
        <v>0</v>
      </c>
      <c r="D292" s="3">
        <v>0</v>
      </c>
      <c r="E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1102</v>
      </c>
      <c r="U292" t="s">
        <v>83</v>
      </c>
      <c r="V292" t="s">
        <v>1138</v>
      </c>
      <c r="W292" t="s">
        <v>1131</v>
      </c>
    </row>
    <row r="293" spans="1:23" x14ac:dyDescent="0.25">
      <c r="A293" t="s">
        <v>662</v>
      </c>
      <c r="B293" t="s">
        <v>662</v>
      </c>
      <c r="C293">
        <v>3.5</v>
      </c>
      <c r="D293" s="3">
        <v>3.5</v>
      </c>
      <c r="E293">
        <v>15</v>
      </c>
      <c r="F293">
        <v>6</v>
      </c>
      <c r="G293">
        <v>6</v>
      </c>
      <c r="H293">
        <v>0</v>
      </c>
      <c r="I293">
        <v>5</v>
      </c>
      <c r="J293">
        <v>0</v>
      </c>
      <c r="K293">
        <v>6</v>
      </c>
      <c r="L293">
        <v>4</v>
      </c>
      <c r="M293">
        <v>0</v>
      </c>
      <c r="N293">
        <v>0</v>
      </c>
      <c r="O293">
        <v>10</v>
      </c>
      <c r="P293">
        <v>0</v>
      </c>
      <c r="Q293">
        <v>5</v>
      </c>
      <c r="R293">
        <v>3</v>
      </c>
      <c r="S293">
        <v>39</v>
      </c>
      <c r="T293" t="s">
        <v>1102</v>
      </c>
      <c r="U293" t="s">
        <v>83</v>
      </c>
      <c r="V293" t="s">
        <v>1152</v>
      </c>
      <c r="W293" t="s">
        <v>1104</v>
      </c>
    </row>
    <row r="294" spans="1:23" x14ac:dyDescent="0.25">
      <c r="A294" t="s">
        <v>663</v>
      </c>
      <c r="B294" t="s">
        <v>663</v>
      </c>
      <c r="C294">
        <v>0</v>
      </c>
      <c r="D294" s="3">
        <v>0</v>
      </c>
      <c r="E294">
        <v>18</v>
      </c>
      <c r="F294">
        <v>18</v>
      </c>
      <c r="G294">
        <v>14</v>
      </c>
      <c r="H294">
        <v>0</v>
      </c>
      <c r="I294">
        <v>0</v>
      </c>
      <c r="J294">
        <v>0</v>
      </c>
      <c r="K294">
        <v>13</v>
      </c>
      <c r="L294">
        <v>2</v>
      </c>
      <c r="M294">
        <v>0</v>
      </c>
      <c r="N294">
        <v>0</v>
      </c>
      <c r="O294">
        <v>9</v>
      </c>
      <c r="P294">
        <v>0</v>
      </c>
      <c r="Q294">
        <v>0</v>
      </c>
      <c r="R294">
        <v>0</v>
      </c>
      <c r="S294">
        <v>38</v>
      </c>
      <c r="T294" t="s">
        <v>1102</v>
      </c>
      <c r="U294" t="s">
        <v>83</v>
      </c>
      <c r="V294" t="s">
        <v>1152</v>
      </c>
      <c r="W294" t="s">
        <v>1106</v>
      </c>
    </row>
    <row r="295" spans="1:23" x14ac:dyDescent="0.25">
      <c r="A295" t="s">
        <v>711</v>
      </c>
      <c r="B295" t="s">
        <v>711</v>
      </c>
      <c r="C295">
        <v>0</v>
      </c>
      <c r="D295" s="3">
        <v>0</v>
      </c>
      <c r="E295">
        <v>16</v>
      </c>
      <c r="F295">
        <v>5</v>
      </c>
      <c r="G295">
        <v>0</v>
      </c>
      <c r="H295">
        <v>0</v>
      </c>
      <c r="I295">
        <v>0</v>
      </c>
      <c r="J295">
        <v>0</v>
      </c>
      <c r="K295">
        <v>10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11</v>
      </c>
      <c r="T295" t="s">
        <v>1102</v>
      </c>
      <c r="U295" t="s">
        <v>83</v>
      </c>
      <c r="V295" t="s">
        <v>1152</v>
      </c>
      <c r="W295" t="s">
        <v>1108</v>
      </c>
    </row>
    <row r="296" spans="1:23" x14ac:dyDescent="0.25">
      <c r="A296" t="s">
        <v>664</v>
      </c>
      <c r="B296" t="s">
        <v>664</v>
      </c>
      <c r="C296">
        <v>0</v>
      </c>
      <c r="D296" s="3">
        <v>0</v>
      </c>
      <c r="E296">
        <v>4</v>
      </c>
      <c r="F296">
        <v>4</v>
      </c>
      <c r="G296">
        <v>0</v>
      </c>
      <c r="H296">
        <v>0</v>
      </c>
      <c r="I296">
        <v>2</v>
      </c>
      <c r="J296">
        <v>0</v>
      </c>
      <c r="K296">
        <v>0</v>
      </c>
      <c r="L296">
        <v>0</v>
      </c>
      <c r="M296">
        <v>2</v>
      </c>
      <c r="N296">
        <v>0</v>
      </c>
      <c r="O296">
        <v>0</v>
      </c>
      <c r="P296">
        <v>0</v>
      </c>
      <c r="Q296">
        <v>1</v>
      </c>
      <c r="R296">
        <v>2</v>
      </c>
      <c r="S296">
        <v>7</v>
      </c>
      <c r="T296" t="s">
        <v>1102</v>
      </c>
      <c r="U296" t="s">
        <v>83</v>
      </c>
      <c r="V296" t="s">
        <v>1152</v>
      </c>
      <c r="W296" t="s">
        <v>1129</v>
      </c>
    </row>
    <row r="297" spans="1:23" x14ac:dyDescent="0.25">
      <c r="A297" t="s">
        <v>712</v>
      </c>
      <c r="B297" t="s">
        <v>712</v>
      </c>
      <c r="C297">
        <v>0</v>
      </c>
      <c r="D297" s="3">
        <v>0</v>
      </c>
      <c r="E297">
        <v>2</v>
      </c>
      <c r="F297">
        <v>1</v>
      </c>
      <c r="G297">
        <v>0</v>
      </c>
      <c r="H297">
        <v>1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2</v>
      </c>
      <c r="T297" t="s">
        <v>1102</v>
      </c>
      <c r="U297" t="s">
        <v>83</v>
      </c>
      <c r="V297" t="s">
        <v>1152</v>
      </c>
      <c r="W297" t="s">
        <v>1131</v>
      </c>
    </row>
    <row r="298" spans="1:23" x14ac:dyDescent="0.25">
      <c r="A298" t="s">
        <v>1301</v>
      </c>
      <c r="B298" t="s">
        <v>1301</v>
      </c>
      <c r="C298">
        <v>0</v>
      </c>
      <c r="D298" s="3">
        <v>0</v>
      </c>
      <c r="E298">
        <v>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</v>
      </c>
      <c r="N298">
        <v>0</v>
      </c>
      <c r="O298">
        <v>0</v>
      </c>
      <c r="P298">
        <v>0</v>
      </c>
      <c r="Q298">
        <v>3</v>
      </c>
      <c r="R298">
        <v>0</v>
      </c>
      <c r="S298">
        <v>5</v>
      </c>
      <c r="T298" t="s">
        <v>1102</v>
      </c>
      <c r="U298" t="s">
        <v>180</v>
      </c>
      <c r="V298" t="s">
        <v>1301</v>
      </c>
      <c r="W298" t="s">
        <v>1104</v>
      </c>
    </row>
    <row r="299" spans="1:23" x14ac:dyDescent="0.25">
      <c r="A299" t="s">
        <v>665</v>
      </c>
      <c r="B299" t="s">
        <v>665</v>
      </c>
      <c r="C299">
        <v>0</v>
      </c>
      <c r="D299" s="3">
        <v>0</v>
      </c>
      <c r="E299">
        <v>8</v>
      </c>
      <c r="F299">
        <v>5</v>
      </c>
      <c r="G299">
        <v>0</v>
      </c>
      <c r="H299">
        <v>0</v>
      </c>
      <c r="I299">
        <v>3</v>
      </c>
      <c r="J299">
        <v>0</v>
      </c>
      <c r="K299">
        <v>5</v>
      </c>
      <c r="L299">
        <v>0</v>
      </c>
      <c r="M299">
        <v>2</v>
      </c>
      <c r="N299">
        <v>4</v>
      </c>
      <c r="O299">
        <v>0</v>
      </c>
      <c r="P299">
        <v>0</v>
      </c>
      <c r="Q299">
        <v>4</v>
      </c>
      <c r="R299">
        <v>0</v>
      </c>
      <c r="S299">
        <v>18</v>
      </c>
      <c r="T299" t="s">
        <v>1102</v>
      </c>
      <c r="U299" t="s">
        <v>180</v>
      </c>
      <c r="V299" t="s">
        <v>1306</v>
      </c>
      <c r="W299" t="s">
        <v>1185</v>
      </c>
    </row>
    <row r="300" spans="1:23" x14ac:dyDescent="0.25">
      <c r="A300" t="s">
        <v>716</v>
      </c>
      <c r="B300" t="s">
        <v>716</v>
      </c>
      <c r="C300">
        <v>0</v>
      </c>
      <c r="D300" s="3">
        <v>0</v>
      </c>
      <c r="E300">
        <v>3</v>
      </c>
      <c r="F300">
        <v>2</v>
      </c>
      <c r="G300">
        <v>0</v>
      </c>
      <c r="H300">
        <v>0</v>
      </c>
      <c r="I300">
        <v>2</v>
      </c>
      <c r="J300">
        <v>0</v>
      </c>
      <c r="K300">
        <v>2</v>
      </c>
      <c r="L300">
        <v>0</v>
      </c>
      <c r="M300">
        <v>1</v>
      </c>
      <c r="N300">
        <v>1</v>
      </c>
      <c r="O300">
        <v>0</v>
      </c>
      <c r="P300">
        <v>0</v>
      </c>
      <c r="Q300">
        <v>2</v>
      </c>
      <c r="R300">
        <v>0</v>
      </c>
      <c r="S300">
        <v>8</v>
      </c>
      <c r="T300" t="s">
        <v>1102</v>
      </c>
      <c r="U300" t="s">
        <v>180</v>
      </c>
      <c r="V300" t="s">
        <v>1311</v>
      </c>
      <c r="W300" t="s">
        <v>1185</v>
      </c>
    </row>
    <row r="301" spans="1:23" x14ac:dyDescent="0.25">
      <c r="A301" t="s">
        <v>1315</v>
      </c>
      <c r="B301" t="s">
        <v>1315</v>
      </c>
      <c r="C301">
        <v>0</v>
      </c>
      <c r="D301" s="3">
        <v>0</v>
      </c>
      <c r="E301">
        <v>0</v>
      </c>
      <c r="G301">
        <v>0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2</v>
      </c>
      <c r="R301">
        <v>0</v>
      </c>
      <c r="S301">
        <v>4</v>
      </c>
      <c r="T301" t="s">
        <v>1102</v>
      </c>
      <c r="U301" t="s">
        <v>180</v>
      </c>
      <c r="V301" t="s">
        <v>1315</v>
      </c>
      <c r="W301" t="s">
        <v>1131</v>
      </c>
    </row>
    <row r="302" spans="1:23" x14ac:dyDescent="0.25">
      <c r="A302" t="s">
        <v>1320</v>
      </c>
      <c r="B302" t="s">
        <v>1320</v>
      </c>
      <c r="C302">
        <v>0.5</v>
      </c>
      <c r="D302" s="3">
        <v>0.5</v>
      </c>
      <c r="E302">
        <v>122</v>
      </c>
      <c r="G302">
        <v>0</v>
      </c>
      <c r="H302">
        <v>1</v>
      </c>
      <c r="I302">
        <v>6</v>
      </c>
      <c r="J302">
        <v>0</v>
      </c>
      <c r="K302">
        <v>0</v>
      </c>
      <c r="L302">
        <v>1</v>
      </c>
      <c r="M302">
        <v>5</v>
      </c>
      <c r="N302">
        <v>0</v>
      </c>
      <c r="O302">
        <v>0</v>
      </c>
      <c r="P302">
        <v>1</v>
      </c>
      <c r="Q302">
        <v>0</v>
      </c>
      <c r="R302">
        <v>6</v>
      </c>
      <c r="S302">
        <v>20</v>
      </c>
      <c r="T302" t="s">
        <v>1102</v>
      </c>
      <c r="U302" t="s">
        <v>180</v>
      </c>
      <c r="V302" t="s">
        <v>1320</v>
      </c>
      <c r="W302" t="s">
        <v>1104</v>
      </c>
    </row>
    <row r="303" spans="1:23" x14ac:dyDescent="0.25">
      <c r="A303" t="s">
        <v>668</v>
      </c>
      <c r="B303" t="s">
        <v>668</v>
      </c>
      <c r="C303">
        <v>0</v>
      </c>
      <c r="D303" s="3">
        <v>0</v>
      </c>
      <c r="E303">
        <v>5</v>
      </c>
      <c r="F303">
        <v>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10</v>
      </c>
      <c r="R303">
        <v>0</v>
      </c>
      <c r="S303">
        <v>10</v>
      </c>
      <c r="T303" t="s">
        <v>1102</v>
      </c>
      <c r="U303" t="s">
        <v>180</v>
      </c>
      <c r="V303" t="s">
        <v>1320</v>
      </c>
      <c r="W303" t="s">
        <v>1191</v>
      </c>
    </row>
    <row r="304" spans="1:23" x14ac:dyDescent="0.25">
      <c r="A304" t="s">
        <v>1323</v>
      </c>
      <c r="B304" t="s">
        <v>1323</v>
      </c>
      <c r="C304">
        <v>0</v>
      </c>
      <c r="D304" s="3">
        <v>0</v>
      </c>
      <c r="E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1102</v>
      </c>
      <c r="U304" t="s">
        <v>180</v>
      </c>
      <c r="V304" t="s">
        <v>1323</v>
      </c>
      <c r="W304" t="s">
        <v>1106</v>
      </c>
    </row>
    <row r="305" spans="1:23" x14ac:dyDescent="0.25">
      <c r="A305" t="s">
        <v>1330</v>
      </c>
      <c r="B305" t="s">
        <v>1330</v>
      </c>
      <c r="C305">
        <v>0</v>
      </c>
      <c r="D305" s="3">
        <v>0</v>
      </c>
      <c r="E305">
        <v>3</v>
      </c>
      <c r="G305">
        <v>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4</v>
      </c>
      <c r="N305">
        <v>0</v>
      </c>
      <c r="O305">
        <v>0</v>
      </c>
      <c r="P305">
        <v>0</v>
      </c>
      <c r="Q305">
        <v>1</v>
      </c>
      <c r="R305">
        <v>1</v>
      </c>
      <c r="S305">
        <v>9</v>
      </c>
      <c r="T305" t="s">
        <v>1102</v>
      </c>
      <c r="U305" t="s">
        <v>180</v>
      </c>
      <c r="V305" t="s">
        <v>1329</v>
      </c>
      <c r="W305" t="s">
        <v>1183</v>
      </c>
    </row>
    <row r="306" spans="1:23" x14ac:dyDescent="0.25">
      <c r="A306" t="s">
        <v>1331</v>
      </c>
      <c r="B306" t="s">
        <v>1331</v>
      </c>
      <c r="C306">
        <v>1</v>
      </c>
      <c r="D306" s="3">
        <v>1</v>
      </c>
      <c r="E306">
        <v>7</v>
      </c>
      <c r="G306">
        <v>1</v>
      </c>
      <c r="H306">
        <v>0</v>
      </c>
      <c r="I306">
        <v>0</v>
      </c>
      <c r="J306">
        <v>0</v>
      </c>
      <c r="K306">
        <v>4</v>
      </c>
      <c r="L306">
        <v>2</v>
      </c>
      <c r="M306">
        <v>1</v>
      </c>
      <c r="N306">
        <v>4</v>
      </c>
      <c r="O306">
        <v>1</v>
      </c>
      <c r="P306">
        <v>0</v>
      </c>
      <c r="Q306">
        <v>2</v>
      </c>
      <c r="R306">
        <v>2</v>
      </c>
      <c r="S306">
        <v>17</v>
      </c>
      <c r="T306" t="s">
        <v>1102</v>
      </c>
      <c r="U306" t="s">
        <v>180</v>
      </c>
      <c r="V306" t="s">
        <v>1329</v>
      </c>
      <c r="W306" t="s">
        <v>1185</v>
      </c>
    </row>
    <row r="307" spans="1:23" x14ac:dyDescent="0.25">
      <c r="A307" t="s">
        <v>1335</v>
      </c>
      <c r="B307" t="s">
        <v>1335</v>
      </c>
      <c r="C307">
        <v>0</v>
      </c>
      <c r="D307" s="3">
        <v>0</v>
      </c>
      <c r="E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2</v>
      </c>
      <c r="T307" t="s">
        <v>1102</v>
      </c>
      <c r="U307" t="s">
        <v>180</v>
      </c>
      <c r="V307" t="s">
        <v>1335</v>
      </c>
      <c r="W307" t="s">
        <v>1129</v>
      </c>
    </row>
    <row r="308" spans="1:23" x14ac:dyDescent="0.25">
      <c r="A308" t="s">
        <v>669</v>
      </c>
      <c r="B308" t="s">
        <v>669</v>
      </c>
      <c r="C308">
        <v>0</v>
      </c>
      <c r="D308" s="3">
        <v>0</v>
      </c>
      <c r="E308">
        <v>3</v>
      </c>
      <c r="F308">
        <v>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</v>
      </c>
      <c r="N308">
        <v>0</v>
      </c>
      <c r="O308">
        <v>0</v>
      </c>
      <c r="P308">
        <v>0</v>
      </c>
      <c r="Q308">
        <v>2</v>
      </c>
      <c r="R308">
        <v>1</v>
      </c>
      <c r="S308">
        <v>5</v>
      </c>
      <c r="T308" t="s">
        <v>1102</v>
      </c>
      <c r="U308" t="s">
        <v>180</v>
      </c>
      <c r="V308" t="s">
        <v>1341</v>
      </c>
      <c r="W308" t="s">
        <v>1183</v>
      </c>
    </row>
    <row r="309" spans="1:23" x14ac:dyDescent="0.25">
      <c r="A309" t="s">
        <v>1738</v>
      </c>
      <c r="B309" t="s">
        <v>1342</v>
      </c>
      <c r="C309">
        <v>0</v>
      </c>
      <c r="D309" s="3">
        <v>0</v>
      </c>
      <c r="E309">
        <v>3</v>
      </c>
      <c r="G309">
        <v>0</v>
      </c>
      <c r="H309">
        <v>0</v>
      </c>
      <c r="I309">
        <v>0</v>
      </c>
      <c r="J309">
        <v>2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3</v>
      </c>
      <c r="T309" t="s">
        <v>1102</v>
      </c>
      <c r="U309" t="s">
        <v>180</v>
      </c>
      <c r="V309" t="s">
        <v>1341</v>
      </c>
      <c r="W309" t="s">
        <v>1185</v>
      </c>
    </row>
    <row r="310" spans="1:23" x14ac:dyDescent="0.25">
      <c r="A310" t="s">
        <v>674</v>
      </c>
      <c r="B310" t="s">
        <v>674</v>
      </c>
      <c r="C310">
        <v>0</v>
      </c>
      <c r="D310" s="3">
        <v>0</v>
      </c>
      <c r="E310">
        <v>5</v>
      </c>
      <c r="F310">
        <v>3</v>
      </c>
      <c r="G310">
        <v>0</v>
      </c>
      <c r="H310">
        <v>0</v>
      </c>
      <c r="I310">
        <v>3</v>
      </c>
      <c r="J310">
        <v>0</v>
      </c>
      <c r="K310">
        <v>0</v>
      </c>
      <c r="L310">
        <v>0</v>
      </c>
      <c r="M310">
        <v>4</v>
      </c>
      <c r="N310">
        <v>0</v>
      </c>
      <c r="O310">
        <v>0</v>
      </c>
      <c r="P310">
        <v>0</v>
      </c>
      <c r="Q310">
        <v>1</v>
      </c>
      <c r="R310">
        <v>3</v>
      </c>
      <c r="S310">
        <v>11</v>
      </c>
      <c r="T310" t="s">
        <v>1102</v>
      </c>
      <c r="U310" t="s">
        <v>180</v>
      </c>
      <c r="V310" t="s">
        <v>1403</v>
      </c>
      <c r="W310" t="s">
        <v>1187</v>
      </c>
    </row>
    <row r="311" spans="1:23" x14ac:dyDescent="0.25">
      <c r="A311" t="s">
        <v>718</v>
      </c>
      <c r="B311" t="s">
        <v>718</v>
      </c>
      <c r="C311">
        <v>0</v>
      </c>
      <c r="D311" s="3">
        <v>0</v>
      </c>
      <c r="E311">
        <v>4</v>
      </c>
      <c r="F311">
        <v>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4</v>
      </c>
      <c r="R311">
        <v>0</v>
      </c>
      <c r="S311">
        <v>4</v>
      </c>
      <c r="T311" t="s">
        <v>1102</v>
      </c>
      <c r="U311" t="s">
        <v>180</v>
      </c>
      <c r="V311" t="s">
        <v>1405</v>
      </c>
      <c r="W311" t="s">
        <v>1183</v>
      </c>
    </row>
    <row r="312" spans="1:23" x14ac:dyDescent="0.25">
      <c r="A312" t="s">
        <v>1406</v>
      </c>
      <c r="B312" t="s">
        <v>1406</v>
      </c>
      <c r="C312">
        <v>0</v>
      </c>
      <c r="D312" s="3">
        <v>0</v>
      </c>
      <c r="E312">
        <v>4</v>
      </c>
      <c r="G312">
        <v>0</v>
      </c>
      <c r="H312">
        <v>0</v>
      </c>
      <c r="I312">
        <v>0</v>
      </c>
      <c r="J312">
        <v>0</v>
      </c>
      <c r="K312">
        <v>2</v>
      </c>
      <c r="L312">
        <v>2</v>
      </c>
      <c r="M312">
        <v>3</v>
      </c>
      <c r="N312">
        <v>0</v>
      </c>
      <c r="O312">
        <v>0</v>
      </c>
      <c r="P312">
        <v>0</v>
      </c>
      <c r="Q312">
        <v>0</v>
      </c>
      <c r="R312">
        <v>3</v>
      </c>
      <c r="S312">
        <v>10</v>
      </c>
      <c r="T312" t="s">
        <v>1102</v>
      </c>
      <c r="U312" t="s">
        <v>180</v>
      </c>
      <c r="V312" t="s">
        <v>1405</v>
      </c>
      <c r="W312" t="s">
        <v>1185</v>
      </c>
    </row>
    <row r="313" spans="1:23" x14ac:dyDescent="0.25">
      <c r="A313" t="s">
        <v>675</v>
      </c>
      <c r="B313" t="s">
        <v>675</v>
      </c>
      <c r="C313">
        <v>0</v>
      </c>
      <c r="D313" s="3">
        <v>0</v>
      </c>
      <c r="E313">
        <v>3</v>
      </c>
      <c r="F313">
        <v>3</v>
      </c>
      <c r="G313">
        <v>0</v>
      </c>
      <c r="H313">
        <v>0</v>
      </c>
      <c r="I313">
        <v>3</v>
      </c>
      <c r="J313">
        <v>0</v>
      </c>
      <c r="K313">
        <v>0</v>
      </c>
      <c r="L313">
        <v>0</v>
      </c>
      <c r="M313">
        <v>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6</v>
      </c>
      <c r="T313" t="s">
        <v>1102</v>
      </c>
      <c r="U313" t="s">
        <v>180</v>
      </c>
      <c r="V313" t="s">
        <v>1408</v>
      </c>
      <c r="W313" t="s">
        <v>1183</v>
      </c>
    </row>
    <row r="314" spans="1:23" x14ac:dyDescent="0.25">
      <c r="A314" t="s">
        <v>676</v>
      </c>
      <c r="B314" t="s">
        <v>676</v>
      </c>
      <c r="C314">
        <v>0</v>
      </c>
      <c r="D314" s="3">
        <v>0</v>
      </c>
      <c r="E314">
        <v>3</v>
      </c>
      <c r="F314">
        <v>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1</v>
      </c>
      <c r="S314">
        <v>2</v>
      </c>
      <c r="T314" t="s">
        <v>1102</v>
      </c>
      <c r="U314" t="s">
        <v>180</v>
      </c>
      <c r="V314" t="s">
        <v>1408</v>
      </c>
      <c r="W314" t="s">
        <v>1185</v>
      </c>
    </row>
    <row r="315" spans="1:23" x14ac:dyDescent="0.25">
      <c r="A315" t="s">
        <v>1410</v>
      </c>
      <c r="B315" t="s">
        <v>1410</v>
      </c>
      <c r="C315">
        <v>0</v>
      </c>
      <c r="D315" s="3">
        <v>0</v>
      </c>
      <c r="E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8</v>
      </c>
      <c r="N315">
        <v>0</v>
      </c>
      <c r="O315">
        <v>0</v>
      </c>
      <c r="P315">
        <v>0</v>
      </c>
      <c r="Q315">
        <v>5</v>
      </c>
      <c r="R315">
        <v>0</v>
      </c>
      <c r="S315">
        <v>14</v>
      </c>
      <c r="T315" t="s">
        <v>1102</v>
      </c>
      <c r="U315" t="s">
        <v>180</v>
      </c>
      <c r="V315" t="s">
        <v>1410</v>
      </c>
      <c r="W315" t="s">
        <v>1104</v>
      </c>
    </row>
    <row r="316" spans="1:23" x14ac:dyDescent="0.25">
      <c r="A316" t="s">
        <v>679</v>
      </c>
      <c r="B316" t="s">
        <v>679</v>
      </c>
      <c r="C316">
        <v>0</v>
      </c>
      <c r="D316" s="3">
        <v>0</v>
      </c>
      <c r="E316">
        <v>5</v>
      </c>
      <c r="F316">
        <v>5</v>
      </c>
      <c r="G316">
        <v>0</v>
      </c>
      <c r="H316">
        <v>0</v>
      </c>
      <c r="I316">
        <v>3</v>
      </c>
      <c r="J316">
        <v>1</v>
      </c>
      <c r="K316">
        <v>6</v>
      </c>
      <c r="L316">
        <v>0</v>
      </c>
      <c r="M316">
        <v>6</v>
      </c>
      <c r="N316">
        <v>0</v>
      </c>
      <c r="O316">
        <v>0</v>
      </c>
      <c r="P316">
        <v>0</v>
      </c>
      <c r="Q316">
        <v>7</v>
      </c>
      <c r="R316">
        <v>0</v>
      </c>
      <c r="S316">
        <v>23</v>
      </c>
      <c r="T316" t="s">
        <v>1102</v>
      </c>
      <c r="U316" t="s">
        <v>180</v>
      </c>
      <c r="V316" t="s">
        <v>1414</v>
      </c>
      <c r="W316" t="s">
        <v>1185</v>
      </c>
    </row>
    <row r="317" spans="1:23" x14ac:dyDescent="0.25">
      <c r="A317" t="s">
        <v>680</v>
      </c>
      <c r="B317" t="s">
        <v>680</v>
      </c>
      <c r="C317">
        <v>0</v>
      </c>
      <c r="D317" s="3">
        <v>0</v>
      </c>
      <c r="E317">
        <v>4</v>
      </c>
      <c r="F317">
        <v>4</v>
      </c>
      <c r="G317">
        <v>0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2</v>
      </c>
      <c r="R317">
        <v>0</v>
      </c>
      <c r="S317">
        <v>5</v>
      </c>
      <c r="T317" t="s">
        <v>1102</v>
      </c>
      <c r="U317" t="s">
        <v>180</v>
      </c>
      <c r="V317" t="s">
        <v>1418</v>
      </c>
      <c r="W317" t="s">
        <v>1185</v>
      </c>
    </row>
    <row r="318" spans="1:23" x14ac:dyDescent="0.25">
      <c r="A318" t="s">
        <v>681</v>
      </c>
      <c r="B318" t="s">
        <v>681</v>
      </c>
      <c r="C318">
        <v>0</v>
      </c>
      <c r="D318" s="3">
        <v>0</v>
      </c>
      <c r="E318">
        <v>6</v>
      </c>
      <c r="F318">
        <v>6</v>
      </c>
      <c r="G318">
        <v>0</v>
      </c>
      <c r="H318">
        <v>0</v>
      </c>
      <c r="I318">
        <v>2</v>
      </c>
      <c r="J318">
        <v>0</v>
      </c>
      <c r="K318">
        <v>1</v>
      </c>
      <c r="L318">
        <v>0</v>
      </c>
      <c r="M318">
        <v>4</v>
      </c>
      <c r="N318">
        <v>0</v>
      </c>
      <c r="O318">
        <v>0</v>
      </c>
      <c r="P318">
        <v>0</v>
      </c>
      <c r="Q318">
        <v>4</v>
      </c>
      <c r="R318">
        <v>1</v>
      </c>
      <c r="S318">
        <v>12</v>
      </c>
      <c r="T318" t="s">
        <v>1102</v>
      </c>
      <c r="U318" t="s">
        <v>180</v>
      </c>
      <c r="V318" t="s">
        <v>1436</v>
      </c>
      <c r="W318" t="s">
        <v>1187</v>
      </c>
    </row>
    <row r="319" spans="1:23" x14ac:dyDescent="0.25">
      <c r="A319" t="s">
        <v>682</v>
      </c>
      <c r="B319" t="s">
        <v>682</v>
      </c>
      <c r="C319">
        <v>0</v>
      </c>
      <c r="D319" s="3">
        <v>0</v>
      </c>
      <c r="E319">
        <v>6</v>
      </c>
      <c r="F319">
        <v>4</v>
      </c>
      <c r="G319">
        <v>0</v>
      </c>
      <c r="H319">
        <v>0</v>
      </c>
      <c r="I319">
        <v>3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4</v>
      </c>
      <c r="R319">
        <v>1</v>
      </c>
      <c r="S319">
        <v>9</v>
      </c>
      <c r="T319" t="s">
        <v>1102</v>
      </c>
      <c r="U319" t="s">
        <v>180</v>
      </c>
      <c r="V319" t="s">
        <v>1437</v>
      </c>
      <c r="W319" t="s">
        <v>1183</v>
      </c>
    </row>
    <row r="320" spans="1:23" x14ac:dyDescent="0.25">
      <c r="A320" t="s">
        <v>1438</v>
      </c>
      <c r="B320" t="s">
        <v>1438</v>
      </c>
      <c r="C320">
        <v>0</v>
      </c>
      <c r="D320" s="3">
        <v>0</v>
      </c>
      <c r="E320">
        <v>4</v>
      </c>
      <c r="G320">
        <v>0</v>
      </c>
      <c r="H320">
        <v>0</v>
      </c>
      <c r="I320">
        <v>3</v>
      </c>
      <c r="J320">
        <v>0</v>
      </c>
      <c r="K320">
        <v>1</v>
      </c>
      <c r="L320">
        <v>0</v>
      </c>
      <c r="M320">
        <v>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9</v>
      </c>
      <c r="T320" t="s">
        <v>1102</v>
      </c>
      <c r="U320" t="s">
        <v>180</v>
      </c>
      <c r="V320" t="s">
        <v>1437</v>
      </c>
      <c r="W320" t="s">
        <v>1185</v>
      </c>
    </row>
    <row r="321" spans="1:23" x14ac:dyDescent="0.25">
      <c r="A321" t="s">
        <v>1439</v>
      </c>
      <c r="B321" t="s">
        <v>1439</v>
      </c>
      <c r="C321">
        <v>0</v>
      </c>
      <c r="D321" s="3">
        <v>0</v>
      </c>
      <c r="E321">
        <v>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 t="s">
        <v>1102</v>
      </c>
      <c r="U321" t="s">
        <v>180</v>
      </c>
      <c r="V321" t="s">
        <v>1437</v>
      </c>
      <c r="W321" t="s">
        <v>1187</v>
      </c>
    </row>
    <row r="322" spans="1:23" x14ac:dyDescent="0.25">
      <c r="A322" t="s">
        <v>1442</v>
      </c>
      <c r="B322" t="s">
        <v>1442</v>
      </c>
      <c r="C322">
        <v>0</v>
      </c>
      <c r="D322" s="3">
        <v>0</v>
      </c>
      <c r="E322">
        <v>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3</v>
      </c>
      <c r="T322" t="s">
        <v>1102</v>
      </c>
      <c r="U322" t="s">
        <v>180</v>
      </c>
      <c r="V322" t="s">
        <v>1441</v>
      </c>
      <c r="W322" t="s">
        <v>1185</v>
      </c>
    </row>
    <row r="323" spans="1:23" x14ac:dyDescent="0.25">
      <c r="A323" t="s">
        <v>683</v>
      </c>
      <c r="B323" t="s">
        <v>683</v>
      </c>
      <c r="C323">
        <v>0</v>
      </c>
      <c r="D323" s="3">
        <v>0</v>
      </c>
      <c r="E323">
        <v>2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3</v>
      </c>
      <c r="N323">
        <v>0</v>
      </c>
      <c r="O323">
        <v>0</v>
      </c>
      <c r="P323">
        <v>0</v>
      </c>
      <c r="Q323">
        <v>10</v>
      </c>
      <c r="R323">
        <v>0</v>
      </c>
      <c r="S323">
        <v>13</v>
      </c>
      <c r="T323" t="s">
        <v>1102</v>
      </c>
      <c r="U323" t="s">
        <v>363</v>
      </c>
      <c r="V323" t="s">
        <v>1470</v>
      </c>
      <c r="W323" t="s">
        <v>1185</v>
      </c>
    </row>
    <row r="324" spans="1:23" x14ac:dyDescent="0.25">
      <c r="A324" t="s">
        <v>684</v>
      </c>
      <c r="B324" t="s">
        <v>684</v>
      </c>
      <c r="C324">
        <v>0</v>
      </c>
      <c r="D324" s="3">
        <v>0</v>
      </c>
      <c r="E324">
        <v>7</v>
      </c>
      <c r="F324">
        <v>3</v>
      </c>
      <c r="G324">
        <v>0</v>
      </c>
      <c r="H324">
        <v>0</v>
      </c>
      <c r="I324">
        <v>3</v>
      </c>
      <c r="J324">
        <v>0</v>
      </c>
      <c r="K324">
        <v>5</v>
      </c>
      <c r="L324">
        <v>0</v>
      </c>
      <c r="M324">
        <v>7</v>
      </c>
      <c r="N324">
        <v>0</v>
      </c>
      <c r="O324">
        <v>2</v>
      </c>
      <c r="P324">
        <v>0</v>
      </c>
      <c r="Q324">
        <v>12</v>
      </c>
      <c r="R324">
        <v>0</v>
      </c>
      <c r="S324">
        <v>29</v>
      </c>
      <c r="T324" t="s">
        <v>1102</v>
      </c>
      <c r="U324" t="s">
        <v>363</v>
      </c>
      <c r="V324" t="s">
        <v>1470</v>
      </c>
      <c r="W324" t="s">
        <v>1187</v>
      </c>
    </row>
    <row r="325" spans="1:23" x14ac:dyDescent="0.25">
      <c r="A325" t="s">
        <v>685</v>
      </c>
      <c r="B325" t="s">
        <v>685</v>
      </c>
      <c r="C325">
        <v>0</v>
      </c>
      <c r="D325" s="3">
        <v>0</v>
      </c>
      <c r="E325">
        <v>5</v>
      </c>
      <c r="F325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10</v>
      </c>
      <c r="R325">
        <v>0</v>
      </c>
      <c r="S325">
        <v>10</v>
      </c>
      <c r="T325" t="s">
        <v>1102</v>
      </c>
      <c r="U325" t="s">
        <v>363</v>
      </c>
      <c r="V325" t="s">
        <v>1470</v>
      </c>
      <c r="W325" t="s">
        <v>1189</v>
      </c>
    </row>
    <row r="326" spans="1:23" x14ac:dyDescent="0.25">
      <c r="A326" t="s">
        <v>686</v>
      </c>
      <c r="B326" t="s">
        <v>686</v>
      </c>
      <c r="C326">
        <v>0</v>
      </c>
      <c r="D326" s="3">
        <v>0</v>
      </c>
      <c r="E326">
        <v>10</v>
      </c>
      <c r="F326">
        <v>10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10</v>
      </c>
      <c r="R326">
        <v>0</v>
      </c>
      <c r="S326">
        <v>10</v>
      </c>
      <c r="T326" t="s">
        <v>1102</v>
      </c>
      <c r="U326" t="s">
        <v>363</v>
      </c>
      <c r="V326" t="s">
        <v>1470</v>
      </c>
      <c r="W326" t="s">
        <v>1191</v>
      </c>
    </row>
    <row r="327" spans="1:23" x14ac:dyDescent="0.25">
      <c r="A327" t="s">
        <v>1739</v>
      </c>
      <c r="B327" t="s">
        <v>1739</v>
      </c>
      <c r="C327">
        <v>0</v>
      </c>
      <c r="D327" s="3">
        <v>0</v>
      </c>
      <c r="E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4</v>
      </c>
      <c r="N327">
        <v>0</v>
      </c>
      <c r="O327">
        <v>0</v>
      </c>
      <c r="P327">
        <v>0</v>
      </c>
      <c r="Q327">
        <v>5</v>
      </c>
      <c r="R327">
        <v>0</v>
      </c>
      <c r="S327">
        <v>9</v>
      </c>
      <c r="T327" t="s">
        <v>1102</v>
      </c>
      <c r="U327" t="s">
        <v>363</v>
      </c>
      <c r="V327" t="s">
        <v>1472</v>
      </c>
      <c r="W327" t="s">
        <v>1183</v>
      </c>
    </row>
    <row r="328" spans="1:23" x14ac:dyDescent="0.25">
      <c r="A328" t="s">
        <v>1740</v>
      </c>
      <c r="B328" t="s">
        <v>1740</v>
      </c>
      <c r="C328">
        <v>0</v>
      </c>
      <c r="D328" s="3">
        <v>0</v>
      </c>
      <c r="E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</v>
      </c>
      <c r="N328">
        <v>0</v>
      </c>
      <c r="O328">
        <v>0</v>
      </c>
      <c r="P328">
        <v>0</v>
      </c>
      <c r="Q328">
        <v>5</v>
      </c>
      <c r="R328">
        <v>0</v>
      </c>
      <c r="S328">
        <v>7</v>
      </c>
      <c r="T328" t="s">
        <v>1102</v>
      </c>
      <c r="U328" t="s">
        <v>363</v>
      </c>
      <c r="V328" t="s">
        <v>1472</v>
      </c>
      <c r="W328" t="s">
        <v>1185</v>
      </c>
    </row>
    <row r="329" spans="1:23" x14ac:dyDescent="0.25">
      <c r="A329" t="s">
        <v>1471</v>
      </c>
      <c r="B329" t="s">
        <v>1471</v>
      </c>
      <c r="C329">
        <v>0</v>
      </c>
      <c r="D329" s="3">
        <v>0</v>
      </c>
      <c r="E329">
        <v>3</v>
      </c>
      <c r="G329">
        <v>0</v>
      </c>
      <c r="H329">
        <v>0</v>
      </c>
      <c r="I329">
        <v>2</v>
      </c>
      <c r="J329">
        <v>0</v>
      </c>
      <c r="K329">
        <v>5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7</v>
      </c>
      <c r="T329" t="s">
        <v>1102</v>
      </c>
      <c r="U329" t="s">
        <v>363</v>
      </c>
      <c r="V329" t="s">
        <v>1472</v>
      </c>
      <c r="W329" t="s">
        <v>1187</v>
      </c>
    </row>
    <row r="330" spans="1:23" x14ac:dyDescent="0.25">
      <c r="A330" t="s">
        <v>687</v>
      </c>
      <c r="B330" t="s">
        <v>687</v>
      </c>
      <c r="C330">
        <v>0</v>
      </c>
      <c r="D330" s="3">
        <v>0</v>
      </c>
      <c r="E330">
        <v>5</v>
      </c>
      <c r="F330">
        <v>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8</v>
      </c>
      <c r="N330">
        <v>0</v>
      </c>
      <c r="O330">
        <v>0</v>
      </c>
      <c r="P330">
        <v>0</v>
      </c>
      <c r="Q330">
        <v>26</v>
      </c>
      <c r="R330">
        <v>0</v>
      </c>
      <c r="S330">
        <v>34</v>
      </c>
      <c r="T330" t="s">
        <v>1102</v>
      </c>
      <c r="U330" t="s">
        <v>363</v>
      </c>
      <c r="V330" t="s">
        <v>1473</v>
      </c>
      <c r="W330" t="s">
        <v>1183</v>
      </c>
    </row>
    <row r="331" spans="1:23" x14ac:dyDescent="0.25">
      <c r="A331" t="s">
        <v>688</v>
      </c>
      <c r="B331" t="s">
        <v>688</v>
      </c>
      <c r="C331">
        <v>0</v>
      </c>
      <c r="D331" s="3">
        <v>0</v>
      </c>
      <c r="E331">
        <v>5</v>
      </c>
      <c r="F331">
        <v>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30</v>
      </c>
      <c r="N331">
        <v>0</v>
      </c>
      <c r="O331">
        <v>0</v>
      </c>
      <c r="P331">
        <v>0</v>
      </c>
      <c r="Q331">
        <v>4</v>
      </c>
      <c r="R331">
        <v>0</v>
      </c>
      <c r="S331">
        <v>34</v>
      </c>
      <c r="T331" t="s">
        <v>1102</v>
      </c>
      <c r="U331" t="s">
        <v>363</v>
      </c>
      <c r="V331" t="s">
        <v>1473</v>
      </c>
      <c r="W331" t="s">
        <v>1185</v>
      </c>
    </row>
    <row r="332" spans="1:23" x14ac:dyDescent="0.25">
      <c r="A332" t="s">
        <v>689</v>
      </c>
      <c r="B332" t="s">
        <v>689</v>
      </c>
      <c r="C332">
        <v>0</v>
      </c>
      <c r="D332" s="3">
        <v>0</v>
      </c>
      <c r="E332">
        <v>5</v>
      </c>
      <c r="F332">
        <v>2</v>
      </c>
      <c r="G332">
        <v>0</v>
      </c>
      <c r="H332">
        <v>0</v>
      </c>
      <c r="I332">
        <v>2</v>
      </c>
      <c r="J332">
        <v>0</v>
      </c>
      <c r="K332">
        <v>3</v>
      </c>
      <c r="L332">
        <v>0</v>
      </c>
      <c r="M332">
        <v>2</v>
      </c>
      <c r="N332">
        <v>0</v>
      </c>
      <c r="O332">
        <v>0</v>
      </c>
      <c r="P332">
        <v>0</v>
      </c>
      <c r="Q332">
        <v>5</v>
      </c>
      <c r="R332">
        <v>0</v>
      </c>
      <c r="S332">
        <v>12</v>
      </c>
      <c r="T332" t="s">
        <v>1102</v>
      </c>
      <c r="U332" t="s">
        <v>363</v>
      </c>
      <c r="V332" t="s">
        <v>1473</v>
      </c>
      <c r="W332" t="s">
        <v>1187</v>
      </c>
    </row>
    <row r="333" spans="1:23" x14ac:dyDescent="0.25">
      <c r="A333" t="s">
        <v>726</v>
      </c>
      <c r="B333" t="s">
        <v>726</v>
      </c>
      <c r="C333">
        <v>0</v>
      </c>
      <c r="D333" s="3">
        <v>0</v>
      </c>
      <c r="E333">
        <v>9</v>
      </c>
      <c r="F333">
        <v>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4</v>
      </c>
      <c r="N333">
        <v>0</v>
      </c>
      <c r="O333">
        <v>0</v>
      </c>
      <c r="P333">
        <v>0</v>
      </c>
      <c r="Q333">
        <v>5</v>
      </c>
      <c r="R333">
        <v>1</v>
      </c>
      <c r="S333">
        <v>10</v>
      </c>
      <c r="T333" t="s">
        <v>1102</v>
      </c>
      <c r="U333" t="s">
        <v>363</v>
      </c>
      <c r="V333" t="s">
        <v>1477</v>
      </c>
      <c r="W333" t="s">
        <v>1183</v>
      </c>
    </row>
    <row r="334" spans="1:23" x14ac:dyDescent="0.25">
      <c r="A334" t="s">
        <v>1741</v>
      </c>
      <c r="B334" t="s">
        <v>1741</v>
      </c>
      <c r="C334">
        <v>0</v>
      </c>
      <c r="D334" s="3">
        <v>0</v>
      </c>
      <c r="E334">
        <v>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</v>
      </c>
      <c r="N334">
        <v>0</v>
      </c>
      <c r="O334">
        <v>0</v>
      </c>
      <c r="P334">
        <v>0</v>
      </c>
      <c r="Q334">
        <v>5</v>
      </c>
      <c r="R334">
        <v>0</v>
      </c>
      <c r="S334">
        <v>7</v>
      </c>
      <c r="T334" t="s">
        <v>1102</v>
      </c>
      <c r="U334" t="s">
        <v>363</v>
      </c>
      <c r="V334" t="s">
        <v>1477</v>
      </c>
      <c r="W334" t="s">
        <v>1185</v>
      </c>
    </row>
    <row r="335" spans="1:23" x14ac:dyDescent="0.25">
      <c r="A335" t="s">
        <v>690</v>
      </c>
      <c r="B335" t="s">
        <v>690</v>
      </c>
      <c r="C335">
        <v>0</v>
      </c>
      <c r="D335" s="3">
        <v>0</v>
      </c>
      <c r="E335">
        <v>4</v>
      </c>
      <c r="F335">
        <v>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3</v>
      </c>
      <c r="N335">
        <v>0</v>
      </c>
      <c r="O335">
        <v>0</v>
      </c>
      <c r="P335">
        <v>0</v>
      </c>
      <c r="Q335">
        <v>10</v>
      </c>
      <c r="R335">
        <v>0</v>
      </c>
      <c r="S335">
        <v>13</v>
      </c>
      <c r="T335" t="s">
        <v>1102</v>
      </c>
      <c r="U335" t="s">
        <v>363</v>
      </c>
      <c r="V335" t="s">
        <v>1478</v>
      </c>
      <c r="W335" t="s">
        <v>1185</v>
      </c>
    </row>
    <row r="336" spans="1:23" x14ac:dyDescent="0.25">
      <c r="A336" t="s">
        <v>691</v>
      </c>
      <c r="B336" t="s">
        <v>691</v>
      </c>
      <c r="C336">
        <v>0</v>
      </c>
      <c r="D336" s="3">
        <v>0</v>
      </c>
      <c r="E336">
        <v>10</v>
      </c>
      <c r="F336">
        <v>10</v>
      </c>
      <c r="G336">
        <v>0</v>
      </c>
      <c r="H336">
        <v>0</v>
      </c>
      <c r="I336">
        <v>3</v>
      </c>
      <c r="J336">
        <v>0</v>
      </c>
      <c r="K336">
        <v>5</v>
      </c>
      <c r="L336">
        <v>0</v>
      </c>
      <c r="M336">
        <v>7</v>
      </c>
      <c r="N336">
        <v>0</v>
      </c>
      <c r="O336">
        <v>0</v>
      </c>
      <c r="P336">
        <v>2</v>
      </c>
      <c r="Q336">
        <v>0</v>
      </c>
      <c r="R336">
        <v>0</v>
      </c>
      <c r="S336">
        <v>17</v>
      </c>
      <c r="T336" t="s">
        <v>1102</v>
      </c>
      <c r="U336" t="s">
        <v>363</v>
      </c>
      <c r="V336" t="s">
        <v>1478</v>
      </c>
      <c r="W336" t="s">
        <v>1187</v>
      </c>
    </row>
    <row r="337" spans="1:23" x14ac:dyDescent="0.25">
      <c r="A337" t="s">
        <v>727</v>
      </c>
      <c r="B337" t="s">
        <v>727</v>
      </c>
      <c r="C337">
        <v>0</v>
      </c>
      <c r="D337" s="3">
        <v>0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10</v>
      </c>
      <c r="R337">
        <v>2</v>
      </c>
      <c r="S337">
        <v>12</v>
      </c>
      <c r="T337" t="s">
        <v>1102</v>
      </c>
      <c r="U337" t="s">
        <v>363</v>
      </c>
      <c r="V337" t="s">
        <v>1478</v>
      </c>
      <c r="W337" t="s">
        <v>1189</v>
      </c>
    </row>
    <row r="338" spans="1:23" x14ac:dyDescent="0.25">
      <c r="A338" t="s">
        <v>728</v>
      </c>
      <c r="B338" t="s">
        <v>728</v>
      </c>
      <c r="C338">
        <v>0</v>
      </c>
      <c r="D338" s="3">
        <v>0</v>
      </c>
      <c r="E338">
        <v>8</v>
      </c>
      <c r="F338">
        <v>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10</v>
      </c>
      <c r="R338">
        <v>0</v>
      </c>
      <c r="S338">
        <v>10</v>
      </c>
      <c r="T338" t="s">
        <v>1102</v>
      </c>
      <c r="U338" t="s">
        <v>363</v>
      </c>
      <c r="V338" t="s">
        <v>1478</v>
      </c>
      <c r="W338" t="s">
        <v>1191</v>
      </c>
    </row>
    <row r="339" spans="1:23" x14ac:dyDescent="0.25">
      <c r="A339" t="s">
        <v>1742</v>
      </c>
      <c r="B339" t="s">
        <v>1742</v>
      </c>
      <c r="C339">
        <v>0</v>
      </c>
      <c r="D339" s="3">
        <v>0</v>
      </c>
      <c r="E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4</v>
      </c>
      <c r="N339">
        <v>0</v>
      </c>
      <c r="O339">
        <v>0</v>
      </c>
      <c r="P339">
        <v>0</v>
      </c>
      <c r="Q339">
        <v>10</v>
      </c>
      <c r="R339">
        <v>0</v>
      </c>
      <c r="S339">
        <v>14</v>
      </c>
      <c r="T339" t="s">
        <v>1102</v>
      </c>
      <c r="U339" t="s">
        <v>363</v>
      </c>
      <c r="V339" t="s">
        <v>1480</v>
      </c>
      <c r="W339" t="s">
        <v>1183</v>
      </c>
    </row>
    <row r="340" spans="1:23" x14ac:dyDescent="0.25">
      <c r="A340" t="s">
        <v>1743</v>
      </c>
      <c r="B340" t="s">
        <v>1743</v>
      </c>
      <c r="C340">
        <v>0</v>
      </c>
      <c r="D340" s="3">
        <v>0</v>
      </c>
      <c r="E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</v>
      </c>
      <c r="N340">
        <v>0</v>
      </c>
      <c r="O340">
        <v>0</v>
      </c>
      <c r="P340">
        <v>0</v>
      </c>
      <c r="Q340">
        <v>5</v>
      </c>
      <c r="R340">
        <v>0</v>
      </c>
      <c r="S340">
        <v>7</v>
      </c>
      <c r="T340" t="s">
        <v>1102</v>
      </c>
      <c r="U340" t="s">
        <v>363</v>
      </c>
      <c r="V340" t="s">
        <v>1480</v>
      </c>
      <c r="W340" t="s">
        <v>1185</v>
      </c>
    </row>
    <row r="341" spans="1:23" x14ac:dyDescent="0.25">
      <c r="A341" t="s">
        <v>1479</v>
      </c>
      <c r="B341" t="s">
        <v>1479</v>
      </c>
      <c r="C341">
        <v>0</v>
      </c>
      <c r="D341" s="3">
        <v>0</v>
      </c>
      <c r="E341">
        <v>0</v>
      </c>
      <c r="G341">
        <v>0</v>
      </c>
      <c r="H341">
        <v>0</v>
      </c>
      <c r="I341">
        <v>2</v>
      </c>
      <c r="J341">
        <v>0</v>
      </c>
      <c r="K341">
        <v>5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7</v>
      </c>
      <c r="T341" t="s">
        <v>1102</v>
      </c>
      <c r="U341" t="s">
        <v>363</v>
      </c>
      <c r="V341" t="s">
        <v>1480</v>
      </c>
      <c r="W341" t="s">
        <v>1187</v>
      </c>
    </row>
    <row r="342" spans="1:23" x14ac:dyDescent="0.25">
      <c r="A342" t="s">
        <v>692</v>
      </c>
      <c r="B342" t="s">
        <v>692</v>
      </c>
      <c r="C342">
        <v>0</v>
      </c>
      <c r="D342" s="3">
        <v>0</v>
      </c>
      <c r="E342">
        <v>5</v>
      </c>
      <c r="F342">
        <v>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</v>
      </c>
      <c r="N342">
        <v>0</v>
      </c>
      <c r="O342">
        <v>0</v>
      </c>
      <c r="P342">
        <v>0</v>
      </c>
      <c r="Q342">
        <v>29</v>
      </c>
      <c r="R342">
        <v>0</v>
      </c>
      <c r="S342">
        <v>31</v>
      </c>
      <c r="T342" t="s">
        <v>1102</v>
      </c>
      <c r="U342" t="s">
        <v>363</v>
      </c>
      <c r="V342" t="s">
        <v>1481</v>
      </c>
      <c r="W342" t="s">
        <v>1183</v>
      </c>
    </row>
    <row r="343" spans="1:23" x14ac:dyDescent="0.25">
      <c r="A343" t="s">
        <v>693</v>
      </c>
      <c r="B343" t="s">
        <v>693</v>
      </c>
      <c r="C343">
        <v>0</v>
      </c>
      <c r="D343" s="3">
        <v>0</v>
      </c>
      <c r="E343">
        <v>5</v>
      </c>
      <c r="F343">
        <v>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10</v>
      </c>
      <c r="N343">
        <v>0</v>
      </c>
      <c r="O343">
        <v>0</v>
      </c>
      <c r="P343">
        <v>0</v>
      </c>
      <c r="Q343">
        <v>14</v>
      </c>
      <c r="R343">
        <v>0</v>
      </c>
      <c r="S343">
        <v>24</v>
      </c>
      <c r="T343" t="s">
        <v>1102</v>
      </c>
      <c r="U343" t="s">
        <v>363</v>
      </c>
      <c r="V343" t="s">
        <v>1481</v>
      </c>
      <c r="W343" t="s">
        <v>1185</v>
      </c>
    </row>
    <row r="344" spans="1:23" x14ac:dyDescent="0.25">
      <c r="A344" t="s">
        <v>694</v>
      </c>
      <c r="B344" t="s">
        <v>694</v>
      </c>
      <c r="C344">
        <v>0</v>
      </c>
      <c r="D344" s="3">
        <v>0</v>
      </c>
      <c r="E344">
        <v>5</v>
      </c>
      <c r="F344">
        <v>2</v>
      </c>
      <c r="G344">
        <v>0</v>
      </c>
      <c r="H344">
        <v>0</v>
      </c>
      <c r="I344">
        <v>2</v>
      </c>
      <c r="J344">
        <v>0</v>
      </c>
      <c r="K344">
        <v>3</v>
      </c>
      <c r="L344">
        <v>0</v>
      </c>
      <c r="M344">
        <v>2</v>
      </c>
      <c r="N344">
        <v>0</v>
      </c>
      <c r="O344">
        <v>0</v>
      </c>
      <c r="P344">
        <v>0</v>
      </c>
      <c r="Q344">
        <v>5</v>
      </c>
      <c r="R344">
        <v>0</v>
      </c>
      <c r="S344">
        <v>12</v>
      </c>
      <c r="T344" t="s">
        <v>1102</v>
      </c>
      <c r="U344" t="s">
        <v>363</v>
      </c>
      <c r="V344" t="s">
        <v>1481</v>
      </c>
      <c r="W344" t="s">
        <v>1187</v>
      </c>
    </row>
    <row r="345" spans="1:23" x14ac:dyDescent="0.25">
      <c r="A345" t="s">
        <v>695</v>
      </c>
      <c r="B345" t="s">
        <v>695</v>
      </c>
      <c r="C345">
        <v>0</v>
      </c>
      <c r="D345" s="3">
        <v>0</v>
      </c>
      <c r="E345">
        <v>14</v>
      </c>
      <c r="F345">
        <v>14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11</v>
      </c>
      <c r="R345">
        <v>3</v>
      </c>
      <c r="S345">
        <v>14</v>
      </c>
      <c r="T345" t="s">
        <v>1102</v>
      </c>
      <c r="U345" t="s">
        <v>363</v>
      </c>
      <c r="V345" t="s">
        <v>1485</v>
      </c>
      <c r="W345" t="s">
        <v>1183</v>
      </c>
    </row>
    <row r="346" spans="1:23" x14ac:dyDescent="0.25">
      <c r="A346" t="s">
        <v>696</v>
      </c>
      <c r="B346" t="s">
        <v>696</v>
      </c>
      <c r="C346">
        <v>0</v>
      </c>
      <c r="D346" s="3">
        <v>0</v>
      </c>
      <c r="E346">
        <v>2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10</v>
      </c>
      <c r="T346" t="s">
        <v>1102</v>
      </c>
      <c r="U346" t="s">
        <v>363</v>
      </c>
      <c r="V346" t="s">
        <v>1485</v>
      </c>
      <c r="W346" t="s">
        <v>1185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8"/>
  <sheetViews>
    <sheetView workbookViewId="0"/>
  </sheetViews>
  <sheetFormatPr defaultRowHeight="15" x14ac:dyDescent="0.25"/>
  <cols>
    <col min="1" max="2" width="24" customWidth="1"/>
    <col min="3" max="3" width="10" customWidth="1"/>
    <col min="4" max="4" width="13" customWidth="1"/>
    <col min="5" max="5" width="10" customWidth="1"/>
    <col min="6" max="6" width="16" customWidth="1"/>
    <col min="7" max="21" width="10" customWidth="1"/>
    <col min="22" max="22" width="22" customWidth="1"/>
    <col min="23" max="23" width="13" customWidth="1"/>
  </cols>
  <sheetData>
    <row r="1" spans="1:23" x14ac:dyDescent="0.25">
      <c r="A1" t="s">
        <v>0</v>
      </c>
      <c r="B1" t="s">
        <v>771</v>
      </c>
      <c r="C1" t="s">
        <v>772</v>
      </c>
      <c r="D1" t="s">
        <v>773</v>
      </c>
      <c r="E1" t="s">
        <v>774</v>
      </c>
      <c r="F1" t="s">
        <v>775</v>
      </c>
      <c r="G1" t="s">
        <v>776</v>
      </c>
      <c r="H1" t="s">
        <v>777</v>
      </c>
      <c r="I1" t="s">
        <v>778</v>
      </c>
      <c r="J1" t="s">
        <v>779</v>
      </c>
      <c r="K1" t="s">
        <v>780</v>
      </c>
      <c r="L1" t="s">
        <v>781</v>
      </c>
      <c r="M1" t="s">
        <v>782</v>
      </c>
      <c r="N1" t="s">
        <v>783</v>
      </c>
      <c r="O1" t="s">
        <v>784</v>
      </c>
      <c r="P1" t="s">
        <v>785</v>
      </c>
      <c r="Q1" t="s">
        <v>786</v>
      </c>
      <c r="R1" t="s">
        <v>787</v>
      </c>
      <c r="S1" t="s">
        <v>788</v>
      </c>
      <c r="T1" t="s">
        <v>789</v>
      </c>
      <c r="U1" t="s">
        <v>1</v>
      </c>
      <c r="V1" t="s">
        <v>2</v>
      </c>
      <c r="W1" t="s">
        <v>3</v>
      </c>
    </row>
    <row r="2" spans="1:23" x14ac:dyDescent="0.25">
      <c r="A2" t="s">
        <v>48</v>
      </c>
      <c r="B2" t="s">
        <v>48</v>
      </c>
      <c r="C2">
        <v>0</v>
      </c>
      <c r="D2" s="3">
        <v>0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t="s">
        <v>813</v>
      </c>
      <c r="U2" t="s">
        <v>45</v>
      </c>
      <c r="V2" t="s">
        <v>46</v>
      </c>
      <c r="W2" t="s">
        <v>49</v>
      </c>
    </row>
    <row r="3" spans="1:23" x14ac:dyDescent="0.25">
      <c r="A3" t="s">
        <v>52</v>
      </c>
      <c r="B3" t="s">
        <v>52</v>
      </c>
      <c r="C3">
        <v>7.5</v>
      </c>
      <c r="D3" s="4">
        <v>12.5</v>
      </c>
      <c r="E3">
        <v>50</v>
      </c>
      <c r="G3">
        <v>36</v>
      </c>
      <c r="H3">
        <v>3</v>
      </c>
      <c r="I3">
        <v>8</v>
      </c>
      <c r="J3">
        <v>25</v>
      </c>
      <c r="K3">
        <v>4</v>
      </c>
      <c r="L3">
        <v>16</v>
      </c>
      <c r="M3">
        <v>16</v>
      </c>
      <c r="N3">
        <v>7</v>
      </c>
      <c r="O3">
        <v>28</v>
      </c>
      <c r="P3">
        <v>3</v>
      </c>
      <c r="Q3">
        <v>1</v>
      </c>
      <c r="R3">
        <v>3</v>
      </c>
      <c r="S3">
        <v>150</v>
      </c>
      <c r="T3" t="s">
        <v>813</v>
      </c>
      <c r="U3" t="s">
        <v>45</v>
      </c>
      <c r="V3" t="s">
        <v>53</v>
      </c>
      <c r="W3" t="s">
        <v>54</v>
      </c>
    </row>
    <row r="4" spans="1:23" x14ac:dyDescent="0.25">
      <c r="A4" t="s">
        <v>55</v>
      </c>
      <c r="B4" t="s">
        <v>55</v>
      </c>
      <c r="C4">
        <v>5</v>
      </c>
      <c r="D4" s="4">
        <v>12</v>
      </c>
      <c r="E4">
        <v>28</v>
      </c>
      <c r="G4">
        <v>20</v>
      </c>
      <c r="H4">
        <v>2</v>
      </c>
      <c r="I4">
        <v>11</v>
      </c>
      <c r="J4">
        <v>21</v>
      </c>
      <c r="K4">
        <v>1</v>
      </c>
      <c r="L4">
        <v>7</v>
      </c>
      <c r="M4">
        <v>3</v>
      </c>
      <c r="N4">
        <v>8</v>
      </c>
      <c r="O4">
        <v>11</v>
      </c>
      <c r="P4">
        <v>3</v>
      </c>
      <c r="Q4">
        <v>2</v>
      </c>
      <c r="R4">
        <v>1</v>
      </c>
      <c r="S4">
        <v>90</v>
      </c>
      <c r="T4" t="s">
        <v>813</v>
      </c>
      <c r="U4" t="s">
        <v>45</v>
      </c>
      <c r="V4" t="s">
        <v>53</v>
      </c>
      <c r="W4" t="s">
        <v>56</v>
      </c>
    </row>
    <row r="5" spans="1:23" x14ac:dyDescent="0.25">
      <c r="A5" t="s">
        <v>57</v>
      </c>
      <c r="B5" t="s">
        <v>57</v>
      </c>
      <c r="C5">
        <v>6.5</v>
      </c>
      <c r="D5" s="4">
        <v>12.8</v>
      </c>
      <c r="E5">
        <v>53</v>
      </c>
      <c r="G5">
        <v>61</v>
      </c>
      <c r="H5">
        <v>0</v>
      </c>
      <c r="I5">
        <v>0</v>
      </c>
      <c r="J5">
        <v>21</v>
      </c>
      <c r="K5">
        <v>2</v>
      </c>
      <c r="L5">
        <v>7</v>
      </c>
      <c r="M5">
        <v>6</v>
      </c>
      <c r="N5">
        <v>2</v>
      </c>
      <c r="O5">
        <v>15</v>
      </c>
      <c r="P5">
        <v>2</v>
      </c>
      <c r="Q5">
        <v>12</v>
      </c>
      <c r="R5">
        <v>26</v>
      </c>
      <c r="S5">
        <v>154</v>
      </c>
      <c r="T5" t="s">
        <v>813</v>
      </c>
      <c r="U5" t="s">
        <v>45</v>
      </c>
      <c r="V5" t="s">
        <v>53</v>
      </c>
      <c r="W5" t="s">
        <v>58</v>
      </c>
    </row>
    <row r="6" spans="1:23" x14ac:dyDescent="0.25">
      <c r="A6" t="s">
        <v>59</v>
      </c>
      <c r="B6" t="s">
        <v>59</v>
      </c>
      <c r="C6">
        <v>0</v>
      </c>
      <c r="D6" s="3">
        <v>0</v>
      </c>
      <c r="E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t="s">
        <v>813</v>
      </c>
      <c r="U6" t="s">
        <v>45</v>
      </c>
      <c r="V6" t="s">
        <v>60</v>
      </c>
      <c r="W6" t="s">
        <v>61</v>
      </c>
    </row>
    <row r="7" spans="1:23" x14ac:dyDescent="0.25">
      <c r="A7" t="s">
        <v>62</v>
      </c>
      <c r="B7" t="s">
        <v>62</v>
      </c>
      <c r="C7">
        <v>0</v>
      </c>
      <c r="D7" s="3">
        <v>0</v>
      </c>
      <c r="E7">
        <v>100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813</v>
      </c>
      <c r="U7" t="s">
        <v>45</v>
      </c>
      <c r="V7" t="s">
        <v>60</v>
      </c>
      <c r="W7" t="s">
        <v>63</v>
      </c>
    </row>
    <row r="8" spans="1:23" x14ac:dyDescent="0.25">
      <c r="A8" t="s">
        <v>64</v>
      </c>
      <c r="B8" t="s">
        <v>64</v>
      </c>
      <c r="C8">
        <v>0</v>
      </c>
      <c r="D8" s="3">
        <v>0</v>
      </c>
      <c r="E8">
        <v>100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t="s">
        <v>813</v>
      </c>
      <c r="U8" t="s">
        <v>45</v>
      </c>
      <c r="V8" t="s">
        <v>60</v>
      </c>
      <c r="W8" t="s">
        <v>65</v>
      </c>
    </row>
    <row r="9" spans="1:23" x14ac:dyDescent="0.25">
      <c r="A9" t="s">
        <v>66</v>
      </c>
      <c r="B9" t="s">
        <v>66</v>
      </c>
      <c r="C9">
        <v>496</v>
      </c>
      <c r="D9" s="4">
        <v>515</v>
      </c>
      <c r="E9">
        <v>1663</v>
      </c>
      <c r="F9">
        <v>550</v>
      </c>
      <c r="G9">
        <v>569</v>
      </c>
      <c r="H9">
        <v>435</v>
      </c>
      <c r="I9">
        <v>454</v>
      </c>
      <c r="J9">
        <v>582</v>
      </c>
      <c r="K9">
        <v>742</v>
      </c>
      <c r="L9">
        <v>348</v>
      </c>
      <c r="M9">
        <v>454</v>
      </c>
      <c r="N9">
        <v>214</v>
      </c>
      <c r="O9">
        <v>568</v>
      </c>
      <c r="P9">
        <v>538</v>
      </c>
      <c r="Q9">
        <v>801</v>
      </c>
      <c r="R9">
        <v>438</v>
      </c>
      <c r="S9">
        <v>6143</v>
      </c>
      <c r="T9" t="s">
        <v>813</v>
      </c>
      <c r="U9" t="s">
        <v>45</v>
      </c>
      <c r="V9" t="s">
        <v>60</v>
      </c>
      <c r="W9" t="s">
        <v>67</v>
      </c>
    </row>
    <row r="10" spans="1:23" x14ac:dyDescent="0.25">
      <c r="A10" t="s">
        <v>68</v>
      </c>
      <c r="B10" t="s">
        <v>68</v>
      </c>
      <c r="C10">
        <v>335</v>
      </c>
      <c r="D10" s="4">
        <v>350</v>
      </c>
      <c r="E10">
        <v>1313</v>
      </c>
      <c r="F10">
        <v>300</v>
      </c>
      <c r="G10">
        <v>626</v>
      </c>
      <c r="H10">
        <v>339</v>
      </c>
      <c r="I10">
        <v>291</v>
      </c>
      <c r="J10">
        <v>337</v>
      </c>
      <c r="K10">
        <v>457</v>
      </c>
      <c r="L10">
        <v>245</v>
      </c>
      <c r="M10">
        <v>140</v>
      </c>
      <c r="N10">
        <v>333</v>
      </c>
      <c r="O10">
        <v>359</v>
      </c>
      <c r="P10">
        <v>294</v>
      </c>
      <c r="Q10">
        <v>455</v>
      </c>
      <c r="R10">
        <v>285</v>
      </c>
      <c r="S10">
        <v>4161</v>
      </c>
      <c r="T10" t="s">
        <v>813</v>
      </c>
      <c r="U10" t="s">
        <v>45</v>
      </c>
      <c r="V10" t="s">
        <v>60</v>
      </c>
      <c r="W10" t="s">
        <v>69</v>
      </c>
    </row>
    <row r="11" spans="1:23" x14ac:dyDescent="0.25">
      <c r="A11" t="s">
        <v>70</v>
      </c>
      <c r="B11" t="s">
        <v>70</v>
      </c>
      <c r="C11">
        <v>194</v>
      </c>
      <c r="D11" s="4">
        <v>270</v>
      </c>
      <c r="E11">
        <v>895</v>
      </c>
      <c r="F11">
        <v>150</v>
      </c>
      <c r="G11">
        <v>420</v>
      </c>
      <c r="H11">
        <v>209</v>
      </c>
      <c r="I11">
        <v>287</v>
      </c>
      <c r="J11">
        <v>338</v>
      </c>
      <c r="K11">
        <v>593</v>
      </c>
      <c r="L11">
        <v>65</v>
      </c>
      <c r="M11">
        <v>153</v>
      </c>
      <c r="N11">
        <v>158</v>
      </c>
      <c r="O11">
        <v>160</v>
      </c>
      <c r="P11">
        <v>179</v>
      </c>
      <c r="Q11">
        <v>475</v>
      </c>
      <c r="R11">
        <v>152</v>
      </c>
      <c r="S11">
        <v>3189</v>
      </c>
      <c r="T11" t="s">
        <v>813</v>
      </c>
      <c r="U11" t="s">
        <v>45</v>
      </c>
      <c r="V11" t="s">
        <v>60</v>
      </c>
      <c r="W11" t="s">
        <v>71</v>
      </c>
    </row>
    <row r="12" spans="1:23" x14ac:dyDescent="0.25">
      <c r="A12" t="s">
        <v>72</v>
      </c>
      <c r="B12" t="s">
        <v>72</v>
      </c>
      <c r="C12">
        <v>2.5</v>
      </c>
      <c r="D12" s="4">
        <v>5</v>
      </c>
      <c r="E12">
        <v>50</v>
      </c>
      <c r="F12">
        <v>50</v>
      </c>
      <c r="G12">
        <v>3</v>
      </c>
      <c r="H12">
        <v>1</v>
      </c>
      <c r="I12">
        <v>10</v>
      </c>
      <c r="J12">
        <v>11</v>
      </c>
      <c r="K12">
        <v>0</v>
      </c>
      <c r="L12">
        <v>0</v>
      </c>
      <c r="M12">
        <v>0</v>
      </c>
      <c r="N12">
        <v>4</v>
      </c>
      <c r="O12">
        <v>3</v>
      </c>
      <c r="P12">
        <v>24</v>
      </c>
      <c r="Q12">
        <v>2</v>
      </c>
      <c r="R12">
        <v>0</v>
      </c>
      <c r="S12">
        <v>58</v>
      </c>
      <c r="T12" t="s">
        <v>813</v>
      </c>
      <c r="U12" t="s">
        <v>45</v>
      </c>
      <c r="V12" t="s">
        <v>60</v>
      </c>
      <c r="W12" t="s">
        <v>73</v>
      </c>
    </row>
    <row r="13" spans="1:23" x14ac:dyDescent="0.25">
      <c r="A13" t="s">
        <v>74</v>
      </c>
      <c r="B13" t="s">
        <v>74</v>
      </c>
      <c r="C13">
        <v>0</v>
      </c>
      <c r="D13" s="4">
        <v>0.75</v>
      </c>
      <c r="E13">
        <v>170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3</v>
      </c>
      <c r="P13">
        <v>0</v>
      </c>
      <c r="Q13">
        <v>0</v>
      </c>
      <c r="R13">
        <v>5</v>
      </c>
      <c r="S13">
        <v>9</v>
      </c>
      <c r="T13" t="s">
        <v>813</v>
      </c>
      <c r="U13" t="s">
        <v>45</v>
      </c>
      <c r="V13" t="s">
        <v>60</v>
      </c>
      <c r="W13" t="s">
        <v>75</v>
      </c>
    </row>
    <row r="14" spans="1:23" x14ac:dyDescent="0.25">
      <c r="A14" t="s">
        <v>76</v>
      </c>
      <c r="B14" t="s">
        <v>76</v>
      </c>
      <c r="C14">
        <v>0</v>
      </c>
      <c r="D14" s="3">
        <v>0</v>
      </c>
      <c r="E14">
        <v>10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813</v>
      </c>
      <c r="U14" t="s">
        <v>77</v>
      </c>
      <c r="V14" t="s">
        <v>78</v>
      </c>
      <c r="W14" t="s">
        <v>79</v>
      </c>
    </row>
    <row r="15" spans="1:23" x14ac:dyDescent="0.25">
      <c r="A15" t="s">
        <v>80</v>
      </c>
      <c r="B15" t="s">
        <v>80</v>
      </c>
      <c r="C15">
        <v>0</v>
      </c>
      <c r="D15" s="3">
        <v>0</v>
      </c>
      <c r="E15">
        <v>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813</v>
      </c>
      <c r="U15" t="s">
        <v>77</v>
      </c>
      <c r="V15" t="s">
        <v>78</v>
      </c>
      <c r="W15" t="s">
        <v>81</v>
      </c>
    </row>
    <row r="16" spans="1:23" x14ac:dyDescent="0.25">
      <c r="A16" t="s">
        <v>82</v>
      </c>
      <c r="B16" t="s">
        <v>82</v>
      </c>
      <c r="C16">
        <v>103.5</v>
      </c>
      <c r="D16" s="4">
        <v>120</v>
      </c>
      <c r="E16">
        <v>2621</v>
      </c>
      <c r="G16">
        <v>106</v>
      </c>
      <c r="H16">
        <v>110</v>
      </c>
      <c r="I16">
        <v>20</v>
      </c>
      <c r="J16">
        <v>69</v>
      </c>
      <c r="K16">
        <v>22</v>
      </c>
      <c r="L16">
        <v>91</v>
      </c>
      <c r="M16">
        <v>101</v>
      </c>
      <c r="N16">
        <v>73</v>
      </c>
      <c r="O16">
        <v>118</v>
      </c>
      <c r="P16">
        <v>227</v>
      </c>
      <c r="Q16">
        <v>125</v>
      </c>
      <c r="R16">
        <v>394</v>
      </c>
      <c r="S16">
        <v>1456</v>
      </c>
      <c r="T16" t="s">
        <v>813</v>
      </c>
      <c r="U16" t="s">
        <v>83</v>
      </c>
      <c r="V16" t="s">
        <v>84</v>
      </c>
      <c r="W16" t="s">
        <v>85</v>
      </c>
    </row>
    <row r="17" spans="1:23" x14ac:dyDescent="0.25">
      <c r="A17" t="s">
        <v>86</v>
      </c>
      <c r="B17" t="s">
        <v>86</v>
      </c>
      <c r="C17">
        <v>51</v>
      </c>
      <c r="D17" s="4">
        <v>70</v>
      </c>
      <c r="E17">
        <v>2163</v>
      </c>
      <c r="G17">
        <v>57</v>
      </c>
      <c r="H17">
        <v>20</v>
      </c>
      <c r="I17">
        <v>30</v>
      </c>
      <c r="J17">
        <v>28</v>
      </c>
      <c r="K17">
        <v>10</v>
      </c>
      <c r="L17">
        <v>72</v>
      </c>
      <c r="M17">
        <v>101</v>
      </c>
      <c r="N17">
        <v>33</v>
      </c>
      <c r="O17">
        <v>45</v>
      </c>
      <c r="P17">
        <v>131</v>
      </c>
      <c r="Q17">
        <v>99</v>
      </c>
      <c r="R17">
        <v>212</v>
      </c>
      <c r="S17">
        <v>838</v>
      </c>
      <c r="T17" t="s">
        <v>813</v>
      </c>
      <c r="U17" t="s">
        <v>83</v>
      </c>
      <c r="V17" t="s">
        <v>84</v>
      </c>
      <c r="W17" t="s">
        <v>87</v>
      </c>
    </row>
    <row r="18" spans="1:23" x14ac:dyDescent="0.25">
      <c r="A18" t="s">
        <v>88</v>
      </c>
      <c r="B18" t="s">
        <v>88</v>
      </c>
      <c r="C18">
        <v>98</v>
      </c>
      <c r="D18" s="4">
        <v>110</v>
      </c>
      <c r="E18">
        <v>3376</v>
      </c>
      <c r="G18">
        <v>73</v>
      </c>
      <c r="H18">
        <v>69</v>
      </c>
      <c r="I18">
        <v>75</v>
      </c>
      <c r="J18">
        <v>114</v>
      </c>
      <c r="K18">
        <v>116</v>
      </c>
      <c r="L18">
        <v>91</v>
      </c>
      <c r="M18">
        <v>105</v>
      </c>
      <c r="N18">
        <v>13</v>
      </c>
      <c r="O18">
        <v>70</v>
      </c>
      <c r="P18">
        <v>176</v>
      </c>
      <c r="Q18">
        <v>106</v>
      </c>
      <c r="R18">
        <v>320</v>
      </c>
      <c r="S18">
        <v>1328</v>
      </c>
      <c r="T18" t="s">
        <v>813</v>
      </c>
      <c r="U18" t="s">
        <v>83</v>
      </c>
      <c r="V18" t="s">
        <v>84</v>
      </c>
      <c r="W18" t="s">
        <v>89</v>
      </c>
    </row>
    <row r="19" spans="1:23" x14ac:dyDescent="0.25">
      <c r="A19" t="s">
        <v>90</v>
      </c>
      <c r="B19" t="s">
        <v>90</v>
      </c>
      <c r="C19">
        <v>1.5</v>
      </c>
      <c r="D19" s="4">
        <v>3.3</v>
      </c>
      <c r="E19">
        <v>392</v>
      </c>
      <c r="G19">
        <v>1</v>
      </c>
      <c r="H19">
        <v>5</v>
      </c>
      <c r="I19">
        <v>10</v>
      </c>
      <c r="J19">
        <v>1</v>
      </c>
      <c r="K19">
        <v>2</v>
      </c>
      <c r="L19">
        <v>0</v>
      </c>
      <c r="M19">
        <v>0</v>
      </c>
      <c r="N19">
        <v>2</v>
      </c>
      <c r="O19">
        <v>3</v>
      </c>
      <c r="P19">
        <v>1</v>
      </c>
      <c r="Q19">
        <v>1</v>
      </c>
      <c r="R19">
        <v>13</v>
      </c>
      <c r="S19">
        <v>39</v>
      </c>
      <c r="T19" t="s">
        <v>813</v>
      </c>
      <c r="U19" t="s">
        <v>83</v>
      </c>
      <c r="V19" t="s">
        <v>84</v>
      </c>
      <c r="W19" t="s">
        <v>91</v>
      </c>
    </row>
    <row r="20" spans="1:23" x14ac:dyDescent="0.25">
      <c r="A20" t="s">
        <v>92</v>
      </c>
      <c r="B20" t="s">
        <v>92</v>
      </c>
      <c r="C20">
        <v>0</v>
      </c>
      <c r="D20" s="4">
        <v>0.5</v>
      </c>
      <c r="E20">
        <v>35</v>
      </c>
      <c r="G20">
        <v>0</v>
      </c>
      <c r="H20">
        <v>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6</v>
      </c>
      <c r="T20" t="s">
        <v>813</v>
      </c>
      <c r="U20" t="s">
        <v>83</v>
      </c>
      <c r="V20" t="s">
        <v>84</v>
      </c>
      <c r="W20" t="s">
        <v>93</v>
      </c>
    </row>
    <row r="21" spans="1:23" x14ac:dyDescent="0.25">
      <c r="A21" t="s">
        <v>94</v>
      </c>
      <c r="B21" t="s">
        <v>94</v>
      </c>
      <c r="C21">
        <v>5053.5</v>
      </c>
      <c r="D21" s="4">
        <v>5450</v>
      </c>
      <c r="E21">
        <v>16476</v>
      </c>
      <c r="F21">
        <v>7000</v>
      </c>
      <c r="G21">
        <v>4998</v>
      </c>
      <c r="H21">
        <v>4318</v>
      </c>
      <c r="I21">
        <v>5109</v>
      </c>
      <c r="J21">
        <v>6378</v>
      </c>
      <c r="K21">
        <v>4848</v>
      </c>
      <c r="L21">
        <v>4688</v>
      </c>
      <c r="M21">
        <v>4113</v>
      </c>
      <c r="N21">
        <v>5707</v>
      </c>
      <c r="O21">
        <v>4860</v>
      </c>
      <c r="P21">
        <v>6143</v>
      </c>
      <c r="Q21">
        <v>8578</v>
      </c>
      <c r="R21">
        <v>5712</v>
      </c>
      <c r="S21">
        <v>65452</v>
      </c>
      <c r="T21" t="s">
        <v>813</v>
      </c>
      <c r="U21" t="s">
        <v>83</v>
      </c>
      <c r="V21" t="s">
        <v>84</v>
      </c>
      <c r="W21" t="s">
        <v>95</v>
      </c>
    </row>
    <row r="22" spans="1:23" x14ac:dyDescent="0.25">
      <c r="A22" t="s">
        <v>96</v>
      </c>
      <c r="B22" t="s">
        <v>96</v>
      </c>
      <c r="C22">
        <v>2850.5</v>
      </c>
      <c r="D22" s="4">
        <v>3050</v>
      </c>
      <c r="E22">
        <v>8289</v>
      </c>
      <c r="F22">
        <v>3500</v>
      </c>
      <c r="G22">
        <v>3100</v>
      </c>
      <c r="H22">
        <v>2084</v>
      </c>
      <c r="I22">
        <v>3725</v>
      </c>
      <c r="J22">
        <v>3394</v>
      </c>
      <c r="K22">
        <v>2650</v>
      </c>
      <c r="L22">
        <v>1925</v>
      </c>
      <c r="M22">
        <v>2090</v>
      </c>
      <c r="N22">
        <v>2968</v>
      </c>
      <c r="O22">
        <v>2733</v>
      </c>
      <c r="P22">
        <v>3446</v>
      </c>
      <c r="Q22">
        <v>5773</v>
      </c>
      <c r="R22">
        <v>2385</v>
      </c>
      <c r="S22">
        <v>36273</v>
      </c>
      <c r="T22" t="s">
        <v>813</v>
      </c>
      <c r="U22" t="s">
        <v>83</v>
      </c>
      <c r="V22" t="s">
        <v>84</v>
      </c>
      <c r="W22" t="s">
        <v>97</v>
      </c>
    </row>
    <row r="23" spans="1:23" x14ac:dyDescent="0.25">
      <c r="A23" t="s">
        <v>98</v>
      </c>
      <c r="B23" t="s">
        <v>98</v>
      </c>
      <c r="C23">
        <v>4191</v>
      </c>
      <c r="D23" s="4">
        <v>4200</v>
      </c>
      <c r="E23">
        <v>12385</v>
      </c>
      <c r="F23">
        <v>6200</v>
      </c>
      <c r="G23">
        <v>4684</v>
      </c>
      <c r="H23">
        <v>2860</v>
      </c>
      <c r="I23">
        <v>4592</v>
      </c>
      <c r="J23">
        <v>4315</v>
      </c>
      <c r="K23">
        <v>3223</v>
      </c>
      <c r="L23">
        <v>3127</v>
      </c>
      <c r="M23">
        <v>3208</v>
      </c>
      <c r="N23">
        <v>3956</v>
      </c>
      <c r="O23">
        <v>4067</v>
      </c>
      <c r="P23">
        <v>5360</v>
      </c>
      <c r="Q23">
        <v>6511</v>
      </c>
      <c r="R23">
        <v>4572</v>
      </c>
      <c r="S23">
        <v>50475</v>
      </c>
      <c r="T23" t="s">
        <v>813</v>
      </c>
      <c r="U23" t="s">
        <v>83</v>
      </c>
      <c r="V23" t="s">
        <v>84</v>
      </c>
      <c r="W23" t="s">
        <v>99</v>
      </c>
    </row>
    <row r="24" spans="1:23" x14ac:dyDescent="0.25">
      <c r="A24" t="s">
        <v>100</v>
      </c>
      <c r="B24" t="s">
        <v>100</v>
      </c>
      <c r="C24">
        <v>323.5</v>
      </c>
      <c r="D24" s="4">
        <v>350</v>
      </c>
      <c r="E24">
        <v>918</v>
      </c>
      <c r="F24">
        <v>300</v>
      </c>
      <c r="G24">
        <v>266</v>
      </c>
      <c r="H24">
        <v>431</v>
      </c>
      <c r="I24">
        <v>204</v>
      </c>
      <c r="J24">
        <v>217</v>
      </c>
      <c r="K24">
        <v>482</v>
      </c>
      <c r="L24">
        <v>298</v>
      </c>
      <c r="M24">
        <v>339</v>
      </c>
      <c r="N24">
        <v>308</v>
      </c>
      <c r="O24">
        <v>382</v>
      </c>
      <c r="P24">
        <v>278</v>
      </c>
      <c r="Q24">
        <v>622</v>
      </c>
      <c r="R24">
        <v>385</v>
      </c>
      <c r="S24">
        <v>4212</v>
      </c>
      <c r="T24" t="s">
        <v>813</v>
      </c>
      <c r="U24" t="s">
        <v>83</v>
      </c>
      <c r="V24" t="s">
        <v>84</v>
      </c>
      <c r="W24" t="s">
        <v>101</v>
      </c>
    </row>
    <row r="25" spans="1:23" x14ac:dyDescent="0.25">
      <c r="A25" t="s">
        <v>102</v>
      </c>
      <c r="B25" t="s">
        <v>102</v>
      </c>
      <c r="C25">
        <v>7</v>
      </c>
      <c r="D25" s="4">
        <v>12.5</v>
      </c>
      <c r="E25">
        <v>26</v>
      </c>
      <c r="G25">
        <v>0</v>
      </c>
      <c r="H25">
        <v>55</v>
      </c>
      <c r="I25">
        <v>0</v>
      </c>
      <c r="J25">
        <v>11</v>
      </c>
      <c r="K25">
        <v>6</v>
      </c>
      <c r="L25">
        <v>0</v>
      </c>
      <c r="M25">
        <v>8</v>
      </c>
      <c r="N25">
        <v>13</v>
      </c>
      <c r="O25">
        <v>1</v>
      </c>
      <c r="P25">
        <v>21</v>
      </c>
      <c r="Q25">
        <v>34</v>
      </c>
      <c r="R25">
        <v>0</v>
      </c>
      <c r="S25">
        <v>149</v>
      </c>
      <c r="T25" t="s">
        <v>813</v>
      </c>
      <c r="U25" t="s">
        <v>83</v>
      </c>
      <c r="V25" t="s">
        <v>84</v>
      </c>
      <c r="W25" t="s">
        <v>103</v>
      </c>
    </row>
    <row r="26" spans="1:23" x14ac:dyDescent="0.25">
      <c r="A26" t="s">
        <v>104</v>
      </c>
      <c r="B26" t="s">
        <v>104</v>
      </c>
      <c r="C26">
        <v>0</v>
      </c>
      <c r="D26" s="3">
        <v>0</v>
      </c>
      <c r="E26">
        <v>100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813</v>
      </c>
      <c r="U26" t="s">
        <v>83</v>
      </c>
      <c r="V26" t="s">
        <v>105</v>
      </c>
      <c r="W26" t="s">
        <v>106</v>
      </c>
    </row>
    <row r="27" spans="1:23" x14ac:dyDescent="0.25">
      <c r="A27" t="s">
        <v>107</v>
      </c>
      <c r="B27" t="s">
        <v>107</v>
      </c>
      <c r="C27">
        <v>0</v>
      </c>
      <c r="D27" s="3">
        <v>0</v>
      </c>
      <c r="E27">
        <v>100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813</v>
      </c>
      <c r="U27" t="s">
        <v>83</v>
      </c>
      <c r="V27" t="s">
        <v>105</v>
      </c>
      <c r="W27" t="s">
        <v>106</v>
      </c>
    </row>
    <row r="28" spans="1:23" x14ac:dyDescent="0.25">
      <c r="A28" t="s">
        <v>108</v>
      </c>
      <c r="B28" t="s">
        <v>108</v>
      </c>
      <c r="C28">
        <v>0</v>
      </c>
      <c r="D28" s="3">
        <v>0</v>
      </c>
      <c r="E28">
        <v>100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813</v>
      </c>
      <c r="U28" t="s">
        <v>83</v>
      </c>
      <c r="V28" t="s">
        <v>105</v>
      </c>
      <c r="W28" t="s">
        <v>109</v>
      </c>
    </row>
    <row r="29" spans="1:23" x14ac:dyDescent="0.25">
      <c r="A29" t="s">
        <v>110</v>
      </c>
      <c r="B29" t="s">
        <v>110</v>
      </c>
      <c r="C29">
        <v>0</v>
      </c>
      <c r="D29" s="3">
        <v>0</v>
      </c>
      <c r="E29">
        <v>100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813</v>
      </c>
      <c r="U29" t="s">
        <v>83</v>
      </c>
      <c r="V29" t="s">
        <v>105</v>
      </c>
      <c r="W29" t="s">
        <v>111</v>
      </c>
    </row>
    <row r="30" spans="1:23" x14ac:dyDescent="0.25">
      <c r="A30" t="s">
        <v>112</v>
      </c>
      <c r="B30" t="s">
        <v>112</v>
      </c>
      <c r="C30">
        <v>305</v>
      </c>
      <c r="D30" s="4">
        <v>350</v>
      </c>
      <c r="E30">
        <v>998</v>
      </c>
      <c r="F30">
        <v>300</v>
      </c>
      <c r="G30">
        <v>415</v>
      </c>
      <c r="H30">
        <v>301</v>
      </c>
      <c r="I30">
        <v>178</v>
      </c>
      <c r="J30">
        <v>639</v>
      </c>
      <c r="K30">
        <v>279</v>
      </c>
      <c r="L30">
        <v>267</v>
      </c>
      <c r="M30">
        <v>309</v>
      </c>
      <c r="N30">
        <v>277</v>
      </c>
      <c r="O30">
        <v>245</v>
      </c>
      <c r="P30">
        <v>343</v>
      </c>
      <c r="Q30">
        <v>606</v>
      </c>
      <c r="R30">
        <v>321</v>
      </c>
      <c r="S30">
        <v>4180</v>
      </c>
      <c r="T30" t="s">
        <v>813</v>
      </c>
      <c r="U30" t="s">
        <v>83</v>
      </c>
      <c r="V30" t="s">
        <v>105</v>
      </c>
      <c r="W30" t="s">
        <v>113</v>
      </c>
    </row>
    <row r="31" spans="1:23" x14ac:dyDescent="0.25">
      <c r="A31" t="s">
        <v>114</v>
      </c>
      <c r="B31" t="s">
        <v>114</v>
      </c>
      <c r="C31">
        <v>345.5</v>
      </c>
      <c r="D31" s="4">
        <v>370</v>
      </c>
      <c r="E31">
        <v>1353</v>
      </c>
      <c r="F31">
        <v>400</v>
      </c>
      <c r="G31">
        <v>376</v>
      </c>
      <c r="H31">
        <v>358</v>
      </c>
      <c r="I31">
        <v>501</v>
      </c>
      <c r="J31">
        <v>262</v>
      </c>
      <c r="K31">
        <v>287</v>
      </c>
      <c r="L31">
        <v>271</v>
      </c>
      <c r="M31">
        <v>333</v>
      </c>
      <c r="N31">
        <v>242</v>
      </c>
      <c r="O31">
        <v>591</v>
      </c>
      <c r="P31">
        <v>395</v>
      </c>
      <c r="Q31">
        <v>484</v>
      </c>
      <c r="R31">
        <v>315</v>
      </c>
      <c r="S31">
        <v>4415</v>
      </c>
      <c r="T31" t="s">
        <v>813</v>
      </c>
      <c r="U31" t="s">
        <v>83</v>
      </c>
      <c r="V31" t="s">
        <v>105</v>
      </c>
      <c r="W31" t="s">
        <v>113</v>
      </c>
    </row>
    <row r="32" spans="1:23" x14ac:dyDescent="0.25">
      <c r="A32" t="s">
        <v>117</v>
      </c>
      <c r="B32" t="s">
        <v>117</v>
      </c>
      <c r="C32">
        <v>160</v>
      </c>
      <c r="D32" s="4">
        <v>162</v>
      </c>
      <c r="E32">
        <v>557</v>
      </c>
      <c r="F32">
        <v>150</v>
      </c>
      <c r="G32">
        <v>152</v>
      </c>
      <c r="H32">
        <v>124</v>
      </c>
      <c r="I32">
        <v>161</v>
      </c>
      <c r="J32">
        <v>180</v>
      </c>
      <c r="K32">
        <v>66</v>
      </c>
      <c r="L32">
        <v>170</v>
      </c>
      <c r="M32">
        <v>116</v>
      </c>
      <c r="N32">
        <v>110</v>
      </c>
      <c r="O32">
        <v>353</v>
      </c>
      <c r="P32">
        <v>168</v>
      </c>
      <c r="Q32">
        <v>181</v>
      </c>
      <c r="R32">
        <v>159</v>
      </c>
      <c r="S32">
        <v>1940</v>
      </c>
      <c r="T32" t="s">
        <v>813</v>
      </c>
      <c r="U32" t="s">
        <v>83</v>
      </c>
      <c r="V32" t="s">
        <v>105</v>
      </c>
      <c r="W32" t="s">
        <v>116</v>
      </c>
    </row>
    <row r="33" spans="1:23" x14ac:dyDescent="0.25">
      <c r="A33" t="s">
        <v>118</v>
      </c>
      <c r="B33" t="s">
        <v>118</v>
      </c>
      <c r="C33">
        <v>0</v>
      </c>
      <c r="D33" s="3">
        <v>0</v>
      </c>
      <c r="E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  <c r="T33" t="s">
        <v>813</v>
      </c>
      <c r="U33" t="s">
        <v>83</v>
      </c>
      <c r="V33" t="s">
        <v>105</v>
      </c>
      <c r="W33" t="s">
        <v>119</v>
      </c>
    </row>
    <row r="34" spans="1:23" x14ac:dyDescent="0.25">
      <c r="A34" t="s">
        <v>120</v>
      </c>
      <c r="B34" t="s">
        <v>120</v>
      </c>
      <c r="C34">
        <v>209.5</v>
      </c>
      <c r="D34" s="4">
        <v>240</v>
      </c>
      <c r="E34">
        <v>708</v>
      </c>
      <c r="F34">
        <v>350</v>
      </c>
      <c r="G34">
        <v>176</v>
      </c>
      <c r="H34">
        <v>191</v>
      </c>
      <c r="I34">
        <v>335</v>
      </c>
      <c r="J34">
        <v>323</v>
      </c>
      <c r="K34">
        <v>106</v>
      </c>
      <c r="L34">
        <v>228</v>
      </c>
      <c r="M34">
        <v>140</v>
      </c>
      <c r="N34">
        <v>162</v>
      </c>
      <c r="O34">
        <v>253</v>
      </c>
      <c r="P34">
        <v>350</v>
      </c>
      <c r="Q34">
        <v>386</v>
      </c>
      <c r="R34">
        <v>143</v>
      </c>
      <c r="S34">
        <v>2793</v>
      </c>
      <c r="T34" t="s">
        <v>813</v>
      </c>
      <c r="U34" t="s">
        <v>83</v>
      </c>
      <c r="V34" t="s">
        <v>105</v>
      </c>
      <c r="W34" t="s">
        <v>119</v>
      </c>
    </row>
    <row r="35" spans="1:23" x14ac:dyDescent="0.25">
      <c r="A35" t="s">
        <v>123</v>
      </c>
      <c r="B35" t="s">
        <v>123</v>
      </c>
      <c r="C35">
        <v>12</v>
      </c>
      <c r="D35" s="3">
        <v>12</v>
      </c>
      <c r="E35">
        <v>98</v>
      </c>
      <c r="G35">
        <v>13</v>
      </c>
      <c r="H35">
        <v>35</v>
      </c>
      <c r="I35">
        <v>11</v>
      </c>
      <c r="J35">
        <v>15</v>
      </c>
      <c r="K35">
        <v>3</v>
      </c>
      <c r="L35">
        <v>1</v>
      </c>
      <c r="M35">
        <v>23</v>
      </c>
      <c r="N35">
        <v>5</v>
      </c>
      <c r="O35">
        <v>14</v>
      </c>
      <c r="P35">
        <v>3</v>
      </c>
      <c r="Q35">
        <v>13</v>
      </c>
      <c r="R35">
        <v>0</v>
      </c>
      <c r="S35">
        <v>136</v>
      </c>
      <c r="T35" t="s">
        <v>813</v>
      </c>
      <c r="U35" t="s">
        <v>83</v>
      </c>
      <c r="V35" t="s">
        <v>105</v>
      </c>
      <c r="W35" t="s">
        <v>122</v>
      </c>
    </row>
    <row r="36" spans="1:23" x14ac:dyDescent="0.25">
      <c r="A36" t="s">
        <v>126</v>
      </c>
      <c r="B36" t="s">
        <v>126</v>
      </c>
      <c r="C36">
        <v>0</v>
      </c>
      <c r="D36" s="4">
        <v>0.5</v>
      </c>
      <c r="E36">
        <v>5</v>
      </c>
      <c r="G36">
        <v>0</v>
      </c>
      <c r="H36">
        <v>5</v>
      </c>
      <c r="I36">
        <v>-5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5</v>
      </c>
      <c r="R36">
        <v>0</v>
      </c>
      <c r="S36">
        <v>6</v>
      </c>
      <c r="T36" t="s">
        <v>813</v>
      </c>
      <c r="U36" t="s">
        <v>83</v>
      </c>
      <c r="V36" t="s">
        <v>105</v>
      </c>
      <c r="W36" t="s">
        <v>125</v>
      </c>
    </row>
    <row r="37" spans="1:23" x14ac:dyDescent="0.25">
      <c r="A37" t="s">
        <v>127</v>
      </c>
      <c r="B37" t="s">
        <v>127</v>
      </c>
      <c r="C37">
        <v>15.5</v>
      </c>
      <c r="D37" s="4">
        <v>27</v>
      </c>
      <c r="E37">
        <v>151</v>
      </c>
      <c r="G37">
        <v>64</v>
      </c>
      <c r="H37">
        <v>21</v>
      </c>
      <c r="I37">
        <v>60</v>
      </c>
      <c r="J37">
        <v>69</v>
      </c>
      <c r="K37">
        <v>1</v>
      </c>
      <c r="L37">
        <v>5</v>
      </c>
      <c r="M37">
        <v>51</v>
      </c>
      <c r="N37">
        <v>19</v>
      </c>
      <c r="O37">
        <v>12</v>
      </c>
      <c r="P37">
        <v>3</v>
      </c>
      <c r="Q37">
        <v>10</v>
      </c>
      <c r="R37">
        <v>0</v>
      </c>
      <c r="S37">
        <v>315</v>
      </c>
      <c r="T37" t="s">
        <v>813</v>
      </c>
      <c r="U37" t="s">
        <v>83</v>
      </c>
      <c r="V37" t="s">
        <v>128</v>
      </c>
      <c r="W37" t="s">
        <v>129</v>
      </c>
    </row>
    <row r="38" spans="1:23" x14ac:dyDescent="0.25">
      <c r="A38" t="s">
        <v>130</v>
      </c>
      <c r="B38" t="s">
        <v>130</v>
      </c>
      <c r="C38">
        <v>2</v>
      </c>
      <c r="D38" s="4">
        <v>10</v>
      </c>
      <c r="E38">
        <v>90</v>
      </c>
      <c r="G38">
        <v>2</v>
      </c>
      <c r="H38">
        <v>10</v>
      </c>
      <c r="I38">
        <v>25</v>
      </c>
      <c r="J38">
        <v>8</v>
      </c>
      <c r="K38">
        <v>0</v>
      </c>
      <c r="L38">
        <v>1</v>
      </c>
      <c r="M38">
        <v>31</v>
      </c>
      <c r="N38">
        <v>2</v>
      </c>
      <c r="O38">
        <v>2</v>
      </c>
      <c r="P38">
        <v>0</v>
      </c>
      <c r="Q38">
        <v>0</v>
      </c>
      <c r="R38">
        <v>0</v>
      </c>
      <c r="S38">
        <v>81</v>
      </c>
      <c r="T38" t="s">
        <v>813</v>
      </c>
      <c r="U38" t="s">
        <v>83</v>
      </c>
      <c r="V38" t="s">
        <v>128</v>
      </c>
      <c r="W38" t="s">
        <v>131</v>
      </c>
    </row>
    <row r="39" spans="1:23" x14ac:dyDescent="0.25">
      <c r="A39" t="s">
        <v>132</v>
      </c>
      <c r="B39" t="s">
        <v>132</v>
      </c>
      <c r="C39">
        <v>2</v>
      </c>
      <c r="D39" s="4">
        <v>12</v>
      </c>
      <c r="E39">
        <v>80</v>
      </c>
      <c r="G39">
        <v>2</v>
      </c>
      <c r="H39">
        <v>11</v>
      </c>
      <c r="I39">
        <v>25</v>
      </c>
      <c r="J39">
        <v>5</v>
      </c>
      <c r="K39">
        <v>0</v>
      </c>
      <c r="L39">
        <v>8</v>
      </c>
      <c r="M39">
        <v>36</v>
      </c>
      <c r="N39">
        <v>2</v>
      </c>
      <c r="O39">
        <v>0</v>
      </c>
      <c r="P39">
        <v>0</v>
      </c>
      <c r="Q39">
        <v>1</v>
      </c>
      <c r="R39">
        <v>1</v>
      </c>
      <c r="S39">
        <v>91</v>
      </c>
      <c r="T39" t="s">
        <v>813</v>
      </c>
      <c r="U39" t="s">
        <v>83</v>
      </c>
      <c r="V39" t="s">
        <v>128</v>
      </c>
      <c r="W39" t="s">
        <v>133</v>
      </c>
    </row>
    <row r="40" spans="1:23" x14ac:dyDescent="0.25">
      <c r="A40" t="s">
        <v>134</v>
      </c>
      <c r="B40" t="s">
        <v>134</v>
      </c>
      <c r="C40">
        <v>1089.5</v>
      </c>
      <c r="D40" s="4">
        <v>1230</v>
      </c>
      <c r="E40">
        <v>2961</v>
      </c>
      <c r="F40">
        <v>1100</v>
      </c>
      <c r="G40">
        <v>13</v>
      </c>
      <c r="H40">
        <v>1912</v>
      </c>
      <c r="I40">
        <v>978</v>
      </c>
      <c r="J40">
        <v>1100</v>
      </c>
      <c r="K40">
        <v>1549</v>
      </c>
      <c r="L40">
        <v>974</v>
      </c>
      <c r="M40">
        <v>933</v>
      </c>
      <c r="N40">
        <v>645</v>
      </c>
      <c r="O40">
        <v>1139</v>
      </c>
      <c r="P40">
        <v>1079</v>
      </c>
      <c r="Q40">
        <v>2007</v>
      </c>
      <c r="R40">
        <v>1213</v>
      </c>
      <c r="S40">
        <v>13542</v>
      </c>
      <c r="T40" t="s">
        <v>813</v>
      </c>
      <c r="U40" t="s">
        <v>83</v>
      </c>
      <c r="V40" t="s">
        <v>128</v>
      </c>
      <c r="W40" t="s">
        <v>135</v>
      </c>
    </row>
    <row r="41" spans="1:23" x14ac:dyDescent="0.25">
      <c r="A41" t="s">
        <v>136</v>
      </c>
      <c r="B41" t="s">
        <v>136</v>
      </c>
      <c r="C41">
        <v>375</v>
      </c>
      <c r="D41" s="4">
        <v>450</v>
      </c>
      <c r="E41">
        <v>1581</v>
      </c>
      <c r="F41">
        <v>600</v>
      </c>
      <c r="G41">
        <v>354</v>
      </c>
      <c r="H41">
        <v>217</v>
      </c>
      <c r="I41">
        <v>430</v>
      </c>
      <c r="J41">
        <v>396</v>
      </c>
      <c r="K41">
        <v>910</v>
      </c>
      <c r="L41">
        <v>350</v>
      </c>
      <c r="M41">
        <v>332</v>
      </c>
      <c r="N41">
        <v>320</v>
      </c>
      <c r="O41">
        <v>503</v>
      </c>
      <c r="P41">
        <v>400</v>
      </c>
      <c r="Q41">
        <v>726</v>
      </c>
      <c r="R41">
        <v>348</v>
      </c>
      <c r="S41">
        <v>5286</v>
      </c>
      <c r="T41" t="s">
        <v>813</v>
      </c>
      <c r="U41" t="s">
        <v>83</v>
      </c>
      <c r="V41" t="s">
        <v>128</v>
      </c>
      <c r="W41" t="s">
        <v>137</v>
      </c>
    </row>
    <row r="42" spans="1:23" x14ac:dyDescent="0.25">
      <c r="A42" t="s">
        <v>138</v>
      </c>
      <c r="B42" t="s">
        <v>138</v>
      </c>
      <c r="C42">
        <v>495</v>
      </c>
      <c r="D42" s="4">
        <v>575</v>
      </c>
      <c r="E42">
        <v>1592</v>
      </c>
      <c r="G42">
        <v>501</v>
      </c>
      <c r="H42">
        <v>218</v>
      </c>
      <c r="I42">
        <v>640</v>
      </c>
      <c r="J42">
        <v>748</v>
      </c>
      <c r="K42">
        <v>1273</v>
      </c>
      <c r="L42">
        <v>150</v>
      </c>
      <c r="M42">
        <v>417</v>
      </c>
      <c r="N42">
        <v>375</v>
      </c>
      <c r="O42">
        <v>736</v>
      </c>
      <c r="P42">
        <v>489</v>
      </c>
      <c r="Q42">
        <v>857</v>
      </c>
      <c r="R42">
        <v>391</v>
      </c>
      <c r="S42">
        <v>6795</v>
      </c>
      <c r="T42" t="s">
        <v>813</v>
      </c>
      <c r="U42" t="s">
        <v>83</v>
      </c>
      <c r="V42" t="s">
        <v>128</v>
      </c>
      <c r="W42" t="s">
        <v>139</v>
      </c>
    </row>
    <row r="43" spans="1:23" x14ac:dyDescent="0.25">
      <c r="A43" t="s">
        <v>140</v>
      </c>
      <c r="B43" t="s">
        <v>140</v>
      </c>
      <c r="C43">
        <v>4.5</v>
      </c>
      <c r="D43" s="4">
        <v>150</v>
      </c>
      <c r="E43">
        <v>0</v>
      </c>
      <c r="G43">
        <v>28</v>
      </c>
      <c r="H43">
        <v>3</v>
      </c>
      <c r="I43">
        <v>6</v>
      </c>
      <c r="J43">
        <v>33</v>
      </c>
      <c r="K43">
        <v>0</v>
      </c>
      <c r="L43">
        <v>0</v>
      </c>
      <c r="M43">
        <v>2</v>
      </c>
      <c r="N43">
        <v>29</v>
      </c>
      <c r="O43">
        <v>23</v>
      </c>
      <c r="P43">
        <v>8</v>
      </c>
      <c r="Q43">
        <v>1</v>
      </c>
      <c r="R43">
        <v>0</v>
      </c>
      <c r="S43">
        <v>133</v>
      </c>
      <c r="T43" t="s">
        <v>813</v>
      </c>
      <c r="U43" t="s">
        <v>83</v>
      </c>
      <c r="V43" t="s">
        <v>128</v>
      </c>
      <c r="W43" t="s">
        <v>141</v>
      </c>
    </row>
    <row r="44" spans="1:23" x14ac:dyDescent="0.25">
      <c r="A44" t="s">
        <v>142</v>
      </c>
      <c r="B44" t="s">
        <v>142</v>
      </c>
      <c r="C44">
        <v>0</v>
      </c>
      <c r="D44" s="4">
        <v>3</v>
      </c>
      <c r="E44">
        <v>4</v>
      </c>
      <c r="G44">
        <v>0</v>
      </c>
      <c r="H44">
        <v>0</v>
      </c>
      <c r="I44">
        <v>0</v>
      </c>
      <c r="J44">
        <v>1</v>
      </c>
      <c r="K44">
        <v>1</v>
      </c>
      <c r="L44">
        <v>0</v>
      </c>
      <c r="M44">
        <v>0</v>
      </c>
      <c r="N44">
        <v>4</v>
      </c>
      <c r="O44">
        <v>12</v>
      </c>
      <c r="P44">
        <v>0</v>
      </c>
      <c r="Q44">
        <v>15</v>
      </c>
      <c r="R44">
        <v>0</v>
      </c>
      <c r="S44">
        <v>33</v>
      </c>
      <c r="T44" t="s">
        <v>813</v>
      </c>
      <c r="U44" t="s">
        <v>83</v>
      </c>
      <c r="V44" t="s">
        <v>128</v>
      </c>
      <c r="W44" t="s">
        <v>143</v>
      </c>
    </row>
    <row r="45" spans="1:23" x14ac:dyDescent="0.25">
      <c r="A45" t="s">
        <v>144</v>
      </c>
      <c r="B45" t="s">
        <v>144</v>
      </c>
      <c r="C45">
        <v>0</v>
      </c>
      <c r="D45" s="3">
        <v>0</v>
      </c>
      <c r="E45">
        <v>300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813</v>
      </c>
      <c r="U45" t="s">
        <v>83</v>
      </c>
      <c r="V45" t="s">
        <v>145</v>
      </c>
      <c r="W45" t="s">
        <v>146</v>
      </c>
    </row>
    <row r="46" spans="1:23" x14ac:dyDescent="0.25">
      <c r="A46" t="s">
        <v>147</v>
      </c>
      <c r="B46" t="s">
        <v>147</v>
      </c>
      <c r="C46">
        <v>0</v>
      </c>
      <c r="D46" s="3">
        <v>0</v>
      </c>
      <c r="E46">
        <v>300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813</v>
      </c>
      <c r="U46" t="s">
        <v>83</v>
      </c>
      <c r="V46" t="s">
        <v>145</v>
      </c>
      <c r="W46" t="s">
        <v>148</v>
      </c>
    </row>
    <row r="47" spans="1:23" x14ac:dyDescent="0.25">
      <c r="A47" t="s">
        <v>149</v>
      </c>
      <c r="B47" t="s">
        <v>149</v>
      </c>
      <c r="C47">
        <v>0</v>
      </c>
      <c r="D47" s="3">
        <v>0</v>
      </c>
      <c r="E47">
        <v>300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813</v>
      </c>
      <c r="U47" t="s">
        <v>83</v>
      </c>
      <c r="V47" t="s">
        <v>145</v>
      </c>
      <c r="W47" t="s">
        <v>150</v>
      </c>
    </row>
    <row r="48" spans="1:23" x14ac:dyDescent="0.25">
      <c r="A48" t="s">
        <v>151</v>
      </c>
      <c r="B48" t="s">
        <v>151</v>
      </c>
      <c r="C48">
        <v>0</v>
      </c>
      <c r="D48" s="3">
        <v>0</v>
      </c>
      <c r="E48">
        <v>72</v>
      </c>
      <c r="G48">
        <v>0</v>
      </c>
      <c r="H48">
        <v>20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21</v>
      </c>
      <c r="T48" t="s">
        <v>813</v>
      </c>
      <c r="U48" t="s">
        <v>83</v>
      </c>
      <c r="V48" t="s">
        <v>145</v>
      </c>
      <c r="W48" t="s">
        <v>152</v>
      </c>
    </row>
    <row r="49" spans="1:23" x14ac:dyDescent="0.25">
      <c r="A49" t="s">
        <v>153</v>
      </c>
      <c r="B49" t="s">
        <v>153</v>
      </c>
      <c r="C49">
        <v>0</v>
      </c>
      <c r="D49" s="3">
        <v>0</v>
      </c>
      <c r="E49">
        <v>18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2</v>
      </c>
      <c r="T49" t="s">
        <v>813</v>
      </c>
      <c r="U49" t="s">
        <v>83</v>
      </c>
      <c r="V49" t="s">
        <v>145</v>
      </c>
      <c r="W49" t="s">
        <v>154</v>
      </c>
    </row>
    <row r="50" spans="1:23" x14ac:dyDescent="0.25">
      <c r="A50" t="s">
        <v>155</v>
      </c>
      <c r="B50" t="s">
        <v>155</v>
      </c>
      <c r="C50">
        <v>1535</v>
      </c>
      <c r="D50" s="4">
        <v>1600</v>
      </c>
      <c r="E50">
        <v>4203</v>
      </c>
      <c r="F50">
        <v>1300</v>
      </c>
      <c r="G50">
        <v>1920</v>
      </c>
      <c r="H50">
        <v>1319</v>
      </c>
      <c r="I50">
        <v>1408</v>
      </c>
      <c r="J50">
        <v>2131</v>
      </c>
      <c r="K50">
        <v>1870</v>
      </c>
      <c r="L50">
        <v>1245</v>
      </c>
      <c r="M50">
        <v>953</v>
      </c>
      <c r="N50">
        <v>1022</v>
      </c>
      <c r="O50">
        <v>1473</v>
      </c>
      <c r="P50">
        <v>1597</v>
      </c>
      <c r="Q50">
        <v>2504</v>
      </c>
      <c r="R50">
        <v>1826</v>
      </c>
      <c r="S50">
        <v>19268</v>
      </c>
      <c r="T50" t="s">
        <v>813</v>
      </c>
      <c r="U50" t="s">
        <v>83</v>
      </c>
      <c r="V50" t="s">
        <v>145</v>
      </c>
      <c r="W50" t="s">
        <v>156</v>
      </c>
    </row>
    <row r="51" spans="1:23" x14ac:dyDescent="0.25">
      <c r="A51" t="s">
        <v>157</v>
      </c>
      <c r="B51" t="s">
        <v>157</v>
      </c>
      <c r="C51">
        <v>932</v>
      </c>
      <c r="D51" s="4">
        <v>1010</v>
      </c>
      <c r="E51">
        <v>3073</v>
      </c>
      <c r="F51">
        <v>1000</v>
      </c>
      <c r="G51">
        <v>1415</v>
      </c>
      <c r="H51">
        <v>797</v>
      </c>
      <c r="I51">
        <v>798</v>
      </c>
      <c r="J51">
        <v>1246</v>
      </c>
      <c r="K51">
        <v>1351</v>
      </c>
      <c r="L51">
        <v>899</v>
      </c>
      <c r="M51">
        <v>725</v>
      </c>
      <c r="N51">
        <v>545</v>
      </c>
      <c r="O51">
        <v>783</v>
      </c>
      <c r="P51">
        <v>1002</v>
      </c>
      <c r="Q51">
        <v>1574</v>
      </c>
      <c r="R51">
        <v>965</v>
      </c>
      <c r="S51">
        <v>12100</v>
      </c>
      <c r="T51" t="s">
        <v>813</v>
      </c>
      <c r="U51" t="s">
        <v>83</v>
      </c>
      <c r="V51" t="s">
        <v>145</v>
      </c>
      <c r="W51" t="s">
        <v>158</v>
      </c>
    </row>
    <row r="52" spans="1:23" x14ac:dyDescent="0.25">
      <c r="A52" t="s">
        <v>159</v>
      </c>
      <c r="B52" t="s">
        <v>159</v>
      </c>
      <c r="C52">
        <v>1061.5</v>
      </c>
      <c r="D52" s="4">
        <v>1080</v>
      </c>
      <c r="E52">
        <v>2748</v>
      </c>
      <c r="F52">
        <v>750</v>
      </c>
      <c r="G52">
        <v>1507</v>
      </c>
      <c r="H52">
        <v>1031</v>
      </c>
      <c r="I52">
        <v>1041</v>
      </c>
      <c r="J52">
        <v>1138</v>
      </c>
      <c r="K52">
        <v>1207</v>
      </c>
      <c r="L52">
        <v>810</v>
      </c>
      <c r="M52">
        <v>609</v>
      </c>
      <c r="N52">
        <v>656</v>
      </c>
      <c r="O52">
        <v>1082</v>
      </c>
      <c r="P52">
        <v>1018</v>
      </c>
      <c r="Q52">
        <v>1638</v>
      </c>
      <c r="R52">
        <v>1349</v>
      </c>
      <c r="S52">
        <v>13086</v>
      </c>
      <c r="T52" t="s">
        <v>813</v>
      </c>
      <c r="U52" t="s">
        <v>83</v>
      </c>
      <c r="V52" t="s">
        <v>145</v>
      </c>
      <c r="W52" t="s">
        <v>160</v>
      </c>
    </row>
    <row r="53" spans="1:23" x14ac:dyDescent="0.25">
      <c r="A53" t="s">
        <v>161</v>
      </c>
      <c r="B53" t="s">
        <v>161</v>
      </c>
      <c r="C53">
        <v>42.5</v>
      </c>
      <c r="D53" s="4">
        <v>44</v>
      </c>
      <c r="E53">
        <v>145</v>
      </c>
      <c r="G53">
        <v>83</v>
      </c>
      <c r="H53">
        <v>31</v>
      </c>
      <c r="I53">
        <v>11</v>
      </c>
      <c r="J53">
        <v>65</v>
      </c>
      <c r="K53">
        <v>70</v>
      </c>
      <c r="L53">
        <v>9</v>
      </c>
      <c r="M53">
        <v>36</v>
      </c>
      <c r="N53">
        <v>43</v>
      </c>
      <c r="O53">
        <v>66</v>
      </c>
      <c r="P53">
        <v>21</v>
      </c>
      <c r="Q53">
        <v>42</v>
      </c>
      <c r="R53">
        <v>54</v>
      </c>
      <c r="S53">
        <v>531</v>
      </c>
      <c r="T53" t="s">
        <v>813</v>
      </c>
      <c r="U53" t="s">
        <v>83</v>
      </c>
      <c r="V53" t="s">
        <v>145</v>
      </c>
      <c r="W53" t="s">
        <v>162</v>
      </c>
    </row>
    <row r="54" spans="1:23" x14ac:dyDescent="0.25">
      <c r="A54" t="s">
        <v>163</v>
      </c>
      <c r="B54" t="s">
        <v>163</v>
      </c>
      <c r="C54">
        <v>0</v>
      </c>
      <c r="D54" s="4">
        <v>2.5</v>
      </c>
      <c r="E54">
        <v>29</v>
      </c>
      <c r="G54">
        <v>10</v>
      </c>
      <c r="H54">
        <v>0</v>
      </c>
      <c r="I54">
        <v>0</v>
      </c>
      <c r="J54">
        <v>0</v>
      </c>
      <c r="K54">
        <v>1</v>
      </c>
      <c r="L54">
        <v>1</v>
      </c>
      <c r="M54">
        <v>0</v>
      </c>
      <c r="N54">
        <v>0</v>
      </c>
      <c r="O54">
        <v>13</v>
      </c>
      <c r="P54">
        <v>2</v>
      </c>
      <c r="Q54">
        <v>0</v>
      </c>
      <c r="R54">
        <v>0</v>
      </c>
      <c r="S54">
        <v>27</v>
      </c>
      <c r="T54" t="s">
        <v>813</v>
      </c>
      <c r="U54" t="s">
        <v>83</v>
      </c>
      <c r="V54" t="s">
        <v>145</v>
      </c>
      <c r="W54" t="s">
        <v>164</v>
      </c>
    </row>
    <row r="55" spans="1:23" x14ac:dyDescent="0.25">
      <c r="A55" t="s">
        <v>169</v>
      </c>
      <c r="B55" t="s">
        <v>169</v>
      </c>
      <c r="C55">
        <v>0</v>
      </c>
      <c r="D55" s="3">
        <v>0</v>
      </c>
      <c r="E55">
        <v>380</v>
      </c>
      <c r="G55">
        <v>0</v>
      </c>
      <c r="H55">
        <v>10</v>
      </c>
      <c r="I55">
        <v>0</v>
      </c>
      <c r="J55">
        <v>0</v>
      </c>
      <c r="K55">
        <v>0</v>
      </c>
      <c r="L55">
        <v>0</v>
      </c>
      <c r="M55">
        <v>10</v>
      </c>
      <c r="N55">
        <v>0</v>
      </c>
      <c r="O55">
        <v>0</v>
      </c>
      <c r="P55">
        <v>0</v>
      </c>
      <c r="Q55">
        <v>0</v>
      </c>
      <c r="R55">
        <v>0</v>
      </c>
      <c r="S55">
        <v>20</v>
      </c>
      <c r="T55" t="s">
        <v>813</v>
      </c>
      <c r="U55" t="s">
        <v>166</v>
      </c>
      <c r="V55" t="s">
        <v>167</v>
      </c>
      <c r="W55" t="s">
        <v>168</v>
      </c>
    </row>
    <row r="56" spans="1:23" x14ac:dyDescent="0.25">
      <c r="A56" t="s">
        <v>170</v>
      </c>
      <c r="B56" t="s">
        <v>170</v>
      </c>
      <c r="C56">
        <v>0</v>
      </c>
      <c r="D56" s="3">
        <v>0</v>
      </c>
      <c r="E56">
        <v>56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813</v>
      </c>
      <c r="U56" t="s">
        <v>166</v>
      </c>
      <c r="V56" t="s">
        <v>171</v>
      </c>
      <c r="W56" t="s">
        <v>172</v>
      </c>
    </row>
    <row r="57" spans="1:23" x14ac:dyDescent="0.25">
      <c r="A57" t="s">
        <v>176</v>
      </c>
      <c r="B57" t="s">
        <v>176</v>
      </c>
      <c r="C57">
        <v>0</v>
      </c>
      <c r="D57" s="3">
        <v>0</v>
      </c>
      <c r="E57">
        <v>28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813</v>
      </c>
      <c r="U57" t="s">
        <v>166</v>
      </c>
      <c r="V57" t="s">
        <v>174</v>
      </c>
      <c r="W57" t="s">
        <v>175</v>
      </c>
    </row>
    <row r="58" spans="1:23" x14ac:dyDescent="0.25">
      <c r="A58" t="s">
        <v>179</v>
      </c>
      <c r="B58" t="s">
        <v>179</v>
      </c>
      <c r="C58">
        <v>152</v>
      </c>
      <c r="D58" s="4">
        <v>160</v>
      </c>
      <c r="E58">
        <v>637</v>
      </c>
      <c r="G58">
        <v>209</v>
      </c>
      <c r="H58">
        <v>112</v>
      </c>
      <c r="I58">
        <v>230</v>
      </c>
      <c r="J58">
        <v>126</v>
      </c>
      <c r="K58">
        <v>169</v>
      </c>
      <c r="L58">
        <v>253</v>
      </c>
      <c r="M58">
        <v>118</v>
      </c>
      <c r="N58">
        <v>135</v>
      </c>
      <c r="O58">
        <v>192</v>
      </c>
      <c r="P58">
        <v>55</v>
      </c>
      <c r="Q58">
        <v>206</v>
      </c>
      <c r="R58">
        <v>90</v>
      </c>
      <c r="S58">
        <v>1895</v>
      </c>
      <c r="T58" t="s">
        <v>813</v>
      </c>
      <c r="U58" t="s">
        <v>180</v>
      </c>
      <c r="V58" t="s">
        <v>181</v>
      </c>
      <c r="W58" t="s">
        <v>182</v>
      </c>
    </row>
    <row r="59" spans="1:23" x14ac:dyDescent="0.25">
      <c r="A59" t="s">
        <v>185</v>
      </c>
      <c r="B59" t="s">
        <v>185</v>
      </c>
      <c r="C59">
        <v>165.5</v>
      </c>
      <c r="D59" s="3">
        <v>165.5</v>
      </c>
      <c r="E59">
        <v>672</v>
      </c>
      <c r="G59">
        <v>244</v>
      </c>
      <c r="H59">
        <v>151</v>
      </c>
      <c r="I59">
        <v>201</v>
      </c>
      <c r="J59">
        <v>179</v>
      </c>
      <c r="K59">
        <v>169</v>
      </c>
      <c r="L59">
        <v>118</v>
      </c>
      <c r="M59">
        <v>133</v>
      </c>
      <c r="N59">
        <v>162</v>
      </c>
      <c r="O59">
        <v>226</v>
      </c>
      <c r="P59">
        <v>66</v>
      </c>
      <c r="Q59">
        <v>198</v>
      </c>
      <c r="R59">
        <v>84</v>
      </c>
      <c r="S59">
        <v>1931</v>
      </c>
      <c r="T59" t="s">
        <v>813</v>
      </c>
      <c r="U59" t="s">
        <v>180</v>
      </c>
      <c r="V59" t="s">
        <v>181</v>
      </c>
      <c r="W59" t="s">
        <v>186</v>
      </c>
    </row>
    <row r="60" spans="1:23" x14ac:dyDescent="0.25">
      <c r="A60" t="s">
        <v>189</v>
      </c>
      <c r="B60" t="s">
        <v>189</v>
      </c>
      <c r="C60">
        <v>152.5</v>
      </c>
      <c r="D60" s="4">
        <v>163</v>
      </c>
      <c r="E60">
        <v>677</v>
      </c>
      <c r="F60">
        <v>100</v>
      </c>
      <c r="G60">
        <v>248</v>
      </c>
      <c r="H60">
        <v>92</v>
      </c>
      <c r="I60">
        <v>262</v>
      </c>
      <c r="J60">
        <v>153</v>
      </c>
      <c r="K60">
        <v>280</v>
      </c>
      <c r="L60">
        <v>101</v>
      </c>
      <c r="M60">
        <v>64</v>
      </c>
      <c r="N60">
        <v>165</v>
      </c>
      <c r="O60">
        <v>185</v>
      </c>
      <c r="P60">
        <v>99</v>
      </c>
      <c r="Q60">
        <v>152</v>
      </c>
      <c r="R60">
        <v>151</v>
      </c>
      <c r="S60">
        <v>1952</v>
      </c>
      <c r="T60" t="s">
        <v>813</v>
      </c>
      <c r="U60" t="s">
        <v>180</v>
      </c>
      <c r="V60" t="s">
        <v>181</v>
      </c>
      <c r="W60" t="s">
        <v>190</v>
      </c>
    </row>
    <row r="61" spans="1:23" x14ac:dyDescent="0.25">
      <c r="A61" t="s">
        <v>191</v>
      </c>
      <c r="B61" t="s">
        <v>191</v>
      </c>
      <c r="C61">
        <v>0</v>
      </c>
      <c r="D61" s="3">
        <v>0</v>
      </c>
      <c r="E61">
        <v>28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 t="s">
        <v>813</v>
      </c>
      <c r="U61" t="s">
        <v>180</v>
      </c>
      <c r="V61" t="s">
        <v>181</v>
      </c>
      <c r="W61" t="s">
        <v>192</v>
      </c>
    </row>
    <row r="62" spans="1:23" x14ac:dyDescent="0.25">
      <c r="A62" t="s">
        <v>199</v>
      </c>
      <c r="B62" t="s">
        <v>199</v>
      </c>
      <c r="C62">
        <v>1.5</v>
      </c>
      <c r="D62" s="4">
        <v>3</v>
      </c>
      <c r="E62">
        <v>18</v>
      </c>
      <c r="G62">
        <v>2</v>
      </c>
      <c r="H62">
        <v>11</v>
      </c>
      <c r="I62">
        <v>1</v>
      </c>
      <c r="J62">
        <v>3</v>
      </c>
      <c r="K62">
        <v>0</v>
      </c>
      <c r="L62">
        <v>1</v>
      </c>
      <c r="M62">
        <v>0</v>
      </c>
      <c r="N62">
        <v>4</v>
      </c>
      <c r="O62">
        <v>5</v>
      </c>
      <c r="P62">
        <v>0</v>
      </c>
      <c r="Q62">
        <v>7</v>
      </c>
      <c r="R62">
        <v>1</v>
      </c>
      <c r="S62">
        <v>35</v>
      </c>
      <c r="T62" t="s">
        <v>813</v>
      </c>
      <c r="U62" t="s">
        <v>180</v>
      </c>
      <c r="V62" t="s">
        <v>181</v>
      </c>
      <c r="W62" t="s">
        <v>200</v>
      </c>
    </row>
    <row r="63" spans="1:23" x14ac:dyDescent="0.25">
      <c r="A63" t="s">
        <v>201</v>
      </c>
      <c r="B63" t="s">
        <v>201</v>
      </c>
      <c r="C63">
        <v>1</v>
      </c>
      <c r="D63" s="4">
        <v>3</v>
      </c>
      <c r="E63">
        <v>30</v>
      </c>
      <c r="G63">
        <v>7</v>
      </c>
      <c r="H63">
        <v>13</v>
      </c>
      <c r="I63">
        <v>1</v>
      </c>
      <c r="J63">
        <v>0</v>
      </c>
      <c r="K63">
        <v>0</v>
      </c>
      <c r="L63">
        <v>2</v>
      </c>
      <c r="M63">
        <v>0</v>
      </c>
      <c r="N63">
        <v>1</v>
      </c>
      <c r="O63">
        <v>5</v>
      </c>
      <c r="P63">
        <v>0</v>
      </c>
      <c r="Q63">
        <v>6</v>
      </c>
      <c r="R63">
        <v>0</v>
      </c>
      <c r="S63">
        <v>35</v>
      </c>
      <c r="T63" t="s">
        <v>813</v>
      </c>
      <c r="U63" t="s">
        <v>180</v>
      </c>
      <c r="V63" t="s">
        <v>181</v>
      </c>
      <c r="W63" t="s">
        <v>202</v>
      </c>
    </row>
    <row r="64" spans="1:23" x14ac:dyDescent="0.25">
      <c r="A64" t="s">
        <v>203</v>
      </c>
      <c r="B64" t="s">
        <v>203</v>
      </c>
      <c r="C64">
        <v>2</v>
      </c>
      <c r="D64" s="4">
        <v>3</v>
      </c>
      <c r="E64">
        <v>8</v>
      </c>
      <c r="G64">
        <v>2</v>
      </c>
      <c r="H64">
        <v>13</v>
      </c>
      <c r="I64">
        <v>0</v>
      </c>
      <c r="J64">
        <v>0</v>
      </c>
      <c r="K64">
        <v>0</v>
      </c>
      <c r="L64">
        <v>3</v>
      </c>
      <c r="M64">
        <v>0</v>
      </c>
      <c r="N64">
        <v>3</v>
      </c>
      <c r="O64">
        <v>6</v>
      </c>
      <c r="P64">
        <v>2</v>
      </c>
      <c r="Q64">
        <v>7</v>
      </c>
      <c r="R64">
        <v>1</v>
      </c>
      <c r="S64">
        <v>37</v>
      </c>
      <c r="T64" t="s">
        <v>813</v>
      </c>
      <c r="U64" t="s">
        <v>180</v>
      </c>
      <c r="V64" t="s">
        <v>181</v>
      </c>
      <c r="W64" t="s">
        <v>204</v>
      </c>
    </row>
    <row r="65" spans="1:23" x14ac:dyDescent="0.25">
      <c r="A65" t="s">
        <v>205</v>
      </c>
      <c r="B65" t="s">
        <v>205</v>
      </c>
      <c r="C65">
        <v>247.5</v>
      </c>
      <c r="D65" s="4">
        <v>250</v>
      </c>
      <c r="E65">
        <v>810</v>
      </c>
      <c r="G65">
        <v>201</v>
      </c>
      <c r="H65">
        <v>304</v>
      </c>
      <c r="I65">
        <v>208</v>
      </c>
      <c r="J65">
        <v>394</v>
      </c>
      <c r="K65">
        <v>231</v>
      </c>
      <c r="L65">
        <v>236</v>
      </c>
      <c r="M65">
        <v>104</v>
      </c>
      <c r="N65">
        <v>260</v>
      </c>
      <c r="O65">
        <v>361</v>
      </c>
      <c r="P65">
        <v>168</v>
      </c>
      <c r="Q65">
        <v>270</v>
      </c>
      <c r="R65">
        <v>259</v>
      </c>
      <c r="S65">
        <v>2996</v>
      </c>
      <c r="T65" t="s">
        <v>813</v>
      </c>
      <c r="U65" t="s">
        <v>180</v>
      </c>
      <c r="V65" t="s">
        <v>206</v>
      </c>
      <c r="W65" t="s">
        <v>207</v>
      </c>
    </row>
    <row r="66" spans="1:23" x14ac:dyDescent="0.25">
      <c r="A66" t="s">
        <v>208</v>
      </c>
      <c r="B66" t="s">
        <v>208</v>
      </c>
      <c r="C66">
        <v>170</v>
      </c>
      <c r="D66" s="4">
        <v>190</v>
      </c>
      <c r="E66">
        <v>685</v>
      </c>
      <c r="F66">
        <v>150</v>
      </c>
      <c r="G66">
        <v>173</v>
      </c>
      <c r="H66">
        <v>180</v>
      </c>
      <c r="I66">
        <v>276</v>
      </c>
      <c r="J66">
        <v>149</v>
      </c>
      <c r="K66">
        <v>277</v>
      </c>
      <c r="L66">
        <v>167</v>
      </c>
      <c r="M66">
        <v>107</v>
      </c>
      <c r="N66">
        <v>131</v>
      </c>
      <c r="O66">
        <v>236</v>
      </c>
      <c r="P66">
        <v>167</v>
      </c>
      <c r="Q66">
        <v>167</v>
      </c>
      <c r="R66">
        <v>247</v>
      </c>
      <c r="S66">
        <v>2277</v>
      </c>
      <c r="T66" t="s">
        <v>813</v>
      </c>
      <c r="U66" t="s">
        <v>180</v>
      </c>
      <c r="V66" t="s">
        <v>206</v>
      </c>
      <c r="W66" t="s">
        <v>209</v>
      </c>
    </row>
    <row r="67" spans="1:23" x14ac:dyDescent="0.25">
      <c r="A67" t="s">
        <v>210</v>
      </c>
      <c r="B67" t="s">
        <v>210</v>
      </c>
      <c r="C67">
        <v>0</v>
      </c>
      <c r="D67" s="4">
        <v>1</v>
      </c>
      <c r="E67">
        <v>77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5</v>
      </c>
      <c r="R67">
        <v>1</v>
      </c>
      <c r="S67">
        <v>7</v>
      </c>
      <c r="T67" t="s">
        <v>813</v>
      </c>
      <c r="U67" t="s">
        <v>180</v>
      </c>
      <c r="V67" t="s">
        <v>206</v>
      </c>
      <c r="W67" t="s">
        <v>211</v>
      </c>
    </row>
    <row r="68" spans="1:23" x14ac:dyDescent="0.25">
      <c r="A68" t="s">
        <v>212</v>
      </c>
      <c r="B68" t="s">
        <v>212</v>
      </c>
      <c r="C68">
        <v>175.5</v>
      </c>
      <c r="D68" s="4">
        <v>185</v>
      </c>
      <c r="E68">
        <v>470</v>
      </c>
      <c r="F68">
        <v>50</v>
      </c>
      <c r="G68">
        <v>176</v>
      </c>
      <c r="H68">
        <v>154</v>
      </c>
      <c r="I68">
        <v>282</v>
      </c>
      <c r="J68">
        <v>175</v>
      </c>
      <c r="K68">
        <v>184</v>
      </c>
      <c r="L68">
        <v>205</v>
      </c>
      <c r="M68">
        <v>144</v>
      </c>
      <c r="N68">
        <v>135</v>
      </c>
      <c r="O68">
        <v>143</v>
      </c>
      <c r="P68">
        <v>103</v>
      </c>
      <c r="Q68">
        <v>205</v>
      </c>
      <c r="R68">
        <v>320</v>
      </c>
      <c r="S68">
        <v>2226</v>
      </c>
      <c r="T68" t="s">
        <v>813</v>
      </c>
      <c r="U68" t="s">
        <v>180</v>
      </c>
      <c r="V68" t="s">
        <v>206</v>
      </c>
      <c r="W68" t="s">
        <v>213</v>
      </c>
    </row>
    <row r="69" spans="1:23" x14ac:dyDescent="0.25">
      <c r="A69" t="s">
        <v>214</v>
      </c>
      <c r="B69" t="s">
        <v>214</v>
      </c>
      <c r="C69">
        <v>53</v>
      </c>
      <c r="D69" s="4">
        <v>62</v>
      </c>
      <c r="E69">
        <v>243</v>
      </c>
      <c r="F69">
        <v>50</v>
      </c>
      <c r="G69">
        <v>34</v>
      </c>
      <c r="H69">
        <v>50</v>
      </c>
      <c r="I69">
        <v>124</v>
      </c>
      <c r="J69">
        <v>125</v>
      </c>
      <c r="K69">
        <v>28</v>
      </c>
      <c r="L69">
        <v>36</v>
      </c>
      <c r="M69">
        <v>71</v>
      </c>
      <c r="N69">
        <v>69</v>
      </c>
      <c r="O69">
        <v>51</v>
      </c>
      <c r="P69">
        <v>62</v>
      </c>
      <c r="Q69">
        <v>38</v>
      </c>
      <c r="R69">
        <v>55</v>
      </c>
      <c r="S69">
        <v>743</v>
      </c>
      <c r="T69" t="s">
        <v>813</v>
      </c>
      <c r="U69" t="s">
        <v>180</v>
      </c>
      <c r="V69" t="s">
        <v>206</v>
      </c>
      <c r="W69" t="s">
        <v>215</v>
      </c>
    </row>
    <row r="70" spans="1:23" x14ac:dyDescent="0.25">
      <c r="A70" t="s">
        <v>224</v>
      </c>
      <c r="B70" t="s">
        <v>224</v>
      </c>
      <c r="C70">
        <v>2.5</v>
      </c>
      <c r="D70" s="4">
        <v>4</v>
      </c>
      <c r="E70">
        <v>189</v>
      </c>
      <c r="G70">
        <v>8</v>
      </c>
      <c r="H70">
        <v>14</v>
      </c>
      <c r="I70">
        <v>0</v>
      </c>
      <c r="J70">
        <v>3</v>
      </c>
      <c r="K70">
        <v>11</v>
      </c>
      <c r="L70">
        <v>1</v>
      </c>
      <c r="M70">
        <v>0</v>
      </c>
      <c r="N70">
        <v>2</v>
      </c>
      <c r="O70">
        <v>3</v>
      </c>
      <c r="P70">
        <v>1</v>
      </c>
      <c r="Q70">
        <v>5</v>
      </c>
      <c r="R70">
        <v>0</v>
      </c>
      <c r="S70">
        <v>48</v>
      </c>
      <c r="T70" t="s">
        <v>813</v>
      </c>
      <c r="U70" t="s">
        <v>180</v>
      </c>
      <c r="V70" t="s">
        <v>206</v>
      </c>
      <c r="W70" t="s">
        <v>225</v>
      </c>
    </row>
    <row r="71" spans="1:23" x14ac:dyDescent="0.25">
      <c r="A71" t="s">
        <v>226</v>
      </c>
      <c r="B71" t="s">
        <v>226</v>
      </c>
      <c r="C71">
        <v>1.5</v>
      </c>
      <c r="D71" s="4">
        <v>4</v>
      </c>
      <c r="E71">
        <v>72</v>
      </c>
      <c r="G71">
        <v>7</v>
      </c>
      <c r="H71">
        <v>11</v>
      </c>
      <c r="I71">
        <v>0</v>
      </c>
      <c r="J71">
        <v>1</v>
      </c>
      <c r="K71">
        <v>2</v>
      </c>
      <c r="L71">
        <v>3</v>
      </c>
      <c r="M71">
        <v>0</v>
      </c>
      <c r="N71">
        <v>0</v>
      </c>
      <c r="O71">
        <v>23</v>
      </c>
      <c r="P71">
        <v>0</v>
      </c>
      <c r="Q71">
        <v>5</v>
      </c>
      <c r="R71">
        <v>0</v>
      </c>
      <c r="S71">
        <v>52</v>
      </c>
      <c r="T71" t="s">
        <v>813</v>
      </c>
      <c r="U71" t="s">
        <v>180</v>
      </c>
      <c r="V71" t="s">
        <v>206</v>
      </c>
      <c r="W71" t="s">
        <v>227</v>
      </c>
    </row>
    <row r="72" spans="1:23" x14ac:dyDescent="0.25">
      <c r="A72" t="s">
        <v>228</v>
      </c>
      <c r="B72" t="s">
        <v>228</v>
      </c>
      <c r="C72">
        <v>0</v>
      </c>
      <c r="D72" s="3">
        <v>0</v>
      </c>
      <c r="E72">
        <v>48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813</v>
      </c>
      <c r="U72" t="s">
        <v>180</v>
      </c>
      <c r="V72" t="s">
        <v>206</v>
      </c>
      <c r="W72" t="s">
        <v>229</v>
      </c>
    </row>
    <row r="73" spans="1:23" x14ac:dyDescent="0.25">
      <c r="A73" t="s">
        <v>230</v>
      </c>
      <c r="B73" t="s">
        <v>230</v>
      </c>
      <c r="C73">
        <v>1</v>
      </c>
      <c r="D73" s="4">
        <v>2.7</v>
      </c>
      <c r="E73">
        <v>8</v>
      </c>
      <c r="G73">
        <v>7</v>
      </c>
      <c r="H73">
        <v>11</v>
      </c>
      <c r="I73">
        <v>0</v>
      </c>
      <c r="J73">
        <v>1</v>
      </c>
      <c r="K73">
        <v>0</v>
      </c>
      <c r="L73">
        <v>1</v>
      </c>
      <c r="M73">
        <v>0</v>
      </c>
      <c r="N73">
        <v>1</v>
      </c>
      <c r="O73">
        <v>6</v>
      </c>
      <c r="P73">
        <v>0</v>
      </c>
      <c r="Q73">
        <v>5</v>
      </c>
      <c r="R73">
        <v>0</v>
      </c>
      <c r="S73">
        <v>32</v>
      </c>
      <c r="T73" t="s">
        <v>813</v>
      </c>
      <c r="U73" t="s">
        <v>180</v>
      </c>
      <c r="V73" t="s">
        <v>206</v>
      </c>
      <c r="W73" t="s">
        <v>231</v>
      </c>
    </row>
    <row r="74" spans="1:23" x14ac:dyDescent="0.25">
      <c r="A74" t="s">
        <v>232</v>
      </c>
      <c r="B74" t="s">
        <v>232</v>
      </c>
      <c r="C74">
        <v>0.5</v>
      </c>
      <c r="D74" s="4">
        <v>1.3</v>
      </c>
      <c r="E74">
        <v>250</v>
      </c>
      <c r="G74">
        <v>0</v>
      </c>
      <c r="H74">
        <v>0</v>
      </c>
      <c r="I74">
        <v>2</v>
      </c>
      <c r="J74">
        <v>1</v>
      </c>
      <c r="K74">
        <v>1</v>
      </c>
      <c r="L74">
        <v>3</v>
      </c>
      <c r="M74">
        <v>0</v>
      </c>
      <c r="N74">
        <v>2</v>
      </c>
      <c r="O74">
        <v>6</v>
      </c>
      <c r="P74">
        <v>0</v>
      </c>
      <c r="Q74">
        <v>0</v>
      </c>
      <c r="R74">
        <v>0</v>
      </c>
      <c r="S74">
        <v>15</v>
      </c>
      <c r="T74" t="s">
        <v>813</v>
      </c>
      <c r="U74" t="s">
        <v>180</v>
      </c>
      <c r="V74" t="s">
        <v>206</v>
      </c>
      <c r="W74" t="s">
        <v>233</v>
      </c>
    </row>
    <row r="75" spans="1:23" x14ac:dyDescent="0.25">
      <c r="A75" t="s">
        <v>234</v>
      </c>
      <c r="B75" t="s">
        <v>234</v>
      </c>
      <c r="C75">
        <v>86.5</v>
      </c>
      <c r="D75" s="4">
        <v>95</v>
      </c>
      <c r="E75">
        <v>355</v>
      </c>
      <c r="F75">
        <v>50</v>
      </c>
      <c r="G75">
        <v>81</v>
      </c>
      <c r="H75">
        <v>53</v>
      </c>
      <c r="I75">
        <v>145</v>
      </c>
      <c r="J75">
        <v>92</v>
      </c>
      <c r="K75">
        <v>69</v>
      </c>
      <c r="L75">
        <v>106</v>
      </c>
      <c r="M75">
        <v>41</v>
      </c>
      <c r="N75">
        <v>107</v>
      </c>
      <c r="O75">
        <v>195</v>
      </c>
      <c r="P75">
        <v>79</v>
      </c>
      <c r="Q75">
        <v>76</v>
      </c>
      <c r="R75">
        <v>95</v>
      </c>
      <c r="S75">
        <v>1139</v>
      </c>
      <c r="T75" t="s">
        <v>813</v>
      </c>
      <c r="U75" t="s">
        <v>180</v>
      </c>
      <c r="V75" t="s">
        <v>235</v>
      </c>
      <c r="W75" t="s">
        <v>236</v>
      </c>
    </row>
    <row r="76" spans="1:23" x14ac:dyDescent="0.25">
      <c r="A76" t="s">
        <v>237</v>
      </c>
      <c r="B76" t="s">
        <v>237</v>
      </c>
      <c r="C76">
        <v>77</v>
      </c>
      <c r="D76" s="4">
        <v>82</v>
      </c>
      <c r="E76">
        <v>204</v>
      </c>
      <c r="F76">
        <v>50</v>
      </c>
      <c r="G76">
        <v>14</v>
      </c>
      <c r="H76">
        <v>47</v>
      </c>
      <c r="I76">
        <v>97</v>
      </c>
      <c r="J76">
        <v>87</v>
      </c>
      <c r="K76">
        <v>38</v>
      </c>
      <c r="L76">
        <v>152</v>
      </c>
      <c r="M76">
        <v>67</v>
      </c>
      <c r="N76">
        <v>58</v>
      </c>
      <c r="O76">
        <v>116</v>
      </c>
      <c r="P76">
        <v>65</v>
      </c>
      <c r="Q76">
        <v>144</v>
      </c>
      <c r="R76">
        <v>96</v>
      </c>
      <c r="S76">
        <v>981</v>
      </c>
      <c r="T76" t="s">
        <v>813</v>
      </c>
      <c r="U76" t="s">
        <v>180</v>
      </c>
      <c r="V76" t="s">
        <v>235</v>
      </c>
      <c r="W76" t="s">
        <v>238</v>
      </c>
    </row>
    <row r="77" spans="1:23" x14ac:dyDescent="0.25">
      <c r="A77" t="s">
        <v>239</v>
      </c>
      <c r="B77" t="s">
        <v>239</v>
      </c>
      <c r="C77">
        <v>55</v>
      </c>
      <c r="D77" s="3">
        <v>55</v>
      </c>
      <c r="E77">
        <v>248</v>
      </c>
      <c r="F77">
        <v>100</v>
      </c>
      <c r="G77">
        <v>37</v>
      </c>
      <c r="H77">
        <v>25</v>
      </c>
      <c r="I77">
        <v>65</v>
      </c>
      <c r="J77">
        <v>43</v>
      </c>
      <c r="K77">
        <v>43</v>
      </c>
      <c r="L77">
        <v>83</v>
      </c>
      <c r="M77">
        <v>74</v>
      </c>
      <c r="N77">
        <v>67</v>
      </c>
      <c r="O77">
        <v>80</v>
      </c>
      <c r="P77">
        <v>45</v>
      </c>
      <c r="Q77">
        <v>30</v>
      </c>
      <c r="R77">
        <v>92</v>
      </c>
      <c r="S77">
        <v>684</v>
      </c>
      <c r="T77" t="s">
        <v>813</v>
      </c>
      <c r="U77" t="s">
        <v>180</v>
      </c>
      <c r="V77" t="s">
        <v>235</v>
      </c>
      <c r="W77" t="s">
        <v>240</v>
      </c>
    </row>
    <row r="78" spans="1:23" x14ac:dyDescent="0.25">
      <c r="A78" t="s">
        <v>241</v>
      </c>
      <c r="B78" t="s">
        <v>241</v>
      </c>
      <c r="C78">
        <v>1.5</v>
      </c>
      <c r="D78" s="4">
        <v>2.6</v>
      </c>
      <c r="E78">
        <v>146</v>
      </c>
      <c r="G78">
        <v>1</v>
      </c>
      <c r="H78">
        <v>0</v>
      </c>
      <c r="I78">
        <v>0</v>
      </c>
      <c r="J78">
        <v>1</v>
      </c>
      <c r="K78">
        <v>2</v>
      </c>
      <c r="L78">
        <v>0</v>
      </c>
      <c r="M78">
        <v>0</v>
      </c>
      <c r="N78">
        <v>6</v>
      </c>
      <c r="O78">
        <v>6</v>
      </c>
      <c r="P78">
        <v>10</v>
      </c>
      <c r="Q78">
        <v>2</v>
      </c>
      <c r="R78">
        <v>4</v>
      </c>
      <c r="S78">
        <v>32</v>
      </c>
      <c r="T78" t="s">
        <v>813</v>
      </c>
      <c r="U78" t="s">
        <v>180</v>
      </c>
      <c r="V78" t="s">
        <v>235</v>
      </c>
      <c r="W78" t="s">
        <v>242</v>
      </c>
    </row>
    <row r="79" spans="1:23" x14ac:dyDescent="0.25">
      <c r="A79" t="s">
        <v>249</v>
      </c>
      <c r="B79" t="s">
        <v>249</v>
      </c>
      <c r="C79">
        <v>2.5</v>
      </c>
      <c r="D79" s="4">
        <v>6</v>
      </c>
      <c r="E79">
        <v>0</v>
      </c>
      <c r="G79">
        <v>0</v>
      </c>
      <c r="H79">
        <v>0</v>
      </c>
      <c r="I79">
        <v>4</v>
      </c>
      <c r="J79">
        <v>3</v>
      </c>
      <c r="K79">
        <v>2</v>
      </c>
      <c r="L79">
        <v>3</v>
      </c>
      <c r="M79">
        <v>8</v>
      </c>
      <c r="N79">
        <v>1</v>
      </c>
      <c r="O79">
        <v>0</v>
      </c>
      <c r="P79">
        <v>8</v>
      </c>
      <c r="Q79">
        <v>26</v>
      </c>
      <c r="R79">
        <v>0</v>
      </c>
      <c r="S79">
        <v>55</v>
      </c>
      <c r="T79" t="s">
        <v>813</v>
      </c>
      <c r="U79" t="s">
        <v>180</v>
      </c>
      <c r="V79" t="s">
        <v>235</v>
      </c>
      <c r="W79" t="s">
        <v>250</v>
      </c>
    </row>
    <row r="80" spans="1:23" x14ac:dyDescent="0.25">
      <c r="A80" t="s">
        <v>251</v>
      </c>
      <c r="B80" t="s">
        <v>251</v>
      </c>
      <c r="C80">
        <v>2</v>
      </c>
      <c r="D80" s="4">
        <v>4</v>
      </c>
      <c r="E80">
        <v>13</v>
      </c>
      <c r="G80">
        <v>10</v>
      </c>
      <c r="H80">
        <v>2</v>
      </c>
      <c r="I80">
        <v>5</v>
      </c>
      <c r="J80">
        <v>8</v>
      </c>
      <c r="K80">
        <v>10</v>
      </c>
      <c r="L80">
        <v>-1</v>
      </c>
      <c r="M80">
        <v>0</v>
      </c>
      <c r="N80">
        <v>1</v>
      </c>
      <c r="O80">
        <v>2</v>
      </c>
      <c r="P80">
        <v>1</v>
      </c>
      <c r="Q80">
        <v>7</v>
      </c>
      <c r="R80">
        <v>0</v>
      </c>
      <c r="S80">
        <v>45</v>
      </c>
      <c r="T80" t="s">
        <v>813</v>
      </c>
      <c r="U80" t="s">
        <v>180</v>
      </c>
      <c r="V80" t="s">
        <v>235</v>
      </c>
      <c r="W80" t="s">
        <v>252</v>
      </c>
    </row>
    <row r="81" spans="1:23" x14ac:dyDescent="0.25">
      <c r="A81" t="s">
        <v>253</v>
      </c>
      <c r="B81" t="s">
        <v>253</v>
      </c>
      <c r="C81">
        <v>3</v>
      </c>
      <c r="D81" s="4">
        <v>6</v>
      </c>
      <c r="E81">
        <v>25</v>
      </c>
      <c r="G81">
        <v>0</v>
      </c>
      <c r="H81">
        <v>3</v>
      </c>
      <c r="I81">
        <v>5</v>
      </c>
      <c r="J81">
        <v>0</v>
      </c>
      <c r="K81">
        <v>10</v>
      </c>
      <c r="L81">
        <v>1</v>
      </c>
      <c r="M81">
        <v>9</v>
      </c>
      <c r="N81">
        <v>3</v>
      </c>
      <c r="O81">
        <v>16</v>
      </c>
      <c r="P81">
        <v>0</v>
      </c>
      <c r="Q81">
        <v>0</v>
      </c>
      <c r="R81">
        <v>10</v>
      </c>
      <c r="S81">
        <v>57</v>
      </c>
      <c r="T81" t="s">
        <v>813</v>
      </c>
      <c r="U81" t="s">
        <v>180</v>
      </c>
      <c r="V81" t="s">
        <v>235</v>
      </c>
      <c r="W81" t="s">
        <v>254</v>
      </c>
    </row>
    <row r="82" spans="1:23" x14ac:dyDescent="0.25">
      <c r="A82" t="s">
        <v>255</v>
      </c>
      <c r="B82" t="s">
        <v>255</v>
      </c>
      <c r="C82">
        <v>5</v>
      </c>
      <c r="D82" s="4">
        <v>8</v>
      </c>
      <c r="E82">
        <v>49</v>
      </c>
      <c r="G82">
        <v>10</v>
      </c>
      <c r="H82">
        <v>10</v>
      </c>
      <c r="I82">
        <v>26</v>
      </c>
      <c r="J82">
        <v>0</v>
      </c>
      <c r="K82">
        <v>0</v>
      </c>
      <c r="L82">
        <v>0</v>
      </c>
      <c r="M82">
        <v>0</v>
      </c>
      <c r="N82">
        <v>0</v>
      </c>
      <c r="O82">
        <v>13</v>
      </c>
      <c r="P82">
        <v>18</v>
      </c>
      <c r="Q82">
        <v>0</v>
      </c>
      <c r="R82">
        <v>20</v>
      </c>
      <c r="S82">
        <v>97</v>
      </c>
      <c r="T82" t="s">
        <v>813</v>
      </c>
      <c r="U82" t="s">
        <v>180</v>
      </c>
      <c r="V82" t="s">
        <v>256</v>
      </c>
      <c r="W82" t="s">
        <v>257</v>
      </c>
    </row>
    <row r="83" spans="1:23" x14ac:dyDescent="0.25">
      <c r="A83" t="s">
        <v>258</v>
      </c>
      <c r="B83" t="s">
        <v>258</v>
      </c>
      <c r="C83">
        <v>0</v>
      </c>
      <c r="D83" s="4">
        <v>0.1</v>
      </c>
      <c r="E83">
        <v>39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 t="s">
        <v>813</v>
      </c>
      <c r="U83" t="s">
        <v>180</v>
      </c>
      <c r="V83" t="s">
        <v>256</v>
      </c>
      <c r="W83" t="s">
        <v>259</v>
      </c>
    </row>
    <row r="84" spans="1:23" x14ac:dyDescent="0.25">
      <c r="A84" t="s">
        <v>260</v>
      </c>
      <c r="B84" t="s">
        <v>260</v>
      </c>
      <c r="C84">
        <v>0</v>
      </c>
      <c r="D84" s="4">
        <v>7</v>
      </c>
      <c r="E84">
        <v>27</v>
      </c>
      <c r="F84">
        <v>20</v>
      </c>
      <c r="G84">
        <v>27</v>
      </c>
      <c r="H84">
        <v>0</v>
      </c>
      <c r="I84">
        <v>0</v>
      </c>
      <c r="J84">
        <v>0</v>
      </c>
      <c r="K84">
        <v>10</v>
      </c>
      <c r="L84">
        <v>0</v>
      </c>
      <c r="M84">
        <v>0</v>
      </c>
      <c r="N84">
        <v>0</v>
      </c>
      <c r="O84">
        <v>18</v>
      </c>
      <c r="P84">
        <v>15</v>
      </c>
      <c r="Q84">
        <v>0</v>
      </c>
      <c r="R84">
        <v>10</v>
      </c>
      <c r="S84">
        <v>80</v>
      </c>
      <c r="T84" t="s">
        <v>813</v>
      </c>
      <c r="U84" t="s">
        <v>180</v>
      </c>
      <c r="V84" t="s">
        <v>256</v>
      </c>
      <c r="W84" t="s">
        <v>261</v>
      </c>
    </row>
    <row r="85" spans="1:23" x14ac:dyDescent="0.25">
      <c r="A85" t="s">
        <v>264</v>
      </c>
      <c r="B85" t="s">
        <v>264</v>
      </c>
      <c r="C85">
        <v>10</v>
      </c>
      <c r="D85" s="3">
        <v>10</v>
      </c>
      <c r="E85">
        <v>44</v>
      </c>
      <c r="G85">
        <v>14</v>
      </c>
      <c r="H85">
        <v>10</v>
      </c>
      <c r="I85">
        <v>0</v>
      </c>
      <c r="J85">
        <v>12</v>
      </c>
      <c r="K85">
        <v>4</v>
      </c>
      <c r="L85">
        <v>20</v>
      </c>
      <c r="M85">
        <v>2</v>
      </c>
      <c r="N85">
        <v>0</v>
      </c>
      <c r="O85">
        <v>24</v>
      </c>
      <c r="P85">
        <v>0</v>
      </c>
      <c r="Q85">
        <v>10</v>
      </c>
      <c r="R85">
        <v>19</v>
      </c>
      <c r="S85">
        <v>115</v>
      </c>
      <c r="T85" t="s">
        <v>813</v>
      </c>
      <c r="U85" t="s">
        <v>180</v>
      </c>
      <c r="V85" t="s">
        <v>256</v>
      </c>
      <c r="W85" t="s">
        <v>265</v>
      </c>
    </row>
    <row r="86" spans="1:23" x14ac:dyDescent="0.25">
      <c r="A86" t="s">
        <v>266</v>
      </c>
      <c r="B86" t="s">
        <v>266</v>
      </c>
      <c r="C86">
        <v>1.5</v>
      </c>
      <c r="D86" s="4">
        <v>3</v>
      </c>
      <c r="E86">
        <v>26</v>
      </c>
      <c r="G86">
        <v>4</v>
      </c>
      <c r="H86">
        <v>0</v>
      </c>
      <c r="I86">
        <v>3</v>
      </c>
      <c r="J86">
        <v>2</v>
      </c>
      <c r="K86">
        <v>5</v>
      </c>
      <c r="L86">
        <v>10</v>
      </c>
      <c r="M86">
        <v>0</v>
      </c>
      <c r="N86">
        <v>1</v>
      </c>
      <c r="O86">
        <v>9</v>
      </c>
      <c r="P86">
        <v>0</v>
      </c>
      <c r="Q86">
        <v>0</v>
      </c>
      <c r="R86">
        <v>0</v>
      </c>
      <c r="S86">
        <v>34</v>
      </c>
      <c r="T86" t="s">
        <v>813</v>
      </c>
      <c r="U86" t="s">
        <v>180</v>
      </c>
      <c r="V86" t="s">
        <v>256</v>
      </c>
      <c r="W86" t="s">
        <v>267</v>
      </c>
    </row>
    <row r="87" spans="1:23" x14ac:dyDescent="0.25">
      <c r="A87" t="s">
        <v>268</v>
      </c>
      <c r="B87" t="s">
        <v>268</v>
      </c>
      <c r="C87">
        <v>0</v>
      </c>
      <c r="D87" s="4">
        <v>2.2999999999999998</v>
      </c>
      <c r="E87">
        <v>20</v>
      </c>
      <c r="G87">
        <v>10</v>
      </c>
      <c r="H87">
        <v>0</v>
      </c>
      <c r="I87">
        <v>0</v>
      </c>
      <c r="J87">
        <v>0</v>
      </c>
      <c r="K87">
        <v>0</v>
      </c>
      <c r="L87">
        <v>5</v>
      </c>
      <c r="M87">
        <v>0</v>
      </c>
      <c r="N87">
        <v>1</v>
      </c>
      <c r="O87">
        <v>10</v>
      </c>
      <c r="P87">
        <v>0</v>
      </c>
      <c r="Q87">
        <v>0</v>
      </c>
      <c r="R87">
        <v>1</v>
      </c>
      <c r="S87">
        <v>27</v>
      </c>
      <c r="T87" t="s">
        <v>813</v>
      </c>
      <c r="U87" t="s">
        <v>180</v>
      </c>
      <c r="V87" t="s">
        <v>256</v>
      </c>
      <c r="W87" t="s">
        <v>269</v>
      </c>
    </row>
    <row r="88" spans="1:23" x14ac:dyDescent="0.25">
      <c r="A88" t="s">
        <v>270</v>
      </c>
      <c r="B88" t="s">
        <v>270</v>
      </c>
      <c r="C88">
        <v>18</v>
      </c>
      <c r="D88" s="4">
        <v>28</v>
      </c>
      <c r="E88">
        <v>145</v>
      </c>
      <c r="F88">
        <v>100</v>
      </c>
      <c r="G88">
        <v>10</v>
      </c>
      <c r="H88">
        <v>23</v>
      </c>
      <c r="I88">
        <v>13</v>
      </c>
      <c r="J88">
        <v>59</v>
      </c>
      <c r="K88">
        <v>26</v>
      </c>
      <c r="L88">
        <v>13</v>
      </c>
      <c r="M88">
        <v>10</v>
      </c>
      <c r="N88">
        <v>10</v>
      </c>
      <c r="O88">
        <v>53</v>
      </c>
      <c r="P88">
        <v>53</v>
      </c>
      <c r="Q88">
        <v>40</v>
      </c>
      <c r="R88">
        <v>12</v>
      </c>
      <c r="S88">
        <v>322</v>
      </c>
      <c r="T88" t="s">
        <v>813</v>
      </c>
      <c r="U88" t="s">
        <v>180</v>
      </c>
      <c r="V88" t="s">
        <v>256</v>
      </c>
      <c r="W88" t="s">
        <v>271</v>
      </c>
    </row>
    <row r="89" spans="1:23" x14ac:dyDescent="0.25">
      <c r="A89" t="s">
        <v>274</v>
      </c>
      <c r="B89" t="s">
        <v>274</v>
      </c>
      <c r="C89">
        <v>13.5</v>
      </c>
      <c r="D89" s="4">
        <v>28</v>
      </c>
      <c r="E89">
        <v>215</v>
      </c>
      <c r="F89">
        <v>100</v>
      </c>
      <c r="G89">
        <v>0</v>
      </c>
      <c r="H89">
        <v>0</v>
      </c>
      <c r="I89">
        <v>0</v>
      </c>
      <c r="J89">
        <v>36</v>
      </c>
      <c r="K89">
        <v>22</v>
      </c>
      <c r="L89">
        <v>50</v>
      </c>
      <c r="M89">
        <v>12</v>
      </c>
      <c r="N89">
        <v>10</v>
      </c>
      <c r="O89">
        <v>88</v>
      </c>
      <c r="P89">
        <v>20</v>
      </c>
      <c r="Q89">
        <v>5</v>
      </c>
      <c r="R89">
        <v>15</v>
      </c>
      <c r="S89">
        <v>258</v>
      </c>
      <c r="T89" t="s">
        <v>813</v>
      </c>
      <c r="U89" t="s">
        <v>180</v>
      </c>
      <c r="V89" t="s">
        <v>256</v>
      </c>
      <c r="W89" t="s">
        <v>275</v>
      </c>
    </row>
    <row r="90" spans="1:23" x14ac:dyDescent="0.25">
      <c r="A90" t="s">
        <v>276</v>
      </c>
      <c r="B90" t="s">
        <v>276</v>
      </c>
      <c r="C90">
        <v>0</v>
      </c>
      <c r="D90" s="4">
        <v>0.2</v>
      </c>
      <c r="E90">
        <v>18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1</v>
      </c>
      <c r="Q90">
        <v>0</v>
      </c>
      <c r="R90">
        <v>0</v>
      </c>
      <c r="S90">
        <v>2</v>
      </c>
      <c r="T90" t="s">
        <v>813</v>
      </c>
      <c r="U90" t="s">
        <v>180</v>
      </c>
      <c r="V90" t="s">
        <v>256</v>
      </c>
      <c r="W90" t="s">
        <v>277</v>
      </c>
    </row>
    <row r="91" spans="1:23" x14ac:dyDescent="0.25">
      <c r="A91" t="s">
        <v>278</v>
      </c>
      <c r="B91" t="s">
        <v>278</v>
      </c>
      <c r="C91">
        <v>4</v>
      </c>
      <c r="D91" s="4">
        <v>12</v>
      </c>
      <c r="E91">
        <v>105</v>
      </c>
      <c r="G91">
        <v>0</v>
      </c>
      <c r="H91">
        <v>0</v>
      </c>
      <c r="I91">
        <v>0</v>
      </c>
      <c r="J91">
        <v>29</v>
      </c>
      <c r="K91">
        <v>4</v>
      </c>
      <c r="L91">
        <v>4</v>
      </c>
      <c r="M91">
        <v>18</v>
      </c>
      <c r="N91">
        <v>0</v>
      </c>
      <c r="O91">
        <v>69</v>
      </c>
      <c r="P91">
        <v>5</v>
      </c>
      <c r="Q91">
        <v>5</v>
      </c>
      <c r="R91">
        <v>0</v>
      </c>
      <c r="S91">
        <v>134</v>
      </c>
      <c r="T91" t="s">
        <v>813</v>
      </c>
      <c r="U91" t="s">
        <v>180</v>
      </c>
      <c r="V91" t="s">
        <v>256</v>
      </c>
      <c r="W91" t="s">
        <v>279</v>
      </c>
    </row>
    <row r="92" spans="1:23" x14ac:dyDescent="0.25">
      <c r="A92" t="s">
        <v>280</v>
      </c>
      <c r="B92" t="s">
        <v>280</v>
      </c>
      <c r="C92">
        <v>1</v>
      </c>
      <c r="D92" s="4">
        <v>1.3</v>
      </c>
      <c r="E92">
        <v>0</v>
      </c>
      <c r="G92">
        <v>0</v>
      </c>
      <c r="H92">
        <v>1</v>
      </c>
      <c r="I92">
        <v>1</v>
      </c>
      <c r="J92">
        <v>0</v>
      </c>
      <c r="K92">
        <v>3</v>
      </c>
      <c r="L92">
        <v>1</v>
      </c>
      <c r="M92">
        <v>2</v>
      </c>
      <c r="N92">
        <v>0</v>
      </c>
      <c r="O92">
        <v>2</v>
      </c>
      <c r="P92">
        <v>1</v>
      </c>
      <c r="Q92">
        <v>3</v>
      </c>
      <c r="R92">
        <v>0</v>
      </c>
      <c r="S92">
        <v>14</v>
      </c>
      <c r="T92" t="s">
        <v>813</v>
      </c>
      <c r="U92" t="s">
        <v>180</v>
      </c>
      <c r="V92" t="s">
        <v>281</v>
      </c>
      <c r="W92" t="s">
        <v>282</v>
      </c>
    </row>
    <row r="93" spans="1:23" x14ac:dyDescent="0.25">
      <c r="A93" t="s">
        <v>283</v>
      </c>
      <c r="B93" t="s">
        <v>283</v>
      </c>
      <c r="C93">
        <v>1</v>
      </c>
      <c r="D93" s="4">
        <v>2.2999999999999998</v>
      </c>
      <c r="E93">
        <v>35</v>
      </c>
      <c r="G93">
        <v>12</v>
      </c>
      <c r="H93">
        <v>0</v>
      </c>
      <c r="I93">
        <v>0</v>
      </c>
      <c r="J93">
        <v>0</v>
      </c>
      <c r="K93">
        <v>5</v>
      </c>
      <c r="L93">
        <v>0</v>
      </c>
      <c r="M93">
        <v>2</v>
      </c>
      <c r="N93">
        <v>1</v>
      </c>
      <c r="O93">
        <v>1</v>
      </c>
      <c r="P93">
        <v>2</v>
      </c>
      <c r="Q93">
        <v>2</v>
      </c>
      <c r="R93">
        <v>1</v>
      </c>
      <c r="S93">
        <v>26</v>
      </c>
      <c r="T93" t="s">
        <v>813</v>
      </c>
      <c r="U93" t="s">
        <v>180</v>
      </c>
      <c r="V93" t="s">
        <v>281</v>
      </c>
      <c r="W93" t="s">
        <v>284</v>
      </c>
    </row>
    <row r="94" spans="1:23" x14ac:dyDescent="0.25">
      <c r="A94" t="s">
        <v>285</v>
      </c>
      <c r="B94" t="s">
        <v>285</v>
      </c>
      <c r="C94">
        <v>0</v>
      </c>
      <c r="D94" s="4">
        <v>0.75</v>
      </c>
      <c r="E94">
        <v>20</v>
      </c>
      <c r="G94">
        <v>2</v>
      </c>
      <c r="H94">
        <v>3</v>
      </c>
      <c r="I94">
        <v>0</v>
      </c>
      <c r="J94">
        <v>0</v>
      </c>
      <c r="K94">
        <v>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9</v>
      </c>
      <c r="T94" t="s">
        <v>813</v>
      </c>
      <c r="U94" t="s">
        <v>180</v>
      </c>
      <c r="V94" t="s">
        <v>281</v>
      </c>
      <c r="W94" t="s">
        <v>286</v>
      </c>
    </row>
    <row r="95" spans="1:23" x14ac:dyDescent="0.25">
      <c r="A95" t="s">
        <v>293</v>
      </c>
      <c r="B95" t="s">
        <v>293</v>
      </c>
      <c r="C95">
        <v>15.5</v>
      </c>
      <c r="D95" s="4">
        <v>25</v>
      </c>
      <c r="E95">
        <v>107</v>
      </c>
      <c r="G95">
        <v>53</v>
      </c>
      <c r="H95">
        <v>3</v>
      </c>
      <c r="I95">
        <v>15</v>
      </c>
      <c r="J95">
        <v>48</v>
      </c>
      <c r="K95">
        <v>17</v>
      </c>
      <c r="L95">
        <v>11</v>
      </c>
      <c r="M95">
        <v>5</v>
      </c>
      <c r="N95">
        <v>3</v>
      </c>
      <c r="O95">
        <v>91</v>
      </c>
      <c r="P95">
        <v>8</v>
      </c>
      <c r="Q95">
        <v>31</v>
      </c>
      <c r="R95">
        <v>16</v>
      </c>
      <c r="S95">
        <v>301</v>
      </c>
      <c r="T95" t="s">
        <v>813</v>
      </c>
      <c r="U95" t="s">
        <v>294</v>
      </c>
      <c r="V95" t="s">
        <v>295</v>
      </c>
      <c r="W95" t="s">
        <v>296</v>
      </c>
    </row>
    <row r="96" spans="1:23" x14ac:dyDescent="0.25">
      <c r="A96" t="s">
        <v>297</v>
      </c>
      <c r="B96" t="s">
        <v>297</v>
      </c>
      <c r="C96">
        <v>72.5</v>
      </c>
      <c r="D96" s="4">
        <v>75</v>
      </c>
      <c r="E96">
        <v>387</v>
      </c>
      <c r="F96">
        <v>50</v>
      </c>
      <c r="G96">
        <v>58</v>
      </c>
      <c r="H96">
        <v>166</v>
      </c>
      <c r="I96">
        <v>69</v>
      </c>
      <c r="J96">
        <v>86</v>
      </c>
      <c r="K96">
        <v>38</v>
      </c>
      <c r="L96">
        <v>91</v>
      </c>
      <c r="M96">
        <v>53</v>
      </c>
      <c r="N96">
        <v>81</v>
      </c>
      <c r="O96">
        <v>93</v>
      </c>
      <c r="P96">
        <v>74</v>
      </c>
      <c r="Q96">
        <v>11</v>
      </c>
      <c r="R96">
        <v>71</v>
      </c>
      <c r="S96">
        <v>891</v>
      </c>
      <c r="T96" t="s">
        <v>813</v>
      </c>
      <c r="U96" t="s">
        <v>294</v>
      </c>
      <c r="V96" t="s">
        <v>295</v>
      </c>
      <c r="W96" t="s">
        <v>298</v>
      </c>
    </row>
    <row r="97" spans="1:23" x14ac:dyDescent="0.25">
      <c r="A97" t="s">
        <v>299</v>
      </c>
      <c r="B97" t="s">
        <v>299</v>
      </c>
      <c r="C97">
        <v>19</v>
      </c>
      <c r="D97" s="4">
        <v>25</v>
      </c>
      <c r="E97">
        <v>139</v>
      </c>
      <c r="G97">
        <v>0</v>
      </c>
      <c r="H97">
        <v>60</v>
      </c>
      <c r="I97">
        <v>53</v>
      </c>
      <c r="J97">
        <v>59</v>
      </c>
      <c r="K97">
        <v>18</v>
      </c>
      <c r="L97">
        <v>3</v>
      </c>
      <c r="M97">
        <v>9</v>
      </c>
      <c r="N97">
        <v>20</v>
      </c>
      <c r="O97">
        <v>35</v>
      </c>
      <c r="P97">
        <v>3</v>
      </c>
      <c r="Q97">
        <v>2</v>
      </c>
      <c r="R97">
        <v>40</v>
      </c>
      <c r="S97">
        <v>302</v>
      </c>
      <c r="T97" t="s">
        <v>813</v>
      </c>
      <c r="U97" t="s">
        <v>294</v>
      </c>
      <c r="V97" t="s">
        <v>295</v>
      </c>
      <c r="W97" t="s">
        <v>300</v>
      </c>
    </row>
    <row r="98" spans="1:23" x14ac:dyDescent="0.25">
      <c r="A98" t="s">
        <v>301</v>
      </c>
      <c r="B98" t="s">
        <v>301</v>
      </c>
      <c r="C98">
        <v>0</v>
      </c>
      <c r="D98" s="4">
        <v>1.7</v>
      </c>
      <c r="E98">
        <v>218</v>
      </c>
      <c r="G98">
        <v>0</v>
      </c>
      <c r="H98">
        <v>0</v>
      </c>
      <c r="I98">
        <v>20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20</v>
      </c>
      <c r="T98" t="s">
        <v>813</v>
      </c>
      <c r="U98" t="s">
        <v>294</v>
      </c>
      <c r="V98" t="s">
        <v>295</v>
      </c>
      <c r="W98" t="s">
        <v>302</v>
      </c>
    </row>
    <row r="99" spans="1:23" x14ac:dyDescent="0.25">
      <c r="A99" t="s">
        <v>303</v>
      </c>
      <c r="B99" t="s">
        <v>303</v>
      </c>
      <c r="C99">
        <v>0</v>
      </c>
      <c r="D99" s="4">
        <v>5</v>
      </c>
      <c r="E99">
        <v>333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5</v>
      </c>
      <c r="Q99">
        <v>0</v>
      </c>
      <c r="R99">
        <v>50</v>
      </c>
      <c r="S99">
        <v>55</v>
      </c>
      <c r="T99" t="s">
        <v>813</v>
      </c>
      <c r="U99" t="s">
        <v>294</v>
      </c>
      <c r="V99" t="s">
        <v>295</v>
      </c>
      <c r="W99" t="s">
        <v>304</v>
      </c>
    </row>
    <row r="100" spans="1:23" x14ac:dyDescent="0.25">
      <c r="A100" t="s">
        <v>305</v>
      </c>
      <c r="B100" t="s">
        <v>305</v>
      </c>
      <c r="C100">
        <v>0</v>
      </c>
      <c r="D100" s="4">
        <v>0.5</v>
      </c>
      <c r="E100">
        <v>182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5</v>
      </c>
      <c r="Q100">
        <v>0</v>
      </c>
      <c r="R100">
        <v>0</v>
      </c>
      <c r="S100">
        <v>5</v>
      </c>
      <c r="T100" t="s">
        <v>813</v>
      </c>
      <c r="U100" t="s">
        <v>294</v>
      </c>
      <c r="V100" t="s">
        <v>295</v>
      </c>
      <c r="W100" t="s">
        <v>306</v>
      </c>
    </row>
    <row r="101" spans="1:23" x14ac:dyDescent="0.25">
      <c r="A101" t="s">
        <v>307</v>
      </c>
      <c r="B101" t="s">
        <v>307</v>
      </c>
      <c r="C101">
        <v>18.5</v>
      </c>
      <c r="D101" s="3">
        <v>18.5</v>
      </c>
      <c r="E101">
        <v>99</v>
      </c>
      <c r="F101">
        <v>50</v>
      </c>
      <c r="G101">
        <v>3</v>
      </c>
      <c r="H101">
        <v>22</v>
      </c>
      <c r="I101">
        <v>25</v>
      </c>
      <c r="J101">
        <v>20</v>
      </c>
      <c r="K101">
        <v>0</v>
      </c>
      <c r="L101">
        <v>6</v>
      </c>
      <c r="M101">
        <v>3</v>
      </c>
      <c r="N101">
        <v>17</v>
      </c>
      <c r="O101">
        <v>56</v>
      </c>
      <c r="P101">
        <v>25</v>
      </c>
      <c r="Q101">
        <v>33</v>
      </c>
      <c r="R101">
        <v>1</v>
      </c>
      <c r="S101">
        <v>211</v>
      </c>
      <c r="T101" t="s">
        <v>813</v>
      </c>
      <c r="U101" t="s">
        <v>294</v>
      </c>
      <c r="V101" t="s">
        <v>308</v>
      </c>
      <c r="W101" t="s">
        <v>309</v>
      </c>
    </row>
    <row r="102" spans="1:23" x14ac:dyDescent="0.25">
      <c r="A102" t="s">
        <v>310</v>
      </c>
      <c r="B102" t="s">
        <v>310</v>
      </c>
      <c r="C102">
        <v>0</v>
      </c>
      <c r="D102" s="4">
        <v>0.5</v>
      </c>
      <c r="E102">
        <v>139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5</v>
      </c>
      <c r="P102">
        <v>0</v>
      </c>
      <c r="Q102">
        <v>0</v>
      </c>
      <c r="R102">
        <v>0</v>
      </c>
      <c r="S102">
        <v>6</v>
      </c>
      <c r="T102" t="s">
        <v>813</v>
      </c>
      <c r="U102" t="s">
        <v>294</v>
      </c>
      <c r="V102" t="s">
        <v>308</v>
      </c>
      <c r="W102" t="s">
        <v>311</v>
      </c>
    </row>
    <row r="103" spans="1:23" x14ac:dyDescent="0.25">
      <c r="A103" t="s">
        <v>320</v>
      </c>
      <c r="B103" t="s">
        <v>320</v>
      </c>
      <c r="C103">
        <v>0</v>
      </c>
      <c r="D103" s="3">
        <v>0</v>
      </c>
      <c r="E103">
        <v>10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813</v>
      </c>
      <c r="U103" t="s">
        <v>317</v>
      </c>
      <c r="V103" t="s">
        <v>318</v>
      </c>
      <c r="W103" t="s">
        <v>319</v>
      </c>
    </row>
    <row r="104" spans="1:23" x14ac:dyDescent="0.25">
      <c r="A104" t="s">
        <v>324</v>
      </c>
      <c r="B104" t="s">
        <v>324</v>
      </c>
      <c r="C104">
        <v>0</v>
      </c>
      <c r="D104" s="3">
        <v>0</v>
      </c>
      <c r="E104">
        <v>10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813</v>
      </c>
      <c r="U104" t="s">
        <v>317</v>
      </c>
      <c r="V104" t="s">
        <v>325</v>
      </c>
      <c r="W104" t="s">
        <v>326</v>
      </c>
    </row>
    <row r="105" spans="1:23" x14ac:dyDescent="0.25">
      <c r="A105" t="s">
        <v>335</v>
      </c>
      <c r="B105" t="s">
        <v>335</v>
      </c>
      <c r="C105">
        <v>0</v>
      </c>
      <c r="D105" s="4">
        <v>1</v>
      </c>
      <c r="E105">
        <v>46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2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6</v>
      </c>
      <c r="T105" t="s">
        <v>813</v>
      </c>
      <c r="U105" t="s">
        <v>336</v>
      </c>
      <c r="V105" t="s">
        <v>337</v>
      </c>
      <c r="W105" t="s">
        <v>338</v>
      </c>
    </row>
    <row r="106" spans="1:23" x14ac:dyDescent="0.25">
      <c r="A106" t="s">
        <v>339</v>
      </c>
      <c r="B106" t="s">
        <v>339</v>
      </c>
      <c r="C106">
        <v>0</v>
      </c>
      <c r="D106" s="4">
        <v>1</v>
      </c>
      <c r="E106">
        <v>45</v>
      </c>
      <c r="G106">
        <v>0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3</v>
      </c>
      <c r="S106">
        <v>7</v>
      </c>
      <c r="T106" t="s">
        <v>813</v>
      </c>
      <c r="U106" t="s">
        <v>336</v>
      </c>
      <c r="V106" t="s">
        <v>337</v>
      </c>
      <c r="W106" t="s">
        <v>340</v>
      </c>
    </row>
    <row r="107" spans="1:23" x14ac:dyDescent="0.25">
      <c r="A107" t="s">
        <v>341</v>
      </c>
      <c r="B107" t="s">
        <v>341</v>
      </c>
      <c r="C107">
        <v>0</v>
      </c>
      <c r="D107" s="4">
        <v>1</v>
      </c>
      <c r="E107">
        <v>12</v>
      </c>
      <c r="G107">
        <v>0</v>
      </c>
      <c r="H107">
        <v>0</v>
      </c>
      <c r="I107">
        <v>0</v>
      </c>
      <c r="J107">
        <v>4</v>
      </c>
      <c r="K107">
        <v>2</v>
      </c>
      <c r="L107">
        <v>0</v>
      </c>
      <c r="M107">
        <v>2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10</v>
      </c>
      <c r="T107" t="s">
        <v>813</v>
      </c>
      <c r="U107" t="s">
        <v>336</v>
      </c>
      <c r="V107" t="s">
        <v>337</v>
      </c>
      <c r="W107" t="s">
        <v>342</v>
      </c>
    </row>
    <row r="108" spans="1:23" x14ac:dyDescent="0.25">
      <c r="A108" t="s">
        <v>343</v>
      </c>
      <c r="B108" t="s">
        <v>343</v>
      </c>
      <c r="C108">
        <v>121</v>
      </c>
      <c r="D108" s="4">
        <v>132</v>
      </c>
      <c r="E108">
        <v>505</v>
      </c>
      <c r="F108">
        <v>150</v>
      </c>
      <c r="G108">
        <v>101</v>
      </c>
      <c r="H108">
        <v>188</v>
      </c>
      <c r="I108">
        <v>78</v>
      </c>
      <c r="J108">
        <v>223</v>
      </c>
      <c r="K108">
        <v>176</v>
      </c>
      <c r="L108">
        <v>66</v>
      </c>
      <c r="M108">
        <v>130</v>
      </c>
      <c r="N108">
        <v>88</v>
      </c>
      <c r="O108">
        <v>112</v>
      </c>
      <c r="P108">
        <v>195</v>
      </c>
      <c r="Q108">
        <v>87</v>
      </c>
      <c r="R108">
        <v>137</v>
      </c>
      <c r="S108">
        <v>1581</v>
      </c>
      <c r="T108" t="s">
        <v>813</v>
      </c>
      <c r="U108" t="s">
        <v>336</v>
      </c>
      <c r="V108" t="s">
        <v>337</v>
      </c>
      <c r="W108" t="s">
        <v>344</v>
      </c>
    </row>
    <row r="109" spans="1:23" x14ac:dyDescent="0.25">
      <c r="A109" t="s">
        <v>345</v>
      </c>
      <c r="B109" t="s">
        <v>345</v>
      </c>
      <c r="C109">
        <v>75</v>
      </c>
      <c r="D109" s="4">
        <v>80</v>
      </c>
      <c r="E109">
        <v>529</v>
      </c>
      <c r="F109">
        <v>300</v>
      </c>
      <c r="G109">
        <v>67</v>
      </c>
      <c r="H109">
        <v>11</v>
      </c>
      <c r="I109">
        <v>5</v>
      </c>
      <c r="J109">
        <v>0</v>
      </c>
      <c r="K109">
        <v>246</v>
      </c>
      <c r="L109">
        <v>122</v>
      </c>
      <c r="M109">
        <v>89</v>
      </c>
      <c r="N109">
        <v>106</v>
      </c>
      <c r="O109">
        <v>41</v>
      </c>
      <c r="P109">
        <v>146</v>
      </c>
      <c r="Q109">
        <v>83</v>
      </c>
      <c r="R109">
        <v>21</v>
      </c>
      <c r="S109">
        <v>937</v>
      </c>
      <c r="T109" t="s">
        <v>813</v>
      </c>
      <c r="U109" t="s">
        <v>336</v>
      </c>
      <c r="V109" t="s">
        <v>337</v>
      </c>
      <c r="W109" t="s">
        <v>346</v>
      </c>
    </row>
    <row r="110" spans="1:23" x14ac:dyDescent="0.25">
      <c r="A110" t="s">
        <v>347</v>
      </c>
      <c r="B110" t="s">
        <v>347</v>
      </c>
      <c r="C110">
        <v>62.5</v>
      </c>
      <c r="D110" s="4">
        <v>80</v>
      </c>
      <c r="E110">
        <v>341</v>
      </c>
      <c r="F110">
        <v>150</v>
      </c>
      <c r="G110">
        <v>91</v>
      </c>
      <c r="H110">
        <v>47</v>
      </c>
      <c r="I110">
        <v>18</v>
      </c>
      <c r="J110">
        <v>34</v>
      </c>
      <c r="K110">
        <v>231</v>
      </c>
      <c r="L110">
        <v>114</v>
      </c>
      <c r="M110">
        <v>57</v>
      </c>
      <c r="N110">
        <v>8</v>
      </c>
      <c r="O110">
        <v>23</v>
      </c>
      <c r="P110">
        <v>142</v>
      </c>
      <c r="Q110">
        <v>91</v>
      </c>
      <c r="R110">
        <v>68</v>
      </c>
      <c r="S110">
        <v>924</v>
      </c>
      <c r="T110" t="s">
        <v>813</v>
      </c>
      <c r="U110" t="s">
        <v>336</v>
      </c>
      <c r="V110" t="s">
        <v>337</v>
      </c>
      <c r="W110" t="s">
        <v>348</v>
      </c>
    </row>
    <row r="111" spans="1:23" x14ac:dyDescent="0.25">
      <c r="A111" t="s">
        <v>354</v>
      </c>
      <c r="B111" t="s">
        <v>354</v>
      </c>
      <c r="C111">
        <v>2</v>
      </c>
      <c r="D111" s="4">
        <v>5</v>
      </c>
      <c r="E111">
        <v>132</v>
      </c>
      <c r="G111">
        <v>5</v>
      </c>
      <c r="H111">
        <v>0</v>
      </c>
      <c r="I111">
        <v>15</v>
      </c>
      <c r="J111">
        <v>10</v>
      </c>
      <c r="K111">
        <v>0</v>
      </c>
      <c r="L111">
        <v>2</v>
      </c>
      <c r="M111">
        <v>10</v>
      </c>
      <c r="N111">
        <v>0</v>
      </c>
      <c r="O111">
        <v>0</v>
      </c>
      <c r="P111">
        <v>5</v>
      </c>
      <c r="Q111">
        <v>2</v>
      </c>
      <c r="R111">
        <v>0</v>
      </c>
      <c r="S111">
        <v>49</v>
      </c>
      <c r="T111" t="s">
        <v>813</v>
      </c>
      <c r="U111" t="s">
        <v>336</v>
      </c>
      <c r="V111" t="s">
        <v>350</v>
      </c>
      <c r="W111" t="s">
        <v>355</v>
      </c>
    </row>
    <row r="112" spans="1:23" x14ac:dyDescent="0.25">
      <c r="A112" t="s">
        <v>356</v>
      </c>
      <c r="B112" t="s">
        <v>356</v>
      </c>
      <c r="C112">
        <v>610</v>
      </c>
      <c r="D112" s="4">
        <v>660</v>
      </c>
      <c r="E112">
        <v>3690</v>
      </c>
      <c r="F112">
        <v>2600</v>
      </c>
      <c r="G112">
        <v>1196</v>
      </c>
      <c r="H112">
        <v>406</v>
      </c>
      <c r="I112">
        <v>511</v>
      </c>
      <c r="J112">
        <v>680</v>
      </c>
      <c r="K112">
        <v>730</v>
      </c>
      <c r="L112">
        <v>475</v>
      </c>
      <c r="M112">
        <v>540</v>
      </c>
      <c r="N112">
        <v>599</v>
      </c>
      <c r="O112">
        <v>332</v>
      </c>
      <c r="P112">
        <v>621</v>
      </c>
      <c r="Q112">
        <v>1091</v>
      </c>
      <c r="R112">
        <v>701</v>
      </c>
      <c r="S112">
        <v>7882</v>
      </c>
      <c r="T112" t="s">
        <v>813</v>
      </c>
      <c r="U112" t="s">
        <v>336</v>
      </c>
      <c r="V112" t="s">
        <v>350</v>
      </c>
      <c r="W112" t="s">
        <v>357</v>
      </c>
    </row>
    <row r="113" spans="1:23" x14ac:dyDescent="0.25">
      <c r="A113" t="s">
        <v>358</v>
      </c>
      <c r="B113" t="s">
        <v>358</v>
      </c>
      <c r="C113">
        <v>367.5</v>
      </c>
      <c r="D113" s="4">
        <v>415</v>
      </c>
      <c r="E113">
        <v>1451</v>
      </c>
      <c r="F113">
        <v>400</v>
      </c>
      <c r="G113">
        <v>623</v>
      </c>
      <c r="H113">
        <v>458</v>
      </c>
      <c r="I113">
        <v>274</v>
      </c>
      <c r="J113">
        <v>480</v>
      </c>
      <c r="K113">
        <v>694</v>
      </c>
      <c r="L113">
        <v>289</v>
      </c>
      <c r="M113">
        <v>282</v>
      </c>
      <c r="N113">
        <v>330</v>
      </c>
      <c r="O113">
        <v>294</v>
      </c>
      <c r="P113">
        <v>388</v>
      </c>
      <c r="Q113">
        <v>347</v>
      </c>
      <c r="R113">
        <v>639</v>
      </c>
      <c r="S113">
        <v>5098</v>
      </c>
      <c r="T113" t="s">
        <v>813</v>
      </c>
      <c r="U113" t="s">
        <v>336</v>
      </c>
      <c r="V113" t="s">
        <v>350</v>
      </c>
      <c r="W113" t="s">
        <v>359</v>
      </c>
    </row>
    <row r="114" spans="1:23" x14ac:dyDescent="0.25">
      <c r="A114" t="s">
        <v>360</v>
      </c>
      <c r="B114" t="s">
        <v>360</v>
      </c>
      <c r="C114">
        <v>175</v>
      </c>
      <c r="D114" s="4">
        <v>200</v>
      </c>
      <c r="E114">
        <v>958</v>
      </c>
      <c r="F114">
        <v>600</v>
      </c>
      <c r="G114">
        <v>198</v>
      </c>
      <c r="H114">
        <v>151</v>
      </c>
      <c r="I114">
        <v>167</v>
      </c>
      <c r="J114">
        <v>261</v>
      </c>
      <c r="K114">
        <v>421</v>
      </c>
      <c r="L114">
        <v>172</v>
      </c>
      <c r="M114">
        <v>86</v>
      </c>
      <c r="N114">
        <v>135</v>
      </c>
      <c r="O114">
        <v>178</v>
      </c>
      <c r="P114">
        <v>94</v>
      </c>
      <c r="Q114">
        <v>373</v>
      </c>
      <c r="R114">
        <v>180</v>
      </c>
      <c r="S114">
        <v>2416</v>
      </c>
      <c r="T114" t="s">
        <v>813</v>
      </c>
      <c r="U114" t="s">
        <v>336</v>
      </c>
      <c r="V114" t="s">
        <v>350</v>
      </c>
      <c r="W114" t="s">
        <v>361</v>
      </c>
    </row>
    <row r="115" spans="1:23" x14ac:dyDescent="0.25">
      <c r="A115" t="s">
        <v>362</v>
      </c>
      <c r="B115" t="s">
        <v>362</v>
      </c>
      <c r="C115">
        <v>6</v>
      </c>
      <c r="D115" s="3">
        <v>6</v>
      </c>
      <c r="E115">
        <v>50</v>
      </c>
      <c r="G115">
        <v>10</v>
      </c>
      <c r="H115">
        <v>7</v>
      </c>
      <c r="I115">
        <v>5</v>
      </c>
      <c r="J115">
        <v>7</v>
      </c>
      <c r="K115">
        <v>13</v>
      </c>
      <c r="L115">
        <v>0</v>
      </c>
      <c r="M115">
        <v>0</v>
      </c>
      <c r="N115">
        <v>3</v>
      </c>
      <c r="O115">
        <v>7</v>
      </c>
      <c r="P115">
        <v>1</v>
      </c>
      <c r="Q115">
        <v>11</v>
      </c>
      <c r="R115">
        <v>0</v>
      </c>
      <c r="S115">
        <v>64</v>
      </c>
      <c r="T115" t="s">
        <v>813</v>
      </c>
      <c r="U115" t="s">
        <v>363</v>
      </c>
      <c r="V115" t="s">
        <v>364</v>
      </c>
      <c r="W115" t="s">
        <v>365</v>
      </c>
    </row>
    <row r="116" spans="1:23" x14ac:dyDescent="0.25">
      <c r="A116" t="s">
        <v>366</v>
      </c>
      <c r="B116" t="s">
        <v>366</v>
      </c>
      <c r="C116">
        <v>0</v>
      </c>
      <c r="D116" s="4">
        <v>0.2</v>
      </c>
      <c r="E116">
        <v>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</v>
      </c>
      <c r="P116">
        <v>0</v>
      </c>
      <c r="Q116">
        <v>0</v>
      </c>
      <c r="R116">
        <v>0</v>
      </c>
      <c r="S116">
        <v>2</v>
      </c>
      <c r="T116" t="s">
        <v>813</v>
      </c>
      <c r="U116" t="s">
        <v>363</v>
      </c>
      <c r="V116" t="s">
        <v>364</v>
      </c>
      <c r="W116" t="s">
        <v>367</v>
      </c>
    </row>
    <row r="117" spans="1:23" x14ac:dyDescent="0.25">
      <c r="A117" t="s">
        <v>368</v>
      </c>
      <c r="B117" t="s">
        <v>368</v>
      </c>
      <c r="C117">
        <v>0.5</v>
      </c>
      <c r="D117" s="4">
        <v>3</v>
      </c>
      <c r="E117">
        <v>22</v>
      </c>
      <c r="G117">
        <v>0</v>
      </c>
      <c r="H117">
        <v>2</v>
      </c>
      <c r="I117">
        <v>0</v>
      </c>
      <c r="J117">
        <v>6</v>
      </c>
      <c r="K117">
        <v>10</v>
      </c>
      <c r="L117">
        <v>0</v>
      </c>
      <c r="M117">
        <v>0</v>
      </c>
      <c r="N117">
        <v>6</v>
      </c>
      <c r="O117">
        <v>8</v>
      </c>
      <c r="P117">
        <v>1</v>
      </c>
      <c r="Q117">
        <v>0</v>
      </c>
      <c r="R117">
        <v>0</v>
      </c>
      <c r="S117">
        <v>33</v>
      </c>
      <c r="T117" t="s">
        <v>813</v>
      </c>
      <c r="U117" t="s">
        <v>363</v>
      </c>
      <c r="V117" t="s">
        <v>364</v>
      </c>
      <c r="W117" t="s">
        <v>369</v>
      </c>
    </row>
    <row r="118" spans="1:23" x14ac:dyDescent="0.25">
      <c r="A118" t="s">
        <v>372</v>
      </c>
      <c r="B118" t="s">
        <v>372</v>
      </c>
      <c r="C118">
        <v>0</v>
      </c>
      <c r="D118" s="4">
        <v>0.2</v>
      </c>
      <c r="E118">
        <v>118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8</v>
      </c>
      <c r="P118">
        <v>0</v>
      </c>
      <c r="Q118">
        <v>0</v>
      </c>
      <c r="R118">
        <v>0</v>
      </c>
      <c r="S118">
        <v>8</v>
      </c>
      <c r="T118" t="s">
        <v>813</v>
      </c>
      <c r="U118" t="s">
        <v>363</v>
      </c>
      <c r="V118" t="s">
        <v>364</v>
      </c>
      <c r="W118" t="s">
        <v>373</v>
      </c>
    </row>
    <row r="119" spans="1:23" x14ac:dyDescent="0.25">
      <c r="A119" t="s">
        <v>382</v>
      </c>
      <c r="B119" t="s">
        <v>382</v>
      </c>
      <c r="C119">
        <v>0</v>
      </c>
      <c r="D119" s="4">
        <v>2.2000000000000002</v>
      </c>
      <c r="E119">
        <v>25</v>
      </c>
      <c r="G119">
        <v>2</v>
      </c>
      <c r="H119">
        <v>1</v>
      </c>
      <c r="I119">
        <v>8</v>
      </c>
      <c r="J119">
        <v>5</v>
      </c>
      <c r="K119">
        <v>0</v>
      </c>
      <c r="L119">
        <v>0</v>
      </c>
      <c r="M119">
        <v>10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26</v>
      </c>
      <c r="T119" t="s">
        <v>813</v>
      </c>
      <c r="U119" t="s">
        <v>363</v>
      </c>
      <c r="V119" t="s">
        <v>364</v>
      </c>
      <c r="W119" t="s">
        <v>383</v>
      </c>
    </row>
    <row r="120" spans="1:23" x14ac:dyDescent="0.25">
      <c r="A120" t="s">
        <v>386</v>
      </c>
      <c r="B120" t="s">
        <v>386</v>
      </c>
      <c r="C120">
        <v>1.5</v>
      </c>
      <c r="D120" s="4">
        <v>2.5</v>
      </c>
      <c r="E120">
        <v>0</v>
      </c>
      <c r="G120">
        <v>0</v>
      </c>
      <c r="H120">
        <v>0</v>
      </c>
      <c r="I120">
        <v>5</v>
      </c>
      <c r="J120">
        <v>4</v>
      </c>
      <c r="K120">
        <v>3</v>
      </c>
      <c r="L120">
        <v>0</v>
      </c>
      <c r="M120">
        <v>10</v>
      </c>
      <c r="N120">
        <v>0</v>
      </c>
      <c r="O120">
        <v>5</v>
      </c>
      <c r="P120">
        <v>0</v>
      </c>
      <c r="Q120">
        <v>0</v>
      </c>
      <c r="R120">
        <v>4</v>
      </c>
      <c r="S120">
        <v>31</v>
      </c>
      <c r="T120" t="s">
        <v>813</v>
      </c>
      <c r="U120" t="s">
        <v>363</v>
      </c>
      <c r="V120" t="s">
        <v>364</v>
      </c>
      <c r="W120" t="s">
        <v>387</v>
      </c>
    </row>
    <row r="121" spans="1:23" x14ac:dyDescent="0.25">
      <c r="A121" t="s">
        <v>419</v>
      </c>
      <c r="B121" t="s">
        <v>419</v>
      </c>
      <c r="C121">
        <v>0</v>
      </c>
      <c r="D121" s="3">
        <v>0</v>
      </c>
      <c r="E121">
        <v>10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813</v>
      </c>
      <c r="U121" t="s">
        <v>420</v>
      </c>
      <c r="V121" t="s">
        <v>421</v>
      </c>
      <c r="W121" t="s">
        <v>422</v>
      </c>
    </row>
    <row r="122" spans="1:23" x14ac:dyDescent="0.25">
      <c r="A122" t="s">
        <v>423</v>
      </c>
      <c r="B122" t="s">
        <v>423</v>
      </c>
      <c r="C122">
        <v>0</v>
      </c>
      <c r="D122" s="3">
        <v>0</v>
      </c>
      <c r="E122">
        <v>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813</v>
      </c>
      <c r="U122" t="s">
        <v>420</v>
      </c>
      <c r="V122" t="s">
        <v>421</v>
      </c>
      <c r="W122" t="s">
        <v>424</v>
      </c>
    </row>
    <row r="123" spans="1:23" x14ac:dyDescent="0.25">
      <c r="A123" t="s">
        <v>425</v>
      </c>
      <c r="B123" t="s">
        <v>425</v>
      </c>
      <c r="C123">
        <v>0</v>
      </c>
      <c r="D123" s="3">
        <v>0</v>
      </c>
      <c r="E123">
        <v>10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813</v>
      </c>
      <c r="U123" t="s">
        <v>420</v>
      </c>
      <c r="V123" t="s">
        <v>426</v>
      </c>
      <c r="W123" t="s">
        <v>427</v>
      </c>
    </row>
    <row r="124" spans="1:23" x14ac:dyDescent="0.25">
      <c r="A124" t="s">
        <v>428</v>
      </c>
      <c r="B124" t="s">
        <v>428</v>
      </c>
      <c r="C124">
        <v>0</v>
      </c>
      <c r="D124" s="3">
        <v>0</v>
      </c>
      <c r="E124">
        <v>10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813</v>
      </c>
      <c r="U124" t="s">
        <v>420</v>
      </c>
      <c r="V124" t="s">
        <v>426</v>
      </c>
      <c r="W124" t="s">
        <v>429</v>
      </c>
    </row>
    <row r="125" spans="1:23" x14ac:dyDescent="0.25">
      <c r="A125" t="s">
        <v>459</v>
      </c>
      <c r="B125" t="s">
        <v>459</v>
      </c>
      <c r="C125">
        <v>0</v>
      </c>
      <c r="D125" s="4">
        <v>1.1000000000000001</v>
      </c>
      <c r="E125">
        <v>2</v>
      </c>
      <c r="G125">
        <v>0</v>
      </c>
      <c r="H125">
        <v>0</v>
      </c>
      <c r="I125">
        <v>0</v>
      </c>
      <c r="J125">
        <v>0</v>
      </c>
      <c r="K125">
        <v>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6</v>
      </c>
      <c r="S125">
        <v>11</v>
      </c>
      <c r="T125" t="s">
        <v>813</v>
      </c>
      <c r="U125" t="s">
        <v>460</v>
      </c>
      <c r="V125" t="s">
        <v>461</v>
      </c>
      <c r="W125" t="s">
        <v>462</v>
      </c>
    </row>
    <row r="126" spans="1:23" x14ac:dyDescent="0.25">
      <c r="A126" t="s">
        <v>463</v>
      </c>
      <c r="B126" t="s">
        <v>463</v>
      </c>
      <c r="C126">
        <v>0</v>
      </c>
      <c r="D126" s="4">
        <v>0.8</v>
      </c>
      <c r="E126">
        <v>3</v>
      </c>
      <c r="G126">
        <v>0</v>
      </c>
      <c r="H126">
        <v>0</v>
      </c>
      <c r="I126">
        <v>0</v>
      </c>
      <c r="J126">
        <v>0</v>
      </c>
      <c r="K126">
        <v>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5</v>
      </c>
      <c r="S126">
        <v>10</v>
      </c>
      <c r="T126" t="s">
        <v>813</v>
      </c>
      <c r="U126" t="s">
        <v>460</v>
      </c>
      <c r="V126" t="s">
        <v>461</v>
      </c>
      <c r="W126" t="s">
        <v>464</v>
      </c>
    </row>
    <row r="127" spans="1:23" x14ac:dyDescent="0.25">
      <c r="A127" t="s">
        <v>465</v>
      </c>
      <c r="B127" t="s">
        <v>465</v>
      </c>
      <c r="C127">
        <v>28.5</v>
      </c>
      <c r="D127" s="3">
        <v>28.5</v>
      </c>
      <c r="E127">
        <v>95</v>
      </c>
      <c r="G127">
        <v>43</v>
      </c>
      <c r="H127">
        <v>9</v>
      </c>
      <c r="I127">
        <v>17</v>
      </c>
      <c r="J127">
        <v>30</v>
      </c>
      <c r="K127">
        <v>29</v>
      </c>
      <c r="L127">
        <v>28</v>
      </c>
      <c r="M127">
        <v>13</v>
      </c>
      <c r="N127">
        <v>21</v>
      </c>
      <c r="O127">
        <v>47</v>
      </c>
      <c r="P127">
        <v>33</v>
      </c>
      <c r="Q127">
        <v>53</v>
      </c>
      <c r="R127">
        <v>6</v>
      </c>
      <c r="S127">
        <v>329</v>
      </c>
      <c r="T127" t="s">
        <v>813</v>
      </c>
      <c r="U127" t="s">
        <v>460</v>
      </c>
      <c r="V127" t="s">
        <v>466</v>
      </c>
      <c r="W127" t="s">
        <v>467</v>
      </c>
    </row>
    <row r="128" spans="1:23" x14ac:dyDescent="0.25">
      <c r="A128" t="s">
        <v>468</v>
      </c>
      <c r="B128" t="s">
        <v>468</v>
      </c>
      <c r="C128">
        <v>22</v>
      </c>
      <c r="D128" s="3">
        <v>22</v>
      </c>
      <c r="E128">
        <v>43</v>
      </c>
      <c r="G128">
        <v>35</v>
      </c>
      <c r="H128">
        <v>13</v>
      </c>
      <c r="I128">
        <v>22</v>
      </c>
      <c r="J128">
        <v>25</v>
      </c>
      <c r="K128">
        <v>26</v>
      </c>
      <c r="L128">
        <v>17</v>
      </c>
      <c r="M128">
        <v>11</v>
      </c>
      <c r="N128">
        <v>15</v>
      </c>
      <c r="O128">
        <v>21</v>
      </c>
      <c r="P128">
        <v>22</v>
      </c>
      <c r="Q128">
        <v>26</v>
      </c>
      <c r="R128">
        <v>35</v>
      </c>
      <c r="S128">
        <v>268</v>
      </c>
      <c r="T128" t="s">
        <v>813</v>
      </c>
      <c r="U128" t="s">
        <v>460</v>
      </c>
      <c r="V128" t="s">
        <v>466</v>
      </c>
      <c r="W128" t="s">
        <v>469</v>
      </c>
    </row>
    <row r="129" spans="1:23" x14ac:dyDescent="0.25">
      <c r="A129" t="s">
        <v>470</v>
      </c>
      <c r="B129" t="s">
        <v>470</v>
      </c>
      <c r="C129">
        <v>24.5</v>
      </c>
      <c r="D129" s="4">
        <v>22.5</v>
      </c>
      <c r="E129">
        <v>122</v>
      </c>
      <c r="G129">
        <v>34</v>
      </c>
      <c r="H129">
        <v>6</v>
      </c>
      <c r="I129">
        <v>19</v>
      </c>
      <c r="J129">
        <v>26</v>
      </c>
      <c r="K129">
        <v>21</v>
      </c>
      <c r="L129">
        <v>12</v>
      </c>
      <c r="M129">
        <v>29</v>
      </c>
      <c r="N129">
        <v>26</v>
      </c>
      <c r="O129">
        <v>34</v>
      </c>
      <c r="P129">
        <v>14</v>
      </c>
      <c r="Q129">
        <v>24</v>
      </c>
      <c r="R129">
        <v>25</v>
      </c>
      <c r="S129">
        <v>270</v>
      </c>
      <c r="T129" t="s">
        <v>813</v>
      </c>
      <c r="U129" t="s">
        <v>460</v>
      </c>
      <c r="V129" t="s">
        <v>466</v>
      </c>
      <c r="W129" t="s">
        <v>471</v>
      </c>
    </row>
    <row r="130" spans="1:23" x14ac:dyDescent="0.25">
      <c r="A130" t="s">
        <v>472</v>
      </c>
      <c r="B130" t="s">
        <v>472</v>
      </c>
      <c r="C130">
        <v>0</v>
      </c>
      <c r="D130" s="4">
        <v>2</v>
      </c>
      <c r="E130">
        <v>68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3</v>
      </c>
      <c r="M130">
        <v>0</v>
      </c>
      <c r="N130">
        <v>0</v>
      </c>
      <c r="O130">
        <v>18</v>
      </c>
      <c r="P130">
        <v>2</v>
      </c>
      <c r="Q130">
        <v>0</v>
      </c>
      <c r="R130">
        <v>0</v>
      </c>
      <c r="S130">
        <v>24</v>
      </c>
      <c r="T130" t="s">
        <v>813</v>
      </c>
      <c r="U130" t="s">
        <v>460</v>
      </c>
      <c r="V130" t="s">
        <v>466</v>
      </c>
      <c r="W130" t="s">
        <v>473</v>
      </c>
    </row>
    <row r="131" spans="1:23" x14ac:dyDescent="0.25">
      <c r="A131" t="s">
        <v>474</v>
      </c>
      <c r="B131" t="s">
        <v>474</v>
      </c>
      <c r="C131">
        <v>0</v>
      </c>
      <c r="D131" s="4">
        <v>1</v>
      </c>
      <c r="E131">
        <v>126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0</v>
      </c>
      <c r="O131">
        <v>5</v>
      </c>
      <c r="P131">
        <v>0</v>
      </c>
      <c r="Q131">
        <v>0</v>
      </c>
      <c r="R131">
        <v>0</v>
      </c>
      <c r="S131">
        <v>9</v>
      </c>
      <c r="T131" t="s">
        <v>813</v>
      </c>
      <c r="U131" t="s">
        <v>460</v>
      </c>
      <c r="V131" t="s">
        <v>466</v>
      </c>
      <c r="W131" t="s">
        <v>475</v>
      </c>
    </row>
    <row r="132" spans="1:23" x14ac:dyDescent="0.25">
      <c r="A132" t="s">
        <v>476</v>
      </c>
      <c r="B132" t="s">
        <v>476</v>
      </c>
      <c r="C132">
        <v>0</v>
      </c>
      <c r="D132" s="4">
        <v>2.6</v>
      </c>
      <c r="E132">
        <v>150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</v>
      </c>
      <c r="M132">
        <v>0</v>
      </c>
      <c r="N132">
        <v>0</v>
      </c>
      <c r="O132">
        <v>27</v>
      </c>
      <c r="P132">
        <v>0</v>
      </c>
      <c r="Q132">
        <v>0</v>
      </c>
      <c r="R132">
        <v>0</v>
      </c>
      <c r="S132">
        <v>29</v>
      </c>
      <c r="T132" t="s">
        <v>813</v>
      </c>
      <c r="U132" t="s">
        <v>460</v>
      </c>
      <c r="V132" t="s">
        <v>466</v>
      </c>
      <c r="W132" t="s">
        <v>477</v>
      </c>
    </row>
    <row r="133" spans="1:23" x14ac:dyDescent="0.25">
      <c r="A133" t="s">
        <v>478</v>
      </c>
      <c r="B133" t="s">
        <v>478</v>
      </c>
      <c r="C133">
        <v>0</v>
      </c>
      <c r="D133" s="4">
        <v>0.7</v>
      </c>
      <c r="E133">
        <v>22</v>
      </c>
      <c r="G133">
        <v>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</v>
      </c>
      <c r="O133">
        <v>1</v>
      </c>
      <c r="P133">
        <v>0</v>
      </c>
      <c r="Q133">
        <v>0</v>
      </c>
      <c r="R133">
        <v>0</v>
      </c>
      <c r="S133">
        <v>8</v>
      </c>
      <c r="T133" t="s">
        <v>813</v>
      </c>
      <c r="U133" t="s">
        <v>460</v>
      </c>
      <c r="V133" t="s">
        <v>479</v>
      </c>
      <c r="W133" t="s">
        <v>480</v>
      </c>
    </row>
    <row r="134" spans="1:23" x14ac:dyDescent="0.25">
      <c r="A134" t="s">
        <v>481</v>
      </c>
      <c r="B134" t="s">
        <v>481</v>
      </c>
      <c r="C134">
        <v>0</v>
      </c>
      <c r="D134" s="4">
        <v>0.35</v>
      </c>
      <c r="E134">
        <v>57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1</v>
      </c>
      <c r="Q134">
        <v>0</v>
      </c>
      <c r="R134">
        <v>0</v>
      </c>
      <c r="S134">
        <v>4</v>
      </c>
      <c r="T134" t="s">
        <v>813</v>
      </c>
      <c r="U134" t="s">
        <v>460</v>
      </c>
      <c r="V134" t="s">
        <v>479</v>
      </c>
      <c r="W134" t="s">
        <v>482</v>
      </c>
    </row>
    <row r="135" spans="1:23" x14ac:dyDescent="0.25">
      <c r="A135" t="s">
        <v>483</v>
      </c>
      <c r="B135" t="s">
        <v>483</v>
      </c>
      <c r="C135">
        <v>0</v>
      </c>
      <c r="D135" s="4">
        <v>0.1</v>
      </c>
      <c r="E135">
        <v>12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1</v>
      </c>
      <c r="T135" t="s">
        <v>813</v>
      </c>
      <c r="U135" t="s">
        <v>460</v>
      </c>
      <c r="V135" t="s">
        <v>479</v>
      </c>
      <c r="W135" t="s">
        <v>484</v>
      </c>
    </row>
    <row r="136" spans="1:23" x14ac:dyDescent="0.25">
      <c r="A136" t="s">
        <v>485</v>
      </c>
      <c r="B136" t="s">
        <v>485</v>
      </c>
      <c r="C136">
        <v>0</v>
      </c>
      <c r="D136" s="3">
        <v>0</v>
      </c>
      <c r="E136">
        <v>14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813</v>
      </c>
      <c r="U136" t="s">
        <v>460</v>
      </c>
      <c r="V136" t="s">
        <v>479</v>
      </c>
      <c r="W136" t="s">
        <v>486</v>
      </c>
    </row>
    <row r="137" spans="1:23" x14ac:dyDescent="0.25">
      <c r="A137" t="s">
        <v>487</v>
      </c>
      <c r="B137" t="s">
        <v>487</v>
      </c>
      <c r="C137">
        <v>0</v>
      </c>
      <c r="D137" s="3">
        <v>0</v>
      </c>
      <c r="E137">
        <v>15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813</v>
      </c>
      <c r="U137" t="s">
        <v>460</v>
      </c>
      <c r="V137" t="s">
        <v>479</v>
      </c>
      <c r="W137" t="s">
        <v>488</v>
      </c>
    </row>
    <row r="138" spans="1:23" x14ac:dyDescent="0.25">
      <c r="A138" t="s">
        <v>491</v>
      </c>
      <c r="B138" t="s">
        <v>491</v>
      </c>
      <c r="C138">
        <v>94.5</v>
      </c>
      <c r="D138" s="4">
        <v>92.5</v>
      </c>
      <c r="E138">
        <v>484</v>
      </c>
      <c r="F138">
        <v>200</v>
      </c>
      <c r="G138">
        <v>53</v>
      </c>
      <c r="H138">
        <v>67</v>
      </c>
      <c r="I138">
        <v>90</v>
      </c>
      <c r="J138">
        <v>49</v>
      </c>
      <c r="K138">
        <v>167</v>
      </c>
      <c r="L138">
        <v>104</v>
      </c>
      <c r="M138">
        <v>99</v>
      </c>
      <c r="N138">
        <v>34</v>
      </c>
      <c r="O138">
        <v>146</v>
      </c>
      <c r="P138">
        <v>142</v>
      </c>
      <c r="Q138">
        <v>25</v>
      </c>
      <c r="R138">
        <v>116</v>
      </c>
      <c r="S138">
        <v>1092</v>
      </c>
      <c r="T138" t="s">
        <v>813</v>
      </c>
      <c r="U138" t="s">
        <v>492</v>
      </c>
      <c r="V138" t="s">
        <v>493</v>
      </c>
      <c r="W138" t="s">
        <v>494</v>
      </c>
    </row>
    <row r="139" spans="1:23" x14ac:dyDescent="0.25">
      <c r="A139" t="s">
        <v>495</v>
      </c>
      <c r="B139" t="s">
        <v>495</v>
      </c>
      <c r="C139">
        <v>104</v>
      </c>
      <c r="D139" s="4">
        <v>120</v>
      </c>
      <c r="E139">
        <v>590</v>
      </c>
      <c r="F139">
        <v>300</v>
      </c>
      <c r="G139">
        <v>96</v>
      </c>
      <c r="H139">
        <v>143</v>
      </c>
      <c r="I139">
        <v>83</v>
      </c>
      <c r="J139">
        <v>112</v>
      </c>
      <c r="K139">
        <v>238</v>
      </c>
      <c r="L139">
        <v>63</v>
      </c>
      <c r="M139">
        <v>96</v>
      </c>
      <c r="N139">
        <v>66</v>
      </c>
      <c r="O139">
        <v>143</v>
      </c>
      <c r="P139">
        <v>227</v>
      </c>
      <c r="Q139">
        <v>62</v>
      </c>
      <c r="R139">
        <v>128</v>
      </c>
      <c r="S139">
        <v>1457</v>
      </c>
      <c r="T139" t="s">
        <v>813</v>
      </c>
      <c r="U139" t="s">
        <v>492</v>
      </c>
      <c r="V139" t="s">
        <v>493</v>
      </c>
      <c r="W139" t="s">
        <v>496</v>
      </c>
    </row>
    <row r="140" spans="1:23" x14ac:dyDescent="0.25">
      <c r="A140" t="s">
        <v>497</v>
      </c>
      <c r="B140" t="s">
        <v>497</v>
      </c>
      <c r="C140">
        <v>104</v>
      </c>
      <c r="D140" s="4">
        <v>111</v>
      </c>
      <c r="E140">
        <v>425</v>
      </c>
      <c r="G140">
        <v>105</v>
      </c>
      <c r="H140">
        <v>64</v>
      </c>
      <c r="I140">
        <v>122</v>
      </c>
      <c r="J140">
        <v>204</v>
      </c>
      <c r="K140">
        <v>153</v>
      </c>
      <c r="L140">
        <v>72</v>
      </c>
      <c r="M140">
        <v>96</v>
      </c>
      <c r="N140">
        <v>45</v>
      </c>
      <c r="O140">
        <v>170</v>
      </c>
      <c r="P140">
        <v>85</v>
      </c>
      <c r="Q140">
        <v>103</v>
      </c>
      <c r="R140">
        <v>116</v>
      </c>
      <c r="S140">
        <v>1335</v>
      </c>
      <c r="T140" t="s">
        <v>813</v>
      </c>
      <c r="U140" t="s">
        <v>492</v>
      </c>
      <c r="V140" t="s">
        <v>493</v>
      </c>
      <c r="W140" t="s">
        <v>498</v>
      </c>
    </row>
    <row r="141" spans="1:23" x14ac:dyDescent="0.25">
      <c r="A141" t="s">
        <v>499</v>
      </c>
      <c r="B141" t="s">
        <v>499</v>
      </c>
      <c r="C141">
        <v>15</v>
      </c>
      <c r="D141" s="4">
        <v>33</v>
      </c>
      <c r="E141">
        <v>242</v>
      </c>
      <c r="G141">
        <v>20</v>
      </c>
      <c r="H141">
        <v>8</v>
      </c>
      <c r="I141">
        <v>68</v>
      </c>
      <c r="J141">
        <v>88</v>
      </c>
      <c r="K141">
        <v>82</v>
      </c>
      <c r="L141">
        <v>10</v>
      </c>
      <c r="M141">
        <v>6</v>
      </c>
      <c r="N141">
        <v>0</v>
      </c>
      <c r="O141">
        <v>71</v>
      </c>
      <c r="P141">
        <v>0</v>
      </c>
      <c r="Q141">
        <v>22</v>
      </c>
      <c r="R141">
        <v>5</v>
      </c>
      <c r="S141">
        <v>380</v>
      </c>
      <c r="T141" t="s">
        <v>813</v>
      </c>
      <c r="U141" t="s">
        <v>492</v>
      </c>
      <c r="V141" t="s">
        <v>493</v>
      </c>
      <c r="W141" t="s">
        <v>500</v>
      </c>
    </row>
    <row r="142" spans="1:23" x14ac:dyDescent="0.25">
      <c r="A142" t="s">
        <v>509</v>
      </c>
      <c r="B142" t="s">
        <v>509</v>
      </c>
      <c r="C142">
        <v>6</v>
      </c>
      <c r="D142" s="4">
        <v>15</v>
      </c>
      <c r="E142">
        <v>100</v>
      </c>
      <c r="F142">
        <v>50</v>
      </c>
      <c r="G142">
        <v>35</v>
      </c>
      <c r="H142">
        <v>32</v>
      </c>
      <c r="I142">
        <v>11</v>
      </c>
      <c r="J142">
        <v>0</v>
      </c>
      <c r="K142">
        <v>2</v>
      </c>
      <c r="L142">
        <v>0</v>
      </c>
      <c r="M142">
        <v>0</v>
      </c>
      <c r="N142">
        <v>0</v>
      </c>
      <c r="O142">
        <v>59</v>
      </c>
      <c r="P142">
        <v>30</v>
      </c>
      <c r="Q142">
        <v>10</v>
      </c>
      <c r="R142">
        <v>0</v>
      </c>
      <c r="S142">
        <v>179</v>
      </c>
      <c r="T142" t="s">
        <v>813</v>
      </c>
      <c r="U142" t="s">
        <v>492</v>
      </c>
      <c r="V142" t="s">
        <v>493</v>
      </c>
      <c r="W142" t="s">
        <v>510</v>
      </c>
    </row>
    <row r="143" spans="1:23" x14ac:dyDescent="0.25">
      <c r="A143" t="s">
        <v>513</v>
      </c>
      <c r="B143" t="s">
        <v>513</v>
      </c>
      <c r="C143">
        <v>4.5</v>
      </c>
      <c r="D143" s="4">
        <v>15</v>
      </c>
      <c r="E143">
        <v>136</v>
      </c>
      <c r="F143">
        <v>50</v>
      </c>
      <c r="G143">
        <v>25</v>
      </c>
      <c r="H143">
        <v>4</v>
      </c>
      <c r="I143">
        <v>11</v>
      </c>
      <c r="J143">
        <v>0</v>
      </c>
      <c r="K143">
        <v>61</v>
      </c>
      <c r="L143">
        <v>5</v>
      </c>
      <c r="M143">
        <v>0</v>
      </c>
      <c r="N143">
        <v>0</v>
      </c>
      <c r="O143">
        <v>40</v>
      </c>
      <c r="P143">
        <v>30</v>
      </c>
      <c r="Q143">
        <v>0</v>
      </c>
      <c r="R143">
        <v>0</v>
      </c>
      <c r="S143">
        <v>176</v>
      </c>
      <c r="T143" t="s">
        <v>813</v>
      </c>
      <c r="U143" t="s">
        <v>492</v>
      </c>
      <c r="V143" t="s">
        <v>493</v>
      </c>
      <c r="W143" t="s">
        <v>514</v>
      </c>
    </row>
    <row r="144" spans="1:23" x14ac:dyDescent="0.25">
      <c r="A144" t="s">
        <v>515</v>
      </c>
      <c r="B144" t="s">
        <v>515</v>
      </c>
      <c r="C144">
        <v>7.5</v>
      </c>
      <c r="D144" s="4">
        <v>12.5</v>
      </c>
      <c r="E144">
        <v>58</v>
      </c>
      <c r="G144">
        <v>36</v>
      </c>
      <c r="H144">
        <v>20</v>
      </c>
      <c r="I144">
        <v>5</v>
      </c>
      <c r="J144">
        <v>0</v>
      </c>
      <c r="K144">
        <v>30</v>
      </c>
      <c r="L144">
        <v>2</v>
      </c>
      <c r="M144">
        <v>0</v>
      </c>
      <c r="N144">
        <v>0</v>
      </c>
      <c r="O144">
        <v>34</v>
      </c>
      <c r="P144">
        <v>0</v>
      </c>
      <c r="Q144">
        <v>10</v>
      </c>
      <c r="R144">
        <v>10</v>
      </c>
      <c r="S144">
        <v>147</v>
      </c>
      <c r="T144" t="s">
        <v>813</v>
      </c>
      <c r="U144" t="s">
        <v>492</v>
      </c>
      <c r="V144" t="s">
        <v>493</v>
      </c>
      <c r="W144" t="s">
        <v>516</v>
      </c>
    </row>
    <row r="145" spans="1:23" x14ac:dyDescent="0.25">
      <c r="A145" t="s">
        <v>517</v>
      </c>
      <c r="B145" t="s">
        <v>517</v>
      </c>
      <c r="C145">
        <v>0</v>
      </c>
      <c r="D145" s="4">
        <v>7.5</v>
      </c>
      <c r="E145">
        <v>59</v>
      </c>
      <c r="F145">
        <v>20</v>
      </c>
      <c r="G145">
        <v>6</v>
      </c>
      <c r="H145">
        <v>0</v>
      </c>
      <c r="I145">
        <v>4</v>
      </c>
      <c r="J145">
        <v>0</v>
      </c>
      <c r="K145">
        <v>29</v>
      </c>
      <c r="L145">
        <v>0</v>
      </c>
      <c r="M145">
        <v>0</v>
      </c>
      <c r="N145">
        <v>0</v>
      </c>
      <c r="O145">
        <v>31</v>
      </c>
      <c r="P145">
        <v>0</v>
      </c>
      <c r="Q145">
        <v>10</v>
      </c>
      <c r="R145">
        <v>0</v>
      </c>
      <c r="S145">
        <v>80</v>
      </c>
      <c r="T145" t="s">
        <v>813</v>
      </c>
      <c r="U145" t="s">
        <v>492</v>
      </c>
      <c r="V145" t="s">
        <v>493</v>
      </c>
      <c r="W145" t="s">
        <v>518</v>
      </c>
    </row>
    <row r="146" spans="1:23" x14ac:dyDescent="0.25">
      <c r="A146" t="s">
        <v>519</v>
      </c>
      <c r="B146" t="s">
        <v>519</v>
      </c>
      <c r="C146">
        <v>2</v>
      </c>
      <c r="D146" s="4">
        <v>2.5</v>
      </c>
      <c r="E146">
        <v>73</v>
      </c>
      <c r="G146">
        <v>12</v>
      </c>
      <c r="H146">
        <v>4</v>
      </c>
      <c r="I146">
        <v>0</v>
      </c>
      <c r="J146">
        <v>2</v>
      </c>
      <c r="K146">
        <v>3</v>
      </c>
      <c r="L146">
        <v>0</v>
      </c>
      <c r="M146">
        <v>0</v>
      </c>
      <c r="N146">
        <v>2</v>
      </c>
      <c r="O146">
        <v>4</v>
      </c>
      <c r="P146">
        <v>0</v>
      </c>
      <c r="Q146">
        <v>2</v>
      </c>
      <c r="R146">
        <v>0</v>
      </c>
      <c r="S146">
        <v>29</v>
      </c>
      <c r="T146" t="s">
        <v>813</v>
      </c>
      <c r="U146" t="s">
        <v>492</v>
      </c>
      <c r="V146" t="s">
        <v>520</v>
      </c>
      <c r="W146" t="s">
        <v>521</v>
      </c>
    </row>
    <row r="147" spans="1:23" x14ac:dyDescent="0.25">
      <c r="A147" t="s">
        <v>522</v>
      </c>
      <c r="B147" t="s">
        <v>522</v>
      </c>
      <c r="C147">
        <v>1</v>
      </c>
      <c r="D147" s="4">
        <v>4.5</v>
      </c>
      <c r="E147">
        <v>85</v>
      </c>
      <c r="G147">
        <v>11</v>
      </c>
      <c r="H147">
        <v>7</v>
      </c>
      <c r="I147">
        <v>0</v>
      </c>
      <c r="J147">
        <v>8</v>
      </c>
      <c r="K147">
        <v>0</v>
      </c>
      <c r="L147">
        <v>0</v>
      </c>
      <c r="M147">
        <v>0</v>
      </c>
      <c r="N147">
        <v>0</v>
      </c>
      <c r="O147">
        <v>15</v>
      </c>
      <c r="P147">
        <v>10</v>
      </c>
      <c r="Q147">
        <v>1</v>
      </c>
      <c r="R147">
        <v>1</v>
      </c>
      <c r="S147">
        <v>53</v>
      </c>
      <c r="T147" t="s">
        <v>813</v>
      </c>
      <c r="U147" t="s">
        <v>492</v>
      </c>
      <c r="V147" t="s">
        <v>520</v>
      </c>
      <c r="W147" t="s">
        <v>523</v>
      </c>
    </row>
    <row r="148" spans="1:23" x14ac:dyDescent="0.25">
      <c r="A148" t="s">
        <v>524</v>
      </c>
      <c r="B148" t="s">
        <v>524</v>
      </c>
      <c r="C148">
        <v>3.5</v>
      </c>
      <c r="D148" s="4">
        <v>5.5</v>
      </c>
      <c r="E148">
        <v>33</v>
      </c>
      <c r="F148">
        <v>20</v>
      </c>
      <c r="G148">
        <v>4</v>
      </c>
      <c r="H148">
        <v>6</v>
      </c>
      <c r="I148">
        <v>2</v>
      </c>
      <c r="J148">
        <v>0</v>
      </c>
      <c r="K148">
        <v>15</v>
      </c>
      <c r="L148">
        <v>3</v>
      </c>
      <c r="M148">
        <v>2</v>
      </c>
      <c r="N148">
        <v>2</v>
      </c>
      <c r="O148">
        <v>9</v>
      </c>
      <c r="P148">
        <v>10</v>
      </c>
      <c r="Q148">
        <v>10</v>
      </c>
      <c r="R148">
        <v>0</v>
      </c>
      <c r="S148">
        <v>63</v>
      </c>
      <c r="T148" t="s">
        <v>813</v>
      </c>
      <c r="U148" t="s">
        <v>492</v>
      </c>
      <c r="V148" t="s">
        <v>520</v>
      </c>
      <c r="W148" t="s">
        <v>525</v>
      </c>
    </row>
    <row r="149" spans="1:23" x14ac:dyDescent="0.25">
      <c r="A149" t="s">
        <v>526</v>
      </c>
      <c r="B149" t="s">
        <v>526</v>
      </c>
      <c r="C149">
        <v>0</v>
      </c>
      <c r="D149" s="4">
        <v>2.7</v>
      </c>
      <c r="E149">
        <v>61</v>
      </c>
      <c r="G149">
        <v>4</v>
      </c>
      <c r="H149">
        <v>0</v>
      </c>
      <c r="I149">
        <v>0</v>
      </c>
      <c r="J149">
        <v>0</v>
      </c>
      <c r="K149">
        <v>17</v>
      </c>
      <c r="L149">
        <v>0</v>
      </c>
      <c r="M149">
        <v>1</v>
      </c>
      <c r="N149">
        <v>0</v>
      </c>
      <c r="O149">
        <v>3</v>
      </c>
      <c r="P149">
        <v>0</v>
      </c>
      <c r="Q149">
        <v>5</v>
      </c>
      <c r="R149">
        <v>0</v>
      </c>
      <c r="S149">
        <v>30</v>
      </c>
      <c r="T149" t="s">
        <v>813</v>
      </c>
      <c r="U149" t="s">
        <v>492</v>
      </c>
      <c r="V149" t="s">
        <v>520</v>
      </c>
      <c r="W149" t="s">
        <v>527</v>
      </c>
    </row>
    <row r="150" spans="1:23" x14ac:dyDescent="0.25">
      <c r="A150" t="s">
        <v>528</v>
      </c>
      <c r="B150" t="s">
        <v>528</v>
      </c>
      <c r="C150">
        <v>0</v>
      </c>
      <c r="D150" s="3">
        <v>0</v>
      </c>
      <c r="E150">
        <v>18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813</v>
      </c>
      <c r="U150" t="s">
        <v>492</v>
      </c>
      <c r="V150" t="s">
        <v>529</v>
      </c>
      <c r="W150" t="s">
        <v>530</v>
      </c>
    </row>
    <row r="151" spans="1:23" x14ac:dyDescent="0.25">
      <c r="A151" t="s">
        <v>531</v>
      </c>
      <c r="B151" t="s">
        <v>531</v>
      </c>
      <c r="C151">
        <v>0</v>
      </c>
      <c r="D151" s="3">
        <v>0</v>
      </c>
      <c r="E151">
        <v>18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813</v>
      </c>
      <c r="U151" t="s">
        <v>492</v>
      </c>
      <c r="V151" t="s">
        <v>529</v>
      </c>
      <c r="W151" t="s">
        <v>532</v>
      </c>
    </row>
    <row r="152" spans="1:23" x14ac:dyDescent="0.25">
      <c r="A152" t="s">
        <v>533</v>
      </c>
      <c r="B152" t="s">
        <v>533</v>
      </c>
      <c r="C152">
        <v>0</v>
      </c>
      <c r="D152" s="3">
        <v>0</v>
      </c>
      <c r="E152">
        <v>10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813</v>
      </c>
      <c r="U152" t="s">
        <v>492</v>
      </c>
      <c r="V152" t="s">
        <v>529</v>
      </c>
      <c r="W152" t="s">
        <v>534</v>
      </c>
    </row>
    <row r="153" spans="1:23" x14ac:dyDescent="0.25">
      <c r="A153" t="s">
        <v>535</v>
      </c>
      <c r="B153" t="s">
        <v>535</v>
      </c>
      <c r="C153">
        <v>0</v>
      </c>
      <c r="D153" s="3">
        <v>0</v>
      </c>
      <c r="E153">
        <v>10</v>
      </c>
      <c r="G153">
        <v>0</v>
      </c>
      <c r="H153">
        <v>0</v>
      </c>
      <c r="I153">
        <v>0</v>
      </c>
      <c r="J153">
        <v>0</v>
      </c>
      <c r="K153">
        <v>10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10</v>
      </c>
      <c r="T153" t="s">
        <v>813</v>
      </c>
      <c r="U153" t="s">
        <v>492</v>
      </c>
      <c r="V153" t="s">
        <v>529</v>
      </c>
      <c r="W153" t="s">
        <v>536</v>
      </c>
    </row>
    <row r="154" spans="1:23" x14ac:dyDescent="0.25">
      <c r="A154" t="s">
        <v>537</v>
      </c>
      <c r="B154" t="s">
        <v>537</v>
      </c>
      <c r="C154">
        <v>0</v>
      </c>
      <c r="D154" s="3">
        <v>0</v>
      </c>
      <c r="E154">
        <v>20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813</v>
      </c>
      <c r="U154" t="s">
        <v>492</v>
      </c>
      <c r="V154" t="s">
        <v>529</v>
      </c>
      <c r="W154" t="s">
        <v>538</v>
      </c>
    </row>
    <row r="155" spans="1:23" x14ac:dyDescent="0.25">
      <c r="A155" t="s">
        <v>539</v>
      </c>
      <c r="B155" t="s">
        <v>539</v>
      </c>
      <c r="C155">
        <v>0</v>
      </c>
      <c r="D155" s="3">
        <v>0</v>
      </c>
      <c r="E155">
        <v>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813</v>
      </c>
      <c r="U155" t="s">
        <v>492</v>
      </c>
      <c r="V155" t="s">
        <v>529</v>
      </c>
      <c r="W155" t="s">
        <v>540</v>
      </c>
    </row>
    <row r="156" spans="1:23" x14ac:dyDescent="0.25">
      <c r="A156" t="s">
        <v>541</v>
      </c>
      <c r="B156" t="s">
        <v>541</v>
      </c>
      <c r="C156">
        <v>0.5</v>
      </c>
      <c r="D156" s="4">
        <v>2</v>
      </c>
      <c r="E156">
        <v>810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2</v>
      </c>
      <c r="M156">
        <v>2</v>
      </c>
      <c r="N156">
        <v>5</v>
      </c>
      <c r="O156">
        <v>5</v>
      </c>
      <c r="P156">
        <v>3</v>
      </c>
      <c r="Q156">
        <v>0</v>
      </c>
      <c r="R156">
        <v>0</v>
      </c>
      <c r="S156">
        <v>18</v>
      </c>
      <c r="T156" t="s">
        <v>813</v>
      </c>
      <c r="U156" t="s">
        <v>492</v>
      </c>
      <c r="V156" t="s">
        <v>542</v>
      </c>
      <c r="W156" t="s">
        <v>543</v>
      </c>
    </row>
    <row r="157" spans="1:23" x14ac:dyDescent="0.25">
      <c r="A157" t="s">
        <v>544</v>
      </c>
      <c r="B157" t="s">
        <v>544</v>
      </c>
      <c r="C157">
        <v>2</v>
      </c>
      <c r="D157" s="4">
        <v>3.7</v>
      </c>
      <c r="E157">
        <v>139</v>
      </c>
      <c r="G157">
        <v>5</v>
      </c>
      <c r="H157">
        <v>1</v>
      </c>
      <c r="I157">
        <v>1</v>
      </c>
      <c r="J157">
        <v>2</v>
      </c>
      <c r="K157">
        <v>0</v>
      </c>
      <c r="L157">
        <v>2</v>
      </c>
      <c r="M157">
        <v>3</v>
      </c>
      <c r="N157">
        <v>5</v>
      </c>
      <c r="O157">
        <v>2</v>
      </c>
      <c r="P157">
        <v>20</v>
      </c>
      <c r="Q157">
        <v>0</v>
      </c>
      <c r="R157">
        <v>0</v>
      </c>
      <c r="S157">
        <v>41</v>
      </c>
      <c r="T157" t="s">
        <v>813</v>
      </c>
      <c r="U157" t="s">
        <v>492</v>
      </c>
      <c r="V157" t="s">
        <v>542</v>
      </c>
      <c r="W157" t="s">
        <v>545</v>
      </c>
    </row>
    <row r="158" spans="1:23" x14ac:dyDescent="0.25">
      <c r="A158" t="s">
        <v>546</v>
      </c>
      <c r="B158" t="s">
        <v>546</v>
      </c>
      <c r="C158">
        <v>2</v>
      </c>
      <c r="D158" s="4">
        <v>4.5</v>
      </c>
      <c r="E158">
        <v>46</v>
      </c>
      <c r="F158">
        <v>20</v>
      </c>
      <c r="G158">
        <v>4</v>
      </c>
      <c r="H158">
        <v>7</v>
      </c>
      <c r="I158">
        <v>2</v>
      </c>
      <c r="J158">
        <v>1</v>
      </c>
      <c r="K158">
        <v>2</v>
      </c>
      <c r="L158">
        <v>4</v>
      </c>
      <c r="M158">
        <v>1</v>
      </c>
      <c r="N158">
        <v>6</v>
      </c>
      <c r="O158">
        <v>2</v>
      </c>
      <c r="P158">
        <v>20</v>
      </c>
      <c r="Q158">
        <v>1</v>
      </c>
      <c r="R158">
        <v>0</v>
      </c>
      <c r="S158">
        <v>50</v>
      </c>
      <c r="T158" t="s">
        <v>813</v>
      </c>
      <c r="U158" t="s">
        <v>492</v>
      </c>
      <c r="V158" t="s">
        <v>542</v>
      </c>
      <c r="W158" t="s">
        <v>547</v>
      </c>
    </row>
    <row r="159" spans="1:23" x14ac:dyDescent="0.25">
      <c r="A159" t="s">
        <v>548</v>
      </c>
      <c r="B159" t="s">
        <v>548</v>
      </c>
      <c r="C159">
        <v>0</v>
      </c>
      <c r="D159" s="3">
        <v>0</v>
      </c>
      <c r="E159">
        <v>50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813</v>
      </c>
      <c r="U159" t="s">
        <v>492</v>
      </c>
      <c r="V159" t="s">
        <v>542</v>
      </c>
      <c r="W159" t="s">
        <v>549</v>
      </c>
    </row>
    <row r="160" spans="1:23" x14ac:dyDescent="0.25">
      <c r="A160" t="s">
        <v>550</v>
      </c>
      <c r="B160" t="s">
        <v>550</v>
      </c>
      <c r="C160">
        <v>0</v>
      </c>
      <c r="D160" s="4">
        <v>0.3</v>
      </c>
      <c r="E160">
        <v>124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</v>
      </c>
      <c r="P160">
        <v>0</v>
      </c>
      <c r="Q160">
        <v>0</v>
      </c>
      <c r="R160">
        <v>0</v>
      </c>
      <c r="S160">
        <v>3</v>
      </c>
      <c r="T160" t="s">
        <v>813</v>
      </c>
      <c r="U160" t="s">
        <v>492</v>
      </c>
      <c r="V160" t="s">
        <v>542</v>
      </c>
      <c r="W160" t="s">
        <v>551</v>
      </c>
    </row>
    <row r="161" spans="1:23" x14ac:dyDescent="0.25">
      <c r="A161" t="s">
        <v>552</v>
      </c>
      <c r="B161" t="s">
        <v>552</v>
      </c>
      <c r="C161">
        <v>0</v>
      </c>
      <c r="D161" s="3">
        <v>0</v>
      </c>
      <c r="E161">
        <v>65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 t="s">
        <v>813</v>
      </c>
      <c r="U161" t="s">
        <v>492</v>
      </c>
      <c r="V161" t="s">
        <v>542</v>
      </c>
      <c r="W161" t="s">
        <v>553</v>
      </c>
    </row>
    <row r="162" spans="1:23" x14ac:dyDescent="0.25">
      <c r="A162" t="s">
        <v>554</v>
      </c>
      <c r="B162" t="s">
        <v>554</v>
      </c>
      <c r="C162">
        <v>0</v>
      </c>
      <c r="D162" s="4">
        <v>1.7</v>
      </c>
      <c r="E162">
        <v>18</v>
      </c>
      <c r="G162">
        <v>5</v>
      </c>
      <c r="H162">
        <v>8</v>
      </c>
      <c r="I162">
        <v>0</v>
      </c>
      <c r="J162">
        <v>0</v>
      </c>
      <c r="K162">
        <v>1</v>
      </c>
      <c r="L162">
        <v>2</v>
      </c>
      <c r="M162">
        <v>0</v>
      </c>
      <c r="N162">
        <v>4</v>
      </c>
      <c r="O162">
        <v>0</v>
      </c>
      <c r="P162">
        <v>0</v>
      </c>
      <c r="Q162">
        <v>0</v>
      </c>
      <c r="R162">
        <v>0</v>
      </c>
      <c r="S162">
        <v>20</v>
      </c>
      <c r="T162" t="s">
        <v>813</v>
      </c>
      <c r="U162" t="s">
        <v>492</v>
      </c>
      <c r="V162" t="s">
        <v>555</v>
      </c>
      <c r="W162" t="s">
        <v>556</v>
      </c>
    </row>
    <row r="163" spans="1:23" x14ac:dyDescent="0.25">
      <c r="A163" t="s">
        <v>557</v>
      </c>
      <c r="B163" t="s">
        <v>557</v>
      </c>
      <c r="C163">
        <v>0.5</v>
      </c>
      <c r="D163" s="4">
        <v>1.8</v>
      </c>
      <c r="E163">
        <v>17</v>
      </c>
      <c r="G163">
        <v>4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4</v>
      </c>
      <c r="O163">
        <v>2</v>
      </c>
      <c r="P163">
        <v>0</v>
      </c>
      <c r="Q163">
        <v>10</v>
      </c>
      <c r="R163">
        <v>0</v>
      </c>
      <c r="S163">
        <v>22</v>
      </c>
      <c r="T163" t="s">
        <v>813</v>
      </c>
      <c r="U163" t="s">
        <v>492</v>
      </c>
      <c r="V163" t="s">
        <v>555</v>
      </c>
      <c r="W163" t="s">
        <v>558</v>
      </c>
    </row>
    <row r="164" spans="1:23" x14ac:dyDescent="0.25">
      <c r="A164" t="s">
        <v>559</v>
      </c>
      <c r="B164" t="s">
        <v>559</v>
      </c>
      <c r="C164">
        <v>0</v>
      </c>
      <c r="D164" s="4">
        <v>1.25</v>
      </c>
      <c r="E164">
        <v>15</v>
      </c>
      <c r="F164">
        <v>10</v>
      </c>
      <c r="G164">
        <v>0</v>
      </c>
      <c r="H164">
        <v>5</v>
      </c>
      <c r="I164">
        <v>0</v>
      </c>
      <c r="J164">
        <v>0</v>
      </c>
      <c r="K164">
        <v>0</v>
      </c>
      <c r="L164">
        <v>2</v>
      </c>
      <c r="M164">
        <v>0</v>
      </c>
      <c r="N164">
        <v>4</v>
      </c>
      <c r="O164">
        <v>3</v>
      </c>
      <c r="P164">
        <v>0</v>
      </c>
      <c r="Q164">
        <v>0</v>
      </c>
      <c r="R164">
        <v>1</v>
      </c>
      <c r="S164">
        <v>15</v>
      </c>
      <c r="T164" t="s">
        <v>813</v>
      </c>
      <c r="U164" t="s">
        <v>492</v>
      </c>
      <c r="V164" t="s">
        <v>555</v>
      </c>
      <c r="W164" t="s">
        <v>560</v>
      </c>
    </row>
    <row r="165" spans="1:23" x14ac:dyDescent="0.25">
      <c r="A165" t="s">
        <v>561</v>
      </c>
      <c r="B165" t="s">
        <v>561</v>
      </c>
      <c r="C165">
        <v>0</v>
      </c>
      <c r="D165" s="4">
        <v>0.4</v>
      </c>
      <c r="E165">
        <v>40</v>
      </c>
      <c r="G165">
        <v>0</v>
      </c>
      <c r="H165">
        <v>0</v>
      </c>
      <c r="I165">
        <v>0</v>
      </c>
      <c r="J165">
        <v>0</v>
      </c>
      <c r="K165">
        <v>5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5</v>
      </c>
      <c r="T165" t="s">
        <v>813</v>
      </c>
      <c r="U165" t="s">
        <v>492</v>
      </c>
      <c r="V165" t="s">
        <v>555</v>
      </c>
      <c r="W165" t="s">
        <v>562</v>
      </c>
    </row>
    <row r="166" spans="1:23" x14ac:dyDescent="0.25">
      <c r="A166" t="s">
        <v>563</v>
      </c>
      <c r="B166" t="s">
        <v>563</v>
      </c>
      <c r="C166">
        <v>0</v>
      </c>
      <c r="D166" s="3">
        <v>0</v>
      </c>
      <c r="E166">
        <v>49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813</v>
      </c>
      <c r="U166" t="s">
        <v>492</v>
      </c>
      <c r="V166" t="s">
        <v>555</v>
      </c>
      <c r="W166" t="s">
        <v>564</v>
      </c>
    </row>
    <row r="167" spans="1:23" x14ac:dyDescent="0.25">
      <c r="A167" t="s">
        <v>565</v>
      </c>
      <c r="B167" t="s">
        <v>565</v>
      </c>
      <c r="C167">
        <v>0</v>
      </c>
      <c r="D167" s="4">
        <v>0.4</v>
      </c>
      <c r="E167">
        <v>53</v>
      </c>
      <c r="G167">
        <v>0</v>
      </c>
      <c r="H167">
        <v>0</v>
      </c>
      <c r="I167">
        <v>0</v>
      </c>
      <c r="J167">
        <v>0</v>
      </c>
      <c r="K167">
        <v>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5</v>
      </c>
      <c r="T167" t="s">
        <v>813</v>
      </c>
      <c r="U167" t="s">
        <v>492</v>
      </c>
      <c r="V167" t="s">
        <v>555</v>
      </c>
      <c r="W167" t="s">
        <v>566</v>
      </c>
    </row>
    <row r="168" spans="1:23" x14ac:dyDescent="0.25">
      <c r="A168" t="s">
        <v>571</v>
      </c>
      <c r="B168" t="s">
        <v>571</v>
      </c>
      <c r="C168">
        <v>0</v>
      </c>
      <c r="D168" s="3">
        <v>0</v>
      </c>
      <c r="E168">
        <v>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 t="s">
        <v>813</v>
      </c>
      <c r="U168" t="s">
        <v>568</v>
      </c>
      <c r="V168" t="s">
        <v>569</v>
      </c>
      <c r="W168" t="s">
        <v>570</v>
      </c>
    </row>
    <row r="169" spans="1:23" x14ac:dyDescent="0.25">
      <c r="A169" t="s">
        <v>572</v>
      </c>
      <c r="B169" t="s">
        <v>572</v>
      </c>
      <c r="C169">
        <v>0</v>
      </c>
      <c r="D169" s="3">
        <v>0</v>
      </c>
      <c r="E169">
        <v>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 t="s">
        <v>813</v>
      </c>
      <c r="U169" t="s">
        <v>568</v>
      </c>
      <c r="V169" t="s">
        <v>573</v>
      </c>
      <c r="W169" t="s">
        <v>574</v>
      </c>
    </row>
    <row r="170" spans="1:23" x14ac:dyDescent="0.25">
      <c r="A170" t="s">
        <v>575</v>
      </c>
      <c r="B170" t="s">
        <v>575</v>
      </c>
      <c r="C170">
        <v>0</v>
      </c>
      <c r="D170" s="3">
        <v>0</v>
      </c>
      <c r="E170">
        <v>20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813</v>
      </c>
      <c r="U170" t="s">
        <v>576</v>
      </c>
      <c r="V170" t="s">
        <v>577</v>
      </c>
      <c r="W170" t="s">
        <v>578</v>
      </c>
    </row>
    <row r="171" spans="1:23" x14ac:dyDescent="0.25">
      <c r="A171" t="s">
        <v>579</v>
      </c>
      <c r="B171" t="s">
        <v>579</v>
      </c>
      <c r="C171">
        <v>0</v>
      </c>
      <c r="D171" s="3">
        <v>0</v>
      </c>
      <c r="E171">
        <v>20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813</v>
      </c>
      <c r="U171" t="s">
        <v>576</v>
      </c>
      <c r="V171" t="s">
        <v>577</v>
      </c>
      <c r="W171" t="s">
        <v>580</v>
      </c>
    </row>
    <row r="172" spans="1:23" x14ac:dyDescent="0.25">
      <c r="A172" t="s">
        <v>581</v>
      </c>
      <c r="B172" t="s">
        <v>581</v>
      </c>
      <c r="C172">
        <v>0</v>
      </c>
      <c r="D172" s="3">
        <v>0</v>
      </c>
      <c r="E172">
        <v>20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 t="s">
        <v>813</v>
      </c>
      <c r="U172" t="s">
        <v>576</v>
      </c>
      <c r="V172" t="s">
        <v>577</v>
      </c>
      <c r="W172" t="s">
        <v>582</v>
      </c>
    </row>
    <row r="173" spans="1:23" x14ac:dyDescent="0.25">
      <c r="A173" t="s">
        <v>824</v>
      </c>
      <c r="B173" t="s">
        <v>824</v>
      </c>
      <c r="C173">
        <v>0</v>
      </c>
      <c r="D173" s="3">
        <v>0</v>
      </c>
      <c r="E173">
        <v>24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8</v>
      </c>
      <c r="Q173">
        <v>8</v>
      </c>
      <c r="R173">
        <v>0</v>
      </c>
      <c r="S173">
        <v>16</v>
      </c>
      <c r="T173" t="s">
        <v>815</v>
      </c>
      <c r="U173" t="s">
        <v>45</v>
      </c>
      <c r="V173" t="s">
        <v>825</v>
      </c>
      <c r="W173" t="s">
        <v>817</v>
      </c>
    </row>
    <row r="174" spans="1:23" x14ac:dyDescent="0.25">
      <c r="A174" t="s">
        <v>826</v>
      </c>
      <c r="B174" t="s">
        <v>826</v>
      </c>
      <c r="C174">
        <v>4</v>
      </c>
      <c r="D174" s="3">
        <v>4</v>
      </c>
      <c r="E174">
        <v>624</v>
      </c>
      <c r="G174">
        <v>16</v>
      </c>
      <c r="H174">
        <v>0</v>
      </c>
      <c r="I174">
        <v>8</v>
      </c>
      <c r="J174">
        <v>12</v>
      </c>
      <c r="K174">
        <v>8</v>
      </c>
      <c r="L174">
        <v>0</v>
      </c>
      <c r="M174">
        <v>8</v>
      </c>
      <c r="N174">
        <v>0</v>
      </c>
      <c r="O174">
        <v>204</v>
      </c>
      <c r="P174">
        <v>0</v>
      </c>
      <c r="Q174">
        <v>0</v>
      </c>
      <c r="R174">
        <v>-56</v>
      </c>
      <c r="S174">
        <v>200</v>
      </c>
      <c r="T174" t="s">
        <v>815</v>
      </c>
      <c r="U174" t="s">
        <v>45</v>
      </c>
      <c r="V174" t="s">
        <v>825</v>
      </c>
      <c r="W174" t="s">
        <v>818</v>
      </c>
    </row>
    <row r="175" spans="1:23" x14ac:dyDescent="0.25">
      <c r="A175" t="s">
        <v>827</v>
      </c>
      <c r="B175" t="s">
        <v>827</v>
      </c>
      <c r="C175">
        <v>0</v>
      </c>
      <c r="D175" s="3">
        <v>0</v>
      </c>
      <c r="E175">
        <v>24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8</v>
      </c>
      <c r="Q175">
        <v>8</v>
      </c>
      <c r="R175">
        <v>0</v>
      </c>
      <c r="S175">
        <v>16</v>
      </c>
      <c r="T175" t="s">
        <v>815</v>
      </c>
      <c r="U175" t="s">
        <v>45</v>
      </c>
      <c r="V175" t="s">
        <v>828</v>
      </c>
      <c r="W175" t="s">
        <v>821</v>
      </c>
    </row>
    <row r="176" spans="1:23" x14ac:dyDescent="0.25">
      <c r="A176" t="s">
        <v>829</v>
      </c>
      <c r="B176" t="s">
        <v>829</v>
      </c>
      <c r="C176">
        <v>4</v>
      </c>
      <c r="D176" s="3">
        <v>4</v>
      </c>
      <c r="E176">
        <v>620</v>
      </c>
      <c r="G176">
        <v>16</v>
      </c>
      <c r="H176">
        <v>0</v>
      </c>
      <c r="I176">
        <v>8</v>
      </c>
      <c r="J176">
        <v>12</v>
      </c>
      <c r="K176">
        <v>8</v>
      </c>
      <c r="L176">
        <v>0</v>
      </c>
      <c r="M176">
        <v>8</v>
      </c>
      <c r="N176">
        <v>0</v>
      </c>
      <c r="O176">
        <v>212</v>
      </c>
      <c r="P176">
        <v>0</v>
      </c>
      <c r="Q176">
        <v>0</v>
      </c>
      <c r="R176">
        <v>-56</v>
      </c>
      <c r="S176">
        <v>208</v>
      </c>
      <c r="T176" t="s">
        <v>815</v>
      </c>
      <c r="U176" t="s">
        <v>45</v>
      </c>
      <c r="V176" t="s">
        <v>828</v>
      </c>
      <c r="W176" t="s">
        <v>823</v>
      </c>
    </row>
    <row r="177" spans="1:23" x14ac:dyDescent="0.25">
      <c r="A177" t="s">
        <v>1744</v>
      </c>
      <c r="B177" t="s">
        <v>1744</v>
      </c>
      <c r="C177">
        <v>0</v>
      </c>
      <c r="D177" s="3">
        <v>0</v>
      </c>
      <c r="E177">
        <v>208</v>
      </c>
      <c r="G177">
        <v>0</v>
      </c>
      <c r="H177">
        <v>0</v>
      </c>
      <c r="I177">
        <v>0</v>
      </c>
      <c r="J177">
        <v>0</v>
      </c>
      <c r="K177">
        <v>4</v>
      </c>
      <c r="L177">
        <v>8</v>
      </c>
      <c r="M177">
        <v>0</v>
      </c>
      <c r="N177">
        <v>0</v>
      </c>
      <c r="O177">
        <v>200</v>
      </c>
      <c r="P177">
        <v>0</v>
      </c>
      <c r="Q177">
        <v>0</v>
      </c>
      <c r="R177">
        <v>32</v>
      </c>
      <c r="S177">
        <v>244</v>
      </c>
      <c r="T177" t="s">
        <v>815</v>
      </c>
      <c r="U177" t="s">
        <v>45</v>
      </c>
      <c r="V177" t="s">
        <v>1745</v>
      </c>
      <c r="W177" t="s">
        <v>818</v>
      </c>
    </row>
    <row r="178" spans="1:23" x14ac:dyDescent="0.25">
      <c r="A178" t="s">
        <v>1746</v>
      </c>
      <c r="B178" t="s">
        <v>1746</v>
      </c>
      <c r="C178">
        <v>0</v>
      </c>
      <c r="D178" s="3">
        <v>0</v>
      </c>
      <c r="E178">
        <v>248</v>
      </c>
      <c r="G178">
        <v>0</v>
      </c>
      <c r="H178">
        <v>0</v>
      </c>
      <c r="I178">
        <v>0</v>
      </c>
      <c r="J178">
        <v>0</v>
      </c>
      <c r="K178">
        <v>4</v>
      </c>
      <c r="L178">
        <v>8</v>
      </c>
      <c r="M178">
        <v>0</v>
      </c>
      <c r="N178">
        <v>0</v>
      </c>
      <c r="O178">
        <v>280</v>
      </c>
      <c r="P178">
        <v>0</v>
      </c>
      <c r="Q178">
        <v>0</v>
      </c>
      <c r="R178">
        <v>32</v>
      </c>
      <c r="S178">
        <v>324</v>
      </c>
      <c r="T178" t="s">
        <v>815</v>
      </c>
      <c r="U178" t="s">
        <v>45</v>
      </c>
      <c r="V178" t="s">
        <v>1747</v>
      </c>
      <c r="W178" t="s">
        <v>823</v>
      </c>
    </row>
    <row r="179" spans="1:23" x14ac:dyDescent="0.25">
      <c r="A179" t="s">
        <v>618</v>
      </c>
      <c r="B179" t="s">
        <v>618</v>
      </c>
      <c r="C179">
        <v>0</v>
      </c>
      <c r="D179" s="3">
        <v>0</v>
      </c>
      <c r="E179">
        <v>292</v>
      </c>
      <c r="G179">
        <v>24</v>
      </c>
      <c r="H179">
        <v>40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88</v>
      </c>
      <c r="P179">
        <v>0</v>
      </c>
      <c r="Q179">
        <v>56</v>
      </c>
      <c r="R179">
        <v>0</v>
      </c>
      <c r="S179">
        <v>208</v>
      </c>
      <c r="T179" t="s">
        <v>815</v>
      </c>
      <c r="U179" t="s">
        <v>45</v>
      </c>
      <c r="V179" t="s">
        <v>830</v>
      </c>
      <c r="W179" t="s">
        <v>818</v>
      </c>
    </row>
    <row r="180" spans="1:23" x14ac:dyDescent="0.25">
      <c r="A180" t="s">
        <v>831</v>
      </c>
      <c r="B180" t="s">
        <v>831</v>
      </c>
      <c r="C180">
        <v>0</v>
      </c>
      <c r="D180" s="3">
        <v>0</v>
      </c>
      <c r="E180">
        <v>292</v>
      </c>
      <c r="G180">
        <v>24</v>
      </c>
      <c r="H180">
        <v>40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88</v>
      </c>
      <c r="P180">
        <v>0</v>
      </c>
      <c r="Q180">
        <v>56</v>
      </c>
      <c r="R180">
        <v>0</v>
      </c>
      <c r="S180">
        <v>208</v>
      </c>
      <c r="T180" t="s">
        <v>815</v>
      </c>
      <c r="U180" t="s">
        <v>45</v>
      </c>
      <c r="V180" t="s">
        <v>832</v>
      </c>
      <c r="W180" t="s">
        <v>823</v>
      </c>
    </row>
    <row r="181" spans="1:23" x14ac:dyDescent="0.25">
      <c r="A181" t="s">
        <v>833</v>
      </c>
      <c r="B181" t="s">
        <v>833</v>
      </c>
      <c r="C181">
        <v>0</v>
      </c>
      <c r="D181" s="3">
        <v>0</v>
      </c>
      <c r="E181">
        <v>252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48</v>
      </c>
      <c r="P181">
        <v>0</v>
      </c>
      <c r="Q181">
        <v>0</v>
      </c>
      <c r="R181">
        <v>0</v>
      </c>
      <c r="S181">
        <v>48</v>
      </c>
      <c r="T181" t="s">
        <v>815</v>
      </c>
      <c r="U181" t="s">
        <v>45</v>
      </c>
      <c r="V181" t="s">
        <v>834</v>
      </c>
      <c r="W181" t="s">
        <v>818</v>
      </c>
    </row>
    <row r="182" spans="1:23" x14ac:dyDescent="0.25">
      <c r="A182" t="s">
        <v>835</v>
      </c>
      <c r="B182" t="s">
        <v>835</v>
      </c>
      <c r="C182">
        <v>0</v>
      </c>
      <c r="D182" s="3">
        <v>0</v>
      </c>
      <c r="E182">
        <v>252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48</v>
      </c>
      <c r="P182">
        <v>0</v>
      </c>
      <c r="Q182">
        <v>0</v>
      </c>
      <c r="R182">
        <v>0</v>
      </c>
      <c r="S182">
        <v>48</v>
      </c>
      <c r="T182" t="s">
        <v>815</v>
      </c>
      <c r="U182" t="s">
        <v>45</v>
      </c>
      <c r="V182" t="s">
        <v>836</v>
      </c>
      <c r="W182" t="s">
        <v>823</v>
      </c>
    </row>
    <row r="183" spans="1:23" x14ac:dyDescent="0.25">
      <c r="A183" t="s">
        <v>744</v>
      </c>
      <c r="B183" t="s">
        <v>744</v>
      </c>
      <c r="C183">
        <v>54</v>
      </c>
      <c r="D183" s="3">
        <v>54</v>
      </c>
      <c r="E183">
        <v>440</v>
      </c>
      <c r="F183">
        <v>200</v>
      </c>
      <c r="G183">
        <v>104</v>
      </c>
      <c r="H183">
        <v>40</v>
      </c>
      <c r="I183">
        <v>52</v>
      </c>
      <c r="J183">
        <v>124</v>
      </c>
      <c r="K183">
        <v>356</v>
      </c>
      <c r="L183">
        <v>4</v>
      </c>
      <c r="M183">
        <v>68</v>
      </c>
      <c r="N183">
        <v>56</v>
      </c>
      <c r="O183">
        <v>60</v>
      </c>
      <c r="P183">
        <v>52</v>
      </c>
      <c r="Q183">
        <v>24</v>
      </c>
      <c r="R183">
        <v>0</v>
      </c>
      <c r="S183">
        <v>940</v>
      </c>
      <c r="T183" t="s">
        <v>815</v>
      </c>
      <c r="U183" t="s">
        <v>45</v>
      </c>
      <c r="V183" t="s">
        <v>837</v>
      </c>
      <c r="W183" t="s">
        <v>818</v>
      </c>
    </row>
    <row r="184" spans="1:23" x14ac:dyDescent="0.25">
      <c r="A184" t="s">
        <v>620</v>
      </c>
      <c r="B184" t="s">
        <v>620</v>
      </c>
      <c r="C184">
        <v>54</v>
      </c>
      <c r="D184" s="3">
        <v>54</v>
      </c>
      <c r="E184">
        <v>480</v>
      </c>
      <c r="F184">
        <v>200</v>
      </c>
      <c r="G184">
        <v>104</v>
      </c>
      <c r="H184">
        <v>40</v>
      </c>
      <c r="I184">
        <v>52</v>
      </c>
      <c r="J184">
        <v>124</v>
      </c>
      <c r="K184">
        <v>356</v>
      </c>
      <c r="L184">
        <v>4</v>
      </c>
      <c r="M184">
        <v>76</v>
      </c>
      <c r="N184">
        <v>56</v>
      </c>
      <c r="O184">
        <v>60</v>
      </c>
      <c r="P184">
        <v>52</v>
      </c>
      <c r="Q184">
        <v>24</v>
      </c>
      <c r="R184">
        <v>0</v>
      </c>
      <c r="S184">
        <v>948</v>
      </c>
      <c r="T184" t="s">
        <v>815</v>
      </c>
      <c r="U184" t="s">
        <v>45</v>
      </c>
      <c r="V184" t="s">
        <v>838</v>
      </c>
      <c r="W184" t="s">
        <v>823</v>
      </c>
    </row>
    <row r="185" spans="1:23" x14ac:dyDescent="0.25">
      <c r="A185" t="s">
        <v>839</v>
      </c>
      <c r="B185" t="s">
        <v>839</v>
      </c>
      <c r="C185">
        <v>0</v>
      </c>
      <c r="D185" s="3">
        <v>0</v>
      </c>
      <c r="E185">
        <v>84</v>
      </c>
      <c r="G185">
        <v>0</v>
      </c>
      <c r="H185">
        <v>8</v>
      </c>
      <c r="I185">
        <v>0</v>
      </c>
      <c r="J185">
        <v>0</v>
      </c>
      <c r="K185">
        <v>0</v>
      </c>
      <c r="L185">
        <v>8</v>
      </c>
      <c r="M185">
        <v>24</v>
      </c>
      <c r="N185">
        <v>0</v>
      </c>
      <c r="O185">
        <v>64</v>
      </c>
      <c r="P185">
        <v>0</v>
      </c>
      <c r="Q185">
        <v>0</v>
      </c>
      <c r="R185">
        <v>8</v>
      </c>
      <c r="S185">
        <v>112</v>
      </c>
      <c r="T185" t="s">
        <v>815</v>
      </c>
      <c r="U185" t="s">
        <v>45</v>
      </c>
      <c r="V185" t="s">
        <v>840</v>
      </c>
      <c r="W185" t="s">
        <v>818</v>
      </c>
    </row>
    <row r="186" spans="1:23" x14ac:dyDescent="0.25">
      <c r="A186" t="s">
        <v>841</v>
      </c>
      <c r="B186" t="s">
        <v>841</v>
      </c>
      <c r="C186">
        <v>0</v>
      </c>
      <c r="D186" s="3">
        <v>0</v>
      </c>
      <c r="E186">
        <v>80</v>
      </c>
      <c r="G186">
        <v>0</v>
      </c>
      <c r="H186">
        <v>8</v>
      </c>
      <c r="I186">
        <v>0</v>
      </c>
      <c r="J186">
        <v>0</v>
      </c>
      <c r="K186">
        <v>0</v>
      </c>
      <c r="L186">
        <v>8</v>
      </c>
      <c r="M186">
        <v>24</v>
      </c>
      <c r="N186">
        <v>0</v>
      </c>
      <c r="O186">
        <v>64</v>
      </c>
      <c r="P186">
        <v>0</v>
      </c>
      <c r="Q186">
        <v>0</v>
      </c>
      <c r="R186">
        <v>8</v>
      </c>
      <c r="S186">
        <v>112</v>
      </c>
      <c r="T186" t="s">
        <v>815</v>
      </c>
      <c r="U186" t="s">
        <v>45</v>
      </c>
      <c r="V186" t="s">
        <v>842</v>
      </c>
      <c r="W186" t="s">
        <v>823</v>
      </c>
    </row>
    <row r="187" spans="1:23" x14ac:dyDescent="0.25">
      <c r="A187" t="s">
        <v>848</v>
      </c>
      <c r="B187" t="s">
        <v>848</v>
      </c>
      <c r="C187">
        <v>0</v>
      </c>
      <c r="D187" s="3">
        <v>0</v>
      </c>
      <c r="E187">
        <v>92</v>
      </c>
      <c r="G187">
        <v>0</v>
      </c>
      <c r="H187">
        <v>0</v>
      </c>
      <c r="I187">
        <v>28</v>
      </c>
      <c r="J187">
        <v>0</v>
      </c>
      <c r="K187">
        <v>4</v>
      </c>
      <c r="L187">
        <v>0</v>
      </c>
      <c r="M187">
        <v>0</v>
      </c>
      <c r="N187">
        <v>4</v>
      </c>
      <c r="O187">
        <v>0</v>
      </c>
      <c r="P187">
        <v>20</v>
      </c>
      <c r="Q187">
        <v>0</v>
      </c>
      <c r="R187">
        <v>0</v>
      </c>
      <c r="S187">
        <v>56</v>
      </c>
      <c r="T187" t="s">
        <v>815</v>
      </c>
      <c r="U187" t="s">
        <v>83</v>
      </c>
      <c r="V187" t="s">
        <v>849</v>
      </c>
      <c r="W187" t="s">
        <v>817</v>
      </c>
    </row>
    <row r="188" spans="1:23" x14ac:dyDescent="0.25">
      <c r="A188" t="s">
        <v>621</v>
      </c>
      <c r="B188" t="s">
        <v>621</v>
      </c>
      <c r="C188">
        <v>12</v>
      </c>
      <c r="D188" s="3">
        <v>12</v>
      </c>
      <c r="E188">
        <v>92</v>
      </c>
      <c r="G188">
        <v>12</v>
      </c>
      <c r="H188">
        <v>0</v>
      </c>
      <c r="I188">
        <v>4</v>
      </c>
      <c r="J188">
        <v>-8</v>
      </c>
      <c r="K188">
        <v>20</v>
      </c>
      <c r="L188">
        <v>64</v>
      </c>
      <c r="M188">
        <v>16</v>
      </c>
      <c r="N188">
        <v>12</v>
      </c>
      <c r="O188">
        <v>44</v>
      </c>
      <c r="P188">
        <v>12</v>
      </c>
      <c r="Q188">
        <v>36</v>
      </c>
      <c r="R188">
        <v>-64</v>
      </c>
      <c r="S188">
        <v>148</v>
      </c>
      <c r="T188" t="s">
        <v>815</v>
      </c>
      <c r="U188" t="s">
        <v>83</v>
      </c>
      <c r="V188" t="s">
        <v>849</v>
      </c>
      <c r="W188" t="s">
        <v>818</v>
      </c>
    </row>
    <row r="189" spans="1:23" x14ac:dyDescent="0.25">
      <c r="A189" t="s">
        <v>852</v>
      </c>
      <c r="B189" t="s">
        <v>852</v>
      </c>
      <c r="C189">
        <v>0</v>
      </c>
      <c r="D189" s="3">
        <v>0</v>
      </c>
      <c r="E189">
        <v>88</v>
      </c>
      <c r="G189">
        <v>0</v>
      </c>
      <c r="H189">
        <v>0</v>
      </c>
      <c r="I189">
        <v>28</v>
      </c>
      <c r="J189">
        <v>0</v>
      </c>
      <c r="K189">
        <v>4</v>
      </c>
      <c r="L189">
        <v>0</v>
      </c>
      <c r="M189">
        <v>0</v>
      </c>
      <c r="N189">
        <v>4</v>
      </c>
      <c r="O189">
        <v>0</v>
      </c>
      <c r="P189">
        <v>20</v>
      </c>
      <c r="Q189">
        <v>0</v>
      </c>
      <c r="R189">
        <v>0</v>
      </c>
      <c r="S189">
        <v>56</v>
      </c>
      <c r="T189" t="s">
        <v>815</v>
      </c>
      <c r="U189" t="s">
        <v>83</v>
      </c>
      <c r="V189" t="s">
        <v>853</v>
      </c>
      <c r="W189" t="s">
        <v>821</v>
      </c>
    </row>
    <row r="190" spans="1:23" x14ac:dyDescent="0.25">
      <c r="A190" t="s">
        <v>622</v>
      </c>
      <c r="B190" t="s">
        <v>622</v>
      </c>
      <c r="C190">
        <v>12</v>
      </c>
      <c r="D190" s="3">
        <v>12</v>
      </c>
      <c r="E190">
        <v>108</v>
      </c>
      <c r="F190">
        <v>100</v>
      </c>
      <c r="G190">
        <v>12</v>
      </c>
      <c r="H190">
        <v>0</v>
      </c>
      <c r="I190">
        <v>4</v>
      </c>
      <c r="J190">
        <v>-8</v>
      </c>
      <c r="K190">
        <v>20</v>
      </c>
      <c r="L190">
        <v>64</v>
      </c>
      <c r="M190">
        <v>16</v>
      </c>
      <c r="N190">
        <v>12</v>
      </c>
      <c r="O190">
        <v>44</v>
      </c>
      <c r="P190">
        <v>12</v>
      </c>
      <c r="Q190">
        <v>36</v>
      </c>
      <c r="R190">
        <v>-64</v>
      </c>
      <c r="S190">
        <v>148</v>
      </c>
      <c r="T190" t="s">
        <v>815</v>
      </c>
      <c r="U190" t="s">
        <v>83</v>
      </c>
      <c r="V190" t="s">
        <v>853</v>
      </c>
      <c r="W190" t="s">
        <v>823</v>
      </c>
    </row>
    <row r="191" spans="1:23" x14ac:dyDescent="0.25">
      <c r="A191" t="s">
        <v>856</v>
      </c>
      <c r="B191" t="s">
        <v>856</v>
      </c>
      <c r="C191">
        <v>0</v>
      </c>
      <c r="D191" s="3">
        <v>0</v>
      </c>
      <c r="E191">
        <v>92</v>
      </c>
      <c r="G191">
        <v>0</v>
      </c>
      <c r="H191">
        <v>0</v>
      </c>
      <c r="I191">
        <v>0</v>
      </c>
      <c r="J191">
        <v>0</v>
      </c>
      <c r="K191">
        <v>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4</v>
      </c>
      <c r="T191" t="s">
        <v>815</v>
      </c>
      <c r="U191" t="s">
        <v>83</v>
      </c>
      <c r="V191" t="s">
        <v>857</v>
      </c>
      <c r="W191" t="s">
        <v>817</v>
      </c>
    </row>
    <row r="192" spans="1:23" x14ac:dyDescent="0.25">
      <c r="A192" t="s">
        <v>858</v>
      </c>
      <c r="B192" t="s">
        <v>858</v>
      </c>
      <c r="C192">
        <v>0</v>
      </c>
      <c r="D192" s="3">
        <v>0</v>
      </c>
      <c r="E192">
        <v>624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4</v>
      </c>
      <c r="M192">
        <v>0</v>
      </c>
      <c r="N192">
        <v>0</v>
      </c>
      <c r="O192">
        <v>36</v>
      </c>
      <c r="P192">
        <v>8</v>
      </c>
      <c r="Q192">
        <v>8</v>
      </c>
      <c r="R192">
        <v>0</v>
      </c>
      <c r="S192">
        <v>56</v>
      </c>
      <c r="T192" t="s">
        <v>815</v>
      </c>
      <c r="U192" t="s">
        <v>83</v>
      </c>
      <c r="V192" t="s">
        <v>857</v>
      </c>
      <c r="W192" t="s">
        <v>818</v>
      </c>
    </row>
    <row r="193" spans="1:23" x14ac:dyDescent="0.25">
      <c r="A193" t="s">
        <v>859</v>
      </c>
      <c r="B193" t="s">
        <v>859</v>
      </c>
      <c r="C193">
        <v>0</v>
      </c>
      <c r="D193" s="3">
        <v>0</v>
      </c>
      <c r="E193">
        <v>72</v>
      </c>
      <c r="G193">
        <v>0</v>
      </c>
      <c r="H193">
        <v>0</v>
      </c>
      <c r="I193">
        <v>0</v>
      </c>
      <c r="J193">
        <v>0</v>
      </c>
      <c r="K193">
        <v>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4</v>
      </c>
      <c r="T193" t="s">
        <v>815</v>
      </c>
      <c r="U193" t="s">
        <v>83</v>
      </c>
      <c r="V193" t="s">
        <v>860</v>
      </c>
      <c r="W193" t="s">
        <v>821</v>
      </c>
    </row>
    <row r="194" spans="1:23" x14ac:dyDescent="0.25">
      <c r="A194" t="s">
        <v>706</v>
      </c>
      <c r="B194" t="s">
        <v>706</v>
      </c>
      <c r="C194">
        <v>0</v>
      </c>
      <c r="D194" s="3">
        <v>0</v>
      </c>
      <c r="E194">
        <v>624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4</v>
      </c>
      <c r="M194">
        <v>0</v>
      </c>
      <c r="N194">
        <v>0</v>
      </c>
      <c r="O194">
        <v>28</v>
      </c>
      <c r="P194">
        <v>8</v>
      </c>
      <c r="Q194">
        <v>8</v>
      </c>
      <c r="R194">
        <v>0</v>
      </c>
      <c r="S194">
        <v>48</v>
      </c>
      <c r="T194" t="s">
        <v>815</v>
      </c>
      <c r="U194" t="s">
        <v>83</v>
      </c>
      <c r="V194" t="s">
        <v>860</v>
      </c>
      <c r="W194" t="s">
        <v>823</v>
      </c>
    </row>
    <row r="195" spans="1:23" x14ac:dyDescent="0.25">
      <c r="A195" t="s">
        <v>623</v>
      </c>
      <c r="B195" t="s">
        <v>623</v>
      </c>
      <c r="C195">
        <v>0</v>
      </c>
      <c r="D195" s="3">
        <v>0</v>
      </c>
      <c r="E195">
        <v>176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 t="s">
        <v>815</v>
      </c>
      <c r="U195" t="s">
        <v>83</v>
      </c>
      <c r="V195" t="s">
        <v>865</v>
      </c>
      <c r="W195" t="s">
        <v>817</v>
      </c>
    </row>
    <row r="196" spans="1:23" x14ac:dyDescent="0.25">
      <c r="A196" t="s">
        <v>624</v>
      </c>
      <c r="B196" t="s">
        <v>624</v>
      </c>
      <c r="C196">
        <v>0</v>
      </c>
      <c r="D196" s="3">
        <v>0</v>
      </c>
      <c r="E196">
        <v>200</v>
      </c>
      <c r="G196">
        <v>12</v>
      </c>
      <c r="H196">
        <v>0</v>
      </c>
      <c r="I196">
        <v>24</v>
      </c>
      <c r="J196">
        <v>0</v>
      </c>
      <c r="K196">
        <v>0</v>
      </c>
      <c r="L196">
        <v>20</v>
      </c>
      <c r="M196">
        <v>0</v>
      </c>
      <c r="N196">
        <v>0</v>
      </c>
      <c r="O196">
        <v>52</v>
      </c>
      <c r="P196">
        <v>0</v>
      </c>
      <c r="Q196">
        <v>0</v>
      </c>
      <c r="R196">
        <v>-52</v>
      </c>
      <c r="S196">
        <v>56</v>
      </c>
      <c r="T196" t="s">
        <v>815</v>
      </c>
      <c r="U196" t="s">
        <v>83</v>
      </c>
      <c r="V196" t="s">
        <v>865</v>
      </c>
      <c r="W196" t="s">
        <v>818</v>
      </c>
    </row>
    <row r="197" spans="1:23" x14ac:dyDescent="0.25">
      <c r="A197" t="s">
        <v>625</v>
      </c>
      <c r="B197" t="s">
        <v>625</v>
      </c>
      <c r="C197">
        <v>0</v>
      </c>
      <c r="D197" s="3">
        <v>0</v>
      </c>
      <c r="E197">
        <v>180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 t="s">
        <v>815</v>
      </c>
      <c r="U197" t="s">
        <v>83</v>
      </c>
      <c r="V197" t="s">
        <v>866</v>
      </c>
      <c r="W197" t="s">
        <v>821</v>
      </c>
    </row>
    <row r="198" spans="1:23" x14ac:dyDescent="0.25">
      <c r="A198" t="s">
        <v>626</v>
      </c>
      <c r="B198" t="s">
        <v>626</v>
      </c>
      <c r="C198">
        <v>0</v>
      </c>
      <c r="D198" s="3">
        <v>0</v>
      </c>
      <c r="E198">
        <v>300</v>
      </c>
      <c r="F198">
        <v>100</v>
      </c>
      <c r="G198">
        <v>12</v>
      </c>
      <c r="H198">
        <v>0</v>
      </c>
      <c r="I198">
        <v>24</v>
      </c>
      <c r="J198">
        <v>0</v>
      </c>
      <c r="K198">
        <v>0</v>
      </c>
      <c r="L198">
        <v>20</v>
      </c>
      <c r="M198">
        <v>0</v>
      </c>
      <c r="N198">
        <v>0</v>
      </c>
      <c r="O198">
        <v>252</v>
      </c>
      <c r="P198">
        <v>0</v>
      </c>
      <c r="Q198">
        <v>0</v>
      </c>
      <c r="R198">
        <v>-52</v>
      </c>
      <c r="S198">
        <v>256</v>
      </c>
      <c r="T198" t="s">
        <v>815</v>
      </c>
      <c r="U198" t="s">
        <v>83</v>
      </c>
      <c r="V198" t="s">
        <v>866</v>
      </c>
      <c r="W198" t="s">
        <v>823</v>
      </c>
    </row>
    <row r="199" spans="1:23" x14ac:dyDescent="0.25">
      <c r="A199" t="s">
        <v>745</v>
      </c>
      <c r="B199" t="s">
        <v>745</v>
      </c>
      <c r="C199">
        <v>2088</v>
      </c>
      <c r="D199" s="3">
        <v>2088</v>
      </c>
      <c r="E199">
        <v>10779</v>
      </c>
      <c r="F199">
        <v>9900</v>
      </c>
      <c r="G199">
        <v>1789</v>
      </c>
      <c r="H199">
        <v>3241</v>
      </c>
      <c r="I199">
        <v>951</v>
      </c>
      <c r="J199">
        <v>1950</v>
      </c>
      <c r="K199">
        <v>2226</v>
      </c>
      <c r="L199">
        <v>1287</v>
      </c>
      <c r="M199">
        <v>1471</v>
      </c>
      <c r="N199">
        <v>2322</v>
      </c>
      <c r="O199">
        <v>2949</v>
      </c>
      <c r="P199">
        <v>2892</v>
      </c>
      <c r="Q199">
        <v>1246</v>
      </c>
      <c r="R199">
        <v>3924</v>
      </c>
      <c r="S199">
        <v>26248</v>
      </c>
      <c r="T199" t="s">
        <v>815</v>
      </c>
      <c r="U199" t="s">
        <v>83</v>
      </c>
      <c r="V199" t="s">
        <v>867</v>
      </c>
      <c r="W199" t="s">
        <v>851</v>
      </c>
    </row>
    <row r="200" spans="1:23" x14ac:dyDescent="0.25">
      <c r="A200" t="s">
        <v>873</v>
      </c>
      <c r="B200" t="s">
        <v>873</v>
      </c>
      <c r="C200">
        <v>2088</v>
      </c>
      <c r="D200" s="3">
        <v>2088</v>
      </c>
      <c r="E200">
        <v>10104</v>
      </c>
      <c r="G200">
        <v>1789</v>
      </c>
      <c r="H200">
        <v>3241</v>
      </c>
      <c r="I200">
        <v>951</v>
      </c>
      <c r="J200">
        <v>1950</v>
      </c>
      <c r="K200">
        <v>2226</v>
      </c>
      <c r="L200">
        <v>1287</v>
      </c>
      <c r="M200">
        <v>1471</v>
      </c>
      <c r="N200">
        <v>2322</v>
      </c>
      <c r="O200">
        <v>2949</v>
      </c>
      <c r="P200">
        <v>2892</v>
      </c>
      <c r="Q200">
        <v>1246</v>
      </c>
      <c r="R200">
        <v>3924</v>
      </c>
      <c r="S200">
        <v>26248</v>
      </c>
      <c r="T200" t="s">
        <v>815</v>
      </c>
      <c r="U200" t="s">
        <v>83</v>
      </c>
      <c r="V200" t="s">
        <v>871</v>
      </c>
      <c r="W200" t="s">
        <v>874</v>
      </c>
    </row>
    <row r="201" spans="1:23" x14ac:dyDescent="0.25">
      <c r="A201" t="s">
        <v>1748</v>
      </c>
      <c r="B201" t="s">
        <v>1748</v>
      </c>
      <c r="C201">
        <v>0</v>
      </c>
      <c r="D201" s="3">
        <v>0</v>
      </c>
      <c r="E201">
        <v>36</v>
      </c>
      <c r="G201">
        <v>0</v>
      </c>
      <c r="H201">
        <v>0</v>
      </c>
      <c r="I201">
        <v>-12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-12</v>
      </c>
      <c r="T201" t="s">
        <v>815</v>
      </c>
      <c r="U201" t="s">
        <v>1749</v>
      </c>
      <c r="V201" t="s">
        <v>1750</v>
      </c>
      <c r="W201" t="s">
        <v>818</v>
      </c>
    </row>
    <row r="202" spans="1:23" x14ac:dyDescent="0.25">
      <c r="A202" t="s">
        <v>1751</v>
      </c>
      <c r="B202" t="s">
        <v>1751</v>
      </c>
      <c r="C202">
        <v>0</v>
      </c>
      <c r="D202" s="3">
        <v>0</v>
      </c>
      <c r="E202">
        <v>24</v>
      </c>
      <c r="G202">
        <v>0</v>
      </c>
      <c r="H202">
        <v>0</v>
      </c>
      <c r="I202">
        <v>-12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-12</v>
      </c>
      <c r="T202" t="s">
        <v>815</v>
      </c>
      <c r="U202" t="s">
        <v>1749</v>
      </c>
      <c r="V202" t="s">
        <v>1752</v>
      </c>
      <c r="W202" t="s">
        <v>847</v>
      </c>
    </row>
    <row r="203" spans="1:23" x14ac:dyDescent="0.25">
      <c r="A203" t="s">
        <v>895</v>
      </c>
      <c r="B203" t="s">
        <v>895</v>
      </c>
      <c r="C203">
        <v>0</v>
      </c>
      <c r="D203" s="3">
        <v>0</v>
      </c>
      <c r="E203">
        <v>44</v>
      </c>
      <c r="G203">
        <v>0</v>
      </c>
      <c r="H203">
        <v>0</v>
      </c>
      <c r="I203">
        <v>-8</v>
      </c>
      <c r="J203">
        <v>0</v>
      </c>
      <c r="K203">
        <v>0</v>
      </c>
      <c r="L203">
        <v>4</v>
      </c>
      <c r="M203">
        <v>0</v>
      </c>
      <c r="N203">
        <v>0</v>
      </c>
      <c r="O203">
        <v>8</v>
      </c>
      <c r="P203">
        <v>0</v>
      </c>
      <c r="Q203">
        <v>0</v>
      </c>
      <c r="R203">
        <v>0</v>
      </c>
      <c r="S203">
        <v>4</v>
      </c>
      <c r="T203" t="s">
        <v>815</v>
      </c>
      <c r="U203" t="s">
        <v>886</v>
      </c>
      <c r="V203" t="s">
        <v>896</v>
      </c>
      <c r="W203" t="s">
        <v>818</v>
      </c>
    </row>
    <row r="204" spans="1:23" x14ac:dyDescent="0.25">
      <c r="A204" t="s">
        <v>897</v>
      </c>
      <c r="B204" t="s">
        <v>897</v>
      </c>
      <c r="C204">
        <v>0</v>
      </c>
      <c r="D204" s="3">
        <v>0</v>
      </c>
      <c r="E204">
        <v>44</v>
      </c>
      <c r="G204">
        <v>0</v>
      </c>
      <c r="H204">
        <v>0</v>
      </c>
      <c r="I204">
        <v>-8</v>
      </c>
      <c r="J204">
        <v>0</v>
      </c>
      <c r="K204">
        <v>0</v>
      </c>
      <c r="L204">
        <v>4</v>
      </c>
      <c r="M204">
        <v>0</v>
      </c>
      <c r="N204">
        <v>0</v>
      </c>
      <c r="O204">
        <v>8</v>
      </c>
      <c r="P204">
        <v>0</v>
      </c>
      <c r="Q204">
        <v>0</v>
      </c>
      <c r="R204">
        <v>0</v>
      </c>
      <c r="S204">
        <v>4</v>
      </c>
      <c r="T204" t="s">
        <v>815</v>
      </c>
      <c r="U204" t="s">
        <v>886</v>
      </c>
      <c r="V204" t="s">
        <v>898</v>
      </c>
      <c r="W204" t="s">
        <v>847</v>
      </c>
    </row>
    <row r="205" spans="1:23" x14ac:dyDescent="0.25">
      <c r="A205" t="s">
        <v>899</v>
      </c>
      <c r="B205" t="s">
        <v>899</v>
      </c>
      <c r="C205">
        <v>0</v>
      </c>
      <c r="D205" s="3">
        <v>0</v>
      </c>
      <c r="E205">
        <v>1800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 t="s">
        <v>815</v>
      </c>
      <c r="U205" t="s">
        <v>166</v>
      </c>
      <c r="V205" t="s">
        <v>900</v>
      </c>
      <c r="W205" t="s">
        <v>851</v>
      </c>
    </row>
    <row r="206" spans="1:23" x14ac:dyDescent="0.25">
      <c r="A206" t="s">
        <v>902</v>
      </c>
      <c r="B206" t="s">
        <v>902</v>
      </c>
      <c r="C206">
        <v>0</v>
      </c>
      <c r="D206" s="3">
        <v>0</v>
      </c>
      <c r="E206">
        <v>1800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 t="s">
        <v>815</v>
      </c>
      <c r="U206" t="s">
        <v>166</v>
      </c>
      <c r="V206" t="s">
        <v>903</v>
      </c>
      <c r="W206" t="s">
        <v>874</v>
      </c>
    </row>
    <row r="207" spans="1:23" x14ac:dyDescent="0.25">
      <c r="A207" t="s">
        <v>628</v>
      </c>
      <c r="B207" t="s">
        <v>628</v>
      </c>
      <c r="C207">
        <v>306</v>
      </c>
      <c r="D207" s="3">
        <v>306</v>
      </c>
      <c r="E207">
        <v>896</v>
      </c>
      <c r="G207">
        <v>112</v>
      </c>
      <c r="H207">
        <v>144</v>
      </c>
      <c r="I207">
        <v>288</v>
      </c>
      <c r="J207">
        <v>392</v>
      </c>
      <c r="K207">
        <v>772</v>
      </c>
      <c r="L207">
        <v>160</v>
      </c>
      <c r="M207">
        <v>324</v>
      </c>
      <c r="N207">
        <v>380</v>
      </c>
      <c r="O207">
        <v>720</v>
      </c>
      <c r="P207">
        <v>60</v>
      </c>
      <c r="Q207">
        <v>284</v>
      </c>
      <c r="R207">
        <v>416</v>
      </c>
      <c r="S207">
        <v>4052</v>
      </c>
      <c r="T207" t="s">
        <v>815</v>
      </c>
      <c r="U207" t="s">
        <v>180</v>
      </c>
      <c r="V207" t="s">
        <v>905</v>
      </c>
      <c r="W207" t="s">
        <v>817</v>
      </c>
    </row>
    <row r="208" spans="1:23" x14ac:dyDescent="0.25">
      <c r="A208" t="s">
        <v>629</v>
      </c>
      <c r="B208" t="s">
        <v>629</v>
      </c>
      <c r="C208">
        <v>870</v>
      </c>
      <c r="D208" s="3">
        <v>870</v>
      </c>
      <c r="E208">
        <v>3540</v>
      </c>
      <c r="F208">
        <v>1600</v>
      </c>
      <c r="G208">
        <v>1480</v>
      </c>
      <c r="H208">
        <v>848</v>
      </c>
      <c r="I208">
        <v>892</v>
      </c>
      <c r="J208">
        <v>628</v>
      </c>
      <c r="K208">
        <v>1036</v>
      </c>
      <c r="L208">
        <v>520</v>
      </c>
      <c r="M208">
        <v>660</v>
      </c>
      <c r="N208">
        <v>844</v>
      </c>
      <c r="O208">
        <v>1256</v>
      </c>
      <c r="P208">
        <v>1364</v>
      </c>
      <c r="Q208">
        <v>1172</v>
      </c>
      <c r="R208">
        <v>728</v>
      </c>
      <c r="S208">
        <v>11428</v>
      </c>
      <c r="T208" t="s">
        <v>815</v>
      </c>
      <c r="U208" t="s">
        <v>180</v>
      </c>
      <c r="V208" t="s">
        <v>905</v>
      </c>
      <c r="W208" t="s">
        <v>818</v>
      </c>
    </row>
    <row r="209" spans="1:23" x14ac:dyDescent="0.25">
      <c r="A209" t="s">
        <v>630</v>
      </c>
      <c r="B209" t="s">
        <v>630</v>
      </c>
      <c r="C209">
        <v>306</v>
      </c>
      <c r="D209" s="3">
        <v>306</v>
      </c>
      <c r="E209">
        <v>696</v>
      </c>
      <c r="G209">
        <v>112</v>
      </c>
      <c r="H209">
        <v>144</v>
      </c>
      <c r="I209">
        <v>288</v>
      </c>
      <c r="J209">
        <v>360</v>
      </c>
      <c r="K209">
        <v>772</v>
      </c>
      <c r="L209">
        <v>160</v>
      </c>
      <c r="M209">
        <v>324</v>
      </c>
      <c r="N209">
        <v>380</v>
      </c>
      <c r="O209">
        <v>720</v>
      </c>
      <c r="P209">
        <v>60</v>
      </c>
      <c r="Q209">
        <v>284</v>
      </c>
      <c r="R209">
        <v>416</v>
      </c>
      <c r="S209">
        <v>4020</v>
      </c>
      <c r="T209" t="s">
        <v>815</v>
      </c>
      <c r="U209" t="s">
        <v>180</v>
      </c>
      <c r="V209" t="s">
        <v>906</v>
      </c>
      <c r="W209" t="s">
        <v>821</v>
      </c>
    </row>
    <row r="210" spans="1:23" x14ac:dyDescent="0.25">
      <c r="A210" t="s">
        <v>631</v>
      </c>
      <c r="B210" t="s">
        <v>631</v>
      </c>
      <c r="C210">
        <v>870</v>
      </c>
      <c r="D210" s="3">
        <v>870</v>
      </c>
      <c r="E210">
        <v>3348</v>
      </c>
      <c r="F210">
        <v>1400</v>
      </c>
      <c r="G210">
        <v>1480</v>
      </c>
      <c r="H210">
        <v>848</v>
      </c>
      <c r="I210">
        <v>892</v>
      </c>
      <c r="J210">
        <v>660</v>
      </c>
      <c r="K210">
        <v>1036</v>
      </c>
      <c r="L210">
        <v>520</v>
      </c>
      <c r="M210">
        <v>660</v>
      </c>
      <c r="N210">
        <v>844</v>
      </c>
      <c r="O210">
        <v>916</v>
      </c>
      <c r="P210">
        <v>1364</v>
      </c>
      <c r="Q210">
        <v>1172</v>
      </c>
      <c r="R210">
        <v>728</v>
      </c>
      <c r="S210">
        <v>11120</v>
      </c>
      <c r="T210" t="s">
        <v>815</v>
      </c>
      <c r="U210" t="s">
        <v>180</v>
      </c>
      <c r="V210" t="s">
        <v>906</v>
      </c>
      <c r="W210" t="s">
        <v>823</v>
      </c>
    </row>
    <row r="211" spans="1:23" x14ac:dyDescent="0.25">
      <c r="A211" t="s">
        <v>707</v>
      </c>
      <c r="B211" t="s">
        <v>707</v>
      </c>
      <c r="C211">
        <v>0</v>
      </c>
      <c r="D211" s="3">
        <v>0</v>
      </c>
      <c r="E211">
        <v>72</v>
      </c>
      <c r="G211">
        <v>0</v>
      </c>
      <c r="H211">
        <v>40</v>
      </c>
      <c r="I211">
        <v>8</v>
      </c>
      <c r="J211">
        <v>0</v>
      </c>
      <c r="K211">
        <v>0</v>
      </c>
      <c r="L211">
        <v>20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-40</v>
      </c>
      <c r="S211">
        <v>28</v>
      </c>
      <c r="T211" t="s">
        <v>815</v>
      </c>
      <c r="U211" t="s">
        <v>180</v>
      </c>
      <c r="V211" t="s">
        <v>907</v>
      </c>
      <c r="W211" t="s">
        <v>817</v>
      </c>
    </row>
    <row r="212" spans="1:23" x14ac:dyDescent="0.25">
      <c r="A212" t="s">
        <v>908</v>
      </c>
      <c r="B212" t="s">
        <v>908</v>
      </c>
      <c r="C212">
        <v>14</v>
      </c>
      <c r="D212" s="3">
        <v>14</v>
      </c>
      <c r="E212">
        <v>228</v>
      </c>
      <c r="G212">
        <v>4</v>
      </c>
      <c r="H212">
        <v>20</v>
      </c>
      <c r="I212">
        <v>12</v>
      </c>
      <c r="J212">
        <v>52</v>
      </c>
      <c r="K212">
        <v>8</v>
      </c>
      <c r="L212">
        <v>20</v>
      </c>
      <c r="M212">
        <v>16</v>
      </c>
      <c r="N212">
        <v>16</v>
      </c>
      <c r="O212">
        <v>40</v>
      </c>
      <c r="P212">
        <v>12</v>
      </c>
      <c r="Q212">
        <v>0</v>
      </c>
      <c r="R212">
        <v>0</v>
      </c>
      <c r="S212">
        <v>200</v>
      </c>
      <c r="T212" t="s">
        <v>815</v>
      </c>
      <c r="U212" t="s">
        <v>180</v>
      </c>
      <c r="V212" t="s">
        <v>907</v>
      </c>
      <c r="W212" t="s">
        <v>818</v>
      </c>
    </row>
    <row r="213" spans="1:23" x14ac:dyDescent="0.25">
      <c r="A213" t="s">
        <v>632</v>
      </c>
      <c r="B213" t="s">
        <v>632</v>
      </c>
      <c r="C213">
        <v>48</v>
      </c>
      <c r="D213" s="3">
        <v>48</v>
      </c>
      <c r="E213">
        <v>248</v>
      </c>
      <c r="F213">
        <v>200</v>
      </c>
      <c r="G213">
        <v>16</v>
      </c>
      <c r="H213">
        <v>44</v>
      </c>
      <c r="I213">
        <v>152</v>
      </c>
      <c r="J213">
        <v>52</v>
      </c>
      <c r="K213">
        <v>120</v>
      </c>
      <c r="L213">
        <v>140</v>
      </c>
      <c r="M213">
        <v>12</v>
      </c>
      <c r="N213">
        <v>164</v>
      </c>
      <c r="O213">
        <v>12</v>
      </c>
      <c r="P213">
        <v>40</v>
      </c>
      <c r="Q213">
        <v>20</v>
      </c>
      <c r="R213">
        <v>120</v>
      </c>
      <c r="S213">
        <v>892</v>
      </c>
      <c r="T213" t="s">
        <v>815</v>
      </c>
      <c r="U213" t="s">
        <v>180</v>
      </c>
      <c r="V213" t="s">
        <v>909</v>
      </c>
      <c r="W213" t="s">
        <v>821</v>
      </c>
    </row>
    <row r="214" spans="1:23" x14ac:dyDescent="0.25">
      <c r="A214" t="s">
        <v>633</v>
      </c>
      <c r="B214" t="s">
        <v>633</v>
      </c>
      <c r="C214">
        <v>338</v>
      </c>
      <c r="D214" s="3">
        <v>338</v>
      </c>
      <c r="E214">
        <v>40</v>
      </c>
      <c r="G214">
        <v>240</v>
      </c>
      <c r="H214">
        <v>292</v>
      </c>
      <c r="I214">
        <v>760</v>
      </c>
      <c r="J214">
        <v>412</v>
      </c>
      <c r="K214">
        <v>636</v>
      </c>
      <c r="L214">
        <v>244</v>
      </c>
      <c r="M214">
        <v>384</v>
      </c>
      <c r="N214">
        <v>268</v>
      </c>
      <c r="O214">
        <v>648</v>
      </c>
      <c r="P214">
        <v>792</v>
      </c>
      <c r="Q214">
        <v>36</v>
      </c>
      <c r="R214">
        <v>280</v>
      </c>
      <c r="S214">
        <v>4992</v>
      </c>
      <c r="T214" t="s">
        <v>815</v>
      </c>
      <c r="U214" t="s">
        <v>180</v>
      </c>
      <c r="V214" t="s">
        <v>909</v>
      </c>
      <c r="W214" t="s">
        <v>823</v>
      </c>
    </row>
    <row r="215" spans="1:23" x14ac:dyDescent="0.25">
      <c r="A215" t="s">
        <v>634</v>
      </c>
      <c r="B215" t="s">
        <v>634</v>
      </c>
      <c r="C215">
        <v>52</v>
      </c>
      <c r="D215" s="3">
        <v>52</v>
      </c>
      <c r="E215">
        <v>344</v>
      </c>
      <c r="F215">
        <v>100</v>
      </c>
      <c r="G215">
        <v>16</v>
      </c>
      <c r="H215">
        <v>4</v>
      </c>
      <c r="I215">
        <v>144</v>
      </c>
      <c r="J215">
        <v>52</v>
      </c>
      <c r="K215">
        <v>120</v>
      </c>
      <c r="L215">
        <v>120</v>
      </c>
      <c r="M215">
        <v>12</v>
      </c>
      <c r="N215">
        <v>176</v>
      </c>
      <c r="O215">
        <v>12</v>
      </c>
      <c r="P215">
        <v>48</v>
      </c>
      <c r="Q215">
        <v>52</v>
      </c>
      <c r="R215">
        <v>120</v>
      </c>
      <c r="S215">
        <v>876</v>
      </c>
      <c r="T215" t="s">
        <v>815</v>
      </c>
      <c r="U215" t="s">
        <v>180</v>
      </c>
      <c r="V215" t="s">
        <v>910</v>
      </c>
      <c r="W215" t="s">
        <v>817</v>
      </c>
    </row>
    <row r="216" spans="1:23" x14ac:dyDescent="0.25">
      <c r="A216" t="s">
        <v>635</v>
      </c>
      <c r="B216" t="s">
        <v>635</v>
      </c>
      <c r="C216">
        <v>338</v>
      </c>
      <c r="D216" s="3">
        <v>338</v>
      </c>
      <c r="E216">
        <v>1300</v>
      </c>
      <c r="G216">
        <v>236</v>
      </c>
      <c r="H216">
        <v>272</v>
      </c>
      <c r="I216">
        <v>736</v>
      </c>
      <c r="J216">
        <v>356</v>
      </c>
      <c r="K216">
        <v>628</v>
      </c>
      <c r="L216">
        <v>224</v>
      </c>
      <c r="M216">
        <v>368</v>
      </c>
      <c r="N216">
        <v>240</v>
      </c>
      <c r="O216">
        <v>608</v>
      </c>
      <c r="P216">
        <v>772</v>
      </c>
      <c r="Q216">
        <v>4</v>
      </c>
      <c r="R216">
        <v>320</v>
      </c>
      <c r="S216">
        <v>4764</v>
      </c>
      <c r="T216" t="s">
        <v>815</v>
      </c>
      <c r="U216" t="s">
        <v>180</v>
      </c>
      <c r="V216" t="s">
        <v>910</v>
      </c>
      <c r="W216" t="s">
        <v>818</v>
      </c>
    </row>
    <row r="217" spans="1:23" x14ac:dyDescent="0.25">
      <c r="A217" t="s">
        <v>637</v>
      </c>
      <c r="B217" t="s">
        <v>637</v>
      </c>
      <c r="C217">
        <v>36</v>
      </c>
      <c r="D217" s="3">
        <v>36</v>
      </c>
      <c r="E217">
        <v>1452</v>
      </c>
      <c r="F217">
        <v>800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160</v>
      </c>
      <c r="N217">
        <v>240</v>
      </c>
      <c r="O217">
        <v>72</v>
      </c>
      <c r="P217">
        <v>488</v>
      </c>
      <c r="Q217">
        <v>140</v>
      </c>
      <c r="R217">
        <v>348</v>
      </c>
      <c r="S217">
        <v>1448</v>
      </c>
      <c r="T217" t="s">
        <v>815</v>
      </c>
      <c r="U217" t="s">
        <v>180</v>
      </c>
      <c r="V217" t="s">
        <v>912</v>
      </c>
      <c r="W217" t="s">
        <v>851</v>
      </c>
    </row>
    <row r="218" spans="1:23" x14ac:dyDescent="0.25">
      <c r="A218" t="s">
        <v>638</v>
      </c>
      <c r="B218" t="s">
        <v>638</v>
      </c>
      <c r="C218">
        <v>200</v>
      </c>
      <c r="D218" s="3">
        <v>200</v>
      </c>
      <c r="E218">
        <v>0</v>
      </c>
      <c r="G218">
        <v>244</v>
      </c>
      <c r="H218">
        <v>308</v>
      </c>
      <c r="I218">
        <v>160</v>
      </c>
      <c r="J218">
        <v>336</v>
      </c>
      <c r="K218">
        <v>240</v>
      </c>
      <c r="L218">
        <v>392</v>
      </c>
      <c r="M218">
        <v>296</v>
      </c>
      <c r="N218">
        <v>16</v>
      </c>
      <c r="O218">
        <v>0</v>
      </c>
      <c r="P218">
        <v>32</v>
      </c>
      <c r="Q218">
        <v>32</v>
      </c>
      <c r="R218">
        <v>4</v>
      </c>
      <c r="S218">
        <v>2060</v>
      </c>
      <c r="T218" t="s">
        <v>815</v>
      </c>
      <c r="U218" t="s">
        <v>180</v>
      </c>
      <c r="V218" t="s">
        <v>912</v>
      </c>
      <c r="W218" t="s">
        <v>818</v>
      </c>
    </row>
    <row r="219" spans="1:23" x14ac:dyDescent="0.25">
      <c r="A219" t="s">
        <v>639</v>
      </c>
      <c r="B219" t="s">
        <v>639</v>
      </c>
      <c r="C219">
        <v>242</v>
      </c>
      <c r="D219" s="3">
        <v>242</v>
      </c>
      <c r="E219">
        <v>0</v>
      </c>
      <c r="G219">
        <v>244</v>
      </c>
      <c r="H219">
        <v>308</v>
      </c>
      <c r="I219">
        <v>160</v>
      </c>
      <c r="J219">
        <v>336</v>
      </c>
      <c r="K219">
        <v>240</v>
      </c>
      <c r="L219">
        <v>408</v>
      </c>
      <c r="M219">
        <v>292</v>
      </c>
      <c r="N219">
        <v>16</v>
      </c>
      <c r="O219">
        <v>248</v>
      </c>
      <c r="P219">
        <v>32</v>
      </c>
      <c r="Q219">
        <v>32</v>
      </c>
      <c r="R219">
        <v>4</v>
      </c>
      <c r="S219">
        <v>2320</v>
      </c>
      <c r="T219" t="s">
        <v>815</v>
      </c>
      <c r="U219" t="s">
        <v>180</v>
      </c>
      <c r="V219" t="s">
        <v>914</v>
      </c>
      <c r="W219" t="s">
        <v>823</v>
      </c>
    </row>
    <row r="220" spans="1:23" x14ac:dyDescent="0.25">
      <c r="A220" t="s">
        <v>641</v>
      </c>
      <c r="B220" t="s">
        <v>641</v>
      </c>
      <c r="C220">
        <v>36</v>
      </c>
      <c r="D220" s="3">
        <v>36</v>
      </c>
      <c r="E220">
        <v>1452</v>
      </c>
      <c r="F220">
        <v>800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160</v>
      </c>
      <c r="N220">
        <v>240</v>
      </c>
      <c r="O220">
        <v>72</v>
      </c>
      <c r="P220">
        <v>488</v>
      </c>
      <c r="Q220">
        <v>140</v>
      </c>
      <c r="R220">
        <v>348</v>
      </c>
      <c r="S220">
        <v>1448</v>
      </c>
      <c r="T220" t="s">
        <v>815</v>
      </c>
      <c r="U220" t="s">
        <v>180</v>
      </c>
      <c r="V220" t="s">
        <v>914</v>
      </c>
      <c r="W220" t="s">
        <v>874</v>
      </c>
    </row>
    <row r="221" spans="1:23" x14ac:dyDescent="0.25">
      <c r="A221" t="s">
        <v>642</v>
      </c>
      <c r="B221" t="s">
        <v>642</v>
      </c>
      <c r="C221">
        <v>32</v>
      </c>
      <c r="D221" s="3">
        <v>32</v>
      </c>
      <c r="E221">
        <v>0</v>
      </c>
      <c r="G221">
        <v>96</v>
      </c>
      <c r="H221">
        <v>32</v>
      </c>
      <c r="I221">
        <v>80</v>
      </c>
      <c r="J221">
        <v>48</v>
      </c>
      <c r="K221">
        <v>40</v>
      </c>
      <c r="L221">
        <v>24</v>
      </c>
      <c r="M221">
        <v>144</v>
      </c>
      <c r="N221">
        <v>8</v>
      </c>
      <c r="O221">
        <v>32</v>
      </c>
      <c r="P221">
        <v>12</v>
      </c>
      <c r="Q221">
        <v>16</v>
      </c>
      <c r="R221">
        <v>0</v>
      </c>
      <c r="S221">
        <v>532</v>
      </c>
      <c r="T221" t="s">
        <v>815</v>
      </c>
      <c r="U221" t="s">
        <v>180</v>
      </c>
      <c r="V221" t="s">
        <v>915</v>
      </c>
      <c r="W221" t="s">
        <v>818</v>
      </c>
    </row>
    <row r="222" spans="1:23" x14ac:dyDescent="0.25">
      <c r="A222" t="s">
        <v>643</v>
      </c>
      <c r="B222" t="s">
        <v>643</v>
      </c>
      <c r="C222">
        <v>36</v>
      </c>
      <c r="D222" s="3">
        <v>36</v>
      </c>
      <c r="E222">
        <v>0</v>
      </c>
      <c r="G222">
        <v>96</v>
      </c>
      <c r="H222">
        <v>32</v>
      </c>
      <c r="I222">
        <v>80</v>
      </c>
      <c r="J222">
        <v>48</v>
      </c>
      <c r="K222">
        <v>40</v>
      </c>
      <c r="L222">
        <v>24</v>
      </c>
      <c r="M222">
        <v>144</v>
      </c>
      <c r="N222">
        <v>8</v>
      </c>
      <c r="O222">
        <v>296</v>
      </c>
      <c r="P222">
        <v>12</v>
      </c>
      <c r="Q222">
        <v>16</v>
      </c>
      <c r="R222">
        <v>0</v>
      </c>
      <c r="S222">
        <v>796</v>
      </c>
      <c r="T222" t="s">
        <v>815</v>
      </c>
      <c r="U222" t="s">
        <v>180</v>
      </c>
      <c r="V222" t="s">
        <v>916</v>
      </c>
      <c r="W222" t="s">
        <v>847</v>
      </c>
    </row>
    <row r="223" spans="1:23" x14ac:dyDescent="0.25">
      <c r="A223" t="s">
        <v>645</v>
      </c>
      <c r="B223" t="s">
        <v>645</v>
      </c>
      <c r="C223">
        <v>0</v>
      </c>
      <c r="D223" s="3">
        <v>0</v>
      </c>
      <c r="E223">
        <v>40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815</v>
      </c>
      <c r="U223" t="s">
        <v>180</v>
      </c>
      <c r="V223" t="s">
        <v>917</v>
      </c>
      <c r="W223" t="s">
        <v>851</v>
      </c>
    </row>
    <row r="224" spans="1:23" x14ac:dyDescent="0.25">
      <c r="A224" t="s">
        <v>647</v>
      </c>
      <c r="B224" t="s">
        <v>647</v>
      </c>
      <c r="C224">
        <v>0</v>
      </c>
      <c r="D224" s="3">
        <v>0</v>
      </c>
      <c r="E224">
        <v>40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815</v>
      </c>
      <c r="U224" t="s">
        <v>180</v>
      </c>
      <c r="V224" t="s">
        <v>918</v>
      </c>
      <c r="W224" t="s">
        <v>874</v>
      </c>
    </row>
    <row r="225" spans="1:23" x14ac:dyDescent="0.25">
      <c r="A225" t="s">
        <v>1753</v>
      </c>
      <c r="B225" t="s">
        <v>1753</v>
      </c>
      <c r="C225">
        <v>0</v>
      </c>
      <c r="D225" s="3">
        <v>0</v>
      </c>
      <c r="E225">
        <v>60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t="s">
        <v>815</v>
      </c>
      <c r="U225" t="s">
        <v>1754</v>
      </c>
      <c r="V225" t="s">
        <v>1755</v>
      </c>
      <c r="W225" t="s">
        <v>847</v>
      </c>
    </row>
    <row r="226" spans="1:23" x14ac:dyDescent="0.25">
      <c r="A226" t="s">
        <v>1756</v>
      </c>
      <c r="B226" t="s">
        <v>1756</v>
      </c>
      <c r="C226">
        <v>0</v>
      </c>
      <c r="D226" s="3">
        <v>0</v>
      </c>
      <c r="E226">
        <v>60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815</v>
      </c>
      <c r="U226" t="s">
        <v>1754</v>
      </c>
      <c r="V226" t="s">
        <v>1757</v>
      </c>
      <c r="W226" t="s">
        <v>847</v>
      </c>
    </row>
    <row r="227" spans="1:23" x14ac:dyDescent="0.25">
      <c r="A227" t="s">
        <v>1758</v>
      </c>
      <c r="B227" t="s">
        <v>1758</v>
      </c>
      <c r="C227">
        <v>0</v>
      </c>
      <c r="D227" s="3">
        <v>0</v>
      </c>
      <c r="E227">
        <v>24</v>
      </c>
      <c r="G227">
        <v>0</v>
      </c>
      <c r="H227">
        <v>0</v>
      </c>
      <c r="I227">
        <v>-12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-12</v>
      </c>
      <c r="T227" t="s">
        <v>815</v>
      </c>
      <c r="U227" t="s">
        <v>1759</v>
      </c>
      <c r="V227" t="s">
        <v>1760</v>
      </c>
      <c r="W227" t="s">
        <v>847</v>
      </c>
    </row>
    <row r="228" spans="1:23" x14ac:dyDescent="0.25">
      <c r="A228" t="s">
        <v>1761</v>
      </c>
      <c r="B228" t="s">
        <v>1761</v>
      </c>
      <c r="C228">
        <v>0</v>
      </c>
      <c r="D228" s="3">
        <v>0</v>
      </c>
      <c r="E228">
        <v>28</v>
      </c>
      <c r="G228">
        <v>0</v>
      </c>
      <c r="H228">
        <v>0</v>
      </c>
      <c r="I228">
        <v>-12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-12</v>
      </c>
      <c r="T228" t="s">
        <v>815</v>
      </c>
      <c r="U228" t="s">
        <v>1759</v>
      </c>
      <c r="V228" t="s">
        <v>1762</v>
      </c>
      <c r="W228" t="s">
        <v>847</v>
      </c>
    </row>
    <row r="229" spans="1:23" x14ac:dyDescent="0.25">
      <c r="A229" t="s">
        <v>746</v>
      </c>
      <c r="B229" t="s">
        <v>746</v>
      </c>
      <c r="C229">
        <v>0</v>
      </c>
      <c r="D229" s="3">
        <v>0</v>
      </c>
      <c r="E229">
        <v>304</v>
      </c>
      <c r="F229">
        <v>100</v>
      </c>
      <c r="G229">
        <v>40</v>
      </c>
      <c r="H229">
        <v>0</v>
      </c>
      <c r="I229">
        <v>0</v>
      </c>
      <c r="J229">
        <v>0</v>
      </c>
      <c r="K229">
        <v>40</v>
      </c>
      <c r="L229">
        <v>0</v>
      </c>
      <c r="M229">
        <v>0</v>
      </c>
      <c r="N229">
        <v>200</v>
      </c>
      <c r="O229">
        <v>24</v>
      </c>
      <c r="P229">
        <v>20</v>
      </c>
      <c r="Q229">
        <v>0</v>
      </c>
      <c r="R229">
        <v>0</v>
      </c>
      <c r="S229">
        <v>324</v>
      </c>
      <c r="T229" t="s">
        <v>815</v>
      </c>
      <c r="U229" t="s">
        <v>294</v>
      </c>
      <c r="V229" t="s">
        <v>919</v>
      </c>
      <c r="W229" t="s">
        <v>817</v>
      </c>
    </row>
    <row r="230" spans="1:23" x14ac:dyDescent="0.25">
      <c r="A230" t="s">
        <v>920</v>
      </c>
      <c r="B230" t="s">
        <v>920</v>
      </c>
      <c r="C230">
        <v>6</v>
      </c>
      <c r="D230" s="3">
        <v>6</v>
      </c>
      <c r="E230">
        <v>436</v>
      </c>
      <c r="G230">
        <v>16</v>
      </c>
      <c r="H230">
        <v>8</v>
      </c>
      <c r="I230">
        <v>0</v>
      </c>
      <c r="J230">
        <v>16</v>
      </c>
      <c r="K230">
        <v>32</v>
      </c>
      <c r="L230">
        <v>32</v>
      </c>
      <c r="M230">
        <v>4</v>
      </c>
      <c r="N230">
        <v>0</v>
      </c>
      <c r="O230">
        <v>20</v>
      </c>
      <c r="P230">
        <v>4</v>
      </c>
      <c r="Q230">
        <v>0</v>
      </c>
      <c r="R230">
        <v>0</v>
      </c>
      <c r="S230">
        <v>132</v>
      </c>
      <c r="T230" t="s">
        <v>815</v>
      </c>
      <c r="U230" t="s">
        <v>294</v>
      </c>
      <c r="V230" t="s">
        <v>919</v>
      </c>
      <c r="W230" t="s">
        <v>818</v>
      </c>
    </row>
    <row r="231" spans="1:23" x14ac:dyDescent="0.25">
      <c r="A231" t="s">
        <v>648</v>
      </c>
      <c r="B231" t="s">
        <v>648</v>
      </c>
      <c r="C231">
        <v>0</v>
      </c>
      <c r="D231" s="3">
        <v>0</v>
      </c>
      <c r="E231">
        <v>300</v>
      </c>
      <c r="F231">
        <v>100</v>
      </c>
      <c r="G231">
        <v>40</v>
      </c>
      <c r="H231">
        <v>0</v>
      </c>
      <c r="I231">
        <v>0</v>
      </c>
      <c r="J231">
        <v>0</v>
      </c>
      <c r="K231">
        <v>40</v>
      </c>
      <c r="L231">
        <v>0</v>
      </c>
      <c r="M231">
        <v>0</v>
      </c>
      <c r="N231">
        <v>200</v>
      </c>
      <c r="O231">
        <v>24</v>
      </c>
      <c r="P231">
        <v>20</v>
      </c>
      <c r="Q231">
        <v>0</v>
      </c>
      <c r="R231">
        <v>0</v>
      </c>
      <c r="S231">
        <v>324</v>
      </c>
      <c r="T231" t="s">
        <v>815</v>
      </c>
      <c r="U231" t="s">
        <v>294</v>
      </c>
      <c r="V231" t="s">
        <v>921</v>
      </c>
      <c r="W231" t="s">
        <v>821</v>
      </c>
    </row>
    <row r="232" spans="1:23" x14ac:dyDescent="0.25">
      <c r="A232" t="s">
        <v>922</v>
      </c>
      <c r="B232" t="s">
        <v>922</v>
      </c>
      <c r="C232">
        <v>6</v>
      </c>
      <c r="D232" s="3">
        <v>6</v>
      </c>
      <c r="E232">
        <v>432</v>
      </c>
      <c r="G232">
        <v>16</v>
      </c>
      <c r="H232">
        <v>8</v>
      </c>
      <c r="I232">
        <v>0</v>
      </c>
      <c r="J232">
        <v>16</v>
      </c>
      <c r="K232">
        <v>32</v>
      </c>
      <c r="L232">
        <v>32</v>
      </c>
      <c r="M232">
        <v>4</v>
      </c>
      <c r="N232">
        <v>0</v>
      </c>
      <c r="O232">
        <v>20</v>
      </c>
      <c r="P232">
        <v>4</v>
      </c>
      <c r="Q232">
        <v>0</v>
      </c>
      <c r="R232">
        <v>0</v>
      </c>
      <c r="S232">
        <v>132</v>
      </c>
      <c r="T232" t="s">
        <v>815</v>
      </c>
      <c r="U232" t="s">
        <v>294</v>
      </c>
      <c r="V232" t="s">
        <v>921</v>
      </c>
      <c r="W232" t="s">
        <v>823</v>
      </c>
    </row>
    <row r="233" spans="1:23" x14ac:dyDescent="0.25">
      <c r="A233" t="s">
        <v>747</v>
      </c>
      <c r="B233" t="s">
        <v>747</v>
      </c>
      <c r="C233">
        <v>0</v>
      </c>
      <c r="D233" s="3">
        <v>0</v>
      </c>
      <c r="E233">
        <v>20</v>
      </c>
      <c r="F233">
        <v>20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20</v>
      </c>
      <c r="Q233">
        <v>0</v>
      </c>
      <c r="R233">
        <v>0</v>
      </c>
      <c r="S233">
        <v>20</v>
      </c>
      <c r="T233" t="s">
        <v>815</v>
      </c>
      <c r="U233" t="s">
        <v>317</v>
      </c>
      <c r="V233" t="s">
        <v>923</v>
      </c>
      <c r="W233" t="s">
        <v>817</v>
      </c>
    </row>
    <row r="234" spans="1:23" x14ac:dyDescent="0.25">
      <c r="A234" t="s">
        <v>748</v>
      </c>
      <c r="B234" t="s">
        <v>748</v>
      </c>
      <c r="C234">
        <v>0</v>
      </c>
      <c r="D234" s="3">
        <v>0</v>
      </c>
      <c r="E234">
        <v>40</v>
      </c>
      <c r="F234">
        <v>40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20</v>
      </c>
      <c r="P234">
        <v>20</v>
      </c>
      <c r="Q234">
        <v>0</v>
      </c>
      <c r="R234">
        <v>0</v>
      </c>
      <c r="S234">
        <v>40</v>
      </c>
      <c r="T234" t="s">
        <v>815</v>
      </c>
      <c r="U234" t="s">
        <v>317</v>
      </c>
      <c r="V234" t="s">
        <v>924</v>
      </c>
      <c r="W234" t="s">
        <v>847</v>
      </c>
    </row>
    <row r="235" spans="1:23" x14ac:dyDescent="0.25">
      <c r="A235" t="s">
        <v>749</v>
      </c>
      <c r="B235" t="s">
        <v>749</v>
      </c>
      <c r="C235">
        <v>0</v>
      </c>
      <c r="D235" s="3">
        <v>0</v>
      </c>
      <c r="E235">
        <v>20</v>
      </c>
      <c r="F235">
        <v>20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20</v>
      </c>
      <c r="P235">
        <v>0</v>
      </c>
      <c r="Q235">
        <v>0</v>
      </c>
      <c r="R235">
        <v>0</v>
      </c>
      <c r="S235">
        <v>20</v>
      </c>
      <c r="T235" t="s">
        <v>815</v>
      </c>
      <c r="U235" t="s">
        <v>317</v>
      </c>
      <c r="V235" t="s">
        <v>926</v>
      </c>
      <c r="W235" t="s">
        <v>818</v>
      </c>
    </row>
    <row r="236" spans="1:23" x14ac:dyDescent="0.25">
      <c r="A236" t="s">
        <v>1763</v>
      </c>
      <c r="B236" t="s">
        <v>1763</v>
      </c>
      <c r="C236">
        <v>0</v>
      </c>
      <c r="D236" s="3">
        <v>0</v>
      </c>
      <c r="E236">
        <v>120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16</v>
      </c>
      <c r="P236">
        <v>0</v>
      </c>
      <c r="Q236">
        <v>0</v>
      </c>
      <c r="R236">
        <v>0</v>
      </c>
      <c r="S236">
        <v>16</v>
      </c>
      <c r="T236" t="s">
        <v>815</v>
      </c>
      <c r="U236" t="s">
        <v>1024</v>
      </c>
      <c r="V236" t="s">
        <v>1764</v>
      </c>
      <c r="W236" t="s">
        <v>818</v>
      </c>
    </row>
    <row r="237" spans="1:23" x14ac:dyDescent="0.25">
      <c r="A237" t="s">
        <v>1765</v>
      </c>
      <c r="B237" t="s">
        <v>1765</v>
      </c>
      <c r="C237">
        <v>0</v>
      </c>
      <c r="D237" s="3">
        <v>0</v>
      </c>
      <c r="E237">
        <v>124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16</v>
      </c>
      <c r="P237">
        <v>0</v>
      </c>
      <c r="Q237">
        <v>0</v>
      </c>
      <c r="R237">
        <v>0</v>
      </c>
      <c r="S237">
        <v>16</v>
      </c>
      <c r="T237" t="s">
        <v>815</v>
      </c>
      <c r="U237" t="s">
        <v>1024</v>
      </c>
      <c r="V237" t="s">
        <v>1766</v>
      </c>
      <c r="W237" t="s">
        <v>823</v>
      </c>
    </row>
    <row r="238" spans="1:23" x14ac:dyDescent="0.25">
      <c r="A238" t="s">
        <v>649</v>
      </c>
      <c r="B238" t="s">
        <v>649</v>
      </c>
      <c r="C238">
        <v>8</v>
      </c>
      <c r="D238" s="3">
        <v>8</v>
      </c>
      <c r="E238">
        <v>136</v>
      </c>
      <c r="G238">
        <v>0</v>
      </c>
      <c r="H238">
        <v>0</v>
      </c>
      <c r="I238">
        <v>0</v>
      </c>
      <c r="J238">
        <v>12</v>
      </c>
      <c r="K238">
        <v>20</v>
      </c>
      <c r="L238">
        <v>8</v>
      </c>
      <c r="M238">
        <v>8</v>
      </c>
      <c r="N238">
        <v>8</v>
      </c>
      <c r="O238">
        <v>0</v>
      </c>
      <c r="P238">
        <v>8</v>
      </c>
      <c r="Q238">
        <v>0</v>
      </c>
      <c r="R238">
        <v>8</v>
      </c>
      <c r="S238">
        <v>72</v>
      </c>
      <c r="T238" t="s">
        <v>815</v>
      </c>
      <c r="U238" t="s">
        <v>363</v>
      </c>
      <c r="V238" t="s">
        <v>927</v>
      </c>
      <c r="W238" t="s">
        <v>817</v>
      </c>
    </row>
    <row r="239" spans="1:23" x14ac:dyDescent="0.25">
      <c r="A239" t="s">
        <v>928</v>
      </c>
      <c r="B239" t="s">
        <v>928</v>
      </c>
      <c r="C239">
        <v>2</v>
      </c>
      <c r="D239" s="3">
        <v>2</v>
      </c>
      <c r="E239">
        <v>112</v>
      </c>
      <c r="G239">
        <v>40</v>
      </c>
      <c r="H239">
        <v>8</v>
      </c>
      <c r="I239">
        <v>0</v>
      </c>
      <c r="J239">
        <v>0</v>
      </c>
      <c r="K239">
        <v>8</v>
      </c>
      <c r="L239">
        <v>24</v>
      </c>
      <c r="M239">
        <v>0</v>
      </c>
      <c r="N239">
        <v>0</v>
      </c>
      <c r="O239">
        <v>4</v>
      </c>
      <c r="P239">
        <v>20</v>
      </c>
      <c r="Q239">
        <v>0</v>
      </c>
      <c r="R239">
        <v>0</v>
      </c>
      <c r="S239">
        <v>104</v>
      </c>
      <c r="T239" t="s">
        <v>815</v>
      </c>
      <c r="U239" t="s">
        <v>363</v>
      </c>
      <c r="V239" t="s">
        <v>927</v>
      </c>
      <c r="W239" t="s">
        <v>818</v>
      </c>
    </row>
    <row r="240" spans="1:23" x14ac:dyDescent="0.25">
      <c r="A240" t="s">
        <v>650</v>
      </c>
      <c r="B240" t="s">
        <v>650</v>
      </c>
      <c r="C240">
        <v>8</v>
      </c>
      <c r="D240" s="3">
        <v>8</v>
      </c>
      <c r="E240">
        <v>216</v>
      </c>
      <c r="G240">
        <v>0</v>
      </c>
      <c r="H240">
        <v>0</v>
      </c>
      <c r="I240">
        <v>0</v>
      </c>
      <c r="J240">
        <v>12</v>
      </c>
      <c r="K240">
        <v>20</v>
      </c>
      <c r="L240">
        <v>8</v>
      </c>
      <c r="M240">
        <v>8</v>
      </c>
      <c r="N240">
        <v>8</v>
      </c>
      <c r="O240">
        <v>0</v>
      </c>
      <c r="P240">
        <v>8</v>
      </c>
      <c r="Q240">
        <v>0</v>
      </c>
      <c r="R240">
        <v>8</v>
      </c>
      <c r="S240">
        <v>72</v>
      </c>
      <c r="T240" t="s">
        <v>815</v>
      </c>
      <c r="U240" t="s">
        <v>363</v>
      </c>
      <c r="V240" t="s">
        <v>929</v>
      </c>
      <c r="W240" t="s">
        <v>821</v>
      </c>
    </row>
    <row r="241" spans="1:23" x14ac:dyDescent="0.25">
      <c r="A241" t="s">
        <v>930</v>
      </c>
      <c r="B241" t="s">
        <v>930</v>
      </c>
      <c r="C241">
        <v>4</v>
      </c>
      <c r="D241" s="3">
        <v>4</v>
      </c>
      <c r="E241">
        <v>112</v>
      </c>
      <c r="G241">
        <v>40</v>
      </c>
      <c r="H241">
        <v>8</v>
      </c>
      <c r="I241">
        <v>0</v>
      </c>
      <c r="J241">
        <v>0</v>
      </c>
      <c r="K241">
        <v>8</v>
      </c>
      <c r="L241">
        <v>24</v>
      </c>
      <c r="M241">
        <v>0</v>
      </c>
      <c r="N241">
        <v>0</v>
      </c>
      <c r="O241">
        <v>24</v>
      </c>
      <c r="P241">
        <v>20</v>
      </c>
      <c r="Q241">
        <v>0</v>
      </c>
      <c r="R241">
        <v>0</v>
      </c>
      <c r="S241">
        <v>124</v>
      </c>
      <c r="T241" t="s">
        <v>815</v>
      </c>
      <c r="U241" t="s">
        <v>363</v>
      </c>
      <c r="V241" t="s">
        <v>929</v>
      </c>
      <c r="W241" t="s">
        <v>823</v>
      </c>
    </row>
    <row r="242" spans="1:23" x14ac:dyDescent="0.25">
      <c r="A242" t="s">
        <v>651</v>
      </c>
      <c r="B242" t="s">
        <v>651</v>
      </c>
      <c r="C242">
        <v>32</v>
      </c>
      <c r="D242" s="3">
        <v>32</v>
      </c>
      <c r="E242">
        <v>100</v>
      </c>
      <c r="G242">
        <v>32</v>
      </c>
      <c r="H242">
        <v>112</v>
      </c>
      <c r="I242">
        <v>24</v>
      </c>
      <c r="J242">
        <v>20</v>
      </c>
      <c r="K242">
        <v>32</v>
      </c>
      <c r="L242">
        <v>32</v>
      </c>
      <c r="M242">
        <v>24</v>
      </c>
      <c r="N242">
        <v>16</v>
      </c>
      <c r="O242">
        <v>264</v>
      </c>
      <c r="P242">
        <v>32</v>
      </c>
      <c r="Q242">
        <v>160</v>
      </c>
      <c r="R242">
        <v>24</v>
      </c>
      <c r="S242">
        <v>772</v>
      </c>
      <c r="T242" t="s">
        <v>815</v>
      </c>
      <c r="U242" t="s">
        <v>363</v>
      </c>
      <c r="V242" t="s">
        <v>931</v>
      </c>
      <c r="W242" t="s">
        <v>868</v>
      </c>
    </row>
    <row r="243" spans="1:23" x14ac:dyDescent="0.25">
      <c r="A243" t="s">
        <v>750</v>
      </c>
      <c r="B243" t="s">
        <v>750</v>
      </c>
      <c r="C243">
        <v>36</v>
      </c>
      <c r="D243" s="3">
        <v>36</v>
      </c>
      <c r="E243">
        <v>344</v>
      </c>
      <c r="F243">
        <v>200</v>
      </c>
      <c r="G243">
        <v>40</v>
      </c>
      <c r="H243">
        <v>0</v>
      </c>
      <c r="I243">
        <v>0</v>
      </c>
      <c r="J243">
        <v>56</v>
      </c>
      <c r="K243">
        <v>48</v>
      </c>
      <c r="L243">
        <v>32</v>
      </c>
      <c r="M243">
        <v>160</v>
      </c>
      <c r="N243">
        <v>16</v>
      </c>
      <c r="O243">
        <v>80</v>
      </c>
      <c r="P243">
        <v>96</v>
      </c>
      <c r="Q243">
        <v>32</v>
      </c>
      <c r="R243">
        <v>32</v>
      </c>
      <c r="S243">
        <v>592</v>
      </c>
      <c r="T243" t="s">
        <v>815</v>
      </c>
      <c r="U243" t="s">
        <v>363</v>
      </c>
      <c r="V243" t="s">
        <v>931</v>
      </c>
      <c r="W243" t="s">
        <v>818</v>
      </c>
    </row>
    <row r="244" spans="1:23" x14ac:dyDescent="0.25">
      <c r="A244" t="s">
        <v>652</v>
      </c>
      <c r="B244" t="s">
        <v>652</v>
      </c>
      <c r="C244">
        <v>28</v>
      </c>
      <c r="D244" s="3">
        <v>28</v>
      </c>
      <c r="E244">
        <v>100</v>
      </c>
      <c r="G244">
        <v>32</v>
      </c>
      <c r="H244">
        <v>104</v>
      </c>
      <c r="I244">
        <v>24</v>
      </c>
      <c r="J244">
        <v>20</v>
      </c>
      <c r="K244">
        <v>32</v>
      </c>
      <c r="L244">
        <v>16</v>
      </c>
      <c r="M244">
        <v>24</v>
      </c>
      <c r="N244">
        <v>16</v>
      </c>
      <c r="O244">
        <v>272</v>
      </c>
      <c r="P244">
        <v>32</v>
      </c>
      <c r="Q244">
        <v>160</v>
      </c>
      <c r="R244">
        <v>24</v>
      </c>
      <c r="S244">
        <v>756</v>
      </c>
      <c r="T244" t="s">
        <v>815</v>
      </c>
      <c r="U244" t="s">
        <v>363</v>
      </c>
      <c r="V244" t="s">
        <v>932</v>
      </c>
      <c r="W244" t="s">
        <v>933</v>
      </c>
    </row>
    <row r="245" spans="1:23" x14ac:dyDescent="0.25">
      <c r="A245" t="s">
        <v>751</v>
      </c>
      <c r="B245" t="s">
        <v>751</v>
      </c>
      <c r="C245">
        <v>36</v>
      </c>
      <c r="D245" s="3">
        <v>36</v>
      </c>
      <c r="E245">
        <v>344</v>
      </c>
      <c r="F245">
        <v>200</v>
      </c>
      <c r="G245">
        <v>40</v>
      </c>
      <c r="H245">
        <v>8</v>
      </c>
      <c r="I245">
        <v>0</v>
      </c>
      <c r="J245">
        <v>56</v>
      </c>
      <c r="K245">
        <v>48</v>
      </c>
      <c r="L245">
        <v>32</v>
      </c>
      <c r="M245">
        <v>160</v>
      </c>
      <c r="N245">
        <v>16</v>
      </c>
      <c r="O245">
        <v>72</v>
      </c>
      <c r="P245">
        <v>96</v>
      </c>
      <c r="Q245">
        <v>32</v>
      </c>
      <c r="R245">
        <v>32</v>
      </c>
      <c r="S245">
        <v>592</v>
      </c>
      <c r="T245" t="s">
        <v>815</v>
      </c>
      <c r="U245" t="s">
        <v>363</v>
      </c>
      <c r="V245" t="s">
        <v>932</v>
      </c>
      <c r="W245" t="s">
        <v>823</v>
      </c>
    </row>
    <row r="246" spans="1:23" x14ac:dyDescent="0.25">
      <c r="A246" t="s">
        <v>937</v>
      </c>
      <c r="B246" t="s">
        <v>937</v>
      </c>
      <c r="C246">
        <v>0</v>
      </c>
      <c r="D246" s="3">
        <v>0</v>
      </c>
      <c r="E246">
        <v>596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60</v>
      </c>
      <c r="P246">
        <v>0</v>
      </c>
      <c r="Q246">
        <v>0</v>
      </c>
      <c r="R246">
        <v>4</v>
      </c>
      <c r="S246">
        <v>64</v>
      </c>
      <c r="T246" t="s">
        <v>815</v>
      </c>
      <c r="U246" t="s">
        <v>460</v>
      </c>
      <c r="V246" t="s">
        <v>938</v>
      </c>
      <c r="W246" t="s">
        <v>817</v>
      </c>
    </row>
    <row r="247" spans="1:23" x14ac:dyDescent="0.25">
      <c r="A247" t="s">
        <v>654</v>
      </c>
      <c r="B247" t="s">
        <v>654</v>
      </c>
      <c r="C247">
        <v>0</v>
      </c>
      <c r="D247" s="3">
        <v>0</v>
      </c>
      <c r="E247">
        <v>596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60</v>
      </c>
      <c r="P247">
        <v>0</v>
      </c>
      <c r="Q247">
        <v>0</v>
      </c>
      <c r="R247">
        <v>4</v>
      </c>
      <c r="S247">
        <v>64</v>
      </c>
      <c r="T247" t="s">
        <v>815</v>
      </c>
      <c r="U247" t="s">
        <v>460</v>
      </c>
      <c r="V247" t="s">
        <v>940</v>
      </c>
      <c r="W247" t="s">
        <v>821</v>
      </c>
    </row>
    <row r="248" spans="1:23" x14ac:dyDescent="0.25">
      <c r="A248" t="s">
        <v>1767</v>
      </c>
      <c r="B248" t="s">
        <v>1767</v>
      </c>
      <c r="C248">
        <v>0</v>
      </c>
      <c r="D248" s="3">
        <v>0</v>
      </c>
      <c r="E248">
        <v>100</v>
      </c>
      <c r="G248">
        <v>40</v>
      </c>
      <c r="H248">
        <v>0</v>
      </c>
      <c r="I248">
        <v>0</v>
      </c>
      <c r="J248">
        <v>0</v>
      </c>
      <c r="K248">
        <v>32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20</v>
      </c>
      <c r="R248">
        <v>0</v>
      </c>
      <c r="S248">
        <v>92</v>
      </c>
      <c r="T248" t="s">
        <v>815</v>
      </c>
      <c r="U248" t="s">
        <v>492</v>
      </c>
      <c r="V248" t="s">
        <v>1768</v>
      </c>
      <c r="W248" t="s">
        <v>817</v>
      </c>
    </row>
    <row r="249" spans="1:23" x14ac:dyDescent="0.25">
      <c r="A249" t="s">
        <v>1769</v>
      </c>
      <c r="B249" t="s">
        <v>1769</v>
      </c>
      <c r="C249">
        <v>4</v>
      </c>
      <c r="D249" s="3">
        <v>4</v>
      </c>
      <c r="E249">
        <v>144</v>
      </c>
      <c r="G249">
        <v>4</v>
      </c>
      <c r="H249">
        <v>4</v>
      </c>
      <c r="I249">
        <v>0</v>
      </c>
      <c r="J249">
        <v>16</v>
      </c>
      <c r="K249">
        <v>36</v>
      </c>
      <c r="L249">
        <v>16</v>
      </c>
      <c r="M249">
        <v>12</v>
      </c>
      <c r="N249">
        <v>4</v>
      </c>
      <c r="O249">
        <v>52</v>
      </c>
      <c r="P249">
        <v>0</v>
      </c>
      <c r="Q249">
        <v>4</v>
      </c>
      <c r="R249">
        <v>0</v>
      </c>
      <c r="S249">
        <v>148</v>
      </c>
      <c r="T249" t="s">
        <v>815</v>
      </c>
      <c r="U249" t="s">
        <v>492</v>
      </c>
      <c r="V249" t="s">
        <v>1768</v>
      </c>
      <c r="W249" t="s">
        <v>818</v>
      </c>
    </row>
    <row r="250" spans="1:23" x14ac:dyDescent="0.25">
      <c r="A250" t="s">
        <v>947</v>
      </c>
      <c r="B250" t="s">
        <v>947</v>
      </c>
      <c r="C250">
        <v>0</v>
      </c>
      <c r="D250" s="3">
        <v>0</v>
      </c>
      <c r="E250">
        <v>172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20</v>
      </c>
      <c r="R250">
        <v>0</v>
      </c>
      <c r="S250">
        <v>20</v>
      </c>
      <c r="T250" t="s">
        <v>815</v>
      </c>
      <c r="U250" t="s">
        <v>492</v>
      </c>
      <c r="V250" t="s">
        <v>948</v>
      </c>
      <c r="W250" t="s">
        <v>821</v>
      </c>
    </row>
    <row r="251" spans="1:23" x14ac:dyDescent="0.25">
      <c r="A251" t="s">
        <v>1770</v>
      </c>
      <c r="B251" t="s">
        <v>1770</v>
      </c>
      <c r="C251">
        <v>8</v>
      </c>
      <c r="D251" s="3">
        <v>8</v>
      </c>
      <c r="E251">
        <v>132</v>
      </c>
      <c r="G251">
        <v>44</v>
      </c>
      <c r="H251">
        <v>4</v>
      </c>
      <c r="I251">
        <v>0</v>
      </c>
      <c r="J251">
        <v>16</v>
      </c>
      <c r="K251">
        <v>68</v>
      </c>
      <c r="L251">
        <v>16</v>
      </c>
      <c r="M251">
        <v>12</v>
      </c>
      <c r="N251">
        <v>4</v>
      </c>
      <c r="O251">
        <v>52</v>
      </c>
      <c r="P251">
        <v>0</v>
      </c>
      <c r="Q251">
        <v>4</v>
      </c>
      <c r="R251">
        <v>0</v>
      </c>
      <c r="S251">
        <v>220</v>
      </c>
      <c r="T251" t="s">
        <v>815</v>
      </c>
      <c r="U251" t="s">
        <v>492</v>
      </c>
      <c r="V251" t="s">
        <v>948</v>
      </c>
      <c r="W251" t="s">
        <v>823</v>
      </c>
    </row>
    <row r="252" spans="1:23" x14ac:dyDescent="0.25">
      <c r="A252" t="s">
        <v>655</v>
      </c>
      <c r="B252" t="s">
        <v>655</v>
      </c>
      <c r="C252">
        <v>6</v>
      </c>
      <c r="D252" s="3">
        <v>6</v>
      </c>
      <c r="E252">
        <v>740</v>
      </c>
      <c r="G252">
        <v>52</v>
      </c>
      <c r="H252">
        <v>0</v>
      </c>
      <c r="I252">
        <v>0</v>
      </c>
      <c r="J252">
        <v>0</v>
      </c>
      <c r="K252">
        <v>0</v>
      </c>
      <c r="L252">
        <v>4</v>
      </c>
      <c r="M252">
        <v>40</v>
      </c>
      <c r="N252">
        <v>0</v>
      </c>
      <c r="O252">
        <v>8</v>
      </c>
      <c r="P252">
        <v>112</v>
      </c>
      <c r="Q252">
        <v>32</v>
      </c>
      <c r="R252">
        <v>268</v>
      </c>
      <c r="S252">
        <v>516</v>
      </c>
      <c r="T252" t="s">
        <v>815</v>
      </c>
      <c r="U252" t="s">
        <v>492</v>
      </c>
      <c r="V252" t="s">
        <v>949</v>
      </c>
      <c r="W252" t="s">
        <v>817</v>
      </c>
    </row>
    <row r="253" spans="1:23" x14ac:dyDescent="0.25">
      <c r="A253" t="s">
        <v>752</v>
      </c>
      <c r="B253" t="s">
        <v>752</v>
      </c>
      <c r="C253">
        <v>158</v>
      </c>
      <c r="D253" s="3">
        <v>158</v>
      </c>
      <c r="E253">
        <v>1660</v>
      </c>
      <c r="F253">
        <v>1000</v>
      </c>
      <c r="G253">
        <v>156</v>
      </c>
      <c r="H253">
        <v>116</v>
      </c>
      <c r="I253">
        <v>432</v>
      </c>
      <c r="J253">
        <v>92</v>
      </c>
      <c r="K253">
        <v>520</v>
      </c>
      <c r="L253">
        <v>180</v>
      </c>
      <c r="M253">
        <v>148</v>
      </c>
      <c r="N253">
        <v>112</v>
      </c>
      <c r="O253">
        <v>368</v>
      </c>
      <c r="P253">
        <v>488</v>
      </c>
      <c r="Q253">
        <v>12</v>
      </c>
      <c r="R253">
        <v>160</v>
      </c>
      <c r="S253">
        <v>2784</v>
      </c>
      <c r="T253" t="s">
        <v>815</v>
      </c>
      <c r="U253" t="s">
        <v>492</v>
      </c>
      <c r="V253" t="s">
        <v>949</v>
      </c>
      <c r="W253" t="s">
        <v>818</v>
      </c>
    </row>
    <row r="254" spans="1:23" x14ac:dyDescent="0.25">
      <c r="A254" t="s">
        <v>708</v>
      </c>
      <c r="B254" t="s">
        <v>708</v>
      </c>
      <c r="C254">
        <v>6</v>
      </c>
      <c r="D254" s="3">
        <v>6</v>
      </c>
      <c r="E254">
        <v>740</v>
      </c>
      <c r="G254">
        <v>52</v>
      </c>
      <c r="H254">
        <v>0</v>
      </c>
      <c r="I254">
        <v>0</v>
      </c>
      <c r="J254">
        <v>0</v>
      </c>
      <c r="K254">
        <v>0</v>
      </c>
      <c r="L254">
        <v>4</v>
      </c>
      <c r="M254">
        <v>40</v>
      </c>
      <c r="N254">
        <v>0</v>
      </c>
      <c r="O254">
        <v>8</v>
      </c>
      <c r="P254">
        <v>112</v>
      </c>
      <c r="Q254">
        <v>32</v>
      </c>
      <c r="R254">
        <v>268</v>
      </c>
      <c r="S254">
        <v>516</v>
      </c>
      <c r="T254" t="s">
        <v>815</v>
      </c>
      <c r="U254" t="s">
        <v>492</v>
      </c>
      <c r="V254" t="s">
        <v>950</v>
      </c>
      <c r="W254" t="s">
        <v>821</v>
      </c>
    </row>
    <row r="255" spans="1:23" x14ac:dyDescent="0.25">
      <c r="A255" t="s">
        <v>753</v>
      </c>
      <c r="B255" t="s">
        <v>753</v>
      </c>
      <c r="C255">
        <v>158</v>
      </c>
      <c r="D255" s="3">
        <v>158</v>
      </c>
      <c r="E255">
        <v>1640</v>
      </c>
      <c r="F255">
        <v>1000</v>
      </c>
      <c r="G255">
        <v>156</v>
      </c>
      <c r="H255">
        <v>116</v>
      </c>
      <c r="I255">
        <v>432</v>
      </c>
      <c r="J255">
        <v>92</v>
      </c>
      <c r="K255">
        <v>500</v>
      </c>
      <c r="L255">
        <v>180</v>
      </c>
      <c r="M255">
        <v>148</v>
      </c>
      <c r="N255">
        <v>112</v>
      </c>
      <c r="O255">
        <v>240</v>
      </c>
      <c r="P255">
        <v>488</v>
      </c>
      <c r="Q255">
        <v>12</v>
      </c>
      <c r="R255">
        <v>160</v>
      </c>
      <c r="S255">
        <v>2636</v>
      </c>
      <c r="T255" t="s">
        <v>815</v>
      </c>
      <c r="U255" t="s">
        <v>492</v>
      </c>
      <c r="V255" t="s">
        <v>950</v>
      </c>
      <c r="W255" t="s">
        <v>823</v>
      </c>
    </row>
    <row r="256" spans="1:23" x14ac:dyDescent="0.25">
      <c r="A256" t="s">
        <v>656</v>
      </c>
      <c r="B256" t="s">
        <v>656</v>
      </c>
      <c r="C256">
        <v>0</v>
      </c>
      <c r="D256" s="3">
        <v>0</v>
      </c>
      <c r="E256">
        <v>100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815</v>
      </c>
      <c r="U256" t="s">
        <v>492</v>
      </c>
      <c r="V256" t="s">
        <v>951</v>
      </c>
      <c r="W256" t="s">
        <v>818</v>
      </c>
    </row>
    <row r="257" spans="1:23" x14ac:dyDescent="0.25">
      <c r="A257" t="s">
        <v>768</v>
      </c>
      <c r="B257" t="s">
        <v>768</v>
      </c>
      <c r="C257">
        <v>0</v>
      </c>
      <c r="D257" s="3">
        <v>0</v>
      </c>
      <c r="E257">
        <v>100</v>
      </c>
      <c r="F257">
        <v>100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60</v>
      </c>
      <c r="P257">
        <v>0</v>
      </c>
      <c r="Q257">
        <v>0</v>
      </c>
      <c r="R257">
        <v>0</v>
      </c>
      <c r="S257">
        <v>60</v>
      </c>
      <c r="T257" t="s">
        <v>815</v>
      </c>
      <c r="U257" t="s">
        <v>568</v>
      </c>
      <c r="V257" t="s">
        <v>952</v>
      </c>
      <c r="W257" t="s">
        <v>818</v>
      </c>
    </row>
    <row r="258" spans="1:23" x14ac:dyDescent="0.25">
      <c r="A258" t="s">
        <v>769</v>
      </c>
      <c r="B258" t="s">
        <v>769</v>
      </c>
      <c r="C258">
        <v>0</v>
      </c>
      <c r="D258" s="3">
        <v>0</v>
      </c>
      <c r="E258">
        <v>100</v>
      </c>
      <c r="F258">
        <v>100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60</v>
      </c>
      <c r="P258">
        <v>0</v>
      </c>
      <c r="Q258">
        <v>0</v>
      </c>
      <c r="R258">
        <v>0</v>
      </c>
      <c r="S258">
        <v>60</v>
      </c>
      <c r="T258" t="s">
        <v>815</v>
      </c>
      <c r="U258" t="s">
        <v>568</v>
      </c>
      <c r="V258" t="s">
        <v>956</v>
      </c>
      <c r="W258" t="s">
        <v>847</v>
      </c>
    </row>
    <row r="259" spans="1:23" x14ac:dyDescent="0.25">
      <c r="A259" t="s">
        <v>964</v>
      </c>
      <c r="B259" t="s">
        <v>964</v>
      </c>
      <c r="C259">
        <v>0</v>
      </c>
      <c r="D259" s="3">
        <v>0</v>
      </c>
      <c r="E259">
        <v>64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72</v>
      </c>
      <c r="P259">
        <v>0</v>
      </c>
      <c r="Q259">
        <v>0</v>
      </c>
      <c r="R259">
        <v>0</v>
      </c>
      <c r="S259">
        <v>72</v>
      </c>
      <c r="T259" t="s">
        <v>815</v>
      </c>
      <c r="U259" t="s">
        <v>576</v>
      </c>
      <c r="V259" t="s">
        <v>965</v>
      </c>
      <c r="W259" t="s">
        <v>818</v>
      </c>
    </row>
    <row r="260" spans="1:23" x14ac:dyDescent="0.25">
      <c r="A260" t="s">
        <v>966</v>
      </c>
      <c r="B260" t="s">
        <v>966</v>
      </c>
      <c r="C260">
        <v>0</v>
      </c>
      <c r="D260" s="3">
        <v>0</v>
      </c>
      <c r="E260">
        <v>64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72</v>
      </c>
      <c r="P260">
        <v>0</v>
      </c>
      <c r="Q260">
        <v>0</v>
      </c>
      <c r="R260">
        <v>0</v>
      </c>
      <c r="S260">
        <v>72</v>
      </c>
      <c r="T260" t="s">
        <v>815</v>
      </c>
      <c r="U260" t="s">
        <v>576</v>
      </c>
      <c r="V260" t="s">
        <v>967</v>
      </c>
      <c r="W260" t="s">
        <v>847</v>
      </c>
    </row>
    <row r="261" spans="1:23" x14ac:dyDescent="0.25">
      <c r="A261" t="s">
        <v>590</v>
      </c>
      <c r="B261" t="s">
        <v>590</v>
      </c>
      <c r="C261">
        <v>104</v>
      </c>
      <c r="D261" s="3">
        <v>104</v>
      </c>
      <c r="E261">
        <v>148</v>
      </c>
      <c r="F261">
        <v>100</v>
      </c>
      <c r="G261">
        <v>80</v>
      </c>
      <c r="H261">
        <v>160</v>
      </c>
      <c r="I261">
        <v>128</v>
      </c>
      <c r="J261">
        <v>160</v>
      </c>
      <c r="K261">
        <v>0</v>
      </c>
      <c r="L261">
        <v>0</v>
      </c>
      <c r="M261">
        <v>640</v>
      </c>
      <c r="N261">
        <v>80</v>
      </c>
      <c r="O261">
        <v>240</v>
      </c>
      <c r="P261">
        <v>-300</v>
      </c>
      <c r="Q261">
        <v>244</v>
      </c>
      <c r="R261">
        <v>16</v>
      </c>
      <c r="S261">
        <v>1448</v>
      </c>
      <c r="T261" t="s">
        <v>968</v>
      </c>
      <c r="U261" t="s">
        <v>45</v>
      </c>
      <c r="V261" t="s">
        <v>969</v>
      </c>
      <c r="W261" t="s">
        <v>970</v>
      </c>
    </row>
    <row r="262" spans="1:23" x14ac:dyDescent="0.25">
      <c r="A262" t="s">
        <v>972</v>
      </c>
      <c r="B262" t="s">
        <v>972</v>
      </c>
      <c r="C262">
        <v>80</v>
      </c>
      <c r="D262" s="3">
        <v>80</v>
      </c>
      <c r="E262">
        <v>700</v>
      </c>
      <c r="G262">
        <v>0</v>
      </c>
      <c r="H262">
        <v>0</v>
      </c>
      <c r="I262">
        <v>0</v>
      </c>
      <c r="J262">
        <v>1600</v>
      </c>
      <c r="K262">
        <v>0</v>
      </c>
      <c r="L262">
        <v>480</v>
      </c>
      <c r="M262">
        <v>160</v>
      </c>
      <c r="N262">
        <v>0</v>
      </c>
      <c r="O262">
        <v>240</v>
      </c>
      <c r="P262">
        <v>664</v>
      </c>
      <c r="Q262">
        <v>0</v>
      </c>
      <c r="R262">
        <v>720</v>
      </c>
      <c r="S262">
        <v>3864</v>
      </c>
      <c r="T262" t="s">
        <v>968</v>
      </c>
      <c r="U262" t="s">
        <v>45</v>
      </c>
      <c r="V262" t="s">
        <v>973</v>
      </c>
      <c r="W262" t="s">
        <v>970</v>
      </c>
    </row>
    <row r="263" spans="1:23" x14ac:dyDescent="0.25">
      <c r="A263" t="s">
        <v>1771</v>
      </c>
      <c r="B263" t="s">
        <v>1771</v>
      </c>
      <c r="C263">
        <v>0</v>
      </c>
      <c r="D263" s="3">
        <v>0</v>
      </c>
      <c r="E263">
        <v>80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968</v>
      </c>
      <c r="U263" t="s">
        <v>45</v>
      </c>
      <c r="V263" t="s">
        <v>973</v>
      </c>
      <c r="W263" t="s">
        <v>813</v>
      </c>
    </row>
    <row r="264" spans="1:23" x14ac:dyDescent="0.25">
      <c r="A264" t="s">
        <v>705</v>
      </c>
      <c r="B264" t="s">
        <v>705</v>
      </c>
      <c r="C264">
        <v>192</v>
      </c>
      <c r="D264" s="3">
        <v>192</v>
      </c>
      <c r="E264">
        <v>508</v>
      </c>
      <c r="F264">
        <v>500</v>
      </c>
      <c r="G264">
        <v>560</v>
      </c>
      <c r="H264">
        <v>0</v>
      </c>
      <c r="I264">
        <v>80</v>
      </c>
      <c r="J264">
        <v>240</v>
      </c>
      <c r="K264">
        <v>88</v>
      </c>
      <c r="L264">
        <v>440</v>
      </c>
      <c r="M264">
        <v>192</v>
      </c>
      <c r="N264">
        <v>120</v>
      </c>
      <c r="O264">
        <v>400</v>
      </c>
      <c r="P264">
        <v>320</v>
      </c>
      <c r="Q264">
        <v>80</v>
      </c>
      <c r="R264">
        <v>192</v>
      </c>
      <c r="S264">
        <v>2712</v>
      </c>
      <c r="T264" t="s">
        <v>968</v>
      </c>
      <c r="U264" t="s">
        <v>45</v>
      </c>
      <c r="V264" t="s">
        <v>974</v>
      </c>
      <c r="W264" t="s">
        <v>970</v>
      </c>
    </row>
    <row r="265" spans="1:23" x14ac:dyDescent="0.25">
      <c r="A265" t="s">
        <v>1772</v>
      </c>
      <c r="B265" t="s">
        <v>1772</v>
      </c>
      <c r="C265">
        <v>0</v>
      </c>
      <c r="D265" s="3">
        <v>0</v>
      </c>
      <c r="E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80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160</v>
      </c>
      <c r="S265">
        <v>240</v>
      </c>
      <c r="T265" t="s">
        <v>968</v>
      </c>
      <c r="U265" t="s">
        <v>45</v>
      </c>
      <c r="V265" t="s">
        <v>974</v>
      </c>
      <c r="W265" t="s">
        <v>813</v>
      </c>
    </row>
    <row r="266" spans="1:23" x14ac:dyDescent="0.25">
      <c r="A266" t="s">
        <v>591</v>
      </c>
      <c r="B266" t="s">
        <v>591</v>
      </c>
      <c r="C266">
        <v>222</v>
      </c>
      <c r="D266" s="3">
        <v>222</v>
      </c>
      <c r="E266">
        <v>1012</v>
      </c>
      <c r="F266">
        <v>1000</v>
      </c>
      <c r="G266">
        <v>432</v>
      </c>
      <c r="H266">
        <v>160</v>
      </c>
      <c r="I266">
        <v>176</v>
      </c>
      <c r="J266">
        <v>332</v>
      </c>
      <c r="K266">
        <v>748</v>
      </c>
      <c r="L266">
        <v>48</v>
      </c>
      <c r="M266">
        <v>448</v>
      </c>
      <c r="N266">
        <v>4</v>
      </c>
      <c r="O266">
        <v>268</v>
      </c>
      <c r="P266">
        <v>672</v>
      </c>
      <c r="Q266">
        <v>16</v>
      </c>
      <c r="R266">
        <v>16</v>
      </c>
      <c r="S266">
        <v>3320</v>
      </c>
      <c r="T266" t="s">
        <v>968</v>
      </c>
      <c r="U266" t="s">
        <v>83</v>
      </c>
      <c r="V266" t="s">
        <v>976</v>
      </c>
      <c r="W266" t="s">
        <v>970</v>
      </c>
    </row>
    <row r="267" spans="1:23" x14ac:dyDescent="0.25">
      <c r="A267" t="s">
        <v>1773</v>
      </c>
      <c r="B267" t="s">
        <v>1773</v>
      </c>
      <c r="C267">
        <v>0</v>
      </c>
      <c r="D267" s="3">
        <v>0</v>
      </c>
      <c r="E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80</v>
      </c>
      <c r="N267">
        <v>0</v>
      </c>
      <c r="O267">
        <v>80</v>
      </c>
      <c r="P267">
        <v>0</v>
      </c>
      <c r="Q267">
        <v>16</v>
      </c>
      <c r="R267">
        <v>12</v>
      </c>
      <c r="S267">
        <v>188</v>
      </c>
      <c r="T267" t="s">
        <v>968</v>
      </c>
      <c r="U267" t="s">
        <v>83</v>
      </c>
      <c r="V267" t="s">
        <v>976</v>
      </c>
      <c r="W267" t="s">
        <v>813</v>
      </c>
    </row>
    <row r="268" spans="1:23" x14ac:dyDescent="0.25">
      <c r="A268" t="s">
        <v>977</v>
      </c>
      <c r="B268" t="s">
        <v>977</v>
      </c>
      <c r="C268">
        <v>0</v>
      </c>
      <c r="D268" s="3">
        <v>0</v>
      </c>
      <c r="E268">
        <v>0</v>
      </c>
      <c r="G268">
        <v>0</v>
      </c>
      <c r="H268">
        <v>0</v>
      </c>
      <c r="I268">
        <v>0</v>
      </c>
      <c r="J268">
        <v>240</v>
      </c>
      <c r="K268">
        <v>360</v>
      </c>
      <c r="L268">
        <v>0</v>
      </c>
      <c r="M268">
        <v>0</v>
      </c>
      <c r="N268">
        <v>0</v>
      </c>
      <c r="O268">
        <v>0</v>
      </c>
      <c r="P268">
        <v>24</v>
      </c>
      <c r="Q268">
        <v>540</v>
      </c>
      <c r="R268">
        <v>0</v>
      </c>
      <c r="S268">
        <v>1164</v>
      </c>
      <c r="T268" t="s">
        <v>968</v>
      </c>
      <c r="U268" t="s">
        <v>83</v>
      </c>
      <c r="V268" t="s">
        <v>790</v>
      </c>
      <c r="W268" t="s">
        <v>970</v>
      </c>
    </row>
    <row r="269" spans="1:23" x14ac:dyDescent="0.25">
      <c r="A269" t="s">
        <v>592</v>
      </c>
      <c r="B269" t="s">
        <v>592</v>
      </c>
      <c r="C269">
        <v>1581</v>
      </c>
      <c r="D269" s="3">
        <v>1581</v>
      </c>
      <c r="E269">
        <v>369</v>
      </c>
      <c r="G269">
        <v>2316</v>
      </c>
      <c r="H269">
        <v>1767</v>
      </c>
      <c r="I269">
        <v>93</v>
      </c>
      <c r="J269">
        <v>315</v>
      </c>
      <c r="K269">
        <v>2988</v>
      </c>
      <c r="L269">
        <v>624</v>
      </c>
      <c r="M269">
        <v>1656</v>
      </c>
      <c r="N269">
        <v>1944</v>
      </c>
      <c r="O269">
        <v>1089</v>
      </c>
      <c r="P269">
        <v>2070</v>
      </c>
      <c r="Q269">
        <v>1506</v>
      </c>
      <c r="R269">
        <v>1401</v>
      </c>
      <c r="S269">
        <v>17769</v>
      </c>
      <c r="T269" t="s">
        <v>968</v>
      </c>
      <c r="U269" t="s">
        <v>83</v>
      </c>
      <c r="V269" t="s">
        <v>790</v>
      </c>
      <c r="W269" t="s">
        <v>970</v>
      </c>
    </row>
    <row r="270" spans="1:23" x14ac:dyDescent="0.25">
      <c r="A270" t="s">
        <v>739</v>
      </c>
      <c r="B270" t="s">
        <v>739</v>
      </c>
      <c r="C270">
        <v>0</v>
      </c>
      <c r="D270" s="3">
        <v>0</v>
      </c>
      <c r="E270">
        <v>99</v>
      </c>
      <c r="F270">
        <v>99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</v>
      </c>
      <c r="M270">
        <v>6</v>
      </c>
      <c r="N270">
        <v>276</v>
      </c>
      <c r="O270">
        <v>0</v>
      </c>
      <c r="P270">
        <v>0</v>
      </c>
      <c r="Q270">
        <v>6</v>
      </c>
      <c r="R270">
        <v>0</v>
      </c>
      <c r="S270">
        <v>294</v>
      </c>
      <c r="T270" t="s">
        <v>968</v>
      </c>
      <c r="U270" t="s">
        <v>83</v>
      </c>
      <c r="V270" t="s">
        <v>790</v>
      </c>
      <c r="W270" t="s">
        <v>813</v>
      </c>
    </row>
    <row r="271" spans="1:23" x14ac:dyDescent="0.25">
      <c r="A271" t="s">
        <v>1774</v>
      </c>
      <c r="B271" t="s">
        <v>1774</v>
      </c>
      <c r="C271">
        <v>0</v>
      </c>
      <c r="D271" s="3">
        <v>0</v>
      </c>
      <c r="E271">
        <v>240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270</v>
      </c>
      <c r="N271">
        <v>0</v>
      </c>
      <c r="O271">
        <v>0</v>
      </c>
      <c r="P271">
        <v>0</v>
      </c>
      <c r="Q271">
        <v>0</v>
      </c>
      <c r="R271">
        <v>60</v>
      </c>
      <c r="S271">
        <v>330</v>
      </c>
      <c r="T271" t="s">
        <v>968</v>
      </c>
      <c r="U271" t="s">
        <v>83</v>
      </c>
      <c r="V271" t="s">
        <v>790</v>
      </c>
      <c r="W271" t="s">
        <v>815</v>
      </c>
    </row>
    <row r="272" spans="1:23" x14ac:dyDescent="0.25">
      <c r="A272" t="s">
        <v>593</v>
      </c>
      <c r="B272" t="s">
        <v>593</v>
      </c>
      <c r="C272">
        <v>0</v>
      </c>
      <c r="D272" s="3">
        <v>0</v>
      </c>
      <c r="E272">
        <v>56</v>
      </c>
      <c r="G272">
        <v>0</v>
      </c>
      <c r="H272">
        <v>0</v>
      </c>
      <c r="I272">
        <v>40</v>
      </c>
      <c r="J272">
        <v>136</v>
      </c>
      <c r="K272">
        <v>0</v>
      </c>
      <c r="L272">
        <v>0</v>
      </c>
      <c r="M272">
        <v>80</v>
      </c>
      <c r="N272">
        <v>0</v>
      </c>
      <c r="O272">
        <v>0</v>
      </c>
      <c r="P272">
        <v>0</v>
      </c>
      <c r="Q272">
        <v>96</v>
      </c>
      <c r="R272">
        <v>40</v>
      </c>
      <c r="S272">
        <v>392</v>
      </c>
      <c r="T272" t="s">
        <v>968</v>
      </c>
      <c r="U272" t="s">
        <v>83</v>
      </c>
      <c r="V272" t="s">
        <v>978</v>
      </c>
      <c r="W272" t="s">
        <v>970</v>
      </c>
    </row>
    <row r="273" spans="1:23" x14ac:dyDescent="0.25">
      <c r="A273" t="s">
        <v>979</v>
      </c>
      <c r="B273" t="s">
        <v>979</v>
      </c>
      <c r="C273">
        <v>271</v>
      </c>
      <c r="D273" s="3">
        <v>271</v>
      </c>
      <c r="E273">
        <v>1152</v>
      </c>
      <c r="G273">
        <v>1376</v>
      </c>
      <c r="H273">
        <v>80</v>
      </c>
      <c r="I273">
        <v>540</v>
      </c>
      <c r="J273">
        <v>296</v>
      </c>
      <c r="K273">
        <v>788</v>
      </c>
      <c r="L273">
        <v>224</v>
      </c>
      <c r="M273">
        <v>320</v>
      </c>
      <c r="N273">
        <v>240</v>
      </c>
      <c r="O273">
        <v>246</v>
      </c>
      <c r="P273">
        <v>200</v>
      </c>
      <c r="Q273">
        <v>244</v>
      </c>
      <c r="R273">
        <v>1680</v>
      </c>
      <c r="S273">
        <v>6234</v>
      </c>
      <c r="T273" t="s">
        <v>968</v>
      </c>
      <c r="U273" t="s">
        <v>83</v>
      </c>
      <c r="V273" t="s">
        <v>978</v>
      </c>
      <c r="W273" t="s">
        <v>970</v>
      </c>
    </row>
    <row r="274" spans="1:23" x14ac:dyDescent="0.25">
      <c r="A274" t="s">
        <v>740</v>
      </c>
      <c r="B274" t="s">
        <v>740</v>
      </c>
      <c r="C274">
        <v>0</v>
      </c>
      <c r="D274" s="3">
        <v>0</v>
      </c>
      <c r="E274">
        <v>140</v>
      </c>
      <c r="F274">
        <v>100</v>
      </c>
      <c r="G274">
        <v>0</v>
      </c>
      <c r="H274">
        <v>0</v>
      </c>
      <c r="I274">
        <v>0</v>
      </c>
      <c r="J274">
        <v>0</v>
      </c>
      <c r="K274">
        <v>120</v>
      </c>
      <c r="L274">
        <v>80</v>
      </c>
      <c r="M274">
        <v>0</v>
      </c>
      <c r="N274">
        <v>80</v>
      </c>
      <c r="O274">
        <v>0</v>
      </c>
      <c r="P274">
        <v>0</v>
      </c>
      <c r="Q274">
        <v>32</v>
      </c>
      <c r="R274">
        <v>0</v>
      </c>
      <c r="S274">
        <v>312</v>
      </c>
      <c r="T274" t="s">
        <v>968</v>
      </c>
      <c r="U274" t="s">
        <v>83</v>
      </c>
      <c r="V274" t="s">
        <v>978</v>
      </c>
      <c r="W274" t="s">
        <v>813</v>
      </c>
    </row>
    <row r="275" spans="1:23" x14ac:dyDescent="0.25">
      <c r="A275" t="s">
        <v>984</v>
      </c>
      <c r="B275" t="s">
        <v>984</v>
      </c>
      <c r="C275">
        <v>0</v>
      </c>
      <c r="D275" s="3">
        <v>0</v>
      </c>
      <c r="E275">
        <v>348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40</v>
      </c>
      <c r="P275">
        <v>200</v>
      </c>
      <c r="Q275">
        <v>0</v>
      </c>
      <c r="R275">
        <v>0</v>
      </c>
      <c r="S275">
        <v>240</v>
      </c>
      <c r="T275" t="s">
        <v>968</v>
      </c>
      <c r="U275" t="s">
        <v>886</v>
      </c>
      <c r="V275" t="s">
        <v>985</v>
      </c>
      <c r="W275" t="s">
        <v>970</v>
      </c>
    </row>
    <row r="276" spans="1:23" x14ac:dyDescent="0.25">
      <c r="A276" t="s">
        <v>986</v>
      </c>
      <c r="B276" t="s">
        <v>986</v>
      </c>
      <c r="C276">
        <v>0</v>
      </c>
      <c r="D276" s="3">
        <v>0</v>
      </c>
      <c r="E276">
        <v>2400</v>
      </c>
      <c r="G276">
        <v>0</v>
      </c>
      <c r="H276">
        <v>0</v>
      </c>
      <c r="I276">
        <v>820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820</v>
      </c>
      <c r="T276" t="s">
        <v>968</v>
      </c>
      <c r="U276" t="s">
        <v>166</v>
      </c>
      <c r="V276" t="s">
        <v>987</v>
      </c>
      <c r="W276" t="s">
        <v>970</v>
      </c>
    </row>
    <row r="277" spans="1:23" x14ac:dyDescent="0.25">
      <c r="A277" t="s">
        <v>988</v>
      </c>
      <c r="B277" t="s">
        <v>988</v>
      </c>
      <c r="C277">
        <v>0</v>
      </c>
      <c r="D277" s="3">
        <v>0</v>
      </c>
      <c r="E277">
        <v>12000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t="s">
        <v>968</v>
      </c>
      <c r="U277" t="s">
        <v>166</v>
      </c>
      <c r="V277" t="s">
        <v>987</v>
      </c>
      <c r="W277" t="s">
        <v>970</v>
      </c>
    </row>
    <row r="278" spans="1:23" x14ac:dyDescent="0.25">
      <c r="A278" t="s">
        <v>594</v>
      </c>
      <c r="B278" t="s">
        <v>594</v>
      </c>
      <c r="C278">
        <v>490</v>
      </c>
      <c r="D278" s="3">
        <v>490</v>
      </c>
      <c r="E278">
        <v>0</v>
      </c>
      <c r="G278">
        <v>944</v>
      </c>
      <c r="H278">
        <v>556</v>
      </c>
      <c r="I278">
        <v>1356</v>
      </c>
      <c r="J278">
        <v>728</v>
      </c>
      <c r="K278">
        <v>784</v>
      </c>
      <c r="L278">
        <v>328</v>
      </c>
      <c r="M278">
        <v>764</v>
      </c>
      <c r="N278">
        <v>424</v>
      </c>
      <c r="O278">
        <v>196</v>
      </c>
      <c r="P278">
        <v>0</v>
      </c>
      <c r="Q278">
        <v>0</v>
      </c>
      <c r="R278">
        <v>0</v>
      </c>
      <c r="S278">
        <v>6080</v>
      </c>
      <c r="T278" t="s">
        <v>968</v>
      </c>
      <c r="U278" t="s">
        <v>180</v>
      </c>
      <c r="V278" t="s">
        <v>991</v>
      </c>
      <c r="W278" t="s">
        <v>970</v>
      </c>
    </row>
    <row r="279" spans="1:23" x14ac:dyDescent="0.25">
      <c r="A279" t="s">
        <v>595</v>
      </c>
      <c r="B279" t="s">
        <v>595</v>
      </c>
      <c r="C279">
        <v>494</v>
      </c>
      <c r="D279" s="3">
        <v>494</v>
      </c>
      <c r="E279">
        <v>0</v>
      </c>
      <c r="G279">
        <v>944</v>
      </c>
      <c r="H279">
        <v>556</v>
      </c>
      <c r="I279">
        <v>1356</v>
      </c>
      <c r="J279">
        <v>728</v>
      </c>
      <c r="K279">
        <v>724</v>
      </c>
      <c r="L279">
        <v>328</v>
      </c>
      <c r="M279">
        <v>764</v>
      </c>
      <c r="N279">
        <v>432</v>
      </c>
      <c r="O279">
        <v>212</v>
      </c>
      <c r="P279">
        <v>0</v>
      </c>
      <c r="Q279">
        <v>8</v>
      </c>
      <c r="R279">
        <v>16</v>
      </c>
      <c r="S279">
        <v>6068</v>
      </c>
      <c r="T279" t="s">
        <v>968</v>
      </c>
      <c r="U279" t="s">
        <v>180</v>
      </c>
      <c r="V279" t="s">
        <v>992</v>
      </c>
      <c r="W279" t="s">
        <v>970</v>
      </c>
    </row>
    <row r="280" spans="1:23" x14ac:dyDescent="0.25">
      <c r="A280" t="s">
        <v>596</v>
      </c>
      <c r="B280" t="s">
        <v>596</v>
      </c>
      <c r="C280">
        <v>192</v>
      </c>
      <c r="D280" s="3">
        <v>192</v>
      </c>
      <c r="E280">
        <v>0</v>
      </c>
      <c r="G280">
        <v>68</v>
      </c>
      <c r="H280">
        <v>248</v>
      </c>
      <c r="I280">
        <v>328</v>
      </c>
      <c r="J280">
        <v>192</v>
      </c>
      <c r="K280">
        <v>192</v>
      </c>
      <c r="L280">
        <v>256</v>
      </c>
      <c r="M280">
        <v>216</v>
      </c>
      <c r="N280">
        <v>260</v>
      </c>
      <c r="O280">
        <v>132</v>
      </c>
      <c r="P280">
        <v>-24</v>
      </c>
      <c r="Q280">
        <v>0</v>
      </c>
      <c r="R280">
        <v>36</v>
      </c>
      <c r="S280">
        <v>1904</v>
      </c>
      <c r="T280" t="s">
        <v>968</v>
      </c>
      <c r="U280" t="s">
        <v>180</v>
      </c>
      <c r="V280" t="s">
        <v>993</v>
      </c>
      <c r="W280" t="s">
        <v>970</v>
      </c>
    </row>
    <row r="281" spans="1:23" x14ac:dyDescent="0.25">
      <c r="A281" t="s">
        <v>597</v>
      </c>
      <c r="B281" t="s">
        <v>597</v>
      </c>
      <c r="C281">
        <v>192</v>
      </c>
      <c r="D281" s="3">
        <v>192</v>
      </c>
      <c r="E281">
        <v>0</v>
      </c>
      <c r="G281">
        <v>60</v>
      </c>
      <c r="H281">
        <v>232</v>
      </c>
      <c r="I281">
        <v>328</v>
      </c>
      <c r="J281">
        <v>192</v>
      </c>
      <c r="K281">
        <v>192</v>
      </c>
      <c r="L281">
        <v>256</v>
      </c>
      <c r="M281">
        <v>256</v>
      </c>
      <c r="N281">
        <v>236</v>
      </c>
      <c r="O281">
        <v>136</v>
      </c>
      <c r="P281">
        <v>0</v>
      </c>
      <c r="Q281">
        <v>0</v>
      </c>
      <c r="R281">
        <v>0</v>
      </c>
      <c r="S281">
        <v>1888</v>
      </c>
      <c r="T281" t="s">
        <v>968</v>
      </c>
      <c r="U281" t="s">
        <v>180</v>
      </c>
      <c r="V281" t="s">
        <v>994</v>
      </c>
      <c r="W281" t="s">
        <v>970</v>
      </c>
    </row>
    <row r="282" spans="1:23" x14ac:dyDescent="0.25">
      <c r="A282" t="s">
        <v>598</v>
      </c>
      <c r="B282" t="s">
        <v>598</v>
      </c>
      <c r="C282">
        <v>192</v>
      </c>
      <c r="D282" s="3">
        <v>192</v>
      </c>
      <c r="E282">
        <v>0</v>
      </c>
      <c r="G282">
        <v>32</v>
      </c>
      <c r="H282">
        <v>216</v>
      </c>
      <c r="I282">
        <v>240</v>
      </c>
      <c r="J282">
        <v>192</v>
      </c>
      <c r="K282">
        <v>208</v>
      </c>
      <c r="L282">
        <v>0</v>
      </c>
      <c r="M282">
        <v>400</v>
      </c>
      <c r="N282">
        <v>0</v>
      </c>
      <c r="O282">
        <v>2128</v>
      </c>
      <c r="P282">
        <v>192</v>
      </c>
      <c r="Q282">
        <v>0</v>
      </c>
      <c r="R282">
        <v>0</v>
      </c>
      <c r="S282">
        <v>3608</v>
      </c>
      <c r="T282" t="s">
        <v>968</v>
      </c>
      <c r="U282" t="s">
        <v>180</v>
      </c>
      <c r="V282" t="s">
        <v>995</v>
      </c>
      <c r="W282" t="s">
        <v>970</v>
      </c>
    </row>
    <row r="283" spans="1:23" x14ac:dyDescent="0.25">
      <c r="A283" t="s">
        <v>741</v>
      </c>
      <c r="B283" t="s">
        <v>741</v>
      </c>
      <c r="C283">
        <v>0</v>
      </c>
      <c r="D283" s="3">
        <v>0</v>
      </c>
      <c r="E283">
        <v>160</v>
      </c>
      <c r="F283">
        <v>160</v>
      </c>
      <c r="G283">
        <v>0</v>
      </c>
      <c r="H283">
        <v>0</v>
      </c>
      <c r="I283">
        <v>0</v>
      </c>
      <c r="J283">
        <v>16</v>
      </c>
      <c r="K283">
        <v>64</v>
      </c>
      <c r="L283">
        <v>0</v>
      </c>
      <c r="M283">
        <v>0</v>
      </c>
      <c r="N283">
        <v>0</v>
      </c>
      <c r="O283">
        <v>0</v>
      </c>
      <c r="P283">
        <v>80</v>
      </c>
      <c r="Q283">
        <v>0</v>
      </c>
      <c r="R283">
        <v>0</v>
      </c>
      <c r="S283">
        <v>160</v>
      </c>
      <c r="T283" t="s">
        <v>968</v>
      </c>
      <c r="U283" t="s">
        <v>180</v>
      </c>
      <c r="V283" t="s">
        <v>995</v>
      </c>
      <c r="W283" t="s">
        <v>813</v>
      </c>
    </row>
    <row r="284" spans="1:23" x14ac:dyDescent="0.25">
      <c r="A284" t="s">
        <v>742</v>
      </c>
      <c r="B284" t="s">
        <v>742</v>
      </c>
      <c r="C284">
        <v>0</v>
      </c>
      <c r="D284" s="3">
        <v>0</v>
      </c>
      <c r="E284">
        <v>160</v>
      </c>
      <c r="F284">
        <v>160</v>
      </c>
      <c r="G284">
        <v>0</v>
      </c>
      <c r="H284">
        <v>0</v>
      </c>
      <c r="I284">
        <v>0</v>
      </c>
      <c r="J284">
        <v>32</v>
      </c>
      <c r="K284">
        <v>48</v>
      </c>
      <c r="L284">
        <v>0</v>
      </c>
      <c r="M284">
        <v>0</v>
      </c>
      <c r="N284">
        <v>0</v>
      </c>
      <c r="O284">
        <v>0</v>
      </c>
      <c r="P284">
        <v>80</v>
      </c>
      <c r="Q284">
        <v>0</v>
      </c>
      <c r="R284">
        <v>0</v>
      </c>
      <c r="S284">
        <v>160</v>
      </c>
      <c r="T284" t="s">
        <v>968</v>
      </c>
      <c r="U284" t="s">
        <v>180</v>
      </c>
      <c r="V284" t="s">
        <v>995</v>
      </c>
      <c r="W284" t="s">
        <v>815</v>
      </c>
    </row>
    <row r="285" spans="1:23" x14ac:dyDescent="0.25">
      <c r="A285" t="s">
        <v>743</v>
      </c>
      <c r="B285" t="s">
        <v>743</v>
      </c>
      <c r="C285">
        <v>16</v>
      </c>
      <c r="D285" s="3">
        <v>16</v>
      </c>
      <c r="E285">
        <v>64</v>
      </c>
      <c r="F285">
        <v>64</v>
      </c>
      <c r="G285">
        <v>64</v>
      </c>
      <c r="H285">
        <v>0</v>
      </c>
      <c r="I285">
        <v>32</v>
      </c>
      <c r="J285">
        <v>16</v>
      </c>
      <c r="K285">
        <v>32</v>
      </c>
      <c r="L285">
        <v>16</v>
      </c>
      <c r="M285">
        <v>0</v>
      </c>
      <c r="N285">
        <v>48</v>
      </c>
      <c r="O285">
        <v>296</v>
      </c>
      <c r="P285">
        <v>0</v>
      </c>
      <c r="Q285">
        <v>0</v>
      </c>
      <c r="R285">
        <v>0</v>
      </c>
      <c r="S285">
        <v>504</v>
      </c>
      <c r="T285" t="s">
        <v>968</v>
      </c>
      <c r="U285" t="s">
        <v>180</v>
      </c>
      <c r="V285" t="s">
        <v>996</v>
      </c>
      <c r="W285" t="s">
        <v>970</v>
      </c>
    </row>
    <row r="286" spans="1:23" x14ac:dyDescent="0.25">
      <c r="A286" t="s">
        <v>599</v>
      </c>
      <c r="B286" t="s">
        <v>599</v>
      </c>
      <c r="C286">
        <v>28</v>
      </c>
      <c r="D286" s="3">
        <v>28</v>
      </c>
      <c r="E286">
        <v>16</v>
      </c>
      <c r="G286">
        <v>12</v>
      </c>
      <c r="H286">
        <v>40</v>
      </c>
      <c r="I286">
        <v>0</v>
      </c>
      <c r="J286">
        <v>16</v>
      </c>
      <c r="K286">
        <v>0</v>
      </c>
      <c r="L286">
        <v>200</v>
      </c>
      <c r="M286">
        <v>0</v>
      </c>
      <c r="N286">
        <v>0</v>
      </c>
      <c r="O286">
        <v>460</v>
      </c>
      <c r="P286">
        <v>640</v>
      </c>
      <c r="Q286">
        <v>1064</v>
      </c>
      <c r="R286">
        <v>892</v>
      </c>
      <c r="S286">
        <v>3324</v>
      </c>
      <c r="T286" t="s">
        <v>968</v>
      </c>
      <c r="U286" t="s">
        <v>180</v>
      </c>
      <c r="V286" t="s">
        <v>997</v>
      </c>
      <c r="W286" t="s">
        <v>970</v>
      </c>
    </row>
    <row r="287" spans="1:23" x14ac:dyDescent="0.25">
      <c r="A287" t="s">
        <v>998</v>
      </c>
      <c r="B287" t="s">
        <v>998</v>
      </c>
      <c r="C287">
        <v>0</v>
      </c>
      <c r="D287" s="3">
        <v>0</v>
      </c>
      <c r="E287">
        <v>0</v>
      </c>
      <c r="G287">
        <v>40</v>
      </c>
      <c r="H287">
        <v>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12</v>
      </c>
      <c r="O287">
        <v>104</v>
      </c>
      <c r="P287">
        <v>0</v>
      </c>
      <c r="Q287">
        <v>0</v>
      </c>
      <c r="R287">
        <v>0</v>
      </c>
      <c r="S287">
        <v>160</v>
      </c>
      <c r="T287" t="s">
        <v>968</v>
      </c>
      <c r="U287" t="s">
        <v>180</v>
      </c>
      <c r="V287" t="s">
        <v>997</v>
      </c>
      <c r="W287" t="s">
        <v>813</v>
      </c>
    </row>
    <row r="288" spans="1:23" x14ac:dyDescent="0.25">
      <c r="A288" t="s">
        <v>999</v>
      </c>
      <c r="B288" t="s">
        <v>999</v>
      </c>
      <c r="C288">
        <v>0</v>
      </c>
      <c r="D288" s="3">
        <v>0</v>
      </c>
      <c r="E288">
        <v>72</v>
      </c>
      <c r="G288">
        <v>40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8</v>
      </c>
      <c r="P288">
        <v>0</v>
      </c>
      <c r="Q288">
        <v>0</v>
      </c>
      <c r="R288">
        <v>0</v>
      </c>
      <c r="S288">
        <v>48</v>
      </c>
      <c r="T288" t="s">
        <v>968</v>
      </c>
      <c r="U288" t="s">
        <v>180</v>
      </c>
      <c r="V288" t="s">
        <v>997</v>
      </c>
      <c r="W288" t="s">
        <v>815</v>
      </c>
    </row>
    <row r="289" spans="1:23" x14ac:dyDescent="0.25">
      <c r="A289" t="s">
        <v>1000</v>
      </c>
      <c r="B289" t="s">
        <v>1000</v>
      </c>
      <c r="C289">
        <v>0</v>
      </c>
      <c r="D289" s="3">
        <v>0</v>
      </c>
      <c r="E289">
        <v>0</v>
      </c>
      <c r="G289">
        <v>0</v>
      </c>
      <c r="H289">
        <v>8</v>
      </c>
      <c r="I289">
        <v>0</v>
      </c>
      <c r="J289">
        <v>12</v>
      </c>
      <c r="K289">
        <v>0</v>
      </c>
      <c r="L289">
        <v>0</v>
      </c>
      <c r="M289">
        <v>0</v>
      </c>
      <c r="N289">
        <v>0</v>
      </c>
      <c r="O289">
        <v>20</v>
      </c>
      <c r="P289">
        <v>0</v>
      </c>
      <c r="Q289">
        <v>0</v>
      </c>
      <c r="R289">
        <v>0</v>
      </c>
      <c r="S289">
        <v>40</v>
      </c>
      <c r="T289" t="s">
        <v>968</v>
      </c>
      <c r="U289" t="s">
        <v>180</v>
      </c>
      <c r="V289" t="s">
        <v>997</v>
      </c>
      <c r="W289" t="s">
        <v>968</v>
      </c>
    </row>
    <row r="290" spans="1:23" x14ac:dyDescent="0.25">
      <c r="A290" t="s">
        <v>600</v>
      </c>
      <c r="B290" t="s">
        <v>600</v>
      </c>
      <c r="C290">
        <v>28</v>
      </c>
      <c r="D290" s="3">
        <v>28</v>
      </c>
      <c r="E290">
        <v>0</v>
      </c>
      <c r="G290">
        <v>12</v>
      </c>
      <c r="H290">
        <v>40</v>
      </c>
      <c r="I290">
        <v>0</v>
      </c>
      <c r="J290">
        <v>16</v>
      </c>
      <c r="K290">
        <v>0</v>
      </c>
      <c r="L290">
        <v>200</v>
      </c>
      <c r="M290">
        <v>0</v>
      </c>
      <c r="N290">
        <v>0</v>
      </c>
      <c r="O290">
        <v>460</v>
      </c>
      <c r="P290">
        <v>640</v>
      </c>
      <c r="Q290">
        <v>1064</v>
      </c>
      <c r="R290">
        <v>892</v>
      </c>
      <c r="S290">
        <v>3324</v>
      </c>
      <c r="T290" t="s">
        <v>968</v>
      </c>
      <c r="U290" t="s">
        <v>180</v>
      </c>
      <c r="V290" t="s">
        <v>1001</v>
      </c>
      <c r="W290" t="s">
        <v>970</v>
      </c>
    </row>
    <row r="291" spans="1:23" x14ac:dyDescent="0.25">
      <c r="A291" t="s">
        <v>1002</v>
      </c>
      <c r="B291" t="s">
        <v>1002</v>
      </c>
      <c r="C291">
        <v>0</v>
      </c>
      <c r="D291" s="3">
        <v>0</v>
      </c>
      <c r="E291">
        <v>0</v>
      </c>
      <c r="G291">
        <v>0</v>
      </c>
      <c r="H291">
        <v>12</v>
      </c>
      <c r="I291">
        <v>0</v>
      </c>
      <c r="J291">
        <v>12</v>
      </c>
      <c r="K291">
        <v>0</v>
      </c>
      <c r="L291">
        <v>0</v>
      </c>
      <c r="M291">
        <v>0</v>
      </c>
      <c r="N291">
        <v>12</v>
      </c>
      <c r="O291">
        <v>44</v>
      </c>
      <c r="P291">
        <v>0</v>
      </c>
      <c r="Q291">
        <v>0</v>
      </c>
      <c r="R291">
        <v>0</v>
      </c>
      <c r="S291">
        <v>80</v>
      </c>
      <c r="T291" t="s">
        <v>968</v>
      </c>
      <c r="U291" t="s">
        <v>180</v>
      </c>
      <c r="V291" t="s">
        <v>1001</v>
      </c>
      <c r="W291" t="s">
        <v>813</v>
      </c>
    </row>
    <row r="292" spans="1:23" x14ac:dyDescent="0.25">
      <c r="A292" t="s">
        <v>1003</v>
      </c>
      <c r="B292" t="s">
        <v>1003</v>
      </c>
      <c r="C292">
        <v>0</v>
      </c>
      <c r="D292" s="3">
        <v>0</v>
      </c>
      <c r="E292">
        <v>8</v>
      </c>
      <c r="G292">
        <v>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20</v>
      </c>
      <c r="P292">
        <v>0</v>
      </c>
      <c r="Q292">
        <v>0</v>
      </c>
      <c r="R292">
        <v>0</v>
      </c>
      <c r="S292">
        <v>24</v>
      </c>
      <c r="T292" t="s">
        <v>968</v>
      </c>
      <c r="U292" t="s">
        <v>180</v>
      </c>
      <c r="V292" t="s">
        <v>1001</v>
      </c>
      <c r="W292" t="s">
        <v>815</v>
      </c>
    </row>
    <row r="293" spans="1:23" x14ac:dyDescent="0.25">
      <c r="A293" t="s">
        <v>1004</v>
      </c>
      <c r="B293" t="s">
        <v>1004</v>
      </c>
      <c r="C293">
        <v>0</v>
      </c>
      <c r="D293" s="3">
        <v>0</v>
      </c>
      <c r="E293">
        <v>28</v>
      </c>
      <c r="G293">
        <v>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4</v>
      </c>
      <c r="T293" t="s">
        <v>968</v>
      </c>
      <c r="U293" t="s">
        <v>180</v>
      </c>
      <c r="V293" t="s">
        <v>1001</v>
      </c>
      <c r="W293" t="s">
        <v>968</v>
      </c>
    </row>
    <row r="294" spans="1:23" x14ac:dyDescent="0.25">
      <c r="A294" t="s">
        <v>601</v>
      </c>
      <c r="B294" t="s">
        <v>601</v>
      </c>
      <c r="C294">
        <v>32</v>
      </c>
      <c r="D294" s="3">
        <v>32</v>
      </c>
      <c r="E294">
        <v>500</v>
      </c>
      <c r="F294">
        <v>500</v>
      </c>
      <c r="G294">
        <v>36</v>
      </c>
      <c r="H294">
        <v>0</v>
      </c>
      <c r="I294">
        <v>0</v>
      </c>
      <c r="J294">
        <v>44</v>
      </c>
      <c r="K294">
        <v>80</v>
      </c>
      <c r="L294">
        <v>0</v>
      </c>
      <c r="M294">
        <v>4</v>
      </c>
      <c r="N294">
        <v>28</v>
      </c>
      <c r="O294">
        <v>168</v>
      </c>
      <c r="P294">
        <v>452</v>
      </c>
      <c r="Q294">
        <v>196</v>
      </c>
      <c r="R294">
        <v>24</v>
      </c>
      <c r="S294">
        <v>1032</v>
      </c>
      <c r="T294" t="s">
        <v>968</v>
      </c>
      <c r="U294" t="s">
        <v>180</v>
      </c>
      <c r="V294" t="s">
        <v>1005</v>
      </c>
      <c r="W294" t="s">
        <v>970</v>
      </c>
    </row>
    <row r="295" spans="1:23" x14ac:dyDescent="0.25">
      <c r="A295" t="s">
        <v>1006</v>
      </c>
      <c r="B295" t="s">
        <v>1006</v>
      </c>
      <c r="C295">
        <v>0</v>
      </c>
      <c r="D295" s="3">
        <v>0</v>
      </c>
      <c r="E295">
        <v>0</v>
      </c>
      <c r="G295">
        <v>40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4</v>
      </c>
      <c r="O295">
        <v>0</v>
      </c>
      <c r="P295">
        <v>0</v>
      </c>
      <c r="Q295">
        <v>196</v>
      </c>
      <c r="R295">
        <v>0</v>
      </c>
      <c r="S295">
        <v>240</v>
      </c>
      <c r="T295" t="s">
        <v>968</v>
      </c>
      <c r="U295" t="s">
        <v>180</v>
      </c>
      <c r="V295" t="s">
        <v>1005</v>
      </c>
      <c r="W295" t="s">
        <v>813</v>
      </c>
    </row>
    <row r="296" spans="1:23" x14ac:dyDescent="0.25">
      <c r="A296" t="s">
        <v>1007</v>
      </c>
      <c r="B296" t="s">
        <v>1007</v>
      </c>
      <c r="C296">
        <v>0</v>
      </c>
      <c r="D296" s="3">
        <v>0</v>
      </c>
      <c r="E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16</v>
      </c>
      <c r="R296">
        <v>24</v>
      </c>
      <c r="S296">
        <v>40</v>
      </c>
      <c r="T296" t="s">
        <v>968</v>
      </c>
      <c r="U296" t="s">
        <v>180</v>
      </c>
      <c r="V296" t="s">
        <v>1005</v>
      </c>
      <c r="W296" t="s">
        <v>815</v>
      </c>
    </row>
    <row r="297" spans="1:23" x14ac:dyDescent="0.25">
      <c r="A297" t="s">
        <v>602</v>
      </c>
      <c r="B297" t="s">
        <v>602</v>
      </c>
      <c r="C297">
        <v>32</v>
      </c>
      <c r="D297" s="3">
        <v>32</v>
      </c>
      <c r="E297">
        <v>500</v>
      </c>
      <c r="F297">
        <v>500</v>
      </c>
      <c r="G297">
        <v>36</v>
      </c>
      <c r="H297">
        <v>0</v>
      </c>
      <c r="I297">
        <v>0</v>
      </c>
      <c r="J297">
        <v>28</v>
      </c>
      <c r="K297">
        <v>80</v>
      </c>
      <c r="L297">
        <v>0</v>
      </c>
      <c r="M297">
        <v>4</v>
      </c>
      <c r="N297">
        <v>28</v>
      </c>
      <c r="O297">
        <v>168</v>
      </c>
      <c r="P297">
        <v>452</v>
      </c>
      <c r="Q297">
        <v>228</v>
      </c>
      <c r="R297">
        <v>44</v>
      </c>
      <c r="S297">
        <v>1068</v>
      </c>
      <c r="T297" t="s">
        <v>968</v>
      </c>
      <c r="U297" t="s">
        <v>180</v>
      </c>
      <c r="V297" t="s">
        <v>1009</v>
      </c>
      <c r="W297" t="s">
        <v>970</v>
      </c>
    </row>
    <row r="298" spans="1:23" x14ac:dyDescent="0.25">
      <c r="A298" t="s">
        <v>1010</v>
      </c>
      <c r="B298" t="s">
        <v>1010</v>
      </c>
      <c r="C298">
        <v>0</v>
      </c>
      <c r="D298" s="3">
        <v>0</v>
      </c>
      <c r="E298">
        <v>0</v>
      </c>
      <c r="G298">
        <v>40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4</v>
      </c>
      <c r="O298">
        <v>0</v>
      </c>
      <c r="P298">
        <v>0</v>
      </c>
      <c r="Q298">
        <v>180</v>
      </c>
      <c r="R298">
        <v>16</v>
      </c>
      <c r="S298">
        <v>240</v>
      </c>
      <c r="T298" t="s">
        <v>968</v>
      </c>
      <c r="U298" t="s">
        <v>180</v>
      </c>
      <c r="V298" t="s">
        <v>1009</v>
      </c>
      <c r="W298" t="s">
        <v>813</v>
      </c>
    </row>
    <row r="299" spans="1:23" x14ac:dyDescent="0.25">
      <c r="A299" t="s">
        <v>1775</v>
      </c>
      <c r="B299" t="s">
        <v>1775</v>
      </c>
      <c r="C299">
        <v>0</v>
      </c>
      <c r="D299" s="3">
        <v>0</v>
      </c>
      <c r="E299">
        <v>32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968</v>
      </c>
      <c r="U299" t="s">
        <v>1759</v>
      </c>
      <c r="V299" t="s">
        <v>1776</v>
      </c>
      <c r="W299" t="s">
        <v>970</v>
      </c>
    </row>
    <row r="300" spans="1:23" x14ac:dyDescent="0.25">
      <c r="A300" t="s">
        <v>1013</v>
      </c>
      <c r="B300" t="s">
        <v>1013</v>
      </c>
      <c r="C300">
        <v>0</v>
      </c>
      <c r="D300" s="3">
        <v>0</v>
      </c>
      <c r="E300">
        <v>328</v>
      </c>
      <c r="G300">
        <v>12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40</v>
      </c>
      <c r="P300">
        <v>0</v>
      </c>
      <c r="Q300">
        <v>0</v>
      </c>
      <c r="R300">
        <v>0</v>
      </c>
      <c r="S300">
        <v>52</v>
      </c>
      <c r="T300" t="s">
        <v>968</v>
      </c>
      <c r="U300" t="s">
        <v>294</v>
      </c>
      <c r="V300" t="s">
        <v>1014</v>
      </c>
      <c r="W300" t="s">
        <v>970</v>
      </c>
    </row>
    <row r="301" spans="1:23" x14ac:dyDescent="0.25">
      <c r="A301" t="s">
        <v>1015</v>
      </c>
      <c r="B301" t="s">
        <v>1015</v>
      </c>
      <c r="C301">
        <v>0</v>
      </c>
      <c r="D301" s="3">
        <v>0</v>
      </c>
      <c r="E301">
        <v>348</v>
      </c>
      <c r="G301">
        <v>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40</v>
      </c>
      <c r="P301">
        <v>0</v>
      </c>
      <c r="Q301">
        <v>0</v>
      </c>
      <c r="R301">
        <v>0</v>
      </c>
      <c r="S301">
        <v>44</v>
      </c>
      <c r="T301" t="s">
        <v>968</v>
      </c>
      <c r="U301" t="s">
        <v>294</v>
      </c>
      <c r="V301" t="s">
        <v>1016</v>
      </c>
      <c r="W301" t="s">
        <v>970</v>
      </c>
    </row>
    <row r="302" spans="1:23" x14ac:dyDescent="0.25">
      <c r="A302" t="s">
        <v>1017</v>
      </c>
      <c r="B302" t="s">
        <v>1017</v>
      </c>
      <c r="C302">
        <v>0</v>
      </c>
      <c r="D302" s="3">
        <v>0</v>
      </c>
      <c r="E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16</v>
      </c>
      <c r="P302">
        <v>24</v>
      </c>
      <c r="Q302">
        <v>0</v>
      </c>
      <c r="R302">
        <v>0</v>
      </c>
      <c r="S302">
        <v>40</v>
      </c>
      <c r="T302" t="s">
        <v>968</v>
      </c>
      <c r="U302" t="s">
        <v>317</v>
      </c>
      <c r="V302" t="s">
        <v>1018</v>
      </c>
      <c r="W302" t="s">
        <v>970</v>
      </c>
    </row>
    <row r="303" spans="1:23" x14ac:dyDescent="0.25">
      <c r="A303" t="s">
        <v>603</v>
      </c>
      <c r="B303" t="s">
        <v>603</v>
      </c>
      <c r="C303">
        <v>0</v>
      </c>
      <c r="D303" s="3">
        <v>0</v>
      </c>
      <c r="E303">
        <v>56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20</v>
      </c>
      <c r="Q303">
        <v>0</v>
      </c>
      <c r="R303">
        <v>0</v>
      </c>
      <c r="S303">
        <v>20</v>
      </c>
      <c r="T303" t="s">
        <v>968</v>
      </c>
      <c r="U303" t="s">
        <v>317</v>
      </c>
      <c r="V303" t="s">
        <v>1018</v>
      </c>
      <c r="W303" t="s">
        <v>970</v>
      </c>
    </row>
    <row r="304" spans="1:23" x14ac:dyDescent="0.25">
      <c r="A304" t="s">
        <v>1019</v>
      </c>
      <c r="B304" t="s">
        <v>1019</v>
      </c>
      <c r="C304">
        <v>0</v>
      </c>
      <c r="D304" s="3">
        <v>0</v>
      </c>
      <c r="E304">
        <v>40</v>
      </c>
      <c r="G304">
        <v>0</v>
      </c>
      <c r="H304">
        <v>0</v>
      </c>
      <c r="I304">
        <v>0</v>
      </c>
      <c r="J304">
        <v>0</v>
      </c>
      <c r="K304">
        <v>40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40</v>
      </c>
      <c r="T304" t="s">
        <v>968</v>
      </c>
      <c r="U304" t="s">
        <v>317</v>
      </c>
      <c r="V304" t="s">
        <v>1018</v>
      </c>
      <c r="W304" t="s">
        <v>813</v>
      </c>
    </row>
    <row r="305" spans="1:23" x14ac:dyDescent="0.25">
      <c r="A305" t="s">
        <v>1020</v>
      </c>
      <c r="B305" t="s">
        <v>1020</v>
      </c>
      <c r="C305">
        <v>0</v>
      </c>
      <c r="D305" s="3">
        <v>0</v>
      </c>
      <c r="E305">
        <v>80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968</v>
      </c>
      <c r="U305" t="s">
        <v>317</v>
      </c>
      <c r="V305" t="s">
        <v>1018</v>
      </c>
      <c r="W305" t="s">
        <v>813</v>
      </c>
    </row>
    <row r="306" spans="1:23" x14ac:dyDescent="0.25">
      <c r="A306" t="s">
        <v>1021</v>
      </c>
      <c r="B306" t="s">
        <v>1021</v>
      </c>
      <c r="C306">
        <v>0</v>
      </c>
      <c r="D306" s="3">
        <v>0</v>
      </c>
      <c r="E306">
        <v>20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 t="s">
        <v>968</v>
      </c>
      <c r="U306" t="s">
        <v>317</v>
      </c>
      <c r="V306" t="s">
        <v>1018</v>
      </c>
      <c r="W306" t="s">
        <v>815</v>
      </c>
    </row>
    <row r="307" spans="1:23" x14ac:dyDescent="0.25">
      <c r="A307" t="s">
        <v>1022</v>
      </c>
      <c r="B307" t="s">
        <v>1022</v>
      </c>
      <c r="C307">
        <v>0</v>
      </c>
      <c r="D307" s="3">
        <v>0</v>
      </c>
      <c r="E307">
        <v>20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t="s">
        <v>968</v>
      </c>
      <c r="U307" t="s">
        <v>317</v>
      </c>
      <c r="V307" t="s">
        <v>1018</v>
      </c>
      <c r="W307" t="s">
        <v>815</v>
      </c>
    </row>
    <row r="308" spans="1:23" x14ac:dyDescent="0.25">
      <c r="A308" t="s">
        <v>1023</v>
      </c>
      <c r="B308" t="s">
        <v>1023</v>
      </c>
      <c r="C308">
        <v>0</v>
      </c>
      <c r="D308" s="3">
        <v>0</v>
      </c>
      <c r="E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64</v>
      </c>
      <c r="M308">
        <v>16</v>
      </c>
      <c r="N308">
        <v>0</v>
      </c>
      <c r="O308">
        <v>0</v>
      </c>
      <c r="P308">
        <v>0</v>
      </c>
      <c r="Q308">
        <v>80</v>
      </c>
      <c r="R308">
        <v>0</v>
      </c>
      <c r="S308">
        <v>160</v>
      </c>
      <c r="T308" t="s">
        <v>968</v>
      </c>
      <c r="U308" t="s">
        <v>1024</v>
      </c>
      <c r="V308" t="s">
        <v>1025</v>
      </c>
      <c r="W308" t="s">
        <v>970</v>
      </c>
    </row>
    <row r="309" spans="1:23" x14ac:dyDescent="0.25">
      <c r="A309" t="s">
        <v>1026</v>
      </c>
      <c r="B309" t="s">
        <v>1026</v>
      </c>
      <c r="C309">
        <v>68</v>
      </c>
      <c r="D309" s="3">
        <v>68</v>
      </c>
      <c r="E309">
        <v>8</v>
      </c>
      <c r="G309">
        <v>280</v>
      </c>
      <c r="H309">
        <v>0</v>
      </c>
      <c r="I309">
        <v>88</v>
      </c>
      <c r="J309">
        <v>80</v>
      </c>
      <c r="K309">
        <v>24</v>
      </c>
      <c r="L309">
        <v>8</v>
      </c>
      <c r="M309">
        <v>56</v>
      </c>
      <c r="N309">
        <v>140</v>
      </c>
      <c r="O309">
        <v>288</v>
      </c>
      <c r="P309">
        <v>16</v>
      </c>
      <c r="Q309">
        <v>196</v>
      </c>
      <c r="R309">
        <v>-4</v>
      </c>
      <c r="S309">
        <v>1172</v>
      </c>
      <c r="T309" t="s">
        <v>968</v>
      </c>
      <c r="U309" t="s">
        <v>1024</v>
      </c>
      <c r="V309" t="s">
        <v>1025</v>
      </c>
      <c r="W309" t="s">
        <v>970</v>
      </c>
    </row>
    <row r="310" spans="1:23" x14ac:dyDescent="0.25">
      <c r="A310" t="s">
        <v>1027</v>
      </c>
      <c r="B310" t="s">
        <v>1027</v>
      </c>
      <c r="C310">
        <v>0</v>
      </c>
      <c r="D310" s="3">
        <v>0</v>
      </c>
      <c r="E310">
        <v>80</v>
      </c>
      <c r="G310">
        <v>80</v>
      </c>
      <c r="H310">
        <v>0</v>
      </c>
      <c r="I310">
        <v>0</v>
      </c>
      <c r="J310">
        <v>0</v>
      </c>
      <c r="K310">
        <v>0</v>
      </c>
      <c r="L310">
        <v>64</v>
      </c>
      <c r="M310">
        <v>16</v>
      </c>
      <c r="N310">
        <v>0</v>
      </c>
      <c r="O310">
        <v>0</v>
      </c>
      <c r="P310">
        <v>0</v>
      </c>
      <c r="Q310">
        <v>80</v>
      </c>
      <c r="R310">
        <v>0</v>
      </c>
      <c r="S310">
        <v>240</v>
      </c>
      <c r="T310" t="s">
        <v>968</v>
      </c>
      <c r="U310" t="s">
        <v>1024</v>
      </c>
      <c r="V310" t="s">
        <v>1028</v>
      </c>
      <c r="W310" t="s">
        <v>970</v>
      </c>
    </row>
    <row r="311" spans="1:23" x14ac:dyDescent="0.25">
      <c r="A311" t="s">
        <v>1029</v>
      </c>
      <c r="B311" t="s">
        <v>1029</v>
      </c>
      <c r="C311">
        <v>84</v>
      </c>
      <c r="D311" s="3">
        <v>84</v>
      </c>
      <c r="E311">
        <v>0</v>
      </c>
      <c r="G311">
        <v>152</v>
      </c>
      <c r="H311">
        <v>0</v>
      </c>
      <c r="I311">
        <v>88</v>
      </c>
      <c r="J311">
        <v>80</v>
      </c>
      <c r="K311">
        <v>24</v>
      </c>
      <c r="L311">
        <v>8</v>
      </c>
      <c r="M311">
        <v>128</v>
      </c>
      <c r="N311">
        <v>140</v>
      </c>
      <c r="O311">
        <v>288</v>
      </c>
      <c r="P311">
        <v>16</v>
      </c>
      <c r="Q311">
        <v>196</v>
      </c>
      <c r="R311">
        <v>-4</v>
      </c>
      <c r="S311">
        <v>1116</v>
      </c>
      <c r="T311" t="s">
        <v>968</v>
      </c>
      <c r="U311" t="s">
        <v>1024</v>
      </c>
      <c r="V311" t="s">
        <v>1028</v>
      </c>
      <c r="W311" t="s">
        <v>970</v>
      </c>
    </row>
    <row r="312" spans="1:23" x14ac:dyDescent="0.25">
      <c r="A312" t="s">
        <v>604</v>
      </c>
      <c r="B312" t="s">
        <v>604</v>
      </c>
      <c r="C312">
        <v>0</v>
      </c>
      <c r="D312" s="3">
        <v>0</v>
      </c>
      <c r="E312">
        <v>40</v>
      </c>
      <c r="F312">
        <v>40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12</v>
      </c>
      <c r="M312">
        <v>0</v>
      </c>
      <c r="N312">
        <v>0</v>
      </c>
      <c r="O312">
        <v>88</v>
      </c>
      <c r="P312">
        <v>0</v>
      </c>
      <c r="Q312">
        <v>0</v>
      </c>
      <c r="R312">
        <v>0</v>
      </c>
      <c r="S312">
        <v>100</v>
      </c>
      <c r="T312" t="s">
        <v>968</v>
      </c>
      <c r="U312" t="s">
        <v>363</v>
      </c>
      <c r="V312" t="s">
        <v>1030</v>
      </c>
      <c r="W312" t="s">
        <v>970</v>
      </c>
    </row>
    <row r="313" spans="1:23" x14ac:dyDescent="0.25">
      <c r="A313" t="s">
        <v>605</v>
      </c>
      <c r="B313" t="s">
        <v>605</v>
      </c>
      <c r="C313">
        <v>0</v>
      </c>
      <c r="D313" s="3">
        <v>0</v>
      </c>
      <c r="E313">
        <v>56</v>
      </c>
      <c r="F313">
        <v>40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12</v>
      </c>
      <c r="M313">
        <v>0</v>
      </c>
      <c r="N313">
        <v>0</v>
      </c>
      <c r="O313">
        <v>88</v>
      </c>
      <c r="P313">
        <v>0</v>
      </c>
      <c r="Q313">
        <v>0</v>
      </c>
      <c r="R313">
        <v>0</v>
      </c>
      <c r="S313">
        <v>100</v>
      </c>
      <c r="T313" t="s">
        <v>968</v>
      </c>
      <c r="U313" t="s">
        <v>363</v>
      </c>
      <c r="V313" t="s">
        <v>1031</v>
      </c>
      <c r="W313" t="s">
        <v>970</v>
      </c>
    </row>
    <row r="314" spans="1:23" x14ac:dyDescent="0.25">
      <c r="A314" t="s">
        <v>606</v>
      </c>
      <c r="B314" t="s">
        <v>606</v>
      </c>
      <c r="C314">
        <v>80</v>
      </c>
      <c r="D314" s="3">
        <v>80</v>
      </c>
      <c r="E314">
        <v>420</v>
      </c>
      <c r="F314">
        <v>160</v>
      </c>
      <c r="G314">
        <v>0</v>
      </c>
      <c r="H314">
        <v>128</v>
      </c>
      <c r="I314">
        <v>48</v>
      </c>
      <c r="J314">
        <v>160</v>
      </c>
      <c r="K314">
        <v>144</v>
      </c>
      <c r="L314">
        <v>80</v>
      </c>
      <c r="M314">
        <v>80</v>
      </c>
      <c r="N314">
        <v>32</v>
      </c>
      <c r="O314">
        <v>192</v>
      </c>
      <c r="P314">
        <v>116</v>
      </c>
      <c r="Q314">
        <v>0</v>
      </c>
      <c r="R314">
        <v>0</v>
      </c>
      <c r="S314">
        <v>980</v>
      </c>
      <c r="T314" t="s">
        <v>968</v>
      </c>
      <c r="U314" t="s">
        <v>363</v>
      </c>
      <c r="V314" t="s">
        <v>1032</v>
      </c>
      <c r="W314" t="s">
        <v>970</v>
      </c>
    </row>
    <row r="315" spans="1:23" x14ac:dyDescent="0.25">
      <c r="A315" t="s">
        <v>607</v>
      </c>
      <c r="B315" t="s">
        <v>607</v>
      </c>
      <c r="C315">
        <v>0</v>
      </c>
      <c r="D315" s="3">
        <v>0</v>
      </c>
      <c r="E315">
        <v>500</v>
      </c>
      <c r="G315">
        <v>0</v>
      </c>
      <c r="H315">
        <v>0</v>
      </c>
      <c r="I315">
        <v>0</v>
      </c>
      <c r="J315">
        <v>8</v>
      </c>
      <c r="K315">
        <v>8</v>
      </c>
      <c r="L315">
        <v>0</v>
      </c>
      <c r="M315">
        <v>0</v>
      </c>
      <c r="N315">
        <v>0</v>
      </c>
      <c r="O315">
        <v>8</v>
      </c>
      <c r="P315">
        <v>0</v>
      </c>
      <c r="Q315">
        <v>0</v>
      </c>
      <c r="R315">
        <v>0</v>
      </c>
      <c r="S315">
        <v>24</v>
      </c>
      <c r="T315" t="s">
        <v>968</v>
      </c>
      <c r="U315" t="s">
        <v>492</v>
      </c>
      <c r="V315" t="s">
        <v>1043</v>
      </c>
      <c r="W315" t="s">
        <v>970</v>
      </c>
    </row>
    <row r="316" spans="1:23" x14ac:dyDescent="0.25">
      <c r="A316" t="s">
        <v>608</v>
      </c>
      <c r="B316" t="s">
        <v>608</v>
      </c>
      <c r="C316">
        <v>0</v>
      </c>
      <c r="D316" s="3">
        <v>0</v>
      </c>
      <c r="E316">
        <v>724</v>
      </c>
      <c r="G316">
        <v>0</v>
      </c>
      <c r="H316">
        <v>0</v>
      </c>
      <c r="I316">
        <v>8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20</v>
      </c>
      <c r="R316">
        <v>0</v>
      </c>
      <c r="S316">
        <v>28</v>
      </c>
      <c r="T316" t="s">
        <v>968</v>
      </c>
      <c r="U316" t="s">
        <v>492</v>
      </c>
      <c r="V316" t="s">
        <v>1043</v>
      </c>
      <c r="W316" t="s">
        <v>970</v>
      </c>
    </row>
    <row r="317" spans="1:23" x14ac:dyDescent="0.25">
      <c r="A317" t="s">
        <v>1044</v>
      </c>
      <c r="B317" t="s">
        <v>1044</v>
      </c>
      <c r="C317">
        <v>0</v>
      </c>
      <c r="D317" s="3">
        <v>0</v>
      </c>
      <c r="E317">
        <v>440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20</v>
      </c>
      <c r="P317">
        <v>0</v>
      </c>
      <c r="Q317">
        <v>0</v>
      </c>
      <c r="R317">
        <v>0</v>
      </c>
      <c r="S317">
        <v>20</v>
      </c>
      <c r="T317" t="s">
        <v>968</v>
      </c>
      <c r="U317" t="s">
        <v>492</v>
      </c>
      <c r="V317" t="s">
        <v>1043</v>
      </c>
      <c r="W317" t="s">
        <v>813</v>
      </c>
    </row>
    <row r="318" spans="1:23" x14ac:dyDescent="0.25">
      <c r="A318" t="s">
        <v>609</v>
      </c>
      <c r="B318" t="s">
        <v>609</v>
      </c>
      <c r="C318">
        <v>40</v>
      </c>
      <c r="D318" s="3">
        <v>40</v>
      </c>
      <c r="E318">
        <v>680</v>
      </c>
      <c r="F318">
        <v>680</v>
      </c>
      <c r="G318">
        <v>68</v>
      </c>
      <c r="H318">
        <v>40</v>
      </c>
      <c r="I318">
        <v>40</v>
      </c>
      <c r="J318">
        <v>36</v>
      </c>
      <c r="K318">
        <v>460</v>
      </c>
      <c r="L318">
        <v>456</v>
      </c>
      <c r="M318">
        <v>8</v>
      </c>
      <c r="N318">
        <v>0</v>
      </c>
      <c r="O318">
        <v>532</v>
      </c>
      <c r="P318">
        <v>960</v>
      </c>
      <c r="Q318">
        <v>0</v>
      </c>
      <c r="R318">
        <v>0</v>
      </c>
      <c r="S318">
        <v>2600</v>
      </c>
      <c r="T318" t="s">
        <v>968</v>
      </c>
      <c r="U318" t="s">
        <v>492</v>
      </c>
      <c r="V318" t="s">
        <v>1043</v>
      </c>
      <c r="W318" t="s">
        <v>813</v>
      </c>
    </row>
    <row r="319" spans="1:23" x14ac:dyDescent="0.25">
      <c r="A319" t="s">
        <v>1045</v>
      </c>
      <c r="B319" t="s">
        <v>1045</v>
      </c>
      <c r="C319">
        <v>2</v>
      </c>
      <c r="D319" s="3">
        <v>2</v>
      </c>
      <c r="E319">
        <v>196</v>
      </c>
      <c r="G319">
        <v>0</v>
      </c>
      <c r="H319">
        <v>0</v>
      </c>
      <c r="I319">
        <v>12</v>
      </c>
      <c r="J319">
        <v>8</v>
      </c>
      <c r="K319">
        <v>0</v>
      </c>
      <c r="L319">
        <v>0</v>
      </c>
      <c r="M319">
        <v>4</v>
      </c>
      <c r="N319">
        <v>8</v>
      </c>
      <c r="O319">
        <v>8</v>
      </c>
      <c r="P319">
        <v>0</v>
      </c>
      <c r="Q319">
        <v>0</v>
      </c>
      <c r="R319">
        <v>12</v>
      </c>
      <c r="S319">
        <v>52</v>
      </c>
      <c r="T319" t="s">
        <v>968</v>
      </c>
      <c r="U319" t="s">
        <v>492</v>
      </c>
      <c r="V319" t="s">
        <v>1043</v>
      </c>
      <c r="W319" t="s">
        <v>815</v>
      </c>
    </row>
    <row r="320" spans="1:23" x14ac:dyDescent="0.25">
      <c r="A320" t="s">
        <v>1046</v>
      </c>
      <c r="B320" t="s">
        <v>1046</v>
      </c>
      <c r="C320">
        <v>2</v>
      </c>
      <c r="D320" s="3">
        <v>2</v>
      </c>
      <c r="E320">
        <v>440</v>
      </c>
      <c r="G320">
        <v>0</v>
      </c>
      <c r="H320">
        <v>8</v>
      </c>
      <c r="I320">
        <v>0</v>
      </c>
      <c r="J320">
        <v>0</v>
      </c>
      <c r="K320">
        <v>0</v>
      </c>
      <c r="L320">
        <v>0</v>
      </c>
      <c r="M320">
        <v>4</v>
      </c>
      <c r="N320">
        <v>4</v>
      </c>
      <c r="O320">
        <v>20</v>
      </c>
      <c r="P320">
        <v>8</v>
      </c>
      <c r="Q320">
        <v>20</v>
      </c>
      <c r="R320">
        <v>0</v>
      </c>
      <c r="S320">
        <v>64</v>
      </c>
      <c r="T320" t="s">
        <v>968</v>
      </c>
      <c r="U320" t="s">
        <v>492</v>
      </c>
      <c r="V320" t="s">
        <v>1043</v>
      </c>
      <c r="W320" t="s">
        <v>815</v>
      </c>
    </row>
    <row r="321" spans="1:23" x14ac:dyDescent="0.25">
      <c r="A321" t="s">
        <v>610</v>
      </c>
      <c r="B321" t="s">
        <v>610</v>
      </c>
      <c r="C321">
        <v>0</v>
      </c>
      <c r="D321" s="3">
        <v>0</v>
      </c>
      <c r="E321">
        <v>916</v>
      </c>
      <c r="G321">
        <v>0</v>
      </c>
      <c r="H321">
        <v>0</v>
      </c>
      <c r="I321">
        <v>0</v>
      </c>
      <c r="J321">
        <v>8</v>
      </c>
      <c r="K321">
        <v>8</v>
      </c>
      <c r="L321">
        <v>0</v>
      </c>
      <c r="M321">
        <v>0</v>
      </c>
      <c r="N321">
        <v>0</v>
      </c>
      <c r="O321">
        <v>8</v>
      </c>
      <c r="P321">
        <v>0</v>
      </c>
      <c r="Q321">
        <v>0</v>
      </c>
      <c r="R321">
        <v>0</v>
      </c>
      <c r="S321">
        <v>24</v>
      </c>
      <c r="T321" t="s">
        <v>968</v>
      </c>
      <c r="U321" t="s">
        <v>492</v>
      </c>
      <c r="V321" t="s">
        <v>1047</v>
      </c>
      <c r="W321" t="s">
        <v>970</v>
      </c>
    </row>
    <row r="322" spans="1:23" x14ac:dyDescent="0.25">
      <c r="A322" t="s">
        <v>612</v>
      </c>
      <c r="B322" t="s">
        <v>612</v>
      </c>
      <c r="C322">
        <v>0</v>
      </c>
      <c r="D322" s="3">
        <v>0</v>
      </c>
      <c r="E322">
        <v>900</v>
      </c>
      <c r="G322">
        <v>0</v>
      </c>
      <c r="H322">
        <v>0</v>
      </c>
      <c r="I322">
        <v>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40</v>
      </c>
      <c r="P322">
        <v>0</v>
      </c>
      <c r="Q322">
        <v>0</v>
      </c>
      <c r="R322">
        <v>0</v>
      </c>
      <c r="S322">
        <v>48</v>
      </c>
      <c r="T322" t="s">
        <v>968</v>
      </c>
      <c r="U322" t="s">
        <v>492</v>
      </c>
      <c r="V322" t="s">
        <v>1047</v>
      </c>
      <c r="W322" t="s">
        <v>970</v>
      </c>
    </row>
    <row r="323" spans="1:23" x14ac:dyDescent="0.25">
      <c r="A323" t="s">
        <v>611</v>
      </c>
      <c r="B323" t="s">
        <v>611</v>
      </c>
      <c r="C323">
        <v>0</v>
      </c>
      <c r="D323" s="3">
        <v>0</v>
      </c>
      <c r="E323">
        <v>56</v>
      </c>
      <c r="G323">
        <v>0</v>
      </c>
      <c r="H323">
        <v>0</v>
      </c>
      <c r="I323">
        <v>20</v>
      </c>
      <c r="J323">
        <v>16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8</v>
      </c>
      <c r="S323">
        <v>44</v>
      </c>
      <c r="T323" t="s">
        <v>968</v>
      </c>
      <c r="U323" t="s">
        <v>492</v>
      </c>
      <c r="V323" t="s">
        <v>1047</v>
      </c>
      <c r="W323" t="s">
        <v>813</v>
      </c>
    </row>
    <row r="324" spans="1:23" x14ac:dyDescent="0.25">
      <c r="A324" t="s">
        <v>613</v>
      </c>
      <c r="B324" t="s">
        <v>613</v>
      </c>
      <c r="C324">
        <v>36</v>
      </c>
      <c r="D324" s="3">
        <v>36</v>
      </c>
      <c r="E324">
        <v>680</v>
      </c>
      <c r="F324">
        <v>680</v>
      </c>
      <c r="G324">
        <v>68</v>
      </c>
      <c r="H324">
        <v>40</v>
      </c>
      <c r="I324">
        <v>32</v>
      </c>
      <c r="J324">
        <v>20</v>
      </c>
      <c r="K324">
        <v>460</v>
      </c>
      <c r="L324">
        <v>456</v>
      </c>
      <c r="M324">
        <v>0</v>
      </c>
      <c r="N324">
        <v>0</v>
      </c>
      <c r="O324">
        <v>568</v>
      </c>
      <c r="P324">
        <v>960</v>
      </c>
      <c r="Q324">
        <v>0</v>
      </c>
      <c r="R324">
        <v>8</v>
      </c>
      <c r="S324">
        <v>2612</v>
      </c>
      <c r="T324" t="s">
        <v>968</v>
      </c>
      <c r="U324" t="s">
        <v>492</v>
      </c>
      <c r="V324" t="s">
        <v>1047</v>
      </c>
      <c r="W324" t="s">
        <v>813</v>
      </c>
    </row>
    <row r="325" spans="1:23" x14ac:dyDescent="0.25">
      <c r="A325" t="s">
        <v>1048</v>
      </c>
      <c r="B325" t="s">
        <v>1048</v>
      </c>
      <c r="C325">
        <v>4</v>
      </c>
      <c r="D325" s="3">
        <v>4</v>
      </c>
      <c r="E325">
        <v>212</v>
      </c>
      <c r="G325">
        <v>0</v>
      </c>
      <c r="H325">
        <v>0</v>
      </c>
      <c r="I325">
        <v>12</v>
      </c>
      <c r="J325">
        <v>8</v>
      </c>
      <c r="K325">
        <v>0</v>
      </c>
      <c r="L325">
        <v>0</v>
      </c>
      <c r="M325">
        <v>8</v>
      </c>
      <c r="N325">
        <v>8</v>
      </c>
      <c r="O325">
        <v>16</v>
      </c>
      <c r="P325">
        <v>0</v>
      </c>
      <c r="Q325">
        <v>0</v>
      </c>
      <c r="R325">
        <v>12</v>
      </c>
      <c r="S325">
        <v>64</v>
      </c>
      <c r="T325" t="s">
        <v>968</v>
      </c>
      <c r="U325" t="s">
        <v>492</v>
      </c>
      <c r="V325" t="s">
        <v>1047</v>
      </c>
      <c r="W325" t="s">
        <v>815</v>
      </c>
    </row>
    <row r="326" spans="1:23" x14ac:dyDescent="0.25">
      <c r="A326" t="s">
        <v>1049</v>
      </c>
      <c r="B326" t="s">
        <v>1049</v>
      </c>
      <c r="C326">
        <v>0</v>
      </c>
      <c r="D326" s="3">
        <v>0</v>
      </c>
      <c r="E326">
        <v>268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4</v>
      </c>
      <c r="O326">
        <v>20</v>
      </c>
      <c r="P326">
        <v>8</v>
      </c>
      <c r="Q326">
        <v>0</v>
      </c>
      <c r="R326">
        <v>0</v>
      </c>
      <c r="S326">
        <v>32</v>
      </c>
      <c r="T326" t="s">
        <v>968</v>
      </c>
      <c r="U326" t="s">
        <v>492</v>
      </c>
      <c r="V326" t="s">
        <v>1047</v>
      </c>
      <c r="W326" t="s">
        <v>815</v>
      </c>
    </row>
    <row r="327" spans="1:23" x14ac:dyDescent="0.25">
      <c r="A327" t="s">
        <v>614</v>
      </c>
      <c r="B327" t="s">
        <v>614</v>
      </c>
      <c r="C327">
        <v>0</v>
      </c>
      <c r="D327" s="3">
        <v>0</v>
      </c>
      <c r="E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140</v>
      </c>
      <c r="P327">
        <v>0</v>
      </c>
      <c r="Q327">
        <v>0</v>
      </c>
      <c r="R327">
        <v>0</v>
      </c>
      <c r="S327">
        <v>140</v>
      </c>
      <c r="T327" t="s">
        <v>968</v>
      </c>
      <c r="U327" t="s">
        <v>568</v>
      </c>
      <c r="V327" t="s">
        <v>1050</v>
      </c>
      <c r="W327" t="s">
        <v>970</v>
      </c>
    </row>
    <row r="328" spans="1:23" x14ac:dyDescent="0.25">
      <c r="A328" t="s">
        <v>615</v>
      </c>
      <c r="B328" t="s">
        <v>615</v>
      </c>
      <c r="C328">
        <v>0</v>
      </c>
      <c r="D328" s="3">
        <v>0</v>
      </c>
      <c r="E328">
        <v>280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 t="s">
        <v>968</v>
      </c>
      <c r="U328" t="s">
        <v>568</v>
      </c>
      <c r="V328" t="s">
        <v>1050</v>
      </c>
      <c r="W328" t="s">
        <v>970</v>
      </c>
    </row>
    <row r="329" spans="1:23" x14ac:dyDescent="0.25">
      <c r="A329" t="s">
        <v>1055</v>
      </c>
      <c r="B329" t="s">
        <v>1055</v>
      </c>
      <c r="C329">
        <v>0</v>
      </c>
      <c r="D329" s="3">
        <v>0</v>
      </c>
      <c r="E329">
        <v>20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796</v>
      </c>
      <c r="P329">
        <v>0</v>
      </c>
      <c r="Q329">
        <v>0</v>
      </c>
      <c r="R329">
        <v>0</v>
      </c>
      <c r="S329">
        <v>796</v>
      </c>
      <c r="T329" t="s">
        <v>968</v>
      </c>
      <c r="U329" t="s">
        <v>576</v>
      </c>
      <c r="V329" t="s">
        <v>1056</v>
      </c>
      <c r="W329" t="s">
        <v>970</v>
      </c>
    </row>
    <row r="330" spans="1:23" x14ac:dyDescent="0.25">
      <c r="A330" t="s">
        <v>1057</v>
      </c>
      <c r="B330" t="s">
        <v>1057</v>
      </c>
      <c r="C330">
        <v>0</v>
      </c>
      <c r="D330" s="3">
        <v>0</v>
      </c>
      <c r="E330">
        <v>100</v>
      </c>
      <c r="G330">
        <v>0</v>
      </c>
      <c r="H330">
        <v>200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200</v>
      </c>
      <c r="T330" t="s">
        <v>968</v>
      </c>
      <c r="U330" t="s">
        <v>576</v>
      </c>
      <c r="V330" t="s">
        <v>1056</v>
      </c>
      <c r="W330" t="s">
        <v>970</v>
      </c>
    </row>
    <row r="331" spans="1:23" x14ac:dyDescent="0.25">
      <c r="A331" t="s">
        <v>1058</v>
      </c>
      <c r="B331" t="s">
        <v>1058</v>
      </c>
      <c r="C331">
        <v>0</v>
      </c>
      <c r="D331" s="3">
        <v>0</v>
      </c>
      <c r="E331">
        <v>20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 t="s">
        <v>968</v>
      </c>
      <c r="U331" t="s">
        <v>576</v>
      </c>
      <c r="V331" t="s">
        <v>1056</v>
      </c>
      <c r="W331" t="s">
        <v>813</v>
      </c>
    </row>
    <row r="332" spans="1:23" x14ac:dyDescent="0.25">
      <c r="A332" t="s">
        <v>1059</v>
      </c>
      <c r="B332" t="s">
        <v>1059</v>
      </c>
      <c r="C332">
        <v>0</v>
      </c>
      <c r="D332" s="3">
        <v>0</v>
      </c>
      <c r="E332">
        <v>20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968</v>
      </c>
      <c r="U332" t="s">
        <v>576</v>
      </c>
      <c r="V332" t="s">
        <v>1056</v>
      </c>
      <c r="W332" t="s">
        <v>813</v>
      </c>
    </row>
    <row r="333" spans="1:23" x14ac:dyDescent="0.25">
      <c r="A333" t="s">
        <v>1060</v>
      </c>
      <c r="B333" t="s">
        <v>1060</v>
      </c>
      <c r="C333">
        <v>0</v>
      </c>
      <c r="D333" s="3">
        <v>0</v>
      </c>
      <c r="E333">
        <v>20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968</v>
      </c>
      <c r="U333" t="s">
        <v>576</v>
      </c>
      <c r="V333" t="s">
        <v>1056</v>
      </c>
      <c r="W333" t="s">
        <v>815</v>
      </c>
    </row>
    <row r="334" spans="1:23" x14ac:dyDescent="0.25">
      <c r="A334" t="s">
        <v>1061</v>
      </c>
      <c r="B334" t="s">
        <v>1061</v>
      </c>
      <c r="C334">
        <v>0</v>
      </c>
      <c r="D334" s="3">
        <v>0</v>
      </c>
      <c r="E334">
        <v>20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100</v>
      </c>
      <c r="T334" t="s">
        <v>968</v>
      </c>
      <c r="U334" t="s">
        <v>576</v>
      </c>
      <c r="V334" t="s">
        <v>1056</v>
      </c>
      <c r="W334" t="s">
        <v>815</v>
      </c>
    </row>
    <row r="335" spans="1:23" x14ac:dyDescent="0.25">
      <c r="A335" t="s">
        <v>1062</v>
      </c>
      <c r="B335" t="s">
        <v>1062</v>
      </c>
      <c r="C335">
        <v>0</v>
      </c>
      <c r="D335" s="3">
        <v>0</v>
      </c>
      <c r="E335">
        <v>20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796</v>
      </c>
      <c r="P335">
        <v>0</v>
      </c>
      <c r="Q335">
        <v>0</v>
      </c>
      <c r="R335">
        <v>0</v>
      </c>
      <c r="S335">
        <v>796</v>
      </c>
      <c r="T335" t="s">
        <v>968</v>
      </c>
      <c r="U335" t="s">
        <v>576</v>
      </c>
      <c r="V335" t="s">
        <v>1063</v>
      </c>
      <c r="W335" t="s">
        <v>970</v>
      </c>
    </row>
    <row r="336" spans="1:23" x14ac:dyDescent="0.25">
      <c r="A336" t="s">
        <v>1064</v>
      </c>
      <c r="B336" t="s">
        <v>1064</v>
      </c>
      <c r="C336">
        <v>0</v>
      </c>
      <c r="D336" s="3">
        <v>0</v>
      </c>
      <c r="E336">
        <v>0</v>
      </c>
      <c r="G336">
        <v>0</v>
      </c>
      <c r="H336">
        <v>200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200</v>
      </c>
      <c r="T336" t="s">
        <v>968</v>
      </c>
      <c r="U336" t="s">
        <v>576</v>
      </c>
      <c r="V336" t="s">
        <v>1063</v>
      </c>
      <c r="W336" t="s">
        <v>970</v>
      </c>
    </row>
    <row r="337" spans="1:23" x14ac:dyDescent="0.25">
      <c r="A337" t="s">
        <v>1065</v>
      </c>
      <c r="B337" t="s">
        <v>1065</v>
      </c>
      <c r="C337">
        <v>0</v>
      </c>
      <c r="D337" s="3">
        <v>0</v>
      </c>
      <c r="E337">
        <v>20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968</v>
      </c>
      <c r="U337" t="s">
        <v>576</v>
      </c>
      <c r="V337" t="s">
        <v>1063</v>
      </c>
      <c r="W337" t="s">
        <v>813</v>
      </c>
    </row>
    <row r="338" spans="1:23" x14ac:dyDescent="0.25">
      <c r="A338" t="s">
        <v>1066</v>
      </c>
      <c r="B338" t="s">
        <v>1066</v>
      </c>
      <c r="C338">
        <v>0</v>
      </c>
      <c r="D338" s="3">
        <v>0</v>
      </c>
      <c r="E338">
        <v>20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 t="s">
        <v>968</v>
      </c>
      <c r="U338" t="s">
        <v>576</v>
      </c>
      <c r="V338" t="s">
        <v>1063</v>
      </c>
      <c r="W338" t="s">
        <v>813</v>
      </c>
    </row>
    <row r="339" spans="1:23" x14ac:dyDescent="0.25">
      <c r="A339" t="s">
        <v>1067</v>
      </c>
      <c r="B339" t="s">
        <v>1067</v>
      </c>
      <c r="C339">
        <v>0</v>
      </c>
      <c r="D339" s="3">
        <v>0</v>
      </c>
      <c r="E339">
        <v>24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968</v>
      </c>
      <c r="U339" t="s">
        <v>576</v>
      </c>
      <c r="V339" t="s">
        <v>1063</v>
      </c>
      <c r="W339" t="s">
        <v>815</v>
      </c>
    </row>
    <row r="340" spans="1:23" x14ac:dyDescent="0.25">
      <c r="A340" t="s">
        <v>1068</v>
      </c>
      <c r="B340" t="s">
        <v>1068</v>
      </c>
      <c r="C340">
        <v>0</v>
      </c>
      <c r="D340" s="3">
        <v>0</v>
      </c>
      <c r="E340">
        <v>20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100</v>
      </c>
      <c r="T340" t="s">
        <v>968</v>
      </c>
      <c r="U340" t="s">
        <v>576</v>
      </c>
      <c r="V340" t="s">
        <v>1063</v>
      </c>
      <c r="W340" t="s">
        <v>815</v>
      </c>
    </row>
    <row r="341" spans="1:23" x14ac:dyDescent="0.25">
      <c r="A341" t="s">
        <v>770</v>
      </c>
      <c r="B341" t="s">
        <v>770</v>
      </c>
      <c r="C341">
        <v>6</v>
      </c>
      <c r="D341" s="3">
        <v>6</v>
      </c>
      <c r="E341">
        <v>261</v>
      </c>
      <c r="F341">
        <v>60</v>
      </c>
      <c r="G341">
        <v>3</v>
      </c>
      <c r="H341">
        <v>6</v>
      </c>
      <c r="I341">
        <v>3</v>
      </c>
      <c r="J341">
        <v>66</v>
      </c>
      <c r="K341">
        <v>6</v>
      </c>
      <c r="L341">
        <v>6</v>
      </c>
      <c r="M341">
        <v>51</v>
      </c>
      <c r="N341">
        <v>153</v>
      </c>
      <c r="O341">
        <v>30</v>
      </c>
      <c r="P341">
        <v>30</v>
      </c>
      <c r="Q341">
        <v>0</v>
      </c>
      <c r="R341">
        <v>0</v>
      </c>
      <c r="S341">
        <v>354</v>
      </c>
      <c r="T341" t="s">
        <v>1069</v>
      </c>
      <c r="U341" t="s">
        <v>83</v>
      </c>
      <c r="V341" t="s">
        <v>770</v>
      </c>
    </row>
    <row r="342" spans="1:23" x14ac:dyDescent="0.25">
      <c r="A342" t="s">
        <v>1070</v>
      </c>
      <c r="B342" t="s">
        <v>1070</v>
      </c>
      <c r="C342">
        <v>20</v>
      </c>
      <c r="D342" s="3">
        <v>20</v>
      </c>
      <c r="E342">
        <v>300</v>
      </c>
      <c r="G342">
        <v>28</v>
      </c>
      <c r="H342">
        <v>60</v>
      </c>
      <c r="I342">
        <v>40</v>
      </c>
      <c r="J342">
        <v>48</v>
      </c>
      <c r="K342">
        <v>0</v>
      </c>
      <c r="L342">
        <v>0</v>
      </c>
      <c r="M342">
        <v>80</v>
      </c>
      <c r="N342">
        <v>144</v>
      </c>
      <c r="O342">
        <v>12</v>
      </c>
      <c r="P342">
        <v>0</v>
      </c>
      <c r="Q342">
        <v>0</v>
      </c>
      <c r="R342">
        <v>0</v>
      </c>
      <c r="S342">
        <v>412</v>
      </c>
      <c r="T342" t="s">
        <v>1069</v>
      </c>
      <c r="U342" t="s">
        <v>83</v>
      </c>
      <c r="V342" t="s">
        <v>1070</v>
      </c>
    </row>
    <row r="343" spans="1:23" x14ac:dyDescent="0.25">
      <c r="A343" t="s">
        <v>1071</v>
      </c>
      <c r="B343" t="s">
        <v>1071</v>
      </c>
      <c r="C343">
        <v>0</v>
      </c>
      <c r="D343" s="3">
        <v>0</v>
      </c>
      <c r="E343">
        <v>200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1069</v>
      </c>
      <c r="U343" t="s">
        <v>166</v>
      </c>
      <c r="V343" t="s">
        <v>1071</v>
      </c>
    </row>
    <row r="344" spans="1:23" x14ac:dyDescent="0.25">
      <c r="A344" t="s">
        <v>731</v>
      </c>
      <c r="B344" t="s">
        <v>731</v>
      </c>
      <c r="C344">
        <v>2</v>
      </c>
      <c r="D344" s="3">
        <v>2</v>
      </c>
      <c r="E344">
        <v>172</v>
      </c>
      <c r="G344">
        <v>0</v>
      </c>
      <c r="H344">
        <v>0</v>
      </c>
      <c r="I344">
        <v>24</v>
      </c>
      <c r="J344">
        <v>0</v>
      </c>
      <c r="K344">
        <v>16</v>
      </c>
      <c r="L344">
        <v>20</v>
      </c>
      <c r="M344">
        <v>0</v>
      </c>
      <c r="N344">
        <v>4</v>
      </c>
      <c r="O344">
        <v>68</v>
      </c>
      <c r="P344">
        <v>8</v>
      </c>
      <c r="Q344">
        <v>0</v>
      </c>
      <c r="R344">
        <v>0</v>
      </c>
      <c r="S344">
        <v>140</v>
      </c>
      <c r="T344" t="s">
        <v>1069</v>
      </c>
      <c r="U344" t="s">
        <v>180</v>
      </c>
      <c r="V344" t="s">
        <v>731</v>
      </c>
    </row>
    <row r="345" spans="1:23" x14ac:dyDescent="0.25">
      <c r="A345" t="s">
        <v>732</v>
      </c>
      <c r="B345" t="s">
        <v>732</v>
      </c>
      <c r="C345">
        <v>0</v>
      </c>
      <c r="D345" s="3">
        <v>0</v>
      </c>
      <c r="E345">
        <v>40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1069</v>
      </c>
      <c r="U345" t="s">
        <v>180</v>
      </c>
      <c r="V345" t="s">
        <v>1072</v>
      </c>
      <c r="W345" t="s">
        <v>1073</v>
      </c>
    </row>
    <row r="346" spans="1:23" x14ac:dyDescent="0.25">
      <c r="A346" t="s">
        <v>733</v>
      </c>
      <c r="B346" t="s">
        <v>733</v>
      </c>
      <c r="C346">
        <v>0</v>
      </c>
      <c r="D346" s="3">
        <v>0</v>
      </c>
      <c r="E346">
        <v>808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1069</v>
      </c>
      <c r="U346" t="s">
        <v>180</v>
      </c>
      <c r="V346" t="s">
        <v>1072</v>
      </c>
      <c r="W346" t="s">
        <v>1074</v>
      </c>
    </row>
    <row r="347" spans="1:23" x14ac:dyDescent="0.25">
      <c r="A347" t="s">
        <v>1075</v>
      </c>
      <c r="B347" t="s">
        <v>1075</v>
      </c>
      <c r="C347">
        <v>0</v>
      </c>
      <c r="D347" s="3">
        <v>0</v>
      </c>
      <c r="E347">
        <v>136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8</v>
      </c>
      <c r="P347">
        <v>0</v>
      </c>
      <c r="Q347">
        <v>0</v>
      </c>
      <c r="R347">
        <v>0</v>
      </c>
      <c r="S347">
        <v>8</v>
      </c>
      <c r="T347" t="s">
        <v>1069</v>
      </c>
      <c r="U347" t="s">
        <v>180</v>
      </c>
      <c r="V347" t="s">
        <v>1072</v>
      </c>
      <c r="W347" t="s">
        <v>1076</v>
      </c>
    </row>
    <row r="348" spans="1:23" x14ac:dyDescent="0.25">
      <c r="A348" t="s">
        <v>700</v>
      </c>
      <c r="B348" t="s">
        <v>700</v>
      </c>
      <c r="C348">
        <v>0</v>
      </c>
      <c r="D348" s="3">
        <v>0</v>
      </c>
      <c r="E348">
        <v>392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16</v>
      </c>
      <c r="P348">
        <v>0</v>
      </c>
      <c r="Q348">
        <v>0</v>
      </c>
      <c r="R348">
        <v>0</v>
      </c>
      <c r="S348">
        <v>16</v>
      </c>
      <c r="T348" t="s">
        <v>1069</v>
      </c>
      <c r="U348" t="s">
        <v>180</v>
      </c>
      <c r="V348" t="s">
        <v>1077</v>
      </c>
      <c r="W348" t="s">
        <v>1073</v>
      </c>
    </row>
    <row r="349" spans="1:23" x14ac:dyDescent="0.25">
      <c r="A349" t="s">
        <v>734</v>
      </c>
      <c r="B349" t="s">
        <v>734</v>
      </c>
      <c r="C349">
        <v>0</v>
      </c>
      <c r="D349" s="3">
        <v>0</v>
      </c>
      <c r="E349">
        <v>804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20</v>
      </c>
      <c r="T349" t="s">
        <v>1069</v>
      </c>
      <c r="U349" t="s">
        <v>180</v>
      </c>
      <c r="V349" t="s">
        <v>1077</v>
      </c>
      <c r="W349" t="s">
        <v>1074</v>
      </c>
    </row>
    <row r="350" spans="1:23" x14ac:dyDescent="0.25">
      <c r="A350" t="s">
        <v>735</v>
      </c>
      <c r="B350" t="s">
        <v>735</v>
      </c>
      <c r="C350">
        <v>0</v>
      </c>
      <c r="D350" s="3">
        <v>0</v>
      </c>
      <c r="E350">
        <v>60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16</v>
      </c>
      <c r="P350">
        <v>0</v>
      </c>
      <c r="Q350">
        <v>0</v>
      </c>
      <c r="R350">
        <v>0</v>
      </c>
      <c r="S350">
        <v>16</v>
      </c>
      <c r="T350" t="s">
        <v>1069</v>
      </c>
      <c r="U350" t="s">
        <v>180</v>
      </c>
      <c r="V350" t="s">
        <v>1077</v>
      </c>
      <c r="W350" t="s">
        <v>1076</v>
      </c>
    </row>
    <row r="351" spans="1:23" x14ac:dyDescent="0.25">
      <c r="A351" t="s">
        <v>1078</v>
      </c>
      <c r="B351" t="s">
        <v>1078</v>
      </c>
      <c r="C351">
        <v>0</v>
      </c>
      <c r="D351" s="3">
        <v>0</v>
      </c>
      <c r="E351">
        <v>20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1069</v>
      </c>
      <c r="U351" t="s">
        <v>317</v>
      </c>
      <c r="V351" t="s">
        <v>1078</v>
      </c>
    </row>
    <row r="352" spans="1:23" x14ac:dyDescent="0.25">
      <c r="A352" t="s">
        <v>1079</v>
      </c>
      <c r="B352" t="s">
        <v>1079</v>
      </c>
      <c r="C352">
        <v>0</v>
      </c>
      <c r="D352" s="3">
        <v>0</v>
      </c>
      <c r="E352">
        <v>24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24</v>
      </c>
      <c r="P352">
        <v>0</v>
      </c>
      <c r="Q352">
        <v>0</v>
      </c>
      <c r="R352">
        <v>0</v>
      </c>
      <c r="S352">
        <v>24</v>
      </c>
      <c r="T352" t="s">
        <v>1069</v>
      </c>
      <c r="U352" t="s">
        <v>460</v>
      </c>
      <c r="V352" t="s">
        <v>1080</v>
      </c>
      <c r="W352" t="s">
        <v>1074</v>
      </c>
    </row>
    <row r="353" spans="1:23" x14ac:dyDescent="0.25">
      <c r="A353" t="s">
        <v>1081</v>
      </c>
      <c r="B353" t="s">
        <v>1081</v>
      </c>
      <c r="C353">
        <v>0</v>
      </c>
      <c r="D353" s="3">
        <v>0</v>
      </c>
      <c r="E353">
        <v>40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t="s">
        <v>1069</v>
      </c>
      <c r="U353" t="s">
        <v>460</v>
      </c>
      <c r="V353" t="s">
        <v>1080</v>
      </c>
      <c r="W353" t="s">
        <v>1076</v>
      </c>
    </row>
    <row r="354" spans="1:23" x14ac:dyDescent="0.25">
      <c r="A354" t="s">
        <v>701</v>
      </c>
      <c r="B354" t="s">
        <v>701</v>
      </c>
      <c r="C354">
        <v>0</v>
      </c>
      <c r="D354" s="3">
        <v>0</v>
      </c>
      <c r="E354">
        <v>248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t="s">
        <v>1069</v>
      </c>
      <c r="U354" t="s">
        <v>460</v>
      </c>
      <c r="V354" t="s">
        <v>1080</v>
      </c>
      <c r="W354" t="s">
        <v>1082</v>
      </c>
    </row>
    <row r="355" spans="1:23" x14ac:dyDescent="0.25">
      <c r="A355" t="s">
        <v>1083</v>
      </c>
      <c r="B355" t="s">
        <v>1083</v>
      </c>
      <c r="C355">
        <v>0</v>
      </c>
      <c r="D355" s="3">
        <v>0</v>
      </c>
      <c r="E355">
        <v>104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64</v>
      </c>
      <c r="P355">
        <v>0</v>
      </c>
      <c r="Q355">
        <v>0</v>
      </c>
      <c r="R355">
        <v>0</v>
      </c>
      <c r="S355">
        <v>64</v>
      </c>
      <c r="T355" t="s">
        <v>1069</v>
      </c>
      <c r="U355" t="s">
        <v>460</v>
      </c>
      <c r="V355" t="s">
        <v>1080</v>
      </c>
      <c r="W355" t="s">
        <v>1084</v>
      </c>
    </row>
    <row r="356" spans="1:23" x14ac:dyDescent="0.25">
      <c r="A356" t="s">
        <v>702</v>
      </c>
      <c r="B356" t="s">
        <v>702</v>
      </c>
      <c r="C356">
        <v>0</v>
      </c>
      <c r="D356" s="3">
        <v>0</v>
      </c>
      <c r="E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40</v>
      </c>
      <c r="P356">
        <v>0</v>
      </c>
      <c r="Q356">
        <v>0</v>
      </c>
      <c r="R356">
        <v>0</v>
      </c>
      <c r="S356">
        <v>40</v>
      </c>
      <c r="T356" t="s">
        <v>1069</v>
      </c>
      <c r="U356" t="s">
        <v>492</v>
      </c>
      <c r="V356" t="s">
        <v>1085</v>
      </c>
      <c r="W356" t="s">
        <v>1074</v>
      </c>
    </row>
    <row r="357" spans="1:23" x14ac:dyDescent="0.25">
      <c r="A357" t="s">
        <v>1777</v>
      </c>
      <c r="B357" s="2" t="s">
        <v>1086</v>
      </c>
      <c r="C357">
        <v>0</v>
      </c>
      <c r="D357" s="3">
        <v>0</v>
      </c>
      <c r="E357">
        <v>20</v>
      </c>
      <c r="G357">
        <v>20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20</v>
      </c>
      <c r="T357" t="s">
        <v>1069</v>
      </c>
      <c r="U357" t="s">
        <v>492</v>
      </c>
      <c r="V357" t="s">
        <v>1085</v>
      </c>
      <c r="W357" t="s">
        <v>1076</v>
      </c>
    </row>
    <row r="358" spans="1:23" x14ac:dyDescent="0.25">
      <c r="A358" t="s">
        <v>703</v>
      </c>
      <c r="B358" t="s">
        <v>703</v>
      </c>
      <c r="C358">
        <v>0</v>
      </c>
      <c r="D358" s="3">
        <v>0</v>
      </c>
      <c r="E358">
        <v>164</v>
      </c>
      <c r="G358">
        <v>0</v>
      </c>
      <c r="H358">
        <v>0</v>
      </c>
      <c r="I358">
        <v>0</v>
      </c>
      <c r="J358">
        <v>0</v>
      </c>
      <c r="K358">
        <v>80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80</v>
      </c>
      <c r="T358" t="s">
        <v>1069</v>
      </c>
      <c r="U358" t="s">
        <v>492</v>
      </c>
      <c r="V358" t="s">
        <v>1085</v>
      </c>
      <c r="W358" t="s">
        <v>1082</v>
      </c>
    </row>
    <row r="359" spans="1:23" x14ac:dyDescent="0.25">
      <c r="A359" t="s">
        <v>1778</v>
      </c>
      <c r="B359" s="2" t="s">
        <v>1087</v>
      </c>
      <c r="C359">
        <v>0</v>
      </c>
      <c r="D359" s="3">
        <v>0</v>
      </c>
      <c r="E359">
        <v>40</v>
      </c>
      <c r="G359">
        <v>20</v>
      </c>
      <c r="H359">
        <v>0</v>
      </c>
      <c r="I359">
        <v>0</v>
      </c>
      <c r="J359">
        <v>0</v>
      </c>
      <c r="K359">
        <v>20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40</v>
      </c>
      <c r="T359" t="s">
        <v>1069</v>
      </c>
      <c r="U359" t="s">
        <v>492</v>
      </c>
      <c r="V359" t="s">
        <v>1085</v>
      </c>
      <c r="W359" t="s">
        <v>1084</v>
      </c>
    </row>
    <row r="360" spans="1:23" x14ac:dyDescent="0.25">
      <c r="A360" t="s">
        <v>1088</v>
      </c>
      <c r="B360" t="s">
        <v>1088</v>
      </c>
      <c r="C360">
        <v>0</v>
      </c>
      <c r="D360" s="3">
        <v>0</v>
      </c>
      <c r="E360">
        <v>100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1069</v>
      </c>
      <c r="U360" t="s">
        <v>492</v>
      </c>
      <c r="V360" t="s">
        <v>1089</v>
      </c>
      <c r="W360" t="s">
        <v>1074</v>
      </c>
    </row>
    <row r="361" spans="1:23" x14ac:dyDescent="0.25">
      <c r="A361" t="s">
        <v>1090</v>
      </c>
      <c r="B361" t="s">
        <v>1090</v>
      </c>
      <c r="C361">
        <v>0</v>
      </c>
      <c r="D361" s="3">
        <v>0</v>
      </c>
      <c r="E361">
        <v>164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1069</v>
      </c>
      <c r="U361" t="s">
        <v>492</v>
      </c>
      <c r="V361" t="s">
        <v>1089</v>
      </c>
      <c r="W361" t="s">
        <v>1076</v>
      </c>
    </row>
    <row r="362" spans="1:23" x14ac:dyDescent="0.25">
      <c r="A362" t="s">
        <v>1091</v>
      </c>
      <c r="B362" t="s">
        <v>1091</v>
      </c>
      <c r="C362">
        <v>0</v>
      </c>
      <c r="D362" s="3">
        <v>0</v>
      </c>
      <c r="E362">
        <v>244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t="s">
        <v>1069</v>
      </c>
      <c r="U362" t="s">
        <v>492</v>
      </c>
      <c r="V362" t="s">
        <v>1089</v>
      </c>
      <c r="W362" t="s">
        <v>1082</v>
      </c>
    </row>
    <row r="363" spans="1:23" x14ac:dyDescent="0.25">
      <c r="A363" t="s">
        <v>1092</v>
      </c>
      <c r="B363" t="s">
        <v>1092</v>
      </c>
      <c r="C363">
        <v>0</v>
      </c>
      <c r="D363" s="3">
        <v>0</v>
      </c>
      <c r="E363">
        <v>52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1069</v>
      </c>
      <c r="U363" t="s">
        <v>492</v>
      </c>
      <c r="V363" t="s">
        <v>1089</v>
      </c>
      <c r="W363" t="s">
        <v>1084</v>
      </c>
    </row>
    <row r="364" spans="1:23" x14ac:dyDescent="0.25">
      <c r="A364" t="s">
        <v>1093</v>
      </c>
      <c r="B364" t="s">
        <v>1093</v>
      </c>
      <c r="C364">
        <v>0</v>
      </c>
      <c r="D364" s="3">
        <v>0</v>
      </c>
      <c r="E364">
        <v>64</v>
      </c>
      <c r="G364">
        <v>20</v>
      </c>
      <c r="H364">
        <v>40</v>
      </c>
      <c r="I364">
        <v>0</v>
      </c>
      <c r="J364">
        <v>4</v>
      </c>
      <c r="K364">
        <v>0</v>
      </c>
      <c r="L364">
        <v>0</v>
      </c>
      <c r="M364">
        <v>0</v>
      </c>
      <c r="N364">
        <v>0</v>
      </c>
      <c r="O364">
        <v>16</v>
      </c>
      <c r="P364">
        <v>0</v>
      </c>
      <c r="Q364">
        <v>0</v>
      </c>
      <c r="R364">
        <v>80</v>
      </c>
      <c r="S364">
        <v>160</v>
      </c>
      <c r="T364" t="s">
        <v>1069</v>
      </c>
      <c r="U364" t="s">
        <v>492</v>
      </c>
      <c r="V364" t="s">
        <v>1094</v>
      </c>
      <c r="W364" t="s">
        <v>1074</v>
      </c>
    </row>
    <row r="365" spans="1:23" x14ac:dyDescent="0.25">
      <c r="A365" t="s">
        <v>1779</v>
      </c>
      <c r="B365" s="2" t="s">
        <v>1095</v>
      </c>
      <c r="C365">
        <v>0</v>
      </c>
      <c r="D365" s="3">
        <v>0</v>
      </c>
      <c r="E365">
        <v>40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t="s">
        <v>1069</v>
      </c>
      <c r="U365" t="s">
        <v>492</v>
      </c>
      <c r="V365" t="s">
        <v>1094</v>
      </c>
      <c r="W365" t="s">
        <v>1076</v>
      </c>
    </row>
    <row r="366" spans="1:23" x14ac:dyDescent="0.25">
      <c r="A366" t="s">
        <v>1780</v>
      </c>
      <c r="B366" s="2" t="s">
        <v>704</v>
      </c>
      <c r="C366">
        <v>0</v>
      </c>
      <c r="D366" s="3">
        <v>0</v>
      </c>
      <c r="E366">
        <v>296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1069</v>
      </c>
      <c r="U366" t="s">
        <v>492</v>
      </c>
      <c r="V366" t="s">
        <v>1094</v>
      </c>
      <c r="W366" t="s">
        <v>1082</v>
      </c>
    </row>
    <row r="367" spans="1:23" x14ac:dyDescent="0.25">
      <c r="A367" t="s">
        <v>1781</v>
      </c>
      <c r="B367" s="2" t="s">
        <v>736</v>
      </c>
      <c r="C367">
        <v>0</v>
      </c>
      <c r="D367" s="3">
        <v>0</v>
      </c>
      <c r="E367">
        <v>40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 t="s">
        <v>1069</v>
      </c>
      <c r="U367" t="s">
        <v>492</v>
      </c>
      <c r="V367" t="s">
        <v>1094</v>
      </c>
      <c r="W367" t="s">
        <v>1084</v>
      </c>
    </row>
    <row r="368" spans="1:23" x14ac:dyDescent="0.25">
      <c r="A368" t="s">
        <v>1096</v>
      </c>
      <c r="B368" t="s">
        <v>1096</v>
      </c>
      <c r="C368">
        <v>0</v>
      </c>
      <c r="D368" s="3">
        <v>0</v>
      </c>
      <c r="E368">
        <v>80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1069</v>
      </c>
      <c r="U368" t="s">
        <v>568</v>
      </c>
      <c r="V368" t="s">
        <v>1096</v>
      </c>
    </row>
    <row r="369" spans="1:23" x14ac:dyDescent="0.25">
      <c r="A369" t="s">
        <v>1101</v>
      </c>
      <c r="B369" t="s">
        <v>1101</v>
      </c>
      <c r="C369">
        <v>0</v>
      </c>
      <c r="D369" s="3">
        <v>0</v>
      </c>
      <c r="E369">
        <v>21</v>
      </c>
      <c r="G369">
        <v>4</v>
      </c>
      <c r="H369">
        <v>0</v>
      </c>
      <c r="I369">
        <v>0</v>
      </c>
      <c r="J369">
        <v>2</v>
      </c>
      <c r="K369">
        <v>6</v>
      </c>
      <c r="L369">
        <v>0</v>
      </c>
      <c r="M369">
        <v>0</v>
      </c>
      <c r="N369">
        <v>1</v>
      </c>
      <c r="O369">
        <v>9</v>
      </c>
      <c r="P369">
        <v>0</v>
      </c>
      <c r="Q369">
        <v>0</v>
      </c>
      <c r="R369">
        <v>0</v>
      </c>
      <c r="S369">
        <v>22</v>
      </c>
      <c r="T369" t="s">
        <v>1102</v>
      </c>
      <c r="U369" t="s">
        <v>45</v>
      </c>
      <c r="V369" t="s">
        <v>1103</v>
      </c>
      <c r="W369" t="s">
        <v>1104</v>
      </c>
    </row>
    <row r="370" spans="1:23" x14ac:dyDescent="0.25">
      <c r="A370" t="s">
        <v>1105</v>
      </c>
      <c r="B370" t="s">
        <v>1105</v>
      </c>
      <c r="C370">
        <v>0</v>
      </c>
      <c r="D370" s="3">
        <v>0</v>
      </c>
      <c r="E370">
        <v>85</v>
      </c>
      <c r="G370">
        <v>0</v>
      </c>
      <c r="H370">
        <v>0</v>
      </c>
      <c r="I370">
        <v>0</v>
      </c>
      <c r="J370">
        <v>3</v>
      </c>
      <c r="K370">
        <v>8</v>
      </c>
      <c r="L370">
        <v>0</v>
      </c>
      <c r="M370">
        <v>0</v>
      </c>
      <c r="N370">
        <v>1</v>
      </c>
      <c r="O370">
        <v>8</v>
      </c>
      <c r="P370">
        <v>0</v>
      </c>
      <c r="Q370">
        <v>1</v>
      </c>
      <c r="R370">
        <v>0</v>
      </c>
      <c r="S370">
        <v>21</v>
      </c>
      <c r="T370" t="s">
        <v>1102</v>
      </c>
      <c r="U370" t="s">
        <v>45</v>
      </c>
      <c r="V370" t="s">
        <v>1103</v>
      </c>
      <c r="W370" t="s">
        <v>1106</v>
      </c>
    </row>
    <row r="371" spans="1:23" x14ac:dyDescent="0.25">
      <c r="A371" t="s">
        <v>1107</v>
      </c>
      <c r="B371" t="s">
        <v>1107</v>
      </c>
      <c r="C371">
        <v>0</v>
      </c>
      <c r="D371" s="3">
        <v>0</v>
      </c>
      <c r="E371">
        <v>65</v>
      </c>
      <c r="G371">
        <v>4</v>
      </c>
      <c r="H371">
        <v>0</v>
      </c>
      <c r="I371">
        <v>0</v>
      </c>
      <c r="J371">
        <v>2</v>
      </c>
      <c r="K371">
        <v>2</v>
      </c>
      <c r="L371">
        <v>0</v>
      </c>
      <c r="M371">
        <v>0</v>
      </c>
      <c r="N371">
        <v>1</v>
      </c>
      <c r="O371">
        <v>8</v>
      </c>
      <c r="P371">
        <v>0</v>
      </c>
      <c r="Q371">
        <v>0</v>
      </c>
      <c r="R371">
        <v>0</v>
      </c>
      <c r="S371">
        <v>17</v>
      </c>
      <c r="T371" t="s">
        <v>1102</v>
      </c>
      <c r="U371" t="s">
        <v>45</v>
      </c>
      <c r="V371" t="s">
        <v>1103</v>
      </c>
      <c r="W371" t="s">
        <v>1108</v>
      </c>
    </row>
    <row r="372" spans="1:23" x14ac:dyDescent="0.25">
      <c r="A372" t="s">
        <v>1109</v>
      </c>
      <c r="B372" t="s">
        <v>1109</v>
      </c>
      <c r="C372">
        <v>2.5</v>
      </c>
      <c r="D372" s="3">
        <v>2.5</v>
      </c>
      <c r="E372">
        <v>117</v>
      </c>
      <c r="G372">
        <v>0</v>
      </c>
      <c r="H372">
        <v>0</v>
      </c>
      <c r="I372">
        <v>1</v>
      </c>
      <c r="J372">
        <v>20</v>
      </c>
      <c r="K372">
        <v>2</v>
      </c>
      <c r="L372">
        <v>2</v>
      </c>
      <c r="M372">
        <v>3</v>
      </c>
      <c r="N372">
        <v>11</v>
      </c>
      <c r="O372">
        <v>12</v>
      </c>
      <c r="P372">
        <v>9</v>
      </c>
      <c r="Q372">
        <v>6</v>
      </c>
      <c r="R372">
        <v>1</v>
      </c>
      <c r="S372">
        <v>67</v>
      </c>
      <c r="T372" t="s">
        <v>1102</v>
      </c>
      <c r="U372" t="s">
        <v>45</v>
      </c>
      <c r="V372" t="s">
        <v>1110</v>
      </c>
      <c r="W372" t="s">
        <v>1104</v>
      </c>
    </row>
    <row r="373" spans="1:23" x14ac:dyDescent="0.25">
      <c r="A373" t="s">
        <v>1111</v>
      </c>
      <c r="B373" t="s">
        <v>1111</v>
      </c>
      <c r="C373">
        <v>2</v>
      </c>
      <c r="D373" s="3">
        <v>2</v>
      </c>
      <c r="E373">
        <v>176</v>
      </c>
      <c r="G373">
        <v>0</v>
      </c>
      <c r="H373">
        <v>1</v>
      </c>
      <c r="I373">
        <v>2</v>
      </c>
      <c r="J373">
        <v>13</v>
      </c>
      <c r="K373">
        <v>4</v>
      </c>
      <c r="L373">
        <v>2</v>
      </c>
      <c r="M373">
        <v>6</v>
      </c>
      <c r="N373">
        <v>0</v>
      </c>
      <c r="O373">
        <v>13</v>
      </c>
      <c r="P373">
        <v>5</v>
      </c>
      <c r="Q373">
        <v>2</v>
      </c>
      <c r="R373">
        <v>1</v>
      </c>
      <c r="S373">
        <v>49</v>
      </c>
      <c r="T373" t="s">
        <v>1102</v>
      </c>
      <c r="U373" t="s">
        <v>45</v>
      </c>
      <c r="V373" t="s">
        <v>1110</v>
      </c>
      <c r="W373" t="s">
        <v>1106</v>
      </c>
    </row>
    <row r="374" spans="1:23" x14ac:dyDescent="0.25">
      <c r="A374" t="s">
        <v>1112</v>
      </c>
      <c r="B374" t="s">
        <v>1112</v>
      </c>
      <c r="C374">
        <v>1.5</v>
      </c>
      <c r="D374" s="3">
        <v>1.5</v>
      </c>
      <c r="E374">
        <v>165</v>
      </c>
      <c r="G374">
        <v>0</v>
      </c>
      <c r="H374">
        <v>0</v>
      </c>
      <c r="I374">
        <v>0</v>
      </c>
      <c r="J374">
        <v>11</v>
      </c>
      <c r="K374">
        <v>3</v>
      </c>
      <c r="L374">
        <v>3</v>
      </c>
      <c r="M374">
        <v>3</v>
      </c>
      <c r="N374">
        <v>0</v>
      </c>
      <c r="O374">
        <v>12</v>
      </c>
      <c r="P374">
        <v>2</v>
      </c>
      <c r="Q374">
        <v>1</v>
      </c>
      <c r="R374">
        <v>1</v>
      </c>
      <c r="S374">
        <v>36</v>
      </c>
      <c r="T374" t="s">
        <v>1102</v>
      </c>
      <c r="U374" t="s">
        <v>45</v>
      </c>
      <c r="V374" t="s">
        <v>1110</v>
      </c>
      <c r="W374" t="s">
        <v>1108</v>
      </c>
    </row>
    <row r="375" spans="1:23" x14ac:dyDescent="0.25">
      <c r="A375" t="s">
        <v>754</v>
      </c>
      <c r="B375" t="s">
        <v>754</v>
      </c>
      <c r="C375">
        <v>0</v>
      </c>
      <c r="D375" s="3">
        <v>0</v>
      </c>
      <c r="E375">
        <v>12</v>
      </c>
      <c r="F375">
        <v>10</v>
      </c>
      <c r="G375">
        <v>0</v>
      </c>
      <c r="H375">
        <v>0</v>
      </c>
      <c r="I375">
        <v>0</v>
      </c>
      <c r="J375">
        <v>8</v>
      </c>
      <c r="K375">
        <v>0</v>
      </c>
      <c r="L375">
        <v>0</v>
      </c>
      <c r="M375">
        <v>0</v>
      </c>
      <c r="N375">
        <v>0</v>
      </c>
      <c r="O375">
        <v>8</v>
      </c>
      <c r="P375">
        <v>0</v>
      </c>
      <c r="Q375">
        <v>0</v>
      </c>
      <c r="R375">
        <v>0</v>
      </c>
      <c r="S375">
        <v>16</v>
      </c>
      <c r="T375" t="s">
        <v>1102</v>
      </c>
      <c r="U375" t="s">
        <v>45</v>
      </c>
      <c r="V375" t="s">
        <v>1110</v>
      </c>
      <c r="W375" t="s">
        <v>1129</v>
      </c>
    </row>
    <row r="376" spans="1:23" x14ac:dyDescent="0.25">
      <c r="A376" t="s">
        <v>1782</v>
      </c>
      <c r="B376" t="s">
        <v>1782</v>
      </c>
      <c r="C376">
        <v>0</v>
      </c>
      <c r="D376" s="3">
        <v>0</v>
      </c>
      <c r="E376">
        <v>6</v>
      </c>
      <c r="G376">
        <v>0</v>
      </c>
      <c r="H376">
        <v>0</v>
      </c>
      <c r="I376">
        <v>0</v>
      </c>
      <c r="J376">
        <v>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5</v>
      </c>
      <c r="T376" t="s">
        <v>1102</v>
      </c>
      <c r="U376" t="s">
        <v>45</v>
      </c>
      <c r="V376" t="s">
        <v>1110</v>
      </c>
      <c r="W376" t="s">
        <v>1131</v>
      </c>
    </row>
    <row r="377" spans="1:23" x14ac:dyDescent="0.25">
      <c r="A377" t="s">
        <v>657</v>
      </c>
      <c r="B377" t="s">
        <v>657</v>
      </c>
      <c r="C377">
        <v>84.5</v>
      </c>
      <c r="D377" s="3">
        <v>84.5</v>
      </c>
      <c r="E377">
        <v>2188</v>
      </c>
      <c r="G377">
        <v>44</v>
      </c>
      <c r="H377">
        <v>61</v>
      </c>
      <c r="I377">
        <v>59</v>
      </c>
      <c r="J377">
        <v>167</v>
      </c>
      <c r="K377">
        <v>193</v>
      </c>
      <c r="L377">
        <v>44</v>
      </c>
      <c r="M377">
        <v>62</v>
      </c>
      <c r="N377">
        <v>62</v>
      </c>
      <c r="O377">
        <v>107</v>
      </c>
      <c r="P377">
        <v>188</v>
      </c>
      <c r="Q377">
        <v>164</v>
      </c>
      <c r="R377">
        <v>115</v>
      </c>
      <c r="S377">
        <v>1266</v>
      </c>
      <c r="T377" t="s">
        <v>1102</v>
      </c>
      <c r="U377" t="s">
        <v>83</v>
      </c>
      <c r="V377" t="s">
        <v>1127</v>
      </c>
      <c r="W377" t="s">
        <v>1104</v>
      </c>
    </row>
    <row r="378" spans="1:23" x14ac:dyDescent="0.25">
      <c r="A378" t="s">
        <v>658</v>
      </c>
      <c r="B378" t="s">
        <v>658</v>
      </c>
      <c r="C378">
        <v>50</v>
      </c>
      <c r="D378" s="3">
        <v>50</v>
      </c>
      <c r="E378">
        <v>1940</v>
      </c>
      <c r="G378">
        <v>10</v>
      </c>
      <c r="H378">
        <v>37</v>
      </c>
      <c r="I378">
        <v>14</v>
      </c>
      <c r="J378">
        <v>164</v>
      </c>
      <c r="K378">
        <v>182</v>
      </c>
      <c r="L378">
        <v>29</v>
      </c>
      <c r="M378">
        <v>39</v>
      </c>
      <c r="N378">
        <v>56</v>
      </c>
      <c r="O378">
        <v>56</v>
      </c>
      <c r="P378">
        <v>97</v>
      </c>
      <c r="Q378">
        <v>50</v>
      </c>
      <c r="R378">
        <v>50</v>
      </c>
      <c r="S378">
        <v>784</v>
      </c>
      <c r="T378" t="s">
        <v>1102</v>
      </c>
      <c r="U378" t="s">
        <v>83</v>
      </c>
      <c r="V378" t="s">
        <v>1127</v>
      </c>
      <c r="W378" t="s">
        <v>1106</v>
      </c>
    </row>
    <row r="379" spans="1:23" x14ac:dyDescent="0.25">
      <c r="A379" t="s">
        <v>710</v>
      </c>
      <c r="B379" t="s">
        <v>710</v>
      </c>
      <c r="C379">
        <v>50</v>
      </c>
      <c r="D379" s="3">
        <v>50</v>
      </c>
      <c r="E379">
        <v>3045</v>
      </c>
      <c r="G379">
        <v>14</v>
      </c>
      <c r="H379">
        <v>13</v>
      </c>
      <c r="I379">
        <v>20</v>
      </c>
      <c r="J379">
        <v>168</v>
      </c>
      <c r="K379">
        <v>185</v>
      </c>
      <c r="L379">
        <v>24</v>
      </c>
      <c r="M379">
        <v>44</v>
      </c>
      <c r="N379">
        <v>57</v>
      </c>
      <c r="O379">
        <v>45</v>
      </c>
      <c r="P379">
        <v>96</v>
      </c>
      <c r="Q379">
        <v>56</v>
      </c>
      <c r="R379">
        <v>55</v>
      </c>
      <c r="S379">
        <v>777</v>
      </c>
      <c r="T379" t="s">
        <v>1102</v>
      </c>
      <c r="U379" t="s">
        <v>83</v>
      </c>
      <c r="V379" t="s">
        <v>1127</v>
      </c>
      <c r="W379" t="s">
        <v>1108</v>
      </c>
    </row>
    <row r="380" spans="1:23" x14ac:dyDescent="0.25">
      <c r="A380" t="s">
        <v>1128</v>
      </c>
      <c r="B380" t="s">
        <v>1128</v>
      </c>
      <c r="C380">
        <v>11</v>
      </c>
      <c r="D380" s="3">
        <v>11</v>
      </c>
      <c r="E380">
        <v>118</v>
      </c>
      <c r="G380">
        <v>6</v>
      </c>
      <c r="H380">
        <v>11</v>
      </c>
      <c r="I380">
        <v>0</v>
      </c>
      <c r="J380">
        <v>9</v>
      </c>
      <c r="K380">
        <v>11</v>
      </c>
      <c r="L380">
        <v>10</v>
      </c>
      <c r="M380">
        <v>19</v>
      </c>
      <c r="N380">
        <v>34</v>
      </c>
      <c r="O380">
        <v>13</v>
      </c>
      <c r="P380">
        <v>78</v>
      </c>
      <c r="Q380">
        <v>76</v>
      </c>
      <c r="R380">
        <v>8</v>
      </c>
      <c r="S380">
        <v>275</v>
      </c>
      <c r="T380" t="s">
        <v>1102</v>
      </c>
      <c r="U380" t="s">
        <v>83</v>
      </c>
      <c r="V380" t="s">
        <v>1127</v>
      </c>
      <c r="W380" t="s">
        <v>1129</v>
      </c>
    </row>
    <row r="381" spans="1:23" x14ac:dyDescent="0.25">
      <c r="A381" t="s">
        <v>1130</v>
      </c>
      <c r="B381" t="s">
        <v>1130</v>
      </c>
      <c r="C381">
        <v>1</v>
      </c>
      <c r="D381" s="3">
        <v>1</v>
      </c>
      <c r="E381">
        <v>24</v>
      </c>
      <c r="G381">
        <v>1</v>
      </c>
      <c r="H381">
        <v>1</v>
      </c>
      <c r="I381">
        <v>0</v>
      </c>
      <c r="J381">
        <v>0</v>
      </c>
      <c r="K381">
        <v>2</v>
      </c>
      <c r="L381">
        <v>1</v>
      </c>
      <c r="M381">
        <v>-1</v>
      </c>
      <c r="N381">
        <v>1</v>
      </c>
      <c r="O381">
        <v>2</v>
      </c>
      <c r="P381">
        <v>18</v>
      </c>
      <c r="Q381">
        <v>0</v>
      </c>
      <c r="R381">
        <v>3</v>
      </c>
      <c r="S381">
        <v>28</v>
      </c>
      <c r="T381" t="s">
        <v>1102</v>
      </c>
      <c r="U381" t="s">
        <v>83</v>
      </c>
      <c r="V381" t="s">
        <v>1127</v>
      </c>
      <c r="W381" t="s">
        <v>1131</v>
      </c>
    </row>
    <row r="382" spans="1:23" x14ac:dyDescent="0.25">
      <c r="A382" t="s">
        <v>1132</v>
      </c>
      <c r="B382" t="s">
        <v>1132</v>
      </c>
      <c r="C382">
        <v>0</v>
      </c>
      <c r="D382" s="3">
        <v>0</v>
      </c>
      <c r="E382">
        <v>318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43</v>
      </c>
      <c r="P382">
        <v>10</v>
      </c>
      <c r="Q382">
        <v>18</v>
      </c>
      <c r="R382">
        <v>27</v>
      </c>
      <c r="S382">
        <v>98</v>
      </c>
      <c r="T382" t="s">
        <v>1102</v>
      </c>
      <c r="U382" t="s">
        <v>83</v>
      </c>
      <c r="V382" t="s">
        <v>1133</v>
      </c>
      <c r="W382" t="s">
        <v>1104</v>
      </c>
    </row>
    <row r="383" spans="1:23" x14ac:dyDescent="0.25">
      <c r="A383" t="s">
        <v>1134</v>
      </c>
      <c r="B383" t="s">
        <v>1134</v>
      </c>
      <c r="C383">
        <v>0</v>
      </c>
      <c r="D383" s="3">
        <v>0</v>
      </c>
      <c r="E383">
        <v>227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35</v>
      </c>
      <c r="P383">
        <v>7</v>
      </c>
      <c r="Q383">
        <v>21</v>
      </c>
      <c r="R383">
        <v>22</v>
      </c>
      <c r="S383">
        <v>85</v>
      </c>
      <c r="T383" t="s">
        <v>1102</v>
      </c>
      <c r="U383" t="s">
        <v>83</v>
      </c>
      <c r="V383" t="s">
        <v>1133</v>
      </c>
      <c r="W383" t="s">
        <v>1106</v>
      </c>
    </row>
    <row r="384" spans="1:23" x14ac:dyDescent="0.25">
      <c r="A384" t="s">
        <v>1135</v>
      </c>
      <c r="B384" t="s">
        <v>1135</v>
      </c>
      <c r="C384">
        <v>0</v>
      </c>
      <c r="D384" s="3">
        <v>0</v>
      </c>
      <c r="E384">
        <v>177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40</v>
      </c>
      <c r="P384">
        <v>15</v>
      </c>
      <c r="Q384">
        <v>20</v>
      </c>
      <c r="R384">
        <v>29</v>
      </c>
      <c r="S384">
        <v>104</v>
      </c>
      <c r="T384" t="s">
        <v>1102</v>
      </c>
      <c r="U384" t="s">
        <v>83</v>
      </c>
      <c r="V384" t="s">
        <v>1133</v>
      </c>
      <c r="W384" t="s">
        <v>1108</v>
      </c>
    </row>
    <row r="385" spans="1:23" x14ac:dyDescent="0.25">
      <c r="A385" t="s">
        <v>1783</v>
      </c>
      <c r="B385" t="s">
        <v>1783</v>
      </c>
      <c r="C385">
        <v>3</v>
      </c>
      <c r="D385" s="3">
        <v>3</v>
      </c>
      <c r="E385">
        <v>75</v>
      </c>
      <c r="G385">
        <v>1</v>
      </c>
      <c r="H385">
        <v>0</v>
      </c>
      <c r="I385">
        <v>0</v>
      </c>
      <c r="J385">
        <v>19</v>
      </c>
      <c r="K385">
        <v>21</v>
      </c>
      <c r="L385">
        <v>0</v>
      </c>
      <c r="M385">
        <v>2</v>
      </c>
      <c r="N385">
        <v>6</v>
      </c>
      <c r="O385">
        <v>9</v>
      </c>
      <c r="P385">
        <v>4</v>
      </c>
      <c r="Q385">
        <v>3</v>
      </c>
      <c r="R385">
        <v>3</v>
      </c>
      <c r="S385">
        <v>68</v>
      </c>
      <c r="T385" t="s">
        <v>1102</v>
      </c>
      <c r="U385" t="s">
        <v>83</v>
      </c>
      <c r="V385" t="s">
        <v>1784</v>
      </c>
      <c r="W385" t="s">
        <v>1104</v>
      </c>
    </row>
    <row r="386" spans="1:23" x14ac:dyDescent="0.25">
      <c r="A386" t="s">
        <v>1785</v>
      </c>
      <c r="B386" t="s">
        <v>1785</v>
      </c>
      <c r="C386">
        <v>2.5</v>
      </c>
      <c r="D386" s="3">
        <v>2.5</v>
      </c>
      <c r="E386">
        <v>3</v>
      </c>
      <c r="G386">
        <v>0</v>
      </c>
      <c r="H386">
        <v>0</v>
      </c>
      <c r="I386">
        <v>0</v>
      </c>
      <c r="J386">
        <v>18</v>
      </c>
      <c r="K386">
        <v>14</v>
      </c>
      <c r="L386">
        <v>0</v>
      </c>
      <c r="M386">
        <v>2</v>
      </c>
      <c r="N386">
        <v>2</v>
      </c>
      <c r="O386">
        <v>8</v>
      </c>
      <c r="P386">
        <v>3</v>
      </c>
      <c r="Q386">
        <v>3</v>
      </c>
      <c r="R386">
        <v>9</v>
      </c>
      <c r="S386">
        <v>59</v>
      </c>
      <c r="T386" t="s">
        <v>1102</v>
      </c>
      <c r="U386" t="s">
        <v>83</v>
      </c>
      <c r="V386" t="s">
        <v>1784</v>
      </c>
      <c r="W386" t="s">
        <v>1106</v>
      </c>
    </row>
    <row r="387" spans="1:23" x14ac:dyDescent="0.25">
      <c r="A387" t="s">
        <v>1786</v>
      </c>
      <c r="B387" t="s">
        <v>1786</v>
      </c>
      <c r="C387">
        <v>2</v>
      </c>
      <c r="D387" s="3">
        <v>2</v>
      </c>
      <c r="E387">
        <v>0</v>
      </c>
      <c r="G387">
        <v>0</v>
      </c>
      <c r="H387">
        <v>0</v>
      </c>
      <c r="I387">
        <v>0</v>
      </c>
      <c r="J387">
        <v>18</v>
      </c>
      <c r="K387">
        <v>15</v>
      </c>
      <c r="L387">
        <v>2</v>
      </c>
      <c r="M387">
        <v>1</v>
      </c>
      <c r="N387">
        <v>2</v>
      </c>
      <c r="O387">
        <v>10</v>
      </c>
      <c r="P387">
        <v>2</v>
      </c>
      <c r="Q387">
        <v>3</v>
      </c>
      <c r="R387">
        <v>13</v>
      </c>
      <c r="S387">
        <v>66</v>
      </c>
      <c r="T387" t="s">
        <v>1102</v>
      </c>
      <c r="U387" t="s">
        <v>83</v>
      </c>
      <c r="V387" t="s">
        <v>1784</v>
      </c>
      <c r="W387" t="s">
        <v>1108</v>
      </c>
    </row>
    <row r="388" spans="1:23" x14ac:dyDescent="0.25">
      <c r="A388" t="s">
        <v>1787</v>
      </c>
      <c r="B388" t="s">
        <v>1787</v>
      </c>
      <c r="C388">
        <v>0</v>
      </c>
      <c r="D388" s="3">
        <v>0</v>
      </c>
      <c r="E388">
        <v>17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8</v>
      </c>
      <c r="P388">
        <v>0</v>
      </c>
      <c r="Q388">
        <v>0</v>
      </c>
      <c r="R388">
        <v>2</v>
      </c>
      <c r="S388">
        <v>10</v>
      </c>
      <c r="T388" t="s">
        <v>1102</v>
      </c>
      <c r="U388" t="s">
        <v>83</v>
      </c>
      <c r="V388" t="s">
        <v>1784</v>
      </c>
      <c r="W388" t="s">
        <v>1129</v>
      </c>
    </row>
    <row r="389" spans="1:23" x14ac:dyDescent="0.25">
      <c r="A389" t="s">
        <v>1788</v>
      </c>
      <c r="B389" t="s">
        <v>1788</v>
      </c>
      <c r="C389">
        <v>0</v>
      </c>
      <c r="D389" s="3">
        <v>0</v>
      </c>
      <c r="E389">
        <v>11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 t="s">
        <v>1102</v>
      </c>
      <c r="U389" t="s">
        <v>83</v>
      </c>
      <c r="V389" t="s">
        <v>1784</v>
      </c>
      <c r="W389" t="s">
        <v>1131</v>
      </c>
    </row>
    <row r="390" spans="1:23" x14ac:dyDescent="0.25">
      <c r="A390" t="s">
        <v>659</v>
      </c>
      <c r="B390" t="s">
        <v>659</v>
      </c>
      <c r="C390">
        <v>4</v>
      </c>
      <c r="D390" s="3">
        <v>4</v>
      </c>
      <c r="E390">
        <v>242</v>
      </c>
      <c r="G390">
        <v>1</v>
      </c>
      <c r="H390">
        <v>4</v>
      </c>
      <c r="I390">
        <v>0</v>
      </c>
      <c r="J390">
        <v>11</v>
      </c>
      <c r="K390">
        <v>18</v>
      </c>
      <c r="L390">
        <v>2</v>
      </c>
      <c r="M390">
        <v>0</v>
      </c>
      <c r="N390">
        <v>4</v>
      </c>
      <c r="O390">
        <v>10</v>
      </c>
      <c r="P390">
        <v>4</v>
      </c>
      <c r="Q390">
        <v>6</v>
      </c>
      <c r="R390">
        <v>14</v>
      </c>
      <c r="S390">
        <v>74</v>
      </c>
      <c r="T390" t="s">
        <v>1102</v>
      </c>
      <c r="U390" t="s">
        <v>83</v>
      </c>
      <c r="V390" t="s">
        <v>1138</v>
      </c>
      <c r="W390" t="s">
        <v>1104</v>
      </c>
    </row>
    <row r="391" spans="1:23" x14ac:dyDescent="0.25">
      <c r="A391" t="s">
        <v>660</v>
      </c>
      <c r="B391" t="s">
        <v>660</v>
      </c>
      <c r="C391">
        <v>3</v>
      </c>
      <c r="D391" s="3">
        <v>3</v>
      </c>
      <c r="E391">
        <v>261</v>
      </c>
      <c r="G391">
        <v>1</v>
      </c>
      <c r="H391">
        <v>0</v>
      </c>
      <c r="I391">
        <v>1</v>
      </c>
      <c r="J391">
        <v>10</v>
      </c>
      <c r="K391">
        <v>17</v>
      </c>
      <c r="L391">
        <v>2</v>
      </c>
      <c r="M391">
        <v>0</v>
      </c>
      <c r="N391">
        <v>4</v>
      </c>
      <c r="O391">
        <v>9</v>
      </c>
      <c r="P391">
        <v>6</v>
      </c>
      <c r="Q391">
        <v>11</v>
      </c>
      <c r="R391">
        <v>1</v>
      </c>
      <c r="S391">
        <v>62</v>
      </c>
      <c r="T391" t="s">
        <v>1102</v>
      </c>
      <c r="U391" t="s">
        <v>83</v>
      </c>
      <c r="V391" t="s">
        <v>1138</v>
      </c>
      <c r="W391" t="s">
        <v>1106</v>
      </c>
    </row>
    <row r="392" spans="1:23" x14ac:dyDescent="0.25">
      <c r="A392" t="s">
        <v>661</v>
      </c>
      <c r="B392" t="s">
        <v>661</v>
      </c>
      <c r="C392">
        <v>3</v>
      </c>
      <c r="D392" s="3">
        <v>3</v>
      </c>
      <c r="E392">
        <v>234</v>
      </c>
      <c r="G392">
        <v>0</v>
      </c>
      <c r="H392">
        <v>0</v>
      </c>
      <c r="I392">
        <v>0</v>
      </c>
      <c r="J392">
        <v>9</v>
      </c>
      <c r="K392">
        <v>17</v>
      </c>
      <c r="L392">
        <v>2</v>
      </c>
      <c r="M392">
        <v>3</v>
      </c>
      <c r="N392">
        <v>2</v>
      </c>
      <c r="O392">
        <v>9</v>
      </c>
      <c r="P392">
        <v>3</v>
      </c>
      <c r="Q392">
        <v>7</v>
      </c>
      <c r="R392">
        <v>3</v>
      </c>
      <c r="S392">
        <v>55</v>
      </c>
      <c r="T392" t="s">
        <v>1102</v>
      </c>
      <c r="U392" t="s">
        <v>83</v>
      </c>
      <c r="V392" t="s">
        <v>1138</v>
      </c>
      <c r="W392" t="s">
        <v>1108</v>
      </c>
    </row>
    <row r="393" spans="1:23" x14ac:dyDescent="0.25">
      <c r="A393" t="s">
        <v>1139</v>
      </c>
      <c r="B393" t="s">
        <v>1139</v>
      </c>
      <c r="C393">
        <v>0</v>
      </c>
      <c r="D393" s="3">
        <v>0</v>
      </c>
      <c r="E393">
        <v>59</v>
      </c>
      <c r="G393">
        <v>0</v>
      </c>
      <c r="H393">
        <v>0</v>
      </c>
      <c r="I393">
        <v>0</v>
      </c>
      <c r="J393">
        <v>0</v>
      </c>
      <c r="K393">
        <v>2</v>
      </c>
      <c r="L393">
        <v>0</v>
      </c>
      <c r="M393">
        <v>0</v>
      </c>
      <c r="N393">
        <v>0</v>
      </c>
      <c r="O393">
        <v>8</v>
      </c>
      <c r="P393">
        <v>0</v>
      </c>
      <c r="Q393">
        <v>16</v>
      </c>
      <c r="R393">
        <v>0</v>
      </c>
      <c r="S393">
        <v>26</v>
      </c>
      <c r="T393" t="s">
        <v>1102</v>
      </c>
      <c r="U393" t="s">
        <v>83</v>
      </c>
      <c r="V393" t="s">
        <v>1138</v>
      </c>
      <c r="W393" t="s">
        <v>1129</v>
      </c>
    </row>
    <row r="394" spans="1:23" x14ac:dyDescent="0.25">
      <c r="A394" t="s">
        <v>1140</v>
      </c>
      <c r="B394" t="s">
        <v>1140</v>
      </c>
      <c r="C394">
        <v>0</v>
      </c>
      <c r="D394" s="3">
        <v>0</v>
      </c>
      <c r="E394">
        <v>42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2</v>
      </c>
      <c r="P394">
        <v>0</v>
      </c>
      <c r="Q394">
        <v>10</v>
      </c>
      <c r="R394">
        <v>0</v>
      </c>
      <c r="S394">
        <v>12</v>
      </c>
      <c r="T394" t="s">
        <v>1102</v>
      </c>
      <c r="U394" t="s">
        <v>83</v>
      </c>
      <c r="V394" t="s">
        <v>1138</v>
      </c>
      <c r="W394" t="s">
        <v>1131</v>
      </c>
    </row>
    <row r="395" spans="1:23" x14ac:dyDescent="0.25">
      <c r="A395" t="s">
        <v>1147</v>
      </c>
      <c r="B395" t="s">
        <v>1147</v>
      </c>
      <c r="C395">
        <v>1</v>
      </c>
      <c r="D395" s="3">
        <v>1</v>
      </c>
      <c r="E395">
        <v>393</v>
      </c>
      <c r="G395">
        <v>0</v>
      </c>
      <c r="H395">
        <v>0</v>
      </c>
      <c r="I395">
        <v>6</v>
      </c>
      <c r="J395">
        <v>19</v>
      </c>
      <c r="K395">
        <v>1</v>
      </c>
      <c r="L395">
        <v>1</v>
      </c>
      <c r="M395">
        <v>0</v>
      </c>
      <c r="N395">
        <v>0</v>
      </c>
      <c r="O395">
        <v>6</v>
      </c>
      <c r="P395">
        <v>4</v>
      </c>
      <c r="Q395">
        <v>0</v>
      </c>
      <c r="R395">
        <v>6</v>
      </c>
      <c r="S395">
        <v>43</v>
      </c>
      <c r="T395" t="s">
        <v>1102</v>
      </c>
      <c r="U395" t="s">
        <v>83</v>
      </c>
      <c r="V395" t="s">
        <v>1148</v>
      </c>
      <c r="W395" t="s">
        <v>1104</v>
      </c>
    </row>
    <row r="396" spans="1:23" x14ac:dyDescent="0.25">
      <c r="A396" t="s">
        <v>1149</v>
      </c>
      <c r="B396" t="s">
        <v>1149</v>
      </c>
      <c r="C396">
        <v>0.5</v>
      </c>
      <c r="D396" s="3">
        <v>0.5</v>
      </c>
      <c r="E396">
        <v>208</v>
      </c>
      <c r="G396">
        <v>0</v>
      </c>
      <c r="H396">
        <v>1</v>
      </c>
      <c r="I396">
        <v>0</v>
      </c>
      <c r="J396">
        <v>13</v>
      </c>
      <c r="K396">
        <v>0</v>
      </c>
      <c r="L396">
        <v>0</v>
      </c>
      <c r="M396">
        <v>0</v>
      </c>
      <c r="N396">
        <v>0</v>
      </c>
      <c r="O396">
        <v>6</v>
      </c>
      <c r="P396">
        <v>4</v>
      </c>
      <c r="Q396">
        <v>1</v>
      </c>
      <c r="R396">
        <v>1</v>
      </c>
      <c r="S396">
        <v>26</v>
      </c>
      <c r="T396" t="s">
        <v>1102</v>
      </c>
      <c r="U396" t="s">
        <v>83</v>
      </c>
      <c r="V396" t="s">
        <v>1148</v>
      </c>
      <c r="W396" t="s">
        <v>1106</v>
      </c>
    </row>
    <row r="397" spans="1:23" x14ac:dyDescent="0.25">
      <c r="A397" t="s">
        <v>1150</v>
      </c>
      <c r="B397" t="s">
        <v>1150</v>
      </c>
      <c r="C397">
        <v>1</v>
      </c>
      <c r="D397" s="3">
        <v>1</v>
      </c>
      <c r="E397">
        <v>414</v>
      </c>
      <c r="G397">
        <v>0</v>
      </c>
      <c r="H397">
        <v>1</v>
      </c>
      <c r="I397">
        <v>0</v>
      </c>
      <c r="J397">
        <v>11</v>
      </c>
      <c r="K397">
        <v>1</v>
      </c>
      <c r="L397">
        <v>1</v>
      </c>
      <c r="M397">
        <v>1</v>
      </c>
      <c r="N397">
        <v>0</v>
      </c>
      <c r="O397">
        <v>5</v>
      </c>
      <c r="P397">
        <v>0</v>
      </c>
      <c r="Q397">
        <v>1</v>
      </c>
      <c r="R397">
        <v>0</v>
      </c>
      <c r="S397">
        <v>21</v>
      </c>
      <c r="T397" t="s">
        <v>1102</v>
      </c>
      <c r="U397" t="s">
        <v>83</v>
      </c>
      <c r="V397" t="s">
        <v>1148</v>
      </c>
      <c r="W397" t="s">
        <v>1108</v>
      </c>
    </row>
    <row r="398" spans="1:23" x14ac:dyDescent="0.25">
      <c r="A398" t="s">
        <v>755</v>
      </c>
      <c r="B398" t="s">
        <v>755</v>
      </c>
      <c r="C398">
        <v>0</v>
      </c>
      <c r="D398" s="3">
        <v>0</v>
      </c>
      <c r="E398">
        <v>10</v>
      </c>
      <c r="F398">
        <v>10</v>
      </c>
      <c r="G398">
        <v>0</v>
      </c>
      <c r="H398">
        <v>0</v>
      </c>
      <c r="I398">
        <v>0</v>
      </c>
      <c r="J398">
        <v>8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0</v>
      </c>
      <c r="Q398">
        <v>0</v>
      </c>
      <c r="R398">
        <v>0</v>
      </c>
      <c r="S398">
        <v>17</v>
      </c>
      <c r="T398" t="s">
        <v>1102</v>
      </c>
      <c r="U398" t="s">
        <v>83</v>
      </c>
      <c r="V398" t="s">
        <v>1148</v>
      </c>
      <c r="W398" t="s">
        <v>1129</v>
      </c>
    </row>
    <row r="399" spans="1:23" x14ac:dyDescent="0.25">
      <c r="A399" t="s">
        <v>1151</v>
      </c>
      <c r="B399" t="s">
        <v>1151</v>
      </c>
      <c r="C399">
        <v>0</v>
      </c>
      <c r="D399" s="3">
        <v>0</v>
      </c>
      <c r="E399">
        <v>11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1102</v>
      </c>
      <c r="U399" t="s">
        <v>83</v>
      </c>
      <c r="V399" t="s">
        <v>1148</v>
      </c>
      <c r="W399" t="s">
        <v>1131</v>
      </c>
    </row>
    <row r="400" spans="1:23" x14ac:dyDescent="0.25">
      <c r="A400" t="s">
        <v>662</v>
      </c>
      <c r="B400" t="s">
        <v>662</v>
      </c>
      <c r="C400">
        <v>7</v>
      </c>
      <c r="D400" s="3">
        <v>7</v>
      </c>
      <c r="E400">
        <v>317</v>
      </c>
      <c r="G400">
        <v>0</v>
      </c>
      <c r="H400">
        <v>0</v>
      </c>
      <c r="I400">
        <v>4</v>
      </c>
      <c r="J400">
        <v>29</v>
      </c>
      <c r="K400">
        <v>10</v>
      </c>
      <c r="L400">
        <v>8</v>
      </c>
      <c r="M400">
        <v>0</v>
      </c>
      <c r="N400">
        <v>0</v>
      </c>
      <c r="O400">
        <v>10</v>
      </c>
      <c r="P400">
        <v>6</v>
      </c>
      <c r="Q400">
        <v>8</v>
      </c>
      <c r="R400">
        <v>14</v>
      </c>
      <c r="S400">
        <v>89</v>
      </c>
      <c r="T400" t="s">
        <v>1102</v>
      </c>
      <c r="U400" t="s">
        <v>83</v>
      </c>
      <c r="V400" t="s">
        <v>1152</v>
      </c>
      <c r="W400" t="s">
        <v>1104</v>
      </c>
    </row>
    <row r="401" spans="1:23" x14ac:dyDescent="0.25">
      <c r="A401" t="s">
        <v>663</v>
      </c>
      <c r="B401" t="s">
        <v>663</v>
      </c>
      <c r="C401">
        <v>5.5</v>
      </c>
      <c r="D401" s="3">
        <v>5.5</v>
      </c>
      <c r="E401">
        <v>351</v>
      </c>
      <c r="G401">
        <v>1</v>
      </c>
      <c r="H401">
        <v>2</v>
      </c>
      <c r="I401">
        <v>4</v>
      </c>
      <c r="J401">
        <v>20</v>
      </c>
      <c r="K401">
        <v>8</v>
      </c>
      <c r="L401">
        <v>7</v>
      </c>
      <c r="M401">
        <v>1</v>
      </c>
      <c r="N401">
        <v>2</v>
      </c>
      <c r="O401">
        <v>10</v>
      </c>
      <c r="P401">
        <v>3</v>
      </c>
      <c r="Q401">
        <v>9</v>
      </c>
      <c r="R401">
        <v>7</v>
      </c>
      <c r="S401">
        <v>74</v>
      </c>
      <c r="T401" t="s">
        <v>1102</v>
      </c>
      <c r="U401" t="s">
        <v>83</v>
      </c>
      <c r="V401" t="s">
        <v>1152</v>
      </c>
      <c r="W401" t="s">
        <v>1106</v>
      </c>
    </row>
    <row r="402" spans="1:23" x14ac:dyDescent="0.25">
      <c r="A402" t="s">
        <v>711</v>
      </c>
      <c r="B402" t="s">
        <v>711</v>
      </c>
      <c r="C402">
        <v>6</v>
      </c>
      <c r="D402" s="3">
        <v>6</v>
      </c>
      <c r="E402">
        <v>335</v>
      </c>
      <c r="G402">
        <v>0</v>
      </c>
      <c r="H402">
        <v>2</v>
      </c>
      <c r="I402">
        <v>0</v>
      </c>
      <c r="J402">
        <v>30</v>
      </c>
      <c r="K402">
        <v>9</v>
      </c>
      <c r="L402">
        <v>8</v>
      </c>
      <c r="M402">
        <v>4</v>
      </c>
      <c r="N402">
        <v>0</v>
      </c>
      <c r="O402">
        <v>9</v>
      </c>
      <c r="P402">
        <v>4</v>
      </c>
      <c r="Q402">
        <v>8</v>
      </c>
      <c r="R402">
        <v>11</v>
      </c>
      <c r="S402">
        <v>85</v>
      </c>
      <c r="T402" t="s">
        <v>1102</v>
      </c>
      <c r="U402" t="s">
        <v>83</v>
      </c>
      <c r="V402" t="s">
        <v>1152</v>
      </c>
      <c r="W402" t="s">
        <v>1108</v>
      </c>
    </row>
    <row r="403" spans="1:23" x14ac:dyDescent="0.25">
      <c r="A403" t="s">
        <v>664</v>
      </c>
      <c r="B403" t="s">
        <v>664</v>
      </c>
      <c r="C403">
        <v>0</v>
      </c>
      <c r="D403" s="3">
        <v>0</v>
      </c>
      <c r="E403">
        <v>100</v>
      </c>
      <c r="G403">
        <v>0</v>
      </c>
      <c r="H403">
        <v>0</v>
      </c>
      <c r="I403">
        <v>0</v>
      </c>
      <c r="J403">
        <v>2</v>
      </c>
      <c r="K403">
        <v>0</v>
      </c>
      <c r="L403">
        <v>0</v>
      </c>
      <c r="M403">
        <v>1</v>
      </c>
      <c r="N403">
        <v>0</v>
      </c>
      <c r="O403">
        <v>5</v>
      </c>
      <c r="P403">
        <v>10</v>
      </c>
      <c r="Q403">
        <v>0</v>
      </c>
      <c r="R403">
        <v>0</v>
      </c>
      <c r="S403">
        <v>18</v>
      </c>
      <c r="T403" t="s">
        <v>1102</v>
      </c>
      <c r="U403" t="s">
        <v>83</v>
      </c>
      <c r="V403" t="s">
        <v>1152</v>
      </c>
      <c r="W403" t="s">
        <v>1129</v>
      </c>
    </row>
    <row r="404" spans="1:23" x14ac:dyDescent="0.25">
      <c r="A404" t="s">
        <v>712</v>
      </c>
      <c r="B404" t="s">
        <v>712</v>
      </c>
      <c r="C404">
        <v>0</v>
      </c>
      <c r="D404" s="3">
        <v>0</v>
      </c>
      <c r="E404">
        <v>141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t="s">
        <v>1102</v>
      </c>
      <c r="U404" t="s">
        <v>83</v>
      </c>
      <c r="V404" t="s">
        <v>1152</v>
      </c>
      <c r="W404" t="s">
        <v>1131</v>
      </c>
    </row>
    <row r="405" spans="1:23" x14ac:dyDescent="0.25">
      <c r="A405" t="s">
        <v>1157</v>
      </c>
      <c r="B405" t="s">
        <v>1157</v>
      </c>
      <c r="C405">
        <v>0</v>
      </c>
      <c r="D405" s="3">
        <v>0</v>
      </c>
      <c r="E405">
        <v>238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1</v>
      </c>
      <c r="T405" t="s">
        <v>1102</v>
      </c>
      <c r="U405" t="s">
        <v>83</v>
      </c>
      <c r="V405" t="s">
        <v>1158</v>
      </c>
      <c r="W405" t="s">
        <v>1104</v>
      </c>
    </row>
    <row r="406" spans="1:23" x14ac:dyDescent="0.25">
      <c r="A406" t="s">
        <v>1159</v>
      </c>
      <c r="B406" t="s">
        <v>1159</v>
      </c>
      <c r="C406">
        <v>0</v>
      </c>
      <c r="D406" s="3">
        <v>0</v>
      </c>
      <c r="E406">
        <v>110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1</v>
      </c>
      <c r="T406" t="s">
        <v>1102</v>
      </c>
      <c r="U406" t="s">
        <v>83</v>
      </c>
      <c r="V406" t="s">
        <v>1158</v>
      </c>
      <c r="W406" t="s">
        <v>1106</v>
      </c>
    </row>
    <row r="407" spans="1:23" x14ac:dyDescent="0.25">
      <c r="A407" t="s">
        <v>1160</v>
      </c>
      <c r="B407" t="s">
        <v>1160</v>
      </c>
      <c r="C407">
        <v>0</v>
      </c>
      <c r="D407" s="3">
        <v>0</v>
      </c>
      <c r="E407">
        <v>125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1</v>
      </c>
      <c r="T407" t="s">
        <v>1102</v>
      </c>
      <c r="U407" t="s">
        <v>83</v>
      </c>
      <c r="V407" t="s">
        <v>1158</v>
      </c>
      <c r="W407" t="s">
        <v>1108</v>
      </c>
    </row>
    <row r="408" spans="1:23" x14ac:dyDescent="0.25">
      <c r="A408" t="s">
        <v>1175</v>
      </c>
      <c r="B408" t="s">
        <v>1175</v>
      </c>
      <c r="C408">
        <v>0</v>
      </c>
      <c r="D408" s="3">
        <v>0</v>
      </c>
      <c r="E408">
        <v>698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6</v>
      </c>
      <c r="R408">
        <v>0</v>
      </c>
      <c r="S408">
        <v>6</v>
      </c>
      <c r="T408" t="s">
        <v>1102</v>
      </c>
      <c r="U408" t="s">
        <v>83</v>
      </c>
      <c r="V408" t="s">
        <v>1176</v>
      </c>
      <c r="W408" t="s">
        <v>1104</v>
      </c>
    </row>
    <row r="409" spans="1:23" x14ac:dyDescent="0.25">
      <c r="A409" t="s">
        <v>1177</v>
      </c>
      <c r="B409" t="s">
        <v>1177</v>
      </c>
      <c r="C409">
        <v>0</v>
      </c>
      <c r="D409" s="3">
        <v>0</v>
      </c>
      <c r="E409">
        <v>469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7</v>
      </c>
      <c r="R409">
        <v>0</v>
      </c>
      <c r="S409">
        <v>7</v>
      </c>
      <c r="T409" t="s">
        <v>1102</v>
      </c>
      <c r="U409" t="s">
        <v>83</v>
      </c>
      <c r="V409" t="s">
        <v>1176</v>
      </c>
      <c r="W409" t="s">
        <v>1106</v>
      </c>
    </row>
    <row r="410" spans="1:23" x14ac:dyDescent="0.25">
      <c r="A410" t="s">
        <v>1178</v>
      </c>
      <c r="B410" t="s">
        <v>1178</v>
      </c>
      <c r="C410">
        <v>0</v>
      </c>
      <c r="D410" s="3">
        <v>0</v>
      </c>
      <c r="E410">
        <v>691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4</v>
      </c>
      <c r="Q410">
        <v>6</v>
      </c>
      <c r="R410">
        <v>0</v>
      </c>
      <c r="S410">
        <v>11</v>
      </c>
      <c r="T410" t="s">
        <v>1102</v>
      </c>
      <c r="U410" t="s">
        <v>83</v>
      </c>
      <c r="V410" t="s">
        <v>1176</v>
      </c>
      <c r="W410" t="s">
        <v>1108</v>
      </c>
    </row>
    <row r="411" spans="1:23" x14ac:dyDescent="0.25">
      <c r="A411" t="s">
        <v>1181</v>
      </c>
      <c r="B411" t="s">
        <v>1181</v>
      </c>
      <c r="C411">
        <v>0</v>
      </c>
      <c r="D411" s="3">
        <v>0</v>
      </c>
      <c r="E411">
        <v>0</v>
      </c>
      <c r="G411">
        <v>1</v>
      </c>
      <c r="H411">
        <v>0</v>
      </c>
      <c r="I411">
        <v>0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4</v>
      </c>
      <c r="T411" t="s">
        <v>1102</v>
      </c>
      <c r="U411" t="s">
        <v>180</v>
      </c>
      <c r="V411" t="s">
        <v>1181</v>
      </c>
      <c r="W411" t="s">
        <v>1104</v>
      </c>
    </row>
    <row r="412" spans="1:23" x14ac:dyDescent="0.25">
      <c r="A412" t="s">
        <v>1184</v>
      </c>
      <c r="B412" t="s">
        <v>1184</v>
      </c>
      <c r="C412">
        <v>6</v>
      </c>
      <c r="D412" s="3">
        <v>6</v>
      </c>
      <c r="E412">
        <v>13</v>
      </c>
      <c r="G412">
        <v>2</v>
      </c>
      <c r="H412">
        <v>12</v>
      </c>
      <c r="I412">
        <v>0</v>
      </c>
      <c r="J412">
        <v>13</v>
      </c>
      <c r="K412">
        <v>9</v>
      </c>
      <c r="L412">
        <v>11</v>
      </c>
      <c r="M412">
        <v>3</v>
      </c>
      <c r="N412">
        <v>2</v>
      </c>
      <c r="O412">
        <v>12</v>
      </c>
      <c r="P412">
        <v>7</v>
      </c>
      <c r="Q412">
        <v>5</v>
      </c>
      <c r="R412">
        <v>4</v>
      </c>
      <c r="S412">
        <v>80</v>
      </c>
      <c r="T412" t="s">
        <v>1102</v>
      </c>
      <c r="U412" t="s">
        <v>180</v>
      </c>
      <c r="V412" t="s">
        <v>1181</v>
      </c>
      <c r="W412" t="s">
        <v>1185</v>
      </c>
    </row>
    <row r="413" spans="1:23" x14ac:dyDescent="0.25">
      <c r="A413" t="s">
        <v>1192</v>
      </c>
      <c r="B413" t="s">
        <v>1192</v>
      </c>
      <c r="C413">
        <v>0</v>
      </c>
      <c r="D413" s="3">
        <v>0</v>
      </c>
      <c r="E413">
        <v>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 t="s">
        <v>1102</v>
      </c>
      <c r="U413" t="s">
        <v>180</v>
      </c>
      <c r="V413" t="s">
        <v>1193</v>
      </c>
      <c r="W413" t="s">
        <v>1185</v>
      </c>
    </row>
    <row r="414" spans="1:23" x14ac:dyDescent="0.25">
      <c r="A414" t="s">
        <v>1194</v>
      </c>
      <c r="B414" t="s">
        <v>1194</v>
      </c>
      <c r="C414">
        <v>0</v>
      </c>
      <c r="D414" s="3">
        <v>0</v>
      </c>
      <c r="E414">
        <v>0</v>
      </c>
      <c r="G414">
        <v>0</v>
      </c>
      <c r="H414">
        <v>0</v>
      </c>
      <c r="I414">
        <v>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5</v>
      </c>
      <c r="P414">
        <v>0</v>
      </c>
      <c r="Q414">
        <v>0</v>
      </c>
      <c r="R414">
        <v>0</v>
      </c>
      <c r="S414">
        <v>7</v>
      </c>
      <c r="T414" t="s">
        <v>1102</v>
      </c>
      <c r="U414" t="s">
        <v>180</v>
      </c>
      <c r="V414" t="s">
        <v>1194</v>
      </c>
      <c r="W414" t="s">
        <v>1195</v>
      </c>
    </row>
    <row r="415" spans="1:23" x14ac:dyDescent="0.25">
      <c r="A415" t="s">
        <v>756</v>
      </c>
      <c r="B415" t="s">
        <v>756</v>
      </c>
      <c r="C415">
        <v>9</v>
      </c>
      <c r="D415" s="3">
        <v>9</v>
      </c>
      <c r="E415">
        <v>42</v>
      </c>
      <c r="F415">
        <v>5</v>
      </c>
      <c r="G415">
        <v>4</v>
      </c>
      <c r="H415">
        <v>11</v>
      </c>
      <c r="I415">
        <v>0</v>
      </c>
      <c r="J415">
        <v>9</v>
      </c>
      <c r="K415">
        <v>10</v>
      </c>
      <c r="L415">
        <v>10</v>
      </c>
      <c r="M415">
        <v>12</v>
      </c>
      <c r="N415">
        <v>9</v>
      </c>
      <c r="O415">
        <v>12</v>
      </c>
      <c r="P415">
        <v>4</v>
      </c>
      <c r="Q415">
        <v>0</v>
      </c>
      <c r="R415">
        <v>4</v>
      </c>
      <c r="S415">
        <v>85</v>
      </c>
      <c r="T415" t="s">
        <v>1102</v>
      </c>
      <c r="U415" t="s">
        <v>180</v>
      </c>
      <c r="V415" t="s">
        <v>1194</v>
      </c>
      <c r="W415" t="s">
        <v>1185</v>
      </c>
    </row>
    <row r="416" spans="1:23" x14ac:dyDescent="0.25">
      <c r="A416" t="s">
        <v>1200</v>
      </c>
      <c r="B416" t="s">
        <v>1200</v>
      </c>
      <c r="C416">
        <v>0</v>
      </c>
      <c r="D416" s="3">
        <v>0</v>
      </c>
      <c r="E416">
        <v>15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1102</v>
      </c>
      <c r="U416" t="s">
        <v>180</v>
      </c>
      <c r="V416" t="s">
        <v>1200</v>
      </c>
      <c r="W416" t="s">
        <v>1201</v>
      </c>
    </row>
    <row r="417" spans="1:23" x14ac:dyDescent="0.25">
      <c r="A417" t="s">
        <v>757</v>
      </c>
      <c r="B417" t="s">
        <v>757</v>
      </c>
      <c r="C417">
        <v>10.5</v>
      </c>
      <c r="D417" s="3">
        <v>10.5</v>
      </c>
      <c r="E417">
        <v>19</v>
      </c>
      <c r="F417">
        <v>5</v>
      </c>
      <c r="G417">
        <v>8</v>
      </c>
      <c r="H417">
        <v>11</v>
      </c>
      <c r="I417">
        <v>3</v>
      </c>
      <c r="J417">
        <v>13</v>
      </c>
      <c r="K417">
        <v>5</v>
      </c>
      <c r="L417">
        <v>12</v>
      </c>
      <c r="M417">
        <v>10</v>
      </c>
      <c r="N417">
        <v>14</v>
      </c>
      <c r="O417">
        <v>13</v>
      </c>
      <c r="P417">
        <v>6</v>
      </c>
      <c r="Q417">
        <v>27</v>
      </c>
      <c r="R417">
        <v>2</v>
      </c>
      <c r="S417">
        <v>124</v>
      </c>
      <c r="T417" t="s">
        <v>1102</v>
      </c>
      <c r="U417" t="s">
        <v>180</v>
      </c>
      <c r="V417" t="s">
        <v>1207</v>
      </c>
      <c r="W417" t="s">
        <v>1185</v>
      </c>
    </row>
    <row r="418" spans="1:23" x14ac:dyDescent="0.25">
      <c r="A418" t="s">
        <v>1213</v>
      </c>
      <c r="B418" t="s">
        <v>1213</v>
      </c>
      <c r="C418">
        <v>0</v>
      </c>
      <c r="D418" s="3">
        <v>0</v>
      </c>
      <c r="E418">
        <v>12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6</v>
      </c>
      <c r="P418">
        <v>0</v>
      </c>
      <c r="Q418">
        <v>0</v>
      </c>
      <c r="R418">
        <v>0</v>
      </c>
      <c r="S418">
        <v>6</v>
      </c>
      <c r="T418" t="s">
        <v>1102</v>
      </c>
      <c r="U418" t="s">
        <v>180</v>
      </c>
      <c r="V418" t="s">
        <v>1213</v>
      </c>
      <c r="W418" t="s">
        <v>1131</v>
      </c>
    </row>
    <row r="419" spans="1:23" x14ac:dyDescent="0.25">
      <c r="A419" t="s">
        <v>1220</v>
      </c>
      <c r="B419" t="s">
        <v>1220</v>
      </c>
      <c r="C419">
        <v>0</v>
      </c>
      <c r="D419" s="3">
        <v>0</v>
      </c>
      <c r="E419">
        <v>1</v>
      </c>
      <c r="G419">
        <v>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1</v>
      </c>
      <c r="S419">
        <v>5</v>
      </c>
      <c r="T419" t="s">
        <v>1102</v>
      </c>
      <c r="U419" t="s">
        <v>180</v>
      </c>
      <c r="V419" t="s">
        <v>1219</v>
      </c>
      <c r="W419" t="s">
        <v>1183</v>
      </c>
    </row>
    <row r="420" spans="1:23" x14ac:dyDescent="0.25">
      <c r="A420" t="s">
        <v>1789</v>
      </c>
      <c r="B420" t="s">
        <v>1222</v>
      </c>
      <c r="C420">
        <v>0</v>
      </c>
      <c r="D420" s="3">
        <v>0</v>
      </c>
      <c r="E420">
        <v>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1</v>
      </c>
      <c r="T420" t="s">
        <v>1102</v>
      </c>
      <c r="U420" t="s">
        <v>180</v>
      </c>
      <c r="V420" t="s">
        <v>1219</v>
      </c>
      <c r="W420" t="s">
        <v>1187</v>
      </c>
    </row>
    <row r="421" spans="1:23" x14ac:dyDescent="0.25">
      <c r="A421" t="s">
        <v>1790</v>
      </c>
      <c r="B421" t="s">
        <v>1224</v>
      </c>
      <c r="C421">
        <v>0</v>
      </c>
      <c r="D421" s="3">
        <v>0</v>
      </c>
      <c r="E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3</v>
      </c>
      <c r="R421">
        <v>0</v>
      </c>
      <c r="S421">
        <v>4</v>
      </c>
      <c r="T421" t="s">
        <v>1102</v>
      </c>
      <c r="U421" t="s">
        <v>180</v>
      </c>
      <c r="V421" t="s">
        <v>1219</v>
      </c>
      <c r="W421" t="s">
        <v>1191</v>
      </c>
    </row>
    <row r="422" spans="1:23" x14ac:dyDescent="0.25">
      <c r="A422" t="s">
        <v>1229</v>
      </c>
      <c r="B422" t="s">
        <v>1229</v>
      </c>
      <c r="C422">
        <v>0</v>
      </c>
      <c r="D422" s="3">
        <v>0</v>
      </c>
      <c r="E422">
        <v>4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</v>
      </c>
      <c r="P422">
        <v>0</v>
      </c>
      <c r="Q422">
        <v>0</v>
      </c>
      <c r="R422">
        <v>1</v>
      </c>
      <c r="S422">
        <v>3</v>
      </c>
      <c r="T422" t="s">
        <v>1102</v>
      </c>
      <c r="U422" t="s">
        <v>180</v>
      </c>
      <c r="V422" t="s">
        <v>1228</v>
      </c>
      <c r="W422" t="s">
        <v>1183</v>
      </c>
    </row>
    <row r="423" spans="1:23" x14ac:dyDescent="0.25">
      <c r="A423" t="s">
        <v>1791</v>
      </c>
      <c r="B423" t="s">
        <v>1231</v>
      </c>
      <c r="C423">
        <v>0</v>
      </c>
      <c r="D423" s="3">
        <v>0</v>
      </c>
      <c r="E423">
        <v>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3</v>
      </c>
      <c r="R423">
        <v>0</v>
      </c>
      <c r="S423">
        <v>4</v>
      </c>
      <c r="T423" t="s">
        <v>1102</v>
      </c>
      <c r="U423" t="s">
        <v>180</v>
      </c>
      <c r="V423" t="s">
        <v>1228</v>
      </c>
      <c r="W423" t="s">
        <v>1187</v>
      </c>
    </row>
    <row r="424" spans="1:23" x14ac:dyDescent="0.25">
      <c r="A424" t="s">
        <v>1792</v>
      </c>
      <c r="B424" t="s">
        <v>1233</v>
      </c>
      <c r="C424">
        <v>0</v>
      </c>
      <c r="D424" s="3">
        <v>0</v>
      </c>
      <c r="E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1</v>
      </c>
      <c r="T424" t="s">
        <v>1102</v>
      </c>
      <c r="U424" t="s">
        <v>180</v>
      </c>
      <c r="V424" t="s">
        <v>1228</v>
      </c>
      <c r="W424" t="s">
        <v>1191</v>
      </c>
    </row>
    <row r="425" spans="1:23" x14ac:dyDescent="0.25">
      <c r="A425" t="s">
        <v>1793</v>
      </c>
      <c r="B425" t="s">
        <v>1235</v>
      </c>
      <c r="C425">
        <v>0</v>
      </c>
      <c r="D425" s="3">
        <v>0</v>
      </c>
      <c r="E425">
        <v>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 t="s">
        <v>1102</v>
      </c>
      <c r="U425" t="s">
        <v>180</v>
      </c>
      <c r="V425" t="s">
        <v>1234</v>
      </c>
      <c r="W425" t="s">
        <v>1185</v>
      </c>
    </row>
    <row r="426" spans="1:23" x14ac:dyDescent="0.25">
      <c r="A426" t="s">
        <v>1237</v>
      </c>
      <c r="B426" t="s">
        <v>1237</v>
      </c>
      <c r="C426">
        <v>0</v>
      </c>
      <c r="D426" s="3">
        <v>0</v>
      </c>
      <c r="E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2</v>
      </c>
      <c r="Q426">
        <v>0</v>
      </c>
      <c r="R426">
        <v>1</v>
      </c>
      <c r="S426">
        <v>4</v>
      </c>
      <c r="T426" t="s">
        <v>1102</v>
      </c>
      <c r="U426" t="s">
        <v>180</v>
      </c>
      <c r="V426" t="s">
        <v>1236</v>
      </c>
      <c r="W426" t="s">
        <v>1183</v>
      </c>
    </row>
    <row r="427" spans="1:23" x14ac:dyDescent="0.25">
      <c r="A427" t="s">
        <v>1794</v>
      </c>
      <c r="B427" t="s">
        <v>1239</v>
      </c>
      <c r="C427">
        <v>0</v>
      </c>
      <c r="D427" s="3">
        <v>0</v>
      </c>
      <c r="E427">
        <v>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 t="s">
        <v>1102</v>
      </c>
      <c r="U427" t="s">
        <v>180</v>
      </c>
      <c r="V427" t="s">
        <v>1236</v>
      </c>
      <c r="W427" t="s">
        <v>1187</v>
      </c>
    </row>
    <row r="428" spans="1:23" x14ac:dyDescent="0.25">
      <c r="A428" t="s">
        <v>1795</v>
      </c>
      <c r="B428" t="s">
        <v>1241</v>
      </c>
      <c r="C428">
        <v>0</v>
      </c>
      <c r="D428" s="3">
        <v>0</v>
      </c>
      <c r="E428">
        <v>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t="s">
        <v>1102</v>
      </c>
      <c r="U428" t="s">
        <v>180</v>
      </c>
      <c r="V428" t="s">
        <v>1236</v>
      </c>
      <c r="W428" t="s">
        <v>1191</v>
      </c>
    </row>
    <row r="429" spans="1:23" x14ac:dyDescent="0.25">
      <c r="A429" t="s">
        <v>1243</v>
      </c>
      <c r="B429" t="s">
        <v>1243</v>
      </c>
      <c r="C429">
        <v>0</v>
      </c>
      <c r="D429" s="3">
        <v>0</v>
      </c>
      <c r="E429">
        <v>2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  <c r="T429" t="s">
        <v>1102</v>
      </c>
      <c r="U429" t="s">
        <v>180</v>
      </c>
      <c r="V429" t="s">
        <v>1242</v>
      </c>
      <c r="W429" t="s">
        <v>1183</v>
      </c>
    </row>
    <row r="430" spans="1:23" x14ac:dyDescent="0.25">
      <c r="A430" t="s">
        <v>1245</v>
      </c>
      <c r="B430" t="s">
        <v>1245</v>
      </c>
      <c r="C430">
        <v>0</v>
      </c>
      <c r="D430" s="3">
        <v>0</v>
      </c>
      <c r="E430">
        <v>0</v>
      </c>
      <c r="G430">
        <v>2</v>
      </c>
      <c r="H430">
        <v>12</v>
      </c>
      <c r="I430">
        <v>3</v>
      </c>
      <c r="J430">
        <v>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20</v>
      </c>
      <c r="T430" t="s">
        <v>1102</v>
      </c>
      <c r="U430" t="s">
        <v>180</v>
      </c>
      <c r="V430" t="s">
        <v>1245</v>
      </c>
      <c r="W430" t="s">
        <v>1104</v>
      </c>
    </row>
    <row r="431" spans="1:23" x14ac:dyDescent="0.25">
      <c r="A431" t="s">
        <v>1246</v>
      </c>
      <c r="B431" t="s">
        <v>1246</v>
      </c>
      <c r="C431">
        <v>0</v>
      </c>
      <c r="D431" s="3">
        <v>0</v>
      </c>
      <c r="E431">
        <v>10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8</v>
      </c>
      <c r="R431">
        <v>0</v>
      </c>
      <c r="S431">
        <v>10</v>
      </c>
      <c r="T431" t="s">
        <v>1102</v>
      </c>
      <c r="U431" t="s">
        <v>180</v>
      </c>
      <c r="V431" t="s">
        <v>1245</v>
      </c>
      <c r="W431" t="s">
        <v>1183</v>
      </c>
    </row>
    <row r="432" spans="1:23" x14ac:dyDescent="0.25">
      <c r="A432" t="s">
        <v>1247</v>
      </c>
      <c r="B432" t="s">
        <v>1247</v>
      </c>
      <c r="C432">
        <v>0</v>
      </c>
      <c r="D432" s="3">
        <v>0</v>
      </c>
      <c r="E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8</v>
      </c>
      <c r="M432">
        <v>4</v>
      </c>
      <c r="N432">
        <v>7</v>
      </c>
      <c r="O432">
        <v>3</v>
      </c>
      <c r="P432">
        <v>0</v>
      </c>
      <c r="Q432">
        <v>0</v>
      </c>
      <c r="R432">
        <v>0</v>
      </c>
      <c r="S432">
        <v>22</v>
      </c>
      <c r="T432" t="s">
        <v>1102</v>
      </c>
      <c r="U432" t="s">
        <v>180</v>
      </c>
      <c r="V432" t="s">
        <v>1245</v>
      </c>
      <c r="W432" t="s">
        <v>1185</v>
      </c>
    </row>
    <row r="433" spans="1:23" x14ac:dyDescent="0.25">
      <c r="A433" t="s">
        <v>1252</v>
      </c>
      <c r="B433" t="s">
        <v>1252</v>
      </c>
      <c r="C433">
        <v>0</v>
      </c>
      <c r="D433" s="3">
        <v>0</v>
      </c>
      <c r="E433">
        <v>0</v>
      </c>
      <c r="G433">
        <v>0</v>
      </c>
      <c r="H433">
        <v>0</v>
      </c>
      <c r="I433">
        <v>0</v>
      </c>
      <c r="J433">
        <v>10</v>
      </c>
      <c r="K433">
        <v>0</v>
      </c>
      <c r="L433">
        <v>0</v>
      </c>
      <c r="M433">
        <v>0</v>
      </c>
      <c r="N433">
        <v>0</v>
      </c>
      <c r="O433">
        <v>3</v>
      </c>
      <c r="P433">
        <v>13</v>
      </c>
      <c r="Q433">
        <v>3</v>
      </c>
      <c r="R433">
        <v>0</v>
      </c>
      <c r="S433">
        <v>29</v>
      </c>
      <c r="T433" t="s">
        <v>1102</v>
      </c>
      <c r="U433" t="s">
        <v>180</v>
      </c>
      <c r="V433" t="s">
        <v>1251</v>
      </c>
      <c r="W433" t="s">
        <v>1185</v>
      </c>
    </row>
    <row r="434" spans="1:23" x14ac:dyDescent="0.25">
      <c r="A434" t="s">
        <v>1254</v>
      </c>
      <c r="B434" t="s">
        <v>1254</v>
      </c>
      <c r="C434">
        <v>0</v>
      </c>
      <c r="D434" s="3">
        <v>0</v>
      </c>
      <c r="E434">
        <v>0</v>
      </c>
      <c r="G434">
        <v>0</v>
      </c>
      <c r="H434">
        <v>1</v>
      </c>
      <c r="I434">
        <v>2</v>
      </c>
      <c r="J434">
        <v>2</v>
      </c>
      <c r="K434">
        <v>4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9</v>
      </c>
      <c r="T434" t="s">
        <v>1102</v>
      </c>
      <c r="U434" t="s">
        <v>180</v>
      </c>
      <c r="V434" t="s">
        <v>1251</v>
      </c>
      <c r="W434" t="s">
        <v>1189</v>
      </c>
    </row>
    <row r="435" spans="1:23" x14ac:dyDescent="0.25">
      <c r="A435" t="s">
        <v>1256</v>
      </c>
      <c r="B435" t="s">
        <v>1256</v>
      </c>
      <c r="C435">
        <v>0</v>
      </c>
      <c r="D435" s="3">
        <v>0</v>
      </c>
      <c r="E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 t="s">
        <v>1102</v>
      </c>
      <c r="U435" t="s">
        <v>180</v>
      </c>
      <c r="V435" t="s">
        <v>1256</v>
      </c>
      <c r="W435" t="s">
        <v>1195</v>
      </c>
    </row>
    <row r="436" spans="1:23" x14ac:dyDescent="0.25">
      <c r="A436" t="s">
        <v>760</v>
      </c>
      <c r="B436" t="s">
        <v>760</v>
      </c>
      <c r="C436">
        <v>4.5</v>
      </c>
      <c r="D436" s="3">
        <v>4.5</v>
      </c>
      <c r="E436">
        <v>29</v>
      </c>
      <c r="F436">
        <v>15</v>
      </c>
      <c r="G436">
        <v>0</v>
      </c>
      <c r="H436">
        <v>7</v>
      </c>
      <c r="I436">
        <v>1</v>
      </c>
      <c r="J436">
        <v>11</v>
      </c>
      <c r="K436">
        <v>0</v>
      </c>
      <c r="L436">
        <v>9</v>
      </c>
      <c r="M436">
        <v>4</v>
      </c>
      <c r="N436">
        <v>8</v>
      </c>
      <c r="O436">
        <v>5</v>
      </c>
      <c r="P436">
        <v>9</v>
      </c>
      <c r="Q436">
        <v>1</v>
      </c>
      <c r="R436">
        <v>2</v>
      </c>
      <c r="S436">
        <v>57</v>
      </c>
      <c r="T436" t="s">
        <v>1102</v>
      </c>
      <c r="U436" t="s">
        <v>180</v>
      </c>
      <c r="V436" t="s">
        <v>1256</v>
      </c>
      <c r="W436" t="s">
        <v>1185</v>
      </c>
    </row>
    <row r="437" spans="1:23" x14ac:dyDescent="0.25">
      <c r="A437" t="s">
        <v>1258</v>
      </c>
      <c r="B437" t="s">
        <v>1258</v>
      </c>
      <c r="C437">
        <v>0</v>
      </c>
      <c r="D437" s="3">
        <v>0</v>
      </c>
      <c r="E437">
        <v>0</v>
      </c>
      <c r="G437">
        <v>0</v>
      </c>
      <c r="H437">
        <v>0</v>
      </c>
      <c r="I437">
        <v>0</v>
      </c>
      <c r="J437">
        <v>5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7</v>
      </c>
      <c r="R437">
        <v>0</v>
      </c>
      <c r="S437">
        <v>12</v>
      </c>
      <c r="T437" t="s">
        <v>1102</v>
      </c>
      <c r="U437" t="s">
        <v>180</v>
      </c>
      <c r="V437" t="s">
        <v>1256</v>
      </c>
      <c r="W437" t="s">
        <v>1187</v>
      </c>
    </row>
    <row r="438" spans="1:23" x14ac:dyDescent="0.25">
      <c r="A438" t="s">
        <v>759</v>
      </c>
      <c r="B438" t="s">
        <v>759</v>
      </c>
      <c r="C438">
        <v>0</v>
      </c>
      <c r="D438" s="3">
        <v>0</v>
      </c>
      <c r="E438">
        <v>5</v>
      </c>
      <c r="F438">
        <v>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3</v>
      </c>
      <c r="P438">
        <v>4</v>
      </c>
      <c r="Q438">
        <v>0</v>
      </c>
      <c r="R438">
        <v>0</v>
      </c>
      <c r="S438">
        <v>7</v>
      </c>
      <c r="T438" t="s">
        <v>1102</v>
      </c>
      <c r="U438" t="s">
        <v>180</v>
      </c>
      <c r="V438" t="s">
        <v>1262</v>
      </c>
      <c r="W438" t="s">
        <v>1185</v>
      </c>
    </row>
    <row r="439" spans="1:23" x14ac:dyDescent="0.25">
      <c r="A439" t="s">
        <v>1264</v>
      </c>
      <c r="B439" t="s">
        <v>1264</v>
      </c>
      <c r="C439">
        <v>2.5</v>
      </c>
      <c r="D439" s="3">
        <v>2.5</v>
      </c>
      <c r="E439">
        <v>0</v>
      </c>
      <c r="G439">
        <v>3</v>
      </c>
      <c r="H439">
        <v>17</v>
      </c>
      <c r="I439">
        <v>4</v>
      </c>
      <c r="J439">
        <v>2</v>
      </c>
      <c r="K439">
        <v>1</v>
      </c>
      <c r="L439">
        <v>0</v>
      </c>
      <c r="M439">
        <v>0</v>
      </c>
      <c r="N439">
        <v>1</v>
      </c>
      <c r="O439">
        <v>1</v>
      </c>
      <c r="P439">
        <v>11</v>
      </c>
      <c r="Q439">
        <v>12</v>
      </c>
      <c r="R439">
        <v>8</v>
      </c>
      <c r="S439">
        <v>60</v>
      </c>
      <c r="T439" t="s">
        <v>1102</v>
      </c>
      <c r="U439" t="s">
        <v>180</v>
      </c>
      <c r="V439" t="s">
        <v>1262</v>
      </c>
      <c r="W439" t="s">
        <v>1189</v>
      </c>
    </row>
    <row r="440" spans="1:23" x14ac:dyDescent="0.25">
      <c r="A440" t="s">
        <v>1266</v>
      </c>
      <c r="B440" t="s">
        <v>1266</v>
      </c>
      <c r="C440">
        <v>0</v>
      </c>
      <c r="D440" s="3">
        <v>0</v>
      </c>
      <c r="E440">
        <v>0</v>
      </c>
      <c r="G440">
        <v>0</v>
      </c>
      <c r="H440">
        <v>0</v>
      </c>
      <c r="I440">
        <v>-1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2</v>
      </c>
      <c r="P440">
        <v>0</v>
      </c>
      <c r="Q440">
        <v>0</v>
      </c>
      <c r="R440">
        <v>0</v>
      </c>
      <c r="S440">
        <v>1</v>
      </c>
      <c r="T440" t="s">
        <v>1102</v>
      </c>
      <c r="U440" t="s">
        <v>180</v>
      </c>
      <c r="V440" t="s">
        <v>1266</v>
      </c>
      <c r="W440" t="s">
        <v>1267</v>
      </c>
    </row>
    <row r="441" spans="1:23" x14ac:dyDescent="0.25">
      <c r="A441" t="s">
        <v>1280</v>
      </c>
      <c r="B441" t="s">
        <v>1280</v>
      </c>
      <c r="C441">
        <v>2</v>
      </c>
      <c r="D441" s="3">
        <v>2</v>
      </c>
      <c r="E441">
        <v>16</v>
      </c>
      <c r="G441">
        <v>2</v>
      </c>
      <c r="H441">
        <v>0</v>
      </c>
      <c r="I441">
        <v>4</v>
      </c>
      <c r="J441">
        <v>16</v>
      </c>
      <c r="K441">
        <v>0</v>
      </c>
      <c r="L441">
        <v>0</v>
      </c>
      <c r="M441">
        <v>14</v>
      </c>
      <c r="N441">
        <v>1</v>
      </c>
      <c r="O441">
        <v>5</v>
      </c>
      <c r="P441">
        <v>0</v>
      </c>
      <c r="Q441">
        <v>7</v>
      </c>
      <c r="R441">
        <v>2</v>
      </c>
      <c r="S441">
        <v>51</v>
      </c>
      <c r="T441" t="s">
        <v>1102</v>
      </c>
      <c r="U441" t="s">
        <v>180</v>
      </c>
      <c r="V441" t="s">
        <v>1279</v>
      </c>
      <c r="W441" t="s">
        <v>1183</v>
      </c>
    </row>
    <row r="442" spans="1:23" x14ac:dyDescent="0.25">
      <c r="A442" t="s">
        <v>762</v>
      </c>
      <c r="B442" t="s">
        <v>762</v>
      </c>
      <c r="C442">
        <v>0</v>
      </c>
      <c r="D442" s="3">
        <v>0</v>
      </c>
      <c r="E442">
        <v>27</v>
      </c>
      <c r="F442">
        <v>5</v>
      </c>
      <c r="G442">
        <v>0</v>
      </c>
      <c r="H442">
        <v>0</v>
      </c>
      <c r="I442">
        <v>0</v>
      </c>
      <c r="J442">
        <v>0</v>
      </c>
      <c r="K442">
        <v>3</v>
      </c>
      <c r="L442">
        <v>12</v>
      </c>
      <c r="M442">
        <v>5</v>
      </c>
      <c r="N442">
        <v>0</v>
      </c>
      <c r="O442">
        <v>10</v>
      </c>
      <c r="P442">
        <v>0</v>
      </c>
      <c r="Q442">
        <v>0</v>
      </c>
      <c r="R442">
        <v>0</v>
      </c>
      <c r="S442">
        <v>30</v>
      </c>
      <c r="T442" t="s">
        <v>1102</v>
      </c>
      <c r="U442" t="s">
        <v>180</v>
      </c>
      <c r="V442" t="s">
        <v>1279</v>
      </c>
      <c r="W442" t="s">
        <v>1185</v>
      </c>
    </row>
    <row r="443" spans="1:23" x14ac:dyDescent="0.25">
      <c r="A443" t="s">
        <v>761</v>
      </c>
      <c r="B443" t="s">
        <v>761</v>
      </c>
      <c r="C443">
        <v>0</v>
      </c>
      <c r="D443" s="3">
        <v>0</v>
      </c>
      <c r="E443">
        <v>5</v>
      </c>
      <c r="F443">
        <v>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6</v>
      </c>
      <c r="Q443">
        <v>3</v>
      </c>
      <c r="R443">
        <v>0</v>
      </c>
      <c r="S443">
        <v>10</v>
      </c>
      <c r="T443" t="s">
        <v>1102</v>
      </c>
      <c r="U443" t="s">
        <v>180</v>
      </c>
      <c r="V443" t="s">
        <v>1285</v>
      </c>
      <c r="W443" t="s">
        <v>1185</v>
      </c>
    </row>
    <row r="444" spans="1:23" x14ac:dyDescent="0.25">
      <c r="A444" t="s">
        <v>1287</v>
      </c>
      <c r="B444" t="s">
        <v>1287</v>
      </c>
      <c r="C444">
        <v>2</v>
      </c>
      <c r="D444" s="3">
        <v>2</v>
      </c>
      <c r="E444">
        <v>4</v>
      </c>
      <c r="G444">
        <v>0</v>
      </c>
      <c r="H444">
        <v>11</v>
      </c>
      <c r="I444">
        <v>1</v>
      </c>
      <c r="J444">
        <v>2</v>
      </c>
      <c r="K444">
        <v>1</v>
      </c>
      <c r="L444">
        <v>1</v>
      </c>
      <c r="M444">
        <v>2</v>
      </c>
      <c r="N444">
        <v>0</v>
      </c>
      <c r="O444">
        <v>5</v>
      </c>
      <c r="P444">
        <v>5</v>
      </c>
      <c r="Q444">
        <v>11</v>
      </c>
      <c r="R444">
        <v>2</v>
      </c>
      <c r="S444">
        <v>41</v>
      </c>
      <c r="T444" t="s">
        <v>1102</v>
      </c>
      <c r="U444" t="s">
        <v>180</v>
      </c>
      <c r="V444" t="s">
        <v>1285</v>
      </c>
      <c r="W444" t="s">
        <v>1189</v>
      </c>
    </row>
    <row r="445" spans="1:23" x14ac:dyDescent="0.25">
      <c r="A445" t="s">
        <v>1290</v>
      </c>
      <c r="B445" t="s">
        <v>1290</v>
      </c>
      <c r="C445">
        <v>2</v>
      </c>
      <c r="D445" s="3">
        <v>2</v>
      </c>
      <c r="E445">
        <v>7</v>
      </c>
      <c r="G445">
        <v>0</v>
      </c>
      <c r="H445">
        <v>1</v>
      </c>
      <c r="I445">
        <v>6</v>
      </c>
      <c r="J445">
        <v>12</v>
      </c>
      <c r="K445">
        <v>4</v>
      </c>
      <c r="L445">
        <v>0</v>
      </c>
      <c r="M445">
        <v>0</v>
      </c>
      <c r="N445">
        <v>0</v>
      </c>
      <c r="O445">
        <v>0</v>
      </c>
      <c r="P445">
        <v>3</v>
      </c>
      <c r="Q445">
        <v>9</v>
      </c>
      <c r="R445">
        <v>6</v>
      </c>
      <c r="S445">
        <v>41</v>
      </c>
      <c r="T445" t="s">
        <v>1102</v>
      </c>
      <c r="U445" t="s">
        <v>180</v>
      </c>
      <c r="V445" t="s">
        <v>1289</v>
      </c>
      <c r="W445" t="s">
        <v>1183</v>
      </c>
    </row>
    <row r="446" spans="1:23" x14ac:dyDescent="0.25">
      <c r="A446" t="s">
        <v>763</v>
      </c>
      <c r="B446" t="s">
        <v>763</v>
      </c>
      <c r="C446">
        <v>0</v>
      </c>
      <c r="D446" s="3">
        <v>0</v>
      </c>
      <c r="E446">
        <v>10</v>
      </c>
      <c r="F446">
        <v>10</v>
      </c>
      <c r="G446">
        <v>0</v>
      </c>
      <c r="H446">
        <v>5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2</v>
      </c>
      <c r="O446">
        <v>0</v>
      </c>
      <c r="P446">
        <v>10</v>
      </c>
      <c r="Q446">
        <v>0</v>
      </c>
      <c r="R446">
        <v>0</v>
      </c>
      <c r="S446">
        <v>17</v>
      </c>
      <c r="T446" t="s">
        <v>1102</v>
      </c>
      <c r="U446" t="s">
        <v>180</v>
      </c>
      <c r="V446" t="s">
        <v>1289</v>
      </c>
      <c r="W446" t="s">
        <v>1185</v>
      </c>
    </row>
    <row r="447" spans="1:23" x14ac:dyDescent="0.25">
      <c r="A447" t="s">
        <v>1291</v>
      </c>
      <c r="B447" t="s">
        <v>1291</v>
      </c>
      <c r="C447">
        <v>0</v>
      </c>
      <c r="D447" s="3">
        <v>0</v>
      </c>
      <c r="E447">
        <v>5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4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5</v>
      </c>
      <c r="T447" t="s">
        <v>1102</v>
      </c>
      <c r="U447" t="s">
        <v>180</v>
      </c>
      <c r="V447" t="s">
        <v>1289</v>
      </c>
      <c r="W447" t="s">
        <v>1187</v>
      </c>
    </row>
    <row r="448" spans="1:23" x14ac:dyDescent="0.25">
      <c r="A448" t="s">
        <v>1296</v>
      </c>
      <c r="B448" t="s">
        <v>1296</v>
      </c>
      <c r="C448">
        <v>0</v>
      </c>
      <c r="D448" s="3">
        <v>0</v>
      </c>
      <c r="E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1</v>
      </c>
      <c r="M448">
        <v>0</v>
      </c>
      <c r="N448">
        <v>3</v>
      </c>
      <c r="O448">
        <v>0</v>
      </c>
      <c r="P448">
        <v>5</v>
      </c>
      <c r="Q448">
        <v>8</v>
      </c>
      <c r="R448">
        <v>0</v>
      </c>
      <c r="S448">
        <v>18</v>
      </c>
      <c r="T448" t="s">
        <v>1102</v>
      </c>
      <c r="U448" t="s">
        <v>180</v>
      </c>
      <c r="V448" t="s">
        <v>1295</v>
      </c>
      <c r="W448" t="s">
        <v>1185</v>
      </c>
    </row>
    <row r="449" spans="1:23" x14ac:dyDescent="0.25">
      <c r="A449" t="s">
        <v>1297</v>
      </c>
      <c r="B449" t="s">
        <v>1297</v>
      </c>
      <c r="C449">
        <v>0</v>
      </c>
      <c r="D449" s="3">
        <v>0</v>
      </c>
      <c r="E449">
        <v>30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 t="s">
        <v>1102</v>
      </c>
      <c r="U449" t="s">
        <v>180</v>
      </c>
      <c r="V449" t="s">
        <v>1295</v>
      </c>
      <c r="W449" t="s">
        <v>1187</v>
      </c>
    </row>
    <row r="450" spans="1:23" x14ac:dyDescent="0.25">
      <c r="A450" t="s">
        <v>1274</v>
      </c>
      <c r="B450" t="s">
        <v>1274</v>
      </c>
      <c r="C450">
        <v>0</v>
      </c>
      <c r="D450" s="3">
        <v>0</v>
      </c>
      <c r="E450">
        <v>12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 t="s">
        <v>1102</v>
      </c>
      <c r="U450" t="s">
        <v>180</v>
      </c>
      <c r="V450" t="s">
        <v>1300</v>
      </c>
      <c r="W450" t="s">
        <v>1267</v>
      </c>
    </row>
    <row r="451" spans="1:23" x14ac:dyDescent="0.25">
      <c r="A451" t="s">
        <v>1301</v>
      </c>
      <c r="B451" t="s">
        <v>1301</v>
      </c>
      <c r="C451">
        <v>0.5</v>
      </c>
      <c r="D451" s="3">
        <v>0.5</v>
      </c>
      <c r="E451">
        <v>35</v>
      </c>
      <c r="G451">
        <v>0</v>
      </c>
      <c r="H451">
        <v>2</v>
      </c>
      <c r="I451">
        <v>0</v>
      </c>
      <c r="J451">
        <v>6</v>
      </c>
      <c r="K451">
        <v>2</v>
      </c>
      <c r="L451">
        <v>0</v>
      </c>
      <c r="M451">
        <v>0</v>
      </c>
      <c r="N451">
        <v>2</v>
      </c>
      <c r="O451">
        <v>9</v>
      </c>
      <c r="P451">
        <v>0</v>
      </c>
      <c r="Q451">
        <v>0</v>
      </c>
      <c r="R451">
        <v>1</v>
      </c>
      <c r="S451">
        <v>22</v>
      </c>
      <c r="T451" t="s">
        <v>1102</v>
      </c>
      <c r="U451" t="s">
        <v>180</v>
      </c>
      <c r="V451" t="s">
        <v>1301</v>
      </c>
      <c r="W451" t="s">
        <v>1104</v>
      </c>
    </row>
    <row r="452" spans="1:23" x14ac:dyDescent="0.25">
      <c r="A452" t="s">
        <v>1306</v>
      </c>
      <c r="B452" t="s">
        <v>1306</v>
      </c>
      <c r="C452">
        <v>1.5</v>
      </c>
      <c r="D452" s="3">
        <v>1.5</v>
      </c>
      <c r="E452">
        <v>13</v>
      </c>
      <c r="G452">
        <v>0</v>
      </c>
      <c r="H452">
        <v>2</v>
      </c>
      <c r="I452">
        <v>0</v>
      </c>
      <c r="J452">
        <v>4</v>
      </c>
      <c r="K452">
        <v>0</v>
      </c>
      <c r="L452">
        <v>0</v>
      </c>
      <c r="M452">
        <v>2</v>
      </c>
      <c r="N452">
        <v>2</v>
      </c>
      <c r="O452">
        <v>8</v>
      </c>
      <c r="P452">
        <v>3</v>
      </c>
      <c r="Q452">
        <v>0</v>
      </c>
      <c r="R452">
        <v>1</v>
      </c>
      <c r="S452">
        <v>22</v>
      </c>
      <c r="T452" t="s">
        <v>1102</v>
      </c>
      <c r="U452" t="s">
        <v>180</v>
      </c>
      <c r="V452" t="s">
        <v>1306</v>
      </c>
      <c r="W452" t="s">
        <v>1195</v>
      </c>
    </row>
    <row r="453" spans="1:23" x14ac:dyDescent="0.25">
      <c r="A453" t="s">
        <v>665</v>
      </c>
      <c r="B453" t="s">
        <v>665</v>
      </c>
      <c r="C453">
        <v>0</v>
      </c>
      <c r="D453" s="3">
        <v>0</v>
      </c>
      <c r="E453">
        <v>3</v>
      </c>
      <c r="G453">
        <v>8</v>
      </c>
      <c r="H453">
        <v>0</v>
      </c>
      <c r="I453">
        <v>0</v>
      </c>
      <c r="J453">
        <v>2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4</v>
      </c>
      <c r="S453">
        <v>16</v>
      </c>
      <c r="T453" t="s">
        <v>1102</v>
      </c>
      <c r="U453" t="s">
        <v>180</v>
      </c>
      <c r="V453" t="s">
        <v>1306</v>
      </c>
      <c r="W453" t="s">
        <v>1185</v>
      </c>
    </row>
    <row r="454" spans="1:23" x14ac:dyDescent="0.25">
      <c r="A454" t="s">
        <v>716</v>
      </c>
      <c r="B454" t="s">
        <v>716</v>
      </c>
      <c r="C454">
        <v>0</v>
      </c>
      <c r="D454" s="3">
        <v>0</v>
      </c>
      <c r="E454">
        <v>54</v>
      </c>
      <c r="G454">
        <v>0</v>
      </c>
      <c r="H454">
        <v>0</v>
      </c>
      <c r="I454">
        <v>3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1</v>
      </c>
      <c r="P454">
        <v>2</v>
      </c>
      <c r="Q454">
        <v>0</v>
      </c>
      <c r="R454">
        <v>0</v>
      </c>
      <c r="S454">
        <v>7</v>
      </c>
      <c r="T454" t="s">
        <v>1102</v>
      </c>
      <c r="U454" t="s">
        <v>180</v>
      </c>
      <c r="V454" t="s">
        <v>1311</v>
      </c>
      <c r="W454" t="s">
        <v>1185</v>
      </c>
    </row>
    <row r="455" spans="1:23" x14ac:dyDescent="0.25">
      <c r="A455" t="s">
        <v>1315</v>
      </c>
      <c r="B455" t="s">
        <v>1315</v>
      </c>
      <c r="C455">
        <v>0</v>
      </c>
      <c r="D455" s="3">
        <v>0</v>
      </c>
      <c r="E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6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7</v>
      </c>
      <c r="T455" t="s">
        <v>1102</v>
      </c>
      <c r="U455" t="s">
        <v>180</v>
      </c>
      <c r="V455" t="s">
        <v>1315</v>
      </c>
      <c r="W455" t="s">
        <v>1131</v>
      </c>
    </row>
    <row r="456" spans="1:23" x14ac:dyDescent="0.25">
      <c r="A456" t="s">
        <v>717</v>
      </c>
      <c r="B456" t="s">
        <v>717</v>
      </c>
      <c r="C456">
        <v>0</v>
      </c>
      <c r="D456" s="3">
        <v>0</v>
      </c>
      <c r="E456">
        <v>15</v>
      </c>
      <c r="F456">
        <v>10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5</v>
      </c>
      <c r="P456">
        <v>1</v>
      </c>
      <c r="Q456">
        <v>0</v>
      </c>
      <c r="R456">
        <v>4</v>
      </c>
      <c r="S456">
        <v>10</v>
      </c>
      <c r="T456" t="s">
        <v>1102</v>
      </c>
      <c r="U456" t="s">
        <v>180</v>
      </c>
      <c r="V456" t="s">
        <v>1315</v>
      </c>
      <c r="W456" t="s">
        <v>1185</v>
      </c>
    </row>
    <row r="457" spans="1:23" x14ac:dyDescent="0.25">
      <c r="A457" t="s">
        <v>1320</v>
      </c>
      <c r="B457" t="s">
        <v>1320</v>
      </c>
      <c r="C457">
        <v>1</v>
      </c>
      <c r="D457" s="3">
        <v>1</v>
      </c>
      <c r="E457">
        <v>59</v>
      </c>
      <c r="G457">
        <v>1</v>
      </c>
      <c r="H457">
        <v>0</v>
      </c>
      <c r="I457">
        <v>1</v>
      </c>
      <c r="J457">
        <v>7</v>
      </c>
      <c r="K457">
        <v>0</v>
      </c>
      <c r="L457">
        <v>1</v>
      </c>
      <c r="M457">
        <v>0</v>
      </c>
      <c r="N457">
        <v>0</v>
      </c>
      <c r="O457">
        <v>1</v>
      </c>
      <c r="P457">
        <v>4</v>
      </c>
      <c r="Q457">
        <v>3</v>
      </c>
      <c r="R457">
        <v>9</v>
      </c>
      <c r="S457">
        <v>27</v>
      </c>
      <c r="T457" t="s">
        <v>1102</v>
      </c>
      <c r="U457" t="s">
        <v>180</v>
      </c>
      <c r="V457" t="s">
        <v>1320</v>
      </c>
      <c r="W457" t="s">
        <v>1104</v>
      </c>
    </row>
    <row r="458" spans="1:23" x14ac:dyDescent="0.25">
      <c r="A458" t="s">
        <v>1323</v>
      </c>
      <c r="B458" t="s">
        <v>1323</v>
      </c>
      <c r="C458">
        <v>0</v>
      </c>
      <c r="D458" s="3">
        <v>0</v>
      </c>
      <c r="E458">
        <v>10</v>
      </c>
      <c r="G458">
        <v>0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3</v>
      </c>
      <c r="R458">
        <v>0</v>
      </c>
      <c r="S458">
        <v>6</v>
      </c>
      <c r="T458" t="s">
        <v>1102</v>
      </c>
      <c r="U458" t="s">
        <v>180</v>
      </c>
      <c r="V458" t="s">
        <v>1323</v>
      </c>
      <c r="W458" t="s">
        <v>1106</v>
      </c>
    </row>
    <row r="459" spans="1:23" x14ac:dyDescent="0.25">
      <c r="A459" t="s">
        <v>1331</v>
      </c>
      <c r="B459" t="s">
        <v>1331</v>
      </c>
      <c r="C459">
        <v>0</v>
      </c>
      <c r="D459" s="3">
        <v>0</v>
      </c>
      <c r="E459">
        <v>33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4</v>
      </c>
      <c r="Q459">
        <v>0</v>
      </c>
      <c r="R459">
        <v>0</v>
      </c>
      <c r="S459">
        <v>4</v>
      </c>
      <c r="T459" t="s">
        <v>1102</v>
      </c>
      <c r="U459" t="s">
        <v>180</v>
      </c>
      <c r="V459" t="s">
        <v>1329</v>
      </c>
      <c r="W459" t="s">
        <v>1185</v>
      </c>
    </row>
    <row r="460" spans="1:23" x14ac:dyDescent="0.25">
      <c r="A460" t="s">
        <v>1796</v>
      </c>
      <c r="B460" t="s">
        <v>1335</v>
      </c>
      <c r="C460">
        <v>0</v>
      </c>
      <c r="D460" s="3">
        <v>0</v>
      </c>
      <c r="E460">
        <v>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1</v>
      </c>
      <c r="Q460">
        <v>3</v>
      </c>
      <c r="R460">
        <v>0</v>
      </c>
      <c r="S460">
        <v>5</v>
      </c>
      <c r="T460" t="s">
        <v>1102</v>
      </c>
      <c r="U460" t="s">
        <v>180</v>
      </c>
      <c r="V460" t="s">
        <v>1335</v>
      </c>
      <c r="W460" t="s">
        <v>1129</v>
      </c>
    </row>
    <row r="461" spans="1:23" x14ac:dyDescent="0.25">
      <c r="A461" t="s">
        <v>1342</v>
      </c>
      <c r="B461" t="s">
        <v>1342</v>
      </c>
      <c r="C461">
        <v>0</v>
      </c>
      <c r="D461" s="3">
        <v>0</v>
      </c>
      <c r="E461">
        <v>58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4</v>
      </c>
      <c r="Q461">
        <v>0</v>
      </c>
      <c r="R461">
        <v>0</v>
      </c>
      <c r="S461">
        <v>4</v>
      </c>
      <c r="T461" t="s">
        <v>1102</v>
      </c>
      <c r="U461" t="s">
        <v>180</v>
      </c>
      <c r="V461" t="s">
        <v>1341</v>
      </c>
      <c r="W461" t="s">
        <v>1185</v>
      </c>
    </row>
    <row r="462" spans="1:23" x14ac:dyDescent="0.25">
      <c r="A462" t="s">
        <v>1348</v>
      </c>
      <c r="B462" t="s">
        <v>1348</v>
      </c>
      <c r="C462">
        <v>0</v>
      </c>
      <c r="D462" s="3">
        <v>0</v>
      </c>
      <c r="E462">
        <v>3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 t="s">
        <v>1102</v>
      </c>
      <c r="U462" t="s">
        <v>180</v>
      </c>
      <c r="V462" t="s">
        <v>1347</v>
      </c>
      <c r="W462" t="s">
        <v>1185</v>
      </c>
    </row>
    <row r="463" spans="1:23" x14ac:dyDescent="0.25">
      <c r="A463" t="s">
        <v>1349</v>
      </c>
      <c r="B463" t="s">
        <v>1349</v>
      </c>
      <c r="C463">
        <v>0</v>
      </c>
      <c r="D463" s="3">
        <v>0</v>
      </c>
      <c r="E463">
        <v>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 t="s">
        <v>1102</v>
      </c>
      <c r="U463" t="s">
        <v>180</v>
      </c>
      <c r="V463" t="s">
        <v>1347</v>
      </c>
      <c r="W463" t="s">
        <v>1187</v>
      </c>
    </row>
    <row r="464" spans="1:23" x14ac:dyDescent="0.25">
      <c r="A464" t="s">
        <v>1352</v>
      </c>
      <c r="B464" t="s">
        <v>1352</v>
      </c>
      <c r="C464">
        <v>0</v>
      </c>
      <c r="D464" s="3">
        <v>0</v>
      </c>
      <c r="E464">
        <v>5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 t="s">
        <v>1102</v>
      </c>
      <c r="U464" t="s">
        <v>180</v>
      </c>
      <c r="V464" t="s">
        <v>1351</v>
      </c>
      <c r="W464" t="s">
        <v>1185</v>
      </c>
    </row>
    <row r="465" spans="1:23" x14ac:dyDescent="0.25">
      <c r="A465" t="s">
        <v>1353</v>
      </c>
      <c r="B465" t="s">
        <v>1353</v>
      </c>
      <c r="C465">
        <v>0</v>
      </c>
      <c r="D465" s="3">
        <v>0</v>
      </c>
      <c r="E465">
        <v>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1102</v>
      </c>
      <c r="U465" t="s">
        <v>180</v>
      </c>
      <c r="V465" t="s">
        <v>1351</v>
      </c>
      <c r="W465" t="s">
        <v>1187</v>
      </c>
    </row>
    <row r="466" spans="1:23" x14ac:dyDescent="0.25">
      <c r="A466" t="s">
        <v>1356</v>
      </c>
      <c r="B466" t="s">
        <v>1356</v>
      </c>
      <c r="C466">
        <v>0</v>
      </c>
      <c r="D466" s="3">
        <v>0</v>
      </c>
      <c r="E466">
        <v>2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 t="s">
        <v>1102</v>
      </c>
      <c r="U466" t="s">
        <v>180</v>
      </c>
      <c r="V466" t="s">
        <v>1355</v>
      </c>
      <c r="W466" t="s">
        <v>1185</v>
      </c>
    </row>
    <row r="467" spans="1:23" x14ac:dyDescent="0.25">
      <c r="A467" t="s">
        <v>1357</v>
      </c>
      <c r="B467" t="s">
        <v>1357</v>
      </c>
      <c r="C467">
        <v>0</v>
      </c>
      <c r="D467" s="3">
        <v>0</v>
      </c>
      <c r="E467">
        <v>2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 t="s">
        <v>1102</v>
      </c>
      <c r="U467" t="s">
        <v>180</v>
      </c>
      <c r="V467" t="s">
        <v>1355</v>
      </c>
      <c r="W467" t="s">
        <v>1187</v>
      </c>
    </row>
    <row r="468" spans="1:23" x14ac:dyDescent="0.25">
      <c r="A468" t="s">
        <v>1358</v>
      </c>
      <c r="B468" t="s">
        <v>1358</v>
      </c>
      <c r="C468">
        <v>0</v>
      </c>
      <c r="D468" s="3">
        <v>0</v>
      </c>
      <c r="E468">
        <v>5</v>
      </c>
      <c r="G468">
        <v>0</v>
      </c>
      <c r="H468">
        <v>0</v>
      </c>
      <c r="I468">
        <v>3</v>
      </c>
      <c r="J468">
        <v>4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3</v>
      </c>
      <c r="R468">
        <v>0</v>
      </c>
      <c r="S468">
        <v>10</v>
      </c>
      <c r="T468" t="s">
        <v>1102</v>
      </c>
      <c r="U468" t="s">
        <v>180</v>
      </c>
      <c r="V468" t="s">
        <v>1359</v>
      </c>
      <c r="W468" t="s">
        <v>1183</v>
      </c>
    </row>
    <row r="469" spans="1:23" x14ac:dyDescent="0.25">
      <c r="A469" t="s">
        <v>1361</v>
      </c>
      <c r="B469" t="s">
        <v>1361</v>
      </c>
      <c r="C469">
        <v>0</v>
      </c>
      <c r="D469" s="3">
        <v>0</v>
      </c>
      <c r="E469">
        <v>11</v>
      </c>
      <c r="G469">
        <v>0</v>
      </c>
      <c r="H469">
        <v>0</v>
      </c>
      <c r="I469">
        <v>0</v>
      </c>
      <c r="J469">
        <v>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2</v>
      </c>
      <c r="T469" t="s">
        <v>1102</v>
      </c>
      <c r="U469" t="s">
        <v>180</v>
      </c>
      <c r="V469" t="s">
        <v>1359</v>
      </c>
      <c r="W469" t="s">
        <v>1187</v>
      </c>
    </row>
    <row r="470" spans="1:23" x14ac:dyDescent="0.25">
      <c r="A470" t="s">
        <v>1363</v>
      </c>
      <c r="B470" t="s">
        <v>1363</v>
      </c>
      <c r="C470">
        <v>0</v>
      </c>
      <c r="D470" s="3">
        <v>0</v>
      </c>
      <c r="E470">
        <v>20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1102</v>
      </c>
      <c r="U470" t="s">
        <v>180</v>
      </c>
      <c r="V470" t="s">
        <v>1359</v>
      </c>
      <c r="W470" t="s">
        <v>1191</v>
      </c>
    </row>
    <row r="471" spans="1:23" x14ac:dyDescent="0.25">
      <c r="A471" t="s">
        <v>1364</v>
      </c>
      <c r="B471" t="s">
        <v>1364</v>
      </c>
      <c r="C471">
        <v>0</v>
      </c>
      <c r="D471" s="3">
        <v>0</v>
      </c>
      <c r="E471">
        <v>6</v>
      </c>
      <c r="G471">
        <v>0</v>
      </c>
      <c r="H471">
        <v>0</v>
      </c>
      <c r="I471">
        <v>0</v>
      </c>
      <c r="J471">
        <v>4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3</v>
      </c>
      <c r="R471">
        <v>0</v>
      </c>
      <c r="S471">
        <v>9</v>
      </c>
      <c r="T471" t="s">
        <v>1102</v>
      </c>
      <c r="U471" t="s">
        <v>180</v>
      </c>
      <c r="V471" t="s">
        <v>1365</v>
      </c>
      <c r="W471" t="s">
        <v>1183</v>
      </c>
    </row>
    <row r="472" spans="1:23" x14ac:dyDescent="0.25">
      <c r="A472" t="s">
        <v>1367</v>
      </c>
      <c r="B472" t="s">
        <v>1367</v>
      </c>
      <c r="C472">
        <v>0</v>
      </c>
      <c r="D472" s="3">
        <v>0</v>
      </c>
      <c r="E472">
        <v>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t="s">
        <v>1102</v>
      </c>
      <c r="U472" t="s">
        <v>180</v>
      </c>
      <c r="V472" t="s">
        <v>1365</v>
      </c>
      <c r="W472" t="s">
        <v>1187</v>
      </c>
    </row>
    <row r="473" spans="1:23" x14ac:dyDescent="0.25">
      <c r="A473" t="s">
        <v>1369</v>
      </c>
      <c r="B473" t="s">
        <v>1369</v>
      </c>
      <c r="C473">
        <v>0</v>
      </c>
      <c r="D473" s="3">
        <v>0</v>
      </c>
      <c r="E473">
        <v>6</v>
      </c>
      <c r="G473">
        <v>0</v>
      </c>
      <c r="H473">
        <v>0</v>
      </c>
      <c r="I473">
        <v>0</v>
      </c>
      <c r="J473">
        <v>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2</v>
      </c>
      <c r="T473" t="s">
        <v>1102</v>
      </c>
      <c r="U473" t="s">
        <v>180</v>
      </c>
      <c r="V473" t="s">
        <v>1365</v>
      </c>
      <c r="W473" t="s">
        <v>1191</v>
      </c>
    </row>
    <row r="474" spans="1:23" x14ac:dyDescent="0.25">
      <c r="A474" t="s">
        <v>1370</v>
      </c>
      <c r="B474" t="s">
        <v>1370</v>
      </c>
      <c r="C474">
        <v>0</v>
      </c>
      <c r="D474" s="3">
        <v>0</v>
      </c>
      <c r="E474">
        <v>4</v>
      </c>
      <c r="G474">
        <v>0</v>
      </c>
      <c r="H474">
        <v>0</v>
      </c>
      <c r="I474">
        <v>0</v>
      </c>
      <c r="J474">
        <v>4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3</v>
      </c>
      <c r="R474">
        <v>0</v>
      </c>
      <c r="S474">
        <v>7</v>
      </c>
      <c r="T474" t="s">
        <v>1102</v>
      </c>
      <c r="U474" t="s">
        <v>180</v>
      </c>
      <c r="V474" t="s">
        <v>1371</v>
      </c>
      <c r="W474" t="s">
        <v>1183</v>
      </c>
    </row>
    <row r="475" spans="1:23" x14ac:dyDescent="0.25">
      <c r="A475" t="s">
        <v>1372</v>
      </c>
      <c r="B475" t="s">
        <v>1372</v>
      </c>
      <c r="C475">
        <v>0</v>
      </c>
      <c r="D475" s="3">
        <v>0</v>
      </c>
      <c r="E475">
        <v>11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 t="s">
        <v>1102</v>
      </c>
      <c r="U475" t="s">
        <v>180</v>
      </c>
      <c r="V475" t="s">
        <v>1371</v>
      </c>
      <c r="W475" t="s">
        <v>1185</v>
      </c>
    </row>
    <row r="476" spans="1:23" x14ac:dyDescent="0.25">
      <c r="A476" t="s">
        <v>1375</v>
      </c>
      <c r="B476" t="s">
        <v>1375</v>
      </c>
      <c r="C476">
        <v>0</v>
      </c>
      <c r="D476" s="3">
        <v>0</v>
      </c>
      <c r="E476">
        <v>4</v>
      </c>
      <c r="G476">
        <v>0</v>
      </c>
      <c r="H476">
        <v>0</v>
      </c>
      <c r="I476">
        <v>0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</v>
      </c>
      <c r="Q476">
        <v>0</v>
      </c>
      <c r="R476">
        <v>0</v>
      </c>
      <c r="S476">
        <v>4</v>
      </c>
      <c r="T476" t="s">
        <v>1102</v>
      </c>
      <c r="U476" t="s">
        <v>180</v>
      </c>
      <c r="V476" t="s">
        <v>1371</v>
      </c>
      <c r="W476" t="s">
        <v>1191</v>
      </c>
    </row>
    <row r="477" spans="1:23" x14ac:dyDescent="0.25">
      <c r="A477" t="s">
        <v>1378</v>
      </c>
      <c r="B477" t="s">
        <v>1378</v>
      </c>
      <c r="C477">
        <v>0</v>
      </c>
      <c r="D477" s="3">
        <v>0</v>
      </c>
      <c r="E477">
        <v>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 t="s">
        <v>1102</v>
      </c>
      <c r="U477" t="s">
        <v>180</v>
      </c>
      <c r="V477" t="s">
        <v>1377</v>
      </c>
      <c r="W477" t="s">
        <v>1185</v>
      </c>
    </row>
    <row r="478" spans="1:23" x14ac:dyDescent="0.25">
      <c r="A478" t="s">
        <v>1380</v>
      </c>
      <c r="B478" t="s">
        <v>1380</v>
      </c>
      <c r="C478">
        <v>0</v>
      </c>
      <c r="D478" s="3">
        <v>0</v>
      </c>
      <c r="E478">
        <v>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2</v>
      </c>
      <c r="Q478">
        <v>0</v>
      </c>
      <c r="R478">
        <v>0</v>
      </c>
      <c r="S478">
        <v>2</v>
      </c>
      <c r="T478" t="s">
        <v>1102</v>
      </c>
      <c r="U478" t="s">
        <v>180</v>
      </c>
      <c r="V478" t="s">
        <v>1377</v>
      </c>
      <c r="W478" t="s">
        <v>1189</v>
      </c>
    </row>
    <row r="479" spans="1:23" x14ac:dyDescent="0.25">
      <c r="A479" t="s">
        <v>1382</v>
      </c>
      <c r="B479" t="s">
        <v>1382</v>
      </c>
      <c r="C479">
        <v>0</v>
      </c>
      <c r="D479" s="3">
        <v>0</v>
      </c>
      <c r="E479">
        <v>2</v>
      </c>
      <c r="G479">
        <v>0</v>
      </c>
      <c r="H479">
        <v>0</v>
      </c>
      <c r="I479">
        <v>2</v>
      </c>
      <c r="J479">
        <v>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2</v>
      </c>
      <c r="R479">
        <v>0</v>
      </c>
      <c r="S479">
        <v>7</v>
      </c>
      <c r="T479" t="s">
        <v>1102</v>
      </c>
      <c r="U479" t="s">
        <v>180</v>
      </c>
      <c r="V479" t="s">
        <v>1383</v>
      </c>
      <c r="W479" t="s">
        <v>1183</v>
      </c>
    </row>
    <row r="480" spans="1:23" x14ac:dyDescent="0.25">
      <c r="A480" t="s">
        <v>1384</v>
      </c>
      <c r="B480" t="s">
        <v>1384</v>
      </c>
      <c r="C480">
        <v>0</v>
      </c>
      <c r="D480" s="3">
        <v>0</v>
      </c>
      <c r="E480">
        <v>3</v>
      </c>
      <c r="G480">
        <v>0</v>
      </c>
      <c r="H480">
        <v>0</v>
      </c>
      <c r="I480">
        <v>0</v>
      </c>
      <c r="J480">
        <v>2</v>
      </c>
      <c r="K480">
        <v>0</v>
      </c>
      <c r="L480">
        <v>0</v>
      </c>
      <c r="M480">
        <v>2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5</v>
      </c>
      <c r="T480" t="s">
        <v>1102</v>
      </c>
      <c r="U480" t="s">
        <v>180</v>
      </c>
      <c r="V480" t="s">
        <v>1383</v>
      </c>
      <c r="W480" t="s">
        <v>1187</v>
      </c>
    </row>
    <row r="481" spans="1:23" x14ac:dyDescent="0.25">
      <c r="A481" t="s">
        <v>1386</v>
      </c>
      <c r="B481" t="s">
        <v>1386</v>
      </c>
      <c r="C481">
        <v>0</v>
      </c>
      <c r="D481" s="3">
        <v>0</v>
      </c>
      <c r="E481">
        <v>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2</v>
      </c>
      <c r="T481" t="s">
        <v>1102</v>
      </c>
      <c r="U481" t="s">
        <v>180</v>
      </c>
      <c r="V481" t="s">
        <v>1383</v>
      </c>
      <c r="W481" t="s">
        <v>1191</v>
      </c>
    </row>
    <row r="482" spans="1:23" x14ac:dyDescent="0.25">
      <c r="A482" t="s">
        <v>1387</v>
      </c>
      <c r="B482" t="s">
        <v>1387</v>
      </c>
      <c r="C482">
        <v>0</v>
      </c>
      <c r="D482" s="3">
        <v>0</v>
      </c>
      <c r="E482">
        <v>0</v>
      </c>
      <c r="G482">
        <v>1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3</v>
      </c>
      <c r="P482">
        <v>0</v>
      </c>
      <c r="Q482">
        <v>1</v>
      </c>
      <c r="R482">
        <v>0</v>
      </c>
      <c r="S482">
        <v>6</v>
      </c>
      <c r="T482" t="s">
        <v>1102</v>
      </c>
      <c r="U482" t="s">
        <v>180</v>
      </c>
      <c r="V482" t="s">
        <v>1388</v>
      </c>
      <c r="W482" t="s">
        <v>1183</v>
      </c>
    </row>
    <row r="483" spans="1:23" x14ac:dyDescent="0.25">
      <c r="A483" t="s">
        <v>1390</v>
      </c>
      <c r="B483" t="s">
        <v>1390</v>
      </c>
      <c r="C483">
        <v>0</v>
      </c>
      <c r="D483" s="3">
        <v>0</v>
      </c>
      <c r="E483">
        <v>0</v>
      </c>
      <c r="G483">
        <v>0</v>
      </c>
      <c r="H483">
        <v>0</v>
      </c>
      <c r="I483">
        <v>1</v>
      </c>
      <c r="J483">
        <v>2</v>
      </c>
      <c r="K483">
        <v>0</v>
      </c>
      <c r="L483">
        <v>0</v>
      </c>
      <c r="M483">
        <v>0</v>
      </c>
      <c r="N483">
        <v>0</v>
      </c>
      <c r="O483">
        <v>3</v>
      </c>
      <c r="P483">
        <v>0</v>
      </c>
      <c r="Q483">
        <v>0</v>
      </c>
      <c r="R483">
        <v>0</v>
      </c>
      <c r="S483">
        <v>6</v>
      </c>
      <c r="T483" t="s">
        <v>1102</v>
      </c>
      <c r="U483" t="s">
        <v>180</v>
      </c>
      <c r="V483" t="s">
        <v>1388</v>
      </c>
      <c r="W483" t="s">
        <v>1187</v>
      </c>
    </row>
    <row r="484" spans="1:23" x14ac:dyDescent="0.25">
      <c r="A484" t="s">
        <v>1392</v>
      </c>
      <c r="B484" t="s">
        <v>1392</v>
      </c>
      <c r="C484">
        <v>0</v>
      </c>
      <c r="D484" s="3">
        <v>0</v>
      </c>
      <c r="E484">
        <v>5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1</v>
      </c>
      <c r="M484">
        <v>3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5</v>
      </c>
      <c r="T484" t="s">
        <v>1102</v>
      </c>
      <c r="U484" t="s">
        <v>180</v>
      </c>
      <c r="V484" t="s">
        <v>1388</v>
      </c>
      <c r="W484" t="s">
        <v>1191</v>
      </c>
    </row>
    <row r="485" spans="1:23" x14ac:dyDescent="0.25">
      <c r="A485" t="s">
        <v>671</v>
      </c>
      <c r="B485" t="s">
        <v>671</v>
      </c>
      <c r="C485">
        <v>0</v>
      </c>
      <c r="D485" s="3">
        <v>0</v>
      </c>
      <c r="E485">
        <v>2</v>
      </c>
      <c r="G485">
        <v>0</v>
      </c>
      <c r="H485">
        <v>0</v>
      </c>
      <c r="I485">
        <v>3</v>
      </c>
      <c r="J485">
        <v>3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7</v>
      </c>
      <c r="T485" t="s">
        <v>1102</v>
      </c>
      <c r="U485" t="s">
        <v>180</v>
      </c>
      <c r="V485" t="s">
        <v>1393</v>
      </c>
      <c r="W485" t="s">
        <v>1183</v>
      </c>
    </row>
    <row r="486" spans="1:23" x14ac:dyDescent="0.25">
      <c r="A486" t="s">
        <v>1394</v>
      </c>
      <c r="B486" t="s">
        <v>1394</v>
      </c>
      <c r="C486">
        <v>0</v>
      </c>
      <c r="D486" s="3">
        <v>0</v>
      </c>
      <c r="E486">
        <v>2</v>
      </c>
      <c r="G486">
        <v>0</v>
      </c>
      <c r="H486">
        <v>0</v>
      </c>
      <c r="I486">
        <v>0</v>
      </c>
      <c r="J486">
        <v>2</v>
      </c>
      <c r="K486">
        <v>0</v>
      </c>
      <c r="L486">
        <v>0</v>
      </c>
      <c r="M486">
        <v>3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5</v>
      </c>
      <c r="T486" t="s">
        <v>1102</v>
      </c>
      <c r="U486" t="s">
        <v>180</v>
      </c>
      <c r="V486" t="s">
        <v>1393</v>
      </c>
      <c r="W486" t="s">
        <v>1187</v>
      </c>
    </row>
    <row r="487" spans="1:23" x14ac:dyDescent="0.25">
      <c r="A487" t="s">
        <v>1396</v>
      </c>
      <c r="B487" t="s">
        <v>1396</v>
      </c>
      <c r="C487">
        <v>0</v>
      </c>
      <c r="D487" s="3">
        <v>0</v>
      </c>
      <c r="E487">
        <v>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2</v>
      </c>
      <c r="N487">
        <v>0</v>
      </c>
      <c r="O487">
        <v>2</v>
      </c>
      <c r="P487">
        <v>0</v>
      </c>
      <c r="Q487">
        <v>0</v>
      </c>
      <c r="R487">
        <v>0</v>
      </c>
      <c r="S487">
        <v>4</v>
      </c>
      <c r="T487" t="s">
        <v>1102</v>
      </c>
      <c r="U487" t="s">
        <v>180</v>
      </c>
      <c r="V487" t="s">
        <v>1393</v>
      </c>
      <c r="W487" t="s">
        <v>1191</v>
      </c>
    </row>
    <row r="488" spans="1:23" x14ac:dyDescent="0.25">
      <c r="A488" t="s">
        <v>1397</v>
      </c>
      <c r="B488" t="s">
        <v>1397</v>
      </c>
      <c r="C488">
        <v>0</v>
      </c>
      <c r="D488" s="3">
        <v>0</v>
      </c>
      <c r="E488">
        <v>10</v>
      </c>
      <c r="G488">
        <v>0</v>
      </c>
      <c r="H488">
        <v>0</v>
      </c>
      <c r="I488">
        <v>0</v>
      </c>
      <c r="J488">
        <v>0</v>
      </c>
      <c r="K488">
        <v>2</v>
      </c>
      <c r="L488">
        <v>0</v>
      </c>
      <c r="M488">
        <v>0</v>
      </c>
      <c r="N488">
        <v>0</v>
      </c>
      <c r="O488">
        <v>2</v>
      </c>
      <c r="P488">
        <v>0</v>
      </c>
      <c r="Q488">
        <v>0</v>
      </c>
      <c r="R488">
        <v>2</v>
      </c>
      <c r="S488">
        <v>6</v>
      </c>
      <c r="T488" t="s">
        <v>1102</v>
      </c>
      <c r="U488" t="s">
        <v>180</v>
      </c>
      <c r="V488" t="s">
        <v>1398</v>
      </c>
      <c r="W488" t="s">
        <v>1183</v>
      </c>
    </row>
    <row r="489" spans="1:23" x14ac:dyDescent="0.25">
      <c r="A489" t="s">
        <v>673</v>
      </c>
      <c r="B489" t="s">
        <v>673</v>
      </c>
      <c r="C489">
        <v>0</v>
      </c>
      <c r="D489" s="3">
        <v>0</v>
      </c>
      <c r="E489">
        <v>0</v>
      </c>
      <c r="G489">
        <v>4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5</v>
      </c>
      <c r="T489" t="s">
        <v>1102</v>
      </c>
      <c r="U489" t="s">
        <v>180</v>
      </c>
      <c r="V489" t="s">
        <v>1398</v>
      </c>
      <c r="W489" t="s">
        <v>1185</v>
      </c>
    </row>
    <row r="490" spans="1:23" x14ac:dyDescent="0.25">
      <c r="A490" t="s">
        <v>1400</v>
      </c>
      <c r="B490" t="s">
        <v>1400</v>
      </c>
      <c r="C490">
        <v>0</v>
      </c>
      <c r="D490" s="3">
        <v>0</v>
      </c>
      <c r="E490">
        <v>0</v>
      </c>
      <c r="G490">
        <v>4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</v>
      </c>
      <c r="Q490">
        <v>0</v>
      </c>
      <c r="R490">
        <v>0</v>
      </c>
      <c r="S490">
        <v>6</v>
      </c>
      <c r="T490" t="s">
        <v>1102</v>
      </c>
      <c r="U490" t="s">
        <v>180</v>
      </c>
      <c r="V490" t="s">
        <v>1398</v>
      </c>
      <c r="W490" t="s">
        <v>1189</v>
      </c>
    </row>
    <row r="491" spans="1:23" x14ac:dyDescent="0.25">
      <c r="A491" t="s">
        <v>1404</v>
      </c>
      <c r="B491" t="s">
        <v>1404</v>
      </c>
      <c r="C491">
        <v>0</v>
      </c>
      <c r="D491" s="3">
        <v>0</v>
      </c>
      <c r="E491">
        <v>5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 t="s">
        <v>1102</v>
      </c>
      <c r="U491" t="s">
        <v>180</v>
      </c>
      <c r="V491" t="s">
        <v>1403</v>
      </c>
      <c r="W491" t="s">
        <v>1185</v>
      </c>
    </row>
    <row r="492" spans="1:23" x14ac:dyDescent="0.25">
      <c r="A492" t="s">
        <v>674</v>
      </c>
      <c r="B492" t="s">
        <v>674</v>
      </c>
      <c r="C492">
        <v>0</v>
      </c>
      <c r="D492" s="3">
        <v>0</v>
      </c>
      <c r="E492">
        <v>3</v>
      </c>
      <c r="G492">
        <v>0</v>
      </c>
      <c r="H492">
        <v>0</v>
      </c>
      <c r="I492">
        <v>0</v>
      </c>
      <c r="J492">
        <v>0</v>
      </c>
      <c r="K492">
        <v>2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3</v>
      </c>
      <c r="T492" t="s">
        <v>1102</v>
      </c>
      <c r="U492" t="s">
        <v>180</v>
      </c>
      <c r="V492" t="s">
        <v>1403</v>
      </c>
      <c r="W492" t="s">
        <v>1187</v>
      </c>
    </row>
    <row r="493" spans="1:23" x14ac:dyDescent="0.25">
      <c r="A493" t="s">
        <v>1406</v>
      </c>
      <c r="B493" t="s">
        <v>1406</v>
      </c>
      <c r="C493">
        <v>0</v>
      </c>
      <c r="D493" s="3">
        <v>0</v>
      </c>
      <c r="E493">
        <v>4</v>
      </c>
      <c r="G493">
        <v>0</v>
      </c>
      <c r="H493">
        <v>0</v>
      </c>
      <c r="I493">
        <v>1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2</v>
      </c>
      <c r="T493" t="s">
        <v>1102</v>
      </c>
      <c r="U493" t="s">
        <v>180</v>
      </c>
      <c r="V493" t="s">
        <v>1405</v>
      </c>
      <c r="W493" t="s">
        <v>1185</v>
      </c>
    </row>
    <row r="494" spans="1:23" x14ac:dyDescent="0.25">
      <c r="A494" t="s">
        <v>1407</v>
      </c>
      <c r="B494" t="s">
        <v>1407</v>
      </c>
      <c r="C494">
        <v>0</v>
      </c>
      <c r="D494" s="3">
        <v>0</v>
      </c>
      <c r="E494">
        <v>3</v>
      </c>
      <c r="G494">
        <v>0</v>
      </c>
      <c r="H494">
        <v>0</v>
      </c>
      <c r="I494">
        <v>0</v>
      </c>
      <c r="J494">
        <v>0</v>
      </c>
      <c r="K494">
        <v>2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3</v>
      </c>
      <c r="T494" t="s">
        <v>1102</v>
      </c>
      <c r="U494" t="s">
        <v>180</v>
      </c>
      <c r="V494" t="s">
        <v>1405</v>
      </c>
      <c r="W494" t="s">
        <v>1187</v>
      </c>
    </row>
    <row r="495" spans="1:23" x14ac:dyDescent="0.25">
      <c r="A495" t="s">
        <v>676</v>
      </c>
      <c r="B495" t="s">
        <v>676</v>
      </c>
      <c r="C495">
        <v>0</v>
      </c>
      <c r="D495" s="3">
        <v>0</v>
      </c>
      <c r="E495">
        <v>4</v>
      </c>
      <c r="G495">
        <v>0</v>
      </c>
      <c r="H495">
        <v>0</v>
      </c>
      <c r="I495">
        <v>1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</v>
      </c>
      <c r="T495" t="s">
        <v>1102</v>
      </c>
      <c r="U495" t="s">
        <v>180</v>
      </c>
      <c r="V495" t="s">
        <v>1408</v>
      </c>
      <c r="W495" t="s">
        <v>1185</v>
      </c>
    </row>
    <row r="496" spans="1:23" x14ac:dyDescent="0.25">
      <c r="A496" t="s">
        <v>1409</v>
      </c>
      <c r="B496" t="s">
        <v>1409</v>
      </c>
      <c r="C496">
        <v>0</v>
      </c>
      <c r="D496" s="3">
        <v>0</v>
      </c>
      <c r="E496">
        <v>3</v>
      </c>
      <c r="G496">
        <v>0</v>
      </c>
      <c r="H496">
        <v>0</v>
      </c>
      <c r="I496">
        <v>0</v>
      </c>
      <c r="J496">
        <v>0</v>
      </c>
      <c r="K496">
        <v>2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3</v>
      </c>
      <c r="T496" t="s">
        <v>1102</v>
      </c>
      <c r="U496" t="s">
        <v>180</v>
      </c>
      <c r="V496" t="s">
        <v>1408</v>
      </c>
      <c r="W496" t="s">
        <v>1187</v>
      </c>
    </row>
    <row r="497" spans="1:23" x14ac:dyDescent="0.25">
      <c r="A497" t="s">
        <v>1410</v>
      </c>
      <c r="B497" t="s">
        <v>1410</v>
      </c>
      <c r="C497">
        <v>0</v>
      </c>
      <c r="D497" s="3">
        <v>0</v>
      </c>
      <c r="E497">
        <v>32</v>
      </c>
      <c r="G497">
        <v>0</v>
      </c>
      <c r="H497">
        <v>0</v>
      </c>
      <c r="I497">
        <v>0</v>
      </c>
      <c r="J497">
        <v>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5</v>
      </c>
      <c r="R497">
        <v>0</v>
      </c>
      <c r="S497">
        <v>8</v>
      </c>
      <c r="T497" t="s">
        <v>1102</v>
      </c>
      <c r="U497" t="s">
        <v>180</v>
      </c>
      <c r="V497" t="s">
        <v>1410</v>
      </c>
      <c r="W497" t="s">
        <v>1104</v>
      </c>
    </row>
    <row r="498" spans="1:23" x14ac:dyDescent="0.25">
      <c r="A498" t="s">
        <v>1414</v>
      </c>
      <c r="B498" t="s">
        <v>1414</v>
      </c>
      <c r="C498">
        <v>0</v>
      </c>
      <c r="D498" s="3">
        <v>0</v>
      </c>
      <c r="E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 t="s">
        <v>1102</v>
      </c>
      <c r="U498" t="s">
        <v>180</v>
      </c>
      <c r="V498" t="s">
        <v>1414</v>
      </c>
      <c r="W498" t="s">
        <v>1195</v>
      </c>
    </row>
    <row r="499" spans="1:23" x14ac:dyDescent="0.25">
      <c r="A499" t="s">
        <v>679</v>
      </c>
      <c r="B499" t="s">
        <v>679</v>
      </c>
      <c r="C499">
        <v>0</v>
      </c>
      <c r="D499" s="3">
        <v>0</v>
      </c>
      <c r="E499">
        <v>3</v>
      </c>
      <c r="G499">
        <v>0</v>
      </c>
      <c r="H499">
        <v>0</v>
      </c>
      <c r="I499">
        <v>4</v>
      </c>
      <c r="J499">
        <v>2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4</v>
      </c>
      <c r="R499">
        <v>4</v>
      </c>
      <c r="S499">
        <v>15</v>
      </c>
      <c r="T499" t="s">
        <v>1102</v>
      </c>
      <c r="U499" t="s">
        <v>180</v>
      </c>
      <c r="V499" t="s">
        <v>1414</v>
      </c>
      <c r="W499" t="s">
        <v>1185</v>
      </c>
    </row>
    <row r="500" spans="1:23" x14ac:dyDescent="0.25">
      <c r="A500" t="s">
        <v>720</v>
      </c>
      <c r="B500" t="s">
        <v>720</v>
      </c>
      <c r="C500">
        <v>0</v>
      </c>
      <c r="D500" s="3">
        <v>0</v>
      </c>
      <c r="E500">
        <v>5</v>
      </c>
      <c r="F500">
        <v>5</v>
      </c>
      <c r="G500">
        <v>0</v>
      </c>
      <c r="H500">
        <v>0</v>
      </c>
      <c r="I500">
        <v>0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4</v>
      </c>
      <c r="Q500">
        <v>0</v>
      </c>
      <c r="R500">
        <v>0</v>
      </c>
      <c r="S500">
        <v>6</v>
      </c>
      <c r="T500" t="s">
        <v>1102</v>
      </c>
      <c r="U500" t="s">
        <v>180</v>
      </c>
      <c r="V500" t="s">
        <v>1418</v>
      </c>
      <c r="W500" t="s">
        <v>1183</v>
      </c>
    </row>
    <row r="501" spans="1:23" x14ac:dyDescent="0.25">
      <c r="A501" t="s">
        <v>1419</v>
      </c>
      <c r="B501" t="s">
        <v>1419</v>
      </c>
      <c r="C501">
        <v>0</v>
      </c>
      <c r="D501" s="3">
        <v>0</v>
      </c>
      <c r="E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2</v>
      </c>
      <c r="O501">
        <v>0</v>
      </c>
      <c r="P501">
        <v>0</v>
      </c>
      <c r="Q501">
        <v>4</v>
      </c>
      <c r="R501">
        <v>6</v>
      </c>
      <c r="S501">
        <v>12</v>
      </c>
      <c r="T501" t="s">
        <v>1102</v>
      </c>
      <c r="U501" t="s">
        <v>180</v>
      </c>
      <c r="V501" t="s">
        <v>1418</v>
      </c>
      <c r="W501" t="s">
        <v>1187</v>
      </c>
    </row>
    <row r="502" spans="1:23" x14ac:dyDescent="0.25">
      <c r="A502" t="s">
        <v>1421</v>
      </c>
      <c r="B502" t="s">
        <v>1421</v>
      </c>
      <c r="C502">
        <v>0</v>
      </c>
      <c r="D502" s="3">
        <v>0</v>
      </c>
      <c r="E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1</v>
      </c>
      <c r="N502">
        <v>2</v>
      </c>
      <c r="O502">
        <v>0</v>
      </c>
      <c r="P502">
        <v>1</v>
      </c>
      <c r="Q502">
        <v>0</v>
      </c>
      <c r="R502">
        <v>0</v>
      </c>
      <c r="S502">
        <v>5</v>
      </c>
      <c r="T502" t="s">
        <v>1102</v>
      </c>
      <c r="U502" t="s">
        <v>180</v>
      </c>
      <c r="V502" t="s">
        <v>1418</v>
      </c>
      <c r="W502" t="s">
        <v>1191</v>
      </c>
    </row>
    <row r="503" spans="1:23" x14ac:dyDescent="0.25">
      <c r="A503" t="s">
        <v>1424</v>
      </c>
      <c r="B503" t="s">
        <v>1424</v>
      </c>
      <c r="C503">
        <v>0</v>
      </c>
      <c r="D503" s="3">
        <v>0</v>
      </c>
      <c r="E503">
        <v>13</v>
      </c>
      <c r="G503">
        <v>0</v>
      </c>
      <c r="H503">
        <v>3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2</v>
      </c>
      <c r="Q503">
        <v>0</v>
      </c>
      <c r="R503">
        <v>0</v>
      </c>
      <c r="S503">
        <v>5</v>
      </c>
      <c r="T503" t="s">
        <v>1102</v>
      </c>
      <c r="U503" t="s">
        <v>180</v>
      </c>
      <c r="V503" t="s">
        <v>1422</v>
      </c>
      <c r="W503" t="s">
        <v>1185</v>
      </c>
    </row>
    <row r="504" spans="1:23" x14ac:dyDescent="0.25">
      <c r="A504" t="s">
        <v>764</v>
      </c>
      <c r="B504" t="s">
        <v>764</v>
      </c>
      <c r="C504">
        <v>0</v>
      </c>
      <c r="D504" s="3">
        <v>0</v>
      </c>
      <c r="E504">
        <v>7</v>
      </c>
      <c r="F504">
        <v>5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3</v>
      </c>
      <c r="Q504">
        <v>0</v>
      </c>
      <c r="R504">
        <v>0</v>
      </c>
      <c r="S504">
        <v>4</v>
      </c>
      <c r="T504" t="s">
        <v>1102</v>
      </c>
      <c r="U504" t="s">
        <v>180</v>
      </c>
      <c r="V504" t="s">
        <v>1436</v>
      </c>
      <c r="W504" t="s">
        <v>1185</v>
      </c>
    </row>
    <row r="505" spans="1:23" x14ac:dyDescent="0.25">
      <c r="A505" t="s">
        <v>681</v>
      </c>
      <c r="B505" t="s">
        <v>681</v>
      </c>
      <c r="C505">
        <v>0</v>
      </c>
      <c r="D505" s="3">
        <v>0</v>
      </c>
      <c r="E505">
        <v>1</v>
      </c>
      <c r="G505">
        <v>0</v>
      </c>
      <c r="H505">
        <v>0</v>
      </c>
      <c r="I505">
        <v>0</v>
      </c>
      <c r="J505">
        <v>0</v>
      </c>
      <c r="K505">
        <v>2</v>
      </c>
      <c r="L505">
        <v>0</v>
      </c>
      <c r="M505">
        <v>0</v>
      </c>
      <c r="N505">
        <v>1</v>
      </c>
      <c r="O505">
        <v>0</v>
      </c>
      <c r="P505">
        <v>2</v>
      </c>
      <c r="Q505">
        <v>0</v>
      </c>
      <c r="R505">
        <v>0</v>
      </c>
      <c r="S505">
        <v>5</v>
      </c>
      <c r="T505" t="s">
        <v>1102</v>
      </c>
      <c r="U505" t="s">
        <v>180</v>
      </c>
      <c r="V505" t="s">
        <v>1436</v>
      </c>
      <c r="W505" t="s">
        <v>1187</v>
      </c>
    </row>
    <row r="506" spans="1:23" x14ac:dyDescent="0.25">
      <c r="A506" t="s">
        <v>1438</v>
      </c>
      <c r="B506" t="s">
        <v>1438</v>
      </c>
      <c r="C506">
        <v>0</v>
      </c>
      <c r="D506" s="3">
        <v>0</v>
      </c>
      <c r="E506">
        <v>2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</v>
      </c>
      <c r="Q506">
        <v>0</v>
      </c>
      <c r="R506">
        <v>0</v>
      </c>
      <c r="S506">
        <v>4</v>
      </c>
      <c r="T506" t="s">
        <v>1102</v>
      </c>
      <c r="U506" t="s">
        <v>180</v>
      </c>
      <c r="V506" t="s">
        <v>1437</v>
      </c>
      <c r="W506" t="s">
        <v>1185</v>
      </c>
    </row>
    <row r="507" spans="1:23" x14ac:dyDescent="0.25">
      <c r="A507" t="s">
        <v>1439</v>
      </c>
      <c r="B507" t="s">
        <v>1439</v>
      </c>
      <c r="C507">
        <v>0</v>
      </c>
      <c r="D507" s="3">
        <v>0</v>
      </c>
      <c r="E507">
        <v>5</v>
      </c>
      <c r="G507">
        <v>0</v>
      </c>
      <c r="H507">
        <v>0</v>
      </c>
      <c r="I507">
        <v>0</v>
      </c>
      <c r="J507">
        <v>0</v>
      </c>
      <c r="K507">
        <v>2</v>
      </c>
      <c r="L507">
        <v>0</v>
      </c>
      <c r="M507">
        <v>2</v>
      </c>
      <c r="N507">
        <v>1</v>
      </c>
      <c r="O507">
        <v>0</v>
      </c>
      <c r="P507">
        <v>1</v>
      </c>
      <c r="Q507">
        <v>0</v>
      </c>
      <c r="R507">
        <v>0</v>
      </c>
      <c r="S507">
        <v>6</v>
      </c>
      <c r="T507" t="s">
        <v>1102</v>
      </c>
      <c r="U507" t="s">
        <v>180</v>
      </c>
      <c r="V507" t="s">
        <v>1437</v>
      </c>
      <c r="W507" t="s">
        <v>1187</v>
      </c>
    </row>
    <row r="508" spans="1:23" x14ac:dyDescent="0.25">
      <c r="A508" t="s">
        <v>1442</v>
      </c>
      <c r="B508" t="s">
        <v>1442</v>
      </c>
      <c r="C508">
        <v>0</v>
      </c>
      <c r="D508" s="3">
        <v>0</v>
      </c>
      <c r="E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5</v>
      </c>
      <c r="Q508">
        <v>0</v>
      </c>
      <c r="R508">
        <v>0</v>
      </c>
      <c r="S508">
        <v>6</v>
      </c>
      <c r="T508" t="s">
        <v>1102</v>
      </c>
      <c r="U508" t="s">
        <v>180</v>
      </c>
      <c r="V508" t="s">
        <v>1441</v>
      </c>
      <c r="W508" t="s">
        <v>1185</v>
      </c>
    </row>
    <row r="509" spans="1:23" x14ac:dyDescent="0.25">
      <c r="A509" t="s">
        <v>1443</v>
      </c>
      <c r="B509" t="s">
        <v>1443</v>
      </c>
      <c r="C509">
        <v>0</v>
      </c>
      <c r="D509" s="3">
        <v>0</v>
      </c>
      <c r="E509">
        <v>3</v>
      </c>
      <c r="G509">
        <v>0</v>
      </c>
      <c r="H509">
        <v>0</v>
      </c>
      <c r="I509">
        <v>0</v>
      </c>
      <c r="J509">
        <v>0</v>
      </c>
      <c r="K509">
        <v>2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3</v>
      </c>
      <c r="T509" t="s">
        <v>1102</v>
      </c>
      <c r="U509" t="s">
        <v>180</v>
      </c>
      <c r="V509" t="s">
        <v>1441</v>
      </c>
      <c r="W509" t="s">
        <v>1187</v>
      </c>
    </row>
    <row r="510" spans="1:23" x14ac:dyDescent="0.25">
      <c r="A510" t="s">
        <v>1444</v>
      </c>
      <c r="B510" t="s">
        <v>1444</v>
      </c>
      <c r="C510">
        <v>0</v>
      </c>
      <c r="D510" s="3">
        <v>0</v>
      </c>
      <c r="E510">
        <v>9</v>
      </c>
      <c r="G510">
        <v>0</v>
      </c>
      <c r="H510">
        <v>10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</v>
      </c>
      <c r="P510">
        <v>4</v>
      </c>
      <c r="Q510">
        <v>0</v>
      </c>
      <c r="R510">
        <v>0</v>
      </c>
      <c r="S510">
        <v>16</v>
      </c>
      <c r="T510" t="s">
        <v>1102</v>
      </c>
      <c r="U510" t="s">
        <v>294</v>
      </c>
      <c r="V510" t="s">
        <v>1445</v>
      </c>
      <c r="W510" t="s">
        <v>1185</v>
      </c>
    </row>
    <row r="511" spans="1:23" x14ac:dyDescent="0.25">
      <c r="A511" t="s">
        <v>1448</v>
      </c>
      <c r="B511" t="s">
        <v>1448</v>
      </c>
      <c r="C511">
        <v>0</v>
      </c>
      <c r="D511" s="3">
        <v>0</v>
      </c>
      <c r="E511">
        <v>4</v>
      </c>
      <c r="G511">
        <v>0</v>
      </c>
      <c r="H511">
        <v>10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4</v>
      </c>
      <c r="Q511">
        <v>0</v>
      </c>
      <c r="R511">
        <v>5</v>
      </c>
      <c r="S511">
        <v>21</v>
      </c>
      <c r="T511" t="s">
        <v>1102</v>
      </c>
      <c r="U511" t="s">
        <v>294</v>
      </c>
      <c r="V511" t="s">
        <v>1447</v>
      </c>
      <c r="W511" t="s">
        <v>1185</v>
      </c>
    </row>
    <row r="512" spans="1:23" x14ac:dyDescent="0.25">
      <c r="A512" t="s">
        <v>1452</v>
      </c>
      <c r="B512" t="s">
        <v>1452</v>
      </c>
      <c r="C512">
        <v>0</v>
      </c>
      <c r="D512" s="3">
        <v>0</v>
      </c>
      <c r="E512">
        <v>0</v>
      </c>
      <c r="G512">
        <v>0</v>
      </c>
      <c r="H512">
        <v>5</v>
      </c>
      <c r="I512">
        <v>0</v>
      </c>
      <c r="J512">
        <v>4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3</v>
      </c>
      <c r="Q512">
        <v>0</v>
      </c>
      <c r="R512">
        <v>4</v>
      </c>
      <c r="S512">
        <v>17</v>
      </c>
      <c r="T512" t="s">
        <v>1102</v>
      </c>
      <c r="U512" t="s">
        <v>294</v>
      </c>
      <c r="V512" t="s">
        <v>1451</v>
      </c>
      <c r="W512" t="s">
        <v>1185</v>
      </c>
    </row>
    <row r="513" spans="1:23" x14ac:dyDescent="0.25">
      <c r="A513" t="s">
        <v>765</v>
      </c>
      <c r="B513" t="s">
        <v>765</v>
      </c>
      <c r="C513">
        <v>0</v>
      </c>
      <c r="D513" s="3">
        <v>0</v>
      </c>
      <c r="E513">
        <v>10</v>
      </c>
      <c r="F513">
        <v>5</v>
      </c>
      <c r="G513">
        <v>0</v>
      </c>
      <c r="H513">
        <v>2</v>
      </c>
      <c r="I513">
        <v>0</v>
      </c>
      <c r="J513">
        <v>0</v>
      </c>
      <c r="K513">
        <v>0</v>
      </c>
      <c r="L513">
        <v>8</v>
      </c>
      <c r="M513">
        <v>0</v>
      </c>
      <c r="N513">
        <v>0</v>
      </c>
      <c r="O513">
        <v>1</v>
      </c>
      <c r="P513">
        <v>4</v>
      </c>
      <c r="Q513">
        <v>0</v>
      </c>
      <c r="R513">
        <v>0</v>
      </c>
      <c r="S513">
        <v>15</v>
      </c>
      <c r="T513" t="s">
        <v>1102</v>
      </c>
      <c r="U513" t="s">
        <v>294</v>
      </c>
      <c r="V513" t="s">
        <v>1455</v>
      </c>
      <c r="W513" t="s">
        <v>1185</v>
      </c>
    </row>
    <row r="514" spans="1:23" x14ac:dyDescent="0.25">
      <c r="A514" t="s">
        <v>1457</v>
      </c>
      <c r="B514" t="s">
        <v>1457</v>
      </c>
      <c r="C514">
        <v>1</v>
      </c>
      <c r="D514" s="3">
        <v>1</v>
      </c>
      <c r="E514">
        <v>0</v>
      </c>
      <c r="G514">
        <v>0</v>
      </c>
      <c r="H514">
        <v>2</v>
      </c>
      <c r="I514">
        <v>0</v>
      </c>
      <c r="J514">
        <v>4</v>
      </c>
      <c r="K514">
        <v>0</v>
      </c>
      <c r="L514">
        <v>5</v>
      </c>
      <c r="M514">
        <v>0</v>
      </c>
      <c r="N514">
        <v>0</v>
      </c>
      <c r="O514">
        <v>0</v>
      </c>
      <c r="P514">
        <v>2</v>
      </c>
      <c r="Q514">
        <v>4</v>
      </c>
      <c r="R514">
        <v>3</v>
      </c>
      <c r="S514">
        <v>20</v>
      </c>
      <c r="T514" t="s">
        <v>1102</v>
      </c>
      <c r="U514" t="s">
        <v>294</v>
      </c>
      <c r="V514" t="s">
        <v>1458</v>
      </c>
      <c r="W514" t="s">
        <v>1185</v>
      </c>
    </row>
    <row r="515" spans="1:23" x14ac:dyDescent="0.25">
      <c r="A515" t="s">
        <v>1797</v>
      </c>
      <c r="B515" t="s">
        <v>1797</v>
      </c>
      <c r="C515">
        <v>0.5</v>
      </c>
      <c r="D515" s="3">
        <v>0.5</v>
      </c>
      <c r="E515">
        <v>47</v>
      </c>
      <c r="G515">
        <v>0</v>
      </c>
      <c r="H515">
        <v>0</v>
      </c>
      <c r="I515">
        <v>0</v>
      </c>
      <c r="J515">
        <v>31</v>
      </c>
      <c r="K515">
        <v>10</v>
      </c>
      <c r="L515">
        <v>0</v>
      </c>
      <c r="M515">
        <v>1</v>
      </c>
      <c r="N515">
        <v>1</v>
      </c>
      <c r="O515">
        <v>4</v>
      </c>
      <c r="P515">
        <v>4</v>
      </c>
      <c r="Q515">
        <v>0</v>
      </c>
      <c r="R515">
        <v>0</v>
      </c>
      <c r="S515">
        <v>51</v>
      </c>
      <c r="T515" t="s">
        <v>1102</v>
      </c>
      <c r="U515" t="s">
        <v>336</v>
      </c>
      <c r="V515" t="s">
        <v>1798</v>
      </c>
      <c r="W515" t="s">
        <v>1104</v>
      </c>
    </row>
    <row r="516" spans="1:23" x14ac:dyDescent="0.25">
      <c r="A516" t="s">
        <v>1799</v>
      </c>
      <c r="B516" t="s">
        <v>1799</v>
      </c>
      <c r="C516">
        <v>1</v>
      </c>
      <c r="D516" s="3">
        <v>1</v>
      </c>
      <c r="E516">
        <v>41</v>
      </c>
      <c r="G516">
        <v>0</v>
      </c>
      <c r="H516">
        <v>2</v>
      </c>
      <c r="I516">
        <v>0</v>
      </c>
      <c r="J516">
        <v>35</v>
      </c>
      <c r="K516">
        <v>7</v>
      </c>
      <c r="L516">
        <v>12</v>
      </c>
      <c r="M516">
        <v>1</v>
      </c>
      <c r="N516">
        <v>1</v>
      </c>
      <c r="O516">
        <v>7</v>
      </c>
      <c r="P516">
        <v>1</v>
      </c>
      <c r="Q516">
        <v>0</v>
      </c>
      <c r="R516">
        <v>0</v>
      </c>
      <c r="S516">
        <v>66</v>
      </c>
      <c r="T516" t="s">
        <v>1102</v>
      </c>
      <c r="U516" t="s">
        <v>336</v>
      </c>
      <c r="V516" t="s">
        <v>1798</v>
      </c>
      <c r="W516" t="s">
        <v>1106</v>
      </c>
    </row>
    <row r="517" spans="1:23" x14ac:dyDescent="0.25">
      <c r="A517" t="s">
        <v>1800</v>
      </c>
      <c r="B517" t="s">
        <v>1800</v>
      </c>
      <c r="C517">
        <v>0</v>
      </c>
      <c r="D517" s="3">
        <v>0</v>
      </c>
      <c r="E517">
        <v>35</v>
      </c>
      <c r="G517">
        <v>0</v>
      </c>
      <c r="H517">
        <v>0</v>
      </c>
      <c r="I517">
        <v>0</v>
      </c>
      <c r="J517">
        <v>30</v>
      </c>
      <c r="K517">
        <v>8</v>
      </c>
      <c r="L517">
        <v>1</v>
      </c>
      <c r="M517">
        <v>0</v>
      </c>
      <c r="N517">
        <v>0</v>
      </c>
      <c r="O517">
        <v>9</v>
      </c>
      <c r="P517">
        <v>4</v>
      </c>
      <c r="Q517">
        <v>0</v>
      </c>
      <c r="R517">
        <v>0</v>
      </c>
      <c r="S517">
        <v>52</v>
      </c>
      <c r="T517" t="s">
        <v>1102</v>
      </c>
      <c r="U517" t="s">
        <v>336</v>
      </c>
      <c r="V517" t="s">
        <v>1798</v>
      </c>
      <c r="W517" t="s">
        <v>1108</v>
      </c>
    </row>
    <row r="518" spans="1:23" x14ac:dyDescent="0.25">
      <c r="A518" t="s">
        <v>1801</v>
      </c>
      <c r="B518" t="s">
        <v>1801</v>
      </c>
      <c r="C518">
        <v>2</v>
      </c>
      <c r="D518" s="3">
        <v>2</v>
      </c>
      <c r="E518">
        <v>223</v>
      </c>
      <c r="G518">
        <v>0</v>
      </c>
      <c r="H518">
        <v>1</v>
      </c>
      <c r="I518">
        <v>1</v>
      </c>
      <c r="J518">
        <v>34</v>
      </c>
      <c r="K518">
        <v>44</v>
      </c>
      <c r="L518">
        <v>4</v>
      </c>
      <c r="M518">
        <v>0</v>
      </c>
      <c r="N518">
        <v>2</v>
      </c>
      <c r="O518">
        <v>18</v>
      </c>
      <c r="P518">
        <v>3</v>
      </c>
      <c r="Q518">
        <v>2</v>
      </c>
      <c r="R518">
        <v>0</v>
      </c>
      <c r="S518">
        <v>109</v>
      </c>
      <c r="T518" t="s">
        <v>1102</v>
      </c>
      <c r="U518" t="s">
        <v>336</v>
      </c>
      <c r="V518" t="s">
        <v>1802</v>
      </c>
      <c r="W518" t="s">
        <v>1104</v>
      </c>
    </row>
    <row r="519" spans="1:23" x14ac:dyDescent="0.25">
      <c r="A519" t="s">
        <v>1803</v>
      </c>
      <c r="B519" t="s">
        <v>1803</v>
      </c>
      <c r="C519">
        <v>7.5</v>
      </c>
      <c r="D519" s="3">
        <v>7.5</v>
      </c>
      <c r="E519">
        <v>194</v>
      </c>
      <c r="G519">
        <v>8</v>
      </c>
      <c r="H519">
        <v>0</v>
      </c>
      <c r="I519">
        <v>0</v>
      </c>
      <c r="J519">
        <v>50</v>
      </c>
      <c r="K519">
        <v>50</v>
      </c>
      <c r="L519">
        <v>19</v>
      </c>
      <c r="M519">
        <v>4</v>
      </c>
      <c r="N519">
        <v>2</v>
      </c>
      <c r="O519">
        <v>19</v>
      </c>
      <c r="P519">
        <v>7</v>
      </c>
      <c r="Q519">
        <v>8</v>
      </c>
      <c r="R519">
        <v>5</v>
      </c>
      <c r="S519">
        <v>172</v>
      </c>
      <c r="T519" t="s">
        <v>1102</v>
      </c>
      <c r="U519" t="s">
        <v>336</v>
      </c>
      <c r="V519" t="s">
        <v>1802</v>
      </c>
      <c r="W519" t="s">
        <v>1106</v>
      </c>
    </row>
    <row r="520" spans="1:23" x14ac:dyDescent="0.25">
      <c r="A520" t="s">
        <v>1804</v>
      </c>
      <c r="B520" t="s">
        <v>1804</v>
      </c>
      <c r="C520">
        <v>3.5</v>
      </c>
      <c r="D520" s="3">
        <v>3.5</v>
      </c>
      <c r="E520">
        <v>37</v>
      </c>
      <c r="G520">
        <v>1</v>
      </c>
      <c r="H520">
        <v>1</v>
      </c>
      <c r="I520">
        <v>0</v>
      </c>
      <c r="J520">
        <v>50</v>
      </c>
      <c r="K520">
        <v>34</v>
      </c>
      <c r="L520">
        <v>6</v>
      </c>
      <c r="M520">
        <v>2</v>
      </c>
      <c r="N520">
        <v>2</v>
      </c>
      <c r="O520">
        <v>15</v>
      </c>
      <c r="P520">
        <v>8</v>
      </c>
      <c r="Q520">
        <v>5</v>
      </c>
      <c r="R520">
        <v>0</v>
      </c>
      <c r="S520">
        <v>124</v>
      </c>
      <c r="T520" t="s">
        <v>1102</v>
      </c>
      <c r="U520" t="s">
        <v>336</v>
      </c>
      <c r="V520" t="s">
        <v>1802</v>
      </c>
      <c r="W520" t="s">
        <v>1108</v>
      </c>
    </row>
    <row r="521" spans="1:23" x14ac:dyDescent="0.25">
      <c r="A521" t="s">
        <v>684</v>
      </c>
      <c r="B521" t="s">
        <v>684</v>
      </c>
      <c r="C521">
        <v>1</v>
      </c>
      <c r="D521" s="3">
        <v>1</v>
      </c>
      <c r="E521">
        <v>20</v>
      </c>
      <c r="G521">
        <v>0</v>
      </c>
      <c r="H521">
        <v>0</v>
      </c>
      <c r="I521">
        <v>1</v>
      </c>
      <c r="J521">
        <v>4</v>
      </c>
      <c r="K521">
        <v>1</v>
      </c>
      <c r="L521">
        <v>0</v>
      </c>
      <c r="M521">
        <v>3</v>
      </c>
      <c r="N521">
        <v>1</v>
      </c>
      <c r="O521">
        <v>14</v>
      </c>
      <c r="P521">
        <v>3</v>
      </c>
      <c r="Q521">
        <v>3</v>
      </c>
      <c r="R521">
        <v>0</v>
      </c>
      <c r="S521">
        <v>30</v>
      </c>
      <c r="T521" t="s">
        <v>1102</v>
      </c>
      <c r="U521" t="s">
        <v>363</v>
      </c>
      <c r="V521" t="s">
        <v>1470</v>
      </c>
      <c r="W521" t="s">
        <v>1187</v>
      </c>
    </row>
    <row r="522" spans="1:23" x14ac:dyDescent="0.25">
      <c r="A522" t="s">
        <v>1471</v>
      </c>
      <c r="B522" t="s">
        <v>1471</v>
      </c>
      <c r="C522">
        <v>0</v>
      </c>
      <c r="D522" s="3">
        <v>0</v>
      </c>
      <c r="E522">
        <v>15</v>
      </c>
      <c r="G522">
        <v>0</v>
      </c>
      <c r="H522">
        <v>0</v>
      </c>
      <c r="I522">
        <v>0</v>
      </c>
      <c r="J522">
        <v>0</v>
      </c>
      <c r="K522">
        <v>2</v>
      </c>
      <c r="L522">
        <v>1</v>
      </c>
      <c r="M522">
        <v>0</v>
      </c>
      <c r="N522">
        <v>1</v>
      </c>
      <c r="O522">
        <v>13</v>
      </c>
      <c r="P522">
        <v>0</v>
      </c>
      <c r="Q522">
        <v>0</v>
      </c>
      <c r="R522">
        <v>0</v>
      </c>
      <c r="S522">
        <v>17</v>
      </c>
      <c r="T522" t="s">
        <v>1102</v>
      </c>
      <c r="U522" t="s">
        <v>363</v>
      </c>
      <c r="V522" t="s">
        <v>1472</v>
      </c>
      <c r="W522" t="s">
        <v>1187</v>
      </c>
    </row>
    <row r="523" spans="1:23" x14ac:dyDescent="0.25">
      <c r="A523" t="s">
        <v>689</v>
      </c>
      <c r="B523" t="s">
        <v>689</v>
      </c>
      <c r="C523">
        <v>1</v>
      </c>
      <c r="D523" s="3">
        <v>1</v>
      </c>
      <c r="E523">
        <v>26</v>
      </c>
      <c r="G523">
        <v>0</v>
      </c>
      <c r="H523">
        <v>1</v>
      </c>
      <c r="I523">
        <v>1</v>
      </c>
      <c r="J523">
        <v>6</v>
      </c>
      <c r="K523">
        <v>6</v>
      </c>
      <c r="L523">
        <v>0</v>
      </c>
      <c r="M523">
        <v>0</v>
      </c>
      <c r="N523">
        <v>1</v>
      </c>
      <c r="O523">
        <v>6</v>
      </c>
      <c r="P523">
        <v>1</v>
      </c>
      <c r="Q523">
        <v>0</v>
      </c>
      <c r="R523">
        <v>0</v>
      </c>
      <c r="S523">
        <v>22</v>
      </c>
      <c r="T523" t="s">
        <v>1102</v>
      </c>
      <c r="U523" t="s">
        <v>363</v>
      </c>
      <c r="V523" t="s">
        <v>1473</v>
      </c>
      <c r="W523" t="s">
        <v>1187</v>
      </c>
    </row>
    <row r="524" spans="1:23" x14ac:dyDescent="0.25">
      <c r="A524" t="s">
        <v>1474</v>
      </c>
      <c r="B524" t="s">
        <v>1474</v>
      </c>
      <c r="C524">
        <v>0</v>
      </c>
      <c r="D524" s="3">
        <v>0</v>
      </c>
      <c r="E524">
        <v>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1102</v>
      </c>
      <c r="U524" t="s">
        <v>363</v>
      </c>
      <c r="V524" t="s">
        <v>1475</v>
      </c>
      <c r="W524" t="s">
        <v>1187</v>
      </c>
    </row>
    <row r="525" spans="1:23" x14ac:dyDescent="0.25">
      <c r="A525" t="s">
        <v>1476</v>
      </c>
      <c r="B525" t="s">
        <v>1476</v>
      </c>
      <c r="C525">
        <v>0</v>
      </c>
      <c r="D525" s="3">
        <v>0</v>
      </c>
      <c r="E525">
        <v>6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 t="s">
        <v>1102</v>
      </c>
      <c r="U525" t="s">
        <v>363</v>
      </c>
      <c r="V525" t="s">
        <v>1477</v>
      </c>
      <c r="W525" t="s">
        <v>1187</v>
      </c>
    </row>
    <row r="526" spans="1:23" x14ac:dyDescent="0.25">
      <c r="A526" t="s">
        <v>691</v>
      </c>
      <c r="B526" t="s">
        <v>691</v>
      </c>
      <c r="C526">
        <v>0</v>
      </c>
      <c r="D526" s="3">
        <v>0</v>
      </c>
      <c r="E526">
        <v>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</v>
      </c>
      <c r="P526">
        <v>1</v>
      </c>
      <c r="Q526">
        <v>0</v>
      </c>
      <c r="R526">
        <v>0</v>
      </c>
      <c r="S526">
        <v>3</v>
      </c>
      <c r="T526" t="s">
        <v>1102</v>
      </c>
      <c r="U526" t="s">
        <v>363</v>
      </c>
      <c r="V526" t="s">
        <v>1478</v>
      </c>
      <c r="W526" t="s">
        <v>1187</v>
      </c>
    </row>
    <row r="527" spans="1:23" x14ac:dyDescent="0.25">
      <c r="A527" t="s">
        <v>1479</v>
      </c>
      <c r="B527" t="s">
        <v>1479</v>
      </c>
      <c r="C527">
        <v>0</v>
      </c>
      <c r="D527" s="3">
        <v>0</v>
      </c>
      <c r="E527">
        <v>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1</v>
      </c>
      <c r="Q527">
        <v>0</v>
      </c>
      <c r="R527">
        <v>0</v>
      </c>
      <c r="S527">
        <v>2</v>
      </c>
      <c r="T527" t="s">
        <v>1102</v>
      </c>
      <c r="U527" t="s">
        <v>363</v>
      </c>
      <c r="V527" t="s">
        <v>1480</v>
      </c>
      <c r="W527" t="s">
        <v>1187</v>
      </c>
    </row>
    <row r="528" spans="1:23" x14ac:dyDescent="0.25">
      <c r="A528" t="s">
        <v>694</v>
      </c>
      <c r="B528" t="s">
        <v>694</v>
      </c>
      <c r="C528">
        <v>0</v>
      </c>
      <c r="D528" s="3">
        <v>0</v>
      </c>
      <c r="E528">
        <v>27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0</v>
      </c>
      <c r="Q528">
        <v>0</v>
      </c>
      <c r="R528">
        <v>0</v>
      </c>
      <c r="S528">
        <v>4</v>
      </c>
      <c r="T528" t="s">
        <v>1102</v>
      </c>
      <c r="U528" t="s">
        <v>363</v>
      </c>
      <c r="V528" t="s">
        <v>1481</v>
      </c>
      <c r="W528" t="s">
        <v>1187</v>
      </c>
    </row>
    <row r="529" spans="1:23" x14ac:dyDescent="0.25">
      <c r="A529" t="s">
        <v>1482</v>
      </c>
      <c r="B529" t="s">
        <v>1482</v>
      </c>
      <c r="C529">
        <v>0</v>
      </c>
      <c r="D529" s="3">
        <v>0</v>
      </c>
      <c r="E529">
        <v>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 t="s">
        <v>1102</v>
      </c>
      <c r="U529" t="s">
        <v>363</v>
      </c>
      <c r="V529" t="s">
        <v>1483</v>
      </c>
      <c r="W529" t="s">
        <v>1187</v>
      </c>
    </row>
    <row r="530" spans="1:23" x14ac:dyDescent="0.25">
      <c r="A530" t="s">
        <v>1484</v>
      </c>
      <c r="B530" t="s">
        <v>1484</v>
      </c>
      <c r="C530">
        <v>0</v>
      </c>
      <c r="D530" s="3">
        <v>0</v>
      </c>
      <c r="E530">
        <v>7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 t="s">
        <v>1102</v>
      </c>
      <c r="U530" t="s">
        <v>363</v>
      </c>
      <c r="V530" t="s">
        <v>1485</v>
      </c>
      <c r="W530" t="s">
        <v>1187</v>
      </c>
    </row>
    <row r="531" spans="1:23" x14ac:dyDescent="0.25">
      <c r="A531" t="s">
        <v>1540</v>
      </c>
      <c r="B531" t="s">
        <v>1540</v>
      </c>
      <c r="C531">
        <v>0</v>
      </c>
      <c r="D531" s="3">
        <v>0</v>
      </c>
      <c r="E531">
        <v>1</v>
      </c>
      <c r="G531">
        <v>0</v>
      </c>
      <c r="H531">
        <v>0</v>
      </c>
      <c r="I531">
        <v>0</v>
      </c>
      <c r="J531">
        <v>0</v>
      </c>
      <c r="K531">
        <v>3</v>
      </c>
      <c r="L531">
        <v>0</v>
      </c>
      <c r="M531">
        <v>2</v>
      </c>
      <c r="N531">
        <v>0</v>
      </c>
      <c r="O531">
        <v>0</v>
      </c>
      <c r="P531">
        <v>0</v>
      </c>
      <c r="Q531">
        <v>2</v>
      </c>
      <c r="R531">
        <v>0</v>
      </c>
      <c r="S531">
        <v>7</v>
      </c>
      <c r="T531" t="s">
        <v>1102</v>
      </c>
      <c r="U531" t="s">
        <v>460</v>
      </c>
      <c r="V531" t="s">
        <v>1539</v>
      </c>
      <c r="W531" t="s">
        <v>1185</v>
      </c>
    </row>
    <row r="532" spans="1:23" x14ac:dyDescent="0.25">
      <c r="A532" t="s">
        <v>766</v>
      </c>
      <c r="B532" t="s">
        <v>766</v>
      </c>
      <c r="C532">
        <v>0</v>
      </c>
      <c r="D532" s="3">
        <v>0</v>
      </c>
      <c r="E532">
        <v>8</v>
      </c>
      <c r="F532">
        <v>4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1102</v>
      </c>
      <c r="U532" t="s">
        <v>460</v>
      </c>
      <c r="V532" t="s">
        <v>1539</v>
      </c>
      <c r="W532" t="s">
        <v>1187</v>
      </c>
    </row>
    <row r="533" spans="1:23" x14ac:dyDescent="0.25">
      <c r="A533" t="s">
        <v>1545</v>
      </c>
      <c r="B533" t="s">
        <v>1545</v>
      </c>
      <c r="C533">
        <v>0</v>
      </c>
      <c r="D533" s="3">
        <v>0</v>
      </c>
      <c r="E533">
        <v>0</v>
      </c>
      <c r="G533">
        <v>0</v>
      </c>
      <c r="H533">
        <v>0</v>
      </c>
      <c r="I533">
        <v>0</v>
      </c>
      <c r="J533">
        <v>0</v>
      </c>
      <c r="K533">
        <v>2</v>
      </c>
      <c r="L533">
        <v>0</v>
      </c>
      <c r="M533">
        <v>2</v>
      </c>
      <c r="N533">
        <v>0</v>
      </c>
      <c r="O533">
        <v>0</v>
      </c>
      <c r="P533">
        <v>0</v>
      </c>
      <c r="Q533">
        <v>4</v>
      </c>
      <c r="R533">
        <v>0</v>
      </c>
      <c r="S533">
        <v>8</v>
      </c>
      <c r="T533" t="s">
        <v>1102</v>
      </c>
      <c r="U533" t="s">
        <v>460</v>
      </c>
      <c r="V533" t="s">
        <v>1544</v>
      </c>
      <c r="W533" t="s">
        <v>1185</v>
      </c>
    </row>
    <row r="534" spans="1:23" x14ac:dyDescent="0.25">
      <c r="A534" t="s">
        <v>1549</v>
      </c>
      <c r="B534" t="s">
        <v>1549</v>
      </c>
      <c r="C534">
        <v>0</v>
      </c>
      <c r="D534" s="3">
        <v>0</v>
      </c>
      <c r="E534">
        <v>7</v>
      </c>
      <c r="G534">
        <v>0</v>
      </c>
      <c r="H534">
        <v>0</v>
      </c>
      <c r="I534">
        <v>0</v>
      </c>
      <c r="J534">
        <v>0</v>
      </c>
      <c r="K534">
        <v>3</v>
      </c>
      <c r="L534">
        <v>0</v>
      </c>
      <c r="M534">
        <v>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5</v>
      </c>
      <c r="T534" t="s">
        <v>1102</v>
      </c>
      <c r="U534" t="s">
        <v>460</v>
      </c>
      <c r="V534" t="s">
        <v>1548</v>
      </c>
      <c r="W534" t="s">
        <v>1185</v>
      </c>
    </row>
    <row r="535" spans="1:23" x14ac:dyDescent="0.25">
      <c r="A535" t="s">
        <v>767</v>
      </c>
      <c r="B535" t="s">
        <v>767</v>
      </c>
      <c r="C535">
        <v>0</v>
      </c>
      <c r="D535" s="3">
        <v>0</v>
      </c>
      <c r="E535">
        <v>13</v>
      </c>
      <c r="F535">
        <v>4</v>
      </c>
      <c r="G535">
        <v>0</v>
      </c>
      <c r="H535">
        <v>0</v>
      </c>
      <c r="I535">
        <v>0</v>
      </c>
      <c r="J535">
        <v>0</v>
      </c>
      <c r="K535">
        <v>7</v>
      </c>
      <c r="L535">
        <v>2</v>
      </c>
      <c r="M535">
        <v>0</v>
      </c>
      <c r="N535">
        <v>0</v>
      </c>
      <c r="O535">
        <v>3</v>
      </c>
      <c r="P535">
        <v>0</v>
      </c>
      <c r="Q535">
        <v>0</v>
      </c>
      <c r="R535">
        <v>0</v>
      </c>
      <c r="S535">
        <v>12</v>
      </c>
      <c r="T535" t="s">
        <v>1102</v>
      </c>
      <c r="U535" t="s">
        <v>492</v>
      </c>
      <c r="V535" t="s">
        <v>1551</v>
      </c>
      <c r="W535" t="s">
        <v>1183</v>
      </c>
    </row>
    <row r="536" spans="1:23" x14ac:dyDescent="0.25">
      <c r="A536" t="s">
        <v>1552</v>
      </c>
      <c r="B536" t="s">
        <v>1552</v>
      </c>
      <c r="C536">
        <v>0</v>
      </c>
      <c r="D536" s="3">
        <v>0</v>
      </c>
      <c r="E536">
        <v>6</v>
      </c>
      <c r="G536">
        <v>0</v>
      </c>
      <c r="H536">
        <v>0</v>
      </c>
      <c r="I536">
        <v>0</v>
      </c>
      <c r="J536">
        <v>0</v>
      </c>
      <c r="K536">
        <v>4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4</v>
      </c>
      <c r="T536" t="s">
        <v>1102</v>
      </c>
      <c r="U536" t="s">
        <v>492</v>
      </c>
      <c r="V536" t="s">
        <v>1551</v>
      </c>
      <c r="W536" t="s">
        <v>1185</v>
      </c>
    </row>
    <row r="537" spans="1:23" x14ac:dyDescent="0.25">
      <c r="A537" t="s">
        <v>1560</v>
      </c>
      <c r="B537" t="s">
        <v>1560</v>
      </c>
      <c r="C537">
        <v>0</v>
      </c>
      <c r="D537" s="3">
        <v>0</v>
      </c>
      <c r="E537">
        <v>11</v>
      </c>
      <c r="G537">
        <v>0</v>
      </c>
      <c r="H537">
        <v>4</v>
      </c>
      <c r="I537">
        <v>0</v>
      </c>
      <c r="J537">
        <v>0</v>
      </c>
      <c r="K537">
        <v>3</v>
      </c>
      <c r="L537">
        <v>2</v>
      </c>
      <c r="M537">
        <v>0</v>
      </c>
      <c r="N537">
        <v>0</v>
      </c>
      <c r="O537">
        <v>0</v>
      </c>
      <c r="P537">
        <v>0</v>
      </c>
      <c r="Q537">
        <v>5</v>
      </c>
      <c r="R537">
        <v>0</v>
      </c>
      <c r="S537">
        <v>14</v>
      </c>
      <c r="T537" t="s">
        <v>1102</v>
      </c>
      <c r="U537" t="s">
        <v>492</v>
      </c>
      <c r="V537" t="s">
        <v>1559</v>
      </c>
      <c r="W537" t="s">
        <v>1185</v>
      </c>
    </row>
    <row r="538" spans="1:23" x14ac:dyDescent="0.25">
      <c r="A538" t="s">
        <v>1561</v>
      </c>
      <c r="B538" t="s">
        <v>1561</v>
      </c>
      <c r="C538">
        <v>0</v>
      </c>
      <c r="D538" s="3">
        <v>0</v>
      </c>
      <c r="E538">
        <v>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2</v>
      </c>
      <c r="P538">
        <v>0</v>
      </c>
      <c r="Q538">
        <v>0</v>
      </c>
      <c r="R538">
        <v>0</v>
      </c>
      <c r="S538">
        <v>2</v>
      </c>
      <c r="T538" t="s">
        <v>1102</v>
      </c>
      <c r="U538" t="s">
        <v>492</v>
      </c>
      <c r="V538" t="s">
        <v>1559</v>
      </c>
      <c r="W538" t="s">
        <v>1187</v>
      </c>
    </row>
    <row r="539" spans="1:23" x14ac:dyDescent="0.25">
      <c r="A539" t="s">
        <v>1564</v>
      </c>
      <c r="B539" t="s">
        <v>1564</v>
      </c>
      <c r="C539">
        <v>0</v>
      </c>
      <c r="D539" s="3">
        <v>0</v>
      </c>
      <c r="E539">
        <v>11</v>
      </c>
      <c r="G539">
        <v>0</v>
      </c>
      <c r="H539">
        <v>4</v>
      </c>
      <c r="I539">
        <v>0</v>
      </c>
      <c r="J539">
        <v>0</v>
      </c>
      <c r="K539">
        <v>3</v>
      </c>
      <c r="L539">
        <v>2</v>
      </c>
      <c r="M539">
        <v>0</v>
      </c>
      <c r="N539">
        <v>0</v>
      </c>
      <c r="O539">
        <v>0</v>
      </c>
      <c r="P539">
        <v>0</v>
      </c>
      <c r="Q539">
        <v>5</v>
      </c>
      <c r="R539">
        <v>0</v>
      </c>
      <c r="S539">
        <v>14</v>
      </c>
      <c r="T539" t="s">
        <v>1102</v>
      </c>
      <c r="U539" t="s">
        <v>492</v>
      </c>
      <c r="V539" t="s">
        <v>1563</v>
      </c>
      <c r="W539" t="s">
        <v>1185</v>
      </c>
    </row>
    <row r="540" spans="1:23" x14ac:dyDescent="0.25">
      <c r="A540" t="s">
        <v>1565</v>
      </c>
      <c r="B540" t="s">
        <v>1565</v>
      </c>
      <c r="C540">
        <v>0</v>
      </c>
      <c r="D540" s="3">
        <v>0</v>
      </c>
      <c r="E540">
        <v>8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</v>
      </c>
      <c r="P540">
        <v>0</v>
      </c>
      <c r="Q540">
        <v>0</v>
      </c>
      <c r="R540">
        <v>0</v>
      </c>
      <c r="S540">
        <v>2</v>
      </c>
      <c r="T540" t="s">
        <v>1102</v>
      </c>
      <c r="U540" t="s">
        <v>492</v>
      </c>
      <c r="V540" t="s">
        <v>1563</v>
      </c>
      <c r="W540" t="s">
        <v>1187</v>
      </c>
    </row>
    <row r="541" spans="1:23" x14ac:dyDescent="0.25">
      <c r="A541" t="s">
        <v>1568</v>
      </c>
      <c r="B541" t="s">
        <v>1568</v>
      </c>
      <c r="C541">
        <v>0</v>
      </c>
      <c r="D541" s="3">
        <v>0</v>
      </c>
      <c r="E541">
        <v>3</v>
      </c>
      <c r="G541">
        <v>0</v>
      </c>
      <c r="H541">
        <v>0</v>
      </c>
      <c r="I541">
        <v>0</v>
      </c>
      <c r="J541">
        <v>0</v>
      </c>
      <c r="K541">
        <v>3</v>
      </c>
      <c r="L541">
        <v>0</v>
      </c>
      <c r="M541">
        <v>0</v>
      </c>
      <c r="N541">
        <v>0</v>
      </c>
      <c r="O541">
        <v>3</v>
      </c>
      <c r="P541">
        <v>0</v>
      </c>
      <c r="Q541">
        <v>0</v>
      </c>
      <c r="R541">
        <v>0</v>
      </c>
      <c r="S541">
        <v>6</v>
      </c>
      <c r="T541" t="s">
        <v>1102</v>
      </c>
      <c r="U541" t="s">
        <v>492</v>
      </c>
      <c r="V541" t="s">
        <v>1567</v>
      </c>
      <c r="W541" t="s">
        <v>1185</v>
      </c>
    </row>
    <row r="542" spans="1:23" x14ac:dyDescent="0.25">
      <c r="A542" t="s">
        <v>1584</v>
      </c>
      <c r="B542" t="s">
        <v>1584</v>
      </c>
      <c r="C542">
        <v>0</v>
      </c>
      <c r="D542" s="3">
        <v>0</v>
      </c>
      <c r="E542">
        <v>6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2</v>
      </c>
      <c r="R542">
        <v>0</v>
      </c>
      <c r="S542">
        <v>2</v>
      </c>
      <c r="T542" t="s">
        <v>1102</v>
      </c>
      <c r="U542" t="s">
        <v>492</v>
      </c>
      <c r="V542" t="s">
        <v>1583</v>
      </c>
      <c r="W542" t="s">
        <v>1185</v>
      </c>
    </row>
    <row r="543" spans="1:23" x14ac:dyDescent="0.25">
      <c r="A543" t="s">
        <v>1590</v>
      </c>
      <c r="B543" t="s">
        <v>1590</v>
      </c>
      <c r="C543">
        <v>0</v>
      </c>
      <c r="D543" s="3">
        <v>0</v>
      </c>
      <c r="E543">
        <v>8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 t="s">
        <v>1102</v>
      </c>
      <c r="U543" t="s">
        <v>492</v>
      </c>
      <c r="V543" t="s">
        <v>1589</v>
      </c>
      <c r="W543" t="s">
        <v>1185</v>
      </c>
    </row>
    <row r="544" spans="1:23" x14ac:dyDescent="0.25">
      <c r="A544" t="s">
        <v>1594</v>
      </c>
      <c r="B544" t="s">
        <v>1594</v>
      </c>
      <c r="C544">
        <v>0</v>
      </c>
      <c r="D544" s="3">
        <v>0</v>
      </c>
      <c r="E544">
        <v>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1102</v>
      </c>
      <c r="U544" t="s">
        <v>492</v>
      </c>
      <c r="V544" t="s">
        <v>1593</v>
      </c>
      <c r="W544" t="s">
        <v>1185</v>
      </c>
    </row>
    <row r="545" spans="1:23" x14ac:dyDescent="0.25">
      <c r="A545" t="s">
        <v>1598</v>
      </c>
      <c r="B545" t="s">
        <v>1598</v>
      </c>
      <c r="C545">
        <v>0</v>
      </c>
      <c r="D545" s="3">
        <v>0</v>
      </c>
      <c r="E545">
        <v>6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2</v>
      </c>
      <c r="R545">
        <v>0</v>
      </c>
      <c r="S545">
        <v>2</v>
      </c>
      <c r="T545" t="s">
        <v>1102</v>
      </c>
      <c r="U545" t="s">
        <v>492</v>
      </c>
      <c r="V545" t="s">
        <v>1597</v>
      </c>
      <c r="W545" t="s">
        <v>1185</v>
      </c>
    </row>
    <row r="546" spans="1:23" x14ac:dyDescent="0.25">
      <c r="A546" t="s">
        <v>1602</v>
      </c>
      <c r="B546" t="s">
        <v>1602</v>
      </c>
      <c r="C546">
        <v>0</v>
      </c>
      <c r="D546" s="3">
        <v>0</v>
      </c>
      <c r="E546">
        <v>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 t="s">
        <v>1102</v>
      </c>
      <c r="U546" t="s">
        <v>492</v>
      </c>
      <c r="V546" t="s">
        <v>1601</v>
      </c>
      <c r="W546" t="s">
        <v>1185</v>
      </c>
    </row>
    <row r="547" spans="1:23" x14ac:dyDescent="0.25">
      <c r="A547" t="s">
        <v>1642</v>
      </c>
      <c r="B547" t="s">
        <v>1642</v>
      </c>
      <c r="C547">
        <v>0</v>
      </c>
      <c r="D547" s="3">
        <v>0</v>
      </c>
      <c r="E547">
        <v>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</v>
      </c>
      <c r="P547">
        <v>0</v>
      </c>
      <c r="Q547">
        <v>3</v>
      </c>
      <c r="R547">
        <v>0</v>
      </c>
      <c r="S547">
        <v>5</v>
      </c>
      <c r="T547" t="s">
        <v>1102</v>
      </c>
      <c r="U547" t="s">
        <v>492</v>
      </c>
      <c r="V547" t="s">
        <v>1641</v>
      </c>
      <c r="W547" t="s">
        <v>1185</v>
      </c>
    </row>
    <row r="548" spans="1:23" x14ac:dyDescent="0.25">
      <c r="A548" t="s">
        <v>1648</v>
      </c>
      <c r="B548" t="s">
        <v>1648</v>
      </c>
      <c r="C548">
        <v>0</v>
      </c>
      <c r="D548" s="3">
        <v>0</v>
      </c>
      <c r="E548">
        <v>7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3</v>
      </c>
      <c r="R548">
        <v>0</v>
      </c>
      <c r="S548">
        <v>4</v>
      </c>
      <c r="T548" t="s">
        <v>1102</v>
      </c>
      <c r="U548" t="s">
        <v>492</v>
      </c>
      <c r="V548" t="s">
        <v>1647</v>
      </c>
      <c r="W548" t="s">
        <v>1185</v>
      </c>
    </row>
    <row r="549" spans="1:23" x14ac:dyDescent="0.25">
      <c r="A549" t="s">
        <v>1651</v>
      </c>
      <c r="B549" t="s">
        <v>1651</v>
      </c>
      <c r="C549">
        <v>0</v>
      </c>
      <c r="D549" s="3">
        <v>0</v>
      </c>
      <c r="E549">
        <v>10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1</v>
      </c>
      <c r="T549" t="s">
        <v>1102</v>
      </c>
      <c r="U549" t="s">
        <v>492</v>
      </c>
      <c r="V549" t="s">
        <v>1650</v>
      </c>
      <c r="W549" t="s">
        <v>1185</v>
      </c>
    </row>
    <row r="550" spans="1:23" x14ac:dyDescent="0.25">
      <c r="A550" t="s">
        <v>1805</v>
      </c>
      <c r="B550" t="s">
        <v>1805</v>
      </c>
      <c r="C550">
        <v>282.5</v>
      </c>
      <c r="D550" s="3">
        <v>282.5</v>
      </c>
      <c r="E550">
        <v>14009</v>
      </c>
      <c r="G550">
        <v>27</v>
      </c>
      <c r="H550">
        <v>213</v>
      </c>
      <c r="I550">
        <v>154</v>
      </c>
      <c r="J550">
        <v>258</v>
      </c>
      <c r="K550">
        <v>258</v>
      </c>
      <c r="L550">
        <v>307</v>
      </c>
      <c r="M550">
        <v>228</v>
      </c>
      <c r="N550">
        <v>526</v>
      </c>
      <c r="O550">
        <v>886</v>
      </c>
      <c r="P550">
        <v>756</v>
      </c>
      <c r="Q550">
        <v>513</v>
      </c>
      <c r="R550">
        <v>646</v>
      </c>
      <c r="S550">
        <v>4772</v>
      </c>
      <c r="T550" t="s">
        <v>1806</v>
      </c>
      <c r="U550" t="s">
        <v>84</v>
      </c>
      <c r="V550" t="s">
        <v>83</v>
      </c>
      <c r="W550" t="s">
        <v>1104</v>
      </c>
    </row>
    <row r="551" spans="1:23" x14ac:dyDescent="0.25">
      <c r="A551" t="s">
        <v>1807</v>
      </c>
      <c r="B551" t="s">
        <v>1807</v>
      </c>
      <c r="C551">
        <v>21</v>
      </c>
      <c r="D551" s="3">
        <v>21</v>
      </c>
      <c r="E551">
        <v>402</v>
      </c>
      <c r="G551">
        <v>0</v>
      </c>
      <c r="H551">
        <v>3</v>
      </c>
      <c r="I551">
        <v>15</v>
      </c>
      <c r="J551">
        <v>6</v>
      </c>
      <c r="K551">
        <v>42</v>
      </c>
      <c r="L551">
        <v>18</v>
      </c>
      <c r="M551">
        <v>57</v>
      </c>
      <c r="N551">
        <v>24</v>
      </c>
      <c r="O551">
        <v>63</v>
      </c>
      <c r="P551">
        <v>177</v>
      </c>
      <c r="Q551">
        <v>0</v>
      </c>
      <c r="R551">
        <v>129</v>
      </c>
      <c r="S551">
        <v>534</v>
      </c>
      <c r="T551" t="s">
        <v>1806</v>
      </c>
      <c r="U551" t="s">
        <v>84</v>
      </c>
      <c r="V551" t="s">
        <v>83</v>
      </c>
      <c r="W551" t="s">
        <v>1106</v>
      </c>
    </row>
    <row r="552" spans="1:23" x14ac:dyDescent="0.25">
      <c r="A552" t="s">
        <v>1808</v>
      </c>
      <c r="B552" t="s">
        <v>1808</v>
      </c>
      <c r="C552">
        <v>58.5</v>
      </c>
      <c r="D552" s="3">
        <v>58.5</v>
      </c>
      <c r="E552">
        <v>1305</v>
      </c>
      <c r="G552">
        <v>6</v>
      </c>
      <c r="H552">
        <v>66</v>
      </c>
      <c r="I552">
        <v>57</v>
      </c>
      <c r="J552">
        <v>60</v>
      </c>
      <c r="K552">
        <v>57</v>
      </c>
      <c r="L552">
        <v>42</v>
      </c>
      <c r="M552">
        <v>27</v>
      </c>
      <c r="N552">
        <v>60</v>
      </c>
      <c r="O552">
        <v>87</v>
      </c>
      <c r="P552">
        <v>93</v>
      </c>
      <c r="Q552">
        <v>27</v>
      </c>
      <c r="R552">
        <v>324</v>
      </c>
      <c r="S552">
        <v>906</v>
      </c>
      <c r="T552" t="s">
        <v>1806</v>
      </c>
      <c r="U552" t="s">
        <v>84</v>
      </c>
      <c r="V552" t="s">
        <v>83</v>
      </c>
      <c r="W552" t="s">
        <v>1108</v>
      </c>
    </row>
    <row r="553" spans="1:23" x14ac:dyDescent="0.25">
      <c r="A553" t="s">
        <v>1809</v>
      </c>
      <c r="B553" t="s">
        <v>1809</v>
      </c>
      <c r="C553">
        <v>0</v>
      </c>
      <c r="D553" s="3">
        <v>0</v>
      </c>
      <c r="E553">
        <v>12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24</v>
      </c>
      <c r="P553">
        <v>0</v>
      </c>
      <c r="Q553">
        <v>0</v>
      </c>
      <c r="R553">
        <v>30</v>
      </c>
      <c r="S553">
        <v>54</v>
      </c>
      <c r="T553" t="s">
        <v>1806</v>
      </c>
      <c r="U553" t="s">
        <v>84</v>
      </c>
      <c r="V553" t="s">
        <v>83</v>
      </c>
      <c r="W553" t="s">
        <v>1129</v>
      </c>
    </row>
    <row r="554" spans="1:23" x14ac:dyDescent="0.25">
      <c r="A554" t="s">
        <v>1810</v>
      </c>
      <c r="B554" t="s">
        <v>1810</v>
      </c>
      <c r="C554">
        <v>24</v>
      </c>
      <c r="D554" s="3">
        <v>24</v>
      </c>
      <c r="E554">
        <v>513</v>
      </c>
      <c r="G554">
        <v>0</v>
      </c>
      <c r="H554">
        <v>42</v>
      </c>
      <c r="I554">
        <v>0</v>
      </c>
      <c r="J554">
        <v>138</v>
      </c>
      <c r="K554">
        <v>51</v>
      </c>
      <c r="L554">
        <v>24</v>
      </c>
      <c r="M554">
        <v>0</v>
      </c>
      <c r="N554">
        <v>9</v>
      </c>
      <c r="O554">
        <v>24</v>
      </c>
      <c r="P554">
        <v>33</v>
      </c>
      <c r="Q554">
        <v>3</v>
      </c>
      <c r="R554">
        <v>111</v>
      </c>
      <c r="S554">
        <v>435</v>
      </c>
      <c r="T554" t="s">
        <v>1806</v>
      </c>
      <c r="U554" t="s">
        <v>84</v>
      </c>
      <c r="V554" t="s">
        <v>83</v>
      </c>
      <c r="W554" t="s">
        <v>1131</v>
      </c>
    </row>
    <row r="555" spans="1:23" x14ac:dyDescent="0.25">
      <c r="A555" t="s">
        <v>1811</v>
      </c>
      <c r="B555" t="s">
        <v>1811</v>
      </c>
      <c r="C555">
        <v>0</v>
      </c>
      <c r="D555" s="3">
        <v>0</v>
      </c>
      <c r="E555">
        <v>33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6</v>
      </c>
      <c r="O555">
        <v>24</v>
      </c>
      <c r="P555">
        <v>0</v>
      </c>
      <c r="Q555">
        <v>0</v>
      </c>
      <c r="R555">
        <v>0</v>
      </c>
      <c r="S555">
        <v>30</v>
      </c>
      <c r="T555" t="s">
        <v>1806</v>
      </c>
      <c r="U555" t="s">
        <v>84</v>
      </c>
      <c r="V555" t="s">
        <v>83</v>
      </c>
      <c r="W555" t="s">
        <v>1812</v>
      </c>
    </row>
    <row r="556" spans="1:23" x14ac:dyDescent="0.25">
      <c r="A556" t="s">
        <v>1813</v>
      </c>
      <c r="B556" t="s">
        <v>1813</v>
      </c>
      <c r="C556">
        <v>10.5</v>
      </c>
      <c r="D556" s="3">
        <v>10.5</v>
      </c>
      <c r="E556">
        <v>420</v>
      </c>
      <c r="G556">
        <v>0</v>
      </c>
      <c r="H556">
        <v>15</v>
      </c>
      <c r="I556">
        <v>0</v>
      </c>
      <c r="J556">
        <v>165</v>
      </c>
      <c r="K556">
        <v>30</v>
      </c>
      <c r="L556">
        <v>15</v>
      </c>
      <c r="M556">
        <v>0</v>
      </c>
      <c r="N556">
        <v>6</v>
      </c>
      <c r="O556">
        <v>24</v>
      </c>
      <c r="P556">
        <v>0</v>
      </c>
      <c r="Q556">
        <v>0</v>
      </c>
      <c r="R556">
        <v>66</v>
      </c>
      <c r="S556">
        <v>321</v>
      </c>
      <c r="T556" t="s">
        <v>1806</v>
      </c>
      <c r="U556" t="s">
        <v>84</v>
      </c>
      <c r="V556" t="s">
        <v>83</v>
      </c>
      <c r="W556" t="s">
        <v>1814</v>
      </c>
    </row>
    <row r="557" spans="1:23" x14ac:dyDescent="0.25">
      <c r="A557" t="s">
        <v>1815</v>
      </c>
      <c r="B557" t="s">
        <v>1815</v>
      </c>
      <c r="C557">
        <v>0</v>
      </c>
      <c r="D557" s="3">
        <v>0</v>
      </c>
      <c r="E557">
        <v>0</v>
      </c>
      <c r="G557">
        <v>0</v>
      </c>
      <c r="H557">
        <v>0</v>
      </c>
      <c r="I557">
        <v>0</v>
      </c>
      <c r="J557">
        <v>60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60</v>
      </c>
      <c r="T557" t="s">
        <v>1806</v>
      </c>
      <c r="U557" t="s">
        <v>84</v>
      </c>
      <c r="V557" t="s">
        <v>83</v>
      </c>
      <c r="W557" t="s">
        <v>1816</v>
      </c>
    </row>
    <row r="558" spans="1:23" x14ac:dyDescent="0.25">
      <c r="A558" t="s">
        <v>1817</v>
      </c>
      <c r="B558" t="s">
        <v>1817</v>
      </c>
      <c r="C558">
        <v>1.5</v>
      </c>
      <c r="D558" s="3">
        <v>1.5</v>
      </c>
      <c r="E558">
        <v>558</v>
      </c>
      <c r="G558">
        <v>0</v>
      </c>
      <c r="H558">
        <v>15</v>
      </c>
      <c r="I558">
        <v>0</v>
      </c>
      <c r="J558">
        <v>90</v>
      </c>
      <c r="K558">
        <v>0</v>
      </c>
      <c r="L558">
        <v>3</v>
      </c>
      <c r="M558">
        <v>0</v>
      </c>
      <c r="N558">
        <v>6</v>
      </c>
      <c r="O558">
        <v>30</v>
      </c>
      <c r="P558">
        <v>0</v>
      </c>
      <c r="Q558">
        <v>0</v>
      </c>
      <c r="R558">
        <v>30</v>
      </c>
      <c r="S558">
        <v>174</v>
      </c>
      <c r="T558" t="s">
        <v>1806</v>
      </c>
      <c r="U558" t="s">
        <v>84</v>
      </c>
      <c r="V558" t="s">
        <v>83</v>
      </c>
      <c r="W558" t="s">
        <v>1818</v>
      </c>
    </row>
    <row r="559" spans="1:23" x14ac:dyDescent="0.25">
      <c r="A559" t="s">
        <v>1819</v>
      </c>
      <c r="B559" t="s">
        <v>1819</v>
      </c>
      <c r="C559">
        <v>0</v>
      </c>
      <c r="D559" s="3">
        <v>0</v>
      </c>
      <c r="E559">
        <v>0</v>
      </c>
      <c r="G559">
        <v>0</v>
      </c>
      <c r="H559">
        <v>0</v>
      </c>
      <c r="I559">
        <v>0</v>
      </c>
      <c r="J559">
        <v>56</v>
      </c>
      <c r="K559">
        <v>8</v>
      </c>
      <c r="L559">
        <v>4</v>
      </c>
      <c r="M559">
        <v>0</v>
      </c>
      <c r="N559">
        <v>0</v>
      </c>
      <c r="O559">
        <v>8</v>
      </c>
      <c r="P559">
        <v>0</v>
      </c>
      <c r="Q559">
        <v>0</v>
      </c>
      <c r="R559">
        <v>0</v>
      </c>
      <c r="S559">
        <v>76</v>
      </c>
      <c r="T559" t="s">
        <v>1806</v>
      </c>
      <c r="U559" t="s">
        <v>1820</v>
      </c>
      <c r="V559" t="s">
        <v>45</v>
      </c>
      <c r="W559" t="s">
        <v>1104</v>
      </c>
    </row>
    <row r="560" spans="1:23" x14ac:dyDescent="0.25">
      <c r="A560" t="s">
        <v>1821</v>
      </c>
      <c r="B560" t="s">
        <v>1821</v>
      </c>
      <c r="C560">
        <v>22</v>
      </c>
      <c r="D560" s="3">
        <v>22</v>
      </c>
      <c r="E560">
        <v>3568</v>
      </c>
      <c r="G560">
        <v>0</v>
      </c>
      <c r="H560">
        <v>0</v>
      </c>
      <c r="I560">
        <v>4</v>
      </c>
      <c r="J560">
        <v>20</v>
      </c>
      <c r="K560">
        <v>32</v>
      </c>
      <c r="L560">
        <v>4</v>
      </c>
      <c r="M560">
        <v>24</v>
      </c>
      <c r="N560">
        <v>16</v>
      </c>
      <c r="O560">
        <v>76</v>
      </c>
      <c r="P560">
        <v>76</v>
      </c>
      <c r="Q560">
        <v>128</v>
      </c>
      <c r="R560">
        <v>24</v>
      </c>
      <c r="S560">
        <v>404</v>
      </c>
      <c r="T560" t="s">
        <v>1806</v>
      </c>
      <c r="U560" t="s">
        <v>128</v>
      </c>
      <c r="V560" t="s">
        <v>83</v>
      </c>
      <c r="W560" t="s">
        <v>1104</v>
      </c>
    </row>
    <row r="561" spans="1:23" x14ac:dyDescent="0.25">
      <c r="A561" t="s">
        <v>1822</v>
      </c>
      <c r="B561" t="s">
        <v>1822</v>
      </c>
      <c r="C561">
        <v>0</v>
      </c>
      <c r="D561" s="3">
        <v>0</v>
      </c>
      <c r="E561">
        <v>975</v>
      </c>
      <c r="G561">
        <v>0</v>
      </c>
      <c r="H561">
        <v>0</v>
      </c>
      <c r="I561">
        <v>4</v>
      </c>
      <c r="J561">
        <v>8</v>
      </c>
      <c r="K561">
        <v>16</v>
      </c>
      <c r="L561">
        <v>4</v>
      </c>
      <c r="M561">
        <v>-8</v>
      </c>
      <c r="N561">
        <v>0</v>
      </c>
      <c r="O561">
        <v>-4</v>
      </c>
      <c r="P561">
        <v>4</v>
      </c>
      <c r="Q561">
        <v>0</v>
      </c>
      <c r="R561">
        <v>0</v>
      </c>
      <c r="S561">
        <v>24</v>
      </c>
      <c r="T561" t="s">
        <v>1806</v>
      </c>
      <c r="U561" t="s">
        <v>128</v>
      </c>
      <c r="V561" t="s">
        <v>83</v>
      </c>
      <c r="W561" t="s">
        <v>1106</v>
      </c>
    </row>
    <row r="562" spans="1:23" x14ac:dyDescent="0.25">
      <c r="A562" t="s">
        <v>1823</v>
      </c>
      <c r="B562" t="s">
        <v>1823</v>
      </c>
      <c r="C562">
        <v>2</v>
      </c>
      <c r="D562" s="3">
        <v>2</v>
      </c>
      <c r="E562">
        <v>968</v>
      </c>
      <c r="G562">
        <v>0</v>
      </c>
      <c r="H562">
        <v>0</v>
      </c>
      <c r="I562">
        <v>4</v>
      </c>
      <c r="J562">
        <v>8</v>
      </c>
      <c r="K562">
        <v>16</v>
      </c>
      <c r="L562">
        <v>16</v>
      </c>
      <c r="M562">
        <v>-4</v>
      </c>
      <c r="N562">
        <v>0</v>
      </c>
      <c r="O562">
        <v>48</v>
      </c>
      <c r="P562">
        <v>4</v>
      </c>
      <c r="Q562">
        <v>0</v>
      </c>
      <c r="R562">
        <v>0</v>
      </c>
      <c r="S562">
        <v>92</v>
      </c>
      <c r="T562" t="s">
        <v>1806</v>
      </c>
      <c r="U562" t="s">
        <v>128</v>
      </c>
      <c r="V562" t="s">
        <v>83</v>
      </c>
      <c r="W562" t="s">
        <v>1108</v>
      </c>
    </row>
    <row r="563" spans="1:23" x14ac:dyDescent="0.25">
      <c r="A563" t="s">
        <v>1824</v>
      </c>
      <c r="B563" t="s">
        <v>1824</v>
      </c>
      <c r="C563">
        <v>0</v>
      </c>
      <c r="D563" s="3">
        <v>0</v>
      </c>
      <c r="E563">
        <v>0</v>
      </c>
      <c r="G563">
        <v>0</v>
      </c>
      <c r="H563">
        <v>0</v>
      </c>
      <c r="I563">
        <v>0</v>
      </c>
      <c r="J563">
        <v>24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24</v>
      </c>
      <c r="T563" t="s">
        <v>1806</v>
      </c>
      <c r="U563" t="s">
        <v>128</v>
      </c>
      <c r="V563" t="s">
        <v>83</v>
      </c>
      <c r="W563" t="s">
        <v>1129</v>
      </c>
    </row>
    <row r="564" spans="1:23" x14ac:dyDescent="0.25">
      <c r="A564" t="s">
        <v>1825</v>
      </c>
      <c r="B564" t="s">
        <v>1825</v>
      </c>
      <c r="C564">
        <v>26</v>
      </c>
      <c r="D564" s="3">
        <v>26</v>
      </c>
      <c r="E564">
        <v>3820</v>
      </c>
      <c r="G564">
        <v>4</v>
      </c>
      <c r="H564">
        <v>0</v>
      </c>
      <c r="I564">
        <v>4</v>
      </c>
      <c r="J564">
        <v>12</v>
      </c>
      <c r="K564">
        <v>36</v>
      </c>
      <c r="L564">
        <v>24</v>
      </c>
      <c r="M564">
        <v>52</v>
      </c>
      <c r="N564">
        <v>28</v>
      </c>
      <c r="O564">
        <v>128</v>
      </c>
      <c r="P564">
        <v>64</v>
      </c>
      <c r="Q564">
        <v>168</v>
      </c>
      <c r="R564">
        <v>20</v>
      </c>
      <c r="S564">
        <v>540</v>
      </c>
      <c r="T564" t="s">
        <v>1806</v>
      </c>
      <c r="U564" t="s">
        <v>145</v>
      </c>
      <c r="V564" t="s">
        <v>83</v>
      </c>
      <c r="W564" t="s">
        <v>1104</v>
      </c>
    </row>
    <row r="565" spans="1:23" x14ac:dyDescent="0.25">
      <c r="A565" t="s">
        <v>1826</v>
      </c>
      <c r="B565" t="s">
        <v>1826</v>
      </c>
      <c r="C565">
        <v>0</v>
      </c>
      <c r="D565" s="3">
        <v>0</v>
      </c>
      <c r="E565">
        <v>460</v>
      </c>
      <c r="G565">
        <v>0</v>
      </c>
      <c r="H565">
        <v>0</v>
      </c>
      <c r="I565">
        <v>4</v>
      </c>
      <c r="J565">
        <v>8</v>
      </c>
      <c r="K565">
        <v>8</v>
      </c>
      <c r="L565">
        <v>8</v>
      </c>
      <c r="M565">
        <v>-4</v>
      </c>
      <c r="N565">
        <v>0</v>
      </c>
      <c r="O565">
        <v>-4</v>
      </c>
      <c r="P565">
        <v>12</v>
      </c>
      <c r="Q565">
        <v>0</v>
      </c>
      <c r="R565">
        <v>0</v>
      </c>
      <c r="S565">
        <v>32</v>
      </c>
      <c r="T565" t="s">
        <v>1806</v>
      </c>
      <c r="U565" t="s">
        <v>145</v>
      </c>
      <c r="V565" t="s">
        <v>83</v>
      </c>
      <c r="W565" t="s">
        <v>1106</v>
      </c>
    </row>
    <row r="566" spans="1:23" x14ac:dyDescent="0.25">
      <c r="A566" t="s">
        <v>1827</v>
      </c>
      <c r="B566" t="s">
        <v>1827</v>
      </c>
      <c r="C566">
        <v>2</v>
      </c>
      <c r="D566" s="3">
        <v>2</v>
      </c>
      <c r="E566">
        <v>896</v>
      </c>
      <c r="G566">
        <v>0</v>
      </c>
      <c r="H566">
        <v>0</v>
      </c>
      <c r="I566">
        <v>0</v>
      </c>
      <c r="J566">
        <v>128</v>
      </c>
      <c r="K566">
        <v>0</v>
      </c>
      <c r="L566">
        <v>16</v>
      </c>
      <c r="M566">
        <v>4</v>
      </c>
      <c r="N566">
        <v>0</v>
      </c>
      <c r="O566">
        <v>72</v>
      </c>
      <c r="P566">
        <v>28</v>
      </c>
      <c r="Q566">
        <v>80</v>
      </c>
      <c r="R566">
        <v>0</v>
      </c>
      <c r="S566">
        <v>328</v>
      </c>
      <c r="T566" t="s">
        <v>1806</v>
      </c>
      <c r="U566" t="s">
        <v>145</v>
      </c>
      <c r="V566" t="s">
        <v>83</v>
      </c>
      <c r="W566" t="s">
        <v>1108</v>
      </c>
    </row>
    <row r="567" spans="1:23" x14ac:dyDescent="0.25">
      <c r="A567" t="s">
        <v>1828</v>
      </c>
      <c r="B567" t="s">
        <v>1828</v>
      </c>
      <c r="C567">
        <v>0</v>
      </c>
      <c r="D567" s="3">
        <v>0</v>
      </c>
      <c r="E567">
        <v>0</v>
      </c>
      <c r="G567">
        <v>0</v>
      </c>
      <c r="H567">
        <v>0</v>
      </c>
      <c r="I567">
        <v>0</v>
      </c>
      <c r="J567">
        <v>52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52</v>
      </c>
      <c r="T567" t="s">
        <v>1806</v>
      </c>
      <c r="U567" t="s">
        <v>145</v>
      </c>
      <c r="V567" t="s">
        <v>83</v>
      </c>
      <c r="W567" t="s">
        <v>1129</v>
      </c>
    </row>
    <row r="568" spans="1:23" x14ac:dyDescent="0.25">
      <c r="A568" t="s">
        <v>1829</v>
      </c>
      <c r="B568" t="s">
        <v>1829</v>
      </c>
      <c r="C568">
        <v>10</v>
      </c>
      <c r="D568" s="3">
        <v>10</v>
      </c>
      <c r="E568">
        <v>1840</v>
      </c>
      <c r="G568">
        <v>0</v>
      </c>
      <c r="H568">
        <v>0</v>
      </c>
      <c r="I568">
        <v>0</v>
      </c>
      <c r="J568">
        <v>0</v>
      </c>
      <c r="K568">
        <v>8</v>
      </c>
      <c r="L568">
        <v>20</v>
      </c>
      <c r="M568">
        <v>12</v>
      </c>
      <c r="N568">
        <v>8</v>
      </c>
      <c r="O568">
        <v>112</v>
      </c>
      <c r="P568">
        <v>36</v>
      </c>
      <c r="Q568">
        <v>16</v>
      </c>
      <c r="R568">
        <v>12</v>
      </c>
      <c r="S568">
        <v>224</v>
      </c>
      <c r="T568" t="s">
        <v>1806</v>
      </c>
      <c r="U568" t="s">
        <v>60</v>
      </c>
      <c r="V568" t="s">
        <v>83</v>
      </c>
      <c r="W568" t="s">
        <v>1104</v>
      </c>
    </row>
    <row r="569" spans="1:23" x14ac:dyDescent="0.25">
      <c r="A569" t="s">
        <v>1830</v>
      </c>
      <c r="B569" t="s">
        <v>1830</v>
      </c>
      <c r="C569">
        <v>0</v>
      </c>
      <c r="D569" s="3">
        <v>0</v>
      </c>
      <c r="E569">
        <v>528</v>
      </c>
      <c r="G569">
        <v>0</v>
      </c>
      <c r="H569">
        <v>0</v>
      </c>
      <c r="I569">
        <v>4</v>
      </c>
      <c r="J569">
        <v>64</v>
      </c>
      <c r="K569">
        <v>0</v>
      </c>
      <c r="L569">
        <v>12</v>
      </c>
      <c r="M569">
        <v>0</v>
      </c>
      <c r="N569">
        <v>0</v>
      </c>
      <c r="O569">
        <v>0</v>
      </c>
      <c r="P569">
        <v>60</v>
      </c>
      <c r="Q569">
        <v>0</v>
      </c>
      <c r="R569">
        <v>0</v>
      </c>
      <c r="S569">
        <v>140</v>
      </c>
      <c r="T569" t="s">
        <v>1806</v>
      </c>
      <c r="U569" t="s">
        <v>60</v>
      </c>
      <c r="V569" t="s">
        <v>83</v>
      </c>
      <c r="W569" t="s">
        <v>1106</v>
      </c>
    </row>
    <row r="570" spans="1:23" x14ac:dyDescent="0.25">
      <c r="A570" t="s">
        <v>1831</v>
      </c>
      <c r="B570" t="s">
        <v>1831</v>
      </c>
      <c r="C570">
        <v>0</v>
      </c>
      <c r="D570" s="3">
        <v>0</v>
      </c>
      <c r="E570">
        <v>500</v>
      </c>
      <c r="G570">
        <v>0</v>
      </c>
      <c r="H570">
        <v>0</v>
      </c>
      <c r="I570">
        <v>4</v>
      </c>
      <c r="J570">
        <v>64</v>
      </c>
      <c r="K570">
        <v>0</v>
      </c>
      <c r="L570">
        <v>8</v>
      </c>
      <c r="M570">
        <v>-4</v>
      </c>
      <c r="N570">
        <v>0</v>
      </c>
      <c r="O570">
        <v>40</v>
      </c>
      <c r="P570">
        <v>68</v>
      </c>
      <c r="Q570">
        <v>0</v>
      </c>
      <c r="R570">
        <v>0</v>
      </c>
      <c r="S570">
        <v>180</v>
      </c>
      <c r="T570" t="s">
        <v>1806</v>
      </c>
      <c r="U570" t="s">
        <v>60</v>
      </c>
      <c r="V570" t="s">
        <v>83</v>
      </c>
      <c r="W570" t="s">
        <v>1108</v>
      </c>
    </row>
    <row r="571" spans="1:23" x14ac:dyDescent="0.25">
      <c r="A571" t="s">
        <v>1832</v>
      </c>
      <c r="B571" t="s">
        <v>1832</v>
      </c>
      <c r="C571">
        <v>0</v>
      </c>
      <c r="D571" s="3">
        <v>0</v>
      </c>
      <c r="E571">
        <v>0</v>
      </c>
      <c r="G571">
        <v>0</v>
      </c>
      <c r="H571">
        <v>0</v>
      </c>
      <c r="I571">
        <v>0</v>
      </c>
      <c r="J571">
        <v>68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68</v>
      </c>
      <c r="T571" t="s">
        <v>1806</v>
      </c>
      <c r="U571" t="s">
        <v>1833</v>
      </c>
      <c r="V571" t="s">
        <v>180</v>
      </c>
      <c r="W571" t="s">
        <v>1104</v>
      </c>
    </row>
    <row r="572" spans="1:23" x14ac:dyDescent="0.25">
      <c r="A572" t="s">
        <v>1834</v>
      </c>
      <c r="B572" t="s">
        <v>1834</v>
      </c>
      <c r="C572">
        <v>0</v>
      </c>
      <c r="D572" s="3">
        <v>0</v>
      </c>
      <c r="E572">
        <v>50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8</v>
      </c>
      <c r="O572">
        <v>0</v>
      </c>
      <c r="P572">
        <v>0</v>
      </c>
      <c r="Q572">
        <v>0</v>
      </c>
      <c r="R572">
        <v>0</v>
      </c>
      <c r="S572">
        <v>8</v>
      </c>
      <c r="T572" t="s">
        <v>1806</v>
      </c>
      <c r="U572" t="s">
        <v>1835</v>
      </c>
      <c r="V572" t="s">
        <v>180</v>
      </c>
      <c r="W572" t="s">
        <v>1104</v>
      </c>
    </row>
    <row r="573" spans="1:23" x14ac:dyDescent="0.25">
      <c r="A573" t="s">
        <v>1836</v>
      </c>
      <c r="B573" t="s">
        <v>1836</v>
      </c>
      <c r="C573">
        <v>0</v>
      </c>
      <c r="D573" s="3">
        <v>0</v>
      </c>
      <c r="E573">
        <v>32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3</v>
      </c>
      <c r="P573">
        <v>20</v>
      </c>
      <c r="Q573">
        <v>0</v>
      </c>
      <c r="R573">
        <v>16</v>
      </c>
      <c r="S573">
        <v>39</v>
      </c>
      <c r="T573" t="s">
        <v>1806</v>
      </c>
      <c r="U573" t="s">
        <v>1835</v>
      </c>
      <c r="V573" t="s">
        <v>180</v>
      </c>
      <c r="W573" t="s">
        <v>1108</v>
      </c>
    </row>
    <row r="574" spans="1:23" x14ac:dyDescent="0.25">
      <c r="A574" t="s">
        <v>1837</v>
      </c>
      <c r="B574" t="s">
        <v>1837</v>
      </c>
      <c r="C574">
        <v>0</v>
      </c>
      <c r="D574" s="3">
        <v>0</v>
      </c>
      <c r="E574">
        <v>0</v>
      </c>
      <c r="G574">
        <v>0</v>
      </c>
      <c r="H574">
        <v>0</v>
      </c>
      <c r="I574">
        <v>0</v>
      </c>
      <c r="J574">
        <v>0</v>
      </c>
      <c r="K574">
        <v>40</v>
      </c>
      <c r="L574">
        <v>0</v>
      </c>
      <c r="M574">
        <v>0</v>
      </c>
      <c r="N574">
        <v>8</v>
      </c>
      <c r="O574">
        <v>8</v>
      </c>
      <c r="P574">
        <v>12</v>
      </c>
      <c r="Q574">
        <v>0</v>
      </c>
      <c r="R574">
        <v>4</v>
      </c>
      <c r="S574">
        <v>72</v>
      </c>
      <c r="T574" t="s">
        <v>1806</v>
      </c>
      <c r="U574" t="s">
        <v>1838</v>
      </c>
      <c r="V574" t="s">
        <v>180</v>
      </c>
      <c r="W574" t="s">
        <v>1104</v>
      </c>
    </row>
    <row r="575" spans="1:23" x14ac:dyDescent="0.25">
      <c r="A575" t="s">
        <v>1839</v>
      </c>
      <c r="B575" t="s">
        <v>1839</v>
      </c>
      <c r="C575">
        <v>0</v>
      </c>
      <c r="D575" s="3">
        <v>0</v>
      </c>
      <c r="E575">
        <v>0</v>
      </c>
      <c r="G575">
        <v>0</v>
      </c>
      <c r="H575">
        <v>0</v>
      </c>
      <c r="I575">
        <v>0</v>
      </c>
      <c r="J575">
        <v>8</v>
      </c>
      <c r="K575">
        <v>40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48</v>
      </c>
      <c r="T575" t="s">
        <v>1806</v>
      </c>
      <c r="U575" t="s">
        <v>1840</v>
      </c>
      <c r="V575" t="s">
        <v>180</v>
      </c>
      <c r="W575" t="s">
        <v>1104</v>
      </c>
    </row>
    <row r="576" spans="1:23" x14ac:dyDescent="0.25">
      <c r="A576" t="s">
        <v>1841</v>
      </c>
      <c r="B576" t="s">
        <v>1841</v>
      </c>
      <c r="C576">
        <v>0</v>
      </c>
      <c r="D576" s="3">
        <v>0</v>
      </c>
      <c r="E576">
        <v>20</v>
      </c>
      <c r="G576">
        <v>0</v>
      </c>
      <c r="H576">
        <v>0</v>
      </c>
      <c r="I576">
        <v>0</v>
      </c>
      <c r="J576">
        <v>32</v>
      </c>
      <c r="K576">
        <v>8</v>
      </c>
      <c r="L576">
        <v>0</v>
      </c>
      <c r="M576">
        <v>0</v>
      </c>
      <c r="N576">
        <v>4</v>
      </c>
      <c r="O576">
        <v>0</v>
      </c>
      <c r="P576">
        <v>20</v>
      </c>
      <c r="Q576">
        <v>4</v>
      </c>
      <c r="R576">
        <v>0</v>
      </c>
      <c r="S576">
        <v>68</v>
      </c>
      <c r="T576" t="s">
        <v>1806</v>
      </c>
      <c r="U576" t="s">
        <v>1842</v>
      </c>
      <c r="V576" t="s">
        <v>180</v>
      </c>
      <c r="W576" t="s">
        <v>1843</v>
      </c>
    </row>
    <row r="577" spans="1:23" x14ac:dyDescent="0.25">
      <c r="A577" t="s">
        <v>1844</v>
      </c>
      <c r="B577" t="s">
        <v>1844</v>
      </c>
      <c r="C577">
        <v>0</v>
      </c>
      <c r="D577" s="3">
        <v>0</v>
      </c>
      <c r="E577">
        <v>244</v>
      </c>
      <c r="G577">
        <v>0</v>
      </c>
      <c r="H577">
        <v>0</v>
      </c>
      <c r="I577">
        <v>0</v>
      </c>
      <c r="J577">
        <v>152</v>
      </c>
      <c r="K577">
        <v>0</v>
      </c>
      <c r="L577">
        <v>8</v>
      </c>
      <c r="M577">
        <v>0</v>
      </c>
      <c r="N577">
        <v>8</v>
      </c>
      <c r="O577">
        <v>0</v>
      </c>
      <c r="P577">
        <v>4</v>
      </c>
      <c r="Q577">
        <v>0</v>
      </c>
      <c r="R577">
        <v>0</v>
      </c>
      <c r="S577">
        <v>172</v>
      </c>
      <c r="T577" t="s">
        <v>1806</v>
      </c>
      <c r="U577" t="s">
        <v>337</v>
      </c>
      <c r="V577" t="s">
        <v>45</v>
      </c>
      <c r="W577" t="s">
        <v>1106</v>
      </c>
    </row>
    <row r="578" spans="1:23" x14ac:dyDescent="0.25">
      <c r="A578" t="s">
        <v>1845</v>
      </c>
      <c r="B578" t="s">
        <v>1845</v>
      </c>
      <c r="C578">
        <v>12</v>
      </c>
      <c r="D578" s="3">
        <v>12</v>
      </c>
      <c r="E578">
        <v>1636</v>
      </c>
      <c r="G578">
        <v>0</v>
      </c>
      <c r="H578">
        <v>0</v>
      </c>
      <c r="I578">
        <v>4</v>
      </c>
      <c r="J578">
        <v>120</v>
      </c>
      <c r="K578">
        <v>0</v>
      </c>
      <c r="L578">
        <v>20</v>
      </c>
      <c r="M578">
        <v>12</v>
      </c>
      <c r="N578">
        <v>12</v>
      </c>
      <c r="O578">
        <v>56</v>
      </c>
      <c r="P578">
        <v>16</v>
      </c>
      <c r="Q578">
        <v>96</v>
      </c>
      <c r="R578">
        <v>8</v>
      </c>
      <c r="S578">
        <v>344</v>
      </c>
      <c r="T578" t="s">
        <v>1806</v>
      </c>
      <c r="U578" t="s">
        <v>337</v>
      </c>
      <c r="V578" t="s">
        <v>336</v>
      </c>
      <c r="W578" t="s">
        <v>1104</v>
      </c>
    </row>
    <row r="579" spans="1:23" x14ac:dyDescent="0.25">
      <c r="A579" t="s">
        <v>1846</v>
      </c>
      <c r="B579" t="s">
        <v>1846</v>
      </c>
      <c r="C579">
        <v>60</v>
      </c>
      <c r="D579" s="3">
        <v>60</v>
      </c>
      <c r="E579">
        <v>6028</v>
      </c>
      <c r="G579">
        <v>68</v>
      </c>
      <c r="H579">
        <v>40</v>
      </c>
      <c r="I579">
        <v>28</v>
      </c>
      <c r="J579">
        <v>44</v>
      </c>
      <c r="K579">
        <v>64</v>
      </c>
      <c r="L579">
        <v>36</v>
      </c>
      <c r="M579">
        <v>48</v>
      </c>
      <c r="N579">
        <v>76</v>
      </c>
      <c r="O579">
        <v>376</v>
      </c>
      <c r="P579">
        <v>128</v>
      </c>
      <c r="Q579">
        <v>208</v>
      </c>
      <c r="R579">
        <v>56</v>
      </c>
      <c r="S579">
        <v>1172</v>
      </c>
      <c r="T579" t="s">
        <v>1806</v>
      </c>
      <c r="U579" t="s">
        <v>350</v>
      </c>
      <c r="V579" t="s">
        <v>336</v>
      </c>
      <c r="W579" t="s">
        <v>1104</v>
      </c>
    </row>
    <row r="580" spans="1:23" x14ac:dyDescent="0.25">
      <c r="A580" t="s">
        <v>1847</v>
      </c>
      <c r="B580" t="s">
        <v>1847</v>
      </c>
      <c r="C580">
        <v>18</v>
      </c>
      <c r="D580" s="3">
        <v>18</v>
      </c>
      <c r="E580">
        <v>120</v>
      </c>
      <c r="G580">
        <v>0</v>
      </c>
      <c r="H580">
        <v>40</v>
      </c>
      <c r="I580">
        <v>8</v>
      </c>
      <c r="J580">
        <v>120</v>
      </c>
      <c r="K580">
        <v>64</v>
      </c>
      <c r="L580">
        <v>28</v>
      </c>
      <c r="M580">
        <v>-4</v>
      </c>
      <c r="N580">
        <v>32</v>
      </c>
      <c r="O580">
        <v>4</v>
      </c>
      <c r="P580">
        <v>32</v>
      </c>
      <c r="Q580">
        <v>0</v>
      </c>
      <c r="R580">
        <v>0</v>
      </c>
      <c r="S580">
        <v>324</v>
      </c>
      <c r="T580" t="s">
        <v>1806</v>
      </c>
      <c r="U580" t="s">
        <v>350</v>
      </c>
      <c r="V580" t="s">
        <v>336</v>
      </c>
      <c r="W580" t="s">
        <v>1106</v>
      </c>
    </row>
    <row r="581" spans="1:23" x14ac:dyDescent="0.25">
      <c r="A581" t="s">
        <v>1848</v>
      </c>
      <c r="B581" t="s">
        <v>1848</v>
      </c>
      <c r="C581">
        <v>6</v>
      </c>
      <c r="D581" s="3">
        <v>6</v>
      </c>
      <c r="E581">
        <v>972</v>
      </c>
      <c r="G581">
        <v>0</v>
      </c>
      <c r="H581">
        <v>0</v>
      </c>
      <c r="I581">
        <v>0</v>
      </c>
      <c r="J581">
        <v>128</v>
      </c>
      <c r="K581">
        <v>20</v>
      </c>
      <c r="L581">
        <v>24</v>
      </c>
      <c r="M581">
        <v>4</v>
      </c>
      <c r="N581">
        <v>16</v>
      </c>
      <c r="O581">
        <v>8</v>
      </c>
      <c r="P581">
        <v>32</v>
      </c>
      <c r="Q581">
        <v>0</v>
      </c>
      <c r="R581">
        <v>0</v>
      </c>
      <c r="S581">
        <v>232</v>
      </c>
      <c r="T581" t="s">
        <v>1806</v>
      </c>
      <c r="U581" t="s">
        <v>350</v>
      </c>
      <c r="V581" t="s">
        <v>336</v>
      </c>
      <c r="W581" t="s">
        <v>1108</v>
      </c>
    </row>
    <row r="582" spans="1:23" x14ac:dyDescent="0.25">
      <c r="A582" t="s">
        <v>1849</v>
      </c>
      <c r="B582" t="s">
        <v>1849</v>
      </c>
      <c r="C582">
        <v>0</v>
      </c>
      <c r="D582" s="3">
        <v>0</v>
      </c>
      <c r="E582">
        <v>0</v>
      </c>
      <c r="G582">
        <v>0</v>
      </c>
      <c r="H582">
        <v>0</v>
      </c>
      <c r="I582">
        <v>0</v>
      </c>
      <c r="J582">
        <v>76</v>
      </c>
      <c r="K582">
        <v>0</v>
      </c>
      <c r="L582">
        <v>0</v>
      </c>
      <c r="M582">
        <v>0</v>
      </c>
      <c r="N582">
        <v>8</v>
      </c>
      <c r="O582">
        <v>32</v>
      </c>
      <c r="P582">
        <v>0</v>
      </c>
      <c r="Q582">
        <v>0</v>
      </c>
      <c r="R582">
        <v>0</v>
      </c>
      <c r="S582">
        <v>116</v>
      </c>
      <c r="T582" t="s">
        <v>1806</v>
      </c>
      <c r="U582" t="s">
        <v>350</v>
      </c>
      <c r="V582" t="s">
        <v>336</v>
      </c>
      <c r="W582" t="s">
        <v>1129</v>
      </c>
    </row>
    <row r="583" spans="1:23" x14ac:dyDescent="0.25">
      <c r="A583" t="s">
        <v>1850</v>
      </c>
      <c r="B583" t="s">
        <v>1850</v>
      </c>
      <c r="C583">
        <v>0</v>
      </c>
      <c r="D583" s="3">
        <v>0</v>
      </c>
      <c r="E583">
        <v>20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 t="s">
        <v>1806</v>
      </c>
      <c r="U583" t="s">
        <v>318</v>
      </c>
      <c r="V583" t="s">
        <v>317</v>
      </c>
      <c r="W583" t="s">
        <v>1104</v>
      </c>
    </row>
    <row r="584" spans="1:23" x14ac:dyDescent="0.25">
      <c r="A584" t="s">
        <v>1851</v>
      </c>
      <c r="B584" t="s">
        <v>1851</v>
      </c>
      <c r="C584">
        <v>6</v>
      </c>
      <c r="D584" s="3">
        <v>6</v>
      </c>
      <c r="E584">
        <v>498</v>
      </c>
      <c r="G584">
        <v>20</v>
      </c>
      <c r="H584">
        <v>0</v>
      </c>
      <c r="I584">
        <v>0</v>
      </c>
      <c r="J584">
        <v>36</v>
      </c>
      <c r="K584">
        <v>24</v>
      </c>
      <c r="L584">
        <v>12</v>
      </c>
      <c r="M584">
        <v>0</v>
      </c>
      <c r="N584">
        <v>0</v>
      </c>
      <c r="O584">
        <v>12</v>
      </c>
      <c r="P584">
        <v>0</v>
      </c>
      <c r="Q584">
        <v>32</v>
      </c>
      <c r="R584">
        <v>0</v>
      </c>
      <c r="S584">
        <v>136</v>
      </c>
      <c r="T584" t="s">
        <v>1806</v>
      </c>
      <c r="U584" t="s">
        <v>330</v>
      </c>
      <c r="V584" t="s">
        <v>45</v>
      </c>
      <c r="W584" t="s">
        <v>1104</v>
      </c>
    </row>
    <row r="585" spans="1:23" x14ac:dyDescent="0.25">
      <c r="A585" t="s">
        <v>1852</v>
      </c>
      <c r="B585" t="s">
        <v>1852</v>
      </c>
      <c r="C585">
        <v>0</v>
      </c>
      <c r="D585" s="3">
        <v>0</v>
      </c>
      <c r="E585">
        <v>360</v>
      </c>
      <c r="G585">
        <v>32</v>
      </c>
      <c r="H585">
        <v>0</v>
      </c>
      <c r="I585">
        <v>0</v>
      </c>
      <c r="J585">
        <v>0</v>
      </c>
      <c r="K585">
        <v>0</v>
      </c>
      <c r="L585">
        <v>6</v>
      </c>
      <c r="M585">
        <v>0</v>
      </c>
      <c r="N585">
        <v>0</v>
      </c>
      <c r="O585">
        <v>6</v>
      </c>
      <c r="P585">
        <v>0</v>
      </c>
      <c r="Q585">
        <v>0</v>
      </c>
      <c r="R585">
        <v>0</v>
      </c>
      <c r="S585">
        <v>44</v>
      </c>
      <c r="T585" t="s">
        <v>1806</v>
      </c>
      <c r="U585" t="s">
        <v>330</v>
      </c>
      <c r="V585" t="s">
        <v>45</v>
      </c>
      <c r="W585" t="s">
        <v>1853</v>
      </c>
    </row>
    <row r="586" spans="1:23" x14ac:dyDescent="0.25">
      <c r="A586" t="s">
        <v>1854</v>
      </c>
      <c r="B586" t="s">
        <v>1854</v>
      </c>
      <c r="C586">
        <v>0</v>
      </c>
      <c r="D586" s="3">
        <v>0</v>
      </c>
      <c r="E586">
        <v>14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42</v>
      </c>
      <c r="P586">
        <v>4</v>
      </c>
      <c r="Q586">
        <v>0</v>
      </c>
      <c r="R586">
        <v>0</v>
      </c>
      <c r="S586">
        <v>46</v>
      </c>
      <c r="T586" t="s">
        <v>1806</v>
      </c>
      <c r="U586" t="s">
        <v>330</v>
      </c>
      <c r="V586" t="s">
        <v>45</v>
      </c>
      <c r="W586" t="s">
        <v>1267</v>
      </c>
    </row>
    <row r="587" spans="1:23" x14ac:dyDescent="0.25">
      <c r="A587" t="s">
        <v>1855</v>
      </c>
      <c r="B587" t="s">
        <v>1855</v>
      </c>
      <c r="C587">
        <v>16</v>
      </c>
      <c r="D587" s="3">
        <v>16</v>
      </c>
      <c r="E587">
        <v>424</v>
      </c>
      <c r="G587">
        <v>4</v>
      </c>
      <c r="H587">
        <v>0</v>
      </c>
      <c r="I587">
        <v>0</v>
      </c>
      <c r="J587">
        <v>164</v>
      </c>
      <c r="K587">
        <v>68</v>
      </c>
      <c r="L587">
        <v>12</v>
      </c>
      <c r="M587">
        <v>4</v>
      </c>
      <c r="N587">
        <v>16</v>
      </c>
      <c r="O587">
        <v>40</v>
      </c>
      <c r="P587">
        <v>20</v>
      </c>
      <c r="Q587">
        <v>20</v>
      </c>
      <c r="R587">
        <v>16</v>
      </c>
      <c r="S587">
        <v>364</v>
      </c>
      <c r="T587" t="s">
        <v>1806</v>
      </c>
      <c r="U587" t="s">
        <v>333</v>
      </c>
      <c r="V587" t="s">
        <v>45</v>
      </c>
      <c r="W587" t="s">
        <v>1104</v>
      </c>
    </row>
    <row r="588" spans="1:23" x14ac:dyDescent="0.25">
      <c r="A588" t="s">
        <v>1856</v>
      </c>
      <c r="B588" t="s">
        <v>1856</v>
      </c>
      <c r="C588">
        <v>10</v>
      </c>
      <c r="D588" s="3">
        <v>10</v>
      </c>
      <c r="E588">
        <v>176</v>
      </c>
      <c r="G588">
        <v>40</v>
      </c>
      <c r="H588">
        <v>0</v>
      </c>
      <c r="I588">
        <v>0</v>
      </c>
      <c r="J588">
        <v>68</v>
      </c>
      <c r="K588">
        <v>0</v>
      </c>
      <c r="L588">
        <v>8</v>
      </c>
      <c r="M588">
        <v>0</v>
      </c>
      <c r="N588">
        <v>36</v>
      </c>
      <c r="O588">
        <v>8</v>
      </c>
      <c r="P588">
        <v>12</v>
      </c>
      <c r="Q588">
        <v>12</v>
      </c>
      <c r="R588">
        <v>40</v>
      </c>
      <c r="S588">
        <v>224</v>
      </c>
      <c r="T588" t="s">
        <v>1806</v>
      </c>
      <c r="U588" t="s">
        <v>1857</v>
      </c>
      <c r="V588" t="s">
        <v>45</v>
      </c>
      <c r="W588" t="s">
        <v>1104</v>
      </c>
    </row>
    <row r="589" spans="1:23" x14ac:dyDescent="0.25">
      <c r="A589" t="s">
        <v>1858</v>
      </c>
      <c r="B589" t="s">
        <v>1858</v>
      </c>
      <c r="C589">
        <v>0</v>
      </c>
      <c r="D589" s="3">
        <v>0</v>
      </c>
      <c r="E589">
        <v>164</v>
      </c>
      <c r="G589">
        <v>0</v>
      </c>
      <c r="H589">
        <v>0</v>
      </c>
      <c r="I589">
        <v>0</v>
      </c>
      <c r="J589">
        <v>68</v>
      </c>
      <c r="K589">
        <v>0</v>
      </c>
      <c r="L589">
        <v>0</v>
      </c>
      <c r="M589">
        <v>4</v>
      </c>
      <c r="N589">
        <v>8</v>
      </c>
      <c r="O589">
        <v>12</v>
      </c>
      <c r="P589">
        <v>0</v>
      </c>
      <c r="Q589">
        <v>0</v>
      </c>
      <c r="R589">
        <v>0</v>
      </c>
      <c r="S589">
        <v>92</v>
      </c>
      <c r="T589" t="s">
        <v>1806</v>
      </c>
      <c r="U589" t="s">
        <v>1857</v>
      </c>
      <c r="V589" t="s">
        <v>45</v>
      </c>
      <c r="W589" t="s">
        <v>1108</v>
      </c>
    </row>
    <row r="590" spans="1:23" x14ac:dyDescent="0.25">
      <c r="A590" t="s">
        <v>1859</v>
      </c>
      <c r="B590" t="s">
        <v>1859</v>
      </c>
      <c r="C590">
        <v>0</v>
      </c>
      <c r="D590" s="3">
        <v>0</v>
      </c>
      <c r="E590">
        <v>244</v>
      </c>
      <c r="G590">
        <v>28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24</v>
      </c>
      <c r="P590">
        <v>0</v>
      </c>
      <c r="Q590">
        <v>0</v>
      </c>
      <c r="R590">
        <v>4</v>
      </c>
      <c r="S590">
        <v>56</v>
      </c>
      <c r="T590" t="s">
        <v>1806</v>
      </c>
      <c r="U590" t="s">
        <v>1860</v>
      </c>
      <c r="V590" t="s">
        <v>45</v>
      </c>
      <c r="W590" t="s">
        <v>1104</v>
      </c>
    </row>
    <row r="591" spans="1:23" x14ac:dyDescent="0.25">
      <c r="A591" t="s">
        <v>1861</v>
      </c>
      <c r="B591" t="s">
        <v>1861</v>
      </c>
      <c r="C591">
        <v>0</v>
      </c>
      <c r="D591" s="3">
        <v>0</v>
      </c>
      <c r="E591">
        <v>148</v>
      </c>
      <c r="G591">
        <v>0</v>
      </c>
      <c r="H591">
        <v>0</v>
      </c>
      <c r="I591">
        <v>0</v>
      </c>
      <c r="J591">
        <v>20</v>
      </c>
      <c r="K591">
        <v>0</v>
      </c>
      <c r="L591">
        <v>0</v>
      </c>
      <c r="M591">
        <v>0</v>
      </c>
      <c r="N591">
        <v>0</v>
      </c>
      <c r="O591">
        <v>24</v>
      </c>
      <c r="P591">
        <v>0</v>
      </c>
      <c r="Q591">
        <v>4</v>
      </c>
      <c r="R591">
        <v>0</v>
      </c>
      <c r="S591">
        <v>48</v>
      </c>
      <c r="T591" t="s">
        <v>1806</v>
      </c>
      <c r="U591" t="s">
        <v>1860</v>
      </c>
      <c r="V591" t="s">
        <v>45</v>
      </c>
      <c r="W591" t="s">
        <v>1108</v>
      </c>
    </row>
    <row r="592" spans="1:23" x14ac:dyDescent="0.25">
      <c r="A592" t="s">
        <v>1862</v>
      </c>
      <c r="B592" t="s">
        <v>1862</v>
      </c>
      <c r="C592">
        <v>0</v>
      </c>
      <c r="D592" s="3">
        <v>0</v>
      </c>
      <c r="E592">
        <v>374</v>
      </c>
      <c r="G592">
        <v>0</v>
      </c>
      <c r="H592">
        <v>0</v>
      </c>
      <c r="I592">
        <v>0</v>
      </c>
      <c r="J592">
        <v>0</v>
      </c>
      <c r="K592">
        <v>6</v>
      </c>
      <c r="L592">
        <v>0</v>
      </c>
      <c r="M592">
        <v>0</v>
      </c>
      <c r="N592">
        <v>0</v>
      </c>
      <c r="O592">
        <v>12</v>
      </c>
      <c r="P592">
        <v>0</v>
      </c>
      <c r="Q592">
        <v>0</v>
      </c>
      <c r="R592">
        <v>132</v>
      </c>
      <c r="S592">
        <v>150</v>
      </c>
      <c r="T592" t="s">
        <v>1806</v>
      </c>
      <c r="U592" t="s">
        <v>1863</v>
      </c>
      <c r="V592" t="s">
        <v>45</v>
      </c>
      <c r="W592" t="s">
        <v>1104</v>
      </c>
    </row>
    <row r="593" spans="1:22" x14ac:dyDescent="0.25">
      <c r="A593" t="s">
        <v>1677</v>
      </c>
      <c r="B593" t="s">
        <v>1677</v>
      </c>
      <c r="C593">
        <v>40</v>
      </c>
      <c r="D593" s="3">
        <v>40</v>
      </c>
      <c r="E593">
        <v>3728</v>
      </c>
      <c r="G593">
        <v>16</v>
      </c>
      <c r="H593">
        <v>200</v>
      </c>
      <c r="I593">
        <v>40</v>
      </c>
      <c r="J593">
        <v>0</v>
      </c>
      <c r="K593">
        <v>356</v>
      </c>
      <c r="L593">
        <v>32</v>
      </c>
      <c r="M593">
        <v>540</v>
      </c>
      <c r="N593">
        <v>488</v>
      </c>
      <c r="O593">
        <v>40</v>
      </c>
      <c r="P593">
        <v>508</v>
      </c>
      <c r="Q593">
        <v>0</v>
      </c>
      <c r="R593">
        <v>0</v>
      </c>
      <c r="S593">
        <v>2220</v>
      </c>
      <c r="T593" t="s">
        <v>1678</v>
      </c>
      <c r="U593" t="s">
        <v>1679</v>
      </c>
      <c r="V593" t="s">
        <v>1680</v>
      </c>
    </row>
    <row r="594" spans="1:22" x14ac:dyDescent="0.25">
      <c r="A594" t="s">
        <v>1681</v>
      </c>
      <c r="B594" t="s">
        <v>1681</v>
      </c>
      <c r="C594">
        <v>70</v>
      </c>
      <c r="D594" s="3">
        <v>70</v>
      </c>
      <c r="E594">
        <v>1370</v>
      </c>
      <c r="G594">
        <v>12</v>
      </c>
      <c r="H594">
        <v>400</v>
      </c>
      <c r="I594">
        <v>248</v>
      </c>
      <c r="J594">
        <v>0</v>
      </c>
      <c r="K594">
        <v>100</v>
      </c>
      <c r="L594">
        <v>4</v>
      </c>
      <c r="M594">
        <v>80</v>
      </c>
      <c r="N594">
        <v>60</v>
      </c>
      <c r="O594">
        <v>40</v>
      </c>
      <c r="P594">
        <v>124</v>
      </c>
      <c r="Q594">
        <v>240</v>
      </c>
      <c r="R594">
        <v>40</v>
      </c>
      <c r="S594">
        <v>1348</v>
      </c>
      <c r="T594" t="s">
        <v>1678</v>
      </c>
      <c r="U594" t="s">
        <v>1679</v>
      </c>
      <c r="V594" t="s">
        <v>1680</v>
      </c>
    </row>
    <row r="595" spans="1:22" x14ac:dyDescent="0.25">
      <c r="A595" t="s">
        <v>1682</v>
      </c>
      <c r="B595" t="s">
        <v>1682</v>
      </c>
      <c r="C595">
        <v>0</v>
      </c>
      <c r="D595" s="3">
        <v>0</v>
      </c>
      <c r="E595">
        <v>376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124</v>
      </c>
      <c r="N595">
        <v>0</v>
      </c>
      <c r="O595">
        <v>0</v>
      </c>
      <c r="P595">
        <v>0</v>
      </c>
      <c r="Q595">
        <v>4</v>
      </c>
      <c r="R595">
        <v>0</v>
      </c>
      <c r="S595">
        <v>128</v>
      </c>
      <c r="T595" t="s">
        <v>1678</v>
      </c>
      <c r="U595" t="s">
        <v>1679</v>
      </c>
      <c r="V595" t="s">
        <v>1680</v>
      </c>
    </row>
    <row r="596" spans="1:22" x14ac:dyDescent="0.25">
      <c r="A596" t="s">
        <v>1683</v>
      </c>
      <c r="B596" t="s">
        <v>1683</v>
      </c>
      <c r="C596">
        <v>48</v>
      </c>
      <c r="D596" s="3">
        <v>48</v>
      </c>
      <c r="E596">
        <v>808</v>
      </c>
      <c r="G596">
        <v>60</v>
      </c>
      <c r="H596">
        <v>112</v>
      </c>
      <c r="I596">
        <v>332</v>
      </c>
      <c r="J596">
        <v>20</v>
      </c>
      <c r="K596">
        <v>60</v>
      </c>
      <c r="L596">
        <v>28</v>
      </c>
      <c r="M596">
        <v>192</v>
      </c>
      <c r="N596">
        <v>60</v>
      </c>
      <c r="O596">
        <v>36</v>
      </c>
      <c r="P596">
        <v>12</v>
      </c>
      <c r="Q596">
        <v>0</v>
      </c>
      <c r="R596">
        <v>0</v>
      </c>
      <c r="S596">
        <v>912</v>
      </c>
      <c r="T596" t="s">
        <v>1678</v>
      </c>
      <c r="U596" t="s">
        <v>1679</v>
      </c>
      <c r="V596" t="s">
        <v>1680</v>
      </c>
    </row>
    <row r="597" spans="1:22" x14ac:dyDescent="0.25">
      <c r="A597" t="s">
        <v>737</v>
      </c>
      <c r="B597" t="s">
        <v>737</v>
      </c>
      <c r="C597">
        <v>889</v>
      </c>
      <c r="D597" s="3">
        <v>889</v>
      </c>
      <c r="E597">
        <v>5346</v>
      </c>
      <c r="F597">
        <v>3000</v>
      </c>
      <c r="G597">
        <v>496</v>
      </c>
      <c r="H597">
        <v>1906</v>
      </c>
      <c r="I597">
        <v>580</v>
      </c>
      <c r="J597">
        <v>1450</v>
      </c>
      <c r="K597">
        <v>964</v>
      </c>
      <c r="L597">
        <v>204</v>
      </c>
      <c r="M597">
        <v>1620</v>
      </c>
      <c r="N597">
        <v>912</v>
      </c>
      <c r="O597">
        <v>866</v>
      </c>
      <c r="P597">
        <v>1520</v>
      </c>
      <c r="Q597">
        <v>580</v>
      </c>
      <c r="R597">
        <v>612</v>
      </c>
      <c r="S597">
        <v>11710</v>
      </c>
      <c r="T597" t="s">
        <v>1678</v>
      </c>
      <c r="U597" t="s">
        <v>1679</v>
      </c>
      <c r="V597" t="s">
        <v>1680</v>
      </c>
    </row>
    <row r="598" spans="1:22" x14ac:dyDescent="0.25">
      <c r="A598" t="s">
        <v>738</v>
      </c>
      <c r="B598" t="s">
        <v>738</v>
      </c>
      <c r="C598">
        <v>316</v>
      </c>
      <c r="D598" s="3">
        <v>316</v>
      </c>
      <c r="E598">
        <v>1764</v>
      </c>
      <c r="F598">
        <v>600</v>
      </c>
      <c r="G598">
        <v>460</v>
      </c>
      <c r="H598">
        <v>180</v>
      </c>
      <c r="I598">
        <v>140</v>
      </c>
      <c r="J598">
        <v>376</v>
      </c>
      <c r="K598">
        <v>1492</v>
      </c>
      <c r="L598">
        <v>256</v>
      </c>
      <c r="M598">
        <v>1234</v>
      </c>
      <c r="N598">
        <v>0</v>
      </c>
      <c r="O598">
        <v>180</v>
      </c>
      <c r="P598">
        <v>1036</v>
      </c>
      <c r="Q598">
        <v>140</v>
      </c>
      <c r="R598">
        <v>400</v>
      </c>
      <c r="S598">
        <v>5894</v>
      </c>
      <c r="T598" t="s">
        <v>1678</v>
      </c>
      <c r="U598" t="s">
        <v>1679</v>
      </c>
      <c r="V598" t="s">
        <v>1680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8"/>
  <sheetViews>
    <sheetView workbookViewId="0"/>
  </sheetViews>
  <sheetFormatPr defaultRowHeight="15" x14ac:dyDescent="0.25"/>
  <cols>
    <col min="1" max="1" width="24" customWidth="1"/>
    <col min="2" max="2" width="34" customWidth="1"/>
    <col min="3" max="3" width="35" customWidth="1"/>
    <col min="4" max="4" width="32" customWidth="1"/>
    <col min="5" max="5" width="34" customWidth="1"/>
    <col min="6" max="6" width="31" customWidth="1"/>
    <col min="7" max="8" width="32" customWidth="1"/>
    <col min="9" max="9" width="34" customWidth="1"/>
    <col min="10" max="10" width="36" customWidth="1"/>
    <col min="11" max="11" width="35" customWidth="1"/>
    <col min="12" max="12" width="34" customWidth="1"/>
    <col min="13" max="13" width="35" customWidth="1"/>
    <col min="14" max="14" width="10" customWidth="1"/>
    <col min="15" max="15" width="21" customWidth="1"/>
  </cols>
  <sheetData>
    <row r="1" spans="1:15" x14ac:dyDescent="0.25">
      <c r="A1" t="s">
        <v>0</v>
      </c>
      <c r="B1" t="s">
        <v>1864</v>
      </c>
      <c r="C1" t="s">
        <v>1865</v>
      </c>
      <c r="D1" t="s">
        <v>1866</v>
      </c>
      <c r="E1" t="s">
        <v>1867</v>
      </c>
      <c r="F1" t="s">
        <v>1868</v>
      </c>
      <c r="G1" t="s">
        <v>1869</v>
      </c>
      <c r="H1" t="s">
        <v>1870</v>
      </c>
      <c r="I1" t="s">
        <v>1871</v>
      </c>
      <c r="J1" t="s">
        <v>1872</v>
      </c>
      <c r="K1" t="s">
        <v>1873</v>
      </c>
      <c r="L1" t="s">
        <v>1874</v>
      </c>
      <c r="M1" t="s">
        <v>1875</v>
      </c>
      <c r="N1" t="s">
        <v>774</v>
      </c>
      <c r="O1" t="s">
        <v>788</v>
      </c>
    </row>
    <row r="2" spans="1:15" x14ac:dyDescent="0.25">
      <c r="A2" t="s">
        <v>392</v>
      </c>
      <c r="B2">
        <v>78</v>
      </c>
      <c r="C2">
        <v>22</v>
      </c>
      <c r="D2">
        <v>154</v>
      </c>
      <c r="E2">
        <v>57</v>
      </c>
      <c r="F2">
        <v>75</v>
      </c>
      <c r="G2">
        <v>87</v>
      </c>
      <c r="H2">
        <v>43</v>
      </c>
      <c r="I2">
        <v>89</v>
      </c>
      <c r="J2">
        <v>71</v>
      </c>
      <c r="K2">
        <v>146</v>
      </c>
      <c r="L2">
        <v>98</v>
      </c>
      <c r="M2">
        <v>62</v>
      </c>
      <c r="N2">
        <v>263</v>
      </c>
      <c r="O2">
        <v>982</v>
      </c>
    </row>
    <row r="3" spans="1:15" x14ac:dyDescent="0.25">
      <c r="A3" t="s">
        <v>396</v>
      </c>
      <c r="B3">
        <v>32</v>
      </c>
      <c r="C3">
        <v>11</v>
      </c>
      <c r="D3">
        <v>26</v>
      </c>
      <c r="E3">
        <v>11</v>
      </c>
      <c r="F3">
        <v>21</v>
      </c>
      <c r="G3">
        <v>44</v>
      </c>
      <c r="H3">
        <v>9</v>
      </c>
      <c r="I3">
        <v>19</v>
      </c>
      <c r="J3">
        <v>16</v>
      </c>
      <c r="K3">
        <v>26</v>
      </c>
      <c r="L3">
        <v>14</v>
      </c>
      <c r="M3">
        <v>11</v>
      </c>
      <c r="N3">
        <v>83</v>
      </c>
      <c r="O3">
        <v>240</v>
      </c>
    </row>
    <row r="4" spans="1:15" x14ac:dyDescent="0.25">
      <c r="A4" t="s">
        <v>398</v>
      </c>
      <c r="B4">
        <v>40</v>
      </c>
      <c r="C4">
        <v>7</v>
      </c>
      <c r="D4">
        <v>60</v>
      </c>
      <c r="E4">
        <v>33</v>
      </c>
      <c r="F4">
        <v>32</v>
      </c>
      <c r="G4">
        <v>64</v>
      </c>
      <c r="H4">
        <v>36</v>
      </c>
      <c r="I4">
        <v>61</v>
      </c>
      <c r="J4">
        <v>61</v>
      </c>
      <c r="K4">
        <v>66</v>
      </c>
      <c r="L4">
        <v>14</v>
      </c>
      <c r="M4">
        <v>19</v>
      </c>
      <c r="N4">
        <v>201</v>
      </c>
      <c r="O4">
        <v>493</v>
      </c>
    </row>
    <row r="5" spans="1:15" x14ac:dyDescent="0.25">
      <c r="A5" t="s">
        <v>406</v>
      </c>
      <c r="B5">
        <v>16</v>
      </c>
      <c r="C5">
        <v>1</v>
      </c>
      <c r="D5">
        <v>4</v>
      </c>
      <c r="E5">
        <v>4</v>
      </c>
      <c r="F5">
        <v>14</v>
      </c>
      <c r="G5">
        <v>19</v>
      </c>
      <c r="H5">
        <v>15</v>
      </c>
      <c r="I5">
        <v>-2</v>
      </c>
      <c r="J5">
        <v>7</v>
      </c>
      <c r="K5">
        <v>13</v>
      </c>
      <c r="L5">
        <v>4</v>
      </c>
      <c r="M5">
        <v>6</v>
      </c>
      <c r="N5">
        <v>35</v>
      </c>
      <c r="O5">
        <v>101</v>
      </c>
    </row>
    <row r="6" spans="1:15" x14ac:dyDescent="0.25">
      <c r="A6" t="s">
        <v>409</v>
      </c>
      <c r="B6">
        <v>1</v>
      </c>
      <c r="C6">
        <v>0</v>
      </c>
      <c r="D6">
        <v>2</v>
      </c>
      <c r="E6">
        <v>3</v>
      </c>
      <c r="F6">
        <v>2</v>
      </c>
      <c r="G6">
        <v>0</v>
      </c>
      <c r="H6">
        <v>0</v>
      </c>
      <c r="I6">
        <v>-2</v>
      </c>
      <c r="J6">
        <v>2</v>
      </c>
      <c r="K6">
        <v>0</v>
      </c>
      <c r="L6">
        <v>0</v>
      </c>
      <c r="M6">
        <v>0</v>
      </c>
      <c r="N6">
        <v>15</v>
      </c>
      <c r="O6">
        <v>8</v>
      </c>
    </row>
    <row r="7" spans="1:15" x14ac:dyDescent="0.25">
      <c r="A7" t="s">
        <v>411</v>
      </c>
      <c r="B7">
        <v>6</v>
      </c>
      <c r="C7">
        <v>5</v>
      </c>
      <c r="D7">
        <v>3</v>
      </c>
      <c r="E7">
        <v>1</v>
      </c>
      <c r="F7">
        <v>3</v>
      </c>
      <c r="G7">
        <v>4</v>
      </c>
      <c r="H7">
        <v>1</v>
      </c>
      <c r="I7">
        <v>0</v>
      </c>
      <c r="J7">
        <v>6</v>
      </c>
      <c r="K7">
        <v>7</v>
      </c>
      <c r="L7">
        <v>10</v>
      </c>
      <c r="M7">
        <v>5</v>
      </c>
      <c r="N7">
        <v>18</v>
      </c>
      <c r="O7">
        <v>51</v>
      </c>
    </row>
    <row r="8" spans="1:15" x14ac:dyDescent="0.25">
      <c r="A8" t="s">
        <v>441</v>
      </c>
      <c r="B8">
        <v>48</v>
      </c>
      <c r="C8">
        <v>49</v>
      </c>
      <c r="D8">
        <v>43</v>
      </c>
      <c r="E8">
        <v>52</v>
      </c>
      <c r="F8">
        <v>52</v>
      </c>
      <c r="G8">
        <v>56</v>
      </c>
      <c r="H8">
        <v>49</v>
      </c>
      <c r="I8">
        <v>13</v>
      </c>
      <c r="J8">
        <v>47</v>
      </c>
      <c r="K8">
        <v>72</v>
      </c>
      <c r="L8">
        <v>51</v>
      </c>
      <c r="M8">
        <v>32</v>
      </c>
      <c r="N8">
        <v>141</v>
      </c>
      <c r="O8">
        <v>564</v>
      </c>
    </row>
    <row r="9" spans="1:15" x14ac:dyDescent="0.25">
      <c r="A9" t="s">
        <v>445</v>
      </c>
      <c r="B9">
        <v>9</v>
      </c>
      <c r="C9">
        <v>10</v>
      </c>
      <c r="D9">
        <v>8</v>
      </c>
      <c r="E9">
        <v>2</v>
      </c>
      <c r="F9">
        <v>3</v>
      </c>
      <c r="G9">
        <v>7</v>
      </c>
      <c r="H9">
        <v>8</v>
      </c>
      <c r="I9">
        <v>11</v>
      </c>
      <c r="J9">
        <v>7</v>
      </c>
      <c r="K9">
        <v>1</v>
      </c>
      <c r="L9">
        <v>4</v>
      </c>
      <c r="M9">
        <v>14</v>
      </c>
      <c r="N9">
        <v>35</v>
      </c>
      <c r="O9">
        <v>84</v>
      </c>
    </row>
    <row r="10" spans="1:15" x14ac:dyDescent="0.25">
      <c r="A10" t="s">
        <v>447</v>
      </c>
      <c r="B10">
        <v>44</v>
      </c>
      <c r="C10">
        <v>22</v>
      </c>
      <c r="D10">
        <v>58</v>
      </c>
      <c r="E10">
        <v>49</v>
      </c>
      <c r="F10">
        <v>5</v>
      </c>
      <c r="G10">
        <v>45</v>
      </c>
      <c r="H10">
        <v>25</v>
      </c>
      <c r="I10">
        <v>29</v>
      </c>
      <c r="J10">
        <v>45</v>
      </c>
      <c r="K10">
        <v>46</v>
      </c>
      <c r="L10">
        <v>19</v>
      </c>
      <c r="M10">
        <v>38</v>
      </c>
      <c r="N10">
        <v>102</v>
      </c>
      <c r="O10">
        <v>425</v>
      </c>
    </row>
    <row r="11" spans="1:15" x14ac:dyDescent="0.25">
      <c r="A11" t="s">
        <v>449</v>
      </c>
      <c r="B11">
        <v>4</v>
      </c>
      <c r="C11">
        <v>8</v>
      </c>
      <c r="D11">
        <v>14</v>
      </c>
      <c r="E11">
        <v>30</v>
      </c>
      <c r="F11">
        <v>11</v>
      </c>
      <c r="G11">
        <v>20</v>
      </c>
      <c r="H11">
        <v>4</v>
      </c>
      <c r="I11">
        <v>17</v>
      </c>
      <c r="J11">
        <v>4</v>
      </c>
      <c r="K11">
        <v>22</v>
      </c>
      <c r="L11">
        <v>1</v>
      </c>
      <c r="M11">
        <v>19</v>
      </c>
      <c r="N11">
        <v>55</v>
      </c>
      <c r="O11">
        <v>154</v>
      </c>
    </row>
    <row r="12" spans="1:15" x14ac:dyDescent="0.25">
      <c r="A12" t="s">
        <v>76</v>
      </c>
      <c r="B12">
        <v>2</v>
      </c>
      <c r="C12">
        <v>7</v>
      </c>
      <c r="D12">
        <v>0</v>
      </c>
      <c r="E12">
        <v>0</v>
      </c>
      <c r="F12">
        <v>8</v>
      </c>
      <c r="G12">
        <v>5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20</v>
      </c>
      <c r="O12">
        <v>23</v>
      </c>
    </row>
    <row r="13" spans="1:15" x14ac:dyDescent="0.25">
      <c r="A13" t="s">
        <v>80</v>
      </c>
      <c r="B13">
        <v>0</v>
      </c>
      <c r="C13">
        <v>0</v>
      </c>
      <c r="D13">
        <v>4</v>
      </c>
      <c r="E13">
        <v>2</v>
      </c>
      <c r="F13">
        <v>3</v>
      </c>
      <c r="G13">
        <v>4</v>
      </c>
      <c r="H13">
        <v>2</v>
      </c>
      <c r="I13">
        <v>1</v>
      </c>
      <c r="J13">
        <v>0</v>
      </c>
      <c r="K13">
        <v>2</v>
      </c>
      <c r="L13">
        <v>0</v>
      </c>
      <c r="M13">
        <v>0</v>
      </c>
      <c r="N13">
        <v>22</v>
      </c>
      <c r="O13">
        <v>18</v>
      </c>
    </row>
    <row r="14" spans="1:15" x14ac:dyDescent="0.25">
      <c r="A14" t="s">
        <v>179</v>
      </c>
      <c r="B14">
        <v>62</v>
      </c>
      <c r="C14">
        <v>27</v>
      </c>
      <c r="D14">
        <v>73</v>
      </c>
      <c r="E14">
        <v>62</v>
      </c>
      <c r="F14">
        <v>31</v>
      </c>
      <c r="G14">
        <v>92</v>
      </c>
      <c r="H14">
        <v>46</v>
      </c>
      <c r="I14">
        <v>38</v>
      </c>
      <c r="J14">
        <v>63</v>
      </c>
      <c r="K14">
        <v>46</v>
      </c>
      <c r="L14">
        <v>46</v>
      </c>
      <c r="M14">
        <v>18</v>
      </c>
      <c r="N14">
        <v>260</v>
      </c>
      <c r="O14">
        <v>604</v>
      </c>
    </row>
    <row r="15" spans="1:15" x14ac:dyDescent="0.25">
      <c r="A15" t="s">
        <v>185</v>
      </c>
      <c r="B15">
        <v>118</v>
      </c>
      <c r="C15">
        <v>41</v>
      </c>
      <c r="D15">
        <v>78</v>
      </c>
      <c r="E15">
        <v>67</v>
      </c>
      <c r="F15">
        <v>65</v>
      </c>
      <c r="G15">
        <v>76</v>
      </c>
      <c r="H15">
        <v>43</v>
      </c>
      <c r="I15">
        <v>96</v>
      </c>
      <c r="J15">
        <v>50</v>
      </c>
      <c r="K15">
        <v>79</v>
      </c>
      <c r="L15">
        <v>71</v>
      </c>
      <c r="M15">
        <v>39</v>
      </c>
      <c r="N15">
        <v>263</v>
      </c>
      <c r="O15">
        <v>823</v>
      </c>
    </row>
    <row r="16" spans="1:15" x14ac:dyDescent="0.25">
      <c r="A16" t="s">
        <v>187</v>
      </c>
      <c r="B16">
        <v>5</v>
      </c>
      <c r="C16">
        <v>5</v>
      </c>
      <c r="D16">
        <v>0</v>
      </c>
      <c r="E16">
        <v>5</v>
      </c>
      <c r="F16">
        <v>0</v>
      </c>
      <c r="G16">
        <v>0</v>
      </c>
      <c r="H16">
        <v>0</v>
      </c>
      <c r="I16">
        <v>2</v>
      </c>
      <c r="J16">
        <v>4</v>
      </c>
      <c r="K16">
        <v>0</v>
      </c>
      <c r="L16">
        <v>1</v>
      </c>
      <c r="M16">
        <v>0</v>
      </c>
      <c r="N16">
        <v>19</v>
      </c>
      <c r="O16">
        <v>22</v>
      </c>
    </row>
    <row r="17" spans="1:15" x14ac:dyDescent="0.25">
      <c r="A17" t="s">
        <v>189</v>
      </c>
      <c r="B17">
        <v>63</v>
      </c>
      <c r="C17">
        <v>33</v>
      </c>
      <c r="D17">
        <v>83</v>
      </c>
      <c r="E17">
        <v>44</v>
      </c>
      <c r="F17">
        <v>44</v>
      </c>
      <c r="G17">
        <v>70</v>
      </c>
      <c r="H17">
        <v>39</v>
      </c>
      <c r="I17">
        <v>28</v>
      </c>
      <c r="J17">
        <v>31</v>
      </c>
      <c r="K17">
        <v>37</v>
      </c>
      <c r="L17">
        <v>46</v>
      </c>
      <c r="M17">
        <v>33</v>
      </c>
      <c r="N17">
        <v>243</v>
      </c>
      <c r="O17">
        <v>551</v>
      </c>
    </row>
    <row r="18" spans="1:15" x14ac:dyDescent="0.25">
      <c r="A18" t="s">
        <v>191</v>
      </c>
      <c r="B18">
        <v>1</v>
      </c>
      <c r="C18">
        <v>2</v>
      </c>
      <c r="D18">
        <v>0</v>
      </c>
      <c r="E18">
        <v>5</v>
      </c>
      <c r="F18">
        <v>2</v>
      </c>
      <c r="G18">
        <v>1</v>
      </c>
      <c r="H18">
        <v>5</v>
      </c>
      <c r="I18">
        <v>0</v>
      </c>
      <c r="J18">
        <v>2</v>
      </c>
      <c r="K18">
        <v>1</v>
      </c>
      <c r="L18">
        <v>0</v>
      </c>
      <c r="M18">
        <v>1</v>
      </c>
      <c r="N18">
        <v>9</v>
      </c>
      <c r="O18">
        <v>20</v>
      </c>
    </row>
    <row r="19" spans="1:15" x14ac:dyDescent="0.25">
      <c r="A19" t="s">
        <v>205</v>
      </c>
      <c r="B19">
        <v>47</v>
      </c>
      <c r="C19">
        <v>31</v>
      </c>
      <c r="D19">
        <v>64</v>
      </c>
      <c r="E19">
        <v>48</v>
      </c>
      <c r="F19">
        <v>45</v>
      </c>
      <c r="G19">
        <v>83</v>
      </c>
      <c r="H19">
        <v>43</v>
      </c>
      <c r="I19">
        <v>16</v>
      </c>
      <c r="J19">
        <v>56</v>
      </c>
      <c r="K19">
        <v>200</v>
      </c>
      <c r="L19">
        <v>40</v>
      </c>
      <c r="M19">
        <v>50</v>
      </c>
      <c r="N19">
        <v>346</v>
      </c>
      <c r="O19">
        <v>723</v>
      </c>
    </row>
    <row r="20" spans="1:15" x14ac:dyDescent="0.25">
      <c r="A20" t="s">
        <v>208</v>
      </c>
      <c r="B20">
        <v>38</v>
      </c>
      <c r="C20">
        <v>45</v>
      </c>
      <c r="D20">
        <v>50</v>
      </c>
      <c r="E20">
        <v>19</v>
      </c>
      <c r="F20">
        <v>13</v>
      </c>
      <c r="G20">
        <v>58</v>
      </c>
      <c r="H20">
        <v>21</v>
      </c>
      <c r="I20">
        <v>22</v>
      </c>
      <c r="J20">
        <v>35</v>
      </c>
      <c r="K20">
        <v>15</v>
      </c>
      <c r="L20">
        <v>39</v>
      </c>
      <c r="M20">
        <v>13</v>
      </c>
      <c r="N20">
        <v>90</v>
      </c>
      <c r="O20">
        <v>368</v>
      </c>
    </row>
    <row r="21" spans="1:15" x14ac:dyDescent="0.25">
      <c r="A21" t="s">
        <v>210</v>
      </c>
      <c r="B21">
        <v>1</v>
      </c>
      <c r="C21">
        <v>0</v>
      </c>
      <c r="D21">
        <v>1</v>
      </c>
      <c r="E21">
        <v>8</v>
      </c>
      <c r="F21">
        <v>0</v>
      </c>
      <c r="G21">
        <v>5</v>
      </c>
      <c r="H21">
        <v>0</v>
      </c>
      <c r="I21">
        <v>1</v>
      </c>
      <c r="J21">
        <v>2</v>
      </c>
      <c r="K21">
        <v>11</v>
      </c>
      <c r="L21">
        <v>2</v>
      </c>
      <c r="M21">
        <v>3</v>
      </c>
      <c r="N21">
        <v>168</v>
      </c>
      <c r="O21">
        <v>34</v>
      </c>
    </row>
    <row r="22" spans="1:15" x14ac:dyDescent="0.25">
      <c r="A22" t="s">
        <v>212</v>
      </c>
      <c r="B22">
        <v>33</v>
      </c>
      <c r="C22">
        <v>23</v>
      </c>
      <c r="D22">
        <v>19</v>
      </c>
      <c r="E22">
        <v>39</v>
      </c>
      <c r="F22">
        <v>31</v>
      </c>
      <c r="G22">
        <v>37</v>
      </c>
      <c r="H22">
        <v>17</v>
      </c>
      <c r="I22">
        <v>23</v>
      </c>
      <c r="J22">
        <v>27</v>
      </c>
      <c r="K22">
        <v>76</v>
      </c>
      <c r="L22">
        <v>20</v>
      </c>
      <c r="M22">
        <v>13</v>
      </c>
      <c r="N22">
        <v>149</v>
      </c>
      <c r="O22">
        <v>358</v>
      </c>
    </row>
    <row r="23" spans="1:15" x14ac:dyDescent="0.25">
      <c r="A23" t="s">
        <v>214</v>
      </c>
      <c r="B23">
        <v>15</v>
      </c>
      <c r="C23">
        <v>6</v>
      </c>
      <c r="D23">
        <v>18</v>
      </c>
      <c r="E23">
        <v>15</v>
      </c>
      <c r="F23">
        <v>12</v>
      </c>
      <c r="G23">
        <v>15</v>
      </c>
      <c r="H23">
        <v>5</v>
      </c>
      <c r="I23">
        <v>10</v>
      </c>
      <c r="J23">
        <v>15</v>
      </c>
      <c r="K23">
        <v>20</v>
      </c>
      <c r="L23">
        <v>19</v>
      </c>
      <c r="M23">
        <v>1</v>
      </c>
      <c r="N23">
        <v>66</v>
      </c>
      <c r="O23">
        <v>151</v>
      </c>
    </row>
    <row r="24" spans="1:15" x14ac:dyDescent="0.25">
      <c r="A24" t="s">
        <v>234</v>
      </c>
      <c r="B24">
        <v>159</v>
      </c>
      <c r="C24">
        <v>143</v>
      </c>
      <c r="D24">
        <v>145</v>
      </c>
      <c r="E24">
        <v>96</v>
      </c>
      <c r="F24">
        <v>158</v>
      </c>
      <c r="G24">
        <v>154</v>
      </c>
      <c r="H24">
        <v>77</v>
      </c>
      <c r="I24">
        <v>87</v>
      </c>
      <c r="J24">
        <v>109</v>
      </c>
      <c r="K24">
        <v>-24</v>
      </c>
      <c r="L24">
        <v>73</v>
      </c>
      <c r="M24">
        <v>129</v>
      </c>
      <c r="N24">
        <v>443</v>
      </c>
      <c r="O24">
        <v>1306</v>
      </c>
    </row>
    <row r="25" spans="1:15" x14ac:dyDescent="0.25">
      <c r="A25" t="s">
        <v>237</v>
      </c>
      <c r="B25">
        <v>157</v>
      </c>
      <c r="C25">
        <v>113</v>
      </c>
      <c r="D25">
        <v>188</v>
      </c>
      <c r="E25">
        <v>91</v>
      </c>
      <c r="F25">
        <v>127</v>
      </c>
      <c r="G25">
        <v>114</v>
      </c>
      <c r="H25">
        <v>110</v>
      </c>
      <c r="I25">
        <v>107</v>
      </c>
      <c r="J25">
        <v>97</v>
      </c>
      <c r="K25">
        <v>83</v>
      </c>
      <c r="L25">
        <v>124</v>
      </c>
      <c r="M25">
        <v>100</v>
      </c>
      <c r="N25">
        <v>502</v>
      </c>
      <c r="O25">
        <v>1411</v>
      </c>
    </row>
    <row r="26" spans="1:15" x14ac:dyDescent="0.25">
      <c r="A26" t="s">
        <v>239</v>
      </c>
      <c r="B26">
        <v>56</v>
      </c>
      <c r="C26">
        <v>51</v>
      </c>
      <c r="D26">
        <v>57</v>
      </c>
      <c r="E26">
        <v>67</v>
      </c>
      <c r="F26">
        <v>33</v>
      </c>
      <c r="G26">
        <v>41</v>
      </c>
      <c r="H26">
        <v>33</v>
      </c>
      <c r="I26">
        <v>48</v>
      </c>
      <c r="J26">
        <v>62</v>
      </c>
      <c r="K26">
        <v>4</v>
      </c>
      <c r="L26">
        <v>18</v>
      </c>
      <c r="M26">
        <v>47</v>
      </c>
      <c r="N26">
        <v>168</v>
      </c>
      <c r="O26">
        <v>517</v>
      </c>
    </row>
    <row r="27" spans="1:15" x14ac:dyDescent="0.25">
      <c r="A27" t="s">
        <v>241</v>
      </c>
      <c r="B27">
        <v>5</v>
      </c>
      <c r="C27">
        <v>6</v>
      </c>
      <c r="D27">
        <v>4</v>
      </c>
      <c r="E27">
        <v>16</v>
      </c>
      <c r="F27">
        <v>13</v>
      </c>
      <c r="G27">
        <v>6</v>
      </c>
      <c r="H27">
        <v>8</v>
      </c>
      <c r="I27">
        <v>2</v>
      </c>
      <c r="J27">
        <v>4</v>
      </c>
      <c r="K27">
        <v>3</v>
      </c>
      <c r="L27">
        <v>5</v>
      </c>
      <c r="M27">
        <v>7</v>
      </c>
      <c r="N27">
        <v>40</v>
      </c>
      <c r="O27">
        <v>79</v>
      </c>
    </row>
    <row r="28" spans="1:15" x14ac:dyDescent="0.25">
      <c r="A28" t="s">
        <v>362</v>
      </c>
      <c r="B28">
        <v>0</v>
      </c>
      <c r="C28">
        <v>0</v>
      </c>
      <c r="D28">
        <v>0</v>
      </c>
      <c r="E28">
        <v>0</v>
      </c>
      <c r="F28">
        <v>0</v>
      </c>
      <c r="G28">
        <v>5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8</v>
      </c>
      <c r="O28">
        <v>6</v>
      </c>
    </row>
    <row r="29" spans="1:15" x14ac:dyDescent="0.25">
      <c r="A29" t="s">
        <v>366</v>
      </c>
      <c r="B29">
        <v>0</v>
      </c>
      <c r="C29">
        <v>0</v>
      </c>
      <c r="D29">
        <v>1</v>
      </c>
      <c r="E29">
        <v>0</v>
      </c>
      <c r="F29">
        <v>0</v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1</v>
      </c>
      <c r="N29">
        <v>10</v>
      </c>
      <c r="O29">
        <v>4</v>
      </c>
    </row>
    <row r="30" spans="1:15" x14ac:dyDescent="0.25">
      <c r="A30" t="s">
        <v>368</v>
      </c>
      <c r="B30">
        <v>2</v>
      </c>
      <c r="C30">
        <v>0</v>
      </c>
      <c r="D30">
        <v>2</v>
      </c>
      <c r="E30">
        <v>1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18</v>
      </c>
      <c r="O30">
        <v>9</v>
      </c>
    </row>
    <row r="31" spans="1:15" x14ac:dyDescent="0.25">
      <c r="A31" t="s">
        <v>370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t="s">
        <v>372</v>
      </c>
      <c r="B32">
        <v>0</v>
      </c>
      <c r="C32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2</v>
      </c>
      <c r="L32">
        <v>0</v>
      </c>
      <c r="M32">
        <v>0</v>
      </c>
      <c r="N32">
        <v>5</v>
      </c>
      <c r="O32">
        <v>5</v>
      </c>
    </row>
    <row r="33" spans="1:15" x14ac:dyDescent="0.25">
      <c r="A33" t="s">
        <v>293</v>
      </c>
      <c r="B33">
        <v>16</v>
      </c>
      <c r="C33">
        <v>20</v>
      </c>
      <c r="D33">
        <v>20</v>
      </c>
      <c r="E33">
        <v>18</v>
      </c>
      <c r="F33">
        <v>9</v>
      </c>
      <c r="G33">
        <v>11</v>
      </c>
      <c r="H33">
        <v>18</v>
      </c>
      <c r="I33">
        <v>8</v>
      </c>
      <c r="J33">
        <v>8</v>
      </c>
      <c r="K33">
        <v>16</v>
      </c>
      <c r="L33">
        <v>14</v>
      </c>
      <c r="M33">
        <v>13</v>
      </c>
      <c r="N33">
        <v>51</v>
      </c>
      <c r="O33">
        <v>171</v>
      </c>
    </row>
    <row r="34" spans="1:15" x14ac:dyDescent="0.25">
      <c r="A34" t="s">
        <v>297</v>
      </c>
      <c r="B34">
        <v>3</v>
      </c>
      <c r="C34">
        <v>7</v>
      </c>
      <c r="D34">
        <v>1</v>
      </c>
      <c r="E34">
        <v>4</v>
      </c>
      <c r="F34">
        <v>6</v>
      </c>
      <c r="G34">
        <v>0</v>
      </c>
      <c r="H34">
        <v>10</v>
      </c>
      <c r="I34">
        <v>1</v>
      </c>
      <c r="J34">
        <v>0</v>
      </c>
      <c r="K34">
        <v>0</v>
      </c>
      <c r="L34">
        <v>5</v>
      </c>
      <c r="M34">
        <v>0</v>
      </c>
      <c r="N34">
        <v>25</v>
      </c>
      <c r="O34">
        <v>37</v>
      </c>
    </row>
    <row r="35" spans="1:15" x14ac:dyDescent="0.25">
      <c r="A35" t="s">
        <v>299</v>
      </c>
      <c r="B35">
        <v>0</v>
      </c>
      <c r="C35">
        <v>0</v>
      </c>
      <c r="D35">
        <v>2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119</v>
      </c>
      <c r="O35">
        <v>3</v>
      </c>
    </row>
    <row r="36" spans="1:15" x14ac:dyDescent="0.25">
      <c r="A36" t="s">
        <v>307</v>
      </c>
      <c r="B36">
        <v>5</v>
      </c>
      <c r="C36">
        <v>7</v>
      </c>
      <c r="D36">
        <v>0</v>
      </c>
      <c r="E36">
        <v>0</v>
      </c>
      <c r="F36">
        <v>10</v>
      </c>
      <c r="G36">
        <v>5</v>
      </c>
      <c r="H36">
        <v>15</v>
      </c>
      <c r="I36">
        <v>3</v>
      </c>
      <c r="J36">
        <v>0</v>
      </c>
      <c r="K36">
        <v>4</v>
      </c>
      <c r="L36">
        <v>3</v>
      </c>
      <c r="M36">
        <v>3</v>
      </c>
      <c r="N36">
        <v>57</v>
      </c>
      <c r="O36">
        <v>55</v>
      </c>
    </row>
    <row r="37" spans="1:15" x14ac:dyDescent="0.25">
      <c r="A37" t="s">
        <v>310</v>
      </c>
      <c r="B37">
        <v>0</v>
      </c>
      <c r="C37">
        <v>2</v>
      </c>
      <c r="D37">
        <v>0</v>
      </c>
      <c r="E37">
        <v>1</v>
      </c>
      <c r="F37">
        <v>2</v>
      </c>
      <c r="G37">
        <v>0</v>
      </c>
      <c r="H37">
        <v>0</v>
      </c>
      <c r="I37">
        <v>-2</v>
      </c>
      <c r="J37">
        <v>0</v>
      </c>
      <c r="K37">
        <v>1</v>
      </c>
      <c r="L37">
        <v>2</v>
      </c>
      <c r="M37">
        <v>0</v>
      </c>
      <c r="N37">
        <v>273</v>
      </c>
      <c r="O37">
        <v>6</v>
      </c>
    </row>
    <row r="38" spans="1:15" x14ac:dyDescent="0.25">
      <c r="A38" t="s">
        <v>491</v>
      </c>
      <c r="B38">
        <v>130</v>
      </c>
      <c r="C38">
        <v>56</v>
      </c>
      <c r="D38">
        <v>116</v>
      </c>
      <c r="E38">
        <v>90</v>
      </c>
      <c r="F38">
        <v>60</v>
      </c>
      <c r="G38">
        <v>135</v>
      </c>
      <c r="H38">
        <v>51</v>
      </c>
      <c r="I38">
        <v>99</v>
      </c>
      <c r="J38">
        <v>48</v>
      </c>
      <c r="K38">
        <v>92</v>
      </c>
      <c r="L38">
        <v>50</v>
      </c>
      <c r="M38">
        <v>61</v>
      </c>
      <c r="N38">
        <v>373</v>
      </c>
      <c r="O38">
        <v>988</v>
      </c>
    </row>
    <row r="39" spans="1:15" x14ac:dyDescent="0.25">
      <c r="A39" t="s">
        <v>495</v>
      </c>
      <c r="B39">
        <v>22</v>
      </c>
      <c r="C39">
        <v>7</v>
      </c>
      <c r="D39">
        <v>66</v>
      </c>
      <c r="E39">
        <v>6</v>
      </c>
      <c r="F39">
        <v>31</v>
      </c>
      <c r="G39">
        <v>53</v>
      </c>
      <c r="H39">
        <v>17</v>
      </c>
      <c r="I39">
        <v>33</v>
      </c>
      <c r="J39">
        <v>21</v>
      </c>
      <c r="K39">
        <v>21</v>
      </c>
      <c r="L39">
        <v>10</v>
      </c>
      <c r="M39">
        <v>15</v>
      </c>
      <c r="N39">
        <v>100</v>
      </c>
      <c r="O39">
        <v>302</v>
      </c>
    </row>
    <row r="40" spans="1:15" x14ac:dyDescent="0.25">
      <c r="A40" t="s">
        <v>497</v>
      </c>
      <c r="B40">
        <v>11</v>
      </c>
      <c r="C40">
        <v>3</v>
      </c>
      <c r="D40">
        <v>17</v>
      </c>
      <c r="E40">
        <v>9</v>
      </c>
      <c r="F40">
        <v>3</v>
      </c>
      <c r="G40">
        <v>16</v>
      </c>
      <c r="H40">
        <v>1</v>
      </c>
      <c r="I40">
        <v>5</v>
      </c>
      <c r="J40">
        <v>11</v>
      </c>
      <c r="K40">
        <v>9</v>
      </c>
      <c r="L40">
        <v>3</v>
      </c>
      <c r="M40">
        <v>10</v>
      </c>
      <c r="N40">
        <v>55</v>
      </c>
      <c r="O40">
        <v>98</v>
      </c>
    </row>
    <row r="41" spans="1:15" x14ac:dyDescent="0.25">
      <c r="A41" t="s">
        <v>499</v>
      </c>
      <c r="B41">
        <v>6</v>
      </c>
      <c r="C41">
        <v>2</v>
      </c>
      <c r="D41">
        <v>2</v>
      </c>
      <c r="E41">
        <v>3</v>
      </c>
      <c r="F41">
        <v>1</v>
      </c>
      <c r="G41">
        <v>0</v>
      </c>
      <c r="H41">
        <v>0</v>
      </c>
      <c r="I41">
        <v>8</v>
      </c>
      <c r="J41">
        <v>1</v>
      </c>
      <c r="K41">
        <v>3</v>
      </c>
      <c r="L41">
        <v>0</v>
      </c>
      <c r="M41">
        <v>3</v>
      </c>
      <c r="N41">
        <v>11</v>
      </c>
      <c r="O41">
        <v>29</v>
      </c>
    </row>
    <row r="42" spans="1:15" x14ac:dyDescent="0.25">
      <c r="A42" t="s">
        <v>519</v>
      </c>
      <c r="B42">
        <v>18</v>
      </c>
      <c r="C42">
        <v>5</v>
      </c>
      <c r="D42">
        <v>7</v>
      </c>
      <c r="E42">
        <v>10</v>
      </c>
      <c r="F42">
        <v>18</v>
      </c>
      <c r="G42">
        <v>8</v>
      </c>
      <c r="H42">
        <v>2</v>
      </c>
      <c r="I42">
        <v>10</v>
      </c>
      <c r="J42">
        <v>12</v>
      </c>
      <c r="K42">
        <v>0</v>
      </c>
      <c r="L42">
        <v>5</v>
      </c>
      <c r="M42">
        <v>4</v>
      </c>
      <c r="N42">
        <v>81</v>
      </c>
      <c r="O42">
        <v>99</v>
      </c>
    </row>
    <row r="43" spans="1:15" x14ac:dyDescent="0.25">
      <c r="A43" t="s">
        <v>522</v>
      </c>
      <c r="B43">
        <v>2</v>
      </c>
      <c r="C43">
        <v>5</v>
      </c>
      <c r="D43">
        <v>10</v>
      </c>
      <c r="E43">
        <v>0</v>
      </c>
      <c r="F43">
        <v>1</v>
      </c>
      <c r="G43">
        <v>0</v>
      </c>
      <c r="H43">
        <v>2</v>
      </c>
      <c r="I43">
        <v>1</v>
      </c>
      <c r="J43">
        <v>4</v>
      </c>
      <c r="K43">
        <v>0</v>
      </c>
      <c r="L43">
        <v>1</v>
      </c>
      <c r="M43">
        <v>3</v>
      </c>
      <c r="N43">
        <v>51</v>
      </c>
      <c r="O43">
        <v>29</v>
      </c>
    </row>
    <row r="44" spans="1:15" x14ac:dyDescent="0.25">
      <c r="A44" t="s">
        <v>524</v>
      </c>
      <c r="B44">
        <v>9</v>
      </c>
      <c r="C44">
        <v>4</v>
      </c>
      <c r="D44">
        <v>0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4</v>
      </c>
      <c r="M44">
        <v>1</v>
      </c>
      <c r="N44">
        <v>110</v>
      </c>
      <c r="O44">
        <v>20</v>
      </c>
    </row>
    <row r="45" spans="1:15" x14ac:dyDescent="0.25">
      <c r="A45" t="s">
        <v>526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-3</v>
      </c>
      <c r="N45">
        <v>180</v>
      </c>
      <c r="O45">
        <v>-3</v>
      </c>
    </row>
    <row r="46" spans="1:15" x14ac:dyDescent="0.25">
      <c r="A46" t="s">
        <v>541</v>
      </c>
      <c r="B46">
        <v>12</v>
      </c>
      <c r="C46">
        <v>13</v>
      </c>
      <c r="D46">
        <v>33</v>
      </c>
      <c r="E46">
        <v>3</v>
      </c>
      <c r="F46">
        <v>8</v>
      </c>
      <c r="G46">
        <v>7</v>
      </c>
      <c r="H46">
        <v>5</v>
      </c>
      <c r="I46">
        <v>9</v>
      </c>
      <c r="J46">
        <v>16</v>
      </c>
      <c r="K46">
        <v>25</v>
      </c>
      <c r="L46">
        <v>8</v>
      </c>
      <c r="M46">
        <v>11</v>
      </c>
      <c r="N46">
        <v>57</v>
      </c>
      <c r="O46">
        <v>150</v>
      </c>
    </row>
    <row r="47" spans="1:15" x14ac:dyDescent="0.25">
      <c r="A47" t="s">
        <v>544</v>
      </c>
      <c r="B47">
        <v>62</v>
      </c>
      <c r="C47">
        <v>14</v>
      </c>
      <c r="D47">
        <v>36</v>
      </c>
      <c r="E47">
        <v>26</v>
      </c>
      <c r="F47">
        <v>16</v>
      </c>
      <c r="G47">
        <v>39</v>
      </c>
      <c r="H47">
        <v>29</v>
      </c>
      <c r="I47">
        <v>13</v>
      </c>
      <c r="J47">
        <v>26</v>
      </c>
      <c r="K47">
        <v>22</v>
      </c>
      <c r="L47">
        <v>21</v>
      </c>
      <c r="M47">
        <v>9</v>
      </c>
      <c r="N47">
        <v>169</v>
      </c>
      <c r="O47">
        <v>313</v>
      </c>
    </row>
    <row r="48" spans="1:15" x14ac:dyDescent="0.25">
      <c r="A48" t="s">
        <v>546</v>
      </c>
      <c r="B48">
        <v>30</v>
      </c>
      <c r="C48">
        <v>20</v>
      </c>
      <c r="D48">
        <v>29</v>
      </c>
      <c r="E48">
        <v>9</v>
      </c>
      <c r="F48">
        <v>8</v>
      </c>
      <c r="G48">
        <v>25</v>
      </c>
      <c r="H48">
        <v>6</v>
      </c>
      <c r="I48">
        <v>18</v>
      </c>
      <c r="J48">
        <v>27</v>
      </c>
      <c r="K48">
        <v>22</v>
      </c>
      <c r="L48">
        <v>5</v>
      </c>
      <c r="M48">
        <v>8</v>
      </c>
      <c r="N48">
        <v>98</v>
      </c>
      <c r="O48">
        <v>207</v>
      </c>
    </row>
    <row r="49" spans="1:15" x14ac:dyDescent="0.25">
      <c r="A49" t="s">
        <v>528</v>
      </c>
      <c r="B49">
        <v>0</v>
      </c>
      <c r="C49">
        <v>0</v>
      </c>
      <c r="D49">
        <v>0</v>
      </c>
      <c r="E49">
        <v>0</v>
      </c>
      <c r="F49">
        <v>2</v>
      </c>
      <c r="G49">
        <v>1</v>
      </c>
      <c r="H49">
        <v>1</v>
      </c>
      <c r="I49">
        <v>1</v>
      </c>
      <c r="J49">
        <v>1</v>
      </c>
      <c r="K49">
        <v>0</v>
      </c>
      <c r="L49">
        <v>0</v>
      </c>
      <c r="M49">
        <v>2</v>
      </c>
      <c r="N49">
        <v>8</v>
      </c>
      <c r="O49">
        <v>8</v>
      </c>
    </row>
    <row r="50" spans="1:15" x14ac:dyDescent="0.25">
      <c r="A50" t="s">
        <v>531</v>
      </c>
      <c r="B50">
        <v>5</v>
      </c>
      <c r="C50">
        <v>0</v>
      </c>
      <c r="D50">
        <v>0</v>
      </c>
      <c r="E50">
        <v>-2</v>
      </c>
      <c r="F50">
        <v>0</v>
      </c>
      <c r="G50">
        <v>0</v>
      </c>
      <c r="H50">
        <v>5</v>
      </c>
      <c r="I50">
        <v>-1</v>
      </c>
      <c r="J50">
        <v>0</v>
      </c>
      <c r="K50">
        <v>0</v>
      </c>
      <c r="L50">
        <v>0</v>
      </c>
      <c r="M50">
        <v>0</v>
      </c>
      <c r="N50">
        <v>28</v>
      </c>
      <c r="O50">
        <v>7</v>
      </c>
    </row>
    <row r="51" spans="1:15" x14ac:dyDescent="0.25">
      <c r="A51" t="s">
        <v>533</v>
      </c>
      <c r="B51">
        <v>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13</v>
      </c>
      <c r="O51">
        <v>2</v>
      </c>
    </row>
    <row r="52" spans="1:15" x14ac:dyDescent="0.25">
      <c r="A52" t="s">
        <v>554</v>
      </c>
      <c r="B52">
        <v>10</v>
      </c>
      <c r="C52">
        <v>3</v>
      </c>
      <c r="D52">
        <v>6</v>
      </c>
      <c r="E52">
        <v>5</v>
      </c>
      <c r="F52">
        <v>3</v>
      </c>
      <c r="G52">
        <v>4</v>
      </c>
      <c r="H52">
        <v>5</v>
      </c>
      <c r="I52">
        <v>-1</v>
      </c>
      <c r="J52">
        <v>2</v>
      </c>
      <c r="K52">
        <v>0</v>
      </c>
      <c r="L52">
        <v>0</v>
      </c>
      <c r="M52">
        <v>1</v>
      </c>
      <c r="N52">
        <v>41</v>
      </c>
      <c r="O52">
        <v>38</v>
      </c>
    </row>
    <row r="53" spans="1:15" x14ac:dyDescent="0.25">
      <c r="A53" t="s">
        <v>557</v>
      </c>
      <c r="B53">
        <v>1</v>
      </c>
      <c r="C53">
        <v>1</v>
      </c>
      <c r="D53">
        <v>0</v>
      </c>
      <c r="E53">
        <v>2</v>
      </c>
      <c r="F53">
        <v>0</v>
      </c>
      <c r="G53">
        <v>0</v>
      </c>
      <c r="H53">
        <v>7</v>
      </c>
      <c r="I53">
        <v>2</v>
      </c>
      <c r="J53">
        <v>2</v>
      </c>
      <c r="K53">
        <v>0</v>
      </c>
      <c r="L53">
        <v>-1</v>
      </c>
      <c r="M53">
        <v>0</v>
      </c>
      <c r="N53">
        <v>11</v>
      </c>
      <c r="O53">
        <v>14</v>
      </c>
    </row>
    <row r="54" spans="1:15" x14ac:dyDescent="0.25">
      <c r="A54" t="s">
        <v>559</v>
      </c>
      <c r="B54">
        <v>1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-1</v>
      </c>
      <c r="J54">
        <v>0</v>
      </c>
      <c r="K54">
        <v>1</v>
      </c>
      <c r="L54">
        <v>0</v>
      </c>
      <c r="M54">
        <v>0</v>
      </c>
      <c r="N54">
        <v>36</v>
      </c>
      <c r="O54">
        <v>2</v>
      </c>
    </row>
    <row r="55" spans="1:15" x14ac:dyDescent="0.25">
      <c r="A55" t="s">
        <v>465</v>
      </c>
      <c r="B55">
        <v>21</v>
      </c>
      <c r="C55">
        <v>8</v>
      </c>
      <c r="D55">
        <v>34</v>
      </c>
      <c r="E55">
        <v>18</v>
      </c>
      <c r="F55">
        <v>25</v>
      </c>
      <c r="G55">
        <v>21</v>
      </c>
      <c r="H55">
        <v>14</v>
      </c>
      <c r="I55">
        <v>19</v>
      </c>
      <c r="J55">
        <v>23</v>
      </c>
      <c r="K55">
        <v>21</v>
      </c>
      <c r="L55">
        <v>7</v>
      </c>
      <c r="M55">
        <v>4</v>
      </c>
      <c r="N55">
        <v>80</v>
      </c>
      <c r="O55">
        <v>215</v>
      </c>
    </row>
    <row r="56" spans="1:15" x14ac:dyDescent="0.25">
      <c r="A56" t="s">
        <v>468</v>
      </c>
      <c r="B56">
        <v>25</v>
      </c>
      <c r="C56">
        <v>2</v>
      </c>
      <c r="D56">
        <v>24</v>
      </c>
      <c r="E56">
        <v>32</v>
      </c>
      <c r="F56">
        <v>21</v>
      </c>
      <c r="G56">
        <v>32</v>
      </c>
      <c r="H56">
        <v>16</v>
      </c>
      <c r="I56">
        <v>13</v>
      </c>
      <c r="J56">
        <v>15</v>
      </c>
      <c r="K56">
        <v>22</v>
      </c>
      <c r="L56">
        <v>26</v>
      </c>
      <c r="M56">
        <v>15</v>
      </c>
      <c r="N56">
        <v>72</v>
      </c>
      <c r="O56">
        <v>243</v>
      </c>
    </row>
    <row r="57" spans="1:15" x14ac:dyDescent="0.25">
      <c r="A57" t="s">
        <v>470</v>
      </c>
      <c r="B57">
        <v>8</v>
      </c>
      <c r="C57">
        <v>1</v>
      </c>
      <c r="D57">
        <v>8</v>
      </c>
      <c r="E57">
        <v>4</v>
      </c>
      <c r="F57">
        <v>10</v>
      </c>
      <c r="G57">
        <v>14</v>
      </c>
      <c r="H57">
        <v>7</v>
      </c>
      <c r="I57">
        <v>4</v>
      </c>
      <c r="J57">
        <v>16</v>
      </c>
      <c r="K57">
        <v>11</v>
      </c>
      <c r="L57">
        <v>16</v>
      </c>
      <c r="M57">
        <v>1</v>
      </c>
      <c r="N57">
        <v>28</v>
      </c>
      <c r="O57">
        <v>100</v>
      </c>
    </row>
    <row r="58" spans="1:15" x14ac:dyDescent="0.25">
      <c r="A58" t="s">
        <v>459</v>
      </c>
      <c r="B58">
        <v>20</v>
      </c>
      <c r="C58">
        <v>1</v>
      </c>
      <c r="D58">
        <v>20</v>
      </c>
      <c r="E58">
        <v>12</v>
      </c>
      <c r="F58">
        <v>0</v>
      </c>
      <c r="G58">
        <v>10</v>
      </c>
      <c r="H58">
        <v>2</v>
      </c>
      <c r="I58">
        <v>11</v>
      </c>
      <c r="J58">
        <v>5</v>
      </c>
      <c r="K58">
        <v>8</v>
      </c>
      <c r="L58">
        <v>6</v>
      </c>
      <c r="M58">
        <v>0</v>
      </c>
      <c r="N58">
        <v>50</v>
      </c>
      <c r="O58">
        <v>95</v>
      </c>
    </row>
    <row r="59" spans="1:15" x14ac:dyDescent="0.25">
      <c r="A59" t="s">
        <v>463</v>
      </c>
      <c r="B59">
        <v>23</v>
      </c>
      <c r="C59">
        <v>0</v>
      </c>
      <c r="D59">
        <v>7</v>
      </c>
      <c r="E59">
        <v>0</v>
      </c>
      <c r="F59">
        <v>0</v>
      </c>
      <c r="G59">
        <v>5</v>
      </c>
      <c r="H59">
        <v>0</v>
      </c>
      <c r="I59">
        <v>-2</v>
      </c>
      <c r="J59">
        <v>0</v>
      </c>
      <c r="K59">
        <v>0</v>
      </c>
      <c r="L59">
        <v>6</v>
      </c>
      <c r="M59">
        <v>0</v>
      </c>
      <c r="N59">
        <v>65</v>
      </c>
      <c r="O59">
        <v>39</v>
      </c>
    </row>
    <row r="60" spans="1:15" x14ac:dyDescent="0.25">
      <c r="A60" t="s">
        <v>478</v>
      </c>
      <c r="B60">
        <v>8</v>
      </c>
      <c r="C60">
        <v>2</v>
      </c>
      <c r="D60">
        <v>1</v>
      </c>
      <c r="E60">
        <v>2</v>
      </c>
      <c r="F60">
        <v>1</v>
      </c>
      <c r="G60">
        <v>7</v>
      </c>
      <c r="H60">
        <v>2</v>
      </c>
      <c r="I60">
        <v>-2</v>
      </c>
      <c r="J60">
        <v>0</v>
      </c>
      <c r="K60">
        <v>0</v>
      </c>
      <c r="L60">
        <v>0</v>
      </c>
      <c r="M60">
        <v>0</v>
      </c>
      <c r="N60">
        <v>31</v>
      </c>
      <c r="O60">
        <v>21</v>
      </c>
    </row>
    <row r="61" spans="1:15" x14ac:dyDescent="0.25">
      <c r="A61" t="s">
        <v>481</v>
      </c>
      <c r="B61">
        <v>1</v>
      </c>
      <c r="C61">
        <v>0</v>
      </c>
      <c r="D61">
        <v>0</v>
      </c>
      <c r="E61">
        <v>0</v>
      </c>
      <c r="F61">
        <v>3</v>
      </c>
      <c r="G61">
        <v>0</v>
      </c>
      <c r="H61">
        <v>0</v>
      </c>
      <c r="I61">
        <v>0</v>
      </c>
      <c r="J61">
        <v>0</v>
      </c>
      <c r="K61">
        <v>5</v>
      </c>
      <c r="L61">
        <v>0</v>
      </c>
      <c r="M61">
        <v>2</v>
      </c>
      <c r="N61">
        <v>4</v>
      </c>
      <c r="O61">
        <v>11</v>
      </c>
    </row>
    <row r="62" spans="1:15" x14ac:dyDescent="0.25">
      <c r="A62" t="s">
        <v>483</v>
      </c>
      <c r="B62">
        <v>0</v>
      </c>
      <c r="C62">
        <v>0</v>
      </c>
      <c r="D62">
        <v>2</v>
      </c>
      <c r="E62">
        <v>0</v>
      </c>
      <c r="F62">
        <v>0</v>
      </c>
      <c r="G62">
        <v>0</v>
      </c>
      <c r="H62">
        <v>2</v>
      </c>
      <c r="I62">
        <v>-5</v>
      </c>
      <c r="J62">
        <v>1</v>
      </c>
      <c r="K62">
        <v>0</v>
      </c>
      <c r="L62">
        <v>0</v>
      </c>
      <c r="M62">
        <v>0</v>
      </c>
      <c r="N62">
        <v>13</v>
      </c>
      <c r="O62">
        <v>0</v>
      </c>
    </row>
    <row r="63" spans="1:15" x14ac:dyDescent="0.25">
      <c r="A63" t="s">
        <v>575</v>
      </c>
      <c r="B63">
        <v>0</v>
      </c>
      <c r="C63">
        <v>0</v>
      </c>
      <c r="D63">
        <v>0</v>
      </c>
      <c r="E63">
        <v>1</v>
      </c>
      <c r="F63">
        <v>7</v>
      </c>
      <c r="G63">
        <v>20</v>
      </c>
      <c r="H63">
        <v>10</v>
      </c>
      <c r="I63">
        <v>0</v>
      </c>
      <c r="J63">
        <v>5</v>
      </c>
      <c r="K63">
        <v>0</v>
      </c>
      <c r="L63">
        <v>0</v>
      </c>
      <c r="M63">
        <v>0</v>
      </c>
      <c r="N63">
        <v>108</v>
      </c>
      <c r="O63">
        <v>43</v>
      </c>
    </row>
    <row r="64" spans="1:15" x14ac:dyDescent="0.25">
      <c r="A64" t="s">
        <v>579</v>
      </c>
      <c r="B64">
        <v>0</v>
      </c>
      <c r="C64">
        <v>0</v>
      </c>
      <c r="D64">
        <v>0</v>
      </c>
      <c r="E64">
        <v>1</v>
      </c>
      <c r="F64">
        <v>2</v>
      </c>
      <c r="G64">
        <v>0</v>
      </c>
      <c r="H64">
        <v>2</v>
      </c>
      <c r="I64">
        <v>1</v>
      </c>
      <c r="J64">
        <v>0</v>
      </c>
      <c r="K64">
        <v>0</v>
      </c>
      <c r="L64">
        <v>0</v>
      </c>
      <c r="M64">
        <v>0</v>
      </c>
      <c r="N64">
        <v>24</v>
      </c>
      <c r="O64">
        <v>6</v>
      </c>
    </row>
    <row r="65" spans="1:15" x14ac:dyDescent="0.25">
      <c r="A65" t="s">
        <v>581</v>
      </c>
      <c r="B65">
        <v>0</v>
      </c>
      <c r="C65">
        <v>0</v>
      </c>
      <c r="D65">
        <v>0</v>
      </c>
      <c r="E65">
        <v>1</v>
      </c>
      <c r="F65">
        <v>0</v>
      </c>
      <c r="G65">
        <v>1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  <c r="N65">
        <v>56</v>
      </c>
      <c r="O65">
        <v>4</v>
      </c>
    </row>
    <row r="66" spans="1:15" x14ac:dyDescent="0.25">
      <c r="A66" t="s">
        <v>583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t="s">
        <v>169</v>
      </c>
      <c r="B67">
        <v>5</v>
      </c>
      <c r="C67">
        <v>0</v>
      </c>
      <c r="D67">
        <v>1</v>
      </c>
      <c r="E67">
        <v>0</v>
      </c>
      <c r="F67">
        <v>0</v>
      </c>
      <c r="G67">
        <v>0</v>
      </c>
      <c r="H67">
        <v>21</v>
      </c>
      <c r="I67">
        <v>0</v>
      </c>
      <c r="J67">
        <v>2</v>
      </c>
      <c r="K67">
        <v>2</v>
      </c>
      <c r="L67">
        <v>1</v>
      </c>
      <c r="M67">
        <v>15</v>
      </c>
      <c r="N67">
        <v>215</v>
      </c>
      <c r="O67">
        <v>47</v>
      </c>
    </row>
    <row r="68" spans="1:15" x14ac:dyDescent="0.25">
      <c r="A68" t="s">
        <v>324</v>
      </c>
      <c r="B68">
        <v>35</v>
      </c>
      <c r="C68">
        <v>30</v>
      </c>
      <c r="D68">
        <v>15</v>
      </c>
      <c r="E68">
        <v>28</v>
      </c>
      <c r="F68">
        <v>22</v>
      </c>
      <c r="G68">
        <v>5</v>
      </c>
      <c r="H68">
        <v>0</v>
      </c>
      <c r="I68">
        <v>5</v>
      </c>
      <c r="J68">
        <v>8</v>
      </c>
      <c r="K68">
        <v>1</v>
      </c>
      <c r="L68">
        <v>15</v>
      </c>
      <c r="M68">
        <v>2</v>
      </c>
      <c r="N68">
        <v>161</v>
      </c>
      <c r="O68">
        <v>166</v>
      </c>
    </row>
    <row r="69" spans="1:15" x14ac:dyDescent="0.25">
      <c r="A69" t="s">
        <v>320</v>
      </c>
      <c r="B69">
        <v>84</v>
      </c>
      <c r="C69">
        <v>80</v>
      </c>
      <c r="D69">
        <v>54</v>
      </c>
      <c r="E69">
        <v>140</v>
      </c>
      <c r="F69">
        <v>33</v>
      </c>
      <c r="G69">
        <v>28</v>
      </c>
      <c r="H69">
        <v>70</v>
      </c>
      <c r="I69">
        <v>10</v>
      </c>
      <c r="J69">
        <v>28</v>
      </c>
      <c r="K69">
        <v>21</v>
      </c>
      <c r="L69">
        <v>35</v>
      </c>
      <c r="M69">
        <v>18</v>
      </c>
      <c r="N69">
        <v>304</v>
      </c>
      <c r="O69">
        <v>601</v>
      </c>
    </row>
    <row r="70" spans="1:15" x14ac:dyDescent="0.25">
      <c r="A70" t="s">
        <v>572</v>
      </c>
      <c r="B70">
        <v>7</v>
      </c>
      <c r="C70">
        <v>3</v>
      </c>
      <c r="D70">
        <v>4</v>
      </c>
      <c r="E70">
        <v>6</v>
      </c>
      <c r="F70">
        <v>0</v>
      </c>
      <c r="G70">
        <v>3</v>
      </c>
      <c r="H70">
        <v>3</v>
      </c>
      <c r="I70">
        <v>3</v>
      </c>
      <c r="J70">
        <v>3</v>
      </c>
      <c r="K70">
        <v>2</v>
      </c>
      <c r="L70">
        <v>0</v>
      </c>
      <c r="M70">
        <v>3</v>
      </c>
      <c r="N70">
        <v>188</v>
      </c>
      <c r="O70">
        <v>37</v>
      </c>
    </row>
    <row r="71" spans="1:15" x14ac:dyDescent="0.25">
      <c r="A71" t="s">
        <v>567</v>
      </c>
      <c r="B71">
        <v>16</v>
      </c>
      <c r="C71">
        <v>0</v>
      </c>
      <c r="D71">
        <v>28</v>
      </c>
      <c r="E71">
        <v>16</v>
      </c>
      <c r="F71">
        <v>16</v>
      </c>
      <c r="G71">
        <v>19</v>
      </c>
      <c r="H71">
        <v>0</v>
      </c>
      <c r="I71">
        <v>5</v>
      </c>
      <c r="J71">
        <v>0</v>
      </c>
      <c r="K71">
        <v>0</v>
      </c>
      <c r="L71">
        <v>0</v>
      </c>
      <c r="M71">
        <v>8</v>
      </c>
      <c r="N71">
        <v>132</v>
      </c>
      <c r="O71">
        <v>108</v>
      </c>
    </row>
    <row r="72" spans="1:15" x14ac:dyDescent="0.25">
      <c r="A72" t="s">
        <v>326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100</v>
      </c>
      <c r="L72">
        <v>0</v>
      </c>
      <c r="M72">
        <v>0</v>
      </c>
      <c r="N72">
        <v>60</v>
      </c>
      <c r="O72">
        <v>100</v>
      </c>
    </row>
    <row r="73" spans="1:15" x14ac:dyDescent="0.25">
      <c r="A73" t="s">
        <v>319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100</v>
      </c>
      <c r="O73">
        <v>0</v>
      </c>
    </row>
    <row r="74" spans="1:15" x14ac:dyDescent="0.25">
      <c r="A74" t="s">
        <v>176</v>
      </c>
      <c r="B74">
        <v>4</v>
      </c>
      <c r="C74">
        <v>0</v>
      </c>
      <c r="D74">
        <v>0</v>
      </c>
      <c r="E74">
        <v>0</v>
      </c>
      <c r="F74">
        <v>0</v>
      </c>
      <c r="G74">
        <v>2</v>
      </c>
      <c r="H74">
        <v>2</v>
      </c>
      <c r="I74">
        <v>0</v>
      </c>
      <c r="J74">
        <v>0</v>
      </c>
      <c r="K74">
        <v>0</v>
      </c>
      <c r="L74">
        <v>0</v>
      </c>
      <c r="M74">
        <v>3</v>
      </c>
      <c r="N74">
        <v>27</v>
      </c>
      <c r="O74">
        <v>11</v>
      </c>
    </row>
    <row r="75" spans="1:15" x14ac:dyDescent="0.25">
      <c r="A75" t="s">
        <v>177</v>
      </c>
      <c r="B75">
        <v>1</v>
      </c>
      <c r="C75">
        <v>0</v>
      </c>
      <c r="D75">
        <v>3</v>
      </c>
      <c r="E75">
        <v>1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28</v>
      </c>
      <c r="O75">
        <v>8</v>
      </c>
    </row>
    <row r="76" spans="1:15" x14ac:dyDescent="0.25">
      <c r="A76" t="s">
        <v>170</v>
      </c>
      <c r="B76">
        <v>4</v>
      </c>
      <c r="C76">
        <v>2</v>
      </c>
      <c r="D76">
        <v>1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16</v>
      </c>
      <c r="O76">
        <v>9</v>
      </c>
    </row>
    <row r="77" spans="1:15" x14ac:dyDescent="0.25">
      <c r="A77" t="s">
        <v>425</v>
      </c>
      <c r="B77">
        <v>5</v>
      </c>
      <c r="C77">
        <v>5</v>
      </c>
      <c r="D77">
        <v>5</v>
      </c>
      <c r="E77">
        <v>2</v>
      </c>
      <c r="F77">
        <v>5</v>
      </c>
      <c r="G77">
        <v>7</v>
      </c>
      <c r="H77">
        <v>5</v>
      </c>
      <c r="I77">
        <v>5</v>
      </c>
      <c r="J77">
        <v>2</v>
      </c>
      <c r="K77">
        <v>11</v>
      </c>
      <c r="L77">
        <v>0</v>
      </c>
      <c r="M77">
        <v>0</v>
      </c>
      <c r="N77">
        <v>30</v>
      </c>
      <c r="O77">
        <v>52</v>
      </c>
    </row>
    <row r="78" spans="1:15" x14ac:dyDescent="0.25">
      <c r="A78" t="s">
        <v>428</v>
      </c>
      <c r="B78">
        <v>11</v>
      </c>
      <c r="C78">
        <v>0</v>
      </c>
      <c r="D78">
        <v>5</v>
      </c>
      <c r="E78">
        <v>0</v>
      </c>
      <c r="F78">
        <v>5</v>
      </c>
      <c r="G78">
        <v>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25</v>
      </c>
      <c r="O78">
        <v>26</v>
      </c>
    </row>
    <row r="79" spans="1:15" x14ac:dyDescent="0.25">
      <c r="A79" t="s">
        <v>419</v>
      </c>
      <c r="B79">
        <v>2</v>
      </c>
      <c r="C79">
        <v>6</v>
      </c>
      <c r="D79">
        <v>2</v>
      </c>
      <c r="E79">
        <v>5</v>
      </c>
      <c r="F79">
        <v>0</v>
      </c>
      <c r="G79">
        <v>2</v>
      </c>
      <c r="H79">
        <v>3</v>
      </c>
      <c r="I79">
        <v>0</v>
      </c>
      <c r="J79">
        <v>0</v>
      </c>
      <c r="K79">
        <v>4</v>
      </c>
      <c r="L79">
        <v>4</v>
      </c>
      <c r="M79">
        <v>0</v>
      </c>
      <c r="N79">
        <v>10</v>
      </c>
      <c r="O79">
        <v>28</v>
      </c>
    </row>
    <row r="80" spans="1:15" x14ac:dyDescent="0.25">
      <c r="A80" t="s">
        <v>423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3</v>
      </c>
      <c r="K80">
        <v>2</v>
      </c>
      <c r="L80">
        <v>2</v>
      </c>
      <c r="M80">
        <v>0</v>
      </c>
      <c r="N80">
        <v>19</v>
      </c>
      <c r="O80">
        <v>8</v>
      </c>
    </row>
    <row r="81" spans="1:15" x14ac:dyDescent="0.25">
      <c r="A81" t="s">
        <v>571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t="s">
        <v>59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10</v>
      </c>
      <c r="O82">
        <v>0</v>
      </c>
    </row>
    <row r="83" spans="1:15" x14ac:dyDescent="0.25">
      <c r="A83" t="s">
        <v>62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</v>
      </c>
      <c r="O83">
        <v>0</v>
      </c>
    </row>
    <row r="84" spans="1:15" x14ac:dyDescent="0.25">
      <c r="A84" t="s">
        <v>64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5</v>
      </c>
      <c r="O84">
        <v>0</v>
      </c>
    </row>
    <row r="85" spans="1:15" x14ac:dyDescent="0.25">
      <c r="A85" t="s">
        <v>127</v>
      </c>
      <c r="B85">
        <v>2</v>
      </c>
      <c r="C85">
        <v>0</v>
      </c>
      <c r="D85">
        <v>0</v>
      </c>
      <c r="E85">
        <v>2</v>
      </c>
      <c r="F85">
        <v>0</v>
      </c>
      <c r="G85">
        <v>3</v>
      </c>
      <c r="H85">
        <v>0</v>
      </c>
      <c r="I85">
        <v>7</v>
      </c>
      <c r="J85">
        <v>0</v>
      </c>
      <c r="K85">
        <v>0</v>
      </c>
      <c r="L85">
        <v>2</v>
      </c>
      <c r="M85">
        <v>0</v>
      </c>
      <c r="N85">
        <v>42</v>
      </c>
      <c r="O85">
        <v>16</v>
      </c>
    </row>
    <row r="86" spans="1:15" x14ac:dyDescent="0.25">
      <c r="A86" t="s">
        <v>130</v>
      </c>
      <c r="B86">
        <v>0</v>
      </c>
      <c r="C86">
        <v>0</v>
      </c>
      <c r="D86">
        <v>0</v>
      </c>
      <c r="E86">
        <v>2</v>
      </c>
      <c r="F86">
        <v>0</v>
      </c>
      <c r="G86">
        <v>0</v>
      </c>
      <c r="H86">
        <v>3</v>
      </c>
      <c r="I86">
        <v>2</v>
      </c>
      <c r="J86">
        <v>0</v>
      </c>
      <c r="K86">
        <v>0</v>
      </c>
      <c r="L86">
        <v>5</v>
      </c>
      <c r="M86">
        <v>2</v>
      </c>
      <c r="N86">
        <v>10</v>
      </c>
      <c r="O86">
        <v>14</v>
      </c>
    </row>
    <row r="87" spans="1:15" x14ac:dyDescent="0.25">
      <c r="A87" t="s">
        <v>132</v>
      </c>
      <c r="B87">
        <v>0</v>
      </c>
      <c r="C87">
        <v>2</v>
      </c>
      <c r="D87">
        <v>3</v>
      </c>
      <c r="E87">
        <v>1</v>
      </c>
      <c r="F87">
        <v>2</v>
      </c>
      <c r="G87">
        <v>3</v>
      </c>
      <c r="H87">
        <v>1</v>
      </c>
      <c r="I87">
        <v>3</v>
      </c>
      <c r="J87">
        <v>2</v>
      </c>
      <c r="K87">
        <v>0</v>
      </c>
      <c r="L87">
        <v>0</v>
      </c>
      <c r="M87">
        <v>0</v>
      </c>
      <c r="N87">
        <v>16</v>
      </c>
      <c r="O87">
        <v>17</v>
      </c>
    </row>
    <row r="88" spans="1:15" x14ac:dyDescent="0.25">
      <c r="A88" t="s">
        <v>802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803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144</v>
      </c>
      <c r="B90">
        <v>6</v>
      </c>
      <c r="C90">
        <v>14</v>
      </c>
      <c r="D90">
        <v>4</v>
      </c>
      <c r="E90">
        <v>6</v>
      </c>
      <c r="F90">
        <v>10</v>
      </c>
      <c r="G90">
        <v>17</v>
      </c>
      <c r="H90">
        <v>15</v>
      </c>
      <c r="I90">
        <v>4</v>
      </c>
      <c r="J90">
        <v>3</v>
      </c>
      <c r="K90">
        <v>11</v>
      </c>
      <c r="L90">
        <v>14</v>
      </c>
      <c r="M90">
        <v>13</v>
      </c>
      <c r="N90">
        <v>35</v>
      </c>
      <c r="O90">
        <v>117</v>
      </c>
    </row>
    <row r="91" spans="1:15" x14ac:dyDescent="0.25">
      <c r="A91" t="s">
        <v>147</v>
      </c>
      <c r="B91">
        <v>2</v>
      </c>
      <c r="C91">
        <v>14</v>
      </c>
      <c r="D91">
        <v>1</v>
      </c>
      <c r="E91">
        <v>5</v>
      </c>
      <c r="F91">
        <v>0</v>
      </c>
      <c r="G91">
        <v>6</v>
      </c>
      <c r="H91">
        <v>7</v>
      </c>
      <c r="I91">
        <v>1</v>
      </c>
      <c r="J91">
        <v>9</v>
      </c>
      <c r="K91">
        <v>1</v>
      </c>
      <c r="L91">
        <v>1</v>
      </c>
      <c r="M91">
        <v>7</v>
      </c>
      <c r="N91">
        <v>54</v>
      </c>
      <c r="O91">
        <v>54</v>
      </c>
    </row>
    <row r="92" spans="1:15" x14ac:dyDescent="0.25">
      <c r="A92" t="s">
        <v>149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43</v>
      </c>
      <c r="O92">
        <v>1</v>
      </c>
    </row>
    <row r="93" spans="1:15" x14ac:dyDescent="0.25">
      <c r="A93" t="s">
        <v>151</v>
      </c>
      <c r="B93">
        <v>0</v>
      </c>
      <c r="C93">
        <v>0</v>
      </c>
      <c r="D93">
        <v>2</v>
      </c>
      <c r="E93">
        <v>1</v>
      </c>
      <c r="F93">
        <v>3</v>
      </c>
      <c r="G93">
        <v>0</v>
      </c>
      <c r="H93">
        <v>1</v>
      </c>
      <c r="I93">
        <v>1</v>
      </c>
      <c r="J93">
        <v>1</v>
      </c>
      <c r="K93">
        <v>0</v>
      </c>
      <c r="L93">
        <v>0</v>
      </c>
      <c r="M93">
        <v>5</v>
      </c>
      <c r="N93">
        <v>9</v>
      </c>
      <c r="O93">
        <v>14</v>
      </c>
    </row>
    <row r="94" spans="1:15" x14ac:dyDescent="0.25">
      <c r="A94" t="s">
        <v>153</v>
      </c>
      <c r="B94">
        <v>0</v>
      </c>
      <c r="C94">
        <v>0</v>
      </c>
      <c r="D94">
        <v>3</v>
      </c>
      <c r="E94">
        <v>3</v>
      </c>
      <c r="F94">
        <v>0</v>
      </c>
      <c r="G94">
        <v>4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15</v>
      </c>
      <c r="O94">
        <v>11</v>
      </c>
    </row>
    <row r="95" spans="1:15" x14ac:dyDescent="0.25">
      <c r="A95" t="s">
        <v>82</v>
      </c>
      <c r="B95">
        <v>0</v>
      </c>
      <c r="C95">
        <v>0</v>
      </c>
      <c r="D95">
        <v>1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11</v>
      </c>
      <c r="O95">
        <v>2</v>
      </c>
    </row>
    <row r="96" spans="1:15" x14ac:dyDescent="0.25">
      <c r="A96" t="s">
        <v>86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1</v>
      </c>
      <c r="K96">
        <v>1</v>
      </c>
      <c r="L96">
        <v>0</v>
      </c>
      <c r="M96">
        <v>0</v>
      </c>
      <c r="N96">
        <v>16</v>
      </c>
      <c r="O96">
        <v>3</v>
      </c>
    </row>
    <row r="97" spans="1:15" x14ac:dyDescent="0.25">
      <c r="A97" t="s">
        <v>88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1</v>
      </c>
      <c r="M97">
        <v>0</v>
      </c>
      <c r="N97">
        <v>17</v>
      </c>
      <c r="O97">
        <v>3</v>
      </c>
    </row>
    <row r="98" spans="1:15" x14ac:dyDescent="0.25">
      <c r="A98" t="s">
        <v>90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t="s">
        <v>92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 t="s">
        <v>795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t="s">
        <v>796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 t="s">
        <v>797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t="s">
        <v>798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 t="s">
        <v>799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t="s">
        <v>801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 t="s">
        <v>107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4</v>
      </c>
      <c r="O106">
        <v>0</v>
      </c>
    </row>
    <row r="107" spans="1:15" x14ac:dyDescent="0.25">
      <c r="A107" t="s">
        <v>108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5</v>
      </c>
      <c r="O107">
        <v>0</v>
      </c>
    </row>
    <row r="108" spans="1:15" x14ac:dyDescent="0.25">
      <c r="A108" t="s">
        <v>110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</v>
      </c>
      <c r="O108">
        <v>0</v>
      </c>
    </row>
    <row r="109" spans="1:15" x14ac:dyDescent="0.25">
      <c r="A109" t="s">
        <v>800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t="s">
        <v>104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14</v>
      </c>
      <c r="O110">
        <v>0</v>
      </c>
    </row>
    <row r="111" spans="1:15" x14ac:dyDescent="0.25">
      <c r="A111" t="s">
        <v>793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 t="s">
        <v>794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t="s">
        <v>501</v>
      </c>
      <c r="B113">
        <v>3</v>
      </c>
      <c r="C113">
        <v>0</v>
      </c>
      <c r="D113">
        <v>6</v>
      </c>
      <c r="E113">
        <v>3</v>
      </c>
      <c r="F113">
        <v>3</v>
      </c>
      <c r="G113">
        <v>1</v>
      </c>
      <c r="H113">
        <v>0</v>
      </c>
      <c r="I113">
        <v>0</v>
      </c>
      <c r="J113">
        <v>0</v>
      </c>
      <c r="K113">
        <v>2</v>
      </c>
      <c r="L113">
        <v>0</v>
      </c>
      <c r="M113">
        <v>3</v>
      </c>
      <c r="N113">
        <v>14</v>
      </c>
      <c r="O113">
        <v>21</v>
      </c>
    </row>
    <row r="114" spans="1:15" x14ac:dyDescent="0.25">
      <c r="A114" t="s">
        <v>810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 t="s">
        <v>503</v>
      </c>
      <c r="B115">
        <v>0</v>
      </c>
      <c r="C115">
        <v>3</v>
      </c>
      <c r="D115">
        <v>2</v>
      </c>
      <c r="E115">
        <v>2</v>
      </c>
      <c r="F115">
        <v>0</v>
      </c>
      <c r="G115">
        <v>0</v>
      </c>
      <c r="H115">
        <v>2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10</v>
      </c>
      <c r="O115">
        <v>11</v>
      </c>
    </row>
    <row r="116" spans="1:15" x14ac:dyDescent="0.25">
      <c r="A116" t="s">
        <v>811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t="s">
        <v>505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20</v>
      </c>
      <c r="O117">
        <v>0</v>
      </c>
    </row>
    <row r="118" spans="1:15" x14ac:dyDescent="0.25">
      <c r="A118" t="s">
        <v>193</v>
      </c>
      <c r="B118">
        <v>0</v>
      </c>
      <c r="C118">
        <v>1</v>
      </c>
      <c r="D118">
        <v>2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1</v>
      </c>
      <c r="K118">
        <v>8</v>
      </c>
      <c r="L118">
        <v>0</v>
      </c>
      <c r="M118">
        <v>0</v>
      </c>
      <c r="N118">
        <v>16</v>
      </c>
      <c r="O118">
        <v>14</v>
      </c>
    </row>
    <row r="119" spans="1:15" x14ac:dyDescent="0.25">
      <c r="A119" t="s">
        <v>195</v>
      </c>
      <c r="B119">
        <v>5</v>
      </c>
      <c r="C119">
        <v>15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5</v>
      </c>
      <c r="K119">
        <v>2</v>
      </c>
      <c r="L119">
        <v>3</v>
      </c>
      <c r="M119">
        <v>4</v>
      </c>
      <c r="N119">
        <v>42</v>
      </c>
      <c r="O119">
        <v>35</v>
      </c>
    </row>
    <row r="120" spans="1:15" x14ac:dyDescent="0.25">
      <c r="A120" t="s">
        <v>808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 t="s">
        <v>197</v>
      </c>
      <c r="B121">
        <v>0</v>
      </c>
      <c r="C121">
        <v>6</v>
      </c>
      <c r="D121">
        <v>0</v>
      </c>
      <c r="E121">
        <v>7</v>
      </c>
      <c r="F121">
        <v>1</v>
      </c>
      <c r="G121">
        <v>2</v>
      </c>
      <c r="H121">
        <v>0</v>
      </c>
      <c r="I121">
        <v>2</v>
      </c>
      <c r="J121">
        <v>1</v>
      </c>
      <c r="K121">
        <v>8</v>
      </c>
      <c r="L121">
        <v>0</v>
      </c>
      <c r="M121">
        <v>0</v>
      </c>
      <c r="N121">
        <v>18</v>
      </c>
      <c r="O121">
        <v>27</v>
      </c>
    </row>
    <row r="122" spans="1:15" x14ac:dyDescent="0.25">
      <c r="A122" t="s">
        <v>216</v>
      </c>
      <c r="B122">
        <v>0</v>
      </c>
      <c r="C122">
        <v>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2</v>
      </c>
      <c r="K122">
        <v>1</v>
      </c>
      <c r="L122">
        <v>0</v>
      </c>
      <c r="M122">
        <v>0</v>
      </c>
      <c r="N122">
        <v>24</v>
      </c>
      <c r="O122">
        <v>11</v>
      </c>
    </row>
    <row r="123" spans="1:15" x14ac:dyDescent="0.25">
      <c r="A123" t="s">
        <v>218</v>
      </c>
      <c r="B123">
        <v>0</v>
      </c>
      <c r="C123">
        <v>2</v>
      </c>
      <c r="D123">
        <v>0</v>
      </c>
      <c r="E123">
        <v>0</v>
      </c>
      <c r="F123">
        <v>2</v>
      </c>
      <c r="G123">
        <v>1</v>
      </c>
      <c r="H123">
        <v>2</v>
      </c>
      <c r="I123">
        <v>-3</v>
      </c>
      <c r="J123">
        <v>0</v>
      </c>
      <c r="K123">
        <v>3</v>
      </c>
      <c r="L123">
        <v>2</v>
      </c>
      <c r="M123">
        <v>1</v>
      </c>
      <c r="N123">
        <v>3</v>
      </c>
      <c r="O123">
        <v>10</v>
      </c>
    </row>
    <row r="124" spans="1:15" x14ac:dyDescent="0.25">
      <c r="A124" t="s">
        <v>809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 t="s">
        <v>220</v>
      </c>
      <c r="B125">
        <v>0</v>
      </c>
      <c r="C125">
        <v>0</v>
      </c>
      <c r="D125">
        <v>0</v>
      </c>
      <c r="E125">
        <v>5</v>
      </c>
      <c r="F125">
        <v>0</v>
      </c>
      <c r="G125">
        <v>2</v>
      </c>
      <c r="H125">
        <v>0</v>
      </c>
      <c r="I125">
        <v>-3</v>
      </c>
      <c r="J125">
        <v>3</v>
      </c>
      <c r="K125">
        <v>1</v>
      </c>
      <c r="L125">
        <v>0</v>
      </c>
      <c r="M125">
        <v>1</v>
      </c>
      <c r="N125">
        <v>8</v>
      </c>
      <c r="O125">
        <v>9</v>
      </c>
    </row>
    <row r="126" spans="1:15" x14ac:dyDescent="0.25">
      <c r="A126" t="s">
        <v>222</v>
      </c>
      <c r="B126">
        <v>3</v>
      </c>
      <c r="C126">
        <v>1</v>
      </c>
      <c r="D126">
        <v>0</v>
      </c>
      <c r="E126">
        <v>0</v>
      </c>
      <c r="F126">
        <v>0</v>
      </c>
      <c r="G126">
        <v>2</v>
      </c>
      <c r="H126">
        <v>0</v>
      </c>
      <c r="I126">
        <v>1</v>
      </c>
      <c r="J126">
        <v>5</v>
      </c>
      <c r="K126">
        <v>1</v>
      </c>
      <c r="L126">
        <v>0</v>
      </c>
      <c r="M126">
        <v>0</v>
      </c>
      <c r="N126">
        <v>11</v>
      </c>
      <c r="O126">
        <v>13</v>
      </c>
    </row>
    <row r="127" spans="1:15" x14ac:dyDescent="0.25">
      <c r="A127" t="s">
        <v>243</v>
      </c>
      <c r="B127">
        <v>11</v>
      </c>
      <c r="C127">
        <v>5</v>
      </c>
      <c r="D127">
        <v>10</v>
      </c>
      <c r="E127">
        <v>5</v>
      </c>
      <c r="F127">
        <v>5</v>
      </c>
      <c r="G127">
        <v>11</v>
      </c>
      <c r="H127">
        <v>7</v>
      </c>
      <c r="I127">
        <v>8</v>
      </c>
      <c r="J127">
        <v>0</v>
      </c>
      <c r="K127">
        <v>11</v>
      </c>
      <c r="L127">
        <v>10</v>
      </c>
      <c r="M127">
        <v>3</v>
      </c>
      <c r="N127">
        <v>65</v>
      </c>
      <c r="O127">
        <v>86</v>
      </c>
    </row>
    <row r="128" spans="1:15" x14ac:dyDescent="0.25">
      <c r="A128" t="s">
        <v>245</v>
      </c>
      <c r="B128">
        <v>0</v>
      </c>
      <c r="C128">
        <v>0</v>
      </c>
      <c r="D128">
        <v>3</v>
      </c>
      <c r="E128">
        <v>22</v>
      </c>
      <c r="F128">
        <v>12</v>
      </c>
      <c r="G128">
        <v>18</v>
      </c>
      <c r="H128">
        <v>9</v>
      </c>
      <c r="I128">
        <v>0</v>
      </c>
      <c r="J128">
        <v>16</v>
      </c>
      <c r="K128">
        <v>14</v>
      </c>
      <c r="L128">
        <v>7</v>
      </c>
      <c r="M128">
        <v>2</v>
      </c>
      <c r="N128">
        <v>89</v>
      </c>
      <c r="O128">
        <v>103</v>
      </c>
    </row>
    <row r="129" spans="1:15" x14ac:dyDescent="0.25">
      <c r="A129" t="s">
        <v>247</v>
      </c>
      <c r="B129">
        <v>0</v>
      </c>
      <c r="C129">
        <v>0</v>
      </c>
      <c r="D129">
        <v>2</v>
      </c>
      <c r="E129">
        <v>11</v>
      </c>
      <c r="F129">
        <v>2</v>
      </c>
      <c r="G129">
        <v>11</v>
      </c>
      <c r="H129">
        <v>5</v>
      </c>
      <c r="I129">
        <v>3</v>
      </c>
      <c r="J129">
        <v>1</v>
      </c>
      <c r="K129">
        <v>4</v>
      </c>
      <c r="L129">
        <v>5</v>
      </c>
      <c r="M129">
        <v>0</v>
      </c>
      <c r="N129">
        <v>53</v>
      </c>
      <c r="O129">
        <v>44</v>
      </c>
    </row>
    <row r="130" spans="1:15" x14ac:dyDescent="0.25">
      <c r="A130" t="s">
        <v>255</v>
      </c>
      <c r="B130">
        <v>0</v>
      </c>
      <c r="C130">
        <v>0</v>
      </c>
      <c r="D130">
        <v>5</v>
      </c>
      <c r="E130">
        <v>5</v>
      </c>
      <c r="F130">
        <v>5</v>
      </c>
      <c r="G130">
        <v>0</v>
      </c>
      <c r="H130">
        <v>2</v>
      </c>
      <c r="I130">
        <v>1</v>
      </c>
      <c r="J130">
        <v>7</v>
      </c>
      <c r="K130">
        <v>2</v>
      </c>
      <c r="L130">
        <v>4</v>
      </c>
      <c r="M130">
        <v>0</v>
      </c>
      <c r="N130">
        <v>25</v>
      </c>
      <c r="O130">
        <v>31</v>
      </c>
    </row>
    <row r="131" spans="1:15" x14ac:dyDescent="0.25">
      <c r="A131" t="s">
        <v>258</v>
      </c>
      <c r="B131">
        <v>1</v>
      </c>
      <c r="C131">
        <v>3</v>
      </c>
      <c r="D131">
        <v>3</v>
      </c>
      <c r="E131">
        <v>0</v>
      </c>
      <c r="F131">
        <v>1</v>
      </c>
      <c r="G131">
        <v>0</v>
      </c>
      <c r="H131">
        <v>0</v>
      </c>
      <c r="I131">
        <v>2</v>
      </c>
      <c r="J131">
        <v>2</v>
      </c>
      <c r="K131">
        <v>3</v>
      </c>
      <c r="L131">
        <v>3</v>
      </c>
      <c r="M131">
        <v>1</v>
      </c>
      <c r="N131">
        <v>31</v>
      </c>
      <c r="O131">
        <v>19</v>
      </c>
    </row>
    <row r="132" spans="1:15" x14ac:dyDescent="0.25">
      <c r="A132" t="s">
        <v>260</v>
      </c>
      <c r="B132">
        <v>0</v>
      </c>
      <c r="C132">
        <v>4</v>
      </c>
      <c r="D132">
        <v>0</v>
      </c>
      <c r="E132">
        <v>0</v>
      </c>
      <c r="F132">
        <v>2</v>
      </c>
      <c r="G132">
        <v>0</v>
      </c>
      <c r="H132">
        <v>0</v>
      </c>
      <c r="I132">
        <v>2</v>
      </c>
      <c r="J132">
        <v>0</v>
      </c>
      <c r="K132">
        <v>1</v>
      </c>
      <c r="L132">
        <v>0</v>
      </c>
      <c r="M132">
        <v>0</v>
      </c>
      <c r="N132">
        <v>13</v>
      </c>
      <c r="O132">
        <v>9</v>
      </c>
    </row>
    <row r="133" spans="1:15" x14ac:dyDescent="0.25">
      <c r="A133" t="s">
        <v>262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t="s">
        <v>374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</v>
      </c>
      <c r="O134">
        <v>0</v>
      </c>
    </row>
    <row r="135" spans="1:15" x14ac:dyDescent="0.25">
      <c r="A135" t="s">
        <v>376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t="s">
        <v>378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10</v>
      </c>
      <c r="O136">
        <v>0</v>
      </c>
    </row>
    <row r="137" spans="1:15" x14ac:dyDescent="0.25">
      <c r="A137" t="s">
        <v>380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 t="s">
        <v>335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</v>
      </c>
      <c r="O138">
        <v>0</v>
      </c>
    </row>
    <row r="139" spans="1:15" x14ac:dyDescent="0.25">
      <c r="A139" t="s">
        <v>339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0</v>
      </c>
    </row>
    <row r="140" spans="1:15" x14ac:dyDescent="0.25">
      <c r="A140" t="s">
        <v>341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</v>
      </c>
      <c r="O140">
        <v>0</v>
      </c>
    </row>
    <row r="141" spans="1:15" x14ac:dyDescent="0.25">
      <c r="A141" t="s">
        <v>349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5</v>
      </c>
      <c r="O141">
        <v>0</v>
      </c>
    </row>
    <row r="142" spans="1:15" x14ac:dyDescent="0.25">
      <c r="A142" t="s">
        <v>352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9</v>
      </c>
      <c r="O142">
        <v>0</v>
      </c>
    </row>
    <row r="143" spans="1:15" x14ac:dyDescent="0.25">
      <c r="A143" t="s">
        <v>354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10</v>
      </c>
      <c r="O143">
        <v>0</v>
      </c>
    </row>
    <row r="144" spans="1:15" x14ac:dyDescent="0.25">
      <c r="A144" t="s">
        <v>280</v>
      </c>
      <c r="B144">
        <v>8</v>
      </c>
      <c r="C144">
        <v>2</v>
      </c>
      <c r="D144">
        <v>21</v>
      </c>
      <c r="E144">
        <v>0</v>
      </c>
      <c r="F144">
        <v>15</v>
      </c>
      <c r="G144">
        <v>3</v>
      </c>
      <c r="H144">
        <v>7</v>
      </c>
      <c r="I144">
        <v>6</v>
      </c>
      <c r="J144">
        <v>20</v>
      </c>
      <c r="K144">
        <v>8</v>
      </c>
      <c r="L144">
        <v>8</v>
      </c>
      <c r="M144">
        <v>4</v>
      </c>
      <c r="N144">
        <v>55</v>
      </c>
      <c r="O144">
        <v>102</v>
      </c>
    </row>
    <row r="145" spans="1:15" x14ac:dyDescent="0.25">
      <c r="A145" t="s">
        <v>283</v>
      </c>
      <c r="B145">
        <v>5</v>
      </c>
      <c r="C145">
        <v>0</v>
      </c>
      <c r="D145">
        <v>3</v>
      </c>
      <c r="E145">
        <v>8</v>
      </c>
      <c r="F145">
        <v>5</v>
      </c>
      <c r="G145">
        <v>1</v>
      </c>
      <c r="H145">
        <v>2</v>
      </c>
      <c r="I145">
        <v>1</v>
      </c>
      <c r="J145">
        <v>3</v>
      </c>
      <c r="K145">
        <v>9</v>
      </c>
      <c r="L145">
        <v>2</v>
      </c>
      <c r="M145">
        <v>2</v>
      </c>
      <c r="N145">
        <v>11</v>
      </c>
      <c r="O145">
        <v>41</v>
      </c>
    </row>
    <row r="146" spans="1:15" x14ac:dyDescent="0.25">
      <c r="A146" t="s">
        <v>285</v>
      </c>
      <c r="B146">
        <v>2</v>
      </c>
      <c r="C146">
        <v>0</v>
      </c>
      <c r="D146">
        <v>0</v>
      </c>
      <c r="E146">
        <v>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45</v>
      </c>
      <c r="O146">
        <v>5</v>
      </c>
    </row>
    <row r="147" spans="1:15" x14ac:dyDescent="0.25">
      <c r="A147" t="s">
        <v>264</v>
      </c>
      <c r="B147">
        <v>13</v>
      </c>
      <c r="C147">
        <v>12</v>
      </c>
      <c r="D147">
        <v>11</v>
      </c>
      <c r="E147">
        <v>25</v>
      </c>
      <c r="F147">
        <v>8</v>
      </c>
      <c r="G147">
        <v>6</v>
      </c>
      <c r="H147">
        <v>9</v>
      </c>
      <c r="I147">
        <v>14</v>
      </c>
      <c r="J147">
        <v>5</v>
      </c>
      <c r="K147">
        <v>31</v>
      </c>
      <c r="L147">
        <v>14</v>
      </c>
      <c r="M147">
        <v>12</v>
      </c>
      <c r="N147">
        <v>36</v>
      </c>
      <c r="O147">
        <v>160</v>
      </c>
    </row>
    <row r="148" spans="1:15" x14ac:dyDescent="0.25">
      <c r="A148" t="s">
        <v>266</v>
      </c>
      <c r="B148">
        <v>7</v>
      </c>
      <c r="C148">
        <v>5</v>
      </c>
      <c r="D148">
        <v>4</v>
      </c>
      <c r="E148">
        <v>4</v>
      </c>
      <c r="F148">
        <v>5</v>
      </c>
      <c r="G148">
        <v>9</v>
      </c>
      <c r="H148">
        <v>5</v>
      </c>
      <c r="I148">
        <v>12</v>
      </c>
      <c r="J148">
        <v>3</v>
      </c>
      <c r="K148">
        <v>12</v>
      </c>
      <c r="L148">
        <v>10</v>
      </c>
      <c r="M148">
        <v>2</v>
      </c>
      <c r="N148">
        <v>31</v>
      </c>
      <c r="O148">
        <v>78</v>
      </c>
    </row>
    <row r="149" spans="1:15" x14ac:dyDescent="0.25">
      <c r="A149" t="s">
        <v>44</v>
      </c>
      <c r="B149">
        <v>71</v>
      </c>
      <c r="C149">
        <v>75</v>
      </c>
      <c r="D149">
        <v>34</v>
      </c>
      <c r="E149">
        <v>53</v>
      </c>
      <c r="F149">
        <v>77</v>
      </c>
      <c r="G149">
        <v>87</v>
      </c>
      <c r="H149">
        <v>56</v>
      </c>
      <c r="I149">
        <v>34</v>
      </c>
      <c r="J149">
        <v>38</v>
      </c>
      <c r="K149">
        <v>72</v>
      </c>
      <c r="L149">
        <v>64</v>
      </c>
      <c r="M149">
        <v>58</v>
      </c>
      <c r="N149">
        <v>222</v>
      </c>
      <c r="O149">
        <v>719</v>
      </c>
    </row>
    <row r="150" spans="1:15" x14ac:dyDescent="0.25">
      <c r="A150" t="s">
        <v>48</v>
      </c>
      <c r="B150">
        <v>14</v>
      </c>
      <c r="C150">
        <v>12</v>
      </c>
      <c r="D150">
        <v>22</v>
      </c>
      <c r="E150">
        <v>11</v>
      </c>
      <c r="F150">
        <v>4</v>
      </c>
      <c r="G150">
        <v>11</v>
      </c>
      <c r="H150">
        <v>14</v>
      </c>
      <c r="I150">
        <v>20</v>
      </c>
      <c r="J150">
        <v>15</v>
      </c>
      <c r="K150">
        <v>22</v>
      </c>
      <c r="L150">
        <v>3</v>
      </c>
      <c r="M150">
        <v>16</v>
      </c>
      <c r="N150">
        <v>80</v>
      </c>
      <c r="O150">
        <v>164</v>
      </c>
    </row>
    <row r="151" spans="1:15" x14ac:dyDescent="0.25">
      <c r="A151" t="s">
        <v>50</v>
      </c>
      <c r="B151">
        <v>10</v>
      </c>
      <c r="C151">
        <v>15</v>
      </c>
      <c r="D151">
        <v>12</v>
      </c>
      <c r="E151">
        <v>15</v>
      </c>
      <c r="F151">
        <v>17</v>
      </c>
      <c r="G151">
        <v>19</v>
      </c>
      <c r="H151">
        <v>15</v>
      </c>
      <c r="I151">
        <v>17</v>
      </c>
      <c r="J151">
        <v>9</v>
      </c>
      <c r="K151">
        <v>18</v>
      </c>
      <c r="L151">
        <v>5</v>
      </c>
      <c r="M151">
        <v>20</v>
      </c>
      <c r="N151">
        <v>54</v>
      </c>
      <c r="O151">
        <v>172</v>
      </c>
    </row>
    <row r="152" spans="1:15" x14ac:dyDescent="0.25">
      <c r="A152" t="s">
        <v>52</v>
      </c>
      <c r="B152">
        <v>9</v>
      </c>
      <c r="C152">
        <v>3</v>
      </c>
      <c r="D152">
        <v>5</v>
      </c>
      <c r="E152">
        <v>12</v>
      </c>
      <c r="F152">
        <v>4</v>
      </c>
      <c r="G152">
        <v>11</v>
      </c>
      <c r="H152">
        <v>5</v>
      </c>
      <c r="I152">
        <v>1</v>
      </c>
      <c r="J152">
        <v>6</v>
      </c>
      <c r="K152">
        <v>7</v>
      </c>
      <c r="L152">
        <v>12</v>
      </c>
      <c r="M152">
        <v>4</v>
      </c>
      <c r="N152">
        <v>48</v>
      </c>
      <c r="O152">
        <v>79</v>
      </c>
    </row>
    <row r="153" spans="1:15" x14ac:dyDescent="0.25">
      <c r="A153" t="s">
        <v>66</v>
      </c>
      <c r="B153">
        <v>8</v>
      </c>
      <c r="C153">
        <v>6</v>
      </c>
      <c r="D153">
        <v>5</v>
      </c>
      <c r="E153">
        <v>13</v>
      </c>
      <c r="F153">
        <v>7</v>
      </c>
      <c r="G153">
        <v>7</v>
      </c>
      <c r="H153">
        <v>11</v>
      </c>
      <c r="I153">
        <v>4</v>
      </c>
      <c r="J153">
        <v>3</v>
      </c>
      <c r="K153">
        <v>9</v>
      </c>
      <c r="L153">
        <v>6</v>
      </c>
      <c r="M153">
        <v>7</v>
      </c>
      <c r="N153">
        <v>31</v>
      </c>
      <c r="O153">
        <v>86</v>
      </c>
    </row>
    <row r="154" spans="1:15" x14ac:dyDescent="0.25">
      <c r="A154" t="s">
        <v>68</v>
      </c>
      <c r="B154">
        <v>4</v>
      </c>
      <c r="C154">
        <v>1</v>
      </c>
      <c r="D154">
        <v>0</v>
      </c>
      <c r="E154">
        <v>4</v>
      </c>
      <c r="F154">
        <v>3</v>
      </c>
      <c r="G154">
        <v>1</v>
      </c>
      <c r="H154">
        <v>0</v>
      </c>
      <c r="I154">
        <v>3</v>
      </c>
      <c r="J154">
        <v>1</v>
      </c>
      <c r="K154">
        <v>2</v>
      </c>
      <c r="L154">
        <v>0</v>
      </c>
      <c r="M154">
        <v>0</v>
      </c>
      <c r="N154">
        <v>13</v>
      </c>
      <c r="O154">
        <v>19</v>
      </c>
    </row>
    <row r="155" spans="1:15" x14ac:dyDescent="0.25">
      <c r="A155" t="s">
        <v>70</v>
      </c>
      <c r="B155">
        <v>6</v>
      </c>
      <c r="C155">
        <v>3</v>
      </c>
      <c r="D155">
        <v>2</v>
      </c>
      <c r="E155">
        <v>5</v>
      </c>
      <c r="F155">
        <v>8</v>
      </c>
      <c r="G155">
        <v>2</v>
      </c>
      <c r="H155">
        <v>6</v>
      </c>
      <c r="I155">
        <v>5</v>
      </c>
      <c r="J155">
        <v>2</v>
      </c>
      <c r="K155">
        <v>9</v>
      </c>
      <c r="L155">
        <v>1</v>
      </c>
      <c r="M155">
        <v>1</v>
      </c>
      <c r="N155">
        <v>23</v>
      </c>
      <c r="O155">
        <v>50</v>
      </c>
    </row>
    <row r="156" spans="1:15" x14ac:dyDescent="0.25">
      <c r="A156" t="s">
        <v>72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4</v>
      </c>
      <c r="O156">
        <v>1</v>
      </c>
    </row>
    <row r="157" spans="1:15" x14ac:dyDescent="0.25">
      <c r="A157" t="s">
        <v>74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1</v>
      </c>
      <c r="M157">
        <v>0</v>
      </c>
      <c r="N157">
        <v>7</v>
      </c>
      <c r="O157">
        <v>3</v>
      </c>
    </row>
    <row r="158" spans="1:15" x14ac:dyDescent="0.25">
      <c r="A158" t="s">
        <v>134</v>
      </c>
      <c r="B158">
        <v>29</v>
      </c>
      <c r="C158">
        <v>30</v>
      </c>
      <c r="D158">
        <v>15</v>
      </c>
      <c r="E158">
        <v>43</v>
      </c>
      <c r="F158">
        <v>41</v>
      </c>
      <c r="G158">
        <v>24</v>
      </c>
      <c r="H158">
        <v>15</v>
      </c>
      <c r="I158">
        <v>31</v>
      </c>
      <c r="J158">
        <v>30</v>
      </c>
      <c r="K158">
        <v>63</v>
      </c>
      <c r="L158">
        <v>44</v>
      </c>
      <c r="M158">
        <v>16</v>
      </c>
      <c r="N158">
        <v>116</v>
      </c>
      <c r="O158">
        <v>381</v>
      </c>
    </row>
    <row r="159" spans="1:15" x14ac:dyDescent="0.25">
      <c r="A159" t="s">
        <v>136</v>
      </c>
      <c r="B159">
        <v>17</v>
      </c>
      <c r="C159">
        <v>11</v>
      </c>
      <c r="D159">
        <v>8</v>
      </c>
      <c r="E159">
        <v>13</v>
      </c>
      <c r="F159">
        <v>6</v>
      </c>
      <c r="G159">
        <v>13</v>
      </c>
      <c r="H159">
        <v>3</v>
      </c>
      <c r="I159">
        <v>12</v>
      </c>
      <c r="J159">
        <v>16</v>
      </c>
      <c r="K159">
        <v>10</v>
      </c>
      <c r="L159">
        <v>12</v>
      </c>
      <c r="M159">
        <v>7</v>
      </c>
      <c r="N159">
        <v>45</v>
      </c>
      <c r="O159">
        <v>128</v>
      </c>
    </row>
    <row r="160" spans="1:15" x14ac:dyDescent="0.25">
      <c r="A160" t="s">
        <v>138</v>
      </c>
      <c r="B160">
        <v>23</v>
      </c>
      <c r="C160">
        <v>10</v>
      </c>
      <c r="D160">
        <v>11</v>
      </c>
      <c r="E160">
        <v>28</v>
      </c>
      <c r="F160">
        <v>14</v>
      </c>
      <c r="G160">
        <v>8</v>
      </c>
      <c r="H160">
        <v>20</v>
      </c>
      <c r="I160">
        <v>12</v>
      </c>
      <c r="J160">
        <v>10</v>
      </c>
      <c r="K160">
        <v>19</v>
      </c>
      <c r="L160">
        <v>9</v>
      </c>
      <c r="M160">
        <v>6</v>
      </c>
      <c r="N160">
        <v>64</v>
      </c>
      <c r="O160">
        <v>170</v>
      </c>
    </row>
    <row r="161" spans="1:15" x14ac:dyDescent="0.25">
      <c r="A161" t="s">
        <v>140</v>
      </c>
      <c r="B161">
        <v>3</v>
      </c>
      <c r="C161">
        <v>4</v>
      </c>
      <c r="D161">
        <v>1</v>
      </c>
      <c r="E161">
        <v>0</v>
      </c>
      <c r="F161">
        <v>0</v>
      </c>
      <c r="G161">
        <v>2</v>
      </c>
      <c r="H161">
        <v>1</v>
      </c>
      <c r="I161">
        <v>0</v>
      </c>
      <c r="J161">
        <v>3</v>
      </c>
      <c r="K161">
        <v>0</v>
      </c>
      <c r="L161">
        <v>2</v>
      </c>
      <c r="M161">
        <v>2</v>
      </c>
      <c r="N161">
        <v>22</v>
      </c>
      <c r="O161">
        <v>18</v>
      </c>
    </row>
    <row r="162" spans="1:15" x14ac:dyDescent="0.25">
      <c r="A162" t="s">
        <v>142</v>
      </c>
      <c r="B162">
        <v>3</v>
      </c>
      <c r="C162">
        <v>2</v>
      </c>
      <c r="D162">
        <v>2</v>
      </c>
      <c r="E162">
        <v>1</v>
      </c>
      <c r="F162">
        <v>3</v>
      </c>
      <c r="G162">
        <v>0</v>
      </c>
      <c r="H162">
        <v>4</v>
      </c>
      <c r="I162">
        <v>2</v>
      </c>
      <c r="J162">
        <v>1</v>
      </c>
      <c r="K162">
        <v>1</v>
      </c>
      <c r="L162">
        <v>0</v>
      </c>
      <c r="M162">
        <v>2</v>
      </c>
      <c r="N162">
        <v>7</v>
      </c>
      <c r="O162">
        <v>21</v>
      </c>
    </row>
    <row r="163" spans="1:15" x14ac:dyDescent="0.25">
      <c r="A163" t="s">
        <v>155</v>
      </c>
      <c r="B163">
        <v>164</v>
      </c>
      <c r="C163">
        <v>87</v>
      </c>
      <c r="D163">
        <v>147</v>
      </c>
      <c r="E163">
        <v>136</v>
      </c>
      <c r="F163">
        <v>142</v>
      </c>
      <c r="G163">
        <v>167</v>
      </c>
      <c r="H163">
        <v>123</v>
      </c>
      <c r="I163">
        <v>107</v>
      </c>
      <c r="J163">
        <v>163</v>
      </c>
      <c r="K163">
        <v>197</v>
      </c>
      <c r="L163">
        <v>108</v>
      </c>
      <c r="M163">
        <v>141</v>
      </c>
      <c r="N163">
        <v>531</v>
      </c>
      <c r="O163">
        <v>1682</v>
      </c>
    </row>
    <row r="164" spans="1:15" x14ac:dyDescent="0.25">
      <c r="A164" t="s">
        <v>157</v>
      </c>
      <c r="B164">
        <v>40</v>
      </c>
      <c r="C164">
        <v>25</v>
      </c>
      <c r="D164">
        <v>53</v>
      </c>
      <c r="E164">
        <v>47</v>
      </c>
      <c r="F164">
        <v>52</v>
      </c>
      <c r="G164">
        <v>37</v>
      </c>
      <c r="H164">
        <v>33</v>
      </c>
      <c r="I164">
        <v>27</v>
      </c>
      <c r="J164">
        <v>52</v>
      </c>
      <c r="K164">
        <v>33</v>
      </c>
      <c r="L164">
        <v>46</v>
      </c>
      <c r="M164">
        <v>15</v>
      </c>
      <c r="N164">
        <v>164</v>
      </c>
      <c r="O164">
        <v>460</v>
      </c>
    </row>
    <row r="165" spans="1:15" x14ac:dyDescent="0.25">
      <c r="A165" t="s">
        <v>159</v>
      </c>
      <c r="B165">
        <v>61</v>
      </c>
      <c r="C165">
        <v>41</v>
      </c>
      <c r="D165">
        <v>79</v>
      </c>
      <c r="E165">
        <v>79</v>
      </c>
      <c r="F165">
        <v>34</v>
      </c>
      <c r="G165">
        <v>73</v>
      </c>
      <c r="H165">
        <v>44</v>
      </c>
      <c r="I165">
        <v>45</v>
      </c>
      <c r="J165">
        <v>81</v>
      </c>
      <c r="K165">
        <v>80</v>
      </c>
      <c r="L165">
        <v>64</v>
      </c>
      <c r="M165">
        <v>38</v>
      </c>
      <c r="N165">
        <v>217</v>
      </c>
      <c r="O165">
        <v>719</v>
      </c>
    </row>
    <row r="166" spans="1:15" x14ac:dyDescent="0.25">
      <c r="A166" t="s">
        <v>161</v>
      </c>
      <c r="B166">
        <v>9</v>
      </c>
      <c r="C166">
        <v>11</v>
      </c>
      <c r="D166">
        <v>5</v>
      </c>
      <c r="E166">
        <v>13</v>
      </c>
      <c r="F166">
        <v>6</v>
      </c>
      <c r="G166">
        <v>1</v>
      </c>
      <c r="H166">
        <v>10</v>
      </c>
      <c r="I166">
        <v>4</v>
      </c>
      <c r="J166">
        <v>7</v>
      </c>
      <c r="K166">
        <v>6</v>
      </c>
      <c r="L166">
        <v>8</v>
      </c>
      <c r="M166">
        <v>10</v>
      </c>
      <c r="N166">
        <v>17</v>
      </c>
      <c r="O166">
        <v>90</v>
      </c>
    </row>
    <row r="167" spans="1:15" x14ac:dyDescent="0.25">
      <c r="A167" t="s">
        <v>163</v>
      </c>
      <c r="B167">
        <v>16</v>
      </c>
      <c r="C167">
        <v>10</v>
      </c>
      <c r="D167">
        <v>10</v>
      </c>
      <c r="E167">
        <v>6</v>
      </c>
      <c r="F167">
        <v>18</v>
      </c>
      <c r="G167">
        <v>16</v>
      </c>
      <c r="H167">
        <v>6</v>
      </c>
      <c r="I167">
        <v>10</v>
      </c>
      <c r="J167">
        <v>12</v>
      </c>
      <c r="K167">
        <v>6</v>
      </c>
      <c r="L167">
        <v>6</v>
      </c>
      <c r="M167">
        <v>6</v>
      </c>
      <c r="N167">
        <v>62</v>
      </c>
      <c r="O167">
        <v>122</v>
      </c>
    </row>
    <row r="168" spans="1:15" x14ac:dyDescent="0.25">
      <c r="A168" t="s">
        <v>94</v>
      </c>
      <c r="B168">
        <v>8</v>
      </c>
      <c r="C168">
        <v>3</v>
      </c>
      <c r="D168">
        <v>10</v>
      </c>
      <c r="E168">
        <v>5</v>
      </c>
      <c r="F168">
        <v>5</v>
      </c>
      <c r="G168">
        <v>8</v>
      </c>
      <c r="H168">
        <v>7</v>
      </c>
      <c r="I168">
        <v>4</v>
      </c>
      <c r="J168">
        <v>1</v>
      </c>
      <c r="K168">
        <v>11</v>
      </c>
      <c r="L168">
        <v>5</v>
      </c>
      <c r="M168">
        <v>13</v>
      </c>
      <c r="N168">
        <v>14</v>
      </c>
      <c r="O168">
        <v>80</v>
      </c>
    </row>
    <row r="169" spans="1:15" x14ac:dyDescent="0.25">
      <c r="A169" t="s">
        <v>96</v>
      </c>
      <c r="B169">
        <v>4</v>
      </c>
      <c r="C169">
        <v>3</v>
      </c>
      <c r="D169">
        <v>5</v>
      </c>
      <c r="E169">
        <v>2</v>
      </c>
      <c r="F169">
        <v>0</v>
      </c>
      <c r="G169">
        <v>4</v>
      </c>
      <c r="H169">
        <v>8</v>
      </c>
      <c r="I169">
        <v>6</v>
      </c>
      <c r="J169">
        <v>1</v>
      </c>
      <c r="K169">
        <v>4</v>
      </c>
      <c r="L169">
        <v>1</v>
      </c>
      <c r="M169">
        <v>3</v>
      </c>
      <c r="N169">
        <v>21</v>
      </c>
      <c r="O169">
        <v>41</v>
      </c>
    </row>
    <row r="170" spans="1:15" x14ac:dyDescent="0.25">
      <c r="A170" t="s">
        <v>98</v>
      </c>
      <c r="B170">
        <v>4</v>
      </c>
      <c r="C170">
        <v>5</v>
      </c>
      <c r="D170">
        <v>9</v>
      </c>
      <c r="E170">
        <v>6</v>
      </c>
      <c r="F170">
        <v>1</v>
      </c>
      <c r="G170">
        <v>2</v>
      </c>
      <c r="H170">
        <v>2</v>
      </c>
      <c r="I170">
        <v>7</v>
      </c>
      <c r="J170">
        <v>1</v>
      </c>
      <c r="K170">
        <v>5</v>
      </c>
      <c r="L170">
        <v>1</v>
      </c>
      <c r="M170">
        <v>5</v>
      </c>
      <c r="N170">
        <v>21</v>
      </c>
      <c r="O170">
        <v>48</v>
      </c>
    </row>
    <row r="171" spans="1:15" x14ac:dyDescent="0.25">
      <c r="A171" t="s">
        <v>100</v>
      </c>
      <c r="B171">
        <v>0</v>
      </c>
      <c r="C171">
        <v>0</v>
      </c>
      <c r="D171">
        <v>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15</v>
      </c>
      <c r="O171">
        <v>3</v>
      </c>
    </row>
    <row r="172" spans="1:15" x14ac:dyDescent="0.25">
      <c r="A172" t="s">
        <v>102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2</v>
      </c>
      <c r="J172">
        <v>0</v>
      </c>
      <c r="K172">
        <v>2</v>
      </c>
      <c r="L172">
        <v>0</v>
      </c>
      <c r="M172">
        <v>0</v>
      </c>
      <c r="N172">
        <v>7</v>
      </c>
      <c r="O172">
        <v>4</v>
      </c>
    </row>
    <row r="173" spans="1:15" x14ac:dyDescent="0.25">
      <c r="A173" t="s">
        <v>114</v>
      </c>
      <c r="B173">
        <v>0</v>
      </c>
      <c r="C173">
        <v>0</v>
      </c>
      <c r="D173">
        <v>8</v>
      </c>
      <c r="E173">
        <v>0</v>
      </c>
      <c r="F173">
        <v>0</v>
      </c>
      <c r="G173">
        <v>2</v>
      </c>
      <c r="H173">
        <v>2</v>
      </c>
      <c r="I173">
        <v>1</v>
      </c>
      <c r="J173">
        <v>1</v>
      </c>
      <c r="K173">
        <v>1</v>
      </c>
      <c r="L173">
        <v>4</v>
      </c>
      <c r="M173">
        <v>4</v>
      </c>
      <c r="N173">
        <v>5</v>
      </c>
      <c r="O173">
        <v>23</v>
      </c>
    </row>
    <row r="174" spans="1:15" x14ac:dyDescent="0.25">
      <c r="A174" t="s">
        <v>117</v>
      </c>
      <c r="B174">
        <v>0</v>
      </c>
      <c r="C174">
        <v>0</v>
      </c>
      <c r="D174">
        <v>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6</v>
      </c>
      <c r="O174">
        <v>3</v>
      </c>
    </row>
    <row r="175" spans="1:15" x14ac:dyDescent="0.25">
      <c r="A175" t="s">
        <v>120</v>
      </c>
      <c r="B175">
        <v>0</v>
      </c>
      <c r="C175">
        <v>0</v>
      </c>
      <c r="D175">
        <v>2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10</v>
      </c>
      <c r="O175">
        <v>3</v>
      </c>
    </row>
    <row r="176" spans="1:15" x14ac:dyDescent="0.25">
      <c r="A176" t="s">
        <v>123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1</v>
      </c>
      <c r="O176">
        <v>1</v>
      </c>
    </row>
    <row r="177" spans="1:15" x14ac:dyDescent="0.25">
      <c r="A177" t="s">
        <v>126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4</v>
      </c>
      <c r="O177">
        <v>1</v>
      </c>
    </row>
    <row r="178" spans="1:15" x14ac:dyDescent="0.25">
      <c r="A178" t="s">
        <v>112</v>
      </c>
      <c r="B178">
        <v>5</v>
      </c>
      <c r="C178">
        <v>3</v>
      </c>
      <c r="D178">
        <v>8</v>
      </c>
      <c r="E178">
        <v>4</v>
      </c>
      <c r="F178">
        <v>3</v>
      </c>
      <c r="G178">
        <v>4</v>
      </c>
      <c r="H178">
        <v>4</v>
      </c>
      <c r="I178">
        <v>4</v>
      </c>
      <c r="J178">
        <v>4</v>
      </c>
      <c r="K178">
        <v>13</v>
      </c>
      <c r="L178">
        <v>8</v>
      </c>
      <c r="M178">
        <v>3</v>
      </c>
      <c r="N178">
        <v>49</v>
      </c>
      <c r="O178">
        <v>63</v>
      </c>
    </row>
    <row r="179" spans="1:15" x14ac:dyDescent="0.25">
      <c r="A179" t="s">
        <v>115</v>
      </c>
      <c r="B179">
        <v>0</v>
      </c>
      <c r="C179">
        <v>1</v>
      </c>
      <c r="D179">
        <v>0</v>
      </c>
      <c r="E179">
        <v>2</v>
      </c>
      <c r="F179">
        <v>1</v>
      </c>
      <c r="G179">
        <v>0</v>
      </c>
      <c r="H179">
        <v>3</v>
      </c>
      <c r="I179">
        <v>2</v>
      </c>
      <c r="J179">
        <v>0</v>
      </c>
      <c r="K179">
        <v>0</v>
      </c>
      <c r="L179">
        <v>1</v>
      </c>
      <c r="M179">
        <v>1</v>
      </c>
      <c r="N179">
        <v>12</v>
      </c>
      <c r="O179">
        <v>11</v>
      </c>
    </row>
    <row r="180" spans="1:15" x14ac:dyDescent="0.25">
      <c r="A180" t="s">
        <v>118</v>
      </c>
      <c r="B180">
        <v>2</v>
      </c>
      <c r="C180">
        <v>1</v>
      </c>
      <c r="D180">
        <v>0</v>
      </c>
      <c r="E180">
        <v>5</v>
      </c>
      <c r="F180">
        <v>2</v>
      </c>
      <c r="G180">
        <v>0</v>
      </c>
      <c r="H180">
        <v>1</v>
      </c>
      <c r="I180">
        <v>2</v>
      </c>
      <c r="J180">
        <v>0</v>
      </c>
      <c r="K180">
        <v>2</v>
      </c>
      <c r="L180">
        <v>0</v>
      </c>
      <c r="M180">
        <v>3</v>
      </c>
      <c r="N180">
        <v>13</v>
      </c>
      <c r="O180">
        <v>18</v>
      </c>
    </row>
    <row r="181" spans="1:15" x14ac:dyDescent="0.25">
      <c r="A181" t="s">
        <v>121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</v>
      </c>
      <c r="M181">
        <v>0</v>
      </c>
      <c r="N181">
        <v>16</v>
      </c>
      <c r="O181">
        <v>2</v>
      </c>
    </row>
    <row r="182" spans="1:15" x14ac:dyDescent="0.25">
      <c r="A182" t="s">
        <v>124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2</v>
      </c>
      <c r="M182">
        <v>0</v>
      </c>
      <c r="N182">
        <v>17</v>
      </c>
      <c r="O182">
        <v>3</v>
      </c>
    </row>
    <row r="183" spans="1:15" x14ac:dyDescent="0.25">
      <c r="A183" t="s">
        <v>400</v>
      </c>
      <c r="B183">
        <v>5</v>
      </c>
      <c r="C183">
        <v>14</v>
      </c>
      <c r="D183">
        <v>1</v>
      </c>
      <c r="E183">
        <v>17</v>
      </c>
      <c r="F183">
        <v>7</v>
      </c>
      <c r="G183">
        <v>10</v>
      </c>
      <c r="H183">
        <v>19</v>
      </c>
      <c r="I183">
        <v>8</v>
      </c>
      <c r="J183">
        <v>7</v>
      </c>
      <c r="K183">
        <v>13</v>
      </c>
      <c r="L183">
        <v>3</v>
      </c>
      <c r="M183">
        <v>12</v>
      </c>
      <c r="N183">
        <v>27</v>
      </c>
      <c r="O183">
        <v>116</v>
      </c>
    </row>
    <row r="184" spans="1:15" x14ac:dyDescent="0.25">
      <c r="A184" t="s">
        <v>404</v>
      </c>
      <c r="B184">
        <v>4</v>
      </c>
      <c r="C184">
        <v>6</v>
      </c>
      <c r="D184">
        <v>5</v>
      </c>
      <c r="E184">
        <v>1</v>
      </c>
      <c r="F184">
        <v>4</v>
      </c>
      <c r="G184">
        <v>4</v>
      </c>
      <c r="H184">
        <v>7</v>
      </c>
      <c r="I184">
        <v>8</v>
      </c>
      <c r="J184">
        <v>4</v>
      </c>
      <c r="K184">
        <v>1</v>
      </c>
      <c r="L184">
        <v>7</v>
      </c>
      <c r="M184">
        <v>3</v>
      </c>
      <c r="N184">
        <v>7</v>
      </c>
      <c r="O184">
        <v>54</v>
      </c>
    </row>
    <row r="185" spans="1:15" x14ac:dyDescent="0.25">
      <c r="A185" t="s">
        <v>451</v>
      </c>
      <c r="B185">
        <v>5</v>
      </c>
      <c r="C185">
        <v>4</v>
      </c>
      <c r="D185">
        <v>5</v>
      </c>
      <c r="E185">
        <v>18</v>
      </c>
      <c r="F185">
        <v>1</v>
      </c>
      <c r="G185">
        <v>1</v>
      </c>
      <c r="H185">
        <v>7</v>
      </c>
      <c r="I185">
        <v>12</v>
      </c>
      <c r="J185">
        <v>1</v>
      </c>
      <c r="K185">
        <v>5</v>
      </c>
      <c r="L185">
        <v>1</v>
      </c>
      <c r="M185">
        <v>0</v>
      </c>
      <c r="N185">
        <v>27</v>
      </c>
      <c r="O185">
        <v>60</v>
      </c>
    </row>
    <row r="186" spans="1:15" x14ac:dyDescent="0.25">
      <c r="A186" t="s">
        <v>55</v>
      </c>
      <c r="B186">
        <v>3</v>
      </c>
      <c r="C186">
        <v>1</v>
      </c>
      <c r="D186">
        <v>3</v>
      </c>
      <c r="E186">
        <v>3</v>
      </c>
      <c r="F186">
        <v>6</v>
      </c>
      <c r="G186">
        <v>7</v>
      </c>
      <c r="H186">
        <v>2</v>
      </c>
      <c r="I186">
        <v>9</v>
      </c>
      <c r="J186">
        <v>2</v>
      </c>
      <c r="K186">
        <v>3</v>
      </c>
      <c r="L186">
        <v>0</v>
      </c>
      <c r="M186">
        <v>8</v>
      </c>
      <c r="N186">
        <v>18</v>
      </c>
      <c r="O186">
        <v>47</v>
      </c>
    </row>
    <row r="187" spans="1:15" x14ac:dyDescent="0.25">
      <c r="A187" t="s">
        <v>57</v>
      </c>
      <c r="B187">
        <v>8</v>
      </c>
      <c r="C187">
        <v>2</v>
      </c>
      <c r="D187">
        <v>8</v>
      </c>
      <c r="E187">
        <v>14</v>
      </c>
      <c r="F187">
        <v>4</v>
      </c>
      <c r="G187">
        <v>7</v>
      </c>
      <c r="H187">
        <v>3</v>
      </c>
      <c r="I187">
        <v>2</v>
      </c>
      <c r="J187">
        <v>8</v>
      </c>
      <c r="K187">
        <v>6</v>
      </c>
      <c r="L187">
        <v>4</v>
      </c>
      <c r="M187">
        <v>9</v>
      </c>
      <c r="N187">
        <v>18</v>
      </c>
      <c r="O187">
        <v>75</v>
      </c>
    </row>
    <row r="188" spans="1:15" x14ac:dyDescent="0.25">
      <c r="A188" t="s">
        <v>402</v>
      </c>
      <c r="B188">
        <v>3</v>
      </c>
      <c r="C188">
        <v>1</v>
      </c>
      <c r="D188">
        <v>3</v>
      </c>
      <c r="E188">
        <v>3</v>
      </c>
      <c r="F188">
        <v>1</v>
      </c>
      <c r="G188">
        <v>1</v>
      </c>
      <c r="H188">
        <v>1</v>
      </c>
      <c r="I188">
        <v>2</v>
      </c>
      <c r="J188">
        <v>2</v>
      </c>
      <c r="K188">
        <v>2</v>
      </c>
      <c r="L188">
        <v>2</v>
      </c>
      <c r="M188">
        <v>1</v>
      </c>
      <c r="N188">
        <v>15</v>
      </c>
      <c r="O188">
        <v>22</v>
      </c>
    </row>
    <row r="189" spans="1:15" x14ac:dyDescent="0.25">
      <c r="A189" t="s">
        <v>413</v>
      </c>
      <c r="B189">
        <v>7</v>
      </c>
      <c r="C189">
        <v>6</v>
      </c>
      <c r="D189">
        <v>6</v>
      </c>
      <c r="E189">
        <v>11</v>
      </c>
      <c r="F189">
        <v>14</v>
      </c>
      <c r="G189">
        <v>3</v>
      </c>
      <c r="H189">
        <v>34</v>
      </c>
      <c r="I189">
        <v>10</v>
      </c>
      <c r="J189">
        <v>9</v>
      </c>
      <c r="K189">
        <v>7</v>
      </c>
      <c r="L189">
        <v>11</v>
      </c>
      <c r="M189">
        <v>12</v>
      </c>
      <c r="N189">
        <v>20</v>
      </c>
      <c r="O189">
        <v>130</v>
      </c>
    </row>
    <row r="190" spans="1:15" x14ac:dyDescent="0.25">
      <c r="A190" t="s">
        <v>415</v>
      </c>
      <c r="B190">
        <v>0</v>
      </c>
      <c r="C190">
        <v>0</v>
      </c>
      <c r="D190">
        <v>4</v>
      </c>
      <c r="E190">
        <v>5</v>
      </c>
      <c r="F190">
        <v>8</v>
      </c>
      <c r="G190">
        <v>0</v>
      </c>
      <c r="H190">
        <v>3</v>
      </c>
      <c r="I190">
        <v>-4</v>
      </c>
      <c r="J190">
        <v>8</v>
      </c>
      <c r="K190">
        <v>3</v>
      </c>
      <c r="L190">
        <v>0</v>
      </c>
      <c r="M190">
        <v>2</v>
      </c>
      <c r="N190">
        <v>21</v>
      </c>
      <c r="O190">
        <v>29</v>
      </c>
    </row>
    <row r="191" spans="1:15" x14ac:dyDescent="0.25">
      <c r="A191" t="s">
        <v>417</v>
      </c>
      <c r="B191">
        <v>7</v>
      </c>
      <c r="C191">
        <v>6</v>
      </c>
      <c r="D191">
        <v>0</v>
      </c>
      <c r="E191">
        <v>7</v>
      </c>
      <c r="F191">
        <v>7</v>
      </c>
      <c r="G191">
        <v>5</v>
      </c>
      <c r="H191">
        <v>3</v>
      </c>
      <c r="I191">
        <v>5</v>
      </c>
      <c r="J191">
        <v>3</v>
      </c>
      <c r="K191">
        <v>3</v>
      </c>
      <c r="L191">
        <v>9</v>
      </c>
      <c r="M191">
        <v>3</v>
      </c>
      <c r="N191">
        <v>1</v>
      </c>
      <c r="O191">
        <v>58</v>
      </c>
    </row>
    <row r="192" spans="1:15" x14ac:dyDescent="0.25">
      <c r="A192" t="s">
        <v>453</v>
      </c>
      <c r="B192">
        <v>4</v>
      </c>
      <c r="C192">
        <v>0</v>
      </c>
      <c r="D192">
        <v>0</v>
      </c>
      <c r="E192">
        <v>2</v>
      </c>
      <c r="F192">
        <v>0</v>
      </c>
      <c r="G192">
        <v>1</v>
      </c>
      <c r="H192">
        <v>5</v>
      </c>
      <c r="I192">
        <v>6</v>
      </c>
      <c r="J192">
        <v>1</v>
      </c>
      <c r="K192">
        <v>4</v>
      </c>
      <c r="L192">
        <v>2</v>
      </c>
      <c r="M192">
        <v>0</v>
      </c>
      <c r="N192">
        <v>2</v>
      </c>
      <c r="O192">
        <v>25</v>
      </c>
    </row>
    <row r="193" spans="1:15" x14ac:dyDescent="0.25">
      <c r="A193" t="s">
        <v>455</v>
      </c>
      <c r="B193">
        <v>2</v>
      </c>
      <c r="C193">
        <v>4</v>
      </c>
      <c r="D193">
        <v>3</v>
      </c>
      <c r="E193">
        <v>5</v>
      </c>
      <c r="F193">
        <v>3</v>
      </c>
      <c r="G193">
        <v>2</v>
      </c>
      <c r="H193">
        <v>1</v>
      </c>
      <c r="I193">
        <v>1</v>
      </c>
      <c r="J193">
        <v>2</v>
      </c>
      <c r="K193">
        <v>3</v>
      </c>
      <c r="L193">
        <v>3</v>
      </c>
      <c r="M193">
        <v>0</v>
      </c>
      <c r="N193">
        <v>112</v>
      </c>
      <c r="O193">
        <v>29</v>
      </c>
    </row>
    <row r="194" spans="1:15" x14ac:dyDescent="0.25">
      <c r="A194" t="s">
        <v>457</v>
      </c>
      <c r="B194">
        <v>3</v>
      </c>
      <c r="C194">
        <v>0</v>
      </c>
      <c r="D194">
        <v>3</v>
      </c>
      <c r="E194">
        <v>1</v>
      </c>
      <c r="F194">
        <v>0</v>
      </c>
      <c r="G194">
        <v>0</v>
      </c>
      <c r="H194">
        <v>6</v>
      </c>
      <c r="I194">
        <v>0</v>
      </c>
      <c r="J194">
        <v>1</v>
      </c>
      <c r="K194">
        <v>1</v>
      </c>
      <c r="L194">
        <v>0</v>
      </c>
      <c r="M194">
        <v>1</v>
      </c>
      <c r="N194">
        <v>173</v>
      </c>
      <c r="O194">
        <v>16</v>
      </c>
    </row>
    <row r="195" spans="1:15" x14ac:dyDescent="0.25">
      <c r="A195" t="s">
        <v>287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25">
      <c r="A196" t="s">
        <v>289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 t="s">
        <v>199</v>
      </c>
      <c r="B197">
        <v>12</v>
      </c>
      <c r="C197">
        <v>2</v>
      </c>
      <c r="D197">
        <v>9</v>
      </c>
      <c r="E197">
        <v>13</v>
      </c>
      <c r="F197">
        <v>13</v>
      </c>
      <c r="G197">
        <v>13</v>
      </c>
      <c r="H197">
        <v>10</v>
      </c>
      <c r="I197">
        <v>-1</v>
      </c>
      <c r="J197">
        <v>12</v>
      </c>
      <c r="K197">
        <v>7</v>
      </c>
      <c r="L197">
        <v>4</v>
      </c>
      <c r="M197">
        <v>9</v>
      </c>
      <c r="N197">
        <v>22</v>
      </c>
      <c r="O197">
        <v>103</v>
      </c>
    </row>
    <row r="198" spans="1:15" x14ac:dyDescent="0.25">
      <c r="A198" t="s">
        <v>201</v>
      </c>
      <c r="B198">
        <v>8</v>
      </c>
      <c r="C198">
        <v>4</v>
      </c>
      <c r="D198">
        <v>11</v>
      </c>
      <c r="E198">
        <v>18</v>
      </c>
      <c r="F198">
        <v>18</v>
      </c>
      <c r="G198">
        <v>12</v>
      </c>
      <c r="H198">
        <v>2</v>
      </c>
      <c r="I198">
        <v>5</v>
      </c>
      <c r="J198">
        <v>6</v>
      </c>
      <c r="K198">
        <v>8</v>
      </c>
      <c r="L198">
        <v>6</v>
      </c>
      <c r="M198">
        <v>0</v>
      </c>
      <c r="N198">
        <v>43</v>
      </c>
      <c r="O198">
        <v>98</v>
      </c>
    </row>
    <row r="199" spans="1:15" x14ac:dyDescent="0.25">
      <c r="A199" t="s">
        <v>203</v>
      </c>
      <c r="B199">
        <v>10</v>
      </c>
      <c r="C199">
        <v>6</v>
      </c>
      <c r="D199">
        <v>9</v>
      </c>
      <c r="E199">
        <v>18</v>
      </c>
      <c r="F199">
        <v>3</v>
      </c>
      <c r="G199">
        <v>2</v>
      </c>
      <c r="H199">
        <v>3</v>
      </c>
      <c r="I199">
        <v>7</v>
      </c>
      <c r="J199">
        <v>9</v>
      </c>
      <c r="K199">
        <v>5</v>
      </c>
      <c r="L199">
        <v>1</v>
      </c>
      <c r="M199">
        <v>5</v>
      </c>
      <c r="N199">
        <v>42</v>
      </c>
      <c r="O199">
        <v>78</v>
      </c>
    </row>
    <row r="200" spans="1:15" x14ac:dyDescent="0.25">
      <c r="A200" t="s">
        <v>224</v>
      </c>
      <c r="B200">
        <v>26</v>
      </c>
      <c r="C200">
        <v>54</v>
      </c>
      <c r="D200">
        <v>29</v>
      </c>
      <c r="E200">
        <v>22</v>
      </c>
      <c r="F200">
        <v>30</v>
      </c>
      <c r="G200">
        <v>15</v>
      </c>
      <c r="H200">
        <v>46</v>
      </c>
      <c r="I200">
        <v>17</v>
      </c>
      <c r="J200">
        <v>29</v>
      </c>
      <c r="K200">
        <v>25</v>
      </c>
      <c r="L200">
        <v>7</v>
      </c>
      <c r="M200">
        <v>13</v>
      </c>
      <c r="N200">
        <v>144</v>
      </c>
      <c r="O200">
        <v>313</v>
      </c>
    </row>
    <row r="201" spans="1:15" x14ac:dyDescent="0.25">
      <c r="A201" t="s">
        <v>226</v>
      </c>
      <c r="B201">
        <v>12</v>
      </c>
      <c r="C201">
        <v>9</v>
      </c>
      <c r="D201">
        <v>8</v>
      </c>
      <c r="E201">
        <v>6</v>
      </c>
      <c r="F201">
        <v>7</v>
      </c>
      <c r="G201">
        <v>14</v>
      </c>
      <c r="H201">
        <v>8</v>
      </c>
      <c r="I201">
        <v>4</v>
      </c>
      <c r="J201">
        <v>9</v>
      </c>
      <c r="K201">
        <v>18</v>
      </c>
      <c r="L201">
        <v>7</v>
      </c>
      <c r="M201">
        <v>5</v>
      </c>
      <c r="N201">
        <v>33</v>
      </c>
      <c r="O201">
        <v>107</v>
      </c>
    </row>
    <row r="202" spans="1:15" x14ac:dyDescent="0.25">
      <c r="A202" t="s">
        <v>228</v>
      </c>
      <c r="B202">
        <v>0</v>
      </c>
      <c r="C202">
        <v>1</v>
      </c>
      <c r="D202">
        <v>1</v>
      </c>
      <c r="E202">
        <v>1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16</v>
      </c>
      <c r="O202">
        <v>5</v>
      </c>
    </row>
    <row r="203" spans="1:15" x14ac:dyDescent="0.25">
      <c r="A203" t="s">
        <v>230</v>
      </c>
      <c r="B203">
        <v>6</v>
      </c>
      <c r="C203">
        <v>3</v>
      </c>
      <c r="D203">
        <v>2</v>
      </c>
      <c r="E203">
        <v>5</v>
      </c>
      <c r="F203">
        <v>1</v>
      </c>
      <c r="G203">
        <v>4</v>
      </c>
      <c r="H203">
        <v>2</v>
      </c>
      <c r="I203">
        <v>-1</v>
      </c>
      <c r="J203">
        <v>5</v>
      </c>
      <c r="K203">
        <v>6</v>
      </c>
      <c r="L203">
        <v>1</v>
      </c>
      <c r="M203">
        <v>1</v>
      </c>
      <c r="N203">
        <v>38</v>
      </c>
      <c r="O203">
        <v>35</v>
      </c>
    </row>
    <row r="204" spans="1:15" x14ac:dyDescent="0.25">
      <c r="A204" t="s">
        <v>232</v>
      </c>
      <c r="B204">
        <v>8</v>
      </c>
      <c r="C204">
        <v>3</v>
      </c>
      <c r="D204">
        <v>3</v>
      </c>
      <c r="E204">
        <v>2</v>
      </c>
      <c r="F204">
        <v>2</v>
      </c>
      <c r="G204">
        <v>10</v>
      </c>
      <c r="H204">
        <v>6</v>
      </c>
      <c r="I204">
        <v>5</v>
      </c>
      <c r="J204">
        <v>0</v>
      </c>
      <c r="K204">
        <v>9</v>
      </c>
      <c r="L204">
        <v>0</v>
      </c>
      <c r="M204">
        <v>1</v>
      </c>
      <c r="N204">
        <v>35</v>
      </c>
      <c r="O204">
        <v>49</v>
      </c>
    </row>
    <row r="205" spans="1:15" x14ac:dyDescent="0.25">
      <c r="A205" t="s">
        <v>249</v>
      </c>
      <c r="B205">
        <v>27</v>
      </c>
      <c r="C205">
        <v>17</v>
      </c>
      <c r="D205">
        <v>22</v>
      </c>
      <c r="E205">
        <v>39</v>
      </c>
      <c r="F205">
        <v>15</v>
      </c>
      <c r="G205">
        <v>32</v>
      </c>
      <c r="H205">
        <v>15</v>
      </c>
      <c r="I205">
        <v>22</v>
      </c>
      <c r="J205">
        <v>20</v>
      </c>
      <c r="K205">
        <v>21</v>
      </c>
      <c r="L205">
        <v>15</v>
      </c>
      <c r="M205">
        <v>19</v>
      </c>
      <c r="N205">
        <v>102</v>
      </c>
      <c r="O205">
        <v>264</v>
      </c>
    </row>
    <row r="206" spans="1:15" x14ac:dyDescent="0.25">
      <c r="A206" t="s">
        <v>251</v>
      </c>
      <c r="B206">
        <v>33</v>
      </c>
      <c r="C206">
        <v>9</v>
      </c>
      <c r="D206">
        <v>34</v>
      </c>
      <c r="E206">
        <v>15</v>
      </c>
      <c r="F206">
        <v>18</v>
      </c>
      <c r="G206">
        <v>17</v>
      </c>
      <c r="H206">
        <v>14</v>
      </c>
      <c r="I206">
        <v>10</v>
      </c>
      <c r="J206">
        <v>16</v>
      </c>
      <c r="K206">
        <v>18</v>
      </c>
      <c r="L206">
        <v>8</v>
      </c>
      <c r="M206">
        <v>18</v>
      </c>
      <c r="N206">
        <v>88</v>
      </c>
      <c r="O206">
        <v>210</v>
      </c>
    </row>
    <row r="207" spans="1:15" x14ac:dyDescent="0.25">
      <c r="A207" t="s">
        <v>253</v>
      </c>
      <c r="B207">
        <v>13</v>
      </c>
      <c r="C207">
        <v>7</v>
      </c>
      <c r="D207">
        <v>20</v>
      </c>
      <c r="E207">
        <v>6</v>
      </c>
      <c r="F207">
        <v>1</v>
      </c>
      <c r="G207">
        <v>8</v>
      </c>
      <c r="H207">
        <v>5</v>
      </c>
      <c r="I207">
        <v>11</v>
      </c>
      <c r="J207">
        <v>5</v>
      </c>
      <c r="K207">
        <v>8</v>
      </c>
      <c r="L207">
        <v>1</v>
      </c>
      <c r="M207">
        <v>1</v>
      </c>
      <c r="N207">
        <v>43</v>
      </c>
      <c r="O207">
        <v>86</v>
      </c>
    </row>
    <row r="208" spans="1:15" x14ac:dyDescent="0.25">
      <c r="A208" t="s">
        <v>270</v>
      </c>
      <c r="B208">
        <v>16</v>
      </c>
      <c r="C208">
        <v>1</v>
      </c>
      <c r="D208">
        <v>14</v>
      </c>
      <c r="E208">
        <v>9</v>
      </c>
      <c r="F208">
        <v>17</v>
      </c>
      <c r="G208">
        <v>9</v>
      </c>
      <c r="H208">
        <v>10</v>
      </c>
      <c r="I208">
        <v>20</v>
      </c>
      <c r="J208">
        <v>13</v>
      </c>
      <c r="K208">
        <v>20</v>
      </c>
      <c r="L208">
        <v>5</v>
      </c>
      <c r="M208">
        <v>3</v>
      </c>
      <c r="N208">
        <v>56</v>
      </c>
      <c r="O208">
        <v>137</v>
      </c>
    </row>
    <row r="209" spans="1:15" x14ac:dyDescent="0.25">
      <c r="A209" t="s">
        <v>272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 t="s">
        <v>274</v>
      </c>
      <c r="B210">
        <v>7</v>
      </c>
      <c r="C210">
        <v>8</v>
      </c>
      <c r="D210">
        <v>5</v>
      </c>
      <c r="E210">
        <v>12</v>
      </c>
      <c r="F210">
        <v>14</v>
      </c>
      <c r="G210">
        <v>6</v>
      </c>
      <c r="H210">
        <v>2</v>
      </c>
      <c r="I210">
        <v>6</v>
      </c>
      <c r="J210">
        <v>3</v>
      </c>
      <c r="K210">
        <v>9</v>
      </c>
      <c r="L210">
        <v>5</v>
      </c>
      <c r="M210">
        <v>6</v>
      </c>
      <c r="N210">
        <v>33</v>
      </c>
      <c r="O210">
        <v>83</v>
      </c>
    </row>
    <row r="211" spans="1:15" x14ac:dyDescent="0.25">
      <c r="A211" t="s">
        <v>276</v>
      </c>
      <c r="B211">
        <v>0</v>
      </c>
      <c r="C211">
        <v>0</v>
      </c>
      <c r="D211">
        <v>1</v>
      </c>
      <c r="E211">
        <v>1</v>
      </c>
      <c r="F211">
        <v>0</v>
      </c>
      <c r="G211">
        <v>0</v>
      </c>
      <c r="H211">
        <v>3</v>
      </c>
      <c r="I211">
        <v>0</v>
      </c>
      <c r="J211">
        <v>2</v>
      </c>
      <c r="K211">
        <v>1</v>
      </c>
      <c r="L211">
        <v>0</v>
      </c>
      <c r="M211">
        <v>0</v>
      </c>
      <c r="N211">
        <v>7</v>
      </c>
      <c r="O211">
        <v>8</v>
      </c>
    </row>
    <row r="212" spans="1:15" x14ac:dyDescent="0.25">
      <c r="A212" t="s">
        <v>278</v>
      </c>
      <c r="B212">
        <v>2</v>
      </c>
      <c r="C212">
        <v>3</v>
      </c>
      <c r="D212">
        <v>1</v>
      </c>
      <c r="E212">
        <v>1</v>
      </c>
      <c r="F212">
        <v>6</v>
      </c>
      <c r="G212">
        <v>1</v>
      </c>
      <c r="H212">
        <v>3</v>
      </c>
      <c r="I212">
        <v>0</v>
      </c>
      <c r="J212">
        <v>12</v>
      </c>
      <c r="K212">
        <v>2</v>
      </c>
      <c r="L212">
        <v>0</v>
      </c>
      <c r="M212">
        <v>0</v>
      </c>
      <c r="N212">
        <v>129</v>
      </c>
      <c r="O212">
        <v>31</v>
      </c>
    </row>
    <row r="213" spans="1:15" x14ac:dyDescent="0.25">
      <c r="A213" t="s">
        <v>301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46</v>
      </c>
      <c r="O213">
        <v>2</v>
      </c>
    </row>
    <row r="214" spans="1:15" x14ac:dyDescent="0.25">
      <c r="A214" t="s">
        <v>303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17</v>
      </c>
      <c r="O214">
        <v>0</v>
      </c>
    </row>
    <row r="215" spans="1:15" x14ac:dyDescent="0.25">
      <c r="A215" t="s">
        <v>382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</v>
      </c>
      <c r="N215">
        <v>33</v>
      </c>
      <c r="O215">
        <v>3</v>
      </c>
    </row>
    <row r="216" spans="1:15" x14ac:dyDescent="0.25">
      <c r="A216" t="s">
        <v>386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1</v>
      </c>
      <c r="I216">
        <v>1</v>
      </c>
      <c r="J216">
        <v>0</v>
      </c>
      <c r="K216">
        <v>2</v>
      </c>
      <c r="L216">
        <v>1</v>
      </c>
      <c r="M216">
        <v>0</v>
      </c>
      <c r="N216">
        <v>13</v>
      </c>
      <c r="O216">
        <v>6</v>
      </c>
    </row>
    <row r="217" spans="1:15" x14ac:dyDescent="0.25">
      <c r="A217" t="s">
        <v>388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5</v>
      </c>
      <c r="O217">
        <v>0</v>
      </c>
    </row>
    <row r="218" spans="1:15" x14ac:dyDescent="0.25">
      <c r="A218" t="s">
        <v>343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3</v>
      </c>
      <c r="O218">
        <v>0</v>
      </c>
    </row>
    <row r="219" spans="1:15" x14ac:dyDescent="0.25">
      <c r="A219" t="s">
        <v>345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3</v>
      </c>
      <c r="O219">
        <v>0</v>
      </c>
    </row>
    <row r="220" spans="1:15" x14ac:dyDescent="0.25">
      <c r="A220" t="s">
        <v>347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3</v>
      </c>
      <c r="O220">
        <v>0</v>
      </c>
    </row>
    <row r="221" spans="1:15" x14ac:dyDescent="0.25">
      <c r="A221" t="s">
        <v>356</v>
      </c>
      <c r="B221">
        <v>0</v>
      </c>
      <c r="C221">
        <v>2</v>
      </c>
      <c r="D221">
        <v>1</v>
      </c>
      <c r="E221">
        <v>0</v>
      </c>
      <c r="F221">
        <v>0</v>
      </c>
      <c r="G221">
        <v>0</v>
      </c>
      <c r="H221">
        <v>2</v>
      </c>
      <c r="I221">
        <v>0</v>
      </c>
      <c r="J221">
        <v>0</v>
      </c>
      <c r="K221">
        <v>0</v>
      </c>
      <c r="L221">
        <v>0</v>
      </c>
      <c r="M221">
        <v>2</v>
      </c>
      <c r="N221">
        <v>18</v>
      </c>
      <c r="O221">
        <v>7</v>
      </c>
    </row>
    <row r="222" spans="1:15" x14ac:dyDescent="0.25">
      <c r="A222" t="s">
        <v>358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16</v>
      </c>
      <c r="O222">
        <v>1</v>
      </c>
    </row>
    <row r="223" spans="1:15" x14ac:dyDescent="0.25">
      <c r="A223" t="s">
        <v>360</v>
      </c>
      <c r="B223">
        <v>0</v>
      </c>
      <c r="C223">
        <v>1</v>
      </c>
      <c r="D223">
        <v>1</v>
      </c>
      <c r="E223">
        <v>0</v>
      </c>
      <c r="F223">
        <v>4</v>
      </c>
      <c r="G223">
        <v>2</v>
      </c>
      <c r="H223">
        <v>2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17</v>
      </c>
      <c r="O223">
        <v>11</v>
      </c>
    </row>
    <row r="224" spans="1:15" x14ac:dyDescent="0.25">
      <c r="A224" t="s">
        <v>485</v>
      </c>
      <c r="B224">
        <v>0</v>
      </c>
      <c r="C224">
        <v>0</v>
      </c>
      <c r="D224">
        <v>0</v>
      </c>
      <c r="E224">
        <v>0</v>
      </c>
      <c r="F224">
        <v>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7</v>
      </c>
      <c r="O224">
        <v>2</v>
      </c>
    </row>
    <row r="225" spans="1:15" x14ac:dyDescent="0.25">
      <c r="A225" t="s">
        <v>487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</v>
      </c>
      <c r="L225">
        <v>0</v>
      </c>
      <c r="M225">
        <v>0</v>
      </c>
      <c r="N225">
        <v>11</v>
      </c>
      <c r="O225">
        <v>4</v>
      </c>
    </row>
    <row r="226" spans="1:15" x14ac:dyDescent="0.25">
      <c r="A226" t="s">
        <v>509</v>
      </c>
      <c r="B226">
        <v>4</v>
      </c>
      <c r="C226">
        <v>5</v>
      </c>
      <c r="D226">
        <v>3</v>
      </c>
      <c r="E226">
        <v>13</v>
      </c>
      <c r="F226">
        <v>0</v>
      </c>
      <c r="G226">
        <v>10</v>
      </c>
      <c r="H226">
        <v>5</v>
      </c>
      <c r="I226">
        <v>6</v>
      </c>
      <c r="J226">
        <v>0</v>
      </c>
      <c r="K226">
        <v>10</v>
      </c>
      <c r="L226">
        <v>2</v>
      </c>
      <c r="M226">
        <v>10</v>
      </c>
      <c r="N226">
        <v>36</v>
      </c>
      <c r="O226">
        <v>68</v>
      </c>
    </row>
    <row r="227" spans="1:15" x14ac:dyDescent="0.25">
      <c r="A227" t="s">
        <v>511</v>
      </c>
      <c r="B227">
        <v>0</v>
      </c>
      <c r="C227">
        <v>1</v>
      </c>
      <c r="D227">
        <v>1</v>
      </c>
      <c r="E227">
        <v>0</v>
      </c>
      <c r="F227">
        <v>2</v>
      </c>
      <c r="G227">
        <v>0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94</v>
      </c>
      <c r="O227">
        <v>6</v>
      </c>
    </row>
    <row r="228" spans="1:15" x14ac:dyDescent="0.25">
      <c r="A228" t="s">
        <v>513</v>
      </c>
      <c r="B228">
        <v>0</v>
      </c>
      <c r="C228">
        <v>0</v>
      </c>
      <c r="D228">
        <v>2</v>
      </c>
      <c r="E228">
        <v>0</v>
      </c>
      <c r="F228">
        <v>0</v>
      </c>
      <c r="G228">
        <v>7</v>
      </c>
      <c r="H228">
        <v>0</v>
      </c>
      <c r="I228">
        <v>0</v>
      </c>
      <c r="J228">
        <v>0</v>
      </c>
      <c r="K228">
        <v>2</v>
      </c>
      <c r="L228">
        <v>0</v>
      </c>
      <c r="M228">
        <v>0</v>
      </c>
      <c r="N228">
        <v>58</v>
      </c>
      <c r="O228">
        <v>11</v>
      </c>
    </row>
    <row r="229" spans="1:15" x14ac:dyDescent="0.25">
      <c r="A229" t="s">
        <v>515</v>
      </c>
      <c r="B229">
        <v>0</v>
      </c>
      <c r="C229">
        <v>0</v>
      </c>
      <c r="D229">
        <v>2</v>
      </c>
      <c r="E229">
        <v>1</v>
      </c>
      <c r="F229">
        <v>0</v>
      </c>
      <c r="G229">
        <v>0</v>
      </c>
      <c r="H229">
        <v>0</v>
      </c>
      <c r="I229">
        <v>-6</v>
      </c>
      <c r="J229">
        <v>0</v>
      </c>
      <c r="K229">
        <v>0</v>
      </c>
      <c r="L229">
        <v>0</v>
      </c>
      <c r="M229">
        <v>4</v>
      </c>
      <c r="N229">
        <v>67</v>
      </c>
      <c r="O229">
        <v>1</v>
      </c>
    </row>
    <row r="230" spans="1:15" x14ac:dyDescent="0.25">
      <c r="A230" t="s">
        <v>517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13</v>
      </c>
      <c r="O230">
        <v>1</v>
      </c>
    </row>
    <row r="231" spans="1:15" x14ac:dyDescent="0.25">
      <c r="A231" t="s">
        <v>535</v>
      </c>
      <c r="B231">
        <v>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</v>
      </c>
      <c r="I231">
        <v>0</v>
      </c>
      <c r="J231">
        <v>2</v>
      </c>
      <c r="K231">
        <v>0</v>
      </c>
      <c r="L231">
        <v>0</v>
      </c>
      <c r="M231">
        <v>0</v>
      </c>
      <c r="N231">
        <v>10</v>
      </c>
      <c r="O231">
        <v>6</v>
      </c>
    </row>
    <row r="232" spans="1:15" x14ac:dyDescent="0.25">
      <c r="A232" t="s">
        <v>537</v>
      </c>
      <c r="B232">
        <v>0</v>
      </c>
      <c r="C232">
        <v>0</v>
      </c>
      <c r="D232">
        <v>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13</v>
      </c>
      <c r="O232">
        <v>2</v>
      </c>
    </row>
    <row r="233" spans="1:15" x14ac:dyDescent="0.25">
      <c r="A233" t="s">
        <v>539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3</v>
      </c>
      <c r="O233">
        <v>2</v>
      </c>
    </row>
    <row r="234" spans="1:15" x14ac:dyDescent="0.25">
      <c r="A234" t="s">
        <v>548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1</v>
      </c>
      <c r="M234">
        <v>0</v>
      </c>
      <c r="N234">
        <v>5</v>
      </c>
      <c r="O234">
        <v>2</v>
      </c>
    </row>
    <row r="235" spans="1:15" x14ac:dyDescent="0.25">
      <c r="A235" t="s">
        <v>550</v>
      </c>
      <c r="B235">
        <v>2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2</v>
      </c>
      <c r="J235">
        <v>0</v>
      </c>
      <c r="K235">
        <v>5</v>
      </c>
      <c r="L235">
        <v>0</v>
      </c>
      <c r="M235">
        <v>0</v>
      </c>
      <c r="N235">
        <v>6</v>
      </c>
      <c r="O235">
        <v>10</v>
      </c>
    </row>
    <row r="236" spans="1:15" x14ac:dyDescent="0.25">
      <c r="A236" t="s">
        <v>552</v>
      </c>
      <c r="B236">
        <v>0</v>
      </c>
      <c r="C236">
        <v>0</v>
      </c>
      <c r="D236">
        <v>1</v>
      </c>
      <c r="E236">
        <v>0</v>
      </c>
      <c r="F236">
        <v>0</v>
      </c>
      <c r="G236">
        <v>1</v>
      </c>
      <c r="H236">
        <v>0</v>
      </c>
      <c r="I236">
        <v>2</v>
      </c>
      <c r="J236">
        <v>0</v>
      </c>
      <c r="K236">
        <v>3</v>
      </c>
      <c r="L236">
        <v>1</v>
      </c>
      <c r="M236">
        <v>0</v>
      </c>
      <c r="N236">
        <v>9</v>
      </c>
      <c r="O236">
        <v>8</v>
      </c>
    </row>
    <row r="237" spans="1:15" x14ac:dyDescent="0.25">
      <c r="A237" t="s">
        <v>561</v>
      </c>
      <c r="B237">
        <v>1</v>
      </c>
      <c r="C237">
        <v>0</v>
      </c>
      <c r="D237">
        <v>0</v>
      </c>
      <c r="E237">
        <v>2</v>
      </c>
      <c r="F237">
        <v>1</v>
      </c>
      <c r="G237">
        <v>1</v>
      </c>
      <c r="H237">
        <v>2</v>
      </c>
      <c r="I237">
        <v>0</v>
      </c>
      <c r="J237">
        <v>0</v>
      </c>
      <c r="K237">
        <v>3</v>
      </c>
      <c r="L237">
        <v>0</v>
      </c>
      <c r="M237">
        <v>2</v>
      </c>
      <c r="N237">
        <v>40</v>
      </c>
      <c r="O237">
        <v>12</v>
      </c>
    </row>
    <row r="238" spans="1:15" x14ac:dyDescent="0.25">
      <c r="A238" t="s">
        <v>563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8</v>
      </c>
      <c r="O238">
        <v>3</v>
      </c>
    </row>
    <row r="239" spans="1:15" x14ac:dyDescent="0.25">
      <c r="A239" t="s">
        <v>565</v>
      </c>
      <c r="B239">
        <v>0</v>
      </c>
      <c r="C239">
        <v>0</v>
      </c>
      <c r="D239">
        <v>0</v>
      </c>
      <c r="E239">
        <v>2</v>
      </c>
      <c r="F239">
        <v>1</v>
      </c>
      <c r="G239">
        <v>0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8</v>
      </c>
      <c r="O239">
        <v>5</v>
      </c>
    </row>
    <row r="240" spans="1:15" x14ac:dyDescent="0.25">
      <c r="A240" t="s">
        <v>472</v>
      </c>
      <c r="B240">
        <v>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182</v>
      </c>
      <c r="O240">
        <v>7</v>
      </c>
    </row>
    <row r="241" spans="1:15" x14ac:dyDescent="0.25">
      <c r="A241" t="s">
        <v>474</v>
      </c>
      <c r="B241">
        <v>2</v>
      </c>
      <c r="C241">
        <v>0</v>
      </c>
      <c r="D241">
        <v>3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11</v>
      </c>
      <c r="O241">
        <v>7</v>
      </c>
    </row>
    <row r="242" spans="1:15" x14ac:dyDescent="0.25">
      <c r="A242" t="s">
        <v>476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8</v>
      </c>
      <c r="O242">
        <v>1</v>
      </c>
    </row>
    <row r="243" spans="1:15" x14ac:dyDescent="0.25">
      <c r="A243" t="s">
        <v>814</v>
      </c>
      <c r="B243">
        <v>4</v>
      </c>
      <c r="C243">
        <v>5</v>
      </c>
      <c r="D243">
        <v>10</v>
      </c>
      <c r="E243">
        <v>2</v>
      </c>
      <c r="F243">
        <v>0</v>
      </c>
      <c r="G243">
        <v>9</v>
      </c>
      <c r="H243">
        <v>10</v>
      </c>
      <c r="I243">
        <v>5</v>
      </c>
      <c r="J243">
        <v>2</v>
      </c>
      <c r="K243">
        <v>7</v>
      </c>
      <c r="L243">
        <v>9</v>
      </c>
      <c r="M243">
        <v>2</v>
      </c>
      <c r="N243">
        <v>23.75</v>
      </c>
      <c r="O243">
        <v>65</v>
      </c>
    </row>
    <row r="244" spans="1:15" x14ac:dyDescent="0.25">
      <c r="A244" t="s">
        <v>616</v>
      </c>
      <c r="B244">
        <v>22.5</v>
      </c>
      <c r="C244">
        <v>21</v>
      </c>
      <c r="D244">
        <v>34</v>
      </c>
      <c r="E244">
        <v>30</v>
      </c>
      <c r="F244">
        <v>44</v>
      </c>
      <c r="G244">
        <v>22</v>
      </c>
      <c r="H244">
        <v>18</v>
      </c>
      <c r="I244">
        <v>11</v>
      </c>
      <c r="J244">
        <v>38</v>
      </c>
      <c r="K244">
        <v>13</v>
      </c>
      <c r="L244">
        <v>17</v>
      </c>
      <c r="M244">
        <v>30</v>
      </c>
      <c r="N244">
        <v>73.5</v>
      </c>
      <c r="O244">
        <v>300.5</v>
      </c>
    </row>
    <row r="245" spans="1:15" x14ac:dyDescent="0.25">
      <c r="A245" t="s">
        <v>819</v>
      </c>
      <c r="B245">
        <v>8</v>
      </c>
      <c r="C245">
        <v>14</v>
      </c>
      <c r="D245">
        <v>9</v>
      </c>
      <c r="E245">
        <v>8</v>
      </c>
      <c r="F245">
        <v>5</v>
      </c>
      <c r="G245">
        <v>15</v>
      </c>
      <c r="H245">
        <v>13</v>
      </c>
      <c r="I245">
        <v>15.25</v>
      </c>
      <c r="J245">
        <v>1</v>
      </c>
      <c r="K245">
        <v>17</v>
      </c>
      <c r="L245">
        <v>-10</v>
      </c>
      <c r="M245">
        <v>5</v>
      </c>
      <c r="N245">
        <v>56.75</v>
      </c>
      <c r="O245">
        <v>100.25</v>
      </c>
    </row>
    <row r="246" spans="1:15" x14ac:dyDescent="0.25">
      <c r="A246" t="s">
        <v>822</v>
      </c>
      <c r="B246">
        <v>48</v>
      </c>
      <c r="C246">
        <v>26.25</v>
      </c>
      <c r="D246">
        <v>36</v>
      </c>
      <c r="E246">
        <v>63</v>
      </c>
      <c r="F246">
        <v>32</v>
      </c>
      <c r="G246">
        <v>39</v>
      </c>
      <c r="H246">
        <v>51</v>
      </c>
      <c r="I246">
        <v>32</v>
      </c>
      <c r="J246">
        <v>58</v>
      </c>
      <c r="K246">
        <v>61</v>
      </c>
      <c r="L246">
        <v>49</v>
      </c>
      <c r="M246">
        <v>36</v>
      </c>
      <c r="N246">
        <v>171.75</v>
      </c>
      <c r="O246">
        <v>531.25</v>
      </c>
    </row>
    <row r="247" spans="1:15" x14ac:dyDescent="0.25">
      <c r="A247" t="s">
        <v>744</v>
      </c>
      <c r="B247">
        <v>0</v>
      </c>
      <c r="C247">
        <v>4</v>
      </c>
      <c r="D247">
        <v>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2</v>
      </c>
      <c r="K247">
        <v>0</v>
      </c>
      <c r="L247">
        <v>0</v>
      </c>
      <c r="M247">
        <v>1</v>
      </c>
      <c r="N247">
        <v>7</v>
      </c>
      <c r="O247">
        <v>9</v>
      </c>
    </row>
    <row r="248" spans="1:15" x14ac:dyDescent="0.25">
      <c r="A248" t="s">
        <v>620</v>
      </c>
      <c r="B248">
        <v>0</v>
      </c>
      <c r="C248">
        <v>2</v>
      </c>
      <c r="D248">
        <v>0</v>
      </c>
      <c r="E248">
        <v>0</v>
      </c>
      <c r="F248">
        <v>1</v>
      </c>
      <c r="G248">
        <v>0</v>
      </c>
      <c r="H248">
        <v>0.25</v>
      </c>
      <c r="I248">
        <v>0</v>
      </c>
      <c r="J248">
        <v>2.25</v>
      </c>
      <c r="K248">
        <v>0</v>
      </c>
      <c r="L248">
        <v>2</v>
      </c>
      <c r="M248">
        <v>1</v>
      </c>
      <c r="N248">
        <v>10.5</v>
      </c>
      <c r="O248">
        <v>8.5</v>
      </c>
    </row>
    <row r="249" spans="1:15" x14ac:dyDescent="0.25">
      <c r="A249" t="s">
        <v>824</v>
      </c>
      <c r="B249">
        <v>0</v>
      </c>
      <c r="C249">
        <v>18</v>
      </c>
      <c r="D249">
        <v>8</v>
      </c>
      <c r="E249">
        <v>11</v>
      </c>
      <c r="F249">
        <v>11</v>
      </c>
      <c r="G249">
        <v>7</v>
      </c>
      <c r="H249">
        <v>19</v>
      </c>
      <c r="I249">
        <v>2</v>
      </c>
      <c r="J249">
        <v>3</v>
      </c>
      <c r="K249">
        <v>14</v>
      </c>
      <c r="L249">
        <v>5</v>
      </c>
      <c r="M249">
        <v>4</v>
      </c>
      <c r="N249">
        <v>40</v>
      </c>
      <c r="O249">
        <v>102</v>
      </c>
    </row>
    <row r="250" spans="1:15" x14ac:dyDescent="0.25">
      <c r="A250" t="s">
        <v>826</v>
      </c>
      <c r="B250">
        <v>8</v>
      </c>
      <c r="C250">
        <v>24</v>
      </c>
      <c r="D250">
        <v>2</v>
      </c>
      <c r="E250">
        <v>2</v>
      </c>
      <c r="F250">
        <v>0</v>
      </c>
      <c r="G250">
        <v>4</v>
      </c>
      <c r="H250">
        <v>0</v>
      </c>
      <c r="I250">
        <v>5</v>
      </c>
      <c r="J250">
        <v>6</v>
      </c>
      <c r="K250">
        <v>9</v>
      </c>
      <c r="L250">
        <v>6</v>
      </c>
      <c r="M250">
        <v>0</v>
      </c>
      <c r="N250">
        <v>54.5</v>
      </c>
      <c r="O250">
        <v>66</v>
      </c>
    </row>
    <row r="251" spans="1:15" x14ac:dyDescent="0.25">
      <c r="A251" t="s">
        <v>827</v>
      </c>
      <c r="B251">
        <v>8</v>
      </c>
      <c r="C251">
        <v>18</v>
      </c>
      <c r="D251">
        <v>9</v>
      </c>
      <c r="E251">
        <v>8</v>
      </c>
      <c r="F251">
        <v>9</v>
      </c>
      <c r="G251">
        <v>9</v>
      </c>
      <c r="H251">
        <v>10</v>
      </c>
      <c r="I251">
        <v>7</v>
      </c>
      <c r="J251">
        <v>18</v>
      </c>
      <c r="K251">
        <v>2</v>
      </c>
      <c r="L251">
        <v>7</v>
      </c>
      <c r="M251">
        <v>5</v>
      </c>
      <c r="N251">
        <v>23</v>
      </c>
      <c r="O251">
        <v>110</v>
      </c>
    </row>
    <row r="252" spans="1:15" x14ac:dyDescent="0.25">
      <c r="A252" t="s">
        <v>829</v>
      </c>
      <c r="B252">
        <v>15</v>
      </c>
      <c r="C252">
        <v>25</v>
      </c>
      <c r="D252">
        <v>2</v>
      </c>
      <c r="E252">
        <v>6</v>
      </c>
      <c r="F252">
        <v>4</v>
      </c>
      <c r="G252">
        <v>4</v>
      </c>
      <c r="H252">
        <v>19</v>
      </c>
      <c r="I252">
        <v>1.5</v>
      </c>
      <c r="J252">
        <v>6</v>
      </c>
      <c r="K252">
        <v>10</v>
      </c>
      <c r="L252">
        <v>2</v>
      </c>
      <c r="M252">
        <v>0</v>
      </c>
      <c r="N252">
        <v>53</v>
      </c>
      <c r="O252">
        <v>94.5</v>
      </c>
    </row>
    <row r="253" spans="1:15" x14ac:dyDescent="0.25">
      <c r="A253" t="s">
        <v>618</v>
      </c>
      <c r="B253">
        <v>14</v>
      </c>
      <c r="C253">
        <v>2</v>
      </c>
      <c r="D253">
        <v>4</v>
      </c>
      <c r="E253">
        <v>3</v>
      </c>
      <c r="F253">
        <v>7.5</v>
      </c>
      <c r="G253">
        <v>11</v>
      </c>
      <c r="H253">
        <v>7</v>
      </c>
      <c r="I253">
        <v>17</v>
      </c>
      <c r="J253">
        <v>3</v>
      </c>
      <c r="K253">
        <v>7</v>
      </c>
      <c r="L253">
        <v>5.25</v>
      </c>
      <c r="M253">
        <v>8</v>
      </c>
      <c r="N253">
        <v>9.75</v>
      </c>
      <c r="O253">
        <v>88.75</v>
      </c>
    </row>
    <row r="254" spans="1:15" x14ac:dyDescent="0.25">
      <c r="A254" t="s">
        <v>831</v>
      </c>
      <c r="B254">
        <v>13</v>
      </c>
      <c r="C254">
        <v>8</v>
      </c>
      <c r="D254">
        <v>4.25</v>
      </c>
      <c r="E254">
        <v>2</v>
      </c>
      <c r="F254">
        <v>4.5</v>
      </c>
      <c r="G254">
        <v>9</v>
      </c>
      <c r="H254">
        <v>6</v>
      </c>
      <c r="I254">
        <v>17.5</v>
      </c>
      <c r="J254">
        <v>0</v>
      </c>
      <c r="K254">
        <v>2</v>
      </c>
      <c r="L254">
        <v>6</v>
      </c>
      <c r="M254">
        <v>11.25</v>
      </c>
      <c r="N254">
        <v>17</v>
      </c>
      <c r="O254">
        <v>83.5</v>
      </c>
    </row>
    <row r="255" spans="1:15" x14ac:dyDescent="0.25">
      <c r="A255" t="s">
        <v>861</v>
      </c>
      <c r="B255">
        <v>18</v>
      </c>
      <c r="C255">
        <v>17</v>
      </c>
      <c r="D255">
        <v>4</v>
      </c>
      <c r="E255">
        <v>11</v>
      </c>
      <c r="F255">
        <v>15</v>
      </c>
      <c r="G255">
        <v>6</v>
      </c>
      <c r="H255">
        <v>11.5</v>
      </c>
      <c r="I255">
        <v>10</v>
      </c>
      <c r="J255">
        <v>10</v>
      </c>
      <c r="K255">
        <v>2</v>
      </c>
      <c r="L255">
        <v>10</v>
      </c>
      <c r="M255">
        <v>9</v>
      </c>
      <c r="N255">
        <v>25.5</v>
      </c>
      <c r="O255">
        <v>123.5</v>
      </c>
    </row>
    <row r="256" spans="1:15" x14ac:dyDescent="0.25">
      <c r="A256" t="s">
        <v>863</v>
      </c>
      <c r="B256">
        <v>27</v>
      </c>
      <c r="C256">
        <v>14.25</v>
      </c>
      <c r="D256">
        <v>4</v>
      </c>
      <c r="E256">
        <v>16</v>
      </c>
      <c r="F256">
        <v>15</v>
      </c>
      <c r="G256">
        <v>2</v>
      </c>
      <c r="H256">
        <v>12</v>
      </c>
      <c r="I256">
        <v>7</v>
      </c>
      <c r="J256">
        <v>5</v>
      </c>
      <c r="K256">
        <v>2</v>
      </c>
      <c r="L256">
        <v>17</v>
      </c>
      <c r="M256">
        <v>14</v>
      </c>
      <c r="N256">
        <v>23.5</v>
      </c>
      <c r="O256">
        <v>135.25</v>
      </c>
    </row>
    <row r="257" spans="1:15" x14ac:dyDescent="0.25">
      <c r="A257" t="s">
        <v>623</v>
      </c>
      <c r="B257">
        <v>64</v>
      </c>
      <c r="C257">
        <v>56.25</v>
      </c>
      <c r="D257">
        <v>70</v>
      </c>
      <c r="E257">
        <v>78</v>
      </c>
      <c r="F257">
        <v>36.25</v>
      </c>
      <c r="G257">
        <v>91</v>
      </c>
      <c r="H257">
        <v>64</v>
      </c>
      <c r="I257">
        <v>37</v>
      </c>
      <c r="J257">
        <v>98</v>
      </c>
      <c r="K257">
        <v>100.25</v>
      </c>
      <c r="L257">
        <v>127</v>
      </c>
      <c r="M257">
        <v>84</v>
      </c>
      <c r="N257">
        <v>303.75</v>
      </c>
      <c r="O257">
        <v>905.75</v>
      </c>
    </row>
    <row r="258" spans="1:15" x14ac:dyDescent="0.25">
      <c r="A258" t="s">
        <v>625</v>
      </c>
      <c r="B258">
        <v>83</v>
      </c>
      <c r="C258">
        <v>103</v>
      </c>
      <c r="D258">
        <v>135</v>
      </c>
      <c r="E258">
        <v>93.5</v>
      </c>
      <c r="F258">
        <v>62</v>
      </c>
      <c r="G258">
        <v>143.25</v>
      </c>
      <c r="H258">
        <v>83</v>
      </c>
      <c r="I258">
        <v>68.25</v>
      </c>
      <c r="J258">
        <v>98</v>
      </c>
      <c r="K258">
        <v>134.75</v>
      </c>
      <c r="L258">
        <v>179.75</v>
      </c>
      <c r="M258">
        <v>99</v>
      </c>
      <c r="N258">
        <v>339.75</v>
      </c>
      <c r="O258">
        <v>1282.5</v>
      </c>
    </row>
    <row r="259" spans="1:15" x14ac:dyDescent="0.25">
      <c r="A259" t="s">
        <v>624</v>
      </c>
      <c r="B259">
        <v>69</v>
      </c>
      <c r="C259">
        <v>19</v>
      </c>
      <c r="D259">
        <v>34</v>
      </c>
      <c r="E259">
        <v>28</v>
      </c>
      <c r="F259">
        <v>28</v>
      </c>
      <c r="G259">
        <v>27</v>
      </c>
      <c r="H259">
        <v>33</v>
      </c>
      <c r="I259">
        <v>29</v>
      </c>
      <c r="J259">
        <v>12</v>
      </c>
      <c r="K259">
        <v>31</v>
      </c>
      <c r="L259">
        <v>32</v>
      </c>
      <c r="M259">
        <v>46.25</v>
      </c>
      <c r="N259">
        <v>165.25</v>
      </c>
      <c r="O259">
        <v>388.25</v>
      </c>
    </row>
    <row r="260" spans="1:15" x14ac:dyDescent="0.25">
      <c r="A260" t="s">
        <v>626</v>
      </c>
      <c r="B260">
        <v>68</v>
      </c>
      <c r="C260">
        <v>28</v>
      </c>
      <c r="D260">
        <v>62</v>
      </c>
      <c r="E260">
        <v>32</v>
      </c>
      <c r="F260">
        <v>72</v>
      </c>
      <c r="G260">
        <v>34</v>
      </c>
      <c r="H260">
        <v>26</v>
      </c>
      <c r="I260">
        <v>28</v>
      </c>
      <c r="J260">
        <v>13</v>
      </c>
      <c r="K260">
        <v>49</v>
      </c>
      <c r="L260">
        <v>37.5</v>
      </c>
      <c r="M260">
        <v>73</v>
      </c>
      <c r="N260">
        <v>111.25</v>
      </c>
      <c r="O260">
        <v>522.5</v>
      </c>
    </row>
    <row r="261" spans="1:15" x14ac:dyDescent="0.25">
      <c r="A261" t="s">
        <v>856</v>
      </c>
      <c r="B261">
        <v>64</v>
      </c>
      <c r="C261">
        <v>2</v>
      </c>
      <c r="D261">
        <v>13</v>
      </c>
      <c r="E261">
        <v>17</v>
      </c>
      <c r="F261">
        <v>18</v>
      </c>
      <c r="G261">
        <v>20</v>
      </c>
      <c r="H261">
        <v>9</v>
      </c>
      <c r="I261">
        <v>14</v>
      </c>
      <c r="J261">
        <v>19</v>
      </c>
      <c r="K261">
        <v>23</v>
      </c>
      <c r="L261">
        <v>6.5</v>
      </c>
      <c r="M261">
        <v>19</v>
      </c>
      <c r="N261">
        <v>71.5</v>
      </c>
      <c r="O261">
        <v>224.5</v>
      </c>
    </row>
    <row r="262" spans="1:15" x14ac:dyDescent="0.25">
      <c r="A262" t="s">
        <v>859</v>
      </c>
      <c r="B262">
        <v>36</v>
      </c>
      <c r="C262">
        <v>9</v>
      </c>
      <c r="D262">
        <v>13</v>
      </c>
      <c r="E262">
        <v>18</v>
      </c>
      <c r="F262">
        <v>23</v>
      </c>
      <c r="G262">
        <v>29</v>
      </c>
      <c r="H262">
        <v>35</v>
      </c>
      <c r="I262">
        <v>13</v>
      </c>
      <c r="J262">
        <v>16</v>
      </c>
      <c r="K262">
        <v>32</v>
      </c>
      <c r="L262">
        <v>18.5</v>
      </c>
      <c r="M262">
        <v>19</v>
      </c>
      <c r="N262">
        <v>95.5</v>
      </c>
      <c r="O262">
        <v>261.5</v>
      </c>
    </row>
    <row r="263" spans="1:15" x14ac:dyDescent="0.25">
      <c r="A263" t="s">
        <v>858</v>
      </c>
      <c r="B263">
        <v>11</v>
      </c>
      <c r="C263">
        <v>4</v>
      </c>
      <c r="D263">
        <v>14</v>
      </c>
      <c r="E263">
        <v>4</v>
      </c>
      <c r="F263">
        <v>14</v>
      </c>
      <c r="G263">
        <v>4</v>
      </c>
      <c r="H263">
        <v>9</v>
      </c>
      <c r="I263">
        <v>0</v>
      </c>
      <c r="J263">
        <v>9</v>
      </c>
      <c r="K263">
        <v>8</v>
      </c>
      <c r="L263">
        <v>15</v>
      </c>
      <c r="M263">
        <v>16</v>
      </c>
      <c r="N263">
        <v>29.5</v>
      </c>
      <c r="O263">
        <v>108</v>
      </c>
    </row>
    <row r="264" spans="1:15" x14ac:dyDescent="0.25">
      <c r="A264" t="s">
        <v>706</v>
      </c>
      <c r="B264">
        <v>7</v>
      </c>
      <c r="C264">
        <v>15</v>
      </c>
      <c r="D264">
        <v>21</v>
      </c>
      <c r="E264">
        <v>6</v>
      </c>
      <c r="F264">
        <v>20</v>
      </c>
      <c r="G264">
        <v>11.25</v>
      </c>
      <c r="H264">
        <v>8</v>
      </c>
      <c r="I264">
        <v>4</v>
      </c>
      <c r="J264">
        <v>12</v>
      </c>
      <c r="K264">
        <v>10</v>
      </c>
      <c r="L264">
        <v>16</v>
      </c>
      <c r="M264">
        <v>10</v>
      </c>
      <c r="N264">
        <v>36</v>
      </c>
      <c r="O264">
        <v>140.25</v>
      </c>
    </row>
    <row r="265" spans="1:15" x14ac:dyDescent="0.25">
      <c r="A265" t="s">
        <v>627</v>
      </c>
      <c r="B265">
        <v>5</v>
      </c>
      <c r="C265">
        <v>6</v>
      </c>
      <c r="D265">
        <v>0</v>
      </c>
      <c r="E265">
        <v>3</v>
      </c>
      <c r="F265">
        <v>3</v>
      </c>
      <c r="G265">
        <v>5</v>
      </c>
      <c r="H265">
        <v>1</v>
      </c>
      <c r="I265">
        <v>6</v>
      </c>
      <c r="J265">
        <v>4</v>
      </c>
      <c r="K265">
        <v>0</v>
      </c>
      <c r="L265">
        <v>11</v>
      </c>
      <c r="M265">
        <v>2</v>
      </c>
      <c r="N265">
        <v>24</v>
      </c>
      <c r="O265">
        <v>46</v>
      </c>
    </row>
    <row r="266" spans="1:15" x14ac:dyDescent="0.25">
      <c r="A266" t="s">
        <v>745</v>
      </c>
      <c r="B266">
        <v>0</v>
      </c>
      <c r="C266">
        <v>3</v>
      </c>
      <c r="D266">
        <v>4</v>
      </c>
      <c r="E266">
        <v>1</v>
      </c>
      <c r="F266">
        <v>4</v>
      </c>
      <c r="G266">
        <v>4</v>
      </c>
      <c r="H266">
        <v>2</v>
      </c>
      <c r="I266">
        <v>1</v>
      </c>
      <c r="J266">
        <v>2</v>
      </c>
      <c r="K266">
        <v>7</v>
      </c>
      <c r="L266">
        <v>5.33</v>
      </c>
      <c r="M266">
        <v>0</v>
      </c>
      <c r="N266">
        <v>15</v>
      </c>
      <c r="O266">
        <v>33.33</v>
      </c>
    </row>
    <row r="267" spans="1:15" x14ac:dyDescent="0.25">
      <c r="A267" t="s">
        <v>869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-1</v>
      </c>
      <c r="J267">
        <v>0.33</v>
      </c>
      <c r="K267">
        <v>0</v>
      </c>
      <c r="L267">
        <v>0</v>
      </c>
      <c r="M267">
        <v>0</v>
      </c>
      <c r="N267">
        <v>1</v>
      </c>
      <c r="O267">
        <v>-0.66999999999999993</v>
      </c>
    </row>
    <row r="268" spans="1:15" x14ac:dyDescent="0.25">
      <c r="A268" t="s">
        <v>870</v>
      </c>
      <c r="B268">
        <v>6</v>
      </c>
      <c r="C268">
        <v>6</v>
      </c>
      <c r="D268">
        <v>0</v>
      </c>
      <c r="E268">
        <v>5</v>
      </c>
      <c r="F268">
        <v>1</v>
      </c>
      <c r="G268">
        <v>6</v>
      </c>
      <c r="H268">
        <v>1</v>
      </c>
      <c r="I268">
        <v>4</v>
      </c>
      <c r="J268">
        <v>4</v>
      </c>
      <c r="K268">
        <v>6</v>
      </c>
      <c r="L268">
        <v>11</v>
      </c>
      <c r="M268">
        <v>1</v>
      </c>
      <c r="N268">
        <v>70</v>
      </c>
      <c r="O268">
        <v>51</v>
      </c>
    </row>
    <row r="269" spans="1:15" x14ac:dyDescent="0.25">
      <c r="A269" t="s">
        <v>873</v>
      </c>
      <c r="B269">
        <v>0</v>
      </c>
      <c r="C269">
        <v>0</v>
      </c>
      <c r="D269">
        <v>8</v>
      </c>
      <c r="E269">
        <v>1</v>
      </c>
      <c r="F269">
        <v>1</v>
      </c>
      <c r="G269">
        <v>5</v>
      </c>
      <c r="H269">
        <v>2</v>
      </c>
      <c r="I269">
        <v>2</v>
      </c>
      <c r="J269">
        <v>0.67</v>
      </c>
      <c r="K269">
        <v>2</v>
      </c>
      <c r="L269">
        <v>3.33</v>
      </c>
      <c r="M269">
        <v>2</v>
      </c>
      <c r="N269">
        <v>20.67</v>
      </c>
      <c r="O269">
        <v>27</v>
      </c>
    </row>
    <row r="270" spans="1:15" x14ac:dyDescent="0.25">
      <c r="A270" t="s">
        <v>875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 t="s">
        <v>848</v>
      </c>
      <c r="B271">
        <v>5</v>
      </c>
      <c r="C271">
        <v>1</v>
      </c>
      <c r="D271">
        <v>7</v>
      </c>
      <c r="E271">
        <v>1</v>
      </c>
      <c r="F271">
        <v>0</v>
      </c>
      <c r="G271">
        <v>2</v>
      </c>
      <c r="H271">
        <v>3</v>
      </c>
      <c r="I271">
        <v>0</v>
      </c>
      <c r="J271">
        <v>6</v>
      </c>
      <c r="K271">
        <v>0</v>
      </c>
      <c r="L271">
        <v>1</v>
      </c>
      <c r="M271">
        <v>0</v>
      </c>
      <c r="N271">
        <v>12</v>
      </c>
      <c r="O271">
        <v>26</v>
      </c>
    </row>
    <row r="272" spans="1:15" x14ac:dyDescent="0.25">
      <c r="A272" t="s">
        <v>850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10</v>
      </c>
      <c r="O272">
        <v>0</v>
      </c>
    </row>
    <row r="273" spans="1:15" x14ac:dyDescent="0.25">
      <c r="A273" t="s">
        <v>621</v>
      </c>
      <c r="B273">
        <v>5</v>
      </c>
      <c r="C273">
        <v>0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-7</v>
      </c>
      <c r="J273">
        <v>1</v>
      </c>
      <c r="K273">
        <v>1</v>
      </c>
      <c r="L273">
        <v>0</v>
      </c>
      <c r="M273">
        <v>2</v>
      </c>
      <c r="N273">
        <v>16</v>
      </c>
      <c r="O273">
        <v>4</v>
      </c>
    </row>
    <row r="274" spans="1:15" x14ac:dyDescent="0.25">
      <c r="A274" t="s">
        <v>852</v>
      </c>
      <c r="B274">
        <v>10</v>
      </c>
      <c r="C274">
        <v>1</v>
      </c>
      <c r="D274">
        <v>6</v>
      </c>
      <c r="E274">
        <v>1</v>
      </c>
      <c r="F274">
        <v>1</v>
      </c>
      <c r="G274">
        <v>2</v>
      </c>
      <c r="H274">
        <v>5</v>
      </c>
      <c r="I274">
        <v>0</v>
      </c>
      <c r="J274">
        <v>10</v>
      </c>
      <c r="K274">
        <v>0</v>
      </c>
      <c r="L274">
        <v>1</v>
      </c>
      <c r="M274">
        <v>1</v>
      </c>
      <c r="N274">
        <v>14</v>
      </c>
      <c r="O274">
        <v>38</v>
      </c>
    </row>
    <row r="275" spans="1:15" x14ac:dyDescent="0.25">
      <c r="A275" t="s">
        <v>854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10</v>
      </c>
      <c r="O275">
        <v>0</v>
      </c>
    </row>
    <row r="276" spans="1:15" x14ac:dyDescent="0.25">
      <c r="A276" t="s">
        <v>622</v>
      </c>
      <c r="B276">
        <v>5</v>
      </c>
      <c r="C276">
        <v>0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-7</v>
      </c>
      <c r="J276">
        <v>1</v>
      </c>
      <c r="K276">
        <v>1</v>
      </c>
      <c r="L276">
        <v>1</v>
      </c>
      <c r="M276">
        <v>2</v>
      </c>
      <c r="N276">
        <v>13.5</v>
      </c>
      <c r="O276">
        <v>5</v>
      </c>
    </row>
    <row r="277" spans="1:15" x14ac:dyDescent="0.25">
      <c r="A277" t="s">
        <v>833</v>
      </c>
      <c r="B277">
        <v>0.75</v>
      </c>
      <c r="C277">
        <v>2.5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-2</v>
      </c>
      <c r="J277">
        <v>2</v>
      </c>
      <c r="K277">
        <v>0</v>
      </c>
      <c r="L277">
        <v>0</v>
      </c>
      <c r="M277">
        <v>0</v>
      </c>
      <c r="N277">
        <v>13.5</v>
      </c>
      <c r="O277">
        <v>3.25</v>
      </c>
    </row>
    <row r="278" spans="1:15" x14ac:dyDescent="0.25">
      <c r="A278" t="s">
        <v>835</v>
      </c>
      <c r="B278">
        <v>3</v>
      </c>
      <c r="C278">
        <v>4</v>
      </c>
      <c r="D278">
        <v>0.75</v>
      </c>
      <c r="E278">
        <v>1</v>
      </c>
      <c r="F278">
        <v>2</v>
      </c>
      <c r="G278">
        <v>0</v>
      </c>
      <c r="H278">
        <v>2.25</v>
      </c>
      <c r="I278">
        <v>-1.5</v>
      </c>
      <c r="J278">
        <v>2</v>
      </c>
      <c r="K278">
        <v>2.5</v>
      </c>
      <c r="L278">
        <v>0</v>
      </c>
      <c r="M278">
        <v>0</v>
      </c>
      <c r="N278">
        <v>10.25</v>
      </c>
      <c r="O278">
        <v>16</v>
      </c>
    </row>
    <row r="279" spans="1:15" x14ac:dyDescent="0.25">
      <c r="A279" t="s">
        <v>839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9</v>
      </c>
      <c r="O279">
        <v>0</v>
      </c>
    </row>
    <row r="280" spans="1:15" x14ac:dyDescent="0.25">
      <c r="A280" t="s">
        <v>841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9</v>
      </c>
      <c r="O280">
        <v>0</v>
      </c>
    </row>
    <row r="281" spans="1:15" x14ac:dyDescent="0.25">
      <c r="A281" t="s">
        <v>651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34</v>
      </c>
      <c r="O281">
        <v>0</v>
      </c>
    </row>
    <row r="282" spans="1:15" x14ac:dyDescent="0.25">
      <c r="A282" t="s">
        <v>750</v>
      </c>
      <c r="B282">
        <v>0</v>
      </c>
      <c r="C282">
        <v>2</v>
      </c>
      <c r="D282">
        <v>2</v>
      </c>
      <c r="E282">
        <v>2</v>
      </c>
      <c r="F282">
        <v>0</v>
      </c>
      <c r="G282">
        <v>1.75</v>
      </c>
      <c r="H282">
        <v>0</v>
      </c>
      <c r="I282">
        <v>0</v>
      </c>
      <c r="J282">
        <v>0</v>
      </c>
      <c r="K282">
        <v>0</v>
      </c>
      <c r="L282">
        <v>2</v>
      </c>
      <c r="M282">
        <v>2</v>
      </c>
      <c r="N282">
        <v>15.75</v>
      </c>
      <c r="O282">
        <v>11.75</v>
      </c>
    </row>
    <row r="283" spans="1:15" x14ac:dyDescent="0.25">
      <c r="A283" t="s">
        <v>652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2</v>
      </c>
      <c r="N283">
        <v>41.75</v>
      </c>
      <c r="O283">
        <v>2</v>
      </c>
    </row>
    <row r="284" spans="1:15" x14ac:dyDescent="0.25">
      <c r="A284" t="s">
        <v>751</v>
      </c>
      <c r="B284">
        <v>0</v>
      </c>
      <c r="C284">
        <v>2</v>
      </c>
      <c r="D284">
        <v>2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</v>
      </c>
      <c r="M284">
        <v>2</v>
      </c>
      <c r="N284">
        <v>24.25</v>
      </c>
      <c r="O284">
        <v>12</v>
      </c>
    </row>
    <row r="285" spans="1:15" x14ac:dyDescent="0.25">
      <c r="A285" t="s">
        <v>649</v>
      </c>
      <c r="B285">
        <v>0</v>
      </c>
      <c r="C285">
        <v>2</v>
      </c>
      <c r="D285">
        <v>5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1</v>
      </c>
      <c r="K285">
        <v>2</v>
      </c>
      <c r="L285">
        <v>0</v>
      </c>
      <c r="M285">
        <v>0</v>
      </c>
      <c r="N285">
        <v>17.25</v>
      </c>
      <c r="O285">
        <v>11</v>
      </c>
    </row>
    <row r="286" spans="1:15" x14ac:dyDescent="0.25">
      <c r="A286" t="s">
        <v>928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16</v>
      </c>
      <c r="O286">
        <v>3</v>
      </c>
    </row>
    <row r="287" spans="1:15" x14ac:dyDescent="0.25">
      <c r="A287" t="s">
        <v>650</v>
      </c>
      <c r="B287">
        <v>2</v>
      </c>
      <c r="C287">
        <v>0</v>
      </c>
      <c r="D287">
        <v>4</v>
      </c>
      <c r="E287">
        <v>2</v>
      </c>
      <c r="F287">
        <v>1</v>
      </c>
      <c r="G287">
        <v>0</v>
      </c>
      <c r="H287">
        <v>1</v>
      </c>
      <c r="I287">
        <v>0</v>
      </c>
      <c r="J287">
        <v>0</v>
      </c>
      <c r="K287">
        <v>3</v>
      </c>
      <c r="L287">
        <v>0</v>
      </c>
      <c r="M287">
        <v>1</v>
      </c>
      <c r="N287">
        <v>14.5</v>
      </c>
      <c r="O287">
        <v>14</v>
      </c>
    </row>
    <row r="288" spans="1:15" x14ac:dyDescent="0.25">
      <c r="A288" t="s">
        <v>930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1</v>
      </c>
      <c r="K288">
        <v>0</v>
      </c>
      <c r="L288">
        <v>1</v>
      </c>
      <c r="M288">
        <v>0</v>
      </c>
      <c r="N288">
        <v>10</v>
      </c>
      <c r="O288">
        <v>4</v>
      </c>
    </row>
    <row r="289" spans="1:15" x14ac:dyDescent="0.25">
      <c r="A289" t="s">
        <v>629</v>
      </c>
      <c r="B289">
        <v>92</v>
      </c>
      <c r="C289">
        <v>61</v>
      </c>
      <c r="D289">
        <v>99</v>
      </c>
      <c r="E289">
        <v>43</v>
      </c>
      <c r="F289">
        <v>63</v>
      </c>
      <c r="G289">
        <v>65</v>
      </c>
      <c r="H289">
        <v>83</v>
      </c>
      <c r="I289">
        <v>54</v>
      </c>
      <c r="J289">
        <v>65</v>
      </c>
      <c r="K289">
        <v>97</v>
      </c>
      <c r="L289">
        <v>32</v>
      </c>
      <c r="M289">
        <v>80</v>
      </c>
      <c r="N289">
        <v>220</v>
      </c>
      <c r="O289">
        <v>834</v>
      </c>
    </row>
    <row r="290" spans="1:15" x14ac:dyDescent="0.25">
      <c r="A290" t="s">
        <v>631</v>
      </c>
      <c r="B290">
        <v>107</v>
      </c>
      <c r="C290">
        <v>80</v>
      </c>
      <c r="D290">
        <v>156</v>
      </c>
      <c r="E290">
        <v>62</v>
      </c>
      <c r="F290">
        <v>79</v>
      </c>
      <c r="G290">
        <v>54</v>
      </c>
      <c r="H290">
        <v>94</v>
      </c>
      <c r="I290">
        <v>49</v>
      </c>
      <c r="J290">
        <v>75</v>
      </c>
      <c r="K290">
        <v>149</v>
      </c>
      <c r="L290">
        <v>58</v>
      </c>
      <c r="M290">
        <v>54</v>
      </c>
      <c r="N290">
        <v>280</v>
      </c>
      <c r="O290">
        <v>1017</v>
      </c>
    </row>
    <row r="291" spans="1:15" x14ac:dyDescent="0.25">
      <c r="A291" t="s">
        <v>908</v>
      </c>
      <c r="B291">
        <v>2</v>
      </c>
      <c r="C291">
        <v>10</v>
      </c>
      <c r="D291">
        <v>16</v>
      </c>
      <c r="E291">
        <v>18</v>
      </c>
      <c r="F291">
        <v>0</v>
      </c>
      <c r="G291">
        <v>5.5</v>
      </c>
      <c r="H291">
        <v>3</v>
      </c>
      <c r="I291">
        <v>4</v>
      </c>
      <c r="J291">
        <v>3</v>
      </c>
      <c r="K291">
        <v>3</v>
      </c>
      <c r="L291">
        <v>11</v>
      </c>
      <c r="M291">
        <v>3</v>
      </c>
      <c r="N291">
        <v>23.25</v>
      </c>
      <c r="O291">
        <v>78.5</v>
      </c>
    </row>
    <row r="292" spans="1:15" x14ac:dyDescent="0.25">
      <c r="A292" t="s">
        <v>633</v>
      </c>
      <c r="B292">
        <v>196</v>
      </c>
      <c r="C292">
        <v>157.25</v>
      </c>
      <c r="D292">
        <v>214</v>
      </c>
      <c r="E292">
        <v>191</v>
      </c>
      <c r="F292">
        <v>131</v>
      </c>
      <c r="G292">
        <v>254</v>
      </c>
      <c r="H292">
        <v>155</v>
      </c>
      <c r="I292">
        <v>122</v>
      </c>
      <c r="J292">
        <v>206</v>
      </c>
      <c r="K292">
        <v>150</v>
      </c>
      <c r="L292">
        <v>137</v>
      </c>
      <c r="M292">
        <v>153</v>
      </c>
      <c r="N292">
        <v>493.5</v>
      </c>
      <c r="O292">
        <v>2066.25</v>
      </c>
    </row>
    <row r="293" spans="1:15" x14ac:dyDescent="0.25">
      <c r="A293" t="s">
        <v>635</v>
      </c>
      <c r="B293">
        <v>201</v>
      </c>
      <c r="C293">
        <v>112</v>
      </c>
      <c r="D293">
        <v>165</v>
      </c>
      <c r="E293">
        <v>141</v>
      </c>
      <c r="F293">
        <v>133</v>
      </c>
      <c r="G293">
        <v>178</v>
      </c>
      <c r="H293">
        <v>124</v>
      </c>
      <c r="I293">
        <v>119</v>
      </c>
      <c r="J293">
        <v>95</v>
      </c>
      <c r="K293">
        <v>139</v>
      </c>
      <c r="L293">
        <v>85</v>
      </c>
      <c r="M293">
        <v>112</v>
      </c>
      <c r="N293">
        <v>527.5</v>
      </c>
      <c r="O293">
        <v>1604</v>
      </c>
    </row>
    <row r="294" spans="1:15" x14ac:dyDescent="0.25">
      <c r="A294" t="s">
        <v>638</v>
      </c>
      <c r="B294">
        <v>84.5</v>
      </c>
      <c r="C294">
        <v>50</v>
      </c>
      <c r="D294">
        <v>75</v>
      </c>
      <c r="E294">
        <v>103.25</v>
      </c>
      <c r="F294">
        <v>31</v>
      </c>
      <c r="G294">
        <v>-6</v>
      </c>
      <c r="H294">
        <v>57</v>
      </c>
      <c r="I294">
        <v>55</v>
      </c>
      <c r="J294">
        <v>61.25</v>
      </c>
      <c r="K294">
        <v>128</v>
      </c>
      <c r="L294">
        <v>125</v>
      </c>
      <c r="M294">
        <v>65</v>
      </c>
      <c r="N294">
        <v>163.5</v>
      </c>
      <c r="O294">
        <v>829</v>
      </c>
    </row>
    <row r="295" spans="1:15" x14ac:dyDescent="0.25">
      <c r="A295" t="s">
        <v>637</v>
      </c>
      <c r="B295">
        <v>0</v>
      </c>
      <c r="C295">
        <v>0</v>
      </c>
      <c r="D295">
        <v>0</v>
      </c>
      <c r="E295">
        <v>3</v>
      </c>
      <c r="F295">
        <v>16</v>
      </c>
      <c r="G295">
        <v>98</v>
      </c>
      <c r="H295">
        <v>26</v>
      </c>
      <c r="I295">
        <v>4</v>
      </c>
      <c r="J295">
        <v>4</v>
      </c>
      <c r="K295">
        <v>6</v>
      </c>
      <c r="L295">
        <v>8</v>
      </c>
      <c r="M295">
        <v>10</v>
      </c>
      <c r="N295">
        <v>198</v>
      </c>
      <c r="O295">
        <v>175</v>
      </c>
    </row>
    <row r="296" spans="1:15" x14ac:dyDescent="0.25">
      <c r="A296" t="s">
        <v>639</v>
      </c>
      <c r="B296">
        <v>135.5</v>
      </c>
      <c r="C296">
        <v>73</v>
      </c>
      <c r="D296">
        <v>143</v>
      </c>
      <c r="E296">
        <v>101</v>
      </c>
      <c r="F296">
        <v>66</v>
      </c>
      <c r="G296">
        <v>51</v>
      </c>
      <c r="H296">
        <v>71</v>
      </c>
      <c r="I296">
        <v>106</v>
      </c>
      <c r="J296">
        <v>72</v>
      </c>
      <c r="K296">
        <v>164</v>
      </c>
      <c r="L296">
        <v>197</v>
      </c>
      <c r="M296">
        <v>93</v>
      </c>
      <c r="N296">
        <v>93</v>
      </c>
      <c r="O296">
        <v>1272.5</v>
      </c>
    </row>
    <row r="297" spans="1:15" x14ac:dyDescent="0.25">
      <c r="A297" t="s">
        <v>641</v>
      </c>
      <c r="B297">
        <v>0</v>
      </c>
      <c r="C297">
        <v>0</v>
      </c>
      <c r="D297">
        <v>0</v>
      </c>
      <c r="E297">
        <v>3</v>
      </c>
      <c r="F297">
        <v>2</v>
      </c>
      <c r="G297">
        <v>95</v>
      </c>
      <c r="H297">
        <v>26</v>
      </c>
      <c r="I297">
        <v>8</v>
      </c>
      <c r="J297">
        <v>9</v>
      </c>
      <c r="K297">
        <v>12</v>
      </c>
      <c r="L297">
        <v>11</v>
      </c>
      <c r="M297">
        <v>15</v>
      </c>
      <c r="N297">
        <v>386</v>
      </c>
      <c r="O297">
        <v>181</v>
      </c>
    </row>
    <row r="298" spans="1:15" x14ac:dyDescent="0.25">
      <c r="A298" t="s">
        <v>642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25</v>
      </c>
      <c r="O298">
        <v>0</v>
      </c>
    </row>
    <row r="299" spans="1:15" x14ac:dyDescent="0.25">
      <c r="A299" t="s">
        <v>643</v>
      </c>
      <c r="B299">
        <v>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19</v>
      </c>
      <c r="O299">
        <v>4</v>
      </c>
    </row>
    <row r="300" spans="1:15" x14ac:dyDescent="0.25">
      <c r="A300" t="s">
        <v>645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5</v>
      </c>
      <c r="O300">
        <v>0</v>
      </c>
    </row>
    <row r="301" spans="1:15" x14ac:dyDescent="0.25">
      <c r="A301" t="s">
        <v>647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4</v>
      </c>
      <c r="O301">
        <v>1</v>
      </c>
    </row>
    <row r="302" spans="1:15" x14ac:dyDescent="0.25">
      <c r="A302" t="s">
        <v>920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 t="s">
        <v>922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25">
      <c r="A304" t="s">
        <v>939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 t="s">
        <v>941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25">
      <c r="A306" t="s">
        <v>752</v>
      </c>
      <c r="B306">
        <v>17</v>
      </c>
      <c r="C306">
        <v>4</v>
      </c>
      <c r="D306">
        <v>12</v>
      </c>
      <c r="E306">
        <v>47</v>
      </c>
      <c r="F306">
        <v>9</v>
      </c>
      <c r="G306">
        <v>27</v>
      </c>
      <c r="H306">
        <v>15</v>
      </c>
      <c r="I306">
        <v>5</v>
      </c>
      <c r="J306">
        <v>10.25</v>
      </c>
      <c r="K306">
        <v>16</v>
      </c>
      <c r="L306">
        <v>15.25</v>
      </c>
      <c r="M306">
        <v>9</v>
      </c>
      <c r="N306">
        <v>47.5</v>
      </c>
      <c r="O306">
        <v>186.5</v>
      </c>
    </row>
    <row r="307" spans="1:15" x14ac:dyDescent="0.25">
      <c r="A307" t="s">
        <v>753</v>
      </c>
      <c r="B307">
        <v>26</v>
      </c>
      <c r="C307">
        <v>9</v>
      </c>
      <c r="D307">
        <v>13</v>
      </c>
      <c r="E307">
        <v>40</v>
      </c>
      <c r="F307">
        <v>6.75</v>
      </c>
      <c r="G307">
        <v>25</v>
      </c>
      <c r="H307">
        <v>14</v>
      </c>
      <c r="I307">
        <v>12</v>
      </c>
      <c r="J307">
        <v>10</v>
      </c>
      <c r="K307">
        <v>12</v>
      </c>
      <c r="L307">
        <v>15</v>
      </c>
      <c r="M307">
        <v>10</v>
      </c>
      <c r="N307">
        <v>61.75</v>
      </c>
      <c r="O307">
        <v>192.75</v>
      </c>
    </row>
    <row r="308" spans="1:15" x14ac:dyDescent="0.25">
      <c r="A308" t="s">
        <v>656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3</v>
      </c>
      <c r="N308">
        <v>45</v>
      </c>
      <c r="O308">
        <v>3</v>
      </c>
    </row>
    <row r="309" spans="1:15" x14ac:dyDescent="0.25">
      <c r="A309" t="s">
        <v>961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 t="s">
        <v>963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 t="s">
        <v>843</v>
      </c>
      <c r="B311">
        <v>4</v>
      </c>
      <c r="C311">
        <v>0</v>
      </c>
      <c r="D311">
        <v>8</v>
      </c>
      <c r="E311">
        <v>4</v>
      </c>
      <c r="F311">
        <v>0</v>
      </c>
      <c r="G311">
        <v>0</v>
      </c>
      <c r="H311">
        <v>8</v>
      </c>
      <c r="I311">
        <v>0</v>
      </c>
      <c r="J311">
        <v>0</v>
      </c>
      <c r="K311">
        <v>12</v>
      </c>
      <c r="L311">
        <v>0</v>
      </c>
      <c r="M311">
        <v>8</v>
      </c>
      <c r="N311">
        <v>16</v>
      </c>
      <c r="O311">
        <v>44</v>
      </c>
    </row>
    <row r="312" spans="1:15" x14ac:dyDescent="0.25">
      <c r="A312" t="s">
        <v>845</v>
      </c>
      <c r="B312">
        <v>4</v>
      </c>
      <c r="C312">
        <v>0</v>
      </c>
      <c r="D312">
        <v>8</v>
      </c>
      <c r="E312">
        <v>4</v>
      </c>
      <c r="F312">
        <v>0</v>
      </c>
      <c r="G312">
        <v>0</v>
      </c>
      <c r="H312">
        <v>8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36</v>
      </c>
      <c r="O312">
        <v>24</v>
      </c>
    </row>
    <row r="313" spans="1:15" x14ac:dyDescent="0.25">
      <c r="A313" t="s">
        <v>876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 t="s">
        <v>879</v>
      </c>
      <c r="B314">
        <v>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36</v>
      </c>
      <c r="O314">
        <v>6</v>
      </c>
    </row>
    <row r="315" spans="1:15" x14ac:dyDescent="0.25">
      <c r="A315" t="s">
        <v>880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</v>
      </c>
      <c r="O315">
        <v>0</v>
      </c>
    </row>
    <row r="316" spans="1:15" x14ac:dyDescent="0.25">
      <c r="A316" t="s">
        <v>882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t="s">
        <v>884</v>
      </c>
      <c r="B317">
        <v>6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30</v>
      </c>
      <c r="O317">
        <v>6</v>
      </c>
    </row>
    <row r="318" spans="1:15" x14ac:dyDescent="0.25">
      <c r="A318" t="s">
        <v>885</v>
      </c>
      <c r="B318">
        <v>32</v>
      </c>
      <c r="C318">
        <v>12</v>
      </c>
      <c r="D318">
        <v>0</v>
      </c>
      <c r="E318">
        <v>12</v>
      </c>
      <c r="F318">
        <v>0</v>
      </c>
      <c r="G318">
        <v>28</v>
      </c>
      <c r="H318">
        <v>20</v>
      </c>
      <c r="I318">
        <v>12</v>
      </c>
      <c r="J318">
        <v>28</v>
      </c>
      <c r="K318">
        <v>8</v>
      </c>
      <c r="L318">
        <v>16</v>
      </c>
      <c r="M318">
        <v>20</v>
      </c>
      <c r="N318">
        <v>77</v>
      </c>
      <c r="O318">
        <v>188</v>
      </c>
    </row>
    <row r="319" spans="1:15" x14ac:dyDescent="0.25">
      <c r="A319" t="s">
        <v>888</v>
      </c>
      <c r="B319">
        <v>36</v>
      </c>
      <c r="C319">
        <v>12</v>
      </c>
      <c r="D319">
        <v>0</v>
      </c>
      <c r="E319">
        <v>8</v>
      </c>
      <c r="F319">
        <v>0</v>
      </c>
      <c r="G319">
        <v>32</v>
      </c>
      <c r="H319">
        <v>20</v>
      </c>
      <c r="I319">
        <v>12</v>
      </c>
      <c r="J319">
        <v>24</v>
      </c>
      <c r="K319">
        <v>8</v>
      </c>
      <c r="L319">
        <v>16</v>
      </c>
      <c r="M319">
        <v>20</v>
      </c>
      <c r="N319">
        <v>189</v>
      </c>
      <c r="O319">
        <v>188</v>
      </c>
    </row>
    <row r="320" spans="1:15" x14ac:dyDescent="0.25">
      <c r="A320" t="s">
        <v>890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2</v>
      </c>
      <c r="O320">
        <v>0</v>
      </c>
    </row>
    <row r="321" spans="1:15" x14ac:dyDescent="0.25">
      <c r="A321" t="s">
        <v>891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89</v>
      </c>
      <c r="O321">
        <v>0</v>
      </c>
    </row>
    <row r="322" spans="1:15" x14ac:dyDescent="0.25">
      <c r="A322" t="s">
        <v>893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89</v>
      </c>
      <c r="O322">
        <v>0</v>
      </c>
    </row>
    <row r="323" spans="1:15" x14ac:dyDescent="0.25">
      <c r="A323" t="s">
        <v>895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44</v>
      </c>
      <c r="O323">
        <v>0</v>
      </c>
    </row>
    <row r="324" spans="1:15" x14ac:dyDescent="0.25">
      <c r="A324" t="s">
        <v>897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52</v>
      </c>
      <c r="O324">
        <v>0</v>
      </c>
    </row>
    <row r="325" spans="1:15" x14ac:dyDescent="0.25">
      <c r="A325" t="s">
        <v>792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 t="s">
        <v>899</v>
      </c>
      <c r="B326">
        <v>44</v>
      </c>
      <c r="C326">
        <v>116</v>
      </c>
      <c r="D326">
        <v>215</v>
      </c>
      <c r="E326">
        <v>67</v>
      </c>
      <c r="F326">
        <v>12</v>
      </c>
      <c r="G326">
        <v>157</v>
      </c>
      <c r="H326">
        <v>95</v>
      </c>
      <c r="I326">
        <v>68</v>
      </c>
      <c r="J326">
        <v>34</v>
      </c>
      <c r="K326">
        <v>260</v>
      </c>
      <c r="L326">
        <v>17</v>
      </c>
      <c r="M326">
        <v>59</v>
      </c>
      <c r="N326">
        <v>472</v>
      </c>
      <c r="O326">
        <v>1144</v>
      </c>
    </row>
    <row r="327" spans="1:15" x14ac:dyDescent="0.25">
      <c r="A327" t="s">
        <v>901</v>
      </c>
      <c r="B327">
        <v>88</v>
      </c>
      <c r="C327">
        <v>40</v>
      </c>
      <c r="D327">
        <v>8</v>
      </c>
      <c r="E327">
        <v>10</v>
      </c>
      <c r="F327">
        <v>0</v>
      </c>
      <c r="G327">
        <v>0</v>
      </c>
      <c r="H327">
        <v>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5</v>
      </c>
      <c r="O327">
        <v>151</v>
      </c>
    </row>
    <row r="328" spans="1:15" x14ac:dyDescent="0.25">
      <c r="A328" t="s">
        <v>902</v>
      </c>
      <c r="B328">
        <v>24</v>
      </c>
      <c r="C328">
        <v>120</v>
      </c>
      <c r="D328">
        <v>196</v>
      </c>
      <c r="E328">
        <v>92</v>
      </c>
      <c r="F328">
        <v>44</v>
      </c>
      <c r="G328">
        <v>201</v>
      </c>
      <c r="H328">
        <v>69</v>
      </c>
      <c r="I328">
        <v>31</v>
      </c>
      <c r="J328">
        <v>76</v>
      </c>
      <c r="K328">
        <v>235</v>
      </c>
      <c r="L328">
        <v>22</v>
      </c>
      <c r="M328">
        <v>52</v>
      </c>
      <c r="N328">
        <v>511</v>
      </c>
      <c r="O328">
        <v>1162</v>
      </c>
    </row>
    <row r="329" spans="1:15" x14ac:dyDescent="0.25">
      <c r="A329" t="s">
        <v>904</v>
      </c>
      <c r="B329">
        <v>80</v>
      </c>
      <c r="C329">
        <v>84</v>
      </c>
      <c r="D329">
        <v>8</v>
      </c>
      <c r="E329">
        <v>0</v>
      </c>
      <c r="F329">
        <v>-4</v>
      </c>
      <c r="G329">
        <v>0</v>
      </c>
      <c r="H329">
        <v>3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2</v>
      </c>
      <c r="O329">
        <v>172</v>
      </c>
    </row>
    <row r="330" spans="1:15" x14ac:dyDescent="0.25">
      <c r="A330" t="s">
        <v>747</v>
      </c>
      <c r="B330">
        <v>755</v>
      </c>
      <c r="C330">
        <v>695</v>
      </c>
      <c r="D330">
        <v>517</v>
      </c>
      <c r="E330">
        <v>453</v>
      </c>
      <c r="F330">
        <v>263</v>
      </c>
      <c r="G330">
        <v>334</v>
      </c>
      <c r="H330">
        <v>268</v>
      </c>
      <c r="I330">
        <v>144</v>
      </c>
      <c r="J330">
        <v>510</v>
      </c>
      <c r="K330">
        <v>236</v>
      </c>
      <c r="L330">
        <v>283</v>
      </c>
      <c r="M330">
        <v>252</v>
      </c>
      <c r="N330">
        <v>1041</v>
      </c>
      <c r="O330">
        <v>4710</v>
      </c>
    </row>
    <row r="331" spans="1:15" x14ac:dyDescent="0.25">
      <c r="A331" t="s">
        <v>748</v>
      </c>
      <c r="B331">
        <v>844</v>
      </c>
      <c r="C331">
        <v>940</v>
      </c>
      <c r="D331">
        <v>704</v>
      </c>
      <c r="E331">
        <v>509</v>
      </c>
      <c r="F331">
        <v>294</v>
      </c>
      <c r="G331">
        <v>434</v>
      </c>
      <c r="H331">
        <v>258</v>
      </c>
      <c r="I331">
        <v>186</v>
      </c>
      <c r="J331">
        <v>553</v>
      </c>
      <c r="K331">
        <v>249</v>
      </c>
      <c r="L331">
        <v>387</v>
      </c>
      <c r="M331">
        <v>483</v>
      </c>
      <c r="N331">
        <v>1842</v>
      </c>
      <c r="O331">
        <v>5841</v>
      </c>
    </row>
    <row r="332" spans="1:15" x14ac:dyDescent="0.25">
      <c r="A332" t="s">
        <v>925</v>
      </c>
      <c r="B332">
        <v>346</v>
      </c>
      <c r="C332">
        <v>312</v>
      </c>
      <c r="D332">
        <v>324</v>
      </c>
      <c r="E332">
        <v>48</v>
      </c>
      <c r="F332">
        <v>120</v>
      </c>
      <c r="G332">
        <v>112</v>
      </c>
      <c r="H332">
        <v>44</v>
      </c>
      <c r="I332">
        <v>20</v>
      </c>
      <c r="J332">
        <v>96</v>
      </c>
      <c r="K332">
        <v>126</v>
      </c>
      <c r="L332">
        <v>90</v>
      </c>
      <c r="M332">
        <v>80</v>
      </c>
      <c r="N332">
        <v>957</v>
      </c>
      <c r="O332">
        <v>1718</v>
      </c>
    </row>
    <row r="333" spans="1:15" x14ac:dyDescent="0.25">
      <c r="A333" t="s">
        <v>749</v>
      </c>
      <c r="B333">
        <v>472</v>
      </c>
      <c r="C333">
        <v>514</v>
      </c>
      <c r="D333">
        <v>412</v>
      </c>
      <c r="E333">
        <v>214</v>
      </c>
      <c r="F333">
        <v>107</v>
      </c>
      <c r="G333">
        <v>164</v>
      </c>
      <c r="H333">
        <v>146</v>
      </c>
      <c r="I333">
        <v>88</v>
      </c>
      <c r="J333">
        <v>228</v>
      </c>
      <c r="K333">
        <v>88</v>
      </c>
      <c r="L333">
        <v>202</v>
      </c>
      <c r="M333">
        <v>217</v>
      </c>
      <c r="N333">
        <v>975</v>
      </c>
      <c r="O333">
        <v>2852</v>
      </c>
    </row>
    <row r="334" spans="1:15" x14ac:dyDescent="0.25">
      <c r="A334" t="s">
        <v>653</v>
      </c>
      <c r="B334">
        <v>116</v>
      </c>
      <c r="C334">
        <v>40</v>
      </c>
      <c r="D334">
        <v>40</v>
      </c>
      <c r="E334">
        <v>44</v>
      </c>
      <c r="F334">
        <v>36</v>
      </c>
      <c r="G334">
        <v>88</v>
      </c>
      <c r="H334">
        <v>72</v>
      </c>
      <c r="I334">
        <v>8</v>
      </c>
      <c r="J334">
        <v>56</v>
      </c>
      <c r="K334">
        <v>88</v>
      </c>
      <c r="L334">
        <v>16</v>
      </c>
      <c r="M334">
        <v>40</v>
      </c>
      <c r="N334">
        <v>107</v>
      </c>
      <c r="O334">
        <v>644</v>
      </c>
    </row>
    <row r="335" spans="1:15" x14ac:dyDescent="0.25">
      <c r="A335" t="s">
        <v>935</v>
      </c>
      <c r="B335">
        <v>144</v>
      </c>
      <c r="C335">
        <v>68</v>
      </c>
      <c r="D335">
        <v>28</v>
      </c>
      <c r="E335">
        <v>56</v>
      </c>
      <c r="F335">
        <v>29</v>
      </c>
      <c r="G335">
        <v>80</v>
      </c>
      <c r="H335">
        <v>88</v>
      </c>
      <c r="I335">
        <v>8</v>
      </c>
      <c r="J335">
        <v>41</v>
      </c>
      <c r="K335">
        <v>104</v>
      </c>
      <c r="L335">
        <v>36</v>
      </c>
      <c r="M335">
        <v>36</v>
      </c>
      <c r="N335">
        <v>248</v>
      </c>
      <c r="O335">
        <v>718</v>
      </c>
    </row>
    <row r="336" spans="1:15" x14ac:dyDescent="0.25">
      <c r="A336" t="s">
        <v>942</v>
      </c>
      <c r="B336">
        <v>77</v>
      </c>
      <c r="C336">
        <v>108</v>
      </c>
      <c r="D336">
        <v>55</v>
      </c>
      <c r="E336">
        <v>24</v>
      </c>
      <c r="F336">
        <v>23</v>
      </c>
      <c r="G336">
        <v>33</v>
      </c>
      <c r="H336">
        <v>18</v>
      </c>
      <c r="I336">
        <v>24</v>
      </c>
      <c r="J336">
        <v>49</v>
      </c>
      <c r="K336">
        <v>25</v>
      </c>
      <c r="L336">
        <v>7</v>
      </c>
      <c r="M336">
        <v>17</v>
      </c>
      <c r="N336">
        <v>147</v>
      </c>
      <c r="O336">
        <v>460</v>
      </c>
    </row>
    <row r="337" spans="1:15" x14ac:dyDescent="0.25">
      <c r="A337" t="s">
        <v>945</v>
      </c>
      <c r="B337">
        <v>100</v>
      </c>
      <c r="C337">
        <v>83</v>
      </c>
      <c r="D337">
        <v>122</v>
      </c>
      <c r="E337">
        <v>21</v>
      </c>
      <c r="F337">
        <v>20</v>
      </c>
      <c r="G337">
        <v>43</v>
      </c>
      <c r="H337">
        <v>44</v>
      </c>
      <c r="I337">
        <v>24</v>
      </c>
      <c r="J337">
        <v>63</v>
      </c>
      <c r="K337">
        <v>41</v>
      </c>
      <c r="L337">
        <v>1</v>
      </c>
      <c r="M337">
        <v>25</v>
      </c>
      <c r="N337">
        <v>154</v>
      </c>
      <c r="O337">
        <v>587</v>
      </c>
    </row>
    <row r="338" spans="1:15" x14ac:dyDescent="0.25">
      <c r="A338" t="s">
        <v>768</v>
      </c>
      <c r="B338">
        <v>96</v>
      </c>
      <c r="C338">
        <v>474</v>
      </c>
      <c r="D338">
        <v>112</v>
      </c>
      <c r="E338">
        <v>112</v>
      </c>
      <c r="F338">
        <v>121</v>
      </c>
      <c r="G338">
        <v>211</v>
      </c>
      <c r="H338">
        <v>100</v>
      </c>
      <c r="I338">
        <v>42</v>
      </c>
      <c r="J338">
        <v>128</v>
      </c>
      <c r="K338">
        <v>177</v>
      </c>
      <c r="L338">
        <v>66</v>
      </c>
      <c r="M338">
        <v>78</v>
      </c>
      <c r="N338">
        <v>548</v>
      </c>
      <c r="O338">
        <v>1717</v>
      </c>
    </row>
    <row r="339" spans="1:15" x14ac:dyDescent="0.25">
      <c r="A339" t="s">
        <v>953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</v>
      </c>
      <c r="K339">
        <v>0</v>
      </c>
      <c r="L339">
        <v>0</v>
      </c>
      <c r="M339">
        <v>0</v>
      </c>
      <c r="N339">
        <v>3</v>
      </c>
      <c r="O339">
        <v>2</v>
      </c>
    </row>
    <row r="340" spans="1:15" x14ac:dyDescent="0.25">
      <c r="A340" t="s">
        <v>955</v>
      </c>
      <c r="B340">
        <v>0</v>
      </c>
      <c r="C340">
        <v>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113</v>
      </c>
      <c r="O340">
        <v>8</v>
      </c>
    </row>
    <row r="341" spans="1:15" x14ac:dyDescent="0.25">
      <c r="A341" t="s">
        <v>769</v>
      </c>
      <c r="B341">
        <v>79</v>
      </c>
      <c r="C341">
        <v>480</v>
      </c>
      <c r="D341">
        <v>100</v>
      </c>
      <c r="E341">
        <v>77</v>
      </c>
      <c r="F341">
        <v>85</v>
      </c>
      <c r="G341">
        <v>249</v>
      </c>
      <c r="H341">
        <v>97</v>
      </c>
      <c r="I341">
        <v>26</v>
      </c>
      <c r="J341">
        <v>102</v>
      </c>
      <c r="K341">
        <v>144</v>
      </c>
      <c r="L341">
        <v>52</v>
      </c>
      <c r="M341">
        <v>70</v>
      </c>
      <c r="N341">
        <v>465</v>
      </c>
      <c r="O341">
        <v>1561</v>
      </c>
    </row>
    <row r="342" spans="1:15" x14ac:dyDescent="0.25">
      <c r="A342" t="s">
        <v>957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25">
      <c r="A343" t="s">
        <v>964</v>
      </c>
      <c r="B343">
        <v>20</v>
      </c>
      <c r="C343">
        <v>68</v>
      </c>
      <c r="D343">
        <v>30</v>
      </c>
      <c r="E343">
        <v>52</v>
      </c>
      <c r="F343">
        <v>40</v>
      </c>
      <c r="G343">
        <v>164</v>
      </c>
      <c r="H343">
        <v>0</v>
      </c>
      <c r="I343">
        <v>6</v>
      </c>
      <c r="J343">
        <v>0</v>
      </c>
      <c r="K343">
        <v>0</v>
      </c>
      <c r="L343">
        <v>13</v>
      </c>
      <c r="M343">
        <v>0</v>
      </c>
      <c r="N343">
        <v>304</v>
      </c>
      <c r="O343">
        <v>393</v>
      </c>
    </row>
    <row r="344" spans="1:15" x14ac:dyDescent="0.25">
      <c r="A344" t="s">
        <v>812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 t="s">
        <v>966</v>
      </c>
      <c r="B345">
        <v>12</v>
      </c>
      <c r="C345">
        <v>100</v>
      </c>
      <c r="D345">
        <v>0</v>
      </c>
      <c r="E345">
        <v>36</v>
      </c>
      <c r="F345">
        <v>24</v>
      </c>
      <c r="G345">
        <v>100</v>
      </c>
      <c r="H345">
        <v>8</v>
      </c>
      <c r="I345">
        <v>8</v>
      </c>
      <c r="J345">
        <v>6</v>
      </c>
      <c r="K345">
        <v>0</v>
      </c>
      <c r="L345">
        <v>11</v>
      </c>
      <c r="M345">
        <v>0</v>
      </c>
      <c r="N345">
        <v>252</v>
      </c>
      <c r="O345">
        <v>305</v>
      </c>
    </row>
    <row r="346" spans="1:15" x14ac:dyDescent="0.25">
      <c r="A346" t="s">
        <v>628</v>
      </c>
      <c r="B346">
        <v>238</v>
      </c>
      <c r="C346">
        <v>202</v>
      </c>
      <c r="D346">
        <v>237</v>
      </c>
      <c r="E346">
        <v>168</v>
      </c>
      <c r="F346">
        <v>149</v>
      </c>
      <c r="G346">
        <v>254</v>
      </c>
      <c r="H346">
        <v>99</v>
      </c>
      <c r="I346">
        <v>122</v>
      </c>
      <c r="J346">
        <v>241</v>
      </c>
      <c r="K346">
        <v>246</v>
      </c>
      <c r="L346">
        <v>221.25</v>
      </c>
      <c r="M346">
        <v>143</v>
      </c>
      <c r="N346">
        <v>588</v>
      </c>
      <c r="O346">
        <v>2320.25</v>
      </c>
    </row>
    <row r="347" spans="1:15" x14ac:dyDescent="0.25">
      <c r="A347" t="s">
        <v>630</v>
      </c>
      <c r="B347">
        <v>337.5</v>
      </c>
      <c r="C347">
        <v>189</v>
      </c>
      <c r="D347">
        <v>292</v>
      </c>
      <c r="E347">
        <v>208.25</v>
      </c>
      <c r="F347">
        <v>253.5</v>
      </c>
      <c r="G347">
        <v>226</v>
      </c>
      <c r="H347">
        <v>181</v>
      </c>
      <c r="I347">
        <v>201</v>
      </c>
      <c r="J347">
        <v>268</v>
      </c>
      <c r="K347">
        <v>284</v>
      </c>
      <c r="L347">
        <v>238.75</v>
      </c>
      <c r="M347">
        <v>187</v>
      </c>
      <c r="N347">
        <v>475.75</v>
      </c>
      <c r="O347">
        <v>2866</v>
      </c>
    </row>
    <row r="348" spans="1:15" x14ac:dyDescent="0.25">
      <c r="A348" t="s">
        <v>707</v>
      </c>
      <c r="B348">
        <v>36</v>
      </c>
      <c r="C348">
        <v>9</v>
      </c>
      <c r="D348">
        <v>29</v>
      </c>
      <c r="E348">
        <v>26</v>
      </c>
      <c r="F348">
        <v>31</v>
      </c>
      <c r="G348">
        <v>25</v>
      </c>
      <c r="H348">
        <v>33.5</v>
      </c>
      <c r="I348">
        <v>12</v>
      </c>
      <c r="J348">
        <v>21</v>
      </c>
      <c r="K348">
        <v>23</v>
      </c>
      <c r="L348">
        <v>39</v>
      </c>
      <c r="M348">
        <v>13</v>
      </c>
      <c r="N348">
        <v>56.75</v>
      </c>
      <c r="O348">
        <v>297.5</v>
      </c>
    </row>
    <row r="349" spans="1:15" x14ac:dyDescent="0.25">
      <c r="A349" t="s">
        <v>632</v>
      </c>
      <c r="B349">
        <v>407</v>
      </c>
      <c r="C349">
        <v>332.25</v>
      </c>
      <c r="D349">
        <v>446.25</v>
      </c>
      <c r="E349">
        <v>265.5</v>
      </c>
      <c r="F349">
        <v>226.25</v>
      </c>
      <c r="G349">
        <v>498.25</v>
      </c>
      <c r="H349">
        <v>225.5</v>
      </c>
      <c r="I349">
        <v>220</v>
      </c>
      <c r="J349">
        <v>363</v>
      </c>
      <c r="K349">
        <v>334</v>
      </c>
      <c r="L349">
        <v>365.25</v>
      </c>
      <c r="M349">
        <v>237</v>
      </c>
      <c r="N349">
        <v>579</v>
      </c>
      <c r="O349">
        <v>3920.25</v>
      </c>
    </row>
    <row r="350" spans="1:15" x14ac:dyDescent="0.25">
      <c r="A350" t="s">
        <v>634</v>
      </c>
      <c r="B350">
        <v>367.25</v>
      </c>
      <c r="C350">
        <v>170</v>
      </c>
      <c r="D350">
        <v>262</v>
      </c>
      <c r="E350">
        <v>223.5</v>
      </c>
      <c r="F350">
        <v>139</v>
      </c>
      <c r="G350">
        <v>310</v>
      </c>
      <c r="H350">
        <v>128</v>
      </c>
      <c r="I350">
        <v>162.25</v>
      </c>
      <c r="J350">
        <v>243</v>
      </c>
      <c r="K350">
        <v>235</v>
      </c>
      <c r="L350">
        <v>239.25</v>
      </c>
      <c r="M350">
        <v>228</v>
      </c>
      <c r="N350">
        <v>691.75</v>
      </c>
      <c r="O350">
        <v>2707.25</v>
      </c>
    </row>
    <row r="351" spans="1:15" x14ac:dyDescent="0.25">
      <c r="A351" t="s">
        <v>911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25">
      <c r="A352" t="s">
        <v>913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25">
      <c r="A353" t="s">
        <v>746</v>
      </c>
      <c r="B353">
        <v>15</v>
      </c>
      <c r="C353">
        <v>1</v>
      </c>
      <c r="D353">
        <v>10</v>
      </c>
      <c r="E353">
        <v>14</v>
      </c>
      <c r="F353">
        <v>5</v>
      </c>
      <c r="G353">
        <v>6</v>
      </c>
      <c r="H353">
        <v>5</v>
      </c>
      <c r="I353">
        <v>3</v>
      </c>
      <c r="J353">
        <v>4</v>
      </c>
      <c r="K353">
        <v>9.25</v>
      </c>
      <c r="L353">
        <v>9</v>
      </c>
      <c r="M353">
        <v>2</v>
      </c>
      <c r="N353">
        <v>22.25</v>
      </c>
      <c r="O353">
        <v>83.25</v>
      </c>
    </row>
    <row r="354" spans="1:15" x14ac:dyDescent="0.25">
      <c r="A354" t="s">
        <v>648</v>
      </c>
      <c r="B354">
        <v>16</v>
      </c>
      <c r="C354">
        <v>6</v>
      </c>
      <c r="D354">
        <v>4</v>
      </c>
      <c r="E354">
        <v>23</v>
      </c>
      <c r="F354">
        <v>4.25</v>
      </c>
      <c r="G354">
        <v>3</v>
      </c>
      <c r="H354">
        <v>3</v>
      </c>
      <c r="I354">
        <v>10</v>
      </c>
      <c r="J354">
        <v>4</v>
      </c>
      <c r="K354">
        <v>8</v>
      </c>
      <c r="L354">
        <v>16</v>
      </c>
      <c r="M354">
        <v>1.25</v>
      </c>
      <c r="N354">
        <v>24.25</v>
      </c>
      <c r="O354">
        <v>98.5</v>
      </c>
    </row>
    <row r="355" spans="1:15" x14ac:dyDescent="0.25">
      <c r="A355" t="s">
        <v>937</v>
      </c>
      <c r="B355">
        <v>0</v>
      </c>
      <c r="C355">
        <v>0</v>
      </c>
      <c r="D355">
        <v>2</v>
      </c>
      <c r="E355">
        <v>2</v>
      </c>
      <c r="F355">
        <v>0</v>
      </c>
      <c r="G355">
        <v>0</v>
      </c>
      <c r="H355">
        <v>3</v>
      </c>
      <c r="I355">
        <v>1</v>
      </c>
      <c r="J355">
        <v>0</v>
      </c>
      <c r="K355">
        <v>0</v>
      </c>
      <c r="L355">
        <v>2</v>
      </c>
      <c r="M355">
        <v>0</v>
      </c>
      <c r="N355">
        <v>48</v>
      </c>
      <c r="O355">
        <v>10</v>
      </c>
    </row>
    <row r="356" spans="1:15" x14ac:dyDescent="0.25">
      <c r="A356" t="s">
        <v>654</v>
      </c>
      <c r="B356">
        <v>20</v>
      </c>
      <c r="C356">
        <v>15</v>
      </c>
      <c r="D356">
        <v>18</v>
      </c>
      <c r="E356">
        <v>9</v>
      </c>
      <c r="F356">
        <v>7</v>
      </c>
      <c r="G356">
        <v>14</v>
      </c>
      <c r="H356">
        <v>3</v>
      </c>
      <c r="I356">
        <v>4</v>
      </c>
      <c r="J356">
        <v>8</v>
      </c>
      <c r="K356">
        <v>2</v>
      </c>
      <c r="L356">
        <v>6</v>
      </c>
      <c r="M356">
        <v>1</v>
      </c>
      <c r="N356">
        <v>55.5</v>
      </c>
      <c r="O356">
        <v>107</v>
      </c>
    </row>
    <row r="357" spans="1:15" x14ac:dyDescent="0.25">
      <c r="A357" t="s">
        <v>947</v>
      </c>
      <c r="B357">
        <v>33</v>
      </c>
      <c r="C357">
        <v>59</v>
      </c>
      <c r="D357">
        <v>79</v>
      </c>
      <c r="E357">
        <v>41</v>
      </c>
      <c r="F357">
        <v>13</v>
      </c>
      <c r="G357">
        <v>80</v>
      </c>
      <c r="H357">
        <v>17</v>
      </c>
      <c r="I357">
        <v>-2</v>
      </c>
      <c r="J357">
        <v>22</v>
      </c>
      <c r="K357">
        <v>19</v>
      </c>
      <c r="L357">
        <v>6</v>
      </c>
      <c r="M357">
        <v>15</v>
      </c>
      <c r="N357">
        <v>207.5</v>
      </c>
      <c r="O357">
        <v>382</v>
      </c>
    </row>
    <row r="358" spans="1:15" x14ac:dyDescent="0.25">
      <c r="A358" t="s">
        <v>655</v>
      </c>
      <c r="B358">
        <v>57</v>
      </c>
      <c r="C358">
        <v>137</v>
      </c>
      <c r="D358">
        <v>108</v>
      </c>
      <c r="E358">
        <v>79.25</v>
      </c>
      <c r="F358">
        <v>35</v>
      </c>
      <c r="G358">
        <v>133</v>
      </c>
      <c r="H358">
        <v>39</v>
      </c>
      <c r="I358">
        <v>35</v>
      </c>
      <c r="J358">
        <v>75.5</v>
      </c>
      <c r="K358">
        <v>56</v>
      </c>
      <c r="L358">
        <v>80</v>
      </c>
      <c r="M358">
        <v>63</v>
      </c>
      <c r="N358">
        <v>239.5</v>
      </c>
      <c r="O358">
        <v>897.75</v>
      </c>
    </row>
    <row r="359" spans="1:15" x14ac:dyDescent="0.25">
      <c r="A359" t="s">
        <v>708</v>
      </c>
      <c r="B359">
        <v>58</v>
      </c>
      <c r="C359">
        <v>63.75</v>
      </c>
      <c r="D359">
        <v>94</v>
      </c>
      <c r="E359">
        <v>42</v>
      </c>
      <c r="F359">
        <v>38.25</v>
      </c>
      <c r="G359">
        <v>60</v>
      </c>
      <c r="H359">
        <v>25</v>
      </c>
      <c r="I359">
        <v>18</v>
      </c>
      <c r="J359">
        <v>50</v>
      </c>
      <c r="K359">
        <v>35</v>
      </c>
      <c r="L359">
        <v>21.5</v>
      </c>
      <c r="M359">
        <v>65</v>
      </c>
      <c r="N359">
        <v>122.25</v>
      </c>
      <c r="O359">
        <v>570.5</v>
      </c>
    </row>
    <row r="360" spans="1:15" x14ac:dyDescent="0.25">
      <c r="A360" t="s">
        <v>698</v>
      </c>
      <c r="B360">
        <v>61</v>
      </c>
      <c r="C360">
        <v>39</v>
      </c>
      <c r="D360">
        <v>101</v>
      </c>
      <c r="E360">
        <v>89</v>
      </c>
      <c r="F360">
        <v>56</v>
      </c>
      <c r="G360">
        <v>105</v>
      </c>
      <c r="H360">
        <v>56</v>
      </c>
      <c r="I360">
        <v>37</v>
      </c>
      <c r="J360">
        <v>86.25</v>
      </c>
      <c r="K360">
        <v>123</v>
      </c>
      <c r="L360">
        <v>90</v>
      </c>
      <c r="M360">
        <v>83</v>
      </c>
      <c r="N360">
        <v>235</v>
      </c>
      <c r="O360">
        <v>926.25</v>
      </c>
    </row>
    <row r="361" spans="1:15" x14ac:dyDescent="0.25">
      <c r="A361" t="s">
        <v>699</v>
      </c>
      <c r="B361">
        <v>85</v>
      </c>
      <c r="C361">
        <v>101</v>
      </c>
      <c r="D361">
        <v>104.25</v>
      </c>
      <c r="E361">
        <v>85</v>
      </c>
      <c r="F361">
        <v>101</v>
      </c>
      <c r="G361">
        <v>140</v>
      </c>
      <c r="H361">
        <v>43</v>
      </c>
      <c r="I361">
        <v>56</v>
      </c>
      <c r="J361">
        <v>107</v>
      </c>
      <c r="K361">
        <v>103.25</v>
      </c>
      <c r="L361">
        <v>151</v>
      </c>
      <c r="M361">
        <v>117</v>
      </c>
      <c r="N361">
        <v>249</v>
      </c>
      <c r="O361">
        <v>1193.5</v>
      </c>
    </row>
    <row r="362" spans="1:15" x14ac:dyDescent="0.25">
      <c r="A362" t="s">
        <v>590</v>
      </c>
      <c r="B362">
        <v>15</v>
      </c>
      <c r="C362">
        <v>3</v>
      </c>
      <c r="D362">
        <v>39</v>
      </c>
      <c r="E362">
        <v>20</v>
      </c>
      <c r="F362">
        <v>16</v>
      </c>
      <c r="G362">
        <v>11</v>
      </c>
      <c r="H362">
        <v>14</v>
      </c>
      <c r="I362">
        <v>3</v>
      </c>
      <c r="J362">
        <v>41.5</v>
      </c>
      <c r="K362">
        <v>25</v>
      </c>
      <c r="L362">
        <v>15</v>
      </c>
      <c r="M362">
        <v>24</v>
      </c>
      <c r="N362">
        <v>63.5</v>
      </c>
      <c r="O362">
        <v>226.5</v>
      </c>
    </row>
    <row r="363" spans="1:15" x14ac:dyDescent="0.25">
      <c r="A363" t="s">
        <v>971</v>
      </c>
      <c r="B363">
        <v>0</v>
      </c>
      <c r="C363">
        <v>0</v>
      </c>
      <c r="D363">
        <v>0</v>
      </c>
      <c r="E363">
        <v>7</v>
      </c>
      <c r="F363">
        <v>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-1</v>
      </c>
      <c r="N363">
        <v>41</v>
      </c>
      <c r="O363">
        <v>9</v>
      </c>
    </row>
    <row r="364" spans="1:15" x14ac:dyDescent="0.25">
      <c r="A364" t="s">
        <v>972</v>
      </c>
      <c r="B364">
        <v>2.5</v>
      </c>
      <c r="C364">
        <v>0</v>
      </c>
      <c r="D364">
        <v>4</v>
      </c>
      <c r="E364">
        <v>0</v>
      </c>
      <c r="F364">
        <v>4</v>
      </c>
      <c r="G364">
        <v>0</v>
      </c>
      <c r="H364">
        <v>3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206.75</v>
      </c>
      <c r="O364">
        <v>13.5</v>
      </c>
    </row>
    <row r="365" spans="1:15" x14ac:dyDescent="0.25">
      <c r="A365" t="s">
        <v>705</v>
      </c>
      <c r="B365">
        <v>0</v>
      </c>
      <c r="C365">
        <v>4</v>
      </c>
      <c r="D365">
        <v>0</v>
      </c>
      <c r="E365">
        <v>0</v>
      </c>
      <c r="F365">
        <v>0</v>
      </c>
      <c r="G365">
        <v>2</v>
      </c>
      <c r="H365">
        <v>0</v>
      </c>
      <c r="I365">
        <v>0</v>
      </c>
      <c r="J365">
        <v>0.5</v>
      </c>
      <c r="K365">
        <v>0</v>
      </c>
      <c r="L365">
        <v>0</v>
      </c>
      <c r="M365">
        <v>0</v>
      </c>
      <c r="N365">
        <v>207.75</v>
      </c>
      <c r="O365">
        <v>6.5</v>
      </c>
    </row>
    <row r="366" spans="1:15" x14ac:dyDescent="0.25">
      <c r="A366" t="s">
        <v>975</v>
      </c>
      <c r="B366">
        <v>6</v>
      </c>
      <c r="C366">
        <v>7</v>
      </c>
      <c r="D366">
        <v>0</v>
      </c>
      <c r="E366">
        <v>3</v>
      </c>
      <c r="F366">
        <v>3</v>
      </c>
      <c r="G366">
        <v>8</v>
      </c>
      <c r="H366">
        <v>0</v>
      </c>
      <c r="I366">
        <v>6</v>
      </c>
      <c r="J366">
        <v>0</v>
      </c>
      <c r="K366">
        <v>0</v>
      </c>
      <c r="L366">
        <v>5</v>
      </c>
      <c r="M366">
        <v>0</v>
      </c>
      <c r="N366">
        <v>129</v>
      </c>
      <c r="O366">
        <v>38</v>
      </c>
    </row>
    <row r="367" spans="1:15" x14ac:dyDescent="0.25">
      <c r="A367" t="s">
        <v>591</v>
      </c>
      <c r="B367">
        <v>15</v>
      </c>
      <c r="C367">
        <v>22</v>
      </c>
      <c r="D367">
        <v>20</v>
      </c>
      <c r="E367">
        <v>6</v>
      </c>
      <c r="F367">
        <v>37</v>
      </c>
      <c r="G367">
        <v>40</v>
      </c>
      <c r="H367">
        <v>42</v>
      </c>
      <c r="I367">
        <v>12</v>
      </c>
      <c r="J367">
        <v>15</v>
      </c>
      <c r="K367">
        <v>38</v>
      </c>
      <c r="L367">
        <v>12</v>
      </c>
      <c r="M367">
        <v>28</v>
      </c>
      <c r="N367">
        <v>135</v>
      </c>
      <c r="O367">
        <v>287</v>
      </c>
    </row>
    <row r="368" spans="1:15" x14ac:dyDescent="0.25">
      <c r="A368" t="s">
        <v>977</v>
      </c>
      <c r="B368">
        <v>2</v>
      </c>
      <c r="C368">
        <v>3</v>
      </c>
      <c r="D368">
        <v>2</v>
      </c>
      <c r="E368">
        <v>0</v>
      </c>
      <c r="F368">
        <v>5</v>
      </c>
      <c r="G368">
        <v>0</v>
      </c>
      <c r="H368">
        <v>11</v>
      </c>
      <c r="I368">
        <v>0</v>
      </c>
      <c r="J368">
        <v>0</v>
      </c>
      <c r="K368">
        <v>0</v>
      </c>
      <c r="L368">
        <v>3</v>
      </c>
      <c r="M368">
        <v>1</v>
      </c>
      <c r="N368">
        <v>19</v>
      </c>
      <c r="O368">
        <v>27</v>
      </c>
    </row>
    <row r="369" spans="1:15" x14ac:dyDescent="0.25">
      <c r="A369" t="s">
        <v>592</v>
      </c>
      <c r="B369">
        <v>0</v>
      </c>
      <c r="C369">
        <v>0</v>
      </c>
      <c r="D369">
        <v>10</v>
      </c>
      <c r="E369">
        <v>6</v>
      </c>
      <c r="F369">
        <v>2</v>
      </c>
      <c r="G369">
        <v>7</v>
      </c>
      <c r="H369">
        <v>8</v>
      </c>
      <c r="I369">
        <v>-4</v>
      </c>
      <c r="J369">
        <v>0</v>
      </c>
      <c r="K369">
        <v>0</v>
      </c>
      <c r="L369">
        <v>9</v>
      </c>
      <c r="M369">
        <v>7</v>
      </c>
      <c r="N369">
        <v>7.3</v>
      </c>
      <c r="O369">
        <v>45</v>
      </c>
    </row>
    <row r="370" spans="1:15" x14ac:dyDescent="0.25">
      <c r="A370" t="s">
        <v>739</v>
      </c>
      <c r="B370">
        <v>0</v>
      </c>
      <c r="C370">
        <v>0</v>
      </c>
      <c r="D370">
        <v>0</v>
      </c>
      <c r="E370">
        <v>4</v>
      </c>
      <c r="F370">
        <v>10</v>
      </c>
      <c r="G370">
        <v>-10</v>
      </c>
      <c r="H370">
        <v>2</v>
      </c>
      <c r="I370">
        <v>0</v>
      </c>
      <c r="J370">
        <v>0</v>
      </c>
      <c r="K370">
        <v>0</v>
      </c>
      <c r="L370">
        <v>0</v>
      </c>
      <c r="M370">
        <v>3</v>
      </c>
      <c r="N370">
        <v>51</v>
      </c>
      <c r="O370">
        <v>9</v>
      </c>
    </row>
    <row r="371" spans="1:15" x14ac:dyDescent="0.25">
      <c r="A371" t="s">
        <v>593</v>
      </c>
      <c r="B371">
        <v>16</v>
      </c>
      <c r="C371">
        <v>13</v>
      </c>
      <c r="D371">
        <v>16</v>
      </c>
      <c r="E371">
        <v>25</v>
      </c>
      <c r="F371">
        <v>15</v>
      </c>
      <c r="G371">
        <v>-3</v>
      </c>
      <c r="H371">
        <v>15</v>
      </c>
      <c r="I371">
        <v>9</v>
      </c>
      <c r="J371">
        <v>43</v>
      </c>
      <c r="K371">
        <v>17</v>
      </c>
      <c r="L371">
        <v>10</v>
      </c>
      <c r="M371">
        <v>30</v>
      </c>
      <c r="N371">
        <v>80</v>
      </c>
      <c r="O371">
        <v>206</v>
      </c>
    </row>
    <row r="372" spans="1:15" x14ac:dyDescent="0.25">
      <c r="A372" t="s">
        <v>979</v>
      </c>
      <c r="B372">
        <v>60.25</v>
      </c>
      <c r="C372">
        <v>116</v>
      </c>
      <c r="D372">
        <v>118</v>
      </c>
      <c r="E372">
        <v>83</v>
      </c>
      <c r="F372">
        <v>112</v>
      </c>
      <c r="G372">
        <v>142</v>
      </c>
      <c r="H372">
        <v>118</v>
      </c>
      <c r="I372">
        <v>41</v>
      </c>
      <c r="J372">
        <v>0</v>
      </c>
      <c r="K372">
        <v>128</v>
      </c>
      <c r="L372">
        <v>114</v>
      </c>
      <c r="M372">
        <v>78</v>
      </c>
      <c r="N372">
        <v>329.5</v>
      </c>
      <c r="O372">
        <v>1110.25</v>
      </c>
    </row>
    <row r="373" spans="1:15" x14ac:dyDescent="0.25">
      <c r="A373" t="s">
        <v>740</v>
      </c>
      <c r="B373">
        <v>0</v>
      </c>
      <c r="C373">
        <v>0</v>
      </c>
      <c r="D373">
        <v>0</v>
      </c>
      <c r="E373">
        <v>11</v>
      </c>
      <c r="F373">
        <v>2</v>
      </c>
      <c r="G373">
        <v>2</v>
      </c>
      <c r="H373">
        <v>0</v>
      </c>
      <c r="I373">
        <v>2</v>
      </c>
      <c r="J373">
        <v>2</v>
      </c>
      <c r="K373">
        <v>0</v>
      </c>
      <c r="L373">
        <v>0</v>
      </c>
      <c r="M373">
        <v>-3</v>
      </c>
      <c r="N373">
        <v>84</v>
      </c>
      <c r="O373">
        <v>16</v>
      </c>
    </row>
    <row r="374" spans="1:15" x14ac:dyDescent="0.25">
      <c r="A374" t="s">
        <v>594</v>
      </c>
      <c r="B374">
        <v>198</v>
      </c>
      <c r="C374">
        <v>466</v>
      </c>
      <c r="D374">
        <v>94</v>
      </c>
      <c r="E374">
        <v>20</v>
      </c>
      <c r="F374">
        <v>75</v>
      </c>
      <c r="G374">
        <v>177</v>
      </c>
      <c r="H374">
        <v>47</v>
      </c>
      <c r="I374">
        <v>34</v>
      </c>
      <c r="J374">
        <v>22</v>
      </c>
      <c r="K374">
        <v>181</v>
      </c>
      <c r="L374">
        <v>61</v>
      </c>
      <c r="M374">
        <v>85</v>
      </c>
      <c r="N374">
        <v>474</v>
      </c>
      <c r="O374">
        <v>1460</v>
      </c>
    </row>
    <row r="375" spans="1:15" x14ac:dyDescent="0.25">
      <c r="A375" t="s">
        <v>595</v>
      </c>
      <c r="B375">
        <v>233</v>
      </c>
      <c r="C375">
        <v>512</v>
      </c>
      <c r="D375">
        <v>44</v>
      </c>
      <c r="E375">
        <v>38</v>
      </c>
      <c r="F375">
        <v>90</v>
      </c>
      <c r="G375">
        <v>167</v>
      </c>
      <c r="H375">
        <v>68</v>
      </c>
      <c r="I375">
        <v>32</v>
      </c>
      <c r="J375">
        <v>50</v>
      </c>
      <c r="K375">
        <v>183</v>
      </c>
      <c r="L375">
        <v>102</v>
      </c>
      <c r="M375">
        <v>96</v>
      </c>
      <c r="N375">
        <v>449</v>
      </c>
      <c r="O375">
        <v>1615</v>
      </c>
    </row>
    <row r="376" spans="1:15" x14ac:dyDescent="0.25">
      <c r="A376" t="s">
        <v>596</v>
      </c>
      <c r="B376">
        <v>263</v>
      </c>
      <c r="C376">
        <v>180</v>
      </c>
      <c r="D376">
        <v>151</v>
      </c>
      <c r="E376">
        <v>75</v>
      </c>
      <c r="F376">
        <v>119</v>
      </c>
      <c r="G376">
        <v>213</v>
      </c>
      <c r="H376">
        <v>81</v>
      </c>
      <c r="I376">
        <v>83</v>
      </c>
      <c r="J376">
        <v>146</v>
      </c>
      <c r="K376">
        <v>260</v>
      </c>
      <c r="L376">
        <v>103</v>
      </c>
      <c r="M376">
        <v>201</v>
      </c>
      <c r="N376">
        <v>618</v>
      </c>
      <c r="O376">
        <v>1875</v>
      </c>
    </row>
    <row r="377" spans="1:15" x14ac:dyDescent="0.25">
      <c r="A377" t="s">
        <v>597</v>
      </c>
      <c r="B377">
        <v>414</v>
      </c>
      <c r="C377">
        <v>194</v>
      </c>
      <c r="D377">
        <v>136</v>
      </c>
      <c r="E377">
        <v>177</v>
      </c>
      <c r="F377">
        <v>145</v>
      </c>
      <c r="G377">
        <v>299</v>
      </c>
      <c r="H377">
        <v>130</v>
      </c>
      <c r="I377">
        <v>139</v>
      </c>
      <c r="J377">
        <v>191</v>
      </c>
      <c r="K377">
        <v>303</v>
      </c>
      <c r="L377">
        <v>158</v>
      </c>
      <c r="M377">
        <v>192</v>
      </c>
      <c r="N377">
        <v>935</v>
      </c>
      <c r="O377">
        <v>2478</v>
      </c>
    </row>
    <row r="378" spans="1:15" x14ac:dyDescent="0.25">
      <c r="A378" t="s">
        <v>598</v>
      </c>
      <c r="B378">
        <v>0</v>
      </c>
      <c r="C378">
        <v>0</v>
      </c>
      <c r="D378">
        <v>6</v>
      </c>
      <c r="E378">
        <v>17</v>
      </c>
      <c r="F378">
        <v>5</v>
      </c>
      <c r="G378">
        <v>13</v>
      </c>
      <c r="H378">
        <v>2</v>
      </c>
      <c r="I378">
        <v>25.75</v>
      </c>
      <c r="J378">
        <v>2</v>
      </c>
      <c r="K378">
        <v>17.5</v>
      </c>
      <c r="L378">
        <v>14.5</v>
      </c>
      <c r="M378">
        <v>5</v>
      </c>
      <c r="N378">
        <v>47.69</v>
      </c>
      <c r="O378">
        <v>107.75</v>
      </c>
    </row>
    <row r="379" spans="1:15" x14ac:dyDescent="0.25">
      <c r="A379" t="s">
        <v>741</v>
      </c>
      <c r="B379">
        <v>0</v>
      </c>
      <c r="C379">
        <v>1</v>
      </c>
      <c r="D379">
        <v>2</v>
      </c>
      <c r="E379">
        <v>0</v>
      </c>
      <c r="F379">
        <v>4</v>
      </c>
      <c r="G379">
        <v>2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6</v>
      </c>
      <c r="O379">
        <v>10</v>
      </c>
    </row>
    <row r="380" spans="1:15" x14ac:dyDescent="0.25">
      <c r="A380" t="s">
        <v>742</v>
      </c>
      <c r="B380">
        <v>0</v>
      </c>
      <c r="C380">
        <v>0</v>
      </c>
      <c r="D380">
        <v>0.25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-1</v>
      </c>
      <c r="M380">
        <v>0</v>
      </c>
      <c r="N380">
        <v>2.75</v>
      </c>
      <c r="O380">
        <v>-0.75</v>
      </c>
    </row>
    <row r="381" spans="1:15" x14ac:dyDescent="0.25">
      <c r="A381" t="s">
        <v>743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13</v>
      </c>
      <c r="O381">
        <v>0</v>
      </c>
    </row>
    <row r="382" spans="1:15" x14ac:dyDescent="0.25">
      <c r="A382" t="s">
        <v>599</v>
      </c>
      <c r="B382">
        <v>130</v>
      </c>
      <c r="C382">
        <v>19</v>
      </c>
      <c r="D382">
        <v>66</v>
      </c>
      <c r="E382">
        <v>36</v>
      </c>
      <c r="F382">
        <v>43</v>
      </c>
      <c r="G382">
        <v>124</v>
      </c>
      <c r="H382">
        <v>124</v>
      </c>
      <c r="I382">
        <v>183</v>
      </c>
      <c r="J382">
        <v>19</v>
      </c>
      <c r="K382">
        <v>57</v>
      </c>
      <c r="L382">
        <v>40</v>
      </c>
      <c r="M382">
        <v>22</v>
      </c>
      <c r="N382">
        <v>458</v>
      </c>
      <c r="O382">
        <v>863</v>
      </c>
    </row>
    <row r="383" spans="1:15" x14ac:dyDescent="0.25">
      <c r="A383" t="s">
        <v>998</v>
      </c>
      <c r="B383">
        <v>4</v>
      </c>
      <c r="C383">
        <v>0</v>
      </c>
      <c r="D383">
        <v>3</v>
      </c>
      <c r="E383">
        <v>4</v>
      </c>
      <c r="F383">
        <v>3</v>
      </c>
      <c r="G383">
        <v>0</v>
      </c>
      <c r="H383">
        <v>1</v>
      </c>
      <c r="I383">
        <v>10</v>
      </c>
      <c r="J383">
        <v>1</v>
      </c>
      <c r="K383">
        <v>10</v>
      </c>
      <c r="L383">
        <v>1</v>
      </c>
      <c r="M383">
        <v>2</v>
      </c>
      <c r="N383">
        <v>43</v>
      </c>
      <c r="O383">
        <v>39</v>
      </c>
    </row>
    <row r="384" spans="1:15" x14ac:dyDescent="0.25">
      <c r="A384" t="s">
        <v>999</v>
      </c>
      <c r="B384">
        <v>1</v>
      </c>
      <c r="C384">
        <v>0</v>
      </c>
      <c r="D384">
        <v>3</v>
      </c>
      <c r="E384">
        <v>0</v>
      </c>
      <c r="F384">
        <v>0</v>
      </c>
      <c r="G384">
        <v>0</v>
      </c>
      <c r="H384">
        <v>0</v>
      </c>
      <c r="I384">
        <v>7</v>
      </c>
      <c r="J384">
        <v>0</v>
      </c>
      <c r="K384">
        <v>1</v>
      </c>
      <c r="L384">
        <v>1</v>
      </c>
      <c r="M384">
        <v>0</v>
      </c>
      <c r="N384">
        <v>61</v>
      </c>
      <c r="O384">
        <v>13</v>
      </c>
    </row>
    <row r="385" spans="1:15" x14ac:dyDescent="0.25">
      <c r="A385" t="s">
        <v>1000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2</v>
      </c>
      <c r="H385">
        <v>0</v>
      </c>
      <c r="I385">
        <v>0</v>
      </c>
      <c r="J385">
        <v>1</v>
      </c>
      <c r="K385">
        <v>0</v>
      </c>
      <c r="L385">
        <v>2</v>
      </c>
      <c r="M385">
        <v>0</v>
      </c>
      <c r="N385">
        <v>29</v>
      </c>
      <c r="O385">
        <v>6</v>
      </c>
    </row>
    <row r="386" spans="1:15" x14ac:dyDescent="0.25">
      <c r="A386" t="s">
        <v>600</v>
      </c>
      <c r="B386">
        <v>154</v>
      </c>
      <c r="C386">
        <v>41</v>
      </c>
      <c r="D386">
        <v>79</v>
      </c>
      <c r="E386">
        <v>94</v>
      </c>
      <c r="F386">
        <v>29</v>
      </c>
      <c r="G386">
        <v>104</v>
      </c>
      <c r="H386">
        <v>136</v>
      </c>
      <c r="I386">
        <v>184</v>
      </c>
      <c r="J386">
        <v>88</v>
      </c>
      <c r="K386">
        <v>62</v>
      </c>
      <c r="L386">
        <v>12</v>
      </c>
      <c r="M386">
        <v>35</v>
      </c>
      <c r="N386">
        <v>468</v>
      </c>
      <c r="O386">
        <v>1018</v>
      </c>
    </row>
    <row r="387" spans="1:15" x14ac:dyDescent="0.25">
      <c r="A387" t="s">
        <v>1002</v>
      </c>
      <c r="B387">
        <v>9</v>
      </c>
      <c r="C387">
        <v>2</v>
      </c>
      <c r="D387">
        <v>0</v>
      </c>
      <c r="E387">
        <v>10</v>
      </c>
      <c r="F387">
        <v>3</v>
      </c>
      <c r="G387">
        <v>0</v>
      </c>
      <c r="H387">
        <v>1</v>
      </c>
      <c r="I387">
        <v>10</v>
      </c>
      <c r="J387">
        <v>8</v>
      </c>
      <c r="K387">
        <v>4</v>
      </c>
      <c r="L387">
        <v>1</v>
      </c>
      <c r="M387">
        <v>4</v>
      </c>
      <c r="N387">
        <v>31</v>
      </c>
      <c r="O387">
        <v>52</v>
      </c>
    </row>
    <row r="388" spans="1:15" x14ac:dyDescent="0.25">
      <c r="A388" t="s">
        <v>1003</v>
      </c>
      <c r="B388">
        <v>3</v>
      </c>
      <c r="C388">
        <v>4</v>
      </c>
      <c r="D388">
        <v>9</v>
      </c>
      <c r="E388">
        <v>1</v>
      </c>
      <c r="F388">
        <v>0</v>
      </c>
      <c r="G388">
        <v>1</v>
      </c>
      <c r="H388">
        <v>1</v>
      </c>
      <c r="I388">
        <v>7</v>
      </c>
      <c r="J388">
        <v>0</v>
      </c>
      <c r="K388">
        <v>4</v>
      </c>
      <c r="L388">
        <v>0</v>
      </c>
      <c r="M388">
        <v>1</v>
      </c>
      <c r="N388">
        <v>28</v>
      </c>
      <c r="O388">
        <v>31</v>
      </c>
    </row>
    <row r="389" spans="1:15" x14ac:dyDescent="0.25">
      <c r="A389" t="s">
        <v>1004</v>
      </c>
      <c r="B389">
        <v>0</v>
      </c>
      <c r="C389">
        <v>0</v>
      </c>
      <c r="D389">
        <v>0</v>
      </c>
      <c r="E389">
        <v>2</v>
      </c>
      <c r="F389">
        <v>0</v>
      </c>
      <c r="G389">
        <v>1</v>
      </c>
      <c r="H389">
        <v>0</v>
      </c>
      <c r="I389">
        <v>1</v>
      </c>
      <c r="J389">
        <v>1</v>
      </c>
      <c r="K389">
        <v>0</v>
      </c>
      <c r="L389">
        <v>0</v>
      </c>
      <c r="M389">
        <v>1</v>
      </c>
      <c r="N389">
        <v>22</v>
      </c>
      <c r="O389">
        <v>6</v>
      </c>
    </row>
    <row r="390" spans="1:15" x14ac:dyDescent="0.25">
      <c r="A390" t="s">
        <v>601</v>
      </c>
      <c r="B390">
        <v>57</v>
      </c>
      <c r="C390">
        <v>130</v>
      </c>
      <c r="D390">
        <v>64</v>
      </c>
      <c r="E390">
        <v>156</v>
      </c>
      <c r="F390">
        <v>61</v>
      </c>
      <c r="G390">
        <v>53</v>
      </c>
      <c r="H390">
        <v>154</v>
      </c>
      <c r="I390">
        <v>371</v>
      </c>
      <c r="J390">
        <v>70</v>
      </c>
      <c r="K390">
        <v>184</v>
      </c>
      <c r="L390">
        <v>62</v>
      </c>
      <c r="M390">
        <v>67</v>
      </c>
      <c r="N390">
        <v>547</v>
      </c>
      <c r="O390">
        <v>1429</v>
      </c>
    </row>
    <row r="391" spans="1:15" x14ac:dyDescent="0.25">
      <c r="A391" t="s">
        <v>1006</v>
      </c>
      <c r="B391">
        <v>7</v>
      </c>
      <c r="C391">
        <v>16</v>
      </c>
      <c r="D391">
        <v>7</v>
      </c>
      <c r="E391">
        <v>13</v>
      </c>
      <c r="F391">
        <v>11</v>
      </c>
      <c r="G391">
        <v>4</v>
      </c>
      <c r="H391">
        <v>6</v>
      </c>
      <c r="I391">
        <v>10</v>
      </c>
      <c r="J391">
        <v>0</v>
      </c>
      <c r="K391">
        <v>3</v>
      </c>
      <c r="L391">
        <v>2</v>
      </c>
      <c r="M391">
        <v>0</v>
      </c>
      <c r="N391">
        <v>255</v>
      </c>
      <c r="O391">
        <v>79</v>
      </c>
    </row>
    <row r="392" spans="1:15" x14ac:dyDescent="0.25">
      <c r="A392" t="s">
        <v>1007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6</v>
      </c>
      <c r="I392">
        <v>5</v>
      </c>
      <c r="J392">
        <v>0</v>
      </c>
      <c r="K392">
        <v>1</v>
      </c>
      <c r="L392">
        <v>0</v>
      </c>
      <c r="M392">
        <v>0</v>
      </c>
      <c r="N392">
        <v>28</v>
      </c>
      <c r="O392">
        <v>12</v>
      </c>
    </row>
    <row r="393" spans="1:15" x14ac:dyDescent="0.25">
      <c r="A393" t="s">
        <v>1008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18</v>
      </c>
      <c r="O393">
        <v>2</v>
      </c>
    </row>
    <row r="394" spans="1:15" x14ac:dyDescent="0.25">
      <c r="A394" t="s">
        <v>602</v>
      </c>
      <c r="B394">
        <v>136</v>
      </c>
      <c r="C394">
        <v>133</v>
      </c>
      <c r="D394">
        <v>99</v>
      </c>
      <c r="E394">
        <v>194</v>
      </c>
      <c r="F394">
        <v>49</v>
      </c>
      <c r="G394">
        <v>78</v>
      </c>
      <c r="H394">
        <v>174</v>
      </c>
      <c r="I394">
        <v>375</v>
      </c>
      <c r="J394">
        <v>74</v>
      </c>
      <c r="K394">
        <v>183</v>
      </c>
      <c r="L394">
        <v>76</v>
      </c>
      <c r="M394">
        <v>121</v>
      </c>
      <c r="N394">
        <v>494</v>
      </c>
      <c r="O394">
        <v>1692</v>
      </c>
    </row>
    <row r="395" spans="1:15" x14ac:dyDescent="0.25">
      <c r="A395" t="s">
        <v>1010</v>
      </c>
      <c r="B395">
        <v>7</v>
      </c>
      <c r="C395">
        <v>17</v>
      </c>
      <c r="D395">
        <v>8</v>
      </c>
      <c r="E395">
        <v>15</v>
      </c>
      <c r="F395">
        <v>6</v>
      </c>
      <c r="G395">
        <v>4</v>
      </c>
      <c r="H395">
        <v>6</v>
      </c>
      <c r="I395">
        <v>11</v>
      </c>
      <c r="J395">
        <v>0</v>
      </c>
      <c r="K395">
        <v>13</v>
      </c>
      <c r="L395">
        <v>4</v>
      </c>
      <c r="M395">
        <v>6</v>
      </c>
      <c r="N395">
        <v>226</v>
      </c>
      <c r="O395">
        <v>97</v>
      </c>
    </row>
    <row r="396" spans="1:15" x14ac:dyDescent="0.25">
      <c r="A396" t="s">
        <v>1011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6</v>
      </c>
      <c r="I396">
        <v>6</v>
      </c>
      <c r="J396">
        <v>0</v>
      </c>
      <c r="K396">
        <v>0</v>
      </c>
      <c r="L396">
        <v>0</v>
      </c>
      <c r="M396">
        <v>2</v>
      </c>
      <c r="N396">
        <v>26</v>
      </c>
      <c r="O396">
        <v>14</v>
      </c>
    </row>
    <row r="397" spans="1:15" x14ac:dyDescent="0.25">
      <c r="A397" t="s">
        <v>1012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18</v>
      </c>
      <c r="O397">
        <v>2</v>
      </c>
    </row>
    <row r="398" spans="1:15" x14ac:dyDescent="0.25">
      <c r="A398" t="s">
        <v>1013</v>
      </c>
      <c r="B398">
        <v>6</v>
      </c>
      <c r="C398">
        <v>5</v>
      </c>
      <c r="D398">
        <v>1</v>
      </c>
      <c r="E398">
        <v>12</v>
      </c>
      <c r="F398">
        <v>5</v>
      </c>
      <c r="G398">
        <v>8</v>
      </c>
      <c r="H398">
        <v>3</v>
      </c>
      <c r="I398">
        <v>0</v>
      </c>
      <c r="J398">
        <v>2</v>
      </c>
      <c r="K398">
        <v>7</v>
      </c>
      <c r="L398">
        <v>8</v>
      </c>
      <c r="M398">
        <v>1</v>
      </c>
      <c r="N398">
        <v>22</v>
      </c>
      <c r="O398">
        <v>58</v>
      </c>
    </row>
    <row r="399" spans="1:15" x14ac:dyDescent="0.25">
      <c r="A399" t="s">
        <v>1015</v>
      </c>
      <c r="B399">
        <v>5</v>
      </c>
      <c r="C399">
        <v>5</v>
      </c>
      <c r="D399">
        <v>3</v>
      </c>
      <c r="E399">
        <v>13</v>
      </c>
      <c r="F399">
        <v>14</v>
      </c>
      <c r="G399">
        <v>4</v>
      </c>
      <c r="H399">
        <v>4</v>
      </c>
      <c r="I399">
        <v>0</v>
      </c>
      <c r="J399">
        <v>5</v>
      </c>
      <c r="K399">
        <v>4</v>
      </c>
      <c r="L399">
        <v>8</v>
      </c>
      <c r="M399">
        <v>1</v>
      </c>
      <c r="N399">
        <v>26</v>
      </c>
      <c r="O399">
        <v>66</v>
      </c>
    </row>
    <row r="400" spans="1:15" x14ac:dyDescent="0.25">
      <c r="A400" t="s">
        <v>1023</v>
      </c>
      <c r="B400">
        <v>0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71.75</v>
      </c>
      <c r="O400">
        <v>2</v>
      </c>
    </row>
    <row r="401" spans="1:15" x14ac:dyDescent="0.25">
      <c r="A401" t="s">
        <v>1026</v>
      </c>
      <c r="B401">
        <v>26</v>
      </c>
      <c r="C401">
        <v>6</v>
      </c>
      <c r="D401">
        <v>10</v>
      </c>
      <c r="E401">
        <v>6</v>
      </c>
      <c r="F401">
        <v>16.5</v>
      </c>
      <c r="G401">
        <v>20</v>
      </c>
      <c r="H401">
        <v>18</v>
      </c>
      <c r="I401">
        <v>23</v>
      </c>
      <c r="J401">
        <v>6</v>
      </c>
      <c r="K401">
        <v>6</v>
      </c>
      <c r="L401">
        <v>18</v>
      </c>
      <c r="M401">
        <v>8</v>
      </c>
      <c r="N401">
        <v>55</v>
      </c>
      <c r="O401">
        <v>163.5</v>
      </c>
    </row>
    <row r="402" spans="1:15" x14ac:dyDescent="0.25">
      <c r="A402" t="s">
        <v>1027</v>
      </c>
      <c r="B402">
        <v>0</v>
      </c>
      <c r="C402">
        <v>2</v>
      </c>
      <c r="D402">
        <v>0</v>
      </c>
      <c r="E402">
        <v>0</v>
      </c>
      <c r="F402">
        <v>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76.75</v>
      </c>
      <c r="O402">
        <v>4</v>
      </c>
    </row>
    <row r="403" spans="1:15" x14ac:dyDescent="0.25">
      <c r="A403" t="s">
        <v>1029</v>
      </c>
      <c r="B403">
        <v>19</v>
      </c>
      <c r="C403">
        <v>5</v>
      </c>
      <c r="D403">
        <v>8</v>
      </c>
      <c r="E403">
        <v>4</v>
      </c>
      <c r="F403">
        <v>16</v>
      </c>
      <c r="G403">
        <v>18</v>
      </c>
      <c r="H403">
        <v>18</v>
      </c>
      <c r="I403">
        <v>17</v>
      </c>
      <c r="J403">
        <v>6</v>
      </c>
      <c r="K403">
        <v>10</v>
      </c>
      <c r="L403">
        <v>15</v>
      </c>
      <c r="M403">
        <v>6</v>
      </c>
      <c r="N403">
        <v>34.5</v>
      </c>
      <c r="O403">
        <v>142</v>
      </c>
    </row>
    <row r="404" spans="1:15" x14ac:dyDescent="0.25">
      <c r="A404" t="s">
        <v>604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2</v>
      </c>
      <c r="H404">
        <v>0</v>
      </c>
      <c r="I404">
        <v>0</v>
      </c>
      <c r="J404">
        <v>3</v>
      </c>
      <c r="K404">
        <v>2</v>
      </c>
      <c r="L404">
        <v>0</v>
      </c>
      <c r="M404">
        <v>0</v>
      </c>
      <c r="N404">
        <v>159</v>
      </c>
      <c r="O404">
        <v>8</v>
      </c>
    </row>
    <row r="405" spans="1:15" x14ac:dyDescent="0.25">
      <c r="A405" t="s">
        <v>605</v>
      </c>
      <c r="B405">
        <v>3</v>
      </c>
      <c r="C405">
        <v>0</v>
      </c>
      <c r="D405">
        <v>0</v>
      </c>
      <c r="E405">
        <v>0</v>
      </c>
      <c r="F405">
        <v>1</v>
      </c>
      <c r="G405">
        <v>2</v>
      </c>
      <c r="H405">
        <v>0</v>
      </c>
      <c r="I405">
        <v>0</v>
      </c>
      <c r="J405">
        <v>1</v>
      </c>
      <c r="K405">
        <v>2</v>
      </c>
      <c r="L405">
        <v>0</v>
      </c>
      <c r="M405">
        <v>0</v>
      </c>
      <c r="N405">
        <v>158.5</v>
      </c>
      <c r="O405">
        <v>9</v>
      </c>
    </row>
    <row r="406" spans="1:15" x14ac:dyDescent="0.25">
      <c r="A406" t="s">
        <v>606</v>
      </c>
      <c r="B406">
        <v>0</v>
      </c>
      <c r="C406">
        <v>0</v>
      </c>
      <c r="D406">
        <v>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</v>
      </c>
      <c r="N406">
        <v>274</v>
      </c>
      <c r="O406">
        <v>6</v>
      </c>
    </row>
    <row r="407" spans="1:15" x14ac:dyDescent="0.25">
      <c r="A407" t="s">
        <v>607</v>
      </c>
      <c r="B407">
        <v>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-5</v>
      </c>
      <c r="J407">
        <v>1</v>
      </c>
      <c r="K407">
        <v>3</v>
      </c>
      <c r="L407">
        <v>4</v>
      </c>
      <c r="M407">
        <v>6</v>
      </c>
      <c r="N407">
        <v>11</v>
      </c>
      <c r="O407">
        <v>11</v>
      </c>
    </row>
    <row r="408" spans="1:15" x14ac:dyDescent="0.25">
      <c r="A408" t="s">
        <v>1044</v>
      </c>
      <c r="B408">
        <v>5</v>
      </c>
      <c r="C408">
        <v>5</v>
      </c>
      <c r="D408">
        <v>16</v>
      </c>
      <c r="E408">
        <v>4</v>
      </c>
      <c r="F408">
        <v>2</v>
      </c>
      <c r="G408">
        <v>12</v>
      </c>
      <c r="H408">
        <v>0</v>
      </c>
      <c r="I408">
        <v>6</v>
      </c>
      <c r="J408">
        <v>0</v>
      </c>
      <c r="K408">
        <v>0</v>
      </c>
      <c r="L408">
        <v>0</v>
      </c>
      <c r="M408">
        <v>3</v>
      </c>
      <c r="N408">
        <v>37</v>
      </c>
      <c r="O408">
        <v>53</v>
      </c>
    </row>
    <row r="409" spans="1:15" x14ac:dyDescent="0.25">
      <c r="A409" t="s">
        <v>1045</v>
      </c>
      <c r="B409">
        <v>10</v>
      </c>
      <c r="C409">
        <v>1</v>
      </c>
      <c r="D409">
        <v>0</v>
      </c>
      <c r="E409">
        <v>10</v>
      </c>
      <c r="F409">
        <v>0</v>
      </c>
      <c r="G409">
        <v>9</v>
      </c>
      <c r="H409">
        <v>7</v>
      </c>
      <c r="I409">
        <v>-2</v>
      </c>
      <c r="J409">
        <v>2</v>
      </c>
      <c r="K409">
        <v>0</v>
      </c>
      <c r="L409">
        <v>1</v>
      </c>
      <c r="M409">
        <v>0</v>
      </c>
      <c r="N409">
        <v>27.25</v>
      </c>
      <c r="O409">
        <v>38</v>
      </c>
    </row>
    <row r="410" spans="1:15" x14ac:dyDescent="0.25">
      <c r="A410" t="s">
        <v>608</v>
      </c>
      <c r="B410">
        <v>0</v>
      </c>
      <c r="C410">
        <v>1</v>
      </c>
      <c r="D410">
        <v>0</v>
      </c>
      <c r="E410">
        <v>17</v>
      </c>
      <c r="F410">
        <v>41</v>
      </c>
      <c r="G410">
        <v>14</v>
      </c>
      <c r="H410">
        <v>6</v>
      </c>
      <c r="I410">
        <v>1</v>
      </c>
      <c r="J410">
        <v>13</v>
      </c>
      <c r="K410">
        <v>12</v>
      </c>
      <c r="L410">
        <v>18</v>
      </c>
      <c r="M410">
        <v>21</v>
      </c>
      <c r="N410">
        <v>50.75</v>
      </c>
      <c r="O410">
        <v>144</v>
      </c>
    </row>
    <row r="411" spans="1:15" x14ac:dyDescent="0.25">
      <c r="A411" t="s">
        <v>609</v>
      </c>
      <c r="B411">
        <v>80</v>
      </c>
      <c r="C411">
        <v>72</v>
      </c>
      <c r="D411">
        <v>91</v>
      </c>
      <c r="E411">
        <v>54</v>
      </c>
      <c r="F411">
        <v>36</v>
      </c>
      <c r="G411">
        <v>59</v>
      </c>
      <c r="H411">
        <v>25</v>
      </c>
      <c r="I411">
        <v>18</v>
      </c>
      <c r="J411">
        <v>21</v>
      </c>
      <c r="K411">
        <v>35</v>
      </c>
      <c r="L411">
        <v>23</v>
      </c>
      <c r="M411">
        <v>15</v>
      </c>
      <c r="N411">
        <v>525</v>
      </c>
      <c r="O411">
        <v>529</v>
      </c>
    </row>
    <row r="412" spans="1:15" x14ac:dyDescent="0.25">
      <c r="A412" t="s">
        <v>1046</v>
      </c>
      <c r="B412">
        <v>26</v>
      </c>
      <c r="C412">
        <v>18</v>
      </c>
      <c r="D412">
        <v>1</v>
      </c>
      <c r="E412">
        <v>7</v>
      </c>
      <c r="F412">
        <v>0</v>
      </c>
      <c r="G412">
        <v>5</v>
      </c>
      <c r="H412">
        <v>3</v>
      </c>
      <c r="I412">
        <v>-3</v>
      </c>
      <c r="J412">
        <v>4</v>
      </c>
      <c r="K412">
        <v>4</v>
      </c>
      <c r="L412">
        <v>5</v>
      </c>
      <c r="M412">
        <v>8</v>
      </c>
      <c r="N412">
        <v>53</v>
      </c>
      <c r="O412">
        <v>78</v>
      </c>
    </row>
    <row r="413" spans="1:15" x14ac:dyDescent="0.25">
      <c r="A413" t="s">
        <v>610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-1</v>
      </c>
      <c r="H413">
        <v>1</v>
      </c>
      <c r="I413">
        <v>-1</v>
      </c>
      <c r="J413">
        <v>1</v>
      </c>
      <c r="K413">
        <v>2</v>
      </c>
      <c r="L413">
        <v>2</v>
      </c>
      <c r="M413">
        <v>4</v>
      </c>
      <c r="N413">
        <v>32</v>
      </c>
      <c r="O413">
        <v>8</v>
      </c>
    </row>
    <row r="414" spans="1:15" x14ac:dyDescent="0.25">
      <c r="A414" t="s">
        <v>611</v>
      </c>
      <c r="B414">
        <v>0</v>
      </c>
      <c r="C414">
        <v>4</v>
      </c>
      <c r="D414">
        <v>16</v>
      </c>
      <c r="E414">
        <v>4</v>
      </c>
      <c r="F414">
        <v>4</v>
      </c>
      <c r="G414">
        <v>12</v>
      </c>
      <c r="H414">
        <v>1</v>
      </c>
      <c r="I414">
        <v>-1</v>
      </c>
      <c r="J414">
        <v>0</v>
      </c>
      <c r="K414">
        <v>2</v>
      </c>
      <c r="L414">
        <v>2</v>
      </c>
      <c r="M414">
        <v>3</v>
      </c>
      <c r="N414">
        <v>63</v>
      </c>
      <c r="O414">
        <v>47</v>
      </c>
    </row>
    <row r="415" spans="1:15" x14ac:dyDescent="0.25">
      <c r="A415" t="s">
        <v>1048</v>
      </c>
      <c r="B415">
        <v>19</v>
      </c>
      <c r="C415">
        <v>8</v>
      </c>
      <c r="D415">
        <v>0</v>
      </c>
      <c r="E415">
        <v>10</v>
      </c>
      <c r="F415">
        <v>0</v>
      </c>
      <c r="G415">
        <v>17</v>
      </c>
      <c r="H415">
        <v>5</v>
      </c>
      <c r="I415">
        <v>-4</v>
      </c>
      <c r="J415">
        <v>2</v>
      </c>
      <c r="K415">
        <v>0</v>
      </c>
      <c r="L415">
        <v>1</v>
      </c>
      <c r="M415">
        <v>0</v>
      </c>
      <c r="N415">
        <v>349</v>
      </c>
      <c r="O415">
        <v>58</v>
      </c>
    </row>
    <row r="416" spans="1:15" x14ac:dyDescent="0.25">
      <c r="A416" t="s">
        <v>612</v>
      </c>
      <c r="B416">
        <v>2</v>
      </c>
      <c r="C416">
        <v>13</v>
      </c>
      <c r="D416">
        <v>20</v>
      </c>
      <c r="E416">
        <v>63</v>
      </c>
      <c r="F416">
        <v>36</v>
      </c>
      <c r="G416">
        <v>16</v>
      </c>
      <c r="H416">
        <v>6</v>
      </c>
      <c r="I416">
        <v>6</v>
      </c>
      <c r="J416">
        <v>16</v>
      </c>
      <c r="K416">
        <v>14</v>
      </c>
      <c r="L416">
        <v>14</v>
      </c>
      <c r="M416">
        <v>25</v>
      </c>
      <c r="N416">
        <v>50</v>
      </c>
      <c r="O416">
        <v>231</v>
      </c>
    </row>
    <row r="417" spans="1:15" x14ac:dyDescent="0.25">
      <c r="A417" t="s">
        <v>613</v>
      </c>
      <c r="B417">
        <v>115</v>
      </c>
      <c r="C417">
        <v>82</v>
      </c>
      <c r="D417">
        <v>76</v>
      </c>
      <c r="E417">
        <v>50</v>
      </c>
      <c r="F417">
        <v>36</v>
      </c>
      <c r="G417">
        <v>59</v>
      </c>
      <c r="H417">
        <v>19</v>
      </c>
      <c r="I417">
        <v>18</v>
      </c>
      <c r="J417">
        <v>32</v>
      </c>
      <c r="K417">
        <v>28</v>
      </c>
      <c r="L417">
        <v>26</v>
      </c>
      <c r="M417">
        <v>16</v>
      </c>
      <c r="N417">
        <v>427</v>
      </c>
      <c r="O417">
        <v>557</v>
      </c>
    </row>
    <row r="418" spans="1:15" x14ac:dyDescent="0.25">
      <c r="A418" t="s">
        <v>1049</v>
      </c>
      <c r="B418">
        <v>0</v>
      </c>
      <c r="C418">
        <v>10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-5</v>
      </c>
      <c r="J418">
        <v>5</v>
      </c>
      <c r="K418">
        <v>21</v>
      </c>
      <c r="L418">
        <v>2</v>
      </c>
      <c r="M418">
        <v>13</v>
      </c>
      <c r="N418">
        <v>57</v>
      </c>
      <c r="O418">
        <v>46</v>
      </c>
    </row>
    <row r="419" spans="1:15" x14ac:dyDescent="0.25">
      <c r="A419" t="s">
        <v>1051</v>
      </c>
      <c r="B419">
        <v>173</v>
      </c>
      <c r="C419">
        <v>168</v>
      </c>
      <c r="D419">
        <v>84</v>
      </c>
      <c r="E419">
        <v>51</v>
      </c>
      <c r="F419">
        <v>37</v>
      </c>
      <c r="G419">
        <v>47</v>
      </c>
      <c r="H419">
        <v>109</v>
      </c>
      <c r="I419">
        <v>24</v>
      </c>
      <c r="J419">
        <v>31</v>
      </c>
      <c r="K419">
        <v>41</v>
      </c>
      <c r="L419">
        <v>25</v>
      </c>
      <c r="M419">
        <v>73</v>
      </c>
      <c r="N419">
        <v>247</v>
      </c>
      <c r="O419">
        <v>863</v>
      </c>
    </row>
    <row r="420" spans="1:15" x14ac:dyDescent="0.25">
      <c r="A420" t="s">
        <v>1053</v>
      </c>
      <c r="B420">
        <v>191</v>
      </c>
      <c r="C420">
        <v>160</v>
      </c>
      <c r="D420">
        <v>104</v>
      </c>
      <c r="E420">
        <v>52</v>
      </c>
      <c r="F420">
        <v>44</v>
      </c>
      <c r="G420">
        <v>29</v>
      </c>
      <c r="H420">
        <v>113</v>
      </c>
      <c r="I420">
        <v>19</v>
      </c>
      <c r="J420">
        <v>32</v>
      </c>
      <c r="K420">
        <v>67</v>
      </c>
      <c r="L420">
        <v>46</v>
      </c>
      <c r="M420">
        <v>47</v>
      </c>
      <c r="N420">
        <v>243</v>
      </c>
      <c r="O420">
        <v>904</v>
      </c>
    </row>
    <row r="421" spans="1:15" x14ac:dyDescent="0.25">
      <c r="A421" t="s">
        <v>791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25">
      <c r="A422" t="s">
        <v>790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25">
      <c r="A423" t="s">
        <v>980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54</v>
      </c>
      <c r="O423">
        <v>0</v>
      </c>
    </row>
    <row r="424" spans="1:15" x14ac:dyDescent="0.25">
      <c r="A424" t="s">
        <v>982</v>
      </c>
      <c r="B424">
        <v>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6</v>
      </c>
      <c r="J424">
        <v>0</v>
      </c>
      <c r="K424">
        <v>0</v>
      </c>
      <c r="L424">
        <v>0</v>
      </c>
      <c r="M424">
        <v>0</v>
      </c>
      <c r="N424">
        <v>26</v>
      </c>
      <c r="O424">
        <v>12</v>
      </c>
    </row>
    <row r="425" spans="1:15" x14ac:dyDescent="0.25">
      <c r="A425" t="s">
        <v>984</v>
      </c>
      <c r="B425">
        <v>29</v>
      </c>
      <c r="C425">
        <v>32</v>
      </c>
      <c r="D425">
        <v>0</v>
      </c>
      <c r="E425">
        <v>16</v>
      </c>
      <c r="F425">
        <v>0</v>
      </c>
      <c r="G425">
        <v>24</v>
      </c>
      <c r="H425">
        <v>4</v>
      </c>
      <c r="I425">
        <v>16</v>
      </c>
      <c r="J425">
        <v>24</v>
      </c>
      <c r="K425">
        <v>0</v>
      </c>
      <c r="L425">
        <v>24</v>
      </c>
      <c r="M425">
        <v>32</v>
      </c>
      <c r="N425">
        <v>210</v>
      </c>
      <c r="O425">
        <v>201</v>
      </c>
    </row>
    <row r="426" spans="1:15" x14ac:dyDescent="0.25">
      <c r="A426" t="s">
        <v>986</v>
      </c>
      <c r="B426">
        <v>32</v>
      </c>
      <c r="C426">
        <v>0</v>
      </c>
      <c r="D426">
        <v>0</v>
      </c>
      <c r="E426">
        <v>0</v>
      </c>
      <c r="F426">
        <v>0</v>
      </c>
      <c r="G426">
        <v>24</v>
      </c>
      <c r="H426">
        <v>3</v>
      </c>
      <c r="I426">
        <v>0</v>
      </c>
      <c r="J426">
        <v>0</v>
      </c>
      <c r="K426">
        <v>0</v>
      </c>
      <c r="L426">
        <v>16</v>
      </c>
      <c r="M426">
        <v>24</v>
      </c>
      <c r="N426">
        <v>190</v>
      </c>
      <c r="O426">
        <v>99</v>
      </c>
    </row>
    <row r="427" spans="1:15" x14ac:dyDescent="0.25">
      <c r="A427" t="s">
        <v>989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22</v>
      </c>
      <c r="H427">
        <v>32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405</v>
      </c>
      <c r="O427">
        <v>54</v>
      </c>
    </row>
    <row r="428" spans="1:15" x14ac:dyDescent="0.25">
      <c r="A428" t="s">
        <v>988</v>
      </c>
      <c r="B428">
        <v>331</v>
      </c>
      <c r="C428">
        <v>446</v>
      </c>
      <c r="D428">
        <v>476</v>
      </c>
      <c r="E428">
        <v>343</v>
      </c>
      <c r="F428">
        <v>252</v>
      </c>
      <c r="G428">
        <v>530</v>
      </c>
      <c r="H428">
        <v>139</v>
      </c>
      <c r="I428">
        <v>172</v>
      </c>
      <c r="J428">
        <v>348</v>
      </c>
      <c r="K428">
        <v>592</v>
      </c>
      <c r="L428">
        <v>180</v>
      </c>
      <c r="M428">
        <v>104</v>
      </c>
      <c r="N428">
        <v>945</v>
      </c>
      <c r="O428">
        <v>3913</v>
      </c>
    </row>
    <row r="429" spans="1:15" x14ac:dyDescent="0.25">
      <c r="A429" t="s">
        <v>990</v>
      </c>
      <c r="B429">
        <v>15</v>
      </c>
      <c r="C429">
        <v>8</v>
      </c>
      <c r="D429">
        <v>4</v>
      </c>
      <c r="E429">
        <v>0</v>
      </c>
      <c r="F429">
        <v>4</v>
      </c>
      <c r="G429">
        <v>13</v>
      </c>
      <c r="H429">
        <v>16</v>
      </c>
      <c r="I429">
        <v>0</v>
      </c>
      <c r="J429">
        <v>12</v>
      </c>
      <c r="K429">
        <v>8</v>
      </c>
      <c r="L429">
        <v>8</v>
      </c>
      <c r="M429">
        <v>0</v>
      </c>
      <c r="N429">
        <v>224</v>
      </c>
      <c r="O429">
        <v>88</v>
      </c>
    </row>
    <row r="430" spans="1:15" x14ac:dyDescent="0.25">
      <c r="A430" t="s">
        <v>1017</v>
      </c>
      <c r="B430">
        <v>224</v>
      </c>
      <c r="C430">
        <v>170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2</v>
      </c>
      <c r="O430">
        <v>394</v>
      </c>
    </row>
    <row r="431" spans="1:15" x14ac:dyDescent="0.25">
      <c r="A431" t="s">
        <v>1019</v>
      </c>
      <c r="B431">
        <v>16</v>
      </c>
      <c r="C431">
        <v>25</v>
      </c>
      <c r="D431">
        <v>32</v>
      </c>
      <c r="E431">
        <v>20</v>
      </c>
      <c r="F431">
        <v>0</v>
      </c>
      <c r="G431">
        <v>0</v>
      </c>
      <c r="H431">
        <v>6</v>
      </c>
      <c r="I431">
        <v>4</v>
      </c>
      <c r="J431">
        <v>0</v>
      </c>
      <c r="K431">
        <v>0</v>
      </c>
      <c r="L431">
        <v>0</v>
      </c>
      <c r="M431">
        <v>0</v>
      </c>
      <c r="N431">
        <v>271</v>
      </c>
      <c r="O431">
        <v>103</v>
      </c>
    </row>
    <row r="432" spans="1:15" x14ac:dyDescent="0.25">
      <c r="A432" t="s">
        <v>1021</v>
      </c>
      <c r="B432">
        <v>0</v>
      </c>
      <c r="C432">
        <v>16</v>
      </c>
      <c r="D432">
        <v>16</v>
      </c>
      <c r="E432">
        <v>12</v>
      </c>
      <c r="F432">
        <v>0</v>
      </c>
      <c r="G432">
        <v>0</v>
      </c>
      <c r="H432">
        <v>4</v>
      </c>
      <c r="I432">
        <v>40</v>
      </c>
      <c r="J432">
        <v>0</v>
      </c>
      <c r="K432">
        <v>0</v>
      </c>
      <c r="L432">
        <v>0</v>
      </c>
      <c r="M432">
        <v>0</v>
      </c>
      <c r="N432">
        <v>375</v>
      </c>
      <c r="O432">
        <v>88</v>
      </c>
    </row>
    <row r="433" spans="1:15" x14ac:dyDescent="0.25">
      <c r="A433" t="s">
        <v>603</v>
      </c>
      <c r="B433">
        <v>1361</v>
      </c>
      <c r="C433">
        <v>16</v>
      </c>
      <c r="D433">
        <v>4495</v>
      </c>
      <c r="E433">
        <v>2066</v>
      </c>
      <c r="F433">
        <v>176</v>
      </c>
      <c r="G433">
        <v>3</v>
      </c>
      <c r="H433">
        <v>3140</v>
      </c>
      <c r="I433">
        <v>253</v>
      </c>
      <c r="J433">
        <v>382</v>
      </c>
      <c r="K433">
        <v>806</v>
      </c>
      <c r="L433">
        <v>772</v>
      </c>
      <c r="M433">
        <v>679</v>
      </c>
      <c r="N433">
        <v>1776</v>
      </c>
      <c r="O433">
        <v>14149</v>
      </c>
    </row>
    <row r="434" spans="1:15" x14ac:dyDescent="0.25">
      <c r="A434" t="s">
        <v>1020</v>
      </c>
      <c r="B434">
        <v>276</v>
      </c>
      <c r="C434">
        <v>313</v>
      </c>
      <c r="D434">
        <v>268</v>
      </c>
      <c r="E434">
        <v>96</v>
      </c>
      <c r="F434">
        <v>96</v>
      </c>
      <c r="G434">
        <v>300</v>
      </c>
      <c r="H434">
        <v>16</v>
      </c>
      <c r="I434">
        <v>72</v>
      </c>
      <c r="J434">
        <v>52</v>
      </c>
      <c r="K434">
        <v>16</v>
      </c>
      <c r="L434">
        <v>8</v>
      </c>
      <c r="M434">
        <v>41</v>
      </c>
      <c r="N434">
        <v>1019</v>
      </c>
      <c r="O434">
        <v>1554</v>
      </c>
    </row>
    <row r="435" spans="1:15" x14ac:dyDescent="0.25">
      <c r="A435" t="s">
        <v>1022</v>
      </c>
      <c r="B435">
        <v>16</v>
      </c>
      <c r="C435">
        <v>8</v>
      </c>
      <c r="D435">
        <v>0</v>
      </c>
      <c r="E435">
        <v>1</v>
      </c>
      <c r="F435">
        <v>0</v>
      </c>
      <c r="G435">
        <v>0</v>
      </c>
      <c r="H435">
        <v>16</v>
      </c>
      <c r="I435">
        <v>8</v>
      </c>
      <c r="J435">
        <v>0</v>
      </c>
      <c r="K435">
        <v>0</v>
      </c>
      <c r="L435">
        <v>0</v>
      </c>
      <c r="M435">
        <v>0</v>
      </c>
      <c r="N435">
        <v>51</v>
      </c>
      <c r="O435">
        <v>49</v>
      </c>
    </row>
    <row r="436" spans="1:15" x14ac:dyDescent="0.25">
      <c r="A436" t="s">
        <v>1033</v>
      </c>
      <c r="B436">
        <v>104</v>
      </c>
      <c r="C436">
        <v>12</v>
      </c>
      <c r="D436">
        <v>8</v>
      </c>
      <c r="E436">
        <v>0</v>
      </c>
      <c r="F436">
        <v>0</v>
      </c>
      <c r="G436">
        <v>32</v>
      </c>
      <c r="H436">
        <v>8</v>
      </c>
      <c r="I436">
        <v>8</v>
      </c>
      <c r="J436">
        <v>8</v>
      </c>
      <c r="K436">
        <v>0</v>
      </c>
      <c r="L436">
        <v>32</v>
      </c>
      <c r="M436">
        <v>8</v>
      </c>
      <c r="N436">
        <v>279</v>
      </c>
      <c r="O436">
        <v>220</v>
      </c>
    </row>
    <row r="437" spans="1:15" x14ac:dyDescent="0.25">
      <c r="A437" t="s">
        <v>1035</v>
      </c>
      <c r="B437">
        <v>124</v>
      </c>
      <c r="C437">
        <v>196</v>
      </c>
      <c r="D437">
        <v>112</v>
      </c>
      <c r="E437">
        <v>232</v>
      </c>
      <c r="F437">
        <v>64</v>
      </c>
      <c r="G437">
        <v>144</v>
      </c>
      <c r="H437">
        <v>88</v>
      </c>
      <c r="I437">
        <v>136</v>
      </c>
      <c r="J437">
        <v>196</v>
      </c>
      <c r="K437">
        <v>24</v>
      </c>
      <c r="L437">
        <v>32</v>
      </c>
      <c r="M437">
        <v>32</v>
      </c>
      <c r="N437">
        <v>888</v>
      </c>
      <c r="O437">
        <v>1380</v>
      </c>
    </row>
    <row r="438" spans="1:15" x14ac:dyDescent="0.25">
      <c r="A438" t="s">
        <v>1036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 t="s">
        <v>1038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25">
      <c r="A440" t="s">
        <v>1040</v>
      </c>
      <c r="B440">
        <v>44</v>
      </c>
      <c r="C440">
        <v>8</v>
      </c>
      <c r="D440">
        <v>0</v>
      </c>
      <c r="E440">
        <v>0</v>
      </c>
      <c r="F440">
        <v>16</v>
      </c>
      <c r="G440">
        <v>0</v>
      </c>
      <c r="H440">
        <v>8</v>
      </c>
      <c r="I440">
        <v>16</v>
      </c>
      <c r="J440">
        <v>16</v>
      </c>
      <c r="K440">
        <v>8</v>
      </c>
      <c r="L440">
        <v>0</v>
      </c>
      <c r="M440">
        <v>0</v>
      </c>
      <c r="N440">
        <v>63</v>
      </c>
      <c r="O440">
        <v>116</v>
      </c>
    </row>
    <row r="441" spans="1:15" x14ac:dyDescent="0.25">
      <c r="A441" t="s">
        <v>1042</v>
      </c>
      <c r="B441">
        <v>149</v>
      </c>
      <c r="C441">
        <v>202</v>
      </c>
      <c r="D441">
        <v>277</v>
      </c>
      <c r="E441">
        <v>156</v>
      </c>
      <c r="F441">
        <v>190</v>
      </c>
      <c r="G441">
        <v>30</v>
      </c>
      <c r="H441">
        <v>48</v>
      </c>
      <c r="I441">
        <v>22</v>
      </c>
      <c r="J441">
        <v>59</v>
      </c>
      <c r="K441">
        <v>86</v>
      </c>
      <c r="L441">
        <v>50</v>
      </c>
      <c r="M441">
        <v>68</v>
      </c>
      <c r="N441">
        <v>633</v>
      </c>
      <c r="O441">
        <v>1337</v>
      </c>
    </row>
    <row r="442" spans="1:15" x14ac:dyDescent="0.25">
      <c r="A442" t="s">
        <v>614</v>
      </c>
      <c r="B442">
        <v>32</v>
      </c>
      <c r="C442">
        <v>0</v>
      </c>
      <c r="D442">
        <v>40</v>
      </c>
      <c r="E442">
        <v>12</v>
      </c>
      <c r="F442">
        <v>12</v>
      </c>
      <c r="G442">
        <v>208</v>
      </c>
      <c r="H442">
        <v>187</v>
      </c>
      <c r="I442">
        <v>478</v>
      </c>
      <c r="J442">
        <v>196</v>
      </c>
      <c r="K442">
        <v>16</v>
      </c>
      <c r="L442">
        <v>2</v>
      </c>
      <c r="M442">
        <v>0</v>
      </c>
      <c r="N442">
        <v>0</v>
      </c>
      <c r="O442">
        <v>1183</v>
      </c>
    </row>
    <row r="443" spans="1:15" x14ac:dyDescent="0.25">
      <c r="A443" t="s">
        <v>615</v>
      </c>
      <c r="B443">
        <v>404</v>
      </c>
      <c r="C443">
        <v>1040</v>
      </c>
      <c r="D443">
        <v>990</v>
      </c>
      <c r="E443">
        <v>260</v>
      </c>
      <c r="F443">
        <v>465</v>
      </c>
      <c r="G443">
        <v>388</v>
      </c>
      <c r="H443">
        <v>12</v>
      </c>
      <c r="I443">
        <v>2</v>
      </c>
      <c r="J443">
        <v>0</v>
      </c>
      <c r="K443">
        <v>472</v>
      </c>
      <c r="L443">
        <v>0</v>
      </c>
      <c r="M443">
        <v>0</v>
      </c>
      <c r="N443">
        <v>0</v>
      </c>
      <c r="O443">
        <v>4033</v>
      </c>
    </row>
    <row r="444" spans="1:15" x14ac:dyDescent="0.25">
      <c r="A444" t="s">
        <v>1055</v>
      </c>
      <c r="B444">
        <v>28</v>
      </c>
      <c r="C444">
        <v>16</v>
      </c>
      <c r="D444">
        <v>12</v>
      </c>
      <c r="E444">
        <v>20</v>
      </c>
      <c r="F444">
        <v>0</v>
      </c>
      <c r="G444">
        <v>0</v>
      </c>
      <c r="H444">
        <v>0</v>
      </c>
      <c r="I444">
        <v>16</v>
      </c>
      <c r="J444">
        <v>8</v>
      </c>
      <c r="K444">
        <v>8</v>
      </c>
      <c r="L444">
        <v>0</v>
      </c>
      <c r="M444">
        <v>0</v>
      </c>
      <c r="N444">
        <v>128</v>
      </c>
      <c r="O444">
        <v>108</v>
      </c>
    </row>
    <row r="445" spans="1:15" x14ac:dyDescent="0.25">
      <c r="A445" t="s">
        <v>1058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300</v>
      </c>
      <c r="O445">
        <v>0</v>
      </c>
    </row>
    <row r="446" spans="1:15" x14ac:dyDescent="0.25">
      <c r="A446" t="s">
        <v>1060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215</v>
      </c>
      <c r="O446">
        <v>0</v>
      </c>
    </row>
    <row r="447" spans="1:15" x14ac:dyDescent="0.25">
      <c r="A447" t="s">
        <v>1057</v>
      </c>
      <c r="B447">
        <v>132</v>
      </c>
      <c r="C447">
        <v>160</v>
      </c>
      <c r="D447">
        <v>92</v>
      </c>
      <c r="E447">
        <v>62</v>
      </c>
      <c r="F447">
        <v>-50</v>
      </c>
      <c r="G447">
        <v>112</v>
      </c>
      <c r="H447">
        <v>25</v>
      </c>
      <c r="I447">
        <v>33</v>
      </c>
      <c r="J447">
        <v>56</v>
      </c>
      <c r="K447">
        <v>48</v>
      </c>
      <c r="L447">
        <v>12</v>
      </c>
      <c r="M447">
        <v>8</v>
      </c>
      <c r="N447">
        <v>474</v>
      </c>
      <c r="O447">
        <v>690</v>
      </c>
    </row>
    <row r="448" spans="1:15" x14ac:dyDescent="0.25">
      <c r="A448" t="s">
        <v>1059</v>
      </c>
      <c r="B448">
        <v>0</v>
      </c>
      <c r="C448">
        <v>0</v>
      </c>
      <c r="D448">
        <v>8</v>
      </c>
      <c r="E448">
        <v>6</v>
      </c>
      <c r="F448">
        <v>0</v>
      </c>
      <c r="G448">
        <v>0</v>
      </c>
      <c r="H448">
        <v>12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114</v>
      </c>
      <c r="O448">
        <v>26</v>
      </c>
    </row>
    <row r="449" spans="1:15" x14ac:dyDescent="0.25">
      <c r="A449" t="s">
        <v>1061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72</v>
      </c>
      <c r="O449">
        <v>0</v>
      </c>
    </row>
    <row r="450" spans="1:15" x14ac:dyDescent="0.25">
      <c r="A450" t="s">
        <v>1062</v>
      </c>
      <c r="B450">
        <v>0</v>
      </c>
      <c r="C450">
        <v>16</v>
      </c>
      <c r="D450">
        <v>0</v>
      </c>
      <c r="E450">
        <v>20</v>
      </c>
      <c r="F450">
        <v>0</v>
      </c>
      <c r="G450">
        <v>8</v>
      </c>
      <c r="H450">
        <v>24</v>
      </c>
      <c r="I450">
        <v>40</v>
      </c>
      <c r="J450">
        <v>7</v>
      </c>
      <c r="K450">
        <v>0</v>
      </c>
      <c r="L450">
        <v>12</v>
      </c>
      <c r="M450">
        <v>0</v>
      </c>
      <c r="N450">
        <v>73</v>
      </c>
      <c r="O450">
        <v>127</v>
      </c>
    </row>
    <row r="451" spans="1:15" x14ac:dyDescent="0.25">
      <c r="A451" t="s">
        <v>1065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268</v>
      </c>
      <c r="O451">
        <v>0</v>
      </c>
    </row>
    <row r="452" spans="1:15" x14ac:dyDescent="0.25">
      <c r="A452" t="s">
        <v>1067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244</v>
      </c>
      <c r="O452">
        <v>0</v>
      </c>
    </row>
    <row r="453" spans="1:15" x14ac:dyDescent="0.25">
      <c r="A453" t="s">
        <v>1064</v>
      </c>
      <c r="B453">
        <v>184</v>
      </c>
      <c r="C453">
        <v>185</v>
      </c>
      <c r="D453">
        <v>84</v>
      </c>
      <c r="E453">
        <v>52</v>
      </c>
      <c r="F453">
        <v>56</v>
      </c>
      <c r="G453">
        <v>107</v>
      </c>
      <c r="H453">
        <v>0</v>
      </c>
      <c r="I453">
        <v>0</v>
      </c>
      <c r="J453">
        <v>0</v>
      </c>
      <c r="K453">
        <v>72</v>
      </c>
      <c r="L453">
        <v>12</v>
      </c>
      <c r="M453">
        <v>16</v>
      </c>
      <c r="N453">
        <v>284</v>
      </c>
      <c r="O453">
        <v>768</v>
      </c>
    </row>
    <row r="454" spans="1:15" x14ac:dyDescent="0.25">
      <c r="A454" t="s">
        <v>1066</v>
      </c>
      <c r="B454">
        <v>0</v>
      </c>
      <c r="C454">
        <v>0</v>
      </c>
      <c r="D454">
        <v>8</v>
      </c>
      <c r="E454">
        <v>0</v>
      </c>
      <c r="F454">
        <v>0</v>
      </c>
      <c r="G454">
        <v>0</v>
      </c>
      <c r="H454">
        <v>13</v>
      </c>
      <c r="I454">
        <v>0</v>
      </c>
      <c r="J454">
        <v>8</v>
      </c>
      <c r="K454">
        <v>0</v>
      </c>
      <c r="L454">
        <v>0</v>
      </c>
      <c r="M454">
        <v>0</v>
      </c>
      <c r="N454">
        <v>91</v>
      </c>
      <c r="O454">
        <v>29</v>
      </c>
    </row>
    <row r="455" spans="1:15" x14ac:dyDescent="0.25">
      <c r="A455" t="s">
        <v>1068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4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109</v>
      </c>
      <c r="O455">
        <v>4</v>
      </c>
    </row>
    <row r="456" spans="1:15" x14ac:dyDescent="0.25">
      <c r="A456" t="s">
        <v>733</v>
      </c>
      <c r="B456">
        <v>35</v>
      </c>
      <c r="C456">
        <v>22</v>
      </c>
      <c r="D456">
        <v>17</v>
      </c>
      <c r="E456">
        <v>26</v>
      </c>
      <c r="F456">
        <v>23</v>
      </c>
      <c r="G456">
        <v>8</v>
      </c>
      <c r="H456">
        <v>2</v>
      </c>
      <c r="I456">
        <v>23</v>
      </c>
      <c r="J456">
        <v>6</v>
      </c>
      <c r="K456">
        <v>25</v>
      </c>
      <c r="L456">
        <v>18</v>
      </c>
      <c r="M456">
        <v>6</v>
      </c>
      <c r="N456">
        <v>94</v>
      </c>
      <c r="O456">
        <v>211</v>
      </c>
    </row>
    <row r="457" spans="1:15" x14ac:dyDescent="0.25">
      <c r="A457" t="s">
        <v>1075</v>
      </c>
      <c r="B457">
        <v>1</v>
      </c>
      <c r="C457">
        <v>10</v>
      </c>
      <c r="D457">
        <v>16</v>
      </c>
      <c r="E457">
        <v>5</v>
      </c>
      <c r="F457">
        <v>10</v>
      </c>
      <c r="G457">
        <v>6</v>
      </c>
      <c r="H457">
        <v>4</v>
      </c>
      <c r="I457">
        <v>-4</v>
      </c>
      <c r="J457">
        <v>22</v>
      </c>
      <c r="K457">
        <v>5</v>
      </c>
      <c r="L457">
        <v>4</v>
      </c>
      <c r="M457">
        <v>0</v>
      </c>
      <c r="N457">
        <v>12</v>
      </c>
      <c r="O457">
        <v>79</v>
      </c>
    </row>
    <row r="458" spans="1:15" x14ac:dyDescent="0.25">
      <c r="A458" t="s">
        <v>732</v>
      </c>
      <c r="B458">
        <v>23</v>
      </c>
      <c r="C458">
        <v>7</v>
      </c>
      <c r="D458">
        <v>17</v>
      </c>
      <c r="E458">
        <v>21</v>
      </c>
      <c r="F458">
        <v>13</v>
      </c>
      <c r="G458">
        <v>10</v>
      </c>
      <c r="H458">
        <v>6</v>
      </c>
      <c r="I458">
        <v>16</v>
      </c>
      <c r="J458">
        <v>11</v>
      </c>
      <c r="K458">
        <v>25</v>
      </c>
      <c r="L458">
        <v>23</v>
      </c>
      <c r="M458">
        <v>13</v>
      </c>
      <c r="N458">
        <v>61.5</v>
      </c>
      <c r="O458">
        <v>185</v>
      </c>
    </row>
    <row r="459" spans="1:15" x14ac:dyDescent="0.25">
      <c r="A459" t="s">
        <v>734</v>
      </c>
      <c r="B459">
        <v>153</v>
      </c>
      <c r="C459">
        <v>48</v>
      </c>
      <c r="D459">
        <v>128</v>
      </c>
      <c r="E459">
        <v>38</v>
      </c>
      <c r="F459">
        <v>80</v>
      </c>
      <c r="G459">
        <v>156</v>
      </c>
      <c r="H459">
        <v>36</v>
      </c>
      <c r="I459">
        <v>13</v>
      </c>
      <c r="J459">
        <v>93</v>
      </c>
      <c r="K459">
        <v>48</v>
      </c>
      <c r="L459">
        <v>61</v>
      </c>
      <c r="M459">
        <v>70</v>
      </c>
      <c r="N459">
        <v>246</v>
      </c>
      <c r="O459">
        <v>924</v>
      </c>
    </row>
    <row r="460" spans="1:15" x14ac:dyDescent="0.25">
      <c r="A460" t="s">
        <v>735</v>
      </c>
      <c r="B460">
        <v>36</v>
      </c>
      <c r="C460">
        <v>14</v>
      </c>
      <c r="D460">
        <v>53</v>
      </c>
      <c r="E460">
        <v>5</v>
      </c>
      <c r="F460">
        <v>16</v>
      </c>
      <c r="G460">
        <v>24</v>
      </c>
      <c r="H460">
        <v>9</v>
      </c>
      <c r="I460">
        <v>15</v>
      </c>
      <c r="J460">
        <v>13</v>
      </c>
      <c r="K460">
        <v>11</v>
      </c>
      <c r="L460">
        <v>10</v>
      </c>
      <c r="M460">
        <v>2</v>
      </c>
      <c r="N460">
        <v>94</v>
      </c>
      <c r="O460">
        <v>208</v>
      </c>
    </row>
    <row r="461" spans="1:15" x14ac:dyDescent="0.25">
      <c r="A461" t="s">
        <v>700</v>
      </c>
      <c r="B461">
        <v>48</v>
      </c>
      <c r="C461">
        <v>79</v>
      </c>
      <c r="D461">
        <v>95</v>
      </c>
      <c r="E461">
        <v>36</v>
      </c>
      <c r="F461">
        <v>54</v>
      </c>
      <c r="G461">
        <v>112</v>
      </c>
      <c r="H461">
        <v>32</v>
      </c>
      <c r="I461">
        <v>31</v>
      </c>
      <c r="J461">
        <v>62</v>
      </c>
      <c r="K461">
        <v>48</v>
      </c>
      <c r="L461">
        <v>47</v>
      </c>
      <c r="M461">
        <v>64</v>
      </c>
      <c r="N461">
        <v>166</v>
      </c>
      <c r="O461">
        <v>708</v>
      </c>
    </row>
    <row r="462" spans="1:15" x14ac:dyDescent="0.25">
      <c r="A462" t="s">
        <v>1070</v>
      </c>
      <c r="B462">
        <v>9</v>
      </c>
      <c r="C462">
        <v>0</v>
      </c>
      <c r="D462">
        <v>1</v>
      </c>
      <c r="E462">
        <v>1</v>
      </c>
      <c r="F462">
        <v>-1</v>
      </c>
      <c r="G462">
        <v>1</v>
      </c>
      <c r="H462">
        <v>2</v>
      </c>
      <c r="I462">
        <v>0</v>
      </c>
      <c r="J462">
        <v>0</v>
      </c>
      <c r="K462">
        <v>2</v>
      </c>
      <c r="L462">
        <v>0</v>
      </c>
      <c r="M462">
        <v>0</v>
      </c>
      <c r="N462">
        <v>59</v>
      </c>
      <c r="O462">
        <v>15</v>
      </c>
    </row>
    <row r="463" spans="1:15" x14ac:dyDescent="0.25">
      <c r="A463" t="s">
        <v>1079</v>
      </c>
      <c r="B463">
        <v>46</v>
      </c>
      <c r="C463">
        <v>57</v>
      </c>
      <c r="D463">
        <v>11</v>
      </c>
      <c r="E463">
        <v>17</v>
      </c>
      <c r="F463">
        <v>5</v>
      </c>
      <c r="G463">
        <v>19</v>
      </c>
      <c r="H463">
        <v>52</v>
      </c>
      <c r="I463">
        <v>565</v>
      </c>
      <c r="J463">
        <v>19</v>
      </c>
      <c r="K463">
        <v>11</v>
      </c>
      <c r="L463">
        <v>6</v>
      </c>
      <c r="M463">
        <v>6</v>
      </c>
      <c r="N463">
        <v>193.25</v>
      </c>
      <c r="O463">
        <v>814</v>
      </c>
    </row>
    <row r="464" spans="1:15" x14ac:dyDescent="0.25">
      <c r="A464" t="s">
        <v>1081</v>
      </c>
      <c r="B464">
        <v>33</v>
      </c>
      <c r="C464">
        <v>4</v>
      </c>
      <c r="D464">
        <v>6</v>
      </c>
      <c r="E464">
        <v>5</v>
      </c>
      <c r="F464">
        <v>6</v>
      </c>
      <c r="G464">
        <v>1</v>
      </c>
      <c r="H464">
        <v>3</v>
      </c>
      <c r="I464">
        <v>8</v>
      </c>
      <c r="J464">
        <v>5</v>
      </c>
      <c r="K464">
        <v>0</v>
      </c>
      <c r="L464">
        <v>1</v>
      </c>
      <c r="M464">
        <v>0</v>
      </c>
      <c r="N464">
        <v>39.25</v>
      </c>
      <c r="O464">
        <v>72</v>
      </c>
    </row>
    <row r="465" spans="1:15" x14ac:dyDescent="0.25">
      <c r="A465" t="s">
        <v>701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25</v>
      </c>
      <c r="J465">
        <v>41</v>
      </c>
      <c r="K465">
        <v>9</v>
      </c>
      <c r="L465">
        <v>6</v>
      </c>
      <c r="M465">
        <v>0</v>
      </c>
      <c r="N465">
        <v>565</v>
      </c>
      <c r="O465">
        <v>81</v>
      </c>
    </row>
    <row r="466" spans="1:15" x14ac:dyDescent="0.25">
      <c r="A466" t="s">
        <v>1083</v>
      </c>
      <c r="B466">
        <v>0</v>
      </c>
      <c r="C466">
        <v>0</v>
      </c>
      <c r="D466">
        <v>0</v>
      </c>
      <c r="E466">
        <v>10</v>
      </c>
      <c r="F466">
        <v>2</v>
      </c>
      <c r="G466">
        <v>0</v>
      </c>
      <c r="H466">
        <v>0</v>
      </c>
      <c r="I466">
        <v>0</v>
      </c>
      <c r="J466">
        <v>2</v>
      </c>
      <c r="K466">
        <v>0</v>
      </c>
      <c r="L466">
        <v>0</v>
      </c>
      <c r="M466">
        <v>0</v>
      </c>
      <c r="N466">
        <v>52.75</v>
      </c>
      <c r="O466">
        <v>14</v>
      </c>
    </row>
    <row r="467" spans="1:15" x14ac:dyDescent="0.25">
      <c r="A467" t="s">
        <v>702</v>
      </c>
      <c r="B467">
        <v>28</v>
      </c>
      <c r="C467">
        <v>4</v>
      </c>
      <c r="D467">
        <v>13</v>
      </c>
      <c r="E467">
        <v>4</v>
      </c>
      <c r="F467">
        <v>1</v>
      </c>
      <c r="G467">
        <v>11</v>
      </c>
      <c r="H467">
        <v>12</v>
      </c>
      <c r="I467">
        <v>2</v>
      </c>
      <c r="J467">
        <v>10</v>
      </c>
      <c r="K467">
        <v>14</v>
      </c>
      <c r="L467">
        <v>6</v>
      </c>
      <c r="M467">
        <v>9</v>
      </c>
      <c r="N467">
        <v>63.75</v>
      </c>
      <c r="O467">
        <v>114</v>
      </c>
    </row>
    <row r="468" spans="1:15" x14ac:dyDescent="0.25">
      <c r="A468" t="s">
        <v>1086</v>
      </c>
      <c r="B468">
        <v>19</v>
      </c>
      <c r="C468">
        <v>8</v>
      </c>
      <c r="D468">
        <v>14</v>
      </c>
      <c r="E468">
        <v>2</v>
      </c>
      <c r="F468">
        <v>1</v>
      </c>
      <c r="G468">
        <v>0</v>
      </c>
      <c r="H468">
        <v>2</v>
      </c>
      <c r="I468">
        <v>0</v>
      </c>
      <c r="J468">
        <v>3</v>
      </c>
      <c r="K468">
        <v>1</v>
      </c>
      <c r="L468">
        <v>2</v>
      </c>
      <c r="M468">
        <v>6</v>
      </c>
      <c r="N468">
        <v>39</v>
      </c>
      <c r="O468">
        <v>58</v>
      </c>
    </row>
    <row r="469" spans="1:15" x14ac:dyDescent="0.25">
      <c r="A469" t="s">
        <v>703</v>
      </c>
      <c r="B469">
        <v>25</v>
      </c>
      <c r="C469">
        <v>18</v>
      </c>
      <c r="D469">
        <v>48</v>
      </c>
      <c r="E469">
        <v>20</v>
      </c>
      <c r="F469">
        <v>4</v>
      </c>
      <c r="G469">
        <v>4</v>
      </c>
      <c r="H469">
        <v>22</v>
      </c>
      <c r="I469">
        <v>17</v>
      </c>
      <c r="J469">
        <v>21</v>
      </c>
      <c r="K469">
        <v>8</v>
      </c>
      <c r="L469">
        <v>12</v>
      </c>
      <c r="M469">
        <v>11</v>
      </c>
      <c r="N469">
        <v>72</v>
      </c>
      <c r="O469">
        <v>210</v>
      </c>
    </row>
    <row r="470" spans="1:15" x14ac:dyDescent="0.25">
      <c r="A470" t="s">
        <v>1087</v>
      </c>
      <c r="B470">
        <v>4</v>
      </c>
      <c r="C470">
        <v>2</v>
      </c>
      <c r="D470">
        <v>4</v>
      </c>
      <c r="E470">
        <v>5</v>
      </c>
      <c r="F470">
        <v>1</v>
      </c>
      <c r="G470">
        <v>0</v>
      </c>
      <c r="H470">
        <v>2</v>
      </c>
      <c r="I470">
        <v>-11</v>
      </c>
      <c r="J470">
        <v>3</v>
      </c>
      <c r="K470">
        <v>1</v>
      </c>
      <c r="L470">
        <v>1</v>
      </c>
      <c r="M470">
        <v>0</v>
      </c>
      <c r="N470">
        <v>55.5</v>
      </c>
      <c r="O470">
        <v>12</v>
      </c>
    </row>
    <row r="471" spans="1:15" x14ac:dyDescent="0.25">
      <c r="A471" t="s">
        <v>1088</v>
      </c>
      <c r="B471">
        <v>4</v>
      </c>
      <c r="C471">
        <v>14</v>
      </c>
      <c r="D471">
        <v>15</v>
      </c>
      <c r="E471">
        <v>12</v>
      </c>
      <c r="F471">
        <v>16</v>
      </c>
      <c r="G471">
        <v>6</v>
      </c>
      <c r="H471">
        <v>11</v>
      </c>
      <c r="I471">
        <v>-554</v>
      </c>
      <c r="J471">
        <v>10</v>
      </c>
      <c r="K471">
        <v>15</v>
      </c>
      <c r="L471">
        <v>0</v>
      </c>
      <c r="M471">
        <v>0</v>
      </c>
      <c r="N471">
        <v>621.5</v>
      </c>
      <c r="O471">
        <v>-451</v>
      </c>
    </row>
    <row r="472" spans="1:15" x14ac:dyDescent="0.25">
      <c r="A472" t="s">
        <v>1090</v>
      </c>
      <c r="B472">
        <v>14</v>
      </c>
      <c r="C472">
        <v>8</v>
      </c>
      <c r="D472">
        <v>0</v>
      </c>
      <c r="E472">
        <v>3</v>
      </c>
      <c r="F472">
        <v>8</v>
      </c>
      <c r="G472">
        <v>10</v>
      </c>
      <c r="H472">
        <v>1</v>
      </c>
      <c r="I472">
        <v>6</v>
      </c>
      <c r="J472">
        <v>2</v>
      </c>
      <c r="K472">
        <v>7</v>
      </c>
      <c r="L472">
        <v>0</v>
      </c>
      <c r="M472">
        <v>0</v>
      </c>
      <c r="N472">
        <v>33.5</v>
      </c>
      <c r="O472">
        <v>59</v>
      </c>
    </row>
    <row r="473" spans="1:15" x14ac:dyDescent="0.25">
      <c r="A473" t="s">
        <v>1091</v>
      </c>
      <c r="B473">
        <v>8</v>
      </c>
      <c r="C473">
        <v>16</v>
      </c>
      <c r="D473">
        <v>3</v>
      </c>
      <c r="E473">
        <v>16</v>
      </c>
      <c r="F473">
        <v>5</v>
      </c>
      <c r="G473">
        <v>4</v>
      </c>
      <c r="H473">
        <v>9</v>
      </c>
      <c r="I473">
        <v>1</v>
      </c>
      <c r="J473">
        <v>5</v>
      </c>
      <c r="K473">
        <v>9</v>
      </c>
      <c r="L473">
        <v>8</v>
      </c>
      <c r="M473">
        <v>1</v>
      </c>
      <c r="N473">
        <v>63</v>
      </c>
      <c r="O473">
        <v>85</v>
      </c>
    </row>
    <row r="474" spans="1:15" x14ac:dyDescent="0.25">
      <c r="A474" t="s">
        <v>1092</v>
      </c>
      <c r="B474">
        <v>3</v>
      </c>
      <c r="C474">
        <v>3</v>
      </c>
      <c r="D474">
        <v>0</v>
      </c>
      <c r="E474">
        <v>0</v>
      </c>
      <c r="F474">
        <v>6</v>
      </c>
      <c r="G474">
        <v>0</v>
      </c>
      <c r="H474">
        <v>0</v>
      </c>
      <c r="I474">
        <v>3</v>
      </c>
      <c r="J474">
        <v>0</v>
      </c>
      <c r="K474">
        <v>5</v>
      </c>
      <c r="L474">
        <v>2</v>
      </c>
      <c r="M474">
        <v>0</v>
      </c>
      <c r="N474">
        <v>15.75</v>
      </c>
      <c r="O474">
        <v>22</v>
      </c>
    </row>
    <row r="475" spans="1:15" x14ac:dyDescent="0.25">
      <c r="A475" t="s">
        <v>1093</v>
      </c>
      <c r="B475">
        <v>17</v>
      </c>
      <c r="C475">
        <v>15</v>
      </c>
      <c r="D475">
        <v>12</v>
      </c>
      <c r="E475">
        <v>2</v>
      </c>
      <c r="F475">
        <v>4</v>
      </c>
      <c r="G475">
        <v>14</v>
      </c>
      <c r="H475">
        <v>3</v>
      </c>
      <c r="I475">
        <v>1</v>
      </c>
      <c r="J475">
        <v>3</v>
      </c>
      <c r="K475">
        <v>7</v>
      </c>
      <c r="L475">
        <v>1</v>
      </c>
      <c r="M475">
        <v>2</v>
      </c>
      <c r="N475">
        <v>71.5</v>
      </c>
      <c r="O475">
        <v>81</v>
      </c>
    </row>
    <row r="476" spans="1:15" x14ac:dyDescent="0.25">
      <c r="A476" t="s">
        <v>1095</v>
      </c>
      <c r="B476">
        <v>10</v>
      </c>
      <c r="C476">
        <v>6</v>
      </c>
      <c r="D476">
        <v>1</v>
      </c>
      <c r="E476">
        <v>1</v>
      </c>
      <c r="F476">
        <v>6</v>
      </c>
      <c r="G476">
        <v>10</v>
      </c>
      <c r="H476">
        <v>2</v>
      </c>
      <c r="I476">
        <v>0</v>
      </c>
      <c r="J476">
        <v>0</v>
      </c>
      <c r="K476">
        <v>2</v>
      </c>
      <c r="L476">
        <v>1</v>
      </c>
      <c r="M476">
        <v>0</v>
      </c>
      <c r="N476">
        <v>47</v>
      </c>
      <c r="O476">
        <v>39</v>
      </c>
    </row>
    <row r="477" spans="1:15" x14ac:dyDescent="0.25">
      <c r="A477" t="s">
        <v>704</v>
      </c>
      <c r="B477">
        <v>22</v>
      </c>
      <c r="C477">
        <v>6</v>
      </c>
      <c r="D477">
        <v>17</v>
      </c>
      <c r="E477">
        <v>5</v>
      </c>
      <c r="F477">
        <v>4</v>
      </c>
      <c r="G477">
        <v>20</v>
      </c>
      <c r="H477">
        <v>6</v>
      </c>
      <c r="I477">
        <v>11</v>
      </c>
      <c r="J477">
        <v>8</v>
      </c>
      <c r="K477">
        <v>10</v>
      </c>
      <c r="L477">
        <v>19</v>
      </c>
      <c r="M477">
        <v>3</v>
      </c>
      <c r="N477">
        <v>30.5</v>
      </c>
      <c r="O477">
        <v>131</v>
      </c>
    </row>
    <row r="478" spans="1:15" x14ac:dyDescent="0.25">
      <c r="A478" t="s">
        <v>736</v>
      </c>
      <c r="B478">
        <v>6</v>
      </c>
      <c r="C478">
        <v>0</v>
      </c>
      <c r="D478">
        <v>2</v>
      </c>
      <c r="E478">
        <v>3</v>
      </c>
      <c r="F478">
        <v>0</v>
      </c>
      <c r="G478">
        <v>3</v>
      </c>
      <c r="H478">
        <v>10</v>
      </c>
      <c r="I478">
        <v>-2</v>
      </c>
      <c r="J478">
        <v>0</v>
      </c>
      <c r="K478">
        <v>0</v>
      </c>
      <c r="L478">
        <v>2</v>
      </c>
      <c r="M478">
        <v>0</v>
      </c>
      <c r="N478">
        <v>40</v>
      </c>
      <c r="O478">
        <v>24</v>
      </c>
    </row>
    <row r="479" spans="1:15" x14ac:dyDescent="0.25">
      <c r="A479" t="s">
        <v>1097</v>
      </c>
      <c r="B479">
        <v>5</v>
      </c>
      <c r="C479">
        <v>0</v>
      </c>
      <c r="D479">
        <v>2</v>
      </c>
      <c r="E479">
        <v>11</v>
      </c>
      <c r="F479">
        <v>27</v>
      </c>
      <c r="G479">
        <v>23</v>
      </c>
      <c r="H479">
        <v>5</v>
      </c>
      <c r="I479">
        <v>7</v>
      </c>
      <c r="J479">
        <v>3</v>
      </c>
      <c r="K479">
        <v>13</v>
      </c>
      <c r="L479">
        <v>-5</v>
      </c>
      <c r="M479">
        <v>3</v>
      </c>
      <c r="N479">
        <v>690</v>
      </c>
      <c r="O479">
        <v>94</v>
      </c>
    </row>
    <row r="480" spans="1:15" x14ac:dyDescent="0.25">
      <c r="A480" t="s">
        <v>1099</v>
      </c>
      <c r="B480">
        <v>870</v>
      </c>
      <c r="C480">
        <v>8</v>
      </c>
      <c r="D480">
        <v>34</v>
      </c>
      <c r="E480">
        <v>12</v>
      </c>
      <c r="F480">
        <v>16</v>
      </c>
      <c r="G480">
        <v>2</v>
      </c>
      <c r="H480">
        <v>4</v>
      </c>
      <c r="I480">
        <v>47</v>
      </c>
      <c r="J480">
        <v>7</v>
      </c>
      <c r="K480">
        <v>5</v>
      </c>
      <c r="L480">
        <v>5</v>
      </c>
      <c r="M480">
        <v>0</v>
      </c>
      <c r="N480">
        <v>1394</v>
      </c>
      <c r="O480">
        <v>1010</v>
      </c>
    </row>
    <row r="481" spans="1:15" x14ac:dyDescent="0.25">
      <c r="A481" t="s">
        <v>1100</v>
      </c>
      <c r="B481">
        <v>447</v>
      </c>
      <c r="C481">
        <v>68</v>
      </c>
      <c r="D481">
        <v>2</v>
      </c>
      <c r="E481">
        <v>6</v>
      </c>
      <c r="F481">
        <v>11.75</v>
      </c>
      <c r="G481">
        <v>11</v>
      </c>
      <c r="H481">
        <v>0</v>
      </c>
      <c r="I481">
        <v>32</v>
      </c>
      <c r="J481">
        <v>0</v>
      </c>
      <c r="K481">
        <v>3</v>
      </c>
      <c r="L481">
        <v>10</v>
      </c>
      <c r="M481">
        <v>22</v>
      </c>
      <c r="N481">
        <v>76</v>
      </c>
      <c r="O481">
        <v>612.75</v>
      </c>
    </row>
    <row r="482" spans="1:15" x14ac:dyDescent="0.25">
      <c r="A482" t="s">
        <v>770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50</v>
      </c>
      <c r="O482">
        <v>0</v>
      </c>
    </row>
    <row r="483" spans="1:15" x14ac:dyDescent="0.25">
      <c r="A483" t="s">
        <v>1071</v>
      </c>
      <c r="B483">
        <v>0</v>
      </c>
      <c r="C483">
        <v>0</v>
      </c>
      <c r="D483">
        <v>0</v>
      </c>
      <c r="E483">
        <v>0</v>
      </c>
      <c r="F483">
        <v>6</v>
      </c>
      <c r="G483">
        <v>0</v>
      </c>
      <c r="H483">
        <v>0</v>
      </c>
      <c r="I483">
        <v>0</v>
      </c>
      <c r="J483">
        <v>0</v>
      </c>
      <c r="K483">
        <v>5</v>
      </c>
      <c r="L483">
        <v>10</v>
      </c>
      <c r="M483">
        <v>0</v>
      </c>
      <c r="N483">
        <v>1503</v>
      </c>
      <c r="O483">
        <v>21</v>
      </c>
    </row>
    <row r="484" spans="1:15" x14ac:dyDescent="0.25">
      <c r="A484" t="s">
        <v>731</v>
      </c>
      <c r="B484">
        <v>10</v>
      </c>
      <c r="C484">
        <v>6</v>
      </c>
      <c r="D484">
        <v>3</v>
      </c>
      <c r="E484">
        <v>6</v>
      </c>
      <c r="F484">
        <v>3</v>
      </c>
      <c r="G484">
        <v>5</v>
      </c>
      <c r="H484">
        <v>0</v>
      </c>
      <c r="I484">
        <v>-3</v>
      </c>
      <c r="J484">
        <v>6</v>
      </c>
      <c r="K484">
        <v>6</v>
      </c>
      <c r="L484">
        <v>6</v>
      </c>
      <c r="M484">
        <v>5</v>
      </c>
      <c r="N484">
        <v>17</v>
      </c>
      <c r="O484">
        <v>53</v>
      </c>
    </row>
    <row r="485" spans="1:15" x14ac:dyDescent="0.25">
      <c r="A485" t="s">
        <v>1078</v>
      </c>
      <c r="B485">
        <v>192</v>
      </c>
      <c r="C485">
        <v>324</v>
      </c>
      <c r="D485">
        <v>102</v>
      </c>
      <c r="E485">
        <v>12</v>
      </c>
      <c r="F485">
        <v>112</v>
      </c>
      <c r="G485">
        <v>24</v>
      </c>
      <c r="H485">
        <v>136</v>
      </c>
      <c r="I485">
        <v>140</v>
      </c>
      <c r="J485">
        <v>56</v>
      </c>
      <c r="K485">
        <v>80</v>
      </c>
      <c r="L485">
        <v>16</v>
      </c>
      <c r="M485">
        <v>48</v>
      </c>
      <c r="N485">
        <v>646</v>
      </c>
      <c r="O485">
        <v>1242</v>
      </c>
    </row>
    <row r="486" spans="1:15" x14ac:dyDescent="0.25">
      <c r="A486" t="s">
        <v>1096</v>
      </c>
      <c r="B486">
        <v>0</v>
      </c>
      <c r="C486">
        <v>21</v>
      </c>
      <c r="D486">
        <v>14</v>
      </c>
      <c r="E486">
        <v>0</v>
      </c>
      <c r="F486">
        <v>0</v>
      </c>
      <c r="G486">
        <v>0</v>
      </c>
      <c r="H486">
        <v>16</v>
      </c>
      <c r="I486">
        <v>32</v>
      </c>
      <c r="J486">
        <v>24</v>
      </c>
      <c r="K486">
        <v>76</v>
      </c>
      <c r="L486">
        <v>25</v>
      </c>
      <c r="M486">
        <v>0</v>
      </c>
      <c r="N486">
        <v>1451</v>
      </c>
      <c r="O486">
        <v>208</v>
      </c>
    </row>
    <row r="487" spans="1:15" x14ac:dyDescent="0.25">
      <c r="A487" t="s">
        <v>1681</v>
      </c>
      <c r="B487">
        <v>4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-8</v>
      </c>
      <c r="M487">
        <v>0</v>
      </c>
      <c r="N487">
        <v>216</v>
      </c>
      <c r="O487">
        <v>-4</v>
      </c>
    </row>
    <row r="488" spans="1:15" x14ac:dyDescent="0.25">
      <c r="A488" t="s">
        <v>1682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12</v>
      </c>
      <c r="H488">
        <v>0</v>
      </c>
      <c r="I488">
        <v>12</v>
      </c>
      <c r="J488">
        <v>20</v>
      </c>
      <c r="K488">
        <v>0</v>
      </c>
      <c r="L488">
        <v>-24</v>
      </c>
      <c r="M488">
        <v>0</v>
      </c>
      <c r="N488">
        <v>892</v>
      </c>
      <c r="O488">
        <v>20</v>
      </c>
    </row>
    <row r="489" spans="1:15" x14ac:dyDescent="0.25">
      <c r="A489" t="s">
        <v>1683</v>
      </c>
      <c r="B489">
        <v>0</v>
      </c>
      <c r="C489">
        <v>0</v>
      </c>
      <c r="D489">
        <v>0</v>
      </c>
      <c r="E489">
        <v>0</v>
      </c>
      <c r="F489">
        <v>20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16</v>
      </c>
      <c r="M489">
        <v>0</v>
      </c>
      <c r="N489">
        <v>476</v>
      </c>
      <c r="O489">
        <v>36</v>
      </c>
    </row>
    <row r="490" spans="1:15" x14ac:dyDescent="0.25">
      <c r="A490" t="s">
        <v>1677</v>
      </c>
      <c r="B490">
        <v>1092</v>
      </c>
      <c r="C490">
        <v>636</v>
      </c>
      <c r="D490">
        <v>1140</v>
      </c>
      <c r="E490">
        <v>688</v>
      </c>
      <c r="F490">
        <v>592</v>
      </c>
      <c r="G490">
        <v>884</v>
      </c>
      <c r="H490">
        <v>728</v>
      </c>
      <c r="I490">
        <v>444</v>
      </c>
      <c r="J490">
        <v>780</v>
      </c>
      <c r="K490">
        <v>980</v>
      </c>
      <c r="L490">
        <v>588</v>
      </c>
      <c r="M490">
        <v>544</v>
      </c>
      <c r="N490">
        <v>3411</v>
      </c>
      <c r="O490">
        <v>9096</v>
      </c>
    </row>
    <row r="491" spans="1:15" x14ac:dyDescent="0.25">
      <c r="A491" t="s">
        <v>738</v>
      </c>
      <c r="B491">
        <v>500</v>
      </c>
      <c r="C491">
        <v>220</v>
      </c>
      <c r="D491">
        <v>316</v>
      </c>
      <c r="E491">
        <v>400</v>
      </c>
      <c r="F491">
        <v>236</v>
      </c>
      <c r="G491">
        <v>184</v>
      </c>
      <c r="H491">
        <v>184</v>
      </c>
      <c r="I491">
        <v>160</v>
      </c>
      <c r="J491">
        <v>380</v>
      </c>
      <c r="K491">
        <v>364</v>
      </c>
      <c r="L491">
        <v>1069</v>
      </c>
      <c r="M491">
        <v>180</v>
      </c>
      <c r="N491">
        <v>4</v>
      </c>
      <c r="O491">
        <v>4193</v>
      </c>
    </row>
    <row r="492" spans="1:15" x14ac:dyDescent="0.25">
      <c r="A492" t="s">
        <v>737</v>
      </c>
      <c r="B492">
        <v>2664</v>
      </c>
      <c r="C492">
        <v>1592</v>
      </c>
      <c r="D492">
        <v>2632</v>
      </c>
      <c r="E492">
        <v>1364</v>
      </c>
      <c r="F492">
        <v>1000</v>
      </c>
      <c r="G492">
        <v>2124</v>
      </c>
      <c r="H492">
        <v>1292</v>
      </c>
      <c r="I492">
        <v>1104</v>
      </c>
      <c r="J492">
        <v>1564</v>
      </c>
      <c r="K492">
        <v>1704</v>
      </c>
      <c r="L492">
        <v>2088</v>
      </c>
      <c r="M492">
        <v>1396</v>
      </c>
      <c r="N492">
        <v>6365</v>
      </c>
      <c r="O492">
        <v>20524</v>
      </c>
    </row>
    <row r="493" spans="1:15" x14ac:dyDescent="0.25">
      <c r="A493" t="s">
        <v>1113</v>
      </c>
      <c r="B493">
        <v>8</v>
      </c>
      <c r="C493">
        <v>10</v>
      </c>
      <c r="D493">
        <v>11</v>
      </c>
      <c r="E493">
        <v>26</v>
      </c>
      <c r="F493">
        <v>3</v>
      </c>
      <c r="G493">
        <v>8</v>
      </c>
      <c r="H493">
        <v>11</v>
      </c>
      <c r="I493">
        <v>7</v>
      </c>
      <c r="J493">
        <v>12</v>
      </c>
      <c r="K493">
        <v>8</v>
      </c>
      <c r="L493">
        <v>8</v>
      </c>
      <c r="M493">
        <v>3</v>
      </c>
      <c r="N493">
        <v>37</v>
      </c>
      <c r="O493">
        <v>115</v>
      </c>
    </row>
    <row r="494" spans="1:15" x14ac:dyDescent="0.25">
      <c r="A494" t="s">
        <v>709</v>
      </c>
      <c r="B494">
        <v>11</v>
      </c>
      <c r="C494">
        <v>8</v>
      </c>
      <c r="D494">
        <v>13</v>
      </c>
      <c r="E494">
        <v>18</v>
      </c>
      <c r="F494">
        <v>9</v>
      </c>
      <c r="G494">
        <v>9</v>
      </c>
      <c r="H494">
        <v>4</v>
      </c>
      <c r="I494">
        <v>7</v>
      </c>
      <c r="J494">
        <v>11</v>
      </c>
      <c r="K494">
        <v>13</v>
      </c>
      <c r="L494">
        <v>10</v>
      </c>
      <c r="M494">
        <v>7</v>
      </c>
      <c r="N494">
        <v>117</v>
      </c>
      <c r="O494">
        <v>120</v>
      </c>
    </row>
    <row r="495" spans="1:15" x14ac:dyDescent="0.25">
      <c r="A495" t="s">
        <v>1115</v>
      </c>
      <c r="B495">
        <v>24</v>
      </c>
      <c r="C495">
        <v>17</v>
      </c>
      <c r="D495">
        <v>11</v>
      </c>
      <c r="E495">
        <v>8</v>
      </c>
      <c r="F495">
        <v>13</v>
      </c>
      <c r="G495">
        <v>12</v>
      </c>
      <c r="H495">
        <v>15</v>
      </c>
      <c r="I495">
        <v>14</v>
      </c>
      <c r="J495">
        <v>8</v>
      </c>
      <c r="K495">
        <v>17</v>
      </c>
      <c r="L495">
        <v>10</v>
      </c>
      <c r="M495">
        <v>18</v>
      </c>
      <c r="N495">
        <v>131</v>
      </c>
      <c r="O495">
        <v>167</v>
      </c>
    </row>
    <row r="496" spans="1:15" x14ac:dyDescent="0.25">
      <c r="A496" t="s">
        <v>1109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5</v>
      </c>
      <c r="O496">
        <v>1</v>
      </c>
    </row>
    <row r="497" spans="1:15" x14ac:dyDescent="0.25">
      <c r="A497" t="s">
        <v>1111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2</v>
      </c>
      <c r="H497">
        <v>0</v>
      </c>
      <c r="I497">
        <v>0</v>
      </c>
      <c r="J497">
        <v>2</v>
      </c>
      <c r="K497">
        <v>2</v>
      </c>
      <c r="L497">
        <v>1</v>
      </c>
      <c r="M497">
        <v>0</v>
      </c>
      <c r="N497">
        <v>34</v>
      </c>
      <c r="O497">
        <v>8</v>
      </c>
    </row>
    <row r="498" spans="1:15" x14ac:dyDescent="0.25">
      <c r="A498" t="s">
        <v>1112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2</v>
      </c>
      <c r="J498">
        <v>1</v>
      </c>
      <c r="K498">
        <v>0</v>
      </c>
      <c r="L498">
        <v>1</v>
      </c>
      <c r="M498">
        <v>0</v>
      </c>
      <c r="N498">
        <v>14</v>
      </c>
      <c r="O498">
        <v>4</v>
      </c>
    </row>
    <row r="499" spans="1:15" x14ac:dyDescent="0.25">
      <c r="A499" t="s">
        <v>1120</v>
      </c>
      <c r="B499">
        <v>3</v>
      </c>
      <c r="C499">
        <v>1</v>
      </c>
      <c r="D499">
        <v>4</v>
      </c>
      <c r="E499">
        <v>2</v>
      </c>
      <c r="F499">
        <v>0</v>
      </c>
      <c r="G499">
        <v>3</v>
      </c>
      <c r="H499">
        <v>2</v>
      </c>
      <c r="I499">
        <v>0</v>
      </c>
      <c r="J499">
        <v>2</v>
      </c>
      <c r="K499">
        <v>2</v>
      </c>
      <c r="L499">
        <v>2</v>
      </c>
      <c r="M499">
        <v>0</v>
      </c>
      <c r="N499">
        <v>12</v>
      </c>
      <c r="O499">
        <v>21</v>
      </c>
    </row>
    <row r="500" spans="1:15" x14ac:dyDescent="0.25">
      <c r="A500" t="s">
        <v>1122</v>
      </c>
      <c r="B500">
        <v>4</v>
      </c>
      <c r="C500">
        <v>3</v>
      </c>
      <c r="D500">
        <v>0</v>
      </c>
      <c r="E500">
        <v>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10</v>
      </c>
    </row>
    <row r="501" spans="1:15" x14ac:dyDescent="0.25">
      <c r="A501" t="s">
        <v>1123</v>
      </c>
      <c r="B501">
        <v>2</v>
      </c>
      <c r="C501">
        <v>5</v>
      </c>
      <c r="D501">
        <v>2</v>
      </c>
      <c r="E501">
        <v>5</v>
      </c>
      <c r="F501">
        <v>6</v>
      </c>
      <c r="G501">
        <v>6</v>
      </c>
      <c r="H501">
        <v>4</v>
      </c>
      <c r="I501">
        <v>-1</v>
      </c>
      <c r="J501">
        <v>1</v>
      </c>
      <c r="K501">
        <v>2</v>
      </c>
      <c r="L501">
        <v>2</v>
      </c>
      <c r="M501">
        <v>0</v>
      </c>
      <c r="N501">
        <v>0</v>
      </c>
      <c r="O501">
        <v>34</v>
      </c>
    </row>
    <row r="502" spans="1:15" x14ac:dyDescent="0.25">
      <c r="A502" t="s">
        <v>1101</v>
      </c>
      <c r="B502">
        <v>3</v>
      </c>
      <c r="C502">
        <v>2</v>
      </c>
      <c r="D502">
        <v>3</v>
      </c>
      <c r="E502">
        <v>4</v>
      </c>
      <c r="F502">
        <v>0</v>
      </c>
      <c r="G502">
        <v>5</v>
      </c>
      <c r="H502">
        <v>1</v>
      </c>
      <c r="I502">
        <v>-1</v>
      </c>
      <c r="J502">
        <v>3</v>
      </c>
      <c r="K502">
        <v>2</v>
      </c>
      <c r="L502">
        <v>3</v>
      </c>
      <c r="M502">
        <v>3</v>
      </c>
      <c r="N502">
        <v>11</v>
      </c>
      <c r="O502">
        <v>28</v>
      </c>
    </row>
    <row r="503" spans="1:15" x14ac:dyDescent="0.25">
      <c r="A503" t="s">
        <v>1105</v>
      </c>
      <c r="B503">
        <v>4</v>
      </c>
      <c r="C503">
        <v>0</v>
      </c>
      <c r="D503">
        <v>1</v>
      </c>
      <c r="E503">
        <v>2</v>
      </c>
      <c r="F503">
        <v>3</v>
      </c>
      <c r="G503">
        <v>4</v>
      </c>
      <c r="H503">
        <v>2</v>
      </c>
      <c r="I503">
        <v>5</v>
      </c>
      <c r="J503">
        <v>2</v>
      </c>
      <c r="K503">
        <v>1</v>
      </c>
      <c r="L503">
        <v>0</v>
      </c>
      <c r="M503">
        <v>7</v>
      </c>
      <c r="N503">
        <v>15.75</v>
      </c>
      <c r="O503">
        <v>31</v>
      </c>
    </row>
    <row r="504" spans="1:15" x14ac:dyDescent="0.25">
      <c r="A504" t="s">
        <v>1107</v>
      </c>
      <c r="B504">
        <v>5</v>
      </c>
      <c r="C504">
        <v>2</v>
      </c>
      <c r="D504">
        <v>11</v>
      </c>
      <c r="E504">
        <v>11</v>
      </c>
      <c r="F504">
        <v>9</v>
      </c>
      <c r="G504">
        <v>8</v>
      </c>
      <c r="H504">
        <v>3</v>
      </c>
      <c r="I504">
        <v>4</v>
      </c>
      <c r="J504">
        <v>1</v>
      </c>
      <c r="K504">
        <v>10</v>
      </c>
      <c r="L504">
        <v>1.25</v>
      </c>
      <c r="M504">
        <v>5</v>
      </c>
      <c r="N504">
        <v>19.25</v>
      </c>
      <c r="O504">
        <v>70.25</v>
      </c>
    </row>
    <row r="505" spans="1:15" x14ac:dyDescent="0.25">
      <c r="A505" t="s">
        <v>1116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0.75</v>
      </c>
      <c r="O505">
        <v>0</v>
      </c>
    </row>
    <row r="506" spans="1:15" x14ac:dyDescent="0.25">
      <c r="A506" t="s">
        <v>1118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25">
      <c r="A507" t="s">
        <v>1119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-1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25">
      <c r="A508" t="s">
        <v>659</v>
      </c>
      <c r="B508">
        <v>2</v>
      </c>
      <c r="C508">
        <v>1</v>
      </c>
      <c r="D508">
        <v>1</v>
      </c>
      <c r="E508">
        <v>2</v>
      </c>
      <c r="F508">
        <v>3</v>
      </c>
      <c r="G508">
        <v>3</v>
      </c>
      <c r="H508">
        <v>1</v>
      </c>
      <c r="I508">
        <v>1</v>
      </c>
      <c r="J508">
        <v>2</v>
      </c>
      <c r="K508">
        <v>3</v>
      </c>
      <c r="L508">
        <v>3</v>
      </c>
      <c r="M508">
        <v>3</v>
      </c>
      <c r="N508">
        <v>11</v>
      </c>
      <c r="O508">
        <v>25</v>
      </c>
    </row>
    <row r="509" spans="1:15" x14ac:dyDescent="0.25">
      <c r="A509" t="s">
        <v>660</v>
      </c>
      <c r="B509">
        <v>6</v>
      </c>
      <c r="C509">
        <v>1</v>
      </c>
      <c r="D509">
        <v>8</v>
      </c>
      <c r="E509">
        <v>6</v>
      </c>
      <c r="F509">
        <v>4</v>
      </c>
      <c r="G509">
        <v>2</v>
      </c>
      <c r="H509">
        <v>3</v>
      </c>
      <c r="I509">
        <v>7</v>
      </c>
      <c r="J509">
        <v>3</v>
      </c>
      <c r="K509">
        <v>2</v>
      </c>
      <c r="L509">
        <v>4</v>
      </c>
      <c r="M509">
        <v>5</v>
      </c>
      <c r="N509">
        <v>0</v>
      </c>
      <c r="O509">
        <v>51</v>
      </c>
    </row>
    <row r="510" spans="1:15" x14ac:dyDescent="0.25">
      <c r="A510" t="s">
        <v>661</v>
      </c>
      <c r="B510">
        <v>7</v>
      </c>
      <c r="C510">
        <v>1</v>
      </c>
      <c r="D510">
        <v>3</v>
      </c>
      <c r="E510">
        <v>7</v>
      </c>
      <c r="F510">
        <v>9</v>
      </c>
      <c r="G510">
        <v>8</v>
      </c>
      <c r="H510">
        <v>7</v>
      </c>
      <c r="I510">
        <v>4</v>
      </c>
      <c r="J510">
        <v>7</v>
      </c>
      <c r="K510">
        <v>5</v>
      </c>
      <c r="L510">
        <v>2</v>
      </c>
      <c r="M510">
        <v>6</v>
      </c>
      <c r="N510">
        <v>0</v>
      </c>
      <c r="O510">
        <v>66</v>
      </c>
    </row>
    <row r="511" spans="1:15" x14ac:dyDescent="0.25">
      <c r="A511" t="s">
        <v>1139</v>
      </c>
      <c r="B511">
        <v>1</v>
      </c>
      <c r="C511">
        <v>0</v>
      </c>
      <c r="D511">
        <v>2</v>
      </c>
      <c r="E511">
        <v>2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11</v>
      </c>
      <c r="O511">
        <v>6</v>
      </c>
    </row>
    <row r="512" spans="1:15" x14ac:dyDescent="0.25">
      <c r="A512" t="s">
        <v>1140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3</v>
      </c>
      <c r="O512">
        <v>1</v>
      </c>
    </row>
    <row r="513" spans="1:15" x14ac:dyDescent="0.25">
      <c r="A513" t="s">
        <v>1157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-1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-1</v>
      </c>
    </row>
    <row r="514" spans="1:15" x14ac:dyDescent="0.25">
      <c r="A514" t="s">
        <v>1159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-1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-1</v>
      </c>
    </row>
    <row r="515" spans="1:15" x14ac:dyDescent="0.25">
      <c r="A515" t="s">
        <v>1160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25">
      <c r="A516" t="s">
        <v>1161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-2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1</v>
      </c>
      <c r="O516">
        <v>-1</v>
      </c>
    </row>
    <row r="517" spans="1:15" x14ac:dyDescent="0.25">
      <c r="A517" t="s">
        <v>1162</v>
      </c>
      <c r="B517">
        <v>1</v>
      </c>
      <c r="C517">
        <v>0</v>
      </c>
      <c r="D517">
        <v>0</v>
      </c>
      <c r="E517">
        <v>2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1</v>
      </c>
      <c r="L517">
        <v>0</v>
      </c>
      <c r="M517">
        <v>0</v>
      </c>
      <c r="N517">
        <v>7</v>
      </c>
      <c r="O517">
        <v>5</v>
      </c>
    </row>
    <row r="518" spans="1:15" x14ac:dyDescent="0.25">
      <c r="A518" t="s">
        <v>663</v>
      </c>
      <c r="B518">
        <v>5</v>
      </c>
      <c r="C518">
        <v>6</v>
      </c>
      <c r="D518">
        <v>5</v>
      </c>
      <c r="E518">
        <v>8</v>
      </c>
      <c r="F518">
        <v>11</v>
      </c>
      <c r="G518">
        <v>7</v>
      </c>
      <c r="H518">
        <v>11</v>
      </c>
      <c r="I518">
        <v>6</v>
      </c>
      <c r="J518">
        <v>16</v>
      </c>
      <c r="K518">
        <v>9</v>
      </c>
      <c r="L518">
        <v>5</v>
      </c>
      <c r="M518">
        <v>14</v>
      </c>
      <c r="N518">
        <v>15</v>
      </c>
      <c r="O518">
        <v>103</v>
      </c>
    </row>
    <row r="519" spans="1:15" x14ac:dyDescent="0.25">
      <c r="A519" t="s">
        <v>711</v>
      </c>
      <c r="B519">
        <v>17</v>
      </c>
      <c r="C519">
        <v>13</v>
      </c>
      <c r="D519">
        <v>31</v>
      </c>
      <c r="E519">
        <v>27</v>
      </c>
      <c r="F519">
        <v>32</v>
      </c>
      <c r="G519">
        <v>9</v>
      </c>
      <c r="H519">
        <v>19</v>
      </c>
      <c r="I519">
        <v>10</v>
      </c>
      <c r="J519">
        <v>31</v>
      </c>
      <c r="K519">
        <v>25</v>
      </c>
      <c r="L519">
        <v>6</v>
      </c>
      <c r="M519">
        <v>6</v>
      </c>
      <c r="N519">
        <v>93</v>
      </c>
      <c r="O519">
        <v>226</v>
      </c>
    </row>
    <row r="520" spans="1:15" x14ac:dyDescent="0.25">
      <c r="A520" t="s">
        <v>1175</v>
      </c>
      <c r="B520">
        <v>6</v>
      </c>
      <c r="C520">
        <v>10</v>
      </c>
      <c r="D520">
        <v>10</v>
      </c>
      <c r="E520">
        <v>16</v>
      </c>
      <c r="F520">
        <v>17</v>
      </c>
      <c r="G520">
        <v>24</v>
      </c>
      <c r="H520">
        <v>13</v>
      </c>
      <c r="I520">
        <v>9</v>
      </c>
      <c r="J520">
        <v>11</v>
      </c>
      <c r="K520">
        <v>16</v>
      </c>
      <c r="L520">
        <v>18</v>
      </c>
      <c r="M520">
        <v>10</v>
      </c>
      <c r="N520">
        <v>199.75</v>
      </c>
      <c r="O520">
        <v>160</v>
      </c>
    </row>
    <row r="521" spans="1:15" x14ac:dyDescent="0.25">
      <c r="A521" t="s">
        <v>1177</v>
      </c>
      <c r="B521">
        <v>19</v>
      </c>
      <c r="C521">
        <v>19</v>
      </c>
      <c r="D521">
        <v>44</v>
      </c>
      <c r="E521">
        <v>52</v>
      </c>
      <c r="F521">
        <v>23</v>
      </c>
      <c r="G521">
        <v>28</v>
      </c>
      <c r="H521">
        <v>27</v>
      </c>
      <c r="I521">
        <v>36</v>
      </c>
      <c r="J521">
        <v>27</v>
      </c>
      <c r="K521">
        <v>31</v>
      </c>
      <c r="L521">
        <v>51</v>
      </c>
      <c r="M521">
        <v>14</v>
      </c>
      <c r="N521">
        <v>107</v>
      </c>
      <c r="O521">
        <v>371</v>
      </c>
    </row>
    <row r="522" spans="1:15" x14ac:dyDescent="0.25">
      <c r="A522" t="s">
        <v>1178</v>
      </c>
      <c r="B522">
        <v>23</v>
      </c>
      <c r="C522">
        <v>27</v>
      </c>
      <c r="D522">
        <v>41</v>
      </c>
      <c r="E522">
        <v>48</v>
      </c>
      <c r="F522">
        <v>27</v>
      </c>
      <c r="G522">
        <v>58</v>
      </c>
      <c r="H522">
        <v>26</v>
      </c>
      <c r="I522">
        <v>28</v>
      </c>
      <c r="J522">
        <v>30</v>
      </c>
      <c r="K522">
        <v>67</v>
      </c>
      <c r="L522">
        <v>28</v>
      </c>
      <c r="M522">
        <v>35</v>
      </c>
      <c r="N522">
        <v>771</v>
      </c>
      <c r="O522">
        <v>438</v>
      </c>
    </row>
    <row r="523" spans="1:15" x14ac:dyDescent="0.25">
      <c r="A523" t="s">
        <v>1179</v>
      </c>
      <c r="B523">
        <v>2</v>
      </c>
      <c r="C523">
        <v>3</v>
      </c>
      <c r="D523">
        <v>7</v>
      </c>
      <c r="E523">
        <v>-5</v>
      </c>
      <c r="F523">
        <v>1</v>
      </c>
      <c r="G523">
        <v>0</v>
      </c>
      <c r="H523">
        <v>0</v>
      </c>
      <c r="I523">
        <v>4</v>
      </c>
      <c r="J523">
        <v>3</v>
      </c>
      <c r="K523">
        <v>2</v>
      </c>
      <c r="L523">
        <v>9</v>
      </c>
      <c r="M523">
        <v>1</v>
      </c>
      <c r="N523">
        <v>36.5</v>
      </c>
      <c r="O523">
        <v>27</v>
      </c>
    </row>
    <row r="524" spans="1:15" x14ac:dyDescent="0.25">
      <c r="A524" t="s">
        <v>1180</v>
      </c>
      <c r="B524">
        <v>3</v>
      </c>
      <c r="C524">
        <v>2</v>
      </c>
      <c r="D524">
        <v>4</v>
      </c>
      <c r="E524">
        <v>-2</v>
      </c>
      <c r="F524">
        <v>8</v>
      </c>
      <c r="G524">
        <v>2</v>
      </c>
      <c r="H524">
        <v>1</v>
      </c>
      <c r="I524">
        <v>2</v>
      </c>
      <c r="J524">
        <v>2</v>
      </c>
      <c r="K524">
        <v>5</v>
      </c>
      <c r="L524">
        <v>8</v>
      </c>
      <c r="M524">
        <v>6</v>
      </c>
      <c r="N524">
        <v>91.75</v>
      </c>
      <c r="O524">
        <v>41</v>
      </c>
    </row>
    <row r="525" spans="1:15" x14ac:dyDescent="0.25">
      <c r="A525" t="s">
        <v>662</v>
      </c>
      <c r="B525">
        <v>1</v>
      </c>
      <c r="C525">
        <v>3</v>
      </c>
      <c r="D525">
        <v>11</v>
      </c>
      <c r="E525">
        <v>11</v>
      </c>
      <c r="F525">
        <v>14</v>
      </c>
      <c r="G525">
        <v>8</v>
      </c>
      <c r="H525">
        <v>2</v>
      </c>
      <c r="I525">
        <v>9</v>
      </c>
      <c r="J525">
        <v>13</v>
      </c>
      <c r="K525">
        <v>13</v>
      </c>
      <c r="L525">
        <v>8</v>
      </c>
      <c r="M525">
        <v>13</v>
      </c>
      <c r="N525">
        <v>15</v>
      </c>
      <c r="O525">
        <v>106</v>
      </c>
    </row>
    <row r="526" spans="1:15" x14ac:dyDescent="0.25">
      <c r="A526" t="s">
        <v>664</v>
      </c>
      <c r="B526">
        <v>2</v>
      </c>
      <c r="C526">
        <v>4</v>
      </c>
      <c r="D526">
        <v>1</v>
      </c>
      <c r="E526">
        <v>6</v>
      </c>
      <c r="F526">
        <v>2</v>
      </c>
      <c r="G526">
        <v>2</v>
      </c>
      <c r="H526">
        <v>3</v>
      </c>
      <c r="I526">
        <v>2</v>
      </c>
      <c r="J526">
        <v>1</v>
      </c>
      <c r="K526">
        <v>2</v>
      </c>
      <c r="L526">
        <v>0</v>
      </c>
      <c r="M526">
        <v>1</v>
      </c>
      <c r="N526">
        <v>14</v>
      </c>
      <c r="O526">
        <v>26</v>
      </c>
    </row>
    <row r="527" spans="1:15" x14ac:dyDescent="0.25">
      <c r="A527" t="s">
        <v>712</v>
      </c>
      <c r="B527">
        <v>5</v>
      </c>
      <c r="C527">
        <v>3</v>
      </c>
      <c r="D527">
        <v>15</v>
      </c>
      <c r="E527">
        <v>8</v>
      </c>
      <c r="F527">
        <v>13</v>
      </c>
      <c r="G527">
        <v>4</v>
      </c>
      <c r="H527">
        <v>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36.75</v>
      </c>
      <c r="O527">
        <v>51</v>
      </c>
    </row>
    <row r="528" spans="1:15" x14ac:dyDescent="0.25">
      <c r="A528" t="s">
        <v>1141</v>
      </c>
      <c r="B528">
        <v>2</v>
      </c>
      <c r="C528">
        <v>0</v>
      </c>
      <c r="D528">
        <v>1</v>
      </c>
      <c r="E528">
        <v>-1</v>
      </c>
      <c r="F528">
        <v>2</v>
      </c>
      <c r="G528">
        <v>1</v>
      </c>
      <c r="H528">
        <v>0</v>
      </c>
      <c r="I528">
        <v>2</v>
      </c>
      <c r="J528">
        <v>1</v>
      </c>
      <c r="K528">
        <v>1</v>
      </c>
      <c r="L528">
        <v>2</v>
      </c>
      <c r="M528">
        <v>1</v>
      </c>
      <c r="N528">
        <v>47</v>
      </c>
      <c r="O528">
        <v>12</v>
      </c>
    </row>
    <row r="529" spans="1:15" x14ac:dyDescent="0.25">
      <c r="A529" t="s">
        <v>1143</v>
      </c>
      <c r="B529">
        <v>3</v>
      </c>
      <c r="C529">
        <v>0</v>
      </c>
      <c r="D529">
        <v>0</v>
      </c>
      <c r="E529">
        <v>0</v>
      </c>
      <c r="F529">
        <v>3</v>
      </c>
      <c r="G529">
        <v>0</v>
      </c>
      <c r="H529">
        <v>6</v>
      </c>
      <c r="I529">
        <v>2</v>
      </c>
      <c r="J529">
        <v>1</v>
      </c>
      <c r="K529">
        <v>3</v>
      </c>
      <c r="L529">
        <v>4</v>
      </c>
      <c r="M529">
        <v>4</v>
      </c>
      <c r="N529">
        <v>30</v>
      </c>
      <c r="O529">
        <v>26</v>
      </c>
    </row>
    <row r="530" spans="1:15" x14ac:dyDescent="0.25">
      <c r="A530" t="s">
        <v>1144</v>
      </c>
      <c r="B530">
        <v>8</v>
      </c>
      <c r="C530">
        <v>6</v>
      </c>
      <c r="D530">
        <v>4</v>
      </c>
      <c r="E530">
        <v>11</v>
      </c>
      <c r="F530">
        <v>6</v>
      </c>
      <c r="G530">
        <v>9</v>
      </c>
      <c r="H530">
        <v>8</v>
      </c>
      <c r="I530">
        <v>8</v>
      </c>
      <c r="J530">
        <v>3</v>
      </c>
      <c r="K530">
        <v>9</v>
      </c>
      <c r="L530">
        <v>5</v>
      </c>
      <c r="M530">
        <v>3</v>
      </c>
      <c r="N530">
        <v>21</v>
      </c>
      <c r="O530">
        <v>80</v>
      </c>
    </row>
    <row r="531" spans="1:15" x14ac:dyDescent="0.25">
      <c r="A531" t="s">
        <v>1145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16</v>
      </c>
      <c r="O531">
        <v>2</v>
      </c>
    </row>
    <row r="532" spans="1:15" x14ac:dyDescent="0.25">
      <c r="A532" t="s">
        <v>1146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20</v>
      </c>
      <c r="O532">
        <v>3</v>
      </c>
    </row>
    <row r="533" spans="1:15" x14ac:dyDescent="0.25">
      <c r="A533" t="s">
        <v>1163</v>
      </c>
      <c r="B533">
        <v>3</v>
      </c>
      <c r="C533">
        <v>4</v>
      </c>
      <c r="D533">
        <v>1</v>
      </c>
      <c r="E533">
        <v>0</v>
      </c>
      <c r="F533">
        <v>0</v>
      </c>
      <c r="G533">
        <v>7</v>
      </c>
      <c r="H533">
        <v>2</v>
      </c>
      <c r="I533">
        <v>3</v>
      </c>
      <c r="J533">
        <v>8</v>
      </c>
      <c r="K533">
        <v>13</v>
      </c>
      <c r="L533">
        <v>0</v>
      </c>
      <c r="M533">
        <v>0</v>
      </c>
      <c r="N533">
        <v>39</v>
      </c>
      <c r="O533">
        <v>41</v>
      </c>
    </row>
    <row r="534" spans="1:15" x14ac:dyDescent="0.25">
      <c r="A534" t="s">
        <v>1165</v>
      </c>
      <c r="B534">
        <v>7</v>
      </c>
      <c r="C534">
        <v>0</v>
      </c>
      <c r="D534">
        <v>1</v>
      </c>
      <c r="E534">
        <v>4</v>
      </c>
      <c r="F534">
        <v>1</v>
      </c>
      <c r="G534">
        <v>0</v>
      </c>
      <c r="H534">
        <v>1</v>
      </c>
      <c r="I534">
        <v>3</v>
      </c>
      <c r="J534">
        <v>8</v>
      </c>
      <c r="K534">
        <v>4</v>
      </c>
      <c r="L534">
        <v>6</v>
      </c>
      <c r="M534">
        <v>1</v>
      </c>
      <c r="N534">
        <v>82</v>
      </c>
      <c r="O534">
        <v>36</v>
      </c>
    </row>
    <row r="535" spans="1:15" x14ac:dyDescent="0.25">
      <c r="A535" t="s">
        <v>1166</v>
      </c>
      <c r="B535">
        <v>5</v>
      </c>
      <c r="C535">
        <v>3</v>
      </c>
      <c r="D535">
        <v>4</v>
      </c>
      <c r="E535">
        <v>3</v>
      </c>
      <c r="F535">
        <v>3</v>
      </c>
      <c r="G535">
        <v>7</v>
      </c>
      <c r="H535">
        <v>6</v>
      </c>
      <c r="I535">
        <v>0</v>
      </c>
      <c r="J535">
        <v>2</v>
      </c>
      <c r="K535">
        <v>8</v>
      </c>
      <c r="L535">
        <v>4</v>
      </c>
      <c r="M535">
        <v>1</v>
      </c>
      <c r="N535">
        <v>224</v>
      </c>
      <c r="O535">
        <v>46</v>
      </c>
    </row>
    <row r="536" spans="1:15" x14ac:dyDescent="0.25">
      <c r="A536" t="s">
        <v>1167</v>
      </c>
      <c r="B536">
        <v>1</v>
      </c>
      <c r="C536">
        <v>1</v>
      </c>
      <c r="D536">
        <v>0</v>
      </c>
      <c r="E536">
        <v>0</v>
      </c>
      <c r="F536">
        <v>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35.75</v>
      </c>
      <c r="O536">
        <v>6</v>
      </c>
    </row>
    <row r="537" spans="1:15" x14ac:dyDescent="0.25">
      <c r="A537" t="s">
        <v>1168</v>
      </c>
      <c r="B537">
        <v>0</v>
      </c>
      <c r="C537">
        <v>1</v>
      </c>
      <c r="D537">
        <v>0</v>
      </c>
      <c r="E537">
        <v>1</v>
      </c>
      <c r="F537">
        <v>1</v>
      </c>
      <c r="G537">
        <v>0</v>
      </c>
      <c r="H537">
        <v>1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49</v>
      </c>
      <c r="O537">
        <v>5</v>
      </c>
    </row>
    <row r="538" spans="1:15" x14ac:dyDescent="0.25">
      <c r="A538" t="s">
        <v>1147</v>
      </c>
      <c r="B538">
        <v>1</v>
      </c>
      <c r="C538">
        <v>0</v>
      </c>
      <c r="D538">
        <v>0</v>
      </c>
      <c r="E538">
        <v>1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36</v>
      </c>
      <c r="O538">
        <v>3</v>
      </c>
    </row>
    <row r="539" spans="1:15" x14ac:dyDescent="0.25">
      <c r="A539" t="s">
        <v>1149</v>
      </c>
      <c r="B539">
        <v>0</v>
      </c>
      <c r="C539">
        <v>1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</v>
      </c>
      <c r="J539">
        <v>0</v>
      </c>
      <c r="K539">
        <v>1</v>
      </c>
      <c r="L539">
        <v>0</v>
      </c>
      <c r="M539">
        <v>1</v>
      </c>
      <c r="N539">
        <v>18</v>
      </c>
      <c r="O539">
        <v>6</v>
      </c>
    </row>
    <row r="540" spans="1:15" x14ac:dyDescent="0.25">
      <c r="A540" t="s">
        <v>1150</v>
      </c>
      <c r="B540">
        <v>3</v>
      </c>
      <c r="C540">
        <v>0</v>
      </c>
      <c r="D540">
        <v>0</v>
      </c>
      <c r="E540">
        <v>2</v>
      </c>
      <c r="F540">
        <v>1</v>
      </c>
      <c r="G540">
        <v>0</v>
      </c>
      <c r="H540">
        <v>1</v>
      </c>
      <c r="I540">
        <v>2</v>
      </c>
      <c r="J540">
        <v>1</v>
      </c>
      <c r="K540">
        <v>1</v>
      </c>
      <c r="L540">
        <v>2</v>
      </c>
      <c r="M540">
        <v>1</v>
      </c>
      <c r="N540">
        <v>32</v>
      </c>
      <c r="O540">
        <v>14</v>
      </c>
    </row>
    <row r="541" spans="1:15" x14ac:dyDescent="0.25">
      <c r="A541" t="s">
        <v>755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2</v>
      </c>
      <c r="O541">
        <v>0</v>
      </c>
    </row>
    <row r="542" spans="1:15" x14ac:dyDescent="0.25">
      <c r="A542" t="s">
        <v>1169</v>
      </c>
      <c r="B542">
        <v>0</v>
      </c>
      <c r="C542">
        <v>0</v>
      </c>
      <c r="D542">
        <v>3</v>
      </c>
      <c r="E542">
        <v>1</v>
      </c>
      <c r="F542">
        <v>2</v>
      </c>
      <c r="G542">
        <v>3</v>
      </c>
      <c r="H542">
        <v>0</v>
      </c>
      <c r="I542">
        <v>0</v>
      </c>
      <c r="J542">
        <v>0</v>
      </c>
      <c r="K542">
        <v>2</v>
      </c>
      <c r="L542">
        <v>0</v>
      </c>
      <c r="M542">
        <v>2</v>
      </c>
      <c r="N542">
        <v>90</v>
      </c>
      <c r="O542">
        <v>13</v>
      </c>
    </row>
    <row r="543" spans="1:15" x14ac:dyDescent="0.25">
      <c r="A543" t="s">
        <v>1171</v>
      </c>
      <c r="B543">
        <v>1</v>
      </c>
      <c r="C543">
        <v>2</v>
      </c>
      <c r="D543">
        <v>0</v>
      </c>
      <c r="E543">
        <v>0</v>
      </c>
      <c r="F543">
        <v>0</v>
      </c>
      <c r="G543">
        <v>2</v>
      </c>
      <c r="H543">
        <v>0</v>
      </c>
      <c r="I543">
        <v>-2</v>
      </c>
      <c r="J543">
        <v>2</v>
      </c>
      <c r="K543">
        <v>0</v>
      </c>
      <c r="L543">
        <v>-1</v>
      </c>
      <c r="M543">
        <v>0</v>
      </c>
      <c r="N543">
        <v>12</v>
      </c>
      <c r="O543">
        <v>4</v>
      </c>
    </row>
    <row r="544" spans="1:15" x14ac:dyDescent="0.25">
      <c r="A544" t="s">
        <v>1172</v>
      </c>
      <c r="B544">
        <v>0</v>
      </c>
      <c r="C544">
        <v>1</v>
      </c>
      <c r="D544">
        <v>1</v>
      </c>
      <c r="E544">
        <v>1</v>
      </c>
      <c r="F544">
        <v>2</v>
      </c>
      <c r="G544">
        <v>5</v>
      </c>
      <c r="H544">
        <v>0</v>
      </c>
      <c r="I544">
        <v>-1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10</v>
      </c>
    </row>
    <row r="545" spans="1:15" x14ac:dyDescent="0.25">
      <c r="A545" t="s">
        <v>1173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48</v>
      </c>
      <c r="O545">
        <v>2</v>
      </c>
    </row>
    <row r="546" spans="1:15" x14ac:dyDescent="0.25">
      <c r="A546" t="s">
        <v>1174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56</v>
      </c>
      <c r="O546">
        <v>0</v>
      </c>
    </row>
    <row r="547" spans="1:15" x14ac:dyDescent="0.25">
      <c r="A547" t="s">
        <v>1151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1</v>
      </c>
    </row>
    <row r="548" spans="1:15" x14ac:dyDescent="0.25">
      <c r="A548" t="s">
        <v>1466</v>
      </c>
      <c r="B548">
        <v>0</v>
      </c>
      <c r="C548">
        <v>1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57</v>
      </c>
      <c r="O548">
        <v>3</v>
      </c>
    </row>
    <row r="549" spans="1:15" x14ac:dyDescent="0.25">
      <c r="A549" t="s">
        <v>1468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37</v>
      </c>
      <c r="O549">
        <v>1</v>
      </c>
    </row>
    <row r="550" spans="1:15" x14ac:dyDescent="0.25">
      <c r="A550" t="s">
        <v>1469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39</v>
      </c>
      <c r="O550">
        <v>1</v>
      </c>
    </row>
    <row r="551" spans="1:15" x14ac:dyDescent="0.25">
      <c r="A551" t="s">
        <v>1462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33</v>
      </c>
      <c r="O551">
        <v>0</v>
      </c>
    </row>
    <row r="552" spans="1:15" x14ac:dyDescent="0.25">
      <c r="A552" t="s">
        <v>1464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33</v>
      </c>
      <c r="O552">
        <v>0</v>
      </c>
    </row>
    <row r="553" spans="1:15" x14ac:dyDescent="0.25">
      <c r="A553" t="s">
        <v>1465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40</v>
      </c>
      <c r="O553">
        <v>0</v>
      </c>
    </row>
    <row r="554" spans="1:15" x14ac:dyDescent="0.25">
      <c r="A554" t="s">
        <v>1153</v>
      </c>
      <c r="B554">
        <v>1</v>
      </c>
      <c r="C554">
        <v>0</v>
      </c>
      <c r="D554">
        <v>1</v>
      </c>
      <c r="E554">
        <v>0</v>
      </c>
      <c r="F554">
        <v>1</v>
      </c>
      <c r="G554">
        <v>-1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57</v>
      </c>
      <c r="O554">
        <v>2</v>
      </c>
    </row>
    <row r="555" spans="1:15" x14ac:dyDescent="0.25">
      <c r="A555" t="s">
        <v>1155</v>
      </c>
      <c r="B555">
        <v>0</v>
      </c>
      <c r="C555">
        <v>0</v>
      </c>
      <c r="D555">
        <v>2</v>
      </c>
      <c r="E555">
        <v>3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39</v>
      </c>
      <c r="O555">
        <v>6</v>
      </c>
    </row>
    <row r="556" spans="1:15" x14ac:dyDescent="0.25">
      <c r="A556" t="s">
        <v>1156</v>
      </c>
      <c r="B556">
        <v>0</v>
      </c>
      <c r="C556">
        <v>0</v>
      </c>
      <c r="D556">
        <v>7</v>
      </c>
      <c r="E556">
        <v>0</v>
      </c>
      <c r="F556">
        <v>1</v>
      </c>
      <c r="G556">
        <v>0</v>
      </c>
      <c r="H556">
        <v>1</v>
      </c>
      <c r="I556">
        <v>2</v>
      </c>
      <c r="J556">
        <v>0</v>
      </c>
      <c r="K556">
        <v>0</v>
      </c>
      <c r="L556">
        <v>1</v>
      </c>
      <c r="M556">
        <v>0</v>
      </c>
      <c r="N556">
        <v>35</v>
      </c>
      <c r="O556">
        <v>12</v>
      </c>
    </row>
    <row r="557" spans="1:15" x14ac:dyDescent="0.25">
      <c r="A557" t="s">
        <v>657</v>
      </c>
      <c r="B557">
        <v>2</v>
      </c>
      <c r="C557">
        <v>1</v>
      </c>
      <c r="D557">
        <v>1</v>
      </c>
      <c r="E557">
        <v>0</v>
      </c>
      <c r="F557">
        <v>0</v>
      </c>
      <c r="G557">
        <v>1</v>
      </c>
      <c r="H557">
        <v>1</v>
      </c>
      <c r="I557">
        <v>1</v>
      </c>
      <c r="J557">
        <v>0</v>
      </c>
      <c r="K557">
        <v>2</v>
      </c>
      <c r="L557">
        <v>2.3199999999999998</v>
      </c>
      <c r="M557">
        <v>2</v>
      </c>
      <c r="N557">
        <v>4.68</v>
      </c>
      <c r="O557">
        <v>13.32</v>
      </c>
    </row>
    <row r="558" spans="1:15" x14ac:dyDescent="0.25">
      <c r="A558" t="s">
        <v>658</v>
      </c>
      <c r="B558">
        <v>3</v>
      </c>
      <c r="C558">
        <v>1</v>
      </c>
      <c r="D558">
        <v>3</v>
      </c>
      <c r="E558">
        <v>1</v>
      </c>
      <c r="F558">
        <v>1</v>
      </c>
      <c r="G558">
        <v>4</v>
      </c>
      <c r="H558">
        <v>10</v>
      </c>
      <c r="I558">
        <v>2</v>
      </c>
      <c r="J558">
        <v>2</v>
      </c>
      <c r="K558">
        <v>4</v>
      </c>
      <c r="L558">
        <v>2</v>
      </c>
      <c r="M558">
        <v>3</v>
      </c>
      <c r="N558">
        <v>13</v>
      </c>
      <c r="O558">
        <v>36</v>
      </c>
    </row>
    <row r="559" spans="1:15" x14ac:dyDescent="0.25">
      <c r="A559" t="s">
        <v>710</v>
      </c>
      <c r="B559">
        <v>3</v>
      </c>
      <c r="C559">
        <v>1</v>
      </c>
      <c r="D559">
        <v>7</v>
      </c>
      <c r="E559">
        <v>7</v>
      </c>
      <c r="F559">
        <v>1</v>
      </c>
      <c r="G559">
        <v>7</v>
      </c>
      <c r="H559">
        <v>1</v>
      </c>
      <c r="I559">
        <v>4</v>
      </c>
      <c r="J559">
        <v>3</v>
      </c>
      <c r="K559">
        <v>5</v>
      </c>
      <c r="L559">
        <v>4</v>
      </c>
      <c r="M559">
        <v>0</v>
      </c>
      <c r="N559">
        <v>21</v>
      </c>
      <c r="O559">
        <v>43</v>
      </c>
    </row>
    <row r="560" spans="1:15" x14ac:dyDescent="0.25">
      <c r="A560" t="s">
        <v>1128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25">
      <c r="A561" t="s">
        <v>1130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25">
      <c r="A562" t="s">
        <v>1132</v>
      </c>
      <c r="B562">
        <v>2</v>
      </c>
      <c r="C562">
        <v>1</v>
      </c>
      <c r="D562">
        <v>8</v>
      </c>
      <c r="E562">
        <v>1</v>
      </c>
      <c r="F562">
        <v>0</v>
      </c>
      <c r="G562">
        <v>2</v>
      </c>
      <c r="H562">
        <v>2</v>
      </c>
      <c r="I562">
        <v>3</v>
      </c>
      <c r="J562">
        <v>4</v>
      </c>
      <c r="K562">
        <v>8</v>
      </c>
      <c r="L562">
        <v>2</v>
      </c>
      <c r="M562">
        <v>2</v>
      </c>
      <c r="N562">
        <v>104</v>
      </c>
      <c r="O562">
        <v>35</v>
      </c>
    </row>
    <row r="563" spans="1:15" x14ac:dyDescent="0.25">
      <c r="A563" t="s">
        <v>1134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25">
      <c r="A564" t="s">
        <v>1135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 t="s">
        <v>1136</v>
      </c>
      <c r="B565">
        <v>0</v>
      </c>
      <c r="C565">
        <v>0</v>
      </c>
      <c r="D565">
        <v>3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1</v>
      </c>
      <c r="L565">
        <v>2</v>
      </c>
      <c r="M565">
        <v>0</v>
      </c>
      <c r="N565">
        <v>23</v>
      </c>
      <c r="O565">
        <v>7</v>
      </c>
    </row>
    <row r="566" spans="1:15" x14ac:dyDescent="0.25">
      <c r="A566" t="s">
        <v>1137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2</v>
      </c>
      <c r="I566">
        <v>0</v>
      </c>
      <c r="J566">
        <v>0</v>
      </c>
      <c r="K566">
        <v>1</v>
      </c>
      <c r="L566">
        <v>3</v>
      </c>
      <c r="M566">
        <v>0</v>
      </c>
      <c r="N566">
        <v>29</v>
      </c>
      <c r="O566">
        <v>6</v>
      </c>
    </row>
    <row r="567" spans="1:15" x14ac:dyDescent="0.25">
      <c r="A567" t="s">
        <v>1346</v>
      </c>
      <c r="B567">
        <v>0</v>
      </c>
      <c r="C567">
        <v>0</v>
      </c>
      <c r="D567">
        <v>1</v>
      </c>
      <c r="E567">
        <v>0</v>
      </c>
      <c r="F567">
        <v>3</v>
      </c>
      <c r="G567">
        <v>2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4</v>
      </c>
      <c r="O567">
        <v>7</v>
      </c>
    </row>
    <row r="568" spans="1:15" x14ac:dyDescent="0.25">
      <c r="A568" t="s">
        <v>1348</v>
      </c>
      <c r="B568">
        <v>0</v>
      </c>
      <c r="C568">
        <v>0</v>
      </c>
      <c r="D568">
        <v>1</v>
      </c>
      <c r="E568">
        <v>0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8</v>
      </c>
      <c r="O568">
        <v>4</v>
      </c>
    </row>
    <row r="569" spans="1:15" x14ac:dyDescent="0.25">
      <c r="A569" t="s">
        <v>1349</v>
      </c>
      <c r="B569">
        <v>7</v>
      </c>
      <c r="C569">
        <v>5</v>
      </c>
      <c r="D569">
        <v>3</v>
      </c>
      <c r="E569">
        <v>5</v>
      </c>
      <c r="F569">
        <v>2</v>
      </c>
      <c r="G569">
        <v>2</v>
      </c>
      <c r="H569">
        <v>0</v>
      </c>
      <c r="I569">
        <v>5</v>
      </c>
      <c r="J569">
        <v>3</v>
      </c>
      <c r="K569">
        <v>5</v>
      </c>
      <c r="L569">
        <v>2</v>
      </c>
      <c r="M569">
        <v>1</v>
      </c>
      <c r="N569">
        <v>13</v>
      </c>
      <c r="O569">
        <v>40</v>
      </c>
    </row>
    <row r="570" spans="1:15" x14ac:dyDescent="0.25">
      <c r="A570" t="s">
        <v>1350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25">
      <c r="A571" t="s">
        <v>1352</v>
      </c>
      <c r="B571">
        <v>0</v>
      </c>
      <c r="C571">
        <v>0</v>
      </c>
      <c r="D571">
        <v>0</v>
      </c>
      <c r="E571">
        <v>0</v>
      </c>
      <c r="F571">
        <v>3</v>
      </c>
      <c r="G571">
        <v>2</v>
      </c>
      <c r="H571">
        <v>2</v>
      </c>
      <c r="I571">
        <v>4</v>
      </c>
      <c r="J571">
        <v>3</v>
      </c>
      <c r="K571">
        <v>10</v>
      </c>
      <c r="L571">
        <v>4</v>
      </c>
      <c r="M571">
        <v>1</v>
      </c>
      <c r="N571">
        <v>24</v>
      </c>
      <c r="O571">
        <v>29</v>
      </c>
    </row>
    <row r="572" spans="1:15" x14ac:dyDescent="0.25">
      <c r="A572" t="s">
        <v>1353</v>
      </c>
      <c r="B572">
        <v>6</v>
      </c>
      <c r="C572">
        <v>5</v>
      </c>
      <c r="D572">
        <v>7</v>
      </c>
      <c r="E572">
        <v>5</v>
      </c>
      <c r="F572">
        <v>0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25</v>
      </c>
    </row>
    <row r="573" spans="1:15" x14ac:dyDescent="0.25">
      <c r="A573" t="s">
        <v>1354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25">
      <c r="A574" t="s">
        <v>1356</v>
      </c>
      <c r="B574">
        <v>2</v>
      </c>
      <c r="C574">
        <v>1</v>
      </c>
      <c r="D574">
        <v>2</v>
      </c>
      <c r="E574">
        <v>2</v>
      </c>
      <c r="F574">
        <v>0</v>
      </c>
      <c r="G574">
        <v>0</v>
      </c>
      <c r="H574">
        <v>0</v>
      </c>
      <c r="I574">
        <v>-2</v>
      </c>
      <c r="J574">
        <v>0</v>
      </c>
      <c r="K574">
        <v>0</v>
      </c>
      <c r="L574">
        <v>0</v>
      </c>
      <c r="M574">
        <v>0</v>
      </c>
      <c r="N574">
        <v>6</v>
      </c>
      <c r="O574">
        <v>5</v>
      </c>
    </row>
    <row r="575" spans="1:15" x14ac:dyDescent="0.25">
      <c r="A575" t="s">
        <v>1357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11</v>
      </c>
      <c r="O575">
        <v>1</v>
      </c>
    </row>
    <row r="576" spans="1:15" x14ac:dyDescent="0.25">
      <c r="A576" t="s">
        <v>1181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25">
      <c r="A577" t="s">
        <v>1182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25">
      <c r="A578" t="s">
        <v>1184</v>
      </c>
      <c r="B578">
        <v>0</v>
      </c>
      <c r="C578">
        <v>2</v>
      </c>
      <c r="D578">
        <v>3</v>
      </c>
      <c r="E578">
        <v>7</v>
      </c>
      <c r="F578">
        <v>2</v>
      </c>
      <c r="G578">
        <v>4</v>
      </c>
      <c r="H578">
        <v>0</v>
      </c>
      <c r="I578">
        <v>6</v>
      </c>
      <c r="J578">
        <v>2</v>
      </c>
      <c r="K578">
        <v>2</v>
      </c>
      <c r="L578">
        <v>5</v>
      </c>
      <c r="M578">
        <v>4</v>
      </c>
      <c r="N578">
        <v>30</v>
      </c>
      <c r="O578">
        <v>37</v>
      </c>
    </row>
    <row r="579" spans="1:15" x14ac:dyDescent="0.25">
      <c r="A579" t="s">
        <v>1186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25">
      <c r="A580" t="s">
        <v>1188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25">
      <c r="A581" t="s">
        <v>1190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25">
      <c r="A582" t="s">
        <v>1192</v>
      </c>
      <c r="B582">
        <v>2</v>
      </c>
      <c r="C582">
        <v>0</v>
      </c>
      <c r="D582">
        <v>0</v>
      </c>
      <c r="E582">
        <v>0</v>
      </c>
      <c r="F582">
        <v>0</v>
      </c>
      <c r="G582">
        <v>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4</v>
      </c>
      <c r="O582">
        <v>4</v>
      </c>
    </row>
    <row r="583" spans="1:15" x14ac:dyDescent="0.25">
      <c r="A583" t="s">
        <v>1194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25">
      <c r="A584" t="s">
        <v>1196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25">
      <c r="A585" t="s">
        <v>756</v>
      </c>
      <c r="B585">
        <v>23</v>
      </c>
      <c r="C585">
        <v>19</v>
      </c>
      <c r="D585">
        <v>14</v>
      </c>
      <c r="E585">
        <v>24</v>
      </c>
      <c r="F585">
        <v>15</v>
      </c>
      <c r="G585">
        <v>24</v>
      </c>
      <c r="H585">
        <v>18</v>
      </c>
      <c r="I585">
        <v>20</v>
      </c>
      <c r="J585">
        <v>20</v>
      </c>
      <c r="K585">
        <v>26</v>
      </c>
      <c r="L585">
        <v>38</v>
      </c>
      <c r="M585">
        <v>17</v>
      </c>
      <c r="N585">
        <v>72</v>
      </c>
      <c r="O585">
        <v>258</v>
      </c>
    </row>
    <row r="586" spans="1:15" x14ac:dyDescent="0.25">
      <c r="A586" t="s">
        <v>1197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25">
      <c r="A587" t="s">
        <v>1198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25">
      <c r="A588" t="s">
        <v>1199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25">
      <c r="A589" t="s">
        <v>1200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25">
      <c r="A590" t="s">
        <v>1202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25">
      <c r="A591" t="s">
        <v>1203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1</v>
      </c>
      <c r="L591">
        <v>4</v>
      </c>
      <c r="M591">
        <v>0</v>
      </c>
      <c r="N591">
        <v>24</v>
      </c>
      <c r="O591">
        <v>6</v>
      </c>
    </row>
    <row r="592" spans="1:15" x14ac:dyDescent="0.25">
      <c r="A592" t="s">
        <v>1204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25">
      <c r="A593" t="s">
        <v>1205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25">
      <c r="A594" t="s">
        <v>1206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25">
      <c r="A595" t="s">
        <v>1207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25">
      <c r="A596" t="s">
        <v>1209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25">
      <c r="A597" t="s">
        <v>757</v>
      </c>
      <c r="B597">
        <v>13</v>
      </c>
      <c r="C597">
        <v>8</v>
      </c>
      <c r="D597">
        <v>23</v>
      </c>
      <c r="E597">
        <v>19</v>
      </c>
      <c r="F597">
        <v>13</v>
      </c>
      <c r="G597">
        <v>5</v>
      </c>
      <c r="H597">
        <v>11</v>
      </c>
      <c r="I597">
        <v>7</v>
      </c>
      <c r="J597">
        <v>10</v>
      </c>
      <c r="K597">
        <v>18</v>
      </c>
      <c r="L597">
        <v>15</v>
      </c>
      <c r="M597">
        <v>8</v>
      </c>
      <c r="N597">
        <v>46</v>
      </c>
      <c r="O597">
        <v>150</v>
      </c>
    </row>
    <row r="598" spans="1:15" x14ac:dyDescent="0.25">
      <c r="A598" t="s">
        <v>1210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25">
      <c r="A599" t="s">
        <v>1211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25">
      <c r="A600" t="s">
        <v>1212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25">
      <c r="A601" t="s">
        <v>1213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25">
      <c r="A602" t="s">
        <v>1214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25">
      <c r="A603" t="s">
        <v>1215</v>
      </c>
      <c r="B603">
        <v>1</v>
      </c>
      <c r="C603">
        <v>0</v>
      </c>
      <c r="D603">
        <v>0</v>
      </c>
      <c r="E603">
        <v>0</v>
      </c>
      <c r="F603">
        <v>1</v>
      </c>
      <c r="G603">
        <v>2</v>
      </c>
      <c r="H603">
        <v>3</v>
      </c>
      <c r="I603">
        <v>-2</v>
      </c>
      <c r="J603">
        <v>0</v>
      </c>
      <c r="K603">
        <v>1</v>
      </c>
      <c r="L603">
        <v>0</v>
      </c>
      <c r="M603">
        <v>0</v>
      </c>
      <c r="N603">
        <v>23</v>
      </c>
      <c r="O603">
        <v>6</v>
      </c>
    </row>
    <row r="604" spans="1:15" x14ac:dyDescent="0.25">
      <c r="A604" t="s">
        <v>1216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25">
      <c r="A605" t="s">
        <v>1217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25">
      <c r="A606" t="s">
        <v>1218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25">
      <c r="A607" t="s">
        <v>1245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25">
      <c r="A608" t="s">
        <v>1246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 t="s">
        <v>1247</v>
      </c>
      <c r="B609">
        <v>5</v>
      </c>
      <c r="C609">
        <v>8</v>
      </c>
      <c r="D609">
        <v>7</v>
      </c>
      <c r="E609">
        <v>8</v>
      </c>
      <c r="F609">
        <v>6</v>
      </c>
      <c r="G609">
        <v>3</v>
      </c>
      <c r="H609">
        <v>1</v>
      </c>
      <c r="I609">
        <v>2</v>
      </c>
      <c r="J609">
        <v>3</v>
      </c>
      <c r="K609">
        <v>1</v>
      </c>
      <c r="L609">
        <v>3</v>
      </c>
      <c r="M609">
        <v>1</v>
      </c>
      <c r="N609">
        <v>30</v>
      </c>
      <c r="O609">
        <v>48</v>
      </c>
    </row>
    <row r="610" spans="1:15" x14ac:dyDescent="0.25">
      <c r="A610" t="s">
        <v>1248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25">
      <c r="A611" t="s">
        <v>1249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25">
      <c r="A612" t="s">
        <v>758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25">
      <c r="A613" t="s">
        <v>1256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25">
      <c r="A614" t="s">
        <v>1257</v>
      </c>
      <c r="B614">
        <v>2</v>
      </c>
      <c r="C614">
        <v>7</v>
      </c>
      <c r="D614">
        <v>0</v>
      </c>
      <c r="E614">
        <v>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15</v>
      </c>
    </row>
    <row r="615" spans="1:15" x14ac:dyDescent="0.25">
      <c r="A615" t="s">
        <v>760</v>
      </c>
      <c r="B615">
        <v>3</v>
      </c>
      <c r="C615">
        <v>5</v>
      </c>
      <c r="D615">
        <v>6</v>
      </c>
      <c r="E615">
        <v>6</v>
      </c>
      <c r="F615">
        <v>9</v>
      </c>
      <c r="G615">
        <v>2</v>
      </c>
      <c r="H615">
        <v>8</v>
      </c>
      <c r="I615">
        <v>7</v>
      </c>
      <c r="J615">
        <v>0</v>
      </c>
      <c r="K615">
        <v>1</v>
      </c>
      <c r="L615">
        <v>2</v>
      </c>
      <c r="M615">
        <v>3</v>
      </c>
      <c r="N615">
        <v>49</v>
      </c>
      <c r="O615">
        <v>52</v>
      </c>
    </row>
    <row r="616" spans="1:15" x14ac:dyDescent="0.25">
      <c r="A616" t="s">
        <v>1258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25">
      <c r="A617" t="s">
        <v>1259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25">
      <c r="A618" t="s">
        <v>1260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25">
      <c r="A619" t="s">
        <v>1266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25">
      <c r="A620" t="s">
        <v>1268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25">
      <c r="A621" t="s">
        <v>1269</v>
      </c>
      <c r="B621">
        <v>0</v>
      </c>
      <c r="C621">
        <v>0</v>
      </c>
      <c r="D621">
        <v>0</v>
      </c>
      <c r="E621">
        <v>3</v>
      </c>
      <c r="F621">
        <v>0</v>
      </c>
      <c r="G621">
        <v>2</v>
      </c>
      <c r="H621">
        <v>1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4</v>
      </c>
      <c r="O621">
        <v>8</v>
      </c>
    </row>
    <row r="622" spans="1:15" x14ac:dyDescent="0.25">
      <c r="A622" t="s">
        <v>1270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25">
      <c r="A623" t="s">
        <v>1271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25">
      <c r="A624" t="s">
        <v>1272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25">
      <c r="A625" t="s">
        <v>1279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25">
      <c r="A626" t="s">
        <v>1280</v>
      </c>
      <c r="B626">
        <v>0</v>
      </c>
      <c r="C626">
        <v>0</v>
      </c>
      <c r="D626">
        <v>0</v>
      </c>
      <c r="E626">
        <v>0</v>
      </c>
      <c r="F626">
        <v>2</v>
      </c>
      <c r="G626">
        <v>1</v>
      </c>
      <c r="H626">
        <v>3</v>
      </c>
      <c r="I626">
        <v>1</v>
      </c>
      <c r="J626">
        <v>0</v>
      </c>
      <c r="K626">
        <v>3</v>
      </c>
      <c r="L626">
        <v>3</v>
      </c>
      <c r="M626">
        <v>0</v>
      </c>
      <c r="N626">
        <v>45</v>
      </c>
      <c r="O626">
        <v>13</v>
      </c>
    </row>
    <row r="627" spans="1:15" x14ac:dyDescent="0.25">
      <c r="A627" t="s">
        <v>762</v>
      </c>
      <c r="B627">
        <v>5</v>
      </c>
      <c r="C627">
        <v>3</v>
      </c>
      <c r="D627">
        <v>4</v>
      </c>
      <c r="E627">
        <v>5</v>
      </c>
      <c r="F627">
        <v>8</v>
      </c>
      <c r="G627">
        <v>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0.75</v>
      </c>
      <c r="O627">
        <v>27</v>
      </c>
    </row>
    <row r="628" spans="1:15" x14ac:dyDescent="0.25">
      <c r="A628" t="s">
        <v>1281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25">
      <c r="A629" t="s">
        <v>1282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25">
      <c r="A630" t="s">
        <v>1283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25">
      <c r="A631" t="s">
        <v>1289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25">
      <c r="A632" t="s">
        <v>1290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1</v>
      </c>
      <c r="I632">
        <v>0</v>
      </c>
      <c r="J632">
        <v>0</v>
      </c>
      <c r="K632">
        <v>0</v>
      </c>
      <c r="L632">
        <v>2</v>
      </c>
      <c r="M632">
        <v>1</v>
      </c>
      <c r="N632">
        <v>75</v>
      </c>
      <c r="O632">
        <v>6</v>
      </c>
    </row>
    <row r="633" spans="1:15" x14ac:dyDescent="0.25">
      <c r="A633" t="s">
        <v>763</v>
      </c>
      <c r="B633">
        <v>2</v>
      </c>
      <c r="C633">
        <v>4</v>
      </c>
      <c r="D633">
        <v>2</v>
      </c>
      <c r="E633">
        <v>9</v>
      </c>
      <c r="F633">
        <v>1</v>
      </c>
      <c r="G633">
        <v>0</v>
      </c>
      <c r="H633">
        <v>1</v>
      </c>
      <c r="I633">
        <v>0</v>
      </c>
      <c r="J633">
        <v>4</v>
      </c>
      <c r="K633">
        <v>0</v>
      </c>
      <c r="L633">
        <v>0</v>
      </c>
      <c r="M633">
        <v>0</v>
      </c>
      <c r="N633">
        <v>0</v>
      </c>
      <c r="O633">
        <v>23</v>
      </c>
    </row>
    <row r="634" spans="1:15" x14ac:dyDescent="0.25">
      <c r="A634" t="s">
        <v>1291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25">
      <c r="A635" t="s">
        <v>1292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25">
      <c r="A636" t="s">
        <v>1293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25">
      <c r="A637" t="s">
        <v>1251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25">
      <c r="A638" t="s">
        <v>1250</v>
      </c>
      <c r="B638">
        <v>6</v>
      </c>
      <c r="C638">
        <v>4</v>
      </c>
      <c r="D638">
        <v>2</v>
      </c>
      <c r="E638">
        <v>5</v>
      </c>
      <c r="F638">
        <v>5</v>
      </c>
      <c r="G638">
        <v>1</v>
      </c>
      <c r="H638">
        <v>0</v>
      </c>
      <c r="I638">
        <v>0</v>
      </c>
      <c r="J638">
        <v>0</v>
      </c>
      <c r="K638">
        <v>2</v>
      </c>
      <c r="L638">
        <v>1</v>
      </c>
      <c r="M638">
        <v>4</v>
      </c>
      <c r="N638">
        <v>18.75</v>
      </c>
      <c r="O638">
        <v>30</v>
      </c>
    </row>
    <row r="639" spans="1:15" x14ac:dyDescent="0.25">
      <c r="A639" t="s">
        <v>1252</v>
      </c>
      <c r="B639">
        <v>2</v>
      </c>
      <c r="C639">
        <v>2</v>
      </c>
      <c r="D639">
        <v>2</v>
      </c>
      <c r="E639">
        <v>4</v>
      </c>
      <c r="F639">
        <v>2</v>
      </c>
      <c r="G639">
        <v>0</v>
      </c>
      <c r="H639">
        <v>2</v>
      </c>
      <c r="I639">
        <v>0</v>
      </c>
      <c r="J639">
        <v>0</v>
      </c>
      <c r="K639">
        <v>3</v>
      </c>
      <c r="L639">
        <v>5</v>
      </c>
      <c r="M639">
        <v>2</v>
      </c>
      <c r="N639">
        <v>6</v>
      </c>
      <c r="O639">
        <v>24</v>
      </c>
    </row>
    <row r="640" spans="1:15" x14ac:dyDescent="0.25">
      <c r="A640" t="s">
        <v>1253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25">
      <c r="A641" t="s">
        <v>1254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-1</v>
      </c>
      <c r="M641">
        <v>0</v>
      </c>
      <c r="N641">
        <v>0</v>
      </c>
      <c r="O641">
        <v>-1</v>
      </c>
    </row>
    <row r="642" spans="1:15" x14ac:dyDescent="0.25">
      <c r="A642" t="s">
        <v>1255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25">
      <c r="A643" t="s">
        <v>1262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25">
      <c r="A644" t="s">
        <v>1261</v>
      </c>
      <c r="B644">
        <v>3</v>
      </c>
      <c r="C644">
        <v>0</v>
      </c>
      <c r="D644">
        <v>0</v>
      </c>
      <c r="E644">
        <v>1</v>
      </c>
      <c r="F644">
        <v>1</v>
      </c>
      <c r="G644">
        <v>3</v>
      </c>
      <c r="H644">
        <v>2</v>
      </c>
      <c r="I644">
        <v>0</v>
      </c>
      <c r="J644">
        <v>3</v>
      </c>
      <c r="K644">
        <v>1</v>
      </c>
      <c r="L644">
        <v>3</v>
      </c>
      <c r="M644">
        <v>2</v>
      </c>
      <c r="N644">
        <v>9</v>
      </c>
      <c r="O644">
        <v>19</v>
      </c>
    </row>
    <row r="645" spans="1:15" x14ac:dyDescent="0.25">
      <c r="A645" t="s">
        <v>759</v>
      </c>
      <c r="B645">
        <v>5</v>
      </c>
      <c r="C645">
        <v>1</v>
      </c>
      <c r="D645">
        <v>6</v>
      </c>
      <c r="E645">
        <v>4</v>
      </c>
      <c r="F645">
        <v>4</v>
      </c>
      <c r="G645">
        <v>1</v>
      </c>
      <c r="H645">
        <v>2</v>
      </c>
      <c r="I645">
        <v>2</v>
      </c>
      <c r="J645">
        <v>0</v>
      </c>
      <c r="K645">
        <v>3</v>
      </c>
      <c r="L645">
        <v>5</v>
      </c>
      <c r="M645">
        <v>0</v>
      </c>
      <c r="N645">
        <v>1</v>
      </c>
      <c r="O645">
        <v>33</v>
      </c>
    </row>
    <row r="646" spans="1:15" x14ac:dyDescent="0.25">
      <c r="A646" t="s">
        <v>1263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25">
      <c r="A647" t="s">
        <v>1264</v>
      </c>
      <c r="B647">
        <v>1</v>
      </c>
      <c r="C647">
        <v>2</v>
      </c>
      <c r="D647">
        <v>3</v>
      </c>
      <c r="E647">
        <v>3</v>
      </c>
      <c r="F647">
        <v>0</v>
      </c>
      <c r="G647">
        <v>3</v>
      </c>
      <c r="H647">
        <v>1</v>
      </c>
      <c r="I647">
        <v>3</v>
      </c>
      <c r="J647">
        <v>2</v>
      </c>
      <c r="K647">
        <v>5</v>
      </c>
      <c r="L647">
        <v>1</v>
      </c>
      <c r="M647">
        <v>3</v>
      </c>
      <c r="N647">
        <v>16</v>
      </c>
      <c r="O647">
        <v>27</v>
      </c>
    </row>
    <row r="648" spans="1:15" x14ac:dyDescent="0.25">
      <c r="A648" t="s">
        <v>1265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25">
      <c r="A649" t="s">
        <v>1274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25">
      <c r="A650" t="s">
        <v>1273</v>
      </c>
      <c r="B650">
        <v>3</v>
      </c>
      <c r="C650">
        <v>0</v>
      </c>
      <c r="D650">
        <v>1</v>
      </c>
      <c r="E650">
        <v>0</v>
      </c>
      <c r="F650">
        <v>0</v>
      </c>
      <c r="G650">
        <v>3</v>
      </c>
      <c r="H650">
        <v>1</v>
      </c>
      <c r="I650">
        <v>1</v>
      </c>
      <c r="J650">
        <v>1</v>
      </c>
      <c r="K650">
        <v>0</v>
      </c>
      <c r="L650">
        <v>0</v>
      </c>
      <c r="M650">
        <v>0</v>
      </c>
      <c r="N650">
        <v>70</v>
      </c>
      <c r="O650">
        <v>10</v>
      </c>
    </row>
    <row r="651" spans="1:15" x14ac:dyDescent="0.25">
      <c r="A651" t="s">
        <v>1275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 t="s">
        <v>1276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25">
      <c r="A653" t="s">
        <v>1277</v>
      </c>
      <c r="B653">
        <v>0</v>
      </c>
      <c r="C653">
        <v>0</v>
      </c>
      <c r="D653">
        <v>0</v>
      </c>
      <c r="E653">
        <v>0</v>
      </c>
      <c r="F653">
        <v>2</v>
      </c>
      <c r="G653">
        <v>1</v>
      </c>
      <c r="H653">
        <v>1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6</v>
      </c>
      <c r="O653">
        <v>5</v>
      </c>
    </row>
    <row r="654" spans="1:15" x14ac:dyDescent="0.25">
      <c r="A654" t="s">
        <v>1278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25">
      <c r="A655" t="s">
        <v>1285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25">
      <c r="A656" t="s">
        <v>1284</v>
      </c>
      <c r="B656">
        <v>3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3</v>
      </c>
      <c r="I656">
        <v>1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9</v>
      </c>
    </row>
    <row r="657" spans="1:15" x14ac:dyDescent="0.25">
      <c r="A657" t="s">
        <v>761</v>
      </c>
      <c r="B657">
        <v>13</v>
      </c>
      <c r="C657">
        <v>2</v>
      </c>
      <c r="D657">
        <v>10</v>
      </c>
      <c r="E657">
        <v>3</v>
      </c>
      <c r="F657">
        <v>4</v>
      </c>
      <c r="G657">
        <v>3</v>
      </c>
      <c r="H657">
        <v>0</v>
      </c>
      <c r="I657">
        <v>4</v>
      </c>
      <c r="J657">
        <v>3</v>
      </c>
      <c r="K657">
        <v>4</v>
      </c>
      <c r="L657">
        <v>0</v>
      </c>
      <c r="M657">
        <v>3</v>
      </c>
      <c r="N657">
        <v>22.75</v>
      </c>
      <c r="O657">
        <v>49</v>
      </c>
    </row>
    <row r="658" spans="1:15" x14ac:dyDescent="0.25">
      <c r="A658" t="s">
        <v>1286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25">
      <c r="A659" t="s">
        <v>1287</v>
      </c>
      <c r="B659">
        <v>0</v>
      </c>
      <c r="C659">
        <v>1</v>
      </c>
      <c r="D659">
        <v>0</v>
      </c>
      <c r="E659">
        <v>2</v>
      </c>
      <c r="F659">
        <v>1</v>
      </c>
      <c r="G659">
        <v>0</v>
      </c>
      <c r="H659">
        <v>0</v>
      </c>
      <c r="I659">
        <v>1</v>
      </c>
      <c r="J659">
        <v>0</v>
      </c>
      <c r="K659">
        <v>1</v>
      </c>
      <c r="L659">
        <v>-1</v>
      </c>
      <c r="M659">
        <v>0</v>
      </c>
      <c r="N659">
        <v>16</v>
      </c>
      <c r="O659">
        <v>5</v>
      </c>
    </row>
    <row r="660" spans="1:15" x14ac:dyDescent="0.25">
      <c r="A660" t="s">
        <v>1288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25">
      <c r="A661" t="s">
        <v>1295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25">
      <c r="A662" t="s">
        <v>1294</v>
      </c>
      <c r="B662">
        <v>3</v>
      </c>
      <c r="C662">
        <v>0</v>
      </c>
      <c r="D662">
        <v>0</v>
      </c>
      <c r="E662">
        <v>4</v>
      </c>
      <c r="F662">
        <v>1</v>
      </c>
      <c r="G662">
        <v>0</v>
      </c>
      <c r="H662">
        <v>1</v>
      </c>
      <c r="I662">
        <v>1</v>
      </c>
      <c r="J662">
        <v>1</v>
      </c>
      <c r="K662">
        <v>1</v>
      </c>
      <c r="L662">
        <v>2</v>
      </c>
      <c r="M662">
        <v>0</v>
      </c>
      <c r="N662">
        <v>8</v>
      </c>
      <c r="O662">
        <v>14</v>
      </c>
    </row>
    <row r="663" spans="1:15" x14ac:dyDescent="0.25">
      <c r="A663" t="s">
        <v>1296</v>
      </c>
      <c r="B663">
        <v>3</v>
      </c>
      <c r="C663">
        <v>0</v>
      </c>
      <c r="D663">
        <v>0</v>
      </c>
      <c r="E663">
        <v>1</v>
      </c>
      <c r="F663">
        <v>4</v>
      </c>
      <c r="G663">
        <v>3</v>
      </c>
      <c r="H663">
        <v>0</v>
      </c>
      <c r="I663">
        <v>5</v>
      </c>
      <c r="J663">
        <v>7</v>
      </c>
      <c r="K663">
        <v>3</v>
      </c>
      <c r="L663">
        <v>4</v>
      </c>
      <c r="M663">
        <v>0</v>
      </c>
      <c r="N663">
        <v>62</v>
      </c>
      <c r="O663">
        <v>30</v>
      </c>
    </row>
    <row r="664" spans="1:15" x14ac:dyDescent="0.25">
      <c r="A664" t="s">
        <v>1297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25">
      <c r="A665" t="s">
        <v>1298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25">
      <c r="A666" t="s">
        <v>1299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25">
      <c r="A667" t="s">
        <v>1219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25">
      <c r="A668" t="s">
        <v>1220</v>
      </c>
      <c r="B668">
        <v>0</v>
      </c>
      <c r="C668">
        <v>0</v>
      </c>
      <c r="D668">
        <v>1</v>
      </c>
      <c r="E668">
        <v>8</v>
      </c>
      <c r="F668">
        <v>3</v>
      </c>
      <c r="G668">
        <v>2</v>
      </c>
      <c r="H668">
        <v>1</v>
      </c>
      <c r="I668">
        <v>1</v>
      </c>
      <c r="J668">
        <v>0</v>
      </c>
      <c r="K668">
        <v>1</v>
      </c>
      <c r="L668">
        <v>0</v>
      </c>
      <c r="M668">
        <v>1</v>
      </c>
      <c r="N668">
        <v>5</v>
      </c>
      <c r="O668">
        <v>18</v>
      </c>
    </row>
    <row r="669" spans="1:15" x14ac:dyDescent="0.25">
      <c r="A669" t="s">
        <v>1221</v>
      </c>
      <c r="B669">
        <v>0</v>
      </c>
      <c r="C669">
        <v>0</v>
      </c>
      <c r="D669">
        <v>2</v>
      </c>
      <c r="E669">
        <v>4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16</v>
      </c>
      <c r="O669">
        <v>7</v>
      </c>
    </row>
    <row r="670" spans="1:15" x14ac:dyDescent="0.25">
      <c r="A670" t="s">
        <v>1222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0.25</v>
      </c>
      <c r="O670">
        <v>0</v>
      </c>
    </row>
    <row r="671" spans="1:15" x14ac:dyDescent="0.25">
      <c r="A671" t="s">
        <v>1223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3</v>
      </c>
      <c r="O671">
        <v>0</v>
      </c>
    </row>
    <row r="672" spans="1:15" x14ac:dyDescent="0.25">
      <c r="A672" t="s">
        <v>1224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2.25</v>
      </c>
      <c r="O672">
        <v>0</v>
      </c>
    </row>
    <row r="673" spans="1:15" x14ac:dyDescent="0.25">
      <c r="A673" t="s">
        <v>1225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25">
      <c r="A674" t="s">
        <v>1227</v>
      </c>
      <c r="B674">
        <v>0</v>
      </c>
      <c r="C674">
        <v>0</v>
      </c>
      <c r="D674">
        <v>1</v>
      </c>
      <c r="E674">
        <v>2</v>
      </c>
      <c r="F674">
        <v>0</v>
      </c>
      <c r="G674">
        <v>0</v>
      </c>
      <c r="H674">
        <v>0</v>
      </c>
      <c r="I674">
        <v>-2</v>
      </c>
      <c r="J674">
        <v>0</v>
      </c>
      <c r="K674">
        <v>0</v>
      </c>
      <c r="L674">
        <v>0</v>
      </c>
      <c r="M674">
        <v>0</v>
      </c>
      <c r="N674">
        <v>11</v>
      </c>
      <c r="O674">
        <v>1</v>
      </c>
    </row>
    <row r="675" spans="1:15" x14ac:dyDescent="0.25">
      <c r="A675" t="s">
        <v>1228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25">
      <c r="A676" t="s">
        <v>1229</v>
      </c>
      <c r="B676">
        <v>0</v>
      </c>
      <c r="C676">
        <v>0</v>
      </c>
      <c r="D676">
        <v>0</v>
      </c>
      <c r="E676">
        <v>8</v>
      </c>
      <c r="F676">
        <v>4</v>
      </c>
      <c r="G676">
        <v>0</v>
      </c>
      <c r="H676">
        <v>1</v>
      </c>
      <c r="I676">
        <v>6</v>
      </c>
      <c r="J676">
        <v>1</v>
      </c>
      <c r="K676">
        <v>0</v>
      </c>
      <c r="L676">
        <v>4</v>
      </c>
      <c r="M676">
        <v>0</v>
      </c>
      <c r="N676">
        <v>6.25</v>
      </c>
      <c r="O676">
        <v>24</v>
      </c>
    </row>
    <row r="677" spans="1:15" x14ac:dyDescent="0.25">
      <c r="A677" t="s">
        <v>1230</v>
      </c>
      <c r="B677">
        <v>0</v>
      </c>
      <c r="C677">
        <v>0</v>
      </c>
      <c r="D677">
        <v>3</v>
      </c>
      <c r="E677">
        <v>2</v>
      </c>
      <c r="F677">
        <v>5</v>
      </c>
      <c r="G677">
        <v>2</v>
      </c>
      <c r="H677">
        <v>5</v>
      </c>
      <c r="I677">
        <v>2</v>
      </c>
      <c r="J677">
        <v>1</v>
      </c>
      <c r="K677">
        <v>1</v>
      </c>
      <c r="L677">
        <v>4</v>
      </c>
      <c r="M677">
        <v>0</v>
      </c>
      <c r="N677">
        <v>28</v>
      </c>
      <c r="O677">
        <v>25</v>
      </c>
    </row>
    <row r="678" spans="1:15" x14ac:dyDescent="0.25">
      <c r="A678" t="s">
        <v>1231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0.75</v>
      </c>
      <c r="O678">
        <v>0</v>
      </c>
    </row>
    <row r="679" spans="1:15" x14ac:dyDescent="0.25">
      <c r="A679" t="s">
        <v>1232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25">
      <c r="A680" t="s">
        <v>1233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0.5</v>
      </c>
      <c r="O680">
        <v>0</v>
      </c>
    </row>
    <row r="681" spans="1:15" x14ac:dyDescent="0.25">
      <c r="A681" t="s">
        <v>1234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25">
      <c r="A682" t="s">
        <v>1235</v>
      </c>
      <c r="B682">
        <v>0</v>
      </c>
      <c r="C682">
        <v>0</v>
      </c>
      <c r="D682">
        <v>1</v>
      </c>
      <c r="E682">
        <v>5</v>
      </c>
      <c r="F682">
        <v>0</v>
      </c>
      <c r="G682">
        <v>0</v>
      </c>
      <c r="H682">
        <v>0</v>
      </c>
      <c r="I682">
        <v>-2</v>
      </c>
      <c r="J682">
        <v>0</v>
      </c>
      <c r="K682">
        <v>0</v>
      </c>
      <c r="L682">
        <v>-1</v>
      </c>
      <c r="M682">
        <v>0</v>
      </c>
      <c r="N682">
        <v>11.25</v>
      </c>
      <c r="O682">
        <v>3</v>
      </c>
    </row>
    <row r="683" spans="1:15" x14ac:dyDescent="0.25">
      <c r="A683" t="s">
        <v>1236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25">
      <c r="A684" t="s">
        <v>1237</v>
      </c>
      <c r="B684">
        <v>0</v>
      </c>
      <c r="C684">
        <v>0</v>
      </c>
      <c r="D684">
        <v>0</v>
      </c>
      <c r="E684">
        <v>7</v>
      </c>
      <c r="F684">
        <v>5</v>
      </c>
      <c r="G684">
        <v>2</v>
      </c>
      <c r="H684">
        <v>3</v>
      </c>
      <c r="I684">
        <v>2</v>
      </c>
      <c r="J684">
        <v>4</v>
      </c>
      <c r="K684">
        <v>3</v>
      </c>
      <c r="L684">
        <v>0</v>
      </c>
      <c r="M684">
        <v>1</v>
      </c>
      <c r="N684">
        <v>19.25</v>
      </c>
      <c r="O684">
        <v>27</v>
      </c>
    </row>
    <row r="685" spans="1:15" x14ac:dyDescent="0.25">
      <c r="A685" t="s">
        <v>1238</v>
      </c>
      <c r="B685">
        <v>0</v>
      </c>
      <c r="C685">
        <v>0</v>
      </c>
      <c r="D685">
        <v>4</v>
      </c>
      <c r="E685">
        <v>5</v>
      </c>
      <c r="F685">
        <v>3</v>
      </c>
      <c r="G685">
        <v>1</v>
      </c>
      <c r="H685">
        <v>1</v>
      </c>
      <c r="I685">
        <v>2</v>
      </c>
      <c r="J685">
        <v>3</v>
      </c>
      <c r="K685">
        <v>3</v>
      </c>
      <c r="L685">
        <v>3</v>
      </c>
      <c r="M685">
        <v>0</v>
      </c>
      <c r="N685">
        <v>14</v>
      </c>
      <c r="O685">
        <v>25</v>
      </c>
    </row>
    <row r="686" spans="1:15" x14ac:dyDescent="0.25">
      <c r="A686" t="s">
        <v>1239</v>
      </c>
      <c r="B686">
        <v>0</v>
      </c>
      <c r="C686">
        <v>0</v>
      </c>
      <c r="D686">
        <v>0</v>
      </c>
      <c r="E686">
        <v>6</v>
      </c>
      <c r="F686">
        <v>1</v>
      </c>
      <c r="G686">
        <v>1</v>
      </c>
      <c r="H686">
        <v>1</v>
      </c>
      <c r="I686">
        <v>0</v>
      </c>
      <c r="J686">
        <v>1</v>
      </c>
      <c r="K686">
        <v>2</v>
      </c>
      <c r="L686">
        <v>0</v>
      </c>
      <c r="M686">
        <v>0</v>
      </c>
      <c r="N686">
        <v>0.75</v>
      </c>
      <c r="O686">
        <v>12</v>
      </c>
    </row>
    <row r="687" spans="1:15" x14ac:dyDescent="0.25">
      <c r="A687" t="s">
        <v>1240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25">
      <c r="A688" t="s">
        <v>1241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0.5</v>
      </c>
      <c r="O688">
        <v>0</v>
      </c>
    </row>
    <row r="689" spans="1:15" x14ac:dyDescent="0.25">
      <c r="A689" t="s">
        <v>1242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25">
      <c r="A690" t="s">
        <v>1243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3</v>
      </c>
      <c r="O690">
        <v>0</v>
      </c>
    </row>
    <row r="691" spans="1:15" x14ac:dyDescent="0.25">
      <c r="A691" t="s">
        <v>1244</v>
      </c>
      <c r="B691">
        <v>0</v>
      </c>
      <c r="C691">
        <v>0</v>
      </c>
      <c r="D691">
        <v>3</v>
      </c>
      <c r="E691">
        <v>4</v>
      </c>
      <c r="F691">
        <v>0</v>
      </c>
      <c r="G691">
        <v>3</v>
      </c>
      <c r="H691">
        <v>0</v>
      </c>
      <c r="I691">
        <v>-1</v>
      </c>
      <c r="J691">
        <v>0</v>
      </c>
      <c r="K691">
        <v>1</v>
      </c>
      <c r="L691">
        <v>0</v>
      </c>
      <c r="M691">
        <v>0</v>
      </c>
      <c r="N691">
        <v>11.5</v>
      </c>
      <c r="O691">
        <v>10</v>
      </c>
    </row>
    <row r="692" spans="1:15" x14ac:dyDescent="0.25">
      <c r="A692" t="s">
        <v>1301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 x14ac:dyDescent="0.25">
      <c r="A693" t="s">
        <v>1302</v>
      </c>
      <c r="B693">
        <v>4</v>
      </c>
      <c r="C693">
        <v>5</v>
      </c>
      <c r="D693">
        <v>4</v>
      </c>
      <c r="E693">
        <v>1</v>
      </c>
      <c r="F693">
        <v>10</v>
      </c>
      <c r="G693">
        <v>8</v>
      </c>
      <c r="H693">
        <v>5</v>
      </c>
      <c r="I693">
        <v>0</v>
      </c>
      <c r="J693">
        <v>2</v>
      </c>
      <c r="K693">
        <v>4</v>
      </c>
      <c r="L693">
        <v>2</v>
      </c>
      <c r="M693">
        <v>0</v>
      </c>
      <c r="N693">
        <v>13</v>
      </c>
      <c r="O693">
        <v>45</v>
      </c>
    </row>
    <row r="694" spans="1:15" x14ac:dyDescent="0.25">
      <c r="A694" t="s">
        <v>1303</v>
      </c>
      <c r="B694">
        <v>6</v>
      </c>
      <c r="C694">
        <v>1</v>
      </c>
      <c r="D694">
        <v>4</v>
      </c>
      <c r="E694">
        <v>8</v>
      </c>
      <c r="F694">
        <v>5</v>
      </c>
      <c r="G694">
        <v>2</v>
      </c>
      <c r="H694">
        <v>3</v>
      </c>
      <c r="I694">
        <v>3</v>
      </c>
      <c r="J694">
        <v>1</v>
      </c>
      <c r="K694">
        <v>3</v>
      </c>
      <c r="L694">
        <v>5</v>
      </c>
      <c r="M694">
        <v>3</v>
      </c>
      <c r="N694">
        <v>11</v>
      </c>
      <c r="O694">
        <v>44</v>
      </c>
    </row>
    <row r="695" spans="1:15" x14ac:dyDescent="0.25">
      <c r="A695" t="s">
        <v>1304</v>
      </c>
      <c r="B695">
        <v>2</v>
      </c>
      <c r="C695">
        <v>5</v>
      </c>
      <c r="D695">
        <v>1</v>
      </c>
      <c r="E695">
        <v>0</v>
      </c>
      <c r="F695">
        <v>3</v>
      </c>
      <c r="G695">
        <v>1</v>
      </c>
      <c r="H695">
        <v>2</v>
      </c>
      <c r="I695">
        <v>1</v>
      </c>
      <c r="J695">
        <v>3</v>
      </c>
      <c r="K695">
        <v>3</v>
      </c>
      <c r="L695">
        <v>2</v>
      </c>
      <c r="M695">
        <v>1</v>
      </c>
      <c r="N695">
        <v>82</v>
      </c>
      <c r="O695">
        <v>24</v>
      </c>
    </row>
    <row r="696" spans="1:15" x14ac:dyDescent="0.25">
      <c r="A696" t="s">
        <v>1305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25">
      <c r="A697" t="s">
        <v>713</v>
      </c>
      <c r="B697">
        <v>1</v>
      </c>
      <c r="C697">
        <v>1</v>
      </c>
      <c r="D697">
        <v>9</v>
      </c>
      <c r="E697">
        <v>1</v>
      </c>
      <c r="F697">
        <v>2</v>
      </c>
      <c r="G697">
        <v>3</v>
      </c>
      <c r="H697">
        <v>3</v>
      </c>
      <c r="I697">
        <v>3</v>
      </c>
      <c r="J697">
        <v>3</v>
      </c>
      <c r="K697">
        <v>2</v>
      </c>
      <c r="L697">
        <v>2</v>
      </c>
      <c r="M697">
        <v>0</v>
      </c>
      <c r="N697">
        <v>13</v>
      </c>
      <c r="O697">
        <v>30</v>
      </c>
    </row>
    <row r="698" spans="1:15" x14ac:dyDescent="0.25">
      <c r="A698" t="s">
        <v>1306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 x14ac:dyDescent="0.25">
      <c r="A699" t="s">
        <v>714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0.75</v>
      </c>
      <c r="O699">
        <v>0</v>
      </c>
    </row>
    <row r="700" spans="1:15" x14ac:dyDescent="0.25">
      <c r="A700" t="s">
        <v>665</v>
      </c>
      <c r="B700">
        <v>30</v>
      </c>
      <c r="C700">
        <v>30</v>
      </c>
      <c r="D700">
        <v>43</v>
      </c>
      <c r="E700">
        <v>45</v>
      </c>
      <c r="F700">
        <v>26</v>
      </c>
      <c r="G700">
        <v>28</v>
      </c>
      <c r="H700">
        <v>42</v>
      </c>
      <c r="I700">
        <v>32</v>
      </c>
      <c r="J700">
        <v>28</v>
      </c>
      <c r="K700">
        <v>36</v>
      </c>
      <c r="L700">
        <v>28</v>
      </c>
      <c r="M700">
        <v>42</v>
      </c>
      <c r="N700">
        <v>74</v>
      </c>
      <c r="O700">
        <v>410</v>
      </c>
    </row>
    <row r="701" spans="1:15" x14ac:dyDescent="0.25">
      <c r="A701" t="s">
        <v>1307</v>
      </c>
      <c r="B701">
        <v>5</v>
      </c>
      <c r="C701">
        <v>3</v>
      </c>
      <c r="D701">
        <v>4</v>
      </c>
      <c r="E701">
        <v>7</v>
      </c>
      <c r="F701">
        <v>6</v>
      </c>
      <c r="G701">
        <v>1</v>
      </c>
      <c r="H701">
        <v>5</v>
      </c>
      <c r="I701">
        <v>0</v>
      </c>
      <c r="J701">
        <v>1</v>
      </c>
      <c r="K701">
        <v>4</v>
      </c>
      <c r="L701">
        <v>4</v>
      </c>
      <c r="M701">
        <v>8</v>
      </c>
      <c r="N701">
        <v>10</v>
      </c>
      <c r="O701">
        <v>48</v>
      </c>
    </row>
    <row r="702" spans="1:15" x14ac:dyDescent="0.25">
      <c r="A702" t="s">
        <v>1308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25">
      <c r="A703" t="s">
        <v>1309</v>
      </c>
      <c r="B703">
        <v>2</v>
      </c>
      <c r="C703">
        <v>0</v>
      </c>
      <c r="D703">
        <v>0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3</v>
      </c>
      <c r="L703">
        <v>1</v>
      </c>
      <c r="M703">
        <v>0</v>
      </c>
      <c r="N703">
        <v>7</v>
      </c>
      <c r="O703">
        <v>11</v>
      </c>
    </row>
    <row r="704" spans="1:15" x14ac:dyDescent="0.25">
      <c r="A704" t="s">
        <v>1310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 x14ac:dyDescent="0.25">
      <c r="A705" t="s">
        <v>1311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25">
      <c r="A706" t="s">
        <v>715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 x14ac:dyDescent="0.25">
      <c r="A707" t="s">
        <v>716</v>
      </c>
      <c r="B707">
        <v>10</v>
      </c>
      <c r="C707">
        <v>11</v>
      </c>
      <c r="D707">
        <v>21</v>
      </c>
      <c r="E707">
        <v>12</v>
      </c>
      <c r="F707">
        <v>12</v>
      </c>
      <c r="G707">
        <v>4</v>
      </c>
      <c r="H707">
        <v>21</v>
      </c>
      <c r="I707">
        <v>21</v>
      </c>
      <c r="J707">
        <v>25</v>
      </c>
      <c r="K707">
        <v>18</v>
      </c>
      <c r="L707">
        <v>21</v>
      </c>
      <c r="M707">
        <v>13</v>
      </c>
      <c r="N707">
        <v>57</v>
      </c>
      <c r="O707">
        <v>189</v>
      </c>
    </row>
    <row r="708" spans="1:15" x14ac:dyDescent="0.25">
      <c r="A708" t="s">
        <v>1312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 x14ac:dyDescent="0.25">
      <c r="A709" t="s">
        <v>1313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 x14ac:dyDescent="0.25">
      <c r="A710" t="s">
        <v>1314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25">
      <c r="A711" t="s">
        <v>1315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 x14ac:dyDescent="0.25">
      <c r="A712" t="s">
        <v>1316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 x14ac:dyDescent="0.25">
      <c r="A713" t="s">
        <v>717</v>
      </c>
      <c r="B713">
        <v>3</v>
      </c>
      <c r="C713">
        <v>0</v>
      </c>
      <c r="D713">
        <v>2</v>
      </c>
      <c r="E713">
        <v>1</v>
      </c>
      <c r="F713">
        <v>1</v>
      </c>
      <c r="G713">
        <v>1</v>
      </c>
      <c r="H713">
        <v>1</v>
      </c>
      <c r="I713">
        <v>4</v>
      </c>
      <c r="J713">
        <v>0</v>
      </c>
      <c r="K713">
        <v>2</v>
      </c>
      <c r="L713">
        <v>1</v>
      </c>
      <c r="M713">
        <v>1</v>
      </c>
      <c r="N713">
        <v>9</v>
      </c>
      <c r="O713">
        <v>17</v>
      </c>
    </row>
    <row r="714" spans="1:15" x14ac:dyDescent="0.25">
      <c r="A714" t="s">
        <v>1317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25">
      <c r="A715" t="s">
        <v>1318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 x14ac:dyDescent="0.25">
      <c r="A716" t="s">
        <v>1319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 x14ac:dyDescent="0.25">
      <c r="A717" t="s">
        <v>1410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25">
      <c r="A718" t="s">
        <v>1411</v>
      </c>
      <c r="B718">
        <v>1</v>
      </c>
      <c r="C718">
        <v>4</v>
      </c>
      <c r="D718">
        <v>0</v>
      </c>
      <c r="E718">
        <v>3</v>
      </c>
      <c r="F718">
        <v>0</v>
      </c>
      <c r="G718">
        <v>0</v>
      </c>
      <c r="H718">
        <v>4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10</v>
      </c>
      <c r="O718">
        <v>13</v>
      </c>
    </row>
    <row r="719" spans="1:15" x14ac:dyDescent="0.25">
      <c r="A719" t="s">
        <v>1412</v>
      </c>
      <c r="B719">
        <v>3</v>
      </c>
      <c r="C719">
        <v>4</v>
      </c>
      <c r="D719">
        <v>2</v>
      </c>
      <c r="E719">
        <v>3</v>
      </c>
      <c r="F719">
        <v>2</v>
      </c>
      <c r="G719">
        <v>3</v>
      </c>
      <c r="H719">
        <v>2</v>
      </c>
      <c r="I719">
        <v>4</v>
      </c>
      <c r="J719">
        <v>2</v>
      </c>
      <c r="K719">
        <v>3</v>
      </c>
      <c r="L719">
        <v>0</v>
      </c>
      <c r="M719">
        <v>0</v>
      </c>
      <c r="N719">
        <v>11</v>
      </c>
      <c r="O719">
        <v>28</v>
      </c>
    </row>
    <row r="720" spans="1:15" x14ac:dyDescent="0.25">
      <c r="A720" t="s">
        <v>677</v>
      </c>
      <c r="B720">
        <v>3</v>
      </c>
      <c r="C720">
        <v>1</v>
      </c>
      <c r="D720">
        <v>2</v>
      </c>
      <c r="E720">
        <v>1</v>
      </c>
      <c r="F720">
        <v>1</v>
      </c>
      <c r="G720">
        <v>1</v>
      </c>
      <c r="H720">
        <v>1</v>
      </c>
      <c r="I720">
        <v>0</v>
      </c>
      <c r="J720">
        <v>3</v>
      </c>
      <c r="K720">
        <v>0</v>
      </c>
      <c r="L720">
        <v>1</v>
      </c>
      <c r="M720">
        <v>3</v>
      </c>
      <c r="N720">
        <v>8</v>
      </c>
      <c r="O720">
        <v>17</v>
      </c>
    </row>
    <row r="721" spans="1:15" x14ac:dyDescent="0.25">
      <c r="A721" t="s">
        <v>1413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 x14ac:dyDescent="0.25">
      <c r="A722" t="s">
        <v>719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 x14ac:dyDescent="0.25">
      <c r="A723" t="s">
        <v>1414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25">
      <c r="A724" t="s">
        <v>678</v>
      </c>
      <c r="B724">
        <v>3</v>
      </c>
      <c r="C724">
        <v>10</v>
      </c>
      <c r="D724">
        <v>7</v>
      </c>
      <c r="E724">
        <v>6</v>
      </c>
      <c r="F724">
        <v>10</v>
      </c>
      <c r="G724">
        <v>8</v>
      </c>
      <c r="H724">
        <v>4</v>
      </c>
      <c r="I724">
        <v>3</v>
      </c>
      <c r="J724">
        <v>5</v>
      </c>
      <c r="K724">
        <v>11</v>
      </c>
      <c r="L724">
        <v>3</v>
      </c>
      <c r="M724">
        <v>3</v>
      </c>
      <c r="N724">
        <v>12</v>
      </c>
      <c r="O724">
        <v>73</v>
      </c>
    </row>
    <row r="725" spans="1:15" x14ac:dyDescent="0.25">
      <c r="A725" t="s">
        <v>679</v>
      </c>
      <c r="B725">
        <v>27</v>
      </c>
      <c r="C725">
        <v>9</v>
      </c>
      <c r="D725">
        <v>16</v>
      </c>
      <c r="E725">
        <v>11</v>
      </c>
      <c r="F725">
        <v>14</v>
      </c>
      <c r="G725">
        <v>12</v>
      </c>
      <c r="H725">
        <v>13</v>
      </c>
      <c r="I725">
        <v>6</v>
      </c>
      <c r="J725">
        <v>13</v>
      </c>
      <c r="K725">
        <v>17</v>
      </c>
      <c r="L725">
        <v>13</v>
      </c>
      <c r="M725">
        <v>3</v>
      </c>
      <c r="N725">
        <v>78</v>
      </c>
      <c r="O725">
        <v>154</v>
      </c>
    </row>
    <row r="726" spans="1:15" x14ac:dyDescent="0.25">
      <c r="A726" t="s">
        <v>1415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 x14ac:dyDescent="0.25">
      <c r="A727" t="s">
        <v>1416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 x14ac:dyDescent="0.25">
      <c r="A728" t="s">
        <v>1417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 x14ac:dyDescent="0.25">
      <c r="A729" t="s">
        <v>1418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 x14ac:dyDescent="0.25">
      <c r="A730" t="s">
        <v>720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 x14ac:dyDescent="0.25">
      <c r="A731" t="s">
        <v>680</v>
      </c>
      <c r="B731">
        <v>5</v>
      </c>
      <c r="C731">
        <v>0</v>
      </c>
      <c r="D731">
        <v>4</v>
      </c>
      <c r="E731">
        <v>4</v>
      </c>
      <c r="F731">
        <v>6</v>
      </c>
      <c r="G731">
        <v>0</v>
      </c>
      <c r="H731">
        <v>0</v>
      </c>
      <c r="I731">
        <v>4</v>
      </c>
      <c r="J731">
        <v>4</v>
      </c>
      <c r="K731">
        <v>3</v>
      </c>
      <c r="L731">
        <v>2</v>
      </c>
      <c r="M731">
        <v>3</v>
      </c>
      <c r="N731">
        <v>0</v>
      </c>
      <c r="O731">
        <v>35</v>
      </c>
    </row>
    <row r="732" spans="1:15" x14ac:dyDescent="0.25">
      <c r="A732" t="s">
        <v>1419</v>
      </c>
      <c r="B732">
        <v>0</v>
      </c>
      <c r="C732">
        <v>0</v>
      </c>
      <c r="D732">
        <v>1</v>
      </c>
      <c r="E732">
        <v>0</v>
      </c>
      <c r="F732">
        <v>1</v>
      </c>
      <c r="G732">
        <v>2</v>
      </c>
      <c r="H732">
        <v>1</v>
      </c>
      <c r="I732">
        <v>0</v>
      </c>
      <c r="J732">
        <v>1</v>
      </c>
      <c r="K732">
        <v>1</v>
      </c>
      <c r="L732">
        <v>0</v>
      </c>
      <c r="M732">
        <v>0</v>
      </c>
      <c r="N732">
        <v>26</v>
      </c>
      <c r="O732">
        <v>7</v>
      </c>
    </row>
    <row r="733" spans="1:15" x14ac:dyDescent="0.25">
      <c r="A733" t="s">
        <v>1420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25">
      <c r="A734" t="s">
        <v>1421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x14ac:dyDescent="0.25">
      <c r="A735" t="s">
        <v>1422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x14ac:dyDescent="0.25">
      <c r="A736" t="s">
        <v>1423</v>
      </c>
      <c r="B736">
        <v>2</v>
      </c>
      <c r="C736">
        <v>0</v>
      </c>
      <c r="D736">
        <v>2</v>
      </c>
      <c r="E736">
        <v>0</v>
      </c>
      <c r="F736">
        <v>0</v>
      </c>
      <c r="G736">
        <v>2</v>
      </c>
      <c r="H736">
        <v>0</v>
      </c>
      <c r="I736">
        <v>0</v>
      </c>
      <c r="J736">
        <v>3</v>
      </c>
      <c r="K736">
        <v>0</v>
      </c>
      <c r="L736">
        <v>0</v>
      </c>
      <c r="M736">
        <v>0</v>
      </c>
      <c r="N736">
        <v>4</v>
      </c>
      <c r="O736">
        <v>9</v>
      </c>
    </row>
    <row r="737" spans="1:15" x14ac:dyDescent="0.25">
      <c r="A737" t="s">
        <v>1424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</row>
    <row r="738" spans="1:15" x14ac:dyDescent="0.25">
      <c r="A738" t="s">
        <v>1425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25">
      <c r="A739" t="s">
        <v>1426</v>
      </c>
      <c r="B739">
        <v>0</v>
      </c>
      <c r="C739">
        <v>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6</v>
      </c>
      <c r="O739">
        <v>2</v>
      </c>
    </row>
    <row r="740" spans="1:15" x14ac:dyDescent="0.25">
      <c r="A740" t="s">
        <v>1427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25">
      <c r="A741" t="s">
        <v>1402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 x14ac:dyDescent="0.25">
      <c r="A742" t="s">
        <v>1404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25">
      <c r="A743" t="s">
        <v>674</v>
      </c>
      <c r="B743">
        <v>1</v>
      </c>
      <c r="C743">
        <v>0</v>
      </c>
      <c r="D743">
        <v>1</v>
      </c>
      <c r="E743">
        <v>1</v>
      </c>
      <c r="F743">
        <v>1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20</v>
      </c>
      <c r="O743">
        <v>5</v>
      </c>
    </row>
    <row r="744" spans="1:15" x14ac:dyDescent="0.25">
      <c r="A744" t="s">
        <v>718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25">
      <c r="A745" t="s">
        <v>1406</v>
      </c>
      <c r="B745">
        <v>1</v>
      </c>
      <c r="C745">
        <v>1</v>
      </c>
      <c r="D745">
        <v>1</v>
      </c>
      <c r="E745">
        <v>0</v>
      </c>
      <c r="F745">
        <v>1</v>
      </c>
      <c r="G745">
        <v>0</v>
      </c>
      <c r="H745">
        <v>2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5</v>
      </c>
      <c r="O745">
        <v>7</v>
      </c>
    </row>
    <row r="746" spans="1:15" x14ac:dyDescent="0.25">
      <c r="A746" t="s">
        <v>1407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25">
      <c r="A747" t="s">
        <v>675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25">
      <c r="A748" t="s">
        <v>676</v>
      </c>
      <c r="B748">
        <v>1</v>
      </c>
      <c r="C748">
        <v>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6</v>
      </c>
      <c r="O748">
        <v>4</v>
      </c>
    </row>
    <row r="749" spans="1:15" x14ac:dyDescent="0.25">
      <c r="A749" t="s">
        <v>1409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25">
      <c r="A750" t="s">
        <v>1358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x14ac:dyDescent="0.25">
      <c r="A751" t="s">
        <v>1360</v>
      </c>
      <c r="B751">
        <v>2</v>
      </c>
      <c r="C751">
        <v>1</v>
      </c>
      <c r="D751">
        <v>4</v>
      </c>
      <c r="E751">
        <v>0</v>
      </c>
      <c r="F751">
        <v>9</v>
      </c>
      <c r="G751">
        <v>0</v>
      </c>
      <c r="H751">
        <v>10.5</v>
      </c>
      <c r="I751">
        <v>2</v>
      </c>
      <c r="J751">
        <v>4</v>
      </c>
      <c r="K751">
        <v>2</v>
      </c>
      <c r="L751">
        <v>0</v>
      </c>
      <c r="M751">
        <v>0</v>
      </c>
      <c r="N751">
        <v>0.5</v>
      </c>
      <c r="O751">
        <v>34.5</v>
      </c>
    </row>
    <row r="752" spans="1:15" x14ac:dyDescent="0.25">
      <c r="A752" t="s">
        <v>1361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2</v>
      </c>
      <c r="J752">
        <v>3</v>
      </c>
      <c r="K752">
        <v>0</v>
      </c>
      <c r="L752">
        <v>0</v>
      </c>
      <c r="M752">
        <v>2</v>
      </c>
      <c r="N752">
        <v>0</v>
      </c>
      <c r="O752">
        <v>7</v>
      </c>
    </row>
    <row r="753" spans="1:15" x14ac:dyDescent="0.25">
      <c r="A753" t="s">
        <v>1362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 x14ac:dyDescent="0.25">
      <c r="A754" t="s">
        <v>1363</v>
      </c>
      <c r="B754">
        <v>5</v>
      </c>
      <c r="C754">
        <v>0</v>
      </c>
      <c r="D754">
        <v>3</v>
      </c>
      <c r="E754">
        <v>4</v>
      </c>
      <c r="F754">
        <v>3</v>
      </c>
      <c r="G754">
        <v>3</v>
      </c>
      <c r="H754">
        <v>1</v>
      </c>
      <c r="I754">
        <v>1</v>
      </c>
      <c r="J754">
        <v>1</v>
      </c>
      <c r="K754">
        <v>2</v>
      </c>
      <c r="L754">
        <v>1</v>
      </c>
      <c r="M754">
        <v>2</v>
      </c>
      <c r="N754">
        <v>30</v>
      </c>
      <c r="O754">
        <v>26</v>
      </c>
    </row>
    <row r="755" spans="1:15" x14ac:dyDescent="0.25">
      <c r="A755" t="s">
        <v>1364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 x14ac:dyDescent="0.25">
      <c r="A756" t="s">
        <v>1366</v>
      </c>
      <c r="B756">
        <v>7</v>
      </c>
      <c r="C756">
        <v>10</v>
      </c>
      <c r="D756">
        <v>12</v>
      </c>
      <c r="E756">
        <v>17</v>
      </c>
      <c r="F756">
        <v>11</v>
      </c>
      <c r="G756">
        <v>9</v>
      </c>
      <c r="H756">
        <v>16</v>
      </c>
      <c r="I756">
        <v>8</v>
      </c>
      <c r="J756">
        <v>6</v>
      </c>
      <c r="K756">
        <v>11</v>
      </c>
      <c r="L756">
        <v>10</v>
      </c>
      <c r="M756">
        <v>13</v>
      </c>
      <c r="N756">
        <v>24</v>
      </c>
      <c r="O756">
        <v>130</v>
      </c>
    </row>
    <row r="757" spans="1:15" x14ac:dyDescent="0.25">
      <c r="A757" t="s">
        <v>1367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 x14ac:dyDescent="0.25">
      <c r="A758" t="s">
        <v>1368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25">
      <c r="A759" t="s">
        <v>1369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 x14ac:dyDescent="0.25">
      <c r="A760" t="s">
        <v>1370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 x14ac:dyDescent="0.25">
      <c r="A761" t="s">
        <v>1372</v>
      </c>
      <c r="B761">
        <v>0</v>
      </c>
      <c r="C761">
        <v>1</v>
      </c>
      <c r="D761">
        <v>4</v>
      </c>
      <c r="E761">
        <v>1</v>
      </c>
      <c r="F761">
        <v>3</v>
      </c>
      <c r="G761">
        <v>0</v>
      </c>
      <c r="H761">
        <v>1</v>
      </c>
      <c r="I761">
        <v>2</v>
      </c>
      <c r="J761">
        <v>0</v>
      </c>
      <c r="K761">
        <v>1</v>
      </c>
      <c r="L761">
        <v>-1</v>
      </c>
      <c r="M761">
        <v>1</v>
      </c>
      <c r="N761">
        <v>8</v>
      </c>
      <c r="O761">
        <v>13</v>
      </c>
    </row>
    <row r="762" spans="1:15" x14ac:dyDescent="0.25">
      <c r="A762" t="s">
        <v>1373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 x14ac:dyDescent="0.25">
      <c r="A763" t="s">
        <v>1374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 x14ac:dyDescent="0.25">
      <c r="A764" t="s">
        <v>1375</v>
      </c>
      <c r="B764">
        <v>1</v>
      </c>
      <c r="C764">
        <v>0</v>
      </c>
      <c r="D764">
        <v>1</v>
      </c>
      <c r="E764">
        <v>0</v>
      </c>
      <c r="F764">
        <v>1</v>
      </c>
      <c r="G764">
        <v>2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13</v>
      </c>
      <c r="O764">
        <v>5</v>
      </c>
    </row>
    <row r="765" spans="1:15" x14ac:dyDescent="0.25">
      <c r="A765" t="s">
        <v>1376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x14ac:dyDescent="0.25">
      <c r="A766" t="s">
        <v>1378</v>
      </c>
      <c r="B766">
        <v>1</v>
      </c>
      <c r="C766">
        <v>1</v>
      </c>
      <c r="D766">
        <v>2</v>
      </c>
      <c r="E766">
        <v>1</v>
      </c>
      <c r="F766">
        <v>0</v>
      </c>
      <c r="G766">
        <v>0</v>
      </c>
      <c r="H766">
        <v>0</v>
      </c>
      <c r="I766">
        <v>-1</v>
      </c>
      <c r="J766">
        <v>1</v>
      </c>
      <c r="K766">
        <v>0</v>
      </c>
      <c r="L766">
        <v>0</v>
      </c>
      <c r="M766">
        <v>0</v>
      </c>
      <c r="N766">
        <v>7</v>
      </c>
      <c r="O766">
        <v>5</v>
      </c>
    </row>
    <row r="767" spans="1:15" x14ac:dyDescent="0.25">
      <c r="A767" t="s">
        <v>1379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 x14ac:dyDescent="0.25">
      <c r="A768" t="s">
        <v>1380</v>
      </c>
      <c r="B768">
        <v>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5</v>
      </c>
      <c r="O768">
        <v>2</v>
      </c>
    </row>
    <row r="769" spans="1:15" x14ac:dyDescent="0.25">
      <c r="A769" t="s">
        <v>1381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x14ac:dyDescent="0.25">
      <c r="A770" t="s">
        <v>1435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x14ac:dyDescent="0.25">
      <c r="A771" t="s">
        <v>764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 x14ac:dyDescent="0.25">
      <c r="A772" t="s">
        <v>681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3</v>
      </c>
      <c r="O772">
        <v>2</v>
      </c>
    </row>
    <row r="773" spans="1:15" x14ac:dyDescent="0.25">
      <c r="A773" t="s">
        <v>682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 x14ac:dyDescent="0.25">
      <c r="A774" t="s">
        <v>1438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4</v>
      </c>
      <c r="O774">
        <v>1</v>
      </c>
    </row>
    <row r="775" spans="1:15" x14ac:dyDescent="0.25">
      <c r="A775" t="s">
        <v>1439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 x14ac:dyDescent="0.25">
      <c r="A776" t="s">
        <v>1440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25">
      <c r="A777" t="s">
        <v>1442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</row>
    <row r="778" spans="1:15" x14ac:dyDescent="0.25">
      <c r="A778" t="s">
        <v>1443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1</v>
      </c>
    </row>
    <row r="779" spans="1:15" x14ac:dyDescent="0.25">
      <c r="A779" t="s">
        <v>1382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7</v>
      </c>
      <c r="I779">
        <v>0</v>
      </c>
      <c r="J779">
        <v>3</v>
      </c>
      <c r="K779">
        <v>0</v>
      </c>
      <c r="L779">
        <v>1</v>
      </c>
      <c r="M779">
        <v>2</v>
      </c>
      <c r="N779">
        <v>35</v>
      </c>
      <c r="O779">
        <v>13</v>
      </c>
    </row>
    <row r="780" spans="1:15" x14ac:dyDescent="0.25">
      <c r="A780" t="s">
        <v>670</v>
      </c>
      <c r="B780">
        <v>3</v>
      </c>
      <c r="C780">
        <v>6</v>
      </c>
      <c r="D780">
        <v>12</v>
      </c>
      <c r="E780">
        <v>8</v>
      </c>
      <c r="F780">
        <v>6</v>
      </c>
      <c r="G780">
        <v>0</v>
      </c>
      <c r="H780">
        <v>0</v>
      </c>
      <c r="I780">
        <v>1</v>
      </c>
      <c r="J780">
        <v>1</v>
      </c>
      <c r="K780">
        <v>1</v>
      </c>
      <c r="L780">
        <v>1</v>
      </c>
      <c r="M780">
        <v>0</v>
      </c>
      <c r="N780">
        <v>0</v>
      </c>
      <c r="O780">
        <v>39</v>
      </c>
    </row>
    <row r="781" spans="1:15" x14ac:dyDescent="0.25">
      <c r="A781" t="s">
        <v>1384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2</v>
      </c>
      <c r="J781">
        <v>0</v>
      </c>
      <c r="K781">
        <v>0</v>
      </c>
      <c r="L781">
        <v>2</v>
      </c>
      <c r="M781">
        <v>0</v>
      </c>
      <c r="N781">
        <v>1</v>
      </c>
      <c r="O781">
        <v>5</v>
      </c>
    </row>
    <row r="782" spans="1:15" x14ac:dyDescent="0.25">
      <c r="A782" t="s">
        <v>1385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25">
      <c r="A783" t="s">
        <v>1386</v>
      </c>
      <c r="B783">
        <v>3</v>
      </c>
      <c r="C783">
        <v>5</v>
      </c>
      <c r="D783">
        <v>7</v>
      </c>
      <c r="E783">
        <v>6</v>
      </c>
      <c r="F783">
        <v>8</v>
      </c>
      <c r="G783">
        <v>7</v>
      </c>
      <c r="H783">
        <v>4</v>
      </c>
      <c r="I783">
        <v>0</v>
      </c>
      <c r="J783">
        <v>4</v>
      </c>
      <c r="K783">
        <v>3</v>
      </c>
      <c r="L783">
        <v>0</v>
      </c>
      <c r="M783">
        <v>0</v>
      </c>
      <c r="N783">
        <v>18</v>
      </c>
      <c r="O783">
        <v>47</v>
      </c>
    </row>
    <row r="784" spans="1:15" x14ac:dyDescent="0.25">
      <c r="A784" t="s">
        <v>1387</v>
      </c>
      <c r="B784">
        <v>0</v>
      </c>
      <c r="C784">
        <v>0</v>
      </c>
      <c r="D784">
        <v>10</v>
      </c>
      <c r="E784">
        <v>27</v>
      </c>
      <c r="F784">
        <v>13</v>
      </c>
      <c r="G784">
        <v>0</v>
      </c>
      <c r="H784">
        <v>0</v>
      </c>
      <c r="I784">
        <v>5</v>
      </c>
      <c r="J784">
        <v>8</v>
      </c>
      <c r="K784">
        <v>16</v>
      </c>
      <c r="L784">
        <v>10</v>
      </c>
      <c r="M784">
        <v>13</v>
      </c>
      <c r="N784">
        <v>91</v>
      </c>
      <c r="O784">
        <v>102</v>
      </c>
    </row>
    <row r="785" spans="1:15" x14ac:dyDescent="0.25">
      <c r="A785" t="s">
        <v>1389</v>
      </c>
      <c r="B785">
        <v>0</v>
      </c>
      <c r="C785">
        <v>0</v>
      </c>
      <c r="D785">
        <v>13</v>
      </c>
      <c r="E785">
        <v>44</v>
      </c>
      <c r="F785">
        <v>24</v>
      </c>
      <c r="G785">
        <v>23</v>
      </c>
      <c r="H785">
        <v>27</v>
      </c>
      <c r="I785">
        <v>20</v>
      </c>
      <c r="J785">
        <v>15</v>
      </c>
      <c r="K785">
        <v>16</v>
      </c>
      <c r="L785">
        <v>6</v>
      </c>
      <c r="M785">
        <v>5</v>
      </c>
      <c r="N785">
        <v>55</v>
      </c>
      <c r="O785">
        <v>193</v>
      </c>
    </row>
    <row r="786" spans="1:15" x14ac:dyDescent="0.25">
      <c r="A786" t="s">
        <v>1390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25">
      <c r="A787" t="s">
        <v>1391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25">
      <c r="A788" t="s">
        <v>1392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 x14ac:dyDescent="0.25">
      <c r="A789" t="s">
        <v>671</v>
      </c>
      <c r="B789">
        <v>0</v>
      </c>
      <c r="C789">
        <v>0</v>
      </c>
      <c r="D789">
        <v>1</v>
      </c>
      <c r="E789">
        <v>10</v>
      </c>
      <c r="F789">
        <v>5</v>
      </c>
      <c r="G789">
        <v>8</v>
      </c>
      <c r="H789">
        <v>8</v>
      </c>
      <c r="I789">
        <v>5</v>
      </c>
      <c r="J789">
        <v>5</v>
      </c>
      <c r="K789">
        <v>10</v>
      </c>
      <c r="L789">
        <v>7</v>
      </c>
      <c r="M789">
        <v>15</v>
      </c>
      <c r="N789">
        <v>9</v>
      </c>
      <c r="O789">
        <v>74</v>
      </c>
    </row>
    <row r="790" spans="1:15" x14ac:dyDescent="0.25">
      <c r="A790" t="s">
        <v>672</v>
      </c>
      <c r="B790">
        <v>23</v>
      </c>
      <c r="C790">
        <v>4</v>
      </c>
      <c r="D790">
        <v>18</v>
      </c>
      <c r="E790">
        <v>7</v>
      </c>
      <c r="F790">
        <v>8</v>
      </c>
      <c r="G790">
        <v>3</v>
      </c>
      <c r="H790">
        <v>1</v>
      </c>
      <c r="I790">
        <v>6</v>
      </c>
      <c r="J790">
        <v>6</v>
      </c>
      <c r="K790">
        <v>6</v>
      </c>
      <c r="L790">
        <v>9</v>
      </c>
      <c r="M790">
        <v>1</v>
      </c>
      <c r="N790">
        <v>13</v>
      </c>
      <c r="O790">
        <v>92</v>
      </c>
    </row>
    <row r="791" spans="1:15" x14ac:dyDescent="0.25">
      <c r="A791" t="s">
        <v>1394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25">
      <c r="A792" t="s">
        <v>1395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25">
      <c r="A793" t="s">
        <v>1396</v>
      </c>
      <c r="B793">
        <v>9</v>
      </c>
      <c r="C793">
        <v>4</v>
      </c>
      <c r="D793">
        <v>7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20</v>
      </c>
    </row>
    <row r="794" spans="1:15" x14ac:dyDescent="0.25">
      <c r="A794" t="s">
        <v>1397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x14ac:dyDescent="0.25">
      <c r="A795" t="s">
        <v>673</v>
      </c>
      <c r="B795">
        <v>2</v>
      </c>
      <c r="C795">
        <v>8</v>
      </c>
      <c r="D795">
        <v>6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16</v>
      </c>
    </row>
    <row r="796" spans="1:15" x14ac:dyDescent="0.25">
      <c r="A796" t="s">
        <v>1399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 x14ac:dyDescent="0.25">
      <c r="A797" t="s">
        <v>1400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2</v>
      </c>
      <c r="H797">
        <v>0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5</v>
      </c>
    </row>
    <row r="798" spans="1:15" x14ac:dyDescent="0.25">
      <c r="A798" t="s">
        <v>1401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 x14ac:dyDescent="0.25">
      <c r="A799" t="s">
        <v>1322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10</v>
      </c>
      <c r="L799">
        <v>0</v>
      </c>
      <c r="M799">
        <v>0</v>
      </c>
      <c r="N799">
        <v>15</v>
      </c>
      <c r="O799">
        <v>10</v>
      </c>
    </row>
    <row r="800" spans="1:15" x14ac:dyDescent="0.25">
      <c r="A800" t="s">
        <v>668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6</v>
      </c>
      <c r="J800">
        <v>12</v>
      </c>
      <c r="K800">
        <v>7</v>
      </c>
      <c r="L800">
        <v>5</v>
      </c>
      <c r="M800">
        <v>7</v>
      </c>
      <c r="N800">
        <v>2</v>
      </c>
      <c r="O800">
        <v>37</v>
      </c>
    </row>
    <row r="801" spans="1:15" x14ac:dyDescent="0.25">
      <c r="A801" t="s">
        <v>1320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25">
      <c r="A802" t="s">
        <v>1325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 x14ac:dyDescent="0.25">
      <c r="A803" t="s">
        <v>1323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25">
      <c r="A804" t="s">
        <v>1331</v>
      </c>
      <c r="B804">
        <v>12</v>
      </c>
      <c r="C804">
        <v>9</v>
      </c>
      <c r="D804">
        <v>8</v>
      </c>
      <c r="E804">
        <v>6</v>
      </c>
      <c r="F804">
        <v>8</v>
      </c>
      <c r="G804">
        <v>5</v>
      </c>
      <c r="H804">
        <v>2</v>
      </c>
      <c r="I804">
        <v>8</v>
      </c>
      <c r="J804">
        <v>8</v>
      </c>
      <c r="K804">
        <v>5</v>
      </c>
      <c r="L804">
        <v>20</v>
      </c>
      <c r="M804">
        <v>4</v>
      </c>
      <c r="N804">
        <v>60</v>
      </c>
      <c r="O804">
        <v>95</v>
      </c>
    </row>
    <row r="805" spans="1:15" x14ac:dyDescent="0.25">
      <c r="A805" t="s">
        <v>1329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25">
      <c r="A806" t="s">
        <v>1337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 x14ac:dyDescent="0.25">
      <c r="A807" t="s">
        <v>1335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 x14ac:dyDescent="0.25">
      <c r="A808" t="s">
        <v>1342</v>
      </c>
      <c r="B808">
        <v>0</v>
      </c>
      <c r="C808">
        <v>0</v>
      </c>
      <c r="D808">
        <v>0</v>
      </c>
      <c r="E808">
        <v>1</v>
      </c>
      <c r="F808">
        <v>0</v>
      </c>
      <c r="G808">
        <v>1</v>
      </c>
      <c r="H808">
        <v>1</v>
      </c>
      <c r="I808">
        <v>0</v>
      </c>
      <c r="J808">
        <v>3</v>
      </c>
      <c r="K808">
        <v>0</v>
      </c>
      <c r="L808">
        <v>0</v>
      </c>
      <c r="M808">
        <v>0</v>
      </c>
      <c r="N808">
        <v>14</v>
      </c>
      <c r="O808">
        <v>6</v>
      </c>
    </row>
    <row r="809" spans="1:15" x14ac:dyDescent="0.25">
      <c r="A809" t="s">
        <v>1341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 t="s">
        <v>1321</v>
      </c>
      <c r="B810">
        <v>14</v>
      </c>
      <c r="C810">
        <v>5</v>
      </c>
      <c r="D810">
        <v>5</v>
      </c>
      <c r="E810">
        <v>15</v>
      </c>
      <c r="F810">
        <v>4</v>
      </c>
      <c r="G810">
        <v>10</v>
      </c>
      <c r="H810">
        <v>4</v>
      </c>
      <c r="I810">
        <v>8</v>
      </c>
      <c r="J810">
        <v>3</v>
      </c>
      <c r="K810">
        <v>10</v>
      </c>
      <c r="L810">
        <v>12</v>
      </c>
      <c r="M810">
        <v>2</v>
      </c>
      <c r="N810">
        <v>15</v>
      </c>
      <c r="O810">
        <v>92</v>
      </c>
    </row>
    <row r="811" spans="1:15" x14ac:dyDescent="0.25">
      <c r="A811" t="s">
        <v>666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 x14ac:dyDescent="0.25">
      <c r="A812" t="s">
        <v>667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25">
      <c r="A813" t="s">
        <v>1324</v>
      </c>
      <c r="B813">
        <v>2</v>
      </c>
      <c r="C813">
        <v>1</v>
      </c>
      <c r="D813">
        <v>1</v>
      </c>
      <c r="E813">
        <v>2</v>
      </c>
      <c r="F813">
        <v>4</v>
      </c>
      <c r="G813">
        <v>0</v>
      </c>
      <c r="H813">
        <v>0</v>
      </c>
      <c r="I813">
        <v>0</v>
      </c>
      <c r="J813">
        <v>3</v>
      </c>
      <c r="K813">
        <v>0</v>
      </c>
      <c r="L813">
        <v>0</v>
      </c>
      <c r="M813">
        <v>1</v>
      </c>
      <c r="N813">
        <v>5</v>
      </c>
      <c r="O813">
        <v>14</v>
      </c>
    </row>
    <row r="814" spans="1:15" x14ac:dyDescent="0.25">
      <c r="A814" t="s">
        <v>1326</v>
      </c>
      <c r="B814">
        <v>1</v>
      </c>
      <c r="C814">
        <v>0</v>
      </c>
      <c r="D814">
        <v>2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4</v>
      </c>
      <c r="O814">
        <v>5</v>
      </c>
    </row>
    <row r="815" spans="1:15" x14ac:dyDescent="0.25">
      <c r="A815" t="s">
        <v>1327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 x14ac:dyDescent="0.25">
      <c r="A816" t="s">
        <v>1328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25">
      <c r="A817" t="s">
        <v>1330</v>
      </c>
      <c r="B817">
        <v>6</v>
      </c>
      <c r="C817">
        <v>1</v>
      </c>
      <c r="D817">
        <v>1</v>
      </c>
      <c r="E817">
        <v>4</v>
      </c>
      <c r="F817">
        <v>10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3</v>
      </c>
      <c r="N817">
        <v>3</v>
      </c>
      <c r="O817">
        <v>25</v>
      </c>
    </row>
    <row r="818" spans="1:15" x14ac:dyDescent="0.25">
      <c r="A818" t="s">
        <v>1332</v>
      </c>
      <c r="B818">
        <v>2</v>
      </c>
      <c r="C818">
        <v>0</v>
      </c>
      <c r="D818">
        <v>0</v>
      </c>
      <c r="E818">
        <v>0</v>
      </c>
      <c r="F818">
        <v>0</v>
      </c>
      <c r="G818">
        <v>2</v>
      </c>
      <c r="H818">
        <v>0</v>
      </c>
      <c r="I818">
        <v>2</v>
      </c>
      <c r="J818">
        <v>0</v>
      </c>
      <c r="K818">
        <v>4</v>
      </c>
      <c r="L818">
        <v>0</v>
      </c>
      <c r="M818">
        <v>3</v>
      </c>
      <c r="N818">
        <v>6</v>
      </c>
      <c r="O818">
        <v>13</v>
      </c>
    </row>
    <row r="819" spans="1:15" x14ac:dyDescent="0.25">
      <c r="A819" t="s">
        <v>1333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 x14ac:dyDescent="0.25">
      <c r="A820" t="s">
        <v>1334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 x14ac:dyDescent="0.25">
      <c r="A821" t="s">
        <v>1336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 x14ac:dyDescent="0.25">
      <c r="A822" t="s">
        <v>1338</v>
      </c>
      <c r="B822">
        <v>0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2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7</v>
      </c>
      <c r="O822">
        <v>4</v>
      </c>
    </row>
    <row r="823" spans="1:15" x14ac:dyDescent="0.25">
      <c r="A823" t="s">
        <v>1339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 x14ac:dyDescent="0.25">
      <c r="A824" t="s">
        <v>1340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 x14ac:dyDescent="0.25">
      <c r="A825" t="s">
        <v>669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25">
      <c r="A826" t="s">
        <v>1343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 x14ac:dyDescent="0.25">
      <c r="A827" t="s">
        <v>1344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 x14ac:dyDescent="0.25">
      <c r="A828" t="s">
        <v>1345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x14ac:dyDescent="0.25">
      <c r="A829" t="s">
        <v>1428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 x14ac:dyDescent="0.25">
      <c r="A830" t="s">
        <v>1430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 x14ac:dyDescent="0.25">
      <c r="A831" t="s">
        <v>721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</row>
    <row r="832" spans="1:15" x14ac:dyDescent="0.25">
      <c r="A832" t="s">
        <v>723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</row>
    <row r="833" spans="1:15" x14ac:dyDescent="0.25">
      <c r="A833" t="s">
        <v>724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2</v>
      </c>
      <c r="O833">
        <v>0</v>
      </c>
    </row>
    <row r="834" spans="1:15" x14ac:dyDescent="0.25">
      <c r="A834" t="s">
        <v>725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 x14ac:dyDescent="0.25">
      <c r="A835" t="s">
        <v>1432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 x14ac:dyDescent="0.25">
      <c r="A836" t="s">
        <v>1433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</row>
    <row r="837" spans="1:15" x14ac:dyDescent="0.25">
      <c r="A837" t="s">
        <v>1454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 x14ac:dyDescent="0.25">
      <c r="A838" t="s">
        <v>765</v>
      </c>
      <c r="B838">
        <v>8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49</v>
      </c>
      <c r="O838">
        <v>9</v>
      </c>
    </row>
    <row r="839" spans="1:15" x14ac:dyDescent="0.25">
      <c r="A839" t="s">
        <v>1456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 x14ac:dyDescent="0.25">
      <c r="A840" t="s">
        <v>1457</v>
      </c>
      <c r="B840">
        <v>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1</v>
      </c>
      <c r="N840">
        <v>13</v>
      </c>
      <c r="O840">
        <v>5</v>
      </c>
    </row>
    <row r="841" spans="1:15" x14ac:dyDescent="0.25">
      <c r="A841" t="s">
        <v>1459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 x14ac:dyDescent="0.25">
      <c r="A842" t="s">
        <v>1444</v>
      </c>
      <c r="B842">
        <v>9</v>
      </c>
      <c r="C842">
        <v>0</v>
      </c>
      <c r="D842">
        <v>3</v>
      </c>
      <c r="E842">
        <v>0</v>
      </c>
      <c r="F842">
        <v>0</v>
      </c>
      <c r="G842">
        <v>0</v>
      </c>
      <c r="H842">
        <v>1</v>
      </c>
      <c r="I842">
        <v>6</v>
      </c>
      <c r="J842">
        <v>0</v>
      </c>
      <c r="K842">
        <v>0</v>
      </c>
      <c r="L842">
        <v>0</v>
      </c>
      <c r="M842">
        <v>1</v>
      </c>
      <c r="N842">
        <v>31</v>
      </c>
      <c r="O842">
        <v>20</v>
      </c>
    </row>
    <row r="843" spans="1:15" x14ac:dyDescent="0.25">
      <c r="A843" t="s">
        <v>1446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 x14ac:dyDescent="0.25">
      <c r="A844" t="s">
        <v>1448</v>
      </c>
      <c r="B844">
        <v>5</v>
      </c>
      <c r="C844">
        <v>0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1</v>
      </c>
      <c r="J844">
        <v>2</v>
      </c>
      <c r="K844">
        <v>0</v>
      </c>
      <c r="L844">
        <v>1</v>
      </c>
      <c r="M844">
        <v>1</v>
      </c>
      <c r="N844">
        <v>46</v>
      </c>
      <c r="O844">
        <v>13</v>
      </c>
    </row>
    <row r="845" spans="1:15" x14ac:dyDescent="0.25">
      <c r="A845" t="s">
        <v>1449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 x14ac:dyDescent="0.25">
      <c r="A846" t="s">
        <v>1450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 x14ac:dyDescent="0.25">
      <c r="A847" t="s">
        <v>1452</v>
      </c>
      <c r="B847">
        <v>3</v>
      </c>
      <c r="C847">
        <v>0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15</v>
      </c>
      <c r="O847">
        <v>4</v>
      </c>
    </row>
    <row r="848" spans="1:15" x14ac:dyDescent="0.25">
      <c r="A848" t="s">
        <v>1453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 x14ac:dyDescent="0.25">
      <c r="A849" t="s">
        <v>1524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 x14ac:dyDescent="0.25">
      <c r="A850" t="s">
        <v>1526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 x14ac:dyDescent="0.25">
      <c r="A851" t="s">
        <v>1527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 x14ac:dyDescent="0.25">
      <c r="A852" t="s">
        <v>1528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 x14ac:dyDescent="0.25">
      <c r="A853" t="s">
        <v>1529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 x14ac:dyDescent="0.25">
      <c r="A854" t="s">
        <v>1530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 x14ac:dyDescent="0.25">
      <c r="A855" t="s">
        <v>1532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 x14ac:dyDescent="0.25">
      <c r="A856" t="s">
        <v>1533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 x14ac:dyDescent="0.25">
      <c r="A857" t="s">
        <v>1534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 x14ac:dyDescent="0.25">
      <c r="A858" t="s">
        <v>1536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 x14ac:dyDescent="0.25">
      <c r="A859" t="s">
        <v>1537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 x14ac:dyDescent="0.25">
      <c r="A860" t="s">
        <v>1538</v>
      </c>
      <c r="B860">
        <v>0</v>
      </c>
      <c r="C860">
        <v>0</v>
      </c>
      <c r="D860">
        <v>0</v>
      </c>
      <c r="E860">
        <v>0</v>
      </c>
      <c r="F860">
        <v>5</v>
      </c>
      <c r="G860">
        <v>3</v>
      </c>
      <c r="H860">
        <v>0</v>
      </c>
      <c r="I860">
        <v>3</v>
      </c>
      <c r="J860">
        <v>0</v>
      </c>
      <c r="K860">
        <v>6</v>
      </c>
      <c r="L860">
        <v>0</v>
      </c>
      <c r="M860">
        <v>2</v>
      </c>
      <c r="N860">
        <v>24</v>
      </c>
      <c r="O860">
        <v>19</v>
      </c>
    </row>
    <row r="861" spans="1:15" x14ac:dyDescent="0.25">
      <c r="A861" t="s">
        <v>1540</v>
      </c>
      <c r="B861">
        <v>0</v>
      </c>
      <c r="C861">
        <v>15</v>
      </c>
      <c r="D861">
        <v>23</v>
      </c>
      <c r="E861">
        <v>19</v>
      </c>
      <c r="F861">
        <v>7</v>
      </c>
      <c r="G861">
        <v>0</v>
      </c>
      <c r="H861">
        <v>0</v>
      </c>
      <c r="I861">
        <v>15</v>
      </c>
      <c r="J861">
        <v>0</v>
      </c>
      <c r="K861">
        <v>8</v>
      </c>
      <c r="L861">
        <v>2</v>
      </c>
      <c r="M861">
        <v>5</v>
      </c>
      <c r="N861">
        <v>2</v>
      </c>
      <c r="O861">
        <v>94</v>
      </c>
    </row>
    <row r="862" spans="1:15" x14ac:dyDescent="0.25">
      <c r="A862" t="s">
        <v>766</v>
      </c>
      <c r="B862">
        <v>0</v>
      </c>
      <c r="C862">
        <v>21</v>
      </c>
      <c r="D862">
        <v>3</v>
      </c>
      <c r="E862">
        <v>5</v>
      </c>
      <c r="F862">
        <v>3</v>
      </c>
      <c r="G862">
        <v>3</v>
      </c>
      <c r="H862">
        <v>3</v>
      </c>
      <c r="I862">
        <v>5</v>
      </c>
      <c r="J862">
        <v>1</v>
      </c>
      <c r="K862">
        <v>0</v>
      </c>
      <c r="L862">
        <v>0</v>
      </c>
      <c r="M862">
        <v>0</v>
      </c>
      <c r="N862">
        <v>56</v>
      </c>
      <c r="O862">
        <v>44</v>
      </c>
    </row>
    <row r="863" spans="1:15" x14ac:dyDescent="0.25">
      <c r="A863" t="s">
        <v>1541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4</v>
      </c>
      <c r="L863">
        <v>0</v>
      </c>
      <c r="M863">
        <v>0</v>
      </c>
      <c r="N863">
        <v>13</v>
      </c>
      <c r="O863">
        <v>5</v>
      </c>
    </row>
    <row r="864" spans="1:15" x14ac:dyDescent="0.25">
      <c r="A864" t="s">
        <v>1542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1</v>
      </c>
      <c r="K864">
        <v>1</v>
      </c>
      <c r="L864">
        <v>1</v>
      </c>
      <c r="M864">
        <v>0</v>
      </c>
      <c r="N864">
        <v>15</v>
      </c>
      <c r="O864">
        <v>4</v>
      </c>
    </row>
    <row r="865" spans="1:15" x14ac:dyDescent="0.25">
      <c r="A865" t="s">
        <v>1543</v>
      </c>
      <c r="B865">
        <v>0</v>
      </c>
      <c r="C865">
        <v>0</v>
      </c>
      <c r="D865">
        <v>4</v>
      </c>
      <c r="E865">
        <v>5</v>
      </c>
      <c r="F865">
        <v>0</v>
      </c>
      <c r="G865">
        <v>0</v>
      </c>
      <c r="H865">
        <v>4</v>
      </c>
      <c r="I865">
        <v>6</v>
      </c>
      <c r="J865">
        <v>5</v>
      </c>
      <c r="K865">
        <v>5</v>
      </c>
      <c r="L865">
        <v>1</v>
      </c>
      <c r="M865">
        <v>1</v>
      </c>
      <c r="N865">
        <v>102</v>
      </c>
      <c r="O865">
        <v>31</v>
      </c>
    </row>
    <row r="866" spans="1:15" x14ac:dyDescent="0.25">
      <c r="A866" t="s">
        <v>1545</v>
      </c>
      <c r="B866">
        <v>0</v>
      </c>
      <c r="C866">
        <v>25</v>
      </c>
      <c r="D866">
        <v>26</v>
      </c>
      <c r="E866">
        <v>12</v>
      </c>
      <c r="F866">
        <v>0</v>
      </c>
      <c r="G866">
        <v>0</v>
      </c>
      <c r="H866">
        <v>0</v>
      </c>
      <c r="I866">
        <v>28</v>
      </c>
      <c r="J866">
        <v>6</v>
      </c>
      <c r="K866">
        <v>15</v>
      </c>
      <c r="L866">
        <v>7</v>
      </c>
      <c r="M866">
        <v>10</v>
      </c>
      <c r="N866">
        <v>68</v>
      </c>
      <c r="O866">
        <v>129</v>
      </c>
    </row>
    <row r="867" spans="1:15" x14ac:dyDescent="0.25">
      <c r="A867" t="s">
        <v>1546</v>
      </c>
      <c r="B867">
        <v>0</v>
      </c>
      <c r="C867">
        <v>9</v>
      </c>
      <c r="D867">
        <v>11</v>
      </c>
      <c r="E867">
        <v>10</v>
      </c>
      <c r="F867">
        <v>10</v>
      </c>
      <c r="G867">
        <v>0</v>
      </c>
      <c r="H867">
        <v>1</v>
      </c>
      <c r="I867">
        <v>2</v>
      </c>
      <c r="J867">
        <v>2</v>
      </c>
      <c r="K867">
        <v>0</v>
      </c>
      <c r="L867">
        <v>0</v>
      </c>
      <c r="M867">
        <v>0</v>
      </c>
      <c r="N867">
        <v>16</v>
      </c>
      <c r="O867">
        <v>45</v>
      </c>
    </row>
    <row r="868" spans="1:15" x14ac:dyDescent="0.25">
      <c r="A868" t="s">
        <v>1547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</v>
      </c>
      <c r="J868">
        <v>9</v>
      </c>
      <c r="K868">
        <v>7</v>
      </c>
      <c r="L868">
        <v>0</v>
      </c>
      <c r="M868">
        <v>1</v>
      </c>
      <c r="N868">
        <v>28</v>
      </c>
      <c r="O868">
        <v>18</v>
      </c>
    </row>
    <row r="869" spans="1:15" x14ac:dyDescent="0.25">
      <c r="A869" t="s">
        <v>1549</v>
      </c>
      <c r="B869">
        <v>0</v>
      </c>
      <c r="C869">
        <v>6</v>
      </c>
      <c r="D869">
        <v>13</v>
      </c>
      <c r="E869">
        <v>0</v>
      </c>
      <c r="F869">
        <v>0</v>
      </c>
      <c r="G869">
        <v>0</v>
      </c>
      <c r="H869">
        <v>2</v>
      </c>
      <c r="I869">
        <v>6</v>
      </c>
      <c r="J869">
        <v>10</v>
      </c>
      <c r="K869">
        <v>7</v>
      </c>
      <c r="L869">
        <v>0</v>
      </c>
      <c r="M869">
        <v>0</v>
      </c>
      <c r="N869">
        <v>76</v>
      </c>
      <c r="O869">
        <v>44</v>
      </c>
    </row>
    <row r="870" spans="1:15" x14ac:dyDescent="0.25">
      <c r="A870" t="s">
        <v>1550</v>
      </c>
      <c r="B870">
        <v>0</v>
      </c>
      <c r="C870">
        <v>5</v>
      </c>
      <c r="D870">
        <v>11</v>
      </c>
      <c r="E870">
        <v>11</v>
      </c>
      <c r="F870">
        <v>3</v>
      </c>
      <c r="G870">
        <v>0</v>
      </c>
      <c r="H870">
        <v>0</v>
      </c>
      <c r="I870">
        <v>9</v>
      </c>
      <c r="J870">
        <v>2</v>
      </c>
      <c r="K870">
        <v>3</v>
      </c>
      <c r="L870">
        <v>0</v>
      </c>
      <c r="M870">
        <v>0</v>
      </c>
      <c r="N870">
        <v>6</v>
      </c>
      <c r="O870">
        <v>44</v>
      </c>
    </row>
    <row r="871" spans="1:15" x14ac:dyDescent="0.25">
      <c r="A871" t="s">
        <v>767</v>
      </c>
      <c r="B871">
        <v>5</v>
      </c>
      <c r="C871">
        <v>1</v>
      </c>
      <c r="D871">
        <v>10</v>
      </c>
      <c r="E871">
        <v>5</v>
      </c>
      <c r="F871">
        <v>6</v>
      </c>
      <c r="G871">
        <v>1</v>
      </c>
      <c r="H871">
        <v>2</v>
      </c>
      <c r="I871">
        <v>0</v>
      </c>
      <c r="J871">
        <v>1</v>
      </c>
      <c r="K871">
        <v>0</v>
      </c>
      <c r="L871">
        <v>1</v>
      </c>
      <c r="M871">
        <v>3</v>
      </c>
      <c r="N871">
        <v>32</v>
      </c>
      <c r="O871">
        <v>35</v>
      </c>
    </row>
    <row r="872" spans="1:15" x14ac:dyDescent="0.25">
      <c r="A872" t="s">
        <v>1552</v>
      </c>
      <c r="B872">
        <v>14</v>
      </c>
      <c r="C872">
        <v>2</v>
      </c>
      <c r="D872">
        <v>5</v>
      </c>
      <c r="E872">
        <v>1</v>
      </c>
      <c r="F872">
        <v>7</v>
      </c>
      <c r="G872">
        <v>2</v>
      </c>
      <c r="H872">
        <v>3</v>
      </c>
      <c r="I872">
        <v>0</v>
      </c>
      <c r="J872">
        <v>0</v>
      </c>
      <c r="K872">
        <v>0</v>
      </c>
      <c r="L872">
        <v>1</v>
      </c>
      <c r="M872">
        <v>3</v>
      </c>
      <c r="N872">
        <v>20</v>
      </c>
      <c r="O872">
        <v>38</v>
      </c>
    </row>
    <row r="873" spans="1:15" x14ac:dyDescent="0.25">
      <c r="A873" t="s">
        <v>1553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25">
      <c r="A874" t="s">
        <v>1554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 x14ac:dyDescent="0.25">
      <c r="A875" t="s">
        <v>1556</v>
      </c>
      <c r="B875">
        <v>1</v>
      </c>
      <c r="C875">
        <v>0</v>
      </c>
      <c r="D875">
        <v>3</v>
      </c>
      <c r="E875">
        <v>0</v>
      </c>
      <c r="F875">
        <v>1</v>
      </c>
      <c r="G875">
        <v>0</v>
      </c>
      <c r="H875">
        <v>0</v>
      </c>
      <c r="I875">
        <v>-2</v>
      </c>
      <c r="J875">
        <v>-1</v>
      </c>
      <c r="K875">
        <v>0</v>
      </c>
      <c r="L875">
        <v>0</v>
      </c>
      <c r="M875">
        <v>0</v>
      </c>
      <c r="N875">
        <v>17</v>
      </c>
      <c r="O875">
        <v>2</v>
      </c>
    </row>
    <row r="876" spans="1:15" x14ac:dyDescent="0.25">
      <c r="A876" t="s">
        <v>1557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 x14ac:dyDescent="0.25">
      <c r="A877" t="s">
        <v>1558</v>
      </c>
      <c r="B877">
        <v>7</v>
      </c>
      <c r="C877">
        <v>10</v>
      </c>
      <c r="D877">
        <v>2</v>
      </c>
      <c r="E877">
        <v>5</v>
      </c>
      <c r="F877">
        <v>3</v>
      </c>
      <c r="G877">
        <v>0</v>
      </c>
      <c r="H877">
        <v>8</v>
      </c>
      <c r="I877">
        <v>0</v>
      </c>
      <c r="J877">
        <v>1</v>
      </c>
      <c r="K877">
        <v>1</v>
      </c>
      <c r="L877">
        <v>2</v>
      </c>
      <c r="M877">
        <v>0</v>
      </c>
      <c r="N877">
        <v>27</v>
      </c>
      <c r="O877">
        <v>39</v>
      </c>
    </row>
    <row r="878" spans="1:15" x14ac:dyDescent="0.25">
      <c r="A878" t="s">
        <v>1560</v>
      </c>
      <c r="B878">
        <v>6</v>
      </c>
      <c r="C878">
        <v>8</v>
      </c>
      <c r="D878">
        <v>2</v>
      </c>
      <c r="E878">
        <v>4</v>
      </c>
      <c r="F878">
        <v>7</v>
      </c>
      <c r="G878">
        <v>3</v>
      </c>
      <c r="H878">
        <v>11</v>
      </c>
      <c r="I878">
        <v>2</v>
      </c>
      <c r="J878">
        <v>1</v>
      </c>
      <c r="K878">
        <v>7</v>
      </c>
      <c r="L878">
        <v>6</v>
      </c>
      <c r="M878">
        <v>4</v>
      </c>
      <c r="N878">
        <v>36</v>
      </c>
      <c r="O878">
        <v>61</v>
      </c>
    </row>
    <row r="879" spans="1:15" x14ac:dyDescent="0.25">
      <c r="A879" t="s">
        <v>1561</v>
      </c>
      <c r="B879">
        <v>3</v>
      </c>
      <c r="C879">
        <v>0</v>
      </c>
      <c r="D879">
        <v>0</v>
      </c>
      <c r="E879">
        <v>1</v>
      </c>
      <c r="F879">
        <v>3</v>
      </c>
      <c r="G879">
        <v>1</v>
      </c>
      <c r="H879">
        <v>4</v>
      </c>
      <c r="I879">
        <v>0</v>
      </c>
      <c r="J879">
        <v>0</v>
      </c>
      <c r="K879">
        <v>4</v>
      </c>
      <c r="L879">
        <v>1</v>
      </c>
      <c r="M879">
        <v>0</v>
      </c>
      <c r="N879">
        <v>3</v>
      </c>
      <c r="O879">
        <v>17</v>
      </c>
    </row>
    <row r="880" spans="1:15" x14ac:dyDescent="0.25">
      <c r="A880" t="s">
        <v>1562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 x14ac:dyDescent="0.25">
      <c r="A881" t="s">
        <v>1564</v>
      </c>
      <c r="B881">
        <v>9</v>
      </c>
      <c r="C881">
        <v>4</v>
      </c>
      <c r="D881">
        <v>3</v>
      </c>
      <c r="E881">
        <v>3</v>
      </c>
      <c r="F881">
        <v>4</v>
      </c>
      <c r="G881">
        <v>3</v>
      </c>
      <c r="H881">
        <v>1</v>
      </c>
      <c r="I881">
        <v>0</v>
      </c>
      <c r="J881">
        <v>4</v>
      </c>
      <c r="K881">
        <v>1</v>
      </c>
      <c r="L881">
        <v>0</v>
      </c>
      <c r="M881">
        <v>4</v>
      </c>
      <c r="N881">
        <v>19</v>
      </c>
      <c r="O881">
        <v>36</v>
      </c>
    </row>
    <row r="882" spans="1:15" x14ac:dyDescent="0.25">
      <c r="A882" t="s">
        <v>1565</v>
      </c>
      <c r="B882">
        <v>3</v>
      </c>
      <c r="C882">
        <v>0</v>
      </c>
      <c r="D882">
        <v>0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16</v>
      </c>
      <c r="O882">
        <v>4</v>
      </c>
    </row>
    <row r="883" spans="1:15" x14ac:dyDescent="0.25">
      <c r="A883" t="s">
        <v>1566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4</v>
      </c>
      <c r="O883">
        <v>0</v>
      </c>
    </row>
    <row r="884" spans="1:15" x14ac:dyDescent="0.25">
      <c r="A884" t="s">
        <v>1568</v>
      </c>
      <c r="B884">
        <v>4</v>
      </c>
      <c r="C884">
        <v>2</v>
      </c>
      <c r="D884">
        <v>4</v>
      </c>
      <c r="E884">
        <v>-2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14</v>
      </c>
      <c r="O884">
        <v>8</v>
      </c>
    </row>
    <row r="885" spans="1:15" x14ac:dyDescent="0.25">
      <c r="A885" t="s">
        <v>1569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9</v>
      </c>
      <c r="O885">
        <v>0</v>
      </c>
    </row>
    <row r="886" spans="1:15" x14ac:dyDescent="0.25">
      <c r="A886" t="s">
        <v>1570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 x14ac:dyDescent="0.25">
      <c r="A887" t="s">
        <v>1572</v>
      </c>
      <c r="B887">
        <v>0</v>
      </c>
      <c r="C887">
        <v>0</v>
      </c>
      <c r="D887">
        <v>0</v>
      </c>
      <c r="E887">
        <v>1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37</v>
      </c>
      <c r="O887">
        <v>2</v>
      </c>
    </row>
    <row r="888" spans="1:15" x14ac:dyDescent="0.25">
      <c r="A888" t="s">
        <v>1573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25">
      <c r="A889" t="s">
        <v>1574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 x14ac:dyDescent="0.25">
      <c r="A890" t="s">
        <v>1576</v>
      </c>
      <c r="B890">
        <v>0</v>
      </c>
      <c r="C890">
        <v>0</v>
      </c>
      <c r="D890">
        <v>0</v>
      </c>
      <c r="E890">
        <v>1</v>
      </c>
      <c r="F890">
        <v>2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35</v>
      </c>
      <c r="O890">
        <v>4</v>
      </c>
    </row>
    <row r="891" spans="1:15" x14ac:dyDescent="0.25">
      <c r="A891" t="s">
        <v>1577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 x14ac:dyDescent="0.25">
      <c r="A892" t="s">
        <v>1578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 x14ac:dyDescent="0.25">
      <c r="A893" t="s">
        <v>1580</v>
      </c>
      <c r="B893">
        <v>0</v>
      </c>
      <c r="C893">
        <v>0</v>
      </c>
      <c r="D893">
        <v>0</v>
      </c>
      <c r="E893">
        <v>1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37</v>
      </c>
      <c r="O893">
        <v>2</v>
      </c>
    </row>
    <row r="894" spans="1:15" x14ac:dyDescent="0.25">
      <c r="A894" t="s">
        <v>1581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 x14ac:dyDescent="0.25">
      <c r="A895" t="s">
        <v>1582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20</v>
      </c>
      <c r="O895">
        <v>0</v>
      </c>
    </row>
    <row r="896" spans="1:15" x14ac:dyDescent="0.25">
      <c r="A896" t="s">
        <v>1584</v>
      </c>
      <c r="B896">
        <v>0</v>
      </c>
      <c r="C896">
        <v>4</v>
      </c>
      <c r="D896">
        <v>12</v>
      </c>
      <c r="E896">
        <v>15</v>
      </c>
      <c r="F896">
        <v>2</v>
      </c>
      <c r="G896">
        <v>2</v>
      </c>
      <c r="H896">
        <v>5</v>
      </c>
      <c r="I896">
        <v>5</v>
      </c>
      <c r="J896">
        <v>2</v>
      </c>
      <c r="K896">
        <v>5</v>
      </c>
      <c r="L896">
        <v>2</v>
      </c>
      <c r="M896">
        <v>3</v>
      </c>
      <c r="N896">
        <v>42</v>
      </c>
      <c r="O896">
        <v>57</v>
      </c>
    </row>
    <row r="897" spans="1:15" x14ac:dyDescent="0.25">
      <c r="A897" t="s">
        <v>1585</v>
      </c>
      <c r="B897">
        <v>0</v>
      </c>
      <c r="C897">
        <v>1</v>
      </c>
      <c r="D897">
        <v>4</v>
      </c>
      <c r="E897">
        <v>4</v>
      </c>
      <c r="F897">
        <v>3</v>
      </c>
      <c r="G897">
        <v>0</v>
      </c>
      <c r="H897">
        <v>0</v>
      </c>
      <c r="I897">
        <v>3</v>
      </c>
      <c r="J897">
        <v>0</v>
      </c>
      <c r="K897">
        <v>1</v>
      </c>
      <c r="L897">
        <v>2</v>
      </c>
      <c r="M897">
        <v>1</v>
      </c>
      <c r="N897">
        <v>29</v>
      </c>
      <c r="O897">
        <v>19</v>
      </c>
    </row>
    <row r="898" spans="1:15" x14ac:dyDescent="0.25">
      <c r="A898" t="s">
        <v>1586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 x14ac:dyDescent="0.25">
      <c r="A899" t="s">
        <v>1587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25">
      <c r="A900" t="s">
        <v>1588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4</v>
      </c>
      <c r="O900">
        <v>0</v>
      </c>
    </row>
    <row r="901" spans="1:15" x14ac:dyDescent="0.25">
      <c r="A901" t="s">
        <v>1590</v>
      </c>
      <c r="B901">
        <v>0</v>
      </c>
      <c r="C901">
        <v>2</v>
      </c>
      <c r="D901">
        <v>4</v>
      </c>
      <c r="E901">
        <v>2</v>
      </c>
      <c r="F901">
        <v>1</v>
      </c>
      <c r="G901">
        <v>0</v>
      </c>
      <c r="H901">
        <v>1</v>
      </c>
      <c r="I901">
        <v>-3</v>
      </c>
      <c r="J901">
        <v>0</v>
      </c>
      <c r="K901">
        <v>0</v>
      </c>
      <c r="L901">
        <v>0</v>
      </c>
      <c r="M901">
        <v>0</v>
      </c>
      <c r="N901">
        <v>16</v>
      </c>
      <c r="O901">
        <v>7</v>
      </c>
    </row>
    <row r="902" spans="1:15" x14ac:dyDescent="0.25">
      <c r="A902" t="s">
        <v>1591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 x14ac:dyDescent="0.25">
      <c r="A903" t="s">
        <v>1592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 x14ac:dyDescent="0.25">
      <c r="A904" t="s">
        <v>1594</v>
      </c>
      <c r="B904">
        <v>0</v>
      </c>
      <c r="C904">
        <v>4</v>
      </c>
      <c r="D904">
        <v>24</v>
      </c>
      <c r="E904">
        <v>42</v>
      </c>
      <c r="F904">
        <v>21</v>
      </c>
      <c r="G904">
        <v>5</v>
      </c>
      <c r="H904">
        <v>22</v>
      </c>
      <c r="I904">
        <v>12</v>
      </c>
      <c r="J904">
        <v>22</v>
      </c>
      <c r="K904">
        <v>9</v>
      </c>
      <c r="L904">
        <v>20</v>
      </c>
      <c r="M904">
        <v>9</v>
      </c>
      <c r="N904">
        <v>63</v>
      </c>
      <c r="O904">
        <v>190</v>
      </c>
    </row>
    <row r="905" spans="1:15" x14ac:dyDescent="0.25">
      <c r="A905" t="s">
        <v>1595</v>
      </c>
      <c r="B905">
        <v>0</v>
      </c>
      <c r="C905">
        <v>1</v>
      </c>
      <c r="D905">
        <v>9</v>
      </c>
      <c r="E905">
        <v>7</v>
      </c>
      <c r="F905">
        <v>1</v>
      </c>
      <c r="G905">
        <v>0</v>
      </c>
      <c r="H905">
        <v>1</v>
      </c>
      <c r="I905">
        <v>6</v>
      </c>
      <c r="J905">
        <v>2</v>
      </c>
      <c r="K905">
        <v>1</v>
      </c>
      <c r="L905">
        <v>-1</v>
      </c>
      <c r="M905">
        <v>0</v>
      </c>
      <c r="N905">
        <v>73</v>
      </c>
      <c r="O905">
        <v>27</v>
      </c>
    </row>
    <row r="906" spans="1:15" x14ac:dyDescent="0.25">
      <c r="A906" t="s">
        <v>1596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 x14ac:dyDescent="0.25">
      <c r="A907" t="s">
        <v>1598</v>
      </c>
      <c r="B907">
        <v>0</v>
      </c>
      <c r="C907">
        <v>5</v>
      </c>
      <c r="D907">
        <v>9</v>
      </c>
      <c r="E907">
        <v>13</v>
      </c>
      <c r="F907">
        <v>19</v>
      </c>
      <c r="G907">
        <v>9</v>
      </c>
      <c r="H907">
        <v>0</v>
      </c>
      <c r="I907">
        <v>13</v>
      </c>
      <c r="J907">
        <v>11</v>
      </c>
      <c r="K907">
        <v>7</v>
      </c>
      <c r="L907">
        <v>2</v>
      </c>
      <c r="M907">
        <v>10</v>
      </c>
      <c r="N907">
        <v>74</v>
      </c>
      <c r="O907">
        <v>98</v>
      </c>
    </row>
    <row r="908" spans="1:15" x14ac:dyDescent="0.25">
      <c r="A908" t="s">
        <v>1599</v>
      </c>
      <c r="B908">
        <v>0</v>
      </c>
      <c r="C908">
        <v>1</v>
      </c>
      <c r="D908">
        <v>3</v>
      </c>
      <c r="E908">
        <v>5</v>
      </c>
      <c r="F908">
        <v>1</v>
      </c>
      <c r="G908">
        <v>1</v>
      </c>
      <c r="H908">
        <v>9</v>
      </c>
      <c r="I908">
        <v>6</v>
      </c>
      <c r="J908">
        <v>0</v>
      </c>
      <c r="K908">
        <v>0</v>
      </c>
      <c r="L908">
        <v>0</v>
      </c>
      <c r="M908">
        <v>0</v>
      </c>
      <c r="N908">
        <v>74</v>
      </c>
      <c r="O908">
        <v>26</v>
      </c>
    </row>
    <row r="909" spans="1:15" x14ac:dyDescent="0.25">
      <c r="A909" t="s">
        <v>1600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25">
      <c r="A910" t="s">
        <v>1602</v>
      </c>
      <c r="B910">
        <v>0</v>
      </c>
      <c r="C910">
        <v>2</v>
      </c>
      <c r="D910">
        <v>4</v>
      </c>
      <c r="E910">
        <v>0</v>
      </c>
      <c r="F910">
        <v>0</v>
      </c>
      <c r="G910">
        <v>0</v>
      </c>
      <c r="H910">
        <v>0</v>
      </c>
      <c r="I910">
        <v>2</v>
      </c>
      <c r="J910">
        <v>2</v>
      </c>
      <c r="K910">
        <v>1</v>
      </c>
      <c r="L910">
        <v>1</v>
      </c>
      <c r="M910">
        <v>0</v>
      </c>
      <c r="N910">
        <v>47</v>
      </c>
      <c r="O910">
        <v>12</v>
      </c>
    </row>
    <row r="911" spans="1:15" x14ac:dyDescent="0.25">
      <c r="A911" t="s">
        <v>1603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 x14ac:dyDescent="0.25">
      <c r="A912" t="s">
        <v>1604</v>
      </c>
      <c r="B912">
        <v>0</v>
      </c>
      <c r="C912">
        <v>5</v>
      </c>
      <c r="D912">
        <v>7</v>
      </c>
      <c r="E912">
        <v>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8</v>
      </c>
      <c r="O912">
        <v>14</v>
      </c>
    </row>
    <row r="913" spans="1:15" x14ac:dyDescent="0.25">
      <c r="A913" t="s">
        <v>1606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3</v>
      </c>
      <c r="O913">
        <v>0</v>
      </c>
    </row>
    <row r="914" spans="1:15" x14ac:dyDescent="0.25">
      <c r="A914" t="s">
        <v>1607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12</v>
      </c>
      <c r="O914">
        <v>0</v>
      </c>
    </row>
    <row r="915" spans="1:15" x14ac:dyDescent="0.25">
      <c r="A915" t="s">
        <v>1608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4</v>
      </c>
      <c r="O915">
        <v>0</v>
      </c>
    </row>
    <row r="916" spans="1:15" x14ac:dyDescent="0.25">
      <c r="A916" t="s">
        <v>1609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20</v>
      </c>
      <c r="O916">
        <v>0</v>
      </c>
    </row>
    <row r="917" spans="1:15" x14ac:dyDescent="0.25">
      <c r="A917" t="s">
        <v>1610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58</v>
      </c>
      <c r="O917">
        <v>0</v>
      </c>
    </row>
    <row r="918" spans="1:15" x14ac:dyDescent="0.25">
      <c r="A918" t="s">
        <v>1612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20</v>
      </c>
      <c r="O918">
        <v>0</v>
      </c>
    </row>
    <row r="919" spans="1:15" x14ac:dyDescent="0.25">
      <c r="A919" t="s">
        <v>1613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 x14ac:dyDescent="0.25">
      <c r="A920" t="s">
        <v>1614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 x14ac:dyDescent="0.25">
      <c r="A921" t="s">
        <v>1615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 x14ac:dyDescent="0.25">
      <c r="A922" t="s">
        <v>1616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39</v>
      </c>
      <c r="O922">
        <v>0</v>
      </c>
    </row>
    <row r="923" spans="1:15" x14ac:dyDescent="0.25">
      <c r="A923" t="s">
        <v>1618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8</v>
      </c>
      <c r="O923">
        <v>0</v>
      </c>
    </row>
    <row r="924" spans="1:15" x14ac:dyDescent="0.25">
      <c r="A924" t="s">
        <v>1619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 x14ac:dyDescent="0.25">
      <c r="A925" t="s">
        <v>1620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 x14ac:dyDescent="0.25">
      <c r="A926" t="s">
        <v>1621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 x14ac:dyDescent="0.25">
      <c r="A927" t="s">
        <v>1632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 x14ac:dyDescent="0.25">
      <c r="A928" t="s">
        <v>1622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3</v>
      </c>
      <c r="O928">
        <v>0</v>
      </c>
    </row>
    <row r="929" spans="1:15" x14ac:dyDescent="0.25">
      <c r="A929" t="s">
        <v>1624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 x14ac:dyDescent="0.25">
      <c r="A930" t="s">
        <v>1625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3</v>
      </c>
      <c r="O930">
        <v>1</v>
      </c>
    </row>
    <row r="931" spans="1:15" x14ac:dyDescent="0.25">
      <c r="A931" t="s">
        <v>1626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 x14ac:dyDescent="0.25">
      <c r="A932" t="s">
        <v>1627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2</v>
      </c>
      <c r="N932">
        <v>9</v>
      </c>
      <c r="O932">
        <v>2</v>
      </c>
    </row>
    <row r="933" spans="1:15" x14ac:dyDescent="0.25">
      <c r="A933" t="s">
        <v>1628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3</v>
      </c>
      <c r="N933">
        <v>29</v>
      </c>
      <c r="O933">
        <v>3</v>
      </c>
    </row>
    <row r="934" spans="1:15" x14ac:dyDescent="0.25">
      <c r="A934" t="s">
        <v>1630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10</v>
      </c>
      <c r="O934">
        <v>1</v>
      </c>
    </row>
    <row r="935" spans="1:15" x14ac:dyDescent="0.25">
      <c r="A935" t="s">
        <v>1631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 x14ac:dyDescent="0.25">
      <c r="A936" t="s">
        <v>1633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 x14ac:dyDescent="0.25">
      <c r="A937" t="s">
        <v>1634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3</v>
      </c>
      <c r="N937">
        <v>16</v>
      </c>
      <c r="O937">
        <v>3</v>
      </c>
    </row>
    <row r="938" spans="1:15" x14ac:dyDescent="0.25">
      <c r="A938" t="s">
        <v>1636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7</v>
      </c>
      <c r="O938">
        <v>1</v>
      </c>
    </row>
    <row r="939" spans="1:15" x14ac:dyDescent="0.25">
      <c r="A939" t="s">
        <v>1637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 x14ac:dyDescent="0.25">
      <c r="A940" t="s">
        <v>1638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 x14ac:dyDescent="0.25">
      <c r="A941" t="s">
        <v>1639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 x14ac:dyDescent="0.25">
      <c r="A942" t="s">
        <v>1640</v>
      </c>
      <c r="B942">
        <v>5</v>
      </c>
      <c r="C942">
        <v>6</v>
      </c>
      <c r="D942">
        <v>1</v>
      </c>
      <c r="E942">
        <v>6</v>
      </c>
      <c r="F942">
        <v>3</v>
      </c>
      <c r="G942">
        <v>4</v>
      </c>
      <c r="H942">
        <v>3</v>
      </c>
      <c r="I942">
        <v>4</v>
      </c>
      <c r="J942">
        <v>4</v>
      </c>
      <c r="K942">
        <v>4</v>
      </c>
      <c r="L942">
        <v>2</v>
      </c>
      <c r="M942">
        <v>0</v>
      </c>
      <c r="N942">
        <v>7</v>
      </c>
      <c r="O942">
        <v>42</v>
      </c>
    </row>
    <row r="943" spans="1:15" x14ac:dyDescent="0.25">
      <c r="A943" t="s">
        <v>1642</v>
      </c>
      <c r="B943">
        <v>13</v>
      </c>
      <c r="C943">
        <v>9</v>
      </c>
      <c r="D943">
        <v>4</v>
      </c>
      <c r="E943">
        <v>0</v>
      </c>
      <c r="F943">
        <v>0</v>
      </c>
      <c r="G943">
        <v>0</v>
      </c>
      <c r="H943">
        <v>0</v>
      </c>
      <c r="I943">
        <v>6</v>
      </c>
      <c r="J943">
        <v>1</v>
      </c>
      <c r="K943">
        <v>2</v>
      </c>
      <c r="L943">
        <v>0</v>
      </c>
      <c r="M943">
        <v>0</v>
      </c>
      <c r="N943">
        <v>21</v>
      </c>
      <c r="O943">
        <v>35</v>
      </c>
    </row>
    <row r="944" spans="1:15" x14ac:dyDescent="0.25">
      <c r="A944" t="s">
        <v>1643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8</v>
      </c>
      <c r="O944">
        <v>0</v>
      </c>
    </row>
    <row r="945" spans="1:15" x14ac:dyDescent="0.25">
      <c r="A945" t="s">
        <v>1644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1</v>
      </c>
      <c r="M945">
        <v>0</v>
      </c>
      <c r="N945">
        <v>6</v>
      </c>
      <c r="O945">
        <v>2</v>
      </c>
    </row>
    <row r="946" spans="1:15" x14ac:dyDescent="0.25">
      <c r="A946" t="s">
        <v>1645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4</v>
      </c>
      <c r="L946">
        <v>0</v>
      </c>
      <c r="M946">
        <v>0</v>
      </c>
      <c r="N946">
        <v>4</v>
      </c>
      <c r="O946">
        <v>4</v>
      </c>
    </row>
    <row r="947" spans="1:15" x14ac:dyDescent="0.25">
      <c r="A947" t="s">
        <v>1646</v>
      </c>
      <c r="B947">
        <v>16</v>
      </c>
      <c r="C947">
        <v>12</v>
      </c>
      <c r="D947">
        <v>12</v>
      </c>
      <c r="E947">
        <v>0</v>
      </c>
      <c r="F947">
        <v>0</v>
      </c>
      <c r="G947">
        <v>0</v>
      </c>
      <c r="H947">
        <v>0</v>
      </c>
      <c r="I947">
        <v>16</v>
      </c>
      <c r="J947">
        <v>15</v>
      </c>
      <c r="K947">
        <v>11</v>
      </c>
      <c r="L947">
        <v>15</v>
      </c>
      <c r="M947">
        <v>3</v>
      </c>
      <c r="N947">
        <v>65</v>
      </c>
      <c r="O947">
        <v>100</v>
      </c>
    </row>
    <row r="948" spans="1:15" x14ac:dyDescent="0.25">
      <c r="A948" t="s">
        <v>1648</v>
      </c>
      <c r="B948">
        <v>15</v>
      </c>
      <c r="C948">
        <v>33</v>
      </c>
      <c r="D948">
        <v>20</v>
      </c>
      <c r="E948">
        <v>0</v>
      </c>
      <c r="F948">
        <v>0</v>
      </c>
      <c r="G948">
        <v>0</v>
      </c>
      <c r="H948">
        <v>7</v>
      </c>
      <c r="I948">
        <v>20</v>
      </c>
      <c r="J948">
        <v>9</v>
      </c>
      <c r="K948">
        <v>5</v>
      </c>
      <c r="L948">
        <v>4</v>
      </c>
      <c r="M948">
        <v>4</v>
      </c>
      <c r="N948">
        <v>112</v>
      </c>
      <c r="O948">
        <v>117</v>
      </c>
    </row>
    <row r="949" spans="1:15" x14ac:dyDescent="0.25">
      <c r="A949" t="s">
        <v>1649</v>
      </c>
      <c r="B949">
        <v>0</v>
      </c>
      <c r="C949">
        <v>5</v>
      </c>
      <c r="D949">
        <v>4</v>
      </c>
      <c r="E949">
        <v>4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13</v>
      </c>
    </row>
    <row r="950" spans="1:15" x14ac:dyDescent="0.25">
      <c r="A950" t="s">
        <v>697</v>
      </c>
      <c r="B950">
        <v>9</v>
      </c>
      <c r="C950">
        <v>10</v>
      </c>
      <c r="D950">
        <v>4</v>
      </c>
      <c r="E950">
        <v>0</v>
      </c>
      <c r="F950">
        <v>0</v>
      </c>
      <c r="G950">
        <v>0</v>
      </c>
      <c r="H950">
        <v>24</v>
      </c>
      <c r="I950">
        <v>8</v>
      </c>
      <c r="J950">
        <v>9</v>
      </c>
      <c r="K950">
        <v>3</v>
      </c>
      <c r="L950">
        <v>5</v>
      </c>
      <c r="M950">
        <v>3</v>
      </c>
      <c r="N950">
        <v>0</v>
      </c>
      <c r="O950">
        <v>75</v>
      </c>
    </row>
    <row r="951" spans="1:15" x14ac:dyDescent="0.25">
      <c r="A951" t="s">
        <v>1651</v>
      </c>
      <c r="B951">
        <v>12</v>
      </c>
      <c r="C951">
        <v>31</v>
      </c>
      <c r="D951">
        <v>3</v>
      </c>
      <c r="E951">
        <v>0</v>
      </c>
      <c r="F951">
        <v>0</v>
      </c>
      <c r="G951">
        <v>0</v>
      </c>
      <c r="H951">
        <v>34</v>
      </c>
      <c r="I951">
        <v>15</v>
      </c>
      <c r="J951">
        <v>3</v>
      </c>
      <c r="K951">
        <v>3</v>
      </c>
      <c r="L951">
        <v>2</v>
      </c>
      <c r="M951">
        <v>2</v>
      </c>
      <c r="N951">
        <v>74</v>
      </c>
      <c r="O951">
        <v>105</v>
      </c>
    </row>
    <row r="952" spans="1:15" x14ac:dyDescent="0.25">
      <c r="A952" t="s">
        <v>1652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 x14ac:dyDescent="0.25">
      <c r="A953" t="s">
        <v>1653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3</v>
      </c>
      <c r="O953">
        <v>0</v>
      </c>
    </row>
    <row r="954" spans="1:15" x14ac:dyDescent="0.25">
      <c r="A954" t="s">
        <v>1655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 x14ac:dyDescent="0.25">
      <c r="A955" t="s">
        <v>1656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4</v>
      </c>
      <c r="O955">
        <v>0</v>
      </c>
    </row>
    <row r="956" spans="1:15" x14ac:dyDescent="0.25">
      <c r="A956" t="s">
        <v>1657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12</v>
      </c>
      <c r="O956">
        <v>0</v>
      </c>
    </row>
    <row r="957" spans="1:15" x14ac:dyDescent="0.25">
      <c r="A957" t="s">
        <v>1658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27</v>
      </c>
      <c r="O957">
        <v>0</v>
      </c>
    </row>
    <row r="958" spans="1:15" x14ac:dyDescent="0.25">
      <c r="A958" t="s">
        <v>1660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12</v>
      </c>
      <c r="O958">
        <v>0</v>
      </c>
    </row>
    <row r="959" spans="1:15" x14ac:dyDescent="0.25">
      <c r="A959" t="s">
        <v>1661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19</v>
      </c>
      <c r="O959">
        <v>0</v>
      </c>
    </row>
    <row r="960" spans="1:15" x14ac:dyDescent="0.25">
      <c r="A960" t="s">
        <v>1663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8</v>
      </c>
      <c r="O960">
        <v>0</v>
      </c>
    </row>
    <row r="961" spans="1:15" x14ac:dyDescent="0.25">
      <c r="A961" t="s">
        <v>1664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4</v>
      </c>
      <c r="O961">
        <v>0</v>
      </c>
    </row>
    <row r="962" spans="1:15" x14ac:dyDescent="0.25">
      <c r="A962" t="s">
        <v>1666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 x14ac:dyDescent="0.25">
      <c r="A963" t="s">
        <v>1667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3</v>
      </c>
      <c r="O963">
        <v>0</v>
      </c>
    </row>
    <row r="964" spans="1:15" x14ac:dyDescent="0.25">
      <c r="A964" t="s">
        <v>1668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12</v>
      </c>
      <c r="O964">
        <v>0</v>
      </c>
    </row>
    <row r="965" spans="1:15" x14ac:dyDescent="0.25">
      <c r="A965" t="s">
        <v>1669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38</v>
      </c>
      <c r="O965">
        <v>0</v>
      </c>
    </row>
    <row r="966" spans="1:15" x14ac:dyDescent="0.25">
      <c r="A966" t="s">
        <v>1671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8</v>
      </c>
      <c r="O966">
        <v>0</v>
      </c>
    </row>
    <row r="967" spans="1:15" x14ac:dyDescent="0.25">
      <c r="A967" t="s">
        <v>1672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 x14ac:dyDescent="0.25">
      <c r="A968" t="s">
        <v>1673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19</v>
      </c>
      <c r="O968">
        <v>0</v>
      </c>
    </row>
    <row r="969" spans="1:15" x14ac:dyDescent="0.25">
      <c r="A969" t="s">
        <v>1675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8</v>
      </c>
      <c r="O969">
        <v>0</v>
      </c>
    </row>
    <row r="970" spans="1:15" x14ac:dyDescent="0.25">
      <c r="A970" t="s">
        <v>1676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 x14ac:dyDescent="0.25">
      <c r="A971" t="s">
        <v>1486</v>
      </c>
      <c r="B971">
        <v>8</v>
      </c>
      <c r="C971">
        <v>3</v>
      </c>
      <c r="D971">
        <v>2</v>
      </c>
      <c r="E971">
        <v>10</v>
      </c>
      <c r="F971">
        <v>9</v>
      </c>
      <c r="G971">
        <v>3</v>
      </c>
      <c r="H971">
        <v>7</v>
      </c>
      <c r="I971">
        <v>3</v>
      </c>
      <c r="J971">
        <v>8</v>
      </c>
      <c r="K971">
        <v>13</v>
      </c>
      <c r="L971">
        <v>2</v>
      </c>
      <c r="M971">
        <v>2</v>
      </c>
      <c r="N971">
        <v>135</v>
      </c>
      <c r="O971">
        <v>70</v>
      </c>
    </row>
    <row r="972" spans="1:15" x14ac:dyDescent="0.25">
      <c r="A972" t="s">
        <v>1488</v>
      </c>
      <c r="B972">
        <v>4</v>
      </c>
      <c r="C972">
        <v>0</v>
      </c>
      <c r="D972">
        <v>2</v>
      </c>
      <c r="E972">
        <v>4</v>
      </c>
      <c r="F972">
        <v>1</v>
      </c>
      <c r="G972">
        <v>4</v>
      </c>
      <c r="H972">
        <v>2</v>
      </c>
      <c r="I972">
        <v>2</v>
      </c>
      <c r="J972">
        <v>7</v>
      </c>
      <c r="K972">
        <v>1</v>
      </c>
      <c r="L972">
        <v>3</v>
      </c>
      <c r="M972">
        <v>1</v>
      </c>
      <c r="N972">
        <v>56</v>
      </c>
      <c r="O972">
        <v>31</v>
      </c>
    </row>
    <row r="973" spans="1:15" x14ac:dyDescent="0.25">
      <c r="A973" t="s">
        <v>1489</v>
      </c>
      <c r="B973">
        <v>12</v>
      </c>
      <c r="C973">
        <v>7</v>
      </c>
      <c r="D973">
        <v>6</v>
      </c>
      <c r="E973">
        <v>9</v>
      </c>
      <c r="F973">
        <v>10</v>
      </c>
      <c r="G973">
        <v>9</v>
      </c>
      <c r="H973">
        <v>5</v>
      </c>
      <c r="I973">
        <v>6</v>
      </c>
      <c r="J973">
        <v>9</v>
      </c>
      <c r="K973">
        <v>10</v>
      </c>
      <c r="L973">
        <v>6</v>
      </c>
      <c r="M973">
        <v>4</v>
      </c>
      <c r="N973">
        <v>271</v>
      </c>
      <c r="O973">
        <v>93</v>
      </c>
    </row>
    <row r="974" spans="1:15" x14ac:dyDescent="0.25">
      <c r="A974" t="s">
        <v>729</v>
      </c>
      <c r="B974">
        <v>23</v>
      </c>
      <c r="C974">
        <v>7</v>
      </c>
      <c r="D974">
        <v>24</v>
      </c>
      <c r="E974">
        <v>35</v>
      </c>
      <c r="F974">
        <v>10</v>
      </c>
      <c r="G974">
        <v>36</v>
      </c>
      <c r="H974">
        <v>15</v>
      </c>
      <c r="I974">
        <v>25</v>
      </c>
      <c r="J974">
        <v>27</v>
      </c>
      <c r="K974">
        <v>27</v>
      </c>
      <c r="L974">
        <v>35</v>
      </c>
      <c r="M974">
        <v>16</v>
      </c>
      <c r="N974">
        <v>106</v>
      </c>
      <c r="O974">
        <v>280</v>
      </c>
    </row>
    <row r="975" spans="1:15" x14ac:dyDescent="0.25">
      <c r="A975" t="s">
        <v>1495</v>
      </c>
      <c r="B975">
        <v>7</v>
      </c>
      <c r="C975">
        <v>31</v>
      </c>
      <c r="D975">
        <v>13</v>
      </c>
      <c r="E975">
        <v>10</v>
      </c>
      <c r="F975">
        <v>22</v>
      </c>
      <c r="G975">
        <v>15</v>
      </c>
      <c r="H975">
        <v>13</v>
      </c>
      <c r="I975">
        <v>20</v>
      </c>
      <c r="J975">
        <v>2</v>
      </c>
      <c r="K975">
        <v>11</v>
      </c>
      <c r="L975">
        <v>7</v>
      </c>
      <c r="M975">
        <v>7</v>
      </c>
      <c r="N975">
        <v>112</v>
      </c>
      <c r="O975">
        <v>158</v>
      </c>
    </row>
    <row r="976" spans="1:15" x14ac:dyDescent="0.25">
      <c r="A976" t="s">
        <v>730</v>
      </c>
      <c r="B976">
        <v>26</v>
      </c>
      <c r="C976">
        <v>39</v>
      </c>
      <c r="D976">
        <v>10</v>
      </c>
      <c r="E976">
        <v>25</v>
      </c>
      <c r="F976">
        <v>35</v>
      </c>
      <c r="G976">
        <v>56</v>
      </c>
      <c r="H976">
        <v>26</v>
      </c>
      <c r="I976">
        <v>36</v>
      </c>
      <c r="J976">
        <v>36</v>
      </c>
      <c r="K976">
        <v>32</v>
      </c>
      <c r="L976">
        <v>26</v>
      </c>
      <c r="M976">
        <v>19</v>
      </c>
      <c r="N976">
        <v>207.75</v>
      </c>
      <c r="O976">
        <v>366</v>
      </c>
    </row>
    <row r="977" spans="1:15" x14ac:dyDescent="0.25">
      <c r="A977" t="s">
        <v>1500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 x14ac:dyDescent="0.25">
      <c r="A978" t="s">
        <v>1502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 x14ac:dyDescent="0.25">
      <c r="A979" t="s">
        <v>1503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 x14ac:dyDescent="0.25">
      <c r="A980" t="s">
        <v>1490</v>
      </c>
      <c r="B980">
        <v>1</v>
      </c>
      <c r="C980">
        <v>1</v>
      </c>
      <c r="D980">
        <v>0</v>
      </c>
      <c r="E980">
        <v>1</v>
      </c>
      <c r="F980">
        <v>1</v>
      </c>
      <c r="G980">
        <v>1</v>
      </c>
      <c r="H980">
        <v>2</v>
      </c>
      <c r="I980">
        <v>1</v>
      </c>
      <c r="J980">
        <v>0</v>
      </c>
      <c r="K980">
        <v>0</v>
      </c>
      <c r="L980">
        <v>0</v>
      </c>
      <c r="M980">
        <v>2</v>
      </c>
      <c r="N980">
        <v>177</v>
      </c>
      <c r="O980">
        <v>10</v>
      </c>
    </row>
    <row r="981" spans="1:15" x14ac:dyDescent="0.25">
      <c r="A981" t="s">
        <v>1492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1</v>
      </c>
      <c r="L981">
        <v>0</v>
      </c>
      <c r="M981">
        <v>0</v>
      </c>
      <c r="N981">
        <v>76</v>
      </c>
      <c r="O981">
        <v>2</v>
      </c>
    </row>
    <row r="982" spans="1:15" x14ac:dyDescent="0.25">
      <c r="A982" t="s">
        <v>1493</v>
      </c>
      <c r="B982">
        <v>1</v>
      </c>
      <c r="C982">
        <v>0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1</v>
      </c>
      <c r="J982">
        <v>2</v>
      </c>
      <c r="K982">
        <v>4</v>
      </c>
      <c r="L982">
        <v>0</v>
      </c>
      <c r="M982">
        <v>0</v>
      </c>
      <c r="N982">
        <v>177</v>
      </c>
      <c r="O982">
        <v>9</v>
      </c>
    </row>
    <row r="983" spans="1:15" x14ac:dyDescent="0.25">
      <c r="A983" t="s">
        <v>1496</v>
      </c>
      <c r="B983">
        <v>4</v>
      </c>
      <c r="C983">
        <v>5</v>
      </c>
      <c r="D983">
        <v>0</v>
      </c>
      <c r="E983">
        <v>10</v>
      </c>
      <c r="F983">
        <v>13</v>
      </c>
      <c r="G983">
        <v>6</v>
      </c>
      <c r="H983">
        <v>5</v>
      </c>
      <c r="I983">
        <v>14</v>
      </c>
      <c r="J983">
        <v>3</v>
      </c>
      <c r="K983">
        <v>3</v>
      </c>
      <c r="L983">
        <v>6</v>
      </c>
      <c r="M983">
        <v>5</v>
      </c>
      <c r="N983">
        <v>25</v>
      </c>
      <c r="O983">
        <v>74</v>
      </c>
    </row>
    <row r="984" spans="1:15" x14ac:dyDescent="0.25">
      <c r="A984" t="s">
        <v>1498</v>
      </c>
      <c r="B984">
        <v>0</v>
      </c>
      <c r="C984">
        <v>0</v>
      </c>
      <c r="D984">
        <v>4</v>
      </c>
      <c r="E984">
        <v>1</v>
      </c>
      <c r="F984">
        <v>11</v>
      </c>
      <c r="G984">
        <v>4</v>
      </c>
      <c r="H984">
        <v>1</v>
      </c>
      <c r="I984">
        <v>-1</v>
      </c>
      <c r="J984">
        <v>4</v>
      </c>
      <c r="K984">
        <v>4</v>
      </c>
      <c r="L984">
        <v>3</v>
      </c>
      <c r="M984">
        <v>3</v>
      </c>
      <c r="N984">
        <v>36</v>
      </c>
      <c r="O984">
        <v>34</v>
      </c>
    </row>
    <row r="985" spans="1:15" x14ac:dyDescent="0.25">
      <c r="A985" t="s">
        <v>1499</v>
      </c>
      <c r="B985">
        <v>9</v>
      </c>
      <c r="C985">
        <v>2</v>
      </c>
      <c r="D985">
        <v>0</v>
      </c>
      <c r="E985">
        <v>4</v>
      </c>
      <c r="F985">
        <v>3</v>
      </c>
      <c r="G985">
        <v>9</v>
      </c>
      <c r="H985">
        <v>1</v>
      </c>
      <c r="I985">
        <v>1</v>
      </c>
      <c r="J985">
        <v>6</v>
      </c>
      <c r="K985">
        <v>6</v>
      </c>
      <c r="L985">
        <v>7</v>
      </c>
      <c r="M985">
        <v>2</v>
      </c>
      <c r="N985">
        <v>73</v>
      </c>
      <c r="O985">
        <v>50</v>
      </c>
    </row>
    <row r="986" spans="1:15" x14ac:dyDescent="0.25">
      <c r="A986" t="s">
        <v>1509</v>
      </c>
      <c r="B986">
        <v>3</v>
      </c>
      <c r="C986">
        <v>4</v>
      </c>
      <c r="D986">
        <v>10</v>
      </c>
      <c r="E986">
        <v>1</v>
      </c>
      <c r="F986">
        <v>0</v>
      </c>
      <c r="G986">
        <v>2</v>
      </c>
      <c r="H986">
        <v>3</v>
      </c>
      <c r="I986">
        <v>0</v>
      </c>
      <c r="J986">
        <v>0</v>
      </c>
      <c r="K986">
        <v>0</v>
      </c>
      <c r="L986">
        <v>-1</v>
      </c>
      <c r="M986">
        <v>1</v>
      </c>
      <c r="N986">
        <v>51</v>
      </c>
      <c r="O986">
        <v>23</v>
      </c>
    </row>
    <row r="987" spans="1:15" x14ac:dyDescent="0.25">
      <c r="A987" t="s">
        <v>1511</v>
      </c>
      <c r="B987">
        <v>2</v>
      </c>
      <c r="C987">
        <v>1</v>
      </c>
      <c r="D987">
        <v>1</v>
      </c>
      <c r="E987">
        <v>0</v>
      </c>
      <c r="F987">
        <v>3</v>
      </c>
      <c r="G987">
        <v>0</v>
      </c>
      <c r="H987">
        <v>4</v>
      </c>
      <c r="I987">
        <v>1</v>
      </c>
      <c r="J987">
        <v>1</v>
      </c>
      <c r="K987">
        <v>1</v>
      </c>
      <c r="L987">
        <v>2</v>
      </c>
      <c r="M987">
        <v>4</v>
      </c>
      <c r="N987">
        <v>142</v>
      </c>
      <c r="O987">
        <v>20</v>
      </c>
    </row>
    <row r="988" spans="1:15" x14ac:dyDescent="0.25">
      <c r="A988" t="s">
        <v>1512</v>
      </c>
      <c r="B988">
        <v>9</v>
      </c>
      <c r="C988">
        <v>3</v>
      </c>
      <c r="D988">
        <v>9</v>
      </c>
      <c r="E988">
        <v>11</v>
      </c>
      <c r="F988">
        <v>7</v>
      </c>
      <c r="G988">
        <v>9</v>
      </c>
      <c r="H988">
        <v>8</v>
      </c>
      <c r="I988">
        <v>5</v>
      </c>
      <c r="J988">
        <v>9</v>
      </c>
      <c r="K988">
        <v>7</v>
      </c>
      <c r="L988">
        <v>4</v>
      </c>
      <c r="M988">
        <v>3</v>
      </c>
      <c r="N988">
        <v>70</v>
      </c>
      <c r="O988">
        <v>84</v>
      </c>
    </row>
    <row r="989" spans="1:15" x14ac:dyDescent="0.25">
      <c r="A989" t="s">
        <v>1513</v>
      </c>
      <c r="B989">
        <v>4</v>
      </c>
      <c r="C989">
        <v>0</v>
      </c>
      <c r="D989">
        <v>7</v>
      </c>
      <c r="E989">
        <v>4</v>
      </c>
      <c r="F989">
        <v>2</v>
      </c>
      <c r="G989">
        <v>2</v>
      </c>
      <c r="H989">
        <v>3</v>
      </c>
      <c r="I989">
        <v>3</v>
      </c>
      <c r="J989">
        <v>3</v>
      </c>
      <c r="K989">
        <v>5</v>
      </c>
      <c r="L989">
        <v>1</v>
      </c>
      <c r="M989">
        <v>3</v>
      </c>
      <c r="N989">
        <v>59</v>
      </c>
      <c r="O989">
        <v>37</v>
      </c>
    </row>
    <row r="990" spans="1:15" x14ac:dyDescent="0.25">
      <c r="A990" t="s">
        <v>1519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 x14ac:dyDescent="0.25">
      <c r="A991" t="s">
        <v>1521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 x14ac:dyDescent="0.25">
      <c r="A992" t="s">
        <v>1522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 x14ac:dyDescent="0.25">
      <c r="A993" t="s">
        <v>1523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 x14ac:dyDescent="0.25">
      <c r="A994" t="s">
        <v>1504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3</v>
      </c>
      <c r="J994">
        <v>2</v>
      </c>
      <c r="K994">
        <v>17</v>
      </c>
      <c r="L994">
        <v>-7</v>
      </c>
      <c r="M994">
        <v>2</v>
      </c>
      <c r="N994">
        <v>25</v>
      </c>
      <c r="O994">
        <v>17</v>
      </c>
    </row>
    <row r="995" spans="1:15" x14ac:dyDescent="0.25">
      <c r="A995" t="s">
        <v>1506</v>
      </c>
      <c r="B995">
        <v>0</v>
      </c>
      <c r="C995">
        <v>0</v>
      </c>
      <c r="D995">
        <v>0</v>
      </c>
      <c r="E995">
        <v>1</v>
      </c>
      <c r="F995">
        <v>-1</v>
      </c>
      <c r="G995">
        <v>0</v>
      </c>
      <c r="H995">
        <v>1</v>
      </c>
      <c r="I995">
        <v>1</v>
      </c>
      <c r="J995">
        <v>0</v>
      </c>
      <c r="K995">
        <v>0</v>
      </c>
      <c r="L995">
        <v>1</v>
      </c>
      <c r="M995">
        <v>1</v>
      </c>
      <c r="N995">
        <v>102</v>
      </c>
      <c r="O995">
        <v>4</v>
      </c>
    </row>
    <row r="996" spans="1:15" x14ac:dyDescent="0.25">
      <c r="A996" t="s">
        <v>1507</v>
      </c>
      <c r="B996">
        <v>0</v>
      </c>
      <c r="C996">
        <v>0</v>
      </c>
      <c r="D996">
        <v>0</v>
      </c>
      <c r="E996">
        <v>2</v>
      </c>
      <c r="F996">
        <v>1</v>
      </c>
      <c r="G996">
        <v>0</v>
      </c>
      <c r="H996">
        <v>1</v>
      </c>
      <c r="I996">
        <v>1</v>
      </c>
      <c r="J996">
        <v>5</v>
      </c>
      <c r="K996">
        <v>0</v>
      </c>
      <c r="L996">
        <v>3</v>
      </c>
      <c r="M996">
        <v>1</v>
      </c>
      <c r="N996">
        <v>309</v>
      </c>
      <c r="O996">
        <v>14</v>
      </c>
    </row>
    <row r="997" spans="1:15" x14ac:dyDescent="0.25">
      <c r="A997" t="s">
        <v>1508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1</v>
      </c>
      <c r="I997">
        <v>1</v>
      </c>
      <c r="J997">
        <v>3</v>
      </c>
      <c r="K997">
        <v>0</v>
      </c>
      <c r="L997">
        <v>3</v>
      </c>
      <c r="M997">
        <v>0</v>
      </c>
      <c r="N997">
        <v>142</v>
      </c>
      <c r="O997">
        <v>9</v>
      </c>
    </row>
    <row r="998" spans="1:15" x14ac:dyDescent="0.25">
      <c r="A998" t="s">
        <v>1514</v>
      </c>
      <c r="B998">
        <v>12</v>
      </c>
      <c r="C998">
        <v>4</v>
      </c>
      <c r="D998">
        <v>11</v>
      </c>
      <c r="E998">
        <v>6</v>
      </c>
      <c r="F998">
        <v>5</v>
      </c>
      <c r="G998">
        <v>8</v>
      </c>
      <c r="H998">
        <v>16</v>
      </c>
      <c r="I998">
        <v>9</v>
      </c>
      <c r="J998">
        <v>7</v>
      </c>
      <c r="K998">
        <v>16</v>
      </c>
      <c r="L998">
        <v>12</v>
      </c>
      <c r="M998">
        <v>5</v>
      </c>
      <c r="N998">
        <v>141</v>
      </c>
      <c r="O998">
        <v>111</v>
      </c>
    </row>
    <row r="999" spans="1:15" x14ac:dyDescent="0.25">
      <c r="A999" t="s">
        <v>1516</v>
      </c>
      <c r="B999">
        <v>12</v>
      </c>
      <c r="C999">
        <v>0</v>
      </c>
      <c r="D999">
        <v>0</v>
      </c>
      <c r="E999">
        <v>7</v>
      </c>
      <c r="F999">
        <v>11</v>
      </c>
      <c r="G999">
        <v>3</v>
      </c>
      <c r="H999">
        <v>2</v>
      </c>
      <c r="I999">
        <v>4</v>
      </c>
      <c r="J999">
        <v>0</v>
      </c>
      <c r="K999">
        <v>3</v>
      </c>
      <c r="L999">
        <v>3</v>
      </c>
      <c r="M999">
        <v>7</v>
      </c>
      <c r="N999">
        <v>46</v>
      </c>
      <c r="O999">
        <v>52</v>
      </c>
    </row>
    <row r="1000" spans="1:15" x14ac:dyDescent="0.25">
      <c r="A1000" t="s">
        <v>1517</v>
      </c>
      <c r="B1000">
        <v>35</v>
      </c>
      <c r="C1000">
        <v>9</v>
      </c>
      <c r="D1000">
        <v>11</v>
      </c>
      <c r="E1000">
        <v>29</v>
      </c>
      <c r="F1000">
        <v>18</v>
      </c>
      <c r="G1000">
        <v>21</v>
      </c>
      <c r="H1000">
        <v>28</v>
      </c>
      <c r="I1000">
        <v>6</v>
      </c>
      <c r="J1000">
        <v>24</v>
      </c>
      <c r="K1000">
        <v>15</v>
      </c>
      <c r="L1000">
        <v>15</v>
      </c>
      <c r="M1000">
        <v>9</v>
      </c>
      <c r="N1000">
        <v>125</v>
      </c>
      <c r="O1000">
        <v>220</v>
      </c>
    </row>
    <row r="1001" spans="1:15" x14ac:dyDescent="0.25">
      <c r="A1001" t="s">
        <v>1518</v>
      </c>
      <c r="B1001">
        <v>8</v>
      </c>
      <c r="C1001">
        <v>1</v>
      </c>
      <c r="D1001">
        <v>5</v>
      </c>
      <c r="E1001">
        <v>15</v>
      </c>
      <c r="F1001">
        <v>1</v>
      </c>
      <c r="G1001">
        <v>13</v>
      </c>
      <c r="H1001">
        <v>17</v>
      </c>
      <c r="I1001">
        <v>12</v>
      </c>
      <c r="J1001">
        <v>3</v>
      </c>
      <c r="K1001">
        <v>9</v>
      </c>
      <c r="L1001">
        <v>1</v>
      </c>
      <c r="M1001">
        <v>1</v>
      </c>
      <c r="N1001">
        <v>49</v>
      </c>
      <c r="O1001">
        <v>86</v>
      </c>
    </row>
    <row r="1002" spans="1:15" x14ac:dyDescent="0.25">
      <c r="A1002" t="s">
        <v>1124</v>
      </c>
      <c r="B1002">
        <v>1</v>
      </c>
      <c r="C1002">
        <v>6</v>
      </c>
      <c r="D1002">
        <v>0</v>
      </c>
      <c r="E1002">
        <v>0</v>
      </c>
      <c r="F1002">
        <v>8</v>
      </c>
      <c r="G1002">
        <v>9</v>
      </c>
      <c r="H1002">
        <v>0</v>
      </c>
      <c r="I1002">
        <v>3</v>
      </c>
      <c r="J1002">
        <v>0</v>
      </c>
      <c r="K1002">
        <v>6</v>
      </c>
      <c r="L1002">
        <v>0</v>
      </c>
      <c r="M1002">
        <v>0</v>
      </c>
      <c r="N1002">
        <v>42</v>
      </c>
      <c r="O1002">
        <v>33</v>
      </c>
    </row>
    <row r="1003" spans="1:15" x14ac:dyDescent="0.25">
      <c r="A1003" t="s">
        <v>1126</v>
      </c>
      <c r="B1003">
        <v>8</v>
      </c>
      <c r="C1003">
        <v>0</v>
      </c>
      <c r="D1003">
        <v>12</v>
      </c>
      <c r="E1003">
        <v>12</v>
      </c>
      <c r="F1003">
        <v>5</v>
      </c>
      <c r="G1003">
        <v>19</v>
      </c>
      <c r="H1003">
        <v>0</v>
      </c>
      <c r="I1003">
        <v>8</v>
      </c>
      <c r="J1003">
        <v>0</v>
      </c>
      <c r="K1003">
        <v>10</v>
      </c>
      <c r="L1003">
        <v>0</v>
      </c>
      <c r="M1003">
        <v>0</v>
      </c>
      <c r="N1003">
        <v>63</v>
      </c>
      <c r="O1003">
        <v>74</v>
      </c>
    </row>
    <row r="1004" spans="1:15" x14ac:dyDescent="0.25">
      <c r="A1004" t="s">
        <v>1460</v>
      </c>
      <c r="B1004">
        <v>0</v>
      </c>
      <c r="C1004">
        <v>0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4</v>
      </c>
      <c r="O1004">
        <v>1</v>
      </c>
    </row>
    <row r="1005" spans="1:15" x14ac:dyDescent="0.25">
      <c r="A1005" t="s">
        <v>804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 x14ac:dyDescent="0.25">
      <c r="A1006" t="s">
        <v>805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 x14ac:dyDescent="0.25">
      <c r="A1007" t="s">
        <v>806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 x14ac:dyDescent="0.25">
      <c r="A1008" t="s">
        <v>807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 x14ac:dyDescent="0.25">
      <c r="A1009" t="s">
        <v>684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3</v>
      </c>
      <c r="M1009">
        <v>0</v>
      </c>
      <c r="N1009">
        <v>13</v>
      </c>
      <c r="O1009">
        <v>4</v>
      </c>
    </row>
    <row r="1010" spans="1:15" x14ac:dyDescent="0.25">
      <c r="A1010" t="s">
        <v>1471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7</v>
      </c>
      <c r="O1010">
        <v>1</v>
      </c>
    </row>
    <row r="1011" spans="1:15" x14ac:dyDescent="0.25">
      <c r="A1011" t="s">
        <v>689</v>
      </c>
      <c r="B1011">
        <v>0</v>
      </c>
      <c r="C1011">
        <v>0</v>
      </c>
      <c r="D1011">
        <v>0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-1</v>
      </c>
      <c r="M1011">
        <v>0</v>
      </c>
      <c r="N1011">
        <v>28</v>
      </c>
      <c r="O1011">
        <v>1</v>
      </c>
    </row>
    <row r="1012" spans="1:15" x14ac:dyDescent="0.25">
      <c r="A1012" t="s">
        <v>1474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5</v>
      </c>
      <c r="O1012">
        <v>0</v>
      </c>
    </row>
    <row r="1013" spans="1:15" x14ac:dyDescent="0.25">
      <c r="A1013" t="s">
        <v>1476</v>
      </c>
      <c r="B1013">
        <v>0</v>
      </c>
      <c r="C1013">
        <v>0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8</v>
      </c>
      <c r="O1013">
        <v>1</v>
      </c>
    </row>
    <row r="1014" spans="1:15" x14ac:dyDescent="0.25">
      <c r="A1014" t="s">
        <v>691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2</v>
      </c>
      <c r="M1014">
        <v>0</v>
      </c>
      <c r="N1014">
        <v>12</v>
      </c>
      <c r="O1014">
        <v>3</v>
      </c>
    </row>
    <row r="1015" spans="1:15" x14ac:dyDescent="0.25">
      <c r="A1015" t="s">
        <v>1479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11</v>
      </c>
      <c r="O1015">
        <v>1</v>
      </c>
    </row>
    <row r="1016" spans="1:15" x14ac:dyDescent="0.25">
      <c r="A1016" t="s">
        <v>694</v>
      </c>
      <c r="B1016">
        <v>0</v>
      </c>
      <c r="C1016">
        <v>1</v>
      </c>
      <c r="D1016">
        <v>1</v>
      </c>
      <c r="E1016">
        <v>6</v>
      </c>
      <c r="F1016">
        <v>-1</v>
      </c>
      <c r="G1016">
        <v>0</v>
      </c>
      <c r="H1016">
        <v>4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18.75</v>
      </c>
      <c r="O1016">
        <v>12</v>
      </c>
    </row>
    <row r="1017" spans="1:15" x14ac:dyDescent="0.25">
      <c r="A1017" t="s">
        <v>1482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5</v>
      </c>
      <c r="O1017">
        <v>0</v>
      </c>
    </row>
    <row r="1018" spans="1:15" x14ac:dyDescent="0.25">
      <c r="A1018" t="s">
        <v>1484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9</v>
      </c>
      <c r="O1018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0"/>
  <sheetViews>
    <sheetView workbookViewId="0"/>
  </sheetViews>
  <sheetFormatPr defaultRowHeight="15" x14ac:dyDescent="0.25"/>
  <cols>
    <col min="1" max="1" width="26" customWidth="1"/>
    <col min="2" max="2" width="15" customWidth="1"/>
    <col min="3" max="3" width="16" customWidth="1"/>
    <col min="4" max="4" width="13" customWidth="1"/>
    <col min="5" max="5" width="15" customWidth="1"/>
    <col min="6" max="6" width="12" customWidth="1"/>
    <col min="7" max="8" width="13" customWidth="1"/>
    <col min="9" max="9" width="15" customWidth="1"/>
    <col min="10" max="10" width="17" customWidth="1"/>
    <col min="11" max="11" width="16" customWidth="1"/>
    <col min="12" max="12" width="15" customWidth="1"/>
    <col min="13" max="13" width="16" customWidth="1"/>
    <col min="14" max="15" width="10" customWidth="1"/>
  </cols>
  <sheetData>
    <row r="1" spans="1:15" x14ac:dyDescent="0.25">
      <c r="A1" t="s">
        <v>0</v>
      </c>
      <c r="B1" t="s">
        <v>1876</v>
      </c>
      <c r="C1" t="s">
        <v>1877</v>
      </c>
      <c r="D1" t="s">
        <v>1878</v>
      </c>
      <c r="E1" t="s">
        <v>1879</v>
      </c>
      <c r="F1" t="s">
        <v>1880</v>
      </c>
      <c r="G1" t="s">
        <v>1881</v>
      </c>
      <c r="H1" t="s">
        <v>1882</v>
      </c>
      <c r="I1" t="s">
        <v>1883</v>
      </c>
      <c r="J1" t="s">
        <v>1884</v>
      </c>
      <c r="K1" t="s">
        <v>1885</v>
      </c>
      <c r="L1" t="s">
        <v>1886</v>
      </c>
      <c r="M1" t="s">
        <v>1887</v>
      </c>
      <c r="N1" t="s">
        <v>774</v>
      </c>
      <c r="O1" t="s">
        <v>788</v>
      </c>
    </row>
    <row r="2" spans="1:15" x14ac:dyDescent="0.25">
      <c r="A2" t="s">
        <v>1693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875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t="s">
        <v>745</v>
      </c>
      <c r="B4">
        <v>0</v>
      </c>
      <c r="C4">
        <v>0</v>
      </c>
      <c r="D4">
        <v>30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78</v>
      </c>
      <c r="O4">
        <v>30</v>
      </c>
    </row>
    <row r="5" spans="1:15" x14ac:dyDescent="0.25">
      <c r="A5" t="s">
        <v>873</v>
      </c>
      <c r="B5">
        <v>0</v>
      </c>
      <c r="C5">
        <v>0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12</v>
      </c>
      <c r="M5">
        <v>0</v>
      </c>
      <c r="N5">
        <v>192</v>
      </c>
      <c r="O5">
        <v>18</v>
      </c>
    </row>
    <row r="6" spans="1:15" x14ac:dyDescent="0.25">
      <c r="A6" t="s">
        <v>1688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1697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 t="s">
        <v>1700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826</v>
      </c>
      <c r="B9">
        <v>0</v>
      </c>
      <c r="C9">
        <v>0</v>
      </c>
      <c r="D9">
        <v>0</v>
      </c>
      <c r="E9">
        <v>0</v>
      </c>
      <c r="F9">
        <v>0</v>
      </c>
      <c r="G9">
        <v>20</v>
      </c>
      <c r="H9">
        <v>8</v>
      </c>
      <c r="I9">
        <v>8</v>
      </c>
      <c r="J9">
        <v>0</v>
      </c>
      <c r="K9">
        <v>0</v>
      </c>
      <c r="L9">
        <v>8</v>
      </c>
      <c r="M9">
        <v>-8</v>
      </c>
      <c r="N9">
        <v>44</v>
      </c>
      <c r="O9">
        <v>36</v>
      </c>
    </row>
    <row r="10" spans="1:15" x14ac:dyDescent="0.25">
      <c r="A10" t="s">
        <v>829</v>
      </c>
      <c r="B10">
        <v>8</v>
      </c>
      <c r="C10">
        <v>0</v>
      </c>
      <c r="D10">
        <v>0</v>
      </c>
      <c r="E10">
        <v>0</v>
      </c>
      <c r="F10">
        <v>8</v>
      </c>
      <c r="G10">
        <v>20</v>
      </c>
      <c r="H10">
        <v>8</v>
      </c>
      <c r="I10">
        <v>8</v>
      </c>
      <c r="J10">
        <v>12</v>
      </c>
      <c r="K10">
        <v>4</v>
      </c>
      <c r="L10">
        <v>8</v>
      </c>
      <c r="M10">
        <v>-8</v>
      </c>
      <c r="N10">
        <v>44</v>
      </c>
      <c r="O10">
        <v>68</v>
      </c>
    </row>
    <row r="11" spans="1:15" x14ac:dyDescent="0.25">
      <c r="A11" t="s">
        <v>744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20</v>
      </c>
      <c r="O11">
        <v>0</v>
      </c>
    </row>
    <row r="12" spans="1:15" x14ac:dyDescent="0.25">
      <c r="A12" t="s">
        <v>620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</v>
      </c>
      <c r="O12">
        <v>0</v>
      </c>
    </row>
    <row r="13" spans="1:15" x14ac:dyDescent="0.25">
      <c r="A13" t="s">
        <v>618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8</v>
      </c>
      <c r="I13">
        <v>0</v>
      </c>
      <c r="J13">
        <v>0</v>
      </c>
      <c r="K13">
        <v>0</v>
      </c>
      <c r="L13">
        <v>24</v>
      </c>
      <c r="M13">
        <v>0</v>
      </c>
      <c r="N13">
        <v>4</v>
      </c>
      <c r="O13">
        <v>32</v>
      </c>
    </row>
    <row r="14" spans="1:15" x14ac:dyDescent="0.25">
      <c r="A14" t="s">
        <v>831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24</v>
      </c>
      <c r="M14">
        <v>0</v>
      </c>
      <c r="N14">
        <v>12</v>
      </c>
      <c r="O14">
        <v>24</v>
      </c>
    </row>
    <row r="15" spans="1:15" x14ac:dyDescent="0.25">
      <c r="A15" t="s">
        <v>833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8</v>
      </c>
      <c r="O15">
        <v>0</v>
      </c>
    </row>
    <row r="16" spans="1:15" x14ac:dyDescent="0.25">
      <c r="A16" t="s">
        <v>835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</v>
      </c>
      <c r="O16">
        <v>0</v>
      </c>
    </row>
    <row r="17" spans="1:15" x14ac:dyDescent="0.25">
      <c r="A17" t="s">
        <v>839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12</v>
      </c>
      <c r="O17">
        <v>0</v>
      </c>
    </row>
    <row r="18" spans="1:15" x14ac:dyDescent="0.25">
      <c r="A18" t="s">
        <v>841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</v>
      </c>
      <c r="O18">
        <v>0</v>
      </c>
    </row>
    <row r="19" spans="1:15" x14ac:dyDescent="0.25">
      <c r="A19" t="s">
        <v>1684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861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36</v>
      </c>
      <c r="O20">
        <v>0</v>
      </c>
    </row>
    <row r="21" spans="1:15" x14ac:dyDescent="0.25">
      <c r="A21" t="s">
        <v>863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36</v>
      </c>
      <c r="O21">
        <v>0</v>
      </c>
    </row>
    <row r="22" spans="1:15" x14ac:dyDescent="0.25">
      <c r="A22" t="s">
        <v>623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624</v>
      </c>
      <c r="B23">
        <v>0</v>
      </c>
      <c r="C23">
        <v>32</v>
      </c>
      <c r="D23">
        <v>40</v>
      </c>
      <c r="E23">
        <v>68</v>
      </c>
      <c r="F23">
        <v>16</v>
      </c>
      <c r="G23">
        <v>44</v>
      </c>
      <c r="H23">
        <v>16</v>
      </c>
      <c r="I23">
        <v>4</v>
      </c>
      <c r="J23">
        <v>36</v>
      </c>
      <c r="K23">
        <v>104</v>
      </c>
      <c r="L23">
        <v>0</v>
      </c>
      <c r="M23">
        <v>20</v>
      </c>
      <c r="N23">
        <v>40</v>
      </c>
      <c r="O23">
        <v>380</v>
      </c>
    </row>
    <row r="24" spans="1:15" x14ac:dyDescent="0.25">
      <c r="A24" t="s">
        <v>625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t="s">
        <v>626</v>
      </c>
      <c r="B25">
        <v>12</v>
      </c>
      <c r="C25">
        <v>48</v>
      </c>
      <c r="D25">
        <v>56</v>
      </c>
      <c r="E25">
        <v>72</v>
      </c>
      <c r="F25">
        <v>24</v>
      </c>
      <c r="G25">
        <v>52</v>
      </c>
      <c r="H25">
        <v>52</v>
      </c>
      <c r="I25">
        <v>16</v>
      </c>
      <c r="J25">
        <v>36</v>
      </c>
      <c r="K25">
        <v>112</v>
      </c>
      <c r="L25">
        <v>20</v>
      </c>
      <c r="M25">
        <v>36</v>
      </c>
      <c r="N25">
        <v>76</v>
      </c>
      <c r="O25">
        <v>536</v>
      </c>
    </row>
    <row r="26" spans="1:15" x14ac:dyDescent="0.25">
      <c r="A26" t="s">
        <v>1692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t="s">
        <v>869</v>
      </c>
      <c r="B27">
        <v>0</v>
      </c>
      <c r="C27">
        <v>0</v>
      </c>
      <c r="D27">
        <v>0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</v>
      </c>
    </row>
    <row r="28" spans="1:15" x14ac:dyDescent="0.2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t="s">
        <v>856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858</v>
      </c>
      <c r="B30">
        <v>8</v>
      </c>
      <c r="C30">
        <v>8</v>
      </c>
      <c r="D30">
        <v>28</v>
      </c>
      <c r="E30">
        <v>28</v>
      </c>
      <c r="F30">
        <v>24</v>
      </c>
      <c r="G30">
        <v>20</v>
      </c>
      <c r="H30">
        <v>0</v>
      </c>
      <c r="I30">
        <v>20</v>
      </c>
      <c r="J30">
        <v>48</v>
      </c>
      <c r="K30">
        <v>8</v>
      </c>
      <c r="L30">
        <v>0</v>
      </c>
      <c r="M30">
        <v>20</v>
      </c>
      <c r="N30">
        <v>116</v>
      </c>
      <c r="O30">
        <v>212</v>
      </c>
    </row>
    <row r="31" spans="1:15" x14ac:dyDescent="0.25">
      <c r="A31" t="s">
        <v>859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124</v>
      </c>
      <c r="O31">
        <v>0</v>
      </c>
    </row>
    <row r="32" spans="1:15" x14ac:dyDescent="0.25">
      <c r="A32" t="s">
        <v>706</v>
      </c>
      <c r="B32">
        <v>4</v>
      </c>
      <c r="C32">
        <v>36</v>
      </c>
      <c r="D32">
        <v>20</v>
      </c>
      <c r="E32">
        <v>52</v>
      </c>
      <c r="F32">
        <v>16</v>
      </c>
      <c r="G32">
        <v>16</v>
      </c>
      <c r="H32">
        <v>4</v>
      </c>
      <c r="I32">
        <v>20</v>
      </c>
      <c r="J32">
        <v>48</v>
      </c>
      <c r="K32">
        <v>12</v>
      </c>
      <c r="L32">
        <v>12</v>
      </c>
      <c r="M32">
        <v>8</v>
      </c>
      <c r="N32">
        <v>120</v>
      </c>
      <c r="O32">
        <v>248</v>
      </c>
    </row>
    <row r="33" spans="1:15" x14ac:dyDescent="0.25">
      <c r="A33" t="s">
        <v>848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t="s">
        <v>621</v>
      </c>
      <c r="B34">
        <v>0</v>
      </c>
      <c r="C34">
        <v>16</v>
      </c>
      <c r="D34">
        <v>4</v>
      </c>
      <c r="E34">
        <v>8</v>
      </c>
      <c r="F34">
        <v>16</v>
      </c>
      <c r="G34">
        <v>4</v>
      </c>
      <c r="H34">
        <v>0</v>
      </c>
      <c r="I34">
        <v>0</v>
      </c>
      <c r="J34">
        <v>20</v>
      </c>
      <c r="K34">
        <v>0</v>
      </c>
      <c r="L34">
        <v>0</v>
      </c>
      <c r="M34">
        <v>16</v>
      </c>
      <c r="N34">
        <v>24</v>
      </c>
      <c r="O34">
        <v>84</v>
      </c>
    </row>
    <row r="35" spans="1:15" x14ac:dyDescent="0.25">
      <c r="A35" t="s">
        <v>852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t="s">
        <v>622</v>
      </c>
      <c r="B36">
        <v>4</v>
      </c>
      <c r="C36">
        <v>12</v>
      </c>
      <c r="D36">
        <v>12</v>
      </c>
      <c r="E36">
        <v>8</v>
      </c>
      <c r="F36">
        <v>4</v>
      </c>
      <c r="G36">
        <v>12</v>
      </c>
      <c r="H36">
        <v>32</v>
      </c>
      <c r="I36">
        <v>0</v>
      </c>
      <c r="J36">
        <v>16</v>
      </c>
      <c r="K36">
        <v>4</v>
      </c>
      <c r="L36">
        <v>12</v>
      </c>
      <c r="M36">
        <v>40</v>
      </c>
      <c r="N36">
        <v>28</v>
      </c>
      <c r="O36">
        <v>156</v>
      </c>
    </row>
    <row r="37" spans="1:15" x14ac:dyDescent="0.25">
      <c r="A37" t="s">
        <v>1686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891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885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 t="s">
        <v>893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t="s">
        <v>888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890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 t="s">
        <v>628</v>
      </c>
      <c r="B43">
        <v>788</v>
      </c>
      <c r="C43">
        <v>1584</v>
      </c>
      <c r="D43">
        <v>1736</v>
      </c>
      <c r="E43">
        <v>1736</v>
      </c>
      <c r="F43">
        <v>1720</v>
      </c>
      <c r="G43">
        <v>1468</v>
      </c>
      <c r="H43">
        <v>1968</v>
      </c>
      <c r="I43">
        <v>1804</v>
      </c>
      <c r="J43">
        <v>2580</v>
      </c>
      <c r="K43">
        <v>1088</v>
      </c>
      <c r="L43">
        <v>1688</v>
      </c>
      <c r="M43">
        <v>2908</v>
      </c>
      <c r="N43">
        <v>2104</v>
      </c>
      <c r="O43">
        <v>21068</v>
      </c>
    </row>
    <row r="44" spans="1:15" x14ac:dyDescent="0.25">
      <c r="A44" t="s">
        <v>629</v>
      </c>
      <c r="B44">
        <v>152</v>
      </c>
      <c r="C44">
        <v>104</v>
      </c>
      <c r="D44">
        <v>60</v>
      </c>
      <c r="E44">
        <v>88</v>
      </c>
      <c r="F44">
        <v>148</v>
      </c>
      <c r="G44">
        <v>176</v>
      </c>
      <c r="H44">
        <v>68</v>
      </c>
      <c r="I44">
        <v>180</v>
      </c>
      <c r="J44">
        <v>132</v>
      </c>
      <c r="K44">
        <v>160</v>
      </c>
      <c r="L44">
        <v>144</v>
      </c>
      <c r="M44">
        <v>228</v>
      </c>
      <c r="N44">
        <v>128</v>
      </c>
      <c r="O44">
        <v>1640</v>
      </c>
    </row>
    <row r="45" spans="1:15" x14ac:dyDescent="0.25">
      <c r="A45" t="s">
        <v>630</v>
      </c>
      <c r="B45">
        <v>1440</v>
      </c>
      <c r="C45">
        <v>2580</v>
      </c>
      <c r="D45">
        <v>2396</v>
      </c>
      <c r="E45">
        <v>2724</v>
      </c>
      <c r="F45">
        <v>2180</v>
      </c>
      <c r="G45">
        <v>1904</v>
      </c>
      <c r="H45">
        <v>2372</v>
      </c>
      <c r="I45">
        <v>2624</v>
      </c>
      <c r="J45">
        <v>3340</v>
      </c>
      <c r="K45">
        <v>1860</v>
      </c>
      <c r="L45">
        <v>2388</v>
      </c>
      <c r="M45">
        <v>3844</v>
      </c>
      <c r="N45">
        <v>3268</v>
      </c>
      <c r="O45">
        <v>29652</v>
      </c>
    </row>
    <row r="46" spans="1:15" x14ac:dyDescent="0.25">
      <c r="A46" t="s">
        <v>631</v>
      </c>
      <c r="B46">
        <v>108</v>
      </c>
      <c r="C46">
        <v>128</v>
      </c>
      <c r="D46">
        <v>164</v>
      </c>
      <c r="E46">
        <v>100</v>
      </c>
      <c r="F46">
        <v>120</v>
      </c>
      <c r="G46">
        <v>144</v>
      </c>
      <c r="H46">
        <v>216</v>
      </c>
      <c r="I46">
        <v>196</v>
      </c>
      <c r="J46">
        <v>128</v>
      </c>
      <c r="K46">
        <v>144</v>
      </c>
      <c r="L46">
        <v>156</v>
      </c>
      <c r="M46">
        <v>188</v>
      </c>
      <c r="N46">
        <v>356</v>
      </c>
      <c r="O46">
        <v>1792</v>
      </c>
    </row>
    <row r="47" spans="1:15" x14ac:dyDescent="0.25">
      <c r="A47" t="s">
        <v>707</v>
      </c>
      <c r="B47">
        <v>20</v>
      </c>
      <c r="C47">
        <v>100</v>
      </c>
      <c r="D47">
        <v>36</v>
      </c>
      <c r="E47">
        <v>28</v>
      </c>
      <c r="F47">
        <v>48</v>
      </c>
      <c r="G47">
        <v>44</v>
      </c>
      <c r="H47">
        <v>44</v>
      </c>
      <c r="I47">
        <v>40</v>
      </c>
      <c r="J47">
        <v>68</v>
      </c>
      <c r="K47">
        <v>68</v>
      </c>
      <c r="L47">
        <v>28</v>
      </c>
      <c r="M47">
        <v>12</v>
      </c>
      <c r="N47">
        <v>224</v>
      </c>
      <c r="O47">
        <v>536</v>
      </c>
    </row>
    <row r="48" spans="1:15" x14ac:dyDescent="0.25">
      <c r="A48" t="s">
        <v>908</v>
      </c>
      <c r="B48">
        <v>0</v>
      </c>
      <c r="C48">
        <v>0</v>
      </c>
      <c r="D48">
        <v>0</v>
      </c>
      <c r="E48">
        <v>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4</v>
      </c>
    </row>
    <row r="49" spans="1:15" x14ac:dyDescent="0.25">
      <c r="A49" t="s">
        <v>635</v>
      </c>
      <c r="B49">
        <v>380</v>
      </c>
      <c r="C49">
        <v>348</v>
      </c>
      <c r="D49">
        <v>288</v>
      </c>
      <c r="E49">
        <v>488</v>
      </c>
      <c r="F49">
        <v>232</v>
      </c>
      <c r="G49">
        <v>276</v>
      </c>
      <c r="H49">
        <v>396</v>
      </c>
      <c r="I49">
        <v>368</v>
      </c>
      <c r="J49">
        <v>676</v>
      </c>
      <c r="K49">
        <v>496</v>
      </c>
      <c r="L49">
        <v>356</v>
      </c>
      <c r="M49">
        <v>396</v>
      </c>
      <c r="N49">
        <v>624</v>
      </c>
      <c r="O49">
        <v>4700</v>
      </c>
    </row>
    <row r="50" spans="1:15" x14ac:dyDescent="0.25">
      <c r="A50" t="s">
        <v>634</v>
      </c>
      <c r="B50">
        <v>1668</v>
      </c>
      <c r="C50">
        <v>2308</v>
      </c>
      <c r="D50">
        <v>1852</v>
      </c>
      <c r="E50">
        <v>2444</v>
      </c>
      <c r="F50">
        <v>2568</v>
      </c>
      <c r="G50">
        <v>2056</v>
      </c>
      <c r="H50">
        <v>2708</v>
      </c>
      <c r="I50">
        <v>2156</v>
      </c>
      <c r="J50">
        <v>3232</v>
      </c>
      <c r="K50">
        <v>2764</v>
      </c>
      <c r="L50">
        <v>2244</v>
      </c>
      <c r="M50">
        <v>2892</v>
      </c>
      <c r="N50">
        <v>3816</v>
      </c>
      <c r="O50">
        <v>28892</v>
      </c>
    </row>
    <row r="51" spans="1:15" x14ac:dyDescent="0.25">
      <c r="A51" t="s">
        <v>633</v>
      </c>
      <c r="B51">
        <v>584</v>
      </c>
      <c r="C51">
        <v>552</v>
      </c>
      <c r="D51">
        <v>704</v>
      </c>
      <c r="E51">
        <v>500</v>
      </c>
      <c r="F51">
        <v>428</v>
      </c>
      <c r="G51">
        <v>212</v>
      </c>
      <c r="H51">
        <v>564</v>
      </c>
      <c r="I51">
        <v>644</v>
      </c>
      <c r="J51">
        <v>828</v>
      </c>
      <c r="K51">
        <v>720</v>
      </c>
      <c r="L51">
        <v>700</v>
      </c>
      <c r="M51">
        <v>708</v>
      </c>
      <c r="N51">
        <v>640</v>
      </c>
      <c r="O51">
        <v>7144</v>
      </c>
    </row>
    <row r="52" spans="1:15" x14ac:dyDescent="0.25">
      <c r="A52" t="s">
        <v>632</v>
      </c>
      <c r="B52">
        <v>3152</v>
      </c>
      <c r="C52">
        <v>3996</v>
      </c>
      <c r="D52">
        <v>4784</v>
      </c>
      <c r="E52">
        <v>4556</v>
      </c>
      <c r="F52">
        <v>3640</v>
      </c>
      <c r="G52">
        <v>3492</v>
      </c>
      <c r="H52">
        <v>4196</v>
      </c>
      <c r="I52">
        <v>4024</v>
      </c>
      <c r="J52">
        <v>5740</v>
      </c>
      <c r="K52">
        <v>4048</v>
      </c>
      <c r="L52">
        <v>3808</v>
      </c>
      <c r="M52">
        <v>5668</v>
      </c>
      <c r="N52">
        <v>6140</v>
      </c>
      <c r="O52">
        <v>51104</v>
      </c>
    </row>
    <row r="53" spans="1:15" x14ac:dyDescent="0.25">
      <c r="A53" t="s">
        <v>638</v>
      </c>
      <c r="B53">
        <v>708</v>
      </c>
      <c r="C53">
        <v>888</v>
      </c>
      <c r="D53">
        <v>1460</v>
      </c>
      <c r="E53">
        <v>1248</v>
      </c>
      <c r="F53">
        <v>1044</v>
      </c>
      <c r="G53">
        <v>1096</v>
      </c>
      <c r="H53">
        <v>1664</v>
      </c>
      <c r="I53">
        <v>1172</v>
      </c>
      <c r="J53">
        <v>2328</v>
      </c>
      <c r="K53">
        <v>436</v>
      </c>
      <c r="L53">
        <v>1436</v>
      </c>
      <c r="M53">
        <v>1820</v>
      </c>
      <c r="N53">
        <v>3144</v>
      </c>
      <c r="O53">
        <v>15300</v>
      </c>
    </row>
    <row r="54" spans="1:15" x14ac:dyDescent="0.25">
      <c r="A54" t="s">
        <v>639</v>
      </c>
      <c r="B54">
        <v>1424</v>
      </c>
      <c r="C54">
        <v>2376</v>
      </c>
      <c r="D54">
        <v>2792</v>
      </c>
      <c r="E54">
        <v>2320</v>
      </c>
      <c r="F54">
        <v>2016</v>
      </c>
      <c r="G54">
        <v>2196</v>
      </c>
      <c r="H54">
        <v>3184</v>
      </c>
      <c r="I54">
        <v>1848</v>
      </c>
      <c r="J54">
        <v>3772</v>
      </c>
      <c r="K54">
        <v>2092</v>
      </c>
      <c r="L54">
        <v>2728</v>
      </c>
      <c r="M54">
        <v>2700</v>
      </c>
      <c r="N54">
        <v>5468</v>
      </c>
      <c r="O54">
        <v>29448</v>
      </c>
    </row>
    <row r="55" spans="1:15" x14ac:dyDescent="0.25">
      <c r="A55" t="s">
        <v>636</v>
      </c>
      <c r="B55">
        <v>0</v>
      </c>
      <c r="C55">
        <v>0</v>
      </c>
      <c r="D55">
        <v>124</v>
      </c>
      <c r="E55">
        <v>4</v>
      </c>
      <c r="F55">
        <v>0</v>
      </c>
      <c r="G55">
        <v>24</v>
      </c>
      <c r="H55">
        <v>48</v>
      </c>
      <c r="I55">
        <v>8</v>
      </c>
      <c r="J55">
        <v>128</v>
      </c>
      <c r="K55">
        <v>244</v>
      </c>
      <c r="L55">
        <v>16</v>
      </c>
      <c r="M55">
        <v>56</v>
      </c>
      <c r="N55">
        <v>48</v>
      </c>
      <c r="O55">
        <v>652</v>
      </c>
    </row>
    <row r="56" spans="1:15" x14ac:dyDescent="0.25">
      <c r="A56" t="s">
        <v>640</v>
      </c>
      <c r="B56">
        <v>0</v>
      </c>
      <c r="C56">
        <v>0</v>
      </c>
      <c r="D56">
        <v>124</v>
      </c>
      <c r="E56">
        <v>4</v>
      </c>
      <c r="F56">
        <v>0</v>
      </c>
      <c r="G56">
        <v>24</v>
      </c>
      <c r="H56">
        <v>100</v>
      </c>
      <c r="I56">
        <v>4</v>
      </c>
      <c r="J56">
        <v>160</v>
      </c>
      <c r="K56">
        <v>284</v>
      </c>
      <c r="L56">
        <v>0</v>
      </c>
      <c r="M56">
        <v>96</v>
      </c>
      <c r="N56">
        <v>104</v>
      </c>
      <c r="O56">
        <v>796</v>
      </c>
    </row>
    <row r="57" spans="1:15" x14ac:dyDescent="0.25">
      <c r="A57" t="s">
        <v>644</v>
      </c>
      <c r="B57">
        <v>152</v>
      </c>
      <c r="C57">
        <v>432</v>
      </c>
      <c r="D57">
        <v>176</v>
      </c>
      <c r="E57">
        <v>140</v>
      </c>
      <c r="F57">
        <v>96</v>
      </c>
      <c r="G57">
        <v>196</v>
      </c>
      <c r="H57">
        <v>128</v>
      </c>
      <c r="I57">
        <v>-8</v>
      </c>
      <c r="J57">
        <v>124</v>
      </c>
      <c r="K57">
        <v>76</v>
      </c>
      <c r="L57">
        <v>136</v>
      </c>
      <c r="M57">
        <v>188</v>
      </c>
      <c r="N57">
        <v>88</v>
      </c>
      <c r="O57">
        <v>1836</v>
      </c>
    </row>
    <row r="58" spans="1:15" x14ac:dyDescent="0.25">
      <c r="A58" t="s">
        <v>646</v>
      </c>
      <c r="B58">
        <v>152</v>
      </c>
      <c r="C58">
        <v>540</v>
      </c>
      <c r="D58">
        <v>216</v>
      </c>
      <c r="E58">
        <v>92</v>
      </c>
      <c r="F58">
        <v>172</v>
      </c>
      <c r="G58">
        <v>232</v>
      </c>
      <c r="H58">
        <v>112</v>
      </c>
      <c r="I58">
        <v>84</v>
      </c>
      <c r="J58">
        <v>208</v>
      </c>
      <c r="K58">
        <v>96</v>
      </c>
      <c r="L58">
        <v>176</v>
      </c>
      <c r="M58">
        <v>212</v>
      </c>
      <c r="N58">
        <v>292</v>
      </c>
      <c r="O58">
        <v>2292</v>
      </c>
    </row>
    <row r="59" spans="1:15" x14ac:dyDescent="0.25">
      <c r="A59" t="s">
        <v>651</v>
      </c>
      <c r="B59">
        <v>84</v>
      </c>
      <c r="C59">
        <v>36</v>
      </c>
      <c r="D59">
        <v>132</v>
      </c>
      <c r="E59">
        <v>268</v>
      </c>
      <c r="F59">
        <v>176</v>
      </c>
      <c r="G59">
        <v>116</v>
      </c>
      <c r="H59">
        <v>196</v>
      </c>
      <c r="I59">
        <v>116</v>
      </c>
      <c r="J59">
        <v>280</v>
      </c>
      <c r="K59">
        <v>108</v>
      </c>
      <c r="L59">
        <v>88</v>
      </c>
      <c r="M59">
        <v>192</v>
      </c>
      <c r="N59">
        <v>516</v>
      </c>
      <c r="O59">
        <v>1792</v>
      </c>
    </row>
    <row r="60" spans="1:15" x14ac:dyDescent="0.25">
      <c r="A60" t="s">
        <v>652</v>
      </c>
      <c r="B60">
        <v>84</v>
      </c>
      <c r="C60">
        <v>100</v>
      </c>
      <c r="D60">
        <v>124</v>
      </c>
      <c r="E60">
        <v>256</v>
      </c>
      <c r="F60">
        <v>212</v>
      </c>
      <c r="G60">
        <v>184</v>
      </c>
      <c r="H60">
        <v>176</v>
      </c>
      <c r="I60">
        <v>92</v>
      </c>
      <c r="J60">
        <v>376</v>
      </c>
      <c r="K60">
        <v>104</v>
      </c>
      <c r="L60">
        <v>108</v>
      </c>
      <c r="M60">
        <v>172</v>
      </c>
      <c r="N60">
        <v>580</v>
      </c>
      <c r="O60">
        <v>1988</v>
      </c>
    </row>
    <row r="61" spans="1:15" x14ac:dyDescent="0.25">
      <c r="A61" t="s">
        <v>649</v>
      </c>
      <c r="B61">
        <v>64</v>
      </c>
      <c r="C61">
        <v>84</v>
      </c>
      <c r="D61">
        <v>124</v>
      </c>
      <c r="E61">
        <v>20</v>
      </c>
      <c r="F61">
        <v>68</v>
      </c>
      <c r="G61">
        <v>100</v>
      </c>
      <c r="H61">
        <v>112</v>
      </c>
      <c r="I61">
        <v>92</v>
      </c>
      <c r="J61">
        <v>152</v>
      </c>
      <c r="K61">
        <v>244</v>
      </c>
      <c r="L61">
        <v>144</v>
      </c>
      <c r="M61">
        <v>72</v>
      </c>
      <c r="N61">
        <v>240</v>
      </c>
      <c r="O61">
        <v>1276</v>
      </c>
    </row>
    <row r="62" spans="1:15" x14ac:dyDescent="0.25">
      <c r="A62" t="s">
        <v>650</v>
      </c>
      <c r="B62">
        <v>92</v>
      </c>
      <c r="C62">
        <v>100</v>
      </c>
      <c r="D62">
        <v>180</v>
      </c>
      <c r="E62">
        <v>52</v>
      </c>
      <c r="F62">
        <v>92</v>
      </c>
      <c r="G62">
        <v>140</v>
      </c>
      <c r="H62">
        <v>88</v>
      </c>
      <c r="I62">
        <v>116</v>
      </c>
      <c r="J62">
        <v>220</v>
      </c>
      <c r="K62">
        <v>280</v>
      </c>
      <c r="L62">
        <v>108</v>
      </c>
      <c r="M62">
        <v>136</v>
      </c>
      <c r="N62">
        <v>364</v>
      </c>
      <c r="O62">
        <v>1604</v>
      </c>
    </row>
    <row r="63" spans="1:15" x14ac:dyDescent="0.25">
      <c r="A63" t="s">
        <v>642</v>
      </c>
      <c r="B63">
        <v>20</v>
      </c>
      <c r="C63">
        <v>64</v>
      </c>
      <c r="D63">
        <v>40</v>
      </c>
      <c r="E63">
        <v>156</v>
      </c>
      <c r="F63">
        <v>88</v>
      </c>
      <c r="G63">
        <v>64</v>
      </c>
      <c r="H63">
        <v>180</v>
      </c>
      <c r="I63">
        <v>0</v>
      </c>
      <c r="J63">
        <v>100</v>
      </c>
      <c r="K63">
        <v>0</v>
      </c>
      <c r="L63">
        <v>244</v>
      </c>
      <c r="M63">
        <v>144</v>
      </c>
      <c r="N63">
        <v>312</v>
      </c>
      <c r="O63">
        <v>1100</v>
      </c>
    </row>
    <row r="64" spans="1:15" x14ac:dyDescent="0.25">
      <c r="A64" t="s">
        <v>643</v>
      </c>
      <c r="B64">
        <v>64</v>
      </c>
      <c r="C64">
        <v>116</v>
      </c>
      <c r="D64">
        <v>124</v>
      </c>
      <c r="E64">
        <v>212</v>
      </c>
      <c r="F64">
        <v>120</v>
      </c>
      <c r="G64">
        <v>72</v>
      </c>
      <c r="H64">
        <v>176</v>
      </c>
      <c r="I64">
        <v>48</v>
      </c>
      <c r="J64">
        <v>132</v>
      </c>
      <c r="K64">
        <v>132</v>
      </c>
      <c r="L64">
        <v>256</v>
      </c>
      <c r="M64">
        <v>192</v>
      </c>
      <c r="N64">
        <v>392</v>
      </c>
      <c r="O64">
        <v>1644</v>
      </c>
    </row>
    <row r="65" spans="1:15" x14ac:dyDescent="0.25">
      <c r="A65" t="s">
        <v>947</v>
      </c>
      <c r="B65">
        <v>76</v>
      </c>
      <c r="C65">
        <v>4</v>
      </c>
      <c r="D65">
        <v>88</v>
      </c>
      <c r="E65">
        <v>4</v>
      </c>
      <c r="F65">
        <v>4</v>
      </c>
      <c r="G65">
        <v>32</v>
      </c>
      <c r="H65">
        <v>32</v>
      </c>
      <c r="I65">
        <v>40</v>
      </c>
      <c r="J65">
        <v>60</v>
      </c>
      <c r="K65">
        <v>40</v>
      </c>
      <c r="L65">
        <v>4</v>
      </c>
      <c r="M65">
        <v>0</v>
      </c>
      <c r="N65">
        <v>260</v>
      </c>
      <c r="O65">
        <v>384</v>
      </c>
    </row>
    <row r="66" spans="1:15" x14ac:dyDescent="0.25">
      <c r="A66" t="s">
        <v>655</v>
      </c>
      <c r="B66">
        <v>188</v>
      </c>
      <c r="C66">
        <v>132</v>
      </c>
      <c r="D66">
        <v>164</v>
      </c>
      <c r="E66">
        <v>124</v>
      </c>
      <c r="F66">
        <v>76</v>
      </c>
      <c r="G66">
        <v>112</v>
      </c>
      <c r="H66">
        <v>216</v>
      </c>
      <c r="I66">
        <v>116</v>
      </c>
      <c r="J66">
        <v>164</v>
      </c>
      <c r="K66">
        <v>88</v>
      </c>
      <c r="L66">
        <v>72</v>
      </c>
      <c r="M66">
        <v>192</v>
      </c>
      <c r="N66">
        <v>416</v>
      </c>
      <c r="O66">
        <v>1644</v>
      </c>
    </row>
    <row r="67" spans="1:15" x14ac:dyDescent="0.25">
      <c r="A67" t="s">
        <v>752</v>
      </c>
      <c r="B67">
        <v>0</v>
      </c>
      <c r="C67">
        <v>0</v>
      </c>
      <c r="D67">
        <v>8</v>
      </c>
      <c r="E67">
        <v>0</v>
      </c>
      <c r="F67">
        <v>20</v>
      </c>
      <c r="G67">
        <v>0</v>
      </c>
      <c r="H67">
        <v>20</v>
      </c>
      <c r="I67">
        <v>4</v>
      </c>
      <c r="J67">
        <v>4</v>
      </c>
      <c r="K67">
        <v>28</v>
      </c>
      <c r="L67">
        <v>0</v>
      </c>
      <c r="M67">
        <v>0</v>
      </c>
      <c r="N67">
        <v>184</v>
      </c>
      <c r="O67">
        <v>84</v>
      </c>
    </row>
    <row r="68" spans="1:15" x14ac:dyDescent="0.25">
      <c r="A68" t="s">
        <v>708</v>
      </c>
      <c r="B68">
        <v>152</v>
      </c>
      <c r="C68">
        <v>152</v>
      </c>
      <c r="D68">
        <v>376</v>
      </c>
      <c r="E68">
        <v>152</v>
      </c>
      <c r="F68">
        <v>140</v>
      </c>
      <c r="G68">
        <v>184</v>
      </c>
      <c r="H68">
        <v>200</v>
      </c>
      <c r="I68">
        <v>144</v>
      </c>
      <c r="J68">
        <v>208</v>
      </c>
      <c r="K68">
        <v>136</v>
      </c>
      <c r="L68">
        <v>220</v>
      </c>
      <c r="M68">
        <v>160</v>
      </c>
      <c r="N68">
        <v>600</v>
      </c>
      <c r="O68">
        <v>2224</v>
      </c>
    </row>
    <row r="69" spans="1:15" x14ac:dyDescent="0.25">
      <c r="A69" t="s">
        <v>753</v>
      </c>
      <c r="B69">
        <v>0</v>
      </c>
      <c r="C69">
        <v>0</v>
      </c>
      <c r="D69">
        <v>40</v>
      </c>
      <c r="E69">
        <v>20</v>
      </c>
      <c r="F69">
        <v>4</v>
      </c>
      <c r="G69">
        <v>20</v>
      </c>
      <c r="H69">
        <v>36</v>
      </c>
      <c r="I69">
        <v>0</v>
      </c>
      <c r="J69">
        <v>108</v>
      </c>
      <c r="K69">
        <v>40</v>
      </c>
      <c r="L69">
        <v>16</v>
      </c>
      <c r="M69">
        <v>8</v>
      </c>
      <c r="N69">
        <v>356</v>
      </c>
      <c r="O69">
        <v>292</v>
      </c>
    </row>
    <row r="70" spans="1:15" x14ac:dyDescent="0.25">
      <c r="A70" t="s">
        <v>656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56</v>
      </c>
      <c r="N70">
        <v>144</v>
      </c>
      <c r="O70">
        <v>56</v>
      </c>
    </row>
    <row r="71" spans="1:15" x14ac:dyDescent="0.25">
      <c r="A71" t="s">
        <v>964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t="s">
        <v>966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t="s">
        <v>899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t="s">
        <v>901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1888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 t="s">
        <v>902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t="s">
        <v>904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t="s">
        <v>1889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t="s">
        <v>746</v>
      </c>
      <c r="B79">
        <v>4</v>
      </c>
      <c r="C79">
        <v>16</v>
      </c>
      <c r="D79">
        <v>4</v>
      </c>
      <c r="E79">
        <v>0</v>
      </c>
      <c r="F79">
        <v>0</v>
      </c>
      <c r="G79">
        <v>0</v>
      </c>
      <c r="H79">
        <v>4</v>
      </c>
      <c r="I79">
        <v>0</v>
      </c>
      <c r="J79">
        <v>4</v>
      </c>
      <c r="K79">
        <v>8</v>
      </c>
      <c r="L79">
        <v>0</v>
      </c>
      <c r="M79">
        <v>0</v>
      </c>
      <c r="N79">
        <v>24</v>
      </c>
      <c r="O79">
        <v>40</v>
      </c>
    </row>
    <row r="80" spans="1:15" x14ac:dyDescent="0.25">
      <c r="A80" t="s">
        <v>648</v>
      </c>
      <c r="B80">
        <v>4</v>
      </c>
      <c r="C80">
        <v>20</v>
      </c>
      <c r="D80">
        <v>4</v>
      </c>
      <c r="E80">
        <v>12</v>
      </c>
      <c r="F80">
        <v>4</v>
      </c>
      <c r="G80">
        <v>4</v>
      </c>
      <c r="H80">
        <v>4</v>
      </c>
      <c r="I80">
        <v>0</v>
      </c>
      <c r="J80">
        <v>8</v>
      </c>
      <c r="K80">
        <v>8</v>
      </c>
      <c r="L80">
        <v>4</v>
      </c>
      <c r="M80">
        <v>0</v>
      </c>
      <c r="N80">
        <v>36</v>
      </c>
      <c r="O80">
        <v>72</v>
      </c>
    </row>
    <row r="81" spans="1:15" x14ac:dyDescent="0.25">
      <c r="A81" t="s">
        <v>937</v>
      </c>
      <c r="B81">
        <v>16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8</v>
      </c>
      <c r="J81">
        <v>0</v>
      </c>
      <c r="K81">
        <v>8</v>
      </c>
      <c r="L81">
        <v>0</v>
      </c>
      <c r="M81">
        <v>0</v>
      </c>
      <c r="N81">
        <v>20</v>
      </c>
      <c r="O81">
        <v>32</v>
      </c>
    </row>
    <row r="82" spans="1:15" x14ac:dyDescent="0.25">
      <c r="A82" t="s">
        <v>654</v>
      </c>
      <c r="B82">
        <v>0</v>
      </c>
      <c r="C82">
        <v>32</v>
      </c>
      <c r="D82">
        <v>0</v>
      </c>
      <c r="E82">
        <v>24</v>
      </c>
      <c r="F82">
        <v>0</v>
      </c>
      <c r="G82">
        <v>32</v>
      </c>
      <c r="H82">
        <v>12</v>
      </c>
      <c r="I82">
        <v>8</v>
      </c>
      <c r="J82">
        <v>0</v>
      </c>
      <c r="K82">
        <v>0</v>
      </c>
      <c r="L82">
        <v>36</v>
      </c>
      <c r="M82">
        <v>12</v>
      </c>
      <c r="N82">
        <v>8</v>
      </c>
      <c r="O82">
        <v>156</v>
      </c>
    </row>
    <row r="83" spans="1:15" x14ac:dyDescent="0.25">
      <c r="A83" t="s">
        <v>768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769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t="s">
        <v>1707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 t="s">
        <v>747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t="s">
        <v>748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749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1694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1702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t="s">
        <v>1705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t="s">
        <v>1890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 t="s">
        <v>293</v>
      </c>
      <c r="B93">
        <v>31</v>
      </c>
      <c r="C93">
        <v>4</v>
      </c>
      <c r="D93">
        <v>14</v>
      </c>
      <c r="E93">
        <v>3</v>
      </c>
      <c r="F93">
        <v>10</v>
      </c>
      <c r="G93">
        <v>5</v>
      </c>
      <c r="H93">
        <v>27</v>
      </c>
      <c r="I93">
        <v>9</v>
      </c>
      <c r="J93">
        <v>15</v>
      </c>
      <c r="K93">
        <v>6</v>
      </c>
      <c r="L93">
        <v>11</v>
      </c>
      <c r="M93">
        <v>11</v>
      </c>
      <c r="N93">
        <v>48</v>
      </c>
      <c r="O93">
        <v>146</v>
      </c>
    </row>
    <row r="94" spans="1:15" x14ac:dyDescent="0.25">
      <c r="A94" t="s">
        <v>297</v>
      </c>
      <c r="B94">
        <v>0</v>
      </c>
      <c r="C94">
        <v>0</v>
      </c>
      <c r="D94">
        <v>7</v>
      </c>
      <c r="E94">
        <v>1</v>
      </c>
      <c r="F94">
        <v>2</v>
      </c>
      <c r="G94">
        <v>3</v>
      </c>
      <c r="H94">
        <v>2</v>
      </c>
      <c r="I94">
        <v>0</v>
      </c>
      <c r="J94">
        <v>1</v>
      </c>
      <c r="K94">
        <v>2</v>
      </c>
      <c r="L94">
        <v>0</v>
      </c>
      <c r="M94">
        <v>0</v>
      </c>
      <c r="N94">
        <v>9</v>
      </c>
      <c r="O94">
        <v>18</v>
      </c>
    </row>
    <row r="95" spans="1:15" x14ac:dyDescent="0.25">
      <c r="A95" t="s">
        <v>307</v>
      </c>
      <c r="B95">
        <v>90</v>
      </c>
      <c r="C95">
        <v>48</v>
      </c>
      <c r="D95">
        <v>12</v>
      </c>
      <c r="E95">
        <v>0</v>
      </c>
      <c r="F95">
        <v>153</v>
      </c>
      <c r="G95">
        <v>20</v>
      </c>
      <c r="H95">
        <v>14</v>
      </c>
      <c r="I95">
        <v>13</v>
      </c>
      <c r="J95">
        <v>21</v>
      </c>
      <c r="K95">
        <v>57</v>
      </c>
      <c r="L95">
        <v>14</v>
      </c>
      <c r="M95">
        <v>2</v>
      </c>
      <c r="N95">
        <v>156</v>
      </c>
      <c r="O95">
        <v>444</v>
      </c>
    </row>
    <row r="96" spans="1:15" x14ac:dyDescent="0.25">
      <c r="A96" t="s">
        <v>310</v>
      </c>
      <c r="B96">
        <v>0</v>
      </c>
      <c r="C96">
        <v>5</v>
      </c>
      <c r="D96">
        <v>5</v>
      </c>
      <c r="E96">
        <v>0</v>
      </c>
      <c r="F96">
        <v>5</v>
      </c>
      <c r="G96">
        <v>0</v>
      </c>
      <c r="H96">
        <v>0</v>
      </c>
      <c r="I96">
        <v>0</v>
      </c>
      <c r="J96">
        <v>5</v>
      </c>
      <c r="K96">
        <v>0</v>
      </c>
      <c r="L96">
        <v>-1</v>
      </c>
      <c r="M96">
        <v>0</v>
      </c>
      <c r="N96">
        <v>30</v>
      </c>
      <c r="O96">
        <v>19</v>
      </c>
    </row>
    <row r="97" spans="1:15" x14ac:dyDescent="0.25">
      <c r="A97" t="s">
        <v>94</v>
      </c>
      <c r="B97">
        <v>1</v>
      </c>
      <c r="C97">
        <v>0</v>
      </c>
      <c r="D97">
        <v>2</v>
      </c>
      <c r="E97">
        <v>1</v>
      </c>
      <c r="F97">
        <v>1</v>
      </c>
      <c r="G97">
        <v>5</v>
      </c>
      <c r="H97">
        <v>0</v>
      </c>
      <c r="I97">
        <v>0</v>
      </c>
      <c r="J97">
        <v>5</v>
      </c>
      <c r="K97">
        <v>0</v>
      </c>
      <c r="L97">
        <v>2</v>
      </c>
      <c r="M97">
        <v>2</v>
      </c>
      <c r="N97">
        <v>7</v>
      </c>
      <c r="O97">
        <v>19</v>
      </c>
    </row>
    <row r="98" spans="1:15" x14ac:dyDescent="0.25">
      <c r="A98" t="s">
        <v>96</v>
      </c>
      <c r="B98">
        <v>1</v>
      </c>
      <c r="C98">
        <v>3</v>
      </c>
      <c r="D98">
        <v>3</v>
      </c>
      <c r="E98">
        <v>0</v>
      </c>
      <c r="F98">
        <v>2</v>
      </c>
      <c r="G98">
        <v>3</v>
      </c>
      <c r="H98">
        <v>3</v>
      </c>
      <c r="I98">
        <v>0</v>
      </c>
      <c r="J98">
        <v>6</v>
      </c>
      <c r="K98">
        <v>0</v>
      </c>
      <c r="L98">
        <v>0</v>
      </c>
      <c r="M98">
        <v>2</v>
      </c>
      <c r="N98">
        <v>10</v>
      </c>
      <c r="O98">
        <v>23</v>
      </c>
    </row>
    <row r="99" spans="1:15" x14ac:dyDescent="0.25">
      <c r="A99" t="s">
        <v>98</v>
      </c>
      <c r="B99">
        <v>5</v>
      </c>
      <c r="C99">
        <v>1</v>
      </c>
      <c r="D99">
        <v>4</v>
      </c>
      <c r="E99">
        <v>2</v>
      </c>
      <c r="F99">
        <v>1</v>
      </c>
      <c r="G99">
        <v>6</v>
      </c>
      <c r="H99">
        <v>5</v>
      </c>
      <c r="I99">
        <v>5</v>
      </c>
      <c r="J99">
        <v>2</v>
      </c>
      <c r="K99">
        <v>1</v>
      </c>
      <c r="L99">
        <v>2</v>
      </c>
      <c r="M99">
        <v>0</v>
      </c>
      <c r="N99">
        <v>23</v>
      </c>
      <c r="O99">
        <v>34</v>
      </c>
    </row>
    <row r="100" spans="1:15" x14ac:dyDescent="0.25">
      <c r="A100" t="s">
        <v>100</v>
      </c>
      <c r="B100">
        <v>4</v>
      </c>
      <c r="C100">
        <v>2</v>
      </c>
      <c r="D100">
        <v>0</v>
      </c>
      <c r="E100">
        <v>0</v>
      </c>
      <c r="F100">
        <v>3</v>
      </c>
      <c r="G100">
        <v>4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1</v>
      </c>
      <c r="N100">
        <v>12</v>
      </c>
      <c r="O100">
        <v>16</v>
      </c>
    </row>
    <row r="101" spans="1:15" x14ac:dyDescent="0.25">
      <c r="A101" t="s">
        <v>90</v>
      </c>
      <c r="B101">
        <v>0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</v>
      </c>
      <c r="O101">
        <v>2</v>
      </c>
    </row>
    <row r="102" spans="1:15" x14ac:dyDescent="0.25">
      <c r="A102" t="s">
        <v>102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18</v>
      </c>
      <c r="O102">
        <v>0</v>
      </c>
    </row>
    <row r="103" spans="1:15" x14ac:dyDescent="0.25">
      <c r="A103" t="s">
        <v>155</v>
      </c>
      <c r="B103">
        <v>19</v>
      </c>
      <c r="C103">
        <v>21</v>
      </c>
      <c r="D103">
        <v>10</v>
      </c>
      <c r="E103">
        <v>23</v>
      </c>
      <c r="F103">
        <v>21</v>
      </c>
      <c r="G103">
        <v>25</v>
      </c>
      <c r="H103">
        <v>21</v>
      </c>
      <c r="I103">
        <v>9</v>
      </c>
      <c r="J103">
        <v>25</v>
      </c>
      <c r="K103">
        <v>17</v>
      </c>
      <c r="L103">
        <v>16</v>
      </c>
      <c r="M103">
        <v>3</v>
      </c>
      <c r="N103">
        <v>72</v>
      </c>
      <c r="O103">
        <v>210</v>
      </c>
    </row>
    <row r="104" spans="1:15" x14ac:dyDescent="0.25">
      <c r="A104" t="s">
        <v>157</v>
      </c>
      <c r="B104">
        <v>30</v>
      </c>
      <c r="C104">
        <v>8</v>
      </c>
      <c r="D104">
        <v>4</v>
      </c>
      <c r="E104">
        <v>7</v>
      </c>
      <c r="F104">
        <v>8</v>
      </c>
      <c r="G104">
        <v>8</v>
      </c>
      <c r="H104">
        <v>12</v>
      </c>
      <c r="I104">
        <v>1</v>
      </c>
      <c r="J104">
        <v>7</v>
      </c>
      <c r="K104">
        <v>3</v>
      </c>
      <c r="L104">
        <v>14</v>
      </c>
      <c r="M104">
        <v>4</v>
      </c>
      <c r="N104">
        <v>25</v>
      </c>
      <c r="O104">
        <v>106</v>
      </c>
    </row>
    <row r="105" spans="1:15" x14ac:dyDescent="0.25">
      <c r="A105" t="s">
        <v>159</v>
      </c>
      <c r="B105">
        <v>6</v>
      </c>
      <c r="C105">
        <v>7</v>
      </c>
      <c r="D105">
        <v>1</v>
      </c>
      <c r="E105">
        <v>3</v>
      </c>
      <c r="F105">
        <v>9</v>
      </c>
      <c r="G105">
        <v>4</v>
      </c>
      <c r="H105">
        <v>3</v>
      </c>
      <c r="I105">
        <v>0</v>
      </c>
      <c r="J105">
        <v>6</v>
      </c>
      <c r="K105">
        <v>5</v>
      </c>
      <c r="L105">
        <v>2</v>
      </c>
      <c r="M105">
        <v>8</v>
      </c>
      <c r="N105">
        <v>16</v>
      </c>
      <c r="O105">
        <v>54</v>
      </c>
    </row>
    <row r="106" spans="1:15" x14ac:dyDescent="0.25">
      <c r="A106" t="s">
        <v>161</v>
      </c>
      <c r="B106">
        <v>1</v>
      </c>
      <c r="C106">
        <v>4</v>
      </c>
      <c r="D106">
        <v>1</v>
      </c>
      <c r="E106">
        <v>1</v>
      </c>
      <c r="F106">
        <v>1</v>
      </c>
      <c r="G106">
        <v>0</v>
      </c>
      <c r="H106">
        <v>2</v>
      </c>
      <c r="I106">
        <v>1</v>
      </c>
      <c r="J106">
        <v>1</v>
      </c>
      <c r="K106">
        <v>2</v>
      </c>
      <c r="L106">
        <v>1</v>
      </c>
      <c r="M106">
        <v>3</v>
      </c>
      <c r="N106">
        <v>5</v>
      </c>
      <c r="O106">
        <v>18</v>
      </c>
    </row>
    <row r="107" spans="1:15" x14ac:dyDescent="0.25">
      <c r="A107" t="s">
        <v>163</v>
      </c>
      <c r="B107">
        <v>0</v>
      </c>
      <c r="C107">
        <v>0</v>
      </c>
      <c r="D107">
        <v>2</v>
      </c>
      <c r="E107">
        <v>0</v>
      </c>
      <c r="F107">
        <v>3</v>
      </c>
      <c r="G107">
        <v>0</v>
      </c>
      <c r="H107">
        <v>1</v>
      </c>
      <c r="I107">
        <v>0</v>
      </c>
      <c r="J107">
        <v>3</v>
      </c>
      <c r="K107">
        <v>1</v>
      </c>
      <c r="L107">
        <v>1</v>
      </c>
      <c r="M107">
        <v>0</v>
      </c>
      <c r="N107">
        <v>6</v>
      </c>
      <c r="O107">
        <v>11</v>
      </c>
    </row>
    <row r="108" spans="1:15" x14ac:dyDescent="0.25">
      <c r="A108" t="s">
        <v>144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t="s">
        <v>147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t="s">
        <v>149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t="s">
        <v>134</v>
      </c>
      <c r="B111">
        <v>6</v>
      </c>
      <c r="C111">
        <v>13</v>
      </c>
      <c r="D111">
        <v>6</v>
      </c>
      <c r="E111">
        <v>8</v>
      </c>
      <c r="F111">
        <v>4</v>
      </c>
      <c r="G111">
        <v>12</v>
      </c>
      <c r="H111">
        <v>8</v>
      </c>
      <c r="I111">
        <v>1</v>
      </c>
      <c r="J111">
        <v>12</v>
      </c>
      <c r="K111">
        <v>6</v>
      </c>
      <c r="L111">
        <v>7</v>
      </c>
      <c r="M111">
        <v>1</v>
      </c>
      <c r="N111">
        <v>30</v>
      </c>
      <c r="O111">
        <v>84</v>
      </c>
    </row>
    <row r="112" spans="1:15" x14ac:dyDescent="0.25">
      <c r="A112" t="s">
        <v>136</v>
      </c>
      <c r="B112">
        <v>5</v>
      </c>
      <c r="C112">
        <v>2</v>
      </c>
      <c r="D112">
        <v>9</v>
      </c>
      <c r="E112">
        <v>6</v>
      </c>
      <c r="F112">
        <v>1</v>
      </c>
      <c r="G112">
        <v>5</v>
      </c>
      <c r="H112">
        <v>6</v>
      </c>
      <c r="I112">
        <v>6</v>
      </c>
      <c r="J112">
        <v>5</v>
      </c>
      <c r="K112">
        <v>2</v>
      </c>
      <c r="L112">
        <v>10</v>
      </c>
      <c r="M112">
        <v>0</v>
      </c>
      <c r="N112">
        <v>12</v>
      </c>
      <c r="O112">
        <v>57</v>
      </c>
    </row>
    <row r="113" spans="1:15" x14ac:dyDescent="0.25">
      <c r="A113" t="s">
        <v>138</v>
      </c>
      <c r="B113">
        <v>6</v>
      </c>
      <c r="C113">
        <v>0</v>
      </c>
      <c r="D113">
        <v>7</v>
      </c>
      <c r="E113">
        <v>10</v>
      </c>
      <c r="F113">
        <v>0</v>
      </c>
      <c r="G113">
        <v>2</v>
      </c>
      <c r="H113">
        <v>3</v>
      </c>
      <c r="I113">
        <v>14</v>
      </c>
      <c r="J113">
        <v>3</v>
      </c>
      <c r="K113">
        <v>1</v>
      </c>
      <c r="L113">
        <v>4</v>
      </c>
      <c r="M113">
        <v>4</v>
      </c>
      <c r="N113">
        <v>17</v>
      </c>
      <c r="O113">
        <v>54</v>
      </c>
    </row>
    <row r="114" spans="1:15" x14ac:dyDescent="0.25">
      <c r="A114" t="s">
        <v>140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10</v>
      </c>
      <c r="O114">
        <v>1</v>
      </c>
    </row>
    <row r="115" spans="1:15" x14ac:dyDescent="0.25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7</v>
      </c>
      <c r="O115">
        <v>0</v>
      </c>
    </row>
    <row r="116" spans="1:15" x14ac:dyDescent="0.25">
      <c r="A116" t="s">
        <v>127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t="s">
        <v>382</v>
      </c>
      <c r="B117">
        <v>38</v>
      </c>
      <c r="C117">
        <v>13</v>
      </c>
      <c r="D117">
        <v>10</v>
      </c>
      <c r="E117">
        <v>12</v>
      </c>
      <c r="F117">
        <v>16</v>
      </c>
      <c r="G117">
        <v>7</v>
      </c>
      <c r="H117">
        <v>20</v>
      </c>
      <c r="I117">
        <v>6</v>
      </c>
      <c r="J117">
        <v>15</v>
      </c>
      <c r="K117">
        <v>14</v>
      </c>
      <c r="L117">
        <v>14</v>
      </c>
      <c r="M117">
        <v>29</v>
      </c>
      <c r="N117">
        <v>21</v>
      </c>
      <c r="O117">
        <v>194</v>
      </c>
    </row>
    <row r="118" spans="1:15" x14ac:dyDescent="0.25">
      <c r="A118" t="s">
        <v>386</v>
      </c>
      <c r="B118">
        <v>25</v>
      </c>
      <c r="C118">
        <v>7</v>
      </c>
      <c r="D118">
        <v>6</v>
      </c>
      <c r="E118">
        <v>30</v>
      </c>
      <c r="F118">
        <v>34</v>
      </c>
      <c r="G118">
        <v>7</v>
      </c>
      <c r="H118">
        <v>45</v>
      </c>
      <c r="I118">
        <v>13</v>
      </c>
      <c r="J118">
        <v>40</v>
      </c>
      <c r="K118">
        <v>27</v>
      </c>
      <c r="L118">
        <v>43</v>
      </c>
      <c r="M118">
        <v>16</v>
      </c>
      <c r="N118">
        <v>38</v>
      </c>
      <c r="O118">
        <v>293</v>
      </c>
    </row>
    <row r="119" spans="1:15" x14ac:dyDescent="0.25">
      <c r="A119" t="s">
        <v>362</v>
      </c>
      <c r="B119">
        <v>126</v>
      </c>
      <c r="C119">
        <v>27</v>
      </c>
      <c r="D119">
        <v>76</v>
      </c>
      <c r="E119">
        <v>32</v>
      </c>
      <c r="F119">
        <v>74</v>
      </c>
      <c r="G119">
        <v>52</v>
      </c>
      <c r="H119">
        <v>70</v>
      </c>
      <c r="I119">
        <v>49</v>
      </c>
      <c r="J119">
        <v>57</v>
      </c>
      <c r="K119">
        <v>21</v>
      </c>
      <c r="L119">
        <v>37</v>
      </c>
      <c r="M119">
        <v>29</v>
      </c>
      <c r="N119">
        <v>216</v>
      </c>
      <c r="O119">
        <v>650</v>
      </c>
    </row>
    <row r="120" spans="1:15" x14ac:dyDescent="0.25">
      <c r="A120" t="s">
        <v>366</v>
      </c>
      <c r="B120">
        <v>0</v>
      </c>
      <c r="C120">
        <v>0</v>
      </c>
      <c r="D120">
        <v>4</v>
      </c>
      <c r="E120">
        <v>0</v>
      </c>
      <c r="F120">
        <v>10</v>
      </c>
      <c r="G120">
        <v>0</v>
      </c>
      <c r="H120">
        <v>12</v>
      </c>
      <c r="I120">
        <v>0</v>
      </c>
      <c r="J120">
        <v>0</v>
      </c>
      <c r="K120">
        <v>0</v>
      </c>
      <c r="L120">
        <v>25</v>
      </c>
      <c r="M120">
        <v>0</v>
      </c>
      <c r="N120">
        <v>0</v>
      </c>
      <c r="O120">
        <v>51</v>
      </c>
    </row>
    <row r="121" spans="1:15" x14ac:dyDescent="0.25">
      <c r="A121" t="s">
        <v>368</v>
      </c>
      <c r="B121">
        <v>69</v>
      </c>
      <c r="C121">
        <v>46</v>
      </c>
      <c r="D121">
        <v>88</v>
      </c>
      <c r="E121">
        <v>62</v>
      </c>
      <c r="F121">
        <v>72</v>
      </c>
      <c r="G121">
        <v>35</v>
      </c>
      <c r="H121">
        <v>86</v>
      </c>
      <c r="I121">
        <v>63</v>
      </c>
      <c r="J121">
        <v>64</v>
      </c>
      <c r="K121">
        <v>80</v>
      </c>
      <c r="L121">
        <v>49</v>
      </c>
      <c r="M121">
        <v>64</v>
      </c>
      <c r="N121">
        <v>169</v>
      </c>
      <c r="O121">
        <v>778</v>
      </c>
    </row>
    <row r="122" spans="1:15" x14ac:dyDescent="0.25">
      <c r="A122" t="s">
        <v>372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16</v>
      </c>
      <c r="I122">
        <v>0</v>
      </c>
      <c r="J122">
        <v>0</v>
      </c>
      <c r="K122">
        <v>0</v>
      </c>
      <c r="L122">
        <v>20</v>
      </c>
      <c r="M122">
        <v>0</v>
      </c>
      <c r="N122">
        <v>0</v>
      </c>
      <c r="O122">
        <v>37</v>
      </c>
    </row>
    <row r="123" spans="1:15" x14ac:dyDescent="0.25">
      <c r="A123" t="s">
        <v>374</v>
      </c>
      <c r="B123">
        <v>0</v>
      </c>
      <c r="C123">
        <v>0</v>
      </c>
      <c r="D123">
        <v>0</v>
      </c>
      <c r="E123">
        <v>0</v>
      </c>
      <c r="F123">
        <v>2</v>
      </c>
      <c r="G123">
        <v>3</v>
      </c>
      <c r="H123">
        <v>15</v>
      </c>
      <c r="I123">
        <v>1</v>
      </c>
      <c r="J123">
        <v>0</v>
      </c>
      <c r="K123">
        <v>16</v>
      </c>
      <c r="L123">
        <v>1</v>
      </c>
      <c r="M123">
        <v>0</v>
      </c>
      <c r="N123">
        <v>62</v>
      </c>
      <c r="O123">
        <v>38</v>
      </c>
    </row>
    <row r="124" spans="1:15" x14ac:dyDescent="0.25">
      <c r="A124" t="s">
        <v>378</v>
      </c>
      <c r="B124">
        <v>0</v>
      </c>
      <c r="C124">
        <v>0</v>
      </c>
      <c r="D124">
        <v>0</v>
      </c>
      <c r="E124">
        <v>0</v>
      </c>
      <c r="F124">
        <v>2</v>
      </c>
      <c r="G124">
        <v>2</v>
      </c>
      <c r="H124">
        <v>11</v>
      </c>
      <c r="I124">
        <v>0</v>
      </c>
      <c r="J124">
        <v>1</v>
      </c>
      <c r="K124">
        <v>15</v>
      </c>
      <c r="L124">
        <v>0</v>
      </c>
      <c r="M124">
        <v>3</v>
      </c>
      <c r="N124">
        <v>116</v>
      </c>
      <c r="O124">
        <v>34</v>
      </c>
    </row>
    <row r="125" spans="1:15" x14ac:dyDescent="0.25">
      <c r="A125" t="s">
        <v>199</v>
      </c>
      <c r="B125">
        <v>6</v>
      </c>
      <c r="C125">
        <v>8</v>
      </c>
      <c r="D125">
        <v>3</v>
      </c>
      <c r="E125">
        <v>5</v>
      </c>
      <c r="F125">
        <v>8</v>
      </c>
      <c r="G125">
        <v>2</v>
      </c>
      <c r="H125">
        <v>7</v>
      </c>
      <c r="I125">
        <v>5</v>
      </c>
      <c r="J125">
        <v>1</v>
      </c>
      <c r="K125">
        <v>6</v>
      </c>
      <c r="L125">
        <v>0</v>
      </c>
      <c r="M125">
        <v>7</v>
      </c>
      <c r="N125">
        <v>18</v>
      </c>
      <c r="O125">
        <v>58</v>
      </c>
    </row>
    <row r="126" spans="1:15" x14ac:dyDescent="0.25">
      <c r="A126" t="s">
        <v>201</v>
      </c>
      <c r="B126">
        <v>4</v>
      </c>
      <c r="C126">
        <v>0</v>
      </c>
      <c r="D126">
        <v>5</v>
      </c>
      <c r="E126">
        <v>6</v>
      </c>
      <c r="F126">
        <v>2</v>
      </c>
      <c r="G126">
        <v>1</v>
      </c>
      <c r="H126">
        <v>5</v>
      </c>
      <c r="I126">
        <v>0</v>
      </c>
      <c r="J126">
        <v>5</v>
      </c>
      <c r="K126">
        <v>5</v>
      </c>
      <c r="L126">
        <v>16</v>
      </c>
      <c r="M126">
        <v>0</v>
      </c>
      <c r="N126">
        <v>0</v>
      </c>
      <c r="O126">
        <v>49</v>
      </c>
    </row>
    <row r="127" spans="1:15" x14ac:dyDescent="0.25">
      <c r="A127" t="s">
        <v>203</v>
      </c>
      <c r="B127">
        <v>6</v>
      </c>
      <c r="C127">
        <v>2</v>
      </c>
      <c r="D127">
        <v>7</v>
      </c>
      <c r="E127">
        <v>7</v>
      </c>
      <c r="F127">
        <v>5</v>
      </c>
      <c r="G127">
        <v>5</v>
      </c>
      <c r="H127">
        <v>0</v>
      </c>
      <c r="I127">
        <v>4</v>
      </c>
      <c r="J127">
        <v>5</v>
      </c>
      <c r="K127">
        <v>0</v>
      </c>
      <c r="L127">
        <v>10</v>
      </c>
      <c r="M127">
        <v>0</v>
      </c>
      <c r="N127">
        <v>15</v>
      </c>
      <c r="O127">
        <v>51</v>
      </c>
    </row>
    <row r="128" spans="1:15" x14ac:dyDescent="0.25">
      <c r="A128" t="s">
        <v>224</v>
      </c>
      <c r="B128">
        <v>14</v>
      </c>
      <c r="C128">
        <v>0</v>
      </c>
      <c r="D128">
        <v>5</v>
      </c>
      <c r="E128">
        <v>3</v>
      </c>
      <c r="F128">
        <v>2</v>
      </c>
      <c r="G128">
        <v>7</v>
      </c>
      <c r="H128">
        <v>2</v>
      </c>
      <c r="I128">
        <v>10</v>
      </c>
      <c r="J128">
        <v>13</v>
      </c>
      <c r="K128">
        <v>3</v>
      </c>
      <c r="L128">
        <v>8</v>
      </c>
      <c r="M128">
        <v>12</v>
      </c>
      <c r="N128">
        <v>10</v>
      </c>
      <c r="O128">
        <v>79</v>
      </c>
    </row>
    <row r="129" spans="1:15" x14ac:dyDescent="0.25">
      <c r="A129" t="s">
        <v>226</v>
      </c>
      <c r="B129">
        <v>25</v>
      </c>
      <c r="C129">
        <v>19</v>
      </c>
      <c r="D129">
        <v>2</v>
      </c>
      <c r="E129">
        <v>2</v>
      </c>
      <c r="F129">
        <v>27</v>
      </c>
      <c r="G129">
        <v>0</v>
      </c>
      <c r="H129">
        <v>0</v>
      </c>
      <c r="I129">
        <v>0</v>
      </c>
      <c r="J129">
        <v>37</v>
      </c>
      <c r="K129">
        <v>20</v>
      </c>
      <c r="L129">
        <v>7</v>
      </c>
      <c r="M129">
        <v>40</v>
      </c>
      <c r="N129">
        <v>16</v>
      </c>
      <c r="O129">
        <v>179</v>
      </c>
    </row>
    <row r="130" spans="1:15" x14ac:dyDescent="0.25">
      <c r="A130" t="s">
        <v>230</v>
      </c>
      <c r="B130">
        <v>9</v>
      </c>
      <c r="C130">
        <v>3</v>
      </c>
      <c r="D130">
        <v>3</v>
      </c>
      <c r="E130">
        <v>7</v>
      </c>
      <c r="F130">
        <v>4</v>
      </c>
      <c r="G130">
        <v>4</v>
      </c>
      <c r="H130">
        <v>10</v>
      </c>
      <c r="I130">
        <v>5</v>
      </c>
      <c r="J130">
        <v>6</v>
      </c>
      <c r="K130">
        <v>4</v>
      </c>
      <c r="L130">
        <v>6</v>
      </c>
      <c r="M130">
        <v>3</v>
      </c>
      <c r="N130">
        <v>21</v>
      </c>
      <c r="O130">
        <v>64</v>
      </c>
    </row>
    <row r="131" spans="1:15" x14ac:dyDescent="0.25">
      <c r="A131" t="s">
        <v>249</v>
      </c>
      <c r="B131">
        <v>100</v>
      </c>
      <c r="C131">
        <v>224</v>
      </c>
      <c r="D131">
        <v>151</v>
      </c>
      <c r="E131">
        <v>45</v>
      </c>
      <c r="F131">
        <v>52</v>
      </c>
      <c r="G131">
        <v>94</v>
      </c>
      <c r="H131">
        <v>84</v>
      </c>
      <c r="I131">
        <v>123</v>
      </c>
      <c r="J131">
        <v>88</v>
      </c>
      <c r="K131">
        <v>88</v>
      </c>
      <c r="L131">
        <v>100</v>
      </c>
      <c r="M131">
        <v>127</v>
      </c>
      <c r="N131">
        <v>173</v>
      </c>
      <c r="O131">
        <v>1276</v>
      </c>
    </row>
    <row r="132" spans="1:15" x14ac:dyDescent="0.25">
      <c r="A132" t="s">
        <v>251</v>
      </c>
      <c r="B132">
        <v>116</v>
      </c>
      <c r="C132">
        <v>139</v>
      </c>
      <c r="D132">
        <v>78</v>
      </c>
      <c r="E132">
        <v>90</v>
      </c>
      <c r="F132">
        <v>56</v>
      </c>
      <c r="G132">
        <v>76</v>
      </c>
      <c r="H132">
        <v>69</v>
      </c>
      <c r="I132">
        <v>154</v>
      </c>
      <c r="J132">
        <v>94</v>
      </c>
      <c r="K132">
        <v>8</v>
      </c>
      <c r="L132">
        <v>200</v>
      </c>
      <c r="M132">
        <v>167</v>
      </c>
      <c r="N132">
        <v>233</v>
      </c>
      <c r="O132">
        <v>1247</v>
      </c>
    </row>
    <row r="133" spans="1:15" x14ac:dyDescent="0.25">
      <c r="A133" t="s">
        <v>253</v>
      </c>
      <c r="B133">
        <v>69</v>
      </c>
      <c r="C133">
        <v>48</v>
      </c>
      <c r="D133">
        <v>0</v>
      </c>
      <c r="E133">
        <v>0</v>
      </c>
      <c r="F133">
        <v>44</v>
      </c>
      <c r="G133">
        <v>38</v>
      </c>
      <c r="H133">
        <v>66</v>
      </c>
      <c r="I133">
        <v>48</v>
      </c>
      <c r="J133">
        <v>52</v>
      </c>
      <c r="K133">
        <v>52</v>
      </c>
      <c r="L133">
        <v>50</v>
      </c>
      <c r="M133">
        <v>83</v>
      </c>
      <c r="N133">
        <v>67</v>
      </c>
      <c r="O133">
        <v>550</v>
      </c>
    </row>
    <row r="134" spans="1:15" x14ac:dyDescent="0.25">
      <c r="A134" t="s">
        <v>243</v>
      </c>
      <c r="B134">
        <v>0</v>
      </c>
      <c r="C134">
        <v>0</v>
      </c>
      <c r="D134">
        <v>0</v>
      </c>
      <c r="E134">
        <v>0</v>
      </c>
      <c r="F134">
        <v>71</v>
      </c>
      <c r="G134">
        <v>14</v>
      </c>
      <c r="H134">
        <v>6</v>
      </c>
      <c r="I134">
        <v>6</v>
      </c>
      <c r="J134">
        <v>19</v>
      </c>
      <c r="K134">
        <v>7</v>
      </c>
      <c r="L134">
        <v>6</v>
      </c>
      <c r="M134">
        <v>38</v>
      </c>
      <c r="N134">
        <v>83</v>
      </c>
      <c r="O134">
        <v>167</v>
      </c>
    </row>
    <row r="135" spans="1:15" x14ac:dyDescent="0.25">
      <c r="A135" t="s">
        <v>245</v>
      </c>
      <c r="B135">
        <v>0</v>
      </c>
      <c r="C135">
        <v>0</v>
      </c>
      <c r="D135">
        <v>0</v>
      </c>
      <c r="E135">
        <v>0</v>
      </c>
      <c r="F135">
        <v>47</v>
      </c>
      <c r="G135">
        <v>16</v>
      </c>
      <c r="H135">
        <v>0</v>
      </c>
      <c r="I135">
        <v>21</v>
      </c>
      <c r="J135">
        <v>24</v>
      </c>
      <c r="K135">
        <v>20</v>
      </c>
      <c r="L135">
        <v>1</v>
      </c>
      <c r="M135">
        <v>10</v>
      </c>
      <c r="N135">
        <v>61</v>
      </c>
      <c r="O135">
        <v>139</v>
      </c>
    </row>
    <row r="136" spans="1:15" x14ac:dyDescent="0.25">
      <c r="A136" t="s">
        <v>247</v>
      </c>
      <c r="B136">
        <v>0</v>
      </c>
      <c r="C136">
        <v>0</v>
      </c>
      <c r="D136">
        <v>0</v>
      </c>
      <c r="E136">
        <v>0</v>
      </c>
      <c r="F136">
        <v>27</v>
      </c>
      <c r="G136">
        <v>12</v>
      </c>
      <c r="H136">
        <v>11</v>
      </c>
      <c r="I136">
        <v>0</v>
      </c>
      <c r="J136">
        <v>14</v>
      </c>
      <c r="K136">
        <v>10</v>
      </c>
      <c r="L136">
        <v>1</v>
      </c>
      <c r="M136">
        <v>3</v>
      </c>
      <c r="N136">
        <v>42</v>
      </c>
      <c r="O136">
        <v>78</v>
      </c>
    </row>
    <row r="137" spans="1:15" x14ac:dyDescent="0.25">
      <c r="A137" t="s">
        <v>270</v>
      </c>
      <c r="B137">
        <v>206</v>
      </c>
      <c r="C137">
        <v>368</v>
      </c>
      <c r="D137">
        <v>253</v>
      </c>
      <c r="E137">
        <v>224</v>
      </c>
      <c r="F137">
        <v>236</v>
      </c>
      <c r="G137">
        <v>217</v>
      </c>
      <c r="H137">
        <v>298</v>
      </c>
      <c r="I137">
        <v>359</v>
      </c>
      <c r="J137">
        <v>405</v>
      </c>
      <c r="K137">
        <v>171</v>
      </c>
      <c r="L137">
        <v>540</v>
      </c>
      <c r="M137">
        <v>415</v>
      </c>
      <c r="N137">
        <v>445</v>
      </c>
      <c r="O137">
        <v>3692</v>
      </c>
    </row>
    <row r="138" spans="1:15" x14ac:dyDescent="0.25">
      <c r="A138" t="s">
        <v>272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t="s">
        <v>274</v>
      </c>
      <c r="B139">
        <v>0</v>
      </c>
      <c r="C139">
        <v>0</v>
      </c>
      <c r="D139">
        <v>898</v>
      </c>
      <c r="E139">
        <v>332</v>
      </c>
      <c r="F139">
        <v>284</v>
      </c>
      <c r="G139">
        <v>241</v>
      </c>
      <c r="H139">
        <v>283</v>
      </c>
      <c r="I139">
        <v>297</v>
      </c>
      <c r="J139">
        <v>336</v>
      </c>
      <c r="K139">
        <v>320</v>
      </c>
      <c r="L139">
        <v>395</v>
      </c>
      <c r="M139">
        <v>424</v>
      </c>
      <c r="N139">
        <v>276</v>
      </c>
      <c r="O139">
        <v>3810</v>
      </c>
    </row>
    <row r="140" spans="1:15" x14ac:dyDescent="0.25">
      <c r="A140" t="s">
        <v>276</v>
      </c>
      <c r="B140">
        <v>1</v>
      </c>
      <c r="C140">
        <v>3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5</v>
      </c>
      <c r="O140">
        <v>6</v>
      </c>
    </row>
    <row r="141" spans="1:15" x14ac:dyDescent="0.25">
      <c r="A141" t="s">
        <v>278</v>
      </c>
      <c r="B141">
        <v>84</v>
      </c>
      <c r="C141">
        <v>42</v>
      </c>
      <c r="D141">
        <v>224</v>
      </c>
      <c r="E141">
        <v>118</v>
      </c>
      <c r="F141">
        <v>78</v>
      </c>
      <c r="G141">
        <v>169</v>
      </c>
      <c r="H141">
        <v>67</v>
      </c>
      <c r="I141">
        <v>99</v>
      </c>
      <c r="J141">
        <v>121</v>
      </c>
      <c r="K141">
        <v>117</v>
      </c>
      <c r="L141">
        <v>247</v>
      </c>
      <c r="M141">
        <v>175</v>
      </c>
      <c r="N141">
        <v>5</v>
      </c>
      <c r="O141">
        <v>1541</v>
      </c>
    </row>
    <row r="142" spans="1:15" x14ac:dyDescent="0.25">
      <c r="A142" t="s">
        <v>255</v>
      </c>
      <c r="B142">
        <v>0</v>
      </c>
      <c r="C142">
        <v>0</v>
      </c>
      <c r="D142">
        <v>0</v>
      </c>
      <c r="E142">
        <v>0</v>
      </c>
      <c r="F142">
        <v>95</v>
      </c>
      <c r="G142">
        <v>30</v>
      </c>
      <c r="H142">
        <v>25</v>
      </c>
      <c r="I142">
        <v>0</v>
      </c>
      <c r="J142">
        <v>115</v>
      </c>
      <c r="K142">
        <v>25</v>
      </c>
      <c r="L142">
        <v>73</v>
      </c>
      <c r="M142">
        <v>99</v>
      </c>
      <c r="N142">
        <v>88</v>
      </c>
      <c r="O142">
        <v>462</v>
      </c>
    </row>
    <row r="143" spans="1:15" x14ac:dyDescent="0.25">
      <c r="A143" t="s">
        <v>260</v>
      </c>
      <c r="B143">
        <v>0</v>
      </c>
      <c r="C143">
        <v>0</v>
      </c>
      <c r="D143">
        <v>0</v>
      </c>
      <c r="E143">
        <v>0</v>
      </c>
      <c r="F143">
        <v>57</v>
      </c>
      <c r="G143">
        <v>43</v>
      </c>
      <c r="H143">
        <v>0</v>
      </c>
      <c r="I143">
        <v>0</v>
      </c>
      <c r="J143">
        <v>90</v>
      </c>
      <c r="K143">
        <v>38</v>
      </c>
      <c r="L143">
        <v>59</v>
      </c>
      <c r="M143">
        <v>63</v>
      </c>
      <c r="N143">
        <v>50</v>
      </c>
      <c r="O143">
        <v>350</v>
      </c>
    </row>
    <row r="144" spans="1:15" x14ac:dyDescent="0.25">
      <c r="A144" t="s">
        <v>262</v>
      </c>
      <c r="B144">
        <v>0</v>
      </c>
      <c r="C144">
        <v>0</v>
      </c>
      <c r="D144">
        <v>0</v>
      </c>
      <c r="E144">
        <v>0</v>
      </c>
      <c r="F144">
        <v>27</v>
      </c>
      <c r="G144">
        <v>23</v>
      </c>
      <c r="H144">
        <v>0</v>
      </c>
      <c r="I144">
        <v>0</v>
      </c>
      <c r="J144">
        <v>36</v>
      </c>
      <c r="K144">
        <v>24</v>
      </c>
      <c r="L144">
        <v>39</v>
      </c>
      <c r="M144">
        <v>8</v>
      </c>
      <c r="N144">
        <v>43</v>
      </c>
      <c r="O144">
        <v>157</v>
      </c>
    </row>
    <row r="145" spans="1:15" x14ac:dyDescent="0.25">
      <c r="A145" t="s">
        <v>280</v>
      </c>
      <c r="B145">
        <v>1</v>
      </c>
      <c r="C145">
        <v>2</v>
      </c>
      <c r="D145">
        <v>19</v>
      </c>
      <c r="E145">
        <v>3</v>
      </c>
      <c r="F145">
        <v>4</v>
      </c>
      <c r="G145">
        <v>2</v>
      </c>
      <c r="H145">
        <v>13</v>
      </c>
      <c r="I145">
        <v>2</v>
      </c>
      <c r="J145">
        <v>12</v>
      </c>
      <c r="K145">
        <v>13</v>
      </c>
      <c r="L145">
        <v>0</v>
      </c>
      <c r="M145">
        <v>16</v>
      </c>
      <c r="N145">
        <v>20</v>
      </c>
      <c r="O145">
        <v>87</v>
      </c>
    </row>
    <row r="146" spans="1:15" x14ac:dyDescent="0.25">
      <c r="A146" t="s">
        <v>283</v>
      </c>
      <c r="B146">
        <v>3</v>
      </c>
      <c r="C146">
        <v>0</v>
      </c>
      <c r="D146">
        <v>9</v>
      </c>
      <c r="E146">
        <v>8</v>
      </c>
      <c r="F146">
        <v>6</v>
      </c>
      <c r="G146">
        <v>3</v>
      </c>
      <c r="H146">
        <v>15</v>
      </c>
      <c r="I146">
        <v>8</v>
      </c>
      <c r="J146">
        <v>2</v>
      </c>
      <c r="K146">
        <v>5</v>
      </c>
      <c r="L146">
        <v>5</v>
      </c>
      <c r="M146">
        <v>11</v>
      </c>
      <c r="N146">
        <v>24</v>
      </c>
      <c r="O146">
        <v>75</v>
      </c>
    </row>
    <row r="147" spans="1:15" x14ac:dyDescent="0.25">
      <c r="A147" t="s">
        <v>179</v>
      </c>
      <c r="B147">
        <v>23</v>
      </c>
      <c r="C147">
        <v>62</v>
      </c>
      <c r="D147">
        <v>47</v>
      </c>
      <c r="E147">
        <v>32</v>
      </c>
      <c r="F147">
        <v>22</v>
      </c>
      <c r="G147">
        <v>30</v>
      </c>
      <c r="H147">
        <v>13</v>
      </c>
      <c r="I147">
        <v>30</v>
      </c>
      <c r="J147">
        <v>26</v>
      </c>
      <c r="K147">
        <v>35</v>
      </c>
      <c r="L147">
        <v>32</v>
      </c>
      <c r="M147">
        <v>10</v>
      </c>
      <c r="N147">
        <v>92</v>
      </c>
      <c r="O147">
        <v>362</v>
      </c>
    </row>
    <row r="148" spans="1:15" x14ac:dyDescent="0.25">
      <c r="A148" t="s">
        <v>185</v>
      </c>
      <c r="B148">
        <v>12</v>
      </c>
      <c r="C148">
        <v>31</v>
      </c>
      <c r="D148">
        <v>15</v>
      </c>
      <c r="E148">
        <v>24</v>
      </c>
      <c r="F148">
        <v>41</v>
      </c>
      <c r="G148">
        <v>35</v>
      </c>
      <c r="H148">
        <v>24</v>
      </c>
      <c r="I148">
        <v>22</v>
      </c>
      <c r="J148">
        <v>22</v>
      </c>
      <c r="K148">
        <v>62</v>
      </c>
      <c r="L148">
        <v>25</v>
      </c>
      <c r="M148">
        <v>7</v>
      </c>
      <c r="N148">
        <v>61</v>
      </c>
      <c r="O148">
        <v>320</v>
      </c>
    </row>
    <row r="149" spans="1:15" x14ac:dyDescent="0.25">
      <c r="A149" t="s">
        <v>189</v>
      </c>
      <c r="B149">
        <v>11</v>
      </c>
      <c r="C149">
        <v>19</v>
      </c>
      <c r="D149">
        <v>23</v>
      </c>
      <c r="E149">
        <v>7</v>
      </c>
      <c r="F149">
        <v>35</v>
      </c>
      <c r="G149">
        <v>25</v>
      </c>
      <c r="H149">
        <v>13</v>
      </c>
      <c r="I149">
        <v>17</v>
      </c>
      <c r="J149">
        <v>15</v>
      </c>
      <c r="K149">
        <v>12</v>
      </c>
      <c r="L149">
        <v>8</v>
      </c>
      <c r="M149">
        <v>14</v>
      </c>
      <c r="N149">
        <v>61</v>
      </c>
      <c r="O149">
        <v>199</v>
      </c>
    </row>
    <row r="150" spans="1:15" x14ac:dyDescent="0.25">
      <c r="A150" t="s">
        <v>205</v>
      </c>
      <c r="B150">
        <v>20</v>
      </c>
      <c r="C150">
        <v>29</v>
      </c>
      <c r="D150">
        <v>24</v>
      </c>
      <c r="E150">
        <v>32</v>
      </c>
      <c r="F150">
        <v>19</v>
      </c>
      <c r="G150">
        <v>37</v>
      </c>
      <c r="H150">
        <v>26</v>
      </c>
      <c r="I150">
        <v>29</v>
      </c>
      <c r="J150">
        <v>33</v>
      </c>
      <c r="K150">
        <v>31</v>
      </c>
      <c r="L150">
        <v>28</v>
      </c>
      <c r="M150">
        <v>35</v>
      </c>
      <c r="N150">
        <v>65</v>
      </c>
      <c r="O150">
        <v>343</v>
      </c>
    </row>
    <row r="151" spans="1:15" x14ac:dyDescent="0.25">
      <c r="A151" t="s">
        <v>208</v>
      </c>
      <c r="B151">
        <v>76</v>
      </c>
      <c r="C151">
        <v>28</v>
      </c>
      <c r="D151">
        <v>66</v>
      </c>
      <c r="E151">
        <v>73</v>
      </c>
      <c r="F151">
        <v>83</v>
      </c>
      <c r="G151">
        <v>54</v>
      </c>
      <c r="H151">
        <v>59</v>
      </c>
      <c r="I151">
        <v>51</v>
      </c>
      <c r="J151">
        <v>59</v>
      </c>
      <c r="K151">
        <v>56</v>
      </c>
      <c r="L151">
        <v>27</v>
      </c>
      <c r="M151">
        <v>38</v>
      </c>
      <c r="N151">
        <v>190</v>
      </c>
      <c r="O151">
        <v>670</v>
      </c>
    </row>
    <row r="152" spans="1:15" x14ac:dyDescent="0.25">
      <c r="A152" t="s">
        <v>212</v>
      </c>
      <c r="B152">
        <v>21</v>
      </c>
      <c r="C152">
        <v>21</v>
      </c>
      <c r="D152">
        <v>11</v>
      </c>
      <c r="E152">
        <v>26</v>
      </c>
      <c r="F152">
        <v>15</v>
      </c>
      <c r="G152">
        <v>35</v>
      </c>
      <c r="H152">
        <v>22</v>
      </c>
      <c r="I152">
        <v>0</v>
      </c>
      <c r="J152">
        <v>21</v>
      </c>
      <c r="K152">
        <v>44</v>
      </c>
      <c r="L152">
        <v>26</v>
      </c>
      <c r="M152">
        <v>26</v>
      </c>
      <c r="N152">
        <v>13</v>
      </c>
      <c r="O152">
        <v>268</v>
      </c>
    </row>
    <row r="153" spans="1:15" x14ac:dyDescent="0.25">
      <c r="A153" t="s">
        <v>214</v>
      </c>
      <c r="B153">
        <v>13</v>
      </c>
      <c r="C153">
        <v>2</v>
      </c>
      <c r="D153">
        <v>29</v>
      </c>
      <c r="E153">
        <v>12</v>
      </c>
      <c r="F153">
        <v>8</v>
      </c>
      <c r="G153">
        <v>7</v>
      </c>
      <c r="H153">
        <v>20</v>
      </c>
      <c r="I153">
        <v>10</v>
      </c>
      <c r="J153">
        <v>8</v>
      </c>
      <c r="K153">
        <v>7</v>
      </c>
      <c r="L153">
        <v>8</v>
      </c>
      <c r="M153">
        <v>10</v>
      </c>
      <c r="N153">
        <v>38</v>
      </c>
      <c r="O153">
        <v>134</v>
      </c>
    </row>
    <row r="154" spans="1:15" x14ac:dyDescent="0.25">
      <c r="A154" t="s">
        <v>234</v>
      </c>
      <c r="B154">
        <v>190</v>
      </c>
      <c r="C154">
        <v>473</v>
      </c>
      <c r="D154">
        <v>257</v>
      </c>
      <c r="E154">
        <v>214</v>
      </c>
      <c r="F154">
        <v>284</v>
      </c>
      <c r="G154">
        <v>279</v>
      </c>
      <c r="H154">
        <v>282</v>
      </c>
      <c r="I154">
        <v>382</v>
      </c>
      <c r="J154">
        <v>309</v>
      </c>
      <c r="K154">
        <v>251</v>
      </c>
      <c r="L154">
        <v>323</v>
      </c>
      <c r="M154">
        <v>371</v>
      </c>
      <c r="N154">
        <v>647</v>
      </c>
      <c r="O154">
        <v>3615</v>
      </c>
    </row>
    <row r="155" spans="1:15" x14ac:dyDescent="0.25">
      <c r="A155" t="s">
        <v>237</v>
      </c>
      <c r="B155">
        <v>230</v>
      </c>
      <c r="C155">
        <v>472</v>
      </c>
      <c r="D155">
        <v>326</v>
      </c>
      <c r="E155">
        <v>288</v>
      </c>
      <c r="F155">
        <v>396</v>
      </c>
      <c r="G155">
        <v>259</v>
      </c>
      <c r="H155">
        <v>382</v>
      </c>
      <c r="I155">
        <v>400</v>
      </c>
      <c r="J155">
        <v>231</v>
      </c>
      <c r="K155">
        <v>321</v>
      </c>
      <c r="L155">
        <v>372</v>
      </c>
      <c r="M155">
        <v>555</v>
      </c>
      <c r="N155">
        <v>364</v>
      </c>
      <c r="O155">
        <v>4232</v>
      </c>
    </row>
    <row r="156" spans="1:15" x14ac:dyDescent="0.25">
      <c r="A156" t="s">
        <v>239</v>
      </c>
      <c r="B156">
        <v>128</v>
      </c>
      <c r="C156">
        <v>96</v>
      </c>
      <c r="D156">
        <v>101</v>
      </c>
      <c r="E156">
        <v>119</v>
      </c>
      <c r="F156">
        <v>260</v>
      </c>
      <c r="G156">
        <v>66</v>
      </c>
      <c r="H156">
        <v>120</v>
      </c>
      <c r="I156">
        <v>0</v>
      </c>
      <c r="J156">
        <v>152</v>
      </c>
      <c r="K156">
        <v>89</v>
      </c>
      <c r="L156">
        <v>137</v>
      </c>
      <c r="M156">
        <v>213</v>
      </c>
      <c r="N156">
        <v>159</v>
      </c>
      <c r="O156">
        <v>1481</v>
      </c>
    </row>
    <row r="157" spans="1:15" x14ac:dyDescent="0.25">
      <c r="A157" t="s">
        <v>241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3</v>
      </c>
      <c r="O157">
        <v>2</v>
      </c>
    </row>
    <row r="158" spans="1:15" x14ac:dyDescent="0.25">
      <c r="A158" t="s">
        <v>264</v>
      </c>
      <c r="B158">
        <v>155</v>
      </c>
      <c r="C158">
        <v>208</v>
      </c>
      <c r="D158">
        <v>151</v>
      </c>
      <c r="E158">
        <v>119</v>
      </c>
      <c r="F158">
        <v>362</v>
      </c>
      <c r="G158">
        <v>83</v>
      </c>
      <c r="H158">
        <v>268</v>
      </c>
      <c r="I158">
        <v>149</v>
      </c>
      <c r="J158">
        <v>333</v>
      </c>
      <c r="K158">
        <v>167</v>
      </c>
      <c r="L158">
        <v>295</v>
      </c>
      <c r="M158">
        <v>428</v>
      </c>
      <c r="N158">
        <v>177</v>
      </c>
      <c r="O158">
        <v>2718</v>
      </c>
    </row>
    <row r="159" spans="1:15" x14ac:dyDescent="0.25">
      <c r="A159" t="s">
        <v>266</v>
      </c>
      <c r="B159">
        <v>53</v>
      </c>
      <c r="C159">
        <v>154</v>
      </c>
      <c r="D159">
        <v>107</v>
      </c>
      <c r="E159">
        <v>206</v>
      </c>
      <c r="F159">
        <v>291</v>
      </c>
      <c r="G159">
        <v>58</v>
      </c>
      <c r="H159">
        <v>77</v>
      </c>
      <c r="I159">
        <v>88</v>
      </c>
      <c r="J159">
        <v>369</v>
      </c>
      <c r="K159">
        <v>208</v>
      </c>
      <c r="L159">
        <v>72</v>
      </c>
      <c r="M159">
        <v>458</v>
      </c>
      <c r="N159">
        <v>92</v>
      </c>
      <c r="O159">
        <v>2141</v>
      </c>
    </row>
    <row r="160" spans="1:15" x14ac:dyDescent="0.25">
      <c r="A160" t="s">
        <v>268</v>
      </c>
      <c r="B160">
        <v>80</v>
      </c>
      <c r="C160">
        <v>57</v>
      </c>
      <c r="D160">
        <v>67</v>
      </c>
      <c r="E160">
        <v>17</v>
      </c>
      <c r="F160">
        <v>124</v>
      </c>
      <c r="G160">
        <v>40</v>
      </c>
      <c r="H160">
        <v>59</v>
      </c>
      <c r="I160">
        <v>51</v>
      </c>
      <c r="J160">
        <v>7</v>
      </c>
      <c r="K160">
        <v>0</v>
      </c>
      <c r="L160">
        <v>0</v>
      </c>
      <c r="M160">
        <v>0</v>
      </c>
      <c r="N160">
        <v>0</v>
      </c>
      <c r="O160">
        <v>502</v>
      </c>
    </row>
    <row r="161" spans="1:15" x14ac:dyDescent="0.25">
      <c r="A161" t="s">
        <v>509</v>
      </c>
      <c r="B161">
        <v>0</v>
      </c>
      <c r="C161">
        <v>4</v>
      </c>
      <c r="D161">
        <v>8</v>
      </c>
      <c r="E161">
        <v>11</v>
      </c>
      <c r="F161">
        <v>1</v>
      </c>
      <c r="G161">
        <v>0</v>
      </c>
      <c r="H161">
        <v>5</v>
      </c>
      <c r="I161">
        <v>6</v>
      </c>
      <c r="J161">
        <v>2</v>
      </c>
      <c r="K161">
        <v>0</v>
      </c>
      <c r="L161">
        <v>7</v>
      </c>
      <c r="M161">
        <v>3</v>
      </c>
      <c r="N161">
        <v>8</v>
      </c>
      <c r="O161">
        <v>47</v>
      </c>
    </row>
    <row r="162" spans="1:15" x14ac:dyDescent="0.25">
      <c r="A162" t="s">
        <v>513</v>
      </c>
      <c r="B162">
        <v>0</v>
      </c>
      <c r="C162">
        <v>1</v>
      </c>
      <c r="D162">
        <v>2</v>
      </c>
      <c r="E162">
        <v>6</v>
      </c>
      <c r="F162">
        <v>2</v>
      </c>
      <c r="G162">
        <v>1</v>
      </c>
      <c r="H162">
        <v>1</v>
      </c>
      <c r="I162">
        <v>0</v>
      </c>
      <c r="J162">
        <v>5</v>
      </c>
      <c r="K162">
        <v>1</v>
      </c>
      <c r="L162">
        <v>0</v>
      </c>
      <c r="M162">
        <v>6</v>
      </c>
      <c r="N162">
        <v>9</v>
      </c>
      <c r="O162">
        <v>25</v>
      </c>
    </row>
    <row r="163" spans="1:15" x14ac:dyDescent="0.25">
      <c r="A163" t="s">
        <v>515</v>
      </c>
      <c r="B163">
        <v>1</v>
      </c>
      <c r="C163">
        <v>0</v>
      </c>
      <c r="D163">
        <v>1</v>
      </c>
      <c r="E163">
        <v>1</v>
      </c>
      <c r="F163">
        <v>3</v>
      </c>
      <c r="G163">
        <v>1</v>
      </c>
      <c r="H163">
        <v>1</v>
      </c>
      <c r="I163">
        <v>1</v>
      </c>
      <c r="J163">
        <v>1</v>
      </c>
      <c r="K163">
        <v>2</v>
      </c>
      <c r="L163">
        <v>0</v>
      </c>
      <c r="M163">
        <v>2</v>
      </c>
      <c r="N163">
        <v>3</v>
      </c>
      <c r="O163">
        <v>14</v>
      </c>
    </row>
    <row r="164" spans="1:15" x14ac:dyDescent="0.25">
      <c r="A164" t="s">
        <v>548</v>
      </c>
      <c r="B164">
        <v>0</v>
      </c>
      <c r="C164">
        <v>1</v>
      </c>
      <c r="D164">
        <v>1</v>
      </c>
      <c r="E164">
        <v>1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3</v>
      </c>
      <c r="L164">
        <v>0</v>
      </c>
      <c r="M164">
        <v>2</v>
      </c>
      <c r="N164">
        <v>20</v>
      </c>
      <c r="O164">
        <v>10</v>
      </c>
    </row>
    <row r="165" spans="1:15" x14ac:dyDescent="0.25">
      <c r="A165" t="s">
        <v>550</v>
      </c>
      <c r="B165">
        <v>1</v>
      </c>
      <c r="C165">
        <v>1</v>
      </c>
      <c r="D165">
        <v>2</v>
      </c>
      <c r="E165">
        <v>2</v>
      </c>
      <c r="F165">
        <v>0</v>
      </c>
      <c r="G165">
        <v>1</v>
      </c>
      <c r="H165">
        <v>3</v>
      </c>
      <c r="I165">
        <v>1</v>
      </c>
      <c r="J165">
        <v>2</v>
      </c>
      <c r="K165">
        <v>1</v>
      </c>
      <c r="L165">
        <v>5</v>
      </c>
      <c r="M165">
        <v>5</v>
      </c>
      <c r="N165">
        <v>17</v>
      </c>
      <c r="O165">
        <v>24</v>
      </c>
    </row>
    <row r="166" spans="1:15" x14ac:dyDescent="0.25">
      <c r="A166" t="s">
        <v>552</v>
      </c>
      <c r="B166">
        <v>0</v>
      </c>
      <c r="C166">
        <v>1</v>
      </c>
      <c r="D166">
        <v>1</v>
      </c>
      <c r="E166">
        <v>1</v>
      </c>
      <c r="F166">
        <v>2</v>
      </c>
      <c r="G166">
        <v>1</v>
      </c>
      <c r="H166">
        <v>0</v>
      </c>
      <c r="I166">
        <v>0</v>
      </c>
      <c r="J166">
        <v>0</v>
      </c>
      <c r="K166">
        <v>3</v>
      </c>
      <c r="L166">
        <v>0</v>
      </c>
      <c r="M166">
        <v>0</v>
      </c>
      <c r="N166">
        <v>7</v>
      </c>
      <c r="O166">
        <v>9</v>
      </c>
    </row>
    <row r="167" spans="1:15" x14ac:dyDescent="0.25">
      <c r="A167" t="s">
        <v>561</v>
      </c>
      <c r="B167">
        <v>8</v>
      </c>
      <c r="C167">
        <v>16</v>
      </c>
      <c r="D167">
        <v>2</v>
      </c>
      <c r="E167">
        <v>9</v>
      </c>
      <c r="F167">
        <v>0</v>
      </c>
      <c r="G167">
        <v>0</v>
      </c>
      <c r="H167">
        <v>20</v>
      </c>
      <c r="I167">
        <v>0</v>
      </c>
      <c r="J167">
        <v>9</v>
      </c>
      <c r="K167">
        <v>1</v>
      </c>
      <c r="L167">
        <v>30</v>
      </c>
      <c r="M167">
        <v>9</v>
      </c>
      <c r="N167">
        <v>1</v>
      </c>
      <c r="O167">
        <v>104</v>
      </c>
    </row>
    <row r="168" spans="1:15" x14ac:dyDescent="0.25">
      <c r="A168" t="s">
        <v>563</v>
      </c>
      <c r="B168">
        <v>6</v>
      </c>
      <c r="C168">
        <v>13</v>
      </c>
      <c r="D168">
        <v>1</v>
      </c>
      <c r="E168">
        <v>16</v>
      </c>
      <c r="F168">
        <v>10</v>
      </c>
      <c r="G168">
        <v>8</v>
      </c>
      <c r="H168">
        <v>2</v>
      </c>
      <c r="I168">
        <v>0</v>
      </c>
      <c r="J168">
        <v>4</v>
      </c>
      <c r="K168">
        <v>25</v>
      </c>
      <c r="L168">
        <v>21</v>
      </c>
      <c r="M168">
        <v>0</v>
      </c>
      <c r="N168">
        <v>0</v>
      </c>
      <c r="O168">
        <v>106</v>
      </c>
    </row>
    <row r="169" spans="1:15" x14ac:dyDescent="0.25">
      <c r="A169" t="s">
        <v>565</v>
      </c>
      <c r="B169">
        <v>1</v>
      </c>
      <c r="C169">
        <v>0</v>
      </c>
      <c r="D169">
        <v>3</v>
      </c>
      <c r="E169">
        <v>10</v>
      </c>
      <c r="F169">
        <v>4</v>
      </c>
      <c r="G169">
        <v>1</v>
      </c>
      <c r="H169">
        <v>0</v>
      </c>
      <c r="I169">
        <v>5</v>
      </c>
      <c r="J169">
        <v>2</v>
      </c>
      <c r="K169">
        <v>4</v>
      </c>
      <c r="L169">
        <v>24</v>
      </c>
      <c r="M169">
        <v>0</v>
      </c>
      <c r="N169">
        <v>1</v>
      </c>
      <c r="O169">
        <v>54</v>
      </c>
    </row>
    <row r="170" spans="1:15" x14ac:dyDescent="0.25">
      <c r="A170" t="s">
        <v>491</v>
      </c>
      <c r="B170">
        <v>63</v>
      </c>
      <c r="C170">
        <v>77</v>
      </c>
      <c r="D170">
        <v>21</v>
      </c>
      <c r="E170">
        <v>32</v>
      </c>
      <c r="F170">
        <v>88</v>
      </c>
      <c r="G170">
        <v>19</v>
      </c>
      <c r="H170">
        <v>57</v>
      </c>
      <c r="I170">
        <v>16</v>
      </c>
      <c r="J170">
        <v>35</v>
      </c>
      <c r="K170">
        <v>40</v>
      </c>
      <c r="L170">
        <v>44</v>
      </c>
      <c r="M170">
        <v>16</v>
      </c>
      <c r="N170">
        <v>119</v>
      </c>
      <c r="O170">
        <v>508</v>
      </c>
    </row>
    <row r="171" spans="1:15" x14ac:dyDescent="0.25">
      <c r="A171" t="s">
        <v>495</v>
      </c>
      <c r="B171">
        <v>10</v>
      </c>
      <c r="C171">
        <v>36</v>
      </c>
      <c r="D171">
        <v>17</v>
      </c>
      <c r="E171">
        <v>28</v>
      </c>
      <c r="F171">
        <v>50</v>
      </c>
      <c r="G171">
        <v>0</v>
      </c>
      <c r="H171">
        <v>17</v>
      </c>
      <c r="I171">
        <v>10</v>
      </c>
      <c r="J171">
        <v>11</v>
      </c>
      <c r="K171">
        <v>21</v>
      </c>
      <c r="L171">
        <v>1</v>
      </c>
      <c r="M171">
        <v>10</v>
      </c>
      <c r="N171">
        <v>80</v>
      </c>
      <c r="O171">
        <v>211</v>
      </c>
    </row>
    <row r="172" spans="1:15" x14ac:dyDescent="0.25">
      <c r="A172" t="s">
        <v>497</v>
      </c>
      <c r="B172">
        <v>3</v>
      </c>
      <c r="C172">
        <v>0</v>
      </c>
      <c r="D172">
        <v>5</v>
      </c>
      <c r="E172">
        <v>10</v>
      </c>
      <c r="F172">
        <v>29</v>
      </c>
      <c r="G172">
        <v>6</v>
      </c>
      <c r="H172">
        <v>9</v>
      </c>
      <c r="I172">
        <v>6</v>
      </c>
      <c r="J172">
        <v>12</v>
      </c>
      <c r="K172">
        <v>8</v>
      </c>
      <c r="L172">
        <v>0</v>
      </c>
      <c r="M172">
        <v>13</v>
      </c>
      <c r="N172">
        <v>39</v>
      </c>
      <c r="O172">
        <v>101</v>
      </c>
    </row>
    <row r="173" spans="1:15" x14ac:dyDescent="0.25">
      <c r="A173" t="s">
        <v>541</v>
      </c>
      <c r="B173">
        <v>4</v>
      </c>
      <c r="C173">
        <v>8</v>
      </c>
      <c r="D173">
        <v>2</v>
      </c>
      <c r="E173">
        <v>20</v>
      </c>
      <c r="F173">
        <v>18</v>
      </c>
      <c r="G173">
        <v>13</v>
      </c>
      <c r="H173">
        <v>2</v>
      </c>
      <c r="I173">
        <v>0</v>
      </c>
      <c r="J173">
        <v>11</v>
      </c>
      <c r="K173">
        <v>30</v>
      </c>
      <c r="L173">
        <v>14</v>
      </c>
      <c r="M173">
        <v>6</v>
      </c>
      <c r="N173">
        <v>9</v>
      </c>
      <c r="O173">
        <v>128</v>
      </c>
    </row>
    <row r="174" spans="1:15" x14ac:dyDescent="0.25">
      <c r="A174" t="s">
        <v>544</v>
      </c>
      <c r="B174">
        <v>13</v>
      </c>
      <c r="C174">
        <v>25</v>
      </c>
      <c r="D174">
        <v>11</v>
      </c>
      <c r="E174">
        <v>23</v>
      </c>
      <c r="F174">
        <v>20</v>
      </c>
      <c r="G174">
        <v>14</v>
      </c>
      <c r="H174">
        <v>10</v>
      </c>
      <c r="I174">
        <v>7</v>
      </c>
      <c r="J174">
        <v>18</v>
      </c>
      <c r="K174">
        <v>27</v>
      </c>
      <c r="L174">
        <v>5</v>
      </c>
      <c r="M174">
        <v>24</v>
      </c>
      <c r="N174">
        <v>30</v>
      </c>
      <c r="O174">
        <v>197</v>
      </c>
    </row>
    <row r="175" spans="1:15" x14ac:dyDescent="0.25">
      <c r="A175" t="s">
        <v>546</v>
      </c>
      <c r="B175">
        <v>16</v>
      </c>
      <c r="C175">
        <v>13</v>
      </c>
      <c r="D175">
        <v>4</v>
      </c>
      <c r="E175">
        <v>9</v>
      </c>
      <c r="F175">
        <v>8</v>
      </c>
      <c r="G175">
        <v>6</v>
      </c>
      <c r="H175">
        <v>22</v>
      </c>
      <c r="I175">
        <v>5</v>
      </c>
      <c r="J175">
        <v>15</v>
      </c>
      <c r="K175">
        <v>5</v>
      </c>
      <c r="L175">
        <v>9</v>
      </c>
      <c r="M175">
        <v>14</v>
      </c>
      <c r="N175">
        <v>24</v>
      </c>
      <c r="O175">
        <v>126</v>
      </c>
    </row>
    <row r="176" spans="1:15" x14ac:dyDescent="0.25">
      <c r="A176" t="s">
        <v>554</v>
      </c>
      <c r="B176">
        <v>4</v>
      </c>
      <c r="C176">
        <v>10</v>
      </c>
      <c r="D176">
        <v>10</v>
      </c>
      <c r="E176">
        <v>21</v>
      </c>
      <c r="F176">
        <v>22</v>
      </c>
      <c r="G176">
        <v>0</v>
      </c>
      <c r="H176">
        <v>9</v>
      </c>
      <c r="I176">
        <v>1</v>
      </c>
      <c r="J176">
        <v>10</v>
      </c>
      <c r="K176">
        <v>35</v>
      </c>
      <c r="L176">
        <v>15</v>
      </c>
      <c r="M176">
        <v>10</v>
      </c>
      <c r="N176">
        <v>0</v>
      </c>
      <c r="O176">
        <v>147</v>
      </c>
    </row>
    <row r="177" spans="1:15" x14ac:dyDescent="0.25">
      <c r="A177" t="s">
        <v>557</v>
      </c>
      <c r="B177">
        <v>5</v>
      </c>
      <c r="C177">
        <v>11</v>
      </c>
      <c r="D177">
        <v>13</v>
      </c>
      <c r="E177">
        <v>14</v>
      </c>
      <c r="F177">
        <v>9</v>
      </c>
      <c r="G177">
        <v>11</v>
      </c>
      <c r="H177">
        <v>5</v>
      </c>
      <c r="I177">
        <v>11</v>
      </c>
      <c r="J177">
        <v>12</v>
      </c>
      <c r="K177">
        <v>24</v>
      </c>
      <c r="L177">
        <v>0</v>
      </c>
      <c r="M177">
        <v>15</v>
      </c>
      <c r="N177">
        <v>15</v>
      </c>
      <c r="O177">
        <v>130</v>
      </c>
    </row>
    <row r="178" spans="1:15" x14ac:dyDescent="0.25">
      <c r="A178" t="s">
        <v>559</v>
      </c>
      <c r="B178">
        <v>5</v>
      </c>
      <c r="C178">
        <v>0</v>
      </c>
      <c r="D178">
        <v>6</v>
      </c>
      <c r="E178">
        <v>5</v>
      </c>
      <c r="F178">
        <v>1</v>
      </c>
      <c r="G178">
        <v>0</v>
      </c>
      <c r="H178">
        <v>0</v>
      </c>
      <c r="I178">
        <v>0</v>
      </c>
      <c r="J178">
        <v>10</v>
      </c>
      <c r="K178">
        <v>10</v>
      </c>
      <c r="L178">
        <v>0</v>
      </c>
      <c r="M178">
        <v>8</v>
      </c>
      <c r="N178">
        <v>2</v>
      </c>
      <c r="O178">
        <v>45</v>
      </c>
    </row>
    <row r="179" spans="1:15" x14ac:dyDescent="0.25">
      <c r="A179" t="s">
        <v>459</v>
      </c>
      <c r="B179">
        <v>0</v>
      </c>
      <c r="C179">
        <v>0</v>
      </c>
      <c r="D179">
        <v>0</v>
      </c>
      <c r="E179">
        <v>2</v>
      </c>
      <c r="F179">
        <v>5</v>
      </c>
      <c r="G179">
        <v>4</v>
      </c>
      <c r="H179">
        <v>0</v>
      </c>
      <c r="I179">
        <v>4</v>
      </c>
      <c r="J179">
        <v>2</v>
      </c>
      <c r="K179">
        <v>1</v>
      </c>
      <c r="L179">
        <v>5</v>
      </c>
      <c r="M179">
        <v>3</v>
      </c>
      <c r="N179">
        <v>2</v>
      </c>
      <c r="O179">
        <v>26</v>
      </c>
    </row>
    <row r="180" spans="1:15" x14ac:dyDescent="0.25">
      <c r="A180" t="s">
        <v>463</v>
      </c>
      <c r="B180">
        <v>3</v>
      </c>
      <c r="C180">
        <v>1</v>
      </c>
      <c r="D180">
        <v>0</v>
      </c>
      <c r="E180">
        <v>3</v>
      </c>
      <c r="F180">
        <v>1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6</v>
      </c>
      <c r="M180">
        <v>0</v>
      </c>
      <c r="N180">
        <v>0</v>
      </c>
      <c r="O180">
        <v>15</v>
      </c>
    </row>
    <row r="181" spans="1:15" x14ac:dyDescent="0.25">
      <c r="A181" t="s">
        <v>465</v>
      </c>
      <c r="B181">
        <v>3</v>
      </c>
      <c r="C181">
        <v>15</v>
      </c>
      <c r="D181">
        <v>9</v>
      </c>
      <c r="E181">
        <v>1</v>
      </c>
      <c r="F181">
        <v>7</v>
      </c>
      <c r="G181">
        <v>12</v>
      </c>
      <c r="H181">
        <v>4</v>
      </c>
      <c r="I181">
        <v>19</v>
      </c>
      <c r="J181">
        <v>11</v>
      </c>
      <c r="K181">
        <v>9</v>
      </c>
      <c r="L181">
        <v>0</v>
      </c>
      <c r="M181">
        <v>11</v>
      </c>
      <c r="N181">
        <v>39</v>
      </c>
      <c r="O181">
        <v>101</v>
      </c>
    </row>
    <row r="182" spans="1:15" x14ac:dyDescent="0.25">
      <c r="A182" t="s">
        <v>468</v>
      </c>
      <c r="B182">
        <v>0</v>
      </c>
      <c r="C182">
        <v>2</v>
      </c>
      <c r="D182">
        <v>6</v>
      </c>
      <c r="E182">
        <v>5</v>
      </c>
      <c r="F182">
        <v>2</v>
      </c>
      <c r="G182">
        <v>2</v>
      </c>
      <c r="H182">
        <v>8</v>
      </c>
      <c r="I182">
        <v>12</v>
      </c>
      <c r="J182">
        <v>10</v>
      </c>
      <c r="K182">
        <v>2</v>
      </c>
      <c r="L182">
        <v>2</v>
      </c>
      <c r="M182">
        <v>9</v>
      </c>
      <c r="N182">
        <v>34</v>
      </c>
      <c r="O182">
        <v>60</v>
      </c>
    </row>
    <row r="183" spans="1:15" x14ac:dyDescent="0.25">
      <c r="A183" t="s">
        <v>470</v>
      </c>
      <c r="B183">
        <v>1</v>
      </c>
      <c r="C183">
        <v>0</v>
      </c>
      <c r="D183">
        <v>8</v>
      </c>
      <c r="E183">
        <v>2</v>
      </c>
      <c r="F183">
        <v>0</v>
      </c>
      <c r="G183">
        <v>0</v>
      </c>
      <c r="H183">
        <v>7</v>
      </c>
      <c r="I183">
        <v>2</v>
      </c>
      <c r="J183">
        <v>0</v>
      </c>
      <c r="K183">
        <v>3</v>
      </c>
      <c r="L183">
        <v>0</v>
      </c>
      <c r="M183">
        <v>1</v>
      </c>
      <c r="N183">
        <v>15</v>
      </c>
      <c r="O183">
        <v>24</v>
      </c>
    </row>
    <row r="184" spans="1:15" x14ac:dyDescent="0.25">
      <c r="A184" t="s">
        <v>478</v>
      </c>
      <c r="B184">
        <v>4</v>
      </c>
      <c r="C184">
        <v>3</v>
      </c>
      <c r="D184">
        <v>0</v>
      </c>
      <c r="E184">
        <v>1</v>
      </c>
      <c r="F184">
        <v>1</v>
      </c>
      <c r="G184">
        <v>0</v>
      </c>
      <c r="H184">
        <v>0</v>
      </c>
      <c r="I184">
        <v>3</v>
      </c>
      <c r="J184">
        <v>2</v>
      </c>
      <c r="K184">
        <v>4</v>
      </c>
      <c r="L184">
        <v>3</v>
      </c>
      <c r="M184">
        <v>0</v>
      </c>
      <c r="N184">
        <v>2</v>
      </c>
      <c r="O184">
        <v>21</v>
      </c>
    </row>
    <row r="185" spans="1:15" x14ac:dyDescent="0.25">
      <c r="A185" t="s">
        <v>481</v>
      </c>
      <c r="B185">
        <v>0</v>
      </c>
      <c r="C185">
        <v>4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2</v>
      </c>
      <c r="N185">
        <v>15</v>
      </c>
      <c r="O185">
        <v>8</v>
      </c>
    </row>
    <row r="186" spans="1:15" x14ac:dyDescent="0.25">
      <c r="A186" t="s">
        <v>483</v>
      </c>
      <c r="B186">
        <v>0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4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12</v>
      </c>
      <c r="O186">
        <v>7</v>
      </c>
    </row>
    <row r="187" spans="1:15" x14ac:dyDescent="0.25">
      <c r="A187" t="s">
        <v>76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10</v>
      </c>
      <c r="M187">
        <v>0</v>
      </c>
      <c r="N187">
        <v>4</v>
      </c>
      <c r="O187">
        <v>11</v>
      </c>
    </row>
    <row r="188" spans="1:15" x14ac:dyDescent="0.25">
      <c r="A188" t="s">
        <v>80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t="s">
        <v>176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1</v>
      </c>
    </row>
    <row r="190" spans="1:15" x14ac:dyDescent="0.25">
      <c r="A190" t="s">
        <v>177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</v>
      </c>
    </row>
    <row r="191" spans="1:15" x14ac:dyDescent="0.25">
      <c r="A191" t="s">
        <v>170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1</v>
      </c>
    </row>
    <row r="192" spans="1:15" x14ac:dyDescent="0.25">
      <c r="A192" t="s">
        <v>169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</v>
      </c>
    </row>
    <row r="193" spans="1:15" x14ac:dyDescent="0.25">
      <c r="A193" t="s">
        <v>567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10</v>
      </c>
      <c r="O193">
        <v>0</v>
      </c>
    </row>
    <row r="194" spans="1:15" x14ac:dyDescent="0.25">
      <c r="A194" t="s">
        <v>594</v>
      </c>
      <c r="B194">
        <v>1396</v>
      </c>
      <c r="C194">
        <v>2700</v>
      </c>
      <c r="D194">
        <v>1276</v>
      </c>
      <c r="E194">
        <v>980</v>
      </c>
      <c r="F194">
        <v>1260</v>
      </c>
      <c r="G194">
        <v>724</v>
      </c>
      <c r="H194">
        <v>1000</v>
      </c>
      <c r="I194">
        <v>616</v>
      </c>
      <c r="J194">
        <v>0</v>
      </c>
      <c r="K194">
        <v>0</v>
      </c>
      <c r="L194">
        <v>12</v>
      </c>
      <c r="M194">
        <v>608</v>
      </c>
      <c r="N194">
        <v>2912</v>
      </c>
      <c r="O194">
        <v>10572</v>
      </c>
    </row>
    <row r="195" spans="1:15" x14ac:dyDescent="0.25">
      <c r="A195" t="s">
        <v>595</v>
      </c>
      <c r="B195">
        <v>1452</v>
      </c>
      <c r="C195">
        <v>2532</v>
      </c>
      <c r="D195">
        <v>1224</v>
      </c>
      <c r="E195">
        <v>1100</v>
      </c>
      <c r="F195">
        <v>1684</v>
      </c>
      <c r="G195">
        <v>664</v>
      </c>
      <c r="H195">
        <v>1024</v>
      </c>
      <c r="I195">
        <v>612</v>
      </c>
      <c r="J195">
        <v>396</v>
      </c>
      <c r="K195">
        <v>164</v>
      </c>
      <c r="L195">
        <v>272</v>
      </c>
      <c r="M195">
        <v>576</v>
      </c>
      <c r="N195">
        <v>3352</v>
      </c>
      <c r="O195">
        <v>11700</v>
      </c>
    </row>
    <row r="196" spans="1:15" x14ac:dyDescent="0.25">
      <c r="A196" t="s">
        <v>599</v>
      </c>
      <c r="B196">
        <v>528</v>
      </c>
      <c r="C196">
        <v>628</v>
      </c>
      <c r="D196">
        <v>896</v>
      </c>
      <c r="E196">
        <v>588</v>
      </c>
      <c r="F196">
        <v>584</v>
      </c>
      <c r="G196">
        <v>476</v>
      </c>
      <c r="H196">
        <v>796</v>
      </c>
      <c r="I196">
        <v>572</v>
      </c>
      <c r="J196">
        <v>1604</v>
      </c>
      <c r="K196">
        <v>1472</v>
      </c>
      <c r="L196">
        <v>1692</v>
      </c>
      <c r="M196">
        <v>1204</v>
      </c>
      <c r="N196">
        <v>1676</v>
      </c>
      <c r="O196">
        <v>11040</v>
      </c>
    </row>
    <row r="197" spans="1:15" x14ac:dyDescent="0.25">
      <c r="A197" t="s">
        <v>600</v>
      </c>
      <c r="B197">
        <v>768</v>
      </c>
      <c r="C197">
        <v>932</v>
      </c>
      <c r="D197">
        <v>1232</v>
      </c>
      <c r="E197">
        <v>1152</v>
      </c>
      <c r="F197">
        <v>776</v>
      </c>
      <c r="G197">
        <v>568</v>
      </c>
      <c r="H197">
        <v>956</v>
      </c>
      <c r="I197">
        <v>664</v>
      </c>
      <c r="J197">
        <v>1456</v>
      </c>
      <c r="K197">
        <v>1408</v>
      </c>
      <c r="L197">
        <v>1660</v>
      </c>
      <c r="M197">
        <v>1260</v>
      </c>
      <c r="N197">
        <v>2244</v>
      </c>
      <c r="O197">
        <v>12832</v>
      </c>
    </row>
    <row r="198" spans="1:15" x14ac:dyDescent="0.25">
      <c r="A198" t="s">
        <v>998</v>
      </c>
      <c r="B198">
        <v>40</v>
      </c>
      <c r="C198">
        <v>60</v>
      </c>
      <c r="D198">
        <v>0</v>
      </c>
      <c r="E198">
        <v>0</v>
      </c>
      <c r="F198">
        <v>28</v>
      </c>
      <c r="G198">
        <v>8</v>
      </c>
      <c r="H198">
        <v>8</v>
      </c>
      <c r="I198">
        <v>4</v>
      </c>
      <c r="J198">
        <v>28</v>
      </c>
      <c r="K198">
        <v>4</v>
      </c>
      <c r="L198">
        <v>-20</v>
      </c>
      <c r="M198">
        <v>4</v>
      </c>
      <c r="N198">
        <v>136</v>
      </c>
      <c r="O198">
        <v>164</v>
      </c>
    </row>
    <row r="199" spans="1:15" x14ac:dyDescent="0.25">
      <c r="A199" t="s">
        <v>1002</v>
      </c>
      <c r="B199">
        <v>40</v>
      </c>
      <c r="C199">
        <v>60</v>
      </c>
      <c r="D199">
        <v>0</v>
      </c>
      <c r="E199">
        <v>0</v>
      </c>
      <c r="F199">
        <v>8</v>
      </c>
      <c r="G199">
        <v>28</v>
      </c>
      <c r="H199">
        <v>16</v>
      </c>
      <c r="I199">
        <v>44</v>
      </c>
      <c r="J199">
        <v>16</v>
      </c>
      <c r="K199">
        <v>8</v>
      </c>
      <c r="L199">
        <v>-20</v>
      </c>
      <c r="M199">
        <v>4</v>
      </c>
      <c r="N199">
        <v>156</v>
      </c>
      <c r="O199">
        <v>204</v>
      </c>
    </row>
    <row r="200" spans="1:15" x14ac:dyDescent="0.25">
      <c r="A200" t="s">
        <v>596</v>
      </c>
      <c r="B200">
        <v>4800</v>
      </c>
      <c r="C200">
        <v>1448</v>
      </c>
      <c r="D200">
        <v>2440</v>
      </c>
      <c r="E200">
        <v>852</v>
      </c>
      <c r="F200">
        <v>4128</v>
      </c>
      <c r="G200">
        <v>1020</v>
      </c>
      <c r="H200">
        <v>4324</v>
      </c>
      <c r="I200">
        <v>3904</v>
      </c>
      <c r="J200">
        <v>2612</v>
      </c>
      <c r="K200">
        <v>2672</v>
      </c>
      <c r="L200">
        <v>480</v>
      </c>
      <c r="M200">
        <v>0</v>
      </c>
      <c r="N200">
        <v>0</v>
      </c>
      <c r="O200">
        <v>28680</v>
      </c>
    </row>
    <row r="201" spans="1:15" x14ac:dyDescent="0.25">
      <c r="A201" t="s">
        <v>597</v>
      </c>
      <c r="B201">
        <v>4452</v>
      </c>
      <c r="C201">
        <v>1552</v>
      </c>
      <c r="D201">
        <v>2828</v>
      </c>
      <c r="E201">
        <v>52</v>
      </c>
      <c r="F201">
        <v>7020</v>
      </c>
      <c r="G201">
        <v>2556</v>
      </c>
      <c r="H201">
        <v>5988</v>
      </c>
      <c r="I201">
        <v>5208</v>
      </c>
      <c r="J201">
        <v>4188</v>
      </c>
      <c r="K201">
        <v>3200</v>
      </c>
      <c r="L201">
        <v>2156</v>
      </c>
      <c r="M201">
        <v>400</v>
      </c>
      <c r="N201">
        <v>0</v>
      </c>
      <c r="O201">
        <v>39600</v>
      </c>
    </row>
    <row r="202" spans="1:15" x14ac:dyDescent="0.25">
      <c r="A202" t="s">
        <v>601</v>
      </c>
      <c r="B202">
        <v>1712</v>
      </c>
      <c r="C202">
        <v>1528</v>
      </c>
      <c r="D202">
        <v>4032</v>
      </c>
      <c r="E202">
        <v>704</v>
      </c>
      <c r="F202">
        <v>3256</v>
      </c>
      <c r="G202">
        <v>560</v>
      </c>
      <c r="H202">
        <v>1196</v>
      </c>
      <c r="I202">
        <v>412</v>
      </c>
      <c r="J202">
        <v>1588</v>
      </c>
      <c r="K202">
        <v>1688</v>
      </c>
      <c r="L202">
        <v>2660</v>
      </c>
      <c r="M202">
        <v>2756</v>
      </c>
      <c r="N202">
        <v>2444</v>
      </c>
      <c r="O202">
        <v>22092</v>
      </c>
    </row>
    <row r="203" spans="1:15" x14ac:dyDescent="0.25">
      <c r="A203" t="s">
        <v>602</v>
      </c>
      <c r="B203">
        <v>2448</v>
      </c>
      <c r="C203">
        <v>2592</v>
      </c>
      <c r="D203">
        <v>4632</v>
      </c>
      <c r="E203">
        <v>1224</v>
      </c>
      <c r="F203">
        <v>3744</v>
      </c>
      <c r="G203">
        <v>732</v>
      </c>
      <c r="H203">
        <v>1364</v>
      </c>
      <c r="I203">
        <v>0</v>
      </c>
      <c r="J203">
        <v>3308</v>
      </c>
      <c r="K203">
        <v>2036</v>
      </c>
      <c r="L203">
        <v>3048</v>
      </c>
      <c r="M203">
        <v>4264</v>
      </c>
      <c r="N203">
        <v>2704</v>
      </c>
      <c r="O203">
        <v>29392</v>
      </c>
    </row>
    <row r="204" spans="1:15" x14ac:dyDescent="0.25">
      <c r="A204" t="s">
        <v>1006</v>
      </c>
      <c r="B204">
        <v>264</v>
      </c>
      <c r="C204">
        <v>88</v>
      </c>
      <c r="D204">
        <v>8</v>
      </c>
      <c r="E204">
        <v>40</v>
      </c>
      <c r="F204">
        <v>20</v>
      </c>
      <c r="G204">
        <v>28</v>
      </c>
      <c r="H204">
        <v>16</v>
      </c>
      <c r="I204">
        <v>12</v>
      </c>
      <c r="J204">
        <v>0</v>
      </c>
      <c r="K204">
        <v>8</v>
      </c>
      <c r="L204">
        <v>-20</v>
      </c>
      <c r="M204">
        <v>8</v>
      </c>
      <c r="N204">
        <v>328</v>
      </c>
      <c r="O204">
        <v>472</v>
      </c>
    </row>
    <row r="205" spans="1:15" x14ac:dyDescent="0.25">
      <c r="A205" t="s">
        <v>1007</v>
      </c>
      <c r="B205">
        <v>20</v>
      </c>
      <c r="C205">
        <v>0</v>
      </c>
      <c r="D205">
        <v>0</v>
      </c>
      <c r="E205">
        <v>8</v>
      </c>
      <c r="F205">
        <v>0</v>
      </c>
      <c r="G205">
        <v>0</v>
      </c>
      <c r="H205">
        <v>0</v>
      </c>
      <c r="I205">
        <v>8</v>
      </c>
      <c r="J205">
        <v>0</v>
      </c>
      <c r="K205">
        <v>4</v>
      </c>
      <c r="L205">
        <v>0</v>
      </c>
      <c r="M205">
        <v>0</v>
      </c>
      <c r="N205">
        <v>60</v>
      </c>
      <c r="O205">
        <v>40</v>
      </c>
    </row>
    <row r="206" spans="1:15" x14ac:dyDescent="0.25">
      <c r="A206" t="s">
        <v>1010</v>
      </c>
      <c r="B206">
        <v>264</v>
      </c>
      <c r="C206">
        <v>96</v>
      </c>
      <c r="D206">
        <v>0</v>
      </c>
      <c r="E206">
        <v>40</v>
      </c>
      <c r="F206">
        <v>20</v>
      </c>
      <c r="G206">
        <v>32</v>
      </c>
      <c r="H206">
        <v>8</v>
      </c>
      <c r="I206">
        <v>56</v>
      </c>
      <c r="J206">
        <v>8</v>
      </c>
      <c r="K206">
        <v>0</v>
      </c>
      <c r="L206">
        <v>-12</v>
      </c>
      <c r="M206">
        <v>52</v>
      </c>
      <c r="N206">
        <v>316</v>
      </c>
      <c r="O206">
        <v>564</v>
      </c>
    </row>
    <row r="207" spans="1:15" x14ac:dyDescent="0.25">
      <c r="A207" t="s">
        <v>1011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12</v>
      </c>
      <c r="L207">
        <v>20</v>
      </c>
      <c r="M207">
        <v>0</v>
      </c>
      <c r="N207">
        <v>68</v>
      </c>
      <c r="O207">
        <v>32</v>
      </c>
    </row>
    <row r="208" spans="1:15" x14ac:dyDescent="0.25">
      <c r="A208" t="s">
        <v>598</v>
      </c>
      <c r="B208">
        <v>0</v>
      </c>
      <c r="C208">
        <v>0</v>
      </c>
      <c r="D208">
        <v>0</v>
      </c>
      <c r="E208">
        <v>0</v>
      </c>
      <c r="F208">
        <v>1240</v>
      </c>
      <c r="G208">
        <v>1728</v>
      </c>
      <c r="H208">
        <v>480</v>
      </c>
      <c r="I208">
        <v>0</v>
      </c>
      <c r="J208">
        <v>1568</v>
      </c>
      <c r="K208">
        <v>864</v>
      </c>
      <c r="L208">
        <v>0</v>
      </c>
      <c r="M208">
        <v>0</v>
      </c>
      <c r="N208">
        <v>16</v>
      </c>
      <c r="O208">
        <v>5880</v>
      </c>
    </row>
    <row r="209" spans="1:15" x14ac:dyDescent="0.25">
      <c r="A209" t="s">
        <v>972</v>
      </c>
      <c r="B209">
        <v>0</v>
      </c>
      <c r="C209">
        <v>0</v>
      </c>
      <c r="D209">
        <v>0</v>
      </c>
      <c r="E209">
        <v>0</v>
      </c>
      <c r="F209">
        <v>12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20</v>
      </c>
      <c r="O209">
        <v>12</v>
      </c>
    </row>
    <row r="210" spans="1:15" x14ac:dyDescent="0.25">
      <c r="A210" t="s">
        <v>705</v>
      </c>
      <c r="B210">
        <v>8</v>
      </c>
      <c r="C210">
        <v>0</v>
      </c>
      <c r="D210">
        <v>12</v>
      </c>
      <c r="E210">
        <v>12</v>
      </c>
      <c r="F210">
        <v>0</v>
      </c>
      <c r="G210">
        <v>0</v>
      </c>
      <c r="H210">
        <v>8</v>
      </c>
      <c r="I210">
        <v>32</v>
      </c>
      <c r="J210">
        <v>-20</v>
      </c>
      <c r="K210">
        <v>0</v>
      </c>
      <c r="L210">
        <v>20</v>
      </c>
      <c r="M210">
        <v>0</v>
      </c>
      <c r="N210">
        <v>20</v>
      </c>
      <c r="O210">
        <v>72</v>
      </c>
    </row>
    <row r="211" spans="1:15" x14ac:dyDescent="0.25">
      <c r="A211" t="s">
        <v>590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20</v>
      </c>
      <c r="O211">
        <v>0</v>
      </c>
    </row>
    <row r="212" spans="1:15" x14ac:dyDescent="0.25">
      <c r="A212" t="s">
        <v>977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 t="s">
        <v>592</v>
      </c>
      <c r="B213">
        <v>3</v>
      </c>
      <c r="C213">
        <v>45</v>
      </c>
      <c r="D213">
        <v>15</v>
      </c>
      <c r="E213">
        <v>15</v>
      </c>
      <c r="F213">
        <v>0</v>
      </c>
      <c r="G213">
        <v>36</v>
      </c>
      <c r="H213">
        <v>8</v>
      </c>
      <c r="I213">
        <v>0</v>
      </c>
      <c r="J213">
        <v>42</v>
      </c>
      <c r="K213">
        <v>0</v>
      </c>
      <c r="L213">
        <v>12</v>
      </c>
      <c r="M213">
        <v>45</v>
      </c>
      <c r="N213">
        <v>51</v>
      </c>
      <c r="O213">
        <v>221</v>
      </c>
    </row>
    <row r="214" spans="1:15" x14ac:dyDescent="0.25">
      <c r="A214" t="s">
        <v>975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t="s">
        <v>591</v>
      </c>
      <c r="B215">
        <v>0</v>
      </c>
      <c r="C215">
        <v>16</v>
      </c>
      <c r="D215">
        <v>64</v>
      </c>
      <c r="E215">
        <v>32</v>
      </c>
      <c r="F215">
        <v>32</v>
      </c>
      <c r="G215">
        <v>16</v>
      </c>
      <c r="H215">
        <v>76</v>
      </c>
      <c r="I215">
        <v>0</v>
      </c>
      <c r="J215">
        <v>0</v>
      </c>
      <c r="K215">
        <v>0</v>
      </c>
      <c r="L215">
        <v>0</v>
      </c>
      <c r="M215">
        <v>68</v>
      </c>
      <c r="N215">
        <v>132</v>
      </c>
      <c r="O215">
        <v>304</v>
      </c>
    </row>
    <row r="216" spans="1:15" x14ac:dyDescent="0.25">
      <c r="A216" t="s">
        <v>1709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20</v>
      </c>
      <c r="O216">
        <v>0</v>
      </c>
    </row>
    <row r="217" spans="1:15" x14ac:dyDescent="0.25">
      <c r="A217" t="s">
        <v>979</v>
      </c>
      <c r="B217">
        <v>8</v>
      </c>
      <c r="C217">
        <v>16</v>
      </c>
      <c r="D217">
        <v>36</v>
      </c>
      <c r="E217">
        <v>0</v>
      </c>
      <c r="F217">
        <v>8</v>
      </c>
      <c r="G217">
        <v>44</v>
      </c>
      <c r="H217">
        <v>80</v>
      </c>
      <c r="I217">
        <v>48</v>
      </c>
      <c r="J217">
        <v>40</v>
      </c>
      <c r="K217">
        <v>16</v>
      </c>
      <c r="L217">
        <v>0</v>
      </c>
      <c r="M217">
        <v>24</v>
      </c>
      <c r="N217">
        <v>192</v>
      </c>
      <c r="O217">
        <v>320</v>
      </c>
    </row>
    <row r="218" spans="1:15" x14ac:dyDescent="0.25">
      <c r="A218" t="s">
        <v>1710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4</v>
      </c>
      <c r="O218">
        <v>0</v>
      </c>
    </row>
    <row r="219" spans="1:15" x14ac:dyDescent="0.25">
      <c r="A219" t="s">
        <v>1713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4</v>
      </c>
      <c r="O219">
        <v>0</v>
      </c>
    </row>
    <row r="220" spans="1:15" x14ac:dyDescent="0.25">
      <c r="A220" t="s">
        <v>1715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20</v>
      </c>
      <c r="O220">
        <v>0</v>
      </c>
    </row>
    <row r="221" spans="1:15" x14ac:dyDescent="0.25">
      <c r="A221" t="s">
        <v>1717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8</v>
      </c>
      <c r="O221">
        <v>0</v>
      </c>
    </row>
    <row r="222" spans="1:15" x14ac:dyDescent="0.25">
      <c r="A222" t="s">
        <v>984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t="s">
        <v>606</v>
      </c>
      <c r="B223">
        <v>112</v>
      </c>
      <c r="C223">
        <v>212</v>
      </c>
      <c r="D223">
        <v>180</v>
      </c>
      <c r="E223">
        <v>136</v>
      </c>
      <c r="F223">
        <v>80</v>
      </c>
      <c r="G223">
        <v>156</v>
      </c>
      <c r="H223">
        <v>244</v>
      </c>
      <c r="I223">
        <v>36</v>
      </c>
      <c r="J223">
        <v>184</v>
      </c>
      <c r="K223">
        <v>152</v>
      </c>
      <c r="L223">
        <v>44</v>
      </c>
      <c r="M223">
        <v>16</v>
      </c>
      <c r="N223">
        <v>632</v>
      </c>
      <c r="O223">
        <v>1552</v>
      </c>
    </row>
    <row r="224" spans="1:15" x14ac:dyDescent="0.25">
      <c r="A224" t="s">
        <v>604</v>
      </c>
      <c r="B224">
        <v>48</v>
      </c>
      <c r="C224">
        <v>40</v>
      </c>
      <c r="D224">
        <v>60</v>
      </c>
      <c r="E224">
        <v>92</v>
      </c>
      <c r="F224">
        <v>40</v>
      </c>
      <c r="G224">
        <v>16</v>
      </c>
      <c r="H224">
        <v>40</v>
      </c>
      <c r="I224">
        <v>48</v>
      </c>
      <c r="J224">
        <v>60</v>
      </c>
      <c r="K224">
        <v>16</v>
      </c>
      <c r="L224">
        <v>48</v>
      </c>
      <c r="M224">
        <v>84</v>
      </c>
      <c r="N224">
        <v>152</v>
      </c>
      <c r="O224">
        <v>592</v>
      </c>
    </row>
    <row r="225" spans="1:15" x14ac:dyDescent="0.25">
      <c r="A225" t="s">
        <v>605</v>
      </c>
      <c r="B225">
        <v>16</v>
      </c>
      <c r="C225">
        <v>36</v>
      </c>
      <c r="D225">
        <v>48</v>
      </c>
      <c r="E225">
        <v>80</v>
      </c>
      <c r="F225">
        <v>36</v>
      </c>
      <c r="G225">
        <v>16</v>
      </c>
      <c r="H225">
        <v>20</v>
      </c>
      <c r="I225">
        <v>48</v>
      </c>
      <c r="J225">
        <v>60</v>
      </c>
      <c r="K225">
        <v>16</v>
      </c>
      <c r="L225">
        <v>72</v>
      </c>
      <c r="M225">
        <v>52</v>
      </c>
      <c r="N225">
        <v>144</v>
      </c>
      <c r="O225">
        <v>500</v>
      </c>
    </row>
    <row r="226" spans="1:15" x14ac:dyDescent="0.25">
      <c r="A226" t="s">
        <v>1722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4</v>
      </c>
      <c r="O226">
        <v>0</v>
      </c>
    </row>
    <row r="227" spans="1:15" x14ac:dyDescent="0.25">
      <c r="A227" t="s">
        <v>608</v>
      </c>
      <c r="B227">
        <v>0</v>
      </c>
      <c r="C227">
        <v>0</v>
      </c>
      <c r="D227">
        <v>348</v>
      </c>
      <c r="E227">
        <v>152</v>
      </c>
      <c r="F227">
        <v>96</v>
      </c>
      <c r="G227">
        <v>16</v>
      </c>
      <c r="H227">
        <v>212</v>
      </c>
      <c r="I227">
        <v>228</v>
      </c>
      <c r="J227">
        <v>180</v>
      </c>
      <c r="K227">
        <v>88</v>
      </c>
      <c r="L227">
        <v>32</v>
      </c>
      <c r="M227">
        <v>248</v>
      </c>
      <c r="N227">
        <v>620</v>
      </c>
      <c r="O227">
        <v>1600</v>
      </c>
    </row>
    <row r="228" spans="1:15" x14ac:dyDescent="0.25">
      <c r="A228" t="s">
        <v>607</v>
      </c>
      <c r="B228">
        <v>0</v>
      </c>
      <c r="C228">
        <v>0</v>
      </c>
      <c r="D228">
        <v>168</v>
      </c>
      <c r="E228">
        <v>392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24</v>
      </c>
      <c r="N228">
        <v>696</v>
      </c>
      <c r="O228">
        <v>584</v>
      </c>
    </row>
    <row r="229" spans="1:15" x14ac:dyDescent="0.25">
      <c r="A229" t="s">
        <v>1045</v>
      </c>
      <c r="B229">
        <v>64</v>
      </c>
      <c r="C229">
        <v>188</v>
      </c>
      <c r="D229">
        <v>64</v>
      </c>
      <c r="E229">
        <v>8</v>
      </c>
      <c r="F229">
        <v>24</v>
      </c>
      <c r="G229">
        <v>80</v>
      </c>
      <c r="H229">
        <v>24</v>
      </c>
      <c r="I229">
        <v>4</v>
      </c>
      <c r="J229">
        <v>4</v>
      </c>
      <c r="K229">
        <v>36</v>
      </c>
      <c r="L229">
        <v>-4</v>
      </c>
      <c r="M229">
        <v>28</v>
      </c>
      <c r="N229">
        <v>324</v>
      </c>
      <c r="O229">
        <v>520</v>
      </c>
    </row>
    <row r="230" spans="1:15" x14ac:dyDescent="0.25">
      <c r="A230" t="s">
        <v>1046</v>
      </c>
      <c r="B230">
        <v>0</v>
      </c>
      <c r="C230">
        <v>0</v>
      </c>
      <c r="D230">
        <v>8</v>
      </c>
      <c r="E230">
        <v>0</v>
      </c>
      <c r="F230">
        <v>8</v>
      </c>
      <c r="G230">
        <v>0</v>
      </c>
      <c r="H230">
        <v>0</v>
      </c>
      <c r="I230">
        <v>20</v>
      </c>
      <c r="J230">
        <v>0</v>
      </c>
      <c r="K230">
        <v>12</v>
      </c>
      <c r="L230">
        <v>4</v>
      </c>
      <c r="M230">
        <v>0</v>
      </c>
      <c r="N230">
        <v>264</v>
      </c>
      <c r="O230">
        <v>52</v>
      </c>
    </row>
    <row r="231" spans="1:15" x14ac:dyDescent="0.25">
      <c r="A231" t="s">
        <v>1044</v>
      </c>
      <c r="B231">
        <v>0</v>
      </c>
      <c r="C231">
        <v>0</v>
      </c>
      <c r="D231">
        <v>220</v>
      </c>
      <c r="E231">
        <v>240</v>
      </c>
      <c r="F231">
        <v>208</v>
      </c>
      <c r="G231">
        <v>132</v>
      </c>
      <c r="H231">
        <v>64</v>
      </c>
      <c r="I231">
        <v>140</v>
      </c>
      <c r="J231">
        <v>156</v>
      </c>
      <c r="K231">
        <v>88</v>
      </c>
      <c r="L231">
        <v>0</v>
      </c>
      <c r="M231">
        <v>120</v>
      </c>
      <c r="N231">
        <v>792</v>
      </c>
      <c r="O231">
        <v>1368</v>
      </c>
    </row>
    <row r="232" spans="1:15" x14ac:dyDescent="0.25">
      <c r="A232" t="s">
        <v>609</v>
      </c>
      <c r="B232">
        <v>324</v>
      </c>
      <c r="C232">
        <v>404</v>
      </c>
      <c r="D232">
        <v>320</v>
      </c>
      <c r="E232">
        <v>436</v>
      </c>
      <c r="F232">
        <v>32</v>
      </c>
      <c r="G232">
        <v>160</v>
      </c>
      <c r="H232">
        <v>220</v>
      </c>
      <c r="I232">
        <v>208</v>
      </c>
      <c r="J232">
        <v>344</v>
      </c>
      <c r="K232">
        <v>56</v>
      </c>
      <c r="L232">
        <v>172</v>
      </c>
      <c r="M232">
        <v>364</v>
      </c>
      <c r="N232">
        <v>840</v>
      </c>
      <c r="O232">
        <v>3040</v>
      </c>
    </row>
    <row r="233" spans="1:15" x14ac:dyDescent="0.25">
      <c r="A233" t="s">
        <v>610</v>
      </c>
      <c r="B233">
        <v>0</v>
      </c>
      <c r="C233">
        <v>0</v>
      </c>
      <c r="D233">
        <v>112</v>
      </c>
      <c r="E233">
        <v>352</v>
      </c>
      <c r="F233">
        <v>104</v>
      </c>
      <c r="G233">
        <v>68</v>
      </c>
      <c r="H233">
        <v>4</v>
      </c>
      <c r="I233">
        <v>0</v>
      </c>
      <c r="J233">
        <v>0</v>
      </c>
      <c r="K233">
        <v>0</v>
      </c>
      <c r="L233">
        <v>0</v>
      </c>
      <c r="M233">
        <v>108</v>
      </c>
      <c r="N233">
        <v>612</v>
      </c>
      <c r="O233">
        <v>748</v>
      </c>
    </row>
    <row r="234" spans="1:15" x14ac:dyDescent="0.25">
      <c r="A234" t="s">
        <v>612</v>
      </c>
      <c r="B234">
        <v>0</v>
      </c>
      <c r="C234">
        <v>0</v>
      </c>
      <c r="D234">
        <v>540</v>
      </c>
      <c r="E234">
        <v>160</v>
      </c>
      <c r="F234">
        <v>20</v>
      </c>
      <c r="G234">
        <v>0</v>
      </c>
      <c r="H234">
        <v>252</v>
      </c>
      <c r="I234">
        <v>216</v>
      </c>
      <c r="J234">
        <v>216</v>
      </c>
      <c r="K234">
        <v>72</v>
      </c>
      <c r="L234">
        <v>56</v>
      </c>
      <c r="M234">
        <v>508</v>
      </c>
      <c r="N234">
        <v>360</v>
      </c>
      <c r="O234">
        <v>2040</v>
      </c>
    </row>
    <row r="235" spans="1:15" x14ac:dyDescent="0.25">
      <c r="A235" t="s">
        <v>1048</v>
      </c>
      <c r="B235">
        <v>36</v>
      </c>
      <c r="C235">
        <v>60</v>
      </c>
      <c r="D235">
        <v>64</v>
      </c>
      <c r="E235">
        <v>140</v>
      </c>
      <c r="F235">
        <v>32</v>
      </c>
      <c r="G235">
        <v>52</v>
      </c>
      <c r="H235">
        <v>24</v>
      </c>
      <c r="I235">
        <v>32</v>
      </c>
      <c r="J235">
        <v>4</v>
      </c>
      <c r="K235">
        <v>32</v>
      </c>
      <c r="L235">
        <v>24</v>
      </c>
      <c r="M235">
        <v>16</v>
      </c>
      <c r="N235">
        <v>436</v>
      </c>
      <c r="O235">
        <v>516</v>
      </c>
    </row>
    <row r="236" spans="1:15" x14ac:dyDescent="0.25">
      <c r="A236" t="s">
        <v>611</v>
      </c>
      <c r="B236">
        <v>0</v>
      </c>
      <c r="C236">
        <v>0</v>
      </c>
      <c r="D236">
        <v>184</v>
      </c>
      <c r="E236">
        <v>264</v>
      </c>
      <c r="F236">
        <v>100</v>
      </c>
      <c r="G236">
        <v>212</v>
      </c>
      <c r="H236">
        <v>116</v>
      </c>
      <c r="I236">
        <v>116</v>
      </c>
      <c r="J236">
        <v>112</v>
      </c>
      <c r="K236">
        <v>136</v>
      </c>
      <c r="L236">
        <v>48</v>
      </c>
      <c r="M236">
        <v>228</v>
      </c>
      <c r="N236">
        <v>524</v>
      </c>
      <c r="O236">
        <v>1516</v>
      </c>
    </row>
    <row r="237" spans="1:15" x14ac:dyDescent="0.25">
      <c r="A237" t="s">
        <v>613</v>
      </c>
      <c r="B237">
        <v>608</v>
      </c>
      <c r="C237">
        <v>204</v>
      </c>
      <c r="D237">
        <v>480</v>
      </c>
      <c r="E237">
        <v>432</v>
      </c>
      <c r="F237">
        <v>68</v>
      </c>
      <c r="G237">
        <v>48</v>
      </c>
      <c r="H237">
        <v>176</v>
      </c>
      <c r="I237">
        <v>272</v>
      </c>
      <c r="J237">
        <v>300</v>
      </c>
      <c r="K237">
        <v>92</v>
      </c>
      <c r="L237">
        <v>300</v>
      </c>
      <c r="M237">
        <v>412</v>
      </c>
      <c r="N237">
        <v>608</v>
      </c>
      <c r="O237">
        <v>3392</v>
      </c>
    </row>
    <row r="238" spans="1:15" x14ac:dyDescent="0.25">
      <c r="A238" t="s">
        <v>1049</v>
      </c>
      <c r="B238">
        <v>0</v>
      </c>
      <c r="C238">
        <v>0</v>
      </c>
      <c r="D238">
        <v>92</v>
      </c>
      <c r="E238">
        <v>32</v>
      </c>
      <c r="F238">
        <v>20</v>
      </c>
      <c r="G238">
        <v>0</v>
      </c>
      <c r="H238">
        <v>0</v>
      </c>
      <c r="I238">
        <v>32</v>
      </c>
      <c r="J238">
        <v>40</v>
      </c>
      <c r="K238">
        <v>12</v>
      </c>
      <c r="L238">
        <v>12</v>
      </c>
      <c r="M238">
        <v>4</v>
      </c>
      <c r="N238">
        <v>268</v>
      </c>
      <c r="O238">
        <v>244</v>
      </c>
    </row>
    <row r="239" spans="1:15" x14ac:dyDescent="0.25">
      <c r="A239" t="s">
        <v>743</v>
      </c>
      <c r="B239">
        <v>32</v>
      </c>
      <c r="C239">
        <v>96</v>
      </c>
      <c r="D239">
        <v>144</v>
      </c>
      <c r="E239">
        <v>152</v>
      </c>
      <c r="F239">
        <v>104</v>
      </c>
      <c r="G239">
        <v>296</v>
      </c>
      <c r="H239">
        <v>40</v>
      </c>
      <c r="I239">
        <v>208</v>
      </c>
      <c r="J239">
        <v>88</v>
      </c>
      <c r="K239">
        <v>32</v>
      </c>
      <c r="L239">
        <v>64</v>
      </c>
      <c r="M239">
        <v>-16</v>
      </c>
      <c r="N239">
        <v>1456</v>
      </c>
      <c r="O239">
        <v>1240</v>
      </c>
    </row>
    <row r="240" spans="1:15" x14ac:dyDescent="0.25">
      <c r="A240" t="s">
        <v>1725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 t="s">
        <v>1057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25">
      <c r="A242" t="s">
        <v>1728</v>
      </c>
      <c r="B242">
        <v>0</v>
      </c>
      <c r="C242">
        <v>0</v>
      </c>
      <c r="D242">
        <v>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16</v>
      </c>
      <c r="O242">
        <v>8</v>
      </c>
    </row>
    <row r="243" spans="1:15" x14ac:dyDescent="0.25">
      <c r="A243" t="s">
        <v>1726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12</v>
      </c>
      <c r="O243">
        <v>0</v>
      </c>
    </row>
    <row r="244" spans="1:15" x14ac:dyDescent="0.25">
      <c r="A244" t="s">
        <v>1727</v>
      </c>
      <c r="B244">
        <v>0</v>
      </c>
      <c r="C244">
        <v>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12</v>
      </c>
      <c r="O244">
        <v>8</v>
      </c>
    </row>
    <row r="245" spans="1:15" x14ac:dyDescent="0.25">
      <c r="A245" t="s">
        <v>1729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20</v>
      </c>
      <c r="O245">
        <v>0</v>
      </c>
    </row>
    <row r="246" spans="1:15" x14ac:dyDescent="0.25">
      <c r="A246" t="s">
        <v>1730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36</v>
      </c>
      <c r="O246">
        <v>0</v>
      </c>
    </row>
    <row r="247" spans="1:15" x14ac:dyDescent="0.25">
      <c r="A247" t="s">
        <v>1064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 t="s">
        <v>1731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32</v>
      </c>
      <c r="O248">
        <v>0</v>
      </c>
    </row>
    <row r="249" spans="1:15" x14ac:dyDescent="0.25">
      <c r="A249" t="s">
        <v>1733</v>
      </c>
      <c r="B249">
        <v>0</v>
      </c>
      <c r="C249">
        <v>0</v>
      </c>
      <c r="D249">
        <v>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16</v>
      </c>
      <c r="O249">
        <v>8</v>
      </c>
    </row>
    <row r="250" spans="1:15" x14ac:dyDescent="0.25">
      <c r="A250" t="s">
        <v>1732</v>
      </c>
      <c r="B250">
        <v>0</v>
      </c>
      <c r="C250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12</v>
      </c>
      <c r="O250">
        <v>8</v>
      </c>
    </row>
    <row r="251" spans="1:15" x14ac:dyDescent="0.25">
      <c r="A251" t="s">
        <v>1734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20</v>
      </c>
      <c r="O251">
        <v>0</v>
      </c>
    </row>
    <row r="252" spans="1:15" x14ac:dyDescent="0.25">
      <c r="A252" t="s">
        <v>986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25">
      <c r="A253" t="s">
        <v>988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 t="s">
        <v>1719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 t="s">
        <v>1720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 t="s">
        <v>1017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 t="s">
        <v>603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 t="s">
        <v>1721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 t="s">
        <v>1021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 t="s">
        <v>1020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 t="s">
        <v>1022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 t="s">
        <v>614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 t="s">
        <v>615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 t="s">
        <v>701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24</v>
      </c>
      <c r="J264">
        <v>40</v>
      </c>
      <c r="K264">
        <v>16</v>
      </c>
      <c r="L264">
        <v>0</v>
      </c>
      <c r="M264">
        <v>0</v>
      </c>
      <c r="N264">
        <v>0</v>
      </c>
      <c r="O264">
        <v>80</v>
      </c>
    </row>
    <row r="265" spans="1:15" x14ac:dyDescent="0.25">
      <c r="A265" t="s">
        <v>1083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4</v>
      </c>
      <c r="J265">
        <v>0</v>
      </c>
      <c r="K265">
        <v>0</v>
      </c>
      <c r="L265">
        <v>4</v>
      </c>
      <c r="M265">
        <v>0</v>
      </c>
      <c r="N265">
        <v>8</v>
      </c>
      <c r="O265">
        <v>8</v>
      </c>
    </row>
    <row r="266" spans="1:15" x14ac:dyDescent="0.25">
      <c r="A266" t="s">
        <v>1079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8</v>
      </c>
      <c r="J266">
        <v>0</v>
      </c>
      <c r="K266">
        <v>0</v>
      </c>
      <c r="L266">
        <v>0</v>
      </c>
      <c r="M266">
        <v>0</v>
      </c>
      <c r="N266">
        <v>16</v>
      </c>
      <c r="O266">
        <v>8</v>
      </c>
    </row>
    <row r="267" spans="1:15" x14ac:dyDescent="0.25">
      <c r="A267" t="s">
        <v>734</v>
      </c>
      <c r="B267">
        <v>16</v>
      </c>
      <c r="C267">
        <v>0</v>
      </c>
      <c r="D267">
        <v>8</v>
      </c>
      <c r="E267">
        <v>24</v>
      </c>
      <c r="F267">
        <v>0</v>
      </c>
      <c r="G267">
        <v>4</v>
      </c>
      <c r="H267">
        <v>12</v>
      </c>
      <c r="I267">
        <v>24</v>
      </c>
      <c r="J267">
        <v>4</v>
      </c>
      <c r="K267">
        <v>12</v>
      </c>
      <c r="L267">
        <v>0</v>
      </c>
      <c r="M267">
        <v>20</v>
      </c>
      <c r="N267">
        <v>36</v>
      </c>
      <c r="O267">
        <v>124</v>
      </c>
    </row>
    <row r="268" spans="1:15" x14ac:dyDescent="0.25">
      <c r="A268" t="s">
        <v>735</v>
      </c>
      <c r="B268">
        <v>20</v>
      </c>
      <c r="C268">
        <v>4</v>
      </c>
      <c r="D268">
        <v>36</v>
      </c>
      <c r="E268">
        <v>0</v>
      </c>
      <c r="F268">
        <v>4</v>
      </c>
      <c r="G268">
        <v>16</v>
      </c>
      <c r="H268">
        <v>4</v>
      </c>
      <c r="I268">
        <v>12</v>
      </c>
      <c r="J268">
        <v>4</v>
      </c>
      <c r="K268">
        <v>40</v>
      </c>
      <c r="L268">
        <v>0</v>
      </c>
      <c r="M268">
        <v>0</v>
      </c>
      <c r="N268">
        <v>40</v>
      </c>
      <c r="O268">
        <v>140</v>
      </c>
    </row>
    <row r="269" spans="1:15" x14ac:dyDescent="0.25">
      <c r="A269" t="s">
        <v>700</v>
      </c>
      <c r="B269">
        <v>16</v>
      </c>
      <c r="C269">
        <v>8</v>
      </c>
      <c r="D269">
        <v>0</v>
      </c>
      <c r="E269">
        <v>0</v>
      </c>
      <c r="F269">
        <v>0</v>
      </c>
      <c r="G269">
        <v>0</v>
      </c>
      <c r="H269">
        <v>8</v>
      </c>
      <c r="I269">
        <v>8</v>
      </c>
      <c r="J269">
        <v>0</v>
      </c>
      <c r="K269">
        <v>12</v>
      </c>
      <c r="L269">
        <v>12</v>
      </c>
      <c r="M269">
        <v>8</v>
      </c>
      <c r="N269">
        <v>12</v>
      </c>
      <c r="O269">
        <v>72</v>
      </c>
    </row>
    <row r="270" spans="1:15" x14ac:dyDescent="0.25">
      <c r="A270" t="s">
        <v>733</v>
      </c>
      <c r="B270">
        <v>16</v>
      </c>
      <c r="C270">
        <v>8</v>
      </c>
      <c r="D270">
        <v>4</v>
      </c>
      <c r="E270">
        <v>8</v>
      </c>
      <c r="F270">
        <v>0</v>
      </c>
      <c r="G270">
        <v>0</v>
      </c>
      <c r="H270">
        <v>28</v>
      </c>
      <c r="I270">
        <v>12</v>
      </c>
      <c r="J270">
        <v>0</v>
      </c>
      <c r="K270">
        <v>16</v>
      </c>
      <c r="L270">
        <v>0</v>
      </c>
      <c r="M270">
        <v>0</v>
      </c>
      <c r="N270">
        <v>64</v>
      </c>
      <c r="O270">
        <v>92</v>
      </c>
    </row>
    <row r="271" spans="1:15" x14ac:dyDescent="0.25">
      <c r="A271" t="s">
        <v>1075</v>
      </c>
      <c r="B271">
        <v>0</v>
      </c>
      <c r="C271">
        <v>0</v>
      </c>
      <c r="D271">
        <v>12</v>
      </c>
      <c r="E271">
        <v>4</v>
      </c>
      <c r="F271">
        <v>0</v>
      </c>
      <c r="G271">
        <v>-4</v>
      </c>
      <c r="H271">
        <v>0</v>
      </c>
      <c r="I271">
        <v>0</v>
      </c>
      <c r="J271">
        <v>0</v>
      </c>
      <c r="K271">
        <v>4</v>
      </c>
      <c r="L271">
        <v>0</v>
      </c>
      <c r="M271">
        <v>0</v>
      </c>
      <c r="N271">
        <v>44</v>
      </c>
      <c r="O271">
        <v>16</v>
      </c>
    </row>
    <row r="272" spans="1:15" x14ac:dyDescent="0.25">
      <c r="A272" t="s">
        <v>732</v>
      </c>
      <c r="B272">
        <v>20</v>
      </c>
      <c r="C272">
        <v>0</v>
      </c>
      <c r="D272">
        <v>40</v>
      </c>
      <c r="E272">
        <v>0</v>
      </c>
      <c r="F272">
        <v>0</v>
      </c>
      <c r="G272">
        <v>12</v>
      </c>
      <c r="H272">
        <v>12</v>
      </c>
      <c r="I272">
        <v>0</v>
      </c>
      <c r="J272">
        <v>4</v>
      </c>
      <c r="K272">
        <v>12</v>
      </c>
      <c r="L272">
        <v>4</v>
      </c>
      <c r="M272">
        <v>0</v>
      </c>
      <c r="N272">
        <v>36</v>
      </c>
      <c r="O272">
        <v>104</v>
      </c>
    </row>
    <row r="273" spans="1:15" x14ac:dyDescent="0.25">
      <c r="A273" t="s">
        <v>704</v>
      </c>
      <c r="B273">
        <v>20</v>
      </c>
      <c r="C273">
        <v>44</v>
      </c>
      <c r="D273">
        <v>96</v>
      </c>
      <c r="E273">
        <v>52</v>
      </c>
      <c r="F273">
        <v>20</v>
      </c>
      <c r="G273">
        <v>112</v>
      </c>
      <c r="H273">
        <v>4</v>
      </c>
      <c r="I273">
        <v>124</v>
      </c>
      <c r="J273">
        <v>20</v>
      </c>
      <c r="K273">
        <v>180</v>
      </c>
      <c r="L273">
        <v>176</v>
      </c>
      <c r="M273">
        <v>80</v>
      </c>
      <c r="N273">
        <v>120</v>
      </c>
      <c r="O273">
        <v>928</v>
      </c>
    </row>
    <row r="274" spans="1:15" x14ac:dyDescent="0.25">
      <c r="A274" t="s">
        <v>736</v>
      </c>
      <c r="B274">
        <v>4</v>
      </c>
      <c r="C274">
        <v>8</v>
      </c>
      <c r="D274">
        <v>0</v>
      </c>
      <c r="E274">
        <v>8</v>
      </c>
      <c r="F274">
        <v>4</v>
      </c>
      <c r="G274">
        <v>0</v>
      </c>
      <c r="H274">
        <v>0</v>
      </c>
      <c r="I274">
        <v>20</v>
      </c>
      <c r="J274">
        <v>0</v>
      </c>
      <c r="K274">
        <v>40</v>
      </c>
      <c r="L274">
        <v>8</v>
      </c>
      <c r="M274">
        <v>0</v>
      </c>
      <c r="N274">
        <v>16</v>
      </c>
      <c r="O274">
        <v>92</v>
      </c>
    </row>
    <row r="275" spans="1:15" x14ac:dyDescent="0.25">
      <c r="A275" t="s">
        <v>1093</v>
      </c>
      <c r="B275">
        <v>36</v>
      </c>
      <c r="C275">
        <v>40</v>
      </c>
      <c r="D275">
        <v>44</v>
      </c>
      <c r="E275">
        <v>4</v>
      </c>
      <c r="F275">
        <v>0</v>
      </c>
      <c r="G275">
        <v>4</v>
      </c>
      <c r="H275">
        <v>0</v>
      </c>
      <c r="I275">
        <v>116</v>
      </c>
      <c r="J275">
        <v>24</v>
      </c>
      <c r="K275">
        <v>16</v>
      </c>
      <c r="L275">
        <v>-20</v>
      </c>
      <c r="M275">
        <v>0</v>
      </c>
      <c r="N275">
        <v>200</v>
      </c>
      <c r="O275">
        <v>264</v>
      </c>
    </row>
    <row r="276" spans="1:15" x14ac:dyDescent="0.25">
      <c r="A276" t="s">
        <v>703</v>
      </c>
      <c r="B276">
        <v>260</v>
      </c>
      <c r="C276">
        <v>420</v>
      </c>
      <c r="D276">
        <v>212</v>
      </c>
      <c r="E276">
        <v>176</v>
      </c>
      <c r="F276">
        <v>140</v>
      </c>
      <c r="G276">
        <v>160</v>
      </c>
      <c r="H276">
        <v>336</v>
      </c>
      <c r="I276">
        <v>172</v>
      </c>
      <c r="J276">
        <v>148</v>
      </c>
      <c r="K276">
        <v>256</v>
      </c>
      <c r="L276">
        <v>272</v>
      </c>
      <c r="M276">
        <v>128</v>
      </c>
      <c r="N276">
        <v>200</v>
      </c>
      <c r="O276">
        <v>2680</v>
      </c>
    </row>
    <row r="277" spans="1:15" x14ac:dyDescent="0.25">
      <c r="A277" t="s">
        <v>1087</v>
      </c>
      <c r="B277">
        <v>0</v>
      </c>
      <c r="C277">
        <v>0</v>
      </c>
      <c r="D277">
        <v>4</v>
      </c>
      <c r="E277">
        <v>0</v>
      </c>
      <c r="F277">
        <v>4</v>
      </c>
      <c r="G277">
        <v>0</v>
      </c>
      <c r="H277">
        <v>4</v>
      </c>
      <c r="I277">
        <v>0</v>
      </c>
      <c r="J277">
        <v>0</v>
      </c>
      <c r="K277">
        <v>0</v>
      </c>
      <c r="L277">
        <v>4</v>
      </c>
      <c r="M277">
        <v>0</v>
      </c>
      <c r="N277">
        <v>8</v>
      </c>
      <c r="O277">
        <v>16</v>
      </c>
    </row>
    <row r="278" spans="1:15" x14ac:dyDescent="0.25">
      <c r="A278" t="s">
        <v>702</v>
      </c>
      <c r="B278">
        <v>40</v>
      </c>
      <c r="C278">
        <v>0</v>
      </c>
      <c r="D278">
        <v>80</v>
      </c>
      <c r="E278">
        <v>28</v>
      </c>
      <c r="F278">
        <v>16</v>
      </c>
      <c r="G278">
        <v>4</v>
      </c>
      <c r="H278">
        <v>8</v>
      </c>
      <c r="I278">
        <v>48</v>
      </c>
      <c r="J278">
        <v>16</v>
      </c>
      <c r="K278">
        <v>40</v>
      </c>
      <c r="L278">
        <v>76</v>
      </c>
      <c r="M278">
        <v>0</v>
      </c>
      <c r="N278">
        <v>0</v>
      </c>
      <c r="O278">
        <v>356</v>
      </c>
    </row>
    <row r="279" spans="1:15" x14ac:dyDescent="0.25">
      <c r="A279" t="s">
        <v>1086</v>
      </c>
      <c r="B279">
        <v>0</v>
      </c>
      <c r="C279">
        <v>0</v>
      </c>
      <c r="D279">
        <v>0</v>
      </c>
      <c r="E279">
        <v>0</v>
      </c>
      <c r="F279">
        <v>12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4</v>
      </c>
      <c r="M279">
        <v>0</v>
      </c>
      <c r="N279">
        <v>12</v>
      </c>
      <c r="O279">
        <v>16</v>
      </c>
    </row>
    <row r="280" spans="1:15" x14ac:dyDescent="0.25">
      <c r="A280" t="s">
        <v>1735</v>
      </c>
      <c r="B280">
        <v>16</v>
      </c>
      <c r="C280">
        <v>8</v>
      </c>
      <c r="D280">
        <v>0</v>
      </c>
      <c r="E280">
        <v>12</v>
      </c>
      <c r="F280">
        <v>4</v>
      </c>
      <c r="G280">
        <v>4</v>
      </c>
      <c r="H280">
        <v>16</v>
      </c>
      <c r="I280">
        <v>36</v>
      </c>
      <c r="J280">
        <v>8</v>
      </c>
      <c r="K280">
        <v>24</v>
      </c>
      <c r="L280">
        <v>0</v>
      </c>
      <c r="M280">
        <v>12</v>
      </c>
      <c r="N280">
        <v>68</v>
      </c>
      <c r="O280">
        <v>140</v>
      </c>
    </row>
    <row r="281" spans="1:15" x14ac:dyDescent="0.25">
      <c r="A281" t="s">
        <v>1071</v>
      </c>
      <c r="B281">
        <v>0</v>
      </c>
      <c r="C281">
        <v>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32</v>
      </c>
      <c r="O281">
        <v>8</v>
      </c>
    </row>
    <row r="282" spans="1:15" x14ac:dyDescent="0.25">
      <c r="A282" t="s">
        <v>1078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 t="s">
        <v>1736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 t="s">
        <v>1737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t="s">
        <v>1891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 t="s">
        <v>1126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 t="s">
        <v>659</v>
      </c>
      <c r="B287">
        <v>6</v>
      </c>
      <c r="C287">
        <v>1</v>
      </c>
      <c r="D287">
        <v>0</v>
      </c>
      <c r="E287">
        <v>0</v>
      </c>
      <c r="F287">
        <v>1</v>
      </c>
      <c r="G287">
        <v>0</v>
      </c>
      <c r="H287">
        <v>2</v>
      </c>
      <c r="I287">
        <v>0</v>
      </c>
      <c r="J287">
        <v>1</v>
      </c>
      <c r="K287">
        <v>1</v>
      </c>
      <c r="L287">
        <v>0</v>
      </c>
      <c r="M287">
        <v>0</v>
      </c>
      <c r="N287">
        <v>3</v>
      </c>
      <c r="O287">
        <v>12</v>
      </c>
    </row>
    <row r="288" spans="1:15" x14ac:dyDescent="0.25">
      <c r="A288" t="s">
        <v>660</v>
      </c>
      <c r="B288">
        <v>4</v>
      </c>
      <c r="C288">
        <v>2</v>
      </c>
      <c r="D288">
        <v>4</v>
      </c>
      <c r="E288">
        <v>3</v>
      </c>
      <c r="F288">
        <v>4</v>
      </c>
      <c r="G288">
        <v>3</v>
      </c>
      <c r="H288">
        <v>3</v>
      </c>
      <c r="I288">
        <v>0</v>
      </c>
      <c r="J288">
        <v>3</v>
      </c>
      <c r="K288">
        <v>2</v>
      </c>
      <c r="L288">
        <v>0</v>
      </c>
      <c r="M288">
        <v>1</v>
      </c>
      <c r="N288">
        <v>8</v>
      </c>
      <c r="O288">
        <v>29</v>
      </c>
    </row>
    <row r="289" spans="1:15" x14ac:dyDescent="0.25">
      <c r="A289" t="s">
        <v>661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3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7</v>
      </c>
      <c r="O289">
        <v>5</v>
      </c>
    </row>
    <row r="290" spans="1:15" x14ac:dyDescent="0.25">
      <c r="A290" t="s">
        <v>1139</v>
      </c>
      <c r="B290">
        <v>0</v>
      </c>
      <c r="C290">
        <v>0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2</v>
      </c>
      <c r="O290">
        <v>3</v>
      </c>
    </row>
    <row r="291" spans="1:15" x14ac:dyDescent="0.25">
      <c r="A291" t="s">
        <v>1140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</v>
      </c>
      <c r="O291">
        <v>0</v>
      </c>
    </row>
    <row r="292" spans="1:15" x14ac:dyDescent="0.25">
      <c r="A292" t="s">
        <v>662</v>
      </c>
      <c r="B292">
        <v>6</v>
      </c>
      <c r="C292">
        <v>0</v>
      </c>
      <c r="D292">
        <v>5</v>
      </c>
      <c r="E292">
        <v>0</v>
      </c>
      <c r="F292">
        <v>6</v>
      </c>
      <c r="G292">
        <v>4</v>
      </c>
      <c r="H292">
        <v>0</v>
      </c>
      <c r="I292">
        <v>0</v>
      </c>
      <c r="J292">
        <v>10</v>
      </c>
      <c r="K292">
        <v>0</v>
      </c>
      <c r="L292">
        <v>5</v>
      </c>
      <c r="M292">
        <v>3</v>
      </c>
      <c r="N292">
        <v>9</v>
      </c>
      <c r="O292">
        <v>39</v>
      </c>
    </row>
    <row r="293" spans="1:15" x14ac:dyDescent="0.25">
      <c r="A293" t="s">
        <v>663</v>
      </c>
      <c r="B293">
        <v>14</v>
      </c>
      <c r="C293">
        <v>0</v>
      </c>
      <c r="D293">
        <v>0</v>
      </c>
      <c r="E293">
        <v>0</v>
      </c>
      <c r="F293">
        <v>13</v>
      </c>
      <c r="G293">
        <v>2</v>
      </c>
      <c r="H293">
        <v>0</v>
      </c>
      <c r="I293">
        <v>0</v>
      </c>
      <c r="J293">
        <v>9</v>
      </c>
      <c r="K293">
        <v>0</v>
      </c>
      <c r="L293">
        <v>0</v>
      </c>
      <c r="M293">
        <v>0</v>
      </c>
      <c r="N293">
        <v>0</v>
      </c>
      <c r="O293">
        <v>38</v>
      </c>
    </row>
    <row r="294" spans="1:15" x14ac:dyDescent="0.25">
      <c r="A294" t="s">
        <v>711</v>
      </c>
      <c r="B294">
        <v>0</v>
      </c>
      <c r="C294">
        <v>0</v>
      </c>
      <c r="D294">
        <v>0</v>
      </c>
      <c r="E294">
        <v>0</v>
      </c>
      <c r="F294">
        <v>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11</v>
      </c>
      <c r="O294">
        <v>11</v>
      </c>
    </row>
    <row r="295" spans="1:15" x14ac:dyDescent="0.25">
      <c r="A295" t="s">
        <v>664</v>
      </c>
      <c r="B295">
        <v>0</v>
      </c>
      <c r="C295">
        <v>0</v>
      </c>
      <c r="D295">
        <v>2</v>
      </c>
      <c r="E295">
        <v>0</v>
      </c>
      <c r="F295">
        <v>0</v>
      </c>
      <c r="G295">
        <v>0</v>
      </c>
      <c r="H295">
        <v>2</v>
      </c>
      <c r="I295">
        <v>0</v>
      </c>
      <c r="J295">
        <v>0</v>
      </c>
      <c r="K295">
        <v>0</v>
      </c>
      <c r="L295">
        <v>1</v>
      </c>
      <c r="M295">
        <v>2</v>
      </c>
      <c r="N295">
        <v>0</v>
      </c>
      <c r="O295">
        <v>7</v>
      </c>
    </row>
    <row r="296" spans="1:15" x14ac:dyDescent="0.25">
      <c r="A296" t="s">
        <v>712</v>
      </c>
      <c r="B296">
        <v>0</v>
      </c>
      <c r="C296">
        <v>1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2</v>
      </c>
    </row>
    <row r="297" spans="1:15" x14ac:dyDescent="0.25">
      <c r="A297" t="s">
        <v>657</v>
      </c>
      <c r="B297">
        <v>1</v>
      </c>
      <c r="C297">
        <v>2</v>
      </c>
      <c r="D297">
        <v>0</v>
      </c>
      <c r="E297">
        <v>0</v>
      </c>
      <c r="F297">
        <v>1</v>
      </c>
      <c r="G297">
        <v>1</v>
      </c>
      <c r="H297">
        <v>0</v>
      </c>
      <c r="I297">
        <v>0</v>
      </c>
      <c r="J297">
        <v>1</v>
      </c>
      <c r="K297">
        <v>0</v>
      </c>
      <c r="L297">
        <v>1</v>
      </c>
      <c r="M297">
        <v>1</v>
      </c>
      <c r="N297">
        <v>1</v>
      </c>
      <c r="O297">
        <v>8</v>
      </c>
    </row>
    <row r="298" spans="1:15" x14ac:dyDescent="0.25">
      <c r="A298" t="s">
        <v>658</v>
      </c>
      <c r="B298">
        <v>3</v>
      </c>
      <c r="C298">
        <v>0</v>
      </c>
      <c r="D298">
        <v>2</v>
      </c>
      <c r="E298">
        <v>0</v>
      </c>
      <c r="F298">
        <v>1</v>
      </c>
      <c r="G298">
        <v>3</v>
      </c>
      <c r="H298">
        <v>1</v>
      </c>
      <c r="I298">
        <v>0</v>
      </c>
      <c r="J298">
        <v>5</v>
      </c>
      <c r="K298">
        <v>1</v>
      </c>
      <c r="L298">
        <v>0</v>
      </c>
      <c r="M298">
        <v>0</v>
      </c>
      <c r="N298">
        <v>0</v>
      </c>
      <c r="O298">
        <v>16</v>
      </c>
    </row>
    <row r="299" spans="1:15" x14ac:dyDescent="0.25">
      <c r="A299" t="s">
        <v>710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1</v>
      </c>
      <c r="H299">
        <v>1</v>
      </c>
      <c r="I299">
        <v>1</v>
      </c>
      <c r="J299">
        <v>0</v>
      </c>
      <c r="K299">
        <v>0</v>
      </c>
      <c r="L299">
        <v>2</v>
      </c>
      <c r="M299">
        <v>0</v>
      </c>
      <c r="N299">
        <v>6</v>
      </c>
      <c r="O299">
        <v>6</v>
      </c>
    </row>
    <row r="300" spans="1:15" x14ac:dyDescent="0.25">
      <c r="A300" t="s">
        <v>1128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</v>
      </c>
      <c r="O300">
        <v>1</v>
      </c>
    </row>
    <row r="301" spans="1:15" x14ac:dyDescent="0.25">
      <c r="A301" t="s">
        <v>1130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</row>
    <row r="302" spans="1:15" x14ac:dyDescent="0.25">
      <c r="A302" t="s">
        <v>674</v>
      </c>
      <c r="B302">
        <v>0</v>
      </c>
      <c r="C302">
        <v>0</v>
      </c>
      <c r="D302">
        <v>3</v>
      </c>
      <c r="E302">
        <v>0</v>
      </c>
      <c r="F302">
        <v>0</v>
      </c>
      <c r="G302">
        <v>0</v>
      </c>
      <c r="H302">
        <v>4</v>
      </c>
      <c r="I302">
        <v>0</v>
      </c>
      <c r="J302">
        <v>0</v>
      </c>
      <c r="K302">
        <v>0</v>
      </c>
      <c r="L302">
        <v>1</v>
      </c>
      <c r="M302">
        <v>3</v>
      </c>
      <c r="N302">
        <v>2</v>
      </c>
      <c r="O302">
        <v>11</v>
      </c>
    </row>
    <row r="303" spans="1:15" x14ac:dyDescent="0.25">
      <c r="A303" t="s">
        <v>718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4</v>
      </c>
      <c r="M303">
        <v>0</v>
      </c>
      <c r="N303">
        <v>2</v>
      </c>
      <c r="O303">
        <v>4</v>
      </c>
    </row>
    <row r="304" spans="1:15" x14ac:dyDescent="0.25">
      <c r="A304" t="s">
        <v>1406</v>
      </c>
      <c r="B304">
        <v>0</v>
      </c>
      <c r="C304">
        <v>0</v>
      </c>
      <c r="D304">
        <v>0</v>
      </c>
      <c r="E304">
        <v>0</v>
      </c>
      <c r="F304">
        <v>2</v>
      </c>
      <c r="G304">
        <v>2</v>
      </c>
      <c r="H304">
        <v>3</v>
      </c>
      <c r="I304">
        <v>0</v>
      </c>
      <c r="J304">
        <v>0</v>
      </c>
      <c r="K304">
        <v>0</v>
      </c>
      <c r="L304">
        <v>0</v>
      </c>
      <c r="M304">
        <v>3</v>
      </c>
      <c r="N304">
        <v>4</v>
      </c>
      <c r="O304">
        <v>10</v>
      </c>
    </row>
    <row r="305" spans="1:15" x14ac:dyDescent="0.25">
      <c r="A305" t="s">
        <v>675</v>
      </c>
      <c r="B305">
        <v>0</v>
      </c>
      <c r="C305">
        <v>0</v>
      </c>
      <c r="D305">
        <v>3</v>
      </c>
      <c r="E305">
        <v>0</v>
      </c>
      <c r="F305">
        <v>0</v>
      </c>
      <c r="G305">
        <v>0</v>
      </c>
      <c r="H305">
        <v>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6</v>
      </c>
    </row>
    <row r="306" spans="1:15" x14ac:dyDescent="0.25">
      <c r="A306" t="s">
        <v>676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0</v>
      </c>
      <c r="O306">
        <v>2</v>
      </c>
    </row>
    <row r="307" spans="1:15" x14ac:dyDescent="0.25">
      <c r="A307" t="s">
        <v>683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3</v>
      </c>
      <c r="I307">
        <v>0</v>
      </c>
      <c r="J307">
        <v>0</v>
      </c>
      <c r="K307">
        <v>0</v>
      </c>
      <c r="L307">
        <v>10</v>
      </c>
      <c r="M307">
        <v>0</v>
      </c>
      <c r="N307">
        <v>0</v>
      </c>
      <c r="O307">
        <v>13</v>
      </c>
    </row>
    <row r="308" spans="1:15" x14ac:dyDescent="0.25">
      <c r="A308" t="s">
        <v>684</v>
      </c>
      <c r="B308">
        <v>0</v>
      </c>
      <c r="C308">
        <v>0</v>
      </c>
      <c r="D308">
        <v>3</v>
      </c>
      <c r="E308">
        <v>0</v>
      </c>
      <c r="F308">
        <v>5</v>
      </c>
      <c r="G308">
        <v>0</v>
      </c>
      <c r="H308">
        <v>7</v>
      </c>
      <c r="I308">
        <v>0</v>
      </c>
      <c r="J308">
        <v>2</v>
      </c>
      <c r="K308">
        <v>0</v>
      </c>
      <c r="L308">
        <v>12</v>
      </c>
      <c r="M308">
        <v>0</v>
      </c>
      <c r="N308">
        <v>4</v>
      </c>
      <c r="O308">
        <v>29</v>
      </c>
    </row>
    <row r="309" spans="1:15" x14ac:dyDescent="0.25">
      <c r="A309" t="s">
        <v>685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10</v>
      </c>
      <c r="M309">
        <v>0</v>
      </c>
      <c r="N309">
        <v>2</v>
      </c>
      <c r="O309">
        <v>10</v>
      </c>
    </row>
    <row r="310" spans="1:15" x14ac:dyDescent="0.25">
      <c r="A310" t="s">
        <v>686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10</v>
      </c>
      <c r="M310">
        <v>0</v>
      </c>
      <c r="N310">
        <v>0</v>
      </c>
      <c r="O310">
        <v>10</v>
      </c>
    </row>
    <row r="311" spans="1:15" x14ac:dyDescent="0.25">
      <c r="A311" t="s">
        <v>1739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4</v>
      </c>
      <c r="I311">
        <v>0</v>
      </c>
      <c r="J311">
        <v>0</v>
      </c>
      <c r="K311">
        <v>0</v>
      </c>
      <c r="L311">
        <v>5</v>
      </c>
      <c r="M311">
        <v>0</v>
      </c>
      <c r="N311">
        <v>0</v>
      </c>
      <c r="O311">
        <v>9</v>
      </c>
    </row>
    <row r="312" spans="1:15" x14ac:dyDescent="0.25">
      <c r="A312" t="s">
        <v>1740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</v>
      </c>
      <c r="I312">
        <v>0</v>
      </c>
      <c r="J312">
        <v>0</v>
      </c>
      <c r="K312">
        <v>0</v>
      </c>
      <c r="L312">
        <v>5</v>
      </c>
      <c r="M312">
        <v>0</v>
      </c>
      <c r="N312">
        <v>0</v>
      </c>
      <c r="O312">
        <v>7</v>
      </c>
    </row>
    <row r="313" spans="1:15" x14ac:dyDescent="0.25">
      <c r="A313" t="s">
        <v>1471</v>
      </c>
      <c r="B313">
        <v>0</v>
      </c>
      <c r="C313">
        <v>0</v>
      </c>
      <c r="D313">
        <v>2</v>
      </c>
      <c r="E313">
        <v>0</v>
      </c>
      <c r="F313">
        <v>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3</v>
      </c>
      <c r="O313">
        <v>7</v>
      </c>
    </row>
    <row r="314" spans="1:15" x14ac:dyDescent="0.25">
      <c r="A314" t="s">
        <v>687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8</v>
      </c>
      <c r="I314">
        <v>0</v>
      </c>
      <c r="J314">
        <v>0</v>
      </c>
      <c r="K314">
        <v>0</v>
      </c>
      <c r="L314">
        <v>26</v>
      </c>
      <c r="M314">
        <v>0</v>
      </c>
      <c r="N314">
        <v>0</v>
      </c>
      <c r="O314">
        <v>34</v>
      </c>
    </row>
    <row r="315" spans="1:15" x14ac:dyDescent="0.25">
      <c r="A315" t="s">
        <v>688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30</v>
      </c>
      <c r="I315">
        <v>0</v>
      </c>
      <c r="J315">
        <v>0</v>
      </c>
      <c r="K315">
        <v>0</v>
      </c>
      <c r="L315">
        <v>4</v>
      </c>
      <c r="M315">
        <v>0</v>
      </c>
      <c r="N315">
        <v>0</v>
      </c>
      <c r="O315">
        <v>34</v>
      </c>
    </row>
    <row r="316" spans="1:15" x14ac:dyDescent="0.25">
      <c r="A316" t="s">
        <v>689</v>
      </c>
      <c r="B316">
        <v>0</v>
      </c>
      <c r="C316">
        <v>0</v>
      </c>
      <c r="D316">
        <v>2</v>
      </c>
      <c r="E316">
        <v>0</v>
      </c>
      <c r="F316">
        <v>3</v>
      </c>
      <c r="G316">
        <v>0</v>
      </c>
      <c r="H316">
        <v>2</v>
      </c>
      <c r="I316">
        <v>0</v>
      </c>
      <c r="J316">
        <v>0</v>
      </c>
      <c r="K316">
        <v>0</v>
      </c>
      <c r="L316">
        <v>5</v>
      </c>
      <c r="M316">
        <v>0</v>
      </c>
      <c r="N316">
        <v>3</v>
      </c>
      <c r="O316">
        <v>12</v>
      </c>
    </row>
    <row r="317" spans="1:15" x14ac:dyDescent="0.25">
      <c r="A317" t="s">
        <v>726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4</v>
      </c>
      <c r="I317">
        <v>0</v>
      </c>
      <c r="J317">
        <v>0</v>
      </c>
      <c r="K317">
        <v>0</v>
      </c>
      <c r="L317">
        <v>5</v>
      </c>
      <c r="M317">
        <v>1</v>
      </c>
      <c r="N317">
        <v>3</v>
      </c>
      <c r="O317">
        <v>10</v>
      </c>
    </row>
    <row r="318" spans="1:15" x14ac:dyDescent="0.25">
      <c r="A318" t="s">
        <v>1741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</v>
      </c>
      <c r="I318">
        <v>0</v>
      </c>
      <c r="J318">
        <v>0</v>
      </c>
      <c r="K318">
        <v>0</v>
      </c>
      <c r="L318">
        <v>5</v>
      </c>
      <c r="M318">
        <v>0</v>
      </c>
      <c r="N318">
        <v>2</v>
      </c>
      <c r="O318">
        <v>7</v>
      </c>
    </row>
    <row r="319" spans="1:15" x14ac:dyDescent="0.25">
      <c r="A319" t="s">
        <v>690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</v>
      </c>
      <c r="I319">
        <v>0</v>
      </c>
      <c r="J319">
        <v>0</v>
      </c>
      <c r="K319">
        <v>0</v>
      </c>
      <c r="L319">
        <v>10</v>
      </c>
      <c r="M319">
        <v>0</v>
      </c>
      <c r="N319">
        <v>0</v>
      </c>
      <c r="O319">
        <v>13</v>
      </c>
    </row>
    <row r="320" spans="1:15" x14ac:dyDescent="0.25">
      <c r="A320" t="s">
        <v>691</v>
      </c>
      <c r="B320">
        <v>0</v>
      </c>
      <c r="C320">
        <v>0</v>
      </c>
      <c r="D320">
        <v>3</v>
      </c>
      <c r="E320">
        <v>0</v>
      </c>
      <c r="F320">
        <v>5</v>
      </c>
      <c r="G320">
        <v>0</v>
      </c>
      <c r="H320">
        <v>7</v>
      </c>
      <c r="I320">
        <v>0</v>
      </c>
      <c r="J320">
        <v>0</v>
      </c>
      <c r="K320">
        <v>2</v>
      </c>
      <c r="L320">
        <v>0</v>
      </c>
      <c r="M320">
        <v>0</v>
      </c>
      <c r="N320">
        <v>0</v>
      </c>
      <c r="O320">
        <v>17</v>
      </c>
    </row>
    <row r="321" spans="1:15" x14ac:dyDescent="0.25">
      <c r="A321" t="s">
        <v>727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10</v>
      </c>
      <c r="M321">
        <v>2</v>
      </c>
      <c r="N321">
        <v>0</v>
      </c>
      <c r="O321">
        <v>12</v>
      </c>
    </row>
    <row r="322" spans="1:15" x14ac:dyDescent="0.25">
      <c r="A322" t="s">
        <v>728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10</v>
      </c>
      <c r="M322">
        <v>0</v>
      </c>
      <c r="N322">
        <v>0</v>
      </c>
      <c r="O322">
        <v>10</v>
      </c>
    </row>
    <row r="323" spans="1:15" x14ac:dyDescent="0.25">
      <c r="A323" t="s">
        <v>1742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4</v>
      </c>
      <c r="I323">
        <v>0</v>
      </c>
      <c r="J323">
        <v>0</v>
      </c>
      <c r="K323">
        <v>0</v>
      </c>
      <c r="L323">
        <v>10</v>
      </c>
      <c r="M323">
        <v>0</v>
      </c>
      <c r="N323">
        <v>0</v>
      </c>
      <c r="O323">
        <v>14</v>
      </c>
    </row>
    <row r="324" spans="1:15" x14ac:dyDescent="0.25">
      <c r="A324" t="s">
        <v>1743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</v>
      </c>
      <c r="I324">
        <v>0</v>
      </c>
      <c r="J324">
        <v>0</v>
      </c>
      <c r="K324">
        <v>0</v>
      </c>
      <c r="L324">
        <v>5</v>
      </c>
      <c r="M324">
        <v>0</v>
      </c>
      <c r="N324">
        <v>0</v>
      </c>
      <c r="O324">
        <v>7</v>
      </c>
    </row>
    <row r="325" spans="1:15" x14ac:dyDescent="0.25">
      <c r="A325" t="s">
        <v>1479</v>
      </c>
      <c r="B325">
        <v>0</v>
      </c>
      <c r="C325">
        <v>0</v>
      </c>
      <c r="D325">
        <v>2</v>
      </c>
      <c r="E325">
        <v>0</v>
      </c>
      <c r="F325">
        <v>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7</v>
      </c>
    </row>
    <row r="326" spans="1:15" x14ac:dyDescent="0.25">
      <c r="A326" t="s">
        <v>692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</v>
      </c>
      <c r="I326">
        <v>0</v>
      </c>
      <c r="J326">
        <v>0</v>
      </c>
      <c r="K326">
        <v>0</v>
      </c>
      <c r="L326">
        <v>29</v>
      </c>
      <c r="M326">
        <v>0</v>
      </c>
      <c r="N326">
        <v>0</v>
      </c>
      <c r="O326">
        <v>31</v>
      </c>
    </row>
    <row r="327" spans="1:15" x14ac:dyDescent="0.25">
      <c r="A327" t="s">
        <v>693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10</v>
      </c>
      <c r="I327">
        <v>0</v>
      </c>
      <c r="J327">
        <v>0</v>
      </c>
      <c r="K327">
        <v>0</v>
      </c>
      <c r="L327">
        <v>14</v>
      </c>
      <c r="M327">
        <v>0</v>
      </c>
      <c r="N327">
        <v>0</v>
      </c>
      <c r="O327">
        <v>24</v>
      </c>
    </row>
    <row r="328" spans="1:15" x14ac:dyDescent="0.25">
      <c r="A328" t="s">
        <v>694</v>
      </c>
      <c r="B328">
        <v>0</v>
      </c>
      <c r="C328">
        <v>0</v>
      </c>
      <c r="D328">
        <v>2</v>
      </c>
      <c r="E328">
        <v>0</v>
      </c>
      <c r="F328">
        <v>3</v>
      </c>
      <c r="G328">
        <v>0</v>
      </c>
      <c r="H328">
        <v>2</v>
      </c>
      <c r="I328">
        <v>0</v>
      </c>
      <c r="J328">
        <v>0</v>
      </c>
      <c r="K328">
        <v>0</v>
      </c>
      <c r="L328">
        <v>5</v>
      </c>
      <c r="M328">
        <v>0</v>
      </c>
      <c r="N328">
        <v>3</v>
      </c>
      <c r="O328">
        <v>12</v>
      </c>
    </row>
    <row r="329" spans="1:15" x14ac:dyDescent="0.25">
      <c r="A329" t="s">
        <v>695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11</v>
      </c>
      <c r="M329">
        <v>3</v>
      </c>
      <c r="N329">
        <v>0</v>
      </c>
      <c r="O329">
        <v>14</v>
      </c>
    </row>
    <row r="330" spans="1:15" x14ac:dyDescent="0.25">
      <c r="A330" t="s">
        <v>696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10</v>
      </c>
    </row>
    <row r="331" spans="1:15" x14ac:dyDescent="0.25">
      <c r="A331" t="s">
        <v>1320</v>
      </c>
      <c r="B331">
        <v>0</v>
      </c>
      <c r="C331">
        <v>1</v>
      </c>
      <c r="D331">
        <v>6</v>
      </c>
      <c r="E331">
        <v>0</v>
      </c>
      <c r="F331">
        <v>0</v>
      </c>
      <c r="G331">
        <v>1</v>
      </c>
      <c r="H331">
        <v>5</v>
      </c>
      <c r="I331">
        <v>0</v>
      </c>
      <c r="J331">
        <v>0</v>
      </c>
      <c r="K331">
        <v>1</v>
      </c>
      <c r="L331">
        <v>0</v>
      </c>
      <c r="M331">
        <v>6</v>
      </c>
      <c r="N331">
        <v>122</v>
      </c>
      <c r="O331">
        <v>20</v>
      </c>
    </row>
    <row r="332" spans="1:15" x14ac:dyDescent="0.25">
      <c r="A332" t="s">
        <v>668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10</v>
      </c>
      <c r="M332">
        <v>0</v>
      </c>
      <c r="N332">
        <v>0</v>
      </c>
      <c r="O332">
        <v>10</v>
      </c>
    </row>
    <row r="333" spans="1:15" x14ac:dyDescent="0.25">
      <c r="A333" t="s">
        <v>1323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 t="s">
        <v>1330</v>
      </c>
      <c r="B334">
        <v>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4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3</v>
      </c>
      <c r="O334">
        <v>9</v>
      </c>
    </row>
    <row r="335" spans="1:15" x14ac:dyDescent="0.25">
      <c r="A335" t="s">
        <v>1331</v>
      </c>
      <c r="B335">
        <v>1</v>
      </c>
      <c r="C335">
        <v>0</v>
      </c>
      <c r="D335">
        <v>0</v>
      </c>
      <c r="E335">
        <v>0</v>
      </c>
      <c r="F335">
        <v>4</v>
      </c>
      <c r="G335">
        <v>2</v>
      </c>
      <c r="H335">
        <v>1</v>
      </c>
      <c r="I335">
        <v>4</v>
      </c>
      <c r="J335">
        <v>1</v>
      </c>
      <c r="K335">
        <v>0</v>
      </c>
      <c r="L335">
        <v>2</v>
      </c>
      <c r="M335">
        <v>2</v>
      </c>
      <c r="N335">
        <v>7</v>
      </c>
      <c r="O335">
        <v>17</v>
      </c>
    </row>
    <row r="336" spans="1:15" x14ac:dyDescent="0.25">
      <c r="A336" t="s">
        <v>1335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</v>
      </c>
    </row>
    <row r="337" spans="1:15" x14ac:dyDescent="0.25">
      <c r="A337" t="s">
        <v>669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</v>
      </c>
      <c r="I337">
        <v>0</v>
      </c>
      <c r="J337">
        <v>0</v>
      </c>
      <c r="K337">
        <v>0</v>
      </c>
      <c r="L337">
        <v>2</v>
      </c>
      <c r="M337">
        <v>1</v>
      </c>
      <c r="N337">
        <v>0</v>
      </c>
      <c r="O337">
        <v>5</v>
      </c>
    </row>
    <row r="338" spans="1:15" x14ac:dyDescent="0.25">
      <c r="A338" t="s">
        <v>1738</v>
      </c>
      <c r="B338">
        <v>0</v>
      </c>
      <c r="C338">
        <v>0</v>
      </c>
      <c r="D338">
        <v>0</v>
      </c>
      <c r="E338">
        <v>2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3</v>
      </c>
      <c r="O338">
        <v>3</v>
      </c>
    </row>
    <row r="339" spans="1:15" x14ac:dyDescent="0.25">
      <c r="A339" t="s">
        <v>681</v>
      </c>
      <c r="B339">
        <v>0</v>
      </c>
      <c r="C339">
        <v>0</v>
      </c>
      <c r="D339">
        <v>2</v>
      </c>
      <c r="E339">
        <v>0</v>
      </c>
      <c r="F339">
        <v>1</v>
      </c>
      <c r="G339">
        <v>0</v>
      </c>
      <c r="H339">
        <v>4</v>
      </c>
      <c r="I339">
        <v>0</v>
      </c>
      <c r="J339">
        <v>0</v>
      </c>
      <c r="K339">
        <v>0</v>
      </c>
      <c r="L339">
        <v>4</v>
      </c>
      <c r="M339">
        <v>1</v>
      </c>
      <c r="N339">
        <v>0</v>
      </c>
      <c r="O339">
        <v>12</v>
      </c>
    </row>
    <row r="340" spans="1:15" x14ac:dyDescent="0.25">
      <c r="A340" t="s">
        <v>682</v>
      </c>
      <c r="B340">
        <v>0</v>
      </c>
      <c r="C340">
        <v>0</v>
      </c>
      <c r="D340">
        <v>3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</v>
      </c>
      <c r="M340">
        <v>1</v>
      </c>
      <c r="N340">
        <v>2</v>
      </c>
      <c r="O340">
        <v>9</v>
      </c>
    </row>
    <row r="341" spans="1:15" x14ac:dyDescent="0.25">
      <c r="A341" t="s">
        <v>1438</v>
      </c>
      <c r="B341">
        <v>0</v>
      </c>
      <c r="C341">
        <v>0</v>
      </c>
      <c r="D341">
        <v>3</v>
      </c>
      <c r="E341">
        <v>0</v>
      </c>
      <c r="F341">
        <v>1</v>
      </c>
      <c r="G341">
        <v>0</v>
      </c>
      <c r="H341">
        <v>5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4</v>
      </c>
      <c r="O341">
        <v>9</v>
      </c>
    </row>
    <row r="342" spans="1:15" x14ac:dyDescent="0.25">
      <c r="A342" t="s">
        <v>1439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2</v>
      </c>
      <c r="O342">
        <v>0</v>
      </c>
    </row>
    <row r="343" spans="1:15" x14ac:dyDescent="0.25">
      <c r="A343" t="s">
        <v>1442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2</v>
      </c>
      <c r="O343">
        <v>3</v>
      </c>
    </row>
    <row r="344" spans="1:15" x14ac:dyDescent="0.25">
      <c r="A344" t="s">
        <v>1301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</v>
      </c>
      <c r="I344">
        <v>0</v>
      </c>
      <c r="J344">
        <v>0</v>
      </c>
      <c r="K344">
        <v>0</v>
      </c>
      <c r="L344">
        <v>3</v>
      </c>
      <c r="M344">
        <v>0</v>
      </c>
      <c r="N344">
        <v>5</v>
      </c>
      <c r="O344">
        <v>5</v>
      </c>
    </row>
    <row r="345" spans="1:15" x14ac:dyDescent="0.25">
      <c r="A345" t="s">
        <v>665</v>
      </c>
      <c r="B345">
        <v>0</v>
      </c>
      <c r="C345">
        <v>0</v>
      </c>
      <c r="D345">
        <v>3</v>
      </c>
      <c r="E345">
        <v>0</v>
      </c>
      <c r="F345">
        <v>5</v>
      </c>
      <c r="G345">
        <v>0</v>
      </c>
      <c r="H345">
        <v>2</v>
      </c>
      <c r="I345">
        <v>4</v>
      </c>
      <c r="J345">
        <v>0</v>
      </c>
      <c r="K345">
        <v>0</v>
      </c>
      <c r="L345">
        <v>4</v>
      </c>
      <c r="M345">
        <v>0</v>
      </c>
      <c r="N345">
        <v>3</v>
      </c>
      <c r="O345">
        <v>18</v>
      </c>
    </row>
    <row r="346" spans="1:15" x14ac:dyDescent="0.25">
      <c r="A346" t="s">
        <v>716</v>
      </c>
      <c r="B346">
        <v>0</v>
      </c>
      <c r="C346">
        <v>0</v>
      </c>
      <c r="D346">
        <v>2</v>
      </c>
      <c r="E346">
        <v>0</v>
      </c>
      <c r="F346">
        <v>2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2</v>
      </c>
      <c r="M346">
        <v>0</v>
      </c>
      <c r="N346">
        <v>1</v>
      </c>
      <c r="O346">
        <v>8</v>
      </c>
    </row>
    <row r="347" spans="1:15" x14ac:dyDescent="0.25">
      <c r="A347" t="s">
        <v>1315</v>
      </c>
      <c r="B347">
        <v>0</v>
      </c>
      <c r="C347">
        <v>0</v>
      </c>
      <c r="D347">
        <v>1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</v>
      </c>
      <c r="M347">
        <v>0</v>
      </c>
      <c r="N347">
        <v>0</v>
      </c>
      <c r="O347">
        <v>4</v>
      </c>
    </row>
    <row r="348" spans="1:15" x14ac:dyDescent="0.25">
      <c r="A348" t="s">
        <v>1410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8</v>
      </c>
      <c r="I348">
        <v>0</v>
      </c>
      <c r="J348">
        <v>0</v>
      </c>
      <c r="K348">
        <v>0</v>
      </c>
      <c r="L348">
        <v>5</v>
      </c>
      <c r="M348">
        <v>0</v>
      </c>
      <c r="N348">
        <v>0</v>
      </c>
      <c r="O348">
        <v>14</v>
      </c>
    </row>
    <row r="349" spans="1:15" x14ac:dyDescent="0.25">
      <c r="A349" t="s">
        <v>679</v>
      </c>
      <c r="B349">
        <v>0</v>
      </c>
      <c r="C349">
        <v>0</v>
      </c>
      <c r="D349">
        <v>3</v>
      </c>
      <c r="E349">
        <v>1</v>
      </c>
      <c r="F349">
        <v>6</v>
      </c>
      <c r="G349">
        <v>0</v>
      </c>
      <c r="H349">
        <v>6</v>
      </c>
      <c r="I349">
        <v>0</v>
      </c>
      <c r="J349">
        <v>0</v>
      </c>
      <c r="K349">
        <v>0</v>
      </c>
      <c r="L349">
        <v>7</v>
      </c>
      <c r="M349">
        <v>0</v>
      </c>
      <c r="N349">
        <v>0</v>
      </c>
      <c r="O349">
        <v>23</v>
      </c>
    </row>
    <row r="350" spans="1:15" x14ac:dyDescent="0.25">
      <c r="A350" t="s">
        <v>680</v>
      </c>
      <c r="B350">
        <v>0</v>
      </c>
      <c r="C350">
        <v>0</v>
      </c>
      <c r="D350">
        <v>2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2</v>
      </c>
      <c r="M350">
        <v>0</v>
      </c>
      <c r="N350">
        <v>0</v>
      </c>
      <c r="O350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9"/>
  <sheetViews>
    <sheetView workbookViewId="0"/>
  </sheetViews>
  <sheetFormatPr defaultRowHeight="15" x14ac:dyDescent="0.25"/>
  <cols>
    <col min="1" max="1" width="24" customWidth="1"/>
    <col min="2" max="15" width="10" customWidth="1"/>
  </cols>
  <sheetData>
    <row r="1" spans="1:15" x14ac:dyDescent="0.25">
      <c r="A1" t="s">
        <v>0</v>
      </c>
      <c r="B1" t="s">
        <v>776</v>
      </c>
      <c r="C1" t="s">
        <v>777</v>
      </c>
      <c r="D1" t="s">
        <v>778</v>
      </c>
      <c r="E1" t="s">
        <v>779</v>
      </c>
      <c r="F1" t="s">
        <v>780</v>
      </c>
      <c r="G1" t="s">
        <v>781</v>
      </c>
      <c r="H1" t="s">
        <v>782</v>
      </c>
      <c r="I1" t="s">
        <v>783</v>
      </c>
      <c r="J1" t="s">
        <v>784</v>
      </c>
      <c r="K1" t="s">
        <v>785</v>
      </c>
      <c r="L1" t="s">
        <v>786</v>
      </c>
      <c r="M1" t="s">
        <v>787</v>
      </c>
      <c r="N1" t="s">
        <v>774</v>
      </c>
      <c r="O1" t="s">
        <v>788</v>
      </c>
    </row>
    <row r="2" spans="1:15" x14ac:dyDescent="0.25">
      <c r="A2" t="s">
        <v>984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  <c r="K2">
        <v>200</v>
      </c>
      <c r="L2">
        <v>0</v>
      </c>
      <c r="M2">
        <v>0</v>
      </c>
      <c r="N2">
        <v>348</v>
      </c>
      <c r="O2">
        <v>240</v>
      </c>
    </row>
    <row r="3" spans="1:15" x14ac:dyDescent="0.25">
      <c r="A3" t="s">
        <v>986</v>
      </c>
      <c r="B3">
        <v>0</v>
      </c>
      <c r="C3">
        <v>0</v>
      </c>
      <c r="D3">
        <v>820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2400</v>
      </c>
      <c r="O3">
        <v>820</v>
      </c>
    </row>
    <row r="4" spans="1:15" x14ac:dyDescent="0.25">
      <c r="A4" t="s">
        <v>988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12000</v>
      </c>
      <c r="O4">
        <v>0</v>
      </c>
    </row>
    <row r="5" spans="1:15" x14ac:dyDescent="0.25">
      <c r="A5" t="s">
        <v>598</v>
      </c>
      <c r="B5">
        <v>32</v>
      </c>
      <c r="C5">
        <v>216</v>
      </c>
      <c r="D5">
        <v>240</v>
      </c>
      <c r="E5">
        <v>192</v>
      </c>
      <c r="F5">
        <v>208</v>
      </c>
      <c r="G5">
        <v>0</v>
      </c>
      <c r="H5">
        <v>400</v>
      </c>
      <c r="I5">
        <v>0</v>
      </c>
      <c r="J5">
        <v>2128</v>
      </c>
      <c r="K5">
        <v>192</v>
      </c>
      <c r="L5">
        <v>0</v>
      </c>
      <c r="M5">
        <v>0</v>
      </c>
      <c r="N5">
        <v>0</v>
      </c>
      <c r="O5">
        <v>3608</v>
      </c>
    </row>
    <row r="6" spans="1:15" x14ac:dyDescent="0.25">
      <c r="A6" t="s">
        <v>741</v>
      </c>
      <c r="B6">
        <v>0</v>
      </c>
      <c r="C6">
        <v>0</v>
      </c>
      <c r="D6">
        <v>0</v>
      </c>
      <c r="E6">
        <v>16</v>
      </c>
      <c r="F6">
        <v>64</v>
      </c>
      <c r="G6">
        <v>0</v>
      </c>
      <c r="H6">
        <v>0</v>
      </c>
      <c r="I6">
        <v>0</v>
      </c>
      <c r="J6">
        <v>0</v>
      </c>
      <c r="K6">
        <v>80</v>
      </c>
      <c r="L6">
        <v>0</v>
      </c>
      <c r="M6">
        <v>0</v>
      </c>
      <c r="N6">
        <v>0</v>
      </c>
      <c r="O6">
        <v>160</v>
      </c>
    </row>
    <row r="7" spans="1:15" x14ac:dyDescent="0.25">
      <c r="A7" t="s">
        <v>742</v>
      </c>
      <c r="B7">
        <v>0</v>
      </c>
      <c r="C7">
        <v>0</v>
      </c>
      <c r="D7">
        <v>0</v>
      </c>
      <c r="E7">
        <v>32</v>
      </c>
      <c r="F7">
        <v>48</v>
      </c>
      <c r="G7">
        <v>0</v>
      </c>
      <c r="H7">
        <v>0</v>
      </c>
      <c r="I7">
        <v>0</v>
      </c>
      <c r="J7">
        <v>0</v>
      </c>
      <c r="K7">
        <v>80</v>
      </c>
      <c r="L7">
        <v>0</v>
      </c>
      <c r="M7">
        <v>0</v>
      </c>
      <c r="N7">
        <v>0</v>
      </c>
      <c r="O7">
        <v>160</v>
      </c>
    </row>
    <row r="8" spans="1:15" x14ac:dyDescent="0.25">
      <c r="A8" t="s">
        <v>743</v>
      </c>
      <c r="B8">
        <v>64</v>
      </c>
      <c r="C8">
        <v>0</v>
      </c>
      <c r="D8">
        <v>32</v>
      </c>
      <c r="E8">
        <v>16</v>
      </c>
      <c r="F8">
        <v>32</v>
      </c>
      <c r="G8">
        <v>16</v>
      </c>
      <c r="H8">
        <v>0</v>
      </c>
      <c r="I8">
        <v>48</v>
      </c>
      <c r="J8">
        <v>296</v>
      </c>
      <c r="K8">
        <v>0</v>
      </c>
      <c r="L8">
        <v>0</v>
      </c>
      <c r="M8">
        <v>0</v>
      </c>
      <c r="N8">
        <v>0</v>
      </c>
      <c r="O8">
        <v>504</v>
      </c>
    </row>
    <row r="9" spans="1:15" x14ac:dyDescent="0.25">
      <c r="A9" t="s">
        <v>606</v>
      </c>
      <c r="B9">
        <v>0</v>
      </c>
      <c r="C9">
        <v>128</v>
      </c>
      <c r="D9">
        <v>48</v>
      </c>
      <c r="E9">
        <v>160</v>
      </c>
      <c r="F9">
        <v>144</v>
      </c>
      <c r="G9">
        <v>80</v>
      </c>
      <c r="H9">
        <v>80</v>
      </c>
      <c r="I9">
        <v>32</v>
      </c>
      <c r="J9">
        <v>192</v>
      </c>
      <c r="K9">
        <v>116</v>
      </c>
      <c r="L9">
        <v>0</v>
      </c>
      <c r="M9">
        <v>0</v>
      </c>
      <c r="N9">
        <v>260</v>
      </c>
      <c r="O9">
        <v>980</v>
      </c>
    </row>
    <row r="10" spans="1:15" x14ac:dyDescent="0.25">
      <c r="A10" t="s">
        <v>1775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32</v>
      </c>
      <c r="O10">
        <v>0</v>
      </c>
    </row>
    <row r="11" spans="1:15" x14ac:dyDescent="0.25">
      <c r="A11" t="s">
        <v>590</v>
      </c>
      <c r="B11">
        <v>80</v>
      </c>
      <c r="C11">
        <v>160</v>
      </c>
      <c r="D11">
        <v>128</v>
      </c>
      <c r="E11">
        <v>160</v>
      </c>
      <c r="F11">
        <v>0</v>
      </c>
      <c r="G11">
        <v>0</v>
      </c>
      <c r="H11">
        <v>640</v>
      </c>
      <c r="I11">
        <v>80</v>
      </c>
      <c r="J11">
        <v>240</v>
      </c>
      <c r="K11">
        <v>-300</v>
      </c>
      <c r="L11">
        <v>244</v>
      </c>
      <c r="M11">
        <v>16</v>
      </c>
      <c r="N11">
        <v>48</v>
      </c>
      <c r="O11">
        <v>1448</v>
      </c>
    </row>
    <row r="12" spans="1:15" x14ac:dyDescent="0.25">
      <c r="A12" t="s">
        <v>972</v>
      </c>
      <c r="B12">
        <v>0</v>
      </c>
      <c r="C12">
        <v>0</v>
      </c>
      <c r="D12">
        <v>0</v>
      </c>
      <c r="E12">
        <v>1600</v>
      </c>
      <c r="F12">
        <v>0</v>
      </c>
      <c r="G12">
        <v>480</v>
      </c>
      <c r="H12">
        <v>160</v>
      </c>
      <c r="I12">
        <v>0</v>
      </c>
      <c r="J12">
        <v>240</v>
      </c>
      <c r="K12">
        <v>664</v>
      </c>
      <c r="L12">
        <v>0</v>
      </c>
      <c r="M12">
        <v>720</v>
      </c>
      <c r="N12">
        <v>700</v>
      </c>
      <c r="O12">
        <v>3864</v>
      </c>
    </row>
    <row r="13" spans="1:15" x14ac:dyDescent="0.25">
      <c r="A13" t="s">
        <v>1771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80</v>
      </c>
      <c r="O13">
        <v>0</v>
      </c>
    </row>
    <row r="14" spans="1:15" x14ac:dyDescent="0.25">
      <c r="A14" t="s">
        <v>1772</v>
      </c>
      <c r="B14">
        <v>0</v>
      </c>
      <c r="C14">
        <v>0</v>
      </c>
      <c r="D14">
        <v>0</v>
      </c>
      <c r="E14">
        <v>0</v>
      </c>
      <c r="F14">
        <v>0</v>
      </c>
      <c r="G14">
        <v>80</v>
      </c>
      <c r="H14">
        <v>0</v>
      </c>
      <c r="I14">
        <v>0</v>
      </c>
      <c r="J14">
        <v>0</v>
      </c>
      <c r="K14">
        <v>0</v>
      </c>
      <c r="L14">
        <v>0</v>
      </c>
      <c r="M14">
        <v>160</v>
      </c>
      <c r="N14">
        <v>0</v>
      </c>
      <c r="O14">
        <v>240</v>
      </c>
    </row>
    <row r="15" spans="1:15" x14ac:dyDescent="0.25">
      <c r="A15" t="s">
        <v>705</v>
      </c>
      <c r="B15">
        <v>560</v>
      </c>
      <c r="C15">
        <v>0</v>
      </c>
      <c r="D15">
        <v>80</v>
      </c>
      <c r="E15">
        <v>240</v>
      </c>
      <c r="F15">
        <v>88</v>
      </c>
      <c r="G15">
        <v>440</v>
      </c>
      <c r="H15">
        <v>192</v>
      </c>
      <c r="I15">
        <v>120</v>
      </c>
      <c r="J15">
        <v>400</v>
      </c>
      <c r="K15">
        <v>320</v>
      </c>
      <c r="L15">
        <v>80</v>
      </c>
      <c r="M15">
        <v>192</v>
      </c>
      <c r="N15">
        <v>8</v>
      </c>
      <c r="O15">
        <v>2712</v>
      </c>
    </row>
    <row r="16" spans="1:15" x14ac:dyDescent="0.25">
      <c r="A16" t="s">
        <v>614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140</v>
      </c>
      <c r="K16">
        <v>0</v>
      </c>
      <c r="L16">
        <v>0</v>
      </c>
      <c r="M16">
        <v>0</v>
      </c>
      <c r="N16">
        <v>0</v>
      </c>
      <c r="O16">
        <v>140</v>
      </c>
    </row>
    <row r="17" spans="1:15" x14ac:dyDescent="0.25">
      <c r="A17" t="s">
        <v>615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280</v>
      </c>
      <c r="O17">
        <v>0</v>
      </c>
    </row>
    <row r="18" spans="1:15" x14ac:dyDescent="0.25">
      <c r="A18" t="s">
        <v>1023</v>
      </c>
      <c r="B18">
        <v>0</v>
      </c>
      <c r="C18">
        <v>0</v>
      </c>
      <c r="D18">
        <v>0</v>
      </c>
      <c r="E18">
        <v>0</v>
      </c>
      <c r="F18">
        <v>0</v>
      </c>
      <c r="G18">
        <v>64</v>
      </c>
      <c r="H18">
        <v>16</v>
      </c>
      <c r="I18">
        <v>0</v>
      </c>
      <c r="J18">
        <v>0</v>
      </c>
      <c r="K18">
        <v>0</v>
      </c>
      <c r="L18">
        <v>80</v>
      </c>
      <c r="M18">
        <v>0</v>
      </c>
      <c r="N18">
        <v>0</v>
      </c>
      <c r="O18">
        <v>160</v>
      </c>
    </row>
    <row r="19" spans="1:15" x14ac:dyDescent="0.25">
      <c r="A19" t="s">
        <v>1026</v>
      </c>
      <c r="B19">
        <v>280</v>
      </c>
      <c r="C19">
        <v>0</v>
      </c>
      <c r="D19">
        <v>88</v>
      </c>
      <c r="E19">
        <v>80</v>
      </c>
      <c r="F19">
        <v>24</v>
      </c>
      <c r="G19">
        <v>8</v>
      </c>
      <c r="H19">
        <v>56</v>
      </c>
      <c r="I19">
        <v>140</v>
      </c>
      <c r="J19">
        <v>288</v>
      </c>
      <c r="K19">
        <v>16</v>
      </c>
      <c r="L19">
        <v>196</v>
      </c>
      <c r="M19">
        <v>-4</v>
      </c>
      <c r="N19">
        <v>8</v>
      </c>
      <c r="O19">
        <v>1172</v>
      </c>
    </row>
    <row r="20" spans="1:15" x14ac:dyDescent="0.25">
      <c r="A20" t="s">
        <v>594</v>
      </c>
      <c r="B20">
        <v>944</v>
      </c>
      <c r="C20">
        <v>556</v>
      </c>
      <c r="D20">
        <v>1356</v>
      </c>
      <c r="E20">
        <v>728</v>
      </c>
      <c r="F20">
        <v>784</v>
      </c>
      <c r="G20">
        <v>328</v>
      </c>
      <c r="H20">
        <v>764</v>
      </c>
      <c r="I20">
        <v>424</v>
      </c>
      <c r="J20">
        <v>196</v>
      </c>
      <c r="K20">
        <v>0</v>
      </c>
      <c r="L20">
        <v>0</v>
      </c>
      <c r="M20">
        <v>0</v>
      </c>
      <c r="N20">
        <v>0</v>
      </c>
      <c r="O20">
        <v>6080</v>
      </c>
    </row>
    <row r="21" spans="1:15" x14ac:dyDescent="0.25">
      <c r="A21" t="s">
        <v>998</v>
      </c>
      <c r="B21">
        <v>40</v>
      </c>
      <c r="C21">
        <v>4</v>
      </c>
      <c r="D21">
        <v>0</v>
      </c>
      <c r="E21">
        <v>0</v>
      </c>
      <c r="F21">
        <v>0</v>
      </c>
      <c r="G21">
        <v>0</v>
      </c>
      <c r="H21">
        <v>0</v>
      </c>
      <c r="I21">
        <v>12</v>
      </c>
      <c r="J21">
        <v>104</v>
      </c>
      <c r="K21">
        <v>0</v>
      </c>
      <c r="L21">
        <v>0</v>
      </c>
      <c r="M21">
        <v>0</v>
      </c>
      <c r="N21">
        <v>0</v>
      </c>
      <c r="O21">
        <v>160</v>
      </c>
    </row>
    <row r="22" spans="1:15" x14ac:dyDescent="0.25">
      <c r="A22" t="s">
        <v>999</v>
      </c>
      <c r="B22">
        <v>40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8</v>
      </c>
      <c r="K22">
        <v>0</v>
      </c>
      <c r="L22">
        <v>0</v>
      </c>
      <c r="M22">
        <v>0</v>
      </c>
      <c r="N22">
        <v>72</v>
      </c>
      <c r="O22">
        <v>48</v>
      </c>
    </row>
    <row r="23" spans="1:15" x14ac:dyDescent="0.25">
      <c r="A23" t="s">
        <v>1000</v>
      </c>
      <c r="B23">
        <v>0</v>
      </c>
      <c r="C23">
        <v>8</v>
      </c>
      <c r="D23">
        <v>0</v>
      </c>
      <c r="E23">
        <v>12</v>
      </c>
      <c r="F23">
        <v>0</v>
      </c>
      <c r="G23">
        <v>0</v>
      </c>
      <c r="H23">
        <v>0</v>
      </c>
      <c r="I23">
        <v>0</v>
      </c>
      <c r="J23">
        <v>20</v>
      </c>
      <c r="K23">
        <v>0</v>
      </c>
      <c r="L23">
        <v>0</v>
      </c>
      <c r="M23">
        <v>0</v>
      </c>
      <c r="N23">
        <v>0</v>
      </c>
      <c r="O23">
        <v>40</v>
      </c>
    </row>
    <row r="24" spans="1:15" x14ac:dyDescent="0.25">
      <c r="A24" t="s">
        <v>599</v>
      </c>
      <c r="B24">
        <v>12</v>
      </c>
      <c r="C24">
        <v>40</v>
      </c>
      <c r="D24">
        <v>0</v>
      </c>
      <c r="E24">
        <v>16</v>
      </c>
      <c r="F24">
        <v>0</v>
      </c>
      <c r="G24">
        <v>200</v>
      </c>
      <c r="H24">
        <v>0</v>
      </c>
      <c r="I24">
        <v>0</v>
      </c>
      <c r="J24">
        <v>460</v>
      </c>
      <c r="K24">
        <v>640</v>
      </c>
      <c r="L24">
        <v>1064</v>
      </c>
      <c r="M24">
        <v>892</v>
      </c>
      <c r="N24">
        <v>16</v>
      </c>
      <c r="O24">
        <v>3324</v>
      </c>
    </row>
    <row r="25" spans="1:15" x14ac:dyDescent="0.25">
      <c r="A25" t="s">
        <v>601</v>
      </c>
      <c r="B25">
        <v>36</v>
      </c>
      <c r="C25">
        <v>0</v>
      </c>
      <c r="D25">
        <v>0</v>
      </c>
      <c r="E25">
        <v>44</v>
      </c>
      <c r="F25">
        <v>80</v>
      </c>
      <c r="G25">
        <v>0</v>
      </c>
      <c r="H25">
        <v>4</v>
      </c>
      <c r="I25">
        <v>28</v>
      </c>
      <c r="J25">
        <v>168</v>
      </c>
      <c r="K25">
        <v>452</v>
      </c>
      <c r="L25">
        <v>196</v>
      </c>
      <c r="M25">
        <v>24</v>
      </c>
      <c r="N25">
        <v>0</v>
      </c>
      <c r="O25">
        <v>1032</v>
      </c>
    </row>
    <row r="26" spans="1:15" x14ac:dyDescent="0.25">
      <c r="A26" t="s">
        <v>596</v>
      </c>
      <c r="B26">
        <v>68</v>
      </c>
      <c r="C26">
        <v>248</v>
      </c>
      <c r="D26">
        <v>328</v>
      </c>
      <c r="E26">
        <v>192</v>
      </c>
      <c r="F26">
        <v>192</v>
      </c>
      <c r="G26">
        <v>256</v>
      </c>
      <c r="H26">
        <v>216</v>
      </c>
      <c r="I26">
        <v>260</v>
      </c>
      <c r="J26">
        <v>132</v>
      </c>
      <c r="K26">
        <v>-24</v>
      </c>
      <c r="L26">
        <v>0</v>
      </c>
      <c r="M26">
        <v>36</v>
      </c>
      <c r="N26">
        <v>0</v>
      </c>
      <c r="O26">
        <v>1904</v>
      </c>
    </row>
    <row r="27" spans="1:15" x14ac:dyDescent="0.25">
      <c r="A27" t="s">
        <v>1006</v>
      </c>
      <c r="B27">
        <v>40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</v>
      </c>
      <c r="J27">
        <v>0</v>
      </c>
      <c r="K27">
        <v>0</v>
      </c>
      <c r="L27">
        <v>196</v>
      </c>
      <c r="M27">
        <v>0</v>
      </c>
      <c r="N27">
        <v>0</v>
      </c>
      <c r="O27">
        <v>240</v>
      </c>
    </row>
    <row r="28" spans="1:15" x14ac:dyDescent="0.25">
      <c r="A28" t="s">
        <v>1007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16</v>
      </c>
      <c r="M28">
        <v>24</v>
      </c>
      <c r="N28">
        <v>0</v>
      </c>
      <c r="O28">
        <v>40</v>
      </c>
    </row>
    <row r="29" spans="1:15" x14ac:dyDescent="0.25">
      <c r="A29" t="s">
        <v>604</v>
      </c>
      <c r="B29">
        <v>0</v>
      </c>
      <c r="C29">
        <v>0</v>
      </c>
      <c r="D29">
        <v>0</v>
      </c>
      <c r="E29">
        <v>0</v>
      </c>
      <c r="F29">
        <v>0</v>
      </c>
      <c r="G29">
        <v>12</v>
      </c>
      <c r="H29">
        <v>0</v>
      </c>
      <c r="I29">
        <v>0</v>
      </c>
      <c r="J29">
        <v>88</v>
      </c>
      <c r="K29">
        <v>0</v>
      </c>
      <c r="L29">
        <v>0</v>
      </c>
      <c r="M29">
        <v>0</v>
      </c>
      <c r="N29">
        <v>0</v>
      </c>
      <c r="O29">
        <v>100</v>
      </c>
    </row>
    <row r="30" spans="1:15" x14ac:dyDescent="0.25">
      <c r="A30" t="s">
        <v>607</v>
      </c>
      <c r="B30">
        <v>0</v>
      </c>
      <c r="C30">
        <v>0</v>
      </c>
      <c r="D30">
        <v>0</v>
      </c>
      <c r="E30">
        <v>8</v>
      </c>
      <c r="F30">
        <v>8</v>
      </c>
      <c r="G30">
        <v>0</v>
      </c>
      <c r="H30">
        <v>0</v>
      </c>
      <c r="I30">
        <v>0</v>
      </c>
      <c r="J30">
        <v>8</v>
      </c>
      <c r="K30">
        <v>0</v>
      </c>
      <c r="L30">
        <v>0</v>
      </c>
      <c r="M30">
        <v>0</v>
      </c>
      <c r="N30">
        <v>500</v>
      </c>
      <c r="O30">
        <v>24</v>
      </c>
    </row>
    <row r="31" spans="1:15" x14ac:dyDescent="0.25">
      <c r="A31" t="s">
        <v>1044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20</v>
      </c>
      <c r="K31">
        <v>0</v>
      </c>
      <c r="L31">
        <v>0</v>
      </c>
      <c r="M31">
        <v>0</v>
      </c>
      <c r="N31">
        <v>440</v>
      </c>
      <c r="O31">
        <v>20</v>
      </c>
    </row>
    <row r="32" spans="1:15" x14ac:dyDescent="0.25">
      <c r="A32" t="s">
        <v>1045</v>
      </c>
      <c r="B32">
        <v>0</v>
      </c>
      <c r="C32">
        <v>0</v>
      </c>
      <c r="D32">
        <v>12</v>
      </c>
      <c r="E32">
        <v>8</v>
      </c>
      <c r="F32">
        <v>0</v>
      </c>
      <c r="G32">
        <v>0</v>
      </c>
      <c r="H32">
        <v>4</v>
      </c>
      <c r="I32">
        <v>8</v>
      </c>
      <c r="J32">
        <v>8</v>
      </c>
      <c r="K32">
        <v>0</v>
      </c>
      <c r="L32">
        <v>0</v>
      </c>
      <c r="M32">
        <v>12</v>
      </c>
      <c r="N32">
        <v>196</v>
      </c>
      <c r="O32">
        <v>52</v>
      </c>
    </row>
    <row r="33" spans="1:15" x14ac:dyDescent="0.25">
      <c r="A33" t="s">
        <v>608</v>
      </c>
      <c r="B33">
        <v>0</v>
      </c>
      <c r="C33">
        <v>0</v>
      </c>
      <c r="D33">
        <v>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20</v>
      </c>
      <c r="M33">
        <v>0</v>
      </c>
      <c r="N33">
        <v>724</v>
      </c>
      <c r="O33">
        <v>28</v>
      </c>
    </row>
    <row r="34" spans="1:15" x14ac:dyDescent="0.25">
      <c r="A34" t="s">
        <v>609</v>
      </c>
      <c r="B34">
        <v>68</v>
      </c>
      <c r="C34">
        <v>40</v>
      </c>
      <c r="D34">
        <v>40</v>
      </c>
      <c r="E34">
        <v>36</v>
      </c>
      <c r="F34">
        <v>460</v>
      </c>
      <c r="G34">
        <v>456</v>
      </c>
      <c r="H34">
        <v>8</v>
      </c>
      <c r="I34">
        <v>0</v>
      </c>
      <c r="J34">
        <v>532</v>
      </c>
      <c r="K34">
        <v>960</v>
      </c>
      <c r="L34">
        <v>0</v>
      </c>
      <c r="M34">
        <v>0</v>
      </c>
      <c r="N34">
        <v>0</v>
      </c>
      <c r="O34">
        <v>2600</v>
      </c>
    </row>
    <row r="35" spans="1:15" x14ac:dyDescent="0.25">
      <c r="A35" t="s">
        <v>1046</v>
      </c>
      <c r="B35">
        <v>0</v>
      </c>
      <c r="C35">
        <v>8</v>
      </c>
      <c r="D35">
        <v>0</v>
      </c>
      <c r="E35">
        <v>0</v>
      </c>
      <c r="F35">
        <v>0</v>
      </c>
      <c r="G35">
        <v>0</v>
      </c>
      <c r="H35">
        <v>4</v>
      </c>
      <c r="I35">
        <v>4</v>
      </c>
      <c r="J35">
        <v>20</v>
      </c>
      <c r="K35">
        <v>8</v>
      </c>
      <c r="L35">
        <v>20</v>
      </c>
      <c r="M35">
        <v>0</v>
      </c>
      <c r="N35">
        <v>440</v>
      </c>
      <c r="O35">
        <v>64</v>
      </c>
    </row>
    <row r="36" spans="1:15" x14ac:dyDescent="0.25">
      <c r="A36" t="s">
        <v>1055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796</v>
      </c>
      <c r="K36">
        <v>0</v>
      </c>
      <c r="L36">
        <v>0</v>
      </c>
      <c r="M36">
        <v>0</v>
      </c>
      <c r="N36">
        <v>20</v>
      </c>
      <c r="O36">
        <v>796</v>
      </c>
    </row>
    <row r="37" spans="1:15" x14ac:dyDescent="0.25">
      <c r="A37" t="s">
        <v>1058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20</v>
      </c>
      <c r="O37">
        <v>0</v>
      </c>
    </row>
    <row r="38" spans="1:15" x14ac:dyDescent="0.25">
      <c r="A38" t="s">
        <v>1060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20</v>
      </c>
      <c r="O38">
        <v>0</v>
      </c>
    </row>
    <row r="39" spans="1:15" x14ac:dyDescent="0.25">
      <c r="A39" t="s">
        <v>1057</v>
      </c>
      <c r="B39">
        <v>0</v>
      </c>
      <c r="C39">
        <v>200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100</v>
      </c>
      <c r="O39">
        <v>200</v>
      </c>
    </row>
    <row r="40" spans="1:15" x14ac:dyDescent="0.25">
      <c r="A40" t="s">
        <v>1059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20</v>
      </c>
      <c r="O40">
        <v>0</v>
      </c>
    </row>
    <row r="41" spans="1:15" x14ac:dyDescent="0.25">
      <c r="A41" t="s">
        <v>1061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100</v>
      </c>
      <c r="I41">
        <v>0</v>
      </c>
      <c r="J41">
        <v>0</v>
      </c>
      <c r="K41">
        <v>0</v>
      </c>
      <c r="L41">
        <v>0</v>
      </c>
      <c r="M41">
        <v>0</v>
      </c>
      <c r="N41">
        <v>20</v>
      </c>
      <c r="O41">
        <v>100</v>
      </c>
    </row>
    <row r="42" spans="1:15" x14ac:dyDescent="0.25">
      <c r="A42" t="s">
        <v>1013</v>
      </c>
      <c r="B42">
        <v>12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40</v>
      </c>
      <c r="K42">
        <v>0</v>
      </c>
      <c r="L42">
        <v>0</v>
      </c>
      <c r="M42">
        <v>0</v>
      </c>
      <c r="N42">
        <v>328</v>
      </c>
      <c r="O42">
        <v>52</v>
      </c>
    </row>
    <row r="43" spans="1:15" x14ac:dyDescent="0.25">
      <c r="A43" t="s">
        <v>1027</v>
      </c>
      <c r="B43">
        <v>80</v>
      </c>
      <c r="C43">
        <v>0</v>
      </c>
      <c r="D43">
        <v>0</v>
      </c>
      <c r="E43">
        <v>0</v>
      </c>
      <c r="F43">
        <v>0</v>
      </c>
      <c r="G43">
        <v>64</v>
      </c>
      <c r="H43">
        <v>16</v>
      </c>
      <c r="I43">
        <v>0</v>
      </c>
      <c r="J43">
        <v>0</v>
      </c>
      <c r="K43">
        <v>0</v>
      </c>
      <c r="L43">
        <v>80</v>
      </c>
      <c r="M43">
        <v>0</v>
      </c>
      <c r="N43">
        <v>80</v>
      </c>
      <c r="O43">
        <v>240</v>
      </c>
    </row>
    <row r="44" spans="1:15" x14ac:dyDescent="0.25">
      <c r="A44" t="s">
        <v>1029</v>
      </c>
      <c r="B44">
        <v>152</v>
      </c>
      <c r="C44">
        <v>0</v>
      </c>
      <c r="D44">
        <v>88</v>
      </c>
      <c r="E44">
        <v>80</v>
      </c>
      <c r="F44">
        <v>24</v>
      </c>
      <c r="G44">
        <v>8</v>
      </c>
      <c r="H44">
        <v>128</v>
      </c>
      <c r="I44">
        <v>140</v>
      </c>
      <c r="J44">
        <v>288</v>
      </c>
      <c r="K44">
        <v>16</v>
      </c>
      <c r="L44">
        <v>196</v>
      </c>
      <c r="M44">
        <v>-4</v>
      </c>
      <c r="N44">
        <v>0</v>
      </c>
      <c r="O44">
        <v>1116</v>
      </c>
    </row>
    <row r="45" spans="1:15" x14ac:dyDescent="0.25">
      <c r="A45" t="s">
        <v>595</v>
      </c>
      <c r="B45">
        <v>944</v>
      </c>
      <c r="C45">
        <v>556</v>
      </c>
      <c r="D45">
        <v>1356</v>
      </c>
      <c r="E45">
        <v>728</v>
      </c>
      <c r="F45">
        <v>724</v>
      </c>
      <c r="G45">
        <v>328</v>
      </c>
      <c r="H45">
        <v>764</v>
      </c>
      <c r="I45">
        <v>432</v>
      </c>
      <c r="J45">
        <v>212</v>
      </c>
      <c r="K45">
        <v>0</v>
      </c>
      <c r="L45">
        <v>8</v>
      </c>
      <c r="M45">
        <v>16</v>
      </c>
      <c r="N45">
        <v>0</v>
      </c>
      <c r="O45">
        <v>6068</v>
      </c>
    </row>
    <row r="46" spans="1:15" x14ac:dyDescent="0.25">
      <c r="A46" t="s">
        <v>600</v>
      </c>
      <c r="B46">
        <v>12</v>
      </c>
      <c r="C46">
        <v>40</v>
      </c>
      <c r="D46">
        <v>0</v>
      </c>
      <c r="E46">
        <v>16</v>
      </c>
      <c r="F46">
        <v>0</v>
      </c>
      <c r="G46">
        <v>200</v>
      </c>
      <c r="H46">
        <v>0</v>
      </c>
      <c r="I46">
        <v>0</v>
      </c>
      <c r="J46">
        <v>460</v>
      </c>
      <c r="K46">
        <v>640</v>
      </c>
      <c r="L46">
        <v>1064</v>
      </c>
      <c r="M46">
        <v>892</v>
      </c>
      <c r="N46">
        <v>0</v>
      </c>
      <c r="O46">
        <v>3324</v>
      </c>
    </row>
    <row r="47" spans="1:15" x14ac:dyDescent="0.25">
      <c r="A47" t="s">
        <v>1002</v>
      </c>
      <c r="B47">
        <v>0</v>
      </c>
      <c r="C47">
        <v>12</v>
      </c>
      <c r="D47">
        <v>0</v>
      </c>
      <c r="E47">
        <v>12</v>
      </c>
      <c r="F47">
        <v>0</v>
      </c>
      <c r="G47">
        <v>0</v>
      </c>
      <c r="H47">
        <v>0</v>
      </c>
      <c r="I47">
        <v>12</v>
      </c>
      <c r="J47">
        <v>44</v>
      </c>
      <c r="K47">
        <v>0</v>
      </c>
      <c r="L47">
        <v>0</v>
      </c>
      <c r="M47">
        <v>0</v>
      </c>
      <c r="N47">
        <v>0</v>
      </c>
      <c r="O47">
        <v>80</v>
      </c>
    </row>
    <row r="48" spans="1:15" x14ac:dyDescent="0.25">
      <c r="A48" t="s">
        <v>1003</v>
      </c>
      <c r="B48">
        <v>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20</v>
      </c>
      <c r="K48">
        <v>0</v>
      </c>
      <c r="L48">
        <v>0</v>
      </c>
      <c r="M48">
        <v>0</v>
      </c>
      <c r="N48">
        <v>8</v>
      </c>
      <c r="O48">
        <v>24</v>
      </c>
    </row>
    <row r="49" spans="1:15" x14ac:dyDescent="0.25">
      <c r="A49" t="s">
        <v>1004</v>
      </c>
      <c r="B49">
        <v>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28</v>
      </c>
      <c r="O49">
        <v>4</v>
      </c>
    </row>
    <row r="50" spans="1:15" x14ac:dyDescent="0.25">
      <c r="A50" t="s">
        <v>597</v>
      </c>
      <c r="B50">
        <v>60</v>
      </c>
      <c r="C50">
        <v>232</v>
      </c>
      <c r="D50">
        <v>328</v>
      </c>
      <c r="E50">
        <v>192</v>
      </c>
      <c r="F50">
        <v>192</v>
      </c>
      <c r="G50">
        <v>256</v>
      </c>
      <c r="H50">
        <v>256</v>
      </c>
      <c r="I50">
        <v>236</v>
      </c>
      <c r="J50">
        <v>136</v>
      </c>
      <c r="K50">
        <v>0</v>
      </c>
      <c r="L50">
        <v>0</v>
      </c>
      <c r="M50">
        <v>0</v>
      </c>
      <c r="N50">
        <v>0</v>
      </c>
      <c r="O50">
        <v>1888</v>
      </c>
    </row>
    <row r="51" spans="1:15" x14ac:dyDescent="0.25">
      <c r="A51" t="s">
        <v>602</v>
      </c>
      <c r="B51">
        <v>36</v>
      </c>
      <c r="C51">
        <v>0</v>
      </c>
      <c r="D51">
        <v>0</v>
      </c>
      <c r="E51">
        <v>28</v>
      </c>
      <c r="F51">
        <v>80</v>
      </c>
      <c r="G51">
        <v>0</v>
      </c>
      <c r="H51">
        <v>4</v>
      </c>
      <c r="I51">
        <v>28</v>
      </c>
      <c r="J51">
        <v>168</v>
      </c>
      <c r="K51">
        <v>452</v>
      </c>
      <c r="L51">
        <v>228</v>
      </c>
      <c r="M51">
        <v>44</v>
      </c>
      <c r="N51">
        <v>0</v>
      </c>
      <c r="O51">
        <v>1068</v>
      </c>
    </row>
    <row r="52" spans="1:15" x14ac:dyDescent="0.25">
      <c r="A52" t="s">
        <v>1010</v>
      </c>
      <c r="B52">
        <v>40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4</v>
      </c>
      <c r="J52">
        <v>0</v>
      </c>
      <c r="K52">
        <v>0</v>
      </c>
      <c r="L52">
        <v>180</v>
      </c>
      <c r="M52">
        <v>16</v>
      </c>
      <c r="N52">
        <v>0</v>
      </c>
      <c r="O52">
        <v>240</v>
      </c>
    </row>
    <row r="53" spans="1:15" x14ac:dyDescent="0.25">
      <c r="A53" t="s">
        <v>605</v>
      </c>
      <c r="B53">
        <v>0</v>
      </c>
      <c r="C53">
        <v>0</v>
      </c>
      <c r="D53">
        <v>0</v>
      </c>
      <c r="E53">
        <v>0</v>
      </c>
      <c r="F53">
        <v>0</v>
      </c>
      <c r="G53">
        <v>12</v>
      </c>
      <c r="H53">
        <v>0</v>
      </c>
      <c r="I53">
        <v>0</v>
      </c>
      <c r="J53">
        <v>88</v>
      </c>
      <c r="K53">
        <v>0</v>
      </c>
      <c r="L53">
        <v>0</v>
      </c>
      <c r="M53">
        <v>0</v>
      </c>
      <c r="N53">
        <v>16</v>
      </c>
      <c r="O53">
        <v>100</v>
      </c>
    </row>
    <row r="54" spans="1:15" x14ac:dyDescent="0.25">
      <c r="A54" t="s">
        <v>610</v>
      </c>
      <c r="B54">
        <v>0</v>
      </c>
      <c r="C54">
        <v>0</v>
      </c>
      <c r="D54">
        <v>0</v>
      </c>
      <c r="E54">
        <v>8</v>
      </c>
      <c r="F54">
        <v>8</v>
      </c>
      <c r="G54">
        <v>0</v>
      </c>
      <c r="H54">
        <v>0</v>
      </c>
      <c r="I54">
        <v>0</v>
      </c>
      <c r="J54">
        <v>8</v>
      </c>
      <c r="K54">
        <v>0</v>
      </c>
      <c r="L54">
        <v>0</v>
      </c>
      <c r="M54">
        <v>0</v>
      </c>
      <c r="N54">
        <v>916</v>
      </c>
      <c r="O54">
        <v>24</v>
      </c>
    </row>
    <row r="55" spans="1:15" x14ac:dyDescent="0.25">
      <c r="A55" t="s">
        <v>611</v>
      </c>
      <c r="B55">
        <v>0</v>
      </c>
      <c r="C55">
        <v>0</v>
      </c>
      <c r="D55">
        <v>20</v>
      </c>
      <c r="E55">
        <v>16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8</v>
      </c>
      <c r="N55">
        <v>56</v>
      </c>
      <c r="O55">
        <v>44</v>
      </c>
    </row>
    <row r="56" spans="1:15" x14ac:dyDescent="0.25">
      <c r="A56" t="s">
        <v>1048</v>
      </c>
      <c r="B56">
        <v>0</v>
      </c>
      <c r="C56">
        <v>0</v>
      </c>
      <c r="D56">
        <v>12</v>
      </c>
      <c r="E56">
        <v>8</v>
      </c>
      <c r="F56">
        <v>0</v>
      </c>
      <c r="G56">
        <v>0</v>
      </c>
      <c r="H56">
        <v>8</v>
      </c>
      <c r="I56">
        <v>8</v>
      </c>
      <c r="J56">
        <v>16</v>
      </c>
      <c r="K56">
        <v>0</v>
      </c>
      <c r="L56">
        <v>0</v>
      </c>
      <c r="M56">
        <v>12</v>
      </c>
      <c r="N56">
        <v>212</v>
      </c>
      <c r="O56">
        <v>64</v>
      </c>
    </row>
    <row r="57" spans="1:15" x14ac:dyDescent="0.25">
      <c r="A57" t="s">
        <v>612</v>
      </c>
      <c r="B57">
        <v>0</v>
      </c>
      <c r="C57">
        <v>0</v>
      </c>
      <c r="D57">
        <v>8</v>
      </c>
      <c r="E57">
        <v>0</v>
      </c>
      <c r="F57">
        <v>0</v>
      </c>
      <c r="G57">
        <v>0</v>
      </c>
      <c r="H57">
        <v>0</v>
      </c>
      <c r="I57">
        <v>0</v>
      </c>
      <c r="J57">
        <v>40</v>
      </c>
      <c r="K57">
        <v>0</v>
      </c>
      <c r="L57">
        <v>0</v>
      </c>
      <c r="M57">
        <v>0</v>
      </c>
      <c r="N57">
        <v>900</v>
      </c>
      <c r="O57">
        <v>48</v>
      </c>
    </row>
    <row r="58" spans="1:15" x14ac:dyDescent="0.25">
      <c r="A58" t="s">
        <v>613</v>
      </c>
      <c r="B58">
        <v>68</v>
      </c>
      <c r="C58">
        <v>40</v>
      </c>
      <c r="D58">
        <v>32</v>
      </c>
      <c r="E58">
        <v>20</v>
      </c>
      <c r="F58">
        <v>460</v>
      </c>
      <c r="G58">
        <v>456</v>
      </c>
      <c r="H58">
        <v>0</v>
      </c>
      <c r="I58">
        <v>0</v>
      </c>
      <c r="J58">
        <v>568</v>
      </c>
      <c r="K58">
        <v>960</v>
      </c>
      <c r="L58">
        <v>0</v>
      </c>
      <c r="M58">
        <v>8</v>
      </c>
      <c r="N58">
        <v>0</v>
      </c>
      <c r="O58">
        <v>2612</v>
      </c>
    </row>
    <row r="59" spans="1:15" x14ac:dyDescent="0.25">
      <c r="A59" t="s">
        <v>1049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4</v>
      </c>
      <c r="J59">
        <v>20</v>
      </c>
      <c r="K59">
        <v>8</v>
      </c>
      <c r="L59">
        <v>0</v>
      </c>
      <c r="M59">
        <v>0</v>
      </c>
      <c r="N59">
        <v>268</v>
      </c>
      <c r="O59">
        <v>32</v>
      </c>
    </row>
    <row r="60" spans="1:15" x14ac:dyDescent="0.25">
      <c r="A60" t="s">
        <v>1062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796</v>
      </c>
      <c r="K60">
        <v>0</v>
      </c>
      <c r="L60">
        <v>0</v>
      </c>
      <c r="M60">
        <v>0</v>
      </c>
      <c r="N60">
        <v>20</v>
      </c>
      <c r="O60">
        <v>796</v>
      </c>
    </row>
    <row r="61" spans="1:15" x14ac:dyDescent="0.25">
      <c r="A61" t="s">
        <v>1065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20</v>
      </c>
      <c r="O61">
        <v>0</v>
      </c>
    </row>
    <row r="62" spans="1:15" x14ac:dyDescent="0.25">
      <c r="A62" t="s">
        <v>1067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24</v>
      </c>
      <c r="O62">
        <v>0</v>
      </c>
    </row>
    <row r="63" spans="1:15" x14ac:dyDescent="0.25">
      <c r="A63" t="s">
        <v>1064</v>
      </c>
      <c r="B63">
        <v>0</v>
      </c>
      <c r="C63">
        <v>200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200</v>
      </c>
    </row>
    <row r="64" spans="1:15" x14ac:dyDescent="0.25">
      <c r="A64" t="s">
        <v>1066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20</v>
      </c>
      <c r="O64">
        <v>0</v>
      </c>
    </row>
    <row r="65" spans="1:15" x14ac:dyDescent="0.25">
      <c r="A65" t="s">
        <v>1068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100</v>
      </c>
      <c r="I65">
        <v>0</v>
      </c>
      <c r="J65">
        <v>0</v>
      </c>
      <c r="K65">
        <v>0</v>
      </c>
      <c r="L65">
        <v>0</v>
      </c>
      <c r="M65">
        <v>0</v>
      </c>
      <c r="N65">
        <v>20</v>
      </c>
      <c r="O65">
        <v>100</v>
      </c>
    </row>
    <row r="66" spans="1:15" x14ac:dyDescent="0.25">
      <c r="A66" t="s">
        <v>1015</v>
      </c>
      <c r="B66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40</v>
      </c>
      <c r="K66">
        <v>0</v>
      </c>
      <c r="L66">
        <v>0</v>
      </c>
      <c r="M66">
        <v>0</v>
      </c>
      <c r="N66">
        <v>348</v>
      </c>
      <c r="O66">
        <v>44</v>
      </c>
    </row>
    <row r="67" spans="1:15" x14ac:dyDescent="0.25">
      <c r="A67" t="s">
        <v>977</v>
      </c>
      <c r="B67">
        <v>0</v>
      </c>
      <c r="C67">
        <v>0</v>
      </c>
      <c r="D67">
        <v>0</v>
      </c>
      <c r="E67">
        <v>240</v>
      </c>
      <c r="F67">
        <v>360</v>
      </c>
      <c r="G67">
        <v>0</v>
      </c>
      <c r="H67">
        <v>0</v>
      </c>
      <c r="I67">
        <v>0</v>
      </c>
      <c r="J67">
        <v>0</v>
      </c>
      <c r="K67">
        <v>24</v>
      </c>
      <c r="L67">
        <v>540</v>
      </c>
      <c r="M67">
        <v>0</v>
      </c>
      <c r="N67">
        <v>0</v>
      </c>
      <c r="O67">
        <v>1164</v>
      </c>
    </row>
    <row r="68" spans="1:15" x14ac:dyDescent="0.25">
      <c r="A68" t="s">
        <v>592</v>
      </c>
      <c r="B68">
        <v>2316</v>
      </c>
      <c r="C68">
        <v>1767</v>
      </c>
      <c r="D68">
        <v>93</v>
      </c>
      <c r="E68">
        <v>315</v>
      </c>
      <c r="F68">
        <v>2988</v>
      </c>
      <c r="G68">
        <v>624</v>
      </c>
      <c r="H68">
        <v>1656</v>
      </c>
      <c r="I68">
        <v>1944</v>
      </c>
      <c r="J68">
        <v>1089</v>
      </c>
      <c r="K68">
        <v>2070</v>
      </c>
      <c r="L68">
        <v>1506</v>
      </c>
      <c r="M68">
        <v>1401</v>
      </c>
      <c r="N68">
        <v>369</v>
      </c>
      <c r="O68">
        <v>17769</v>
      </c>
    </row>
    <row r="69" spans="1:15" x14ac:dyDescent="0.25">
      <c r="A69" t="s">
        <v>739</v>
      </c>
      <c r="B69">
        <v>0</v>
      </c>
      <c r="C69">
        <v>0</v>
      </c>
      <c r="D69">
        <v>0</v>
      </c>
      <c r="E69">
        <v>0</v>
      </c>
      <c r="F69">
        <v>0</v>
      </c>
      <c r="G69">
        <v>6</v>
      </c>
      <c r="H69">
        <v>6</v>
      </c>
      <c r="I69">
        <v>276</v>
      </c>
      <c r="J69">
        <v>0</v>
      </c>
      <c r="K69">
        <v>0</v>
      </c>
      <c r="L69">
        <v>6</v>
      </c>
      <c r="M69">
        <v>0</v>
      </c>
      <c r="N69">
        <v>0</v>
      </c>
      <c r="O69">
        <v>294</v>
      </c>
    </row>
    <row r="70" spans="1:15" x14ac:dyDescent="0.25">
      <c r="A70" t="s">
        <v>1774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270</v>
      </c>
      <c r="I70">
        <v>0</v>
      </c>
      <c r="J70">
        <v>0</v>
      </c>
      <c r="K70">
        <v>0</v>
      </c>
      <c r="L70">
        <v>0</v>
      </c>
      <c r="M70">
        <v>60</v>
      </c>
      <c r="N70">
        <v>240</v>
      </c>
      <c r="O70">
        <v>330</v>
      </c>
    </row>
    <row r="71" spans="1:15" x14ac:dyDescent="0.25">
      <c r="A71" t="s">
        <v>591</v>
      </c>
      <c r="B71">
        <v>432</v>
      </c>
      <c r="C71">
        <v>160</v>
      </c>
      <c r="D71">
        <v>176</v>
      </c>
      <c r="E71">
        <v>332</v>
      </c>
      <c r="F71">
        <v>748</v>
      </c>
      <c r="G71">
        <v>48</v>
      </c>
      <c r="H71">
        <v>448</v>
      </c>
      <c r="I71">
        <v>4</v>
      </c>
      <c r="J71">
        <v>268</v>
      </c>
      <c r="K71">
        <v>672</v>
      </c>
      <c r="L71">
        <v>16</v>
      </c>
      <c r="M71">
        <v>16</v>
      </c>
      <c r="N71">
        <v>12</v>
      </c>
      <c r="O71">
        <v>3320</v>
      </c>
    </row>
    <row r="72" spans="1:15" x14ac:dyDescent="0.25">
      <c r="A72" t="s">
        <v>1773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80</v>
      </c>
      <c r="I72">
        <v>0</v>
      </c>
      <c r="J72">
        <v>80</v>
      </c>
      <c r="K72">
        <v>0</v>
      </c>
      <c r="L72">
        <v>16</v>
      </c>
      <c r="M72">
        <v>12</v>
      </c>
      <c r="N72">
        <v>0</v>
      </c>
      <c r="O72">
        <v>188</v>
      </c>
    </row>
    <row r="73" spans="1:15" x14ac:dyDescent="0.25">
      <c r="A73" t="s">
        <v>593</v>
      </c>
      <c r="B73">
        <v>0</v>
      </c>
      <c r="C73">
        <v>0</v>
      </c>
      <c r="D73">
        <v>40</v>
      </c>
      <c r="E73">
        <v>136</v>
      </c>
      <c r="F73">
        <v>0</v>
      </c>
      <c r="G73">
        <v>0</v>
      </c>
      <c r="H73">
        <v>80</v>
      </c>
      <c r="I73">
        <v>0</v>
      </c>
      <c r="J73">
        <v>0</v>
      </c>
      <c r="K73">
        <v>0</v>
      </c>
      <c r="L73">
        <v>96</v>
      </c>
      <c r="M73">
        <v>40</v>
      </c>
      <c r="N73">
        <v>56</v>
      </c>
      <c r="O73">
        <v>392</v>
      </c>
    </row>
    <row r="74" spans="1:15" x14ac:dyDescent="0.25">
      <c r="A74" t="s">
        <v>979</v>
      </c>
      <c r="B74">
        <v>1376</v>
      </c>
      <c r="C74">
        <v>80</v>
      </c>
      <c r="D74">
        <v>540</v>
      </c>
      <c r="E74">
        <v>296</v>
      </c>
      <c r="F74">
        <v>788</v>
      </c>
      <c r="G74">
        <v>224</v>
      </c>
      <c r="H74">
        <v>320</v>
      </c>
      <c r="I74">
        <v>240</v>
      </c>
      <c r="J74">
        <v>246</v>
      </c>
      <c r="K74">
        <v>200</v>
      </c>
      <c r="L74">
        <v>244</v>
      </c>
      <c r="M74">
        <v>1680</v>
      </c>
      <c r="N74">
        <v>1152</v>
      </c>
      <c r="O74">
        <v>6234</v>
      </c>
    </row>
    <row r="75" spans="1:15" x14ac:dyDescent="0.25">
      <c r="A75" t="s">
        <v>740</v>
      </c>
      <c r="B75">
        <v>0</v>
      </c>
      <c r="C75">
        <v>0</v>
      </c>
      <c r="D75">
        <v>0</v>
      </c>
      <c r="E75">
        <v>0</v>
      </c>
      <c r="F75">
        <v>120</v>
      </c>
      <c r="G75">
        <v>80</v>
      </c>
      <c r="H75">
        <v>0</v>
      </c>
      <c r="I75">
        <v>80</v>
      </c>
      <c r="J75">
        <v>0</v>
      </c>
      <c r="K75">
        <v>0</v>
      </c>
      <c r="L75">
        <v>32</v>
      </c>
      <c r="M75">
        <v>0</v>
      </c>
      <c r="N75">
        <v>40</v>
      </c>
      <c r="O75">
        <v>312</v>
      </c>
    </row>
    <row r="76" spans="1:15" x14ac:dyDescent="0.25">
      <c r="A76" t="s">
        <v>1017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16</v>
      </c>
      <c r="K76">
        <v>24</v>
      </c>
      <c r="L76">
        <v>0</v>
      </c>
      <c r="M76">
        <v>0</v>
      </c>
      <c r="N76">
        <v>0</v>
      </c>
      <c r="O76">
        <v>40</v>
      </c>
    </row>
    <row r="77" spans="1:15" x14ac:dyDescent="0.25">
      <c r="A77" t="s">
        <v>1019</v>
      </c>
      <c r="B77">
        <v>0</v>
      </c>
      <c r="C77">
        <v>0</v>
      </c>
      <c r="D77">
        <v>0</v>
      </c>
      <c r="E77">
        <v>0</v>
      </c>
      <c r="F77">
        <v>40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40</v>
      </c>
      <c r="O77">
        <v>40</v>
      </c>
    </row>
    <row r="78" spans="1:15" x14ac:dyDescent="0.25">
      <c r="A78" t="s">
        <v>1021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20</v>
      </c>
      <c r="O78">
        <v>0</v>
      </c>
    </row>
    <row r="79" spans="1:15" x14ac:dyDescent="0.25">
      <c r="A79" t="s">
        <v>603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20</v>
      </c>
      <c r="L79">
        <v>0</v>
      </c>
      <c r="M79">
        <v>0</v>
      </c>
      <c r="N79">
        <v>56</v>
      </c>
      <c r="O79">
        <v>20</v>
      </c>
    </row>
    <row r="80" spans="1:15" x14ac:dyDescent="0.25">
      <c r="A80" t="s">
        <v>1020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80</v>
      </c>
      <c r="O80">
        <v>0</v>
      </c>
    </row>
    <row r="81" spans="1:15" x14ac:dyDescent="0.25">
      <c r="A81" t="s">
        <v>1022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20</v>
      </c>
      <c r="O81">
        <v>0</v>
      </c>
    </row>
    <row r="82" spans="1:15" x14ac:dyDescent="0.25">
      <c r="A82" t="s">
        <v>1852</v>
      </c>
      <c r="B82">
        <v>32</v>
      </c>
      <c r="C82">
        <v>0</v>
      </c>
      <c r="D82">
        <v>0</v>
      </c>
      <c r="E82">
        <v>0</v>
      </c>
      <c r="F82">
        <v>0</v>
      </c>
      <c r="G82">
        <v>6</v>
      </c>
      <c r="H82">
        <v>0</v>
      </c>
      <c r="I82">
        <v>0</v>
      </c>
      <c r="J82">
        <v>6</v>
      </c>
      <c r="K82">
        <v>0</v>
      </c>
      <c r="L82">
        <v>0</v>
      </c>
      <c r="M82">
        <v>0</v>
      </c>
      <c r="N82">
        <v>360</v>
      </c>
      <c r="O82">
        <v>44</v>
      </c>
    </row>
    <row r="83" spans="1:15" x14ac:dyDescent="0.25">
      <c r="A83" t="s">
        <v>1854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42</v>
      </c>
      <c r="K83">
        <v>4</v>
      </c>
      <c r="L83">
        <v>0</v>
      </c>
      <c r="M83">
        <v>0</v>
      </c>
      <c r="N83">
        <v>14</v>
      </c>
      <c r="O83">
        <v>46</v>
      </c>
    </row>
    <row r="84" spans="1:15" x14ac:dyDescent="0.25">
      <c r="A84" t="s">
        <v>1851</v>
      </c>
      <c r="B84">
        <v>20</v>
      </c>
      <c r="C84">
        <v>0</v>
      </c>
      <c r="D84">
        <v>0</v>
      </c>
      <c r="E84">
        <v>36</v>
      </c>
      <c r="F84">
        <v>24</v>
      </c>
      <c r="G84">
        <v>12</v>
      </c>
      <c r="H84">
        <v>0</v>
      </c>
      <c r="I84">
        <v>0</v>
      </c>
      <c r="J84">
        <v>12</v>
      </c>
      <c r="K84">
        <v>0</v>
      </c>
      <c r="L84">
        <v>32</v>
      </c>
      <c r="M84">
        <v>0</v>
      </c>
      <c r="N84">
        <v>498</v>
      </c>
      <c r="O84">
        <v>136</v>
      </c>
    </row>
    <row r="85" spans="1:15" x14ac:dyDescent="0.25">
      <c r="A85" t="s">
        <v>1847</v>
      </c>
      <c r="B85">
        <v>0</v>
      </c>
      <c r="C85">
        <v>40</v>
      </c>
      <c r="D85">
        <v>8</v>
      </c>
      <c r="E85">
        <v>120</v>
      </c>
      <c r="F85">
        <v>64</v>
      </c>
      <c r="G85">
        <v>28</v>
      </c>
      <c r="H85">
        <v>-4</v>
      </c>
      <c r="I85">
        <v>32</v>
      </c>
      <c r="J85">
        <v>4</v>
      </c>
      <c r="K85">
        <v>32</v>
      </c>
      <c r="L85">
        <v>0</v>
      </c>
      <c r="M85">
        <v>0</v>
      </c>
      <c r="N85">
        <v>120</v>
      </c>
      <c r="O85">
        <v>324</v>
      </c>
    </row>
    <row r="86" spans="1:15" x14ac:dyDescent="0.25">
      <c r="A86" t="s">
        <v>1848</v>
      </c>
      <c r="B86">
        <v>0</v>
      </c>
      <c r="C86">
        <v>0</v>
      </c>
      <c r="D86">
        <v>0</v>
      </c>
      <c r="E86">
        <v>128</v>
      </c>
      <c r="F86">
        <v>20</v>
      </c>
      <c r="G86">
        <v>24</v>
      </c>
      <c r="H86">
        <v>4</v>
      </c>
      <c r="I86">
        <v>16</v>
      </c>
      <c r="J86">
        <v>8</v>
      </c>
      <c r="K86">
        <v>32</v>
      </c>
      <c r="L86">
        <v>0</v>
      </c>
      <c r="M86">
        <v>0</v>
      </c>
      <c r="N86">
        <v>972</v>
      </c>
      <c r="O86">
        <v>232</v>
      </c>
    </row>
    <row r="87" spans="1:15" x14ac:dyDescent="0.25">
      <c r="A87" t="s">
        <v>1849</v>
      </c>
      <c r="B87">
        <v>0</v>
      </c>
      <c r="C87">
        <v>0</v>
      </c>
      <c r="D87">
        <v>0</v>
      </c>
      <c r="E87">
        <v>76</v>
      </c>
      <c r="F87">
        <v>0</v>
      </c>
      <c r="G87">
        <v>0</v>
      </c>
      <c r="H87">
        <v>0</v>
      </c>
      <c r="I87">
        <v>8</v>
      </c>
      <c r="J87">
        <v>32</v>
      </c>
      <c r="K87">
        <v>0</v>
      </c>
      <c r="L87">
        <v>0</v>
      </c>
      <c r="M87">
        <v>0</v>
      </c>
      <c r="N87">
        <v>0</v>
      </c>
      <c r="O87">
        <v>116</v>
      </c>
    </row>
    <row r="88" spans="1:15" x14ac:dyDescent="0.25">
      <c r="A88" t="s">
        <v>1846</v>
      </c>
      <c r="B88">
        <v>68</v>
      </c>
      <c r="C88">
        <v>40</v>
      </c>
      <c r="D88">
        <v>28</v>
      </c>
      <c r="E88">
        <v>44</v>
      </c>
      <c r="F88">
        <v>64</v>
      </c>
      <c r="G88">
        <v>36</v>
      </c>
      <c r="H88">
        <v>48</v>
      </c>
      <c r="I88">
        <v>76</v>
      </c>
      <c r="J88">
        <v>376</v>
      </c>
      <c r="K88">
        <v>128</v>
      </c>
      <c r="L88">
        <v>208</v>
      </c>
      <c r="M88">
        <v>56</v>
      </c>
      <c r="N88">
        <v>6028</v>
      </c>
      <c r="O88">
        <v>1172</v>
      </c>
    </row>
    <row r="89" spans="1:15" x14ac:dyDescent="0.25">
      <c r="A89" t="s">
        <v>1862</v>
      </c>
      <c r="B89">
        <v>0</v>
      </c>
      <c r="C89">
        <v>0</v>
      </c>
      <c r="D89">
        <v>0</v>
      </c>
      <c r="E89">
        <v>0</v>
      </c>
      <c r="F89">
        <v>6</v>
      </c>
      <c r="G89">
        <v>0</v>
      </c>
      <c r="H89">
        <v>0</v>
      </c>
      <c r="I89">
        <v>0</v>
      </c>
      <c r="J89">
        <v>12</v>
      </c>
      <c r="K89">
        <v>0</v>
      </c>
      <c r="L89">
        <v>0</v>
      </c>
      <c r="M89">
        <v>132</v>
      </c>
      <c r="N89">
        <v>374</v>
      </c>
      <c r="O89">
        <v>150</v>
      </c>
    </row>
    <row r="90" spans="1:15" x14ac:dyDescent="0.25">
      <c r="A90" t="s">
        <v>1830</v>
      </c>
      <c r="B90">
        <v>0</v>
      </c>
      <c r="C90">
        <v>0</v>
      </c>
      <c r="D90">
        <v>4</v>
      </c>
      <c r="E90">
        <v>64</v>
      </c>
      <c r="F90">
        <v>0</v>
      </c>
      <c r="G90">
        <v>12</v>
      </c>
      <c r="H90">
        <v>0</v>
      </c>
      <c r="I90">
        <v>0</v>
      </c>
      <c r="J90">
        <v>0</v>
      </c>
      <c r="K90">
        <v>60</v>
      </c>
      <c r="L90">
        <v>0</v>
      </c>
      <c r="M90">
        <v>0</v>
      </c>
      <c r="N90">
        <v>528</v>
      </c>
      <c r="O90">
        <v>140</v>
      </c>
    </row>
    <row r="91" spans="1:15" x14ac:dyDescent="0.25">
      <c r="A91" t="s">
        <v>1831</v>
      </c>
      <c r="B91">
        <v>0</v>
      </c>
      <c r="C91">
        <v>0</v>
      </c>
      <c r="D91">
        <v>4</v>
      </c>
      <c r="E91">
        <v>64</v>
      </c>
      <c r="F91">
        <v>0</v>
      </c>
      <c r="G91">
        <v>8</v>
      </c>
      <c r="H91">
        <v>-4</v>
      </c>
      <c r="I91">
        <v>0</v>
      </c>
      <c r="J91">
        <v>40</v>
      </c>
      <c r="K91">
        <v>68</v>
      </c>
      <c r="L91">
        <v>0</v>
      </c>
      <c r="M91">
        <v>0</v>
      </c>
      <c r="N91">
        <v>500</v>
      </c>
      <c r="O91">
        <v>180</v>
      </c>
    </row>
    <row r="92" spans="1:15" x14ac:dyDescent="0.25">
      <c r="A92" t="s">
        <v>1829</v>
      </c>
      <c r="B92">
        <v>0</v>
      </c>
      <c r="C92">
        <v>0</v>
      </c>
      <c r="D92">
        <v>0</v>
      </c>
      <c r="E92">
        <v>0</v>
      </c>
      <c r="F92">
        <v>8</v>
      </c>
      <c r="G92">
        <v>20</v>
      </c>
      <c r="H92">
        <v>12</v>
      </c>
      <c r="I92">
        <v>8</v>
      </c>
      <c r="J92">
        <v>112</v>
      </c>
      <c r="K92">
        <v>36</v>
      </c>
      <c r="L92">
        <v>16</v>
      </c>
      <c r="M92">
        <v>12</v>
      </c>
      <c r="N92">
        <v>1840</v>
      </c>
      <c r="O92">
        <v>224</v>
      </c>
    </row>
    <row r="93" spans="1:15" x14ac:dyDescent="0.25">
      <c r="A93" t="s">
        <v>1836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3</v>
      </c>
      <c r="K93">
        <v>20</v>
      </c>
      <c r="L93">
        <v>0</v>
      </c>
      <c r="M93">
        <v>16</v>
      </c>
      <c r="N93">
        <v>32</v>
      </c>
      <c r="O93">
        <v>39</v>
      </c>
    </row>
    <row r="94" spans="1:15" x14ac:dyDescent="0.25">
      <c r="A94" t="s">
        <v>1837</v>
      </c>
      <c r="B94">
        <v>0</v>
      </c>
      <c r="C94">
        <v>0</v>
      </c>
      <c r="D94">
        <v>0</v>
      </c>
      <c r="E94">
        <v>0</v>
      </c>
      <c r="F94">
        <v>40</v>
      </c>
      <c r="G94">
        <v>0</v>
      </c>
      <c r="H94">
        <v>0</v>
      </c>
      <c r="I94">
        <v>8</v>
      </c>
      <c r="J94">
        <v>8</v>
      </c>
      <c r="K94">
        <v>12</v>
      </c>
      <c r="L94">
        <v>0</v>
      </c>
      <c r="M94">
        <v>4</v>
      </c>
      <c r="N94">
        <v>0</v>
      </c>
      <c r="O94">
        <v>72</v>
      </c>
    </row>
    <row r="95" spans="1:15" x14ac:dyDescent="0.25">
      <c r="A95" t="s">
        <v>1839</v>
      </c>
      <c r="B95">
        <v>0</v>
      </c>
      <c r="C95">
        <v>0</v>
      </c>
      <c r="D95">
        <v>0</v>
      </c>
      <c r="E95">
        <v>8</v>
      </c>
      <c r="F95">
        <v>40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48</v>
      </c>
    </row>
    <row r="96" spans="1:15" x14ac:dyDescent="0.25">
      <c r="A96" t="s">
        <v>1834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8</v>
      </c>
      <c r="J96">
        <v>0</v>
      </c>
      <c r="K96">
        <v>0</v>
      </c>
      <c r="L96">
        <v>0</v>
      </c>
      <c r="M96">
        <v>0</v>
      </c>
      <c r="N96">
        <v>50</v>
      </c>
      <c r="O96">
        <v>8</v>
      </c>
    </row>
    <row r="97" spans="1:15" x14ac:dyDescent="0.25">
      <c r="A97" t="s">
        <v>1841</v>
      </c>
      <c r="B97">
        <v>0</v>
      </c>
      <c r="C97">
        <v>0</v>
      </c>
      <c r="D97">
        <v>0</v>
      </c>
      <c r="E97">
        <v>32</v>
      </c>
      <c r="F97">
        <v>8</v>
      </c>
      <c r="G97">
        <v>0</v>
      </c>
      <c r="H97">
        <v>0</v>
      </c>
      <c r="I97">
        <v>4</v>
      </c>
      <c r="J97">
        <v>0</v>
      </c>
      <c r="K97">
        <v>20</v>
      </c>
      <c r="L97">
        <v>4</v>
      </c>
      <c r="M97">
        <v>0</v>
      </c>
      <c r="N97">
        <v>20</v>
      </c>
      <c r="O97">
        <v>68</v>
      </c>
    </row>
    <row r="98" spans="1:15" x14ac:dyDescent="0.25">
      <c r="A98" t="s">
        <v>1832</v>
      </c>
      <c r="B98">
        <v>0</v>
      </c>
      <c r="C98">
        <v>0</v>
      </c>
      <c r="D98">
        <v>0</v>
      </c>
      <c r="E98">
        <v>68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68</v>
      </c>
    </row>
    <row r="99" spans="1:15" x14ac:dyDescent="0.25">
      <c r="A99" t="s">
        <v>1855</v>
      </c>
      <c r="B99">
        <v>4</v>
      </c>
      <c r="C99">
        <v>0</v>
      </c>
      <c r="D99">
        <v>0</v>
      </c>
      <c r="E99">
        <v>164</v>
      </c>
      <c r="F99">
        <v>68</v>
      </c>
      <c r="G99">
        <v>12</v>
      </c>
      <c r="H99">
        <v>4</v>
      </c>
      <c r="I99">
        <v>16</v>
      </c>
      <c r="J99">
        <v>40</v>
      </c>
      <c r="K99">
        <v>20</v>
      </c>
      <c r="L99">
        <v>20</v>
      </c>
      <c r="M99">
        <v>16</v>
      </c>
      <c r="N99">
        <v>424</v>
      </c>
      <c r="O99">
        <v>364</v>
      </c>
    </row>
    <row r="100" spans="1:15" x14ac:dyDescent="0.25">
      <c r="A100" t="s">
        <v>1819</v>
      </c>
      <c r="B100">
        <v>0</v>
      </c>
      <c r="C100">
        <v>0</v>
      </c>
      <c r="D100">
        <v>0</v>
      </c>
      <c r="E100">
        <v>56</v>
      </c>
      <c r="F100">
        <v>8</v>
      </c>
      <c r="G100">
        <v>4</v>
      </c>
      <c r="H100">
        <v>0</v>
      </c>
      <c r="I100">
        <v>0</v>
      </c>
      <c r="J100">
        <v>8</v>
      </c>
      <c r="K100">
        <v>0</v>
      </c>
      <c r="L100">
        <v>0</v>
      </c>
      <c r="M100">
        <v>0</v>
      </c>
      <c r="N100">
        <v>0</v>
      </c>
      <c r="O100">
        <v>76</v>
      </c>
    </row>
    <row r="101" spans="1:15" x14ac:dyDescent="0.25">
      <c r="A101" t="s">
        <v>1858</v>
      </c>
      <c r="B101">
        <v>0</v>
      </c>
      <c r="C101">
        <v>0</v>
      </c>
      <c r="D101">
        <v>0</v>
      </c>
      <c r="E101">
        <v>68</v>
      </c>
      <c r="F101">
        <v>0</v>
      </c>
      <c r="G101">
        <v>0</v>
      </c>
      <c r="H101">
        <v>4</v>
      </c>
      <c r="I101">
        <v>8</v>
      </c>
      <c r="J101">
        <v>12</v>
      </c>
      <c r="K101">
        <v>0</v>
      </c>
      <c r="L101">
        <v>0</v>
      </c>
      <c r="M101">
        <v>0</v>
      </c>
      <c r="N101">
        <v>164</v>
      </c>
      <c r="O101">
        <v>92</v>
      </c>
    </row>
    <row r="102" spans="1:15" x14ac:dyDescent="0.25">
      <c r="A102" t="s">
        <v>1856</v>
      </c>
      <c r="B102">
        <v>40</v>
      </c>
      <c r="C102">
        <v>0</v>
      </c>
      <c r="D102">
        <v>0</v>
      </c>
      <c r="E102">
        <v>68</v>
      </c>
      <c r="F102">
        <v>0</v>
      </c>
      <c r="G102">
        <v>8</v>
      </c>
      <c r="H102">
        <v>0</v>
      </c>
      <c r="I102">
        <v>36</v>
      </c>
      <c r="J102">
        <v>8</v>
      </c>
      <c r="K102">
        <v>12</v>
      </c>
      <c r="L102">
        <v>12</v>
      </c>
      <c r="M102">
        <v>40</v>
      </c>
      <c r="N102">
        <v>176</v>
      </c>
      <c r="O102">
        <v>224</v>
      </c>
    </row>
    <row r="103" spans="1:15" x14ac:dyDescent="0.25">
      <c r="A103" t="s">
        <v>1861</v>
      </c>
      <c r="B103">
        <v>0</v>
      </c>
      <c r="C103">
        <v>0</v>
      </c>
      <c r="D103">
        <v>0</v>
      </c>
      <c r="E103">
        <v>20</v>
      </c>
      <c r="F103">
        <v>0</v>
      </c>
      <c r="G103">
        <v>0</v>
      </c>
      <c r="H103">
        <v>0</v>
      </c>
      <c r="I103">
        <v>0</v>
      </c>
      <c r="J103">
        <v>24</v>
      </c>
      <c r="K103">
        <v>0</v>
      </c>
      <c r="L103">
        <v>4</v>
      </c>
      <c r="M103">
        <v>0</v>
      </c>
      <c r="N103">
        <v>148</v>
      </c>
      <c r="O103">
        <v>48</v>
      </c>
    </row>
    <row r="104" spans="1:15" x14ac:dyDescent="0.25">
      <c r="A104" t="s">
        <v>1859</v>
      </c>
      <c r="B104">
        <v>28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24</v>
      </c>
      <c r="K104">
        <v>0</v>
      </c>
      <c r="L104">
        <v>0</v>
      </c>
      <c r="M104">
        <v>4</v>
      </c>
      <c r="N104">
        <v>244</v>
      </c>
      <c r="O104">
        <v>56</v>
      </c>
    </row>
    <row r="105" spans="1:15" x14ac:dyDescent="0.25">
      <c r="A105" t="s">
        <v>1807</v>
      </c>
      <c r="B105">
        <v>0</v>
      </c>
      <c r="C105">
        <v>3</v>
      </c>
      <c r="D105">
        <v>15</v>
      </c>
      <c r="E105">
        <v>6</v>
      </c>
      <c r="F105">
        <v>42</v>
      </c>
      <c r="G105">
        <v>18</v>
      </c>
      <c r="H105">
        <v>57</v>
      </c>
      <c r="I105">
        <v>24</v>
      </c>
      <c r="J105">
        <v>63</v>
      </c>
      <c r="K105">
        <v>177</v>
      </c>
      <c r="L105">
        <v>0</v>
      </c>
      <c r="M105">
        <v>129</v>
      </c>
      <c r="N105">
        <v>402</v>
      </c>
      <c r="O105">
        <v>534</v>
      </c>
    </row>
    <row r="106" spans="1:15" x14ac:dyDescent="0.25">
      <c r="A106" t="s">
        <v>1808</v>
      </c>
      <c r="B106">
        <v>6</v>
      </c>
      <c r="C106">
        <v>66</v>
      </c>
      <c r="D106">
        <v>57</v>
      </c>
      <c r="E106">
        <v>60</v>
      </c>
      <c r="F106">
        <v>57</v>
      </c>
      <c r="G106">
        <v>42</v>
      </c>
      <c r="H106">
        <v>27</v>
      </c>
      <c r="I106">
        <v>60</v>
      </c>
      <c r="J106">
        <v>87</v>
      </c>
      <c r="K106">
        <v>93</v>
      </c>
      <c r="L106">
        <v>27</v>
      </c>
      <c r="M106">
        <v>324</v>
      </c>
      <c r="N106">
        <v>1305</v>
      </c>
      <c r="O106">
        <v>906</v>
      </c>
    </row>
    <row r="107" spans="1:15" x14ac:dyDescent="0.25">
      <c r="A107" t="s">
        <v>1809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24</v>
      </c>
      <c r="K107">
        <v>0</v>
      </c>
      <c r="L107">
        <v>0</v>
      </c>
      <c r="M107">
        <v>30</v>
      </c>
      <c r="N107">
        <v>12</v>
      </c>
      <c r="O107">
        <v>54</v>
      </c>
    </row>
    <row r="108" spans="1:15" x14ac:dyDescent="0.25">
      <c r="A108" t="s">
        <v>1810</v>
      </c>
      <c r="B108">
        <v>0</v>
      </c>
      <c r="C108">
        <v>42</v>
      </c>
      <c r="D108">
        <v>0</v>
      </c>
      <c r="E108">
        <v>138</v>
      </c>
      <c r="F108">
        <v>51</v>
      </c>
      <c r="G108">
        <v>24</v>
      </c>
      <c r="H108">
        <v>0</v>
      </c>
      <c r="I108">
        <v>9</v>
      </c>
      <c r="J108">
        <v>24</v>
      </c>
      <c r="K108">
        <v>33</v>
      </c>
      <c r="L108">
        <v>3</v>
      </c>
      <c r="M108">
        <v>111</v>
      </c>
      <c r="N108">
        <v>513</v>
      </c>
      <c r="O108">
        <v>435</v>
      </c>
    </row>
    <row r="109" spans="1:15" x14ac:dyDescent="0.25">
      <c r="A109" t="s">
        <v>1811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6</v>
      </c>
      <c r="J109">
        <v>24</v>
      </c>
      <c r="K109">
        <v>0</v>
      </c>
      <c r="L109">
        <v>0</v>
      </c>
      <c r="M109">
        <v>0</v>
      </c>
      <c r="N109">
        <v>33</v>
      </c>
      <c r="O109">
        <v>30</v>
      </c>
    </row>
    <row r="110" spans="1:15" x14ac:dyDescent="0.25">
      <c r="A110" t="s">
        <v>1813</v>
      </c>
      <c r="B110">
        <v>0</v>
      </c>
      <c r="C110">
        <v>15</v>
      </c>
      <c r="D110">
        <v>0</v>
      </c>
      <c r="E110">
        <v>165</v>
      </c>
      <c r="F110">
        <v>30</v>
      </c>
      <c r="G110">
        <v>15</v>
      </c>
      <c r="H110">
        <v>0</v>
      </c>
      <c r="I110">
        <v>6</v>
      </c>
      <c r="J110">
        <v>24</v>
      </c>
      <c r="K110">
        <v>0</v>
      </c>
      <c r="L110">
        <v>0</v>
      </c>
      <c r="M110">
        <v>66</v>
      </c>
      <c r="N110">
        <v>420</v>
      </c>
      <c r="O110">
        <v>321</v>
      </c>
    </row>
    <row r="111" spans="1:15" x14ac:dyDescent="0.25">
      <c r="A111" t="s">
        <v>1815</v>
      </c>
      <c r="B111">
        <v>0</v>
      </c>
      <c r="C111">
        <v>0</v>
      </c>
      <c r="D111">
        <v>0</v>
      </c>
      <c r="E111">
        <v>60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60</v>
      </c>
    </row>
    <row r="112" spans="1:15" x14ac:dyDescent="0.25">
      <c r="A112" t="s">
        <v>1817</v>
      </c>
      <c r="B112">
        <v>0</v>
      </c>
      <c r="C112">
        <v>15</v>
      </c>
      <c r="D112">
        <v>0</v>
      </c>
      <c r="E112">
        <v>90</v>
      </c>
      <c r="F112">
        <v>0</v>
      </c>
      <c r="G112">
        <v>3</v>
      </c>
      <c r="H112">
        <v>0</v>
      </c>
      <c r="I112">
        <v>6</v>
      </c>
      <c r="J112">
        <v>30</v>
      </c>
      <c r="K112">
        <v>0</v>
      </c>
      <c r="L112">
        <v>0</v>
      </c>
      <c r="M112">
        <v>30</v>
      </c>
      <c r="N112">
        <v>558</v>
      </c>
      <c r="O112">
        <v>174</v>
      </c>
    </row>
    <row r="113" spans="1:15" x14ac:dyDescent="0.25">
      <c r="A113" t="s">
        <v>1805</v>
      </c>
      <c r="B113">
        <v>27</v>
      </c>
      <c r="C113">
        <v>213</v>
      </c>
      <c r="D113">
        <v>154</v>
      </c>
      <c r="E113">
        <v>258</v>
      </c>
      <c r="F113">
        <v>258</v>
      </c>
      <c r="G113">
        <v>307</v>
      </c>
      <c r="H113">
        <v>228</v>
      </c>
      <c r="I113">
        <v>526</v>
      </c>
      <c r="J113">
        <v>886</v>
      </c>
      <c r="K113">
        <v>756</v>
      </c>
      <c r="L113">
        <v>513</v>
      </c>
      <c r="M113">
        <v>646</v>
      </c>
      <c r="N113">
        <v>14009</v>
      </c>
      <c r="O113">
        <v>4772</v>
      </c>
    </row>
    <row r="114" spans="1:15" x14ac:dyDescent="0.25">
      <c r="A114" t="s">
        <v>1824</v>
      </c>
      <c r="B114">
        <v>0</v>
      </c>
      <c r="C114">
        <v>0</v>
      </c>
      <c r="D114">
        <v>0</v>
      </c>
      <c r="E114">
        <v>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24</v>
      </c>
    </row>
    <row r="115" spans="1:15" x14ac:dyDescent="0.25">
      <c r="A115" t="s">
        <v>1822</v>
      </c>
      <c r="B115">
        <v>0</v>
      </c>
      <c r="C115">
        <v>0</v>
      </c>
      <c r="D115">
        <v>4</v>
      </c>
      <c r="E115">
        <v>8</v>
      </c>
      <c r="F115">
        <v>16</v>
      </c>
      <c r="G115">
        <v>4</v>
      </c>
      <c r="H115">
        <v>-8</v>
      </c>
      <c r="I115">
        <v>0</v>
      </c>
      <c r="J115">
        <v>-4</v>
      </c>
      <c r="K115">
        <v>4</v>
      </c>
      <c r="L115">
        <v>0</v>
      </c>
      <c r="M115">
        <v>0</v>
      </c>
      <c r="N115">
        <v>975</v>
      </c>
      <c r="O115">
        <v>24</v>
      </c>
    </row>
    <row r="116" spans="1:15" x14ac:dyDescent="0.25">
      <c r="A116" t="s">
        <v>1823</v>
      </c>
      <c r="B116">
        <v>0</v>
      </c>
      <c r="C116">
        <v>0</v>
      </c>
      <c r="D116">
        <v>4</v>
      </c>
      <c r="E116">
        <v>8</v>
      </c>
      <c r="F116">
        <v>16</v>
      </c>
      <c r="G116">
        <v>16</v>
      </c>
      <c r="H116">
        <v>-4</v>
      </c>
      <c r="I116">
        <v>0</v>
      </c>
      <c r="J116">
        <v>48</v>
      </c>
      <c r="K116">
        <v>4</v>
      </c>
      <c r="L116">
        <v>0</v>
      </c>
      <c r="M116">
        <v>0</v>
      </c>
      <c r="N116">
        <v>968</v>
      </c>
      <c r="O116">
        <v>92</v>
      </c>
    </row>
    <row r="117" spans="1:15" x14ac:dyDescent="0.25">
      <c r="A117" t="s">
        <v>1821</v>
      </c>
      <c r="B117">
        <v>0</v>
      </c>
      <c r="C117">
        <v>0</v>
      </c>
      <c r="D117">
        <v>4</v>
      </c>
      <c r="E117">
        <v>20</v>
      </c>
      <c r="F117">
        <v>32</v>
      </c>
      <c r="G117">
        <v>4</v>
      </c>
      <c r="H117">
        <v>24</v>
      </c>
      <c r="I117">
        <v>16</v>
      </c>
      <c r="J117">
        <v>76</v>
      </c>
      <c r="K117">
        <v>76</v>
      </c>
      <c r="L117">
        <v>128</v>
      </c>
      <c r="M117">
        <v>24</v>
      </c>
      <c r="N117">
        <v>3568</v>
      </c>
      <c r="O117">
        <v>404</v>
      </c>
    </row>
    <row r="118" spans="1:15" x14ac:dyDescent="0.25">
      <c r="A118" t="s">
        <v>1826</v>
      </c>
      <c r="B118">
        <v>0</v>
      </c>
      <c r="C118">
        <v>0</v>
      </c>
      <c r="D118">
        <v>4</v>
      </c>
      <c r="E118">
        <v>8</v>
      </c>
      <c r="F118">
        <v>8</v>
      </c>
      <c r="G118">
        <v>8</v>
      </c>
      <c r="H118">
        <v>-4</v>
      </c>
      <c r="I118">
        <v>0</v>
      </c>
      <c r="J118">
        <v>-4</v>
      </c>
      <c r="K118">
        <v>12</v>
      </c>
      <c r="L118">
        <v>0</v>
      </c>
      <c r="M118">
        <v>0</v>
      </c>
      <c r="N118">
        <v>460</v>
      </c>
      <c r="O118">
        <v>32</v>
      </c>
    </row>
    <row r="119" spans="1:15" x14ac:dyDescent="0.25">
      <c r="A119" t="s">
        <v>1827</v>
      </c>
      <c r="B119">
        <v>0</v>
      </c>
      <c r="C119">
        <v>0</v>
      </c>
      <c r="D119">
        <v>0</v>
      </c>
      <c r="E119">
        <v>128</v>
      </c>
      <c r="F119">
        <v>0</v>
      </c>
      <c r="G119">
        <v>16</v>
      </c>
      <c r="H119">
        <v>4</v>
      </c>
      <c r="I119">
        <v>0</v>
      </c>
      <c r="J119">
        <v>72</v>
      </c>
      <c r="K119">
        <v>28</v>
      </c>
      <c r="L119">
        <v>80</v>
      </c>
      <c r="M119">
        <v>0</v>
      </c>
      <c r="N119">
        <v>896</v>
      </c>
      <c r="O119">
        <v>328</v>
      </c>
    </row>
    <row r="120" spans="1:15" x14ac:dyDescent="0.25">
      <c r="A120" t="s">
        <v>1828</v>
      </c>
      <c r="B120">
        <v>0</v>
      </c>
      <c r="C120">
        <v>0</v>
      </c>
      <c r="D120">
        <v>0</v>
      </c>
      <c r="E120">
        <v>52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52</v>
      </c>
    </row>
    <row r="121" spans="1:15" x14ac:dyDescent="0.25">
      <c r="A121" t="s">
        <v>1825</v>
      </c>
      <c r="B121">
        <v>4</v>
      </c>
      <c r="C121">
        <v>0</v>
      </c>
      <c r="D121">
        <v>4</v>
      </c>
      <c r="E121">
        <v>12</v>
      </c>
      <c r="F121">
        <v>36</v>
      </c>
      <c r="G121">
        <v>24</v>
      </c>
      <c r="H121">
        <v>52</v>
      </c>
      <c r="I121">
        <v>28</v>
      </c>
      <c r="J121">
        <v>128</v>
      </c>
      <c r="K121">
        <v>64</v>
      </c>
      <c r="L121">
        <v>168</v>
      </c>
      <c r="M121">
        <v>20</v>
      </c>
      <c r="N121">
        <v>3820</v>
      </c>
      <c r="O121">
        <v>540</v>
      </c>
    </row>
    <row r="122" spans="1:15" x14ac:dyDescent="0.25">
      <c r="A122" t="s">
        <v>1844</v>
      </c>
      <c r="B122">
        <v>0</v>
      </c>
      <c r="C122">
        <v>0</v>
      </c>
      <c r="D122">
        <v>0</v>
      </c>
      <c r="E122">
        <v>152</v>
      </c>
      <c r="F122">
        <v>0</v>
      </c>
      <c r="G122">
        <v>8</v>
      </c>
      <c r="H122">
        <v>0</v>
      </c>
      <c r="I122">
        <v>8</v>
      </c>
      <c r="J122">
        <v>0</v>
      </c>
      <c r="K122">
        <v>4</v>
      </c>
      <c r="L122">
        <v>0</v>
      </c>
      <c r="M122">
        <v>0</v>
      </c>
      <c r="N122">
        <v>244</v>
      </c>
      <c r="O122">
        <v>172</v>
      </c>
    </row>
    <row r="123" spans="1:15" x14ac:dyDescent="0.25">
      <c r="A123" t="s">
        <v>1845</v>
      </c>
      <c r="B123">
        <v>0</v>
      </c>
      <c r="C123">
        <v>0</v>
      </c>
      <c r="D123">
        <v>4</v>
      </c>
      <c r="E123">
        <v>120</v>
      </c>
      <c r="F123">
        <v>0</v>
      </c>
      <c r="G123">
        <v>20</v>
      </c>
      <c r="H123">
        <v>12</v>
      </c>
      <c r="I123">
        <v>12</v>
      </c>
      <c r="J123">
        <v>56</v>
      </c>
      <c r="K123">
        <v>16</v>
      </c>
      <c r="L123">
        <v>96</v>
      </c>
      <c r="M123">
        <v>8</v>
      </c>
      <c r="N123">
        <v>1636</v>
      </c>
      <c r="O123">
        <v>344</v>
      </c>
    </row>
    <row r="124" spans="1:15" x14ac:dyDescent="0.25">
      <c r="A124" t="s">
        <v>656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100</v>
      </c>
      <c r="O124">
        <v>0</v>
      </c>
    </row>
    <row r="125" spans="1:15" x14ac:dyDescent="0.25">
      <c r="A125" t="s">
        <v>824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8</v>
      </c>
      <c r="L125">
        <v>8</v>
      </c>
      <c r="M125">
        <v>0</v>
      </c>
      <c r="N125">
        <v>24</v>
      </c>
      <c r="O125">
        <v>16</v>
      </c>
    </row>
    <row r="126" spans="1:15" x14ac:dyDescent="0.25">
      <c r="A126" t="s">
        <v>628</v>
      </c>
      <c r="B126">
        <v>112</v>
      </c>
      <c r="C126">
        <v>144</v>
      </c>
      <c r="D126">
        <v>288</v>
      </c>
      <c r="E126">
        <v>392</v>
      </c>
      <c r="F126">
        <v>772</v>
      </c>
      <c r="G126">
        <v>160</v>
      </c>
      <c r="H126">
        <v>324</v>
      </c>
      <c r="I126">
        <v>380</v>
      </c>
      <c r="J126">
        <v>720</v>
      </c>
      <c r="K126">
        <v>60</v>
      </c>
      <c r="L126">
        <v>284</v>
      </c>
      <c r="M126">
        <v>416</v>
      </c>
      <c r="N126">
        <v>896</v>
      </c>
      <c r="O126">
        <v>4052</v>
      </c>
    </row>
    <row r="127" spans="1:15" x14ac:dyDescent="0.25">
      <c r="A127" t="s">
        <v>707</v>
      </c>
      <c r="B127">
        <v>0</v>
      </c>
      <c r="C127">
        <v>40</v>
      </c>
      <c r="D127">
        <v>8</v>
      </c>
      <c r="E127">
        <v>0</v>
      </c>
      <c r="F127">
        <v>0</v>
      </c>
      <c r="G127">
        <v>20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-40</v>
      </c>
      <c r="N127">
        <v>72</v>
      </c>
      <c r="O127">
        <v>28</v>
      </c>
    </row>
    <row r="128" spans="1:15" x14ac:dyDescent="0.25">
      <c r="A128" t="s">
        <v>634</v>
      </c>
      <c r="B128">
        <v>16</v>
      </c>
      <c r="C128">
        <v>4</v>
      </c>
      <c r="D128">
        <v>144</v>
      </c>
      <c r="E128">
        <v>52</v>
      </c>
      <c r="F128">
        <v>120</v>
      </c>
      <c r="G128">
        <v>120</v>
      </c>
      <c r="H128">
        <v>12</v>
      </c>
      <c r="I128">
        <v>176</v>
      </c>
      <c r="J128">
        <v>12</v>
      </c>
      <c r="K128">
        <v>48</v>
      </c>
      <c r="L128">
        <v>52</v>
      </c>
      <c r="M128">
        <v>120</v>
      </c>
      <c r="N128">
        <v>244</v>
      </c>
      <c r="O128">
        <v>876</v>
      </c>
    </row>
    <row r="129" spans="1:15" x14ac:dyDescent="0.25">
      <c r="A129" t="s">
        <v>638</v>
      </c>
      <c r="B129">
        <v>244</v>
      </c>
      <c r="C129">
        <v>308</v>
      </c>
      <c r="D129">
        <v>160</v>
      </c>
      <c r="E129">
        <v>336</v>
      </c>
      <c r="F129">
        <v>240</v>
      </c>
      <c r="G129">
        <v>392</v>
      </c>
      <c r="H129">
        <v>296</v>
      </c>
      <c r="I129">
        <v>16</v>
      </c>
      <c r="J129">
        <v>0</v>
      </c>
      <c r="K129">
        <v>32</v>
      </c>
      <c r="L129">
        <v>32</v>
      </c>
      <c r="M129">
        <v>4</v>
      </c>
      <c r="N129">
        <v>0</v>
      </c>
      <c r="O129">
        <v>2060</v>
      </c>
    </row>
    <row r="130" spans="1:15" x14ac:dyDescent="0.25">
      <c r="A130" t="s">
        <v>651</v>
      </c>
      <c r="B130">
        <v>32</v>
      </c>
      <c r="C130">
        <v>112</v>
      </c>
      <c r="D130">
        <v>24</v>
      </c>
      <c r="E130">
        <v>20</v>
      </c>
      <c r="F130">
        <v>32</v>
      </c>
      <c r="G130">
        <v>32</v>
      </c>
      <c r="H130">
        <v>24</v>
      </c>
      <c r="I130">
        <v>16</v>
      </c>
      <c r="J130">
        <v>264</v>
      </c>
      <c r="K130">
        <v>32</v>
      </c>
      <c r="L130">
        <v>160</v>
      </c>
      <c r="M130">
        <v>24</v>
      </c>
      <c r="N130">
        <v>100</v>
      </c>
      <c r="O130">
        <v>772</v>
      </c>
    </row>
    <row r="131" spans="1:15" x14ac:dyDescent="0.25">
      <c r="A131" t="s">
        <v>649</v>
      </c>
      <c r="B131">
        <v>0</v>
      </c>
      <c r="C131">
        <v>0</v>
      </c>
      <c r="D131">
        <v>0</v>
      </c>
      <c r="E131">
        <v>12</v>
      </c>
      <c r="F131">
        <v>20</v>
      </c>
      <c r="G131">
        <v>8</v>
      </c>
      <c r="H131">
        <v>8</v>
      </c>
      <c r="I131">
        <v>8</v>
      </c>
      <c r="J131">
        <v>0</v>
      </c>
      <c r="K131">
        <v>8</v>
      </c>
      <c r="L131">
        <v>0</v>
      </c>
      <c r="M131">
        <v>8</v>
      </c>
      <c r="N131">
        <v>136</v>
      </c>
      <c r="O131">
        <v>72</v>
      </c>
    </row>
    <row r="132" spans="1:15" x14ac:dyDescent="0.25">
      <c r="A132" t="s">
        <v>642</v>
      </c>
      <c r="B132">
        <v>96</v>
      </c>
      <c r="C132">
        <v>32</v>
      </c>
      <c r="D132">
        <v>80</v>
      </c>
      <c r="E132">
        <v>48</v>
      </c>
      <c r="F132">
        <v>40</v>
      </c>
      <c r="G132">
        <v>24</v>
      </c>
      <c r="H132">
        <v>144</v>
      </c>
      <c r="I132">
        <v>8</v>
      </c>
      <c r="J132">
        <v>32</v>
      </c>
      <c r="K132">
        <v>12</v>
      </c>
      <c r="L132">
        <v>16</v>
      </c>
      <c r="M132">
        <v>0</v>
      </c>
      <c r="N132">
        <v>0</v>
      </c>
      <c r="O132">
        <v>532</v>
      </c>
    </row>
    <row r="133" spans="1:15" x14ac:dyDescent="0.25">
      <c r="A133" t="s">
        <v>856</v>
      </c>
      <c r="B133">
        <v>0</v>
      </c>
      <c r="C133">
        <v>0</v>
      </c>
      <c r="D133">
        <v>0</v>
      </c>
      <c r="E133">
        <v>0</v>
      </c>
      <c r="F133">
        <v>4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92</v>
      </c>
      <c r="O133">
        <v>4</v>
      </c>
    </row>
    <row r="134" spans="1:15" x14ac:dyDescent="0.25">
      <c r="A134" t="s">
        <v>848</v>
      </c>
      <c r="B134">
        <v>0</v>
      </c>
      <c r="C134">
        <v>0</v>
      </c>
      <c r="D134">
        <v>28</v>
      </c>
      <c r="E134">
        <v>0</v>
      </c>
      <c r="F134">
        <v>4</v>
      </c>
      <c r="G134">
        <v>0</v>
      </c>
      <c r="H134">
        <v>0</v>
      </c>
      <c r="I134">
        <v>4</v>
      </c>
      <c r="J134">
        <v>0</v>
      </c>
      <c r="K134">
        <v>20</v>
      </c>
      <c r="L134">
        <v>0</v>
      </c>
      <c r="M134">
        <v>0</v>
      </c>
      <c r="N134">
        <v>92</v>
      </c>
      <c r="O134">
        <v>56</v>
      </c>
    </row>
    <row r="135" spans="1:15" x14ac:dyDescent="0.25">
      <c r="A135" t="s">
        <v>623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176</v>
      </c>
      <c r="O135">
        <v>0</v>
      </c>
    </row>
    <row r="136" spans="1:15" x14ac:dyDescent="0.25">
      <c r="A136" t="s">
        <v>655</v>
      </c>
      <c r="B136">
        <v>52</v>
      </c>
      <c r="C136">
        <v>0</v>
      </c>
      <c r="D136">
        <v>0</v>
      </c>
      <c r="E136">
        <v>0</v>
      </c>
      <c r="F136">
        <v>0</v>
      </c>
      <c r="G136">
        <v>4</v>
      </c>
      <c r="H136">
        <v>40</v>
      </c>
      <c r="I136">
        <v>0</v>
      </c>
      <c r="J136">
        <v>8</v>
      </c>
      <c r="K136">
        <v>112</v>
      </c>
      <c r="L136">
        <v>32</v>
      </c>
      <c r="M136">
        <v>268</v>
      </c>
      <c r="N136">
        <v>740</v>
      </c>
      <c r="O136">
        <v>516</v>
      </c>
    </row>
    <row r="137" spans="1:15" x14ac:dyDescent="0.25">
      <c r="A137" t="s">
        <v>637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160</v>
      </c>
      <c r="I137">
        <v>240</v>
      </c>
      <c r="J137">
        <v>72</v>
      </c>
      <c r="K137">
        <v>488</v>
      </c>
      <c r="L137">
        <v>140</v>
      </c>
      <c r="M137">
        <v>348</v>
      </c>
      <c r="N137">
        <v>652</v>
      </c>
      <c r="O137">
        <v>1448</v>
      </c>
    </row>
    <row r="138" spans="1:15" x14ac:dyDescent="0.25">
      <c r="A138" t="s">
        <v>645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40</v>
      </c>
      <c r="O138">
        <v>0</v>
      </c>
    </row>
    <row r="139" spans="1:15" x14ac:dyDescent="0.25">
      <c r="A139" t="s">
        <v>1767</v>
      </c>
      <c r="B139">
        <v>40</v>
      </c>
      <c r="C139">
        <v>0</v>
      </c>
      <c r="D139">
        <v>0</v>
      </c>
      <c r="E139">
        <v>0</v>
      </c>
      <c r="F139">
        <v>32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20</v>
      </c>
      <c r="M139">
        <v>0</v>
      </c>
      <c r="N139">
        <v>100</v>
      </c>
      <c r="O139">
        <v>92</v>
      </c>
    </row>
    <row r="140" spans="1:15" x14ac:dyDescent="0.25">
      <c r="A140" t="s">
        <v>746</v>
      </c>
      <c r="B140">
        <v>40</v>
      </c>
      <c r="C140">
        <v>0</v>
      </c>
      <c r="D140">
        <v>0</v>
      </c>
      <c r="E140">
        <v>0</v>
      </c>
      <c r="F140">
        <v>40</v>
      </c>
      <c r="G140">
        <v>0</v>
      </c>
      <c r="H140">
        <v>0</v>
      </c>
      <c r="I140">
        <v>200</v>
      </c>
      <c r="J140">
        <v>24</v>
      </c>
      <c r="K140">
        <v>20</v>
      </c>
      <c r="L140">
        <v>0</v>
      </c>
      <c r="M140">
        <v>0</v>
      </c>
      <c r="N140">
        <v>204</v>
      </c>
      <c r="O140">
        <v>324</v>
      </c>
    </row>
    <row r="141" spans="1:15" x14ac:dyDescent="0.25">
      <c r="A141" t="s">
        <v>747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20</v>
      </c>
      <c r="L141">
        <v>0</v>
      </c>
      <c r="M141">
        <v>0</v>
      </c>
      <c r="N141">
        <v>0</v>
      </c>
      <c r="O141">
        <v>20</v>
      </c>
    </row>
    <row r="142" spans="1:15" x14ac:dyDescent="0.25">
      <c r="A142" t="s">
        <v>937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60</v>
      </c>
      <c r="K142">
        <v>0</v>
      </c>
      <c r="L142">
        <v>0</v>
      </c>
      <c r="M142">
        <v>4</v>
      </c>
      <c r="N142">
        <v>596</v>
      </c>
      <c r="O142">
        <v>64</v>
      </c>
    </row>
    <row r="143" spans="1:15" x14ac:dyDescent="0.25">
      <c r="A143" t="s">
        <v>744</v>
      </c>
      <c r="B143">
        <v>104</v>
      </c>
      <c r="C143">
        <v>40</v>
      </c>
      <c r="D143">
        <v>52</v>
      </c>
      <c r="E143">
        <v>124</v>
      </c>
      <c r="F143">
        <v>356</v>
      </c>
      <c r="G143">
        <v>4</v>
      </c>
      <c r="H143">
        <v>68</v>
      </c>
      <c r="I143">
        <v>56</v>
      </c>
      <c r="J143">
        <v>60</v>
      </c>
      <c r="K143">
        <v>52</v>
      </c>
      <c r="L143">
        <v>24</v>
      </c>
      <c r="M143">
        <v>0</v>
      </c>
      <c r="N143">
        <v>240</v>
      </c>
      <c r="O143">
        <v>940</v>
      </c>
    </row>
    <row r="144" spans="1:15" x14ac:dyDescent="0.25">
      <c r="A144" t="s">
        <v>1748</v>
      </c>
      <c r="B144">
        <v>0</v>
      </c>
      <c r="C144">
        <v>0</v>
      </c>
      <c r="D144">
        <v>-12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36</v>
      </c>
      <c r="O144">
        <v>-12</v>
      </c>
    </row>
    <row r="145" spans="1:15" x14ac:dyDescent="0.25">
      <c r="A145" t="s">
        <v>895</v>
      </c>
      <c r="B145">
        <v>0</v>
      </c>
      <c r="C145">
        <v>0</v>
      </c>
      <c r="D145">
        <v>-8</v>
      </c>
      <c r="E145">
        <v>0</v>
      </c>
      <c r="F145">
        <v>0</v>
      </c>
      <c r="G145">
        <v>4</v>
      </c>
      <c r="H145">
        <v>0</v>
      </c>
      <c r="I145">
        <v>0</v>
      </c>
      <c r="J145">
        <v>8</v>
      </c>
      <c r="K145">
        <v>0</v>
      </c>
      <c r="L145">
        <v>0</v>
      </c>
      <c r="M145">
        <v>0</v>
      </c>
      <c r="N145">
        <v>44</v>
      </c>
      <c r="O145">
        <v>4</v>
      </c>
    </row>
    <row r="146" spans="1:15" x14ac:dyDescent="0.25">
      <c r="A146" t="s">
        <v>826</v>
      </c>
      <c r="B146">
        <v>16</v>
      </c>
      <c r="C146">
        <v>0</v>
      </c>
      <c r="D146">
        <v>8</v>
      </c>
      <c r="E146">
        <v>12</v>
      </c>
      <c r="F146">
        <v>8</v>
      </c>
      <c r="G146">
        <v>0</v>
      </c>
      <c r="H146">
        <v>8</v>
      </c>
      <c r="I146">
        <v>0</v>
      </c>
      <c r="J146">
        <v>204</v>
      </c>
      <c r="K146">
        <v>0</v>
      </c>
      <c r="L146">
        <v>0</v>
      </c>
      <c r="M146">
        <v>-56</v>
      </c>
      <c r="N146">
        <v>624</v>
      </c>
      <c r="O146">
        <v>200</v>
      </c>
    </row>
    <row r="147" spans="1:15" x14ac:dyDescent="0.25">
      <c r="A147" t="s">
        <v>618</v>
      </c>
      <c r="B147">
        <v>24</v>
      </c>
      <c r="C147">
        <v>40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88</v>
      </c>
      <c r="K147">
        <v>0</v>
      </c>
      <c r="L147">
        <v>56</v>
      </c>
      <c r="M147">
        <v>0</v>
      </c>
      <c r="N147">
        <v>292</v>
      </c>
      <c r="O147">
        <v>208</v>
      </c>
    </row>
    <row r="148" spans="1:15" x14ac:dyDescent="0.25">
      <c r="A148" t="s">
        <v>1744</v>
      </c>
      <c r="B148">
        <v>0</v>
      </c>
      <c r="C148">
        <v>0</v>
      </c>
      <c r="D148">
        <v>0</v>
      </c>
      <c r="E148">
        <v>0</v>
      </c>
      <c r="F148">
        <v>4</v>
      </c>
      <c r="G148">
        <v>8</v>
      </c>
      <c r="H148">
        <v>0</v>
      </c>
      <c r="I148">
        <v>0</v>
      </c>
      <c r="J148">
        <v>200</v>
      </c>
      <c r="K148">
        <v>0</v>
      </c>
      <c r="L148">
        <v>0</v>
      </c>
      <c r="M148">
        <v>32</v>
      </c>
      <c r="N148">
        <v>208</v>
      </c>
      <c r="O148">
        <v>244</v>
      </c>
    </row>
    <row r="149" spans="1:15" x14ac:dyDescent="0.25">
      <c r="A149" t="s">
        <v>629</v>
      </c>
      <c r="B149">
        <v>1480</v>
      </c>
      <c r="C149">
        <v>848</v>
      </c>
      <c r="D149">
        <v>892</v>
      </c>
      <c r="E149">
        <v>628</v>
      </c>
      <c r="F149">
        <v>1036</v>
      </c>
      <c r="G149">
        <v>520</v>
      </c>
      <c r="H149">
        <v>660</v>
      </c>
      <c r="I149">
        <v>844</v>
      </c>
      <c r="J149">
        <v>1256</v>
      </c>
      <c r="K149">
        <v>1364</v>
      </c>
      <c r="L149">
        <v>1172</v>
      </c>
      <c r="M149">
        <v>728</v>
      </c>
      <c r="N149">
        <v>1940</v>
      </c>
      <c r="O149">
        <v>11428</v>
      </c>
    </row>
    <row r="150" spans="1:15" x14ac:dyDescent="0.25">
      <c r="A150" t="s">
        <v>908</v>
      </c>
      <c r="B150">
        <v>4</v>
      </c>
      <c r="C150">
        <v>20</v>
      </c>
      <c r="D150">
        <v>12</v>
      </c>
      <c r="E150">
        <v>52</v>
      </c>
      <c r="F150">
        <v>8</v>
      </c>
      <c r="G150">
        <v>20</v>
      </c>
      <c r="H150">
        <v>16</v>
      </c>
      <c r="I150">
        <v>16</v>
      </c>
      <c r="J150">
        <v>40</v>
      </c>
      <c r="K150">
        <v>12</v>
      </c>
      <c r="L150">
        <v>0</v>
      </c>
      <c r="M150">
        <v>0</v>
      </c>
      <c r="N150">
        <v>228</v>
      </c>
      <c r="O150">
        <v>200</v>
      </c>
    </row>
    <row r="151" spans="1:15" x14ac:dyDescent="0.25">
      <c r="A151" t="s">
        <v>635</v>
      </c>
      <c r="B151">
        <v>236</v>
      </c>
      <c r="C151">
        <v>272</v>
      </c>
      <c r="D151">
        <v>736</v>
      </c>
      <c r="E151">
        <v>356</v>
      </c>
      <c r="F151">
        <v>628</v>
      </c>
      <c r="G151">
        <v>224</v>
      </c>
      <c r="H151">
        <v>368</v>
      </c>
      <c r="I151">
        <v>240</v>
      </c>
      <c r="J151">
        <v>608</v>
      </c>
      <c r="K151">
        <v>772</v>
      </c>
      <c r="L151">
        <v>4</v>
      </c>
      <c r="M151">
        <v>320</v>
      </c>
      <c r="N151">
        <v>1300</v>
      </c>
      <c r="O151">
        <v>4764</v>
      </c>
    </row>
    <row r="152" spans="1:15" x14ac:dyDescent="0.25">
      <c r="A152" t="s">
        <v>750</v>
      </c>
      <c r="B152">
        <v>40</v>
      </c>
      <c r="C152">
        <v>0</v>
      </c>
      <c r="D152">
        <v>0</v>
      </c>
      <c r="E152">
        <v>56</v>
      </c>
      <c r="F152">
        <v>48</v>
      </c>
      <c r="G152">
        <v>32</v>
      </c>
      <c r="H152">
        <v>160</v>
      </c>
      <c r="I152">
        <v>16</v>
      </c>
      <c r="J152">
        <v>80</v>
      </c>
      <c r="K152">
        <v>96</v>
      </c>
      <c r="L152">
        <v>32</v>
      </c>
      <c r="M152">
        <v>32</v>
      </c>
      <c r="N152">
        <v>144</v>
      </c>
      <c r="O152">
        <v>592</v>
      </c>
    </row>
    <row r="153" spans="1:15" x14ac:dyDescent="0.25">
      <c r="A153" t="s">
        <v>928</v>
      </c>
      <c r="B153">
        <v>40</v>
      </c>
      <c r="C153">
        <v>8</v>
      </c>
      <c r="D153">
        <v>0</v>
      </c>
      <c r="E153">
        <v>0</v>
      </c>
      <c r="F153">
        <v>8</v>
      </c>
      <c r="G153">
        <v>24</v>
      </c>
      <c r="H153">
        <v>0</v>
      </c>
      <c r="I153">
        <v>0</v>
      </c>
      <c r="J153">
        <v>4</v>
      </c>
      <c r="K153">
        <v>20</v>
      </c>
      <c r="L153">
        <v>0</v>
      </c>
      <c r="M153">
        <v>0</v>
      </c>
      <c r="N153">
        <v>112</v>
      </c>
      <c r="O153">
        <v>104</v>
      </c>
    </row>
    <row r="154" spans="1:15" x14ac:dyDescent="0.25">
      <c r="A154" t="s">
        <v>1763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16</v>
      </c>
      <c r="K154">
        <v>0</v>
      </c>
      <c r="L154">
        <v>0</v>
      </c>
      <c r="M154">
        <v>0</v>
      </c>
      <c r="N154">
        <v>120</v>
      </c>
      <c r="O154">
        <v>16</v>
      </c>
    </row>
    <row r="155" spans="1:15" x14ac:dyDescent="0.25">
      <c r="A155" t="s">
        <v>1753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60</v>
      </c>
      <c r="O155">
        <v>0</v>
      </c>
    </row>
    <row r="156" spans="1:15" x14ac:dyDescent="0.25">
      <c r="A156" t="s">
        <v>745</v>
      </c>
      <c r="B156">
        <v>1789</v>
      </c>
      <c r="C156">
        <v>3241</v>
      </c>
      <c r="D156">
        <v>951</v>
      </c>
      <c r="E156">
        <v>1950</v>
      </c>
      <c r="F156">
        <v>2226</v>
      </c>
      <c r="G156">
        <v>1287</v>
      </c>
      <c r="H156">
        <v>1471</v>
      </c>
      <c r="I156">
        <v>2322</v>
      </c>
      <c r="J156">
        <v>2949</v>
      </c>
      <c r="K156">
        <v>2892</v>
      </c>
      <c r="L156">
        <v>1246</v>
      </c>
      <c r="M156">
        <v>3924</v>
      </c>
      <c r="N156">
        <v>879</v>
      </c>
      <c r="O156">
        <v>26248</v>
      </c>
    </row>
    <row r="157" spans="1:15" x14ac:dyDescent="0.25">
      <c r="A157" t="s">
        <v>1758</v>
      </c>
      <c r="B157">
        <v>0</v>
      </c>
      <c r="C157">
        <v>0</v>
      </c>
      <c r="D157">
        <v>-12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24</v>
      </c>
      <c r="O157">
        <v>-12</v>
      </c>
    </row>
    <row r="158" spans="1:15" x14ac:dyDescent="0.25">
      <c r="A158" t="s">
        <v>858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4</v>
      </c>
      <c r="H158">
        <v>0</v>
      </c>
      <c r="I158">
        <v>0</v>
      </c>
      <c r="J158">
        <v>36</v>
      </c>
      <c r="K158">
        <v>8</v>
      </c>
      <c r="L158">
        <v>8</v>
      </c>
      <c r="M158">
        <v>0</v>
      </c>
      <c r="N158">
        <v>624</v>
      </c>
      <c r="O158">
        <v>56</v>
      </c>
    </row>
    <row r="159" spans="1:15" x14ac:dyDescent="0.25">
      <c r="A159" t="s">
        <v>621</v>
      </c>
      <c r="B159">
        <v>12</v>
      </c>
      <c r="C159">
        <v>0</v>
      </c>
      <c r="D159">
        <v>4</v>
      </c>
      <c r="E159">
        <v>-8</v>
      </c>
      <c r="F159">
        <v>20</v>
      </c>
      <c r="G159">
        <v>64</v>
      </c>
      <c r="H159">
        <v>16</v>
      </c>
      <c r="I159">
        <v>12</v>
      </c>
      <c r="J159">
        <v>44</v>
      </c>
      <c r="K159">
        <v>12</v>
      </c>
      <c r="L159">
        <v>36</v>
      </c>
      <c r="M159">
        <v>-64</v>
      </c>
      <c r="N159">
        <v>92</v>
      </c>
      <c r="O159">
        <v>148</v>
      </c>
    </row>
    <row r="160" spans="1:15" x14ac:dyDescent="0.25">
      <c r="A160" t="s">
        <v>624</v>
      </c>
      <c r="B160">
        <v>12</v>
      </c>
      <c r="C160">
        <v>0</v>
      </c>
      <c r="D160">
        <v>24</v>
      </c>
      <c r="E160">
        <v>0</v>
      </c>
      <c r="F160">
        <v>0</v>
      </c>
      <c r="G160">
        <v>20</v>
      </c>
      <c r="H160">
        <v>0</v>
      </c>
      <c r="I160">
        <v>0</v>
      </c>
      <c r="J160">
        <v>52</v>
      </c>
      <c r="K160">
        <v>0</v>
      </c>
      <c r="L160">
        <v>0</v>
      </c>
      <c r="M160">
        <v>-52</v>
      </c>
      <c r="N160">
        <v>200</v>
      </c>
      <c r="O160">
        <v>56</v>
      </c>
    </row>
    <row r="161" spans="1:15" x14ac:dyDescent="0.25">
      <c r="A161" t="s">
        <v>833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48</v>
      </c>
      <c r="K161">
        <v>0</v>
      </c>
      <c r="L161">
        <v>0</v>
      </c>
      <c r="M161">
        <v>0</v>
      </c>
      <c r="N161">
        <v>252</v>
      </c>
      <c r="O161">
        <v>48</v>
      </c>
    </row>
    <row r="162" spans="1:15" x14ac:dyDescent="0.25">
      <c r="A162" t="s">
        <v>839</v>
      </c>
      <c r="B162">
        <v>0</v>
      </c>
      <c r="C162">
        <v>8</v>
      </c>
      <c r="D162">
        <v>0</v>
      </c>
      <c r="E162">
        <v>0</v>
      </c>
      <c r="F162">
        <v>0</v>
      </c>
      <c r="G162">
        <v>8</v>
      </c>
      <c r="H162">
        <v>24</v>
      </c>
      <c r="I162">
        <v>0</v>
      </c>
      <c r="J162">
        <v>64</v>
      </c>
      <c r="K162">
        <v>0</v>
      </c>
      <c r="L162">
        <v>0</v>
      </c>
      <c r="M162">
        <v>8</v>
      </c>
      <c r="N162">
        <v>84</v>
      </c>
      <c r="O162">
        <v>112</v>
      </c>
    </row>
    <row r="163" spans="1:15" x14ac:dyDescent="0.25">
      <c r="A163" t="s">
        <v>752</v>
      </c>
      <c r="B163">
        <v>156</v>
      </c>
      <c r="C163">
        <v>116</v>
      </c>
      <c r="D163">
        <v>432</v>
      </c>
      <c r="E163">
        <v>92</v>
      </c>
      <c r="F163">
        <v>520</v>
      </c>
      <c r="G163">
        <v>180</v>
      </c>
      <c r="H163">
        <v>148</v>
      </c>
      <c r="I163">
        <v>112</v>
      </c>
      <c r="J163">
        <v>368</v>
      </c>
      <c r="K163">
        <v>488</v>
      </c>
      <c r="L163">
        <v>12</v>
      </c>
      <c r="M163">
        <v>160</v>
      </c>
      <c r="N163">
        <v>660</v>
      </c>
      <c r="O163">
        <v>2784</v>
      </c>
    </row>
    <row r="164" spans="1:15" x14ac:dyDescent="0.25">
      <c r="A164" t="s">
        <v>1769</v>
      </c>
      <c r="B164">
        <v>4</v>
      </c>
      <c r="C164">
        <v>4</v>
      </c>
      <c r="D164">
        <v>0</v>
      </c>
      <c r="E164">
        <v>16</v>
      </c>
      <c r="F164">
        <v>36</v>
      </c>
      <c r="G164">
        <v>16</v>
      </c>
      <c r="H164">
        <v>12</v>
      </c>
      <c r="I164">
        <v>4</v>
      </c>
      <c r="J164">
        <v>52</v>
      </c>
      <c r="K164">
        <v>0</v>
      </c>
      <c r="L164">
        <v>4</v>
      </c>
      <c r="M164">
        <v>0</v>
      </c>
      <c r="N164">
        <v>144</v>
      </c>
      <c r="O164">
        <v>148</v>
      </c>
    </row>
    <row r="165" spans="1:15" x14ac:dyDescent="0.25">
      <c r="A165" t="s">
        <v>964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72</v>
      </c>
      <c r="K165">
        <v>0</v>
      </c>
      <c r="L165">
        <v>0</v>
      </c>
      <c r="M165">
        <v>0</v>
      </c>
      <c r="N165">
        <v>64</v>
      </c>
      <c r="O165">
        <v>72</v>
      </c>
    </row>
    <row r="166" spans="1:15" x14ac:dyDescent="0.25">
      <c r="A166" t="s">
        <v>899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1800</v>
      </c>
      <c r="O166">
        <v>0</v>
      </c>
    </row>
    <row r="167" spans="1:15" x14ac:dyDescent="0.25">
      <c r="A167" t="s">
        <v>768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60</v>
      </c>
      <c r="K167">
        <v>0</v>
      </c>
      <c r="L167">
        <v>0</v>
      </c>
      <c r="M167">
        <v>0</v>
      </c>
      <c r="N167">
        <v>0</v>
      </c>
      <c r="O167">
        <v>60</v>
      </c>
    </row>
    <row r="168" spans="1:15" x14ac:dyDescent="0.25">
      <c r="A168" t="s">
        <v>920</v>
      </c>
      <c r="B168">
        <v>16</v>
      </c>
      <c r="C168">
        <v>8</v>
      </c>
      <c r="D168">
        <v>0</v>
      </c>
      <c r="E168">
        <v>16</v>
      </c>
      <c r="F168">
        <v>32</v>
      </c>
      <c r="G168">
        <v>32</v>
      </c>
      <c r="H168">
        <v>4</v>
      </c>
      <c r="I168">
        <v>0</v>
      </c>
      <c r="J168">
        <v>20</v>
      </c>
      <c r="K168">
        <v>4</v>
      </c>
      <c r="L168">
        <v>0</v>
      </c>
      <c r="M168">
        <v>0</v>
      </c>
      <c r="N168">
        <v>436</v>
      </c>
      <c r="O168">
        <v>132</v>
      </c>
    </row>
    <row r="169" spans="1:15" x14ac:dyDescent="0.25">
      <c r="A169" t="s">
        <v>749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20</v>
      </c>
      <c r="K169">
        <v>0</v>
      </c>
      <c r="L169">
        <v>0</v>
      </c>
      <c r="M169">
        <v>0</v>
      </c>
      <c r="N169">
        <v>0</v>
      </c>
      <c r="O169">
        <v>20</v>
      </c>
    </row>
    <row r="170" spans="1:15" x14ac:dyDescent="0.25">
      <c r="A170" t="s">
        <v>827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8</v>
      </c>
      <c r="L170">
        <v>8</v>
      </c>
      <c r="M170">
        <v>0</v>
      </c>
      <c r="N170">
        <v>24</v>
      </c>
      <c r="O170">
        <v>16</v>
      </c>
    </row>
    <row r="171" spans="1:15" x14ac:dyDescent="0.25">
      <c r="A171" t="s">
        <v>630</v>
      </c>
      <c r="B171">
        <v>112</v>
      </c>
      <c r="C171">
        <v>144</v>
      </c>
      <c r="D171">
        <v>288</v>
      </c>
      <c r="E171">
        <v>360</v>
      </c>
      <c r="F171">
        <v>772</v>
      </c>
      <c r="G171">
        <v>160</v>
      </c>
      <c r="H171">
        <v>324</v>
      </c>
      <c r="I171">
        <v>380</v>
      </c>
      <c r="J171">
        <v>720</v>
      </c>
      <c r="K171">
        <v>60</v>
      </c>
      <c r="L171">
        <v>284</v>
      </c>
      <c r="M171">
        <v>416</v>
      </c>
      <c r="N171">
        <v>696</v>
      </c>
      <c r="O171">
        <v>4020</v>
      </c>
    </row>
    <row r="172" spans="1:15" x14ac:dyDescent="0.25">
      <c r="A172" t="s">
        <v>632</v>
      </c>
      <c r="B172">
        <v>16</v>
      </c>
      <c r="C172">
        <v>44</v>
      </c>
      <c r="D172">
        <v>152</v>
      </c>
      <c r="E172">
        <v>52</v>
      </c>
      <c r="F172">
        <v>120</v>
      </c>
      <c r="G172">
        <v>140</v>
      </c>
      <c r="H172">
        <v>12</v>
      </c>
      <c r="I172">
        <v>164</v>
      </c>
      <c r="J172">
        <v>12</v>
      </c>
      <c r="K172">
        <v>40</v>
      </c>
      <c r="L172">
        <v>20</v>
      </c>
      <c r="M172">
        <v>120</v>
      </c>
      <c r="N172">
        <v>48</v>
      </c>
      <c r="O172">
        <v>892</v>
      </c>
    </row>
    <row r="173" spans="1:15" x14ac:dyDescent="0.25">
      <c r="A173" t="s">
        <v>639</v>
      </c>
      <c r="B173">
        <v>244</v>
      </c>
      <c r="C173">
        <v>308</v>
      </c>
      <c r="D173">
        <v>160</v>
      </c>
      <c r="E173">
        <v>336</v>
      </c>
      <c r="F173">
        <v>240</v>
      </c>
      <c r="G173">
        <v>408</v>
      </c>
      <c r="H173">
        <v>292</v>
      </c>
      <c r="I173">
        <v>16</v>
      </c>
      <c r="J173">
        <v>248</v>
      </c>
      <c r="K173">
        <v>32</v>
      </c>
      <c r="L173">
        <v>32</v>
      </c>
      <c r="M173">
        <v>4</v>
      </c>
      <c r="N173">
        <v>0</v>
      </c>
      <c r="O173">
        <v>2320</v>
      </c>
    </row>
    <row r="174" spans="1:15" x14ac:dyDescent="0.25">
      <c r="A174" t="s">
        <v>652</v>
      </c>
      <c r="B174">
        <v>32</v>
      </c>
      <c r="C174">
        <v>104</v>
      </c>
      <c r="D174">
        <v>24</v>
      </c>
      <c r="E174">
        <v>20</v>
      </c>
      <c r="F174">
        <v>32</v>
      </c>
      <c r="G174">
        <v>16</v>
      </c>
      <c r="H174">
        <v>24</v>
      </c>
      <c r="I174">
        <v>16</v>
      </c>
      <c r="J174">
        <v>272</v>
      </c>
      <c r="K174">
        <v>32</v>
      </c>
      <c r="L174">
        <v>160</v>
      </c>
      <c r="M174">
        <v>24</v>
      </c>
      <c r="N174">
        <v>100</v>
      </c>
      <c r="O174">
        <v>756</v>
      </c>
    </row>
    <row r="175" spans="1:15" x14ac:dyDescent="0.25">
      <c r="A175" t="s">
        <v>650</v>
      </c>
      <c r="B175">
        <v>0</v>
      </c>
      <c r="C175">
        <v>0</v>
      </c>
      <c r="D175">
        <v>0</v>
      </c>
      <c r="E175">
        <v>12</v>
      </c>
      <c r="F175">
        <v>20</v>
      </c>
      <c r="G175">
        <v>8</v>
      </c>
      <c r="H175">
        <v>8</v>
      </c>
      <c r="I175">
        <v>8</v>
      </c>
      <c r="J175">
        <v>0</v>
      </c>
      <c r="K175">
        <v>8</v>
      </c>
      <c r="L175">
        <v>0</v>
      </c>
      <c r="M175">
        <v>8</v>
      </c>
      <c r="N175">
        <v>216</v>
      </c>
      <c r="O175">
        <v>72</v>
      </c>
    </row>
    <row r="176" spans="1:15" x14ac:dyDescent="0.25">
      <c r="A176" t="s">
        <v>643</v>
      </c>
      <c r="B176">
        <v>96</v>
      </c>
      <c r="C176">
        <v>32</v>
      </c>
      <c r="D176">
        <v>80</v>
      </c>
      <c r="E176">
        <v>48</v>
      </c>
      <c r="F176">
        <v>40</v>
      </c>
      <c r="G176">
        <v>24</v>
      </c>
      <c r="H176">
        <v>144</v>
      </c>
      <c r="I176">
        <v>8</v>
      </c>
      <c r="J176">
        <v>296</v>
      </c>
      <c r="K176">
        <v>12</v>
      </c>
      <c r="L176">
        <v>16</v>
      </c>
      <c r="M176">
        <v>0</v>
      </c>
      <c r="N176">
        <v>0</v>
      </c>
      <c r="O176">
        <v>796</v>
      </c>
    </row>
    <row r="177" spans="1:15" x14ac:dyDescent="0.25">
      <c r="A177" t="s">
        <v>859</v>
      </c>
      <c r="B177">
        <v>0</v>
      </c>
      <c r="C177">
        <v>0</v>
      </c>
      <c r="D177">
        <v>0</v>
      </c>
      <c r="E177">
        <v>0</v>
      </c>
      <c r="F177">
        <v>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72</v>
      </c>
      <c r="O177">
        <v>4</v>
      </c>
    </row>
    <row r="178" spans="1:15" x14ac:dyDescent="0.25">
      <c r="A178" t="s">
        <v>852</v>
      </c>
      <c r="B178">
        <v>0</v>
      </c>
      <c r="C178">
        <v>0</v>
      </c>
      <c r="D178">
        <v>28</v>
      </c>
      <c r="E178">
        <v>0</v>
      </c>
      <c r="F178">
        <v>4</v>
      </c>
      <c r="G178">
        <v>0</v>
      </c>
      <c r="H178">
        <v>0</v>
      </c>
      <c r="I178">
        <v>4</v>
      </c>
      <c r="J178">
        <v>0</v>
      </c>
      <c r="K178">
        <v>20</v>
      </c>
      <c r="L178">
        <v>0</v>
      </c>
      <c r="M178">
        <v>0</v>
      </c>
      <c r="N178">
        <v>88</v>
      </c>
      <c r="O178">
        <v>56</v>
      </c>
    </row>
    <row r="179" spans="1:15" x14ac:dyDescent="0.25">
      <c r="A179" t="s">
        <v>625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180</v>
      </c>
      <c r="O179">
        <v>0</v>
      </c>
    </row>
    <row r="180" spans="1:15" x14ac:dyDescent="0.25">
      <c r="A180" t="s">
        <v>708</v>
      </c>
      <c r="B180">
        <v>52</v>
      </c>
      <c r="C180">
        <v>0</v>
      </c>
      <c r="D180">
        <v>0</v>
      </c>
      <c r="E180">
        <v>0</v>
      </c>
      <c r="F180">
        <v>0</v>
      </c>
      <c r="G180">
        <v>4</v>
      </c>
      <c r="H180">
        <v>40</v>
      </c>
      <c r="I180">
        <v>0</v>
      </c>
      <c r="J180">
        <v>8</v>
      </c>
      <c r="K180">
        <v>112</v>
      </c>
      <c r="L180">
        <v>32</v>
      </c>
      <c r="M180">
        <v>268</v>
      </c>
      <c r="N180">
        <v>740</v>
      </c>
      <c r="O180">
        <v>516</v>
      </c>
    </row>
    <row r="181" spans="1:15" x14ac:dyDescent="0.25">
      <c r="A181" t="s">
        <v>641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160</v>
      </c>
      <c r="I181">
        <v>240</v>
      </c>
      <c r="J181">
        <v>72</v>
      </c>
      <c r="K181">
        <v>488</v>
      </c>
      <c r="L181">
        <v>140</v>
      </c>
      <c r="M181">
        <v>348</v>
      </c>
      <c r="N181">
        <v>652</v>
      </c>
      <c r="O181">
        <v>1448</v>
      </c>
    </row>
    <row r="182" spans="1:15" x14ac:dyDescent="0.25">
      <c r="A182" t="s">
        <v>647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40</v>
      </c>
      <c r="O182">
        <v>0</v>
      </c>
    </row>
    <row r="183" spans="1:15" x14ac:dyDescent="0.25">
      <c r="A183" t="s">
        <v>947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20</v>
      </c>
      <c r="M183">
        <v>0</v>
      </c>
      <c r="N183">
        <v>172</v>
      </c>
      <c r="O183">
        <v>20</v>
      </c>
    </row>
    <row r="184" spans="1:15" x14ac:dyDescent="0.25">
      <c r="A184" t="s">
        <v>648</v>
      </c>
      <c r="B184">
        <v>40</v>
      </c>
      <c r="C184">
        <v>0</v>
      </c>
      <c r="D184">
        <v>0</v>
      </c>
      <c r="E184">
        <v>0</v>
      </c>
      <c r="F184">
        <v>40</v>
      </c>
      <c r="G184">
        <v>0</v>
      </c>
      <c r="H184">
        <v>0</v>
      </c>
      <c r="I184">
        <v>200</v>
      </c>
      <c r="J184">
        <v>24</v>
      </c>
      <c r="K184">
        <v>20</v>
      </c>
      <c r="L184">
        <v>0</v>
      </c>
      <c r="M184">
        <v>0</v>
      </c>
      <c r="N184">
        <v>200</v>
      </c>
      <c r="O184">
        <v>324</v>
      </c>
    </row>
    <row r="185" spans="1:15" x14ac:dyDescent="0.25">
      <c r="A185" t="s">
        <v>654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60</v>
      </c>
      <c r="K185">
        <v>0</v>
      </c>
      <c r="L185">
        <v>0</v>
      </c>
      <c r="M185">
        <v>4</v>
      </c>
      <c r="N185">
        <v>596</v>
      </c>
      <c r="O185">
        <v>64</v>
      </c>
    </row>
    <row r="186" spans="1:15" x14ac:dyDescent="0.25">
      <c r="A186" t="s">
        <v>620</v>
      </c>
      <c r="B186">
        <v>104</v>
      </c>
      <c r="C186">
        <v>40</v>
      </c>
      <c r="D186">
        <v>52</v>
      </c>
      <c r="E186">
        <v>124</v>
      </c>
      <c r="F186">
        <v>356</v>
      </c>
      <c r="G186">
        <v>4</v>
      </c>
      <c r="H186">
        <v>76</v>
      </c>
      <c r="I186">
        <v>56</v>
      </c>
      <c r="J186">
        <v>60</v>
      </c>
      <c r="K186">
        <v>52</v>
      </c>
      <c r="L186">
        <v>24</v>
      </c>
      <c r="M186">
        <v>0</v>
      </c>
      <c r="N186">
        <v>280</v>
      </c>
      <c r="O186">
        <v>948</v>
      </c>
    </row>
    <row r="187" spans="1:15" x14ac:dyDescent="0.25">
      <c r="A187" t="s">
        <v>1751</v>
      </c>
      <c r="B187">
        <v>0</v>
      </c>
      <c r="C187">
        <v>0</v>
      </c>
      <c r="D187">
        <v>-12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24</v>
      </c>
      <c r="O187">
        <v>-12</v>
      </c>
    </row>
    <row r="188" spans="1:15" x14ac:dyDescent="0.25">
      <c r="A188" t="s">
        <v>897</v>
      </c>
      <c r="B188">
        <v>0</v>
      </c>
      <c r="C188">
        <v>0</v>
      </c>
      <c r="D188">
        <v>-8</v>
      </c>
      <c r="E188">
        <v>0</v>
      </c>
      <c r="F188">
        <v>0</v>
      </c>
      <c r="G188">
        <v>4</v>
      </c>
      <c r="H188">
        <v>0</v>
      </c>
      <c r="I188">
        <v>0</v>
      </c>
      <c r="J188">
        <v>8</v>
      </c>
      <c r="K188">
        <v>0</v>
      </c>
      <c r="L188">
        <v>0</v>
      </c>
      <c r="M188">
        <v>0</v>
      </c>
      <c r="N188">
        <v>44</v>
      </c>
      <c r="O188">
        <v>4</v>
      </c>
    </row>
    <row r="189" spans="1:15" x14ac:dyDescent="0.25">
      <c r="A189" t="s">
        <v>902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1800</v>
      </c>
      <c r="O189">
        <v>0</v>
      </c>
    </row>
    <row r="190" spans="1:15" x14ac:dyDescent="0.25">
      <c r="A190" t="s">
        <v>829</v>
      </c>
      <c r="B190">
        <v>16</v>
      </c>
      <c r="C190">
        <v>0</v>
      </c>
      <c r="D190">
        <v>8</v>
      </c>
      <c r="E190">
        <v>12</v>
      </c>
      <c r="F190">
        <v>8</v>
      </c>
      <c r="G190">
        <v>0</v>
      </c>
      <c r="H190">
        <v>8</v>
      </c>
      <c r="I190">
        <v>0</v>
      </c>
      <c r="J190">
        <v>212</v>
      </c>
      <c r="K190">
        <v>0</v>
      </c>
      <c r="L190">
        <v>0</v>
      </c>
      <c r="M190">
        <v>-56</v>
      </c>
      <c r="N190">
        <v>620</v>
      </c>
      <c r="O190">
        <v>208</v>
      </c>
    </row>
    <row r="191" spans="1:15" x14ac:dyDescent="0.25">
      <c r="A191" t="s">
        <v>831</v>
      </c>
      <c r="B191">
        <v>24</v>
      </c>
      <c r="C191">
        <v>40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88</v>
      </c>
      <c r="K191">
        <v>0</v>
      </c>
      <c r="L191">
        <v>56</v>
      </c>
      <c r="M191">
        <v>0</v>
      </c>
      <c r="N191">
        <v>292</v>
      </c>
      <c r="O191">
        <v>208</v>
      </c>
    </row>
    <row r="192" spans="1:15" x14ac:dyDescent="0.25">
      <c r="A192" t="s">
        <v>1746</v>
      </c>
      <c r="B192">
        <v>0</v>
      </c>
      <c r="C192">
        <v>0</v>
      </c>
      <c r="D192">
        <v>0</v>
      </c>
      <c r="E192">
        <v>0</v>
      </c>
      <c r="F192">
        <v>4</v>
      </c>
      <c r="G192">
        <v>8</v>
      </c>
      <c r="H192">
        <v>0</v>
      </c>
      <c r="I192">
        <v>0</v>
      </c>
      <c r="J192">
        <v>280</v>
      </c>
      <c r="K192">
        <v>0</v>
      </c>
      <c r="L192">
        <v>0</v>
      </c>
      <c r="M192">
        <v>32</v>
      </c>
      <c r="N192">
        <v>248</v>
      </c>
      <c r="O192">
        <v>324</v>
      </c>
    </row>
    <row r="193" spans="1:15" x14ac:dyDescent="0.25">
      <c r="A193" t="s">
        <v>631</v>
      </c>
      <c r="B193">
        <v>1480</v>
      </c>
      <c r="C193">
        <v>848</v>
      </c>
      <c r="D193">
        <v>892</v>
      </c>
      <c r="E193">
        <v>660</v>
      </c>
      <c r="F193">
        <v>1036</v>
      </c>
      <c r="G193">
        <v>520</v>
      </c>
      <c r="H193">
        <v>660</v>
      </c>
      <c r="I193">
        <v>844</v>
      </c>
      <c r="J193">
        <v>916</v>
      </c>
      <c r="K193">
        <v>1364</v>
      </c>
      <c r="L193">
        <v>1172</v>
      </c>
      <c r="M193">
        <v>728</v>
      </c>
      <c r="N193">
        <v>1948</v>
      </c>
      <c r="O193">
        <v>11120</v>
      </c>
    </row>
    <row r="194" spans="1:15" x14ac:dyDescent="0.25">
      <c r="A194" t="s">
        <v>633</v>
      </c>
      <c r="B194">
        <v>240</v>
      </c>
      <c r="C194">
        <v>292</v>
      </c>
      <c r="D194">
        <v>760</v>
      </c>
      <c r="E194">
        <v>412</v>
      </c>
      <c r="F194">
        <v>636</v>
      </c>
      <c r="G194">
        <v>244</v>
      </c>
      <c r="H194">
        <v>384</v>
      </c>
      <c r="I194">
        <v>268</v>
      </c>
      <c r="J194">
        <v>648</v>
      </c>
      <c r="K194">
        <v>792</v>
      </c>
      <c r="L194">
        <v>36</v>
      </c>
      <c r="M194">
        <v>280</v>
      </c>
      <c r="N194">
        <v>40</v>
      </c>
      <c r="O194">
        <v>4992</v>
      </c>
    </row>
    <row r="195" spans="1:15" x14ac:dyDescent="0.25">
      <c r="A195" t="s">
        <v>751</v>
      </c>
      <c r="B195">
        <v>40</v>
      </c>
      <c r="C195">
        <v>8</v>
      </c>
      <c r="D195">
        <v>0</v>
      </c>
      <c r="E195">
        <v>56</v>
      </c>
      <c r="F195">
        <v>48</v>
      </c>
      <c r="G195">
        <v>32</v>
      </c>
      <c r="H195">
        <v>160</v>
      </c>
      <c r="I195">
        <v>16</v>
      </c>
      <c r="J195">
        <v>72</v>
      </c>
      <c r="K195">
        <v>96</v>
      </c>
      <c r="L195">
        <v>32</v>
      </c>
      <c r="M195">
        <v>32</v>
      </c>
      <c r="N195">
        <v>144</v>
      </c>
      <c r="O195">
        <v>592</v>
      </c>
    </row>
    <row r="196" spans="1:15" x14ac:dyDescent="0.25">
      <c r="A196" t="s">
        <v>930</v>
      </c>
      <c r="B196">
        <v>40</v>
      </c>
      <c r="C196">
        <v>8</v>
      </c>
      <c r="D196">
        <v>0</v>
      </c>
      <c r="E196">
        <v>0</v>
      </c>
      <c r="F196">
        <v>8</v>
      </c>
      <c r="G196">
        <v>24</v>
      </c>
      <c r="H196">
        <v>0</v>
      </c>
      <c r="I196">
        <v>0</v>
      </c>
      <c r="J196">
        <v>24</v>
      </c>
      <c r="K196">
        <v>20</v>
      </c>
      <c r="L196">
        <v>0</v>
      </c>
      <c r="M196">
        <v>0</v>
      </c>
      <c r="N196">
        <v>112</v>
      </c>
      <c r="O196">
        <v>124</v>
      </c>
    </row>
    <row r="197" spans="1:15" x14ac:dyDescent="0.25">
      <c r="A197" t="s">
        <v>1765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16</v>
      </c>
      <c r="K197">
        <v>0</v>
      </c>
      <c r="L197">
        <v>0</v>
      </c>
      <c r="M197">
        <v>0</v>
      </c>
      <c r="N197">
        <v>124</v>
      </c>
      <c r="O197">
        <v>16</v>
      </c>
    </row>
    <row r="198" spans="1:15" x14ac:dyDescent="0.25">
      <c r="A198" t="s">
        <v>1756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60</v>
      </c>
      <c r="O198">
        <v>0</v>
      </c>
    </row>
    <row r="199" spans="1:15" x14ac:dyDescent="0.25">
      <c r="A199" t="s">
        <v>873</v>
      </c>
      <c r="B199">
        <v>1789</v>
      </c>
      <c r="C199">
        <v>3241</v>
      </c>
      <c r="D199">
        <v>951</v>
      </c>
      <c r="E199">
        <v>1950</v>
      </c>
      <c r="F199">
        <v>2226</v>
      </c>
      <c r="G199">
        <v>1287</v>
      </c>
      <c r="H199">
        <v>1471</v>
      </c>
      <c r="I199">
        <v>2322</v>
      </c>
      <c r="J199">
        <v>2949</v>
      </c>
      <c r="K199">
        <v>2892</v>
      </c>
      <c r="L199">
        <v>1246</v>
      </c>
      <c r="M199">
        <v>3924</v>
      </c>
      <c r="N199">
        <v>10104</v>
      </c>
      <c r="O199">
        <v>26248</v>
      </c>
    </row>
    <row r="200" spans="1:15" x14ac:dyDescent="0.25">
      <c r="A200" t="s">
        <v>1761</v>
      </c>
      <c r="B200">
        <v>0</v>
      </c>
      <c r="C200">
        <v>0</v>
      </c>
      <c r="D200">
        <v>-12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28</v>
      </c>
      <c r="O200">
        <v>-12</v>
      </c>
    </row>
    <row r="201" spans="1:15" x14ac:dyDescent="0.25">
      <c r="A201" t="s">
        <v>706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4</v>
      </c>
      <c r="H201">
        <v>0</v>
      </c>
      <c r="I201">
        <v>0</v>
      </c>
      <c r="J201">
        <v>28</v>
      </c>
      <c r="K201">
        <v>8</v>
      </c>
      <c r="L201">
        <v>8</v>
      </c>
      <c r="M201">
        <v>0</v>
      </c>
      <c r="N201">
        <v>624</v>
      </c>
      <c r="O201">
        <v>48</v>
      </c>
    </row>
    <row r="202" spans="1:15" x14ac:dyDescent="0.25">
      <c r="A202" t="s">
        <v>622</v>
      </c>
      <c r="B202">
        <v>12</v>
      </c>
      <c r="C202">
        <v>0</v>
      </c>
      <c r="D202">
        <v>4</v>
      </c>
      <c r="E202">
        <v>-8</v>
      </c>
      <c r="F202">
        <v>20</v>
      </c>
      <c r="G202">
        <v>64</v>
      </c>
      <c r="H202">
        <v>16</v>
      </c>
      <c r="I202">
        <v>12</v>
      </c>
      <c r="J202">
        <v>44</v>
      </c>
      <c r="K202">
        <v>12</v>
      </c>
      <c r="L202">
        <v>36</v>
      </c>
      <c r="M202">
        <v>-64</v>
      </c>
      <c r="N202">
        <v>8</v>
      </c>
      <c r="O202">
        <v>148</v>
      </c>
    </row>
    <row r="203" spans="1:15" x14ac:dyDescent="0.25">
      <c r="A203" t="s">
        <v>626</v>
      </c>
      <c r="B203">
        <v>12</v>
      </c>
      <c r="C203">
        <v>0</v>
      </c>
      <c r="D203">
        <v>24</v>
      </c>
      <c r="E203">
        <v>0</v>
      </c>
      <c r="F203">
        <v>0</v>
      </c>
      <c r="G203">
        <v>20</v>
      </c>
      <c r="H203">
        <v>0</v>
      </c>
      <c r="I203">
        <v>0</v>
      </c>
      <c r="J203">
        <v>252</v>
      </c>
      <c r="K203">
        <v>0</v>
      </c>
      <c r="L203">
        <v>0</v>
      </c>
      <c r="M203">
        <v>-52</v>
      </c>
      <c r="N203">
        <v>200</v>
      </c>
      <c r="O203">
        <v>256</v>
      </c>
    </row>
    <row r="204" spans="1:15" x14ac:dyDescent="0.25">
      <c r="A204" t="s">
        <v>835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48</v>
      </c>
      <c r="K204">
        <v>0</v>
      </c>
      <c r="L204">
        <v>0</v>
      </c>
      <c r="M204">
        <v>0</v>
      </c>
      <c r="N204">
        <v>252</v>
      </c>
      <c r="O204">
        <v>48</v>
      </c>
    </row>
    <row r="205" spans="1:15" x14ac:dyDescent="0.25">
      <c r="A205" t="s">
        <v>841</v>
      </c>
      <c r="B205">
        <v>0</v>
      </c>
      <c r="C205">
        <v>8</v>
      </c>
      <c r="D205">
        <v>0</v>
      </c>
      <c r="E205">
        <v>0</v>
      </c>
      <c r="F205">
        <v>0</v>
      </c>
      <c r="G205">
        <v>8</v>
      </c>
      <c r="H205">
        <v>24</v>
      </c>
      <c r="I205">
        <v>0</v>
      </c>
      <c r="J205">
        <v>64</v>
      </c>
      <c r="K205">
        <v>0</v>
      </c>
      <c r="L205">
        <v>0</v>
      </c>
      <c r="M205">
        <v>8</v>
      </c>
      <c r="N205">
        <v>80</v>
      </c>
      <c r="O205">
        <v>112</v>
      </c>
    </row>
    <row r="206" spans="1:15" x14ac:dyDescent="0.25">
      <c r="A206" t="s">
        <v>753</v>
      </c>
      <c r="B206">
        <v>156</v>
      </c>
      <c r="C206">
        <v>116</v>
      </c>
      <c r="D206">
        <v>432</v>
      </c>
      <c r="E206">
        <v>92</v>
      </c>
      <c r="F206">
        <v>500</v>
      </c>
      <c r="G206">
        <v>180</v>
      </c>
      <c r="H206">
        <v>148</v>
      </c>
      <c r="I206">
        <v>112</v>
      </c>
      <c r="J206">
        <v>240</v>
      </c>
      <c r="K206">
        <v>488</v>
      </c>
      <c r="L206">
        <v>12</v>
      </c>
      <c r="M206">
        <v>160</v>
      </c>
      <c r="N206">
        <v>640</v>
      </c>
      <c r="O206">
        <v>2636</v>
      </c>
    </row>
    <row r="207" spans="1:15" x14ac:dyDescent="0.25">
      <c r="A207" t="s">
        <v>1770</v>
      </c>
      <c r="B207">
        <v>44</v>
      </c>
      <c r="C207">
        <v>4</v>
      </c>
      <c r="D207">
        <v>0</v>
      </c>
      <c r="E207">
        <v>16</v>
      </c>
      <c r="F207">
        <v>68</v>
      </c>
      <c r="G207">
        <v>16</v>
      </c>
      <c r="H207">
        <v>12</v>
      </c>
      <c r="I207">
        <v>4</v>
      </c>
      <c r="J207">
        <v>52</v>
      </c>
      <c r="K207">
        <v>0</v>
      </c>
      <c r="L207">
        <v>4</v>
      </c>
      <c r="M207">
        <v>0</v>
      </c>
      <c r="N207">
        <v>132</v>
      </c>
      <c r="O207">
        <v>220</v>
      </c>
    </row>
    <row r="208" spans="1:15" x14ac:dyDescent="0.25">
      <c r="A208" t="s">
        <v>966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72</v>
      </c>
      <c r="K208">
        <v>0</v>
      </c>
      <c r="L208">
        <v>0</v>
      </c>
      <c r="M208">
        <v>0</v>
      </c>
      <c r="N208">
        <v>64</v>
      </c>
      <c r="O208">
        <v>72</v>
      </c>
    </row>
    <row r="209" spans="1:15" x14ac:dyDescent="0.25">
      <c r="A209" t="s">
        <v>769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60</v>
      </c>
      <c r="K209">
        <v>0</v>
      </c>
      <c r="L209">
        <v>0</v>
      </c>
      <c r="M209">
        <v>0</v>
      </c>
      <c r="N209">
        <v>0</v>
      </c>
      <c r="O209">
        <v>60</v>
      </c>
    </row>
    <row r="210" spans="1:15" x14ac:dyDescent="0.25">
      <c r="A210" t="s">
        <v>922</v>
      </c>
      <c r="B210">
        <v>16</v>
      </c>
      <c r="C210">
        <v>8</v>
      </c>
      <c r="D210">
        <v>0</v>
      </c>
      <c r="E210">
        <v>16</v>
      </c>
      <c r="F210">
        <v>32</v>
      </c>
      <c r="G210">
        <v>32</v>
      </c>
      <c r="H210">
        <v>4</v>
      </c>
      <c r="I210">
        <v>0</v>
      </c>
      <c r="J210">
        <v>20</v>
      </c>
      <c r="K210">
        <v>4</v>
      </c>
      <c r="L210">
        <v>0</v>
      </c>
      <c r="M210">
        <v>0</v>
      </c>
      <c r="N210">
        <v>432</v>
      </c>
      <c r="O210">
        <v>132</v>
      </c>
    </row>
    <row r="211" spans="1:15" x14ac:dyDescent="0.25">
      <c r="A211" t="s">
        <v>748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20</v>
      </c>
      <c r="K211">
        <v>20</v>
      </c>
      <c r="L211">
        <v>0</v>
      </c>
      <c r="M211">
        <v>0</v>
      </c>
      <c r="N211">
        <v>0</v>
      </c>
      <c r="O211">
        <v>40</v>
      </c>
    </row>
    <row r="212" spans="1:15" x14ac:dyDescent="0.25">
      <c r="A212" t="s">
        <v>82</v>
      </c>
      <c r="B212">
        <v>106</v>
      </c>
      <c r="C212">
        <v>110</v>
      </c>
      <c r="D212">
        <v>20</v>
      </c>
      <c r="E212">
        <v>69</v>
      </c>
      <c r="F212">
        <v>22</v>
      </c>
      <c r="G212">
        <v>91</v>
      </c>
      <c r="H212">
        <v>101</v>
      </c>
      <c r="I212">
        <v>73</v>
      </c>
      <c r="J212">
        <v>118</v>
      </c>
      <c r="K212">
        <v>227</v>
      </c>
      <c r="L212">
        <v>125</v>
      </c>
      <c r="M212">
        <v>394</v>
      </c>
      <c r="N212">
        <v>2621</v>
      </c>
      <c r="O212">
        <v>1456</v>
      </c>
    </row>
    <row r="213" spans="1:15" x14ac:dyDescent="0.25">
      <c r="A213" t="s">
        <v>86</v>
      </c>
      <c r="B213">
        <v>57</v>
      </c>
      <c r="C213">
        <v>20</v>
      </c>
      <c r="D213">
        <v>30</v>
      </c>
      <c r="E213">
        <v>28</v>
      </c>
      <c r="F213">
        <v>10</v>
      </c>
      <c r="G213">
        <v>72</v>
      </c>
      <c r="H213">
        <v>101</v>
      </c>
      <c r="I213">
        <v>33</v>
      </c>
      <c r="J213">
        <v>45</v>
      </c>
      <c r="K213">
        <v>131</v>
      </c>
      <c r="L213">
        <v>99</v>
      </c>
      <c r="M213">
        <v>212</v>
      </c>
      <c r="N213">
        <v>2163</v>
      </c>
      <c r="O213">
        <v>838</v>
      </c>
    </row>
    <row r="214" spans="1:15" x14ac:dyDescent="0.25">
      <c r="A214" t="s">
        <v>88</v>
      </c>
      <c r="B214">
        <v>73</v>
      </c>
      <c r="C214">
        <v>69</v>
      </c>
      <c r="D214">
        <v>75</v>
      </c>
      <c r="E214">
        <v>114</v>
      </c>
      <c r="F214">
        <v>116</v>
      </c>
      <c r="G214">
        <v>91</v>
      </c>
      <c r="H214">
        <v>105</v>
      </c>
      <c r="I214">
        <v>13</v>
      </c>
      <c r="J214">
        <v>70</v>
      </c>
      <c r="K214">
        <v>176</v>
      </c>
      <c r="L214">
        <v>106</v>
      </c>
      <c r="M214">
        <v>320</v>
      </c>
      <c r="N214">
        <v>3376</v>
      </c>
      <c r="O214">
        <v>1328</v>
      </c>
    </row>
    <row r="215" spans="1:15" x14ac:dyDescent="0.25">
      <c r="A215" t="s">
        <v>107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100</v>
      </c>
      <c r="O215">
        <v>0</v>
      </c>
    </row>
    <row r="216" spans="1:15" x14ac:dyDescent="0.25">
      <c r="A216" t="s">
        <v>354</v>
      </c>
      <c r="B216">
        <v>5</v>
      </c>
      <c r="C216">
        <v>0</v>
      </c>
      <c r="D216">
        <v>15</v>
      </c>
      <c r="E216">
        <v>10</v>
      </c>
      <c r="F216">
        <v>0</v>
      </c>
      <c r="G216">
        <v>2</v>
      </c>
      <c r="H216">
        <v>10</v>
      </c>
      <c r="I216">
        <v>0</v>
      </c>
      <c r="J216">
        <v>0</v>
      </c>
      <c r="K216">
        <v>5</v>
      </c>
      <c r="L216">
        <v>2</v>
      </c>
      <c r="M216">
        <v>0</v>
      </c>
      <c r="N216">
        <v>132</v>
      </c>
      <c r="O216">
        <v>49</v>
      </c>
    </row>
    <row r="217" spans="1:15" x14ac:dyDescent="0.25">
      <c r="A217" t="s">
        <v>59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100</v>
      </c>
      <c r="O217">
        <v>0</v>
      </c>
    </row>
    <row r="218" spans="1:15" x14ac:dyDescent="0.25">
      <c r="A218" t="s">
        <v>62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100</v>
      </c>
      <c r="O218">
        <v>0</v>
      </c>
    </row>
    <row r="219" spans="1:15" x14ac:dyDescent="0.25">
      <c r="A219" t="s">
        <v>64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100</v>
      </c>
      <c r="O219">
        <v>0</v>
      </c>
    </row>
    <row r="220" spans="1:15" x14ac:dyDescent="0.25">
      <c r="A220" t="s">
        <v>255</v>
      </c>
      <c r="B220">
        <v>10</v>
      </c>
      <c r="C220">
        <v>10</v>
      </c>
      <c r="D220">
        <v>26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13</v>
      </c>
      <c r="K220">
        <v>18</v>
      </c>
      <c r="L220">
        <v>0</v>
      </c>
      <c r="M220">
        <v>20</v>
      </c>
      <c r="N220">
        <v>49</v>
      </c>
      <c r="O220">
        <v>97</v>
      </c>
    </row>
    <row r="221" spans="1:15" x14ac:dyDescent="0.25">
      <c r="A221" t="s">
        <v>258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39</v>
      </c>
      <c r="O221">
        <v>1</v>
      </c>
    </row>
    <row r="222" spans="1:15" x14ac:dyDescent="0.25">
      <c r="A222" t="s">
        <v>260</v>
      </c>
      <c r="B222">
        <v>27</v>
      </c>
      <c r="C222">
        <v>0</v>
      </c>
      <c r="D222">
        <v>0</v>
      </c>
      <c r="E222">
        <v>0</v>
      </c>
      <c r="F222">
        <v>10</v>
      </c>
      <c r="G222">
        <v>0</v>
      </c>
      <c r="H222">
        <v>0</v>
      </c>
      <c r="I222">
        <v>0</v>
      </c>
      <c r="J222">
        <v>18</v>
      </c>
      <c r="K222">
        <v>15</v>
      </c>
      <c r="L222">
        <v>0</v>
      </c>
      <c r="M222">
        <v>10</v>
      </c>
      <c r="N222">
        <v>7</v>
      </c>
      <c r="O222">
        <v>80</v>
      </c>
    </row>
    <row r="223" spans="1:15" x14ac:dyDescent="0.25">
      <c r="A223" t="s">
        <v>104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100</v>
      </c>
      <c r="O223">
        <v>0</v>
      </c>
    </row>
    <row r="224" spans="1:15" x14ac:dyDescent="0.25">
      <c r="A224" t="s">
        <v>90</v>
      </c>
      <c r="B224">
        <v>1</v>
      </c>
      <c r="C224">
        <v>5</v>
      </c>
      <c r="D224">
        <v>10</v>
      </c>
      <c r="E224">
        <v>1</v>
      </c>
      <c r="F224">
        <v>2</v>
      </c>
      <c r="G224">
        <v>0</v>
      </c>
      <c r="H224">
        <v>0</v>
      </c>
      <c r="I224">
        <v>2</v>
      </c>
      <c r="J224">
        <v>3</v>
      </c>
      <c r="K224">
        <v>1</v>
      </c>
      <c r="L224">
        <v>1</v>
      </c>
      <c r="M224">
        <v>13</v>
      </c>
      <c r="N224">
        <v>392</v>
      </c>
      <c r="O224">
        <v>39</v>
      </c>
    </row>
    <row r="225" spans="1:15" x14ac:dyDescent="0.25">
      <c r="A225" t="s">
        <v>92</v>
      </c>
      <c r="B225">
        <v>0</v>
      </c>
      <c r="C225">
        <v>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35</v>
      </c>
      <c r="O225">
        <v>6</v>
      </c>
    </row>
    <row r="226" spans="1:15" x14ac:dyDescent="0.25">
      <c r="A226" t="s">
        <v>108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100</v>
      </c>
      <c r="O226">
        <v>0</v>
      </c>
    </row>
    <row r="227" spans="1:15" x14ac:dyDescent="0.25">
      <c r="A227" t="s">
        <v>110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100</v>
      </c>
      <c r="O227">
        <v>0</v>
      </c>
    </row>
    <row r="228" spans="1:15" x14ac:dyDescent="0.25">
      <c r="A228" t="s">
        <v>127</v>
      </c>
      <c r="B228">
        <v>64</v>
      </c>
      <c r="C228">
        <v>21</v>
      </c>
      <c r="D228">
        <v>60</v>
      </c>
      <c r="E228">
        <v>69</v>
      </c>
      <c r="F228">
        <v>1</v>
      </c>
      <c r="G228">
        <v>5</v>
      </c>
      <c r="H228">
        <v>51</v>
      </c>
      <c r="I228">
        <v>19</v>
      </c>
      <c r="J228">
        <v>12</v>
      </c>
      <c r="K228">
        <v>3</v>
      </c>
      <c r="L228">
        <v>10</v>
      </c>
      <c r="M228">
        <v>0</v>
      </c>
      <c r="N228">
        <v>151</v>
      </c>
      <c r="O228">
        <v>315</v>
      </c>
    </row>
    <row r="229" spans="1:15" x14ac:dyDescent="0.25">
      <c r="A229" t="s">
        <v>130</v>
      </c>
      <c r="B229">
        <v>2</v>
      </c>
      <c r="C229">
        <v>10</v>
      </c>
      <c r="D229">
        <v>25</v>
      </c>
      <c r="E229">
        <v>8</v>
      </c>
      <c r="F229">
        <v>0</v>
      </c>
      <c r="G229">
        <v>1</v>
      </c>
      <c r="H229">
        <v>31</v>
      </c>
      <c r="I229">
        <v>2</v>
      </c>
      <c r="J229">
        <v>2</v>
      </c>
      <c r="K229">
        <v>0</v>
      </c>
      <c r="L229">
        <v>0</v>
      </c>
      <c r="M229">
        <v>0</v>
      </c>
      <c r="N229">
        <v>90</v>
      </c>
      <c r="O229">
        <v>81</v>
      </c>
    </row>
    <row r="230" spans="1:15" x14ac:dyDescent="0.25">
      <c r="A230" t="s">
        <v>132</v>
      </c>
      <c r="B230">
        <v>2</v>
      </c>
      <c r="C230">
        <v>11</v>
      </c>
      <c r="D230">
        <v>25</v>
      </c>
      <c r="E230">
        <v>5</v>
      </c>
      <c r="F230">
        <v>0</v>
      </c>
      <c r="G230">
        <v>8</v>
      </c>
      <c r="H230">
        <v>36</v>
      </c>
      <c r="I230">
        <v>2</v>
      </c>
      <c r="J230">
        <v>0</v>
      </c>
      <c r="K230">
        <v>0</v>
      </c>
      <c r="L230">
        <v>1</v>
      </c>
      <c r="M230">
        <v>1</v>
      </c>
      <c r="N230">
        <v>80</v>
      </c>
      <c r="O230">
        <v>91</v>
      </c>
    </row>
    <row r="231" spans="1:15" x14ac:dyDescent="0.25">
      <c r="A231" t="s">
        <v>144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300</v>
      </c>
      <c r="O231">
        <v>0</v>
      </c>
    </row>
    <row r="232" spans="1:15" x14ac:dyDescent="0.25">
      <c r="A232" t="s">
        <v>147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300</v>
      </c>
      <c r="O232">
        <v>0</v>
      </c>
    </row>
    <row r="233" spans="1:15" x14ac:dyDescent="0.25">
      <c r="A233" t="s">
        <v>149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300</v>
      </c>
      <c r="O233">
        <v>0</v>
      </c>
    </row>
    <row r="234" spans="1:15" x14ac:dyDescent="0.25">
      <c r="A234" t="s">
        <v>151</v>
      </c>
      <c r="B234">
        <v>0</v>
      </c>
      <c r="C234">
        <v>20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72</v>
      </c>
      <c r="O234">
        <v>21</v>
      </c>
    </row>
    <row r="235" spans="1:15" x14ac:dyDescent="0.25">
      <c r="A235" t="s">
        <v>153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18</v>
      </c>
      <c r="O235">
        <v>2</v>
      </c>
    </row>
    <row r="236" spans="1:15" x14ac:dyDescent="0.25">
      <c r="A236" t="s">
        <v>335</v>
      </c>
      <c r="B236">
        <v>0</v>
      </c>
      <c r="C236">
        <v>0</v>
      </c>
      <c r="D236">
        <v>0</v>
      </c>
      <c r="E236">
        <v>1</v>
      </c>
      <c r="F236">
        <v>1</v>
      </c>
      <c r="G236">
        <v>1</v>
      </c>
      <c r="H236">
        <v>2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46</v>
      </c>
      <c r="O236">
        <v>6</v>
      </c>
    </row>
    <row r="237" spans="1:15" x14ac:dyDescent="0.25">
      <c r="A237" t="s">
        <v>339</v>
      </c>
      <c r="B237">
        <v>0</v>
      </c>
      <c r="C237">
        <v>0</v>
      </c>
      <c r="D237">
        <v>0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2</v>
      </c>
      <c r="M237">
        <v>3</v>
      </c>
      <c r="N237">
        <v>45</v>
      </c>
      <c r="O237">
        <v>7</v>
      </c>
    </row>
    <row r="238" spans="1:15" x14ac:dyDescent="0.25">
      <c r="A238" t="s">
        <v>341</v>
      </c>
      <c r="B238">
        <v>0</v>
      </c>
      <c r="C238">
        <v>0</v>
      </c>
      <c r="D238">
        <v>0</v>
      </c>
      <c r="E238">
        <v>4</v>
      </c>
      <c r="F238">
        <v>2</v>
      </c>
      <c r="G238">
        <v>0</v>
      </c>
      <c r="H238">
        <v>2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12</v>
      </c>
      <c r="O238">
        <v>10</v>
      </c>
    </row>
    <row r="239" spans="1:15" x14ac:dyDescent="0.25">
      <c r="A239" t="s">
        <v>356</v>
      </c>
      <c r="B239">
        <v>1196</v>
      </c>
      <c r="C239">
        <v>406</v>
      </c>
      <c r="D239">
        <v>511</v>
      </c>
      <c r="E239">
        <v>680</v>
      </c>
      <c r="F239">
        <v>730</v>
      </c>
      <c r="G239">
        <v>475</v>
      </c>
      <c r="H239">
        <v>540</v>
      </c>
      <c r="I239">
        <v>599</v>
      </c>
      <c r="J239">
        <v>332</v>
      </c>
      <c r="K239">
        <v>621</v>
      </c>
      <c r="L239">
        <v>1091</v>
      </c>
      <c r="M239">
        <v>701</v>
      </c>
      <c r="N239">
        <v>1090</v>
      </c>
      <c r="O239">
        <v>7882</v>
      </c>
    </row>
    <row r="240" spans="1:15" x14ac:dyDescent="0.25">
      <c r="A240" t="s">
        <v>358</v>
      </c>
      <c r="B240">
        <v>623</v>
      </c>
      <c r="C240">
        <v>458</v>
      </c>
      <c r="D240">
        <v>274</v>
      </c>
      <c r="E240">
        <v>480</v>
      </c>
      <c r="F240">
        <v>694</v>
      </c>
      <c r="G240">
        <v>289</v>
      </c>
      <c r="H240">
        <v>282</v>
      </c>
      <c r="I240">
        <v>330</v>
      </c>
      <c r="J240">
        <v>294</v>
      </c>
      <c r="K240">
        <v>388</v>
      </c>
      <c r="L240">
        <v>347</v>
      </c>
      <c r="M240">
        <v>639</v>
      </c>
      <c r="N240">
        <v>1051</v>
      </c>
      <c r="O240">
        <v>5098</v>
      </c>
    </row>
    <row r="241" spans="1:15" x14ac:dyDescent="0.25">
      <c r="A241" t="s">
        <v>360</v>
      </c>
      <c r="B241">
        <v>198</v>
      </c>
      <c r="C241">
        <v>151</v>
      </c>
      <c r="D241">
        <v>167</v>
      </c>
      <c r="E241">
        <v>261</v>
      </c>
      <c r="F241">
        <v>421</v>
      </c>
      <c r="G241">
        <v>172</v>
      </c>
      <c r="H241">
        <v>86</v>
      </c>
      <c r="I241">
        <v>135</v>
      </c>
      <c r="J241">
        <v>178</v>
      </c>
      <c r="K241">
        <v>94</v>
      </c>
      <c r="L241">
        <v>373</v>
      </c>
      <c r="M241">
        <v>180</v>
      </c>
      <c r="N241">
        <v>358</v>
      </c>
      <c r="O241">
        <v>2416</v>
      </c>
    </row>
    <row r="242" spans="1:15" x14ac:dyDescent="0.25">
      <c r="A242" t="s">
        <v>169</v>
      </c>
      <c r="B242">
        <v>0</v>
      </c>
      <c r="C242">
        <v>10</v>
      </c>
      <c r="D242">
        <v>0</v>
      </c>
      <c r="E242">
        <v>0</v>
      </c>
      <c r="F242">
        <v>0</v>
      </c>
      <c r="G242">
        <v>0</v>
      </c>
      <c r="H242">
        <v>10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380</v>
      </c>
      <c r="O242">
        <v>20</v>
      </c>
    </row>
    <row r="243" spans="1:15" x14ac:dyDescent="0.25">
      <c r="A243" t="s">
        <v>176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28</v>
      </c>
      <c r="O243">
        <v>0</v>
      </c>
    </row>
    <row r="244" spans="1:15" x14ac:dyDescent="0.25">
      <c r="A244" t="s">
        <v>170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56</v>
      </c>
      <c r="O244">
        <v>0</v>
      </c>
    </row>
    <row r="245" spans="1:15" x14ac:dyDescent="0.25">
      <c r="A245" t="s">
        <v>52</v>
      </c>
      <c r="B245">
        <v>36</v>
      </c>
      <c r="C245">
        <v>3</v>
      </c>
      <c r="D245">
        <v>8</v>
      </c>
      <c r="E245">
        <v>25</v>
      </c>
      <c r="F245">
        <v>4</v>
      </c>
      <c r="G245">
        <v>16</v>
      </c>
      <c r="H245">
        <v>16</v>
      </c>
      <c r="I245">
        <v>7</v>
      </c>
      <c r="J245">
        <v>28</v>
      </c>
      <c r="K245">
        <v>3</v>
      </c>
      <c r="L245">
        <v>1</v>
      </c>
      <c r="M245">
        <v>3</v>
      </c>
      <c r="N245">
        <v>50</v>
      </c>
      <c r="O245">
        <v>150</v>
      </c>
    </row>
    <row r="246" spans="1:15" x14ac:dyDescent="0.25">
      <c r="A246" t="s">
        <v>55</v>
      </c>
      <c r="B246">
        <v>20</v>
      </c>
      <c r="C246">
        <v>2</v>
      </c>
      <c r="D246">
        <v>11</v>
      </c>
      <c r="E246">
        <v>21</v>
      </c>
      <c r="F246">
        <v>1</v>
      </c>
      <c r="G246">
        <v>7</v>
      </c>
      <c r="H246">
        <v>3</v>
      </c>
      <c r="I246">
        <v>8</v>
      </c>
      <c r="J246">
        <v>11</v>
      </c>
      <c r="K246">
        <v>3</v>
      </c>
      <c r="L246">
        <v>2</v>
      </c>
      <c r="M246">
        <v>1</v>
      </c>
      <c r="N246">
        <v>28</v>
      </c>
      <c r="O246">
        <v>90</v>
      </c>
    </row>
    <row r="247" spans="1:15" x14ac:dyDescent="0.25">
      <c r="A247" t="s">
        <v>57</v>
      </c>
      <c r="B247">
        <v>61</v>
      </c>
      <c r="C247">
        <v>0</v>
      </c>
      <c r="D247">
        <v>0</v>
      </c>
      <c r="E247">
        <v>21</v>
      </c>
      <c r="F247">
        <v>2</v>
      </c>
      <c r="G247">
        <v>7</v>
      </c>
      <c r="H247">
        <v>6</v>
      </c>
      <c r="I247">
        <v>2</v>
      </c>
      <c r="J247">
        <v>15</v>
      </c>
      <c r="K247">
        <v>2</v>
      </c>
      <c r="L247">
        <v>12</v>
      </c>
      <c r="M247">
        <v>26</v>
      </c>
      <c r="N247">
        <v>53</v>
      </c>
      <c r="O247">
        <v>154</v>
      </c>
    </row>
    <row r="248" spans="1:15" x14ac:dyDescent="0.25">
      <c r="A248" t="s">
        <v>66</v>
      </c>
      <c r="B248">
        <v>569</v>
      </c>
      <c r="C248">
        <v>435</v>
      </c>
      <c r="D248">
        <v>454</v>
      </c>
      <c r="E248">
        <v>582</v>
      </c>
      <c r="F248">
        <v>742</v>
      </c>
      <c r="G248">
        <v>348</v>
      </c>
      <c r="H248">
        <v>454</v>
      </c>
      <c r="I248">
        <v>214</v>
      </c>
      <c r="J248">
        <v>568</v>
      </c>
      <c r="K248">
        <v>538</v>
      </c>
      <c r="L248">
        <v>801</v>
      </c>
      <c r="M248">
        <v>438</v>
      </c>
      <c r="N248">
        <v>1113</v>
      </c>
      <c r="O248">
        <v>6143</v>
      </c>
    </row>
    <row r="249" spans="1:15" x14ac:dyDescent="0.25">
      <c r="A249" t="s">
        <v>68</v>
      </c>
      <c r="B249">
        <v>626</v>
      </c>
      <c r="C249">
        <v>339</v>
      </c>
      <c r="D249">
        <v>291</v>
      </c>
      <c r="E249">
        <v>337</v>
      </c>
      <c r="F249">
        <v>457</v>
      </c>
      <c r="G249">
        <v>245</v>
      </c>
      <c r="H249">
        <v>140</v>
      </c>
      <c r="I249">
        <v>333</v>
      </c>
      <c r="J249">
        <v>359</v>
      </c>
      <c r="K249">
        <v>294</v>
      </c>
      <c r="L249">
        <v>455</v>
      </c>
      <c r="M249">
        <v>285</v>
      </c>
      <c r="N249">
        <v>1013</v>
      </c>
      <c r="O249">
        <v>4161</v>
      </c>
    </row>
    <row r="250" spans="1:15" x14ac:dyDescent="0.25">
      <c r="A250" t="s">
        <v>70</v>
      </c>
      <c r="B250">
        <v>420</v>
      </c>
      <c r="C250">
        <v>209</v>
      </c>
      <c r="D250">
        <v>287</v>
      </c>
      <c r="E250">
        <v>338</v>
      </c>
      <c r="F250">
        <v>593</v>
      </c>
      <c r="G250">
        <v>65</v>
      </c>
      <c r="H250">
        <v>153</v>
      </c>
      <c r="I250">
        <v>158</v>
      </c>
      <c r="J250">
        <v>160</v>
      </c>
      <c r="K250">
        <v>179</v>
      </c>
      <c r="L250">
        <v>475</v>
      </c>
      <c r="M250">
        <v>152</v>
      </c>
      <c r="N250">
        <v>745</v>
      </c>
      <c r="O250">
        <v>3189</v>
      </c>
    </row>
    <row r="251" spans="1:15" x14ac:dyDescent="0.25">
      <c r="A251" t="s">
        <v>72</v>
      </c>
      <c r="B251">
        <v>3</v>
      </c>
      <c r="C251">
        <v>1</v>
      </c>
      <c r="D251">
        <v>10</v>
      </c>
      <c r="E251">
        <v>11</v>
      </c>
      <c r="F251">
        <v>0</v>
      </c>
      <c r="G251">
        <v>0</v>
      </c>
      <c r="H251">
        <v>0</v>
      </c>
      <c r="I251">
        <v>4</v>
      </c>
      <c r="J251">
        <v>3</v>
      </c>
      <c r="K251">
        <v>24</v>
      </c>
      <c r="L251">
        <v>2</v>
      </c>
      <c r="M251">
        <v>0</v>
      </c>
      <c r="N251">
        <v>0</v>
      </c>
      <c r="O251">
        <v>58</v>
      </c>
    </row>
    <row r="252" spans="1:15" x14ac:dyDescent="0.25">
      <c r="A252" t="s">
        <v>74</v>
      </c>
      <c r="B252">
        <v>0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3</v>
      </c>
      <c r="K252">
        <v>0</v>
      </c>
      <c r="L252">
        <v>0</v>
      </c>
      <c r="M252">
        <v>5</v>
      </c>
      <c r="N252">
        <v>170</v>
      </c>
      <c r="O252">
        <v>9</v>
      </c>
    </row>
    <row r="253" spans="1:15" x14ac:dyDescent="0.25">
      <c r="A253" t="s">
        <v>179</v>
      </c>
      <c r="B253">
        <v>209</v>
      </c>
      <c r="C253">
        <v>112</v>
      </c>
      <c r="D253">
        <v>230</v>
      </c>
      <c r="E253">
        <v>126</v>
      </c>
      <c r="F253">
        <v>169</v>
      </c>
      <c r="G253">
        <v>253</v>
      </c>
      <c r="H253">
        <v>118</v>
      </c>
      <c r="I253">
        <v>135</v>
      </c>
      <c r="J253">
        <v>192</v>
      </c>
      <c r="K253">
        <v>55</v>
      </c>
      <c r="L253">
        <v>206</v>
      </c>
      <c r="M253">
        <v>90</v>
      </c>
      <c r="N253">
        <v>637</v>
      </c>
      <c r="O253">
        <v>1895</v>
      </c>
    </row>
    <row r="254" spans="1:15" x14ac:dyDescent="0.25">
      <c r="A254" t="s">
        <v>199</v>
      </c>
      <c r="B254">
        <v>2</v>
      </c>
      <c r="C254">
        <v>11</v>
      </c>
      <c r="D254">
        <v>1</v>
      </c>
      <c r="E254">
        <v>3</v>
      </c>
      <c r="F254">
        <v>0</v>
      </c>
      <c r="G254">
        <v>1</v>
      </c>
      <c r="H254">
        <v>0</v>
      </c>
      <c r="I254">
        <v>4</v>
      </c>
      <c r="J254">
        <v>5</v>
      </c>
      <c r="K254">
        <v>0</v>
      </c>
      <c r="L254">
        <v>7</v>
      </c>
      <c r="M254">
        <v>1</v>
      </c>
      <c r="N254">
        <v>18</v>
      </c>
      <c r="O254">
        <v>35</v>
      </c>
    </row>
    <row r="255" spans="1:15" x14ac:dyDescent="0.25">
      <c r="A255" t="s">
        <v>185</v>
      </c>
      <c r="B255">
        <v>244</v>
      </c>
      <c r="C255">
        <v>151</v>
      </c>
      <c r="D255">
        <v>201</v>
      </c>
      <c r="E255">
        <v>179</v>
      </c>
      <c r="F255">
        <v>169</v>
      </c>
      <c r="G255">
        <v>118</v>
      </c>
      <c r="H255">
        <v>133</v>
      </c>
      <c r="I255">
        <v>162</v>
      </c>
      <c r="J255">
        <v>226</v>
      </c>
      <c r="K255">
        <v>66</v>
      </c>
      <c r="L255">
        <v>198</v>
      </c>
      <c r="M255">
        <v>84</v>
      </c>
      <c r="N255">
        <v>672</v>
      </c>
      <c r="O255">
        <v>1931</v>
      </c>
    </row>
    <row r="256" spans="1:15" x14ac:dyDescent="0.25">
      <c r="A256" t="s">
        <v>201</v>
      </c>
      <c r="B256">
        <v>7</v>
      </c>
      <c r="C256">
        <v>13</v>
      </c>
      <c r="D256">
        <v>1</v>
      </c>
      <c r="E256">
        <v>0</v>
      </c>
      <c r="F256">
        <v>0</v>
      </c>
      <c r="G256">
        <v>2</v>
      </c>
      <c r="H256">
        <v>0</v>
      </c>
      <c r="I256">
        <v>1</v>
      </c>
      <c r="J256">
        <v>5</v>
      </c>
      <c r="K256">
        <v>0</v>
      </c>
      <c r="L256">
        <v>6</v>
      </c>
      <c r="M256">
        <v>0</v>
      </c>
      <c r="N256">
        <v>30</v>
      </c>
      <c r="O256">
        <v>35</v>
      </c>
    </row>
    <row r="257" spans="1:15" x14ac:dyDescent="0.25">
      <c r="A257" t="s">
        <v>189</v>
      </c>
      <c r="B257">
        <v>248</v>
      </c>
      <c r="C257">
        <v>92</v>
      </c>
      <c r="D257">
        <v>262</v>
      </c>
      <c r="E257">
        <v>153</v>
      </c>
      <c r="F257">
        <v>280</v>
      </c>
      <c r="G257">
        <v>101</v>
      </c>
      <c r="H257">
        <v>64</v>
      </c>
      <c r="I257">
        <v>165</v>
      </c>
      <c r="J257">
        <v>185</v>
      </c>
      <c r="K257">
        <v>99</v>
      </c>
      <c r="L257">
        <v>152</v>
      </c>
      <c r="M257">
        <v>151</v>
      </c>
      <c r="N257">
        <v>577</v>
      </c>
      <c r="O257">
        <v>1952</v>
      </c>
    </row>
    <row r="258" spans="1:15" x14ac:dyDescent="0.25">
      <c r="A258" t="s">
        <v>203</v>
      </c>
      <c r="B258">
        <v>2</v>
      </c>
      <c r="C258">
        <v>13</v>
      </c>
      <c r="D258">
        <v>0</v>
      </c>
      <c r="E258">
        <v>0</v>
      </c>
      <c r="F258">
        <v>0</v>
      </c>
      <c r="G258">
        <v>3</v>
      </c>
      <c r="H258">
        <v>0</v>
      </c>
      <c r="I258">
        <v>3</v>
      </c>
      <c r="J258">
        <v>6</v>
      </c>
      <c r="K258">
        <v>2</v>
      </c>
      <c r="L258">
        <v>7</v>
      </c>
      <c r="M258">
        <v>1</v>
      </c>
      <c r="N258">
        <v>8</v>
      </c>
      <c r="O258">
        <v>37</v>
      </c>
    </row>
    <row r="259" spans="1:15" x14ac:dyDescent="0.25">
      <c r="A259" t="s">
        <v>191</v>
      </c>
      <c r="B259">
        <v>0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28</v>
      </c>
      <c r="O259">
        <v>1</v>
      </c>
    </row>
    <row r="260" spans="1:15" x14ac:dyDescent="0.25">
      <c r="A260" t="s">
        <v>205</v>
      </c>
      <c r="B260">
        <v>201</v>
      </c>
      <c r="C260">
        <v>304</v>
      </c>
      <c r="D260">
        <v>208</v>
      </c>
      <c r="E260">
        <v>394</v>
      </c>
      <c r="F260">
        <v>231</v>
      </c>
      <c r="G260">
        <v>236</v>
      </c>
      <c r="H260">
        <v>104</v>
      </c>
      <c r="I260">
        <v>260</v>
      </c>
      <c r="J260">
        <v>361</v>
      </c>
      <c r="K260">
        <v>168</v>
      </c>
      <c r="L260">
        <v>270</v>
      </c>
      <c r="M260">
        <v>259</v>
      </c>
      <c r="N260">
        <v>810</v>
      </c>
      <c r="O260">
        <v>2996</v>
      </c>
    </row>
    <row r="261" spans="1:15" x14ac:dyDescent="0.25">
      <c r="A261" t="s">
        <v>224</v>
      </c>
      <c r="B261">
        <v>8</v>
      </c>
      <c r="C261">
        <v>14</v>
      </c>
      <c r="D261">
        <v>0</v>
      </c>
      <c r="E261">
        <v>3</v>
      </c>
      <c r="F261">
        <v>11</v>
      </c>
      <c r="G261">
        <v>1</v>
      </c>
      <c r="H261">
        <v>0</v>
      </c>
      <c r="I261">
        <v>2</v>
      </c>
      <c r="J261">
        <v>3</v>
      </c>
      <c r="K261">
        <v>1</v>
      </c>
      <c r="L261">
        <v>5</v>
      </c>
      <c r="M261">
        <v>0</v>
      </c>
      <c r="N261">
        <v>189</v>
      </c>
      <c r="O261">
        <v>48</v>
      </c>
    </row>
    <row r="262" spans="1:15" x14ac:dyDescent="0.25">
      <c r="A262" t="s">
        <v>208</v>
      </c>
      <c r="B262">
        <v>173</v>
      </c>
      <c r="C262">
        <v>180</v>
      </c>
      <c r="D262">
        <v>276</v>
      </c>
      <c r="E262">
        <v>149</v>
      </c>
      <c r="F262">
        <v>277</v>
      </c>
      <c r="G262">
        <v>167</v>
      </c>
      <c r="H262">
        <v>107</v>
      </c>
      <c r="I262">
        <v>131</v>
      </c>
      <c r="J262">
        <v>236</v>
      </c>
      <c r="K262">
        <v>167</v>
      </c>
      <c r="L262">
        <v>167</v>
      </c>
      <c r="M262">
        <v>247</v>
      </c>
      <c r="N262">
        <v>535</v>
      </c>
      <c r="O262">
        <v>2277</v>
      </c>
    </row>
    <row r="263" spans="1:15" x14ac:dyDescent="0.25">
      <c r="A263" t="s">
        <v>226</v>
      </c>
      <c r="B263">
        <v>7</v>
      </c>
      <c r="C263">
        <v>11</v>
      </c>
      <c r="D263">
        <v>0</v>
      </c>
      <c r="E263">
        <v>1</v>
      </c>
      <c r="F263">
        <v>2</v>
      </c>
      <c r="G263">
        <v>3</v>
      </c>
      <c r="H263">
        <v>0</v>
      </c>
      <c r="I263">
        <v>0</v>
      </c>
      <c r="J263">
        <v>23</v>
      </c>
      <c r="K263">
        <v>0</v>
      </c>
      <c r="L263">
        <v>5</v>
      </c>
      <c r="M263">
        <v>0</v>
      </c>
      <c r="N263">
        <v>72</v>
      </c>
      <c r="O263">
        <v>52</v>
      </c>
    </row>
    <row r="264" spans="1:15" x14ac:dyDescent="0.25">
      <c r="A264" t="s">
        <v>210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5</v>
      </c>
      <c r="M264">
        <v>1</v>
      </c>
      <c r="N264">
        <v>77</v>
      </c>
      <c r="O264">
        <v>7</v>
      </c>
    </row>
    <row r="265" spans="1:15" x14ac:dyDescent="0.25">
      <c r="A265" t="s">
        <v>228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48</v>
      </c>
      <c r="O265">
        <v>0</v>
      </c>
    </row>
    <row r="266" spans="1:15" x14ac:dyDescent="0.25">
      <c r="A266" t="s">
        <v>212</v>
      </c>
      <c r="B266">
        <v>176</v>
      </c>
      <c r="C266">
        <v>154</v>
      </c>
      <c r="D266">
        <v>282</v>
      </c>
      <c r="E266">
        <v>175</v>
      </c>
      <c r="F266">
        <v>184</v>
      </c>
      <c r="G266">
        <v>205</v>
      </c>
      <c r="H266">
        <v>144</v>
      </c>
      <c r="I266">
        <v>135</v>
      </c>
      <c r="J266">
        <v>143</v>
      </c>
      <c r="K266">
        <v>103</v>
      </c>
      <c r="L266">
        <v>205</v>
      </c>
      <c r="M266">
        <v>320</v>
      </c>
      <c r="N266">
        <v>420</v>
      </c>
      <c r="O266">
        <v>2226</v>
      </c>
    </row>
    <row r="267" spans="1:15" x14ac:dyDescent="0.25">
      <c r="A267" t="s">
        <v>230</v>
      </c>
      <c r="B267">
        <v>7</v>
      </c>
      <c r="C267">
        <v>11</v>
      </c>
      <c r="D267">
        <v>0</v>
      </c>
      <c r="E267">
        <v>1</v>
      </c>
      <c r="F267">
        <v>0</v>
      </c>
      <c r="G267">
        <v>1</v>
      </c>
      <c r="H267">
        <v>0</v>
      </c>
      <c r="I267">
        <v>1</v>
      </c>
      <c r="J267">
        <v>6</v>
      </c>
      <c r="K267">
        <v>0</v>
      </c>
      <c r="L267">
        <v>5</v>
      </c>
      <c r="M267">
        <v>0</v>
      </c>
      <c r="N267">
        <v>8</v>
      </c>
      <c r="O267">
        <v>32</v>
      </c>
    </row>
    <row r="268" spans="1:15" x14ac:dyDescent="0.25">
      <c r="A268" t="s">
        <v>214</v>
      </c>
      <c r="B268">
        <v>34</v>
      </c>
      <c r="C268">
        <v>50</v>
      </c>
      <c r="D268">
        <v>124</v>
      </c>
      <c r="E268">
        <v>125</v>
      </c>
      <c r="F268">
        <v>28</v>
      </c>
      <c r="G268">
        <v>36</v>
      </c>
      <c r="H268">
        <v>71</v>
      </c>
      <c r="I268">
        <v>69</v>
      </c>
      <c r="J268">
        <v>51</v>
      </c>
      <c r="K268">
        <v>62</v>
      </c>
      <c r="L268">
        <v>38</v>
      </c>
      <c r="M268">
        <v>55</v>
      </c>
      <c r="N268">
        <v>193</v>
      </c>
      <c r="O268">
        <v>743</v>
      </c>
    </row>
    <row r="269" spans="1:15" x14ac:dyDescent="0.25">
      <c r="A269" t="s">
        <v>232</v>
      </c>
      <c r="B269">
        <v>0</v>
      </c>
      <c r="C269">
        <v>0</v>
      </c>
      <c r="D269">
        <v>2</v>
      </c>
      <c r="E269">
        <v>1</v>
      </c>
      <c r="F269">
        <v>1</v>
      </c>
      <c r="G269">
        <v>3</v>
      </c>
      <c r="H269">
        <v>0</v>
      </c>
      <c r="I269">
        <v>2</v>
      </c>
      <c r="J269">
        <v>6</v>
      </c>
      <c r="K269">
        <v>0</v>
      </c>
      <c r="L269">
        <v>0</v>
      </c>
      <c r="M269">
        <v>0</v>
      </c>
      <c r="N269">
        <v>250</v>
      </c>
      <c r="O269">
        <v>15</v>
      </c>
    </row>
    <row r="270" spans="1:15" x14ac:dyDescent="0.25">
      <c r="A270" t="s">
        <v>234</v>
      </c>
      <c r="B270">
        <v>81</v>
      </c>
      <c r="C270">
        <v>53</v>
      </c>
      <c r="D270">
        <v>145</v>
      </c>
      <c r="E270">
        <v>92</v>
      </c>
      <c r="F270">
        <v>69</v>
      </c>
      <c r="G270">
        <v>106</v>
      </c>
      <c r="H270">
        <v>41</v>
      </c>
      <c r="I270">
        <v>107</v>
      </c>
      <c r="J270">
        <v>195</v>
      </c>
      <c r="K270">
        <v>79</v>
      </c>
      <c r="L270">
        <v>76</v>
      </c>
      <c r="M270">
        <v>95</v>
      </c>
      <c r="N270">
        <v>305</v>
      </c>
      <c r="O270">
        <v>1139</v>
      </c>
    </row>
    <row r="271" spans="1:15" x14ac:dyDescent="0.25">
      <c r="A271" t="s">
        <v>249</v>
      </c>
      <c r="B271">
        <v>0</v>
      </c>
      <c r="C271">
        <v>0</v>
      </c>
      <c r="D271">
        <v>4</v>
      </c>
      <c r="E271">
        <v>3</v>
      </c>
      <c r="F271">
        <v>2</v>
      </c>
      <c r="G271">
        <v>3</v>
      </c>
      <c r="H271">
        <v>8</v>
      </c>
      <c r="I271">
        <v>1</v>
      </c>
      <c r="J271">
        <v>0</v>
      </c>
      <c r="K271">
        <v>8</v>
      </c>
      <c r="L271">
        <v>26</v>
      </c>
      <c r="M271">
        <v>0</v>
      </c>
      <c r="N271">
        <v>0</v>
      </c>
      <c r="O271">
        <v>55</v>
      </c>
    </row>
    <row r="272" spans="1:15" x14ac:dyDescent="0.25">
      <c r="A272" t="s">
        <v>237</v>
      </c>
      <c r="B272">
        <v>14</v>
      </c>
      <c r="C272">
        <v>47</v>
      </c>
      <c r="D272">
        <v>97</v>
      </c>
      <c r="E272">
        <v>87</v>
      </c>
      <c r="F272">
        <v>38</v>
      </c>
      <c r="G272">
        <v>152</v>
      </c>
      <c r="H272">
        <v>67</v>
      </c>
      <c r="I272">
        <v>58</v>
      </c>
      <c r="J272">
        <v>116</v>
      </c>
      <c r="K272">
        <v>65</v>
      </c>
      <c r="L272">
        <v>144</v>
      </c>
      <c r="M272">
        <v>96</v>
      </c>
      <c r="N272">
        <v>154</v>
      </c>
      <c r="O272">
        <v>981</v>
      </c>
    </row>
    <row r="273" spans="1:15" x14ac:dyDescent="0.25">
      <c r="A273" t="s">
        <v>251</v>
      </c>
      <c r="B273">
        <v>10</v>
      </c>
      <c r="C273">
        <v>2</v>
      </c>
      <c r="D273">
        <v>5</v>
      </c>
      <c r="E273">
        <v>8</v>
      </c>
      <c r="F273">
        <v>10</v>
      </c>
      <c r="G273">
        <v>-1</v>
      </c>
      <c r="H273">
        <v>0</v>
      </c>
      <c r="I273">
        <v>1</v>
      </c>
      <c r="J273">
        <v>2</v>
      </c>
      <c r="K273">
        <v>1</v>
      </c>
      <c r="L273">
        <v>7</v>
      </c>
      <c r="M273">
        <v>0</v>
      </c>
      <c r="N273">
        <v>13</v>
      </c>
      <c r="O273">
        <v>45</v>
      </c>
    </row>
    <row r="274" spans="1:15" x14ac:dyDescent="0.25">
      <c r="A274" t="s">
        <v>239</v>
      </c>
      <c r="B274">
        <v>37</v>
      </c>
      <c r="C274">
        <v>25</v>
      </c>
      <c r="D274">
        <v>65</v>
      </c>
      <c r="E274">
        <v>43</v>
      </c>
      <c r="F274">
        <v>43</v>
      </c>
      <c r="G274">
        <v>83</v>
      </c>
      <c r="H274">
        <v>74</v>
      </c>
      <c r="I274">
        <v>67</v>
      </c>
      <c r="J274">
        <v>80</v>
      </c>
      <c r="K274">
        <v>45</v>
      </c>
      <c r="L274">
        <v>30</v>
      </c>
      <c r="M274">
        <v>92</v>
      </c>
      <c r="N274">
        <v>148</v>
      </c>
      <c r="O274">
        <v>684</v>
      </c>
    </row>
    <row r="275" spans="1:15" x14ac:dyDescent="0.25">
      <c r="A275" t="s">
        <v>253</v>
      </c>
      <c r="B275">
        <v>0</v>
      </c>
      <c r="C275">
        <v>3</v>
      </c>
      <c r="D275">
        <v>5</v>
      </c>
      <c r="E275">
        <v>0</v>
      </c>
      <c r="F275">
        <v>10</v>
      </c>
      <c r="G275">
        <v>1</v>
      </c>
      <c r="H275">
        <v>9</v>
      </c>
      <c r="I275">
        <v>3</v>
      </c>
      <c r="J275">
        <v>16</v>
      </c>
      <c r="K275">
        <v>0</v>
      </c>
      <c r="L275">
        <v>0</v>
      </c>
      <c r="M275">
        <v>10</v>
      </c>
      <c r="N275">
        <v>25</v>
      </c>
      <c r="O275">
        <v>57</v>
      </c>
    </row>
    <row r="276" spans="1:15" x14ac:dyDescent="0.25">
      <c r="A276" t="s">
        <v>241</v>
      </c>
      <c r="B276">
        <v>1</v>
      </c>
      <c r="C276">
        <v>0</v>
      </c>
      <c r="D276">
        <v>0</v>
      </c>
      <c r="E276">
        <v>1</v>
      </c>
      <c r="F276">
        <v>2</v>
      </c>
      <c r="G276">
        <v>0</v>
      </c>
      <c r="H276">
        <v>0</v>
      </c>
      <c r="I276">
        <v>6</v>
      </c>
      <c r="J276">
        <v>6</v>
      </c>
      <c r="K276">
        <v>10</v>
      </c>
      <c r="L276">
        <v>2</v>
      </c>
      <c r="M276">
        <v>4</v>
      </c>
      <c r="N276">
        <v>146</v>
      </c>
      <c r="O276">
        <v>32</v>
      </c>
    </row>
    <row r="277" spans="1:15" x14ac:dyDescent="0.25">
      <c r="A277" t="s">
        <v>280</v>
      </c>
      <c r="B277">
        <v>0</v>
      </c>
      <c r="C277">
        <v>1</v>
      </c>
      <c r="D277">
        <v>1</v>
      </c>
      <c r="E277">
        <v>0</v>
      </c>
      <c r="F277">
        <v>3</v>
      </c>
      <c r="G277">
        <v>1</v>
      </c>
      <c r="H277">
        <v>2</v>
      </c>
      <c r="I277">
        <v>0</v>
      </c>
      <c r="J277">
        <v>2</v>
      </c>
      <c r="K277">
        <v>1</v>
      </c>
      <c r="L277">
        <v>3</v>
      </c>
      <c r="M277">
        <v>0</v>
      </c>
      <c r="N277">
        <v>0</v>
      </c>
      <c r="O277">
        <v>14</v>
      </c>
    </row>
    <row r="278" spans="1:15" x14ac:dyDescent="0.25">
      <c r="A278" t="s">
        <v>283</v>
      </c>
      <c r="B278">
        <v>12</v>
      </c>
      <c r="C278">
        <v>0</v>
      </c>
      <c r="D278">
        <v>0</v>
      </c>
      <c r="E278">
        <v>0</v>
      </c>
      <c r="F278">
        <v>5</v>
      </c>
      <c r="G278">
        <v>0</v>
      </c>
      <c r="H278">
        <v>2</v>
      </c>
      <c r="I278">
        <v>1</v>
      </c>
      <c r="J278">
        <v>1</v>
      </c>
      <c r="K278">
        <v>2</v>
      </c>
      <c r="L278">
        <v>2</v>
      </c>
      <c r="M278">
        <v>1</v>
      </c>
      <c r="N278">
        <v>35</v>
      </c>
      <c r="O278">
        <v>26</v>
      </c>
    </row>
    <row r="279" spans="1:15" x14ac:dyDescent="0.25">
      <c r="A279" t="s">
        <v>285</v>
      </c>
      <c r="B279">
        <v>2</v>
      </c>
      <c r="C279">
        <v>3</v>
      </c>
      <c r="D279">
        <v>0</v>
      </c>
      <c r="E279">
        <v>0</v>
      </c>
      <c r="F279">
        <v>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20</v>
      </c>
      <c r="O279">
        <v>9</v>
      </c>
    </row>
    <row r="280" spans="1:15" x14ac:dyDescent="0.25">
      <c r="A280" t="s">
        <v>362</v>
      </c>
      <c r="B280">
        <v>10</v>
      </c>
      <c r="C280">
        <v>7</v>
      </c>
      <c r="D280">
        <v>5</v>
      </c>
      <c r="E280">
        <v>7</v>
      </c>
      <c r="F280">
        <v>13</v>
      </c>
      <c r="G280">
        <v>0</v>
      </c>
      <c r="H280">
        <v>0</v>
      </c>
      <c r="I280">
        <v>3</v>
      </c>
      <c r="J280">
        <v>7</v>
      </c>
      <c r="K280">
        <v>1</v>
      </c>
      <c r="L280">
        <v>11</v>
      </c>
      <c r="M280">
        <v>0</v>
      </c>
      <c r="N280">
        <v>50</v>
      </c>
      <c r="O280">
        <v>64</v>
      </c>
    </row>
    <row r="281" spans="1:15" x14ac:dyDescent="0.25">
      <c r="A281" t="s">
        <v>382</v>
      </c>
      <c r="B281">
        <v>2</v>
      </c>
      <c r="C281">
        <v>1</v>
      </c>
      <c r="D281">
        <v>8</v>
      </c>
      <c r="E281">
        <v>5</v>
      </c>
      <c r="F281">
        <v>0</v>
      </c>
      <c r="G281">
        <v>0</v>
      </c>
      <c r="H281">
        <v>10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25</v>
      </c>
      <c r="O281">
        <v>26</v>
      </c>
    </row>
    <row r="282" spans="1:15" x14ac:dyDescent="0.25">
      <c r="A282" t="s">
        <v>366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</v>
      </c>
      <c r="K282">
        <v>0</v>
      </c>
      <c r="L282">
        <v>0</v>
      </c>
      <c r="M282">
        <v>0</v>
      </c>
      <c r="N282">
        <v>3</v>
      </c>
      <c r="O282">
        <v>2</v>
      </c>
    </row>
    <row r="283" spans="1:15" x14ac:dyDescent="0.25">
      <c r="A283" t="s">
        <v>368</v>
      </c>
      <c r="B283">
        <v>0</v>
      </c>
      <c r="C283">
        <v>2</v>
      </c>
      <c r="D283">
        <v>0</v>
      </c>
      <c r="E283">
        <v>6</v>
      </c>
      <c r="F283">
        <v>10</v>
      </c>
      <c r="G283">
        <v>0</v>
      </c>
      <c r="H283">
        <v>0</v>
      </c>
      <c r="I283">
        <v>6</v>
      </c>
      <c r="J283">
        <v>8</v>
      </c>
      <c r="K283">
        <v>1</v>
      </c>
      <c r="L283">
        <v>0</v>
      </c>
      <c r="M283">
        <v>0</v>
      </c>
      <c r="N283">
        <v>22</v>
      </c>
      <c r="O283">
        <v>33</v>
      </c>
    </row>
    <row r="284" spans="1:15" x14ac:dyDescent="0.25">
      <c r="A284" t="s">
        <v>386</v>
      </c>
      <c r="B284">
        <v>0</v>
      </c>
      <c r="C284">
        <v>0</v>
      </c>
      <c r="D284">
        <v>5</v>
      </c>
      <c r="E284">
        <v>4</v>
      </c>
      <c r="F284">
        <v>3</v>
      </c>
      <c r="G284">
        <v>0</v>
      </c>
      <c r="H284">
        <v>10</v>
      </c>
      <c r="I284">
        <v>0</v>
      </c>
      <c r="J284">
        <v>5</v>
      </c>
      <c r="K284">
        <v>0</v>
      </c>
      <c r="L284">
        <v>0</v>
      </c>
      <c r="M284">
        <v>4</v>
      </c>
      <c r="N284">
        <v>0</v>
      </c>
      <c r="O284">
        <v>31</v>
      </c>
    </row>
    <row r="285" spans="1:15" x14ac:dyDescent="0.25">
      <c r="A285" t="s">
        <v>372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8</v>
      </c>
      <c r="K285">
        <v>0</v>
      </c>
      <c r="L285">
        <v>0</v>
      </c>
      <c r="M285">
        <v>0</v>
      </c>
      <c r="N285">
        <v>118</v>
      </c>
      <c r="O285">
        <v>8</v>
      </c>
    </row>
    <row r="286" spans="1:15" x14ac:dyDescent="0.25">
      <c r="A286" t="s">
        <v>264</v>
      </c>
      <c r="B286">
        <v>14</v>
      </c>
      <c r="C286">
        <v>10</v>
      </c>
      <c r="D286">
        <v>0</v>
      </c>
      <c r="E286">
        <v>12</v>
      </c>
      <c r="F286">
        <v>4</v>
      </c>
      <c r="G286">
        <v>20</v>
      </c>
      <c r="H286">
        <v>2</v>
      </c>
      <c r="I286">
        <v>0</v>
      </c>
      <c r="J286">
        <v>24</v>
      </c>
      <c r="K286">
        <v>0</v>
      </c>
      <c r="L286">
        <v>10</v>
      </c>
      <c r="M286">
        <v>19</v>
      </c>
      <c r="N286">
        <v>44</v>
      </c>
      <c r="O286">
        <v>115</v>
      </c>
    </row>
    <row r="287" spans="1:15" x14ac:dyDescent="0.25">
      <c r="A287" t="s">
        <v>270</v>
      </c>
      <c r="B287">
        <v>10</v>
      </c>
      <c r="C287">
        <v>23</v>
      </c>
      <c r="D287">
        <v>13</v>
      </c>
      <c r="E287">
        <v>59</v>
      </c>
      <c r="F287">
        <v>26</v>
      </c>
      <c r="G287">
        <v>13</v>
      </c>
      <c r="H287">
        <v>10</v>
      </c>
      <c r="I287">
        <v>10</v>
      </c>
      <c r="J287">
        <v>53</v>
      </c>
      <c r="K287">
        <v>53</v>
      </c>
      <c r="L287">
        <v>40</v>
      </c>
      <c r="M287">
        <v>12</v>
      </c>
      <c r="N287">
        <v>45</v>
      </c>
      <c r="O287">
        <v>322</v>
      </c>
    </row>
    <row r="288" spans="1:15" x14ac:dyDescent="0.25">
      <c r="A288" t="s">
        <v>266</v>
      </c>
      <c r="B288">
        <v>4</v>
      </c>
      <c r="C288">
        <v>0</v>
      </c>
      <c r="D288">
        <v>3</v>
      </c>
      <c r="E288">
        <v>2</v>
      </c>
      <c r="F288">
        <v>5</v>
      </c>
      <c r="G288">
        <v>10</v>
      </c>
      <c r="H288">
        <v>0</v>
      </c>
      <c r="I288">
        <v>1</v>
      </c>
      <c r="J288">
        <v>9</v>
      </c>
      <c r="K288">
        <v>0</v>
      </c>
      <c r="L288">
        <v>0</v>
      </c>
      <c r="M288">
        <v>0</v>
      </c>
      <c r="N288">
        <v>26</v>
      </c>
      <c r="O288">
        <v>34</v>
      </c>
    </row>
    <row r="289" spans="1:15" x14ac:dyDescent="0.25">
      <c r="A289" t="s">
        <v>274</v>
      </c>
      <c r="B289">
        <v>0</v>
      </c>
      <c r="C289">
        <v>0</v>
      </c>
      <c r="D289">
        <v>0</v>
      </c>
      <c r="E289">
        <v>36</v>
      </c>
      <c r="F289">
        <v>22</v>
      </c>
      <c r="G289">
        <v>50</v>
      </c>
      <c r="H289">
        <v>12</v>
      </c>
      <c r="I289">
        <v>10</v>
      </c>
      <c r="J289">
        <v>88</v>
      </c>
      <c r="K289">
        <v>20</v>
      </c>
      <c r="L289">
        <v>5</v>
      </c>
      <c r="M289">
        <v>15</v>
      </c>
      <c r="N289">
        <v>115</v>
      </c>
      <c r="O289">
        <v>258</v>
      </c>
    </row>
    <row r="290" spans="1:15" x14ac:dyDescent="0.25">
      <c r="A290" t="s">
        <v>276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18</v>
      </c>
      <c r="O290">
        <v>2</v>
      </c>
    </row>
    <row r="291" spans="1:15" x14ac:dyDescent="0.25">
      <c r="A291" t="s">
        <v>268</v>
      </c>
      <c r="B291">
        <v>10</v>
      </c>
      <c r="C291">
        <v>0</v>
      </c>
      <c r="D291">
        <v>0</v>
      </c>
      <c r="E291">
        <v>0</v>
      </c>
      <c r="F291">
        <v>0</v>
      </c>
      <c r="G291">
        <v>5</v>
      </c>
      <c r="H291">
        <v>0</v>
      </c>
      <c r="I291">
        <v>1</v>
      </c>
      <c r="J291">
        <v>10</v>
      </c>
      <c r="K291">
        <v>0</v>
      </c>
      <c r="L291">
        <v>0</v>
      </c>
      <c r="M291">
        <v>1</v>
      </c>
      <c r="N291">
        <v>20</v>
      </c>
      <c r="O291">
        <v>27</v>
      </c>
    </row>
    <row r="292" spans="1:15" x14ac:dyDescent="0.25">
      <c r="A292" t="s">
        <v>278</v>
      </c>
      <c r="B292">
        <v>0</v>
      </c>
      <c r="C292">
        <v>0</v>
      </c>
      <c r="D292">
        <v>0</v>
      </c>
      <c r="E292">
        <v>29</v>
      </c>
      <c r="F292">
        <v>4</v>
      </c>
      <c r="G292">
        <v>4</v>
      </c>
      <c r="H292">
        <v>18</v>
      </c>
      <c r="I292">
        <v>0</v>
      </c>
      <c r="J292">
        <v>69</v>
      </c>
      <c r="K292">
        <v>5</v>
      </c>
      <c r="L292">
        <v>5</v>
      </c>
      <c r="M292">
        <v>0</v>
      </c>
      <c r="N292">
        <v>105</v>
      </c>
      <c r="O292">
        <v>134</v>
      </c>
    </row>
    <row r="293" spans="1:15" x14ac:dyDescent="0.25">
      <c r="A293" t="s">
        <v>94</v>
      </c>
      <c r="B293">
        <v>4998</v>
      </c>
      <c r="C293">
        <v>4318</v>
      </c>
      <c r="D293">
        <v>5109</v>
      </c>
      <c r="E293">
        <v>6378</v>
      </c>
      <c r="F293">
        <v>4848</v>
      </c>
      <c r="G293">
        <v>4688</v>
      </c>
      <c r="H293">
        <v>4113</v>
      </c>
      <c r="I293">
        <v>5707</v>
      </c>
      <c r="J293">
        <v>4860</v>
      </c>
      <c r="K293">
        <v>6143</v>
      </c>
      <c r="L293">
        <v>8578</v>
      </c>
      <c r="M293">
        <v>5712</v>
      </c>
      <c r="N293">
        <v>9476</v>
      </c>
      <c r="O293">
        <v>65452</v>
      </c>
    </row>
    <row r="294" spans="1:15" x14ac:dyDescent="0.25">
      <c r="A294" t="s">
        <v>96</v>
      </c>
      <c r="B294">
        <v>3100</v>
      </c>
      <c r="C294">
        <v>2084</v>
      </c>
      <c r="D294">
        <v>3725</v>
      </c>
      <c r="E294">
        <v>3394</v>
      </c>
      <c r="F294">
        <v>2650</v>
      </c>
      <c r="G294">
        <v>1925</v>
      </c>
      <c r="H294">
        <v>2090</v>
      </c>
      <c r="I294">
        <v>2968</v>
      </c>
      <c r="J294">
        <v>2733</v>
      </c>
      <c r="K294">
        <v>3446</v>
      </c>
      <c r="L294">
        <v>5773</v>
      </c>
      <c r="M294">
        <v>2385</v>
      </c>
      <c r="N294">
        <v>4789</v>
      </c>
      <c r="O294">
        <v>36273</v>
      </c>
    </row>
    <row r="295" spans="1:15" x14ac:dyDescent="0.25">
      <c r="A295" t="s">
        <v>98</v>
      </c>
      <c r="B295">
        <v>4684</v>
      </c>
      <c r="C295">
        <v>2860</v>
      </c>
      <c r="D295">
        <v>4592</v>
      </c>
      <c r="E295">
        <v>4315</v>
      </c>
      <c r="F295">
        <v>3223</v>
      </c>
      <c r="G295">
        <v>3127</v>
      </c>
      <c r="H295">
        <v>3208</v>
      </c>
      <c r="I295">
        <v>3956</v>
      </c>
      <c r="J295">
        <v>4067</v>
      </c>
      <c r="K295">
        <v>5360</v>
      </c>
      <c r="L295">
        <v>6511</v>
      </c>
      <c r="M295">
        <v>4572</v>
      </c>
      <c r="N295">
        <v>6185</v>
      </c>
      <c r="O295">
        <v>50475</v>
      </c>
    </row>
    <row r="296" spans="1:15" x14ac:dyDescent="0.25">
      <c r="A296" t="s">
        <v>100</v>
      </c>
      <c r="B296">
        <v>266</v>
      </c>
      <c r="C296">
        <v>431</v>
      </c>
      <c r="D296">
        <v>204</v>
      </c>
      <c r="E296">
        <v>217</v>
      </c>
      <c r="F296">
        <v>482</v>
      </c>
      <c r="G296">
        <v>298</v>
      </c>
      <c r="H296">
        <v>339</v>
      </c>
      <c r="I296">
        <v>308</v>
      </c>
      <c r="J296">
        <v>382</v>
      </c>
      <c r="K296">
        <v>278</v>
      </c>
      <c r="L296">
        <v>622</v>
      </c>
      <c r="M296">
        <v>385</v>
      </c>
      <c r="N296">
        <v>618</v>
      </c>
      <c r="O296">
        <v>4212</v>
      </c>
    </row>
    <row r="297" spans="1:15" x14ac:dyDescent="0.25">
      <c r="A297" t="s">
        <v>102</v>
      </c>
      <c r="B297">
        <v>0</v>
      </c>
      <c r="C297">
        <v>55</v>
      </c>
      <c r="D297">
        <v>0</v>
      </c>
      <c r="E297">
        <v>11</v>
      </c>
      <c r="F297">
        <v>6</v>
      </c>
      <c r="G297">
        <v>0</v>
      </c>
      <c r="H297">
        <v>8</v>
      </c>
      <c r="I297">
        <v>13</v>
      </c>
      <c r="J297">
        <v>1</v>
      </c>
      <c r="K297">
        <v>21</v>
      </c>
      <c r="L297">
        <v>34</v>
      </c>
      <c r="M297">
        <v>0</v>
      </c>
      <c r="N297">
        <v>26</v>
      </c>
      <c r="O297">
        <v>149</v>
      </c>
    </row>
    <row r="298" spans="1:15" x14ac:dyDescent="0.25">
      <c r="A298" t="s">
        <v>114</v>
      </c>
      <c r="B298">
        <v>376</v>
      </c>
      <c r="C298">
        <v>358</v>
      </c>
      <c r="D298">
        <v>501</v>
      </c>
      <c r="E298">
        <v>262</v>
      </c>
      <c r="F298">
        <v>287</v>
      </c>
      <c r="G298">
        <v>271</v>
      </c>
      <c r="H298">
        <v>333</v>
      </c>
      <c r="I298">
        <v>242</v>
      </c>
      <c r="J298">
        <v>591</v>
      </c>
      <c r="K298">
        <v>395</v>
      </c>
      <c r="L298">
        <v>484</v>
      </c>
      <c r="M298">
        <v>315</v>
      </c>
      <c r="N298">
        <v>953</v>
      </c>
      <c r="O298">
        <v>4415</v>
      </c>
    </row>
    <row r="299" spans="1:15" x14ac:dyDescent="0.25">
      <c r="A299" t="s">
        <v>117</v>
      </c>
      <c r="B299">
        <v>152</v>
      </c>
      <c r="C299">
        <v>124</v>
      </c>
      <c r="D299">
        <v>161</v>
      </c>
      <c r="E299">
        <v>180</v>
      </c>
      <c r="F299">
        <v>66</v>
      </c>
      <c r="G299">
        <v>170</v>
      </c>
      <c r="H299">
        <v>116</v>
      </c>
      <c r="I299">
        <v>110</v>
      </c>
      <c r="J299">
        <v>353</v>
      </c>
      <c r="K299">
        <v>168</v>
      </c>
      <c r="L299">
        <v>181</v>
      </c>
      <c r="M299">
        <v>159</v>
      </c>
      <c r="N299">
        <v>407</v>
      </c>
      <c r="O299">
        <v>1940</v>
      </c>
    </row>
    <row r="300" spans="1:15" x14ac:dyDescent="0.25">
      <c r="A300" t="s">
        <v>120</v>
      </c>
      <c r="B300">
        <v>176</v>
      </c>
      <c r="C300">
        <v>191</v>
      </c>
      <c r="D300">
        <v>335</v>
      </c>
      <c r="E300">
        <v>323</v>
      </c>
      <c r="F300">
        <v>106</v>
      </c>
      <c r="G300">
        <v>228</v>
      </c>
      <c r="H300">
        <v>140</v>
      </c>
      <c r="I300">
        <v>162</v>
      </c>
      <c r="J300">
        <v>253</v>
      </c>
      <c r="K300">
        <v>350</v>
      </c>
      <c r="L300">
        <v>386</v>
      </c>
      <c r="M300">
        <v>143</v>
      </c>
      <c r="N300">
        <v>358</v>
      </c>
      <c r="O300">
        <v>2793</v>
      </c>
    </row>
    <row r="301" spans="1:15" x14ac:dyDescent="0.25">
      <c r="A301" t="s">
        <v>123</v>
      </c>
      <c r="B301">
        <v>13</v>
      </c>
      <c r="C301">
        <v>35</v>
      </c>
      <c r="D301">
        <v>11</v>
      </c>
      <c r="E301">
        <v>15</v>
      </c>
      <c r="F301">
        <v>3</v>
      </c>
      <c r="G301">
        <v>1</v>
      </c>
      <c r="H301">
        <v>23</v>
      </c>
      <c r="I301">
        <v>5</v>
      </c>
      <c r="J301">
        <v>14</v>
      </c>
      <c r="K301">
        <v>3</v>
      </c>
      <c r="L301">
        <v>13</v>
      </c>
      <c r="M301">
        <v>0</v>
      </c>
      <c r="N301">
        <v>98</v>
      </c>
      <c r="O301">
        <v>136</v>
      </c>
    </row>
    <row r="302" spans="1:15" x14ac:dyDescent="0.25">
      <c r="A302" t="s">
        <v>126</v>
      </c>
      <c r="B302">
        <v>0</v>
      </c>
      <c r="C302">
        <v>5</v>
      </c>
      <c r="D302">
        <v>-5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5</v>
      </c>
      <c r="M302">
        <v>0</v>
      </c>
      <c r="N302">
        <v>5</v>
      </c>
      <c r="O302">
        <v>6</v>
      </c>
    </row>
    <row r="303" spans="1:15" x14ac:dyDescent="0.25">
      <c r="A303" t="s">
        <v>112</v>
      </c>
      <c r="B303">
        <v>415</v>
      </c>
      <c r="C303">
        <v>301</v>
      </c>
      <c r="D303">
        <v>178</v>
      </c>
      <c r="E303">
        <v>639</v>
      </c>
      <c r="F303">
        <v>279</v>
      </c>
      <c r="G303">
        <v>267</v>
      </c>
      <c r="H303">
        <v>309</v>
      </c>
      <c r="I303">
        <v>277</v>
      </c>
      <c r="J303">
        <v>245</v>
      </c>
      <c r="K303">
        <v>343</v>
      </c>
      <c r="L303">
        <v>606</v>
      </c>
      <c r="M303">
        <v>321</v>
      </c>
      <c r="N303">
        <v>698</v>
      </c>
      <c r="O303">
        <v>4180</v>
      </c>
    </row>
    <row r="304" spans="1:15" x14ac:dyDescent="0.25">
      <c r="A304" t="s">
        <v>118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1</v>
      </c>
    </row>
    <row r="305" spans="1:15" x14ac:dyDescent="0.25">
      <c r="A305" t="s">
        <v>134</v>
      </c>
      <c r="B305">
        <v>13</v>
      </c>
      <c r="C305">
        <v>1912</v>
      </c>
      <c r="D305">
        <v>978</v>
      </c>
      <c r="E305">
        <v>1100</v>
      </c>
      <c r="F305">
        <v>1549</v>
      </c>
      <c r="G305">
        <v>974</v>
      </c>
      <c r="H305">
        <v>933</v>
      </c>
      <c r="I305">
        <v>645</v>
      </c>
      <c r="J305">
        <v>1139</v>
      </c>
      <c r="K305">
        <v>1079</v>
      </c>
      <c r="L305">
        <v>2007</v>
      </c>
      <c r="M305">
        <v>1213</v>
      </c>
      <c r="N305">
        <v>1861</v>
      </c>
      <c r="O305">
        <v>13542</v>
      </c>
    </row>
    <row r="306" spans="1:15" x14ac:dyDescent="0.25">
      <c r="A306" t="s">
        <v>136</v>
      </c>
      <c r="B306">
        <v>354</v>
      </c>
      <c r="C306">
        <v>217</v>
      </c>
      <c r="D306">
        <v>430</v>
      </c>
      <c r="E306">
        <v>396</v>
      </c>
      <c r="F306">
        <v>910</v>
      </c>
      <c r="G306">
        <v>350</v>
      </c>
      <c r="H306">
        <v>332</v>
      </c>
      <c r="I306">
        <v>320</v>
      </c>
      <c r="J306">
        <v>503</v>
      </c>
      <c r="K306">
        <v>400</v>
      </c>
      <c r="L306">
        <v>726</v>
      </c>
      <c r="M306">
        <v>348</v>
      </c>
      <c r="N306">
        <v>981</v>
      </c>
      <c r="O306">
        <v>5286</v>
      </c>
    </row>
    <row r="307" spans="1:15" x14ac:dyDescent="0.25">
      <c r="A307" t="s">
        <v>138</v>
      </c>
      <c r="B307">
        <v>501</v>
      </c>
      <c r="C307">
        <v>218</v>
      </c>
      <c r="D307">
        <v>640</v>
      </c>
      <c r="E307">
        <v>748</v>
      </c>
      <c r="F307">
        <v>1273</v>
      </c>
      <c r="G307">
        <v>150</v>
      </c>
      <c r="H307">
        <v>417</v>
      </c>
      <c r="I307">
        <v>375</v>
      </c>
      <c r="J307">
        <v>736</v>
      </c>
      <c r="K307">
        <v>489</v>
      </c>
      <c r="L307">
        <v>857</v>
      </c>
      <c r="M307">
        <v>391</v>
      </c>
      <c r="N307">
        <v>1592</v>
      </c>
      <c r="O307">
        <v>6795</v>
      </c>
    </row>
    <row r="308" spans="1:15" x14ac:dyDescent="0.25">
      <c r="A308" t="s">
        <v>140</v>
      </c>
      <c r="B308">
        <v>28</v>
      </c>
      <c r="C308">
        <v>3</v>
      </c>
      <c r="D308">
        <v>6</v>
      </c>
      <c r="E308">
        <v>33</v>
      </c>
      <c r="F308">
        <v>0</v>
      </c>
      <c r="G308">
        <v>0</v>
      </c>
      <c r="H308">
        <v>2</v>
      </c>
      <c r="I308">
        <v>29</v>
      </c>
      <c r="J308">
        <v>23</v>
      </c>
      <c r="K308">
        <v>8</v>
      </c>
      <c r="L308">
        <v>1</v>
      </c>
      <c r="M308">
        <v>0</v>
      </c>
      <c r="N308">
        <v>0</v>
      </c>
      <c r="O308">
        <v>133</v>
      </c>
    </row>
    <row r="309" spans="1:15" x14ac:dyDescent="0.25">
      <c r="A309" t="s">
        <v>142</v>
      </c>
      <c r="B309">
        <v>0</v>
      </c>
      <c r="C309">
        <v>0</v>
      </c>
      <c r="D309">
        <v>0</v>
      </c>
      <c r="E309">
        <v>1</v>
      </c>
      <c r="F309">
        <v>1</v>
      </c>
      <c r="G309">
        <v>0</v>
      </c>
      <c r="H309">
        <v>0</v>
      </c>
      <c r="I309">
        <v>4</v>
      </c>
      <c r="J309">
        <v>12</v>
      </c>
      <c r="K309">
        <v>0</v>
      </c>
      <c r="L309">
        <v>15</v>
      </c>
      <c r="M309">
        <v>0</v>
      </c>
      <c r="N309">
        <v>4</v>
      </c>
      <c r="O309">
        <v>33</v>
      </c>
    </row>
    <row r="310" spans="1:15" x14ac:dyDescent="0.25">
      <c r="A310" t="s">
        <v>155</v>
      </c>
      <c r="B310">
        <v>1920</v>
      </c>
      <c r="C310">
        <v>1319</v>
      </c>
      <c r="D310">
        <v>1408</v>
      </c>
      <c r="E310">
        <v>2131</v>
      </c>
      <c r="F310">
        <v>1870</v>
      </c>
      <c r="G310">
        <v>1245</v>
      </c>
      <c r="H310">
        <v>953</v>
      </c>
      <c r="I310">
        <v>1022</v>
      </c>
      <c r="J310">
        <v>1473</v>
      </c>
      <c r="K310">
        <v>1597</v>
      </c>
      <c r="L310">
        <v>2504</v>
      </c>
      <c r="M310">
        <v>1826</v>
      </c>
      <c r="N310">
        <v>2903</v>
      </c>
      <c r="O310">
        <v>19268</v>
      </c>
    </row>
    <row r="311" spans="1:15" x14ac:dyDescent="0.25">
      <c r="A311" t="s">
        <v>157</v>
      </c>
      <c r="B311">
        <v>1415</v>
      </c>
      <c r="C311">
        <v>797</v>
      </c>
      <c r="D311">
        <v>798</v>
      </c>
      <c r="E311">
        <v>1246</v>
      </c>
      <c r="F311">
        <v>1351</v>
      </c>
      <c r="G311">
        <v>899</v>
      </c>
      <c r="H311">
        <v>725</v>
      </c>
      <c r="I311">
        <v>545</v>
      </c>
      <c r="J311">
        <v>783</v>
      </c>
      <c r="K311">
        <v>1002</v>
      </c>
      <c r="L311">
        <v>1574</v>
      </c>
      <c r="M311">
        <v>965</v>
      </c>
      <c r="N311">
        <v>2073</v>
      </c>
      <c r="O311">
        <v>12100</v>
      </c>
    </row>
    <row r="312" spans="1:15" x14ac:dyDescent="0.25">
      <c r="A312" t="s">
        <v>159</v>
      </c>
      <c r="B312">
        <v>1507</v>
      </c>
      <c r="C312">
        <v>1031</v>
      </c>
      <c r="D312">
        <v>1041</v>
      </c>
      <c r="E312">
        <v>1138</v>
      </c>
      <c r="F312">
        <v>1207</v>
      </c>
      <c r="G312">
        <v>810</v>
      </c>
      <c r="H312">
        <v>609</v>
      </c>
      <c r="I312">
        <v>656</v>
      </c>
      <c r="J312">
        <v>1082</v>
      </c>
      <c r="K312">
        <v>1018</v>
      </c>
      <c r="L312">
        <v>1638</v>
      </c>
      <c r="M312">
        <v>1349</v>
      </c>
      <c r="N312">
        <v>1998</v>
      </c>
      <c r="O312">
        <v>13086</v>
      </c>
    </row>
    <row r="313" spans="1:15" x14ac:dyDescent="0.25">
      <c r="A313" t="s">
        <v>161</v>
      </c>
      <c r="B313">
        <v>83</v>
      </c>
      <c r="C313">
        <v>31</v>
      </c>
      <c r="D313">
        <v>11</v>
      </c>
      <c r="E313">
        <v>65</v>
      </c>
      <c r="F313">
        <v>70</v>
      </c>
      <c r="G313">
        <v>9</v>
      </c>
      <c r="H313">
        <v>36</v>
      </c>
      <c r="I313">
        <v>43</v>
      </c>
      <c r="J313">
        <v>66</v>
      </c>
      <c r="K313">
        <v>21</v>
      </c>
      <c r="L313">
        <v>42</v>
      </c>
      <c r="M313">
        <v>54</v>
      </c>
      <c r="N313">
        <v>145</v>
      </c>
      <c r="O313">
        <v>531</v>
      </c>
    </row>
    <row r="314" spans="1:15" x14ac:dyDescent="0.25">
      <c r="A314" t="s">
        <v>163</v>
      </c>
      <c r="B314">
        <v>10</v>
      </c>
      <c r="C314">
        <v>0</v>
      </c>
      <c r="D314">
        <v>0</v>
      </c>
      <c r="E314">
        <v>0</v>
      </c>
      <c r="F314">
        <v>1</v>
      </c>
      <c r="G314">
        <v>1</v>
      </c>
      <c r="H314">
        <v>0</v>
      </c>
      <c r="I314">
        <v>0</v>
      </c>
      <c r="J314">
        <v>13</v>
      </c>
      <c r="K314">
        <v>2</v>
      </c>
      <c r="L314">
        <v>0</v>
      </c>
      <c r="M314">
        <v>0</v>
      </c>
      <c r="N314">
        <v>29</v>
      </c>
      <c r="O314">
        <v>27</v>
      </c>
    </row>
    <row r="315" spans="1:15" x14ac:dyDescent="0.25">
      <c r="A315" t="s">
        <v>48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 t="s">
        <v>419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10</v>
      </c>
      <c r="O316">
        <v>0</v>
      </c>
    </row>
    <row r="317" spans="1:15" x14ac:dyDescent="0.25">
      <c r="A317" t="s">
        <v>423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10</v>
      </c>
      <c r="O317">
        <v>0</v>
      </c>
    </row>
    <row r="318" spans="1:15" x14ac:dyDescent="0.25">
      <c r="A318" t="s">
        <v>425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10</v>
      </c>
      <c r="O318">
        <v>0</v>
      </c>
    </row>
    <row r="319" spans="1:15" x14ac:dyDescent="0.25">
      <c r="A319" t="s">
        <v>428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10</v>
      </c>
      <c r="O319">
        <v>0</v>
      </c>
    </row>
    <row r="320" spans="1:15" x14ac:dyDescent="0.25">
      <c r="A320" t="s">
        <v>343</v>
      </c>
      <c r="B320">
        <v>101</v>
      </c>
      <c r="C320">
        <v>188</v>
      </c>
      <c r="D320">
        <v>78</v>
      </c>
      <c r="E320">
        <v>223</v>
      </c>
      <c r="F320">
        <v>176</v>
      </c>
      <c r="G320">
        <v>66</v>
      </c>
      <c r="H320">
        <v>130</v>
      </c>
      <c r="I320">
        <v>88</v>
      </c>
      <c r="J320">
        <v>112</v>
      </c>
      <c r="K320">
        <v>195</v>
      </c>
      <c r="L320">
        <v>87</v>
      </c>
      <c r="M320">
        <v>137</v>
      </c>
      <c r="N320">
        <v>355</v>
      </c>
      <c r="O320">
        <v>1581</v>
      </c>
    </row>
    <row r="321" spans="1:15" x14ac:dyDescent="0.25">
      <c r="A321" t="s">
        <v>345</v>
      </c>
      <c r="B321">
        <v>67</v>
      </c>
      <c r="C321">
        <v>11</v>
      </c>
      <c r="D321">
        <v>5</v>
      </c>
      <c r="E321">
        <v>0</v>
      </c>
      <c r="F321">
        <v>246</v>
      </c>
      <c r="G321">
        <v>122</v>
      </c>
      <c r="H321">
        <v>89</v>
      </c>
      <c r="I321">
        <v>106</v>
      </c>
      <c r="J321">
        <v>41</v>
      </c>
      <c r="K321">
        <v>146</v>
      </c>
      <c r="L321">
        <v>83</v>
      </c>
      <c r="M321">
        <v>21</v>
      </c>
      <c r="N321">
        <v>229</v>
      </c>
      <c r="O321">
        <v>937</v>
      </c>
    </row>
    <row r="322" spans="1:15" x14ac:dyDescent="0.25">
      <c r="A322" t="s">
        <v>347</v>
      </c>
      <c r="B322">
        <v>91</v>
      </c>
      <c r="C322">
        <v>47</v>
      </c>
      <c r="D322">
        <v>18</v>
      </c>
      <c r="E322">
        <v>34</v>
      </c>
      <c r="F322">
        <v>231</v>
      </c>
      <c r="G322">
        <v>114</v>
      </c>
      <c r="H322">
        <v>57</v>
      </c>
      <c r="I322">
        <v>8</v>
      </c>
      <c r="J322">
        <v>23</v>
      </c>
      <c r="K322">
        <v>142</v>
      </c>
      <c r="L322">
        <v>91</v>
      </c>
      <c r="M322">
        <v>68</v>
      </c>
      <c r="N322">
        <v>191</v>
      </c>
      <c r="O322">
        <v>924</v>
      </c>
    </row>
    <row r="323" spans="1:15" x14ac:dyDescent="0.25">
      <c r="A323" t="s">
        <v>519</v>
      </c>
      <c r="B323">
        <v>12</v>
      </c>
      <c r="C323">
        <v>4</v>
      </c>
      <c r="D323">
        <v>0</v>
      </c>
      <c r="E323">
        <v>2</v>
      </c>
      <c r="F323">
        <v>3</v>
      </c>
      <c r="G323">
        <v>0</v>
      </c>
      <c r="H323">
        <v>0</v>
      </c>
      <c r="I323">
        <v>2</v>
      </c>
      <c r="J323">
        <v>4</v>
      </c>
      <c r="K323">
        <v>0</v>
      </c>
      <c r="L323">
        <v>2</v>
      </c>
      <c r="M323">
        <v>0</v>
      </c>
      <c r="N323">
        <v>73</v>
      </c>
      <c r="O323">
        <v>29</v>
      </c>
    </row>
    <row r="324" spans="1:15" x14ac:dyDescent="0.25">
      <c r="A324" t="s">
        <v>522</v>
      </c>
      <c r="B324">
        <v>11</v>
      </c>
      <c r="C324">
        <v>7</v>
      </c>
      <c r="D324">
        <v>0</v>
      </c>
      <c r="E324">
        <v>8</v>
      </c>
      <c r="F324">
        <v>0</v>
      </c>
      <c r="G324">
        <v>0</v>
      </c>
      <c r="H324">
        <v>0</v>
      </c>
      <c r="I324">
        <v>0</v>
      </c>
      <c r="J324">
        <v>15</v>
      </c>
      <c r="K324">
        <v>10</v>
      </c>
      <c r="L324">
        <v>1</v>
      </c>
      <c r="M324">
        <v>1</v>
      </c>
      <c r="N324">
        <v>85</v>
      </c>
      <c r="O324">
        <v>53</v>
      </c>
    </row>
    <row r="325" spans="1:15" x14ac:dyDescent="0.25">
      <c r="A325" t="s">
        <v>524</v>
      </c>
      <c r="B325">
        <v>4</v>
      </c>
      <c r="C325">
        <v>6</v>
      </c>
      <c r="D325">
        <v>2</v>
      </c>
      <c r="E325">
        <v>0</v>
      </c>
      <c r="F325">
        <v>15</v>
      </c>
      <c r="G325">
        <v>3</v>
      </c>
      <c r="H325">
        <v>2</v>
      </c>
      <c r="I325">
        <v>2</v>
      </c>
      <c r="J325">
        <v>9</v>
      </c>
      <c r="K325">
        <v>10</v>
      </c>
      <c r="L325">
        <v>10</v>
      </c>
      <c r="M325">
        <v>0</v>
      </c>
      <c r="N325">
        <v>13</v>
      </c>
      <c r="O325">
        <v>63</v>
      </c>
    </row>
    <row r="326" spans="1:15" x14ac:dyDescent="0.25">
      <c r="A326" t="s">
        <v>526</v>
      </c>
      <c r="B326">
        <v>4</v>
      </c>
      <c r="C326">
        <v>0</v>
      </c>
      <c r="D326">
        <v>0</v>
      </c>
      <c r="E326">
        <v>0</v>
      </c>
      <c r="F326">
        <v>17</v>
      </c>
      <c r="G326">
        <v>0</v>
      </c>
      <c r="H326">
        <v>1</v>
      </c>
      <c r="I326">
        <v>0</v>
      </c>
      <c r="J326">
        <v>3</v>
      </c>
      <c r="K326">
        <v>0</v>
      </c>
      <c r="L326">
        <v>5</v>
      </c>
      <c r="M326">
        <v>0</v>
      </c>
      <c r="N326">
        <v>61</v>
      </c>
      <c r="O326">
        <v>30</v>
      </c>
    </row>
    <row r="327" spans="1:15" x14ac:dyDescent="0.25">
      <c r="A327" t="s">
        <v>528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18</v>
      </c>
      <c r="O327">
        <v>0</v>
      </c>
    </row>
    <row r="328" spans="1:15" x14ac:dyDescent="0.25">
      <c r="A328" t="s">
        <v>535</v>
      </c>
      <c r="B328">
        <v>0</v>
      </c>
      <c r="C328">
        <v>0</v>
      </c>
      <c r="D328">
        <v>0</v>
      </c>
      <c r="E328">
        <v>0</v>
      </c>
      <c r="F328">
        <v>10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10</v>
      </c>
      <c r="O328">
        <v>10</v>
      </c>
    </row>
    <row r="329" spans="1:15" x14ac:dyDescent="0.25">
      <c r="A329" t="s">
        <v>531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18</v>
      </c>
      <c r="O329">
        <v>0</v>
      </c>
    </row>
    <row r="330" spans="1:15" x14ac:dyDescent="0.25">
      <c r="A330" t="s">
        <v>537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20</v>
      </c>
      <c r="O330">
        <v>0</v>
      </c>
    </row>
    <row r="331" spans="1:15" x14ac:dyDescent="0.25">
      <c r="A331" t="s">
        <v>533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10</v>
      </c>
      <c r="O331">
        <v>0</v>
      </c>
    </row>
    <row r="332" spans="1:15" x14ac:dyDescent="0.25">
      <c r="A332" t="s">
        <v>539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8</v>
      </c>
      <c r="O332">
        <v>0</v>
      </c>
    </row>
    <row r="333" spans="1:15" x14ac:dyDescent="0.25">
      <c r="A333" t="s">
        <v>76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10</v>
      </c>
      <c r="O333">
        <v>0</v>
      </c>
    </row>
    <row r="334" spans="1:15" x14ac:dyDescent="0.25">
      <c r="A334" t="s">
        <v>80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5</v>
      </c>
      <c r="O334">
        <v>0</v>
      </c>
    </row>
    <row r="335" spans="1:15" x14ac:dyDescent="0.25">
      <c r="A335" t="s">
        <v>554</v>
      </c>
      <c r="B335">
        <v>5</v>
      </c>
      <c r="C335">
        <v>8</v>
      </c>
      <c r="D335">
        <v>0</v>
      </c>
      <c r="E335">
        <v>0</v>
      </c>
      <c r="F335">
        <v>1</v>
      </c>
      <c r="G335">
        <v>2</v>
      </c>
      <c r="H335">
        <v>0</v>
      </c>
      <c r="I335">
        <v>4</v>
      </c>
      <c r="J335">
        <v>0</v>
      </c>
      <c r="K335">
        <v>0</v>
      </c>
      <c r="L335">
        <v>0</v>
      </c>
      <c r="M335">
        <v>0</v>
      </c>
      <c r="N335">
        <v>18</v>
      </c>
      <c r="O335">
        <v>20</v>
      </c>
    </row>
    <row r="336" spans="1:15" x14ac:dyDescent="0.25">
      <c r="A336" t="s">
        <v>561</v>
      </c>
      <c r="B336">
        <v>0</v>
      </c>
      <c r="C336">
        <v>0</v>
      </c>
      <c r="D336">
        <v>0</v>
      </c>
      <c r="E336">
        <v>0</v>
      </c>
      <c r="F336">
        <v>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40</v>
      </c>
      <c r="O336">
        <v>5</v>
      </c>
    </row>
    <row r="337" spans="1:15" x14ac:dyDescent="0.25">
      <c r="A337" t="s">
        <v>557</v>
      </c>
      <c r="B337">
        <v>4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4</v>
      </c>
      <c r="J337">
        <v>2</v>
      </c>
      <c r="K337">
        <v>0</v>
      </c>
      <c r="L337">
        <v>10</v>
      </c>
      <c r="M337">
        <v>0</v>
      </c>
      <c r="N337">
        <v>17</v>
      </c>
      <c r="O337">
        <v>22</v>
      </c>
    </row>
    <row r="338" spans="1:15" x14ac:dyDescent="0.25">
      <c r="A338" t="s">
        <v>563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49</v>
      </c>
      <c r="O338">
        <v>0</v>
      </c>
    </row>
    <row r="339" spans="1:15" x14ac:dyDescent="0.25">
      <c r="A339" t="s">
        <v>559</v>
      </c>
      <c r="B339">
        <v>0</v>
      </c>
      <c r="C339">
        <v>5</v>
      </c>
      <c r="D339">
        <v>0</v>
      </c>
      <c r="E339">
        <v>0</v>
      </c>
      <c r="F339">
        <v>0</v>
      </c>
      <c r="G339">
        <v>2</v>
      </c>
      <c r="H339">
        <v>0</v>
      </c>
      <c r="I339">
        <v>4</v>
      </c>
      <c r="J339">
        <v>3</v>
      </c>
      <c r="K339">
        <v>0</v>
      </c>
      <c r="L339">
        <v>0</v>
      </c>
      <c r="M339">
        <v>1</v>
      </c>
      <c r="N339">
        <v>5</v>
      </c>
      <c r="O339">
        <v>15</v>
      </c>
    </row>
    <row r="340" spans="1:15" x14ac:dyDescent="0.25">
      <c r="A340" t="s">
        <v>565</v>
      </c>
      <c r="B340">
        <v>0</v>
      </c>
      <c r="C340">
        <v>0</v>
      </c>
      <c r="D340">
        <v>0</v>
      </c>
      <c r="E340">
        <v>0</v>
      </c>
      <c r="F340">
        <v>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53</v>
      </c>
      <c r="O340">
        <v>5</v>
      </c>
    </row>
    <row r="341" spans="1:15" x14ac:dyDescent="0.25">
      <c r="A341" t="s">
        <v>541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2</v>
      </c>
      <c r="H341">
        <v>2</v>
      </c>
      <c r="I341">
        <v>5</v>
      </c>
      <c r="J341">
        <v>5</v>
      </c>
      <c r="K341">
        <v>3</v>
      </c>
      <c r="L341">
        <v>0</v>
      </c>
      <c r="M341">
        <v>0</v>
      </c>
      <c r="N341">
        <v>810</v>
      </c>
      <c r="O341">
        <v>18</v>
      </c>
    </row>
    <row r="342" spans="1:15" x14ac:dyDescent="0.25">
      <c r="A342" t="s">
        <v>548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50</v>
      </c>
      <c r="O342">
        <v>0</v>
      </c>
    </row>
    <row r="343" spans="1:15" x14ac:dyDescent="0.25">
      <c r="A343" t="s">
        <v>544</v>
      </c>
      <c r="B343">
        <v>5</v>
      </c>
      <c r="C343">
        <v>1</v>
      </c>
      <c r="D343">
        <v>1</v>
      </c>
      <c r="E343">
        <v>2</v>
      </c>
      <c r="F343">
        <v>0</v>
      </c>
      <c r="G343">
        <v>2</v>
      </c>
      <c r="H343">
        <v>3</v>
      </c>
      <c r="I343">
        <v>5</v>
      </c>
      <c r="J343">
        <v>2</v>
      </c>
      <c r="K343">
        <v>20</v>
      </c>
      <c r="L343">
        <v>0</v>
      </c>
      <c r="M343">
        <v>0</v>
      </c>
      <c r="N343">
        <v>139</v>
      </c>
      <c r="O343">
        <v>41</v>
      </c>
    </row>
    <row r="344" spans="1:15" x14ac:dyDescent="0.25">
      <c r="A344" t="s">
        <v>550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</v>
      </c>
      <c r="K344">
        <v>0</v>
      </c>
      <c r="L344">
        <v>0</v>
      </c>
      <c r="M344">
        <v>0</v>
      </c>
      <c r="N344">
        <v>124</v>
      </c>
      <c r="O344">
        <v>3</v>
      </c>
    </row>
    <row r="345" spans="1:15" x14ac:dyDescent="0.25">
      <c r="A345" t="s">
        <v>546</v>
      </c>
      <c r="B345">
        <v>4</v>
      </c>
      <c r="C345">
        <v>7</v>
      </c>
      <c r="D345">
        <v>2</v>
      </c>
      <c r="E345">
        <v>1</v>
      </c>
      <c r="F345">
        <v>2</v>
      </c>
      <c r="G345">
        <v>4</v>
      </c>
      <c r="H345">
        <v>1</v>
      </c>
      <c r="I345">
        <v>6</v>
      </c>
      <c r="J345">
        <v>2</v>
      </c>
      <c r="K345">
        <v>20</v>
      </c>
      <c r="L345">
        <v>1</v>
      </c>
      <c r="M345">
        <v>0</v>
      </c>
      <c r="N345">
        <v>26</v>
      </c>
      <c r="O345">
        <v>50</v>
      </c>
    </row>
    <row r="346" spans="1:15" x14ac:dyDescent="0.25">
      <c r="A346" t="s">
        <v>552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65</v>
      </c>
      <c r="O346">
        <v>0</v>
      </c>
    </row>
    <row r="347" spans="1:15" x14ac:dyDescent="0.25">
      <c r="A347" t="s">
        <v>575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20</v>
      </c>
      <c r="O347">
        <v>0</v>
      </c>
    </row>
    <row r="348" spans="1:15" x14ac:dyDescent="0.25">
      <c r="A348" t="s">
        <v>579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20</v>
      </c>
      <c r="O348">
        <v>0</v>
      </c>
    </row>
    <row r="349" spans="1:15" x14ac:dyDescent="0.25">
      <c r="A349" t="s">
        <v>581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20</v>
      </c>
      <c r="O349">
        <v>0</v>
      </c>
    </row>
    <row r="350" spans="1:15" x14ac:dyDescent="0.25">
      <c r="A350" t="s">
        <v>491</v>
      </c>
      <c r="B350">
        <v>53</v>
      </c>
      <c r="C350">
        <v>67</v>
      </c>
      <c r="D350">
        <v>90</v>
      </c>
      <c r="E350">
        <v>49</v>
      </c>
      <c r="F350">
        <v>167</v>
      </c>
      <c r="G350">
        <v>104</v>
      </c>
      <c r="H350">
        <v>99</v>
      </c>
      <c r="I350">
        <v>34</v>
      </c>
      <c r="J350">
        <v>146</v>
      </c>
      <c r="K350">
        <v>142</v>
      </c>
      <c r="L350">
        <v>25</v>
      </c>
      <c r="M350">
        <v>116</v>
      </c>
      <c r="N350">
        <v>284</v>
      </c>
      <c r="O350">
        <v>1092</v>
      </c>
    </row>
    <row r="351" spans="1:15" x14ac:dyDescent="0.25">
      <c r="A351" t="s">
        <v>509</v>
      </c>
      <c r="B351">
        <v>35</v>
      </c>
      <c r="C351">
        <v>32</v>
      </c>
      <c r="D351">
        <v>11</v>
      </c>
      <c r="E351">
        <v>0</v>
      </c>
      <c r="F351">
        <v>2</v>
      </c>
      <c r="G351">
        <v>0</v>
      </c>
      <c r="H351">
        <v>0</v>
      </c>
      <c r="I351">
        <v>0</v>
      </c>
      <c r="J351">
        <v>59</v>
      </c>
      <c r="K351">
        <v>30</v>
      </c>
      <c r="L351">
        <v>10</v>
      </c>
      <c r="M351">
        <v>0</v>
      </c>
      <c r="N351">
        <v>50</v>
      </c>
      <c r="O351">
        <v>179</v>
      </c>
    </row>
    <row r="352" spans="1:15" x14ac:dyDescent="0.25">
      <c r="A352" t="s">
        <v>495</v>
      </c>
      <c r="B352">
        <v>96</v>
      </c>
      <c r="C352">
        <v>143</v>
      </c>
      <c r="D352">
        <v>83</v>
      </c>
      <c r="E352">
        <v>112</v>
      </c>
      <c r="F352">
        <v>238</v>
      </c>
      <c r="G352">
        <v>63</v>
      </c>
      <c r="H352">
        <v>96</v>
      </c>
      <c r="I352">
        <v>66</v>
      </c>
      <c r="J352">
        <v>143</v>
      </c>
      <c r="K352">
        <v>227</v>
      </c>
      <c r="L352">
        <v>62</v>
      </c>
      <c r="M352">
        <v>128</v>
      </c>
      <c r="N352">
        <v>290</v>
      </c>
      <c r="O352">
        <v>1457</v>
      </c>
    </row>
    <row r="353" spans="1:15" x14ac:dyDescent="0.25">
      <c r="A353" t="s">
        <v>513</v>
      </c>
      <c r="B353">
        <v>25</v>
      </c>
      <c r="C353">
        <v>4</v>
      </c>
      <c r="D353">
        <v>11</v>
      </c>
      <c r="E353">
        <v>0</v>
      </c>
      <c r="F353">
        <v>61</v>
      </c>
      <c r="G353">
        <v>5</v>
      </c>
      <c r="H353">
        <v>0</v>
      </c>
      <c r="I353">
        <v>0</v>
      </c>
      <c r="J353">
        <v>40</v>
      </c>
      <c r="K353">
        <v>30</v>
      </c>
      <c r="L353">
        <v>0</v>
      </c>
      <c r="M353">
        <v>0</v>
      </c>
      <c r="N353">
        <v>86</v>
      </c>
      <c r="O353">
        <v>176</v>
      </c>
    </row>
    <row r="354" spans="1:15" x14ac:dyDescent="0.25">
      <c r="A354" t="s">
        <v>497</v>
      </c>
      <c r="B354">
        <v>105</v>
      </c>
      <c r="C354">
        <v>64</v>
      </c>
      <c r="D354">
        <v>122</v>
      </c>
      <c r="E354">
        <v>204</v>
      </c>
      <c r="F354">
        <v>153</v>
      </c>
      <c r="G354">
        <v>72</v>
      </c>
      <c r="H354">
        <v>96</v>
      </c>
      <c r="I354">
        <v>45</v>
      </c>
      <c r="J354">
        <v>170</v>
      </c>
      <c r="K354">
        <v>85</v>
      </c>
      <c r="L354">
        <v>103</v>
      </c>
      <c r="M354">
        <v>116</v>
      </c>
      <c r="N354">
        <v>425</v>
      </c>
      <c r="O354">
        <v>1335</v>
      </c>
    </row>
    <row r="355" spans="1:15" x14ac:dyDescent="0.25">
      <c r="A355" t="s">
        <v>515</v>
      </c>
      <c r="B355">
        <v>36</v>
      </c>
      <c r="C355">
        <v>20</v>
      </c>
      <c r="D355">
        <v>5</v>
      </c>
      <c r="E355">
        <v>0</v>
      </c>
      <c r="F355">
        <v>30</v>
      </c>
      <c r="G355">
        <v>2</v>
      </c>
      <c r="H355">
        <v>0</v>
      </c>
      <c r="I355">
        <v>0</v>
      </c>
      <c r="J355">
        <v>34</v>
      </c>
      <c r="K355">
        <v>0</v>
      </c>
      <c r="L355">
        <v>10</v>
      </c>
      <c r="M355">
        <v>10</v>
      </c>
      <c r="N355">
        <v>58</v>
      </c>
      <c r="O355">
        <v>147</v>
      </c>
    </row>
    <row r="356" spans="1:15" x14ac:dyDescent="0.25">
      <c r="A356" t="s">
        <v>499</v>
      </c>
      <c r="B356">
        <v>20</v>
      </c>
      <c r="C356">
        <v>8</v>
      </c>
      <c r="D356">
        <v>68</v>
      </c>
      <c r="E356">
        <v>88</v>
      </c>
      <c r="F356">
        <v>82</v>
      </c>
      <c r="G356">
        <v>10</v>
      </c>
      <c r="H356">
        <v>6</v>
      </c>
      <c r="I356">
        <v>0</v>
      </c>
      <c r="J356">
        <v>71</v>
      </c>
      <c r="K356">
        <v>0</v>
      </c>
      <c r="L356">
        <v>22</v>
      </c>
      <c r="M356">
        <v>5</v>
      </c>
      <c r="N356">
        <v>242</v>
      </c>
      <c r="O356">
        <v>380</v>
      </c>
    </row>
    <row r="357" spans="1:15" x14ac:dyDescent="0.25">
      <c r="A357" t="s">
        <v>517</v>
      </c>
      <c r="B357">
        <v>6</v>
      </c>
      <c r="C357">
        <v>0</v>
      </c>
      <c r="D357">
        <v>4</v>
      </c>
      <c r="E357">
        <v>0</v>
      </c>
      <c r="F357">
        <v>29</v>
      </c>
      <c r="G357">
        <v>0</v>
      </c>
      <c r="H357">
        <v>0</v>
      </c>
      <c r="I357">
        <v>0</v>
      </c>
      <c r="J357">
        <v>31</v>
      </c>
      <c r="K357">
        <v>0</v>
      </c>
      <c r="L357">
        <v>10</v>
      </c>
      <c r="M357">
        <v>0</v>
      </c>
      <c r="N357">
        <v>39</v>
      </c>
      <c r="O357">
        <v>80</v>
      </c>
    </row>
    <row r="358" spans="1:15" x14ac:dyDescent="0.25">
      <c r="A358" t="s">
        <v>293</v>
      </c>
      <c r="B358">
        <v>53</v>
      </c>
      <c r="C358">
        <v>3</v>
      </c>
      <c r="D358">
        <v>15</v>
      </c>
      <c r="E358">
        <v>48</v>
      </c>
      <c r="F358">
        <v>17</v>
      </c>
      <c r="G358">
        <v>11</v>
      </c>
      <c r="H358">
        <v>5</v>
      </c>
      <c r="I358">
        <v>3</v>
      </c>
      <c r="J358">
        <v>91</v>
      </c>
      <c r="K358">
        <v>8</v>
      </c>
      <c r="L358">
        <v>31</v>
      </c>
      <c r="M358">
        <v>16</v>
      </c>
      <c r="N358">
        <v>107</v>
      </c>
      <c r="O358">
        <v>301</v>
      </c>
    </row>
    <row r="359" spans="1:15" x14ac:dyDescent="0.25">
      <c r="A359" t="s">
        <v>301</v>
      </c>
      <c r="B359">
        <v>0</v>
      </c>
      <c r="C359">
        <v>0</v>
      </c>
      <c r="D359">
        <v>20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218</v>
      </c>
      <c r="O359">
        <v>20</v>
      </c>
    </row>
    <row r="360" spans="1:15" x14ac:dyDescent="0.25">
      <c r="A360" t="s">
        <v>297</v>
      </c>
      <c r="B360">
        <v>58</v>
      </c>
      <c r="C360">
        <v>166</v>
      </c>
      <c r="D360">
        <v>69</v>
      </c>
      <c r="E360">
        <v>86</v>
      </c>
      <c r="F360">
        <v>38</v>
      </c>
      <c r="G360">
        <v>91</v>
      </c>
      <c r="H360">
        <v>53</v>
      </c>
      <c r="I360">
        <v>81</v>
      </c>
      <c r="J360">
        <v>93</v>
      </c>
      <c r="K360">
        <v>74</v>
      </c>
      <c r="L360">
        <v>11</v>
      </c>
      <c r="M360">
        <v>71</v>
      </c>
      <c r="N360">
        <v>337</v>
      </c>
      <c r="O360">
        <v>891</v>
      </c>
    </row>
    <row r="361" spans="1:15" x14ac:dyDescent="0.25">
      <c r="A361" t="s">
        <v>303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5</v>
      </c>
      <c r="L361">
        <v>0</v>
      </c>
      <c r="M361">
        <v>50</v>
      </c>
      <c r="N361">
        <v>333</v>
      </c>
      <c r="O361">
        <v>55</v>
      </c>
    </row>
    <row r="362" spans="1:15" x14ac:dyDescent="0.25">
      <c r="A362" t="s">
        <v>299</v>
      </c>
      <c r="B362">
        <v>0</v>
      </c>
      <c r="C362">
        <v>60</v>
      </c>
      <c r="D362">
        <v>53</v>
      </c>
      <c r="E362">
        <v>59</v>
      </c>
      <c r="F362">
        <v>18</v>
      </c>
      <c r="G362">
        <v>3</v>
      </c>
      <c r="H362">
        <v>9</v>
      </c>
      <c r="I362">
        <v>20</v>
      </c>
      <c r="J362">
        <v>35</v>
      </c>
      <c r="K362">
        <v>3</v>
      </c>
      <c r="L362">
        <v>2</v>
      </c>
      <c r="M362">
        <v>40</v>
      </c>
      <c r="N362">
        <v>139</v>
      </c>
      <c r="O362">
        <v>302</v>
      </c>
    </row>
    <row r="363" spans="1:15" x14ac:dyDescent="0.25">
      <c r="A363" t="s">
        <v>305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5</v>
      </c>
      <c r="L363">
        <v>0</v>
      </c>
      <c r="M363">
        <v>0</v>
      </c>
      <c r="N363">
        <v>182</v>
      </c>
      <c r="O363">
        <v>5</v>
      </c>
    </row>
    <row r="364" spans="1:15" x14ac:dyDescent="0.25">
      <c r="A364" t="s">
        <v>307</v>
      </c>
      <c r="B364">
        <v>3</v>
      </c>
      <c r="C364">
        <v>22</v>
      </c>
      <c r="D364">
        <v>25</v>
      </c>
      <c r="E364">
        <v>20</v>
      </c>
      <c r="F364">
        <v>0</v>
      </c>
      <c r="G364">
        <v>6</v>
      </c>
      <c r="H364">
        <v>3</v>
      </c>
      <c r="I364">
        <v>17</v>
      </c>
      <c r="J364">
        <v>56</v>
      </c>
      <c r="K364">
        <v>25</v>
      </c>
      <c r="L364">
        <v>33</v>
      </c>
      <c r="M364">
        <v>1</v>
      </c>
      <c r="N364">
        <v>49</v>
      </c>
      <c r="O364">
        <v>211</v>
      </c>
    </row>
    <row r="365" spans="1:15" x14ac:dyDescent="0.25">
      <c r="A365" t="s">
        <v>310</v>
      </c>
      <c r="B365">
        <v>0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5</v>
      </c>
      <c r="K365">
        <v>0</v>
      </c>
      <c r="L365">
        <v>0</v>
      </c>
      <c r="M365">
        <v>0</v>
      </c>
      <c r="N365">
        <v>139</v>
      </c>
      <c r="O365">
        <v>6</v>
      </c>
    </row>
    <row r="366" spans="1:15" x14ac:dyDescent="0.25">
      <c r="A366" t="s">
        <v>324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10</v>
      </c>
      <c r="O366">
        <v>0</v>
      </c>
    </row>
    <row r="367" spans="1:15" x14ac:dyDescent="0.25">
      <c r="A367" t="s">
        <v>320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10</v>
      </c>
      <c r="O367">
        <v>0</v>
      </c>
    </row>
    <row r="368" spans="1:15" x14ac:dyDescent="0.25">
      <c r="A368" t="s">
        <v>465</v>
      </c>
      <c r="B368">
        <v>43</v>
      </c>
      <c r="C368">
        <v>9</v>
      </c>
      <c r="D368">
        <v>17</v>
      </c>
      <c r="E368">
        <v>30</v>
      </c>
      <c r="F368">
        <v>29</v>
      </c>
      <c r="G368">
        <v>28</v>
      </c>
      <c r="H368">
        <v>13</v>
      </c>
      <c r="I368">
        <v>21</v>
      </c>
      <c r="J368">
        <v>47</v>
      </c>
      <c r="K368">
        <v>33</v>
      </c>
      <c r="L368">
        <v>53</v>
      </c>
      <c r="M368">
        <v>6</v>
      </c>
      <c r="N368">
        <v>95</v>
      </c>
      <c r="O368">
        <v>329</v>
      </c>
    </row>
    <row r="369" spans="1:15" x14ac:dyDescent="0.25">
      <c r="A369" t="s">
        <v>472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3</v>
      </c>
      <c r="H369">
        <v>0</v>
      </c>
      <c r="I369">
        <v>0</v>
      </c>
      <c r="J369">
        <v>18</v>
      </c>
      <c r="K369">
        <v>2</v>
      </c>
      <c r="L369">
        <v>0</v>
      </c>
      <c r="M369">
        <v>0</v>
      </c>
      <c r="N369">
        <v>68</v>
      </c>
      <c r="O369">
        <v>24</v>
      </c>
    </row>
    <row r="370" spans="1:15" x14ac:dyDescent="0.25">
      <c r="A370" t="s">
        <v>468</v>
      </c>
      <c r="B370">
        <v>35</v>
      </c>
      <c r="C370">
        <v>13</v>
      </c>
      <c r="D370">
        <v>22</v>
      </c>
      <c r="E370">
        <v>25</v>
      </c>
      <c r="F370">
        <v>26</v>
      </c>
      <c r="G370">
        <v>17</v>
      </c>
      <c r="H370">
        <v>11</v>
      </c>
      <c r="I370">
        <v>15</v>
      </c>
      <c r="J370">
        <v>21</v>
      </c>
      <c r="K370">
        <v>22</v>
      </c>
      <c r="L370">
        <v>26</v>
      </c>
      <c r="M370">
        <v>35</v>
      </c>
      <c r="N370">
        <v>43</v>
      </c>
      <c r="O370">
        <v>268</v>
      </c>
    </row>
    <row r="371" spans="1:15" x14ac:dyDescent="0.25">
      <c r="A371" t="s">
        <v>474</v>
      </c>
      <c r="B371">
        <v>2</v>
      </c>
      <c r="C371">
        <v>0</v>
      </c>
      <c r="D371">
        <v>0</v>
      </c>
      <c r="E371">
        <v>0</v>
      </c>
      <c r="F371">
        <v>0</v>
      </c>
      <c r="G371">
        <v>2</v>
      </c>
      <c r="H371">
        <v>0</v>
      </c>
      <c r="I371">
        <v>0</v>
      </c>
      <c r="J371">
        <v>5</v>
      </c>
      <c r="K371">
        <v>0</v>
      </c>
      <c r="L371">
        <v>0</v>
      </c>
      <c r="M371">
        <v>0</v>
      </c>
      <c r="N371">
        <v>126</v>
      </c>
      <c r="O371">
        <v>9</v>
      </c>
    </row>
    <row r="372" spans="1:15" x14ac:dyDescent="0.25">
      <c r="A372" t="s">
        <v>470</v>
      </c>
      <c r="B372">
        <v>34</v>
      </c>
      <c r="C372">
        <v>6</v>
      </c>
      <c r="D372">
        <v>19</v>
      </c>
      <c r="E372">
        <v>26</v>
      </c>
      <c r="F372">
        <v>21</v>
      </c>
      <c r="G372">
        <v>12</v>
      </c>
      <c r="H372">
        <v>29</v>
      </c>
      <c r="I372">
        <v>26</v>
      </c>
      <c r="J372">
        <v>34</v>
      </c>
      <c r="K372">
        <v>14</v>
      </c>
      <c r="L372">
        <v>24</v>
      </c>
      <c r="M372">
        <v>25</v>
      </c>
      <c r="N372">
        <v>122</v>
      </c>
      <c r="O372">
        <v>270</v>
      </c>
    </row>
    <row r="373" spans="1:15" x14ac:dyDescent="0.25">
      <c r="A373" t="s">
        <v>476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2</v>
      </c>
      <c r="H373">
        <v>0</v>
      </c>
      <c r="I373">
        <v>0</v>
      </c>
      <c r="J373">
        <v>27</v>
      </c>
      <c r="K373">
        <v>0</v>
      </c>
      <c r="L373">
        <v>0</v>
      </c>
      <c r="M373">
        <v>0</v>
      </c>
      <c r="N373">
        <v>150</v>
      </c>
      <c r="O373">
        <v>29</v>
      </c>
    </row>
    <row r="374" spans="1:15" x14ac:dyDescent="0.25">
      <c r="A374" t="s">
        <v>478</v>
      </c>
      <c r="B374">
        <v>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2</v>
      </c>
      <c r="J374">
        <v>1</v>
      </c>
      <c r="K374">
        <v>0</v>
      </c>
      <c r="L374">
        <v>0</v>
      </c>
      <c r="M374">
        <v>0</v>
      </c>
      <c r="N374">
        <v>22</v>
      </c>
      <c r="O374">
        <v>8</v>
      </c>
    </row>
    <row r="375" spans="1:15" x14ac:dyDescent="0.25">
      <c r="A375" t="s">
        <v>485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14</v>
      </c>
      <c r="O375">
        <v>0</v>
      </c>
    </row>
    <row r="376" spans="1:15" x14ac:dyDescent="0.25">
      <c r="A376" t="s">
        <v>481</v>
      </c>
      <c r="B376">
        <v>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1</v>
      </c>
      <c r="L376">
        <v>0</v>
      </c>
      <c r="M376">
        <v>0</v>
      </c>
      <c r="N376">
        <v>57</v>
      </c>
      <c r="O376">
        <v>4</v>
      </c>
    </row>
    <row r="377" spans="1:15" x14ac:dyDescent="0.25">
      <c r="A377" t="s">
        <v>487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15</v>
      </c>
      <c r="O377">
        <v>0</v>
      </c>
    </row>
    <row r="378" spans="1:15" x14ac:dyDescent="0.25">
      <c r="A378" t="s">
        <v>483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12</v>
      </c>
      <c r="O378">
        <v>1</v>
      </c>
    </row>
    <row r="379" spans="1:15" x14ac:dyDescent="0.25">
      <c r="A379" t="s">
        <v>459</v>
      </c>
      <c r="B379">
        <v>0</v>
      </c>
      <c r="C379">
        <v>0</v>
      </c>
      <c r="D379">
        <v>0</v>
      </c>
      <c r="E379">
        <v>0</v>
      </c>
      <c r="F379">
        <v>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6</v>
      </c>
      <c r="N379">
        <v>2</v>
      </c>
      <c r="O379">
        <v>11</v>
      </c>
    </row>
    <row r="380" spans="1:15" x14ac:dyDescent="0.25">
      <c r="A380" t="s">
        <v>463</v>
      </c>
      <c r="B380">
        <v>0</v>
      </c>
      <c r="C380">
        <v>0</v>
      </c>
      <c r="D380">
        <v>0</v>
      </c>
      <c r="E380">
        <v>0</v>
      </c>
      <c r="F380">
        <v>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5</v>
      </c>
      <c r="N380">
        <v>3</v>
      </c>
      <c r="O380">
        <v>10</v>
      </c>
    </row>
    <row r="381" spans="1:15" x14ac:dyDescent="0.25">
      <c r="A381" t="s">
        <v>572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6</v>
      </c>
      <c r="O381">
        <v>0</v>
      </c>
    </row>
    <row r="382" spans="1:15" x14ac:dyDescent="0.25">
      <c r="A382" t="s">
        <v>571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6</v>
      </c>
      <c r="O382">
        <v>0</v>
      </c>
    </row>
    <row r="383" spans="1:15" x14ac:dyDescent="0.25">
      <c r="A383" t="s">
        <v>1803</v>
      </c>
      <c r="B383">
        <v>8</v>
      </c>
      <c r="C383">
        <v>0</v>
      </c>
      <c r="D383">
        <v>0</v>
      </c>
      <c r="E383">
        <v>50</v>
      </c>
      <c r="F383">
        <v>50</v>
      </c>
      <c r="G383">
        <v>19</v>
      </c>
      <c r="H383">
        <v>4</v>
      </c>
      <c r="I383">
        <v>2</v>
      </c>
      <c r="J383">
        <v>19</v>
      </c>
      <c r="K383">
        <v>7</v>
      </c>
      <c r="L383">
        <v>8</v>
      </c>
      <c r="M383">
        <v>5</v>
      </c>
      <c r="N383">
        <v>194</v>
      </c>
      <c r="O383">
        <v>172</v>
      </c>
    </row>
    <row r="384" spans="1:15" x14ac:dyDescent="0.25">
      <c r="A384" t="s">
        <v>1804</v>
      </c>
      <c r="B384">
        <v>1</v>
      </c>
      <c r="C384">
        <v>1</v>
      </c>
      <c r="D384">
        <v>0</v>
      </c>
      <c r="E384">
        <v>50</v>
      </c>
      <c r="F384">
        <v>34</v>
      </c>
      <c r="G384">
        <v>6</v>
      </c>
      <c r="H384">
        <v>2</v>
      </c>
      <c r="I384">
        <v>2</v>
      </c>
      <c r="J384">
        <v>15</v>
      </c>
      <c r="K384">
        <v>8</v>
      </c>
      <c r="L384">
        <v>5</v>
      </c>
      <c r="M384">
        <v>0</v>
      </c>
      <c r="N384">
        <v>37</v>
      </c>
      <c r="O384">
        <v>124</v>
      </c>
    </row>
    <row r="385" spans="1:15" x14ac:dyDescent="0.25">
      <c r="A385" t="s">
        <v>1801</v>
      </c>
      <c r="B385">
        <v>0</v>
      </c>
      <c r="C385">
        <v>1</v>
      </c>
      <c r="D385">
        <v>1</v>
      </c>
      <c r="E385">
        <v>34</v>
      </c>
      <c r="F385">
        <v>44</v>
      </c>
      <c r="G385">
        <v>4</v>
      </c>
      <c r="H385">
        <v>0</v>
      </c>
      <c r="I385">
        <v>2</v>
      </c>
      <c r="J385">
        <v>18</v>
      </c>
      <c r="K385">
        <v>3</v>
      </c>
      <c r="L385">
        <v>2</v>
      </c>
      <c r="M385">
        <v>0</v>
      </c>
      <c r="N385">
        <v>223</v>
      </c>
      <c r="O385">
        <v>109</v>
      </c>
    </row>
    <row r="386" spans="1:15" x14ac:dyDescent="0.25">
      <c r="A386" t="s">
        <v>1651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10</v>
      </c>
      <c r="O386">
        <v>1</v>
      </c>
    </row>
    <row r="387" spans="1:15" x14ac:dyDescent="0.25">
      <c r="A387" t="s">
        <v>1642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</v>
      </c>
      <c r="K387">
        <v>0</v>
      </c>
      <c r="L387">
        <v>3</v>
      </c>
      <c r="M387">
        <v>0</v>
      </c>
      <c r="N387">
        <v>6</v>
      </c>
      <c r="O387">
        <v>5</v>
      </c>
    </row>
    <row r="388" spans="1:15" x14ac:dyDescent="0.25">
      <c r="A388" t="s">
        <v>1648</v>
      </c>
      <c r="B388">
        <v>0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3</v>
      </c>
      <c r="M388">
        <v>0</v>
      </c>
      <c r="N388">
        <v>7</v>
      </c>
      <c r="O388">
        <v>4</v>
      </c>
    </row>
    <row r="389" spans="1:15" x14ac:dyDescent="0.25">
      <c r="A389" t="s">
        <v>659</v>
      </c>
      <c r="B389">
        <v>1</v>
      </c>
      <c r="C389">
        <v>4</v>
      </c>
      <c r="D389">
        <v>0</v>
      </c>
      <c r="E389">
        <v>11</v>
      </c>
      <c r="F389">
        <v>18</v>
      </c>
      <c r="G389">
        <v>2</v>
      </c>
      <c r="H389">
        <v>0</v>
      </c>
      <c r="I389">
        <v>4</v>
      </c>
      <c r="J389">
        <v>10</v>
      </c>
      <c r="K389">
        <v>4</v>
      </c>
      <c r="L389">
        <v>6</v>
      </c>
      <c r="M389">
        <v>14</v>
      </c>
      <c r="N389">
        <v>242</v>
      </c>
      <c r="O389">
        <v>74</v>
      </c>
    </row>
    <row r="390" spans="1:15" x14ac:dyDescent="0.25">
      <c r="A390" t="s">
        <v>660</v>
      </c>
      <c r="B390">
        <v>1</v>
      </c>
      <c r="C390">
        <v>0</v>
      </c>
      <c r="D390">
        <v>1</v>
      </c>
      <c r="E390">
        <v>10</v>
      </c>
      <c r="F390">
        <v>17</v>
      </c>
      <c r="G390">
        <v>2</v>
      </c>
      <c r="H390">
        <v>0</v>
      </c>
      <c r="I390">
        <v>4</v>
      </c>
      <c r="J390">
        <v>9</v>
      </c>
      <c r="K390">
        <v>6</v>
      </c>
      <c r="L390">
        <v>11</v>
      </c>
      <c r="M390">
        <v>1</v>
      </c>
      <c r="N390">
        <v>261</v>
      </c>
      <c r="O390">
        <v>62</v>
      </c>
    </row>
    <row r="391" spans="1:15" x14ac:dyDescent="0.25">
      <c r="A391" t="s">
        <v>661</v>
      </c>
      <c r="B391">
        <v>0</v>
      </c>
      <c r="C391">
        <v>0</v>
      </c>
      <c r="D391">
        <v>0</v>
      </c>
      <c r="E391">
        <v>9</v>
      </c>
      <c r="F391">
        <v>17</v>
      </c>
      <c r="G391">
        <v>2</v>
      </c>
      <c r="H391">
        <v>3</v>
      </c>
      <c r="I391">
        <v>2</v>
      </c>
      <c r="J391">
        <v>9</v>
      </c>
      <c r="K391">
        <v>3</v>
      </c>
      <c r="L391">
        <v>7</v>
      </c>
      <c r="M391">
        <v>3</v>
      </c>
      <c r="N391">
        <v>234</v>
      </c>
      <c r="O391">
        <v>55</v>
      </c>
    </row>
    <row r="392" spans="1:15" x14ac:dyDescent="0.25">
      <c r="A392" t="s">
        <v>1139</v>
      </c>
      <c r="B392">
        <v>0</v>
      </c>
      <c r="C392">
        <v>0</v>
      </c>
      <c r="D392">
        <v>0</v>
      </c>
      <c r="E392">
        <v>0</v>
      </c>
      <c r="F392">
        <v>2</v>
      </c>
      <c r="G392">
        <v>0</v>
      </c>
      <c r="H392">
        <v>0</v>
      </c>
      <c r="I392">
        <v>0</v>
      </c>
      <c r="J392">
        <v>8</v>
      </c>
      <c r="K392">
        <v>0</v>
      </c>
      <c r="L392">
        <v>16</v>
      </c>
      <c r="M392">
        <v>0</v>
      </c>
      <c r="N392">
        <v>59</v>
      </c>
      <c r="O392">
        <v>26</v>
      </c>
    </row>
    <row r="393" spans="1:15" x14ac:dyDescent="0.25">
      <c r="A393" t="s">
        <v>1140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</v>
      </c>
      <c r="K393">
        <v>0</v>
      </c>
      <c r="L393">
        <v>10</v>
      </c>
      <c r="M393">
        <v>0</v>
      </c>
      <c r="N393">
        <v>42</v>
      </c>
      <c r="O393">
        <v>12</v>
      </c>
    </row>
    <row r="394" spans="1:15" x14ac:dyDescent="0.25">
      <c r="A394" t="s">
        <v>1109</v>
      </c>
      <c r="B394">
        <v>0</v>
      </c>
      <c r="C394">
        <v>0</v>
      </c>
      <c r="D394">
        <v>1</v>
      </c>
      <c r="E394">
        <v>20</v>
      </c>
      <c r="F394">
        <v>2</v>
      </c>
      <c r="G394">
        <v>2</v>
      </c>
      <c r="H394">
        <v>3</v>
      </c>
      <c r="I394">
        <v>11</v>
      </c>
      <c r="J394">
        <v>12</v>
      </c>
      <c r="K394">
        <v>9</v>
      </c>
      <c r="L394">
        <v>6</v>
      </c>
      <c r="M394">
        <v>1</v>
      </c>
      <c r="N394">
        <v>117</v>
      </c>
      <c r="O394">
        <v>67</v>
      </c>
    </row>
    <row r="395" spans="1:15" x14ac:dyDescent="0.25">
      <c r="A395" t="s">
        <v>1111</v>
      </c>
      <c r="B395">
        <v>0</v>
      </c>
      <c r="C395">
        <v>1</v>
      </c>
      <c r="D395">
        <v>2</v>
      </c>
      <c r="E395">
        <v>13</v>
      </c>
      <c r="F395">
        <v>4</v>
      </c>
      <c r="G395">
        <v>2</v>
      </c>
      <c r="H395">
        <v>6</v>
      </c>
      <c r="I395">
        <v>0</v>
      </c>
      <c r="J395">
        <v>13</v>
      </c>
      <c r="K395">
        <v>5</v>
      </c>
      <c r="L395">
        <v>2</v>
      </c>
      <c r="M395">
        <v>1</v>
      </c>
      <c r="N395">
        <v>176</v>
      </c>
      <c r="O395">
        <v>49</v>
      </c>
    </row>
    <row r="396" spans="1:15" x14ac:dyDescent="0.25">
      <c r="A396" t="s">
        <v>1112</v>
      </c>
      <c r="B396">
        <v>0</v>
      </c>
      <c r="C396">
        <v>0</v>
      </c>
      <c r="D396">
        <v>0</v>
      </c>
      <c r="E396">
        <v>11</v>
      </c>
      <c r="F396">
        <v>3</v>
      </c>
      <c r="G396">
        <v>3</v>
      </c>
      <c r="H396">
        <v>3</v>
      </c>
      <c r="I396">
        <v>0</v>
      </c>
      <c r="J396">
        <v>12</v>
      </c>
      <c r="K396">
        <v>2</v>
      </c>
      <c r="L396">
        <v>1</v>
      </c>
      <c r="M396">
        <v>1</v>
      </c>
      <c r="N396">
        <v>165</v>
      </c>
      <c r="O396">
        <v>36</v>
      </c>
    </row>
    <row r="397" spans="1:15" x14ac:dyDescent="0.25">
      <c r="A397" t="s">
        <v>754</v>
      </c>
      <c r="B397">
        <v>0</v>
      </c>
      <c r="C397">
        <v>0</v>
      </c>
      <c r="D397">
        <v>0</v>
      </c>
      <c r="E397">
        <v>8</v>
      </c>
      <c r="F397">
        <v>0</v>
      </c>
      <c r="G397">
        <v>0</v>
      </c>
      <c r="H397">
        <v>0</v>
      </c>
      <c r="I397">
        <v>0</v>
      </c>
      <c r="J397">
        <v>8</v>
      </c>
      <c r="K397">
        <v>0</v>
      </c>
      <c r="L397">
        <v>0</v>
      </c>
      <c r="M397">
        <v>0</v>
      </c>
      <c r="N397">
        <v>2</v>
      </c>
      <c r="O397">
        <v>16</v>
      </c>
    </row>
    <row r="398" spans="1:15" x14ac:dyDescent="0.25">
      <c r="A398" t="s">
        <v>1782</v>
      </c>
      <c r="B398">
        <v>0</v>
      </c>
      <c r="C398">
        <v>0</v>
      </c>
      <c r="D398">
        <v>0</v>
      </c>
      <c r="E398">
        <v>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6</v>
      </c>
      <c r="O398">
        <v>5</v>
      </c>
    </row>
    <row r="399" spans="1:15" x14ac:dyDescent="0.25">
      <c r="A399" t="s">
        <v>1101</v>
      </c>
      <c r="B399">
        <v>4</v>
      </c>
      <c r="C399">
        <v>0</v>
      </c>
      <c r="D399">
        <v>0</v>
      </c>
      <c r="E399">
        <v>2</v>
      </c>
      <c r="F399">
        <v>6</v>
      </c>
      <c r="G399">
        <v>0</v>
      </c>
      <c r="H399">
        <v>0</v>
      </c>
      <c r="I399">
        <v>1</v>
      </c>
      <c r="J399">
        <v>9</v>
      </c>
      <c r="K399">
        <v>0</v>
      </c>
      <c r="L399">
        <v>0</v>
      </c>
      <c r="M399">
        <v>0</v>
      </c>
      <c r="N399">
        <v>21</v>
      </c>
      <c r="O399">
        <v>22</v>
      </c>
    </row>
    <row r="400" spans="1:15" x14ac:dyDescent="0.25">
      <c r="A400" t="s">
        <v>1105</v>
      </c>
      <c r="B400">
        <v>0</v>
      </c>
      <c r="C400">
        <v>0</v>
      </c>
      <c r="D400">
        <v>0</v>
      </c>
      <c r="E400">
        <v>3</v>
      </c>
      <c r="F400">
        <v>8</v>
      </c>
      <c r="G400">
        <v>0</v>
      </c>
      <c r="H400">
        <v>0</v>
      </c>
      <c r="I400">
        <v>1</v>
      </c>
      <c r="J400">
        <v>8</v>
      </c>
      <c r="K400">
        <v>0</v>
      </c>
      <c r="L400">
        <v>1</v>
      </c>
      <c r="M400">
        <v>0</v>
      </c>
      <c r="N400">
        <v>85</v>
      </c>
      <c r="O400">
        <v>21</v>
      </c>
    </row>
    <row r="401" spans="1:15" x14ac:dyDescent="0.25">
      <c r="A401" t="s">
        <v>1107</v>
      </c>
      <c r="B401">
        <v>4</v>
      </c>
      <c r="C401">
        <v>0</v>
      </c>
      <c r="D401">
        <v>0</v>
      </c>
      <c r="E401">
        <v>2</v>
      </c>
      <c r="F401">
        <v>2</v>
      </c>
      <c r="G401">
        <v>0</v>
      </c>
      <c r="H401">
        <v>0</v>
      </c>
      <c r="I401">
        <v>1</v>
      </c>
      <c r="J401">
        <v>8</v>
      </c>
      <c r="K401">
        <v>0</v>
      </c>
      <c r="L401">
        <v>0</v>
      </c>
      <c r="M401">
        <v>0</v>
      </c>
      <c r="N401">
        <v>65</v>
      </c>
      <c r="O401">
        <v>17</v>
      </c>
    </row>
    <row r="402" spans="1:15" x14ac:dyDescent="0.25">
      <c r="A402" t="s">
        <v>1181</v>
      </c>
      <c r="B402">
        <v>1</v>
      </c>
      <c r="C402">
        <v>0</v>
      </c>
      <c r="D402">
        <v>0</v>
      </c>
      <c r="E402">
        <v>2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4</v>
      </c>
    </row>
    <row r="403" spans="1:15" x14ac:dyDescent="0.25">
      <c r="A403" t="s">
        <v>1184</v>
      </c>
      <c r="B403">
        <v>2</v>
      </c>
      <c r="C403">
        <v>12</v>
      </c>
      <c r="D403">
        <v>0</v>
      </c>
      <c r="E403">
        <v>13</v>
      </c>
      <c r="F403">
        <v>9</v>
      </c>
      <c r="G403">
        <v>11</v>
      </c>
      <c r="H403">
        <v>3</v>
      </c>
      <c r="I403">
        <v>2</v>
      </c>
      <c r="J403">
        <v>12</v>
      </c>
      <c r="K403">
        <v>7</v>
      </c>
      <c r="L403">
        <v>5</v>
      </c>
      <c r="M403">
        <v>4</v>
      </c>
      <c r="N403">
        <v>13</v>
      </c>
      <c r="O403">
        <v>80</v>
      </c>
    </row>
    <row r="404" spans="1:15" x14ac:dyDescent="0.25">
      <c r="A404" t="s">
        <v>1192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3</v>
      </c>
      <c r="O404">
        <v>0</v>
      </c>
    </row>
    <row r="405" spans="1:15" x14ac:dyDescent="0.25">
      <c r="A405" t="s">
        <v>1194</v>
      </c>
      <c r="B405">
        <v>0</v>
      </c>
      <c r="C405">
        <v>0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5</v>
      </c>
      <c r="K405">
        <v>0</v>
      </c>
      <c r="L405">
        <v>0</v>
      </c>
      <c r="M405">
        <v>0</v>
      </c>
      <c r="N405">
        <v>0</v>
      </c>
      <c r="O405">
        <v>7</v>
      </c>
    </row>
    <row r="406" spans="1:15" x14ac:dyDescent="0.25">
      <c r="A406" t="s">
        <v>756</v>
      </c>
      <c r="B406">
        <v>4</v>
      </c>
      <c r="C406">
        <v>11</v>
      </c>
      <c r="D406">
        <v>0</v>
      </c>
      <c r="E406">
        <v>9</v>
      </c>
      <c r="F406">
        <v>10</v>
      </c>
      <c r="G406">
        <v>10</v>
      </c>
      <c r="H406">
        <v>12</v>
      </c>
      <c r="I406">
        <v>9</v>
      </c>
      <c r="J406">
        <v>12</v>
      </c>
      <c r="K406">
        <v>4</v>
      </c>
      <c r="L406">
        <v>0</v>
      </c>
      <c r="M406">
        <v>4</v>
      </c>
      <c r="N406">
        <v>37</v>
      </c>
      <c r="O406">
        <v>85</v>
      </c>
    </row>
    <row r="407" spans="1:15" x14ac:dyDescent="0.25">
      <c r="A407" t="s">
        <v>1200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15</v>
      </c>
      <c r="O407">
        <v>0</v>
      </c>
    </row>
    <row r="408" spans="1:15" x14ac:dyDescent="0.25">
      <c r="A408" t="s">
        <v>1213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6</v>
      </c>
      <c r="K408">
        <v>0</v>
      </c>
      <c r="L408">
        <v>0</v>
      </c>
      <c r="M408">
        <v>0</v>
      </c>
      <c r="N408">
        <v>12</v>
      </c>
      <c r="O408">
        <v>6</v>
      </c>
    </row>
    <row r="409" spans="1:15" x14ac:dyDescent="0.25">
      <c r="A409" t="s">
        <v>757</v>
      </c>
      <c r="B409">
        <v>8</v>
      </c>
      <c r="C409">
        <v>11</v>
      </c>
      <c r="D409">
        <v>3</v>
      </c>
      <c r="E409">
        <v>13</v>
      </c>
      <c r="F409">
        <v>5</v>
      </c>
      <c r="G409">
        <v>12</v>
      </c>
      <c r="H409">
        <v>10</v>
      </c>
      <c r="I409">
        <v>14</v>
      </c>
      <c r="J409">
        <v>13</v>
      </c>
      <c r="K409">
        <v>6</v>
      </c>
      <c r="L409">
        <v>27</v>
      </c>
      <c r="M409">
        <v>2</v>
      </c>
      <c r="N409">
        <v>14</v>
      </c>
      <c r="O409">
        <v>124</v>
      </c>
    </row>
    <row r="410" spans="1:15" x14ac:dyDescent="0.25">
      <c r="A410" t="s">
        <v>1245</v>
      </c>
      <c r="B410">
        <v>2</v>
      </c>
      <c r="C410">
        <v>12</v>
      </c>
      <c r="D410">
        <v>3</v>
      </c>
      <c r="E410">
        <v>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20</v>
      </c>
    </row>
    <row r="411" spans="1:15" x14ac:dyDescent="0.25">
      <c r="A411" t="s">
        <v>1247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8</v>
      </c>
      <c r="H411">
        <v>4</v>
      </c>
      <c r="I411">
        <v>7</v>
      </c>
      <c r="J411">
        <v>3</v>
      </c>
      <c r="K411">
        <v>0</v>
      </c>
      <c r="L411">
        <v>0</v>
      </c>
      <c r="M411">
        <v>0</v>
      </c>
      <c r="N411">
        <v>0</v>
      </c>
      <c r="O411">
        <v>22</v>
      </c>
    </row>
    <row r="412" spans="1:15" x14ac:dyDescent="0.25">
      <c r="A412" t="s">
        <v>1256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</row>
    <row r="413" spans="1:15" x14ac:dyDescent="0.25">
      <c r="A413" t="s">
        <v>760</v>
      </c>
      <c r="B413">
        <v>0</v>
      </c>
      <c r="C413">
        <v>7</v>
      </c>
      <c r="D413">
        <v>1</v>
      </c>
      <c r="E413">
        <v>11</v>
      </c>
      <c r="F413">
        <v>0</v>
      </c>
      <c r="G413">
        <v>9</v>
      </c>
      <c r="H413">
        <v>4</v>
      </c>
      <c r="I413">
        <v>8</v>
      </c>
      <c r="J413">
        <v>5</v>
      </c>
      <c r="K413">
        <v>9</v>
      </c>
      <c r="L413">
        <v>1</v>
      </c>
      <c r="M413">
        <v>2</v>
      </c>
      <c r="N413">
        <v>14</v>
      </c>
      <c r="O413">
        <v>57</v>
      </c>
    </row>
    <row r="414" spans="1:15" x14ac:dyDescent="0.25">
      <c r="A414" t="s">
        <v>1266</v>
      </c>
      <c r="B414">
        <v>0</v>
      </c>
      <c r="C414">
        <v>0</v>
      </c>
      <c r="D414">
        <v>-1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1</v>
      </c>
    </row>
    <row r="415" spans="1:15" x14ac:dyDescent="0.25">
      <c r="A415" t="s">
        <v>1280</v>
      </c>
      <c r="B415">
        <v>2</v>
      </c>
      <c r="C415">
        <v>0</v>
      </c>
      <c r="D415">
        <v>4</v>
      </c>
      <c r="E415">
        <v>16</v>
      </c>
      <c r="F415">
        <v>0</v>
      </c>
      <c r="G415">
        <v>0</v>
      </c>
      <c r="H415">
        <v>14</v>
      </c>
      <c r="I415">
        <v>1</v>
      </c>
      <c r="J415">
        <v>5</v>
      </c>
      <c r="K415">
        <v>0</v>
      </c>
      <c r="L415">
        <v>7</v>
      </c>
      <c r="M415">
        <v>2</v>
      </c>
      <c r="N415">
        <v>16</v>
      </c>
      <c r="O415">
        <v>51</v>
      </c>
    </row>
    <row r="416" spans="1:15" x14ac:dyDescent="0.25">
      <c r="A416" t="s">
        <v>762</v>
      </c>
      <c r="B416">
        <v>0</v>
      </c>
      <c r="C416">
        <v>0</v>
      </c>
      <c r="D416">
        <v>0</v>
      </c>
      <c r="E416">
        <v>0</v>
      </c>
      <c r="F416">
        <v>3</v>
      </c>
      <c r="G416">
        <v>12</v>
      </c>
      <c r="H416">
        <v>5</v>
      </c>
      <c r="I416">
        <v>0</v>
      </c>
      <c r="J416">
        <v>10</v>
      </c>
      <c r="K416">
        <v>0</v>
      </c>
      <c r="L416">
        <v>0</v>
      </c>
      <c r="M416">
        <v>0</v>
      </c>
      <c r="N416">
        <v>22</v>
      </c>
      <c r="O416">
        <v>30</v>
      </c>
    </row>
    <row r="417" spans="1:15" x14ac:dyDescent="0.25">
      <c r="A417" t="s">
        <v>1290</v>
      </c>
      <c r="B417">
        <v>0</v>
      </c>
      <c r="C417">
        <v>1</v>
      </c>
      <c r="D417">
        <v>6</v>
      </c>
      <c r="E417">
        <v>12</v>
      </c>
      <c r="F417">
        <v>4</v>
      </c>
      <c r="G417">
        <v>0</v>
      </c>
      <c r="H417">
        <v>0</v>
      </c>
      <c r="I417">
        <v>0</v>
      </c>
      <c r="J417">
        <v>0</v>
      </c>
      <c r="K417">
        <v>3</v>
      </c>
      <c r="L417">
        <v>9</v>
      </c>
      <c r="M417">
        <v>6</v>
      </c>
      <c r="N417">
        <v>7</v>
      </c>
      <c r="O417">
        <v>41</v>
      </c>
    </row>
    <row r="418" spans="1:15" x14ac:dyDescent="0.25">
      <c r="A418" t="s">
        <v>763</v>
      </c>
      <c r="B418">
        <v>0</v>
      </c>
      <c r="C418">
        <v>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2</v>
      </c>
      <c r="J418">
        <v>0</v>
      </c>
      <c r="K418">
        <v>10</v>
      </c>
      <c r="L418">
        <v>0</v>
      </c>
      <c r="M418">
        <v>0</v>
      </c>
      <c r="N418">
        <v>0</v>
      </c>
      <c r="O418">
        <v>17</v>
      </c>
    </row>
    <row r="419" spans="1:15" x14ac:dyDescent="0.25">
      <c r="A419" t="s">
        <v>1291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4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5</v>
      </c>
      <c r="O419">
        <v>5</v>
      </c>
    </row>
    <row r="420" spans="1:15" x14ac:dyDescent="0.25">
      <c r="A420" t="s">
        <v>1252</v>
      </c>
      <c r="B420">
        <v>0</v>
      </c>
      <c r="C420">
        <v>0</v>
      </c>
      <c r="D420">
        <v>0</v>
      </c>
      <c r="E420">
        <v>10</v>
      </c>
      <c r="F420">
        <v>0</v>
      </c>
      <c r="G420">
        <v>0</v>
      </c>
      <c r="H420">
        <v>0</v>
      </c>
      <c r="I420">
        <v>0</v>
      </c>
      <c r="J420">
        <v>3</v>
      </c>
      <c r="K420">
        <v>6</v>
      </c>
      <c r="L420">
        <v>0</v>
      </c>
      <c r="M420">
        <v>0</v>
      </c>
      <c r="N420">
        <v>0</v>
      </c>
      <c r="O420">
        <v>19</v>
      </c>
    </row>
    <row r="421" spans="1:15" x14ac:dyDescent="0.25">
      <c r="A421" t="s">
        <v>1254</v>
      </c>
      <c r="B421">
        <v>0</v>
      </c>
      <c r="C421">
        <v>1</v>
      </c>
      <c r="D421">
        <v>2</v>
      </c>
      <c r="E421">
        <v>2</v>
      </c>
      <c r="F421">
        <v>4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9</v>
      </c>
    </row>
    <row r="422" spans="1:15" x14ac:dyDescent="0.25">
      <c r="A422" t="s">
        <v>1252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7</v>
      </c>
      <c r="L422">
        <v>3</v>
      </c>
      <c r="M422">
        <v>0</v>
      </c>
      <c r="N422">
        <v>0</v>
      </c>
      <c r="O422">
        <v>10</v>
      </c>
    </row>
    <row r="423" spans="1:15" x14ac:dyDescent="0.25">
      <c r="A423" t="s">
        <v>759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</v>
      </c>
      <c r="K423">
        <v>4</v>
      </c>
      <c r="L423">
        <v>0</v>
      </c>
      <c r="M423">
        <v>0</v>
      </c>
      <c r="N423">
        <v>0</v>
      </c>
      <c r="O423">
        <v>7</v>
      </c>
    </row>
    <row r="424" spans="1:15" x14ac:dyDescent="0.25">
      <c r="A424" t="s">
        <v>1264</v>
      </c>
      <c r="B424">
        <v>3</v>
      </c>
      <c r="C424">
        <v>17</v>
      </c>
      <c r="D424">
        <v>4</v>
      </c>
      <c r="E424">
        <v>2</v>
      </c>
      <c r="F424">
        <v>1</v>
      </c>
      <c r="G424">
        <v>0</v>
      </c>
      <c r="H424">
        <v>0</v>
      </c>
      <c r="I424">
        <v>1</v>
      </c>
      <c r="J424">
        <v>1</v>
      </c>
      <c r="K424">
        <v>11</v>
      </c>
      <c r="L424">
        <v>12</v>
      </c>
      <c r="M424">
        <v>8</v>
      </c>
      <c r="N424">
        <v>0</v>
      </c>
      <c r="O424">
        <v>60</v>
      </c>
    </row>
    <row r="425" spans="1:15" x14ac:dyDescent="0.25">
      <c r="A425" t="s">
        <v>1258</v>
      </c>
      <c r="B425">
        <v>0</v>
      </c>
      <c r="C425">
        <v>0</v>
      </c>
      <c r="D425">
        <v>0</v>
      </c>
      <c r="E425">
        <v>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7</v>
      </c>
      <c r="M425">
        <v>0</v>
      </c>
      <c r="N425">
        <v>0</v>
      </c>
      <c r="O425">
        <v>12</v>
      </c>
    </row>
    <row r="426" spans="1:15" x14ac:dyDescent="0.25">
      <c r="A426" t="s">
        <v>1274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12</v>
      </c>
      <c r="O426">
        <v>0</v>
      </c>
    </row>
    <row r="427" spans="1:15" x14ac:dyDescent="0.25">
      <c r="A427" t="s">
        <v>761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6</v>
      </c>
      <c r="L427">
        <v>3</v>
      </c>
      <c r="M427">
        <v>0</v>
      </c>
      <c r="N427">
        <v>0</v>
      </c>
      <c r="O427">
        <v>10</v>
      </c>
    </row>
    <row r="428" spans="1:15" x14ac:dyDescent="0.25">
      <c r="A428" t="s">
        <v>1287</v>
      </c>
      <c r="B428">
        <v>0</v>
      </c>
      <c r="C428">
        <v>11</v>
      </c>
      <c r="D428">
        <v>1</v>
      </c>
      <c r="E428">
        <v>2</v>
      </c>
      <c r="F428">
        <v>1</v>
      </c>
      <c r="G428">
        <v>1</v>
      </c>
      <c r="H428">
        <v>2</v>
      </c>
      <c r="I428">
        <v>0</v>
      </c>
      <c r="J428">
        <v>5</v>
      </c>
      <c r="K428">
        <v>5</v>
      </c>
      <c r="L428">
        <v>11</v>
      </c>
      <c r="M428">
        <v>2</v>
      </c>
      <c r="N428">
        <v>4</v>
      </c>
      <c r="O428">
        <v>41</v>
      </c>
    </row>
    <row r="429" spans="1:15" x14ac:dyDescent="0.25">
      <c r="A429" t="s">
        <v>1296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1</v>
      </c>
      <c r="H429">
        <v>0</v>
      </c>
      <c r="I429">
        <v>3</v>
      </c>
      <c r="J429">
        <v>0</v>
      </c>
      <c r="K429">
        <v>5</v>
      </c>
      <c r="L429">
        <v>8</v>
      </c>
      <c r="M429">
        <v>0</v>
      </c>
      <c r="N429">
        <v>0</v>
      </c>
      <c r="O429">
        <v>18</v>
      </c>
    </row>
    <row r="430" spans="1:15" x14ac:dyDescent="0.25">
      <c r="A430" t="s">
        <v>1297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30</v>
      </c>
      <c r="O430">
        <v>0</v>
      </c>
    </row>
    <row r="431" spans="1:15" x14ac:dyDescent="0.25">
      <c r="A431" t="s">
        <v>1220</v>
      </c>
      <c r="B431">
        <v>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1</v>
      </c>
      <c r="O431">
        <v>5</v>
      </c>
    </row>
    <row r="432" spans="1:15" x14ac:dyDescent="0.25">
      <c r="A432" t="s">
        <v>1789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6</v>
      </c>
      <c r="O432">
        <v>1</v>
      </c>
    </row>
    <row r="433" spans="1:15" x14ac:dyDescent="0.25">
      <c r="A433" t="s">
        <v>1790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3</v>
      </c>
      <c r="M433">
        <v>0</v>
      </c>
      <c r="N433">
        <v>0</v>
      </c>
      <c r="O433">
        <v>4</v>
      </c>
    </row>
    <row r="434" spans="1:15" x14ac:dyDescent="0.25">
      <c r="A434" t="s">
        <v>1229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2</v>
      </c>
      <c r="K434">
        <v>0</v>
      </c>
      <c r="L434">
        <v>0</v>
      </c>
      <c r="M434">
        <v>1</v>
      </c>
      <c r="N434">
        <v>4</v>
      </c>
      <c r="O434">
        <v>3</v>
      </c>
    </row>
    <row r="435" spans="1:15" x14ac:dyDescent="0.25">
      <c r="A435" t="s">
        <v>1791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3</v>
      </c>
      <c r="M435">
        <v>0</v>
      </c>
      <c r="N435">
        <v>5</v>
      </c>
      <c r="O435">
        <v>4</v>
      </c>
    </row>
    <row r="436" spans="1:15" x14ac:dyDescent="0.25">
      <c r="A436" t="s">
        <v>1792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1</v>
      </c>
    </row>
    <row r="437" spans="1:15" x14ac:dyDescent="0.25">
      <c r="A437" t="s">
        <v>1793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5</v>
      </c>
      <c r="O437">
        <v>0</v>
      </c>
    </row>
    <row r="438" spans="1:15" x14ac:dyDescent="0.25">
      <c r="A438" t="s">
        <v>1237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2</v>
      </c>
      <c r="L438">
        <v>0</v>
      </c>
      <c r="M438">
        <v>1</v>
      </c>
      <c r="N438">
        <v>1</v>
      </c>
      <c r="O438">
        <v>4</v>
      </c>
    </row>
    <row r="439" spans="1:15" x14ac:dyDescent="0.25">
      <c r="A439" t="s">
        <v>1794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9</v>
      </c>
      <c r="O439">
        <v>0</v>
      </c>
    </row>
    <row r="440" spans="1:15" x14ac:dyDescent="0.25">
      <c r="A440" t="s">
        <v>1795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4</v>
      </c>
      <c r="O440">
        <v>0</v>
      </c>
    </row>
    <row r="441" spans="1:15" x14ac:dyDescent="0.25">
      <c r="A441" t="s">
        <v>1243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2</v>
      </c>
      <c r="O441">
        <v>1</v>
      </c>
    </row>
    <row r="442" spans="1:15" x14ac:dyDescent="0.25">
      <c r="A442" t="s">
        <v>665</v>
      </c>
      <c r="B442">
        <v>8</v>
      </c>
      <c r="C442">
        <v>0</v>
      </c>
      <c r="D442">
        <v>0</v>
      </c>
      <c r="E442">
        <v>2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4</v>
      </c>
      <c r="N442">
        <v>3</v>
      </c>
      <c r="O442">
        <v>16</v>
      </c>
    </row>
    <row r="443" spans="1:15" x14ac:dyDescent="0.25">
      <c r="A443" t="s">
        <v>716</v>
      </c>
      <c r="B443">
        <v>0</v>
      </c>
      <c r="C443">
        <v>0</v>
      </c>
      <c r="D443">
        <v>3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1</v>
      </c>
      <c r="K443">
        <v>2</v>
      </c>
      <c r="L443">
        <v>0</v>
      </c>
      <c r="M443">
        <v>0</v>
      </c>
      <c r="N443">
        <v>54</v>
      </c>
      <c r="O443">
        <v>7</v>
      </c>
    </row>
    <row r="444" spans="1:15" x14ac:dyDescent="0.25">
      <c r="A444" t="s">
        <v>1301</v>
      </c>
      <c r="B444">
        <v>0</v>
      </c>
      <c r="C444">
        <v>2</v>
      </c>
      <c r="D444">
        <v>0</v>
      </c>
      <c r="E444">
        <v>6</v>
      </c>
      <c r="F444">
        <v>2</v>
      </c>
      <c r="G444">
        <v>0</v>
      </c>
      <c r="H444">
        <v>0</v>
      </c>
      <c r="I444">
        <v>2</v>
      </c>
      <c r="J444">
        <v>9</v>
      </c>
      <c r="K444">
        <v>0</v>
      </c>
      <c r="L444">
        <v>0</v>
      </c>
      <c r="M444">
        <v>1</v>
      </c>
      <c r="N444">
        <v>35</v>
      </c>
      <c r="O444">
        <v>22</v>
      </c>
    </row>
    <row r="445" spans="1:15" x14ac:dyDescent="0.25">
      <c r="A445" t="s">
        <v>1306</v>
      </c>
      <c r="B445">
        <v>0</v>
      </c>
      <c r="C445">
        <v>2</v>
      </c>
      <c r="D445">
        <v>0</v>
      </c>
      <c r="E445">
        <v>4</v>
      </c>
      <c r="F445">
        <v>0</v>
      </c>
      <c r="G445">
        <v>0</v>
      </c>
      <c r="H445">
        <v>2</v>
      </c>
      <c r="I445">
        <v>2</v>
      </c>
      <c r="J445">
        <v>8</v>
      </c>
      <c r="K445">
        <v>3</v>
      </c>
      <c r="L445">
        <v>0</v>
      </c>
      <c r="M445">
        <v>1</v>
      </c>
      <c r="N445">
        <v>13</v>
      </c>
      <c r="O445">
        <v>22</v>
      </c>
    </row>
    <row r="446" spans="1:15" x14ac:dyDescent="0.25">
      <c r="A446" t="s">
        <v>1315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6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7</v>
      </c>
    </row>
    <row r="447" spans="1:15" x14ac:dyDescent="0.25">
      <c r="A447" t="s">
        <v>717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5</v>
      </c>
      <c r="K447">
        <v>1</v>
      </c>
      <c r="L447">
        <v>0</v>
      </c>
      <c r="M447">
        <v>4</v>
      </c>
      <c r="N447">
        <v>5</v>
      </c>
      <c r="O447">
        <v>10</v>
      </c>
    </row>
    <row r="448" spans="1:15" x14ac:dyDescent="0.25">
      <c r="A448" t="s">
        <v>1410</v>
      </c>
      <c r="B448">
        <v>0</v>
      </c>
      <c r="C448">
        <v>0</v>
      </c>
      <c r="D448">
        <v>0</v>
      </c>
      <c r="E448">
        <v>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5</v>
      </c>
      <c r="M448">
        <v>0</v>
      </c>
      <c r="N448">
        <v>32</v>
      </c>
      <c r="O448">
        <v>8</v>
      </c>
    </row>
    <row r="449" spans="1:15" x14ac:dyDescent="0.25">
      <c r="A449" t="s">
        <v>1414</v>
      </c>
      <c r="B449">
        <v>0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</row>
    <row r="450" spans="1:15" x14ac:dyDescent="0.25">
      <c r="A450" t="s">
        <v>679</v>
      </c>
      <c r="B450">
        <v>0</v>
      </c>
      <c r="C450">
        <v>0</v>
      </c>
      <c r="D450">
        <v>4</v>
      </c>
      <c r="E450">
        <v>2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4</v>
      </c>
      <c r="M450">
        <v>4</v>
      </c>
      <c r="N450">
        <v>3</v>
      </c>
      <c r="O450">
        <v>15</v>
      </c>
    </row>
    <row r="451" spans="1:15" x14ac:dyDescent="0.25">
      <c r="A451" t="s">
        <v>720</v>
      </c>
      <c r="B451">
        <v>0</v>
      </c>
      <c r="C451">
        <v>0</v>
      </c>
      <c r="D451">
        <v>0</v>
      </c>
      <c r="E451">
        <v>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4</v>
      </c>
      <c r="L451">
        <v>0</v>
      </c>
      <c r="M451">
        <v>0</v>
      </c>
      <c r="N451">
        <v>0</v>
      </c>
      <c r="O451">
        <v>6</v>
      </c>
    </row>
    <row r="452" spans="1:15" x14ac:dyDescent="0.25">
      <c r="A452" t="s">
        <v>1419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2</v>
      </c>
      <c r="J452">
        <v>0</v>
      </c>
      <c r="K452">
        <v>0</v>
      </c>
      <c r="L452">
        <v>4</v>
      </c>
      <c r="M452">
        <v>6</v>
      </c>
      <c r="N452">
        <v>0</v>
      </c>
      <c r="O452">
        <v>12</v>
      </c>
    </row>
    <row r="453" spans="1:15" x14ac:dyDescent="0.25">
      <c r="A453" t="s">
        <v>1421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1</v>
      </c>
      <c r="I453">
        <v>2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5</v>
      </c>
    </row>
    <row r="454" spans="1:15" x14ac:dyDescent="0.25">
      <c r="A454" t="s">
        <v>1424</v>
      </c>
      <c r="B454">
        <v>0</v>
      </c>
      <c r="C454">
        <v>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</v>
      </c>
      <c r="L454">
        <v>0</v>
      </c>
      <c r="M454">
        <v>0</v>
      </c>
      <c r="N454">
        <v>13</v>
      </c>
      <c r="O454">
        <v>5</v>
      </c>
    </row>
    <row r="455" spans="1:15" x14ac:dyDescent="0.25">
      <c r="A455" t="s">
        <v>1364</v>
      </c>
      <c r="B455">
        <v>0</v>
      </c>
      <c r="C455">
        <v>0</v>
      </c>
      <c r="D455">
        <v>0</v>
      </c>
      <c r="E455">
        <v>4</v>
      </c>
      <c r="F455">
        <v>0</v>
      </c>
      <c r="G455">
        <v>0</v>
      </c>
      <c r="H455">
        <v>0</v>
      </c>
      <c r="I455">
        <v>0</v>
      </c>
      <c r="J455">
        <v>2</v>
      </c>
      <c r="K455">
        <v>0</v>
      </c>
      <c r="L455">
        <v>3</v>
      </c>
      <c r="M455">
        <v>0</v>
      </c>
      <c r="N455">
        <v>6</v>
      </c>
      <c r="O455">
        <v>9</v>
      </c>
    </row>
    <row r="456" spans="1:15" x14ac:dyDescent="0.25">
      <c r="A456" t="s">
        <v>1367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2</v>
      </c>
      <c r="O456">
        <v>0</v>
      </c>
    </row>
    <row r="457" spans="1:15" x14ac:dyDescent="0.25">
      <c r="A457" t="s">
        <v>1369</v>
      </c>
      <c r="B457">
        <v>0</v>
      </c>
      <c r="C457">
        <v>0</v>
      </c>
      <c r="D457">
        <v>0</v>
      </c>
      <c r="E457">
        <v>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6</v>
      </c>
      <c r="O457">
        <v>2</v>
      </c>
    </row>
    <row r="458" spans="1:15" x14ac:dyDescent="0.25">
      <c r="A458" t="s">
        <v>1370</v>
      </c>
      <c r="B458">
        <v>0</v>
      </c>
      <c r="C458">
        <v>0</v>
      </c>
      <c r="D458">
        <v>0</v>
      </c>
      <c r="E458">
        <v>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3</v>
      </c>
      <c r="M458">
        <v>0</v>
      </c>
      <c r="N458">
        <v>4</v>
      </c>
      <c r="O458">
        <v>7</v>
      </c>
    </row>
    <row r="459" spans="1:15" x14ac:dyDescent="0.25">
      <c r="A459" t="s">
        <v>1372</v>
      </c>
      <c r="B459">
        <v>0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11</v>
      </c>
      <c r="O459">
        <v>1</v>
      </c>
    </row>
    <row r="460" spans="1:15" x14ac:dyDescent="0.25">
      <c r="A460" t="s">
        <v>1375</v>
      </c>
      <c r="B460">
        <v>0</v>
      </c>
      <c r="C460">
        <v>0</v>
      </c>
      <c r="D460">
        <v>0</v>
      </c>
      <c r="E460">
        <v>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</v>
      </c>
      <c r="L460">
        <v>0</v>
      </c>
      <c r="M460">
        <v>0</v>
      </c>
      <c r="N460">
        <v>4</v>
      </c>
      <c r="O460">
        <v>4</v>
      </c>
    </row>
    <row r="461" spans="1:15" x14ac:dyDescent="0.25">
      <c r="A461" t="s">
        <v>1378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5</v>
      </c>
      <c r="O461">
        <v>0</v>
      </c>
    </row>
    <row r="462" spans="1:15" x14ac:dyDescent="0.25">
      <c r="A462" t="s">
        <v>1380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</v>
      </c>
      <c r="L462">
        <v>0</v>
      </c>
      <c r="M462">
        <v>0</v>
      </c>
      <c r="N462">
        <v>3</v>
      </c>
      <c r="O462">
        <v>2</v>
      </c>
    </row>
    <row r="463" spans="1:15" x14ac:dyDescent="0.25">
      <c r="A463" t="s">
        <v>1358</v>
      </c>
      <c r="B463">
        <v>0</v>
      </c>
      <c r="C463">
        <v>0</v>
      </c>
      <c r="D463">
        <v>3</v>
      </c>
      <c r="E463">
        <v>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3</v>
      </c>
      <c r="M463">
        <v>0</v>
      </c>
      <c r="N463">
        <v>5</v>
      </c>
      <c r="O463">
        <v>10</v>
      </c>
    </row>
    <row r="464" spans="1:15" x14ac:dyDescent="0.25">
      <c r="A464" t="s">
        <v>1361</v>
      </c>
      <c r="B464">
        <v>0</v>
      </c>
      <c r="C464">
        <v>0</v>
      </c>
      <c r="D464">
        <v>0</v>
      </c>
      <c r="E464">
        <v>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11</v>
      </c>
      <c r="O464">
        <v>2</v>
      </c>
    </row>
    <row r="465" spans="1:15" x14ac:dyDescent="0.25">
      <c r="A465" t="s">
        <v>1363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20</v>
      </c>
      <c r="O465">
        <v>0</v>
      </c>
    </row>
    <row r="466" spans="1:15" x14ac:dyDescent="0.25">
      <c r="A466" t="s">
        <v>1438</v>
      </c>
      <c r="B466">
        <v>0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3</v>
      </c>
      <c r="L466">
        <v>0</v>
      </c>
      <c r="M466">
        <v>0</v>
      </c>
      <c r="N466">
        <v>2</v>
      </c>
      <c r="O466">
        <v>4</v>
      </c>
    </row>
    <row r="467" spans="1:15" x14ac:dyDescent="0.25">
      <c r="A467" t="s">
        <v>1439</v>
      </c>
      <c r="B467">
        <v>0</v>
      </c>
      <c r="C467">
        <v>0</v>
      </c>
      <c r="D467">
        <v>0</v>
      </c>
      <c r="E467">
        <v>0</v>
      </c>
      <c r="F467">
        <v>2</v>
      </c>
      <c r="G467">
        <v>0</v>
      </c>
      <c r="H467">
        <v>2</v>
      </c>
      <c r="I467">
        <v>1</v>
      </c>
      <c r="J467">
        <v>0</v>
      </c>
      <c r="K467">
        <v>1</v>
      </c>
      <c r="L467">
        <v>0</v>
      </c>
      <c r="M467">
        <v>0</v>
      </c>
      <c r="N467">
        <v>5</v>
      </c>
      <c r="O467">
        <v>6</v>
      </c>
    </row>
    <row r="468" spans="1:15" x14ac:dyDescent="0.25">
      <c r="A468" t="s">
        <v>1442</v>
      </c>
      <c r="B468">
        <v>0</v>
      </c>
      <c r="C468">
        <v>0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5</v>
      </c>
      <c r="L468">
        <v>0</v>
      </c>
      <c r="M468">
        <v>0</v>
      </c>
      <c r="N468">
        <v>0</v>
      </c>
      <c r="O468">
        <v>6</v>
      </c>
    </row>
    <row r="469" spans="1:15" x14ac:dyDescent="0.25">
      <c r="A469" t="s">
        <v>1443</v>
      </c>
      <c r="B469">
        <v>0</v>
      </c>
      <c r="C469">
        <v>0</v>
      </c>
      <c r="D469">
        <v>0</v>
      </c>
      <c r="E469">
        <v>0</v>
      </c>
      <c r="F469">
        <v>2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3</v>
      </c>
      <c r="O469">
        <v>3</v>
      </c>
    </row>
    <row r="470" spans="1:15" x14ac:dyDescent="0.25">
      <c r="A470" t="s">
        <v>764</v>
      </c>
      <c r="B470">
        <v>0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3</v>
      </c>
      <c r="L470">
        <v>0</v>
      </c>
      <c r="M470">
        <v>0</v>
      </c>
      <c r="N470">
        <v>2</v>
      </c>
      <c r="O470">
        <v>4</v>
      </c>
    </row>
    <row r="471" spans="1:15" x14ac:dyDescent="0.25">
      <c r="A471" t="s">
        <v>681</v>
      </c>
      <c r="B471">
        <v>0</v>
      </c>
      <c r="C471">
        <v>0</v>
      </c>
      <c r="D471">
        <v>0</v>
      </c>
      <c r="E471">
        <v>0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2</v>
      </c>
      <c r="L471">
        <v>0</v>
      </c>
      <c r="M471">
        <v>0</v>
      </c>
      <c r="N471">
        <v>1</v>
      </c>
      <c r="O471">
        <v>5</v>
      </c>
    </row>
    <row r="472" spans="1:15" x14ac:dyDescent="0.25">
      <c r="A472" t="s">
        <v>1387</v>
      </c>
      <c r="B472">
        <v>1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3</v>
      </c>
      <c r="K472">
        <v>0</v>
      </c>
      <c r="L472">
        <v>1</v>
      </c>
      <c r="M472">
        <v>0</v>
      </c>
      <c r="N472">
        <v>0</v>
      </c>
      <c r="O472">
        <v>6</v>
      </c>
    </row>
    <row r="473" spans="1:15" x14ac:dyDescent="0.25">
      <c r="A473" t="s">
        <v>1390</v>
      </c>
      <c r="B473">
        <v>0</v>
      </c>
      <c r="C473">
        <v>0</v>
      </c>
      <c r="D473">
        <v>1</v>
      </c>
      <c r="E473">
        <v>2</v>
      </c>
      <c r="F473">
        <v>0</v>
      </c>
      <c r="G473">
        <v>0</v>
      </c>
      <c r="H473">
        <v>0</v>
      </c>
      <c r="I473">
        <v>0</v>
      </c>
      <c r="J473">
        <v>3</v>
      </c>
      <c r="K473">
        <v>0</v>
      </c>
      <c r="L473">
        <v>0</v>
      </c>
      <c r="M473">
        <v>0</v>
      </c>
      <c r="N473">
        <v>0</v>
      </c>
      <c r="O473">
        <v>6</v>
      </c>
    </row>
    <row r="474" spans="1:15" x14ac:dyDescent="0.25">
      <c r="A474" t="s">
        <v>1392</v>
      </c>
      <c r="B474">
        <v>0</v>
      </c>
      <c r="C474">
        <v>0</v>
      </c>
      <c r="D474">
        <v>1</v>
      </c>
      <c r="E474">
        <v>0</v>
      </c>
      <c r="F474">
        <v>0</v>
      </c>
      <c r="G474">
        <v>1</v>
      </c>
      <c r="H474">
        <v>3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5</v>
      </c>
      <c r="O474">
        <v>5</v>
      </c>
    </row>
    <row r="475" spans="1:15" x14ac:dyDescent="0.25">
      <c r="A475" t="s">
        <v>671</v>
      </c>
      <c r="B475">
        <v>0</v>
      </c>
      <c r="C475">
        <v>0</v>
      </c>
      <c r="D475">
        <v>3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2</v>
      </c>
      <c r="O475">
        <v>7</v>
      </c>
    </row>
    <row r="476" spans="1:15" x14ac:dyDescent="0.25">
      <c r="A476" t="s">
        <v>1394</v>
      </c>
      <c r="B476">
        <v>0</v>
      </c>
      <c r="C476">
        <v>0</v>
      </c>
      <c r="D476">
        <v>0</v>
      </c>
      <c r="E476">
        <v>2</v>
      </c>
      <c r="F476">
        <v>0</v>
      </c>
      <c r="G476">
        <v>0</v>
      </c>
      <c r="H476">
        <v>3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2</v>
      </c>
      <c r="O476">
        <v>5</v>
      </c>
    </row>
    <row r="477" spans="1:15" x14ac:dyDescent="0.25">
      <c r="A477" t="s">
        <v>1396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</v>
      </c>
      <c r="I477">
        <v>0</v>
      </c>
      <c r="J477">
        <v>2</v>
      </c>
      <c r="K477">
        <v>0</v>
      </c>
      <c r="L477">
        <v>0</v>
      </c>
      <c r="M477">
        <v>0</v>
      </c>
      <c r="N477">
        <v>6</v>
      </c>
      <c r="O477">
        <v>4</v>
      </c>
    </row>
    <row r="478" spans="1:15" x14ac:dyDescent="0.25">
      <c r="A478" t="s">
        <v>673</v>
      </c>
      <c r="B478">
        <v>4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5</v>
      </c>
    </row>
    <row r="479" spans="1:15" x14ac:dyDescent="0.25">
      <c r="A479" t="s">
        <v>1400</v>
      </c>
      <c r="B479">
        <v>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</v>
      </c>
      <c r="L479">
        <v>0</v>
      </c>
      <c r="M479">
        <v>0</v>
      </c>
      <c r="N479">
        <v>0</v>
      </c>
      <c r="O479">
        <v>6</v>
      </c>
    </row>
    <row r="480" spans="1:15" x14ac:dyDescent="0.25">
      <c r="A480" t="s">
        <v>1382</v>
      </c>
      <c r="B480">
        <v>0</v>
      </c>
      <c r="C480">
        <v>0</v>
      </c>
      <c r="D480">
        <v>2</v>
      </c>
      <c r="E480">
        <v>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2</v>
      </c>
      <c r="M480">
        <v>0</v>
      </c>
      <c r="N480">
        <v>2</v>
      </c>
      <c r="O480">
        <v>7</v>
      </c>
    </row>
    <row r="481" spans="1:15" x14ac:dyDescent="0.25">
      <c r="A481" t="s">
        <v>1384</v>
      </c>
      <c r="B481">
        <v>0</v>
      </c>
      <c r="C481">
        <v>0</v>
      </c>
      <c r="D481">
        <v>0</v>
      </c>
      <c r="E481">
        <v>2</v>
      </c>
      <c r="F481">
        <v>0</v>
      </c>
      <c r="G481">
        <v>0</v>
      </c>
      <c r="H481">
        <v>2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3</v>
      </c>
      <c r="O481">
        <v>5</v>
      </c>
    </row>
    <row r="482" spans="1:15" x14ac:dyDescent="0.25">
      <c r="A482" t="s">
        <v>1386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3</v>
      </c>
      <c r="O482">
        <v>2</v>
      </c>
    </row>
    <row r="483" spans="1:15" x14ac:dyDescent="0.25">
      <c r="A483" t="s">
        <v>1397</v>
      </c>
      <c r="B483">
        <v>0</v>
      </c>
      <c r="C483">
        <v>0</v>
      </c>
      <c r="D483">
        <v>0</v>
      </c>
      <c r="E483">
        <v>0</v>
      </c>
      <c r="F483">
        <v>2</v>
      </c>
      <c r="G483">
        <v>0</v>
      </c>
      <c r="H483">
        <v>0</v>
      </c>
      <c r="I483">
        <v>0</v>
      </c>
      <c r="J483">
        <v>2</v>
      </c>
      <c r="K483">
        <v>0</v>
      </c>
      <c r="L483">
        <v>0</v>
      </c>
      <c r="M483">
        <v>2</v>
      </c>
      <c r="N483">
        <v>10</v>
      </c>
      <c r="O483">
        <v>6</v>
      </c>
    </row>
    <row r="484" spans="1:15" x14ac:dyDescent="0.25">
      <c r="A484" t="s">
        <v>1404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5</v>
      </c>
      <c r="O484">
        <v>1</v>
      </c>
    </row>
    <row r="485" spans="1:15" x14ac:dyDescent="0.25">
      <c r="A485" t="s">
        <v>674</v>
      </c>
      <c r="B485">
        <v>0</v>
      </c>
      <c r="C485">
        <v>0</v>
      </c>
      <c r="D485">
        <v>0</v>
      </c>
      <c r="E485">
        <v>0</v>
      </c>
      <c r="F485">
        <v>2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3</v>
      </c>
      <c r="O485">
        <v>3</v>
      </c>
    </row>
    <row r="486" spans="1:15" x14ac:dyDescent="0.25">
      <c r="A486" t="s">
        <v>1406</v>
      </c>
      <c r="B486">
        <v>0</v>
      </c>
      <c r="C486">
        <v>0</v>
      </c>
      <c r="D486">
        <v>1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4</v>
      </c>
      <c r="O486">
        <v>2</v>
      </c>
    </row>
    <row r="487" spans="1:15" x14ac:dyDescent="0.25">
      <c r="A487" t="s">
        <v>1407</v>
      </c>
      <c r="B487">
        <v>0</v>
      </c>
      <c r="C487">
        <v>0</v>
      </c>
      <c r="D487">
        <v>0</v>
      </c>
      <c r="E487">
        <v>0</v>
      </c>
      <c r="F487">
        <v>2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3</v>
      </c>
      <c r="O487">
        <v>3</v>
      </c>
    </row>
    <row r="488" spans="1:15" x14ac:dyDescent="0.25">
      <c r="A488" t="s">
        <v>676</v>
      </c>
      <c r="B488">
        <v>0</v>
      </c>
      <c r="C488">
        <v>0</v>
      </c>
      <c r="D488">
        <v>1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4</v>
      </c>
      <c r="O488">
        <v>2</v>
      </c>
    </row>
    <row r="489" spans="1:15" x14ac:dyDescent="0.25">
      <c r="A489" t="s">
        <v>1409</v>
      </c>
      <c r="B489">
        <v>0</v>
      </c>
      <c r="C489">
        <v>0</v>
      </c>
      <c r="D489">
        <v>0</v>
      </c>
      <c r="E489">
        <v>0</v>
      </c>
      <c r="F489">
        <v>2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3</v>
      </c>
      <c r="O489">
        <v>3</v>
      </c>
    </row>
    <row r="490" spans="1:15" x14ac:dyDescent="0.25">
      <c r="A490" t="s">
        <v>1352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5</v>
      </c>
      <c r="O490">
        <v>1</v>
      </c>
    </row>
    <row r="491" spans="1:15" x14ac:dyDescent="0.25">
      <c r="A491" t="s">
        <v>1353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6</v>
      </c>
      <c r="O491">
        <v>0</v>
      </c>
    </row>
    <row r="492" spans="1:15" x14ac:dyDescent="0.25">
      <c r="A492" t="s">
        <v>1356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2</v>
      </c>
      <c r="O492">
        <v>1</v>
      </c>
    </row>
    <row r="493" spans="1:15" x14ac:dyDescent="0.25">
      <c r="A493" t="s">
        <v>1357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2</v>
      </c>
      <c r="O493">
        <v>1</v>
      </c>
    </row>
    <row r="494" spans="1:15" x14ac:dyDescent="0.25">
      <c r="A494" t="s">
        <v>1348</v>
      </c>
      <c r="B494">
        <v>0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3</v>
      </c>
      <c r="O494">
        <v>1</v>
      </c>
    </row>
    <row r="495" spans="1:15" x14ac:dyDescent="0.25">
      <c r="A495" t="s">
        <v>1349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6</v>
      </c>
      <c r="O495">
        <v>0</v>
      </c>
    </row>
    <row r="496" spans="1:15" x14ac:dyDescent="0.25">
      <c r="A496" t="s">
        <v>1471</v>
      </c>
      <c r="B496">
        <v>0</v>
      </c>
      <c r="C496">
        <v>0</v>
      </c>
      <c r="D496">
        <v>0</v>
      </c>
      <c r="E496">
        <v>0</v>
      </c>
      <c r="F496">
        <v>2</v>
      </c>
      <c r="G496">
        <v>1</v>
      </c>
      <c r="H496">
        <v>0</v>
      </c>
      <c r="I496">
        <v>1</v>
      </c>
      <c r="J496">
        <v>13</v>
      </c>
      <c r="K496">
        <v>0</v>
      </c>
      <c r="L496">
        <v>0</v>
      </c>
      <c r="M496">
        <v>0</v>
      </c>
      <c r="N496">
        <v>15</v>
      </c>
      <c r="O496">
        <v>17</v>
      </c>
    </row>
    <row r="497" spans="1:15" x14ac:dyDescent="0.25">
      <c r="A497" t="s">
        <v>689</v>
      </c>
      <c r="B497">
        <v>0</v>
      </c>
      <c r="C497">
        <v>1</v>
      </c>
      <c r="D497">
        <v>1</v>
      </c>
      <c r="E497">
        <v>6</v>
      </c>
      <c r="F497">
        <v>6</v>
      </c>
      <c r="G497">
        <v>0</v>
      </c>
      <c r="H497">
        <v>0</v>
      </c>
      <c r="I497">
        <v>1</v>
      </c>
      <c r="J497">
        <v>6</v>
      </c>
      <c r="K497">
        <v>1</v>
      </c>
      <c r="L497">
        <v>0</v>
      </c>
      <c r="M497">
        <v>0</v>
      </c>
      <c r="N497">
        <v>26</v>
      </c>
      <c r="O497">
        <v>22</v>
      </c>
    </row>
    <row r="498" spans="1:15" x14ac:dyDescent="0.25">
      <c r="A498" t="s">
        <v>1474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5</v>
      </c>
      <c r="O498">
        <v>0</v>
      </c>
    </row>
    <row r="499" spans="1:15" x14ac:dyDescent="0.25">
      <c r="A499" t="s">
        <v>1476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6</v>
      </c>
      <c r="O499">
        <v>1</v>
      </c>
    </row>
    <row r="500" spans="1:15" x14ac:dyDescent="0.25">
      <c r="A500" t="s">
        <v>684</v>
      </c>
      <c r="B500">
        <v>0</v>
      </c>
      <c r="C500">
        <v>0</v>
      </c>
      <c r="D500">
        <v>1</v>
      </c>
      <c r="E500">
        <v>4</v>
      </c>
      <c r="F500">
        <v>1</v>
      </c>
      <c r="G500">
        <v>0</v>
      </c>
      <c r="H500">
        <v>3</v>
      </c>
      <c r="I500">
        <v>1</v>
      </c>
      <c r="J500">
        <v>14</v>
      </c>
      <c r="K500">
        <v>3</v>
      </c>
      <c r="L500">
        <v>3</v>
      </c>
      <c r="M500">
        <v>0</v>
      </c>
      <c r="N500">
        <v>20</v>
      </c>
      <c r="O500">
        <v>30</v>
      </c>
    </row>
    <row r="501" spans="1:15" x14ac:dyDescent="0.25">
      <c r="A501" t="s">
        <v>1479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1</v>
      </c>
      <c r="L501">
        <v>0</v>
      </c>
      <c r="M501">
        <v>0</v>
      </c>
      <c r="N501">
        <v>5</v>
      </c>
      <c r="O501">
        <v>2</v>
      </c>
    </row>
    <row r="502" spans="1:15" x14ac:dyDescent="0.25">
      <c r="A502" t="s">
        <v>694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4</v>
      </c>
      <c r="K502">
        <v>0</v>
      </c>
      <c r="L502">
        <v>0</v>
      </c>
      <c r="M502">
        <v>0</v>
      </c>
      <c r="N502">
        <v>27</v>
      </c>
      <c r="O502">
        <v>4</v>
      </c>
    </row>
    <row r="503" spans="1:15" x14ac:dyDescent="0.25">
      <c r="A503" t="s">
        <v>1482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5</v>
      </c>
      <c r="O503">
        <v>0</v>
      </c>
    </row>
    <row r="504" spans="1:15" x14ac:dyDescent="0.25">
      <c r="A504" t="s">
        <v>1484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7</v>
      </c>
      <c r="O504">
        <v>0</v>
      </c>
    </row>
    <row r="505" spans="1:15" x14ac:dyDescent="0.25">
      <c r="A505" t="s">
        <v>691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2</v>
      </c>
      <c r="K505">
        <v>1</v>
      </c>
      <c r="L505">
        <v>0</v>
      </c>
      <c r="M505">
        <v>0</v>
      </c>
      <c r="N505">
        <v>6</v>
      </c>
      <c r="O505">
        <v>3</v>
      </c>
    </row>
    <row r="506" spans="1:15" x14ac:dyDescent="0.25">
      <c r="A506" t="s">
        <v>1320</v>
      </c>
      <c r="B506">
        <v>1</v>
      </c>
      <c r="C506">
        <v>0</v>
      </c>
      <c r="D506">
        <v>1</v>
      </c>
      <c r="E506">
        <v>7</v>
      </c>
      <c r="F506">
        <v>0</v>
      </c>
      <c r="G506">
        <v>1</v>
      </c>
      <c r="H506">
        <v>0</v>
      </c>
      <c r="I506">
        <v>0</v>
      </c>
      <c r="J506">
        <v>1</v>
      </c>
      <c r="K506">
        <v>4</v>
      </c>
      <c r="L506">
        <v>3</v>
      </c>
      <c r="M506">
        <v>9</v>
      </c>
      <c r="N506">
        <v>59</v>
      </c>
      <c r="O506">
        <v>27</v>
      </c>
    </row>
    <row r="507" spans="1:15" x14ac:dyDescent="0.25">
      <c r="A507" t="s">
        <v>1323</v>
      </c>
      <c r="B507">
        <v>0</v>
      </c>
      <c r="C507">
        <v>0</v>
      </c>
      <c r="D507">
        <v>0</v>
      </c>
      <c r="E507">
        <v>2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3</v>
      </c>
      <c r="M507">
        <v>0</v>
      </c>
      <c r="N507">
        <v>10</v>
      </c>
      <c r="O507">
        <v>6</v>
      </c>
    </row>
    <row r="508" spans="1:15" x14ac:dyDescent="0.25">
      <c r="A508" t="s">
        <v>1796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1</v>
      </c>
      <c r="L508">
        <v>3</v>
      </c>
      <c r="M508">
        <v>0</v>
      </c>
      <c r="N508">
        <v>7</v>
      </c>
      <c r="O508">
        <v>5</v>
      </c>
    </row>
    <row r="509" spans="1:15" x14ac:dyDescent="0.25">
      <c r="A509" t="s">
        <v>1331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4</v>
      </c>
      <c r="L509">
        <v>0</v>
      </c>
      <c r="M509">
        <v>0</v>
      </c>
      <c r="N509">
        <v>33</v>
      </c>
      <c r="O509">
        <v>4</v>
      </c>
    </row>
    <row r="510" spans="1:15" x14ac:dyDescent="0.25">
      <c r="A510" t="s">
        <v>1342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4</v>
      </c>
      <c r="L510">
        <v>0</v>
      </c>
      <c r="M510">
        <v>0</v>
      </c>
      <c r="N510">
        <v>58</v>
      </c>
      <c r="O510">
        <v>4</v>
      </c>
    </row>
    <row r="511" spans="1:15" x14ac:dyDescent="0.25">
      <c r="A511" t="s">
        <v>657</v>
      </c>
      <c r="B511">
        <v>44</v>
      </c>
      <c r="C511">
        <v>61</v>
      </c>
      <c r="D511">
        <v>59</v>
      </c>
      <c r="E511">
        <v>167</v>
      </c>
      <c r="F511">
        <v>193</v>
      </c>
      <c r="G511">
        <v>44</v>
      </c>
      <c r="H511">
        <v>62</v>
      </c>
      <c r="I511">
        <v>62</v>
      </c>
      <c r="J511">
        <v>107</v>
      </c>
      <c r="K511">
        <v>188</v>
      </c>
      <c r="L511">
        <v>164</v>
      </c>
      <c r="M511">
        <v>115</v>
      </c>
      <c r="N511">
        <v>2188</v>
      </c>
      <c r="O511">
        <v>1266</v>
      </c>
    </row>
    <row r="512" spans="1:15" x14ac:dyDescent="0.25">
      <c r="A512" t="s">
        <v>658</v>
      </c>
      <c r="B512">
        <v>10</v>
      </c>
      <c r="C512">
        <v>37</v>
      </c>
      <c r="D512">
        <v>14</v>
      </c>
      <c r="E512">
        <v>164</v>
      </c>
      <c r="F512">
        <v>182</v>
      </c>
      <c r="G512">
        <v>29</v>
      </c>
      <c r="H512">
        <v>39</v>
      </c>
      <c r="I512">
        <v>56</v>
      </c>
      <c r="J512">
        <v>56</v>
      </c>
      <c r="K512">
        <v>97</v>
      </c>
      <c r="L512">
        <v>50</v>
      </c>
      <c r="M512">
        <v>50</v>
      </c>
      <c r="N512">
        <v>1940</v>
      </c>
      <c r="O512">
        <v>784</v>
      </c>
    </row>
    <row r="513" spans="1:15" x14ac:dyDescent="0.25">
      <c r="A513" t="s">
        <v>710</v>
      </c>
      <c r="B513">
        <v>14</v>
      </c>
      <c r="C513">
        <v>13</v>
      </c>
      <c r="D513">
        <v>20</v>
      </c>
      <c r="E513">
        <v>168</v>
      </c>
      <c r="F513">
        <v>185</v>
      </c>
      <c r="G513">
        <v>24</v>
      </c>
      <c r="H513">
        <v>44</v>
      </c>
      <c r="I513">
        <v>57</v>
      </c>
      <c r="J513">
        <v>45</v>
      </c>
      <c r="K513">
        <v>96</v>
      </c>
      <c r="L513">
        <v>56</v>
      </c>
      <c r="M513">
        <v>55</v>
      </c>
      <c r="N513">
        <v>3045</v>
      </c>
      <c r="O513">
        <v>777</v>
      </c>
    </row>
    <row r="514" spans="1:15" x14ac:dyDescent="0.25">
      <c r="A514" t="s">
        <v>1128</v>
      </c>
      <c r="B514">
        <v>6</v>
      </c>
      <c r="C514">
        <v>11</v>
      </c>
      <c r="D514">
        <v>0</v>
      </c>
      <c r="E514">
        <v>9</v>
      </c>
      <c r="F514">
        <v>11</v>
      </c>
      <c r="G514">
        <v>10</v>
      </c>
      <c r="H514">
        <v>19</v>
      </c>
      <c r="I514">
        <v>34</v>
      </c>
      <c r="J514">
        <v>13</v>
      </c>
      <c r="K514">
        <v>78</v>
      </c>
      <c r="L514">
        <v>76</v>
      </c>
      <c r="M514">
        <v>8</v>
      </c>
      <c r="N514">
        <v>118</v>
      </c>
      <c r="O514">
        <v>275</v>
      </c>
    </row>
    <row r="515" spans="1:15" x14ac:dyDescent="0.25">
      <c r="A515" t="s">
        <v>1130</v>
      </c>
      <c r="B515">
        <v>1</v>
      </c>
      <c r="C515">
        <v>1</v>
      </c>
      <c r="D515">
        <v>0</v>
      </c>
      <c r="E515">
        <v>0</v>
      </c>
      <c r="F515">
        <v>2</v>
      </c>
      <c r="G515">
        <v>1</v>
      </c>
      <c r="H515">
        <v>-1</v>
      </c>
      <c r="I515">
        <v>1</v>
      </c>
      <c r="J515">
        <v>2</v>
      </c>
      <c r="K515">
        <v>18</v>
      </c>
      <c r="L515">
        <v>0</v>
      </c>
      <c r="M515">
        <v>3</v>
      </c>
      <c r="N515">
        <v>24</v>
      </c>
      <c r="O515">
        <v>28</v>
      </c>
    </row>
    <row r="516" spans="1:15" x14ac:dyDescent="0.25">
      <c r="A516" t="s">
        <v>1783</v>
      </c>
      <c r="B516">
        <v>1</v>
      </c>
      <c r="C516">
        <v>0</v>
      </c>
      <c r="D516">
        <v>0</v>
      </c>
      <c r="E516">
        <v>19</v>
      </c>
      <c r="F516">
        <v>21</v>
      </c>
      <c r="G516">
        <v>0</v>
      </c>
      <c r="H516">
        <v>2</v>
      </c>
      <c r="I516">
        <v>6</v>
      </c>
      <c r="J516">
        <v>9</v>
      </c>
      <c r="K516">
        <v>4</v>
      </c>
      <c r="L516">
        <v>3</v>
      </c>
      <c r="M516">
        <v>3</v>
      </c>
      <c r="N516">
        <v>75</v>
      </c>
      <c r="O516">
        <v>68</v>
      </c>
    </row>
    <row r="517" spans="1:15" x14ac:dyDescent="0.25">
      <c r="A517" t="s">
        <v>1785</v>
      </c>
      <c r="B517">
        <v>0</v>
      </c>
      <c r="C517">
        <v>0</v>
      </c>
      <c r="D517">
        <v>0</v>
      </c>
      <c r="E517">
        <v>18</v>
      </c>
      <c r="F517">
        <v>14</v>
      </c>
      <c r="G517">
        <v>0</v>
      </c>
      <c r="H517">
        <v>2</v>
      </c>
      <c r="I517">
        <v>2</v>
      </c>
      <c r="J517">
        <v>8</v>
      </c>
      <c r="K517">
        <v>3</v>
      </c>
      <c r="L517">
        <v>3</v>
      </c>
      <c r="M517">
        <v>9</v>
      </c>
      <c r="N517">
        <v>3</v>
      </c>
      <c r="O517">
        <v>59</v>
      </c>
    </row>
    <row r="518" spans="1:15" x14ac:dyDescent="0.25">
      <c r="A518" t="s">
        <v>1786</v>
      </c>
      <c r="B518">
        <v>0</v>
      </c>
      <c r="C518">
        <v>0</v>
      </c>
      <c r="D518">
        <v>0</v>
      </c>
      <c r="E518">
        <v>18</v>
      </c>
      <c r="F518">
        <v>15</v>
      </c>
      <c r="G518">
        <v>2</v>
      </c>
      <c r="H518">
        <v>1</v>
      </c>
      <c r="I518">
        <v>2</v>
      </c>
      <c r="J518">
        <v>10</v>
      </c>
      <c r="K518">
        <v>2</v>
      </c>
      <c r="L518">
        <v>3</v>
      </c>
      <c r="M518">
        <v>13</v>
      </c>
      <c r="N518">
        <v>0</v>
      </c>
      <c r="O518">
        <v>66</v>
      </c>
    </row>
    <row r="519" spans="1:15" x14ac:dyDescent="0.25">
      <c r="A519" t="s">
        <v>1787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8</v>
      </c>
      <c r="K519">
        <v>0</v>
      </c>
      <c r="L519">
        <v>0</v>
      </c>
      <c r="M519">
        <v>2</v>
      </c>
      <c r="N519">
        <v>17</v>
      </c>
      <c r="O519">
        <v>10</v>
      </c>
    </row>
    <row r="520" spans="1:15" x14ac:dyDescent="0.25">
      <c r="A520" t="s">
        <v>1788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11</v>
      </c>
      <c r="O520">
        <v>0</v>
      </c>
    </row>
    <row r="521" spans="1:15" x14ac:dyDescent="0.25">
      <c r="A521" t="s">
        <v>1444</v>
      </c>
      <c r="B521">
        <v>0</v>
      </c>
      <c r="C521">
        <v>10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2</v>
      </c>
      <c r="K521">
        <v>4</v>
      </c>
      <c r="L521">
        <v>0</v>
      </c>
      <c r="M521">
        <v>0</v>
      </c>
      <c r="N521">
        <v>9</v>
      </c>
      <c r="O521">
        <v>16</v>
      </c>
    </row>
    <row r="522" spans="1:15" x14ac:dyDescent="0.25">
      <c r="A522" t="s">
        <v>1448</v>
      </c>
      <c r="B522">
        <v>0</v>
      </c>
      <c r="C522">
        <v>10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4</v>
      </c>
      <c r="L522">
        <v>0</v>
      </c>
      <c r="M522">
        <v>5</v>
      </c>
      <c r="N522">
        <v>4</v>
      </c>
      <c r="O522">
        <v>21</v>
      </c>
    </row>
    <row r="523" spans="1:15" x14ac:dyDescent="0.25">
      <c r="A523" t="s">
        <v>1452</v>
      </c>
      <c r="B523">
        <v>0</v>
      </c>
      <c r="C523">
        <v>5</v>
      </c>
      <c r="D523">
        <v>0</v>
      </c>
      <c r="E523">
        <v>4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3</v>
      </c>
      <c r="L523">
        <v>0</v>
      </c>
      <c r="M523">
        <v>4</v>
      </c>
      <c r="N523">
        <v>0</v>
      </c>
      <c r="O523">
        <v>17</v>
      </c>
    </row>
    <row r="524" spans="1:15" x14ac:dyDescent="0.25">
      <c r="A524" t="s">
        <v>765</v>
      </c>
      <c r="B524">
        <v>0</v>
      </c>
      <c r="C524">
        <v>2</v>
      </c>
      <c r="D524">
        <v>0</v>
      </c>
      <c r="E524">
        <v>0</v>
      </c>
      <c r="F524">
        <v>0</v>
      </c>
      <c r="G524">
        <v>8</v>
      </c>
      <c r="H524">
        <v>0</v>
      </c>
      <c r="I524">
        <v>0</v>
      </c>
      <c r="J524">
        <v>1</v>
      </c>
      <c r="K524">
        <v>4</v>
      </c>
      <c r="L524">
        <v>0</v>
      </c>
      <c r="M524">
        <v>0</v>
      </c>
      <c r="N524">
        <v>5</v>
      </c>
      <c r="O524">
        <v>15</v>
      </c>
    </row>
    <row r="525" spans="1:15" x14ac:dyDescent="0.25">
      <c r="A525" t="s">
        <v>1457</v>
      </c>
      <c r="B525">
        <v>0</v>
      </c>
      <c r="C525">
        <v>2</v>
      </c>
      <c r="D525">
        <v>0</v>
      </c>
      <c r="E525">
        <v>4</v>
      </c>
      <c r="F525">
        <v>0</v>
      </c>
      <c r="G525">
        <v>5</v>
      </c>
      <c r="H525">
        <v>0</v>
      </c>
      <c r="I525">
        <v>0</v>
      </c>
      <c r="J525">
        <v>0</v>
      </c>
      <c r="K525">
        <v>2</v>
      </c>
      <c r="L525">
        <v>4</v>
      </c>
      <c r="M525">
        <v>3</v>
      </c>
      <c r="N525">
        <v>0</v>
      </c>
      <c r="O525">
        <v>20</v>
      </c>
    </row>
    <row r="526" spans="1:15" x14ac:dyDescent="0.25">
      <c r="A526" t="s">
        <v>1147</v>
      </c>
      <c r="B526">
        <v>0</v>
      </c>
      <c r="C526">
        <v>0</v>
      </c>
      <c r="D526">
        <v>6</v>
      </c>
      <c r="E526">
        <v>19</v>
      </c>
      <c r="F526">
        <v>1</v>
      </c>
      <c r="G526">
        <v>1</v>
      </c>
      <c r="H526">
        <v>0</v>
      </c>
      <c r="I526">
        <v>0</v>
      </c>
      <c r="J526">
        <v>6</v>
      </c>
      <c r="K526">
        <v>4</v>
      </c>
      <c r="L526">
        <v>0</v>
      </c>
      <c r="M526">
        <v>6</v>
      </c>
      <c r="N526">
        <v>393</v>
      </c>
      <c r="O526">
        <v>43</v>
      </c>
    </row>
    <row r="527" spans="1:15" x14ac:dyDescent="0.25">
      <c r="A527" t="s">
        <v>1149</v>
      </c>
      <c r="B527">
        <v>0</v>
      </c>
      <c r="C527">
        <v>1</v>
      </c>
      <c r="D527">
        <v>0</v>
      </c>
      <c r="E527">
        <v>13</v>
      </c>
      <c r="F527">
        <v>0</v>
      </c>
      <c r="G527">
        <v>0</v>
      </c>
      <c r="H527">
        <v>0</v>
      </c>
      <c r="I527">
        <v>0</v>
      </c>
      <c r="J527">
        <v>6</v>
      </c>
      <c r="K527">
        <v>4</v>
      </c>
      <c r="L527">
        <v>1</v>
      </c>
      <c r="M527">
        <v>1</v>
      </c>
      <c r="N527">
        <v>208</v>
      </c>
      <c r="O527">
        <v>26</v>
      </c>
    </row>
    <row r="528" spans="1:15" x14ac:dyDescent="0.25">
      <c r="A528" t="s">
        <v>1150</v>
      </c>
      <c r="B528">
        <v>0</v>
      </c>
      <c r="C528">
        <v>1</v>
      </c>
      <c r="D528">
        <v>0</v>
      </c>
      <c r="E528">
        <v>11</v>
      </c>
      <c r="F528">
        <v>1</v>
      </c>
      <c r="G528">
        <v>1</v>
      </c>
      <c r="H528">
        <v>1</v>
      </c>
      <c r="I528">
        <v>0</v>
      </c>
      <c r="J528">
        <v>5</v>
      </c>
      <c r="K528">
        <v>0</v>
      </c>
      <c r="L528">
        <v>1</v>
      </c>
      <c r="M528">
        <v>0</v>
      </c>
      <c r="N528">
        <v>414</v>
      </c>
      <c r="O528">
        <v>21</v>
      </c>
    </row>
    <row r="529" spans="1:15" x14ac:dyDescent="0.25">
      <c r="A529" t="s">
        <v>755</v>
      </c>
      <c r="B529">
        <v>0</v>
      </c>
      <c r="C529">
        <v>0</v>
      </c>
      <c r="D529">
        <v>0</v>
      </c>
      <c r="E529">
        <v>8</v>
      </c>
      <c r="F529">
        <v>0</v>
      </c>
      <c r="G529">
        <v>0</v>
      </c>
      <c r="H529">
        <v>0</v>
      </c>
      <c r="I529">
        <v>0</v>
      </c>
      <c r="J529">
        <v>9</v>
      </c>
      <c r="K529">
        <v>0</v>
      </c>
      <c r="L529">
        <v>0</v>
      </c>
      <c r="M529">
        <v>0</v>
      </c>
      <c r="N529">
        <v>0</v>
      </c>
      <c r="O529">
        <v>17</v>
      </c>
    </row>
    <row r="530" spans="1:15" x14ac:dyDescent="0.25">
      <c r="A530" t="s">
        <v>1151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11</v>
      </c>
      <c r="O530">
        <v>0</v>
      </c>
    </row>
    <row r="531" spans="1:15" x14ac:dyDescent="0.25">
      <c r="A531" t="s">
        <v>662</v>
      </c>
      <c r="B531">
        <v>0</v>
      </c>
      <c r="C531">
        <v>0</v>
      </c>
      <c r="D531">
        <v>4</v>
      </c>
      <c r="E531">
        <v>29</v>
      </c>
      <c r="F531">
        <v>10</v>
      </c>
      <c r="G531">
        <v>8</v>
      </c>
      <c r="H531">
        <v>0</v>
      </c>
      <c r="I531">
        <v>0</v>
      </c>
      <c r="J531">
        <v>10</v>
      </c>
      <c r="K531">
        <v>6</v>
      </c>
      <c r="L531">
        <v>8</v>
      </c>
      <c r="M531">
        <v>14</v>
      </c>
      <c r="N531">
        <v>317</v>
      </c>
      <c r="O531">
        <v>89</v>
      </c>
    </row>
    <row r="532" spans="1:15" x14ac:dyDescent="0.25">
      <c r="A532" t="s">
        <v>663</v>
      </c>
      <c r="B532">
        <v>1</v>
      </c>
      <c r="C532">
        <v>2</v>
      </c>
      <c r="D532">
        <v>4</v>
      </c>
      <c r="E532">
        <v>20</v>
      </c>
      <c r="F532">
        <v>8</v>
      </c>
      <c r="G532">
        <v>7</v>
      </c>
      <c r="H532">
        <v>1</v>
      </c>
      <c r="I532">
        <v>2</v>
      </c>
      <c r="J532">
        <v>10</v>
      </c>
      <c r="K532">
        <v>3</v>
      </c>
      <c r="L532">
        <v>9</v>
      </c>
      <c r="M532">
        <v>7</v>
      </c>
      <c r="N532">
        <v>351</v>
      </c>
      <c r="O532">
        <v>74</v>
      </c>
    </row>
    <row r="533" spans="1:15" x14ac:dyDescent="0.25">
      <c r="A533" t="s">
        <v>711</v>
      </c>
      <c r="B533">
        <v>0</v>
      </c>
      <c r="C533">
        <v>2</v>
      </c>
      <c r="D533">
        <v>0</v>
      </c>
      <c r="E533">
        <v>30</v>
      </c>
      <c r="F533">
        <v>9</v>
      </c>
      <c r="G533">
        <v>8</v>
      </c>
      <c r="H533">
        <v>4</v>
      </c>
      <c r="I533">
        <v>0</v>
      </c>
      <c r="J533">
        <v>9</v>
      </c>
      <c r="K533">
        <v>4</v>
      </c>
      <c r="L533">
        <v>8</v>
      </c>
      <c r="M533">
        <v>11</v>
      </c>
      <c r="N533">
        <v>335</v>
      </c>
      <c r="O533">
        <v>85</v>
      </c>
    </row>
    <row r="534" spans="1:15" x14ac:dyDescent="0.25">
      <c r="A534" t="s">
        <v>664</v>
      </c>
      <c r="B534">
        <v>0</v>
      </c>
      <c r="C534">
        <v>0</v>
      </c>
      <c r="D534">
        <v>0</v>
      </c>
      <c r="E534">
        <v>2</v>
      </c>
      <c r="F534">
        <v>0</v>
      </c>
      <c r="G534">
        <v>0</v>
      </c>
      <c r="H534">
        <v>1</v>
      </c>
      <c r="I534">
        <v>0</v>
      </c>
      <c r="J534">
        <v>5</v>
      </c>
      <c r="K534">
        <v>10</v>
      </c>
      <c r="L534">
        <v>0</v>
      </c>
      <c r="M534">
        <v>0</v>
      </c>
      <c r="N534">
        <v>100</v>
      </c>
      <c r="O534">
        <v>18</v>
      </c>
    </row>
    <row r="535" spans="1:15" x14ac:dyDescent="0.25">
      <c r="A535" t="s">
        <v>712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141</v>
      </c>
      <c r="O535">
        <v>0</v>
      </c>
    </row>
    <row r="536" spans="1:15" x14ac:dyDescent="0.25">
      <c r="A536" t="s">
        <v>1799</v>
      </c>
      <c r="B536">
        <v>0</v>
      </c>
      <c r="C536">
        <v>2</v>
      </c>
      <c r="D536">
        <v>0</v>
      </c>
      <c r="E536">
        <v>35</v>
      </c>
      <c r="F536">
        <v>7</v>
      </c>
      <c r="G536">
        <v>12</v>
      </c>
      <c r="H536">
        <v>1</v>
      </c>
      <c r="I536">
        <v>1</v>
      </c>
      <c r="J536">
        <v>7</v>
      </c>
      <c r="K536">
        <v>1</v>
      </c>
      <c r="L536">
        <v>0</v>
      </c>
      <c r="M536">
        <v>0</v>
      </c>
      <c r="N536">
        <v>41</v>
      </c>
      <c r="O536">
        <v>66</v>
      </c>
    </row>
    <row r="537" spans="1:15" x14ac:dyDescent="0.25">
      <c r="A537" t="s">
        <v>1800</v>
      </c>
      <c r="B537">
        <v>0</v>
      </c>
      <c r="C537">
        <v>0</v>
      </c>
      <c r="D537">
        <v>0</v>
      </c>
      <c r="E537">
        <v>30</v>
      </c>
      <c r="F537">
        <v>8</v>
      </c>
      <c r="G537">
        <v>1</v>
      </c>
      <c r="H537">
        <v>0</v>
      </c>
      <c r="I537">
        <v>0</v>
      </c>
      <c r="J537">
        <v>9</v>
      </c>
      <c r="K537">
        <v>4</v>
      </c>
      <c r="L537">
        <v>0</v>
      </c>
      <c r="M537">
        <v>0</v>
      </c>
      <c r="N537">
        <v>35</v>
      </c>
      <c r="O537">
        <v>52</v>
      </c>
    </row>
    <row r="538" spans="1:15" x14ac:dyDescent="0.25">
      <c r="A538" t="s">
        <v>1797</v>
      </c>
      <c r="B538">
        <v>0</v>
      </c>
      <c r="C538">
        <v>0</v>
      </c>
      <c r="D538">
        <v>0</v>
      </c>
      <c r="E538">
        <v>31</v>
      </c>
      <c r="F538">
        <v>10</v>
      </c>
      <c r="G538">
        <v>0</v>
      </c>
      <c r="H538">
        <v>1</v>
      </c>
      <c r="I538">
        <v>1</v>
      </c>
      <c r="J538">
        <v>4</v>
      </c>
      <c r="K538">
        <v>4</v>
      </c>
      <c r="L538">
        <v>0</v>
      </c>
      <c r="M538">
        <v>0</v>
      </c>
      <c r="N538">
        <v>47</v>
      </c>
      <c r="O538">
        <v>51</v>
      </c>
    </row>
    <row r="539" spans="1:15" x14ac:dyDescent="0.25">
      <c r="A539" t="s">
        <v>767</v>
      </c>
      <c r="B539">
        <v>0</v>
      </c>
      <c r="C539">
        <v>0</v>
      </c>
      <c r="D539">
        <v>0</v>
      </c>
      <c r="E539">
        <v>0</v>
      </c>
      <c r="F539">
        <v>7</v>
      </c>
      <c r="G539">
        <v>2</v>
      </c>
      <c r="H539">
        <v>0</v>
      </c>
      <c r="I539">
        <v>0</v>
      </c>
      <c r="J539">
        <v>3</v>
      </c>
      <c r="K539">
        <v>0</v>
      </c>
      <c r="L539">
        <v>0</v>
      </c>
      <c r="M539">
        <v>0</v>
      </c>
      <c r="N539">
        <v>9</v>
      </c>
      <c r="O539">
        <v>12</v>
      </c>
    </row>
    <row r="540" spans="1:15" x14ac:dyDescent="0.25">
      <c r="A540" t="s">
        <v>1552</v>
      </c>
      <c r="B540">
        <v>0</v>
      </c>
      <c r="C540">
        <v>0</v>
      </c>
      <c r="D540">
        <v>0</v>
      </c>
      <c r="E540">
        <v>0</v>
      </c>
      <c r="F540">
        <v>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6</v>
      </c>
      <c r="O540">
        <v>4</v>
      </c>
    </row>
    <row r="541" spans="1:15" x14ac:dyDescent="0.25">
      <c r="A541" t="s">
        <v>1560</v>
      </c>
      <c r="B541">
        <v>0</v>
      </c>
      <c r="C541">
        <v>4</v>
      </c>
      <c r="D541">
        <v>0</v>
      </c>
      <c r="E541">
        <v>0</v>
      </c>
      <c r="F541">
        <v>3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5</v>
      </c>
      <c r="M541">
        <v>0</v>
      </c>
      <c r="N541">
        <v>11</v>
      </c>
      <c r="O541">
        <v>14</v>
      </c>
    </row>
    <row r="542" spans="1:15" x14ac:dyDescent="0.25">
      <c r="A542" t="s">
        <v>1561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2</v>
      </c>
      <c r="K542">
        <v>0</v>
      </c>
      <c r="L542">
        <v>0</v>
      </c>
      <c r="M542">
        <v>0</v>
      </c>
      <c r="N542">
        <v>8</v>
      </c>
      <c r="O542">
        <v>2</v>
      </c>
    </row>
    <row r="543" spans="1:15" x14ac:dyDescent="0.25">
      <c r="A543" t="s">
        <v>1564</v>
      </c>
      <c r="B543">
        <v>0</v>
      </c>
      <c r="C543">
        <v>4</v>
      </c>
      <c r="D543">
        <v>0</v>
      </c>
      <c r="E543">
        <v>0</v>
      </c>
      <c r="F543">
        <v>3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5</v>
      </c>
      <c r="M543">
        <v>0</v>
      </c>
      <c r="N543">
        <v>11</v>
      </c>
      <c r="O543">
        <v>14</v>
      </c>
    </row>
    <row r="544" spans="1:15" x14ac:dyDescent="0.25">
      <c r="A544" t="s">
        <v>1565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</v>
      </c>
      <c r="K544">
        <v>0</v>
      </c>
      <c r="L544">
        <v>0</v>
      </c>
      <c r="M544">
        <v>0</v>
      </c>
      <c r="N544">
        <v>8</v>
      </c>
      <c r="O544">
        <v>2</v>
      </c>
    </row>
    <row r="545" spans="1:15" x14ac:dyDescent="0.25">
      <c r="A545" t="s">
        <v>1568</v>
      </c>
      <c r="B545">
        <v>0</v>
      </c>
      <c r="C545">
        <v>0</v>
      </c>
      <c r="D545">
        <v>0</v>
      </c>
      <c r="E545">
        <v>0</v>
      </c>
      <c r="F545">
        <v>3</v>
      </c>
      <c r="G545">
        <v>0</v>
      </c>
      <c r="H545">
        <v>0</v>
      </c>
      <c r="I545">
        <v>0</v>
      </c>
      <c r="J545">
        <v>3</v>
      </c>
      <c r="K545">
        <v>0</v>
      </c>
      <c r="L545">
        <v>0</v>
      </c>
      <c r="M545">
        <v>0</v>
      </c>
      <c r="N545">
        <v>3</v>
      </c>
      <c r="O545">
        <v>6</v>
      </c>
    </row>
    <row r="546" spans="1:15" x14ac:dyDescent="0.25">
      <c r="A546" t="s">
        <v>700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16</v>
      </c>
      <c r="K546">
        <v>0</v>
      </c>
      <c r="L546">
        <v>0</v>
      </c>
      <c r="M546">
        <v>0</v>
      </c>
      <c r="N546">
        <v>392</v>
      </c>
      <c r="O546">
        <v>16</v>
      </c>
    </row>
    <row r="547" spans="1:15" x14ac:dyDescent="0.25">
      <c r="A547" t="s">
        <v>734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20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804</v>
      </c>
      <c r="O547">
        <v>20</v>
      </c>
    </row>
    <row r="548" spans="1:15" x14ac:dyDescent="0.25">
      <c r="A548" t="s">
        <v>735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16</v>
      </c>
      <c r="K548">
        <v>0</v>
      </c>
      <c r="L548">
        <v>0</v>
      </c>
      <c r="M548">
        <v>0</v>
      </c>
      <c r="N548">
        <v>60</v>
      </c>
      <c r="O548">
        <v>16</v>
      </c>
    </row>
    <row r="549" spans="1:15" x14ac:dyDescent="0.25">
      <c r="A549" t="s">
        <v>732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40</v>
      </c>
      <c r="O549">
        <v>0</v>
      </c>
    </row>
    <row r="550" spans="1:15" x14ac:dyDescent="0.25">
      <c r="A550" t="s">
        <v>733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808</v>
      </c>
      <c r="O550">
        <v>0</v>
      </c>
    </row>
    <row r="551" spans="1:15" x14ac:dyDescent="0.25">
      <c r="A551" t="s">
        <v>1075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8</v>
      </c>
      <c r="K551">
        <v>0</v>
      </c>
      <c r="L551">
        <v>0</v>
      </c>
      <c r="M551">
        <v>0</v>
      </c>
      <c r="N551">
        <v>136</v>
      </c>
      <c r="O551">
        <v>8</v>
      </c>
    </row>
    <row r="552" spans="1:15" x14ac:dyDescent="0.25">
      <c r="A552" t="s">
        <v>731</v>
      </c>
      <c r="B552">
        <v>0</v>
      </c>
      <c r="C552">
        <v>0</v>
      </c>
      <c r="D552">
        <v>24</v>
      </c>
      <c r="E552">
        <v>0</v>
      </c>
      <c r="F552">
        <v>16</v>
      </c>
      <c r="G552">
        <v>20</v>
      </c>
      <c r="H552">
        <v>0</v>
      </c>
      <c r="I552">
        <v>4</v>
      </c>
      <c r="J552">
        <v>68</v>
      </c>
      <c r="K552">
        <v>8</v>
      </c>
      <c r="L552">
        <v>0</v>
      </c>
      <c r="M552">
        <v>0</v>
      </c>
      <c r="N552">
        <v>172</v>
      </c>
      <c r="O552">
        <v>140</v>
      </c>
    </row>
    <row r="553" spans="1:15" x14ac:dyDescent="0.25">
      <c r="A553" t="s">
        <v>770</v>
      </c>
      <c r="B553">
        <v>3</v>
      </c>
      <c r="C553">
        <v>6</v>
      </c>
      <c r="D553">
        <v>3</v>
      </c>
      <c r="E553">
        <v>66</v>
      </c>
      <c r="F553">
        <v>6</v>
      </c>
      <c r="G553">
        <v>6</v>
      </c>
      <c r="H553">
        <v>51</v>
      </c>
      <c r="I553">
        <v>153</v>
      </c>
      <c r="J553">
        <v>30</v>
      </c>
      <c r="K553">
        <v>30</v>
      </c>
      <c r="L553">
        <v>0</v>
      </c>
      <c r="M553">
        <v>0</v>
      </c>
      <c r="N553">
        <v>201</v>
      </c>
      <c r="O553">
        <v>354</v>
      </c>
    </row>
    <row r="554" spans="1:15" x14ac:dyDescent="0.25">
      <c r="A554" t="s">
        <v>1070</v>
      </c>
      <c r="B554">
        <v>28</v>
      </c>
      <c r="C554">
        <v>60</v>
      </c>
      <c r="D554">
        <v>40</v>
      </c>
      <c r="E554">
        <v>48</v>
      </c>
      <c r="F554">
        <v>0</v>
      </c>
      <c r="G554">
        <v>0</v>
      </c>
      <c r="H554">
        <v>80</v>
      </c>
      <c r="I554">
        <v>144</v>
      </c>
      <c r="J554">
        <v>12</v>
      </c>
      <c r="K554">
        <v>0</v>
      </c>
      <c r="L554">
        <v>0</v>
      </c>
      <c r="M554">
        <v>0</v>
      </c>
      <c r="N554">
        <v>300</v>
      </c>
      <c r="O554">
        <v>412</v>
      </c>
    </row>
    <row r="555" spans="1:15" x14ac:dyDescent="0.25">
      <c r="A555" t="s">
        <v>1088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100</v>
      </c>
      <c r="O555">
        <v>0</v>
      </c>
    </row>
    <row r="556" spans="1:15" x14ac:dyDescent="0.25">
      <c r="A556" t="s">
        <v>1090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164</v>
      </c>
      <c r="O556">
        <v>0</v>
      </c>
    </row>
    <row r="557" spans="1:15" x14ac:dyDescent="0.25">
      <c r="A557" t="s">
        <v>1091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244</v>
      </c>
      <c r="O557">
        <v>0</v>
      </c>
    </row>
    <row r="558" spans="1:15" x14ac:dyDescent="0.25">
      <c r="A558" t="s">
        <v>1092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52</v>
      </c>
      <c r="O558">
        <v>0</v>
      </c>
    </row>
    <row r="559" spans="1:15" x14ac:dyDescent="0.25">
      <c r="A559" t="s">
        <v>1093</v>
      </c>
      <c r="B559">
        <v>20</v>
      </c>
      <c r="C559">
        <v>40</v>
      </c>
      <c r="D559">
        <v>0</v>
      </c>
      <c r="E559">
        <v>4</v>
      </c>
      <c r="F559">
        <v>0</v>
      </c>
      <c r="G559">
        <v>0</v>
      </c>
      <c r="H559">
        <v>0</v>
      </c>
      <c r="I559">
        <v>0</v>
      </c>
      <c r="J559">
        <v>16</v>
      </c>
      <c r="K559">
        <v>0</v>
      </c>
      <c r="L559">
        <v>0</v>
      </c>
      <c r="M559">
        <v>80</v>
      </c>
      <c r="N559">
        <v>64</v>
      </c>
      <c r="O559">
        <v>160</v>
      </c>
    </row>
    <row r="560" spans="1:15" x14ac:dyDescent="0.25">
      <c r="A560" t="s">
        <v>1779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40</v>
      </c>
      <c r="O560">
        <v>0</v>
      </c>
    </row>
    <row r="561" spans="1:15" x14ac:dyDescent="0.25">
      <c r="A561" t="s">
        <v>1780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296</v>
      </c>
      <c r="O561">
        <v>0</v>
      </c>
    </row>
    <row r="562" spans="1:15" x14ac:dyDescent="0.25">
      <c r="A562" t="s">
        <v>1781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40</v>
      </c>
      <c r="O562">
        <v>0</v>
      </c>
    </row>
    <row r="563" spans="1:15" x14ac:dyDescent="0.25">
      <c r="A563" t="s">
        <v>702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40</v>
      </c>
      <c r="K563">
        <v>0</v>
      </c>
      <c r="L563">
        <v>0</v>
      </c>
      <c r="M563">
        <v>0</v>
      </c>
      <c r="N563">
        <v>0</v>
      </c>
      <c r="O563">
        <v>40</v>
      </c>
    </row>
    <row r="564" spans="1:15" x14ac:dyDescent="0.25">
      <c r="A564" t="s">
        <v>1777</v>
      </c>
      <c r="B564">
        <v>20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20</v>
      </c>
      <c r="O564">
        <v>20</v>
      </c>
    </row>
    <row r="565" spans="1:15" x14ac:dyDescent="0.25">
      <c r="A565" t="s">
        <v>703</v>
      </c>
      <c r="B565">
        <v>0</v>
      </c>
      <c r="C565">
        <v>0</v>
      </c>
      <c r="D565">
        <v>0</v>
      </c>
      <c r="E565">
        <v>0</v>
      </c>
      <c r="F565">
        <v>80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164</v>
      </c>
      <c r="O565">
        <v>80</v>
      </c>
    </row>
    <row r="566" spans="1:15" x14ac:dyDescent="0.25">
      <c r="A566" t="s">
        <v>1778</v>
      </c>
      <c r="B566">
        <v>20</v>
      </c>
      <c r="C566">
        <v>0</v>
      </c>
      <c r="D566">
        <v>0</v>
      </c>
      <c r="E566">
        <v>0</v>
      </c>
      <c r="F566">
        <v>20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40</v>
      </c>
      <c r="O566">
        <v>40</v>
      </c>
    </row>
    <row r="567" spans="1:15" x14ac:dyDescent="0.25">
      <c r="A567" t="s">
        <v>1071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200</v>
      </c>
      <c r="O567">
        <v>0</v>
      </c>
    </row>
    <row r="568" spans="1:15" x14ac:dyDescent="0.25">
      <c r="A568" t="s">
        <v>1078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20</v>
      </c>
      <c r="O568">
        <v>0</v>
      </c>
    </row>
    <row r="569" spans="1:15" x14ac:dyDescent="0.25">
      <c r="A569" t="s">
        <v>1079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24</v>
      </c>
      <c r="K569">
        <v>0</v>
      </c>
      <c r="L569">
        <v>0</v>
      </c>
      <c r="M569">
        <v>0</v>
      </c>
      <c r="N569">
        <v>24</v>
      </c>
      <c r="O569">
        <v>24</v>
      </c>
    </row>
    <row r="570" spans="1:15" x14ac:dyDescent="0.25">
      <c r="A570" t="s">
        <v>1081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40</v>
      </c>
      <c r="O570">
        <v>0</v>
      </c>
    </row>
    <row r="571" spans="1:15" x14ac:dyDescent="0.25">
      <c r="A571" t="s">
        <v>701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248</v>
      </c>
      <c r="O571">
        <v>0</v>
      </c>
    </row>
    <row r="572" spans="1:15" x14ac:dyDescent="0.25">
      <c r="A572" t="s">
        <v>1083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64</v>
      </c>
      <c r="K572">
        <v>0</v>
      </c>
      <c r="L572">
        <v>0</v>
      </c>
      <c r="M572">
        <v>0</v>
      </c>
      <c r="N572">
        <v>104</v>
      </c>
      <c r="O572">
        <v>64</v>
      </c>
    </row>
    <row r="573" spans="1:15" x14ac:dyDescent="0.25">
      <c r="A573" t="s">
        <v>1096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80</v>
      </c>
      <c r="O573">
        <v>0</v>
      </c>
    </row>
    <row r="574" spans="1:15" x14ac:dyDescent="0.25">
      <c r="A574" t="s">
        <v>1540</v>
      </c>
      <c r="B574">
        <v>0</v>
      </c>
      <c r="C574">
        <v>0</v>
      </c>
      <c r="D574">
        <v>0</v>
      </c>
      <c r="E574">
        <v>0</v>
      </c>
      <c r="F574">
        <v>3</v>
      </c>
      <c r="G574">
        <v>0</v>
      </c>
      <c r="H574">
        <v>2</v>
      </c>
      <c r="I574">
        <v>0</v>
      </c>
      <c r="J574">
        <v>0</v>
      </c>
      <c r="K574">
        <v>0</v>
      </c>
      <c r="L574">
        <v>2</v>
      </c>
      <c r="M574">
        <v>0</v>
      </c>
      <c r="N574">
        <v>1</v>
      </c>
      <c r="O574">
        <v>7</v>
      </c>
    </row>
    <row r="575" spans="1:15" x14ac:dyDescent="0.25">
      <c r="A575" t="s">
        <v>766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4</v>
      </c>
      <c r="O575">
        <v>0</v>
      </c>
    </row>
    <row r="576" spans="1:15" x14ac:dyDescent="0.25">
      <c r="A576" t="s">
        <v>1545</v>
      </c>
      <c r="B576">
        <v>0</v>
      </c>
      <c r="C576">
        <v>0</v>
      </c>
      <c r="D576">
        <v>0</v>
      </c>
      <c r="E576">
        <v>0</v>
      </c>
      <c r="F576">
        <v>2</v>
      </c>
      <c r="G576">
        <v>0</v>
      </c>
      <c r="H576">
        <v>2</v>
      </c>
      <c r="I576">
        <v>0</v>
      </c>
      <c r="J576">
        <v>0</v>
      </c>
      <c r="K576">
        <v>0</v>
      </c>
      <c r="L576">
        <v>4</v>
      </c>
      <c r="M576">
        <v>0</v>
      </c>
      <c r="N576">
        <v>0</v>
      </c>
      <c r="O576">
        <v>8</v>
      </c>
    </row>
    <row r="577" spans="1:15" x14ac:dyDescent="0.25">
      <c r="A577" t="s">
        <v>1549</v>
      </c>
      <c r="B577">
        <v>0</v>
      </c>
      <c r="C577">
        <v>0</v>
      </c>
      <c r="D577">
        <v>0</v>
      </c>
      <c r="E577">
        <v>0</v>
      </c>
      <c r="F577">
        <v>3</v>
      </c>
      <c r="G577">
        <v>0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7</v>
      </c>
      <c r="O577">
        <v>5</v>
      </c>
    </row>
    <row r="578" spans="1:15" x14ac:dyDescent="0.25">
      <c r="A578" t="s">
        <v>1246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8</v>
      </c>
      <c r="M578">
        <v>0</v>
      </c>
      <c r="N578">
        <v>10</v>
      </c>
      <c r="O578">
        <v>10</v>
      </c>
    </row>
    <row r="579" spans="1:15" x14ac:dyDescent="0.25">
      <c r="A579" t="s">
        <v>1584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2</v>
      </c>
      <c r="M579">
        <v>0</v>
      </c>
      <c r="N579">
        <v>6</v>
      </c>
      <c r="O579">
        <v>2</v>
      </c>
    </row>
    <row r="580" spans="1:15" x14ac:dyDescent="0.25">
      <c r="A580" t="s">
        <v>1590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8</v>
      </c>
      <c r="O580">
        <v>0</v>
      </c>
    </row>
    <row r="581" spans="1:15" x14ac:dyDescent="0.25">
      <c r="A581" t="s">
        <v>1594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8</v>
      </c>
      <c r="O581">
        <v>0</v>
      </c>
    </row>
    <row r="582" spans="1:15" x14ac:dyDescent="0.25">
      <c r="A582" t="s">
        <v>1598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</v>
      </c>
      <c r="M582">
        <v>0</v>
      </c>
      <c r="N582">
        <v>6</v>
      </c>
      <c r="O582">
        <v>2</v>
      </c>
    </row>
    <row r="583" spans="1:15" x14ac:dyDescent="0.25">
      <c r="A583" t="s">
        <v>1602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8</v>
      </c>
      <c r="O583">
        <v>0</v>
      </c>
    </row>
    <row r="584" spans="1:15" x14ac:dyDescent="0.25">
      <c r="A584" t="s">
        <v>1157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238</v>
      </c>
      <c r="O584">
        <v>1</v>
      </c>
    </row>
    <row r="585" spans="1:15" x14ac:dyDescent="0.25">
      <c r="A585" t="s">
        <v>1159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110</v>
      </c>
      <c r="O585">
        <v>1</v>
      </c>
    </row>
    <row r="586" spans="1:15" x14ac:dyDescent="0.25">
      <c r="A586" t="s">
        <v>1160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125</v>
      </c>
      <c r="O586">
        <v>1</v>
      </c>
    </row>
    <row r="587" spans="1:15" x14ac:dyDescent="0.25">
      <c r="A587" t="s">
        <v>1132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43</v>
      </c>
      <c r="K587">
        <v>10</v>
      </c>
      <c r="L587">
        <v>18</v>
      </c>
      <c r="M587">
        <v>27</v>
      </c>
      <c r="N587">
        <v>318</v>
      </c>
      <c r="O587">
        <v>98</v>
      </c>
    </row>
    <row r="588" spans="1:15" x14ac:dyDescent="0.25">
      <c r="A588" t="s">
        <v>1134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35</v>
      </c>
      <c r="K588">
        <v>7</v>
      </c>
      <c r="L588">
        <v>21</v>
      </c>
      <c r="M588">
        <v>22</v>
      </c>
      <c r="N588">
        <v>227</v>
      </c>
      <c r="O588">
        <v>85</v>
      </c>
    </row>
    <row r="589" spans="1:15" x14ac:dyDescent="0.25">
      <c r="A589" t="s">
        <v>1135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40</v>
      </c>
      <c r="K589">
        <v>15</v>
      </c>
      <c r="L589">
        <v>20</v>
      </c>
      <c r="M589">
        <v>29</v>
      </c>
      <c r="N589">
        <v>177</v>
      </c>
      <c r="O589">
        <v>104</v>
      </c>
    </row>
    <row r="590" spans="1:15" x14ac:dyDescent="0.25">
      <c r="A590" t="s">
        <v>1175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6</v>
      </c>
      <c r="M590">
        <v>0</v>
      </c>
      <c r="N590">
        <v>698</v>
      </c>
      <c r="O590">
        <v>6</v>
      </c>
    </row>
    <row r="591" spans="1:15" x14ac:dyDescent="0.25">
      <c r="A591" t="s">
        <v>1177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7</v>
      </c>
      <c r="M591">
        <v>0</v>
      </c>
      <c r="N591">
        <v>469</v>
      </c>
      <c r="O591">
        <v>7</v>
      </c>
    </row>
    <row r="592" spans="1:15" x14ac:dyDescent="0.25">
      <c r="A592" t="s">
        <v>1178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4</v>
      </c>
      <c r="L592">
        <v>6</v>
      </c>
      <c r="M592">
        <v>0</v>
      </c>
      <c r="N592">
        <v>691</v>
      </c>
      <c r="O592">
        <v>11</v>
      </c>
    </row>
    <row r="593" spans="1:15" x14ac:dyDescent="0.25">
      <c r="A593" t="s">
        <v>1681</v>
      </c>
      <c r="B593">
        <v>12</v>
      </c>
      <c r="C593">
        <v>400</v>
      </c>
      <c r="D593">
        <v>248</v>
      </c>
      <c r="E593">
        <v>0</v>
      </c>
      <c r="F593">
        <v>100</v>
      </c>
      <c r="G593">
        <v>4</v>
      </c>
      <c r="H593">
        <v>80</v>
      </c>
      <c r="I593">
        <v>60</v>
      </c>
      <c r="J593">
        <v>40</v>
      </c>
      <c r="K593">
        <v>124</v>
      </c>
      <c r="L593">
        <v>240</v>
      </c>
      <c r="M593">
        <v>40</v>
      </c>
      <c r="N593">
        <v>1370</v>
      </c>
      <c r="O593">
        <v>1348</v>
      </c>
    </row>
    <row r="594" spans="1:15" x14ac:dyDescent="0.25">
      <c r="A594" t="s">
        <v>1682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124</v>
      </c>
      <c r="I594">
        <v>0</v>
      </c>
      <c r="J594">
        <v>0</v>
      </c>
      <c r="K594">
        <v>0</v>
      </c>
      <c r="L594">
        <v>4</v>
      </c>
      <c r="M594">
        <v>0</v>
      </c>
      <c r="N594">
        <v>376</v>
      </c>
      <c r="O594">
        <v>128</v>
      </c>
    </row>
    <row r="595" spans="1:15" x14ac:dyDescent="0.25">
      <c r="A595" t="s">
        <v>1683</v>
      </c>
      <c r="B595">
        <v>60</v>
      </c>
      <c r="C595">
        <v>112</v>
      </c>
      <c r="D595">
        <v>332</v>
      </c>
      <c r="E595">
        <v>20</v>
      </c>
      <c r="F595">
        <v>60</v>
      </c>
      <c r="G595">
        <v>28</v>
      </c>
      <c r="H595">
        <v>192</v>
      </c>
      <c r="I595">
        <v>60</v>
      </c>
      <c r="J595">
        <v>36</v>
      </c>
      <c r="K595">
        <v>12</v>
      </c>
      <c r="L595">
        <v>0</v>
      </c>
      <c r="M595">
        <v>0</v>
      </c>
      <c r="N595">
        <v>808</v>
      </c>
      <c r="O595">
        <v>912</v>
      </c>
    </row>
    <row r="596" spans="1:15" x14ac:dyDescent="0.25">
      <c r="A596" t="s">
        <v>1677</v>
      </c>
      <c r="B596">
        <v>16</v>
      </c>
      <c r="C596">
        <v>200</v>
      </c>
      <c r="D596">
        <v>40</v>
      </c>
      <c r="E596">
        <v>0</v>
      </c>
      <c r="F596">
        <v>356</v>
      </c>
      <c r="G596">
        <v>32</v>
      </c>
      <c r="H596">
        <v>540</v>
      </c>
      <c r="I596">
        <v>488</v>
      </c>
      <c r="J596">
        <v>40</v>
      </c>
      <c r="K596">
        <v>508</v>
      </c>
      <c r="L596">
        <v>0</v>
      </c>
      <c r="M596">
        <v>0</v>
      </c>
      <c r="N596">
        <v>3728</v>
      </c>
      <c r="O596">
        <v>2220</v>
      </c>
    </row>
    <row r="597" spans="1:15" x14ac:dyDescent="0.25">
      <c r="A597" t="s">
        <v>737</v>
      </c>
      <c r="B597">
        <v>496</v>
      </c>
      <c r="C597">
        <v>1906</v>
      </c>
      <c r="D597">
        <v>580</v>
      </c>
      <c r="E597">
        <v>1450</v>
      </c>
      <c r="F597">
        <v>964</v>
      </c>
      <c r="G597">
        <v>204</v>
      </c>
      <c r="H597">
        <v>1620</v>
      </c>
      <c r="I597">
        <v>912</v>
      </c>
      <c r="J597">
        <v>866</v>
      </c>
      <c r="K597">
        <v>1520</v>
      </c>
      <c r="L597">
        <v>580</v>
      </c>
      <c r="M597">
        <v>612</v>
      </c>
      <c r="N597">
        <v>2346</v>
      </c>
      <c r="O597">
        <v>11710</v>
      </c>
    </row>
    <row r="598" spans="1:15" x14ac:dyDescent="0.25">
      <c r="A598" t="s">
        <v>738</v>
      </c>
      <c r="B598">
        <v>460</v>
      </c>
      <c r="C598">
        <v>180</v>
      </c>
      <c r="D598">
        <v>140</v>
      </c>
      <c r="E598">
        <v>376</v>
      </c>
      <c r="F598">
        <v>1492</v>
      </c>
      <c r="G598">
        <v>256</v>
      </c>
      <c r="H598">
        <v>1234</v>
      </c>
      <c r="I598">
        <v>0</v>
      </c>
      <c r="J598">
        <v>180</v>
      </c>
      <c r="K598">
        <v>1036</v>
      </c>
      <c r="L598">
        <v>140</v>
      </c>
      <c r="M598">
        <v>400</v>
      </c>
      <c r="N598">
        <v>1164</v>
      </c>
      <c r="O598">
        <v>5894</v>
      </c>
    </row>
    <row r="599" spans="1:15" x14ac:dyDescent="0.25">
      <c r="A599" t="s">
        <v>1850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20</v>
      </c>
      <c r="O59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RINGS_SUMMARY</vt:lpstr>
      <vt:lpstr>STOCKS-</vt:lpstr>
      <vt:lpstr>UA+</vt:lpstr>
      <vt:lpstr>KZ+</vt:lpstr>
      <vt:lpstr>UZ+</vt:lpstr>
      <vt:lpstr>UA-normalized</vt:lpstr>
      <vt:lpstr>KZ-normalized</vt:lpstr>
      <vt:lpstr>UZ-normalized</vt:lpstr>
      <vt:lpstr>UA-sales</vt:lpstr>
      <vt:lpstr>KZ-sales</vt:lpstr>
      <vt:lpstr>UZ-sales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</cp:lastModifiedBy>
  <dcterms:created xsi:type="dcterms:W3CDTF">2026-01-26T11:14:27Z</dcterms:created>
  <dcterms:modified xsi:type="dcterms:W3CDTF">2026-01-26T13:44:40Z</dcterms:modified>
</cp:coreProperties>
</file>